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LL-map-id" sheetId="1" state="visible" r:id="rId3"/>
    <sheet name="RAW-encounter-data-evolved-high" sheetId="2" state="visible" r:id="rId4"/>
    <sheet name="RAW-encounter-data-evolved-low-" sheetId="3" state="visible" r:id="rId5"/>
    <sheet name="encounter-data-high-level" sheetId="4" state="visible" r:id="rId6"/>
    <sheet name="encounter-data-low-level-parse" sheetId="5" state="visible" r:id="rId7"/>
    <sheet name="processed-data-final" sheetId="6" state="visible" r:id="rId8"/>
    <sheet name="processed-data-working" sheetId="7" state="visible" r:id="rId9"/>
    <sheet name="Sheet1" sheetId="8" state="visible" r:id="rId10"/>
    <sheet name="Sheet2" sheetId="9" state="visible" r:id="rId11"/>
    <sheet name="Sheet3" sheetId="10" state="visible" r:id="rId12"/>
    <sheet name="final-encounter-dat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<sst xmlns="http://schemas.openxmlformats.org/spreadsheetml/2006/main" count="43342" uniqueCount="3997">
  <si>
    <t xml:space="preserve">id</t>
  </si>
  <si>
    <t xml:space="preserve">mapName</t>
  </si>
  <si>
    <t xml:space="preserve">0x0000</t>
  </si>
  <si>
    <t xml:space="preserve">Battle Colosseum 2P</t>
  </si>
  <si>
    <t xml:space="preserve">0x0100</t>
  </si>
  <si>
    <t xml:space="preserve">Trade Center</t>
  </si>
  <si>
    <t xml:space="preserve">0x0200</t>
  </si>
  <si>
    <t xml:space="preserve">Record Corner</t>
  </si>
  <si>
    <t xml:space="preserve">0x0300</t>
  </si>
  <si>
    <t xml:space="preserve">Battle Colosseum 4P</t>
  </si>
  <si>
    <t xml:space="preserve">0x0400</t>
  </si>
  <si>
    <t xml:space="preserve">Union Room</t>
  </si>
  <si>
    <t xml:space="preserve">0x0001</t>
  </si>
  <si>
    <t xml:space="preserve">Viridian Forest</t>
  </si>
  <si>
    <t xml:space="preserve">0x0101</t>
  </si>
  <si>
    <t xml:space="preserve">Mt Moon 1F</t>
  </si>
  <si>
    <t xml:space="preserve">0x0201</t>
  </si>
  <si>
    <t xml:space="preserve">Mt Moon B1F</t>
  </si>
  <si>
    <t xml:space="preserve">0x0301</t>
  </si>
  <si>
    <t xml:space="preserve">Mt Moon B2F</t>
  </si>
  <si>
    <t xml:space="preserve">0x0401</t>
  </si>
  <si>
    <t xml:space="preserve">S.S. Anne Exterior</t>
  </si>
  <si>
    <t xml:space="preserve">0x0501</t>
  </si>
  <si>
    <t xml:space="preserve">S.S. Anne 1F Corridor</t>
  </si>
  <si>
    <t xml:space="preserve">0x0601</t>
  </si>
  <si>
    <t xml:space="preserve">S.S. Anne 2F Corridor</t>
  </si>
  <si>
    <t xml:space="preserve">0x0701</t>
  </si>
  <si>
    <t xml:space="preserve">S.S. Anne 3F Corridor</t>
  </si>
  <si>
    <t xml:space="preserve">0x0801</t>
  </si>
  <si>
    <t xml:space="preserve">S.S. Anne B1F Corridor</t>
  </si>
  <si>
    <t xml:space="preserve">0x0901</t>
  </si>
  <si>
    <t xml:space="preserve">S.S. Anne Deck</t>
  </si>
  <si>
    <t xml:space="preserve">0x0A01</t>
  </si>
  <si>
    <t xml:space="preserve">S.S. Anne Kitchen</t>
  </si>
  <si>
    <t xml:space="preserve">0x0B01</t>
  </si>
  <si>
    <t xml:space="preserve">S.S. Anne Captain's Office</t>
  </si>
  <si>
    <t xml:space="preserve">0x0C01</t>
  </si>
  <si>
    <t xml:space="preserve">S.S. Anne 1F Room 1</t>
  </si>
  <si>
    <t xml:space="preserve">0x0D01</t>
  </si>
  <si>
    <t xml:space="preserve">S.S. Anne 1F Room 2</t>
  </si>
  <si>
    <t xml:space="preserve">0x0E01</t>
  </si>
  <si>
    <t xml:space="preserve">S.S. Anne 1F Room 3</t>
  </si>
  <si>
    <t xml:space="preserve">0x0F01</t>
  </si>
  <si>
    <t xml:space="preserve">S.S. Anne 1F Room 4</t>
  </si>
  <si>
    <t xml:space="preserve">0x1001</t>
  </si>
  <si>
    <t xml:space="preserve">S.S. Anne 1F Room 5</t>
  </si>
  <si>
    <t xml:space="preserve">0x1101</t>
  </si>
  <si>
    <t xml:space="preserve">S.S. Anne 1F Room 7</t>
  </si>
  <si>
    <t xml:space="preserve">0x1201</t>
  </si>
  <si>
    <t xml:space="preserve">S.S. Anne 2F Room 1</t>
  </si>
  <si>
    <t xml:space="preserve">0x1301</t>
  </si>
  <si>
    <t xml:space="preserve">S.S. Anne 2F Room 2</t>
  </si>
  <si>
    <t xml:space="preserve">0x1401</t>
  </si>
  <si>
    <t xml:space="preserve">S.S. Anne 2F Room 3</t>
  </si>
  <si>
    <t xml:space="preserve">0x1501</t>
  </si>
  <si>
    <t xml:space="preserve">S.S. Anne 2F Room 4</t>
  </si>
  <si>
    <t xml:space="preserve">0x1601</t>
  </si>
  <si>
    <t xml:space="preserve">S.S. Anne 2F Room 5</t>
  </si>
  <si>
    <t xml:space="preserve">0x1701</t>
  </si>
  <si>
    <t xml:space="preserve">S.S. Anne 2F Room 6</t>
  </si>
  <si>
    <t xml:space="preserve">0x1801</t>
  </si>
  <si>
    <t xml:space="preserve">S.S. Anne B1F Room 1</t>
  </si>
  <si>
    <t xml:space="preserve">0x1901</t>
  </si>
  <si>
    <t xml:space="preserve">S.S. Anne B1F Room 2</t>
  </si>
  <si>
    <t xml:space="preserve">0x1A01</t>
  </si>
  <si>
    <t xml:space="preserve">S.S. Anne B1F Room 3</t>
  </si>
  <si>
    <t xml:space="preserve">0x1B01</t>
  </si>
  <si>
    <t xml:space="preserve">S.S. Anne B1F Room 4</t>
  </si>
  <si>
    <t xml:space="preserve">0x1C01</t>
  </si>
  <si>
    <t xml:space="preserve">S.S. Anne B1F Room 5</t>
  </si>
  <si>
    <t xml:space="preserve">0x1D01</t>
  </si>
  <si>
    <t xml:space="preserve">S.S. Anne 1F Room 6</t>
  </si>
  <si>
    <t xml:space="preserve">0x1E01</t>
  </si>
  <si>
    <t xml:space="preserve">Underground Path North Entrance</t>
  </si>
  <si>
    <t xml:space="preserve">0x1F01</t>
  </si>
  <si>
    <t xml:space="preserve">Underground Path North-South Tunnel</t>
  </si>
  <si>
    <t xml:space="preserve">0x2001</t>
  </si>
  <si>
    <t xml:space="preserve">Underground Path South Entrance</t>
  </si>
  <si>
    <t xml:space="preserve">0x2101</t>
  </si>
  <si>
    <t xml:space="preserve">Underground Path West Entrance</t>
  </si>
  <si>
    <t xml:space="preserve">0x2201</t>
  </si>
  <si>
    <t xml:space="preserve">Underground Path West-East Tunnel</t>
  </si>
  <si>
    <t xml:space="preserve">0x2301</t>
  </si>
  <si>
    <t xml:space="preserve">Underground Path East Entrance</t>
  </si>
  <si>
    <t xml:space="preserve">0x2401</t>
  </si>
  <si>
    <t xml:space="preserve">Diglett's Cave North Entrance</t>
  </si>
  <si>
    <t xml:space="preserve">0x2501</t>
  </si>
  <si>
    <t xml:space="preserve">Diglett's Cave B1F</t>
  </si>
  <si>
    <t xml:space="preserve">0x2601</t>
  </si>
  <si>
    <t xml:space="preserve">Diglett's Cave South Entrance</t>
  </si>
  <si>
    <t xml:space="preserve">0x2701</t>
  </si>
  <si>
    <t xml:space="preserve">Victory Road 1F</t>
  </si>
  <si>
    <t xml:space="preserve">0x2801</t>
  </si>
  <si>
    <t xml:space="preserve">Victory Road 2F</t>
  </si>
  <si>
    <t xml:space="preserve">0x2901</t>
  </si>
  <si>
    <t xml:space="preserve">Victory Road 3F</t>
  </si>
  <si>
    <t xml:space="preserve">0x2A01</t>
  </si>
  <si>
    <t xml:space="preserve">Rocket Hideout B1F</t>
  </si>
  <si>
    <t xml:space="preserve">0x2B01</t>
  </si>
  <si>
    <t xml:space="preserve">Rocket Hideout B2F</t>
  </si>
  <si>
    <t xml:space="preserve">0x2C01</t>
  </si>
  <si>
    <t xml:space="preserve">Rocket Hideout B3F</t>
  </si>
  <si>
    <t xml:space="preserve">0x2D01</t>
  </si>
  <si>
    <t xml:space="preserve">Rocket Hideout B4F</t>
  </si>
  <si>
    <t xml:space="preserve">0x2E01</t>
  </si>
  <si>
    <t xml:space="preserve">Rocket Hideout Elevator</t>
  </si>
  <si>
    <t xml:space="preserve">0x2F01</t>
  </si>
  <si>
    <t xml:space="preserve">Silph Co. 1F</t>
  </si>
  <si>
    <t xml:space="preserve">0x3001</t>
  </si>
  <si>
    <t xml:space="preserve">Silph Co. 2F</t>
  </si>
  <si>
    <t xml:space="preserve">0x3101</t>
  </si>
  <si>
    <t xml:space="preserve">Silph Co. 3F</t>
  </si>
  <si>
    <t xml:space="preserve">0x3201</t>
  </si>
  <si>
    <t xml:space="preserve">Silph Co. 4F</t>
  </si>
  <si>
    <t xml:space="preserve">0x3301</t>
  </si>
  <si>
    <t xml:space="preserve">Silph Co. 5F</t>
  </si>
  <si>
    <t xml:space="preserve">0x3401</t>
  </si>
  <si>
    <t xml:space="preserve">Silph Co. 6F</t>
  </si>
  <si>
    <t xml:space="preserve">0x3501</t>
  </si>
  <si>
    <t xml:space="preserve">Silph Co. 7F</t>
  </si>
  <si>
    <t xml:space="preserve">0x3601</t>
  </si>
  <si>
    <t xml:space="preserve">Silph Co. 8F</t>
  </si>
  <si>
    <t xml:space="preserve">0x3701</t>
  </si>
  <si>
    <t xml:space="preserve">Silph Co. 9F</t>
  </si>
  <si>
    <t xml:space="preserve">0x3801</t>
  </si>
  <si>
    <t xml:space="preserve">Silph Co. 10F</t>
  </si>
  <si>
    <t xml:space="preserve">0x3901</t>
  </si>
  <si>
    <t xml:space="preserve">Silph Co. 11F</t>
  </si>
  <si>
    <t xml:space="preserve">0x3A01</t>
  </si>
  <si>
    <t xml:space="preserve">Silph Co. Elevator</t>
  </si>
  <si>
    <t xml:space="preserve">0x3B01</t>
  </si>
  <si>
    <t xml:space="preserve">Pokémon Mansion 1F</t>
  </si>
  <si>
    <t xml:space="preserve">0x3C01</t>
  </si>
  <si>
    <t xml:space="preserve">Pokémon Mansion 2F</t>
  </si>
  <si>
    <t xml:space="preserve">0x3D01</t>
  </si>
  <si>
    <t xml:space="preserve">Pokémon Mansion 3F</t>
  </si>
  <si>
    <t xml:space="preserve">0x3E01</t>
  </si>
  <si>
    <t xml:space="preserve">Pokémon Mansion B1F</t>
  </si>
  <si>
    <t xml:space="preserve">0x3F01</t>
  </si>
  <si>
    <t xml:space="preserve">Safari Zone Center</t>
  </si>
  <si>
    <t xml:space="preserve">0x4001</t>
  </si>
  <si>
    <t xml:space="preserve">Safari Zone East</t>
  </si>
  <si>
    <t xml:space="preserve">0x4101</t>
  </si>
  <si>
    <t xml:space="preserve">Safari Zone North</t>
  </si>
  <si>
    <t xml:space="preserve">0x4201</t>
  </si>
  <si>
    <t xml:space="preserve">Safari Zone West</t>
  </si>
  <si>
    <t xml:space="preserve">0x4301</t>
  </si>
  <si>
    <t xml:space="preserve">Safari Zone Center Rest House</t>
  </si>
  <si>
    <t xml:space="preserve">0x4401</t>
  </si>
  <si>
    <t xml:space="preserve">Safari Zone East Rest House</t>
  </si>
  <si>
    <t xml:space="preserve">0x4501</t>
  </si>
  <si>
    <t xml:space="preserve">Safari Zone North Rest House</t>
  </si>
  <si>
    <t xml:space="preserve">0x4601</t>
  </si>
  <si>
    <t xml:space="preserve">Safari Zone West Rest House</t>
  </si>
  <si>
    <t xml:space="preserve">0x4701</t>
  </si>
  <si>
    <t xml:space="preserve">Safari Zone Secret House</t>
  </si>
  <si>
    <t xml:space="preserve">0x4801</t>
  </si>
  <si>
    <t xml:space="preserve">Cerulean Cave 1F</t>
  </si>
  <si>
    <t xml:space="preserve">0x4901</t>
  </si>
  <si>
    <t xml:space="preserve">Cerulean Cave 2F</t>
  </si>
  <si>
    <t xml:space="preserve">0x4A01</t>
  </si>
  <si>
    <t xml:space="preserve">Cerulean Cave B1F</t>
  </si>
  <si>
    <t xml:space="preserve">0x4B01</t>
  </si>
  <si>
    <t xml:space="preserve">Pokémon League Lorelei's Room</t>
  </si>
  <si>
    <t xml:space="preserve">0x4C01</t>
  </si>
  <si>
    <t xml:space="preserve">Pokémon League Bruno's Room</t>
  </si>
  <si>
    <t xml:space="preserve">0x4D01</t>
  </si>
  <si>
    <t xml:space="preserve">Pokémon League Agatha's Room</t>
  </si>
  <si>
    <t xml:space="preserve">0x4E01</t>
  </si>
  <si>
    <t xml:space="preserve">Pokémon League Lance's Room</t>
  </si>
  <si>
    <t xml:space="preserve">0x4F01</t>
  </si>
  <si>
    <t xml:space="preserve">Pokémon League Champion's Room</t>
  </si>
  <si>
    <t xml:space="preserve">0x5001</t>
  </si>
  <si>
    <t xml:space="preserve">Pokémon League Hall Of Fame</t>
  </si>
  <si>
    <t xml:space="preserve">0x5101</t>
  </si>
  <si>
    <t xml:space="preserve">Rock Tunnel 1F</t>
  </si>
  <si>
    <t xml:space="preserve">0x5201</t>
  </si>
  <si>
    <t xml:space="preserve">Rock Tunnel B1F</t>
  </si>
  <si>
    <t xml:space="preserve">0x5301</t>
  </si>
  <si>
    <t xml:space="preserve">Seafoam Islands 1F</t>
  </si>
  <si>
    <t xml:space="preserve">0x5401</t>
  </si>
  <si>
    <t xml:space="preserve">Seafoam Islands B1F</t>
  </si>
  <si>
    <t xml:space="preserve">0x5501</t>
  </si>
  <si>
    <t xml:space="preserve">Seafoam Islands B2F</t>
  </si>
  <si>
    <t xml:space="preserve">0x5601</t>
  </si>
  <si>
    <t xml:space="preserve">Seafoam Islands B3F</t>
  </si>
  <si>
    <t xml:space="preserve">0x5701</t>
  </si>
  <si>
    <t xml:space="preserve">Seafoam Islands B4F</t>
  </si>
  <si>
    <t xml:space="preserve">0x5801</t>
  </si>
  <si>
    <t xml:space="preserve">Pokémon Tower 1F</t>
  </si>
  <si>
    <t xml:space="preserve">0x5901</t>
  </si>
  <si>
    <t xml:space="preserve">Pokémon Tower 2F</t>
  </si>
  <si>
    <t xml:space="preserve">0x5A01</t>
  </si>
  <si>
    <t xml:space="preserve">Pokémon Tower 3F</t>
  </si>
  <si>
    <t xml:space="preserve">0x5B01</t>
  </si>
  <si>
    <t xml:space="preserve">Pokémon Tower 4F</t>
  </si>
  <si>
    <t xml:space="preserve">0x5C01</t>
  </si>
  <si>
    <t xml:space="preserve">Pokémon Tower 5F</t>
  </si>
  <si>
    <t xml:space="preserve">0x5D01</t>
  </si>
  <si>
    <t xml:space="preserve">Pokémon Tower 6F</t>
  </si>
  <si>
    <t xml:space="preserve">0x5E01</t>
  </si>
  <si>
    <t xml:space="preserve">Pokémon Tower 7F</t>
  </si>
  <si>
    <t xml:space="preserve">0x5F01</t>
  </si>
  <si>
    <t xml:space="preserve">Power Plant</t>
  </si>
  <si>
    <t xml:space="preserve">0x6001</t>
  </si>
  <si>
    <t xml:space="preserve">Mt. Ember Ruby Path B4F</t>
  </si>
  <si>
    <t xml:space="preserve">0x6101</t>
  </si>
  <si>
    <t xml:space="preserve">Mt. Ember Exterior</t>
  </si>
  <si>
    <t xml:space="preserve">0x6201</t>
  </si>
  <si>
    <t xml:space="preserve">Mt. Ember Summit Path 1F</t>
  </si>
  <si>
    <t xml:space="preserve">0x6301</t>
  </si>
  <si>
    <t xml:space="preserve">Mt. Ember Summit Path 2F</t>
  </si>
  <si>
    <t xml:space="preserve">0x6401</t>
  </si>
  <si>
    <t xml:space="preserve">Mt. Ember Summit Path 3F</t>
  </si>
  <si>
    <t xml:space="preserve">0x6501</t>
  </si>
  <si>
    <t xml:space="preserve">Mt. Ember Summit</t>
  </si>
  <si>
    <t xml:space="preserve">0x6601</t>
  </si>
  <si>
    <t xml:space="preserve">Mt. Ember Ruby Path B5F</t>
  </si>
  <si>
    <t xml:space="preserve">0x6701</t>
  </si>
  <si>
    <t xml:space="preserve">Mt. Ember Ruby Path 1F</t>
  </si>
  <si>
    <t xml:space="preserve">0x6801</t>
  </si>
  <si>
    <t xml:space="preserve">Mt. Ember Ruby Path B1F</t>
  </si>
  <si>
    <t xml:space="preserve">0x6901</t>
  </si>
  <si>
    <t xml:space="preserve">Mt. Ember Ruby Path B2F</t>
  </si>
  <si>
    <t xml:space="preserve">0x6A01</t>
  </si>
  <si>
    <t xml:space="preserve">Mt. Ember Ruby Path B3F</t>
  </si>
  <si>
    <t xml:space="preserve">0x6B01</t>
  </si>
  <si>
    <t xml:space="preserve">Mt. Ember Ruby Path B1F Stairs</t>
  </si>
  <si>
    <t xml:space="preserve">0x6C01</t>
  </si>
  <si>
    <t xml:space="preserve">Mt. Ember Ruby Path B2F Stairs</t>
  </si>
  <si>
    <t xml:space="preserve">0x6D01</t>
  </si>
  <si>
    <t xml:space="preserve">Three Island Berry Forest</t>
  </si>
  <si>
    <t xml:space="preserve">0x6E01</t>
  </si>
  <si>
    <t xml:space="preserve">Four Island Icefall Cave Entrance</t>
  </si>
  <si>
    <t xml:space="preserve">0x6F01</t>
  </si>
  <si>
    <t xml:space="preserve">Four Island Icefall Cave 1F</t>
  </si>
  <si>
    <t xml:space="preserve">0x7001</t>
  </si>
  <si>
    <t xml:space="preserve">Four Island Icefall Cave B1F</t>
  </si>
  <si>
    <t xml:space="preserve">0x7101</t>
  </si>
  <si>
    <t xml:space="preserve">Four Island Icefall Cave Back</t>
  </si>
  <si>
    <t xml:space="preserve">0x7201</t>
  </si>
  <si>
    <t xml:space="preserve">Five Island Rocket Warehouse</t>
  </si>
  <si>
    <t xml:space="preserve">0x7301</t>
  </si>
  <si>
    <t xml:space="preserve">Six Island Dotted Hole 1F</t>
  </si>
  <si>
    <t xml:space="preserve">0x7401</t>
  </si>
  <si>
    <t xml:space="preserve">Six Island Dotted Hole B1F</t>
  </si>
  <si>
    <t xml:space="preserve">0x7501</t>
  </si>
  <si>
    <t xml:space="preserve">Six Island Dotted Hole B2F</t>
  </si>
  <si>
    <t xml:space="preserve">0x7601</t>
  </si>
  <si>
    <t xml:space="preserve">Six Island Dotted Hole B3F</t>
  </si>
  <si>
    <t xml:space="preserve">0x7701</t>
  </si>
  <si>
    <t xml:space="preserve">Six Island Dotted Hole B4F</t>
  </si>
  <si>
    <t xml:space="preserve">0x7801</t>
  </si>
  <si>
    <t xml:space="preserve">Six Island Dotted Hole Sapphire Room</t>
  </si>
  <si>
    <t xml:space="preserve">0x7901</t>
  </si>
  <si>
    <t xml:space="preserve">Six Island Pattern Bush</t>
  </si>
  <si>
    <t xml:space="preserve">0x7A01</t>
  </si>
  <si>
    <t xml:space="preserve">Six Island Altering Cave</t>
  </si>
  <si>
    <t xml:space="preserve">0x0002</t>
  </si>
  <si>
    <t xml:space="preserve">Navel Rock Exterior</t>
  </si>
  <si>
    <t xml:space="preserve">0x0102</t>
  </si>
  <si>
    <t xml:space="preserve">Trainer Tower 1F</t>
  </si>
  <si>
    <t xml:space="preserve">0x0202</t>
  </si>
  <si>
    <t xml:space="preserve">Trainer Tower 2F</t>
  </si>
  <si>
    <t xml:space="preserve">0x0302</t>
  </si>
  <si>
    <t xml:space="preserve">Trainer Tower 3F</t>
  </si>
  <si>
    <t xml:space="preserve">0x0402</t>
  </si>
  <si>
    <t xml:space="preserve">Trainer Tower 4F</t>
  </si>
  <si>
    <t xml:space="preserve">0x0502</t>
  </si>
  <si>
    <t xml:space="preserve">Trainer Tower 5F</t>
  </si>
  <si>
    <t xml:space="preserve">0x0602</t>
  </si>
  <si>
    <t xml:space="preserve">Trainer Tower 6F</t>
  </si>
  <si>
    <t xml:space="preserve">0x0702</t>
  </si>
  <si>
    <t xml:space="preserve">Trainer Tower 7F</t>
  </si>
  <si>
    <t xml:space="preserve">0x0802</t>
  </si>
  <si>
    <t xml:space="preserve">Trainer Tower 8F</t>
  </si>
  <si>
    <t xml:space="preserve">0x0902</t>
  </si>
  <si>
    <t xml:space="preserve">Trainer Tower Roof</t>
  </si>
  <si>
    <t xml:space="preserve">0x0A02</t>
  </si>
  <si>
    <t xml:space="preserve">Trainer Tower Lobby</t>
  </si>
  <si>
    <t xml:space="preserve">0x0B02</t>
  </si>
  <si>
    <t xml:space="preserve">Trainer Tower Elevator</t>
  </si>
  <si>
    <t xml:space="preserve">0x0C02</t>
  </si>
  <si>
    <t xml:space="preserve">Five Island Lost Cave Entrance</t>
  </si>
  <si>
    <t xml:space="preserve">0x0D02</t>
  </si>
  <si>
    <t xml:space="preserve">Five Island Lost Cave Room 1</t>
  </si>
  <si>
    <t xml:space="preserve">0x0E02</t>
  </si>
  <si>
    <t xml:space="preserve">Five Island Lost Cave Room 2</t>
  </si>
  <si>
    <t xml:space="preserve">0x0F02</t>
  </si>
  <si>
    <t xml:space="preserve">Five Island Lost Cave Room 3</t>
  </si>
  <si>
    <t xml:space="preserve">0x1002</t>
  </si>
  <si>
    <t xml:space="preserve">Five Island Lost Cave Room 4</t>
  </si>
  <si>
    <t xml:space="preserve">0x1102</t>
  </si>
  <si>
    <t xml:space="preserve">Five Island Lost Cave Room 5</t>
  </si>
  <si>
    <t xml:space="preserve">0x1202</t>
  </si>
  <si>
    <t xml:space="preserve">Five Island Lost Cave Room 6</t>
  </si>
  <si>
    <t xml:space="preserve">0x1302</t>
  </si>
  <si>
    <t xml:space="preserve">Five Island Lost Cave Room 7</t>
  </si>
  <si>
    <t xml:space="preserve">0x1402</t>
  </si>
  <si>
    <t xml:space="preserve">Five Island Lost Cave Room 8</t>
  </si>
  <si>
    <t xml:space="preserve">0x1502</t>
  </si>
  <si>
    <t xml:space="preserve">Five Island Lost Cave Room 9</t>
  </si>
  <si>
    <t xml:space="preserve">0x1602</t>
  </si>
  <si>
    <t xml:space="preserve">Five Island Lost Cave Room 10</t>
  </si>
  <si>
    <t xml:space="preserve">0x1702</t>
  </si>
  <si>
    <t xml:space="preserve">Five Island Lost Cave Room 11</t>
  </si>
  <si>
    <t xml:space="preserve">0x1802</t>
  </si>
  <si>
    <t xml:space="preserve">Five Island Lost Cave Room 12</t>
  </si>
  <si>
    <t xml:space="preserve">0x1902</t>
  </si>
  <si>
    <t xml:space="preserve">Five Island Lost Cave Room 13</t>
  </si>
  <si>
    <t xml:space="preserve">0x1A02</t>
  </si>
  <si>
    <t xml:space="preserve">Five Island Lost Cave Room 14</t>
  </si>
  <si>
    <t xml:space="preserve">0x1B02</t>
  </si>
  <si>
    <t xml:space="preserve">Seven Island Tanoby Runis Monean Chamber</t>
  </si>
  <si>
    <t xml:space="preserve">0x1C02</t>
  </si>
  <si>
    <t xml:space="preserve">Seven Island Tanoby Runis Liptoo Chamber</t>
  </si>
  <si>
    <t xml:space="preserve">0x1D02</t>
  </si>
  <si>
    <t xml:space="preserve">Seven Island Tanoby Runis Weepth Chamber</t>
  </si>
  <si>
    <t xml:space="preserve">0x1E02</t>
  </si>
  <si>
    <t xml:space="preserve">Seven Island Tanoby Runis Dilford Chamber</t>
  </si>
  <si>
    <t xml:space="preserve">0x1F02</t>
  </si>
  <si>
    <t xml:space="preserve">Seven Island Tanoby Runis Sufib Chamber</t>
  </si>
  <si>
    <t xml:space="preserve">0x2002</t>
  </si>
  <si>
    <t xml:space="preserve">Seven Island Tanoby Runis Rixy Chamber</t>
  </si>
  <si>
    <t xml:space="preserve">0x2102</t>
  </si>
  <si>
    <t xml:space="preserve">Seven Island Tanoby Runis Viapois Chamber</t>
  </si>
  <si>
    <t xml:space="preserve">0x2202</t>
  </si>
  <si>
    <t xml:space="preserve">Three Island Dunsparce Tunnel</t>
  </si>
  <si>
    <t xml:space="preserve">0x2302</t>
  </si>
  <si>
    <t xml:space="preserve">Seven Island Sevault Canyon Tanoby Key</t>
  </si>
  <si>
    <t xml:space="preserve">0x2402</t>
  </si>
  <si>
    <t xml:space="preserve">Navel Rock 1F</t>
  </si>
  <si>
    <t xml:space="preserve">0x2502</t>
  </si>
  <si>
    <t xml:space="preserve">Navel Rock Summit</t>
  </si>
  <si>
    <t xml:space="preserve">0x2602</t>
  </si>
  <si>
    <t xml:space="preserve">Navel Rock Base</t>
  </si>
  <si>
    <t xml:space="preserve">0x2702</t>
  </si>
  <si>
    <t xml:space="preserve">Navel Rock Summit Path 2F</t>
  </si>
  <si>
    <t xml:space="preserve">0x2802</t>
  </si>
  <si>
    <t xml:space="preserve">Navel Rock Summit Path 3F</t>
  </si>
  <si>
    <t xml:space="preserve">0x2902</t>
  </si>
  <si>
    <t xml:space="preserve">Navel Rock Summit Path 4F</t>
  </si>
  <si>
    <t xml:space="preserve">0x2A02</t>
  </si>
  <si>
    <t xml:space="preserve">Navel Rock Summit Path 5F</t>
  </si>
  <si>
    <t xml:space="preserve">0x2B02</t>
  </si>
  <si>
    <t xml:space="preserve">Navel Rock Base Path B1F</t>
  </si>
  <si>
    <t xml:space="preserve">0x2C02</t>
  </si>
  <si>
    <t xml:space="preserve">Navel Rock Base Path B2F</t>
  </si>
  <si>
    <t xml:space="preserve">0x2D02</t>
  </si>
  <si>
    <t xml:space="preserve">Navel Rock Base Path B3F</t>
  </si>
  <si>
    <t xml:space="preserve">0x2E02</t>
  </si>
  <si>
    <t xml:space="preserve">Navel Rock Base Path B4F</t>
  </si>
  <si>
    <t xml:space="preserve">0x2F02</t>
  </si>
  <si>
    <t xml:space="preserve">Navel Rock Base Path B5F</t>
  </si>
  <si>
    <t xml:space="preserve">0x3002</t>
  </si>
  <si>
    <t xml:space="preserve">Navel Rock Base Path B6F</t>
  </si>
  <si>
    <t xml:space="preserve">0x3102</t>
  </si>
  <si>
    <t xml:space="preserve">Navel Rock Base Path B7F</t>
  </si>
  <si>
    <t xml:space="preserve">0x3202</t>
  </si>
  <si>
    <t xml:space="preserve">Navel Rock Base Path B8F</t>
  </si>
  <si>
    <t xml:space="preserve">0x3302</t>
  </si>
  <si>
    <t xml:space="preserve">Navel Rock Base Path B9F</t>
  </si>
  <si>
    <t xml:space="preserve">0x3402</t>
  </si>
  <si>
    <t xml:space="preserve">Navel Rock Base Path B10F</t>
  </si>
  <si>
    <t xml:space="preserve">0x3502</t>
  </si>
  <si>
    <t xml:space="preserve">Navel Rock Base Path B11F</t>
  </si>
  <si>
    <t xml:space="preserve">0x3602</t>
  </si>
  <si>
    <t xml:space="preserve">Navel Rock B1F</t>
  </si>
  <si>
    <t xml:space="preserve">0x3702</t>
  </si>
  <si>
    <t xml:space="preserve">Navel Rock Fork</t>
  </si>
  <si>
    <t xml:space="preserve">0x3802</t>
  </si>
  <si>
    <t xml:space="preserve">Birth Island Exterior</t>
  </si>
  <si>
    <t xml:space="preserve">0x3902</t>
  </si>
  <si>
    <t xml:space="preserve">One Island Kindle Road Ember Spa</t>
  </si>
  <si>
    <t xml:space="preserve">0x3A02</t>
  </si>
  <si>
    <t xml:space="preserve">Birth Island Harbor</t>
  </si>
  <si>
    <t xml:space="preserve">0x3B02</t>
  </si>
  <si>
    <t xml:space="preserve">Navel Rock Harbor</t>
  </si>
  <si>
    <t xml:space="preserve">0x0003</t>
  </si>
  <si>
    <t xml:space="preserve">Pallet Town</t>
  </si>
  <si>
    <t xml:space="preserve">0x0103</t>
  </si>
  <si>
    <t xml:space="preserve">Viridian City</t>
  </si>
  <si>
    <t xml:space="preserve">0x0203</t>
  </si>
  <si>
    <t xml:space="preserve">Pewter City</t>
  </si>
  <si>
    <t xml:space="preserve">0x0303</t>
  </si>
  <si>
    <t xml:space="preserve">Celurean City</t>
  </si>
  <si>
    <t xml:space="preserve">0x0403</t>
  </si>
  <si>
    <t xml:space="preserve">Lavender Town</t>
  </si>
  <si>
    <t xml:space="preserve">0x0503</t>
  </si>
  <si>
    <t xml:space="preserve">Vermilion City</t>
  </si>
  <si>
    <t xml:space="preserve">0x0603</t>
  </si>
  <si>
    <t xml:space="preserve">Celadon City</t>
  </si>
  <si>
    <t xml:space="preserve">0x0703</t>
  </si>
  <si>
    <t xml:space="preserve">Fuchsia City</t>
  </si>
  <si>
    <t xml:space="preserve">0x0803</t>
  </si>
  <si>
    <t xml:space="preserve">Cinnabar Island</t>
  </si>
  <si>
    <t xml:space="preserve">0x0903</t>
  </si>
  <si>
    <t xml:space="preserve">Indigo Plateau Exterior</t>
  </si>
  <si>
    <t xml:space="preserve">0x0A03</t>
  </si>
  <si>
    <t xml:space="preserve">Saffron City</t>
  </si>
  <si>
    <t xml:space="preserve">0x0B03</t>
  </si>
  <si>
    <t xml:space="preserve">Saffron City Connection</t>
  </si>
  <si>
    <t xml:space="preserve">0x0C03</t>
  </si>
  <si>
    <t xml:space="preserve">One Island</t>
  </si>
  <si>
    <t xml:space="preserve">0x0D03</t>
  </si>
  <si>
    <t xml:space="preserve">Two Island</t>
  </si>
  <si>
    <t xml:space="preserve">0x0E03</t>
  </si>
  <si>
    <t xml:space="preserve">Three Island</t>
  </si>
  <si>
    <t xml:space="preserve">0x0F03</t>
  </si>
  <si>
    <t xml:space="preserve">Four Island</t>
  </si>
  <si>
    <t xml:space="preserve">0x1003</t>
  </si>
  <si>
    <t xml:space="preserve">Five Island</t>
  </si>
  <si>
    <t xml:space="preserve">0x1103</t>
  </si>
  <si>
    <t xml:space="preserve">Seven Island</t>
  </si>
  <si>
    <t xml:space="preserve">0x1203</t>
  </si>
  <si>
    <t xml:space="preserve">Six Island</t>
  </si>
  <si>
    <t xml:space="preserve">0x1303</t>
  </si>
  <si>
    <t xml:space="preserve">Route 1</t>
  </si>
  <si>
    <t xml:space="preserve">0x1403</t>
  </si>
  <si>
    <t xml:space="preserve">Route 2</t>
  </si>
  <si>
    <t xml:space="preserve">0x1503</t>
  </si>
  <si>
    <t xml:space="preserve">Route 3</t>
  </si>
  <si>
    <t xml:space="preserve">0x1603</t>
  </si>
  <si>
    <t xml:space="preserve">Route 4</t>
  </si>
  <si>
    <t xml:space="preserve">0x1703</t>
  </si>
  <si>
    <t xml:space="preserve">Route 5</t>
  </si>
  <si>
    <t xml:space="preserve">0x1803</t>
  </si>
  <si>
    <t xml:space="preserve">Route 6</t>
  </si>
  <si>
    <t xml:space="preserve">0x1903</t>
  </si>
  <si>
    <t xml:space="preserve">Route 7</t>
  </si>
  <si>
    <t xml:space="preserve">0x1A03</t>
  </si>
  <si>
    <t xml:space="preserve">Route 8</t>
  </si>
  <si>
    <t xml:space="preserve">0x1B03</t>
  </si>
  <si>
    <t xml:space="preserve">Route 9</t>
  </si>
  <si>
    <t xml:space="preserve">0x1C03</t>
  </si>
  <si>
    <t xml:space="preserve">Route 10</t>
  </si>
  <si>
    <t xml:space="preserve">0x1D03</t>
  </si>
  <si>
    <t xml:space="preserve">Route 11</t>
  </si>
  <si>
    <t xml:space="preserve">0x1E03</t>
  </si>
  <si>
    <t xml:space="preserve">Route 12</t>
  </si>
  <si>
    <t xml:space="preserve">0x1F03</t>
  </si>
  <si>
    <t xml:space="preserve">Route 13</t>
  </si>
  <si>
    <t xml:space="preserve">0x2003</t>
  </si>
  <si>
    <t xml:space="preserve">Route 14</t>
  </si>
  <si>
    <t xml:space="preserve">0x2103</t>
  </si>
  <si>
    <t xml:space="preserve">Route 15</t>
  </si>
  <si>
    <t xml:space="preserve">0x2203</t>
  </si>
  <si>
    <t xml:space="preserve">Route 16</t>
  </si>
  <si>
    <t xml:space="preserve">0x2303</t>
  </si>
  <si>
    <t xml:space="preserve">Route 17</t>
  </si>
  <si>
    <t xml:space="preserve">0x2403</t>
  </si>
  <si>
    <t xml:space="preserve">Route 18</t>
  </si>
  <si>
    <t xml:space="preserve">0x2503</t>
  </si>
  <si>
    <t xml:space="preserve">Route 19</t>
  </si>
  <si>
    <t xml:space="preserve">0x2603</t>
  </si>
  <si>
    <t xml:space="preserve">Route 20</t>
  </si>
  <si>
    <t xml:space="preserve">0x2703</t>
  </si>
  <si>
    <t xml:space="preserve">Route 21 North</t>
  </si>
  <si>
    <t xml:space="preserve">0x2803</t>
  </si>
  <si>
    <t xml:space="preserve">Route 21 South</t>
  </si>
  <si>
    <t xml:space="preserve">0x2903</t>
  </si>
  <si>
    <t xml:space="preserve">Route 22</t>
  </si>
  <si>
    <t xml:space="preserve">0x2A03</t>
  </si>
  <si>
    <t xml:space="preserve">Route 23</t>
  </si>
  <si>
    <t xml:space="preserve">0x2B03</t>
  </si>
  <si>
    <t xml:space="preserve">Route 24</t>
  </si>
  <si>
    <t xml:space="preserve">0x2C03</t>
  </si>
  <si>
    <t xml:space="preserve">Route 25</t>
  </si>
  <si>
    <t xml:space="preserve">0x2D03</t>
  </si>
  <si>
    <t xml:space="preserve">One Island Kindle Road</t>
  </si>
  <si>
    <t xml:space="preserve">0x2E03</t>
  </si>
  <si>
    <t xml:space="preserve">One Island Treasure Beach</t>
  </si>
  <si>
    <t xml:space="preserve">0x2F03</t>
  </si>
  <si>
    <t xml:space="preserve">Two Island Cape Brink</t>
  </si>
  <si>
    <t xml:space="preserve">0x3003</t>
  </si>
  <si>
    <t xml:space="preserve">Three Island Bond Bridge</t>
  </si>
  <si>
    <t xml:space="preserve">0x3103</t>
  </si>
  <si>
    <t xml:space="preserve">Three Island Port</t>
  </si>
  <si>
    <t xml:space="preserve">0x3203</t>
  </si>
  <si>
    <t xml:space="preserve">Prototype Sevii Isle 6</t>
  </si>
  <si>
    <t xml:space="preserve">0x3303</t>
  </si>
  <si>
    <t xml:space="preserve">Prototype Sevii Isle 7</t>
  </si>
  <si>
    <t xml:space="preserve">0x3403</t>
  </si>
  <si>
    <t xml:space="preserve">Prototype Sevii Isle 8</t>
  </si>
  <si>
    <t xml:space="preserve">0x3503</t>
  </si>
  <si>
    <t xml:space="preserve">Prototype Sevii Isle 9</t>
  </si>
  <si>
    <t xml:space="preserve">0x3603</t>
  </si>
  <si>
    <t xml:space="preserve">Five Island Resort Gorgeous</t>
  </si>
  <si>
    <t xml:space="preserve">0x3703</t>
  </si>
  <si>
    <t xml:space="preserve">Five Island Water Labyrinth</t>
  </si>
  <si>
    <t xml:space="preserve">0x3803</t>
  </si>
  <si>
    <t xml:space="preserve">Five Island Meadow</t>
  </si>
  <si>
    <t xml:space="preserve">0x3903</t>
  </si>
  <si>
    <t xml:space="preserve">Five Island Memorial Pillar</t>
  </si>
  <si>
    <t xml:space="preserve">0x3A03</t>
  </si>
  <si>
    <t xml:space="preserve">Six Island Outcast Island</t>
  </si>
  <si>
    <t xml:space="preserve">0x3B03</t>
  </si>
  <si>
    <t xml:space="preserve">Six Island Green Path</t>
  </si>
  <si>
    <t xml:space="preserve">0x3C03</t>
  </si>
  <si>
    <t xml:space="preserve">Six Island Water Path</t>
  </si>
  <si>
    <t xml:space="preserve">0x3D03</t>
  </si>
  <si>
    <t xml:space="preserve">Six Island Ruin Valley</t>
  </si>
  <si>
    <t xml:space="preserve">0x3E03</t>
  </si>
  <si>
    <t xml:space="preserve">Seven Island Trainer Tower</t>
  </si>
  <si>
    <t xml:space="preserve">0x3F03</t>
  </si>
  <si>
    <t xml:space="preserve">Seven Island Sevault Canyon Entrance</t>
  </si>
  <si>
    <t xml:space="preserve">0x4003</t>
  </si>
  <si>
    <t xml:space="preserve">Seven Island Sevault Canyon</t>
  </si>
  <si>
    <t xml:space="preserve">0x4103</t>
  </si>
  <si>
    <t xml:space="preserve">Seven Island Tanoby Ruins</t>
  </si>
  <si>
    <t xml:space="preserve">0x0004</t>
  </si>
  <si>
    <t xml:space="preserve">Pallet Town Player's House 1F</t>
  </si>
  <si>
    <t xml:space="preserve">0x0104</t>
  </si>
  <si>
    <t xml:space="preserve">Pallet Town Player's House 2F</t>
  </si>
  <si>
    <t xml:space="preserve">0x0204</t>
  </si>
  <si>
    <t xml:space="preserve">Pallet Town Rival's House</t>
  </si>
  <si>
    <t xml:space="preserve">0x0304</t>
  </si>
  <si>
    <t xml:space="preserve">Pallet Town Professor Oak's Lab</t>
  </si>
  <si>
    <t xml:space="preserve">0x0005</t>
  </si>
  <si>
    <t xml:space="preserve">Viridian City House 1</t>
  </si>
  <si>
    <t xml:space="preserve">0x0105</t>
  </si>
  <si>
    <t xml:space="preserve">Viridian City Gym</t>
  </si>
  <si>
    <t xml:space="preserve">0x0205</t>
  </si>
  <si>
    <t xml:space="preserve">Viridian City House 2</t>
  </si>
  <si>
    <t xml:space="preserve">0x0305</t>
  </si>
  <si>
    <t xml:space="preserve">Viridian City Mart</t>
  </si>
  <si>
    <t xml:space="preserve">0x0405</t>
  </si>
  <si>
    <t xml:space="preserve">Viridian City Pokémon Center 1F</t>
  </si>
  <si>
    <t xml:space="preserve">0x0505</t>
  </si>
  <si>
    <t xml:space="preserve">Viridian City Pokémon Center 2F</t>
  </si>
  <si>
    <t xml:space="preserve">0x0006</t>
  </si>
  <si>
    <t xml:space="preserve">Pewter City Museum 1F</t>
  </si>
  <si>
    <t xml:space="preserve">0x0106</t>
  </si>
  <si>
    <t xml:space="preserve">Pewter City Museum 2F</t>
  </si>
  <si>
    <t xml:space="preserve">0x0206</t>
  </si>
  <si>
    <t xml:space="preserve">Pewter City Gym</t>
  </si>
  <si>
    <t xml:space="preserve">0x0306</t>
  </si>
  <si>
    <t xml:space="preserve">Pewter City Mart</t>
  </si>
  <si>
    <t xml:space="preserve">0x0406</t>
  </si>
  <si>
    <t xml:space="preserve">Pewter City House 1</t>
  </si>
  <si>
    <t xml:space="preserve">0x0506</t>
  </si>
  <si>
    <t xml:space="preserve">Pewter City Pokémon Center 1F</t>
  </si>
  <si>
    <t xml:space="preserve">0x0606</t>
  </si>
  <si>
    <t xml:space="preserve">Pewter City Pokémon Center 2F</t>
  </si>
  <si>
    <t xml:space="preserve">0x0706</t>
  </si>
  <si>
    <t xml:space="preserve">Pewter City House 2</t>
  </si>
  <si>
    <t xml:space="preserve">0x0007</t>
  </si>
  <si>
    <t xml:space="preserve">Cerulean City House 1</t>
  </si>
  <si>
    <t xml:space="preserve">0x0107</t>
  </si>
  <si>
    <t xml:space="preserve">Cerulean City House 2</t>
  </si>
  <si>
    <t xml:space="preserve">0x0207</t>
  </si>
  <si>
    <t xml:space="preserve">Cerulean City House 3</t>
  </si>
  <si>
    <t xml:space="preserve">0x0307</t>
  </si>
  <si>
    <t xml:space="preserve">Cerulean City Pokémon Center 1F</t>
  </si>
  <si>
    <t xml:space="preserve">0x0407</t>
  </si>
  <si>
    <t xml:space="preserve">Cerulean City Pokémon Center 2F</t>
  </si>
  <si>
    <t xml:space="preserve">0x0507</t>
  </si>
  <si>
    <t xml:space="preserve">Cerulean City Gym</t>
  </si>
  <si>
    <t xml:space="preserve">0x0607</t>
  </si>
  <si>
    <t xml:space="preserve">Cerulean City Bike Shop</t>
  </si>
  <si>
    <t xml:space="preserve">0x0707</t>
  </si>
  <si>
    <t xml:space="preserve">Cerulean City Mart</t>
  </si>
  <si>
    <t xml:space="preserve">0x0807</t>
  </si>
  <si>
    <t xml:space="preserve">Cerulean City House 4</t>
  </si>
  <si>
    <t xml:space="preserve">0x0907</t>
  </si>
  <si>
    <t xml:space="preserve">Cerulean City House 5</t>
  </si>
  <si>
    <t xml:space="preserve">0x0008</t>
  </si>
  <si>
    <t xml:space="preserve">Lavender Town Pokémon Center 1F</t>
  </si>
  <si>
    <t xml:space="preserve">0x0108</t>
  </si>
  <si>
    <t xml:space="preserve">Lavender Town Pokémon Center 2F</t>
  </si>
  <si>
    <t xml:space="preserve">0x0208</t>
  </si>
  <si>
    <t xml:space="preserve">Lavender Town Volunteer Pokémon House</t>
  </si>
  <si>
    <t xml:space="preserve">0x0308</t>
  </si>
  <si>
    <t xml:space="preserve">Lavender Town House 1</t>
  </si>
  <si>
    <t xml:space="preserve">0x0408</t>
  </si>
  <si>
    <t xml:space="preserve">Lavender Town House 2</t>
  </si>
  <si>
    <t xml:space="preserve">0x0508</t>
  </si>
  <si>
    <t xml:space="preserve">Lavender Town Art</t>
  </si>
  <si>
    <t xml:space="preserve">0x0009</t>
  </si>
  <si>
    <t xml:space="preserve">Vermilion City House 1</t>
  </si>
  <si>
    <t xml:space="preserve">0x0109</t>
  </si>
  <si>
    <t xml:space="preserve">Vermilion City Pokémon Center 1F</t>
  </si>
  <si>
    <t xml:space="preserve">0x0209</t>
  </si>
  <si>
    <t xml:space="preserve">Vermilion City Pokémon Center 2F</t>
  </si>
  <si>
    <t xml:space="preserve">0x0309</t>
  </si>
  <si>
    <t xml:space="preserve">Vermilion City Pokémon Fan Club</t>
  </si>
  <si>
    <t xml:space="preserve">0x0409</t>
  </si>
  <si>
    <t xml:space="preserve">Vermilion City House 2</t>
  </si>
  <si>
    <t xml:space="preserve">0x0509</t>
  </si>
  <si>
    <t xml:space="preserve">Vermilion City Mart</t>
  </si>
  <si>
    <t xml:space="preserve">0x0609</t>
  </si>
  <si>
    <t xml:space="preserve">Vermilion City Gym</t>
  </si>
  <si>
    <t xml:space="preserve">0x0709</t>
  </si>
  <si>
    <t xml:space="preserve">Vermilion City House 3</t>
  </si>
  <si>
    <t xml:space="preserve">0x000A</t>
  </si>
  <si>
    <t xml:space="preserve">Celadon City Department Store 1F</t>
  </si>
  <si>
    <t xml:space="preserve">0x010A</t>
  </si>
  <si>
    <t xml:space="preserve">Celadon City Department Store 2F</t>
  </si>
  <si>
    <t xml:space="preserve">0x020A</t>
  </si>
  <si>
    <t xml:space="preserve">Celadon City Department Store 3F</t>
  </si>
  <si>
    <t xml:space="preserve">0x030A</t>
  </si>
  <si>
    <t xml:space="preserve">Celadon City Department Store 4F</t>
  </si>
  <si>
    <t xml:space="preserve">0x040A</t>
  </si>
  <si>
    <t xml:space="preserve">Celadon City Department Store 5F</t>
  </si>
  <si>
    <t xml:space="preserve">0x050A</t>
  </si>
  <si>
    <t xml:space="preserve">Celadon City Department Store Roof</t>
  </si>
  <si>
    <t xml:space="preserve">0x060A</t>
  </si>
  <si>
    <t xml:space="preserve">Celadon City Department Store Elevator</t>
  </si>
  <si>
    <t xml:space="preserve">0x070A</t>
  </si>
  <si>
    <t xml:space="preserve">Celadon City Condominiums 1F</t>
  </si>
  <si>
    <t xml:space="preserve">0x080A</t>
  </si>
  <si>
    <t xml:space="preserve">Celadon City Condominiums 2F</t>
  </si>
  <si>
    <t xml:space="preserve">0x090A</t>
  </si>
  <si>
    <t xml:space="preserve">Celadon City Condominiums 3F</t>
  </si>
  <si>
    <t xml:space="preserve">0x0A0A</t>
  </si>
  <si>
    <t xml:space="preserve">Celadon City Condominiums Roof</t>
  </si>
  <si>
    <t xml:space="preserve">0x0B0A</t>
  </si>
  <si>
    <t xml:space="preserve">Celadon City Condominiums Roof Room</t>
  </si>
  <si>
    <t xml:space="preserve">0x0C0A</t>
  </si>
  <si>
    <t xml:space="preserve">Celadon City Pokémon Center 1F</t>
  </si>
  <si>
    <t xml:space="preserve">0x0D0A</t>
  </si>
  <si>
    <t xml:space="preserve">Celadon City Pokémon Center 2F</t>
  </si>
  <si>
    <t xml:space="preserve">0x0E0A</t>
  </si>
  <si>
    <t xml:space="preserve">Celadon City Game Corner</t>
  </si>
  <si>
    <t xml:space="preserve">0x0F0A</t>
  </si>
  <si>
    <t xml:space="preserve">Celadon City Game Corner Prize Room</t>
  </si>
  <si>
    <t xml:space="preserve">0x100A</t>
  </si>
  <si>
    <t xml:space="preserve">Celadon City Gym</t>
  </si>
  <si>
    <t xml:space="preserve">0x110A</t>
  </si>
  <si>
    <t xml:space="preserve">Celadon City Restaurant</t>
  </si>
  <si>
    <t xml:space="preserve">0x120A</t>
  </si>
  <si>
    <t xml:space="preserve">Celadon City House 1</t>
  </si>
  <si>
    <t xml:space="preserve">0x130A</t>
  </si>
  <si>
    <t xml:space="preserve">Celadon City Hotel</t>
  </si>
  <si>
    <t xml:space="preserve">0x000B</t>
  </si>
  <si>
    <t xml:space="preserve">Fuchsia City Safari Zone Entrance</t>
  </si>
  <si>
    <t xml:space="preserve">0x010B</t>
  </si>
  <si>
    <t xml:space="preserve">Fuchsia City Mart</t>
  </si>
  <si>
    <t xml:space="preserve">0x020B</t>
  </si>
  <si>
    <t xml:space="preserve">Fuchsia City Safari Zone Office</t>
  </si>
  <si>
    <t xml:space="preserve">0x030B</t>
  </si>
  <si>
    <t xml:space="preserve">Fuchsia City Gym</t>
  </si>
  <si>
    <t xml:space="preserve">0x040B</t>
  </si>
  <si>
    <t xml:space="preserve">Fuchsia City House 1</t>
  </si>
  <si>
    <t xml:space="preserve">0x050B</t>
  </si>
  <si>
    <t xml:space="preserve">Fuchsia City Pokémon Center 1F</t>
  </si>
  <si>
    <t xml:space="preserve">0x060B</t>
  </si>
  <si>
    <t xml:space="preserve">Fuchsia City Pokémon Center 2F</t>
  </si>
  <si>
    <t xml:space="preserve">0x070B</t>
  </si>
  <si>
    <t xml:space="preserve">Fuchsia City Wardens House</t>
  </si>
  <si>
    <t xml:space="preserve">0x080B</t>
  </si>
  <si>
    <t xml:space="preserve">Fuchsia City House 2</t>
  </si>
  <si>
    <t xml:space="preserve">0x090B</t>
  </si>
  <si>
    <t xml:space="preserve">Fuchsia City House 3</t>
  </si>
  <si>
    <t xml:space="preserve">0x000C</t>
  </si>
  <si>
    <t xml:space="preserve">Cinnabar Island Gym</t>
  </si>
  <si>
    <t xml:space="preserve">0x010C</t>
  </si>
  <si>
    <t xml:space="preserve">Cinnabar Island Pokémon Lab Entrance</t>
  </si>
  <si>
    <t xml:space="preserve">0x020C</t>
  </si>
  <si>
    <t xml:space="preserve">Cinnabar Island Pokémon Lab Lounge</t>
  </si>
  <si>
    <t xml:space="preserve">0x030C</t>
  </si>
  <si>
    <t xml:space="preserve">Cinnabar Island Pokémon Lab Research Room</t>
  </si>
  <si>
    <t xml:space="preserve">0x040C</t>
  </si>
  <si>
    <t xml:space="preserve">Cinnabar Island Pokémon Lab Experiment Room</t>
  </si>
  <si>
    <t xml:space="preserve">0x050C</t>
  </si>
  <si>
    <t xml:space="preserve">Cinnabar Island Pokémon Center 1F</t>
  </si>
  <si>
    <t xml:space="preserve">0x060C</t>
  </si>
  <si>
    <t xml:space="preserve">Cinnabar Island Pokémon Center 2F</t>
  </si>
  <si>
    <t xml:space="preserve">0x070C</t>
  </si>
  <si>
    <t xml:space="preserve">Cinnabar Island Mart</t>
  </si>
  <si>
    <t xml:space="preserve">0x000D</t>
  </si>
  <si>
    <t xml:space="preserve">Indigo Plateau Pokémon Center 1F</t>
  </si>
  <si>
    <t xml:space="preserve">0x010D</t>
  </si>
  <si>
    <t xml:space="preserve">Indigo Plateau Pokémon Center 2F</t>
  </si>
  <si>
    <t xml:space="preserve">0x000E</t>
  </si>
  <si>
    <t xml:space="preserve">Saffron City Copycats House 1F</t>
  </si>
  <si>
    <t xml:space="preserve">0x010E</t>
  </si>
  <si>
    <t xml:space="preserve">Saffron City Copycats House 2F</t>
  </si>
  <si>
    <t xml:space="preserve">0x020E</t>
  </si>
  <si>
    <t xml:space="preserve">Saffron City Dojo</t>
  </si>
  <si>
    <t xml:space="preserve">0x030E</t>
  </si>
  <si>
    <t xml:space="preserve">Saffron City Gym</t>
  </si>
  <si>
    <t xml:space="preserve">0x040E</t>
  </si>
  <si>
    <t xml:space="preserve">Saffron City House</t>
  </si>
  <si>
    <t xml:space="preserve">0x050E</t>
  </si>
  <si>
    <t xml:space="preserve">Saffron City Mart</t>
  </si>
  <si>
    <t xml:space="preserve">0x060E</t>
  </si>
  <si>
    <t xml:space="preserve">Saffron City Pokémon Center 1F</t>
  </si>
  <si>
    <t xml:space="preserve">0x070E</t>
  </si>
  <si>
    <t xml:space="preserve">Saffron City Pokémon Center 2F</t>
  </si>
  <si>
    <t xml:space="preserve">0x080E</t>
  </si>
  <si>
    <t xml:space="preserve">Saffron City Mr. Psychics House</t>
  </si>
  <si>
    <t xml:space="preserve">0x090E</t>
  </si>
  <si>
    <t xml:space="preserve">Saffron City Pokémon Trainer Fan Club</t>
  </si>
  <si>
    <t xml:space="preserve">0x000F</t>
  </si>
  <si>
    <t xml:space="preserve">Rouse 2 Viridian Forest South Entrance</t>
  </si>
  <si>
    <t xml:space="preserve">0x010F</t>
  </si>
  <si>
    <t xml:space="preserve">Rouse 2 House</t>
  </si>
  <si>
    <t xml:space="preserve">0x020F</t>
  </si>
  <si>
    <t xml:space="preserve">Rouse 2 East Building</t>
  </si>
  <si>
    <t xml:space="preserve">0x030F</t>
  </si>
  <si>
    <t xml:space="preserve">Rouse 2 Viridian Forest North Entrance</t>
  </si>
  <si>
    <t xml:space="preserve">0x0010</t>
  </si>
  <si>
    <t xml:space="preserve">Route 4 Pokémon Center 1F</t>
  </si>
  <si>
    <t xml:space="preserve">0x0110</t>
  </si>
  <si>
    <t xml:space="preserve">Route 4 Pokémon Center 2F</t>
  </si>
  <si>
    <t xml:space="preserve">0x0011</t>
  </si>
  <si>
    <t xml:space="preserve">Route 5 Pokémon Day Care</t>
  </si>
  <si>
    <t xml:space="preserve">0x0111</t>
  </si>
  <si>
    <t xml:space="preserve">Route 5 South Entrance</t>
  </si>
  <si>
    <t xml:space="preserve">0x0012</t>
  </si>
  <si>
    <t xml:space="preserve">Route 6 North Entrance</t>
  </si>
  <si>
    <t xml:space="preserve">0x0112</t>
  </si>
  <si>
    <t xml:space="preserve">Route 6 Unused House</t>
  </si>
  <si>
    <t xml:space="preserve">0x0013</t>
  </si>
  <si>
    <t xml:space="preserve">Route 7 East Entrance</t>
  </si>
  <si>
    <t xml:space="preserve">0x0014</t>
  </si>
  <si>
    <t xml:space="preserve">Route 8 West Entrance</t>
  </si>
  <si>
    <t xml:space="preserve">0x0015</t>
  </si>
  <si>
    <t xml:space="preserve">Route 10 Pokémon Center 1F</t>
  </si>
  <si>
    <t xml:space="preserve">0x0115</t>
  </si>
  <si>
    <t xml:space="preserve">Route 10 Pokémon Center 2F</t>
  </si>
  <si>
    <t xml:space="preserve">0x0016</t>
  </si>
  <si>
    <t xml:space="preserve">Route 11 East Entrance 1F</t>
  </si>
  <si>
    <t xml:space="preserve">0x0116</t>
  </si>
  <si>
    <t xml:space="preserve">Route 11 East Entrance 2F</t>
  </si>
  <si>
    <t xml:space="preserve">0x0017</t>
  </si>
  <si>
    <t xml:space="preserve">Route 12 North Entrance 1F</t>
  </si>
  <si>
    <t xml:space="preserve">0x0117</t>
  </si>
  <si>
    <t xml:space="preserve">Route 12 North Entrance 2F</t>
  </si>
  <si>
    <t xml:space="preserve">0x0217</t>
  </si>
  <si>
    <t xml:space="preserve">Route 12 Fishing House</t>
  </si>
  <si>
    <t xml:space="preserve">0x0018</t>
  </si>
  <si>
    <t xml:space="preserve">Route 15 West Entrance 1F</t>
  </si>
  <si>
    <t xml:space="preserve">0x0118</t>
  </si>
  <si>
    <t xml:space="preserve">Route 15 West Entrance 2F</t>
  </si>
  <si>
    <t xml:space="preserve">0x0019</t>
  </si>
  <si>
    <t xml:space="preserve">Route 16 House</t>
  </si>
  <si>
    <t xml:space="preserve">0x0119</t>
  </si>
  <si>
    <t xml:space="preserve">Route 16 North Entrance 1F</t>
  </si>
  <si>
    <t xml:space="preserve">0x0219</t>
  </si>
  <si>
    <t xml:space="preserve">Route 16 North Entrance 2F</t>
  </si>
  <si>
    <t xml:space="preserve">0x001A</t>
  </si>
  <si>
    <t xml:space="preserve">Route 18 East Entrance 1F</t>
  </si>
  <si>
    <t xml:space="preserve">0x011A</t>
  </si>
  <si>
    <t xml:space="preserve">Route 18 East Entrance 2F</t>
  </si>
  <si>
    <t xml:space="preserve">0x001B</t>
  </si>
  <si>
    <t xml:space="preserve">Route 19 Unused House</t>
  </si>
  <si>
    <t xml:space="preserve">0x001C</t>
  </si>
  <si>
    <t xml:space="preserve">Route 22 North Entrance</t>
  </si>
  <si>
    <t xml:space="preserve">0x001D</t>
  </si>
  <si>
    <t xml:space="preserve">Route 23 Unused House</t>
  </si>
  <si>
    <t xml:space="preserve">0x001E</t>
  </si>
  <si>
    <t xml:space="preserve">Route 25 Sea Cottage</t>
  </si>
  <si>
    <t xml:space="preserve">0x001F</t>
  </si>
  <si>
    <t xml:space="preserve">Seven Island House Room 1</t>
  </si>
  <si>
    <t xml:space="preserve">0x011F</t>
  </si>
  <si>
    <t xml:space="preserve">Seven Island House Room 2</t>
  </si>
  <si>
    <t xml:space="preserve">0x021F</t>
  </si>
  <si>
    <t xml:space="preserve">Seven Island Mart</t>
  </si>
  <si>
    <t xml:space="preserve">0x031F</t>
  </si>
  <si>
    <t xml:space="preserve">Seven Island Pokémon Center 1F</t>
  </si>
  <si>
    <t xml:space="preserve">0x041F</t>
  </si>
  <si>
    <t xml:space="preserve">Seven Island Pokémon Center 2F</t>
  </si>
  <si>
    <t xml:space="preserve">0x051F</t>
  </si>
  <si>
    <t xml:space="preserve">Seven Island Unused House</t>
  </si>
  <si>
    <t xml:space="preserve">0x061F</t>
  </si>
  <si>
    <t xml:space="preserve">Seven Island Harbor</t>
  </si>
  <si>
    <t xml:space="preserve">0x0020</t>
  </si>
  <si>
    <t xml:space="preserve">One Island Pokémon Center 1F</t>
  </si>
  <si>
    <t xml:space="preserve">0x0120</t>
  </si>
  <si>
    <t xml:space="preserve">One Island Pokémon Center 2F</t>
  </si>
  <si>
    <t xml:space="preserve">0x0220</t>
  </si>
  <si>
    <t xml:space="preserve">One Island House 1</t>
  </si>
  <si>
    <t xml:space="preserve">0x0320</t>
  </si>
  <si>
    <t xml:space="preserve">0x0420</t>
  </si>
  <si>
    <t xml:space="preserve">One Island Harbor</t>
  </si>
  <si>
    <t xml:space="preserve">0x0021</t>
  </si>
  <si>
    <t xml:space="preserve">Two Island Joyful Game Corner</t>
  </si>
  <si>
    <t xml:space="preserve">0x0121</t>
  </si>
  <si>
    <t xml:space="preserve">Two Island House</t>
  </si>
  <si>
    <t xml:space="preserve">0x0221</t>
  </si>
  <si>
    <t xml:space="preserve">Two Island Pokémon Center 1F</t>
  </si>
  <si>
    <t xml:space="preserve">0x0321</t>
  </si>
  <si>
    <t xml:space="preserve">Two Island Pokémon Center 2F</t>
  </si>
  <si>
    <t xml:space="preserve">0x0421</t>
  </si>
  <si>
    <t xml:space="preserve">Two Island Harbor</t>
  </si>
  <si>
    <t xml:space="preserve">0x0022</t>
  </si>
  <si>
    <t xml:space="preserve">Three Islands House 1</t>
  </si>
  <si>
    <t xml:space="preserve">0x0122</t>
  </si>
  <si>
    <t xml:space="preserve">Three Islands Pokémon Center 1F</t>
  </si>
  <si>
    <t xml:space="preserve">0x0222</t>
  </si>
  <si>
    <t xml:space="preserve">0x0322</t>
  </si>
  <si>
    <t xml:space="preserve">Three Islands Mart</t>
  </si>
  <si>
    <t xml:space="preserve">0x0422</t>
  </si>
  <si>
    <t xml:space="preserve">Three Islands House 2</t>
  </si>
  <si>
    <t xml:space="preserve">0x0522</t>
  </si>
  <si>
    <t xml:space="preserve">Three Islands House 3</t>
  </si>
  <si>
    <t xml:space="preserve">0x0622</t>
  </si>
  <si>
    <t xml:space="preserve">Three Islands House 4</t>
  </si>
  <si>
    <t xml:space="preserve">0x0722</t>
  </si>
  <si>
    <t xml:space="preserve">Three Islands House 5</t>
  </si>
  <si>
    <t xml:space="preserve">0x0023</t>
  </si>
  <si>
    <t xml:space="preserve">Four Island Pokémon Day Care</t>
  </si>
  <si>
    <t xml:space="preserve">0x0123</t>
  </si>
  <si>
    <t xml:space="preserve">Four Island Pokémon Center 1F</t>
  </si>
  <si>
    <t xml:space="preserve">0x0223</t>
  </si>
  <si>
    <t xml:space="preserve">0x0323</t>
  </si>
  <si>
    <t xml:space="preserve">Four Island House 1</t>
  </si>
  <si>
    <t xml:space="preserve">0x0423</t>
  </si>
  <si>
    <t xml:space="preserve">Four Island Loreleis House</t>
  </si>
  <si>
    <t xml:space="preserve">0x0523</t>
  </si>
  <si>
    <t xml:space="preserve">Four Island Harbor</t>
  </si>
  <si>
    <t xml:space="preserve">0x0623</t>
  </si>
  <si>
    <t xml:space="preserve">Four Island House 2</t>
  </si>
  <si>
    <t xml:space="preserve">0x0723</t>
  </si>
  <si>
    <t xml:space="preserve">Four Island Mart</t>
  </si>
  <si>
    <t xml:space="preserve">0x0024</t>
  </si>
  <si>
    <t xml:space="preserve">Five Island Pokémon Center 1F</t>
  </si>
  <si>
    <t xml:space="preserve">0x0124</t>
  </si>
  <si>
    <t xml:space="preserve">Five Island Pokémon Center 2F</t>
  </si>
  <si>
    <t xml:space="preserve">0x0224</t>
  </si>
  <si>
    <t xml:space="preserve">Five Island Harbor</t>
  </si>
  <si>
    <t xml:space="preserve">0x0324</t>
  </si>
  <si>
    <t xml:space="preserve">Five Island House 1</t>
  </si>
  <si>
    <t xml:space="preserve">0x0424</t>
  </si>
  <si>
    <t xml:space="preserve">Five Island House 2</t>
  </si>
  <si>
    <t xml:space="preserve">0x0025</t>
  </si>
  <si>
    <t xml:space="preserve">Six Island Pokémon Center 1F</t>
  </si>
  <si>
    <t xml:space="preserve">0x0125</t>
  </si>
  <si>
    <t xml:space="preserve">Six Island Pokémon Center 2F</t>
  </si>
  <si>
    <t xml:space="preserve">0x0225</t>
  </si>
  <si>
    <t xml:space="preserve">Six Island Harbor</t>
  </si>
  <si>
    <t xml:space="preserve">0x0325</t>
  </si>
  <si>
    <t xml:space="preserve">Six Island House</t>
  </si>
  <si>
    <t xml:space="preserve">0x0425</t>
  </si>
  <si>
    <t xml:space="preserve">Six Island Mart</t>
  </si>
  <si>
    <t xml:space="preserve">0x0026</t>
  </si>
  <si>
    <t xml:space="preserve">Three Islands Harbor</t>
  </si>
  <si>
    <t xml:space="preserve">0x0027</t>
  </si>
  <si>
    <t xml:space="preserve">Five Island Resort Gorgeous House</t>
  </si>
  <si>
    <t xml:space="preserve">0x0028</t>
  </si>
  <si>
    <t xml:space="preserve">Two Island Cape Brink House</t>
  </si>
  <si>
    <t xml:space="preserve">0x0029</t>
  </si>
  <si>
    <t xml:space="preserve">Six Island Water Path House 1</t>
  </si>
  <si>
    <t xml:space="preserve">0x0129</t>
  </si>
  <si>
    <t xml:space="preserve">Six Island Water Path House 2</t>
  </si>
  <si>
    <t xml:space="preserve">0x002A</t>
  </si>
  <si>
    <t xml:space="preserve">Seven Island Sevault Canyon House</t>
  </si>
  <si>
    <t xml:space="preserve">+2, 27, 0, &lt;3CEB98&gt;, &lt;null&gt;, &lt;null&gt;, &lt;null&gt;</t>
  </si>
  <si>
    <t xml:space="preserve"> &lt;3CEB98&gt;</t>
  </si>
  <si>
    <t xml:space="preserve"> &lt;null&gt;</t>
  </si>
  <si>
    <t xml:space="preserve">+2, 28, 0, &lt;3CEBD0&gt;, &lt;null&gt;, &lt;null&gt;, &lt;null&gt;</t>
  </si>
  <si>
    <t xml:space="preserve"> &lt;3CEBD0&gt;</t>
  </si>
  <si>
    <t xml:space="preserve">+2, 29, 0, &lt;3CEC08&gt;, &lt;null&gt;, &lt;null&gt;, &lt;null&gt;</t>
  </si>
  <si>
    <t xml:space="preserve"> &lt;3CEC08&gt;</t>
  </si>
  <si>
    <t xml:space="preserve">+2, 30, 0, &lt;3CEC40&gt;, &lt;null&gt;, &lt;null&gt;, &lt;null&gt;</t>
  </si>
  <si>
    <t xml:space="preserve"> &lt;3CEC40&gt;</t>
  </si>
  <si>
    <t xml:space="preserve">+2, 31, 0, &lt;3CEC78&gt;, &lt;null&gt;, &lt;null&gt;, &lt;null&gt;</t>
  </si>
  <si>
    <t xml:space="preserve"> &lt;3CEC78&gt;</t>
  </si>
  <si>
    <t xml:space="preserve">+2, 32, 0, &lt;3CECB0&gt;, &lt;null&gt;, &lt;null&gt;, &lt;null&gt;</t>
  </si>
  <si>
    <t xml:space="preserve"> &lt;3CECB0&gt;</t>
  </si>
  <si>
    <t xml:space="preserve">+2, 33, 0, &lt;3CECE8&gt;, &lt;null&gt;, &lt;null&gt;, &lt;null&gt;</t>
  </si>
  <si>
    <t xml:space="preserve"> &lt;3CECE8&gt;</t>
  </si>
  <si>
    <t xml:space="preserve">+1, 0, 0, &lt;3CED20&gt;, &lt;null&gt;, &lt;null&gt;, &lt;null&gt;</t>
  </si>
  <si>
    <t xml:space="preserve"> &lt;3CED20&gt;</t>
  </si>
  <si>
    <t xml:space="preserve">+1, 1, 0, &lt;3CED58&gt;, &lt;null&gt;, &lt;null&gt;, &lt;null&gt;</t>
  </si>
  <si>
    <t xml:space="preserve"> &lt;3CED58&gt;</t>
  </si>
  <si>
    <t xml:space="preserve">+1, 2, 0, &lt;3CED90&gt;, &lt;null&gt;, &lt;null&gt;, &lt;null&gt;</t>
  </si>
  <si>
    <t xml:space="preserve"> &lt;3CED90&gt;</t>
  </si>
  <si>
    <t xml:space="preserve">+1, 3, 0, &lt;3CEDC8&gt;, &lt;null&gt;, &lt;null&gt;, &lt;null&gt;</t>
  </si>
  <si>
    <t xml:space="preserve"> &lt;3CEDC8&gt;</t>
  </si>
  <si>
    <t xml:space="preserve">+1, 4, 0, &lt;null&gt;, &lt;3CEDE4&gt;, &lt;null&gt;, &lt;3CEE14&gt;</t>
  </si>
  <si>
    <t xml:space="preserve"> &lt;3CEDE4&gt;</t>
  </si>
  <si>
    <t xml:space="preserve"> &lt;3CEE14&gt;</t>
  </si>
  <si>
    <t xml:space="preserve">+1, 37, 0, &lt;3CEE4C&gt;, &lt;null&gt;, &lt;null&gt;, &lt;null&gt;</t>
  </si>
  <si>
    <t xml:space="preserve"> &lt;3CEE4C&gt;</t>
  </si>
  <si>
    <t xml:space="preserve">+1, 39, 0, &lt;3CEE84&gt;, &lt;null&gt;, &lt;null&gt;, &lt;null&gt;</t>
  </si>
  <si>
    <t xml:space="preserve"> &lt;3CEE84&gt;</t>
  </si>
  <si>
    <t xml:space="preserve">+1, 40, 0, &lt;3CEEBC&gt;, &lt;null&gt;, &lt;null&gt;, &lt;null&gt;</t>
  </si>
  <si>
    <t xml:space="preserve"> &lt;3CEEBC&gt;</t>
  </si>
  <si>
    <t xml:space="preserve">+1, 41, 0, &lt;3CEEF4&gt;, &lt;null&gt;, &lt;null&gt;, &lt;null&gt;</t>
  </si>
  <si>
    <t xml:space="preserve"> &lt;3CEEF4&gt;</t>
  </si>
  <si>
    <t xml:space="preserve">+1, 59, 0, &lt;3CEF2C&gt;, &lt;null&gt;, &lt;null&gt;, &lt;null&gt;</t>
  </si>
  <si>
    <t xml:space="preserve"> &lt;3CEF2C&gt;</t>
  </si>
  <si>
    <t xml:space="preserve">+1, 60, 0, &lt;3CEF64&gt;, &lt;null&gt;, &lt;null&gt;, &lt;null&gt;</t>
  </si>
  <si>
    <t xml:space="preserve"> &lt;3CEF64&gt;</t>
  </si>
  <si>
    <t xml:space="preserve">+1, 61, 0, &lt;3CEF9C&gt;, &lt;null&gt;, &lt;null&gt;, &lt;null&gt;</t>
  </si>
  <si>
    <t xml:space="preserve"> &lt;3CEF9C&gt;</t>
  </si>
  <si>
    <t xml:space="preserve">+1, 62, 0, &lt;3CEFD4&gt;, &lt;null&gt;, &lt;null&gt;, &lt;null&gt;</t>
  </si>
  <si>
    <t xml:space="preserve"> &lt;3CEFD4&gt;</t>
  </si>
  <si>
    <t xml:space="preserve">+1, 63, 0, &lt;3CF00C&gt;, &lt;3CF028&gt;, &lt;null&gt;, &lt;3CF058&gt;</t>
  </si>
  <si>
    <t xml:space="preserve"> &lt;3CF00C&gt;</t>
  </si>
  <si>
    <t xml:space="preserve"> &lt;3CF028&gt;</t>
  </si>
  <si>
    <t xml:space="preserve"> &lt;3CF058&gt;</t>
  </si>
  <si>
    <t xml:space="preserve">+1, 64, 0, &lt;3CF090&gt;, &lt;3CF0AC&gt;, &lt;null&gt;, &lt;3CF0DC&gt;</t>
  </si>
  <si>
    <t xml:space="preserve"> &lt;3CF090&gt;</t>
  </si>
  <si>
    <t xml:space="preserve"> &lt;3CF0AC&gt;</t>
  </si>
  <si>
    <t xml:space="preserve"> &lt;3CF0DC&gt;</t>
  </si>
  <si>
    <t xml:space="preserve">+1, 65, 0, &lt;3CF114&gt;, &lt;3CF130&gt;, &lt;null&gt;, &lt;3CF160&gt;</t>
  </si>
  <si>
    <t xml:space="preserve"> &lt;3CF114&gt;</t>
  </si>
  <si>
    <t xml:space="preserve"> &lt;3CF130&gt;</t>
  </si>
  <si>
    <t xml:space="preserve"> &lt;3CF160&gt;</t>
  </si>
  <si>
    <t xml:space="preserve">+1, 66, 0, &lt;3CF198&gt;, &lt;3CF1B4&gt;, &lt;null&gt;, &lt;3CF1E4&gt;</t>
  </si>
  <si>
    <t xml:space="preserve"> &lt;3CF198&gt;</t>
  </si>
  <si>
    <t xml:space="preserve"> &lt;3CF1B4&gt;</t>
  </si>
  <si>
    <t xml:space="preserve"> &lt;3CF1E4&gt;</t>
  </si>
  <si>
    <t xml:space="preserve">+1, 72, 0, &lt;3CF21C&gt;, &lt;3CF238&gt;, &lt;null&gt;, &lt;3CF268&gt;</t>
  </si>
  <si>
    <t xml:space="preserve"> &lt;3CF21C&gt;</t>
  </si>
  <si>
    <t xml:space="preserve"> &lt;3CF238&gt;</t>
  </si>
  <si>
    <t xml:space="preserve"> &lt;3CF268&gt;</t>
  </si>
  <si>
    <t xml:space="preserve">+1, 73, 0, &lt;3CF2A0&gt;, &lt;null&gt;, &lt;null&gt;, &lt;null&gt;</t>
  </si>
  <si>
    <t xml:space="preserve"> &lt;3CF2A0&gt;</t>
  </si>
  <si>
    <t xml:space="preserve">+1, 74, 0, &lt;3CF2D8&gt;, &lt;3CF2F4&gt;, &lt;null&gt;, &lt;3CF324&gt;</t>
  </si>
  <si>
    <t xml:space="preserve"> &lt;3CF2D8&gt;</t>
  </si>
  <si>
    <t xml:space="preserve"> &lt;3CF2F4&gt;</t>
  </si>
  <si>
    <t xml:space="preserve"> &lt;3CF324&gt;</t>
  </si>
  <si>
    <t xml:space="preserve">+1, 81, 0, &lt;3CF35C&gt;, &lt;null&gt;, &lt;null&gt;, &lt;null&gt;</t>
  </si>
  <si>
    <t xml:space="preserve"> &lt;3CF35C&gt;</t>
  </si>
  <si>
    <t xml:space="preserve">+1, 82, 0, &lt;3CF394&gt;, &lt;null&gt;, &lt;3CF3B0&gt;, &lt;null&gt;</t>
  </si>
  <si>
    <t xml:space="preserve"> &lt;3CF394&gt;</t>
  </si>
  <si>
    <t xml:space="preserve"> &lt;3CF3B0&gt;</t>
  </si>
  <si>
    <t xml:space="preserve">+1, 83, 0, &lt;3CF3E8&gt;, &lt;null&gt;, &lt;null&gt;, &lt;null&gt;</t>
  </si>
  <si>
    <t xml:space="preserve"> &lt;3CF3E8&gt;</t>
  </si>
  <si>
    <t xml:space="preserve">+1, 84, 0, &lt;3CF420&gt;, &lt;null&gt;, &lt;null&gt;, &lt;null&gt;</t>
  </si>
  <si>
    <t xml:space="preserve"> &lt;3CF420&gt;</t>
  </si>
  <si>
    <t xml:space="preserve">+1, 85, 0, &lt;3CF458&gt;, &lt;null&gt;, &lt;null&gt;, &lt;null&gt;</t>
  </si>
  <si>
    <t xml:space="preserve"> &lt;3CF458&gt;</t>
  </si>
  <si>
    <t xml:space="preserve">+1, 86, 0, &lt;3CF490&gt;, &lt;3CF4AC&gt;, &lt;null&gt;, &lt;3CF4DC&gt;</t>
  </si>
  <si>
    <t xml:space="preserve"> &lt;3CF490&gt;</t>
  </si>
  <si>
    <t xml:space="preserve"> &lt;3CF4AC&gt;</t>
  </si>
  <si>
    <t xml:space="preserve"> &lt;3CF4DC&gt;</t>
  </si>
  <si>
    <t xml:space="preserve">+1, 87, 0, &lt;3CF514&gt;, &lt;3CF530&gt;, &lt;null&gt;, &lt;3CF560&gt;</t>
  </si>
  <si>
    <t xml:space="preserve"> &lt;3CF514&gt;</t>
  </si>
  <si>
    <t xml:space="preserve"> &lt;3CF530&gt;</t>
  </si>
  <si>
    <t xml:space="preserve"> &lt;3CF560&gt;</t>
  </si>
  <si>
    <t xml:space="preserve">+1, 90, 0, &lt;3CF598&gt;, &lt;null&gt;, &lt;null&gt;, &lt;null&gt;</t>
  </si>
  <si>
    <t xml:space="preserve"> &lt;3CF598&gt;</t>
  </si>
  <si>
    <t xml:space="preserve">+1, 91, 0, &lt;3CF5D0&gt;, &lt;null&gt;, &lt;null&gt;, &lt;null&gt;</t>
  </si>
  <si>
    <t xml:space="preserve"> &lt;3CF5D0&gt;</t>
  </si>
  <si>
    <t xml:space="preserve">+1, 92, 0, &lt;3CF608&gt;, &lt;null&gt;, &lt;null&gt;, &lt;null&gt;</t>
  </si>
  <si>
    <t xml:space="preserve"> &lt;3CF608&gt;</t>
  </si>
  <si>
    <t xml:space="preserve">+1, 93, 0, &lt;3CF640&gt;, &lt;null&gt;, &lt;null&gt;, &lt;null&gt;</t>
  </si>
  <si>
    <t xml:space="preserve"> &lt;3CF640&gt;</t>
  </si>
  <si>
    <t xml:space="preserve">+1, 94, 0, &lt;3CF678&gt;, &lt;null&gt;, &lt;null&gt;, &lt;null&gt;</t>
  </si>
  <si>
    <t xml:space="preserve"> &lt;3CF678&gt;</t>
  </si>
  <si>
    <t xml:space="preserve">+1, 95, 0, &lt;3CF6B0&gt;, &lt;null&gt;, &lt;null&gt;, &lt;null&gt;</t>
  </si>
  <si>
    <t xml:space="preserve"> &lt;3CF6B0&gt;</t>
  </si>
  <si>
    <t xml:space="preserve">+1, 97, 0, &lt;3CF6E8&gt;, &lt;null&gt;, &lt;3CF704&gt;, &lt;null&gt;</t>
  </si>
  <si>
    <t xml:space="preserve"> &lt;3CF6E8&gt;</t>
  </si>
  <si>
    <t xml:space="preserve"> &lt;3CF704&gt;</t>
  </si>
  <si>
    <t xml:space="preserve">+1, 98, 0, &lt;3CF73C&gt;, &lt;null&gt;, &lt;null&gt;, &lt;null&gt;</t>
  </si>
  <si>
    <t xml:space="preserve"> &lt;3CF73C&gt;</t>
  </si>
  <si>
    <t xml:space="preserve">+1, 99, 0, &lt;3CF774&gt;, &lt;null&gt;, &lt;3CF790&gt;, &lt;null&gt;</t>
  </si>
  <si>
    <t xml:space="preserve"> &lt;3CF774&gt;</t>
  </si>
  <si>
    <t xml:space="preserve"> &lt;3CF790&gt;</t>
  </si>
  <si>
    <t xml:space="preserve">+1, 100, 0, &lt;3CF7C8&gt;, &lt;null&gt;, &lt;null&gt;, &lt;null&gt;</t>
  </si>
  <si>
    <t xml:space="preserve"> &lt;3CF7C8&gt;</t>
  </si>
  <si>
    <t xml:space="preserve">+1, 103, 0, &lt;3CF800&gt;, &lt;null&gt;, &lt;3CF81C&gt;, &lt;null&gt;</t>
  </si>
  <si>
    <t xml:space="preserve"> &lt;3CF800&gt;</t>
  </si>
  <si>
    <t xml:space="preserve"> &lt;3CF81C&gt;</t>
  </si>
  <si>
    <t xml:space="preserve">+1, 104, 0, &lt;3CF854&gt;, &lt;null&gt;, &lt;3CF870&gt;, &lt;null&gt;</t>
  </si>
  <si>
    <t xml:space="preserve"> &lt;3CF854&gt;</t>
  </si>
  <si>
    <t xml:space="preserve"> &lt;3CF870&gt;</t>
  </si>
  <si>
    <t xml:space="preserve">+1, 105, 0, &lt;3CF8A8&gt;, &lt;null&gt;, &lt;3CF8C4&gt;, &lt;null&gt;</t>
  </si>
  <si>
    <t xml:space="preserve"> &lt;3CF8A8&gt;</t>
  </si>
  <si>
    <t xml:space="preserve"> &lt;3CF8C4&gt;</t>
  </si>
  <si>
    <t xml:space="preserve">+1, 106, 0, &lt;3CF8FC&gt;, &lt;null&gt;, &lt;3CF918&gt;, &lt;null&gt;</t>
  </si>
  <si>
    <t xml:space="preserve"> &lt;3CF8FC&gt;</t>
  </si>
  <si>
    <t xml:space="preserve"> &lt;3CF918&gt;</t>
  </si>
  <si>
    <t xml:space="preserve">+1, 107, 0, &lt;3CF950&gt;, &lt;null&gt;, &lt;3CF96C&gt;, &lt;null&gt;</t>
  </si>
  <si>
    <t xml:space="preserve"> &lt;3CF950&gt;</t>
  </si>
  <si>
    <t xml:space="preserve"> &lt;3CF96C&gt;</t>
  </si>
  <si>
    <t xml:space="preserve">+1, 108, 0, &lt;3CF9A4&gt;, &lt;null&gt;, &lt;3CF9C0&gt;, &lt;null&gt;</t>
  </si>
  <si>
    <t xml:space="preserve"> &lt;3CF9A4&gt;</t>
  </si>
  <si>
    <t xml:space="preserve"> &lt;3CF9C0&gt;</t>
  </si>
  <si>
    <t xml:space="preserve">+1, 109, 0, &lt;3CF9F8&gt;, &lt;3CFA14&gt;, &lt;null&gt;, &lt;3CFA44&gt;</t>
  </si>
  <si>
    <t xml:space="preserve"> &lt;3CF9F8&gt;</t>
  </si>
  <si>
    <t xml:space="preserve"> &lt;3CFA14&gt;</t>
  </si>
  <si>
    <t xml:space="preserve"> &lt;3CFA44&gt;</t>
  </si>
  <si>
    <t xml:space="preserve">+1, 110, 0, &lt;3CFA7C&gt;, &lt;3CFA98&gt;, &lt;null&gt;, &lt;3CFAC8&gt;</t>
  </si>
  <si>
    <t xml:space="preserve"> &lt;3CFA7C&gt;</t>
  </si>
  <si>
    <t xml:space="preserve"> &lt;3CFA98&gt;</t>
  </si>
  <si>
    <t xml:space="preserve"> &lt;3CFAC8&gt;</t>
  </si>
  <si>
    <t xml:space="preserve">+1, 111, 0, &lt;3CFB00&gt;, &lt;null&gt;, &lt;null&gt;, &lt;null&gt;</t>
  </si>
  <si>
    <t xml:space="preserve"> &lt;3CFB00&gt;</t>
  </si>
  <si>
    <t xml:space="preserve">+1, 112, 0, &lt;3CFB38&gt;, &lt;null&gt;, &lt;null&gt;, &lt;null&gt;</t>
  </si>
  <si>
    <t xml:space="preserve"> &lt;3CFB38&gt;</t>
  </si>
  <si>
    <t xml:space="preserve">+1, 113, 0, &lt;3CFB70&gt;, &lt;3CFB8C&gt;, &lt;null&gt;, &lt;3CFBBC&gt;</t>
  </si>
  <si>
    <t xml:space="preserve"> &lt;3CFB70&gt;</t>
  </si>
  <si>
    <t xml:space="preserve"> &lt;3CFB8C&gt;</t>
  </si>
  <si>
    <t xml:space="preserve"> &lt;3CFBBC&gt;</t>
  </si>
  <si>
    <t xml:space="preserve">+1, 121, 0, &lt;3CFBF4&gt;, &lt;null&gt;, &lt;null&gt;, &lt;null&gt;</t>
  </si>
  <si>
    <t xml:space="preserve"> &lt;3CFBF4&gt;</t>
  </si>
  <si>
    <t xml:space="preserve">+2, 13, 0, &lt;3CFC2C&gt;, &lt;null&gt;, &lt;null&gt;, &lt;null&gt;</t>
  </si>
  <si>
    <t xml:space="preserve"> &lt;3CFC2C&gt;</t>
  </si>
  <si>
    <t xml:space="preserve">+2, 14, 0, &lt;3CFC64&gt;, &lt;null&gt;, &lt;null&gt;, &lt;null&gt;</t>
  </si>
  <si>
    <t xml:space="preserve"> &lt;3CFC64&gt;</t>
  </si>
  <si>
    <t xml:space="preserve">+2, 15, 0, &lt;3CFC9C&gt;, &lt;null&gt;, &lt;null&gt;, &lt;null&gt;</t>
  </si>
  <si>
    <t xml:space="preserve"> &lt;3CFC9C&gt;</t>
  </si>
  <si>
    <t xml:space="preserve">+2, 16, 0, &lt;3CFCD4&gt;, &lt;null&gt;, &lt;null&gt;, &lt;null&gt;</t>
  </si>
  <si>
    <t xml:space="preserve"> &lt;3CFCD4&gt;</t>
  </si>
  <si>
    <t xml:space="preserve">+2, 17, 0, &lt;3CFD0C&gt;, &lt;null&gt;, &lt;null&gt;, &lt;null&gt;</t>
  </si>
  <si>
    <t xml:space="preserve"> &lt;3CFD0C&gt;</t>
  </si>
  <si>
    <t xml:space="preserve">+2, 18, 0, &lt;3CFD44&gt;, &lt;null&gt;, &lt;null&gt;, &lt;null&gt;</t>
  </si>
  <si>
    <t xml:space="preserve"> &lt;3CFD44&gt;</t>
  </si>
  <si>
    <t xml:space="preserve">+2, 19, 0, &lt;3CFD7C&gt;, &lt;null&gt;, &lt;null&gt;, &lt;null&gt;</t>
  </si>
  <si>
    <t xml:space="preserve"> &lt;3CFD7C&gt;</t>
  </si>
  <si>
    <t xml:space="preserve">+2, 20, 0, &lt;3CFDB4&gt;, &lt;null&gt;, &lt;null&gt;, &lt;null&gt;</t>
  </si>
  <si>
    <t xml:space="preserve"> &lt;3CFDB4&gt;</t>
  </si>
  <si>
    <t xml:space="preserve">+2, 21, 0, &lt;3CFDEC&gt;, &lt;null&gt;, &lt;null&gt;, &lt;null&gt;</t>
  </si>
  <si>
    <t xml:space="preserve"> &lt;3CFDEC&gt;</t>
  </si>
  <si>
    <t xml:space="preserve">+2, 22, 0, &lt;3CFE24&gt;, &lt;null&gt;, &lt;null&gt;, &lt;null&gt;</t>
  </si>
  <si>
    <t xml:space="preserve"> &lt;3CFE24&gt;</t>
  </si>
  <si>
    <t xml:space="preserve">+2, 23, 0, &lt;3CFE5C&gt;, &lt;null&gt;, &lt;null&gt;, &lt;null&gt;</t>
  </si>
  <si>
    <t xml:space="preserve"> &lt;3CFE5C&gt;</t>
  </si>
  <si>
    <t xml:space="preserve">+2, 24, 0, &lt;3CFE94&gt;, &lt;null&gt;, &lt;null&gt;, &lt;null&gt;</t>
  </si>
  <si>
    <t xml:space="preserve"> &lt;3CFE94&gt;</t>
  </si>
  <si>
    <t xml:space="preserve">+2, 25, 0, &lt;3CFECC&gt;, &lt;null&gt;, &lt;null&gt;, &lt;null&gt;</t>
  </si>
  <si>
    <t xml:space="preserve"> &lt;3CFECC&gt;</t>
  </si>
  <si>
    <t xml:space="preserve">+2, 26, 0, &lt;3CFF04&gt;, &lt;null&gt;, &lt;null&gt;, &lt;null&gt;</t>
  </si>
  <si>
    <t xml:space="preserve"> &lt;3CFF04&gt;</t>
  </si>
  <si>
    <t xml:space="preserve">+3, 45, 0, &lt;3CFF3C&gt;, &lt;3CFF58&gt;, &lt;3CFF74&gt;, &lt;3CFFA4&gt;</t>
  </si>
  <si>
    <t xml:space="preserve"> &lt;3CFF3C&gt;</t>
  </si>
  <si>
    <t xml:space="preserve"> &lt;3CFF58&gt;</t>
  </si>
  <si>
    <t xml:space="preserve"> &lt;3CFF74&gt;</t>
  </si>
  <si>
    <t xml:space="preserve"> &lt;3CFFA4&gt;</t>
  </si>
  <si>
    <t xml:space="preserve">+3, 46, 0, &lt;3CFFDC&gt;, &lt;3CFFF8&gt;, &lt;null&gt;, &lt;3D0028&gt;</t>
  </si>
  <si>
    <t xml:space="preserve"> &lt;3CFFDC&gt;</t>
  </si>
  <si>
    <t xml:space="preserve"> &lt;3CFFF8&gt;</t>
  </si>
  <si>
    <t xml:space="preserve"> &lt;3D0028&gt;</t>
  </si>
  <si>
    <t xml:space="preserve">+3, 47, 0, &lt;3D0060&gt;, &lt;3D007C&gt;, &lt;null&gt;, &lt;3D00AC&gt;</t>
  </si>
  <si>
    <t xml:space="preserve"> &lt;3D0060&gt;</t>
  </si>
  <si>
    <t xml:space="preserve"> &lt;3D007C&gt;</t>
  </si>
  <si>
    <t xml:space="preserve"> &lt;3D00AC&gt;</t>
  </si>
  <si>
    <t xml:space="preserve">+3, 48, 0, &lt;3D00E4&gt;, &lt;3D0100&gt;, &lt;null&gt;, &lt;3D0130&gt;</t>
  </si>
  <si>
    <t xml:space="preserve"> &lt;3D00E4&gt;</t>
  </si>
  <si>
    <t xml:space="preserve"> &lt;3D0100&gt;</t>
  </si>
  <si>
    <t xml:space="preserve"> &lt;3D0130&gt;</t>
  </si>
  <si>
    <t xml:space="preserve">+3, 49, 0, &lt;3D0168&gt;, &lt;null&gt;, &lt;null&gt;, &lt;null&gt;</t>
  </si>
  <si>
    <t xml:space="preserve"> &lt;3D0168&gt;</t>
  </si>
  <si>
    <t xml:space="preserve">+3, 54, 0, &lt;null&gt;, &lt;3D0184&gt;, &lt;null&gt;, &lt;3D01B4&gt;</t>
  </si>
  <si>
    <t xml:space="preserve"> &lt;3D0184&gt;</t>
  </si>
  <si>
    <t xml:space="preserve"> &lt;3D01B4&gt;</t>
  </si>
  <si>
    <t xml:space="preserve">+3, 55, 0, &lt;null&gt;, &lt;3D01D0&gt;, &lt;null&gt;, &lt;3D0200&gt;</t>
  </si>
  <si>
    <t xml:space="preserve"> &lt;3D01D0&gt;</t>
  </si>
  <si>
    <t xml:space="preserve"> &lt;3D0200&gt;</t>
  </si>
  <si>
    <t xml:space="preserve">+3, 56, 0, &lt;3D0238&gt;, &lt;3D0254&gt;, &lt;null&gt;, &lt;3D0284&gt;</t>
  </si>
  <si>
    <t xml:space="preserve"> &lt;3D0238&gt;</t>
  </si>
  <si>
    <t xml:space="preserve"> &lt;3D0254&gt;</t>
  </si>
  <si>
    <t xml:space="preserve"> &lt;3D0284&gt;</t>
  </si>
  <si>
    <t xml:space="preserve">+3, 57, 0, &lt;3D02BC&gt;, &lt;3D02D8&gt;, &lt;null&gt;, &lt;3D0308&gt;</t>
  </si>
  <si>
    <t xml:space="preserve"> &lt;3D02BC&gt;</t>
  </si>
  <si>
    <t xml:space="preserve"> &lt;3D02D8&gt;</t>
  </si>
  <si>
    <t xml:space="preserve"> &lt;3D0308&gt;</t>
  </si>
  <si>
    <t xml:space="preserve">+3, 58, 0, &lt;null&gt;, &lt;3D0324&gt;, &lt;null&gt;, &lt;3D0354&gt;</t>
  </si>
  <si>
    <t xml:space="preserve"> &lt;3D0324&gt;</t>
  </si>
  <si>
    <t xml:space="preserve"> &lt;3D0354&gt;</t>
  </si>
  <si>
    <t xml:space="preserve">+3, 59, 0, &lt;null&gt;, &lt;3D0370&gt;, &lt;null&gt;, &lt;3D03A0&gt;</t>
  </si>
  <si>
    <t xml:space="preserve"> &lt;3D0370&gt;</t>
  </si>
  <si>
    <t xml:space="preserve"> &lt;3D03A0&gt;</t>
  </si>
  <si>
    <t xml:space="preserve">+3, 60, 0, &lt;3D03D8&gt;, &lt;3D03F4&gt;, &lt;null&gt;, &lt;3D0424&gt;</t>
  </si>
  <si>
    <t xml:space="preserve"> &lt;3D03D8&gt;</t>
  </si>
  <si>
    <t xml:space="preserve"> &lt;3D03F4&gt;</t>
  </si>
  <si>
    <t xml:space="preserve"> &lt;3D0424&gt;</t>
  </si>
  <si>
    <t xml:space="preserve">+3, 61, 0, &lt;3D045C&gt;, &lt;3D0478&gt;, &lt;null&gt;, &lt;3D04A8&gt;</t>
  </si>
  <si>
    <t xml:space="preserve"> &lt;3D045C&gt;</t>
  </si>
  <si>
    <t xml:space="preserve"> &lt;3D0478&gt;</t>
  </si>
  <si>
    <t xml:space="preserve"> &lt;3D04A8&gt;</t>
  </si>
  <si>
    <t xml:space="preserve">+3, 62, 0, &lt;null&gt;, &lt;3D04C4&gt;, &lt;null&gt;, &lt;3D04F4&gt;</t>
  </si>
  <si>
    <t xml:space="preserve"> &lt;3D04C4&gt;</t>
  </si>
  <si>
    <t xml:space="preserve"> &lt;3D04F4&gt;</t>
  </si>
  <si>
    <t xml:space="preserve">+3, 63, 0, &lt;3D052C&gt;, &lt;null&gt;, &lt;null&gt;, &lt;null&gt;</t>
  </si>
  <si>
    <t xml:space="preserve"> &lt;3D052C&gt;</t>
  </si>
  <si>
    <t xml:space="preserve">+3, 64, 0, &lt;3D0564&gt;, &lt;null&gt;, &lt;3D0580&gt;, &lt;null&gt;</t>
  </si>
  <si>
    <t xml:space="preserve"> &lt;3D0564&gt;</t>
  </si>
  <si>
    <t xml:space="preserve"> &lt;3D0580&gt;</t>
  </si>
  <si>
    <t xml:space="preserve">+3, 65, 0, &lt;null&gt;, &lt;3D059C&gt;, &lt;null&gt;, &lt;3D05CC&gt;</t>
  </si>
  <si>
    <t xml:space="preserve"> &lt;3D059C&gt;</t>
  </si>
  <si>
    <t xml:space="preserve"> &lt;3D05CC&gt;</t>
  </si>
  <si>
    <t xml:space="preserve">+3, 19, 0, &lt;3D0604&gt;, &lt;null&gt;, &lt;null&gt;, &lt;null&gt;</t>
  </si>
  <si>
    <t xml:space="preserve"> &lt;3D0604&gt;</t>
  </si>
  <si>
    <t xml:space="preserve">+3, 20, 0, &lt;3D063C&gt;, &lt;null&gt;, &lt;null&gt;, &lt;null&gt;</t>
  </si>
  <si>
    <t xml:space="preserve"> &lt;3D063C&gt;</t>
  </si>
  <si>
    <t xml:space="preserve">+3, 21, 0, &lt;3D0674&gt;, &lt;null&gt;, &lt;null&gt;, &lt;null&gt;</t>
  </si>
  <si>
    <t xml:space="preserve"> &lt;3D0674&gt;</t>
  </si>
  <si>
    <t xml:space="preserve">+3, 22, 0, &lt;3D06AC&gt;, &lt;3D06C8&gt;, &lt;null&gt;, &lt;3D06F8&gt;</t>
  </si>
  <si>
    <t xml:space="preserve"> &lt;3D06AC&gt;</t>
  </si>
  <si>
    <t xml:space="preserve"> &lt;3D06C8&gt;</t>
  </si>
  <si>
    <t xml:space="preserve"> &lt;3D06F8&gt;</t>
  </si>
  <si>
    <t xml:space="preserve">+3, 23, 0, &lt;3D0730&gt;, &lt;null&gt;, &lt;null&gt;, &lt;null&gt;</t>
  </si>
  <si>
    <t xml:space="preserve"> &lt;3D0730&gt;</t>
  </si>
  <si>
    <t xml:space="preserve">+3, 24, 0, &lt;3D0768&gt;, &lt;3D0784&gt;, &lt;null&gt;, &lt;3D07B4&gt;</t>
  </si>
  <si>
    <t xml:space="preserve"> &lt;3D0768&gt;</t>
  </si>
  <si>
    <t xml:space="preserve"> &lt;3D0784&gt;</t>
  </si>
  <si>
    <t xml:space="preserve"> &lt;3D07B4&gt;</t>
  </si>
  <si>
    <t xml:space="preserve">+3, 25, 0, &lt;3D07EC&gt;, &lt;null&gt;, &lt;null&gt;, &lt;null&gt;</t>
  </si>
  <si>
    <t xml:space="preserve"> &lt;3D07EC&gt;</t>
  </si>
  <si>
    <t xml:space="preserve">+3, 26, 0, &lt;3D0824&gt;, &lt;null&gt;, &lt;null&gt;, &lt;null&gt;</t>
  </si>
  <si>
    <t xml:space="preserve"> &lt;3D0824&gt;</t>
  </si>
  <si>
    <t xml:space="preserve">+3, 27, 0, &lt;3D085C&gt;, &lt;null&gt;, &lt;null&gt;, &lt;null&gt;</t>
  </si>
  <si>
    <t xml:space="preserve"> &lt;3D085C&gt;</t>
  </si>
  <si>
    <t xml:space="preserve">+3, 28, 0, &lt;3D0894&gt;, &lt;3D08B0&gt;, &lt;null&gt;, &lt;3D08E0&gt;</t>
  </si>
  <si>
    <t xml:space="preserve"> &lt;3D0894&gt;</t>
  </si>
  <si>
    <t xml:space="preserve"> &lt;3D08B0&gt;</t>
  </si>
  <si>
    <t xml:space="preserve"> &lt;3D08E0&gt;</t>
  </si>
  <si>
    <t xml:space="preserve">+3, 29, 0, &lt;3D0918&gt;, &lt;3D0934&gt;, &lt;null&gt;, &lt;3D0964&gt;</t>
  </si>
  <si>
    <t xml:space="preserve"> &lt;3D0918&gt;</t>
  </si>
  <si>
    <t xml:space="preserve"> &lt;3D0934&gt;</t>
  </si>
  <si>
    <t xml:space="preserve"> &lt;3D0964&gt;</t>
  </si>
  <si>
    <t xml:space="preserve">+3, 30, 0, &lt;3D099C&gt;, &lt;3D09B8&gt;, &lt;null&gt;, &lt;3D09E8&gt;</t>
  </si>
  <si>
    <t xml:space="preserve"> &lt;3D099C&gt;</t>
  </si>
  <si>
    <t xml:space="preserve"> &lt;3D09B8&gt;</t>
  </si>
  <si>
    <t xml:space="preserve"> &lt;3D09E8&gt;</t>
  </si>
  <si>
    <t xml:space="preserve">+3, 31, 0, &lt;3D0A20&gt;, &lt;3D0A3C&gt;, &lt;null&gt;, &lt;3D0A6C&gt;</t>
  </si>
  <si>
    <t xml:space="preserve"> &lt;3D0A20&gt;</t>
  </si>
  <si>
    <t xml:space="preserve"> &lt;3D0A3C&gt;</t>
  </si>
  <si>
    <t xml:space="preserve"> &lt;3D0A6C&gt;</t>
  </si>
  <si>
    <t xml:space="preserve">+3, 32, 0, &lt;3D0AA4&gt;, &lt;null&gt;, &lt;null&gt;, &lt;null&gt;</t>
  </si>
  <si>
    <t xml:space="preserve"> &lt;3D0AA4&gt;</t>
  </si>
  <si>
    <t xml:space="preserve">+3, 33, 0, &lt;3D0ADC&gt;, &lt;null&gt;, &lt;null&gt;, &lt;null&gt;</t>
  </si>
  <si>
    <t xml:space="preserve"> &lt;3D0ADC&gt;</t>
  </si>
  <si>
    <t xml:space="preserve">+3, 34, 0, &lt;3D0B14&gt;, &lt;null&gt;, &lt;null&gt;, &lt;null&gt;</t>
  </si>
  <si>
    <t xml:space="preserve"> &lt;3D0B14&gt;</t>
  </si>
  <si>
    <t xml:space="preserve">+3, 35, 0, &lt;3D0B4C&gt;, &lt;null&gt;, &lt;null&gt;, &lt;null&gt;</t>
  </si>
  <si>
    <t xml:space="preserve"> &lt;3D0B4C&gt;</t>
  </si>
  <si>
    <t xml:space="preserve">+3, 36, 0, &lt;3D0B84&gt;, &lt;null&gt;, &lt;null&gt;, &lt;null&gt;</t>
  </si>
  <si>
    <t xml:space="preserve"> &lt;3D0B84&gt;</t>
  </si>
  <si>
    <t xml:space="preserve">+3, 37, 0, &lt;null&gt;, &lt;3D0BA0&gt;, &lt;null&gt;, &lt;3D0BD0&gt;</t>
  </si>
  <si>
    <t xml:space="preserve"> &lt;3D0BA0&gt;</t>
  </si>
  <si>
    <t xml:space="preserve"> &lt;3D0BD0&gt;</t>
  </si>
  <si>
    <t xml:space="preserve">+3, 38, 0, &lt;null&gt;, &lt;3D0BEC&gt;, &lt;null&gt;, &lt;3D0C1C&gt;</t>
  </si>
  <si>
    <t xml:space="preserve"> &lt;3D0BEC&gt;</t>
  </si>
  <si>
    <t xml:space="preserve"> &lt;3D0C1C&gt;</t>
  </si>
  <si>
    <t xml:space="preserve">+3, 39, 0, &lt;3D0C54&gt;, &lt;3D0C70&gt;, &lt;null&gt;, &lt;3D0CA0&gt;</t>
  </si>
  <si>
    <t xml:space="preserve"> &lt;3D0C54&gt;</t>
  </si>
  <si>
    <t xml:space="preserve"> &lt;3D0C70&gt;</t>
  </si>
  <si>
    <t xml:space="preserve"> &lt;3D0CA0&gt;</t>
  </si>
  <si>
    <t xml:space="preserve">+3, 40, 0, &lt;3D0CD8&gt;, &lt;3D0CF4&gt;, &lt;null&gt;, &lt;3D0D24&gt;</t>
  </si>
  <si>
    <t xml:space="preserve"> &lt;3D0CD8&gt;</t>
  </si>
  <si>
    <t xml:space="preserve"> &lt;3D0CF4&gt;</t>
  </si>
  <si>
    <t xml:space="preserve"> &lt;3D0D24&gt;</t>
  </si>
  <si>
    <t xml:space="preserve">+3, 41, 0, &lt;3D0D5C&gt;, &lt;3D0D78&gt;, &lt;null&gt;, &lt;3D0DA8&gt;</t>
  </si>
  <si>
    <t xml:space="preserve"> &lt;3D0D5C&gt;</t>
  </si>
  <si>
    <t xml:space="preserve"> &lt;3D0D78&gt;</t>
  </si>
  <si>
    <t xml:space="preserve"> &lt;3D0DA8&gt;</t>
  </si>
  <si>
    <t xml:space="preserve">+3, 42, 0, &lt;3D0DE0&gt;, &lt;3D0DFC&gt;, &lt;null&gt;, &lt;3D0E2C&gt;</t>
  </si>
  <si>
    <t xml:space="preserve"> &lt;3D0DE0&gt;</t>
  </si>
  <si>
    <t xml:space="preserve"> &lt;3D0DFC&gt;</t>
  </si>
  <si>
    <t xml:space="preserve"> &lt;3D0E2C&gt;</t>
  </si>
  <si>
    <t xml:space="preserve">+3, 43, 0, &lt;3D0E64&gt;, &lt;3D0E80&gt;, &lt;null&gt;, &lt;3D0EB0&gt;</t>
  </si>
  <si>
    <t xml:space="preserve"> &lt;3D0E64&gt;</t>
  </si>
  <si>
    <t xml:space="preserve"> &lt;3D0E80&gt;</t>
  </si>
  <si>
    <t xml:space="preserve"> &lt;3D0EB0&gt;</t>
  </si>
  <si>
    <t xml:space="preserve">+3, 44, 0, &lt;3D0EE8&gt;, &lt;3D0F04&gt;, &lt;null&gt;, &lt;3D0F34&gt;</t>
  </si>
  <si>
    <t xml:space="preserve"> &lt;3D0EE8&gt;</t>
  </si>
  <si>
    <t xml:space="preserve"> &lt;3D0F04&gt;</t>
  </si>
  <si>
    <t xml:space="preserve"> &lt;3D0F34&gt;</t>
  </si>
  <si>
    <t xml:space="preserve">+3, 0, 0, &lt;null&gt;, &lt;3D0F50&gt;, &lt;null&gt;, &lt;3D0F80&gt;</t>
  </si>
  <si>
    <t xml:space="preserve"> &lt;3D0F50&gt;</t>
  </si>
  <si>
    <t xml:space="preserve"> &lt;3D0F80&gt;</t>
  </si>
  <si>
    <t xml:space="preserve">+3, 1, 0, &lt;null&gt;, &lt;3D0F9C&gt;, &lt;null&gt;, &lt;3D0FCC&gt;</t>
  </si>
  <si>
    <t xml:space="preserve"> &lt;3D0F9C&gt;</t>
  </si>
  <si>
    <t xml:space="preserve"> &lt;3D0FCC&gt;</t>
  </si>
  <si>
    <t xml:space="preserve">+3, 3, 0, &lt;null&gt;, &lt;3D0FE8&gt;, &lt;null&gt;, &lt;3D1018&gt;</t>
  </si>
  <si>
    <t xml:space="preserve"> &lt;3D0FE8&gt;</t>
  </si>
  <si>
    <t xml:space="preserve"> &lt;3D1018&gt;</t>
  </si>
  <si>
    <t xml:space="preserve">+3, 5, 0, &lt;null&gt;, &lt;3D1034&gt;, &lt;null&gt;, &lt;3D1064&gt;</t>
  </si>
  <si>
    <t xml:space="preserve"> &lt;3D1034&gt;</t>
  </si>
  <si>
    <t xml:space="preserve"> &lt;3D1064&gt;</t>
  </si>
  <si>
    <t xml:space="preserve">+3, 6, 0, &lt;null&gt;, &lt;3D1080&gt;, &lt;null&gt;, &lt;3D10B0&gt;</t>
  </si>
  <si>
    <t xml:space="preserve"> &lt;3D1080&gt;</t>
  </si>
  <si>
    <t xml:space="preserve"> &lt;3D10B0&gt;</t>
  </si>
  <si>
    <t xml:space="preserve">+3, 7, 0, &lt;null&gt;, &lt;3D10CC&gt;, &lt;null&gt;, &lt;3D10FC&gt;</t>
  </si>
  <si>
    <t xml:space="preserve"> &lt;3D10CC&gt;</t>
  </si>
  <si>
    <t xml:space="preserve"> &lt;3D10FC&gt;</t>
  </si>
  <si>
    <t xml:space="preserve">+3, 8, 0, &lt;null&gt;, &lt;3D1118&gt;, &lt;null&gt;, &lt;3D1148&gt;</t>
  </si>
  <si>
    <t xml:space="preserve"> &lt;3D1118&gt;</t>
  </si>
  <si>
    <t xml:space="preserve"> &lt;3D1148&gt;</t>
  </si>
  <si>
    <t xml:space="preserve">+3, 12, 0, &lt;null&gt;, &lt;3D1164&gt;, &lt;null&gt;, &lt;3D1194&gt;</t>
  </si>
  <si>
    <t xml:space="preserve"> &lt;3D1164&gt;</t>
  </si>
  <si>
    <t xml:space="preserve"> &lt;3D1194&gt;</t>
  </si>
  <si>
    <t xml:space="preserve">+3, 15, 0, &lt;null&gt;, &lt;3D11B0&gt;, &lt;null&gt;, &lt;3D11E0&gt;</t>
  </si>
  <si>
    <t xml:space="preserve"> &lt;3D11B0&gt;</t>
  </si>
  <si>
    <t xml:space="preserve"> &lt;3D11E0&gt;</t>
  </si>
  <si>
    <t xml:space="preserve">+3, 16, 0, &lt;null&gt;, &lt;3D11FC&gt;, &lt;null&gt;, &lt;3D122C&gt;</t>
  </si>
  <si>
    <t xml:space="preserve"> &lt;3D11FC&gt;</t>
  </si>
  <si>
    <t xml:space="preserve"> &lt;3D122C&gt;</t>
  </si>
  <si>
    <t xml:space="preserve">+1, 122, 0, &lt;3D1264&gt;, &lt;null&gt;, &lt;null&gt;, &lt;null&gt;</t>
  </si>
  <si>
    <t xml:space="preserve"> &lt;3D1264&gt;</t>
  </si>
  <si>
    <t xml:space="preserve">+1, 122, 0, &lt;3D129C&gt;, &lt;null&gt;, &lt;null&gt;, &lt;null&gt;</t>
  </si>
  <si>
    <t xml:space="preserve"> &lt;3D129C&gt;</t>
  </si>
  <si>
    <t xml:space="preserve">+1, 122, 0, &lt;3D12D4&gt;, &lt;null&gt;, &lt;null&gt;, &lt;null&gt;</t>
  </si>
  <si>
    <t xml:space="preserve"> &lt;3D12D4&gt;</t>
  </si>
  <si>
    <t xml:space="preserve">+1, 122, 0, &lt;3D130C&gt;, &lt;null&gt;, &lt;null&gt;, &lt;null&gt;</t>
  </si>
  <si>
    <t xml:space="preserve"> &lt;3D130C&gt;</t>
  </si>
  <si>
    <t xml:space="preserve">+1, 122, 0, &lt;3D1344&gt;, &lt;null&gt;, &lt;null&gt;, &lt;null&gt;</t>
  </si>
  <si>
    <t xml:space="preserve"> &lt;3D1344&gt;</t>
  </si>
  <si>
    <t xml:space="preserve">+1, 122, 0, &lt;3D137C&gt;, &lt;null&gt;, &lt;null&gt;, &lt;null&gt;</t>
  </si>
  <si>
    <t xml:space="preserve"> &lt;3D137C&gt;</t>
  </si>
  <si>
    <t xml:space="preserve">+1, 122, 0, &lt;3D13B4&gt;, &lt;null&gt;, &lt;null&gt;, &lt;null&gt;</t>
  </si>
  <si>
    <t xml:space="preserve"> &lt;3D13B4&gt;</t>
  </si>
  <si>
    <t xml:space="preserve">+1, 122, 0, &lt;3D13EC&gt;, &lt;null&gt;, &lt;null&gt;, &lt;null&gt;</t>
  </si>
  <si>
    <t xml:space="preserve"> &lt;3D13EC&gt;</t>
  </si>
  <si>
    <t xml:space="preserve">+1, 122, 0, &lt;3D1424&gt;, &lt;null&gt;, &lt;null&gt;, &lt;null&gt;</t>
  </si>
  <si>
    <t xml:space="preserve"> &lt;3D1424&gt;</t>
  </si>
  <si>
    <t xml:space="preserve">+2, 27, 0, @{ 7, @{ # 20%</t>
  </si>
  <si>
    <t xml:space="preserve">25, 25, UNOWN</t>
  </si>
  <si>
    <t xml:space="preserve">+25, 25, UNOWN</t>
  </si>
  <si>
    <t xml:space="preserve"># 10%</t>
  </si>
  <si>
    <t xml:space="preserve"># 5%</t>
  </si>
  <si>
    <t xml:space="preserve"># 4%</t>
  </si>
  <si>
    <t xml:space="preserve"># 1%</t>
  </si>
  <si>
    <t xml:space="preserve">+25, 25, UNOWN @} @}, &lt;null&gt;, &lt;null&gt;, &lt;null&gt;</t>
  </si>
  <si>
    <t xml:space="preserve">+2, 28, 0, @{ 7, @{ # 20%</t>
  </si>
  <si>
    <t xml:space="preserve">+2, 29, 0, @{ 7, @{ # 20%</t>
  </si>
  <si>
    <t xml:space="preserve">+2, 30, 0, @{ 7, @{ # 20%</t>
  </si>
  <si>
    <t xml:space="preserve">+2, 31, 0, @{ 7, @{ # 20%</t>
  </si>
  <si>
    <t xml:space="preserve">+2, 32, 0, @{ 7, @{ # 20%</t>
  </si>
  <si>
    <t xml:space="preserve">+2, 33, 0, @{ 7, @{ # 20%</t>
  </si>
  <si>
    <t xml:space="preserve">+1, 0, 0, @{ 14, @{ # 20%</t>
  </si>
  <si>
    <t xml:space="preserve">4, 6, CATERPIE</t>
  </si>
  <si>
    <t xml:space="preserve">+4, 6, WEEDLE</t>
  </si>
  <si>
    <t xml:space="preserve">+5, 7, ODDISH</t>
  </si>
  <si>
    <t xml:space="preserve">+7, 9, METAPOD</t>
  </si>
  <si>
    <t xml:space="preserve">+7, 9, KAKUNA</t>
  </si>
  <si>
    <t xml:space="preserve">+5, 7, PIKACHU</t>
  </si>
  <si>
    <t xml:space="preserve">+5, 7, MANKEY</t>
  </si>
  <si>
    <t xml:space="preserve">+9, 10, BUTTERFREE</t>
  </si>
  <si>
    <t xml:space="preserve">+9, 10, BEEDRILL</t>
  </si>
  <si>
    <t xml:space="preserve">+6, 9, TANGELA</t>
  </si>
  <si>
    <t xml:space="preserve">+11, 11, BEEDRILL</t>
  </si>
  <si>
    <t xml:space="preserve">+10, 10, TANGELA @} @}, &lt;null&gt;, &lt;null&gt;, &lt;null&gt;</t>
  </si>
  <si>
    <t xml:space="preserve">+1, 1, 0, @{ 7, @{ # 20%</t>
  </si>
  <si>
    <t xml:space="preserve">9, 11, ZUBAT</t>
  </si>
  <si>
    <t xml:space="preserve">+9, 11, ZUBAT</t>
  </si>
  <si>
    <t xml:space="preserve">+10, 12, ZUBAT</t>
  </si>
  <si>
    <t xml:space="preserve">+10, 12, GEODUDE</t>
  </si>
  <si>
    <t xml:space="preserve">+11, 11, SANDSHREW</t>
  </si>
  <si>
    <t xml:space="preserve">+11, 11, PARAS</t>
  </si>
  <si>
    <t xml:space="preserve">+11, 14, ONIX</t>
  </si>
  <si>
    <t xml:space="preserve">+11, 14, CLEFAIRY @} @}, &lt;null&gt;, &lt;null&gt;, &lt;null&gt;</t>
  </si>
  <si>
    <t xml:space="preserve">+1, 2, 0, @{ 5, @{ # 20%</t>
  </si>
  <si>
    <t xml:space="preserve">10, 12, ZUBAT</t>
  </si>
  <si>
    <t xml:space="preserve">+11, 13, ZUBAT</t>
  </si>
  <si>
    <t xml:space="preserve">+11, 13, GEODUDE</t>
  </si>
  <si>
    <t xml:space="preserve">+12, 12, SANDSHREW</t>
  </si>
  <si>
    <t xml:space="preserve">+12, 12, PARAS</t>
  </si>
  <si>
    <t xml:space="preserve">+12, 15, ONIX</t>
  </si>
  <si>
    <t xml:space="preserve">+12, 15, CLEFAIRY @} @}, &lt;null&gt;, &lt;null&gt;, &lt;null&gt;</t>
  </si>
  <si>
    <t xml:space="preserve">+1, 3, 0, @{ 7, @{ # 20%</t>
  </si>
  <si>
    <t xml:space="preserve">10, 13, ZUBAT</t>
  </si>
  <si>
    <t xml:space="preserve">+10, 13, ZUBAT</t>
  </si>
  <si>
    <t xml:space="preserve">+11, 14, ZUBAT</t>
  </si>
  <si>
    <t xml:space="preserve">+11, 14, GEODUDE</t>
  </si>
  <si>
    <t xml:space="preserve">+11, 14, SANDSHREW</t>
  </si>
  <si>
    <t xml:space="preserve">+13, 13, PARAS</t>
  </si>
  <si>
    <t xml:space="preserve">+13, 13, ONIX</t>
  </si>
  <si>
    <t xml:space="preserve">+13, 13, CLEFAIRY</t>
  </si>
  <si>
    <t xml:space="preserve">+13, 16, GOLBAT</t>
  </si>
  <si>
    <t xml:space="preserve">+13, 16, GRAVELER @} @}, &lt;null&gt;, &lt;null&gt;, &lt;null&gt;</t>
  </si>
  <si>
    <t xml:space="preserve">+1, 4, 0, &lt;null&gt;, @{ 1, @{ 5, 10, TENTACOOL</t>
  </si>
  <si>
    <t xml:space="preserve">+10, 20, TENTACOOL</t>
  </si>
  <si>
    <t xml:space="preserve">+20, 30, TENTACOOL</t>
  </si>
  <si>
    <t xml:space="preserve">+30, 35, TENTACOOL</t>
  </si>
  <si>
    <t xml:space="preserve">+35, 40, TENTACOOL @} @}, &lt;null&gt;, @{ 10, @{ # old rod:</t>
  </si>
  <si>
    <t xml:space="preserve">5, 5, MAGIKARP</t>
  </si>
  <si>
    <t xml:space="preserve">+5, 5, MAGIKARP</t>
  </si>
  <si>
    <t xml:space="preserve"># good rod:</t>
  </si>
  <si>
    <t xml:space="preserve">+5, 15, KRABBY</t>
  </si>
  <si>
    <t xml:space="preserve">+5, 15, MAGIKARP</t>
  </si>
  <si>
    <t xml:space="preserve">+5, 15, HORSEA</t>
  </si>
  <si>
    <t xml:space="preserve"># super rod:</t>
  </si>
  <si>
    <t xml:space="preserve">+15, 25, KRABBY</t>
  </si>
  <si>
    <t xml:space="preserve">+15, 25, STARYU</t>
  </si>
  <si>
    <t xml:space="preserve">+15, 25, GYARADOS</t>
  </si>
  <si>
    <t xml:space="preserve">+25, 35, KRABBY</t>
  </si>
  <si>
    <t xml:space="preserve">+25, 35, SLOWPOKE @} @}</t>
  </si>
  <si>
    <t xml:space="preserve">+1, 37, 0, @{ 5, @{ # 20%</t>
  </si>
  <si>
    <t xml:space="preserve">18, 18, DIGLETT</t>
  </si>
  <si>
    <t xml:space="preserve">+19, 19, DIGLETT</t>
  </si>
  <si>
    <t xml:space="preserve">+20, 20, DIGLETT</t>
  </si>
  <si>
    <t xml:space="preserve">+21, 21, DIGLETT</t>
  </si>
  <si>
    <t xml:space="preserve">+22, 22, DIGLETT</t>
  </si>
  <si>
    <t xml:space="preserve">+19, 19, DUGTRIO</t>
  </si>
  <si>
    <t xml:space="preserve">+23, 23, DIGLETT</t>
  </si>
  <si>
    <t xml:space="preserve">+24, 24, DIGLETT</t>
  </si>
  <si>
    <t xml:space="preserve">+20, 23, DUGTRIO</t>
  </si>
  <si>
    <t xml:space="preserve">+24, 26, DUGTRIO</t>
  </si>
  <si>
    <t xml:space="preserve">+27, 28, DUGTRIO</t>
  </si>
  <si>
    <t xml:space="preserve">+30, 30, DUGROUPLE @} @}, &lt;null&gt;, &lt;null&gt;, &lt;null&gt;</t>
  </si>
  <si>
    <t xml:space="preserve">+1, 39, 0, @{ 7, @{ # 20%</t>
  </si>
  <si>
    <t xml:space="preserve">51, 56, NOHTYP</t>
  </si>
  <si>
    <t xml:space="preserve">+51, 56, CROBAT</t>
  </si>
  <si>
    <t xml:space="preserve">+51, 56, MACHAMP</t>
  </si>
  <si>
    <t xml:space="preserve">+51, 56, GOLEM</t>
  </si>
  <si>
    <t xml:space="preserve">+53, 57, ADNOKANA</t>
  </si>
  <si>
    <t xml:space="preserve">+53, 57, POLABAT</t>
  </si>
  <si>
    <t xml:space="preserve">+53, 57, MACHULK</t>
  </si>
  <si>
    <t xml:space="preserve">+53, 57, RHYMARKABL</t>
  </si>
  <si>
    <t xml:space="preserve">+55, 57, PLATNIX</t>
  </si>
  <si>
    <t xml:space="preserve">+55, 57, SLAGOLEM</t>
  </si>
  <si>
    <t xml:space="preserve">+58, 60, MOLTREM</t>
  </si>
  <si>
    <t xml:space="preserve">+58, 60, WRAIWRATH @} @}, &lt;null&gt;, &lt;null&gt;, &lt;null&gt;</t>
  </si>
  <si>
    <t xml:space="preserve">+1, 40, 0, @{ 7, @{ # 20%</t>
  </si>
  <si>
    <t xml:space="preserve">+59, 61, MOLTREM</t>
  </si>
  <si>
    <t xml:space="preserve">+59, 61, FERODILLO @} @}, &lt;null&gt;, &lt;null&gt;, &lt;null&gt;</t>
  </si>
  <si>
    <t xml:space="preserve">+1, 41, 0, @{ 7, @{ # 20%</t>
  </si>
  <si>
    <t xml:space="preserve">+60, 62, MOLTREM</t>
  </si>
  <si>
    <t xml:space="preserve">+60, 62, CLAYMOR @} @}, &lt;null&gt;, &lt;null&gt;, &lt;null&gt;</t>
  </si>
  <si>
    <t xml:space="preserve">+1, 59, 0, @{ 7, @{ # 20%</t>
  </si>
  <si>
    <t xml:space="preserve">40, 44, RATTCHET</t>
  </si>
  <si>
    <t xml:space="preserve">+40, 44, NINETALES</t>
  </si>
  <si>
    <t xml:space="preserve">+41, 42, ARCANINE</t>
  </si>
  <si>
    <t xml:space="preserve">+43, 44, ARCANINE</t>
  </si>
  <si>
    <t xml:space="preserve">+42, 44, WEEZING</t>
  </si>
  <si>
    <t xml:space="preserve">+42, 44, MUK</t>
  </si>
  <si>
    <t xml:space="preserve">+43, 45, SINGESHA</t>
  </si>
  <si>
    <t xml:space="preserve">+43, 45, SPIRITALES</t>
  </si>
  <si>
    <t xml:space="preserve">+45, 46, GUNK</t>
  </si>
  <si>
    <t xml:space="preserve">+45, 46, HEEVING</t>
  </si>
  <si>
    <t xml:space="preserve">+44, 47, RATTARULE</t>
  </si>
  <si>
    <t xml:space="preserve">+20, 25, CHARMANDER @} @}, &lt;null&gt;, &lt;null&gt;, &lt;null&gt;</t>
  </si>
  <si>
    <t xml:space="preserve">+1, 60, 0, @{ 7, @{ # 20%</t>
  </si>
  <si>
    <t xml:space="preserve">+1, 61, 0, @{ 7, @{ # 20%</t>
  </si>
  <si>
    <t xml:space="preserve">+1, 62, 0, @{ 5, @{ # 20%</t>
  </si>
  <si>
    <t xml:space="preserve">+43, 45, GUNK</t>
  </si>
  <si>
    <t xml:space="preserve">+43, 45, HEEVING</t>
  </si>
  <si>
    <t xml:space="preserve">+45, 46, RATTARULE</t>
  </si>
  <si>
    <t xml:space="preserve">+45, 46, DITTO</t>
  </si>
  <si>
    <t xml:space="preserve">+20, 25, KABUTO</t>
  </si>
  <si>
    <t xml:space="preserve">+20, 25, OMANYTE @} @}, &lt;null&gt;, &lt;null&gt;, &lt;null&gt;</t>
  </si>
  <si>
    <t xml:space="preserve">+1, 63, 0, @{ 21, @{ # 20%</t>
  </si>
  <si>
    <t xml:space="preserve">35, 40, NIDOKING</t>
  </si>
  <si>
    <t xml:space="preserve">+35, 40, NIDOQUEEN</t>
  </si>
  <si>
    <t xml:space="preserve">+36, 41, PARASECT</t>
  </si>
  <si>
    <t xml:space="preserve">+36, 41, VENOMOTH</t>
  </si>
  <si>
    <t xml:space="preserve">+36, 41, EXEGGUTOR</t>
  </si>
  <si>
    <t xml:space="preserve">+36, 41, RHYDON</t>
  </si>
  <si>
    <t xml:space="preserve">+37, 39, SCIZOR</t>
  </si>
  <si>
    <t xml:space="preserve">+37, 39, PINSIRIOR</t>
  </si>
  <si>
    <t xml:space="preserve">+38, 42, CHANSEY</t>
  </si>
  <si>
    <t xml:space="preserve">+38, 42, JOLTEON</t>
  </si>
  <si>
    <t xml:space="preserve">+40, 40, BLISSEY</t>
  </si>
  <si>
    <t xml:space="preserve">+40, 40, RHYPERIOR @} @}, @{ 2, @{ 38, 42, SLOWPOKE</t>
  </si>
  <si>
    <t xml:space="preserve">+40, 42, PSYDUCK</t>
  </si>
  <si>
    <t xml:space="preserve">+42, 46, SLOWBRO</t>
  </si>
  <si>
    <t xml:space="preserve">+42, 46, GOLDUCK</t>
  </si>
  <si>
    <t xml:space="preserve">+44, 48, VAPOREON @} @}, &lt;null&gt;, @{ 20, @{ # old rod:</t>
  </si>
  <si>
    <t xml:space="preserve">19, 26, MAGIKARP</t>
  </si>
  <si>
    <t xml:space="preserve">+19, 26, POLIWAG</t>
  </si>
  <si>
    <t xml:space="preserve">+29, 33, GYARADOS</t>
  </si>
  <si>
    <t xml:space="preserve">+30, 35, POLIWAG</t>
  </si>
  <si>
    <t xml:space="preserve">+30, 35, GOLDEEN</t>
  </si>
  <si>
    <t xml:space="preserve">+36, 40, POLIWHIRL</t>
  </si>
  <si>
    <t xml:space="preserve">+36, 40, SEAKING</t>
  </si>
  <si>
    <t xml:space="preserve">+38, 42, DRATINI</t>
  </si>
  <si>
    <t xml:space="preserve">+38, 42, DRAGONAIR</t>
  </si>
  <si>
    <t xml:space="preserve">+40, 44, DRAGONITE @} @}</t>
  </si>
  <si>
    <t xml:space="preserve">+1, 64, 0, @{ 21, @{ # 20%</t>
  </si>
  <si>
    <t xml:space="preserve">+36, 41, DODRIO</t>
  </si>
  <si>
    <t xml:space="preserve">+36, 41, MAGMAR</t>
  </si>
  <si>
    <t xml:space="preserve">+38, 42, KANGASKHAN</t>
  </si>
  <si>
    <t xml:space="preserve">+38, 42, HITMONCHAN</t>
  </si>
  <si>
    <t xml:space="preserve">+40, 40, KANGALLOUS</t>
  </si>
  <si>
    <t xml:space="preserve">+40, 40, MAGMORTAR @} @}, @{ 2, @{ 38, 42, SLOWPOKE</t>
  </si>
  <si>
    <t xml:space="preserve">+1, 65, 0, @{ 21, @{ # 20%</t>
  </si>
  <si>
    <t xml:space="preserve">+36, 41, CLEFABLE</t>
  </si>
  <si>
    <t xml:space="preserve">+36, 41, ELECTABUZZ</t>
  </si>
  <si>
    <t xml:space="preserve">+38, 42, TAUROS</t>
  </si>
  <si>
    <t xml:space="preserve">+38, 42, FLAREON</t>
  </si>
  <si>
    <t xml:space="preserve">+40, 40, TAUROX</t>
  </si>
  <si>
    <t xml:space="preserve">+40, 40, ELECTIVIRE @} @}, @{ 2, @{ 38, 42, SLOWPOKE</t>
  </si>
  <si>
    <t xml:space="preserve">+1, 66, 0, @{ 21, @{ # 20%</t>
  </si>
  <si>
    <t xml:space="preserve">+36, 41, RAPIDASH</t>
  </si>
  <si>
    <t xml:space="preserve">+36, 41, TANGELA</t>
  </si>
  <si>
    <t xml:space="preserve">+38, 42, SNORLAX</t>
  </si>
  <si>
    <t xml:space="preserve">+38, 42, HITMONLEE</t>
  </si>
  <si>
    <t xml:space="preserve">+40, 40, ACTLAX</t>
  </si>
  <si>
    <t xml:space="preserve">+40, 40, TANGROWTH @} @}, @{ 2, @{ 38, 42, SLOWPOKE</t>
  </si>
  <si>
    <t xml:space="preserve">+1, 72, 0, @{ 7, @{ # 20%</t>
  </si>
  <si>
    <t xml:space="preserve">50, 55, DUGROUPLE</t>
  </si>
  <si>
    <t xml:space="preserve">+50, 55, POLABAT</t>
  </si>
  <si>
    <t xml:space="preserve">+52, 55, VENOMENON</t>
  </si>
  <si>
    <t xml:space="preserve">+52, 55, "MR. JEST"</t>
  </si>
  <si>
    <t xml:space="preserve">+52, 55, NIDORULY</t>
  </si>
  <si>
    <t xml:space="preserve">+52, 55, NIDOREGAL</t>
  </si>
  <si>
    <t xml:space="preserve">+54, 56, MORPHO</t>
  </si>
  <si>
    <t xml:space="preserve">+54, 56, MAGNEMELD</t>
  </si>
  <si>
    <t xml:space="preserve">+54, 56, VOHOO-DU</t>
  </si>
  <si>
    <t xml:space="preserve">+54, 56, CLEFAEFAE</t>
  </si>
  <si>
    <t xml:space="preserve">+55, 56, KABUTAK</t>
  </si>
  <si>
    <t xml:space="preserve">+55, 56, OMAPAL @} @}, @{ 2, @{ 50, 55, POLITOES</t>
  </si>
  <si>
    <t xml:space="preserve">+50, 55, DRAGONITE</t>
  </si>
  <si>
    <t xml:space="preserve">+52, 57, POLIWISE</t>
  </si>
  <si>
    <t xml:space="preserve">+52, 57, DRAGONIER</t>
  </si>
  <si>
    <t xml:space="preserve">+53, 58, NESSEA @} @}, &lt;null&gt;, @{ 20, @{ # old rod:</t>
  </si>
  <si>
    <t xml:space="preserve">23, 36, CLOYSTER</t>
  </si>
  <si>
    <t xml:space="preserve">+23, 36, GYARADOS</t>
  </si>
  <si>
    <t xml:space="preserve">+30, 38, CLOYSTER</t>
  </si>
  <si>
    <t xml:space="preserve">+32, 40, KINGDRA</t>
  </si>
  <si>
    <t xml:space="preserve">+32, 40, HYDRADOS</t>
  </si>
  <si>
    <t xml:space="preserve">+50, 55, LORDRA</t>
  </si>
  <si>
    <t xml:space="preserve">+50, 55, AN'ENEMY</t>
  </si>
  <si>
    <t xml:space="preserve">+52, 57, DRACOSMIC</t>
  </si>
  <si>
    <t xml:space="preserve">+52, 57, GLAISHELL</t>
  </si>
  <si>
    <t xml:space="preserve">+53, 58, STARWE @} @}</t>
  </si>
  <si>
    <t xml:space="preserve">+1, 73, 0, @{ 7, @{ # 20%</t>
  </si>
  <si>
    <t xml:space="preserve">+55, 56, OMAPAL @} @}, &lt;null&gt;, &lt;null&gt;, &lt;null&gt;</t>
  </si>
  <si>
    <t xml:space="preserve">+1, 74, 0, @{ 7, @{ # 20%</t>
  </si>
  <si>
    <t xml:space="preserve">+1, 81, 0, @{ 7, @{ # 20%</t>
  </si>
  <si>
    <t xml:space="preserve">20, 23, RHYHORN</t>
  </si>
  <si>
    <t xml:space="preserve">+20, 23, GEODUDE</t>
  </si>
  <si>
    <t xml:space="preserve">+20, 24, ONIX</t>
  </si>
  <si>
    <t xml:space="preserve">+19, 23, MANKEY</t>
  </si>
  <si>
    <t xml:space="preserve">+19, 23, MACHOP</t>
  </si>
  <si>
    <t xml:space="preserve">+22, 24, GOLBAT</t>
  </si>
  <si>
    <t xml:space="preserve">+24, 24, RHYHORN</t>
  </si>
  <si>
    <t xml:space="preserve">+24, 24, GEODUDE</t>
  </si>
  <si>
    <t xml:space="preserve">+20, 25, GRAVELER</t>
  </si>
  <si>
    <t xml:space="preserve">+25, 25, GOLBAT</t>
  </si>
  <si>
    <t xml:space="preserve">+20, 25, PINSIR</t>
  </si>
  <si>
    <t xml:space="preserve">+20, 23, KANGASKHAN @} @}, &lt;null&gt;, &lt;null&gt;, &lt;null&gt;</t>
  </si>
  <si>
    <t xml:space="preserve">+1, 82, 0, @{ 7, @{ # 20%</t>
  </si>
  <si>
    <t xml:space="preserve">+21, 24, KANGASKHAN @} @}, &lt;null&gt;, @{ 50, @{ 5, 20, GEODUDE</t>
  </si>
  <si>
    <t xml:space="preserve">+10, 20, GEODUDE</t>
  </si>
  <si>
    <t xml:space="preserve">+15, 30, GEODUDE</t>
  </si>
  <si>
    <t xml:space="preserve">+25, 40, GRAVELER</t>
  </si>
  <si>
    <t xml:space="preserve">+30, 40, GRAVELER @} @}, &lt;null&gt;</t>
  </si>
  <si>
    <t xml:space="preserve">+1, 83, 0, @{ 7, @{ # 20%</t>
  </si>
  <si>
    <t xml:space="preserve">40, 44, GOLBAT</t>
  </si>
  <si>
    <t xml:space="preserve">+40, 44, GOLDUCK</t>
  </si>
  <si>
    <t xml:space="preserve">+40, 44, SLOWBRO</t>
  </si>
  <si>
    <t xml:space="preserve">+40, 44, CROBAT</t>
  </si>
  <si>
    <t xml:space="preserve">+40, 44, DEWGONG</t>
  </si>
  <si>
    <t xml:space="preserve">+40, 44, LICKILICKY</t>
  </si>
  <si>
    <t xml:space="preserve">+42, 46, POLABAT</t>
  </si>
  <si>
    <t xml:space="preserve">+42, 46, GILDUCK</t>
  </si>
  <si>
    <t xml:space="preserve">+44, 47, SLOWMATE</t>
  </si>
  <si>
    <t xml:space="preserve">+44, 47, PRECIPED</t>
  </si>
  <si>
    <t xml:space="preserve">+45, 50, DRAGONITE</t>
  </si>
  <si>
    <t xml:space="preserve">+45, 50, LICKILICKY @} @}, &lt;null&gt;, &lt;null&gt;, &lt;null&gt;</t>
  </si>
  <si>
    <t xml:space="preserve">+1, 84, 0, @{ 7, @{ # 20%</t>
  </si>
  <si>
    <t xml:space="preserve">+45, 50, LICKILOLLY @} @}, &lt;null&gt;, &lt;null&gt;, &lt;null&gt;</t>
  </si>
  <si>
    <t xml:space="preserve">+1, 85, 0, @{ 7, @{ # 20%</t>
  </si>
  <si>
    <t xml:space="preserve">+1, 86, 0, @{ 7, @{ # 20%</t>
  </si>
  <si>
    <t xml:space="preserve">+45, 50, LICKILOLLY @} @}, @{ 2, @{ 38, 44, DEWGONG</t>
  </si>
  <si>
    <t xml:space="preserve">+40, 44, SEADRA</t>
  </si>
  <si>
    <t xml:space="preserve">+42, 46, KINGLER</t>
  </si>
  <si>
    <t xml:space="preserve">+42, 46, LAPRAS</t>
  </si>
  <si>
    <t xml:space="preserve">+42, 46, SLOWBRO @} @}, &lt;null&gt;, @{ 20, @{ # old rod:</t>
  </si>
  <si>
    <t xml:space="preserve">19, 26, HORSEA</t>
  </si>
  <si>
    <t xml:space="preserve">+19, 26, SHELLDER</t>
  </si>
  <si>
    <t xml:space="preserve">+29, 33, SEADRA</t>
  </si>
  <si>
    <t xml:space="preserve">+30, 35, KRABBY</t>
  </si>
  <si>
    <t xml:space="preserve">+30, 35, GOLDUCK</t>
  </si>
  <si>
    <t xml:space="preserve">+36, 40, KINGDRA</t>
  </si>
  <si>
    <t xml:space="preserve">+36, 40, CLOYSTER</t>
  </si>
  <si>
    <t xml:space="preserve">+38, 42, GILDUCK</t>
  </si>
  <si>
    <t xml:space="preserve">+38, 42, KRAKLAW</t>
  </si>
  <si>
    <t xml:space="preserve">+40, 44, LORDRA @} @}</t>
  </si>
  <si>
    <t xml:space="preserve">+1, 87, 0, @{ 7, @{ # 20%</t>
  </si>
  <si>
    <t xml:space="preserve">+1, 90, 0, @{ 2, @{ # 20%</t>
  </si>
  <si>
    <t xml:space="preserve">28, 31, GASTLY</t>
  </si>
  <si>
    <t xml:space="preserve">+29, 32, RATTATA</t>
  </si>
  <si>
    <t xml:space="preserve">+27, 31, CUBONE</t>
  </si>
  <si>
    <t xml:space="preserve">+29, 32, HAUNTER</t>
  </si>
  <si>
    <t xml:space="preserve">+28, 31, DROWZEE</t>
  </si>
  <si>
    <t xml:space="preserve">+28, 31, VULPIX</t>
  </si>
  <si>
    <t xml:space="preserve">+29, 32, HYPNO</t>
  </si>
  <si>
    <t xml:space="preserve">+28, 31, RATICATE</t>
  </si>
  <si>
    <t xml:space="preserve">+29, 32, MAROWAK</t>
  </si>
  <si>
    <t xml:space="preserve">+28, 31, RATTCHET</t>
  </si>
  <si>
    <t xml:space="preserve">+33, 33, HAUNTER</t>
  </si>
  <si>
    <t xml:space="preserve">+32, 33, NINETALES @} @}, &lt;null&gt;, &lt;null&gt;, &lt;null&gt;</t>
  </si>
  <si>
    <t xml:space="preserve">+1, 91, 0, @{ 4, @{ # 20%</t>
  </si>
  <si>
    <t xml:space="preserve">+1, 92, 0, @{ 6, @{ # 20%</t>
  </si>
  <si>
    <t xml:space="preserve">+1, 93, 0, @{ 8, @{ # 20%</t>
  </si>
  <si>
    <t xml:space="preserve">+1, 94, 0, @{ 10, @{ # 20%</t>
  </si>
  <si>
    <t xml:space="preserve">+32, 33, GENGAR</t>
  </si>
  <si>
    <t xml:space="preserve">+1, 95, 0, @{ 7, @{ # 20%</t>
  </si>
  <si>
    <t xml:space="preserve">39, 46, MAGNEMITE</t>
  </si>
  <si>
    <t xml:space="preserve">+39, 46, PIKACHU</t>
  </si>
  <si>
    <t xml:space="preserve">+41, 48, VOLTORB</t>
  </si>
  <si>
    <t xml:space="preserve">+41, 46, ELECTABUZZ</t>
  </si>
  <si>
    <t xml:space="preserve">+41, 48, PORYGON</t>
  </si>
  <si>
    <t xml:space="preserve">+41, 48, MAGNETON</t>
  </si>
  <si>
    <t xml:space="preserve">+43, 50, PORYGON2</t>
  </si>
  <si>
    <t xml:space="preserve">+43, 50, ELECTRODE</t>
  </si>
  <si>
    <t xml:space="preserve">+43, 50, JOLTEON</t>
  </si>
  <si>
    <t xml:space="preserve">+43, 50, RAICHU</t>
  </si>
  <si>
    <t xml:space="preserve">+45, 52, ELECTIVIRE</t>
  </si>
  <si>
    <t xml:space="preserve">+45, 50, MAGNEZONE @} @}, &lt;null&gt;, &lt;null&gt;, &lt;null&gt;</t>
  </si>
  <si>
    <t xml:space="preserve">+1, 97, 0, @{ 21, @{ # 20%</t>
  </si>
  <si>
    <t xml:space="preserve">30, 30, PONYTA</t>
  </si>
  <si>
    <t xml:space="preserve">+38, 38, FEAROW</t>
  </si>
  <si>
    <t xml:space="preserve">+33, 33, PONYTA</t>
  </si>
  <si>
    <t xml:space="preserve">+32, 32, SPEAROW</t>
  </si>
  <si>
    <t xml:space="preserve">+35, 35, MACHOP</t>
  </si>
  <si>
    <t xml:space="preserve">+33, 33, GEODUDE</t>
  </si>
  <si>
    <t xml:space="preserve">+36, 36, PONYTA</t>
  </si>
  <si>
    <t xml:space="preserve">+40, 40, FEAROW</t>
  </si>
  <si>
    <t xml:space="preserve">+38, 38, MAGMAR</t>
  </si>
  <si>
    <t xml:space="preserve">+39, 39, RAPIDASH</t>
  </si>
  <si>
    <t xml:space="preserve">+40, 40, MAGMAR</t>
  </si>
  <si>
    <t xml:space="preserve">+42, 42, RAPIDASH @} @}, &lt;null&gt;, @{ 50, @{ 5, 20, GEODUDE</t>
  </si>
  <si>
    <t xml:space="preserve">+1, 98, 0, @{ 7, @{ # 20%</t>
  </si>
  <si>
    <t xml:space="preserve">33, 33, GEODUDE</t>
  </si>
  <si>
    <t xml:space="preserve">+29, 29, GEODUDE</t>
  </si>
  <si>
    <t xml:space="preserve">+31, 31, GEODUDE</t>
  </si>
  <si>
    <t xml:space="preserve">+31, 31, MACHOP</t>
  </si>
  <si>
    <t xml:space="preserve">+33, 33, MACHOP</t>
  </si>
  <si>
    <t xml:space="preserve">+35, 35, GEODUDE</t>
  </si>
  <si>
    <t xml:space="preserve">+37, 37, MACHOP</t>
  </si>
  <si>
    <t xml:space="preserve">+37, 37, GEODUDE</t>
  </si>
  <si>
    <t xml:space="preserve">+39, 39, MACHOP</t>
  </si>
  <si>
    <t xml:space="preserve">+39, 39, MACHOP @} @}, &lt;null&gt;, &lt;null&gt;, &lt;null&gt;</t>
  </si>
  <si>
    <t xml:space="preserve">+1, 99, 0, @{ 7, @{ # 20%</t>
  </si>
  <si>
    <t xml:space="preserve">34, 34, GEODUDE</t>
  </si>
  <si>
    <t xml:space="preserve">+36, 36, MACHOP</t>
  </si>
  <si>
    <t xml:space="preserve">+30, 30, GEODUDE</t>
  </si>
  <si>
    <t xml:space="preserve">+32, 32, GEODUDE</t>
  </si>
  <si>
    <t xml:space="preserve">+32, 32, MACHOP</t>
  </si>
  <si>
    <t xml:space="preserve">+34, 34, MACHOP</t>
  </si>
  <si>
    <t xml:space="preserve">+38, 38, MACHOKE</t>
  </si>
  <si>
    <t xml:space="preserve">+40, 40, MACHOKE</t>
  </si>
  <si>
    <t xml:space="preserve">+40, 40, MACHOKE @} @}, &lt;null&gt;, @{ 50, @{ 5, 20, GEODUDE</t>
  </si>
  <si>
    <t xml:space="preserve">+1, 100, 0, @{ 7, @{ # 20%</t>
  </si>
  <si>
    <t xml:space="preserve">+1, 103, 0, @{ 7, @{ # 20%</t>
  </si>
  <si>
    <t xml:space="preserve">36, 36, GEODUDE</t>
  </si>
  <si>
    <t xml:space="preserve">+38, 38, MACHOP</t>
  </si>
  <si>
    <t xml:space="preserve">+34, 34, GEODUDE</t>
  </si>
  <si>
    <t xml:space="preserve">+38, 38, GEODUDE</t>
  </si>
  <si>
    <t xml:space="preserve">+40, 40, GEODUDE</t>
  </si>
  <si>
    <t xml:space="preserve">+42, 42, MACHOKE</t>
  </si>
  <si>
    <t xml:space="preserve">+42, 42, MACHOKE @} @}, &lt;null&gt;, @{ 50, @{ 25, 35, GEODUDE</t>
  </si>
  <si>
    <t xml:space="preserve">+30, 45, GRAVELER</t>
  </si>
  <si>
    <t xml:space="preserve">+35, 50, GRAVELER</t>
  </si>
  <si>
    <t xml:space="preserve">+30, 40, GEODUDE</t>
  </si>
  <si>
    <t xml:space="preserve">+30, 40, GEODUDE @} @}, &lt;null&gt;</t>
  </si>
  <si>
    <t xml:space="preserve">+1, 104, 0, @{ 7, @{ # 20%</t>
  </si>
  <si>
    <t xml:space="preserve">38, 38, GEODUDE</t>
  </si>
  <si>
    <t xml:space="preserve">+36, 36, GEODUDE</t>
  </si>
  <si>
    <t xml:space="preserve">+24, 24, SLUGMA</t>
  </si>
  <si>
    <t xml:space="preserve">+26, 26, SLUGMA</t>
  </si>
  <si>
    <t xml:space="preserve">+42, 42, GEODUDE</t>
  </si>
  <si>
    <t xml:space="preserve">+28, 28, SLUGMA</t>
  </si>
  <si>
    <t xml:space="preserve">+30, 30, SLUGMA</t>
  </si>
  <si>
    <t xml:space="preserve">+30, 30, SLUGMA @} @}, &lt;null&gt;, @{ 50, @{ 25, 35, GEODUDE</t>
  </si>
  <si>
    <t xml:space="preserve">+1, 105, 0, @{ 7, @{ # 20%</t>
  </si>
  <si>
    <t xml:space="preserve">40, 40, GEODUDE</t>
  </si>
  <si>
    <t xml:space="preserve">+44, 44, GEODUDE</t>
  </si>
  <si>
    <t xml:space="preserve">+32, 32, SLUGMA</t>
  </si>
  <si>
    <t xml:space="preserve">+22, 22, SLUGMA</t>
  </si>
  <si>
    <t xml:space="preserve">+22, 22, SLUGMA @} @}, &lt;null&gt;, @{ 50, @{ 25, 35, GEODUDE</t>
  </si>
  <si>
    <t xml:space="preserve">+1, 106, 0, @{ 7, @{ # 20%</t>
  </si>
  <si>
    <t xml:space="preserve">26, 26, SLUGMA</t>
  </si>
  <si>
    <t xml:space="preserve">+20, 20, SLUGMA</t>
  </si>
  <si>
    <t xml:space="preserve">+34, 34, SLUGMA</t>
  </si>
  <si>
    <t xml:space="preserve">+36, 36, SLUGMA</t>
  </si>
  <si>
    <t xml:space="preserve">+18, 18, SLUGMA</t>
  </si>
  <si>
    <t xml:space="preserve">+18, 18, SLUGMA @} @}, &lt;null&gt;, @{ 50, @{ 15, 25, SLUGMA</t>
  </si>
  <si>
    <t xml:space="preserve">+25, 35, SLUGMA</t>
  </si>
  <si>
    <t xml:space="preserve">+40, 45, MAGCARGO</t>
  </si>
  <si>
    <t xml:space="preserve">+35, 45, MAGCARGO</t>
  </si>
  <si>
    <t xml:space="preserve">+25, 35, MAGCARGO @} @}, &lt;null&gt;</t>
  </si>
  <si>
    <t xml:space="preserve">+1, 107, 0, @{ 7, @{ # 20%</t>
  </si>
  <si>
    <t xml:space="preserve">+1, 108, 0, @{ 7, @{ # 20%</t>
  </si>
  <si>
    <t xml:space="preserve">+1, 109, 0, @{ 21, @{ # 20%</t>
  </si>
  <si>
    <t xml:space="preserve">37, 37, PIDGEOTTO</t>
  </si>
  <si>
    <t xml:space="preserve">+35, 35, WEEPINBELL</t>
  </si>
  <si>
    <t xml:space="preserve">+32, 32, PIDGEY</t>
  </si>
  <si>
    <t xml:space="preserve">+30, 30, BELLSPROUT</t>
  </si>
  <si>
    <t xml:space="preserve">+34, 34, VENONAT</t>
  </si>
  <si>
    <t xml:space="preserve">+34, 34, DROWZEE</t>
  </si>
  <si>
    <t xml:space="preserve">+35, 35, EXEGGCUTE</t>
  </si>
  <si>
    <t xml:space="preserve">+31, 31, SLOWPOKE</t>
  </si>
  <si>
    <t xml:space="preserve">+37, 37, VENOMOTH</t>
  </si>
  <si>
    <t xml:space="preserve">+37, 37, HYPNO</t>
  </si>
  <si>
    <t xml:space="preserve">+40, 40, VENOMOTH</t>
  </si>
  <si>
    <t xml:space="preserve">+40, 40, HYPNO @} @}, @{ 2, @{ 5, 20, SLOWPOKE</t>
  </si>
  <si>
    <t xml:space="preserve">+20, 35, SLOWPOKE</t>
  </si>
  <si>
    <t xml:space="preserve">+35, 40, SLOWPOKE</t>
  </si>
  <si>
    <t xml:space="preserve">+35, 40, SLOWBRO</t>
  </si>
  <si>
    <t xml:space="preserve">+35, 40, SLOWBRO @} @}, &lt;null&gt;, @{ 20, @{ # old rod:</t>
  </si>
  <si>
    <t xml:space="preserve">+5, 15, GOLDEEN</t>
  </si>
  <si>
    <t xml:space="preserve">+5, 15, POLIWAG</t>
  </si>
  <si>
    <t xml:space="preserve">+15, 25, GOLDEEN</t>
  </si>
  <si>
    <t xml:space="preserve">+20, 30, SEAKING</t>
  </si>
  <si>
    <t xml:space="preserve">+15, 25, SLOWPOKE</t>
  </si>
  <si>
    <t xml:space="preserve">+1, 110, 0, @{ 7, @{ # 20%</t>
  </si>
  <si>
    <t xml:space="preserve">43, 43, SEEL</t>
  </si>
  <si>
    <t xml:space="preserve">+45, 45, GOLBAT</t>
  </si>
  <si>
    <t xml:space="preserve">+45, 45, SEEL</t>
  </si>
  <si>
    <t xml:space="preserve">+47, 47, SEEL</t>
  </si>
  <si>
    <t xml:space="preserve">+40, 40, ZUBAT</t>
  </si>
  <si>
    <t xml:space="preserve">+49, 49, DEWGONG</t>
  </si>
  <si>
    <t xml:space="preserve">+51, 51, DEWGONG</t>
  </si>
  <si>
    <t xml:space="preserve">+41, 41, SLOWPOKE</t>
  </si>
  <si>
    <t xml:space="preserve">+48, 48, GOLBAT</t>
  </si>
  <si>
    <t xml:space="preserve">+53, 53, DEWGONG</t>
  </si>
  <si>
    <t xml:space="preserve">+53, 53, DEWGONG @} @}, @{ 2, @{ 5, 35, SEEL</t>
  </si>
  <si>
    <t xml:space="preserve">+5, 35, SLOWPOKE</t>
  </si>
  <si>
    <t xml:space="preserve">+35, 40, DEWGONG</t>
  </si>
  <si>
    <t xml:space="preserve">+5, 15, MARILL</t>
  </si>
  <si>
    <t xml:space="preserve">+5, 15, MARILL @} @}, &lt;null&gt;, @{ 20, @{ # old rod:</t>
  </si>
  <si>
    <t xml:space="preserve">+15, 25, POLIWAG</t>
  </si>
  <si>
    <t xml:space="preserve">+20, 30, POLIWHIRL</t>
  </si>
  <si>
    <t xml:space="preserve">+1, 111, 0, @{ 7, @{ # 20%</t>
  </si>
  <si>
    <t xml:space="preserve">25, 25, SWINUB</t>
  </si>
  <si>
    <t xml:space="preserve">+27, 27, SWINUB</t>
  </si>
  <si>
    <t xml:space="preserve">+29, 29, SWINUB</t>
  </si>
  <si>
    <t xml:space="preserve">+30, 30, SNEASEL</t>
  </si>
  <si>
    <t xml:space="preserve">+31, 31, SWINUB</t>
  </si>
  <si>
    <t xml:space="preserve">+23, 23, SWINUB</t>
  </si>
  <si>
    <t xml:space="preserve">+23, 23, SWINUB @} @}, &lt;null&gt;, &lt;null&gt;, &lt;null&gt;</t>
  </si>
  <si>
    <t xml:space="preserve">+1, 112, 0, @{ 7, @{ # 20%</t>
  </si>
  <si>
    <t xml:space="preserve">+1, 113, 0, @{ 7, @{ # 20%</t>
  </si>
  <si>
    <t xml:space="preserve">+53, 53, DEWGONG @} @}, @{ 2, @{ 5, 20, TENTACOOL</t>
  </si>
  <si>
    <t xml:space="preserve">+20, 35, TENTACOOL</t>
  </si>
  <si>
    <t xml:space="preserve">+35, 45, TENTACOOL</t>
  </si>
  <si>
    <t xml:space="preserve">+35, 45, TENTACRUEL</t>
  </si>
  <si>
    <t xml:space="preserve">+30, 45, LAPRAS @} @}, &lt;null&gt;, @{ 20, @{ # old rod:</t>
  </si>
  <si>
    <t xml:space="preserve">+25, 35, KINGLER</t>
  </si>
  <si>
    <t xml:space="preserve">+1, 121, 0, @{ 21, @{ # 20%</t>
  </si>
  <si>
    <t xml:space="preserve">9, 9, LEDYBA</t>
  </si>
  <si>
    <t xml:space="preserve">+9, 9, KAKUNA</t>
  </si>
  <si>
    <t xml:space="preserve">+14, 14, LEDYBA</t>
  </si>
  <si>
    <t xml:space="preserve">+6, 6, CATERPIE</t>
  </si>
  <si>
    <t xml:space="preserve">+6, 6, WEEDLE</t>
  </si>
  <si>
    <t xml:space="preserve">+15, 15, HERACROSS</t>
  </si>
  <si>
    <t xml:space="preserve">+9, 9, METAPOD</t>
  </si>
  <si>
    <t xml:space="preserve">+20, 20, HERACROSS</t>
  </si>
  <si>
    <t xml:space="preserve">+9, 9, SPINARAK</t>
  </si>
  <si>
    <t xml:space="preserve">+25, 25, HERACROSS</t>
  </si>
  <si>
    <t xml:space="preserve">+14, 14, SPINARAK</t>
  </si>
  <si>
    <t xml:space="preserve">+30, 30, HERACROSS @} @}, &lt;null&gt;, &lt;null&gt;, &lt;null&gt;</t>
  </si>
  <si>
    <t xml:space="preserve">+2, 13, 0, @{ 1, @{ # 20%</t>
  </si>
  <si>
    <t xml:space="preserve">40, 40, GASTLY</t>
  </si>
  <si>
    <t xml:space="preserve">+37, 37, ZUBAT</t>
  </si>
  <si>
    <t xml:space="preserve">+44, 44, HAUNTER</t>
  </si>
  <si>
    <t xml:space="preserve">+46, 46, HAUNTER</t>
  </si>
  <si>
    <t xml:space="preserve">+41, 41, GOLBAT</t>
  </si>
  <si>
    <t xml:space="preserve">+43, 43, GOLBAT</t>
  </si>
  <si>
    <t xml:space="preserve">+38, 38, GASTLY</t>
  </si>
  <si>
    <t xml:space="preserve">+48, 48, HAUNTER</t>
  </si>
  <si>
    <t xml:space="preserve">+50, 50, HAUNTER</t>
  </si>
  <si>
    <t xml:space="preserve">+22, 22, MISDREAVUS</t>
  </si>
  <si>
    <t xml:space="preserve">+52, 52, HAUNTER</t>
  </si>
  <si>
    <t xml:space="preserve">+22, 22, MISDREAVUS @} @}, &lt;null&gt;, &lt;null&gt;, &lt;null&gt;</t>
  </si>
  <si>
    <t xml:space="preserve">+2, 14, 0, @{ 2, @{ # 20%</t>
  </si>
  <si>
    <t xml:space="preserve">+2, 15, 0, @{ 3, @{ # 20%</t>
  </si>
  <si>
    <t xml:space="preserve">+2, 16, 0, @{ 4, @{ # 20%</t>
  </si>
  <si>
    <t xml:space="preserve">+2, 17, 0, @{ 5, @{ # 20%</t>
  </si>
  <si>
    <t xml:space="preserve">+2, 18, 0, @{ 6, @{ # 20%</t>
  </si>
  <si>
    <t xml:space="preserve">+2, 19, 0, @{ 7, @{ # 20%</t>
  </si>
  <si>
    <t xml:space="preserve">+2, 20, 0, @{ 8, @{ # 20%</t>
  </si>
  <si>
    <t xml:space="preserve">+2, 21, 0, @{ 9, @{ # 20%</t>
  </si>
  <si>
    <t xml:space="preserve">+2, 22, 0, @{ 10, @{ # 20%</t>
  </si>
  <si>
    <t xml:space="preserve">+2, 23, 0, @{ 5, @{ # 20%</t>
  </si>
  <si>
    <t xml:space="preserve">+15, 15, MISDREAVUS</t>
  </si>
  <si>
    <t xml:space="preserve">+20, 20, MISDREAVUS</t>
  </si>
  <si>
    <t xml:space="preserve">+2, 24, 0, @{ 5, @{ # 20%</t>
  </si>
  <si>
    <t xml:space="preserve">+2, 25, 0, @{ 5, @{ # 20%</t>
  </si>
  <si>
    <t xml:space="preserve">+2, 26, 0, @{ 5, @{ # 20%</t>
  </si>
  <si>
    <t xml:space="preserve">+3, 45, 0, @{ 21, @{ # 20%</t>
  </si>
  <si>
    <t xml:space="preserve">32, 32, SPEAROW</t>
  </si>
  <si>
    <t xml:space="preserve">+34, 34, PONYTA</t>
  </si>
  <si>
    <t xml:space="preserve">+36, 36, FEAROW</t>
  </si>
  <si>
    <t xml:space="preserve">+31, 31, PONYTA</t>
  </si>
  <si>
    <t xml:space="preserve">+31, 31, MEOWTH</t>
  </si>
  <si>
    <t xml:space="preserve">+30, 30, SPEAROW</t>
  </si>
  <si>
    <t xml:space="preserve">+34, 34, SLOWPOKE</t>
  </si>
  <si>
    <t xml:space="preserve">+37, 37, RAPIDASH</t>
  </si>
  <si>
    <t xml:space="preserve">+37, 37, PERSIAN</t>
  </si>
  <si>
    <t xml:space="preserve">+40, 40, RAPIDASH</t>
  </si>
  <si>
    <t xml:space="preserve">+40, 40, PERSIAN @} @}, @{ 2, @{ 5, 20, TENTACOOL</t>
  </si>
  <si>
    <t xml:space="preserve">+35, 40, TENTACOOL</t>
  </si>
  <si>
    <t xml:space="preserve">+35, 40, TENTACRUEL</t>
  </si>
  <si>
    <t xml:space="preserve">+35, 40, TENTACRUEL @} @}, @{ 25, @{ 5, 20, GEODUDE</t>
  </si>
  <si>
    <t xml:space="preserve">+30, 40, GRAVELER @} @}, @{ 20, @{ # old rod:</t>
  </si>
  <si>
    <t xml:space="preserve">+3, 46, 0, @{ 21, @{ # 20%</t>
  </si>
  <si>
    <t xml:space="preserve">+33, 33, TANGELA</t>
  </si>
  <si>
    <t xml:space="preserve">+31, 31, SPEAROW</t>
  </si>
  <si>
    <t xml:space="preserve">+35, 35, TANGELA</t>
  </si>
  <si>
    <t xml:space="preserve">+35, 40, TENTACRUEL @} @}, &lt;null&gt;, @{ 20, @{ # old rod:</t>
  </si>
  <si>
    <t xml:space="preserve">+3, 47, 0, @{ 21, @{ # 20%</t>
  </si>
  <si>
    <t xml:space="preserve">31, 31, SPEAROW</t>
  </si>
  <si>
    <t xml:space="preserve">+32, 32, BELLSPROUT</t>
  </si>
  <si>
    <t xml:space="preserve">+36, 36, WEEPINBELL</t>
  </si>
  <si>
    <t xml:space="preserve">+38, 38, WEEPINBELL</t>
  </si>
  <si>
    <t xml:space="preserve">+37, 37, SLOWBRO</t>
  </si>
  <si>
    <t xml:space="preserve">+40, 40, SLOWBRO</t>
  </si>
  <si>
    <t xml:space="preserve">+40, 40, PERSIAN @} @}, @{ 2, @{ 5, 20, SLOWPOKE</t>
  </si>
  <si>
    <t xml:space="preserve">+3, 48, 0, @{ 21, @{ # 20%</t>
  </si>
  <si>
    <t xml:space="preserve">32, 32, PIDGEY</t>
  </si>
  <si>
    <t xml:space="preserve">+31, 31, BELLSPROUT</t>
  </si>
  <si>
    <t xml:space="preserve">+29, 29, PIDGEY</t>
  </si>
  <si>
    <t xml:space="preserve">+34, 34, PIDGEOTTO</t>
  </si>
  <si>
    <t xml:space="preserve">+37, 37, PIDGEOTTO</t>
  </si>
  <si>
    <t xml:space="preserve">+40, 40, PIDGEOTTO</t>
  </si>
  <si>
    <t xml:space="preserve">+3, 49, 0, @{ 1, @{ # 20%</t>
  </si>
  <si>
    <t xml:space="preserve">15, 15, DUNSPARCE</t>
  </si>
  <si>
    <t xml:space="preserve">+15, 15, DUNSPARCE</t>
  </si>
  <si>
    <t xml:space="preserve">+10, 10, DUNSPARCE</t>
  </si>
  <si>
    <t xml:space="preserve">+20, 20, DUNSPARCE</t>
  </si>
  <si>
    <t xml:space="preserve">+25, 25, DUNSPARCE</t>
  </si>
  <si>
    <t xml:space="preserve">+30, 30, DUNSPARCE</t>
  </si>
  <si>
    <t xml:space="preserve">+5, 5, DUNSPARCE</t>
  </si>
  <si>
    <t xml:space="preserve">+35, 35, DUNSPARCE @} @}, &lt;null&gt;, &lt;null&gt;, &lt;null&gt;</t>
  </si>
  <si>
    <t xml:space="preserve">+3, 54, 0, &lt;null&gt;, @{ 2, @{ 5, 35, TENTACOOL</t>
  </si>
  <si>
    <t xml:space="preserve">+5, 15, HOPPIP</t>
  </si>
  <si>
    <t xml:space="preserve">+15, 25, REMORAID</t>
  </si>
  <si>
    <t xml:space="preserve">+3, 55, 0, &lt;null&gt;, @{ 2, @{ 5, 35, TENTACOOL</t>
  </si>
  <si>
    <t xml:space="preserve">+3, 56, 0, @{ 21, @{ # 20%</t>
  </si>
  <si>
    <t xml:space="preserve">44, 44, PIDGEY</t>
  </si>
  <si>
    <t xml:space="preserve">+10, 10, SENTRET</t>
  </si>
  <si>
    <t xml:space="preserve">+48, 48, PIDGEOTTO</t>
  </si>
  <si>
    <t xml:space="preserve">+10, 10, HOPPIP</t>
  </si>
  <si>
    <t xml:space="preserve">+15, 15, SENTRET</t>
  </si>
  <si>
    <t xml:space="preserve">+41, 41, MEOWTH</t>
  </si>
  <si>
    <t xml:space="preserve">+15, 15, HOPPIP</t>
  </si>
  <si>
    <t xml:space="preserve">+50, 50, PIDGEOTTO</t>
  </si>
  <si>
    <t xml:space="preserve">+47, 47, PERSIAN</t>
  </si>
  <si>
    <t xml:space="preserve">+50, 50, PERSIAN @} @}, @{ 2, @{ 5, 35, TENTACOOL</t>
  </si>
  <si>
    <t xml:space="preserve">+3, 57, 0, @{ 21, @{ # 20%</t>
  </si>
  <si>
    <t xml:space="preserve">10, 10, HOPPIP</t>
  </si>
  <si>
    <t xml:space="preserve">+12, 12, HOPPIP</t>
  </si>
  <si>
    <t xml:space="preserve">+8, 8, HOPPIP</t>
  </si>
  <si>
    <t xml:space="preserve">+14, 14, HOPPIP</t>
  </si>
  <si>
    <t xml:space="preserve">+16, 16, HOPPIP</t>
  </si>
  <si>
    <t xml:space="preserve">+6, 6, HOPPIP</t>
  </si>
  <si>
    <t xml:space="preserve">+14, 14, HOPPIP @} @}, @{ 2, @{ 5, 35, TENTACOOL</t>
  </si>
  <si>
    <t xml:space="preserve">+3, 58, 0, &lt;null&gt;, @{ 2, @{ 5, 20, TENTACOOL</t>
  </si>
  <si>
    <t xml:space="preserve">+3, 59, 0, &lt;null&gt;, @{ 2, @{ 5, 20, TENTACOOL</t>
  </si>
  <si>
    <t xml:space="preserve">+3, 60, 0, @{ 21, @{ # 20%</t>
  </si>
  <si>
    <t xml:space="preserve">44, 44, SPEAROW</t>
  </si>
  <si>
    <t xml:space="preserve">+44, 44, BELLSPROUT</t>
  </si>
  <si>
    <t xml:space="preserve">+48, 48, FEAROW</t>
  </si>
  <si>
    <t xml:space="preserve">+48, 48, WEEPINBELL</t>
  </si>
  <si>
    <t xml:space="preserve">+50, 50, FEAROW</t>
  </si>
  <si>
    <t xml:space="preserve">+50, 50, PERSIAN @} @}, @{ 2, @{ 5, 20, TENTACOOL</t>
  </si>
  <si>
    <t xml:space="preserve">+3, 61, 0, @{ 21, @{ # 20%</t>
  </si>
  <si>
    <t xml:space="preserve">15, 15, NATU</t>
  </si>
  <si>
    <t xml:space="preserve">+44, 44, SPEAROW</t>
  </si>
  <si>
    <t xml:space="preserve">+18, 18, YANMA</t>
  </si>
  <si>
    <t xml:space="preserve">+15, 15, MARILL</t>
  </si>
  <si>
    <t xml:space="preserve">+49, 49, FEAROW</t>
  </si>
  <si>
    <t xml:space="preserve">+43, 43, MEOWTH</t>
  </si>
  <si>
    <t xml:space="preserve">+25, 25, WOBBUFFET</t>
  </si>
  <si>
    <t xml:space="preserve">+20, 20, NATU</t>
  </si>
  <si>
    <t xml:space="preserve">+49, 49, PERSIAN</t>
  </si>
  <si>
    <t xml:space="preserve">+52, 52, PERSIAN @} @}, @{ 2, @{ 5, 20, MARILL</t>
  </si>
  <si>
    <t xml:space="preserve">+10, 20, MARILL</t>
  </si>
  <si>
    <t xml:space="preserve">+15, 25, MARILL</t>
  </si>
  <si>
    <t xml:space="preserve">+20, 25, MARILL</t>
  </si>
  <si>
    <t xml:space="preserve">+20, 25, MARILL @} @}, &lt;null&gt;, @{ 20, @{ # old rod:</t>
  </si>
  <si>
    <t xml:space="preserve">+3, 62, 0, &lt;null&gt;, @{ 2, @{ 5, 20, TENTACOOL</t>
  </si>
  <si>
    <t xml:space="preserve">+35, 40, MANTINE</t>
  </si>
  <si>
    <t xml:space="preserve">+3, 63, 0, @{ 21, @{ # 20%</t>
  </si>
  <si>
    <t xml:space="preserve">+10, 10, PHANPY</t>
  </si>
  <si>
    <t xml:space="preserve">+15, 15, PHANPY</t>
  </si>
  <si>
    <t xml:space="preserve">+50, 50, PERSIAN @} @}, &lt;null&gt;, &lt;null&gt;, &lt;null&gt;</t>
  </si>
  <si>
    <t xml:space="preserve">+3, 64, 0, @{ 21, @{ # 20%</t>
  </si>
  <si>
    <t xml:space="preserve">46, 46, GEODUDE</t>
  </si>
  <si>
    <t xml:space="preserve">+46, 46, CUBONE</t>
  </si>
  <si>
    <t xml:space="preserve">+52, 52, MAROWAK</t>
  </si>
  <si>
    <t xml:space="preserve">+54, 54, ONIX</t>
  </si>
  <si>
    <t xml:space="preserve">+15, 15, LARVITAR</t>
  </si>
  <si>
    <t xml:space="preserve">+20, 20, LARVITAR</t>
  </si>
  <si>
    <t xml:space="preserve">+52, 52, PERSIAN @} @}, &lt;null&gt;, @{ 25, @{ 25, 35, GEODUDE</t>
  </si>
  <si>
    <t xml:space="preserve">+3, 65, 0, &lt;null&gt;, @{ 2, @{ 5, 20, TENTACOOL</t>
  </si>
  <si>
    <t xml:space="preserve">+3, 19, 0, @{ 21, @{ # 20%</t>
  </si>
  <si>
    <t xml:space="preserve">2, 5, PIDGEY</t>
  </si>
  <si>
    <t xml:space="preserve">+2, 5, PIDGEY</t>
  </si>
  <si>
    <t xml:space="preserve">+2, 4, RATTATA</t>
  </si>
  <si>
    <t xml:space="preserve">+2, 4, BELLSPROUT</t>
  </si>
  <si>
    <t xml:space="preserve">+2, 4, ODDISH</t>
  </si>
  <si>
    <t xml:space="preserve">+2, 4, VENONAT</t>
  </si>
  <si>
    <t xml:space="preserve">+3, 3, EEVEE</t>
  </si>
  <si>
    <t xml:space="preserve">+3, 3, EEVEE @} @}, &lt;null&gt;, &lt;null&gt;, &lt;null&gt;</t>
  </si>
  <si>
    <t xml:space="preserve">+3, 20, 0, @{ 21, @{ # 20%</t>
  </si>
  <si>
    <t xml:space="preserve">3, 5, CATERPIE</t>
  </si>
  <si>
    <t xml:space="preserve">+3, 5, WEEDLE</t>
  </si>
  <si>
    <t xml:space="preserve">+4, 6, PIDGEY</t>
  </si>
  <si>
    <t xml:space="preserve">+4, 6, RATTATA</t>
  </si>
  <si>
    <t xml:space="preserve">+5, 8, MEOWTH</t>
  </si>
  <si>
    <t xml:space="preserve">+5, 8, FARFETCH'D</t>
  </si>
  <si>
    <t xml:space="preserve">+5, 8, MAGNEMITE</t>
  </si>
  <si>
    <t xml:space="preserve">+5, 8, GROWLITHE</t>
  </si>
  <si>
    <t xml:space="preserve">+7, 7, MAGNEMITE</t>
  </si>
  <si>
    <t xml:space="preserve">+7, 7, GROWLITHE @} @}, &lt;null&gt;, &lt;null&gt;, &lt;null&gt;</t>
  </si>
  <si>
    <t xml:space="preserve">+3, 21, 0, @{ 21, @{ # 20%</t>
  </si>
  <si>
    <t xml:space="preserve">7, 9, SPEAROW</t>
  </si>
  <si>
    <t xml:space="preserve">+7, 9, PIDGEY</t>
  </si>
  <si>
    <t xml:space="preserve">+8, 10, NIDORAN\sf</t>
  </si>
  <si>
    <t xml:space="preserve">+8, 10, NIDORAN\sm</t>
  </si>
  <si>
    <t xml:space="preserve">+8, 10, EKANS</t>
  </si>
  <si>
    <t xml:space="preserve">+8, 10, SANDSHREW</t>
  </si>
  <si>
    <t xml:space="preserve">+9, 10, JIGGLYPUFF</t>
  </si>
  <si>
    <t xml:space="preserve">+9, 10, CLEFAIRY</t>
  </si>
  <si>
    <t xml:space="preserve">+9, 11, MACHOP</t>
  </si>
  <si>
    <t xml:space="preserve">+10, 13, NIDORAN\sf</t>
  </si>
  <si>
    <t xml:space="preserve">+10, 13, NIDORAN\sm @} @}, &lt;null&gt;, &lt;null&gt;, &lt;null&gt;</t>
  </si>
  <si>
    <t xml:space="preserve">+3, 22, 0, @{ 21, @{ # 20%</t>
  </si>
  <si>
    <t xml:space="preserve">13, 16, RATTATA</t>
  </si>
  <si>
    <t xml:space="preserve">+13, 16, SPEAROW</t>
  </si>
  <si>
    <t xml:space="preserve">+14, 16, PSYDUCK</t>
  </si>
  <si>
    <t xml:space="preserve">+14, 16, NIDORAN\sm</t>
  </si>
  <si>
    <t xml:space="preserve">+14, 16, NIDORAN\sf</t>
  </si>
  <si>
    <t xml:space="preserve">+14, 16, EKANS</t>
  </si>
  <si>
    <t xml:space="preserve">+15, 15, JIGGLYPUFF</t>
  </si>
  <si>
    <t xml:space="preserve">+15, 15, CLEFAIRY</t>
  </si>
  <si>
    <t xml:space="preserve">+13, 18, MANKEY</t>
  </si>
  <si>
    <t xml:space="preserve">+13, 18, MACHOP</t>
  </si>
  <si>
    <t xml:space="preserve">+16, 16, NIDORINO</t>
  </si>
  <si>
    <t xml:space="preserve">+16, 16, NIDORINA @} @}, @{ 2, @{ 38, 42, TENTACOOL</t>
  </si>
  <si>
    <t xml:space="preserve">+40, 44, PSYDUCK</t>
  </si>
  <si>
    <t xml:space="preserve">+42, 46, TENTACRUEL</t>
  </si>
  <si>
    <t xml:space="preserve">+19, 26, GYARADOS</t>
  </si>
  <si>
    <t xml:space="preserve">+29, 33, SLOWPOKE</t>
  </si>
  <si>
    <t xml:space="preserve">+30, 35, PSYDUCK</t>
  </si>
  <si>
    <t xml:space="preserve">+36, 40, SLOWBRO</t>
  </si>
  <si>
    <t xml:space="preserve">+36, 40, GYARADOS</t>
  </si>
  <si>
    <t xml:space="preserve">+38, 42, GOLDUCK</t>
  </si>
  <si>
    <t xml:space="preserve">+38, 42, KINGLER</t>
  </si>
  <si>
    <t xml:space="preserve">+40, 44, SLOWMATE @} @}</t>
  </si>
  <si>
    <t xml:space="preserve">+3, 23, 0, @{ 21, @{ # 20%</t>
  </si>
  <si>
    <t xml:space="preserve">15, 17, PIDGEY</t>
  </si>
  <si>
    <t xml:space="preserve">+15, 17, MEOWTH</t>
  </si>
  <si>
    <t xml:space="preserve">+16, 19, ODDISH</t>
  </si>
  <si>
    <t xml:space="preserve">+16, 19, BELLSPROUT</t>
  </si>
  <si>
    <t xml:space="preserve">+16, 19, EKANS</t>
  </si>
  <si>
    <t xml:space="preserve">+16, 19, PARAS</t>
  </si>
  <si>
    <t xml:space="preserve">+17, 17, VULPIX</t>
  </si>
  <si>
    <t xml:space="preserve">+17, 17, GROWLITHE</t>
  </si>
  <si>
    <t xml:space="preserve">+16, 18, PIKACHU</t>
  </si>
  <si>
    <t xml:space="preserve">+16, 18, EEVEE</t>
  </si>
  <si>
    <t xml:space="preserve">+20, 20, FEAROW</t>
  </si>
  <si>
    <t xml:space="preserve">+20, 20, WEEPINBELL @} @}, &lt;null&gt;, &lt;null&gt;, &lt;null&gt;</t>
  </si>
  <si>
    <t xml:space="preserve">+3, 24, 0, @{ 21, @{ # 20%</t>
  </si>
  <si>
    <t xml:space="preserve">+20, 20, WEEPINBELL @} @}, @{ 2, @{ 38, 42, TENTACOOL</t>
  </si>
  <si>
    <t xml:space="preserve">+40, 44, SLOWPOKE</t>
  </si>
  <si>
    <t xml:space="preserve">+44, 48, SLOWBRO @} @}, &lt;null&gt;, @{ 20, @{ # old rod:</t>
  </si>
  <si>
    <t xml:space="preserve">+29, 33, POLIWAG</t>
  </si>
  <si>
    <t xml:space="preserve">+38, 42, GYARADOS</t>
  </si>
  <si>
    <t xml:space="preserve">+38, 42, POLIWRATH</t>
  </si>
  <si>
    <t xml:space="preserve">+40, 44, POLITOES @} @}</t>
  </si>
  <si>
    <t xml:space="preserve">+3, 25, 0, @{ 21, @{ # 20%</t>
  </si>
  <si>
    <t xml:space="preserve">24, 26, PONYTA</t>
  </si>
  <si>
    <t xml:space="preserve">+24, 26, KOFFING</t>
  </si>
  <si>
    <t xml:space="preserve">+25, 27, SANDSHREW</t>
  </si>
  <si>
    <t xml:space="preserve">+25, 27, MEOWTH</t>
  </si>
  <si>
    <t xml:space="preserve">+25, 27, PARAS</t>
  </si>
  <si>
    <t xml:space="preserve">+25, 27, VULPIX</t>
  </si>
  <si>
    <t xml:space="preserve">+24, 28, WEEZING</t>
  </si>
  <si>
    <t xml:space="preserve">+24, 28, LICKITUNG</t>
  </si>
  <si>
    <t xml:space="preserve">+26, 26, PERSIAN</t>
  </si>
  <si>
    <t xml:space="preserve">+21, 26, EEVEE</t>
  </si>
  <si>
    <t xml:space="preserve">+24, 28, SANDSLASH</t>
  </si>
  <si>
    <t xml:space="preserve">+24, 28, PARASECT @} @}, &lt;null&gt;, &lt;null&gt;, &lt;null&gt;</t>
  </si>
  <si>
    <t xml:space="preserve">+3, 26, 0, @{ 21, @{ # 20%</t>
  </si>
  <si>
    <t xml:space="preserve">23, 25, PONYTA</t>
  </si>
  <si>
    <t xml:space="preserve">+23, 25, EKANS</t>
  </si>
  <si>
    <t xml:space="preserve">+24, 26, SANDSHREW</t>
  </si>
  <si>
    <t xml:space="preserve">+24, 26, MEOWTH</t>
  </si>
  <si>
    <t xml:space="preserve">+24, 26, VENONAT</t>
  </si>
  <si>
    <t xml:space="preserve">+24, 26, GROWLITHE</t>
  </si>
  <si>
    <t xml:space="preserve">+23, 27, ARBOK</t>
  </si>
  <si>
    <t xml:space="preserve">+23, 27, LICKITUNG</t>
  </si>
  <si>
    <t xml:space="preserve">+25, 25, PERSIAN</t>
  </si>
  <si>
    <t xml:space="preserve">+20, 25, EEVEE</t>
  </si>
  <si>
    <t xml:space="preserve">+23, 27, SANDSLASH</t>
  </si>
  <si>
    <t xml:space="preserve">+23, 27, VENOMOTH @} @}, &lt;null&gt;, &lt;null&gt;, &lt;null&gt;</t>
  </si>
  <si>
    <t xml:space="preserve">+3, 27, 0, @{ 21, @{ # 20%</t>
  </si>
  <si>
    <t xml:space="preserve">17, 22, NIDORINA</t>
  </si>
  <si>
    <t xml:space="preserve">+17, 22, NIDORINO</t>
  </si>
  <si>
    <t xml:space="preserve">+16, 19, SPEAROW</t>
  </si>
  <si>
    <t xml:space="preserve">+16, 19, CUBONE</t>
  </si>
  <si>
    <t xml:space="preserve">+16, 19, MACHOP</t>
  </si>
  <si>
    <t xml:space="preserve">+16, 19, SANDSHREW</t>
  </si>
  <si>
    <t xml:space="preserve">+17, 18, DODUO</t>
  </si>
  <si>
    <t xml:space="preserve">+17, 18, DROWZEE</t>
  </si>
  <si>
    <t xml:space="preserve">+16, 25, FEAROW</t>
  </si>
  <si>
    <t xml:space="preserve">+22, 22, SANDSLASH</t>
  </si>
  <si>
    <t xml:space="preserve">+14, 17, KANGAKID</t>
  </si>
  <si>
    <t xml:space="preserve">+18, 18, KANGAKID @} @}, &lt;null&gt;, &lt;null&gt;, &lt;null&gt;</t>
  </si>
  <si>
    <t xml:space="preserve">+3, 28, 0, @{ 21, @{ # 20%</t>
  </si>
  <si>
    <t xml:space="preserve">19, 23, NIDORINA</t>
  </si>
  <si>
    <t xml:space="preserve">+19, 23, NIDORINO</t>
  </si>
  <si>
    <t xml:space="preserve">+18, 20, SPEAROW</t>
  </si>
  <si>
    <t xml:space="preserve">+18, 20, CUBONE</t>
  </si>
  <si>
    <t xml:space="preserve">+18, 20, MAGNEMITE</t>
  </si>
  <si>
    <t xml:space="preserve">+18, 20, POLIWAG</t>
  </si>
  <si>
    <t xml:space="preserve">+19, 19, DODUO</t>
  </si>
  <si>
    <t xml:space="preserve">+19, 19, VOLTORB</t>
  </si>
  <si>
    <t xml:space="preserve">+20, 25, FEAROW</t>
  </si>
  <si>
    <t xml:space="preserve">+22, 22, POLIWHIRL</t>
  </si>
  <si>
    <t xml:space="preserve">+19, 21, TANGELA</t>
  </si>
  <si>
    <t xml:space="preserve">+19, 21, PONYTA @} @}, @{ 2, @{ 38, 42, TENTACOOL</t>
  </si>
  <si>
    <t xml:space="preserve">+40, 44, TENTACRUEL</t>
  </si>
  <si>
    <t xml:space="preserve">+42, 46, TENTACATE</t>
  </si>
  <si>
    <t xml:space="preserve">+19, 26, PSYDUCK</t>
  </si>
  <si>
    <t xml:space="preserve">+29, 33, HORSEA</t>
  </si>
  <si>
    <t xml:space="preserve">+30, 35, SLOWPOKE</t>
  </si>
  <si>
    <t xml:space="preserve">+36, 40, SEADRA</t>
  </si>
  <si>
    <t xml:space="preserve">+36, 40, GOLDUCK</t>
  </si>
  <si>
    <t xml:space="preserve">+38, 42, SLOWBRO</t>
  </si>
  <si>
    <t xml:space="preserve">+38, 42, KINGDRA</t>
  </si>
  <si>
    <t xml:space="preserve">+40, 44, GILDUCK @} @}</t>
  </si>
  <si>
    <t xml:space="preserve">+3, 29, 0, @{ 21, @{ # 20%</t>
  </si>
  <si>
    <t xml:space="preserve">16, 18, EKANS</t>
  </si>
  <si>
    <t xml:space="preserve">+16, 18, SPEAROW</t>
  </si>
  <si>
    <t xml:space="preserve">+17, 20, SANDSHREW</t>
  </si>
  <si>
    <t xml:space="preserve">+17, 20, DROWZEE</t>
  </si>
  <si>
    <t xml:space="preserve">+17, 20, MAGNEMITE</t>
  </si>
  <si>
    <t xml:space="preserve">+17, 20, VOLTORB</t>
  </si>
  <si>
    <t xml:space="preserve">+18, 18, FARFETCH'D</t>
  </si>
  <si>
    <t xml:space="preserve">+18, 18, ABRA</t>
  </si>
  <si>
    <t xml:space="preserve">+15, 19, PIKACHU</t>
  </si>
  <si>
    <t xml:space="preserve">+15, 19, KADABRA</t>
  </si>
  <si>
    <t xml:space="preserve">+22, 22, ARBOK</t>
  </si>
  <si>
    <t xml:space="preserve">+22, 22, LICKITUNG @} @}, @{ 2, @{ 38, 42, TENTACOOL</t>
  </si>
  <si>
    <t xml:space="preserve">+44, 48, LOCHLASS @} @}, &lt;null&gt;, @{ 20, @{ # old rod:</t>
  </si>
  <si>
    <t xml:space="preserve">+30, 35, SHELLDER</t>
  </si>
  <si>
    <t xml:space="preserve">+30, 35, STARYU</t>
  </si>
  <si>
    <t xml:space="preserve">+38, 42, STARMIE</t>
  </si>
  <si>
    <t xml:space="preserve">+38, 42, CLOYSTER</t>
  </si>
  <si>
    <t xml:space="preserve">+38, 42, STARUS @} @}</t>
  </si>
  <si>
    <t xml:space="preserve">+3, 30, 0, @{ 21, @{ # 20%</t>
  </si>
  <si>
    <t xml:space="preserve">29, 34, BELLSPROUT</t>
  </si>
  <si>
    <t xml:space="preserve">+29, 34, PIDGEOTTO</t>
  </si>
  <si>
    <t xml:space="preserve">+29, 31, WEEPINBELL</t>
  </si>
  <si>
    <t xml:space="preserve">+29, 31, DODUO</t>
  </si>
  <si>
    <t xml:space="preserve">+31, 31, PIDGEOT</t>
  </si>
  <si>
    <t xml:space="preserve">+29, 31, EXEGGCUTE</t>
  </si>
  <si>
    <t xml:space="preserve">+30, 34, SCYTHER</t>
  </si>
  <si>
    <t xml:space="preserve">+30, 34, JYNX</t>
  </si>
  <si>
    <t xml:space="preserve">+31, 31, DODRIO</t>
  </si>
  <si>
    <t xml:space="preserve">+31, 31, EXEGGUTOR</t>
  </si>
  <si>
    <t xml:space="preserve">+29, 34, VICTREEBEL</t>
  </si>
  <si>
    <t xml:space="preserve">+20, 25, SQUIRTLE @} @}, @{ 2, @{ 38, 42, TENTACOOL</t>
  </si>
  <si>
    <t xml:space="preserve">+44, 48, LOCHLASS @} @}, &lt;null&gt;, @{ 60, @{ # old rod:</t>
  </si>
  <si>
    <t xml:space="preserve">+3, 31, 0, @{ 21, @{ # 20%</t>
  </si>
  <si>
    <t xml:space="preserve">30, 35, BELLSPROUT</t>
  </si>
  <si>
    <t xml:space="preserve">+30, 35, PIDGEOTTO</t>
  </si>
  <si>
    <t xml:space="preserve">+30, 32, WEEPINBELL</t>
  </si>
  <si>
    <t xml:space="preserve">+30, 32, DODUO</t>
  </si>
  <si>
    <t xml:space="preserve">+32, 32, PIDGEOT</t>
  </si>
  <si>
    <t xml:space="preserve">+30, 32, EXEGGCUTE</t>
  </si>
  <si>
    <t xml:space="preserve">+31, 35, SCYTHER</t>
  </si>
  <si>
    <t xml:space="preserve">+31, 35, JYNX</t>
  </si>
  <si>
    <t xml:space="preserve">+32, 32, DODRIO</t>
  </si>
  <si>
    <t xml:space="preserve">+32, 32, EXEGGUTOR</t>
  </si>
  <si>
    <t xml:space="preserve">+30, 35, VICTREEBEL</t>
  </si>
  <si>
    <t xml:space="preserve">+3, 32, 0, @{ 21, @{ # 20%</t>
  </si>
  <si>
    <t xml:space="preserve">32, 36, BELLSPROUT</t>
  </si>
  <si>
    <t xml:space="preserve">+32, 36, PIDGEOTTO</t>
  </si>
  <si>
    <t xml:space="preserve">+31, 33, WEEPINBELL</t>
  </si>
  <si>
    <t xml:space="preserve">+31, 33, DODUO</t>
  </si>
  <si>
    <t xml:space="preserve">+33, 33, PIDGEOT</t>
  </si>
  <si>
    <t xml:space="preserve">+31, 33, EXEGGCUTE</t>
  </si>
  <si>
    <t xml:space="preserve">+32, 36, SCYTHER</t>
  </si>
  <si>
    <t xml:space="preserve">+32, 36, JYNX</t>
  </si>
  <si>
    <t xml:space="preserve">+33, 33, DODRIO</t>
  </si>
  <si>
    <t xml:space="preserve">+33, 33, EXEGGUTOR</t>
  </si>
  <si>
    <t xml:space="preserve">+31, 36, VICTREEBEL</t>
  </si>
  <si>
    <t xml:space="preserve">+20, 25, SQUIRTLE @} @}, &lt;null&gt;, &lt;null&gt;, &lt;null&gt;</t>
  </si>
  <si>
    <t xml:space="preserve">+3, 33, 0, @{ 21, @{ # 20%</t>
  </si>
  <si>
    <t xml:space="preserve">33, 37, BELLSPROUT</t>
  </si>
  <si>
    <t xml:space="preserve">+33, 37, PIDGEOTTO</t>
  </si>
  <si>
    <t xml:space="preserve">+32, 34, WEEPINBELL</t>
  </si>
  <si>
    <t xml:space="preserve">+32, 34, DODUO</t>
  </si>
  <si>
    <t xml:space="preserve">+34, 34, PIDGEOT</t>
  </si>
  <si>
    <t xml:space="preserve">+32, 34, EXEGGCUTE</t>
  </si>
  <si>
    <t xml:space="preserve">+33, 37, SCYTHER</t>
  </si>
  <si>
    <t xml:space="preserve">+33, 37, JYNX</t>
  </si>
  <si>
    <t xml:space="preserve">+34, 34, DODRIO</t>
  </si>
  <si>
    <t xml:space="preserve">+34, 34, EXEGGUTOR</t>
  </si>
  <si>
    <t xml:space="preserve">+32, 37, VICTREEBEL</t>
  </si>
  <si>
    <t xml:space="preserve">+3, 34, 0, @{ 21, @{ # 20%</t>
  </si>
  <si>
    <t xml:space="preserve">29, 34, ODDISH</t>
  </si>
  <si>
    <t xml:space="preserve">+29, 31, GLOOM</t>
  </si>
  <si>
    <t xml:space="preserve">+29, 31, LICKITUNG</t>
  </si>
  <si>
    <t xml:space="preserve">+30, 34, TAUROS</t>
  </si>
  <si>
    <t xml:space="preserve">+30, 34, "MR. MIME"</t>
  </si>
  <si>
    <t xml:space="preserve">+31, 31, LICKILICKY</t>
  </si>
  <si>
    <t xml:space="preserve">+29, 34, VILEPLUME</t>
  </si>
  <si>
    <t xml:space="preserve">+20, 25, BULBASAUR @} @}, &lt;null&gt;, &lt;null&gt;, &lt;null&gt;</t>
  </si>
  <si>
    <t xml:space="preserve">+3, 35, 0, @{ 21, @{ # 20%</t>
  </si>
  <si>
    <t xml:space="preserve">30, 35, ODDISH</t>
  </si>
  <si>
    <t xml:space="preserve">+30, 35, GLOOM</t>
  </si>
  <si>
    <t xml:space="preserve">+30, 35, DODUO</t>
  </si>
  <si>
    <t xml:space="preserve">+30, 32, LICKITUNG</t>
  </si>
  <si>
    <t xml:space="preserve">+31, 35, TAUROS</t>
  </si>
  <si>
    <t xml:space="preserve">+31, 35, "MR. MIME"</t>
  </si>
  <si>
    <t xml:space="preserve">+32, 32, LICKILICKY</t>
  </si>
  <si>
    <t xml:space="preserve">+30, 35, VILEPLUME</t>
  </si>
  <si>
    <t xml:space="preserve">+3, 36, 0, @{ 21, @{ # 20%</t>
  </si>
  <si>
    <t xml:space="preserve">32, 36, ODDISH</t>
  </si>
  <si>
    <t xml:space="preserve">+31, 33, GLOOM</t>
  </si>
  <si>
    <t xml:space="preserve">+31, 33, LICKITUNG</t>
  </si>
  <si>
    <t xml:space="preserve">+32, 36, TAUROS</t>
  </si>
  <si>
    <t xml:space="preserve">+32, 36, "MR. MIME"</t>
  </si>
  <si>
    <t xml:space="preserve">+34, 36, DODRIO</t>
  </si>
  <si>
    <t xml:space="preserve">+33, 33, LICKILICKY</t>
  </si>
  <si>
    <t xml:space="preserve">+31, 36, VILEPLUME</t>
  </si>
  <si>
    <t xml:space="preserve">+3, 37, 0, &lt;null&gt;, @{ 2, @{ 38, 42, TENTACOOL</t>
  </si>
  <si>
    <t xml:space="preserve">19, 26, PSYDUCK</t>
  </si>
  <si>
    <t xml:space="preserve">+19, 26, HORSEA</t>
  </si>
  <si>
    <t xml:space="preserve">+36, 40, KINGLER</t>
  </si>
  <si>
    <t xml:space="preserve">+3, 38, 0, &lt;null&gt;, @{ 2, @{ 38, 42, TENTACOOL</t>
  </si>
  <si>
    <t xml:space="preserve">+3, 39, 0, @{ 14, @{ # 20%</t>
  </si>
  <si>
    <t xml:space="preserve">39, 46, TANGROWTH</t>
  </si>
  <si>
    <t xml:space="preserve">+39, 46, EXEGGUTOR</t>
  </si>
  <si>
    <t xml:space="preserve">+39, 42, DODRIO</t>
  </si>
  <si>
    <t xml:space="preserve">+39, 42, GOLDUCK</t>
  </si>
  <si>
    <t xml:space="preserve">+43, 46, DODRIO</t>
  </si>
  <si>
    <t xml:space="preserve">+43, 46, GOLDUCK</t>
  </si>
  <si>
    <t xml:space="preserve">+43, 50, TANGATHER</t>
  </si>
  <si>
    <t xml:space="preserve">+43, 50, EXEGGITY</t>
  </si>
  <si>
    <t xml:space="preserve">+43, 50, GILDUCK</t>
  </si>
  <si>
    <t xml:space="preserve">+43, 50, QUADODO</t>
  </si>
  <si>
    <t xml:space="preserve">+45, 52, TANGOLIATH</t>
  </si>
  <si>
    <t xml:space="preserve">+44, 44, TANGOLIATH @} @}, @{ 2, @{ 38, 42, TENTACOOL</t>
  </si>
  <si>
    <t xml:space="preserve">+3, 40, 0, @{ 14, @{ # 20%</t>
  </si>
  <si>
    <t xml:space="preserve">+3, 41, 0, @{ 21, @{ # 20%</t>
  </si>
  <si>
    <t xml:space="preserve">2, 3, RATTATA</t>
  </si>
  <si>
    <t xml:space="preserve">+4, 5, RATTATA</t>
  </si>
  <si>
    <t xml:space="preserve">+2, 3, MEOWTH</t>
  </si>
  <si>
    <t xml:space="preserve">+4, 5, MEOWTH</t>
  </si>
  <si>
    <t xml:space="preserve">+2, 3, SPEAROW</t>
  </si>
  <si>
    <t xml:space="preserve">+4, 5, SPEAROW</t>
  </si>
  <si>
    <t xml:space="preserve">+2, 3, GROWLITHE</t>
  </si>
  <si>
    <t xml:space="preserve">+4, 5, GROWLITHE</t>
  </si>
  <si>
    <t xml:space="preserve">+2, 5, ABRA</t>
  </si>
  <si>
    <t xml:space="preserve">+2, 5, KANGAKID</t>
  </si>
  <si>
    <t xml:space="preserve">+2, 5, EEVEE</t>
  </si>
  <si>
    <t xml:space="preserve">+2, 5, SCYTHER @} @}, @{ 2, @{ 40, 44, PSYDUCK</t>
  </si>
  <si>
    <t xml:space="preserve">+42, 46, SLOWPOKE</t>
  </si>
  <si>
    <t xml:space="preserve">+44, 47, GOLDUCK</t>
  </si>
  <si>
    <t xml:space="preserve">+44, 47, SLOWBRO</t>
  </si>
  <si>
    <t xml:space="preserve">+45, 50, GILDUCK @} @}, &lt;null&gt;, @{ 20, @{ # old rod:</t>
  </si>
  <si>
    <t xml:space="preserve">+29, 33, MAGIKARP</t>
  </si>
  <si>
    <t xml:space="preserve">+30, 35, GYARADOS</t>
  </si>
  <si>
    <t xml:space="preserve">+30, 35, POLIWHIRL</t>
  </si>
  <si>
    <t xml:space="preserve">+36, 40, MAGIKARP</t>
  </si>
  <si>
    <t xml:space="preserve">+38, 42, POLIWHIRL</t>
  </si>
  <si>
    <t xml:space="preserve">+3, 42, 0, @{ 21, @{ # 20%</t>
  </si>
  <si>
    <t xml:space="preserve">51, 56, PRIMEAPE</t>
  </si>
  <si>
    <t xml:space="preserve">+51, 56, SNEEROW</t>
  </si>
  <si>
    <t xml:space="preserve">+53, 57, GORILLASH</t>
  </si>
  <si>
    <t xml:space="preserve">+53, 57, ORNITHOW</t>
  </si>
  <si>
    <t xml:space="preserve">+53, 57, SANDSLAM</t>
  </si>
  <si>
    <t xml:space="preserve">+54, 56, "MR. JEST"</t>
  </si>
  <si>
    <t xml:space="preserve">+54, 56, ELECTIVINE</t>
  </si>
  <si>
    <t xml:space="preserve">+54, 55, FELANKH</t>
  </si>
  <si>
    <t xml:space="preserve">+56, 57, FELANKH</t>
  </si>
  <si>
    <t xml:space="preserve">+40, 50, AERODACTYL</t>
  </si>
  <si>
    <t xml:space="preserve">+57, 59, LUKKEY @} @}, @{ 2, @{ 50, 55, GILDUCK</t>
  </si>
  <si>
    <t xml:space="preserve">+50, 55, POLITOES</t>
  </si>
  <si>
    <t xml:space="preserve">+52, 57, SLOWMATE</t>
  </si>
  <si>
    <t xml:space="preserve">+53, 58, PLATINUPUS @} @}, &lt;null&gt;, @{ 20, @{ # old rod:</t>
  </si>
  <si>
    <t xml:space="preserve">24, 36, GOLDEEN</t>
  </si>
  <si>
    <t xml:space="preserve">+23, 36, KRABBY</t>
  </si>
  <si>
    <t xml:space="preserve">+30, 38, SEAKING</t>
  </si>
  <si>
    <t xml:space="preserve">+32, 40, KINGLER</t>
  </si>
  <si>
    <t xml:space="preserve">+32, 40, DRAGONAIR</t>
  </si>
  <si>
    <t xml:space="preserve">+50, 55, SEAREX</t>
  </si>
  <si>
    <t xml:space="preserve">+52, 57, KRAKLAW</t>
  </si>
  <si>
    <t xml:space="preserve">+52, 57, CAPRISEA</t>
  </si>
  <si>
    <t xml:space="preserve">+53, 58, DRAGONIER @} @}</t>
  </si>
  <si>
    <t xml:space="preserve">+3, 43, 0, @{ 21, @{ # 20%</t>
  </si>
  <si>
    <t xml:space="preserve">13, 17, PIDGEY</t>
  </si>
  <si>
    <t xml:space="preserve">+13, 17, ODDISH</t>
  </si>
  <si>
    <t xml:space="preserve">+14, 17, BELLSPROUT</t>
  </si>
  <si>
    <t xml:space="preserve">+14, 17, MEOWTH</t>
  </si>
  <si>
    <t xml:space="preserve">+14, 17, PSYDUCK</t>
  </si>
  <si>
    <t xml:space="preserve">+14, 17, PIDGEOTTO</t>
  </si>
  <si>
    <t xml:space="preserve">+16, 16, PIKACHU</t>
  </si>
  <si>
    <t xml:space="preserve">+16, 16, ABRA</t>
  </si>
  <si>
    <t xml:space="preserve">+15, 18, VENONAT</t>
  </si>
  <si>
    <t xml:space="preserve">+15, 18, GLOOM</t>
  </si>
  <si>
    <t xml:space="preserve">+17, 17, KADABRA</t>
  </si>
  <si>
    <t xml:space="preserve">+17, 17, KADABRA @} @}, @{ 2, @{ 34, 40, TENTACOOL</t>
  </si>
  <si>
    <t xml:space="preserve">+34, 40, PSYDUCK</t>
  </si>
  <si>
    <t xml:space="preserve">+36, 42, TENTACRUEL</t>
  </si>
  <si>
    <t xml:space="preserve">+39, 42, VAPOREON @} @}, &lt;null&gt;, @{ 20, @{ # old rod:</t>
  </si>
  <si>
    <t xml:space="preserve">+3, 44, 0, @{ 21, @{ # 20%</t>
  </si>
  <si>
    <t xml:space="preserve">14, 17, PIDGEY</t>
  </si>
  <si>
    <t xml:space="preserve">+14, 17, ODDISH</t>
  </si>
  <si>
    <t xml:space="preserve">+15, 17, BELLSPROUT</t>
  </si>
  <si>
    <t xml:space="preserve">+15, 17, PSYDUCK</t>
  </si>
  <si>
    <t xml:space="preserve">+15, 17, PIDGEOTTO</t>
  </si>
  <si>
    <t xml:space="preserve">+18, 18, KADABRA</t>
  </si>
  <si>
    <t xml:space="preserve">+18, 18, KADABRA @} @}, @{ 2, @{ 34, 40, TENTACOOL</t>
  </si>
  <si>
    <t xml:space="preserve">+3, 0, 0, &lt;null&gt;, @{ 1, @{ 38, 42, TENTACOOL</t>
  </si>
  <si>
    <t xml:space="preserve">+44, 48, LOCHLASS @} @}, &lt;null&gt;, @{ 10, @{ # old rod:</t>
  </si>
  <si>
    <t xml:space="preserve">+40, 44, STARUS @} @}</t>
  </si>
  <si>
    <t xml:space="preserve">+3, 1, 0, &lt;null&gt;, @{ 1, @{ 38, 42, PSYDUCK</t>
  </si>
  <si>
    <t xml:space="preserve">+44, 48, GILDUCK @} @}, &lt;null&gt;, @{ 10, @{ # old rod:</t>
  </si>
  <si>
    <t xml:space="preserve">+3, 3, 0, &lt;null&gt;, @{ 1, @{ 38, 42, TENTACOOL</t>
  </si>
  <si>
    <t xml:space="preserve">+44, 48, VAPOREON @} @}, &lt;null&gt;, @{ 10, @{ # old rod:</t>
  </si>
  <si>
    <t xml:space="preserve">+3, 5, 0, &lt;null&gt;, @{ 1, @{ 38, 42, TENTACOOL</t>
  </si>
  <si>
    <t xml:space="preserve">+3, 6, 0, &lt;null&gt;, @{ 1, @{ 38, 42, PSYDUCK</t>
  </si>
  <si>
    <t xml:space="preserve">+42, 46, KOFFING</t>
  </si>
  <si>
    <t xml:space="preserve">+44, 48, WEEZING @} @}, &lt;null&gt;, @{ 10, @{ # old rod:</t>
  </si>
  <si>
    <t xml:space="preserve">+19, 26, GRIMER</t>
  </si>
  <si>
    <t xml:space="preserve">+30, 35, MUK</t>
  </si>
  <si>
    <t xml:space="preserve">+36, 40, MUK</t>
  </si>
  <si>
    <t xml:space="preserve">+41, 41, GYARADOS</t>
  </si>
  <si>
    <t xml:space="preserve">+38, 42, HYDRADOS</t>
  </si>
  <si>
    <t xml:space="preserve">+40, 44, GUNK @} @}</t>
  </si>
  <si>
    <t xml:space="preserve">+3, 7, 0, &lt;null&gt;, @{ 1, @{ 38, 42, TENTACOOL</t>
  </si>
  <si>
    <t xml:space="preserve">19, 26, SEEL</t>
  </si>
  <si>
    <t xml:space="preserve">+29, 33, SEEL</t>
  </si>
  <si>
    <t xml:space="preserve">+36, 40, DEWGONG</t>
  </si>
  <si>
    <t xml:space="preserve">+38, 42, SEAKING</t>
  </si>
  <si>
    <t xml:space="preserve">+40, 44, SEAREX @} @}</t>
  </si>
  <si>
    <t xml:space="preserve">+3, 8, 0, &lt;null&gt;, @{ 1, @{ 40, 44, DEWGONG</t>
  </si>
  <si>
    <t xml:space="preserve">+44, 47, TENTACATE</t>
  </si>
  <si>
    <t xml:space="preserve">+45, 50, LOCHLASS @} @}, &lt;null&gt;, @{ 10, @{ # old rod:</t>
  </si>
  <si>
    <t xml:space="preserve">24, 30, HORSEA</t>
  </si>
  <si>
    <t xml:space="preserve">+24, 30, SHELLDER</t>
  </si>
  <si>
    <t xml:space="preserve">+35, 40, SEADRA</t>
  </si>
  <si>
    <t xml:space="preserve">+37, 42, KRABBY</t>
  </si>
  <si>
    <t xml:space="preserve">+37, 42, CLOYSTER</t>
  </si>
  <si>
    <t xml:space="preserve">+39, 45, KINGDRA</t>
  </si>
  <si>
    <t xml:space="preserve">+39, 45, KINGLER</t>
  </si>
  <si>
    <t xml:space="preserve">+43, 46, AN'ENEMY</t>
  </si>
  <si>
    <t xml:space="preserve">+43, 46, KRAKLAW</t>
  </si>
  <si>
    <t xml:space="preserve">+45, 52, LORDRA @} @}</t>
  </si>
  <si>
    <t xml:space="preserve">+3, 12, 0, &lt;null&gt;, @{ 1, @{ 5, 20, TENTACOOL</t>
  </si>
  <si>
    <t xml:space="preserve">+35, 40, TENTACRUEL @} @}, &lt;null&gt;, @{ 10, @{ # old rod:</t>
  </si>
  <si>
    <t xml:space="preserve">+3, 15, 0, &lt;null&gt;, @{ 2, @{ 5, 15, MARILL</t>
  </si>
  <si>
    <t xml:space="preserve">+15, 25, MARILL @} @}, &lt;null&gt;, @{ 20, @{ # old rod:</t>
  </si>
  <si>
    <t xml:space="preserve">+3, 16, 0, &lt;null&gt;, @{ 1, @{ 5, 35, TENTACOOL</t>
  </si>
  <si>
    <t xml:space="preserve">+1, 122, 0, @{ 7, @{ # 20%</t>
  </si>
  <si>
    <t xml:space="preserve">10, 10, ZUBAT</t>
  </si>
  <si>
    <t xml:space="preserve">+12, 12, ZUBAT</t>
  </si>
  <si>
    <t xml:space="preserve">+8, 8, ZUBAT</t>
  </si>
  <si>
    <t xml:space="preserve">+14, 14, ZUBAT</t>
  </si>
  <si>
    <t xml:space="preserve">+10, 10, ZUBAT</t>
  </si>
  <si>
    <t xml:space="preserve">+16, 16, ZUBAT</t>
  </si>
  <si>
    <t xml:space="preserve">+6, 6, ZUBAT</t>
  </si>
  <si>
    <t xml:space="preserve">+14, 14, ZUBAT @} @}, &lt;null&gt;, &lt;null&gt;, &lt;null&gt;</t>
  </si>
  <si>
    <t xml:space="preserve">7, 7, MAREEP</t>
  </si>
  <si>
    <t xml:space="preserve">+9, 9, MAREEP</t>
  </si>
  <si>
    <t xml:space="preserve">+5, 5, MAREEP</t>
  </si>
  <si>
    <t xml:space="preserve">+11, 11, MAREEP</t>
  </si>
  <si>
    <t xml:space="preserve">+7, 7, MAREEP</t>
  </si>
  <si>
    <t xml:space="preserve">+13, 13, MAREEP</t>
  </si>
  <si>
    <t xml:space="preserve">+3, 3, MAREEP</t>
  </si>
  <si>
    <t xml:space="preserve">+11, 11, MAREEP @} @}, &lt;null&gt;, &lt;null&gt;, &lt;null&gt;</t>
  </si>
  <si>
    <t xml:space="preserve">23, 23, PINECO</t>
  </si>
  <si>
    <t xml:space="preserve">+25, 25, PINECO</t>
  </si>
  <si>
    <t xml:space="preserve">+22, 22, PINECO</t>
  </si>
  <si>
    <t xml:space="preserve">+27, 27, PINECO</t>
  </si>
  <si>
    <t xml:space="preserve">+23, 23, PINECO</t>
  </si>
  <si>
    <t xml:space="preserve">+29, 29, PINECO</t>
  </si>
  <si>
    <t xml:space="preserve">+19, 19, PINECO</t>
  </si>
  <si>
    <t xml:space="preserve">+21, 21, PINECO</t>
  </si>
  <si>
    <t xml:space="preserve">+27, 27, PINECO @} @}, &lt;null&gt;, &lt;null&gt;, &lt;null&gt;</t>
  </si>
  <si>
    <t xml:space="preserve">16, 16, HOUNDOUR</t>
  </si>
  <si>
    <t xml:space="preserve">+18, 18, HOUNDOUR</t>
  </si>
  <si>
    <t xml:space="preserve">+14, 14, HOUNDOUR</t>
  </si>
  <si>
    <t xml:space="preserve">+20, 20, HOUNDOUR</t>
  </si>
  <si>
    <t xml:space="preserve">+16, 16, HOUNDOUR</t>
  </si>
  <si>
    <t xml:space="preserve">+22, 22, HOUNDOUR</t>
  </si>
  <si>
    <t xml:space="preserve">+12, 12, HOUNDOUR</t>
  </si>
  <si>
    <t xml:space="preserve">+20, 20, HOUNDOUR @} @}, &lt;null&gt;, &lt;null&gt;, &lt;null&gt;</t>
  </si>
  <si>
    <t xml:space="preserve">22, 22, TEDDIURSA</t>
  </si>
  <si>
    <t xml:space="preserve">+24, 24, TEDDIURSA</t>
  </si>
  <si>
    <t xml:space="preserve">+20, 20, TEDDIURSA</t>
  </si>
  <si>
    <t xml:space="preserve">+26, 26, TEDDIURSA</t>
  </si>
  <si>
    <t xml:space="preserve">+22, 22, TEDDIURSA</t>
  </si>
  <si>
    <t xml:space="preserve">+28, 28, TEDDIURSA</t>
  </si>
  <si>
    <t xml:space="preserve">+18, 18, TEDDIURSA</t>
  </si>
  <si>
    <t xml:space="preserve">+26, 26, TEDDIURSA @} @}, &lt;null&gt;, &lt;null&gt;, &lt;null&gt;</t>
  </si>
  <si>
    <t xml:space="preserve">22, 22, AIPOM</t>
  </si>
  <si>
    <t xml:space="preserve">+24, 24, AIPOM</t>
  </si>
  <si>
    <t xml:space="preserve">+20, 20, AIPOM</t>
  </si>
  <si>
    <t xml:space="preserve">+26, 26, AIPOM</t>
  </si>
  <si>
    <t xml:space="preserve">+22, 22, AIPOM</t>
  </si>
  <si>
    <t xml:space="preserve">+28, 28, AIPOM</t>
  </si>
  <si>
    <t xml:space="preserve">+18, 18, AIPOM</t>
  </si>
  <si>
    <t xml:space="preserve">+26, 26, AIPOM @} @}, &lt;null&gt;, &lt;null&gt;, &lt;null&gt;</t>
  </si>
  <si>
    <t xml:space="preserve">22, 22, SHUCKLE</t>
  </si>
  <si>
    <t xml:space="preserve">+24, 24, SHUCKLE</t>
  </si>
  <si>
    <t xml:space="preserve">+20, 20, SHUCKLE</t>
  </si>
  <si>
    <t xml:space="preserve">+26, 26, SHUCKLE</t>
  </si>
  <si>
    <t xml:space="preserve">+22, 22, SHUCKLE</t>
  </si>
  <si>
    <t xml:space="preserve">+28, 28, SHUCKLE</t>
  </si>
  <si>
    <t xml:space="preserve">+18, 18, SHUCKLE</t>
  </si>
  <si>
    <t xml:space="preserve">+26, 26, SHUCKLE @} @}, &lt;null&gt;, &lt;null&gt;, &lt;null&gt;</t>
  </si>
  <si>
    <t xml:space="preserve">22, 22, STANTLER</t>
  </si>
  <si>
    <t xml:space="preserve">+24, 24, STANTLER</t>
  </si>
  <si>
    <t xml:space="preserve">+20, 20, STANTLER</t>
  </si>
  <si>
    <t xml:space="preserve">+26, 26, STANTLER</t>
  </si>
  <si>
    <t xml:space="preserve">+22, 22, STANTLER</t>
  </si>
  <si>
    <t xml:space="preserve">+28, 28, STANTLER</t>
  </si>
  <si>
    <t xml:space="preserve">+18, 18, STANTLER</t>
  </si>
  <si>
    <t xml:space="preserve">+26, 26, STANTLER @} @}, &lt;null&gt;, &lt;null&gt;, &lt;null&gt;</t>
  </si>
  <si>
    <t xml:space="preserve">22, 22, SMEARGLE</t>
  </si>
  <si>
    <t xml:space="preserve">+24, 24, SMEARGLE</t>
  </si>
  <si>
    <t xml:space="preserve">+20, 20, SMEARGLE</t>
  </si>
  <si>
    <t xml:space="preserve">+26, 26, SMEARGLE</t>
  </si>
  <si>
    <t xml:space="preserve">+22, 22, SMEARGLE</t>
  </si>
  <si>
    <t xml:space="preserve">+28, 28, SMEARGLE</t>
  </si>
  <si>
    <t xml:space="preserve">+18, 18, SMEARGLE</t>
  </si>
  <si>
    <t xml:space="preserve">+26, 26, SMEARGLE @} @}, &lt;null&gt;, &lt;null&gt;, &lt;null&gt;</t>
  </si>
  <si>
    <t xml:space="preserve">Group</t>
  </si>
  <si>
    <t xml:space="preserve">Map</t>
  </si>
  <si>
    <t xml:space="preserve">MapID</t>
  </si>
  <si>
    <t xml:space="preserve">Grass</t>
  </si>
  <si>
    <t xml:space="preserve">Surf</t>
  </si>
  <si>
    <t xml:space="preserve">RockSmash</t>
  </si>
  <si>
    <t xml:space="preserve">Fish</t>
  </si>
  <si>
    <t xml:space="preserve">02</t>
  </si>
  <si>
    <t xml:space="preserve">1B</t>
  </si>
  <si>
    <t xml:space="preserve">&lt;3CEB98&gt;</t>
  </si>
  <si>
    <t xml:space="preserve">&lt;null&gt;</t>
  </si>
  <si>
    <t xml:space="preserve">1C</t>
  </si>
  <si>
    <t xml:space="preserve">&lt;3CEBD0&gt;</t>
  </si>
  <si>
    <t xml:space="preserve">1D</t>
  </si>
  <si>
    <t xml:space="preserve">&lt;3CEC08&gt;</t>
  </si>
  <si>
    <t xml:space="preserve">1E</t>
  </si>
  <si>
    <t xml:space="preserve">&lt;3CEC40&gt;</t>
  </si>
  <si>
    <t xml:space="preserve">1F</t>
  </si>
  <si>
    <t xml:space="preserve">&lt;3CEC78&gt;</t>
  </si>
  <si>
    <t xml:space="preserve">20</t>
  </si>
  <si>
    <t xml:space="preserve">&lt;3CECB0&gt;</t>
  </si>
  <si>
    <t xml:space="preserve">21</t>
  </si>
  <si>
    <t xml:space="preserve">&lt;3CECE8&gt;</t>
  </si>
  <si>
    <t xml:space="preserve">01</t>
  </si>
  <si>
    <t xml:space="preserve">00</t>
  </si>
  <si>
    <t xml:space="preserve">&lt;3CED20&gt;</t>
  </si>
  <si>
    <t xml:space="preserve">&lt;3CED58&gt;</t>
  </si>
  <si>
    <t xml:space="preserve">&lt;3CED90&gt;</t>
  </si>
  <si>
    <t xml:space="preserve">03</t>
  </si>
  <si>
    <t xml:space="preserve">&lt;3CEDC8&gt;</t>
  </si>
  <si>
    <t xml:space="preserve">04</t>
  </si>
  <si>
    <t xml:space="preserve">&lt;3CEDE4&gt;</t>
  </si>
  <si>
    <t xml:space="preserve">&lt;3CEE14&gt;</t>
  </si>
  <si>
    <t xml:space="preserve">25</t>
  </si>
  <si>
    <t xml:space="preserve">&lt;3CEE4C&gt;</t>
  </si>
  <si>
    <t xml:space="preserve">27</t>
  </si>
  <si>
    <t xml:space="preserve">&lt;3CEE84&gt;</t>
  </si>
  <si>
    <t xml:space="preserve">28</t>
  </si>
  <si>
    <t xml:space="preserve">&lt;3CEEBC&gt;</t>
  </si>
  <si>
    <t xml:space="preserve">29</t>
  </si>
  <si>
    <t xml:space="preserve">&lt;3CEEF4&gt;</t>
  </si>
  <si>
    <t xml:space="preserve">3B</t>
  </si>
  <si>
    <t xml:space="preserve">&lt;3CEF2C&gt;</t>
  </si>
  <si>
    <t xml:space="preserve">3C</t>
  </si>
  <si>
    <t xml:space="preserve">&lt;3CEF64&gt;</t>
  </si>
  <si>
    <t xml:space="preserve">3D</t>
  </si>
  <si>
    <t xml:space="preserve">&lt;3CEF9C&gt;</t>
  </si>
  <si>
    <t xml:space="preserve">3E</t>
  </si>
  <si>
    <t xml:space="preserve">&lt;3CEFD4&gt;</t>
  </si>
  <si>
    <t xml:space="preserve">3F</t>
  </si>
  <si>
    <t xml:space="preserve">&lt;3CF00C&gt;</t>
  </si>
  <si>
    <t xml:space="preserve">&lt;3CF028&gt;</t>
  </si>
  <si>
    <t xml:space="preserve">&lt;3CF058&gt;</t>
  </si>
  <si>
    <t xml:space="preserve">40</t>
  </si>
  <si>
    <t xml:space="preserve">&lt;3CF090&gt;</t>
  </si>
  <si>
    <t xml:space="preserve">&lt;3CF0AC&gt;</t>
  </si>
  <si>
    <t xml:space="preserve">&lt;3CF0DC&gt;</t>
  </si>
  <si>
    <t xml:space="preserve">41</t>
  </si>
  <si>
    <t xml:space="preserve">&lt;3CF114&gt;</t>
  </si>
  <si>
    <t xml:space="preserve">&lt;3CF130&gt;</t>
  </si>
  <si>
    <t xml:space="preserve">&lt;3CF160&gt;</t>
  </si>
  <si>
    <t xml:space="preserve">42</t>
  </si>
  <si>
    <t xml:space="preserve">&lt;3CF198&gt;</t>
  </si>
  <si>
    <t xml:space="preserve">&lt;3CF1B4&gt;</t>
  </si>
  <si>
    <t xml:space="preserve">&lt;3CF1E4&gt;</t>
  </si>
  <si>
    <t xml:space="preserve">48</t>
  </si>
  <si>
    <t xml:space="preserve">&lt;3CF21C&gt;</t>
  </si>
  <si>
    <t xml:space="preserve">&lt;3CF238&gt;</t>
  </si>
  <si>
    <t xml:space="preserve">&lt;3CF268&gt;</t>
  </si>
  <si>
    <t xml:space="preserve">49</t>
  </si>
  <si>
    <t xml:space="preserve">&lt;3CF2A0&gt;</t>
  </si>
  <si>
    <t xml:space="preserve">4A</t>
  </si>
  <si>
    <t xml:space="preserve">&lt;3CF2D8&gt;</t>
  </si>
  <si>
    <t xml:space="preserve">&lt;3CF2F4&gt;</t>
  </si>
  <si>
    <t xml:space="preserve">&lt;3CF324&gt;</t>
  </si>
  <si>
    <t xml:space="preserve">51</t>
  </si>
  <si>
    <t xml:space="preserve">&lt;3CF35C&gt;</t>
  </si>
  <si>
    <t xml:space="preserve">52</t>
  </si>
  <si>
    <t xml:space="preserve">&lt;3CF394&gt;</t>
  </si>
  <si>
    <t xml:space="preserve">&lt;3CF3B0&gt;</t>
  </si>
  <si>
    <t xml:space="preserve">53</t>
  </si>
  <si>
    <t xml:space="preserve">&lt;3CF3E8&gt;</t>
  </si>
  <si>
    <t xml:space="preserve">54</t>
  </si>
  <si>
    <t xml:space="preserve">&lt;3CF420&gt;</t>
  </si>
  <si>
    <t xml:space="preserve">55</t>
  </si>
  <si>
    <t xml:space="preserve">&lt;3CF458&gt;</t>
  </si>
  <si>
    <t xml:space="preserve">56</t>
  </si>
  <si>
    <t xml:space="preserve">&lt;3CF490&gt;</t>
  </si>
  <si>
    <t xml:space="preserve">&lt;3CF4AC&gt;</t>
  </si>
  <si>
    <t xml:space="preserve">&lt;3CF4DC&gt;</t>
  </si>
  <si>
    <t xml:space="preserve">57</t>
  </si>
  <si>
    <t xml:space="preserve">&lt;3CF514&gt;</t>
  </si>
  <si>
    <t xml:space="preserve">&lt;3CF530&gt;</t>
  </si>
  <si>
    <t xml:space="preserve">&lt;3CF560&gt;</t>
  </si>
  <si>
    <t xml:space="preserve">5A</t>
  </si>
  <si>
    <t xml:space="preserve">&lt;3CF598&gt;</t>
  </si>
  <si>
    <t xml:space="preserve">5B</t>
  </si>
  <si>
    <t xml:space="preserve">&lt;3CF5D0&gt;</t>
  </si>
  <si>
    <t xml:space="preserve">5C</t>
  </si>
  <si>
    <t xml:space="preserve">&lt;3CF608&gt;</t>
  </si>
  <si>
    <t xml:space="preserve">5D</t>
  </si>
  <si>
    <t xml:space="preserve">&lt;3CF640&gt;</t>
  </si>
  <si>
    <t xml:space="preserve">5E</t>
  </si>
  <si>
    <t xml:space="preserve">&lt;3CF678&gt;</t>
  </si>
  <si>
    <t xml:space="preserve">5F</t>
  </si>
  <si>
    <t xml:space="preserve">&lt;3CF6B0&gt;</t>
  </si>
  <si>
    <t xml:space="preserve">61</t>
  </si>
  <si>
    <t xml:space="preserve">&lt;3CF6E8&gt;</t>
  </si>
  <si>
    <t xml:space="preserve">&lt;3CF704&gt;</t>
  </si>
  <si>
    <t xml:space="preserve">62</t>
  </si>
  <si>
    <t xml:space="preserve">&lt;3CF73C&gt;</t>
  </si>
  <si>
    <t xml:space="preserve">63</t>
  </si>
  <si>
    <t xml:space="preserve">&lt;3CF774&gt;</t>
  </si>
  <si>
    <t xml:space="preserve">&lt;3CF790&gt;</t>
  </si>
  <si>
    <t xml:space="preserve">64</t>
  </si>
  <si>
    <t xml:space="preserve">&lt;3CF7C8&gt;</t>
  </si>
  <si>
    <t xml:space="preserve">67</t>
  </si>
  <si>
    <t xml:space="preserve">&lt;3CF800&gt;</t>
  </si>
  <si>
    <t xml:space="preserve">&lt;3CF81C&gt;</t>
  </si>
  <si>
    <t xml:space="preserve">68</t>
  </si>
  <si>
    <t xml:space="preserve">&lt;3CF854&gt;</t>
  </si>
  <si>
    <t xml:space="preserve">&lt;3CF870&gt;</t>
  </si>
  <si>
    <t xml:space="preserve">69</t>
  </si>
  <si>
    <t xml:space="preserve">&lt;3CF8A8&gt;</t>
  </si>
  <si>
    <t xml:space="preserve">&lt;3CF8C4&gt;</t>
  </si>
  <si>
    <t xml:space="preserve">6A</t>
  </si>
  <si>
    <t xml:space="preserve">&lt;3CF8FC&gt;</t>
  </si>
  <si>
    <t xml:space="preserve">&lt;3CF918&gt;</t>
  </si>
  <si>
    <t xml:space="preserve">6B</t>
  </si>
  <si>
    <t xml:space="preserve">&lt;3CF950&gt;</t>
  </si>
  <si>
    <t xml:space="preserve">&lt;3CF96C&gt;</t>
  </si>
  <si>
    <t xml:space="preserve">6C</t>
  </si>
  <si>
    <t xml:space="preserve">&lt;3CF9A4&gt;</t>
  </si>
  <si>
    <t xml:space="preserve">&lt;3CF9C0&gt;</t>
  </si>
  <si>
    <t xml:space="preserve">6D</t>
  </si>
  <si>
    <t xml:space="preserve">&lt;3CF9F8&gt;</t>
  </si>
  <si>
    <t xml:space="preserve">&lt;3CFA14&gt;</t>
  </si>
  <si>
    <t xml:space="preserve">&lt;3CFA44&gt;</t>
  </si>
  <si>
    <t xml:space="preserve">6E</t>
  </si>
  <si>
    <t xml:space="preserve">&lt;3CFA7C&gt;</t>
  </si>
  <si>
    <t xml:space="preserve">&lt;3CFA98&gt;</t>
  </si>
  <si>
    <t xml:space="preserve">&lt;3CFAC8&gt;</t>
  </si>
  <si>
    <t xml:space="preserve">6F</t>
  </si>
  <si>
    <t xml:space="preserve">&lt;3CFB00&gt;</t>
  </si>
  <si>
    <t xml:space="preserve">70</t>
  </si>
  <si>
    <t xml:space="preserve">&lt;3CFB38&gt;</t>
  </si>
  <si>
    <t xml:space="preserve">71</t>
  </si>
  <si>
    <t xml:space="preserve">&lt;3CFB70&gt;</t>
  </si>
  <si>
    <t xml:space="preserve">&lt;3CFB8C&gt;</t>
  </si>
  <si>
    <t xml:space="preserve">&lt;3CFBBC&gt;</t>
  </si>
  <si>
    <t xml:space="preserve">79</t>
  </si>
  <si>
    <t xml:space="preserve">&lt;3CFBF4&gt;</t>
  </si>
  <si>
    <t xml:space="preserve">0D</t>
  </si>
  <si>
    <t xml:space="preserve">&lt;3CFC2C&gt;</t>
  </si>
  <si>
    <t xml:space="preserve">0E</t>
  </si>
  <si>
    <t xml:space="preserve">&lt;3CFC64&gt;</t>
  </si>
  <si>
    <t xml:space="preserve">0F</t>
  </si>
  <si>
    <t xml:space="preserve">&lt;3CFC9C&gt;</t>
  </si>
  <si>
    <t xml:space="preserve">10</t>
  </si>
  <si>
    <t xml:space="preserve">&lt;3CFCD4&gt;</t>
  </si>
  <si>
    <t xml:space="preserve">11</t>
  </si>
  <si>
    <t xml:space="preserve">&lt;3CFD0C&gt;</t>
  </si>
  <si>
    <t xml:space="preserve">12</t>
  </si>
  <si>
    <t xml:space="preserve">&lt;3CFD44&gt;</t>
  </si>
  <si>
    <t xml:space="preserve">13</t>
  </si>
  <si>
    <t xml:space="preserve">&lt;3CFD7C&gt;</t>
  </si>
  <si>
    <t xml:space="preserve">14</t>
  </si>
  <si>
    <t xml:space="preserve">&lt;3CFDB4&gt;</t>
  </si>
  <si>
    <t xml:space="preserve">15</t>
  </si>
  <si>
    <t xml:space="preserve">&lt;3CFDEC&gt;</t>
  </si>
  <si>
    <t xml:space="preserve">16</t>
  </si>
  <si>
    <t xml:space="preserve">&lt;3CFE24&gt;</t>
  </si>
  <si>
    <t xml:space="preserve">17</t>
  </si>
  <si>
    <t xml:space="preserve">&lt;3CFE5C&gt;</t>
  </si>
  <si>
    <t xml:space="preserve">18</t>
  </si>
  <si>
    <t xml:space="preserve">&lt;3CFE94&gt;</t>
  </si>
  <si>
    <t xml:space="preserve">19</t>
  </si>
  <si>
    <t xml:space="preserve">&lt;3CFECC&gt;</t>
  </si>
  <si>
    <t xml:space="preserve">1A</t>
  </si>
  <si>
    <t xml:space="preserve">&lt;3CFF04&gt;</t>
  </si>
  <si>
    <t xml:space="preserve">2D</t>
  </si>
  <si>
    <t xml:space="preserve">&lt;3CFF3C&gt;</t>
  </si>
  <si>
    <t xml:space="preserve">&lt;3CFF58&gt;</t>
  </si>
  <si>
    <t xml:space="preserve">&lt;3CFF74&gt;</t>
  </si>
  <si>
    <t xml:space="preserve">&lt;3CFFA4&gt;</t>
  </si>
  <si>
    <t xml:space="preserve">2E</t>
  </si>
  <si>
    <t xml:space="preserve">&lt;3CFFDC&gt;</t>
  </si>
  <si>
    <t xml:space="preserve">&lt;3CFFF8&gt;</t>
  </si>
  <si>
    <t xml:space="preserve">&lt;3D0028&gt;</t>
  </si>
  <si>
    <t xml:space="preserve">2F</t>
  </si>
  <si>
    <t xml:space="preserve">&lt;3D0060&gt;</t>
  </si>
  <si>
    <t xml:space="preserve">&lt;3D007C&gt;</t>
  </si>
  <si>
    <t xml:space="preserve">&lt;3D00AC&gt;</t>
  </si>
  <si>
    <t xml:space="preserve">30</t>
  </si>
  <si>
    <t xml:space="preserve">&lt;3D00E4&gt;</t>
  </si>
  <si>
    <t xml:space="preserve">&lt;3D0100&gt;</t>
  </si>
  <si>
    <t xml:space="preserve">&lt;3D0130&gt;</t>
  </si>
  <si>
    <t xml:space="preserve">31</t>
  </si>
  <si>
    <t xml:space="preserve">&lt;3D0168&gt;</t>
  </si>
  <si>
    <t xml:space="preserve">36</t>
  </si>
  <si>
    <t xml:space="preserve">&lt;3D0184&gt;</t>
  </si>
  <si>
    <t xml:space="preserve">&lt;3D01B4&gt;</t>
  </si>
  <si>
    <t xml:space="preserve">37</t>
  </si>
  <si>
    <t xml:space="preserve">&lt;3D01D0&gt;</t>
  </si>
  <si>
    <t xml:space="preserve">&lt;3D0200&gt;</t>
  </si>
  <si>
    <t xml:space="preserve">38</t>
  </si>
  <si>
    <t xml:space="preserve">&lt;3D0238&gt;</t>
  </si>
  <si>
    <t xml:space="preserve">&lt;3D0254&gt;</t>
  </si>
  <si>
    <t xml:space="preserve">&lt;3D0284&gt;</t>
  </si>
  <si>
    <t xml:space="preserve">39</t>
  </si>
  <si>
    <t xml:space="preserve">&lt;3D02BC&gt;</t>
  </si>
  <si>
    <t xml:space="preserve">&lt;3D02D8&gt;</t>
  </si>
  <si>
    <t xml:space="preserve">&lt;3D0308&gt;</t>
  </si>
  <si>
    <t xml:space="preserve">3A</t>
  </si>
  <si>
    <t xml:space="preserve">&lt;3D0324&gt;</t>
  </si>
  <si>
    <t xml:space="preserve">&lt;3D0354&gt;</t>
  </si>
  <si>
    <t xml:space="preserve">&lt;3D0370&gt;</t>
  </si>
  <si>
    <t xml:space="preserve">&lt;3D03A0&gt;</t>
  </si>
  <si>
    <t xml:space="preserve">&lt;3D03D8&gt;</t>
  </si>
  <si>
    <t xml:space="preserve">&lt;3D03F4&gt;</t>
  </si>
  <si>
    <t xml:space="preserve">&lt;3D0424&gt;</t>
  </si>
  <si>
    <t xml:space="preserve">&lt;3D045C&gt;</t>
  </si>
  <si>
    <t xml:space="preserve">&lt;3D0478&gt;</t>
  </si>
  <si>
    <t xml:space="preserve">&lt;3D04A8&gt;</t>
  </si>
  <si>
    <t xml:space="preserve">&lt;3D04C4&gt;</t>
  </si>
  <si>
    <t xml:space="preserve">&lt;3D04F4&gt;</t>
  </si>
  <si>
    <t xml:space="preserve">&lt;3D052C&gt;</t>
  </si>
  <si>
    <t xml:space="preserve">&lt;3D0564&gt;</t>
  </si>
  <si>
    <t xml:space="preserve">&lt;3D0580&gt;</t>
  </si>
  <si>
    <t xml:space="preserve">&lt;3D059C&gt;</t>
  </si>
  <si>
    <t xml:space="preserve">&lt;3D05CC&gt;</t>
  </si>
  <si>
    <t xml:space="preserve">&lt;3D0604&gt;</t>
  </si>
  <si>
    <t xml:space="preserve">&lt;3D063C&gt;</t>
  </si>
  <si>
    <t xml:space="preserve">&lt;3D0674&gt;</t>
  </si>
  <si>
    <t xml:space="preserve">&lt;3D06AC&gt;</t>
  </si>
  <si>
    <t xml:space="preserve">&lt;3D06C8&gt;</t>
  </si>
  <si>
    <t xml:space="preserve">&lt;3D06F8&gt;</t>
  </si>
  <si>
    <t xml:space="preserve">&lt;3D0730&gt;</t>
  </si>
  <si>
    <t xml:space="preserve">&lt;3D0768&gt;</t>
  </si>
  <si>
    <t xml:space="preserve">&lt;3D0784&gt;</t>
  </si>
  <si>
    <t xml:space="preserve">&lt;3D07B4&gt;</t>
  </si>
  <si>
    <t xml:space="preserve">&lt;3D07EC&gt;</t>
  </si>
  <si>
    <t xml:space="preserve">&lt;3D0824&gt;</t>
  </si>
  <si>
    <t xml:space="preserve">&lt;3D085C&gt;</t>
  </si>
  <si>
    <t xml:space="preserve">&lt;3D0894&gt;</t>
  </si>
  <si>
    <t xml:space="preserve">&lt;3D08B0&gt;</t>
  </si>
  <si>
    <t xml:space="preserve">&lt;3D08E0&gt;</t>
  </si>
  <si>
    <t xml:space="preserve">&lt;3D0918&gt;</t>
  </si>
  <si>
    <t xml:space="preserve">&lt;3D0934&gt;</t>
  </si>
  <si>
    <t xml:space="preserve">&lt;3D0964&gt;</t>
  </si>
  <si>
    <t xml:space="preserve">&lt;3D099C&gt;</t>
  </si>
  <si>
    <t xml:space="preserve">&lt;3D09B8&gt;</t>
  </si>
  <si>
    <t xml:space="preserve">&lt;3D09E8&gt;</t>
  </si>
  <si>
    <t xml:space="preserve">&lt;3D0A20&gt;</t>
  </si>
  <si>
    <t xml:space="preserve">&lt;3D0A3C&gt;</t>
  </si>
  <si>
    <t xml:space="preserve">&lt;3D0A6C&gt;</t>
  </si>
  <si>
    <t xml:space="preserve">&lt;3D0AA4&gt;</t>
  </si>
  <si>
    <t xml:space="preserve">&lt;3D0ADC&gt;</t>
  </si>
  <si>
    <t xml:space="preserve">22</t>
  </si>
  <si>
    <t xml:space="preserve">&lt;3D0B14&gt;</t>
  </si>
  <si>
    <t xml:space="preserve">23</t>
  </si>
  <si>
    <t xml:space="preserve">&lt;3D0B4C&gt;</t>
  </si>
  <si>
    <t xml:space="preserve">24</t>
  </si>
  <si>
    <t xml:space="preserve">&lt;3D0B84&gt;</t>
  </si>
  <si>
    <t xml:space="preserve">&lt;3D0BA0&gt;</t>
  </si>
  <si>
    <t xml:space="preserve">&lt;3D0BD0&gt;</t>
  </si>
  <si>
    <t xml:space="preserve">26</t>
  </si>
  <si>
    <t xml:space="preserve">&lt;3D0BEC&gt;</t>
  </si>
  <si>
    <t xml:space="preserve">&lt;3D0C1C&gt;</t>
  </si>
  <si>
    <t xml:space="preserve">&lt;3D0C54&gt;</t>
  </si>
  <si>
    <t xml:space="preserve">&lt;3D0C70&gt;</t>
  </si>
  <si>
    <t xml:space="preserve">&lt;3D0CA0&gt;</t>
  </si>
  <si>
    <t xml:space="preserve">&lt;3D0CD8&gt;</t>
  </si>
  <si>
    <t xml:space="preserve">&lt;3D0CF4&gt;</t>
  </si>
  <si>
    <t xml:space="preserve">&lt;3D0D24&gt;</t>
  </si>
  <si>
    <t xml:space="preserve">&lt;3D0D5C&gt;</t>
  </si>
  <si>
    <t xml:space="preserve">&lt;3D0D78&gt;</t>
  </si>
  <si>
    <t xml:space="preserve">&lt;3D0DA8&gt;</t>
  </si>
  <si>
    <t xml:space="preserve">2A</t>
  </si>
  <si>
    <t xml:space="preserve">&lt;3D0DE0&gt;</t>
  </si>
  <si>
    <t xml:space="preserve">&lt;3D0DFC&gt;</t>
  </si>
  <si>
    <t xml:space="preserve">&lt;3D0E2C&gt;</t>
  </si>
  <si>
    <t xml:space="preserve">2B</t>
  </si>
  <si>
    <t xml:space="preserve">&lt;3D0E64&gt;</t>
  </si>
  <si>
    <t xml:space="preserve">&lt;3D0E80&gt;</t>
  </si>
  <si>
    <t xml:space="preserve">&lt;3D0EB0&gt;</t>
  </si>
  <si>
    <t xml:space="preserve">2C</t>
  </si>
  <si>
    <t xml:space="preserve">&lt;3D0EE8&gt;</t>
  </si>
  <si>
    <t xml:space="preserve">&lt;3D0F04&gt;</t>
  </si>
  <si>
    <t xml:space="preserve">&lt;3D0F34&gt;</t>
  </si>
  <si>
    <t xml:space="preserve">&lt;3D0F50&gt;</t>
  </si>
  <si>
    <t xml:space="preserve">&lt;3D0F80&gt;</t>
  </si>
  <si>
    <t xml:space="preserve">&lt;3D0F9C&gt;</t>
  </si>
  <si>
    <t xml:space="preserve">&lt;3D0FCC&gt;</t>
  </si>
  <si>
    <t xml:space="preserve">&lt;3D0FE8&gt;</t>
  </si>
  <si>
    <t xml:space="preserve">&lt;3D1018&gt;</t>
  </si>
  <si>
    <t xml:space="preserve">05</t>
  </si>
  <si>
    <t xml:space="preserve">&lt;3D1034&gt;</t>
  </si>
  <si>
    <t xml:space="preserve">&lt;3D1064&gt;</t>
  </si>
  <si>
    <t xml:space="preserve">06</t>
  </si>
  <si>
    <t xml:space="preserve">&lt;3D1080&gt;</t>
  </si>
  <si>
    <t xml:space="preserve">&lt;3D10B0&gt;</t>
  </si>
  <si>
    <t xml:space="preserve">07</t>
  </si>
  <si>
    <t xml:space="preserve">&lt;3D10CC&gt;</t>
  </si>
  <si>
    <t xml:space="preserve">&lt;3D10FC&gt;</t>
  </si>
  <si>
    <t xml:space="preserve">08</t>
  </si>
  <si>
    <t xml:space="preserve">&lt;3D1118&gt;</t>
  </si>
  <si>
    <t xml:space="preserve">&lt;3D1148&gt;</t>
  </si>
  <si>
    <t xml:space="preserve">0C</t>
  </si>
  <si>
    <t xml:space="preserve">&lt;3D1164&gt;</t>
  </si>
  <si>
    <t xml:space="preserve">&lt;3D1194&gt;</t>
  </si>
  <si>
    <t xml:space="preserve">&lt;3D11B0&gt;</t>
  </si>
  <si>
    <t xml:space="preserve">&lt;3D11E0&gt;</t>
  </si>
  <si>
    <t xml:space="preserve">&lt;3D11FC&gt;</t>
  </si>
  <si>
    <t xml:space="preserve">&lt;3D122C&gt;</t>
  </si>
  <si>
    <t xml:space="preserve">7A</t>
  </si>
  <si>
    <t xml:space="preserve">&lt;3D1264&gt;</t>
  </si>
  <si>
    <t xml:space="preserve">&lt;3D129C&gt;</t>
  </si>
  <si>
    <t xml:space="preserve">&lt;3D12D4&gt;</t>
  </si>
  <si>
    <t xml:space="preserve">&lt;3D130C&gt;</t>
  </si>
  <si>
    <t xml:space="preserve">&lt;3D1344&gt;</t>
  </si>
  <si>
    <t xml:space="preserve">&lt;3D137C&gt;</t>
  </si>
  <si>
    <t xml:space="preserve">&lt;3D13B4&gt;</t>
  </si>
  <si>
    <t xml:space="preserve">&lt;3D13EC&gt;</t>
  </si>
  <si>
    <t xml:space="preserve">&lt;3D1424&gt;</t>
  </si>
  <si>
    <t xml:space="preserve">NEW ROUTE</t>
  </si>
  <si>
    <t xml:space="preserve">+1, 0, 0, </t>
  </si>
  <si>
    <t xml:space="preserve"> 14,  # 20%</t>
  </si>
  <si>
    <t xml:space="preserve">+10, 10, TANGELA  , &lt;null&gt;, &lt;null&gt;, &lt;null&gt;</t>
  </si>
  <si>
    <t xml:space="preserve">+1, 1, 0, </t>
  </si>
  <si>
    <t xml:space="preserve"> 7,  # 20%</t>
  </si>
  <si>
    <t xml:space="preserve">+11, 14, CLEFAIRY  , &lt;null&gt;, &lt;null&gt;, &lt;null&gt;</t>
  </si>
  <si>
    <t xml:space="preserve">+1, 2, 0, </t>
  </si>
  <si>
    <t xml:space="preserve"> 5,  # 20%</t>
  </si>
  <si>
    <t xml:space="preserve">+12, 15, CLEFAIRY  , &lt;null&gt;, &lt;null&gt;, &lt;null&gt;</t>
  </si>
  <si>
    <t xml:space="preserve">+1, 3, 0, </t>
  </si>
  <si>
    <t xml:space="preserve">+13, 16, GRAVELER  , &lt;null&gt;, &lt;null&gt;, &lt;null&gt;</t>
  </si>
  <si>
    <t xml:space="preserve">+1, 4, 0, &lt;null&gt;, </t>
  </si>
  <si>
    <t xml:space="preserve"> 1,  5, 10, TENTACOOL</t>
  </si>
  <si>
    <t xml:space="preserve">+35, 40, TENTACOOL </t>
  </si>
  <si>
    <t xml:space="preserve"> 10,  # old rod:</t>
  </si>
  <si>
    <t xml:space="preserve">+25, 35, SLOWPOKE  </t>
  </si>
  <si>
    <t xml:space="preserve">+1, 37, 0, </t>
  </si>
  <si>
    <t xml:space="preserve">+30, 30, DUGROUPLE  , &lt;null&gt;, &lt;null&gt;, &lt;null&gt;</t>
  </si>
  <si>
    <t xml:space="preserve">+1, 39, 0, </t>
  </si>
  <si>
    <t xml:space="preserve">+58, 60, WRAIWRATH  , &lt;null&gt;, &lt;null&gt;, &lt;null&gt;</t>
  </si>
  <si>
    <t xml:space="preserve">+1, 40, 0, </t>
  </si>
  <si>
    <t xml:space="preserve">+59, 61, FERODILLO  , &lt;null&gt;, &lt;null&gt;, &lt;null&gt;</t>
  </si>
  <si>
    <t xml:space="preserve">+1, 41, 0, </t>
  </si>
  <si>
    <t xml:space="preserve">+60, 62, CLAYMOR  , &lt;null&gt;, &lt;null&gt;, &lt;null&gt;</t>
  </si>
  <si>
    <t xml:space="preserve">+1, 59, 0, </t>
  </si>
  <si>
    <t xml:space="preserve">+20, 25, CHARMANDER  , &lt;null&gt;, &lt;null&gt;, &lt;null&gt;</t>
  </si>
  <si>
    <t xml:space="preserve">+1, 60, 0, </t>
  </si>
  <si>
    <t xml:space="preserve">+1, 61, 0, </t>
  </si>
  <si>
    <t xml:space="preserve">+1, 62, 0, </t>
  </si>
  <si>
    <t xml:space="preserve">+20, 25, OMANYTE  , &lt;null&gt;, &lt;null&gt;, &lt;null&gt;</t>
  </si>
  <si>
    <t xml:space="preserve">+1, 63, 0, </t>
  </si>
  <si>
    <t xml:space="preserve"> 21,  # 20%</t>
  </si>
  <si>
    <t xml:space="preserve">+40, 40, RHYPERIOR </t>
  </si>
  <si>
    <t xml:space="preserve"> 2,  38, 42, SLOWPOKE</t>
  </si>
  <si>
    <t xml:space="preserve">+44, 48, VAPOREON </t>
  </si>
  <si>
    <t xml:space="preserve"> 20,  # old rod:</t>
  </si>
  <si>
    <t xml:space="preserve">+40, 44, DRAGONITE  </t>
  </si>
  <si>
    <t xml:space="preserve">+1, 64, 0, </t>
  </si>
  <si>
    <t xml:space="preserve">+40, 40, MAGMORTAR </t>
  </si>
  <si>
    <t xml:space="preserve">+1, 65, 0, </t>
  </si>
  <si>
    <t xml:space="preserve">+40, 40, ELECTIVIRE </t>
  </si>
  <si>
    <t xml:space="preserve">+1, 66, 0, </t>
  </si>
  <si>
    <t xml:space="preserve">+40, 40, TANGROWTH </t>
  </si>
  <si>
    <t xml:space="preserve">+1, 72, 0, </t>
  </si>
  <si>
    <t xml:space="preserve">+55, 56, OMAPAL </t>
  </si>
  <si>
    <t xml:space="preserve"> 2,  50, 55, POLITOES</t>
  </si>
  <si>
    <t xml:space="preserve">+53, 58, NESSEA </t>
  </si>
  <si>
    <t xml:space="preserve">+53, 58, STARWE  </t>
  </si>
  <si>
    <t xml:space="preserve">+1, 73, 0, </t>
  </si>
  <si>
    <t xml:space="preserve">+55, 56, OMAPAL  , &lt;null&gt;, &lt;null&gt;, &lt;null&gt;</t>
  </si>
  <si>
    <t xml:space="preserve">+1, 74, 0, </t>
  </si>
  <si>
    <t xml:space="preserve">+1, 81, 0, </t>
  </si>
  <si>
    <t xml:space="preserve">+20, 23, KANGASKHAN  , &lt;null&gt;, &lt;null&gt;, &lt;null&gt;</t>
  </si>
  <si>
    <t xml:space="preserve">+1, 82, 0, </t>
  </si>
  <si>
    <t xml:space="preserve">+21, 24, KANGASKHAN </t>
  </si>
  <si>
    <t xml:space="preserve"> 50,  5, 20, GEODUDE</t>
  </si>
  <si>
    <t xml:space="preserve">+30, 40, GRAVELER  , &lt;null&gt;</t>
  </si>
  <si>
    <t xml:space="preserve">+1, 83, 0, </t>
  </si>
  <si>
    <t xml:space="preserve">+45, 50, LICKILICKY  , &lt;null&gt;, &lt;null&gt;, &lt;null&gt;</t>
  </si>
  <si>
    <t xml:space="preserve">+1, 84, 0, </t>
  </si>
  <si>
    <t xml:space="preserve">+45, 50, LICKILOLLY  , &lt;null&gt;, &lt;null&gt;, &lt;null&gt;</t>
  </si>
  <si>
    <t xml:space="preserve">+1, 85, 0, </t>
  </si>
  <si>
    <t xml:space="preserve">+1, 86, 0, </t>
  </si>
  <si>
    <t xml:space="preserve">+45, 50, LICKILOLLY </t>
  </si>
  <si>
    <t xml:space="preserve"> 2,  38, 44, DEWGONG</t>
  </si>
  <si>
    <t xml:space="preserve">+42, 46, SLOWBRO </t>
  </si>
  <si>
    <t xml:space="preserve">+40, 44, LORDRA  </t>
  </si>
  <si>
    <t xml:space="preserve">+1, 87, 0, </t>
  </si>
  <si>
    <t xml:space="preserve">+1, 90, 0, </t>
  </si>
  <si>
    <t xml:space="preserve"> 2,  # 20%</t>
  </si>
  <si>
    <t xml:space="preserve">+32, 33, NINETALES  , &lt;null&gt;, &lt;null&gt;, &lt;null&gt;</t>
  </si>
  <si>
    <t xml:space="preserve">+1, 91, 0, </t>
  </si>
  <si>
    <t xml:space="preserve"> 4,  # 20%</t>
  </si>
  <si>
    <t xml:space="preserve">+1, 92, 0, </t>
  </si>
  <si>
    <t xml:space="preserve"> 6,  # 20%</t>
  </si>
  <si>
    <t xml:space="preserve">+1, 93, 0, </t>
  </si>
  <si>
    <t xml:space="preserve"> 8,  # 20%</t>
  </si>
  <si>
    <t xml:space="preserve">+1, 94, 0, </t>
  </si>
  <si>
    <t xml:space="preserve"> 10,  # 20%</t>
  </si>
  <si>
    <t xml:space="preserve">+1, 95, 0, </t>
  </si>
  <si>
    <t xml:space="preserve">+45, 50, MAGNEZONE  , &lt;null&gt;, &lt;null&gt;, &lt;null&gt;</t>
  </si>
  <si>
    <t xml:space="preserve">+1, 97, 0, </t>
  </si>
  <si>
    <t xml:space="preserve">+42, 42, RAPIDASH </t>
  </si>
  <si>
    <t xml:space="preserve">+1, 98, 0, </t>
  </si>
  <si>
    <t xml:space="preserve">+39, 39, MACHOP  , &lt;null&gt;, &lt;null&gt;, &lt;null&gt;</t>
  </si>
  <si>
    <t xml:space="preserve">+1, 99, 0, </t>
  </si>
  <si>
    <t xml:space="preserve">+40, 40, MACHOKE </t>
  </si>
  <si>
    <t xml:space="preserve">+1, 100, 0, </t>
  </si>
  <si>
    <t xml:space="preserve">+1, 103, 0, </t>
  </si>
  <si>
    <t xml:space="preserve">+42, 42, MACHOKE </t>
  </si>
  <si>
    <t xml:space="preserve"> 50,  25, 35, GEODUDE</t>
  </si>
  <si>
    <t xml:space="preserve">+30, 40, GEODUDE  , &lt;null&gt;</t>
  </si>
  <si>
    <t xml:space="preserve">+1, 104, 0, </t>
  </si>
  <si>
    <t xml:space="preserve">+30, 30, SLUGMA </t>
  </si>
  <si>
    <t xml:space="preserve">+1, 105, 0, </t>
  </si>
  <si>
    <t xml:space="preserve">+22, 22, SLUGMA </t>
  </si>
  <si>
    <t xml:space="preserve">+1, 106, 0, </t>
  </si>
  <si>
    <t xml:space="preserve">+18, 18, SLUGMA </t>
  </si>
  <si>
    <t xml:space="preserve"> 50,  15, 25, SLUGMA</t>
  </si>
  <si>
    <t xml:space="preserve">+25, 35, MAGCARGO  , &lt;null&gt;</t>
  </si>
  <si>
    <t xml:space="preserve">+1, 107, 0, </t>
  </si>
  <si>
    <t xml:space="preserve">+1, 108, 0, </t>
  </si>
  <si>
    <t xml:space="preserve">+1, 109, 0, </t>
  </si>
  <si>
    <t xml:space="preserve">+40, 40, HYPNO </t>
  </si>
  <si>
    <t xml:space="preserve"> 2,  5, 20, SLOWPOKE</t>
  </si>
  <si>
    <t xml:space="preserve">+35, 40, SLOWBRO </t>
  </si>
  <si>
    <t xml:space="preserve">+1, 110, 0, </t>
  </si>
  <si>
    <t xml:space="preserve">+53, 53, DEWGONG </t>
  </si>
  <si>
    <t xml:space="preserve"> 2,  5, 35, SEEL</t>
  </si>
  <si>
    <t xml:space="preserve">+5, 15, MARILL </t>
  </si>
  <si>
    <t xml:space="preserve">+1, 111, 0, </t>
  </si>
  <si>
    <t xml:space="preserve">+23, 23, SWINUB  , &lt;null&gt;, &lt;null&gt;, &lt;null&gt;</t>
  </si>
  <si>
    <t xml:space="preserve">+1, 112, 0, </t>
  </si>
  <si>
    <t xml:space="preserve">+1, 113, 0, </t>
  </si>
  <si>
    <t xml:space="preserve"> 2,  5, 20, TENTACOOL</t>
  </si>
  <si>
    <t xml:space="preserve">+30, 45, LAPRAS </t>
  </si>
  <si>
    <t xml:space="preserve">+1, 121, 0, </t>
  </si>
  <si>
    <t xml:space="preserve">+30, 30, HERACROSS  , &lt;null&gt;, &lt;null&gt;, &lt;null&gt;</t>
  </si>
  <si>
    <t xml:space="preserve">+2, 13, 0, </t>
  </si>
  <si>
    <t xml:space="preserve"> 1,  # 20%</t>
  </si>
  <si>
    <t xml:space="preserve">+22, 22, MISDREAVUS  , &lt;null&gt;, &lt;null&gt;, &lt;null&gt;</t>
  </si>
  <si>
    <t xml:space="preserve">+2, 14, 0, </t>
  </si>
  <si>
    <t xml:space="preserve">+2, 15, 0, </t>
  </si>
  <si>
    <t xml:space="preserve"> 3,  # 20%</t>
  </si>
  <si>
    <t xml:space="preserve">+2, 16, 0, </t>
  </si>
  <si>
    <t xml:space="preserve">+2, 17, 0, </t>
  </si>
  <si>
    <t xml:space="preserve">+2, 18, 0, </t>
  </si>
  <si>
    <t xml:space="preserve">+2, 19, 0, </t>
  </si>
  <si>
    <t xml:space="preserve">+2, 20, 0, </t>
  </si>
  <si>
    <t xml:space="preserve">+2, 21, 0, </t>
  </si>
  <si>
    <t xml:space="preserve"> 9,  # 20%</t>
  </si>
  <si>
    <t xml:space="preserve">+2, 22, 0, </t>
  </si>
  <si>
    <t xml:space="preserve">+2, 23, 0, </t>
  </si>
  <si>
    <t xml:space="preserve">+2, 24, 0, </t>
  </si>
  <si>
    <t xml:space="preserve">+2, 25, 0, </t>
  </si>
  <si>
    <t xml:space="preserve">+2, 26, 0, </t>
  </si>
  <si>
    <t xml:space="preserve">+3, 45, 0, </t>
  </si>
  <si>
    <t xml:space="preserve">+40, 40, PERSIAN </t>
  </si>
  <si>
    <t xml:space="preserve">+35, 40, TENTACRUEL </t>
  </si>
  <si>
    <t xml:space="preserve"> 25,  5, 20, GEODUDE</t>
  </si>
  <si>
    <t xml:space="preserve">+30, 40, GRAVELER </t>
  </si>
  <si>
    <t xml:space="preserve">+3, 46, 0, </t>
  </si>
  <si>
    <t xml:space="preserve">+3, 47, 0, </t>
  </si>
  <si>
    <t xml:space="preserve">+3, 48, 0, </t>
  </si>
  <si>
    <t xml:space="preserve">+3, 49, 0, </t>
  </si>
  <si>
    <t xml:space="preserve">+35, 35, DUNSPARCE  , &lt;null&gt;, &lt;null&gt;, &lt;null&gt;</t>
  </si>
  <si>
    <t xml:space="preserve">+3, 54, 0, &lt;null&gt;, </t>
  </si>
  <si>
    <t xml:space="preserve"> 2,  5, 35, TENTACOOL</t>
  </si>
  <si>
    <t xml:space="preserve">+3, 55, 0, &lt;null&gt;, </t>
  </si>
  <si>
    <t xml:space="preserve">+3, 56, 0, </t>
  </si>
  <si>
    <t xml:space="preserve">+50, 50, PERSIAN </t>
  </si>
  <si>
    <t xml:space="preserve">+3, 57, 0, </t>
  </si>
  <si>
    <t xml:space="preserve">+14, 14, HOPPIP </t>
  </si>
  <si>
    <t xml:space="preserve">+3, 58, 0, &lt;null&gt;, </t>
  </si>
  <si>
    <t xml:space="preserve">+3, 59, 0, &lt;null&gt;, </t>
  </si>
  <si>
    <t xml:space="preserve">+3, 60, 0, </t>
  </si>
  <si>
    <t xml:space="preserve">+3, 61, 0, </t>
  </si>
  <si>
    <t xml:space="preserve">+52, 52, PERSIAN </t>
  </si>
  <si>
    <t xml:space="preserve"> 2,  5, 20, MARILL</t>
  </si>
  <si>
    <t xml:space="preserve">+20, 25, MARILL </t>
  </si>
  <si>
    <t xml:space="preserve">+3, 62, 0, &lt;null&gt;, </t>
  </si>
  <si>
    <t xml:space="preserve">+3, 63, 0, </t>
  </si>
  <si>
    <t xml:space="preserve">+50, 50, PERSIAN  , &lt;null&gt;, &lt;null&gt;, &lt;null&gt;</t>
  </si>
  <si>
    <t xml:space="preserve">+3, 64, 0, </t>
  </si>
  <si>
    <t xml:space="preserve"> 25,  25, 35, GEODUDE</t>
  </si>
  <si>
    <t xml:space="preserve">+3, 65, 0, &lt;null&gt;, </t>
  </si>
  <si>
    <t xml:space="preserve">+3, 19, 0, </t>
  </si>
  <si>
    <t xml:space="preserve">+3, 3, EEVEE  , &lt;null&gt;, &lt;null&gt;, &lt;null&gt;</t>
  </si>
  <si>
    <t xml:space="preserve">+3, 20, 0, </t>
  </si>
  <si>
    <t xml:space="preserve">+7, 7, GROWLITHE  , &lt;null&gt;, &lt;null&gt;, &lt;null&gt;</t>
  </si>
  <si>
    <t xml:space="preserve">+3, 21, 0, </t>
  </si>
  <si>
    <t xml:space="preserve">+10, 13, NIDORAN\sm  , &lt;null&gt;, &lt;null&gt;, &lt;null&gt;</t>
  </si>
  <si>
    <t xml:space="preserve">+3, 22, 0, </t>
  </si>
  <si>
    <t xml:space="preserve">+16, 16, NIDORINA </t>
  </si>
  <si>
    <t xml:space="preserve"> 2,  38, 42, TENTACOOL</t>
  </si>
  <si>
    <t xml:space="preserve">+40, 44, SLOWMATE  </t>
  </si>
  <si>
    <t xml:space="preserve">+3, 23, 0, </t>
  </si>
  <si>
    <t xml:space="preserve">+20, 20, WEEPINBELL  , &lt;null&gt;, &lt;null&gt;, &lt;null&gt;</t>
  </si>
  <si>
    <t xml:space="preserve">+3, 24, 0, </t>
  </si>
  <si>
    <t xml:space="preserve">+20, 20, WEEPINBELL </t>
  </si>
  <si>
    <t xml:space="preserve">+44, 48, SLOWBRO </t>
  </si>
  <si>
    <t xml:space="preserve">+40, 44, POLITOES  </t>
  </si>
  <si>
    <t xml:space="preserve">+3, 25, 0, </t>
  </si>
  <si>
    <t xml:space="preserve">+24, 28, PARASECT  , &lt;null&gt;, &lt;null&gt;, &lt;null&gt;</t>
  </si>
  <si>
    <t xml:space="preserve">+3, 26, 0, </t>
  </si>
  <si>
    <t xml:space="preserve">+23, 27, VENOMOTH  , &lt;null&gt;, &lt;null&gt;, &lt;null&gt;</t>
  </si>
  <si>
    <t xml:space="preserve">+3, 27, 0, </t>
  </si>
  <si>
    <t xml:space="preserve">+18, 18, KANGAKID  , &lt;null&gt;, &lt;null&gt;, &lt;null&gt;</t>
  </si>
  <si>
    <t xml:space="preserve">+3, 28, 0, </t>
  </si>
  <si>
    <t xml:space="preserve">+19, 21, PONYTA </t>
  </si>
  <si>
    <t xml:space="preserve">+40, 44, GILDUCK  </t>
  </si>
  <si>
    <t xml:space="preserve">+3, 29, 0, </t>
  </si>
  <si>
    <t xml:space="preserve">+22, 22, LICKITUNG </t>
  </si>
  <si>
    <t xml:space="preserve">+44, 48, LOCHLASS </t>
  </si>
  <si>
    <t xml:space="preserve">+38, 42, STARUS  </t>
  </si>
  <si>
    <t xml:space="preserve">+3, 30, 0, </t>
  </si>
  <si>
    <t xml:space="preserve">+20, 25, SQUIRTLE </t>
  </si>
  <si>
    <t xml:space="preserve"> 60,  # old rod:</t>
  </si>
  <si>
    <t xml:space="preserve">+3, 31, 0, </t>
  </si>
  <si>
    <t xml:space="preserve">+3, 32, 0, </t>
  </si>
  <si>
    <t xml:space="preserve">+20, 25, SQUIRTLE  , &lt;null&gt;, &lt;null&gt;, &lt;null&gt;</t>
  </si>
  <si>
    <t xml:space="preserve">+3, 33, 0, </t>
  </si>
  <si>
    <t xml:space="preserve">+3, 34, 0, </t>
  </si>
  <si>
    <t xml:space="preserve">+20, 25, BULBASAUR  , &lt;null&gt;, &lt;null&gt;, &lt;null&gt;</t>
  </si>
  <si>
    <t xml:space="preserve">+3, 35, 0, </t>
  </si>
  <si>
    <t xml:space="preserve">+3, 36, 0, </t>
  </si>
  <si>
    <t xml:space="preserve">+3, 37, 0, &lt;null&gt;, </t>
  </si>
  <si>
    <t xml:space="preserve">+3, 38, 0, &lt;null&gt;, </t>
  </si>
  <si>
    <t xml:space="preserve">+3, 39, 0, </t>
  </si>
  <si>
    <t xml:space="preserve">+44, 44, TANGOLIATH </t>
  </si>
  <si>
    <t xml:space="preserve">+3, 40, 0, </t>
  </si>
  <si>
    <t xml:space="preserve">+3, 41, 0, </t>
  </si>
  <si>
    <t xml:space="preserve">+2, 5, SCYTHER </t>
  </si>
  <si>
    <t xml:space="preserve"> 2,  40, 44, PSYDUCK</t>
  </si>
  <si>
    <t xml:space="preserve">+45, 50, GILDUCK </t>
  </si>
  <si>
    <t xml:space="preserve">+3, 42, 0, </t>
  </si>
  <si>
    <t xml:space="preserve">+57, 59, LUKKEY </t>
  </si>
  <si>
    <t xml:space="preserve"> 2,  50, 55, GILDUCK</t>
  </si>
  <si>
    <t xml:space="preserve">+53, 58, PLATINUPUS </t>
  </si>
  <si>
    <t xml:space="preserve">+53, 58, DRAGONIER  </t>
  </si>
  <si>
    <t xml:space="preserve">+3, 43, 0, </t>
  </si>
  <si>
    <t xml:space="preserve">+17, 17, KADABRA </t>
  </si>
  <si>
    <t xml:space="preserve"> 2,  34, 40, TENTACOOL</t>
  </si>
  <si>
    <t xml:space="preserve">+39, 42, VAPOREON </t>
  </si>
  <si>
    <t xml:space="preserve">+3, 44, 0, </t>
  </si>
  <si>
    <t xml:space="preserve">+18, 18, KADABRA </t>
  </si>
  <si>
    <t xml:space="preserve">+3, 0, 0, &lt;null&gt;, </t>
  </si>
  <si>
    <t xml:space="preserve"> 1,  38, 42, TENTACOOL</t>
  </si>
  <si>
    <t xml:space="preserve">+40, 44, STARUS  </t>
  </si>
  <si>
    <t xml:space="preserve">+3, 1, 0, &lt;null&gt;, </t>
  </si>
  <si>
    <t xml:space="preserve"> 1,  38, 42, PSYDUCK</t>
  </si>
  <si>
    <t xml:space="preserve">+44, 48, GILDUCK </t>
  </si>
  <si>
    <t xml:space="preserve">+3, 3, 0, &lt;null&gt;, </t>
  </si>
  <si>
    <t xml:space="preserve">+3, 5, 0, &lt;null&gt;, </t>
  </si>
  <si>
    <t xml:space="preserve">+3, 6, 0, &lt;null&gt;, </t>
  </si>
  <si>
    <t xml:space="preserve">+44, 48, WEEZING </t>
  </si>
  <si>
    <t xml:space="preserve">+40, 44, GUNK  </t>
  </si>
  <si>
    <t xml:space="preserve">+3, 7, 0, &lt;null&gt;, </t>
  </si>
  <si>
    <t xml:space="preserve">+40, 44, SEAREX  </t>
  </si>
  <si>
    <t xml:space="preserve">+3, 8, 0, &lt;null&gt;, </t>
  </si>
  <si>
    <t xml:space="preserve"> 1,  40, 44, DEWGONG</t>
  </si>
  <si>
    <t xml:space="preserve">+45, 50, LOCHLASS </t>
  </si>
  <si>
    <t xml:space="preserve">+45, 52, LORDRA  </t>
  </si>
  <si>
    <t xml:space="preserve">+3, 12, 0, &lt;null&gt;, </t>
  </si>
  <si>
    <t xml:space="preserve"> 1,  5, 20, TENTACOOL</t>
  </si>
  <si>
    <t xml:space="preserve">+3, 15, 0, &lt;null&gt;, </t>
  </si>
  <si>
    <t xml:space="preserve"> 2,  5, 15, MARILL</t>
  </si>
  <si>
    <t xml:space="preserve">+15, 25, MARILL </t>
  </si>
  <si>
    <t xml:space="preserve">+3, 16, 0, &lt;null&gt;, </t>
  </si>
  <si>
    <t xml:space="preserve"> 1,  5, 35, TENTACOOL</t>
  </si>
  <si>
    <t xml:space="preserve">+1, 122, 0, </t>
  </si>
  <si>
    <t xml:space="preserve">+14, 14, ZUBAT  , &lt;null&gt;, &lt;null&gt;, &lt;null&gt;</t>
  </si>
  <si>
    <t xml:space="preserve">+11, 11, MAREEP  , &lt;null&gt;, &lt;null&gt;, &lt;null&gt;</t>
  </si>
  <si>
    <t xml:space="preserve">+27, 27, PINECO  , &lt;null&gt;, &lt;null&gt;, &lt;null&gt;</t>
  </si>
  <si>
    <t xml:space="preserve">+20, 20, HOUNDOUR  , &lt;null&gt;, &lt;null&gt;, &lt;null&gt;</t>
  </si>
  <si>
    <t xml:space="preserve">+26, 26, TEDDIURSA  , &lt;null&gt;, &lt;null&gt;, &lt;null&gt;</t>
  </si>
  <si>
    <t xml:space="preserve">+26, 26, AIPOM  , &lt;null&gt;, &lt;null&gt;, &lt;null&gt;</t>
  </si>
  <si>
    <t xml:space="preserve">+26, 26, SHUCKLE  , &lt;null&gt;, &lt;null&gt;, &lt;null&gt;</t>
  </si>
  <si>
    <t xml:space="preserve">+26, 26, STANTLER  , &lt;null&gt;, &lt;null&gt;, &lt;null&gt;</t>
  </si>
  <si>
    <t xml:space="preserve">+26, 26, SMEARGLE  , &lt;null&gt;, &lt;null&gt;, &lt;null&gt;</t>
  </si>
  <si>
    <t xml:space="preserve">1, 0, 0,</t>
  </si>
  <si>
    <t xml:space="preserve">14, 20%</t>
  </si>
  <si>
    <t xml:space="preserve">20%</t>
  </si>
  <si>
    <t xml:space="preserve">4, 6, WEEDLE</t>
  </si>
  <si>
    <t xml:space="preserve">0.1</t>
  </si>
  <si>
    <t xml:space="preserve">5, 7, ODDISH</t>
  </si>
  <si>
    <t xml:space="preserve">7, 9, METAPOD</t>
  </si>
  <si>
    <t xml:space="preserve">7, 9, KAKUNA</t>
  </si>
  <si>
    <t xml:space="preserve">5, 7, PIKACHU</t>
  </si>
  <si>
    <t xml:space="preserve">0.05</t>
  </si>
  <si>
    <t xml:space="preserve">5, 7, MANKEY</t>
  </si>
  <si>
    <t xml:space="preserve">9, 10, BUTTERFREE</t>
  </si>
  <si>
    <t xml:space="preserve">0.04</t>
  </si>
  <si>
    <t xml:space="preserve">9, 10, BEEDRILL</t>
  </si>
  <si>
    <t xml:space="preserve">6, 9, TANGELA</t>
  </si>
  <si>
    <t xml:space="preserve">0.01</t>
  </si>
  <si>
    <t xml:space="preserve">11, 11, BEEDRILL</t>
  </si>
  <si>
    <t xml:space="preserve">10, 10, TANGELA , &lt;null&gt;, &lt;null&gt;, &lt;null&gt;</t>
  </si>
  <si>
    <t xml:space="preserve">1, 1, 0,</t>
  </si>
  <si>
    <t xml:space="preserve">7, 20%</t>
  </si>
  <si>
    <t xml:space="preserve">10, 12, GEODUDE</t>
  </si>
  <si>
    <t xml:space="preserve">11, 11, SANDSHREW</t>
  </si>
  <si>
    <t xml:space="preserve">11, 11, PARAS</t>
  </si>
  <si>
    <t xml:space="preserve">11, 14, ONIX</t>
  </si>
  <si>
    <t xml:space="preserve">11, 14, CLEFAIRY , &lt;null&gt;, &lt;null&gt;, &lt;null&gt;</t>
  </si>
  <si>
    <t xml:space="preserve">1, 2, 0,</t>
  </si>
  <si>
    <t xml:space="preserve">5, 20%</t>
  </si>
  <si>
    <t xml:space="preserve">11, 13, ZUBAT</t>
  </si>
  <si>
    <t xml:space="preserve">11, 13, GEODUDE</t>
  </si>
  <si>
    <t xml:space="preserve">12, 12, SANDSHREW</t>
  </si>
  <si>
    <t xml:space="preserve">12, 12, PARAS</t>
  </si>
  <si>
    <t xml:space="preserve">12, 15, ONIX</t>
  </si>
  <si>
    <t xml:space="preserve">12, 15, CLEFAIRY , &lt;null&gt;, &lt;null&gt;, &lt;null&gt;</t>
  </si>
  <si>
    <t xml:space="preserve">1, 3, 0,</t>
  </si>
  <si>
    <t xml:space="preserve">11, 14, ZUBAT</t>
  </si>
  <si>
    <t xml:space="preserve">11, 14, GEODUDE</t>
  </si>
  <si>
    <t xml:space="preserve">11, 14, SANDSHREW</t>
  </si>
  <si>
    <t xml:space="preserve">13, 13, PARAS</t>
  </si>
  <si>
    <t xml:space="preserve">13, 13, ONIX</t>
  </si>
  <si>
    <t xml:space="preserve">13, 13, CLEFAIRY</t>
  </si>
  <si>
    <t xml:space="preserve">13, 16, GOLBAT</t>
  </si>
  <si>
    <t xml:space="preserve">13, 16, GRAVELER , &lt;null&gt;, &lt;null&gt;, &lt;null&gt;</t>
  </si>
  <si>
    <t xml:space="preserve">1, 4, 0, &lt;null&gt;,</t>
  </si>
  <si>
    <t xml:space="preserve">1, 5, 10, TENTACOOL</t>
  </si>
  <si>
    <t xml:space="preserve">10, 20, TENTACOOL</t>
  </si>
  <si>
    <t xml:space="preserve">20, 30, TENTACOOL</t>
  </si>
  <si>
    <t xml:space="preserve">30, 35, TENTACOOL</t>
  </si>
  <si>
    <t xml:space="preserve">35, 40, TENTACOOL</t>
  </si>
  <si>
    <t xml:space="preserve">10, old rod:</t>
  </si>
  <si>
    <t xml:space="preserve">good rod:</t>
  </si>
  <si>
    <t xml:space="preserve">5, 15, KRABBY</t>
  </si>
  <si>
    <t xml:space="preserve">5, 15, MAGIKARP</t>
  </si>
  <si>
    <t xml:space="preserve">5, 15, HORSEA</t>
  </si>
  <si>
    <t xml:space="preserve">super rod:</t>
  </si>
  <si>
    <t xml:space="preserve">15, 25, KRABBY</t>
  </si>
  <si>
    <t xml:space="preserve">15, 25, STARYU</t>
  </si>
  <si>
    <t xml:space="preserve">15, 25, GYARADOS</t>
  </si>
  <si>
    <t xml:space="preserve">25, 35, KRABBY</t>
  </si>
  <si>
    <t xml:space="preserve">25, 35, SLOWPOKE</t>
  </si>
  <si>
    <t xml:space="preserve">1, 37, 0,</t>
  </si>
  <si>
    <t xml:space="preserve">19, 19, DIGLETT</t>
  </si>
  <si>
    <t xml:space="preserve">20, 20, DIGLETT</t>
  </si>
  <si>
    <t xml:space="preserve">21, 21, DIGLETT</t>
  </si>
  <si>
    <t xml:space="preserve">22, 22, DIGLETT</t>
  </si>
  <si>
    <t xml:space="preserve">19, 19, DUGTRIO</t>
  </si>
  <si>
    <t xml:space="preserve">23, 23, DIGLETT</t>
  </si>
  <si>
    <t xml:space="preserve">24, 24, DIGLETT</t>
  </si>
  <si>
    <t xml:space="preserve">20, 23, DUGTRIO</t>
  </si>
  <si>
    <t xml:space="preserve">24, 26, DUGTRIO</t>
  </si>
  <si>
    <t xml:space="preserve">27, 28, DUGTRIO</t>
  </si>
  <si>
    <t xml:space="preserve">30, 30, DUGROUPLE , &lt;null&gt;, &lt;null&gt;, &lt;null&gt;</t>
  </si>
  <si>
    <t xml:space="preserve">1, 39, 0,</t>
  </si>
  <si>
    <t xml:space="preserve">51, 56, CROBAT</t>
  </si>
  <si>
    <t xml:space="preserve">51, 56, MACHAMP</t>
  </si>
  <si>
    <t xml:space="preserve">51, 56, GOLEM</t>
  </si>
  <si>
    <t xml:space="preserve">53, 57, ADNOKANA</t>
  </si>
  <si>
    <t xml:space="preserve">53, 57, POLABAT</t>
  </si>
  <si>
    <t xml:space="preserve">53, 57, MACHULK</t>
  </si>
  <si>
    <t xml:space="preserve">53, 57, RHYMARKABL</t>
  </si>
  <si>
    <t xml:space="preserve">55, 57, PLATNIX</t>
  </si>
  <si>
    <t xml:space="preserve">55, 57, SLAGOLEM</t>
  </si>
  <si>
    <t xml:space="preserve">58, 60, MOLTREM</t>
  </si>
  <si>
    <t xml:space="preserve">58, 60, WRAIWRATH , &lt;null&gt;, &lt;null&gt;, &lt;null&gt;</t>
  </si>
  <si>
    <t xml:space="preserve">1, 40, 0,</t>
  </si>
  <si>
    <t xml:space="preserve">59, 61, MOLTREM</t>
  </si>
  <si>
    <t xml:space="preserve">59, 61, FERODILLO , &lt;null&gt;, &lt;null&gt;, &lt;null&gt;</t>
  </si>
  <si>
    <t xml:space="preserve">1, 41, 0,</t>
  </si>
  <si>
    <t xml:space="preserve">60, 62, MOLTREM</t>
  </si>
  <si>
    <t xml:space="preserve">60, 62, CLAYMOR , &lt;null&gt;, &lt;null&gt;, &lt;null&gt;</t>
  </si>
  <si>
    <t xml:space="preserve">1, 59, 0,</t>
  </si>
  <si>
    <t xml:space="preserve">40, 44, NINETALES</t>
  </si>
  <si>
    <t xml:space="preserve">41, 42, ARCANINE</t>
  </si>
  <si>
    <t xml:space="preserve">43, 44, ARCANINE</t>
  </si>
  <si>
    <t xml:space="preserve">42, 44, WEEZING</t>
  </si>
  <si>
    <t xml:space="preserve">42, 44, MUK</t>
  </si>
  <si>
    <t xml:space="preserve">43, 45, SINGESHA</t>
  </si>
  <si>
    <t xml:space="preserve">43, 45, SPIRITALES</t>
  </si>
  <si>
    <t xml:space="preserve">45, 46, GUNK</t>
  </si>
  <si>
    <t xml:space="preserve">45, 46, HEEVING</t>
  </si>
  <si>
    <t xml:space="preserve">44, 47, RATTARULE</t>
  </si>
  <si>
    <t xml:space="preserve">20, 25, CHARMANDER , &lt;null&gt;, &lt;null&gt;, &lt;null&gt;</t>
  </si>
  <si>
    <t xml:space="preserve">1, 60, 0,</t>
  </si>
  <si>
    <t xml:space="preserve">1, 61, 0,</t>
  </si>
  <si>
    <t xml:space="preserve">1, 62, 0,</t>
  </si>
  <si>
    <t xml:space="preserve">43, 45, GUNK</t>
  </si>
  <si>
    <t xml:space="preserve">43, 45, HEEVING</t>
  </si>
  <si>
    <t xml:space="preserve">45, 46, RATTARULE</t>
  </si>
  <si>
    <t xml:space="preserve">45, 46, DITTO</t>
  </si>
  <si>
    <t xml:space="preserve">20, 25, KABUTO</t>
  </si>
  <si>
    <t xml:space="preserve">20, 25, OMANYTE , &lt;null&gt;, &lt;null&gt;, &lt;null&gt;</t>
  </si>
  <si>
    <t xml:space="preserve">1, 63, 0,</t>
  </si>
  <si>
    <t xml:space="preserve">21, 20%</t>
  </si>
  <si>
    <t xml:space="preserve">35, 40, NIDOQUEEN</t>
  </si>
  <si>
    <t xml:space="preserve">36, 41, PARASECT</t>
  </si>
  <si>
    <t xml:space="preserve">36, 41, VENOMOTH</t>
  </si>
  <si>
    <t xml:space="preserve">36, 41, EXEGGUTOR</t>
  </si>
  <si>
    <t xml:space="preserve">36, 41, RHYDON</t>
  </si>
  <si>
    <t xml:space="preserve">37, 39, SCIZOR</t>
  </si>
  <si>
    <t xml:space="preserve">37, 39, PINSIRIOR</t>
  </si>
  <si>
    <t xml:space="preserve">38, 42, CHANSEY</t>
  </si>
  <si>
    <t xml:space="preserve">38, 42, JOLTEON</t>
  </si>
  <si>
    <t xml:space="preserve">40, 40, BLISSEY</t>
  </si>
  <si>
    <t xml:space="preserve">40, 40, RHYPERIOR</t>
  </si>
  <si>
    <t xml:space="preserve">2, 38, 42, SLOWPOKE</t>
  </si>
  <si>
    <t xml:space="preserve">40, 42, PSYDUCK</t>
  </si>
  <si>
    <t xml:space="preserve">42, 46, SLOWBRO</t>
  </si>
  <si>
    <t xml:space="preserve">42, 46, GOLDUCK</t>
  </si>
  <si>
    <t xml:space="preserve">44, 48, VAPOREON</t>
  </si>
  <si>
    <t xml:space="preserve">20, old rod:</t>
  </si>
  <si>
    <t xml:space="preserve">19, 26, POLIWAG</t>
  </si>
  <si>
    <t xml:space="preserve">29, 33, GYARADOS</t>
  </si>
  <si>
    <t xml:space="preserve">30, 35, POLIWAG</t>
  </si>
  <si>
    <t xml:space="preserve">30, 35, GOLDEEN</t>
  </si>
  <si>
    <t xml:space="preserve">36, 40, POLIWHIRL</t>
  </si>
  <si>
    <t xml:space="preserve">36, 40, SEAKING</t>
  </si>
  <si>
    <t xml:space="preserve">38, 42, DRATINI</t>
  </si>
  <si>
    <t xml:space="preserve">38, 42, DRAGONAIR</t>
  </si>
  <si>
    <t xml:space="preserve">40, 44, DRAGONITE</t>
  </si>
  <si>
    <t xml:space="preserve">1, 64, 0,</t>
  </si>
  <si>
    <t xml:space="preserve">36, 41, DODRIO</t>
  </si>
  <si>
    <t xml:space="preserve">36, 41, MAGMAR</t>
  </si>
  <si>
    <t xml:space="preserve">38, 42, KANGASKHAN</t>
  </si>
  <si>
    <t xml:space="preserve">38, 42, HITMONCHAN</t>
  </si>
  <si>
    <t xml:space="preserve">40, 40, KANGALLOUS</t>
  </si>
  <si>
    <t xml:space="preserve">40, 40, MAGMORTAR</t>
  </si>
  <si>
    <t xml:space="preserve">1, 65, 0,</t>
  </si>
  <si>
    <t xml:space="preserve">36, 41, CLEFABLE</t>
  </si>
  <si>
    <t xml:space="preserve">36, 41, ELECTABUZZ</t>
  </si>
  <si>
    <t xml:space="preserve">38, 42, TAUROS</t>
  </si>
  <si>
    <t xml:space="preserve">38, 42, FLAREON</t>
  </si>
  <si>
    <t xml:space="preserve">40, 40, TAUROX</t>
  </si>
  <si>
    <t xml:space="preserve">40, 40, ELECTIVIRE</t>
  </si>
  <si>
    <t xml:space="preserve">1, 66, 0,</t>
  </si>
  <si>
    <t xml:space="preserve">36, 41, RAPIDASH</t>
  </si>
  <si>
    <t xml:space="preserve">36, 41, TANGELA</t>
  </si>
  <si>
    <t xml:space="preserve">38, 42, SNORLAX</t>
  </si>
  <si>
    <t xml:space="preserve">38, 42, HITMONLEE</t>
  </si>
  <si>
    <t xml:space="preserve">40, 40, ACTLAX</t>
  </si>
  <si>
    <t xml:space="preserve">40, 40, TANGROWTH</t>
  </si>
  <si>
    <t xml:space="preserve">1, 72, 0,</t>
  </si>
  <si>
    <t xml:space="preserve">50, 55, POLABAT</t>
  </si>
  <si>
    <t xml:space="preserve">52, 55, VENOMENON</t>
  </si>
  <si>
    <t xml:space="preserve">52, 55, "MR. JEST"</t>
  </si>
  <si>
    <t xml:space="preserve">52, 55, NIDORULY</t>
  </si>
  <si>
    <t xml:space="preserve">52, 55, NIDOREGAL</t>
  </si>
  <si>
    <t xml:space="preserve">54, 56, MORPHO</t>
  </si>
  <si>
    <t xml:space="preserve">54, 56, MAGNEMELD</t>
  </si>
  <si>
    <t xml:space="preserve">54, 56, VOHOO-DU</t>
  </si>
  <si>
    <t xml:space="preserve">54, 56, CLEFAEFAE</t>
  </si>
  <si>
    <t xml:space="preserve">55, 56, KABUTAK</t>
  </si>
  <si>
    <t xml:space="preserve">55, 56, OMAPAL</t>
  </si>
  <si>
    <t xml:space="preserve">2, 50, 55, POLITOES</t>
  </si>
  <si>
    <t xml:space="preserve">50, 55, DRAGONITE</t>
  </si>
  <si>
    <t xml:space="preserve">52, 57, POLIWISE</t>
  </si>
  <si>
    <t xml:space="preserve">52, 57, DRAGONIER</t>
  </si>
  <si>
    <t xml:space="preserve">53, 58, NESSEA</t>
  </si>
  <si>
    <t xml:space="preserve">23, 36, GYARADOS</t>
  </si>
  <si>
    <t xml:space="preserve">30, 38, CLOYSTER</t>
  </si>
  <si>
    <t xml:space="preserve">32, 40, KINGDRA</t>
  </si>
  <si>
    <t xml:space="preserve">32, 40, HYDRADOS</t>
  </si>
  <si>
    <t xml:space="preserve">50, 55, LORDRA</t>
  </si>
  <si>
    <t xml:space="preserve">50, 55, AN'ENEMY</t>
  </si>
  <si>
    <t xml:space="preserve">52, 57, DRACOSMIC</t>
  </si>
  <si>
    <t xml:space="preserve">52, 57, GLAISHELL</t>
  </si>
  <si>
    <t xml:space="preserve">53, 58, STARWE</t>
  </si>
  <si>
    <t xml:space="preserve">1, 73, 0,</t>
  </si>
  <si>
    <t xml:space="preserve">55, 56, OMAPAL , &lt;null&gt;, &lt;null&gt;, &lt;null&gt;</t>
  </si>
  <si>
    <t xml:space="preserve">1, 74, 0,</t>
  </si>
  <si>
    <t xml:space="preserve">1, 81, 0,</t>
  </si>
  <si>
    <t xml:space="preserve">20, 23, GEODUDE</t>
  </si>
  <si>
    <t xml:space="preserve">20, 24, ONIX</t>
  </si>
  <si>
    <t xml:space="preserve">19, 23, MANKEY</t>
  </si>
  <si>
    <t xml:space="preserve">19, 23, MACHOP</t>
  </si>
  <si>
    <t xml:space="preserve">22, 24, GOLBAT</t>
  </si>
  <si>
    <t xml:space="preserve">24, 24, RHYHORN</t>
  </si>
  <si>
    <t xml:space="preserve">24, 24, GEODUDE</t>
  </si>
  <si>
    <t xml:space="preserve">20, 25, GRAVELER</t>
  </si>
  <si>
    <t xml:space="preserve">25, 25, GOLBAT</t>
  </si>
  <si>
    <t xml:space="preserve">20, 25, PINSIR</t>
  </si>
  <si>
    <t xml:space="preserve">20, 23, KANGASKHAN , &lt;null&gt;, &lt;null&gt;, &lt;null&gt;</t>
  </si>
  <si>
    <t xml:space="preserve">1, 82, 0,</t>
  </si>
  <si>
    <t xml:space="preserve">21, 24, KANGASKHAN</t>
  </si>
  <si>
    <t xml:space="preserve">50, 5, 20, GEODUDE</t>
  </si>
  <si>
    <t xml:space="preserve">10, 20, GEODUDE</t>
  </si>
  <si>
    <t xml:space="preserve">15, 30, GEODUDE</t>
  </si>
  <si>
    <t xml:space="preserve">25, 40, GRAVELER</t>
  </si>
  <si>
    <t xml:space="preserve">30, 40, GRAVELER , &lt;null&gt;</t>
  </si>
  <si>
    <t xml:space="preserve">1, 83, 0,</t>
  </si>
  <si>
    <t xml:space="preserve">40, 44, GOLDUCK</t>
  </si>
  <si>
    <t xml:space="preserve">40, 44, SLOWBRO</t>
  </si>
  <si>
    <t xml:space="preserve">40, 44, CROBAT</t>
  </si>
  <si>
    <t xml:space="preserve">40, 44, DEWGONG</t>
  </si>
  <si>
    <t xml:space="preserve">40, 44, LICKILICKY</t>
  </si>
  <si>
    <t xml:space="preserve">42, 46, POLABAT</t>
  </si>
  <si>
    <t xml:space="preserve">42, 46, GILDUCK</t>
  </si>
  <si>
    <t xml:space="preserve">44, 47, SLOWMATE</t>
  </si>
  <si>
    <t xml:space="preserve">44, 47, PRECIPED</t>
  </si>
  <si>
    <t xml:space="preserve">45, 50, DRAGONITE</t>
  </si>
  <si>
    <t xml:space="preserve">45, 50, LICKILICKY , &lt;null&gt;, &lt;null&gt;, &lt;null&gt;</t>
  </si>
  <si>
    <t xml:space="preserve">1, 84, 0,</t>
  </si>
  <si>
    <t xml:space="preserve">45, 50, LICKILOLLY , &lt;null&gt;, &lt;null&gt;, &lt;null&gt;</t>
  </si>
  <si>
    <t xml:space="preserve">1, 85, 0,</t>
  </si>
  <si>
    <t xml:space="preserve">1, 86, 0,</t>
  </si>
  <si>
    <t xml:space="preserve">45, 50, LICKILOLLY</t>
  </si>
  <si>
    <t xml:space="preserve">2, 38, 44, DEWGONG</t>
  </si>
  <si>
    <t xml:space="preserve">40, 44, SEADRA</t>
  </si>
  <si>
    <t xml:space="preserve">42, 46, KINGLER</t>
  </si>
  <si>
    <t xml:space="preserve">42, 46, LAPRAS</t>
  </si>
  <si>
    <t xml:space="preserve">19, 26, SHELLDER</t>
  </si>
  <si>
    <t xml:space="preserve">29, 33, SEADRA</t>
  </si>
  <si>
    <t xml:space="preserve">30, 35, KRABBY</t>
  </si>
  <si>
    <t xml:space="preserve">30, 35, GOLDUCK</t>
  </si>
  <si>
    <t xml:space="preserve">36, 40, KINGDRA</t>
  </si>
  <si>
    <t xml:space="preserve">36, 40, CLOYSTER</t>
  </si>
  <si>
    <t xml:space="preserve">38, 42, GILDUCK</t>
  </si>
  <si>
    <t xml:space="preserve">38, 42, KRAKLAW</t>
  </si>
  <si>
    <t xml:space="preserve">40, 44, LORDRA</t>
  </si>
  <si>
    <t xml:space="preserve">1, 87, 0,</t>
  </si>
  <si>
    <t xml:space="preserve">1, 90, 0,</t>
  </si>
  <si>
    <t xml:space="preserve">2, 20%</t>
  </si>
  <si>
    <t xml:space="preserve">29, 32, RATTATA</t>
  </si>
  <si>
    <t xml:space="preserve">27, 31, CUBONE</t>
  </si>
  <si>
    <t xml:space="preserve">29, 32, HAUNTER</t>
  </si>
  <si>
    <t xml:space="preserve">28, 31, DROWZEE</t>
  </si>
  <si>
    <t xml:space="preserve">28, 31, VULPIX</t>
  </si>
  <si>
    <t xml:space="preserve">29, 32, HYPNO</t>
  </si>
  <si>
    <t xml:space="preserve">28, 31, RATICATE</t>
  </si>
  <si>
    <t xml:space="preserve">29, 32, MAROWAK</t>
  </si>
  <si>
    <t xml:space="preserve">28, 31, RATTCHET</t>
  </si>
  <si>
    <t xml:space="preserve">33, 33, HAUNTER</t>
  </si>
  <si>
    <t xml:space="preserve">32, 33, NINETALES , &lt;null&gt;, &lt;null&gt;, &lt;null&gt;</t>
  </si>
  <si>
    <t xml:space="preserve">1, 91, 0,</t>
  </si>
  <si>
    <t xml:space="preserve">4, 20%</t>
  </si>
  <si>
    <t xml:space="preserve">1, 92, 0,</t>
  </si>
  <si>
    <t xml:space="preserve">6, 20%</t>
  </si>
  <si>
    <t xml:space="preserve">1, 93, 0,</t>
  </si>
  <si>
    <t xml:space="preserve">8, 20%</t>
  </si>
  <si>
    <t xml:space="preserve">1, 94, 0,</t>
  </si>
  <si>
    <t xml:space="preserve">10, 20%</t>
  </si>
  <si>
    <t xml:space="preserve">32, 33, GENGAR</t>
  </si>
  <si>
    <t xml:space="preserve">1, 95, 0,</t>
  </si>
  <si>
    <t xml:space="preserve">39, 46, PIKACHU</t>
  </si>
  <si>
    <t xml:space="preserve">41, 48, VOLTORB</t>
  </si>
  <si>
    <t xml:space="preserve">41, 46, ELECTABUZZ</t>
  </si>
  <si>
    <t xml:space="preserve">41, 48, PORYGON</t>
  </si>
  <si>
    <t xml:space="preserve">41, 48, MAGNETON</t>
  </si>
  <si>
    <t xml:space="preserve">43, 50, PORYGON2</t>
  </si>
  <si>
    <t xml:space="preserve">43, 50, ELECTRODE</t>
  </si>
  <si>
    <t xml:space="preserve">43, 50, JOLTEON</t>
  </si>
  <si>
    <t xml:space="preserve">43, 50, RAICHU</t>
  </si>
  <si>
    <t xml:space="preserve">45, 52, ELECTIVIRE</t>
  </si>
  <si>
    <t xml:space="preserve">45, 50, MAGNEZONE , &lt;null&gt;, &lt;null&gt;, &lt;null&gt;</t>
  </si>
  <si>
    <t xml:space="preserve">1, 97, 0,</t>
  </si>
  <si>
    <t xml:space="preserve">38, 38, FEAROW</t>
  </si>
  <si>
    <t xml:space="preserve">33, 33, PONYTA</t>
  </si>
  <si>
    <t xml:space="preserve">35, 35, MACHOP</t>
  </si>
  <si>
    <t xml:space="preserve">36, 36, PONYTA</t>
  </si>
  <si>
    <t xml:space="preserve">40, 40, FEAROW</t>
  </si>
  <si>
    <t xml:space="preserve">38, 38, MAGMAR</t>
  </si>
  <si>
    <t xml:space="preserve">39, 39, RAPIDASH</t>
  </si>
  <si>
    <t xml:space="preserve">40, 40, MAGMAR</t>
  </si>
  <si>
    <t xml:space="preserve">42, 42, RAPIDASH</t>
  </si>
  <si>
    <t xml:space="preserve">1, 98, 0,</t>
  </si>
  <si>
    <t xml:space="preserve">29, 29, GEODUDE</t>
  </si>
  <si>
    <t xml:space="preserve">31, 31, GEODUDE</t>
  </si>
  <si>
    <t xml:space="preserve">31, 31, MACHOP</t>
  </si>
  <si>
    <t xml:space="preserve">33, 33, MACHOP</t>
  </si>
  <si>
    <t xml:space="preserve">35, 35, GEODUDE</t>
  </si>
  <si>
    <t xml:space="preserve">37, 37, MACHOP</t>
  </si>
  <si>
    <t xml:space="preserve">37, 37, GEODUDE</t>
  </si>
  <si>
    <t xml:space="preserve">39, 39, MACHOP</t>
  </si>
  <si>
    <t xml:space="preserve">39, 39, MACHOP , &lt;null&gt;, &lt;null&gt;, &lt;null&gt;</t>
  </si>
  <si>
    <t xml:space="preserve">1, 99, 0,</t>
  </si>
  <si>
    <t xml:space="preserve">36, 36, MACHOP</t>
  </si>
  <si>
    <t xml:space="preserve">30, 30, GEODUDE</t>
  </si>
  <si>
    <t xml:space="preserve">32, 32, GEODUDE</t>
  </si>
  <si>
    <t xml:space="preserve">32, 32, MACHOP</t>
  </si>
  <si>
    <t xml:space="preserve">34, 34, MACHOP</t>
  </si>
  <si>
    <t xml:space="preserve">38, 38, MACHOKE</t>
  </si>
  <si>
    <t xml:space="preserve">40, 40, MACHOKE</t>
  </si>
  <si>
    <t xml:space="preserve">1, 100, 0,</t>
  </si>
  <si>
    <t xml:space="preserve">1, 103, 0,</t>
  </si>
  <si>
    <t xml:space="preserve">38, 38, MACHOP</t>
  </si>
  <si>
    <t xml:space="preserve">42, 42, MACHOKE</t>
  </si>
  <si>
    <t xml:space="preserve">50, 25, 35, GEODUDE</t>
  </si>
  <si>
    <t xml:space="preserve">30, 45, GRAVELER</t>
  </si>
  <si>
    <t xml:space="preserve">35, 50, GRAVELER</t>
  </si>
  <si>
    <t xml:space="preserve">30, 40, GEODUDE</t>
  </si>
  <si>
    <t xml:space="preserve">30, 40, GEODUDE , &lt;null&gt;</t>
  </si>
  <si>
    <t xml:space="preserve">1, 104, 0,</t>
  </si>
  <si>
    <t xml:space="preserve">24, 24, SLUGMA</t>
  </si>
  <si>
    <t xml:space="preserve">42, 42, GEODUDE</t>
  </si>
  <si>
    <t xml:space="preserve">28, 28, SLUGMA</t>
  </si>
  <si>
    <t xml:space="preserve">30, 30, SLUGMA</t>
  </si>
  <si>
    <t xml:space="preserve">1, 105, 0,</t>
  </si>
  <si>
    <t xml:space="preserve">44, 44, GEODUDE</t>
  </si>
  <si>
    <t xml:space="preserve">32, 32, SLUGMA</t>
  </si>
  <si>
    <t xml:space="preserve">22, 22, SLUGMA</t>
  </si>
  <si>
    <t xml:space="preserve">1, 106, 0,</t>
  </si>
  <si>
    <t xml:space="preserve">20, 20, SLUGMA</t>
  </si>
  <si>
    <t xml:space="preserve">34, 34, SLUGMA</t>
  </si>
  <si>
    <t xml:space="preserve">36, 36, SLUGMA</t>
  </si>
  <si>
    <t xml:space="preserve">18, 18, SLUGMA</t>
  </si>
  <si>
    <t xml:space="preserve">50, 15, 25, SLUGMA</t>
  </si>
  <si>
    <t xml:space="preserve">25, 35, SLUGMA</t>
  </si>
  <si>
    <t xml:space="preserve">40, 45, MAGCARGO</t>
  </si>
  <si>
    <t xml:space="preserve">35, 45, MAGCARGO</t>
  </si>
  <si>
    <t xml:space="preserve">25, 35, MAGCARGO , &lt;null&gt;</t>
  </si>
  <si>
    <t xml:space="preserve">1, 107, 0,</t>
  </si>
  <si>
    <t xml:space="preserve">1, 108, 0,</t>
  </si>
  <si>
    <t xml:space="preserve">1, 109, 0,</t>
  </si>
  <si>
    <t xml:space="preserve">35, 35, WEEPINBELL</t>
  </si>
  <si>
    <t xml:space="preserve">30, 30, BELLSPROUT</t>
  </si>
  <si>
    <t xml:space="preserve">34, 34, VENONAT</t>
  </si>
  <si>
    <t xml:space="preserve">34, 34, DROWZEE</t>
  </si>
  <si>
    <t xml:space="preserve">35, 35, EXEGGCUTE</t>
  </si>
  <si>
    <t xml:space="preserve">31, 31, SLOWPOKE</t>
  </si>
  <si>
    <t xml:space="preserve">37, 37, VENOMOTH</t>
  </si>
  <si>
    <t xml:space="preserve">37, 37, HYPNO</t>
  </si>
  <si>
    <t xml:space="preserve">40, 40, VENOMOTH</t>
  </si>
  <si>
    <t xml:space="preserve">40, 40, HYPNO</t>
  </si>
  <si>
    <t xml:space="preserve">2, 5, 20, SLOWPOKE</t>
  </si>
  <si>
    <t xml:space="preserve">20, 35, SLOWPOKE</t>
  </si>
  <si>
    <t xml:space="preserve">35, 40, SLOWPOKE</t>
  </si>
  <si>
    <t xml:space="preserve">35, 40, SLOWBRO</t>
  </si>
  <si>
    <t xml:space="preserve">5, 15, GOLDEEN</t>
  </si>
  <si>
    <t xml:space="preserve">5, 15, POLIWAG</t>
  </si>
  <si>
    <t xml:space="preserve">15, 25, GOLDEEN</t>
  </si>
  <si>
    <t xml:space="preserve">20, 30, SEAKING</t>
  </si>
  <si>
    <t xml:space="preserve">15, 25, SLOWPOKE</t>
  </si>
  <si>
    <t xml:space="preserve">1, 110, 0,</t>
  </si>
  <si>
    <t xml:space="preserve">45, 45, GOLBAT</t>
  </si>
  <si>
    <t xml:space="preserve">45, 45, SEEL</t>
  </si>
  <si>
    <t xml:space="preserve">47, 47, SEEL</t>
  </si>
  <si>
    <t xml:space="preserve">40, 40, ZUBAT</t>
  </si>
  <si>
    <t xml:space="preserve">49, 49, DEWGONG</t>
  </si>
  <si>
    <t xml:space="preserve">51, 51, DEWGONG</t>
  </si>
  <si>
    <t xml:space="preserve">41, 41, SLOWPOKE</t>
  </si>
  <si>
    <t xml:space="preserve">48, 48, GOLBAT</t>
  </si>
  <si>
    <t xml:space="preserve">53, 53, DEWGONG</t>
  </si>
  <si>
    <t xml:space="preserve">2, 5, 35, SEEL</t>
  </si>
  <si>
    <t xml:space="preserve">5, 35, SLOWPOKE</t>
  </si>
  <si>
    <t xml:space="preserve">35, 40, DEWGONG</t>
  </si>
  <si>
    <t xml:space="preserve">5, 15, MARILL</t>
  </si>
  <si>
    <t xml:space="preserve">15, 25, POLIWAG</t>
  </si>
  <si>
    <t xml:space="preserve">20, 30, POLIWHIRL</t>
  </si>
  <si>
    <t xml:space="preserve">1, 111, 0,</t>
  </si>
  <si>
    <t xml:space="preserve">27, 27, SWINUB</t>
  </si>
  <si>
    <t xml:space="preserve">29, 29, SWINUB</t>
  </si>
  <si>
    <t xml:space="preserve">30, 30, SNEASEL</t>
  </si>
  <si>
    <t xml:space="preserve">31, 31, SWINUB</t>
  </si>
  <si>
    <t xml:space="preserve">23, 23, SWINUB</t>
  </si>
  <si>
    <t xml:space="preserve">23, 23, SWINUB , &lt;null&gt;, &lt;null&gt;, &lt;null&gt;</t>
  </si>
  <si>
    <t xml:space="preserve">1, 112, 0,</t>
  </si>
  <si>
    <t xml:space="preserve">1, 113, 0,</t>
  </si>
  <si>
    <t xml:space="preserve">2, 5, 20, TENTACOOL</t>
  </si>
  <si>
    <t xml:space="preserve">20, 35, TENTACOOL</t>
  </si>
  <si>
    <t xml:space="preserve">35, 45, TENTACOOL</t>
  </si>
  <si>
    <t xml:space="preserve">35, 45, TENTACRUEL</t>
  </si>
  <si>
    <t xml:space="preserve">30, 45, LAPRAS</t>
  </si>
  <si>
    <t xml:space="preserve">25, 35, KINGLER</t>
  </si>
  <si>
    <t xml:space="preserve">1, 121, 0,</t>
  </si>
  <si>
    <t xml:space="preserve">9, 9, KAKUNA</t>
  </si>
  <si>
    <t xml:space="preserve">14, 14, LEDYBA</t>
  </si>
  <si>
    <t xml:space="preserve">6, 6, CATERPIE</t>
  </si>
  <si>
    <t xml:space="preserve">6, 6, WEEDLE</t>
  </si>
  <si>
    <t xml:space="preserve">15, 15, HERACROSS</t>
  </si>
  <si>
    <t xml:space="preserve">9, 9, METAPOD</t>
  </si>
  <si>
    <t xml:space="preserve">20, 20, HERACROSS</t>
  </si>
  <si>
    <t xml:space="preserve">9, 9, SPINARAK</t>
  </si>
  <si>
    <t xml:space="preserve">25, 25, HERACROSS</t>
  </si>
  <si>
    <t xml:space="preserve">14, 14, SPINARAK</t>
  </si>
  <si>
    <t xml:space="preserve">30, 30, HERACROSS , &lt;null&gt;, &lt;null&gt;, &lt;null&gt;</t>
  </si>
  <si>
    <t xml:space="preserve">2, 13, 0,</t>
  </si>
  <si>
    <t xml:space="preserve">1, 20%</t>
  </si>
  <si>
    <t xml:space="preserve">37, 37, ZUBAT</t>
  </si>
  <si>
    <t xml:space="preserve">44, 44, HAUNTER</t>
  </si>
  <si>
    <t xml:space="preserve">46, 46, HAUNTER</t>
  </si>
  <si>
    <t xml:space="preserve">41, 41, GOLBAT</t>
  </si>
  <si>
    <t xml:space="preserve">43, 43, GOLBAT</t>
  </si>
  <si>
    <t xml:space="preserve">38, 38, GASTLY</t>
  </si>
  <si>
    <t xml:space="preserve">48, 48, HAUNTER</t>
  </si>
  <si>
    <t xml:space="preserve">50, 50, HAUNTER</t>
  </si>
  <si>
    <t xml:space="preserve">22, 22, MISDREAVUS</t>
  </si>
  <si>
    <t xml:space="preserve">52, 52, HAUNTER</t>
  </si>
  <si>
    <t xml:space="preserve">22, 22, MISDREAVUS , &lt;null&gt;, &lt;null&gt;, &lt;null&gt;</t>
  </si>
  <si>
    <t xml:space="preserve">2, 14, 0,</t>
  </si>
  <si>
    <t xml:space="preserve">2, 15, 0,</t>
  </si>
  <si>
    <t xml:space="preserve">3, 20%</t>
  </si>
  <si>
    <t xml:space="preserve">2, 16, 0,</t>
  </si>
  <si>
    <t xml:space="preserve">2, 17, 0,</t>
  </si>
  <si>
    <t xml:space="preserve">2, 18, 0,</t>
  </si>
  <si>
    <t xml:space="preserve">2, 19, 0,</t>
  </si>
  <si>
    <t xml:space="preserve">2, 20, 0,</t>
  </si>
  <si>
    <t xml:space="preserve">2, 21, 0,</t>
  </si>
  <si>
    <t xml:space="preserve">9, 20%</t>
  </si>
  <si>
    <t xml:space="preserve">2, 22, 0,</t>
  </si>
  <si>
    <t xml:space="preserve">2, 23, 0,</t>
  </si>
  <si>
    <t xml:space="preserve">15, 15, MISDREAVUS</t>
  </si>
  <si>
    <t xml:space="preserve">20, 20, MISDREAVUS</t>
  </si>
  <si>
    <t xml:space="preserve">2, 24, 0,</t>
  </si>
  <si>
    <t xml:space="preserve">2, 25, 0,</t>
  </si>
  <si>
    <t xml:space="preserve">2, 26, 0,</t>
  </si>
  <si>
    <t xml:space="preserve">3, 45, 0,</t>
  </si>
  <si>
    <t xml:space="preserve">34, 34, PONYTA</t>
  </si>
  <si>
    <t xml:space="preserve">36, 36, FEAROW</t>
  </si>
  <si>
    <t xml:space="preserve">31, 31, PONYTA</t>
  </si>
  <si>
    <t xml:space="preserve">31, 31, MEOWTH</t>
  </si>
  <si>
    <t xml:space="preserve">30, 30, SPEAROW</t>
  </si>
  <si>
    <t xml:space="preserve">34, 34, SLOWPOKE</t>
  </si>
  <si>
    <t xml:space="preserve">37, 37, RAPIDASH</t>
  </si>
  <si>
    <t xml:space="preserve">37, 37, PERSIAN</t>
  </si>
  <si>
    <t xml:space="preserve">40, 40, RAPIDASH</t>
  </si>
  <si>
    <t xml:space="preserve">40, 40, PERSIAN</t>
  </si>
  <si>
    <t xml:space="preserve">35, 40, TENTACRUEL</t>
  </si>
  <si>
    <t xml:space="preserve">25, 5, 20, GEODUDE</t>
  </si>
  <si>
    <t xml:space="preserve">30, 40, GRAVELER</t>
  </si>
  <si>
    <t xml:space="preserve">3, 46, 0,</t>
  </si>
  <si>
    <t xml:space="preserve">33, 33, TANGELA</t>
  </si>
  <si>
    <t xml:space="preserve">35, 35, TANGELA</t>
  </si>
  <si>
    <t xml:space="preserve">3, 47, 0,</t>
  </si>
  <si>
    <t xml:space="preserve">32, 32, BELLSPROUT</t>
  </si>
  <si>
    <t xml:space="preserve">36, 36, WEEPINBELL</t>
  </si>
  <si>
    <t xml:space="preserve">38, 38, WEEPINBELL</t>
  </si>
  <si>
    <t xml:space="preserve">37, 37, SLOWBRO</t>
  </si>
  <si>
    <t xml:space="preserve">40, 40, SLOWBRO</t>
  </si>
  <si>
    <t xml:space="preserve">3, 48, 0,</t>
  </si>
  <si>
    <t xml:space="preserve">31, 31, BELLSPROUT</t>
  </si>
  <si>
    <t xml:space="preserve">29, 29, PIDGEY</t>
  </si>
  <si>
    <t xml:space="preserve">34, 34, PIDGEOTTO</t>
  </si>
  <si>
    <t xml:space="preserve">40, 40, PIDGEOTTO</t>
  </si>
  <si>
    <t xml:space="preserve">3, 49, 0,</t>
  </si>
  <si>
    <t xml:space="preserve">10, 10, DUNSPARCE</t>
  </si>
  <si>
    <t xml:space="preserve">20, 20, DUNSPARCE</t>
  </si>
  <si>
    <t xml:space="preserve">25, 25, DUNSPARCE</t>
  </si>
  <si>
    <t xml:space="preserve">30, 30, DUNSPARCE</t>
  </si>
  <si>
    <t xml:space="preserve">5, 5, DUNSPARCE</t>
  </si>
  <si>
    <t xml:space="preserve">35, 35, DUNSPARCE , &lt;null&gt;, &lt;null&gt;, &lt;null&gt;</t>
  </si>
  <si>
    <t xml:space="preserve">3, 54, 0, &lt;null&gt;,</t>
  </si>
  <si>
    <t xml:space="preserve">2, 5, 35, TENTACOOL</t>
  </si>
  <si>
    <t xml:space="preserve">5, 15, HOPPIP</t>
  </si>
  <si>
    <t xml:space="preserve">15, 25, REMORAID</t>
  </si>
  <si>
    <t xml:space="preserve">3, 55, 0, &lt;null&gt;,</t>
  </si>
  <si>
    <t xml:space="preserve">3, 56, 0,</t>
  </si>
  <si>
    <t xml:space="preserve">10, 10, SENTRET</t>
  </si>
  <si>
    <t xml:space="preserve">48, 48, PIDGEOTTO</t>
  </si>
  <si>
    <t xml:space="preserve">15, 15, SENTRET</t>
  </si>
  <si>
    <t xml:space="preserve">41, 41, MEOWTH</t>
  </si>
  <si>
    <t xml:space="preserve">15, 15, HOPPIP</t>
  </si>
  <si>
    <t xml:space="preserve">50, 50, PIDGEOTTO</t>
  </si>
  <si>
    <t xml:space="preserve">47, 47, PERSIAN</t>
  </si>
  <si>
    <t xml:space="preserve">50, 50, PERSIAN</t>
  </si>
  <si>
    <t xml:space="preserve">3, 57, 0,</t>
  </si>
  <si>
    <t xml:space="preserve">12, 12, HOPPIP</t>
  </si>
  <si>
    <t xml:space="preserve">8, 8, HOPPIP</t>
  </si>
  <si>
    <t xml:space="preserve">14, 14, HOPPIP</t>
  </si>
  <si>
    <t xml:space="preserve">16, 16, HOPPIP</t>
  </si>
  <si>
    <t xml:space="preserve">6, 6, HOPPIP</t>
  </si>
  <si>
    <t xml:space="preserve">3, 58, 0, &lt;null&gt;,</t>
  </si>
  <si>
    <t xml:space="preserve">3, 59, 0, &lt;null&gt;,</t>
  </si>
  <si>
    <t xml:space="preserve">3, 60, 0,</t>
  </si>
  <si>
    <t xml:space="preserve">44, 44, BELLSPROUT</t>
  </si>
  <si>
    <t xml:space="preserve">48, 48, FEAROW</t>
  </si>
  <si>
    <t xml:space="preserve">48, 48, WEEPINBELL</t>
  </si>
  <si>
    <t xml:space="preserve">50, 50, FEAROW</t>
  </si>
  <si>
    <t xml:space="preserve">3, 61, 0,</t>
  </si>
  <si>
    <t xml:space="preserve">18, 18, YANMA</t>
  </si>
  <si>
    <t xml:space="preserve">15, 15, MARILL</t>
  </si>
  <si>
    <t xml:space="preserve">49, 49, FEAROW</t>
  </si>
  <si>
    <t xml:space="preserve">43, 43, MEOWTH</t>
  </si>
  <si>
    <t xml:space="preserve">25, 25, WOBBUFFET</t>
  </si>
  <si>
    <t xml:space="preserve">20, 20, NATU</t>
  </si>
  <si>
    <t xml:space="preserve">49, 49, PERSIAN</t>
  </si>
  <si>
    <t xml:space="preserve">52, 52, PERSIAN</t>
  </si>
  <si>
    <t xml:space="preserve">2, 5, 20, MARILL</t>
  </si>
  <si>
    <t xml:space="preserve">10, 20, MARILL</t>
  </si>
  <si>
    <t xml:space="preserve">15, 25, MARILL</t>
  </si>
  <si>
    <t xml:space="preserve">20, 25, MARILL</t>
  </si>
  <si>
    <t xml:space="preserve">3, 62, 0, &lt;null&gt;,</t>
  </si>
  <si>
    <t xml:space="preserve">35, 40, MANTINE</t>
  </si>
  <si>
    <t xml:space="preserve">3, 63, 0,</t>
  </si>
  <si>
    <t xml:space="preserve">10, 10, PHANPY</t>
  </si>
  <si>
    <t xml:space="preserve">15, 15, PHANPY</t>
  </si>
  <si>
    <t xml:space="preserve">50, 50, PERSIAN , &lt;null&gt;, &lt;null&gt;, &lt;null&gt;</t>
  </si>
  <si>
    <t xml:space="preserve">3, 64, 0,</t>
  </si>
  <si>
    <t xml:space="preserve">46, 46, CUBONE</t>
  </si>
  <si>
    <t xml:space="preserve">52, 52, MAROWAK</t>
  </si>
  <si>
    <t xml:space="preserve">54, 54, ONIX</t>
  </si>
  <si>
    <t xml:space="preserve">15, 15, LARVITAR</t>
  </si>
  <si>
    <t xml:space="preserve">20, 20, LARVITAR</t>
  </si>
  <si>
    <t xml:space="preserve">25, 25, 35, GEODUDE</t>
  </si>
  <si>
    <t xml:space="preserve">3, 65, 0, &lt;null&gt;,</t>
  </si>
  <si>
    <t xml:space="preserve">3, 19, 0,</t>
  </si>
  <si>
    <t xml:space="preserve">2, 4, RATTATA</t>
  </si>
  <si>
    <t xml:space="preserve">2, 4, BELLSPROUT</t>
  </si>
  <si>
    <t xml:space="preserve">2, 4, ODDISH</t>
  </si>
  <si>
    <t xml:space="preserve">2, 4, VENONAT</t>
  </si>
  <si>
    <t xml:space="preserve">3, 3, EEVEE</t>
  </si>
  <si>
    <t xml:space="preserve">3, 3, EEVEE , &lt;null&gt;, &lt;null&gt;, &lt;null&gt;</t>
  </si>
  <si>
    <t xml:space="preserve">3, 20, 0,</t>
  </si>
  <si>
    <t xml:space="preserve">3, 5, WEEDLE</t>
  </si>
  <si>
    <t xml:space="preserve">4, 6, PIDGEY</t>
  </si>
  <si>
    <t xml:space="preserve">4, 6, RATTATA</t>
  </si>
  <si>
    <t xml:space="preserve">5, 8, MEOWTH</t>
  </si>
  <si>
    <t xml:space="preserve">5, 8, FARFETCH'D</t>
  </si>
  <si>
    <t xml:space="preserve">5, 8, MAGNEMITE</t>
  </si>
  <si>
    <t xml:space="preserve">5, 8, GROWLITHE</t>
  </si>
  <si>
    <t xml:space="preserve">7, 7, MAGNEMITE</t>
  </si>
  <si>
    <t xml:space="preserve">7, 7, GROWLITHE , &lt;null&gt;, &lt;null&gt;, &lt;null&gt;</t>
  </si>
  <si>
    <t xml:space="preserve">3, 21, 0,</t>
  </si>
  <si>
    <t xml:space="preserve">7, 9, PIDGEY</t>
  </si>
  <si>
    <t xml:space="preserve">8, 10, NIDORAN\sf</t>
  </si>
  <si>
    <t xml:space="preserve">8, 10, NIDORAN\sm</t>
  </si>
  <si>
    <t xml:space="preserve">8, 10, EKANS</t>
  </si>
  <si>
    <t xml:space="preserve">8, 10, SANDSHREW</t>
  </si>
  <si>
    <t xml:space="preserve">9, 10, JIGGLYPUFF</t>
  </si>
  <si>
    <t xml:space="preserve">9, 10, CLEFAIRY</t>
  </si>
  <si>
    <t xml:space="preserve">9, 11, MACHOP</t>
  </si>
  <si>
    <t xml:space="preserve">10, 13, NIDORAN\sf</t>
  </si>
  <si>
    <t xml:space="preserve">10, 13, NIDORAN\sm , &lt;null&gt;, &lt;null&gt;, &lt;null&gt;</t>
  </si>
  <si>
    <t xml:space="preserve">3, 22, 0,</t>
  </si>
  <si>
    <t xml:space="preserve">13, 16, SPEAROW</t>
  </si>
  <si>
    <t xml:space="preserve">14, 16, PSYDUCK</t>
  </si>
  <si>
    <t xml:space="preserve">14, 16, NIDORAN\sm</t>
  </si>
  <si>
    <t xml:space="preserve">14, 16, NIDORAN\sf</t>
  </si>
  <si>
    <t xml:space="preserve">14, 16, EKANS</t>
  </si>
  <si>
    <t xml:space="preserve">15, 15, JIGGLYPUFF</t>
  </si>
  <si>
    <t xml:space="preserve">15, 15, CLEFAIRY</t>
  </si>
  <si>
    <t xml:space="preserve">13, 18, MANKEY</t>
  </si>
  <si>
    <t xml:space="preserve">13, 18, MACHOP</t>
  </si>
  <si>
    <t xml:space="preserve">16, 16, NIDORINO</t>
  </si>
  <si>
    <t xml:space="preserve">16, 16, NIDORINA</t>
  </si>
  <si>
    <t xml:space="preserve">2, 38, 42, TENTACOOL</t>
  </si>
  <si>
    <t xml:space="preserve">40, 44, PSYDUCK</t>
  </si>
  <si>
    <t xml:space="preserve">42, 46, TENTACRUEL</t>
  </si>
  <si>
    <t xml:space="preserve">19, 26, GYARADOS</t>
  </si>
  <si>
    <t xml:space="preserve">29, 33, SLOWPOKE</t>
  </si>
  <si>
    <t xml:space="preserve">30, 35, PSYDUCK</t>
  </si>
  <si>
    <t xml:space="preserve">36, 40, SLOWBRO</t>
  </si>
  <si>
    <t xml:space="preserve">36, 40, GYARADOS</t>
  </si>
  <si>
    <t xml:space="preserve">38, 42, GOLDUCK</t>
  </si>
  <si>
    <t xml:space="preserve">38, 42, KINGLER</t>
  </si>
  <si>
    <t xml:space="preserve">40, 44, SLOWMATE</t>
  </si>
  <si>
    <t xml:space="preserve">3, 23, 0,</t>
  </si>
  <si>
    <t xml:space="preserve">15, 17, MEOWTH</t>
  </si>
  <si>
    <t xml:space="preserve">16, 19, ODDISH</t>
  </si>
  <si>
    <t xml:space="preserve">16, 19, BELLSPROUT</t>
  </si>
  <si>
    <t xml:space="preserve">16, 19, EKANS</t>
  </si>
  <si>
    <t xml:space="preserve">16, 19, PARAS</t>
  </si>
  <si>
    <t xml:space="preserve">17, 17, VULPIX</t>
  </si>
  <si>
    <t xml:space="preserve">17, 17, GROWLITHE</t>
  </si>
  <si>
    <t xml:space="preserve">16, 18, PIKACHU</t>
  </si>
  <si>
    <t xml:space="preserve">16, 18, EEVEE</t>
  </si>
  <si>
    <t xml:space="preserve">20, 20, FEAROW</t>
  </si>
  <si>
    <t xml:space="preserve">20, 20, WEEPINBELL , &lt;null&gt;, &lt;null&gt;, &lt;null&gt;</t>
  </si>
  <si>
    <t xml:space="preserve">3, 24, 0,</t>
  </si>
  <si>
    <t xml:space="preserve">20, 20, WEEPINBELL</t>
  </si>
  <si>
    <t xml:space="preserve">40, 44, SLOWPOKE</t>
  </si>
  <si>
    <t xml:space="preserve">44, 48, SLOWBRO</t>
  </si>
  <si>
    <t xml:space="preserve">29, 33, POLIWAG</t>
  </si>
  <si>
    <t xml:space="preserve">38, 42, GYARADOS</t>
  </si>
  <si>
    <t xml:space="preserve">38, 42, POLIWRATH</t>
  </si>
  <si>
    <t xml:space="preserve">40, 44, POLITOES</t>
  </si>
  <si>
    <t xml:space="preserve">3, 25, 0,</t>
  </si>
  <si>
    <t xml:space="preserve">24, 26, KOFFING</t>
  </si>
  <si>
    <t xml:space="preserve">25, 27, SANDSHREW</t>
  </si>
  <si>
    <t xml:space="preserve">25, 27, MEOWTH</t>
  </si>
  <si>
    <t xml:space="preserve">25, 27, PARAS</t>
  </si>
  <si>
    <t xml:space="preserve">25, 27, VULPIX</t>
  </si>
  <si>
    <t xml:space="preserve">24, 28, WEEZING</t>
  </si>
  <si>
    <t xml:space="preserve">24, 28, LICKITUNG</t>
  </si>
  <si>
    <t xml:space="preserve">26, 26, PERSIAN</t>
  </si>
  <si>
    <t xml:space="preserve">21, 26, EEVEE</t>
  </si>
  <si>
    <t xml:space="preserve">24, 28, SANDSLASH</t>
  </si>
  <si>
    <t xml:space="preserve">24, 28, PARASECT , &lt;null&gt;, &lt;null&gt;, &lt;null&gt;</t>
  </si>
  <si>
    <t xml:space="preserve">3, 26, 0,</t>
  </si>
  <si>
    <t xml:space="preserve">23, 25, EKANS</t>
  </si>
  <si>
    <t xml:space="preserve">24, 26, SANDSHREW</t>
  </si>
  <si>
    <t xml:space="preserve">24, 26, MEOWTH</t>
  </si>
  <si>
    <t xml:space="preserve">24, 26, VENONAT</t>
  </si>
  <si>
    <t xml:space="preserve">24, 26, GROWLITHE</t>
  </si>
  <si>
    <t xml:space="preserve">23, 27, ARBOK</t>
  </si>
  <si>
    <t xml:space="preserve">23, 27, LICKITUNG</t>
  </si>
  <si>
    <t xml:space="preserve">25, 25, PERSIAN</t>
  </si>
  <si>
    <t xml:space="preserve">20, 25, EEVEE</t>
  </si>
  <si>
    <t xml:space="preserve">23, 27, SANDSLASH</t>
  </si>
  <si>
    <t xml:space="preserve">23, 27, VENOMOTH , &lt;null&gt;, &lt;null&gt;, &lt;null&gt;</t>
  </si>
  <si>
    <t xml:space="preserve">3, 27, 0,</t>
  </si>
  <si>
    <t xml:space="preserve">17, 22, NIDORINO</t>
  </si>
  <si>
    <t xml:space="preserve">16, 19, SPEAROW</t>
  </si>
  <si>
    <t xml:space="preserve">16, 19, CUBONE</t>
  </si>
  <si>
    <t xml:space="preserve">16, 19, MACHOP</t>
  </si>
  <si>
    <t xml:space="preserve">16, 19, SANDSHREW</t>
  </si>
  <si>
    <t xml:space="preserve">17, 18, DODUO</t>
  </si>
  <si>
    <t xml:space="preserve">17, 18, DROWZEE</t>
  </si>
  <si>
    <t xml:space="preserve">16, 25, FEAROW</t>
  </si>
  <si>
    <t xml:space="preserve">22, 22, SANDSLASH</t>
  </si>
  <si>
    <t xml:space="preserve">14, 17, KANGAKID</t>
  </si>
  <si>
    <t xml:space="preserve">18, 18, KANGAKID , &lt;null&gt;, &lt;null&gt;, &lt;null&gt;</t>
  </si>
  <si>
    <t xml:space="preserve">3, 28, 0,</t>
  </si>
  <si>
    <t xml:space="preserve">19, 23, NIDORINO</t>
  </si>
  <si>
    <t xml:space="preserve">18, 20, SPEAROW</t>
  </si>
  <si>
    <t xml:space="preserve">18, 20, CUBONE</t>
  </si>
  <si>
    <t xml:space="preserve">18, 20, MAGNEMITE</t>
  </si>
  <si>
    <t xml:space="preserve">18, 20, POLIWAG</t>
  </si>
  <si>
    <t xml:space="preserve">19, 19, DODUO</t>
  </si>
  <si>
    <t xml:space="preserve">19, 19, VOLTORB</t>
  </si>
  <si>
    <t xml:space="preserve">20, 25, FEAROW</t>
  </si>
  <si>
    <t xml:space="preserve">22, 22, POLIWHIRL</t>
  </si>
  <si>
    <t xml:space="preserve">19, 21, TANGELA</t>
  </si>
  <si>
    <t xml:space="preserve">19, 21, PONYTA</t>
  </si>
  <si>
    <t xml:space="preserve">40, 44, TENTACRUEL</t>
  </si>
  <si>
    <t xml:space="preserve">42, 46, TENTACATE</t>
  </si>
  <si>
    <t xml:space="preserve">29, 33, HORSEA</t>
  </si>
  <si>
    <t xml:space="preserve">30, 35, SLOWPOKE</t>
  </si>
  <si>
    <t xml:space="preserve">36, 40, SEADRA</t>
  </si>
  <si>
    <t xml:space="preserve">36, 40, GOLDUCK</t>
  </si>
  <si>
    <t xml:space="preserve">38, 42, SLOWBRO</t>
  </si>
  <si>
    <t xml:space="preserve">38, 42, KINGDRA</t>
  </si>
  <si>
    <t xml:space="preserve">40, 44, GILDUCK</t>
  </si>
  <si>
    <t xml:space="preserve">3, 29, 0,</t>
  </si>
  <si>
    <t xml:space="preserve">16, 18, SPEAROW</t>
  </si>
  <si>
    <t xml:space="preserve">17, 20, SANDSHREW</t>
  </si>
  <si>
    <t xml:space="preserve">17, 20, DROWZEE</t>
  </si>
  <si>
    <t xml:space="preserve">17, 20, MAGNEMITE</t>
  </si>
  <si>
    <t xml:space="preserve">17, 20, VOLTORB</t>
  </si>
  <si>
    <t xml:space="preserve">18, 18, FARFETCH'D</t>
  </si>
  <si>
    <t xml:space="preserve">18, 18, ABRA</t>
  </si>
  <si>
    <t xml:space="preserve">15, 19, PIKACHU</t>
  </si>
  <si>
    <t xml:space="preserve">15, 19, KADABRA</t>
  </si>
  <si>
    <t xml:space="preserve">22, 22, ARBOK</t>
  </si>
  <si>
    <t xml:space="preserve">22, 22, LICKITUNG</t>
  </si>
  <si>
    <t xml:space="preserve">44, 48, LOCHLASS</t>
  </si>
  <si>
    <t xml:space="preserve">30, 35, SHELLDER</t>
  </si>
  <si>
    <t xml:space="preserve">30, 35, STARYU</t>
  </si>
  <si>
    <t xml:space="preserve">38, 42, STARMIE</t>
  </si>
  <si>
    <t xml:space="preserve">38, 42, CLOYSTER</t>
  </si>
  <si>
    <t xml:space="preserve">38, 42, STARUS</t>
  </si>
  <si>
    <t xml:space="preserve">3, 30, 0,</t>
  </si>
  <si>
    <t xml:space="preserve">29, 34, PIDGEOTTO</t>
  </si>
  <si>
    <t xml:space="preserve">29, 31, WEEPINBELL</t>
  </si>
  <si>
    <t xml:space="preserve">29, 31, DODUO</t>
  </si>
  <si>
    <t xml:space="preserve">31, 31, PIDGEOT</t>
  </si>
  <si>
    <t xml:space="preserve">29, 31, EXEGGCUTE</t>
  </si>
  <si>
    <t xml:space="preserve">30, 34, SCYTHER</t>
  </si>
  <si>
    <t xml:space="preserve">30, 34, JYNX</t>
  </si>
  <si>
    <t xml:space="preserve">31, 31, DODRIO</t>
  </si>
  <si>
    <t xml:space="preserve">31, 31, EXEGGUTOR</t>
  </si>
  <si>
    <t xml:space="preserve">29, 34, VICTREEBEL</t>
  </si>
  <si>
    <t xml:space="preserve">20, 25, SQUIRTLE</t>
  </si>
  <si>
    <t xml:space="preserve">60, old rod:</t>
  </si>
  <si>
    <t xml:space="preserve">3, 31, 0,</t>
  </si>
  <si>
    <t xml:space="preserve">30, 35, PIDGEOTTO</t>
  </si>
  <si>
    <t xml:space="preserve">30, 32, WEEPINBELL</t>
  </si>
  <si>
    <t xml:space="preserve">30, 32, DODUO</t>
  </si>
  <si>
    <t xml:space="preserve">32, 32, PIDGEOT</t>
  </si>
  <si>
    <t xml:space="preserve">30, 32, EXEGGCUTE</t>
  </si>
  <si>
    <t xml:space="preserve">31, 35, SCYTHER</t>
  </si>
  <si>
    <t xml:space="preserve">31, 35, JYNX</t>
  </si>
  <si>
    <t xml:space="preserve">32, 32, DODRIO</t>
  </si>
  <si>
    <t xml:space="preserve">32, 32, EXEGGUTOR</t>
  </si>
  <si>
    <t xml:space="preserve">30, 35, VICTREEBEL</t>
  </si>
  <si>
    <t xml:space="preserve">3, 32, 0,</t>
  </si>
  <si>
    <t xml:space="preserve">32, 36, PIDGEOTTO</t>
  </si>
  <si>
    <t xml:space="preserve">31, 33, WEEPINBELL</t>
  </si>
  <si>
    <t xml:space="preserve">31, 33, DODUO</t>
  </si>
  <si>
    <t xml:space="preserve">33, 33, PIDGEOT</t>
  </si>
  <si>
    <t xml:space="preserve">31, 33, EXEGGCUTE</t>
  </si>
  <si>
    <t xml:space="preserve">32, 36, SCYTHER</t>
  </si>
  <si>
    <t xml:space="preserve">32, 36, JYNX</t>
  </si>
  <si>
    <t xml:space="preserve">33, 33, DODRIO</t>
  </si>
  <si>
    <t xml:space="preserve">33, 33, EXEGGUTOR</t>
  </si>
  <si>
    <t xml:space="preserve">31, 36, VICTREEBEL</t>
  </si>
  <si>
    <t xml:space="preserve">20, 25, SQUIRTLE , &lt;null&gt;, &lt;null&gt;, &lt;null&gt;</t>
  </si>
  <si>
    <t xml:space="preserve">3, 33, 0,</t>
  </si>
  <si>
    <t xml:space="preserve">33, 37, PIDGEOTTO</t>
  </si>
  <si>
    <t xml:space="preserve">32, 34, WEEPINBELL</t>
  </si>
  <si>
    <t xml:space="preserve">32, 34, DODUO</t>
  </si>
  <si>
    <t xml:space="preserve">34, 34, PIDGEOT</t>
  </si>
  <si>
    <t xml:space="preserve">32, 34, EXEGGCUTE</t>
  </si>
  <si>
    <t xml:space="preserve">33, 37, SCYTHER</t>
  </si>
  <si>
    <t xml:space="preserve">33, 37, JYNX</t>
  </si>
  <si>
    <t xml:space="preserve">34, 34, DODRIO</t>
  </si>
  <si>
    <t xml:space="preserve">34, 34, EXEGGUTOR</t>
  </si>
  <si>
    <t xml:space="preserve">32, 37, VICTREEBEL</t>
  </si>
  <si>
    <t xml:space="preserve">3, 34, 0,</t>
  </si>
  <si>
    <t xml:space="preserve">29, 31, GLOOM</t>
  </si>
  <si>
    <t xml:space="preserve">29, 31, LICKITUNG</t>
  </si>
  <si>
    <t xml:space="preserve">30, 34, TAUROS</t>
  </si>
  <si>
    <t xml:space="preserve">30, 34, "MR. MIME"</t>
  </si>
  <si>
    <t xml:space="preserve">31, 31, LICKILICKY</t>
  </si>
  <si>
    <t xml:space="preserve">29, 34, VILEPLUME</t>
  </si>
  <si>
    <t xml:space="preserve">20, 25, BULBASAUR , &lt;null&gt;, &lt;null&gt;, &lt;null&gt;</t>
  </si>
  <si>
    <t xml:space="preserve">3, 35, 0,</t>
  </si>
  <si>
    <t xml:space="preserve">30, 35, GLOOM</t>
  </si>
  <si>
    <t xml:space="preserve">30, 35, DODUO</t>
  </si>
  <si>
    <t xml:space="preserve">30, 32, LICKITUNG</t>
  </si>
  <si>
    <t xml:space="preserve">31, 35, TAUROS</t>
  </si>
  <si>
    <t xml:space="preserve">31, 35, "MR. MIME"</t>
  </si>
  <si>
    <t xml:space="preserve">32, 32, LICKILICKY</t>
  </si>
  <si>
    <t xml:space="preserve">30, 35, VILEPLUME</t>
  </si>
  <si>
    <t xml:space="preserve">3, 36, 0,</t>
  </si>
  <si>
    <t xml:space="preserve">31, 33, GLOOM</t>
  </si>
  <si>
    <t xml:space="preserve">31, 33, LICKITUNG</t>
  </si>
  <si>
    <t xml:space="preserve">32, 36, TAUROS</t>
  </si>
  <si>
    <t xml:space="preserve">32, 36, "MR. MIME"</t>
  </si>
  <si>
    <t xml:space="preserve">34, 36, DODRIO</t>
  </si>
  <si>
    <t xml:space="preserve">33, 33, LICKILICKY</t>
  </si>
  <si>
    <t xml:space="preserve">31, 36, VILEPLUME</t>
  </si>
  <si>
    <t xml:space="preserve">3, 37, 0, &lt;null&gt;,</t>
  </si>
  <si>
    <t xml:space="preserve">36, 40, KINGLER</t>
  </si>
  <si>
    <t xml:space="preserve">3, 38, 0, &lt;null&gt;,</t>
  </si>
  <si>
    <t xml:space="preserve">3, 39, 0,</t>
  </si>
  <si>
    <t xml:space="preserve">39, 46, EXEGGUTOR</t>
  </si>
  <si>
    <t xml:space="preserve">39, 42, DODRIO</t>
  </si>
  <si>
    <t xml:space="preserve">39, 42, GOLDUCK</t>
  </si>
  <si>
    <t xml:space="preserve">43, 46, DODRIO</t>
  </si>
  <si>
    <t xml:space="preserve">43, 46, GOLDUCK</t>
  </si>
  <si>
    <t xml:space="preserve">43, 50, TANGATHER</t>
  </si>
  <si>
    <t xml:space="preserve">43, 50, EXEGGITY</t>
  </si>
  <si>
    <t xml:space="preserve">43, 50, GILDUCK</t>
  </si>
  <si>
    <t xml:space="preserve">43, 50, QUADODO</t>
  </si>
  <si>
    <t xml:space="preserve">45, 52, TANGOLIATH</t>
  </si>
  <si>
    <t xml:space="preserve">44, 44, TANGOLIATH</t>
  </si>
  <si>
    <t xml:space="preserve">3, 40, 0,</t>
  </si>
  <si>
    <t xml:space="preserve">3, 41, 0,</t>
  </si>
  <si>
    <t xml:space="preserve">4, 5, RATTATA</t>
  </si>
  <si>
    <t xml:space="preserve">2, 3, MEOWTH</t>
  </si>
  <si>
    <t xml:space="preserve">4, 5, MEOWTH</t>
  </si>
  <si>
    <t xml:space="preserve">2, 3, SPEAROW</t>
  </si>
  <si>
    <t xml:space="preserve">4, 5, SPEAROW</t>
  </si>
  <si>
    <t xml:space="preserve">2, 3, GROWLITHE</t>
  </si>
  <si>
    <t xml:space="preserve">4, 5, GROWLITHE</t>
  </si>
  <si>
    <t xml:space="preserve">2, 5, ABRA</t>
  </si>
  <si>
    <t xml:space="preserve">2, 5, KANGAKID</t>
  </si>
  <si>
    <t xml:space="preserve">2, 5, EEVEE</t>
  </si>
  <si>
    <t xml:space="preserve">2, 5, SCYTHER</t>
  </si>
  <si>
    <t xml:space="preserve">2, 40, 44, PSYDUCK</t>
  </si>
  <si>
    <t xml:space="preserve">42, 46, SLOWPOKE</t>
  </si>
  <si>
    <t xml:space="preserve">44, 47, GOLDUCK</t>
  </si>
  <si>
    <t xml:space="preserve">44, 47, SLOWBRO</t>
  </si>
  <si>
    <t xml:space="preserve">45, 50, GILDUCK</t>
  </si>
  <si>
    <t xml:space="preserve">29, 33, MAGIKARP</t>
  </si>
  <si>
    <t xml:space="preserve">30, 35, GYARADOS</t>
  </si>
  <si>
    <t xml:space="preserve">30, 35, POLIWHIRL</t>
  </si>
  <si>
    <t xml:space="preserve">36, 40, MAGIKARP</t>
  </si>
  <si>
    <t xml:space="preserve">38, 42, POLIWHIRL</t>
  </si>
  <si>
    <t xml:space="preserve">3, 42, 0,</t>
  </si>
  <si>
    <t xml:space="preserve">51, 56, SNEEROW</t>
  </si>
  <si>
    <t xml:space="preserve">53, 57, GORILLASH</t>
  </si>
  <si>
    <t xml:space="preserve">53, 57, ORNITHOW</t>
  </si>
  <si>
    <t xml:space="preserve">53, 57, SANDSLAM</t>
  </si>
  <si>
    <t xml:space="preserve">54, 56, "MR. JEST"</t>
  </si>
  <si>
    <t xml:space="preserve">54, 56, ELECTIVINE</t>
  </si>
  <si>
    <t xml:space="preserve">54, 55, FELANKH</t>
  </si>
  <si>
    <t xml:space="preserve">56, 57, FELANKH</t>
  </si>
  <si>
    <t xml:space="preserve">40, 50, AERODACTYL</t>
  </si>
  <si>
    <t xml:space="preserve">57, 59, LUKKEY</t>
  </si>
  <si>
    <t xml:space="preserve">2, 50, 55, GILDUCK</t>
  </si>
  <si>
    <t xml:space="preserve">50, 55, POLITOES</t>
  </si>
  <si>
    <t xml:space="preserve">52, 57, SLOWMATE</t>
  </si>
  <si>
    <t xml:space="preserve">53, 58, PLATINUPUS</t>
  </si>
  <si>
    <t xml:space="preserve">23, 36, KRABBY</t>
  </si>
  <si>
    <t xml:space="preserve">30, 38, SEAKING</t>
  </si>
  <si>
    <t xml:space="preserve">32, 40, KINGLER</t>
  </si>
  <si>
    <t xml:space="preserve">32, 40, DRAGONAIR</t>
  </si>
  <si>
    <t xml:space="preserve">50, 55, SEAREX</t>
  </si>
  <si>
    <t xml:space="preserve">52, 57, KRAKLAW</t>
  </si>
  <si>
    <t xml:space="preserve">52, 57, CAPRISEA</t>
  </si>
  <si>
    <t xml:space="preserve">53, 58, DRAGONIER</t>
  </si>
  <si>
    <t xml:space="preserve">3, 43, 0,</t>
  </si>
  <si>
    <t xml:space="preserve">13, 17, ODDISH</t>
  </si>
  <si>
    <t xml:space="preserve">14, 17, BELLSPROUT</t>
  </si>
  <si>
    <t xml:space="preserve">14, 17, MEOWTH</t>
  </si>
  <si>
    <t xml:space="preserve">14, 17, PSYDUCK</t>
  </si>
  <si>
    <t xml:space="preserve">14, 17, PIDGEOTTO</t>
  </si>
  <si>
    <t xml:space="preserve">16, 16, PIKACHU</t>
  </si>
  <si>
    <t xml:space="preserve">16, 16, ABRA</t>
  </si>
  <si>
    <t xml:space="preserve">15, 18, VENONAT</t>
  </si>
  <si>
    <t xml:space="preserve">15, 18, GLOOM</t>
  </si>
  <si>
    <t xml:space="preserve">17, 17, KADABRA</t>
  </si>
  <si>
    <t xml:space="preserve">2, 34, 40, TENTACOOL</t>
  </si>
  <si>
    <t xml:space="preserve">34, 40, PSYDUCK</t>
  </si>
  <si>
    <t xml:space="preserve">36, 42, TENTACRUEL</t>
  </si>
  <si>
    <t xml:space="preserve">39, 42, VAPOREON</t>
  </si>
  <si>
    <t xml:space="preserve">3, 44, 0,</t>
  </si>
  <si>
    <t xml:space="preserve">14, 17, ODDISH</t>
  </si>
  <si>
    <t xml:space="preserve">15, 17, BELLSPROUT</t>
  </si>
  <si>
    <t xml:space="preserve">15, 17, PSYDUCK</t>
  </si>
  <si>
    <t xml:space="preserve">15, 17, PIDGEOTTO</t>
  </si>
  <si>
    <t xml:space="preserve">18, 18, KADABRA</t>
  </si>
  <si>
    <t xml:space="preserve">3, 0, 0, &lt;null&gt;,</t>
  </si>
  <si>
    <t xml:space="preserve">1, 38, 42, TENTACOOL</t>
  </si>
  <si>
    <t xml:space="preserve">40, 44, STARUS</t>
  </si>
  <si>
    <t xml:space="preserve">3, 1, 0, &lt;null&gt;,</t>
  </si>
  <si>
    <t xml:space="preserve">1, 38, 42, PSYDUCK</t>
  </si>
  <si>
    <t xml:space="preserve">44, 48, GILDUCK</t>
  </si>
  <si>
    <t xml:space="preserve">3, 3, 0, &lt;null&gt;,</t>
  </si>
  <si>
    <t xml:space="preserve">3, 5, 0, &lt;null&gt;,</t>
  </si>
  <si>
    <t xml:space="preserve">3, 6, 0, &lt;null&gt;,</t>
  </si>
  <si>
    <t xml:space="preserve">42, 46, KOFFING</t>
  </si>
  <si>
    <t xml:space="preserve">44, 48, WEEZING</t>
  </si>
  <si>
    <t xml:space="preserve">19, 26, GRIMER</t>
  </si>
  <si>
    <t xml:space="preserve">30, 35, MUK</t>
  </si>
  <si>
    <t xml:space="preserve">36, 40, MUK</t>
  </si>
  <si>
    <t xml:space="preserve">41, 41, GYARADOS</t>
  </si>
  <si>
    <t xml:space="preserve">38, 42, HYDRADOS</t>
  </si>
  <si>
    <t xml:space="preserve">40, 44, GUNK</t>
  </si>
  <si>
    <t xml:space="preserve">3, 7, 0, &lt;null&gt;,</t>
  </si>
  <si>
    <t xml:space="preserve">29, 33, SEEL</t>
  </si>
  <si>
    <t xml:space="preserve">36, 40, DEWGONG</t>
  </si>
  <si>
    <t xml:space="preserve">38, 42, SEAKING</t>
  </si>
  <si>
    <t xml:space="preserve">40, 44, SEAREX</t>
  </si>
  <si>
    <t xml:space="preserve">3, 8, 0, &lt;null&gt;,</t>
  </si>
  <si>
    <t xml:space="preserve">1, 40, 44, DEWGONG</t>
  </si>
  <si>
    <t xml:space="preserve">44, 47, TENTACATE</t>
  </si>
  <si>
    <t xml:space="preserve">45, 50, LOCHLASS</t>
  </si>
  <si>
    <t xml:space="preserve">24, 30, SHELLDER</t>
  </si>
  <si>
    <t xml:space="preserve">35, 40, SEADRA</t>
  </si>
  <si>
    <t xml:space="preserve">37, 42, KRABBY</t>
  </si>
  <si>
    <t xml:space="preserve">37, 42, CLOYSTER</t>
  </si>
  <si>
    <t xml:space="preserve">39, 45, KINGDRA</t>
  </si>
  <si>
    <t xml:space="preserve">39, 45, KINGLER</t>
  </si>
  <si>
    <t xml:space="preserve">43, 46, AN'ENEMY</t>
  </si>
  <si>
    <t xml:space="preserve">43, 46, KRAKLAW</t>
  </si>
  <si>
    <t xml:space="preserve">45, 52, LORDRA</t>
  </si>
  <si>
    <t xml:space="preserve">3, 12, 0, &lt;null&gt;,</t>
  </si>
  <si>
    <t xml:space="preserve">1, 5, 20, TENTACOOL</t>
  </si>
  <si>
    <t xml:space="preserve">3, 15, 0, &lt;null&gt;,</t>
  </si>
  <si>
    <t xml:space="preserve">2, 5, 15, MARILL</t>
  </si>
  <si>
    <t xml:space="preserve">3, 16, 0, &lt;null&gt;,</t>
  </si>
  <si>
    <t xml:space="preserve">1, 5, 35, TENTACOOL</t>
  </si>
  <si>
    <t xml:space="preserve">1, 122, 0,</t>
  </si>
  <si>
    <t xml:space="preserve">12, 12, ZUBAT</t>
  </si>
  <si>
    <t xml:space="preserve">8, 8, ZUBAT</t>
  </si>
  <si>
    <t xml:space="preserve">14, 14, ZUBAT</t>
  </si>
  <si>
    <t xml:space="preserve">16, 16, ZUBAT</t>
  </si>
  <si>
    <t xml:space="preserve">6, 6, ZUBAT</t>
  </si>
  <si>
    <t xml:space="preserve">14, 14, ZUBAT , &lt;null&gt;, &lt;null&gt;, &lt;null&gt;</t>
  </si>
  <si>
    <t xml:space="preserve">9, 9, MAREEP</t>
  </si>
  <si>
    <t xml:space="preserve">5, 5, MAREEP</t>
  </si>
  <si>
    <t xml:space="preserve">11, 11, MAREEP</t>
  </si>
  <si>
    <t xml:space="preserve">13, 13, MAREEP</t>
  </si>
  <si>
    <t xml:space="preserve">3, 3, MAREEP</t>
  </si>
  <si>
    <t xml:space="preserve">11, 11, MAREEP , &lt;null&gt;, &lt;null&gt;, &lt;null&gt;</t>
  </si>
  <si>
    <t xml:space="preserve">25, 25, PINECO</t>
  </si>
  <si>
    <t xml:space="preserve">22, 22, PINECO</t>
  </si>
  <si>
    <t xml:space="preserve">27, 27, PINECO</t>
  </si>
  <si>
    <t xml:space="preserve">29, 29, PINECO</t>
  </si>
  <si>
    <t xml:space="preserve">19, 19, PINECO</t>
  </si>
  <si>
    <t xml:space="preserve">21, 21, PINECO</t>
  </si>
  <si>
    <t xml:space="preserve">27, 27, PINECO , &lt;null&gt;, &lt;null&gt;, &lt;null&gt;</t>
  </si>
  <si>
    <t xml:space="preserve">18, 18, HOUNDOUR</t>
  </si>
  <si>
    <t xml:space="preserve">14, 14, HOUNDOUR</t>
  </si>
  <si>
    <t xml:space="preserve">20, 20, HOUNDOUR</t>
  </si>
  <si>
    <t xml:space="preserve">22, 22, HOUNDOUR</t>
  </si>
  <si>
    <t xml:space="preserve">12, 12, HOUNDOUR</t>
  </si>
  <si>
    <t xml:space="preserve">20, 20, HOUNDOUR , &lt;null&gt;, &lt;null&gt;, &lt;null&gt;</t>
  </si>
  <si>
    <t xml:space="preserve">24, 24, TEDDIURSA</t>
  </si>
  <si>
    <t xml:space="preserve">20, 20, TEDDIURSA</t>
  </si>
  <si>
    <t xml:space="preserve">26, 26, TEDDIURSA</t>
  </si>
  <si>
    <t xml:space="preserve">28, 28, TEDDIURSA</t>
  </si>
  <si>
    <t xml:space="preserve">18, 18, TEDDIURSA</t>
  </si>
  <si>
    <t xml:space="preserve">26, 26, TEDDIURSA , &lt;null&gt;, &lt;null&gt;, &lt;null&gt;</t>
  </si>
  <si>
    <t xml:space="preserve">24, 24, AIPOM</t>
  </si>
  <si>
    <t xml:space="preserve">20, 20, AIPOM</t>
  </si>
  <si>
    <t xml:space="preserve">26, 26, AIPOM</t>
  </si>
  <si>
    <t xml:space="preserve">28, 28, AIPOM</t>
  </si>
  <si>
    <t xml:space="preserve">18, 18, AIPOM</t>
  </si>
  <si>
    <t xml:space="preserve">26, 26, AIPOM , &lt;null&gt;, &lt;null&gt;, &lt;null&gt;</t>
  </si>
  <si>
    <t xml:space="preserve">24, 24, SHUCKLE</t>
  </si>
  <si>
    <t xml:space="preserve">20, 20, SHUCKLE</t>
  </si>
  <si>
    <t xml:space="preserve">26, 26, SHUCKLE</t>
  </si>
  <si>
    <t xml:space="preserve">28, 28, SHUCKLE</t>
  </si>
  <si>
    <t xml:space="preserve">18, 18, SHUCKLE</t>
  </si>
  <si>
    <t xml:space="preserve">26, 26, SHUCKLE , &lt;null&gt;, &lt;null&gt;, &lt;null&gt;</t>
  </si>
  <si>
    <t xml:space="preserve">24, 24, STANTLER</t>
  </si>
  <si>
    <t xml:space="preserve">20, 20, STANTLER</t>
  </si>
  <si>
    <t xml:space="preserve">26, 26, STANTLER</t>
  </si>
  <si>
    <t xml:space="preserve">28, 28, STANTLER</t>
  </si>
  <si>
    <t xml:space="preserve">18, 18, STANTLER</t>
  </si>
  <si>
    <t xml:space="preserve">26, 26, STANTLER , &lt;null&gt;, &lt;null&gt;, &lt;null&gt;</t>
  </si>
  <si>
    <t xml:space="preserve">24, 24, SMEARGLE</t>
  </si>
  <si>
    <t xml:space="preserve">20, 20, SMEARGLE</t>
  </si>
  <si>
    <t xml:space="preserve">26, 26, SMEARGLE</t>
  </si>
  <si>
    <t xml:space="preserve">28, 28, SMEARGLE</t>
  </si>
  <si>
    <t xml:space="preserve">18, 18, SMEARGLE</t>
  </si>
  <si>
    <t xml:space="preserve">26, 26, SMEARGLE , &lt;null&gt;, &lt;null&gt;, &lt;null&gt;</t>
  </si>
  <si>
    <t xml:space="preserve">10, 10, TANGELA</t>
  </si>
  <si>
    <t xml:space="preserve">11, 14, CLEFAIRY</t>
  </si>
  <si>
    <t xml:space="preserve">12, 15, CLEFAIRY</t>
  </si>
  <si>
    <t xml:space="preserve">13, 16, GRAVELER</t>
  </si>
  <si>
    <t xml:space="preserve">30, 30, DUGROUPLE</t>
  </si>
  <si>
    <t xml:space="preserve">58, 60, WRAIWRATH</t>
  </si>
  <si>
    <t xml:space="preserve">59, 61, FERODILLO</t>
  </si>
  <si>
    <t xml:space="preserve">60, 62, CLAYMOR</t>
  </si>
  <si>
    <t xml:space="preserve">20, 25, CHARMANDER</t>
  </si>
  <si>
    <t xml:space="preserve">20, 25, OMANYTE</t>
  </si>
  <si>
    <t xml:space="preserve">20, 23, KANGASKHAN</t>
  </si>
  <si>
    <t xml:space="preserve">45, 50, LICKILICKY</t>
  </si>
  <si>
    <t xml:space="preserve">32, 33, NINETALES</t>
  </si>
  <si>
    <t xml:space="preserve">45, 50, MAGNEZONE</t>
  </si>
  <si>
    <t xml:space="preserve">25, 35, MAGCARGO</t>
  </si>
  <si>
    <t xml:space="preserve">30, 30, HERACROSS</t>
  </si>
  <si>
    <t xml:space="preserve">35, 35, DUNSPARCE</t>
  </si>
  <si>
    <t xml:space="preserve">7, 7, GROWLITHE</t>
  </si>
  <si>
    <t xml:space="preserve">10, 13, NIDORAN\sm</t>
  </si>
  <si>
    <t xml:space="preserve">24, 28, PARASECT</t>
  </si>
  <si>
    <t xml:space="preserve">23, 27, VENOMOTH</t>
  </si>
  <si>
    <t xml:space="preserve">18, 18, KANGAKID</t>
  </si>
  <si>
    <t xml:space="preserve">20, 25, BULBASAUR</t>
  </si>
  <si>
    <t xml:space="preserve">0x1818</t>
  </si>
  <si>
    <t xml:space="preserve"> CATERPIE</t>
  </si>
  <si>
    <t xml:space="preserve"> WEEDLE</t>
  </si>
  <si>
    <t xml:space="preserve"> ODDISH</t>
  </si>
  <si>
    <t xml:space="preserve"> METAPOD</t>
  </si>
  <si>
    <t xml:space="preserve"> KAKUNA</t>
  </si>
  <si>
    <t xml:space="preserve"> PIKACHU</t>
  </si>
  <si>
    <t xml:space="preserve"> MANKEY</t>
  </si>
  <si>
    <t xml:space="preserve"> BUTTERFREE</t>
  </si>
  <si>
    <t xml:space="preserve"> BEEDRILL</t>
  </si>
  <si>
    <t xml:space="preserve"> TANGELA</t>
  </si>
  <si>
    <t xml:space="preserve"> ZUBAT</t>
  </si>
  <si>
    <t xml:space="preserve"> GEODUDE</t>
  </si>
  <si>
    <t xml:space="preserve"> SANDSHREW</t>
  </si>
  <si>
    <t xml:space="preserve"> PARAS</t>
  </si>
  <si>
    <t xml:space="preserve"> ONIX</t>
  </si>
  <si>
    <t xml:space="preserve"> CLEFAIRY</t>
  </si>
  <si>
    <t xml:space="preserve"> GOLBAT</t>
  </si>
  <si>
    <t xml:space="preserve"> GRAVELER</t>
  </si>
  <si>
    <t xml:space="preserve"> TENTACOOL</t>
  </si>
  <si>
    <t xml:space="preserve"> old rod:</t>
  </si>
  <si>
    <t xml:space="preserve">old rod:</t>
  </si>
  <si>
    <t xml:space="preserve"> MAGIKARP</t>
  </si>
  <si>
    <t xml:space="preserve"> KRABBY</t>
  </si>
  <si>
    <t xml:space="preserve"> HORSEA</t>
  </si>
  <si>
    <t xml:space="preserve"> STARYU</t>
  </si>
  <si>
    <t xml:space="preserve"> GYARADOS</t>
  </si>
  <si>
    <t xml:space="preserve"> SLOWPOKE</t>
  </si>
  <si>
    <t xml:space="preserve"> DIGLETT</t>
  </si>
  <si>
    <t xml:space="preserve"> DUGTRIO</t>
  </si>
  <si>
    <t xml:space="preserve"> DUGROUPLE</t>
  </si>
  <si>
    <t xml:space="preserve"> NOHTYP</t>
  </si>
  <si>
    <t xml:space="preserve"> CROBAT</t>
  </si>
  <si>
    <t xml:space="preserve"> MACHAMP</t>
  </si>
  <si>
    <t xml:space="preserve"> GOLEM</t>
  </si>
  <si>
    <t xml:space="preserve"> ADNOKANA</t>
  </si>
  <si>
    <t xml:space="preserve"> POLABAT</t>
  </si>
  <si>
    <t xml:space="preserve"> MACHULK</t>
  </si>
  <si>
    <t xml:space="preserve"> RHYMARKABL</t>
  </si>
  <si>
    <t xml:space="preserve"> PLATNIX</t>
  </si>
  <si>
    <t xml:space="preserve"> SLAGOLEM</t>
  </si>
  <si>
    <t xml:space="preserve"> MOLTREM</t>
  </si>
  <si>
    <t xml:space="preserve"> WRAIWRATH</t>
  </si>
  <si>
    <t xml:space="preserve"> FERODILLO</t>
  </si>
  <si>
    <t xml:space="preserve"> CLAYMOR</t>
  </si>
  <si>
    <t xml:space="preserve"> RATTCHET</t>
  </si>
  <si>
    <t xml:space="preserve"> NINETALES</t>
  </si>
  <si>
    <t xml:space="preserve"> ARCANINE</t>
  </si>
  <si>
    <t xml:space="preserve"> WEEZING</t>
  </si>
  <si>
    <t xml:space="preserve"> MUK</t>
  </si>
  <si>
    <t xml:space="preserve"> SINGESHA</t>
  </si>
  <si>
    <t xml:space="preserve"> SPIRITALES</t>
  </si>
  <si>
    <t xml:space="preserve"> GUNK</t>
  </si>
  <si>
    <t xml:space="preserve"> HEEVING</t>
  </si>
  <si>
    <t xml:space="preserve"> RATTARULE</t>
  </si>
  <si>
    <t xml:space="preserve"> CHARMANDER</t>
  </si>
  <si>
    <t xml:space="preserve"> DITTO</t>
  </si>
  <si>
    <t xml:space="preserve"> KABUTO</t>
  </si>
  <si>
    <t xml:space="preserve"> OMANYTE</t>
  </si>
  <si>
    <t xml:space="preserve"> NIDOKING</t>
  </si>
  <si>
    <t xml:space="preserve"> NIDOQUEEN</t>
  </si>
  <si>
    <t xml:space="preserve"> PARASECT</t>
  </si>
  <si>
    <t xml:space="preserve"> VENOMOTH</t>
  </si>
  <si>
    <t xml:space="preserve"> EXEGGUTOR</t>
  </si>
  <si>
    <t xml:space="preserve"> RHYDON</t>
  </si>
  <si>
    <t xml:space="preserve"> SCIZOR</t>
  </si>
  <si>
    <t xml:space="preserve"> PINSIRIOR</t>
  </si>
  <si>
    <t xml:space="preserve"> CHANSEY</t>
  </si>
  <si>
    <t xml:space="preserve"> JOLTEON</t>
  </si>
  <si>
    <t xml:space="preserve"> BLISSEY</t>
  </si>
  <si>
    <t xml:space="preserve"> RHYPERIOR</t>
  </si>
  <si>
    <t xml:space="preserve"> PSYDUCK</t>
  </si>
  <si>
    <t xml:space="preserve"> SLOWBRO</t>
  </si>
  <si>
    <t xml:space="preserve"> GOLDUCK</t>
  </si>
  <si>
    <t xml:space="preserve"> VAPOREON</t>
  </si>
  <si>
    <t xml:space="preserve"> POLIWAG</t>
  </si>
  <si>
    <t xml:space="preserve"> GOLDEEN</t>
  </si>
  <si>
    <t xml:space="preserve"> POLIWHIRL</t>
  </si>
  <si>
    <t xml:space="preserve"> SEAKING</t>
  </si>
  <si>
    <t xml:space="preserve"> DRATINI</t>
  </si>
  <si>
    <t xml:space="preserve"> DRAGONAIR</t>
  </si>
  <si>
    <t xml:space="preserve"> DRAGONITE</t>
  </si>
  <si>
    <t xml:space="preserve"> DODRIO</t>
  </si>
  <si>
    <t xml:space="preserve"> MAGMAR</t>
  </si>
  <si>
    <t xml:space="preserve"> KANGASKHAN</t>
  </si>
  <si>
    <t xml:space="preserve"> HITMONCHAN</t>
  </si>
  <si>
    <t xml:space="preserve"> KANGALLOUS</t>
  </si>
  <si>
    <t xml:space="preserve"> MAGMORTAR</t>
  </si>
  <si>
    <t xml:space="preserve"> CLEFABLE</t>
  </si>
  <si>
    <t xml:space="preserve"> ELECTABUZZ</t>
  </si>
  <si>
    <t xml:space="preserve"> TAUROS</t>
  </si>
  <si>
    <t xml:space="preserve"> FLAREON</t>
  </si>
  <si>
    <t xml:space="preserve"> TAUROX</t>
  </si>
  <si>
    <t xml:space="preserve"> ELECTIVIRE</t>
  </si>
  <si>
    <t xml:space="preserve"> RAPIDASH</t>
  </si>
  <si>
    <t xml:space="preserve"> SNORLAX</t>
  </si>
  <si>
    <t xml:space="preserve"> HITMONLEE</t>
  </si>
  <si>
    <t xml:space="preserve"> ACTLAX</t>
  </si>
  <si>
    <t xml:space="preserve"> TANGROWTH</t>
  </si>
  <si>
    <t xml:space="preserve"> VENOMENON</t>
  </si>
  <si>
    <t xml:space="preserve"> "MR. JEST"</t>
  </si>
  <si>
    <t xml:space="preserve"> NIDORULY</t>
  </si>
  <si>
    <t xml:space="preserve"> NIDOREGAL</t>
  </si>
  <si>
    <t xml:space="preserve"> MORPHO</t>
  </si>
  <si>
    <t xml:space="preserve"> MAGNEMELD</t>
  </si>
  <si>
    <t xml:space="preserve"> VOHOO-DU</t>
  </si>
  <si>
    <t xml:space="preserve"> CLEFAEFAE</t>
  </si>
  <si>
    <t xml:space="preserve"> KABUTAK</t>
  </si>
  <si>
    <t xml:space="preserve"> OMAPAL</t>
  </si>
  <si>
    <t xml:space="preserve"> POLITOES</t>
  </si>
  <si>
    <t xml:space="preserve"> POLIWISE</t>
  </si>
  <si>
    <t xml:space="preserve"> DRAGONIER</t>
  </si>
  <si>
    <t xml:space="preserve"> NESSEA</t>
  </si>
  <si>
    <t xml:space="preserve"> CLOYSTER</t>
  </si>
  <si>
    <t xml:space="preserve"> KINGDRA</t>
  </si>
  <si>
    <t xml:space="preserve"> HYDRADOS</t>
  </si>
  <si>
    <t xml:space="preserve"> LORDRA</t>
  </si>
  <si>
    <t xml:space="preserve"> AN'ENEMY</t>
  </si>
  <si>
    <t xml:space="preserve"> DRACOSMIC</t>
  </si>
  <si>
    <t xml:space="preserve"> GLAISHELL</t>
  </si>
  <si>
    <t xml:space="preserve"> STARWE</t>
  </si>
  <si>
    <t xml:space="preserve"> RHYHORN</t>
  </si>
  <si>
    <t xml:space="preserve"> MACHOP</t>
  </si>
  <si>
    <t xml:space="preserve"> PINSIR</t>
  </si>
  <si>
    <t xml:space="preserve"> DEWGONG</t>
  </si>
  <si>
    <t xml:space="preserve"> LICKILICKY</t>
  </si>
  <si>
    <t xml:space="preserve"> GILDUCK</t>
  </si>
  <si>
    <t xml:space="preserve"> SLOWMATE</t>
  </si>
  <si>
    <t xml:space="preserve"> PRECIPED</t>
  </si>
  <si>
    <t xml:space="preserve"> LICKILOLLY</t>
  </si>
  <si>
    <t xml:space="preserve"> SEADRA</t>
  </si>
  <si>
    <t xml:space="preserve"> KINGLER</t>
  </si>
  <si>
    <t xml:space="preserve"> LAPRAS</t>
  </si>
  <si>
    <t xml:space="preserve"> SHELLDER</t>
  </si>
  <si>
    <t xml:space="preserve"> KRAKLAW</t>
  </si>
  <si>
    <t xml:space="preserve"> GASTLY</t>
  </si>
  <si>
    <t xml:space="preserve"> RATTATA</t>
  </si>
  <si>
    <t xml:space="preserve"> CUBONE</t>
  </si>
  <si>
    <t xml:space="preserve"> HAUNTER</t>
  </si>
  <si>
    <t xml:space="preserve"> DROWZEE</t>
  </si>
  <si>
    <t xml:space="preserve"> VULPIX</t>
  </si>
  <si>
    <t xml:space="preserve"> HYPNO</t>
  </si>
  <si>
    <t xml:space="preserve"> RATICATE</t>
  </si>
  <si>
    <t xml:space="preserve"> MAROWAK</t>
  </si>
  <si>
    <t xml:space="preserve"> GENGAR</t>
  </si>
  <si>
    <t xml:space="preserve"> MAGNEMITE</t>
  </si>
  <si>
    <t xml:space="preserve"> VOLTORB</t>
  </si>
  <si>
    <t xml:space="preserve"> PORYGON</t>
  </si>
  <si>
    <t xml:space="preserve"> MAGNETON</t>
  </si>
  <si>
    <t xml:space="preserve"> PORYGON2</t>
  </si>
  <si>
    <t xml:space="preserve"> ELECTRODE</t>
  </si>
  <si>
    <t xml:space="preserve"> RAICHU</t>
  </si>
  <si>
    <t xml:space="preserve"> MAGNEZONE</t>
  </si>
  <si>
    <t xml:space="preserve"> PONYTA</t>
  </si>
  <si>
    <t xml:space="preserve"> FEAROW</t>
  </si>
  <si>
    <t xml:space="preserve"> SPEAROW</t>
  </si>
  <si>
    <t xml:space="preserve"> MACHOKE</t>
  </si>
  <si>
    <t xml:space="preserve"> SLUGMA</t>
  </si>
  <si>
    <t xml:space="preserve"> MAGCARGO</t>
  </si>
  <si>
    <t xml:space="preserve"> PIDGEOTTO</t>
  </si>
  <si>
    <t xml:space="preserve"> WEEPINBELL</t>
  </si>
  <si>
    <t xml:space="preserve"> PIDGEY</t>
  </si>
  <si>
    <t xml:space="preserve"> BELLSPROUT</t>
  </si>
  <si>
    <t xml:space="preserve"> VENONAT</t>
  </si>
  <si>
    <t xml:space="preserve"> EXEGGCUTE</t>
  </si>
  <si>
    <t xml:space="preserve"> SEEL</t>
  </si>
  <si>
    <t xml:space="preserve"> MARILL</t>
  </si>
  <si>
    <t xml:space="preserve"> SWINUB</t>
  </si>
  <si>
    <t xml:space="preserve"> SNEASEL</t>
  </si>
  <si>
    <t xml:space="preserve"> TENTACRUEL</t>
  </si>
  <si>
    <t xml:space="preserve"> LEDYBA</t>
  </si>
  <si>
    <t xml:space="preserve"> HERACROSS</t>
  </si>
  <si>
    <t xml:space="preserve"> SPINARAK</t>
  </si>
  <si>
    <t xml:space="preserve"> MISDREAVUS</t>
  </si>
  <si>
    <t xml:space="preserve"> MEOWTH</t>
  </si>
  <si>
    <t xml:space="preserve"> PERSIAN</t>
  </si>
  <si>
    <t xml:space="preserve"> DUNSPARCE</t>
  </si>
  <si>
    <t xml:space="preserve"> HOPPIP</t>
  </si>
  <si>
    <t xml:space="preserve"> REMORAID</t>
  </si>
  <si>
    <t xml:space="preserve"> SENTRET</t>
  </si>
  <si>
    <t xml:space="preserve"> NATU</t>
  </si>
  <si>
    <t xml:space="preserve"> YANMA</t>
  </si>
  <si>
    <t xml:space="preserve"> WOBBUFFET</t>
  </si>
  <si>
    <t xml:space="preserve"> MANTINE</t>
  </si>
  <si>
    <t xml:space="preserve"> PHANPY</t>
  </si>
  <si>
    <t xml:space="preserve"> LARVITAR</t>
  </si>
  <si>
    <t xml:space="preserve"> EEVEE</t>
  </si>
  <si>
    <t xml:space="preserve"> FARFETCH'D</t>
  </si>
  <si>
    <t xml:space="preserve"> GROWLITHE</t>
  </si>
  <si>
    <t xml:space="preserve"> NIDORAN\sf</t>
  </si>
  <si>
    <t xml:space="preserve"> NIDORAN\sm</t>
  </si>
  <si>
    <t xml:space="preserve"> EKANS</t>
  </si>
  <si>
    <t xml:space="preserve"> JIGGLYPUFF</t>
  </si>
  <si>
    <t xml:space="preserve"> NIDORINO</t>
  </si>
  <si>
    <t xml:space="preserve"> NIDORINA</t>
  </si>
  <si>
    <t xml:space="preserve"> POLIWRATH</t>
  </si>
  <si>
    <t xml:space="preserve"> KOFFING</t>
  </si>
  <si>
    <t xml:space="preserve"> LICKITUNG</t>
  </si>
  <si>
    <t xml:space="preserve"> SANDSLASH</t>
  </si>
  <si>
    <t xml:space="preserve"> ARBOK</t>
  </si>
  <si>
    <t xml:space="preserve"> DODUO</t>
  </si>
  <si>
    <t xml:space="preserve"> KANGAKID</t>
  </si>
  <si>
    <t xml:space="preserve"> TENTACATE</t>
  </si>
  <si>
    <t xml:space="preserve"> ABRA</t>
  </si>
  <si>
    <t xml:space="preserve"> KADABRA</t>
  </si>
  <si>
    <t xml:space="preserve"> LOCHLASS</t>
  </si>
  <si>
    <t xml:space="preserve"> STARMIE</t>
  </si>
  <si>
    <t xml:space="preserve"> STARUS</t>
  </si>
  <si>
    <t xml:space="preserve"> PIDGEOT</t>
  </si>
  <si>
    <t xml:space="preserve"> SCYTHER</t>
  </si>
  <si>
    <t xml:space="preserve"> JYNX</t>
  </si>
  <si>
    <t xml:space="preserve"> VICTREEBEL</t>
  </si>
  <si>
    <t xml:space="preserve"> SQUIRTLE</t>
  </si>
  <si>
    <t xml:space="preserve"> GLOOM</t>
  </si>
  <si>
    <t xml:space="preserve"> "MR. MIME"</t>
  </si>
  <si>
    <t xml:space="preserve"> VILEPLUME</t>
  </si>
  <si>
    <t xml:space="preserve"> BULBASAUR</t>
  </si>
  <si>
    <t xml:space="preserve"> TANGATHER</t>
  </si>
  <si>
    <t xml:space="preserve"> EXEGGITY</t>
  </si>
  <si>
    <t xml:space="preserve"> QUADODO</t>
  </si>
  <si>
    <t xml:space="preserve"> TANGOLIATH</t>
  </si>
  <si>
    <t xml:space="preserve"> PRIMEAPE</t>
  </si>
  <si>
    <t xml:space="preserve"> SNEEROW</t>
  </si>
  <si>
    <t xml:space="preserve"> GORILLASH</t>
  </si>
  <si>
    <t xml:space="preserve"> ORNITHOW</t>
  </si>
  <si>
    <t xml:space="preserve"> SANDSLAM</t>
  </si>
  <si>
    <t xml:space="preserve"> ELECTIVINE</t>
  </si>
  <si>
    <t xml:space="preserve"> FELANKH</t>
  </si>
  <si>
    <t xml:space="preserve"> AERODACTYL</t>
  </si>
  <si>
    <t xml:space="preserve"> LUKKEY</t>
  </si>
  <si>
    <t xml:space="preserve"> PLATINUPUS</t>
  </si>
  <si>
    <t xml:space="preserve"> SEAREX</t>
  </si>
  <si>
    <t xml:space="preserve"> CAPRISEA</t>
  </si>
  <si>
    <t xml:space="preserve"> GRIMER</t>
  </si>
  <si>
    <t xml:space="preserve"> MAREEP</t>
  </si>
  <si>
    <t xml:space="preserve"> PINECO</t>
  </si>
  <si>
    <t xml:space="preserve"> HOUNDOUR</t>
  </si>
  <si>
    <t xml:space="preserve"> TEDDIURSA</t>
  </si>
  <si>
    <t xml:space="preserve"> AIPOM</t>
  </si>
  <si>
    <t xml:space="preserve"> SHUCKLE</t>
  </si>
  <si>
    <t xml:space="preserve"> STANTLER</t>
  </si>
  <si>
    <t xml:space="preserve"> SMEARGLE</t>
  </si>
  <si>
    <t xml:space="preserve">.rawData</t>
  </si>
  <si>
    <t xml:space="preserve">min_level</t>
  </si>
  <si>
    <t xml:space="preserve">max_level</t>
  </si>
  <si>
    <t xml:space="preserve">species</t>
  </si>
  <si>
    <t xml:space="preserve">S.S. Anne Exterior, 1</t>
  </si>
  <si>
    <t xml:space="preserve">water_mons, 1</t>
  </si>
  <si>
    <t xml:space="preserve">5, 10, TENTACOOL</t>
  </si>
  <si>
    <t xml:space="preserve">old_rod</t>
  </si>
  <si>
    <t xml:space="preserve">good_rod</t>
  </si>
  <si>
    <t xml:space="preserve">super_rod</t>
  </si>
  <si>
    <t xml:space="preserve">water_mons, 2</t>
  </si>
  <si>
    <t xml:space="preserve">38, 42, SLOWPOKE</t>
  </si>
  <si>
    <t xml:space="preserve">rock_smash_mons, 50</t>
  </si>
  <si>
    <t xml:space="preserve">5, 20, GEODUDE</t>
  </si>
  <si>
    <t xml:space="preserve">38, 44, DEWGONG</t>
  </si>
  <si>
    <t xml:space="preserve">25, 35, GEODUDE</t>
  </si>
  <si>
    <t xml:space="preserve">15, 25, SLUGMA</t>
  </si>
  <si>
    <t xml:space="preserve">5, 20, SLOWPOKE</t>
  </si>
  <si>
    <t xml:space="preserve">5, 35, SEEL</t>
  </si>
  <si>
    <t xml:space="preserve">5, 20, TENTACOOL</t>
  </si>
  <si>
    <t xml:space="preserve">rock_smash_mons, 25</t>
  </si>
  <si>
    <t xml:space="preserve">5, 35, TENTACOOL</t>
  </si>
  <si>
    <t xml:space="preserve">5, 20, MARILL</t>
  </si>
  <si>
    <t xml:space="preserve">38, 42, TENTACOOL</t>
  </si>
  <si>
    <t xml:space="preserve">50, 55, GILDUCK</t>
  </si>
  <si>
    <t xml:space="preserve">34, 40, TENTACOOL</t>
  </si>
  <si>
    <t xml:space="preserve">38, 42, PSYDUCK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</si>
</sst>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%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1.63"/>
    <col collapsed="false" customWidth="true" hidden="false" outlineLevel="0" max="2" min="2" style="0" width="40.89"/>
    <col collapsed="false" customWidth="true" hidden="false" outlineLevel="0" max="26" min="3" style="0" width="11.63"/>
  </cols>
  <sheetData>
    <row r="1" customFormat="false" ht="12.75" hidden="false" customHeight="true" outlineLevel="0" collapsed="false">
      <c r="A1" s="1" t="s">
        <v>0</v>
      </c>
      <c r="B1" s="1" t="s">
        <v>1</v>
      </c>
    </row>
    <row r="2" customFormat="false" ht="12.75" hidden="false" customHeight="true" outlineLevel="0" collapsed="false">
      <c r="A2" s="1" t="s">
        <v>2</v>
      </c>
      <c r="B2" s="1" t="s">
        <v>3</v>
      </c>
    </row>
    <row r="3" customFormat="false" ht="12.75" hidden="false" customHeight="true" outlineLevel="0" collapsed="false">
      <c r="A3" s="1" t="s">
        <v>4</v>
      </c>
      <c r="B3" s="1" t="s">
        <v>5</v>
      </c>
    </row>
    <row r="4" customFormat="false" ht="12.75" hidden="false" customHeight="true" outlineLevel="0" collapsed="false">
      <c r="A4" s="1" t="s">
        <v>6</v>
      </c>
      <c r="B4" s="1" t="s">
        <v>7</v>
      </c>
    </row>
    <row r="5" customFormat="false" ht="12.75" hidden="false" customHeight="true" outlineLevel="0" collapsed="false">
      <c r="A5" s="1" t="s">
        <v>8</v>
      </c>
      <c r="B5" s="1" t="s">
        <v>9</v>
      </c>
    </row>
    <row r="6" customFormat="false" ht="12.75" hidden="false" customHeight="true" outlineLevel="0" collapsed="false">
      <c r="A6" s="1" t="s">
        <v>10</v>
      </c>
      <c r="B6" s="1" t="s">
        <v>11</v>
      </c>
    </row>
    <row r="7" customFormat="false" ht="12.75" hidden="false" customHeight="true" outlineLevel="0" collapsed="false">
      <c r="A7" s="1" t="s">
        <v>12</v>
      </c>
      <c r="B7" s="1" t="s">
        <v>13</v>
      </c>
    </row>
    <row r="8" customFormat="false" ht="12.75" hidden="false" customHeight="true" outlineLevel="0" collapsed="false">
      <c r="A8" s="1" t="s">
        <v>14</v>
      </c>
      <c r="B8" s="1" t="s">
        <v>15</v>
      </c>
    </row>
    <row r="9" customFormat="false" ht="12.75" hidden="false" customHeight="true" outlineLevel="0" collapsed="false">
      <c r="A9" s="1" t="s">
        <v>16</v>
      </c>
      <c r="B9" s="1" t="s">
        <v>17</v>
      </c>
    </row>
    <row r="10" customFormat="false" ht="12.75" hidden="false" customHeight="true" outlineLevel="0" collapsed="false">
      <c r="A10" s="1" t="s">
        <v>18</v>
      </c>
      <c r="B10" s="1" t="s">
        <v>19</v>
      </c>
    </row>
    <row r="11" customFormat="false" ht="12.75" hidden="false" customHeight="true" outlineLevel="0" collapsed="false">
      <c r="A11" s="1" t="s">
        <v>20</v>
      </c>
      <c r="B11" s="1" t="s">
        <v>21</v>
      </c>
    </row>
    <row r="12" customFormat="false" ht="12.75" hidden="false" customHeight="true" outlineLevel="0" collapsed="false">
      <c r="A12" s="1" t="s">
        <v>22</v>
      </c>
      <c r="B12" s="1" t="s">
        <v>23</v>
      </c>
    </row>
    <row r="13" customFormat="false" ht="12.75" hidden="false" customHeight="true" outlineLevel="0" collapsed="false">
      <c r="A13" s="1" t="s">
        <v>24</v>
      </c>
      <c r="B13" s="1" t="s">
        <v>25</v>
      </c>
    </row>
    <row r="14" customFormat="false" ht="12.75" hidden="false" customHeight="true" outlineLevel="0" collapsed="false">
      <c r="A14" s="1" t="s">
        <v>26</v>
      </c>
      <c r="B14" s="1" t="s">
        <v>27</v>
      </c>
    </row>
    <row r="15" customFormat="false" ht="12.75" hidden="false" customHeight="true" outlineLevel="0" collapsed="false">
      <c r="A15" s="1" t="s">
        <v>28</v>
      </c>
      <c r="B15" s="1" t="s">
        <v>29</v>
      </c>
    </row>
    <row r="16" customFormat="false" ht="12.75" hidden="false" customHeight="true" outlineLevel="0" collapsed="false">
      <c r="A16" s="1" t="s">
        <v>30</v>
      </c>
      <c r="B16" s="1" t="s">
        <v>31</v>
      </c>
    </row>
    <row r="17" customFormat="false" ht="12.75" hidden="false" customHeight="true" outlineLevel="0" collapsed="false">
      <c r="A17" s="1" t="s">
        <v>32</v>
      </c>
      <c r="B17" s="1" t="s">
        <v>33</v>
      </c>
    </row>
    <row r="18" customFormat="false" ht="12.75" hidden="false" customHeight="true" outlineLevel="0" collapsed="false">
      <c r="A18" s="1" t="s">
        <v>34</v>
      </c>
      <c r="B18" s="1" t="s">
        <v>35</v>
      </c>
    </row>
    <row r="19" customFormat="false" ht="12.75" hidden="false" customHeight="true" outlineLevel="0" collapsed="false">
      <c r="A19" s="1" t="s">
        <v>36</v>
      </c>
      <c r="B19" s="1" t="s">
        <v>37</v>
      </c>
    </row>
    <row r="20" customFormat="false" ht="12.75" hidden="false" customHeight="true" outlineLevel="0" collapsed="false">
      <c r="A20" s="1" t="s">
        <v>38</v>
      </c>
      <c r="B20" s="1" t="s">
        <v>39</v>
      </c>
    </row>
    <row r="21" customFormat="false" ht="12.75" hidden="false" customHeight="true" outlineLevel="0" collapsed="false">
      <c r="A21" s="1" t="s">
        <v>40</v>
      </c>
      <c r="B21" s="1" t="s">
        <v>41</v>
      </c>
    </row>
    <row r="22" customFormat="false" ht="12.75" hidden="false" customHeight="true" outlineLevel="0" collapsed="false">
      <c r="A22" s="1" t="s">
        <v>42</v>
      </c>
      <c r="B22" s="1" t="s">
        <v>43</v>
      </c>
    </row>
    <row r="23" customFormat="false" ht="12.75" hidden="false" customHeight="true" outlineLevel="0" collapsed="false">
      <c r="A23" s="1" t="s">
        <v>44</v>
      </c>
      <c r="B23" s="1" t="s">
        <v>45</v>
      </c>
    </row>
    <row r="24" customFormat="false" ht="12.75" hidden="false" customHeight="true" outlineLevel="0" collapsed="false">
      <c r="A24" s="1" t="s">
        <v>46</v>
      </c>
      <c r="B24" s="1" t="s">
        <v>47</v>
      </c>
    </row>
    <row r="25" customFormat="false" ht="12.75" hidden="false" customHeight="true" outlineLevel="0" collapsed="false">
      <c r="A25" s="1" t="s">
        <v>48</v>
      </c>
      <c r="B25" s="1" t="s">
        <v>49</v>
      </c>
    </row>
    <row r="26" customFormat="false" ht="12.75" hidden="false" customHeight="true" outlineLevel="0" collapsed="false">
      <c r="A26" s="1" t="s">
        <v>50</v>
      </c>
      <c r="B26" s="1" t="s">
        <v>51</v>
      </c>
    </row>
    <row r="27" customFormat="false" ht="12.75" hidden="false" customHeight="true" outlineLevel="0" collapsed="false">
      <c r="A27" s="1" t="s">
        <v>52</v>
      </c>
      <c r="B27" s="1" t="s">
        <v>53</v>
      </c>
    </row>
    <row r="28" customFormat="false" ht="12.75" hidden="false" customHeight="true" outlineLevel="0" collapsed="false">
      <c r="A28" s="1" t="s">
        <v>54</v>
      </c>
      <c r="B28" s="1" t="s">
        <v>55</v>
      </c>
    </row>
    <row r="29" customFormat="false" ht="12.75" hidden="false" customHeight="true" outlineLevel="0" collapsed="false">
      <c r="A29" s="1" t="s">
        <v>56</v>
      </c>
      <c r="B29" s="1" t="s">
        <v>57</v>
      </c>
    </row>
    <row r="30" customFormat="false" ht="12.75" hidden="false" customHeight="true" outlineLevel="0" collapsed="false">
      <c r="A30" s="1" t="s">
        <v>58</v>
      </c>
      <c r="B30" s="1" t="s">
        <v>59</v>
      </c>
    </row>
    <row r="31" customFormat="false" ht="12.75" hidden="false" customHeight="true" outlineLevel="0" collapsed="false">
      <c r="A31" s="1" t="s">
        <v>60</v>
      </c>
      <c r="B31" s="1" t="s">
        <v>61</v>
      </c>
    </row>
    <row r="32" customFormat="false" ht="12.75" hidden="false" customHeight="true" outlineLevel="0" collapsed="false">
      <c r="A32" s="1" t="s">
        <v>62</v>
      </c>
      <c r="B32" s="1" t="s">
        <v>63</v>
      </c>
    </row>
    <row r="33" customFormat="false" ht="12.75" hidden="false" customHeight="true" outlineLevel="0" collapsed="false">
      <c r="A33" s="1" t="s">
        <v>64</v>
      </c>
      <c r="B33" s="1" t="s">
        <v>65</v>
      </c>
    </row>
    <row r="34" customFormat="false" ht="12.75" hidden="false" customHeight="true" outlineLevel="0" collapsed="false">
      <c r="A34" s="1" t="s">
        <v>66</v>
      </c>
      <c r="B34" s="1" t="s">
        <v>67</v>
      </c>
    </row>
    <row r="35" customFormat="false" ht="12.75" hidden="false" customHeight="true" outlineLevel="0" collapsed="false">
      <c r="A35" s="1" t="s">
        <v>68</v>
      </c>
      <c r="B35" s="1" t="s">
        <v>69</v>
      </c>
    </row>
    <row r="36" customFormat="false" ht="12.75" hidden="false" customHeight="true" outlineLevel="0" collapsed="false">
      <c r="A36" s="1" t="s">
        <v>70</v>
      </c>
      <c r="B36" s="1" t="s">
        <v>71</v>
      </c>
    </row>
    <row r="37" customFormat="false" ht="12.75" hidden="false" customHeight="true" outlineLevel="0" collapsed="false">
      <c r="A37" s="1" t="s">
        <v>72</v>
      </c>
      <c r="B37" s="1" t="s">
        <v>73</v>
      </c>
    </row>
    <row r="38" customFormat="false" ht="12.75" hidden="false" customHeight="true" outlineLevel="0" collapsed="false">
      <c r="A38" s="1" t="s">
        <v>74</v>
      </c>
      <c r="B38" s="1" t="s">
        <v>75</v>
      </c>
    </row>
    <row r="39" customFormat="false" ht="12.75" hidden="false" customHeight="true" outlineLevel="0" collapsed="false">
      <c r="A39" s="1" t="s">
        <v>76</v>
      </c>
      <c r="B39" s="1" t="s">
        <v>77</v>
      </c>
    </row>
    <row r="40" customFormat="false" ht="12.75" hidden="false" customHeight="true" outlineLevel="0" collapsed="false">
      <c r="A40" s="1" t="s">
        <v>78</v>
      </c>
      <c r="B40" s="1" t="s">
        <v>79</v>
      </c>
    </row>
    <row r="41" customFormat="false" ht="12.75" hidden="false" customHeight="true" outlineLevel="0" collapsed="false">
      <c r="A41" s="1" t="s">
        <v>80</v>
      </c>
      <c r="B41" s="1" t="s">
        <v>81</v>
      </c>
    </row>
    <row r="42" customFormat="false" ht="12.75" hidden="false" customHeight="true" outlineLevel="0" collapsed="false">
      <c r="A42" s="1" t="s">
        <v>82</v>
      </c>
      <c r="B42" s="1" t="s">
        <v>83</v>
      </c>
    </row>
    <row r="43" customFormat="false" ht="12.75" hidden="false" customHeight="true" outlineLevel="0" collapsed="false">
      <c r="A43" s="1" t="s">
        <v>84</v>
      </c>
      <c r="B43" s="1" t="s">
        <v>85</v>
      </c>
    </row>
    <row r="44" customFormat="false" ht="12.75" hidden="false" customHeight="true" outlineLevel="0" collapsed="false">
      <c r="A44" s="1" t="s">
        <v>86</v>
      </c>
      <c r="B44" s="1" t="s">
        <v>87</v>
      </c>
    </row>
    <row r="45" customFormat="false" ht="12.75" hidden="false" customHeight="true" outlineLevel="0" collapsed="false">
      <c r="A45" s="1" t="s">
        <v>88</v>
      </c>
      <c r="B45" s="1" t="s">
        <v>89</v>
      </c>
    </row>
    <row r="46" customFormat="false" ht="12.75" hidden="false" customHeight="true" outlineLevel="0" collapsed="false">
      <c r="A46" s="1" t="s">
        <v>90</v>
      </c>
      <c r="B46" s="1" t="s">
        <v>91</v>
      </c>
    </row>
    <row r="47" customFormat="false" ht="12.75" hidden="false" customHeight="true" outlineLevel="0" collapsed="false">
      <c r="A47" s="1" t="s">
        <v>92</v>
      </c>
      <c r="B47" s="1" t="s">
        <v>93</v>
      </c>
    </row>
    <row r="48" customFormat="false" ht="12.75" hidden="false" customHeight="true" outlineLevel="0" collapsed="false">
      <c r="A48" s="1" t="s">
        <v>94</v>
      </c>
      <c r="B48" s="1" t="s">
        <v>95</v>
      </c>
    </row>
    <row r="49" customFormat="false" ht="12.75" hidden="false" customHeight="true" outlineLevel="0" collapsed="false">
      <c r="A49" s="1" t="s">
        <v>96</v>
      </c>
      <c r="B49" s="1" t="s">
        <v>97</v>
      </c>
    </row>
    <row r="50" customFormat="false" ht="12.75" hidden="false" customHeight="true" outlineLevel="0" collapsed="false">
      <c r="A50" s="1" t="s">
        <v>98</v>
      </c>
      <c r="B50" s="1" t="s">
        <v>99</v>
      </c>
    </row>
    <row r="51" customFormat="false" ht="12.75" hidden="false" customHeight="true" outlineLevel="0" collapsed="false">
      <c r="A51" s="1" t="s">
        <v>100</v>
      </c>
      <c r="B51" s="1" t="s">
        <v>101</v>
      </c>
    </row>
    <row r="52" customFormat="false" ht="12.75" hidden="false" customHeight="true" outlineLevel="0" collapsed="false">
      <c r="A52" s="1" t="s">
        <v>102</v>
      </c>
      <c r="B52" s="1" t="s">
        <v>103</v>
      </c>
    </row>
    <row r="53" customFormat="false" ht="12.75" hidden="false" customHeight="true" outlineLevel="0" collapsed="false">
      <c r="A53" s="1" t="s">
        <v>104</v>
      </c>
      <c r="B53" s="1" t="s">
        <v>105</v>
      </c>
    </row>
    <row r="54" customFormat="false" ht="12.75" hidden="false" customHeight="true" outlineLevel="0" collapsed="false">
      <c r="A54" s="1" t="s">
        <v>106</v>
      </c>
      <c r="B54" s="1" t="s">
        <v>107</v>
      </c>
    </row>
    <row r="55" customFormat="false" ht="12.75" hidden="false" customHeight="true" outlineLevel="0" collapsed="false">
      <c r="A55" s="1" t="s">
        <v>108</v>
      </c>
      <c r="B55" s="1" t="s">
        <v>109</v>
      </c>
    </row>
    <row r="56" customFormat="false" ht="12.75" hidden="false" customHeight="true" outlineLevel="0" collapsed="false">
      <c r="A56" s="1" t="s">
        <v>110</v>
      </c>
      <c r="B56" s="1" t="s">
        <v>111</v>
      </c>
    </row>
    <row r="57" customFormat="false" ht="12.75" hidden="false" customHeight="true" outlineLevel="0" collapsed="false">
      <c r="A57" s="1" t="s">
        <v>112</v>
      </c>
      <c r="B57" s="1" t="s">
        <v>113</v>
      </c>
    </row>
    <row r="58" customFormat="false" ht="12.75" hidden="false" customHeight="true" outlineLevel="0" collapsed="false">
      <c r="A58" s="1" t="s">
        <v>114</v>
      </c>
      <c r="B58" s="1" t="s">
        <v>115</v>
      </c>
    </row>
    <row r="59" customFormat="false" ht="12.75" hidden="false" customHeight="true" outlineLevel="0" collapsed="false">
      <c r="A59" s="1" t="s">
        <v>116</v>
      </c>
      <c r="B59" s="1" t="s">
        <v>117</v>
      </c>
    </row>
    <row r="60" customFormat="false" ht="12.75" hidden="false" customHeight="true" outlineLevel="0" collapsed="false">
      <c r="A60" s="1" t="s">
        <v>118</v>
      </c>
      <c r="B60" s="1" t="s">
        <v>119</v>
      </c>
    </row>
    <row r="61" customFormat="false" ht="12.75" hidden="false" customHeight="true" outlineLevel="0" collapsed="false">
      <c r="A61" s="1" t="s">
        <v>120</v>
      </c>
      <c r="B61" s="1" t="s">
        <v>121</v>
      </c>
    </row>
    <row r="62" customFormat="false" ht="12.75" hidden="false" customHeight="true" outlineLevel="0" collapsed="false">
      <c r="A62" s="1" t="s">
        <v>122</v>
      </c>
      <c r="B62" s="1" t="s">
        <v>123</v>
      </c>
    </row>
    <row r="63" customFormat="false" ht="12.75" hidden="false" customHeight="true" outlineLevel="0" collapsed="false">
      <c r="A63" s="1" t="s">
        <v>124</v>
      </c>
      <c r="B63" s="1" t="s">
        <v>125</v>
      </c>
    </row>
    <row r="64" customFormat="false" ht="12.75" hidden="false" customHeight="true" outlineLevel="0" collapsed="false">
      <c r="A64" s="1" t="s">
        <v>126</v>
      </c>
      <c r="B64" s="1" t="s">
        <v>127</v>
      </c>
    </row>
    <row r="65" customFormat="false" ht="12.75" hidden="false" customHeight="true" outlineLevel="0" collapsed="false">
      <c r="A65" s="1" t="s">
        <v>128</v>
      </c>
      <c r="B65" s="1" t="s">
        <v>129</v>
      </c>
    </row>
    <row r="66" customFormat="false" ht="12.75" hidden="false" customHeight="true" outlineLevel="0" collapsed="false">
      <c r="A66" s="1" t="s">
        <v>130</v>
      </c>
      <c r="B66" s="1" t="s">
        <v>131</v>
      </c>
    </row>
    <row r="67" customFormat="false" ht="12.75" hidden="false" customHeight="true" outlineLevel="0" collapsed="false">
      <c r="A67" s="1" t="s">
        <v>132</v>
      </c>
      <c r="B67" s="1" t="s">
        <v>133</v>
      </c>
    </row>
    <row r="68" customFormat="false" ht="12.75" hidden="false" customHeight="true" outlineLevel="0" collapsed="false">
      <c r="A68" s="1" t="s">
        <v>134</v>
      </c>
      <c r="B68" s="1" t="s">
        <v>135</v>
      </c>
    </row>
    <row r="69" customFormat="false" ht="12.75" hidden="false" customHeight="true" outlineLevel="0" collapsed="false">
      <c r="A69" s="1" t="s">
        <v>136</v>
      </c>
      <c r="B69" s="1" t="s">
        <v>137</v>
      </c>
    </row>
    <row r="70" customFormat="false" ht="12.75" hidden="false" customHeight="true" outlineLevel="0" collapsed="false">
      <c r="A70" s="1" t="s">
        <v>138</v>
      </c>
      <c r="B70" s="1" t="s">
        <v>139</v>
      </c>
    </row>
    <row r="71" customFormat="false" ht="12.75" hidden="false" customHeight="true" outlineLevel="0" collapsed="false">
      <c r="A71" s="1" t="s">
        <v>140</v>
      </c>
      <c r="B71" s="1" t="s">
        <v>141</v>
      </c>
    </row>
    <row r="72" customFormat="false" ht="12.75" hidden="false" customHeight="true" outlineLevel="0" collapsed="false">
      <c r="A72" s="1" t="s">
        <v>142</v>
      </c>
      <c r="B72" s="1" t="s">
        <v>143</v>
      </c>
    </row>
    <row r="73" customFormat="false" ht="12.75" hidden="false" customHeight="true" outlineLevel="0" collapsed="false">
      <c r="A73" s="1" t="s">
        <v>144</v>
      </c>
      <c r="B73" s="1" t="s">
        <v>145</v>
      </c>
    </row>
    <row r="74" customFormat="false" ht="12.75" hidden="false" customHeight="true" outlineLevel="0" collapsed="false">
      <c r="A74" s="1" t="s">
        <v>146</v>
      </c>
      <c r="B74" s="1" t="s">
        <v>147</v>
      </c>
    </row>
    <row r="75" customFormat="false" ht="12.75" hidden="false" customHeight="true" outlineLevel="0" collapsed="false">
      <c r="A75" s="1" t="s">
        <v>148</v>
      </c>
      <c r="B75" s="1" t="s">
        <v>149</v>
      </c>
    </row>
    <row r="76" customFormat="false" ht="12.75" hidden="false" customHeight="true" outlineLevel="0" collapsed="false">
      <c r="A76" s="1" t="s">
        <v>150</v>
      </c>
      <c r="B76" s="1" t="s">
        <v>151</v>
      </c>
    </row>
    <row r="77" customFormat="false" ht="12.75" hidden="false" customHeight="true" outlineLevel="0" collapsed="false">
      <c r="A77" s="1" t="s">
        <v>152</v>
      </c>
      <c r="B77" s="1" t="s">
        <v>153</v>
      </c>
    </row>
    <row r="78" customFormat="false" ht="12.75" hidden="false" customHeight="true" outlineLevel="0" collapsed="false">
      <c r="A78" s="1" t="s">
        <v>154</v>
      </c>
      <c r="B78" s="1" t="s">
        <v>155</v>
      </c>
    </row>
    <row r="79" customFormat="false" ht="12.75" hidden="false" customHeight="true" outlineLevel="0" collapsed="false">
      <c r="A79" s="1" t="s">
        <v>156</v>
      </c>
      <c r="B79" s="1" t="s">
        <v>157</v>
      </c>
    </row>
    <row r="80" customFormat="false" ht="12.75" hidden="false" customHeight="true" outlineLevel="0" collapsed="false">
      <c r="A80" s="1" t="s">
        <v>158</v>
      </c>
      <c r="B80" s="1" t="s">
        <v>159</v>
      </c>
    </row>
    <row r="81" customFormat="false" ht="12.75" hidden="false" customHeight="true" outlineLevel="0" collapsed="false">
      <c r="A81" s="1" t="s">
        <v>160</v>
      </c>
      <c r="B81" s="1" t="s">
        <v>161</v>
      </c>
    </row>
    <row r="82" customFormat="false" ht="12.75" hidden="false" customHeight="true" outlineLevel="0" collapsed="false">
      <c r="A82" s="1" t="s">
        <v>162</v>
      </c>
      <c r="B82" s="1" t="s">
        <v>163</v>
      </c>
    </row>
    <row r="83" customFormat="false" ht="12.75" hidden="false" customHeight="true" outlineLevel="0" collapsed="false">
      <c r="A83" s="1" t="s">
        <v>164</v>
      </c>
      <c r="B83" s="1" t="s">
        <v>165</v>
      </c>
    </row>
    <row r="84" customFormat="false" ht="12.75" hidden="false" customHeight="true" outlineLevel="0" collapsed="false">
      <c r="A84" s="1" t="s">
        <v>166</v>
      </c>
      <c r="B84" s="1" t="s">
        <v>167</v>
      </c>
    </row>
    <row r="85" customFormat="false" ht="12.75" hidden="false" customHeight="true" outlineLevel="0" collapsed="false">
      <c r="A85" s="1" t="s">
        <v>168</v>
      </c>
      <c r="B85" s="1" t="s">
        <v>169</v>
      </c>
    </row>
    <row r="86" customFormat="false" ht="12.75" hidden="false" customHeight="true" outlineLevel="0" collapsed="false">
      <c r="A86" s="1" t="s">
        <v>170</v>
      </c>
      <c r="B86" s="1" t="s">
        <v>171</v>
      </c>
    </row>
    <row r="87" customFormat="false" ht="12.75" hidden="false" customHeight="true" outlineLevel="0" collapsed="false">
      <c r="A87" s="1" t="s">
        <v>172</v>
      </c>
      <c r="B87" s="1" t="s">
        <v>173</v>
      </c>
    </row>
    <row r="88" customFormat="false" ht="12.75" hidden="false" customHeight="true" outlineLevel="0" collapsed="false">
      <c r="A88" s="1" t="s">
        <v>174</v>
      </c>
      <c r="B88" s="1" t="s">
        <v>175</v>
      </c>
    </row>
    <row r="89" customFormat="false" ht="12.75" hidden="false" customHeight="true" outlineLevel="0" collapsed="false">
      <c r="A89" s="1" t="s">
        <v>176</v>
      </c>
      <c r="B89" s="1" t="s">
        <v>177</v>
      </c>
    </row>
    <row r="90" customFormat="false" ht="12.75" hidden="false" customHeight="true" outlineLevel="0" collapsed="false">
      <c r="A90" s="1" t="s">
        <v>178</v>
      </c>
      <c r="B90" s="1" t="s">
        <v>179</v>
      </c>
    </row>
    <row r="91" customFormat="false" ht="12.75" hidden="false" customHeight="true" outlineLevel="0" collapsed="false">
      <c r="A91" s="1" t="s">
        <v>180</v>
      </c>
      <c r="B91" s="1" t="s">
        <v>181</v>
      </c>
    </row>
    <row r="92" customFormat="false" ht="12.75" hidden="false" customHeight="true" outlineLevel="0" collapsed="false">
      <c r="A92" s="1" t="s">
        <v>182</v>
      </c>
      <c r="B92" s="1" t="s">
        <v>183</v>
      </c>
    </row>
    <row r="93" customFormat="false" ht="12.75" hidden="false" customHeight="true" outlineLevel="0" collapsed="false">
      <c r="A93" s="1" t="s">
        <v>184</v>
      </c>
      <c r="B93" s="1" t="s">
        <v>185</v>
      </c>
    </row>
    <row r="94" customFormat="false" ht="12.75" hidden="false" customHeight="true" outlineLevel="0" collapsed="false">
      <c r="A94" s="1" t="s">
        <v>186</v>
      </c>
      <c r="B94" s="1" t="s">
        <v>187</v>
      </c>
    </row>
    <row r="95" customFormat="false" ht="12.75" hidden="false" customHeight="true" outlineLevel="0" collapsed="false">
      <c r="A95" s="1" t="s">
        <v>188</v>
      </c>
      <c r="B95" s="1" t="s">
        <v>189</v>
      </c>
    </row>
    <row r="96" customFormat="false" ht="12.75" hidden="false" customHeight="true" outlineLevel="0" collapsed="false">
      <c r="A96" s="1" t="s">
        <v>190</v>
      </c>
      <c r="B96" s="1" t="s">
        <v>191</v>
      </c>
    </row>
    <row r="97" customFormat="false" ht="12.75" hidden="false" customHeight="true" outlineLevel="0" collapsed="false">
      <c r="A97" s="1" t="s">
        <v>192</v>
      </c>
      <c r="B97" s="1" t="s">
        <v>193</v>
      </c>
    </row>
    <row r="98" customFormat="false" ht="12.75" hidden="false" customHeight="true" outlineLevel="0" collapsed="false">
      <c r="A98" s="1" t="s">
        <v>194</v>
      </c>
      <c r="B98" s="1" t="s">
        <v>195</v>
      </c>
    </row>
    <row r="99" customFormat="false" ht="12.75" hidden="false" customHeight="true" outlineLevel="0" collapsed="false">
      <c r="A99" s="1" t="s">
        <v>196</v>
      </c>
      <c r="B99" s="1" t="s">
        <v>197</v>
      </c>
    </row>
    <row r="100" customFormat="false" ht="12.75" hidden="false" customHeight="true" outlineLevel="0" collapsed="false">
      <c r="A100" s="1" t="s">
        <v>198</v>
      </c>
      <c r="B100" s="1" t="s">
        <v>199</v>
      </c>
    </row>
    <row r="101" customFormat="false" ht="12.75" hidden="false" customHeight="true" outlineLevel="0" collapsed="false">
      <c r="A101" s="1" t="s">
        <v>200</v>
      </c>
      <c r="B101" s="1" t="s">
        <v>201</v>
      </c>
    </row>
    <row r="102" customFormat="false" ht="12.75" hidden="false" customHeight="true" outlineLevel="0" collapsed="false">
      <c r="A102" s="1" t="s">
        <v>202</v>
      </c>
      <c r="B102" s="1" t="s">
        <v>203</v>
      </c>
    </row>
    <row r="103" customFormat="false" ht="12.75" hidden="false" customHeight="true" outlineLevel="0" collapsed="false">
      <c r="A103" s="1" t="s">
        <v>204</v>
      </c>
      <c r="B103" s="1" t="s">
        <v>205</v>
      </c>
    </row>
    <row r="104" customFormat="false" ht="12.75" hidden="false" customHeight="true" outlineLevel="0" collapsed="false">
      <c r="A104" s="1" t="s">
        <v>206</v>
      </c>
      <c r="B104" s="1" t="s">
        <v>207</v>
      </c>
    </row>
    <row r="105" customFormat="false" ht="12.75" hidden="false" customHeight="true" outlineLevel="0" collapsed="false">
      <c r="A105" s="1" t="s">
        <v>208</v>
      </c>
      <c r="B105" s="1" t="s">
        <v>209</v>
      </c>
    </row>
    <row r="106" customFormat="false" ht="12.75" hidden="false" customHeight="true" outlineLevel="0" collapsed="false">
      <c r="A106" s="1" t="s">
        <v>210</v>
      </c>
      <c r="B106" s="1" t="s">
        <v>211</v>
      </c>
    </row>
    <row r="107" customFormat="false" ht="12.75" hidden="false" customHeight="true" outlineLevel="0" collapsed="false">
      <c r="A107" s="1" t="s">
        <v>212</v>
      </c>
      <c r="B107" s="1" t="s">
        <v>213</v>
      </c>
    </row>
    <row r="108" customFormat="false" ht="12.75" hidden="false" customHeight="true" outlineLevel="0" collapsed="false">
      <c r="A108" s="1" t="s">
        <v>214</v>
      </c>
      <c r="B108" s="1" t="s">
        <v>215</v>
      </c>
    </row>
    <row r="109" customFormat="false" ht="12.75" hidden="false" customHeight="true" outlineLevel="0" collapsed="false">
      <c r="A109" s="1" t="s">
        <v>216</v>
      </c>
      <c r="B109" s="1" t="s">
        <v>217</v>
      </c>
    </row>
    <row r="110" customFormat="false" ht="12.75" hidden="false" customHeight="true" outlineLevel="0" collapsed="false">
      <c r="A110" s="1" t="s">
        <v>218</v>
      </c>
      <c r="B110" s="1" t="s">
        <v>219</v>
      </c>
    </row>
    <row r="111" customFormat="false" ht="12.75" hidden="false" customHeight="true" outlineLevel="0" collapsed="false">
      <c r="A111" s="1" t="s">
        <v>220</v>
      </c>
      <c r="B111" s="1" t="s">
        <v>221</v>
      </c>
    </row>
    <row r="112" customFormat="false" ht="12.75" hidden="false" customHeight="true" outlineLevel="0" collapsed="false">
      <c r="A112" s="1" t="s">
        <v>222</v>
      </c>
      <c r="B112" s="1" t="s">
        <v>223</v>
      </c>
    </row>
    <row r="113" customFormat="false" ht="12.75" hidden="false" customHeight="true" outlineLevel="0" collapsed="false">
      <c r="A113" s="1" t="s">
        <v>224</v>
      </c>
      <c r="B113" s="1" t="s">
        <v>225</v>
      </c>
    </row>
    <row r="114" customFormat="false" ht="12.75" hidden="false" customHeight="true" outlineLevel="0" collapsed="false">
      <c r="A114" s="1" t="s">
        <v>226</v>
      </c>
      <c r="B114" s="1" t="s">
        <v>227</v>
      </c>
    </row>
    <row r="115" customFormat="false" ht="12.75" hidden="false" customHeight="true" outlineLevel="0" collapsed="false">
      <c r="A115" s="1" t="s">
        <v>228</v>
      </c>
      <c r="B115" s="1" t="s">
        <v>229</v>
      </c>
    </row>
    <row r="116" customFormat="false" ht="12.75" hidden="false" customHeight="true" outlineLevel="0" collapsed="false">
      <c r="A116" s="1" t="s">
        <v>230</v>
      </c>
      <c r="B116" s="1" t="s">
        <v>231</v>
      </c>
    </row>
    <row r="117" customFormat="false" ht="12.75" hidden="false" customHeight="true" outlineLevel="0" collapsed="false">
      <c r="A117" s="1" t="s">
        <v>232</v>
      </c>
      <c r="B117" s="1" t="s">
        <v>233</v>
      </c>
    </row>
    <row r="118" customFormat="false" ht="12.75" hidden="false" customHeight="true" outlineLevel="0" collapsed="false">
      <c r="A118" s="1" t="s">
        <v>234</v>
      </c>
      <c r="B118" s="1" t="s">
        <v>235</v>
      </c>
    </row>
    <row r="119" customFormat="false" ht="12.75" hidden="false" customHeight="true" outlineLevel="0" collapsed="false">
      <c r="A119" s="1" t="s">
        <v>236</v>
      </c>
      <c r="B119" s="1" t="s">
        <v>237</v>
      </c>
    </row>
    <row r="120" customFormat="false" ht="12.75" hidden="false" customHeight="true" outlineLevel="0" collapsed="false">
      <c r="A120" s="1" t="s">
        <v>238</v>
      </c>
      <c r="B120" s="1" t="s">
        <v>239</v>
      </c>
    </row>
    <row r="121" customFormat="false" ht="12.75" hidden="false" customHeight="true" outlineLevel="0" collapsed="false">
      <c r="A121" s="1" t="s">
        <v>240</v>
      </c>
      <c r="B121" s="1" t="s">
        <v>241</v>
      </c>
    </row>
    <row r="122" customFormat="false" ht="12.75" hidden="false" customHeight="true" outlineLevel="0" collapsed="false">
      <c r="A122" s="1" t="s">
        <v>242</v>
      </c>
      <c r="B122" s="1" t="s">
        <v>243</v>
      </c>
    </row>
    <row r="123" customFormat="false" ht="12.75" hidden="false" customHeight="true" outlineLevel="0" collapsed="false">
      <c r="A123" s="1" t="s">
        <v>244</v>
      </c>
      <c r="B123" s="1" t="s">
        <v>245</v>
      </c>
    </row>
    <row r="124" customFormat="false" ht="12.75" hidden="false" customHeight="true" outlineLevel="0" collapsed="false">
      <c r="A124" s="1" t="s">
        <v>246</v>
      </c>
      <c r="B124" s="1" t="s">
        <v>247</v>
      </c>
    </row>
    <row r="125" customFormat="false" ht="12.75" hidden="false" customHeight="true" outlineLevel="0" collapsed="false">
      <c r="A125" s="1" t="s">
        <v>248</v>
      </c>
      <c r="B125" s="1" t="s">
        <v>249</v>
      </c>
    </row>
    <row r="126" customFormat="false" ht="12.75" hidden="false" customHeight="true" outlineLevel="0" collapsed="false">
      <c r="A126" s="1" t="s">
        <v>250</v>
      </c>
      <c r="B126" s="1" t="s">
        <v>251</v>
      </c>
    </row>
    <row r="127" customFormat="false" ht="12.75" hidden="false" customHeight="true" outlineLevel="0" collapsed="false">
      <c r="A127" s="1" t="s">
        <v>252</v>
      </c>
      <c r="B127" s="1" t="s">
        <v>253</v>
      </c>
    </row>
    <row r="128" customFormat="false" ht="12.75" hidden="false" customHeight="true" outlineLevel="0" collapsed="false">
      <c r="A128" s="1" t="s">
        <v>254</v>
      </c>
      <c r="B128" s="1" t="s">
        <v>255</v>
      </c>
    </row>
    <row r="129" customFormat="false" ht="12.75" hidden="false" customHeight="true" outlineLevel="0" collapsed="false">
      <c r="A129" s="1" t="s">
        <v>256</v>
      </c>
      <c r="B129" s="1" t="s">
        <v>257</v>
      </c>
    </row>
    <row r="130" customFormat="false" ht="12.75" hidden="false" customHeight="true" outlineLevel="0" collapsed="false">
      <c r="A130" s="1" t="s">
        <v>258</v>
      </c>
      <c r="B130" s="1" t="s">
        <v>259</v>
      </c>
    </row>
    <row r="131" customFormat="false" ht="12.75" hidden="false" customHeight="true" outlineLevel="0" collapsed="false">
      <c r="A131" s="1" t="s">
        <v>260</v>
      </c>
      <c r="B131" s="1" t="s">
        <v>261</v>
      </c>
    </row>
    <row r="132" customFormat="false" ht="12.75" hidden="false" customHeight="true" outlineLevel="0" collapsed="false">
      <c r="A132" s="1" t="s">
        <v>262</v>
      </c>
      <c r="B132" s="1" t="s">
        <v>263</v>
      </c>
    </row>
    <row r="133" customFormat="false" ht="12.75" hidden="false" customHeight="true" outlineLevel="0" collapsed="false">
      <c r="A133" s="1" t="s">
        <v>264</v>
      </c>
      <c r="B133" s="1" t="s">
        <v>265</v>
      </c>
    </row>
    <row r="134" customFormat="false" ht="12.75" hidden="false" customHeight="true" outlineLevel="0" collapsed="false">
      <c r="A134" s="1" t="s">
        <v>266</v>
      </c>
      <c r="B134" s="1" t="s">
        <v>267</v>
      </c>
    </row>
    <row r="135" customFormat="false" ht="12.75" hidden="false" customHeight="true" outlineLevel="0" collapsed="false">
      <c r="A135" s="1" t="s">
        <v>268</v>
      </c>
      <c r="B135" s="1" t="s">
        <v>269</v>
      </c>
    </row>
    <row r="136" customFormat="false" ht="12.75" hidden="false" customHeight="true" outlineLevel="0" collapsed="false">
      <c r="A136" s="1" t="s">
        <v>270</v>
      </c>
      <c r="B136" s="1" t="s">
        <v>271</v>
      </c>
    </row>
    <row r="137" customFormat="false" ht="12.75" hidden="false" customHeight="true" outlineLevel="0" collapsed="false">
      <c r="A137" s="1" t="s">
        <v>272</v>
      </c>
      <c r="B137" s="1" t="s">
        <v>273</v>
      </c>
    </row>
    <row r="138" customFormat="false" ht="12.75" hidden="false" customHeight="true" outlineLevel="0" collapsed="false">
      <c r="A138" s="1" t="s">
        <v>274</v>
      </c>
      <c r="B138" s="1" t="s">
        <v>275</v>
      </c>
    </row>
    <row r="139" customFormat="false" ht="12.75" hidden="false" customHeight="true" outlineLevel="0" collapsed="false">
      <c r="A139" s="1" t="s">
        <v>276</v>
      </c>
      <c r="B139" s="1" t="s">
        <v>277</v>
      </c>
    </row>
    <row r="140" customFormat="false" ht="12.75" hidden="false" customHeight="true" outlineLevel="0" collapsed="false">
      <c r="A140" s="1" t="s">
        <v>278</v>
      </c>
      <c r="B140" s="1" t="s">
        <v>279</v>
      </c>
    </row>
    <row r="141" customFormat="false" ht="12.75" hidden="false" customHeight="true" outlineLevel="0" collapsed="false">
      <c r="A141" s="1" t="s">
        <v>280</v>
      </c>
      <c r="B141" s="1" t="s">
        <v>281</v>
      </c>
    </row>
    <row r="142" customFormat="false" ht="12.75" hidden="false" customHeight="true" outlineLevel="0" collapsed="false">
      <c r="A142" s="1" t="s">
        <v>282</v>
      </c>
      <c r="B142" s="1" t="s">
        <v>283</v>
      </c>
    </row>
    <row r="143" customFormat="false" ht="12.75" hidden="false" customHeight="true" outlineLevel="0" collapsed="false">
      <c r="A143" s="1" t="s">
        <v>284</v>
      </c>
      <c r="B143" s="1" t="s">
        <v>285</v>
      </c>
    </row>
    <row r="144" customFormat="false" ht="12.75" hidden="false" customHeight="true" outlineLevel="0" collapsed="false">
      <c r="A144" s="1" t="s">
        <v>286</v>
      </c>
      <c r="B144" s="1" t="s">
        <v>287</v>
      </c>
    </row>
    <row r="145" customFormat="false" ht="12.75" hidden="false" customHeight="true" outlineLevel="0" collapsed="false">
      <c r="A145" s="1" t="s">
        <v>288</v>
      </c>
      <c r="B145" s="1" t="s">
        <v>289</v>
      </c>
    </row>
    <row r="146" customFormat="false" ht="12.75" hidden="false" customHeight="true" outlineLevel="0" collapsed="false">
      <c r="A146" s="1" t="s">
        <v>290</v>
      </c>
      <c r="B146" s="1" t="s">
        <v>291</v>
      </c>
    </row>
    <row r="147" customFormat="false" ht="12.75" hidden="false" customHeight="true" outlineLevel="0" collapsed="false">
      <c r="A147" s="1" t="s">
        <v>292</v>
      </c>
      <c r="B147" s="1" t="s">
        <v>293</v>
      </c>
    </row>
    <row r="148" customFormat="false" ht="12.75" hidden="false" customHeight="true" outlineLevel="0" collapsed="false">
      <c r="A148" s="1" t="s">
        <v>294</v>
      </c>
      <c r="B148" s="1" t="s">
        <v>295</v>
      </c>
    </row>
    <row r="149" customFormat="false" ht="12.75" hidden="false" customHeight="true" outlineLevel="0" collapsed="false">
      <c r="A149" s="1" t="s">
        <v>296</v>
      </c>
      <c r="B149" s="1" t="s">
        <v>297</v>
      </c>
    </row>
    <row r="150" customFormat="false" ht="12.75" hidden="false" customHeight="true" outlineLevel="0" collapsed="false">
      <c r="A150" s="1" t="s">
        <v>298</v>
      </c>
      <c r="B150" s="1" t="s">
        <v>299</v>
      </c>
    </row>
    <row r="151" customFormat="false" ht="12.75" hidden="false" customHeight="true" outlineLevel="0" collapsed="false">
      <c r="A151" s="1" t="s">
        <v>300</v>
      </c>
      <c r="B151" s="1" t="s">
        <v>301</v>
      </c>
    </row>
    <row r="152" customFormat="false" ht="12.75" hidden="false" customHeight="true" outlineLevel="0" collapsed="false">
      <c r="A152" s="1" t="s">
        <v>302</v>
      </c>
      <c r="B152" s="1" t="s">
        <v>303</v>
      </c>
    </row>
    <row r="153" customFormat="false" ht="12.75" hidden="false" customHeight="true" outlineLevel="0" collapsed="false">
      <c r="A153" s="1" t="s">
        <v>304</v>
      </c>
      <c r="B153" s="1" t="s">
        <v>305</v>
      </c>
    </row>
    <row r="154" customFormat="false" ht="12.75" hidden="false" customHeight="true" outlineLevel="0" collapsed="false">
      <c r="A154" s="1" t="s">
        <v>306</v>
      </c>
      <c r="B154" s="1" t="s">
        <v>307</v>
      </c>
    </row>
    <row r="155" customFormat="false" ht="12.75" hidden="false" customHeight="true" outlineLevel="0" collapsed="false">
      <c r="A155" s="1" t="s">
        <v>308</v>
      </c>
      <c r="B155" s="1" t="s">
        <v>309</v>
      </c>
    </row>
    <row r="156" customFormat="false" ht="12.75" hidden="false" customHeight="true" outlineLevel="0" collapsed="false">
      <c r="A156" s="1" t="s">
        <v>310</v>
      </c>
      <c r="B156" s="1" t="s">
        <v>311</v>
      </c>
    </row>
    <row r="157" customFormat="false" ht="12.75" hidden="false" customHeight="true" outlineLevel="0" collapsed="false">
      <c r="A157" s="1" t="s">
        <v>312</v>
      </c>
      <c r="B157" s="1" t="s">
        <v>313</v>
      </c>
    </row>
    <row r="158" customFormat="false" ht="12.75" hidden="false" customHeight="true" outlineLevel="0" collapsed="false">
      <c r="A158" s="1" t="s">
        <v>314</v>
      </c>
      <c r="B158" s="1" t="s">
        <v>315</v>
      </c>
    </row>
    <row r="159" customFormat="false" ht="12.75" hidden="false" customHeight="true" outlineLevel="0" collapsed="false">
      <c r="A159" s="1" t="s">
        <v>316</v>
      </c>
      <c r="B159" s="1" t="s">
        <v>317</v>
      </c>
    </row>
    <row r="160" customFormat="false" ht="12.75" hidden="false" customHeight="true" outlineLevel="0" collapsed="false">
      <c r="A160" s="1" t="s">
        <v>318</v>
      </c>
      <c r="B160" s="1" t="s">
        <v>319</v>
      </c>
    </row>
    <row r="161" customFormat="false" ht="12.75" hidden="false" customHeight="true" outlineLevel="0" collapsed="false">
      <c r="A161" s="1" t="s">
        <v>320</v>
      </c>
      <c r="B161" s="1" t="s">
        <v>321</v>
      </c>
    </row>
    <row r="162" customFormat="false" ht="12.75" hidden="false" customHeight="true" outlineLevel="0" collapsed="false">
      <c r="A162" s="1" t="s">
        <v>322</v>
      </c>
      <c r="B162" s="1" t="s">
        <v>323</v>
      </c>
    </row>
    <row r="163" customFormat="false" ht="12.75" hidden="false" customHeight="true" outlineLevel="0" collapsed="false">
      <c r="A163" s="1" t="s">
        <v>324</v>
      </c>
      <c r="B163" s="1" t="s">
        <v>325</v>
      </c>
    </row>
    <row r="164" customFormat="false" ht="12.75" hidden="false" customHeight="true" outlineLevel="0" collapsed="false">
      <c r="A164" s="1" t="s">
        <v>326</v>
      </c>
      <c r="B164" s="1" t="s">
        <v>327</v>
      </c>
    </row>
    <row r="165" customFormat="false" ht="12.75" hidden="false" customHeight="true" outlineLevel="0" collapsed="false">
      <c r="A165" s="1" t="s">
        <v>328</v>
      </c>
      <c r="B165" s="1" t="s">
        <v>329</v>
      </c>
    </row>
    <row r="166" customFormat="false" ht="12.75" hidden="false" customHeight="true" outlineLevel="0" collapsed="false">
      <c r="A166" s="1" t="s">
        <v>330</v>
      </c>
      <c r="B166" s="1" t="s">
        <v>331</v>
      </c>
    </row>
    <row r="167" customFormat="false" ht="12.75" hidden="false" customHeight="true" outlineLevel="0" collapsed="false">
      <c r="A167" s="1" t="s">
        <v>332</v>
      </c>
      <c r="B167" s="1" t="s">
        <v>333</v>
      </c>
    </row>
    <row r="168" customFormat="false" ht="12.75" hidden="false" customHeight="true" outlineLevel="0" collapsed="false">
      <c r="A168" s="1" t="s">
        <v>334</v>
      </c>
      <c r="B168" s="1" t="s">
        <v>335</v>
      </c>
    </row>
    <row r="169" customFormat="false" ht="12.75" hidden="false" customHeight="true" outlineLevel="0" collapsed="false">
      <c r="A169" s="1" t="s">
        <v>336</v>
      </c>
      <c r="B169" s="1" t="s">
        <v>337</v>
      </c>
    </row>
    <row r="170" customFormat="false" ht="12.75" hidden="false" customHeight="true" outlineLevel="0" collapsed="false">
      <c r="A170" s="1" t="s">
        <v>338</v>
      </c>
      <c r="B170" s="1" t="s">
        <v>339</v>
      </c>
    </row>
    <row r="171" customFormat="false" ht="12.75" hidden="false" customHeight="true" outlineLevel="0" collapsed="false">
      <c r="A171" s="1" t="s">
        <v>340</v>
      </c>
      <c r="B171" s="1" t="s">
        <v>341</v>
      </c>
    </row>
    <row r="172" customFormat="false" ht="12.75" hidden="false" customHeight="true" outlineLevel="0" collapsed="false">
      <c r="A172" s="1" t="s">
        <v>342</v>
      </c>
      <c r="B172" s="1" t="s">
        <v>343</v>
      </c>
    </row>
    <row r="173" customFormat="false" ht="12.75" hidden="false" customHeight="true" outlineLevel="0" collapsed="false">
      <c r="A173" s="1" t="s">
        <v>344</v>
      </c>
      <c r="B173" s="1" t="s">
        <v>345</v>
      </c>
    </row>
    <row r="174" customFormat="false" ht="12.75" hidden="false" customHeight="true" outlineLevel="0" collapsed="false">
      <c r="A174" s="1" t="s">
        <v>346</v>
      </c>
      <c r="B174" s="1" t="s">
        <v>347</v>
      </c>
    </row>
    <row r="175" customFormat="false" ht="12.75" hidden="false" customHeight="true" outlineLevel="0" collapsed="false">
      <c r="A175" s="1" t="s">
        <v>348</v>
      </c>
      <c r="B175" s="1" t="s">
        <v>349</v>
      </c>
    </row>
    <row r="176" customFormat="false" ht="12.75" hidden="false" customHeight="true" outlineLevel="0" collapsed="false">
      <c r="A176" s="1" t="s">
        <v>350</v>
      </c>
      <c r="B176" s="1" t="s">
        <v>351</v>
      </c>
    </row>
    <row r="177" customFormat="false" ht="12.75" hidden="false" customHeight="true" outlineLevel="0" collapsed="false">
      <c r="A177" s="1" t="s">
        <v>352</v>
      </c>
      <c r="B177" s="1" t="s">
        <v>353</v>
      </c>
    </row>
    <row r="178" customFormat="false" ht="12.75" hidden="false" customHeight="true" outlineLevel="0" collapsed="false">
      <c r="A178" s="1" t="s">
        <v>354</v>
      </c>
      <c r="B178" s="1" t="s">
        <v>355</v>
      </c>
    </row>
    <row r="179" customFormat="false" ht="12.75" hidden="false" customHeight="true" outlineLevel="0" collapsed="false">
      <c r="A179" s="1" t="s">
        <v>356</v>
      </c>
      <c r="B179" s="1" t="s">
        <v>357</v>
      </c>
    </row>
    <row r="180" customFormat="false" ht="12.75" hidden="false" customHeight="true" outlineLevel="0" collapsed="false">
      <c r="A180" s="1" t="s">
        <v>358</v>
      </c>
      <c r="B180" s="1" t="s">
        <v>359</v>
      </c>
    </row>
    <row r="181" customFormat="false" ht="12.75" hidden="false" customHeight="true" outlineLevel="0" collapsed="false">
      <c r="A181" s="1" t="s">
        <v>360</v>
      </c>
      <c r="B181" s="1" t="s">
        <v>361</v>
      </c>
    </row>
    <row r="182" customFormat="false" ht="12.75" hidden="false" customHeight="true" outlineLevel="0" collapsed="false">
      <c r="A182" s="1" t="s">
        <v>362</v>
      </c>
      <c r="B182" s="1" t="s">
        <v>363</v>
      </c>
    </row>
    <row r="183" customFormat="false" ht="12.75" hidden="false" customHeight="true" outlineLevel="0" collapsed="false">
      <c r="A183" s="1" t="s">
        <v>364</v>
      </c>
      <c r="B183" s="1" t="s">
        <v>365</v>
      </c>
    </row>
    <row r="184" customFormat="false" ht="12.75" hidden="false" customHeight="true" outlineLevel="0" collapsed="false">
      <c r="A184" s="1" t="s">
        <v>366</v>
      </c>
      <c r="B184" s="1" t="s">
        <v>367</v>
      </c>
    </row>
    <row r="185" customFormat="false" ht="12.75" hidden="false" customHeight="true" outlineLevel="0" collapsed="false">
      <c r="A185" s="1" t="s">
        <v>368</v>
      </c>
      <c r="B185" s="1" t="s">
        <v>369</v>
      </c>
    </row>
    <row r="186" customFormat="false" ht="12.75" hidden="false" customHeight="true" outlineLevel="0" collapsed="false">
      <c r="A186" s="1" t="s">
        <v>370</v>
      </c>
      <c r="B186" s="1" t="s">
        <v>371</v>
      </c>
    </row>
    <row r="187" customFormat="false" ht="12.75" hidden="false" customHeight="true" outlineLevel="0" collapsed="false">
      <c r="A187" s="1" t="s">
        <v>372</v>
      </c>
      <c r="B187" s="1" t="s">
        <v>373</v>
      </c>
    </row>
    <row r="188" customFormat="false" ht="12.75" hidden="false" customHeight="true" outlineLevel="0" collapsed="false">
      <c r="A188" s="1" t="s">
        <v>374</v>
      </c>
      <c r="B188" s="1" t="s">
        <v>375</v>
      </c>
    </row>
    <row r="189" customFormat="false" ht="12.75" hidden="false" customHeight="true" outlineLevel="0" collapsed="false">
      <c r="A189" s="1" t="s">
        <v>376</v>
      </c>
      <c r="B189" s="1" t="s">
        <v>377</v>
      </c>
    </row>
    <row r="190" customFormat="false" ht="12.75" hidden="false" customHeight="true" outlineLevel="0" collapsed="false">
      <c r="A190" s="1" t="s">
        <v>378</v>
      </c>
      <c r="B190" s="1" t="s">
        <v>379</v>
      </c>
    </row>
    <row r="191" customFormat="false" ht="12.75" hidden="false" customHeight="true" outlineLevel="0" collapsed="false">
      <c r="A191" s="1" t="s">
        <v>380</v>
      </c>
      <c r="B191" s="1" t="s">
        <v>381</v>
      </c>
    </row>
    <row r="192" customFormat="false" ht="12.75" hidden="false" customHeight="true" outlineLevel="0" collapsed="false">
      <c r="A192" s="1" t="s">
        <v>382</v>
      </c>
      <c r="B192" s="1" t="s">
        <v>383</v>
      </c>
    </row>
    <row r="193" customFormat="false" ht="12.75" hidden="false" customHeight="true" outlineLevel="0" collapsed="false">
      <c r="A193" s="1" t="s">
        <v>384</v>
      </c>
      <c r="B193" s="1" t="s">
        <v>385</v>
      </c>
    </row>
    <row r="194" customFormat="false" ht="12.75" hidden="false" customHeight="true" outlineLevel="0" collapsed="false">
      <c r="A194" s="1" t="s">
        <v>386</v>
      </c>
      <c r="B194" s="1" t="s">
        <v>387</v>
      </c>
    </row>
    <row r="195" customFormat="false" ht="12.75" hidden="false" customHeight="true" outlineLevel="0" collapsed="false">
      <c r="A195" s="1" t="s">
        <v>388</v>
      </c>
      <c r="B195" s="1" t="s">
        <v>389</v>
      </c>
    </row>
    <row r="196" customFormat="false" ht="12.75" hidden="false" customHeight="true" outlineLevel="0" collapsed="false">
      <c r="A196" s="1" t="s">
        <v>390</v>
      </c>
      <c r="B196" s="1" t="s">
        <v>391</v>
      </c>
    </row>
    <row r="197" customFormat="false" ht="12.75" hidden="false" customHeight="true" outlineLevel="0" collapsed="false">
      <c r="A197" s="1" t="s">
        <v>392</v>
      </c>
      <c r="B197" s="1" t="s">
        <v>393</v>
      </c>
    </row>
    <row r="198" customFormat="false" ht="12.75" hidden="false" customHeight="true" outlineLevel="0" collapsed="false">
      <c r="A198" s="1" t="s">
        <v>394</v>
      </c>
      <c r="B198" s="1" t="s">
        <v>395</v>
      </c>
    </row>
    <row r="199" customFormat="false" ht="12.75" hidden="false" customHeight="true" outlineLevel="0" collapsed="false">
      <c r="A199" s="1" t="s">
        <v>396</v>
      </c>
      <c r="B199" s="1" t="s">
        <v>397</v>
      </c>
    </row>
    <row r="200" customFormat="false" ht="12.75" hidden="false" customHeight="true" outlineLevel="0" collapsed="false">
      <c r="A200" s="1" t="s">
        <v>398</v>
      </c>
      <c r="B200" s="1" t="s">
        <v>399</v>
      </c>
    </row>
    <row r="201" customFormat="false" ht="12.75" hidden="false" customHeight="true" outlineLevel="0" collapsed="false">
      <c r="A201" s="1" t="s">
        <v>400</v>
      </c>
      <c r="B201" s="1" t="s">
        <v>401</v>
      </c>
    </row>
    <row r="202" customFormat="false" ht="12.75" hidden="false" customHeight="true" outlineLevel="0" collapsed="false">
      <c r="A202" s="1" t="s">
        <v>402</v>
      </c>
      <c r="B202" s="1" t="s">
        <v>403</v>
      </c>
    </row>
    <row r="203" customFormat="false" ht="12.75" hidden="false" customHeight="true" outlineLevel="0" collapsed="false">
      <c r="A203" s="1" t="s">
        <v>404</v>
      </c>
      <c r="B203" s="1" t="s">
        <v>405</v>
      </c>
    </row>
    <row r="204" customFormat="false" ht="12.75" hidden="false" customHeight="true" outlineLevel="0" collapsed="false">
      <c r="A204" s="1" t="s">
        <v>406</v>
      </c>
      <c r="B204" s="1" t="s">
        <v>407</v>
      </c>
    </row>
    <row r="205" customFormat="false" ht="12.75" hidden="false" customHeight="true" outlineLevel="0" collapsed="false">
      <c r="A205" s="1" t="s">
        <v>408</v>
      </c>
      <c r="B205" s="1" t="s">
        <v>409</v>
      </c>
    </row>
    <row r="206" customFormat="false" ht="12.75" hidden="false" customHeight="true" outlineLevel="0" collapsed="false">
      <c r="A206" s="1" t="s">
        <v>410</v>
      </c>
      <c r="B206" s="1" t="s">
        <v>411</v>
      </c>
    </row>
    <row r="207" customFormat="false" ht="12.75" hidden="false" customHeight="true" outlineLevel="0" collapsed="false">
      <c r="A207" s="1" t="s">
        <v>412</v>
      </c>
      <c r="B207" s="1" t="s">
        <v>413</v>
      </c>
    </row>
    <row r="208" customFormat="false" ht="12.75" hidden="false" customHeight="true" outlineLevel="0" collapsed="false">
      <c r="A208" s="1" t="s">
        <v>414</v>
      </c>
      <c r="B208" s="1" t="s">
        <v>415</v>
      </c>
    </row>
    <row r="209" customFormat="false" ht="12.75" hidden="false" customHeight="true" outlineLevel="0" collapsed="false">
      <c r="A209" s="1" t="s">
        <v>416</v>
      </c>
      <c r="B209" s="1" t="s">
        <v>417</v>
      </c>
    </row>
    <row r="210" customFormat="false" ht="12.75" hidden="false" customHeight="true" outlineLevel="0" collapsed="false">
      <c r="A210" s="1" t="s">
        <v>418</v>
      </c>
      <c r="B210" s="1" t="s">
        <v>419</v>
      </c>
    </row>
    <row r="211" customFormat="false" ht="12.75" hidden="false" customHeight="true" outlineLevel="0" collapsed="false">
      <c r="A211" s="1" t="s">
        <v>420</v>
      </c>
      <c r="B211" s="1" t="s">
        <v>421</v>
      </c>
    </row>
    <row r="212" customFormat="false" ht="12.75" hidden="false" customHeight="true" outlineLevel="0" collapsed="false">
      <c r="A212" s="1" t="s">
        <v>422</v>
      </c>
      <c r="B212" s="1" t="s">
        <v>423</v>
      </c>
    </row>
    <row r="213" customFormat="false" ht="12.75" hidden="false" customHeight="true" outlineLevel="0" collapsed="false">
      <c r="A213" s="1" t="s">
        <v>424</v>
      </c>
      <c r="B213" s="1" t="s">
        <v>425</v>
      </c>
    </row>
    <row r="214" customFormat="false" ht="12.75" hidden="false" customHeight="true" outlineLevel="0" collapsed="false">
      <c r="A214" s="1" t="s">
        <v>426</v>
      </c>
      <c r="B214" s="1" t="s">
        <v>427</v>
      </c>
    </row>
    <row r="215" customFormat="false" ht="12.75" hidden="false" customHeight="true" outlineLevel="0" collapsed="false">
      <c r="A215" s="1" t="s">
        <v>428</v>
      </c>
      <c r="B215" s="1" t="s">
        <v>429</v>
      </c>
    </row>
    <row r="216" customFormat="false" ht="12.75" hidden="false" customHeight="true" outlineLevel="0" collapsed="false">
      <c r="A216" s="1" t="s">
        <v>430</v>
      </c>
      <c r="B216" s="1" t="s">
        <v>431</v>
      </c>
    </row>
    <row r="217" customFormat="false" ht="12.75" hidden="false" customHeight="true" outlineLevel="0" collapsed="false">
      <c r="A217" s="1" t="s">
        <v>432</v>
      </c>
      <c r="B217" s="1" t="s">
        <v>433</v>
      </c>
    </row>
    <row r="218" customFormat="false" ht="12.75" hidden="false" customHeight="true" outlineLevel="0" collapsed="false">
      <c r="A218" s="1" t="s">
        <v>434</v>
      </c>
      <c r="B218" s="1" t="s">
        <v>435</v>
      </c>
    </row>
    <row r="219" customFormat="false" ht="12.75" hidden="false" customHeight="true" outlineLevel="0" collapsed="false">
      <c r="A219" s="1" t="s">
        <v>436</v>
      </c>
      <c r="B219" s="1" t="s">
        <v>437</v>
      </c>
    </row>
    <row r="220" customFormat="false" ht="12.75" hidden="false" customHeight="true" outlineLevel="0" collapsed="false">
      <c r="A220" s="1" t="s">
        <v>438</v>
      </c>
      <c r="B220" s="1" t="s">
        <v>439</v>
      </c>
    </row>
    <row r="221" customFormat="false" ht="12.75" hidden="false" customHeight="true" outlineLevel="0" collapsed="false">
      <c r="A221" s="1" t="s">
        <v>440</v>
      </c>
      <c r="B221" s="1" t="s">
        <v>441</v>
      </c>
    </row>
    <row r="222" customFormat="false" ht="12.75" hidden="false" customHeight="true" outlineLevel="0" collapsed="false">
      <c r="A222" s="1" t="s">
        <v>442</v>
      </c>
      <c r="B222" s="1" t="s">
        <v>443</v>
      </c>
    </row>
    <row r="223" customFormat="false" ht="12.75" hidden="false" customHeight="true" outlineLevel="0" collapsed="false">
      <c r="A223" s="1" t="s">
        <v>444</v>
      </c>
      <c r="B223" s="1" t="s">
        <v>445</v>
      </c>
    </row>
    <row r="224" customFormat="false" ht="12.75" hidden="false" customHeight="true" outlineLevel="0" collapsed="false">
      <c r="A224" s="1" t="s">
        <v>446</v>
      </c>
      <c r="B224" s="1" t="s">
        <v>447</v>
      </c>
    </row>
    <row r="225" customFormat="false" ht="12.75" hidden="false" customHeight="true" outlineLevel="0" collapsed="false">
      <c r="A225" s="1" t="s">
        <v>448</v>
      </c>
      <c r="B225" s="1" t="s">
        <v>449</v>
      </c>
    </row>
    <row r="226" customFormat="false" ht="12.75" hidden="false" customHeight="true" outlineLevel="0" collapsed="false">
      <c r="A226" s="1" t="s">
        <v>450</v>
      </c>
      <c r="B226" s="1" t="s">
        <v>451</v>
      </c>
    </row>
    <row r="227" customFormat="false" ht="12.75" hidden="false" customHeight="true" outlineLevel="0" collapsed="false">
      <c r="A227" s="1" t="s">
        <v>452</v>
      </c>
      <c r="B227" s="1" t="s">
        <v>453</v>
      </c>
    </row>
    <row r="228" customFormat="false" ht="12.75" hidden="false" customHeight="true" outlineLevel="0" collapsed="false">
      <c r="A228" s="1" t="s">
        <v>454</v>
      </c>
      <c r="B228" s="1" t="s">
        <v>455</v>
      </c>
    </row>
    <row r="229" customFormat="false" ht="12.75" hidden="false" customHeight="true" outlineLevel="0" collapsed="false">
      <c r="A229" s="1" t="s">
        <v>456</v>
      </c>
      <c r="B229" s="1" t="s">
        <v>457</v>
      </c>
    </row>
    <row r="230" customFormat="false" ht="12.75" hidden="false" customHeight="true" outlineLevel="0" collapsed="false">
      <c r="A230" s="1" t="s">
        <v>458</v>
      </c>
      <c r="B230" s="1" t="s">
        <v>459</v>
      </c>
    </row>
    <row r="231" customFormat="false" ht="12.75" hidden="false" customHeight="true" outlineLevel="0" collapsed="false">
      <c r="A231" s="1" t="s">
        <v>460</v>
      </c>
      <c r="B231" s="1" t="s">
        <v>461</v>
      </c>
    </row>
    <row r="232" customFormat="false" ht="12.75" hidden="false" customHeight="true" outlineLevel="0" collapsed="false">
      <c r="A232" s="1" t="s">
        <v>462</v>
      </c>
      <c r="B232" s="1" t="s">
        <v>463</v>
      </c>
    </row>
    <row r="233" customFormat="false" ht="12.75" hidden="false" customHeight="true" outlineLevel="0" collapsed="false">
      <c r="A233" s="1" t="s">
        <v>464</v>
      </c>
      <c r="B233" s="1" t="s">
        <v>465</v>
      </c>
    </row>
    <row r="234" customFormat="false" ht="12.75" hidden="false" customHeight="true" outlineLevel="0" collapsed="false">
      <c r="A234" s="1" t="s">
        <v>466</v>
      </c>
      <c r="B234" s="1" t="s">
        <v>467</v>
      </c>
    </row>
    <row r="235" customFormat="false" ht="12.75" hidden="false" customHeight="true" outlineLevel="0" collapsed="false">
      <c r="A235" s="1" t="s">
        <v>468</v>
      </c>
      <c r="B235" s="1" t="s">
        <v>469</v>
      </c>
    </row>
    <row r="236" customFormat="false" ht="12.75" hidden="false" customHeight="true" outlineLevel="0" collapsed="false">
      <c r="A236" s="1" t="s">
        <v>470</v>
      </c>
      <c r="B236" s="1" t="s">
        <v>471</v>
      </c>
    </row>
    <row r="237" customFormat="false" ht="12.75" hidden="false" customHeight="true" outlineLevel="0" collapsed="false">
      <c r="A237" s="1" t="s">
        <v>472</v>
      </c>
      <c r="B237" s="1" t="s">
        <v>473</v>
      </c>
    </row>
    <row r="238" customFormat="false" ht="12.75" hidden="false" customHeight="true" outlineLevel="0" collapsed="false">
      <c r="A238" s="1" t="s">
        <v>474</v>
      </c>
      <c r="B238" s="1" t="s">
        <v>475</v>
      </c>
    </row>
    <row r="239" customFormat="false" ht="12.75" hidden="false" customHeight="true" outlineLevel="0" collapsed="false">
      <c r="A239" s="1" t="s">
        <v>476</v>
      </c>
      <c r="B239" s="1" t="s">
        <v>477</v>
      </c>
    </row>
    <row r="240" customFormat="false" ht="12.75" hidden="false" customHeight="true" outlineLevel="0" collapsed="false">
      <c r="A240" s="1" t="s">
        <v>478</v>
      </c>
      <c r="B240" s="1" t="s">
        <v>479</v>
      </c>
    </row>
    <row r="241" customFormat="false" ht="12.75" hidden="false" customHeight="true" outlineLevel="0" collapsed="false">
      <c r="A241" s="1" t="s">
        <v>480</v>
      </c>
      <c r="B241" s="1" t="s">
        <v>481</v>
      </c>
    </row>
    <row r="242" customFormat="false" ht="12.75" hidden="false" customHeight="true" outlineLevel="0" collapsed="false">
      <c r="A242" s="1" t="s">
        <v>482</v>
      </c>
      <c r="B242" s="1" t="s">
        <v>483</v>
      </c>
    </row>
    <row r="243" customFormat="false" ht="12.75" hidden="false" customHeight="true" outlineLevel="0" collapsed="false">
      <c r="A243" s="1" t="s">
        <v>484</v>
      </c>
      <c r="B243" s="1" t="s">
        <v>485</v>
      </c>
    </row>
    <row r="244" customFormat="false" ht="12.75" hidden="false" customHeight="true" outlineLevel="0" collapsed="false">
      <c r="A244" s="1" t="s">
        <v>486</v>
      </c>
      <c r="B244" s="1" t="s">
        <v>487</v>
      </c>
    </row>
    <row r="245" customFormat="false" ht="12.75" hidden="false" customHeight="true" outlineLevel="0" collapsed="false">
      <c r="A245" s="1" t="s">
        <v>488</v>
      </c>
      <c r="B245" s="1" t="s">
        <v>489</v>
      </c>
    </row>
    <row r="246" customFormat="false" ht="12.75" hidden="false" customHeight="true" outlineLevel="0" collapsed="false">
      <c r="A246" s="1" t="s">
        <v>490</v>
      </c>
      <c r="B246" s="1" t="s">
        <v>491</v>
      </c>
    </row>
    <row r="247" customFormat="false" ht="12.75" hidden="false" customHeight="true" outlineLevel="0" collapsed="false">
      <c r="A247" s="1" t="s">
        <v>492</v>
      </c>
      <c r="B247" s="1" t="s">
        <v>493</v>
      </c>
    </row>
    <row r="248" customFormat="false" ht="12.75" hidden="false" customHeight="true" outlineLevel="0" collapsed="false">
      <c r="A248" s="1" t="s">
        <v>494</v>
      </c>
      <c r="B248" s="1" t="s">
        <v>495</v>
      </c>
    </row>
    <row r="249" customFormat="false" ht="12.75" hidden="false" customHeight="true" outlineLevel="0" collapsed="false">
      <c r="A249" s="1" t="s">
        <v>496</v>
      </c>
      <c r="B249" s="1" t="s">
        <v>497</v>
      </c>
    </row>
    <row r="250" customFormat="false" ht="12.75" hidden="false" customHeight="true" outlineLevel="0" collapsed="false">
      <c r="A250" s="1" t="s">
        <v>498</v>
      </c>
      <c r="B250" s="1" t="s">
        <v>499</v>
      </c>
    </row>
    <row r="251" customFormat="false" ht="12.75" hidden="false" customHeight="true" outlineLevel="0" collapsed="false">
      <c r="A251" s="1" t="s">
        <v>500</v>
      </c>
      <c r="B251" s="1" t="s">
        <v>501</v>
      </c>
    </row>
    <row r="252" customFormat="false" ht="12.75" hidden="false" customHeight="true" outlineLevel="0" collapsed="false">
      <c r="A252" s="1" t="s">
        <v>502</v>
      </c>
      <c r="B252" s="1" t="s">
        <v>503</v>
      </c>
    </row>
    <row r="253" customFormat="false" ht="12.75" hidden="false" customHeight="true" outlineLevel="0" collapsed="false">
      <c r="A253" s="1" t="s">
        <v>504</v>
      </c>
      <c r="B253" s="1" t="s">
        <v>505</v>
      </c>
    </row>
    <row r="254" customFormat="false" ht="12.75" hidden="false" customHeight="true" outlineLevel="0" collapsed="false">
      <c r="A254" s="1" t="s">
        <v>506</v>
      </c>
      <c r="B254" s="1" t="s">
        <v>507</v>
      </c>
    </row>
    <row r="255" customFormat="false" ht="12.75" hidden="false" customHeight="true" outlineLevel="0" collapsed="false">
      <c r="A255" s="1" t="s">
        <v>508</v>
      </c>
      <c r="B255" s="1" t="s">
        <v>509</v>
      </c>
    </row>
    <row r="256" customFormat="false" ht="12.75" hidden="false" customHeight="true" outlineLevel="0" collapsed="false">
      <c r="A256" s="1" t="s">
        <v>510</v>
      </c>
      <c r="B256" s="1" t="s">
        <v>511</v>
      </c>
    </row>
    <row r="257" customFormat="false" ht="12.75" hidden="false" customHeight="true" outlineLevel="0" collapsed="false">
      <c r="A257" s="1" t="s">
        <v>512</v>
      </c>
      <c r="B257" s="1" t="s">
        <v>513</v>
      </c>
    </row>
    <row r="258" customFormat="false" ht="12.75" hidden="false" customHeight="true" outlineLevel="0" collapsed="false">
      <c r="A258" s="1" t="s">
        <v>514</v>
      </c>
      <c r="B258" s="1" t="s">
        <v>515</v>
      </c>
    </row>
    <row r="259" customFormat="false" ht="12.75" hidden="false" customHeight="true" outlineLevel="0" collapsed="false">
      <c r="A259" s="1" t="s">
        <v>516</v>
      </c>
      <c r="B259" s="1" t="s">
        <v>517</v>
      </c>
    </row>
    <row r="260" customFormat="false" ht="12.75" hidden="false" customHeight="true" outlineLevel="0" collapsed="false">
      <c r="A260" s="1" t="s">
        <v>518</v>
      </c>
      <c r="B260" s="1" t="s">
        <v>519</v>
      </c>
    </row>
    <row r="261" customFormat="false" ht="12.75" hidden="false" customHeight="true" outlineLevel="0" collapsed="false">
      <c r="A261" s="1" t="s">
        <v>520</v>
      </c>
      <c r="B261" s="1" t="s">
        <v>521</v>
      </c>
    </row>
    <row r="262" customFormat="false" ht="12.75" hidden="false" customHeight="true" outlineLevel="0" collapsed="false">
      <c r="A262" s="1" t="s">
        <v>522</v>
      </c>
      <c r="B262" s="1" t="s">
        <v>523</v>
      </c>
    </row>
    <row r="263" customFormat="false" ht="12.75" hidden="false" customHeight="true" outlineLevel="0" collapsed="false">
      <c r="A263" s="1" t="s">
        <v>524</v>
      </c>
      <c r="B263" s="1" t="s">
        <v>525</v>
      </c>
    </row>
    <row r="264" customFormat="false" ht="12.75" hidden="false" customHeight="true" outlineLevel="0" collapsed="false">
      <c r="A264" s="1" t="s">
        <v>526</v>
      </c>
      <c r="B264" s="1" t="s">
        <v>527</v>
      </c>
    </row>
    <row r="265" customFormat="false" ht="12.75" hidden="false" customHeight="true" outlineLevel="0" collapsed="false">
      <c r="A265" s="1" t="s">
        <v>528</v>
      </c>
      <c r="B265" s="1" t="s">
        <v>529</v>
      </c>
    </row>
    <row r="266" customFormat="false" ht="12.75" hidden="false" customHeight="true" outlineLevel="0" collapsed="false">
      <c r="A266" s="1" t="s">
        <v>530</v>
      </c>
      <c r="B266" s="1" t="s">
        <v>531</v>
      </c>
    </row>
    <row r="267" customFormat="false" ht="12.75" hidden="false" customHeight="true" outlineLevel="0" collapsed="false">
      <c r="A267" s="1" t="s">
        <v>532</v>
      </c>
      <c r="B267" s="1" t="s">
        <v>533</v>
      </c>
    </row>
    <row r="268" customFormat="false" ht="12.75" hidden="false" customHeight="true" outlineLevel="0" collapsed="false">
      <c r="A268" s="1" t="s">
        <v>534</v>
      </c>
      <c r="B268" s="1" t="s">
        <v>535</v>
      </c>
    </row>
    <row r="269" customFormat="false" ht="12.75" hidden="false" customHeight="true" outlineLevel="0" collapsed="false">
      <c r="A269" s="1" t="s">
        <v>536</v>
      </c>
      <c r="B269" s="1" t="s">
        <v>537</v>
      </c>
    </row>
    <row r="270" customFormat="false" ht="12.75" hidden="false" customHeight="true" outlineLevel="0" collapsed="false">
      <c r="A270" s="1" t="s">
        <v>538</v>
      </c>
      <c r="B270" s="1" t="s">
        <v>539</v>
      </c>
    </row>
    <row r="271" customFormat="false" ht="12.75" hidden="false" customHeight="true" outlineLevel="0" collapsed="false">
      <c r="A271" s="1" t="s">
        <v>540</v>
      </c>
      <c r="B271" s="1" t="s">
        <v>541</v>
      </c>
    </row>
    <row r="272" customFormat="false" ht="12.75" hidden="false" customHeight="true" outlineLevel="0" collapsed="false">
      <c r="A272" s="1" t="s">
        <v>542</v>
      </c>
      <c r="B272" s="1" t="s">
        <v>543</v>
      </c>
    </row>
    <row r="273" customFormat="false" ht="12.75" hidden="false" customHeight="true" outlineLevel="0" collapsed="false">
      <c r="A273" s="1" t="s">
        <v>544</v>
      </c>
      <c r="B273" s="1" t="s">
        <v>545</v>
      </c>
    </row>
    <row r="274" customFormat="false" ht="12.75" hidden="false" customHeight="true" outlineLevel="0" collapsed="false">
      <c r="A274" s="1" t="s">
        <v>546</v>
      </c>
      <c r="B274" s="1" t="s">
        <v>547</v>
      </c>
    </row>
    <row r="275" customFormat="false" ht="12.75" hidden="false" customHeight="true" outlineLevel="0" collapsed="false">
      <c r="A275" s="1" t="s">
        <v>548</v>
      </c>
      <c r="B275" s="1" t="s">
        <v>549</v>
      </c>
    </row>
    <row r="276" customFormat="false" ht="12.75" hidden="false" customHeight="true" outlineLevel="0" collapsed="false">
      <c r="A276" s="1" t="s">
        <v>550</v>
      </c>
      <c r="B276" s="1" t="s">
        <v>551</v>
      </c>
    </row>
    <row r="277" customFormat="false" ht="12.75" hidden="false" customHeight="true" outlineLevel="0" collapsed="false">
      <c r="A277" s="1" t="s">
        <v>552</v>
      </c>
      <c r="B277" s="1" t="s">
        <v>553</v>
      </c>
    </row>
    <row r="278" customFormat="false" ht="12.75" hidden="false" customHeight="true" outlineLevel="0" collapsed="false">
      <c r="A278" s="1" t="s">
        <v>554</v>
      </c>
      <c r="B278" s="1" t="s">
        <v>555</v>
      </c>
    </row>
    <row r="279" customFormat="false" ht="12.75" hidden="false" customHeight="true" outlineLevel="0" collapsed="false">
      <c r="A279" s="1" t="s">
        <v>556</v>
      </c>
      <c r="B279" s="1" t="s">
        <v>557</v>
      </c>
    </row>
    <row r="280" customFormat="false" ht="12.75" hidden="false" customHeight="true" outlineLevel="0" collapsed="false">
      <c r="A280" s="1" t="s">
        <v>558</v>
      </c>
      <c r="B280" s="1" t="s">
        <v>559</v>
      </c>
    </row>
    <row r="281" customFormat="false" ht="12.75" hidden="false" customHeight="true" outlineLevel="0" collapsed="false">
      <c r="A281" s="1" t="s">
        <v>560</v>
      </c>
      <c r="B281" s="1" t="s">
        <v>561</v>
      </c>
    </row>
    <row r="282" customFormat="false" ht="12.75" hidden="false" customHeight="true" outlineLevel="0" collapsed="false">
      <c r="A282" s="1" t="s">
        <v>562</v>
      </c>
      <c r="B282" s="1" t="s">
        <v>563</v>
      </c>
    </row>
    <row r="283" customFormat="false" ht="12.75" hidden="false" customHeight="true" outlineLevel="0" collapsed="false">
      <c r="A283" s="1" t="s">
        <v>564</v>
      </c>
      <c r="B283" s="1" t="s">
        <v>565</v>
      </c>
    </row>
    <row r="284" customFormat="false" ht="12.75" hidden="false" customHeight="true" outlineLevel="0" collapsed="false">
      <c r="A284" s="1" t="s">
        <v>566</v>
      </c>
      <c r="B284" s="1" t="s">
        <v>567</v>
      </c>
    </row>
    <row r="285" customFormat="false" ht="12.75" hidden="false" customHeight="true" outlineLevel="0" collapsed="false">
      <c r="A285" s="1" t="s">
        <v>568</v>
      </c>
      <c r="B285" s="1" t="s">
        <v>569</v>
      </c>
    </row>
    <row r="286" customFormat="false" ht="12.75" hidden="false" customHeight="true" outlineLevel="0" collapsed="false">
      <c r="A286" s="1" t="s">
        <v>570</v>
      </c>
      <c r="B286" s="1" t="s">
        <v>571</v>
      </c>
    </row>
    <row r="287" customFormat="false" ht="12.75" hidden="false" customHeight="true" outlineLevel="0" collapsed="false">
      <c r="A287" s="1" t="s">
        <v>572</v>
      </c>
      <c r="B287" s="1" t="s">
        <v>573</v>
      </c>
    </row>
    <row r="288" customFormat="false" ht="12.75" hidden="false" customHeight="true" outlineLevel="0" collapsed="false">
      <c r="A288" s="1" t="s">
        <v>574</v>
      </c>
      <c r="B288" s="1" t="s">
        <v>575</v>
      </c>
    </row>
    <row r="289" customFormat="false" ht="12.75" hidden="false" customHeight="true" outlineLevel="0" collapsed="false">
      <c r="A289" s="1" t="s">
        <v>576</v>
      </c>
      <c r="B289" s="1" t="s">
        <v>577</v>
      </c>
    </row>
    <row r="290" customFormat="false" ht="12.75" hidden="false" customHeight="true" outlineLevel="0" collapsed="false">
      <c r="A290" s="1" t="s">
        <v>578</v>
      </c>
      <c r="B290" s="1" t="s">
        <v>579</v>
      </c>
    </row>
    <row r="291" customFormat="false" ht="12.75" hidden="false" customHeight="true" outlineLevel="0" collapsed="false">
      <c r="A291" s="1" t="s">
        <v>580</v>
      </c>
      <c r="B291" s="1" t="s">
        <v>581</v>
      </c>
    </row>
    <row r="292" customFormat="false" ht="12.75" hidden="false" customHeight="true" outlineLevel="0" collapsed="false">
      <c r="A292" s="1" t="s">
        <v>582</v>
      </c>
      <c r="B292" s="1" t="s">
        <v>583</v>
      </c>
    </row>
    <row r="293" customFormat="false" ht="12.75" hidden="false" customHeight="true" outlineLevel="0" collapsed="false">
      <c r="A293" s="1" t="s">
        <v>584</v>
      </c>
      <c r="B293" s="1" t="s">
        <v>585</v>
      </c>
    </row>
    <row r="294" customFormat="false" ht="12.75" hidden="false" customHeight="true" outlineLevel="0" collapsed="false">
      <c r="A294" s="1" t="s">
        <v>586</v>
      </c>
      <c r="B294" s="1" t="s">
        <v>587</v>
      </c>
    </row>
    <row r="295" customFormat="false" ht="12.75" hidden="false" customHeight="true" outlineLevel="0" collapsed="false">
      <c r="A295" s="1" t="s">
        <v>588</v>
      </c>
      <c r="B295" s="1" t="s">
        <v>589</v>
      </c>
    </row>
    <row r="296" customFormat="false" ht="12.75" hidden="false" customHeight="true" outlineLevel="0" collapsed="false">
      <c r="A296" s="1" t="s">
        <v>590</v>
      </c>
      <c r="B296" s="1" t="s">
        <v>591</v>
      </c>
    </row>
    <row r="297" customFormat="false" ht="12.75" hidden="false" customHeight="true" outlineLevel="0" collapsed="false">
      <c r="A297" s="1" t="s">
        <v>592</v>
      </c>
      <c r="B297" s="1" t="s">
        <v>593</v>
      </c>
    </row>
    <row r="298" customFormat="false" ht="12.75" hidden="false" customHeight="true" outlineLevel="0" collapsed="false">
      <c r="A298" s="1" t="s">
        <v>594</v>
      </c>
      <c r="B298" s="1" t="s">
        <v>595</v>
      </c>
    </row>
    <row r="299" customFormat="false" ht="12.75" hidden="false" customHeight="true" outlineLevel="0" collapsed="false">
      <c r="A299" s="1" t="s">
        <v>596</v>
      </c>
      <c r="B299" s="1" t="s">
        <v>597</v>
      </c>
    </row>
    <row r="300" customFormat="false" ht="12.75" hidden="false" customHeight="true" outlineLevel="0" collapsed="false">
      <c r="A300" s="1" t="s">
        <v>598</v>
      </c>
      <c r="B300" s="1" t="s">
        <v>599</v>
      </c>
    </row>
    <row r="301" customFormat="false" ht="12.75" hidden="false" customHeight="true" outlineLevel="0" collapsed="false">
      <c r="A301" s="1" t="s">
        <v>600</v>
      </c>
      <c r="B301" s="1" t="s">
        <v>601</v>
      </c>
    </row>
    <row r="302" customFormat="false" ht="12.75" hidden="false" customHeight="true" outlineLevel="0" collapsed="false">
      <c r="A302" s="1" t="s">
        <v>602</v>
      </c>
      <c r="B302" s="1" t="s">
        <v>603</v>
      </c>
    </row>
    <row r="303" customFormat="false" ht="12.75" hidden="false" customHeight="true" outlineLevel="0" collapsed="false">
      <c r="A303" s="1" t="s">
        <v>604</v>
      </c>
      <c r="B303" s="1" t="s">
        <v>605</v>
      </c>
    </row>
    <row r="304" customFormat="false" ht="12.75" hidden="false" customHeight="true" outlineLevel="0" collapsed="false">
      <c r="A304" s="1" t="s">
        <v>606</v>
      </c>
      <c r="B304" s="1" t="s">
        <v>607</v>
      </c>
    </row>
    <row r="305" customFormat="false" ht="12.75" hidden="false" customHeight="true" outlineLevel="0" collapsed="false">
      <c r="A305" s="1" t="s">
        <v>608</v>
      </c>
      <c r="B305" s="1" t="s">
        <v>609</v>
      </c>
    </row>
    <row r="306" customFormat="false" ht="12.75" hidden="false" customHeight="true" outlineLevel="0" collapsed="false">
      <c r="A306" s="1" t="s">
        <v>610</v>
      </c>
      <c r="B306" s="1" t="s">
        <v>611</v>
      </c>
    </row>
    <row r="307" customFormat="false" ht="12.75" hidden="false" customHeight="true" outlineLevel="0" collapsed="false">
      <c r="A307" s="1" t="s">
        <v>612</v>
      </c>
      <c r="B307" s="1" t="s">
        <v>613</v>
      </c>
    </row>
    <row r="308" customFormat="false" ht="12.75" hidden="false" customHeight="true" outlineLevel="0" collapsed="false">
      <c r="A308" s="1" t="s">
        <v>614</v>
      </c>
      <c r="B308" s="1" t="s">
        <v>615</v>
      </c>
    </row>
    <row r="309" customFormat="false" ht="12.75" hidden="false" customHeight="true" outlineLevel="0" collapsed="false">
      <c r="A309" s="1" t="s">
        <v>616</v>
      </c>
      <c r="B309" s="1" t="s">
        <v>617</v>
      </c>
    </row>
    <row r="310" customFormat="false" ht="12.75" hidden="false" customHeight="true" outlineLevel="0" collapsed="false">
      <c r="A310" s="1" t="s">
        <v>618</v>
      </c>
      <c r="B310" s="1" t="s">
        <v>619</v>
      </c>
    </row>
    <row r="311" customFormat="false" ht="12.75" hidden="false" customHeight="true" outlineLevel="0" collapsed="false">
      <c r="A311" s="1" t="s">
        <v>620</v>
      </c>
      <c r="B311" s="1" t="s">
        <v>621</v>
      </c>
    </row>
    <row r="312" customFormat="false" ht="12.75" hidden="false" customHeight="true" outlineLevel="0" collapsed="false">
      <c r="A312" s="1" t="s">
        <v>622</v>
      </c>
      <c r="B312" s="1" t="s">
        <v>623</v>
      </c>
    </row>
    <row r="313" customFormat="false" ht="12.75" hidden="false" customHeight="true" outlineLevel="0" collapsed="false">
      <c r="A313" s="1" t="s">
        <v>624</v>
      </c>
      <c r="B313" s="1" t="s">
        <v>625</v>
      </c>
    </row>
    <row r="314" customFormat="false" ht="12.75" hidden="false" customHeight="true" outlineLevel="0" collapsed="false">
      <c r="A314" s="1" t="s">
        <v>626</v>
      </c>
      <c r="B314" s="1" t="s">
        <v>627</v>
      </c>
    </row>
    <row r="315" customFormat="false" ht="12.75" hidden="false" customHeight="true" outlineLevel="0" collapsed="false">
      <c r="A315" s="1" t="s">
        <v>628</v>
      </c>
      <c r="B315" s="1" t="s">
        <v>629</v>
      </c>
    </row>
    <row r="316" customFormat="false" ht="12.75" hidden="false" customHeight="true" outlineLevel="0" collapsed="false">
      <c r="A316" s="1" t="s">
        <v>630</v>
      </c>
      <c r="B316" s="1" t="s">
        <v>631</v>
      </c>
    </row>
    <row r="317" customFormat="false" ht="12.75" hidden="false" customHeight="true" outlineLevel="0" collapsed="false">
      <c r="A317" s="1" t="s">
        <v>632</v>
      </c>
      <c r="B317" s="1" t="s">
        <v>633</v>
      </c>
    </row>
    <row r="318" customFormat="false" ht="12.75" hidden="false" customHeight="true" outlineLevel="0" collapsed="false">
      <c r="A318" s="1" t="s">
        <v>634</v>
      </c>
      <c r="B318" s="1" t="s">
        <v>635</v>
      </c>
    </row>
    <row r="319" customFormat="false" ht="12.75" hidden="false" customHeight="true" outlineLevel="0" collapsed="false">
      <c r="A319" s="1" t="s">
        <v>636</v>
      </c>
      <c r="B319" s="1" t="s">
        <v>637</v>
      </c>
    </row>
    <row r="320" customFormat="false" ht="12.75" hidden="false" customHeight="true" outlineLevel="0" collapsed="false">
      <c r="A320" s="1" t="s">
        <v>638</v>
      </c>
      <c r="B320" s="1" t="s">
        <v>639</v>
      </c>
    </row>
    <row r="321" customFormat="false" ht="12.75" hidden="false" customHeight="true" outlineLevel="0" collapsed="false">
      <c r="A321" s="1" t="s">
        <v>640</v>
      </c>
      <c r="B321" s="1" t="s">
        <v>641</v>
      </c>
    </row>
    <row r="322" customFormat="false" ht="12.75" hidden="false" customHeight="true" outlineLevel="0" collapsed="false">
      <c r="A322" s="1" t="s">
        <v>642</v>
      </c>
      <c r="B322" s="1" t="s">
        <v>643</v>
      </c>
    </row>
    <row r="323" customFormat="false" ht="12.75" hidden="false" customHeight="true" outlineLevel="0" collapsed="false">
      <c r="A323" s="1" t="s">
        <v>644</v>
      </c>
      <c r="B323" s="1" t="s">
        <v>645</v>
      </c>
    </row>
    <row r="324" customFormat="false" ht="12.75" hidden="false" customHeight="true" outlineLevel="0" collapsed="false">
      <c r="A324" s="1" t="s">
        <v>646</v>
      </c>
      <c r="B324" s="1" t="s">
        <v>647</v>
      </c>
    </row>
    <row r="325" customFormat="false" ht="12.75" hidden="false" customHeight="true" outlineLevel="0" collapsed="false">
      <c r="A325" s="1" t="s">
        <v>648</v>
      </c>
      <c r="B325" s="1" t="s">
        <v>649</v>
      </c>
    </row>
    <row r="326" customFormat="false" ht="12.75" hidden="false" customHeight="true" outlineLevel="0" collapsed="false">
      <c r="A326" s="1" t="s">
        <v>650</v>
      </c>
      <c r="B326" s="1" t="s">
        <v>651</v>
      </c>
    </row>
    <row r="327" customFormat="false" ht="12.75" hidden="false" customHeight="true" outlineLevel="0" collapsed="false">
      <c r="A327" s="1" t="s">
        <v>652</v>
      </c>
      <c r="B327" s="1" t="s">
        <v>653</v>
      </c>
    </row>
    <row r="328" customFormat="false" ht="12.75" hidden="false" customHeight="true" outlineLevel="0" collapsed="false">
      <c r="A328" s="1" t="s">
        <v>654</v>
      </c>
      <c r="B328" s="1" t="s">
        <v>655</v>
      </c>
    </row>
    <row r="329" customFormat="false" ht="12.75" hidden="false" customHeight="true" outlineLevel="0" collapsed="false">
      <c r="A329" s="1" t="s">
        <v>656</v>
      </c>
      <c r="B329" s="1" t="s">
        <v>657</v>
      </c>
    </row>
    <row r="330" customFormat="false" ht="12.75" hidden="false" customHeight="true" outlineLevel="0" collapsed="false">
      <c r="A330" s="1" t="s">
        <v>658</v>
      </c>
      <c r="B330" s="1" t="s">
        <v>659</v>
      </c>
    </row>
    <row r="331" customFormat="false" ht="12.75" hidden="false" customHeight="true" outlineLevel="0" collapsed="false">
      <c r="A331" s="1" t="s">
        <v>660</v>
      </c>
      <c r="B331" s="1" t="s">
        <v>661</v>
      </c>
    </row>
    <row r="332" customFormat="false" ht="12.75" hidden="false" customHeight="true" outlineLevel="0" collapsed="false">
      <c r="A332" s="1" t="s">
        <v>662</v>
      </c>
      <c r="B332" s="1" t="s">
        <v>663</v>
      </c>
    </row>
    <row r="333" customFormat="false" ht="12.75" hidden="false" customHeight="true" outlineLevel="0" collapsed="false">
      <c r="A333" s="1" t="s">
        <v>664</v>
      </c>
      <c r="B333" s="1" t="s">
        <v>665</v>
      </c>
    </row>
    <row r="334" customFormat="false" ht="12.75" hidden="false" customHeight="true" outlineLevel="0" collapsed="false">
      <c r="A334" s="1" t="s">
        <v>666</v>
      </c>
      <c r="B334" s="1" t="s">
        <v>667</v>
      </c>
    </row>
    <row r="335" customFormat="false" ht="12.75" hidden="false" customHeight="true" outlineLevel="0" collapsed="false">
      <c r="A335" s="1" t="s">
        <v>668</v>
      </c>
      <c r="B335" s="1" t="s">
        <v>669</v>
      </c>
    </row>
    <row r="336" customFormat="false" ht="12.75" hidden="false" customHeight="true" outlineLevel="0" collapsed="false">
      <c r="A336" s="1" t="s">
        <v>670</v>
      </c>
      <c r="B336" s="1" t="s">
        <v>671</v>
      </c>
    </row>
    <row r="337" customFormat="false" ht="12.75" hidden="false" customHeight="true" outlineLevel="0" collapsed="false">
      <c r="A337" s="1" t="s">
        <v>672</v>
      </c>
      <c r="B337" s="1" t="s">
        <v>673</v>
      </c>
    </row>
    <row r="338" customFormat="false" ht="12.75" hidden="false" customHeight="true" outlineLevel="0" collapsed="false">
      <c r="A338" s="1" t="s">
        <v>674</v>
      </c>
      <c r="B338" s="1" t="s">
        <v>675</v>
      </c>
    </row>
    <row r="339" customFormat="false" ht="12.75" hidden="false" customHeight="true" outlineLevel="0" collapsed="false">
      <c r="A339" s="1" t="s">
        <v>676</v>
      </c>
      <c r="B339" s="1" t="s">
        <v>677</v>
      </c>
    </row>
    <row r="340" customFormat="false" ht="12.75" hidden="false" customHeight="true" outlineLevel="0" collapsed="false">
      <c r="A340" s="1" t="s">
        <v>678</v>
      </c>
      <c r="B340" s="1" t="s">
        <v>679</v>
      </c>
    </row>
    <row r="341" customFormat="false" ht="12.75" hidden="false" customHeight="true" outlineLevel="0" collapsed="false">
      <c r="A341" s="1" t="s">
        <v>680</v>
      </c>
      <c r="B341" s="1" t="s">
        <v>681</v>
      </c>
    </row>
    <row r="342" customFormat="false" ht="12.75" hidden="false" customHeight="true" outlineLevel="0" collapsed="false">
      <c r="A342" s="1" t="s">
        <v>682</v>
      </c>
      <c r="B342" s="1" t="s">
        <v>683</v>
      </c>
    </row>
    <row r="343" customFormat="false" ht="12.75" hidden="false" customHeight="true" outlineLevel="0" collapsed="false">
      <c r="A343" s="1" t="s">
        <v>684</v>
      </c>
      <c r="B343" s="1" t="s">
        <v>685</v>
      </c>
    </row>
    <row r="344" customFormat="false" ht="12.75" hidden="false" customHeight="true" outlineLevel="0" collapsed="false">
      <c r="A344" s="1" t="s">
        <v>686</v>
      </c>
      <c r="B344" s="1" t="s">
        <v>687</v>
      </c>
    </row>
    <row r="345" customFormat="false" ht="12.75" hidden="false" customHeight="true" outlineLevel="0" collapsed="false">
      <c r="A345" s="1" t="s">
        <v>688</v>
      </c>
      <c r="B345" s="1" t="s">
        <v>689</v>
      </c>
    </row>
    <row r="346" customFormat="false" ht="12.75" hidden="false" customHeight="true" outlineLevel="0" collapsed="false">
      <c r="A346" s="1" t="s">
        <v>690</v>
      </c>
      <c r="B346" s="1" t="s">
        <v>691</v>
      </c>
    </row>
    <row r="347" customFormat="false" ht="12.75" hidden="false" customHeight="true" outlineLevel="0" collapsed="false">
      <c r="A347" s="1" t="s">
        <v>692</v>
      </c>
      <c r="B347" s="1" t="s">
        <v>693</v>
      </c>
    </row>
    <row r="348" customFormat="false" ht="12.75" hidden="false" customHeight="true" outlineLevel="0" collapsed="false">
      <c r="A348" s="1" t="s">
        <v>694</v>
      </c>
      <c r="B348" s="1" t="s">
        <v>695</v>
      </c>
    </row>
    <row r="349" customFormat="false" ht="12.75" hidden="false" customHeight="true" outlineLevel="0" collapsed="false">
      <c r="A349" s="1" t="s">
        <v>696</v>
      </c>
      <c r="B349" s="1" t="s">
        <v>697</v>
      </c>
    </row>
    <row r="350" customFormat="false" ht="12.75" hidden="false" customHeight="true" outlineLevel="0" collapsed="false">
      <c r="A350" s="1" t="s">
        <v>698</v>
      </c>
      <c r="B350" s="1" t="s">
        <v>699</v>
      </c>
    </row>
    <row r="351" customFormat="false" ht="12.75" hidden="false" customHeight="true" outlineLevel="0" collapsed="false">
      <c r="A351" s="1" t="s">
        <v>700</v>
      </c>
      <c r="B351" s="1" t="s">
        <v>701</v>
      </c>
    </row>
    <row r="352" customFormat="false" ht="12.75" hidden="false" customHeight="true" outlineLevel="0" collapsed="false">
      <c r="A352" s="1" t="s">
        <v>702</v>
      </c>
      <c r="B352" s="1" t="s">
        <v>703</v>
      </c>
    </row>
    <row r="353" customFormat="false" ht="12.75" hidden="false" customHeight="true" outlineLevel="0" collapsed="false">
      <c r="A353" s="1" t="s">
        <v>704</v>
      </c>
      <c r="B353" s="1" t="s">
        <v>705</v>
      </c>
    </row>
    <row r="354" customFormat="false" ht="12.75" hidden="false" customHeight="true" outlineLevel="0" collapsed="false">
      <c r="A354" s="1" t="s">
        <v>706</v>
      </c>
      <c r="B354" s="1" t="s">
        <v>707</v>
      </c>
    </row>
    <row r="355" customFormat="false" ht="12.75" hidden="false" customHeight="true" outlineLevel="0" collapsed="false">
      <c r="A355" s="1" t="s">
        <v>708</v>
      </c>
      <c r="B355" s="1" t="s">
        <v>709</v>
      </c>
    </row>
    <row r="356" customFormat="false" ht="12.75" hidden="false" customHeight="true" outlineLevel="0" collapsed="false">
      <c r="A356" s="1" t="s">
        <v>710</v>
      </c>
      <c r="B356" s="1" t="s">
        <v>711</v>
      </c>
    </row>
    <row r="357" customFormat="false" ht="12.75" hidden="false" customHeight="true" outlineLevel="0" collapsed="false">
      <c r="A357" s="1" t="s">
        <v>712</v>
      </c>
      <c r="B357" s="1" t="s">
        <v>713</v>
      </c>
    </row>
    <row r="358" customFormat="false" ht="12.75" hidden="false" customHeight="true" outlineLevel="0" collapsed="false">
      <c r="A358" s="1" t="s">
        <v>714</v>
      </c>
      <c r="B358" s="1" t="s">
        <v>715</v>
      </c>
    </row>
    <row r="359" customFormat="false" ht="12.75" hidden="false" customHeight="true" outlineLevel="0" collapsed="false">
      <c r="A359" s="1" t="s">
        <v>716</v>
      </c>
      <c r="B359" s="1" t="s">
        <v>717</v>
      </c>
    </row>
    <row r="360" customFormat="false" ht="12.75" hidden="false" customHeight="true" outlineLevel="0" collapsed="false">
      <c r="A360" s="1" t="s">
        <v>718</v>
      </c>
      <c r="B360" s="1" t="s">
        <v>719</v>
      </c>
    </row>
    <row r="361" customFormat="false" ht="12.75" hidden="false" customHeight="true" outlineLevel="0" collapsed="false">
      <c r="A361" s="1" t="s">
        <v>720</v>
      </c>
      <c r="B361" s="1" t="s">
        <v>721</v>
      </c>
    </row>
    <row r="362" customFormat="false" ht="12.75" hidden="false" customHeight="true" outlineLevel="0" collapsed="false">
      <c r="A362" s="1" t="s">
        <v>722</v>
      </c>
      <c r="B362" s="1" t="s">
        <v>723</v>
      </c>
    </row>
    <row r="363" customFormat="false" ht="12.75" hidden="false" customHeight="true" outlineLevel="0" collapsed="false">
      <c r="A363" s="1" t="s">
        <v>724</v>
      </c>
      <c r="B363" s="1" t="s">
        <v>725</v>
      </c>
    </row>
    <row r="364" customFormat="false" ht="12.75" hidden="false" customHeight="true" outlineLevel="0" collapsed="false">
      <c r="A364" s="1" t="s">
        <v>726</v>
      </c>
      <c r="B364" s="1" t="s">
        <v>727</v>
      </c>
    </row>
    <row r="365" customFormat="false" ht="12.75" hidden="false" customHeight="true" outlineLevel="0" collapsed="false">
      <c r="A365" s="1" t="s">
        <v>728</v>
      </c>
      <c r="B365" s="1" t="s">
        <v>729</v>
      </c>
    </row>
    <row r="366" customFormat="false" ht="12.75" hidden="false" customHeight="true" outlineLevel="0" collapsed="false">
      <c r="A366" s="1" t="s">
        <v>730</v>
      </c>
      <c r="B366" s="1" t="s">
        <v>731</v>
      </c>
    </row>
    <row r="367" customFormat="false" ht="12.75" hidden="false" customHeight="true" outlineLevel="0" collapsed="false">
      <c r="A367" s="1" t="s">
        <v>732</v>
      </c>
      <c r="B367" s="1" t="s">
        <v>733</v>
      </c>
    </row>
    <row r="368" customFormat="false" ht="12.75" hidden="false" customHeight="true" outlineLevel="0" collapsed="false">
      <c r="A368" s="1" t="s">
        <v>734</v>
      </c>
      <c r="B368" s="1" t="s">
        <v>735</v>
      </c>
    </row>
    <row r="369" customFormat="false" ht="12.75" hidden="false" customHeight="true" outlineLevel="0" collapsed="false">
      <c r="A369" s="1" t="s">
        <v>736</v>
      </c>
      <c r="B369" s="1" t="s">
        <v>737</v>
      </c>
    </row>
    <row r="370" customFormat="false" ht="12.75" hidden="false" customHeight="true" outlineLevel="0" collapsed="false">
      <c r="A370" s="1" t="s">
        <v>738</v>
      </c>
      <c r="B370" s="1" t="s">
        <v>739</v>
      </c>
    </row>
    <row r="371" customFormat="false" ht="12.75" hidden="false" customHeight="true" outlineLevel="0" collapsed="false">
      <c r="A371" s="1" t="s">
        <v>740</v>
      </c>
      <c r="B371" s="1" t="s">
        <v>741</v>
      </c>
    </row>
    <row r="372" customFormat="false" ht="12.75" hidden="false" customHeight="true" outlineLevel="0" collapsed="false">
      <c r="A372" s="1" t="s">
        <v>742</v>
      </c>
      <c r="B372" s="1" t="s">
        <v>743</v>
      </c>
    </row>
    <row r="373" customFormat="false" ht="12.75" hidden="false" customHeight="true" outlineLevel="0" collapsed="false">
      <c r="A373" s="1" t="s">
        <v>744</v>
      </c>
      <c r="B373" s="1" t="s">
        <v>745</v>
      </c>
    </row>
    <row r="374" customFormat="false" ht="12.75" hidden="false" customHeight="true" outlineLevel="0" collapsed="false">
      <c r="A374" s="1" t="s">
        <v>746</v>
      </c>
      <c r="B374" s="1" t="s">
        <v>747</v>
      </c>
    </row>
    <row r="375" customFormat="false" ht="12.75" hidden="false" customHeight="true" outlineLevel="0" collapsed="false">
      <c r="A375" s="1" t="s">
        <v>748</v>
      </c>
      <c r="B375" s="1" t="s">
        <v>749</v>
      </c>
    </row>
    <row r="376" customFormat="false" ht="12.75" hidden="false" customHeight="true" outlineLevel="0" collapsed="false">
      <c r="A376" s="1" t="s">
        <v>750</v>
      </c>
      <c r="B376" s="1" t="s">
        <v>751</v>
      </c>
    </row>
    <row r="377" customFormat="false" ht="12.75" hidden="false" customHeight="true" outlineLevel="0" collapsed="false">
      <c r="A377" s="1" t="s">
        <v>752</v>
      </c>
      <c r="B377" s="1" t="s">
        <v>753</v>
      </c>
    </row>
    <row r="378" customFormat="false" ht="12.75" hidden="false" customHeight="true" outlineLevel="0" collapsed="false">
      <c r="A378" s="1" t="s">
        <v>754</v>
      </c>
      <c r="B378" s="1" t="s">
        <v>755</v>
      </c>
    </row>
    <row r="379" customFormat="false" ht="12.75" hidden="false" customHeight="true" outlineLevel="0" collapsed="false">
      <c r="A379" s="1" t="s">
        <v>756</v>
      </c>
      <c r="B379" s="1" t="s">
        <v>757</v>
      </c>
    </row>
    <row r="380" customFormat="false" ht="12.75" hidden="false" customHeight="true" outlineLevel="0" collapsed="false">
      <c r="A380" s="1" t="s">
        <v>758</v>
      </c>
      <c r="B380" s="1" t="s">
        <v>759</v>
      </c>
    </row>
    <row r="381" customFormat="false" ht="12.75" hidden="false" customHeight="true" outlineLevel="0" collapsed="false">
      <c r="A381" s="1" t="s">
        <v>760</v>
      </c>
      <c r="B381" s="1" t="s">
        <v>761</v>
      </c>
    </row>
    <row r="382" customFormat="false" ht="12.75" hidden="false" customHeight="true" outlineLevel="0" collapsed="false">
      <c r="A382" s="1" t="s">
        <v>762</v>
      </c>
      <c r="B382" s="1" t="s">
        <v>763</v>
      </c>
    </row>
    <row r="383" customFormat="false" ht="12.75" hidden="false" customHeight="true" outlineLevel="0" collapsed="false">
      <c r="A383" s="1" t="s">
        <v>764</v>
      </c>
      <c r="B383" s="1" t="s">
        <v>765</v>
      </c>
    </row>
    <row r="384" customFormat="false" ht="12.75" hidden="false" customHeight="true" outlineLevel="0" collapsed="false">
      <c r="A384" s="1" t="s">
        <v>766</v>
      </c>
      <c r="B384" s="1" t="s">
        <v>767</v>
      </c>
    </row>
    <row r="385" customFormat="false" ht="12.75" hidden="false" customHeight="true" outlineLevel="0" collapsed="false">
      <c r="A385" s="1" t="s">
        <v>768</v>
      </c>
      <c r="B385" s="1" t="s">
        <v>769</v>
      </c>
    </row>
    <row r="386" customFormat="false" ht="12.75" hidden="false" customHeight="true" outlineLevel="0" collapsed="false">
      <c r="A386" s="1" t="s">
        <v>770</v>
      </c>
      <c r="B386" s="1" t="s">
        <v>771</v>
      </c>
    </row>
    <row r="387" customFormat="false" ht="12.75" hidden="false" customHeight="true" outlineLevel="0" collapsed="false">
      <c r="A387" s="1" t="s">
        <v>772</v>
      </c>
      <c r="B387" s="1" t="s">
        <v>773</v>
      </c>
    </row>
    <row r="388" customFormat="false" ht="12.75" hidden="false" customHeight="true" outlineLevel="0" collapsed="false">
      <c r="A388" s="1" t="s">
        <v>774</v>
      </c>
      <c r="B388" s="1" t="s">
        <v>773</v>
      </c>
    </row>
    <row r="389" customFormat="false" ht="12.75" hidden="false" customHeight="true" outlineLevel="0" collapsed="false">
      <c r="A389" s="1" t="s">
        <v>775</v>
      </c>
      <c r="B389" s="1" t="s">
        <v>776</v>
      </c>
    </row>
    <row r="390" customFormat="false" ht="12.75" hidden="false" customHeight="true" outlineLevel="0" collapsed="false">
      <c r="A390" s="1" t="s">
        <v>777</v>
      </c>
      <c r="B390" s="1" t="s">
        <v>778</v>
      </c>
    </row>
    <row r="391" customFormat="false" ht="12.75" hidden="false" customHeight="true" outlineLevel="0" collapsed="false">
      <c r="A391" s="1" t="s">
        <v>779</v>
      </c>
      <c r="B391" s="1" t="s">
        <v>780</v>
      </c>
    </row>
    <row r="392" customFormat="false" ht="12.75" hidden="false" customHeight="true" outlineLevel="0" collapsed="false">
      <c r="A392" s="1" t="s">
        <v>781</v>
      </c>
      <c r="B392" s="1" t="s">
        <v>782</v>
      </c>
    </row>
    <row r="393" customFormat="false" ht="12.75" hidden="false" customHeight="true" outlineLevel="0" collapsed="false">
      <c r="A393" s="1" t="s">
        <v>783</v>
      </c>
      <c r="B393" s="1" t="s">
        <v>784</v>
      </c>
    </row>
    <row r="394" customFormat="false" ht="12.75" hidden="false" customHeight="true" outlineLevel="0" collapsed="false">
      <c r="A394" s="1" t="s">
        <v>785</v>
      </c>
      <c r="B394" s="1" t="s">
        <v>786</v>
      </c>
    </row>
    <row r="395" customFormat="false" ht="12.75" hidden="false" customHeight="true" outlineLevel="0" collapsed="false">
      <c r="A395" s="1" t="s">
        <v>787</v>
      </c>
      <c r="B395" s="1" t="s">
        <v>788</v>
      </c>
    </row>
    <row r="396" customFormat="false" ht="12.75" hidden="false" customHeight="true" outlineLevel="0" collapsed="false">
      <c r="A396" s="1" t="s">
        <v>789</v>
      </c>
      <c r="B396" s="1" t="s">
        <v>790</v>
      </c>
    </row>
    <row r="397" customFormat="false" ht="12.75" hidden="false" customHeight="true" outlineLevel="0" collapsed="false">
      <c r="A397" s="1" t="s">
        <v>791</v>
      </c>
      <c r="B397" s="1" t="s">
        <v>790</v>
      </c>
    </row>
    <row r="398" customFormat="false" ht="12.75" hidden="false" customHeight="true" outlineLevel="0" collapsed="false">
      <c r="A398" s="1" t="s">
        <v>792</v>
      </c>
      <c r="B398" s="1" t="s">
        <v>793</v>
      </c>
    </row>
    <row r="399" customFormat="false" ht="12.75" hidden="false" customHeight="true" outlineLevel="0" collapsed="false">
      <c r="A399" s="1" t="s">
        <v>794</v>
      </c>
      <c r="B399" s="1" t="s">
        <v>795</v>
      </c>
    </row>
    <row r="400" customFormat="false" ht="12.75" hidden="false" customHeight="true" outlineLevel="0" collapsed="false">
      <c r="A400" s="1" t="s">
        <v>796</v>
      </c>
      <c r="B400" s="1" t="s">
        <v>797</v>
      </c>
    </row>
    <row r="401" customFormat="false" ht="12.75" hidden="false" customHeight="true" outlineLevel="0" collapsed="false">
      <c r="A401" s="1" t="s">
        <v>798</v>
      </c>
      <c r="B401" s="1" t="s">
        <v>799</v>
      </c>
    </row>
    <row r="402" customFormat="false" ht="12.75" hidden="false" customHeight="true" outlineLevel="0" collapsed="false">
      <c r="A402" s="1" t="s">
        <v>800</v>
      </c>
      <c r="B402" s="1" t="s">
        <v>801</v>
      </c>
    </row>
    <row r="403" customFormat="false" ht="12.75" hidden="false" customHeight="true" outlineLevel="0" collapsed="false">
      <c r="A403" s="1" t="s">
        <v>802</v>
      </c>
      <c r="B403" s="1" t="s">
        <v>803</v>
      </c>
    </row>
    <row r="404" customFormat="false" ht="12.75" hidden="false" customHeight="true" outlineLevel="0" collapsed="false">
      <c r="A404" s="1" t="s">
        <v>804</v>
      </c>
      <c r="B404" s="1" t="s">
        <v>805</v>
      </c>
    </row>
    <row r="405" customFormat="false" ht="12.75" hidden="false" customHeight="true" outlineLevel="0" collapsed="false">
      <c r="A405" s="1" t="s">
        <v>806</v>
      </c>
      <c r="B405" s="1" t="s">
        <v>805</v>
      </c>
    </row>
    <row r="406" customFormat="false" ht="12.75" hidden="false" customHeight="true" outlineLevel="0" collapsed="false">
      <c r="A406" s="1" t="s">
        <v>807</v>
      </c>
      <c r="B406" s="1" t="s">
        <v>808</v>
      </c>
    </row>
    <row r="407" customFormat="false" ht="12.75" hidden="false" customHeight="true" outlineLevel="0" collapsed="false">
      <c r="A407" s="1" t="s">
        <v>809</v>
      </c>
      <c r="B407" s="1" t="s">
        <v>810</v>
      </c>
    </row>
    <row r="408" customFormat="false" ht="12.75" hidden="false" customHeight="true" outlineLevel="0" collapsed="false">
      <c r="A408" s="1" t="s">
        <v>811</v>
      </c>
      <c r="B408" s="1" t="s">
        <v>812</v>
      </c>
    </row>
    <row r="409" customFormat="false" ht="12.75" hidden="false" customHeight="true" outlineLevel="0" collapsed="false">
      <c r="A409" s="1" t="s">
        <v>813</v>
      </c>
      <c r="B409" s="1" t="s">
        <v>814</v>
      </c>
    </row>
    <row r="410" customFormat="false" ht="12.75" hidden="false" customHeight="true" outlineLevel="0" collapsed="false">
      <c r="A410" s="1" t="s">
        <v>815</v>
      </c>
      <c r="B410" s="1" t="s">
        <v>816</v>
      </c>
    </row>
    <row r="411" customFormat="false" ht="12.75" hidden="false" customHeight="true" outlineLevel="0" collapsed="false">
      <c r="A411" s="1" t="s">
        <v>817</v>
      </c>
      <c r="B411" s="1" t="s">
        <v>818</v>
      </c>
    </row>
    <row r="412" customFormat="false" ht="12.75" hidden="false" customHeight="true" outlineLevel="0" collapsed="false">
      <c r="A412" s="1" t="s">
        <v>819</v>
      </c>
      <c r="B412" s="1" t="s">
        <v>820</v>
      </c>
    </row>
    <row r="413" customFormat="false" ht="12.75" hidden="false" customHeight="true" outlineLevel="0" collapsed="false">
      <c r="A413" s="1" t="s">
        <v>821</v>
      </c>
      <c r="B413" s="1" t="s">
        <v>822</v>
      </c>
    </row>
    <row r="414" customFormat="false" ht="12.75" hidden="false" customHeight="true" outlineLevel="0" collapsed="false">
      <c r="A414" s="1" t="s">
        <v>823</v>
      </c>
      <c r="B414" s="1" t="s">
        <v>824</v>
      </c>
    </row>
    <row r="415" customFormat="false" ht="12.75" hidden="false" customHeight="true" outlineLevel="0" collapsed="false">
      <c r="A415" s="1" t="s">
        <v>825</v>
      </c>
      <c r="B415" s="1" t="s">
        <v>826</v>
      </c>
    </row>
    <row r="416" customFormat="false" ht="12.75" hidden="false" customHeight="true" outlineLevel="0" collapsed="false">
      <c r="A416" s="1" t="s">
        <v>827</v>
      </c>
      <c r="B416" s="1" t="s">
        <v>828</v>
      </c>
    </row>
    <row r="417" customFormat="false" ht="12.75" hidden="false" customHeight="true" outlineLevel="0" collapsed="false">
      <c r="A417" s="1" t="s">
        <v>829</v>
      </c>
      <c r="B417" s="1" t="s">
        <v>830</v>
      </c>
    </row>
    <row r="418" customFormat="false" ht="12.75" hidden="false" customHeight="true" outlineLevel="0" collapsed="false">
      <c r="A418" s="1" t="s">
        <v>831</v>
      </c>
      <c r="B418" s="1" t="s">
        <v>832</v>
      </c>
    </row>
    <row r="419" customFormat="false" ht="12.75" hidden="false" customHeight="true" outlineLevel="0" collapsed="false">
      <c r="A419" s="1" t="s">
        <v>833</v>
      </c>
      <c r="B419" s="1" t="s">
        <v>834</v>
      </c>
    </row>
    <row r="420" customFormat="false" ht="12.75" hidden="false" customHeight="true" outlineLevel="0" collapsed="false">
      <c r="A420" s="1" t="s">
        <v>835</v>
      </c>
      <c r="B420" s="1" t="s">
        <v>836</v>
      </c>
    </row>
    <row r="421" customFormat="false" ht="12.75" hidden="false" customHeight="true" outlineLevel="0" collapsed="false">
      <c r="A421" s="1" t="s">
        <v>837</v>
      </c>
      <c r="B421" s="1" t="s">
        <v>838</v>
      </c>
    </row>
    <row r="422" customFormat="false" ht="12.75" hidden="false" customHeight="true" outlineLevel="0" collapsed="false">
      <c r="A422" s="1" t="s">
        <v>839</v>
      </c>
      <c r="B422" s="1" t="s">
        <v>840</v>
      </c>
    </row>
    <row r="423" customFormat="false" ht="12.75" hidden="false" customHeight="true" outlineLevel="0" collapsed="false">
      <c r="A423" s="1" t="s">
        <v>841</v>
      </c>
      <c r="B423" s="1" t="s">
        <v>842</v>
      </c>
    </row>
    <row r="424" customFormat="false" ht="12.75" hidden="false" customHeight="true" outlineLevel="0" collapsed="false">
      <c r="A424" s="1" t="s">
        <v>843</v>
      </c>
      <c r="B424" s="1" t="s">
        <v>844</v>
      </c>
    </row>
    <row r="425" customFormat="false" ht="12.75" hidden="false" customHeight="true" outlineLevel="0" collapsed="false">
      <c r="A425" s="1" t="s">
        <v>845</v>
      </c>
      <c r="B425" s="1" t="s">
        <v>846</v>
      </c>
    </row>
    <row r="426" customFormat="false" ht="12.75" hidden="false" customHeight="true" outlineLevel="0" collapsed="false">
      <c r="A426" s="1" t="s">
        <v>847</v>
      </c>
      <c r="B426" s="1" t="s">
        <v>848</v>
      </c>
    </row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49.12"/>
    <col collapsed="false" customWidth="true" hidden="false" outlineLevel="0" max="26" min="2" style="0" width="11.63"/>
  </cols>
  <sheetData>
    <row r="1" customFormat="false" ht="12.75" hidden="false" customHeight="true" outlineLevel="0" collapsed="false">
      <c r="A1" s="1" t="s">
        <v>849</v>
      </c>
      <c r="B1" s="1" t="n">
        <v>2</v>
      </c>
      <c r="C1" s="1" t="n">
        <v>27</v>
      </c>
      <c r="D1" s="1" t="n">
        <v>0</v>
      </c>
      <c r="E1" s="1" t="s">
        <v>850</v>
      </c>
      <c r="F1" s="1" t="s">
        <v>851</v>
      </c>
      <c r="G1" s="1" t="s">
        <v>851</v>
      </c>
      <c r="H1" s="1" t="s">
        <v>851</v>
      </c>
    </row>
    <row r="2" customFormat="false" ht="12.75" hidden="false" customHeight="true" outlineLevel="0" collapsed="false">
      <c r="A2" s="1" t="s">
        <v>852</v>
      </c>
      <c r="B2" s="1" t="n">
        <v>2</v>
      </c>
      <c r="C2" s="1" t="n">
        <v>28</v>
      </c>
      <c r="D2" s="1" t="n">
        <v>0</v>
      </c>
      <c r="E2" s="1" t="s">
        <v>853</v>
      </c>
      <c r="F2" s="1" t="s">
        <v>851</v>
      </c>
      <c r="G2" s="1" t="s">
        <v>851</v>
      </c>
      <c r="H2" s="1" t="s">
        <v>851</v>
      </c>
    </row>
    <row r="3" customFormat="false" ht="12.75" hidden="false" customHeight="true" outlineLevel="0" collapsed="false">
      <c r="A3" s="1" t="s">
        <v>854</v>
      </c>
      <c r="B3" s="1" t="n">
        <v>2</v>
      </c>
      <c r="C3" s="1" t="n">
        <v>29</v>
      </c>
      <c r="D3" s="1" t="n">
        <v>0</v>
      </c>
      <c r="E3" s="1" t="s">
        <v>855</v>
      </c>
      <c r="F3" s="1" t="s">
        <v>851</v>
      </c>
      <c r="G3" s="1" t="s">
        <v>851</v>
      </c>
      <c r="H3" s="1" t="s">
        <v>851</v>
      </c>
    </row>
    <row r="4" customFormat="false" ht="12.75" hidden="false" customHeight="true" outlineLevel="0" collapsed="false">
      <c r="A4" s="1" t="s">
        <v>856</v>
      </c>
      <c r="B4" s="1" t="n">
        <v>2</v>
      </c>
      <c r="C4" s="1" t="n">
        <v>30</v>
      </c>
      <c r="D4" s="1" t="n">
        <v>0</v>
      </c>
      <c r="E4" s="1" t="s">
        <v>857</v>
      </c>
      <c r="F4" s="1" t="s">
        <v>851</v>
      </c>
      <c r="G4" s="1" t="s">
        <v>851</v>
      </c>
      <c r="H4" s="1" t="s">
        <v>851</v>
      </c>
    </row>
    <row r="5" customFormat="false" ht="12.75" hidden="false" customHeight="true" outlineLevel="0" collapsed="false">
      <c r="A5" s="1" t="s">
        <v>858</v>
      </c>
      <c r="B5" s="1" t="n">
        <v>2</v>
      </c>
      <c r="C5" s="1" t="n">
        <v>31</v>
      </c>
      <c r="D5" s="1" t="n">
        <v>0</v>
      </c>
      <c r="E5" s="1" t="s">
        <v>859</v>
      </c>
      <c r="F5" s="1" t="s">
        <v>851</v>
      </c>
      <c r="G5" s="1" t="s">
        <v>851</v>
      </c>
      <c r="H5" s="1" t="s">
        <v>851</v>
      </c>
    </row>
    <row r="6" customFormat="false" ht="12.75" hidden="false" customHeight="true" outlineLevel="0" collapsed="false">
      <c r="A6" s="1" t="s">
        <v>860</v>
      </c>
      <c r="B6" s="1" t="n">
        <v>2</v>
      </c>
      <c r="C6" s="1" t="n">
        <v>32</v>
      </c>
      <c r="D6" s="1" t="n">
        <v>0</v>
      </c>
      <c r="E6" s="1" t="s">
        <v>861</v>
      </c>
      <c r="F6" s="1" t="s">
        <v>851</v>
      </c>
      <c r="G6" s="1" t="s">
        <v>851</v>
      </c>
      <c r="H6" s="1" t="s">
        <v>851</v>
      </c>
    </row>
    <row r="7" customFormat="false" ht="12.75" hidden="false" customHeight="true" outlineLevel="0" collapsed="false">
      <c r="A7" s="1" t="s">
        <v>862</v>
      </c>
      <c r="B7" s="1" t="n">
        <v>2</v>
      </c>
      <c r="C7" s="1" t="n">
        <v>33</v>
      </c>
      <c r="D7" s="1" t="n">
        <v>0</v>
      </c>
      <c r="E7" s="1" t="s">
        <v>863</v>
      </c>
      <c r="F7" s="1" t="s">
        <v>851</v>
      </c>
      <c r="G7" s="1" t="s">
        <v>851</v>
      </c>
      <c r="H7" s="1" t="s">
        <v>851</v>
      </c>
    </row>
    <row r="8" customFormat="false" ht="12.75" hidden="false" customHeight="true" outlineLevel="0" collapsed="false">
      <c r="A8" s="1" t="s">
        <v>864</v>
      </c>
      <c r="B8" s="1" t="n">
        <v>1</v>
      </c>
      <c r="C8" s="1" t="n">
        <v>0</v>
      </c>
      <c r="D8" s="1" t="n">
        <v>0</v>
      </c>
      <c r="E8" s="1" t="s">
        <v>865</v>
      </c>
      <c r="F8" s="1" t="s">
        <v>851</v>
      </c>
      <c r="G8" s="1" t="s">
        <v>851</v>
      </c>
      <c r="H8" s="1" t="s">
        <v>851</v>
      </c>
    </row>
    <row r="9" customFormat="false" ht="12.75" hidden="false" customHeight="true" outlineLevel="0" collapsed="false">
      <c r="A9" s="1" t="s">
        <v>866</v>
      </c>
      <c r="B9" s="1" t="n">
        <v>1</v>
      </c>
      <c r="C9" s="1" t="n">
        <v>1</v>
      </c>
      <c r="D9" s="1" t="n">
        <v>0</v>
      </c>
      <c r="E9" s="1" t="s">
        <v>867</v>
      </c>
      <c r="F9" s="1" t="s">
        <v>851</v>
      </c>
      <c r="G9" s="1" t="s">
        <v>851</v>
      </c>
      <c r="H9" s="1" t="s">
        <v>851</v>
      </c>
    </row>
    <row r="10" customFormat="false" ht="12.75" hidden="false" customHeight="true" outlineLevel="0" collapsed="false">
      <c r="A10" s="1" t="s">
        <v>868</v>
      </c>
      <c r="B10" s="1" t="n">
        <v>1</v>
      </c>
      <c r="C10" s="1" t="n">
        <v>2</v>
      </c>
      <c r="D10" s="1" t="n">
        <v>0</v>
      </c>
      <c r="E10" s="1" t="s">
        <v>869</v>
      </c>
      <c r="F10" s="1" t="s">
        <v>851</v>
      </c>
      <c r="G10" s="1" t="s">
        <v>851</v>
      </c>
      <c r="H10" s="1" t="s">
        <v>851</v>
      </c>
    </row>
    <row r="11" customFormat="false" ht="12.75" hidden="false" customHeight="true" outlineLevel="0" collapsed="false">
      <c r="A11" s="1" t="s">
        <v>870</v>
      </c>
      <c r="B11" s="1" t="n">
        <v>1</v>
      </c>
      <c r="C11" s="1" t="n">
        <v>3</v>
      </c>
      <c r="D11" s="1" t="n">
        <v>0</v>
      </c>
      <c r="E11" s="1" t="s">
        <v>871</v>
      </c>
      <c r="F11" s="1" t="s">
        <v>851</v>
      </c>
      <c r="G11" s="1" t="s">
        <v>851</v>
      </c>
      <c r="H11" s="1" t="s">
        <v>851</v>
      </c>
    </row>
    <row r="12" customFormat="false" ht="12.75" hidden="false" customHeight="true" outlineLevel="0" collapsed="false">
      <c r="A12" s="1" t="s">
        <v>872</v>
      </c>
      <c r="B12" s="1" t="n">
        <v>1</v>
      </c>
      <c r="C12" s="1" t="n">
        <v>4</v>
      </c>
      <c r="D12" s="1" t="n">
        <v>0</v>
      </c>
      <c r="E12" s="1" t="s">
        <v>851</v>
      </c>
      <c r="F12" s="1" t="s">
        <v>873</v>
      </c>
      <c r="G12" s="1" t="s">
        <v>851</v>
      </c>
      <c r="H12" s="1" t="s">
        <v>874</v>
      </c>
    </row>
    <row r="13" customFormat="false" ht="12.75" hidden="false" customHeight="true" outlineLevel="0" collapsed="false">
      <c r="A13" s="1" t="s">
        <v>875</v>
      </c>
      <c r="B13" s="1" t="n">
        <v>1</v>
      </c>
      <c r="C13" s="1" t="n">
        <v>37</v>
      </c>
      <c r="D13" s="1" t="n">
        <v>0</v>
      </c>
      <c r="E13" s="1" t="s">
        <v>876</v>
      </c>
      <c r="F13" s="1" t="s">
        <v>851</v>
      </c>
      <c r="G13" s="1" t="s">
        <v>851</v>
      </c>
      <c r="H13" s="1" t="s">
        <v>851</v>
      </c>
    </row>
    <row r="14" customFormat="false" ht="12.75" hidden="false" customHeight="true" outlineLevel="0" collapsed="false">
      <c r="A14" s="1" t="s">
        <v>877</v>
      </c>
      <c r="B14" s="1" t="n">
        <v>1</v>
      </c>
      <c r="C14" s="1" t="n">
        <v>39</v>
      </c>
      <c r="D14" s="1" t="n">
        <v>0</v>
      </c>
      <c r="E14" s="1" t="s">
        <v>878</v>
      </c>
      <c r="F14" s="1" t="s">
        <v>851</v>
      </c>
      <c r="G14" s="1" t="s">
        <v>851</v>
      </c>
      <c r="H14" s="1" t="s">
        <v>851</v>
      </c>
    </row>
    <row r="15" customFormat="false" ht="12.75" hidden="false" customHeight="true" outlineLevel="0" collapsed="false">
      <c r="A15" s="1" t="s">
        <v>879</v>
      </c>
      <c r="B15" s="1" t="n">
        <v>1</v>
      </c>
      <c r="C15" s="1" t="n">
        <v>40</v>
      </c>
      <c r="D15" s="1" t="n">
        <v>0</v>
      </c>
      <c r="E15" s="1" t="s">
        <v>880</v>
      </c>
      <c r="F15" s="1" t="s">
        <v>851</v>
      </c>
      <c r="G15" s="1" t="s">
        <v>851</v>
      </c>
      <c r="H15" s="1" t="s">
        <v>851</v>
      </c>
    </row>
    <row r="16" customFormat="false" ht="12.75" hidden="false" customHeight="true" outlineLevel="0" collapsed="false">
      <c r="A16" s="1" t="s">
        <v>881</v>
      </c>
      <c r="B16" s="1" t="n">
        <v>1</v>
      </c>
      <c r="C16" s="1" t="n">
        <v>41</v>
      </c>
      <c r="D16" s="1" t="n">
        <v>0</v>
      </c>
      <c r="E16" s="1" t="s">
        <v>882</v>
      </c>
      <c r="F16" s="1" t="s">
        <v>851</v>
      </c>
      <c r="G16" s="1" t="s">
        <v>851</v>
      </c>
      <c r="H16" s="1" t="s">
        <v>851</v>
      </c>
    </row>
    <row r="17" customFormat="false" ht="12.75" hidden="false" customHeight="true" outlineLevel="0" collapsed="false">
      <c r="A17" s="1" t="s">
        <v>883</v>
      </c>
      <c r="B17" s="1" t="n">
        <v>1</v>
      </c>
      <c r="C17" s="1" t="n">
        <v>59</v>
      </c>
      <c r="D17" s="1" t="n">
        <v>0</v>
      </c>
      <c r="E17" s="1" t="s">
        <v>884</v>
      </c>
      <c r="F17" s="1" t="s">
        <v>851</v>
      </c>
      <c r="G17" s="1" t="s">
        <v>851</v>
      </c>
      <c r="H17" s="1" t="s">
        <v>851</v>
      </c>
    </row>
    <row r="18" customFormat="false" ht="12.75" hidden="false" customHeight="true" outlineLevel="0" collapsed="false">
      <c r="A18" s="1" t="s">
        <v>885</v>
      </c>
      <c r="B18" s="1" t="n">
        <v>1</v>
      </c>
      <c r="C18" s="1" t="n">
        <v>60</v>
      </c>
      <c r="D18" s="1" t="n">
        <v>0</v>
      </c>
      <c r="E18" s="1" t="s">
        <v>886</v>
      </c>
      <c r="F18" s="1" t="s">
        <v>851</v>
      </c>
      <c r="G18" s="1" t="s">
        <v>851</v>
      </c>
      <c r="H18" s="1" t="s">
        <v>851</v>
      </c>
    </row>
    <row r="19" customFormat="false" ht="12.75" hidden="false" customHeight="true" outlineLevel="0" collapsed="false">
      <c r="A19" s="1" t="s">
        <v>887</v>
      </c>
      <c r="B19" s="1" t="n">
        <v>1</v>
      </c>
      <c r="C19" s="1" t="n">
        <v>61</v>
      </c>
      <c r="D19" s="1" t="n">
        <v>0</v>
      </c>
      <c r="E19" s="1" t="s">
        <v>888</v>
      </c>
      <c r="F19" s="1" t="s">
        <v>851</v>
      </c>
      <c r="G19" s="1" t="s">
        <v>851</v>
      </c>
      <c r="H19" s="1" t="s">
        <v>851</v>
      </c>
    </row>
    <row r="20" customFormat="false" ht="12.75" hidden="false" customHeight="true" outlineLevel="0" collapsed="false">
      <c r="A20" s="1" t="s">
        <v>889</v>
      </c>
      <c r="B20" s="1" t="n">
        <v>1</v>
      </c>
      <c r="C20" s="1" t="n">
        <v>62</v>
      </c>
      <c r="D20" s="1" t="n">
        <v>0</v>
      </c>
      <c r="E20" s="1" t="s">
        <v>890</v>
      </c>
      <c r="F20" s="1" t="s">
        <v>851</v>
      </c>
      <c r="G20" s="1" t="s">
        <v>851</v>
      </c>
      <c r="H20" s="1" t="s">
        <v>851</v>
      </c>
    </row>
    <row r="21" customFormat="false" ht="12.75" hidden="false" customHeight="true" outlineLevel="0" collapsed="false">
      <c r="A21" s="1" t="s">
        <v>891</v>
      </c>
      <c r="B21" s="1" t="n">
        <v>1</v>
      </c>
      <c r="C21" s="1" t="n">
        <v>63</v>
      </c>
      <c r="D21" s="1" t="n">
        <v>0</v>
      </c>
      <c r="E21" s="1" t="s">
        <v>892</v>
      </c>
      <c r="F21" s="1" t="s">
        <v>893</v>
      </c>
      <c r="G21" s="1" t="s">
        <v>851</v>
      </c>
      <c r="H21" s="1" t="s">
        <v>894</v>
      </c>
    </row>
    <row r="22" customFormat="false" ht="12.75" hidden="false" customHeight="true" outlineLevel="0" collapsed="false">
      <c r="A22" s="1" t="s">
        <v>895</v>
      </c>
      <c r="B22" s="1" t="n">
        <v>1</v>
      </c>
      <c r="C22" s="1" t="n">
        <v>64</v>
      </c>
      <c r="D22" s="1" t="n">
        <v>0</v>
      </c>
      <c r="E22" s="1" t="s">
        <v>896</v>
      </c>
      <c r="F22" s="1" t="s">
        <v>897</v>
      </c>
      <c r="G22" s="1" t="s">
        <v>851</v>
      </c>
      <c r="H22" s="1" t="s">
        <v>898</v>
      </c>
    </row>
    <row r="23" customFormat="false" ht="12.75" hidden="false" customHeight="true" outlineLevel="0" collapsed="false">
      <c r="A23" s="1" t="s">
        <v>899</v>
      </c>
      <c r="B23" s="1" t="n">
        <v>1</v>
      </c>
      <c r="C23" s="1" t="n">
        <v>65</v>
      </c>
      <c r="D23" s="1" t="n">
        <v>0</v>
      </c>
      <c r="E23" s="1" t="s">
        <v>900</v>
      </c>
      <c r="F23" s="1" t="s">
        <v>901</v>
      </c>
      <c r="G23" s="1" t="s">
        <v>851</v>
      </c>
      <c r="H23" s="1" t="s">
        <v>902</v>
      </c>
    </row>
    <row r="24" customFormat="false" ht="12.75" hidden="false" customHeight="true" outlineLevel="0" collapsed="false">
      <c r="A24" s="1" t="s">
        <v>903</v>
      </c>
      <c r="B24" s="1" t="n">
        <v>1</v>
      </c>
      <c r="C24" s="1" t="n">
        <v>66</v>
      </c>
      <c r="D24" s="1" t="n">
        <v>0</v>
      </c>
      <c r="E24" s="1" t="s">
        <v>904</v>
      </c>
      <c r="F24" s="1" t="s">
        <v>905</v>
      </c>
      <c r="G24" s="1" t="s">
        <v>851</v>
      </c>
      <c r="H24" s="1" t="s">
        <v>906</v>
      </c>
    </row>
    <row r="25" customFormat="false" ht="12.75" hidden="false" customHeight="true" outlineLevel="0" collapsed="false">
      <c r="A25" s="1" t="s">
        <v>907</v>
      </c>
      <c r="B25" s="1" t="n">
        <v>1</v>
      </c>
      <c r="C25" s="1" t="n">
        <v>72</v>
      </c>
      <c r="D25" s="1" t="n">
        <v>0</v>
      </c>
      <c r="E25" s="1" t="s">
        <v>908</v>
      </c>
      <c r="F25" s="1" t="s">
        <v>909</v>
      </c>
      <c r="G25" s="1" t="s">
        <v>851</v>
      </c>
      <c r="H25" s="1" t="s">
        <v>910</v>
      </c>
    </row>
    <row r="26" customFormat="false" ht="12.75" hidden="false" customHeight="true" outlineLevel="0" collapsed="false">
      <c r="A26" s="1" t="s">
        <v>911</v>
      </c>
      <c r="B26" s="1" t="n">
        <v>1</v>
      </c>
      <c r="C26" s="1" t="n">
        <v>73</v>
      </c>
      <c r="D26" s="1" t="n">
        <v>0</v>
      </c>
      <c r="E26" s="1" t="s">
        <v>912</v>
      </c>
      <c r="F26" s="1" t="s">
        <v>851</v>
      </c>
      <c r="G26" s="1" t="s">
        <v>851</v>
      </c>
      <c r="H26" s="1" t="s">
        <v>851</v>
      </c>
    </row>
    <row r="27" customFormat="false" ht="12.75" hidden="false" customHeight="true" outlineLevel="0" collapsed="false">
      <c r="A27" s="1" t="s">
        <v>913</v>
      </c>
      <c r="B27" s="1" t="n">
        <v>1</v>
      </c>
      <c r="C27" s="1" t="n">
        <v>74</v>
      </c>
      <c r="D27" s="1" t="n">
        <v>0</v>
      </c>
      <c r="E27" s="1" t="s">
        <v>914</v>
      </c>
      <c r="F27" s="1" t="s">
        <v>915</v>
      </c>
      <c r="G27" s="1" t="s">
        <v>851</v>
      </c>
      <c r="H27" s="1" t="s">
        <v>916</v>
      </c>
    </row>
    <row r="28" customFormat="false" ht="12.75" hidden="false" customHeight="true" outlineLevel="0" collapsed="false">
      <c r="A28" s="1" t="s">
        <v>917</v>
      </c>
      <c r="B28" s="1" t="n">
        <v>1</v>
      </c>
      <c r="C28" s="1" t="n">
        <v>81</v>
      </c>
      <c r="D28" s="1" t="n">
        <v>0</v>
      </c>
      <c r="E28" s="1" t="s">
        <v>918</v>
      </c>
      <c r="F28" s="1" t="s">
        <v>851</v>
      </c>
      <c r="G28" s="1" t="s">
        <v>851</v>
      </c>
      <c r="H28" s="1" t="s">
        <v>851</v>
      </c>
    </row>
    <row r="29" customFormat="false" ht="12.75" hidden="false" customHeight="true" outlineLevel="0" collapsed="false">
      <c r="A29" s="1" t="s">
        <v>919</v>
      </c>
      <c r="B29" s="1" t="n">
        <v>1</v>
      </c>
      <c r="C29" s="1" t="n">
        <v>82</v>
      </c>
      <c r="D29" s="1" t="n">
        <v>0</v>
      </c>
      <c r="E29" s="1" t="s">
        <v>920</v>
      </c>
      <c r="F29" s="1" t="s">
        <v>851</v>
      </c>
      <c r="G29" s="1" t="s">
        <v>921</v>
      </c>
      <c r="H29" s="1" t="s">
        <v>851</v>
      </c>
    </row>
    <row r="30" customFormat="false" ht="12.75" hidden="false" customHeight="true" outlineLevel="0" collapsed="false">
      <c r="A30" s="1" t="s">
        <v>922</v>
      </c>
      <c r="B30" s="1" t="n">
        <v>1</v>
      </c>
      <c r="C30" s="1" t="n">
        <v>83</v>
      </c>
      <c r="D30" s="1" t="n">
        <v>0</v>
      </c>
      <c r="E30" s="1" t="s">
        <v>923</v>
      </c>
      <c r="F30" s="1" t="s">
        <v>851</v>
      </c>
      <c r="G30" s="1" t="s">
        <v>851</v>
      </c>
      <c r="H30" s="1" t="s">
        <v>851</v>
      </c>
    </row>
    <row r="31" customFormat="false" ht="12.75" hidden="false" customHeight="true" outlineLevel="0" collapsed="false">
      <c r="A31" s="1" t="s">
        <v>924</v>
      </c>
      <c r="B31" s="1" t="n">
        <v>1</v>
      </c>
      <c r="C31" s="1" t="n">
        <v>84</v>
      </c>
      <c r="D31" s="1" t="n">
        <v>0</v>
      </c>
      <c r="E31" s="1" t="s">
        <v>925</v>
      </c>
      <c r="F31" s="1" t="s">
        <v>851</v>
      </c>
      <c r="G31" s="1" t="s">
        <v>851</v>
      </c>
      <c r="H31" s="1" t="s">
        <v>851</v>
      </c>
    </row>
    <row r="32" customFormat="false" ht="12.75" hidden="false" customHeight="true" outlineLevel="0" collapsed="false">
      <c r="A32" s="1" t="s">
        <v>926</v>
      </c>
      <c r="B32" s="1" t="n">
        <v>1</v>
      </c>
      <c r="C32" s="1" t="n">
        <v>85</v>
      </c>
      <c r="D32" s="1" t="n">
        <v>0</v>
      </c>
      <c r="E32" s="1" t="s">
        <v>927</v>
      </c>
      <c r="F32" s="1" t="s">
        <v>851</v>
      </c>
      <c r="G32" s="1" t="s">
        <v>851</v>
      </c>
      <c r="H32" s="1" t="s">
        <v>851</v>
      </c>
    </row>
    <row r="33" customFormat="false" ht="12.75" hidden="false" customHeight="true" outlineLevel="0" collapsed="false">
      <c r="A33" s="1" t="s">
        <v>928</v>
      </c>
      <c r="B33" s="1" t="n">
        <v>1</v>
      </c>
      <c r="C33" s="1" t="n">
        <v>86</v>
      </c>
      <c r="D33" s="1" t="n">
        <v>0</v>
      </c>
      <c r="E33" s="1" t="s">
        <v>929</v>
      </c>
      <c r="F33" s="1" t="s">
        <v>930</v>
      </c>
      <c r="G33" s="1" t="s">
        <v>851</v>
      </c>
      <c r="H33" s="1" t="s">
        <v>931</v>
      </c>
    </row>
    <row r="34" customFormat="false" ht="12.75" hidden="false" customHeight="true" outlineLevel="0" collapsed="false">
      <c r="A34" s="1" t="s">
        <v>932</v>
      </c>
      <c r="B34" s="1" t="n">
        <v>1</v>
      </c>
      <c r="C34" s="1" t="n">
        <v>87</v>
      </c>
      <c r="D34" s="1" t="n">
        <v>0</v>
      </c>
      <c r="E34" s="1" t="s">
        <v>933</v>
      </c>
      <c r="F34" s="1" t="s">
        <v>934</v>
      </c>
      <c r="G34" s="1" t="s">
        <v>851</v>
      </c>
      <c r="H34" s="1" t="s">
        <v>935</v>
      </c>
    </row>
    <row r="35" customFormat="false" ht="12.75" hidden="false" customHeight="true" outlineLevel="0" collapsed="false">
      <c r="A35" s="1" t="s">
        <v>936</v>
      </c>
      <c r="B35" s="1" t="n">
        <v>1</v>
      </c>
      <c r="C35" s="1" t="n">
        <v>90</v>
      </c>
      <c r="D35" s="1" t="n">
        <v>0</v>
      </c>
      <c r="E35" s="1" t="s">
        <v>937</v>
      </c>
      <c r="F35" s="1" t="s">
        <v>851</v>
      </c>
      <c r="G35" s="1" t="s">
        <v>851</v>
      </c>
      <c r="H35" s="1" t="s">
        <v>851</v>
      </c>
    </row>
    <row r="36" customFormat="false" ht="12.75" hidden="false" customHeight="true" outlineLevel="0" collapsed="false">
      <c r="A36" s="1" t="s">
        <v>938</v>
      </c>
      <c r="B36" s="1" t="n">
        <v>1</v>
      </c>
      <c r="C36" s="1" t="n">
        <v>91</v>
      </c>
      <c r="D36" s="1" t="n">
        <v>0</v>
      </c>
      <c r="E36" s="1" t="s">
        <v>939</v>
      </c>
      <c r="F36" s="1" t="s">
        <v>851</v>
      </c>
      <c r="G36" s="1" t="s">
        <v>851</v>
      </c>
      <c r="H36" s="1" t="s">
        <v>851</v>
      </c>
    </row>
    <row r="37" customFormat="false" ht="12.75" hidden="false" customHeight="true" outlineLevel="0" collapsed="false">
      <c r="A37" s="1" t="s">
        <v>940</v>
      </c>
      <c r="B37" s="1" t="n">
        <v>1</v>
      </c>
      <c r="C37" s="1" t="n">
        <v>92</v>
      </c>
      <c r="D37" s="1" t="n">
        <v>0</v>
      </c>
      <c r="E37" s="1" t="s">
        <v>941</v>
      </c>
      <c r="F37" s="1" t="s">
        <v>851</v>
      </c>
      <c r="G37" s="1" t="s">
        <v>851</v>
      </c>
      <c r="H37" s="1" t="s">
        <v>851</v>
      </c>
    </row>
    <row r="38" customFormat="false" ht="12.75" hidden="false" customHeight="true" outlineLevel="0" collapsed="false">
      <c r="A38" s="1" t="s">
        <v>942</v>
      </c>
      <c r="B38" s="1" t="n">
        <v>1</v>
      </c>
      <c r="C38" s="1" t="n">
        <v>93</v>
      </c>
      <c r="D38" s="1" t="n">
        <v>0</v>
      </c>
      <c r="E38" s="1" t="s">
        <v>943</v>
      </c>
      <c r="F38" s="1" t="s">
        <v>851</v>
      </c>
      <c r="G38" s="1" t="s">
        <v>851</v>
      </c>
      <c r="H38" s="1" t="s">
        <v>851</v>
      </c>
    </row>
    <row r="39" customFormat="false" ht="12.75" hidden="false" customHeight="true" outlineLevel="0" collapsed="false">
      <c r="A39" s="1" t="s">
        <v>944</v>
      </c>
      <c r="B39" s="1" t="n">
        <v>1</v>
      </c>
      <c r="C39" s="1" t="n">
        <v>94</v>
      </c>
      <c r="D39" s="1" t="n">
        <v>0</v>
      </c>
      <c r="E39" s="1" t="s">
        <v>945</v>
      </c>
      <c r="F39" s="1" t="s">
        <v>851</v>
      </c>
      <c r="G39" s="1" t="s">
        <v>851</v>
      </c>
      <c r="H39" s="1" t="s">
        <v>851</v>
      </c>
    </row>
    <row r="40" customFormat="false" ht="12.75" hidden="false" customHeight="true" outlineLevel="0" collapsed="false">
      <c r="A40" s="1" t="s">
        <v>946</v>
      </c>
      <c r="B40" s="1" t="n">
        <v>1</v>
      </c>
      <c r="C40" s="1" t="n">
        <v>95</v>
      </c>
      <c r="D40" s="1" t="n">
        <v>0</v>
      </c>
      <c r="E40" s="1" t="s">
        <v>947</v>
      </c>
      <c r="F40" s="1" t="s">
        <v>851</v>
      </c>
      <c r="G40" s="1" t="s">
        <v>851</v>
      </c>
      <c r="H40" s="1" t="s">
        <v>851</v>
      </c>
    </row>
    <row r="41" customFormat="false" ht="12.75" hidden="false" customHeight="true" outlineLevel="0" collapsed="false">
      <c r="A41" s="1" t="s">
        <v>948</v>
      </c>
      <c r="B41" s="1" t="n">
        <v>1</v>
      </c>
      <c r="C41" s="1" t="n">
        <v>97</v>
      </c>
      <c r="D41" s="1" t="n">
        <v>0</v>
      </c>
      <c r="E41" s="1" t="s">
        <v>949</v>
      </c>
      <c r="F41" s="1" t="s">
        <v>851</v>
      </c>
      <c r="G41" s="1" t="s">
        <v>950</v>
      </c>
      <c r="H41" s="1" t="s">
        <v>851</v>
      </c>
    </row>
    <row r="42" customFormat="false" ht="12.75" hidden="false" customHeight="true" outlineLevel="0" collapsed="false">
      <c r="A42" s="1" t="s">
        <v>951</v>
      </c>
      <c r="B42" s="1" t="n">
        <v>1</v>
      </c>
      <c r="C42" s="1" t="n">
        <v>98</v>
      </c>
      <c r="D42" s="1" t="n">
        <v>0</v>
      </c>
      <c r="E42" s="1" t="s">
        <v>952</v>
      </c>
      <c r="F42" s="1" t="s">
        <v>851</v>
      </c>
      <c r="G42" s="1" t="s">
        <v>851</v>
      </c>
      <c r="H42" s="1" t="s">
        <v>851</v>
      </c>
    </row>
    <row r="43" customFormat="false" ht="12.75" hidden="false" customHeight="true" outlineLevel="0" collapsed="false">
      <c r="A43" s="1" t="s">
        <v>953</v>
      </c>
      <c r="B43" s="1" t="n">
        <v>1</v>
      </c>
      <c r="C43" s="1" t="n">
        <v>99</v>
      </c>
      <c r="D43" s="1" t="n">
        <v>0</v>
      </c>
      <c r="E43" s="1" t="s">
        <v>954</v>
      </c>
      <c r="F43" s="1" t="s">
        <v>851</v>
      </c>
      <c r="G43" s="1" t="s">
        <v>955</v>
      </c>
      <c r="H43" s="1" t="s">
        <v>851</v>
      </c>
    </row>
    <row r="44" customFormat="false" ht="12.75" hidden="false" customHeight="true" outlineLevel="0" collapsed="false">
      <c r="A44" s="1" t="s">
        <v>956</v>
      </c>
      <c r="B44" s="1" t="n">
        <v>1</v>
      </c>
      <c r="C44" s="1" t="n">
        <v>100</v>
      </c>
      <c r="D44" s="1" t="n">
        <v>0</v>
      </c>
      <c r="E44" s="1" t="s">
        <v>957</v>
      </c>
      <c r="F44" s="1" t="s">
        <v>851</v>
      </c>
      <c r="G44" s="1" t="s">
        <v>851</v>
      </c>
      <c r="H44" s="1" t="s">
        <v>851</v>
      </c>
    </row>
    <row r="45" customFormat="false" ht="12.75" hidden="false" customHeight="true" outlineLevel="0" collapsed="false">
      <c r="A45" s="1" t="s">
        <v>958</v>
      </c>
      <c r="B45" s="1" t="n">
        <v>1</v>
      </c>
      <c r="C45" s="1" t="n">
        <v>103</v>
      </c>
      <c r="D45" s="1" t="n">
        <v>0</v>
      </c>
      <c r="E45" s="1" t="s">
        <v>959</v>
      </c>
      <c r="F45" s="1" t="s">
        <v>851</v>
      </c>
      <c r="G45" s="1" t="s">
        <v>960</v>
      </c>
      <c r="H45" s="1" t="s">
        <v>851</v>
      </c>
    </row>
    <row r="46" customFormat="false" ht="12.75" hidden="false" customHeight="true" outlineLevel="0" collapsed="false">
      <c r="A46" s="1" t="s">
        <v>961</v>
      </c>
      <c r="B46" s="1" t="n">
        <v>1</v>
      </c>
      <c r="C46" s="1" t="n">
        <v>104</v>
      </c>
      <c r="D46" s="1" t="n">
        <v>0</v>
      </c>
      <c r="E46" s="1" t="s">
        <v>962</v>
      </c>
      <c r="F46" s="1" t="s">
        <v>851</v>
      </c>
      <c r="G46" s="1" t="s">
        <v>963</v>
      </c>
      <c r="H46" s="1" t="s">
        <v>851</v>
      </c>
    </row>
    <row r="47" customFormat="false" ht="12.75" hidden="false" customHeight="true" outlineLevel="0" collapsed="false">
      <c r="A47" s="1" t="s">
        <v>964</v>
      </c>
      <c r="B47" s="1" t="n">
        <v>1</v>
      </c>
      <c r="C47" s="1" t="n">
        <v>105</v>
      </c>
      <c r="D47" s="1" t="n">
        <v>0</v>
      </c>
      <c r="E47" s="1" t="s">
        <v>965</v>
      </c>
      <c r="F47" s="1" t="s">
        <v>851</v>
      </c>
      <c r="G47" s="1" t="s">
        <v>966</v>
      </c>
      <c r="H47" s="1" t="s">
        <v>851</v>
      </c>
    </row>
    <row r="48" customFormat="false" ht="12.75" hidden="false" customHeight="true" outlineLevel="0" collapsed="false">
      <c r="A48" s="1" t="s">
        <v>967</v>
      </c>
      <c r="B48" s="1" t="n">
        <v>1</v>
      </c>
      <c r="C48" s="1" t="n">
        <v>106</v>
      </c>
      <c r="D48" s="1" t="n">
        <v>0</v>
      </c>
      <c r="E48" s="1" t="s">
        <v>968</v>
      </c>
      <c r="F48" s="1" t="s">
        <v>851</v>
      </c>
      <c r="G48" s="1" t="s">
        <v>969</v>
      </c>
      <c r="H48" s="1" t="s">
        <v>851</v>
      </c>
    </row>
    <row r="49" customFormat="false" ht="12.75" hidden="false" customHeight="true" outlineLevel="0" collapsed="false">
      <c r="A49" s="1" t="s">
        <v>970</v>
      </c>
      <c r="B49" s="1" t="n">
        <v>1</v>
      </c>
      <c r="C49" s="1" t="n">
        <v>107</v>
      </c>
      <c r="D49" s="1" t="n">
        <v>0</v>
      </c>
      <c r="E49" s="1" t="s">
        <v>971</v>
      </c>
      <c r="F49" s="1" t="s">
        <v>851</v>
      </c>
      <c r="G49" s="1" t="s">
        <v>972</v>
      </c>
      <c r="H49" s="1" t="s">
        <v>851</v>
      </c>
    </row>
    <row r="50" customFormat="false" ht="12.75" hidden="false" customHeight="true" outlineLevel="0" collapsed="false">
      <c r="A50" s="1" t="s">
        <v>973</v>
      </c>
      <c r="B50" s="1" t="n">
        <v>1</v>
      </c>
      <c r="C50" s="1" t="n">
        <v>108</v>
      </c>
      <c r="D50" s="1" t="n">
        <v>0</v>
      </c>
      <c r="E50" s="1" t="s">
        <v>974</v>
      </c>
      <c r="F50" s="1" t="s">
        <v>851</v>
      </c>
      <c r="G50" s="1" t="s">
        <v>975</v>
      </c>
      <c r="H50" s="1" t="s">
        <v>851</v>
      </c>
    </row>
    <row r="51" customFormat="false" ht="12.75" hidden="false" customHeight="true" outlineLevel="0" collapsed="false">
      <c r="A51" s="1" t="s">
        <v>976</v>
      </c>
      <c r="B51" s="1" t="n">
        <v>1</v>
      </c>
      <c r="C51" s="1" t="n">
        <v>109</v>
      </c>
      <c r="D51" s="1" t="n">
        <v>0</v>
      </c>
      <c r="E51" s="1" t="s">
        <v>977</v>
      </c>
      <c r="F51" s="1" t="s">
        <v>978</v>
      </c>
      <c r="G51" s="1" t="s">
        <v>851</v>
      </c>
      <c r="H51" s="1" t="s">
        <v>979</v>
      </c>
    </row>
    <row r="52" customFormat="false" ht="12.75" hidden="false" customHeight="true" outlineLevel="0" collapsed="false">
      <c r="A52" s="1" t="s">
        <v>980</v>
      </c>
      <c r="B52" s="1" t="n">
        <v>1</v>
      </c>
      <c r="C52" s="1" t="n">
        <v>110</v>
      </c>
      <c r="D52" s="1" t="n">
        <v>0</v>
      </c>
      <c r="E52" s="1" t="s">
        <v>981</v>
      </c>
      <c r="F52" s="1" t="s">
        <v>982</v>
      </c>
      <c r="G52" s="1" t="s">
        <v>851</v>
      </c>
      <c r="H52" s="1" t="s">
        <v>983</v>
      </c>
    </row>
    <row r="53" customFormat="false" ht="12.75" hidden="false" customHeight="true" outlineLevel="0" collapsed="false">
      <c r="A53" s="1" t="s">
        <v>984</v>
      </c>
      <c r="B53" s="1" t="n">
        <v>1</v>
      </c>
      <c r="C53" s="1" t="n">
        <v>111</v>
      </c>
      <c r="D53" s="1" t="n">
        <v>0</v>
      </c>
      <c r="E53" s="1" t="s">
        <v>985</v>
      </c>
      <c r="F53" s="1" t="s">
        <v>851</v>
      </c>
      <c r="G53" s="1" t="s">
        <v>851</v>
      </c>
      <c r="H53" s="1" t="s">
        <v>851</v>
      </c>
    </row>
    <row r="54" customFormat="false" ht="12.75" hidden="false" customHeight="true" outlineLevel="0" collapsed="false">
      <c r="A54" s="1" t="s">
        <v>986</v>
      </c>
      <c r="B54" s="1" t="n">
        <v>1</v>
      </c>
      <c r="C54" s="1" t="n">
        <v>112</v>
      </c>
      <c r="D54" s="1" t="n">
        <v>0</v>
      </c>
      <c r="E54" s="1" t="s">
        <v>987</v>
      </c>
      <c r="F54" s="1" t="s">
        <v>851</v>
      </c>
      <c r="G54" s="1" t="s">
        <v>851</v>
      </c>
      <c r="H54" s="1" t="s">
        <v>851</v>
      </c>
    </row>
    <row r="55" customFormat="false" ht="12.75" hidden="false" customHeight="true" outlineLevel="0" collapsed="false">
      <c r="A55" s="1" t="s">
        <v>988</v>
      </c>
      <c r="B55" s="1" t="n">
        <v>1</v>
      </c>
      <c r="C55" s="1" t="n">
        <v>113</v>
      </c>
      <c r="D55" s="1" t="n">
        <v>0</v>
      </c>
      <c r="E55" s="1" t="s">
        <v>989</v>
      </c>
      <c r="F55" s="1" t="s">
        <v>990</v>
      </c>
      <c r="G55" s="1" t="s">
        <v>851</v>
      </c>
      <c r="H55" s="1" t="s">
        <v>991</v>
      </c>
    </row>
    <row r="56" customFormat="false" ht="12.75" hidden="false" customHeight="true" outlineLevel="0" collapsed="false">
      <c r="A56" s="1" t="s">
        <v>992</v>
      </c>
      <c r="B56" s="1" t="n">
        <v>1</v>
      </c>
      <c r="C56" s="1" t="n">
        <v>121</v>
      </c>
      <c r="D56" s="1" t="n">
        <v>0</v>
      </c>
      <c r="E56" s="1" t="s">
        <v>993</v>
      </c>
      <c r="F56" s="1" t="s">
        <v>851</v>
      </c>
      <c r="G56" s="1" t="s">
        <v>851</v>
      </c>
      <c r="H56" s="1" t="s">
        <v>851</v>
      </c>
    </row>
    <row r="57" customFormat="false" ht="12.75" hidden="false" customHeight="true" outlineLevel="0" collapsed="false">
      <c r="A57" s="1" t="s">
        <v>994</v>
      </c>
      <c r="B57" s="1" t="n">
        <v>2</v>
      </c>
      <c r="C57" s="1" t="n">
        <v>13</v>
      </c>
      <c r="D57" s="1" t="n">
        <v>0</v>
      </c>
      <c r="E57" s="1" t="s">
        <v>995</v>
      </c>
      <c r="F57" s="1" t="s">
        <v>851</v>
      </c>
      <c r="G57" s="1" t="s">
        <v>851</v>
      </c>
      <c r="H57" s="1" t="s">
        <v>851</v>
      </c>
    </row>
    <row r="58" customFormat="false" ht="12.75" hidden="false" customHeight="true" outlineLevel="0" collapsed="false">
      <c r="A58" s="1" t="s">
        <v>996</v>
      </c>
      <c r="B58" s="1" t="n">
        <v>2</v>
      </c>
      <c r="C58" s="1" t="n">
        <v>14</v>
      </c>
      <c r="D58" s="1" t="n">
        <v>0</v>
      </c>
      <c r="E58" s="1" t="s">
        <v>997</v>
      </c>
      <c r="F58" s="1" t="s">
        <v>851</v>
      </c>
      <c r="G58" s="1" t="s">
        <v>851</v>
      </c>
      <c r="H58" s="1" t="s">
        <v>851</v>
      </c>
    </row>
    <row r="59" customFormat="false" ht="12.75" hidden="false" customHeight="true" outlineLevel="0" collapsed="false">
      <c r="A59" s="1" t="s">
        <v>998</v>
      </c>
      <c r="B59" s="1" t="n">
        <v>2</v>
      </c>
      <c r="C59" s="1" t="n">
        <v>15</v>
      </c>
      <c r="D59" s="1" t="n">
        <v>0</v>
      </c>
      <c r="E59" s="1" t="s">
        <v>999</v>
      </c>
      <c r="F59" s="1" t="s">
        <v>851</v>
      </c>
      <c r="G59" s="1" t="s">
        <v>851</v>
      </c>
      <c r="H59" s="1" t="s">
        <v>851</v>
      </c>
    </row>
    <row r="60" customFormat="false" ht="12.75" hidden="false" customHeight="true" outlineLevel="0" collapsed="false">
      <c r="A60" s="1" t="s">
        <v>1000</v>
      </c>
      <c r="B60" s="1" t="n">
        <v>2</v>
      </c>
      <c r="C60" s="1" t="n">
        <v>16</v>
      </c>
      <c r="D60" s="1" t="n">
        <v>0</v>
      </c>
      <c r="E60" s="1" t="s">
        <v>1001</v>
      </c>
      <c r="F60" s="1" t="s">
        <v>851</v>
      </c>
      <c r="G60" s="1" t="s">
        <v>851</v>
      </c>
      <c r="H60" s="1" t="s">
        <v>851</v>
      </c>
    </row>
    <row r="61" customFormat="false" ht="12.75" hidden="false" customHeight="true" outlineLevel="0" collapsed="false">
      <c r="A61" s="1" t="s">
        <v>1002</v>
      </c>
      <c r="B61" s="1" t="n">
        <v>2</v>
      </c>
      <c r="C61" s="1" t="n">
        <v>17</v>
      </c>
      <c r="D61" s="1" t="n">
        <v>0</v>
      </c>
      <c r="E61" s="1" t="s">
        <v>1003</v>
      </c>
      <c r="F61" s="1" t="s">
        <v>851</v>
      </c>
      <c r="G61" s="1" t="s">
        <v>851</v>
      </c>
      <c r="H61" s="1" t="s">
        <v>851</v>
      </c>
    </row>
    <row r="62" customFormat="false" ht="12.75" hidden="false" customHeight="true" outlineLevel="0" collapsed="false">
      <c r="A62" s="1" t="s">
        <v>1004</v>
      </c>
      <c r="B62" s="1" t="n">
        <v>2</v>
      </c>
      <c r="C62" s="1" t="n">
        <v>18</v>
      </c>
      <c r="D62" s="1" t="n">
        <v>0</v>
      </c>
      <c r="E62" s="1" t="s">
        <v>1005</v>
      </c>
      <c r="F62" s="1" t="s">
        <v>851</v>
      </c>
      <c r="G62" s="1" t="s">
        <v>851</v>
      </c>
      <c r="H62" s="1" t="s">
        <v>851</v>
      </c>
    </row>
    <row r="63" customFormat="false" ht="12.75" hidden="false" customHeight="true" outlineLevel="0" collapsed="false">
      <c r="A63" s="1" t="s">
        <v>1006</v>
      </c>
      <c r="B63" s="1" t="n">
        <v>2</v>
      </c>
      <c r="C63" s="1" t="n">
        <v>19</v>
      </c>
      <c r="D63" s="1" t="n">
        <v>0</v>
      </c>
      <c r="E63" s="1" t="s">
        <v>1007</v>
      </c>
      <c r="F63" s="1" t="s">
        <v>851</v>
      </c>
      <c r="G63" s="1" t="s">
        <v>851</v>
      </c>
      <c r="H63" s="1" t="s">
        <v>851</v>
      </c>
    </row>
    <row r="64" customFormat="false" ht="12.75" hidden="false" customHeight="true" outlineLevel="0" collapsed="false">
      <c r="A64" s="1" t="s">
        <v>1008</v>
      </c>
      <c r="B64" s="1" t="n">
        <v>2</v>
      </c>
      <c r="C64" s="1" t="n">
        <v>20</v>
      </c>
      <c r="D64" s="1" t="n">
        <v>0</v>
      </c>
      <c r="E64" s="1" t="s">
        <v>1009</v>
      </c>
      <c r="F64" s="1" t="s">
        <v>851</v>
      </c>
      <c r="G64" s="1" t="s">
        <v>851</v>
      </c>
      <c r="H64" s="1" t="s">
        <v>851</v>
      </c>
    </row>
    <row r="65" customFormat="false" ht="12.75" hidden="false" customHeight="true" outlineLevel="0" collapsed="false">
      <c r="A65" s="1" t="s">
        <v>1010</v>
      </c>
      <c r="B65" s="1" t="n">
        <v>2</v>
      </c>
      <c r="C65" s="1" t="n">
        <v>21</v>
      </c>
      <c r="D65" s="1" t="n">
        <v>0</v>
      </c>
      <c r="E65" s="1" t="s">
        <v>1011</v>
      </c>
      <c r="F65" s="1" t="s">
        <v>851</v>
      </c>
      <c r="G65" s="1" t="s">
        <v>851</v>
      </c>
      <c r="H65" s="1" t="s">
        <v>851</v>
      </c>
    </row>
    <row r="66" customFormat="false" ht="12.75" hidden="false" customHeight="true" outlineLevel="0" collapsed="false">
      <c r="A66" s="1" t="s">
        <v>1012</v>
      </c>
      <c r="B66" s="1" t="n">
        <v>2</v>
      </c>
      <c r="C66" s="1" t="n">
        <v>22</v>
      </c>
      <c r="D66" s="1" t="n">
        <v>0</v>
      </c>
      <c r="E66" s="1" t="s">
        <v>1013</v>
      </c>
      <c r="F66" s="1" t="s">
        <v>851</v>
      </c>
      <c r="G66" s="1" t="s">
        <v>851</v>
      </c>
      <c r="H66" s="1" t="s">
        <v>851</v>
      </c>
    </row>
    <row r="67" customFormat="false" ht="12.75" hidden="false" customHeight="true" outlineLevel="0" collapsed="false">
      <c r="A67" s="1" t="s">
        <v>1014</v>
      </c>
      <c r="B67" s="1" t="n">
        <v>2</v>
      </c>
      <c r="C67" s="1" t="n">
        <v>23</v>
      </c>
      <c r="D67" s="1" t="n">
        <v>0</v>
      </c>
      <c r="E67" s="1" t="s">
        <v>1015</v>
      </c>
      <c r="F67" s="1" t="s">
        <v>851</v>
      </c>
      <c r="G67" s="1" t="s">
        <v>851</v>
      </c>
      <c r="H67" s="1" t="s">
        <v>851</v>
      </c>
    </row>
    <row r="68" customFormat="false" ht="12.75" hidden="false" customHeight="true" outlineLevel="0" collapsed="false">
      <c r="A68" s="1" t="s">
        <v>1016</v>
      </c>
      <c r="B68" s="1" t="n">
        <v>2</v>
      </c>
      <c r="C68" s="1" t="n">
        <v>24</v>
      </c>
      <c r="D68" s="1" t="n">
        <v>0</v>
      </c>
      <c r="E68" s="1" t="s">
        <v>1017</v>
      </c>
      <c r="F68" s="1" t="s">
        <v>851</v>
      </c>
      <c r="G68" s="1" t="s">
        <v>851</v>
      </c>
      <c r="H68" s="1" t="s">
        <v>851</v>
      </c>
    </row>
    <row r="69" customFormat="false" ht="12.75" hidden="false" customHeight="true" outlineLevel="0" collapsed="false">
      <c r="A69" s="1" t="s">
        <v>1018</v>
      </c>
      <c r="B69" s="1" t="n">
        <v>2</v>
      </c>
      <c r="C69" s="1" t="n">
        <v>25</v>
      </c>
      <c r="D69" s="1" t="n">
        <v>0</v>
      </c>
      <c r="E69" s="1" t="s">
        <v>1019</v>
      </c>
      <c r="F69" s="1" t="s">
        <v>851</v>
      </c>
      <c r="G69" s="1" t="s">
        <v>851</v>
      </c>
      <c r="H69" s="1" t="s">
        <v>851</v>
      </c>
    </row>
    <row r="70" customFormat="false" ht="12.75" hidden="false" customHeight="true" outlineLevel="0" collapsed="false">
      <c r="A70" s="1" t="s">
        <v>1020</v>
      </c>
      <c r="B70" s="1" t="n">
        <v>2</v>
      </c>
      <c r="C70" s="1" t="n">
        <v>26</v>
      </c>
      <c r="D70" s="1" t="n">
        <v>0</v>
      </c>
      <c r="E70" s="1" t="s">
        <v>1021</v>
      </c>
      <c r="F70" s="1" t="s">
        <v>851</v>
      </c>
      <c r="G70" s="1" t="s">
        <v>851</v>
      </c>
      <c r="H70" s="1" t="s">
        <v>851</v>
      </c>
    </row>
    <row r="71" customFormat="false" ht="12.75" hidden="false" customHeight="true" outlineLevel="0" collapsed="false">
      <c r="A71" s="1" t="s">
        <v>1022</v>
      </c>
      <c r="B71" s="1" t="n">
        <v>3</v>
      </c>
      <c r="C71" s="1" t="n">
        <v>45</v>
      </c>
      <c r="D71" s="1" t="n">
        <v>0</v>
      </c>
      <c r="E71" s="1" t="s">
        <v>1023</v>
      </c>
      <c r="F71" s="1" t="s">
        <v>1024</v>
      </c>
      <c r="G71" s="1" t="s">
        <v>1025</v>
      </c>
      <c r="H71" s="1" t="s">
        <v>1026</v>
      </c>
    </row>
    <row r="72" customFormat="false" ht="12.75" hidden="false" customHeight="true" outlineLevel="0" collapsed="false">
      <c r="A72" s="1" t="s">
        <v>1027</v>
      </c>
      <c r="B72" s="1" t="n">
        <v>3</v>
      </c>
      <c r="C72" s="1" t="n">
        <v>46</v>
      </c>
      <c r="D72" s="1" t="n">
        <v>0</v>
      </c>
      <c r="E72" s="1" t="s">
        <v>1028</v>
      </c>
      <c r="F72" s="1" t="s">
        <v>1029</v>
      </c>
      <c r="G72" s="1" t="s">
        <v>851</v>
      </c>
      <c r="H72" s="1" t="s">
        <v>1030</v>
      </c>
    </row>
    <row r="73" customFormat="false" ht="12.75" hidden="false" customHeight="true" outlineLevel="0" collapsed="false">
      <c r="A73" s="1" t="s">
        <v>1031</v>
      </c>
      <c r="B73" s="1" t="n">
        <v>3</v>
      </c>
      <c r="C73" s="1" t="n">
        <v>47</v>
      </c>
      <c r="D73" s="1" t="n">
        <v>0</v>
      </c>
      <c r="E73" s="1" t="s">
        <v>1032</v>
      </c>
      <c r="F73" s="1" t="s">
        <v>1033</v>
      </c>
      <c r="G73" s="1" t="s">
        <v>851</v>
      </c>
      <c r="H73" s="1" t="s">
        <v>1034</v>
      </c>
    </row>
    <row r="74" customFormat="false" ht="12.75" hidden="false" customHeight="true" outlineLevel="0" collapsed="false">
      <c r="A74" s="1" t="s">
        <v>1035</v>
      </c>
      <c r="B74" s="1" t="n">
        <v>3</v>
      </c>
      <c r="C74" s="1" t="n">
        <v>48</v>
      </c>
      <c r="D74" s="1" t="n">
        <v>0</v>
      </c>
      <c r="E74" s="1" t="s">
        <v>1036</v>
      </c>
      <c r="F74" s="1" t="s">
        <v>1037</v>
      </c>
      <c r="G74" s="1" t="s">
        <v>851</v>
      </c>
      <c r="H74" s="1" t="s">
        <v>1038</v>
      </c>
    </row>
    <row r="75" customFormat="false" ht="12.75" hidden="false" customHeight="true" outlineLevel="0" collapsed="false">
      <c r="A75" s="1" t="s">
        <v>1039</v>
      </c>
      <c r="B75" s="1" t="n">
        <v>3</v>
      </c>
      <c r="C75" s="1" t="n">
        <v>49</v>
      </c>
      <c r="D75" s="1" t="n">
        <v>0</v>
      </c>
      <c r="E75" s="1" t="s">
        <v>1040</v>
      </c>
      <c r="F75" s="1" t="s">
        <v>851</v>
      </c>
      <c r="G75" s="1" t="s">
        <v>851</v>
      </c>
      <c r="H75" s="1" t="s">
        <v>851</v>
      </c>
    </row>
    <row r="76" customFormat="false" ht="12.75" hidden="false" customHeight="true" outlineLevel="0" collapsed="false">
      <c r="A76" s="1" t="s">
        <v>1041</v>
      </c>
      <c r="B76" s="1" t="n">
        <v>3</v>
      </c>
      <c r="C76" s="1" t="n">
        <v>54</v>
      </c>
      <c r="D76" s="1" t="n">
        <v>0</v>
      </c>
      <c r="E76" s="1" t="s">
        <v>851</v>
      </c>
      <c r="F76" s="1" t="s">
        <v>1042</v>
      </c>
      <c r="G76" s="1" t="s">
        <v>851</v>
      </c>
      <c r="H76" s="1" t="s">
        <v>1043</v>
      </c>
    </row>
    <row r="77" customFormat="false" ht="12.75" hidden="false" customHeight="true" outlineLevel="0" collapsed="false">
      <c r="A77" s="1" t="s">
        <v>1044</v>
      </c>
      <c r="B77" s="1" t="n">
        <v>3</v>
      </c>
      <c r="C77" s="1" t="n">
        <v>55</v>
      </c>
      <c r="D77" s="1" t="n">
        <v>0</v>
      </c>
      <c r="E77" s="1" t="s">
        <v>851</v>
      </c>
      <c r="F77" s="1" t="s">
        <v>1045</v>
      </c>
      <c r="G77" s="1" t="s">
        <v>851</v>
      </c>
      <c r="H77" s="1" t="s">
        <v>1046</v>
      </c>
    </row>
    <row r="78" customFormat="false" ht="12.75" hidden="false" customHeight="true" outlineLevel="0" collapsed="false">
      <c r="A78" s="1" t="s">
        <v>1047</v>
      </c>
      <c r="B78" s="1" t="n">
        <v>3</v>
      </c>
      <c r="C78" s="1" t="n">
        <v>56</v>
      </c>
      <c r="D78" s="1" t="n">
        <v>0</v>
      </c>
      <c r="E78" s="1" t="s">
        <v>1048</v>
      </c>
      <c r="F78" s="1" t="s">
        <v>1049</v>
      </c>
      <c r="G78" s="1" t="s">
        <v>851</v>
      </c>
      <c r="H78" s="1" t="s">
        <v>1050</v>
      </c>
    </row>
    <row r="79" customFormat="false" ht="12.75" hidden="false" customHeight="true" outlineLevel="0" collapsed="false">
      <c r="A79" s="1" t="s">
        <v>1051</v>
      </c>
      <c r="B79" s="1" t="n">
        <v>3</v>
      </c>
      <c r="C79" s="1" t="n">
        <v>57</v>
      </c>
      <c r="D79" s="1" t="n">
        <v>0</v>
      </c>
      <c r="E79" s="1" t="s">
        <v>1052</v>
      </c>
      <c r="F79" s="1" t="s">
        <v>1053</v>
      </c>
      <c r="G79" s="1" t="s">
        <v>851</v>
      </c>
      <c r="H79" s="1" t="s">
        <v>1054</v>
      </c>
    </row>
    <row r="80" customFormat="false" ht="12.75" hidden="false" customHeight="true" outlineLevel="0" collapsed="false">
      <c r="A80" s="1" t="s">
        <v>1055</v>
      </c>
      <c r="B80" s="1" t="n">
        <v>3</v>
      </c>
      <c r="C80" s="1" t="n">
        <v>58</v>
      </c>
      <c r="D80" s="1" t="n">
        <v>0</v>
      </c>
      <c r="E80" s="1" t="s">
        <v>851</v>
      </c>
      <c r="F80" s="1" t="s">
        <v>1056</v>
      </c>
      <c r="G80" s="1" t="s">
        <v>851</v>
      </c>
      <c r="H80" s="1" t="s">
        <v>1057</v>
      </c>
    </row>
    <row r="81" customFormat="false" ht="12.75" hidden="false" customHeight="true" outlineLevel="0" collapsed="false">
      <c r="A81" s="1" t="s">
        <v>1058</v>
      </c>
      <c r="B81" s="1" t="n">
        <v>3</v>
      </c>
      <c r="C81" s="1" t="n">
        <v>59</v>
      </c>
      <c r="D81" s="1" t="n">
        <v>0</v>
      </c>
      <c r="E81" s="1" t="s">
        <v>851</v>
      </c>
      <c r="F81" s="1" t="s">
        <v>1059</v>
      </c>
      <c r="G81" s="1" t="s">
        <v>851</v>
      </c>
      <c r="H81" s="1" t="s">
        <v>1060</v>
      </c>
    </row>
    <row r="82" customFormat="false" ht="12.75" hidden="false" customHeight="true" outlineLevel="0" collapsed="false">
      <c r="A82" s="1" t="s">
        <v>1061</v>
      </c>
      <c r="B82" s="1" t="n">
        <v>3</v>
      </c>
      <c r="C82" s="1" t="n">
        <v>60</v>
      </c>
      <c r="D82" s="1" t="n">
        <v>0</v>
      </c>
      <c r="E82" s="1" t="s">
        <v>1062</v>
      </c>
      <c r="F82" s="1" t="s">
        <v>1063</v>
      </c>
      <c r="G82" s="1" t="s">
        <v>851</v>
      </c>
      <c r="H82" s="1" t="s">
        <v>1064</v>
      </c>
    </row>
    <row r="83" customFormat="false" ht="12.75" hidden="false" customHeight="true" outlineLevel="0" collapsed="false">
      <c r="A83" s="1" t="s">
        <v>1065</v>
      </c>
      <c r="B83" s="1" t="n">
        <v>3</v>
      </c>
      <c r="C83" s="1" t="n">
        <v>61</v>
      </c>
      <c r="D83" s="1" t="n">
        <v>0</v>
      </c>
      <c r="E83" s="1" t="s">
        <v>1066</v>
      </c>
      <c r="F83" s="1" t="s">
        <v>1067</v>
      </c>
      <c r="G83" s="1" t="s">
        <v>851</v>
      </c>
      <c r="H83" s="1" t="s">
        <v>1068</v>
      </c>
    </row>
    <row r="84" customFormat="false" ht="12.75" hidden="false" customHeight="true" outlineLevel="0" collapsed="false">
      <c r="A84" s="1" t="s">
        <v>1069</v>
      </c>
      <c r="B84" s="1" t="n">
        <v>3</v>
      </c>
      <c r="C84" s="1" t="n">
        <v>62</v>
      </c>
      <c r="D84" s="1" t="n">
        <v>0</v>
      </c>
      <c r="E84" s="1" t="s">
        <v>851</v>
      </c>
      <c r="F84" s="1" t="s">
        <v>1070</v>
      </c>
      <c r="G84" s="1" t="s">
        <v>851</v>
      </c>
      <c r="H84" s="1" t="s">
        <v>1071</v>
      </c>
    </row>
    <row r="85" customFormat="false" ht="12.75" hidden="false" customHeight="true" outlineLevel="0" collapsed="false">
      <c r="A85" s="1" t="s">
        <v>1072</v>
      </c>
      <c r="B85" s="1" t="n">
        <v>3</v>
      </c>
      <c r="C85" s="1" t="n">
        <v>63</v>
      </c>
      <c r="D85" s="1" t="n">
        <v>0</v>
      </c>
      <c r="E85" s="1" t="s">
        <v>1073</v>
      </c>
      <c r="F85" s="1" t="s">
        <v>851</v>
      </c>
      <c r="G85" s="1" t="s">
        <v>851</v>
      </c>
      <c r="H85" s="1" t="s">
        <v>851</v>
      </c>
    </row>
    <row r="86" customFormat="false" ht="12.75" hidden="false" customHeight="true" outlineLevel="0" collapsed="false">
      <c r="A86" s="1" t="s">
        <v>1074</v>
      </c>
      <c r="B86" s="1" t="n">
        <v>3</v>
      </c>
      <c r="C86" s="1" t="n">
        <v>64</v>
      </c>
      <c r="D86" s="1" t="n">
        <v>0</v>
      </c>
      <c r="E86" s="1" t="s">
        <v>1075</v>
      </c>
      <c r="F86" s="1" t="s">
        <v>851</v>
      </c>
      <c r="G86" s="1" t="s">
        <v>1076</v>
      </c>
      <c r="H86" s="1" t="s">
        <v>851</v>
      </c>
    </row>
    <row r="87" customFormat="false" ht="12.75" hidden="false" customHeight="true" outlineLevel="0" collapsed="false">
      <c r="A87" s="1" t="s">
        <v>1077</v>
      </c>
      <c r="B87" s="1" t="n">
        <v>3</v>
      </c>
      <c r="C87" s="1" t="n">
        <v>65</v>
      </c>
      <c r="D87" s="1" t="n">
        <v>0</v>
      </c>
      <c r="E87" s="1" t="s">
        <v>851</v>
      </c>
      <c r="F87" s="1" t="s">
        <v>1078</v>
      </c>
      <c r="G87" s="1" t="s">
        <v>851</v>
      </c>
      <c r="H87" s="1" t="s">
        <v>1079</v>
      </c>
    </row>
    <row r="88" customFormat="false" ht="12.75" hidden="false" customHeight="true" outlineLevel="0" collapsed="false">
      <c r="A88" s="1" t="s">
        <v>1080</v>
      </c>
      <c r="B88" s="1" t="n">
        <v>3</v>
      </c>
      <c r="C88" s="1" t="n">
        <v>19</v>
      </c>
      <c r="D88" s="1" t="n">
        <v>0</v>
      </c>
      <c r="E88" s="1" t="s">
        <v>1081</v>
      </c>
      <c r="F88" s="1" t="s">
        <v>851</v>
      </c>
      <c r="G88" s="1" t="s">
        <v>851</v>
      </c>
      <c r="H88" s="1" t="s">
        <v>851</v>
      </c>
    </row>
    <row r="89" customFormat="false" ht="12.75" hidden="false" customHeight="true" outlineLevel="0" collapsed="false">
      <c r="A89" s="1" t="s">
        <v>1082</v>
      </c>
      <c r="B89" s="1" t="n">
        <v>3</v>
      </c>
      <c r="C89" s="1" t="n">
        <v>20</v>
      </c>
      <c r="D89" s="1" t="n">
        <v>0</v>
      </c>
      <c r="E89" s="1" t="s">
        <v>1083</v>
      </c>
      <c r="F89" s="1" t="s">
        <v>851</v>
      </c>
      <c r="G89" s="1" t="s">
        <v>851</v>
      </c>
      <c r="H89" s="1" t="s">
        <v>851</v>
      </c>
    </row>
    <row r="90" customFormat="false" ht="12.75" hidden="false" customHeight="true" outlineLevel="0" collapsed="false">
      <c r="A90" s="1" t="s">
        <v>1084</v>
      </c>
      <c r="B90" s="1" t="n">
        <v>3</v>
      </c>
      <c r="C90" s="1" t="n">
        <v>21</v>
      </c>
      <c r="D90" s="1" t="n">
        <v>0</v>
      </c>
      <c r="E90" s="1" t="s">
        <v>1085</v>
      </c>
      <c r="F90" s="1" t="s">
        <v>851</v>
      </c>
      <c r="G90" s="1" t="s">
        <v>851</v>
      </c>
      <c r="H90" s="1" t="s">
        <v>851</v>
      </c>
    </row>
    <row r="91" customFormat="false" ht="12.75" hidden="false" customHeight="true" outlineLevel="0" collapsed="false">
      <c r="A91" s="1" t="s">
        <v>1086</v>
      </c>
      <c r="B91" s="1" t="n">
        <v>3</v>
      </c>
      <c r="C91" s="1" t="n">
        <v>22</v>
      </c>
      <c r="D91" s="1" t="n">
        <v>0</v>
      </c>
      <c r="E91" s="1" t="s">
        <v>1087</v>
      </c>
      <c r="F91" s="1" t="s">
        <v>1088</v>
      </c>
      <c r="G91" s="1" t="s">
        <v>851</v>
      </c>
      <c r="H91" s="1" t="s">
        <v>1089</v>
      </c>
    </row>
    <row r="92" customFormat="false" ht="12.75" hidden="false" customHeight="true" outlineLevel="0" collapsed="false">
      <c r="A92" s="1" t="s">
        <v>1090</v>
      </c>
      <c r="B92" s="1" t="n">
        <v>3</v>
      </c>
      <c r="C92" s="1" t="n">
        <v>23</v>
      </c>
      <c r="D92" s="1" t="n">
        <v>0</v>
      </c>
      <c r="E92" s="1" t="s">
        <v>1091</v>
      </c>
      <c r="F92" s="1" t="s">
        <v>851</v>
      </c>
      <c r="G92" s="1" t="s">
        <v>851</v>
      </c>
      <c r="H92" s="1" t="s">
        <v>851</v>
      </c>
    </row>
    <row r="93" customFormat="false" ht="12.75" hidden="false" customHeight="true" outlineLevel="0" collapsed="false">
      <c r="A93" s="1" t="s">
        <v>1092</v>
      </c>
      <c r="B93" s="1" t="n">
        <v>3</v>
      </c>
      <c r="C93" s="1" t="n">
        <v>24</v>
      </c>
      <c r="D93" s="1" t="n">
        <v>0</v>
      </c>
      <c r="E93" s="1" t="s">
        <v>1093</v>
      </c>
      <c r="F93" s="1" t="s">
        <v>1094</v>
      </c>
      <c r="G93" s="1" t="s">
        <v>851</v>
      </c>
      <c r="H93" s="1" t="s">
        <v>1095</v>
      </c>
    </row>
    <row r="94" customFormat="false" ht="12.75" hidden="false" customHeight="true" outlineLevel="0" collapsed="false">
      <c r="A94" s="1" t="s">
        <v>1096</v>
      </c>
      <c r="B94" s="1" t="n">
        <v>3</v>
      </c>
      <c r="C94" s="1" t="n">
        <v>25</v>
      </c>
      <c r="D94" s="1" t="n">
        <v>0</v>
      </c>
      <c r="E94" s="1" t="s">
        <v>1097</v>
      </c>
      <c r="F94" s="1" t="s">
        <v>851</v>
      </c>
      <c r="G94" s="1" t="s">
        <v>851</v>
      </c>
      <c r="H94" s="1" t="s">
        <v>851</v>
      </c>
    </row>
    <row r="95" customFormat="false" ht="12.75" hidden="false" customHeight="true" outlineLevel="0" collapsed="false">
      <c r="A95" s="1" t="s">
        <v>1098</v>
      </c>
      <c r="B95" s="1" t="n">
        <v>3</v>
      </c>
      <c r="C95" s="1" t="n">
        <v>26</v>
      </c>
      <c r="D95" s="1" t="n">
        <v>0</v>
      </c>
      <c r="E95" s="1" t="s">
        <v>1099</v>
      </c>
      <c r="F95" s="1" t="s">
        <v>851</v>
      </c>
      <c r="G95" s="1" t="s">
        <v>851</v>
      </c>
      <c r="H95" s="1" t="s">
        <v>851</v>
      </c>
    </row>
    <row r="96" customFormat="false" ht="12.75" hidden="false" customHeight="true" outlineLevel="0" collapsed="false">
      <c r="A96" s="1" t="s">
        <v>1100</v>
      </c>
      <c r="B96" s="1" t="n">
        <v>3</v>
      </c>
      <c r="C96" s="1" t="n">
        <v>27</v>
      </c>
      <c r="D96" s="1" t="n">
        <v>0</v>
      </c>
      <c r="E96" s="1" t="s">
        <v>1101</v>
      </c>
      <c r="F96" s="1" t="s">
        <v>851</v>
      </c>
      <c r="G96" s="1" t="s">
        <v>851</v>
      </c>
      <c r="H96" s="1" t="s">
        <v>851</v>
      </c>
    </row>
    <row r="97" customFormat="false" ht="12.75" hidden="false" customHeight="true" outlineLevel="0" collapsed="false">
      <c r="A97" s="1" t="s">
        <v>1102</v>
      </c>
      <c r="B97" s="1" t="n">
        <v>3</v>
      </c>
      <c r="C97" s="1" t="n">
        <v>28</v>
      </c>
      <c r="D97" s="1" t="n">
        <v>0</v>
      </c>
      <c r="E97" s="1" t="s">
        <v>1103</v>
      </c>
      <c r="F97" s="1" t="s">
        <v>1104</v>
      </c>
      <c r="G97" s="1" t="s">
        <v>851</v>
      </c>
      <c r="H97" s="1" t="s">
        <v>1105</v>
      </c>
    </row>
    <row r="98" customFormat="false" ht="12.75" hidden="false" customHeight="true" outlineLevel="0" collapsed="false">
      <c r="A98" s="1" t="s">
        <v>1106</v>
      </c>
      <c r="B98" s="1" t="n">
        <v>3</v>
      </c>
      <c r="C98" s="1" t="n">
        <v>29</v>
      </c>
      <c r="D98" s="1" t="n">
        <v>0</v>
      </c>
      <c r="E98" s="1" t="s">
        <v>1107</v>
      </c>
      <c r="F98" s="1" t="s">
        <v>1108</v>
      </c>
      <c r="G98" s="1" t="s">
        <v>851</v>
      </c>
      <c r="H98" s="1" t="s">
        <v>1109</v>
      </c>
    </row>
    <row r="99" customFormat="false" ht="12.75" hidden="false" customHeight="true" outlineLevel="0" collapsed="false">
      <c r="A99" s="1" t="s">
        <v>1110</v>
      </c>
      <c r="B99" s="1" t="n">
        <v>3</v>
      </c>
      <c r="C99" s="1" t="n">
        <v>30</v>
      </c>
      <c r="D99" s="1" t="n">
        <v>0</v>
      </c>
      <c r="E99" s="1" t="s">
        <v>1111</v>
      </c>
      <c r="F99" s="1" t="s">
        <v>1112</v>
      </c>
      <c r="G99" s="1" t="s">
        <v>851</v>
      </c>
      <c r="H99" s="1" t="s">
        <v>1113</v>
      </c>
    </row>
    <row r="100" customFormat="false" ht="12.75" hidden="false" customHeight="true" outlineLevel="0" collapsed="false">
      <c r="A100" s="1" t="s">
        <v>1114</v>
      </c>
      <c r="B100" s="1" t="n">
        <v>3</v>
      </c>
      <c r="C100" s="1" t="n">
        <v>31</v>
      </c>
      <c r="D100" s="1" t="n">
        <v>0</v>
      </c>
      <c r="E100" s="1" t="s">
        <v>1115</v>
      </c>
      <c r="F100" s="1" t="s">
        <v>1116</v>
      </c>
      <c r="G100" s="1" t="s">
        <v>851</v>
      </c>
      <c r="H100" s="1" t="s">
        <v>1117</v>
      </c>
    </row>
    <row r="101" customFormat="false" ht="12.75" hidden="false" customHeight="true" outlineLevel="0" collapsed="false">
      <c r="A101" s="1" t="s">
        <v>1118</v>
      </c>
      <c r="B101" s="1" t="n">
        <v>3</v>
      </c>
      <c r="C101" s="1" t="n">
        <v>32</v>
      </c>
      <c r="D101" s="1" t="n">
        <v>0</v>
      </c>
      <c r="E101" s="1" t="s">
        <v>1119</v>
      </c>
      <c r="F101" s="1" t="s">
        <v>851</v>
      </c>
      <c r="G101" s="1" t="s">
        <v>851</v>
      </c>
      <c r="H101" s="1" t="s">
        <v>851</v>
      </c>
    </row>
    <row r="102" customFormat="false" ht="12.75" hidden="false" customHeight="true" outlineLevel="0" collapsed="false">
      <c r="A102" s="1" t="s">
        <v>1120</v>
      </c>
      <c r="B102" s="1" t="n">
        <v>3</v>
      </c>
      <c r="C102" s="1" t="n">
        <v>33</v>
      </c>
      <c r="D102" s="1" t="n">
        <v>0</v>
      </c>
      <c r="E102" s="1" t="s">
        <v>1121</v>
      </c>
      <c r="F102" s="1" t="s">
        <v>851</v>
      </c>
      <c r="G102" s="1" t="s">
        <v>851</v>
      </c>
      <c r="H102" s="1" t="s">
        <v>851</v>
      </c>
    </row>
    <row r="103" customFormat="false" ht="12.75" hidden="false" customHeight="true" outlineLevel="0" collapsed="false">
      <c r="A103" s="1" t="s">
        <v>1122</v>
      </c>
      <c r="B103" s="1" t="n">
        <v>3</v>
      </c>
      <c r="C103" s="1" t="n">
        <v>34</v>
      </c>
      <c r="D103" s="1" t="n">
        <v>0</v>
      </c>
      <c r="E103" s="1" t="s">
        <v>1123</v>
      </c>
      <c r="F103" s="1" t="s">
        <v>851</v>
      </c>
      <c r="G103" s="1" t="s">
        <v>851</v>
      </c>
      <c r="H103" s="1" t="s">
        <v>851</v>
      </c>
    </row>
    <row r="104" customFormat="false" ht="12.75" hidden="false" customHeight="true" outlineLevel="0" collapsed="false">
      <c r="A104" s="1" t="s">
        <v>1124</v>
      </c>
      <c r="B104" s="1" t="n">
        <v>3</v>
      </c>
      <c r="C104" s="1" t="n">
        <v>35</v>
      </c>
      <c r="D104" s="1" t="n">
        <v>0</v>
      </c>
      <c r="E104" s="1" t="s">
        <v>1125</v>
      </c>
      <c r="F104" s="1" t="s">
        <v>851</v>
      </c>
      <c r="G104" s="1" t="s">
        <v>851</v>
      </c>
      <c r="H104" s="1" t="s">
        <v>851</v>
      </c>
    </row>
    <row r="105" customFormat="false" ht="12.75" hidden="false" customHeight="true" outlineLevel="0" collapsed="false">
      <c r="A105" s="1" t="s">
        <v>1126</v>
      </c>
      <c r="B105" s="1" t="n">
        <v>3</v>
      </c>
      <c r="C105" s="1" t="n">
        <v>36</v>
      </c>
      <c r="D105" s="1" t="n">
        <v>0</v>
      </c>
      <c r="E105" s="1" t="s">
        <v>1127</v>
      </c>
      <c r="F105" s="1" t="s">
        <v>851</v>
      </c>
      <c r="G105" s="1" t="s">
        <v>851</v>
      </c>
      <c r="H105" s="1" t="s">
        <v>851</v>
      </c>
    </row>
    <row r="106" customFormat="false" ht="12.75" hidden="false" customHeight="true" outlineLevel="0" collapsed="false">
      <c r="A106" s="1" t="s">
        <v>1128</v>
      </c>
      <c r="B106" s="1" t="n">
        <v>3</v>
      </c>
      <c r="C106" s="1" t="n">
        <v>37</v>
      </c>
      <c r="D106" s="1" t="n">
        <v>0</v>
      </c>
      <c r="E106" s="1" t="s">
        <v>851</v>
      </c>
      <c r="F106" s="1" t="s">
        <v>1129</v>
      </c>
      <c r="G106" s="1" t="s">
        <v>851</v>
      </c>
      <c r="H106" s="1" t="s">
        <v>1130</v>
      </c>
    </row>
    <row r="107" customFormat="false" ht="12.75" hidden="false" customHeight="true" outlineLevel="0" collapsed="false">
      <c r="A107" s="1" t="s">
        <v>1131</v>
      </c>
      <c r="B107" s="1" t="n">
        <v>3</v>
      </c>
      <c r="C107" s="1" t="n">
        <v>38</v>
      </c>
      <c r="D107" s="1" t="n">
        <v>0</v>
      </c>
      <c r="E107" s="1" t="s">
        <v>851</v>
      </c>
      <c r="F107" s="1" t="s">
        <v>1132</v>
      </c>
      <c r="G107" s="1" t="s">
        <v>851</v>
      </c>
      <c r="H107" s="1" t="s">
        <v>1133</v>
      </c>
    </row>
    <row r="108" customFormat="false" ht="12.75" hidden="false" customHeight="true" outlineLevel="0" collapsed="false">
      <c r="A108" s="1" t="s">
        <v>1134</v>
      </c>
      <c r="B108" s="1" t="n">
        <v>3</v>
      </c>
      <c r="C108" s="1" t="n">
        <v>39</v>
      </c>
      <c r="D108" s="1" t="n">
        <v>0</v>
      </c>
      <c r="E108" s="1" t="s">
        <v>1135</v>
      </c>
      <c r="F108" s="1" t="s">
        <v>1136</v>
      </c>
      <c r="G108" s="1" t="s">
        <v>851</v>
      </c>
      <c r="H108" s="1" t="s">
        <v>1137</v>
      </c>
    </row>
    <row r="109" customFormat="false" ht="12.75" hidden="false" customHeight="true" outlineLevel="0" collapsed="false">
      <c r="A109" s="1" t="s">
        <v>1138</v>
      </c>
      <c r="B109" s="1" t="n">
        <v>3</v>
      </c>
      <c r="C109" s="1" t="n">
        <v>40</v>
      </c>
      <c r="D109" s="1" t="n">
        <v>0</v>
      </c>
      <c r="E109" s="1" t="s">
        <v>1139</v>
      </c>
      <c r="F109" s="1" t="s">
        <v>1140</v>
      </c>
      <c r="G109" s="1" t="s">
        <v>851</v>
      </c>
      <c r="H109" s="1" t="s">
        <v>1141</v>
      </c>
    </row>
    <row r="110" customFormat="false" ht="12.75" hidden="false" customHeight="true" outlineLevel="0" collapsed="false">
      <c r="A110" s="1" t="s">
        <v>1142</v>
      </c>
      <c r="B110" s="1" t="n">
        <v>3</v>
      </c>
      <c r="C110" s="1" t="n">
        <v>41</v>
      </c>
      <c r="D110" s="1" t="n">
        <v>0</v>
      </c>
      <c r="E110" s="1" t="s">
        <v>1143</v>
      </c>
      <c r="F110" s="1" t="s">
        <v>1144</v>
      </c>
      <c r="G110" s="1" t="s">
        <v>851</v>
      </c>
      <c r="H110" s="1" t="s">
        <v>1145</v>
      </c>
    </row>
    <row r="111" customFormat="false" ht="12.75" hidden="false" customHeight="true" outlineLevel="0" collapsed="false">
      <c r="A111" s="1" t="s">
        <v>1146</v>
      </c>
      <c r="B111" s="1" t="n">
        <v>3</v>
      </c>
      <c r="C111" s="1" t="n">
        <v>42</v>
      </c>
      <c r="D111" s="1" t="n">
        <v>0</v>
      </c>
      <c r="E111" s="1" t="s">
        <v>1147</v>
      </c>
      <c r="F111" s="1" t="s">
        <v>1148</v>
      </c>
      <c r="G111" s="1" t="s">
        <v>851</v>
      </c>
      <c r="H111" s="1" t="s">
        <v>1149</v>
      </c>
    </row>
    <row r="112" customFormat="false" ht="12.75" hidden="false" customHeight="true" outlineLevel="0" collapsed="false">
      <c r="A112" s="1" t="s">
        <v>1150</v>
      </c>
      <c r="B112" s="1" t="n">
        <v>3</v>
      </c>
      <c r="C112" s="1" t="n">
        <v>43</v>
      </c>
      <c r="D112" s="1" t="n">
        <v>0</v>
      </c>
      <c r="E112" s="1" t="s">
        <v>1151</v>
      </c>
      <c r="F112" s="1" t="s">
        <v>1152</v>
      </c>
      <c r="G112" s="1" t="s">
        <v>851</v>
      </c>
      <c r="H112" s="1" t="s">
        <v>1153</v>
      </c>
    </row>
    <row r="113" customFormat="false" ht="12.75" hidden="false" customHeight="true" outlineLevel="0" collapsed="false">
      <c r="A113" s="1" t="s">
        <v>1154</v>
      </c>
      <c r="B113" s="1" t="n">
        <v>3</v>
      </c>
      <c r="C113" s="1" t="n">
        <v>44</v>
      </c>
      <c r="D113" s="1" t="n">
        <v>0</v>
      </c>
      <c r="E113" s="1" t="s">
        <v>1155</v>
      </c>
      <c r="F113" s="1" t="s">
        <v>1156</v>
      </c>
      <c r="G113" s="1" t="s">
        <v>851</v>
      </c>
      <c r="H113" s="1" t="s">
        <v>1157</v>
      </c>
    </row>
    <row r="114" customFormat="false" ht="12.75" hidden="false" customHeight="true" outlineLevel="0" collapsed="false">
      <c r="A114" s="1" t="s">
        <v>1158</v>
      </c>
      <c r="B114" s="1" t="n">
        <v>3</v>
      </c>
      <c r="C114" s="1" t="n">
        <v>0</v>
      </c>
      <c r="D114" s="1" t="n">
        <v>0</v>
      </c>
      <c r="E114" s="1" t="s">
        <v>851</v>
      </c>
      <c r="F114" s="1" t="s">
        <v>1159</v>
      </c>
      <c r="G114" s="1" t="s">
        <v>851</v>
      </c>
      <c r="H114" s="1" t="s">
        <v>1160</v>
      </c>
    </row>
    <row r="115" customFormat="false" ht="12.75" hidden="false" customHeight="true" outlineLevel="0" collapsed="false">
      <c r="A115" s="1" t="s">
        <v>1161</v>
      </c>
      <c r="B115" s="1" t="n">
        <v>3</v>
      </c>
      <c r="C115" s="1" t="n">
        <v>1</v>
      </c>
      <c r="D115" s="1" t="n">
        <v>0</v>
      </c>
      <c r="E115" s="1" t="s">
        <v>851</v>
      </c>
      <c r="F115" s="1" t="s">
        <v>1162</v>
      </c>
      <c r="G115" s="1" t="s">
        <v>851</v>
      </c>
      <c r="H115" s="1" t="s">
        <v>1163</v>
      </c>
    </row>
    <row r="116" customFormat="false" ht="12.75" hidden="false" customHeight="true" outlineLevel="0" collapsed="false">
      <c r="A116" s="1" t="s">
        <v>1164</v>
      </c>
      <c r="B116" s="1" t="n">
        <v>3</v>
      </c>
      <c r="C116" s="1" t="n">
        <v>3</v>
      </c>
      <c r="D116" s="1" t="n">
        <v>0</v>
      </c>
      <c r="E116" s="1" t="s">
        <v>851</v>
      </c>
      <c r="F116" s="1" t="s">
        <v>1165</v>
      </c>
      <c r="G116" s="1" t="s">
        <v>851</v>
      </c>
      <c r="H116" s="1" t="s">
        <v>1166</v>
      </c>
    </row>
    <row r="117" customFormat="false" ht="12.75" hidden="false" customHeight="true" outlineLevel="0" collapsed="false">
      <c r="A117" s="1" t="s">
        <v>1167</v>
      </c>
      <c r="B117" s="1" t="n">
        <v>3</v>
      </c>
      <c r="C117" s="1" t="n">
        <v>5</v>
      </c>
      <c r="D117" s="1" t="n">
        <v>0</v>
      </c>
      <c r="E117" s="1" t="s">
        <v>851</v>
      </c>
      <c r="F117" s="1" t="s">
        <v>1168</v>
      </c>
      <c r="G117" s="1" t="s">
        <v>851</v>
      </c>
      <c r="H117" s="1" t="s">
        <v>1169</v>
      </c>
    </row>
    <row r="118" customFormat="false" ht="12.75" hidden="false" customHeight="true" outlineLevel="0" collapsed="false">
      <c r="A118" s="1" t="s">
        <v>1170</v>
      </c>
      <c r="B118" s="1" t="n">
        <v>3</v>
      </c>
      <c r="C118" s="1" t="n">
        <v>6</v>
      </c>
      <c r="D118" s="1" t="n">
        <v>0</v>
      </c>
      <c r="E118" s="1" t="s">
        <v>851</v>
      </c>
      <c r="F118" s="1" t="s">
        <v>1171</v>
      </c>
      <c r="G118" s="1" t="s">
        <v>851</v>
      </c>
      <c r="H118" s="1" t="s">
        <v>1172</v>
      </c>
    </row>
    <row r="119" customFormat="false" ht="12.75" hidden="false" customHeight="true" outlineLevel="0" collapsed="false">
      <c r="A119" s="1" t="s">
        <v>1173</v>
      </c>
      <c r="B119" s="1" t="n">
        <v>3</v>
      </c>
      <c r="C119" s="1" t="n">
        <v>7</v>
      </c>
      <c r="D119" s="1" t="n">
        <v>0</v>
      </c>
      <c r="E119" s="1" t="s">
        <v>851</v>
      </c>
      <c r="F119" s="1" t="s">
        <v>1174</v>
      </c>
      <c r="G119" s="1" t="s">
        <v>851</v>
      </c>
      <c r="H119" s="1" t="s">
        <v>1175</v>
      </c>
    </row>
    <row r="120" customFormat="false" ht="12.75" hidden="false" customHeight="true" outlineLevel="0" collapsed="false">
      <c r="A120" s="1" t="s">
        <v>1176</v>
      </c>
      <c r="B120" s="1" t="n">
        <v>3</v>
      </c>
      <c r="C120" s="1" t="n">
        <v>8</v>
      </c>
      <c r="D120" s="1" t="n">
        <v>0</v>
      </c>
      <c r="E120" s="1" t="s">
        <v>851</v>
      </c>
      <c r="F120" s="1" t="s">
        <v>1177</v>
      </c>
      <c r="G120" s="1" t="s">
        <v>851</v>
      </c>
      <c r="H120" s="1" t="s">
        <v>1178</v>
      </c>
    </row>
    <row r="121" customFormat="false" ht="12.75" hidden="false" customHeight="true" outlineLevel="0" collapsed="false">
      <c r="A121" s="1" t="s">
        <v>1179</v>
      </c>
      <c r="B121" s="1" t="n">
        <v>3</v>
      </c>
      <c r="C121" s="1" t="n">
        <v>12</v>
      </c>
      <c r="D121" s="1" t="n">
        <v>0</v>
      </c>
      <c r="E121" s="1" t="s">
        <v>851</v>
      </c>
      <c r="F121" s="1" t="s">
        <v>1180</v>
      </c>
      <c r="G121" s="1" t="s">
        <v>851</v>
      </c>
      <c r="H121" s="1" t="s">
        <v>1181</v>
      </c>
    </row>
    <row r="122" customFormat="false" ht="12.75" hidden="false" customHeight="true" outlineLevel="0" collapsed="false">
      <c r="A122" s="1" t="s">
        <v>1182</v>
      </c>
      <c r="B122" s="1" t="n">
        <v>3</v>
      </c>
      <c r="C122" s="1" t="n">
        <v>15</v>
      </c>
      <c r="D122" s="1" t="n">
        <v>0</v>
      </c>
      <c r="E122" s="1" t="s">
        <v>851</v>
      </c>
      <c r="F122" s="1" t="s">
        <v>1183</v>
      </c>
      <c r="G122" s="1" t="s">
        <v>851</v>
      </c>
      <c r="H122" s="1" t="s">
        <v>1184</v>
      </c>
    </row>
    <row r="123" customFormat="false" ht="12.75" hidden="false" customHeight="true" outlineLevel="0" collapsed="false">
      <c r="A123" s="1" t="s">
        <v>1185</v>
      </c>
      <c r="B123" s="1" t="n">
        <v>3</v>
      </c>
      <c r="C123" s="1" t="n">
        <v>16</v>
      </c>
      <c r="D123" s="1" t="n">
        <v>0</v>
      </c>
      <c r="E123" s="1" t="s">
        <v>851</v>
      </c>
      <c r="F123" s="1" t="s">
        <v>1186</v>
      </c>
      <c r="G123" s="1" t="s">
        <v>851</v>
      </c>
      <c r="H123" s="1" t="s">
        <v>1187</v>
      </c>
    </row>
    <row r="124" customFormat="false" ht="12.75" hidden="false" customHeight="true" outlineLevel="0" collapsed="false">
      <c r="A124" s="1" t="s">
        <v>1188</v>
      </c>
      <c r="B124" s="1" t="n">
        <v>1</v>
      </c>
      <c r="C124" s="1" t="n">
        <v>122</v>
      </c>
      <c r="D124" s="1" t="n">
        <v>0</v>
      </c>
      <c r="E124" s="1" t="s">
        <v>1189</v>
      </c>
      <c r="F124" s="1" t="s">
        <v>851</v>
      </c>
      <c r="G124" s="1" t="s">
        <v>851</v>
      </c>
      <c r="H124" s="1" t="s">
        <v>851</v>
      </c>
      <c r="I124" s="1" t="str">
        <f aca="false">DEC2HEX(C124)</f>
        <v>7A</v>
      </c>
    </row>
    <row r="125" customFormat="false" ht="12.75" hidden="false" customHeight="true" outlineLevel="0" collapsed="false">
      <c r="A125" s="1" t="s">
        <v>1190</v>
      </c>
      <c r="B125" s="1" t="n">
        <v>1</v>
      </c>
      <c r="C125" s="1" t="n">
        <v>122</v>
      </c>
      <c r="D125" s="1" t="n">
        <v>0</v>
      </c>
      <c r="E125" s="1" t="s">
        <v>1191</v>
      </c>
      <c r="F125" s="1" t="s">
        <v>851</v>
      </c>
      <c r="G125" s="1" t="s">
        <v>851</v>
      </c>
      <c r="H125" s="1" t="s">
        <v>851</v>
      </c>
      <c r="I125" s="1" t="str">
        <f aca="false">DEC2HEX(C125)</f>
        <v>7A</v>
      </c>
    </row>
    <row r="126" customFormat="false" ht="12.75" hidden="false" customHeight="true" outlineLevel="0" collapsed="false">
      <c r="A126" s="1" t="s">
        <v>1192</v>
      </c>
      <c r="B126" s="1" t="n">
        <v>1</v>
      </c>
      <c r="C126" s="1" t="n">
        <v>122</v>
      </c>
      <c r="D126" s="1" t="n">
        <v>0</v>
      </c>
      <c r="E126" s="1" t="s">
        <v>1193</v>
      </c>
      <c r="F126" s="1" t="s">
        <v>851</v>
      </c>
      <c r="G126" s="1" t="s">
        <v>851</v>
      </c>
      <c r="H126" s="1" t="s">
        <v>851</v>
      </c>
      <c r="I126" s="1" t="str">
        <f aca="false">DEC2HEX(C126)</f>
        <v>7A</v>
      </c>
    </row>
    <row r="127" customFormat="false" ht="12.75" hidden="false" customHeight="true" outlineLevel="0" collapsed="false">
      <c r="A127" s="1" t="s">
        <v>1194</v>
      </c>
      <c r="B127" s="1" t="n">
        <v>1</v>
      </c>
      <c r="C127" s="1" t="n">
        <v>122</v>
      </c>
      <c r="D127" s="1" t="n">
        <v>0</v>
      </c>
      <c r="E127" s="1" t="s">
        <v>1195</v>
      </c>
      <c r="F127" s="1" t="s">
        <v>851</v>
      </c>
      <c r="G127" s="1" t="s">
        <v>851</v>
      </c>
      <c r="H127" s="1" t="s">
        <v>851</v>
      </c>
      <c r="I127" s="1" t="str">
        <f aca="false">DEC2HEX(C127)</f>
        <v>7A</v>
      </c>
    </row>
    <row r="128" customFormat="false" ht="12.75" hidden="false" customHeight="true" outlineLevel="0" collapsed="false">
      <c r="A128" s="1" t="s">
        <v>1196</v>
      </c>
      <c r="B128" s="1" t="n">
        <v>1</v>
      </c>
      <c r="C128" s="1" t="n">
        <v>122</v>
      </c>
      <c r="D128" s="1" t="n">
        <v>0</v>
      </c>
      <c r="E128" s="1" t="s">
        <v>1197</v>
      </c>
      <c r="F128" s="1" t="s">
        <v>851</v>
      </c>
      <c r="G128" s="1" t="s">
        <v>851</v>
      </c>
      <c r="H128" s="1" t="s">
        <v>851</v>
      </c>
      <c r="I128" s="1" t="str">
        <f aca="false">DEC2HEX(C128)</f>
        <v>7A</v>
      </c>
    </row>
    <row r="129" customFormat="false" ht="12.75" hidden="false" customHeight="true" outlineLevel="0" collapsed="false">
      <c r="A129" s="1" t="s">
        <v>1198</v>
      </c>
      <c r="B129" s="1" t="n">
        <v>1</v>
      </c>
      <c r="C129" s="1" t="n">
        <v>122</v>
      </c>
      <c r="D129" s="1" t="n">
        <v>0</v>
      </c>
      <c r="E129" s="1" t="s">
        <v>1199</v>
      </c>
      <c r="F129" s="1" t="s">
        <v>851</v>
      </c>
      <c r="G129" s="1" t="s">
        <v>851</v>
      </c>
      <c r="H129" s="1" t="s">
        <v>851</v>
      </c>
      <c r="I129" s="1" t="str">
        <f aca="false">DEC2HEX(C129)</f>
        <v>7A</v>
      </c>
    </row>
    <row r="130" customFormat="false" ht="12.75" hidden="false" customHeight="true" outlineLevel="0" collapsed="false">
      <c r="A130" s="1" t="s">
        <v>1200</v>
      </c>
      <c r="B130" s="1" t="n">
        <v>1</v>
      </c>
      <c r="C130" s="1" t="n">
        <v>122</v>
      </c>
      <c r="D130" s="1" t="n">
        <v>0</v>
      </c>
      <c r="E130" s="1" t="s">
        <v>1201</v>
      </c>
      <c r="F130" s="1" t="s">
        <v>851</v>
      </c>
      <c r="G130" s="1" t="s">
        <v>851</v>
      </c>
      <c r="H130" s="1" t="s">
        <v>851</v>
      </c>
      <c r="I130" s="1" t="str">
        <f aca="false">DEC2HEX(C130)</f>
        <v>7A</v>
      </c>
    </row>
    <row r="131" customFormat="false" ht="12.75" hidden="false" customHeight="true" outlineLevel="0" collapsed="false">
      <c r="A131" s="1" t="s">
        <v>1202</v>
      </c>
      <c r="B131" s="1" t="n">
        <v>1</v>
      </c>
      <c r="C131" s="1" t="n">
        <v>122</v>
      </c>
      <c r="D131" s="1" t="n">
        <v>0</v>
      </c>
      <c r="E131" s="1" t="s">
        <v>1203</v>
      </c>
      <c r="F131" s="1" t="s">
        <v>851</v>
      </c>
      <c r="G131" s="1" t="s">
        <v>851</v>
      </c>
      <c r="H131" s="1" t="s">
        <v>851</v>
      </c>
      <c r="I131" s="1" t="str">
        <f aca="false">DEC2HEX(C131)</f>
        <v>7A</v>
      </c>
    </row>
    <row r="132" customFormat="false" ht="12.75" hidden="false" customHeight="true" outlineLevel="0" collapsed="false">
      <c r="A132" s="1" t="s">
        <v>1204</v>
      </c>
      <c r="B132" s="1" t="n">
        <v>1</v>
      </c>
      <c r="C132" s="1" t="n">
        <v>122</v>
      </c>
      <c r="D132" s="1" t="n">
        <v>0</v>
      </c>
      <c r="E132" s="1" t="s">
        <v>1205</v>
      </c>
      <c r="F132" s="1" t="s">
        <v>851</v>
      </c>
      <c r="G132" s="1" t="s">
        <v>851</v>
      </c>
      <c r="H132" s="1" t="s">
        <v>851</v>
      </c>
      <c r="I132" s="1" t="str">
        <f aca="false">DEC2HEX(C132)</f>
        <v>7A</v>
      </c>
    </row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6" min="1" style="0" width="11.63"/>
  </cols>
  <sheetData>
    <row r="1" customFormat="false" ht="12.75" hidden="false" customHeight="true" outlineLevel="0" collapsed="false">
      <c r="A1" s="1" t="s">
        <v>1206</v>
      </c>
    </row>
    <row r="2" customFormat="false" ht="12.75" hidden="false" customHeight="true" outlineLevel="0" collapsed="false">
      <c r="A2" s="1" t="s">
        <v>1207</v>
      </c>
    </row>
    <row r="3" customFormat="false" ht="12.75" hidden="false" customHeight="true" outlineLevel="0" collapsed="false">
      <c r="A3" s="1" t="s">
        <v>1208</v>
      </c>
    </row>
    <row r="4" customFormat="false" ht="12.75" hidden="false" customHeight="true" outlineLevel="0" collapsed="false"/>
    <row r="5" customFormat="false" ht="12.75" hidden="false" customHeight="true" outlineLevel="0" collapsed="false">
      <c r="A5" s="1" t="s">
        <v>1209</v>
      </c>
    </row>
    <row r="6" customFormat="false" ht="12.75" hidden="false" customHeight="true" outlineLevel="0" collapsed="false">
      <c r="A6" s="1" t="s">
        <v>1208</v>
      </c>
    </row>
    <row r="7" customFormat="false" ht="12.75" hidden="false" customHeight="true" outlineLevel="0" collapsed="false">
      <c r="A7" s="1" t="s">
        <v>1208</v>
      </c>
    </row>
    <row r="8" customFormat="false" ht="12.75" hidden="false" customHeight="true" outlineLevel="0" collapsed="false">
      <c r="A8" s="1" t="s">
        <v>1208</v>
      </c>
    </row>
    <row r="9" customFormat="false" ht="12.75" hidden="false" customHeight="true" outlineLevel="0" collapsed="false">
      <c r="A9" s="1" t="s">
        <v>1208</v>
      </c>
    </row>
    <row r="10" customFormat="false" ht="12.75" hidden="false" customHeight="true" outlineLevel="0" collapsed="false"/>
    <row r="11" customFormat="false" ht="12.75" hidden="false" customHeight="true" outlineLevel="0" collapsed="false">
      <c r="A11" s="1" t="s">
        <v>1210</v>
      </c>
    </row>
    <row r="12" customFormat="false" ht="12.75" hidden="false" customHeight="true" outlineLevel="0" collapsed="false">
      <c r="A12" s="1" t="s">
        <v>1208</v>
      </c>
    </row>
    <row r="13" customFormat="false" ht="12.75" hidden="false" customHeight="true" outlineLevel="0" collapsed="false">
      <c r="A13" s="1" t="s">
        <v>1208</v>
      </c>
    </row>
    <row r="14" customFormat="false" ht="12.75" hidden="false" customHeight="true" outlineLevel="0" collapsed="false"/>
    <row r="15" customFormat="false" ht="12.75" hidden="false" customHeight="true" outlineLevel="0" collapsed="false">
      <c r="A15" s="1" t="s">
        <v>1211</v>
      </c>
    </row>
    <row r="16" customFormat="false" ht="12.75" hidden="false" customHeight="true" outlineLevel="0" collapsed="false">
      <c r="A16" s="1" t="s">
        <v>1208</v>
      </c>
    </row>
    <row r="17" customFormat="false" ht="12.75" hidden="false" customHeight="true" outlineLevel="0" collapsed="false">
      <c r="A17" s="1" t="s">
        <v>1208</v>
      </c>
    </row>
    <row r="18" customFormat="false" ht="12.75" hidden="false" customHeight="true" outlineLevel="0" collapsed="false"/>
    <row r="19" customFormat="false" ht="12.75" hidden="false" customHeight="true" outlineLevel="0" collapsed="false">
      <c r="A19" s="1" t="s">
        <v>1212</v>
      </c>
    </row>
    <row r="20" customFormat="false" ht="12.75" hidden="false" customHeight="true" outlineLevel="0" collapsed="false">
      <c r="A20" s="1" t="s">
        <v>1208</v>
      </c>
    </row>
    <row r="21" customFormat="false" ht="12.75" hidden="false" customHeight="true" outlineLevel="0" collapsed="false">
      <c r="A21" s="1" t="s">
        <v>1213</v>
      </c>
    </row>
    <row r="22" customFormat="false" ht="12.75" hidden="false" customHeight="true" outlineLevel="0" collapsed="false">
      <c r="A22" s="1" t="s">
        <v>1214</v>
      </c>
    </row>
    <row r="23" customFormat="false" ht="12.75" hidden="false" customHeight="true" outlineLevel="0" collapsed="false">
      <c r="A23" s="1" t="s">
        <v>1207</v>
      </c>
    </row>
    <row r="24" customFormat="false" ht="12.75" hidden="false" customHeight="true" outlineLevel="0" collapsed="false">
      <c r="A24" s="1" t="s">
        <v>1208</v>
      </c>
    </row>
    <row r="25" customFormat="false" ht="12.75" hidden="false" customHeight="true" outlineLevel="0" collapsed="false"/>
    <row r="26" customFormat="false" ht="12.75" hidden="false" customHeight="true" outlineLevel="0" collapsed="false">
      <c r="A26" s="1" t="s">
        <v>1209</v>
      </c>
    </row>
    <row r="27" customFormat="false" ht="12.75" hidden="false" customHeight="true" outlineLevel="0" collapsed="false">
      <c r="A27" s="1" t="s">
        <v>1208</v>
      </c>
    </row>
    <row r="28" customFormat="false" ht="12.75" hidden="false" customHeight="true" outlineLevel="0" collapsed="false">
      <c r="A28" s="1" t="s">
        <v>1208</v>
      </c>
    </row>
    <row r="29" customFormat="false" ht="12.75" hidden="false" customHeight="true" outlineLevel="0" collapsed="false">
      <c r="A29" s="1" t="s">
        <v>1208</v>
      </c>
    </row>
    <row r="30" customFormat="false" ht="12.75" hidden="false" customHeight="true" outlineLevel="0" collapsed="false">
      <c r="A30" s="1" t="s">
        <v>1208</v>
      </c>
    </row>
    <row r="31" customFormat="false" ht="12.75" hidden="false" customHeight="true" outlineLevel="0" collapsed="false"/>
    <row r="32" customFormat="false" ht="12.75" hidden="false" customHeight="true" outlineLevel="0" collapsed="false">
      <c r="A32" s="1" t="s">
        <v>1210</v>
      </c>
    </row>
    <row r="33" customFormat="false" ht="12.75" hidden="false" customHeight="true" outlineLevel="0" collapsed="false">
      <c r="A33" s="1" t="s">
        <v>1208</v>
      </c>
    </row>
    <row r="34" customFormat="false" ht="12.75" hidden="false" customHeight="true" outlineLevel="0" collapsed="false">
      <c r="A34" s="1" t="s">
        <v>1208</v>
      </c>
    </row>
    <row r="35" customFormat="false" ht="12.75" hidden="false" customHeight="true" outlineLevel="0" collapsed="false"/>
    <row r="36" customFormat="false" ht="12.75" hidden="false" customHeight="true" outlineLevel="0" collapsed="false">
      <c r="A36" s="1" t="s">
        <v>1211</v>
      </c>
    </row>
    <row r="37" customFormat="false" ht="12.75" hidden="false" customHeight="true" outlineLevel="0" collapsed="false">
      <c r="A37" s="1" t="s">
        <v>1208</v>
      </c>
    </row>
    <row r="38" customFormat="false" ht="12.75" hidden="false" customHeight="true" outlineLevel="0" collapsed="false">
      <c r="A38" s="1" t="s">
        <v>1208</v>
      </c>
    </row>
    <row r="39" customFormat="false" ht="12.75" hidden="false" customHeight="true" outlineLevel="0" collapsed="false"/>
    <row r="40" customFormat="false" ht="12.75" hidden="false" customHeight="true" outlineLevel="0" collapsed="false">
      <c r="A40" s="1" t="s">
        <v>1212</v>
      </c>
    </row>
    <row r="41" customFormat="false" ht="12.75" hidden="false" customHeight="true" outlineLevel="0" collapsed="false">
      <c r="A41" s="1" t="s">
        <v>1208</v>
      </c>
    </row>
    <row r="42" customFormat="false" ht="12.75" hidden="false" customHeight="true" outlineLevel="0" collapsed="false">
      <c r="A42" s="1" t="s">
        <v>1213</v>
      </c>
    </row>
    <row r="43" customFormat="false" ht="12.75" hidden="false" customHeight="true" outlineLevel="0" collapsed="false">
      <c r="A43" s="1" t="s">
        <v>1215</v>
      </c>
    </row>
    <row r="44" customFormat="false" ht="12.75" hidden="false" customHeight="true" outlineLevel="0" collapsed="false">
      <c r="A44" s="1" t="s">
        <v>1207</v>
      </c>
    </row>
    <row r="45" customFormat="false" ht="12.75" hidden="false" customHeight="true" outlineLevel="0" collapsed="false">
      <c r="A45" s="1" t="s">
        <v>1208</v>
      </c>
    </row>
    <row r="46" customFormat="false" ht="12.75" hidden="false" customHeight="true" outlineLevel="0" collapsed="false"/>
    <row r="47" customFormat="false" ht="12.75" hidden="false" customHeight="true" outlineLevel="0" collapsed="false">
      <c r="A47" s="1" t="s">
        <v>1209</v>
      </c>
    </row>
    <row r="48" customFormat="false" ht="12.75" hidden="false" customHeight="true" outlineLevel="0" collapsed="false">
      <c r="A48" s="1" t="s">
        <v>1208</v>
      </c>
    </row>
    <row r="49" customFormat="false" ht="12.75" hidden="false" customHeight="true" outlineLevel="0" collapsed="false">
      <c r="A49" s="1" t="s">
        <v>1208</v>
      </c>
    </row>
    <row r="50" customFormat="false" ht="12.75" hidden="false" customHeight="true" outlineLevel="0" collapsed="false">
      <c r="A50" s="1" t="s">
        <v>1208</v>
      </c>
    </row>
    <row r="51" customFormat="false" ht="12.75" hidden="false" customHeight="true" outlineLevel="0" collapsed="false">
      <c r="A51" s="1" t="s">
        <v>1208</v>
      </c>
    </row>
    <row r="52" customFormat="false" ht="12.75" hidden="false" customHeight="true" outlineLevel="0" collapsed="false"/>
    <row r="53" customFormat="false" ht="12.75" hidden="false" customHeight="true" outlineLevel="0" collapsed="false">
      <c r="A53" s="1" t="s">
        <v>1210</v>
      </c>
    </row>
    <row r="54" customFormat="false" ht="12.75" hidden="false" customHeight="true" outlineLevel="0" collapsed="false">
      <c r="A54" s="1" t="s">
        <v>1208</v>
      </c>
    </row>
    <row r="55" customFormat="false" ht="12.75" hidden="false" customHeight="true" outlineLevel="0" collapsed="false">
      <c r="A55" s="1" t="s">
        <v>1208</v>
      </c>
    </row>
    <row r="56" customFormat="false" ht="12.75" hidden="false" customHeight="true" outlineLevel="0" collapsed="false"/>
    <row r="57" customFormat="false" ht="12.75" hidden="false" customHeight="true" outlineLevel="0" collapsed="false">
      <c r="A57" s="1" t="s">
        <v>1211</v>
      </c>
    </row>
    <row r="58" customFormat="false" ht="12.75" hidden="false" customHeight="true" outlineLevel="0" collapsed="false">
      <c r="A58" s="1" t="s">
        <v>1208</v>
      </c>
    </row>
    <row r="59" customFormat="false" ht="12.75" hidden="false" customHeight="true" outlineLevel="0" collapsed="false">
      <c r="A59" s="1" t="s">
        <v>1208</v>
      </c>
    </row>
    <row r="60" customFormat="false" ht="12.75" hidden="false" customHeight="true" outlineLevel="0" collapsed="false"/>
    <row r="61" customFormat="false" ht="12.75" hidden="false" customHeight="true" outlineLevel="0" collapsed="false">
      <c r="A61" s="1" t="s">
        <v>1212</v>
      </c>
    </row>
    <row r="62" customFormat="false" ht="12.75" hidden="false" customHeight="true" outlineLevel="0" collapsed="false">
      <c r="A62" s="1" t="s">
        <v>1208</v>
      </c>
    </row>
    <row r="63" customFormat="false" ht="12.75" hidden="false" customHeight="true" outlineLevel="0" collapsed="false">
      <c r="A63" s="1" t="s">
        <v>1213</v>
      </c>
    </row>
    <row r="64" customFormat="false" ht="12.75" hidden="false" customHeight="true" outlineLevel="0" collapsed="false">
      <c r="A64" s="1" t="s">
        <v>1216</v>
      </c>
    </row>
    <row r="65" customFormat="false" ht="12.75" hidden="false" customHeight="true" outlineLevel="0" collapsed="false">
      <c r="A65" s="1" t="s">
        <v>1207</v>
      </c>
    </row>
    <row r="66" customFormat="false" ht="12.75" hidden="false" customHeight="true" outlineLevel="0" collapsed="false">
      <c r="A66" s="1" t="s">
        <v>1208</v>
      </c>
    </row>
    <row r="67" customFormat="false" ht="12.75" hidden="false" customHeight="true" outlineLevel="0" collapsed="false"/>
    <row r="68" customFormat="false" ht="12.75" hidden="false" customHeight="true" outlineLevel="0" collapsed="false">
      <c r="A68" s="1" t="s">
        <v>1209</v>
      </c>
    </row>
    <row r="69" customFormat="false" ht="12.75" hidden="false" customHeight="true" outlineLevel="0" collapsed="false">
      <c r="A69" s="1" t="s">
        <v>1208</v>
      </c>
    </row>
    <row r="70" customFormat="false" ht="12.75" hidden="false" customHeight="true" outlineLevel="0" collapsed="false">
      <c r="A70" s="1" t="s">
        <v>1208</v>
      </c>
    </row>
    <row r="71" customFormat="false" ht="12.75" hidden="false" customHeight="true" outlineLevel="0" collapsed="false">
      <c r="A71" s="1" t="s">
        <v>1208</v>
      </c>
    </row>
    <row r="72" customFormat="false" ht="12.75" hidden="false" customHeight="true" outlineLevel="0" collapsed="false">
      <c r="A72" s="1" t="s">
        <v>1208</v>
      </c>
    </row>
    <row r="73" customFormat="false" ht="12.75" hidden="false" customHeight="true" outlineLevel="0" collapsed="false"/>
    <row r="74" customFormat="false" ht="12.75" hidden="false" customHeight="true" outlineLevel="0" collapsed="false">
      <c r="A74" s="1" t="s">
        <v>1210</v>
      </c>
    </row>
    <row r="75" customFormat="false" ht="12.75" hidden="false" customHeight="true" outlineLevel="0" collapsed="false">
      <c r="A75" s="1" t="s">
        <v>1208</v>
      </c>
    </row>
    <row r="76" customFormat="false" ht="12.75" hidden="false" customHeight="true" outlineLevel="0" collapsed="false">
      <c r="A76" s="1" t="s">
        <v>1208</v>
      </c>
    </row>
    <row r="77" customFormat="false" ht="12.75" hidden="false" customHeight="true" outlineLevel="0" collapsed="false"/>
    <row r="78" customFormat="false" ht="12.75" hidden="false" customHeight="true" outlineLevel="0" collapsed="false">
      <c r="A78" s="1" t="s">
        <v>1211</v>
      </c>
    </row>
    <row r="79" customFormat="false" ht="12.75" hidden="false" customHeight="true" outlineLevel="0" collapsed="false">
      <c r="A79" s="1" t="s">
        <v>1208</v>
      </c>
    </row>
    <row r="80" customFormat="false" ht="12.75" hidden="false" customHeight="true" outlineLevel="0" collapsed="false">
      <c r="A80" s="1" t="s">
        <v>1208</v>
      </c>
    </row>
    <row r="81" customFormat="false" ht="12.75" hidden="false" customHeight="true" outlineLevel="0" collapsed="false"/>
    <row r="82" customFormat="false" ht="12.75" hidden="false" customHeight="true" outlineLevel="0" collapsed="false">
      <c r="A82" s="1" t="s">
        <v>1212</v>
      </c>
    </row>
    <row r="83" customFormat="false" ht="12.75" hidden="false" customHeight="true" outlineLevel="0" collapsed="false">
      <c r="A83" s="1" t="s">
        <v>1208</v>
      </c>
    </row>
    <row r="84" customFormat="false" ht="12.75" hidden="false" customHeight="true" outlineLevel="0" collapsed="false">
      <c r="A84" s="1" t="s">
        <v>1213</v>
      </c>
    </row>
    <row r="85" customFormat="false" ht="12.75" hidden="false" customHeight="true" outlineLevel="0" collapsed="false">
      <c r="A85" s="1" t="s">
        <v>1217</v>
      </c>
    </row>
    <row r="86" customFormat="false" ht="12.75" hidden="false" customHeight="true" outlineLevel="0" collapsed="false">
      <c r="A86" s="1" t="s">
        <v>1207</v>
      </c>
    </row>
    <row r="87" customFormat="false" ht="12.75" hidden="false" customHeight="true" outlineLevel="0" collapsed="false">
      <c r="A87" s="1" t="s">
        <v>1208</v>
      </c>
    </row>
    <row r="88" customFormat="false" ht="12.75" hidden="false" customHeight="true" outlineLevel="0" collapsed="false"/>
    <row r="89" customFormat="false" ht="12.75" hidden="false" customHeight="true" outlineLevel="0" collapsed="false">
      <c r="A89" s="1" t="s">
        <v>1209</v>
      </c>
    </row>
    <row r="90" customFormat="false" ht="12.75" hidden="false" customHeight="true" outlineLevel="0" collapsed="false">
      <c r="A90" s="1" t="s">
        <v>1208</v>
      </c>
    </row>
    <row r="91" customFormat="false" ht="12.75" hidden="false" customHeight="true" outlineLevel="0" collapsed="false">
      <c r="A91" s="1" t="s">
        <v>1208</v>
      </c>
    </row>
    <row r="92" customFormat="false" ht="12.75" hidden="false" customHeight="true" outlineLevel="0" collapsed="false">
      <c r="A92" s="1" t="s">
        <v>1208</v>
      </c>
    </row>
    <row r="93" customFormat="false" ht="12.75" hidden="false" customHeight="true" outlineLevel="0" collapsed="false">
      <c r="A93" s="1" t="s">
        <v>1208</v>
      </c>
    </row>
    <row r="94" customFormat="false" ht="12.75" hidden="false" customHeight="true" outlineLevel="0" collapsed="false"/>
    <row r="95" customFormat="false" ht="12.75" hidden="false" customHeight="true" outlineLevel="0" collapsed="false">
      <c r="A95" s="1" t="s">
        <v>1210</v>
      </c>
    </row>
    <row r="96" customFormat="false" ht="12.75" hidden="false" customHeight="true" outlineLevel="0" collapsed="false">
      <c r="A96" s="1" t="s">
        <v>1208</v>
      </c>
    </row>
    <row r="97" customFormat="false" ht="12.75" hidden="false" customHeight="true" outlineLevel="0" collapsed="false">
      <c r="A97" s="1" t="s">
        <v>1208</v>
      </c>
    </row>
    <row r="98" customFormat="false" ht="12.75" hidden="false" customHeight="true" outlineLevel="0" collapsed="false"/>
    <row r="99" customFormat="false" ht="12.75" hidden="false" customHeight="true" outlineLevel="0" collapsed="false">
      <c r="A99" s="1" t="s">
        <v>1211</v>
      </c>
    </row>
    <row r="100" customFormat="false" ht="12.75" hidden="false" customHeight="true" outlineLevel="0" collapsed="false">
      <c r="A100" s="1" t="s">
        <v>1208</v>
      </c>
    </row>
    <row r="101" customFormat="false" ht="12.75" hidden="false" customHeight="true" outlineLevel="0" collapsed="false">
      <c r="A101" s="1" t="s">
        <v>1208</v>
      </c>
    </row>
    <row r="102" customFormat="false" ht="12.75" hidden="false" customHeight="true" outlineLevel="0" collapsed="false"/>
    <row r="103" customFormat="false" ht="12.75" hidden="false" customHeight="true" outlineLevel="0" collapsed="false">
      <c r="A103" s="1" t="s">
        <v>1212</v>
      </c>
    </row>
    <row r="104" customFormat="false" ht="12.75" hidden="false" customHeight="true" outlineLevel="0" collapsed="false">
      <c r="A104" s="1" t="s">
        <v>1208</v>
      </c>
    </row>
    <row r="105" customFormat="false" ht="12.75" hidden="false" customHeight="true" outlineLevel="0" collapsed="false">
      <c r="A105" s="1" t="s">
        <v>1213</v>
      </c>
    </row>
    <row r="106" customFormat="false" ht="12.75" hidden="false" customHeight="true" outlineLevel="0" collapsed="false">
      <c r="A106" s="1" t="s">
        <v>1218</v>
      </c>
    </row>
    <row r="107" customFormat="false" ht="12.75" hidden="false" customHeight="true" outlineLevel="0" collapsed="false">
      <c r="A107" s="1" t="s">
        <v>1207</v>
      </c>
    </row>
    <row r="108" customFormat="false" ht="12.75" hidden="false" customHeight="true" outlineLevel="0" collapsed="false">
      <c r="A108" s="1" t="s">
        <v>1208</v>
      </c>
    </row>
    <row r="109" customFormat="false" ht="12.75" hidden="false" customHeight="true" outlineLevel="0" collapsed="false"/>
    <row r="110" customFormat="false" ht="12.75" hidden="false" customHeight="true" outlineLevel="0" collapsed="false">
      <c r="A110" s="1" t="s">
        <v>1209</v>
      </c>
    </row>
    <row r="111" customFormat="false" ht="12.75" hidden="false" customHeight="true" outlineLevel="0" collapsed="false">
      <c r="A111" s="1" t="s">
        <v>1208</v>
      </c>
    </row>
    <row r="112" customFormat="false" ht="12.75" hidden="false" customHeight="true" outlineLevel="0" collapsed="false">
      <c r="A112" s="1" t="s">
        <v>1208</v>
      </c>
    </row>
    <row r="113" customFormat="false" ht="12.75" hidden="false" customHeight="true" outlineLevel="0" collapsed="false">
      <c r="A113" s="1" t="s">
        <v>1208</v>
      </c>
    </row>
    <row r="114" customFormat="false" ht="12.75" hidden="false" customHeight="true" outlineLevel="0" collapsed="false">
      <c r="A114" s="1" t="s">
        <v>1208</v>
      </c>
    </row>
    <row r="115" customFormat="false" ht="12.75" hidden="false" customHeight="true" outlineLevel="0" collapsed="false"/>
    <row r="116" customFormat="false" ht="12.75" hidden="false" customHeight="true" outlineLevel="0" collapsed="false">
      <c r="A116" s="1" t="s">
        <v>1210</v>
      </c>
    </row>
    <row r="117" customFormat="false" ht="12.75" hidden="false" customHeight="true" outlineLevel="0" collapsed="false">
      <c r="A117" s="1" t="s">
        <v>1208</v>
      </c>
    </row>
    <row r="118" customFormat="false" ht="12.75" hidden="false" customHeight="true" outlineLevel="0" collapsed="false">
      <c r="A118" s="1" t="s">
        <v>1208</v>
      </c>
    </row>
    <row r="119" customFormat="false" ht="12.75" hidden="false" customHeight="true" outlineLevel="0" collapsed="false"/>
    <row r="120" customFormat="false" ht="12.75" hidden="false" customHeight="true" outlineLevel="0" collapsed="false">
      <c r="A120" s="1" t="s">
        <v>1211</v>
      </c>
    </row>
    <row r="121" customFormat="false" ht="12.75" hidden="false" customHeight="true" outlineLevel="0" collapsed="false">
      <c r="A121" s="1" t="s">
        <v>1208</v>
      </c>
    </row>
    <row r="122" customFormat="false" ht="12.75" hidden="false" customHeight="true" outlineLevel="0" collapsed="false">
      <c r="A122" s="1" t="s">
        <v>1208</v>
      </c>
    </row>
    <row r="123" customFormat="false" ht="12.75" hidden="false" customHeight="true" outlineLevel="0" collapsed="false"/>
    <row r="124" customFormat="false" ht="12.75" hidden="false" customHeight="true" outlineLevel="0" collapsed="false">
      <c r="A124" s="1" t="s">
        <v>1212</v>
      </c>
    </row>
    <row r="125" customFormat="false" ht="12.75" hidden="false" customHeight="true" outlineLevel="0" collapsed="false">
      <c r="A125" s="1" t="s">
        <v>1208</v>
      </c>
    </row>
    <row r="126" customFormat="false" ht="12.75" hidden="false" customHeight="true" outlineLevel="0" collapsed="false">
      <c r="A126" s="1" t="s">
        <v>1213</v>
      </c>
    </row>
    <row r="127" customFormat="false" ht="12.75" hidden="false" customHeight="true" outlineLevel="0" collapsed="false">
      <c r="A127" s="1" t="s">
        <v>1219</v>
      </c>
    </row>
    <row r="128" customFormat="false" ht="12.75" hidden="false" customHeight="true" outlineLevel="0" collapsed="false">
      <c r="A128" s="1" t="s">
        <v>1207</v>
      </c>
    </row>
    <row r="129" customFormat="false" ht="12.75" hidden="false" customHeight="true" outlineLevel="0" collapsed="false">
      <c r="A129" s="1" t="s">
        <v>1208</v>
      </c>
    </row>
    <row r="130" customFormat="false" ht="12.75" hidden="false" customHeight="true" outlineLevel="0" collapsed="false"/>
    <row r="131" customFormat="false" ht="12.75" hidden="false" customHeight="true" outlineLevel="0" collapsed="false">
      <c r="A131" s="1" t="s">
        <v>1209</v>
      </c>
    </row>
    <row r="132" customFormat="false" ht="12.75" hidden="false" customHeight="true" outlineLevel="0" collapsed="false">
      <c r="A132" s="1" t="s">
        <v>1208</v>
      </c>
    </row>
    <row r="133" customFormat="false" ht="12.75" hidden="false" customHeight="true" outlineLevel="0" collapsed="false">
      <c r="A133" s="1" t="s">
        <v>1208</v>
      </c>
    </row>
    <row r="134" customFormat="false" ht="12.75" hidden="false" customHeight="true" outlineLevel="0" collapsed="false">
      <c r="A134" s="1" t="s">
        <v>1208</v>
      </c>
    </row>
    <row r="135" customFormat="false" ht="12.75" hidden="false" customHeight="true" outlineLevel="0" collapsed="false">
      <c r="A135" s="1" t="s">
        <v>1208</v>
      </c>
    </row>
    <row r="136" customFormat="false" ht="12.75" hidden="false" customHeight="true" outlineLevel="0" collapsed="false"/>
    <row r="137" customFormat="false" ht="12.75" hidden="false" customHeight="true" outlineLevel="0" collapsed="false">
      <c r="A137" s="1" t="s">
        <v>1210</v>
      </c>
    </row>
    <row r="138" customFormat="false" ht="12.75" hidden="false" customHeight="true" outlineLevel="0" collapsed="false">
      <c r="A138" s="1" t="s">
        <v>1208</v>
      </c>
    </row>
    <row r="139" customFormat="false" ht="12.75" hidden="false" customHeight="true" outlineLevel="0" collapsed="false">
      <c r="A139" s="1" t="s">
        <v>1208</v>
      </c>
    </row>
    <row r="140" customFormat="false" ht="12.75" hidden="false" customHeight="true" outlineLevel="0" collapsed="false"/>
    <row r="141" customFormat="false" ht="12.75" hidden="false" customHeight="true" outlineLevel="0" collapsed="false">
      <c r="A141" s="1" t="s">
        <v>1211</v>
      </c>
    </row>
    <row r="142" customFormat="false" ht="12.75" hidden="false" customHeight="true" outlineLevel="0" collapsed="false">
      <c r="A142" s="1" t="s">
        <v>1208</v>
      </c>
    </row>
    <row r="143" customFormat="false" ht="12.75" hidden="false" customHeight="true" outlineLevel="0" collapsed="false">
      <c r="A143" s="1" t="s">
        <v>1208</v>
      </c>
    </row>
    <row r="144" customFormat="false" ht="12.75" hidden="false" customHeight="true" outlineLevel="0" collapsed="false"/>
    <row r="145" customFormat="false" ht="12.75" hidden="false" customHeight="true" outlineLevel="0" collapsed="false">
      <c r="A145" s="1" t="s">
        <v>1212</v>
      </c>
    </row>
    <row r="146" customFormat="false" ht="12.75" hidden="false" customHeight="true" outlineLevel="0" collapsed="false">
      <c r="A146" s="1" t="s">
        <v>1208</v>
      </c>
    </row>
    <row r="147" customFormat="false" ht="12.75" hidden="false" customHeight="true" outlineLevel="0" collapsed="false">
      <c r="A147" s="1" t="s">
        <v>1213</v>
      </c>
    </row>
    <row r="148" customFormat="false" ht="12.75" hidden="false" customHeight="true" outlineLevel="0" collapsed="false">
      <c r="A148" s="1" t="s">
        <v>1220</v>
      </c>
    </row>
    <row r="149" customFormat="false" ht="12.75" hidden="false" customHeight="true" outlineLevel="0" collapsed="false">
      <c r="A149" s="1" t="s">
        <v>1221</v>
      </c>
    </row>
    <row r="150" customFormat="false" ht="12.75" hidden="false" customHeight="true" outlineLevel="0" collapsed="false">
      <c r="A150" s="1" t="s">
        <v>1222</v>
      </c>
    </row>
    <row r="151" customFormat="false" ht="12.75" hidden="false" customHeight="true" outlineLevel="0" collapsed="false"/>
    <row r="152" customFormat="false" ht="12.75" hidden="false" customHeight="true" outlineLevel="0" collapsed="false">
      <c r="A152" s="1" t="s">
        <v>1209</v>
      </c>
    </row>
    <row r="153" customFormat="false" ht="12.75" hidden="false" customHeight="true" outlineLevel="0" collapsed="false">
      <c r="A153" s="1" t="s">
        <v>1223</v>
      </c>
    </row>
    <row r="154" customFormat="false" ht="12.75" hidden="false" customHeight="true" outlineLevel="0" collapsed="false">
      <c r="A154" s="1" t="s">
        <v>1224</v>
      </c>
    </row>
    <row r="155" customFormat="false" ht="12.75" hidden="false" customHeight="true" outlineLevel="0" collapsed="false">
      <c r="A155" s="1" t="s">
        <v>1225</v>
      </c>
    </row>
    <row r="156" customFormat="false" ht="12.75" hidden="false" customHeight="true" outlineLevel="0" collapsed="false">
      <c r="A156" s="1" t="s">
        <v>1226</v>
      </c>
    </row>
    <row r="157" customFormat="false" ht="12.75" hidden="false" customHeight="true" outlineLevel="0" collapsed="false"/>
    <row r="158" customFormat="false" ht="12.75" hidden="false" customHeight="true" outlineLevel="0" collapsed="false">
      <c r="A158" s="1" t="s">
        <v>1210</v>
      </c>
    </row>
    <row r="159" customFormat="false" ht="12.75" hidden="false" customHeight="true" outlineLevel="0" collapsed="false">
      <c r="A159" s="1" t="s">
        <v>1227</v>
      </c>
    </row>
    <row r="160" customFormat="false" ht="12.75" hidden="false" customHeight="true" outlineLevel="0" collapsed="false">
      <c r="A160" s="1" t="s">
        <v>1228</v>
      </c>
    </row>
    <row r="161" customFormat="false" ht="12.75" hidden="false" customHeight="true" outlineLevel="0" collapsed="false"/>
    <row r="162" customFormat="false" ht="12.75" hidden="false" customHeight="true" outlineLevel="0" collapsed="false">
      <c r="A162" s="1" t="s">
        <v>1211</v>
      </c>
    </row>
    <row r="163" customFormat="false" ht="12.75" hidden="false" customHeight="true" outlineLevel="0" collapsed="false">
      <c r="A163" s="1" t="s">
        <v>1229</v>
      </c>
    </row>
    <row r="164" customFormat="false" ht="12.75" hidden="false" customHeight="true" outlineLevel="0" collapsed="false">
      <c r="A164" s="1" t="s">
        <v>1230</v>
      </c>
    </row>
    <row r="165" customFormat="false" ht="12.75" hidden="false" customHeight="true" outlineLevel="0" collapsed="false"/>
    <row r="166" customFormat="false" ht="12.75" hidden="false" customHeight="true" outlineLevel="0" collapsed="false">
      <c r="A166" s="1" t="s">
        <v>1212</v>
      </c>
    </row>
    <row r="167" customFormat="false" ht="12.75" hidden="false" customHeight="true" outlineLevel="0" collapsed="false">
      <c r="A167" s="1" t="s">
        <v>1231</v>
      </c>
    </row>
    <row r="168" customFormat="false" ht="12.75" hidden="false" customHeight="true" outlineLevel="0" collapsed="false">
      <c r="A168" s="1" t="s">
        <v>1232</v>
      </c>
    </row>
    <row r="169" customFormat="false" ht="12.75" hidden="false" customHeight="true" outlineLevel="0" collapsed="false">
      <c r="A169" s="1" t="s">
        <v>1233</v>
      </c>
    </row>
    <row r="170" customFormat="false" ht="12.75" hidden="false" customHeight="true" outlineLevel="0" collapsed="false">
      <c r="A170" s="1" t="s">
        <v>1234</v>
      </c>
    </row>
    <row r="171" customFormat="false" ht="12.75" hidden="false" customHeight="true" outlineLevel="0" collapsed="false">
      <c r="A171" s="1" t="s">
        <v>1235</v>
      </c>
    </row>
    <row r="172" customFormat="false" ht="12.75" hidden="false" customHeight="true" outlineLevel="0" collapsed="false"/>
    <row r="173" customFormat="false" ht="12.75" hidden="false" customHeight="true" outlineLevel="0" collapsed="false">
      <c r="A173" s="1" t="s">
        <v>1209</v>
      </c>
    </row>
    <row r="174" customFormat="false" ht="12.75" hidden="false" customHeight="true" outlineLevel="0" collapsed="false">
      <c r="A174" s="1" t="s">
        <v>1236</v>
      </c>
    </row>
    <row r="175" customFormat="false" ht="12.75" hidden="false" customHeight="true" outlineLevel="0" collapsed="false">
      <c r="A175" s="1" t="s">
        <v>1236</v>
      </c>
    </row>
    <row r="176" customFormat="false" ht="12.75" hidden="false" customHeight="true" outlineLevel="0" collapsed="false">
      <c r="A176" s="1" t="s">
        <v>1237</v>
      </c>
    </row>
    <row r="177" customFormat="false" ht="12.75" hidden="false" customHeight="true" outlineLevel="0" collapsed="false">
      <c r="A177" s="1" t="s">
        <v>1237</v>
      </c>
    </row>
    <row r="178" customFormat="false" ht="12.75" hidden="false" customHeight="true" outlineLevel="0" collapsed="false"/>
    <row r="179" customFormat="false" ht="12.75" hidden="false" customHeight="true" outlineLevel="0" collapsed="false">
      <c r="A179" s="1" t="s">
        <v>1210</v>
      </c>
    </row>
    <row r="180" customFormat="false" ht="12.75" hidden="false" customHeight="true" outlineLevel="0" collapsed="false">
      <c r="A180" s="1" t="s">
        <v>1238</v>
      </c>
    </row>
    <row r="181" customFormat="false" ht="12.75" hidden="false" customHeight="true" outlineLevel="0" collapsed="false">
      <c r="A181" s="1" t="s">
        <v>1238</v>
      </c>
    </row>
    <row r="182" customFormat="false" ht="12.75" hidden="false" customHeight="true" outlineLevel="0" collapsed="false"/>
    <row r="183" customFormat="false" ht="12.75" hidden="false" customHeight="true" outlineLevel="0" collapsed="false">
      <c r="A183" s="1" t="s">
        <v>1211</v>
      </c>
    </row>
    <row r="184" customFormat="false" ht="12.75" hidden="false" customHeight="true" outlineLevel="0" collapsed="false">
      <c r="A184" s="1" t="s">
        <v>1239</v>
      </c>
    </row>
    <row r="185" customFormat="false" ht="12.75" hidden="false" customHeight="true" outlineLevel="0" collapsed="false">
      <c r="A185" s="1" t="s">
        <v>1239</v>
      </c>
    </row>
    <row r="186" customFormat="false" ht="12.75" hidden="false" customHeight="true" outlineLevel="0" collapsed="false"/>
    <row r="187" customFormat="false" ht="12.75" hidden="false" customHeight="true" outlineLevel="0" collapsed="false">
      <c r="A187" s="1" t="s">
        <v>1212</v>
      </c>
    </row>
    <row r="188" customFormat="false" ht="12.75" hidden="false" customHeight="true" outlineLevel="0" collapsed="false">
      <c r="A188" s="1" t="s">
        <v>1240</v>
      </c>
    </row>
    <row r="189" customFormat="false" ht="12.75" hidden="false" customHeight="true" outlineLevel="0" collapsed="false">
      <c r="A189" s="1" t="s">
        <v>1241</v>
      </c>
    </row>
    <row r="190" customFormat="false" ht="12.75" hidden="false" customHeight="true" outlineLevel="0" collapsed="false">
      <c r="A190" s="1" t="s">
        <v>1242</v>
      </c>
    </row>
    <row r="191" customFormat="false" ht="12.75" hidden="false" customHeight="true" outlineLevel="0" collapsed="false">
      <c r="A191" s="1" t="s">
        <v>1243</v>
      </c>
    </row>
    <row r="192" customFormat="false" ht="12.75" hidden="false" customHeight="true" outlineLevel="0" collapsed="false">
      <c r="A192" s="1" t="s">
        <v>1236</v>
      </c>
    </row>
    <row r="193" customFormat="false" ht="12.75" hidden="false" customHeight="true" outlineLevel="0" collapsed="false"/>
    <row r="194" customFormat="false" ht="12.75" hidden="false" customHeight="true" outlineLevel="0" collapsed="false">
      <c r="A194" s="1" t="s">
        <v>1209</v>
      </c>
    </row>
    <row r="195" customFormat="false" ht="12.75" hidden="false" customHeight="true" outlineLevel="0" collapsed="false">
      <c r="A195" s="1" t="s">
        <v>1244</v>
      </c>
    </row>
    <row r="196" customFormat="false" ht="12.75" hidden="false" customHeight="true" outlineLevel="0" collapsed="false">
      <c r="A196" s="1" t="s">
        <v>1244</v>
      </c>
    </row>
    <row r="197" customFormat="false" ht="12.75" hidden="false" customHeight="true" outlineLevel="0" collapsed="false">
      <c r="A197" s="1" t="s">
        <v>1245</v>
      </c>
    </row>
    <row r="198" customFormat="false" ht="12.75" hidden="false" customHeight="true" outlineLevel="0" collapsed="false">
      <c r="A198" s="1" t="s">
        <v>1245</v>
      </c>
    </row>
    <row r="199" customFormat="false" ht="12.75" hidden="false" customHeight="true" outlineLevel="0" collapsed="false"/>
    <row r="200" customFormat="false" ht="12.75" hidden="false" customHeight="true" outlineLevel="0" collapsed="false">
      <c r="A200" s="1" t="s">
        <v>1210</v>
      </c>
    </row>
    <row r="201" customFormat="false" ht="12.75" hidden="false" customHeight="true" outlineLevel="0" collapsed="false">
      <c r="A201" s="1" t="s">
        <v>1246</v>
      </c>
    </row>
    <row r="202" customFormat="false" ht="12.75" hidden="false" customHeight="true" outlineLevel="0" collapsed="false">
      <c r="A202" s="1" t="s">
        <v>1246</v>
      </c>
    </row>
    <row r="203" customFormat="false" ht="12.75" hidden="false" customHeight="true" outlineLevel="0" collapsed="false"/>
    <row r="204" customFormat="false" ht="12.75" hidden="false" customHeight="true" outlineLevel="0" collapsed="false">
      <c r="A204" s="1" t="s">
        <v>1211</v>
      </c>
    </row>
    <row r="205" customFormat="false" ht="12.75" hidden="false" customHeight="true" outlineLevel="0" collapsed="false">
      <c r="A205" s="1" t="s">
        <v>1247</v>
      </c>
    </row>
    <row r="206" customFormat="false" ht="12.75" hidden="false" customHeight="true" outlineLevel="0" collapsed="false">
      <c r="A206" s="1" t="s">
        <v>1247</v>
      </c>
    </row>
    <row r="207" customFormat="false" ht="12.75" hidden="false" customHeight="true" outlineLevel="0" collapsed="false"/>
    <row r="208" customFormat="false" ht="12.75" hidden="false" customHeight="true" outlineLevel="0" collapsed="false">
      <c r="A208" s="1" t="s">
        <v>1212</v>
      </c>
    </row>
    <row r="209" customFormat="false" ht="12.75" hidden="false" customHeight="true" outlineLevel="0" collapsed="false">
      <c r="A209" s="1" t="s">
        <v>1248</v>
      </c>
    </row>
    <row r="210" customFormat="false" ht="12.75" hidden="false" customHeight="true" outlineLevel="0" collapsed="false">
      <c r="A210" s="1" t="s">
        <v>1249</v>
      </c>
    </row>
    <row r="211" customFormat="false" ht="12.75" hidden="false" customHeight="true" outlineLevel="0" collapsed="false">
      <c r="A211" s="1" t="s">
        <v>1250</v>
      </c>
    </row>
    <row r="212" customFormat="false" ht="12.75" hidden="false" customHeight="true" outlineLevel="0" collapsed="false">
      <c r="A212" s="1" t="s">
        <v>1251</v>
      </c>
    </row>
    <row r="213" customFormat="false" ht="12.75" hidden="false" customHeight="true" outlineLevel="0" collapsed="false">
      <c r="A213" s="1" t="s">
        <v>1252</v>
      </c>
    </row>
    <row r="214" customFormat="false" ht="12.75" hidden="false" customHeight="true" outlineLevel="0" collapsed="false"/>
    <row r="215" customFormat="false" ht="12.75" hidden="false" customHeight="true" outlineLevel="0" collapsed="false">
      <c r="A215" s="1" t="s">
        <v>1209</v>
      </c>
    </row>
    <row r="216" customFormat="false" ht="12.75" hidden="false" customHeight="true" outlineLevel="0" collapsed="false">
      <c r="A216" s="1" t="s">
        <v>1253</v>
      </c>
    </row>
    <row r="217" customFormat="false" ht="12.75" hidden="false" customHeight="true" outlineLevel="0" collapsed="false">
      <c r="A217" s="1" t="s">
        <v>1254</v>
      </c>
    </row>
    <row r="218" customFormat="false" ht="12.75" hidden="false" customHeight="true" outlineLevel="0" collapsed="false">
      <c r="A218" s="1" t="s">
        <v>1254</v>
      </c>
    </row>
    <row r="219" customFormat="false" ht="12.75" hidden="false" customHeight="true" outlineLevel="0" collapsed="false">
      <c r="A219" s="1" t="s">
        <v>1255</v>
      </c>
    </row>
    <row r="220" customFormat="false" ht="12.75" hidden="false" customHeight="true" outlineLevel="0" collapsed="false"/>
    <row r="221" customFormat="false" ht="12.75" hidden="false" customHeight="true" outlineLevel="0" collapsed="false">
      <c r="A221" s="1" t="s">
        <v>1210</v>
      </c>
    </row>
    <row r="222" customFormat="false" ht="12.75" hidden="false" customHeight="true" outlineLevel="0" collapsed="false">
      <c r="A222" s="1" t="s">
        <v>1256</v>
      </c>
    </row>
    <row r="223" customFormat="false" ht="12.75" hidden="false" customHeight="true" outlineLevel="0" collapsed="false">
      <c r="A223" s="1" t="s">
        <v>1256</v>
      </c>
    </row>
    <row r="224" customFormat="false" ht="12.75" hidden="false" customHeight="true" outlineLevel="0" collapsed="false"/>
    <row r="225" customFormat="false" ht="12.75" hidden="false" customHeight="true" outlineLevel="0" collapsed="false">
      <c r="A225" s="1" t="s">
        <v>1211</v>
      </c>
    </row>
    <row r="226" customFormat="false" ht="12.75" hidden="false" customHeight="true" outlineLevel="0" collapsed="false">
      <c r="A226" s="1" t="s">
        <v>1257</v>
      </c>
    </row>
    <row r="227" customFormat="false" ht="12.75" hidden="false" customHeight="true" outlineLevel="0" collapsed="false">
      <c r="A227" s="1" t="s">
        <v>1258</v>
      </c>
    </row>
    <row r="228" customFormat="false" ht="12.75" hidden="false" customHeight="true" outlineLevel="0" collapsed="false"/>
    <row r="229" customFormat="false" ht="12.75" hidden="false" customHeight="true" outlineLevel="0" collapsed="false">
      <c r="A229" s="1" t="s">
        <v>1212</v>
      </c>
    </row>
    <row r="230" customFormat="false" ht="12.75" hidden="false" customHeight="true" outlineLevel="0" collapsed="false">
      <c r="A230" s="1" t="s">
        <v>1259</v>
      </c>
    </row>
    <row r="231" customFormat="false" ht="12.75" hidden="false" customHeight="true" outlineLevel="0" collapsed="false">
      <c r="A231" s="1" t="s">
        <v>1260</v>
      </c>
    </row>
    <row r="232" customFormat="false" ht="12.75" hidden="false" customHeight="true" outlineLevel="0" collapsed="false">
      <c r="A232" s="1" t="s">
        <v>1261</v>
      </c>
    </row>
    <row r="233" customFormat="false" ht="12.75" hidden="false" customHeight="true" outlineLevel="0" collapsed="false">
      <c r="A233" s="1" t="s">
        <v>1262</v>
      </c>
    </row>
    <row r="234" customFormat="false" ht="12.75" hidden="false" customHeight="true" outlineLevel="0" collapsed="false">
      <c r="A234" s="1" t="s">
        <v>1263</v>
      </c>
    </row>
    <row r="235" customFormat="false" ht="12.75" hidden="false" customHeight="true" outlineLevel="0" collapsed="false">
      <c r="A235" s="1" t="s">
        <v>1264</v>
      </c>
    </row>
    <row r="236" customFormat="false" ht="12.75" hidden="false" customHeight="true" outlineLevel="0" collapsed="false">
      <c r="A236" s="1" t="s">
        <v>1265</v>
      </c>
    </row>
    <row r="237" customFormat="false" ht="12.75" hidden="false" customHeight="true" outlineLevel="0" collapsed="false">
      <c r="A237" s="1" t="s">
        <v>1266</v>
      </c>
    </row>
    <row r="238" customFormat="false" ht="12.75" hidden="false" customHeight="true" outlineLevel="0" collapsed="false">
      <c r="A238" s="1" t="s">
        <v>1267</v>
      </c>
    </row>
    <row r="239" customFormat="false" ht="12.75" hidden="false" customHeight="true" outlineLevel="0" collapsed="false"/>
    <row r="240" customFormat="false" ht="12.75" hidden="false" customHeight="true" outlineLevel="0" collapsed="false">
      <c r="A240" s="1" t="s">
        <v>1268</v>
      </c>
    </row>
    <row r="241" customFormat="false" ht="12.75" hidden="false" customHeight="true" outlineLevel="0" collapsed="false">
      <c r="A241" s="1" t="s">
        <v>1269</v>
      </c>
    </row>
    <row r="242" customFormat="false" ht="12.75" hidden="false" customHeight="true" outlineLevel="0" collapsed="false">
      <c r="A242" s="1" t="s">
        <v>1270</v>
      </c>
    </row>
    <row r="243" customFormat="false" ht="12.75" hidden="false" customHeight="true" outlineLevel="0" collapsed="false">
      <c r="A243" s="1" t="s">
        <v>1271</v>
      </c>
    </row>
    <row r="244" customFormat="false" ht="12.75" hidden="false" customHeight="true" outlineLevel="0" collapsed="false"/>
    <row r="245" customFormat="false" ht="12.75" hidden="false" customHeight="true" outlineLevel="0" collapsed="false">
      <c r="A245" s="1" t="s">
        <v>1272</v>
      </c>
    </row>
    <row r="246" customFormat="false" ht="12.75" hidden="false" customHeight="true" outlineLevel="0" collapsed="false">
      <c r="A246" s="1" t="s">
        <v>1273</v>
      </c>
    </row>
    <row r="247" customFormat="false" ht="12.75" hidden="false" customHeight="true" outlineLevel="0" collapsed="false">
      <c r="A247" s="1" t="s">
        <v>1274</v>
      </c>
    </row>
    <row r="248" customFormat="false" ht="12.75" hidden="false" customHeight="true" outlineLevel="0" collapsed="false">
      <c r="A248" s="1" t="s">
        <v>1275</v>
      </c>
    </row>
    <row r="249" customFormat="false" ht="12.75" hidden="false" customHeight="true" outlineLevel="0" collapsed="false">
      <c r="A249" s="1" t="s">
        <v>1276</v>
      </c>
    </row>
    <row r="250" customFormat="false" ht="12.75" hidden="false" customHeight="true" outlineLevel="0" collapsed="false">
      <c r="A250" s="1" t="s">
        <v>1277</v>
      </c>
    </row>
    <row r="251" customFormat="false" ht="12.75" hidden="false" customHeight="true" outlineLevel="0" collapsed="false">
      <c r="A251" s="1" t="s">
        <v>1278</v>
      </c>
    </row>
    <row r="252" customFormat="false" ht="12.75" hidden="false" customHeight="true" outlineLevel="0" collapsed="false">
      <c r="A252" s="1" t="s">
        <v>1279</v>
      </c>
    </row>
    <row r="253" customFormat="false" ht="12.75" hidden="false" customHeight="true" outlineLevel="0" collapsed="false">
      <c r="A253" s="1" t="s">
        <v>1280</v>
      </c>
    </row>
    <row r="254" customFormat="false" ht="12.75" hidden="false" customHeight="true" outlineLevel="0" collapsed="false"/>
    <row r="255" customFormat="false" ht="12.75" hidden="false" customHeight="true" outlineLevel="0" collapsed="false">
      <c r="A255" s="1" t="s">
        <v>1209</v>
      </c>
    </row>
    <row r="256" customFormat="false" ht="12.75" hidden="false" customHeight="true" outlineLevel="0" collapsed="false">
      <c r="A256" s="1" t="s">
        <v>1281</v>
      </c>
    </row>
    <row r="257" customFormat="false" ht="12.75" hidden="false" customHeight="true" outlineLevel="0" collapsed="false">
      <c r="A257" s="1" t="s">
        <v>1282</v>
      </c>
    </row>
    <row r="258" customFormat="false" ht="12.75" hidden="false" customHeight="true" outlineLevel="0" collapsed="false">
      <c r="A258" s="1" t="s">
        <v>1283</v>
      </c>
    </row>
    <row r="259" customFormat="false" ht="12.75" hidden="false" customHeight="true" outlineLevel="0" collapsed="false">
      <c r="A259" s="1" t="s">
        <v>1284</v>
      </c>
    </row>
    <row r="260" customFormat="false" ht="12.75" hidden="false" customHeight="true" outlineLevel="0" collapsed="false"/>
    <row r="261" customFormat="false" ht="12.75" hidden="false" customHeight="true" outlineLevel="0" collapsed="false">
      <c r="A261" s="1" t="s">
        <v>1210</v>
      </c>
    </row>
    <row r="262" customFormat="false" ht="12.75" hidden="false" customHeight="true" outlineLevel="0" collapsed="false">
      <c r="A262" s="1" t="s">
        <v>1285</v>
      </c>
    </row>
    <row r="263" customFormat="false" ht="12.75" hidden="false" customHeight="true" outlineLevel="0" collapsed="false">
      <c r="A263" s="1" t="s">
        <v>1286</v>
      </c>
    </row>
    <row r="264" customFormat="false" ht="12.75" hidden="false" customHeight="true" outlineLevel="0" collapsed="false"/>
    <row r="265" customFormat="false" ht="12.75" hidden="false" customHeight="true" outlineLevel="0" collapsed="false">
      <c r="A265" s="1" t="s">
        <v>1211</v>
      </c>
    </row>
    <row r="266" customFormat="false" ht="12.75" hidden="false" customHeight="true" outlineLevel="0" collapsed="false">
      <c r="A266" s="1" t="s">
        <v>1287</v>
      </c>
    </row>
    <row r="267" customFormat="false" ht="12.75" hidden="false" customHeight="true" outlineLevel="0" collapsed="false">
      <c r="A267" s="1" t="s">
        <v>1288</v>
      </c>
    </row>
    <row r="268" customFormat="false" ht="12.75" hidden="false" customHeight="true" outlineLevel="0" collapsed="false"/>
    <row r="269" customFormat="false" ht="12.75" hidden="false" customHeight="true" outlineLevel="0" collapsed="false">
      <c r="A269" s="1" t="s">
        <v>1212</v>
      </c>
    </row>
    <row r="270" customFormat="false" ht="12.75" hidden="false" customHeight="true" outlineLevel="0" collapsed="false">
      <c r="A270" s="1" t="s">
        <v>1289</v>
      </c>
    </row>
    <row r="271" customFormat="false" ht="12.75" hidden="false" customHeight="true" outlineLevel="0" collapsed="false">
      <c r="A271" s="1" t="s">
        <v>1290</v>
      </c>
    </row>
    <row r="272" customFormat="false" ht="12.75" hidden="false" customHeight="true" outlineLevel="0" collapsed="false">
      <c r="A272" s="1" t="s">
        <v>1291</v>
      </c>
    </row>
    <row r="273" customFormat="false" ht="12.75" hidden="false" customHeight="true" outlineLevel="0" collapsed="false">
      <c r="A273" s="1" t="s">
        <v>1292</v>
      </c>
    </row>
    <row r="274" customFormat="false" ht="12.75" hidden="false" customHeight="true" outlineLevel="0" collapsed="false">
      <c r="A274" s="1" t="s">
        <v>1293</v>
      </c>
    </row>
    <row r="275" customFormat="false" ht="12.75" hidden="false" customHeight="true" outlineLevel="0" collapsed="false"/>
    <row r="276" customFormat="false" ht="12.75" hidden="false" customHeight="true" outlineLevel="0" collapsed="false">
      <c r="A276" s="1" t="s">
        <v>1209</v>
      </c>
    </row>
    <row r="277" customFormat="false" ht="12.75" hidden="false" customHeight="true" outlineLevel="0" collapsed="false">
      <c r="A277" s="1" t="s">
        <v>1294</v>
      </c>
    </row>
    <row r="278" customFormat="false" ht="12.75" hidden="false" customHeight="true" outlineLevel="0" collapsed="false">
      <c r="A278" s="1" t="s">
        <v>1295</v>
      </c>
    </row>
    <row r="279" customFormat="false" ht="12.75" hidden="false" customHeight="true" outlineLevel="0" collapsed="false">
      <c r="A279" s="1" t="s">
        <v>1296</v>
      </c>
    </row>
    <row r="280" customFormat="false" ht="12.75" hidden="false" customHeight="true" outlineLevel="0" collapsed="false">
      <c r="A280" s="1" t="s">
        <v>1297</v>
      </c>
    </row>
    <row r="281" customFormat="false" ht="12.75" hidden="false" customHeight="true" outlineLevel="0" collapsed="false"/>
    <row r="282" customFormat="false" ht="12.75" hidden="false" customHeight="true" outlineLevel="0" collapsed="false">
      <c r="A282" s="1" t="s">
        <v>1210</v>
      </c>
    </row>
    <row r="283" customFormat="false" ht="12.75" hidden="false" customHeight="true" outlineLevel="0" collapsed="false">
      <c r="A283" s="1" t="s">
        <v>1298</v>
      </c>
    </row>
    <row r="284" customFormat="false" ht="12.75" hidden="false" customHeight="true" outlineLevel="0" collapsed="false">
      <c r="A284" s="1" t="s">
        <v>1299</v>
      </c>
    </row>
    <row r="285" customFormat="false" ht="12.75" hidden="false" customHeight="true" outlineLevel="0" collapsed="false"/>
    <row r="286" customFormat="false" ht="12.75" hidden="false" customHeight="true" outlineLevel="0" collapsed="false">
      <c r="A286" s="1" t="s">
        <v>1211</v>
      </c>
    </row>
    <row r="287" customFormat="false" ht="12.75" hidden="false" customHeight="true" outlineLevel="0" collapsed="false">
      <c r="A287" s="1" t="s">
        <v>1300</v>
      </c>
    </row>
    <row r="288" customFormat="false" ht="12.75" hidden="false" customHeight="true" outlineLevel="0" collapsed="false">
      <c r="A288" s="1" t="s">
        <v>1301</v>
      </c>
    </row>
    <row r="289" customFormat="false" ht="12.75" hidden="false" customHeight="true" outlineLevel="0" collapsed="false"/>
    <row r="290" customFormat="false" ht="12.75" hidden="false" customHeight="true" outlineLevel="0" collapsed="false">
      <c r="A290" s="1" t="s">
        <v>1212</v>
      </c>
    </row>
    <row r="291" customFormat="false" ht="12.75" hidden="false" customHeight="true" outlineLevel="0" collapsed="false">
      <c r="A291" s="1" t="s">
        <v>1302</v>
      </c>
    </row>
    <row r="292" customFormat="false" ht="12.75" hidden="false" customHeight="true" outlineLevel="0" collapsed="false">
      <c r="A292" s="1" t="s">
        <v>1303</v>
      </c>
    </row>
    <row r="293" customFormat="false" ht="12.75" hidden="false" customHeight="true" outlineLevel="0" collapsed="false">
      <c r="A293" s="1" t="s">
        <v>1304</v>
      </c>
    </row>
    <row r="294" customFormat="false" ht="12.75" hidden="false" customHeight="true" outlineLevel="0" collapsed="false">
      <c r="A294" s="1" t="s">
        <v>1292</v>
      </c>
    </row>
    <row r="295" customFormat="false" ht="12.75" hidden="false" customHeight="true" outlineLevel="0" collapsed="false">
      <c r="A295" s="1" t="s">
        <v>1293</v>
      </c>
    </row>
    <row r="296" customFormat="false" ht="12.75" hidden="false" customHeight="true" outlineLevel="0" collapsed="false"/>
    <row r="297" customFormat="false" ht="12.75" hidden="false" customHeight="true" outlineLevel="0" collapsed="false">
      <c r="A297" s="1" t="s">
        <v>1209</v>
      </c>
    </row>
    <row r="298" customFormat="false" ht="12.75" hidden="false" customHeight="true" outlineLevel="0" collapsed="false">
      <c r="A298" s="1" t="s">
        <v>1294</v>
      </c>
    </row>
    <row r="299" customFormat="false" ht="12.75" hidden="false" customHeight="true" outlineLevel="0" collapsed="false">
      <c r="A299" s="1" t="s">
        <v>1295</v>
      </c>
    </row>
    <row r="300" customFormat="false" ht="12.75" hidden="false" customHeight="true" outlineLevel="0" collapsed="false">
      <c r="A300" s="1" t="s">
        <v>1296</v>
      </c>
    </row>
    <row r="301" customFormat="false" ht="12.75" hidden="false" customHeight="true" outlineLevel="0" collapsed="false">
      <c r="A301" s="1" t="s">
        <v>1297</v>
      </c>
    </row>
    <row r="302" customFormat="false" ht="12.75" hidden="false" customHeight="true" outlineLevel="0" collapsed="false"/>
    <row r="303" customFormat="false" ht="12.75" hidden="false" customHeight="true" outlineLevel="0" collapsed="false">
      <c r="A303" s="1" t="s">
        <v>1210</v>
      </c>
    </row>
    <row r="304" customFormat="false" ht="12.75" hidden="false" customHeight="true" outlineLevel="0" collapsed="false">
      <c r="A304" s="1" t="s">
        <v>1298</v>
      </c>
    </row>
    <row r="305" customFormat="false" ht="12.75" hidden="false" customHeight="true" outlineLevel="0" collapsed="false">
      <c r="A305" s="1" t="s">
        <v>1299</v>
      </c>
    </row>
    <row r="306" customFormat="false" ht="12.75" hidden="false" customHeight="true" outlineLevel="0" collapsed="false"/>
    <row r="307" customFormat="false" ht="12.75" hidden="false" customHeight="true" outlineLevel="0" collapsed="false">
      <c r="A307" s="1" t="s">
        <v>1211</v>
      </c>
    </row>
    <row r="308" customFormat="false" ht="12.75" hidden="false" customHeight="true" outlineLevel="0" collapsed="false">
      <c r="A308" s="1" t="s">
        <v>1300</v>
      </c>
    </row>
    <row r="309" customFormat="false" ht="12.75" hidden="false" customHeight="true" outlineLevel="0" collapsed="false">
      <c r="A309" s="1" t="s">
        <v>1301</v>
      </c>
    </row>
    <row r="310" customFormat="false" ht="12.75" hidden="false" customHeight="true" outlineLevel="0" collapsed="false"/>
    <row r="311" customFormat="false" ht="12.75" hidden="false" customHeight="true" outlineLevel="0" collapsed="false">
      <c r="A311" s="1" t="s">
        <v>1212</v>
      </c>
    </row>
    <row r="312" customFormat="false" ht="12.75" hidden="false" customHeight="true" outlineLevel="0" collapsed="false">
      <c r="A312" s="1" t="s">
        <v>1305</v>
      </c>
    </row>
    <row r="313" customFormat="false" ht="12.75" hidden="false" customHeight="true" outlineLevel="0" collapsed="false">
      <c r="A313" s="1" t="s">
        <v>1306</v>
      </c>
    </row>
    <row r="314" customFormat="false" ht="12.75" hidden="false" customHeight="true" outlineLevel="0" collapsed="false">
      <c r="A314" s="1" t="s">
        <v>1307</v>
      </c>
    </row>
    <row r="315" customFormat="false" ht="12.75" hidden="false" customHeight="true" outlineLevel="0" collapsed="false">
      <c r="A315" s="1" t="s">
        <v>1292</v>
      </c>
    </row>
    <row r="316" customFormat="false" ht="12.75" hidden="false" customHeight="true" outlineLevel="0" collapsed="false">
      <c r="A316" s="1" t="s">
        <v>1293</v>
      </c>
    </row>
    <row r="317" customFormat="false" ht="12.75" hidden="false" customHeight="true" outlineLevel="0" collapsed="false"/>
    <row r="318" customFormat="false" ht="12.75" hidden="false" customHeight="true" outlineLevel="0" collapsed="false">
      <c r="A318" s="1" t="s">
        <v>1209</v>
      </c>
    </row>
    <row r="319" customFormat="false" ht="12.75" hidden="false" customHeight="true" outlineLevel="0" collapsed="false">
      <c r="A319" s="1" t="s">
        <v>1294</v>
      </c>
    </row>
    <row r="320" customFormat="false" ht="12.75" hidden="false" customHeight="true" outlineLevel="0" collapsed="false">
      <c r="A320" s="1" t="s">
        <v>1295</v>
      </c>
    </row>
    <row r="321" customFormat="false" ht="12.75" hidden="false" customHeight="true" outlineLevel="0" collapsed="false">
      <c r="A321" s="1" t="s">
        <v>1296</v>
      </c>
    </row>
    <row r="322" customFormat="false" ht="12.75" hidden="false" customHeight="true" outlineLevel="0" collapsed="false">
      <c r="A322" s="1" t="s">
        <v>1297</v>
      </c>
    </row>
    <row r="323" customFormat="false" ht="12.75" hidden="false" customHeight="true" outlineLevel="0" collapsed="false"/>
    <row r="324" customFormat="false" ht="12.75" hidden="false" customHeight="true" outlineLevel="0" collapsed="false">
      <c r="A324" s="1" t="s">
        <v>1210</v>
      </c>
    </row>
    <row r="325" customFormat="false" ht="12.75" hidden="false" customHeight="true" outlineLevel="0" collapsed="false">
      <c r="A325" s="1" t="s">
        <v>1298</v>
      </c>
    </row>
    <row r="326" customFormat="false" ht="12.75" hidden="false" customHeight="true" outlineLevel="0" collapsed="false">
      <c r="A326" s="1" t="s">
        <v>1299</v>
      </c>
    </row>
    <row r="327" customFormat="false" ht="12.75" hidden="false" customHeight="true" outlineLevel="0" collapsed="false"/>
    <row r="328" customFormat="false" ht="12.75" hidden="false" customHeight="true" outlineLevel="0" collapsed="false">
      <c r="A328" s="1" t="s">
        <v>1211</v>
      </c>
    </row>
    <row r="329" customFormat="false" ht="12.75" hidden="false" customHeight="true" outlineLevel="0" collapsed="false">
      <c r="A329" s="1" t="s">
        <v>1300</v>
      </c>
    </row>
    <row r="330" customFormat="false" ht="12.75" hidden="false" customHeight="true" outlineLevel="0" collapsed="false">
      <c r="A330" s="1" t="s">
        <v>1301</v>
      </c>
    </row>
    <row r="331" customFormat="false" ht="12.75" hidden="false" customHeight="true" outlineLevel="0" collapsed="false"/>
    <row r="332" customFormat="false" ht="12.75" hidden="false" customHeight="true" outlineLevel="0" collapsed="false">
      <c r="A332" s="1" t="s">
        <v>1212</v>
      </c>
    </row>
    <row r="333" customFormat="false" ht="12.75" hidden="false" customHeight="true" outlineLevel="0" collapsed="false">
      <c r="A333" s="1" t="s">
        <v>1308</v>
      </c>
    </row>
    <row r="334" customFormat="false" ht="12.75" hidden="false" customHeight="true" outlineLevel="0" collapsed="false">
      <c r="A334" s="1" t="s">
        <v>1309</v>
      </c>
    </row>
    <row r="335" customFormat="false" ht="12.75" hidden="false" customHeight="true" outlineLevel="0" collapsed="false">
      <c r="A335" s="1" t="s">
        <v>1310</v>
      </c>
    </row>
    <row r="336" customFormat="false" ht="12.75" hidden="false" customHeight="true" outlineLevel="0" collapsed="false">
      <c r="A336" s="1" t="s">
        <v>1311</v>
      </c>
    </row>
    <row r="337" customFormat="false" ht="12.75" hidden="false" customHeight="true" outlineLevel="0" collapsed="false">
      <c r="A337" s="1" t="s">
        <v>1312</v>
      </c>
    </row>
    <row r="338" customFormat="false" ht="12.75" hidden="false" customHeight="true" outlineLevel="0" collapsed="false"/>
    <row r="339" customFormat="false" ht="12.75" hidden="false" customHeight="true" outlineLevel="0" collapsed="false">
      <c r="A339" s="1" t="s">
        <v>1209</v>
      </c>
    </row>
    <row r="340" customFormat="false" ht="12.75" hidden="false" customHeight="true" outlineLevel="0" collapsed="false">
      <c r="A340" s="1" t="s">
        <v>1313</v>
      </c>
    </row>
    <row r="341" customFormat="false" ht="12.75" hidden="false" customHeight="true" outlineLevel="0" collapsed="false">
      <c r="A341" s="1" t="s">
        <v>1314</v>
      </c>
    </row>
    <row r="342" customFormat="false" ht="12.75" hidden="false" customHeight="true" outlineLevel="0" collapsed="false">
      <c r="A342" s="1" t="s">
        <v>1315</v>
      </c>
    </row>
    <row r="343" customFormat="false" ht="12.75" hidden="false" customHeight="true" outlineLevel="0" collapsed="false">
      <c r="A343" s="1" t="s">
        <v>1316</v>
      </c>
    </row>
    <row r="344" customFormat="false" ht="12.75" hidden="false" customHeight="true" outlineLevel="0" collapsed="false"/>
    <row r="345" customFormat="false" ht="12.75" hidden="false" customHeight="true" outlineLevel="0" collapsed="false">
      <c r="A345" s="1" t="s">
        <v>1210</v>
      </c>
    </row>
    <row r="346" customFormat="false" ht="12.75" hidden="false" customHeight="true" outlineLevel="0" collapsed="false">
      <c r="A346" s="1" t="s">
        <v>1317</v>
      </c>
    </row>
    <row r="347" customFormat="false" ht="12.75" hidden="false" customHeight="true" outlineLevel="0" collapsed="false">
      <c r="A347" s="1" t="s">
        <v>1318</v>
      </c>
    </row>
    <row r="348" customFormat="false" ht="12.75" hidden="false" customHeight="true" outlineLevel="0" collapsed="false"/>
    <row r="349" customFormat="false" ht="12.75" hidden="false" customHeight="true" outlineLevel="0" collapsed="false">
      <c r="A349" s="1" t="s">
        <v>1211</v>
      </c>
    </row>
    <row r="350" customFormat="false" ht="12.75" hidden="false" customHeight="true" outlineLevel="0" collapsed="false">
      <c r="A350" s="1" t="s">
        <v>1319</v>
      </c>
    </row>
    <row r="351" customFormat="false" ht="12.75" hidden="false" customHeight="true" outlineLevel="0" collapsed="false">
      <c r="A351" s="1" t="s">
        <v>1320</v>
      </c>
    </row>
    <row r="352" customFormat="false" ht="12.75" hidden="false" customHeight="true" outlineLevel="0" collapsed="false"/>
    <row r="353" customFormat="false" ht="12.75" hidden="false" customHeight="true" outlineLevel="0" collapsed="false">
      <c r="A353" s="1" t="s">
        <v>1212</v>
      </c>
    </row>
    <row r="354" customFormat="false" ht="12.75" hidden="false" customHeight="true" outlineLevel="0" collapsed="false">
      <c r="A354" s="1" t="s">
        <v>1321</v>
      </c>
    </row>
    <row r="355" customFormat="false" ht="12.75" hidden="false" customHeight="true" outlineLevel="0" collapsed="false">
      <c r="A355" s="1" t="s">
        <v>1322</v>
      </c>
    </row>
    <row r="356" customFormat="false" ht="12.75" hidden="false" customHeight="true" outlineLevel="0" collapsed="false">
      <c r="A356" s="1" t="s">
        <v>1323</v>
      </c>
    </row>
    <row r="357" customFormat="false" ht="12.75" hidden="false" customHeight="true" outlineLevel="0" collapsed="false">
      <c r="A357" s="1" t="s">
        <v>1311</v>
      </c>
    </row>
    <row r="358" customFormat="false" ht="12.75" hidden="false" customHeight="true" outlineLevel="0" collapsed="false">
      <c r="A358" s="1" t="s">
        <v>1312</v>
      </c>
    </row>
    <row r="359" customFormat="false" ht="12.75" hidden="false" customHeight="true" outlineLevel="0" collapsed="false"/>
    <row r="360" customFormat="false" ht="12.75" hidden="false" customHeight="true" outlineLevel="0" collapsed="false">
      <c r="A360" s="1" t="s">
        <v>1209</v>
      </c>
    </row>
    <row r="361" customFormat="false" ht="12.75" hidden="false" customHeight="true" outlineLevel="0" collapsed="false">
      <c r="A361" s="1" t="s">
        <v>1313</v>
      </c>
    </row>
    <row r="362" customFormat="false" ht="12.75" hidden="false" customHeight="true" outlineLevel="0" collapsed="false">
      <c r="A362" s="1" t="s">
        <v>1314</v>
      </c>
    </row>
    <row r="363" customFormat="false" ht="12.75" hidden="false" customHeight="true" outlineLevel="0" collapsed="false">
      <c r="A363" s="1" t="s">
        <v>1315</v>
      </c>
    </row>
    <row r="364" customFormat="false" ht="12.75" hidden="false" customHeight="true" outlineLevel="0" collapsed="false">
      <c r="A364" s="1" t="s">
        <v>1316</v>
      </c>
    </row>
    <row r="365" customFormat="false" ht="12.75" hidden="false" customHeight="true" outlineLevel="0" collapsed="false"/>
    <row r="366" customFormat="false" ht="12.75" hidden="false" customHeight="true" outlineLevel="0" collapsed="false">
      <c r="A366" s="1" t="s">
        <v>1210</v>
      </c>
    </row>
    <row r="367" customFormat="false" ht="12.75" hidden="false" customHeight="true" outlineLevel="0" collapsed="false">
      <c r="A367" s="1" t="s">
        <v>1317</v>
      </c>
    </row>
    <row r="368" customFormat="false" ht="12.75" hidden="false" customHeight="true" outlineLevel="0" collapsed="false">
      <c r="A368" s="1" t="s">
        <v>1318</v>
      </c>
    </row>
    <row r="369" customFormat="false" ht="12.75" hidden="false" customHeight="true" outlineLevel="0" collapsed="false"/>
    <row r="370" customFormat="false" ht="12.75" hidden="false" customHeight="true" outlineLevel="0" collapsed="false">
      <c r="A370" s="1" t="s">
        <v>1211</v>
      </c>
    </row>
    <row r="371" customFormat="false" ht="12.75" hidden="false" customHeight="true" outlineLevel="0" collapsed="false">
      <c r="A371" s="1" t="s">
        <v>1319</v>
      </c>
    </row>
    <row r="372" customFormat="false" ht="12.75" hidden="false" customHeight="true" outlineLevel="0" collapsed="false">
      <c r="A372" s="1" t="s">
        <v>1320</v>
      </c>
    </row>
    <row r="373" customFormat="false" ht="12.75" hidden="false" customHeight="true" outlineLevel="0" collapsed="false"/>
    <row r="374" customFormat="false" ht="12.75" hidden="false" customHeight="true" outlineLevel="0" collapsed="false">
      <c r="A374" s="1" t="s">
        <v>1212</v>
      </c>
    </row>
    <row r="375" customFormat="false" ht="12.75" hidden="false" customHeight="true" outlineLevel="0" collapsed="false">
      <c r="A375" s="1" t="s">
        <v>1321</v>
      </c>
    </row>
    <row r="376" customFormat="false" ht="12.75" hidden="false" customHeight="true" outlineLevel="0" collapsed="false">
      <c r="A376" s="1" t="s">
        <v>1322</v>
      </c>
    </row>
    <row r="377" customFormat="false" ht="12.75" hidden="false" customHeight="true" outlineLevel="0" collapsed="false">
      <c r="A377" s="1" t="s">
        <v>1324</v>
      </c>
    </row>
    <row r="378" customFormat="false" ht="12.75" hidden="false" customHeight="true" outlineLevel="0" collapsed="false">
      <c r="A378" s="1" t="s">
        <v>1311</v>
      </c>
    </row>
    <row r="379" customFormat="false" ht="12.75" hidden="false" customHeight="true" outlineLevel="0" collapsed="false">
      <c r="A379" s="1" t="s">
        <v>1312</v>
      </c>
    </row>
    <row r="380" customFormat="false" ht="12.75" hidden="false" customHeight="true" outlineLevel="0" collapsed="false"/>
    <row r="381" customFormat="false" ht="12.75" hidden="false" customHeight="true" outlineLevel="0" collapsed="false">
      <c r="A381" s="1" t="s">
        <v>1209</v>
      </c>
    </row>
    <row r="382" customFormat="false" ht="12.75" hidden="false" customHeight="true" outlineLevel="0" collapsed="false">
      <c r="A382" s="1" t="s">
        <v>1313</v>
      </c>
    </row>
    <row r="383" customFormat="false" ht="12.75" hidden="false" customHeight="true" outlineLevel="0" collapsed="false">
      <c r="A383" s="1" t="s">
        <v>1314</v>
      </c>
    </row>
    <row r="384" customFormat="false" ht="12.75" hidden="false" customHeight="true" outlineLevel="0" collapsed="false">
      <c r="A384" s="1" t="s">
        <v>1315</v>
      </c>
    </row>
    <row r="385" customFormat="false" ht="12.75" hidden="false" customHeight="true" outlineLevel="0" collapsed="false">
      <c r="A385" s="1" t="s">
        <v>1316</v>
      </c>
    </row>
    <row r="386" customFormat="false" ht="12.75" hidden="false" customHeight="true" outlineLevel="0" collapsed="false"/>
    <row r="387" customFormat="false" ht="12.75" hidden="false" customHeight="true" outlineLevel="0" collapsed="false">
      <c r="A387" s="1" t="s">
        <v>1210</v>
      </c>
    </row>
    <row r="388" customFormat="false" ht="12.75" hidden="false" customHeight="true" outlineLevel="0" collapsed="false">
      <c r="A388" s="1" t="s">
        <v>1317</v>
      </c>
    </row>
    <row r="389" customFormat="false" ht="12.75" hidden="false" customHeight="true" outlineLevel="0" collapsed="false">
      <c r="A389" s="1" t="s">
        <v>1318</v>
      </c>
    </row>
    <row r="390" customFormat="false" ht="12.75" hidden="false" customHeight="true" outlineLevel="0" collapsed="false"/>
    <row r="391" customFormat="false" ht="12.75" hidden="false" customHeight="true" outlineLevel="0" collapsed="false">
      <c r="A391" s="1" t="s">
        <v>1211</v>
      </c>
    </row>
    <row r="392" customFormat="false" ht="12.75" hidden="false" customHeight="true" outlineLevel="0" collapsed="false">
      <c r="A392" s="1" t="s">
        <v>1319</v>
      </c>
    </row>
    <row r="393" customFormat="false" ht="12.75" hidden="false" customHeight="true" outlineLevel="0" collapsed="false">
      <c r="A393" s="1" t="s">
        <v>1320</v>
      </c>
    </row>
    <row r="394" customFormat="false" ht="12.75" hidden="false" customHeight="true" outlineLevel="0" collapsed="false"/>
    <row r="395" customFormat="false" ht="12.75" hidden="false" customHeight="true" outlineLevel="0" collapsed="false">
      <c r="A395" s="1" t="s">
        <v>1212</v>
      </c>
    </row>
    <row r="396" customFormat="false" ht="12.75" hidden="false" customHeight="true" outlineLevel="0" collapsed="false">
      <c r="A396" s="1" t="s">
        <v>1321</v>
      </c>
    </row>
    <row r="397" customFormat="false" ht="12.75" hidden="false" customHeight="true" outlineLevel="0" collapsed="false">
      <c r="A397" s="1" t="s">
        <v>1322</v>
      </c>
    </row>
    <row r="398" customFormat="false" ht="12.75" hidden="false" customHeight="true" outlineLevel="0" collapsed="false">
      <c r="A398" s="1" t="s">
        <v>1325</v>
      </c>
    </row>
    <row r="399" customFormat="false" ht="12.75" hidden="false" customHeight="true" outlineLevel="0" collapsed="false">
      <c r="A399" s="1" t="s">
        <v>1311</v>
      </c>
    </row>
    <row r="400" customFormat="false" ht="12.75" hidden="false" customHeight="true" outlineLevel="0" collapsed="false">
      <c r="A400" s="1" t="s">
        <v>1312</v>
      </c>
    </row>
    <row r="401" customFormat="false" ht="12.75" hidden="false" customHeight="true" outlineLevel="0" collapsed="false"/>
    <row r="402" customFormat="false" ht="12.75" hidden="false" customHeight="true" outlineLevel="0" collapsed="false">
      <c r="A402" s="1" t="s">
        <v>1209</v>
      </c>
    </row>
    <row r="403" customFormat="false" ht="12.75" hidden="false" customHeight="true" outlineLevel="0" collapsed="false">
      <c r="A403" s="1" t="s">
        <v>1313</v>
      </c>
    </row>
    <row r="404" customFormat="false" ht="12.75" hidden="false" customHeight="true" outlineLevel="0" collapsed="false">
      <c r="A404" s="1" t="s">
        <v>1314</v>
      </c>
    </row>
    <row r="405" customFormat="false" ht="12.75" hidden="false" customHeight="true" outlineLevel="0" collapsed="false">
      <c r="A405" s="1" t="s">
        <v>1315</v>
      </c>
    </row>
    <row r="406" customFormat="false" ht="12.75" hidden="false" customHeight="true" outlineLevel="0" collapsed="false">
      <c r="A406" s="1" t="s">
        <v>1316</v>
      </c>
    </row>
    <row r="407" customFormat="false" ht="12.75" hidden="false" customHeight="true" outlineLevel="0" collapsed="false"/>
    <row r="408" customFormat="false" ht="12.75" hidden="false" customHeight="true" outlineLevel="0" collapsed="false">
      <c r="A408" s="1" t="s">
        <v>1210</v>
      </c>
    </row>
    <row r="409" customFormat="false" ht="12.75" hidden="false" customHeight="true" outlineLevel="0" collapsed="false">
      <c r="A409" s="1" t="s">
        <v>1326</v>
      </c>
    </row>
    <row r="410" customFormat="false" ht="12.75" hidden="false" customHeight="true" outlineLevel="0" collapsed="false">
      <c r="A410" s="1" t="s">
        <v>1327</v>
      </c>
    </row>
    <row r="411" customFormat="false" ht="12.75" hidden="false" customHeight="true" outlineLevel="0" collapsed="false"/>
    <row r="412" customFormat="false" ht="12.75" hidden="false" customHeight="true" outlineLevel="0" collapsed="false">
      <c r="A412" s="1" t="s">
        <v>1211</v>
      </c>
    </row>
    <row r="413" customFormat="false" ht="12.75" hidden="false" customHeight="true" outlineLevel="0" collapsed="false">
      <c r="A413" s="1" t="s">
        <v>1328</v>
      </c>
    </row>
    <row r="414" customFormat="false" ht="12.75" hidden="false" customHeight="true" outlineLevel="0" collapsed="false">
      <c r="A414" s="1" t="s">
        <v>1329</v>
      </c>
    </row>
    <row r="415" customFormat="false" ht="12.75" hidden="false" customHeight="true" outlineLevel="0" collapsed="false"/>
    <row r="416" customFormat="false" ht="12.75" hidden="false" customHeight="true" outlineLevel="0" collapsed="false">
      <c r="A416" s="1" t="s">
        <v>1212</v>
      </c>
    </row>
    <row r="417" customFormat="false" ht="12.75" hidden="false" customHeight="true" outlineLevel="0" collapsed="false">
      <c r="A417" s="1" t="s">
        <v>1330</v>
      </c>
    </row>
    <row r="418" customFormat="false" ht="12.75" hidden="false" customHeight="true" outlineLevel="0" collapsed="false">
      <c r="A418" s="1" t="s">
        <v>1331</v>
      </c>
    </row>
    <row r="419" customFormat="false" ht="12.75" hidden="false" customHeight="true" outlineLevel="0" collapsed="false">
      <c r="A419" s="1" t="s">
        <v>1332</v>
      </c>
    </row>
    <row r="420" customFormat="false" ht="12.75" hidden="false" customHeight="true" outlineLevel="0" collapsed="false">
      <c r="A420" s="1" t="s">
        <v>1333</v>
      </c>
    </row>
    <row r="421" customFormat="false" ht="12.75" hidden="false" customHeight="true" outlineLevel="0" collapsed="false">
      <c r="A421" s="1" t="s">
        <v>1334</v>
      </c>
    </row>
    <row r="422" customFormat="false" ht="12.75" hidden="false" customHeight="true" outlineLevel="0" collapsed="false"/>
    <row r="423" customFormat="false" ht="12.75" hidden="false" customHeight="true" outlineLevel="0" collapsed="false">
      <c r="A423" s="1" t="s">
        <v>1209</v>
      </c>
    </row>
    <row r="424" customFormat="false" ht="12.75" hidden="false" customHeight="true" outlineLevel="0" collapsed="false">
      <c r="A424" s="1" t="s">
        <v>1335</v>
      </c>
    </row>
    <row r="425" customFormat="false" ht="12.75" hidden="false" customHeight="true" outlineLevel="0" collapsed="false">
      <c r="A425" s="1" t="s">
        <v>1336</v>
      </c>
    </row>
    <row r="426" customFormat="false" ht="12.75" hidden="false" customHeight="true" outlineLevel="0" collapsed="false">
      <c r="A426" s="1" t="s">
        <v>1337</v>
      </c>
    </row>
    <row r="427" customFormat="false" ht="12.75" hidden="false" customHeight="true" outlineLevel="0" collapsed="false">
      <c r="A427" s="1" t="s">
        <v>1338</v>
      </c>
    </row>
    <row r="428" customFormat="false" ht="12.75" hidden="false" customHeight="true" outlineLevel="0" collapsed="false"/>
    <row r="429" customFormat="false" ht="12.75" hidden="false" customHeight="true" outlineLevel="0" collapsed="false">
      <c r="A429" s="1" t="s">
        <v>1210</v>
      </c>
    </row>
    <row r="430" customFormat="false" ht="12.75" hidden="false" customHeight="true" outlineLevel="0" collapsed="false">
      <c r="A430" s="1" t="s">
        <v>1339</v>
      </c>
    </row>
    <row r="431" customFormat="false" ht="12.75" hidden="false" customHeight="true" outlineLevel="0" collapsed="false">
      <c r="A431" s="1" t="s">
        <v>1340</v>
      </c>
    </row>
    <row r="432" customFormat="false" ht="12.75" hidden="false" customHeight="true" outlineLevel="0" collapsed="false"/>
    <row r="433" customFormat="false" ht="12.75" hidden="false" customHeight="true" outlineLevel="0" collapsed="false">
      <c r="A433" s="1" t="s">
        <v>1211</v>
      </c>
    </row>
    <row r="434" customFormat="false" ht="12.75" hidden="false" customHeight="true" outlineLevel="0" collapsed="false">
      <c r="A434" s="1" t="s">
        <v>1341</v>
      </c>
    </row>
    <row r="435" customFormat="false" ht="12.75" hidden="false" customHeight="true" outlineLevel="0" collapsed="false">
      <c r="A435" s="1" t="s">
        <v>1342</v>
      </c>
    </row>
    <row r="436" customFormat="false" ht="12.75" hidden="false" customHeight="true" outlineLevel="0" collapsed="false"/>
    <row r="437" customFormat="false" ht="12.75" hidden="false" customHeight="true" outlineLevel="0" collapsed="false">
      <c r="A437" s="1" t="s">
        <v>1212</v>
      </c>
    </row>
    <row r="438" customFormat="false" ht="12.75" hidden="false" customHeight="true" outlineLevel="0" collapsed="false">
      <c r="A438" s="1" t="s">
        <v>1343</v>
      </c>
    </row>
    <row r="439" customFormat="false" ht="12.75" hidden="false" customHeight="true" outlineLevel="0" collapsed="false">
      <c r="A439" s="1" t="s">
        <v>1344</v>
      </c>
    </row>
    <row r="440" customFormat="false" ht="12.75" hidden="false" customHeight="true" outlineLevel="0" collapsed="false">
      <c r="A440" s="1" t="s">
        <v>1345</v>
      </c>
    </row>
    <row r="441" customFormat="false" ht="12.75" hidden="false" customHeight="true" outlineLevel="0" collapsed="false">
      <c r="A441" s="1" t="s">
        <v>1346</v>
      </c>
    </row>
    <row r="442" customFormat="false" ht="12.75" hidden="false" customHeight="true" outlineLevel="0" collapsed="false">
      <c r="A442" s="1" t="s">
        <v>1347</v>
      </c>
    </row>
    <row r="443" customFormat="false" ht="12.75" hidden="false" customHeight="true" outlineLevel="0" collapsed="false">
      <c r="A443" s="1" t="s">
        <v>1348</v>
      </c>
    </row>
    <row r="444" customFormat="false" ht="12.75" hidden="false" customHeight="true" outlineLevel="0" collapsed="false">
      <c r="A444" s="1" t="s">
        <v>1349</v>
      </c>
    </row>
    <row r="445" customFormat="false" ht="12.75" hidden="false" customHeight="true" outlineLevel="0" collapsed="false">
      <c r="A445" s="1" t="s">
        <v>1350</v>
      </c>
    </row>
    <row r="446" customFormat="false" ht="12.75" hidden="false" customHeight="true" outlineLevel="0" collapsed="false"/>
    <row r="447" customFormat="false" ht="12.75" hidden="false" customHeight="true" outlineLevel="0" collapsed="false">
      <c r="A447" s="1" t="s">
        <v>1268</v>
      </c>
    </row>
    <row r="448" customFormat="false" ht="12.75" hidden="false" customHeight="true" outlineLevel="0" collapsed="false">
      <c r="A448" s="1" t="s">
        <v>1351</v>
      </c>
    </row>
    <row r="449" customFormat="false" ht="12.75" hidden="false" customHeight="true" outlineLevel="0" collapsed="false">
      <c r="A449" s="1" t="s">
        <v>1352</v>
      </c>
    </row>
    <row r="450" customFormat="false" ht="12.75" hidden="false" customHeight="true" outlineLevel="0" collapsed="false">
      <c r="A450" s="1" t="s">
        <v>1353</v>
      </c>
    </row>
    <row r="451" customFormat="false" ht="12.75" hidden="false" customHeight="true" outlineLevel="0" collapsed="false"/>
    <row r="452" customFormat="false" ht="12.75" hidden="false" customHeight="true" outlineLevel="0" collapsed="false">
      <c r="A452" s="1" t="s">
        <v>1272</v>
      </c>
    </row>
    <row r="453" customFormat="false" ht="12.75" hidden="false" customHeight="true" outlineLevel="0" collapsed="false">
      <c r="A453" s="1" t="s">
        <v>1354</v>
      </c>
    </row>
    <row r="454" customFormat="false" ht="12.75" hidden="false" customHeight="true" outlineLevel="0" collapsed="false">
      <c r="A454" s="1" t="s">
        <v>1355</v>
      </c>
    </row>
    <row r="455" customFormat="false" ht="12.75" hidden="false" customHeight="true" outlineLevel="0" collapsed="false">
      <c r="A455" s="1" t="s">
        <v>1356</v>
      </c>
    </row>
    <row r="456" customFormat="false" ht="12.75" hidden="false" customHeight="true" outlineLevel="0" collapsed="false">
      <c r="A456" s="1" t="s">
        <v>1357</v>
      </c>
    </row>
    <row r="457" customFormat="false" ht="12.75" hidden="false" customHeight="true" outlineLevel="0" collapsed="false">
      <c r="A457" s="1" t="s">
        <v>1358</v>
      </c>
    </row>
    <row r="458" customFormat="false" ht="12.75" hidden="false" customHeight="true" outlineLevel="0" collapsed="false">
      <c r="A458" s="1" t="s">
        <v>1359</v>
      </c>
    </row>
    <row r="459" customFormat="false" ht="12.75" hidden="false" customHeight="true" outlineLevel="0" collapsed="false">
      <c r="A459" s="1" t="s">
        <v>1333</v>
      </c>
    </row>
    <row r="460" customFormat="false" ht="12.75" hidden="false" customHeight="true" outlineLevel="0" collapsed="false">
      <c r="A460" s="1" t="s">
        <v>1334</v>
      </c>
    </row>
    <row r="461" customFormat="false" ht="12.75" hidden="false" customHeight="true" outlineLevel="0" collapsed="false"/>
    <row r="462" customFormat="false" ht="12.75" hidden="false" customHeight="true" outlineLevel="0" collapsed="false">
      <c r="A462" s="1" t="s">
        <v>1209</v>
      </c>
    </row>
    <row r="463" customFormat="false" ht="12.75" hidden="false" customHeight="true" outlineLevel="0" collapsed="false">
      <c r="A463" s="1" t="s">
        <v>1335</v>
      </c>
    </row>
    <row r="464" customFormat="false" ht="12.75" hidden="false" customHeight="true" outlineLevel="0" collapsed="false">
      <c r="A464" s="1" t="s">
        <v>1336</v>
      </c>
    </row>
    <row r="465" customFormat="false" ht="12.75" hidden="false" customHeight="true" outlineLevel="0" collapsed="false">
      <c r="A465" s="1" t="s">
        <v>1360</v>
      </c>
    </row>
    <row r="466" customFormat="false" ht="12.75" hidden="false" customHeight="true" outlineLevel="0" collapsed="false">
      <c r="A466" s="1" t="s">
        <v>1361</v>
      </c>
    </row>
    <row r="467" customFormat="false" ht="12.75" hidden="false" customHeight="true" outlineLevel="0" collapsed="false"/>
    <row r="468" customFormat="false" ht="12.75" hidden="false" customHeight="true" outlineLevel="0" collapsed="false">
      <c r="A468" s="1" t="s">
        <v>1210</v>
      </c>
    </row>
    <row r="469" customFormat="false" ht="12.75" hidden="false" customHeight="true" outlineLevel="0" collapsed="false">
      <c r="A469" s="1" t="s">
        <v>1339</v>
      </c>
    </row>
    <row r="470" customFormat="false" ht="12.75" hidden="false" customHeight="true" outlineLevel="0" collapsed="false">
      <c r="A470" s="1" t="s">
        <v>1340</v>
      </c>
    </row>
    <row r="471" customFormat="false" ht="12.75" hidden="false" customHeight="true" outlineLevel="0" collapsed="false"/>
    <row r="472" customFormat="false" ht="12.75" hidden="false" customHeight="true" outlineLevel="0" collapsed="false">
      <c r="A472" s="1" t="s">
        <v>1211</v>
      </c>
    </row>
    <row r="473" customFormat="false" ht="12.75" hidden="false" customHeight="true" outlineLevel="0" collapsed="false">
      <c r="A473" s="1" t="s">
        <v>1362</v>
      </c>
    </row>
    <row r="474" customFormat="false" ht="12.75" hidden="false" customHeight="true" outlineLevel="0" collapsed="false">
      <c r="A474" s="1" t="s">
        <v>1363</v>
      </c>
    </row>
    <row r="475" customFormat="false" ht="12.75" hidden="false" customHeight="true" outlineLevel="0" collapsed="false"/>
    <row r="476" customFormat="false" ht="12.75" hidden="false" customHeight="true" outlineLevel="0" collapsed="false">
      <c r="A476" s="1" t="s">
        <v>1212</v>
      </c>
    </row>
    <row r="477" customFormat="false" ht="12.75" hidden="false" customHeight="true" outlineLevel="0" collapsed="false">
      <c r="A477" s="1" t="s">
        <v>1364</v>
      </c>
    </row>
    <row r="478" customFormat="false" ht="12.75" hidden="false" customHeight="true" outlineLevel="0" collapsed="false">
      <c r="A478" s="1" t="s">
        <v>1365</v>
      </c>
    </row>
    <row r="479" customFormat="false" ht="12.75" hidden="false" customHeight="true" outlineLevel="0" collapsed="false">
      <c r="A479" s="1" t="s">
        <v>1345</v>
      </c>
    </row>
    <row r="480" customFormat="false" ht="12.75" hidden="false" customHeight="true" outlineLevel="0" collapsed="false">
      <c r="A480" s="1" t="s">
        <v>1346</v>
      </c>
    </row>
    <row r="481" customFormat="false" ht="12.75" hidden="false" customHeight="true" outlineLevel="0" collapsed="false">
      <c r="A481" s="1" t="s">
        <v>1347</v>
      </c>
    </row>
    <row r="482" customFormat="false" ht="12.75" hidden="false" customHeight="true" outlineLevel="0" collapsed="false">
      <c r="A482" s="1" t="s">
        <v>1348</v>
      </c>
    </row>
    <row r="483" customFormat="false" ht="12.75" hidden="false" customHeight="true" outlineLevel="0" collapsed="false">
      <c r="A483" s="1" t="s">
        <v>1349</v>
      </c>
    </row>
    <row r="484" customFormat="false" ht="12.75" hidden="false" customHeight="true" outlineLevel="0" collapsed="false">
      <c r="A484" s="1" t="s">
        <v>1350</v>
      </c>
    </row>
    <row r="485" customFormat="false" ht="12.75" hidden="false" customHeight="true" outlineLevel="0" collapsed="false"/>
    <row r="486" customFormat="false" ht="12.75" hidden="false" customHeight="true" outlineLevel="0" collapsed="false">
      <c r="A486" s="1" t="s">
        <v>1268</v>
      </c>
    </row>
    <row r="487" customFormat="false" ht="12.75" hidden="false" customHeight="true" outlineLevel="0" collapsed="false">
      <c r="A487" s="1" t="s">
        <v>1351</v>
      </c>
    </row>
    <row r="488" customFormat="false" ht="12.75" hidden="false" customHeight="true" outlineLevel="0" collapsed="false">
      <c r="A488" s="1" t="s">
        <v>1352</v>
      </c>
    </row>
    <row r="489" customFormat="false" ht="12.75" hidden="false" customHeight="true" outlineLevel="0" collapsed="false">
      <c r="A489" s="1" t="s">
        <v>1353</v>
      </c>
    </row>
    <row r="490" customFormat="false" ht="12.75" hidden="false" customHeight="true" outlineLevel="0" collapsed="false"/>
    <row r="491" customFormat="false" ht="12.75" hidden="false" customHeight="true" outlineLevel="0" collapsed="false">
      <c r="A491" s="1" t="s">
        <v>1272</v>
      </c>
    </row>
    <row r="492" customFormat="false" ht="12.75" hidden="false" customHeight="true" outlineLevel="0" collapsed="false">
      <c r="A492" s="1" t="s">
        <v>1354</v>
      </c>
    </row>
    <row r="493" customFormat="false" ht="12.75" hidden="false" customHeight="true" outlineLevel="0" collapsed="false">
      <c r="A493" s="1" t="s">
        <v>1355</v>
      </c>
    </row>
    <row r="494" customFormat="false" ht="12.75" hidden="false" customHeight="true" outlineLevel="0" collapsed="false">
      <c r="A494" s="1" t="s">
        <v>1356</v>
      </c>
    </row>
    <row r="495" customFormat="false" ht="12.75" hidden="false" customHeight="true" outlineLevel="0" collapsed="false">
      <c r="A495" s="1" t="s">
        <v>1357</v>
      </c>
    </row>
    <row r="496" customFormat="false" ht="12.75" hidden="false" customHeight="true" outlineLevel="0" collapsed="false">
      <c r="A496" s="1" t="s">
        <v>1358</v>
      </c>
    </row>
    <row r="497" customFormat="false" ht="12.75" hidden="false" customHeight="true" outlineLevel="0" collapsed="false">
      <c r="A497" s="1" t="s">
        <v>1366</v>
      </c>
    </row>
    <row r="498" customFormat="false" ht="12.75" hidden="false" customHeight="true" outlineLevel="0" collapsed="false">
      <c r="A498" s="1" t="s">
        <v>1333</v>
      </c>
    </row>
    <row r="499" customFormat="false" ht="12.75" hidden="false" customHeight="true" outlineLevel="0" collapsed="false">
      <c r="A499" s="1" t="s">
        <v>1334</v>
      </c>
    </row>
    <row r="500" customFormat="false" ht="12.75" hidden="false" customHeight="true" outlineLevel="0" collapsed="false"/>
    <row r="501" customFormat="false" ht="12.75" hidden="false" customHeight="true" outlineLevel="0" collapsed="false">
      <c r="A501" s="1" t="s">
        <v>1209</v>
      </c>
    </row>
    <row r="502" customFormat="false" ht="12.75" hidden="false" customHeight="true" outlineLevel="0" collapsed="false">
      <c r="A502" s="1" t="s">
        <v>1335</v>
      </c>
    </row>
    <row r="503" customFormat="false" ht="12.75" hidden="false" customHeight="true" outlineLevel="0" collapsed="false">
      <c r="A503" s="1" t="s">
        <v>1336</v>
      </c>
    </row>
    <row r="504" customFormat="false" ht="12.75" hidden="false" customHeight="true" outlineLevel="0" collapsed="false">
      <c r="A504" s="1" t="s">
        <v>1367</v>
      </c>
    </row>
    <row r="505" customFormat="false" ht="12.75" hidden="false" customHeight="true" outlineLevel="0" collapsed="false">
      <c r="A505" s="1" t="s">
        <v>1368</v>
      </c>
    </row>
    <row r="506" customFormat="false" ht="12.75" hidden="false" customHeight="true" outlineLevel="0" collapsed="false"/>
    <row r="507" customFormat="false" ht="12.75" hidden="false" customHeight="true" outlineLevel="0" collapsed="false">
      <c r="A507" s="1" t="s">
        <v>1210</v>
      </c>
    </row>
    <row r="508" customFormat="false" ht="12.75" hidden="false" customHeight="true" outlineLevel="0" collapsed="false">
      <c r="A508" s="1" t="s">
        <v>1339</v>
      </c>
    </row>
    <row r="509" customFormat="false" ht="12.75" hidden="false" customHeight="true" outlineLevel="0" collapsed="false">
      <c r="A509" s="1" t="s">
        <v>1340</v>
      </c>
    </row>
    <row r="510" customFormat="false" ht="12.75" hidden="false" customHeight="true" outlineLevel="0" collapsed="false"/>
    <row r="511" customFormat="false" ht="12.75" hidden="false" customHeight="true" outlineLevel="0" collapsed="false">
      <c r="A511" s="1" t="s">
        <v>1211</v>
      </c>
    </row>
    <row r="512" customFormat="false" ht="12.75" hidden="false" customHeight="true" outlineLevel="0" collapsed="false">
      <c r="A512" s="1" t="s">
        <v>1369</v>
      </c>
    </row>
    <row r="513" customFormat="false" ht="12.75" hidden="false" customHeight="true" outlineLevel="0" collapsed="false">
      <c r="A513" s="1" t="s">
        <v>1370</v>
      </c>
    </row>
    <row r="514" customFormat="false" ht="12.75" hidden="false" customHeight="true" outlineLevel="0" collapsed="false"/>
    <row r="515" customFormat="false" ht="12.75" hidden="false" customHeight="true" outlineLevel="0" collapsed="false">
      <c r="A515" s="1" t="s">
        <v>1212</v>
      </c>
    </row>
    <row r="516" customFormat="false" ht="12.75" hidden="false" customHeight="true" outlineLevel="0" collapsed="false">
      <c r="A516" s="1" t="s">
        <v>1371</v>
      </c>
    </row>
    <row r="517" customFormat="false" ht="12.75" hidden="false" customHeight="true" outlineLevel="0" collapsed="false">
      <c r="A517" s="1" t="s">
        <v>1372</v>
      </c>
    </row>
    <row r="518" customFormat="false" ht="12.75" hidden="false" customHeight="true" outlineLevel="0" collapsed="false">
      <c r="A518" s="1" t="s">
        <v>1345</v>
      </c>
    </row>
    <row r="519" customFormat="false" ht="12.75" hidden="false" customHeight="true" outlineLevel="0" collapsed="false">
      <c r="A519" s="1" t="s">
        <v>1346</v>
      </c>
    </row>
    <row r="520" customFormat="false" ht="12.75" hidden="false" customHeight="true" outlineLevel="0" collapsed="false">
      <c r="A520" s="1" t="s">
        <v>1347</v>
      </c>
    </row>
    <row r="521" customFormat="false" ht="12.75" hidden="false" customHeight="true" outlineLevel="0" collapsed="false">
      <c r="A521" s="1" t="s">
        <v>1348</v>
      </c>
    </row>
    <row r="522" customFormat="false" ht="12.75" hidden="false" customHeight="true" outlineLevel="0" collapsed="false">
      <c r="A522" s="1" t="s">
        <v>1349</v>
      </c>
    </row>
    <row r="523" customFormat="false" ht="12.75" hidden="false" customHeight="true" outlineLevel="0" collapsed="false">
      <c r="A523" s="1" t="s">
        <v>1350</v>
      </c>
    </row>
    <row r="524" customFormat="false" ht="12.75" hidden="false" customHeight="true" outlineLevel="0" collapsed="false"/>
    <row r="525" customFormat="false" ht="12.75" hidden="false" customHeight="true" outlineLevel="0" collapsed="false">
      <c r="A525" s="1" t="s">
        <v>1268</v>
      </c>
    </row>
    <row r="526" customFormat="false" ht="12.75" hidden="false" customHeight="true" outlineLevel="0" collapsed="false">
      <c r="A526" s="1" t="s">
        <v>1351</v>
      </c>
    </row>
    <row r="527" customFormat="false" ht="12.75" hidden="false" customHeight="true" outlineLevel="0" collapsed="false">
      <c r="A527" s="1" t="s">
        <v>1352</v>
      </c>
    </row>
    <row r="528" customFormat="false" ht="12.75" hidden="false" customHeight="true" outlineLevel="0" collapsed="false">
      <c r="A528" s="1" t="s">
        <v>1353</v>
      </c>
    </row>
    <row r="529" customFormat="false" ht="12.75" hidden="false" customHeight="true" outlineLevel="0" collapsed="false"/>
    <row r="530" customFormat="false" ht="12.75" hidden="false" customHeight="true" outlineLevel="0" collapsed="false">
      <c r="A530" s="1" t="s">
        <v>1272</v>
      </c>
    </row>
    <row r="531" customFormat="false" ht="12.75" hidden="false" customHeight="true" outlineLevel="0" collapsed="false">
      <c r="A531" s="1" t="s">
        <v>1354</v>
      </c>
    </row>
    <row r="532" customFormat="false" ht="12.75" hidden="false" customHeight="true" outlineLevel="0" collapsed="false">
      <c r="A532" s="1" t="s">
        <v>1355</v>
      </c>
    </row>
    <row r="533" customFormat="false" ht="12.75" hidden="false" customHeight="true" outlineLevel="0" collapsed="false">
      <c r="A533" s="1" t="s">
        <v>1356</v>
      </c>
    </row>
    <row r="534" customFormat="false" ht="12.75" hidden="false" customHeight="true" outlineLevel="0" collapsed="false">
      <c r="A534" s="1" t="s">
        <v>1357</v>
      </c>
    </row>
    <row r="535" customFormat="false" ht="12.75" hidden="false" customHeight="true" outlineLevel="0" collapsed="false">
      <c r="A535" s="1" t="s">
        <v>1358</v>
      </c>
    </row>
    <row r="536" customFormat="false" ht="12.75" hidden="false" customHeight="true" outlineLevel="0" collapsed="false">
      <c r="A536" s="1" t="s">
        <v>1373</v>
      </c>
    </row>
    <row r="537" customFormat="false" ht="12.75" hidden="false" customHeight="true" outlineLevel="0" collapsed="false">
      <c r="A537" s="1" t="s">
        <v>1333</v>
      </c>
    </row>
    <row r="538" customFormat="false" ht="12.75" hidden="false" customHeight="true" outlineLevel="0" collapsed="false">
      <c r="A538" s="1" t="s">
        <v>1334</v>
      </c>
    </row>
    <row r="539" customFormat="false" ht="12.75" hidden="false" customHeight="true" outlineLevel="0" collapsed="false"/>
    <row r="540" customFormat="false" ht="12.75" hidden="false" customHeight="true" outlineLevel="0" collapsed="false">
      <c r="A540" s="1" t="s">
        <v>1209</v>
      </c>
    </row>
    <row r="541" customFormat="false" ht="12.75" hidden="false" customHeight="true" outlineLevel="0" collapsed="false">
      <c r="A541" s="1" t="s">
        <v>1335</v>
      </c>
    </row>
    <row r="542" customFormat="false" ht="12.75" hidden="false" customHeight="true" outlineLevel="0" collapsed="false">
      <c r="A542" s="1" t="s">
        <v>1336</v>
      </c>
    </row>
    <row r="543" customFormat="false" ht="12.75" hidden="false" customHeight="true" outlineLevel="0" collapsed="false">
      <c r="A543" s="1" t="s">
        <v>1374</v>
      </c>
    </row>
    <row r="544" customFormat="false" ht="12.75" hidden="false" customHeight="true" outlineLevel="0" collapsed="false">
      <c r="A544" s="1" t="s">
        <v>1375</v>
      </c>
    </row>
    <row r="545" customFormat="false" ht="12.75" hidden="false" customHeight="true" outlineLevel="0" collapsed="false"/>
    <row r="546" customFormat="false" ht="12.75" hidden="false" customHeight="true" outlineLevel="0" collapsed="false">
      <c r="A546" s="1" t="s">
        <v>1210</v>
      </c>
    </row>
    <row r="547" customFormat="false" ht="12.75" hidden="false" customHeight="true" outlineLevel="0" collapsed="false">
      <c r="A547" s="1" t="s">
        <v>1339</v>
      </c>
    </row>
    <row r="548" customFormat="false" ht="12.75" hidden="false" customHeight="true" outlineLevel="0" collapsed="false">
      <c r="A548" s="1" t="s">
        <v>1340</v>
      </c>
    </row>
    <row r="549" customFormat="false" ht="12.75" hidden="false" customHeight="true" outlineLevel="0" collapsed="false"/>
    <row r="550" customFormat="false" ht="12.75" hidden="false" customHeight="true" outlineLevel="0" collapsed="false">
      <c r="A550" s="1" t="s">
        <v>1211</v>
      </c>
    </row>
    <row r="551" customFormat="false" ht="12.75" hidden="false" customHeight="true" outlineLevel="0" collapsed="false">
      <c r="A551" s="1" t="s">
        <v>1376</v>
      </c>
    </row>
    <row r="552" customFormat="false" ht="12.75" hidden="false" customHeight="true" outlineLevel="0" collapsed="false">
      <c r="A552" s="1" t="s">
        <v>1377</v>
      </c>
    </row>
    <row r="553" customFormat="false" ht="12.75" hidden="false" customHeight="true" outlineLevel="0" collapsed="false"/>
    <row r="554" customFormat="false" ht="12.75" hidden="false" customHeight="true" outlineLevel="0" collapsed="false">
      <c r="A554" s="1" t="s">
        <v>1212</v>
      </c>
    </row>
    <row r="555" customFormat="false" ht="12.75" hidden="false" customHeight="true" outlineLevel="0" collapsed="false">
      <c r="A555" s="1" t="s">
        <v>1378</v>
      </c>
    </row>
    <row r="556" customFormat="false" ht="12.75" hidden="false" customHeight="true" outlineLevel="0" collapsed="false">
      <c r="A556" s="1" t="s">
        <v>1379</v>
      </c>
    </row>
    <row r="557" customFormat="false" ht="12.75" hidden="false" customHeight="true" outlineLevel="0" collapsed="false">
      <c r="A557" s="1" t="s">
        <v>1345</v>
      </c>
    </row>
    <row r="558" customFormat="false" ht="12.75" hidden="false" customHeight="true" outlineLevel="0" collapsed="false">
      <c r="A558" s="1" t="s">
        <v>1346</v>
      </c>
    </row>
    <row r="559" customFormat="false" ht="12.75" hidden="false" customHeight="true" outlineLevel="0" collapsed="false">
      <c r="A559" s="1" t="s">
        <v>1347</v>
      </c>
    </row>
    <row r="560" customFormat="false" ht="12.75" hidden="false" customHeight="true" outlineLevel="0" collapsed="false">
      <c r="A560" s="1" t="s">
        <v>1348</v>
      </c>
    </row>
    <row r="561" customFormat="false" ht="12.75" hidden="false" customHeight="true" outlineLevel="0" collapsed="false">
      <c r="A561" s="1" t="s">
        <v>1349</v>
      </c>
    </row>
    <row r="562" customFormat="false" ht="12.75" hidden="false" customHeight="true" outlineLevel="0" collapsed="false">
      <c r="A562" s="1" t="s">
        <v>1350</v>
      </c>
    </row>
    <row r="563" customFormat="false" ht="12.75" hidden="false" customHeight="true" outlineLevel="0" collapsed="false"/>
    <row r="564" customFormat="false" ht="12.75" hidden="false" customHeight="true" outlineLevel="0" collapsed="false">
      <c r="A564" s="1" t="s">
        <v>1268</v>
      </c>
    </row>
    <row r="565" customFormat="false" ht="12.75" hidden="false" customHeight="true" outlineLevel="0" collapsed="false">
      <c r="A565" s="1" t="s">
        <v>1351</v>
      </c>
    </row>
    <row r="566" customFormat="false" ht="12.75" hidden="false" customHeight="true" outlineLevel="0" collapsed="false">
      <c r="A566" s="1" t="s">
        <v>1352</v>
      </c>
    </row>
    <row r="567" customFormat="false" ht="12.75" hidden="false" customHeight="true" outlineLevel="0" collapsed="false">
      <c r="A567" s="1" t="s">
        <v>1353</v>
      </c>
    </row>
    <row r="568" customFormat="false" ht="12.75" hidden="false" customHeight="true" outlineLevel="0" collapsed="false"/>
    <row r="569" customFormat="false" ht="12.75" hidden="false" customHeight="true" outlineLevel="0" collapsed="false">
      <c r="A569" s="1" t="s">
        <v>1272</v>
      </c>
    </row>
    <row r="570" customFormat="false" ht="12.75" hidden="false" customHeight="true" outlineLevel="0" collapsed="false">
      <c r="A570" s="1" t="s">
        <v>1354</v>
      </c>
    </row>
    <row r="571" customFormat="false" ht="12.75" hidden="false" customHeight="true" outlineLevel="0" collapsed="false">
      <c r="A571" s="1" t="s">
        <v>1355</v>
      </c>
    </row>
    <row r="572" customFormat="false" ht="12.75" hidden="false" customHeight="true" outlineLevel="0" collapsed="false">
      <c r="A572" s="1" t="s">
        <v>1356</v>
      </c>
    </row>
    <row r="573" customFormat="false" ht="12.75" hidden="false" customHeight="true" outlineLevel="0" collapsed="false">
      <c r="A573" s="1" t="s">
        <v>1357</v>
      </c>
    </row>
    <row r="574" customFormat="false" ht="12.75" hidden="false" customHeight="true" outlineLevel="0" collapsed="false">
      <c r="A574" s="1" t="s">
        <v>1358</v>
      </c>
    </row>
    <row r="575" customFormat="false" ht="12.75" hidden="false" customHeight="true" outlineLevel="0" collapsed="false">
      <c r="A575" s="1" t="s">
        <v>1380</v>
      </c>
    </row>
    <row r="576" customFormat="false" ht="12.75" hidden="false" customHeight="true" outlineLevel="0" collapsed="false">
      <c r="A576" s="1" t="s">
        <v>1381</v>
      </c>
    </row>
    <row r="577" customFormat="false" ht="12.75" hidden="false" customHeight="true" outlineLevel="0" collapsed="false">
      <c r="A577" s="1" t="s">
        <v>1382</v>
      </c>
    </row>
    <row r="578" customFormat="false" ht="12.75" hidden="false" customHeight="true" outlineLevel="0" collapsed="false"/>
    <row r="579" customFormat="false" ht="12.75" hidden="false" customHeight="true" outlineLevel="0" collapsed="false">
      <c r="A579" s="1" t="s">
        <v>1209</v>
      </c>
    </row>
    <row r="580" customFormat="false" ht="12.75" hidden="false" customHeight="true" outlineLevel="0" collapsed="false">
      <c r="A580" s="1" t="s">
        <v>1383</v>
      </c>
    </row>
    <row r="581" customFormat="false" ht="12.75" hidden="false" customHeight="true" outlineLevel="0" collapsed="false">
      <c r="A581" s="1" t="s">
        <v>1384</v>
      </c>
    </row>
    <row r="582" customFormat="false" ht="12.75" hidden="false" customHeight="true" outlineLevel="0" collapsed="false">
      <c r="A582" s="1" t="s">
        <v>1385</v>
      </c>
    </row>
    <row r="583" customFormat="false" ht="12.75" hidden="false" customHeight="true" outlineLevel="0" collapsed="false">
      <c r="A583" s="1" t="s">
        <v>1386</v>
      </c>
    </row>
    <row r="584" customFormat="false" ht="12.75" hidden="false" customHeight="true" outlineLevel="0" collapsed="false"/>
    <row r="585" customFormat="false" ht="12.75" hidden="false" customHeight="true" outlineLevel="0" collapsed="false">
      <c r="A585" s="1" t="s">
        <v>1210</v>
      </c>
    </row>
    <row r="586" customFormat="false" ht="12.75" hidden="false" customHeight="true" outlineLevel="0" collapsed="false">
      <c r="A586" s="1" t="s">
        <v>1387</v>
      </c>
    </row>
    <row r="587" customFormat="false" ht="12.75" hidden="false" customHeight="true" outlineLevel="0" collapsed="false">
      <c r="A587" s="1" t="s">
        <v>1388</v>
      </c>
    </row>
    <row r="588" customFormat="false" ht="12.75" hidden="false" customHeight="true" outlineLevel="0" collapsed="false"/>
    <row r="589" customFormat="false" ht="12.75" hidden="false" customHeight="true" outlineLevel="0" collapsed="false">
      <c r="A589" s="1" t="s">
        <v>1211</v>
      </c>
    </row>
    <row r="590" customFormat="false" ht="12.75" hidden="false" customHeight="true" outlineLevel="0" collapsed="false">
      <c r="A590" s="1" t="s">
        <v>1389</v>
      </c>
    </row>
    <row r="591" customFormat="false" ht="12.75" hidden="false" customHeight="true" outlineLevel="0" collapsed="false">
      <c r="A591" s="1" t="s">
        <v>1390</v>
      </c>
    </row>
    <row r="592" customFormat="false" ht="12.75" hidden="false" customHeight="true" outlineLevel="0" collapsed="false"/>
    <row r="593" customFormat="false" ht="12.75" hidden="false" customHeight="true" outlineLevel="0" collapsed="false">
      <c r="A593" s="1" t="s">
        <v>1212</v>
      </c>
    </row>
    <row r="594" customFormat="false" ht="12.75" hidden="false" customHeight="true" outlineLevel="0" collapsed="false">
      <c r="A594" s="1" t="s">
        <v>1391</v>
      </c>
    </row>
    <row r="595" customFormat="false" ht="12.75" hidden="false" customHeight="true" outlineLevel="0" collapsed="false">
      <c r="A595" s="1" t="s">
        <v>1392</v>
      </c>
    </row>
    <row r="596" customFormat="false" ht="12.75" hidden="false" customHeight="true" outlineLevel="0" collapsed="false">
      <c r="A596" s="1" t="s">
        <v>1393</v>
      </c>
    </row>
    <row r="597" customFormat="false" ht="12.75" hidden="false" customHeight="true" outlineLevel="0" collapsed="false">
      <c r="A597" s="1" t="s">
        <v>1394</v>
      </c>
    </row>
    <row r="598" customFormat="false" ht="12.75" hidden="false" customHeight="true" outlineLevel="0" collapsed="false">
      <c r="A598" s="1" t="s">
        <v>1395</v>
      </c>
    </row>
    <row r="599" customFormat="false" ht="12.75" hidden="false" customHeight="true" outlineLevel="0" collapsed="false">
      <c r="A599" s="1" t="s">
        <v>1396</v>
      </c>
    </row>
    <row r="600" customFormat="false" ht="12.75" hidden="false" customHeight="true" outlineLevel="0" collapsed="false">
      <c r="A600" s="1" t="s">
        <v>1397</v>
      </c>
    </row>
    <row r="601" customFormat="false" ht="12.75" hidden="false" customHeight="true" outlineLevel="0" collapsed="false">
      <c r="A601" s="1" t="s">
        <v>1398</v>
      </c>
    </row>
    <row r="602" customFormat="false" ht="12.75" hidden="false" customHeight="true" outlineLevel="0" collapsed="false"/>
    <row r="603" customFormat="false" ht="12.75" hidden="false" customHeight="true" outlineLevel="0" collapsed="false">
      <c r="A603" s="1" t="s">
        <v>1268</v>
      </c>
    </row>
    <row r="604" customFormat="false" ht="12.75" hidden="false" customHeight="true" outlineLevel="0" collapsed="false">
      <c r="A604" s="1" t="s">
        <v>1399</v>
      </c>
    </row>
    <row r="605" customFormat="false" ht="12.75" hidden="false" customHeight="true" outlineLevel="0" collapsed="false">
      <c r="A605" s="1" t="s">
        <v>1400</v>
      </c>
    </row>
    <row r="606" customFormat="false" ht="12.75" hidden="false" customHeight="true" outlineLevel="0" collapsed="false">
      <c r="A606" s="1" t="s">
        <v>1401</v>
      </c>
    </row>
    <row r="607" customFormat="false" ht="12.75" hidden="false" customHeight="true" outlineLevel="0" collapsed="false"/>
    <row r="608" customFormat="false" ht="12.75" hidden="false" customHeight="true" outlineLevel="0" collapsed="false">
      <c r="A608" s="1" t="s">
        <v>1272</v>
      </c>
    </row>
    <row r="609" customFormat="false" ht="12.75" hidden="false" customHeight="true" outlineLevel="0" collapsed="false">
      <c r="A609" s="1" t="s">
        <v>1402</v>
      </c>
    </row>
    <row r="610" customFormat="false" ht="12.75" hidden="false" customHeight="true" outlineLevel="0" collapsed="false">
      <c r="A610" s="1" t="s">
        <v>1403</v>
      </c>
    </row>
    <row r="611" customFormat="false" ht="12.75" hidden="false" customHeight="true" outlineLevel="0" collapsed="false">
      <c r="A611" s="1" t="s">
        <v>1404</v>
      </c>
    </row>
    <row r="612" customFormat="false" ht="12.75" hidden="false" customHeight="true" outlineLevel="0" collapsed="false">
      <c r="A612" s="1" t="s">
        <v>1405</v>
      </c>
    </row>
    <row r="613" customFormat="false" ht="12.75" hidden="false" customHeight="true" outlineLevel="0" collapsed="false">
      <c r="A613" s="1" t="s">
        <v>1406</v>
      </c>
    </row>
    <row r="614" customFormat="false" ht="12.75" hidden="false" customHeight="true" outlineLevel="0" collapsed="false">
      <c r="A614" s="1" t="s">
        <v>1407</v>
      </c>
    </row>
    <row r="615" customFormat="false" ht="12.75" hidden="false" customHeight="true" outlineLevel="0" collapsed="false">
      <c r="A615" s="1" t="s">
        <v>1381</v>
      </c>
    </row>
    <row r="616" customFormat="false" ht="12.75" hidden="false" customHeight="true" outlineLevel="0" collapsed="false">
      <c r="A616" s="1" t="s">
        <v>1382</v>
      </c>
    </row>
    <row r="617" customFormat="false" ht="12.75" hidden="false" customHeight="true" outlineLevel="0" collapsed="false"/>
    <row r="618" customFormat="false" ht="12.75" hidden="false" customHeight="true" outlineLevel="0" collapsed="false">
      <c r="A618" s="1" t="s">
        <v>1209</v>
      </c>
    </row>
    <row r="619" customFormat="false" ht="12.75" hidden="false" customHeight="true" outlineLevel="0" collapsed="false">
      <c r="A619" s="1" t="s">
        <v>1383</v>
      </c>
    </row>
    <row r="620" customFormat="false" ht="12.75" hidden="false" customHeight="true" outlineLevel="0" collapsed="false">
      <c r="A620" s="1" t="s">
        <v>1384</v>
      </c>
    </row>
    <row r="621" customFormat="false" ht="12.75" hidden="false" customHeight="true" outlineLevel="0" collapsed="false">
      <c r="A621" s="1" t="s">
        <v>1385</v>
      </c>
    </row>
    <row r="622" customFormat="false" ht="12.75" hidden="false" customHeight="true" outlineLevel="0" collapsed="false">
      <c r="A622" s="1" t="s">
        <v>1386</v>
      </c>
    </row>
    <row r="623" customFormat="false" ht="12.75" hidden="false" customHeight="true" outlineLevel="0" collapsed="false"/>
    <row r="624" customFormat="false" ht="12.75" hidden="false" customHeight="true" outlineLevel="0" collapsed="false">
      <c r="A624" s="1" t="s">
        <v>1210</v>
      </c>
    </row>
    <row r="625" customFormat="false" ht="12.75" hidden="false" customHeight="true" outlineLevel="0" collapsed="false">
      <c r="A625" s="1" t="s">
        <v>1387</v>
      </c>
    </row>
    <row r="626" customFormat="false" ht="12.75" hidden="false" customHeight="true" outlineLevel="0" collapsed="false">
      <c r="A626" s="1" t="s">
        <v>1388</v>
      </c>
    </row>
    <row r="627" customFormat="false" ht="12.75" hidden="false" customHeight="true" outlineLevel="0" collapsed="false"/>
    <row r="628" customFormat="false" ht="12.75" hidden="false" customHeight="true" outlineLevel="0" collapsed="false">
      <c r="A628" s="1" t="s">
        <v>1211</v>
      </c>
    </row>
    <row r="629" customFormat="false" ht="12.75" hidden="false" customHeight="true" outlineLevel="0" collapsed="false">
      <c r="A629" s="1" t="s">
        <v>1389</v>
      </c>
    </row>
    <row r="630" customFormat="false" ht="12.75" hidden="false" customHeight="true" outlineLevel="0" collapsed="false">
      <c r="A630" s="1" t="s">
        <v>1390</v>
      </c>
    </row>
    <row r="631" customFormat="false" ht="12.75" hidden="false" customHeight="true" outlineLevel="0" collapsed="false"/>
    <row r="632" customFormat="false" ht="12.75" hidden="false" customHeight="true" outlineLevel="0" collapsed="false">
      <c r="A632" s="1" t="s">
        <v>1212</v>
      </c>
    </row>
    <row r="633" customFormat="false" ht="12.75" hidden="false" customHeight="true" outlineLevel="0" collapsed="false">
      <c r="A633" s="1" t="s">
        <v>1391</v>
      </c>
    </row>
    <row r="634" customFormat="false" ht="12.75" hidden="false" customHeight="true" outlineLevel="0" collapsed="false">
      <c r="A634" s="1" t="s">
        <v>1408</v>
      </c>
    </row>
    <row r="635" customFormat="false" ht="12.75" hidden="false" customHeight="true" outlineLevel="0" collapsed="false">
      <c r="A635" s="1" t="s">
        <v>1409</v>
      </c>
    </row>
    <row r="636" customFormat="false" ht="12.75" hidden="false" customHeight="true" outlineLevel="0" collapsed="false">
      <c r="A636" s="1" t="s">
        <v>1381</v>
      </c>
    </row>
    <row r="637" customFormat="false" ht="12.75" hidden="false" customHeight="true" outlineLevel="0" collapsed="false">
      <c r="A637" s="1" t="s">
        <v>1382</v>
      </c>
    </row>
    <row r="638" customFormat="false" ht="12.75" hidden="false" customHeight="true" outlineLevel="0" collapsed="false"/>
    <row r="639" customFormat="false" ht="12.75" hidden="false" customHeight="true" outlineLevel="0" collapsed="false">
      <c r="A639" s="1" t="s">
        <v>1209</v>
      </c>
    </row>
    <row r="640" customFormat="false" ht="12.75" hidden="false" customHeight="true" outlineLevel="0" collapsed="false">
      <c r="A640" s="1" t="s">
        <v>1383</v>
      </c>
    </row>
    <row r="641" customFormat="false" ht="12.75" hidden="false" customHeight="true" outlineLevel="0" collapsed="false">
      <c r="A641" s="1" t="s">
        <v>1384</v>
      </c>
    </row>
    <row r="642" customFormat="false" ht="12.75" hidden="false" customHeight="true" outlineLevel="0" collapsed="false">
      <c r="A642" s="1" t="s">
        <v>1385</v>
      </c>
    </row>
    <row r="643" customFormat="false" ht="12.75" hidden="false" customHeight="true" outlineLevel="0" collapsed="false">
      <c r="A643" s="1" t="s">
        <v>1386</v>
      </c>
    </row>
    <row r="644" customFormat="false" ht="12.75" hidden="false" customHeight="true" outlineLevel="0" collapsed="false"/>
    <row r="645" customFormat="false" ht="12.75" hidden="false" customHeight="true" outlineLevel="0" collapsed="false">
      <c r="A645" s="1" t="s">
        <v>1210</v>
      </c>
    </row>
    <row r="646" customFormat="false" ht="12.75" hidden="false" customHeight="true" outlineLevel="0" collapsed="false">
      <c r="A646" s="1" t="s">
        <v>1387</v>
      </c>
    </row>
    <row r="647" customFormat="false" ht="12.75" hidden="false" customHeight="true" outlineLevel="0" collapsed="false">
      <c r="A647" s="1" t="s">
        <v>1388</v>
      </c>
    </row>
    <row r="648" customFormat="false" ht="12.75" hidden="false" customHeight="true" outlineLevel="0" collapsed="false"/>
    <row r="649" customFormat="false" ht="12.75" hidden="false" customHeight="true" outlineLevel="0" collapsed="false">
      <c r="A649" s="1" t="s">
        <v>1211</v>
      </c>
    </row>
    <row r="650" customFormat="false" ht="12.75" hidden="false" customHeight="true" outlineLevel="0" collapsed="false">
      <c r="A650" s="1" t="s">
        <v>1389</v>
      </c>
    </row>
    <row r="651" customFormat="false" ht="12.75" hidden="false" customHeight="true" outlineLevel="0" collapsed="false">
      <c r="A651" s="1" t="s">
        <v>1390</v>
      </c>
    </row>
    <row r="652" customFormat="false" ht="12.75" hidden="false" customHeight="true" outlineLevel="0" collapsed="false"/>
    <row r="653" customFormat="false" ht="12.75" hidden="false" customHeight="true" outlineLevel="0" collapsed="false">
      <c r="A653" s="1" t="s">
        <v>1212</v>
      </c>
    </row>
    <row r="654" customFormat="false" ht="12.75" hidden="false" customHeight="true" outlineLevel="0" collapsed="false">
      <c r="A654" s="1" t="s">
        <v>1391</v>
      </c>
    </row>
    <row r="655" customFormat="false" ht="12.75" hidden="false" customHeight="true" outlineLevel="0" collapsed="false">
      <c r="A655" s="1" t="s">
        <v>1392</v>
      </c>
    </row>
    <row r="656" customFormat="false" ht="12.75" hidden="false" customHeight="true" outlineLevel="0" collapsed="false">
      <c r="A656" s="1" t="s">
        <v>1393</v>
      </c>
    </row>
    <row r="657" customFormat="false" ht="12.75" hidden="false" customHeight="true" outlineLevel="0" collapsed="false">
      <c r="A657" s="1" t="s">
        <v>1394</v>
      </c>
    </row>
    <row r="658" customFormat="false" ht="12.75" hidden="false" customHeight="true" outlineLevel="0" collapsed="false">
      <c r="A658" s="1" t="s">
        <v>1395</v>
      </c>
    </row>
    <row r="659" customFormat="false" ht="12.75" hidden="false" customHeight="true" outlineLevel="0" collapsed="false">
      <c r="A659" s="1" t="s">
        <v>1396</v>
      </c>
    </row>
    <row r="660" customFormat="false" ht="12.75" hidden="false" customHeight="true" outlineLevel="0" collapsed="false">
      <c r="A660" s="1" t="s">
        <v>1397</v>
      </c>
    </row>
    <row r="661" customFormat="false" ht="12.75" hidden="false" customHeight="true" outlineLevel="0" collapsed="false">
      <c r="A661" s="1" t="s">
        <v>1398</v>
      </c>
    </row>
    <row r="662" customFormat="false" ht="12.75" hidden="false" customHeight="true" outlineLevel="0" collapsed="false"/>
    <row r="663" customFormat="false" ht="12.75" hidden="false" customHeight="true" outlineLevel="0" collapsed="false">
      <c r="A663" s="1" t="s">
        <v>1268</v>
      </c>
    </row>
    <row r="664" customFormat="false" ht="12.75" hidden="false" customHeight="true" outlineLevel="0" collapsed="false">
      <c r="A664" s="1" t="s">
        <v>1399</v>
      </c>
    </row>
    <row r="665" customFormat="false" ht="12.75" hidden="false" customHeight="true" outlineLevel="0" collapsed="false">
      <c r="A665" s="1" t="s">
        <v>1400</v>
      </c>
    </row>
    <row r="666" customFormat="false" ht="12.75" hidden="false" customHeight="true" outlineLevel="0" collapsed="false">
      <c r="A666" s="1" t="s">
        <v>1401</v>
      </c>
    </row>
    <row r="667" customFormat="false" ht="12.75" hidden="false" customHeight="true" outlineLevel="0" collapsed="false"/>
    <row r="668" customFormat="false" ht="12.75" hidden="false" customHeight="true" outlineLevel="0" collapsed="false">
      <c r="A668" s="1" t="s">
        <v>1272</v>
      </c>
    </row>
    <row r="669" customFormat="false" ht="12.75" hidden="false" customHeight="true" outlineLevel="0" collapsed="false">
      <c r="A669" s="1" t="s">
        <v>1402</v>
      </c>
    </row>
    <row r="670" customFormat="false" ht="12.75" hidden="false" customHeight="true" outlineLevel="0" collapsed="false">
      <c r="A670" s="1" t="s">
        <v>1403</v>
      </c>
    </row>
    <row r="671" customFormat="false" ht="12.75" hidden="false" customHeight="true" outlineLevel="0" collapsed="false">
      <c r="A671" s="1" t="s">
        <v>1404</v>
      </c>
    </row>
    <row r="672" customFormat="false" ht="12.75" hidden="false" customHeight="true" outlineLevel="0" collapsed="false">
      <c r="A672" s="1" t="s">
        <v>1405</v>
      </c>
    </row>
    <row r="673" customFormat="false" ht="12.75" hidden="false" customHeight="true" outlineLevel="0" collapsed="false">
      <c r="A673" s="1" t="s">
        <v>1406</v>
      </c>
    </row>
    <row r="674" customFormat="false" ht="12.75" hidden="false" customHeight="true" outlineLevel="0" collapsed="false">
      <c r="A674" s="1" t="s">
        <v>1410</v>
      </c>
    </row>
    <row r="675" customFormat="false" ht="12.75" hidden="false" customHeight="true" outlineLevel="0" collapsed="false">
      <c r="A675" s="1" t="s">
        <v>1411</v>
      </c>
    </row>
    <row r="676" customFormat="false" ht="12.75" hidden="false" customHeight="true" outlineLevel="0" collapsed="false">
      <c r="A676" s="1" t="s">
        <v>1412</v>
      </c>
    </row>
    <row r="677" customFormat="false" ht="12.75" hidden="false" customHeight="true" outlineLevel="0" collapsed="false"/>
    <row r="678" customFormat="false" ht="12.75" hidden="false" customHeight="true" outlineLevel="0" collapsed="false">
      <c r="A678" s="1" t="s">
        <v>1209</v>
      </c>
    </row>
    <row r="679" customFormat="false" ht="12.75" hidden="false" customHeight="true" outlineLevel="0" collapsed="false">
      <c r="A679" s="1" t="s">
        <v>1413</v>
      </c>
    </row>
    <row r="680" customFormat="false" ht="12.75" hidden="false" customHeight="true" outlineLevel="0" collapsed="false">
      <c r="A680" s="1" t="s">
        <v>1414</v>
      </c>
    </row>
    <row r="681" customFormat="false" ht="12.75" hidden="false" customHeight="true" outlineLevel="0" collapsed="false">
      <c r="A681" s="1" t="s">
        <v>1415</v>
      </c>
    </row>
    <row r="682" customFormat="false" ht="12.75" hidden="false" customHeight="true" outlineLevel="0" collapsed="false">
      <c r="A682" s="1" t="s">
        <v>1416</v>
      </c>
    </row>
    <row r="683" customFormat="false" ht="12.75" hidden="false" customHeight="true" outlineLevel="0" collapsed="false"/>
    <row r="684" customFormat="false" ht="12.75" hidden="false" customHeight="true" outlineLevel="0" collapsed="false">
      <c r="A684" s="1" t="s">
        <v>1210</v>
      </c>
    </row>
    <row r="685" customFormat="false" ht="12.75" hidden="false" customHeight="true" outlineLevel="0" collapsed="false">
      <c r="A685" s="1" t="s">
        <v>1417</v>
      </c>
    </row>
    <row r="686" customFormat="false" ht="12.75" hidden="false" customHeight="true" outlineLevel="0" collapsed="false">
      <c r="A686" s="1" t="s">
        <v>1418</v>
      </c>
    </row>
    <row r="687" customFormat="false" ht="12.75" hidden="false" customHeight="true" outlineLevel="0" collapsed="false"/>
    <row r="688" customFormat="false" ht="12.75" hidden="false" customHeight="true" outlineLevel="0" collapsed="false">
      <c r="A688" s="1" t="s">
        <v>1211</v>
      </c>
    </row>
    <row r="689" customFormat="false" ht="12.75" hidden="false" customHeight="true" outlineLevel="0" collapsed="false">
      <c r="A689" s="1" t="s">
        <v>1419</v>
      </c>
    </row>
    <row r="690" customFormat="false" ht="12.75" hidden="false" customHeight="true" outlineLevel="0" collapsed="false">
      <c r="A690" s="1" t="s">
        <v>1420</v>
      </c>
    </row>
    <row r="691" customFormat="false" ht="12.75" hidden="false" customHeight="true" outlineLevel="0" collapsed="false"/>
    <row r="692" customFormat="false" ht="12.75" hidden="false" customHeight="true" outlineLevel="0" collapsed="false">
      <c r="A692" s="1" t="s">
        <v>1212</v>
      </c>
    </row>
    <row r="693" customFormat="false" ht="12.75" hidden="false" customHeight="true" outlineLevel="0" collapsed="false">
      <c r="A693" s="1" t="s">
        <v>1421</v>
      </c>
    </row>
    <row r="694" customFormat="false" ht="12.75" hidden="false" customHeight="true" outlineLevel="0" collapsed="false">
      <c r="A694" s="1" t="s">
        <v>1422</v>
      </c>
    </row>
    <row r="695" customFormat="false" ht="12.75" hidden="false" customHeight="true" outlineLevel="0" collapsed="false">
      <c r="A695" s="1" t="s">
        <v>1423</v>
      </c>
    </row>
    <row r="696" customFormat="false" ht="12.75" hidden="false" customHeight="true" outlineLevel="0" collapsed="false">
      <c r="A696" s="1" t="s">
        <v>1411</v>
      </c>
    </row>
    <row r="697" customFormat="false" ht="12.75" hidden="false" customHeight="true" outlineLevel="0" collapsed="false">
      <c r="A697" s="1" t="s">
        <v>1412</v>
      </c>
    </row>
    <row r="698" customFormat="false" ht="12.75" hidden="false" customHeight="true" outlineLevel="0" collapsed="false"/>
    <row r="699" customFormat="false" ht="12.75" hidden="false" customHeight="true" outlineLevel="0" collapsed="false">
      <c r="A699" s="1" t="s">
        <v>1209</v>
      </c>
    </row>
    <row r="700" customFormat="false" ht="12.75" hidden="false" customHeight="true" outlineLevel="0" collapsed="false">
      <c r="A700" s="1" t="s">
        <v>1413</v>
      </c>
    </row>
    <row r="701" customFormat="false" ht="12.75" hidden="false" customHeight="true" outlineLevel="0" collapsed="false">
      <c r="A701" s="1" t="s">
        <v>1414</v>
      </c>
    </row>
    <row r="702" customFormat="false" ht="12.75" hidden="false" customHeight="true" outlineLevel="0" collapsed="false">
      <c r="A702" s="1" t="s">
        <v>1415</v>
      </c>
    </row>
    <row r="703" customFormat="false" ht="12.75" hidden="false" customHeight="true" outlineLevel="0" collapsed="false">
      <c r="A703" s="1" t="s">
        <v>1416</v>
      </c>
    </row>
    <row r="704" customFormat="false" ht="12.75" hidden="false" customHeight="true" outlineLevel="0" collapsed="false"/>
    <row r="705" customFormat="false" ht="12.75" hidden="false" customHeight="true" outlineLevel="0" collapsed="false">
      <c r="A705" s="1" t="s">
        <v>1210</v>
      </c>
    </row>
    <row r="706" customFormat="false" ht="12.75" hidden="false" customHeight="true" outlineLevel="0" collapsed="false">
      <c r="A706" s="1" t="s">
        <v>1417</v>
      </c>
    </row>
    <row r="707" customFormat="false" ht="12.75" hidden="false" customHeight="true" outlineLevel="0" collapsed="false">
      <c r="A707" s="1" t="s">
        <v>1418</v>
      </c>
    </row>
    <row r="708" customFormat="false" ht="12.75" hidden="false" customHeight="true" outlineLevel="0" collapsed="false"/>
    <row r="709" customFormat="false" ht="12.75" hidden="false" customHeight="true" outlineLevel="0" collapsed="false">
      <c r="A709" s="1" t="s">
        <v>1211</v>
      </c>
    </row>
    <row r="710" customFormat="false" ht="12.75" hidden="false" customHeight="true" outlineLevel="0" collapsed="false">
      <c r="A710" s="1" t="s">
        <v>1419</v>
      </c>
    </row>
    <row r="711" customFormat="false" ht="12.75" hidden="false" customHeight="true" outlineLevel="0" collapsed="false">
      <c r="A711" s="1" t="s">
        <v>1420</v>
      </c>
    </row>
    <row r="712" customFormat="false" ht="12.75" hidden="false" customHeight="true" outlineLevel="0" collapsed="false"/>
    <row r="713" customFormat="false" ht="12.75" hidden="false" customHeight="true" outlineLevel="0" collapsed="false">
      <c r="A713" s="1" t="s">
        <v>1212</v>
      </c>
    </row>
    <row r="714" customFormat="false" ht="12.75" hidden="false" customHeight="true" outlineLevel="0" collapsed="false">
      <c r="A714" s="1" t="s">
        <v>1421</v>
      </c>
    </row>
    <row r="715" customFormat="false" ht="12.75" hidden="false" customHeight="true" outlineLevel="0" collapsed="false">
      <c r="A715" s="1" t="s">
        <v>1424</v>
      </c>
    </row>
    <row r="716" customFormat="false" ht="12.75" hidden="false" customHeight="true" outlineLevel="0" collapsed="false">
      <c r="A716" s="1" t="s">
        <v>1425</v>
      </c>
    </row>
    <row r="717" customFormat="false" ht="12.75" hidden="false" customHeight="true" outlineLevel="0" collapsed="false">
      <c r="A717" s="1" t="s">
        <v>1426</v>
      </c>
    </row>
    <row r="718" customFormat="false" ht="12.75" hidden="false" customHeight="true" outlineLevel="0" collapsed="false">
      <c r="A718" s="1" t="s">
        <v>1427</v>
      </c>
    </row>
    <row r="719" customFormat="false" ht="12.75" hidden="false" customHeight="true" outlineLevel="0" collapsed="false">
      <c r="A719" s="1" t="s">
        <v>1428</v>
      </c>
    </row>
    <row r="720" customFormat="false" ht="12.75" hidden="false" customHeight="true" outlineLevel="0" collapsed="false">
      <c r="A720" s="1" t="s">
        <v>1429</v>
      </c>
    </row>
    <row r="721" customFormat="false" ht="12.75" hidden="false" customHeight="true" outlineLevel="0" collapsed="false">
      <c r="A721" s="1" t="s">
        <v>1430</v>
      </c>
    </row>
    <row r="722" customFormat="false" ht="12.75" hidden="false" customHeight="true" outlineLevel="0" collapsed="false">
      <c r="A722" s="1" t="s">
        <v>1431</v>
      </c>
    </row>
    <row r="723" customFormat="false" ht="12.75" hidden="false" customHeight="true" outlineLevel="0" collapsed="false"/>
    <row r="724" customFormat="false" ht="12.75" hidden="false" customHeight="true" outlineLevel="0" collapsed="false">
      <c r="A724" s="1" t="s">
        <v>1209</v>
      </c>
    </row>
    <row r="725" customFormat="false" ht="12.75" hidden="false" customHeight="true" outlineLevel="0" collapsed="false">
      <c r="A725" s="1" t="s">
        <v>1432</v>
      </c>
    </row>
    <row r="726" customFormat="false" ht="12.75" hidden="false" customHeight="true" outlineLevel="0" collapsed="false">
      <c r="A726" s="1" t="s">
        <v>1433</v>
      </c>
    </row>
    <row r="727" customFormat="false" ht="12.75" hidden="false" customHeight="true" outlineLevel="0" collapsed="false">
      <c r="A727" s="1" t="s">
        <v>1434</v>
      </c>
    </row>
    <row r="728" customFormat="false" ht="12.75" hidden="false" customHeight="true" outlineLevel="0" collapsed="false">
      <c r="A728" s="1" t="s">
        <v>1435</v>
      </c>
    </row>
    <row r="729" customFormat="false" ht="12.75" hidden="false" customHeight="true" outlineLevel="0" collapsed="false"/>
    <row r="730" customFormat="false" ht="12.75" hidden="false" customHeight="true" outlineLevel="0" collapsed="false">
      <c r="A730" s="1" t="s">
        <v>1210</v>
      </c>
    </row>
    <row r="731" customFormat="false" ht="12.75" hidden="false" customHeight="true" outlineLevel="0" collapsed="false">
      <c r="A731" s="1" t="s">
        <v>1436</v>
      </c>
    </row>
    <row r="732" customFormat="false" ht="12.75" hidden="false" customHeight="true" outlineLevel="0" collapsed="false">
      <c r="A732" s="1" t="s">
        <v>1437</v>
      </c>
    </row>
    <row r="733" customFormat="false" ht="12.75" hidden="false" customHeight="true" outlineLevel="0" collapsed="false"/>
    <row r="734" customFormat="false" ht="12.75" hidden="false" customHeight="true" outlineLevel="0" collapsed="false">
      <c r="A734" s="1" t="s">
        <v>1211</v>
      </c>
    </row>
    <row r="735" customFormat="false" ht="12.75" hidden="false" customHeight="true" outlineLevel="0" collapsed="false">
      <c r="A735" s="1" t="s">
        <v>1438</v>
      </c>
    </row>
    <row r="736" customFormat="false" ht="12.75" hidden="false" customHeight="true" outlineLevel="0" collapsed="false">
      <c r="A736" s="1" t="s">
        <v>1439</v>
      </c>
    </row>
    <row r="737" customFormat="false" ht="12.75" hidden="false" customHeight="true" outlineLevel="0" collapsed="false"/>
    <row r="738" customFormat="false" ht="12.75" hidden="false" customHeight="true" outlineLevel="0" collapsed="false">
      <c r="A738" s="1" t="s">
        <v>1212</v>
      </c>
    </row>
    <row r="739" customFormat="false" ht="12.75" hidden="false" customHeight="true" outlineLevel="0" collapsed="false">
      <c r="A739" s="1" t="s">
        <v>1440</v>
      </c>
    </row>
    <row r="740" customFormat="false" ht="12.75" hidden="false" customHeight="true" outlineLevel="0" collapsed="false">
      <c r="A740" s="1" t="s">
        <v>1441</v>
      </c>
    </row>
    <row r="741" customFormat="false" ht="12.75" hidden="false" customHeight="true" outlineLevel="0" collapsed="false">
      <c r="A741" s="1" t="s">
        <v>1442</v>
      </c>
    </row>
    <row r="742" customFormat="false" ht="12.75" hidden="false" customHeight="true" outlineLevel="0" collapsed="false">
      <c r="A742" s="1" t="s">
        <v>1430</v>
      </c>
    </row>
    <row r="743" customFormat="false" ht="12.75" hidden="false" customHeight="true" outlineLevel="0" collapsed="false">
      <c r="A743" s="1" t="s">
        <v>1431</v>
      </c>
    </row>
    <row r="744" customFormat="false" ht="12.75" hidden="false" customHeight="true" outlineLevel="0" collapsed="false"/>
    <row r="745" customFormat="false" ht="12.75" hidden="false" customHeight="true" outlineLevel="0" collapsed="false">
      <c r="A745" s="1" t="s">
        <v>1209</v>
      </c>
    </row>
    <row r="746" customFormat="false" ht="12.75" hidden="false" customHeight="true" outlineLevel="0" collapsed="false">
      <c r="A746" s="1" t="s">
        <v>1432</v>
      </c>
    </row>
    <row r="747" customFormat="false" ht="12.75" hidden="false" customHeight="true" outlineLevel="0" collapsed="false">
      <c r="A747" s="1" t="s">
        <v>1433</v>
      </c>
    </row>
    <row r="748" customFormat="false" ht="12.75" hidden="false" customHeight="true" outlineLevel="0" collapsed="false">
      <c r="A748" s="1" t="s">
        <v>1434</v>
      </c>
    </row>
    <row r="749" customFormat="false" ht="12.75" hidden="false" customHeight="true" outlineLevel="0" collapsed="false">
      <c r="A749" s="1" t="s">
        <v>1435</v>
      </c>
    </row>
    <row r="750" customFormat="false" ht="12.75" hidden="false" customHeight="true" outlineLevel="0" collapsed="false"/>
    <row r="751" customFormat="false" ht="12.75" hidden="false" customHeight="true" outlineLevel="0" collapsed="false">
      <c r="A751" s="1" t="s">
        <v>1210</v>
      </c>
    </row>
    <row r="752" customFormat="false" ht="12.75" hidden="false" customHeight="true" outlineLevel="0" collapsed="false">
      <c r="A752" s="1" t="s">
        <v>1436</v>
      </c>
    </row>
    <row r="753" customFormat="false" ht="12.75" hidden="false" customHeight="true" outlineLevel="0" collapsed="false">
      <c r="A753" s="1" t="s">
        <v>1437</v>
      </c>
    </row>
    <row r="754" customFormat="false" ht="12.75" hidden="false" customHeight="true" outlineLevel="0" collapsed="false"/>
    <row r="755" customFormat="false" ht="12.75" hidden="false" customHeight="true" outlineLevel="0" collapsed="false">
      <c r="A755" s="1" t="s">
        <v>1211</v>
      </c>
    </row>
    <row r="756" customFormat="false" ht="12.75" hidden="false" customHeight="true" outlineLevel="0" collapsed="false">
      <c r="A756" s="1" t="s">
        <v>1438</v>
      </c>
    </row>
    <row r="757" customFormat="false" ht="12.75" hidden="false" customHeight="true" outlineLevel="0" collapsed="false">
      <c r="A757" s="1" t="s">
        <v>1439</v>
      </c>
    </row>
    <row r="758" customFormat="false" ht="12.75" hidden="false" customHeight="true" outlineLevel="0" collapsed="false"/>
    <row r="759" customFormat="false" ht="12.75" hidden="false" customHeight="true" outlineLevel="0" collapsed="false">
      <c r="A759" s="1" t="s">
        <v>1212</v>
      </c>
    </row>
    <row r="760" customFormat="false" ht="12.75" hidden="false" customHeight="true" outlineLevel="0" collapsed="false">
      <c r="A760" s="1" t="s">
        <v>1440</v>
      </c>
    </row>
    <row r="761" customFormat="false" ht="12.75" hidden="false" customHeight="true" outlineLevel="0" collapsed="false">
      <c r="A761" s="1" t="s">
        <v>1443</v>
      </c>
    </row>
    <row r="762" customFormat="false" ht="12.75" hidden="false" customHeight="true" outlineLevel="0" collapsed="false">
      <c r="A762" s="1" t="s">
        <v>1444</v>
      </c>
    </row>
    <row r="763" customFormat="false" ht="12.75" hidden="false" customHeight="true" outlineLevel="0" collapsed="false">
      <c r="A763" s="1" t="s">
        <v>1430</v>
      </c>
    </row>
    <row r="764" customFormat="false" ht="12.75" hidden="false" customHeight="true" outlineLevel="0" collapsed="false">
      <c r="A764" s="1" t="s">
        <v>1431</v>
      </c>
    </row>
    <row r="765" customFormat="false" ht="12.75" hidden="false" customHeight="true" outlineLevel="0" collapsed="false"/>
    <row r="766" customFormat="false" ht="12.75" hidden="false" customHeight="true" outlineLevel="0" collapsed="false">
      <c r="A766" s="1" t="s">
        <v>1209</v>
      </c>
    </row>
    <row r="767" customFormat="false" ht="12.75" hidden="false" customHeight="true" outlineLevel="0" collapsed="false">
      <c r="A767" s="1" t="s">
        <v>1432</v>
      </c>
    </row>
    <row r="768" customFormat="false" ht="12.75" hidden="false" customHeight="true" outlineLevel="0" collapsed="false">
      <c r="A768" s="1" t="s">
        <v>1433</v>
      </c>
    </row>
    <row r="769" customFormat="false" ht="12.75" hidden="false" customHeight="true" outlineLevel="0" collapsed="false">
      <c r="A769" s="1" t="s">
        <v>1434</v>
      </c>
    </row>
    <row r="770" customFormat="false" ht="12.75" hidden="false" customHeight="true" outlineLevel="0" collapsed="false">
      <c r="A770" s="1" t="s">
        <v>1435</v>
      </c>
    </row>
    <row r="771" customFormat="false" ht="12.75" hidden="false" customHeight="true" outlineLevel="0" collapsed="false"/>
    <row r="772" customFormat="false" ht="12.75" hidden="false" customHeight="true" outlineLevel="0" collapsed="false">
      <c r="A772" s="1" t="s">
        <v>1210</v>
      </c>
    </row>
    <row r="773" customFormat="false" ht="12.75" hidden="false" customHeight="true" outlineLevel="0" collapsed="false">
      <c r="A773" s="1" t="s">
        <v>1436</v>
      </c>
    </row>
    <row r="774" customFormat="false" ht="12.75" hidden="false" customHeight="true" outlineLevel="0" collapsed="false">
      <c r="A774" s="1" t="s">
        <v>1437</v>
      </c>
    </row>
    <row r="775" customFormat="false" ht="12.75" hidden="false" customHeight="true" outlineLevel="0" collapsed="false"/>
    <row r="776" customFormat="false" ht="12.75" hidden="false" customHeight="true" outlineLevel="0" collapsed="false">
      <c r="A776" s="1" t="s">
        <v>1211</v>
      </c>
    </row>
    <row r="777" customFormat="false" ht="12.75" hidden="false" customHeight="true" outlineLevel="0" collapsed="false">
      <c r="A777" s="1" t="s">
        <v>1438</v>
      </c>
    </row>
    <row r="778" customFormat="false" ht="12.75" hidden="false" customHeight="true" outlineLevel="0" collapsed="false">
      <c r="A778" s="1" t="s">
        <v>1439</v>
      </c>
    </row>
    <row r="779" customFormat="false" ht="12.75" hidden="false" customHeight="true" outlineLevel="0" collapsed="false"/>
    <row r="780" customFormat="false" ht="12.75" hidden="false" customHeight="true" outlineLevel="0" collapsed="false">
      <c r="A780" s="1" t="s">
        <v>1212</v>
      </c>
    </row>
    <row r="781" customFormat="false" ht="12.75" hidden="false" customHeight="true" outlineLevel="0" collapsed="false">
      <c r="A781" s="1" t="s">
        <v>1440</v>
      </c>
    </row>
    <row r="782" customFormat="false" ht="12.75" hidden="false" customHeight="true" outlineLevel="0" collapsed="false">
      <c r="A782" s="1" t="s">
        <v>1443</v>
      </c>
    </row>
    <row r="783" customFormat="false" ht="12.75" hidden="false" customHeight="true" outlineLevel="0" collapsed="false">
      <c r="A783" s="1" t="s">
        <v>1445</v>
      </c>
    </row>
    <row r="784" customFormat="false" ht="12.75" hidden="false" customHeight="true" outlineLevel="0" collapsed="false">
      <c r="A784" s="1" t="s">
        <v>1430</v>
      </c>
    </row>
    <row r="785" customFormat="false" ht="12.75" hidden="false" customHeight="true" outlineLevel="0" collapsed="false">
      <c r="A785" s="1" t="s">
        <v>1431</v>
      </c>
    </row>
    <row r="786" customFormat="false" ht="12.75" hidden="false" customHeight="true" outlineLevel="0" collapsed="false"/>
    <row r="787" customFormat="false" ht="12.75" hidden="false" customHeight="true" outlineLevel="0" collapsed="false">
      <c r="A787" s="1" t="s">
        <v>1209</v>
      </c>
    </row>
    <row r="788" customFormat="false" ht="12.75" hidden="false" customHeight="true" outlineLevel="0" collapsed="false">
      <c r="A788" s="1" t="s">
        <v>1432</v>
      </c>
    </row>
    <row r="789" customFormat="false" ht="12.75" hidden="false" customHeight="true" outlineLevel="0" collapsed="false">
      <c r="A789" s="1" t="s">
        <v>1433</v>
      </c>
    </row>
    <row r="790" customFormat="false" ht="12.75" hidden="false" customHeight="true" outlineLevel="0" collapsed="false">
      <c r="A790" s="1" t="s">
        <v>1434</v>
      </c>
    </row>
    <row r="791" customFormat="false" ht="12.75" hidden="false" customHeight="true" outlineLevel="0" collapsed="false">
      <c r="A791" s="1" t="s">
        <v>1435</v>
      </c>
    </row>
    <row r="792" customFormat="false" ht="12.75" hidden="false" customHeight="true" outlineLevel="0" collapsed="false"/>
    <row r="793" customFormat="false" ht="12.75" hidden="false" customHeight="true" outlineLevel="0" collapsed="false">
      <c r="A793" s="1" t="s">
        <v>1210</v>
      </c>
    </row>
    <row r="794" customFormat="false" ht="12.75" hidden="false" customHeight="true" outlineLevel="0" collapsed="false">
      <c r="A794" s="1" t="s">
        <v>1436</v>
      </c>
    </row>
    <row r="795" customFormat="false" ht="12.75" hidden="false" customHeight="true" outlineLevel="0" collapsed="false">
      <c r="A795" s="1" t="s">
        <v>1437</v>
      </c>
    </row>
    <row r="796" customFormat="false" ht="12.75" hidden="false" customHeight="true" outlineLevel="0" collapsed="false"/>
    <row r="797" customFormat="false" ht="12.75" hidden="false" customHeight="true" outlineLevel="0" collapsed="false">
      <c r="A797" s="1" t="s">
        <v>1211</v>
      </c>
    </row>
    <row r="798" customFormat="false" ht="12.75" hidden="false" customHeight="true" outlineLevel="0" collapsed="false">
      <c r="A798" s="1" t="s">
        <v>1438</v>
      </c>
    </row>
    <row r="799" customFormat="false" ht="12.75" hidden="false" customHeight="true" outlineLevel="0" collapsed="false">
      <c r="A799" s="1" t="s">
        <v>1439</v>
      </c>
    </row>
    <row r="800" customFormat="false" ht="12.75" hidden="false" customHeight="true" outlineLevel="0" collapsed="false"/>
    <row r="801" customFormat="false" ht="12.75" hidden="false" customHeight="true" outlineLevel="0" collapsed="false">
      <c r="A801" s="1" t="s">
        <v>1212</v>
      </c>
    </row>
    <row r="802" customFormat="false" ht="12.75" hidden="false" customHeight="true" outlineLevel="0" collapsed="false">
      <c r="A802" s="1" t="s">
        <v>1440</v>
      </c>
    </row>
    <row r="803" customFormat="false" ht="12.75" hidden="false" customHeight="true" outlineLevel="0" collapsed="false">
      <c r="A803" s="1" t="s">
        <v>1446</v>
      </c>
    </row>
    <row r="804" customFormat="false" ht="12.75" hidden="false" customHeight="true" outlineLevel="0" collapsed="false">
      <c r="A804" s="1" t="s">
        <v>1447</v>
      </c>
    </row>
    <row r="805" customFormat="false" ht="12.75" hidden="false" customHeight="true" outlineLevel="0" collapsed="false">
      <c r="A805" s="1" t="s">
        <v>1448</v>
      </c>
    </row>
    <row r="806" customFormat="false" ht="12.75" hidden="false" customHeight="true" outlineLevel="0" collapsed="false">
      <c r="A806" s="1" t="s">
        <v>1449</v>
      </c>
    </row>
    <row r="807" customFormat="false" ht="12.75" hidden="false" customHeight="true" outlineLevel="0" collapsed="false">
      <c r="A807" s="1" t="s">
        <v>1450</v>
      </c>
    </row>
    <row r="808" customFormat="false" ht="12.75" hidden="false" customHeight="true" outlineLevel="0" collapsed="false">
      <c r="A808" s="1" t="s">
        <v>1451</v>
      </c>
    </row>
    <row r="809" customFormat="false" ht="12.75" hidden="false" customHeight="true" outlineLevel="0" collapsed="false">
      <c r="A809" s="1" t="s">
        <v>1452</v>
      </c>
    </row>
    <row r="810" customFormat="false" ht="12.75" hidden="false" customHeight="true" outlineLevel="0" collapsed="false"/>
    <row r="811" customFormat="false" ht="12.75" hidden="false" customHeight="true" outlineLevel="0" collapsed="false">
      <c r="A811" s="1" t="s">
        <v>1268</v>
      </c>
    </row>
    <row r="812" customFormat="false" ht="12.75" hidden="false" customHeight="true" outlineLevel="0" collapsed="false">
      <c r="A812" s="1" t="s">
        <v>1453</v>
      </c>
    </row>
    <row r="813" customFormat="false" ht="12.75" hidden="false" customHeight="true" outlineLevel="0" collapsed="false">
      <c r="A813" s="1" t="s">
        <v>1454</v>
      </c>
    </row>
    <row r="814" customFormat="false" ht="12.75" hidden="false" customHeight="true" outlineLevel="0" collapsed="false">
      <c r="A814" s="1" t="s">
        <v>1455</v>
      </c>
    </row>
    <row r="815" customFormat="false" ht="12.75" hidden="false" customHeight="true" outlineLevel="0" collapsed="false"/>
    <row r="816" customFormat="false" ht="12.75" hidden="false" customHeight="true" outlineLevel="0" collapsed="false">
      <c r="A816" s="1" t="s">
        <v>1272</v>
      </c>
    </row>
    <row r="817" customFormat="false" ht="12.75" hidden="false" customHeight="true" outlineLevel="0" collapsed="false">
      <c r="A817" s="1" t="s">
        <v>1456</v>
      </c>
    </row>
    <row r="818" customFormat="false" ht="12.75" hidden="false" customHeight="true" outlineLevel="0" collapsed="false">
      <c r="A818" s="1" t="s">
        <v>1457</v>
      </c>
    </row>
    <row r="819" customFormat="false" ht="12.75" hidden="false" customHeight="true" outlineLevel="0" collapsed="false">
      <c r="A819" s="1" t="s">
        <v>1458</v>
      </c>
    </row>
    <row r="820" customFormat="false" ht="12.75" hidden="false" customHeight="true" outlineLevel="0" collapsed="false">
      <c r="A820" s="1" t="s">
        <v>1459</v>
      </c>
    </row>
    <row r="821" customFormat="false" ht="12.75" hidden="false" customHeight="true" outlineLevel="0" collapsed="false">
      <c r="A821" s="1" t="s">
        <v>1460</v>
      </c>
    </row>
    <row r="822" customFormat="false" ht="12.75" hidden="false" customHeight="true" outlineLevel="0" collapsed="false">
      <c r="A822" s="1" t="s">
        <v>1461</v>
      </c>
    </row>
    <row r="823" customFormat="false" ht="12.75" hidden="false" customHeight="true" outlineLevel="0" collapsed="false">
      <c r="A823" s="1" t="s">
        <v>1430</v>
      </c>
    </row>
    <row r="824" customFormat="false" ht="12.75" hidden="false" customHeight="true" outlineLevel="0" collapsed="false">
      <c r="A824" s="1" t="s">
        <v>1431</v>
      </c>
    </row>
    <row r="825" customFormat="false" ht="12.75" hidden="false" customHeight="true" outlineLevel="0" collapsed="false"/>
    <row r="826" customFormat="false" ht="12.75" hidden="false" customHeight="true" outlineLevel="0" collapsed="false">
      <c r="A826" s="1" t="s">
        <v>1209</v>
      </c>
    </row>
    <row r="827" customFormat="false" ht="12.75" hidden="false" customHeight="true" outlineLevel="0" collapsed="false">
      <c r="A827" s="1" t="s">
        <v>1432</v>
      </c>
    </row>
    <row r="828" customFormat="false" ht="12.75" hidden="false" customHeight="true" outlineLevel="0" collapsed="false">
      <c r="A828" s="1" t="s">
        <v>1433</v>
      </c>
    </row>
    <row r="829" customFormat="false" ht="12.75" hidden="false" customHeight="true" outlineLevel="0" collapsed="false">
      <c r="A829" s="1" t="s">
        <v>1434</v>
      </c>
    </row>
    <row r="830" customFormat="false" ht="12.75" hidden="false" customHeight="true" outlineLevel="0" collapsed="false">
      <c r="A830" s="1" t="s">
        <v>1435</v>
      </c>
    </row>
    <row r="831" customFormat="false" ht="12.75" hidden="false" customHeight="true" outlineLevel="0" collapsed="false"/>
    <row r="832" customFormat="false" ht="12.75" hidden="false" customHeight="true" outlineLevel="0" collapsed="false">
      <c r="A832" s="1" t="s">
        <v>1210</v>
      </c>
    </row>
    <row r="833" customFormat="false" ht="12.75" hidden="false" customHeight="true" outlineLevel="0" collapsed="false">
      <c r="A833" s="1" t="s">
        <v>1436</v>
      </c>
    </row>
    <row r="834" customFormat="false" ht="12.75" hidden="false" customHeight="true" outlineLevel="0" collapsed="false">
      <c r="A834" s="1" t="s">
        <v>1437</v>
      </c>
    </row>
    <row r="835" customFormat="false" ht="12.75" hidden="false" customHeight="true" outlineLevel="0" collapsed="false"/>
    <row r="836" customFormat="false" ht="12.75" hidden="false" customHeight="true" outlineLevel="0" collapsed="false">
      <c r="A836" s="1" t="s">
        <v>1211</v>
      </c>
    </row>
    <row r="837" customFormat="false" ht="12.75" hidden="false" customHeight="true" outlineLevel="0" collapsed="false">
      <c r="A837" s="1" t="s">
        <v>1438</v>
      </c>
    </row>
    <row r="838" customFormat="false" ht="12.75" hidden="false" customHeight="true" outlineLevel="0" collapsed="false">
      <c r="A838" s="1" t="s">
        <v>1439</v>
      </c>
    </row>
    <row r="839" customFormat="false" ht="12.75" hidden="false" customHeight="true" outlineLevel="0" collapsed="false"/>
    <row r="840" customFormat="false" ht="12.75" hidden="false" customHeight="true" outlineLevel="0" collapsed="false">
      <c r="A840" s="1" t="s">
        <v>1212</v>
      </c>
    </row>
    <row r="841" customFormat="false" ht="12.75" hidden="false" customHeight="true" outlineLevel="0" collapsed="false">
      <c r="A841" s="1" t="s">
        <v>1440</v>
      </c>
    </row>
    <row r="842" customFormat="false" ht="12.75" hidden="false" customHeight="true" outlineLevel="0" collapsed="false">
      <c r="A842" s="1" t="s">
        <v>1446</v>
      </c>
    </row>
    <row r="843" customFormat="false" ht="12.75" hidden="false" customHeight="true" outlineLevel="0" collapsed="false">
      <c r="A843" s="1" t="s">
        <v>1447</v>
      </c>
    </row>
    <row r="844" customFormat="false" ht="12.75" hidden="false" customHeight="true" outlineLevel="0" collapsed="false">
      <c r="A844" s="1" t="s">
        <v>1448</v>
      </c>
    </row>
    <row r="845" customFormat="false" ht="12.75" hidden="false" customHeight="true" outlineLevel="0" collapsed="false">
      <c r="A845" s="1" t="s">
        <v>1449</v>
      </c>
    </row>
    <row r="846" customFormat="false" ht="12.75" hidden="false" customHeight="true" outlineLevel="0" collapsed="false">
      <c r="A846" s="1" t="s">
        <v>1450</v>
      </c>
    </row>
    <row r="847" customFormat="false" ht="12.75" hidden="false" customHeight="true" outlineLevel="0" collapsed="false">
      <c r="A847" s="1" t="s">
        <v>1451</v>
      </c>
    </row>
    <row r="848" customFormat="false" ht="12.75" hidden="false" customHeight="true" outlineLevel="0" collapsed="false">
      <c r="A848" s="1" t="s">
        <v>1452</v>
      </c>
    </row>
    <row r="849" customFormat="false" ht="12.75" hidden="false" customHeight="true" outlineLevel="0" collapsed="false"/>
    <row r="850" customFormat="false" ht="12.75" hidden="false" customHeight="true" outlineLevel="0" collapsed="false">
      <c r="A850" s="1" t="s">
        <v>1268</v>
      </c>
    </row>
    <row r="851" customFormat="false" ht="12.75" hidden="false" customHeight="true" outlineLevel="0" collapsed="false">
      <c r="A851" s="1" t="s">
        <v>1453</v>
      </c>
    </row>
    <row r="852" customFormat="false" ht="12.75" hidden="false" customHeight="true" outlineLevel="0" collapsed="false">
      <c r="A852" s="1" t="s">
        <v>1454</v>
      </c>
    </row>
    <row r="853" customFormat="false" ht="12.75" hidden="false" customHeight="true" outlineLevel="0" collapsed="false">
      <c r="A853" s="1" t="s">
        <v>1455</v>
      </c>
    </row>
    <row r="854" customFormat="false" ht="12.75" hidden="false" customHeight="true" outlineLevel="0" collapsed="false"/>
    <row r="855" customFormat="false" ht="12.75" hidden="false" customHeight="true" outlineLevel="0" collapsed="false">
      <c r="A855" s="1" t="s">
        <v>1272</v>
      </c>
    </row>
    <row r="856" customFormat="false" ht="12.75" hidden="false" customHeight="true" outlineLevel="0" collapsed="false">
      <c r="A856" s="1" t="s">
        <v>1456</v>
      </c>
    </row>
    <row r="857" customFormat="false" ht="12.75" hidden="false" customHeight="true" outlineLevel="0" collapsed="false">
      <c r="A857" s="1" t="s">
        <v>1457</v>
      </c>
    </row>
    <row r="858" customFormat="false" ht="12.75" hidden="false" customHeight="true" outlineLevel="0" collapsed="false">
      <c r="A858" s="1" t="s">
        <v>1458</v>
      </c>
    </row>
    <row r="859" customFormat="false" ht="12.75" hidden="false" customHeight="true" outlineLevel="0" collapsed="false">
      <c r="A859" s="1" t="s">
        <v>1459</v>
      </c>
    </row>
    <row r="860" customFormat="false" ht="12.75" hidden="false" customHeight="true" outlineLevel="0" collapsed="false">
      <c r="A860" s="1" t="s">
        <v>1460</v>
      </c>
    </row>
    <row r="861" customFormat="false" ht="12.75" hidden="false" customHeight="true" outlineLevel="0" collapsed="false">
      <c r="A861" s="1" t="s">
        <v>1462</v>
      </c>
    </row>
    <row r="862" customFormat="false" ht="12.75" hidden="false" customHeight="true" outlineLevel="0" collapsed="false">
      <c r="A862" s="1" t="s">
        <v>1463</v>
      </c>
    </row>
    <row r="863" customFormat="false" ht="12.75" hidden="false" customHeight="true" outlineLevel="0" collapsed="false">
      <c r="A863" s="1" t="s">
        <v>1464</v>
      </c>
    </row>
    <row r="864" customFormat="false" ht="12.75" hidden="false" customHeight="true" outlineLevel="0" collapsed="false"/>
    <row r="865" customFormat="false" ht="12.75" hidden="false" customHeight="true" outlineLevel="0" collapsed="false">
      <c r="A865" s="1" t="s">
        <v>1209</v>
      </c>
    </row>
    <row r="866" customFormat="false" ht="12.75" hidden="false" customHeight="true" outlineLevel="0" collapsed="false">
      <c r="A866" s="1" t="s">
        <v>1465</v>
      </c>
    </row>
    <row r="867" customFormat="false" ht="12.75" hidden="false" customHeight="true" outlineLevel="0" collapsed="false">
      <c r="A867" s="1" t="s">
        <v>1466</v>
      </c>
    </row>
    <row r="868" customFormat="false" ht="12.75" hidden="false" customHeight="true" outlineLevel="0" collapsed="false">
      <c r="A868" s="1" t="s">
        <v>1467</v>
      </c>
    </row>
    <row r="869" customFormat="false" ht="12.75" hidden="false" customHeight="true" outlineLevel="0" collapsed="false">
      <c r="A869" s="1" t="s">
        <v>1468</v>
      </c>
    </row>
    <row r="870" customFormat="false" ht="12.75" hidden="false" customHeight="true" outlineLevel="0" collapsed="false"/>
    <row r="871" customFormat="false" ht="12.75" hidden="false" customHeight="true" outlineLevel="0" collapsed="false">
      <c r="A871" s="1" t="s">
        <v>1210</v>
      </c>
    </row>
    <row r="872" customFormat="false" ht="12.75" hidden="false" customHeight="true" outlineLevel="0" collapsed="false">
      <c r="A872" s="1" t="s">
        <v>1469</v>
      </c>
    </row>
    <row r="873" customFormat="false" ht="12.75" hidden="false" customHeight="true" outlineLevel="0" collapsed="false">
      <c r="A873" s="1" t="s">
        <v>1470</v>
      </c>
    </row>
    <row r="874" customFormat="false" ht="12.75" hidden="false" customHeight="true" outlineLevel="0" collapsed="false"/>
    <row r="875" customFormat="false" ht="12.75" hidden="false" customHeight="true" outlineLevel="0" collapsed="false">
      <c r="A875" s="1" t="s">
        <v>1211</v>
      </c>
    </row>
    <row r="876" customFormat="false" ht="12.75" hidden="false" customHeight="true" outlineLevel="0" collapsed="false">
      <c r="A876" s="1" t="s">
        <v>1471</v>
      </c>
    </row>
    <row r="877" customFormat="false" ht="12.75" hidden="false" customHeight="true" outlineLevel="0" collapsed="false">
      <c r="A877" s="1" t="s">
        <v>1472</v>
      </c>
    </row>
    <row r="878" customFormat="false" ht="12.75" hidden="false" customHeight="true" outlineLevel="0" collapsed="false"/>
    <row r="879" customFormat="false" ht="12.75" hidden="false" customHeight="true" outlineLevel="0" collapsed="false">
      <c r="A879" s="1" t="s">
        <v>1212</v>
      </c>
    </row>
    <row r="880" customFormat="false" ht="12.75" hidden="false" customHeight="true" outlineLevel="0" collapsed="false">
      <c r="A880" s="1" t="s">
        <v>1473</v>
      </c>
    </row>
    <row r="881" customFormat="false" ht="12.75" hidden="false" customHeight="true" outlineLevel="0" collapsed="false">
      <c r="A881" s="1" t="s">
        <v>1474</v>
      </c>
    </row>
    <row r="882" customFormat="false" ht="12.75" hidden="false" customHeight="true" outlineLevel="0" collapsed="false">
      <c r="A882" s="1" t="s">
        <v>1475</v>
      </c>
    </row>
    <row r="883" customFormat="false" ht="12.75" hidden="false" customHeight="true" outlineLevel="0" collapsed="false">
      <c r="A883" s="1" t="s">
        <v>1463</v>
      </c>
    </row>
    <row r="884" customFormat="false" ht="12.75" hidden="false" customHeight="true" outlineLevel="0" collapsed="false">
      <c r="A884" s="1" t="s">
        <v>1464</v>
      </c>
    </row>
    <row r="885" customFormat="false" ht="12.75" hidden="false" customHeight="true" outlineLevel="0" collapsed="false"/>
    <row r="886" customFormat="false" ht="12.75" hidden="false" customHeight="true" outlineLevel="0" collapsed="false">
      <c r="A886" s="1" t="s">
        <v>1209</v>
      </c>
    </row>
    <row r="887" customFormat="false" ht="12.75" hidden="false" customHeight="true" outlineLevel="0" collapsed="false">
      <c r="A887" s="1" t="s">
        <v>1465</v>
      </c>
    </row>
    <row r="888" customFormat="false" ht="12.75" hidden="false" customHeight="true" outlineLevel="0" collapsed="false">
      <c r="A888" s="1" t="s">
        <v>1466</v>
      </c>
    </row>
    <row r="889" customFormat="false" ht="12.75" hidden="false" customHeight="true" outlineLevel="0" collapsed="false">
      <c r="A889" s="1" t="s">
        <v>1467</v>
      </c>
    </row>
    <row r="890" customFormat="false" ht="12.75" hidden="false" customHeight="true" outlineLevel="0" collapsed="false">
      <c r="A890" s="1" t="s">
        <v>1468</v>
      </c>
    </row>
    <row r="891" customFormat="false" ht="12.75" hidden="false" customHeight="true" outlineLevel="0" collapsed="false"/>
    <row r="892" customFormat="false" ht="12.75" hidden="false" customHeight="true" outlineLevel="0" collapsed="false">
      <c r="A892" s="1" t="s">
        <v>1210</v>
      </c>
    </row>
    <row r="893" customFormat="false" ht="12.75" hidden="false" customHeight="true" outlineLevel="0" collapsed="false">
      <c r="A893" s="1" t="s">
        <v>1469</v>
      </c>
    </row>
    <row r="894" customFormat="false" ht="12.75" hidden="false" customHeight="true" outlineLevel="0" collapsed="false">
      <c r="A894" s="1" t="s">
        <v>1470</v>
      </c>
    </row>
    <row r="895" customFormat="false" ht="12.75" hidden="false" customHeight="true" outlineLevel="0" collapsed="false"/>
    <row r="896" customFormat="false" ht="12.75" hidden="false" customHeight="true" outlineLevel="0" collapsed="false">
      <c r="A896" s="1" t="s">
        <v>1211</v>
      </c>
    </row>
    <row r="897" customFormat="false" ht="12.75" hidden="false" customHeight="true" outlineLevel="0" collapsed="false">
      <c r="A897" s="1" t="s">
        <v>1471</v>
      </c>
    </row>
    <row r="898" customFormat="false" ht="12.75" hidden="false" customHeight="true" outlineLevel="0" collapsed="false">
      <c r="A898" s="1" t="s">
        <v>1472</v>
      </c>
    </row>
    <row r="899" customFormat="false" ht="12.75" hidden="false" customHeight="true" outlineLevel="0" collapsed="false"/>
    <row r="900" customFormat="false" ht="12.75" hidden="false" customHeight="true" outlineLevel="0" collapsed="false">
      <c r="A900" s="1" t="s">
        <v>1212</v>
      </c>
    </row>
    <row r="901" customFormat="false" ht="12.75" hidden="false" customHeight="true" outlineLevel="0" collapsed="false">
      <c r="A901" s="1" t="s">
        <v>1473</v>
      </c>
    </row>
    <row r="902" customFormat="false" ht="12.75" hidden="false" customHeight="true" outlineLevel="0" collapsed="false">
      <c r="A902" s="1" t="s">
        <v>1474</v>
      </c>
    </row>
    <row r="903" customFormat="false" ht="12.75" hidden="false" customHeight="true" outlineLevel="0" collapsed="false">
      <c r="A903" s="1" t="s">
        <v>1476</v>
      </c>
    </row>
    <row r="904" customFormat="false" ht="12.75" hidden="false" customHeight="true" outlineLevel="0" collapsed="false">
      <c r="A904" s="1" t="s">
        <v>1463</v>
      </c>
    </row>
    <row r="905" customFormat="false" ht="12.75" hidden="false" customHeight="true" outlineLevel="0" collapsed="false">
      <c r="A905" s="1" t="s">
        <v>1464</v>
      </c>
    </row>
    <row r="906" customFormat="false" ht="12.75" hidden="false" customHeight="true" outlineLevel="0" collapsed="false"/>
    <row r="907" customFormat="false" ht="12.75" hidden="false" customHeight="true" outlineLevel="0" collapsed="false">
      <c r="A907" s="1" t="s">
        <v>1209</v>
      </c>
    </row>
    <row r="908" customFormat="false" ht="12.75" hidden="false" customHeight="true" outlineLevel="0" collapsed="false">
      <c r="A908" s="1" t="s">
        <v>1465</v>
      </c>
    </row>
    <row r="909" customFormat="false" ht="12.75" hidden="false" customHeight="true" outlineLevel="0" collapsed="false">
      <c r="A909" s="1" t="s">
        <v>1466</v>
      </c>
    </row>
    <row r="910" customFormat="false" ht="12.75" hidden="false" customHeight="true" outlineLevel="0" collapsed="false">
      <c r="A910" s="1" t="s">
        <v>1467</v>
      </c>
    </row>
    <row r="911" customFormat="false" ht="12.75" hidden="false" customHeight="true" outlineLevel="0" collapsed="false">
      <c r="A911" s="1" t="s">
        <v>1468</v>
      </c>
    </row>
    <row r="912" customFormat="false" ht="12.75" hidden="false" customHeight="true" outlineLevel="0" collapsed="false"/>
    <row r="913" customFormat="false" ht="12.75" hidden="false" customHeight="true" outlineLevel="0" collapsed="false">
      <c r="A913" s="1" t="s">
        <v>1210</v>
      </c>
    </row>
    <row r="914" customFormat="false" ht="12.75" hidden="false" customHeight="true" outlineLevel="0" collapsed="false">
      <c r="A914" s="1" t="s">
        <v>1469</v>
      </c>
    </row>
    <row r="915" customFormat="false" ht="12.75" hidden="false" customHeight="true" outlineLevel="0" collapsed="false">
      <c r="A915" s="1" t="s">
        <v>1470</v>
      </c>
    </row>
    <row r="916" customFormat="false" ht="12.75" hidden="false" customHeight="true" outlineLevel="0" collapsed="false"/>
    <row r="917" customFormat="false" ht="12.75" hidden="false" customHeight="true" outlineLevel="0" collapsed="false">
      <c r="A917" s="1" t="s">
        <v>1211</v>
      </c>
    </row>
    <row r="918" customFormat="false" ht="12.75" hidden="false" customHeight="true" outlineLevel="0" collapsed="false">
      <c r="A918" s="1" t="s">
        <v>1471</v>
      </c>
    </row>
    <row r="919" customFormat="false" ht="12.75" hidden="false" customHeight="true" outlineLevel="0" collapsed="false">
      <c r="A919" s="1" t="s">
        <v>1472</v>
      </c>
    </row>
    <row r="920" customFormat="false" ht="12.75" hidden="false" customHeight="true" outlineLevel="0" collapsed="false"/>
    <row r="921" customFormat="false" ht="12.75" hidden="false" customHeight="true" outlineLevel="0" collapsed="false">
      <c r="A921" s="1" t="s">
        <v>1212</v>
      </c>
    </row>
    <row r="922" customFormat="false" ht="12.75" hidden="false" customHeight="true" outlineLevel="0" collapsed="false">
      <c r="A922" s="1" t="s">
        <v>1473</v>
      </c>
    </row>
    <row r="923" customFormat="false" ht="12.75" hidden="false" customHeight="true" outlineLevel="0" collapsed="false">
      <c r="A923" s="1" t="s">
        <v>1474</v>
      </c>
    </row>
    <row r="924" customFormat="false" ht="12.75" hidden="false" customHeight="true" outlineLevel="0" collapsed="false">
      <c r="A924" s="1" t="s">
        <v>1477</v>
      </c>
    </row>
    <row r="925" customFormat="false" ht="12.75" hidden="false" customHeight="true" outlineLevel="0" collapsed="false">
      <c r="A925" s="1" t="s">
        <v>1463</v>
      </c>
    </row>
    <row r="926" customFormat="false" ht="12.75" hidden="false" customHeight="true" outlineLevel="0" collapsed="false">
      <c r="A926" s="1" t="s">
        <v>1464</v>
      </c>
    </row>
    <row r="927" customFormat="false" ht="12.75" hidden="false" customHeight="true" outlineLevel="0" collapsed="false"/>
    <row r="928" customFormat="false" ht="12.75" hidden="false" customHeight="true" outlineLevel="0" collapsed="false">
      <c r="A928" s="1" t="s">
        <v>1209</v>
      </c>
    </row>
    <row r="929" customFormat="false" ht="12.75" hidden="false" customHeight="true" outlineLevel="0" collapsed="false">
      <c r="A929" s="1" t="s">
        <v>1465</v>
      </c>
    </row>
    <row r="930" customFormat="false" ht="12.75" hidden="false" customHeight="true" outlineLevel="0" collapsed="false">
      <c r="A930" s="1" t="s">
        <v>1466</v>
      </c>
    </row>
    <row r="931" customFormat="false" ht="12.75" hidden="false" customHeight="true" outlineLevel="0" collapsed="false">
      <c r="A931" s="1" t="s">
        <v>1467</v>
      </c>
    </row>
    <row r="932" customFormat="false" ht="12.75" hidden="false" customHeight="true" outlineLevel="0" collapsed="false">
      <c r="A932" s="1" t="s">
        <v>1468</v>
      </c>
    </row>
    <row r="933" customFormat="false" ht="12.75" hidden="false" customHeight="true" outlineLevel="0" collapsed="false"/>
    <row r="934" customFormat="false" ht="12.75" hidden="false" customHeight="true" outlineLevel="0" collapsed="false">
      <c r="A934" s="1" t="s">
        <v>1210</v>
      </c>
    </row>
    <row r="935" customFormat="false" ht="12.75" hidden="false" customHeight="true" outlineLevel="0" collapsed="false">
      <c r="A935" s="1" t="s">
        <v>1469</v>
      </c>
    </row>
    <row r="936" customFormat="false" ht="12.75" hidden="false" customHeight="true" outlineLevel="0" collapsed="false">
      <c r="A936" s="1" t="s">
        <v>1470</v>
      </c>
    </row>
    <row r="937" customFormat="false" ht="12.75" hidden="false" customHeight="true" outlineLevel="0" collapsed="false"/>
    <row r="938" customFormat="false" ht="12.75" hidden="false" customHeight="true" outlineLevel="0" collapsed="false">
      <c r="A938" s="1" t="s">
        <v>1211</v>
      </c>
    </row>
    <row r="939" customFormat="false" ht="12.75" hidden="false" customHeight="true" outlineLevel="0" collapsed="false">
      <c r="A939" s="1" t="s">
        <v>1471</v>
      </c>
    </row>
    <row r="940" customFormat="false" ht="12.75" hidden="false" customHeight="true" outlineLevel="0" collapsed="false">
      <c r="A940" s="1" t="s">
        <v>1472</v>
      </c>
    </row>
    <row r="941" customFormat="false" ht="12.75" hidden="false" customHeight="true" outlineLevel="0" collapsed="false"/>
    <row r="942" customFormat="false" ht="12.75" hidden="false" customHeight="true" outlineLevel="0" collapsed="false">
      <c r="A942" s="1" t="s">
        <v>1212</v>
      </c>
    </row>
    <row r="943" customFormat="false" ht="12.75" hidden="false" customHeight="true" outlineLevel="0" collapsed="false">
      <c r="A943" s="1" t="s">
        <v>1473</v>
      </c>
    </row>
    <row r="944" customFormat="false" ht="12.75" hidden="false" customHeight="true" outlineLevel="0" collapsed="false">
      <c r="A944" s="1" t="s">
        <v>1474</v>
      </c>
    </row>
    <row r="945" customFormat="false" ht="12.75" hidden="false" customHeight="true" outlineLevel="0" collapsed="false">
      <c r="A945" s="1" t="s">
        <v>1478</v>
      </c>
    </row>
    <row r="946" customFormat="false" ht="12.75" hidden="false" customHeight="true" outlineLevel="0" collapsed="false">
      <c r="A946" s="1" t="s">
        <v>1463</v>
      </c>
    </row>
    <row r="947" customFormat="false" ht="12.75" hidden="false" customHeight="true" outlineLevel="0" collapsed="false">
      <c r="A947" s="1" t="s">
        <v>1464</v>
      </c>
    </row>
    <row r="948" customFormat="false" ht="12.75" hidden="false" customHeight="true" outlineLevel="0" collapsed="false"/>
    <row r="949" customFormat="false" ht="12.75" hidden="false" customHeight="true" outlineLevel="0" collapsed="false">
      <c r="A949" s="1" t="s">
        <v>1209</v>
      </c>
    </row>
    <row r="950" customFormat="false" ht="12.75" hidden="false" customHeight="true" outlineLevel="0" collapsed="false">
      <c r="A950" s="1" t="s">
        <v>1465</v>
      </c>
    </row>
    <row r="951" customFormat="false" ht="12.75" hidden="false" customHeight="true" outlineLevel="0" collapsed="false">
      <c r="A951" s="1" t="s">
        <v>1466</v>
      </c>
    </row>
    <row r="952" customFormat="false" ht="12.75" hidden="false" customHeight="true" outlineLevel="0" collapsed="false">
      <c r="A952" s="1" t="s">
        <v>1467</v>
      </c>
    </row>
    <row r="953" customFormat="false" ht="12.75" hidden="false" customHeight="true" outlineLevel="0" collapsed="false">
      <c r="A953" s="1" t="s">
        <v>1468</v>
      </c>
    </row>
    <row r="954" customFormat="false" ht="12.75" hidden="false" customHeight="true" outlineLevel="0" collapsed="false"/>
    <row r="955" customFormat="false" ht="12.75" hidden="false" customHeight="true" outlineLevel="0" collapsed="false">
      <c r="A955" s="1" t="s">
        <v>1210</v>
      </c>
    </row>
    <row r="956" customFormat="false" ht="12.75" hidden="false" customHeight="true" outlineLevel="0" collapsed="false">
      <c r="A956" s="1" t="s">
        <v>1469</v>
      </c>
    </row>
    <row r="957" customFormat="false" ht="12.75" hidden="false" customHeight="true" outlineLevel="0" collapsed="false">
      <c r="A957" s="1" t="s">
        <v>1470</v>
      </c>
    </row>
    <row r="958" customFormat="false" ht="12.75" hidden="false" customHeight="true" outlineLevel="0" collapsed="false"/>
    <row r="959" customFormat="false" ht="12.75" hidden="false" customHeight="true" outlineLevel="0" collapsed="false">
      <c r="A959" s="1" t="s">
        <v>1211</v>
      </c>
    </row>
    <row r="960" customFormat="false" ht="12.75" hidden="false" customHeight="true" outlineLevel="0" collapsed="false">
      <c r="A960" s="1" t="s">
        <v>1471</v>
      </c>
    </row>
    <row r="961" customFormat="false" ht="12.75" hidden="false" customHeight="true" outlineLevel="0" collapsed="false">
      <c r="A961" s="1" t="s">
        <v>1472</v>
      </c>
    </row>
    <row r="962" customFormat="false" ht="12.75" hidden="false" customHeight="true" outlineLevel="0" collapsed="false"/>
    <row r="963" customFormat="false" ht="12.75" hidden="false" customHeight="true" outlineLevel="0" collapsed="false">
      <c r="A963" s="1" t="s">
        <v>1212</v>
      </c>
    </row>
    <row r="964" customFormat="false" ht="12.75" hidden="false" customHeight="true" outlineLevel="0" collapsed="false">
      <c r="A964" s="1" t="s">
        <v>1479</v>
      </c>
    </row>
    <row r="965" customFormat="false" ht="12.75" hidden="false" customHeight="true" outlineLevel="0" collapsed="false">
      <c r="A965" s="1" t="s">
        <v>1474</v>
      </c>
    </row>
    <row r="966" customFormat="false" ht="12.75" hidden="false" customHeight="true" outlineLevel="0" collapsed="false">
      <c r="A966" s="1" t="s">
        <v>1480</v>
      </c>
    </row>
    <row r="967" customFormat="false" ht="12.75" hidden="false" customHeight="true" outlineLevel="0" collapsed="false">
      <c r="A967" s="1" t="s">
        <v>1481</v>
      </c>
    </row>
    <row r="968" customFormat="false" ht="12.75" hidden="false" customHeight="true" outlineLevel="0" collapsed="false">
      <c r="A968" s="1" t="s">
        <v>1482</v>
      </c>
    </row>
    <row r="969" customFormat="false" ht="12.75" hidden="false" customHeight="true" outlineLevel="0" collapsed="false"/>
    <row r="970" customFormat="false" ht="12.75" hidden="false" customHeight="true" outlineLevel="0" collapsed="false">
      <c r="A970" s="1" t="s">
        <v>1209</v>
      </c>
    </row>
    <row r="971" customFormat="false" ht="12.75" hidden="false" customHeight="true" outlineLevel="0" collapsed="false">
      <c r="A971" s="1" t="s">
        <v>1483</v>
      </c>
    </row>
    <row r="972" customFormat="false" ht="12.75" hidden="false" customHeight="true" outlineLevel="0" collapsed="false">
      <c r="A972" s="1" t="s">
        <v>1484</v>
      </c>
    </row>
    <row r="973" customFormat="false" ht="12.75" hidden="false" customHeight="true" outlineLevel="0" collapsed="false">
      <c r="A973" s="1" t="s">
        <v>1485</v>
      </c>
    </row>
    <row r="974" customFormat="false" ht="12.75" hidden="false" customHeight="true" outlineLevel="0" collapsed="false">
      <c r="A974" s="1" t="s">
        <v>1486</v>
      </c>
    </row>
    <row r="975" customFormat="false" ht="12.75" hidden="false" customHeight="true" outlineLevel="0" collapsed="false"/>
    <row r="976" customFormat="false" ht="12.75" hidden="false" customHeight="true" outlineLevel="0" collapsed="false">
      <c r="A976" s="1" t="s">
        <v>1210</v>
      </c>
    </row>
    <row r="977" customFormat="false" ht="12.75" hidden="false" customHeight="true" outlineLevel="0" collapsed="false">
      <c r="A977" s="1" t="s">
        <v>1487</v>
      </c>
    </row>
    <row r="978" customFormat="false" ht="12.75" hidden="false" customHeight="true" outlineLevel="0" collapsed="false">
      <c r="A978" s="1" t="s">
        <v>1488</v>
      </c>
    </row>
    <row r="979" customFormat="false" ht="12.75" hidden="false" customHeight="true" outlineLevel="0" collapsed="false"/>
    <row r="980" customFormat="false" ht="12.75" hidden="false" customHeight="true" outlineLevel="0" collapsed="false">
      <c r="A980" s="1" t="s">
        <v>1211</v>
      </c>
    </row>
    <row r="981" customFormat="false" ht="12.75" hidden="false" customHeight="true" outlineLevel="0" collapsed="false">
      <c r="A981" s="1" t="s">
        <v>1489</v>
      </c>
    </row>
    <row r="982" customFormat="false" ht="12.75" hidden="false" customHeight="true" outlineLevel="0" collapsed="false">
      <c r="A982" s="1" t="s">
        <v>1490</v>
      </c>
    </row>
    <row r="983" customFormat="false" ht="12.75" hidden="false" customHeight="true" outlineLevel="0" collapsed="false"/>
    <row r="984" customFormat="false" ht="12.75" hidden="false" customHeight="true" outlineLevel="0" collapsed="false">
      <c r="A984" s="1" t="s">
        <v>1212</v>
      </c>
    </row>
    <row r="985" customFormat="false" ht="12.75" hidden="false" customHeight="true" outlineLevel="0" collapsed="false">
      <c r="A985" s="1" t="s">
        <v>1491</v>
      </c>
    </row>
    <row r="986" customFormat="false" ht="12.75" hidden="false" customHeight="true" outlineLevel="0" collapsed="false">
      <c r="A986" s="1" t="s">
        <v>1492</v>
      </c>
    </row>
    <row r="987" customFormat="false" ht="12.75" hidden="false" customHeight="true" outlineLevel="0" collapsed="false">
      <c r="A987" s="1" t="s">
        <v>1493</v>
      </c>
    </row>
    <row r="988" customFormat="false" ht="12.75" hidden="false" customHeight="true" outlineLevel="0" collapsed="false">
      <c r="A988" s="1" t="s">
        <v>1494</v>
      </c>
    </row>
    <row r="989" customFormat="false" ht="12.75" hidden="false" customHeight="true" outlineLevel="0" collapsed="false">
      <c r="A989" s="1" t="s">
        <v>1495</v>
      </c>
    </row>
    <row r="990" customFormat="false" ht="12.75" hidden="false" customHeight="true" outlineLevel="0" collapsed="false"/>
    <row r="991" customFormat="false" ht="12.75" hidden="false" customHeight="true" outlineLevel="0" collapsed="false">
      <c r="A991" s="1" t="s">
        <v>1209</v>
      </c>
    </row>
    <row r="992" customFormat="false" ht="12.75" hidden="false" customHeight="true" outlineLevel="0" collapsed="false">
      <c r="A992" s="1" t="s">
        <v>1496</v>
      </c>
    </row>
    <row r="993" customFormat="false" ht="12.75" hidden="false" customHeight="true" outlineLevel="0" collapsed="false">
      <c r="A993" s="1" t="s">
        <v>1497</v>
      </c>
    </row>
    <row r="994" customFormat="false" ht="12.75" hidden="false" customHeight="true" outlineLevel="0" collapsed="false">
      <c r="A994" s="1" t="s">
        <v>1498</v>
      </c>
    </row>
    <row r="995" customFormat="false" ht="12.75" hidden="false" customHeight="true" outlineLevel="0" collapsed="false">
      <c r="A995" s="1" t="s">
        <v>1499</v>
      </c>
    </row>
    <row r="996" customFormat="false" ht="12.75" hidden="false" customHeight="true" outlineLevel="0" collapsed="false"/>
    <row r="997" customFormat="false" ht="12.75" hidden="false" customHeight="true" outlineLevel="0" collapsed="false">
      <c r="A997" s="1" t="s">
        <v>1210</v>
      </c>
    </row>
    <row r="998" customFormat="false" ht="12.75" hidden="false" customHeight="true" outlineLevel="0" collapsed="false">
      <c r="A998" s="1" t="s">
        <v>1500</v>
      </c>
    </row>
    <row r="999" customFormat="false" ht="12.75" hidden="false" customHeight="true" outlineLevel="0" collapsed="false">
      <c r="A999" s="1" t="s">
        <v>1501</v>
      </c>
    </row>
    <row r="1000" customFormat="false" ht="12.75" hidden="false" customHeight="true" outlineLevel="0" collapsed="false"/>
    <row r="1001" customFormat="false" ht="12.75" hidden="false" customHeight="true" outlineLevel="0" collapsed="false">
      <c r="A1001" s="1" t="s">
        <v>1211</v>
      </c>
    </row>
    <row r="1002" customFormat="false" ht="12.75" hidden="false" customHeight="true" outlineLevel="0" collapsed="false">
      <c r="A1002" s="1" t="s">
        <v>1502</v>
      </c>
    </row>
    <row r="1003" customFormat="false" ht="12.75" hidden="false" customHeight="true" outlineLevel="0" collapsed="false">
      <c r="A1003" s="1" t="s">
        <v>1503</v>
      </c>
    </row>
    <row r="1004" customFormat="false" ht="12.75" hidden="false" customHeight="true" outlineLevel="0" collapsed="false"/>
    <row r="1005" customFormat="false" ht="12.75" hidden="false" customHeight="true" outlineLevel="0" collapsed="false">
      <c r="A1005" s="1" t="s">
        <v>1212</v>
      </c>
    </row>
    <row r="1006" customFormat="false" ht="12.75" hidden="false" customHeight="true" outlineLevel="0" collapsed="false">
      <c r="A1006" s="1" t="s">
        <v>1504</v>
      </c>
    </row>
    <row r="1007" customFormat="false" ht="12.75" hidden="false" customHeight="true" outlineLevel="0" collapsed="false">
      <c r="A1007" s="1" t="s">
        <v>1505</v>
      </c>
    </row>
    <row r="1008" customFormat="false" ht="12.75" hidden="false" customHeight="true" outlineLevel="0" collapsed="false">
      <c r="A1008" s="1" t="s">
        <v>1425</v>
      </c>
    </row>
    <row r="1009" customFormat="false" ht="12.75" hidden="false" customHeight="true" outlineLevel="0" collapsed="false">
      <c r="A1009" s="1" t="s">
        <v>1426</v>
      </c>
    </row>
    <row r="1010" customFormat="false" ht="12.75" hidden="false" customHeight="true" outlineLevel="0" collapsed="false">
      <c r="A1010" s="1" t="s">
        <v>1427</v>
      </c>
    </row>
    <row r="1011" customFormat="false" ht="12.75" hidden="false" customHeight="true" outlineLevel="0" collapsed="false">
      <c r="A1011" s="1" t="s">
        <v>1428</v>
      </c>
    </row>
    <row r="1012" customFormat="false" ht="12.75" hidden="false" customHeight="true" outlineLevel="0" collapsed="false">
      <c r="A1012" s="1" t="s">
        <v>1506</v>
      </c>
    </row>
    <row r="1013" customFormat="false" ht="12.75" hidden="false" customHeight="true" outlineLevel="0" collapsed="false">
      <c r="A1013" s="1" t="s">
        <v>1507</v>
      </c>
    </row>
    <row r="1014" customFormat="false" ht="12.75" hidden="false" customHeight="true" outlineLevel="0" collapsed="false">
      <c r="A1014" s="1" t="s">
        <v>1498</v>
      </c>
    </row>
    <row r="1015" customFormat="false" ht="12.75" hidden="false" customHeight="true" outlineLevel="0" collapsed="false"/>
    <row r="1016" customFormat="false" ht="12.75" hidden="false" customHeight="true" outlineLevel="0" collapsed="false">
      <c r="A1016" s="1" t="s">
        <v>1209</v>
      </c>
    </row>
    <row r="1017" customFormat="false" ht="12.75" hidden="false" customHeight="true" outlineLevel="0" collapsed="false">
      <c r="A1017" s="1" t="s">
        <v>1508</v>
      </c>
    </row>
    <row r="1018" customFormat="false" ht="12.75" hidden="false" customHeight="true" outlineLevel="0" collapsed="false">
      <c r="A1018" s="1" t="s">
        <v>1509</v>
      </c>
    </row>
    <row r="1019" customFormat="false" ht="12.75" hidden="false" customHeight="true" outlineLevel="0" collapsed="false">
      <c r="A1019" s="1" t="s">
        <v>1510</v>
      </c>
    </row>
    <row r="1020" customFormat="false" ht="12.75" hidden="false" customHeight="true" outlineLevel="0" collapsed="false">
      <c r="A1020" s="1" t="s">
        <v>1511</v>
      </c>
    </row>
    <row r="1021" customFormat="false" ht="12.75" hidden="false" customHeight="true" outlineLevel="0" collapsed="false"/>
    <row r="1022" customFormat="false" ht="12.75" hidden="false" customHeight="true" outlineLevel="0" collapsed="false">
      <c r="A1022" s="1" t="s">
        <v>1210</v>
      </c>
    </row>
    <row r="1023" customFormat="false" ht="12.75" hidden="false" customHeight="true" outlineLevel="0" collapsed="false">
      <c r="A1023" s="1" t="s">
        <v>1512</v>
      </c>
    </row>
    <row r="1024" customFormat="false" ht="12.75" hidden="false" customHeight="true" outlineLevel="0" collapsed="false">
      <c r="A1024" s="1" t="s">
        <v>1513</v>
      </c>
    </row>
    <row r="1025" customFormat="false" ht="12.75" hidden="false" customHeight="true" outlineLevel="0" collapsed="false"/>
    <row r="1026" customFormat="false" ht="12.75" hidden="false" customHeight="true" outlineLevel="0" collapsed="false">
      <c r="A1026" s="1" t="s">
        <v>1211</v>
      </c>
    </row>
    <row r="1027" customFormat="false" ht="12.75" hidden="false" customHeight="true" outlineLevel="0" collapsed="false">
      <c r="A1027" s="1" t="s">
        <v>1514</v>
      </c>
    </row>
    <row r="1028" customFormat="false" ht="12.75" hidden="false" customHeight="true" outlineLevel="0" collapsed="false">
      <c r="A1028" s="1" t="s">
        <v>1515</v>
      </c>
    </row>
    <row r="1029" customFormat="false" ht="12.75" hidden="false" customHeight="true" outlineLevel="0" collapsed="false"/>
    <row r="1030" customFormat="false" ht="12.75" hidden="false" customHeight="true" outlineLevel="0" collapsed="false">
      <c r="A1030" s="1" t="s">
        <v>1212</v>
      </c>
    </row>
    <row r="1031" customFormat="false" ht="12.75" hidden="false" customHeight="true" outlineLevel="0" collapsed="false">
      <c r="A1031" s="1" t="s">
        <v>1514</v>
      </c>
    </row>
    <row r="1032" customFormat="false" ht="12.75" hidden="false" customHeight="true" outlineLevel="0" collapsed="false">
      <c r="A1032" s="1" t="s">
        <v>1516</v>
      </c>
    </row>
    <row r="1033" customFormat="false" ht="12.75" hidden="false" customHeight="true" outlineLevel="0" collapsed="false">
      <c r="A1033" s="1" t="s">
        <v>1517</v>
      </c>
    </row>
    <row r="1034" customFormat="false" ht="12.75" hidden="false" customHeight="true" outlineLevel="0" collapsed="false">
      <c r="A1034" s="1" t="s">
        <v>1518</v>
      </c>
    </row>
    <row r="1035" customFormat="false" ht="12.75" hidden="false" customHeight="true" outlineLevel="0" collapsed="false">
      <c r="A1035" s="1" t="s">
        <v>1519</v>
      </c>
    </row>
    <row r="1036" customFormat="false" ht="12.75" hidden="false" customHeight="true" outlineLevel="0" collapsed="false"/>
    <row r="1037" customFormat="false" ht="12.75" hidden="false" customHeight="true" outlineLevel="0" collapsed="false">
      <c r="A1037" s="1" t="s">
        <v>1209</v>
      </c>
    </row>
    <row r="1038" customFormat="false" ht="12.75" hidden="false" customHeight="true" outlineLevel="0" collapsed="false">
      <c r="A1038" s="1" t="s">
        <v>1520</v>
      </c>
    </row>
    <row r="1039" customFormat="false" ht="12.75" hidden="false" customHeight="true" outlineLevel="0" collapsed="false">
      <c r="A1039" s="1" t="s">
        <v>1521</v>
      </c>
    </row>
    <row r="1040" customFormat="false" ht="12.75" hidden="false" customHeight="true" outlineLevel="0" collapsed="false">
      <c r="A1040" s="1" t="s">
        <v>1522</v>
      </c>
    </row>
    <row r="1041" customFormat="false" ht="12.75" hidden="false" customHeight="true" outlineLevel="0" collapsed="false">
      <c r="A1041" s="1" t="s">
        <v>1523</v>
      </c>
    </row>
    <row r="1042" customFormat="false" ht="12.75" hidden="false" customHeight="true" outlineLevel="0" collapsed="false"/>
    <row r="1043" customFormat="false" ht="12.75" hidden="false" customHeight="true" outlineLevel="0" collapsed="false">
      <c r="A1043" s="1" t="s">
        <v>1210</v>
      </c>
    </row>
    <row r="1044" customFormat="false" ht="12.75" hidden="false" customHeight="true" outlineLevel="0" collapsed="false">
      <c r="A1044" s="1" t="s">
        <v>1524</v>
      </c>
    </row>
    <row r="1045" customFormat="false" ht="12.75" hidden="false" customHeight="true" outlineLevel="0" collapsed="false">
      <c r="A1045" s="1" t="s">
        <v>1524</v>
      </c>
    </row>
    <row r="1046" customFormat="false" ht="12.75" hidden="false" customHeight="true" outlineLevel="0" collapsed="false"/>
    <row r="1047" customFormat="false" ht="12.75" hidden="false" customHeight="true" outlineLevel="0" collapsed="false">
      <c r="A1047" s="1" t="s">
        <v>1211</v>
      </c>
    </row>
    <row r="1048" customFormat="false" ht="12.75" hidden="false" customHeight="true" outlineLevel="0" collapsed="false">
      <c r="A1048" s="1" t="s">
        <v>1525</v>
      </c>
    </row>
    <row r="1049" customFormat="false" ht="12.75" hidden="false" customHeight="true" outlineLevel="0" collapsed="false">
      <c r="A1049" s="1" t="s">
        <v>1525</v>
      </c>
    </row>
    <row r="1050" customFormat="false" ht="12.75" hidden="false" customHeight="true" outlineLevel="0" collapsed="false"/>
    <row r="1051" customFormat="false" ht="12.75" hidden="false" customHeight="true" outlineLevel="0" collapsed="false">
      <c r="A1051" s="1" t="s">
        <v>1212</v>
      </c>
    </row>
    <row r="1052" customFormat="false" ht="12.75" hidden="false" customHeight="true" outlineLevel="0" collapsed="false">
      <c r="A1052" s="1" t="s">
        <v>1525</v>
      </c>
    </row>
    <row r="1053" customFormat="false" ht="12.75" hidden="false" customHeight="true" outlineLevel="0" collapsed="false">
      <c r="A1053" s="1" t="s">
        <v>1526</v>
      </c>
    </row>
    <row r="1054" customFormat="false" ht="12.75" hidden="false" customHeight="true" outlineLevel="0" collapsed="false">
      <c r="A1054" s="1" t="s">
        <v>1425</v>
      </c>
    </row>
    <row r="1055" customFormat="false" ht="12.75" hidden="false" customHeight="true" outlineLevel="0" collapsed="false">
      <c r="A1055" s="1" t="s">
        <v>1426</v>
      </c>
    </row>
    <row r="1056" customFormat="false" ht="12.75" hidden="false" customHeight="true" outlineLevel="0" collapsed="false">
      <c r="A1056" s="1" t="s">
        <v>1427</v>
      </c>
    </row>
    <row r="1057" customFormat="false" ht="12.75" hidden="false" customHeight="true" outlineLevel="0" collapsed="false">
      <c r="A1057" s="1" t="s">
        <v>1428</v>
      </c>
    </row>
    <row r="1058" customFormat="false" ht="12.75" hidden="false" customHeight="true" outlineLevel="0" collapsed="false">
      <c r="A1058" s="1" t="s">
        <v>1527</v>
      </c>
    </row>
    <row r="1059" customFormat="false" ht="12.75" hidden="false" customHeight="true" outlineLevel="0" collapsed="false">
      <c r="A1059" s="1" t="s">
        <v>1507</v>
      </c>
    </row>
    <row r="1060" customFormat="false" ht="12.75" hidden="false" customHeight="true" outlineLevel="0" collapsed="false">
      <c r="A1060" s="1" t="s">
        <v>1498</v>
      </c>
    </row>
    <row r="1061" customFormat="false" ht="12.75" hidden="false" customHeight="true" outlineLevel="0" collapsed="false"/>
    <row r="1062" customFormat="false" ht="12.75" hidden="false" customHeight="true" outlineLevel="0" collapsed="false">
      <c r="A1062" s="1" t="s">
        <v>1209</v>
      </c>
    </row>
    <row r="1063" customFormat="false" ht="12.75" hidden="false" customHeight="true" outlineLevel="0" collapsed="false">
      <c r="A1063" s="1" t="s">
        <v>1508</v>
      </c>
    </row>
    <row r="1064" customFormat="false" ht="12.75" hidden="false" customHeight="true" outlineLevel="0" collapsed="false">
      <c r="A1064" s="1" t="s">
        <v>1509</v>
      </c>
    </row>
    <row r="1065" customFormat="false" ht="12.75" hidden="false" customHeight="true" outlineLevel="0" collapsed="false">
      <c r="A1065" s="1" t="s">
        <v>1510</v>
      </c>
    </row>
    <row r="1066" customFormat="false" ht="12.75" hidden="false" customHeight="true" outlineLevel="0" collapsed="false">
      <c r="A1066" s="1" t="s">
        <v>1511</v>
      </c>
    </row>
    <row r="1067" customFormat="false" ht="12.75" hidden="false" customHeight="true" outlineLevel="0" collapsed="false"/>
    <row r="1068" customFormat="false" ht="12.75" hidden="false" customHeight="true" outlineLevel="0" collapsed="false">
      <c r="A1068" s="1" t="s">
        <v>1210</v>
      </c>
    </row>
    <row r="1069" customFormat="false" ht="12.75" hidden="false" customHeight="true" outlineLevel="0" collapsed="false">
      <c r="A1069" s="1" t="s">
        <v>1512</v>
      </c>
    </row>
    <row r="1070" customFormat="false" ht="12.75" hidden="false" customHeight="true" outlineLevel="0" collapsed="false">
      <c r="A1070" s="1" t="s">
        <v>1513</v>
      </c>
    </row>
    <row r="1071" customFormat="false" ht="12.75" hidden="false" customHeight="true" outlineLevel="0" collapsed="false"/>
    <row r="1072" customFormat="false" ht="12.75" hidden="false" customHeight="true" outlineLevel="0" collapsed="false">
      <c r="A1072" s="1" t="s">
        <v>1211</v>
      </c>
    </row>
    <row r="1073" customFormat="false" ht="12.75" hidden="false" customHeight="true" outlineLevel="0" collapsed="false">
      <c r="A1073" s="1" t="s">
        <v>1514</v>
      </c>
    </row>
    <row r="1074" customFormat="false" ht="12.75" hidden="false" customHeight="true" outlineLevel="0" collapsed="false">
      <c r="A1074" s="1" t="s">
        <v>1515</v>
      </c>
    </row>
    <row r="1075" customFormat="false" ht="12.75" hidden="false" customHeight="true" outlineLevel="0" collapsed="false"/>
    <row r="1076" customFormat="false" ht="12.75" hidden="false" customHeight="true" outlineLevel="0" collapsed="false">
      <c r="A1076" s="1" t="s">
        <v>1212</v>
      </c>
    </row>
    <row r="1077" customFormat="false" ht="12.75" hidden="false" customHeight="true" outlineLevel="0" collapsed="false">
      <c r="A1077" s="1" t="s">
        <v>1514</v>
      </c>
    </row>
    <row r="1078" customFormat="false" ht="12.75" hidden="false" customHeight="true" outlineLevel="0" collapsed="false">
      <c r="A1078" s="1" t="s">
        <v>1516</v>
      </c>
    </row>
    <row r="1079" customFormat="false" ht="12.75" hidden="false" customHeight="true" outlineLevel="0" collapsed="false">
      <c r="A1079" s="1" t="s">
        <v>1528</v>
      </c>
    </row>
    <row r="1080" customFormat="false" ht="12.75" hidden="false" customHeight="true" outlineLevel="0" collapsed="false">
      <c r="A1080" s="1" t="s">
        <v>1529</v>
      </c>
    </row>
    <row r="1081" customFormat="false" ht="12.75" hidden="false" customHeight="true" outlineLevel="0" collapsed="false">
      <c r="A1081" s="1" t="s">
        <v>1530</v>
      </c>
    </row>
    <row r="1082" customFormat="false" ht="12.75" hidden="false" customHeight="true" outlineLevel="0" collapsed="false"/>
    <row r="1083" customFormat="false" ht="12.75" hidden="false" customHeight="true" outlineLevel="0" collapsed="false">
      <c r="A1083" s="1" t="s">
        <v>1209</v>
      </c>
    </row>
    <row r="1084" customFormat="false" ht="12.75" hidden="false" customHeight="true" outlineLevel="0" collapsed="false">
      <c r="A1084" s="1" t="s">
        <v>1521</v>
      </c>
    </row>
    <row r="1085" customFormat="false" ht="12.75" hidden="false" customHeight="true" outlineLevel="0" collapsed="false">
      <c r="A1085" s="1" t="s">
        <v>1531</v>
      </c>
    </row>
    <row r="1086" customFormat="false" ht="12.75" hidden="false" customHeight="true" outlineLevel="0" collapsed="false">
      <c r="A1086" s="1" t="s">
        <v>1523</v>
      </c>
    </row>
    <row r="1087" customFormat="false" ht="12.75" hidden="false" customHeight="true" outlineLevel="0" collapsed="false">
      <c r="A1087" s="1" t="s">
        <v>1519</v>
      </c>
    </row>
    <row r="1088" customFormat="false" ht="12.75" hidden="false" customHeight="true" outlineLevel="0" collapsed="false"/>
    <row r="1089" customFormat="false" ht="12.75" hidden="false" customHeight="true" outlineLevel="0" collapsed="false">
      <c r="A1089" s="1" t="s">
        <v>1210</v>
      </c>
    </row>
    <row r="1090" customFormat="false" ht="12.75" hidden="false" customHeight="true" outlineLevel="0" collapsed="false">
      <c r="A1090" s="1" t="s">
        <v>1532</v>
      </c>
    </row>
    <row r="1091" customFormat="false" ht="12.75" hidden="false" customHeight="true" outlineLevel="0" collapsed="false">
      <c r="A1091" s="1" t="s">
        <v>1525</v>
      </c>
    </row>
    <row r="1092" customFormat="false" ht="12.75" hidden="false" customHeight="true" outlineLevel="0" collapsed="false"/>
    <row r="1093" customFormat="false" ht="12.75" hidden="false" customHeight="true" outlineLevel="0" collapsed="false">
      <c r="A1093" s="1" t="s">
        <v>1211</v>
      </c>
    </row>
    <row r="1094" customFormat="false" ht="12.75" hidden="false" customHeight="true" outlineLevel="0" collapsed="false">
      <c r="A1094" s="1" t="s">
        <v>1533</v>
      </c>
    </row>
    <row r="1095" customFormat="false" ht="12.75" hidden="false" customHeight="true" outlineLevel="0" collapsed="false">
      <c r="A1095" s="1" t="s">
        <v>1534</v>
      </c>
    </row>
    <row r="1096" customFormat="false" ht="12.75" hidden="false" customHeight="true" outlineLevel="0" collapsed="false"/>
    <row r="1097" customFormat="false" ht="12.75" hidden="false" customHeight="true" outlineLevel="0" collapsed="false">
      <c r="A1097" s="1" t="s">
        <v>1212</v>
      </c>
    </row>
    <row r="1098" customFormat="false" ht="12.75" hidden="false" customHeight="true" outlineLevel="0" collapsed="false">
      <c r="A1098" s="1" t="s">
        <v>1533</v>
      </c>
    </row>
    <row r="1099" customFormat="false" ht="12.75" hidden="false" customHeight="true" outlineLevel="0" collapsed="false">
      <c r="A1099" s="1" t="s">
        <v>1535</v>
      </c>
    </row>
    <row r="1100" customFormat="false" ht="12.75" hidden="false" customHeight="true" outlineLevel="0" collapsed="false">
      <c r="A1100" s="1" t="s">
        <v>1536</v>
      </c>
    </row>
    <row r="1101" customFormat="false" ht="12.75" hidden="false" customHeight="true" outlineLevel="0" collapsed="false">
      <c r="A1101" s="1" t="s">
        <v>1537</v>
      </c>
    </row>
    <row r="1102" customFormat="false" ht="12.75" hidden="false" customHeight="true" outlineLevel="0" collapsed="false">
      <c r="A1102" s="1" t="s">
        <v>1538</v>
      </c>
    </row>
    <row r="1103" customFormat="false" ht="12.75" hidden="false" customHeight="true" outlineLevel="0" collapsed="false">
      <c r="A1103" s="1" t="s">
        <v>1539</v>
      </c>
    </row>
    <row r="1104" customFormat="false" ht="12.75" hidden="false" customHeight="true" outlineLevel="0" collapsed="false">
      <c r="A1104" s="1" t="s">
        <v>1540</v>
      </c>
    </row>
    <row r="1105" customFormat="false" ht="12.75" hidden="false" customHeight="true" outlineLevel="0" collapsed="false">
      <c r="A1105" s="1" t="s">
        <v>1541</v>
      </c>
    </row>
    <row r="1106" customFormat="false" ht="12.75" hidden="false" customHeight="true" outlineLevel="0" collapsed="false">
      <c r="A1106" s="1" t="s">
        <v>1542</v>
      </c>
    </row>
    <row r="1107" customFormat="false" ht="12.75" hidden="false" customHeight="true" outlineLevel="0" collapsed="false"/>
    <row r="1108" customFormat="false" ht="12.75" hidden="false" customHeight="true" outlineLevel="0" collapsed="false">
      <c r="A1108" s="1" t="s">
        <v>1209</v>
      </c>
    </row>
    <row r="1109" customFormat="false" ht="12.75" hidden="false" customHeight="true" outlineLevel="0" collapsed="false">
      <c r="A1109" s="1" t="s">
        <v>1531</v>
      </c>
    </row>
    <row r="1110" customFormat="false" ht="12.75" hidden="false" customHeight="true" outlineLevel="0" collapsed="false">
      <c r="A1110" s="1" t="s">
        <v>1533</v>
      </c>
    </row>
    <row r="1111" customFormat="false" ht="12.75" hidden="false" customHeight="true" outlineLevel="0" collapsed="false">
      <c r="A1111" s="1" t="s">
        <v>1543</v>
      </c>
    </row>
    <row r="1112" customFormat="false" ht="12.75" hidden="false" customHeight="true" outlineLevel="0" collapsed="false">
      <c r="A1112" s="1" t="s">
        <v>1544</v>
      </c>
    </row>
    <row r="1113" customFormat="false" ht="12.75" hidden="false" customHeight="true" outlineLevel="0" collapsed="false"/>
    <row r="1114" customFormat="false" ht="12.75" hidden="false" customHeight="true" outlineLevel="0" collapsed="false">
      <c r="A1114" s="1" t="s">
        <v>1210</v>
      </c>
    </row>
    <row r="1115" customFormat="false" ht="12.75" hidden="false" customHeight="true" outlineLevel="0" collapsed="false">
      <c r="A1115" s="1" t="s">
        <v>1545</v>
      </c>
    </row>
    <row r="1116" customFormat="false" ht="12.75" hidden="false" customHeight="true" outlineLevel="0" collapsed="false">
      <c r="A1116" s="1" t="s">
        <v>1546</v>
      </c>
    </row>
    <row r="1117" customFormat="false" ht="12.75" hidden="false" customHeight="true" outlineLevel="0" collapsed="false"/>
    <row r="1118" customFormat="false" ht="12.75" hidden="false" customHeight="true" outlineLevel="0" collapsed="false">
      <c r="A1118" s="1" t="s">
        <v>1211</v>
      </c>
    </row>
    <row r="1119" customFormat="false" ht="12.75" hidden="false" customHeight="true" outlineLevel="0" collapsed="false">
      <c r="A1119" s="1" t="s">
        <v>1545</v>
      </c>
    </row>
    <row r="1120" customFormat="false" ht="12.75" hidden="false" customHeight="true" outlineLevel="0" collapsed="false">
      <c r="A1120" s="1" t="s">
        <v>1547</v>
      </c>
    </row>
    <row r="1121" customFormat="false" ht="12.75" hidden="false" customHeight="true" outlineLevel="0" collapsed="false"/>
    <row r="1122" customFormat="false" ht="12.75" hidden="false" customHeight="true" outlineLevel="0" collapsed="false">
      <c r="A1122" s="1" t="s">
        <v>1212</v>
      </c>
    </row>
    <row r="1123" customFormat="false" ht="12.75" hidden="false" customHeight="true" outlineLevel="0" collapsed="false">
      <c r="A1123" s="1" t="s">
        <v>1545</v>
      </c>
    </row>
    <row r="1124" customFormat="false" ht="12.75" hidden="false" customHeight="true" outlineLevel="0" collapsed="false">
      <c r="A1124" s="1" t="s">
        <v>1548</v>
      </c>
    </row>
    <row r="1125" customFormat="false" ht="12.75" hidden="false" customHeight="true" outlineLevel="0" collapsed="false">
      <c r="A1125" s="1" t="s">
        <v>1536</v>
      </c>
    </row>
    <row r="1126" customFormat="false" ht="12.75" hidden="false" customHeight="true" outlineLevel="0" collapsed="false">
      <c r="A1126" s="1" t="s">
        <v>1537</v>
      </c>
    </row>
    <row r="1127" customFormat="false" ht="12.75" hidden="false" customHeight="true" outlineLevel="0" collapsed="false">
      <c r="A1127" s="1" t="s">
        <v>1538</v>
      </c>
    </row>
    <row r="1128" customFormat="false" ht="12.75" hidden="false" customHeight="true" outlineLevel="0" collapsed="false">
      <c r="A1128" s="1" t="s">
        <v>1539</v>
      </c>
    </row>
    <row r="1129" customFormat="false" ht="12.75" hidden="false" customHeight="true" outlineLevel="0" collapsed="false">
      <c r="A1129" s="1" t="s">
        <v>1549</v>
      </c>
    </row>
    <row r="1130" customFormat="false" ht="12.75" hidden="false" customHeight="true" outlineLevel="0" collapsed="false">
      <c r="A1130" s="1" t="s">
        <v>1550</v>
      </c>
    </row>
    <row r="1131" customFormat="false" ht="12.75" hidden="false" customHeight="true" outlineLevel="0" collapsed="false">
      <c r="A1131" s="1" t="s">
        <v>1544</v>
      </c>
    </row>
    <row r="1132" customFormat="false" ht="12.75" hidden="false" customHeight="true" outlineLevel="0" collapsed="false"/>
    <row r="1133" customFormat="false" ht="12.75" hidden="false" customHeight="true" outlineLevel="0" collapsed="false">
      <c r="A1133" s="1" t="s">
        <v>1209</v>
      </c>
    </row>
    <row r="1134" customFormat="false" ht="12.75" hidden="false" customHeight="true" outlineLevel="0" collapsed="false">
      <c r="A1134" s="1" t="s">
        <v>1545</v>
      </c>
    </row>
    <row r="1135" customFormat="false" ht="12.75" hidden="false" customHeight="true" outlineLevel="0" collapsed="false">
      <c r="A1135" s="1" t="s">
        <v>1543</v>
      </c>
    </row>
    <row r="1136" customFormat="false" ht="12.75" hidden="false" customHeight="true" outlineLevel="0" collapsed="false">
      <c r="A1136" s="1" t="s">
        <v>1546</v>
      </c>
    </row>
    <row r="1137" customFormat="false" ht="12.75" hidden="false" customHeight="true" outlineLevel="0" collapsed="false">
      <c r="A1137" s="1" t="s">
        <v>1547</v>
      </c>
    </row>
    <row r="1138" customFormat="false" ht="12.75" hidden="false" customHeight="true" outlineLevel="0" collapsed="false"/>
    <row r="1139" customFormat="false" ht="12.75" hidden="false" customHeight="true" outlineLevel="0" collapsed="false">
      <c r="A1139" s="1" t="s">
        <v>1210</v>
      </c>
    </row>
    <row r="1140" customFormat="false" ht="12.75" hidden="false" customHeight="true" outlineLevel="0" collapsed="false">
      <c r="A1140" s="1" t="s">
        <v>1551</v>
      </c>
    </row>
    <row r="1141" customFormat="false" ht="12.75" hidden="false" customHeight="true" outlineLevel="0" collapsed="false">
      <c r="A1141" s="1" t="s">
        <v>1552</v>
      </c>
    </row>
    <row r="1142" customFormat="false" ht="12.75" hidden="false" customHeight="true" outlineLevel="0" collapsed="false"/>
    <row r="1143" customFormat="false" ht="12.75" hidden="false" customHeight="true" outlineLevel="0" collapsed="false">
      <c r="A1143" s="1" t="s">
        <v>1211</v>
      </c>
    </row>
    <row r="1144" customFormat="false" ht="12.75" hidden="false" customHeight="true" outlineLevel="0" collapsed="false">
      <c r="A1144" s="1" t="s">
        <v>1551</v>
      </c>
    </row>
    <row r="1145" customFormat="false" ht="12.75" hidden="false" customHeight="true" outlineLevel="0" collapsed="false">
      <c r="A1145" s="1" t="s">
        <v>1553</v>
      </c>
    </row>
    <row r="1146" customFormat="false" ht="12.75" hidden="false" customHeight="true" outlineLevel="0" collapsed="false"/>
    <row r="1147" customFormat="false" ht="12.75" hidden="false" customHeight="true" outlineLevel="0" collapsed="false">
      <c r="A1147" s="1" t="s">
        <v>1212</v>
      </c>
    </row>
    <row r="1148" customFormat="false" ht="12.75" hidden="false" customHeight="true" outlineLevel="0" collapsed="false">
      <c r="A1148" s="1" t="s">
        <v>1551</v>
      </c>
    </row>
    <row r="1149" customFormat="false" ht="12.75" hidden="false" customHeight="true" outlineLevel="0" collapsed="false">
      <c r="A1149" s="1" t="s">
        <v>1554</v>
      </c>
    </row>
    <row r="1150" customFormat="false" ht="12.75" hidden="false" customHeight="true" outlineLevel="0" collapsed="false">
      <c r="A1150" s="1" t="s">
        <v>1536</v>
      </c>
    </row>
    <row r="1151" customFormat="false" ht="12.75" hidden="false" customHeight="true" outlineLevel="0" collapsed="false">
      <c r="A1151" s="1" t="s">
        <v>1537</v>
      </c>
    </row>
    <row r="1152" customFormat="false" ht="12.75" hidden="false" customHeight="true" outlineLevel="0" collapsed="false">
      <c r="A1152" s="1" t="s">
        <v>1538</v>
      </c>
    </row>
    <row r="1153" customFormat="false" ht="12.75" hidden="false" customHeight="true" outlineLevel="0" collapsed="false">
      <c r="A1153" s="1" t="s">
        <v>1539</v>
      </c>
    </row>
    <row r="1154" customFormat="false" ht="12.75" hidden="false" customHeight="true" outlineLevel="0" collapsed="false">
      <c r="A1154" s="1" t="s">
        <v>1555</v>
      </c>
    </row>
    <row r="1155" customFormat="false" ht="12.75" hidden="false" customHeight="true" outlineLevel="0" collapsed="false">
      <c r="A1155" s="1" t="s">
        <v>1556</v>
      </c>
    </row>
    <row r="1156" customFormat="false" ht="12.75" hidden="false" customHeight="true" outlineLevel="0" collapsed="false">
      <c r="A1156" s="1" t="s">
        <v>1546</v>
      </c>
    </row>
    <row r="1157" customFormat="false" ht="12.75" hidden="false" customHeight="true" outlineLevel="0" collapsed="false"/>
    <row r="1158" customFormat="false" ht="12.75" hidden="false" customHeight="true" outlineLevel="0" collapsed="false">
      <c r="A1158" s="1" t="s">
        <v>1209</v>
      </c>
    </row>
    <row r="1159" customFormat="false" ht="12.75" hidden="false" customHeight="true" outlineLevel="0" collapsed="false">
      <c r="A1159" s="1" t="s">
        <v>1547</v>
      </c>
    </row>
    <row r="1160" customFormat="false" ht="12.75" hidden="false" customHeight="true" outlineLevel="0" collapsed="false">
      <c r="A1160" s="1" t="s">
        <v>1552</v>
      </c>
    </row>
    <row r="1161" customFormat="false" ht="12.75" hidden="false" customHeight="true" outlineLevel="0" collapsed="false">
      <c r="A1161" s="1" t="s">
        <v>1543</v>
      </c>
    </row>
    <row r="1162" customFormat="false" ht="12.75" hidden="false" customHeight="true" outlineLevel="0" collapsed="false">
      <c r="A1162" s="1" t="s">
        <v>1553</v>
      </c>
    </row>
    <row r="1163" customFormat="false" ht="12.75" hidden="false" customHeight="true" outlineLevel="0" collapsed="false"/>
    <row r="1164" customFormat="false" ht="12.75" hidden="false" customHeight="true" outlineLevel="0" collapsed="false">
      <c r="A1164" s="1" t="s">
        <v>1210</v>
      </c>
    </row>
    <row r="1165" customFormat="false" ht="12.75" hidden="false" customHeight="true" outlineLevel="0" collapsed="false">
      <c r="A1165" s="1" t="s">
        <v>1557</v>
      </c>
    </row>
    <row r="1166" customFormat="false" ht="12.75" hidden="false" customHeight="true" outlineLevel="0" collapsed="false">
      <c r="A1166" s="1" t="s">
        <v>1558</v>
      </c>
    </row>
    <row r="1167" customFormat="false" ht="12.75" hidden="false" customHeight="true" outlineLevel="0" collapsed="false"/>
    <row r="1168" customFormat="false" ht="12.75" hidden="false" customHeight="true" outlineLevel="0" collapsed="false">
      <c r="A1168" s="1" t="s">
        <v>1211</v>
      </c>
    </row>
    <row r="1169" customFormat="false" ht="12.75" hidden="false" customHeight="true" outlineLevel="0" collapsed="false">
      <c r="A1169" s="1" t="s">
        <v>1559</v>
      </c>
    </row>
    <row r="1170" customFormat="false" ht="12.75" hidden="false" customHeight="true" outlineLevel="0" collapsed="false">
      <c r="A1170" s="1" t="s">
        <v>1560</v>
      </c>
    </row>
    <row r="1171" customFormat="false" ht="12.75" hidden="false" customHeight="true" outlineLevel="0" collapsed="false"/>
    <row r="1172" customFormat="false" ht="12.75" hidden="false" customHeight="true" outlineLevel="0" collapsed="false">
      <c r="A1172" s="1" t="s">
        <v>1212</v>
      </c>
    </row>
    <row r="1173" customFormat="false" ht="12.75" hidden="false" customHeight="true" outlineLevel="0" collapsed="false">
      <c r="A1173" s="1" t="s">
        <v>1559</v>
      </c>
    </row>
    <row r="1174" customFormat="false" ht="12.75" hidden="false" customHeight="true" outlineLevel="0" collapsed="false">
      <c r="A1174" s="1" t="s">
        <v>1561</v>
      </c>
    </row>
    <row r="1175" customFormat="false" ht="12.75" hidden="false" customHeight="true" outlineLevel="0" collapsed="false">
      <c r="A1175" s="1" t="s">
        <v>1562</v>
      </c>
    </row>
    <row r="1176" customFormat="false" ht="12.75" hidden="false" customHeight="true" outlineLevel="0" collapsed="false">
      <c r="A1176" s="1" t="s">
        <v>1563</v>
      </c>
    </row>
    <row r="1177" customFormat="false" ht="12.75" hidden="false" customHeight="true" outlineLevel="0" collapsed="false">
      <c r="A1177" s="1" t="s">
        <v>1564</v>
      </c>
    </row>
    <row r="1178" customFormat="false" ht="12.75" hidden="false" customHeight="true" outlineLevel="0" collapsed="false">
      <c r="A1178" s="1" t="s">
        <v>1565</v>
      </c>
    </row>
    <row r="1179" customFormat="false" ht="12.75" hidden="false" customHeight="true" outlineLevel="0" collapsed="false">
      <c r="A1179" s="1" t="s">
        <v>1566</v>
      </c>
    </row>
    <row r="1180" customFormat="false" ht="12.75" hidden="false" customHeight="true" outlineLevel="0" collapsed="false">
      <c r="A1180" s="1" t="s">
        <v>1550</v>
      </c>
    </row>
    <row r="1181" customFormat="false" ht="12.75" hidden="false" customHeight="true" outlineLevel="0" collapsed="false">
      <c r="A1181" s="1" t="s">
        <v>1544</v>
      </c>
    </row>
    <row r="1182" customFormat="false" ht="12.75" hidden="false" customHeight="true" outlineLevel="0" collapsed="false"/>
    <row r="1183" customFormat="false" ht="12.75" hidden="false" customHeight="true" outlineLevel="0" collapsed="false">
      <c r="A1183" s="1" t="s">
        <v>1209</v>
      </c>
    </row>
    <row r="1184" customFormat="false" ht="12.75" hidden="false" customHeight="true" outlineLevel="0" collapsed="false">
      <c r="A1184" s="1" t="s">
        <v>1545</v>
      </c>
    </row>
    <row r="1185" customFormat="false" ht="12.75" hidden="false" customHeight="true" outlineLevel="0" collapsed="false">
      <c r="A1185" s="1" t="s">
        <v>1543</v>
      </c>
    </row>
    <row r="1186" customFormat="false" ht="12.75" hidden="false" customHeight="true" outlineLevel="0" collapsed="false">
      <c r="A1186" s="1" t="s">
        <v>1546</v>
      </c>
    </row>
    <row r="1187" customFormat="false" ht="12.75" hidden="false" customHeight="true" outlineLevel="0" collapsed="false">
      <c r="A1187" s="1" t="s">
        <v>1547</v>
      </c>
    </row>
    <row r="1188" customFormat="false" ht="12.75" hidden="false" customHeight="true" outlineLevel="0" collapsed="false"/>
    <row r="1189" customFormat="false" ht="12.75" hidden="false" customHeight="true" outlineLevel="0" collapsed="false">
      <c r="A1189" s="1" t="s">
        <v>1210</v>
      </c>
    </row>
    <row r="1190" customFormat="false" ht="12.75" hidden="false" customHeight="true" outlineLevel="0" collapsed="false">
      <c r="A1190" s="1" t="s">
        <v>1551</v>
      </c>
    </row>
    <row r="1191" customFormat="false" ht="12.75" hidden="false" customHeight="true" outlineLevel="0" collapsed="false">
      <c r="A1191" s="1" t="s">
        <v>1552</v>
      </c>
    </row>
    <row r="1192" customFormat="false" ht="12.75" hidden="false" customHeight="true" outlineLevel="0" collapsed="false"/>
    <row r="1193" customFormat="false" ht="12.75" hidden="false" customHeight="true" outlineLevel="0" collapsed="false">
      <c r="A1193" s="1" t="s">
        <v>1211</v>
      </c>
    </row>
    <row r="1194" customFormat="false" ht="12.75" hidden="false" customHeight="true" outlineLevel="0" collapsed="false">
      <c r="A1194" s="1" t="s">
        <v>1551</v>
      </c>
    </row>
    <row r="1195" customFormat="false" ht="12.75" hidden="false" customHeight="true" outlineLevel="0" collapsed="false">
      <c r="A1195" s="1" t="s">
        <v>1553</v>
      </c>
    </row>
    <row r="1196" customFormat="false" ht="12.75" hidden="false" customHeight="true" outlineLevel="0" collapsed="false"/>
    <row r="1197" customFormat="false" ht="12.75" hidden="false" customHeight="true" outlineLevel="0" collapsed="false">
      <c r="A1197" s="1" t="s">
        <v>1212</v>
      </c>
    </row>
    <row r="1198" customFormat="false" ht="12.75" hidden="false" customHeight="true" outlineLevel="0" collapsed="false">
      <c r="A1198" s="1" t="s">
        <v>1551</v>
      </c>
    </row>
    <row r="1199" customFormat="false" ht="12.75" hidden="false" customHeight="true" outlineLevel="0" collapsed="false">
      <c r="A1199" s="1" t="s">
        <v>1554</v>
      </c>
    </row>
    <row r="1200" customFormat="false" ht="12.75" hidden="false" customHeight="true" outlineLevel="0" collapsed="false">
      <c r="A1200" s="1" t="s">
        <v>1536</v>
      </c>
    </row>
    <row r="1201" customFormat="false" ht="12.75" hidden="false" customHeight="true" outlineLevel="0" collapsed="false">
      <c r="A1201" s="1" t="s">
        <v>1537</v>
      </c>
    </row>
    <row r="1202" customFormat="false" ht="12.75" hidden="false" customHeight="true" outlineLevel="0" collapsed="false">
      <c r="A1202" s="1" t="s">
        <v>1538</v>
      </c>
    </row>
    <row r="1203" customFormat="false" ht="12.75" hidden="false" customHeight="true" outlineLevel="0" collapsed="false">
      <c r="A1203" s="1" t="s">
        <v>1539</v>
      </c>
    </row>
    <row r="1204" customFormat="false" ht="12.75" hidden="false" customHeight="true" outlineLevel="0" collapsed="false">
      <c r="A1204" s="1" t="s">
        <v>1567</v>
      </c>
    </row>
    <row r="1205" customFormat="false" ht="12.75" hidden="false" customHeight="true" outlineLevel="0" collapsed="false">
      <c r="A1205" s="1" t="s">
        <v>1541</v>
      </c>
    </row>
    <row r="1206" customFormat="false" ht="12.75" hidden="false" customHeight="true" outlineLevel="0" collapsed="false">
      <c r="A1206" s="1" t="s">
        <v>1542</v>
      </c>
    </row>
    <row r="1207" customFormat="false" ht="12.75" hidden="false" customHeight="true" outlineLevel="0" collapsed="false"/>
    <row r="1208" customFormat="false" ht="12.75" hidden="false" customHeight="true" outlineLevel="0" collapsed="false">
      <c r="A1208" s="1" t="s">
        <v>1209</v>
      </c>
    </row>
    <row r="1209" customFormat="false" ht="12.75" hidden="false" customHeight="true" outlineLevel="0" collapsed="false">
      <c r="A1209" s="1" t="s">
        <v>1531</v>
      </c>
    </row>
    <row r="1210" customFormat="false" ht="12.75" hidden="false" customHeight="true" outlineLevel="0" collapsed="false">
      <c r="A1210" s="1" t="s">
        <v>1533</v>
      </c>
    </row>
    <row r="1211" customFormat="false" ht="12.75" hidden="false" customHeight="true" outlineLevel="0" collapsed="false">
      <c r="A1211" s="1" t="s">
        <v>1543</v>
      </c>
    </row>
    <row r="1212" customFormat="false" ht="12.75" hidden="false" customHeight="true" outlineLevel="0" collapsed="false">
      <c r="A1212" s="1" t="s">
        <v>1544</v>
      </c>
    </row>
    <row r="1213" customFormat="false" ht="12.75" hidden="false" customHeight="true" outlineLevel="0" collapsed="false"/>
    <row r="1214" customFormat="false" ht="12.75" hidden="false" customHeight="true" outlineLevel="0" collapsed="false">
      <c r="A1214" s="1" t="s">
        <v>1210</v>
      </c>
    </row>
    <row r="1215" customFormat="false" ht="12.75" hidden="false" customHeight="true" outlineLevel="0" collapsed="false">
      <c r="A1215" s="1" t="s">
        <v>1545</v>
      </c>
    </row>
    <row r="1216" customFormat="false" ht="12.75" hidden="false" customHeight="true" outlineLevel="0" collapsed="false">
      <c r="A1216" s="1" t="s">
        <v>1546</v>
      </c>
    </row>
    <row r="1217" customFormat="false" ht="12.75" hidden="false" customHeight="true" outlineLevel="0" collapsed="false"/>
    <row r="1218" customFormat="false" ht="12.75" hidden="false" customHeight="true" outlineLevel="0" collapsed="false">
      <c r="A1218" s="1" t="s">
        <v>1211</v>
      </c>
    </row>
    <row r="1219" customFormat="false" ht="12.75" hidden="false" customHeight="true" outlineLevel="0" collapsed="false">
      <c r="A1219" s="1" t="s">
        <v>1545</v>
      </c>
    </row>
    <row r="1220" customFormat="false" ht="12.75" hidden="false" customHeight="true" outlineLevel="0" collapsed="false">
      <c r="A1220" s="1" t="s">
        <v>1547</v>
      </c>
    </row>
    <row r="1221" customFormat="false" ht="12.75" hidden="false" customHeight="true" outlineLevel="0" collapsed="false"/>
    <row r="1222" customFormat="false" ht="12.75" hidden="false" customHeight="true" outlineLevel="0" collapsed="false">
      <c r="A1222" s="1" t="s">
        <v>1212</v>
      </c>
    </row>
    <row r="1223" customFormat="false" ht="12.75" hidden="false" customHeight="true" outlineLevel="0" collapsed="false">
      <c r="A1223" s="1" t="s">
        <v>1545</v>
      </c>
    </row>
    <row r="1224" customFormat="false" ht="12.75" hidden="false" customHeight="true" outlineLevel="0" collapsed="false">
      <c r="A1224" s="1" t="s">
        <v>1548</v>
      </c>
    </row>
    <row r="1225" customFormat="false" ht="12.75" hidden="false" customHeight="true" outlineLevel="0" collapsed="false">
      <c r="A1225" s="1" t="s">
        <v>1536</v>
      </c>
    </row>
    <row r="1226" customFormat="false" ht="12.75" hidden="false" customHeight="true" outlineLevel="0" collapsed="false">
      <c r="A1226" s="1" t="s">
        <v>1537</v>
      </c>
    </row>
    <row r="1227" customFormat="false" ht="12.75" hidden="false" customHeight="true" outlineLevel="0" collapsed="false">
      <c r="A1227" s="1" t="s">
        <v>1538</v>
      </c>
    </row>
    <row r="1228" customFormat="false" ht="12.75" hidden="false" customHeight="true" outlineLevel="0" collapsed="false">
      <c r="A1228" s="1" t="s">
        <v>1539</v>
      </c>
    </row>
    <row r="1229" customFormat="false" ht="12.75" hidden="false" customHeight="true" outlineLevel="0" collapsed="false">
      <c r="A1229" s="1" t="s">
        <v>1568</v>
      </c>
    </row>
    <row r="1230" customFormat="false" ht="12.75" hidden="false" customHeight="true" outlineLevel="0" collapsed="false">
      <c r="A1230" s="1" t="s">
        <v>1569</v>
      </c>
    </row>
    <row r="1231" customFormat="false" ht="12.75" hidden="false" customHeight="true" outlineLevel="0" collapsed="false">
      <c r="A1231" s="1" t="s">
        <v>1570</v>
      </c>
    </row>
    <row r="1232" customFormat="false" ht="12.75" hidden="false" customHeight="true" outlineLevel="0" collapsed="false"/>
    <row r="1233" customFormat="false" ht="12.75" hidden="false" customHeight="true" outlineLevel="0" collapsed="false">
      <c r="A1233" s="1" t="s">
        <v>1209</v>
      </c>
    </row>
    <row r="1234" customFormat="false" ht="12.75" hidden="false" customHeight="true" outlineLevel="0" collapsed="false">
      <c r="A1234" s="1" t="s">
        <v>1571</v>
      </c>
    </row>
    <row r="1235" customFormat="false" ht="12.75" hidden="false" customHeight="true" outlineLevel="0" collapsed="false">
      <c r="A1235" s="1" t="s">
        <v>1572</v>
      </c>
    </row>
    <row r="1236" customFormat="false" ht="12.75" hidden="false" customHeight="true" outlineLevel="0" collapsed="false">
      <c r="A1236" s="1" t="s">
        <v>1573</v>
      </c>
    </row>
    <row r="1237" customFormat="false" ht="12.75" hidden="false" customHeight="true" outlineLevel="0" collapsed="false">
      <c r="A1237" s="1" t="s">
        <v>1574</v>
      </c>
    </row>
    <row r="1238" customFormat="false" ht="12.75" hidden="false" customHeight="true" outlineLevel="0" collapsed="false"/>
    <row r="1239" customFormat="false" ht="12.75" hidden="false" customHeight="true" outlineLevel="0" collapsed="false">
      <c r="A1239" s="1" t="s">
        <v>1210</v>
      </c>
    </row>
    <row r="1240" customFormat="false" ht="12.75" hidden="false" customHeight="true" outlineLevel="0" collapsed="false">
      <c r="A1240" s="1" t="s">
        <v>1575</v>
      </c>
    </row>
    <row r="1241" customFormat="false" ht="12.75" hidden="false" customHeight="true" outlineLevel="0" collapsed="false">
      <c r="A1241" s="1" t="s">
        <v>1576</v>
      </c>
    </row>
    <row r="1242" customFormat="false" ht="12.75" hidden="false" customHeight="true" outlineLevel="0" collapsed="false"/>
    <row r="1243" customFormat="false" ht="12.75" hidden="false" customHeight="true" outlineLevel="0" collapsed="false">
      <c r="A1243" s="1" t="s">
        <v>1211</v>
      </c>
    </row>
    <row r="1244" customFormat="false" ht="12.75" hidden="false" customHeight="true" outlineLevel="0" collapsed="false">
      <c r="A1244" s="1" t="s">
        <v>1577</v>
      </c>
    </row>
    <row r="1245" customFormat="false" ht="12.75" hidden="false" customHeight="true" outlineLevel="0" collapsed="false">
      <c r="A1245" s="1" t="s">
        <v>1578</v>
      </c>
    </row>
    <row r="1246" customFormat="false" ht="12.75" hidden="false" customHeight="true" outlineLevel="0" collapsed="false"/>
    <row r="1247" customFormat="false" ht="12.75" hidden="false" customHeight="true" outlineLevel="0" collapsed="false">
      <c r="A1247" s="1" t="s">
        <v>1212</v>
      </c>
    </row>
    <row r="1248" customFormat="false" ht="12.75" hidden="false" customHeight="true" outlineLevel="0" collapsed="false">
      <c r="A1248" s="1" t="s">
        <v>1579</v>
      </c>
    </row>
    <row r="1249" customFormat="false" ht="12.75" hidden="false" customHeight="true" outlineLevel="0" collapsed="false">
      <c r="A1249" s="1" t="s">
        <v>1580</v>
      </c>
    </row>
    <row r="1250" customFormat="false" ht="12.75" hidden="false" customHeight="true" outlineLevel="0" collapsed="false">
      <c r="A1250" s="1" t="s">
        <v>1581</v>
      </c>
    </row>
    <row r="1251" customFormat="false" ht="12.75" hidden="false" customHeight="true" outlineLevel="0" collapsed="false">
      <c r="A1251" s="1" t="s">
        <v>1582</v>
      </c>
    </row>
    <row r="1252" customFormat="false" ht="12.75" hidden="false" customHeight="true" outlineLevel="0" collapsed="false">
      <c r="A1252" s="1" t="s">
        <v>1583</v>
      </c>
    </row>
    <row r="1253" customFormat="false" ht="12.75" hidden="false" customHeight="true" outlineLevel="0" collapsed="false">
      <c r="A1253" s="1" t="s">
        <v>1584</v>
      </c>
    </row>
    <row r="1254" customFormat="false" ht="12.75" hidden="false" customHeight="true" outlineLevel="0" collapsed="false">
      <c r="A1254" s="1" t="s">
        <v>1266</v>
      </c>
    </row>
    <row r="1255" customFormat="false" ht="12.75" hidden="false" customHeight="true" outlineLevel="0" collapsed="false">
      <c r="A1255" s="1" t="s">
        <v>1267</v>
      </c>
    </row>
    <row r="1256" customFormat="false" ht="12.75" hidden="false" customHeight="true" outlineLevel="0" collapsed="false"/>
    <row r="1257" customFormat="false" ht="12.75" hidden="false" customHeight="true" outlineLevel="0" collapsed="false">
      <c r="A1257" s="1" t="s">
        <v>1268</v>
      </c>
    </row>
    <row r="1258" customFormat="false" ht="12.75" hidden="false" customHeight="true" outlineLevel="0" collapsed="false">
      <c r="A1258" s="1" t="s">
        <v>1585</v>
      </c>
    </row>
    <row r="1259" customFormat="false" ht="12.75" hidden="false" customHeight="true" outlineLevel="0" collapsed="false">
      <c r="A1259" s="1" t="s">
        <v>1270</v>
      </c>
    </row>
    <row r="1260" customFormat="false" ht="12.75" hidden="false" customHeight="true" outlineLevel="0" collapsed="false">
      <c r="A1260" s="1" t="s">
        <v>1586</v>
      </c>
    </row>
    <row r="1261" customFormat="false" ht="12.75" hidden="false" customHeight="true" outlineLevel="0" collapsed="false"/>
    <row r="1262" customFormat="false" ht="12.75" hidden="false" customHeight="true" outlineLevel="0" collapsed="false">
      <c r="A1262" s="1" t="s">
        <v>1272</v>
      </c>
    </row>
    <row r="1263" customFormat="false" ht="12.75" hidden="false" customHeight="true" outlineLevel="0" collapsed="false">
      <c r="A1263" s="1" t="s">
        <v>1587</v>
      </c>
    </row>
    <row r="1264" customFormat="false" ht="12.75" hidden="false" customHeight="true" outlineLevel="0" collapsed="false">
      <c r="A1264" s="1" t="s">
        <v>1588</v>
      </c>
    </row>
    <row r="1265" customFormat="false" ht="12.75" hidden="false" customHeight="true" outlineLevel="0" collapsed="false">
      <c r="A1265" s="1" t="s">
        <v>1275</v>
      </c>
    </row>
    <row r="1266" customFormat="false" ht="12.75" hidden="false" customHeight="true" outlineLevel="0" collapsed="false">
      <c r="A1266" s="1" t="s">
        <v>1589</v>
      </c>
    </row>
    <row r="1267" customFormat="false" ht="12.75" hidden="false" customHeight="true" outlineLevel="0" collapsed="false">
      <c r="A1267" s="1" t="s">
        <v>1277</v>
      </c>
    </row>
    <row r="1268" customFormat="false" ht="12.75" hidden="false" customHeight="true" outlineLevel="0" collapsed="false">
      <c r="A1268" s="1" t="s">
        <v>1590</v>
      </c>
    </row>
    <row r="1269" customFormat="false" ht="12.75" hidden="false" customHeight="true" outlineLevel="0" collapsed="false">
      <c r="A1269" s="1" t="s">
        <v>1591</v>
      </c>
    </row>
    <row r="1270" customFormat="false" ht="12.75" hidden="false" customHeight="true" outlineLevel="0" collapsed="false">
      <c r="A1270" s="1" t="s">
        <v>1592</v>
      </c>
    </row>
    <row r="1271" customFormat="false" ht="12.75" hidden="false" customHeight="true" outlineLevel="0" collapsed="false"/>
    <row r="1272" customFormat="false" ht="12.75" hidden="false" customHeight="true" outlineLevel="0" collapsed="false">
      <c r="A1272" s="1" t="s">
        <v>1209</v>
      </c>
    </row>
    <row r="1273" customFormat="false" ht="12.75" hidden="false" customHeight="true" outlineLevel="0" collapsed="false">
      <c r="A1273" s="1" t="s">
        <v>1593</v>
      </c>
    </row>
    <row r="1274" customFormat="false" ht="12.75" hidden="false" customHeight="true" outlineLevel="0" collapsed="false">
      <c r="A1274" s="1" t="s">
        <v>1594</v>
      </c>
    </row>
    <row r="1275" customFormat="false" ht="12.75" hidden="false" customHeight="true" outlineLevel="0" collapsed="false">
      <c r="A1275" s="1" t="s">
        <v>1595</v>
      </c>
    </row>
    <row r="1276" customFormat="false" ht="12.75" hidden="false" customHeight="true" outlineLevel="0" collapsed="false">
      <c r="A1276" s="1" t="s">
        <v>1596</v>
      </c>
    </row>
    <row r="1277" customFormat="false" ht="12.75" hidden="false" customHeight="true" outlineLevel="0" collapsed="false"/>
    <row r="1278" customFormat="false" ht="12.75" hidden="false" customHeight="true" outlineLevel="0" collapsed="false">
      <c r="A1278" s="1" t="s">
        <v>1210</v>
      </c>
    </row>
    <row r="1279" customFormat="false" ht="12.75" hidden="false" customHeight="true" outlineLevel="0" collapsed="false">
      <c r="A1279" s="1" t="s">
        <v>1597</v>
      </c>
    </row>
    <row r="1280" customFormat="false" ht="12.75" hidden="false" customHeight="true" outlineLevel="0" collapsed="false">
      <c r="A1280" s="1" t="s">
        <v>1598</v>
      </c>
    </row>
    <row r="1281" customFormat="false" ht="12.75" hidden="false" customHeight="true" outlineLevel="0" collapsed="false"/>
    <row r="1282" customFormat="false" ht="12.75" hidden="false" customHeight="true" outlineLevel="0" collapsed="false">
      <c r="A1282" s="1" t="s">
        <v>1211</v>
      </c>
    </row>
    <row r="1283" customFormat="false" ht="12.75" hidden="false" customHeight="true" outlineLevel="0" collapsed="false">
      <c r="A1283" s="1" t="s">
        <v>1599</v>
      </c>
    </row>
    <row r="1284" customFormat="false" ht="12.75" hidden="false" customHeight="true" outlineLevel="0" collapsed="false">
      <c r="A1284" s="1" t="s">
        <v>1600</v>
      </c>
    </row>
    <row r="1285" customFormat="false" ht="12.75" hidden="false" customHeight="true" outlineLevel="0" collapsed="false"/>
    <row r="1286" customFormat="false" ht="12.75" hidden="false" customHeight="true" outlineLevel="0" collapsed="false">
      <c r="A1286" s="1" t="s">
        <v>1212</v>
      </c>
    </row>
    <row r="1287" customFormat="false" ht="12.75" hidden="false" customHeight="true" outlineLevel="0" collapsed="false">
      <c r="A1287" s="1" t="s">
        <v>1599</v>
      </c>
    </row>
    <row r="1288" customFormat="false" ht="12.75" hidden="false" customHeight="true" outlineLevel="0" collapsed="false">
      <c r="A1288" s="1" t="s">
        <v>1601</v>
      </c>
    </row>
    <row r="1289" customFormat="false" ht="12.75" hidden="false" customHeight="true" outlineLevel="0" collapsed="false">
      <c r="A1289" s="1" t="s">
        <v>1602</v>
      </c>
    </row>
    <row r="1290" customFormat="false" ht="12.75" hidden="false" customHeight="true" outlineLevel="0" collapsed="false">
      <c r="A1290" s="1" t="s">
        <v>1603</v>
      </c>
    </row>
    <row r="1291" customFormat="false" ht="12.75" hidden="false" customHeight="true" outlineLevel="0" collapsed="false">
      <c r="A1291" s="1" t="s">
        <v>1604</v>
      </c>
    </row>
    <row r="1292" customFormat="false" ht="12.75" hidden="false" customHeight="true" outlineLevel="0" collapsed="false">
      <c r="A1292" s="1" t="s">
        <v>1605</v>
      </c>
    </row>
    <row r="1293" customFormat="false" ht="12.75" hidden="false" customHeight="true" outlineLevel="0" collapsed="false">
      <c r="A1293" s="1" t="s">
        <v>1266</v>
      </c>
    </row>
    <row r="1294" customFormat="false" ht="12.75" hidden="false" customHeight="true" outlineLevel="0" collapsed="false">
      <c r="A1294" s="1" t="s">
        <v>1267</v>
      </c>
    </row>
    <row r="1295" customFormat="false" ht="12.75" hidden="false" customHeight="true" outlineLevel="0" collapsed="false"/>
    <row r="1296" customFormat="false" ht="12.75" hidden="false" customHeight="true" outlineLevel="0" collapsed="false">
      <c r="A1296" s="1" t="s">
        <v>1268</v>
      </c>
    </row>
    <row r="1297" customFormat="false" ht="12.75" hidden="false" customHeight="true" outlineLevel="0" collapsed="false">
      <c r="A1297" s="1" t="s">
        <v>1586</v>
      </c>
    </row>
    <row r="1298" customFormat="false" ht="12.75" hidden="false" customHeight="true" outlineLevel="0" collapsed="false">
      <c r="A1298" s="1" t="s">
        <v>1270</v>
      </c>
    </row>
    <row r="1299" customFormat="false" ht="12.75" hidden="false" customHeight="true" outlineLevel="0" collapsed="false">
      <c r="A1299" s="1" t="s">
        <v>1585</v>
      </c>
    </row>
    <row r="1300" customFormat="false" ht="12.75" hidden="false" customHeight="true" outlineLevel="0" collapsed="false"/>
    <row r="1301" customFormat="false" ht="12.75" hidden="false" customHeight="true" outlineLevel="0" collapsed="false">
      <c r="A1301" s="1" t="s">
        <v>1272</v>
      </c>
    </row>
    <row r="1302" customFormat="false" ht="12.75" hidden="false" customHeight="true" outlineLevel="0" collapsed="false">
      <c r="A1302" s="1" t="s">
        <v>1606</v>
      </c>
    </row>
    <row r="1303" customFormat="false" ht="12.75" hidden="false" customHeight="true" outlineLevel="0" collapsed="false">
      <c r="A1303" s="1" t="s">
        <v>1607</v>
      </c>
    </row>
    <row r="1304" customFormat="false" ht="12.75" hidden="false" customHeight="true" outlineLevel="0" collapsed="false">
      <c r="A1304" s="1" t="s">
        <v>1275</v>
      </c>
    </row>
    <row r="1305" customFormat="false" ht="12.75" hidden="false" customHeight="true" outlineLevel="0" collapsed="false">
      <c r="A1305" s="1" t="s">
        <v>1589</v>
      </c>
    </row>
    <row r="1306" customFormat="false" ht="12.75" hidden="false" customHeight="true" outlineLevel="0" collapsed="false">
      <c r="A1306" s="1" t="s">
        <v>1277</v>
      </c>
    </row>
    <row r="1307" customFormat="false" ht="12.75" hidden="false" customHeight="true" outlineLevel="0" collapsed="false">
      <c r="A1307" s="1" t="s">
        <v>1608</v>
      </c>
    </row>
    <row r="1308" customFormat="false" ht="12.75" hidden="false" customHeight="true" outlineLevel="0" collapsed="false">
      <c r="A1308" s="1" t="s">
        <v>1609</v>
      </c>
    </row>
    <row r="1309" customFormat="false" ht="12.75" hidden="false" customHeight="true" outlineLevel="0" collapsed="false">
      <c r="A1309" s="1" t="s">
        <v>1592</v>
      </c>
    </row>
    <row r="1310" customFormat="false" ht="12.75" hidden="false" customHeight="true" outlineLevel="0" collapsed="false"/>
    <row r="1311" customFormat="false" ht="12.75" hidden="false" customHeight="true" outlineLevel="0" collapsed="false">
      <c r="A1311" s="1" t="s">
        <v>1209</v>
      </c>
    </row>
    <row r="1312" customFormat="false" ht="12.75" hidden="false" customHeight="true" outlineLevel="0" collapsed="false">
      <c r="A1312" s="1" t="s">
        <v>1593</v>
      </c>
    </row>
    <row r="1313" customFormat="false" ht="12.75" hidden="false" customHeight="true" outlineLevel="0" collapsed="false">
      <c r="A1313" s="1" t="s">
        <v>1610</v>
      </c>
    </row>
    <row r="1314" customFormat="false" ht="12.75" hidden="false" customHeight="true" outlineLevel="0" collapsed="false">
      <c r="A1314" s="1" t="s">
        <v>1595</v>
      </c>
    </row>
    <row r="1315" customFormat="false" ht="12.75" hidden="false" customHeight="true" outlineLevel="0" collapsed="false">
      <c r="A1315" s="1" t="s">
        <v>1611</v>
      </c>
    </row>
    <row r="1316" customFormat="false" ht="12.75" hidden="false" customHeight="true" outlineLevel="0" collapsed="false"/>
    <row r="1317" customFormat="false" ht="12.75" hidden="false" customHeight="true" outlineLevel="0" collapsed="false">
      <c r="A1317" s="1" t="s">
        <v>1210</v>
      </c>
    </row>
    <row r="1318" customFormat="false" ht="12.75" hidden="false" customHeight="true" outlineLevel="0" collapsed="false">
      <c r="A1318" s="1" t="s">
        <v>1612</v>
      </c>
    </row>
    <row r="1319" customFormat="false" ht="12.75" hidden="false" customHeight="true" outlineLevel="0" collapsed="false">
      <c r="A1319" s="1" t="s">
        <v>1613</v>
      </c>
    </row>
    <row r="1320" customFormat="false" ht="12.75" hidden="false" customHeight="true" outlineLevel="0" collapsed="false"/>
    <row r="1321" customFormat="false" ht="12.75" hidden="false" customHeight="true" outlineLevel="0" collapsed="false">
      <c r="A1321" s="1" t="s">
        <v>1211</v>
      </c>
    </row>
    <row r="1322" customFormat="false" ht="12.75" hidden="false" customHeight="true" outlineLevel="0" collapsed="false">
      <c r="A1322" s="1" t="s">
        <v>1599</v>
      </c>
    </row>
    <row r="1323" customFormat="false" ht="12.75" hidden="false" customHeight="true" outlineLevel="0" collapsed="false">
      <c r="A1323" s="1" t="s">
        <v>1614</v>
      </c>
    </row>
    <row r="1324" customFormat="false" ht="12.75" hidden="false" customHeight="true" outlineLevel="0" collapsed="false"/>
    <row r="1325" customFormat="false" ht="12.75" hidden="false" customHeight="true" outlineLevel="0" collapsed="false">
      <c r="A1325" s="1" t="s">
        <v>1212</v>
      </c>
    </row>
    <row r="1326" customFormat="false" ht="12.75" hidden="false" customHeight="true" outlineLevel="0" collapsed="false">
      <c r="A1326" s="1" t="s">
        <v>1599</v>
      </c>
    </row>
    <row r="1327" customFormat="false" ht="12.75" hidden="false" customHeight="true" outlineLevel="0" collapsed="false">
      <c r="A1327" s="1" t="s">
        <v>1615</v>
      </c>
    </row>
    <row r="1328" customFormat="false" ht="12.75" hidden="false" customHeight="true" outlineLevel="0" collapsed="false">
      <c r="A1328" s="1" t="s">
        <v>1616</v>
      </c>
    </row>
    <row r="1329" customFormat="false" ht="12.75" hidden="false" customHeight="true" outlineLevel="0" collapsed="false">
      <c r="A1329" s="1" t="s">
        <v>1609</v>
      </c>
    </row>
    <row r="1330" customFormat="false" ht="12.75" hidden="false" customHeight="true" outlineLevel="0" collapsed="false">
      <c r="A1330" s="1" t="s">
        <v>1592</v>
      </c>
    </row>
    <row r="1331" customFormat="false" ht="12.75" hidden="false" customHeight="true" outlineLevel="0" collapsed="false"/>
    <row r="1332" customFormat="false" ht="12.75" hidden="false" customHeight="true" outlineLevel="0" collapsed="false">
      <c r="A1332" s="1" t="s">
        <v>1209</v>
      </c>
    </row>
    <row r="1333" customFormat="false" ht="12.75" hidden="false" customHeight="true" outlineLevel="0" collapsed="false">
      <c r="A1333" s="1" t="s">
        <v>1593</v>
      </c>
    </row>
    <row r="1334" customFormat="false" ht="12.75" hidden="false" customHeight="true" outlineLevel="0" collapsed="false">
      <c r="A1334" s="1" t="s">
        <v>1610</v>
      </c>
    </row>
    <row r="1335" customFormat="false" ht="12.75" hidden="false" customHeight="true" outlineLevel="0" collapsed="false">
      <c r="A1335" s="1" t="s">
        <v>1595</v>
      </c>
    </row>
    <row r="1336" customFormat="false" ht="12.75" hidden="false" customHeight="true" outlineLevel="0" collapsed="false">
      <c r="A1336" s="1" t="s">
        <v>1611</v>
      </c>
    </row>
    <row r="1337" customFormat="false" ht="12.75" hidden="false" customHeight="true" outlineLevel="0" collapsed="false"/>
    <row r="1338" customFormat="false" ht="12.75" hidden="false" customHeight="true" outlineLevel="0" collapsed="false">
      <c r="A1338" s="1" t="s">
        <v>1210</v>
      </c>
    </row>
    <row r="1339" customFormat="false" ht="12.75" hidden="false" customHeight="true" outlineLevel="0" collapsed="false">
      <c r="A1339" s="1" t="s">
        <v>1612</v>
      </c>
    </row>
    <row r="1340" customFormat="false" ht="12.75" hidden="false" customHeight="true" outlineLevel="0" collapsed="false">
      <c r="A1340" s="1" t="s">
        <v>1613</v>
      </c>
    </row>
    <row r="1341" customFormat="false" ht="12.75" hidden="false" customHeight="true" outlineLevel="0" collapsed="false"/>
    <row r="1342" customFormat="false" ht="12.75" hidden="false" customHeight="true" outlineLevel="0" collapsed="false">
      <c r="A1342" s="1" t="s">
        <v>1211</v>
      </c>
    </row>
    <row r="1343" customFormat="false" ht="12.75" hidden="false" customHeight="true" outlineLevel="0" collapsed="false">
      <c r="A1343" s="1" t="s">
        <v>1599</v>
      </c>
    </row>
    <row r="1344" customFormat="false" ht="12.75" hidden="false" customHeight="true" outlineLevel="0" collapsed="false">
      <c r="A1344" s="1" t="s">
        <v>1614</v>
      </c>
    </row>
    <row r="1345" customFormat="false" ht="12.75" hidden="false" customHeight="true" outlineLevel="0" collapsed="false"/>
    <row r="1346" customFormat="false" ht="12.75" hidden="false" customHeight="true" outlineLevel="0" collapsed="false">
      <c r="A1346" s="1" t="s">
        <v>1212</v>
      </c>
    </row>
    <row r="1347" customFormat="false" ht="12.75" hidden="false" customHeight="true" outlineLevel="0" collapsed="false">
      <c r="A1347" s="1" t="s">
        <v>1599</v>
      </c>
    </row>
    <row r="1348" customFormat="false" ht="12.75" hidden="false" customHeight="true" outlineLevel="0" collapsed="false">
      <c r="A1348" s="1" t="s">
        <v>1615</v>
      </c>
    </row>
    <row r="1349" customFormat="false" ht="12.75" hidden="false" customHeight="true" outlineLevel="0" collapsed="false">
      <c r="A1349" s="1" t="s">
        <v>1617</v>
      </c>
    </row>
    <row r="1350" customFormat="false" ht="12.75" hidden="false" customHeight="true" outlineLevel="0" collapsed="false">
      <c r="A1350" s="1" t="s">
        <v>1591</v>
      </c>
    </row>
    <row r="1351" customFormat="false" ht="12.75" hidden="false" customHeight="true" outlineLevel="0" collapsed="false">
      <c r="A1351" s="1" t="s">
        <v>1592</v>
      </c>
    </row>
    <row r="1352" customFormat="false" ht="12.75" hidden="false" customHeight="true" outlineLevel="0" collapsed="false"/>
    <row r="1353" customFormat="false" ht="12.75" hidden="false" customHeight="true" outlineLevel="0" collapsed="false">
      <c r="A1353" s="1" t="s">
        <v>1209</v>
      </c>
    </row>
    <row r="1354" customFormat="false" ht="12.75" hidden="false" customHeight="true" outlineLevel="0" collapsed="false">
      <c r="A1354" s="1" t="s">
        <v>1593</v>
      </c>
    </row>
    <row r="1355" customFormat="false" ht="12.75" hidden="false" customHeight="true" outlineLevel="0" collapsed="false">
      <c r="A1355" s="1" t="s">
        <v>1594</v>
      </c>
    </row>
    <row r="1356" customFormat="false" ht="12.75" hidden="false" customHeight="true" outlineLevel="0" collapsed="false">
      <c r="A1356" s="1" t="s">
        <v>1595</v>
      </c>
    </row>
    <row r="1357" customFormat="false" ht="12.75" hidden="false" customHeight="true" outlineLevel="0" collapsed="false">
      <c r="A1357" s="1" t="s">
        <v>1596</v>
      </c>
    </row>
    <row r="1358" customFormat="false" ht="12.75" hidden="false" customHeight="true" outlineLevel="0" collapsed="false"/>
    <row r="1359" customFormat="false" ht="12.75" hidden="false" customHeight="true" outlineLevel="0" collapsed="false">
      <c r="A1359" s="1" t="s">
        <v>1210</v>
      </c>
    </row>
    <row r="1360" customFormat="false" ht="12.75" hidden="false" customHeight="true" outlineLevel="0" collapsed="false">
      <c r="A1360" s="1" t="s">
        <v>1597</v>
      </c>
    </row>
    <row r="1361" customFormat="false" ht="12.75" hidden="false" customHeight="true" outlineLevel="0" collapsed="false">
      <c r="A1361" s="1" t="s">
        <v>1598</v>
      </c>
    </row>
    <row r="1362" customFormat="false" ht="12.75" hidden="false" customHeight="true" outlineLevel="0" collapsed="false"/>
    <row r="1363" customFormat="false" ht="12.75" hidden="false" customHeight="true" outlineLevel="0" collapsed="false">
      <c r="A1363" s="1" t="s">
        <v>1211</v>
      </c>
    </row>
    <row r="1364" customFormat="false" ht="12.75" hidden="false" customHeight="true" outlineLevel="0" collapsed="false">
      <c r="A1364" s="1" t="s">
        <v>1599</v>
      </c>
    </row>
    <row r="1365" customFormat="false" ht="12.75" hidden="false" customHeight="true" outlineLevel="0" collapsed="false">
      <c r="A1365" s="1" t="s">
        <v>1600</v>
      </c>
    </row>
    <row r="1366" customFormat="false" ht="12.75" hidden="false" customHeight="true" outlineLevel="0" collapsed="false"/>
    <row r="1367" customFormat="false" ht="12.75" hidden="false" customHeight="true" outlineLevel="0" collapsed="false">
      <c r="A1367" s="1" t="s">
        <v>1212</v>
      </c>
    </row>
    <row r="1368" customFormat="false" ht="12.75" hidden="false" customHeight="true" outlineLevel="0" collapsed="false">
      <c r="A1368" s="1" t="s">
        <v>1599</v>
      </c>
    </row>
    <row r="1369" customFormat="false" ht="12.75" hidden="false" customHeight="true" outlineLevel="0" collapsed="false">
      <c r="A1369" s="1" t="s">
        <v>1618</v>
      </c>
    </row>
    <row r="1370" customFormat="false" ht="12.75" hidden="false" customHeight="true" outlineLevel="0" collapsed="false">
      <c r="A1370" s="1" t="s">
        <v>1619</v>
      </c>
    </row>
    <row r="1371" customFormat="false" ht="12.75" hidden="false" customHeight="true" outlineLevel="0" collapsed="false">
      <c r="A1371" s="1" t="s">
        <v>1620</v>
      </c>
    </row>
    <row r="1372" customFormat="false" ht="12.75" hidden="false" customHeight="true" outlineLevel="0" collapsed="false">
      <c r="A1372" s="1" t="s">
        <v>1621</v>
      </c>
    </row>
    <row r="1373" customFormat="false" ht="12.75" hidden="false" customHeight="true" outlineLevel="0" collapsed="false">
      <c r="A1373" s="1" t="s">
        <v>1622</v>
      </c>
    </row>
    <row r="1374" customFormat="false" ht="12.75" hidden="false" customHeight="true" outlineLevel="0" collapsed="false">
      <c r="A1374" s="1" t="s">
        <v>1266</v>
      </c>
    </row>
    <row r="1375" customFormat="false" ht="12.75" hidden="false" customHeight="true" outlineLevel="0" collapsed="false">
      <c r="A1375" s="1" t="s">
        <v>1267</v>
      </c>
    </row>
    <row r="1376" customFormat="false" ht="12.75" hidden="false" customHeight="true" outlineLevel="0" collapsed="false"/>
    <row r="1377" customFormat="false" ht="12.75" hidden="false" customHeight="true" outlineLevel="0" collapsed="false">
      <c r="A1377" s="1" t="s">
        <v>1268</v>
      </c>
    </row>
    <row r="1378" customFormat="false" ht="12.75" hidden="false" customHeight="true" outlineLevel="0" collapsed="false">
      <c r="A1378" s="1" t="s">
        <v>1269</v>
      </c>
    </row>
    <row r="1379" customFormat="false" ht="12.75" hidden="false" customHeight="true" outlineLevel="0" collapsed="false">
      <c r="A1379" s="1" t="s">
        <v>1270</v>
      </c>
    </row>
    <row r="1380" customFormat="false" ht="12.75" hidden="false" customHeight="true" outlineLevel="0" collapsed="false">
      <c r="A1380" s="1" t="s">
        <v>1269</v>
      </c>
    </row>
    <row r="1381" customFormat="false" ht="12.75" hidden="false" customHeight="true" outlineLevel="0" collapsed="false"/>
    <row r="1382" customFormat="false" ht="12.75" hidden="false" customHeight="true" outlineLevel="0" collapsed="false">
      <c r="A1382" s="1" t="s">
        <v>1272</v>
      </c>
    </row>
    <row r="1383" customFormat="false" ht="12.75" hidden="false" customHeight="true" outlineLevel="0" collapsed="false">
      <c r="A1383" s="1" t="s">
        <v>1273</v>
      </c>
    </row>
    <row r="1384" customFormat="false" ht="12.75" hidden="false" customHeight="true" outlineLevel="0" collapsed="false">
      <c r="A1384" s="1" t="s">
        <v>1274</v>
      </c>
    </row>
    <row r="1385" customFormat="false" ht="12.75" hidden="false" customHeight="true" outlineLevel="0" collapsed="false">
      <c r="A1385" s="1" t="s">
        <v>1275</v>
      </c>
    </row>
    <row r="1386" customFormat="false" ht="12.75" hidden="false" customHeight="true" outlineLevel="0" collapsed="false">
      <c r="A1386" s="1" t="s">
        <v>1623</v>
      </c>
    </row>
    <row r="1387" customFormat="false" ht="12.75" hidden="false" customHeight="true" outlineLevel="0" collapsed="false">
      <c r="A1387" s="1" t="s">
        <v>1277</v>
      </c>
    </row>
    <row r="1388" customFormat="false" ht="12.75" hidden="false" customHeight="true" outlineLevel="0" collapsed="false">
      <c r="A1388" s="1" t="s">
        <v>1624</v>
      </c>
    </row>
    <row r="1389" customFormat="false" ht="12.75" hidden="false" customHeight="true" outlineLevel="0" collapsed="false">
      <c r="A1389" s="1" t="s">
        <v>1625</v>
      </c>
    </row>
    <row r="1390" customFormat="false" ht="12.75" hidden="false" customHeight="true" outlineLevel="0" collapsed="false">
      <c r="A1390" s="1" t="s">
        <v>1626</v>
      </c>
    </row>
    <row r="1391" customFormat="false" ht="12.75" hidden="false" customHeight="true" outlineLevel="0" collapsed="false"/>
    <row r="1392" customFormat="false" ht="12.75" hidden="false" customHeight="true" outlineLevel="0" collapsed="false">
      <c r="A1392" s="1" t="s">
        <v>1209</v>
      </c>
    </row>
    <row r="1393" customFormat="false" ht="12.75" hidden="false" customHeight="true" outlineLevel="0" collapsed="false">
      <c r="A1393" s="1" t="s">
        <v>1627</v>
      </c>
    </row>
    <row r="1394" customFormat="false" ht="12.75" hidden="false" customHeight="true" outlineLevel="0" collapsed="false">
      <c r="A1394" s="1" t="s">
        <v>1628</v>
      </c>
    </row>
    <row r="1395" customFormat="false" ht="12.75" hidden="false" customHeight="true" outlineLevel="0" collapsed="false">
      <c r="A1395" s="1" t="s">
        <v>1629</v>
      </c>
    </row>
    <row r="1396" customFormat="false" ht="12.75" hidden="false" customHeight="true" outlineLevel="0" collapsed="false">
      <c r="A1396" s="1" t="s">
        <v>1630</v>
      </c>
    </row>
    <row r="1397" customFormat="false" ht="12.75" hidden="false" customHeight="true" outlineLevel="0" collapsed="false"/>
    <row r="1398" customFormat="false" ht="12.75" hidden="false" customHeight="true" outlineLevel="0" collapsed="false">
      <c r="A1398" s="1" t="s">
        <v>1210</v>
      </c>
    </row>
    <row r="1399" customFormat="false" ht="12.75" hidden="false" customHeight="true" outlineLevel="0" collapsed="false">
      <c r="A1399" s="1" t="s">
        <v>1631</v>
      </c>
    </row>
    <row r="1400" customFormat="false" ht="12.75" hidden="false" customHeight="true" outlineLevel="0" collapsed="false">
      <c r="A1400" s="1" t="s">
        <v>1632</v>
      </c>
    </row>
    <row r="1401" customFormat="false" ht="12.75" hidden="false" customHeight="true" outlineLevel="0" collapsed="false"/>
    <row r="1402" customFormat="false" ht="12.75" hidden="false" customHeight="true" outlineLevel="0" collapsed="false">
      <c r="A1402" s="1" t="s">
        <v>1211</v>
      </c>
    </row>
    <row r="1403" customFormat="false" ht="12.75" hidden="false" customHeight="true" outlineLevel="0" collapsed="false">
      <c r="A1403" s="1" t="s">
        <v>1633</v>
      </c>
    </row>
    <row r="1404" customFormat="false" ht="12.75" hidden="false" customHeight="true" outlineLevel="0" collapsed="false">
      <c r="A1404" s="1" t="s">
        <v>1634</v>
      </c>
    </row>
    <row r="1405" customFormat="false" ht="12.75" hidden="false" customHeight="true" outlineLevel="0" collapsed="false"/>
    <row r="1406" customFormat="false" ht="12.75" hidden="false" customHeight="true" outlineLevel="0" collapsed="false">
      <c r="A1406" s="1" t="s">
        <v>1212</v>
      </c>
    </row>
    <row r="1407" customFormat="false" ht="12.75" hidden="false" customHeight="true" outlineLevel="0" collapsed="false">
      <c r="A1407" s="1" t="s">
        <v>1635</v>
      </c>
    </row>
    <row r="1408" customFormat="false" ht="12.75" hidden="false" customHeight="true" outlineLevel="0" collapsed="false">
      <c r="A1408" s="1" t="s">
        <v>1636</v>
      </c>
    </row>
    <row r="1409" customFormat="false" ht="12.75" hidden="false" customHeight="true" outlineLevel="0" collapsed="false">
      <c r="A1409" s="1" t="s">
        <v>1637</v>
      </c>
    </row>
    <row r="1410" customFormat="false" ht="12.75" hidden="false" customHeight="true" outlineLevel="0" collapsed="false">
      <c r="A1410" s="1" t="s">
        <v>1638</v>
      </c>
    </row>
    <row r="1411" customFormat="false" ht="12.75" hidden="false" customHeight="true" outlineLevel="0" collapsed="false">
      <c r="A1411" s="1" t="s">
        <v>1639</v>
      </c>
    </row>
    <row r="1412" customFormat="false" ht="12.75" hidden="false" customHeight="true" outlineLevel="0" collapsed="false"/>
    <row r="1413" customFormat="false" ht="12.75" hidden="false" customHeight="true" outlineLevel="0" collapsed="false">
      <c r="A1413" s="1" t="s">
        <v>1209</v>
      </c>
    </row>
    <row r="1414" customFormat="false" ht="12.75" hidden="false" customHeight="true" outlineLevel="0" collapsed="false">
      <c r="A1414" s="1" t="s">
        <v>1640</v>
      </c>
    </row>
    <row r="1415" customFormat="false" ht="12.75" hidden="false" customHeight="true" outlineLevel="0" collapsed="false">
      <c r="A1415" s="1" t="s">
        <v>1641</v>
      </c>
    </row>
    <row r="1416" customFormat="false" ht="12.75" hidden="false" customHeight="true" outlineLevel="0" collapsed="false">
      <c r="A1416" s="1" t="s">
        <v>1642</v>
      </c>
    </row>
    <row r="1417" customFormat="false" ht="12.75" hidden="false" customHeight="true" outlineLevel="0" collapsed="false">
      <c r="A1417" s="1" t="s">
        <v>1643</v>
      </c>
    </row>
    <row r="1418" customFormat="false" ht="12.75" hidden="false" customHeight="true" outlineLevel="0" collapsed="false"/>
    <row r="1419" customFormat="false" ht="12.75" hidden="false" customHeight="true" outlineLevel="0" collapsed="false">
      <c r="A1419" s="1" t="s">
        <v>1210</v>
      </c>
    </row>
    <row r="1420" customFormat="false" ht="12.75" hidden="false" customHeight="true" outlineLevel="0" collapsed="false">
      <c r="A1420" s="1" t="s">
        <v>1644</v>
      </c>
    </row>
    <row r="1421" customFormat="false" ht="12.75" hidden="false" customHeight="true" outlineLevel="0" collapsed="false">
      <c r="A1421" s="1" t="s">
        <v>1645</v>
      </c>
    </row>
    <row r="1422" customFormat="false" ht="12.75" hidden="false" customHeight="true" outlineLevel="0" collapsed="false"/>
    <row r="1423" customFormat="false" ht="12.75" hidden="false" customHeight="true" outlineLevel="0" collapsed="false">
      <c r="A1423" s="1" t="s">
        <v>1211</v>
      </c>
    </row>
    <row r="1424" customFormat="false" ht="12.75" hidden="false" customHeight="true" outlineLevel="0" collapsed="false">
      <c r="A1424" s="1" t="s">
        <v>1646</v>
      </c>
    </row>
    <row r="1425" customFormat="false" ht="12.75" hidden="false" customHeight="true" outlineLevel="0" collapsed="false">
      <c r="A1425" s="1" t="s">
        <v>1647</v>
      </c>
    </row>
    <row r="1426" customFormat="false" ht="12.75" hidden="false" customHeight="true" outlineLevel="0" collapsed="false"/>
    <row r="1427" customFormat="false" ht="12.75" hidden="false" customHeight="true" outlineLevel="0" collapsed="false">
      <c r="A1427" s="1" t="s">
        <v>1212</v>
      </c>
    </row>
    <row r="1428" customFormat="false" ht="12.75" hidden="false" customHeight="true" outlineLevel="0" collapsed="false">
      <c r="A1428" s="1" t="s">
        <v>1648</v>
      </c>
    </row>
    <row r="1429" customFormat="false" ht="12.75" hidden="false" customHeight="true" outlineLevel="0" collapsed="false">
      <c r="A1429" s="1" t="s">
        <v>1649</v>
      </c>
    </row>
    <row r="1430" customFormat="false" ht="12.75" hidden="false" customHeight="true" outlineLevel="0" collapsed="false">
      <c r="A1430" s="1" t="s">
        <v>1650</v>
      </c>
    </row>
    <row r="1431" customFormat="false" ht="12.75" hidden="false" customHeight="true" outlineLevel="0" collapsed="false">
      <c r="A1431" s="1" t="s">
        <v>1638</v>
      </c>
    </row>
    <row r="1432" customFormat="false" ht="12.75" hidden="false" customHeight="true" outlineLevel="0" collapsed="false">
      <c r="A1432" s="1" t="s">
        <v>1639</v>
      </c>
    </row>
    <row r="1433" customFormat="false" ht="12.75" hidden="false" customHeight="true" outlineLevel="0" collapsed="false"/>
    <row r="1434" customFormat="false" ht="12.75" hidden="false" customHeight="true" outlineLevel="0" collapsed="false">
      <c r="A1434" s="1" t="s">
        <v>1209</v>
      </c>
    </row>
    <row r="1435" customFormat="false" ht="12.75" hidden="false" customHeight="true" outlineLevel="0" collapsed="false">
      <c r="A1435" s="1" t="s">
        <v>1640</v>
      </c>
    </row>
    <row r="1436" customFormat="false" ht="12.75" hidden="false" customHeight="true" outlineLevel="0" collapsed="false">
      <c r="A1436" s="1" t="s">
        <v>1641</v>
      </c>
    </row>
    <row r="1437" customFormat="false" ht="12.75" hidden="false" customHeight="true" outlineLevel="0" collapsed="false">
      <c r="A1437" s="1" t="s">
        <v>1642</v>
      </c>
    </row>
    <row r="1438" customFormat="false" ht="12.75" hidden="false" customHeight="true" outlineLevel="0" collapsed="false">
      <c r="A1438" s="1" t="s">
        <v>1643</v>
      </c>
    </row>
    <row r="1439" customFormat="false" ht="12.75" hidden="false" customHeight="true" outlineLevel="0" collapsed="false"/>
    <row r="1440" customFormat="false" ht="12.75" hidden="false" customHeight="true" outlineLevel="0" collapsed="false">
      <c r="A1440" s="1" t="s">
        <v>1210</v>
      </c>
    </row>
    <row r="1441" customFormat="false" ht="12.75" hidden="false" customHeight="true" outlineLevel="0" collapsed="false">
      <c r="A1441" s="1" t="s">
        <v>1644</v>
      </c>
    </row>
    <row r="1442" customFormat="false" ht="12.75" hidden="false" customHeight="true" outlineLevel="0" collapsed="false">
      <c r="A1442" s="1" t="s">
        <v>1645</v>
      </c>
    </row>
    <row r="1443" customFormat="false" ht="12.75" hidden="false" customHeight="true" outlineLevel="0" collapsed="false"/>
    <row r="1444" customFormat="false" ht="12.75" hidden="false" customHeight="true" outlineLevel="0" collapsed="false">
      <c r="A1444" s="1" t="s">
        <v>1211</v>
      </c>
    </row>
    <row r="1445" customFormat="false" ht="12.75" hidden="false" customHeight="true" outlineLevel="0" collapsed="false">
      <c r="A1445" s="1" t="s">
        <v>1646</v>
      </c>
    </row>
    <row r="1446" customFormat="false" ht="12.75" hidden="false" customHeight="true" outlineLevel="0" collapsed="false">
      <c r="A1446" s="1" t="s">
        <v>1647</v>
      </c>
    </row>
    <row r="1447" customFormat="false" ht="12.75" hidden="false" customHeight="true" outlineLevel="0" collapsed="false"/>
    <row r="1448" customFormat="false" ht="12.75" hidden="false" customHeight="true" outlineLevel="0" collapsed="false">
      <c r="A1448" s="1" t="s">
        <v>1212</v>
      </c>
    </row>
    <row r="1449" customFormat="false" ht="12.75" hidden="false" customHeight="true" outlineLevel="0" collapsed="false">
      <c r="A1449" s="1" t="s">
        <v>1648</v>
      </c>
    </row>
    <row r="1450" customFormat="false" ht="12.75" hidden="false" customHeight="true" outlineLevel="0" collapsed="false">
      <c r="A1450" s="1" t="s">
        <v>1649</v>
      </c>
    </row>
    <row r="1451" customFormat="false" ht="12.75" hidden="false" customHeight="true" outlineLevel="0" collapsed="false">
      <c r="A1451" s="1" t="s">
        <v>1651</v>
      </c>
    </row>
    <row r="1452" customFormat="false" ht="12.75" hidden="false" customHeight="true" outlineLevel="0" collapsed="false">
      <c r="A1452" s="1" t="s">
        <v>1638</v>
      </c>
    </row>
    <row r="1453" customFormat="false" ht="12.75" hidden="false" customHeight="true" outlineLevel="0" collapsed="false">
      <c r="A1453" s="1" t="s">
        <v>1639</v>
      </c>
    </row>
    <row r="1454" customFormat="false" ht="12.75" hidden="false" customHeight="true" outlineLevel="0" collapsed="false"/>
    <row r="1455" customFormat="false" ht="12.75" hidden="false" customHeight="true" outlineLevel="0" collapsed="false">
      <c r="A1455" s="1" t="s">
        <v>1209</v>
      </c>
    </row>
    <row r="1456" customFormat="false" ht="12.75" hidden="false" customHeight="true" outlineLevel="0" collapsed="false">
      <c r="A1456" s="1" t="s">
        <v>1640</v>
      </c>
    </row>
    <row r="1457" customFormat="false" ht="12.75" hidden="false" customHeight="true" outlineLevel="0" collapsed="false">
      <c r="A1457" s="1" t="s">
        <v>1641</v>
      </c>
    </row>
    <row r="1458" customFormat="false" ht="12.75" hidden="false" customHeight="true" outlineLevel="0" collapsed="false">
      <c r="A1458" s="1" t="s">
        <v>1642</v>
      </c>
    </row>
    <row r="1459" customFormat="false" ht="12.75" hidden="false" customHeight="true" outlineLevel="0" collapsed="false">
      <c r="A1459" s="1" t="s">
        <v>1643</v>
      </c>
    </row>
    <row r="1460" customFormat="false" ht="12.75" hidden="false" customHeight="true" outlineLevel="0" collapsed="false"/>
    <row r="1461" customFormat="false" ht="12.75" hidden="false" customHeight="true" outlineLevel="0" collapsed="false">
      <c r="A1461" s="1" t="s">
        <v>1210</v>
      </c>
    </row>
    <row r="1462" customFormat="false" ht="12.75" hidden="false" customHeight="true" outlineLevel="0" collapsed="false">
      <c r="A1462" s="1" t="s">
        <v>1644</v>
      </c>
    </row>
    <row r="1463" customFormat="false" ht="12.75" hidden="false" customHeight="true" outlineLevel="0" collapsed="false">
      <c r="A1463" s="1" t="s">
        <v>1645</v>
      </c>
    </row>
    <row r="1464" customFormat="false" ht="12.75" hidden="false" customHeight="true" outlineLevel="0" collapsed="false"/>
    <row r="1465" customFormat="false" ht="12.75" hidden="false" customHeight="true" outlineLevel="0" collapsed="false">
      <c r="A1465" s="1" t="s">
        <v>1211</v>
      </c>
    </row>
    <row r="1466" customFormat="false" ht="12.75" hidden="false" customHeight="true" outlineLevel="0" collapsed="false">
      <c r="A1466" s="1" t="s">
        <v>1646</v>
      </c>
    </row>
    <row r="1467" customFormat="false" ht="12.75" hidden="false" customHeight="true" outlineLevel="0" collapsed="false">
      <c r="A1467" s="1" t="s">
        <v>1647</v>
      </c>
    </row>
    <row r="1468" customFormat="false" ht="12.75" hidden="false" customHeight="true" outlineLevel="0" collapsed="false"/>
    <row r="1469" customFormat="false" ht="12.75" hidden="false" customHeight="true" outlineLevel="0" collapsed="false">
      <c r="A1469" s="1" t="s">
        <v>1212</v>
      </c>
    </row>
    <row r="1470" customFormat="false" ht="12.75" hidden="false" customHeight="true" outlineLevel="0" collapsed="false">
      <c r="A1470" s="1" t="s">
        <v>1648</v>
      </c>
    </row>
    <row r="1471" customFormat="false" ht="12.75" hidden="false" customHeight="true" outlineLevel="0" collapsed="false">
      <c r="A1471" s="1" t="s">
        <v>1649</v>
      </c>
    </row>
    <row r="1472" customFormat="false" ht="12.75" hidden="false" customHeight="true" outlineLevel="0" collapsed="false">
      <c r="A1472" s="1" t="s">
        <v>1652</v>
      </c>
    </row>
    <row r="1473" customFormat="false" ht="12.75" hidden="false" customHeight="true" outlineLevel="0" collapsed="false">
      <c r="A1473" s="1" t="s">
        <v>1638</v>
      </c>
    </row>
    <row r="1474" customFormat="false" ht="12.75" hidden="false" customHeight="true" outlineLevel="0" collapsed="false">
      <c r="A1474" s="1" t="s">
        <v>1639</v>
      </c>
    </row>
    <row r="1475" customFormat="false" ht="12.75" hidden="false" customHeight="true" outlineLevel="0" collapsed="false"/>
    <row r="1476" customFormat="false" ht="12.75" hidden="false" customHeight="true" outlineLevel="0" collapsed="false">
      <c r="A1476" s="1" t="s">
        <v>1209</v>
      </c>
    </row>
    <row r="1477" customFormat="false" ht="12.75" hidden="false" customHeight="true" outlineLevel="0" collapsed="false">
      <c r="A1477" s="1" t="s">
        <v>1640</v>
      </c>
    </row>
    <row r="1478" customFormat="false" ht="12.75" hidden="false" customHeight="true" outlineLevel="0" collapsed="false">
      <c r="A1478" s="1" t="s">
        <v>1641</v>
      </c>
    </row>
    <row r="1479" customFormat="false" ht="12.75" hidden="false" customHeight="true" outlineLevel="0" collapsed="false">
      <c r="A1479" s="1" t="s">
        <v>1642</v>
      </c>
    </row>
    <row r="1480" customFormat="false" ht="12.75" hidden="false" customHeight="true" outlineLevel="0" collapsed="false">
      <c r="A1480" s="1" t="s">
        <v>1643</v>
      </c>
    </row>
    <row r="1481" customFormat="false" ht="12.75" hidden="false" customHeight="true" outlineLevel="0" collapsed="false"/>
    <row r="1482" customFormat="false" ht="12.75" hidden="false" customHeight="true" outlineLevel="0" collapsed="false">
      <c r="A1482" s="1" t="s">
        <v>1210</v>
      </c>
    </row>
    <row r="1483" customFormat="false" ht="12.75" hidden="false" customHeight="true" outlineLevel="0" collapsed="false">
      <c r="A1483" s="1" t="s">
        <v>1644</v>
      </c>
    </row>
    <row r="1484" customFormat="false" ht="12.75" hidden="false" customHeight="true" outlineLevel="0" collapsed="false">
      <c r="A1484" s="1" t="s">
        <v>1645</v>
      </c>
    </row>
    <row r="1485" customFormat="false" ht="12.75" hidden="false" customHeight="true" outlineLevel="0" collapsed="false"/>
    <row r="1486" customFormat="false" ht="12.75" hidden="false" customHeight="true" outlineLevel="0" collapsed="false">
      <c r="A1486" s="1" t="s">
        <v>1211</v>
      </c>
    </row>
    <row r="1487" customFormat="false" ht="12.75" hidden="false" customHeight="true" outlineLevel="0" collapsed="false">
      <c r="A1487" s="1" t="s">
        <v>1646</v>
      </c>
    </row>
    <row r="1488" customFormat="false" ht="12.75" hidden="false" customHeight="true" outlineLevel="0" collapsed="false">
      <c r="A1488" s="1" t="s">
        <v>1647</v>
      </c>
    </row>
    <row r="1489" customFormat="false" ht="12.75" hidden="false" customHeight="true" outlineLevel="0" collapsed="false"/>
    <row r="1490" customFormat="false" ht="12.75" hidden="false" customHeight="true" outlineLevel="0" collapsed="false">
      <c r="A1490" s="1" t="s">
        <v>1212</v>
      </c>
    </row>
    <row r="1491" customFormat="false" ht="12.75" hidden="false" customHeight="true" outlineLevel="0" collapsed="false">
      <c r="A1491" s="1" t="s">
        <v>1648</v>
      </c>
    </row>
    <row r="1492" customFormat="false" ht="12.75" hidden="false" customHeight="true" outlineLevel="0" collapsed="false">
      <c r="A1492" s="1" t="s">
        <v>1649</v>
      </c>
    </row>
    <row r="1493" customFormat="false" ht="12.75" hidden="false" customHeight="true" outlineLevel="0" collapsed="false">
      <c r="A1493" s="1" t="s">
        <v>1653</v>
      </c>
    </row>
    <row r="1494" customFormat="false" ht="12.75" hidden="false" customHeight="true" outlineLevel="0" collapsed="false">
      <c r="A1494" s="1" t="s">
        <v>1638</v>
      </c>
    </row>
    <row r="1495" customFormat="false" ht="12.75" hidden="false" customHeight="true" outlineLevel="0" collapsed="false">
      <c r="A1495" s="1" t="s">
        <v>1639</v>
      </c>
    </row>
    <row r="1496" customFormat="false" ht="12.75" hidden="false" customHeight="true" outlineLevel="0" collapsed="false"/>
    <row r="1497" customFormat="false" ht="12.75" hidden="false" customHeight="true" outlineLevel="0" collapsed="false">
      <c r="A1497" s="1" t="s">
        <v>1209</v>
      </c>
    </row>
    <row r="1498" customFormat="false" ht="12.75" hidden="false" customHeight="true" outlineLevel="0" collapsed="false">
      <c r="A1498" s="1" t="s">
        <v>1640</v>
      </c>
    </row>
    <row r="1499" customFormat="false" ht="12.75" hidden="false" customHeight="true" outlineLevel="0" collapsed="false">
      <c r="A1499" s="1" t="s">
        <v>1641</v>
      </c>
    </row>
    <row r="1500" customFormat="false" ht="12.75" hidden="false" customHeight="true" outlineLevel="0" collapsed="false">
      <c r="A1500" s="1" t="s">
        <v>1642</v>
      </c>
    </row>
    <row r="1501" customFormat="false" ht="12.75" hidden="false" customHeight="true" outlineLevel="0" collapsed="false">
      <c r="A1501" s="1" t="s">
        <v>1643</v>
      </c>
    </row>
    <row r="1502" customFormat="false" ht="12.75" hidden="false" customHeight="true" outlineLevel="0" collapsed="false"/>
    <row r="1503" customFormat="false" ht="12.75" hidden="false" customHeight="true" outlineLevel="0" collapsed="false">
      <c r="A1503" s="1" t="s">
        <v>1210</v>
      </c>
    </row>
    <row r="1504" customFormat="false" ht="12.75" hidden="false" customHeight="true" outlineLevel="0" collapsed="false">
      <c r="A1504" s="1" t="s">
        <v>1644</v>
      </c>
    </row>
    <row r="1505" customFormat="false" ht="12.75" hidden="false" customHeight="true" outlineLevel="0" collapsed="false">
      <c r="A1505" s="1" t="s">
        <v>1645</v>
      </c>
    </row>
    <row r="1506" customFormat="false" ht="12.75" hidden="false" customHeight="true" outlineLevel="0" collapsed="false"/>
    <row r="1507" customFormat="false" ht="12.75" hidden="false" customHeight="true" outlineLevel="0" collapsed="false">
      <c r="A1507" s="1" t="s">
        <v>1211</v>
      </c>
    </row>
    <row r="1508" customFormat="false" ht="12.75" hidden="false" customHeight="true" outlineLevel="0" collapsed="false">
      <c r="A1508" s="1" t="s">
        <v>1646</v>
      </c>
    </row>
    <row r="1509" customFormat="false" ht="12.75" hidden="false" customHeight="true" outlineLevel="0" collapsed="false">
      <c r="A1509" s="1" t="s">
        <v>1647</v>
      </c>
    </row>
    <row r="1510" customFormat="false" ht="12.75" hidden="false" customHeight="true" outlineLevel="0" collapsed="false"/>
    <row r="1511" customFormat="false" ht="12.75" hidden="false" customHeight="true" outlineLevel="0" collapsed="false">
      <c r="A1511" s="1" t="s">
        <v>1212</v>
      </c>
    </row>
    <row r="1512" customFormat="false" ht="12.75" hidden="false" customHeight="true" outlineLevel="0" collapsed="false">
      <c r="A1512" s="1" t="s">
        <v>1648</v>
      </c>
    </row>
    <row r="1513" customFormat="false" ht="12.75" hidden="false" customHeight="true" outlineLevel="0" collapsed="false">
      <c r="A1513" s="1" t="s">
        <v>1649</v>
      </c>
    </row>
    <row r="1514" customFormat="false" ht="12.75" hidden="false" customHeight="true" outlineLevel="0" collapsed="false">
      <c r="A1514" s="1" t="s">
        <v>1654</v>
      </c>
    </row>
    <row r="1515" customFormat="false" ht="12.75" hidden="false" customHeight="true" outlineLevel="0" collapsed="false">
      <c r="A1515" s="1" t="s">
        <v>1638</v>
      </c>
    </row>
    <row r="1516" customFormat="false" ht="12.75" hidden="false" customHeight="true" outlineLevel="0" collapsed="false">
      <c r="A1516" s="1" t="s">
        <v>1639</v>
      </c>
    </row>
    <row r="1517" customFormat="false" ht="12.75" hidden="false" customHeight="true" outlineLevel="0" collapsed="false"/>
    <row r="1518" customFormat="false" ht="12.75" hidden="false" customHeight="true" outlineLevel="0" collapsed="false">
      <c r="A1518" s="1" t="s">
        <v>1209</v>
      </c>
    </row>
    <row r="1519" customFormat="false" ht="12.75" hidden="false" customHeight="true" outlineLevel="0" collapsed="false">
      <c r="A1519" s="1" t="s">
        <v>1640</v>
      </c>
    </row>
    <row r="1520" customFormat="false" ht="12.75" hidden="false" customHeight="true" outlineLevel="0" collapsed="false">
      <c r="A1520" s="1" t="s">
        <v>1641</v>
      </c>
    </row>
    <row r="1521" customFormat="false" ht="12.75" hidden="false" customHeight="true" outlineLevel="0" collapsed="false">
      <c r="A1521" s="1" t="s">
        <v>1642</v>
      </c>
    </row>
    <row r="1522" customFormat="false" ht="12.75" hidden="false" customHeight="true" outlineLevel="0" collapsed="false">
      <c r="A1522" s="1" t="s">
        <v>1643</v>
      </c>
    </row>
    <row r="1523" customFormat="false" ht="12.75" hidden="false" customHeight="true" outlineLevel="0" collapsed="false"/>
    <row r="1524" customFormat="false" ht="12.75" hidden="false" customHeight="true" outlineLevel="0" collapsed="false">
      <c r="A1524" s="1" t="s">
        <v>1210</v>
      </c>
    </row>
    <row r="1525" customFormat="false" ht="12.75" hidden="false" customHeight="true" outlineLevel="0" collapsed="false">
      <c r="A1525" s="1" t="s">
        <v>1644</v>
      </c>
    </row>
    <row r="1526" customFormat="false" ht="12.75" hidden="false" customHeight="true" outlineLevel="0" collapsed="false">
      <c r="A1526" s="1" t="s">
        <v>1645</v>
      </c>
    </row>
    <row r="1527" customFormat="false" ht="12.75" hidden="false" customHeight="true" outlineLevel="0" collapsed="false"/>
    <row r="1528" customFormat="false" ht="12.75" hidden="false" customHeight="true" outlineLevel="0" collapsed="false">
      <c r="A1528" s="1" t="s">
        <v>1211</v>
      </c>
    </row>
    <row r="1529" customFormat="false" ht="12.75" hidden="false" customHeight="true" outlineLevel="0" collapsed="false">
      <c r="A1529" s="1" t="s">
        <v>1646</v>
      </c>
    </row>
    <row r="1530" customFormat="false" ht="12.75" hidden="false" customHeight="true" outlineLevel="0" collapsed="false">
      <c r="A1530" s="1" t="s">
        <v>1647</v>
      </c>
    </row>
    <row r="1531" customFormat="false" ht="12.75" hidden="false" customHeight="true" outlineLevel="0" collapsed="false"/>
    <row r="1532" customFormat="false" ht="12.75" hidden="false" customHeight="true" outlineLevel="0" collapsed="false">
      <c r="A1532" s="1" t="s">
        <v>1212</v>
      </c>
    </row>
    <row r="1533" customFormat="false" ht="12.75" hidden="false" customHeight="true" outlineLevel="0" collapsed="false">
      <c r="A1533" s="1" t="s">
        <v>1648</v>
      </c>
    </row>
    <row r="1534" customFormat="false" ht="12.75" hidden="false" customHeight="true" outlineLevel="0" collapsed="false">
      <c r="A1534" s="1" t="s">
        <v>1649</v>
      </c>
    </row>
    <row r="1535" customFormat="false" ht="12.75" hidden="false" customHeight="true" outlineLevel="0" collapsed="false">
      <c r="A1535" s="1" t="s">
        <v>1655</v>
      </c>
    </row>
    <row r="1536" customFormat="false" ht="12.75" hidden="false" customHeight="true" outlineLevel="0" collapsed="false">
      <c r="A1536" s="1" t="s">
        <v>1638</v>
      </c>
    </row>
    <row r="1537" customFormat="false" ht="12.75" hidden="false" customHeight="true" outlineLevel="0" collapsed="false">
      <c r="A1537" s="1" t="s">
        <v>1639</v>
      </c>
    </row>
    <row r="1538" customFormat="false" ht="12.75" hidden="false" customHeight="true" outlineLevel="0" collapsed="false"/>
    <row r="1539" customFormat="false" ht="12.75" hidden="false" customHeight="true" outlineLevel="0" collapsed="false">
      <c r="A1539" s="1" t="s">
        <v>1209</v>
      </c>
    </row>
    <row r="1540" customFormat="false" ht="12.75" hidden="false" customHeight="true" outlineLevel="0" collapsed="false">
      <c r="A1540" s="1" t="s">
        <v>1640</v>
      </c>
    </row>
    <row r="1541" customFormat="false" ht="12.75" hidden="false" customHeight="true" outlineLevel="0" collapsed="false">
      <c r="A1541" s="1" t="s">
        <v>1641</v>
      </c>
    </row>
    <row r="1542" customFormat="false" ht="12.75" hidden="false" customHeight="true" outlineLevel="0" collapsed="false">
      <c r="A1542" s="1" t="s">
        <v>1642</v>
      </c>
    </row>
    <row r="1543" customFormat="false" ht="12.75" hidden="false" customHeight="true" outlineLevel="0" collapsed="false">
      <c r="A1543" s="1" t="s">
        <v>1643</v>
      </c>
    </row>
    <row r="1544" customFormat="false" ht="12.75" hidden="false" customHeight="true" outlineLevel="0" collapsed="false"/>
    <row r="1545" customFormat="false" ht="12.75" hidden="false" customHeight="true" outlineLevel="0" collapsed="false">
      <c r="A1545" s="1" t="s">
        <v>1210</v>
      </c>
    </row>
    <row r="1546" customFormat="false" ht="12.75" hidden="false" customHeight="true" outlineLevel="0" collapsed="false">
      <c r="A1546" s="1" t="s">
        <v>1644</v>
      </c>
    </row>
    <row r="1547" customFormat="false" ht="12.75" hidden="false" customHeight="true" outlineLevel="0" collapsed="false">
      <c r="A1547" s="1" t="s">
        <v>1645</v>
      </c>
    </row>
    <row r="1548" customFormat="false" ht="12.75" hidden="false" customHeight="true" outlineLevel="0" collapsed="false"/>
    <row r="1549" customFormat="false" ht="12.75" hidden="false" customHeight="true" outlineLevel="0" collapsed="false">
      <c r="A1549" s="1" t="s">
        <v>1211</v>
      </c>
    </row>
    <row r="1550" customFormat="false" ht="12.75" hidden="false" customHeight="true" outlineLevel="0" collapsed="false">
      <c r="A1550" s="1" t="s">
        <v>1646</v>
      </c>
    </row>
    <row r="1551" customFormat="false" ht="12.75" hidden="false" customHeight="true" outlineLevel="0" collapsed="false">
      <c r="A1551" s="1" t="s">
        <v>1647</v>
      </c>
    </row>
    <row r="1552" customFormat="false" ht="12.75" hidden="false" customHeight="true" outlineLevel="0" collapsed="false"/>
    <row r="1553" customFormat="false" ht="12.75" hidden="false" customHeight="true" outlineLevel="0" collapsed="false">
      <c r="A1553" s="1" t="s">
        <v>1212</v>
      </c>
    </row>
    <row r="1554" customFormat="false" ht="12.75" hidden="false" customHeight="true" outlineLevel="0" collapsed="false">
      <c r="A1554" s="1" t="s">
        <v>1648</v>
      </c>
    </row>
    <row r="1555" customFormat="false" ht="12.75" hidden="false" customHeight="true" outlineLevel="0" collapsed="false">
      <c r="A1555" s="1" t="s">
        <v>1649</v>
      </c>
    </row>
    <row r="1556" customFormat="false" ht="12.75" hidden="false" customHeight="true" outlineLevel="0" collapsed="false">
      <c r="A1556" s="1" t="s">
        <v>1656</v>
      </c>
    </row>
    <row r="1557" customFormat="false" ht="12.75" hidden="false" customHeight="true" outlineLevel="0" collapsed="false">
      <c r="A1557" s="1" t="s">
        <v>1638</v>
      </c>
    </row>
    <row r="1558" customFormat="false" ht="12.75" hidden="false" customHeight="true" outlineLevel="0" collapsed="false">
      <c r="A1558" s="1" t="s">
        <v>1639</v>
      </c>
    </row>
    <row r="1559" customFormat="false" ht="12.75" hidden="false" customHeight="true" outlineLevel="0" collapsed="false"/>
    <row r="1560" customFormat="false" ht="12.75" hidden="false" customHeight="true" outlineLevel="0" collapsed="false">
      <c r="A1560" s="1" t="s">
        <v>1209</v>
      </c>
    </row>
    <row r="1561" customFormat="false" ht="12.75" hidden="false" customHeight="true" outlineLevel="0" collapsed="false">
      <c r="A1561" s="1" t="s">
        <v>1640</v>
      </c>
    </row>
    <row r="1562" customFormat="false" ht="12.75" hidden="false" customHeight="true" outlineLevel="0" collapsed="false">
      <c r="A1562" s="1" t="s">
        <v>1641</v>
      </c>
    </row>
    <row r="1563" customFormat="false" ht="12.75" hidden="false" customHeight="true" outlineLevel="0" collapsed="false">
      <c r="A1563" s="1" t="s">
        <v>1642</v>
      </c>
    </row>
    <row r="1564" customFormat="false" ht="12.75" hidden="false" customHeight="true" outlineLevel="0" collapsed="false">
      <c r="A1564" s="1" t="s">
        <v>1643</v>
      </c>
    </row>
    <row r="1565" customFormat="false" ht="12.75" hidden="false" customHeight="true" outlineLevel="0" collapsed="false"/>
    <row r="1566" customFormat="false" ht="12.75" hidden="false" customHeight="true" outlineLevel="0" collapsed="false">
      <c r="A1566" s="1" t="s">
        <v>1210</v>
      </c>
    </row>
    <row r="1567" customFormat="false" ht="12.75" hidden="false" customHeight="true" outlineLevel="0" collapsed="false">
      <c r="A1567" s="1" t="s">
        <v>1644</v>
      </c>
    </row>
    <row r="1568" customFormat="false" ht="12.75" hidden="false" customHeight="true" outlineLevel="0" collapsed="false">
      <c r="A1568" s="1" t="s">
        <v>1645</v>
      </c>
    </row>
    <row r="1569" customFormat="false" ht="12.75" hidden="false" customHeight="true" outlineLevel="0" collapsed="false"/>
    <row r="1570" customFormat="false" ht="12.75" hidden="false" customHeight="true" outlineLevel="0" collapsed="false">
      <c r="A1570" s="1" t="s">
        <v>1211</v>
      </c>
    </row>
    <row r="1571" customFormat="false" ht="12.75" hidden="false" customHeight="true" outlineLevel="0" collapsed="false">
      <c r="A1571" s="1" t="s">
        <v>1646</v>
      </c>
    </row>
    <row r="1572" customFormat="false" ht="12.75" hidden="false" customHeight="true" outlineLevel="0" collapsed="false">
      <c r="A1572" s="1" t="s">
        <v>1647</v>
      </c>
    </row>
    <row r="1573" customFormat="false" ht="12.75" hidden="false" customHeight="true" outlineLevel="0" collapsed="false"/>
    <row r="1574" customFormat="false" ht="12.75" hidden="false" customHeight="true" outlineLevel="0" collapsed="false">
      <c r="A1574" s="1" t="s">
        <v>1212</v>
      </c>
    </row>
    <row r="1575" customFormat="false" ht="12.75" hidden="false" customHeight="true" outlineLevel="0" collapsed="false">
      <c r="A1575" s="1" t="s">
        <v>1648</v>
      </c>
    </row>
    <row r="1576" customFormat="false" ht="12.75" hidden="false" customHeight="true" outlineLevel="0" collapsed="false">
      <c r="A1576" s="1" t="s">
        <v>1649</v>
      </c>
    </row>
    <row r="1577" customFormat="false" ht="12.75" hidden="false" customHeight="true" outlineLevel="0" collapsed="false">
      <c r="A1577" s="1" t="s">
        <v>1657</v>
      </c>
    </row>
    <row r="1578" customFormat="false" ht="12.75" hidden="false" customHeight="true" outlineLevel="0" collapsed="false">
      <c r="A1578" s="1" t="s">
        <v>1638</v>
      </c>
    </row>
    <row r="1579" customFormat="false" ht="12.75" hidden="false" customHeight="true" outlineLevel="0" collapsed="false">
      <c r="A1579" s="1" t="s">
        <v>1639</v>
      </c>
    </row>
    <row r="1580" customFormat="false" ht="12.75" hidden="false" customHeight="true" outlineLevel="0" collapsed="false"/>
    <row r="1581" customFormat="false" ht="12.75" hidden="false" customHeight="true" outlineLevel="0" collapsed="false">
      <c r="A1581" s="1" t="s">
        <v>1209</v>
      </c>
    </row>
    <row r="1582" customFormat="false" ht="12.75" hidden="false" customHeight="true" outlineLevel="0" collapsed="false">
      <c r="A1582" s="1" t="s">
        <v>1640</v>
      </c>
    </row>
    <row r="1583" customFormat="false" ht="12.75" hidden="false" customHeight="true" outlineLevel="0" collapsed="false">
      <c r="A1583" s="1" t="s">
        <v>1641</v>
      </c>
    </row>
    <row r="1584" customFormat="false" ht="12.75" hidden="false" customHeight="true" outlineLevel="0" collapsed="false">
      <c r="A1584" s="1" t="s">
        <v>1642</v>
      </c>
    </row>
    <row r="1585" customFormat="false" ht="12.75" hidden="false" customHeight="true" outlineLevel="0" collapsed="false">
      <c r="A1585" s="1" t="s">
        <v>1643</v>
      </c>
    </row>
    <row r="1586" customFormat="false" ht="12.75" hidden="false" customHeight="true" outlineLevel="0" collapsed="false"/>
    <row r="1587" customFormat="false" ht="12.75" hidden="false" customHeight="true" outlineLevel="0" collapsed="false">
      <c r="A1587" s="1" t="s">
        <v>1210</v>
      </c>
    </row>
    <row r="1588" customFormat="false" ht="12.75" hidden="false" customHeight="true" outlineLevel="0" collapsed="false">
      <c r="A1588" s="1" t="s">
        <v>1644</v>
      </c>
    </row>
    <row r="1589" customFormat="false" ht="12.75" hidden="false" customHeight="true" outlineLevel="0" collapsed="false">
      <c r="A1589" s="1" t="s">
        <v>1645</v>
      </c>
    </row>
    <row r="1590" customFormat="false" ht="12.75" hidden="false" customHeight="true" outlineLevel="0" collapsed="false"/>
    <row r="1591" customFormat="false" ht="12.75" hidden="false" customHeight="true" outlineLevel="0" collapsed="false">
      <c r="A1591" s="1" t="s">
        <v>1211</v>
      </c>
    </row>
    <row r="1592" customFormat="false" ht="12.75" hidden="false" customHeight="true" outlineLevel="0" collapsed="false">
      <c r="A1592" s="1" t="s">
        <v>1646</v>
      </c>
    </row>
    <row r="1593" customFormat="false" ht="12.75" hidden="false" customHeight="true" outlineLevel="0" collapsed="false">
      <c r="A1593" s="1" t="s">
        <v>1647</v>
      </c>
    </row>
    <row r="1594" customFormat="false" ht="12.75" hidden="false" customHeight="true" outlineLevel="0" collapsed="false"/>
    <row r="1595" customFormat="false" ht="12.75" hidden="false" customHeight="true" outlineLevel="0" collapsed="false">
      <c r="A1595" s="1" t="s">
        <v>1212</v>
      </c>
    </row>
    <row r="1596" customFormat="false" ht="12.75" hidden="false" customHeight="true" outlineLevel="0" collapsed="false">
      <c r="A1596" s="1" t="s">
        <v>1648</v>
      </c>
    </row>
    <row r="1597" customFormat="false" ht="12.75" hidden="false" customHeight="true" outlineLevel="0" collapsed="false">
      <c r="A1597" s="1" t="s">
        <v>1649</v>
      </c>
    </row>
    <row r="1598" customFormat="false" ht="12.75" hidden="false" customHeight="true" outlineLevel="0" collapsed="false">
      <c r="A1598" s="1" t="s">
        <v>1658</v>
      </c>
    </row>
    <row r="1599" customFormat="false" ht="12.75" hidden="false" customHeight="true" outlineLevel="0" collapsed="false">
      <c r="A1599" s="1" t="s">
        <v>1638</v>
      </c>
    </row>
    <row r="1600" customFormat="false" ht="12.75" hidden="false" customHeight="true" outlineLevel="0" collapsed="false">
      <c r="A1600" s="1" t="s">
        <v>1639</v>
      </c>
    </row>
    <row r="1601" customFormat="false" ht="12.75" hidden="false" customHeight="true" outlineLevel="0" collapsed="false"/>
    <row r="1602" customFormat="false" ht="12.75" hidden="false" customHeight="true" outlineLevel="0" collapsed="false">
      <c r="A1602" s="1" t="s">
        <v>1209</v>
      </c>
    </row>
    <row r="1603" customFormat="false" ht="12.75" hidden="false" customHeight="true" outlineLevel="0" collapsed="false">
      <c r="A1603" s="1" t="s">
        <v>1640</v>
      </c>
    </row>
    <row r="1604" customFormat="false" ht="12.75" hidden="false" customHeight="true" outlineLevel="0" collapsed="false">
      <c r="A1604" s="1" t="s">
        <v>1641</v>
      </c>
    </row>
    <row r="1605" customFormat="false" ht="12.75" hidden="false" customHeight="true" outlineLevel="0" collapsed="false">
      <c r="A1605" s="1" t="s">
        <v>1642</v>
      </c>
    </row>
    <row r="1606" customFormat="false" ht="12.75" hidden="false" customHeight="true" outlineLevel="0" collapsed="false">
      <c r="A1606" s="1" t="s">
        <v>1643</v>
      </c>
    </row>
    <row r="1607" customFormat="false" ht="12.75" hidden="false" customHeight="true" outlineLevel="0" collapsed="false"/>
    <row r="1608" customFormat="false" ht="12.75" hidden="false" customHeight="true" outlineLevel="0" collapsed="false">
      <c r="A1608" s="1" t="s">
        <v>1210</v>
      </c>
    </row>
    <row r="1609" customFormat="false" ht="12.75" hidden="false" customHeight="true" outlineLevel="0" collapsed="false">
      <c r="A1609" s="1" t="s">
        <v>1644</v>
      </c>
    </row>
    <row r="1610" customFormat="false" ht="12.75" hidden="false" customHeight="true" outlineLevel="0" collapsed="false">
      <c r="A1610" s="1" t="s">
        <v>1645</v>
      </c>
    </row>
    <row r="1611" customFormat="false" ht="12.75" hidden="false" customHeight="true" outlineLevel="0" collapsed="false"/>
    <row r="1612" customFormat="false" ht="12.75" hidden="false" customHeight="true" outlineLevel="0" collapsed="false">
      <c r="A1612" s="1" t="s">
        <v>1211</v>
      </c>
    </row>
    <row r="1613" customFormat="false" ht="12.75" hidden="false" customHeight="true" outlineLevel="0" collapsed="false">
      <c r="A1613" s="1" t="s">
        <v>1646</v>
      </c>
    </row>
    <row r="1614" customFormat="false" ht="12.75" hidden="false" customHeight="true" outlineLevel="0" collapsed="false">
      <c r="A1614" s="1" t="s">
        <v>1647</v>
      </c>
    </row>
    <row r="1615" customFormat="false" ht="12.75" hidden="false" customHeight="true" outlineLevel="0" collapsed="false"/>
    <row r="1616" customFormat="false" ht="12.75" hidden="false" customHeight="true" outlineLevel="0" collapsed="false">
      <c r="A1616" s="1" t="s">
        <v>1212</v>
      </c>
    </row>
    <row r="1617" customFormat="false" ht="12.75" hidden="false" customHeight="true" outlineLevel="0" collapsed="false">
      <c r="A1617" s="1" t="s">
        <v>1648</v>
      </c>
    </row>
    <row r="1618" customFormat="false" ht="12.75" hidden="false" customHeight="true" outlineLevel="0" collapsed="false">
      <c r="A1618" s="1" t="s">
        <v>1649</v>
      </c>
    </row>
    <row r="1619" customFormat="false" ht="12.75" hidden="false" customHeight="true" outlineLevel="0" collapsed="false">
      <c r="A1619" s="1" t="s">
        <v>1659</v>
      </c>
    </row>
    <row r="1620" customFormat="false" ht="12.75" hidden="false" customHeight="true" outlineLevel="0" collapsed="false">
      <c r="A1620" s="1" t="s">
        <v>1638</v>
      </c>
    </row>
    <row r="1621" customFormat="false" ht="12.75" hidden="false" customHeight="true" outlineLevel="0" collapsed="false">
      <c r="A1621" s="1" t="s">
        <v>1639</v>
      </c>
    </row>
    <row r="1622" customFormat="false" ht="12.75" hidden="false" customHeight="true" outlineLevel="0" collapsed="false"/>
    <row r="1623" customFormat="false" ht="12.75" hidden="false" customHeight="true" outlineLevel="0" collapsed="false">
      <c r="A1623" s="1" t="s">
        <v>1209</v>
      </c>
    </row>
    <row r="1624" customFormat="false" ht="12.75" hidden="false" customHeight="true" outlineLevel="0" collapsed="false">
      <c r="A1624" s="1" t="s">
        <v>1640</v>
      </c>
    </row>
    <row r="1625" customFormat="false" ht="12.75" hidden="false" customHeight="true" outlineLevel="0" collapsed="false">
      <c r="A1625" s="1" t="s">
        <v>1641</v>
      </c>
    </row>
    <row r="1626" customFormat="false" ht="12.75" hidden="false" customHeight="true" outlineLevel="0" collapsed="false">
      <c r="A1626" s="1" t="s">
        <v>1642</v>
      </c>
    </row>
    <row r="1627" customFormat="false" ht="12.75" hidden="false" customHeight="true" outlineLevel="0" collapsed="false">
      <c r="A1627" s="1" t="s">
        <v>1660</v>
      </c>
    </row>
    <row r="1628" customFormat="false" ht="12.75" hidden="false" customHeight="true" outlineLevel="0" collapsed="false"/>
    <row r="1629" customFormat="false" ht="12.75" hidden="false" customHeight="true" outlineLevel="0" collapsed="false">
      <c r="A1629" s="1" t="s">
        <v>1210</v>
      </c>
    </row>
    <row r="1630" customFormat="false" ht="12.75" hidden="false" customHeight="true" outlineLevel="0" collapsed="false">
      <c r="A1630" s="1" t="s">
        <v>1661</v>
      </c>
    </row>
    <row r="1631" customFormat="false" ht="12.75" hidden="false" customHeight="true" outlineLevel="0" collapsed="false">
      <c r="A1631" s="1" t="s">
        <v>1645</v>
      </c>
    </row>
    <row r="1632" customFormat="false" ht="12.75" hidden="false" customHeight="true" outlineLevel="0" collapsed="false"/>
    <row r="1633" customFormat="false" ht="12.75" hidden="false" customHeight="true" outlineLevel="0" collapsed="false">
      <c r="A1633" s="1" t="s">
        <v>1211</v>
      </c>
    </row>
    <row r="1634" customFormat="false" ht="12.75" hidden="false" customHeight="true" outlineLevel="0" collapsed="false">
      <c r="A1634" s="1" t="s">
        <v>1646</v>
      </c>
    </row>
    <row r="1635" customFormat="false" ht="12.75" hidden="false" customHeight="true" outlineLevel="0" collapsed="false">
      <c r="A1635" s="1" t="s">
        <v>1647</v>
      </c>
    </row>
    <row r="1636" customFormat="false" ht="12.75" hidden="false" customHeight="true" outlineLevel="0" collapsed="false"/>
    <row r="1637" customFormat="false" ht="12.75" hidden="false" customHeight="true" outlineLevel="0" collapsed="false">
      <c r="A1637" s="1" t="s">
        <v>1212</v>
      </c>
    </row>
    <row r="1638" customFormat="false" ht="12.75" hidden="false" customHeight="true" outlineLevel="0" collapsed="false">
      <c r="A1638" s="1" t="s">
        <v>1648</v>
      </c>
    </row>
    <row r="1639" customFormat="false" ht="12.75" hidden="false" customHeight="true" outlineLevel="0" collapsed="false">
      <c r="A1639" s="1" t="s">
        <v>1649</v>
      </c>
    </row>
    <row r="1640" customFormat="false" ht="12.75" hidden="false" customHeight="true" outlineLevel="0" collapsed="false">
      <c r="A1640" s="1" t="s">
        <v>1662</v>
      </c>
    </row>
    <row r="1641" customFormat="false" ht="12.75" hidden="false" customHeight="true" outlineLevel="0" collapsed="false">
      <c r="A1641" s="1" t="s">
        <v>1638</v>
      </c>
    </row>
    <row r="1642" customFormat="false" ht="12.75" hidden="false" customHeight="true" outlineLevel="0" collapsed="false">
      <c r="A1642" s="1" t="s">
        <v>1639</v>
      </c>
    </row>
    <row r="1643" customFormat="false" ht="12.75" hidden="false" customHeight="true" outlineLevel="0" collapsed="false"/>
    <row r="1644" customFormat="false" ht="12.75" hidden="false" customHeight="true" outlineLevel="0" collapsed="false">
      <c r="A1644" s="1" t="s">
        <v>1209</v>
      </c>
    </row>
    <row r="1645" customFormat="false" ht="12.75" hidden="false" customHeight="true" outlineLevel="0" collapsed="false">
      <c r="A1645" s="1" t="s">
        <v>1640</v>
      </c>
    </row>
    <row r="1646" customFormat="false" ht="12.75" hidden="false" customHeight="true" outlineLevel="0" collapsed="false">
      <c r="A1646" s="1" t="s">
        <v>1641</v>
      </c>
    </row>
    <row r="1647" customFormat="false" ht="12.75" hidden="false" customHeight="true" outlineLevel="0" collapsed="false">
      <c r="A1647" s="1" t="s">
        <v>1642</v>
      </c>
    </row>
    <row r="1648" customFormat="false" ht="12.75" hidden="false" customHeight="true" outlineLevel="0" collapsed="false">
      <c r="A1648" s="1" t="s">
        <v>1660</v>
      </c>
    </row>
    <row r="1649" customFormat="false" ht="12.75" hidden="false" customHeight="true" outlineLevel="0" collapsed="false"/>
    <row r="1650" customFormat="false" ht="12.75" hidden="false" customHeight="true" outlineLevel="0" collapsed="false">
      <c r="A1650" s="1" t="s">
        <v>1210</v>
      </c>
    </row>
    <row r="1651" customFormat="false" ht="12.75" hidden="false" customHeight="true" outlineLevel="0" collapsed="false">
      <c r="A1651" s="1" t="s">
        <v>1661</v>
      </c>
    </row>
    <row r="1652" customFormat="false" ht="12.75" hidden="false" customHeight="true" outlineLevel="0" collapsed="false">
      <c r="A1652" s="1" t="s">
        <v>1645</v>
      </c>
    </row>
    <row r="1653" customFormat="false" ht="12.75" hidden="false" customHeight="true" outlineLevel="0" collapsed="false"/>
    <row r="1654" customFormat="false" ht="12.75" hidden="false" customHeight="true" outlineLevel="0" collapsed="false">
      <c r="A1654" s="1" t="s">
        <v>1211</v>
      </c>
    </row>
    <row r="1655" customFormat="false" ht="12.75" hidden="false" customHeight="true" outlineLevel="0" collapsed="false">
      <c r="A1655" s="1" t="s">
        <v>1646</v>
      </c>
    </row>
    <row r="1656" customFormat="false" ht="12.75" hidden="false" customHeight="true" outlineLevel="0" collapsed="false">
      <c r="A1656" s="1" t="s">
        <v>1647</v>
      </c>
    </row>
    <row r="1657" customFormat="false" ht="12.75" hidden="false" customHeight="true" outlineLevel="0" collapsed="false"/>
    <row r="1658" customFormat="false" ht="12.75" hidden="false" customHeight="true" outlineLevel="0" collapsed="false">
      <c r="A1658" s="1" t="s">
        <v>1212</v>
      </c>
    </row>
    <row r="1659" customFormat="false" ht="12.75" hidden="false" customHeight="true" outlineLevel="0" collapsed="false">
      <c r="A1659" s="1" t="s">
        <v>1648</v>
      </c>
    </row>
    <row r="1660" customFormat="false" ht="12.75" hidden="false" customHeight="true" outlineLevel="0" collapsed="false">
      <c r="A1660" s="1" t="s">
        <v>1649</v>
      </c>
    </row>
    <row r="1661" customFormat="false" ht="12.75" hidden="false" customHeight="true" outlineLevel="0" collapsed="false">
      <c r="A1661" s="1" t="s">
        <v>1663</v>
      </c>
    </row>
    <row r="1662" customFormat="false" ht="12.75" hidden="false" customHeight="true" outlineLevel="0" collapsed="false">
      <c r="A1662" s="1" t="s">
        <v>1638</v>
      </c>
    </row>
    <row r="1663" customFormat="false" ht="12.75" hidden="false" customHeight="true" outlineLevel="0" collapsed="false">
      <c r="A1663" s="1" t="s">
        <v>1639</v>
      </c>
    </row>
    <row r="1664" customFormat="false" ht="12.75" hidden="false" customHeight="true" outlineLevel="0" collapsed="false"/>
    <row r="1665" customFormat="false" ht="12.75" hidden="false" customHeight="true" outlineLevel="0" collapsed="false">
      <c r="A1665" s="1" t="s">
        <v>1209</v>
      </c>
    </row>
    <row r="1666" customFormat="false" ht="12.75" hidden="false" customHeight="true" outlineLevel="0" collapsed="false">
      <c r="A1666" s="1" t="s">
        <v>1640</v>
      </c>
    </row>
    <row r="1667" customFormat="false" ht="12.75" hidden="false" customHeight="true" outlineLevel="0" collapsed="false">
      <c r="A1667" s="1" t="s">
        <v>1641</v>
      </c>
    </row>
    <row r="1668" customFormat="false" ht="12.75" hidden="false" customHeight="true" outlineLevel="0" collapsed="false">
      <c r="A1668" s="1" t="s">
        <v>1642</v>
      </c>
    </row>
    <row r="1669" customFormat="false" ht="12.75" hidden="false" customHeight="true" outlineLevel="0" collapsed="false">
      <c r="A1669" s="1" t="s">
        <v>1660</v>
      </c>
    </row>
    <row r="1670" customFormat="false" ht="12.75" hidden="false" customHeight="true" outlineLevel="0" collapsed="false"/>
    <row r="1671" customFormat="false" ht="12.75" hidden="false" customHeight="true" outlineLevel="0" collapsed="false">
      <c r="A1671" s="1" t="s">
        <v>1210</v>
      </c>
    </row>
    <row r="1672" customFormat="false" ht="12.75" hidden="false" customHeight="true" outlineLevel="0" collapsed="false">
      <c r="A1672" s="1" t="s">
        <v>1661</v>
      </c>
    </row>
    <row r="1673" customFormat="false" ht="12.75" hidden="false" customHeight="true" outlineLevel="0" collapsed="false">
      <c r="A1673" s="1" t="s">
        <v>1645</v>
      </c>
    </row>
    <row r="1674" customFormat="false" ht="12.75" hidden="false" customHeight="true" outlineLevel="0" collapsed="false"/>
    <row r="1675" customFormat="false" ht="12.75" hidden="false" customHeight="true" outlineLevel="0" collapsed="false">
      <c r="A1675" s="1" t="s">
        <v>1211</v>
      </c>
    </row>
    <row r="1676" customFormat="false" ht="12.75" hidden="false" customHeight="true" outlineLevel="0" collapsed="false">
      <c r="A1676" s="1" t="s">
        <v>1646</v>
      </c>
    </row>
    <row r="1677" customFormat="false" ht="12.75" hidden="false" customHeight="true" outlineLevel="0" collapsed="false">
      <c r="A1677" s="1" t="s">
        <v>1647</v>
      </c>
    </row>
    <row r="1678" customFormat="false" ht="12.75" hidden="false" customHeight="true" outlineLevel="0" collapsed="false"/>
    <row r="1679" customFormat="false" ht="12.75" hidden="false" customHeight="true" outlineLevel="0" collapsed="false">
      <c r="A1679" s="1" t="s">
        <v>1212</v>
      </c>
    </row>
    <row r="1680" customFormat="false" ht="12.75" hidden="false" customHeight="true" outlineLevel="0" collapsed="false">
      <c r="A1680" s="1" t="s">
        <v>1648</v>
      </c>
    </row>
    <row r="1681" customFormat="false" ht="12.75" hidden="false" customHeight="true" outlineLevel="0" collapsed="false">
      <c r="A1681" s="1" t="s">
        <v>1649</v>
      </c>
    </row>
    <row r="1682" customFormat="false" ht="12.75" hidden="false" customHeight="true" outlineLevel="0" collapsed="false">
      <c r="A1682" s="1" t="s">
        <v>1664</v>
      </c>
    </row>
    <row r="1683" customFormat="false" ht="12.75" hidden="false" customHeight="true" outlineLevel="0" collapsed="false">
      <c r="A1683" s="1" t="s">
        <v>1638</v>
      </c>
    </row>
    <row r="1684" customFormat="false" ht="12.75" hidden="false" customHeight="true" outlineLevel="0" collapsed="false">
      <c r="A1684" s="1" t="s">
        <v>1639</v>
      </c>
    </row>
    <row r="1685" customFormat="false" ht="12.75" hidden="false" customHeight="true" outlineLevel="0" collapsed="false"/>
    <row r="1686" customFormat="false" ht="12.75" hidden="false" customHeight="true" outlineLevel="0" collapsed="false">
      <c r="A1686" s="1" t="s">
        <v>1209</v>
      </c>
    </row>
    <row r="1687" customFormat="false" ht="12.75" hidden="false" customHeight="true" outlineLevel="0" collapsed="false">
      <c r="A1687" s="1" t="s">
        <v>1640</v>
      </c>
    </row>
    <row r="1688" customFormat="false" ht="12.75" hidden="false" customHeight="true" outlineLevel="0" collapsed="false">
      <c r="A1688" s="1" t="s">
        <v>1641</v>
      </c>
    </row>
    <row r="1689" customFormat="false" ht="12.75" hidden="false" customHeight="true" outlineLevel="0" collapsed="false">
      <c r="A1689" s="1" t="s">
        <v>1642</v>
      </c>
    </row>
    <row r="1690" customFormat="false" ht="12.75" hidden="false" customHeight="true" outlineLevel="0" collapsed="false">
      <c r="A1690" s="1" t="s">
        <v>1660</v>
      </c>
    </row>
    <row r="1691" customFormat="false" ht="12.75" hidden="false" customHeight="true" outlineLevel="0" collapsed="false"/>
    <row r="1692" customFormat="false" ht="12.75" hidden="false" customHeight="true" outlineLevel="0" collapsed="false">
      <c r="A1692" s="1" t="s">
        <v>1210</v>
      </c>
    </row>
    <row r="1693" customFormat="false" ht="12.75" hidden="false" customHeight="true" outlineLevel="0" collapsed="false">
      <c r="A1693" s="1" t="s">
        <v>1661</v>
      </c>
    </row>
    <row r="1694" customFormat="false" ht="12.75" hidden="false" customHeight="true" outlineLevel="0" collapsed="false">
      <c r="A1694" s="1" t="s">
        <v>1645</v>
      </c>
    </row>
    <row r="1695" customFormat="false" ht="12.75" hidden="false" customHeight="true" outlineLevel="0" collapsed="false"/>
    <row r="1696" customFormat="false" ht="12.75" hidden="false" customHeight="true" outlineLevel="0" collapsed="false">
      <c r="A1696" s="1" t="s">
        <v>1211</v>
      </c>
    </row>
    <row r="1697" customFormat="false" ht="12.75" hidden="false" customHeight="true" outlineLevel="0" collapsed="false">
      <c r="A1697" s="1" t="s">
        <v>1646</v>
      </c>
    </row>
    <row r="1698" customFormat="false" ht="12.75" hidden="false" customHeight="true" outlineLevel="0" collapsed="false">
      <c r="A1698" s="1" t="s">
        <v>1647</v>
      </c>
    </row>
    <row r="1699" customFormat="false" ht="12.75" hidden="false" customHeight="true" outlineLevel="0" collapsed="false"/>
    <row r="1700" customFormat="false" ht="12.75" hidden="false" customHeight="true" outlineLevel="0" collapsed="false">
      <c r="A1700" s="1" t="s">
        <v>1212</v>
      </c>
    </row>
    <row r="1701" customFormat="false" ht="12.75" hidden="false" customHeight="true" outlineLevel="0" collapsed="false">
      <c r="A1701" s="1" t="s">
        <v>1648</v>
      </c>
    </row>
    <row r="1702" customFormat="false" ht="12.75" hidden="false" customHeight="true" outlineLevel="0" collapsed="false">
      <c r="A1702" s="1" t="s">
        <v>1649</v>
      </c>
    </row>
    <row r="1703" customFormat="false" ht="12.75" hidden="false" customHeight="true" outlineLevel="0" collapsed="false">
      <c r="A1703" s="1" t="s">
        <v>1665</v>
      </c>
    </row>
    <row r="1704" customFormat="false" ht="12.75" hidden="false" customHeight="true" outlineLevel="0" collapsed="false">
      <c r="A1704" s="1" t="s">
        <v>1666</v>
      </c>
    </row>
    <row r="1705" customFormat="false" ht="12.75" hidden="false" customHeight="true" outlineLevel="0" collapsed="false">
      <c r="A1705" s="1" t="s">
        <v>1667</v>
      </c>
    </row>
    <row r="1706" customFormat="false" ht="12.75" hidden="false" customHeight="true" outlineLevel="0" collapsed="false"/>
    <row r="1707" customFormat="false" ht="12.75" hidden="false" customHeight="true" outlineLevel="0" collapsed="false">
      <c r="A1707" s="1" t="s">
        <v>1209</v>
      </c>
    </row>
    <row r="1708" customFormat="false" ht="12.75" hidden="false" customHeight="true" outlineLevel="0" collapsed="false">
      <c r="A1708" s="1" t="s">
        <v>1668</v>
      </c>
    </row>
    <row r="1709" customFormat="false" ht="12.75" hidden="false" customHeight="true" outlineLevel="0" collapsed="false">
      <c r="A1709" s="1" t="s">
        <v>1669</v>
      </c>
    </row>
    <row r="1710" customFormat="false" ht="12.75" hidden="false" customHeight="true" outlineLevel="0" collapsed="false">
      <c r="A1710" s="1" t="s">
        <v>1509</v>
      </c>
    </row>
    <row r="1711" customFormat="false" ht="12.75" hidden="false" customHeight="true" outlineLevel="0" collapsed="false">
      <c r="A1711" s="1" t="s">
        <v>1670</v>
      </c>
    </row>
    <row r="1712" customFormat="false" ht="12.75" hidden="false" customHeight="true" outlineLevel="0" collapsed="false"/>
    <row r="1713" customFormat="false" ht="12.75" hidden="false" customHeight="true" outlineLevel="0" collapsed="false">
      <c r="A1713" s="1" t="s">
        <v>1210</v>
      </c>
    </row>
    <row r="1714" customFormat="false" ht="12.75" hidden="false" customHeight="true" outlineLevel="0" collapsed="false">
      <c r="A1714" s="1" t="s">
        <v>1671</v>
      </c>
    </row>
    <row r="1715" customFormat="false" ht="12.75" hidden="false" customHeight="true" outlineLevel="0" collapsed="false">
      <c r="A1715" s="1" t="s">
        <v>1672</v>
      </c>
    </row>
    <row r="1716" customFormat="false" ht="12.75" hidden="false" customHeight="true" outlineLevel="0" collapsed="false"/>
    <row r="1717" customFormat="false" ht="12.75" hidden="false" customHeight="true" outlineLevel="0" collapsed="false">
      <c r="A1717" s="1" t="s">
        <v>1211</v>
      </c>
    </row>
    <row r="1718" customFormat="false" ht="12.75" hidden="false" customHeight="true" outlineLevel="0" collapsed="false">
      <c r="A1718" s="1" t="s">
        <v>1673</v>
      </c>
    </row>
    <row r="1719" customFormat="false" ht="12.75" hidden="false" customHeight="true" outlineLevel="0" collapsed="false">
      <c r="A1719" s="1" t="s">
        <v>1674</v>
      </c>
    </row>
    <row r="1720" customFormat="false" ht="12.75" hidden="false" customHeight="true" outlineLevel="0" collapsed="false"/>
    <row r="1721" customFormat="false" ht="12.75" hidden="false" customHeight="true" outlineLevel="0" collapsed="false">
      <c r="A1721" s="1" t="s">
        <v>1212</v>
      </c>
    </row>
    <row r="1722" customFormat="false" ht="12.75" hidden="false" customHeight="true" outlineLevel="0" collapsed="false">
      <c r="A1722" s="1" t="s">
        <v>1675</v>
      </c>
    </row>
    <row r="1723" customFormat="false" ht="12.75" hidden="false" customHeight="true" outlineLevel="0" collapsed="false">
      <c r="A1723" s="1" t="s">
        <v>1676</v>
      </c>
    </row>
    <row r="1724" customFormat="false" ht="12.75" hidden="false" customHeight="true" outlineLevel="0" collapsed="false">
      <c r="A1724" s="1" t="s">
        <v>1619</v>
      </c>
    </row>
    <row r="1725" customFormat="false" ht="12.75" hidden="false" customHeight="true" outlineLevel="0" collapsed="false">
      <c r="A1725" s="1" t="s">
        <v>1677</v>
      </c>
    </row>
    <row r="1726" customFormat="false" ht="12.75" hidden="false" customHeight="true" outlineLevel="0" collapsed="false">
      <c r="A1726" s="1" t="s">
        <v>1678</v>
      </c>
    </row>
    <row r="1727" customFormat="false" ht="12.75" hidden="false" customHeight="true" outlineLevel="0" collapsed="false">
      <c r="A1727" s="1" t="s">
        <v>1679</v>
      </c>
    </row>
    <row r="1728" customFormat="false" ht="12.75" hidden="false" customHeight="true" outlineLevel="0" collapsed="false">
      <c r="A1728" s="1" t="s">
        <v>1425</v>
      </c>
    </row>
    <row r="1729" customFormat="false" ht="12.75" hidden="false" customHeight="true" outlineLevel="0" collapsed="false">
      <c r="A1729" s="1" t="s">
        <v>1426</v>
      </c>
    </row>
    <row r="1730" customFormat="false" ht="12.75" hidden="false" customHeight="true" outlineLevel="0" collapsed="false">
      <c r="A1730" s="1" t="s">
        <v>1427</v>
      </c>
    </row>
    <row r="1731" customFormat="false" ht="12.75" hidden="false" customHeight="true" outlineLevel="0" collapsed="false">
      <c r="A1731" s="1" t="s">
        <v>1680</v>
      </c>
    </row>
    <row r="1732" customFormat="false" ht="12.75" hidden="false" customHeight="true" outlineLevel="0" collapsed="false">
      <c r="A1732" s="1" t="s">
        <v>1266</v>
      </c>
    </row>
    <row r="1733" customFormat="false" ht="12.75" hidden="false" customHeight="true" outlineLevel="0" collapsed="false">
      <c r="A1733" s="1" t="s">
        <v>1267</v>
      </c>
    </row>
    <row r="1734" customFormat="false" ht="12.75" hidden="false" customHeight="true" outlineLevel="0" collapsed="false"/>
    <row r="1735" customFormat="false" ht="12.75" hidden="false" customHeight="true" outlineLevel="0" collapsed="false">
      <c r="A1735" s="1" t="s">
        <v>1268</v>
      </c>
    </row>
    <row r="1736" customFormat="false" ht="12.75" hidden="false" customHeight="true" outlineLevel="0" collapsed="false">
      <c r="A1736" s="1" t="s">
        <v>1269</v>
      </c>
    </row>
    <row r="1737" customFormat="false" ht="12.75" hidden="false" customHeight="true" outlineLevel="0" collapsed="false">
      <c r="A1737" s="1" t="s">
        <v>1270</v>
      </c>
    </row>
    <row r="1738" customFormat="false" ht="12.75" hidden="false" customHeight="true" outlineLevel="0" collapsed="false">
      <c r="A1738" s="1" t="s">
        <v>1269</v>
      </c>
    </row>
    <row r="1739" customFormat="false" ht="12.75" hidden="false" customHeight="true" outlineLevel="0" collapsed="false"/>
    <row r="1740" customFormat="false" ht="12.75" hidden="false" customHeight="true" outlineLevel="0" collapsed="false">
      <c r="A1740" s="1" t="s">
        <v>1272</v>
      </c>
    </row>
    <row r="1741" customFormat="false" ht="12.75" hidden="false" customHeight="true" outlineLevel="0" collapsed="false">
      <c r="A1741" s="1" t="s">
        <v>1273</v>
      </c>
    </row>
    <row r="1742" customFormat="false" ht="12.75" hidden="false" customHeight="true" outlineLevel="0" collapsed="false">
      <c r="A1742" s="1" t="s">
        <v>1273</v>
      </c>
    </row>
    <row r="1743" customFormat="false" ht="12.75" hidden="false" customHeight="true" outlineLevel="0" collapsed="false">
      <c r="A1743" s="1" t="s">
        <v>1275</v>
      </c>
    </row>
    <row r="1744" customFormat="false" ht="12.75" hidden="false" customHeight="true" outlineLevel="0" collapsed="false">
      <c r="A1744" s="1" t="s">
        <v>1623</v>
      </c>
    </row>
    <row r="1745" customFormat="false" ht="12.75" hidden="false" customHeight="true" outlineLevel="0" collapsed="false">
      <c r="A1745" s="1" t="s">
        <v>1277</v>
      </c>
    </row>
    <row r="1746" customFormat="false" ht="12.75" hidden="false" customHeight="true" outlineLevel="0" collapsed="false">
      <c r="A1746" s="1" t="s">
        <v>1681</v>
      </c>
    </row>
    <row r="1747" customFormat="false" ht="12.75" hidden="false" customHeight="true" outlineLevel="0" collapsed="false">
      <c r="A1747" s="1" t="s">
        <v>1666</v>
      </c>
    </row>
    <row r="1748" customFormat="false" ht="12.75" hidden="false" customHeight="true" outlineLevel="0" collapsed="false">
      <c r="A1748" s="1" t="s">
        <v>1682</v>
      </c>
    </row>
    <row r="1749" customFormat="false" ht="12.75" hidden="false" customHeight="true" outlineLevel="0" collapsed="false"/>
    <row r="1750" customFormat="false" ht="12.75" hidden="false" customHeight="true" outlineLevel="0" collapsed="false">
      <c r="A1750" s="1" t="s">
        <v>1209</v>
      </c>
    </row>
    <row r="1751" customFormat="false" ht="12.75" hidden="false" customHeight="true" outlineLevel="0" collapsed="false">
      <c r="A1751" s="1" t="s">
        <v>1683</v>
      </c>
    </row>
    <row r="1752" customFormat="false" ht="12.75" hidden="false" customHeight="true" outlineLevel="0" collapsed="false">
      <c r="A1752" s="1" t="s">
        <v>1684</v>
      </c>
    </row>
    <row r="1753" customFormat="false" ht="12.75" hidden="false" customHeight="true" outlineLevel="0" collapsed="false">
      <c r="A1753" s="1" t="s">
        <v>1668</v>
      </c>
    </row>
    <row r="1754" customFormat="false" ht="12.75" hidden="false" customHeight="true" outlineLevel="0" collapsed="false">
      <c r="A1754" s="1" t="s">
        <v>1670</v>
      </c>
    </row>
    <row r="1755" customFormat="false" ht="12.75" hidden="false" customHeight="true" outlineLevel="0" collapsed="false"/>
    <row r="1756" customFormat="false" ht="12.75" hidden="false" customHeight="true" outlineLevel="0" collapsed="false">
      <c r="A1756" s="1" t="s">
        <v>1210</v>
      </c>
    </row>
    <row r="1757" customFormat="false" ht="12.75" hidden="false" customHeight="true" outlineLevel="0" collapsed="false">
      <c r="A1757" s="1" t="s">
        <v>1495</v>
      </c>
    </row>
    <row r="1758" customFormat="false" ht="12.75" hidden="false" customHeight="true" outlineLevel="0" collapsed="false">
      <c r="A1758" s="1" t="s">
        <v>1576</v>
      </c>
    </row>
    <row r="1759" customFormat="false" ht="12.75" hidden="false" customHeight="true" outlineLevel="0" collapsed="false"/>
    <row r="1760" customFormat="false" ht="12.75" hidden="false" customHeight="true" outlineLevel="0" collapsed="false">
      <c r="A1760" s="1" t="s">
        <v>1211</v>
      </c>
    </row>
    <row r="1761" customFormat="false" ht="12.75" hidden="false" customHeight="true" outlineLevel="0" collapsed="false">
      <c r="A1761" s="1" t="s">
        <v>1501</v>
      </c>
    </row>
    <row r="1762" customFormat="false" ht="12.75" hidden="false" customHeight="true" outlineLevel="0" collapsed="false">
      <c r="A1762" s="1" t="s">
        <v>1674</v>
      </c>
    </row>
    <row r="1763" customFormat="false" ht="12.75" hidden="false" customHeight="true" outlineLevel="0" collapsed="false"/>
    <row r="1764" customFormat="false" ht="12.75" hidden="false" customHeight="true" outlineLevel="0" collapsed="false">
      <c r="A1764" s="1" t="s">
        <v>1212</v>
      </c>
    </row>
    <row r="1765" customFormat="false" ht="12.75" hidden="false" customHeight="true" outlineLevel="0" collapsed="false">
      <c r="A1765" s="1" t="s">
        <v>1501</v>
      </c>
    </row>
    <row r="1766" customFormat="false" ht="12.75" hidden="false" customHeight="true" outlineLevel="0" collapsed="false">
      <c r="A1766" s="1" t="s">
        <v>1676</v>
      </c>
    </row>
    <row r="1767" customFormat="false" ht="12.75" hidden="false" customHeight="true" outlineLevel="0" collapsed="false">
      <c r="A1767" s="1" t="s">
        <v>1619</v>
      </c>
    </row>
    <row r="1768" customFormat="false" ht="12.75" hidden="false" customHeight="true" outlineLevel="0" collapsed="false">
      <c r="A1768" s="1" t="s">
        <v>1677</v>
      </c>
    </row>
    <row r="1769" customFormat="false" ht="12.75" hidden="false" customHeight="true" outlineLevel="0" collapsed="false">
      <c r="A1769" s="1" t="s">
        <v>1678</v>
      </c>
    </row>
    <row r="1770" customFormat="false" ht="12.75" hidden="false" customHeight="true" outlineLevel="0" collapsed="false">
      <c r="A1770" s="1" t="s">
        <v>1685</v>
      </c>
    </row>
    <row r="1771" customFormat="false" ht="12.75" hidden="false" customHeight="true" outlineLevel="0" collapsed="false">
      <c r="A1771" s="1" t="s">
        <v>1266</v>
      </c>
    </row>
    <row r="1772" customFormat="false" ht="12.75" hidden="false" customHeight="true" outlineLevel="0" collapsed="false">
      <c r="A1772" s="1" t="s">
        <v>1267</v>
      </c>
    </row>
    <row r="1773" customFormat="false" ht="12.75" hidden="false" customHeight="true" outlineLevel="0" collapsed="false"/>
    <row r="1774" customFormat="false" ht="12.75" hidden="false" customHeight="true" outlineLevel="0" collapsed="false">
      <c r="A1774" s="1" t="s">
        <v>1268</v>
      </c>
    </row>
    <row r="1775" customFormat="false" ht="12.75" hidden="false" customHeight="true" outlineLevel="0" collapsed="false">
      <c r="A1775" s="1" t="s">
        <v>1269</v>
      </c>
    </row>
    <row r="1776" customFormat="false" ht="12.75" hidden="false" customHeight="true" outlineLevel="0" collapsed="false">
      <c r="A1776" s="1" t="s">
        <v>1270</v>
      </c>
    </row>
    <row r="1777" customFormat="false" ht="12.75" hidden="false" customHeight="true" outlineLevel="0" collapsed="false">
      <c r="A1777" s="1" t="s">
        <v>1269</v>
      </c>
    </row>
    <row r="1778" customFormat="false" ht="12.75" hidden="false" customHeight="true" outlineLevel="0" collapsed="false"/>
    <row r="1779" customFormat="false" ht="12.75" hidden="false" customHeight="true" outlineLevel="0" collapsed="false">
      <c r="A1779" s="1" t="s">
        <v>1272</v>
      </c>
    </row>
    <row r="1780" customFormat="false" ht="12.75" hidden="false" customHeight="true" outlineLevel="0" collapsed="false">
      <c r="A1780" s="1" t="s">
        <v>1273</v>
      </c>
    </row>
    <row r="1781" customFormat="false" ht="12.75" hidden="false" customHeight="true" outlineLevel="0" collapsed="false">
      <c r="A1781" s="1" t="s">
        <v>1273</v>
      </c>
    </row>
    <row r="1782" customFormat="false" ht="12.75" hidden="false" customHeight="true" outlineLevel="0" collapsed="false">
      <c r="A1782" s="1" t="s">
        <v>1275</v>
      </c>
    </row>
    <row r="1783" customFormat="false" ht="12.75" hidden="false" customHeight="true" outlineLevel="0" collapsed="false">
      <c r="A1783" s="1" t="s">
        <v>1623</v>
      </c>
    </row>
    <row r="1784" customFormat="false" ht="12.75" hidden="false" customHeight="true" outlineLevel="0" collapsed="false">
      <c r="A1784" s="1" t="s">
        <v>1277</v>
      </c>
    </row>
    <row r="1785" customFormat="false" ht="12.75" hidden="false" customHeight="true" outlineLevel="0" collapsed="false">
      <c r="A1785" s="1" t="s">
        <v>1686</v>
      </c>
    </row>
    <row r="1786" customFormat="false" ht="12.75" hidden="false" customHeight="true" outlineLevel="0" collapsed="false">
      <c r="A1786" s="1" t="s">
        <v>1687</v>
      </c>
    </row>
    <row r="1787" customFormat="false" ht="12.75" hidden="false" customHeight="true" outlineLevel="0" collapsed="false">
      <c r="A1787" s="1" t="s">
        <v>1572</v>
      </c>
    </row>
    <row r="1788" customFormat="false" ht="12.75" hidden="false" customHeight="true" outlineLevel="0" collapsed="false"/>
    <row r="1789" customFormat="false" ht="12.75" hidden="false" customHeight="true" outlineLevel="0" collapsed="false">
      <c r="A1789" s="1" t="s">
        <v>1209</v>
      </c>
    </row>
    <row r="1790" customFormat="false" ht="12.75" hidden="false" customHeight="true" outlineLevel="0" collapsed="false">
      <c r="A1790" s="1" t="s">
        <v>1688</v>
      </c>
    </row>
    <row r="1791" customFormat="false" ht="12.75" hidden="false" customHeight="true" outlineLevel="0" collapsed="false">
      <c r="A1791" s="1" t="s">
        <v>1689</v>
      </c>
    </row>
    <row r="1792" customFormat="false" ht="12.75" hidden="false" customHeight="true" outlineLevel="0" collapsed="false">
      <c r="A1792" s="1" t="s">
        <v>1668</v>
      </c>
    </row>
    <row r="1793" customFormat="false" ht="12.75" hidden="false" customHeight="true" outlineLevel="0" collapsed="false">
      <c r="A1793" s="1" t="s">
        <v>1670</v>
      </c>
    </row>
    <row r="1794" customFormat="false" ht="12.75" hidden="false" customHeight="true" outlineLevel="0" collapsed="false"/>
    <row r="1795" customFormat="false" ht="12.75" hidden="false" customHeight="true" outlineLevel="0" collapsed="false">
      <c r="A1795" s="1" t="s">
        <v>1210</v>
      </c>
    </row>
    <row r="1796" customFormat="false" ht="12.75" hidden="false" customHeight="true" outlineLevel="0" collapsed="false">
      <c r="A1796" s="1" t="s">
        <v>1690</v>
      </c>
    </row>
    <row r="1797" customFormat="false" ht="12.75" hidden="false" customHeight="true" outlineLevel="0" collapsed="false">
      <c r="A1797" s="1" t="s">
        <v>1576</v>
      </c>
    </row>
    <row r="1798" customFormat="false" ht="12.75" hidden="false" customHeight="true" outlineLevel="0" collapsed="false"/>
    <row r="1799" customFormat="false" ht="12.75" hidden="false" customHeight="true" outlineLevel="0" collapsed="false">
      <c r="A1799" s="1" t="s">
        <v>1211</v>
      </c>
    </row>
    <row r="1800" customFormat="false" ht="12.75" hidden="false" customHeight="true" outlineLevel="0" collapsed="false">
      <c r="A1800" s="1" t="s">
        <v>1691</v>
      </c>
    </row>
    <row r="1801" customFormat="false" ht="12.75" hidden="false" customHeight="true" outlineLevel="0" collapsed="false">
      <c r="A1801" s="1" t="s">
        <v>1674</v>
      </c>
    </row>
    <row r="1802" customFormat="false" ht="12.75" hidden="false" customHeight="true" outlineLevel="0" collapsed="false"/>
    <row r="1803" customFormat="false" ht="12.75" hidden="false" customHeight="true" outlineLevel="0" collapsed="false">
      <c r="A1803" s="1" t="s">
        <v>1212</v>
      </c>
    </row>
    <row r="1804" customFormat="false" ht="12.75" hidden="false" customHeight="true" outlineLevel="0" collapsed="false">
      <c r="A1804" s="1" t="s">
        <v>1692</v>
      </c>
    </row>
    <row r="1805" customFormat="false" ht="12.75" hidden="false" customHeight="true" outlineLevel="0" collapsed="false">
      <c r="A1805" s="1" t="s">
        <v>1693</v>
      </c>
    </row>
    <row r="1806" customFormat="false" ht="12.75" hidden="false" customHeight="true" outlineLevel="0" collapsed="false">
      <c r="A1806" s="1" t="s">
        <v>1581</v>
      </c>
    </row>
    <row r="1807" customFormat="false" ht="12.75" hidden="false" customHeight="true" outlineLevel="0" collapsed="false">
      <c r="A1807" s="1" t="s">
        <v>1582</v>
      </c>
    </row>
    <row r="1808" customFormat="false" ht="12.75" hidden="false" customHeight="true" outlineLevel="0" collapsed="false">
      <c r="A1808" s="1" t="s">
        <v>1583</v>
      </c>
    </row>
    <row r="1809" customFormat="false" ht="12.75" hidden="false" customHeight="true" outlineLevel="0" collapsed="false">
      <c r="A1809" s="1" t="s">
        <v>1584</v>
      </c>
    </row>
    <row r="1810" customFormat="false" ht="12.75" hidden="false" customHeight="true" outlineLevel="0" collapsed="false">
      <c r="A1810" s="1" t="s">
        <v>1266</v>
      </c>
    </row>
    <row r="1811" customFormat="false" ht="12.75" hidden="false" customHeight="true" outlineLevel="0" collapsed="false">
      <c r="A1811" s="1" t="s">
        <v>1267</v>
      </c>
    </row>
    <row r="1812" customFormat="false" ht="12.75" hidden="false" customHeight="true" outlineLevel="0" collapsed="false"/>
    <row r="1813" customFormat="false" ht="12.75" hidden="false" customHeight="true" outlineLevel="0" collapsed="false">
      <c r="A1813" s="1" t="s">
        <v>1268</v>
      </c>
    </row>
    <row r="1814" customFormat="false" ht="12.75" hidden="false" customHeight="true" outlineLevel="0" collapsed="false">
      <c r="A1814" s="1" t="s">
        <v>1586</v>
      </c>
    </row>
    <row r="1815" customFormat="false" ht="12.75" hidden="false" customHeight="true" outlineLevel="0" collapsed="false">
      <c r="A1815" s="1" t="s">
        <v>1270</v>
      </c>
    </row>
    <row r="1816" customFormat="false" ht="12.75" hidden="false" customHeight="true" outlineLevel="0" collapsed="false">
      <c r="A1816" s="1" t="s">
        <v>1585</v>
      </c>
    </row>
    <row r="1817" customFormat="false" ht="12.75" hidden="false" customHeight="true" outlineLevel="0" collapsed="false"/>
    <row r="1818" customFormat="false" ht="12.75" hidden="false" customHeight="true" outlineLevel="0" collapsed="false">
      <c r="A1818" s="1" t="s">
        <v>1272</v>
      </c>
    </row>
    <row r="1819" customFormat="false" ht="12.75" hidden="false" customHeight="true" outlineLevel="0" collapsed="false">
      <c r="A1819" s="1" t="s">
        <v>1606</v>
      </c>
    </row>
    <row r="1820" customFormat="false" ht="12.75" hidden="false" customHeight="true" outlineLevel="0" collapsed="false">
      <c r="A1820" s="1" t="s">
        <v>1607</v>
      </c>
    </row>
    <row r="1821" customFormat="false" ht="12.75" hidden="false" customHeight="true" outlineLevel="0" collapsed="false">
      <c r="A1821" s="1" t="s">
        <v>1275</v>
      </c>
    </row>
    <row r="1822" customFormat="false" ht="12.75" hidden="false" customHeight="true" outlineLevel="0" collapsed="false">
      <c r="A1822" s="1" t="s">
        <v>1589</v>
      </c>
    </row>
    <row r="1823" customFormat="false" ht="12.75" hidden="false" customHeight="true" outlineLevel="0" collapsed="false">
      <c r="A1823" s="1" t="s">
        <v>1277</v>
      </c>
    </row>
    <row r="1824" customFormat="false" ht="12.75" hidden="false" customHeight="true" outlineLevel="0" collapsed="false">
      <c r="A1824" s="1" t="s">
        <v>1694</v>
      </c>
    </row>
    <row r="1825" customFormat="false" ht="12.75" hidden="false" customHeight="true" outlineLevel="0" collapsed="false">
      <c r="A1825" s="1" t="s">
        <v>1695</v>
      </c>
    </row>
    <row r="1826" customFormat="false" ht="12.75" hidden="false" customHeight="true" outlineLevel="0" collapsed="false">
      <c r="A1826" s="1" t="s">
        <v>1696</v>
      </c>
    </row>
    <row r="1827" customFormat="false" ht="12.75" hidden="false" customHeight="true" outlineLevel="0" collapsed="false"/>
    <row r="1828" customFormat="false" ht="12.75" hidden="false" customHeight="true" outlineLevel="0" collapsed="false">
      <c r="A1828" s="1" t="s">
        <v>1209</v>
      </c>
    </row>
    <row r="1829" customFormat="false" ht="12.75" hidden="false" customHeight="true" outlineLevel="0" collapsed="false">
      <c r="A1829" s="1" t="s">
        <v>1697</v>
      </c>
    </row>
    <row r="1830" customFormat="false" ht="12.75" hidden="false" customHeight="true" outlineLevel="0" collapsed="false">
      <c r="A1830" s="1" t="s">
        <v>1689</v>
      </c>
    </row>
    <row r="1831" customFormat="false" ht="12.75" hidden="false" customHeight="true" outlineLevel="0" collapsed="false">
      <c r="A1831" s="1" t="s">
        <v>1698</v>
      </c>
    </row>
    <row r="1832" customFormat="false" ht="12.75" hidden="false" customHeight="true" outlineLevel="0" collapsed="false">
      <c r="A1832" s="1" t="s">
        <v>1670</v>
      </c>
    </row>
    <row r="1833" customFormat="false" ht="12.75" hidden="false" customHeight="true" outlineLevel="0" collapsed="false"/>
    <row r="1834" customFormat="false" ht="12.75" hidden="false" customHeight="true" outlineLevel="0" collapsed="false">
      <c r="A1834" s="1" t="s">
        <v>1210</v>
      </c>
    </row>
    <row r="1835" customFormat="false" ht="12.75" hidden="false" customHeight="true" outlineLevel="0" collapsed="false">
      <c r="A1835" s="1" t="s">
        <v>1573</v>
      </c>
    </row>
    <row r="1836" customFormat="false" ht="12.75" hidden="false" customHeight="true" outlineLevel="0" collapsed="false">
      <c r="A1836" s="1" t="s">
        <v>1576</v>
      </c>
    </row>
    <row r="1837" customFormat="false" ht="12.75" hidden="false" customHeight="true" outlineLevel="0" collapsed="false"/>
    <row r="1838" customFormat="false" ht="12.75" hidden="false" customHeight="true" outlineLevel="0" collapsed="false">
      <c r="A1838" s="1" t="s">
        <v>1211</v>
      </c>
    </row>
    <row r="1839" customFormat="false" ht="12.75" hidden="false" customHeight="true" outlineLevel="0" collapsed="false">
      <c r="A1839" s="1" t="s">
        <v>1699</v>
      </c>
    </row>
    <row r="1840" customFormat="false" ht="12.75" hidden="false" customHeight="true" outlineLevel="0" collapsed="false">
      <c r="A1840" s="1" t="s">
        <v>1674</v>
      </c>
    </row>
    <row r="1841" customFormat="false" ht="12.75" hidden="false" customHeight="true" outlineLevel="0" collapsed="false"/>
    <row r="1842" customFormat="false" ht="12.75" hidden="false" customHeight="true" outlineLevel="0" collapsed="false">
      <c r="A1842" s="1" t="s">
        <v>1212</v>
      </c>
    </row>
    <row r="1843" customFormat="false" ht="12.75" hidden="false" customHeight="true" outlineLevel="0" collapsed="false">
      <c r="A1843" s="1" t="s">
        <v>1700</v>
      </c>
    </row>
    <row r="1844" customFormat="false" ht="12.75" hidden="false" customHeight="true" outlineLevel="0" collapsed="false">
      <c r="A1844" s="1" t="s">
        <v>1676</v>
      </c>
    </row>
    <row r="1845" customFormat="false" ht="12.75" hidden="false" customHeight="true" outlineLevel="0" collapsed="false">
      <c r="A1845" s="1" t="s">
        <v>1619</v>
      </c>
    </row>
    <row r="1846" customFormat="false" ht="12.75" hidden="false" customHeight="true" outlineLevel="0" collapsed="false">
      <c r="A1846" s="1" t="s">
        <v>1677</v>
      </c>
    </row>
    <row r="1847" customFormat="false" ht="12.75" hidden="false" customHeight="true" outlineLevel="0" collapsed="false">
      <c r="A1847" s="1" t="s">
        <v>1678</v>
      </c>
    </row>
    <row r="1848" customFormat="false" ht="12.75" hidden="false" customHeight="true" outlineLevel="0" collapsed="false">
      <c r="A1848" s="1" t="s">
        <v>1685</v>
      </c>
    </row>
    <row r="1849" customFormat="false" ht="12.75" hidden="false" customHeight="true" outlineLevel="0" collapsed="false">
      <c r="A1849" s="1" t="s">
        <v>1266</v>
      </c>
    </row>
    <row r="1850" customFormat="false" ht="12.75" hidden="false" customHeight="true" outlineLevel="0" collapsed="false">
      <c r="A1850" s="1" t="s">
        <v>1267</v>
      </c>
    </row>
    <row r="1851" customFormat="false" ht="12.75" hidden="false" customHeight="true" outlineLevel="0" collapsed="false"/>
    <row r="1852" customFormat="false" ht="12.75" hidden="false" customHeight="true" outlineLevel="0" collapsed="false">
      <c r="A1852" s="1" t="s">
        <v>1268</v>
      </c>
    </row>
    <row r="1853" customFormat="false" ht="12.75" hidden="false" customHeight="true" outlineLevel="0" collapsed="false">
      <c r="A1853" s="1" t="s">
        <v>1269</v>
      </c>
    </row>
    <row r="1854" customFormat="false" ht="12.75" hidden="false" customHeight="true" outlineLevel="0" collapsed="false">
      <c r="A1854" s="1" t="s">
        <v>1270</v>
      </c>
    </row>
    <row r="1855" customFormat="false" ht="12.75" hidden="false" customHeight="true" outlineLevel="0" collapsed="false">
      <c r="A1855" s="1" t="s">
        <v>1269</v>
      </c>
    </row>
    <row r="1856" customFormat="false" ht="12.75" hidden="false" customHeight="true" outlineLevel="0" collapsed="false"/>
    <row r="1857" customFormat="false" ht="12.75" hidden="false" customHeight="true" outlineLevel="0" collapsed="false">
      <c r="A1857" s="1" t="s">
        <v>1272</v>
      </c>
    </row>
    <row r="1858" customFormat="false" ht="12.75" hidden="false" customHeight="true" outlineLevel="0" collapsed="false">
      <c r="A1858" s="1" t="s">
        <v>1273</v>
      </c>
    </row>
    <row r="1859" customFormat="false" ht="12.75" hidden="false" customHeight="true" outlineLevel="0" collapsed="false">
      <c r="A1859" s="1" t="s">
        <v>1273</v>
      </c>
    </row>
    <row r="1860" customFormat="false" ht="12.75" hidden="false" customHeight="true" outlineLevel="0" collapsed="false">
      <c r="A1860" s="1" t="s">
        <v>1275</v>
      </c>
    </row>
    <row r="1861" customFormat="false" ht="12.75" hidden="false" customHeight="true" outlineLevel="0" collapsed="false">
      <c r="A1861" s="1" t="s">
        <v>1623</v>
      </c>
    </row>
    <row r="1862" customFormat="false" ht="12.75" hidden="false" customHeight="true" outlineLevel="0" collapsed="false">
      <c r="A1862" s="1" t="s">
        <v>1277</v>
      </c>
    </row>
    <row r="1863" customFormat="false" ht="12.75" hidden="false" customHeight="true" outlineLevel="0" collapsed="false">
      <c r="A1863" s="1" t="s">
        <v>1701</v>
      </c>
    </row>
    <row r="1864" customFormat="false" ht="12.75" hidden="false" customHeight="true" outlineLevel="0" collapsed="false">
      <c r="A1864" s="1" t="s">
        <v>1702</v>
      </c>
    </row>
    <row r="1865" customFormat="false" ht="12.75" hidden="false" customHeight="true" outlineLevel="0" collapsed="false">
      <c r="A1865" s="1" t="s">
        <v>1703</v>
      </c>
    </row>
    <row r="1866" customFormat="false" ht="12.75" hidden="false" customHeight="true" outlineLevel="0" collapsed="false"/>
    <row r="1867" customFormat="false" ht="12.75" hidden="false" customHeight="true" outlineLevel="0" collapsed="false">
      <c r="A1867" s="1" t="s">
        <v>1209</v>
      </c>
    </row>
    <row r="1868" customFormat="false" ht="12.75" hidden="false" customHeight="true" outlineLevel="0" collapsed="false">
      <c r="A1868" s="1" t="s">
        <v>1704</v>
      </c>
    </row>
    <row r="1869" customFormat="false" ht="12.75" hidden="false" customHeight="true" outlineLevel="0" collapsed="false">
      <c r="A1869" s="1" t="s">
        <v>1704</v>
      </c>
    </row>
    <row r="1870" customFormat="false" ht="12.75" hidden="false" customHeight="true" outlineLevel="0" collapsed="false">
      <c r="A1870" s="1" t="s">
        <v>1705</v>
      </c>
    </row>
    <row r="1871" customFormat="false" ht="12.75" hidden="false" customHeight="true" outlineLevel="0" collapsed="false">
      <c r="A1871" s="1" t="s">
        <v>1705</v>
      </c>
    </row>
    <row r="1872" customFormat="false" ht="12.75" hidden="false" customHeight="true" outlineLevel="0" collapsed="false"/>
    <row r="1873" customFormat="false" ht="12.75" hidden="false" customHeight="true" outlineLevel="0" collapsed="false">
      <c r="A1873" s="1" t="s">
        <v>1210</v>
      </c>
    </row>
    <row r="1874" customFormat="false" ht="12.75" hidden="false" customHeight="true" outlineLevel="0" collapsed="false">
      <c r="A1874" s="1" t="s">
        <v>1706</v>
      </c>
    </row>
    <row r="1875" customFormat="false" ht="12.75" hidden="false" customHeight="true" outlineLevel="0" collapsed="false">
      <c r="A1875" s="1" t="s">
        <v>1707</v>
      </c>
    </row>
    <row r="1876" customFormat="false" ht="12.75" hidden="false" customHeight="true" outlineLevel="0" collapsed="false"/>
    <row r="1877" customFormat="false" ht="12.75" hidden="false" customHeight="true" outlineLevel="0" collapsed="false">
      <c r="A1877" s="1" t="s">
        <v>1211</v>
      </c>
    </row>
    <row r="1878" customFormat="false" ht="12.75" hidden="false" customHeight="true" outlineLevel="0" collapsed="false">
      <c r="A1878" s="1" t="s">
        <v>1706</v>
      </c>
    </row>
    <row r="1879" customFormat="false" ht="12.75" hidden="false" customHeight="true" outlineLevel="0" collapsed="false">
      <c r="A1879" s="1" t="s">
        <v>1707</v>
      </c>
    </row>
    <row r="1880" customFormat="false" ht="12.75" hidden="false" customHeight="true" outlineLevel="0" collapsed="false"/>
    <row r="1881" customFormat="false" ht="12.75" hidden="false" customHeight="true" outlineLevel="0" collapsed="false">
      <c r="A1881" s="1" t="s">
        <v>1212</v>
      </c>
    </row>
    <row r="1882" customFormat="false" ht="12.75" hidden="false" customHeight="true" outlineLevel="0" collapsed="false">
      <c r="A1882" s="1" t="s">
        <v>1708</v>
      </c>
    </row>
    <row r="1883" customFormat="false" ht="12.75" hidden="false" customHeight="true" outlineLevel="0" collapsed="false">
      <c r="A1883" s="1" t="s">
        <v>1709</v>
      </c>
    </row>
    <row r="1884" customFormat="false" ht="12.75" hidden="false" customHeight="true" outlineLevel="0" collapsed="false">
      <c r="A1884" s="1" t="s">
        <v>1710</v>
      </c>
    </row>
    <row r="1885" customFormat="false" ht="12.75" hidden="false" customHeight="true" outlineLevel="0" collapsed="false">
      <c r="A1885" s="1" t="s">
        <v>1711</v>
      </c>
    </row>
    <row r="1886" customFormat="false" ht="12.75" hidden="false" customHeight="true" outlineLevel="0" collapsed="false">
      <c r="A1886" s="1" t="s">
        <v>1677</v>
      </c>
    </row>
    <row r="1887" customFormat="false" ht="12.75" hidden="false" customHeight="true" outlineLevel="0" collapsed="false">
      <c r="A1887" s="1" t="s">
        <v>1678</v>
      </c>
    </row>
    <row r="1888" customFormat="false" ht="12.75" hidden="false" customHeight="true" outlineLevel="0" collapsed="false">
      <c r="A1888" s="1" t="s">
        <v>1685</v>
      </c>
    </row>
    <row r="1889" customFormat="false" ht="12.75" hidden="false" customHeight="true" outlineLevel="0" collapsed="false">
      <c r="A1889" s="1" t="s">
        <v>1266</v>
      </c>
    </row>
    <row r="1890" customFormat="false" ht="12.75" hidden="false" customHeight="true" outlineLevel="0" collapsed="false">
      <c r="A1890" s="1" t="s">
        <v>1267</v>
      </c>
    </row>
    <row r="1891" customFormat="false" ht="12.75" hidden="false" customHeight="true" outlineLevel="0" collapsed="false"/>
    <row r="1892" customFormat="false" ht="12.75" hidden="false" customHeight="true" outlineLevel="0" collapsed="false">
      <c r="A1892" s="1" t="s">
        <v>1268</v>
      </c>
    </row>
    <row r="1893" customFormat="false" ht="12.75" hidden="false" customHeight="true" outlineLevel="0" collapsed="false">
      <c r="A1893" s="1" t="s">
        <v>1269</v>
      </c>
    </row>
    <row r="1894" customFormat="false" ht="12.75" hidden="false" customHeight="true" outlineLevel="0" collapsed="false">
      <c r="A1894" s="1" t="s">
        <v>1270</v>
      </c>
    </row>
    <row r="1895" customFormat="false" ht="12.75" hidden="false" customHeight="true" outlineLevel="0" collapsed="false">
      <c r="A1895" s="1" t="s">
        <v>1269</v>
      </c>
    </row>
    <row r="1896" customFormat="false" ht="12.75" hidden="false" customHeight="true" outlineLevel="0" collapsed="false"/>
    <row r="1897" customFormat="false" ht="12.75" hidden="false" customHeight="true" outlineLevel="0" collapsed="false">
      <c r="A1897" s="1" t="s">
        <v>1272</v>
      </c>
    </row>
    <row r="1898" customFormat="false" ht="12.75" hidden="false" customHeight="true" outlineLevel="0" collapsed="false">
      <c r="A1898" s="1" t="s">
        <v>1273</v>
      </c>
    </row>
    <row r="1899" customFormat="false" ht="12.75" hidden="false" customHeight="true" outlineLevel="0" collapsed="false">
      <c r="A1899" s="1" t="s">
        <v>1712</v>
      </c>
    </row>
    <row r="1900" customFormat="false" ht="12.75" hidden="false" customHeight="true" outlineLevel="0" collapsed="false">
      <c r="A1900" s="1" t="s">
        <v>1275</v>
      </c>
    </row>
    <row r="1901" customFormat="false" ht="12.75" hidden="false" customHeight="true" outlineLevel="0" collapsed="false">
      <c r="A1901" s="1" t="s">
        <v>1623</v>
      </c>
    </row>
    <row r="1902" customFormat="false" ht="12.75" hidden="false" customHeight="true" outlineLevel="0" collapsed="false">
      <c r="A1902" s="1" t="s">
        <v>1277</v>
      </c>
    </row>
    <row r="1903" customFormat="false" ht="12.75" hidden="false" customHeight="true" outlineLevel="0" collapsed="false">
      <c r="A1903" s="1" t="s">
        <v>1713</v>
      </c>
    </row>
    <row r="1904" customFormat="false" ht="12.75" hidden="false" customHeight="true" outlineLevel="0" collapsed="false">
      <c r="A1904" s="1" t="s">
        <v>1711</v>
      </c>
    </row>
    <row r="1905" customFormat="false" ht="12.75" hidden="false" customHeight="true" outlineLevel="0" collapsed="false">
      <c r="A1905" s="1" t="s">
        <v>1677</v>
      </c>
    </row>
    <row r="1906" customFormat="false" ht="12.75" hidden="false" customHeight="true" outlineLevel="0" collapsed="false">
      <c r="A1906" s="1" t="s">
        <v>1678</v>
      </c>
    </row>
    <row r="1907" customFormat="false" ht="12.75" hidden="false" customHeight="true" outlineLevel="0" collapsed="false">
      <c r="A1907" s="1" t="s">
        <v>1685</v>
      </c>
    </row>
    <row r="1908" customFormat="false" ht="12.75" hidden="false" customHeight="true" outlineLevel="0" collapsed="false">
      <c r="A1908" s="1" t="s">
        <v>1266</v>
      </c>
    </row>
    <row r="1909" customFormat="false" ht="12.75" hidden="false" customHeight="true" outlineLevel="0" collapsed="false">
      <c r="A1909" s="1" t="s">
        <v>1267</v>
      </c>
    </row>
    <row r="1910" customFormat="false" ht="12.75" hidden="false" customHeight="true" outlineLevel="0" collapsed="false"/>
    <row r="1911" customFormat="false" ht="12.75" hidden="false" customHeight="true" outlineLevel="0" collapsed="false">
      <c r="A1911" s="1" t="s">
        <v>1268</v>
      </c>
    </row>
    <row r="1912" customFormat="false" ht="12.75" hidden="false" customHeight="true" outlineLevel="0" collapsed="false">
      <c r="A1912" s="1" t="s">
        <v>1269</v>
      </c>
    </row>
    <row r="1913" customFormat="false" ht="12.75" hidden="false" customHeight="true" outlineLevel="0" collapsed="false">
      <c r="A1913" s="1" t="s">
        <v>1270</v>
      </c>
    </row>
    <row r="1914" customFormat="false" ht="12.75" hidden="false" customHeight="true" outlineLevel="0" collapsed="false">
      <c r="A1914" s="1" t="s">
        <v>1269</v>
      </c>
    </row>
    <row r="1915" customFormat="false" ht="12.75" hidden="false" customHeight="true" outlineLevel="0" collapsed="false"/>
    <row r="1916" customFormat="false" ht="12.75" hidden="false" customHeight="true" outlineLevel="0" collapsed="false">
      <c r="A1916" s="1" t="s">
        <v>1272</v>
      </c>
    </row>
    <row r="1917" customFormat="false" ht="12.75" hidden="false" customHeight="true" outlineLevel="0" collapsed="false">
      <c r="A1917" s="1" t="s">
        <v>1273</v>
      </c>
    </row>
    <row r="1918" customFormat="false" ht="12.75" hidden="false" customHeight="true" outlineLevel="0" collapsed="false">
      <c r="A1918" s="1" t="s">
        <v>1712</v>
      </c>
    </row>
    <row r="1919" customFormat="false" ht="12.75" hidden="false" customHeight="true" outlineLevel="0" collapsed="false">
      <c r="A1919" s="1" t="s">
        <v>1275</v>
      </c>
    </row>
    <row r="1920" customFormat="false" ht="12.75" hidden="false" customHeight="true" outlineLevel="0" collapsed="false">
      <c r="A1920" s="1" t="s">
        <v>1623</v>
      </c>
    </row>
    <row r="1921" customFormat="false" ht="12.75" hidden="false" customHeight="true" outlineLevel="0" collapsed="false">
      <c r="A1921" s="1" t="s">
        <v>1277</v>
      </c>
    </row>
    <row r="1922" customFormat="false" ht="12.75" hidden="false" customHeight="true" outlineLevel="0" collapsed="false">
      <c r="A1922" s="1" t="s">
        <v>1714</v>
      </c>
    </row>
    <row r="1923" customFormat="false" ht="12.75" hidden="false" customHeight="true" outlineLevel="0" collapsed="false">
      <c r="A1923" s="1" t="s">
        <v>1715</v>
      </c>
    </row>
    <row r="1924" customFormat="false" ht="12.75" hidden="false" customHeight="true" outlineLevel="0" collapsed="false">
      <c r="A1924" s="1" t="s">
        <v>1716</v>
      </c>
    </row>
    <row r="1925" customFormat="false" ht="12.75" hidden="false" customHeight="true" outlineLevel="0" collapsed="false"/>
    <row r="1926" customFormat="false" ht="12.75" hidden="false" customHeight="true" outlineLevel="0" collapsed="false">
      <c r="A1926" s="1" t="s">
        <v>1209</v>
      </c>
    </row>
    <row r="1927" customFormat="false" ht="12.75" hidden="false" customHeight="true" outlineLevel="0" collapsed="false">
      <c r="A1927" s="1" t="s">
        <v>1717</v>
      </c>
    </row>
    <row r="1928" customFormat="false" ht="12.75" hidden="false" customHeight="true" outlineLevel="0" collapsed="false">
      <c r="A1928" s="1" t="s">
        <v>1718</v>
      </c>
    </row>
    <row r="1929" customFormat="false" ht="12.75" hidden="false" customHeight="true" outlineLevel="0" collapsed="false">
      <c r="A1929" s="1" t="s">
        <v>1719</v>
      </c>
    </row>
    <row r="1930" customFormat="false" ht="12.75" hidden="false" customHeight="true" outlineLevel="0" collapsed="false">
      <c r="A1930" s="1" t="s">
        <v>1720</v>
      </c>
    </row>
    <row r="1931" customFormat="false" ht="12.75" hidden="false" customHeight="true" outlineLevel="0" collapsed="false"/>
    <row r="1932" customFormat="false" ht="12.75" hidden="false" customHeight="true" outlineLevel="0" collapsed="false">
      <c r="A1932" s="1" t="s">
        <v>1210</v>
      </c>
    </row>
    <row r="1933" customFormat="false" ht="12.75" hidden="false" customHeight="true" outlineLevel="0" collapsed="false">
      <c r="A1933" s="1" t="s">
        <v>1721</v>
      </c>
    </row>
    <row r="1934" customFormat="false" ht="12.75" hidden="false" customHeight="true" outlineLevel="0" collapsed="false">
      <c r="A1934" s="1" t="s">
        <v>1598</v>
      </c>
    </row>
    <row r="1935" customFormat="false" ht="12.75" hidden="false" customHeight="true" outlineLevel="0" collapsed="false"/>
    <row r="1936" customFormat="false" ht="12.75" hidden="false" customHeight="true" outlineLevel="0" collapsed="false">
      <c r="A1936" s="1" t="s">
        <v>1211</v>
      </c>
    </row>
    <row r="1937" customFormat="false" ht="12.75" hidden="false" customHeight="true" outlineLevel="0" collapsed="false">
      <c r="A1937" s="1" t="s">
        <v>1722</v>
      </c>
    </row>
    <row r="1938" customFormat="false" ht="12.75" hidden="false" customHeight="true" outlineLevel="0" collapsed="false">
      <c r="A1938" s="1" t="s">
        <v>1723</v>
      </c>
    </row>
    <row r="1939" customFormat="false" ht="12.75" hidden="false" customHeight="true" outlineLevel="0" collapsed="false"/>
    <row r="1940" customFormat="false" ht="12.75" hidden="false" customHeight="true" outlineLevel="0" collapsed="false">
      <c r="A1940" s="1" t="s">
        <v>1212</v>
      </c>
    </row>
    <row r="1941" customFormat="false" ht="12.75" hidden="false" customHeight="true" outlineLevel="0" collapsed="false">
      <c r="A1941" s="1" t="s">
        <v>1722</v>
      </c>
    </row>
    <row r="1942" customFormat="false" ht="12.75" hidden="false" customHeight="true" outlineLevel="0" collapsed="false">
      <c r="A1942" s="1" t="s">
        <v>1724</v>
      </c>
    </row>
    <row r="1943" customFormat="false" ht="12.75" hidden="false" customHeight="true" outlineLevel="0" collapsed="false">
      <c r="A1943" s="1" t="s">
        <v>1711</v>
      </c>
    </row>
    <row r="1944" customFormat="false" ht="12.75" hidden="false" customHeight="true" outlineLevel="0" collapsed="false">
      <c r="A1944" s="1" t="s">
        <v>1677</v>
      </c>
    </row>
    <row r="1945" customFormat="false" ht="12.75" hidden="false" customHeight="true" outlineLevel="0" collapsed="false">
      <c r="A1945" s="1" t="s">
        <v>1678</v>
      </c>
    </row>
    <row r="1946" customFormat="false" ht="12.75" hidden="false" customHeight="true" outlineLevel="0" collapsed="false">
      <c r="A1946" s="1" t="s">
        <v>1685</v>
      </c>
    </row>
    <row r="1947" customFormat="false" ht="12.75" hidden="false" customHeight="true" outlineLevel="0" collapsed="false">
      <c r="A1947" s="1" t="s">
        <v>1266</v>
      </c>
    </row>
    <row r="1948" customFormat="false" ht="12.75" hidden="false" customHeight="true" outlineLevel="0" collapsed="false">
      <c r="A1948" s="1" t="s">
        <v>1267</v>
      </c>
    </row>
    <row r="1949" customFormat="false" ht="12.75" hidden="false" customHeight="true" outlineLevel="0" collapsed="false"/>
    <row r="1950" customFormat="false" ht="12.75" hidden="false" customHeight="true" outlineLevel="0" collapsed="false">
      <c r="A1950" s="1" t="s">
        <v>1268</v>
      </c>
    </row>
    <row r="1951" customFormat="false" ht="12.75" hidden="false" customHeight="true" outlineLevel="0" collapsed="false">
      <c r="A1951" s="1" t="s">
        <v>1269</v>
      </c>
    </row>
    <row r="1952" customFormat="false" ht="12.75" hidden="false" customHeight="true" outlineLevel="0" collapsed="false">
      <c r="A1952" s="1" t="s">
        <v>1270</v>
      </c>
    </row>
    <row r="1953" customFormat="false" ht="12.75" hidden="false" customHeight="true" outlineLevel="0" collapsed="false">
      <c r="A1953" s="1" t="s">
        <v>1269</v>
      </c>
    </row>
    <row r="1954" customFormat="false" ht="12.75" hidden="false" customHeight="true" outlineLevel="0" collapsed="false"/>
    <row r="1955" customFormat="false" ht="12.75" hidden="false" customHeight="true" outlineLevel="0" collapsed="false">
      <c r="A1955" s="1" t="s">
        <v>1272</v>
      </c>
    </row>
    <row r="1956" customFormat="false" ht="12.75" hidden="false" customHeight="true" outlineLevel="0" collapsed="false">
      <c r="A1956" s="1" t="s">
        <v>1273</v>
      </c>
    </row>
    <row r="1957" customFormat="false" ht="12.75" hidden="false" customHeight="true" outlineLevel="0" collapsed="false">
      <c r="A1957" s="1" t="s">
        <v>1712</v>
      </c>
    </row>
    <row r="1958" customFormat="false" ht="12.75" hidden="false" customHeight="true" outlineLevel="0" collapsed="false">
      <c r="A1958" s="1" t="s">
        <v>1275</v>
      </c>
    </row>
    <row r="1959" customFormat="false" ht="12.75" hidden="false" customHeight="true" outlineLevel="0" collapsed="false">
      <c r="A1959" s="1" t="s">
        <v>1623</v>
      </c>
    </row>
    <row r="1960" customFormat="false" ht="12.75" hidden="false" customHeight="true" outlineLevel="0" collapsed="false">
      <c r="A1960" s="1" t="s">
        <v>1277</v>
      </c>
    </row>
    <row r="1961" customFormat="false" ht="12.75" hidden="false" customHeight="true" outlineLevel="0" collapsed="false">
      <c r="A1961" s="1" t="s">
        <v>1725</v>
      </c>
    </row>
    <row r="1962" customFormat="false" ht="12.75" hidden="false" customHeight="true" outlineLevel="0" collapsed="false">
      <c r="A1962" s="1" t="s">
        <v>1726</v>
      </c>
    </row>
    <row r="1963" customFormat="false" ht="12.75" hidden="false" customHeight="true" outlineLevel="0" collapsed="false">
      <c r="A1963" s="1" t="s">
        <v>1727</v>
      </c>
    </row>
    <row r="1964" customFormat="false" ht="12.75" hidden="false" customHeight="true" outlineLevel="0" collapsed="false"/>
    <row r="1965" customFormat="false" ht="12.75" hidden="false" customHeight="true" outlineLevel="0" collapsed="false">
      <c r="A1965" s="1" t="s">
        <v>1209</v>
      </c>
    </row>
    <row r="1966" customFormat="false" ht="12.75" hidden="false" customHeight="true" outlineLevel="0" collapsed="false">
      <c r="A1966" s="1" t="s">
        <v>1728</v>
      </c>
    </row>
    <row r="1967" customFormat="false" ht="12.75" hidden="false" customHeight="true" outlineLevel="0" collapsed="false">
      <c r="A1967" s="1" t="s">
        <v>1729</v>
      </c>
    </row>
    <row r="1968" customFormat="false" ht="12.75" hidden="false" customHeight="true" outlineLevel="0" collapsed="false">
      <c r="A1968" s="1" t="s">
        <v>1718</v>
      </c>
    </row>
    <row r="1969" customFormat="false" ht="12.75" hidden="false" customHeight="true" outlineLevel="0" collapsed="false">
      <c r="A1969" s="1" t="s">
        <v>1727</v>
      </c>
    </row>
    <row r="1970" customFormat="false" ht="12.75" hidden="false" customHeight="true" outlineLevel="0" collapsed="false"/>
    <row r="1971" customFormat="false" ht="12.75" hidden="false" customHeight="true" outlineLevel="0" collapsed="false">
      <c r="A1971" s="1" t="s">
        <v>1210</v>
      </c>
    </row>
    <row r="1972" customFormat="false" ht="12.75" hidden="false" customHeight="true" outlineLevel="0" collapsed="false">
      <c r="A1972" s="1" t="s">
        <v>1730</v>
      </c>
    </row>
    <row r="1973" customFormat="false" ht="12.75" hidden="false" customHeight="true" outlineLevel="0" collapsed="false">
      <c r="A1973" s="1" t="s">
        <v>1731</v>
      </c>
    </row>
    <row r="1974" customFormat="false" ht="12.75" hidden="false" customHeight="true" outlineLevel="0" collapsed="false"/>
    <row r="1975" customFormat="false" ht="12.75" hidden="false" customHeight="true" outlineLevel="0" collapsed="false">
      <c r="A1975" s="1" t="s">
        <v>1211</v>
      </c>
    </row>
    <row r="1976" customFormat="false" ht="12.75" hidden="false" customHeight="true" outlineLevel="0" collapsed="false">
      <c r="A1976" s="1" t="s">
        <v>1728</v>
      </c>
    </row>
    <row r="1977" customFormat="false" ht="12.75" hidden="false" customHeight="true" outlineLevel="0" collapsed="false">
      <c r="A1977" s="1" t="s">
        <v>1729</v>
      </c>
    </row>
    <row r="1978" customFormat="false" ht="12.75" hidden="false" customHeight="true" outlineLevel="0" collapsed="false"/>
    <row r="1979" customFormat="false" ht="12.75" hidden="false" customHeight="true" outlineLevel="0" collapsed="false">
      <c r="A1979" s="1" t="s">
        <v>1212</v>
      </c>
    </row>
    <row r="1980" customFormat="false" ht="12.75" hidden="false" customHeight="true" outlineLevel="0" collapsed="false">
      <c r="A1980" s="1" t="s">
        <v>1728</v>
      </c>
    </row>
    <row r="1981" customFormat="false" ht="12.75" hidden="false" customHeight="true" outlineLevel="0" collapsed="false">
      <c r="A1981" s="1" t="s">
        <v>1732</v>
      </c>
    </row>
    <row r="1982" customFormat="false" ht="12.75" hidden="false" customHeight="true" outlineLevel="0" collapsed="false">
      <c r="A1982" s="1" t="s">
        <v>1711</v>
      </c>
    </row>
    <row r="1983" customFormat="false" ht="12.75" hidden="false" customHeight="true" outlineLevel="0" collapsed="false">
      <c r="A1983" s="1" t="s">
        <v>1677</v>
      </c>
    </row>
    <row r="1984" customFormat="false" ht="12.75" hidden="false" customHeight="true" outlineLevel="0" collapsed="false">
      <c r="A1984" s="1" t="s">
        <v>1678</v>
      </c>
    </row>
    <row r="1985" customFormat="false" ht="12.75" hidden="false" customHeight="true" outlineLevel="0" collapsed="false">
      <c r="A1985" s="1" t="s">
        <v>1685</v>
      </c>
    </row>
    <row r="1986" customFormat="false" ht="12.75" hidden="false" customHeight="true" outlineLevel="0" collapsed="false">
      <c r="A1986" s="1" t="s">
        <v>1266</v>
      </c>
    </row>
    <row r="1987" customFormat="false" ht="12.75" hidden="false" customHeight="true" outlineLevel="0" collapsed="false">
      <c r="A1987" s="1" t="s">
        <v>1267</v>
      </c>
    </row>
    <row r="1988" customFormat="false" ht="12.75" hidden="false" customHeight="true" outlineLevel="0" collapsed="false"/>
    <row r="1989" customFormat="false" ht="12.75" hidden="false" customHeight="true" outlineLevel="0" collapsed="false">
      <c r="A1989" s="1" t="s">
        <v>1268</v>
      </c>
    </row>
    <row r="1990" customFormat="false" ht="12.75" hidden="false" customHeight="true" outlineLevel="0" collapsed="false">
      <c r="A1990" s="1" t="s">
        <v>1269</v>
      </c>
    </row>
    <row r="1991" customFormat="false" ht="12.75" hidden="false" customHeight="true" outlineLevel="0" collapsed="false">
      <c r="A1991" s="1" t="s">
        <v>1270</v>
      </c>
    </row>
    <row r="1992" customFormat="false" ht="12.75" hidden="false" customHeight="true" outlineLevel="0" collapsed="false">
      <c r="A1992" s="1" t="s">
        <v>1269</v>
      </c>
    </row>
    <row r="1993" customFormat="false" ht="12.75" hidden="false" customHeight="true" outlineLevel="0" collapsed="false"/>
    <row r="1994" customFormat="false" ht="12.75" hidden="false" customHeight="true" outlineLevel="0" collapsed="false">
      <c r="A1994" s="1" t="s">
        <v>1272</v>
      </c>
    </row>
    <row r="1995" customFormat="false" ht="12.75" hidden="false" customHeight="true" outlineLevel="0" collapsed="false">
      <c r="A1995" s="1" t="s">
        <v>1273</v>
      </c>
    </row>
    <row r="1996" customFormat="false" ht="12.75" hidden="false" customHeight="true" outlineLevel="0" collapsed="false">
      <c r="A1996" s="1" t="s">
        <v>1712</v>
      </c>
    </row>
    <row r="1997" customFormat="false" ht="12.75" hidden="false" customHeight="true" outlineLevel="0" collapsed="false">
      <c r="A1997" s="1" t="s">
        <v>1275</v>
      </c>
    </row>
    <row r="1998" customFormat="false" ht="12.75" hidden="false" customHeight="true" outlineLevel="0" collapsed="false">
      <c r="A1998" s="1" t="s">
        <v>1623</v>
      </c>
    </row>
    <row r="1999" customFormat="false" ht="12.75" hidden="false" customHeight="true" outlineLevel="0" collapsed="false">
      <c r="A1999" s="1" t="s">
        <v>1277</v>
      </c>
    </row>
    <row r="2000" customFormat="false" ht="12.75" hidden="false" customHeight="true" outlineLevel="0" collapsed="false">
      <c r="A2000" s="1" t="s">
        <v>1733</v>
      </c>
    </row>
    <row r="2001" customFormat="false" ht="12.75" hidden="false" customHeight="true" outlineLevel="0" collapsed="false">
      <c r="A2001" s="1" t="s">
        <v>1619</v>
      </c>
    </row>
    <row r="2002" customFormat="false" ht="12.75" hidden="false" customHeight="true" outlineLevel="0" collapsed="false">
      <c r="A2002" s="1" t="s">
        <v>1677</v>
      </c>
    </row>
    <row r="2003" customFormat="false" ht="12.75" hidden="false" customHeight="true" outlineLevel="0" collapsed="false">
      <c r="A2003" s="1" t="s">
        <v>1678</v>
      </c>
    </row>
    <row r="2004" customFormat="false" ht="12.75" hidden="false" customHeight="true" outlineLevel="0" collapsed="false">
      <c r="A2004" s="1" t="s">
        <v>1685</v>
      </c>
    </row>
    <row r="2005" customFormat="false" ht="12.75" hidden="false" customHeight="true" outlineLevel="0" collapsed="false">
      <c r="A2005" s="1" t="s">
        <v>1266</v>
      </c>
    </row>
    <row r="2006" customFormat="false" ht="12.75" hidden="false" customHeight="true" outlineLevel="0" collapsed="false">
      <c r="A2006" s="1" t="s">
        <v>1267</v>
      </c>
    </row>
    <row r="2007" customFormat="false" ht="12.75" hidden="false" customHeight="true" outlineLevel="0" collapsed="false"/>
    <row r="2008" customFormat="false" ht="12.75" hidden="false" customHeight="true" outlineLevel="0" collapsed="false">
      <c r="A2008" s="1" t="s">
        <v>1268</v>
      </c>
    </row>
    <row r="2009" customFormat="false" ht="12.75" hidden="false" customHeight="true" outlineLevel="0" collapsed="false">
      <c r="A2009" s="1" t="s">
        <v>1269</v>
      </c>
    </row>
    <row r="2010" customFormat="false" ht="12.75" hidden="false" customHeight="true" outlineLevel="0" collapsed="false">
      <c r="A2010" s="1" t="s">
        <v>1270</v>
      </c>
    </row>
    <row r="2011" customFormat="false" ht="12.75" hidden="false" customHeight="true" outlineLevel="0" collapsed="false">
      <c r="A2011" s="1" t="s">
        <v>1269</v>
      </c>
    </row>
    <row r="2012" customFormat="false" ht="12.75" hidden="false" customHeight="true" outlineLevel="0" collapsed="false"/>
    <row r="2013" customFormat="false" ht="12.75" hidden="false" customHeight="true" outlineLevel="0" collapsed="false">
      <c r="A2013" s="1" t="s">
        <v>1272</v>
      </c>
    </row>
    <row r="2014" customFormat="false" ht="12.75" hidden="false" customHeight="true" outlineLevel="0" collapsed="false">
      <c r="A2014" s="1" t="s">
        <v>1273</v>
      </c>
    </row>
    <row r="2015" customFormat="false" ht="12.75" hidden="false" customHeight="true" outlineLevel="0" collapsed="false">
      <c r="A2015" s="1" t="s">
        <v>1712</v>
      </c>
    </row>
    <row r="2016" customFormat="false" ht="12.75" hidden="false" customHeight="true" outlineLevel="0" collapsed="false">
      <c r="A2016" s="1" t="s">
        <v>1275</v>
      </c>
    </row>
    <row r="2017" customFormat="false" ht="12.75" hidden="false" customHeight="true" outlineLevel="0" collapsed="false">
      <c r="A2017" s="1" t="s">
        <v>1623</v>
      </c>
    </row>
    <row r="2018" customFormat="false" ht="12.75" hidden="false" customHeight="true" outlineLevel="0" collapsed="false">
      <c r="A2018" s="1" t="s">
        <v>1277</v>
      </c>
    </row>
    <row r="2019" customFormat="false" ht="12.75" hidden="false" customHeight="true" outlineLevel="0" collapsed="false">
      <c r="A2019" s="1" t="s">
        <v>1734</v>
      </c>
    </row>
    <row r="2020" customFormat="false" ht="12.75" hidden="false" customHeight="true" outlineLevel="0" collapsed="false">
      <c r="A2020" s="1" t="s">
        <v>1619</v>
      </c>
    </row>
    <row r="2021" customFormat="false" ht="12.75" hidden="false" customHeight="true" outlineLevel="0" collapsed="false">
      <c r="A2021" s="1" t="s">
        <v>1677</v>
      </c>
    </row>
    <row r="2022" customFormat="false" ht="12.75" hidden="false" customHeight="true" outlineLevel="0" collapsed="false">
      <c r="A2022" s="1" t="s">
        <v>1678</v>
      </c>
    </row>
    <row r="2023" customFormat="false" ht="12.75" hidden="false" customHeight="true" outlineLevel="0" collapsed="false">
      <c r="A2023" s="1" t="s">
        <v>1685</v>
      </c>
    </row>
    <row r="2024" customFormat="false" ht="12.75" hidden="false" customHeight="true" outlineLevel="0" collapsed="false">
      <c r="A2024" s="1" t="s">
        <v>1266</v>
      </c>
    </row>
    <row r="2025" customFormat="false" ht="12.75" hidden="false" customHeight="true" outlineLevel="0" collapsed="false">
      <c r="A2025" s="1" t="s">
        <v>1267</v>
      </c>
    </row>
    <row r="2026" customFormat="false" ht="12.75" hidden="false" customHeight="true" outlineLevel="0" collapsed="false"/>
    <row r="2027" customFormat="false" ht="12.75" hidden="false" customHeight="true" outlineLevel="0" collapsed="false">
      <c r="A2027" s="1" t="s">
        <v>1268</v>
      </c>
    </row>
    <row r="2028" customFormat="false" ht="12.75" hidden="false" customHeight="true" outlineLevel="0" collapsed="false">
      <c r="A2028" s="1" t="s">
        <v>1269</v>
      </c>
    </row>
    <row r="2029" customFormat="false" ht="12.75" hidden="false" customHeight="true" outlineLevel="0" collapsed="false">
      <c r="A2029" s="1" t="s">
        <v>1270</v>
      </c>
    </row>
    <row r="2030" customFormat="false" ht="12.75" hidden="false" customHeight="true" outlineLevel="0" collapsed="false">
      <c r="A2030" s="1" t="s">
        <v>1269</v>
      </c>
    </row>
    <row r="2031" customFormat="false" ht="12.75" hidden="false" customHeight="true" outlineLevel="0" collapsed="false"/>
    <row r="2032" customFormat="false" ht="12.75" hidden="false" customHeight="true" outlineLevel="0" collapsed="false">
      <c r="A2032" s="1" t="s">
        <v>1272</v>
      </c>
    </row>
    <row r="2033" customFormat="false" ht="12.75" hidden="false" customHeight="true" outlineLevel="0" collapsed="false">
      <c r="A2033" s="1" t="s">
        <v>1273</v>
      </c>
    </row>
    <row r="2034" customFormat="false" ht="12.75" hidden="false" customHeight="true" outlineLevel="0" collapsed="false">
      <c r="A2034" s="1" t="s">
        <v>1712</v>
      </c>
    </row>
    <row r="2035" customFormat="false" ht="12.75" hidden="false" customHeight="true" outlineLevel="0" collapsed="false">
      <c r="A2035" s="1" t="s">
        <v>1275</v>
      </c>
    </row>
    <row r="2036" customFormat="false" ht="12.75" hidden="false" customHeight="true" outlineLevel="0" collapsed="false">
      <c r="A2036" s="1" t="s">
        <v>1623</v>
      </c>
    </row>
    <row r="2037" customFormat="false" ht="12.75" hidden="false" customHeight="true" outlineLevel="0" collapsed="false">
      <c r="A2037" s="1" t="s">
        <v>1277</v>
      </c>
    </row>
    <row r="2038" customFormat="false" ht="12.75" hidden="false" customHeight="true" outlineLevel="0" collapsed="false">
      <c r="A2038" s="1" t="s">
        <v>1735</v>
      </c>
    </row>
    <row r="2039" customFormat="false" ht="12.75" hidden="false" customHeight="true" outlineLevel="0" collapsed="false">
      <c r="A2039" s="1" t="s">
        <v>1736</v>
      </c>
    </row>
    <row r="2040" customFormat="false" ht="12.75" hidden="false" customHeight="true" outlineLevel="0" collapsed="false">
      <c r="A2040" s="1" t="s">
        <v>1716</v>
      </c>
    </row>
    <row r="2041" customFormat="false" ht="12.75" hidden="false" customHeight="true" outlineLevel="0" collapsed="false"/>
    <row r="2042" customFormat="false" ht="12.75" hidden="false" customHeight="true" outlineLevel="0" collapsed="false">
      <c r="A2042" s="1" t="s">
        <v>1209</v>
      </c>
    </row>
    <row r="2043" customFormat="false" ht="12.75" hidden="false" customHeight="true" outlineLevel="0" collapsed="false">
      <c r="A2043" s="1" t="s">
        <v>1737</v>
      </c>
    </row>
    <row r="2044" customFormat="false" ht="12.75" hidden="false" customHeight="true" outlineLevel="0" collapsed="false">
      <c r="A2044" s="1" t="s">
        <v>1738</v>
      </c>
    </row>
    <row r="2045" customFormat="false" ht="12.75" hidden="false" customHeight="true" outlineLevel="0" collapsed="false">
      <c r="A2045" s="1" t="s">
        <v>1719</v>
      </c>
    </row>
    <row r="2046" customFormat="false" ht="12.75" hidden="false" customHeight="true" outlineLevel="0" collapsed="false">
      <c r="A2046" s="1" t="s">
        <v>1720</v>
      </c>
    </row>
    <row r="2047" customFormat="false" ht="12.75" hidden="false" customHeight="true" outlineLevel="0" collapsed="false"/>
    <row r="2048" customFormat="false" ht="12.75" hidden="false" customHeight="true" outlineLevel="0" collapsed="false">
      <c r="A2048" s="1" t="s">
        <v>1210</v>
      </c>
    </row>
    <row r="2049" customFormat="false" ht="12.75" hidden="false" customHeight="true" outlineLevel="0" collapsed="false">
      <c r="A2049" s="1" t="s">
        <v>1739</v>
      </c>
    </row>
    <row r="2050" customFormat="false" ht="12.75" hidden="false" customHeight="true" outlineLevel="0" collapsed="false">
      <c r="A2050" s="1" t="s">
        <v>1598</v>
      </c>
    </row>
    <row r="2051" customFormat="false" ht="12.75" hidden="false" customHeight="true" outlineLevel="0" collapsed="false"/>
    <row r="2052" customFormat="false" ht="12.75" hidden="false" customHeight="true" outlineLevel="0" collapsed="false">
      <c r="A2052" s="1" t="s">
        <v>1211</v>
      </c>
    </row>
    <row r="2053" customFormat="false" ht="12.75" hidden="false" customHeight="true" outlineLevel="0" collapsed="false">
      <c r="A2053" s="1" t="s">
        <v>1740</v>
      </c>
    </row>
    <row r="2054" customFormat="false" ht="12.75" hidden="false" customHeight="true" outlineLevel="0" collapsed="false">
      <c r="A2054" s="1" t="s">
        <v>1723</v>
      </c>
    </row>
    <row r="2055" customFormat="false" ht="12.75" hidden="false" customHeight="true" outlineLevel="0" collapsed="false"/>
    <row r="2056" customFormat="false" ht="12.75" hidden="false" customHeight="true" outlineLevel="0" collapsed="false">
      <c r="A2056" s="1" t="s">
        <v>1212</v>
      </c>
    </row>
    <row r="2057" customFormat="false" ht="12.75" hidden="false" customHeight="true" outlineLevel="0" collapsed="false">
      <c r="A2057" s="1" t="s">
        <v>1740</v>
      </c>
    </row>
    <row r="2058" customFormat="false" ht="12.75" hidden="false" customHeight="true" outlineLevel="0" collapsed="false">
      <c r="A2058" s="1" t="s">
        <v>1741</v>
      </c>
    </row>
    <row r="2059" customFormat="false" ht="12.75" hidden="false" customHeight="true" outlineLevel="0" collapsed="false">
      <c r="A2059" s="1" t="s">
        <v>1619</v>
      </c>
    </row>
    <row r="2060" customFormat="false" ht="12.75" hidden="false" customHeight="true" outlineLevel="0" collapsed="false">
      <c r="A2060" s="1" t="s">
        <v>1677</v>
      </c>
    </row>
    <row r="2061" customFormat="false" ht="12.75" hidden="false" customHeight="true" outlineLevel="0" collapsed="false">
      <c r="A2061" s="1" t="s">
        <v>1678</v>
      </c>
    </row>
    <row r="2062" customFormat="false" ht="12.75" hidden="false" customHeight="true" outlineLevel="0" collapsed="false">
      <c r="A2062" s="1" t="s">
        <v>1685</v>
      </c>
    </row>
    <row r="2063" customFormat="false" ht="12.75" hidden="false" customHeight="true" outlineLevel="0" collapsed="false">
      <c r="A2063" s="1" t="s">
        <v>1266</v>
      </c>
    </row>
    <row r="2064" customFormat="false" ht="12.75" hidden="false" customHeight="true" outlineLevel="0" collapsed="false">
      <c r="A2064" s="1" t="s">
        <v>1267</v>
      </c>
    </row>
    <row r="2065" customFormat="false" ht="12.75" hidden="false" customHeight="true" outlineLevel="0" collapsed="false"/>
    <row r="2066" customFormat="false" ht="12.75" hidden="false" customHeight="true" outlineLevel="0" collapsed="false">
      <c r="A2066" s="1" t="s">
        <v>1268</v>
      </c>
    </row>
    <row r="2067" customFormat="false" ht="12.75" hidden="false" customHeight="true" outlineLevel="0" collapsed="false">
      <c r="A2067" s="1" t="s">
        <v>1269</v>
      </c>
    </row>
    <row r="2068" customFormat="false" ht="12.75" hidden="false" customHeight="true" outlineLevel="0" collapsed="false">
      <c r="A2068" s="1" t="s">
        <v>1270</v>
      </c>
    </row>
    <row r="2069" customFormat="false" ht="12.75" hidden="false" customHeight="true" outlineLevel="0" collapsed="false">
      <c r="A2069" s="1" t="s">
        <v>1269</v>
      </c>
    </row>
    <row r="2070" customFormat="false" ht="12.75" hidden="false" customHeight="true" outlineLevel="0" collapsed="false"/>
    <row r="2071" customFormat="false" ht="12.75" hidden="false" customHeight="true" outlineLevel="0" collapsed="false">
      <c r="A2071" s="1" t="s">
        <v>1272</v>
      </c>
    </row>
    <row r="2072" customFormat="false" ht="12.75" hidden="false" customHeight="true" outlineLevel="0" collapsed="false">
      <c r="A2072" s="1" t="s">
        <v>1273</v>
      </c>
    </row>
    <row r="2073" customFormat="false" ht="12.75" hidden="false" customHeight="true" outlineLevel="0" collapsed="false">
      <c r="A2073" s="1" t="s">
        <v>1712</v>
      </c>
    </row>
    <row r="2074" customFormat="false" ht="12.75" hidden="false" customHeight="true" outlineLevel="0" collapsed="false">
      <c r="A2074" s="1" t="s">
        <v>1275</v>
      </c>
    </row>
    <row r="2075" customFormat="false" ht="12.75" hidden="false" customHeight="true" outlineLevel="0" collapsed="false">
      <c r="A2075" s="1" t="s">
        <v>1623</v>
      </c>
    </row>
    <row r="2076" customFormat="false" ht="12.75" hidden="false" customHeight="true" outlineLevel="0" collapsed="false">
      <c r="A2076" s="1" t="s">
        <v>1277</v>
      </c>
    </row>
    <row r="2077" customFormat="false" ht="12.75" hidden="false" customHeight="true" outlineLevel="0" collapsed="false">
      <c r="A2077" s="1" t="s">
        <v>1742</v>
      </c>
    </row>
    <row r="2078" customFormat="false" ht="12.75" hidden="false" customHeight="true" outlineLevel="0" collapsed="false">
      <c r="A2078" s="1" t="s">
        <v>1743</v>
      </c>
    </row>
    <row r="2079" customFormat="false" ht="12.75" hidden="false" customHeight="true" outlineLevel="0" collapsed="false">
      <c r="A2079" s="1" t="s">
        <v>1744</v>
      </c>
    </row>
    <row r="2080" customFormat="false" ht="12.75" hidden="false" customHeight="true" outlineLevel="0" collapsed="false"/>
    <row r="2081" customFormat="false" ht="12.75" hidden="false" customHeight="true" outlineLevel="0" collapsed="false">
      <c r="A2081" s="1" t="s">
        <v>1209</v>
      </c>
    </row>
    <row r="2082" customFormat="false" ht="12.75" hidden="false" customHeight="true" outlineLevel="0" collapsed="false">
      <c r="A2082" s="1" t="s">
        <v>1745</v>
      </c>
    </row>
    <row r="2083" customFormat="false" ht="12.75" hidden="false" customHeight="true" outlineLevel="0" collapsed="false">
      <c r="A2083" s="1" t="s">
        <v>1746</v>
      </c>
    </row>
    <row r="2084" customFormat="false" ht="12.75" hidden="false" customHeight="true" outlineLevel="0" collapsed="false">
      <c r="A2084" s="1" t="s">
        <v>1747</v>
      </c>
    </row>
    <row r="2085" customFormat="false" ht="12.75" hidden="false" customHeight="true" outlineLevel="0" collapsed="false">
      <c r="A2085" s="1" t="s">
        <v>1748</v>
      </c>
    </row>
    <row r="2086" customFormat="false" ht="12.75" hidden="false" customHeight="true" outlineLevel="0" collapsed="false"/>
    <row r="2087" customFormat="false" ht="12.75" hidden="false" customHeight="true" outlineLevel="0" collapsed="false">
      <c r="A2087" s="1" t="s">
        <v>1210</v>
      </c>
    </row>
    <row r="2088" customFormat="false" ht="12.75" hidden="false" customHeight="true" outlineLevel="0" collapsed="false">
      <c r="A2088" s="1" t="s">
        <v>1749</v>
      </c>
    </row>
    <row r="2089" customFormat="false" ht="12.75" hidden="false" customHeight="true" outlineLevel="0" collapsed="false">
      <c r="A2089" s="1" t="s">
        <v>1598</v>
      </c>
    </row>
    <row r="2090" customFormat="false" ht="12.75" hidden="false" customHeight="true" outlineLevel="0" collapsed="false"/>
    <row r="2091" customFormat="false" ht="12.75" hidden="false" customHeight="true" outlineLevel="0" collapsed="false">
      <c r="A2091" s="1" t="s">
        <v>1211</v>
      </c>
    </row>
    <row r="2092" customFormat="false" ht="12.75" hidden="false" customHeight="true" outlineLevel="0" collapsed="false">
      <c r="A2092" s="1" t="s">
        <v>1750</v>
      </c>
    </row>
    <row r="2093" customFormat="false" ht="12.75" hidden="false" customHeight="true" outlineLevel="0" collapsed="false">
      <c r="A2093" s="1" t="s">
        <v>1751</v>
      </c>
    </row>
    <row r="2094" customFormat="false" ht="12.75" hidden="false" customHeight="true" outlineLevel="0" collapsed="false"/>
    <row r="2095" customFormat="false" ht="12.75" hidden="false" customHeight="true" outlineLevel="0" collapsed="false">
      <c r="A2095" s="1" t="s">
        <v>1212</v>
      </c>
    </row>
    <row r="2096" customFormat="false" ht="12.75" hidden="false" customHeight="true" outlineLevel="0" collapsed="false">
      <c r="A2096" s="1" t="s">
        <v>1750</v>
      </c>
    </row>
    <row r="2097" customFormat="false" ht="12.75" hidden="false" customHeight="true" outlineLevel="0" collapsed="false">
      <c r="A2097" s="1" t="s">
        <v>1752</v>
      </c>
    </row>
    <row r="2098" customFormat="false" ht="12.75" hidden="false" customHeight="true" outlineLevel="0" collapsed="false">
      <c r="A2098" s="1" t="s">
        <v>1753</v>
      </c>
    </row>
    <row r="2099" customFormat="false" ht="12.75" hidden="false" customHeight="true" outlineLevel="0" collapsed="false">
      <c r="A2099" s="1" t="s">
        <v>1754</v>
      </c>
    </row>
    <row r="2100" customFormat="false" ht="12.75" hidden="false" customHeight="true" outlineLevel="0" collapsed="false">
      <c r="A2100" s="1" t="s">
        <v>1755</v>
      </c>
    </row>
    <row r="2101" customFormat="false" ht="12.75" hidden="false" customHeight="true" outlineLevel="0" collapsed="false">
      <c r="A2101" s="1" t="s">
        <v>1756</v>
      </c>
    </row>
    <row r="2102" customFormat="false" ht="12.75" hidden="false" customHeight="true" outlineLevel="0" collapsed="false">
      <c r="A2102" s="1" t="s">
        <v>1266</v>
      </c>
    </row>
    <row r="2103" customFormat="false" ht="12.75" hidden="false" customHeight="true" outlineLevel="0" collapsed="false">
      <c r="A2103" s="1" t="s">
        <v>1267</v>
      </c>
    </row>
    <row r="2104" customFormat="false" ht="12.75" hidden="false" customHeight="true" outlineLevel="0" collapsed="false"/>
    <row r="2105" customFormat="false" ht="12.75" hidden="false" customHeight="true" outlineLevel="0" collapsed="false">
      <c r="A2105" s="1" t="s">
        <v>1268</v>
      </c>
    </row>
    <row r="2106" customFormat="false" ht="12.75" hidden="false" customHeight="true" outlineLevel="0" collapsed="false">
      <c r="A2106" s="1" t="s">
        <v>1586</v>
      </c>
    </row>
    <row r="2107" customFormat="false" ht="12.75" hidden="false" customHeight="true" outlineLevel="0" collapsed="false">
      <c r="A2107" s="1" t="s">
        <v>1270</v>
      </c>
    </row>
    <row r="2108" customFormat="false" ht="12.75" hidden="false" customHeight="true" outlineLevel="0" collapsed="false">
      <c r="A2108" s="1" t="s">
        <v>1585</v>
      </c>
    </row>
    <row r="2109" customFormat="false" ht="12.75" hidden="false" customHeight="true" outlineLevel="0" collapsed="false"/>
    <row r="2110" customFormat="false" ht="12.75" hidden="false" customHeight="true" outlineLevel="0" collapsed="false">
      <c r="A2110" s="1" t="s">
        <v>1272</v>
      </c>
    </row>
    <row r="2111" customFormat="false" ht="12.75" hidden="false" customHeight="true" outlineLevel="0" collapsed="false">
      <c r="A2111" s="1" t="s">
        <v>1606</v>
      </c>
    </row>
    <row r="2112" customFormat="false" ht="12.75" hidden="false" customHeight="true" outlineLevel="0" collapsed="false">
      <c r="A2112" s="1" t="s">
        <v>1607</v>
      </c>
    </row>
    <row r="2113" customFormat="false" ht="12.75" hidden="false" customHeight="true" outlineLevel="0" collapsed="false">
      <c r="A2113" s="1" t="s">
        <v>1275</v>
      </c>
    </row>
    <row r="2114" customFormat="false" ht="12.75" hidden="false" customHeight="true" outlineLevel="0" collapsed="false">
      <c r="A2114" s="1" t="s">
        <v>1589</v>
      </c>
    </row>
    <row r="2115" customFormat="false" ht="12.75" hidden="false" customHeight="true" outlineLevel="0" collapsed="false">
      <c r="A2115" s="1" t="s">
        <v>1277</v>
      </c>
    </row>
    <row r="2116" customFormat="false" ht="12.75" hidden="false" customHeight="true" outlineLevel="0" collapsed="false">
      <c r="A2116" s="1" t="s">
        <v>1757</v>
      </c>
    </row>
    <row r="2117" customFormat="false" ht="12.75" hidden="false" customHeight="true" outlineLevel="0" collapsed="false">
      <c r="A2117" s="1" t="s">
        <v>1619</v>
      </c>
    </row>
    <row r="2118" customFormat="false" ht="12.75" hidden="false" customHeight="true" outlineLevel="0" collapsed="false">
      <c r="A2118" s="1" t="s">
        <v>1758</v>
      </c>
    </row>
    <row r="2119" customFormat="false" ht="12.75" hidden="false" customHeight="true" outlineLevel="0" collapsed="false">
      <c r="A2119" s="1" t="s">
        <v>1678</v>
      </c>
    </row>
    <row r="2120" customFormat="false" ht="12.75" hidden="false" customHeight="true" outlineLevel="0" collapsed="false">
      <c r="A2120" s="1" t="s">
        <v>1685</v>
      </c>
    </row>
    <row r="2121" customFormat="false" ht="12.75" hidden="false" customHeight="true" outlineLevel="0" collapsed="false">
      <c r="A2121" s="1" t="s">
        <v>1266</v>
      </c>
    </row>
    <row r="2122" customFormat="false" ht="12.75" hidden="false" customHeight="true" outlineLevel="0" collapsed="false">
      <c r="A2122" s="1" t="s">
        <v>1267</v>
      </c>
    </row>
    <row r="2123" customFormat="false" ht="12.75" hidden="false" customHeight="true" outlineLevel="0" collapsed="false"/>
    <row r="2124" customFormat="false" ht="12.75" hidden="false" customHeight="true" outlineLevel="0" collapsed="false">
      <c r="A2124" s="1" t="s">
        <v>1268</v>
      </c>
    </row>
    <row r="2125" customFormat="false" ht="12.75" hidden="false" customHeight="true" outlineLevel="0" collapsed="false">
      <c r="A2125" s="1" t="s">
        <v>1269</v>
      </c>
    </row>
    <row r="2126" customFormat="false" ht="12.75" hidden="false" customHeight="true" outlineLevel="0" collapsed="false">
      <c r="A2126" s="1" t="s">
        <v>1270</v>
      </c>
    </row>
    <row r="2127" customFormat="false" ht="12.75" hidden="false" customHeight="true" outlineLevel="0" collapsed="false">
      <c r="A2127" s="1" t="s">
        <v>1269</v>
      </c>
    </row>
    <row r="2128" customFormat="false" ht="12.75" hidden="false" customHeight="true" outlineLevel="0" collapsed="false"/>
    <row r="2129" customFormat="false" ht="12.75" hidden="false" customHeight="true" outlineLevel="0" collapsed="false">
      <c r="A2129" s="1" t="s">
        <v>1272</v>
      </c>
    </row>
    <row r="2130" customFormat="false" ht="12.75" hidden="false" customHeight="true" outlineLevel="0" collapsed="false">
      <c r="A2130" s="1" t="s">
        <v>1273</v>
      </c>
    </row>
    <row r="2131" customFormat="false" ht="12.75" hidden="false" customHeight="true" outlineLevel="0" collapsed="false">
      <c r="A2131" s="1" t="s">
        <v>1712</v>
      </c>
    </row>
    <row r="2132" customFormat="false" ht="12.75" hidden="false" customHeight="true" outlineLevel="0" collapsed="false">
      <c r="A2132" s="1" t="s">
        <v>1275</v>
      </c>
    </row>
    <row r="2133" customFormat="false" ht="12.75" hidden="false" customHeight="true" outlineLevel="0" collapsed="false">
      <c r="A2133" s="1" t="s">
        <v>1623</v>
      </c>
    </row>
    <row r="2134" customFormat="false" ht="12.75" hidden="false" customHeight="true" outlineLevel="0" collapsed="false">
      <c r="A2134" s="1" t="s">
        <v>1277</v>
      </c>
    </row>
    <row r="2135" customFormat="false" ht="12.75" hidden="false" customHeight="true" outlineLevel="0" collapsed="false">
      <c r="A2135" s="1" t="s">
        <v>1759</v>
      </c>
    </row>
    <row r="2136" customFormat="false" ht="12.75" hidden="false" customHeight="true" outlineLevel="0" collapsed="false">
      <c r="A2136" s="1" t="s">
        <v>1736</v>
      </c>
    </row>
    <row r="2137" customFormat="false" ht="12.75" hidden="false" customHeight="true" outlineLevel="0" collapsed="false">
      <c r="A2137" s="1" t="s">
        <v>1716</v>
      </c>
    </row>
    <row r="2138" customFormat="false" ht="12.75" hidden="false" customHeight="true" outlineLevel="0" collapsed="false"/>
    <row r="2139" customFormat="false" ht="12.75" hidden="false" customHeight="true" outlineLevel="0" collapsed="false">
      <c r="A2139" s="1" t="s">
        <v>1209</v>
      </c>
    </row>
    <row r="2140" customFormat="false" ht="12.75" hidden="false" customHeight="true" outlineLevel="0" collapsed="false">
      <c r="A2140" s="1" t="s">
        <v>1760</v>
      </c>
    </row>
    <row r="2141" customFormat="false" ht="12.75" hidden="false" customHeight="true" outlineLevel="0" collapsed="false">
      <c r="A2141" s="1" t="s">
        <v>1738</v>
      </c>
    </row>
    <row r="2142" customFormat="false" ht="12.75" hidden="false" customHeight="true" outlineLevel="0" collapsed="false">
      <c r="A2142" s="1" t="s">
        <v>1719</v>
      </c>
    </row>
    <row r="2143" customFormat="false" ht="12.75" hidden="false" customHeight="true" outlineLevel="0" collapsed="false">
      <c r="A2143" s="1" t="s">
        <v>1720</v>
      </c>
    </row>
    <row r="2144" customFormat="false" ht="12.75" hidden="false" customHeight="true" outlineLevel="0" collapsed="false"/>
    <row r="2145" customFormat="false" ht="12.75" hidden="false" customHeight="true" outlineLevel="0" collapsed="false">
      <c r="A2145" s="1" t="s">
        <v>1210</v>
      </c>
    </row>
    <row r="2146" customFormat="false" ht="12.75" hidden="false" customHeight="true" outlineLevel="0" collapsed="false">
      <c r="A2146" s="1" t="s">
        <v>1740</v>
      </c>
    </row>
    <row r="2147" customFormat="false" ht="12.75" hidden="false" customHeight="true" outlineLevel="0" collapsed="false">
      <c r="A2147" s="1" t="s">
        <v>1598</v>
      </c>
    </row>
    <row r="2148" customFormat="false" ht="12.75" hidden="false" customHeight="true" outlineLevel="0" collapsed="false"/>
    <row r="2149" customFormat="false" ht="12.75" hidden="false" customHeight="true" outlineLevel="0" collapsed="false">
      <c r="A2149" s="1" t="s">
        <v>1211</v>
      </c>
    </row>
    <row r="2150" customFormat="false" ht="12.75" hidden="false" customHeight="true" outlineLevel="0" collapsed="false">
      <c r="A2150" s="1" t="s">
        <v>1761</v>
      </c>
    </row>
    <row r="2151" customFormat="false" ht="12.75" hidden="false" customHeight="true" outlineLevel="0" collapsed="false">
      <c r="A2151" s="1" t="s">
        <v>1723</v>
      </c>
    </row>
    <row r="2152" customFormat="false" ht="12.75" hidden="false" customHeight="true" outlineLevel="0" collapsed="false"/>
    <row r="2153" customFormat="false" ht="12.75" hidden="false" customHeight="true" outlineLevel="0" collapsed="false">
      <c r="A2153" s="1" t="s">
        <v>1212</v>
      </c>
    </row>
    <row r="2154" customFormat="false" ht="12.75" hidden="false" customHeight="true" outlineLevel="0" collapsed="false">
      <c r="A2154" s="1" t="s">
        <v>1761</v>
      </c>
    </row>
    <row r="2155" customFormat="false" ht="12.75" hidden="false" customHeight="true" outlineLevel="0" collapsed="false">
      <c r="A2155" s="1" t="s">
        <v>1762</v>
      </c>
    </row>
    <row r="2156" customFormat="false" ht="12.75" hidden="false" customHeight="true" outlineLevel="0" collapsed="false">
      <c r="A2156" s="1" t="s">
        <v>1763</v>
      </c>
    </row>
    <row r="2157" customFormat="false" ht="12.75" hidden="false" customHeight="true" outlineLevel="0" collapsed="false">
      <c r="A2157" s="1" t="s">
        <v>1764</v>
      </c>
    </row>
    <row r="2158" customFormat="false" ht="12.75" hidden="false" customHeight="true" outlineLevel="0" collapsed="false">
      <c r="A2158" s="1" t="s">
        <v>1761</v>
      </c>
    </row>
    <row r="2159" customFormat="false" ht="12.75" hidden="false" customHeight="true" outlineLevel="0" collapsed="false"/>
    <row r="2160" customFormat="false" ht="12.75" hidden="false" customHeight="true" outlineLevel="0" collapsed="false">
      <c r="A2160" s="1" t="s">
        <v>1209</v>
      </c>
    </row>
    <row r="2161" customFormat="false" ht="12.75" hidden="false" customHeight="true" outlineLevel="0" collapsed="false">
      <c r="A2161" s="1" t="s">
        <v>1765</v>
      </c>
    </row>
    <row r="2162" customFormat="false" ht="12.75" hidden="false" customHeight="true" outlineLevel="0" collapsed="false">
      <c r="A2162" s="1" t="s">
        <v>1740</v>
      </c>
    </row>
    <row r="2163" customFormat="false" ht="12.75" hidden="false" customHeight="true" outlineLevel="0" collapsed="false">
      <c r="A2163" s="1" t="s">
        <v>1766</v>
      </c>
    </row>
    <row r="2164" customFormat="false" ht="12.75" hidden="false" customHeight="true" outlineLevel="0" collapsed="false">
      <c r="A2164" s="1" t="s">
        <v>1748</v>
      </c>
    </row>
    <row r="2165" customFormat="false" ht="12.75" hidden="false" customHeight="true" outlineLevel="0" collapsed="false"/>
    <row r="2166" customFormat="false" ht="12.75" hidden="false" customHeight="true" outlineLevel="0" collapsed="false">
      <c r="A2166" s="1" t="s">
        <v>1210</v>
      </c>
    </row>
    <row r="2167" customFormat="false" ht="12.75" hidden="false" customHeight="true" outlineLevel="0" collapsed="false">
      <c r="A2167" s="1" t="s">
        <v>1767</v>
      </c>
    </row>
    <row r="2168" customFormat="false" ht="12.75" hidden="false" customHeight="true" outlineLevel="0" collapsed="false">
      <c r="A2168" s="1" t="s">
        <v>1740</v>
      </c>
    </row>
    <row r="2169" customFormat="false" ht="12.75" hidden="false" customHeight="true" outlineLevel="0" collapsed="false"/>
    <row r="2170" customFormat="false" ht="12.75" hidden="false" customHeight="true" outlineLevel="0" collapsed="false">
      <c r="A2170" s="1" t="s">
        <v>1211</v>
      </c>
    </row>
    <row r="2171" customFormat="false" ht="12.75" hidden="false" customHeight="true" outlineLevel="0" collapsed="false">
      <c r="A2171" s="1" t="s">
        <v>1768</v>
      </c>
    </row>
    <row r="2172" customFormat="false" ht="12.75" hidden="false" customHeight="true" outlineLevel="0" collapsed="false">
      <c r="A2172" s="1" t="s">
        <v>1751</v>
      </c>
    </row>
    <row r="2173" customFormat="false" ht="12.75" hidden="false" customHeight="true" outlineLevel="0" collapsed="false"/>
    <row r="2174" customFormat="false" ht="12.75" hidden="false" customHeight="true" outlineLevel="0" collapsed="false">
      <c r="A2174" s="1" t="s">
        <v>1212</v>
      </c>
    </row>
    <row r="2175" customFormat="false" ht="12.75" hidden="false" customHeight="true" outlineLevel="0" collapsed="false">
      <c r="A2175" s="1" t="s">
        <v>1769</v>
      </c>
    </row>
    <row r="2176" customFormat="false" ht="12.75" hidden="false" customHeight="true" outlineLevel="0" collapsed="false">
      <c r="A2176" s="1" t="s">
        <v>1770</v>
      </c>
    </row>
    <row r="2177" customFormat="false" ht="12.75" hidden="false" customHeight="true" outlineLevel="0" collapsed="false">
      <c r="A2177" s="1" t="s">
        <v>1536</v>
      </c>
    </row>
    <row r="2178" customFormat="false" ht="12.75" hidden="false" customHeight="true" outlineLevel="0" collapsed="false">
      <c r="A2178" s="1" t="s">
        <v>1537</v>
      </c>
    </row>
    <row r="2179" customFormat="false" ht="12.75" hidden="false" customHeight="true" outlineLevel="0" collapsed="false">
      <c r="A2179" s="1" t="s">
        <v>1538</v>
      </c>
    </row>
    <row r="2180" customFormat="false" ht="12.75" hidden="false" customHeight="true" outlineLevel="0" collapsed="false">
      <c r="A2180" s="1" t="s">
        <v>1539</v>
      </c>
    </row>
    <row r="2181" customFormat="false" ht="12.75" hidden="false" customHeight="true" outlineLevel="0" collapsed="false">
      <c r="A2181" s="1" t="s">
        <v>1771</v>
      </c>
    </row>
    <row r="2182" customFormat="false" ht="12.75" hidden="false" customHeight="true" outlineLevel="0" collapsed="false">
      <c r="A2182" s="1" t="s">
        <v>1619</v>
      </c>
    </row>
    <row r="2183" customFormat="false" ht="12.75" hidden="false" customHeight="true" outlineLevel="0" collapsed="false">
      <c r="A2183" s="1" t="s">
        <v>1758</v>
      </c>
    </row>
    <row r="2184" customFormat="false" ht="12.75" hidden="false" customHeight="true" outlineLevel="0" collapsed="false">
      <c r="A2184" s="1" t="s">
        <v>1678</v>
      </c>
    </row>
    <row r="2185" customFormat="false" ht="12.75" hidden="false" customHeight="true" outlineLevel="0" collapsed="false">
      <c r="A2185" s="1" t="s">
        <v>1685</v>
      </c>
    </row>
    <row r="2186" customFormat="false" ht="12.75" hidden="false" customHeight="true" outlineLevel="0" collapsed="false">
      <c r="A2186" s="1" t="s">
        <v>1266</v>
      </c>
    </row>
    <row r="2187" customFormat="false" ht="12.75" hidden="false" customHeight="true" outlineLevel="0" collapsed="false">
      <c r="A2187" s="1" t="s">
        <v>1267</v>
      </c>
    </row>
    <row r="2188" customFormat="false" ht="12.75" hidden="false" customHeight="true" outlineLevel="0" collapsed="false"/>
    <row r="2189" customFormat="false" ht="12.75" hidden="false" customHeight="true" outlineLevel="0" collapsed="false">
      <c r="A2189" s="1" t="s">
        <v>1268</v>
      </c>
    </row>
    <row r="2190" customFormat="false" ht="12.75" hidden="false" customHeight="true" outlineLevel="0" collapsed="false">
      <c r="A2190" s="1" t="s">
        <v>1269</v>
      </c>
    </row>
    <row r="2191" customFormat="false" ht="12.75" hidden="false" customHeight="true" outlineLevel="0" collapsed="false">
      <c r="A2191" s="1" t="s">
        <v>1270</v>
      </c>
    </row>
    <row r="2192" customFormat="false" ht="12.75" hidden="false" customHeight="true" outlineLevel="0" collapsed="false">
      <c r="A2192" s="1" t="s">
        <v>1269</v>
      </c>
    </row>
    <row r="2193" customFormat="false" ht="12.75" hidden="false" customHeight="true" outlineLevel="0" collapsed="false"/>
    <row r="2194" customFormat="false" ht="12.75" hidden="false" customHeight="true" outlineLevel="0" collapsed="false">
      <c r="A2194" s="1" t="s">
        <v>1272</v>
      </c>
    </row>
    <row r="2195" customFormat="false" ht="12.75" hidden="false" customHeight="true" outlineLevel="0" collapsed="false">
      <c r="A2195" s="1" t="s">
        <v>1273</v>
      </c>
    </row>
    <row r="2196" customFormat="false" ht="12.75" hidden="false" customHeight="true" outlineLevel="0" collapsed="false">
      <c r="A2196" s="1" t="s">
        <v>1712</v>
      </c>
    </row>
    <row r="2197" customFormat="false" ht="12.75" hidden="false" customHeight="true" outlineLevel="0" collapsed="false">
      <c r="A2197" s="1" t="s">
        <v>1275</v>
      </c>
    </row>
    <row r="2198" customFormat="false" ht="12.75" hidden="false" customHeight="true" outlineLevel="0" collapsed="false">
      <c r="A2198" s="1" t="s">
        <v>1623</v>
      </c>
    </row>
    <row r="2199" customFormat="false" ht="12.75" hidden="false" customHeight="true" outlineLevel="0" collapsed="false">
      <c r="A2199" s="1" t="s">
        <v>1277</v>
      </c>
    </row>
    <row r="2200" customFormat="false" ht="12.75" hidden="false" customHeight="true" outlineLevel="0" collapsed="false">
      <c r="A2200" s="1" t="s">
        <v>1772</v>
      </c>
    </row>
    <row r="2201" customFormat="false" ht="12.75" hidden="false" customHeight="true" outlineLevel="0" collapsed="false">
      <c r="A2201" s="1" t="s">
        <v>1773</v>
      </c>
    </row>
    <row r="2202" customFormat="false" ht="12.75" hidden="false" customHeight="true" outlineLevel="0" collapsed="false">
      <c r="A2202" s="1" t="s">
        <v>1774</v>
      </c>
    </row>
    <row r="2203" customFormat="false" ht="12.75" hidden="false" customHeight="true" outlineLevel="0" collapsed="false"/>
    <row r="2204" customFormat="false" ht="12.75" hidden="false" customHeight="true" outlineLevel="0" collapsed="false">
      <c r="A2204" s="1" t="s">
        <v>1209</v>
      </c>
    </row>
    <row r="2205" customFormat="false" ht="12.75" hidden="false" customHeight="true" outlineLevel="0" collapsed="false">
      <c r="A2205" s="1" t="s">
        <v>1775</v>
      </c>
    </row>
    <row r="2206" customFormat="false" ht="12.75" hidden="false" customHeight="true" outlineLevel="0" collapsed="false">
      <c r="A2206" s="1" t="s">
        <v>1775</v>
      </c>
    </row>
    <row r="2207" customFormat="false" ht="12.75" hidden="false" customHeight="true" outlineLevel="0" collapsed="false">
      <c r="A2207" s="1" t="s">
        <v>1776</v>
      </c>
    </row>
    <row r="2208" customFormat="false" ht="12.75" hidden="false" customHeight="true" outlineLevel="0" collapsed="false">
      <c r="A2208" s="1" t="s">
        <v>1776</v>
      </c>
    </row>
    <row r="2209" customFormat="false" ht="12.75" hidden="false" customHeight="true" outlineLevel="0" collapsed="false"/>
    <row r="2210" customFormat="false" ht="12.75" hidden="false" customHeight="true" outlineLevel="0" collapsed="false">
      <c r="A2210" s="1" t="s">
        <v>1210</v>
      </c>
    </row>
    <row r="2211" customFormat="false" ht="12.75" hidden="false" customHeight="true" outlineLevel="0" collapsed="false">
      <c r="A2211" s="1" t="s">
        <v>1777</v>
      </c>
    </row>
    <row r="2212" customFormat="false" ht="12.75" hidden="false" customHeight="true" outlineLevel="0" collapsed="false">
      <c r="A2212" s="1" t="s">
        <v>1777</v>
      </c>
    </row>
    <row r="2213" customFormat="false" ht="12.75" hidden="false" customHeight="true" outlineLevel="0" collapsed="false"/>
    <row r="2214" customFormat="false" ht="12.75" hidden="false" customHeight="true" outlineLevel="0" collapsed="false">
      <c r="A2214" s="1" t="s">
        <v>1211</v>
      </c>
    </row>
    <row r="2215" customFormat="false" ht="12.75" hidden="false" customHeight="true" outlineLevel="0" collapsed="false">
      <c r="A2215" s="1" t="s">
        <v>1778</v>
      </c>
    </row>
    <row r="2216" customFormat="false" ht="12.75" hidden="false" customHeight="true" outlineLevel="0" collapsed="false">
      <c r="A2216" s="1" t="s">
        <v>1778</v>
      </c>
    </row>
    <row r="2217" customFormat="false" ht="12.75" hidden="false" customHeight="true" outlineLevel="0" collapsed="false"/>
    <row r="2218" customFormat="false" ht="12.75" hidden="false" customHeight="true" outlineLevel="0" collapsed="false">
      <c r="A2218" s="1" t="s">
        <v>1212</v>
      </c>
    </row>
    <row r="2219" customFormat="false" ht="12.75" hidden="false" customHeight="true" outlineLevel="0" collapsed="false">
      <c r="A2219" s="1" t="s">
        <v>1779</v>
      </c>
    </row>
    <row r="2220" customFormat="false" ht="12.75" hidden="false" customHeight="true" outlineLevel="0" collapsed="false">
      <c r="A2220" s="1" t="s">
        <v>1780</v>
      </c>
    </row>
    <row r="2221" customFormat="false" ht="12.75" hidden="false" customHeight="true" outlineLevel="0" collapsed="false">
      <c r="A2221" s="1" t="s">
        <v>1781</v>
      </c>
    </row>
    <row r="2222" customFormat="false" ht="12.75" hidden="false" customHeight="true" outlineLevel="0" collapsed="false">
      <c r="A2222" s="1" t="s">
        <v>1782</v>
      </c>
    </row>
    <row r="2223" customFormat="false" ht="12.75" hidden="false" customHeight="true" outlineLevel="0" collapsed="false">
      <c r="A2223" s="1" t="s">
        <v>1783</v>
      </c>
    </row>
    <row r="2224" customFormat="false" ht="12.75" hidden="false" customHeight="true" outlineLevel="0" collapsed="false"/>
    <row r="2225" customFormat="false" ht="12.75" hidden="false" customHeight="true" outlineLevel="0" collapsed="false">
      <c r="A2225" s="1" t="s">
        <v>1209</v>
      </c>
    </row>
    <row r="2226" customFormat="false" ht="12.75" hidden="false" customHeight="true" outlineLevel="0" collapsed="false">
      <c r="A2226" s="1" t="s">
        <v>1784</v>
      </c>
    </row>
    <row r="2227" customFormat="false" ht="12.75" hidden="false" customHeight="true" outlineLevel="0" collapsed="false">
      <c r="A2227" s="1" t="s">
        <v>1785</v>
      </c>
    </row>
    <row r="2228" customFormat="false" ht="12.75" hidden="false" customHeight="true" outlineLevel="0" collapsed="false">
      <c r="A2228" s="1" t="s">
        <v>1785</v>
      </c>
    </row>
    <row r="2229" customFormat="false" ht="12.75" hidden="false" customHeight="true" outlineLevel="0" collapsed="false">
      <c r="A2229" s="1" t="s">
        <v>1784</v>
      </c>
    </row>
    <row r="2230" customFormat="false" ht="12.75" hidden="false" customHeight="true" outlineLevel="0" collapsed="false"/>
    <row r="2231" customFormat="false" ht="12.75" hidden="false" customHeight="true" outlineLevel="0" collapsed="false">
      <c r="A2231" s="1" t="s">
        <v>1210</v>
      </c>
    </row>
    <row r="2232" customFormat="false" ht="12.75" hidden="false" customHeight="true" outlineLevel="0" collapsed="false">
      <c r="A2232" s="1" t="s">
        <v>1786</v>
      </c>
    </row>
    <row r="2233" customFormat="false" ht="12.75" hidden="false" customHeight="true" outlineLevel="0" collapsed="false">
      <c r="A2233" s="1" t="s">
        <v>1787</v>
      </c>
    </row>
    <row r="2234" customFormat="false" ht="12.75" hidden="false" customHeight="true" outlineLevel="0" collapsed="false"/>
    <row r="2235" customFormat="false" ht="12.75" hidden="false" customHeight="true" outlineLevel="0" collapsed="false">
      <c r="A2235" s="1" t="s">
        <v>1211</v>
      </c>
    </row>
    <row r="2236" customFormat="false" ht="12.75" hidden="false" customHeight="true" outlineLevel="0" collapsed="false">
      <c r="A2236" s="1" t="s">
        <v>1788</v>
      </c>
    </row>
    <row r="2237" customFormat="false" ht="12.75" hidden="false" customHeight="true" outlineLevel="0" collapsed="false">
      <c r="A2237" s="1" t="s">
        <v>1789</v>
      </c>
    </row>
    <row r="2238" customFormat="false" ht="12.75" hidden="false" customHeight="true" outlineLevel="0" collapsed="false"/>
    <row r="2239" customFormat="false" ht="12.75" hidden="false" customHeight="true" outlineLevel="0" collapsed="false">
      <c r="A2239" s="1" t="s">
        <v>1212</v>
      </c>
    </row>
    <row r="2240" customFormat="false" ht="12.75" hidden="false" customHeight="true" outlineLevel="0" collapsed="false">
      <c r="A2240" s="1" t="s">
        <v>1790</v>
      </c>
    </row>
    <row r="2241" customFormat="false" ht="12.75" hidden="false" customHeight="true" outlineLevel="0" collapsed="false">
      <c r="A2241" s="1" t="s">
        <v>1791</v>
      </c>
    </row>
    <row r="2242" customFormat="false" ht="12.75" hidden="false" customHeight="true" outlineLevel="0" collapsed="false">
      <c r="A2242" s="1" t="s">
        <v>1792</v>
      </c>
    </row>
    <row r="2243" customFormat="false" ht="12.75" hidden="false" customHeight="true" outlineLevel="0" collapsed="false">
      <c r="A2243" s="1" t="s">
        <v>1793</v>
      </c>
    </row>
    <row r="2244" customFormat="false" ht="12.75" hidden="false" customHeight="true" outlineLevel="0" collapsed="false">
      <c r="A2244" s="1" t="s">
        <v>1794</v>
      </c>
    </row>
    <row r="2245" customFormat="false" ht="12.75" hidden="false" customHeight="true" outlineLevel="0" collapsed="false"/>
    <row r="2246" customFormat="false" ht="12.75" hidden="false" customHeight="true" outlineLevel="0" collapsed="false">
      <c r="A2246" s="1" t="s">
        <v>1209</v>
      </c>
    </row>
    <row r="2247" customFormat="false" ht="12.75" hidden="false" customHeight="true" outlineLevel="0" collapsed="false">
      <c r="A2247" s="1" t="s">
        <v>1795</v>
      </c>
    </row>
    <row r="2248" customFormat="false" ht="12.75" hidden="false" customHeight="true" outlineLevel="0" collapsed="false">
      <c r="A2248" s="1" t="s">
        <v>1796</v>
      </c>
    </row>
    <row r="2249" customFormat="false" ht="12.75" hidden="false" customHeight="true" outlineLevel="0" collapsed="false">
      <c r="A2249" s="1" t="s">
        <v>1797</v>
      </c>
    </row>
    <row r="2250" customFormat="false" ht="12.75" hidden="false" customHeight="true" outlineLevel="0" collapsed="false">
      <c r="A2250" s="1" t="s">
        <v>1798</v>
      </c>
    </row>
    <row r="2251" customFormat="false" ht="12.75" hidden="false" customHeight="true" outlineLevel="0" collapsed="false"/>
    <row r="2252" customFormat="false" ht="12.75" hidden="false" customHeight="true" outlineLevel="0" collapsed="false">
      <c r="A2252" s="1" t="s">
        <v>1210</v>
      </c>
    </row>
    <row r="2253" customFormat="false" ht="12.75" hidden="false" customHeight="true" outlineLevel="0" collapsed="false">
      <c r="A2253" s="1" t="s">
        <v>1799</v>
      </c>
    </row>
    <row r="2254" customFormat="false" ht="12.75" hidden="false" customHeight="true" outlineLevel="0" collapsed="false">
      <c r="A2254" s="1" t="s">
        <v>1800</v>
      </c>
    </row>
    <row r="2255" customFormat="false" ht="12.75" hidden="false" customHeight="true" outlineLevel="0" collapsed="false"/>
    <row r="2256" customFormat="false" ht="12.75" hidden="false" customHeight="true" outlineLevel="0" collapsed="false">
      <c r="A2256" s="1" t="s">
        <v>1211</v>
      </c>
    </row>
    <row r="2257" customFormat="false" ht="12.75" hidden="false" customHeight="true" outlineLevel="0" collapsed="false">
      <c r="A2257" s="1" t="s">
        <v>1801</v>
      </c>
    </row>
    <row r="2258" customFormat="false" ht="12.75" hidden="false" customHeight="true" outlineLevel="0" collapsed="false">
      <c r="A2258" s="1" t="s">
        <v>1801</v>
      </c>
    </row>
    <row r="2259" customFormat="false" ht="12.75" hidden="false" customHeight="true" outlineLevel="0" collapsed="false"/>
    <row r="2260" customFormat="false" ht="12.75" hidden="false" customHeight="true" outlineLevel="0" collapsed="false">
      <c r="A2260" s="1" t="s">
        <v>1212</v>
      </c>
    </row>
    <row r="2261" customFormat="false" ht="12.75" hidden="false" customHeight="true" outlineLevel="0" collapsed="false">
      <c r="A2261" s="1" t="s">
        <v>1802</v>
      </c>
    </row>
    <row r="2262" customFormat="false" ht="12.75" hidden="false" customHeight="true" outlineLevel="0" collapsed="false">
      <c r="A2262" s="1" t="s">
        <v>1803</v>
      </c>
    </row>
    <row r="2263" customFormat="false" ht="12.75" hidden="false" customHeight="true" outlineLevel="0" collapsed="false">
      <c r="A2263" s="1" t="s">
        <v>1804</v>
      </c>
    </row>
    <row r="2264" customFormat="false" ht="12.75" hidden="false" customHeight="true" outlineLevel="0" collapsed="false">
      <c r="A2264" s="1" t="s">
        <v>1805</v>
      </c>
    </row>
    <row r="2265" customFormat="false" ht="12.75" hidden="false" customHeight="true" outlineLevel="0" collapsed="false">
      <c r="A2265" s="1" t="s">
        <v>1806</v>
      </c>
    </row>
    <row r="2266" customFormat="false" ht="12.75" hidden="false" customHeight="true" outlineLevel="0" collapsed="false"/>
    <row r="2267" customFormat="false" ht="12.75" hidden="false" customHeight="true" outlineLevel="0" collapsed="false">
      <c r="A2267" s="1" t="s">
        <v>1209</v>
      </c>
    </row>
    <row r="2268" customFormat="false" ht="12.75" hidden="false" customHeight="true" outlineLevel="0" collapsed="false">
      <c r="A2268" s="1" t="s">
        <v>1807</v>
      </c>
    </row>
    <row r="2269" customFormat="false" ht="12.75" hidden="false" customHeight="true" outlineLevel="0" collapsed="false">
      <c r="A2269" s="1" t="s">
        <v>1808</v>
      </c>
    </row>
    <row r="2270" customFormat="false" ht="12.75" hidden="false" customHeight="true" outlineLevel="0" collapsed="false">
      <c r="A2270" s="1" t="s">
        <v>1809</v>
      </c>
    </row>
    <row r="2271" customFormat="false" ht="12.75" hidden="false" customHeight="true" outlineLevel="0" collapsed="false">
      <c r="A2271" s="1" t="s">
        <v>1810</v>
      </c>
    </row>
    <row r="2272" customFormat="false" ht="12.75" hidden="false" customHeight="true" outlineLevel="0" collapsed="false"/>
    <row r="2273" customFormat="false" ht="12.75" hidden="false" customHeight="true" outlineLevel="0" collapsed="false">
      <c r="A2273" s="1" t="s">
        <v>1210</v>
      </c>
    </row>
    <row r="2274" customFormat="false" ht="12.75" hidden="false" customHeight="true" outlineLevel="0" collapsed="false">
      <c r="A2274" s="1" t="s">
        <v>1811</v>
      </c>
    </row>
    <row r="2275" customFormat="false" ht="12.75" hidden="false" customHeight="true" outlineLevel="0" collapsed="false">
      <c r="A2275" s="1" t="s">
        <v>1812</v>
      </c>
    </row>
    <row r="2276" customFormat="false" ht="12.75" hidden="false" customHeight="true" outlineLevel="0" collapsed="false"/>
    <row r="2277" customFormat="false" ht="12.75" hidden="false" customHeight="true" outlineLevel="0" collapsed="false">
      <c r="A2277" s="1" t="s">
        <v>1211</v>
      </c>
    </row>
    <row r="2278" customFormat="false" ht="12.75" hidden="false" customHeight="true" outlineLevel="0" collapsed="false">
      <c r="A2278" s="1" t="s">
        <v>1813</v>
      </c>
    </row>
    <row r="2279" customFormat="false" ht="12.75" hidden="false" customHeight="true" outlineLevel="0" collapsed="false">
      <c r="A2279" s="1" t="s">
        <v>1814</v>
      </c>
    </row>
    <row r="2280" customFormat="false" ht="12.75" hidden="false" customHeight="true" outlineLevel="0" collapsed="false"/>
    <row r="2281" customFormat="false" ht="12.75" hidden="false" customHeight="true" outlineLevel="0" collapsed="false">
      <c r="A2281" s="1" t="s">
        <v>1212</v>
      </c>
    </row>
    <row r="2282" customFormat="false" ht="12.75" hidden="false" customHeight="true" outlineLevel="0" collapsed="false">
      <c r="A2282" s="1" t="s">
        <v>1815</v>
      </c>
    </row>
    <row r="2283" customFormat="false" ht="12.75" hidden="false" customHeight="true" outlineLevel="0" collapsed="false">
      <c r="A2283" s="1" t="s">
        <v>1816</v>
      </c>
    </row>
    <row r="2284" customFormat="false" ht="12.75" hidden="false" customHeight="true" outlineLevel="0" collapsed="false">
      <c r="A2284" s="1" t="s">
        <v>1817</v>
      </c>
    </row>
    <row r="2285" customFormat="false" ht="12.75" hidden="false" customHeight="true" outlineLevel="0" collapsed="false">
      <c r="A2285" s="1" t="s">
        <v>1818</v>
      </c>
    </row>
    <row r="2286" customFormat="false" ht="12.75" hidden="false" customHeight="true" outlineLevel="0" collapsed="false">
      <c r="A2286" s="1" t="s">
        <v>1347</v>
      </c>
    </row>
    <row r="2287" customFormat="false" ht="12.75" hidden="false" customHeight="true" outlineLevel="0" collapsed="false">
      <c r="A2287" s="1" t="s">
        <v>1348</v>
      </c>
    </row>
    <row r="2288" customFormat="false" ht="12.75" hidden="false" customHeight="true" outlineLevel="0" collapsed="false">
      <c r="A2288" s="1" t="s">
        <v>1349</v>
      </c>
    </row>
    <row r="2289" customFormat="false" ht="12.75" hidden="false" customHeight="true" outlineLevel="0" collapsed="false">
      <c r="A2289" s="1" t="s">
        <v>1819</v>
      </c>
    </row>
    <row r="2290" customFormat="false" ht="12.75" hidden="false" customHeight="true" outlineLevel="0" collapsed="false"/>
    <row r="2291" customFormat="false" ht="12.75" hidden="false" customHeight="true" outlineLevel="0" collapsed="false">
      <c r="A2291" s="1" t="s">
        <v>1268</v>
      </c>
    </row>
    <row r="2292" customFormat="false" ht="12.75" hidden="false" customHeight="true" outlineLevel="0" collapsed="false">
      <c r="A2292" s="1" t="s">
        <v>1820</v>
      </c>
    </row>
    <row r="2293" customFormat="false" ht="12.75" hidden="false" customHeight="true" outlineLevel="0" collapsed="false">
      <c r="A2293" s="1" t="s">
        <v>1454</v>
      </c>
    </row>
    <row r="2294" customFormat="false" ht="12.75" hidden="false" customHeight="true" outlineLevel="0" collapsed="false">
      <c r="A2294" s="1" t="s">
        <v>1821</v>
      </c>
    </row>
    <row r="2295" customFormat="false" ht="12.75" hidden="false" customHeight="true" outlineLevel="0" collapsed="false"/>
    <row r="2296" customFormat="false" ht="12.75" hidden="false" customHeight="true" outlineLevel="0" collapsed="false">
      <c r="A2296" s="1" t="s">
        <v>1272</v>
      </c>
    </row>
    <row r="2297" customFormat="false" ht="12.75" hidden="false" customHeight="true" outlineLevel="0" collapsed="false">
      <c r="A2297" s="1" t="s">
        <v>1822</v>
      </c>
    </row>
    <row r="2298" customFormat="false" ht="12.75" hidden="false" customHeight="true" outlineLevel="0" collapsed="false">
      <c r="A2298" s="1" t="s">
        <v>1823</v>
      </c>
    </row>
    <row r="2299" customFormat="false" ht="12.75" hidden="false" customHeight="true" outlineLevel="0" collapsed="false">
      <c r="A2299" s="1" t="s">
        <v>1824</v>
      </c>
    </row>
    <row r="2300" customFormat="false" ht="12.75" hidden="false" customHeight="true" outlineLevel="0" collapsed="false">
      <c r="A2300" s="1" t="s">
        <v>1825</v>
      </c>
    </row>
    <row r="2301" customFormat="false" ht="12.75" hidden="false" customHeight="true" outlineLevel="0" collapsed="false">
      <c r="A2301" s="1" t="s">
        <v>1826</v>
      </c>
    </row>
    <row r="2302" customFormat="false" ht="12.75" hidden="false" customHeight="true" outlineLevel="0" collapsed="false">
      <c r="A2302" s="1" t="s">
        <v>1827</v>
      </c>
    </row>
    <row r="2303" customFormat="false" ht="12.75" hidden="false" customHeight="true" outlineLevel="0" collapsed="false">
      <c r="A2303" s="1" t="s">
        <v>1828</v>
      </c>
    </row>
    <row r="2304" customFormat="false" ht="12.75" hidden="false" customHeight="true" outlineLevel="0" collapsed="false">
      <c r="A2304" s="1" t="s">
        <v>1829</v>
      </c>
    </row>
    <row r="2305" customFormat="false" ht="12.75" hidden="false" customHeight="true" outlineLevel="0" collapsed="false"/>
    <row r="2306" customFormat="false" ht="12.75" hidden="false" customHeight="true" outlineLevel="0" collapsed="false">
      <c r="A2306" s="1" t="s">
        <v>1209</v>
      </c>
    </row>
    <row r="2307" customFormat="false" ht="12.75" hidden="false" customHeight="true" outlineLevel="0" collapsed="false">
      <c r="A2307" s="1" t="s">
        <v>1830</v>
      </c>
    </row>
    <row r="2308" customFormat="false" ht="12.75" hidden="false" customHeight="true" outlineLevel="0" collapsed="false">
      <c r="A2308" s="1" t="s">
        <v>1831</v>
      </c>
    </row>
    <row r="2309" customFormat="false" ht="12.75" hidden="false" customHeight="true" outlineLevel="0" collapsed="false">
      <c r="A2309" s="1" t="s">
        <v>1832</v>
      </c>
    </row>
    <row r="2310" customFormat="false" ht="12.75" hidden="false" customHeight="true" outlineLevel="0" collapsed="false">
      <c r="A2310" s="1" t="s">
        <v>1833</v>
      </c>
    </row>
    <row r="2311" customFormat="false" ht="12.75" hidden="false" customHeight="true" outlineLevel="0" collapsed="false"/>
    <row r="2312" customFormat="false" ht="12.75" hidden="false" customHeight="true" outlineLevel="0" collapsed="false">
      <c r="A2312" s="1" t="s">
        <v>1210</v>
      </c>
    </row>
    <row r="2313" customFormat="false" ht="12.75" hidden="false" customHeight="true" outlineLevel="0" collapsed="false">
      <c r="A2313" s="1" t="s">
        <v>1834</v>
      </c>
    </row>
    <row r="2314" customFormat="false" ht="12.75" hidden="false" customHeight="true" outlineLevel="0" collapsed="false">
      <c r="A2314" s="1" t="s">
        <v>1835</v>
      </c>
    </row>
    <row r="2315" customFormat="false" ht="12.75" hidden="false" customHeight="true" outlineLevel="0" collapsed="false"/>
    <row r="2316" customFormat="false" ht="12.75" hidden="false" customHeight="true" outlineLevel="0" collapsed="false">
      <c r="A2316" s="1" t="s">
        <v>1211</v>
      </c>
    </row>
    <row r="2317" customFormat="false" ht="12.75" hidden="false" customHeight="true" outlineLevel="0" collapsed="false">
      <c r="A2317" s="1" t="s">
        <v>1836</v>
      </c>
    </row>
    <row r="2318" customFormat="false" ht="12.75" hidden="false" customHeight="true" outlineLevel="0" collapsed="false">
      <c r="A2318" s="1" t="s">
        <v>1837</v>
      </c>
    </row>
    <row r="2319" customFormat="false" ht="12.75" hidden="false" customHeight="true" outlineLevel="0" collapsed="false"/>
    <row r="2320" customFormat="false" ht="12.75" hidden="false" customHeight="true" outlineLevel="0" collapsed="false">
      <c r="A2320" s="1" t="s">
        <v>1212</v>
      </c>
    </row>
    <row r="2321" customFormat="false" ht="12.75" hidden="false" customHeight="true" outlineLevel="0" collapsed="false">
      <c r="A2321" s="1" t="s">
        <v>1838</v>
      </c>
    </row>
    <row r="2322" customFormat="false" ht="12.75" hidden="false" customHeight="true" outlineLevel="0" collapsed="false">
      <c r="A2322" s="1" t="s">
        <v>1839</v>
      </c>
    </row>
    <row r="2323" customFormat="false" ht="12.75" hidden="false" customHeight="true" outlineLevel="0" collapsed="false">
      <c r="A2323" s="1" t="s">
        <v>1840</v>
      </c>
    </row>
    <row r="2324" customFormat="false" ht="12.75" hidden="false" customHeight="true" outlineLevel="0" collapsed="false">
      <c r="A2324" s="1" t="s">
        <v>1828</v>
      </c>
    </row>
    <row r="2325" customFormat="false" ht="12.75" hidden="false" customHeight="true" outlineLevel="0" collapsed="false">
      <c r="A2325" s="1" t="s">
        <v>1829</v>
      </c>
    </row>
    <row r="2326" customFormat="false" ht="12.75" hidden="false" customHeight="true" outlineLevel="0" collapsed="false"/>
    <row r="2327" customFormat="false" ht="12.75" hidden="false" customHeight="true" outlineLevel="0" collapsed="false">
      <c r="A2327" s="1" t="s">
        <v>1209</v>
      </c>
    </row>
    <row r="2328" customFormat="false" ht="12.75" hidden="false" customHeight="true" outlineLevel="0" collapsed="false">
      <c r="A2328" s="1" t="s">
        <v>1830</v>
      </c>
    </row>
    <row r="2329" customFormat="false" ht="12.75" hidden="false" customHeight="true" outlineLevel="0" collapsed="false">
      <c r="A2329" s="1" t="s">
        <v>1831</v>
      </c>
    </row>
    <row r="2330" customFormat="false" ht="12.75" hidden="false" customHeight="true" outlineLevel="0" collapsed="false">
      <c r="A2330" s="1" t="s">
        <v>1832</v>
      </c>
    </row>
    <row r="2331" customFormat="false" ht="12.75" hidden="false" customHeight="true" outlineLevel="0" collapsed="false">
      <c r="A2331" s="1" t="s">
        <v>1833</v>
      </c>
    </row>
    <row r="2332" customFormat="false" ht="12.75" hidden="false" customHeight="true" outlineLevel="0" collapsed="false"/>
    <row r="2333" customFormat="false" ht="12.75" hidden="false" customHeight="true" outlineLevel="0" collapsed="false">
      <c r="A2333" s="1" t="s">
        <v>1210</v>
      </c>
    </row>
    <row r="2334" customFormat="false" ht="12.75" hidden="false" customHeight="true" outlineLevel="0" collapsed="false">
      <c r="A2334" s="1" t="s">
        <v>1834</v>
      </c>
    </row>
    <row r="2335" customFormat="false" ht="12.75" hidden="false" customHeight="true" outlineLevel="0" collapsed="false">
      <c r="A2335" s="1" t="s">
        <v>1835</v>
      </c>
    </row>
    <row r="2336" customFormat="false" ht="12.75" hidden="false" customHeight="true" outlineLevel="0" collapsed="false"/>
    <row r="2337" customFormat="false" ht="12.75" hidden="false" customHeight="true" outlineLevel="0" collapsed="false">
      <c r="A2337" s="1" t="s">
        <v>1211</v>
      </c>
    </row>
    <row r="2338" customFormat="false" ht="12.75" hidden="false" customHeight="true" outlineLevel="0" collapsed="false">
      <c r="A2338" s="1" t="s">
        <v>1836</v>
      </c>
    </row>
    <row r="2339" customFormat="false" ht="12.75" hidden="false" customHeight="true" outlineLevel="0" collapsed="false">
      <c r="A2339" s="1" t="s">
        <v>1837</v>
      </c>
    </row>
    <row r="2340" customFormat="false" ht="12.75" hidden="false" customHeight="true" outlineLevel="0" collapsed="false"/>
    <row r="2341" customFormat="false" ht="12.75" hidden="false" customHeight="true" outlineLevel="0" collapsed="false">
      <c r="A2341" s="1" t="s">
        <v>1212</v>
      </c>
    </row>
    <row r="2342" customFormat="false" ht="12.75" hidden="false" customHeight="true" outlineLevel="0" collapsed="false">
      <c r="A2342" s="1" t="s">
        <v>1838</v>
      </c>
    </row>
    <row r="2343" customFormat="false" ht="12.75" hidden="false" customHeight="true" outlineLevel="0" collapsed="false">
      <c r="A2343" s="1" t="s">
        <v>1841</v>
      </c>
    </row>
    <row r="2344" customFormat="false" ht="12.75" hidden="false" customHeight="true" outlineLevel="0" collapsed="false">
      <c r="A2344" s="1" t="s">
        <v>1842</v>
      </c>
    </row>
    <row r="2345" customFormat="false" ht="12.75" hidden="false" customHeight="true" outlineLevel="0" collapsed="false">
      <c r="A2345" s="1" t="s">
        <v>1818</v>
      </c>
    </row>
    <row r="2346" customFormat="false" ht="12.75" hidden="false" customHeight="true" outlineLevel="0" collapsed="false">
      <c r="A2346" s="1" t="s">
        <v>1347</v>
      </c>
    </row>
    <row r="2347" customFormat="false" ht="12.75" hidden="false" customHeight="true" outlineLevel="0" collapsed="false">
      <c r="A2347" s="1" t="s">
        <v>1843</v>
      </c>
    </row>
    <row r="2348" customFormat="false" ht="12.75" hidden="false" customHeight="true" outlineLevel="0" collapsed="false">
      <c r="A2348" s="1" t="s">
        <v>1349</v>
      </c>
    </row>
    <row r="2349" customFormat="false" ht="12.75" hidden="false" customHeight="true" outlineLevel="0" collapsed="false">
      <c r="A2349" s="1" t="s">
        <v>1819</v>
      </c>
    </row>
    <row r="2350" customFormat="false" ht="12.75" hidden="false" customHeight="true" outlineLevel="0" collapsed="false"/>
    <row r="2351" customFormat="false" ht="12.75" hidden="false" customHeight="true" outlineLevel="0" collapsed="false">
      <c r="A2351" s="1" t="s">
        <v>1268</v>
      </c>
    </row>
    <row r="2352" customFormat="false" ht="12.75" hidden="false" customHeight="true" outlineLevel="0" collapsed="false">
      <c r="A2352" s="1" t="s">
        <v>1844</v>
      </c>
    </row>
    <row r="2353" customFormat="false" ht="12.75" hidden="false" customHeight="true" outlineLevel="0" collapsed="false">
      <c r="A2353" s="1" t="s">
        <v>1353</v>
      </c>
    </row>
    <row r="2354" customFormat="false" ht="12.75" hidden="false" customHeight="true" outlineLevel="0" collapsed="false">
      <c r="A2354" s="1" t="s">
        <v>1821</v>
      </c>
    </row>
    <row r="2355" customFormat="false" ht="12.75" hidden="false" customHeight="true" outlineLevel="0" collapsed="false"/>
    <row r="2356" customFormat="false" ht="12.75" hidden="false" customHeight="true" outlineLevel="0" collapsed="false">
      <c r="A2356" s="1" t="s">
        <v>1272</v>
      </c>
    </row>
    <row r="2357" customFormat="false" ht="12.75" hidden="false" customHeight="true" outlineLevel="0" collapsed="false">
      <c r="A2357" s="1" t="s">
        <v>1354</v>
      </c>
    </row>
    <row r="2358" customFormat="false" ht="12.75" hidden="false" customHeight="true" outlineLevel="0" collapsed="false">
      <c r="A2358" s="1" t="s">
        <v>1355</v>
      </c>
    </row>
    <row r="2359" customFormat="false" ht="12.75" hidden="false" customHeight="true" outlineLevel="0" collapsed="false">
      <c r="A2359" s="1" t="s">
        <v>1845</v>
      </c>
    </row>
    <row r="2360" customFormat="false" ht="12.75" hidden="false" customHeight="true" outlineLevel="0" collapsed="false">
      <c r="A2360" s="1" t="s">
        <v>1846</v>
      </c>
    </row>
    <row r="2361" customFormat="false" ht="12.75" hidden="false" customHeight="true" outlineLevel="0" collapsed="false">
      <c r="A2361" s="1" t="s">
        <v>1847</v>
      </c>
    </row>
    <row r="2362" customFormat="false" ht="12.75" hidden="false" customHeight="true" outlineLevel="0" collapsed="false">
      <c r="A2362" s="1" t="s">
        <v>1848</v>
      </c>
    </row>
    <row r="2363" customFormat="false" ht="12.75" hidden="false" customHeight="true" outlineLevel="0" collapsed="false">
      <c r="A2363" s="1" t="s">
        <v>1849</v>
      </c>
    </row>
    <row r="2364" customFormat="false" ht="12.75" hidden="false" customHeight="true" outlineLevel="0" collapsed="false">
      <c r="A2364" s="1" t="s">
        <v>1850</v>
      </c>
    </row>
    <row r="2365" customFormat="false" ht="12.75" hidden="false" customHeight="true" outlineLevel="0" collapsed="false"/>
    <row r="2366" customFormat="false" ht="12.75" hidden="false" customHeight="true" outlineLevel="0" collapsed="false">
      <c r="A2366" s="1" t="s">
        <v>1209</v>
      </c>
    </row>
    <row r="2367" customFormat="false" ht="12.75" hidden="false" customHeight="true" outlineLevel="0" collapsed="false">
      <c r="A2367" s="1" t="s">
        <v>1851</v>
      </c>
    </row>
    <row r="2368" customFormat="false" ht="12.75" hidden="false" customHeight="true" outlineLevel="0" collapsed="false">
      <c r="A2368" s="1" t="s">
        <v>1852</v>
      </c>
    </row>
    <row r="2369" customFormat="false" ht="12.75" hidden="false" customHeight="true" outlineLevel="0" collapsed="false">
      <c r="A2369" s="1" t="s">
        <v>1853</v>
      </c>
    </row>
    <row r="2370" customFormat="false" ht="12.75" hidden="false" customHeight="true" outlineLevel="0" collapsed="false">
      <c r="A2370" s="1" t="s">
        <v>1854</v>
      </c>
    </row>
    <row r="2371" customFormat="false" ht="12.75" hidden="false" customHeight="true" outlineLevel="0" collapsed="false"/>
    <row r="2372" customFormat="false" ht="12.75" hidden="false" customHeight="true" outlineLevel="0" collapsed="false">
      <c r="A2372" s="1" t="s">
        <v>1210</v>
      </c>
    </row>
    <row r="2373" customFormat="false" ht="12.75" hidden="false" customHeight="true" outlineLevel="0" collapsed="false">
      <c r="A2373" s="1" t="s">
        <v>1855</v>
      </c>
    </row>
    <row r="2374" customFormat="false" ht="12.75" hidden="false" customHeight="true" outlineLevel="0" collapsed="false">
      <c r="A2374" s="1" t="s">
        <v>1856</v>
      </c>
    </row>
    <row r="2375" customFormat="false" ht="12.75" hidden="false" customHeight="true" outlineLevel="0" collapsed="false"/>
    <row r="2376" customFormat="false" ht="12.75" hidden="false" customHeight="true" outlineLevel="0" collapsed="false">
      <c r="A2376" s="1" t="s">
        <v>1211</v>
      </c>
    </row>
    <row r="2377" customFormat="false" ht="12.75" hidden="false" customHeight="true" outlineLevel="0" collapsed="false">
      <c r="A2377" s="1" t="s">
        <v>1857</v>
      </c>
    </row>
    <row r="2378" customFormat="false" ht="12.75" hidden="false" customHeight="true" outlineLevel="0" collapsed="false">
      <c r="A2378" s="1" t="s">
        <v>1858</v>
      </c>
    </row>
    <row r="2379" customFormat="false" ht="12.75" hidden="false" customHeight="true" outlineLevel="0" collapsed="false"/>
    <row r="2380" customFormat="false" ht="12.75" hidden="false" customHeight="true" outlineLevel="0" collapsed="false">
      <c r="A2380" s="1" t="s">
        <v>1212</v>
      </c>
    </row>
    <row r="2381" customFormat="false" ht="12.75" hidden="false" customHeight="true" outlineLevel="0" collapsed="false">
      <c r="A2381" s="1" t="s">
        <v>1859</v>
      </c>
    </row>
    <row r="2382" customFormat="false" ht="12.75" hidden="false" customHeight="true" outlineLevel="0" collapsed="false">
      <c r="A2382" s="1" t="s">
        <v>1860</v>
      </c>
    </row>
    <row r="2383" customFormat="false" ht="12.75" hidden="false" customHeight="true" outlineLevel="0" collapsed="false">
      <c r="A2383" s="1" t="s">
        <v>1861</v>
      </c>
    </row>
    <row r="2384" customFormat="false" ht="12.75" hidden="false" customHeight="true" outlineLevel="0" collapsed="false">
      <c r="A2384" s="1" t="s">
        <v>1862</v>
      </c>
    </row>
    <row r="2385" customFormat="false" ht="12.75" hidden="false" customHeight="true" outlineLevel="0" collapsed="false">
      <c r="A2385" s="1" t="s">
        <v>1863</v>
      </c>
    </row>
    <row r="2386" customFormat="false" ht="12.75" hidden="false" customHeight="true" outlineLevel="0" collapsed="false"/>
    <row r="2387" customFormat="false" ht="12.75" hidden="false" customHeight="true" outlineLevel="0" collapsed="false">
      <c r="A2387" s="1" t="s">
        <v>1209</v>
      </c>
    </row>
    <row r="2388" customFormat="false" ht="12.75" hidden="false" customHeight="true" outlineLevel="0" collapsed="false">
      <c r="A2388" s="1" t="s">
        <v>1864</v>
      </c>
    </row>
    <row r="2389" customFormat="false" ht="12.75" hidden="false" customHeight="true" outlineLevel="0" collapsed="false">
      <c r="A2389" s="1" t="s">
        <v>1865</v>
      </c>
    </row>
    <row r="2390" customFormat="false" ht="12.75" hidden="false" customHeight="true" outlineLevel="0" collapsed="false">
      <c r="A2390" s="1" t="s">
        <v>1866</v>
      </c>
    </row>
    <row r="2391" customFormat="false" ht="12.75" hidden="false" customHeight="true" outlineLevel="0" collapsed="false">
      <c r="A2391" s="1" t="s">
        <v>1867</v>
      </c>
    </row>
    <row r="2392" customFormat="false" ht="12.75" hidden="false" customHeight="true" outlineLevel="0" collapsed="false"/>
    <row r="2393" customFormat="false" ht="12.75" hidden="false" customHeight="true" outlineLevel="0" collapsed="false">
      <c r="A2393" s="1" t="s">
        <v>1210</v>
      </c>
    </row>
    <row r="2394" customFormat="false" ht="12.75" hidden="false" customHeight="true" outlineLevel="0" collapsed="false">
      <c r="A2394" s="1" t="s">
        <v>1868</v>
      </c>
    </row>
    <row r="2395" customFormat="false" ht="12.75" hidden="false" customHeight="true" outlineLevel="0" collapsed="false">
      <c r="A2395" s="1" t="s">
        <v>1869</v>
      </c>
    </row>
    <row r="2396" customFormat="false" ht="12.75" hidden="false" customHeight="true" outlineLevel="0" collapsed="false"/>
    <row r="2397" customFormat="false" ht="12.75" hidden="false" customHeight="true" outlineLevel="0" collapsed="false">
      <c r="A2397" s="1" t="s">
        <v>1211</v>
      </c>
    </row>
    <row r="2398" customFormat="false" ht="12.75" hidden="false" customHeight="true" outlineLevel="0" collapsed="false">
      <c r="A2398" s="1" t="s">
        <v>1870</v>
      </c>
    </row>
    <row r="2399" customFormat="false" ht="12.75" hidden="false" customHeight="true" outlineLevel="0" collapsed="false">
      <c r="A2399" s="1" t="s">
        <v>1871</v>
      </c>
    </row>
    <row r="2400" customFormat="false" ht="12.75" hidden="false" customHeight="true" outlineLevel="0" collapsed="false"/>
    <row r="2401" customFormat="false" ht="12.75" hidden="false" customHeight="true" outlineLevel="0" collapsed="false">
      <c r="A2401" s="1" t="s">
        <v>1212</v>
      </c>
    </row>
    <row r="2402" customFormat="false" ht="12.75" hidden="false" customHeight="true" outlineLevel="0" collapsed="false">
      <c r="A2402" s="1" t="s">
        <v>1872</v>
      </c>
    </row>
    <row r="2403" customFormat="false" ht="12.75" hidden="false" customHeight="true" outlineLevel="0" collapsed="false">
      <c r="A2403" s="1" t="s">
        <v>1873</v>
      </c>
    </row>
    <row r="2404" customFormat="false" ht="12.75" hidden="false" customHeight="true" outlineLevel="0" collapsed="false">
      <c r="A2404" s="1" t="s">
        <v>1874</v>
      </c>
    </row>
    <row r="2405" customFormat="false" ht="12.75" hidden="false" customHeight="true" outlineLevel="0" collapsed="false">
      <c r="A2405" s="1" t="s">
        <v>1875</v>
      </c>
    </row>
    <row r="2406" customFormat="false" ht="12.75" hidden="false" customHeight="true" outlineLevel="0" collapsed="false">
      <c r="A2406" s="1" t="s">
        <v>1876</v>
      </c>
    </row>
    <row r="2407" customFormat="false" ht="12.75" hidden="false" customHeight="true" outlineLevel="0" collapsed="false"/>
    <row r="2408" customFormat="false" ht="12.75" hidden="false" customHeight="true" outlineLevel="0" collapsed="false">
      <c r="A2408" s="1" t="s">
        <v>1209</v>
      </c>
    </row>
    <row r="2409" customFormat="false" ht="12.75" hidden="false" customHeight="true" outlineLevel="0" collapsed="false">
      <c r="A2409" s="1" t="s">
        <v>1877</v>
      </c>
    </row>
    <row r="2410" customFormat="false" ht="12.75" hidden="false" customHeight="true" outlineLevel="0" collapsed="false">
      <c r="A2410" s="1" t="s">
        <v>1878</v>
      </c>
    </row>
    <row r="2411" customFormat="false" ht="12.75" hidden="false" customHeight="true" outlineLevel="0" collapsed="false">
      <c r="A2411" s="1" t="s">
        <v>1879</v>
      </c>
    </row>
    <row r="2412" customFormat="false" ht="12.75" hidden="false" customHeight="true" outlineLevel="0" collapsed="false">
      <c r="A2412" s="1" t="s">
        <v>1880</v>
      </c>
    </row>
    <row r="2413" customFormat="false" ht="12.75" hidden="false" customHeight="true" outlineLevel="0" collapsed="false"/>
    <row r="2414" customFormat="false" ht="12.75" hidden="false" customHeight="true" outlineLevel="0" collapsed="false">
      <c r="A2414" s="1" t="s">
        <v>1210</v>
      </c>
    </row>
    <row r="2415" customFormat="false" ht="12.75" hidden="false" customHeight="true" outlineLevel="0" collapsed="false">
      <c r="A2415" s="1" t="s">
        <v>1881</v>
      </c>
    </row>
    <row r="2416" customFormat="false" ht="12.75" hidden="false" customHeight="true" outlineLevel="0" collapsed="false">
      <c r="A2416" s="1" t="s">
        <v>1882</v>
      </c>
    </row>
    <row r="2417" customFormat="false" ht="12.75" hidden="false" customHeight="true" outlineLevel="0" collapsed="false"/>
    <row r="2418" customFormat="false" ht="12.75" hidden="false" customHeight="true" outlineLevel="0" collapsed="false">
      <c r="A2418" s="1" t="s">
        <v>1211</v>
      </c>
    </row>
    <row r="2419" customFormat="false" ht="12.75" hidden="false" customHeight="true" outlineLevel="0" collapsed="false">
      <c r="A2419" s="1" t="s">
        <v>1883</v>
      </c>
    </row>
    <row r="2420" customFormat="false" ht="12.75" hidden="false" customHeight="true" outlineLevel="0" collapsed="false">
      <c r="A2420" s="1" t="s">
        <v>1884</v>
      </c>
    </row>
    <row r="2421" customFormat="false" ht="12.75" hidden="false" customHeight="true" outlineLevel="0" collapsed="false"/>
    <row r="2422" customFormat="false" ht="12.75" hidden="false" customHeight="true" outlineLevel="0" collapsed="false">
      <c r="A2422" s="1" t="s">
        <v>1212</v>
      </c>
    </row>
    <row r="2423" customFormat="false" ht="12.75" hidden="false" customHeight="true" outlineLevel="0" collapsed="false">
      <c r="A2423" s="1" t="s">
        <v>1885</v>
      </c>
    </row>
    <row r="2424" customFormat="false" ht="12.75" hidden="false" customHeight="true" outlineLevel="0" collapsed="false">
      <c r="A2424" s="1" t="s">
        <v>1886</v>
      </c>
    </row>
    <row r="2425" customFormat="false" ht="12.75" hidden="false" customHeight="true" outlineLevel="0" collapsed="false">
      <c r="A2425" s="1" t="s">
        <v>1887</v>
      </c>
    </row>
    <row r="2426" customFormat="false" ht="12.75" hidden="false" customHeight="true" outlineLevel="0" collapsed="false">
      <c r="A2426" s="1" t="s">
        <v>1888</v>
      </c>
    </row>
    <row r="2427" customFormat="false" ht="12.75" hidden="false" customHeight="true" outlineLevel="0" collapsed="false">
      <c r="A2427" s="1" t="s">
        <v>1889</v>
      </c>
    </row>
    <row r="2428" customFormat="false" ht="12.75" hidden="false" customHeight="true" outlineLevel="0" collapsed="false"/>
    <row r="2429" customFormat="false" ht="12.75" hidden="false" customHeight="true" outlineLevel="0" collapsed="false">
      <c r="A2429" s="1" t="s">
        <v>1209</v>
      </c>
    </row>
    <row r="2430" customFormat="false" ht="12.75" hidden="false" customHeight="true" outlineLevel="0" collapsed="false">
      <c r="A2430" s="1" t="s">
        <v>1890</v>
      </c>
    </row>
    <row r="2431" customFormat="false" ht="12.75" hidden="false" customHeight="true" outlineLevel="0" collapsed="false">
      <c r="A2431" s="1" t="s">
        <v>1891</v>
      </c>
    </row>
    <row r="2432" customFormat="false" ht="12.75" hidden="false" customHeight="true" outlineLevel="0" collapsed="false">
      <c r="A2432" s="1" t="s">
        <v>1892</v>
      </c>
    </row>
    <row r="2433" customFormat="false" ht="12.75" hidden="false" customHeight="true" outlineLevel="0" collapsed="false">
      <c r="A2433" s="1" t="s">
        <v>1893</v>
      </c>
    </row>
    <row r="2434" customFormat="false" ht="12.75" hidden="false" customHeight="true" outlineLevel="0" collapsed="false"/>
    <row r="2435" customFormat="false" ht="12.75" hidden="false" customHeight="true" outlineLevel="0" collapsed="false">
      <c r="A2435" s="1" t="s">
        <v>1210</v>
      </c>
    </row>
    <row r="2436" customFormat="false" ht="12.75" hidden="false" customHeight="true" outlineLevel="0" collapsed="false">
      <c r="A2436" s="1" t="s">
        <v>1894</v>
      </c>
    </row>
    <row r="2437" customFormat="false" ht="12.75" hidden="false" customHeight="true" outlineLevel="0" collapsed="false">
      <c r="A2437" s="1" t="s">
        <v>1895</v>
      </c>
    </row>
    <row r="2438" customFormat="false" ht="12.75" hidden="false" customHeight="true" outlineLevel="0" collapsed="false"/>
    <row r="2439" customFormat="false" ht="12.75" hidden="false" customHeight="true" outlineLevel="0" collapsed="false">
      <c r="A2439" s="1" t="s">
        <v>1211</v>
      </c>
    </row>
    <row r="2440" customFormat="false" ht="12.75" hidden="false" customHeight="true" outlineLevel="0" collapsed="false">
      <c r="A2440" s="1" t="s">
        <v>1896</v>
      </c>
    </row>
    <row r="2441" customFormat="false" ht="12.75" hidden="false" customHeight="true" outlineLevel="0" collapsed="false">
      <c r="A2441" s="1" t="s">
        <v>1897</v>
      </c>
    </row>
    <row r="2442" customFormat="false" ht="12.75" hidden="false" customHeight="true" outlineLevel="0" collapsed="false"/>
    <row r="2443" customFormat="false" ht="12.75" hidden="false" customHeight="true" outlineLevel="0" collapsed="false">
      <c r="A2443" s="1" t="s">
        <v>1212</v>
      </c>
    </row>
    <row r="2444" customFormat="false" ht="12.75" hidden="false" customHeight="true" outlineLevel="0" collapsed="false">
      <c r="A2444" s="1" t="s">
        <v>1898</v>
      </c>
    </row>
    <row r="2445" customFormat="false" ht="12.75" hidden="false" customHeight="true" outlineLevel="0" collapsed="false">
      <c r="A2445" s="1" t="s">
        <v>1899</v>
      </c>
    </row>
    <row r="2446" customFormat="false" ht="12.75" hidden="false" customHeight="true" outlineLevel="0" collapsed="false">
      <c r="A2446" s="1" t="s">
        <v>1900</v>
      </c>
    </row>
    <row r="2447" customFormat="false" ht="12.75" hidden="false" customHeight="true" outlineLevel="0" collapsed="false">
      <c r="A2447" s="1" t="s">
        <v>1449</v>
      </c>
    </row>
    <row r="2448" customFormat="false" ht="12.75" hidden="false" customHeight="true" outlineLevel="0" collapsed="false">
      <c r="A2448" s="1" t="s">
        <v>1901</v>
      </c>
    </row>
    <row r="2449" customFormat="false" ht="12.75" hidden="false" customHeight="true" outlineLevel="0" collapsed="false">
      <c r="A2449" s="1" t="s">
        <v>1348</v>
      </c>
    </row>
    <row r="2450" customFormat="false" ht="12.75" hidden="false" customHeight="true" outlineLevel="0" collapsed="false">
      <c r="A2450" s="1" t="s">
        <v>1451</v>
      </c>
    </row>
    <row r="2451" customFormat="false" ht="12.75" hidden="false" customHeight="true" outlineLevel="0" collapsed="false">
      <c r="A2451" s="1" t="s">
        <v>1902</v>
      </c>
    </row>
    <row r="2452" customFormat="false" ht="12.75" hidden="false" customHeight="true" outlineLevel="0" collapsed="false"/>
    <row r="2453" customFormat="false" ht="12.75" hidden="false" customHeight="true" outlineLevel="0" collapsed="false">
      <c r="A2453" s="1" t="s">
        <v>1268</v>
      </c>
    </row>
    <row r="2454" customFormat="false" ht="12.75" hidden="false" customHeight="true" outlineLevel="0" collapsed="false">
      <c r="A2454" s="1" t="s">
        <v>1903</v>
      </c>
    </row>
    <row r="2455" customFormat="false" ht="12.75" hidden="false" customHeight="true" outlineLevel="0" collapsed="false">
      <c r="A2455" s="1" t="s">
        <v>1904</v>
      </c>
    </row>
    <row r="2456" customFormat="false" ht="12.75" hidden="false" customHeight="true" outlineLevel="0" collapsed="false">
      <c r="A2456" s="1" t="s">
        <v>1821</v>
      </c>
    </row>
    <row r="2457" customFormat="false" ht="12.75" hidden="false" customHeight="true" outlineLevel="0" collapsed="false"/>
    <row r="2458" customFormat="false" ht="12.75" hidden="false" customHeight="true" outlineLevel="0" collapsed="false">
      <c r="A2458" s="1" t="s">
        <v>1272</v>
      </c>
    </row>
    <row r="2459" customFormat="false" ht="12.75" hidden="false" customHeight="true" outlineLevel="0" collapsed="false">
      <c r="A2459" s="1" t="s">
        <v>1905</v>
      </c>
    </row>
    <row r="2460" customFormat="false" ht="12.75" hidden="false" customHeight="true" outlineLevel="0" collapsed="false">
      <c r="A2460" s="1" t="s">
        <v>1906</v>
      </c>
    </row>
    <row r="2461" customFormat="false" ht="12.75" hidden="false" customHeight="true" outlineLevel="0" collapsed="false">
      <c r="A2461" s="1" t="s">
        <v>1907</v>
      </c>
    </row>
    <row r="2462" customFormat="false" ht="12.75" hidden="false" customHeight="true" outlineLevel="0" collapsed="false">
      <c r="A2462" s="1" t="s">
        <v>1908</v>
      </c>
    </row>
    <row r="2463" customFormat="false" ht="12.75" hidden="false" customHeight="true" outlineLevel="0" collapsed="false">
      <c r="A2463" s="1" t="s">
        <v>1909</v>
      </c>
    </row>
    <row r="2464" customFormat="false" ht="12.75" hidden="false" customHeight="true" outlineLevel="0" collapsed="false">
      <c r="A2464" s="1" t="s">
        <v>1910</v>
      </c>
    </row>
    <row r="2465" customFormat="false" ht="12.75" hidden="false" customHeight="true" outlineLevel="0" collapsed="false">
      <c r="A2465" s="1" t="s">
        <v>1911</v>
      </c>
    </row>
    <row r="2466" customFormat="false" ht="12.75" hidden="false" customHeight="true" outlineLevel="0" collapsed="false">
      <c r="A2466" s="1" t="s">
        <v>1912</v>
      </c>
    </row>
    <row r="2467" customFormat="false" ht="12.75" hidden="false" customHeight="true" outlineLevel="0" collapsed="false"/>
    <row r="2468" customFormat="false" ht="12.75" hidden="false" customHeight="true" outlineLevel="0" collapsed="false">
      <c r="A2468" s="1" t="s">
        <v>1209</v>
      </c>
    </row>
    <row r="2469" customFormat="false" ht="12.75" hidden="false" customHeight="true" outlineLevel="0" collapsed="false">
      <c r="A2469" s="1" t="s">
        <v>1913</v>
      </c>
    </row>
    <row r="2470" customFormat="false" ht="12.75" hidden="false" customHeight="true" outlineLevel="0" collapsed="false">
      <c r="A2470" s="1" t="s">
        <v>1914</v>
      </c>
    </row>
    <row r="2471" customFormat="false" ht="12.75" hidden="false" customHeight="true" outlineLevel="0" collapsed="false">
      <c r="A2471" s="1" t="s">
        <v>1915</v>
      </c>
    </row>
    <row r="2472" customFormat="false" ht="12.75" hidden="false" customHeight="true" outlineLevel="0" collapsed="false">
      <c r="A2472" s="1" t="s">
        <v>1916</v>
      </c>
    </row>
    <row r="2473" customFormat="false" ht="12.75" hidden="false" customHeight="true" outlineLevel="0" collapsed="false"/>
    <row r="2474" customFormat="false" ht="12.75" hidden="false" customHeight="true" outlineLevel="0" collapsed="false">
      <c r="A2474" s="1" t="s">
        <v>1210</v>
      </c>
    </row>
    <row r="2475" customFormat="false" ht="12.75" hidden="false" customHeight="true" outlineLevel="0" collapsed="false">
      <c r="A2475" s="1" t="s">
        <v>1917</v>
      </c>
    </row>
    <row r="2476" customFormat="false" ht="12.75" hidden="false" customHeight="true" outlineLevel="0" collapsed="false">
      <c r="A2476" s="1" t="s">
        <v>1918</v>
      </c>
    </row>
    <row r="2477" customFormat="false" ht="12.75" hidden="false" customHeight="true" outlineLevel="0" collapsed="false"/>
    <row r="2478" customFormat="false" ht="12.75" hidden="false" customHeight="true" outlineLevel="0" collapsed="false">
      <c r="A2478" s="1" t="s">
        <v>1211</v>
      </c>
    </row>
    <row r="2479" customFormat="false" ht="12.75" hidden="false" customHeight="true" outlineLevel="0" collapsed="false">
      <c r="A2479" s="1" t="s">
        <v>1919</v>
      </c>
    </row>
    <row r="2480" customFormat="false" ht="12.75" hidden="false" customHeight="true" outlineLevel="0" collapsed="false">
      <c r="A2480" s="1" t="s">
        <v>1920</v>
      </c>
    </row>
    <row r="2481" customFormat="false" ht="12.75" hidden="false" customHeight="true" outlineLevel="0" collapsed="false"/>
    <row r="2482" customFormat="false" ht="12.75" hidden="false" customHeight="true" outlineLevel="0" collapsed="false">
      <c r="A2482" s="1" t="s">
        <v>1212</v>
      </c>
    </row>
    <row r="2483" customFormat="false" ht="12.75" hidden="false" customHeight="true" outlineLevel="0" collapsed="false">
      <c r="A2483" s="1" t="s">
        <v>1921</v>
      </c>
    </row>
    <row r="2484" customFormat="false" ht="12.75" hidden="false" customHeight="true" outlineLevel="0" collapsed="false">
      <c r="A2484" s="1" t="s">
        <v>1922</v>
      </c>
    </row>
    <row r="2485" customFormat="false" ht="12.75" hidden="false" customHeight="true" outlineLevel="0" collapsed="false">
      <c r="A2485" s="1" t="s">
        <v>1900</v>
      </c>
    </row>
    <row r="2486" customFormat="false" ht="12.75" hidden="false" customHeight="true" outlineLevel="0" collapsed="false">
      <c r="A2486" s="1" t="s">
        <v>1449</v>
      </c>
    </row>
    <row r="2487" customFormat="false" ht="12.75" hidden="false" customHeight="true" outlineLevel="0" collapsed="false">
      <c r="A2487" s="1" t="s">
        <v>1901</v>
      </c>
    </row>
    <row r="2488" customFormat="false" ht="12.75" hidden="false" customHeight="true" outlineLevel="0" collapsed="false">
      <c r="A2488" s="1" t="s">
        <v>1923</v>
      </c>
    </row>
    <row r="2489" customFormat="false" ht="12.75" hidden="false" customHeight="true" outlineLevel="0" collapsed="false">
      <c r="A2489" s="1" t="s">
        <v>1349</v>
      </c>
    </row>
    <row r="2490" customFormat="false" ht="12.75" hidden="false" customHeight="true" outlineLevel="0" collapsed="false">
      <c r="A2490" s="1" t="s">
        <v>1819</v>
      </c>
    </row>
    <row r="2491" customFormat="false" ht="12.75" hidden="false" customHeight="true" outlineLevel="0" collapsed="false"/>
    <row r="2492" customFormat="false" ht="12.75" hidden="false" customHeight="true" outlineLevel="0" collapsed="false">
      <c r="A2492" s="1" t="s">
        <v>1268</v>
      </c>
    </row>
    <row r="2493" customFormat="false" ht="12.75" hidden="false" customHeight="true" outlineLevel="0" collapsed="false">
      <c r="A2493" s="1" t="s">
        <v>1903</v>
      </c>
    </row>
    <row r="2494" customFormat="false" ht="12.75" hidden="false" customHeight="true" outlineLevel="0" collapsed="false">
      <c r="A2494" s="1" t="s">
        <v>1924</v>
      </c>
    </row>
    <row r="2495" customFormat="false" ht="12.75" hidden="false" customHeight="true" outlineLevel="0" collapsed="false">
      <c r="A2495" s="1" t="s">
        <v>1925</v>
      </c>
    </row>
    <row r="2496" customFormat="false" ht="12.75" hidden="false" customHeight="true" outlineLevel="0" collapsed="false"/>
    <row r="2497" customFormat="false" ht="12.75" hidden="false" customHeight="true" outlineLevel="0" collapsed="false">
      <c r="A2497" s="1" t="s">
        <v>1272</v>
      </c>
    </row>
    <row r="2498" customFormat="false" ht="12.75" hidden="false" customHeight="true" outlineLevel="0" collapsed="false">
      <c r="A2498" s="1" t="s">
        <v>1453</v>
      </c>
    </row>
    <row r="2499" customFormat="false" ht="12.75" hidden="false" customHeight="true" outlineLevel="0" collapsed="false">
      <c r="A2499" s="1" t="s">
        <v>1823</v>
      </c>
    </row>
    <row r="2500" customFormat="false" ht="12.75" hidden="false" customHeight="true" outlineLevel="0" collapsed="false">
      <c r="A2500" s="1" t="s">
        <v>1926</v>
      </c>
    </row>
    <row r="2501" customFormat="false" ht="12.75" hidden="false" customHeight="true" outlineLevel="0" collapsed="false">
      <c r="A2501" s="1" t="s">
        <v>1927</v>
      </c>
    </row>
    <row r="2502" customFormat="false" ht="12.75" hidden="false" customHeight="true" outlineLevel="0" collapsed="false">
      <c r="A2502" s="1" t="s">
        <v>1928</v>
      </c>
    </row>
    <row r="2503" customFormat="false" ht="12.75" hidden="false" customHeight="true" outlineLevel="0" collapsed="false">
      <c r="A2503" s="1" t="s">
        <v>1929</v>
      </c>
    </row>
    <row r="2504" customFormat="false" ht="12.75" hidden="false" customHeight="true" outlineLevel="0" collapsed="false">
      <c r="A2504" s="1" t="s">
        <v>1930</v>
      </c>
    </row>
    <row r="2505" customFormat="false" ht="12.75" hidden="false" customHeight="true" outlineLevel="0" collapsed="false">
      <c r="A2505" s="1" t="s">
        <v>1931</v>
      </c>
    </row>
    <row r="2506" customFormat="false" ht="12.75" hidden="false" customHeight="true" outlineLevel="0" collapsed="false"/>
    <row r="2507" customFormat="false" ht="12.75" hidden="false" customHeight="true" outlineLevel="0" collapsed="false">
      <c r="A2507" s="1" t="s">
        <v>1209</v>
      </c>
    </row>
    <row r="2508" customFormat="false" ht="12.75" hidden="false" customHeight="true" outlineLevel="0" collapsed="false">
      <c r="A2508" s="1" t="s">
        <v>1932</v>
      </c>
    </row>
    <row r="2509" customFormat="false" ht="12.75" hidden="false" customHeight="true" outlineLevel="0" collapsed="false">
      <c r="A2509" s="1" t="s">
        <v>1933</v>
      </c>
    </row>
    <row r="2510" customFormat="false" ht="12.75" hidden="false" customHeight="true" outlineLevel="0" collapsed="false">
      <c r="A2510" s="1" t="s">
        <v>1934</v>
      </c>
    </row>
    <row r="2511" customFormat="false" ht="12.75" hidden="false" customHeight="true" outlineLevel="0" collapsed="false">
      <c r="A2511" s="1" t="s">
        <v>1935</v>
      </c>
    </row>
    <row r="2512" customFormat="false" ht="12.75" hidden="false" customHeight="true" outlineLevel="0" collapsed="false"/>
    <row r="2513" customFormat="false" ht="12.75" hidden="false" customHeight="true" outlineLevel="0" collapsed="false">
      <c r="A2513" s="1" t="s">
        <v>1210</v>
      </c>
    </row>
    <row r="2514" customFormat="false" ht="12.75" hidden="false" customHeight="true" outlineLevel="0" collapsed="false">
      <c r="A2514" s="1" t="s">
        <v>1936</v>
      </c>
    </row>
    <row r="2515" customFormat="false" ht="12.75" hidden="false" customHeight="true" outlineLevel="0" collapsed="false">
      <c r="A2515" s="1" t="s">
        <v>1937</v>
      </c>
    </row>
    <row r="2516" customFormat="false" ht="12.75" hidden="false" customHeight="true" outlineLevel="0" collapsed="false"/>
    <row r="2517" customFormat="false" ht="12.75" hidden="false" customHeight="true" outlineLevel="0" collapsed="false">
      <c r="A2517" s="1" t="s">
        <v>1211</v>
      </c>
    </row>
    <row r="2518" customFormat="false" ht="12.75" hidden="false" customHeight="true" outlineLevel="0" collapsed="false">
      <c r="A2518" s="1" t="s">
        <v>1938</v>
      </c>
    </row>
    <row r="2519" customFormat="false" ht="12.75" hidden="false" customHeight="true" outlineLevel="0" collapsed="false">
      <c r="A2519" s="1" t="s">
        <v>1939</v>
      </c>
    </row>
    <row r="2520" customFormat="false" ht="12.75" hidden="false" customHeight="true" outlineLevel="0" collapsed="false"/>
    <row r="2521" customFormat="false" ht="12.75" hidden="false" customHeight="true" outlineLevel="0" collapsed="false">
      <c r="A2521" s="1" t="s">
        <v>1212</v>
      </c>
    </row>
    <row r="2522" customFormat="false" ht="12.75" hidden="false" customHeight="true" outlineLevel="0" collapsed="false">
      <c r="A2522" s="1" t="s">
        <v>1940</v>
      </c>
    </row>
    <row r="2523" customFormat="false" ht="12.75" hidden="false" customHeight="true" outlineLevel="0" collapsed="false">
      <c r="A2523" s="1" t="s">
        <v>1941</v>
      </c>
    </row>
    <row r="2524" customFormat="false" ht="12.75" hidden="false" customHeight="true" outlineLevel="0" collapsed="false">
      <c r="A2524" s="1" t="s">
        <v>1900</v>
      </c>
    </row>
    <row r="2525" customFormat="false" ht="12.75" hidden="false" customHeight="true" outlineLevel="0" collapsed="false">
      <c r="A2525" s="1" t="s">
        <v>1449</v>
      </c>
    </row>
    <row r="2526" customFormat="false" ht="12.75" hidden="false" customHeight="true" outlineLevel="0" collapsed="false">
      <c r="A2526" s="1" t="s">
        <v>1901</v>
      </c>
    </row>
    <row r="2527" customFormat="false" ht="12.75" hidden="false" customHeight="true" outlineLevel="0" collapsed="false">
      <c r="A2527" s="1" t="s">
        <v>1942</v>
      </c>
    </row>
    <row r="2528" customFormat="false" ht="12.75" hidden="false" customHeight="true" outlineLevel="0" collapsed="false">
      <c r="A2528" s="1" t="s">
        <v>1349</v>
      </c>
    </row>
    <row r="2529" customFormat="false" ht="12.75" hidden="false" customHeight="true" outlineLevel="0" collapsed="false">
      <c r="A2529" s="1" t="s">
        <v>1819</v>
      </c>
    </row>
    <row r="2530" customFormat="false" ht="12.75" hidden="false" customHeight="true" outlineLevel="0" collapsed="false"/>
    <row r="2531" customFormat="false" ht="12.75" hidden="false" customHeight="true" outlineLevel="0" collapsed="false">
      <c r="A2531" s="1" t="s">
        <v>1268</v>
      </c>
    </row>
    <row r="2532" customFormat="false" ht="12.75" hidden="false" customHeight="true" outlineLevel="0" collapsed="false">
      <c r="A2532" s="1" t="s">
        <v>1903</v>
      </c>
    </row>
    <row r="2533" customFormat="false" ht="12.75" hidden="false" customHeight="true" outlineLevel="0" collapsed="false">
      <c r="A2533" s="1" t="s">
        <v>1454</v>
      </c>
    </row>
    <row r="2534" customFormat="false" ht="12.75" hidden="false" customHeight="true" outlineLevel="0" collapsed="false">
      <c r="A2534" s="1" t="s">
        <v>1821</v>
      </c>
    </row>
    <row r="2535" customFormat="false" ht="12.75" hidden="false" customHeight="true" outlineLevel="0" collapsed="false"/>
    <row r="2536" customFormat="false" ht="12.75" hidden="false" customHeight="true" outlineLevel="0" collapsed="false">
      <c r="A2536" s="1" t="s">
        <v>1272</v>
      </c>
    </row>
    <row r="2537" customFormat="false" ht="12.75" hidden="false" customHeight="true" outlineLevel="0" collapsed="false">
      <c r="A2537" s="1" t="s">
        <v>1905</v>
      </c>
    </row>
    <row r="2538" customFormat="false" ht="12.75" hidden="false" customHeight="true" outlineLevel="0" collapsed="false">
      <c r="A2538" s="1" t="s">
        <v>1823</v>
      </c>
    </row>
    <row r="2539" customFormat="false" ht="12.75" hidden="false" customHeight="true" outlineLevel="0" collapsed="false">
      <c r="A2539" s="1" t="s">
        <v>1824</v>
      </c>
    </row>
    <row r="2540" customFormat="false" ht="12.75" hidden="false" customHeight="true" outlineLevel="0" collapsed="false">
      <c r="A2540" s="1" t="s">
        <v>1825</v>
      </c>
    </row>
    <row r="2541" customFormat="false" ht="12.75" hidden="false" customHeight="true" outlineLevel="0" collapsed="false">
      <c r="A2541" s="1" t="s">
        <v>1909</v>
      </c>
    </row>
    <row r="2542" customFormat="false" ht="12.75" hidden="false" customHeight="true" outlineLevel="0" collapsed="false">
      <c r="A2542" s="1" t="s">
        <v>1943</v>
      </c>
    </row>
    <row r="2543" customFormat="false" ht="12.75" hidden="false" customHeight="true" outlineLevel="0" collapsed="false">
      <c r="A2543" s="1" t="s">
        <v>1944</v>
      </c>
    </row>
    <row r="2544" customFormat="false" ht="12.75" hidden="false" customHeight="true" outlineLevel="0" collapsed="false">
      <c r="A2544" s="1" t="s">
        <v>1945</v>
      </c>
    </row>
    <row r="2545" customFormat="false" ht="12.75" hidden="false" customHeight="true" outlineLevel="0" collapsed="false"/>
    <row r="2546" customFormat="false" ht="12.75" hidden="false" customHeight="true" outlineLevel="0" collapsed="false">
      <c r="A2546" s="1" t="s">
        <v>1209</v>
      </c>
    </row>
    <row r="2547" customFormat="false" ht="12.75" hidden="false" customHeight="true" outlineLevel="0" collapsed="false">
      <c r="A2547" s="1" t="s">
        <v>1946</v>
      </c>
    </row>
    <row r="2548" customFormat="false" ht="12.75" hidden="false" customHeight="true" outlineLevel="0" collapsed="false">
      <c r="A2548" s="1" t="s">
        <v>1947</v>
      </c>
    </row>
    <row r="2549" customFormat="false" ht="12.75" hidden="false" customHeight="true" outlineLevel="0" collapsed="false">
      <c r="A2549" s="1" t="s">
        <v>1948</v>
      </c>
    </row>
    <row r="2550" customFormat="false" ht="12.75" hidden="false" customHeight="true" outlineLevel="0" collapsed="false">
      <c r="A2550" s="1" t="s">
        <v>1949</v>
      </c>
    </row>
    <row r="2551" customFormat="false" ht="12.75" hidden="false" customHeight="true" outlineLevel="0" collapsed="false"/>
    <row r="2552" customFormat="false" ht="12.75" hidden="false" customHeight="true" outlineLevel="0" collapsed="false">
      <c r="A2552" s="1" t="s">
        <v>1210</v>
      </c>
    </row>
    <row r="2553" customFormat="false" ht="12.75" hidden="false" customHeight="true" outlineLevel="0" collapsed="false">
      <c r="A2553" s="1" t="s">
        <v>1950</v>
      </c>
    </row>
    <row r="2554" customFormat="false" ht="12.75" hidden="false" customHeight="true" outlineLevel="0" collapsed="false">
      <c r="A2554" s="1" t="s">
        <v>1951</v>
      </c>
    </row>
    <row r="2555" customFormat="false" ht="12.75" hidden="false" customHeight="true" outlineLevel="0" collapsed="false"/>
    <row r="2556" customFormat="false" ht="12.75" hidden="false" customHeight="true" outlineLevel="0" collapsed="false">
      <c r="A2556" s="1" t="s">
        <v>1211</v>
      </c>
    </row>
    <row r="2557" customFormat="false" ht="12.75" hidden="false" customHeight="true" outlineLevel="0" collapsed="false">
      <c r="A2557" s="1" t="s">
        <v>1952</v>
      </c>
    </row>
    <row r="2558" customFormat="false" ht="12.75" hidden="false" customHeight="true" outlineLevel="0" collapsed="false">
      <c r="A2558" s="1" t="s">
        <v>1953</v>
      </c>
    </row>
    <row r="2559" customFormat="false" ht="12.75" hidden="false" customHeight="true" outlineLevel="0" collapsed="false"/>
    <row r="2560" customFormat="false" ht="12.75" hidden="false" customHeight="true" outlineLevel="0" collapsed="false">
      <c r="A2560" s="1" t="s">
        <v>1212</v>
      </c>
    </row>
    <row r="2561" customFormat="false" ht="12.75" hidden="false" customHeight="true" outlineLevel="0" collapsed="false">
      <c r="A2561" s="1" t="s">
        <v>1954</v>
      </c>
    </row>
    <row r="2562" customFormat="false" ht="12.75" hidden="false" customHeight="true" outlineLevel="0" collapsed="false">
      <c r="A2562" s="1" t="s">
        <v>1941</v>
      </c>
    </row>
    <row r="2563" customFormat="false" ht="12.75" hidden="false" customHeight="true" outlineLevel="0" collapsed="false">
      <c r="A2563" s="1" t="s">
        <v>1900</v>
      </c>
    </row>
    <row r="2564" customFormat="false" ht="12.75" hidden="false" customHeight="true" outlineLevel="0" collapsed="false">
      <c r="A2564" s="1" t="s">
        <v>1449</v>
      </c>
    </row>
    <row r="2565" customFormat="false" ht="12.75" hidden="false" customHeight="true" outlineLevel="0" collapsed="false">
      <c r="A2565" s="1" t="s">
        <v>1901</v>
      </c>
    </row>
    <row r="2566" customFormat="false" ht="12.75" hidden="false" customHeight="true" outlineLevel="0" collapsed="false">
      <c r="A2566" s="1" t="s">
        <v>1923</v>
      </c>
    </row>
    <row r="2567" customFormat="false" ht="12.75" hidden="false" customHeight="true" outlineLevel="0" collapsed="false">
      <c r="A2567" s="1" t="s">
        <v>1349</v>
      </c>
    </row>
    <row r="2568" customFormat="false" ht="12.75" hidden="false" customHeight="true" outlineLevel="0" collapsed="false">
      <c r="A2568" s="1" t="s">
        <v>1819</v>
      </c>
    </row>
    <row r="2569" customFormat="false" ht="12.75" hidden="false" customHeight="true" outlineLevel="0" collapsed="false"/>
    <row r="2570" customFormat="false" ht="12.75" hidden="false" customHeight="true" outlineLevel="0" collapsed="false">
      <c r="A2570" s="1" t="s">
        <v>1268</v>
      </c>
    </row>
    <row r="2571" customFormat="false" ht="12.75" hidden="false" customHeight="true" outlineLevel="0" collapsed="false">
      <c r="A2571" s="1" t="s">
        <v>1903</v>
      </c>
    </row>
    <row r="2572" customFormat="false" ht="12.75" hidden="false" customHeight="true" outlineLevel="0" collapsed="false">
      <c r="A2572" s="1" t="s">
        <v>1454</v>
      </c>
    </row>
    <row r="2573" customFormat="false" ht="12.75" hidden="false" customHeight="true" outlineLevel="0" collapsed="false">
      <c r="A2573" s="1" t="s">
        <v>1821</v>
      </c>
    </row>
    <row r="2574" customFormat="false" ht="12.75" hidden="false" customHeight="true" outlineLevel="0" collapsed="false"/>
    <row r="2575" customFormat="false" ht="12.75" hidden="false" customHeight="true" outlineLevel="0" collapsed="false">
      <c r="A2575" s="1" t="s">
        <v>1272</v>
      </c>
    </row>
    <row r="2576" customFormat="false" ht="12.75" hidden="false" customHeight="true" outlineLevel="0" collapsed="false">
      <c r="A2576" s="1" t="s">
        <v>1905</v>
      </c>
    </row>
    <row r="2577" customFormat="false" ht="12.75" hidden="false" customHeight="true" outlineLevel="0" collapsed="false">
      <c r="A2577" s="1" t="s">
        <v>1823</v>
      </c>
    </row>
    <row r="2578" customFormat="false" ht="12.75" hidden="false" customHeight="true" outlineLevel="0" collapsed="false">
      <c r="A2578" s="1" t="s">
        <v>1824</v>
      </c>
    </row>
    <row r="2579" customFormat="false" ht="12.75" hidden="false" customHeight="true" outlineLevel="0" collapsed="false">
      <c r="A2579" s="1" t="s">
        <v>1825</v>
      </c>
    </row>
    <row r="2580" customFormat="false" ht="12.75" hidden="false" customHeight="true" outlineLevel="0" collapsed="false">
      <c r="A2580" s="1" t="s">
        <v>1909</v>
      </c>
    </row>
    <row r="2581" customFormat="false" ht="12.75" hidden="false" customHeight="true" outlineLevel="0" collapsed="false">
      <c r="A2581" s="1" t="s">
        <v>1955</v>
      </c>
    </row>
    <row r="2582" customFormat="false" ht="12.75" hidden="false" customHeight="true" outlineLevel="0" collapsed="false">
      <c r="A2582" s="1" t="s">
        <v>1956</v>
      </c>
    </row>
    <row r="2583" customFormat="false" ht="12.75" hidden="false" customHeight="true" outlineLevel="0" collapsed="false">
      <c r="A2583" s="1" t="s">
        <v>1957</v>
      </c>
    </row>
    <row r="2584" customFormat="false" ht="12.75" hidden="false" customHeight="true" outlineLevel="0" collapsed="false"/>
    <row r="2585" customFormat="false" ht="12.75" hidden="false" customHeight="true" outlineLevel="0" collapsed="false">
      <c r="A2585" s="1" t="s">
        <v>1209</v>
      </c>
    </row>
    <row r="2586" customFormat="false" ht="12.75" hidden="false" customHeight="true" outlineLevel="0" collapsed="false">
      <c r="A2586" s="1" t="s">
        <v>1958</v>
      </c>
    </row>
    <row r="2587" customFormat="false" ht="12.75" hidden="false" customHeight="true" outlineLevel="0" collapsed="false">
      <c r="A2587" s="1" t="s">
        <v>1959</v>
      </c>
    </row>
    <row r="2588" customFormat="false" ht="12.75" hidden="false" customHeight="true" outlineLevel="0" collapsed="false">
      <c r="A2588" s="1" t="s">
        <v>1960</v>
      </c>
    </row>
    <row r="2589" customFormat="false" ht="12.75" hidden="false" customHeight="true" outlineLevel="0" collapsed="false">
      <c r="A2589" s="1" t="s">
        <v>1961</v>
      </c>
    </row>
    <row r="2590" customFormat="false" ht="12.75" hidden="false" customHeight="true" outlineLevel="0" collapsed="false"/>
    <row r="2591" customFormat="false" ht="12.75" hidden="false" customHeight="true" outlineLevel="0" collapsed="false">
      <c r="A2591" s="1" t="s">
        <v>1210</v>
      </c>
    </row>
    <row r="2592" customFormat="false" ht="12.75" hidden="false" customHeight="true" outlineLevel="0" collapsed="false">
      <c r="A2592" s="1" t="s">
        <v>1962</v>
      </c>
    </row>
    <row r="2593" customFormat="false" ht="12.75" hidden="false" customHeight="true" outlineLevel="0" collapsed="false">
      <c r="A2593" s="1" t="s">
        <v>1963</v>
      </c>
    </row>
    <row r="2594" customFormat="false" ht="12.75" hidden="false" customHeight="true" outlineLevel="0" collapsed="false"/>
    <row r="2595" customFormat="false" ht="12.75" hidden="false" customHeight="true" outlineLevel="0" collapsed="false">
      <c r="A2595" s="1" t="s">
        <v>1211</v>
      </c>
    </row>
    <row r="2596" customFormat="false" ht="12.75" hidden="false" customHeight="true" outlineLevel="0" collapsed="false">
      <c r="A2596" s="1" t="s">
        <v>1964</v>
      </c>
    </row>
    <row r="2597" customFormat="false" ht="12.75" hidden="false" customHeight="true" outlineLevel="0" collapsed="false">
      <c r="A2597" s="1" t="s">
        <v>1965</v>
      </c>
    </row>
    <row r="2598" customFormat="false" ht="12.75" hidden="false" customHeight="true" outlineLevel="0" collapsed="false"/>
    <row r="2599" customFormat="false" ht="12.75" hidden="false" customHeight="true" outlineLevel="0" collapsed="false">
      <c r="A2599" s="1" t="s">
        <v>1212</v>
      </c>
    </row>
    <row r="2600" customFormat="false" ht="12.75" hidden="false" customHeight="true" outlineLevel="0" collapsed="false">
      <c r="A2600" s="1" t="s">
        <v>1966</v>
      </c>
    </row>
    <row r="2601" customFormat="false" ht="12.75" hidden="false" customHeight="true" outlineLevel="0" collapsed="false">
      <c r="A2601" s="1" t="s">
        <v>1967</v>
      </c>
    </row>
    <row r="2602" customFormat="false" ht="12.75" hidden="false" customHeight="true" outlineLevel="0" collapsed="false">
      <c r="A2602" s="1" t="s">
        <v>1968</v>
      </c>
    </row>
    <row r="2603" customFormat="false" ht="12.75" hidden="false" customHeight="true" outlineLevel="0" collapsed="false">
      <c r="A2603" s="1" t="s">
        <v>1969</v>
      </c>
    </row>
    <row r="2604" customFormat="false" ht="12.75" hidden="false" customHeight="true" outlineLevel="0" collapsed="false">
      <c r="A2604" s="1" t="s">
        <v>1970</v>
      </c>
    </row>
    <row r="2605" customFormat="false" ht="12.75" hidden="false" customHeight="true" outlineLevel="0" collapsed="false"/>
    <row r="2606" customFormat="false" ht="12.75" hidden="false" customHeight="true" outlineLevel="0" collapsed="false">
      <c r="A2606" s="1" t="s">
        <v>1209</v>
      </c>
    </row>
    <row r="2607" customFormat="false" ht="12.75" hidden="false" customHeight="true" outlineLevel="0" collapsed="false">
      <c r="A2607" s="1" t="s">
        <v>1971</v>
      </c>
    </row>
    <row r="2608" customFormat="false" ht="12.75" hidden="false" customHeight="true" outlineLevel="0" collapsed="false">
      <c r="A2608" s="1" t="s">
        <v>1972</v>
      </c>
    </row>
    <row r="2609" customFormat="false" ht="12.75" hidden="false" customHeight="true" outlineLevel="0" collapsed="false">
      <c r="A2609" s="1" t="s">
        <v>1973</v>
      </c>
    </row>
    <row r="2610" customFormat="false" ht="12.75" hidden="false" customHeight="true" outlineLevel="0" collapsed="false">
      <c r="A2610" s="1" t="s">
        <v>1974</v>
      </c>
    </row>
    <row r="2611" customFormat="false" ht="12.75" hidden="false" customHeight="true" outlineLevel="0" collapsed="false"/>
    <row r="2612" customFormat="false" ht="12.75" hidden="false" customHeight="true" outlineLevel="0" collapsed="false">
      <c r="A2612" s="1" t="s">
        <v>1210</v>
      </c>
    </row>
    <row r="2613" customFormat="false" ht="12.75" hidden="false" customHeight="true" outlineLevel="0" collapsed="false">
      <c r="A2613" s="1" t="s">
        <v>1975</v>
      </c>
    </row>
    <row r="2614" customFormat="false" ht="12.75" hidden="false" customHeight="true" outlineLevel="0" collapsed="false">
      <c r="A2614" s="1" t="s">
        <v>1976</v>
      </c>
    </row>
    <row r="2615" customFormat="false" ht="12.75" hidden="false" customHeight="true" outlineLevel="0" collapsed="false"/>
    <row r="2616" customFormat="false" ht="12.75" hidden="false" customHeight="true" outlineLevel="0" collapsed="false">
      <c r="A2616" s="1" t="s">
        <v>1211</v>
      </c>
    </row>
    <row r="2617" customFormat="false" ht="12.75" hidden="false" customHeight="true" outlineLevel="0" collapsed="false">
      <c r="A2617" s="1" t="s">
        <v>1977</v>
      </c>
    </row>
    <row r="2618" customFormat="false" ht="12.75" hidden="false" customHeight="true" outlineLevel="0" collapsed="false">
      <c r="A2618" s="1" t="s">
        <v>1978</v>
      </c>
    </row>
    <row r="2619" customFormat="false" ht="12.75" hidden="false" customHeight="true" outlineLevel="0" collapsed="false"/>
    <row r="2620" customFormat="false" ht="12.75" hidden="false" customHeight="true" outlineLevel="0" collapsed="false">
      <c r="A2620" s="1" t="s">
        <v>1212</v>
      </c>
    </row>
    <row r="2621" customFormat="false" ht="12.75" hidden="false" customHeight="true" outlineLevel="0" collapsed="false">
      <c r="A2621" s="1" t="s">
        <v>1979</v>
      </c>
    </row>
    <row r="2622" customFormat="false" ht="12.75" hidden="false" customHeight="true" outlineLevel="0" collapsed="false">
      <c r="A2622" s="1" t="s">
        <v>1967</v>
      </c>
    </row>
    <row r="2623" customFormat="false" ht="12.75" hidden="false" customHeight="true" outlineLevel="0" collapsed="false">
      <c r="A2623" s="1" t="s">
        <v>1980</v>
      </c>
    </row>
    <row r="2624" customFormat="false" ht="12.75" hidden="false" customHeight="true" outlineLevel="0" collapsed="false">
      <c r="A2624" s="1" t="s">
        <v>1981</v>
      </c>
    </row>
    <row r="2625" customFormat="false" ht="12.75" hidden="false" customHeight="true" outlineLevel="0" collapsed="false">
      <c r="A2625" s="1" t="s">
        <v>1931</v>
      </c>
    </row>
    <row r="2626" customFormat="false" ht="12.75" hidden="false" customHeight="true" outlineLevel="0" collapsed="false"/>
    <row r="2627" customFormat="false" ht="12.75" hidden="false" customHeight="true" outlineLevel="0" collapsed="false">
      <c r="A2627" s="1" t="s">
        <v>1209</v>
      </c>
    </row>
    <row r="2628" customFormat="false" ht="12.75" hidden="false" customHeight="true" outlineLevel="0" collapsed="false">
      <c r="A2628" s="1" t="s">
        <v>1982</v>
      </c>
    </row>
    <row r="2629" customFormat="false" ht="12.75" hidden="false" customHeight="true" outlineLevel="0" collapsed="false">
      <c r="A2629" s="1" t="s">
        <v>1933</v>
      </c>
    </row>
    <row r="2630" customFormat="false" ht="12.75" hidden="false" customHeight="true" outlineLevel="0" collapsed="false">
      <c r="A2630" s="1" t="s">
        <v>1934</v>
      </c>
    </row>
    <row r="2631" customFormat="false" ht="12.75" hidden="false" customHeight="true" outlineLevel="0" collapsed="false">
      <c r="A2631" s="1" t="s">
        <v>1983</v>
      </c>
    </row>
    <row r="2632" customFormat="false" ht="12.75" hidden="false" customHeight="true" outlineLevel="0" collapsed="false"/>
    <row r="2633" customFormat="false" ht="12.75" hidden="false" customHeight="true" outlineLevel="0" collapsed="false">
      <c r="A2633" s="1" t="s">
        <v>1210</v>
      </c>
    </row>
    <row r="2634" customFormat="false" ht="12.75" hidden="false" customHeight="true" outlineLevel="0" collapsed="false">
      <c r="A2634" s="1" t="s">
        <v>1984</v>
      </c>
    </row>
    <row r="2635" customFormat="false" ht="12.75" hidden="false" customHeight="true" outlineLevel="0" collapsed="false">
      <c r="A2635" s="1" t="s">
        <v>1985</v>
      </c>
    </row>
    <row r="2636" customFormat="false" ht="12.75" hidden="false" customHeight="true" outlineLevel="0" collapsed="false"/>
    <row r="2637" customFormat="false" ht="12.75" hidden="false" customHeight="true" outlineLevel="0" collapsed="false">
      <c r="A2637" s="1" t="s">
        <v>1211</v>
      </c>
    </row>
    <row r="2638" customFormat="false" ht="12.75" hidden="false" customHeight="true" outlineLevel="0" collapsed="false">
      <c r="A2638" s="1" t="s">
        <v>1938</v>
      </c>
    </row>
    <row r="2639" customFormat="false" ht="12.75" hidden="false" customHeight="true" outlineLevel="0" collapsed="false">
      <c r="A2639" s="1" t="s">
        <v>1986</v>
      </c>
    </row>
    <row r="2640" customFormat="false" ht="12.75" hidden="false" customHeight="true" outlineLevel="0" collapsed="false"/>
    <row r="2641" customFormat="false" ht="12.75" hidden="false" customHeight="true" outlineLevel="0" collapsed="false">
      <c r="A2641" s="1" t="s">
        <v>1212</v>
      </c>
    </row>
    <row r="2642" customFormat="false" ht="12.75" hidden="false" customHeight="true" outlineLevel="0" collapsed="false">
      <c r="A2642" s="1" t="s">
        <v>1987</v>
      </c>
    </row>
    <row r="2643" customFormat="false" ht="12.75" hidden="false" customHeight="true" outlineLevel="0" collapsed="false">
      <c r="A2643" s="1" t="s">
        <v>1988</v>
      </c>
    </row>
    <row r="2644" customFormat="false" ht="12.75" hidden="false" customHeight="true" outlineLevel="0" collapsed="false">
      <c r="A2644" s="1" t="s">
        <v>1989</v>
      </c>
    </row>
    <row r="2645" customFormat="false" ht="12.75" hidden="false" customHeight="true" outlineLevel="0" collapsed="false">
      <c r="A2645" s="1" t="s">
        <v>1990</v>
      </c>
    </row>
    <row r="2646" customFormat="false" ht="12.75" hidden="false" customHeight="true" outlineLevel="0" collapsed="false">
      <c r="A2646" s="1" t="s">
        <v>1945</v>
      </c>
    </row>
    <row r="2647" customFormat="false" ht="12.75" hidden="false" customHeight="true" outlineLevel="0" collapsed="false"/>
    <row r="2648" customFormat="false" ht="12.75" hidden="false" customHeight="true" outlineLevel="0" collapsed="false">
      <c r="A2648" s="1" t="s">
        <v>1209</v>
      </c>
    </row>
    <row r="2649" customFormat="false" ht="12.75" hidden="false" customHeight="true" outlineLevel="0" collapsed="false">
      <c r="A2649" s="1" t="s">
        <v>1991</v>
      </c>
    </row>
    <row r="2650" customFormat="false" ht="12.75" hidden="false" customHeight="true" outlineLevel="0" collapsed="false">
      <c r="A2650" s="1" t="s">
        <v>1992</v>
      </c>
    </row>
    <row r="2651" customFormat="false" ht="12.75" hidden="false" customHeight="true" outlineLevel="0" collapsed="false">
      <c r="A2651" s="1" t="s">
        <v>1948</v>
      </c>
    </row>
    <row r="2652" customFormat="false" ht="12.75" hidden="false" customHeight="true" outlineLevel="0" collapsed="false">
      <c r="A2652" s="1" t="s">
        <v>1993</v>
      </c>
    </row>
    <row r="2653" customFormat="false" ht="12.75" hidden="false" customHeight="true" outlineLevel="0" collapsed="false"/>
    <row r="2654" customFormat="false" ht="12.75" hidden="false" customHeight="true" outlineLevel="0" collapsed="false">
      <c r="A2654" s="1" t="s">
        <v>1210</v>
      </c>
    </row>
    <row r="2655" customFormat="false" ht="12.75" hidden="false" customHeight="true" outlineLevel="0" collapsed="false">
      <c r="A2655" s="1" t="s">
        <v>1994</v>
      </c>
    </row>
    <row r="2656" customFormat="false" ht="12.75" hidden="false" customHeight="true" outlineLevel="0" collapsed="false">
      <c r="A2656" s="1" t="s">
        <v>1995</v>
      </c>
    </row>
    <row r="2657" customFormat="false" ht="12.75" hidden="false" customHeight="true" outlineLevel="0" collapsed="false"/>
    <row r="2658" customFormat="false" ht="12.75" hidden="false" customHeight="true" outlineLevel="0" collapsed="false">
      <c r="A2658" s="1" t="s">
        <v>1211</v>
      </c>
    </row>
    <row r="2659" customFormat="false" ht="12.75" hidden="false" customHeight="true" outlineLevel="0" collapsed="false">
      <c r="A2659" s="1" t="s">
        <v>1952</v>
      </c>
    </row>
    <row r="2660" customFormat="false" ht="12.75" hidden="false" customHeight="true" outlineLevel="0" collapsed="false">
      <c r="A2660" s="1" t="s">
        <v>1996</v>
      </c>
    </row>
    <row r="2661" customFormat="false" ht="12.75" hidden="false" customHeight="true" outlineLevel="0" collapsed="false"/>
    <row r="2662" customFormat="false" ht="12.75" hidden="false" customHeight="true" outlineLevel="0" collapsed="false">
      <c r="A2662" s="1" t="s">
        <v>1212</v>
      </c>
    </row>
    <row r="2663" customFormat="false" ht="12.75" hidden="false" customHeight="true" outlineLevel="0" collapsed="false">
      <c r="A2663" s="1" t="s">
        <v>1997</v>
      </c>
    </row>
    <row r="2664" customFormat="false" ht="12.75" hidden="false" customHeight="true" outlineLevel="0" collapsed="false">
      <c r="A2664" s="1" t="s">
        <v>1988</v>
      </c>
    </row>
    <row r="2665" customFormat="false" ht="12.75" hidden="false" customHeight="true" outlineLevel="0" collapsed="false">
      <c r="A2665" s="1" t="s">
        <v>1998</v>
      </c>
    </row>
    <row r="2666" customFormat="false" ht="12.75" hidden="false" customHeight="true" outlineLevel="0" collapsed="false">
      <c r="A2666" s="1" t="s">
        <v>1999</v>
      </c>
    </row>
    <row r="2667" customFormat="false" ht="12.75" hidden="false" customHeight="true" outlineLevel="0" collapsed="false">
      <c r="A2667" s="1" t="s">
        <v>1957</v>
      </c>
    </row>
    <row r="2668" customFormat="false" ht="12.75" hidden="false" customHeight="true" outlineLevel="0" collapsed="false"/>
    <row r="2669" customFormat="false" ht="12.75" hidden="false" customHeight="true" outlineLevel="0" collapsed="false">
      <c r="A2669" s="1" t="s">
        <v>1209</v>
      </c>
    </row>
    <row r="2670" customFormat="false" ht="12.75" hidden="false" customHeight="true" outlineLevel="0" collapsed="false">
      <c r="A2670" s="1" t="s">
        <v>2000</v>
      </c>
    </row>
    <row r="2671" customFormat="false" ht="12.75" hidden="false" customHeight="true" outlineLevel="0" collapsed="false">
      <c r="A2671" s="1" t="s">
        <v>1959</v>
      </c>
    </row>
    <row r="2672" customFormat="false" ht="12.75" hidden="false" customHeight="true" outlineLevel="0" collapsed="false">
      <c r="A2672" s="1" t="s">
        <v>1960</v>
      </c>
    </row>
    <row r="2673" customFormat="false" ht="12.75" hidden="false" customHeight="true" outlineLevel="0" collapsed="false">
      <c r="A2673" s="1" t="s">
        <v>2001</v>
      </c>
    </row>
    <row r="2674" customFormat="false" ht="12.75" hidden="false" customHeight="true" outlineLevel="0" collapsed="false"/>
    <row r="2675" customFormat="false" ht="12.75" hidden="false" customHeight="true" outlineLevel="0" collapsed="false">
      <c r="A2675" s="1" t="s">
        <v>1210</v>
      </c>
    </row>
    <row r="2676" customFormat="false" ht="12.75" hidden="false" customHeight="true" outlineLevel="0" collapsed="false">
      <c r="A2676" s="1" t="s">
        <v>2002</v>
      </c>
    </row>
    <row r="2677" customFormat="false" ht="12.75" hidden="false" customHeight="true" outlineLevel="0" collapsed="false">
      <c r="A2677" s="1" t="s">
        <v>2003</v>
      </c>
    </row>
    <row r="2678" customFormat="false" ht="12.75" hidden="false" customHeight="true" outlineLevel="0" collapsed="false"/>
    <row r="2679" customFormat="false" ht="12.75" hidden="false" customHeight="true" outlineLevel="0" collapsed="false">
      <c r="A2679" s="1" t="s">
        <v>1211</v>
      </c>
    </row>
    <row r="2680" customFormat="false" ht="12.75" hidden="false" customHeight="true" outlineLevel="0" collapsed="false">
      <c r="A2680" s="1" t="s">
        <v>2004</v>
      </c>
    </row>
    <row r="2681" customFormat="false" ht="12.75" hidden="false" customHeight="true" outlineLevel="0" collapsed="false">
      <c r="A2681" s="1" t="s">
        <v>2005</v>
      </c>
    </row>
    <row r="2682" customFormat="false" ht="12.75" hidden="false" customHeight="true" outlineLevel="0" collapsed="false"/>
    <row r="2683" customFormat="false" ht="12.75" hidden="false" customHeight="true" outlineLevel="0" collapsed="false">
      <c r="A2683" s="1" t="s">
        <v>1212</v>
      </c>
    </row>
    <row r="2684" customFormat="false" ht="12.75" hidden="false" customHeight="true" outlineLevel="0" collapsed="false">
      <c r="A2684" s="1" t="s">
        <v>2006</v>
      </c>
    </row>
    <row r="2685" customFormat="false" ht="12.75" hidden="false" customHeight="true" outlineLevel="0" collapsed="false">
      <c r="A2685" s="1" t="s">
        <v>1988</v>
      </c>
    </row>
    <row r="2686" customFormat="false" ht="12.75" hidden="false" customHeight="true" outlineLevel="0" collapsed="false">
      <c r="A2686" s="1" t="s">
        <v>2007</v>
      </c>
    </row>
    <row r="2687" customFormat="false" ht="12.75" hidden="false" customHeight="true" outlineLevel="0" collapsed="false">
      <c r="A2687" s="1" t="s">
        <v>1900</v>
      </c>
    </row>
    <row r="2688" customFormat="false" ht="12.75" hidden="false" customHeight="true" outlineLevel="0" collapsed="false">
      <c r="A2688" s="1" t="s">
        <v>1901</v>
      </c>
    </row>
    <row r="2689" customFormat="false" ht="12.75" hidden="false" customHeight="true" outlineLevel="0" collapsed="false">
      <c r="A2689" s="1" t="s">
        <v>1449</v>
      </c>
    </row>
    <row r="2690" customFormat="false" ht="12.75" hidden="false" customHeight="true" outlineLevel="0" collapsed="false">
      <c r="A2690" s="1" t="s">
        <v>1923</v>
      </c>
    </row>
    <row r="2691" customFormat="false" ht="12.75" hidden="false" customHeight="true" outlineLevel="0" collapsed="false">
      <c r="A2691" s="1" t="s">
        <v>2008</v>
      </c>
    </row>
    <row r="2692" customFormat="false" ht="12.75" hidden="false" customHeight="true" outlineLevel="0" collapsed="false">
      <c r="A2692" s="1" t="s">
        <v>2009</v>
      </c>
    </row>
    <row r="2693" customFormat="false" ht="12.75" hidden="false" customHeight="true" outlineLevel="0" collapsed="false"/>
    <row r="2694" customFormat="false" ht="12.75" hidden="false" customHeight="true" outlineLevel="0" collapsed="false">
      <c r="A2694" s="1" t="s">
        <v>1268</v>
      </c>
    </row>
    <row r="2695" customFormat="false" ht="12.75" hidden="false" customHeight="true" outlineLevel="0" collapsed="false">
      <c r="A2695" s="1" t="s">
        <v>1453</v>
      </c>
    </row>
    <row r="2696" customFormat="false" ht="12.75" hidden="false" customHeight="true" outlineLevel="0" collapsed="false">
      <c r="A2696" s="1" t="s">
        <v>1454</v>
      </c>
    </row>
    <row r="2697" customFormat="false" ht="12.75" hidden="false" customHeight="true" outlineLevel="0" collapsed="false">
      <c r="A2697" s="1" t="s">
        <v>1455</v>
      </c>
    </row>
    <row r="2698" customFormat="false" ht="12.75" hidden="false" customHeight="true" outlineLevel="0" collapsed="false"/>
    <row r="2699" customFormat="false" ht="12.75" hidden="false" customHeight="true" outlineLevel="0" collapsed="false">
      <c r="A2699" s="1" t="s">
        <v>1272</v>
      </c>
    </row>
    <row r="2700" customFormat="false" ht="12.75" hidden="false" customHeight="true" outlineLevel="0" collapsed="false">
      <c r="A2700" s="1" t="s">
        <v>1456</v>
      </c>
    </row>
    <row r="2701" customFormat="false" ht="12.75" hidden="false" customHeight="true" outlineLevel="0" collapsed="false">
      <c r="A2701" s="1" t="s">
        <v>2010</v>
      </c>
    </row>
    <row r="2702" customFormat="false" ht="12.75" hidden="false" customHeight="true" outlineLevel="0" collapsed="false">
      <c r="A2702" s="1" t="s">
        <v>1458</v>
      </c>
    </row>
    <row r="2703" customFormat="false" ht="12.75" hidden="false" customHeight="true" outlineLevel="0" collapsed="false">
      <c r="A2703" s="1" t="s">
        <v>1459</v>
      </c>
    </row>
    <row r="2704" customFormat="false" ht="12.75" hidden="false" customHeight="true" outlineLevel="0" collapsed="false">
      <c r="A2704" s="1" t="s">
        <v>1460</v>
      </c>
    </row>
    <row r="2705" customFormat="false" ht="12.75" hidden="false" customHeight="true" outlineLevel="0" collapsed="false">
      <c r="A2705" s="1" t="s">
        <v>2011</v>
      </c>
    </row>
    <row r="2706" customFormat="false" ht="12.75" hidden="false" customHeight="true" outlineLevel="0" collapsed="false">
      <c r="A2706" s="1" t="s">
        <v>1900</v>
      </c>
    </row>
    <row r="2707" customFormat="false" ht="12.75" hidden="false" customHeight="true" outlineLevel="0" collapsed="false">
      <c r="A2707" s="1" t="s">
        <v>1901</v>
      </c>
    </row>
    <row r="2708" customFormat="false" ht="12.75" hidden="false" customHeight="true" outlineLevel="0" collapsed="false">
      <c r="A2708" s="1" t="s">
        <v>1449</v>
      </c>
    </row>
    <row r="2709" customFormat="false" ht="12.75" hidden="false" customHeight="true" outlineLevel="0" collapsed="false">
      <c r="A2709" s="1" t="s">
        <v>1923</v>
      </c>
    </row>
    <row r="2710" customFormat="false" ht="12.75" hidden="false" customHeight="true" outlineLevel="0" collapsed="false">
      <c r="A2710" s="1" t="s">
        <v>2008</v>
      </c>
    </row>
    <row r="2711" customFormat="false" ht="12.75" hidden="false" customHeight="true" outlineLevel="0" collapsed="false">
      <c r="A2711" s="1" t="s">
        <v>2009</v>
      </c>
    </row>
    <row r="2712" customFormat="false" ht="12.75" hidden="false" customHeight="true" outlineLevel="0" collapsed="false"/>
    <row r="2713" customFormat="false" ht="12.75" hidden="false" customHeight="true" outlineLevel="0" collapsed="false">
      <c r="A2713" s="1" t="s">
        <v>1268</v>
      </c>
    </row>
    <row r="2714" customFormat="false" ht="12.75" hidden="false" customHeight="true" outlineLevel="0" collapsed="false">
      <c r="A2714" s="1" t="s">
        <v>1453</v>
      </c>
    </row>
    <row r="2715" customFormat="false" ht="12.75" hidden="false" customHeight="true" outlineLevel="0" collapsed="false">
      <c r="A2715" s="1" t="s">
        <v>1454</v>
      </c>
    </row>
    <row r="2716" customFormat="false" ht="12.75" hidden="false" customHeight="true" outlineLevel="0" collapsed="false">
      <c r="A2716" s="1" t="s">
        <v>1455</v>
      </c>
    </row>
    <row r="2717" customFormat="false" ht="12.75" hidden="false" customHeight="true" outlineLevel="0" collapsed="false"/>
    <row r="2718" customFormat="false" ht="12.75" hidden="false" customHeight="true" outlineLevel="0" collapsed="false">
      <c r="A2718" s="1" t="s">
        <v>1272</v>
      </c>
    </row>
    <row r="2719" customFormat="false" ht="12.75" hidden="false" customHeight="true" outlineLevel="0" collapsed="false">
      <c r="A2719" s="1" t="s">
        <v>1456</v>
      </c>
    </row>
    <row r="2720" customFormat="false" ht="12.75" hidden="false" customHeight="true" outlineLevel="0" collapsed="false">
      <c r="A2720" s="1" t="s">
        <v>2010</v>
      </c>
    </row>
    <row r="2721" customFormat="false" ht="12.75" hidden="false" customHeight="true" outlineLevel="0" collapsed="false">
      <c r="A2721" s="1" t="s">
        <v>1458</v>
      </c>
    </row>
    <row r="2722" customFormat="false" ht="12.75" hidden="false" customHeight="true" outlineLevel="0" collapsed="false">
      <c r="A2722" s="1" t="s">
        <v>1459</v>
      </c>
    </row>
    <row r="2723" customFormat="false" ht="12.75" hidden="false" customHeight="true" outlineLevel="0" collapsed="false">
      <c r="A2723" s="1" t="s">
        <v>1460</v>
      </c>
    </row>
    <row r="2724" customFormat="false" ht="12.75" hidden="false" customHeight="true" outlineLevel="0" collapsed="false">
      <c r="A2724" s="1" t="s">
        <v>2012</v>
      </c>
    </row>
    <row r="2725" customFormat="false" ht="12.75" hidden="false" customHeight="true" outlineLevel="0" collapsed="false">
      <c r="A2725" s="1" t="s">
        <v>2013</v>
      </c>
    </row>
    <row r="2726" customFormat="false" ht="12.75" hidden="false" customHeight="true" outlineLevel="0" collapsed="false">
      <c r="A2726" s="1" t="s">
        <v>2014</v>
      </c>
    </row>
    <row r="2727" customFormat="false" ht="12.75" hidden="false" customHeight="true" outlineLevel="0" collapsed="false"/>
    <row r="2728" customFormat="false" ht="12.75" hidden="false" customHeight="true" outlineLevel="0" collapsed="false">
      <c r="A2728" s="1" t="s">
        <v>1209</v>
      </c>
    </row>
    <row r="2729" customFormat="false" ht="12.75" hidden="false" customHeight="true" outlineLevel="0" collapsed="false">
      <c r="A2729" s="1" t="s">
        <v>2015</v>
      </c>
    </row>
    <row r="2730" customFormat="false" ht="12.75" hidden="false" customHeight="true" outlineLevel="0" collapsed="false">
      <c r="A2730" s="1" t="s">
        <v>2016</v>
      </c>
    </row>
    <row r="2731" customFormat="false" ht="12.75" hidden="false" customHeight="true" outlineLevel="0" collapsed="false">
      <c r="A2731" s="1" t="s">
        <v>2017</v>
      </c>
    </row>
    <row r="2732" customFormat="false" ht="12.75" hidden="false" customHeight="true" outlineLevel="0" collapsed="false">
      <c r="A2732" s="1" t="s">
        <v>2018</v>
      </c>
    </row>
    <row r="2733" customFormat="false" ht="12.75" hidden="false" customHeight="true" outlineLevel="0" collapsed="false"/>
    <row r="2734" customFormat="false" ht="12.75" hidden="false" customHeight="true" outlineLevel="0" collapsed="false">
      <c r="A2734" s="1" t="s">
        <v>1210</v>
      </c>
    </row>
    <row r="2735" customFormat="false" ht="12.75" hidden="false" customHeight="true" outlineLevel="0" collapsed="false">
      <c r="A2735" s="1" t="s">
        <v>2019</v>
      </c>
    </row>
    <row r="2736" customFormat="false" ht="12.75" hidden="false" customHeight="true" outlineLevel="0" collapsed="false">
      <c r="A2736" s="1" t="s">
        <v>2020</v>
      </c>
    </row>
    <row r="2737" customFormat="false" ht="12.75" hidden="false" customHeight="true" outlineLevel="0" collapsed="false"/>
    <row r="2738" customFormat="false" ht="12.75" hidden="false" customHeight="true" outlineLevel="0" collapsed="false">
      <c r="A2738" s="1" t="s">
        <v>1211</v>
      </c>
    </row>
    <row r="2739" customFormat="false" ht="12.75" hidden="false" customHeight="true" outlineLevel="0" collapsed="false">
      <c r="A2739" s="1" t="s">
        <v>2021</v>
      </c>
    </row>
    <row r="2740" customFormat="false" ht="12.75" hidden="false" customHeight="true" outlineLevel="0" collapsed="false">
      <c r="A2740" s="1" t="s">
        <v>2022</v>
      </c>
    </row>
    <row r="2741" customFormat="false" ht="12.75" hidden="false" customHeight="true" outlineLevel="0" collapsed="false"/>
    <row r="2742" customFormat="false" ht="12.75" hidden="false" customHeight="true" outlineLevel="0" collapsed="false">
      <c r="A2742" s="1" t="s">
        <v>1212</v>
      </c>
    </row>
    <row r="2743" customFormat="false" ht="12.75" hidden="false" customHeight="true" outlineLevel="0" collapsed="false">
      <c r="A2743" s="1" t="s">
        <v>2023</v>
      </c>
    </row>
    <row r="2744" customFormat="false" ht="12.75" hidden="false" customHeight="true" outlineLevel="0" collapsed="false">
      <c r="A2744" s="1" t="s">
        <v>2024</v>
      </c>
    </row>
    <row r="2745" customFormat="false" ht="12.75" hidden="false" customHeight="true" outlineLevel="0" collapsed="false">
      <c r="A2745" s="1" t="s">
        <v>1900</v>
      </c>
    </row>
    <row r="2746" customFormat="false" ht="12.75" hidden="false" customHeight="true" outlineLevel="0" collapsed="false">
      <c r="A2746" s="1" t="s">
        <v>1901</v>
      </c>
    </row>
    <row r="2747" customFormat="false" ht="12.75" hidden="false" customHeight="true" outlineLevel="0" collapsed="false">
      <c r="A2747" s="1" t="s">
        <v>1449</v>
      </c>
    </row>
    <row r="2748" customFormat="false" ht="12.75" hidden="false" customHeight="true" outlineLevel="0" collapsed="false">
      <c r="A2748" s="1" t="s">
        <v>1923</v>
      </c>
    </row>
    <row r="2749" customFormat="false" ht="12.75" hidden="false" customHeight="true" outlineLevel="0" collapsed="false">
      <c r="A2749" s="1" t="s">
        <v>2008</v>
      </c>
    </row>
    <row r="2750" customFormat="false" ht="12.75" hidden="false" customHeight="true" outlineLevel="0" collapsed="false">
      <c r="A2750" s="1" t="s">
        <v>2009</v>
      </c>
    </row>
    <row r="2751" customFormat="false" ht="12.75" hidden="false" customHeight="true" outlineLevel="0" collapsed="false"/>
    <row r="2752" customFormat="false" ht="12.75" hidden="false" customHeight="true" outlineLevel="0" collapsed="false">
      <c r="A2752" s="1" t="s">
        <v>1268</v>
      </c>
    </row>
    <row r="2753" customFormat="false" ht="12.75" hidden="false" customHeight="true" outlineLevel="0" collapsed="false">
      <c r="A2753" s="1" t="s">
        <v>1453</v>
      </c>
    </row>
    <row r="2754" customFormat="false" ht="12.75" hidden="false" customHeight="true" outlineLevel="0" collapsed="false">
      <c r="A2754" s="1" t="s">
        <v>1454</v>
      </c>
    </row>
    <row r="2755" customFormat="false" ht="12.75" hidden="false" customHeight="true" outlineLevel="0" collapsed="false">
      <c r="A2755" s="1" t="s">
        <v>1455</v>
      </c>
    </row>
    <row r="2756" customFormat="false" ht="12.75" hidden="false" customHeight="true" outlineLevel="0" collapsed="false"/>
    <row r="2757" customFormat="false" ht="12.75" hidden="false" customHeight="true" outlineLevel="0" collapsed="false">
      <c r="A2757" s="1" t="s">
        <v>1272</v>
      </c>
    </row>
    <row r="2758" customFormat="false" ht="12.75" hidden="false" customHeight="true" outlineLevel="0" collapsed="false">
      <c r="A2758" s="1" t="s">
        <v>1456</v>
      </c>
    </row>
    <row r="2759" customFormat="false" ht="12.75" hidden="false" customHeight="true" outlineLevel="0" collapsed="false">
      <c r="A2759" s="1" t="s">
        <v>2010</v>
      </c>
    </row>
    <row r="2760" customFormat="false" ht="12.75" hidden="false" customHeight="true" outlineLevel="0" collapsed="false">
      <c r="A2760" s="1" t="s">
        <v>1458</v>
      </c>
    </row>
    <row r="2761" customFormat="false" ht="12.75" hidden="false" customHeight="true" outlineLevel="0" collapsed="false">
      <c r="A2761" s="1" t="s">
        <v>1459</v>
      </c>
    </row>
    <row r="2762" customFormat="false" ht="12.75" hidden="false" customHeight="true" outlineLevel="0" collapsed="false">
      <c r="A2762" s="1" t="s">
        <v>1460</v>
      </c>
    </row>
    <row r="2763" customFormat="false" ht="12.75" hidden="false" customHeight="true" outlineLevel="0" collapsed="false">
      <c r="A2763" s="1" t="s">
        <v>2025</v>
      </c>
    </row>
    <row r="2764" customFormat="false" ht="12.75" hidden="false" customHeight="true" outlineLevel="0" collapsed="false">
      <c r="A2764" s="1" t="s">
        <v>2013</v>
      </c>
    </row>
    <row r="2765" customFormat="false" ht="12.75" hidden="false" customHeight="true" outlineLevel="0" collapsed="false">
      <c r="A2765" s="1" t="s">
        <v>2014</v>
      </c>
    </row>
    <row r="2766" customFormat="false" ht="12.75" hidden="false" customHeight="true" outlineLevel="0" collapsed="false"/>
    <row r="2767" customFormat="false" ht="12.75" hidden="false" customHeight="true" outlineLevel="0" collapsed="false">
      <c r="A2767" s="1" t="s">
        <v>1209</v>
      </c>
    </row>
    <row r="2768" customFormat="false" ht="12.75" hidden="false" customHeight="true" outlineLevel="0" collapsed="false">
      <c r="A2768" s="1" t="s">
        <v>2015</v>
      </c>
    </row>
    <row r="2769" customFormat="false" ht="12.75" hidden="false" customHeight="true" outlineLevel="0" collapsed="false">
      <c r="A2769" s="1" t="s">
        <v>2016</v>
      </c>
    </row>
    <row r="2770" customFormat="false" ht="12.75" hidden="false" customHeight="true" outlineLevel="0" collapsed="false">
      <c r="A2770" s="1" t="s">
        <v>2017</v>
      </c>
    </row>
    <row r="2771" customFormat="false" ht="12.75" hidden="false" customHeight="true" outlineLevel="0" collapsed="false">
      <c r="A2771" s="1" t="s">
        <v>2018</v>
      </c>
    </row>
    <row r="2772" customFormat="false" ht="12.75" hidden="false" customHeight="true" outlineLevel="0" collapsed="false"/>
    <row r="2773" customFormat="false" ht="12.75" hidden="false" customHeight="true" outlineLevel="0" collapsed="false">
      <c r="A2773" s="1" t="s">
        <v>1210</v>
      </c>
    </row>
    <row r="2774" customFormat="false" ht="12.75" hidden="false" customHeight="true" outlineLevel="0" collapsed="false">
      <c r="A2774" s="1" t="s">
        <v>2019</v>
      </c>
    </row>
    <row r="2775" customFormat="false" ht="12.75" hidden="false" customHeight="true" outlineLevel="0" collapsed="false">
      <c r="A2775" s="1" t="s">
        <v>2020</v>
      </c>
    </row>
    <row r="2776" customFormat="false" ht="12.75" hidden="false" customHeight="true" outlineLevel="0" collapsed="false"/>
    <row r="2777" customFormat="false" ht="12.75" hidden="false" customHeight="true" outlineLevel="0" collapsed="false">
      <c r="A2777" s="1" t="s">
        <v>1211</v>
      </c>
    </row>
    <row r="2778" customFormat="false" ht="12.75" hidden="false" customHeight="true" outlineLevel="0" collapsed="false">
      <c r="A2778" s="1" t="s">
        <v>2021</v>
      </c>
    </row>
    <row r="2779" customFormat="false" ht="12.75" hidden="false" customHeight="true" outlineLevel="0" collapsed="false">
      <c r="A2779" s="1" t="s">
        <v>2022</v>
      </c>
    </row>
    <row r="2780" customFormat="false" ht="12.75" hidden="false" customHeight="true" outlineLevel="0" collapsed="false"/>
    <row r="2781" customFormat="false" ht="12.75" hidden="false" customHeight="true" outlineLevel="0" collapsed="false">
      <c r="A2781" s="1" t="s">
        <v>1212</v>
      </c>
    </row>
    <row r="2782" customFormat="false" ht="12.75" hidden="false" customHeight="true" outlineLevel="0" collapsed="false">
      <c r="A2782" s="1" t="s">
        <v>2023</v>
      </c>
    </row>
    <row r="2783" customFormat="false" ht="12.75" hidden="false" customHeight="true" outlineLevel="0" collapsed="false">
      <c r="A2783" s="1" t="s">
        <v>2024</v>
      </c>
    </row>
    <row r="2784" customFormat="false" ht="12.75" hidden="false" customHeight="true" outlineLevel="0" collapsed="false">
      <c r="A2784" s="1" t="s">
        <v>1900</v>
      </c>
    </row>
    <row r="2785" customFormat="false" ht="12.75" hidden="false" customHeight="true" outlineLevel="0" collapsed="false">
      <c r="A2785" s="1" t="s">
        <v>1901</v>
      </c>
    </row>
    <row r="2786" customFormat="false" ht="12.75" hidden="false" customHeight="true" outlineLevel="0" collapsed="false">
      <c r="A2786" s="1" t="s">
        <v>1449</v>
      </c>
    </row>
    <row r="2787" customFormat="false" ht="12.75" hidden="false" customHeight="true" outlineLevel="0" collapsed="false">
      <c r="A2787" s="1" t="s">
        <v>1923</v>
      </c>
    </row>
    <row r="2788" customFormat="false" ht="12.75" hidden="false" customHeight="true" outlineLevel="0" collapsed="false">
      <c r="A2788" s="1" t="s">
        <v>2008</v>
      </c>
    </row>
    <row r="2789" customFormat="false" ht="12.75" hidden="false" customHeight="true" outlineLevel="0" collapsed="false">
      <c r="A2789" s="1" t="s">
        <v>2009</v>
      </c>
    </row>
    <row r="2790" customFormat="false" ht="12.75" hidden="false" customHeight="true" outlineLevel="0" collapsed="false"/>
    <row r="2791" customFormat="false" ht="12.75" hidden="false" customHeight="true" outlineLevel="0" collapsed="false">
      <c r="A2791" s="1" t="s">
        <v>1268</v>
      </c>
    </row>
    <row r="2792" customFormat="false" ht="12.75" hidden="false" customHeight="true" outlineLevel="0" collapsed="false">
      <c r="A2792" s="1" t="s">
        <v>1453</v>
      </c>
    </row>
    <row r="2793" customFormat="false" ht="12.75" hidden="false" customHeight="true" outlineLevel="0" collapsed="false">
      <c r="A2793" s="1" t="s">
        <v>1454</v>
      </c>
    </row>
    <row r="2794" customFormat="false" ht="12.75" hidden="false" customHeight="true" outlineLevel="0" collapsed="false">
      <c r="A2794" s="1" t="s">
        <v>1455</v>
      </c>
    </row>
    <row r="2795" customFormat="false" ht="12.75" hidden="false" customHeight="true" outlineLevel="0" collapsed="false"/>
    <row r="2796" customFormat="false" ht="12.75" hidden="false" customHeight="true" outlineLevel="0" collapsed="false">
      <c r="A2796" s="1" t="s">
        <v>1272</v>
      </c>
    </row>
    <row r="2797" customFormat="false" ht="12.75" hidden="false" customHeight="true" outlineLevel="0" collapsed="false">
      <c r="A2797" s="1" t="s">
        <v>1456</v>
      </c>
    </row>
    <row r="2798" customFormat="false" ht="12.75" hidden="false" customHeight="true" outlineLevel="0" collapsed="false">
      <c r="A2798" s="1" t="s">
        <v>2010</v>
      </c>
    </row>
    <row r="2799" customFormat="false" ht="12.75" hidden="false" customHeight="true" outlineLevel="0" collapsed="false">
      <c r="A2799" s="1" t="s">
        <v>1458</v>
      </c>
    </row>
    <row r="2800" customFormat="false" ht="12.75" hidden="false" customHeight="true" outlineLevel="0" collapsed="false">
      <c r="A2800" s="1" t="s">
        <v>1459</v>
      </c>
    </row>
    <row r="2801" customFormat="false" ht="12.75" hidden="false" customHeight="true" outlineLevel="0" collapsed="false">
      <c r="A2801" s="1" t="s">
        <v>1460</v>
      </c>
    </row>
    <row r="2802" customFormat="false" ht="12.75" hidden="false" customHeight="true" outlineLevel="0" collapsed="false">
      <c r="A2802" s="1" t="s">
        <v>2026</v>
      </c>
    </row>
    <row r="2803" customFormat="false" ht="12.75" hidden="false" customHeight="true" outlineLevel="0" collapsed="false">
      <c r="A2803" s="1" t="s">
        <v>2027</v>
      </c>
    </row>
    <row r="2804" customFormat="false" ht="12.75" hidden="false" customHeight="true" outlineLevel="0" collapsed="false">
      <c r="A2804" s="1" t="s">
        <v>2028</v>
      </c>
    </row>
    <row r="2805" customFormat="false" ht="12.75" hidden="false" customHeight="true" outlineLevel="0" collapsed="false"/>
    <row r="2806" customFormat="false" ht="12.75" hidden="false" customHeight="true" outlineLevel="0" collapsed="false">
      <c r="A2806" s="1" t="s">
        <v>1209</v>
      </c>
    </row>
    <row r="2807" customFormat="false" ht="12.75" hidden="false" customHeight="true" outlineLevel="0" collapsed="false">
      <c r="A2807" s="1" t="s">
        <v>2029</v>
      </c>
    </row>
    <row r="2808" customFormat="false" ht="12.75" hidden="false" customHeight="true" outlineLevel="0" collapsed="false">
      <c r="A2808" s="1" t="s">
        <v>2030</v>
      </c>
    </row>
    <row r="2809" customFormat="false" ht="12.75" hidden="false" customHeight="true" outlineLevel="0" collapsed="false">
      <c r="A2809" s="1" t="s">
        <v>2031</v>
      </c>
    </row>
    <row r="2810" customFormat="false" ht="12.75" hidden="false" customHeight="true" outlineLevel="0" collapsed="false">
      <c r="A2810" s="1" t="s">
        <v>2032</v>
      </c>
    </row>
    <row r="2811" customFormat="false" ht="12.75" hidden="false" customHeight="true" outlineLevel="0" collapsed="false"/>
    <row r="2812" customFormat="false" ht="12.75" hidden="false" customHeight="true" outlineLevel="0" collapsed="false">
      <c r="A2812" s="1" t="s">
        <v>1210</v>
      </c>
    </row>
    <row r="2813" customFormat="false" ht="12.75" hidden="false" customHeight="true" outlineLevel="0" collapsed="false">
      <c r="A2813" s="1" t="s">
        <v>2033</v>
      </c>
    </row>
    <row r="2814" customFormat="false" ht="12.75" hidden="false" customHeight="true" outlineLevel="0" collapsed="false">
      <c r="A2814" s="1" t="s">
        <v>2034</v>
      </c>
    </row>
    <row r="2815" customFormat="false" ht="12.75" hidden="false" customHeight="true" outlineLevel="0" collapsed="false"/>
    <row r="2816" customFormat="false" ht="12.75" hidden="false" customHeight="true" outlineLevel="0" collapsed="false">
      <c r="A2816" s="1" t="s">
        <v>1211</v>
      </c>
    </row>
    <row r="2817" customFormat="false" ht="12.75" hidden="false" customHeight="true" outlineLevel="0" collapsed="false">
      <c r="A2817" s="1" t="s">
        <v>2035</v>
      </c>
    </row>
    <row r="2818" customFormat="false" ht="12.75" hidden="false" customHeight="true" outlineLevel="0" collapsed="false">
      <c r="A2818" s="1" t="s">
        <v>2036</v>
      </c>
    </row>
    <row r="2819" customFormat="false" ht="12.75" hidden="false" customHeight="true" outlineLevel="0" collapsed="false"/>
    <row r="2820" customFormat="false" ht="12.75" hidden="false" customHeight="true" outlineLevel="0" collapsed="false">
      <c r="A2820" s="1" t="s">
        <v>1212</v>
      </c>
    </row>
    <row r="2821" customFormat="false" ht="12.75" hidden="false" customHeight="true" outlineLevel="0" collapsed="false">
      <c r="A2821" s="1" t="s">
        <v>2037</v>
      </c>
    </row>
    <row r="2822" customFormat="false" ht="12.75" hidden="false" customHeight="true" outlineLevel="0" collapsed="false">
      <c r="A2822" s="1" t="s">
        <v>2038</v>
      </c>
    </row>
    <row r="2823" customFormat="false" ht="12.75" hidden="false" customHeight="true" outlineLevel="0" collapsed="false">
      <c r="A2823" s="1" t="s">
        <v>2039</v>
      </c>
    </row>
    <row r="2824" customFormat="false" ht="12.75" hidden="false" customHeight="true" outlineLevel="0" collapsed="false">
      <c r="A2824" s="1" t="s">
        <v>2040</v>
      </c>
    </row>
    <row r="2825" customFormat="false" ht="12.75" hidden="false" customHeight="true" outlineLevel="0" collapsed="false">
      <c r="A2825" s="1" t="s">
        <v>2041</v>
      </c>
    </row>
    <row r="2826" customFormat="false" ht="12.75" hidden="false" customHeight="true" outlineLevel="0" collapsed="false">
      <c r="A2826" s="1" t="s">
        <v>2042</v>
      </c>
    </row>
    <row r="2827" customFormat="false" ht="12.75" hidden="false" customHeight="true" outlineLevel="0" collapsed="false">
      <c r="A2827" s="1" t="s">
        <v>1349</v>
      </c>
    </row>
    <row r="2828" customFormat="false" ht="12.75" hidden="false" customHeight="true" outlineLevel="0" collapsed="false">
      <c r="A2828" s="1" t="s">
        <v>1350</v>
      </c>
    </row>
    <row r="2829" customFormat="false" ht="12.75" hidden="false" customHeight="true" outlineLevel="0" collapsed="false"/>
    <row r="2830" customFormat="false" ht="12.75" hidden="false" customHeight="true" outlineLevel="0" collapsed="false">
      <c r="A2830" s="1" t="s">
        <v>1268</v>
      </c>
    </row>
    <row r="2831" customFormat="false" ht="12.75" hidden="false" customHeight="true" outlineLevel="0" collapsed="false">
      <c r="A2831" s="1" t="s">
        <v>2043</v>
      </c>
    </row>
    <row r="2832" customFormat="false" ht="12.75" hidden="false" customHeight="true" outlineLevel="0" collapsed="false">
      <c r="A2832" s="1" t="s">
        <v>2044</v>
      </c>
    </row>
    <row r="2833" customFormat="false" ht="12.75" hidden="false" customHeight="true" outlineLevel="0" collapsed="false">
      <c r="A2833" s="1" t="s">
        <v>2045</v>
      </c>
    </row>
    <row r="2834" customFormat="false" ht="12.75" hidden="false" customHeight="true" outlineLevel="0" collapsed="false"/>
    <row r="2835" customFormat="false" ht="12.75" hidden="false" customHeight="true" outlineLevel="0" collapsed="false">
      <c r="A2835" s="1" t="s">
        <v>1272</v>
      </c>
    </row>
    <row r="2836" customFormat="false" ht="12.75" hidden="false" customHeight="true" outlineLevel="0" collapsed="false">
      <c r="A2836" s="1" t="s">
        <v>2046</v>
      </c>
    </row>
    <row r="2837" customFormat="false" ht="12.75" hidden="false" customHeight="true" outlineLevel="0" collapsed="false">
      <c r="A2837" s="1" t="s">
        <v>1823</v>
      </c>
    </row>
    <row r="2838" customFormat="false" ht="12.75" hidden="false" customHeight="true" outlineLevel="0" collapsed="false">
      <c r="A2838" s="1" t="s">
        <v>2047</v>
      </c>
    </row>
    <row r="2839" customFormat="false" ht="12.75" hidden="false" customHeight="true" outlineLevel="0" collapsed="false">
      <c r="A2839" s="1" t="s">
        <v>1846</v>
      </c>
    </row>
    <row r="2840" customFormat="false" ht="12.75" hidden="false" customHeight="true" outlineLevel="0" collapsed="false">
      <c r="A2840" s="1" t="s">
        <v>1847</v>
      </c>
    </row>
    <row r="2841" customFormat="false" ht="12.75" hidden="false" customHeight="true" outlineLevel="0" collapsed="false">
      <c r="A2841" s="1" t="s">
        <v>2048</v>
      </c>
    </row>
    <row r="2842" customFormat="false" ht="12.75" hidden="false" customHeight="true" outlineLevel="0" collapsed="false">
      <c r="A2842" s="1" t="s">
        <v>2049</v>
      </c>
    </row>
    <row r="2843" customFormat="false" ht="12.75" hidden="false" customHeight="true" outlineLevel="0" collapsed="false">
      <c r="A2843" s="1" t="s">
        <v>2050</v>
      </c>
    </row>
    <row r="2844" customFormat="false" ht="12.75" hidden="false" customHeight="true" outlineLevel="0" collapsed="false"/>
    <row r="2845" customFormat="false" ht="12.75" hidden="false" customHeight="true" outlineLevel="0" collapsed="false">
      <c r="A2845" s="1" t="s">
        <v>1209</v>
      </c>
    </row>
    <row r="2846" customFormat="false" ht="12.75" hidden="false" customHeight="true" outlineLevel="0" collapsed="false">
      <c r="A2846" s="1" t="s">
        <v>2051</v>
      </c>
    </row>
    <row r="2847" customFormat="false" ht="12.75" hidden="false" customHeight="true" outlineLevel="0" collapsed="false">
      <c r="A2847" s="1" t="s">
        <v>2052</v>
      </c>
    </row>
    <row r="2848" customFormat="false" ht="12.75" hidden="false" customHeight="true" outlineLevel="0" collapsed="false">
      <c r="A2848" s="1" t="s">
        <v>1296</v>
      </c>
    </row>
    <row r="2849" customFormat="false" ht="12.75" hidden="false" customHeight="true" outlineLevel="0" collapsed="false">
      <c r="A2849" s="1" t="s">
        <v>2053</v>
      </c>
    </row>
    <row r="2850" customFormat="false" ht="12.75" hidden="false" customHeight="true" outlineLevel="0" collapsed="false"/>
    <row r="2851" customFormat="false" ht="12.75" hidden="false" customHeight="true" outlineLevel="0" collapsed="false">
      <c r="A2851" s="1" t="s">
        <v>1210</v>
      </c>
    </row>
    <row r="2852" customFormat="false" ht="12.75" hidden="false" customHeight="true" outlineLevel="0" collapsed="false">
      <c r="A2852" s="1" t="s">
        <v>2054</v>
      </c>
    </row>
    <row r="2853" customFormat="false" ht="12.75" hidden="false" customHeight="true" outlineLevel="0" collapsed="false">
      <c r="A2853" s="1" t="s">
        <v>2055</v>
      </c>
    </row>
    <row r="2854" customFormat="false" ht="12.75" hidden="false" customHeight="true" outlineLevel="0" collapsed="false"/>
    <row r="2855" customFormat="false" ht="12.75" hidden="false" customHeight="true" outlineLevel="0" collapsed="false">
      <c r="A2855" s="1" t="s">
        <v>1211</v>
      </c>
    </row>
    <row r="2856" customFormat="false" ht="12.75" hidden="false" customHeight="true" outlineLevel="0" collapsed="false">
      <c r="A2856" s="1" t="s">
        <v>2056</v>
      </c>
    </row>
    <row r="2857" customFormat="false" ht="12.75" hidden="false" customHeight="true" outlineLevel="0" collapsed="false">
      <c r="A2857" s="1" t="s">
        <v>2057</v>
      </c>
    </row>
    <row r="2858" customFormat="false" ht="12.75" hidden="false" customHeight="true" outlineLevel="0" collapsed="false"/>
    <row r="2859" customFormat="false" ht="12.75" hidden="false" customHeight="true" outlineLevel="0" collapsed="false">
      <c r="A2859" s="1" t="s">
        <v>1212</v>
      </c>
    </row>
    <row r="2860" customFormat="false" ht="12.75" hidden="false" customHeight="true" outlineLevel="0" collapsed="false">
      <c r="A2860" s="1" t="s">
        <v>2058</v>
      </c>
    </row>
    <row r="2861" customFormat="false" ht="12.75" hidden="false" customHeight="true" outlineLevel="0" collapsed="false">
      <c r="A2861" s="1" t="s">
        <v>2059</v>
      </c>
    </row>
    <row r="2862" customFormat="false" ht="12.75" hidden="false" customHeight="true" outlineLevel="0" collapsed="false">
      <c r="A2862" s="1" t="s">
        <v>2060</v>
      </c>
    </row>
    <row r="2863" customFormat="false" ht="12.75" hidden="false" customHeight="true" outlineLevel="0" collapsed="false">
      <c r="A2863" s="1" t="s">
        <v>2061</v>
      </c>
    </row>
    <row r="2864" customFormat="false" ht="12.75" hidden="false" customHeight="true" outlineLevel="0" collapsed="false">
      <c r="A2864" s="1" t="s">
        <v>1394</v>
      </c>
    </row>
    <row r="2865" customFormat="false" ht="12.75" hidden="false" customHeight="true" outlineLevel="0" collapsed="false">
      <c r="A2865" s="1" t="s">
        <v>2062</v>
      </c>
    </row>
    <row r="2866" customFormat="false" ht="12.75" hidden="false" customHeight="true" outlineLevel="0" collapsed="false">
      <c r="A2866" s="1" t="s">
        <v>2063</v>
      </c>
    </row>
    <row r="2867" customFormat="false" ht="12.75" hidden="false" customHeight="true" outlineLevel="0" collapsed="false">
      <c r="A2867" s="1" t="s">
        <v>2064</v>
      </c>
    </row>
    <row r="2868" customFormat="false" ht="12.75" hidden="false" customHeight="true" outlineLevel="0" collapsed="false"/>
    <row r="2869" customFormat="false" ht="12.75" hidden="false" customHeight="true" outlineLevel="0" collapsed="false">
      <c r="A2869" s="1" t="s">
        <v>1268</v>
      </c>
    </row>
    <row r="2870" customFormat="false" ht="12.75" hidden="false" customHeight="true" outlineLevel="0" collapsed="false">
      <c r="A2870" s="1" t="s">
        <v>2065</v>
      </c>
    </row>
    <row r="2871" customFormat="false" ht="12.75" hidden="false" customHeight="true" outlineLevel="0" collapsed="false">
      <c r="A2871" s="1" t="s">
        <v>2066</v>
      </c>
    </row>
    <row r="2872" customFormat="false" ht="12.75" hidden="false" customHeight="true" outlineLevel="0" collapsed="false">
      <c r="A2872" s="1" t="s">
        <v>2067</v>
      </c>
    </row>
    <row r="2873" customFormat="false" ht="12.75" hidden="false" customHeight="true" outlineLevel="0" collapsed="false"/>
    <row r="2874" customFormat="false" ht="12.75" hidden="false" customHeight="true" outlineLevel="0" collapsed="false">
      <c r="A2874" s="1" t="s">
        <v>1272</v>
      </c>
    </row>
    <row r="2875" customFormat="false" ht="12.75" hidden="false" customHeight="true" outlineLevel="0" collapsed="false">
      <c r="A2875" s="1" t="s">
        <v>2068</v>
      </c>
    </row>
    <row r="2876" customFormat="false" ht="12.75" hidden="false" customHeight="true" outlineLevel="0" collapsed="false">
      <c r="A2876" s="1" t="s">
        <v>1393</v>
      </c>
    </row>
    <row r="2877" customFormat="false" ht="12.75" hidden="false" customHeight="true" outlineLevel="0" collapsed="false">
      <c r="A2877" s="1" t="s">
        <v>2069</v>
      </c>
    </row>
    <row r="2878" customFormat="false" ht="12.75" hidden="false" customHeight="true" outlineLevel="0" collapsed="false">
      <c r="A2878" s="1" t="s">
        <v>2070</v>
      </c>
    </row>
    <row r="2879" customFormat="false" ht="12.75" hidden="false" customHeight="true" outlineLevel="0" collapsed="false">
      <c r="A2879" s="1" t="s">
        <v>2071</v>
      </c>
    </row>
    <row r="2880" customFormat="false" ht="12.75" hidden="false" customHeight="true" outlineLevel="0" collapsed="false">
      <c r="A2880" s="1" t="s">
        <v>2072</v>
      </c>
    </row>
    <row r="2881" customFormat="false" ht="12.75" hidden="false" customHeight="true" outlineLevel="0" collapsed="false">
      <c r="A2881" s="1" t="s">
        <v>2073</v>
      </c>
    </row>
    <row r="2882" customFormat="false" ht="12.75" hidden="false" customHeight="true" outlineLevel="0" collapsed="false">
      <c r="A2882" s="1" t="s">
        <v>2074</v>
      </c>
    </row>
    <row r="2883" customFormat="false" ht="12.75" hidden="false" customHeight="true" outlineLevel="0" collapsed="false"/>
    <row r="2884" customFormat="false" ht="12.75" hidden="false" customHeight="true" outlineLevel="0" collapsed="false">
      <c r="A2884" s="1" t="s">
        <v>1209</v>
      </c>
    </row>
    <row r="2885" customFormat="false" ht="12.75" hidden="false" customHeight="true" outlineLevel="0" collapsed="false">
      <c r="A2885" s="1" t="s">
        <v>2075</v>
      </c>
    </row>
    <row r="2886" customFormat="false" ht="12.75" hidden="false" customHeight="true" outlineLevel="0" collapsed="false">
      <c r="A2886" s="1" t="s">
        <v>2076</v>
      </c>
    </row>
    <row r="2887" customFormat="false" ht="12.75" hidden="false" customHeight="true" outlineLevel="0" collapsed="false">
      <c r="A2887" s="1" t="s">
        <v>2077</v>
      </c>
    </row>
    <row r="2888" customFormat="false" ht="12.75" hidden="false" customHeight="true" outlineLevel="0" collapsed="false">
      <c r="A2888" s="1" t="s">
        <v>2078</v>
      </c>
    </row>
    <row r="2889" customFormat="false" ht="12.75" hidden="false" customHeight="true" outlineLevel="0" collapsed="false"/>
    <row r="2890" customFormat="false" ht="12.75" hidden="false" customHeight="true" outlineLevel="0" collapsed="false">
      <c r="A2890" s="1" t="s">
        <v>1210</v>
      </c>
    </row>
    <row r="2891" customFormat="false" ht="12.75" hidden="false" customHeight="true" outlineLevel="0" collapsed="false">
      <c r="A2891" s="1" t="s">
        <v>2079</v>
      </c>
    </row>
    <row r="2892" customFormat="false" ht="12.75" hidden="false" customHeight="true" outlineLevel="0" collapsed="false">
      <c r="A2892" s="1" t="s">
        <v>2080</v>
      </c>
    </row>
    <row r="2893" customFormat="false" ht="12.75" hidden="false" customHeight="true" outlineLevel="0" collapsed="false"/>
    <row r="2894" customFormat="false" ht="12.75" hidden="false" customHeight="true" outlineLevel="0" collapsed="false">
      <c r="A2894" s="1" t="s">
        <v>1211</v>
      </c>
    </row>
    <row r="2895" customFormat="false" ht="12.75" hidden="false" customHeight="true" outlineLevel="0" collapsed="false">
      <c r="A2895" s="1" t="s">
        <v>2081</v>
      </c>
    </row>
    <row r="2896" customFormat="false" ht="12.75" hidden="false" customHeight="true" outlineLevel="0" collapsed="false">
      <c r="A2896" s="1" t="s">
        <v>2082</v>
      </c>
    </row>
    <row r="2897" customFormat="false" ht="12.75" hidden="false" customHeight="true" outlineLevel="0" collapsed="false"/>
    <row r="2898" customFormat="false" ht="12.75" hidden="false" customHeight="true" outlineLevel="0" collapsed="false">
      <c r="A2898" s="1" t="s">
        <v>1212</v>
      </c>
    </row>
    <row r="2899" customFormat="false" ht="12.75" hidden="false" customHeight="true" outlineLevel="0" collapsed="false">
      <c r="A2899" s="1" t="s">
        <v>2083</v>
      </c>
    </row>
    <row r="2900" customFormat="false" ht="12.75" hidden="false" customHeight="true" outlineLevel="0" collapsed="false">
      <c r="A2900" s="1" t="s">
        <v>2084</v>
      </c>
    </row>
    <row r="2901" customFormat="false" ht="12.75" hidden="false" customHeight="true" outlineLevel="0" collapsed="false">
      <c r="A2901" s="1" t="s">
        <v>2085</v>
      </c>
    </row>
    <row r="2902" customFormat="false" ht="12.75" hidden="false" customHeight="true" outlineLevel="0" collapsed="false">
      <c r="A2902" s="1" t="s">
        <v>2086</v>
      </c>
    </row>
    <row r="2903" customFormat="false" ht="12.75" hidden="false" customHeight="true" outlineLevel="0" collapsed="false">
      <c r="A2903" s="1" t="s">
        <v>2016</v>
      </c>
    </row>
    <row r="2904" customFormat="false" ht="12.75" hidden="false" customHeight="true" outlineLevel="0" collapsed="false">
      <c r="A2904" s="1" t="s">
        <v>2087</v>
      </c>
    </row>
    <row r="2905" customFormat="false" ht="12.75" hidden="false" customHeight="true" outlineLevel="0" collapsed="false">
      <c r="A2905" s="1" t="s">
        <v>1349</v>
      </c>
    </row>
    <row r="2906" customFormat="false" ht="12.75" hidden="false" customHeight="true" outlineLevel="0" collapsed="false">
      <c r="A2906" s="1" t="s">
        <v>1819</v>
      </c>
    </row>
    <row r="2907" customFormat="false" ht="12.75" hidden="false" customHeight="true" outlineLevel="0" collapsed="false"/>
    <row r="2908" customFormat="false" ht="12.75" hidden="false" customHeight="true" outlineLevel="0" collapsed="false">
      <c r="A2908" s="1" t="s">
        <v>1268</v>
      </c>
    </row>
    <row r="2909" customFormat="false" ht="12.75" hidden="false" customHeight="true" outlineLevel="0" collapsed="false">
      <c r="A2909" s="1" t="s">
        <v>1820</v>
      </c>
    </row>
    <row r="2910" customFormat="false" ht="12.75" hidden="false" customHeight="true" outlineLevel="0" collapsed="false">
      <c r="A2910" s="1" t="s">
        <v>1454</v>
      </c>
    </row>
    <row r="2911" customFormat="false" ht="12.75" hidden="false" customHeight="true" outlineLevel="0" collapsed="false">
      <c r="A2911" s="1" t="s">
        <v>1821</v>
      </c>
    </row>
    <row r="2912" customFormat="false" ht="12.75" hidden="false" customHeight="true" outlineLevel="0" collapsed="false"/>
    <row r="2913" customFormat="false" ht="12.75" hidden="false" customHeight="true" outlineLevel="0" collapsed="false">
      <c r="A2913" s="1" t="s">
        <v>1272</v>
      </c>
    </row>
    <row r="2914" customFormat="false" ht="12.75" hidden="false" customHeight="true" outlineLevel="0" collapsed="false">
      <c r="A2914" s="1" t="s">
        <v>1822</v>
      </c>
    </row>
    <row r="2915" customFormat="false" ht="12.75" hidden="false" customHeight="true" outlineLevel="0" collapsed="false">
      <c r="A2915" s="1" t="s">
        <v>1823</v>
      </c>
    </row>
    <row r="2916" customFormat="false" ht="12.75" hidden="false" customHeight="true" outlineLevel="0" collapsed="false">
      <c r="A2916" s="1" t="s">
        <v>1824</v>
      </c>
    </row>
    <row r="2917" customFormat="false" ht="12.75" hidden="false" customHeight="true" outlineLevel="0" collapsed="false">
      <c r="A2917" s="1" t="s">
        <v>1825</v>
      </c>
    </row>
    <row r="2918" customFormat="false" ht="12.75" hidden="false" customHeight="true" outlineLevel="0" collapsed="false">
      <c r="A2918" s="1" t="s">
        <v>1826</v>
      </c>
    </row>
    <row r="2919" customFormat="false" ht="12.75" hidden="false" customHeight="true" outlineLevel="0" collapsed="false">
      <c r="A2919" s="1" t="s">
        <v>2088</v>
      </c>
    </row>
    <row r="2920" customFormat="false" ht="12.75" hidden="false" customHeight="true" outlineLevel="0" collapsed="false">
      <c r="A2920" s="1" t="s">
        <v>2089</v>
      </c>
    </row>
    <row r="2921" customFormat="false" ht="12.75" hidden="false" customHeight="true" outlineLevel="0" collapsed="false">
      <c r="A2921" s="1" t="s">
        <v>2090</v>
      </c>
    </row>
    <row r="2922" customFormat="false" ht="12.75" hidden="false" customHeight="true" outlineLevel="0" collapsed="false"/>
    <row r="2923" customFormat="false" ht="12.75" hidden="false" customHeight="true" outlineLevel="0" collapsed="false">
      <c r="A2923" s="1" t="s">
        <v>1209</v>
      </c>
    </row>
    <row r="2924" customFormat="false" ht="12.75" hidden="false" customHeight="true" outlineLevel="0" collapsed="false">
      <c r="A2924" s="1" t="s">
        <v>2091</v>
      </c>
    </row>
    <row r="2925" customFormat="false" ht="12.75" hidden="false" customHeight="true" outlineLevel="0" collapsed="false">
      <c r="A2925" s="1" t="s">
        <v>1829</v>
      </c>
    </row>
    <row r="2926" customFormat="false" ht="12.75" hidden="false" customHeight="true" outlineLevel="0" collapsed="false">
      <c r="A2926" s="1" t="s">
        <v>2092</v>
      </c>
    </row>
    <row r="2927" customFormat="false" ht="12.75" hidden="false" customHeight="true" outlineLevel="0" collapsed="false">
      <c r="A2927" s="1" t="s">
        <v>2093</v>
      </c>
    </row>
    <row r="2928" customFormat="false" ht="12.75" hidden="false" customHeight="true" outlineLevel="0" collapsed="false"/>
    <row r="2929" customFormat="false" ht="12.75" hidden="false" customHeight="true" outlineLevel="0" collapsed="false">
      <c r="A2929" s="1" t="s">
        <v>1210</v>
      </c>
    </row>
    <row r="2930" customFormat="false" ht="12.75" hidden="false" customHeight="true" outlineLevel="0" collapsed="false">
      <c r="A2930" s="1" t="s">
        <v>2079</v>
      </c>
    </row>
    <row r="2931" customFormat="false" ht="12.75" hidden="false" customHeight="true" outlineLevel="0" collapsed="false">
      <c r="A2931" s="1" t="s">
        <v>2080</v>
      </c>
    </row>
    <row r="2932" customFormat="false" ht="12.75" hidden="false" customHeight="true" outlineLevel="0" collapsed="false"/>
    <row r="2933" customFormat="false" ht="12.75" hidden="false" customHeight="true" outlineLevel="0" collapsed="false">
      <c r="A2933" s="1" t="s">
        <v>1211</v>
      </c>
    </row>
    <row r="2934" customFormat="false" ht="12.75" hidden="false" customHeight="true" outlineLevel="0" collapsed="false">
      <c r="A2934" s="1" t="s">
        <v>2081</v>
      </c>
    </row>
    <row r="2935" customFormat="false" ht="12.75" hidden="false" customHeight="true" outlineLevel="0" collapsed="false">
      <c r="A2935" s="1" t="s">
        <v>2082</v>
      </c>
    </row>
    <row r="2936" customFormat="false" ht="12.75" hidden="false" customHeight="true" outlineLevel="0" collapsed="false"/>
    <row r="2937" customFormat="false" ht="12.75" hidden="false" customHeight="true" outlineLevel="0" collapsed="false">
      <c r="A2937" s="1" t="s">
        <v>1212</v>
      </c>
    </row>
    <row r="2938" customFormat="false" ht="12.75" hidden="false" customHeight="true" outlineLevel="0" collapsed="false">
      <c r="A2938" s="1" t="s">
        <v>2094</v>
      </c>
    </row>
    <row r="2939" customFormat="false" ht="12.75" hidden="false" customHeight="true" outlineLevel="0" collapsed="false">
      <c r="A2939" s="1" t="s">
        <v>2095</v>
      </c>
    </row>
    <row r="2940" customFormat="false" ht="12.75" hidden="false" customHeight="true" outlineLevel="0" collapsed="false">
      <c r="A2940" s="1" t="s">
        <v>2085</v>
      </c>
    </row>
    <row r="2941" customFormat="false" ht="12.75" hidden="false" customHeight="true" outlineLevel="0" collapsed="false">
      <c r="A2941" s="1" t="s">
        <v>2086</v>
      </c>
    </row>
    <row r="2942" customFormat="false" ht="12.75" hidden="false" customHeight="true" outlineLevel="0" collapsed="false">
      <c r="A2942" s="1" t="s">
        <v>2016</v>
      </c>
    </row>
    <row r="2943" customFormat="false" ht="12.75" hidden="false" customHeight="true" outlineLevel="0" collapsed="false">
      <c r="A2943" s="1" t="s">
        <v>2087</v>
      </c>
    </row>
    <row r="2944" customFormat="false" ht="12.75" hidden="false" customHeight="true" outlineLevel="0" collapsed="false">
      <c r="A2944" s="1" t="s">
        <v>1349</v>
      </c>
    </row>
    <row r="2945" customFormat="false" ht="12.75" hidden="false" customHeight="true" outlineLevel="0" collapsed="false">
      <c r="A2945" s="1" t="s">
        <v>1819</v>
      </c>
    </row>
    <row r="2946" customFormat="false" ht="12.75" hidden="false" customHeight="true" outlineLevel="0" collapsed="false"/>
    <row r="2947" customFormat="false" ht="12.75" hidden="false" customHeight="true" outlineLevel="0" collapsed="false">
      <c r="A2947" s="1" t="s">
        <v>1268</v>
      </c>
    </row>
    <row r="2948" customFormat="false" ht="12.75" hidden="false" customHeight="true" outlineLevel="0" collapsed="false">
      <c r="A2948" s="1" t="s">
        <v>1820</v>
      </c>
    </row>
    <row r="2949" customFormat="false" ht="12.75" hidden="false" customHeight="true" outlineLevel="0" collapsed="false">
      <c r="A2949" s="1" t="s">
        <v>1454</v>
      </c>
    </row>
    <row r="2950" customFormat="false" ht="12.75" hidden="false" customHeight="true" outlineLevel="0" collapsed="false">
      <c r="A2950" s="1" t="s">
        <v>1821</v>
      </c>
    </row>
    <row r="2951" customFormat="false" ht="12.75" hidden="false" customHeight="true" outlineLevel="0" collapsed="false"/>
    <row r="2952" customFormat="false" ht="12.75" hidden="false" customHeight="true" outlineLevel="0" collapsed="false">
      <c r="A2952" s="1" t="s">
        <v>1272</v>
      </c>
    </row>
    <row r="2953" customFormat="false" ht="12.75" hidden="false" customHeight="true" outlineLevel="0" collapsed="false">
      <c r="A2953" s="1" t="s">
        <v>1822</v>
      </c>
    </row>
    <row r="2954" customFormat="false" ht="12.75" hidden="false" customHeight="true" outlineLevel="0" collapsed="false">
      <c r="A2954" s="1" t="s">
        <v>1823</v>
      </c>
    </row>
    <row r="2955" customFormat="false" ht="12.75" hidden="false" customHeight="true" outlineLevel="0" collapsed="false">
      <c r="A2955" s="1" t="s">
        <v>1824</v>
      </c>
    </row>
    <row r="2956" customFormat="false" ht="12.75" hidden="false" customHeight="true" outlineLevel="0" collapsed="false">
      <c r="A2956" s="1" t="s">
        <v>1825</v>
      </c>
    </row>
    <row r="2957" customFormat="false" ht="12.75" hidden="false" customHeight="true" outlineLevel="0" collapsed="false">
      <c r="A2957" s="1" t="s">
        <v>1826</v>
      </c>
    </row>
    <row r="2958" customFormat="false" ht="12.75" hidden="false" customHeight="true" outlineLevel="0" collapsed="false">
      <c r="A2958" s="1" t="s">
        <v>2096</v>
      </c>
    </row>
    <row r="2959" customFormat="false" ht="12.75" hidden="false" customHeight="true" outlineLevel="0" collapsed="false">
      <c r="A2959" s="1" t="s">
        <v>1900</v>
      </c>
    </row>
    <row r="2960" customFormat="false" ht="12.75" hidden="false" customHeight="true" outlineLevel="0" collapsed="false">
      <c r="A2960" s="1" t="s">
        <v>1449</v>
      </c>
    </row>
    <row r="2961" customFormat="false" ht="12.75" hidden="false" customHeight="true" outlineLevel="0" collapsed="false">
      <c r="A2961" s="1" t="s">
        <v>1901</v>
      </c>
    </row>
    <row r="2962" customFormat="false" ht="12.75" hidden="false" customHeight="true" outlineLevel="0" collapsed="false">
      <c r="A2962" s="1" t="s">
        <v>2097</v>
      </c>
    </row>
    <row r="2963" customFormat="false" ht="12.75" hidden="false" customHeight="true" outlineLevel="0" collapsed="false">
      <c r="A2963" s="1" t="s">
        <v>1349</v>
      </c>
    </row>
    <row r="2964" customFormat="false" ht="12.75" hidden="false" customHeight="true" outlineLevel="0" collapsed="false">
      <c r="A2964" s="1" t="s">
        <v>1819</v>
      </c>
    </row>
    <row r="2965" customFormat="false" ht="12.75" hidden="false" customHeight="true" outlineLevel="0" collapsed="false"/>
    <row r="2966" customFormat="false" ht="12.75" hidden="false" customHeight="true" outlineLevel="0" collapsed="false">
      <c r="A2966" s="1" t="s">
        <v>1268</v>
      </c>
    </row>
    <row r="2967" customFormat="false" ht="12.75" hidden="false" customHeight="true" outlineLevel="0" collapsed="false">
      <c r="A2967" s="1" t="s">
        <v>1903</v>
      </c>
    </row>
    <row r="2968" customFormat="false" ht="12.75" hidden="false" customHeight="true" outlineLevel="0" collapsed="false">
      <c r="A2968" s="1" t="s">
        <v>1454</v>
      </c>
    </row>
    <row r="2969" customFormat="false" ht="12.75" hidden="false" customHeight="true" outlineLevel="0" collapsed="false">
      <c r="A2969" s="1" t="s">
        <v>1925</v>
      </c>
    </row>
    <row r="2970" customFormat="false" ht="12.75" hidden="false" customHeight="true" outlineLevel="0" collapsed="false"/>
    <row r="2971" customFormat="false" ht="12.75" hidden="false" customHeight="true" outlineLevel="0" collapsed="false">
      <c r="A2971" s="1" t="s">
        <v>1272</v>
      </c>
    </row>
    <row r="2972" customFormat="false" ht="12.75" hidden="false" customHeight="true" outlineLevel="0" collapsed="false">
      <c r="A2972" s="1" t="s">
        <v>1905</v>
      </c>
    </row>
    <row r="2973" customFormat="false" ht="12.75" hidden="false" customHeight="true" outlineLevel="0" collapsed="false">
      <c r="A2973" s="1" t="s">
        <v>1823</v>
      </c>
    </row>
    <row r="2974" customFormat="false" ht="12.75" hidden="false" customHeight="true" outlineLevel="0" collapsed="false">
      <c r="A2974" s="1" t="s">
        <v>1926</v>
      </c>
    </row>
    <row r="2975" customFormat="false" ht="12.75" hidden="false" customHeight="true" outlineLevel="0" collapsed="false">
      <c r="A2975" s="1" t="s">
        <v>1825</v>
      </c>
    </row>
    <row r="2976" customFormat="false" ht="12.75" hidden="false" customHeight="true" outlineLevel="0" collapsed="false">
      <c r="A2976" s="1" t="s">
        <v>2098</v>
      </c>
    </row>
    <row r="2977" customFormat="false" ht="12.75" hidden="false" customHeight="true" outlineLevel="0" collapsed="false">
      <c r="A2977" s="1" t="s">
        <v>2099</v>
      </c>
    </row>
    <row r="2978" customFormat="false" ht="12.75" hidden="false" customHeight="true" outlineLevel="0" collapsed="false">
      <c r="A2978" s="1" t="s">
        <v>1842</v>
      </c>
    </row>
    <row r="2979" customFormat="false" ht="12.75" hidden="false" customHeight="true" outlineLevel="0" collapsed="false">
      <c r="A2979" s="1" t="s">
        <v>1347</v>
      </c>
    </row>
    <row r="2980" customFormat="false" ht="12.75" hidden="false" customHeight="true" outlineLevel="0" collapsed="false">
      <c r="A2980" s="1" t="s">
        <v>1346</v>
      </c>
    </row>
    <row r="2981" customFormat="false" ht="12.75" hidden="false" customHeight="true" outlineLevel="0" collapsed="false">
      <c r="A2981" s="1" t="s">
        <v>2100</v>
      </c>
    </row>
    <row r="2982" customFormat="false" ht="12.75" hidden="false" customHeight="true" outlineLevel="0" collapsed="false">
      <c r="A2982" s="1" t="s">
        <v>1349</v>
      </c>
    </row>
    <row r="2983" customFormat="false" ht="12.75" hidden="false" customHeight="true" outlineLevel="0" collapsed="false">
      <c r="A2983" s="1" t="s">
        <v>1350</v>
      </c>
    </row>
    <row r="2984" customFormat="false" ht="12.75" hidden="false" customHeight="true" outlineLevel="0" collapsed="false"/>
    <row r="2985" customFormat="false" ht="12.75" hidden="false" customHeight="true" outlineLevel="0" collapsed="false">
      <c r="A2985" s="1" t="s">
        <v>1268</v>
      </c>
    </row>
    <row r="2986" customFormat="false" ht="12.75" hidden="false" customHeight="true" outlineLevel="0" collapsed="false">
      <c r="A2986" s="1" t="s">
        <v>2043</v>
      </c>
    </row>
    <row r="2987" customFormat="false" ht="12.75" hidden="false" customHeight="true" outlineLevel="0" collapsed="false">
      <c r="A2987" s="1" t="s">
        <v>2044</v>
      </c>
    </row>
    <row r="2988" customFormat="false" ht="12.75" hidden="false" customHeight="true" outlineLevel="0" collapsed="false">
      <c r="A2988" s="1" t="s">
        <v>2045</v>
      </c>
    </row>
    <row r="2989" customFormat="false" ht="12.75" hidden="false" customHeight="true" outlineLevel="0" collapsed="false"/>
    <row r="2990" customFormat="false" ht="12.75" hidden="false" customHeight="true" outlineLevel="0" collapsed="false">
      <c r="A2990" s="1" t="s">
        <v>1272</v>
      </c>
    </row>
    <row r="2991" customFormat="false" ht="12.75" hidden="false" customHeight="true" outlineLevel="0" collapsed="false">
      <c r="A2991" s="1" t="s">
        <v>2046</v>
      </c>
    </row>
    <row r="2992" customFormat="false" ht="12.75" hidden="false" customHeight="true" outlineLevel="0" collapsed="false">
      <c r="A2992" s="1" t="s">
        <v>1823</v>
      </c>
    </row>
    <row r="2993" customFormat="false" ht="12.75" hidden="false" customHeight="true" outlineLevel="0" collapsed="false">
      <c r="A2993" s="1" t="s">
        <v>2047</v>
      </c>
    </row>
    <row r="2994" customFormat="false" ht="12.75" hidden="false" customHeight="true" outlineLevel="0" collapsed="false">
      <c r="A2994" s="1" t="s">
        <v>1846</v>
      </c>
    </row>
    <row r="2995" customFormat="false" ht="12.75" hidden="false" customHeight="true" outlineLevel="0" collapsed="false">
      <c r="A2995" s="1" t="s">
        <v>1847</v>
      </c>
    </row>
    <row r="2996" customFormat="false" ht="12.75" hidden="false" customHeight="true" outlineLevel="0" collapsed="false">
      <c r="A2996" s="1" t="s">
        <v>2101</v>
      </c>
    </row>
    <row r="2997" customFormat="false" ht="12.75" hidden="false" customHeight="true" outlineLevel="0" collapsed="false">
      <c r="A2997" s="1" t="s">
        <v>1817</v>
      </c>
    </row>
    <row r="2998" customFormat="false" ht="12.75" hidden="false" customHeight="true" outlineLevel="0" collapsed="false">
      <c r="A2998" s="1" t="s">
        <v>1818</v>
      </c>
    </row>
    <row r="2999" customFormat="false" ht="12.75" hidden="false" customHeight="true" outlineLevel="0" collapsed="false">
      <c r="A2999" s="1" t="s">
        <v>1347</v>
      </c>
    </row>
    <row r="3000" customFormat="false" ht="12.75" hidden="false" customHeight="true" outlineLevel="0" collapsed="false">
      <c r="A3000" s="1" t="s">
        <v>2102</v>
      </c>
    </row>
    <row r="3001" customFormat="false" ht="12.75" hidden="false" customHeight="true" outlineLevel="0" collapsed="false">
      <c r="A3001" s="1" t="s">
        <v>1349</v>
      </c>
    </row>
    <row r="3002" customFormat="false" ht="12.75" hidden="false" customHeight="true" outlineLevel="0" collapsed="false">
      <c r="A3002" s="1" t="s">
        <v>1819</v>
      </c>
    </row>
    <row r="3003" customFormat="false" ht="12.75" hidden="false" customHeight="true" outlineLevel="0" collapsed="false"/>
    <row r="3004" customFormat="false" ht="12.75" hidden="false" customHeight="true" outlineLevel="0" collapsed="false">
      <c r="A3004" s="1" t="s">
        <v>1268</v>
      </c>
    </row>
    <row r="3005" customFormat="false" ht="12.75" hidden="false" customHeight="true" outlineLevel="0" collapsed="false">
      <c r="A3005" s="1" t="s">
        <v>1820</v>
      </c>
    </row>
    <row r="3006" customFormat="false" ht="12.75" hidden="false" customHeight="true" outlineLevel="0" collapsed="false">
      <c r="A3006" s="1" t="s">
        <v>1454</v>
      </c>
    </row>
    <row r="3007" customFormat="false" ht="12.75" hidden="false" customHeight="true" outlineLevel="0" collapsed="false">
      <c r="A3007" s="1" t="s">
        <v>1821</v>
      </c>
    </row>
    <row r="3008" customFormat="false" ht="12.75" hidden="false" customHeight="true" outlineLevel="0" collapsed="false"/>
    <row r="3009" customFormat="false" ht="12.75" hidden="false" customHeight="true" outlineLevel="0" collapsed="false">
      <c r="A3009" s="1" t="s">
        <v>1272</v>
      </c>
    </row>
    <row r="3010" customFormat="false" ht="12.75" hidden="false" customHeight="true" outlineLevel="0" collapsed="false">
      <c r="A3010" s="1" t="s">
        <v>1822</v>
      </c>
    </row>
    <row r="3011" customFormat="false" ht="12.75" hidden="false" customHeight="true" outlineLevel="0" collapsed="false">
      <c r="A3011" s="1" t="s">
        <v>1823</v>
      </c>
    </row>
    <row r="3012" customFormat="false" ht="12.75" hidden="false" customHeight="true" outlineLevel="0" collapsed="false">
      <c r="A3012" s="1" t="s">
        <v>1824</v>
      </c>
    </row>
    <row r="3013" customFormat="false" ht="12.75" hidden="false" customHeight="true" outlineLevel="0" collapsed="false">
      <c r="A3013" s="1" t="s">
        <v>1825</v>
      </c>
    </row>
    <row r="3014" customFormat="false" ht="12.75" hidden="false" customHeight="true" outlineLevel="0" collapsed="false">
      <c r="A3014" s="1" t="s">
        <v>1826</v>
      </c>
    </row>
    <row r="3015" customFormat="false" ht="12.75" hidden="false" customHeight="true" outlineLevel="0" collapsed="false">
      <c r="A3015" s="1" t="s">
        <v>2103</v>
      </c>
    </row>
    <row r="3016" customFormat="false" ht="12.75" hidden="false" customHeight="true" outlineLevel="0" collapsed="false">
      <c r="A3016" s="1" t="s">
        <v>1900</v>
      </c>
    </row>
    <row r="3017" customFormat="false" ht="12.75" hidden="false" customHeight="true" outlineLevel="0" collapsed="false">
      <c r="A3017" s="1" t="s">
        <v>1449</v>
      </c>
    </row>
    <row r="3018" customFormat="false" ht="12.75" hidden="false" customHeight="true" outlineLevel="0" collapsed="false">
      <c r="A3018" s="1" t="s">
        <v>1901</v>
      </c>
    </row>
    <row r="3019" customFormat="false" ht="12.75" hidden="false" customHeight="true" outlineLevel="0" collapsed="false">
      <c r="A3019" s="1" t="s">
        <v>2097</v>
      </c>
    </row>
    <row r="3020" customFormat="false" ht="12.75" hidden="false" customHeight="true" outlineLevel="0" collapsed="false">
      <c r="A3020" s="1" t="s">
        <v>1349</v>
      </c>
    </row>
    <row r="3021" customFormat="false" ht="12.75" hidden="false" customHeight="true" outlineLevel="0" collapsed="false">
      <c r="A3021" s="1" t="s">
        <v>1819</v>
      </c>
    </row>
    <row r="3022" customFormat="false" ht="12.75" hidden="false" customHeight="true" outlineLevel="0" collapsed="false"/>
    <row r="3023" customFormat="false" ht="12.75" hidden="false" customHeight="true" outlineLevel="0" collapsed="false">
      <c r="A3023" s="1" t="s">
        <v>1268</v>
      </c>
    </row>
    <row r="3024" customFormat="false" ht="12.75" hidden="false" customHeight="true" outlineLevel="0" collapsed="false">
      <c r="A3024" s="1" t="s">
        <v>1903</v>
      </c>
    </row>
    <row r="3025" customFormat="false" ht="12.75" hidden="false" customHeight="true" outlineLevel="0" collapsed="false">
      <c r="A3025" s="1" t="s">
        <v>1924</v>
      </c>
    </row>
    <row r="3026" customFormat="false" ht="12.75" hidden="false" customHeight="true" outlineLevel="0" collapsed="false">
      <c r="A3026" s="1" t="s">
        <v>1925</v>
      </c>
    </row>
    <row r="3027" customFormat="false" ht="12.75" hidden="false" customHeight="true" outlineLevel="0" collapsed="false"/>
    <row r="3028" customFormat="false" ht="12.75" hidden="false" customHeight="true" outlineLevel="0" collapsed="false">
      <c r="A3028" s="1" t="s">
        <v>1272</v>
      </c>
    </row>
    <row r="3029" customFormat="false" ht="12.75" hidden="false" customHeight="true" outlineLevel="0" collapsed="false">
      <c r="A3029" s="1" t="s">
        <v>1453</v>
      </c>
    </row>
    <row r="3030" customFormat="false" ht="12.75" hidden="false" customHeight="true" outlineLevel="0" collapsed="false">
      <c r="A3030" s="1" t="s">
        <v>1823</v>
      </c>
    </row>
    <row r="3031" customFormat="false" ht="12.75" hidden="false" customHeight="true" outlineLevel="0" collapsed="false">
      <c r="A3031" s="1" t="s">
        <v>1926</v>
      </c>
    </row>
    <row r="3032" customFormat="false" ht="12.75" hidden="false" customHeight="true" outlineLevel="0" collapsed="false">
      <c r="A3032" s="1" t="s">
        <v>1927</v>
      </c>
    </row>
    <row r="3033" customFormat="false" ht="12.75" hidden="false" customHeight="true" outlineLevel="0" collapsed="false">
      <c r="A3033" s="1" t="s">
        <v>1928</v>
      </c>
    </row>
    <row r="3034" customFormat="false" ht="12.75" hidden="false" customHeight="true" outlineLevel="0" collapsed="false">
      <c r="A3034" s="1" t="s">
        <v>2104</v>
      </c>
    </row>
    <row r="3035" customFormat="false" ht="12.75" hidden="false" customHeight="true" outlineLevel="0" collapsed="false">
      <c r="A3035" s="1" t="s">
        <v>1842</v>
      </c>
    </row>
    <row r="3036" customFormat="false" ht="12.75" hidden="false" customHeight="true" outlineLevel="0" collapsed="false">
      <c r="A3036" s="1" t="s">
        <v>2105</v>
      </c>
    </row>
    <row r="3037" customFormat="false" ht="12.75" hidden="false" customHeight="true" outlineLevel="0" collapsed="false">
      <c r="A3037" s="1" t="s">
        <v>1347</v>
      </c>
    </row>
    <row r="3038" customFormat="false" ht="12.75" hidden="false" customHeight="true" outlineLevel="0" collapsed="false">
      <c r="A3038" s="1" t="s">
        <v>2106</v>
      </c>
    </row>
    <row r="3039" customFormat="false" ht="12.75" hidden="false" customHeight="true" outlineLevel="0" collapsed="false">
      <c r="A3039" s="1" t="s">
        <v>1349</v>
      </c>
    </row>
    <row r="3040" customFormat="false" ht="12.75" hidden="false" customHeight="true" outlineLevel="0" collapsed="false">
      <c r="A3040" s="1" t="s">
        <v>2107</v>
      </c>
    </row>
    <row r="3041" customFormat="false" ht="12.75" hidden="false" customHeight="true" outlineLevel="0" collapsed="false"/>
    <row r="3042" customFormat="false" ht="12.75" hidden="false" customHeight="true" outlineLevel="0" collapsed="false">
      <c r="A3042" s="1" t="s">
        <v>1268</v>
      </c>
    </row>
    <row r="3043" customFormat="false" ht="12.75" hidden="false" customHeight="true" outlineLevel="0" collapsed="false">
      <c r="A3043" s="1" t="s">
        <v>2043</v>
      </c>
    </row>
    <row r="3044" customFormat="false" ht="12.75" hidden="false" customHeight="true" outlineLevel="0" collapsed="false">
      <c r="A3044" s="1" t="s">
        <v>2044</v>
      </c>
    </row>
    <row r="3045" customFormat="false" ht="12.75" hidden="false" customHeight="true" outlineLevel="0" collapsed="false">
      <c r="A3045" s="1" t="s">
        <v>2108</v>
      </c>
    </row>
    <row r="3046" customFormat="false" ht="12.75" hidden="false" customHeight="true" outlineLevel="0" collapsed="false"/>
    <row r="3047" customFormat="false" ht="12.75" hidden="false" customHeight="true" outlineLevel="0" collapsed="false">
      <c r="A3047" s="1" t="s">
        <v>1272</v>
      </c>
    </row>
    <row r="3048" customFormat="false" ht="12.75" hidden="false" customHeight="true" outlineLevel="0" collapsed="false">
      <c r="A3048" s="1" t="s">
        <v>1823</v>
      </c>
    </row>
    <row r="3049" customFormat="false" ht="12.75" hidden="false" customHeight="true" outlineLevel="0" collapsed="false">
      <c r="A3049" s="1" t="s">
        <v>2109</v>
      </c>
    </row>
    <row r="3050" customFormat="false" ht="12.75" hidden="false" customHeight="true" outlineLevel="0" collapsed="false">
      <c r="A3050" s="1" t="s">
        <v>2110</v>
      </c>
    </row>
    <row r="3051" customFormat="false" ht="12.75" hidden="false" customHeight="true" outlineLevel="0" collapsed="false">
      <c r="A3051" s="1" t="s">
        <v>2111</v>
      </c>
    </row>
    <row r="3052" customFormat="false" ht="12.75" hidden="false" customHeight="true" outlineLevel="0" collapsed="false">
      <c r="A3052" s="1" t="s">
        <v>2112</v>
      </c>
    </row>
    <row r="3053" customFormat="false" ht="12.75" hidden="false" customHeight="true" outlineLevel="0" collapsed="false">
      <c r="A3053" s="1" t="s">
        <v>2113</v>
      </c>
    </row>
    <row r="3054" customFormat="false" ht="12.75" hidden="false" customHeight="true" outlineLevel="0" collapsed="false">
      <c r="A3054" s="1" t="s">
        <v>1817</v>
      </c>
    </row>
    <row r="3055" customFormat="false" ht="12.75" hidden="false" customHeight="true" outlineLevel="0" collapsed="false">
      <c r="A3055" s="1" t="s">
        <v>1818</v>
      </c>
    </row>
    <row r="3056" customFormat="false" ht="12.75" hidden="false" customHeight="true" outlineLevel="0" collapsed="false">
      <c r="A3056" s="1" t="s">
        <v>1347</v>
      </c>
    </row>
    <row r="3057" customFormat="false" ht="12.75" hidden="false" customHeight="true" outlineLevel="0" collapsed="false">
      <c r="A3057" s="1" t="s">
        <v>2102</v>
      </c>
    </row>
    <row r="3058" customFormat="false" ht="12.75" hidden="false" customHeight="true" outlineLevel="0" collapsed="false">
      <c r="A3058" s="1" t="s">
        <v>2114</v>
      </c>
    </row>
    <row r="3059" customFormat="false" ht="12.75" hidden="false" customHeight="true" outlineLevel="0" collapsed="false">
      <c r="A3059" s="1" t="s">
        <v>1350</v>
      </c>
    </row>
    <row r="3060" customFormat="false" ht="12.75" hidden="false" customHeight="true" outlineLevel="0" collapsed="false"/>
    <row r="3061" customFormat="false" ht="12.75" hidden="false" customHeight="true" outlineLevel="0" collapsed="false">
      <c r="A3061" s="1" t="s">
        <v>1268</v>
      </c>
    </row>
    <row r="3062" customFormat="false" ht="12.75" hidden="false" customHeight="true" outlineLevel="0" collapsed="false">
      <c r="A3062" s="1" t="s">
        <v>2115</v>
      </c>
    </row>
    <row r="3063" customFormat="false" ht="12.75" hidden="false" customHeight="true" outlineLevel="0" collapsed="false">
      <c r="A3063" s="1" t="s">
        <v>1352</v>
      </c>
    </row>
    <row r="3064" customFormat="false" ht="12.75" hidden="false" customHeight="true" outlineLevel="0" collapsed="false">
      <c r="A3064" s="1" t="s">
        <v>1353</v>
      </c>
    </row>
    <row r="3065" customFormat="false" ht="12.75" hidden="false" customHeight="true" outlineLevel="0" collapsed="false"/>
    <row r="3066" customFormat="false" ht="12.75" hidden="false" customHeight="true" outlineLevel="0" collapsed="false">
      <c r="A3066" s="1" t="s">
        <v>1272</v>
      </c>
    </row>
    <row r="3067" customFormat="false" ht="12.75" hidden="false" customHeight="true" outlineLevel="0" collapsed="false">
      <c r="A3067" s="1" t="s">
        <v>1354</v>
      </c>
    </row>
    <row r="3068" customFormat="false" ht="12.75" hidden="false" customHeight="true" outlineLevel="0" collapsed="false">
      <c r="A3068" s="1" t="s">
        <v>2116</v>
      </c>
    </row>
    <row r="3069" customFormat="false" ht="12.75" hidden="false" customHeight="true" outlineLevel="0" collapsed="false">
      <c r="A3069" s="1" t="s">
        <v>2117</v>
      </c>
    </row>
    <row r="3070" customFormat="false" ht="12.75" hidden="false" customHeight="true" outlineLevel="0" collapsed="false">
      <c r="A3070" s="1" t="s">
        <v>1846</v>
      </c>
    </row>
    <row r="3071" customFormat="false" ht="12.75" hidden="false" customHeight="true" outlineLevel="0" collapsed="false">
      <c r="A3071" s="1" t="s">
        <v>2118</v>
      </c>
    </row>
    <row r="3072" customFormat="false" ht="12.75" hidden="false" customHeight="true" outlineLevel="0" collapsed="false">
      <c r="A3072" s="1" t="s">
        <v>2119</v>
      </c>
    </row>
    <row r="3073" customFormat="false" ht="12.75" hidden="false" customHeight="true" outlineLevel="0" collapsed="false">
      <c r="A3073" s="1" t="s">
        <v>1449</v>
      </c>
    </row>
    <row r="3074" customFormat="false" ht="12.75" hidden="false" customHeight="true" outlineLevel="0" collapsed="false">
      <c r="A3074" s="1" t="s">
        <v>1439</v>
      </c>
    </row>
    <row r="3075" customFormat="false" ht="12.75" hidden="false" customHeight="true" outlineLevel="0" collapsed="false">
      <c r="A3075" s="1" t="s">
        <v>2120</v>
      </c>
    </row>
    <row r="3076" customFormat="false" ht="12.75" hidden="false" customHeight="true" outlineLevel="0" collapsed="false">
      <c r="A3076" s="1" t="s">
        <v>2121</v>
      </c>
    </row>
    <row r="3077" customFormat="false" ht="12.75" hidden="false" customHeight="true" outlineLevel="0" collapsed="false">
      <c r="A3077" s="1" t="s">
        <v>2122</v>
      </c>
    </row>
    <row r="3078" customFormat="false" ht="12.75" hidden="false" customHeight="true" outlineLevel="0" collapsed="false">
      <c r="A3078" s="1" t="s">
        <v>2123</v>
      </c>
    </row>
    <row r="3079" customFormat="false" ht="12.75" hidden="false" customHeight="true" outlineLevel="0" collapsed="false"/>
    <row r="3080" customFormat="false" ht="12.75" hidden="false" customHeight="true" outlineLevel="0" collapsed="false">
      <c r="A3080" s="1" t="s">
        <v>1268</v>
      </c>
    </row>
    <row r="3081" customFormat="false" ht="12.75" hidden="false" customHeight="true" outlineLevel="0" collapsed="false">
      <c r="A3081" s="1" t="s">
        <v>2124</v>
      </c>
    </row>
    <row r="3082" customFormat="false" ht="12.75" hidden="false" customHeight="true" outlineLevel="0" collapsed="false">
      <c r="A3082" s="1" t="s">
        <v>2125</v>
      </c>
    </row>
    <row r="3083" customFormat="false" ht="12.75" hidden="false" customHeight="true" outlineLevel="0" collapsed="false">
      <c r="A3083" s="1" t="s">
        <v>2126</v>
      </c>
    </row>
    <row r="3084" customFormat="false" ht="12.75" hidden="false" customHeight="true" outlineLevel="0" collapsed="false"/>
    <row r="3085" customFormat="false" ht="12.75" hidden="false" customHeight="true" outlineLevel="0" collapsed="false">
      <c r="A3085" s="1" t="s">
        <v>1272</v>
      </c>
    </row>
    <row r="3086" customFormat="false" ht="12.75" hidden="false" customHeight="true" outlineLevel="0" collapsed="false">
      <c r="A3086" s="1" t="s">
        <v>2127</v>
      </c>
    </row>
    <row r="3087" customFormat="false" ht="12.75" hidden="false" customHeight="true" outlineLevel="0" collapsed="false">
      <c r="A3087" s="1" t="s">
        <v>2128</v>
      </c>
    </row>
    <row r="3088" customFormat="false" ht="12.75" hidden="false" customHeight="true" outlineLevel="0" collapsed="false">
      <c r="A3088" s="1" t="s">
        <v>2129</v>
      </c>
    </row>
    <row r="3089" customFormat="false" ht="12.75" hidden="false" customHeight="true" outlineLevel="0" collapsed="false">
      <c r="A3089" s="1" t="s">
        <v>2130</v>
      </c>
    </row>
    <row r="3090" customFormat="false" ht="12.75" hidden="false" customHeight="true" outlineLevel="0" collapsed="false">
      <c r="A3090" s="1" t="s">
        <v>2131</v>
      </c>
    </row>
    <row r="3091" customFormat="false" ht="12.75" hidden="false" customHeight="true" outlineLevel="0" collapsed="false">
      <c r="A3091" s="1" t="s">
        <v>2132</v>
      </c>
    </row>
    <row r="3092" customFormat="false" ht="12.75" hidden="false" customHeight="true" outlineLevel="0" collapsed="false">
      <c r="A3092" s="1" t="s">
        <v>1619</v>
      </c>
    </row>
    <row r="3093" customFormat="false" ht="12.75" hidden="false" customHeight="true" outlineLevel="0" collapsed="false">
      <c r="A3093" s="1" t="s">
        <v>1677</v>
      </c>
    </row>
    <row r="3094" customFormat="false" ht="12.75" hidden="false" customHeight="true" outlineLevel="0" collapsed="false">
      <c r="A3094" s="1" t="s">
        <v>1678</v>
      </c>
    </row>
    <row r="3095" customFormat="false" ht="12.75" hidden="false" customHeight="true" outlineLevel="0" collapsed="false">
      <c r="A3095" s="1" t="s">
        <v>2133</v>
      </c>
    </row>
    <row r="3096" customFormat="false" ht="12.75" hidden="false" customHeight="true" outlineLevel="0" collapsed="false">
      <c r="A3096" s="1" t="s">
        <v>1266</v>
      </c>
    </row>
    <row r="3097" customFormat="false" ht="12.75" hidden="false" customHeight="true" outlineLevel="0" collapsed="false">
      <c r="A3097" s="1" t="s">
        <v>1267</v>
      </c>
    </row>
    <row r="3098" customFormat="false" ht="12.75" hidden="false" customHeight="true" outlineLevel="0" collapsed="false"/>
    <row r="3099" customFormat="false" ht="12.75" hidden="false" customHeight="true" outlineLevel="0" collapsed="false">
      <c r="A3099" s="1" t="s">
        <v>1268</v>
      </c>
    </row>
    <row r="3100" customFormat="false" ht="12.75" hidden="false" customHeight="true" outlineLevel="0" collapsed="false">
      <c r="A3100" s="1" t="s">
        <v>1269</v>
      </c>
    </row>
    <row r="3101" customFormat="false" ht="12.75" hidden="false" customHeight="true" outlineLevel="0" collapsed="false">
      <c r="A3101" s="1" t="s">
        <v>1270</v>
      </c>
    </row>
    <row r="3102" customFormat="false" ht="12.75" hidden="false" customHeight="true" outlineLevel="0" collapsed="false">
      <c r="A3102" s="1" t="s">
        <v>1269</v>
      </c>
    </row>
    <row r="3103" customFormat="false" ht="12.75" hidden="false" customHeight="true" outlineLevel="0" collapsed="false"/>
    <row r="3104" customFormat="false" ht="12.75" hidden="false" customHeight="true" outlineLevel="0" collapsed="false">
      <c r="A3104" s="1" t="s">
        <v>1272</v>
      </c>
    </row>
    <row r="3105" customFormat="false" ht="12.75" hidden="false" customHeight="true" outlineLevel="0" collapsed="false">
      <c r="A3105" s="1" t="s">
        <v>1273</v>
      </c>
    </row>
    <row r="3106" customFormat="false" ht="12.75" hidden="false" customHeight="true" outlineLevel="0" collapsed="false">
      <c r="A3106" s="1" t="s">
        <v>1274</v>
      </c>
    </row>
    <row r="3107" customFormat="false" ht="12.75" hidden="false" customHeight="true" outlineLevel="0" collapsed="false">
      <c r="A3107" s="1" t="s">
        <v>1275</v>
      </c>
    </row>
    <row r="3108" customFormat="false" ht="12.75" hidden="false" customHeight="true" outlineLevel="0" collapsed="false">
      <c r="A3108" s="1" t="s">
        <v>1623</v>
      </c>
    </row>
    <row r="3109" customFormat="false" ht="12.75" hidden="false" customHeight="true" outlineLevel="0" collapsed="false">
      <c r="A3109" s="1" t="s">
        <v>1277</v>
      </c>
    </row>
    <row r="3110" customFormat="false" ht="12.75" hidden="false" customHeight="true" outlineLevel="0" collapsed="false">
      <c r="A3110" s="1" t="s">
        <v>2134</v>
      </c>
    </row>
    <row r="3111" customFormat="false" ht="12.75" hidden="false" customHeight="true" outlineLevel="0" collapsed="false">
      <c r="A3111" s="1" t="s">
        <v>1602</v>
      </c>
    </row>
    <row r="3112" customFormat="false" ht="12.75" hidden="false" customHeight="true" outlineLevel="0" collapsed="false">
      <c r="A3112" s="1" t="s">
        <v>1754</v>
      </c>
    </row>
    <row r="3113" customFormat="false" ht="12.75" hidden="false" customHeight="true" outlineLevel="0" collapsed="false">
      <c r="A3113" s="1" t="s">
        <v>1754</v>
      </c>
    </row>
    <row r="3114" customFormat="false" ht="12.75" hidden="false" customHeight="true" outlineLevel="0" collapsed="false">
      <c r="A3114" s="1" t="s">
        <v>2135</v>
      </c>
    </row>
    <row r="3115" customFormat="false" ht="12.75" hidden="false" customHeight="true" outlineLevel="0" collapsed="false">
      <c r="A3115" s="1" t="s">
        <v>1266</v>
      </c>
    </row>
    <row r="3116" customFormat="false" ht="12.75" hidden="false" customHeight="true" outlineLevel="0" collapsed="false">
      <c r="A3116" s="1" t="s">
        <v>1267</v>
      </c>
    </row>
    <row r="3117" customFormat="false" ht="12.75" hidden="false" customHeight="true" outlineLevel="0" collapsed="false"/>
    <row r="3118" customFormat="false" ht="12.75" hidden="false" customHeight="true" outlineLevel="0" collapsed="false">
      <c r="A3118" s="1" t="s">
        <v>1268</v>
      </c>
    </row>
    <row r="3119" customFormat="false" ht="12.75" hidden="false" customHeight="true" outlineLevel="0" collapsed="false">
      <c r="A3119" s="1" t="s">
        <v>1586</v>
      </c>
    </row>
    <row r="3120" customFormat="false" ht="12.75" hidden="false" customHeight="true" outlineLevel="0" collapsed="false">
      <c r="A3120" s="1" t="s">
        <v>1270</v>
      </c>
    </row>
    <row r="3121" customFormat="false" ht="12.75" hidden="false" customHeight="true" outlineLevel="0" collapsed="false">
      <c r="A3121" s="1" t="s">
        <v>1585</v>
      </c>
    </row>
    <row r="3122" customFormat="false" ht="12.75" hidden="false" customHeight="true" outlineLevel="0" collapsed="false"/>
    <row r="3123" customFormat="false" ht="12.75" hidden="false" customHeight="true" outlineLevel="0" collapsed="false">
      <c r="A3123" s="1" t="s">
        <v>1272</v>
      </c>
    </row>
    <row r="3124" customFormat="false" ht="12.75" hidden="false" customHeight="true" outlineLevel="0" collapsed="false">
      <c r="A3124" s="1" t="s">
        <v>1606</v>
      </c>
    </row>
    <row r="3125" customFormat="false" ht="12.75" hidden="false" customHeight="true" outlineLevel="0" collapsed="false">
      <c r="A3125" s="1" t="s">
        <v>1607</v>
      </c>
    </row>
    <row r="3126" customFormat="false" ht="12.75" hidden="false" customHeight="true" outlineLevel="0" collapsed="false">
      <c r="A3126" s="1" t="s">
        <v>1275</v>
      </c>
    </row>
    <row r="3127" customFormat="false" ht="12.75" hidden="false" customHeight="true" outlineLevel="0" collapsed="false">
      <c r="A3127" s="1" t="s">
        <v>1589</v>
      </c>
    </row>
    <row r="3128" customFormat="false" ht="12.75" hidden="false" customHeight="true" outlineLevel="0" collapsed="false">
      <c r="A3128" s="1" t="s">
        <v>1277</v>
      </c>
    </row>
    <row r="3129" customFormat="false" ht="12.75" hidden="false" customHeight="true" outlineLevel="0" collapsed="false">
      <c r="A3129" s="1" t="s">
        <v>2136</v>
      </c>
    </row>
    <row r="3130" customFormat="false" ht="12.75" hidden="false" customHeight="true" outlineLevel="0" collapsed="false">
      <c r="A3130" s="1" t="s">
        <v>1711</v>
      </c>
    </row>
    <row r="3131" customFormat="false" ht="12.75" hidden="false" customHeight="true" outlineLevel="0" collapsed="false">
      <c r="A3131" s="1" t="s">
        <v>1677</v>
      </c>
    </row>
    <row r="3132" customFormat="false" ht="12.75" hidden="false" customHeight="true" outlineLevel="0" collapsed="false">
      <c r="A3132" s="1" t="s">
        <v>1678</v>
      </c>
    </row>
    <row r="3133" customFormat="false" ht="12.75" hidden="false" customHeight="true" outlineLevel="0" collapsed="false">
      <c r="A3133" s="1" t="s">
        <v>2133</v>
      </c>
    </row>
    <row r="3134" customFormat="false" ht="12.75" hidden="false" customHeight="true" outlineLevel="0" collapsed="false">
      <c r="A3134" s="1" t="s">
        <v>1266</v>
      </c>
    </row>
    <row r="3135" customFormat="false" ht="12.75" hidden="false" customHeight="true" outlineLevel="0" collapsed="false">
      <c r="A3135" s="1" t="s">
        <v>1267</v>
      </c>
    </row>
    <row r="3136" customFormat="false" ht="12.75" hidden="false" customHeight="true" outlineLevel="0" collapsed="false"/>
    <row r="3137" customFormat="false" ht="12.75" hidden="false" customHeight="true" outlineLevel="0" collapsed="false">
      <c r="A3137" s="1" t="s">
        <v>1268</v>
      </c>
    </row>
    <row r="3138" customFormat="false" ht="12.75" hidden="false" customHeight="true" outlineLevel="0" collapsed="false">
      <c r="A3138" s="1" t="s">
        <v>1269</v>
      </c>
    </row>
    <row r="3139" customFormat="false" ht="12.75" hidden="false" customHeight="true" outlineLevel="0" collapsed="false">
      <c r="A3139" s="1" t="s">
        <v>1270</v>
      </c>
    </row>
    <row r="3140" customFormat="false" ht="12.75" hidden="false" customHeight="true" outlineLevel="0" collapsed="false">
      <c r="A3140" s="1" t="s">
        <v>1269</v>
      </c>
    </row>
    <row r="3141" customFormat="false" ht="12.75" hidden="false" customHeight="true" outlineLevel="0" collapsed="false"/>
    <row r="3142" customFormat="false" ht="12.75" hidden="false" customHeight="true" outlineLevel="0" collapsed="false">
      <c r="A3142" s="1" t="s">
        <v>1272</v>
      </c>
    </row>
    <row r="3143" customFormat="false" ht="12.75" hidden="false" customHeight="true" outlineLevel="0" collapsed="false">
      <c r="A3143" s="1" t="s">
        <v>1273</v>
      </c>
    </row>
    <row r="3144" customFormat="false" ht="12.75" hidden="false" customHeight="true" outlineLevel="0" collapsed="false">
      <c r="A3144" s="1" t="s">
        <v>1274</v>
      </c>
    </row>
    <row r="3145" customFormat="false" ht="12.75" hidden="false" customHeight="true" outlineLevel="0" collapsed="false">
      <c r="A3145" s="1" t="s">
        <v>1275</v>
      </c>
    </row>
    <row r="3146" customFormat="false" ht="12.75" hidden="false" customHeight="true" outlineLevel="0" collapsed="false">
      <c r="A3146" s="1" t="s">
        <v>1623</v>
      </c>
    </row>
    <row r="3147" customFormat="false" ht="12.75" hidden="false" customHeight="true" outlineLevel="0" collapsed="false">
      <c r="A3147" s="1" t="s">
        <v>1277</v>
      </c>
    </row>
    <row r="3148" customFormat="false" ht="12.75" hidden="false" customHeight="true" outlineLevel="0" collapsed="false">
      <c r="A3148" s="1" t="s">
        <v>2137</v>
      </c>
    </row>
    <row r="3149" customFormat="false" ht="12.75" hidden="false" customHeight="true" outlineLevel="0" collapsed="false">
      <c r="A3149" s="1" t="s">
        <v>2138</v>
      </c>
    </row>
    <row r="3150" customFormat="false" ht="12.75" hidden="false" customHeight="true" outlineLevel="0" collapsed="false">
      <c r="A3150" s="1" t="s">
        <v>2139</v>
      </c>
    </row>
    <row r="3151" customFormat="false" ht="12.75" hidden="false" customHeight="true" outlineLevel="0" collapsed="false"/>
    <row r="3152" customFormat="false" ht="12.75" hidden="false" customHeight="true" outlineLevel="0" collapsed="false">
      <c r="A3152" s="1" t="s">
        <v>1209</v>
      </c>
    </row>
    <row r="3153" customFormat="false" ht="12.75" hidden="false" customHeight="true" outlineLevel="0" collapsed="false">
      <c r="A3153" s="1" t="s">
        <v>2140</v>
      </c>
    </row>
    <row r="3154" customFormat="false" ht="12.75" hidden="false" customHeight="true" outlineLevel="0" collapsed="false">
      <c r="A3154" s="1" t="s">
        <v>2141</v>
      </c>
    </row>
    <row r="3155" customFormat="false" ht="12.75" hidden="false" customHeight="true" outlineLevel="0" collapsed="false">
      <c r="A3155" s="1" t="s">
        <v>2142</v>
      </c>
    </row>
    <row r="3156" customFormat="false" ht="12.75" hidden="false" customHeight="true" outlineLevel="0" collapsed="false">
      <c r="A3156" s="1" t="s">
        <v>2139</v>
      </c>
    </row>
    <row r="3157" customFormat="false" ht="12.75" hidden="false" customHeight="true" outlineLevel="0" collapsed="false"/>
    <row r="3158" customFormat="false" ht="12.75" hidden="false" customHeight="true" outlineLevel="0" collapsed="false">
      <c r="A3158" s="1" t="s">
        <v>1210</v>
      </c>
    </row>
    <row r="3159" customFormat="false" ht="12.75" hidden="false" customHeight="true" outlineLevel="0" collapsed="false">
      <c r="A3159" s="1" t="s">
        <v>2143</v>
      </c>
    </row>
    <row r="3160" customFormat="false" ht="12.75" hidden="false" customHeight="true" outlineLevel="0" collapsed="false">
      <c r="A3160" s="1" t="s">
        <v>2144</v>
      </c>
    </row>
    <row r="3161" customFormat="false" ht="12.75" hidden="false" customHeight="true" outlineLevel="0" collapsed="false"/>
    <row r="3162" customFormat="false" ht="12.75" hidden="false" customHeight="true" outlineLevel="0" collapsed="false">
      <c r="A3162" s="1" t="s">
        <v>1211</v>
      </c>
    </row>
    <row r="3163" customFormat="false" ht="12.75" hidden="false" customHeight="true" outlineLevel="0" collapsed="false">
      <c r="A3163" s="1" t="s">
        <v>2140</v>
      </c>
    </row>
    <row r="3164" customFormat="false" ht="12.75" hidden="false" customHeight="true" outlineLevel="0" collapsed="false">
      <c r="A3164" s="1" t="s">
        <v>2141</v>
      </c>
    </row>
    <row r="3165" customFormat="false" ht="12.75" hidden="false" customHeight="true" outlineLevel="0" collapsed="false"/>
    <row r="3166" customFormat="false" ht="12.75" hidden="false" customHeight="true" outlineLevel="0" collapsed="false">
      <c r="A3166" s="1" t="s">
        <v>1212</v>
      </c>
    </row>
    <row r="3167" customFormat="false" ht="12.75" hidden="false" customHeight="true" outlineLevel="0" collapsed="false">
      <c r="A3167" s="1" t="s">
        <v>2140</v>
      </c>
    </row>
    <row r="3168" customFormat="false" ht="12.75" hidden="false" customHeight="true" outlineLevel="0" collapsed="false">
      <c r="A3168" s="1" t="s">
        <v>2145</v>
      </c>
    </row>
    <row r="3169" customFormat="false" ht="12.75" hidden="false" customHeight="true" outlineLevel="0" collapsed="false">
      <c r="A3169" s="1" t="s">
        <v>2137</v>
      </c>
    </row>
    <row r="3170" customFormat="false" ht="12.75" hidden="false" customHeight="true" outlineLevel="0" collapsed="false">
      <c r="A3170" s="1" t="s">
        <v>2146</v>
      </c>
    </row>
    <row r="3171" customFormat="false" ht="12.75" hidden="false" customHeight="true" outlineLevel="0" collapsed="false">
      <c r="A3171" s="1" t="s">
        <v>2147</v>
      </c>
    </row>
    <row r="3172" customFormat="false" ht="12.75" hidden="false" customHeight="true" outlineLevel="0" collapsed="false"/>
    <row r="3173" customFormat="false" ht="12.75" hidden="false" customHeight="true" outlineLevel="0" collapsed="false">
      <c r="A3173" s="1" t="s">
        <v>1209</v>
      </c>
    </row>
    <row r="3174" customFormat="false" ht="12.75" hidden="false" customHeight="true" outlineLevel="0" collapsed="false">
      <c r="A3174" s="1" t="s">
        <v>2148</v>
      </c>
    </row>
    <row r="3175" customFormat="false" ht="12.75" hidden="false" customHeight="true" outlineLevel="0" collapsed="false">
      <c r="A3175" s="1" t="s">
        <v>2149</v>
      </c>
    </row>
    <row r="3176" customFormat="false" ht="12.75" hidden="false" customHeight="true" outlineLevel="0" collapsed="false">
      <c r="A3176" s="1" t="s">
        <v>2150</v>
      </c>
    </row>
    <row r="3177" customFormat="false" ht="12.75" hidden="false" customHeight="true" outlineLevel="0" collapsed="false">
      <c r="A3177" s="1" t="s">
        <v>2147</v>
      </c>
    </row>
    <row r="3178" customFormat="false" ht="12.75" hidden="false" customHeight="true" outlineLevel="0" collapsed="false"/>
    <row r="3179" customFormat="false" ht="12.75" hidden="false" customHeight="true" outlineLevel="0" collapsed="false">
      <c r="A3179" s="1" t="s">
        <v>1210</v>
      </c>
    </row>
    <row r="3180" customFormat="false" ht="12.75" hidden="false" customHeight="true" outlineLevel="0" collapsed="false">
      <c r="A3180" s="1" t="s">
        <v>2151</v>
      </c>
    </row>
    <row r="3181" customFormat="false" ht="12.75" hidden="false" customHeight="true" outlineLevel="0" collapsed="false">
      <c r="A3181" s="1" t="s">
        <v>2152</v>
      </c>
    </row>
    <row r="3182" customFormat="false" ht="12.75" hidden="false" customHeight="true" outlineLevel="0" collapsed="false"/>
    <row r="3183" customFormat="false" ht="12.75" hidden="false" customHeight="true" outlineLevel="0" collapsed="false">
      <c r="A3183" s="1" t="s">
        <v>1211</v>
      </c>
    </row>
    <row r="3184" customFormat="false" ht="12.75" hidden="false" customHeight="true" outlineLevel="0" collapsed="false">
      <c r="A3184" s="1" t="s">
        <v>2148</v>
      </c>
    </row>
    <row r="3185" customFormat="false" ht="12.75" hidden="false" customHeight="true" outlineLevel="0" collapsed="false">
      <c r="A3185" s="1" t="s">
        <v>2149</v>
      </c>
    </row>
    <row r="3186" customFormat="false" ht="12.75" hidden="false" customHeight="true" outlineLevel="0" collapsed="false"/>
    <row r="3187" customFormat="false" ht="12.75" hidden="false" customHeight="true" outlineLevel="0" collapsed="false">
      <c r="A3187" s="1" t="s">
        <v>1212</v>
      </c>
    </row>
    <row r="3188" customFormat="false" ht="12.75" hidden="false" customHeight="true" outlineLevel="0" collapsed="false">
      <c r="A3188" s="1" t="s">
        <v>2148</v>
      </c>
    </row>
    <row r="3189" customFormat="false" ht="12.75" hidden="false" customHeight="true" outlineLevel="0" collapsed="false">
      <c r="A3189" s="1" t="s">
        <v>2153</v>
      </c>
    </row>
    <row r="3190" customFormat="false" ht="12.75" hidden="false" customHeight="true" outlineLevel="0" collapsed="false">
      <c r="A3190" s="1" t="s">
        <v>2137</v>
      </c>
    </row>
    <row r="3191" customFormat="false" ht="12.75" hidden="false" customHeight="true" outlineLevel="0" collapsed="false">
      <c r="A3191" s="1" t="s">
        <v>2154</v>
      </c>
    </row>
    <row r="3192" customFormat="false" ht="12.75" hidden="false" customHeight="true" outlineLevel="0" collapsed="false">
      <c r="A3192" s="1" t="s">
        <v>2155</v>
      </c>
    </row>
    <row r="3193" customFormat="false" ht="12.75" hidden="false" customHeight="true" outlineLevel="0" collapsed="false"/>
    <row r="3194" customFormat="false" ht="12.75" hidden="false" customHeight="true" outlineLevel="0" collapsed="false">
      <c r="A3194" s="1" t="s">
        <v>1209</v>
      </c>
    </row>
    <row r="3195" customFormat="false" ht="12.75" hidden="false" customHeight="true" outlineLevel="0" collapsed="false">
      <c r="A3195" s="1" t="s">
        <v>2156</v>
      </c>
    </row>
    <row r="3196" customFormat="false" ht="12.75" hidden="false" customHeight="true" outlineLevel="0" collapsed="false">
      <c r="A3196" s="1" t="s">
        <v>2157</v>
      </c>
    </row>
    <row r="3197" customFormat="false" ht="12.75" hidden="false" customHeight="true" outlineLevel="0" collapsed="false">
      <c r="A3197" s="1" t="s">
        <v>2158</v>
      </c>
    </row>
    <row r="3198" customFormat="false" ht="12.75" hidden="false" customHeight="true" outlineLevel="0" collapsed="false">
      <c r="A3198" s="1" t="s">
        <v>2155</v>
      </c>
    </row>
    <row r="3199" customFormat="false" ht="12.75" hidden="false" customHeight="true" outlineLevel="0" collapsed="false"/>
    <row r="3200" customFormat="false" ht="12.75" hidden="false" customHeight="true" outlineLevel="0" collapsed="false">
      <c r="A3200" s="1" t="s">
        <v>1210</v>
      </c>
    </row>
    <row r="3201" customFormat="false" ht="12.75" hidden="false" customHeight="true" outlineLevel="0" collapsed="false">
      <c r="A3201" s="1" t="s">
        <v>2159</v>
      </c>
    </row>
    <row r="3202" customFormat="false" ht="12.75" hidden="false" customHeight="true" outlineLevel="0" collapsed="false">
      <c r="A3202" s="1" t="s">
        <v>2160</v>
      </c>
    </row>
    <row r="3203" customFormat="false" ht="12.75" hidden="false" customHeight="true" outlineLevel="0" collapsed="false"/>
    <row r="3204" customFormat="false" ht="12.75" hidden="false" customHeight="true" outlineLevel="0" collapsed="false">
      <c r="A3204" s="1" t="s">
        <v>1211</v>
      </c>
    </row>
    <row r="3205" customFormat="false" ht="12.75" hidden="false" customHeight="true" outlineLevel="0" collapsed="false">
      <c r="A3205" s="1" t="s">
        <v>2161</v>
      </c>
    </row>
    <row r="3206" customFormat="false" ht="12.75" hidden="false" customHeight="true" outlineLevel="0" collapsed="false">
      <c r="A3206" s="1" t="s">
        <v>2157</v>
      </c>
    </row>
    <row r="3207" customFormat="false" ht="12.75" hidden="false" customHeight="true" outlineLevel="0" collapsed="false"/>
    <row r="3208" customFormat="false" ht="12.75" hidden="false" customHeight="true" outlineLevel="0" collapsed="false">
      <c r="A3208" s="1" t="s">
        <v>1212</v>
      </c>
    </row>
    <row r="3209" customFormat="false" ht="12.75" hidden="false" customHeight="true" outlineLevel="0" collapsed="false">
      <c r="A3209" s="1" t="s">
        <v>2161</v>
      </c>
    </row>
    <row r="3210" customFormat="false" ht="12.75" hidden="false" customHeight="true" outlineLevel="0" collapsed="false">
      <c r="A3210" s="1" t="s">
        <v>2162</v>
      </c>
    </row>
    <row r="3211" customFormat="false" ht="12.75" hidden="false" customHeight="true" outlineLevel="0" collapsed="false">
      <c r="A3211" s="1" t="s">
        <v>2137</v>
      </c>
    </row>
    <row r="3212" customFormat="false" ht="12.75" hidden="false" customHeight="true" outlineLevel="0" collapsed="false">
      <c r="A3212" s="1" t="s">
        <v>2163</v>
      </c>
    </row>
    <row r="3213" customFormat="false" ht="12.75" hidden="false" customHeight="true" outlineLevel="0" collapsed="false">
      <c r="A3213" s="1" t="s">
        <v>2164</v>
      </c>
    </row>
    <row r="3214" customFormat="false" ht="12.75" hidden="false" customHeight="true" outlineLevel="0" collapsed="false"/>
    <row r="3215" customFormat="false" ht="12.75" hidden="false" customHeight="true" outlineLevel="0" collapsed="false">
      <c r="A3215" s="1" t="s">
        <v>1209</v>
      </c>
    </row>
    <row r="3216" customFormat="false" ht="12.75" hidden="false" customHeight="true" outlineLevel="0" collapsed="false">
      <c r="A3216" s="1" t="s">
        <v>2165</v>
      </c>
    </row>
    <row r="3217" customFormat="false" ht="12.75" hidden="false" customHeight="true" outlineLevel="0" collapsed="false">
      <c r="A3217" s="1" t="s">
        <v>2166</v>
      </c>
    </row>
    <row r="3218" customFormat="false" ht="12.75" hidden="false" customHeight="true" outlineLevel="0" collapsed="false">
      <c r="A3218" s="1" t="s">
        <v>2167</v>
      </c>
    </row>
    <row r="3219" customFormat="false" ht="12.75" hidden="false" customHeight="true" outlineLevel="0" collapsed="false">
      <c r="A3219" s="1" t="s">
        <v>2164</v>
      </c>
    </row>
    <row r="3220" customFormat="false" ht="12.75" hidden="false" customHeight="true" outlineLevel="0" collapsed="false"/>
    <row r="3221" customFormat="false" ht="12.75" hidden="false" customHeight="true" outlineLevel="0" collapsed="false">
      <c r="A3221" s="1" t="s">
        <v>1210</v>
      </c>
    </row>
    <row r="3222" customFormat="false" ht="12.75" hidden="false" customHeight="true" outlineLevel="0" collapsed="false">
      <c r="A3222" s="1" t="s">
        <v>2168</v>
      </c>
    </row>
    <row r="3223" customFormat="false" ht="12.75" hidden="false" customHeight="true" outlineLevel="0" collapsed="false">
      <c r="A3223" s="1" t="s">
        <v>2169</v>
      </c>
    </row>
    <row r="3224" customFormat="false" ht="12.75" hidden="false" customHeight="true" outlineLevel="0" collapsed="false"/>
    <row r="3225" customFormat="false" ht="12.75" hidden="false" customHeight="true" outlineLevel="0" collapsed="false">
      <c r="A3225" s="1" t="s">
        <v>1211</v>
      </c>
    </row>
    <row r="3226" customFormat="false" ht="12.75" hidden="false" customHeight="true" outlineLevel="0" collapsed="false">
      <c r="A3226" s="1" t="s">
        <v>2165</v>
      </c>
    </row>
    <row r="3227" customFormat="false" ht="12.75" hidden="false" customHeight="true" outlineLevel="0" collapsed="false">
      <c r="A3227" s="1" t="s">
        <v>2166</v>
      </c>
    </row>
    <row r="3228" customFormat="false" ht="12.75" hidden="false" customHeight="true" outlineLevel="0" collapsed="false"/>
    <row r="3229" customFormat="false" ht="12.75" hidden="false" customHeight="true" outlineLevel="0" collapsed="false">
      <c r="A3229" s="1" t="s">
        <v>1212</v>
      </c>
    </row>
    <row r="3230" customFormat="false" ht="12.75" hidden="false" customHeight="true" outlineLevel="0" collapsed="false">
      <c r="A3230" s="1" t="s">
        <v>2165</v>
      </c>
    </row>
    <row r="3231" customFormat="false" ht="12.75" hidden="false" customHeight="true" outlineLevel="0" collapsed="false">
      <c r="A3231" s="1" t="s">
        <v>2170</v>
      </c>
    </row>
    <row r="3232" customFormat="false" ht="12.75" hidden="false" customHeight="true" outlineLevel="0" collapsed="false">
      <c r="A3232" s="1" t="s">
        <v>2137</v>
      </c>
    </row>
    <row r="3233" customFormat="false" ht="12.75" hidden="false" customHeight="true" outlineLevel="0" collapsed="false">
      <c r="A3233" s="1" t="s">
        <v>2171</v>
      </c>
    </row>
    <row r="3234" customFormat="false" ht="12.75" hidden="false" customHeight="true" outlineLevel="0" collapsed="false">
      <c r="A3234" s="1" t="s">
        <v>2172</v>
      </c>
    </row>
    <row r="3235" customFormat="false" ht="12.75" hidden="false" customHeight="true" outlineLevel="0" collapsed="false"/>
    <row r="3236" customFormat="false" ht="12.75" hidden="false" customHeight="true" outlineLevel="0" collapsed="false">
      <c r="A3236" s="1" t="s">
        <v>1209</v>
      </c>
    </row>
    <row r="3237" customFormat="false" ht="12.75" hidden="false" customHeight="true" outlineLevel="0" collapsed="false">
      <c r="A3237" s="1" t="s">
        <v>2173</v>
      </c>
    </row>
    <row r="3238" customFormat="false" ht="12.75" hidden="false" customHeight="true" outlineLevel="0" collapsed="false">
      <c r="A3238" s="1" t="s">
        <v>2174</v>
      </c>
    </row>
    <row r="3239" customFormat="false" ht="12.75" hidden="false" customHeight="true" outlineLevel="0" collapsed="false">
      <c r="A3239" s="1" t="s">
        <v>2175</v>
      </c>
    </row>
    <row r="3240" customFormat="false" ht="12.75" hidden="false" customHeight="true" outlineLevel="0" collapsed="false">
      <c r="A3240" s="1" t="s">
        <v>2172</v>
      </c>
    </row>
    <row r="3241" customFormat="false" ht="12.75" hidden="false" customHeight="true" outlineLevel="0" collapsed="false"/>
    <row r="3242" customFormat="false" ht="12.75" hidden="false" customHeight="true" outlineLevel="0" collapsed="false">
      <c r="A3242" s="1" t="s">
        <v>1210</v>
      </c>
    </row>
    <row r="3243" customFormat="false" ht="12.75" hidden="false" customHeight="true" outlineLevel="0" collapsed="false">
      <c r="A3243" s="1" t="s">
        <v>2176</v>
      </c>
    </row>
    <row r="3244" customFormat="false" ht="12.75" hidden="false" customHeight="true" outlineLevel="0" collapsed="false">
      <c r="A3244" s="1" t="s">
        <v>2177</v>
      </c>
    </row>
    <row r="3245" customFormat="false" ht="12.75" hidden="false" customHeight="true" outlineLevel="0" collapsed="false"/>
    <row r="3246" customFormat="false" ht="12.75" hidden="false" customHeight="true" outlineLevel="0" collapsed="false">
      <c r="A3246" s="1" t="s">
        <v>1211</v>
      </c>
    </row>
    <row r="3247" customFormat="false" ht="12.75" hidden="false" customHeight="true" outlineLevel="0" collapsed="false">
      <c r="A3247" s="1" t="s">
        <v>2173</v>
      </c>
    </row>
    <row r="3248" customFormat="false" ht="12.75" hidden="false" customHeight="true" outlineLevel="0" collapsed="false">
      <c r="A3248" s="1" t="s">
        <v>2174</v>
      </c>
    </row>
    <row r="3249" customFormat="false" ht="12.75" hidden="false" customHeight="true" outlineLevel="0" collapsed="false"/>
    <row r="3250" customFormat="false" ht="12.75" hidden="false" customHeight="true" outlineLevel="0" collapsed="false">
      <c r="A3250" s="1" t="s">
        <v>1212</v>
      </c>
    </row>
    <row r="3251" customFormat="false" ht="12.75" hidden="false" customHeight="true" outlineLevel="0" collapsed="false">
      <c r="A3251" s="1" t="s">
        <v>2173</v>
      </c>
    </row>
    <row r="3252" customFormat="false" ht="12.75" hidden="false" customHeight="true" outlineLevel="0" collapsed="false">
      <c r="A3252" s="1" t="s">
        <v>2178</v>
      </c>
    </row>
    <row r="3253" customFormat="false" ht="12.75" hidden="false" customHeight="true" outlineLevel="0" collapsed="false">
      <c r="A3253" s="1" t="s">
        <v>2137</v>
      </c>
    </row>
    <row r="3254" customFormat="false" ht="12.75" hidden="false" customHeight="true" outlineLevel="0" collapsed="false">
      <c r="A3254" s="1" t="s">
        <v>2179</v>
      </c>
    </row>
    <row r="3255" customFormat="false" ht="12.75" hidden="false" customHeight="true" outlineLevel="0" collapsed="false">
      <c r="A3255" s="1" t="s">
        <v>2180</v>
      </c>
    </row>
    <row r="3256" customFormat="false" ht="12.75" hidden="false" customHeight="true" outlineLevel="0" collapsed="false"/>
    <row r="3257" customFormat="false" ht="12.75" hidden="false" customHeight="true" outlineLevel="0" collapsed="false">
      <c r="A3257" s="1" t="s">
        <v>1209</v>
      </c>
    </row>
    <row r="3258" customFormat="false" ht="12.75" hidden="false" customHeight="true" outlineLevel="0" collapsed="false">
      <c r="A3258" s="1" t="s">
        <v>2181</v>
      </c>
    </row>
    <row r="3259" customFormat="false" ht="12.75" hidden="false" customHeight="true" outlineLevel="0" collapsed="false">
      <c r="A3259" s="1" t="s">
        <v>2182</v>
      </c>
    </row>
    <row r="3260" customFormat="false" ht="12.75" hidden="false" customHeight="true" outlineLevel="0" collapsed="false">
      <c r="A3260" s="1" t="s">
        <v>2183</v>
      </c>
    </row>
    <row r="3261" customFormat="false" ht="12.75" hidden="false" customHeight="true" outlineLevel="0" collapsed="false">
      <c r="A3261" s="1" t="s">
        <v>2180</v>
      </c>
    </row>
    <row r="3262" customFormat="false" ht="12.75" hidden="false" customHeight="true" outlineLevel="0" collapsed="false"/>
    <row r="3263" customFormat="false" ht="12.75" hidden="false" customHeight="true" outlineLevel="0" collapsed="false">
      <c r="A3263" s="1" t="s">
        <v>1210</v>
      </c>
    </row>
    <row r="3264" customFormat="false" ht="12.75" hidden="false" customHeight="true" outlineLevel="0" collapsed="false">
      <c r="A3264" s="1" t="s">
        <v>2184</v>
      </c>
    </row>
    <row r="3265" customFormat="false" ht="12.75" hidden="false" customHeight="true" outlineLevel="0" collapsed="false">
      <c r="A3265" s="1" t="s">
        <v>2185</v>
      </c>
    </row>
    <row r="3266" customFormat="false" ht="12.75" hidden="false" customHeight="true" outlineLevel="0" collapsed="false"/>
    <row r="3267" customFormat="false" ht="12.75" hidden="false" customHeight="true" outlineLevel="0" collapsed="false">
      <c r="A3267" s="1" t="s">
        <v>1211</v>
      </c>
    </row>
    <row r="3268" customFormat="false" ht="12.75" hidden="false" customHeight="true" outlineLevel="0" collapsed="false">
      <c r="A3268" s="1" t="s">
        <v>2181</v>
      </c>
    </row>
    <row r="3269" customFormat="false" ht="12.75" hidden="false" customHeight="true" outlineLevel="0" collapsed="false">
      <c r="A3269" s="1" t="s">
        <v>2182</v>
      </c>
    </row>
    <row r="3270" customFormat="false" ht="12.75" hidden="false" customHeight="true" outlineLevel="0" collapsed="false"/>
    <row r="3271" customFormat="false" ht="12.75" hidden="false" customHeight="true" outlineLevel="0" collapsed="false">
      <c r="A3271" s="1" t="s">
        <v>1212</v>
      </c>
    </row>
    <row r="3272" customFormat="false" ht="12.75" hidden="false" customHeight="true" outlineLevel="0" collapsed="false">
      <c r="A3272" s="1" t="s">
        <v>2181</v>
      </c>
    </row>
    <row r="3273" customFormat="false" ht="12.75" hidden="false" customHeight="true" outlineLevel="0" collapsed="false">
      <c r="A3273" s="1" t="s">
        <v>2186</v>
      </c>
    </row>
    <row r="3274" customFormat="false" ht="12.75" hidden="false" customHeight="true" outlineLevel="0" collapsed="false">
      <c r="A3274" s="1" t="s">
        <v>2137</v>
      </c>
    </row>
    <row r="3275" customFormat="false" ht="12.75" hidden="false" customHeight="true" outlineLevel="0" collapsed="false">
      <c r="A3275" s="1" t="s">
        <v>2187</v>
      </c>
    </row>
    <row r="3276" customFormat="false" ht="12.75" hidden="false" customHeight="true" outlineLevel="0" collapsed="false">
      <c r="A3276" s="1" t="s">
        <v>2188</v>
      </c>
    </row>
    <row r="3277" customFormat="false" ht="12.75" hidden="false" customHeight="true" outlineLevel="0" collapsed="false"/>
    <row r="3278" customFormat="false" ht="12.75" hidden="false" customHeight="true" outlineLevel="0" collapsed="false">
      <c r="A3278" s="1" t="s">
        <v>1209</v>
      </c>
    </row>
    <row r="3279" customFormat="false" ht="12.75" hidden="false" customHeight="true" outlineLevel="0" collapsed="false">
      <c r="A3279" s="1" t="s">
        <v>2189</v>
      </c>
    </row>
    <row r="3280" customFormat="false" ht="12.75" hidden="false" customHeight="true" outlineLevel="0" collapsed="false">
      <c r="A3280" s="1" t="s">
        <v>2190</v>
      </c>
    </row>
    <row r="3281" customFormat="false" ht="12.75" hidden="false" customHeight="true" outlineLevel="0" collapsed="false">
      <c r="A3281" s="1" t="s">
        <v>2191</v>
      </c>
    </row>
    <row r="3282" customFormat="false" ht="12.75" hidden="false" customHeight="true" outlineLevel="0" collapsed="false">
      <c r="A3282" s="1" t="s">
        <v>2188</v>
      </c>
    </row>
    <row r="3283" customFormat="false" ht="12.75" hidden="false" customHeight="true" outlineLevel="0" collapsed="false"/>
    <row r="3284" customFormat="false" ht="12.75" hidden="false" customHeight="true" outlineLevel="0" collapsed="false">
      <c r="A3284" s="1" t="s">
        <v>1210</v>
      </c>
    </row>
    <row r="3285" customFormat="false" ht="12.75" hidden="false" customHeight="true" outlineLevel="0" collapsed="false">
      <c r="A3285" s="1" t="s">
        <v>2192</v>
      </c>
    </row>
    <row r="3286" customFormat="false" ht="12.75" hidden="false" customHeight="true" outlineLevel="0" collapsed="false">
      <c r="A3286" s="1" t="s">
        <v>2193</v>
      </c>
    </row>
    <row r="3287" customFormat="false" ht="12.75" hidden="false" customHeight="true" outlineLevel="0" collapsed="false"/>
    <row r="3288" customFormat="false" ht="12.75" hidden="false" customHeight="true" outlineLevel="0" collapsed="false">
      <c r="A3288" s="1" t="s">
        <v>1211</v>
      </c>
    </row>
    <row r="3289" customFormat="false" ht="12.75" hidden="false" customHeight="true" outlineLevel="0" collapsed="false">
      <c r="A3289" s="1" t="s">
        <v>2189</v>
      </c>
    </row>
    <row r="3290" customFormat="false" ht="12.75" hidden="false" customHeight="true" outlineLevel="0" collapsed="false">
      <c r="A3290" s="1" t="s">
        <v>2190</v>
      </c>
    </row>
    <row r="3291" customFormat="false" ht="12.75" hidden="false" customHeight="true" outlineLevel="0" collapsed="false"/>
    <row r="3292" customFormat="false" ht="12.75" hidden="false" customHeight="true" outlineLevel="0" collapsed="false">
      <c r="A3292" s="1" t="s">
        <v>1212</v>
      </c>
    </row>
    <row r="3293" customFormat="false" ht="12.75" hidden="false" customHeight="true" outlineLevel="0" collapsed="false">
      <c r="A3293" s="1" t="s">
        <v>2189</v>
      </c>
    </row>
    <row r="3294" customFormat="false" ht="12.75" hidden="false" customHeight="true" outlineLevel="0" collapsed="false">
      <c r="A3294" s="1" t="s">
        <v>2194</v>
      </c>
    </row>
    <row r="3295" customFormat="false" ht="12.75" hidden="false" customHeight="true" outlineLevel="0" collapsed="false">
      <c r="A3295" s="1" t="s">
        <v>2137</v>
      </c>
    </row>
    <row r="3296" customFormat="false" ht="12.75" hidden="false" customHeight="true" outlineLevel="0" collapsed="false">
      <c r="A3296" s="1" t="s">
        <v>2195</v>
      </c>
    </row>
    <row r="3297" customFormat="false" ht="12.75" hidden="false" customHeight="true" outlineLevel="0" collapsed="false">
      <c r="A3297" s="1" t="s">
        <v>2196</v>
      </c>
    </row>
    <row r="3298" customFormat="false" ht="12.75" hidden="false" customHeight="true" outlineLevel="0" collapsed="false"/>
    <row r="3299" customFormat="false" ht="12.75" hidden="false" customHeight="true" outlineLevel="0" collapsed="false">
      <c r="A3299" s="1" t="s">
        <v>1209</v>
      </c>
    </row>
    <row r="3300" customFormat="false" ht="12.75" hidden="false" customHeight="true" outlineLevel="0" collapsed="false">
      <c r="A3300" s="1" t="s">
        <v>2197</v>
      </c>
    </row>
    <row r="3301" customFormat="false" ht="12.75" hidden="false" customHeight="true" outlineLevel="0" collapsed="false">
      <c r="A3301" s="1" t="s">
        <v>2198</v>
      </c>
    </row>
    <row r="3302" customFormat="false" ht="12.75" hidden="false" customHeight="true" outlineLevel="0" collapsed="false">
      <c r="A3302" s="1" t="s">
        <v>2199</v>
      </c>
    </row>
    <row r="3303" customFormat="false" ht="12.75" hidden="false" customHeight="true" outlineLevel="0" collapsed="false">
      <c r="A3303" s="1" t="s">
        <v>2196</v>
      </c>
    </row>
    <row r="3304" customFormat="false" ht="12.75" hidden="false" customHeight="true" outlineLevel="0" collapsed="false"/>
    <row r="3305" customFormat="false" ht="12.75" hidden="false" customHeight="true" outlineLevel="0" collapsed="false">
      <c r="A3305" s="1" t="s">
        <v>1210</v>
      </c>
    </row>
    <row r="3306" customFormat="false" ht="12.75" hidden="false" customHeight="true" outlineLevel="0" collapsed="false">
      <c r="A3306" s="1" t="s">
        <v>2200</v>
      </c>
    </row>
    <row r="3307" customFormat="false" ht="12.75" hidden="false" customHeight="true" outlineLevel="0" collapsed="false">
      <c r="A3307" s="1" t="s">
        <v>2201</v>
      </c>
    </row>
    <row r="3308" customFormat="false" ht="12.75" hidden="false" customHeight="true" outlineLevel="0" collapsed="false"/>
    <row r="3309" customFormat="false" ht="12.75" hidden="false" customHeight="true" outlineLevel="0" collapsed="false">
      <c r="A3309" s="1" t="s">
        <v>1211</v>
      </c>
    </row>
    <row r="3310" customFormat="false" ht="12.75" hidden="false" customHeight="true" outlineLevel="0" collapsed="false">
      <c r="A3310" s="1" t="s">
        <v>2197</v>
      </c>
    </row>
    <row r="3311" customFormat="false" ht="12.75" hidden="false" customHeight="true" outlineLevel="0" collapsed="false">
      <c r="A3311" s="1" t="s">
        <v>2198</v>
      </c>
    </row>
    <row r="3312" customFormat="false" ht="12.75" hidden="false" customHeight="true" outlineLevel="0" collapsed="false"/>
    <row r="3313" customFormat="false" ht="12.75" hidden="false" customHeight="true" outlineLevel="0" collapsed="false">
      <c r="A3313" s="1" t="s">
        <v>1212</v>
      </c>
    </row>
    <row r="3314" customFormat="false" ht="12.75" hidden="false" customHeight="true" outlineLevel="0" collapsed="false">
      <c r="A3314" s="1" t="s">
        <v>2197</v>
      </c>
    </row>
    <row r="3315" customFormat="false" ht="12.75" hidden="false" customHeight="true" outlineLevel="0" collapsed="false">
      <c r="A3315" s="1" t="s">
        <v>2202</v>
      </c>
    </row>
    <row r="3316" customFormat="false" ht="12.75" hidden="false" customHeight="true" outlineLevel="0" collapsed="false">
      <c r="A3316" s="1" t="s">
        <v>2137</v>
      </c>
    </row>
    <row r="3317" customFormat="false" ht="12.75" hidden="false" customHeight="true" outlineLevel="0" collapsed="false">
      <c r="A3317" s="1" t="s">
        <v>2203</v>
      </c>
    </row>
    <row r="3318" customFormat="false" ht="12.75" hidden="false" customHeight="true" outlineLevel="0" collapsed="false">
      <c r="A3318" s="1" t="s">
        <v>2204</v>
      </c>
    </row>
    <row r="3319" customFormat="false" ht="12.75" hidden="false" customHeight="true" outlineLevel="0" collapsed="false"/>
    <row r="3320" customFormat="false" ht="12.75" hidden="false" customHeight="true" outlineLevel="0" collapsed="false">
      <c r="A3320" s="1" t="s">
        <v>1209</v>
      </c>
    </row>
    <row r="3321" customFormat="false" ht="12.75" hidden="false" customHeight="true" outlineLevel="0" collapsed="false">
      <c r="A3321" s="1" t="s">
        <v>2205</v>
      </c>
    </row>
    <row r="3322" customFormat="false" ht="12.75" hidden="false" customHeight="true" outlineLevel="0" collapsed="false">
      <c r="A3322" s="1" t="s">
        <v>2206</v>
      </c>
    </row>
    <row r="3323" customFormat="false" ht="12.75" hidden="false" customHeight="true" outlineLevel="0" collapsed="false">
      <c r="A3323" s="1" t="s">
        <v>2207</v>
      </c>
    </row>
    <row r="3324" customFormat="false" ht="12.75" hidden="false" customHeight="true" outlineLevel="0" collapsed="false">
      <c r="A3324" s="1" t="s">
        <v>2204</v>
      </c>
    </row>
    <row r="3325" customFormat="false" ht="12.75" hidden="false" customHeight="true" outlineLevel="0" collapsed="false"/>
    <row r="3326" customFormat="false" ht="12.75" hidden="false" customHeight="true" outlineLevel="0" collapsed="false">
      <c r="A3326" s="1" t="s">
        <v>1210</v>
      </c>
    </row>
    <row r="3327" customFormat="false" ht="12.75" hidden="false" customHeight="true" outlineLevel="0" collapsed="false">
      <c r="A3327" s="1" t="s">
        <v>2208</v>
      </c>
    </row>
    <row r="3328" customFormat="false" ht="12.75" hidden="false" customHeight="true" outlineLevel="0" collapsed="false">
      <c r="A3328" s="1" t="s">
        <v>2209</v>
      </c>
    </row>
    <row r="3329" customFormat="false" ht="12.75" hidden="false" customHeight="true" outlineLevel="0" collapsed="false"/>
    <row r="3330" customFormat="false" ht="12.75" hidden="false" customHeight="true" outlineLevel="0" collapsed="false">
      <c r="A3330" s="1" t="s">
        <v>1211</v>
      </c>
    </row>
    <row r="3331" customFormat="false" ht="12.75" hidden="false" customHeight="true" outlineLevel="0" collapsed="false">
      <c r="A3331" s="1" t="s">
        <v>2205</v>
      </c>
    </row>
    <row r="3332" customFormat="false" ht="12.75" hidden="false" customHeight="true" outlineLevel="0" collapsed="false">
      <c r="A3332" s="1" t="s">
        <v>2206</v>
      </c>
    </row>
    <row r="3333" customFormat="false" ht="12.75" hidden="false" customHeight="true" outlineLevel="0" collapsed="false"/>
    <row r="3334" customFormat="false" ht="12.75" hidden="false" customHeight="true" outlineLevel="0" collapsed="false">
      <c r="A3334" s="1" t="s">
        <v>1212</v>
      </c>
    </row>
    <row r="3335" customFormat="false" ht="12.75" hidden="false" customHeight="true" outlineLevel="0" collapsed="false">
      <c r="A3335" s="1" t="s">
        <v>2205</v>
      </c>
    </row>
    <row r="3336" customFormat="false" ht="12.75" hidden="false" customHeight="true" outlineLevel="0" collapsed="false">
      <c r="A3336" s="1" t="s">
        <v>2210</v>
      </c>
    </row>
  </sheetData>
  <printOptions headings="false" gridLines="false" gridLinesSet="true" horizontalCentered="false" verticalCentered="false"/>
  <pageMargins left="0.7875" right="0.7875" top="1.025" bottom="1.025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2" min="1" style="0" width="11.63"/>
    <col collapsed="false" customWidth="true" hidden="false" outlineLevel="0" max="13" min="13" style="0" width="42.75"/>
    <col collapsed="false" customWidth="true" hidden="false" outlineLevel="0" max="14" min="14" style="0" width="11.63"/>
    <col collapsed="false" customWidth="true" hidden="false" outlineLevel="0" max="15" min="15" style="0" width="40.89"/>
    <col collapsed="false" customWidth="true" hidden="false" outlineLevel="0" max="26" min="16" style="0" width="11.63"/>
  </cols>
  <sheetData>
    <row r="1" customFormat="false" ht="12.75" hidden="false" customHeight="true" outlineLevel="0" collapsed="false">
      <c r="A1" s="1" t="s">
        <v>2211</v>
      </c>
      <c r="B1" s="1" t="s">
        <v>2212</v>
      </c>
      <c r="C1" s="1" t="s">
        <v>2213</v>
      </c>
      <c r="D1" s="1" t="s">
        <v>2214</v>
      </c>
      <c r="E1" s="1" t="s">
        <v>2215</v>
      </c>
      <c r="F1" s="1" t="s">
        <v>2216</v>
      </c>
      <c r="G1" s="1" t="s">
        <v>2217</v>
      </c>
      <c r="N1" s="1" t="s">
        <v>0</v>
      </c>
      <c r="O1" s="1" t="s">
        <v>1</v>
      </c>
    </row>
    <row r="2" customFormat="false" ht="12.75" hidden="false" customHeight="true" outlineLevel="0" collapsed="false">
      <c r="A2" s="1" t="s">
        <v>2218</v>
      </c>
      <c r="B2" s="1" t="s">
        <v>2219</v>
      </c>
      <c r="C2" s="1" t="str">
        <f aca="false">B2&amp;A2</f>
        <v>1B02</v>
      </c>
      <c r="D2" s="1" t="s">
        <v>2220</v>
      </c>
      <c r="E2" s="1" t="s">
        <v>2221</v>
      </c>
      <c r="F2" s="1" t="s">
        <v>2221</v>
      </c>
      <c r="G2" s="1" t="s">
        <v>2221</v>
      </c>
      <c r="I2" s="1" t="str">
        <f aca="false">IF(E2&lt;&gt;"&lt;null&gt;",E2,"")</f>
        <v/>
      </c>
      <c r="J2" s="1" t="str">
        <f aca="false">IF(I2&lt;&gt;"",C2,"")</f>
        <v/>
      </c>
      <c r="L2" s="1" t="str">
        <f aca="false">"0x"&amp;C2</f>
        <v>0x1B02</v>
      </c>
      <c r="M2" s="1" t="str">
        <f aca="false">VLOOKUP(L2,$N$2:$O$426,2,)</f>
        <v>Seven Island Tanoby Runis Monean Chamber</v>
      </c>
      <c r="N2" s="1" t="s">
        <v>2</v>
      </c>
      <c r="O2" s="1" t="s">
        <v>3</v>
      </c>
    </row>
    <row r="3" customFormat="false" ht="12.75" hidden="false" customHeight="true" outlineLevel="0" collapsed="false">
      <c r="A3" s="1" t="s">
        <v>2218</v>
      </c>
      <c r="B3" s="1" t="s">
        <v>2222</v>
      </c>
      <c r="C3" s="1" t="str">
        <f aca="false">B3&amp;A3</f>
        <v>1C02</v>
      </c>
      <c r="D3" s="1" t="s">
        <v>2223</v>
      </c>
      <c r="E3" s="1" t="s">
        <v>2221</v>
      </c>
      <c r="F3" s="1" t="s">
        <v>2221</v>
      </c>
      <c r="G3" s="1" t="s">
        <v>2221</v>
      </c>
      <c r="I3" s="1" t="str">
        <f aca="false">IF(E3&lt;&gt;"&lt;null&gt;",E3,"")</f>
        <v/>
      </c>
      <c r="J3" s="1" t="str">
        <f aca="false">IF(I3&lt;&gt;"",C3,"")</f>
        <v/>
      </c>
      <c r="L3" s="1" t="str">
        <f aca="false">"0x"&amp;C3</f>
        <v>0x1C02</v>
      </c>
      <c r="M3" s="1" t="str">
        <f aca="false">VLOOKUP(L3,$N$2:$O$426,2,)</f>
        <v>Seven Island Tanoby Runis Liptoo Chamber</v>
      </c>
      <c r="N3" s="1" t="s">
        <v>4</v>
      </c>
      <c r="O3" s="1" t="s">
        <v>5</v>
      </c>
    </row>
    <row r="4" customFormat="false" ht="12.75" hidden="false" customHeight="true" outlineLevel="0" collapsed="false">
      <c r="A4" s="1" t="s">
        <v>2218</v>
      </c>
      <c r="B4" s="1" t="s">
        <v>2224</v>
      </c>
      <c r="C4" s="1" t="str">
        <f aca="false">B4&amp;A4</f>
        <v>1D02</v>
      </c>
      <c r="D4" s="1" t="s">
        <v>2225</v>
      </c>
      <c r="E4" s="1" t="s">
        <v>2221</v>
      </c>
      <c r="F4" s="1" t="s">
        <v>2221</v>
      </c>
      <c r="G4" s="1" t="s">
        <v>2221</v>
      </c>
      <c r="I4" s="1" t="str">
        <f aca="false">IF(E4&lt;&gt;"&lt;null&gt;",E4,"")</f>
        <v/>
      </c>
      <c r="J4" s="1" t="str">
        <f aca="false">IF(I4&lt;&gt;"",C4,"")</f>
        <v/>
      </c>
      <c r="L4" s="1" t="str">
        <f aca="false">"0x"&amp;C4</f>
        <v>0x1D02</v>
      </c>
      <c r="M4" s="1" t="str">
        <f aca="false">VLOOKUP(L4,$N$2:$O$426,2,)</f>
        <v>Seven Island Tanoby Runis Weepth Chamber</v>
      </c>
      <c r="N4" s="1" t="s">
        <v>6</v>
      </c>
      <c r="O4" s="1" t="s">
        <v>7</v>
      </c>
    </row>
    <row r="5" customFormat="false" ht="12.75" hidden="false" customHeight="true" outlineLevel="0" collapsed="false">
      <c r="A5" s="1" t="s">
        <v>2218</v>
      </c>
      <c r="B5" s="1" t="s">
        <v>2226</v>
      </c>
      <c r="C5" s="1" t="str">
        <f aca="false">B5&amp;A5</f>
        <v>1E02</v>
      </c>
      <c r="D5" s="1" t="s">
        <v>2227</v>
      </c>
      <c r="E5" s="1" t="s">
        <v>2221</v>
      </c>
      <c r="F5" s="1" t="s">
        <v>2221</v>
      </c>
      <c r="G5" s="1" t="s">
        <v>2221</v>
      </c>
      <c r="I5" s="1" t="str">
        <f aca="false">IF(E5&lt;&gt;"&lt;null&gt;",E5,"")</f>
        <v/>
      </c>
      <c r="J5" s="1" t="str">
        <f aca="false">IF(I5&lt;&gt;"",C5,"")</f>
        <v/>
      </c>
      <c r="L5" s="1" t="str">
        <f aca="false">"0x"&amp;C5</f>
        <v>0x1E02</v>
      </c>
      <c r="M5" s="1" t="str">
        <f aca="false">VLOOKUP(L5,$N$2:$O$426,2,)</f>
        <v>Seven Island Tanoby Runis Dilford Chamber</v>
      </c>
      <c r="N5" s="1" t="s">
        <v>8</v>
      </c>
      <c r="O5" s="1" t="s">
        <v>9</v>
      </c>
    </row>
    <row r="6" customFormat="false" ht="12.75" hidden="false" customHeight="true" outlineLevel="0" collapsed="false">
      <c r="A6" s="1" t="s">
        <v>2218</v>
      </c>
      <c r="B6" s="1" t="s">
        <v>2228</v>
      </c>
      <c r="C6" s="1" t="str">
        <f aca="false">B6&amp;A6</f>
        <v>1F02</v>
      </c>
      <c r="D6" s="1" t="s">
        <v>2229</v>
      </c>
      <c r="E6" s="1" t="s">
        <v>2221</v>
      </c>
      <c r="F6" s="1" t="s">
        <v>2221</v>
      </c>
      <c r="G6" s="1" t="s">
        <v>2221</v>
      </c>
      <c r="I6" s="1" t="str">
        <f aca="false">IF(E6&lt;&gt;"&lt;null&gt;",E6,"")</f>
        <v/>
      </c>
      <c r="J6" s="1" t="str">
        <f aca="false">IF(I6&lt;&gt;"",C6,"")</f>
        <v/>
      </c>
      <c r="L6" s="1" t="str">
        <f aca="false">"0x"&amp;C6</f>
        <v>0x1F02</v>
      </c>
      <c r="M6" s="1" t="str">
        <f aca="false">VLOOKUP(L6,$N$2:$O$426,2,)</f>
        <v>Seven Island Tanoby Runis Sufib Chamber</v>
      </c>
      <c r="N6" s="1" t="s">
        <v>10</v>
      </c>
      <c r="O6" s="1" t="s">
        <v>11</v>
      </c>
    </row>
    <row r="7" customFormat="false" ht="12.75" hidden="false" customHeight="true" outlineLevel="0" collapsed="false">
      <c r="A7" s="1" t="s">
        <v>2218</v>
      </c>
      <c r="B7" s="1" t="s">
        <v>2230</v>
      </c>
      <c r="C7" s="1" t="str">
        <f aca="false">B7&amp;A7</f>
        <v>2002</v>
      </c>
      <c r="D7" s="1" t="s">
        <v>2231</v>
      </c>
      <c r="E7" s="1" t="s">
        <v>2221</v>
      </c>
      <c r="F7" s="1" t="s">
        <v>2221</v>
      </c>
      <c r="G7" s="1" t="s">
        <v>2221</v>
      </c>
      <c r="I7" s="1" t="str">
        <f aca="false">IF(E7&lt;&gt;"&lt;null&gt;",E7,"")</f>
        <v/>
      </c>
      <c r="J7" s="1" t="str">
        <f aca="false">IF(I7&lt;&gt;"",C7,"")</f>
        <v/>
      </c>
      <c r="L7" s="1" t="str">
        <f aca="false">"0x"&amp;C7</f>
        <v>0x2002</v>
      </c>
      <c r="M7" s="1" t="str">
        <f aca="false">VLOOKUP(L7,$N$2:$O$426,2,)</f>
        <v>Seven Island Tanoby Runis Rixy Chamber</v>
      </c>
      <c r="N7" s="1" t="s">
        <v>12</v>
      </c>
      <c r="O7" s="1" t="s">
        <v>13</v>
      </c>
    </row>
    <row r="8" customFormat="false" ht="12.75" hidden="false" customHeight="true" outlineLevel="0" collapsed="false">
      <c r="A8" s="1" t="s">
        <v>2218</v>
      </c>
      <c r="B8" s="1" t="s">
        <v>2232</v>
      </c>
      <c r="C8" s="1" t="str">
        <f aca="false">B8&amp;A8</f>
        <v>2102</v>
      </c>
      <c r="D8" s="1" t="s">
        <v>2233</v>
      </c>
      <c r="E8" s="1" t="s">
        <v>2221</v>
      </c>
      <c r="F8" s="1" t="s">
        <v>2221</v>
      </c>
      <c r="G8" s="1" t="s">
        <v>2221</v>
      </c>
      <c r="I8" s="1" t="str">
        <f aca="false">IF(E8&lt;&gt;"&lt;null&gt;",E8,"")</f>
        <v/>
      </c>
      <c r="J8" s="1" t="str">
        <f aca="false">IF(I8&lt;&gt;"",C8,"")</f>
        <v/>
      </c>
      <c r="L8" s="1" t="str">
        <f aca="false">"0x"&amp;C8</f>
        <v>0x2102</v>
      </c>
      <c r="M8" s="1" t="str">
        <f aca="false">VLOOKUP(L8,$N$2:$O$426,2,)</f>
        <v>Seven Island Tanoby Runis Viapois Chamber</v>
      </c>
      <c r="N8" s="1" t="s">
        <v>14</v>
      </c>
      <c r="O8" s="1" t="s">
        <v>15</v>
      </c>
    </row>
    <row r="9" customFormat="false" ht="12.75" hidden="false" customHeight="true" outlineLevel="0" collapsed="false">
      <c r="A9" s="1" t="s">
        <v>2234</v>
      </c>
      <c r="B9" s="1" t="s">
        <v>2235</v>
      </c>
      <c r="C9" s="1" t="str">
        <f aca="false">B9&amp;A9</f>
        <v>0001</v>
      </c>
      <c r="D9" s="1" t="s">
        <v>2236</v>
      </c>
      <c r="E9" s="1" t="s">
        <v>2221</v>
      </c>
      <c r="F9" s="1" t="s">
        <v>2221</v>
      </c>
      <c r="G9" s="1" t="s">
        <v>2221</v>
      </c>
      <c r="I9" s="1" t="str">
        <f aca="false">IF(E9&lt;&gt;"&lt;null&gt;",E9,"")</f>
        <v/>
      </c>
      <c r="J9" s="1" t="str">
        <f aca="false">IF(I9&lt;&gt;"",C9,"")</f>
        <v/>
      </c>
      <c r="L9" s="1" t="str">
        <f aca="false">"0x"&amp;C9</f>
        <v>0x0001</v>
      </c>
      <c r="M9" s="1" t="str">
        <f aca="false">VLOOKUP(L9,$N$2:$O$426,2,)</f>
        <v>Viridian Forest</v>
      </c>
      <c r="N9" s="1" t="s">
        <v>16</v>
      </c>
      <c r="O9" s="1" t="s">
        <v>17</v>
      </c>
    </row>
    <row r="10" customFormat="false" ht="12.75" hidden="false" customHeight="true" outlineLevel="0" collapsed="false">
      <c r="A10" s="1" t="s">
        <v>2234</v>
      </c>
      <c r="B10" s="1" t="s">
        <v>2234</v>
      </c>
      <c r="C10" s="1" t="str">
        <f aca="false">B10&amp;A10</f>
        <v>0101</v>
      </c>
      <c r="D10" s="1" t="s">
        <v>2237</v>
      </c>
      <c r="E10" s="1" t="s">
        <v>2221</v>
      </c>
      <c r="F10" s="1" t="s">
        <v>2221</v>
      </c>
      <c r="G10" s="1" t="s">
        <v>2221</v>
      </c>
      <c r="I10" s="1" t="str">
        <f aca="false">IF(E10&lt;&gt;"&lt;null&gt;",E10,"")</f>
        <v/>
      </c>
      <c r="J10" s="1" t="str">
        <f aca="false">IF(I10&lt;&gt;"",C10,"")</f>
        <v/>
      </c>
      <c r="L10" s="1" t="str">
        <f aca="false">"0x"&amp;C10</f>
        <v>0x0101</v>
      </c>
      <c r="M10" s="1" t="str">
        <f aca="false">VLOOKUP(L10,$N$2:$O$426,2,)</f>
        <v>Mt Moon 1F</v>
      </c>
      <c r="N10" s="1" t="s">
        <v>18</v>
      </c>
      <c r="O10" s="1" t="s">
        <v>19</v>
      </c>
    </row>
    <row r="11" customFormat="false" ht="12.75" hidden="false" customHeight="true" outlineLevel="0" collapsed="false">
      <c r="A11" s="1" t="s">
        <v>2234</v>
      </c>
      <c r="B11" s="1" t="s">
        <v>2218</v>
      </c>
      <c r="C11" s="1" t="str">
        <f aca="false">B11&amp;A11</f>
        <v>0201</v>
      </c>
      <c r="D11" s="1" t="s">
        <v>2238</v>
      </c>
      <c r="E11" s="1" t="s">
        <v>2221</v>
      </c>
      <c r="F11" s="1" t="s">
        <v>2221</v>
      </c>
      <c r="G11" s="1" t="s">
        <v>2221</v>
      </c>
      <c r="I11" s="1" t="str">
        <f aca="false">IF(E11&lt;&gt;"&lt;null&gt;",E11,"")</f>
        <v/>
      </c>
      <c r="J11" s="1" t="str">
        <f aca="false">IF(I11&lt;&gt;"",C11,"")</f>
        <v/>
      </c>
      <c r="L11" s="1" t="str">
        <f aca="false">"0x"&amp;C11</f>
        <v>0x0201</v>
      </c>
      <c r="M11" s="1" t="str">
        <f aca="false">VLOOKUP(L11,$N$2:$O$426,2,)</f>
        <v>Mt Moon B1F</v>
      </c>
      <c r="N11" s="1" t="s">
        <v>20</v>
      </c>
      <c r="O11" s="1" t="s">
        <v>21</v>
      </c>
    </row>
    <row r="12" customFormat="false" ht="12.75" hidden="false" customHeight="true" outlineLevel="0" collapsed="false">
      <c r="A12" s="1" t="s">
        <v>2234</v>
      </c>
      <c r="B12" s="1" t="s">
        <v>2239</v>
      </c>
      <c r="C12" s="1" t="str">
        <f aca="false">B12&amp;A12</f>
        <v>0301</v>
      </c>
      <c r="D12" s="1" t="s">
        <v>2240</v>
      </c>
      <c r="E12" s="1" t="s">
        <v>2221</v>
      </c>
      <c r="F12" s="1" t="s">
        <v>2221</v>
      </c>
      <c r="G12" s="1" t="s">
        <v>2221</v>
      </c>
      <c r="I12" s="1" t="str">
        <f aca="false">IF(E12&lt;&gt;"&lt;null&gt;",E12,"")</f>
        <v/>
      </c>
      <c r="J12" s="1" t="str">
        <f aca="false">IF(I12&lt;&gt;"",C12,"")</f>
        <v/>
      </c>
      <c r="L12" s="1" t="str">
        <f aca="false">"0x"&amp;C12</f>
        <v>0x0301</v>
      </c>
      <c r="M12" s="1" t="str">
        <f aca="false">VLOOKUP(L12,$N$2:$O$426,2,)</f>
        <v>Mt Moon B2F</v>
      </c>
      <c r="N12" s="1" t="s">
        <v>22</v>
      </c>
      <c r="O12" s="1" t="s">
        <v>23</v>
      </c>
    </row>
    <row r="13" customFormat="false" ht="12.75" hidden="false" customHeight="true" outlineLevel="0" collapsed="false">
      <c r="A13" s="1" t="s">
        <v>2234</v>
      </c>
      <c r="B13" s="1" t="s">
        <v>2241</v>
      </c>
      <c r="C13" s="1" t="str">
        <f aca="false">B13&amp;A13</f>
        <v>0401</v>
      </c>
      <c r="D13" s="1" t="s">
        <v>2221</v>
      </c>
      <c r="E13" s="1" t="s">
        <v>2242</v>
      </c>
      <c r="F13" s="1" t="s">
        <v>2221</v>
      </c>
      <c r="G13" s="1" t="s">
        <v>2243</v>
      </c>
      <c r="I13" s="1" t="str">
        <f aca="false">IF(E13&lt;&gt;"&lt;null&gt;",E13,"")</f>
        <v>&lt;3CEDE4&gt;</v>
      </c>
      <c r="J13" s="1" t="str">
        <f aca="false">IF(I13&lt;&gt;"",C13,"")</f>
        <v>0401</v>
      </c>
      <c r="L13" s="1" t="str">
        <f aca="false">"0x"&amp;C13</f>
        <v>0x0401</v>
      </c>
      <c r="M13" s="1" t="str">
        <f aca="false">VLOOKUP(L13,$N$2:$O$426,2,)</f>
        <v>S.S. Anne Exterior</v>
      </c>
      <c r="N13" s="1" t="s">
        <v>24</v>
      </c>
      <c r="O13" s="1" t="s">
        <v>25</v>
      </c>
    </row>
    <row r="14" customFormat="false" ht="12.75" hidden="false" customHeight="true" outlineLevel="0" collapsed="false">
      <c r="A14" s="1" t="s">
        <v>2234</v>
      </c>
      <c r="B14" s="1" t="s">
        <v>2244</v>
      </c>
      <c r="C14" s="1" t="str">
        <f aca="false">B14&amp;A14</f>
        <v>2501</v>
      </c>
      <c r="D14" s="1" t="s">
        <v>2245</v>
      </c>
      <c r="E14" s="1" t="s">
        <v>2221</v>
      </c>
      <c r="F14" s="1" t="s">
        <v>2221</v>
      </c>
      <c r="G14" s="1" t="s">
        <v>2221</v>
      </c>
      <c r="I14" s="1" t="str">
        <f aca="false">IF(E14&lt;&gt;"&lt;null&gt;",E14,"")</f>
        <v/>
      </c>
      <c r="J14" s="1" t="str">
        <f aca="false">IF(I14&lt;&gt;"",C14,"")</f>
        <v/>
      </c>
      <c r="L14" s="1" t="str">
        <f aca="false">"0x"&amp;C14</f>
        <v>0x2501</v>
      </c>
      <c r="M14" s="1" t="str">
        <f aca="false">VLOOKUP(L14,$N$2:$O$426,2,)</f>
        <v>Diglett's Cave B1F</v>
      </c>
      <c r="N14" s="1" t="s">
        <v>26</v>
      </c>
      <c r="O14" s="1" t="s">
        <v>27</v>
      </c>
    </row>
    <row r="15" customFormat="false" ht="12.75" hidden="false" customHeight="true" outlineLevel="0" collapsed="false">
      <c r="A15" s="1" t="s">
        <v>2234</v>
      </c>
      <c r="B15" s="1" t="s">
        <v>2246</v>
      </c>
      <c r="C15" s="1" t="str">
        <f aca="false">B15&amp;A15</f>
        <v>2701</v>
      </c>
      <c r="D15" s="1" t="s">
        <v>2247</v>
      </c>
      <c r="E15" s="1" t="s">
        <v>2221</v>
      </c>
      <c r="F15" s="1" t="s">
        <v>2221</v>
      </c>
      <c r="G15" s="1" t="s">
        <v>2221</v>
      </c>
      <c r="I15" s="1" t="str">
        <f aca="false">IF(E15&lt;&gt;"&lt;null&gt;",E15,"")</f>
        <v/>
      </c>
      <c r="J15" s="1" t="str">
        <f aca="false">IF(I15&lt;&gt;"",C15,"")</f>
        <v/>
      </c>
      <c r="L15" s="1" t="str">
        <f aca="false">"0x"&amp;C15</f>
        <v>0x2701</v>
      </c>
      <c r="M15" s="1" t="str">
        <f aca="false">VLOOKUP(L15,$N$2:$O$426,2,)</f>
        <v>Victory Road 1F</v>
      </c>
      <c r="N15" s="1" t="s">
        <v>28</v>
      </c>
      <c r="O15" s="1" t="s">
        <v>29</v>
      </c>
    </row>
    <row r="16" customFormat="false" ht="12.75" hidden="false" customHeight="true" outlineLevel="0" collapsed="false">
      <c r="A16" s="1" t="s">
        <v>2234</v>
      </c>
      <c r="B16" s="1" t="s">
        <v>2248</v>
      </c>
      <c r="C16" s="1" t="str">
        <f aca="false">B16&amp;A16</f>
        <v>2801</v>
      </c>
      <c r="D16" s="1" t="s">
        <v>2249</v>
      </c>
      <c r="E16" s="1" t="s">
        <v>2221</v>
      </c>
      <c r="F16" s="1" t="s">
        <v>2221</v>
      </c>
      <c r="G16" s="1" t="s">
        <v>2221</v>
      </c>
      <c r="I16" s="1" t="str">
        <f aca="false">IF(E16&lt;&gt;"&lt;null&gt;",E16,"")</f>
        <v/>
      </c>
      <c r="J16" s="1" t="str">
        <f aca="false">IF(I16&lt;&gt;"",C16,"")</f>
        <v/>
      </c>
      <c r="L16" s="1" t="str">
        <f aca="false">"0x"&amp;C16</f>
        <v>0x2801</v>
      </c>
      <c r="M16" s="1" t="str">
        <f aca="false">VLOOKUP(L16,$N$2:$O$426,2,)</f>
        <v>Victory Road 2F</v>
      </c>
      <c r="N16" s="1" t="s">
        <v>30</v>
      </c>
      <c r="O16" s="1" t="s">
        <v>31</v>
      </c>
    </row>
    <row r="17" customFormat="false" ht="12.75" hidden="false" customHeight="true" outlineLevel="0" collapsed="false">
      <c r="A17" s="1" t="s">
        <v>2234</v>
      </c>
      <c r="B17" s="1" t="s">
        <v>2250</v>
      </c>
      <c r="C17" s="1" t="str">
        <f aca="false">B17&amp;A17</f>
        <v>2901</v>
      </c>
      <c r="D17" s="1" t="s">
        <v>2251</v>
      </c>
      <c r="E17" s="1" t="s">
        <v>2221</v>
      </c>
      <c r="F17" s="1" t="s">
        <v>2221</v>
      </c>
      <c r="G17" s="1" t="s">
        <v>2221</v>
      </c>
      <c r="I17" s="1" t="str">
        <f aca="false">IF(E17&lt;&gt;"&lt;null&gt;",E17,"")</f>
        <v/>
      </c>
      <c r="J17" s="1" t="str">
        <f aca="false">IF(I17&lt;&gt;"",C17,"")</f>
        <v/>
      </c>
      <c r="L17" s="1" t="str">
        <f aca="false">"0x"&amp;C17</f>
        <v>0x2901</v>
      </c>
      <c r="M17" s="1" t="str">
        <f aca="false">VLOOKUP(L17,$N$2:$O$426,2,)</f>
        <v>Victory Road 3F</v>
      </c>
      <c r="N17" s="1" t="s">
        <v>32</v>
      </c>
      <c r="O17" s="1" t="s">
        <v>33</v>
      </c>
    </row>
    <row r="18" customFormat="false" ht="12.75" hidden="false" customHeight="true" outlineLevel="0" collapsed="false">
      <c r="A18" s="1" t="s">
        <v>2234</v>
      </c>
      <c r="B18" s="1" t="s">
        <v>2252</v>
      </c>
      <c r="C18" s="1" t="str">
        <f aca="false">B18&amp;A18</f>
        <v>3B01</v>
      </c>
      <c r="D18" s="1" t="s">
        <v>2253</v>
      </c>
      <c r="E18" s="1" t="s">
        <v>2221</v>
      </c>
      <c r="F18" s="1" t="s">
        <v>2221</v>
      </c>
      <c r="G18" s="1" t="s">
        <v>2221</v>
      </c>
      <c r="I18" s="1" t="str">
        <f aca="false">IF(E18&lt;&gt;"&lt;null&gt;",E18,"")</f>
        <v/>
      </c>
      <c r="J18" s="1" t="str">
        <f aca="false">IF(I18&lt;&gt;"",C18,"")</f>
        <v/>
      </c>
      <c r="L18" s="1" t="str">
        <f aca="false">"0x"&amp;C18</f>
        <v>0x3B01</v>
      </c>
      <c r="M18" s="1" t="str">
        <f aca="false">VLOOKUP(L18,$N$2:$O$426,2,)</f>
        <v>Pokémon Mansion 1F</v>
      </c>
      <c r="N18" s="1" t="s">
        <v>34</v>
      </c>
      <c r="O18" s="1" t="s">
        <v>35</v>
      </c>
    </row>
    <row r="19" customFormat="false" ht="12.75" hidden="false" customHeight="true" outlineLevel="0" collapsed="false">
      <c r="A19" s="1" t="s">
        <v>2234</v>
      </c>
      <c r="B19" s="1" t="s">
        <v>2254</v>
      </c>
      <c r="C19" s="1" t="str">
        <f aca="false">B19&amp;A19</f>
        <v>3C01</v>
      </c>
      <c r="D19" s="1" t="s">
        <v>2255</v>
      </c>
      <c r="E19" s="1" t="s">
        <v>2221</v>
      </c>
      <c r="F19" s="1" t="s">
        <v>2221</v>
      </c>
      <c r="G19" s="1" t="s">
        <v>2221</v>
      </c>
      <c r="I19" s="1" t="str">
        <f aca="false">IF(E19&lt;&gt;"&lt;null&gt;",E19,"")</f>
        <v/>
      </c>
      <c r="J19" s="1" t="str">
        <f aca="false">IF(I19&lt;&gt;"",C19,"")</f>
        <v/>
      </c>
      <c r="L19" s="1" t="str">
        <f aca="false">"0x"&amp;C19</f>
        <v>0x3C01</v>
      </c>
      <c r="M19" s="1" t="str">
        <f aca="false">VLOOKUP(L19,$N$2:$O$426,2,)</f>
        <v>Pokémon Mansion 2F</v>
      </c>
      <c r="N19" s="1" t="s">
        <v>36</v>
      </c>
      <c r="O19" s="1" t="s">
        <v>37</v>
      </c>
    </row>
    <row r="20" customFormat="false" ht="12.75" hidden="false" customHeight="true" outlineLevel="0" collapsed="false">
      <c r="A20" s="1" t="s">
        <v>2234</v>
      </c>
      <c r="B20" s="1" t="s">
        <v>2256</v>
      </c>
      <c r="C20" s="1" t="str">
        <f aca="false">B20&amp;A20</f>
        <v>3D01</v>
      </c>
      <c r="D20" s="1" t="s">
        <v>2257</v>
      </c>
      <c r="E20" s="1" t="s">
        <v>2221</v>
      </c>
      <c r="F20" s="1" t="s">
        <v>2221</v>
      </c>
      <c r="G20" s="1" t="s">
        <v>2221</v>
      </c>
      <c r="I20" s="1" t="str">
        <f aca="false">IF(E20&lt;&gt;"&lt;null&gt;",E20,"")</f>
        <v/>
      </c>
      <c r="J20" s="1" t="str">
        <f aca="false">IF(I20&lt;&gt;"",C20,"")</f>
        <v/>
      </c>
      <c r="L20" s="1" t="str">
        <f aca="false">"0x"&amp;C20</f>
        <v>0x3D01</v>
      </c>
      <c r="M20" s="1" t="str">
        <f aca="false">VLOOKUP(L20,$N$2:$O$426,2,)</f>
        <v>Pokémon Mansion 3F</v>
      </c>
      <c r="N20" s="1" t="s">
        <v>38</v>
      </c>
      <c r="O20" s="1" t="s">
        <v>39</v>
      </c>
    </row>
    <row r="21" customFormat="false" ht="12.75" hidden="false" customHeight="true" outlineLevel="0" collapsed="false">
      <c r="A21" s="1" t="s">
        <v>2234</v>
      </c>
      <c r="B21" s="1" t="s">
        <v>2258</v>
      </c>
      <c r="C21" s="1" t="str">
        <f aca="false">B21&amp;A21</f>
        <v>3E01</v>
      </c>
      <c r="D21" s="1" t="s">
        <v>2259</v>
      </c>
      <c r="E21" s="1" t="s">
        <v>2221</v>
      </c>
      <c r="F21" s="1" t="s">
        <v>2221</v>
      </c>
      <c r="G21" s="1" t="s">
        <v>2221</v>
      </c>
      <c r="I21" s="1" t="str">
        <f aca="false">IF(E21&lt;&gt;"&lt;null&gt;",E21,"")</f>
        <v/>
      </c>
      <c r="J21" s="1" t="str">
        <f aca="false">IF(I21&lt;&gt;"",C21,"")</f>
        <v/>
      </c>
      <c r="L21" s="1" t="str">
        <f aca="false">"0x"&amp;C21</f>
        <v>0x3E01</v>
      </c>
      <c r="M21" s="1" t="str">
        <f aca="false">VLOOKUP(L21,$N$2:$O$426,2,)</f>
        <v>Pokémon Mansion B1F</v>
      </c>
      <c r="N21" s="1" t="s">
        <v>40</v>
      </c>
      <c r="O21" s="1" t="s">
        <v>41</v>
      </c>
    </row>
    <row r="22" customFormat="false" ht="12.75" hidden="false" customHeight="true" outlineLevel="0" collapsed="false">
      <c r="A22" s="1" t="s">
        <v>2234</v>
      </c>
      <c r="B22" s="1" t="s">
        <v>2260</v>
      </c>
      <c r="C22" s="1" t="str">
        <f aca="false">B22&amp;A22</f>
        <v>3F01</v>
      </c>
      <c r="D22" s="1" t="s">
        <v>2261</v>
      </c>
      <c r="E22" s="1" t="s">
        <v>2262</v>
      </c>
      <c r="F22" s="1" t="s">
        <v>2221</v>
      </c>
      <c r="G22" s="1" t="s">
        <v>2263</v>
      </c>
      <c r="I22" s="1" t="str">
        <f aca="false">IF(E22&lt;&gt;"&lt;null&gt;",E22,"")</f>
        <v>&lt;3CF028&gt;</v>
      </c>
      <c r="J22" s="1" t="str">
        <f aca="false">IF(I22&lt;&gt;"",C22,"")</f>
        <v>3F01</v>
      </c>
      <c r="L22" s="1" t="str">
        <f aca="false">"0x"&amp;C22</f>
        <v>0x3F01</v>
      </c>
      <c r="M22" s="1" t="str">
        <f aca="false">VLOOKUP(L22,$N$2:$O$426,2,)</f>
        <v>Safari Zone Center</v>
      </c>
      <c r="N22" s="1" t="s">
        <v>42</v>
      </c>
      <c r="O22" s="1" t="s">
        <v>43</v>
      </c>
    </row>
    <row r="23" customFormat="false" ht="12.75" hidden="false" customHeight="true" outlineLevel="0" collapsed="false">
      <c r="A23" s="1" t="s">
        <v>2234</v>
      </c>
      <c r="B23" s="1" t="s">
        <v>2264</v>
      </c>
      <c r="C23" s="1" t="str">
        <f aca="false">B23&amp;A23</f>
        <v>4001</v>
      </c>
      <c r="D23" s="1" t="s">
        <v>2265</v>
      </c>
      <c r="E23" s="1" t="s">
        <v>2266</v>
      </c>
      <c r="F23" s="1" t="s">
        <v>2221</v>
      </c>
      <c r="G23" s="1" t="s">
        <v>2267</v>
      </c>
      <c r="I23" s="1" t="str">
        <f aca="false">IF(E23&lt;&gt;"&lt;null&gt;",E23,"")</f>
        <v>&lt;3CF0AC&gt;</v>
      </c>
      <c r="J23" s="1" t="str">
        <f aca="false">IF(I23&lt;&gt;"",C23,"")</f>
        <v>4001</v>
      </c>
      <c r="L23" s="1" t="str">
        <f aca="false">"0x"&amp;C23</f>
        <v>0x4001</v>
      </c>
      <c r="M23" s="1" t="str">
        <f aca="false">VLOOKUP(L23,$N$2:$O$426,2,)</f>
        <v>Safari Zone East</v>
      </c>
      <c r="N23" s="1" t="s">
        <v>44</v>
      </c>
      <c r="O23" s="1" t="s">
        <v>45</v>
      </c>
    </row>
    <row r="24" customFormat="false" ht="12.75" hidden="false" customHeight="true" outlineLevel="0" collapsed="false">
      <c r="A24" s="1" t="s">
        <v>2234</v>
      </c>
      <c r="B24" s="1" t="s">
        <v>2268</v>
      </c>
      <c r="C24" s="1" t="str">
        <f aca="false">B24&amp;A24</f>
        <v>4101</v>
      </c>
      <c r="D24" s="1" t="s">
        <v>2269</v>
      </c>
      <c r="E24" s="1" t="s">
        <v>2270</v>
      </c>
      <c r="F24" s="1" t="s">
        <v>2221</v>
      </c>
      <c r="G24" s="1" t="s">
        <v>2271</v>
      </c>
      <c r="I24" s="1" t="str">
        <f aca="false">IF(E24&lt;&gt;"&lt;null&gt;",E24,"")</f>
        <v>&lt;3CF130&gt;</v>
      </c>
      <c r="J24" s="1" t="str">
        <f aca="false">IF(I24&lt;&gt;"",C24,"")</f>
        <v>4101</v>
      </c>
      <c r="L24" s="1" t="str">
        <f aca="false">"0x"&amp;C24</f>
        <v>0x4101</v>
      </c>
      <c r="M24" s="1" t="str">
        <f aca="false">VLOOKUP(L24,$N$2:$O$426,2,)</f>
        <v>Safari Zone North</v>
      </c>
      <c r="N24" s="1" t="s">
        <v>46</v>
      </c>
      <c r="O24" s="1" t="s">
        <v>47</v>
      </c>
    </row>
    <row r="25" customFormat="false" ht="12.75" hidden="false" customHeight="true" outlineLevel="0" collapsed="false">
      <c r="A25" s="1" t="s">
        <v>2234</v>
      </c>
      <c r="B25" s="1" t="s">
        <v>2272</v>
      </c>
      <c r="C25" s="1" t="str">
        <f aca="false">B25&amp;A25</f>
        <v>4201</v>
      </c>
      <c r="D25" s="1" t="s">
        <v>2273</v>
      </c>
      <c r="E25" s="1" t="s">
        <v>2274</v>
      </c>
      <c r="F25" s="1" t="s">
        <v>2221</v>
      </c>
      <c r="G25" s="1" t="s">
        <v>2275</v>
      </c>
      <c r="I25" s="1" t="str">
        <f aca="false">IF(E25&lt;&gt;"&lt;null&gt;",E25,"")</f>
        <v>&lt;3CF1B4&gt;</v>
      </c>
      <c r="J25" s="1" t="str">
        <f aca="false">IF(I25&lt;&gt;"",C25,"")</f>
        <v>4201</v>
      </c>
      <c r="L25" s="1" t="str">
        <f aca="false">"0x"&amp;C25</f>
        <v>0x4201</v>
      </c>
      <c r="M25" s="1" t="str">
        <f aca="false">VLOOKUP(L25,$N$2:$O$426,2,)</f>
        <v>Safari Zone West</v>
      </c>
      <c r="N25" s="1" t="s">
        <v>48</v>
      </c>
      <c r="O25" s="1" t="s">
        <v>49</v>
      </c>
    </row>
    <row r="26" customFormat="false" ht="12.75" hidden="false" customHeight="true" outlineLevel="0" collapsed="false">
      <c r="A26" s="1" t="s">
        <v>2234</v>
      </c>
      <c r="B26" s="1" t="s">
        <v>2276</v>
      </c>
      <c r="C26" s="1" t="str">
        <f aca="false">B26&amp;A26</f>
        <v>4801</v>
      </c>
      <c r="D26" s="1" t="s">
        <v>2277</v>
      </c>
      <c r="E26" s="1" t="s">
        <v>2278</v>
      </c>
      <c r="F26" s="1" t="s">
        <v>2221</v>
      </c>
      <c r="G26" s="1" t="s">
        <v>2279</v>
      </c>
      <c r="I26" s="1" t="str">
        <f aca="false">IF(E26&lt;&gt;"&lt;null&gt;",E26,"")</f>
        <v>&lt;3CF238&gt;</v>
      </c>
      <c r="J26" s="1" t="str">
        <f aca="false">IF(I26&lt;&gt;"",C26,"")</f>
        <v>4801</v>
      </c>
      <c r="L26" s="1" t="str">
        <f aca="false">"0x"&amp;C26</f>
        <v>0x4801</v>
      </c>
      <c r="M26" s="1" t="str">
        <f aca="false">VLOOKUP(L26,$N$2:$O$426,2,)</f>
        <v>Cerulean Cave 1F</v>
      </c>
      <c r="N26" s="1" t="s">
        <v>50</v>
      </c>
      <c r="O26" s="1" t="s">
        <v>51</v>
      </c>
    </row>
    <row r="27" customFormat="false" ht="12.75" hidden="false" customHeight="true" outlineLevel="0" collapsed="false">
      <c r="A27" s="1" t="s">
        <v>2234</v>
      </c>
      <c r="B27" s="1" t="s">
        <v>2280</v>
      </c>
      <c r="C27" s="1" t="str">
        <f aca="false">B27&amp;A27</f>
        <v>4901</v>
      </c>
      <c r="D27" s="1" t="s">
        <v>2281</v>
      </c>
      <c r="E27" s="1" t="s">
        <v>2221</v>
      </c>
      <c r="F27" s="1" t="s">
        <v>2221</v>
      </c>
      <c r="G27" s="1" t="s">
        <v>2221</v>
      </c>
      <c r="I27" s="1" t="str">
        <f aca="false">IF(E27&lt;&gt;"&lt;null&gt;",E27,"")</f>
        <v/>
      </c>
      <c r="J27" s="1" t="str">
        <f aca="false">IF(I27&lt;&gt;"",C27,"")</f>
        <v/>
      </c>
      <c r="L27" s="1" t="str">
        <f aca="false">"0x"&amp;C27</f>
        <v>0x4901</v>
      </c>
      <c r="M27" s="1" t="str">
        <f aca="false">VLOOKUP(L27,$N$2:$O$426,2,)</f>
        <v>Cerulean Cave 2F</v>
      </c>
      <c r="N27" s="1" t="s">
        <v>52</v>
      </c>
      <c r="O27" s="1" t="s">
        <v>53</v>
      </c>
    </row>
    <row r="28" customFormat="false" ht="12.75" hidden="false" customHeight="true" outlineLevel="0" collapsed="false">
      <c r="A28" s="1" t="s">
        <v>2234</v>
      </c>
      <c r="B28" s="1" t="s">
        <v>2282</v>
      </c>
      <c r="C28" s="1" t="str">
        <f aca="false">B28&amp;A28</f>
        <v>4A01</v>
      </c>
      <c r="D28" s="1" t="s">
        <v>2283</v>
      </c>
      <c r="E28" s="1" t="s">
        <v>2284</v>
      </c>
      <c r="F28" s="1" t="s">
        <v>2221</v>
      </c>
      <c r="G28" s="1" t="s">
        <v>2285</v>
      </c>
      <c r="I28" s="1" t="str">
        <f aca="false">IF(E28&lt;&gt;"&lt;null&gt;",E28,"")</f>
        <v>&lt;3CF2F4&gt;</v>
      </c>
      <c r="J28" s="1" t="str">
        <f aca="false">IF(I28&lt;&gt;"",C28,"")</f>
        <v>4A01</v>
      </c>
      <c r="L28" s="1" t="str">
        <f aca="false">"0x"&amp;C28</f>
        <v>0x4A01</v>
      </c>
      <c r="M28" s="1" t="str">
        <f aca="false">VLOOKUP(L28,$N$2:$O$426,2,)</f>
        <v>Cerulean Cave B1F</v>
      </c>
      <c r="N28" s="1" t="s">
        <v>54</v>
      </c>
      <c r="O28" s="1" t="s">
        <v>55</v>
      </c>
    </row>
    <row r="29" customFormat="false" ht="12.75" hidden="false" customHeight="true" outlineLevel="0" collapsed="false">
      <c r="A29" s="1" t="s">
        <v>2234</v>
      </c>
      <c r="B29" s="1" t="s">
        <v>2286</v>
      </c>
      <c r="C29" s="1" t="str">
        <f aca="false">B29&amp;A29</f>
        <v>5101</v>
      </c>
      <c r="D29" s="1" t="s">
        <v>2287</v>
      </c>
      <c r="E29" s="1" t="s">
        <v>2221</v>
      </c>
      <c r="F29" s="1" t="s">
        <v>2221</v>
      </c>
      <c r="G29" s="1" t="s">
        <v>2221</v>
      </c>
      <c r="I29" s="1" t="str">
        <f aca="false">IF(E29&lt;&gt;"&lt;null&gt;",E29,"")</f>
        <v/>
      </c>
      <c r="J29" s="1" t="str">
        <f aca="false">IF(I29&lt;&gt;"",C29,"")</f>
        <v/>
      </c>
      <c r="L29" s="1" t="str">
        <f aca="false">"0x"&amp;C29</f>
        <v>0x5101</v>
      </c>
      <c r="M29" s="1" t="str">
        <f aca="false">VLOOKUP(L29,$N$2:$O$426,2,)</f>
        <v>Rock Tunnel 1F</v>
      </c>
      <c r="N29" s="1" t="s">
        <v>56</v>
      </c>
      <c r="O29" s="1" t="s">
        <v>57</v>
      </c>
    </row>
    <row r="30" customFormat="false" ht="12.75" hidden="false" customHeight="true" outlineLevel="0" collapsed="false">
      <c r="A30" s="1" t="s">
        <v>2234</v>
      </c>
      <c r="B30" s="1" t="s">
        <v>2288</v>
      </c>
      <c r="C30" s="1" t="str">
        <f aca="false">B30&amp;A30</f>
        <v>5201</v>
      </c>
      <c r="D30" s="1" t="s">
        <v>2289</v>
      </c>
      <c r="E30" s="1" t="s">
        <v>2221</v>
      </c>
      <c r="F30" s="1" t="s">
        <v>2290</v>
      </c>
      <c r="G30" s="1" t="s">
        <v>2221</v>
      </c>
      <c r="I30" s="1" t="str">
        <f aca="false">IF(E30&lt;&gt;"&lt;null&gt;",E30,"")</f>
        <v/>
      </c>
      <c r="J30" s="1" t="str">
        <f aca="false">IF(I30&lt;&gt;"",C30,"")</f>
        <v/>
      </c>
      <c r="L30" s="1" t="str">
        <f aca="false">"0x"&amp;C30</f>
        <v>0x5201</v>
      </c>
      <c r="M30" s="1" t="str">
        <f aca="false">VLOOKUP(L30,$N$2:$O$426,2,)</f>
        <v>Rock Tunnel B1F</v>
      </c>
      <c r="N30" s="1" t="s">
        <v>58</v>
      </c>
      <c r="O30" s="1" t="s">
        <v>59</v>
      </c>
    </row>
    <row r="31" customFormat="false" ht="12.75" hidden="false" customHeight="true" outlineLevel="0" collapsed="false">
      <c r="A31" s="1" t="s">
        <v>2234</v>
      </c>
      <c r="B31" s="1" t="s">
        <v>2291</v>
      </c>
      <c r="C31" s="1" t="str">
        <f aca="false">B31&amp;A31</f>
        <v>5301</v>
      </c>
      <c r="D31" s="1" t="s">
        <v>2292</v>
      </c>
      <c r="E31" s="1" t="s">
        <v>2221</v>
      </c>
      <c r="F31" s="1" t="s">
        <v>2221</v>
      </c>
      <c r="G31" s="1" t="s">
        <v>2221</v>
      </c>
      <c r="I31" s="1" t="str">
        <f aca="false">IF(E31&lt;&gt;"&lt;null&gt;",E31,"")</f>
        <v/>
      </c>
      <c r="J31" s="1" t="str">
        <f aca="false">IF(I31&lt;&gt;"",C31,"")</f>
        <v/>
      </c>
      <c r="L31" s="1" t="str">
        <f aca="false">"0x"&amp;C31</f>
        <v>0x5301</v>
      </c>
      <c r="M31" s="1" t="str">
        <f aca="false">VLOOKUP(L31,$N$2:$O$426,2,)</f>
        <v>Seafoam Islands 1F</v>
      </c>
      <c r="N31" s="1" t="s">
        <v>60</v>
      </c>
      <c r="O31" s="1" t="s">
        <v>61</v>
      </c>
    </row>
    <row r="32" customFormat="false" ht="12.75" hidden="false" customHeight="true" outlineLevel="0" collapsed="false">
      <c r="A32" s="1" t="s">
        <v>2234</v>
      </c>
      <c r="B32" s="1" t="s">
        <v>2293</v>
      </c>
      <c r="C32" s="1" t="str">
        <f aca="false">B32&amp;A32</f>
        <v>5401</v>
      </c>
      <c r="D32" s="1" t="s">
        <v>2294</v>
      </c>
      <c r="E32" s="1" t="s">
        <v>2221</v>
      </c>
      <c r="F32" s="1" t="s">
        <v>2221</v>
      </c>
      <c r="G32" s="1" t="s">
        <v>2221</v>
      </c>
      <c r="I32" s="1" t="str">
        <f aca="false">IF(E32&lt;&gt;"&lt;null&gt;",E32,"")</f>
        <v/>
      </c>
      <c r="J32" s="1" t="str">
        <f aca="false">IF(I32&lt;&gt;"",C32,"")</f>
        <v/>
      </c>
      <c r="L32" s="1" t="str">
        <f aca="false">"0x"&amp;C32</f>
        <v>0x5401</v>
      </c>
      <c r="M32" s="1" t="str">
        <f aca="false">VLOOKUP(L32,$N$2:$O$426,2,)</f>
        <v>Seafoam Islands B1F</v>
      </c>
      <c r="N32" s="1" t="s">
        <v>62</v>
      </c>
      <c r="O32" s="1" t="s">
        <v>63</v>
      </c>
    </row>
    <row r="33" customFormat="false" ht="12.75" hidden="false" customHeight="true" outlineLevel="0" collapsed="false">
      <c r="A33" s="1" t="s">
        <v>2234</v>
      </c>
      <c r="B33" s="1" t="s">
        <v>2295</v>
      </c>
      <c r="C33" s="1" t="str">
        <f aca="false">B33&amp;A33</f>
        <v>5501</v>
      </c>
      <c r="D33" s="1" t="s">
        <v>2296</v>
      </c>
      <c r="E33" s="1" t="s">
        <v>2221</v>
      </c>
      <c r="F33" s="1" t="s">
        <v>2221</v>
      </c>
      <c r="G33" s="1" t="s">
        <v>2221</v>
      </c>
      <c r="I33" s="1" t="str">
        <f aca="false">IF(E33&lt;&gt;"&lt;null&gt;",E33,"")</f>
        <v/>
      </c>
      <c r="J33" s="1" t="str">
        <f aca="false">IF(I33&lt;&gt;"",C33,"")</f>
        <v/>
      </c>
      <c r="L33" s="1" t="str">
        <f aca="false">"0x"&amp;C33</f>
        <v>0x5501</v>
      </c>
      <c r="M33" s="1" t="str">
        <f aca="false">VLOOKUP(L33,$N$2:$O$426,2,)</f>
        <v>Seafoam Islands B2F</v>
      </c>
      <c r="N33" s="1" t="s">
        <v>64</v>
      </c>
      <c r="O33" s="1" t="s">
        <v>65</v>
      </c>
    </row>
    <row r="34" customFormat="false" ht="12.75" hidden="false" customHeight="true" outlineLevel="0" collapsed="false">
      <c r="A34" s="1" t="s">
        <v>2234</v>
      </c>
      <c r="B34" s="1" t="s">
        <v>2297</v>
      </c>
      <c r="C34" s="1" t="str">
        <f aca="false">B34&amp;A34</f>
        <v>5601</v>
      </c>
      <c r="D34" s="1" t="s">
        <v>2298</v>
      </c>
      <c r="E34" s="1" t="s">
        <v>2299</v>
      </c>
      <c r="F34" s="1" t="s">
        <v>2221</v>
      </c>
      <c r="G34" s="1" t="s">
        <v>2300</v>
      </c>
      <c r="I34" s="1" t="str">
        <f aca="false">IF(E34&lt;&gt;"&lt;null&gt;",E34,"")</f>
        <v>&lt;3CF4AC&gt;</v>
      </c>
      <c r="J34" s="1" t="str">
        <f aca="false">IF(I34&lt;&gt;"",C34,"")</f>
        <v>5601</v>
      </c>
      <c r="L34" s="1" t="str">
        <f aca="false">"0x"&amp;C34</f>
        <v>0x5601</v>
      </c>
      <c r="M34" s="1" t="str">
        <f aca="false">VLOOKUP(L34,$N$2:$O$426,2,)</f>
        <v>Seafoam Islands B3F</v>
      </c>
      <c r="N34" s="1" t="s">
        <v>66</v>
      </c>
      <c r="O34" s="1" t="s">
        <v>67</v>
      </c>
    </row>
    <row r="35" customFormat="false" ht="12.75" hidden="false" customHeight="true" outlineLevel="0" collapsed="false">
      <c r="A35" s="1" t="s">
        <v>2234</v>
      </c>
      <c r="B35" s="1" t="s">
        <v>2301</v>
      </c>
      <c r="C35" s="1" t="str">
        <f aca="false">B35&amp;A35</f>
        <v>5701</v>
      </c>
      <c r="D35" s="1" t="s">
        <v>2302</v>
      </c>
      <c r="E35" s="1" t="s">
        <v>2303</v>
      </c>
      <c r="F35" s="1" t="s">
        <v>2221</v>
      </c>
      <c r="G35" s="1" t="s">
        <v>2304</v>
      </c>
      <c r="I35" s="1" t="str">
        <f aca="false">IF(E35&lt;&gt;"&lt;null&gt;",E35,"")</f>
        <v>&lt;3CF530&gt;</v>
      </c>
      <c r="J35" s="1" t="str">
        <f aca="false">IF(I35&lt;&gt;"",C35,"")</f>
        <v>5701</v>
      </c>
      <c r="L35" s="1" t="str">
        <f aca="false">"0x"&amp;C35</f>
        <v>0x5701</v>
      </c>
      <c r="M35" s="1" t="str">
        <f aca="false">VLOOKUP(L35,$N$2:$O$426,2,)</f>
        <v>Seafoam Islands B4F</v>
      </c>
      <c r="N35" s="1" t="s">
        <v>68</v>
      </c>
      <c r="O35" s="1" t="s">
        <v>69</v>
      </c>
    </row>
    <row r="36" customFormat="false" ht="12.75" hidden="false" customHeight="true" outlineLevel="0" collapsed="false">
      <c r="A36" s="1" t="s">
        <v>2234</v>
      </c>
      <c r="B36" s="1" t="s">
        <v>2305</v>
      </c>
      <c r="C36" s="1" t="str">
        <f aca="false">B36&amp;A36</f>
        <v>5A01</v>
      </c>
      <c r="D36" s="1" t="s">
        <v>2306</v>
      </c>
      <c r="E36" s="1" t="s">
        <v>2221</v>
      </c>
      <c r="F36" s="1" t="s">
        <v>2221</v>
      </c>
      <c r="G36" s="1" t="s">
        <v>2221</v>
      </c>
      <c r="I36" s="1" t="str">
        <f aca="false">IF(E36&lt;&gt;"&lt;null&gt;",E36,"")</f>
        <v/>
      </c>
      <c r="J36" s="1" t="str">
        <f aca="false">IF(I36&lt;&gt;"",C36,"")</f>
        <v/>
      </c>
      <c r="L36" s="1" t="str">
        <f aca="false">"0x"&amp;C36</f>
        <v>0x5A01</v>
      </c>
      <c r="M36" s="1" t="str">
        <f aca="false">VLOOKUP(L36,$N$2:$O$426,2,)</f>
        <v>Pokémon Tower 3F</v>
      </c>
      <c r="N36" s="1" t="s">
        <v>70</v>
      </c>
      <c r="O36" s="1" t="s">
        <v>71</v>
      </c>
    </row>
    <row r="37" customFormat="false" ht="12.75" hidden="false" customHeight="true" outlineLevel="0" collapsed="false">
      <c r="A37" s="1" t="s">
        <v>2234</v>
      </c>
      <c r="B37" s="1" t="s">
        <v>2307</v>
      </c>
      <c r="C37" s="1" t="str">
        <f aca="false">B37&amp;A37</f>
        <v>5B01</v>
      </c>
      <c r="D37" s="1" t="s">
        <v>2308</v>
      </c>
      <c r="E37" s="1" t="s">
        <v>2221</v>
      </c>
      <c r="F37" s="1" t="s">
        <v>2221</v>
      </c>
      <c r="G37" s="1" t="s">
        <v>2221</v>
      </c>
      <c r="I37" s="1" t="str">
        <f aca="false">IF(E37&lt;&gt;"&lt;null&gt;",E37,"")</f>
        <v/>
      </c>
      <c r="J37" s="1" t="str">
        <f aca="false">IF(I37&lt;&gt;"",C37,"")</f>
        <v/>
      </c>
      <c r="L37" s="1" t="str">
        <f aca="false">"0x"&amp;C37</f>
        <v>0x5B01</v>
      </c>
      <c r="M37" s="1" t="str">
        <f aca="false">VLOOKUP(L37,$N$2:$O$426,2,)</f>
        <v>Pokémon Tower 4F</v>
      </c>
      <c r="N37" s="1" t="s">
        <v>72</v>
      </c>
      <c r="O37" s="1" t="s">
        <v>73</v>
      </c>
    </row>
    <row r="38" customFormat="false" ht="12.75" hidden="false" customHeight="true" outlineLevel="0" collapsed="false">
      <c r="A38" s="1" t="s">
        <v>2234</v>
      </c>
      <c r="B38" s="1" t="s">
        <v>2309</v>
      </c>
      <c r="C38" s="1" t="str">
        <f aca="false">B38&amp;A38</f>
        <v>5C01</v>
      </c>
      <c r="D38" s="1" t="s">
        <v>2310</v>
      </c>
      <c r="E38" s="1" t="s">
        <v>2221</v>
      </c>
      <c r="F38" s="1" t="s">
        <v>2221</v>
      </c>
      <c r="G38" s="1" t="s">
        <v>2221</v>
      </c>
      <c r="I38" s="1" t="str">
        <f aca="false">IF(E38&lt;&gt;"&lt;null&gt;",E38,"")</f>
        <v/>
      </c>
      <c r="J38" s="1" t="str">
        <f aca="false">IF(I38&lt;&gt;"",C38,"")</f>
        <v/>
      </c>
      <c r="L38" s="1" t="str">
        <f aca="false">"0x"&amp;C38</f>
        <v>0x5C01</v>
      </c>
      <c r="M38" s="1" t="str">
        <f aca="false">VLOOKUP(L38,$N$2:$O$426,2,)</f>
        <v>Pokémon Tower 5F</v>
      </c>
      <c r="N38" s="1" t="s">
        <v>74</v>
      </c>
      <c r="O38" s="1" t="s">
        <v>75</v>
      </c>
    </row>
    <row r="39" customFormat="false" ht="12.75" hidden="false" customHeight="true" outlineLevel="0" collapsed="false">
      <c r="A39" s="1" t="s">
        <v>2234</v>
      </c>
      <c r="B39" s="1" t="s">
        <v>2311</v>
      </c>
      <c r="C39" s="1" t="str">
        <f aca="false">B39&amp;A39</f>
        <v>5D01</v>
      </c>
      <c r="D39" s="1" t="s">
        <v>2312</v>
      </c>
      <c r="E39" s="1" t="s">
        <v>2221</v>
      </c>
      <c r="F39" s="1" t="s">
        <v>2221</v>
      </c>
      <c r="G39" s="1" t="s">
        <v>2221</v>
      </c>
      <c r="I39" s="1" t="str">
        <f aca="false">IF(E39&lt;&gt;"&lt;null&gt;",E39,"")</f>
        <v/>
      </c>
      <c r="J39" s="1" t="str">
        <f aca="false">IF(I39&lt;&gt;"",C39,"")</f>
        <v/>
      </c>
      <c r="L39" s="1" t="str">
        <f aca="false">"0x"&amp;C39</f>
        <v>0x5D01</v>
      </c>
      <c r="M39" s="1" t="str">
        <f aca="false">VLOOKUP(L39,$N$2:$O$426,2,)</f>
        <v>Pokémon Tower 6F</v>
      </c>
      <c r="N39" s="1" t="s">
        <v>76</v>
      </c>
      <c r="O39" s="1" t="s">
        <v>77</v>
      </c>
    </row>
    <row r="40" customFormat="false" ht="12.75" hidden="false" customHeight="true" outlineLevel="0" collapsed="false">
      <c r="A40" s="1" t="s">
        <v>2234</v>
      </c>
      <c r="B40" s="1" t="s">
        <v>2313</v>
      </c>
      <c r="C40" s="1" t="str">
        <f aca="false">B40&amp;A40</f>
        <v>5E01</v>
      </c>
      <c r="D40" s="1" t="s">
        <v>2314</v>
      </c>
      <c r="E40" s="1" t="s">
        <v>2221</v>
      </c>
      <c r="F40" s="1" t="s">
        <v>2221</v>
      </c>
      <c r="G40" s="1" t="s">
        <v>2221</v>
      </c>
      <c r="I40" s="1" t="str">
        <f aca="false">IF(E40&lt;&gt;"&lt;null&gt;",E40,"")</f>
        <v/>
      </c>
      <c r="J40" s="1" t="str">
        <f aca="false">IF(I40&lt;&gt;"",C40,"")</f>
        <v/>
      </c>
      <c r="L40" s="1" t="str">
        <f aca="false">"0x"&amp;C40</f>
        <v>0x5E01</v>
      </c>
      <c r="M40" s="1" t="str">
        <f aca="false">VLOOKUP(L40,$N$2:$O$426,2,)</f>
        <v>Pokémon Tower 7F</v>
      </c>
      <c r="N40" s="1" t="s">
        <v>78</v>
      </c>
      <c r="O40" s="1" t="s">
        <v>79</v>
      </c>
    </row>
    <row r="41" customFormat="false" ht="12.75" hidden="false" customHeight="true" outlineLevel="0" collapsed="false">
      <c r="A41" s="1" t="s">
        <v>2234</v>
      </c>
      <c r="B41" s="1" t="s">
        <v>2315</v>
      </c>
      <c r="C41" s="1" t="str">
        <f aca="false">B41&amp;A41</f>
        <v>5F01</v>
      </c>
      <c r="D41" s="1" t="s">
        <v>2316</v>
      </c>
      <c r="E41" s="1" t="s">
        <v>2221</v>
      </c>
      <c r="F41" s="1" t="s">
        <v>2221</v>
      </c>
      <c r="G41" s="1" t="s">
        <v>2221</v>
      </c>
      <c r="I41" s="1" t="str">
        <f aca="false">IF(E41&lt;&gt;"&lt;null&gt;",E41,"")</f>
        <v/>
      </c>
      <c r="J41" s="1" t="str">
        <f aca="false">IF(I41&lt;&gt;"",C41,"")</f>
        <v/>
      </c>
      <c r="L41" s="1" t="str">
        <f aca="false">"0x"&amp;C41</f>
        <v>0x5F01</v>
      </c>
      <c r="M41" s="1" t="str">
        <f aca="false">VLOOKUP(L41,$N$2:$O$426,2,)</f>
        <v>Power Plant</v>
      </c>
      <c r="N41" s="1" t="s">
        <v>80</v>
      </c>
      <c r="O41" s="1" t="s">
        <v>81</v>
      </c>
    </row>
    <row r="42" customFormat="false" ht="12.75" hidden="false" customHeight="true" outlineLevel="0" collapsed="false">
      <c r="A42" s="1" t="s">
        <v>2234</v>
      </c>
      <c r="B42" s="1" t="s">
        <v>2317</v>
      </c>
      <c r="C42" s="1" t="str">
        <f aca="false">B42&amp;A42</f>
        <v>6101</v>
      </c>
      <c r="D42" s="1" t="s">
        <v>2318</v>
      </c>
      <c r="E42" s="1" t="s">
        <v>2221</v>
      </c>
      <c r="F42" s="1" t="s">
        <v>2319</v>
      </c>
      <c r="G42" s="1" t="s">
        <v>2221</v>
      </c>
      <c r="I42" s="1" t="str">
        <f aca="false">IF(E42&lt;&gt;"&lt;null&gt;",E42,"")</f>
        <v/>
      </c>
      <c r="J42" s="1" t="str">
        <f aca="false">IF(I42&lt;&gt;"",C42,"")</f>
        <v/>
      </c>
      <c r="L42" s="1" t="str">
        <f aca="false">"0x"&amp;C42</f>
        <v>0x6101</v>
      </c>
      <c r="M42" s="1" t="str">
        <f aca="false">VLOOKUP(L42,$N$2:$O$426,2,)</f>
        <v>Mt. Ember Exterior</v>
      </c>
      <c r="N42" s="1" t="s">
        <v>82</v>
      </c>
      <c r="O42" s="1" t="s">
        <v>83</v>
      </c>
    </row>
    <row r="43" customFormat="false" ht="12.75" hidden="false" customHeight="true" outlineLevel="0" collapsed="false">
      <c r="A43" s="1" t="s">
        <v>2234</v>
      </c>
      <c r="B43" s="1" t="s">
        <v>2320</v>
      </c>
      <c r="C43" s="1" t="str">
        <f aca="false">B43&amp;A43</f>
        <v>6201</v>
      </c>
      <c r="D43" s="1" t="s">
        <v>2321</v>
      </c>
      <c r="E43" s="1" t="s">
        <v>2221</v>
      </c>
      <c r="F43" s="1" t="s">
        <v>2221</v>
      </c>
      <c r="G43" s="1" t="s">
        <v>2221</v>
      </c>
      <c r="I43" s="1" t="str">
        <f aca="false">IF(E43&lt;&gt;"&lt;null&gt;",E43,"")</f>
        <v/>
      </c>
      <c r="J43" s="1" t="str">
        <f aca="false">IF(I43&lt;&gt;"",C43,"")</f>
        <v/>
      </c>
      <c r="L43" s="1" t="str">
        <f aca="false">"0x"&amp;C43</f>
        <v>0x6201</v>
      </c>
      <c r="M43" s="1" t="str">
        <f aca="false">VLOOKUP(L43,$N$2:$O$426,2,)</f>
        <v>Mt. Ember Summit Path 1F</v>
      </c>
      <c r="N43" s="1" t="s">
        <v>84</v>
      </c>
      <c r="O43" s="1" t="s">
        <v>85</v>
      </c>
    </row>
    <row r="44" customFormat="false" ht="12.75" hidden="false" customHeight="true" outlineLevel="0" collapsed="false">
      <c r="A44" s="1" t="s">
        <v>2234</v>
      </c>
      <c r="B44" s="1" t="s">
        <v>2322</v>
      </c>
      <c r="C44" s="1" t="str">
        <f aca="false">B44&amp;A44</f>
        <v>6301</v>
      </c>
      <c r="D44" s="1" t="s">
        <v>2323</v>
      </c>
      <c r="E44" s="1" t="s">
        <v>2221</v>
      </c>
      <c r="F44" s="1" t="s">
        <v>2324</v>
      </c>
      <c r="G44" s="1" t="s">
        <v>2221</v>
      </c>
      <c r="I44" s="1" t="str">
        <f aca="false">IF(E44&lt;&gt;"&lt;null&gt;",E44,"")</f>
        <v/>
      </c>
      <c r="J44" s="1" t="str">
        <f aca="false">IF(I44&lt;&gt;"",C44,"")</f>
        <v/>
      </c>
      <c r="L44" s="1" t="str">
        <f aca="false">"0x"&amp;C44</f>
        <v>0x6301</v>
      </c>
      <c r="M44" s="1" t="str">
        <f aca="false">VLOOKUP(L44,$N$2:$O$426,2,)</f>
        <v>Mt. Ember Summit Path 2F</v>
      </c>
      <c r="N44" s="1" t="s">
        <v>86</v>
      </c>
      <c r="O44" s="1" t="s">
        <v>87</v>
      </c>
    </row>
    <row r="45" customFormat="false" ht="12.75" hidden="false" customHeight="true" outlineLevel="0" collapsed="false">
      <c r="A45" s="1" t="s">
        <v>2234</v>
      </c>
      <c r="B45" s="1" t="s">
        <v>2325</v>
      </c>
      <c r="C45" s="1" t="str">
        <f aca="false">B45&amp;A45</f>
        <v>6401</v>
      </c>
      <c r="D45" s="1" t="s">
        <v>2326</v>
      </c>
      <c r="E45" s="1" t="s">
        <v>2221</v>
      </c>
      <c r="F45" s="1" t="s">
        <v>2221</v>
      </c>
      <c r="G45" s="1" t="s">
        <v>2221</v>
      </c>
      <c r="I45" s="1" t="str">
        <f aca="false">IF(E45&lt;&gt;"&lt;null&gt;",E45,"")</f>
        <v/>
      </c>
      <c r="J45" s="1" t="str">
        <f aca="false">IF(I45&lt;&gt;"",C45,"")</f>
        <v/>
      </c>
      <c r="L45" s="1" t="str">
        <f aca="false">"0x"&amp;C45</f>
        <v>0x6401</v>
      </c>
      <c r="M45" s="1" t="str">
        <f aca="false">VLOOKUP(L45,$N$2:$O$426,2,)</f>
        <v>Mt. Ember Summit Path 3F</v>
      </c>
      <c r="N45" s="1" t="s">
        <v>88</v>
      </c>
      <c r="O45" s="1" t="s">
        <v>89</v>
      </c>
    </row>
    <row r="46" customFormat="false" ht="12.75" hidden="false" customHeight="true" outlineLevel="0" collapsed="false">
      <c r="A46" s="1" t="s">
        <v>2234</v>
      </c>
      <c r="B46" s="1" t="s">
        <v>2327</v>
      </c>
      <c r="C46" s="1" t="str">
        <f aca="false">B46&amp;A46</f>
        <v>6701</v>
      </c>
      <c r="D46" s="1" t="s">
        <v>2328</v>
      </c>
      <c r="E46" s="1" t="s">
        <v>2221</v>
      </c>
      <c r="F46" s="1" t="s">
        <v>2329</v>
      </c>
      <c r="G46" s="1" t="s">
        <v>2221</v>
      </c>
      <c r="I46" s="1" t="str">
        <f aca="false">IF(E46&lt;&gt;"&lt;null&gt;",E46,"")</f>
        <v/>
      </c>
      <c r="J46" s="1" t="str">
        <f aca="false">IF(I46&lt;&gt;"",C46,"")</f>
        <v/>
      </c>
      <c r="L46" s="1" t="str">
        <f aca="false">"0x"&amp;C46</f>
        <v>0x6701</v>
      </c>
      <c r="M46" s="1" t="str">
        <f aca="false">VLOOKUP(L46,$N$2:$O$426,2,)</f>
        <v>Mt. Ember Ruby Path 1F</v>
      </c>
      <c r="N46" s="1" t="s">
        <v>90</v>
      </c>
      <c r="O46" s="1" t="s">
        <v>91</v>
      </c>
    </row>
    <row r="47" customFormat="false" ht="12.75" hidden="false" customHeight="true" outlineLevel="0" collapsed="false">
      <c r="A47" s="1" t="s">
        <v>2234</v>
      </c>
      <c r="B47" s="1" t="s">
        <v>2330</v>
      </c>
      <c r="C47" s="1" t="str">
        <f aca="false">B47&amp;A47</f>
        <v>6801</v>
      </c>
      <c r="D47" s="1" t="s">
        <v>2331</v>
      </c>
      <c r="E47" s="1" t="s">
        <v>2221</v>
      </c>
      <c r="F47" s="1" t="s">
        <v>2332</v>
      </c>
      <c r="G47" s="1" t="s">
        <v>2221</v>
      </c>
      <c r="I47" s="1" t="str">
        <f aca="false">IF(E47&lt;&gt;"&lt;null&gt;",E47,"")</f>
        <v/>
      </c>
      <c r="J47" s="1" t="str">
        <f aca="false">IF(I47&lt;&gt;"",C47,"")</f>
        <v/>
      </c>
      <c r="L47" s="1" t="str">
        <f aca="false">"0x"&amp;C47</f>
        <v>0x6801</v>
      </c>
      <c r="M47" s="1" t="str">
        <f aca="false">VLOOKUP(L47,$N$2:$O$426,2,)</f>
        <v>Mt. Ember Ruby Path B1F</v>
      </c>
      <c r="N47" s="1" t="s">
        <v>92</v>
      </c>
      <c r="O47" s="1" t="s">
        <v>93</v>
      </c>
    </row>
    <row r="48" customFormat="false" ht="12.75" hidden="false" customHeight="true" outlineLevel="0" collapsed="false">
      <c r="A48" s="1" t="s">
        <v>2234</v>
      </c>
      <c r="B48" s="1" t="s">
        <v>2333</v>
      </c>
      <c r="C48" s="1" t="str">
        <f aca="false">B48&amp;A48</f>
        <v>6901</v>
      </c>
      <c r="D48" s="1" t="s">
        <v>2334</v>
      </c>
      <c r="E48" s="1" t="s">
        <v>2221</v>
      </c>
      <c r="F48" s="1" t="s">
        <v>2335</v>
      </c>
      <c r="G48" s="1" t="s">
        <v>2221</v>
      </c>
      <c r="I48" s="1" t="str">
        <f aca="false">IF(E48&lt;&gt;"&lt;null&gt;",E48,"")</f>
        <v/>
      </c>
      <c r="J48" s="1" t="str">
        <f aca="false">IF(I48&lt;&gt;"",C48,"")</f>
        <v/>
      </c>
      <c r="L48" s="1" t="str">
        <f aca="false">"0x"&amp;C48</f>
        <v>0x6901</v>
      </c>
      <c r="M48" s="1" t="str">
        <f aca="false">VLOOKUP(L48,$N$2:$O$426,2,)</f>
        <v>Mt. Ember Ruby Path B2F</v>
      </c>
      <c r="N48" s="1" t="s">
        <v>94</v>
      </c>
      <c r="O48" s="1" t="s">
        <v>95</v>
      </c>
    </row>
    <row r="49" customFormat="false" ht="12.75" hidden="false" customHeight="true" outlineLevel="0" collapsed="false">
      <c r="A49" s="1" t="s">
        <v>2234</v>
      </c>
      <c r="B49" s="1" t="s">
        <v>2336</v>
      </c>
      <c r="C49" s="1" t="str">
        <f aca="false">B49&amp;A49</f>
        <v>6A01</v>
      </c>
      <c r="D49" s="1" t="s">
        <v>2337</v>
      </c>
      <c r="E49" s="1" t="s">
        <v>2221</v>
      </c>
      <c r="F49" s="1" t="s">
        <v>2338</v>
      </c>
      <c r="G49" s="1" t="s">
        <v>2221</v>
      </c>
      <c r="I49" s="1" t="str">
        <f aca="false">IF(E49&lt;&gt;"&lt;null&gt;",E49,"")</f>
        <v/>
      </c>
      <c r="J49" s="1" t="str">
        <f aca="false">IF(I49&lt;&gt;"",C49,"")</f>
        <v/>
      </c>
      <c r="L49" s="1" t="str">
        <f aca="false">"0x"&amp;C49</f>
        <v>0x6A01</v>
      </c>
      <c r="M49" s="1" t="str">
        <f aca="false">VLOOKUP(L49,$N$2:$O$426,2,)</f>
        <v>Mt. Ember Ruby Path B3F</v>
      </c>
      <c r="N49" s="1" t="s">
        <v>96</v>
      </c>
      <c r="O49" s="1" t="s">
        <v>97</v>
      </c>
    </row>
    <row r="50" customFormat="false" ht="12.75" hidden="false" customHeight="true" outlineLevel="0" collapsed="false">
      <c r="A50" s="1" t="s">
        <v>2234</v>
      </c>
      <c r="B50" s="1" t="s">
        <v>2339</v>
      </c>
      <c r="C50" s="1" t="str">
        <f aca="false">B50&amp;A50</f>
        <v>6B01</v>
      </c>
      <c r="D50" s="1" t="s">
        <v>2340</v>
      </c>
      <c r="E50" s="1" t="s">
        <v>2221</v>
      </c>
      <c r="F50" s="1" t="s">
        <v>2341</v>
      </c>
      <c r="G50" s="1" t="s">
        <v>2221</v>
      </c>
      <c r="I50" s="1" t="str">
        <f aca="false">IF(E50&lt;&gt;"&lt;null&gt;",E50,"")</f>
        <v/>
      </c>
      <c r="J50" s="1" t="str">
        <f aca="false">IF(I50&lt;&gt;"",C50,"")</f>
        <v/>
      </c>
      <c r="L50" s="1" t="str">
        <f aca="false">"0x"&amp;C50</f>
        <v>0x6B01</v>
      </c>
      <c r="M50" s="1" t="str">
        <f aca="false">VLOOKUP(L50,$N$2:$O$426,2,)</f>
        <v>Mt. Ember Ruby Path B1F Stairs</v>
      </c>
      <c r="N50" s="1" t="s">
        <v>98</v>
      </c>
      <c r="O50" s="1" t="s">
        <v>99</v>
      </c>
    </row>
    <row r="51" customFormat="false" ht="12.75" hidden="false" customHeight="true" outlineLevel="0" collapsed="false">
      <c r="A51" s="1" t="s">
        <v>2234</v>
      </c>
      <c r="B51" s="1" t="s">
        <v>2342</v>
      </c>
      <c r="C51" s="1" t="str">
        <f aca="false">B51&amp;A51</f>
        <v>6C01</v>
      </c>
      <c r="D51" s="1" t="s">
        <v>2343</v>
      </c>
      <c r="E51" s="1" t="s">
        <v>2221</v>
      </c>
      <c r="F51" s="1" t="s">
        <v>2344</v>
      </c>
      <c r="G51" s="1" t="s">
        <v>2221</v>
      </c>
      <c r="I51" s="1" t="str">
        <f aca="false">IF(E51&lt;&gt;"&lt;null&gt;",E51,"")</f>
        <v/>
      </c>
      <c r="J51" s="1" t="str">
        <f aca="false">IF(I51&lt;&gt;"",C51,"")</f>
        <v/>
      </c>
      <c r="L51" s="1" t="str">
        <f aca="false">"0x"&amp;C51</f>
        <v>0x6C01</v>
      </c>
      <c r="M51" s="1" t="str">
        <f aca="false">VLOOKUP(L51,$N$2:$O$426,2,)</f>
        <v>Mt. Ember Ruby Path B2F Stairs</v>
      </c>
      <c r="N51" s="1" t="s">
        <v>100</v>
      </c>
      <c r="O51" s="1" t="s">
        <v>101</v>
      </c>
    </row>
    <row r="52" customFormat="false" ht="12.75" hidden="false" customHeight="true" outlineLevel="0" collapsed="false">
      <c r="A52" s="1" t="s">
        <v>2234</v>
      </c>
      <c r="B52" s="1" t="s">
        <v>2345</v>
      </c>
      <c r="C52" s="1" t="str">
        <f aca="false">B52&amp;A52</f>
        <v>6D01</v>
      </c>
      <c r="D52" s="1" t="s">
        <v>2346</v>
      </c>
      <c r="E52" s="1" t="s">
        <v>2347</v>
      </c>
      <c r="F52" s="1" t="s">
        <v>2221</v>
      </c>
      <c r="G52" s="1" t="s">
        <v>2348</v>
      </c>
      <c r="I52" s="1" t="str">
        <f aca="false">IF(E52&lt;&gt;"&lt;null&gt;",E52,"")</f>
        <v>&lt;3CFA14&gt;</v>
      </c>
      <c r="J52" s="1" t="str">
        <f aca="false">IF(I52&lt;&gt;"",C52,"")</f>
        <v>6D01</v>
      </c>
      <c r="L52" s="1" t="str">
        <f aca="false">"0x"&amp;C52</f>
        <v>0x6D01</v>
      </c>
      <c r="M52" s="1" t="str">
        <f aca="false">VLOOKUP(L52,$N$2:$O$426,2,)</f>
        <v>Three Island Berry Forest</v>
      </c>
      <c r="N52" s="1" t="s">
        <v>102</v>
      </c>
      <c r="O52" s="1" t="s">
        <v>103</v>
      </c>
    </row>
    <row r="53" customFormat="false" ht="12.75" hidden="false" customHeight="true" outlineLevel="0" collapsed="false">
      <c r="A53" s="1" t="s">
        <v>2234</v>
      </c>
      <c r="B53" s="1" t="s">
        <v>2349</v>
      </c>
      <c r="C53" s="1" t="str">
        <f aca="false">B53&amp;A53</f>
        <v>6E01</v>
      </c>
      <c r="D53" s="1" t="s">
        <v>2350</v>
      </c>
      <c r="E53" s="1" t="s">
        <v>2351</v>
      </c>
      <c r="F53" s="1" t="s">
        <v>2221</v>
      </c>
      <c r="G53" s="1" t="s">
        <v>2352</v>
      </c>
      <c r="I53" s="1" t="str">
        <f aca="false">IF(E53&lt;&gt;"&lt;null&gt;",E53,"")</f>
        <v>&lt;3CFA98&gt;</v>
      </c>
      <c r="J53" s="1" t="str">
        <f aca="false">IF(I53&lt;&gt;"",C53,"")</f>
        <v>6E01</v>
      </c>
      <c r="L53" s="1" t="str">
        <f aca="false">"0x"&amp;C53</f>
        <v>0x6E01</v>
      </c>
      <c r="M53" s="1" t="str">
        <f aca="false">VLOOKUP(L53,$N$2:$O$426,2,)</f>
        <v>Four Island Icefall Cave Entrance</v>
      </c>
      <c r="N53" s="1" t="s">
        <v>104</v>
      </c>
      <c r="O53" s="1" t="s">
        <v>105</v>
      </c>
    </row>
    <row r="54" customFormat="false" ht="12.75" hidden="false" customHeight="true" outlineLevel="0" collapsed="false">
      <c r="A54" s="1" t="s">
        <v>2234</v>
      </c>
      <c r="B54" s="1" t="s">
        <v>2353</v>
      </c>
      <c r="C54" s="1" t="str">
        <f aca="false">B54&amp;A54</f>
        <v>6F01</v>
      </c>
      <c r="D54" s="1" t="s">
        <v>2354</v>
      </c>
      <c r="E54" s="1" t="s">
        <v>2221</v>
      </c>
      <c r="F54" s="1" t="s">
        <v>2221</v>
      </c>
      <c r="G54" s="1" t="s">
        <v>2221</v>
      </c>
      <c r="I54" s="1" t="str">
        <f aca="false">IF(E54&lt;&gt;"&lt;null&gt;",E54,"")</f>
        <v/>
      </c>
      <c r="J54" s="1" t="str">
        <f aca="false">IF(I54&lt;&gt;"",C54,"")</f>
        <v/>
      </c>
      <c r="L54" s="1" t="str">
        <f aca="false">"0x"&amp;C54</f>
        <v>0x6F01</v>
      </c>
      <c r="M54" s="1" t="str">
        <f aca="false">VLOOKUP(L54,$N$2:$O$426,2,)</f>
        <v>Four Island Icefall Cave 1F</v>
      </c>
      <c r="N54" s="1" t="s">
        <v>106</v>
      </c>
      <c r="O54" s="1" t="s">
        <v>107</v>
      </c>
    </row>
    <row r="55" customFormat="false" ht="12.75" hidden="false" customHeight="true" outlineLevel="0" collapsed="false">
      <c r="A55" s="1" t="s">
        <v>2234</v>
      </c>
      <c r="B55" s="1" t="s">
        <v>2355</v>
      </c>
      <c r="C55" s="1" t="str">
        <f aca="false">B55&amp;A55</f>
        <v>7001</v>
      </c>
      <c r="D55" s="1" t="s">
        <v>2356</v>
      </c>
      <c r="E55" s="1" t="s">
        <v>2221</v>
      </c>
      <c r="F55" s="1" t="s">
        <v>2221</v>
      </c>
      <c r="G55" s="1" t="s">
        <v>2221</v>
      </c>
      <c r="I55" s="1" t="str">
        <f aca="false">IF(E55&lt;&gt;"&lt;null&gt;",E55,"")</f>
        <v/>
      </c>
      <c r="J55" s="1" t="str">
        <f aca="false">IF(I55&lt;&gt;"",C55,"")</f>
        <v/>
      </c>
      <c r="L55" s="1" t="str">
        <f aca="false">"0x"&amp;C55</f>
        <v>0x7001</v>
      </c>
      <c r="M55" s="1" t="str">
        <f aca="false">VLOOKUP(L55,$N$2:$O$426,2,)</f>
        <v>Four Island Icefall Cave B1F</v>
      </c>
      <c r="N55" s="1" t="s">
        <v>108</v>
      </c>
      <c r="O55" s="1" t="s">
        <v>109</v>
      </c>
    </row>
    <row r="56" customFormat="false" ht="12.75" hidden="false" customHeight="true" outlineLevel="0" collapsed="false">
      <c r="A56" s="1" t="s">
        <v>2234</v>
      </c>
      <c r="B56" s="1" t="s">
        <v>2357</v>
      </c>
      <c r="C56" s="1" t="str">
        <f aca="false">B56&amp;A56</f>
        <v>7101</v>
      </c>
      <c r="D56" s="1" t="s">
        <v>2358</v>
      </c>
      <c r="E56" s="1" t="s">
        <v>2359</v>
      </c>
      <c r="F56" s="1" t="s">
        <v>2221</v>
      </c>
      <c r="G56" s="1" t="s">
        <v>2360</v>
      </c>
      <c r="I56" s="1" t="str">
        <f aca="false">IF(E56&lt;&gt;"&lt;null&gt;",E56,"")</f>
        <v>&lt;3CFB8C&gt;</v>
      </c>
      <c r="J56" s="1" t="str">
        <f aca="false">IF(I56&lt;&gt;"",C56,"")</f>
        <v>7101</v>
      </c>
      <c r="L56" s="1" t="str">
        <f aca="false">"0x"&amp;C56</f>
        <v>0x7101</v>
      </c>
      <c r="M56" s="1" t="str">
        <f aca="false">VLOOKUP(L56,$N$2:$O$426,2,)</f>
        <v>Four Island Icefall Cave Back</v>
      </c>
      <c r="N56" s="1" t="s">
        <v>110</v>
      </c>
      <c r="O56" s="1" t="s">
        <v>111</v>
      </c>
    </row>
    <row r="57" customFormat="false" ht="12.75" hidden="false" customHeight="true" outlineLevel="0" collapsed="false">
      <c r="A57" s="1" t="s">
        <v>2234</v>
      </c>
      <c r="B57" s="1" t="s">
        <v>2361</v>
      </c>
      <c r="C57" s="1" t="str">
        <f aca="false">B57&amp;A57</f>
        <v>7901</v>
      </c>
      <c r="D57" s="1" t="s">
        <v>2362</v>
      </c>
      <c r="E57" s="1" t="s">
        <v>2221</v>
      </c>
      <c r="F57" s="1" t="s">
        <v>2221</v>
      </c>
      <c r="G57" s="1" t="s">
        <v>2221</v>
      </c>
      <c r="I57" s="1" t="str">
        <f aca="false">IF(E57&lt;&gt;"&lt;null&gt;",E57,"")</f>
        <v/>
      </c>
      <c r="J57" s="1" t="str">
        <f aca="false">IF(I57&lt;&gt;"",C57,"")</f>
        <v/>
      </c>
      <c r="L57" s="1" t="str">
        <f aca="false">"0x"&amp;C57</f>
        <v>0x7901</v>
      </c>
      <c r="M57" s="1" t="str">
        <f aca="false">VLOOKUP(L57,$N$2:$O$426,2,)</f>
        <v>Six Island Pattern Bush</v>
      </c>
      <c r="N57" s="1" t="s">
        <v>112</v>
      </c>
      <c r="O57" s="1" t="s">
        <v>113</v>
      </c>
    </row>
    <row r="58" customFormat="false" ht="12.75" hidden="false" customHeight="true" outlineLevel="0" collapsed="false">
      <c r="A58" s="1" t="s">
        <v>2218</v>
      </c>
      <c r="B58" s="1" t="s">
        <v>2363</v>
      </c>
      <c r="C58" s="1" t="str">
        <f aca="false">B58&amp;A58</f>
        <v>0D02</v>
      </c>
      <c r="D58" s="1" t="s">
        <v>2364</v>
      </c>
      <c r="E58" s="1" t="s">
        <v>2221</v>
      </c>
      <c r="F58" s="1" t="s">
        <v>2221</v>
      </c>
      <c r="G58" s="1" t="s">
        <v>2221</v>
      </c>
      <c r="I58" s="1" t="str">
        <f aca="false">IF(E58&lt;&gt;"&lt;null&gt;",E58,"")</f>
        <v/>
      </c>
      <c r="J58" s="1" t="str">
        <f aca="false">IF(I58&lt;&gt;"",C58,"")</f>
        <v/>
      </c>
      <c r="L58" s="1" t="str">
        <f aca="false">"0x"&amp;C58</f>
        <v>0x0D02</v>
      </c>
      <c r="M58" s="1" t="str">
        <f aca="false">VLOOKUP(L58,$N$2:$O$426,2,)</f>
        <v>Five Island Lost Cave Room 1</v>
      </c>
      <c r="N58" s="1" t="s">
        <v>114</v>
      </c>
      <c r="O58" s="1" t="s">
        <v>115</v>
      </c>
    </row>
    <row r="59" customFormat="false" ht="12.75" hidden="false" customHeight="true" outlineLevel="0" collapsed="false">
      <c r="A59" s="1" t="s">
        <v>2218</v>
      </c>
      <c r="B59" s="1" t="s">
        <v>2365</v>
      </c>
      <c r="C59" s="1" t="str">
        <f aca="false">B59&amp;A59</f>
        <v>0E02</v>
      </c>
      <c r="D59" s="1" t="s">
        <v>2366</v>
      </c>
      <c r="E59" s="1" t="s">
        <v>2221</v>
      </c>
      <c r="F59" s="1" t="s">
        <v>2221</v>
      </c>
      <c r="G59" s="1" t="s">
        <v>2221</v>
      </c>
      <c r="I59" s="1" t="str">
        <f aca="false">IF(E59&lt;&gt;"&lt;null&gt;",E59,"")</f>
        <v/>
      </c>
      <c r="J59" s="1" t="str">
        <f aca="false">IF(I59&lt;&gt;"",C59,"")</f>
        <v/>
      </c>
      <c r="L59" s="1" t="str">
        <f aca="false">"0x"&amp;C59</f>
        <v>0x0E02</v>
      </c>
      <c r="M59" s="1" t="str">
        <f aca="false">VLOOKUP(L59,$N$2:$O$426,2,)</f>
        <v>Five Island Lost Cave Room 2</v>
      </c>
      <c r="N59" s="1" t="s">
        <v>116</v>
      </c>
      <c r="O59" s="1" t="s">
        <v>117</v>
      </c>
    </row>
    <row r="60" customFormat="false" ht="12.75" hidden="false" customHeight="true" outlineLevel="0" collapsed="false">
      <c r="A60" s="1" t="s">
        <v>2218</v>
      </c>
      <c r="B60" s="1" t="s">
        <v>2367</v>
      </c>
      <c r="C60" s="1" t="str">
        <f aca="false">B60&amp;A60</f>
        <v>0F02</v>
      </c>
      <c r="D60" s="1" t="s">
        <v>2368</v>
      </c>
      <c r="E60" s="1" t="s">
        <v>2221</v>
      </c>
      <c r="F60" s="1" t="s">
        <v>2221</v>
      </c>
      <c r="G60" s="1" t="s">
        <v>2221</v>
      </c>
      <c r="I60" s="1" t="str">
        <f aca="false">IF(E60&lt;&gt;"&lt;null&gt;",E60,"")</f>
        <v/>
      </c>
      <c r="J60" s="1" t="str">
        <f aca="false">IF(I60&lt;&gt;"",C60,"")</f>
        <v/>
      </c>
      <c r="L60" s="1" t="str">
        <f aca="false">"0x"&amp;C60</f>
        <v>0x0F02</v>
      </c>
      <c r="M60" s="1" t="str">
        <f aca="false">VLOOKUP(L60,$N$2:$O$426,2,)</f>
        <v>Five Island Lost Cave Room 3</v>
      </c>
      <c r="N60" s="1" t="s">
        <v>118</v>
      </c>
      <c r="O60" s="1" t="s">
        <v>119</v>
      </c>
    </row>
    <row r="61" customFormat="false" ht="12.75" hidden="false" customHeight="true" outlineLevel="0" collapsed="false">
      <c r="A61" s="1" t="s">
        <v>2218</v>
      </c>
      <c r="B61" s="1" t="s">
        <v>2369</v>
      </c>
      <c r="C61" s="1" t="str">
        <f aca="false">B61&amp;A61</f>
        <v>1002</v>
      </c>
      <c r="D61" s="1" t="s">
        <v>2370</v>
      </c>
      <c r="E61" s="1" t="s">
        <v>2221</v>
      </c>
      <c r="F61" s="1" t="s">
        <v>2221</v>
      </c>
      <c r="G61" s="1" t="s">
        <v>2221</v>
      </c>
      <c r="I61" s="1" t="str">
        <f aca="false">IF(E61&lt;&gt;"&lt;null&gt;",E61,"")</f>
        <v/>
      </c>
      <c r="J61" s="1" t="str">
        <f aca="false">IF(I61&lt;&gt;"",C61,"")</f>
        <v/>
      </c>
      <c r="L61" s="1" t="str">
        <f aca="false">"0x"&amp;C61</f>
        <v>0x1002</v>
      </c>
      <c r="M61" s="1" t="str">
        <f aca="false">VLOOKUP(L61,$N$2:$O$426,2,)</f>
        <v>Five Island Lost Cave Room 4</v>
      </c>
      <c r="N61" s="1" t="s">
        <v>120</v>
      </c>
      <c r="O61" s="1" t="s">
        <v>121</v>
      </c>
    </row>
    <row r="62" customFormat="false" ht="12.75" hidden="false" customHeight="true" outlineLevel="0" collapsed="false">
      <c r="A62" s="1" t="s">
        <v>2218</v>
      </c>
      <c r="B62" s="1" t="s">
        <v>2371</v>
      </c>
      <c r="C62" s="1" t="str">
        <f aca="false">B62&amp;A62</f>
        <v>1102</v>
      </c>
      <c r="D62" s="1" t="s">
        <v>2372</v>
      </c>
      <c r="E62" s="1" t="s">
        <v>2221</v>
      </c>
      <c r="F62" s="1" t="s">
        <v>2221</v>
      </c>
      <c r="G62" s="1" t="s">
        <v>2221</v>
      </c>
      <c r="I62" s="1" t="str">
        <f aca="false">IF(E62&lt;&gt;"&lt;null&gt;",E62,"")</f>
        <v/>
      </c>
      <c r="J62" s="1" t="str">
        <f aca="false">IF(I62&lt;&gt;"",C62,"")</f>
        <v/>
      </c>
      <c r="L62" s="1" t="str">
        <f aca="false">"0x"&amp;C62</f>
        <v>0x1102</v>
      </c>
      <c r="M62" s="1" t="str">
        <f aca="false">VLOOKUP(L62,$N$2:$O$426,2,)</f>
        <v>Five Island Lost Cave Room 5</v>
      </c>
      <c r="N62" s="1" t="s">
        <v>122</v>
      </c>
      <c r="O62" s="1" t="s">
        <v>123</v>
      </c>
    </row>
    <row r="63" customFormat="false" ht="12.75" hidden="false" customHeight="true" outlineLevel="0" collapsed="false">
      <c r="A63" s="1" t="s">
        <v>2218</v>
      </c>
      <c r="B63" s="1" t="s">
        <v>2373</v>
      </c>
      <c r="C63" s="1" t="str">
        <f aca="false">B63&amp;A63</f>
        <v>1202</v>
      </c>
      <c r="D63" s="1" t="s">
        <v>2374</v>
      </c>
      <c r="E63" s="1" t="s">
        <v>2221</v>
      </c>
      <c r="F63" s="1" t="s">
        <v>2221</v>
      </c>
      <c r="G63" s="1" t="s">
        <v>2221</v>
      </c>
      <c r="I63" s="1" t="str">
        <f aca="false">IF(E63&lt;&gt;"&lt;null&gt;",E63,"")</f>
        <v/>
      </c>
      <c r="J63" s="1" t="str">
        <f aca="false">IF(I63&lt;&gt;"",C63,"")</f>
        <v/>
      </c>
      <c r="L63" s="1" t="str">
        <f aca="false">"0x"&amp;C63</f>
        <v>0x1202</v>
      </c>
      <c r="M63" s="1" t="str">
        <f aca="false">VLOOKUP(L63,$N$2:$O$426,2,)</f>
        <v>Five Island Lost Cave Room 6</v>
      </c>
      <c r="N63" s="1" t="s">
        <v>124</v>
      </c>
      <c r="O63" s="1" t="s">
        <v>125</v>
      </c>
    </row>
    <row r="64" customFormat="false" ht="12.75" hidden="false" customHeight="true" outlineLevel="0" collapsed="false">
      <c r="A64" s="1" t="s">
        <v>2218</v>
      </c>
      <c r="B64" s="1" t="s">
        <v>2375</v>
      </c>
      <c r="C64" s="1" t="str">
        <f aca="false">B64&amp;A64</f>
        <v>1302</v>
      </c>
      <c r="D64" s="1" t="s">
        <v>2376</v>
      </c>
      <c r="E64" s="1" t="s">
        <v>2221</v>
      </c>
      <c r="F64" s="1" t="s">
        <v>2221</v>
      </c>
      <c r="G64" s="1" t="s">
        <v>2221</v>
      </c>
      <c r="I64" s="1" t="str">
        <f aca="false">IF(E64&lt;&gt;"&lt;null&gt;",E64,"")</f>
        <v/>
      </c>
      <c r="J64" s="1" t="str">
        <f aca="false">IF(I64&lt;&gt;"",C64,"")</f>
        <v/>
      </c>
      <c r="L64" s="1" t="str">
        <f aca="false">"0x"&amp;C64</f>
        <v>0x1302</v>
      </c>
      <c r="M64" s="1" t="str">
        <f aca="false">VLOOKUP(L64,$N$2:$O$426,2,)</f>
        <v>Five Island Lost Cave Room 7</v>
      </c>
      <c r="N64" s="1" t="s">
        <v>126</v>
      </c>
      <c r="O64" s="1" t="s">
        <v>127</v>
      </c>
    </row>
    <row r="65" customFormat="false" ht="12.75" hidden="false" customHeight="true" outlineLevel="0" collapsed="false">
      <c r="A65" s="1" t="s">
        <v>2218</v>
      </c>
      <c r="B65" s="1" t="s">
        <v>2377</v>
      </c>
      <c r="C65" s="1" t="str">
        <f aca="false">B65&amp;A65</f>
        <v>1402</v>
      </c>
      <c r="D65" s="1" t="s">
        <v>2378</v>
      </c>
      <c r="E65" s="1" t="s">
        <v>2221</v>
      </c>
      <c r="F65" s="1" t="s">
        <v>2221</v>
      </c>
      <c r="G65" s="1" t="s">
        <v>2221</v>
      </c>
      <c r="I65" s="1" t="str">
        <f aca="false">IF(E65&lt;&gt;"&lt;null&gt;",E65,"")</f>
        <v/>
      </c>
      <c r="J65" s="1" t="str">
        <f aca="false">IF(I65&lt;&gt;"",C65,"")</f>
        <v/>
      </c>
      <c r="L65" s="1" t="str">
        <f aca="false">"0x"&amp;C65</f>
        <v>0x1402</v>
      </c>
      <c r="M65" s="1" t="str">
        <f aca="false">VLOOKUP(L65,$N$2:$O$426,2,)</f>
        <v>Five Island Lost Cave Room 8</v>
      </c>
      <c r="N65" s="1" t="s">
        <v>128</v>
      </c>
      <c r="O65" s="1" t="s">
        <v>129</v>
      </c>
    </row>
    <row r="66" customFormat="false" ht="12.75" hidden="false" customHeight="true" outlineLevel="0" collapsed="false">
      <c r="A66" s="1" t="s">
        <v>2218</v>
      </c>
      <c r="B66" s="1" t="s">
        <v>2379</v>
      </c>
      <c r="C66" s="1" t="str">
        <f aca="false">B66&amp;A66</f>
        <v>1502</v>
      </c>
      <c r="D66" s="1" t="s">
        <v>2380</v>
      </c>
      <c r="E66" s="1" t="s">
        <v>2221</v>
      </c>
      <c r="F66" s="1" t="s">
        <v>2221</v>
      </c>
      <c r="G66" s="1" t="s">
        <v>2221</v>
      </c>
      <c r="I66" s="1" t="str">
        <f aca="false">IF(E66&lt;&gt;"&lt;null&gt;",E66,"")</f>
        <v/>
      </c>
      <c r="J66" s="1" t="str">
        <f aca="false">IF(I66&lt;&gt;"",C66,"")</f>
        <v/>
      </c>
      <c r="L66" s="1" t="str">
        <f aca="false">"0x"&amp;C66</f>
        <v>0x1502</v>
      </c>
      <c r="M66" s="1" t="str">
        <f aca="false">VLOOKUP(L66,$N$2:$O$426,2,)</f>
        <v>Five Island Lost Cave Room 9</v>
      </c>
      <c r="N66" s="1" t="s">
        <v>130</v>
      </c>
      <c r="O66" s="1" t="s">
        <v>131</v>
      </c>
    </row>
    <row r="67" customFormat="false" ht="12.75" hidden="false" customHeight="true" outlineLevel="0" collapsed="false">
      <c r="A67" s="1" t="s">
        <v>2218</v>
      </c>
      <c r="B67" s="1" t="s">
        <v>2381</v>
      </c>
      <c r="C67" s="1" t="str">
        <f aca="false">B67&amp;A67</f>
        <v>1602</v>
      </c>
      <c r="D67" s="1" t="s">
        <v>2382</v>
      </c>
      <c r="E67" s="1" t="s">
        <v>2221</v>
      </c>
      <c r="F67" s="1" t="s">
        <v>2221</v>
      </c>
      <c r="G67" s="1" t="s">
        <v>2221</v>
      </c>
      <c r="I67" s="1" t="str">
        <f aca="false">IF(E67&lt;&gt;"&lt;null&gt;",E67,"")</f>
        <v/>
      </c>
      <c r="J67" s="1" t="str">
        <f aca="false">IF(I67&lt;&gt;"",C67,"")</f>
        <v/>
      </c>
      <c r="L67" s="1" t="str">
        <f aca="false">"0x"&amp;C67</f>
        <v>0x1602</v>
      </c>
      <c r="M67" s="1" t="str">
        <f aca="false">VLOOKUP(L67,$N$2:$O$426,2,)</f>
        <v>Five Island Lost Cave Room 10</v>
      </c>
      <c r="N67" s="1" t="s">
        <v>132</v>
      </c>
      <c r="O67" s="1" t="s">
        <v>133</v>
      </c>
    </row>
    <row r="68" customFormat="false" ht="12.75" hidden="false" customHeight="true" outlineLevel="0" collapsed="false">
      <c r="A68" s="1" t="s">
        <v>2218</v>
      </c>
      <c r="B68" s="1" t="s">
        <v>2383</v>
      </c>
      <c r="C68" s="1" t="str">
        <f aca="false">B68&amp;A68</f>
        <v>1702</v>
      </c>
      <c r="D68" s="1" t="s">
        <v>2384</v>
      </c>
      <c r="E68" s="1" t="s">
        <v>2221</v>
      </c>
      <c r="F68" s="1" t="s">
        <v>2221</v>
      </c>
      <c r="G68" s="1" t="s">
        <v>2221</v>
      </c>
      <c r="I68" s="1" t="str">
        <f aca="false">IF(E68&lt;&gt;"&lt;null&gt;",E68,"")</f>
        <v/>
      </c>
      <c r="J68" s="1" t="str">
        <f aca="false">IF(I68&lt;&gt;"",C68,"")</f>
        <v/>
      </c>
      <c r="L68" s="1" t="str">
        <f aca="false">"0x"&amp;C68</f>
        <v>0x1702</v>
      </c>
      <c r="M68" s="1" t="str">
        <f aca="false">VLOOKUP(L68,$N$2:$O$426,2,)</f>
        <v>Five Island Lost Cave Room 11</v>
      </c>
      <c r="N68" s="1" t="s">
        <v>134</v>
      </c>
      <c r="O68" s="1" t="s">
        <v>135</v>
      </c>
    </row>
    <row r="69" customFormat="false" ht="12.75" hidden="false" customHeight="true" outlineLevel="0" collapsed="false">
      <c r="A69" s="1" t="s">
        <v>2218</v>
      </c>
      <c r="B69" s="1" t="s">
        <v>2385</v>
      </c>
      <c r="C69" s="1" t="str">
        <f aca="false">B69&amp;A69</f>
        <v>1802</v>
      </c>
      <c r="D69" s="1" t="s">
        <v>2386</v>
      </c>
      <c r="E69" s="1" t="s">
        <v>2221</v>
      </c>
      <c r="F69" s="1" t="s">
        <v>2221</v>
      </c>
      <c r="G69" s="1" t="s">
        <v>2221</v>
      </c>
      <c r="I69" s="1" t="str">
        <f aca="false">IF(E69&lt;&gt;"&lt;null&gt;",E69,"")</f>
        <v/>
      </c>
      <c r="J69" s="1" t="str">
        <f aca="false">IF(I69&lt;&gt;"",C69,"")</f>
        <v/>
      </c>
      <c r="L69" s="1" t="str">
        <f aca="false">"0x"&amp;C69</f>
        <v>0x1802</v>
      </c>
      <c r="M69" s="1" t="str">
        <f aca="false">VLOOKUP(L69,$N$2:$O$426,2,)</f>
        <v>Five Island Lost Cave Room 12</v>
      </c>
      <c r="N69" s="1" t="s">
        <v>136</v>
      </c>
      <c r="O69" s="1" t="s">
        <v>137</v>
      </c>
    </row>
    <row r="70" customFormat="false" ht="12.75" hidden="false" customHeight="true" outlineLevel="0" collapsed="false">
      <c r="A70" s="1" t="s">
        <v>2218</v>
      </c>
      <c r="B70" s="1" t="s">
        <v>2387</v>
      </c>
      <c r="C70" s="1" t="str">
        <f aca="false">B70&amp;A70</f>
        <v>1902</v>
      </c>
      <c r="D70" s="1" t="s">
        <v>2388</v>
      </c>
      <c r="E70" s="1" t="s">
        <v>2221</v>
      </c>
      <c r="F70" s="1" t="s">
        <v>2221</v>
      </c>
      <c r="G70" s="1" t="s">
        <v>2221</v>
      </c>
      <c r="I70" s="1" t="str">
        <f aca="false">IF(E70&lt;&gt;"&lt;null&gt;",E70,"")</f>
        <v/>
      </c>
      <c r="J70" s="1" t="str">
        <f aca="false">IF(I70&lt;&gt;"",C70,"")</f>
        <v/>
      </c>
      <c r="L70" s="1" t="str">
        <f aca="false">"0x"&amp;C70</f>
        <v>0x1902</v>
      </c>
      <c r="M70" s="1" t="str">
        <f aca="false">VLOOKUP(L70,$N$2:$O$426,2,)</f>
        <v>Five Island Lost Cave Room 13</v>
      </c>
      <c r="N70" s="1" t="s">
        <v>138</v>
      </c>
      <c r="O70" s="1" t="s">
        <v>139</v>
      </c>
    </row>
    <row r="71" customFormat="false" ht="12.75" hidden="false" customHeight="true" outlineLevel="0" collapsed="false">
      <c r="A71" s="1" t="s">
        <v>2218</v>
      </c>
      <c r="B71" s="1" t="s">
        <v>2389</v>
      </c>
      <c r="C71" s="1" t="str">
        <f aca="false">B71&amp;A71</f>
        <v>1A02</v>
      </c>
      <c r="D71" s="1" t="s">
        <v>2390</v>
      </c>
      <c r="E71" s="1" t="s">
        <v>2221</v>
      </c>
      <c r="F71" s="1" t="s">
        <v>2221</v>
      </c>
      <c r="G71" s="1" t="s">
        <v>2221</v>
      </c>
      <c r="I71" s="1" t="str">
        <f aca="false">IF(E71&lt;&gt;"&lt;null&gt;",E71,"")</f>
        <v/>
      </c>
      <c r="J71" s="1" t="str">
        <f aca="false">IF(I71&lt;&gt;"",C71,"")</f>
        <v/>
      </c>
      <c r="L71" s="1" t="str">
        <f aca="false">"0x"&amp;C71</f>
        <v>0x1A02</v>
      </c>
      <c r="M71" s="1" t="str">
        <f aca="false">VLOOKUP(L71,$N$2:$O$426,2,)</f>
        <v>Five Island Lost Cave Room 14</v>
      </c>
      <c r="N71" s="1" t="s">
        <v>140</v>
      </c>
      <c r="O71" s="1" t="s">
        <v>141</v>
      </c>
    </row>
    <row r="72" customFormat="false" ht="12.75" hidden="false" customHeight="true" outlineLevel="0" collapsed="false">
      <c r="A72" s="1" t="s">
        <v>2239</v>
      </c>
      <c r="B72" s="1" t="s">
        <v>2391</v>
      </c>
      <c r="C72" s="1" t="str">
        <f aca="false">B72&amp;A72</f>
        <v>2D03</v>
      </c>
      <c r="D72" s="1" t="s">
        <v>2392</v>
      </c>
      <c r="E72" s="1" t="s">
        <v>2393</v>
      </c>
      <c r="F72" s="1" t="s">
        <v>2394</v>
      </c>
      <c r="G72" s="1" t="s">
        <v>2395</v>
      </c>
      <c r="I72" s="1" t="str">
        <f aca="false">IF(E72&lt;&gt;"&lt;null&gt;",E72,"")</f>
        <v>&lt;3CFF58&gt;</v>
      </c>
      <c r="J72" s="1" t="str">
        <f aca="false">IF(I72&lt;&gt;"",C72,"")</f>
        <v>2D03</v>
      </c>
      <c r="L72" s="1" t="str">
        <f aca="false">"0x"&amp;C72</f>
        <v>0x2D03</v>
      </c>
      <c r="M72" s="1" t="str">
        <f aca="false">VLOOKUP(L72,$N$2:$O$426,2,)</f>
        <v>One Island Kindle Road</v>
      </c>
      <c r="N72" s="1" t="s">
        <v>142</v>
      </c>
      <c r="O72" s="1" t="s">
        <v>143</v>
      </c>
    </row>
    <row r="73" customFormat="false" ht="12.75" hidden="false" customHeight="true" outlineLevel="0" collapsed="false">
      <c r="A73" s="1" t="s">
        <v>2239</v>
      </c>
      <c r="B73" s="1" t="s">
        <v>2396</v>
      </c>
      <c r="C73" s="1" t="str">
        <f aca="false">B73&amp;A73</f>
        <v>2E03</v>
      </c>
      <c r="D73" s="1" t="s">
        <v>2397</v>
      </c>
      <c r="E73" s="1" t="s">
        <v>2398</v>
      </c>
      <c r="F73" s="1" t="s">
        <v>2221</v>
      </c>
      <c r="G73" s="1" t="s">
        <v>2399</v>
      </c>
      <c r="I73" s="1" t="str">
        <f aca="false">IF(E73&lt;&gt;"&lt;null&gt;",E73,"")</f>
        <v>&lt;3CFFF8&gt;</v>
      </c>
      <c r="J73" s="1" t="str">
        <f aca="false">IF(I73&lt;&gt;"",C73,"")</f>
        <v>2E03</v>
      </c>
      <c r="L73" s="1" t="str">
        <f aca="false">"0x"&amp;C73</f>
        <v>0x2E03</v>
      </c>
      <c r="M73" s="1" t="str">
        <f aca="false">VLOOKUP(L73,$N$2:$O$426,2,)</f>
        <v>One Island Treasure Beach</v>
      </c>
      <c r="N73" s="1" t="s">
        <v>144</v>
      </c>
      <c r="O73" s="1" t="s">
        <v>145</v>
      </c>
    </row>
    <row r="74" customFormat="false" ht="12.75" hidden="false" customHeight="true" outlineLevel="0" collapsed="false">
      <c r="A74" s="1" t="s">
        <v>2239</v>
      </c>
      <c r="B74" s="1" t="s">
        <v>2400</v>
      </c>
      <c r="C74" s="1" t="str">
        <f aca="false">B74&amp;A74</f>
        <v>2F03</v>
      </c>
      <c r="D74" s="1" t="s">
        <v>2401</v>
      </c>
      <c r="E74" s="1" t="s">
        <v>2402</v>
      </c>
      <c r="F74" s="1" t="s">
        <v>2221</v>
      </c>
      <c r="G74" s="1" t="s">
        <v>2403</v>
      </c>
      <c r="I74" s="1" t="str">
        <f aca="false">IF(E74&lt;&gt;"&lt;null&gt;",E74,"")</f>
        <v>&lt;3D007C&gt;</v>
      </c>
      <c r="J74" s="1" t="str">
        <f aca="false">IF(I74&lt;&gt;"",C74,"")</f>
        <v>2F03</v>
      </c>
      <c r="L74" s="1" t="str">
        <f aca="false">"0x"&amp;C74</f>
        <v>0x2F03</v>
      </c>
      <c r="M74" s="1" t="str">
        <f aca="false">VLOOKUP(L74,$N$2:$O$426,2,)</f>
        <v>Two Island Cape Brink</v>
      </c>
      <c r="N74" s="1" t="s">
        <v>146</v>
      </c>
      <c r="O74" s="1" t="s">
        <v>147</v>
      </c>
    </row>
    <row r="75" customFormat="false" ht="12.75" hidden="false" customHeight="true" outlineLevel="0" collapsed="false">
      <c r="A75" s="1" t="s">
        <v>2239</v>
      </c>
      <c r="B75" s="1" t="s">
        <v>2404</v>
      </c>
      <c r="C75" s="1" t="str">
        <f aca="false">B75&amp;A75</f>
        <v>3003</v>
      </c>
      <c r="D75" s="1" t="s">
        <v>2405</v>
      </c>
      <c r="E75" s="1" t="s">
        <v>2406</v>
      </c>
      <c r="F75" s="1" t="s">
        <v>2221</v>
      </c>
      <c r="G75" s="1" t="s">
        <v>2407</v>
      </c>
      <c r="I75" s="1" t="str">
        <f aca="false">IF(E75&lt;&gt;"&lt;null&gt;",E75,"")</f>
        <v>&lt;3D0100&gt;</v>
      </c>
      <c r="J75" s="1" t="str">
        <f aca="false">IF(I75&lt;&gt;"",C75,"")</f>
        <v>3003</v>
      </c>
      <c r="L75" s="1" t="str">
        <f aca="false">"0x"&amp;C75</f>
        <v>0x3003</v>
      </c>
      <c r="M75" s="1" t="str">
        <f aca="false">VLOOKUP(L75,$N$2:$O$426,2,)</f>
        <v>Three Island Bond Bridge</v>
      </c>
      <c r="N75" s="1" t="s">
        <v>148</v>
      </c>
      <c r="O75" s="1" t="s">
        <v>149</v>
      </c>
    </row>
    <row r="76" customFormat="false" ht="12.75" hidden="false" customHeight="true" outlineLevel="0" collapsed="false">
      <c r="A76" s="1" t="s">
        <v>2239</v>
      </c>
      <c r="B76" s="1" t="s">
        <v>2408</v>
      </c>
      <c r="C76" s="1" t="str">
        <f aca="false">B76&amp;A76</f>
        <v>3103</v>
      </c>
      <c r="D76" s="1" t="s">
        <v>2409</v>
      </c>
      <c r="E76" s="1" t="s">
        <v>2221</v>
      </c>
      <c r="F76" s="1" t="s">
        <v>2221</v>
      </c>
      <c r="G76" s="1" t="s">
        <v>2221</v>
      </c>
      <c r="I76" s="1" t="str">
        <f aca="false">IF(E76&lt;&gt;"&lt;null&gt;",E76,"")</f>
        <v/>
      </c>
      <c r="J76" s="1" t="str">
        <f aca="false">IF(I76&lt;&gt;"",C76,"")</f>
        <v/>
      </c>
      <c r="L76" s="1" t="str">
        <f aca="false">"0x"&amp;C76</f>
        <v>0x3103</v>
      </c>
      <c r="M76" s="1" t="str">
        <f aca="false">VLOOKUP(L76,$N$2:$O$426,2,)</f>
        <v>Three Island Port</v>
      </c>
      <c r="N76" s="1" t="s">
        <v>150</v>
      </c>
      <c r="O76" s="1" t="s">
        <v>151</v>
      </c>
    </row>
    <row r="77" customFormat="false" ht="12.75" hidden="false" customHeight="true" outlineLevel="0" collapsed="false">
      <c r="A77" s="1" t="s">
        <v>2239</v>
      </c>
      <c r="B77" s="1" t="s">
        <v>2410</v>
      </c>
      <c r="C77" s="1" t="str">
        <f aca="false">B77&amp;A77</f>
        <v>3603</v>
      </c>
      <c r="D77" s="1" t="s">
        <v>2221</v>
      </c>
      <c r="E77" s="1" t="s">
        <v>2411</v>
      </c>
      <c r="F77" s="1" t="s">
        <v>2221</v>
      </c>
      <c r="G77" s="1" t="s">
        <v>2412</v>
      </c>
      <c r="I77" s="1" t="str">
        <f aca="false">IF(E77&lt;&gt;"&lt;null&gt;",E77,"")</f>
        <v>&lt;3D0184&gt;</v>
      </c>
      <c r="J77" s="1" t="str">
        <f aca="false">IF(I77&lt;&gt;"",C77,"")</f>
        <v>3603</v>
      </c>
      <c r="L77" s="1" t="str">
        <f aca="false">"0x"&amp;C77</f>
        <v>0x3603</v>
      </c>
      <c r="M77" s="1" t="str">
        <f aca="false">VLOOKUP(L77,$N$2:$O$426,2,)</f>
        <v>Five Island Resort Gorgeous</v>
      </c>
      <c r="N77" s="1" t="s">
        <v>152</v>
      </c>
      <c r="O77" s="1" t="s">
        <v>153</v>
      </c>
    </row>
    <row r="78" customFormat="false" ht="12.75" hidden="false" customHeight="true" outlineLevel="0" collapsed="false">
      <c r="A78" s="1" t="s">
        <v>2239</v>
      </c>
      <c r="B78" s="1" t="s">
        <v>2413</v>
      </c>
      <c r="C78" s="1" t="str">
        <f aca="false">B78&amp;A78</f>
        <v>3703</v>
      </c>
      <c r="D78" s="1" t="s">
        <v>2221</v>
      </c>
      <c r="E78" s="1" t="s">
        <v>2414</v>
      </c>
      <c r="F78" s="1" t="s">
        <v>2221</v>
      </c>
      <c r="G78" s="1" t="s">
        <v>2415</v>
      </c>
      <c r="I78" s="1" t="str">
        <f aca="false">IF(E78&lt;&gt;"&lt;null&gt;",E78,"")</f>
        <v>&lt;3D01D0&gt;</v>
      </c>
      <c r="J78" s="1" t="str">
        <f aca="false">IF(I78&lt;&gt;"",C78,"")</f>
        <v>3703</v>
      </c>
      <c r="L78" s="1" t="str">
        <f aca="false">"0x"&amp;C78</f>
        <v>0x3703</v>
      </c>
      <c r="M78" s="1" t="str">
        <f aca="false">VLOOKUP(L78,$N$2:$O$426,2,)</f>
        <v>Five Island Water Labyrinth</v>
      </c>
      <c r="N78" s="1" t="s">
        <v>154</v>
      </c>
      <c r="O78" s="1" t="s">
        <v>155</v>
      </c>
    </row>
    <row r="79" customFormat="false" ht="12.75" hidden="false" customHeight="true" outlineLevel="0" collapsed="false">
      <c r="A79" s="1" t="s">
        <v>2239</v>
      </c>
      <c r="B79" s="1" t="s">
        <v>2416</v>
      </c>
      <c r="C79" s="1" t="str">
        <f aca="false">B79&amp;A79</f>
        <v>3803</v>
      </c>
      <c r="D79" s="1" t="s">
        <v>2417</v>
      </c>
      <c r="E79" s="1" t="s">
        <v>2418</v>
      </c>
      <c r="F79" s="1" t="s">
        <v>2221</v>
      </c>
      <c r="G79" s="1" t="s">
        <v>2419</v>
      </c>
      <c r="I79" s="1" t="str">
        <f aca="false">IF(E79&lt;&gt;"&lt;null&gt;",E79,"")</f>
        <v>&lt;3D0254&gt;</v>
      </c>
      <c r="J79" s="1" t="str">
        <f aca="false">IF(I79&lt;&gt;"",C79,"")</f>
        <v>3803</v>
      </c>
      <c r="L79" s="1" t="str">
        <f aca="false">"0x"&amp;C79</f>
        <v>0x3803</v>
      </c>
      <c r="M79" s="1" t="str">
        <f aca="false">VLOOKUP(L79,$N$2:$O$426,2,)</f>
        <v>Five Island Meadow</v>
      </c>
      <c r="N79" s="1" t="s">
        <v>156</v>
      </c>
      <c r="O79" s="1" t="s">
        <v>157</v>
      </c>
    </row>
    <row r="80" customFormat="false" ht="12.75" hidden="false" customHeight="true" outlineLevel="0" collapsed="false">
      <c r="A80" s="1" t="s">
        <v>2239</v>
      </c>
      <c r="B80" s="1" t="s">
        <v>2420</v>
      </c>
      <c r="C80" s="1" t="str">
        <f aca="false">B80&amp;A80</f>
        <v>3903</v>
      </c>
      <c r="D80" s="1" t="s">
        <v>2421</v>
      </c>
      <c r="E80" s="1" t="s">
        <v>2422</v>
      </c>
      <c r="F80" s="1" t="s">
        <v>2221</v>
      </c>
      <c r="G80" s="1" t="s">
        <v>2423</v>
      </c>
      <c r="I80" s="1" t="str">
        <f aca="false">IF(E80&lt;&gt;"&lt;null&gt;",E80,"")</f>
        <v>&lt;3D02D8&gt;</v>
      </c>
      <c r="J80" s="1" t="str">
        <f aca="false">IF(I80&lt;&gt;"",C80,"")</f>
        <v>3903</v>
      </c>
      <c r="L80" s="1" t="str">
        <f aca="false">"0x"&amp;C80</f>
        <v>0x3903</v>
      </c>
      <c r="M80" s="1" t="str">
        <f aca="false">VLOOKUP(L80,$N$2:$O$426,2,)</f>
        <v>Five Island Memorial Pillar</v>
      </c>
      <c r="N80" s="1" t="s">
        <v>158</v>
      </c>
      <c r="O80" s="1" t="s">
        <v>159</v>
      </c>
    </row>
    <row r="81" customFormat="false" ht="12.75" hidden="false" customHeight="true" outlineLevel="0" collapsed="false">
      <c r="A81" s="1" t="s">
        <v>2239</v>
      </c>
      <c r="B81" s="1" t="s">
        <v>2424</v>
      </c>
      <c r="C81" s="1" t="str">
        <f aca="false">B81&amp;A81</f>
        <v>3A03</v>
      </c>
      <c r="D81" s="1" t="s">
        <v>2221</v>
      </c>
      <c r="E81" s="1" t="s">
        <v>2425</v>
      </c>
      <c r="F81" s="1" t="s">
        <v>2221</v>
      </c>
      <c r="G81" s="1" t="s">
        <v>2426</v>
      </c>
      <c r="I81" s="1" t="str">
        <f aca="false">IF(E81&lt;&gt;"&lt;null&gt;",E81,"")</f>
        <v>&lt;3D0324&gt;</v>
      </c>
      <c r="J81" s="1" t="str">
        <f aca="false">IF(I81&lt;&gt;"",C81,"")</f>
        <v>3A03</v>
      </c>
      <c r="L81" s="1" t="str">
        <f aca="false">"0x"&amp;C81</f>
        <v>0x3A03</v>
      </c>
      <c r="M81" s="1" t="str">
        <f aca="false">VLOOKUP(L81,$N$2:$O$426,2,)</f>
        <v>Six Island Outcast Island</v>
      </c>
      <c r="N81" s="1" t="s">
        <v>160</v>
      </c>
      <c r="O81" s="1" t="s">
        <v>161</v>
      </c>
    </row>
    <row r="82" customFormat="false" ht="12.75" hidden="false" customHeight="true" outlineLevel="0" collapsed="false">
      <c r="A82" s="1" t="s">
        <v>2239</v>
      </c>
      <c r="B82" s="1" t="s">
        <v>2252</v>
      </c>
      <c r="C82" s="1" t="str">
        <f aca="false">B82&amp;A82</f>
        <v>3B03</v>
      </c>
      <c r="D82" s="1" t="s">
        <v>2221</v>
      </c>
      <c r="E82" s="1" t="s">
        <v>2427</v>
      </c>
      <c r="F82" s="1" t="s">
        <v>2221</v>
      </c>
      <c r="G82" s="1" t="s">
        <v>2428</v>
      </c>
      <c r="I82" s="1" t="str">
        <f aca="false">IF(E82&lt;&gt;"&lt;null&gt;",E82,"")</f>
        <v>&lt;3D0370&gt;</v>
      </c>
      <c r="J82" s="1" t="str">
        <f aca="false">IF(I82&lt;&gt;"",C82,"")</f>
        <v>3B03</v>
      </c>
      <c r="L82" s="1" t="str">
        <f aca="false">"0x"&amp;C82</f>
        <v>0x3B03</v>
      </c>
      <c r="M82" s="1" t="str">
        <f aca="false">VLOOKUP(L82,$N$2:$O$426,2,)</f>
        <v>Six Island Green Path</v>
      </c>
      <c r="N82" s="1" t="s">
        <v>162</v>
      </c>
      <c r="O82" s="1" t="s">
        <v>163</v>
      </c>
    </row>
    <row r="83" customFormat="false" ht="12.75" hidden="false" customHeight="true" outlineLevel="0" collapsed="false">
      <c r="A83" s="1" t="s">
        <v>2239</v>
      </c>
      <c r="B83" s="1" t="s">
        <v>2254</v>
      </c>
      <c r="C83" s="1" t="str">
        <f aca="false">B83&amp;A83</f>
        <v>3C03</v>
      </c>
      <c r="D83" s="1" t="s">
        <v>2429</v>
      </c>
      <c r="E83" s="1" t="s">
        <v>2430</v>
      </c>
      <c r="F83" s="1" t="s">
        <v>2221</v>
      </c>
      <c r="G83" s="1" t="s">
        <v>2431</v>
      </c>
      <c r="I83" s="1" t="str">
        <f aca="false">IF(E83&lt;&gt;"&lt;null&gt;",E83,"")</f>
        <v>&lt;3D03F4&gt;</v>
      </c>
      <c r="J83" s="1" t="str">
        <f aca="false">IF(I83&lt;&gt;"",C83,"")</f>
        <v>3C03</v>
      </c>
      <c r="L83" s="1" t="str">
        <f aca="false">"0x"&amp;C83</f>
        <v>0x3C03</v>
      </c>
      <c r="M83" s="1" t="str">
        <f aca="false">VLOOKUP(L83,$N$2:$O$426,2,)</f>
        <v>Six Island Water Path</v>
      </c>
      <c r="N83" s="1" t="s">
        <v>164</v>
      </c>
      <c r="O83" s="1" t="s">
        <v>165</v>
      </c>
    </row>
    <row r="84" customFormat="false" ht="12.75" hidden="false" customHeight="true" outlineLevel="0" collapsed="false">
      <c r="A84" s="1" t="s">
        <v>2239</v>
      </c>
      <c r="B84" s="1" t="s">
        <v>2256</v>
      </c>
      <c r="C84" s="1" t="str">
        <f aca="false">B84&amp;A84</f>
        <v>3D03</v>
      </c>
      <c r="D84" s="1" t="s">
        <v>2432</v>
      </c>
      <c r="E84" s="1" t="s">
        <v>2433</v>
      </c>
      <c r="F84" s="1" t="s">
        <v>2221</v>
      </c>
      <c r="G84" s="1" t="s">
        <v>2434</v>
      </c>
      <c r="I84" s="1" t="str">
        <f aca="false">IF(E84&lt;&gt;"&lt;null&gt;",E84,"")</f>
        <v>&lt;3D0478&gt;</v>
      </c>
      <c r="J84" s="1" t="str">
        <f aca="false">IF(I84&lt;&gt;"",C84,"")</f>
        <v>3D03</v>
      </c>
      <c r="L84" s="1" t="str">
        <f aca="false">"0x"&amp;C84</f>
        <v>0x3D03</v>
      </c>
      <c r="M84" s="1" t="str">
        <f aca="false">VLOOKUP(L84,$N$2:$O$426,2,)</f>
        <v>Six Island Ruin Valley</v>
      </c>
      <c r="N84" s="1" t="s">
        <v>166</v>
      </c>
      <c r="O84" s="1" t="s">
        <v>167</v>
      </c>
    </row>
    <row r="85" customFormat="false" ht="12.75" hidden="false" customHeight="true" outlineLevel="0" collapsed="false">
      <c r="A85" s="1" t="s">
        <v>2239</v>
      </c>
      <c r="B85" s="1" t="s">
        <v>2258</v>
      </c>
      <c r="C85" s="1" t="str">
        <f aca="false">B85&amp;A85</f>
        <v>3E03</v>
      </c>
      <c r="D85" s="1" t="s">
        <v>2221</v>
      </c>
      <c r="E85" s="1" t="s">
        <v>2435</v>
      </c>
      <c r="F85" s="1" t="s">
        <v>2221</v>
      </c>
      <c r="G85" s="1" t="s">
        <v>2436</v>
      </c>
      <c r="I85" s="1" t="str">
        <f aca="false">IF(E85&lt;&gt;"&lt;null&gt;",E85,"")</f>
        <v>&lt;3D04C4&gt;</v>
      </c>
      <c r="J85" s="1" t="str">
        <f aca="false">IF(I85&lt;&gt;"",C85,"")</f>
        <v>3E03</v>
      </c>
      <c r="L85" s="1" t="str">
        <f aca="false">"0x"&amp;C85</f>
        <v>0x3E03</v>
      </c>
      <c r="M85" s="1" t="str">
        <f aca="false">VLOOKUP(L85,$N$2:$O$426,2,)</f>
        <v>Seven Island Trainer Tower</v>
      </c>
      <c r="N85" s="1" t="s">
        <v>168</v>
      </c>
      <c r="O85" s="1" t="s">
        <v>169</v>
      </c>
    </row>
    <row r="86" customFormat="false" ht="12.75" hidden="false" customHeight="true" outlineLevel="0" collapsed="false">
      <c r="A86" s="1" t="s">
        <v>2239</v>
      </c>
      <c r="B86" s="1" t="s">
        <v>2260</v>
      </c>
      <c r="C86" s="1" t="str">
        <f aca="false">B86&amp;A86</f>
        <v>3F03</v>
      </c>
      <c r="D86" s="1" t="s">
        <v>2437</v>
      </c>
      <c r="E86" s="1" t="s">
        <v>2221</v>
      </c>
      <c r="F86" s="1" t="s">
        <v>2221</v>
      </c>
      <c r="G86" s="1" t="s">
        <v>2221</v>
      </c>
      <c r="I86" s="1" t="str">
        <f aca="false">IF(E86&lt;&gt;"&lt;null&gt;",E86,"")</f>
        <v/>
      </c>
      <c r="J86" s="1" t="str">
        <f aca="false">IF(I86&lt;&gt;"",C86,"")</f>
        <v/>
      </c>
      <c r="L86" s="1" t="str">
        <f aca="false">"0x"&amp;C86</f>
        <v>0x3F03</v>
      </c>
      <c r="M86" s="1" t="str">
        <f aca="false">VLOOKUP(L86,$N$2:$O$426,2,)</f>
        <v>Seven Island Sevault Canyon Entrance</v>
      </c>
      <c r="N86" s="1" t="s">
        <v>170</v>
      </c>
      <c r="O86" s="1" t="s">
        <v>171</v>
      </c>
    </row>
    <row r="87" customFormat="false" ht="12.75" hidden="false" customHeight="true" outlineLevel="0" collapsed="false">
      <c r="A87" s="1" t="s">
        <v>2239</v>
      </c>
      <c r="B87" s="1" t="s">
        <v>2264</v>
      </c>
      <c r="C87" s="1" t="str">
        <f aca="false">B87&amp;A87</f>
        <v>4003</v>
      </c>
      <c r="D87" s="1" t="s">
        <v>2438</v>
      </c>
      <c r="E87" s="1" t="s">
        <v>2221</v>
      </c>
      <c r="F87" s="1" t="s">
        <v>2439</v>
      </c>
      <c r="G87" s="1" t="s">
        <v>2221</v>
      </c>
      <c r="I87" s="1" t="str">
        <f aca="false">IF(E87&lt;&gt;"&lt;null&gt;",E87,"")</f>
        <v/>
      </c>
      <c r="J87" s="1" t="str">
        <f aca="false">IF(I87&lt;&gt;"",C87,"")</f>
        <v/>
      </c>
      <c r="L87" s="1" t="str">
        <f aca="false">"0x"&amp;C87</f>
        <v>0x4003</v>
      </c>
      <c r="M87" s="1" t="str">
        <f aca="false">VLOOKUP(L87,$N$2:$O$426,2,)</f>
        <v>Seven Island Sevault Canyon</v>
      </c>
      <c r="N87" s="1" t="s">
        <v>172</v>
      </c>
      <c r="O87" s="1" t="s">
        <v>173</v>
      </c>
    </row>
    <row r="88" customFormat="false" ht="12.75" hidden="false" customHeight="true" outlineLevel="0" collapsed="false">
      <c r="A88" s="1" t="s">
        <v>2239</v>
      </c>
      <c r="B88" s="1" t="s">
        <v>2268</v>
      </c>
      <c r="C88" s="1" t="str">
        <f aca="false">B88&amp;A88</f>
        <v>4103</v>
      </c>
      <c r="D88" s="1" t="s">
        <v>2221</v>
      </c>
      <c r="E88" s="1" t="s">
        <v>2440</v>
      </c>
      <c r="F88" s="1" t="s">
        <v>2221</v>
      </c>
      <c r="G88" s="1" t="s">
        <v>2441</v>
      </c>
      <c r="I88" s="1" t="str">
        <f aca="false">IF(E88&lt;&gt;"&lt;null&gt;",E88,"")</f>
        <v>&lt;3D059C&gt;</v>
      </c>
      <c r="J88" s="1" t="str">
        <f aca="false">IF(I88&lt;&gt;"",C88,"")</f>
        <v>4103</v>
      </c>
      <c r="L88" s="1" t="str">
        <f aca="false">"0x"&amp;C88</f>
        <v>0x4103</v>
      </c>
      <c r="M88" s="1" t="str">
        <f aca="false">VLOOKUP(L88,$N$2:$O$426,2,)</f>
        <v>Seven Island Tanoby Ruins</v>
      </c>
      <c r="N88" s="1" t="s">
        <v>174</v>
      </c>
      <c r="O88" s="1" t="s">
        <v>175</v>
      </c>
    </row>
    <row r="89" customFormat="false" ht="12.75" hidden="false" customHeight="true" outlineLevel="0" collapsed="false">
      <c r="A89" s="1" t="s">
        <v>2239</v>
      </c>
      <c r="B89" s="1" t="s">
        <v>2375</v>
      </c>
      <c r="C89" s="1" t="str">
        <f aca="false">B89&amp;A89</f>
        <v>1303</v>
      </c>
      <c r="D89" s="1" t="s">
        <v>2442</v>
      </c>
      <c r="E89" s="1" t="s">
        <v>2221</v>
      </c>
      <c r="F89" s="1" t="s">
        <v>2221</v>
      </c>
      <c r="G89" s="1" t="s">
        <v>2221</v>
      </c>
      <c r="I89" s="1" t="str">
        <f aca="false">IF(E89&lt;&gt;"&lt;null&gt;",E89,"")</f>
        <v/>
      </c>
      <c r="J89" s="1" t="str">
        <f aca="false">IF(I89&lt;&gt;"",C89,"")</f>
        <v/>
      </c>
      <c r="L89" s="1" t="str">
        <f aca="false">"0x"&amp;C89</f>
        <v>0x1303</v>
      </c>
      <c r="M89" s="1" t="str">
        <f aca="false">VLOOKUP(L89,$N$2:$O$426,2,)</f>
        <v>Route 1</v>
      </c>
      <c r="N89" s="1" t="s">
        <v>176</v>
      </c>
      <c r="O89" s="1" t="s">
        <v>177</v>
      </c>
    </row>
    <row r="90" customFormat="false" ht="12.75" hidden="false" customHeight="true" outlineLevel="0" collapsed="false">
      <c r="A90" s="1" t="s">
        <v>2239</v>
      </c>
      <c r="B90" s="1" t="s">
        <v>2377</v>
      </c>
      <c r="C90" s="1" t="str">
        <f aca="false">B90&amp;A90</f>
        <v>1403</v>
      </c>
      <c r="D90" s="1" t="s">
        <v>2443</v>
      </c>
      <c r="E90" s="1" t="s">
        <v>2221</v>
      </c>
      <c r="F90" s="1" t="s">
        <v>2221</v>
      </c>
      <c r="G90" s="1" t="s">
        <v>2221</v>
      </c>
      <c r="I90" s="1" t="str">
        <f aca="false">IF(E90&lt;&gt;"&lt;null&gt;",E90,"")</f>
        <v/>
      </c>
      <c r="J90" s="1" t="str">
        <f aca="false">IF(I90&lt;&gt;"",C90,"")</f>
        <v/>
      </c>
      <c r="L90" s="1" t="str">
        <f aca="false">"0x"&amp;C90</f>
        <v>0x1403</v>
      </c>
      <c r="M90" s="1" t="str">
        <f aca="false">VLOOKUP(L90,$N$2:$O$426,2,)</f>
        <v>Route 2</v>
      </c>
      <c r="N90" s="1" t="s">
        <v>178</v>
      </c>
      <c r="O90" s="1" t="s">
        <v>179</v>
      </c>
    </row>
    <row r="91" customFormat="false" ht="12.75" hidden="false" customHeight="true" outlineLevel="0" collapsed="false">
      <c r="A91" s="1" t="s">
        <v>2239</v>
      </c>
      <c r="B91" s="1" t="s">
        <v>2379</v>
      </c>
      <c r="C91" s="1" t="str">
        <f aca="false">B91&amp;A91</f>
        <v>1503</v>
      </c>
      <c r="D91" s="1" t="s">
        <v>2444</v>
      </c>
      <c r="E91" s="1" t="s">
        <v>2221</v>
      </c>
      <c r="F91" s="1" t="s">
        <v>2221</v>
      </c>
      <c r="G91" s="1" t="s">
        <v>2221</v>
      </c>
      <c r="I91" s="1" t="str">
        <f aca="false">IF(E91&lt;&gt;"&lt;null&gt;",E91,"")</f>
        <v/>
      </c>
      <c r="J91" s="1" t="str">
        <f aca="false">IF(I91&lt;&gt;"",C91,"")</f>
        <v/>
      </c>
      <c r="L91" s="1" t="str">
        <f aca="false">"0x"&amp;C91</f>
        <v>0x1503</v>
      </c>
      <c r="M91" s="1" t="str">
        <f aca="false">VLOOKUP(L91,$N$2:$O$426,2,)</f>
        <v>Route 3</v>
      </c>
      <c r="N91" s="1" t="s">
        <v>180</v>
      </c>
      <c r="O91" s="1" t="s">
        <v>181</v>
      </c>
    </row>
    <row r="92" customFormat="false" ht="12.75" hidden="false" customHeight="true" outlineLevel="0" collapsed="false">
      <c r="A92" s="1" t="s">
        <v>2239</v>
      </c>
      <c r="B92" s="1" t="s">
        <v>2381</v>
      </c>
      <c r="C92" s="1" t="str">
        <f aca="false">B92&amp;A92</f>
        <v>1603</v>
      </c>
      <c r="D92" s="1" t="s">
        <v>2445</v>
      </c>
      <c r="E92" s="1" t="s">
        <v>2446</v>
      </c>
      <c r="F92" s="1" t="s">
        <v>2221</v>
      </c>
      <c r="G92" s="1" t="s">
        <v>2447</v>
      </c>
      <c r="I92" s="1" t="str">
        <f aca="false">IF(E92&lt;&gt;"&lt;null&gt;",E92,"")</f>
        <v>&lt;3D06C8&gt;</v>
      </c>
      <c r="J92" s="1" t="str">
        <f aca="false">IF(I92&lt;&gt;"",C92,"")</f>
        <v>1603</v>
      </c>
      <c r="L92" s="1" t="str">
        <f aca="false">"0x"&amp;C92</f>
        <v>0x1603</v>
      </c>
      <c r="M92" s="1" t="str">
        <f aca="false">VLOOKUP(L92,$N$2:$O$426,2,)</f>
        <v>Route 4</v>
      </c>
      <c r="N92" s="1" t="s">
        <v>182</v>
      </c>
      <c r="O92" s="1" t="s">
        <v>183</v>
      </c>
    </row>
    <row r="93" customFormat="false" ht="12.75" hidden="false" customHeight="true" outlineLevel="0" collapsed="false">
      <c r="A93" s="1" t="s">
        <v>2239</v>
      </c>
      <c r="B93" s="1" t="s">
        <v>2383</v>
      </c>
      <c r="C93" s="1" t="str">
        <f aca="false">B93&amp;A93</f>
        <v>1703</v>
      </c>
      <c r="D93" s="1" t="s">
        <v>2448</v>
      </c>
      <c r="E93" s="1" t="s">
        <v>2221</v>
      </c>
      <c r="F93" s="1" t="s">
        <v>2221</v>
      </c>
      <c r="G93" s="1" t="s">
        <v>2221</v>
      </c>
      <c r="I93" s="1" t="str">
        <f aca="false">IF(E93&lt;&gt;"&lt;null&gt;",E93,"")</f>
        <v/>
      </c>
      <c r="J93" s="1" t="str">
        <f aca="false">IF(I93&lt;&gt;"",C93,"")</f>
        <v/>
      </c>
      <c r="L93" s="1" t="str">
        <f aca="false">"0x"&amp;C93</f>
        <v>0x1703</v>
      </c>
      <c r="M93" s="1" t="str">
        <f aca="false">VLOOKUP(L93,$N$2:$O$426,2,)</f>
        <v>Route 5</v>
      </c>
      <c r="N93" s="1" t="s">
        <v>184</v>
      </c>
      <c r="O93" s="1" t="s">
        <v>185</v>
      </c>
    </row>
    <row r="94" customFormat="false" ht="12.75" hidden="false" customHeight="true" outlineLevel="0" collapsed="false">
      <c r="A94" s="1" t="s">
        <v>2239</v>
      </c>
      <c r="B94" s="1" t="s">
        <v>2385</v>
      </c>
      <c r="C94" s="1" t="str">
        <f aca="false">B94&amp;A94</f>
        <v>1803</v>
      </c>
      <c r="D94" s="1" t="s">
        <v>2449</v>
      </c>
      <c r="E94" s="1" t="s">
        <v>2450</v>
      </c>
      <c r="F94" s="1" t="s">
        <v>2221</v>
      </c>
      <c r="G94" s="1" t="s">
        <v>2451</v>
      </c>
      <c r="I94" s="1" t="str">
        <f aca="false">IF(E94&lt;&gt;"&lt;null&gt;",E94,"")</f>
        <v>&lt;3D0784&gt;</v>
      </c>
      <c r="J94" s="1" t="str">
        <f aca="false">IF(I94&lt;&gt;"",C94,"")</f>
        <v>1803</v>
      </c>
      <c r="L94" s="1" t="str">
        <f aca="false">"0x"&amp;C94</f>
        <v>0x1803</v>
      </c>
      <c r="M94" s="1" t="str">
        <f aca="false">VLOOKUP(L94,$N$2:$O$426,2,)</f>
        <v>Route 6</v>
      </c>
      <c r="N94" s="1" t="s">
        <v>186</v>
      </c>
      <c r="O94" s="1" t="s">
        <v>187</v>
      </c>
    </row>
    <row r="95" customFormat="false" ht="12.75" hidden="false" customHeight="true" outlineLevel="0" collapsed="false">
      <c r="A95" s="1" t="s">
        <v>2239</v>
      </c>
      <c r="B95" s="1" t="s">
        <v>2387</v>
      </c>
      <c r="C95" s="1" t="str">
        <f aca="false">B95&amp;A95</f>
        <v>1903</v>
      </c>
      <c r="D95" s="1" t="s">
        <v>2452</v>
      </c>
      <c r="E95" s="1" t="s">
        <v>2221</v>
      </c>
      <c r="F95" s="1" t="s">
        <v>2221</v>
      </c>
      <c r="G95" s="1" t="s">
        <v>2221</v>
      </c>
      <c r="I95" s="1" t="str">
        <f aca="false">IF(E95&lt;&gt;"&lt;null&gt;",E95,"")</f>
        <v/>
      </c>
      <c r="J95" s="1" t="str">
        <f aca="false">IF(I95&lt;&gt;"",C95,"")</f>
        <v/>
      </c>
      <c r="L95" s="1" t="str">
        <f aca="false">"0x"&amp;C95</f>
        <v>0x1903</v>
      </c>
      <c r="M95" s="1" t="str">
        <f aca="false">VLOOKUP(L95,$N$2:$O$426,2,)</f>
        <v>Route 7</v>
      </c>
      <c r="N95" s="1" t="s">
        <v>188</v>
      </c>
      <c r="O95" s="1" t="s">
        <v>189</v>
      </c>
    </row>
    <row r="96" customFormat="false" ht="12.75" hidden="false" customHeight="true" outlineLevel="0" collapsed="false">
      <c r="A96" s="1" t="s">
        <v>2239</v>
      </c>
      <c r="B96" s="1" t="s">
        <v>2389</v>
      </c>
      <c r="C96" s="1" t="str">
        <f aca="false">B96&amp;A96</f>
        <v>1A03</v>
      </c>
      <c r="D96" s="1" t="s">
        <v>2453</v>
      </c>
      <c r="E96" s="1" t="s">
        <v>2221</v>
      </c>
      <c r="F96" s="1" t="s">
        <v>2221</v>
      </c>
      <c r="G96" s="1" t="s">
        <v>2221</v>
      </c>
      <c r="I96" s="1" t="str">
        <f aca="false">IF(E96&lt;&gt;"&lt;null&gt;",E96,"")</f>
        <v/>
      </c>
      <c r="J96" s="1" t="str">
        <f aca="false">IF(I96&lt;&gt;"",C96,"")</f>
        <v/>
      </c>
      <c r="L96" s="1" t="str">
        <f aca="false">"0x"&amp;C96</f>
        <v>0x1A03</v>
      </c>
      <c r="M96" s="1" t="str">
        <f aca="false">VLOOKUP(L96,$N$2:$O$426,2,)</f>
        <v>Route 8</v>
      </c>
      <c r="N96" s="1" t="s">
        <v>190</v>
      </c>
      <c r="O96" s="1" t="s">
        <v>191</v>
      </c>
    </row>
    <row r="97" customFormat="false" ht="12.75" hidden="false" customHeight="true" outlineLevel="0" collapsed="false">
      <c r="A97" s="1" t="s">
        <v>2239</v>
      </c>
      <c r="B97" s="1" t="s">
        <v>2219</v>
      </c>
      <c r="C97" s="1" t="str">
        <f aca="false">B97&amp;A97</f>
        <v>1B03</v>
      </c>
      <c r="D97" s="1" t="s">
        <v>2454</v>
      </c>
      <c r="E97" s="1" t="s">
        <v>2221</v>
      </c>
      <c r="F97" s="1" t="s">
        <v>2221</v>
      </c>
      <c r="G97" s="1" t="s">
        <v>2221</v>
      </c>
      <c r="I97" s="1" t="str">
        <f aca="false">IF(E97&lt;&gt;"&lt;null&gt;",E97,"")</f>
        <v/>
      </c>
      <c r="J97" s="1" t="str">
        <f aca="false">IF(I97&lt;&gt;"",C97,"")</f>
        <v/>
      </c>
      <c r="L97" s="1" t="str">
        <f aca="false">"0x"&amp;C97</f>
        <v>0x1B03</v>
      </c>
      <c r="M97" s="1" t="str">
        <f aca="false">VLOOKUP(L97,$N$2:$O$426,2,)</f>
        <v>Route 9</v>
      </c>
      <c r="N97" s="1" t="s">
        <v>192</v>
      </c>
      <c r="O97" s="1" t="s">
        <v>193</v>
      </c>
    </row>
    <row r="98" customFormat="false" ht="12.75" hidden="false" customHeight="true" outlineLevel="0" collapsed="false">
      <c r="A98" s="1" t="s">
        <v>2239</v>
      </c>
      <c r="B98" s="1" t="s">
        <v>2222</v>
      </c>
      <c r="C98" s="1" t="str">
        <f aca="false">B98&amp;A98</f>
        <v>1C03</v>
      </c>
      <c r="D98" s="1" t="s">
        <v>2455</v>
      </c>
      <c r="E98" s="1" t="s">
        <v>2456</v>
      </c>
      <c r="F98" s="1" t="s">
        <v>2221</v>
      </c>
      <c r="G98" s="1" t="s">
        <v>2457</v>
      </c>
      <c r="I98" s="1" t="str">
        <f aca="false">IF(E98&lt;&gt;"&lt;null&gt;",E98,"")</f>
        <v>&lt;3D08B0&gt;</v>
      </c>
      <c r="J98" s="1" t="str">
        <f aca="false">IF(I98&lt;&gt;"",C98,"")</f>
        <v>1C03</v>
      </c>
      <c r="L98" s="1" t="str">
        <f aca="false">"0x"&amp;C98</f>
        <v>0x1C03</v>
      </c>
      <c r="M98" s="1" t="str">
        <f aca="false">VLOOKUP(L98,$N$2:$O$426,2,)</f>
        <v>Route 10</v>
      </c>
      <c r="N98" s="1" t="s">
        <v>194</v>
      </c>
      <c r="O98" s="1" t="s">
        <v>195</v>
      </c>
    </row>
    <row r="99" customFormat="false" ht="12.75" hidden="false" customHeight="true" outlineLevel="0" collapsed="false">
      <c r="A99" s="1" t="s">
        <v>2239</v>
      </c>
      <c r="B99" s="1" t="s">
        <v>2224</v>
      </c>
      <c r="C99" s="1" t="str">
        <f aca="false">B99&amp;A99</f>
        <v>1D03</v>
      </c>
      <c r="D99" s="1" t="s">
        <v>2458</v>
      </c>
      <c r="E99" s="1" t="s">
        <v>2459</v>
      </c>
      <c r="F99" s="1" t="s">
        <v>2221</v>
      </c>
      <c r="G99" s="1" t="s">
        <v>2460</v>
      </c>
      <c r="I99" s="1" t="str">
        <f aca="false">IF(E99&lt;&gt;"&lt;null&gt;",E99,"")</f>
        <v>&lt;3D0934&gt;</v>
      </c>
      <c r="J99" s="1" t="str">
        <f aca="false">IF(I99&lt;&gt;"",C99,"")</f>
        <v>1D03</v>
      </c>
      <c r="L99" s="1" t="str">
        <f aca="false">"0x"&amp;C99</f>
        <v>0x1D03</v>
      </c>
      <c r="M99" s="1" t="str">
        <f aca="false">VLOOKUP(L99,$N$2:$O$426,2,)</f>
        <v>Route 11</v>
      </c>
      <c r="N99" s="1" t="s">
        <v>196</v>
      </c>
      <c r="O99" s="1" t="s">
        <v>197</v>
      </c>
    </row>
    <row r="100" customFormat="false" ht="12.75" hidden="false" customHeight="true" outlineLevel="0" collapsed="false">
      <c r="A100" s="1" t="s">
        <v>2239</v>
      </c>
      <c r="B100" s="1" t="s">
        <v>2226</v>
      </c>
      <c r="C100" s="1" t="str">
        <f aca="false">B100&amp;A100</f>
        <v>1E03</v>
      </c>
      <c r="D100" s="1" t="s">
        <v>2461</v>
      </c>
      <c r="E100" s="1" t="s">
        <v>2462</v>
      </c>
      <c r="F100" s="1" t="s">
        <v>2221</v>
      </c>
      <c r="G100" s="1" t="s">
        <v>2463</v>
      </c>
      <c r="I100" s="1" t="str">
        <f aca="false">IF(E100&lt;&gt;"&lt;null&gt;",E100,"")</f>
        <v>&lt;3D09B8&gt;</v>
      </c>
      <c r="J100" s="1" t="str">
        <f aca="false">IF(I100&lt;&gt;"",C100,"")</f>
        <v>1E03</v>
      </c>
      <c r="L100" s="1" t="str">
        <f aca="false">"0x"&amp;C100</f>
        <v>0x1E03</v>
      </c>
      <c r="M100" s="1" t="str">
        <f aca="false">VLOOKUP(L100,$N$2:$O$426,2,)</f>
        <v>Route 12</v>
      </c>
      <c r="N100" s="1" t="s">
        <v>198</v>
      </c>
      <c r="O100" s="1" t="s">
        <v>199</v>
      </c>
    </row>
    <row r="101" customFormat="false" ht="12.75" hidden="false" customHeight="true" outlineLevel="0" collapsed="false">
      <c r="A101" s="1" t="s">
        <v>2239</v>
      </c>
      <c r="B101" s="1" t="s">
        <v>2228</v>
      </c>
      <c r="C101" s="1" t="str">
        <f aca="false">B101&amp;A101</f>
        <v>1F03</v>
      </c>
      <c r="D101" s="1" t="s">
        <v>2464</v>
      </c>
      <c r="E101" s="1" t="s">
        <v>2465</v>
      </c>
      <c r="F101" s="1" t="s">
        <v>2221</v>
      </c>
      <c r="G101" s="1" t="s">
        <v>2466</v>
      </c>
      <c r="I101" s="1" t="str">
        <f aca="false">IF(E101&lt;&gt;"&lt;null&gt;",E101,"")</f>
        <v>&lt;3D0A3C&gt;</v>
      </c>
      <c r="J101" s="1" t="str">
        <f aca="false">IF(I101&lt;&gt;"",C101,"")</f>
        <v>1F03</v>
      </c>
      <c r="L101" s="1" t="str">
        <f aca="false">"0x"&amp;C101</f>
        <v>0x1F03</v>
      </c>
      <c r="M101" s="1" t="str">
        <f aca="false">VLOOKUP(L101,$N$2:$O$426,2,)</f>
        <v>Route 13</v>
      </c>
      <c r="N101" s="1" t="s">
        <v>200</v>
      </c>
      <c r="O101" s="1" t="s">
        <v>201</v>
      </c>
    </row>
    <row r="102" customFormat="false" ht="12.75" hidden="false" customHeight="true" outlineLevel="0" collapsed="false">
      <c r="A102" s="1" t="s">
        <v>2239</v>
      </c>
      <c r="B102" s="1" t="s">
        <v>2230</v>
      </c>
      <c r="C102" s="1" t="str">
        <f aca="false">B102&amp;A102</f>
        <v>2003</v>
      </c>
      <c r="D102" s="1" t="s">
        <v>2467</v>
      </c>
      <c r="E102" s="1" t="s">
        <v>2221</v>
      </c>
      <c r="F102" s="1" t="s">
        <v>2221</v>
      </c>
      <c r="G102" s="1" t="s">
        <v>2221</v>
      </c>
      <c r="I102" s="1" t="str">
        <f aca="false">IF(E102&lt;&gt;"&lt;null&gt;",E102,"")</f>
        <v/>
      </c>
      <c r="J102" s="1" t="str">
        <f aca="false">IF(I102&lt;&gt;"",C102,"")</f>
        <v/>
      </c>
      <c r="L102" s="1" t="str">
        <f aca="false">"0x"&amp;C102</f>
        <v>0x2003</v>
      </c>
      <c r="M102" s="1" t="str">
        <f aca="false">VLOOKUP(L102,$N$2:$O$426,2,)</f>
        <v>Route 14</v>
      </c>
      <c r="N102" s="1" t="s">
        <v>202</v>
      </c>
      <c r="O102" s="1" t="s">
        <v>203</v>
      </c>
    </row>
    <row r="103" customFormat="false" ht="12.75" hidden="false" customHeight="true" outlineLevel="0" collapsed="false">
      <c r="A103" s="1" t="s">
        <v>2239</v>
      </c>
      <c r="B103" s="1" t="s">
        <v>2232</v>
      </c>
      <c r="C103" s="1" t="str">
        <f aca="false">B103&amp;A103</f>
        <v>2103</v>
      </c>
      <c r="D103" s="1" t="s">
        <v>2468</v>
      </c>
      <c r="E103" s="1" t="s">
        <v>2221</v>
      </c>
      <c r="F103" s="1" t="s">
        <v>2221</v>
      </c>
      <c r="G103" s="1" t="s">
        <v>2221</v>
      </c>
      <c r="I103" s="1" t="str">
        <f aca="false">IF(E103&lt;&gt;"&lt;null&gt;",E103,"")</f>
        <v/>
      </c>
      <c r="J103" s="1" t="str">
        <f aca="false">IF(I103&lt;&gt;"",C103,"")</f>
        <v/>
      </c>
      <c r="L103" s="1" t="str">
        <f aca="false">"0x"&amp;C103</f>
        <v>0x2103</v>
      </c>
      <c r="M103" s="1" t="str">
        <f aca="false">VLOOKUP(L103,$N$2:$O$426,2,)</f>
        <v>Route 15</v>
      </c>
      <c r="N103" s="1" t="s">
        <v>204</v>
      </c>
      <c r="O103" s="1" t="s">
        <v>205</v>
      </c>
    </row>
    <row r="104" customFormat="false" ht="12.75" hidden="false" customHeight="true" outlineLevel="0" collapsed="false">
      <c r="A104" s="1" t="s">
        <v>2239</v>
      </c>
      <c r="B104" s="1" t="s">
        <v>2469</v>
      </c>
      <c r="C104" s="1" t="str">
        <f aca="false">B104&amp;A104</f>
        <v>2203</v>
      </c>
      <c r="D104" s="1" t="s">
        <v>2470</v>
      </c>
      <c r="E104" s="1" t="s">
        <v>2221</v>
      </c>
      <c r="F104" s="1" t="s">
        <v>2221</v>
      </c>
      <c r="G104" s="1" t="s">
        <v>2221</v>
      </c>
      <c r="I104" s="1" t="str">
        <f aca="false">IF(E104&lt;&gt;"&lt;null&gt;",E104,"")</f>
        <v/>
      </c>
      <c r="J104" s="1" t="str">
        <f aca="false">IF(I104&lt;&gt;"",C104,"")</f>
        <v/>
      </c>
      <c r="L104" s="1" t="str">
        <f aca="false">"0x"&amp;C104</f>
        <v>0x2203</v>
      </c>
      <c r="M104" s="1" t="str">
        <f aca="false">VLOOKUP(L104,$N$2:$O$426,2,)</f>
        <v>Route 16</v>
      </c>
      <c r="N104" s="1" t="s">
        <v>206</v>
      </c>
      <c r="O104" s="1" t="s">
        <v>207</v>
      </c>
    </row>
    <row r="105" customFormat="false" ht="12.75" hidden="false" customHeight="true" outlineLevel="0" collapsed="false">
      <c r="A105" s="1" t="s">
        <v>2239</v>
      </c>
      <c r="B105" s="1" t="s">
        <v>2471</v>
      </c>
      <c r="C105" s="1" t="str">
        <f aca="false">B105&amp;A105</f>
        <v>2303</v>
      </c>
      <c r="D105" s="1" t="s">
        <v>2472</v>
      </c>
      <c r="E105" s="1" t="s">
        <v>2221</v>
      </c>
      <c r="F105" s="1" t="s">
        <v>2221</v>
      </c>
      <c r="G105" s="1" t="s">
        <v>2221</v>
      </c>
      <c r="I105" s="1" t="str">
        <f aca="false">IF(E105&lt;&gt;"&lt;null&gt;",E105,"")</f>
        <v/>
      </c>
      <c r="J105" s="1" t="str">
        <f aca="false">IF(I105&lt;&gt;"",C105,"")</f>
        <v/>
      </c>
      <c r="L105" s="1" t="str">
        <f aca="false">"0x"&amp;C105</f>
        <v>0x2303</v>
      </c>
      <c r="M105" s="1" t="str">
        <f aca="false">VLOOKUP(L105,$N$2:$O$426,2,)</f>
        <v>Route 17</v>
      </c>
      <c r="N105" s="1" t="s">
        <v>208</v>
      </c>
      <c r="O105" s="1" t="s">
        <v>209</v>
      </c>
    </row>
    <row r="106" customFormat="false" ht="12.75" hidden="false" customHeight="true" outlineLevel="0" collapsed="false">
      <c r="A106" s="1" t="s">
        <v>2239</v>
      </c>
      <c r="B106" s="1" t="s">
        <v>2473</v>
      </c>
      <c r="C106" s="1" t="str">
        <f aca="false">B106&amp;A106</f>
        <v>2403</v>
      </c>
      <c r="D106" s="1" t="s">
        <v>2474</v>
      </c>
      <c r="E106" s="1" t="s">
        <v>2221</v>
      </c>
      <c r="F106" s="1" t="s">
        <v>2221</v>
      </c>
      <c r="G106" s="1" t="s">
        <v>2221</v>
      </c>
      <c r="I106" s="1" t="str">
        <f aca="false">IF(E106&lt;&gt;"&lt;null&gt;",E106,"")</f>
        <v/>
      </c>
      <c r="J106" s="1" t="str">
        <f aca="false">IF(I106&lt;&gt;"",C106,"")</f>
        <v/>
      </c>
      <c r="L106" s="1" t="str">
        <f aca="false">"0x"&amp;C106</f>
        <v>0x2403</v>
      </c>
      <c r="M106" s="1" t="str">
        <f aca="false">VLOOKUP(L106,$N$2:$O$426,2,)</f>
        <v>Route 18</v>
      </c>
      <c r="N106" s="1" t="s">
        <v>210</v>
      </c>
      <c r="O106" s="1" t="s">
        <v>211</v>
      </c>
    </row>
    <row r="107" customFormat="false" ht="12.75" hidden="false" customHeight="true" outlineLevel="0" collapsed="false">
      <c r="A107" s="1" t="s">
        <v>2239</v>
      </c>
      <c r="B107" s="1" t="s">
        <v>2244</v>
      </c>
      <c r="C107" s="1" t="str">
        <f aca="false">B107&amp;A107</f>
        <v>2503</v>
      </c>
      <c r="D107" s="1" t="s">
        <v>2221</v>
      </c>
      <c r="E107" s="1" t="s">
        <v>2475</v>
      </c>
      <c r="F107" s="1" t="s">
        <v>2221</v>
      </c>
      <c r="G107" s="1" t="s">
        <v>2476</v>
      </c>
      <c r="I107" s="1" t="str">
        <f aca="false">IF(E107&lt;&gt;"&lt;null&gt;",E107,"")</f>
        <v>&lt;3D0BA0&gt;</v>
      </c>
      <c r="J107" s="1" t="str">
        <f aca="false">IF(I107&lt;&gt;"",C107,"")</f>
        <v>2503</v>
      </c>
      <c r="L107" s="1" t="str">
        <f aca="false">"0x"&amp;C107</f>
        <v>0x2503</v>
      </c>
      <c r="M107" s="1" t="str">
        <f aca="false">VLOOKUP(L107,$N$2:$O$426,2,)</f>
        <v>Route 19</v>
      </c>
      <c r="N107" s="1" t="s">
        <v>212</v>
      </c>
      <c r="O107" s="1" t="s">
        <v>213</v>
      </c>
    </row>
    <row r="108" customFormat="false" ht="12.75" hidden="false" customHeight="true" outlineLevel="0" collapsed="false">
      <c r="A108" s="1" t="s">
        <v>2239</v>
      </c>
      <c r="B108" s="1" t="s">
        <v>2477</v>
      </c>
      <c r="C108" s="1" t="str">
        <f aca="false">B108&amp;A108</f>
        <v>2603</v>
      </c>
      <c r="D108" s="1" t="s">
        <v>2221</v>
      </c>
      <c r="E108" s="1" t="s">
        <v>2478</v>
      </c>
      <c r="F108" s="1" t="s">
        <v>2221</v>
      </c>
      <c r="G108" s="1" t="s">
        <v>2479</v>
      </c>
      <c r="I108" s="1" t="str">
        <f aca="false">IF(E108&lt;&gt;"&lt;null&gt;",E108,"")</f>
        <v>&lt;3D0BEC&gt;</v>
      </c>
      <c r="J108" s="1" t="str">
        <f aca="false">IF(I108&lt;&gt;"",C108,"")</f>
        <v>2603</v>
      </c>
      <c r="L108" s="1" t="str">
        <f aca="false">"0x"&amp;C108</f>
        <v>0x2603</v>
      </c>
      <c r="M108" s="1" t="str">
        <f aca="false">VLOOKUP(L108,$N$2:$O$426,2,)</f>
        <v>Route 20</v>
      </c>
      <c r="N108" s="1" t="s">
        <v>214</v>
      </c>
      <c r="O108" s="1" t="s">
        <v>215</v>
      </c>
    </row>
    <row r="109" customFormat="false" ht="12.75" hidden="false" customHeight="true" outlineLevel="0" collapsed="false">
      <c r="A109" s="1" t="s">
        <v>2239</v>
      </c>
      <c r="B109" s="1" t="s">
        <v>2246</v>
      </c>
      <c r="C109" s="1" t="str">
        <f aca="false">B109&amp;A109</f>
        <v>2703</v>
      </c>
      <c r="D109" s="1" t="s">
        <v>2480</v>
      </c>
      <c r="E109" s="1" t="s">
        <v>2481</v>
      </c>
      <c r="F109" s="1" t="s">
        <v>2221</v>
      </c>
      <c r="G109" s="1" t="s">
        <v>2482</v>
      </c>
      <c r="I109" s="1" t="str">
        <f aca="false">IF(E109&lt;&gt;"&lt;null&gt;",E109,"")</f>
        <v>&lt;3D0C70&gt;</v>
      </c>
      <c r="J109" s="1" t="str">
        <f aca="false">IF(I109&lt;&gt;"",C109,"")</f>
        <v>2703</v>
      </c>
      <c r="L109" s="1" t="str">
        <f aca="false">"0x"&amp;C109</f>
        <v>0x2703</v>
      </c>
      <c r="M109" s="1" t="str">
        <f aca="false">VLOOKUP(L109,$N$2:$O$426,2,)</f>
        <v>Route 21 North</v>
      </c>
      <c r="N109" s="1" t="s">
        <v>216</v>
      </c>
      <c r="O109" s="1" t="s">
        <v>217</v>
      </c>
    </row>
    <row r="110" customFormat="false" ht="12.75" hidden="false" customHeight="true" outlineLevel="0" collapsed="false">
      <c r="A110" s="1" t="s">
        <v>2239</v>
      </c>
      <c r="B110" s="1" t="s">
        <v>2248</v>
      </c>
      <c r="C110" s="1" t="str">
        <f aca="false">B110&amp;A110</f>
        <v>2803</v>
      </c>
      <c r="D110" s="1" t="s">
        <v>2483</v>
      </c>
      <c r="E110" s="1" t="s">
        <v>2484</v>
      </c>
      <c r="F110" s="1" t="s">
        <v>2221</v>
      </c>
      <c r="G110" s="1" t="s">
        <v>2485</v>
      </c>
      <c r="I110" s="1" t="str">
        <f aca="false">IF(E110&lt;&gt;"&lt;null&gt;",E110,"")</f>
        <v>&lt;3D0CF4&gt;</v>
      </c>
      <c r="J110" s="1" t="str">
        <f aca="false">IF(I110&lt;&gt;"",C110,"")</f>
        <v>2803</v>
      </c>
      <c r="L110" s="1" t="str">
        <f aca="false">"0x"&amp;C110</f>
        <v>0x2803</v>
      </c>
      <c r="M110" s="1" t="str">
        <f aca="false">VLOOKUP(L110,$N$2:$O$426,2,)</f>
        <v>Route 21 South</v>
      </c>
      <c r="N110" s="1" t="s">
        <v>218</v>
      </c>
      <c r="O110" s="1" t="s">
        <v>219</v>
      </c>
    </row>
    <row r="111" customFormat="false" ht="12.75" hidden="false" customHeight="true" outlineLevel="0" collapsed="false">
      <c r="A111" s="1" t="s">
        <v>2239</v>
      </c>
      <c r="B111" s="1" t="s">
        <v>2250</v>
      </c>
      <c r="C111" s="1" t="str">
        <f aca="false">B111&amp;A111</f>
        <v>2903</v>
      </c>
      <c r="D111" s="1" t="s">
        <v>2486</v>
      </c>
      <c r="E111" s="1" t="s">
        <v>2487</v>
      </c>
      <c r="F111" s="1" t="s">
        <v>2221</v>
      </c>
      <c r="G111" s="1" t="s">
        <v>2488</v>
      </c>
      <c r="I111" s="1" t="str">
        <f aca="false">IF(E111&lt;&gt;"&lt;null&gt;",E111,"")</f>
        <v>&lt;3D0D78&gt;</v>
      </c>
      <c r="J111" s="1" t="str">
        <f aca="false">IF(I111&lt;&gt;"",C111,"")</f>
        <v>2903</v>
      </c>
      <c r="L111" s="1" t="str">
        <f aca="false">"0x"&amp;C111</f>
        <v>0x2903</v>
      </c>
      <c r="M111" s="1" t="str">
        <f aca="false">VLOOKUP(L111,$N$2:$O$426,2,)</f>
        <v>Route 22</v>
      </c>
      <c r="N111" s="1" t="s">
        <v>220</v>
      </c>
      <c r="O111" s="1" t="s">
        <v>221</v>
      </c>
    </row>
    <row r="112" customFormat="false" ht="12.75" hidden="false" customHeight="true" outlineLevel="0" collapsed="false">
      <c r="A112" s="1" t="s">
        <v>2239</v>
      </c>
      <c r="B112" s="1" t="s">
        <v>2489</v>
      </c>
      <c r="C112" s="1" t="str">
        <f aca="false">B112&amp;A112</f>
        <v>2A03</v>
      </c>
      <c r="D112" s="1" t="s">
        <v>2490</v>
      </c>
      <c r="E112" s="1" t="s">
        <v>2491</v>
      </c>
      <c r="F112" s="1" t="s">
        <v>2221</v>
      </c>
      <c r="G112" s="1" t="s">
        <v>2492</v>
      </c>
      <c r="I112" s="1" t="str">
        <f aca="false">IF(E112&lt;&gt;"&lt;null&gt;",E112,"")</f>
        <v>&lt;3D0DFC&gt;</v>
      </c>
      <c r="J112" s="1" t="str">
        <f aca="false">IF(I112&lt;&gt;"",C112,"")</f>
        <v>2A03</v>
      </c>
      <c r="L112" s="1" t="str">
        <f aca="false">"0x"&amp;C112</f>
        <v>0x2A03</v>
      </c>
      <c r="M112" s="1" t="str">
        <f aca="false">VLOOKUP(L112,$N$2:$O$426,2,)</f>
        <v>Route 23</v>
      </c>
      <c r="N112" s="1" t="s">
        <v>222</v>
      </c>
      <c r="O112" s="1" t="s">
        <v>223</v>
      </c>
    </row>
    <row r="113" customFormat="false" ht="12.75" hidden="false" customHeight="true" outlineLevel="0" collapsed="false">
      <c r="A113" s="1" t="s">
        <v>2239</v>
      </c>
      <c r="B113" s="1" t="s">
        <v>2493</v>
      </c>
      <c r="C113" s="1" t="str">
        <f aca="false">B113&amp;A113</f>
        <v>2B03</v>
      </c>
      <c r="D113" s="1" t="s">
        <v>2494</v>
      </c>
      <c r="E113" s="1" t="s">
        <v>2495</v>
      </c>
      <c r="F113" s="1" t="s">
        <v>2221</v>
      </c>
      <c r="G113" s="1" t="s">
        <v>2496</v>
      </c>
      <c r="I113" s="1" t="str">
        <f aca="false">IF(E113&lt;&gt;"&lt;null&gt;",E113,"")</f>
        <v>&lt;3D0E80&gt;</v>
      </c>
      <c r="J113" s="1" t="str">
        <f aca="false">IF(I113&lt;&gt;"",C113,"")</f>
        <v>2B03</v>
      </c>
      <c r="L113" s="1" t="str">
        <f aca="false">"0x"&amp;C113</f>
        <v>0x2B03</v>
      </c>
      <c r="M113" s="1" t="str">
        <f aca="false">VLOOKUP(L113,$N$2:$O$426,2,)</f>
        <v>Route 24</v>
      </c>
      <c r="N113" s="1" t="s">
        <v>224</v>
      </c>
      <c r="O113" s="1" t="s">
        <v>225</v>
      </c>
    </row>
    <row r="114" customFormat="false" ht="12.75" hidden="false" customHeight="true" outlineLevel="0" collapsed="false">
      <c r="A114" s="1" t="s">
        <v>2239</v>
      </c>
      <c r="B114" s="1" t="s">
        <v>2497</v>
      </c>
      <c r="C114" s="1" t="str">
        <f aca="false">B114&amp;A114</f>
        <v>2C03</v>
      </c>
      <c r="D114" s="1" t="s">
        <v>2498</v>
      </c>
      <c r="E114" s="1" t="s">
        <v>2499</v>
      </c>
      <c r="F114" s="1" t="s">
        <v>2221</v>
      </c>
      <c r="G114" s="1" t="s">
        <v>2500</v>
      </c>
      <c r="I114" s="1" t="str">
        <f aca="false">IF(E114&lt;&gt;"&lt;null&gt;",E114,"")</f>
        <v>&lt;3D0F04&gt;</v>
      </c>
      <c r="J114" s="1" t="str">
        <f aca="false">IF(I114&lt;&gt;"",C114,"")</f>
        <v>2C03</v>
      </c>
      <c r="L114" s="1" t="str">
        <f aca="false">"0x"&amp;C114</f>
        <v>0x2C03</v>
      </c>
      <c r="M114" s="1" t="str">
        <f aca="false">VLOOKUP(L114,$N$2:$O$426,2,)</f>
        <v>Route 25</v>
      </c>
      <c r="N114" s="1" t="s">
        <v>226</v>
      </c>
      <c r="O114" s="1" t="s">
        <v>227</v>
      </c>
    </row>
    <row r="115" customFormat="false" ht="12.75" hidden="false" customHeight="true" outlineLevel="0" collapsed="false">
      <c r="A115" s="1" t="s">
        <v>2239</v>
      </c>
      <c r="B115" s="1" t="s">
        <v>2235</v>
      </c>
      <c r="C115" s="1" t="str">
        <f aca="false">B115&amp;A115</f>
        <v>0003</v>
      </c>
      <c r="D115" s="1" t="s">
        <v>2221</v>
      </c>
      <c r="E115" s="1" t="s">
        <v>2501</v>
      </c>
      <c r="F115" s="1" t="s">
        <v>2221</v>
      </c>
      <c r="G115" s="1" t="s">
        <v>2502</v>
      </c>
      <c r="I115" s="1" t="str">
        <f aca="false">IF(E115&lt;&gt;"&lt;null&gt;",E115,"")</f>
        <v>&lt;3D0F50&gt;</v>
      </c>
      <c r="J115" s="1" t="str">
        <f aca="false">IF(I115&lt;&gt;"",C115,"")</f>
        <v>0003</v>
      </c>
      <c r="L115" s="1" t="str">
        <f aca="false">"0x"&amp;C115</f>
        <v>0x0003</v>
      </c>
      <c r="M115" s="1" t="str">
        <f aca="false">VLOOKUP(L115,$N$2:$O$426,2,)</f>
        <v>Pallet Town</v>
      </c>
      <c r="N115" s="1" t="s">
        <v>228</v>
      </c>
      <c r="O115" s="1" t="s">
        <v>229</v>
      </c>
    </row>
    <row r="116" customFormat="false" ht="12.75" hidden="false" customHeight="true" outlineLevel="0" collapsed="false">
      <c r="A116" s="1" t="s">
        <v>2239</v>
      </c>
      <c r="B116" s="1" t="s">
        <v>2234</v>
      </c>
      <c r="C116" s="1" t="str">
        <f aca="false">B116&amp;A116</f>
        <v>0103</v>
      </c>
      <c r="D116" s="1" t="s">
        <v>2221</v>
      </c>
      <c r="E116" s="1" t="s">
        <v>2503</v>
      </c>
      <c r="F116" s="1" t="s">
        <v>2221</v>
      </c>
      <c r="G116" s="1" t="s">
        <v>2504</v>
      </c>
      <c r="I116" s="1" t="str">
        <f aca="false">IF(E116&lt;&gt;"&lt;null&gt;",E116,"")</f>
        <v>&lt;3D0F9C&gt;</v>
      </c>
      <c r="J116" s="1" t="str">
        <f aca="false">IF(I116&lt;&gt;"",C116,"")</f>
        <v>0103</v>
      </c>
      <c r="L116" s="1" t="str">
        <f aca="false">"0x"&amp;C116</f>
        <v>0x0103</v>
      </c>
      <c r="M116" s="1" t="str">
        <f aca="false">VLOOKUP(L116,$N$2:$O$426,2,)</f>
        <v>Viridian City</v>
      </c>
      <c r="N116" s="1" t="s">
        <v>230</v>
      </c>
      <c r="O116" s="1" t="s">
        <v>231</v>
      </c>
    </row>
    <row r="117" customFormat="false" ht="12.75" hidden="false" customHeight="true" outlineLevel="0" collapsed="false">
      <c r="A117" s="1" t="s">
        <v>2239</v>
      </c>
      <c r="B117" s="1" t="s">
        <v>2239</v>
      </c>
      <c r="C117" s="1" t="str">
        <f aca="false">B117&amp;A117</f>
        <v>0303</v>
      </c>
      <c r="D117" s="1" t="s">
        <v>2221</v>
      </c>
      <c r="E117" s="1" t="s">
        <v>2505</v>
      </c>
      <c r="F117" s="1" t="s">
        <v>2221</v>
      </c>
      <c r="G117" s="1" t="s">
        <v>2506</v>
      </c>
      <c r="I117" s="1" t="str">
        <f aca="false">IF(E117&lt;&gt;"&lt;null&gt;",E117,"")</f>
        <v>&lt;3D0FE8&gt;</v>
      </c>
      <c r="J117" s="1" t="str">
        <f aca="false">IF(I117&lt;&gt;"",C117,"")</f>
        <v>0303</v>
      </c>
      <c r="L117" s="1" t="str">
        <f aca="false">"0x"&amp;C117</f>
        <v>0x0303</v>
      </c>
      <c r="M117" s="1" t="str">
        <f aca="false">VLOOKUP(L117,$N$2:$O$426,2,)</f>
        <v>Celurean City</v>
      </c>
      <c r="N117" s="1" t="s">
        <v>232</v>
      </c>
      <c r="O117" s="1" t="s">
        <v>233</v>
      </c>
    </row>
    <row r="118" customFormat="false" ht="12.75" hidden="false" customHeight="true" outlineLevel="0" collapsed="false">
      <c r="A118" s="1" t="s">
        <v>2239</v>
      </c>
      <c r="B118" s="1" t="s">
        <v>2507</v>
      </c>
      <c r="C118" s="1" t="str">
        <f aca="false">B118&amp;A118</f>
        <v>0503</v>
      </c>
      <c r="D118" s="1" t="s">
        <v>2221</v>
      </c>
      <c r="E118" s="1" t="s">
        <v>2508</v>
      </c>
      <c r="F118" s="1" t="s">
        <v>2221</v>
      </c>
      <c r="G118" s="1" t="s">
        <v>2509</v>
      </c>
      <c r="I118" s="1" t="str">
        <f aca="false">IF(E118&lt;&gt;"&lt;null&gt;",E118,"")</f>
        <v>&lt;3D1034&gt;</v>
      </c>
      <c r="J118" s="1" t="str">
        <f aca="false">IF(I118&lt;&gt;"",C118,"")</f>
        <v>0503</v>
      </c>
      <c r="L118" s="1" t="str">
        <f aca="false">"0x"&amp;C118</f>
        <v>0x0503</v>
      </c>
      <c r="M118" s="1" t="str">
        <f aca="false">VLOOKUP(L118,$N$2:$O$426,2,)</f>
        <v>Vermilion City</v>
      </c>
      <c r="N118" s="1" t="s">
        <v>234</v>
      </c>
      <c r="O118" s="1" t="s">
        <v>235</v>
      </c>
    </row>
    <row r="119" customFormat="false" ht="12.75" hidden="false" customHeight="true" outlineLevel="0" collapsed="false">
      <c r="A119" s="1" t="s">
        <v>2239</v>
      </c>
      <c r="B119" s="1" t="s">
        <v>2510</v>
      </c>
      <c r="C119" s="1" t="str">
        <f aca="false">B119&amp;A119</f>
        <v>0603</v>
      </c>
      <c r="D119" s="1" t="s">
        <v>2221</v>
      </c>
      <c r="E119" s="1" t="s">
        <v>2511</v>
      </c>
      <c r="F119" s="1" t="s">
        <v>2221</v>
      </c>
      <c r="G119" s="1" t="s">
        <v>2512</v>
      </c>
      <c r="I119" s="1" t="str">
        <f aca="false">IF(E119&lt;&gt;"&lt;null&gt;",E119,"")</f>
        <v>&lt;3D1080&gt;</v>
      </c>
      <c r="J119" s="1" t="str">
        <f aca="false">IF(I119&lt;&gt;"",C119,"")</f>
        <v>0603</v>
      </c>
      <c r="L119" s="1" t="str">
        <f aca="false">"0x"&amp;C119</f>
        <v>0x0603</v>
      </c>
      <c r="M119" s="1" t="str">
        <f aca="false">VLOOKUP(L119,$N$2:$O$426,2,)</f>
        <v>Celadon City</v>
      </c>
      <c r="N119" s="1" t="s">
        <v>236</v>
      </c>
      <c r="O119" s="1" t="s">
        <v>237</v>
      </c>
    </row>
    <row r="120" customFormat="false" ht="12.75" hidden="false" customHeight="true" outlineLevel="0" collapsed="false">
      <c r="A120" s="1" t="s">
        <v>2239</v>
      </c>
      <c r="B120" s="1" t="s">
        <v>2513</v>
      </c>
      <c r="C120" s="1" t="str">
        <f aca="false">B120&amp;A120</f>
        <v>0703</v>
      </c>
      <c r="D120" s="1" t="s">
        <v>2221</v>
      </c>
      <c r="E120" s="1" t="s">
        <v>2514</v>
      </c>
      <c r="F120" s="1" t="s">
        <v>2221</v>
      </c>
      <c r="G120" s="1" t="s">
        <v>2515</v>
      </c>
      <c r="I120" s="1" t="str">
        <f aca="false">IF(E120&lt;&gt;"&lt;null&gt;",E120,"")</f>
        <v>&lt;3D10CC&gt;</v>
      </c>
      <c r="J120" s="1" t="str">
        <f aca="false">IF(I120&lt;&gt;"",C120,"")</f>
        <v>0703</v>
      </c>
      <c r="L120" s="1" t="str">
        <f aca="false">"0x"&amp;C120</f>
        <v>0x0703</v>
      </c>
      <c r="M120" s="1" t="str">
        <f aca="false">VLOOKUP(L120,$N$2:$O$426,2,)</f>
        <v>Fuchsia City</v>
      </c>
      <c r="N120" s="1" t="s">
        <v>238</v>
      </c>
      <c r="O120" s="1" t="s">
        <v>239</v>
      </c>
    </row>
    <row r="121" customFormat="false" ht="12.75" hidden="false" customHeight="true" outlineLevel="0" collapsed="false">
      <c r="A121" s="1" t="s">
        <v>2239</v>
      </c>
      <c r="B121" s="1" t="s">
        <v>2516</v>
      </c>
      <c r="C121" s="1" t="str">
        <f aca="false">B121&amp;A121</f>
        <v>0803</v>
      </c>
      <c r="D121" s="1" t="s">
        <v>2221</v>
      </c>
      <c r="E121" s="1" t="s">
        <v>2517</v>
      </c>
      <c r="F121" s="1" t="s">
        <v>2221</v>
      </c>
      <c r="G121" s="1" t="s">
        <v>2518</v>
      </c>
      <c r="I121" s="1" t="str">
        <f aca="false">IF(E121&lt;&gt;"&lt;null&gt;",E121,"")</f>
        <v>&lt;3D1118&gt;</v>
      </c>
      <c r="J121" s="1" t="str">
        <f aca="false">IF(I121&lt;&gt;"",C121,"")</f>
        <v>0803</v>
      </c>
      <c r="L121" s="1" t="str">
        <f aca="false">"0x"&amp;C121</f>
        <v>0x0803</v>
      </c>
      <c r="M121" s="1" t="str">
        <f aca="false">VLOOKUP(L121,$N$2:$O$426,2,)</f>
        <v>Cinnabar Island</v>
      </c>
      <c r="N121" s="1" t="s">
        <v>240</v>
      </c>
      <c r="O121" s="1" t="s">
        <v>241</v>
      </c>
    </row>
    <row r="122" customFormat="false" ht="12.75" hidden="false" customHeight="true" outlineLevel="0" collapsed="false">
      <c r="A122" s="1" t="s">
        <v>2239</v>
      </c>
      <c r="B122" s="1" t="s">
        <v>2519</v>
      </c>
      <c r="C122" s="1" t="str">
        <f aca="false">B122&amp;A122</f>
        <v>0C03</v>
      </c>
      <c r="D122" s="1" t="s">
        <v>2221</v>
      </c>
      <c r="E122" s="1" t="s">
        <v>2520</v>
      </c>
      <c r="F122" s="1" t="s">
        <v>2221</v>
      </c>
      <c r="G122" s="1" t="s">
        <v>2521</v>
      </c>
      <c r="I122" s="1" t="str">
        <f aca="false">IF(E122&lt;&gt;"&lt;null&gt;",E122,"")</f>
        <v>&lt;3D1164&gt;</v>
      </c>
      <c r="J122" s="1" t="str">
        <f aca="false">IF(I122&lt;&gt;"",C122,"")</f>
        <v>0C03</v>
      </c>
      <c r="L122" s="1" t="str">
        <f aca="false">"0x"&amp;C122</f>
        <v>0x0C03</v>
      </c>
      <c r="M122" s="1" t="str">
        <f aca="false">VLOOKUP(L122,$N$2:$O$426,2,)</f>
        <v>One Island</v>
      </c>
      <c r="N122" s="1" t="s">
        <v>242</v>
      </c>
      <c r="O122" s="1" t="s">
        <v>243</v>
      </c>
    </row>
    <row r="123" customFormat="false" ht="12.75" hidden="false" customHeight="true" outlineLevel="0" collapsed="false">
      <c r="A123" s="1" t="s">
        <v>2239</v>
      </c>
      <c r="B123" s="1" t="s">
        <v>2367</v>
      </c>
      <c r="C123" s="1" t="str">
        <f aca="false">B123&amp;A123</f>
        <v>0F03</v>
      </c>
      <c r="D123" s="1" t="s">
        <v>2221</v>
      </c>
      <c r="E123" s="1" t="s">
        <v>2522</v>
      </c>
      <c r="F123" s="1" t="s">
        <v>2221</v>
      </c>
      <c r="G123" s="1" t="s">
        <v>2523</v>
      </c>
      <c r="I123" s="1" t="str">
        <f aca="false">IF(E123&lt;&gt;"&lt;null&gt;",E123,"")</f>
        <v>&lt;3D11B0&gt;</v>
      </c>
      <c r="J123" s="1" t="str">
        <f aca="false">IF(I123&lt;&gt;"",C123,"")</f>
        <v>0F03</v>
      </c>
      <c r="L123" s="1" t="str">
        <f aca="false">"0x"&amp;C123</f>
        <v>0x0F03</v>
      </c>
      <c r="M123" s="1" t="str">
        <f aca="false">VLOOKUP(L123,$N$2:$O$426,2,)</f>
        <v>Four Island</v>
      </c>
      <c r="N123" s="1" t="s">
        <v>244</v>
      </c>
      <c r="O123" s="1" t="s">
        <v>245</v>
      </c>
    </row>
    <row r="124" customFormat="false" ht="12.75" hidden="false" customHeight="true" outlineLevel="0" collapsed="false">
      <c r="A124" s="1" t="s">
        <v>2239</v>
      </c>
      <c r="B124" s="1" t="s">
        <v>2369</v>
      </c>
      <c r="C124" s="1" t="str">
        <f aca="false">B124&amp;A124</f>
        <v>1003</v>
      </c>
      <c r="D124" s="1" t="s">
        <v>2221</v>
      </c>
      <c r="E124" s="1" t="s">
        <v>2524</v>
      </c>
      <c r="F124" s="1" t="s">
        <v>2221</v>
      </c>
      <c r="G124" s="1" t="s">
        <v>2525</v>
      </c>
      <c r="I124" s="1" t="str">
        <f aca="false">IF(E124&lt;&gt;"&lt;null&gt;",E124,"")</f>
        <v>&lt;3D11FC&gt;</v>
      </c>
      <c r="J124" s="1" t="str">
        <f aca="false">IF(I124&lt;&gt;"",C124,"")</f>
        <v>1003</v>
      </c>
      <c r="L124" s="1" t="str">
        <f aca="false">"0x"&amp;C124</f>
        <v>0x1003</v>
      </c>
      <c r="M124" s="1" t="str">
        <f aca="false">VLOOKUP(L124,$N$2:$O$426,2,)</f>
        <v>Five Island</v>
      </c>
      <c r="N124" s="1" t="s">
        <v>246</v>
      </c>
      <c r="O124" s="1" t="s">
        <v>247</v>
      </c>
    </row>
    <row r="125" customFormat="false" ht="12.75" hidden="false" customHeight="true" outlineLevel="0" collapsed="false">
      <c r="A125" s="1" t="s">
        <v>2234</v>
      </c>
      <c r="B125" s="1" t="s">
        <v>2526</v>
      </c>
      <c r="C125" s="1" t="str">
        <f aca="false">B125&amp;A125</f>
        <v>7A01</v>
      </c>
      <c r="D125" s="1" t="s">
        <v>2527</v>
      </c>
      <c r="E125" s="1" t="s">
        <v>2221</v>
      </c>
      <c r="F125" s="1" t="s">
        <v>2221</v>
      </c>
      <c r="G125" s="1" t="s">
        <v>2221</v>
      </c>
      <c r="I125" s="1" t="str">
        <f aca="false">IF(E125&lt;&gt;"&lt;null&gt;",E125,"")</f>
        <v/>
      </c>
      <c r="J125" s="1" t="str">
        <f aca="false">IF(I125&lt;&gt;"",C125,"")</f>
        <v/>
      </c>
      <c r="L125" s="1" t="str">
        <f aca="false">"0x"&amp;C125</f>
        <v>0x7A01</v>
      </c>
      <c r="M125" s="1" t="str">
        <f aca="false">VLOOKUP(L125,$N$2:$O$426,2,)</f>
        <v>Six Island Altering Cave</v>
      </c>
      <c r="N125" s="1" t="s">
        <v>248</v>
      </c>
      <c r="O125" s="1" t="s">
        <v>249</v>
      </c>
    </row>
    <row r="126" customFormat="false" ht="12.75" hidden="false" customHeight="true" outlineLevel="0" collapsed="false">
      <c r="A126" s="1" t="s">
        <v>2234</v>
      </c>
      <c r="B126" s="1" t="s">
        <v>2526</v>
      </c>
      <c r="C126" s="1" t="str">
        <f aca="false">B126&amp;A126</f>
        <v>7A01</v>
      </c>
      <c r="D126" s="1" t="s">
        <v>2528</v>
      </c>
      <c r="E126" s="1" t="s">
        <v>2221</v>
      </c>
      <c r="F126" s="1" t="s">
        <v>2221</v>
      </c>
      <c r="G126" s="1" t="s">
        <v>2221</v>
      </c>
      <c r="I126" s="1" t="str">
        <f aca="false">IF(E126&lt;&gt;"&lt;null&gt;",E126,"")</f>
        <v/>
      </c>
      <c r="J126" s="1" t="str">
        <f aca="false">IF(I126&lt;&gt;"",C126,"")</f>
        <v/>
      </c>
      <c r="L126" s="1" t="str">
        <f aca="false">"0x"&amp;C126</f>
        <v>0x7A01</v>
      </c>
      <c r="M126" s="1" t="str">
        <f aca="false">VLOOKUP(L126,$N$2:$O$426,2,)</f>
        <v>Six Island Altering Cave</v>
      </c>
      <c r="N126" s="1" t="s">
        <v>250</v>
      </c>
      <c r="O126" s="1" t="s">
        <v>251</v>
      </c>
    </row>
    <row r="127" customFormat="false" ht="12.75" hidden="false" customHeight="true" outlineLevel="0" collapsed="false">
      <c r="A127" s="1" t="s">
        <v>2234</v>
      </c>
      <c r="B127" s="1" t="s">
        <v>2526</v>
      </c>
      <c r="C127" s="1" t="str">
        <f aca="false">B127&amp;A127</f>
        <v>7A01</v>
      </c>
      <c r="D127" s="1" t="s">
        <v>2529</v>
      </c>
      <c r="E127" s="1" t="s">
        <v>2221</v>
      </c>
      <c r="F127" s="1" t="s">
        <v>2221</v>
      </c>
      <c r="G127" s="1" t="s">
        <v>2221</v>
      </c>
      <c r="I127" s="1" t="str">
        <f aca="false">IF(E127&lt;&gt;"&lt;null&gt;",E127,"")</f>
        <v/>
      </c>
      <c r="J127" s="1" t="str">
        <f aca="false">IF(I127&lt;&gt;"",C127,"")</f>
        <v/>
      </c>
      <c r="L127" s="1" t="str">
        <f aca="false">"0x"&amp;C127</f>
        <v>0x7A01</v>
      </c>
      <c r="M127" s="1" t="str">
        <f aca="false">VLOOKUP(L127,$N$2:$O$426,2,)</f>
        <v>Six Island Altering Cave</v>
      </c>
      <c r="N127" s="1" t="s">
        <v>252</v>
      </c>
      <c r="O127" s="1" t="s">
        <v>253</v>
      </c>
    </row>
    <row r="128" customFormat="false" ht="12.75" hidden="false" customHeight="true" outlineLevel="0" collapsed="false">
      <c r="A128" s="1" t="s">
        <v>2234</v>
      </c>
      <c r="B128" s="1" t="s">
        <v>2526</v>
      </c>
      <c r="C128" s="1" t="str">
        <f aca="false">B128&amp;A128</f>
        <v>7A01</v>
      </c>
      <c r="D128" s="1" t="s">
        <v>2530</v>
      </c>
      <c r="E128" s="1" t="s">
        <v>2221</v>
      </c>
      <c r="F128" s="1" t="s">
        <v>2221</v>
      </c>
      <c r="G128" s="1" t="s">
        <v>2221</v>
      </c>
      <c r="I128" s="1" t="str">
        <f aca="false">IF(E128&lt;&gt;"&lt;null&gt;",E128,"")</f>
        <v/>
      </c>
      <c r="J128" s="1" t="str">
        <f aca="false">IF(I128&lt;&gt;"",C128,"")</f>
        <v/>
      </c>
      <c r="L128" s="1" t="str">
        <f aca="false">"0x"&amp;C128</f>
        <v>0x7A01</v>
      </c>
      <c r="M128" s="1" t="str">
        <f aca="false">VLOOKUP(L128,$N$2:$O$426,2,)</f>
        <v>Six Island Altering Cave</v>
      </c>
      <c r="N128" s="1" t="s">
        <v>254</v>
      </c>
      <c r="O128" s="1" t="s">
        <v>255</v>
      </c>
    </row>
    <row r="129" customFormat="false" ht="12.75" hidden="false" customHeight="true" outlineLevel="0" collapsed="false">
      <c r="A129" s="1" t="s">
        <v>2234</v>
      </c>
      <c r="B129" s="1" t="s">
        <v>2526</v>
      </c>
      <c r="C129" s="1" t="str">
        <f aca="false">B129&amp;A129</f>
        <v>7A01</v>
      </c>
      <c r="D129" s="1" t="s">
        <v>2531</v>
      </c>
      <c r="E129" s="1" t="s">
        <v>2221</v>
      </c>
      <c r="F129" s="1" t="s">
        <v>2221</v>
      </c>
      <c r="G129" s="1" t="s">
        <v>2221</v>
      </c>
      <c r="I129" s="1" t="str">
        <f aca="false">IF(E129&lt;&gt;"&lt;null&gt;",E129,"")</f>
        <v/>
      </c>
      <c r="J129" s="1" t="str">
        <f aca="false">IF(I129&lt;&gt;"",C129,"")</f>
        <v/>
      </c>
      <c r="L129" s="1" t="str">
        <f aca="false">"0x"&amp;C129</f>
        <v>0x7A01</v>
      </c>
      <c r="M129" s="1" t="str">
        <f aca="false">VLOOKUP(L129,$N$2:$O$426,2,)</f>
        <v>Six Island Altering Cave</v>
      </c>
      <c r="N129" s="1" t="s">
        <v>256</v>
      </c>
      <c r="O129" s="1" t="s">
        <v>257</v>
      </c>
    </row>
    <row r="130" customFormat="false" ht="12.75" hidden="false" customHeight="true" outlineLevel="0" collapsed="false">
      <c r="A130" s="1" t="s">
        <v>2234</v>
      </c>
      <c r="B130" s="1" t="s">
        <v>2526</v>
      </c>
      <c r="C130" s="1" t="str">
        <f aca="false">B130&amp;A130</f>
        <v>7A01</v>
      </c>
      <c r="D130" s="1" t="s">
        <v>2532</v>
      </c>
      <c r="E130" s="1" t="s">
        <v>2221</v>
      </c>
      <c r="F130" s="1" t="s">
        <v>2221</v>
      </c>
      <c r="G130" s="1" t="s">
        <v>2221</v>
      </c>
      <c r="I130" s="1" t="str">
        <f aca="false">IF(E130&lt;&gt;"&lt;null&gt;",E130,"")</f>
        <v/>
      </c>
      <c r="J130" s="1" t="str">
        <f aca="false">IF(I130&lt;&gt;"",C130,"")</f>
        <v/>
      </c>
      <c r="L130" s="1" t="str">
        <f aca="false">"0x"&amp;C130</f>
        <v>0x7A01</v>
      </c>
      <c r="M130" s="1" t="str">
        <f aca="false">VLOOKUP(L130,$N$2:$O$426,2,)</f>
        <v>Six Island Altering Cave</v>
      </c>
      <c r="N130" s="1" t="s">
        <v>258</v>
      </c>
      <c r="O130" s="1" t="s">
        <v>259</v>
      </c>
    </row>
    <row r="131" customFormat="false" ht="12.75" hidden="false" customHeight="true" outlineLevel="0" collapsed="false">
      <c r="A131" s="1" t="s">
        <v>2234</v>
      </c>
      <c r="B131" s="1" t="s">
        <v>2526</v>
      </c>
      <c r="C131" s="1" t="str">
        <f aca="false">B131&amp;A131</f>
        <v>7A01</v>
      </c>
      <c r="D131" s="1" t="s">
        <v>2533</v>
      </c>
      <c r="E131" s="1" t="s">
        <v>2221</v>
      </c>
      <c r="F131" s="1" t="s">
        <v>2221</v>
      </c>
      <c r="G131" s="1" t="s">
        <v>2221</v>
      </c>
      <c r="I131" s="1" t="str">
        <f aca="false">IF(E131&lt;&gt;"&lt;null&gt;",E131,"")</f>
        <v/>
      </c>
      <c r="J131" s="1" t="str">
        <f aca="false">IF(I131&lt;&gt;"",C131,"")</f>
        <v/>
      </c>
      <c r="L131" s="1" t="str">
        <f aca="false">"0x"&amp;C131</f>
        <v>0x7A01</v>
      </c>
      <c r="M131" s="1" t="str">
        <f aca="false">VLOOKUP(L131,$N$2:$O$426,2,)</f>
        <v>Six Island Altering Cave</v>
      </c>
      <c r="N131" s="1" t="s">
        <v>260</v>
      </c>
      <c r="O131" s="1" t="s">
        <v>261</v>
      </c>
    </row>
    <row r="132" customFormat="false" ht="12.75" hidden="false" customHeight="true" outlineLevel="0" collapsed="false">
      <c r="A132" s="1" t="s">
        <v>2234</v>
      </c>
      <c r="B132" s="1" t="s">
        <v>2526</v>
      </c>
      <c r="C132" s="1" t="str">
        <f aca="false">B132&amp;A132</f>
        <v>7A01</v>
      </c>
      <c r="D132" s="1" t="s">
        <v>2534</v>
      </c>
      <c r="E132" s="1" t="s">
        <v>2221</v>
      </c>
      <c r="F132" s="1" t="s">
        <v>2221</v>
      </c>
      <c r="G132" s="1" t="s">
        <v>2221</v>
      </c>
      <c r="I132" s="1" t="str">
        <f aca="false">IF(E132&lt;&gt;"&lt;null&gt;",E132,"")</f>
        <v/>
      </c>
      <c r="J132" s="1" t="str">
        <f aca="false">IF(I132&lt;&gt;"",C132,"")</f>
        <v/>
      </c>
      <c r="L132" s="1" t="str">
        <f aca="false">"0x"&amp;C132</f>
        <v>0x7A01</v>
      </c>
      <c r="M132" s="1" t="str">
        <f aca="false">VLOOKUP(L132,$N$2:$O$426,2,)</f>
        <v>Six Island Altering Cave</v>
      </c>
      <c r="N132" s="1" t="s">
        <v>262</v>
      </c>
      <c r="O132" s="1" t="s">
        <v>263</v>
      </c>
    </row>
    <row r="133" customFormat="false" ht="12.75" hidden="false" customHeight="true" outlineLevel="0" collapsed="false">
      <c r="A133" s="1" t="s">
        <v>2234</v>
      </c>
      <c r="B133" s="1" t="s">
        <v>2526</v>
      </c>
      <c r="C133" s="1" t="str">
        <f aca="false">B133&amp;A133</f>
        <v>7A01</v>
      </c>
      <c r="D133" s="1" t="s">
        <v>2535</v>
      </c>
      <c r="E133" s="1" t="s">
        <v>2221</v>
      </c>
      <c r="F133" s="1" t="s">
        <v>2221</v>
      </c>
      <c r="G133" s="1" t="s">
        <v>2221</v>
      </c>
      <c r="I133" s="1" t="str">
        <f aca="false">IF(E133&lt;&gt;"&lt;null&gt;",E133,"")</f>
        <v/>
      </c>
      <c r="J133" s="1" t="str">
        <f aca="false">IF(I133&lt;&gt;"",C133,"")</f>
        <v/>
      </c>
      <c r="L133" s="1" t="str">
        <f aca="false">"0x"&amp;C133</f>
        <v>0x7A01</v>
      </c>
      <c r="M133" s="1" t="str">
        <f aca="false">VLOOKUP(L133,$N$2:$O$426,2,)</f>
        <v>Six Island Altering Cave</v>
      </c>
      <c r="N133" s="1" t="s">
        <v>264</v>
      </c>
      <c r="O133" s="1" t="s">
        <v>265</v>
      </c>
    </row>
    <row r="134" customFormat="false" ht="12.75" hidden="false" customHeight="true" outlineLevel="0" collapsed="false">
      <c r="N134" s="1" t="s">
        <v>266</v>
      </c>
      <c r="O134" s="1" t="s">
        <v>267</v>
      </c>
    </row>
    <row r="135" customFormat="false" ht="12.75" hidden="false" customHeight="true" outlineLevel="0" collapsed="false">
      <c r="N135" s="1" t="s">
        <v>268</v>
      </c>
      <c r="O135" s="1" t="s">
        <v>269</v>
      </c>
    </row>
    <row r="136" customFormat="false" ht="12.75" hidden="false" customHeight="true" outlineLevel="0" collapsed="false">
      <c r="N136" s="1" t="s">
        <v>270</v>
      </c>
      <c r="O136" s="1" t="s">
        <v>271</v>
      </c>
    </row>
    <row r="137" customFormat="false" ht="12.75" hidden="false" customHeight="true" outlineLevel="0" collapsed="false">
      <c r="N137" s="1" t="s">
        <v>272</v>
      </c>
      <c r="O137" s="1" t="s">
        <v>273</v>
      </c>
    </row>
    <row r="138" customFormat="false" ht="12.75" hidden="false" customHeight="true" outlineLevel="0" collapsed="false">
      <c r="N138" s="1" t="s">
        <v>274</v>
      </c>
      <c r="O138" s="1" t="s">
        <v>275</v>
      </c>
    </row>
    <row r="139" customFormat="false" ht="12.75" hidden="false" customHeight="true" outlineLevel="0" collapsed="false">
      <c r="N139" s="1" t="s">
        <v>276</v>
      </c>
      <c r="O139" s="1" t="s">
        <v>277</v>
      </c>
    </row>
    <row r="140" customFormat="false" ht="12.75" hidden="false" customHeight="true" outlineLevel="0" collapsed="false">
      <c r="N140" s="1" t="s">
        <v>278</v>
      </c>
      <c r="O140" s="1" t="s">
        <v>279</v>
      </c>
    </row>
    <row r="141" customFormat="false" ht="12.75" hidden="false" customHeight="true" outlineLevel="0" collapsed="false">
      <c r="N141" s="1" t="s">
        <v>280</v>
      </c>
      <c r="O141" s="1" t="s">
        <v>281</v>
      </c>
    </row>
    <row r="142" customFormat="false" ht="12.75" hidden="false" customHeight="true" outlineLevel="0" collapsed="false">
      <c r="N142" s="1" t="s">
        <v>282</v>
      </c>
      <c r="O142" s="1" t="s">
        <v>283</v>
      </c>
    </row>
    <row r="143" customFormat="false" ht="12.75" hidden="false" customHeight="true" outlineLevel="0" collapsed="false">
      <c r="N143" s="1" t="s">
        <v>284</v>
      </c>
      <c r="O143" s="1" t="s">
        <v>285</v>
      </c>
    </row>
    <row r="144" customFormat="false" ht="12.75" hidden="false" customHeight="true" outlineLevel="0" collapsed="false">
      <c r="N144" s="1" t="s">
        <v>286</v>
      </c>
      <c r="O144" s="1" t="s">
        <v>287</v>
      </c>
    </row>
    <row r="145" customFormat="false" ht="12.75" hidden="false" customHeight="true" outlineLevel="0" collapsed="false">
      <c r="N145" s="1" t="s">
        <v>288</v>
      </c>
      <c r="O145" s="1" t="s">
        <v>289</v>
      </c>
    </row>
    <row r="146" customFormat="false" ht="12.75" hidden="false" customHeight="true" outlineLevel="0" collapsed="false">
      <c r="N146" s="1" t="s">
        <v>290</v>
      </c>
      <c r="O146" s="1" t="s">
        <v>291</v>
      </c>
    </row>
    <row r="147" customFormat="false" ht="12.75" hidden="false" customHeight="true" outlineLevel="0" collapsed="false">
      <c r="N147" s="1" t="s">
        <v>292</v>
      </c>
      <c r="O147" s="1" t="s">
        <v>293</v>
      </c>
    </row>
    <row r="148" customFormat="false" ht="12.75" hidden="false" customHeight="true" outlineLevel="0" collapsed="false">
      <c r="N148" s="1" t="s">
        <v>294</v>
      </c>
      <c r="O148" s="1" t="s">
        <v>295</v>
      </c>
    </row>
    <row r="149" customFormat="false" ht="12.75" hidden="false" customHeight="true" outlineLevel="0" collapsed="false">
      <c r="N149" s="1" t="s">
        <v>296</v>
      </c>
      <c r="O149" s="1" t="s">
        <v>297</v>
      </c>
    </row>
    <row r="150" customFormat="false" ht="12.75" hidden="false" customHeight="true" outlineLevel="0" collapsed="false">
      <c r="N150" s="1" t="s">
        <v>298</v>
      </c>
      <c r="O150" s="1" t="s">
        <v>299</v>
      </c>
    </row>
    <row r="151" customFormat="false" ht="12.75" hidden="false" customHeight="true" outlineLevel="0" collapsed="false">
      <c r="N151" s="1" t="s">
        <v>300</v>
      </c>
      <c r="O151" s="1" t="s">
        <v>301</v>
      </c>
    </row>
    <row r="152" customFormat="false" ht="12.75" hidden="false" customHeight="true" outlineLevel="0" collapsed="false">
      <c r="N152" s="1" t="s">
        <v>302</v>
      </c>
      <c r="O152" s="1" t="s">
        <v>303</v>
      </c>
    </row>
    <row r="153" customFormat="false" ht="12.75" hidden="false" customHeight="true" outlineLevel="0" collapsed="false">
      <c r="N153" s="1" t="s">
        <v>304</v>
      </c>
      <c r="O153" s="1" t="s">
        <v>305</v>
      </c>
    </row>
    <row r="154" customFormat="false" ht="12.75" hidden="false" customHeight="true" outlineLevel="0" collapsed="false">
      <c r="N154" s="1" t="s">
        <v>306</v>
      </c>
      <c r="O154" s="1" t="s">
        <v>307</v>
      </c>
    </row>
    <row r="155" customFormat="false" ht="12.75" hidden="false" customHeight="true" outlineLevel="0" collapsed="false">
      <c r="N155" s="1" t="s">
        <v>308</v>
      </c>
      <c r="O155" s="1" t="s">
        <v>309</v>
      </c>
    </row>
    <row r="156" customFormat="false" ht="12.75" hidden="false" customHeight="true" outlineLevel="0" collapsed="false">
      <c r="N156" s="1" t="s">
        <v>310</v>
      </c>
      <c r="O156" s="1" t="s">
        <v>311</v>
      </c>
    </row>
    <row r="157" customFormat="false" ht="12.75" hidden="false" customHeight="true" outlineLevel="0" collapsed="false">
      <c r="N157" s="1" t="s">
        <v>312</v>
      </c>
      <c r="O157" s="1" t="s">
        <v>313</v>
      </c>
    </row>
    <row r="158" customFormat="false" ht="12.75" hidden="false" customHeight="true" outlineLevel="0" collapsed="false">
      <c r="N158" s="1" t="s">
        <v>314</v>
      </c>
      <c r="O158" s="1" t="s">
        <v>315</v>
      </c>
    </row>
    <row r="159" customFormat="false" ht="12.75" hidden="false" customHeight="true" outlineLevel="0" collapsed="false">
      <c r="N159" s="1" t="s">
        <v>316</v>
      </c>
      <c r="O159" s="1" t="s">
        <v>317</v>
      </c>
    </row>
    <row r="160" customFormat="false" ht="12.75" hidden="false" customHeight="true" outlineLevel="0" collapsed="false">
      <c r="N160" s="1" t="s">
        <v>318</v>
      </c>
      <c r="O160" s="1" t="s">
        <v>319</v>
      </c>
    </row>
    <row r="161" customFormat="false" ht="12.75" hidden="false" customHeight="true" outlineLevel="0" collapsed="false">
      <c r="N161" s="1" t="s">
        <v>320</v>
      </c>
      <c r="O161" s="1" t="s">
        <v>321</v>
      </c>
    </row>
    <row r="162" customFormat="false" ht="12.75" hidden="false" customHeight="true" outlineLevel="0" collapsed="false">
      <c r="N162" s="1" t="s">
        <v>322</v>
      </c>
      <c r="O162" s="1" t="s">
        <v>323</v>
      </c>
    </row>
    <row r="163" customFormat="false" ht="12.75" hidden="false" customHeight="true" outlineLevel="0" collapsed="false">
      <c r="N163" s="1" t="s">
        <v>324</v>
      </c>
      <c r="O163" s="1" t="s">
        <v>325</v>
      </c>
    </row>
    <row r="164" customFormat="false" ht="12.75" hidden="false" customHeight="true" outlineLevel="0" collapsed="false">
      <c r="N164" s="1" t="s">
        <v>326</v>
      </c>
      <c r="O164" s="1" t="s">
        <v>327</v>
      </c>
    </row>
    <row r="165" customFormat="false" ht="12.75" hidden="false" customHeight="true" outlineLevel="0" collapsed="false">
      <c r="N165" s="1" t="s">
        <v>328</v>
      </c>
      <c r="O165" s="1" t="s">
        <v>329</v>
      </c>
    </row>
    <row r="166" customFormat="false" ht="12.75" hidden="false" customHeight="true" outlineLevel="0" collapsed="false">
      <c r="N166" s="1" t="s">
        <v>330</v>
      </c>
      <c r="O166" s="1" t="s">
        <v>331</v>
      </c>
    </row>
    <row r="167" customFormat="false" ht="12.75" hidden="false" customHeight="true" outlineLevel="0" collapsed="false">
      <c r="N167" s="1" t="s">
        <v>332</v>
      </c>
      <c r="O167" s="1" t="s">
        <v>333</v>
      </c>
    </row>
    <row r="168" customFormat="false" ht="12.75" hidden="false" customHeight="true" outlineLevel="0" collapsed="false">
      <c r="N168" s="1" t="s">
        <v>334</v>
      </c>
      <c r="O168" s="1" t="s">
        <v>335</v>
      </c>
    </row>
    <row r="169" customFormat="false" ht="12.75" hidden="false" customHeight="true" outlineLevel="0" collapsed="false">
      <c r="N169" s="1" t="s">
        <v>336</v>
      </c>
      <c r="O169" s="1" t="s">
        <v>337</v>
      </c>
    </row>
    <row r="170" customFormat="false" ht="12.75" hidden="false" customHeight="true" outlineLevel="0" collapsed="false">
      <c r="N170" s="1" t="s">
        <v>338</v>
      </c>
      <c r="O170" s="1" t="s">
        <v>339</v>
      </c>
    </row>
    <row r="171" customFormat="false" ht="12.75" hidden="false" customHeight="true" outlineLevel="0" collapsed="false">
      <c r="N171" s="1" t="s">
        <v>340</v>
      </c>
      <c r="O171" s="1" t="s">
        <v>341</v>
      </c>
    </row>
    <row r="172" customFormat="false" ht="12.75" hidden="false" customHeight="true" outlineLevel="0" collapsed="false">
      <c r="N172" s="1" t="s">
        <v>342</v>
      </c>
      <c r="O172" s="1" t="s">
        <v>343</v>
      </c>
    </row>
    <row r="173" customFormat="false" ht="12.75" hidden="false" customHeight="true" outlineLevel="0" collapsed="false">
      <c r="N173" s="1" t="s">
        <v>344</v>
      </c>
      <c r="O173" s="1" t="s">
        <v>345</v>
      </c>
    </row>
    <row r="174" customFormat="false" ht="12.75" hidden="false" customHeight="true" outlineLevel="0" collapsed="false">
      <c r="N174" s="1" t="s">
        <v>346</v>
      </c>
      <c r="O174" s="1" t="s">
        <v>347</v>
      </c>
    </row>
    <row r="175" customFormat="false" ht="12.75" hidden="false" customHeight="true" outlineLevel="0" collapsed="false">
      <c r="N175" s="1" t="s">
        <v>348</v>
      </c>
      <c r="O175" s="1" t="s">
        <v>349</v>
      </c>
    </row>
    <row r="176" customFormat="false" ht="12.75" hidden="false" customHeight="true" outlineLevel="0" collapsed="false">
      <c r="N176" s="1" t="s">
        <v>350</v>
      </c>
      <c r="O176" s="1" t="s">
        <v>351</v>
      </c>
    </row>
    <row r="177" customFormat="false" ht="12.75" hidden="false" customHeight="true" outlineLevel="0" collapsed="false">
      <c r="N177" s="1" t="s">
        <v>352</v>
      </c>
      <c r="O177" s="1" t="s">
        <v>353</v>
      </c>
    </row>
    <row r="178" customFormat="false" ht="12.75" hidden="false" customHeight="true" outlineLevel="0" collapsed="false">
      <c r="N178" s="1" t="s">
        <v>354</v>
      </c>
      <c r="O178" s="1" t="s">
        <v>355</v>
      </c>
    </row>
    <row r="179" customFormat="false" ht="12.75" hidden="false" customHeight="true" outlineLevel="0" collapsed="false">
      <c r="N179" s="1" t="s">
        <v>356</v>
      </c>
      <c r="O179" s="1" t="s">
        <v>357</v>
      </c>
    </row>
    <row r="180" customFormat="false" ht="12.75" hidden="false" customHeight="true" outlineLevel="0" collapsed="false">
      <c r="N180" s="1" t="s">
        <v>358</v>
      </c>
      <c r="O180" s="1" t="s">
        <v>359</v>
      </c>
    </row>
    <row r="181" customFormat="false" ht="12.75" hidden="false" customHeight="true" outlineLevel="0" collapsed="false">
      <c r="N181" s="1" t="s">
        <v>360</v>
      </c>
      <c r="O181" s="1" t="s">
        <v>361</v>
      </c>
    </row>
    <row r="182" customFormat="false" ht="12.75" hidden="false" customHeight="true" outlineLevel="0" collapsed="false">
      <c r="N182" s="1" t="s">
        <v>362</v>
      </c>
      <c r="O182" s="1" t="s">
        <v>363</v>
      </c>
    </row>
    <row r="183" customFormat="false" ht="12.75" hidden="false" customHeight="true" outlineLevel="0" collapsed="false">
      <c r="N183" s="1" t="s">
        <v>364</v>
      </c>
      <c r="O183" s="1" t="s">
        <v>365</v>
      </c>
    </row>
    <row r="184" customFormat="false" ht="12.75" hidden="false" customHeight="true" outlineLevel="0" collapsed="false">
      <c r="N184" s="1" t="s">
        <v>366</v>
      </c>
      <c r="O184" s="1" t="s">
        <v>367</v>
      </c>
    </row>
    <row r="185" customFormat="false" ht="12.75" hidden="false" customHeight="true" outlineLevel="0" collapsed="false">
      <c r="N185" s="1" t="s">
        <v>368</v>
      </c>
      <c r="O185" s="1" t="s">
        <v>369</v>
      </c>
    </row>
    <row r="186" customFormat="false" ht="12.75" hidden="false" customHeight="true" outlineLevel="0" collapsed="false">
      <c r="N186" s="1" t="s">
        <v>370</v>
      </c>
      <c r="O186" s="1" t="s">
        <v>371</v>
      </c>
    </row>
    <row r="187" customFormat="false" ht="12.75" hidden="false" customHeight="true" outlineLevel="0" collapsed="false">
      <c r="N187" s="1" t="s">
        <v>372</v>
      </c>
      <c r="O187" s="1" t="s">
        <v>373</v>
      </c>
    </row>
    <row r="188" customFormat="false" ht="12.75" hidden="false" customHeight="true" outlineLevel="0" collapsed="false">
      <c r="N188" s="1" t="s">
        <v>374</v>
      </c>
      <c r="O188" s="1" t="s">
        <v>375</v>
      </c>
    </row>
    <row r="189" customFormat="false" ht="12.75" hidden="false" customHeight="true" outlineLevel="0" collapsed="false">
      <c r="N189" s="1" t="s">
        <v>376</v>
      </c>
      <c r="O189" s="1" t="s">
        <v>377</v>
      </c>
    </row>
    <row r="190" customFormat="false" ht="12.75" hidden="false" customHeight="true" outlineLevel="0" collapsed="false">
      <c r="N190" s="1" t="s">
        <v>378</v>
      </c>
      <c r="O190" s="1" t="s">
        <v>379</v>
      </c>
    </row>
    <row r="191" customFormat="false" ht="12.75" hidden="false" customHeight="true" outlineLevel="0" collapsed="false">
      <c r="N191" s="1" t="s">
        <v>380</v>
      </c>
      <c r="O191" s="1" t="s">
        <v>381</v>
      </c>
    </row>
    <row r="192" customFormat="false" ht="12.75" hidden="false" customHeight="true" outlineLevel="0" collapsed="false">
      <c r="N192" s="1" t="s">
        <v>382</v>
      </c>
      <c r="O192" s="1" t="s">
        <v>383</v>
      </c>
    </row>
    <row r="193" customFormat="false" ht="12.75" hidden="false" customHeight="true" outlineLevel="0" collapsed="false">
      <c r="N193" s="1" t="s">
        <v>384</v>
      </c>
      <c r="O193" s="1" t="s">
        <v>385</v>
      </c>
    </row>
    <row r="194" customFormat="false" ht="12.75" hidden="false" customHeight="true" outlineLevel="0" collapsed="false">
      <c r="N194" s="1" t="s">
        <v>386</v>
      </c>
      <c r="O194" s="1" t="s">
        <v>387</v>
      </c>
    </row>
    <row r="195" customFormat="false" ht="12.75" hidden="false" customHeight="true" outlineLevel="0" collapsed="false">
      <c r="N195" s="1" t="s">
        <v>388</v>
      </c>
      <c r="O195" s="1" t="s">
        <v>389</v>
      </c>
    </row>
    <row r="196" customFormat="false" ht="12.75" hidden="false" customHeight="true" outlineLevel="0" collapsed="false">
      <c r="N196" s="1" t="s">
        <v>390</v>
      </c>
      <c r="O196" s="1" t="s">
        <v>391</v>
      </c>
    </row>
    <row r="197" customFormat="false" ht="12.75" hidden="false" customHeight="true" outlineLevel="0" collapsed="false">
      <c r="N197" s="1" t="s">
        <v>392</v>
      </c>
      <c r="O197" s="1" t="s">
        <v>393</v>
      </c>
    </row>
    <row r="198" customFormat="false" ht="12.75" hidden="false" customHeight="true" outlineLevel="0" collapsed="false">
      <c r="N198" s="1" t="s">
        <v>394</v>
      </c>
      <c r="O198" s="1" t="s">
        <v>395</v>
      </c>
    </row>
    <row r="199" customFormat="false" ht="12.75" hidden="false" customHeight="true" outlineLevel="0" collapsed="false">
      <c r="N199" s="1" t="s">
        <v>396</v>
      </c>
      <c r="O199" s="1" t="s">
        <v>397</v>
      </c>
    </row>
    <row r="200" customFormat="false" ht="12.75" hidden="false" customHeight="true" outlineLevel="0" collapsed="false">
      <c r="N200" s="1" t="s">
        <v>398</v>
      </c>
      <c r="O200" s="1" t="s">
        <v>399</v>
      </c>
    </row>
    <row r="201" customFormat="false" ht="12.75" hidden="false" customHeight="true" outlineLevel="0" collapsed="false">
      <c r="N201" s="1" t="s">
        <v>400</v>
      </c>
      <c r="O201" s="1" t="s">
        <v>401</v>
      </c>
    </row>
    <row r="202" customFormat="false" ht="12.75" hidden="false" customHeight="true" outlineLevel="0" collapsed="false">
      <c r="N202" s="1" t="s">
        <v>402</v>
      </c>
      <c r="O202" s="1" t="s">
        <v>403</v>
      </c>
    </row>
    <row r="203" customFormat="false" ht="12.75" hidden="false" customHeight="true" outlineLevel="0" collapsed="false">
      <c r="N203" s="1" t="s">
        <v>404</v>
      </c>
      <c r="O203" s="1" t="s">
        <v>405</v>
      </c>
    </row>
    <row r="204" customFormat="false" ht="12.75" hidden="false" customHeight="true" outlineLevel="0" collapsed="false">
      <c r="N204" s="1" t="s">
        <v>406</v>
      </c>
      <c r="O204" s="1" t="s">
        <v>407</v>
      </c>
    </row>
    <row r="205" customFormat="false" ht="12.75" hidden="false" customHeight="true" outlineLevel="0" collapsed="false">
      <c r="N205" s="1" t="s">
        <v>408</v>
      </c>
      <c r="O205" s="1" t="s">
        <v>409</v>
      </c>
    </row>
    <row r="206" customFormat="false" ht="12.75" hidden="false" customHeight="true" outlineLevel="0" collapsed="false">
      <c r="N206" s="1" t="s">
        <v>410</v>
      </c>
      <c r="O206" s="1" t="s">
        <v>411</v>
      </c>
    </row>
    <row r="207" customFormat="false" ht="12.75" hidden="false" customHeight="true" outlineLevel="0" collapsed="false">
      <c r="N207" s="1" t="s">
        <v>412</v>
      </c>
      <c r="O207" s="1" t="s">
        <v>413</v>
      </c>
    </row>
    <row r="208" customFormat="false" ht="12.75" hidden="false" customHeight="true" outlineLevel="0" collapsed="false">
      <c r="N208" s="1" t="s">
        <v>414</v>
      </c>
      <c r="O208" s="1" t="s">
        <v>415</v>
      </c>
    </row>
    <row r="209" customFormat="false" ht="12.75" hidden="false" customHeight="true" outlineLevel="0" collapsed="false">
      <c r="N209" s="1" t="s">
        <v>416</v>
      </c>
      <c r="O209" s="1" t="s">
        <v>417</v>
      </c>
    </row>
    <row r="210" customFormat="false" ht="12.75" hidden="false" customHeight="true" outlineLevel="0" collapsed="false">
      <c r="N210" s="1" t="s">
        <v>418</v>
      </c>
      <c r="O210" s="1" t="s">
        <v>419</v>
      </c>
    </row>
    <row r="211" customFormat="false" ht="12.75" hidden="false" customHeight="true" outlineLevel="0" collapsed="false">
      <c r="N211" s="1" t="s">
        <v>420</v>
      </c>
      <c r="O211" s="1" t="s">
        <v>421</v>
      </c>
    </row>
    <row r="212" customFormat="false" ht="12.75" hidden="false" customHeight="true" outlineLevel="0" collapsed="false">
      <c r="N212" s="1" t="s">
        <v>422</v>
      </c>
      <c r="O212" s="1" t="s">
        <v>423</v>
      </c>
    </row>
    <row r="213" customFormat="false" ht="12.75" hidden="false" customHeight="true" outlineLevel="0" collapsed="false">
      <c r="N213" s="1" t="s">
        <v>424</v>
      </c>
      <c r="O213" s="1" t="s">
        <v>425</v>
      </c>
    </row>
    <row r="214" customFormat="false" ht="12.75" hidden="false" customHeight="true" outlineLevel="0" collapsed="false">
      <c r="N214" s="1" t="s">
        <v>426</v>
      </c>
      <c r="O214" s="1" t="s">
        <v>427</v>
      </c>
    </row>
    <row r="215" customFormat="false" ht="12.75" hidden="false" customHeight="true" outlineLevel="0" collapsed="false">
      <c r="N215" s="1" t="s">
        <v>428</v>
      </c>
      <c r="O215" s="1" t="s">
        <v>429</v>
      </c>
    </row>
    <row r="216" customFormat="false" ht="12.75" hidden="false" customHeight="true" outlineLevel="0" collapsed="false">
      <c r="N216" s="1" t="s">
        <v>430</v>
      </c>
      <c r="O216" s="1" t="s">
        <v>431</v>
      </c>
    </row>
    <row r="217" customFormat="false" ht="12.75" hidden="false" customHeight="true" outlineLevel="0" collapsed="false">
      <c r="N217" s="1" t="s">
        <v>432</v>
      </c>
      <c r="O217" s="1" t="s">
        <v>433</v>
      </c>
    </row>
    <row r="218" customFormat="false" ht="12.75" hidden="false" customHeight="true" outlineLevel="0" collapsed="false">
      <c r="N218" s="1" t="s">
        <v>434</v>
      </c>
      <c r="O218" s="1" t="s">
        <v>435</v>
      </c>
    </row>
    <row r="219" customFormat="false" ht="12.75" hidden="false" customHeight="true" outlineLevel="0" collapsed="false">
      <c r="N219" s="1" t="s">
        <v>436</v>
      </c>
      <c r="O219" s="1" t="s">
        <v>437</v>
      </c>
    </row>
    <row r="220" customFormat="false" ht="12.75" hidden="false" customHeight="true" outlineLevel="0" collapsed="false">
      <c r="N220" s="1" t="s">
        <v>438</v>
      </c>
      <c r="O220" s="1" t="s">
        <v>439</v>
      </c>
    </row>
    <row r="221" customFormat="false" ht="12.75" hidden="false" customHeight="true" outlineLevel="0" collapsed="false">
      <c r="N221" s="1" t="s">
        <v>440</v>
      </c>
      <c r="O221" s="1" t="s">
        <v>441</v>
      </c>
    </row>
    <row r="222" customFormat="false" ht="12.75" hidden="false" customHeight="true" outlineLevel="0" collapsed="false">
      <c r="N222" s="1" t="s">
        <v>442</v>
      </c>
      <c r="O222" s="1" t="s">
        <v>443</v>
      </c>
    </row>
    <row r="223" customFormat="false" ht="12.75" hidden="false" customHeight="true" outlineLevel="0" collapsed="false">
      <c r="N223" s="1" t="s">
        <v>444</v>
      </c>
      <c r="O223" s="1" t="s">
        <v>445</v>
      </c>
    </row>
    <row r="224" customFormat="false" ht="12.75" hidden="false" customHeight="true" outlineLevel="0" collapsed="false">
      <c r="N224" s="1" t="s">
        <v>446</v>
      </c>
      <c r="O224" s="1" t="s">
        <v>447</v>
      </c>
    </row>
    <row r="225" customFormat="false" ht="12.75" hidden="false" customHeight="true" outlineLevel="0" collapsed="false">
      <c r="N225" s="1" t="s">
        <v>448</v>
      </c>
      <c r="O225" s="1" t="s">
        <v>449</v>
      </c>
    </row>
    <row r="226" customFormat="false" ht="12.75" hidden="false" customHeight="true" outlineLevel="0" collapsed="false">
      <c r="N226" s="1" t="s">
        <v>450</v>
      </c>
      <c r="O226" s="1" t="s">
        <v>451</v>
      </c>
    </row>
    <row r="227" customFormat="false" ht="12.75" hidden="false" customHeight="true" outlineLevel="0" collapsed="false">
      <c r="N227" s="1" t="s">
        <v>452</v>
      </c>
      <c r="O227" s="1" t="s">
        <v>453</v>
      </c>
    </row>
    <row r="228" customFormat="false" ht="12.75" hidden="false" customHeight="true" outlineLevel="0" collapsed="false">
      <c r="N228" s="1" t="s">
        <v>454</v>
      </c>
      <c r="O228" s="1" t="s">
        <v>455</v>
      </c>
    </row>
    <row r="229" customFormat="false" ht="12.75" hidden="false" customHeight="true" outlineLevel="0" collapsed="false">
      <c r="N229" s="1" t="s">
        <v>456</v>
      </c>
      <c r="O229" s="1" t="s">
        <v>457</v>
      </c>
    </row>
    <row r="230" customFormat="false" ht="12.75" hidden="false" customHeight="true" outlineLevel="0" collapsed="false">
      <c r="N230" s="1" t="s">
        <v>458</v>
      </c>
      <c r="O230" s="1" t="s">
        <v>459</v>
      </c>
    </row>
    <row r="231" customFormat="false" ht="12.75" hidden="false" customHeight="true" outlineLevel="0" collapsed="false">
      <c r="N231" s="1" t="s">
        <v>460</v>
      </c>
      <c r="O231" s="1" t="s">
        <v>461</v>
      </c>
    </row>
    <row r="232" customFormat="false" ht="12.75" hidden="false" customHeight="true" outlineLevel="0" collapsed="false">
      <c r="N232" s="1" t="s">
        <v>462</v>
      </c>
      <c r="O232" s="1" t="s">
        <v>463</v>
      </c>
    </row>
    <row r="233" customFormat="false" ht="12.75" hidden="false" customHeight="true" outlineLevel="0" collapsed="false">
      <c r="N233" s="1" t="s">
        <v>464</v>
      </c>
      <c r="O233" s="1" t="s">
        <v>465</v>
      </c>
    </row>
    <row r="234" customFormat="false" ht="12.75" hidden="false" customHeight="true" outlineLevel="0" collapsed="false">
      <c r="N234" s="1" t="s">
        <v>466</v>
      </c>
      <c r="O234" s="1" t="s">
        <v>467</v>
      </c>
    </row>
    <row r="235" customFormat="false" ht="12.75" hidden="false" customHeight="true" outlineLevel="0" collapsed="false">
      <c r="N235" s="1" t="s">
        <v>468</v>
      </c>
      <c r="O235" s="1" t="s">
        <v>469</v>
      </c>
    </row>
    <row r="236" customFormat="false" ht="12.75" hidden="false" customHeight="true" outlineLevel="0" collapsed="false">
      <c r="N236" s="1" t="s">
        <v>470</v>
      </c>
      <c r="O236" s="1" t="s">
        <v>471</v>
      </c>
    </row>
    <row r="237" customFormat="false" ht="12.75" hidden="false" customHeight="true" outlineLevel="0" collapsed="false">
      <c r="N237" s="1" t="s">
        <v>472</v>
      </c>
      <c r="O237" s="1" t="s">
        <v>473</v>
      </c>
    </row>
    <row r="238" customFormat="false" ht="12.75" hidden="false" customHeight="true" outlineLevel="0" collapsed="false">
      <c r="N238" s="1" t="s">
        <v>474</v>
      </c>
      <c r="O238" s="1" t="s">
        <v>475</v>
      </c>
    </row>
    <row r="239" customFormat="false" ht="12.75" hidden="false" customHeight="true" outlineLevel="0" collapsed="false">
      <c r="N239" s="1" t="s">
        <v>476</v>
      </c>
      <c r="O239" s="1" t="s">
        <v>477</v>
      </c>
    </row>
    <row r="240" customFormat="false" ht="12.75" hidden="false" customHeight="true" outlineLevel="0" collapsed="false">
      <c r="N240" s="1" t="s">
        <v>478</v>
      </c>
      <c r="O240" s="1" t="s">
        <v>479</v>
      </c>
    </row>
    <row r="241" customFormat="false" ht="12.75" hidden="false" customHeight="true" outlineLevel="0" collapsed="false">
      <c r="N241" s="1" t="s">
        <v>480</v>
      </c>
      <c r="O241" s="1" t="s">
        <v>481</v>
      </c>
    </row>
    <row r="242" customFormat="false" ht="12.75" hidden="false" customHeight="true" outlineLevel="0" collapsed="false">
      <c r="N242" s="1" t="s">
        <v>482</v>
      </c>
      <c r="O242" s="1" t="s">
        <v>483</v>
      </c>
    </row>
    <row r="243" customFormat="false" ht="12.75" hidden="false" customHeight="true" outlineLevel="0" collapsed="false">
      <c r="N243" s="1" t="s">
        <v>484</v>
      </c>
      <c r="O243" s="1" t="s">
        <v>485</v>
      </c>
    </row>
    <row r="244" customFormat="false" ht="12.75" hidden="false" customHeight="true" outlineLevel="0" collapsed="false">
      <c r="N244" s="1" t="s">
        <v>486</v>
      </c>
      <c r="O244" s="1" t="s">
        <v>487</v>
      </c>
    </row>
    <row r="245" customFormat="false" ht="12.75" hidden="false" customHeight="true" outlineLevel="0" collapsed="false">
      <c r="N245" s="1" t="s">
        <v>488</v>
      </c>
      <c r="O245" s="1" t="s">
        <v>489</v>
      </c>
    </row>
    <row r="246" customFormat="false" ht="12.75" hidden="false" customHeight="true" outlineLevel="0" collapsed="false">
      <c r="N246" s="1" t="s">
        <v>490</v>
      </c>
      <c r="O246" s="1" t="s">
        <v>491</v>
      </c>
    </row>
    <row r="247" customFormat="false" ht="12.75" hidden="false" customHeight="true" outlineLevel="0" collapsed="false">
      <c r="N247" s="1" t="s">
        <v>492</v>
      </c>
      <c r="O247" s="1" t="s">
        <v>493</v>
      </c>
    </row>
    <row r="248" customFormat="false" ht="12.75" hidden="false" customHeight="true" outlineLevel="0" collapsed="false">
      <c r="N248" s="1" t="s">
        <v>494</v>
      </c>
      <c r="O248" s="1" t="s">
        <v>495</v>
      </c>
    </row>
    <row r="249" customFormat="false" ht="12.75" hidden="false" customHeight="true" outlineLevel="0" collapsed="false">
      <c r="N249" s="1" t="s">
        <v>496</v>
      </c>
      <c r="O249" s="1" t="s">
        <v>497</v>
      </c>
    </row>
    <row r="250" customFormat="false" ht="12.75" hidden="false" customHeight="true" outlineLevel="0" collapsed="false">
      <c r="N250" s="1" t="s">
        <v>498</v>
      </c>
      <c r="O250" s="1" t="s">
        <v>499</v>
      </c>
    </row>
    <row r="251" customFormat="false" ht="12.75" hidden="false" customHeight="true" outlineLevel="0" collapsed="false">
      <c r="N251" s="1" t="s">
        <v>500</v>
      </c>
      <c r="O251" s="1" t="s">
        <v>501</v>
      </c>
    </row>
    <row r="252" customFormat="false" ht="12.75" hidden="false" customHeight="true" outlineLevel="0" collapsed="false">
      <c r="N252" s="1" t="s">
        <v>502</v>
      </c>
      <c r="O252" s="1" t="s">
        <v>503</v>
      </c>
    </row>
    <row r="253" customFormat="false" ht="12.75" hidden="false" customHeight="true" outlineLevel="0" collapsed="false">
      <c r="N253" s="1" t="s">
        <v>504</v>
      </c>
      <c r="O253" s="1" t="s">
        <v>505</v>
      </c>
    </row>
    <row r="254" customFormat="false" ht="12.75" hidden="false" customHeight="true" outlineLevel="0" collapsed="false">
      <c r="N254" s="1" t="s">
        <v>506</v>
      </c>
      <c r="O254" s="1" t="s">
        <v>507</v>
      </c>
    </row>
    <row r="255" customFormat="false" ht="12.75" hidden="false" customHeight="true" outlineLevel="0" collapsed="false">
      <c r="N255" s="1" t="s">
        <v>508</v>
      </c>
      <c r="O255" s="1" t="s">
        <v>509</v>
      </c>
    </row>
    <row r="256" customFormat="false" ht="12.75" hidden="false" customHeight="true" outlineLevel="0" collapsed="false">
      <c r="N256" s="1" t="s">
        <v>510</v>
      </c>
      <c r="O256" s="1" t="s">
        <v>511</v>
      </c>
    </row>
    <row r="257" customFormat="false" ht="12.75" hidden="false" customHeight="true" outlineLevel="0" collapsed="false">
      <c r="N257" s="1" t="s">
        <v>512</v>
      </c>
      <c r="O257" s="1" t="s">
        <v>513</v>
      </c>
    </row>
    <row r="258" customFormat="false" ht="12.75" hidden="false" customHeight="true" outlineLevel="0" collapsed="false">
      <c r="N258" s="1" t="s">
        <v>514</v>
      </c>
      <c r="O258" s="1" t="s">
        <v>515</v>
      </c>
    </row>
    <row r="259" customFormat="false" ht="12.75" hidden="false" customHeight="true" outlineLevel="0" collapsed="false">
      <c r="N259" s="1" t="s">
        <v>516</v>
      </c>
      <c r="O259" s="1" t="s">
        <v>517</v>
      </c>
    </row>
    <row r="260" customFormat="false" ht="12.75" hidden="false" customHeight="true" outlineLevel="0" collapsed="false">
      <c r="N260" s="1" t="s">
        <v>518</v>
      </c>
      <c r="O260" s="1" t="s">
        <v>519</v>
      </c>
    </row>
    <row r="261" customFormat="false" ht="12.75" hidden="false" customHeight="true" outlineLevel="0" collapsed="false">
      <c r="N261" s="1" t="s">
        <v>520</v>
      </c>
      <c r="O261" s="1" t="s">
        <v>521</v>
      </c>
    </row>
    <row r="262" customFormat="false" ht="12.75" hidden="false" customHeight="true" outlineLevel="0" collapsed="false">
      <c r="N262" s="1" t="s">
        <v>522</v>
      </c>
      <c r="O262" s="1" t="s">
        <v>523</v>
      </c>
    </row>
    <row r="263" customFormat="false" ht="12.75" hidden="false" customHeight="true" outlineLevel="0" collapsed="false">
      <c r="N263" s="1" t="s">
        <v>524</v>
      </c>
      <c r="O263" s="1" t="s">
        <v>525</v>
      </c>
    </row>
    <row r="264" customFormat="false" ht="12.75" hidden="false" customHeight="true" outlineLevel="0" collapsed="false">
      <c r="N264" s="1" t="s">
        <v>526</v>
      </c>
      <c r="O264" s="1" t="s">
        <v>527</v>
      </c>
    </row>
    <row r="265" customFormat="false" ht="12.75" hidden="false" customHeight="true" outlineLevel="0" collapsed="false">
      <c r="N265" s="1" t="s">
        <v>528</v>
      </c>
      <c r="O265" s="1" t="s">
        <v>529</v>
      </c>
    </row>
    <row r="266" customFormat="false" ht="12.75" hidden="false" customHeight="true" outlineLevel="0" collapsed="false">
      <c r="N266" s="1" t="s">
        <v>530</v>
      </c>
      <c r="O266" s="1" t="s">
        <v>531</v>
      </c>
    </row>
    <row r="267" customFormat="false" ht="12.75" hidden="false" customHeight="true" outlineLevel="0" collapsed="false">
      <c r="N267" s="1" t="s">
        <v>532</v>
      </c>
      <c r="O267" s="1" t="s">
        <v>533</v>
      </c>
    </row>
    <row r="268" customFormat="false" ht="12.75" hidden="false" customHeight="true" outlineLevel="0" collapsed="false">
      <c r="N268" s="1" t="s">
        <v>534</v>
      </c>
      <c r="O268" s="1" t="s">
        <v>535</v>
      </c>
    </row>
    <row r="269" customFormat="false" ht="12.75" hidden="false" customHeight="true" outlineLevel="0" collapsed="false">
      <c r="N269" s="1" t="s">
        <v>536</v>
      </c>
      <c r="O269" s="1" t="s">
        <v>537</v>
      </c>
    </row>
    <row r="270" customFormat="false" ht="12.75" hidden="false" customHeight="true" outlineLevel="0" collapsed="false">
      <c r="N270" s="1" t="s">
        <v>538</v>
      </c>
      <c r="O270" s="1" t="s">
        <v>539</v>
      </c>
    </row>
    <row r="271" customFormat="false" ht="12.75" hidden="false" customHeight="true" outlineLevel="0" collapsed="false">
      <c r="N271" s="1" t="s">
        <v>540</v>
      </c>
      <c r="O271" s="1" t="s">
        <v>541</v>
      </c>
    </row>
    <row r="272" customFormat="false" ht="12.75" hidden="false" customHeight="true" outlineLevel="0" collapsed="false">
      <c r="N272" s="1" t="s">
        <v>542</v>
      </c>
      <c r="O272" s="1" t="s">
        <v>543</v>
      </c>
    </row>
    <row r="273" customFormat="false" ht="12.75" hidden="false" customHeight="true" outlineLevel="0" collapsed="false">
      <c r="N273" s="1" t="s">
        <v>544</v>
      </c>
      <c r="O273" s="1" t="s">
        <v>545</v>
      </c>
    </row>
    <row r="274" customFormat="false" ht="12.75" hidden="false" customHeight="true" outlineLevel="0" collapsed="false">
      <c r="N274" s="1" t="s">
        <v>546</v>
      </c>
      <c r="O274" s="1" t="s">
        <v>547</v>
      </c>
    </row>
    <row r="275" customFormat="false" ht="12.75" hidden="false" customHeight="true" outlineLevel="0" collapsed="false">
      <c r="N275" s="1" t="s">
        <v>548</v>
      </c>
      <c r="O275" s="1" t="s">
        <v>549</v>
      </c>
    </row>
    <row r="276" customFormat="false" ht="12.75" hidden="false" customHeight="true" outlineLevel="0" collapsed="false">
      <c r="N276" s="1" t="s">
        <v>550</v>
      </c>
      <c r="O276" s="1" t="s">
        <v>551</v>
      </c>
    </row>
    <row r="277" customFormat="false" ht="12.75" hidden="false" customHeight="true" outlineLevel="0" collapsed="false">
      <c r="N277" s="1" t="s">
        <v>552</v>
      </c>
      <c r="O277" s="1" t="s">
        <v>553</v>
      </c>
    </row>
    <row r="278" customFormat="false" ht="12.75" hidden="false" customHeight="true" outlineLevel="0" collapsed="false">
      <c r="N278" s="1" t="s">
        <v>554</v>
      </c>
      <c r="O278" s="1" t="s">
        <v>555</v>
      </c>
    </row>
    <row r="279" customFormat="false" ht="12.75" hidden="false" customHeight="true" outlineLevel="0" collapsed="false">
      <c r="N279" s="1" t="s">
        <v>556</v>
      </c>
      <c r="O279" s="1" t="s">
        <v>557</v>
      </c>
    </row>
    <row r="280" customFormat="false" ht="12.75" hidden="false" customHeight="true" outlineLevel="0" collapsed="false">
      <c r="N280" s="1" t="s">
        <v>558</v>
      </c>
      <c r="O280" s="1" t="s">
        <v>559</v>
      </c>
    </row>
    <row r="281" customFormat="false" ht="12.75" hidden="false" customHeight="true" outlineLevel="0" collapsed="false">
      <c r="N281" s="1" t="s">
        <v>560</v>
      </c>
      <c r="O281" s="1" t="s">
        <v>561</v>
      </c>
    </row>
    <row r="282" customFormat="false" ht="12.75" hidden="false" customHeight="true" outlineLevel="0" collapsed="false">
      <c r="N282" s="1" t="s">
        <v>562</v>
      </c>
      <c r="O282" s="1" t="s">
        <v>563</v>
      </c>
    </row>
    <row r="283" customFormat="false" ht="12.75" hidden="false" customHeight="true" outlineLevel="0" collapsed="false">
      <c r="N283" s="1" t="s">
        <v>564</v>
      </c>
      <c r="O283" s="1" t="s">
        <v>565</v>
      </c>
    </row>
    <row r="284" customFormat="false" ht="12.75" hidden="false" customHeight="true" outlineLevel="0" collapsed="false">
      <c r="N284" s="1" t="s">
        <v>566</v>
      </c>
      <c r="O284" s="1" t="s">
        <v>567</v>
      </c>
    </row>
    <row r="285" customFormat="false" ht="12.75" hidden="false" customHeight="true" outlineLevel="0" collapsed="false">
      <c r="N285" s="1" t="s">
        <v>568</v>
      </c>
      <c r="O285" s="1" t="s">
        <v>569</v>
      </c>
    </row>
    <row r="286" customFormat="false" ht="12.75" hidden="false" customHeight="true" outlineLevel="0" collapsed="false">
      <c r="N286" s="1" t="s">
        <v>570</v>
      </c>
      <c r="O286" s="1" t="s">
        <v>571</v>
      </c>
    </row>
    <row r="287" customFormat="false" ht="12.75" hidden="false" customHeight="true" outlineLevel="0" collapsed="false">
      <c r="N287" s="1" t="s">
        <v>572</v>
      </c>
      <c r="O287" s="1" t="s">
        <v>573</v>
      </c>
    </row>
    <row r="288" customFormat="false" ht="12.75" hidden="false" customHeight="true" outlineLevel="0" collapsed="false">
      <c r="N288" s="1" t="s">
        <v>574</v>
      </c>
      <c r="O288" s="1" t="s">
        <v>575</v>
      </c>
    </row>
    <row r="289" customFormat="false" ht="12.75" hidden="false" customHeight="true" outlineLevel="0" collapsed="false">
      <c r="N289" s="1" t="s">
        <v>576</v>
      </c>
      <c r="O289" s="1" t="s">
        <v>577</v>
      </c>
    </row>
    <row r="290" customFormat="false" ht="12.75" hidden="false" customHeight="true" outlineLevel="0" collapsed="false">
      <c r="N290" s="1" t="s">
        <v>578</v>
      </c>
      <c r="O290" s="1" t="s">
        <v>579</v>
      </c>
    </row>
    <row r="291" customFormat="false" ht="12.75" hidden="false" customHeight="true" outlineLevel="0" collapsed="false">
      <c r="N291" s="1" t="s">
        <v>580</v>
      </c>
      <c r="O291" s="1" t="s">
        <v>581</v>
      </c>
    </row>
    <row r="292" customFormat="false" ht="12.75" hidden="false" customHeight="true" outlineLevel="0" collapsed="false">
      <c r="N292" s="1" t="s">
        <v>582</v>
      </c>
      <c r="O292" s="1" t="s">
        <v>583</v>
      </c>
    </row>
    <row r="293" customFormat="false" ht="12.75" hidden="false" customHeight="true" outlineLevel="0" collapsed="false">
      <c r="N293" s="1" t="s">
        <v>584</v>
      </c>
      <c r="O293" s="1" t="s">
        <v>585</v>
      </c>
    </row>
    <row r="294" customFormat="false" ht="12.75" hidden="false" customHeight="true" outlineLevel="0" collapsed="false">
      <c r="N294" s="1" t="s">
        <v>586</v>
      </c>
      <c r="O294" s="1" t="s">
        <v>587</v>
      </c>
    </row>
    <row r="295" customFormat="false" ht="12.75" hidden="false" customHeight="true" outlineLevel="0" collapsed="false">
      <c r="N295" s="1" t="s">
        <v>588</v>
      </c>
      <c r="O295" s="1" t="s">
        <v>589</v>
      </c>
    </row>
    <row r="296" customFormat="false" ht="12.75" hidden="false" customHeight="true" outlineLevel="0" collapsed="false">
      <c r="N296" s="1" t="s">
        <v>590</v>
      </c>
      <c r="O296" s="1" t="s">
        <v>591</v>
      </c>
    </row>
    <row r="297" customFormat="false" ht="12.75" hidden="false" customHeight="true" outlineLevel="0" collapsed="false">
      <c r="N297" s="1" t="s">
        <v>592</v>
      </c>
      <c r="O297" s="1" t="s">
        <v>593</v>
      </c>
    </row>
    <row r="298" customFormat="false" ht="12.75" hidden="false" customHeight="true" outlineLevel="0" collapsed="false">
      <c r="N298" s="1" t="s">
        <v>594</v>
      </c>
      <c r="O298" s="1" t="s">
        <v>595</v>
      </c>
    </row>
    <row r="299" customFormat="false" ht="12.75" hidden="false" customHeight="true" outlineLevel="0" collapsed="false">
      <c r="N299" s="1" t="s">
        <v>596</v>
      </c>
      <c r="O299" s="1" t="s">
        <v>597</v>
      </c>
    </row>
    <row r="300" customFormat="false" ht="12.75" hidden="false" customHeight="true" outlineLevel="0" collapsed="false">
      <c r="N300" s="1" t="s">
        <v>598</v>
      </c>
      <c r="O300" s="1" t="s">
        <v>599</v>
      </c>
    </row>
    <row r="301" customFormat="false" ht="12.75" hidden="false" customHeight="true" outlineLevel="0" collapsed="false">
      <c r="N301" s="1" t="s">
        <v>600</v>
      </c>
      <c r="O301" s="1" t="s">
        <v>601</v>
      </c>
    </row>
    <row r="302" customFormat="false" ht="12.75" hidden="false" customHeight="true" outlineLevel="0" collapsed="false">
      <c r="N302" s="1" t="s">
        <v>602</v>
      </c>
      <c r="O302" s="1" t="s">
        <v>603</v>
      </c>
    </row>
    <row r="303" customFormat="false" ht="12.75" hidden="false" customHeight="true" outlineLevel="0" collapsed="false">
      <c r="N303" s="1" t="s">
        <v>604</v>
      </c>
      <c r="O303" s="1" t="s">
        <v>605</v>
      </c>
    </row>
    <row r="304" customFormat="false" ht="12.75" hidden="false" customHeight="true" outlineLevel="0" collapsed="false">
      <c r="N304" s="1" t="s">
        <v>606</v>
      </c>
      <c r="O304" s="1" t="s">
        <v>607</v>
      </c>
    </row>
    <row r="305" customFormat="false" ht="12.75" hidden="false" customHeight="true" outlineLevel="0" collapsed="false">
      <c r="N305" s="1" t="s">
        <v>608</v>
      </c>
      <c r="O305" s="1" t="s">
        <v>609</v>
      </c>
    </row>
    <row r="306" customFormat="false" ht="12.75" hidden="false" customHeight="true" outlineLevel="0" collapsed="false">
      <c r="N306" s="1" t="s">
        <v>610</v>
      </c>
      <c r="O306" s="1" t="s">
        <v>611</v>
      </c>
    </row>
    <row r="307" customFormat="false" ht="12.75" hidden="false" customHeight="true" outlineLevel="0" collapsed="false">
      <c r="N307" s="1" t="s">
        <v>612</v>
      </c>
      <c r="O307" s="1" t="s">
        <v>613</v>
      </c>
    </row>
    <row r="308" customFormat="false" ht="12.75" hidden="false" customHeight="true" outlineLevel="0" collapsed="false">
      <c r="N308" s="1" t="s">
        <v>614</v>
      </c>
      <c r="O308" s="1" t="s">
        <v>615</v>
      </c>
    </row>
    <row r="309" customFormat="false" ht="12.75" hidden="false" customHeight="true" outlineLevel="0" collapsed="false">
      <c r="N309" s="1" t="s">
        <v>616</v>
      </c>
      <c r="O309" s="1" t="s">
        <v>617</v>
      </c>
    </row>
    <row r="310" customFormat="false" ht="12.75" hidden="false" customHeight="true" outlineLevel="0" collapsed="false">
      <c r="N310" s="1" t="s">
        <v>618</v>
      </c>
      <c r="O310" s="1" t="s">
        <v>619</v>
      </c>
    </row>
    <row r="311" customFormat="false" ht="12.75" hidden="false" customHeight="true" outlineLevel="0" collapsed="false">
      <c r="N311" s="1" t="s">
        <v>620</v>
      </c>
      <c r="O311" s="1" t="s">
        <v>621</v>
      </c>
    </row>
    <row r="312" customFormat="false" ht="12.75" hidden="false" customHeight="true" outlineLevel="0" collapsed="false">
      <c r="N312" s="1" t="s">
        <v>622</v>
      </c>
      <c r="O312" s="1" t="s">
        <v>623</v>
      </c>
    </row>
    <row r="313" customFormat="false" ht="12.75" hidden="false" customHeight="true" outlineLevel="0" collapsed="false">
      <c r="N313" s="1" t="s">
        <v>624</v>
      </c>
      <c r="O313" s="1" t="s">
        <v>625</v>
      </c>
    </row>
    <row r="314" customFormat="false" ht="12.75" hidden="false" customHeight="true" outlineLevel="0" collapsed="false">
      <c r="N314" s="1" t="s">
        <v>626</v>
      </c>
      <c r="O314" s="1" t="s">
        <v>627</v>
      </c>
    </row>
    <row r="315" customFormat="false" ht="12.75" hidden="false" customHeight="true" outlineLevel="0" collapsed="false">
      <c r="N315" s="1" t="s">
        <v>628</v>
      </c>
      <c r="O315" s="1" t="s">
        <v>629</v>
      </c>
    </row>
    <row r="316" customFormat="false" ht="12.75" hidden="false" customHeight="true" outlineLevel="0" collapsed="false">
      <c r="N316" s="1" t="s">
        <v>630</v>
      </c>
      <c r="O316" s="1" t="s">
        <v>631</v>
      </c>
    </row>
    <row r="317" customFormat="false" ht="12.75" hidden="false" customHeight="true" outlineLevel="0" collapsed="false">
      <c r="N317" s="1" t="s">
        <v>632</v>
      </c>
      <c r="O317" s="1" t="s">
        <v>633</v>
      </c>
    </row>
    <row r="318" customFormat="false" ht="12.75" hidden="false" customHeight="true" outlineLevel="0" collapsed="false">
      <c r="N318" s="1" t="s">
        <v>634</v>
      </c>
      <c r="O318" s="1" t="s">
        <v>635</v>
      </c>
    </row>
    <row r="319" customFormat="false" ht="12.75" hidden="false" customHeight="true" outlineLevel="0" collapsed="false">
      <c r="N319" s="1" t="s">
        <v>636</v>
      </c>
      <c r="O319" s="1" t="s">
        <v>637</v>
      </c>
    </row>
    <row r="320" customFormat="false" ht="12.75" hidden="false" customHeight="true" outlineLevel="0" collapsed="false">
      <c r="N320" s="1" t="s">
        <v>638</v>
      </c>
      <c r="O320" s="1" t="s">
        <v>639</v>
      </c>
    </row>
    <row r="321" customFormat="false" ht="12.75" hidden="false" customHeight="true" outlineLevel="0" collapsed="false">
      <c r="N321" s="1" t="s">
        <v>640</v>
      </c>
      <c r="O321" s="1" t="s">
        <v>641</v>
      </c>
    </row>
    <row r="322" customFormat="false" ht="12.75" hidden="false" customHeight="true" outlineLevel="0" collapsed="false">
      <c r="N322" s="1" t="s">
        <v>642</v>
      </c>
      <c r="O322" s="1" t="s">
        <v>643</v>
      </c>
    </row>
    <row r="323" customFormat="false" ht="12.75" hidden="false" customHeight="true" outlineLevel="0" collapsed="false">
      <c r="N323" s="1" t="s">
        <v>644</v>
      </c>
      <c r="O323" s="1" t="s">
        <v>645</v>
      </c>
    </row>
    <row r="324" customFormat="false" ht="12.75" hidden="false" customHeight="true" outlineLevel="0" collapsed="false">
      <c r="N324" s="1" t="s">
        <v>646</v>
      </c>
      <c r="O324" s="1" t="s">
        <v>647</v>
      </c>
    </row>
    <row r="325" customFormat="false" ht="12.75" hidden="false" customHeight="true" outlineLevel="0" collapsed="false">
      <c r="N325" s="1" t="s">
        <v>648</v>
      </c>
      <c r="O325" s="1" t="s">
        <v>649</v>
      </c>
    </row>
    <row r="326" customFormat="false" ht="12.75" hidden="false" customHeight="true" outlineLevel="0" collapsed="false">
      <c r="N326" s="1" t="s">
        <v>650</v>
      </c>
      <c r="O326" s="1" t="s">
        <v>651</v>
      </c>
    </row>
    <row r="327" customFormat="false" ht="12.75" hidden="false" customHeight="true" outlineLevel="0" collapsed="false">
      <c r="N327" s="1" t="s">
        <v>652</v>
      </c>
      <c r="O327" s="1" t="s">
        <v>653</v>
      </c>
    </row>
    <row r="328" customFormat="false" ht="12.75" hidden="false" customHeight="true" outlineLevel="0" collapsed="false">
      <c r="N328" s="1" t="s">
        <v>654</v>
      </c>
      <c r="O328" s="1" t="s">
        <v>655</v>
      </c>
    </row>
    <row r="329" customFormat="false" ht="12.75" hidden="false" customHeight="true" outlineLevel="0" collapsed="false">
      <c r="N329" s="1" t="s">
        <v>656</v>
      </c>
      <c r="O329" s="1" t="s">
        <v>657</v>
      </c>
    </row>
    <row r="330" customFormat="false" ht="12.75" hidden="false" customHeight="true" outlineLevel="0" collapsed="false">
      <c r="N330" s="1" t="s">
        <v>658</v>
      </c>
      <c r="O330" s="1" t="s">
        <v>659</v>
      </c>
    </row>
    <row r="331" customFormat="false" ht="12.75" hidden="false" customHeight="true" outlineLevel="0" collapsed="false">
      <c r="N331" s="1" t="s">
        <v>660</v>
      </c>
      <c r="O331" s="1" t="s">
        <v>661</v>
      </c>
    </row>
    <row r="332" customFormat="false" ht="12.75" hidden="false" customHeight="true" outlineLevel="0" collapsed="false">
      <c r="N332" s="1" t="s">
        <v>662</v>
      </c>
      <c r="O332" s="1" t="s">
        <v>663</v>
      </c>
    </row>
    <row r="333" customFormat="false" ht="12.75" hidden="false" customHeight="true" outlineLevel="0" collapsed="false">
      <c r="N333" s="1" t="s">
        <v>664</v>
      </c>
      <c r="O333" s="1" t="s">
        <v>665</v>
      </c>
    </row>
    <row r="334" customFormat="false" ht="12.75" hidden="false" customHeight="true" outlineLevel="0" collapsed="false">
      <c r="N334" s="1" t="s">
        <v>666</v>
      </c>
      <c r="O334" s="1" t="s">
        <v>667</v>
      </c>
    </row>
    <row r="335" customFormat="false" ht="12.75" hidden="false" customHeight="true" outlineLevel="0" collapsed="false">
      <c r="N335" s="1" t="s">
        <v>668</v>
      </c>
      <c r="O335" s="1" t="s">
        <v>669</v>
      </c>
    </row>
    <row r="336" customFormat="false" ht="12.75" hidden="false" customHeight="true" outlineLevel="0" collapsed="false">
      <c r="N336" s="1" t="s">
        <v>670</v>
      </c>
      <c r="O336" s="1" t="s">
        <v>671</v>
      </c>
    </row>
    <row r="337" customFormat="false" ht="12.75" hidden="false" customHeight="true" outlineLevel="0" collapsed="false">
      <c r="N337" s="1" t="s">
        <v>672</v>
      </c>
      <c r="O337" s="1" t="s">
        <v>673</v>
      </c>
    </row>
    <row r="338" customFormat="false" ht="12.75" hidden="false" customHeight="true" outlineLevel="0" collapsed="false">
      <c r="N338" s="1" t="s">
        <v>674</v>
      </c>
      <c r="O338" s="1" t="s">
        <v>675</v>
      </c>
    </row>
    <row r="339" customFormat="false" ht="12.75" hidden="false" customHeight="true" outlineLevel="0" collapsed="false">
      <c r="N339" s="1" t="s">
        <v>676</v>
      </c>
      <c r="O339" s="1" t="s">
        <v>677</v>
      </c>
    </row>
    <row r="340" customFormat="false" ht="12.75" hidden="false" customHeight="true" outlineLevel="0" collapsed="false">
      <c r="N340" s="1" t="s">
        <v>678</v>
      </c>
      <c r="O340" s="1" t="s">
        <v>679</v>
      </c>
    </row>
    <row r="341" customFormat="false" ht="12.75" hidden="false" customHeight="true" outlineLevel="0" collapsed="false">
      <c r="N341" s="1" t="s">
        <v>680</v>
      </c>
      <c r="O341" s="1" t="s">
        <v>681</v>
      </c>
    </row>
    <row r="342" customFormat="false" ht="12.75" hidden="false" customHeight="true" outlineLevel="0" collapsed="false">
      <c r="N342" s="1" t="s">
        <v>682</v>
      </c>
      <c r="O342" s="1" t="s">
        <v>683</v>
      </c>
    </row>
    <row r="343" customFormat="false" ht="12.75" hidden="false" customHeight="true" outlineLevel="0" collapsed="false">
      <c r="N343" s="1" t="s">
        <v>684</v>
      </c>
      <c r="O343" s="1" t="s">
        <v>685</v>
      </c>
    </row>
    <row r="344" customFormat="false" ht="12.75" hidden="false" customHeight="true" outlineLevel="0" collapsed="false">
      <c r="N344" s="1" t="s">
        <v>686</v>
      </c>
      <c r="O344" s="1" t="s">
        <v>687</v>
      </c>
    </row>
    <row r="345" customFormat="false" ht="12.75" hidden="false" customHeight="true" outlineLevel="0" collapsed="false">
      <c r="N345" s="1" t="s">
        <v>688</v>
      </c>
      <c r="O345" s="1" t="s">
        <v>689</v>
      </c>
    </row>
    <row r="346" customFormat="false" ht="12.75" hidden="false" customHeight="true" outlineLevel="0" collapsed="false">
      <c r="N346" s="1" t="s">
        <v>690</v>
      </c>
      <c r="O346" s="1" t="s">
        <v>691</v>
      </c>
    </row>
    <row r="347" customFormat="false" ht="12.75" hidden="false" customHeight="true" outlineLevel="0" collapsed="false">
      <c r="N347" s="1" t="s">
        <v>692</v>
      </c>
      <c r="O347" s="1" t="s">
        <v>693</v>
      </c>
    </row>
    <row r="348" customFormat="false" ht="12.75" hidden="false" customHeight="true" outlineLevel="0" collapsed="false">
      <c r="N348" s="1" t="s">
        <v>694</v>
      </c>
      <c r="O348" s="1" t="s">
        <v>695</v>
      </c>
    </row>
    <row r="349" customFormat="false" ht="12.75" hidden="false" customHeight="true" outlineLevel="0" collapsed="false">
      <c r="N349" s="1" t="s">
        <v>696</v>
      </c>
      <c r="O349" s="1" t="s">
        <v>697</v>
      </c>
    </row>
    <row r="350" customFormat="false" ht="12.75" hidden="false" customHeight="true" outlineLevel="0" collapsed="false">
      <c r="N350" s="1" t="s">
        <v>698</v>
      </c>
      <c r="O350" s="1" t="s">
        <v>699</v>
      </c>
    </row>
    <row r="351" customFormat="false" ht="12.75" hidden="false" customHeight="true" outlineLevel="0" collapsed="false">
      <c r="N351" s="1" t="s">
        <v>700</v>
      </c>
      <c r="O351" s="1" t="s">
        <v>701</v>
      </c>
    </row>
    <row r="352" customFormat="false" ht="12.75" hidden="false" customHeight="true" outlineLevel="0" collapsed="false">
      <c r="N352" s="1" t="s">
        <v>702</v>
      </c>
      <c r="O352" s="1" t="s">
        <v>703</v>
      </c>
    </row>
    <row r="353" customFormat="false" ht="12.75" hidden="false" customHeight="true" outlineLevel="0" collapsed="false">
      <c r="N353" s="1" t="s">
        <v>704</v>
      </c>
      <c r="O353" s="1" t="s">
        <v>705</v>
      </c>
    </row>
    <row r="354" customFormat="false" ht="12.75" hidden="false" customHeight="true" outlineLevel="0" collapsed="false">
      <c r="N354" s="1" t="s">
        <v>706</v>
      </c>
      <c r="O354" s="1" t="s">
        <v>707</v>
      </c>
    </row>
    <row r="355" customFormat="false" ht="12.75" hidden="false" customHeight="true" outlineLevel="0" collapsed="false">
      <c r="N355" s="1" t="s">
        <v>708</v>
      </c>
      <c r="O355" s="1" t="s">
        <v>709</v>
      </c>
    </row>
    <row r="356" customFormat="false" ht="12.75" hidden="false" customHeight="true" outlineLevel="0" collapsed="false">
      <c r="N356" s="1" t="s">
        <v>710</v>
      </c>
      <c r="O356" s="1" t="s">
        <v>711</v>
      </c>
    </row>
    <row r="357" customFormat="false" ht="12.75" hidden="false" customHeight="true" outlineLevel="0" collapsed="false">
      <c r="N357" s="1" t="s">
        <v>712</v>
      </c>
      <c r="O357" s="1" t="s">
        <v>713</v>
      </c>
    </row>
    <row r="358" customFormat="false" ht="12.75" hidden="false" customHeight="true" outlineLevel="0" collapsed="false">
      <c r="N358" s="1" t="s">
        <v>714</v>
      </c>
      <c r="O358" s="1" t="s">
        <v>715</v>
      </c>
    </row>
    <row r="359" customFormat="false" ht="12.75" hidden="false" customHeight="true" outlineLevel="0" collapsed="false">
      <c r="N359" s="1" t="s">
        <v>716</v>
      </c>
      <c r="O359" s="1" t="s">
        <v>717</v>
      </c>
    </row>
    <row r="360" customFormat="false" ht="12.75" hidden="false" customHeight="true" outlineLevel="0" collapsed="false">
      <c r="N360" s="1" t="s">
        <v>718</v>
      </c>
      <c r="O360" s="1" t="s">
        <v>719</v>
      </c>
    </row>
    <row r="361" customFormat="false" ht="12.75" hidden="false" customHeight="true" outlineLevel="0" collapsed="false">
      <c r="N361" s="1" t="s">
        <v>720</v>
      </c>
      <c r="O361" s="1" t="s">
        <v>721</v>
      </c>
    </row>
    <row r="362" customFormat="false" ht="12.75" hidden="false" customHeight="true" outlineLevel="0" collapsed="false">
      <c r="N362" s="1" t="s">
        <v>722</v>
      </c>
      <c r="O362" s="1" t="s">
        <v>723</v>
      </c>
    </row>
    <row r="363" customFormat="false" ht="12.75" hidden="false" customHeight="true" outlineLevel="0" collapsed="false">
      <c r="N363" s="1" t="s">
        <v>724</v>
      </c>
      <c r="O363" s="1" t="s">
        <v>725</v>
      </c>
    </row>
    <row r="364" customFormat="false" ht="12.75" hidden="false" customHeight="true" outlineLevel="0" collapsed="false">
      <c r="N364" s="1" t="s">
        <v>726</v>
      </c>
      <c r="O364" s="1" t="s">
        <v>727</v>
      </c>
    </row>
    <row r="365" customFormat="false" ht="12.75" hidden="false" customHeight="true" outlineLevel="0" collapsed="false">
      <c r="N365" s="1" t="s">
        <v>728</v>
      </c>
      <c r="O365" s="1" t="s">
        <v>729</v>
      </c>
    </row>
    <row r="366" customFormat="false" ht="12.75" hidden="false" customHeight="true" outlineLevel="0" collapsed="false">
      <c r="N366" s="1" t="s">
        <v>730</v>
      </c>
      <c r="O366" s="1" t="s">
        <v>731</v>
      </c>
    </row>
    <row r="367" customFormat="false" ht="12.75" hidden="false" customHeight="true" outlineLevel="0" collapsed="false">
      <c r="N367" s="1" t="s">
        <v>732</v>
      </c>
      <c r="O367" s="1" t="s">
        <v>733</v>
      </c>
    </row>
    <row r="368" customFormat="false" ht="12.75" hidden="false" customHeight="true" outlineLevel="0" collapsed="false">
      <c r="N368" s="1" t="s">
        <v>734</v>
      </c>
      <c r="O368" s="1" t="s">
        <v>735</v>
      </c>
    </row>
    <row r="369" customFormat="false" ht="12.75" hidden="false" customHeight="true" outlineLevel="0" collapsed="false">
      <c r="N369" s="1" t="s">
        <v>736</v>
      </c>
      <c r="O369" s="1" t="s">
        <v>737</v>
      </c>
    </row>
    <row r="370" customFormat="false" ht="12.75" hidden="false" customHeight="true" outlineLevel="0" collapsed="false">
      <c r="N370" s="1" t="s">
        <v>738</v>
      </c>
      <c r="O370" s="1" t="s">
        <v>739</v>
      </c>
    </row>
    <row r="371" customFormat="false" ht="12.75" hidden="false" customHeight="true" outlineLevel="0" collapsed="false">
      <c r="N371" s="1" t="s">
        <v>740</v>
      </c>
      <c r="O371" s="1" t="s">
        <v>741</v>
      </c>
    </row>
    <row r="372" customFormat="false" ht="12.75" hidden="false" customHeight="true" outlineLevel="0" collapsed="false">
      <c r="N372" s="1" t="s">
        <v>742</v>
      </c>
      <c r="O372" s="1" t="s">
        <v>743</v>
      </c>
    </row>
    <row r="373" customFormat="false" ht="12.75" hidden="false" customHeight="true" outlineLevel="0" collapsed="false">
      <c r="N373" s="1" t="s">
        <v>744</v>
      </c>
      <c r="O373" s="1" t="s">
        <v>745</v>
      </c>
    </row>
    <row r="374" customFormat="false" ht="12.75" hidden="false" customHeight="true" outlineLevel="0" collapsed="false">
      <c r="N374" s="1" t="s">
        <v>746</v>
      </c>
      <c r="O374" s="1" t="s">
        <v>747</v>
      </c>
    </row>
    <row r="375" customFormat="false" ht="12.75" hidden="false" customHeight="true" outlineLevel="0" collapsed="false">
      <c r="N375" s="1" t="s">
        <v>748</v>
      </c>
      <c r="O375" s="1" t="s">
        <v>749</v>
      </c>
    </row>
    <row r="376" customFormat="false" ht="12.75" hidden="false" customHeight="true" outlineLevel="0" collapsed="false">
      <c r="N376" s="1" t="s">
        <v>750</v>
      </c>
      <c r="O376" s="1" t="s">
        <v>751</v>
      </c>
    </row>
    <row r="377" customFormat="false" ht="12.75" hidden="false" customHeight="true" outlineLevel="0" collapsed="false">
      <c r="N377" s="1" t="s">
        <v>752</v>
      </c>
      <c r="O377" s="1" t="s">
        <v>753</v>
      </c>
    </row>
    <row r="378" customFormat="false" ht="12.75" hidden="false" customHeight="true" outlineLevel="0" collapsed="false">
      <c r="N378" s="1" t="s">
        <v>754</v>
      </c>
      <c r="O378" s="1" t="s">
        <v>755</v>
      </c>
    </row>
    <row r="379" customFormat="false" ht="12.75" hidden="false" customHeight="true" outlineLevel="0" collapsed="false">
      <c r="N379" s="1" t="s">
        <v>756</v>
      </c>
      <c r="O379" s="1" t="s">
        <v>757</v>
      </c>
    </row>
    <row r="380" customFormat="false" ht="12.75" hidden="false" customHeight="true" outlineLevel="0" collapsed="false">
      <c r="N380" s="1" t="s">
        <v>758</v>
      </c>
      <c r="O380" s="1" t="s">
        <v>759</v>
      </c>
    </row>
    <row r="381" customFormat="false" ht="12.75" hidden="false" customHeight="true" outlineLevel="0" collapsed="false">
      <c r="N381" s="1" t="s">
        <v>760</v>
      </c>
      <c r="O381" s="1" t="s">
        <v>761</v>
      </c>
    </row>
    <row r="382" customFormat="false" ht="12.75" hidden="false" customHeight="true" outlineLevel="0" collapsed="false">
      <c r="N382" s="1" t="s">
        <v>762</v>
      </c>
      <c r="O382" s="1" t="s">
        <v>763</v>
      </c>
    </row>
    <row r="383" customFormat="false" ht="12.75" hidden="false" customHeight="true" outlineLevel="0" collapsed="false">
      <c r="N383" s="1" t="s">
        <v>764</v>
      </c>
      <c r="O383" s="1" t="s">
        <v>765</v>
      </c>
    </row>
    <row r="384" customFormat="false" ht="12.75" hidden="false" customHeight="true" outlineLevel="0" collapsed="false">
      <c r="N384" s="1" t="s">
        <v>766</v>
      </c>
      <c r="O384" s="1" t="s">
        <v>767</v>
      </c>
    </row>
    <row r="385" customFormat="false" ht="12.75" hidden="false" customHeight="true" outlineLevel="0" collapsed="false">
      <c r="N385" s="1" t="s">
        <v>768</v>
      </c>
      <c r="O385" s="1" t="s">
        <v>769</v>
      </c>
    </row>
    <row r="386" customFormat="false" ht="12.75" hidden="false" customHeight="true" outlineLevel="0" collapsed="false">
      <c r="N386" s="1" t="s">
        <v>770</v>
      </c>
      <c r="O386" s="1" t="s">
        <v>771</v>
      </c>
    </row>
    <row r="387" customFormat="false" ht="12.75" hidden="false" customHeight="true" outlineLevel="0" collapsed="false">
      <c r="N387" s="1" t="s">
        <v>772</v>
      </c>
      <c r="O387" s="1" t="s">
        <v>773</v>
      </c>
    </row>
    <row r="388" customFormat="false" ht="12.75" hidden="false" customHeight="true" outlineLevel="0" collapsed="false">
      <c r="N388" s="1" t="s">
        <v>774</v>
      </c>
      <c r="O388" s="1" t="s">
        <v>773</v>
      </c>
    </row>
    <row r="389" customFormat="false" ht="12.75" hidden="false" customHeight="true" outlineLevel="0" collapsed="false">
      <c r="N389" s="1" t="s">
        <v>775</v>
      </c>
      <c r="O389" s="1" t="s">
        <v>776</v>
      </c>
    </row>
    <row r="390" customFormat="false" ht="12.75" hidden="false" customHeight="true" outlineLevel="0" collapsed="false">
      <c r="N390" s="1" t="s">
        <v>777</v>
      </c>
      <c r="O390" s="1" t="s">
        <v>778</v>
      </c>
    </row>
    <row r="391" customFormat="false" ht="12.75" hidden="false" customHeight="true" outlineLevel="0" collapsed="false">
      <c r="N391" s="1" t="s">
        <v>779</v>
      </c>
      <c r="O391" s="1" t="s">
        <v>780</v>
      </c>
    </row>
    <row r="392" customFormat="false" ht="12.75" hidden="false" customHeight="true" outlineLevel="0" collapsed="false">
      <c r="N392" s="1" t="s">
        <v>781</v>
      </c>
      <c r="O392" s="1" t="s">
        <v>782</v>
      </c>
    </row>
    <row r="393" customFormat="false" ht="12.75" hidden="false" customHeight="true" outlineLevel="0" collapsed="false">
      <c r="N393" s="1" t="s">
        <v>783</v>
      </c>
      <c r="O393" s="1" t="s">
        <v>784</v>
      </c>
    </row>
    <row r="394" customFormat="false" ht="12.75" hidden="false" customHeight="true" outlineLevel="0" collapsed="false">
      <c r="N394" s="1" t="s">
        <v>785</v>
      </c>
      <c r="O394" s="1" t="s">
        <v>786</v>
      </c>
    </row>
    <row r="395" customFormat="false" ht="12.75" hidden="false" customHeight="true" outlineLevel="0" collapsed="false">
      <c r="N395" s="1" t="s">
        <v>787</v>
      </c>
      <c r="O395" s="1" t="s">
        <v>788</v>
      </c>
    </row>
    <row r="396" customFormat="false" ht="12.75" hidden="false" customHeight="true" outlineLevel="0" collapsed="false">
      <c r="N396" s="1" t="s">
        <v>789</v>
      </c>
      <c r="O396" s="1" t="s">
        <v>790</v>
      </c>
    </row>
    <row r="397" customFormat="false" ht="12.75" hidden="false" customHeight="true" outlineLevel="0" collapsed="false">
      <c r="N397" s="1" t="s">
        <v>791</v>
      </c>
      <c r="O397" s="1" t="s">
        <v>790</v>
      </c>
    </row>
    <row r="398" customFormat="false" ht="12.75" hidden="false" customHeight="true" outlineLevel="0" collapsed="false">
      <c r="N398" s="1" t="s">
        <v>792</v>
      </c>
      <c r="O398" s="1" t="s">
        <v>793</v>
      </c>
    </row>
    <row r="399" customFormat="false" ht="12.75" hidden="false" customHeight="true" outlineLevel="0" collapsed="false">
      <c r="N399" s="1" t="s">
        <v>794</v>
      </c>
      <c r="O399" s="1" t="s">
        <v>795</v>
      </c>
    </row>
    <row r="400" customFormat="false" ht="12.75" hidden="false" customHeight="true" outlineLevel="0" collapsed="false">
      <c r="N400" s="1" t="s">
        <v>796</v>
      </c>
      <c r="O400" s="1" t="s">
        <v>797</v>
      </c>
    </row>
    <row r="401" customFormat="false" ht="12.75" hidden="false" customHeight="true" outlineLevel="0" collapsed="false">
      <c r="N401" s="1" t="s">
        <v>798</v>
      </c>
      <c r="O401" s="1" t="s">
        <v>799</v>
      </c>
    </row>
    <row r="402" customFormat="false" ht="12.75" hidden="false" customHeight="true" outlineLevel="0" collapsed="false">
      <c r="N402" s="1" t="s">
        <v>800</v>
      </c>
      <c r="O402" s="1" t="s">
        <v>801</v>
      </c>
    </row>
    <row r="403" customFormat="false" ht="12.75" hidden="false" customHeight="true" outlineLevel="0" collapsed="false">
      <c r="N403" s="1" t="s">
        <v>802</v>
      </c>
      <c r="O403" s="1" t="s">
        <v>803</v>
      </c>
    </row>
    <row r="404" customFormat="false" ht="12.75" hidden="false" customHeight="true" outlineLevel="0" collapsed="false">
      <c r="N404" s="1" t="s">
        <v>804</v>
      </c>
      <c r="O404" s="1" t="s">
        <v>805</v>
      </c>
    </row>
    <row r="405" customFormat="false" ht="12.75" hidden="false" customHeight="true" outlineLevel="0" collapsed="false">
      <c r="N405" s="1" t="s">
        <v>806</v>
      </c>
      <c r="O405" s="1" t="s">
        <v>805</v>
      </c>
    </row>
    <row r="406" customFormat="false" ht="12.75" hidden="false" customHeight="true" outlineLevel="0" collapsed="false">
      <c r="N406" s="1" t="s">
        <v>807</v>
      </c>
      <c r="O406" s="1" t="s">
        <v>808</v>
      </c>
    </row>
    <row r="407" customFormat="false" ht="12.75" hidden="false" customHeight="true" outlineLevel="0" collapsed="false">
      <c r="N407" s="1" t="s">
        <v>809</v>
      </c>
      <c r="O407" s="1" t="s">
        <v>810</v>
      </c>
    </row>
    <row r="408" customFormat="false" ht="12.75" hidden="false" customHeight="true" outlineLevel="0" collapsed="false">
      <c r="N408" s="1" t="s">
        <v>811</v>
      </c>
      <c r="O408" s="1" t="s">
        <v>812</v>
      </c>
    </row>
    <row r="409" customFormat="false" ht="12.75" hidden="false" customHeight="true" outlineLevel="0" collapsed="false">
      <c r="N409" s="1" t="s">
        <v>813</v>
      </c>
      <c r="O409" s="1" t="s">
        <v>814</v>
      </c>
    </row>
    <row r="410" customFormat="false" ht="12.75" hidden="false" customHeight="true" outlineLevel="0" collapsed="false">
      <c r="N410" s="1" t="s">
        <v>815</v>
      </c>
      <c r="O410" s="1" t="s">
        <v>816</v>
      </c>
    </row>
    <row r="411" customFormat="false" ht="12.75" hidden="false" customHeight="true" outlineLevel="0" collapsed="false">
      <c r="N411" s="1" t="s">
        <v>817</v>
      </c>
      <c r="O411" s="1" t="s">
        <v>818</v>
      </c>
    </row>
    <row r="412" customFormat="false" ht="12.75" hidden="false" customHeight="true" outlineLevel="0" collapsed="false">
      <c r="N412" s="1" t="s">
        <v>819</v>
      </c>
      <c r="O412" s="1" t="s">
        <v>820</v>
      </c>
    </row>
    <row r="413" customFormat="false" ht="12.75" hidden="false" customHeight="true" outlineLevel="0" collapsed="false">
      <c r="N413" s="1" t="s">
        <v>821</v>
      </c>
      <c r="O413" s="1" t="s">
        <v>822</v>
      </c>
    </row>
    <row r="414" customFormat="false" ht="12.75" hidden="false" customHeight="true" outlineLevel="0" collapsed="false">
      <c r="N414" s="1" t="s">
        <v>823</v>
      </c>
      <c r="O414" s="1" t="s">
        <v>824</v>
      </c>
    </row>
    <row r="415" customFormat="false" ht="12.75" hidden="false" customHeight="true" outlineLevel="0" collapsed="false">
      <c r="N415" s="1" t="s">
        <v>825</v>
      </c>
      <c r="O415" s="1" t="s">
        <v>826</v>
      </c>
    </row>
    <row r="416" customFormat="false" ht="12.75" hidden="false" customHeight="true" outlineLevel="0" collapsed="false">
      <c r="N416" s="1" t="s">
        <v>827</v>
      </c>
      <c r="O416" s="1" t="s">
        <v>828</v>
      </c>
    </row>
    <row r="417" customFormat="false" ht="12.75" hidden="false" customHeight="true" outlineLevel="0" collapsed="false">
      <c r="N417" s="1" t="s">
        <v>829</v>
      </c>
      <c r="O417" s="1" t="s">
        <v>830</v>
      </c>
    </row>
    <row r="418" customFormat="false" ht="12.75" hidden="false" customHeight="true" outlineLevel="0" collapsed="false">
      <c r="N418" s="1" t="s">
        <v>831</v>
      </c>
      <c r="O418" s="1" t="s">
        <v>832</v>
      </c>
    </row>
    <row r="419" customFormat="false" ht="12.75" hidden="false" customHeight="true" outlineLevel="0" collapsed="false">
      <c r="N419" s="1" t="s">
        <v>833</v>
      </c>
      <c r="O419" s="1" t="s">
        <v>834</v>
      </c>
    </row>
    <row r="420" customFormat="false" ht="12.75" hidden="false" customHeight="true" outlineLevel="0" collapsed="false">
      <c r="N420" s="1" t="s">
        <v>835</v>
      </c>
      <c r="O420" s="1" t="s">
        <v>836</v>
      </c>
    </row>
    <row r="421" customFormat="false" ht="12.75" hidden="false" customHeight="true" outlineLevel="0" collapsed="false">
      <c r="N421" s="1" t="s">
        <v>837</v>
      </c>
      <c r="O421" s="1" t="s">
        <v>838</v>
      </c>
    </row>
    <row r="422" customFormat="false" ht="12.75" hidden="false" customHeight="true" outlineLevel="0" collapsed="false">
      <c r="N422" s="1" t="s">
        <v>839</v>
      </c>
      <c r="O422" s="1" t="s">
        <v>840</v>
      </c>
    </row>
    <row r="423" customFormat="false" ht="12.75" hidden="false" customHeight="true" outlineLevel="0" collapsed="false">
      <c r="N423" s="1" t="s">
        <v>841</v>
      </c>
      <c r="O423" s="1" t="s">
        <v>842</v>
      </c>
    </row>
    <row r="424" customFormat="false" ht="12.75" hidden="false" customHeight="true" outlineLevel="0" collapsed="false">
      <c r="N424" s="1" t="s">
        <v>843</v>
      </c>
      <c r="O424" s="1" t="s">
        <v>844</v>
      </c>
    </row>
    <row r="425" customFormat="false" ht="12.75" hidden="false" customHeight="true" outlineLevel="0" collapsed="false">
      <c r="N425" s="1" t="s">
        <v>845</v>
      </c>
      <c r="O425" s="1" t="s">
        <v>846</v>
      </c>
    </row>
    <row r="426" customFormat="false" ht="12.75" hidden="false" customHeight="true" outlineLevel="0" collapsed="false">
      <c r="N426" s="1" t="s">
        <v>847</v>
      </c>
      <c r="O426" s="1" t="s">
        <v>848</v>
      </c>
    </row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57.63"/>
    <col collapsed="false" customWidth="true" hidden="false" outlineLevel="0" max="26" min="2" style="0" width="11.63"/>
  </cols>
  <sheetData>
    <row r="1" customFormat="false" ht="12.8" hidden="false" customHeight="true" outlineLevel="0" collapsed="false">
      <c r="A1" s="0" t="s">
        <v>2536</v>
      </c>
    </row>
    <row r="2" customFormat="false" ht="12.75" hidden="false" customHeight="true" outlineLevel="0" collapsed="false">
      <c r="A2" s="1" t="s">
        <v>2537</v>
      </c>
    </row>
    <row r="3" customFormat="false" ht="12.75" hidden="false" customHeight="true" outlineLevel="0" collapsed="false">
      <c r="A3" s="0" t="s">
        <v>2538</v>
      </c>
    </row>
    <row r="4" customFormat="false" ht="12.75" hidden="false" customHeight="true" outlineLevel="0" collapsed="false">
      <c r="A4" s="1" t="s">
        <v>1221</v>
      </c>
    </row>
    <row r="5" customFormat="false" ht="12.75" hidden="false" customHeight="true" outlineLevel="0" collapsed="false">
      <c r="A5" s="1" t="s">
        <v>1222</v>
      </c>
    </row>
    <row r="6" customFormat="false" ht="12.75" hidden="false" customHeight="true" outlineLevel="0" collapsed="false"/>
    <row r="7" customFormat="false" ht="12.75" hidden="false" customHeight="true" outlineLevel="0" collapsed="false">
      <c r="A7" s="1" t="s">
        <v>1209</v>
      </c>
    </row>
    <row r="8" customFormat="false" ht="12.75" hidden="false" customHeight="true" outlineLevel="0" collapsed="false">
      <c r="A8" s="1" t="s">
        <v>1223</v>
      </c>
    </row>
    <row r="9" customFormat="false" ht="12.75" hidden="false" customHeight="true" outlineLevel="0" collapsed="false">
      <c r="A9" s="1" t="s">
        <v>1224</v>
      </c>
    </row>
    <row r="10" customFormat="false" ht="12.75" hidden="false" customHeight="true" outlineLevel="0" collapsed="false">
      <c r="A10" s="1" t="s">
        <v>1225</v>
      </c>
    </row>
    <row r="11" customFormat="false" ht="12.75" hidden="false" customHeight="true" outlineLevel="0" collapsed="false">
      <c r="A11" s="1" t="s">
        <v>1226</v>
      </c>
    </row>
    <row r="12" customFormat="false" ht="12.75" hidden="false" customHeight="true" outlineLevel="0" collapsed="false"/>
    <row r="13" customFormat="false" ht="12.75" hidden="false" customHeight="true" outlineLevel="0" collapsed="false">
      <c r="A13" s="1" t="s">
        <v>1210</v>
      </c>
    </row>
    <row r="14" customFormat="false" ht="12.75" hidden="false" customHeight="true" outlineLevel="0" collapsed="false">
      <c r="A14" s="1" t="s">
        <v>1227</v>
      </c>
    </row>
    <row r="15" customFormat="false" ht="12.75" hidden="false" customHeight="true" outlineLevel="0" collapsed="false">
      <c r="A15" s="1" t="s">
        <v>1228</v>
      </c>
    </row>
    <row r="16" customFormat="false" ht="12.75" hidden="false" customHeight="true" outlineLevel="0" collapsed="false"/>
    <row r="17" customFormat="false" ht="12.75" hidden="false" customHeight="true" outlineLevel="0" collapsed="false">
      <c r="A17" s="1" t="s">
        <v>1211</v>
      </c>
    </row>
    <row r="18" customFormat="false" ht="12.75" hidden="false" customHeight="true" outlineLevel="0" collapsed="false">
      <c r="A18" s="1" t="s">
        <v>1229</v>
      </c>
    </row>
    <row r="19" customFormat="false" ht="12.75" hidden="false" customHeight="true" outlineLevel="0" collapsed="false">
      <c r="A19" s="1" t="s">
        <v>1230</v>
      </c>
    </row>
    <row r="20" customFormat="false" ht="12.75" hidden="false" customHeight="true" outlineLevel="0" collapsed="false"/>
    <row r="21" customFormat="false" ht="12.75" hidden="false" customHeight="true" outlineLevel="0" collapsed="false">
      <c r="A21" s="1" t="s">
        <v>1212</v>
      </c>
    </row>
    <row r="22" customFormat="false" ht="12.75" hidden="false" customHeight="true" outlineLevel="0" collapsed="false">
      <c r="A22" s="1" t="s">
        <v>1231</v>
      </c>
    </row>
    <row r="23" customFormat="false" ht="12.75" hidden="false" customHeight="true" outlineLevel="0" collapsed="false">
      <c r="A23" s="1" t="s">
        <v>2539</v>
      </c>
    </row>
    <row r="24" customFormat="false" ht="12.75" hidden="false" customHeight="true" outlineLevel="0" collapsed="false">
      <c r="A24" s="0" t="s">
        <v>2536</v>
      </c>
    </row>
    <row r="25" customFormat="false" ht="12.75" hidden="false" customHeight="true" outlineLevel="0" collapsed="false">
      <c r="A25" s="1" t="s">
        <v>2540</v>
      </c>
    </row>
    <row r="26" customFormat="false" ht="12.75" hidden="false" customHeight="true" outlineLevel="0" collapsed="false">
      <c r="A26" s="0" t="s">
        <v>2541</v>
      </c>
    </row>
    <row r="27" customFormat="false" ht="12.75" hidden="false" customHeight="true" outlineLevel="0" collapsed="false">
      <c r="A27" s="1" t="s">
        <v>1234</v>
      </c>
    </row>
    <row r="28" customFormat="false" ht="12.75" hidden="false" customHeight="true" outlineLevel="0" collapsed="false">
      <c r="A28" s="1" t="s">
        <v>1235</v>
      </c>
    </row>
    <row r="29" customFormat="false" ht="12.75" hidden="false" customHeight="true" outlineLevel="0" collapsed="false"/>
    <row r="30" customFormat="false" ht="12.75" hidden="false" customHeight="true" outlineLevel="0" collapsed="false">
      <c r="A30" s="1" t="s">
        <v>1209</v>
      </c>
    </row>
    <row r="31" customFormat="false" ht="12.75" hidden="false" customHeight="true" outlineLevel="0" collapsed="false">
      <c r="A31" s="1" t="s">
        <v>1236</v>
      </c>
    </row>
    <row r="32" customFormat="false" ht="12.75" hidden="false" customHeight="true" outlineLevel="0" collapsed="false">
      <c r="A32" s="1" t="s">
        <v>1236</v>
      </c>
    </row>
    <row r="33" customFormat="false" ht="12.75" hidden="false" customHeight="true" outlineLevel="0" collapsed="false">
      <c r="A33" s="1" t="s">
        <v>1237</v>
      </c>
    </row>
    <row r="34" customFormat="false" ht="12.75" hidden="false" customHeight="true" outlineLevel="0" collapsed="false">
      <c r="A34" s="1" t="s">
        <v>1237</v>
      </c>
    </row>
    <row r="35" customFormat="false" ht="12.75" hidden="false" customHeight="true" outlineLevel="0" collapsed="false"/>
    <row r="36" customFormat="false" ht="12.75" hidden="false" customHeight="true" outlineLevel="0" collapsed="false">
      <c r="A36" s="1" t="s">
        <v>1210</v>
      </c>
    </row>
    <row r="37" customFormat="false" ht="12.75" hidden="false" customHeight="true" outlineLevel="0" collapsed="false">
      <c r="A37" s="1" t="s">
        <v>1238</v>
      </c>
    </row>
    <row r="38" customFormat="false" ht="12.75" hidden="false" customHeight="true" outlineLevel="0" collapsed="false">
      <c r="A38" s="1" t="s">
        <v>1238</v>
      </c>
    </row>
    <row r="39" customFormat="false" ht="12.75" hidden="false" customHeight="true" outlineLevel="0" collapsed="false"/>
    <row r="40" customFormat="false" ht="12.75" hidden="false" customHeight="true" outlineLevel="0" collapsed="false">
      <c r="A40" s="1" t="s">
        <v>1211</v>
      </c>
    </row>
    <row r="41" customFormat="false" ht="12.75" hidden="false" customHeight="true" outlineLevel="0" collapsed="false">
      <c r="A41" s="1" t="s">
        <v>1239</v>
      </c>
    </row>
    <row r="42" customFormat="false" ht="12.75" hidden="false" customHeight="true" outlineLevel="0" collapsed="false">
      <c r="A42" s="1" t="s">
        <v>1239</v>
      </c>
    </row>
    <row r="43" customFormat="false" ht="12.75" hidden="false" customHeight="true" outlineLevel="0" collapsed="false"/>
    <row r="44" customFormat="false" ht="12.75" hidden="false" customHeight="true" outlineLevel="0" collapsed="false">
      <c r="A44" s="1" t="s">
        <v>1212</v>
      </c>
    </row>
    <row r="45" customFormat="false" ht="12.75" hidden="false" customHeight="true" outlineLevel="0" collapsed="false">
      <c r="A45" s="1" t="s">
        <v>1240</v>
      </c>
    </row>
    <row r="46" customFormat="false" ht="12.75" hidden="false" customHeight="true" outlineLevel="0" collapsed="false">
      <c r="A46" s="1" t="s">
        <v>2542</v>
      </c>
    </row>
    <row r="47" customFormat="false" ht="12.75" hidden="false" customHeight="true" outlineLevel="0" collapsed="false">
      <c r="A47" s="0" t="s">
        <v>2536</v>
      </c>
    </row>
    <row r="48" customFormat="false" ht="12.75" hidden="false" customHeight="true" outlineLevel="0" collapsed="false">
      <c r="A48" s="1" t="s">
        <v>2543</v>
      </c>
    </row>
    <row r="49" customFormat="false" ht="12.75" hidden="false" customHeight="true" outlineLevel="0" collapsed="false">
      <c r="A49" s="0" t="s">
        <v>2544</v>
      </c>
    </row>
    <row r="50" customFormat="false" ht="12.75" hidden="false" customHeight="true" outlineLevel="0" collapsed="false">
      <c r="A50" s="1" t="s">
        <v>1243</v>
      </c>
    </row>
    <row r="51" customFormat="false" ht="12.75" hidden="false" customHeight="true" outlineLevel="0" collapsed="false">
      <c r="A51" s="1" t="s">
        <v>1236</v>
      </c>
    </row>
    <row r="52" customFormat="false" ht="12.75" hidden="false" customHeight="true" outlineLevel="0" collapsed="false"/>
    <row r="53" customFormat="false" ht="12.75" hidden="false" customHeight="true" outlineLevel="0" collapsed="false">
      <c r="A53" s="1" t="s">
        <v>1209</v>
      </c>
    </row>
    <row r="54" customFormat="false" ht="12.75" hidden="false" customHeight="true" outlineLevel="0" collapsed="false">
      <c r="A54" s="1" t="s">
        <v>1244</v>
      </c>
    </row>
    <row r="55" customFormat="false" ht="12.75" hidden="false" customHeight="true" outlineLevel="0" collapsed="false">
      <c r="A55" s="1" t="s">
        <v>1244</v>
      </c>
    </row>
    <row r="56" customFormat="false" ht="12.75" hidden="false" customHeight="true" outlineLevel="0" collapsed="false">
      <c r="A56" s="1" t="s">
        <v>1245</v>
      </c>
    </row>
    <row r="57" customFormat="false" ht="12.75" hidden="false" customHeight="true" outlineLevel="0" collapsed="false">
      <c r="A57" s="1" t="s">
        <v>1245</v>
      </c>
    </row>
    <row r="58" customFormat="false" ht="12.75" hidden="false" customHeight="true" outlineLevel="0" collapsed="false"/>
    <row r="59" customFormat="false" ht="12.75" hidden="false" customHeight="true" outlineLevel="0" collapsed="false">
      <c r="A59" s="1" t="s">
        <v>1210</v>
      </c>
    </row>
    <row r="60" customFormat="false" ht="12.75" hidden="false" customHeight="true" outlineLevel="0" collapsed="false">
      <c r="A60" s="1" t="s">
        <v>1246</v>
      </c>
    </row>
    <row r="61" customFormat="false" ht="12.75" hidden="false" customHeight="true" outlineLevel="0" collapsed="false">
      <c r="A61" s="1" t="s">
        <v>1246</v>
      </c>
    </row>
    <row r="62" customFormat="false" ht="12.75" hidden="false" customHeight="true" outlineLevel="0" collapsed="false"/>
    <row r="63" customFormat="false" ht="12.75" hidden="false" customHeight="true" outlineLevel="0" collapsed="false">
      <c r="A63" s="1" t="s">
        <v>1211</v>
      </c>
    </row>
    <row r="64" customFormat="false" ht="12.75" hidden="false" customHeight="true" outlineLevel="0" collapsed="false">
      <c r="A64" s="1" t="s">
        <v>1247</v>
      </c>
    </row>
    <row r="65" customFormat="false" ht="12.75" hidden="false" customHeight="true" outlineLevel="0" collapsed="false">
      <c r="A65" s="1" t="s">
        <v>1247</v>
      </c>
    </row>
    <row r="66" customFormat="false" ht="12.75" hidden="false" customHeight="true" outlineLevel="0" collapsed="false"/>
    <row r="67" customFormat="false" ht="12.75" hidden="false" customHeight="true" outlineLevel="0" collapsed="false">
      <c r="A67" s="1" t="s">
        <v>1212</v>
      </c>
    </row>
    <row r="68" customFormat="false" ht="12.75" hidden="false" customHeight="true" outlineLevel="0" collapsed="false">
      <c r="A68" s="1" t="s">
        <v>1248</v>
      </c>
    </row>
    <row r="69" customFormat="false" ht="12.75" hidden="false" customHeight="true" outlineLevel="0" collapsed="false">
      <c r="A69" s="1" t="s">
        <v>2545</v>
      </c>
    </row>
    <row r="70" customFormat="false" ht="12.75" hidden="false" customHeight="true" outlineLevel="0" collapsed="false">
      <c r="A70" s="0" t="s">
        <v>2536</v>
      </c>
    </row>
    <row r="71" customFormat="false" ht="12.75" hidden="false" customHeight="true" outlineLevel="0" collapsed="false">
      <c r="A71" s="1" t="s">
        <v>2546</v>
      </c>
    </row>
    <row r="72" customFormat="false" ht="12.75" hidden="false" customHeight="true" outlineLevel="0" collapsed="false">
      <c r="A72" s="0" t="s">
        <v>2541</v>
      </c>
    </row>
    <row r="73" customFormat="false" ht="12.75" hidden="false" customHeight="true" outlineLevel="0" collapsed="false">
      <c r="A73" s="1" t="s">
        <v>1251</v>
      </c>
    </row>
    <row r="74" customFormat="false" ht="12.75" hidden="false" customHeight="true" outlineLevel="0" collapsed="false">
      <c r="A74" s="1" t="s">
        <v>1252</v>
      </c>
    </row>
    <row r="75" customFormat="false" ht="12.75" hidden="false" customHeight="true" outlineLevel="0" collapsed="false"/>
    <row r="76" customFormat="false" ht="12.75" hidden="false" customHeight="true" outlineLevel="0" collapsed="false">
      <c r="A76" s="1" t="s">
        <v>1209</v>
      </c>
    </row>
    <row r="77" customFormat="false" ht="12.75" hidden="false" customHeight="true" outlineLevel="0" collapsed="false">
      <c r="A77" s="1" t="s">
        <v>1253</v>
      </c>
    </row>
    <row r="78" customFormat="false" ht="12.75" hidden="false" customHeight="true" outlineLevel="0" collapsed="false">
      <c r="A78" s="1" t="s">
        <v>1254</v>
      </c>
    </row>
    <row r="79" customFormat="false" ht="12.75" hidden="false" customHeight="true" outlineLevel="0" collapsed="false">
      <c r="A79" s="1" t="s">
        <v>1254</v>
      </c>
    </row>
    <row r="80" customFormat="false" ht="12.75" hidden="false" customHeight="true" outlineLevel="0" collapsed="false">
      <c r="A80" s="1" t="s">
        <v>1255</v>
      </c>
    </row>
    <row r="81" customFormat="false" ht="12.75" hidden="false" customHeight="true" outlineLevel="0" collapsed="false"/>
    <row r="82" customFormat="false" ht="12.75" hidden="false" customHeight="true" outlineLevel="0" collapsed="false">
      <c r="A82" s="1" t="s">
        <v>1210</v>
      </c>
    </row>
    <row r="83" customFormat="false" ht="12.75" hidden="false" customHeight="true" outlineLevel="0" collapsed="false">
      <c r="A83" s="1" t="s">
        <v>1256</v>
      </c>
    </row>
    <row r="84" customFormat="false" ht="12.75" hidden="false" customHeight="true" outlineLevel="0" collapsed="false">
      <c r="A84" s="1" t="s">
        <v>1256</v>
      </c>
    </row>
    <row r="85" customFormat="false" ht="12.75" hidden="false" customHeight="true" outlineLevel="0" collapsed="false"/>
    <row r="86" customFormat="false" ht="12.75" hidden="false" customHeight="true" outlineLevel="0" collapsed="false">
      <c r="A86" s="1" t="s">
        <v>1211</v>
      </c>
    </row>
    <row r="87" customFormat="false" ht="12.75" hidden="false" customHeight="true" outlineLevel="0" collapsed="false">
      <c r="A87" s="1" t="s">
        <v>1257</v>
      </c>
    </row>
    <row r="88" customFormat="false" ht="12.75" hidden="false" customHeight="true" outlineLevel="0" collapsed="false">
      <c r="A88" s="1" t="s">
        <v>1258</v>
      </c>
    </row>
    <row r="89" customFormat="false" ht="12.75" hidden="false" customHeight="true" outlineLevel="0" collapsed="false"/>
    <row r="90" customFormat="false" ht="12.75" hidden="false" customHeight="true" outlineLevel="0" collapsed="false">
      <c r="A90" s="1" t="s">
        <v>1212</v>
      </c>
    </row>
    <row r="91" customFormat="false" ht="12.75" hidden="false" customHeight="true" outlineLevel="0" collapsed="false">
      <c r="A91" s="1" t="s">
        <v>1259</v>
      </c>
    </row>
    <row r="92" customFormat="false" ht="12.75" hidden="false" customHeight="true" outlineLevel="0" collapsed="false">
      <c r="A92" s="1" t="s">
        <v>2547</v>
      </c>
    </row>
    <row r="93" customFormat="false" ht="12.75" hidden="false" customHeight="true" outlineLevel="0" collapsed="false">
      <c r="A93" s="0" t="s">
        <v>2536</v>
      </c>
    </row>
    <row r="94" customFormat="false" ht="12.75" hidden="false" customHeight="true" outlineLevel="0" collapsed="false">
      <c r="A94" s="1" t="s">
        <v>2548</v>
      </c>
    </row>
    <row r="95" customFormat="false" ht="12.75" hidden="false" customHeight="true" outlineLevel="0" collapsed="false">
      <c r="A95" s="0" t="s">
        <v>2549</v>
      </c>
    </row>
    <row r="96" customFormat="false" ht="12.75" hidden="false" customHeight="true" outlineLevel="0" collapsed="false">
      <c r="A96" s="1" t="s">
        <v>1262</v>
      </c>
    </row>
    <row r="97" customFormat="false" ht="12.75" hidden="false" customHeight="true" outlineLevel="0" collapsed="false">
      <c r="A97" s="1" t="s">
        <v>1263</v>
      </c>
    </row>
    <row r="98" customFormat="false" ht="12.75" hidden="false" customHeight="true" outlineLevel="0" collapsed="false">
      <c r="A98" s="1" t="s">
        <v>1264</v>
      </c>
    </row>
    <row r="99" customFormat="false" ht="12.75" hidden="false" customHeight="true" outlineLevel="0" collapsed="false">
      <c r="A99" s="1" t="s">
        <v>2550</v>
      </c>
    </row>
    <row r="100" customFormat="false" ht="12.75" hidden="false" customHeight="true" outlineLevel="0" collapsed="false">
      <c r="A100" s="0" t="s">
        <v>2551</v>
      </c>
    </row>
    <row r="101" customFormat="false" ht="12.75" hidden="false" customHeight="true" outlineLevel="0" collapsed="false">
      <c r="A101" s="1" t="s">
        <v>1266</v>
      </c>
    </row>
    <row r="102" customFormat="false" ht="12.75" hidden="false" customHeight="true" outlineLevel="0" collapsed="false">
      <c r="A102" s="1" t="s">
        <v>1267</v>
      </c>
    </row>
    <row r="103" customFormat="false" ht="12.75" hidden="false" customHeight="true" outlineLevel="0" collapsed="false"/>
    <row r="104" customFormat="false" ht="12.75" hidden="false" customHeight="true" outlineLevel="0" collapsed="false">
      <c r="A104" s="1" t="s">
        <v>1268</v>
      </c>
    </row>
    <row r="105" customFormat="false" ht="12.75" hidden="false" customHeight="true" outlineLevel="0" collapsed="false">
      <c r="A105" s="1" t="s">
        <v>1269</v>
      </c>
    </row>
    <row r="106" customFormat="false" ht="12.75" hidden="false" customHeight="true" outlineLevel="0" collapsed="false">
      <c r="A106" s="1" t="s">
        <v>1270</v>
      </c>
    </row>
    <row r="107" customFormat="false" ht="12.75" hidden="false" customHeight="true" outlineLevel="0" collapsed="false">
      <c r="A107" s="1" t="s">
        <v>1271</v>
      </c>
    </row>
    <row r="108" customFormat="false" ht="12.75" hidden="false" customHeight="true" outlineLevel="0" collapsed="false"/>
    <row r="109" customFormat="false" ht="12.75" hidden="false" customHeight="true" outlineLevel="0" collapsed="false">
      <c r="A109" s="1" t="s">
        <v>1272</v>
      </c>
    </row>
    <row r="110" customFormat="false" ht="12.75" hidden="false" customHeight="true" outlineLevel="0" collapsed="false">
      <c r="A110" s="1" t="s">
        <v>1273</v>
      </c>
    </row>
    <row r="111" customFormat="false" ht="12.75" hidden="false" customHeight="true" outlineLevel="0" collapsed="false">
      <c r="A111" s="1" t="s">
        <v>1274</v>
      </c>
    </row>
    <row r="112" customFormat="false" ht="12.75" hidden="false" customHeight="true" outlineLevel="0" collapsed="false">
      <c r="A112" s="1" t="s">
        <v>1275</v>
      </c>
    </row>
    <row r="113" customFormat="false" ht="12.75" hidden="false" customHeight="true" outlineLevel="0" collapsed="false">
      <c r="A113" s="1" t="s">
        <v>1276</v>
      </c>
    </row>
    <row r="114" customFormat="false" ht="12.75" hidden="false" customHeight="true" outlineLevel="0" collapsed="false">
      <c r="A114" s="1" t="s">
        <v>2552</v>
      </c>
    </row>
    <row r="115" customFormat="false" ht="12.75" hidden="false" customHeight="true" outlineLevel="0" collapsed="false">
      <c r="A115" s="0" t="s">
        <v>2536</v>
      </c>
    </row>
    <row r="116" customFormat="false" ht="12.75" hidden="false" customHeight="true" outlineLevel="0" collapsed="false">
      <c r="A116" s="1" t="s">
        <v>2553</v>
      </c>
    </row>
    <row r="117" customFormat="false" ht="12.75" hidden="false" customHeight="true" outlineLevel="0" collapsed="false">
      <c r="A117" s="0" t="s">
        <v>2544</v>
      </c>
    </row>
    <row r="118" customFormat="false" ht="12.75" hidden="false" customHeight="true" outlineLevel="0" collapsed="false">
      <c r="A118" s="1" t="s">
        <v>1279</v>
      </c>
    </row>
    <row r="119" customFormat="false" ht="12.75" hidden="false" customHeight="true" outlineLevel="0" collapsed="false">
      <c r="A119" s="1" t="s">
        <v>1280</v>
      </c>
    </row>
    <row r="120" customFormat="false" ht="12.75" hidden="false" customHeight="true" outlineLevel="0" collapsed="false"/>
    <row r="121" customFormat="false" ht="12.75" hidden="false" customHeight="true" outlineLevel="0" collapsed="false">
      <c r="A121" s="1" t="s">
        <v>1209</v>
      </c>
    </row>
    <row r="122" customFormat="false" ht="12.75" hidden="false" customHeight="true" outlineLevel="0" collapsed="false">
      <c r="A122" s="1" t="s">
        <v>1281</v>
      </c>
    </row>
    <row r="123" customFormat="false" ht="12.75" hidden="false" customHeight="true" outlineLevel="0" collapsed="false">
      <c r="A123" s="1" t="s">
        <v>1282</v>
      </c>
    </row>
    <row r="124" customFormat="false" ht="12.75" hidden="false" customHeight="true" outlineLevel="0" collapsed="false">
      <c r="A124" s="1" t="s">
        <v>1283</v>
      </c>
    </row>
    <row r="125" customFormat="false" ht="12.75" hidden="false" customHeight="true" outlineLevel="0" collapsed="false">
      <c r="A125" s="1" t="s">
        <v>1284</v>
      </c>
    </row>
    <row r="126" customFormat="false" ht="12.75" hidden="false" customHeight="true" outlineLevel="0" collapsed="false"/>
    <row r="127" customFormat="false" ht="12.75" hidden="false" customHeight="true" outlineLevel="0" collapsed="false">
      <c r="A127" s="1" t="s">
        <v>1210</v>
      </c>
    </row>
    <row r="128" customFormat="false" ht="12.75" hidden="false" customHeight="true" outlineLevel="0" collapsed="false">
      <c r="A128" s="1" t="s">
        <v>1285</v>
      </c>
    </row>
    <row r="129" customFormat="false" ht="12.75" hidden="false" customHeight="true" outlineLevel="0" collapsed="false">
      <c r="A129" s="1" t="s">
        <v>1286</v>
      </c>
    </row>
    <row r="130" customFormat="false" ht="12.75" hidden="false" customHeight="true" outlineLevel="0" collapsed="false"/>
    <row r="131" customFormat="false" ht="12.75" hidden="false" customHeight="true" outlineLevel="0" collapsed="false">
      <c r="A131" s="1" t="s">
        <v>1211</v>
      </c>
    </row>
    <row r="132" customFormat="false" ht="12.75" hidden="false" customHeight="true" outlineLevel="0" collapsed="false">
      <c r="A132" s="1" t="s">
        <v>1287</v>
      </c>
    </row>
    <row r="133" customFormat="false" ht="12.75" hidden="false" customHeight="true" outlineLevel="0" collapsed="false">
      <c r="A133" s="1" t="s">
        <v>1288</v>
      </c>
    </row>
    <row r="134" customFormat="false" ht="12.75" hidden="false" customHeight="true" outlineLevel="0" collapsed="false"/>
    <row r="135" customFormat="false" ht="12.75" hidden="false" customHeight="true" outlineLevel="0" collapsed="false">
      <c r="A135" s="1" t="s">
        <v>1212</v>
      </c>
    </row>
    <row r="136" customFormat="false" ht="12.75" hidden="false" customHeight="true" outlineLevel="0" collapsed="false">
      <c r="A136" s="1" t="s">
        <v>1289</v>
      </c>
    </row>
    <row r="137" customFormat="false" ht="12.75" hidden="false" customHeight="true" outlineLevel="0" collapsed="false">
      <c r="A137" s="1" t="s">
        <v>2554</v>
      </c>
    </row>
    <row r="138" customFormat="false" ht="12.75" hidden="false" customHeight="true" outlineLevel="0" collapsed="false">
      <c r="A138" s="0" t="s">
        <v>2536</v>
      </c>
    </row>
    <row r="139" customFormat="false" ht="12.75" hidden="false" customHeight="true" outlineLevel="0" collapsed="false">
      <c r="A139" s="1" t="s">
        <v>2555</v>
      </c>
    </row>
    <row r="140" customFormat="false" ht="12.75" hidden="false" customHeight="true" outlineLevel="0" collapsed="false">
      <c r="A140" s="0" t="s">
        <v>2541</v>
      </c>
    </row>
    <row r="141" customFormat="false" ht="12.75" hidden="false" customHeight="true" outlineLevel="0" collapsed="false">
      <c r="A141" s="1" t="s">
        <v>1292</v>
      </c>
    </row>
    <row r="142" customFormat="false" ht="12.75" hidden="false" customHeight="true" outlineLevel="0" collapsed="false">
      <c r="A142" s="1" t="s">
        <v>1293</v>
      </c>
    </row>
    <row r="143" customFormat="false" ht="12.75" hidden="false" customHeight="true" outlineLevel="0" collapsed="false"/>
    <row r="144" customFormat="false" ht="12.75" hidden="false" customHeight="true" outlineLevel="0" collapsed="false">
      <c r="A144" s="1" t="s">
        <v>1209</v>
      </c>
    </row>
    <row r="145" customFormat="false" ht="12.75" hidden="false" customHeight="true" outlineLevel="0" collapsed="false">
      <c r="A145" s="1" t="s">
        <v>1294</v>
      </c>
    </row>
    <row r="146" customFormat="false" ht="12.75" hidden="false" customHeight="true" outlineLevel="0" collapsed="false">
      <c r="A146" s="1" t="s">
        <v>1295</v>
      </c>
    </row>
    <row r="147" customFormat="false" ht="12.75" hidden="false" customHeight="true" outlineLevel="0" collapsed="false">
      <c r="A147" s="1" t="s">
        <v>1296</v>
      </c>
    </row>
    <row r="148" customFormat="false" ht="12.75" hidden="false" customHeight="true" outlineLevel="0" collapsed="false">
      <c r="A148" s="1" t="s">
        <v>1297</v>
      </c>
    </row>
    <row r="149" customFormat="false" ht="12.75" hidden="false" customHeight="true" outlineLevel="0" collapsed="false"/>
    <row r="150" customFormat="false" ht="12.75" hidden="false" customHeight="true" outlineLevel="0" collapsed="false">
      <c r="A150" s="1" t="s">
        <v>1210</v>
      </c>
    </row>
    <row r="151" customFormat="false" ht="12.75" hidden="false" customHeight="true" outlineLevel="0" collapsed="false">
      <c r="A151" s="1" t="s">
        <v>1298</v>
      </c>
    </row>
    <row r="152" customFormat="false" ht="12.75" hidden="false" customHeight="true" outlineLevel="0" collapsed="false">
      <c r="A152" s="1" t="s">
        <v>1299</v>
      </c>
    </row>
    <row r="153" customFormat="false" ht="12.75" hidden="false" customHeight="true" outlineLevel="0" collapsed="false"/>
    <row r="154" customFormat="false" ht="12.75" hidden="false" customHeight="true" outlineLevel="0" collapsed="false">
      <c r="A154" s="1" t="s">
        <v>1211</v>
      </c>
    </row>
    <row r="155" customFormat="false" ht="12.75" hidden="false" customHeight="true" outlineLevel="0" collapsed="false">
      <c r="A155" s="1" t="s">
        <v>1300</v>
      </c>
    </row>
    <row r="156" customFormat="false" ht="12.75" hidden="false" customHeight="true" outlineLevel="0" collapsed="false">
      <c r="A156" s="1" t="s">
        <v>1301</v>
      </c>
    </row>
    <row r="157" customFormat="false" ht="12.75" hidden="false" customHeight="true" outlineLevel="0" collapsed="false"/>
    <row r="158" customFormat="false" ht="12.75" hidden="false" customHeight="true" outlineLevel="0" collapsed="false">
      <c r="A158" s="1" t="s">
        <v>1212</v>
      </c>
    </row>
    <row r="159" customFormat="false" ht="12.75" hidden="false" customHeight="true" outlineLevel="0" collapsed="false">
      <c r="A159" s="1" t="s">
        <v>1302</v>
      </c>
    </row>
    <row r="160" customFormat="false" ht="12.75" hidden="false" customHeight="true" outlineLevel="0" collapsed="false">
      <c r="A160" s="1" t="s">
        <v>2556</v>
      </c>
    </row>
    <row r="161" customFormat="false" ht="12.75" hidden="false" customHeight="true" outlineLevel="0" collapsed="false">
      <c r="A161" s="0" t="s">
        <v>2536</v>
      </c>
    </row>
    <row r="162" customFormat="false" ht="12.75" hidden="false" customHeight="true" outlineLevel="0" collapsed="false">
      <c r="A162" s="1" t="s">
        <v>2557</v>
      </c>
    </row>
    <row r="163" customFormat="false" ht="12.75" hidden="false" customHeight="true" outlineLevel="0" collapsed="false">
      <c r="A163" s="0" t="s">
        <v>2541</v>
      </c>
    </row>
    <row r="164" customFormat="false" ht="12.75" hidden="false" customHeight="true" outlineLevel="0" collapsed="false">
      <c r="A164" s="1" t="s">
        <v>1292</v>
      </c>
    </row>
    <row r="165" customFormat="false" ht="12.75" hidden="false" customHeight="true" outlineLevel="0" collapsed="false">
      <c r="A165" s="1" t="s">
        <v>1293</v>
      </c>
    </row>
    <row r="166" customFormat="false" ht="12.75" hidden="false" customHeight="true" outlineLevel="0" collapsed="false"/>
    <row r="167" customFormat="false" ht="12.75" hidden="false" customHeight="true" outlineLevel="0" collapsed="false">
      <c r="A167" s="1" t="s">
        <v>1209</v>
      </c>
    </row>
    <row r="168" customFormat="false" ht="12.75" hidden="false" customHeight="true" outlineLevel="0" collapsed="false">
      <c r="A168" s="1" t="s">
        <v>1294</v>
      </c>
    </row>
    <row r="169" customFormat="false" ht="12.75" hidden="false" customHeight="true" outlineLevel="0" collapsed="false">
      <c r="A169" s="1" t="s">
        <v>1295</v>
      </c>
    </row>
    <row r="170" customFormat="false" ht="12.75" hidden="false" customHeight="true" outlineLevel="0" collapsed="false">
      <c r="A170" s="1" t="s">
        <v>1296</v>
      </c>
    </row>
    <row r="171" customFormat="false" ht="12.75" hidden="false" customHeight="true" outlineLevel="0" collapsed="false">
      <c r="A171" s="1" t="s">
        <v>1297</v>
      </c>
    </row>
    <row r="172" customFormat="false" ht="12.75" hidden="false" customHeight="true" outlineLevel="0" collapsed="false"/>
    <row r="173" customFormat="false" ht="12.75" hidden="false" customHeight="true" outlineLevel="0" collapsed="false">
      <c r="A173" s="1" t="s">
        <v>1210</v>
      </c>
    </row>
    <row r="174" customFormat="false" ht="12.75" hidden="false" customHeight="true" outlineLevel="0" collapsed="false">
      <c r="A174" s="1" t="s">
        <v>1298</v>
      </c>
    </row>
    <row r="175" customFormat="false" ht="12.75" hidden="false" customHeight="true" outlineLevel="0" collapsed="false">
      <c r="A175" s="1" t="s">
        <v>1299</v>
      </c>
    </row>
    <row r="176" customFormat="false" ht="12.75" hidden="false" customHeight="true" outlineLevel="0" collapsed="false"/>
    <row r="177" customFormat="false" ht="12.75" hidden="false" customHeight="true" outlineLevel="0" collapsed="false">
      <c r="A177" s="1" t="s">
        <v>1211</v>
      </c>
    </row>
    <row r="178" customFormat="false" ht="12.75" hidden="false" customHeight="true" outlineLevel="0" collapsed="false">
      <c r="A178" s="1" t="s">
        <v>1300</v>
      </c>
    </row>
    <row r="179" customFormat="false" ht="12.75" hidden="false" customHeight="true" outlineLevel="0" collapsed="false">
      <c r="A179" s="1" t="s">
        <v>1301</v>
      </c>
    </row>
    <row r="180" customFormat="false" ht="12.75" hidden="false" customHeight="true" outlineLevel="0" collapsed="false"/>
    <row r="181" customFormat="false" ht="12.75" hidden="false" customHeight="true" outlineLevel="0" collapsed="false">
      <c r="A181" s="1" t="s">
        <v>1212</v>
      </c>
    </row>
    <row r="182" customFormat="false" ht="12.75" hidden="false" customHeight="true" outlineLevel="0" collapsed="false">
      <c r="A182" s="1" t="s">
        <v>1305</v>
      </c>
    </row>
    <row r="183" customFormat="false" ht="12.75" hidden="false" customHeight="true" outlineLevel="0" collapsed="false">
      <c r="A183" s="1" t="s">
        <v>2558</v>
      </c>
    </row>
    <row r="184" customFormat="false" ht="12.75" hidden="false" customHeight="true" outlineLevel="0" collapsed="false">
      <c r="A184" s="0" t="s">
        <v>2536</v>
      </c>
    </row>
    <row r="185" customFormat="false" ht="12.75" hidden="false" customHeight="true" outlineLevel="0" collapsed="false">
      <c r="A185" s="1" t="s">
        <v>2559</v>
      </c>
    </row>
    <row r="186" customFormat="false" ht="12.75" hidden="false" customHeight="true" outlineLevel="0" collapsed="false">
      <c r="A186" s="0" t="s">
        <v>2541</v>
      </c>
    </row>
    <row r="187" customFormat="false" ht="12.75" hidden="false" customHeight="true" outlineLevel="0" collapsed="false">
      <c r="A187" s="1" t="s">
        <v>1292</v>
      </c>
    </row>
    <row r="188" customFormat="false" ht="12.75" hidden="false" customHeight="true" outlineLevel="0" collapsed="false">
      <c r="A188" s="1" t="s">
        <v>1293</v>
      </c>
    </row>
    <row r="189" customFormat="false" ht="12.75" hidden="false" customHeight="true" outlineLevel="0" collapsed="false"/>
    <row r="190" customFormat="false" ht="12.75" hidden="false" customHeight="true" outlineLevel="0" collapsed="false">
      <c r="A190" s="1" t="s">
        <v>1209</v>
      </c>
    </row>
    <row r="191" customFormat="false" ht="12.75" hidden="false" customHeight="true" outlineLevel="0" collapsed="false">
      <c r="A191" s="1" t="s">
        <v>1294</v>
      </c>
    </row>
    <row r="192" customFormat="false" ht="12.75" hidden="false" customHeight="true" outlineLevel="0" collapsed="false">
      <c r="A192" s="1" t="s">
        <v>1295</v>
      </c>
    </row>
    <row r="193" customFormat="false" ht="12.75" hidden="false" customHeight="true" outlineLevel="0" collapsed="false">
      <c r="A193" s="1" t="s">
        <v>1296</v>
      </c>
    </row>
    <row r="194" customFormat="false" ht="12.75" hidden="false" customHeight="true" outlineLevel="0" collapsed="false">
      <c r="A194" s="1" t="s">
        <v>1297</v>
      </c>
    </row>
    <row r="195" customFormat="false" ht="12.75" hidden="false" customHeight="true" outlineLevel="0" collapsed="false"/>
    <row r="196" customFormat="false" ht="12.75" hidden="false" customHeight="true" outlineLevel="0" collapsed="false">
      <c r="A196" s="1" t="s">
        <v>1210</v>
      </c>
    </row>
    <row r="197" customFormat="false" ht="12.75" hidden="false" customHeight="true" outlineLevel="0" collapsed="false">
      <c r="A197" s="1" t="s">
        <v>1298</v>
      </c>
    </row>
    <row r="198" customFormat="false" ht="12.75" hidden="false" customHeight="true" outlineLevel="0" collapsed="false">
      <c r="A198" s="1" t="s">
        <v>1299</v>
      </c>
    </row>
    <row r="199" customFormat="false" ht="12.75" hidden="false" customHeight="true" outlineLevel="0" collapsed="false"/>
    <row r="200" customFormat="false" ht="12.75" hidden="false" customHeight="true" outlineLevel="0" collapsed="false">
      <c r="A200" s="1" t="s">
        <v>1211</v>
      </c>
    </row>
    <row r="201" customFormat="false" ht="12.75" hidden="false" customHeight="true" outlineLevel="0" collapsed="false">
      <c r="A201" s="1" t="s">
        <v>1300</v>
      </c>
    </row>
    <row r="202" customFormat="false" ht="12.75" hidden="false" customHeight="true" outlineLevel="0" collapsed="false">
      <c r="A202" s="1" t="s">
        <v>1301</v>
      </c>
    </row>
    <row r="203" customFormat="false" ht="12.75" hidden="false" customHeight="true" outlineLevel="0" collapsed="false"/>
    <row r="204" customFormat="false" ht="12.75" hidden="false" customHeight="true" outlineLevel="0" collapsed="false">
      <c r="A204" s="1" t="s">
        <v>1212</v>
      </c>
    </row>
    <row r="205" customFormat="false" ht="12.75" hidden="false" customHeight="true" outlineLevel="0" collapsed="false">
      <c r="A205" s="1" t="s">
        <v>1308</v>
      </c>
    </row>
    <row r="206" customFormat="false" ht="12.75" hidden="false" customHeight="true" outlineLevel="0" collapsed="false">
      <c r="A206" s="1" t="s">
        <v>2560</v>
      </c>
    </row>
    <row r="207" customFormat="false" ht="12.75" hidden="false" customHeight="true" outlineLevel="0" collapsed="false">
      <c r="A207" s="0" t="s">
        <v>2536</v>
      </c>
    </row>
    <row r="208" customFormat="false" ht="12.75" hidden="false" customHeight="true" outlineLevel="0" collapsed="false">
      <c r="A208" s="1" t="s">
        <v>2561</v>
      </c>
    </row>
    <row r="209" customFormat="false" ht="12.75" hidden="false" customHeight="true" outlineLevel="0" collapsed="false">
      <c r="A209" s="0" t="s">
        <v>2541</v>
      </c>
    </row>
    <row r="210" customFormat="false" ht="12.75" hidden="false" customHeight="true" outlineLevel="0" collapsed="false">
      <c r="A210" s="1" t="s">
        <v>1311</v>
      </c>
    </row>
    <row r="211" customFormat="false" ht="12.75" hidden="false" customHeight="true" outlineLevel="0" collapsed="false">
      <c r="A211" s="1" t="s">
        <v>1312</v>
      </c>
    </row>
    <row r="212" customFormat="false" ht="12.75" hidden="false" customHeight="true" outlineLevel="0" collapsed="false"/>
    <row r="213" customFormat="false" ht="12.75" hidden="false" customHeight="true" outlineLevel="0" collapsed="false">
      <c r="A213" s="1" t="s">
        <v>1209</v>
      </c>
    </row>
    <row r="214" customFormat="false" ht="12.75" hidden="false" customHeight="true" outlineLevel="0" collapsed="false">
      <c r="A214" s="1" t="s">
        <v>1313</v>
      </c>
    </row>
    <row r="215" customFormat="false" ht="12.75" hidden="false" customHeight="true" outlineLevel="0" collapsed="false">
      <c r="A215" s="1" t="s">
        <v>1314</v>
      </c>
    </row>
    <row r="216" customFormat="false" ht="12.75" hidden="false" customHeight="true" outlineLevel="0" collapsed="false">
      <c r="A216" s="1" t="s">
        <v>1315</v>
      </c>
    </row>
    <row r="217" customFormat="false" ht="12.75" hidden="false" customHeight="true" outlineLevel="0" collapsed="false">
      <c r="A217" s="1" t="s">
        <v>1316</v>
      </c>
    </row>
    <row r="218" customFormat="false" ht="12.75" hidden="false" customHeight="true" outlineLevel="0" collapsed="false"/>
    <row r="219" customFormat="false" ht="12.75" hidden="false" customHeight="true" outlineLevel="0" collapsed="false">
      <c r="A219" s="1" t="s">
        <v>1210</v>
      </c>
    </row>
    <row r="220" customFormat="false" ht="12.75" hidden="false" customHeight="true" outlineLevel="0" collapsed="false">
      <c r="A220" s="1" t="s">
        <v>1317</v>
      </c>
    </row>
    <row r="221" customFormat="false" ht="12.75" hidden="false" customHeight="true" outlineLevel="0" collapsed="false">
      <c r="A221" s="1" t="s">
        <v>1318</v>
      </c>
    </row>
    <row r="222" customFormat="false" ht="12.75" hidden="false" customHeight="true" outlineLevel="0" collapsed="false"/>
    <row r="223" customFormat="false" ht="12.75" hidden="false" customHeight="true" outlineLevel="0" collapsed="false">
      <c r="A223" s="1" t="s">
        <v>1211</v>
      </c>
    </row>
    <row r="224" customFormat="false" ht="12.75" hidden="false" customHeight="true" outlineLevel="0" collapsed="false">
      <c r="A224" s="1" t="s">
        <v>1319</v>
      </c>
    </row>
    <row r="225" customFormat="false" ht="12.75" hidden="false" customHeight="true" outlineLevel="0" collapsed="false">
      <c r="A225" s="1" t="s">
        <v>1320</v>
      </c>
    </row>
    <row r="226" customFormat="false" ht="12.75" hidden="false" customHeight="true" outlineLevel="0" collapsed="false"/>
    <row r="227" customFormat="false" ht="12.75" hidden="false" customHeight="true" outlineLevel="0" collapsed="false">
      <c r="A227" s="1" t="s">
        <v>1212</v>
      </c>
    </row>
    <row r="228" customFormat="false" ht="12.75" hidden="false" customHeight="true" outlineLevel="0" collapsed="false">
      <c r="A228" s="1" t="s">
        <v>1321</v>
      </c>
    </row>
    <row r="229" customFormat="false" ht="12.75" hidden="false" customHeight="true" outlineLevel="0" collapsed="false">
      <c r="A229" s="1" t="s">
        <v>2562</v>
      </c>
    </row>
    <row r="230" customFormat="false" ht="12.75" hidden="false" customHeight="true" outlineLevel="0" collapsed="false">
      <c r="A230" s="0" t="s">
        <v>2536</v>
      </c>
    </row>
    <row r="231" customFormat="false" ht="12.75" hidden="false" customHeight="true" outlineLevel="0" collapsed="false">
      <c r="A231" s="1" t="s">
        <v>2563</v>
      </c>
    </row>
    <row r="232" customFormat="false" ht="12.75" hidden="false" customHeight="true" outlineLevel="0" collapsed="false">
      <c r="A232" s="0" t="s">
        <v>2541</v>
      </c>
    </row>
    <row r="233" customFormat="false" ht="12.75" hidden="false" customHeight="true" outlineLevel="0" collapsed="false">
      <c r="A233" s="1" t="s">
        <v>1311</v>
      </c>
    </row>
    <row r="234" customFormat="false" ht="12.75" hidden="false" customHeight="true" outlineLevel="0" collapsed="false">
      <c r="A234" s="1" t="s">
        <v>1312</v>
      </c>
    </row>
    <row r="235" customFormat="false" ht="12.75" hidden="false" customHeight="true" outlineLevel="0" collapsed="false"/>
    <row r="236" customFormat="false" ht="12.75" hidden="false" customHeight="true" outlineLevel="0" collapsed="false">
      <c r="A236" s="1" t="s">
        <v>1209</v>
      </c>
    </row>
    <row r="237" customFormat="false" ht="12.75" hidden="false" customHeight="true" outlineLevel="0" collapsed="false">
      <c r="A237" s="1" t="s">
        <v>1313</v>
      </c>
    </row>
    <row r="238" customFormat="false" ht="12.75" hidden="false" customHeight="true" outlineLevel="0" collapsed="false">
      <c r="A238" s="1" t="s">
        <v>1314</v>
      </c>
    </row>
    <row r="239" customFormat="false" ht="12.75" hidden="false" customHeight="true" outlineLevel="0" collapsed="false">
      <c r="A239" s="1" t="s">
        <v>1315</v>
      </c>
    </row>
    <row r="240" customFormat="false" ht="12.75" hidden="false" customHeight="true" outlineLevel="0" collapsed="false">
      <c r="A240" s="1" t="s">
        <v>1316</v>
      </c>
    </row>
    <row r="241" customFormat="false" ht="12.75" hidden="false" customHeight="true" outlineLevel="0" collapsed="false"/>
    <row r="242" customFormat="false" ht="12.75" hidden="false" customHeight="true" outlineLevel="0" collapsed="false">
      <c r="A242" s="1" t="s">
        <v>1210</v>
      </c>
    </row>
    <row r="243" customFormat="false" ht="12.75" hidden="false" customHeight="true" outlineLevel="0" collapsed="false">
      <c r="A243" s="1" t="s">
        <v>1317</v>
      </c>
    </row>
    <row r="244" customFormat="false" ht="12.75" hidden="false" customHeight="true" outlineLevel="0" collapsed="false">
      <c r="A244" s="1" t="s">
        <v>1318</v>
      </c>
    </row>
    <row r="245" customFormat="false" ht="12.75" hidden="false" customHeight="true" outlineLevel="0" collapsed="false"/>
    <row r="246" customFormat="false" ht="12.75" hidden="false" customHeight="true" outlineLevel="0" collapsed="false">
      <c r="A246" s="1" t="s">
        <v>1211</v>
      </c>
    </row>
    <row r="247" customFormat="false" ht="12.75" hidden="false" customHeight="true" outlineLevel="0" collapsed="false">
      <c r="A247" s="1" t="s">
        <v>1319</v>
      </c>
    </row>
    <row r="248" customFormat="false" ht="12.75" hidden="false" customHeight="true" outlineLevel="0" collapsed="false">
      <c r="A248" s="1" t="s">
        <v>1320</v>
      </c>
    </row>
    <row r="249" customFormat="false" ht="12.75" hidden="false" customHeight="true" outlineLevel="0" collapsed="false"/>
    <row r="250" customFormat="false" ht="12.75" hidden="false" customHeight="true" outlineLevel="0" collapsed="false">
      <c r="A250" s="1" t="s">
        <v>1212</v>
      </c>
    </row>
    <row r="251" customFormat="false" ht="12.75" hidden="false" customHeight="true" outlineLevel="0" collapsed="false">
      <c r="A251" s="1" t="s">
        <v>1321</v>
      </c>
    </row>
    <row r="252" customFormat="false" ht="12.75" hidden="false" customHeight="true" outlineLevel="0" collapsed="false">
      <c r="A252" s="1" t="s">
        <v>2562</v>
      </c>
    </row>
    <row r="253" customFormat="false" ht="12.75" hidden="false" customHeight="true" outlineLevel="0" collapsed="false">
      <c r="A253" s="0" t="s">
        <v>2536</v>
      </c>
    </row>
    <row r="254" customFormat="false" ht="12.75" hidden="false" customHeight="true" outlineLevel="0" collapsed="false">
      <c r="A254" s="1" t="s">
        <v>2564</v>
      </c>
    </row>
    <row r="255" customFormat="false" ht="12.75" hidden="false" customHeight="true" outlineLevel="0" collapsed="false">
      <c r="A255" s="0" t="s">
        <v>2541</v>
      </c>
    </row>
    <row r="256" customFormat="false" ht="12.75" hidden="false" customHeight="true" outlineLevel="0" collapsed="false">
      <c r="A256" s="1" t="s">
        <v>1311</v>
      </c>
    </row>
    <row r="257" customFormat="false" ht="12.75" hidden="false" customHeight="true" outlineLevel="0" collapsed="false">
      <c r="A257" s="1" t="s">
        <v>1312</v>
      </c>
    </row>
    <row r="258" customFormat="false" ht="12.75" hidden="false" customHeight="true" outlineLevel="0" collapsed="false"/>
    <row r="259" customFormat="false" ht="12.75" hidden="false" customHeight="true" outlineLevel="0" collapsed="false">
      <c r="A259" s="1" t="s">
        <v>1209</v>
      </c>
    </row>
    <row r="260" customFormat="false" ht="12.75" hidden="false" customHeight="true" outlineLevel="0" collapsed="false">
      <c r="A260" s="1" t="s">
        <v>1313</v>
      </c>
    </row>
    <row r="261" customFormat="false" ht="12.75" hidden="false" customHeight="true" outlineLevel="0" collapsed="false">
      <c r="A261" s="1" t="s">
        <v>1314</v>
      </c>
    </row>
    <row r="262" customFormat="false" ht="12.75" hidden="false" customHeight="true" outlineLevel="0" collapsed="false">
      <c r="A262" s="1" t="s">
        <v>1315</v>
      </c>
    </row>
    <row r="263" customFormat="false" ht="12.75" hidden="false" customHeight="true" outlineLevel="0" collapsed="false">
      <c r="A263" s="1" t="s">
        <v>1316</v>
      </c>
    </row>
    <row r="264" customFormat="false" ht="12.75" hidden="false" customHeight="true" outlineLevel="0" collapsed="false"/>
    <row r="265" customFormat="false" ht="12.75" hidden="false" customHeight="true" outlineLevel="0" collapsed="false">
      <c r="A265" s="1" t="s">
        <v>1210</v>
      </c>
    </row>
    <row r="266" customFormat="false" ht="12.75" hidden="false" customHeight="true" outlineLevel="0" collapsed="false">
      <c r="A266" s="1" t="s">
        <v>1317</v>
      </c>
    </row>
    <row r="267" customFormat="false" ht="12.75" hidden="false" customHeight="true" outlineLevel="0" collapsed="false">
      <c r="A267" s="1" t="s">
        <v>1318</v>
      </c>
    </row>
    <row r="268" customFormat="false" ht="12.75" hidden="false" customHeight="true" outlineLevel="0" collapsed="false"/>
    <row r="269" customFormat="false" ht="12.75" hidden="false" customHeight="true" outlineLevel="0" collapsed="false">
      <c r="A269" s="1" t="s">
        <v>1211</v>
      </c>
    </row>
    <row r="270" customFormat="false" ht="12.75" hidden="false" customHeight="true" outlineLevel="0" collapsed="false">
      <c r="A270" s="1" t="s">
        <v>1319</v>
      </c>
    </row>
    <row r="271" customFormat="false" ht="12.75" hidden="false" customHeight="true" outlineLevel="0" collapsed="false">
      <c r="A271" s="1" t="s">
        <v>1320</v>
      </c>
    </row>
    <row r="272" customFormat="false" ht="12.75" hidden="false" customHeight="true" outlineLevel="0" collapsed="false"/>
    <row r="273" customFormat="false" ht="12.75" hidden="false" customHeight="true" outlineLevel="0" collapsed="false">
      <c r="A273" s="1" t="s">
        <v>1212</v>
      </c>
    </row>
    <row r="274" customFormat="false" ht="12.75" hidden="false" customHeight="true" outlineLevel="0" collapsed="false">
      <c r="A274" s="1" t="s">
        <v>1321</v>
      </c>
    </row>
    <row r="275" customFormat="false" ht="12.75" hidden="false" customHeight="true" outlineLevel="0" collapsed="false">
      <c r="A275" s="1" t="s">
        <v>2562</v>
      </c>
    </row>
    <row r="276" customFormat="false" ht="12.75" hidden="false" customHeight="true" outlineLevel="0" collapsed="false">
      <c r="A276" s="0" t="s">
        <v>2536</v>
      </c>
    </row>
    <row r="277" customFormat="false" ht="12.75" hidden="false" customHeight="true" outlineLevel="0" collapsed="false">
      <c r="A277" s="1" t="s">
        <v>2565</v>
      </c>
    </row>
    <row r="278" customFormat="false" ht="12.75" hidden="false" customHeight="true" outlineLevel="0" collapsed="false">
      <c r="A278" s="0" t="s">
        <v>2544</v>
      </c>
    </row>
    <row r="279" customFormat="false" ht="12.75" hidden="false" customHeight="true" outlineLevel="0" collapsed="false">
      <c r="A279" s="1" t="s">
        <v>1311</v>
      </c>
    </row>
    <row r="280" customFormat="false" ht="12.75" hidden="false" customHeight="true" outlineLevel="0" collapsed="false">
      <c r="A280" s="1" t="s">
        <v>1312</v>
      </c>
    </row>
    <row r="281" customFormat="false" ht="12.75" hidden="false" customHeight="true" outlineLevel="0" collapsed="false"/>
    <row r="282" customFormat="false" ht="12.75" hidden="false" customHeight="true" outlineLevel="0" collapsed="false">
      <c r="A282" s="1" t="s">
        <v>1209</v>
      </c>
    </row>
    <row r="283" customFormat="false" ht="12.75" hidden="false" customHeight="true" outlineLevel="0" collapsed="false">
      <c r="A283" s="1" t="s">
        <v>1313</v>
      </c>
    </row>
    <row r="284" customFormat="false" ht="12.75" hidden="false" customHeight="true" outlineLevel="0" collapsed="false">
      <c r="A284" s="1" t="s">
        <v>1314</v>
      </c>
    </row>
    <row r="285" customFormat="false" ht="12.75" hidden="false" customHeight="true" outlineLevel="0" collapsed="false">
      <c r="A285" s="1" t="s">
        <v>1315</v>
      </c>
    </row>
    <row r="286" customFormat="false" ht="12.75" hidden="false" customHeight="true" outlineLevel="0" collapsed="false">
      <c r="A286" s="1" t="s">
        <v>1316</v>
      </c>
    </row>
    <row r="287" customFormat="false" ht="12.75" hidden="false" customHeight="true" outlineLevel="0" collapsed="false"/>
    <row r="288" customFormat="false" ht="12.75" hidden="false" customHeight="true" outlineLevel="0" collapsed="false">
      <c r="A288" s="1" t="s">
        <v>1210</v>
      </c>
    </row>
    <row r="289" customFormat="false" ht="12.75" hidden="false" customHeight="true" outlineLevel="0" collapsed="false">
      <c r="A289" s="1" t="s">
        <v>1326</v>
      </c>
    </row>
    <row r="290" customFormat="false" ht="12.75" hidden="false" customHeight="true" outlineLevel="0" collapsed="false">
      <c r="A290" s="1" t="s">
        <v>1327</v>
      </c>
    </row>
    <row r="291" customFormat="false" ht="12.75" hidden="false" customHeight="true" outlineLevel="0" collapsed="false"/>
    <row r="292" customFormat="false" ht="12.75" hidden="false" customHeight="true" outlineLevel="0" collapsed="false">
      <c r="A292" s="1" t="s">
        <v>1211</v>
      </c>
    </row>
    <row r="293" customFormat="false" ht="12.75" hidden="false" customHeight="true" outlineLevel="0" collapsed="false">
      <c r="A293" s="1" t="s">
        <v>1328</v>
      </c>
    </row>
    <row r="294" customFormat="false" ht="12.75" hidden="false" customHeight="true" outlineLevel="0" collapsed="false">
      <c r="A294" s="1" t="s">
        <v>1329</v>
      </c>
    </row>
    <row r="295" customFormat="false" ht="12.75" hidden="false" customHeight="true" outlineLevel="0" collapsed="false"/>
    <row r="296" customFormat="false" ht="12.75" hidden="false" customHeight="true" outlineLevel="0" collapsed="false">
      <c r="A296" s="1" t="s">
        <v>1212</v>
      </c>
    </row>
    <row r="297" customFormat="false" ht="12.75" hidden="false" customHeight="true" outlineLevel="0" collapsed="false">
      <c r="A297" s="1" t="s">
        <v>1330</v>
      </c>
    </row>
    <row r="298" customFormat="false" ht="12.75" hidden="false" customHeight="true" outlineLevel="0" collapsed="false">
      <c r="A298" s="1" t="s">
        <v>2566</v>
      </c>
    </row>
    <row r="299" customFormat="false" ht="12.75" hidden="false" customHeight="true" outlineLevel="0" collapsed="false">
      <c r="A299" s="0" t="s">
        <v>2536</v>
      </c>
    </row>
    <row r="300" customFormat="false" ht="12.75" hidden="false" customHeight="true" outlineLevel="0" collapsed="false">
      <c r="A300" s="1" t="s">
        <v>2567</v>
      </c>
    </row>
    <row r="301" customFormat="false" ht="12.75" hidden="false" customHeight="true" outlineLevel="0" collapsed="false">
      <c r="A301" s="0" t="s">
        <v>2568</v>
      </c>
    </row>
    <row r="302" customFormat="false" ht="12.75" hidden="false" customHeight="true" outlineLevel="0" collapsed="false">
      <c r="A302" s="1" t="s">
        <v>1333</v>
      </c>
    </row>
    <row r="303" customFormat="false" ht="12.75" hidden="false" customHeight="true" outlineLevel="0" collapsed="false">
      <c r="A303" s="1" t="s">
        <v>1334</v>
      </c>
    </row>
    <row r="304" customFormat="false" ht="12.75" hidden="false" customHeight="true" outlineLevel="0" collapsed="false"/>
    <row r="305" customFormat="false" ht="12.75" hidden="false" customHeight="true" outlineLevel="0" collapsed="false">
      <c r="A305" s="1" t="s">
        <v>1209</v>
      </c>
    </row>
    <row r="306" customFormat="false" ht="12.75" hidden="false" customHeight="true" outlineLevel="0" collapsed="false">
      <c r="A306" s="1" t="s">
        <v>1335</v>
      </c>
    </row>
    <row r="307" customFormat="false" ht="12.75" hidden="false" customHeight="true" outlineLevel="0" collapsed="false">
      <c r="A307" s="1" t="s">
        <v>1336</v>
      </c>
    </row>
    <row r="308" customFormat="false" ht="12.75" hidden="false" customHeight="true" outlineLevel="0" collapsed="false">
      <c r="A308" s="1" t="s">
        <v>1337</v>
      </c>
    </row>
    <row r="309" customFormat="false" ht="12.75" hidden="false" customHeight="true" outlineLevel="0" collapsed="false">
      <c r="A309" s="1" t="s">
        <v>1338</v>
      </c>
    </row>
    <row r="310" customFormat="false" ht="12.75" hidden="false" customHeight="true" outlineLevel="0" collapsed="false"/>
    <row r="311" customFormat="false" ht="12.75" hidden="false" customHeight="true" outlineLevel="0" collapsed="false">
      <c r="A311" s="1" t="s">
        <v>1210</v>
      </c>
    </row>
    <row r="312" customFormat="false" ht="12.75" hidden="false" customHeight="true" outlineLevel="0" collapsed="false">
      <c r="A312" s="1" t="s">
        <v>1339</v>
      </c>
    </row>
    <row r="313" customFormat="false" ht="12.75" hidden="false" customHeight="true" outlineLevel="0" collapsed="false">
      <c r="A313" s="1" t="s">
        <v>1340</v>
      </c>
    </row>
    <row r="314" customFormat="false" ht="12.75" hidden="false" customHeight="true" outlineLevel="0" collapsed="false"/>
    <row r="315" customFormat="false" ht="12.75" hidden="false" customHeight="true" outlineLevel="0" collapsed="false">
      <c r="A315" s="1" t="s">
        <v>1211</v>
      </c>
    </row>
    <row r="316" customFormat="false" ht="12.75" hidden="false" customHeight="true" outlineLevel="0" collapsed="false">
      <c r="A316" s="1" t="s">
        <v>1341</v>
      </c>
    </row>
    <row r="317" customFormat="false" ht="12.75" hidden="false" customHeight="true" outlineLevel="0" collapsed="false">
      <c r="A317" s="1" t="s">
        <v>1342</v>
      </c>
    </row>
    <row r="318" customFormat="false" ht="12.75" hidden="false" customHeight="true" outlineLevel="0" collapsed="false"/>
    <row r="319" customFormat="false" ht="12.75" hidden="false" customHeight="true" outlineLevel="0" collapsed="false">
      <c r="A319" s="1" t="s">
        <v>1212</v>
      </c>
    </row>
    <row r="320" customFormat="false" ht="12.75" hidden="false" customHeight="true" outlineLevel="0" collapsed="false">
      <c r="A320" s="1" t="s">
        <v>1343</v>
      </c>
    </row>
    <row r="321" customFormat="false" ht="12.75" hidden="false" customHeight="true" outlineLevel="0" collapsed="false">
      <c r="A321" s="1" t="s">
        <v>2569</v>
      </c>
    </row>
    <row r="322" customFormat="false" ht="12.75" hidden="false" customHeight="true" outlineLevel="0" collapsed="false">
      <c r="A322" s="0" t="s">
        <v>2570</v>
      </c>
    </row>
    <row r="323" customFormat="false" ht="12.75" hidden="false" customHeight="true" outlineLevel="0" collapsed="false">
      <c r="A323" s="1" t="s">
        <v>1345</v>
      </c>
    </row>
    <row r="324" customFormat="false" ht="12.75" hidden="false" customHeight="true" outlineLevel="0" collapsed="false">
      <c r="A324" s="1" t="s">
        <v>1346</v>
      </c>
    </row>
    <row r="325" customFormat="false" ht="12.75" hidden="false" customHeight="true" outlineLevel="0" collapsed="false">
      <c r="A325" s="1" t="s">
        <v>1347</v>
      </c>
    </row>
    <row r="326" customFormat="false" ht="12.75" hidden="false" customHeight="true" outlineLevel="0" collapsed="false">
      <c r="A326" s="1" t="s">
        <v>2571</v>
      </c>
    </row>
    <row r="327" customFormat="false" ht="12.75" hidden="false" customHeight="true" outlineLevel="0" collapsed="false">
      <c r="A327" s="0" t="s">
        <v>2572</v>
      </c>
    </row>
    <row r="328" customFormat="false" ht="12.75" hidden="false" customHeight="true" outlineLevel="0" collapsed="false">
      <c r="A328" s="1" t="s">
        <v>1349</v>
      </c>
    </row>
    <row r="329" customFormat="false" ht="12.75" hidden="false" customHeight="true" outlineLevel="0" collapsed="false">
      <c r="A329" s="1" t="s">
        <v>1350</v>
      </c>
    </row>
    <row r="330" customFormat="false" ht="12.75" hidden="false" customHeight="true" outlineLevel="0" collapsed="false"/>
    <row r="331" customFormat="false" ht="12.75" hidden="false" customHeight="true" outlineLevel="0" collapsed="false">
      <c r="A331" s="1" t="s">
        <v>1268</v>
      </c>
    </row>
    <row r="332" customFormat="false" ht="12.75" hidden="false" customHeight="true" outlineLevel="0" collapsed="false">
      <c r="A332" s="1" t="s">
        <v>1351</v>
      </c>
    </row>
    <row r="333" customFormat="false" ht="12.75" hidden="false" customHeight="true" outlineLevel="0" collapsed="false">
      <c r="A333" s="1" t="s">
        <v>1352</v>
      </c>
    </row>
    <row r="334" customFormat="false" ht="12.75" hidden="false" customHeight="true" outlineLevel="0" collapsed="false">
      <c r="A334" s="1" t="s">
        <v>1353</v>
      </c>
    </row>
    <row r="335" customFormat="false" ht="12.75" hidden="false" customHeight="true" outlineLevel="0" collapsed="false"/>
    <row r="336" customFormat="false" ht="12.75" hidden="false" customHeight="true" outlineLevel="0" collapsed="false">
      <c r="A336" s="1" t="s">
        <v>1272</v>
      </c>
    </row>
    <row r="337" customFormat="false" ht="12.75" hidden="false" customHeight="true" outlineLevel="0" collapsed="false">
      <c r="A337" s="1" t="s">
        <v>1354</v>
      </c>
    </row>
    <row r="338" customFormat="false" ht="12.75" hidden="false" customHeight="true" outlineLevel="0" collapsed="false">
      <c r="A338" s="1" t="s">
        <v>1355</v>
      </c>
    </row>
    <row r="339" customFormat="false" ht="12.75" hidden="false" customHeight="true" outlineLevel="0" collapsed="false">
      <c r="A339" s="1" t="s">
        <v>1356</v>
      </c>
    </row>
    <row r="340" customFormat="false" ht="12.75" hidden="false" customHeight="true" outlineLevel="0" collapsed="false">
      <c r="A340" s="1" t="s">
        <v>1357</v>
      </c>
    </row>
    <row r="341" customFormat="false" ht="12.75" hidden="false" customHeight="true" outlineLevel="0" collapsed="false">
      <c r="A341" s="1" t="s">
        <v>2573</v>
      </c>
    </row>
    <row r="342" customFormat="false" ht="12.75" hidden="false" customHeight="true" outlineLevel="0" collapsed="false">
      <c r="A342" s="0" t="s">
        <v>2536</v>
      </c>
    </row>
    <row r="343" customFormat="false" ht="12.75" hidden="false" customHeight="true" outlineLevel="0" collapsed="false">
      <c r="A343" s="1" t="s">
        <v>2574</v>
      </c>
    </row>
    <row r="344" customFormat="false" ht="12.75" hidden="false" customHeight="true" outlineLevel="0" collapsed="false">
      <c r="A344" s="0" t="s">
        <v>2568</v>
      </c>
    </row>
    <row r="345" customFormat="false" ht="12.75" hidden="false" customHeight="true" outlineLevel="0" collapsed="false">
      <c r="A345" s="1" t="s">
        <v>1333</v>
      </c>
    </row>
    <row r="346" customFormat="false" ht="12.75" hidden="false" customHeight="true" outlineLevel="0" collapsed="false">
      <c r="A346" s="1" t="s">
        <v>1334</v>
      </c>
    </row>
    <row r="347" customFormat="false" ht="12.75" hidden="false" customHeight="true" outlineLevel="0" collapsed="false"/>
    <row r="348" customFormat="false" ht="12.75" hidden="false" customHeight="true" outlineLevel="0" collapsed="false">
      <c r="A348" s="1" t="s">
        <v>1209</v>
      </c>
    </row>
    <row r="349" customFormat="false" ht="12.75" hidden="false" customHeight="true" outlineLevel="0" collapsed="false">
      <c r="A349" s="1" t="s">
        <v>1335</v>
      </c>
    </row>
    <row r="350" customFormat="false" ht="12.75" hidden="false" customHeight="true" outlineLevel="0" collapsed="false">
      <c r="A350" s="1" t="s">
        <v>1336</v>
      </c>
    </row>
    <row r="351" customFormat="false" ht="12.75" hidden="false" customHeight="true" outlineLevel="0" collapsed="false">
      <c r="A351" s="1" t="s">
        <v>1360</v>
      </c>
    </row>
    <row r="352" customFormat="false" ht="12.75" hidden="false" customHeight="true" outlineLevel="0" collapsed="false">
      <c r="A352" s="1" t="s">
        <v>1361</v>
      </c>
    </row>
    <row r="353" customFormat="false" ht="12.75" hidden="false" customHeight="true" outlineLevel="0" collapsed="false"/>
    <row r="354" customFormat="false" ht="12.75" hidden="false" customHeight="true" outlineLevel="0" collapsed="false">
      <c r="A354" s="1" t="s">
        <v>1210</v>
      </c>
    </row>
    <row r="355" customFormat="false" ht="12.75" hidden="false" customHeight="true" outlineLevel="0" collapsed="false">
      <c r="A355" s="1" t="s">
        <v>1339</v>
      </c>
    </row>
    <row r="356" customFormat="false" ht="12.75" hidden="false" customHeight="true" outlineLevel="0" collapsed="false">
      <c r="A356" s="1" t="s">
        <v>1340</v>
      </c>
    </row>
    <row r="357" customFormat="false" ht="12.75" hidden="false" customHeight="true" outlineLevel="0" collapsed="false"/>
    <row r="358" customFormat="false" ht="12.75" hidden="false" customHeight="true" outlineLevel="0" collapsed="false">
      <c r="A358" s="1" t="s">
        <v>1211</v>
      </c>
    </row>
    <row r="359" customFormat="false" ht="12.75" hidden="false" customHeight="true" outlineLevel="0" collapsed="false">
      <c r="A359" s="1" t="s">
        <v>1362</v>
      </c>
    </row>
    <row r="360" customFormat="false" ht="12.75" hidden="false" customHeight="true" outlineLevel="0" collapsed="false">
      <c r="A360" s="1" t="s">
        <v>1363</v>
      </c>
    </row>
    <row r="361" customFormat="false" ht="12.75" hidden="false" customHeight="true" outlineLevel="0" collapsed="false"/>
    <row r="362" customFormat="false" ht="12.75" hidden="false" customHeight="true" outlineLevel="0" collapsed="false">
      <c r="A362" s="1" t="s">
        <v>1212</v>
      </c>
    </row>
    <row r="363" customFormat="false" ht="12.75" hidden="false" customHeight="true" outlineLevel="0" collapsed="false">
      <c r="A363" s="1" t="s">
        <v>1364</v>
      </c>
    </row>
    <row r="364" customFormat="false" ht="12.75" hidden="false" customHeight="true" outlineLevel="0" collapsed="false">
      <c r="A364" s="1" t="s">
        <v>2575</v>
      </c>
    </row>
    <row r="365" customFormat="false" ht="12.75" hidden="false" customHeight="true" outlineLevel="0" collapsed="false">
      <c r="A365" s="0" t="s">
        <v>2570</v>
      </c>
    </row>
    <row r="366" customFormat="false" ht="12.75" hidden="false" customHeight="true" outlineLevel="0" collapsed="false">
      <c r="A366" s="1" t="s">
        <v>1345</v>
      </c>
    </row>
    <row r="367" customFormat="false" ht="12.75" hidden="false" customHeight="true" outlineLevel="0" collapsed="false">
      <c r="A367" s="1" t="s">
        <v>1346</v>
      </c>
    </row>
    <row r="368" customFormat="false" ht="12.75" hidden="false" customHeight="true" outlineLevel="0" collapsed="false">
      <c r="A368" s="1" t="s">
        <v>1347</v>
      </c>
    </row>
    <row r="369" customFormat="false" ht="12.75" hidden="false" customHeight="true" outlineLevel="0" collapsed="false">
      <c r="A369" s="1" t="s">
        <v>2571</v>
      </c>
    </row>
    <row r="370" customFormat="false" ht="12.75" hidden="false" customHeight="true" outlineLevel="0" collapsed="false">
      <c r="A370" s="0" t="s">
        <v>2572</v>
      </c>
    </row>
    <row r="371" customFormat="false" ht="12.75" hidden="false" customHeight="true" outlineLevel="0" collapsed="false">
      <c r="A371" s="1" t="s">
        <v>1349</v>
      </c>
    </row>
    <row r="372" customFormat="false" ht="12.75" hidden="false" customHeight="true" outlineLevel="0" collapsed="false">
      <c r="A372" s="1" t="s">
        <v>1350</v>
      </c>
    </row>
    <row r="373" customFormat="false" ht="12.75" hidden="false" customHeight="true" outlineLevel="0" collapsed="false"/>
    <row r="374" customFormat="false" ht="12.75" hidden="false" customHeight="true" outlineLevel="0" collapsed="false">
      <c r="A374" s="1" t="s">
        <v>1268</v>
      </c>
    </row>
    <row r="375" customFormat="false" ht="12.75" hidden="false" customHeight="true" outlineLevel="0" collapsed="false">
      <c r="A375" s="1" t="s">
        <v>1351</v>
      </c>
    </row>
    <row r="376" customFormat="false" ht="12.75" hidden="false" customHeight="true" outlineLevel="0" collapsed="false">
      <c r="A376" s="1" t="s">
        <v>1352</v>
      </c>
    </row>
    <row r="377" customFormat="false" ht="12.75" hidden="false" customHeight="true" outlineLevel="0" collapsed="false">
      <c r="A377" s="1" t="s">
        <v>1353</v>
      </c>
    </row>
    <row r="378" customFormat="false" ht="12.75" hidden="false" customHeight="true" outlineLevel="0" collapsed="false"/>
    <row r="379" customFormat="false" ht="12.75" hidden="false" customHeight="true" outlineLevel="0" collapsed="false">
      <c r="A379" s="1" t="s">
        <v>1272</v>
      </c>
    </row>
    <row r="380" customFormat="false" ht="12.75" hidden="false" customHeight="true" outlineLevel="0" collapsed="false">
      <c r="A380" s="1" t="s">
        <v>1354</v>
      </c>
    </row>
    <row r="381" customFormat="false" ht="12.75" hidden="false" customHeight="true" outlineLevel="0" collapsed="false">
      <c r="A381" s="1" t="s">
        <v>1355</v>
      </c>
    </row>
    <row r="382" customFormat="false" ht="12.75" hidden="false" customHeight="true" outlineLevel="0" collapsed="false">
      <c r="A382" s="1" t="s">
        <v>1356</v>
      </c>
    </row>
    <row r="383" customFormat="false" ht="12.75" hidden="false" customHeight="true" outlineLevel="0" collapsed="false">
      <c r="A383" s="1" t="s">
        <v>1357</v>
      </c>
    </row>
    <row r="384" customFormat="false" ht="12.75" hidden="false" customHeight="true" outlineLevel="0" collapsed="false">
      <c r="A384" s="1" t="s">
        <v>2573</v>
      </c>
    </row>
    <row r="385" customFormat="false" ht="12.75" hidden="false" customHeight="true" outlineLevel="0" collapsed="false">
      <c r="A385" s="0" t="s">
        <v>2536</v>
      </c>
    </row>
    <row r="386" customFormat="false" ht="12.75" hidden="false" customHeight="true" outlineLevel="0" collapsed="false">
      <c r="A386" s="1" t="s">
        <v>2576</v>
      </c>
    </row>
    <row r="387" customFormat="false" ht="12.75" hidden="false" customHeight="true" outlineLevel="0" collapsed="false">
      <c r="A387" s="0" t="s">
        <v>2568</v>
      </c>
    </row>
    <row r="388" customFormat="false" ht="12.75" hidden="false" customHeight="true" outlineLevel="0" collapsed="false">
      <c r="A388" s="1" t="s">
        <v>1333</v>
      </c>
    </row>
    <row r="389" customFormat="false" ht="12.75" hidden="false" customHeight="true" outlineLevel="0" collapsed="false">
      <c r="A389" s="1" t="s">
        <v>1334</v>
      </c>
    </row>
    <row r="390" customFormat="false" ht="12.75" hidden="false" customHeight="true" outlineLevel="0" collapsed="false"/>
    <row r="391" customFormat="false" ht="12.75" hidden="false" customHeight="true" outlineLevel="0" collapsed="false">
      <c r="A391" s="1" t="s">
        <v>1209</v>
      </c>
    </row>
    <row r="392" customFormat="false" ht="12.75" hidden="false" customHeight="true" outlineLevel="0" collapsed="false">
      <c r="A392" s="1" t="s">
        <v>1335</v>
      </c>
    </row>
    <row r="393" customFormat="false" ht="12.75" hidden="false" customHeight="true" outlineLevel="0" collapsed="false">
      <c r="A393" s="1" t="s">
        <v>1336</v>
      </c>
    </row>
    <row r="394" customFormat="false" ht="12.75" hidden="false" customHeight="true" outlineLevel="0" collapsed="false">
      <c r="A394" s="1" t="s">
        <v>1367</v>
      </c>
    </row>
    <row r="395" customFormat="false" ht="12.75" hidden="false" customHeight="true" outlineLevel="0" collapsed="false">
      <c r="A395" s="1" t="s">
        <v>1368</v>
      </c>
    </row>
    <row r="396" customFormat="false" ht="12.75" hidden="false" customHeight="true" outlineLevel="0" collapsed="false"/>
    <row r="397" customFormat="false" ht="12.75" hidden="false" customHeight="true" outlineLevel="0" collapsed="false">
      <c r="A397" s="1" t="s">
        <v>1210</v>
      </c>
    </row>
    <row r="398" customFormat="false" ht="12.75" hidden="false" customHeight="true" outlineLevel="0" collapsed="false">
      <c r="A398" s="1" t="s">
        <v>1339</v>
      </c>
    </row>
    <row r="399" customFormat="false" ht="12.75" hidden="false" customHeight="true" outlineLevel="0" collapsed="false">
      <c r="A399" s="1" t="s">
        <v>1340</v>
      </c>
    </row>
    <row r="400" customFormat="false" ht="12.75" hidden="false" customHeight="true" outlineLevel="0" collapsed="false"/>
    <row r="401" customFormat="false" ht="12.75" hidden="false" customHeight="true" outlineLevel="0" collapsed="false">
      <c r="A401" s="1" t="s">
        <v>1211</v>
      </c>
    </row>
    <row r="402" customFormat="false" ht="12.75" hidden="false" customHeight="true" outlineLevel="0" collapsed="false">
      <c r="A402" s="1" t="s">
        <v>1369</v>
      </c>
    </row>
    <row r="403" customFormat="false" ht="12.75" hidden="false" customHeight="true" outlineLevel="0" collapsed="false">
      <c r="A403" s="1" t="s">
        <v>1370</v>
      </c>
    </row>
    <row r="404" customFormat="false" ht="12.75" hidden="false" customHeight="true" outlineLevel="0" collapsed="false"/>
    <row r="405" customFormat="false" ht="12.75" hidden="false" customHeight="true" outlineLevel="0" collapsed="false">
      <c r="A405" s="1" t="s">
        <v>1212</v>
      </c>
    </row>
    <row r="406" customFormat="false" ht="12.75" hidden="false" customHeight="true" outlineLevel="0" collapsed="false">
      <c r="A406" s="1" t="s">
        <v>1371</v>
      </c>
    </row>
    <row r="407" customFormat="false" ht="12.75" hidden="false" customHeight="true" outlineLevel="0" collapsed="false">
      <c r="A407" s="1" t="s">
        <v>2577</v>
      </c>
    </row>
    <row r="408" customFormat="false" ht="12.75" hidden="false" customHeight="true" outlineLevel="0" collapsed="false">
      <c r="A408" s="0" t="s">
        <v>2570</v>
      </c>
    </row>
    <row r="409" customFormat="false" ht="12.75" hidden="false" customHeight="true" outlineLevel="0" collapsed="false">
      <c r="A409" s="1" t="s">
        <v>1345</v>
      </c>
    </row>
    <row r="410" customFormat="false" ht="12.75" hidden="false" customHeight="true" outlineLevel="0" collapsed="false">
      <c r="A410" s="1" t="s">
        <v>1346</v>
      </c>
    </row>
    <row r="411" customFormat="false" ht="12.75" hidden="false" customHeight="true" outlineLevel="0" collapsed="false">
      <c r="A411" s="1" t="s">
        <v>1347</v>
      </c>
    </row>
    <row r="412" customFormat="false" ht="12.75" hidden="false" customHeight="true" outlineLevel="0" collapsed="false">
      <c r="A412" s="1" t="s">
        <v>2571</v>
      </c>
    </row>
    <row r="413" customFormat="false" ht="12.75" hidden="false" customHeight="true" outlineLevel="0" collapsed="false">
      <c r="A413" s="0" t="s">
        <v>2572</v>
      </c>
    </row>
    <row r="414" customFormat="false" ht="12.75" hidden="false" customHeight="true" outlineLevel="0" collapsed="false">
      <c r="A414" s="1" t="s">
        <v>1349</v>
      </c>
    </row>
    <row r="415" customFormat="false" ht="12.75" hidden="false" customHeight="true" outlineLevel="0" collapsed="false">
      <c r="A415" s="1" t="s">
        <v>1350</v>
      </c>
    </row>
    <row r="416" customFormat="false" ht="12.75" hidden="false" customHeight="true" outlineLevel="0" collapsed="false"/>
    <row r="417" customFormat="false" ht="12.75" hidden="false" customHeight="true" outlineLevel="0" collapsed="false">
      <c r="A417" s="1" t="s">
        <v>1268</v>
      </c>
    </row>
    <row r="418" customFormat="false" ht="12.75" hidden="false" customHeight="true" outlineLevel="0" collapsed="false">
      <c r="A418" s="1" t="s">
        <v>1351</v>
      </c>
    </row>
    <row r="419" customFormat="false" ht="12.75" hidden="false" customHeight="true" outlineLevel="0" collapsed="false">
      <c r="A419" s="1" t="s">
        <v>1352</v>
      </c>
    </row>
    <row r="420" customFormat="false" ht="12.75" hidden="false" customHeight="true" outlineLevel="0" collapsed="false">
      <c r="A420" s="1" t="s">
        <v>1353</v>
      </c>
    </row>
    <row r="421" customFormat="false" ht="12.75" hidden="false" customHeight="true" outlineLevel="0" collapsed="false"/>
    <row r="422" customFormat="false" ht="12.75" hidden="false" customHeight="true" outlineLevel="0" collapsed="false">
      <c r="A422" s="1" t="s">
        <v>1272</v>
      </c>
    </row>
    <row r="423" customFormat="false" ht="12.75" hidden="false" customHeight="true" outlineLevel="0" collapsed="false">
      <c r="A423" s="1" t="s">
        <v>1354</v>
      </c>
    </row>
    <row r="424" customFormat="false" ht="12.75" hidden="false" customHeight="true" outlineLevel="0" collapsed="false">
      <c r="A424" s="1" t="s">
        <v>1355</v>
      </c>
    </row>
    <row r="425" customFormat="false" ht="12.75" hidden="false" customHeight="true" outlineLevel="0" collapsed="false">
      <c r="A425" s="1" t="s">
        <v>1356</v>
      </c>
    </row>
    <row r="426" customFormat="false" ht="12.75" hidden="false" customHeight="true" outlineLevel="0" collapsed="false">
      <c r="A426" s="1" t="s">
        <v>1357</v>
      </c>
    </row>
    <row r="427" customFormat="false" ht="12.75" hidden="false" customHeight="true" outlineLevel="0" collapsed="false">
      <c r="A427" s="1" t="s">
        <v>2573</v>
      </c>
    </row>
    <row r="428" customFormat="false" ht="12.75" hidden="false" customHeight="true" outlineLevel="0" collapsed="false">
      <c r="A428" s="0" t="s">
        <v>2536</v>
      </c>
    </row>
    <row r="429" customFormat="false" ht="12.75" hidden="false" customHeight="true" outlineLevel="0" collapsed="false">
      <c r="A429" s="1" t="s">
        <v>2578</v>
      </c>
    </row>
    <row r="430" customFormat="false" ht="12.75" hidden="false" customHeight="true" outlineLevel="0" collapsed="false">
      <c r="A430" s="0" t="s">
        <v>2568</v>
      </c>
    </row>
    <row r="431" customFormat="false" ht="12.75" hidden="false" customHeight="true" outlineLevel="0" collapsed="false">
      <c r="A431" s="1" t="s">
        <v>1333</v>
      </c>
    </row>
    <row r="432" customFormat="false" ht="12.75" hidden="false" customHeight="true" outlineLevel="0" collapsed="false">
      <c r="A432" s="1" t="s">
        <v>1334</v>
      </c>
    </row>
    <row r="433" customFormat="false" ht="12.75" hidden="false" customHeight="true" outlineLevel="0" collapsed="false"/>
    <row r="434" customFormat="false" ht="12.75" hidden="false" customHeight="true" outlineLevel="0" collapsed="false">
      <c r="A434" s="1" t="s">
        <v>1209</v>
      </c>
    </row>
    <row r="435" customFormat="false" ht="12.75" hidden="false" customHeight="true" outlineLevel="0" collapsed="false">
      <c r="A435" s="1" t="s">
        <v>1335</v>
      </c>
    </row>
    <row r="436" customFormat="false" ht="12.75" hidden="false" customHeight="true" outlineLevel="0" collapsed="false">
      <c r="A436" s="1" t="s">
        <v>1336</v>
      </c>
    </row>
    <row r="437" customFormat="false" ht="12.75" hidden="false" customHeight="true" outlineLevel="0" collapsed="false">
      <c r="A437" s="1" t="s">
        <v>1374</v>
      </c>
    </row>
    <row r="438" customFormat="false" ht="12.75" hidden="false" customHeight="true" outlineLevel="0" collapsed="false">
      <c r="A438" s="1" t="s">
        <v>1375</v>
      </c>
    </row>
    <row r="439" customFormat="false" ht="12.75" hidden="false" customHeight="true" outlineLevel="0" collapsed="false"/>
    <row r="440" customFormat="false" ht="12.75" hidden="false" customHeight="true" outlineLevel="0" collapsed="false">
      <c r="A440" s="1" t="s">
        <v>1210</v>
      </c>
    </row>
    <row r="441" customFormat="false" ht="12.75" hidden="false" customHeight="true" outlineLevel="0" collapsed="false">
      <c r="A441" s="1" t="s">
        <v>1339</v>
      </c>
    </row>
    <row r="442" customFormat="false" ht="12.75" hidden="false" customHeight="true" outlineLevel="0" collapsed="false">
      <c r="A442" s="1" t="s">
        <v>1340</v>
      </c>
    </row>
    <row r="443" customFormat="false" ht="12.75" hidden="false" customHeight="true" outlineLevel="0" collapsed="false"/>
    <row r="444" customFormat="false" ht="12.75" hidden="false" customHeight="true" outlineLevel="0" collapsed="false">
      <c r="A444" s="1" t="s">
        <v>1211</v>
      </c>
    </row>
    <row r="445" customFormat="false" ht="12.75" hidden="false" customHeight="true" outlineLevel="0" collapsed="false">
      <c r="A445" s="1" t="s">
        <v>1376</v>
      </c>
    </row>
    <row r="446" customFormat="false" ht="12.75" hidden="false" customHeight="true" outlineLevel="0" collapsed="false">
      <c r="A446" s="1" t="s">
        <v>1377</v>
      </c>
    </row>
    <row r="447" customFormat="false" ht="12.75" hidden="false" customHeight="true" outlineLevel="0" collapsed="false"/>
    <row r="448" customFormat="false" ht="12.75" hidden="false" customHeight="true" outlineLevel="0" collapsed="false">
      <c r="A448" s="1" t="s">
        <v>1212</v>
      </c>
    </row>
    <row r="449" customFormat="false" ht="12.75" hidden="false" customHeight="true" outlineLevel="0" collapsed="false">
      <c r="A449" s="1" t="s">
        <v>1378</v>
      </c>
    </row>
    <row r="450" customFormat="false" ht="12.75" hidden="false" customHeight="true" outlineLevel="0" collapsed="false">
      <c r="A450" s="1" t="s">
        <v>2579</v>
      </c>
    </row>
    <row r="451" customFormat="false" ht="12.75" hidden="false" customHeight="true" outlineLevel="0" collapsed="false">
      <c r="A451" s="0" t="s">
        <v>2570</v>
      </c>
    </row>
    <row r="452" customFormat="false" ht="12.75" hidden="false" customHeight="true" outlineLevel="0" collapsed="false">
      <c r="A452" s="1" t="s">
        <v>1345</v>
      </c>
    </row>
    <row r="453" customFormat="false" ht="12.75" hidden="false" customHeight="true" outlineLevel="0" collapsed="false">
      <c r="A453" s="1" t="s">
        <v>1346</v>
      </c>
    </row>
    <row r="454" customFormat="false" ht="12.75" hidden="false" customHeight="true" outlineLevel="0" collapsed="false">
      <c r="A454" s="1" t="s">
        <v>1347</v>
      </c>
    </row>
    <row r="455" customFormat="false" ht="12.75" hidden="false" customHeight="true" outlineLevel="0" collapsed="false">
      <c r="A455" s="1" t="s">
        <v>2571</v>
      </c>
    </row>
    <row r="456" customFormat="false" ht="12.75" hidden="false" customHeight="true" outlineLevel="0" collapsed="false">
      <c r="A456" s="0" t="s">
        <v>2572</v>
      </c>
    </row>
    <row r="457" customFormat="false" ht="12.75" hidden="false" customHeight="true" outlineLevel="0" collapsed="false">
      <c r="A457" s="1" t="s">
        <v>1349</v>
      </c>
    </row>
    <row r="458" customFormat="false" ht="12.75" hidden="false" customHeight="true" outlineLevel="0" collapsed="false">
      <c r="A458" s="1" t="s">
        <v>1350</v>
      </c>
    </row>
    <row r="459" customFormat="false" ht="12.75" hidden="false" customHeight="true" outlineLevel="0" collapsed="false"/>
    <row r="460" customFormat="false" ht="12.75" hidden="false" customHeight="true" outlineLevel="0" collapsed="false">
      <c r="A460" s="1" t="s">
        <v>1268</v>
      </c>
    </row>
    <row r="461" customFormat="false" ht="12.75" hidden="false" customHeight="true" outlineLevel="0" collapsed="false">
      <c r="A461" s="1" t="s">
        <v>1351</v>
      </c>
    </row>
    <row r="462" customFormat="false" ht="12.75" hidden="false" customHeight="true" outlineLevel="0" collapsed="false">
      <c r="A462" s="1" t="s">
        <v>1352</v>
      </c>
    </row>
    <row r="463" customFormat="false" ht="12.75" hidden="false" customHeight="true" outlineLevel="0" collapsed="false">
      <c r="A463" s="1" t="s">
        <v>1353</v>
      </c>
    </row>
    <row r="464" customFormat="false" ht="12.75" hidden="false" customHeight="true" outlineLevel="0" collapsed="false"/>
    <row r="465" customFormat="false" ht="12.75" hidden="false" customHeight="true" outlineLevel="0" collapsed="false">
      <c r="A465" s="1" t="s">
        <v>1272</v>
      </c>
    </row>
    <row r="466" customFormat="false" ht="12.75" hidden="false" customHeight="true" outlineLevel="0" collapsed="false">
      <c r="A466" s="1" t="s">
        <v>1354</v>
      </c>
    </row>
    <row r="467" customFormat="false" ht="12.75" hidden="false" customHeight="true" outlineLevel="0" collapsed="false">
      <c r="A467" s="1" t="s">
        <v>1355</v>
      </c>
    </row>
    <row r="468" customFormat="false" ht="12.75" hidden="false" customHeight="true" outlineLevel="0" collapsed="false">
      <c r="A468" s="1" t="s">
        <v>1356</v>
      </c>
    </row>
    <row r="469" customFormat="false" ht="12.75" hidden="false" customHeight="true" outlineLevel="0" collapsed="false">
      <c r="A469" s="1" t="s">
        <v>1357</v>
      </c>
    </row>
    <row r="470" customFormat="false" ht="12.75" hidden="false" customHeight="true" outlineLevel="0" collapsed="false">
      <c r="A470" s="1" t="s">
        <v>2573</v>
      </c>
    </row>
    <row r="471" customFormat="false" ht="12.75" hidden="false" customHeight="true" outlineLevel="0" collapsed="false">
      <c r="A471" s="0" t="s">
        <v>2536</v>
      </c>
    </row>
    <row r="472" customFormat="false" ht="12.75" hidden="false" customHeight="true" outlineLevel="0" collapsed="false">
      <c r="A472" s="1" t="s">
        <v>2580</v>
      </c>
    </row>
    <row r="473" customFormat="false" ht="12.75" hidden="false" customHeight="true" outlineLevel="0" collapsed="false">
      <c r="A473" s="0" t="s">
        <v>2541</v>
      </c>
    </row>
    <row r="474" customFormat="false" ht="12.75" hidden="false" customHeight="true" outlineLevel="0" collapsed="false">
      <c r="A474" s="1" t="s">
        <v>1381</v>
      </c>
    </row>
    <row r="475" customFormat="false" ht="12.75" hidden="false" customHeight="true" outlineLevel="0" collapsed="false">
      <c r="A475" s="1" t="s">
        <v>1382</v>
      </c>
    </row>
    <row r="476" customFormat="false" ht="12.75" hidden="false" customHeight="true" outlineLevel="0" collapsed="false"/>
    <row r="477" customFormat="false" ht="12.75" hidden="false" customHeight="true" outlineLevel="0" collapsed="false">
      <c r="A477" s="1" t="s">
        <v>1209</v>
      </c>
    </row>
    <row r="478" customFormat="false" ht="12.75" hidden="false" customHeight="true" outlineLevel="0" collapsed="false">
      <c r="A478" s="1" t="s">
        <v>1383</v>
      </c>
    </row>
    <row r="479" customFormat="false" ht="12.75" hidden="false" customHeight="true" outlineLevel="0" collapsed="false">
      <c r="A479" s="1" t="s">
        <v>1384</v>
      </c>
    </row>
    <row r="480" customFormat="false" ht="12.75" hidden="false" customHeight="true" outlineLevel="0" collapsed="false">
      <c r="A480" s="1" t="s">
        <v>1385</v>
      </c>
    </row>
    <row r="481" customFormat="false" ht="12.75" hidden="false" customHeight="true" outlineLevel="0" collapsed="false">
      <c r="A481" s="1" t="s">
        <v>1386</v>
      </c>
    </row>
    <row r="482" customFormat="false" ht="12.75" hidden="false" customHeight="true" outlineLevel="0" collapsed="false"/>
    <row r="483" customFormat="false" ht="12.75" hidden="false" customHeight="true" outlineLevel="0" collapsed="false">
      <c r="A483" s="1" t="s">
        <v>1210</v>
      </c>
    </row>
    <row r="484" customFormat="false" ht="12.75" hidden="false" customHeight="true" outlineLevel="0" collapsed="false">
      <c r="A484" s="1" t="s">
        <v>1387</v>
      </c>
    </row>
    <row r="485" customFormat="false" ht="12.75" hidden="false" customHeight="true" outlineLevel="0" collapsed="false">
      <c r="A485" s="1" t="s">
        <v>1388</v>
      </c>
    </row>
    <row r="486" customFormat="false" ht="12.75" hidden="false" customHeight="true" outlineLevel="0" collapsed="false"/>
    <row r="487" customFormat="false" ht="12.75" hidden="false" customHeight="true" outlineLevel="0" collapsed="false">
      <c r="A487" s="1" t="s">
        <v>1211</v>
      </c>
    </row>
    <row r="488" customFormat="false" ht="12.75" hidden="false" customHeight="true" outlineLevel="0" collapsed="false">
      <c r="A488" s="1" t="s">
        <v>1389</v>
      </c>
    </row>
    <row r="489" customFormat="false" ht="12.75" hidden="false" customHeight="true" outlineLevel="0" collapsed="false">
      <c r="A489" s="1" t="s">
        <v>1390</v>
      </c>
    </row>
    <row r="490" customFormat="false" ht="12.75" hidden="false" customHeight="true" outlineLevel="0" collapsed="false"/>
    <row r="491" customFormat="false" ht="12.75" hidden="false" customHeight="true" outlineLevel="0" collapsed="false">
      <c r="A491" s="1" t="s">
        <v>1212</v>
      </c>
    </row>
    <row r="492" customFormat="false" ht="12.75" hidden="false" customHeight="true" outlineLevel="0" collapsed="false">
      <c r="A492" s="1" t="s">
        <v>1391</v>
      </c>
    </row>
    <row r="493" customFormat="false" ht="12.75" hidden="false" customHeight="true" outlineLevel="0" collapsed="false">
      <c r="A493" s="1" t="s">
        <v>2581</v>
      </c>
    </row>
    <row r="494" customFormat="false" ht="12.75" hidden="false" customHeight="true" outlineLevel="0" collapsed="false">
      <c r="A494" s="0" t="s">
        <v>2582</v>
      </c>
    </row>
    <row r="495" customFormat="false" ht="12.75" hidden="false" customHeight="true" outlineLevel="0" collapsed="false">
      <c r="A495" s="1" t="s">
        <v>1393</v>
      </c>
    </row>
    <row r="496" customFormat="false" ht="12.75" hidden="false" customHeight="true" outlineLevel="0" collapsed="false">
      <c r="A496" s="1" t="s">
        <v>1394</v>
      </c>
    </row>
    <row r="497" customFormat="false" ht="12.75" hidden="false" customHeight="true" outlineLevel="0" collapsed="false">
      <c r="A497" s="1" t="s">
        <v>1395</v>
      </c>
    </row>
    <row r="498" customFormat="false" ht="12.75" hidden="false" customHeight="true" outlineLevel="0" collapsed="false">
      <c r="A498" s="1" t="s">
        <v>2583</v>
      </c>
    </row>
    <row r="499" customFormat="false" ht="12.75" hidden="false" customHeight="true" outlineLevel="0" collapsed="false">
      <c r="A499" s="0" t="s">
        <v>2572</v>
      </c>
    </row>
    <row r="500" customFormat="false" ht="12.75" hidden="false" customHeight="true" outlineLevel="0" collapsed="false">
      <c r="A500" s="1" t="s">
        <v>1397</v>
      </c>
    </row>
    <row r="501" customFormat="false" ht="12.75" hidden="false" customHeight="true" outlineLevel="0" collapsed="false">
      <c r="A501" s="1" t="s">
        <v>1398</v>
      </c>
    </row>
    <row r="502" customFormat="false" ht="12.75" hidden="false" customHeight="true" outlineLevel="0" collapsed="false"/>
    <row r="503" customFormat="false" ht="12.75" hidden="false" customHeight="true" outlineLevel="0" collapsed="false">
      <c r="A503" s="1" t="s">
        <v>1268</v>
      </c>
    </row>
    <row r="504" customFormat="false" ht="12.75" hidden="false" customHeight="true" outlineLevel="0" collapsed="false">
      <c r="A504" s="1" t="s">
        <v>1399</v>
      </c>
    </row>
    <row r="505" customFormat="false" ht="12.75" hidden="false" customHeight="true" outlineLevel="0" collapsed="false">
      <c r="A505" s="1" t="s">
        <v>1400</v>
      </c>
    </row>
    <row r="506" customFormat="false" ht="12.75" hidden="false" customHeight="true" outlineLevel="0" collapsed="false">
      <c r="A506" s="1" t="s">
        <v>1401</v>
      </c>
    </row>
    <row r="507" customFormat="false" ht="12.75" hidden="false" customHeight="true" outlineLevel="0" collapsed="false"/>
    <row r="508" customFormat="false" ht="12.75" hidden="false" customHeight="true" outlineLevel="0" collapsed="false">
      <c r="A508" s="1" t="s">
        <v>1272</v>
      </c>
    </row>
    <row r="509" customFormat="false" ht="12.75" hidden="false" customHeight="true" outlineLevel="0" collapsed="false">
      <c r="A509" s="1" t="s">
        <v>1402</v>
      </c>
    </row>
    <row r="510" customFormat="false" ht="12.75" hidden="false" customHeight="true" outlineLevel="0" collapsed="false">
      <c r="A510" s="1" t="s">
        <v>1403</v>
      </c>
    </row>
    <row r="511" customFormat="false" ht="12.75" hidden="false" customHeight="true" outlineLevel="0" collapsed="false">
      <c r="A511" s="1" t="s">
        <v>1404</v>
      </c>
    </row>
    <row r="512" customFormat="false" ht="12.75" hidden="false" customHeight="true" outlineLevel="0" collapsed="false">
      <c r="A512" s="1" t="s">
        <v>1405</v>
      </c>
    </row>
    <row r="513" customFormat="false" ht="12.75" hidden="false" customHeight="true" outlineLevel="0" collapsed="false">
      <c r="A513" s="1" t="s">
        <v>2584</v>
      </c>
    </row>
    <row r="514" customFormat="false" ht="12.75" hidden="false" customHeight="true" outlineLevel="0" collapsed="false">
      <c r="A514" s="0" t="s">
        <v>2536</v>
      </c>
    </row>
    <row r="515" customFormat="false" ht="12.75" hidden="false" customHeight="true" outlineLevel="0" collapsed="false">
      <c r="A515" s="1" t="s">
        <v>2585</v>
      </c>
    </row>
    <row r="516" customFormat="false" ht="12.75" hidden="false" customHeight="true" outlineLevel="0" collapsed="false">
      <c r="A516" s="0" t="s">
        <v>2541</v>
      </c>
    </row>
    <row r="517" customFormat="false" ht="12.75" hidden="false" customHeight="true" outlineLevel="0" collapsed="false">
      <c r="A517" s="1" t="s">
        <v>1381</v>
      </c>
    </row>
    <row r="518" customFormat="false" ht="12.75" hidden="false" customHeight="true" outlineLevel="0" collapsed="false">
      <c r="A518" s="1" t="s">
        <v>1382</v>
      </c>
    </row>
    <row r="519" customFormat="false" ht="12.75" hidden="false" customHeight="true" outlineLevel="0" collapsed="false"/>
    <row r="520" customFormat="false" ht="12.75" hidden="false" customHeight="true" outlineLevel="0" collapsed="false">
      <c r="A520" s="1" t="s">
        <v>1209</v>
      </c>
    </row>
    <row r="521" customFormat="false" ht="12.75" hidden="false" customHeight="true" outlineLevel="0" collapsed="false">
      <c r="A521" s="1" t="s">
        <v>1383</v>
      </c>
    </row>
    <row r="522" customFormat="false" ht="12.75" hidden="false" customHeight="true" outlineLevel="0" collapsed="false">
      <c r="A522" s="1" t="s">
        <v>1384</v>
      </c>
    </row>
    <row r="523" customFormat="false" ht="12.75" hidden="false" customHeight="true" outlineLevel="0" collapsed="false">
      <c r="A523" s="1" t="s">
        <v>1385</v>
      </c>
    </row>
    <row r="524" customFormat="false" ht="12.75" hidden="false" customHeight="true" outlineLevel="0" collapsed="false">
      <c r="A524" s="1" t="s">
        <v>1386</v>
      </c>
    </row>
    <row r="525" customFormat="false" ht="12.75" hidden="false" customHeight="true" outlineLevel="0" collapsed="false"/>
    <row r="526" customFormat="false" ht="12.75" hidden="false" customHeight="true" outlineLevel="0" collapsed="false">
      <c r="A526" s="1" t="s">
        <v>1210</v>
      </c>
    </row>
    <row r="527" customFormat="false" ht="12.75" hidden="false" customHeight="true" outlineLevel="0" collapsed="false">
      <c r="A527" s="1" t="s">
        <v>1387</v>
      </c>
    </row>
    <row r="528" customFormat="false" ht="12.75" hidden="false" customHeight="true" outlineLevel="0" collapsed="false">
      <c r="A528" s="1" t="s">
        <v>1388</v>
      </c>
    </row>
    <row r="529" customFormat="false" ht="12.75" hidden="false" customHeight="true" outlineLevel="0" collapsed="false"/>
    <row r="530" customFormat="false" ht="12.75" hidden="false" customHeight="true" outlineLevel="0" collapsed="false">
      <c r="A530" s="1" t="s">
        <v>1211</v>
      </c>
    </row>
    <row r="531" customFormat="false" ht="12.75" hidden="false" customHeight="true" outlineLevel="0" collapsed="false">
      <c r="A531" s="1" t="s">
        <v>1389</v>
      </c>
    </row>
    <row r="532" customFormat="false" ht="12.75" hidden="false" customHeight="true" outlineLevel="0" collapsed="false">
      <c r="A532" s="1" t="s">
        <v>1390</v>
      </c>
    </row>
    <row r="533" customFormat="false" ht="12.75" hidden="false" customHeight="true" outlineLevel="0" collapsed="false"/>
    <row r="534" customFormat="false" ht="12.75" hidden="false" customHeight="true" outlineLevel="0" collapsed="false">
      <c r="A534" s="1" t="s">
        <v>1212</v>
      </c>
    </row>
    <row r="535" customFormat="false" ht="12.75" hidden="false" customHeight="true" outlineLevel="0" collapsed="false">
      <c r="A535" s="1" t="s">
        <v>1391</v>
      </c>
    </row>
    <row r="536" customFormat="false" ht="12.75" hidden="false" customHeight="true" outlineLevel="0" collapsed="false">
      <c r="A536" s="1" t="s">
        <v>2586</v>
      </c>
    </row>
    <row r="537" customFormat="false" ht="12.75" hidden="false" customHeight="true" outlineLevel="0" collapsed="false">
      <c r="A537" s="0" t="s">
        <v>2536</v>
      </c>
    </row>
    <row r="538" customFormat="false" ht="12.75" hidden="false" customHeight="true" outlineLevel="0" collapsed="false">
      <c r="A538" s="1" t="s">
        <v>2587</v>
      </c>
    </row>
    <row r="539" customFormat="false" ht="12.75" hidden="false" customHeight="true" outlineLevel="0" collapsed="false">
      <c r="A539" s="0" t="s">
        <v>2541</v>
      </c>
    </row>
    <row r="540" customFormat="false" ht="12.75" hidden="false" customHeight="true" outlineLevel="0" collapsed="false">
      <c r="A540" s="1" t="s">
        <v>1381</v>
      </c>
    </row>
    <row r="541" customFormat="false" ht="12.75" hidden="false" customHeight="true" outlineLevel="0" collapsed="false">
      <c r="A541" s="1" t="s">
        <v>1382</v>
      </c>
    </row>
    <row r="542" customFormat="false" ht="12.75" hidden="false" customHeight="true" outlineLevel="0" collapsed="false"/>
    <row r="543" customFormat="false" ht="12.75" hidden="false" customHeight="true" outlineLevel="0" collapsed="false">
      <c r="A543" s="1" t="s">
        <v>1209</v>
      </c>
    </row>
    <row r="544" customFormat="false" ht="12.75" hidden="false" customHeight="true" outlineLevel="0" collapsed="false">
      <c r="A544" s="1" t="s">
        <v>1383</v>
      </c>
    </row>
    <row r="545" customFormat="false" ht="12.75" hidden="false" customHeight="true" outlineLevel="0" collapsed="false">
      <c r="A545" s="1" t="s">
        <v>1384</v>
      </c>
    </row>
    <row r="546" customFormat="false" ht="12.75" hidden="false" customHeight="true" outlineLevel="0" collapsed="false">
      <c r="A546" s="1" t="s">
        <v>1385</v>
      </c>
    </row>
    <row r="547" customFormat="false" ht="12.75" hidden="false" customHeight="true" outlineLevel="0" collapsed="false">
      <c r="A547" s="1" t="s">
        <v>1386</v>
      </c>
    </row>
    <row r="548" customFormat="false" ht="12.75" hidden="false" customHeight="true" outlineLevel="0" collapsed="false"/>
    <row r="549" customFormat="false" ht="12.75" hidden="false" customHeight="true" outlineLevel="0" collapsed="false">
      <c r="A549" s="1" t="s">
        <v>1210</v>
      </c>
    </row>
    <row r="550" customFormat="false" ht="12.75" hidden="false" customHeight="true" outlineLevel="0" collapsed="false">
      <c r="A550" s="1" t="s">
        <v>1387</v>
      </c>
    </row>
    <row r="551" customFormat="false" ht="12.75" hidden="false" customHeight="true" outlineLevel="0" collapsed="false">
      <c r="A551" s="1" t="s">
        <v>1388</v>
      </c>
    </row>
    <row r="552" customFormat="false" ht="12.75" hidden="false" customHeight="true" outlineLevel="0" collapsed="false"/>
    <row r="553" customFormat="false" ht="12.75" hidden="false" customHeight="true" outlineLevel="0" collapsed="false">
      <c r="A553" s="1" t="s">
        <v>1211</v>
      </c>
    </row>
    <row r="554" customFormat="false" ht="12.75" hidden="false" customHeight="true" outlineLevel="0" collapsed="false">
      <c r="A554" s="1" t="s">
        <v>1389</v>
      </c>
    </row>
    <row r="555" customFormat="false" ht="12.75" hidden="false" customHeight="true" outlineLevel="0" collapsed="false">
      <c r="A555" s="1" t="s">
        <v>1390</v>
      </c>
    </row>
    <row r="556" customFormat="false" ht="12.75" hidden="false" customHeight="true" outlineLevel="0" collapsed="false"/>
    <row r="557" customFormat="false" ht="12.75" hidden="false" customHeight="true" outlineLevel="0" collapsed="false">
      <c r="A557" s="1" t="s">
        <v>1212</v>
      </c>
    </row>
    <row r="558" customFormat="false" ht="12.75" hidden="false" customHeight="true" outlineLevel="0" collapsed="false">
      <c r="A558" s="1" t="s">
        <v>1391</v>
      </c>
    </row>
    <row r="559" customFormat="false" ht="12.75" hidden="false" customHeight="true" outlineLevel="0" collapsed="false">
      <c r="A559" s="1" t="s">
        <v>2581</v>
      </c>
    </row>
    <row r="560" customFormat="false" ht="12.75" hidden="false" customHeight="true" outlineLevel="0" collapsed="false">
      <c r="A560" s="0" t="s">
        <v>2582</v>
      </c>
    </row>
    <row r="561" customFormat="false" ht="12.75" hidden="false" customHeight="true" outlineLevel="0" collapsed="false">
      <c r="A561" s="1" t="s">
        <v>1393</v>
      </c>
    </row>
    <row r="562" customFormat="false" ht="12.75" hidden="false" customHeight="true" outlineLevel="0" collapsed="false">
      <c r="A562" s="1" t="s">
        <v>1394</v>
      </c>
    </row>
    <row r="563" customFormat="false" ht="12.75" hidden="false" customHeight="true" outlineLevel="0" collapsed="false">
      <c r="A563" s="1" t="s">
        <v>1395</v>
      </c>
    </row>
    <row r="564" customFormat="false" ht="12.75" hidden="false" customHeight="true" outlineLevel="0" collapsed="false">
      <c r="A564" s="1" t="s">
        <v>2583</v>
      </c>
    </row>
    <row r="565" customFormat="false" ht="12.75" hidden="false" customHeight="true" outlineLevel="0" collapsed="false">
      <c r="A565" s="0" t="s">
        <v>2572</v>
      </c>
    </row>
    <row r="566" customFormat="false" ht="12.75" hidden="false" customHeight="true" outlineLevel="0" collapsed="false">
      <c r="A566" s="1" t="s">
        <v>1397</v>
      </c>
    </row>
    <row r="567" customFormat="false" ht="12.75" hidden="false" customHeight="true" outlineLevel="0" collapsed="false">
      <c r="A567" s="1" t="s">
        <v>1398</v>
      </c>
    </row>
    <row r="568" customFormat="false" ht="12.75" hidden="false" customHeight="true" outlineLevel="0" collapsed="false"/>
    <row r="569" customFormat="false" ht="12.75" hidden="false" customHeight="true" outlineLevel="0" collapsed="false">
      <c r="A569" s="1" t="s">
        <v>1268</v>
      </c>
    </row>
    <row r="570" customFormat="false" ht="12.75" hidden="false" customHeight="true" outlineLevel="0" collapsed="false">
      <c r="A570" s="1" t="s">
        <v>1399</v>
      </c>
    </row>
    <row r="571" customFormat="false" ht="12.75" hidden="false" customHeight="true" outlineLevel="0" collapsed="false">
      <c r="A571" s="1" t="s">
        <v>1400</v>
      </c>
    </row>
    <row r="572" customFormat="false" ht="12.75" hidden="false" customHeight="true" outlineLevel="0" collapsed="false">
      <c r="A572" s="1" t="s">
        <v>1401</v>
      </c>
    </row>
    <row r="573" customFormat="false" ht="12.75" hidden="false" customHeight="true" outlineLevel="0" collapsed="false"/>
    <row r="574" customFormat="false" ht="12.75" hidden="false" customHeight="true" outlineLevel="0" collapsed="false">
      <c r="A574" s="1" t="s">
        <v>1272</v>
      </c>
    </row>
    <row r="575" customFormat="false" ht="12.75" hidden="false" customHeight="true" outlineLevel="0" collapsed="false">
      <c r="A575" s="1" t="s">
        <v>1402</v>
      </c>
    </row>
    <row r="576" customFormat="false" ht="12.75" hidden="false" customHeight="true" outlineLevel="0" collapsed="false">
      <c r="A576" s="1" t="s">
        <v>1403</v>
      </c>
    </row>
    <row r="577" customFormat="false" ht="12.75" hidden="false" customHeight="true" outlineLevel="0" collapsed="false">
      <c r="A577" s="1" t="s">
        <v>1404</v>
      </c>
    </row>
    <row r="578" customFormat="false" ht="12.75" hidden="false" customHeight="true" outlineLevel="0" collapsed="false">
      <c r="A578" s="1" t="s">
        <v>1405</v>
      </c>
    </row>
    <row r="579" customFormat="false" ht="12.75" hidden="false" customHeight="true" outlineLevel="0" collapsed="false">
      <c r="A579" s="1" t="s">
        <v>2584</v>
      </c>
    </row>
    <row r="580" customFormat="false" ht="12.75" hidden="false" customHeight="true" outlineLevel="0" collapsed="false">
      <c r="A580" s="0" t="s">
        <v>2536</v>
      </c>
    </row>
    <row r="581" customFormat="false" ht="12.75" hidden="false" customHeight="true" outlineLevel="0" collapsed="false">
      <c r="A581" s="1" t="s">
        <v>2588</v>
      </c>
    </row>
    <row r="582" customFormat="false" ht="12.75" hidden="false" customHeight="true" outlineLevel="0" collapsed="false">
      <c r="A582" s="0" t="s">
        <v>2541</v>
      </c>
    </row>
    <row r="583" customFormat="false" ht="12.75" hidden="false" customHeight="true" outlineLevel="0" collapsed="false">
      <c r="A583" s="1" t="s">
        <v>1411</v>
      </c>
    </row>
    <row r="584" customFormat="false" ht="12.75" hidden="false" customHeight="true" outlineLevel="0" collapsed="false">
      <c r="A584" s="1" t="s">
        <v>1412</v>
      </c>
    </row>
    <row r="585" customFormat="false" ht="12.75" hidden="false" customHeight="true" outlineLevel="0" collapsed="false"/>
    <row r="586" customFormat="false" ht="12.75" hidden="false" customHeight="true" outlineLevel="0" collapsed="false">
      <c r="A586" s="1" t="s">
        <v>1209</v>
      </c>
    </row>
    <row r="587" customFormat="false" ht="12.75" hidden="false" customHeight="true" outlineLevel="0" collapsed="false">
      <c r="A587" s="1" t="s">
        <v>1413</v>
      </c>
    </row>
    <row r="588" customFormat="false" ht="12.75" hidden="false" customHeight="true" outlineLevel="0" collapsed="false">
      <c r="A588" s="1" t="s">
        <v>1414</v>
      </c>
    </row>
    <row r="589" customFormat="false" ht="12.75" hidden="false" customHeight="true" outlineLevel="0" collapsed="false">
      <c r="A589" s="1" t="s">
        <v>1415</v>
      </c>
    </row>
    <row r="590" customFormat="false" ht="12.75" hidden="false" customHeight="true" outlineLevel="0" collapsed="false">
      <c r="A590" s="1" t="s">
        <v>1416</v>
      </c>
    </row>
    <row r="591" customFormat="false" ht="12.75" hidden="false" customHeight="true" outlineLevel="0" collapsed="false"/>
    <row r="592" customFormat="false" ht="12.75" hidden="false" customHeight="true" outlineLevel="0" collapsed="false">
      <c r="A592" s="1" t="s">
        <v>1210</v>
      </c>
    </row>
    <row r="593" customFormat="false" ht="12.75" hidden="false" customHeight="true" outlineLevel="0" collapsed="false">
      <c r="A593" s="1" t="s">
        <v>1417</v>
      </c>
    </row>
    <row r="594" customFormat="false" ht="12.75" hidden="false" customHeight="true" outlineLevel="0" collapsed="false">
      <c r="A594" s="1" t="s">
        <v>1418</v>
      </c>
    </row>
    <row r="595" customFormat="false" ht="12.75" hidden="false" customHeight="true" outlineLevel="0" collapsed="false"/>
    <row r="596" customFormat="false" ht="12.75" hidden="false" customHeight="true" outlineLevel="0" collapsed="false">
      <c r="A596" s="1" t="s">
        <v>1211</v>
      </c>
    </row>
    <row r="597" customFormat="false" ht="12.75" hidden="false" customHeight="true" outlineLevel="0" collapsed="false">
      <c r="A597" s="1" t="s">
        <v>1419</v>
      </c>
    </row>
    <row r="598" customFormat="false" ht="12.75" hidden="false" customHeight="true" outlineLevel="0" collapsed="false">
      <c r="A598" s="1" t="s">
        <v>1420</v>
      </c>
    </row>
    <row r="599" customFormat="false" ht="12.75" hidden="false" customHeight="true" outlineLevel="0" collapsed="false"/>
    <row r="600" customFormat="false" ht="12.75" hidden="false" customHeight="true" outlineLevel="0" collapsed="false">
      <c r="A600" s="1" t="s">
        <v>1212</v>
      </c>
    </row>
    <row r="601" customFormat="false" ht="12.75" hidden="false" customHeight="true" outlineLevel="0" collapsed="false">
      <c r="A601" s="1" t="s">
        <v>1421</v>
      </c>
    </row>
    <row r="602" customFormat="false" ht="12.75" hidden="false" customHeight="true" outlineLevel="0" collapsed="false">
      <c r="A602" s="1" t="s">
        <v>2589</v>
      </c>
    </row>
    <row r="603" customFormat="false" ht="12.75" hidden="false" customHeight="true" outlineLevel="0" collapsed="false">
      <c r="A603" s="0" t="s">
        <v>2536</v>
      </c>
    </row>
    <row r="604" customFormat="false" ht="12.75" hidden="false" customHeight="true" outlineLevel="0" collapsed="false">
      <c r="A604" s="1" t="s">
        <v>2590</v>
      </c>
    </row>
    <row r="605" customFormat="false" ht="12.75" hidden="false" customHeight="true" outlineLevel="0" collapsed="false">
      <c r="A605" s="0" t="s">
        <v>2541</v>
      </c>
    </row>
    <row r="606" customFormat="false" ht="12.75" hidden="false" customHeight="true" outlineLevel="0" collapsed="false">
      <c r="A606" s="1" t="s">
        <v>1411</v>
      </c>
    </row>
    <row r="607" customFormat="false" ht="12.75" hidden="false" customHeight="true" outlineLevel="0" collapsed="false">
      <c r="A607" s="1" t="s">
        <v>1412</v>
      </c>
    </row>
    <row r="608" customFormat="false" ht="12.75" hidden="false" customHeight="true" outlineLevel="0" collapsed="false"/>
    <row r="609" customFormat="false" ht="12.75" hidden="false" customHeight="true" outlineLevel="0" collapsed="false">
      <c r="A609" s="1" t="s">
        <v>1209</v>
      </c>
    </row>
    <row r="610" customFormat="false" ht="12.75" hidden="false" customHeight="true" outlineLevel="0" collapsed="false">
      <c r="A610" s="1" t="s">
        <v>1413</v>
      </c>
    </row>
    <row r="611" customFormat="false" ht="12.75" hidden="false" customHeight="true" outlineLevel="0" collapsed="false">
      <c r="A611" s="1" t="s">
        <v>1414</v>
      </c>
    </row>
    <row r="612" customFormat="false" ht="12.75" hidden="false" customHeight="true" outlineLevel="0" collapsed="false">
      <c r="A612" s="1" t="s">
        <v>1415</v>
      </c>
    </row>
    <row r="613" customFormat="false" ht="12.75" hidden="false" customHeight="true" outlineLevel="0" collapsed="false">
      <c r="A613" s="1" t="s">
        <v>1416</v>
      </c>
    </row>
    <row r="614" customFormat="false" ht="12.75" hidden="false" customHeight="true" outlineLevel="0" collapsed="false"/>
    <row r="615" customFormat="false" ht="12.75" hidden="false" customHeight="true" outlineLevel="0" collapsed="false">
      <c r="A615" s="1" t="s">
        <v>1210</v>
      </c>
    </row>
    <row r="616" customFormat="false" ht="12.75" hidden="false" customHeight="true" outlineLevel="0" collapsed="false">
      <c r="A616" s="1" t="s">
        <v>1417</v>
      </c>
    </row>
    <row r="617" customFormat="false" ht="12.75" hidden="false" customHeight="true" outlineLevel="0" collapsed="false">
      <c r="A617" s="1" t="s">
        <v>1418</v>
      </c>
    </row>
    <row r="618" customFormat="false" ht="12.75" hidden="false" customHeight="true" outlineLevel="0" collapsed="false"/>
    <row r="619" customFormat="false" ht="12.75" hidden="false" customHeight="true" outlineLevel="0" collapsed="false">
      <c r="A619" s="1" t="s">
        <v>1211</v>
      </c>
    </row>
    <row r="620" customFormat="false" ht="12.75" hidden="false" customHeight="true" outlineLevel="0" collapsed="false">
      <c r="A620" s="1" t="s">
        <v>1419</v>
      </c>
    </row>
    <row r="621" customFormat="false" ht="12.75" hidden="false" customHeight="true" outlineLevel="0" collapsed="false">
      <c r="A621" s="1" t="s">
        <v>1420</v>
      </c>
    </row>
    <row r="622" customFormat="false" ht="12.75" hidden="false" customHeight="true" outlineLevel="0" collapsed="false"/>
    <row r="623" customFormat="false" ht="12.75" hidden="false" customHeight="true" outlineLevel="0" collapsed="false">
      <c r="A623" s="1" t="s">
        <v>1212</v>
      </c>
    </row>
    <row r="624" customFormat="false" ht="12.75" hidden="false" customHeight="true" outlineLevel="0" collapsed="false">
      <c r="A624" s="1" t="s">
        <v>1421</v>
      </c>
    </row>
    <row r="625" customFormat="false" ht="12.75" hidden="false" customHeight="true" outlineLevel="0" collapsed="false">
      <c r="A625" s="1" t="s">
        <v>2591</v>
      </c>
    </row>
    <row r="626" customFormat="false" ht="12.75" hidden="false" customHeight="true" outlineLevel="0" collapsed="false">
      <c r="A626" s="0" t="s">
        <v>2592</v>
      </c>
    </row>
    <row r="627" customFormat="false" ht="12.75" hidden="false" customHeight="true" outlineLevel="0" collapsed="false">
      <c r="A627" s="1" t="s">
        <v>1425</v>
      </c>
    </row>
    <row r="628" customFormat="false" ht="12.75" hidden="false" customHeight="true" outlineLevel="0" collapsed="false">
      <c r="A628" s="1" t="s">
        <v>1426</v>
      </c>
    </row>
    <row r="629" customFormat="false" ht="12.75" hidden="false" customHeight="true" outlineLevel="0" collapsed="false">
      <c r="A629" s="1" t="s">
        <v>1427</v>
      </c>
    </row>
    <row r="630" customFormat="false" ht="12.75" hidden="false" customHeight="true" outlineLevel="0" collapsed="false">
      <c r="A630" s="1" t="s">
        <v>2593</v>
      </c>
    </row>
    <row r="631" customFormat="false" ht="12.75" hidden="false" customHeight="true" outlineLevel="0" collapsed="false">
      <c r="A631" s="0" t="s">
        <v>2536</v>
      </c>
    </row>
    <row r="632" customFormat="false" ht="12.75" hidden="false" customHeight="true" outlineLevel="0" collapsed="false">
      <c r="A632" s="1" t="s">
        <v>2594</v>
      </c>
    </row>
    <row r="633" customFormat="false" ht="12.75" hidden="false" customHeight="true" outlineLevel="0" collapsed="false">
      <c r="A633" s="0" t="s">
        <v>2541</v>
      </c>
    </row>
    <row r="634" customFormat="false" ht="12.75" hidden="false" customHeight="true" outlineLevel="0" collapsed="false">
      <c r="A634" s="1" t="s">
        <v>1430</v>
      </c>
    </row>
    <row r="635" customFormat="false" ht="12.75" hidden="false" customHeight="true" outlineLevel="0" collapsed="false">
      <c r="A635" s="1" t="s">
        <v>1431</v>
      </c>
    </row>
    <row r="636" customFormat="false" ht="12.75" hidden="false" customHeight="true" outlineLevel="0" collapsed="false"/>
    <row r="637" customFormat="false" ht="12.75" hidden="false" customHeight="true" outlineLevel="0" collapsed="false">
      <c r="A637" s="1" t="s">
        <v>1209</v>
      </c>
    </row>
    <row r="638" customFormat="false" ht="12.75" hidden="false" customHeight="true" outlineLevel="0" collapsed="false">
      <c r="A638" s="1" t="s">
        <v>1432</v>
      </c>
    </row>
    <row r="639" customFormat="false" ht="12.75" hidden="false" customHeight="true" outlineLevel="0" collapsed="false">
      <c r="A639" s="1" t="s">
        <v>1433</v>
      </c>
    </row>
    <row r="640" customFormat="false" ht="12.75" hidden="false" customHeight="true" outlineLevel="0" collapsed="false">
      <c r="A640" s="1" t="s">
        <v>1434</v>
      </c>
    </row>
    <row r="641" customFormat="false" ht="12.75" hidden="false" customHeight="true" outlineLevel="0" collapsed="false">
      <c r="A641" s="1" t="s">
        <v>1435</v>
      </c>
    </row>
    <row r="642" customFormat="false" ht="12.75" hidden="false" customHeight="true" outlineLevel="0" collapsed="false"/>
    <row r="643" customFormat="false" ht="12.75" hidden="false" customHeight="true" outlineLevel="0" collapsed="false">
      <c r="A643" s="1" t="s">
        <v>1210</v>
      </c>
    </row>
    <row r="644" customFormat="false" ht="12.75" hidden="false" customHeight="true" outlineLevel="0" collapsed="false">
      <c r="A644" s="1" t="s">
        <v>1436</v>
      </c>
    </row>
    <row r="645" customFormat="false" ht="12.75" hidden="false" customHeight="true" outlineLevel="0" collapsed="false">
      <c r="A645" s="1" t="s">
        <v>1437</v>
      </c>
    </row>
    <row r="646" customFormat="false" ht="12.75" hidden="false" customHeight="true" outlineLevel="0" collapsed="false"/>
    <row r="647" customFormat="false" ht="12.75" hidden="false" customHeight="true" outlineLevel="0" collapsed="false">
      <c r="A647" s="1" t="s">
        <v>1211</v>
      </c>
    </row>
    <row r="648" customFormat="false" ht="12.75" hidden="false" customHeight="true" outlineLevel="0" collapsed="false">
      <c r="A648" s="1" t="s">
        <v>1438</v>
      </c>
    </row>
    <row r="649" customFormat="false" ht="12.75" hidden="false" customHeight="true" outlineLevel="0" collapsed="false">
      <c r="A649" s="1" t="s">
        <v>1439</v>
      </c>
    </row>
    <row r="650" customFormat="false" ht="12.75" hidden="false" customHeight="true" outlineLevel="0" collapsed="false"/>
    <row r="651" customFormat="false" ht="12.75" hidden="false" customHeight="true" outlineLevel="0" collapsed="false">
      <c r="A651" s="1" t="s">
        <v>1212</v>
      </c>
    </row>
    <row r="652" customFormat="false" ht="12.75" hidden="false" customHeight="true" outlineLevel="0" collapsed="false">
      <c r="A652" s="1" t="s">
        <v>1440</v>
      </c>
    </row>
    <row r="653" customFormat="false" ht="12.75" hidden="false" customHeight="true" outlineLevel="0" collapsed="false">
      <c r="A653" s="1" t="s">
        <v>2595</v>
      </c>
    </row>
    <row r="654" customFormat="false" ht="12.75" hidden="false" customHeight="true" outlineLevel="0" collapsed="false">
      <c r="A654" s="0" t="s">
        <v>2536</v>
      </c>
    </row>
    <row r="655" customFormat="false" ht="12.75" hidden="false" customHeight="true" outlineLevel="0" collapsed="false">
      <c r="A655" s="1" t="s">
        <v>2596</v>
      </c>
    </row>
    <row r="656" customFormat="false" ht="12.75" hidden="false" customHeight="true" outlineLevel="0" collapsed="false">
      <c r="A656" s="0" t="s">
        <v>2541</v>
      </c>
    </row>
    <row r="657" customFormat="false" ht="12.75" hidden="false" customHeight="true" outlineLevel="0" collapsed="false">
      <c r="A657" s="1" t="s">
        <v>1430</v>
      </c>
    </row>
    <row r="658" customFormat="false" ht="12.75" hidden="false" customHeight="true" outlineLevel="0" collapsed="false">
      <c r="A658" s="1" t="s">
        <v>1431</v>
      </c>
    </row>
    <row r="659" customFormat="false" ht="12.75" hidden="false" customHeight="true" outlineLevel="0" collapsed="false"/>
    <row r="660" customFormat="false" ht="12.75" hidden="false" customHeight="true" outlineLevel="0" collapsed="false">
      <c r="A660" s="1" t="s">
        <v>1209</v>
      </c>
    </row>
    <row r="661" customFormat="false" ht="12.75" hidden="false" customHeight="true" outlineLevel="0" collapsed="false">
      <c r="A661" s="1" t="s">
        <v>1432</v>
      </c>
    </row>
    <row r="662" customFormat="false" ht="12.75" hidden="false" customHeight="true" outlineLevel="0" collapsed="false">
      <c r="A662" s="1" t="s">
        <v>1433</v>
      </c>
    </row>
    <row r="663" customFormat="false" ht="12.75" hidden="false" customHeight="true" outlineLevel="0" collapsed="false">
      <c r="A663" s="1" t="s">
        <v>1434</v>
      </c>
    </row>
    <row r="664" customFormat="false" ht="12.75" hidden="false" customHeight="true" outlineLevel="0" collapsed="false">
      <c r="A664" s="1" t="s">
        <v>1435</v>
      </c>
    </row>
    <row r="665" customFormat="false" ht="12.75" hidden="false" customHeight="true" outlineLevel="0" collapsed="false"/>
    <row r="666" customFormat="false" ht="12.75" hidden="false" customHeight="true" outlineLevel="0" collapsed="false">
      <c r="A666" s="1" t="s">
        <v>1210</v>
      </c>
    </row>
    <row r="667" customFormat="false" ht="12.75" hidden="false" customHeight="true" outlineLevel="0" collapsed="false">
      <c r="A667" s="1" t="s">
        <v>1436</v>
      </c>
    </row>
    <row r="668" customFormat="false" ht="12.75" hidden="false" customHeight="true" outlineLevel="0" collapsed="false">
      <c r="A668" s="1" t="s">
        <v>1437</v>
      </c>
    </row>
    <row r="669" customFormat="false" ht="12.75" hidden="false" customHeight="true" outlineLevel="0" collapsed="false"/>
    <row r="670" customFormat="false" ht="12.75" hidden="false" customHeight="true" outlineLevel="0" collapsed="false">
      <c r="A670" s="1" t="s">
        <v>1211</v>
      </c>
    </row>
    <row r="671" customFormat="false" ht="12.75" hidden="false" customHeight="true" outlineLevel="0" collapsed="false">
      <c r="A671" s="1" t="s">
        <v>1438</v>
      </c>
    </row>
    <row r="672" customFormat="false" ht="12.75" hidden="false" customHeight="true" outlineLevel="0" collapsed="false">
      <c r="A672" s="1" t="s">
        <v>1439</v>
      </c>
    </row>
    <row r="673" customFormat="false" ht="12.75" hidden="false" customHeight="true" outlineLevel="0" collapsed="false"/>
    <row r="674" customFormat="false" ht="12.75" hidden="false" customHeight="true" outlineLevel="0" collapsed="false">
      <c r="A674" s="1" t="s">
        <v>1212</v>
      </c>
    </row>
    <row r="675" customFormat="false" ht="12.75" hidden="false" customHeight="true" outlineLevel="0" collapsed="false">
      <c r="A675" s="1" t="s">
        <v>1440</v>
      </c>
    </row>
    <row r="676" customFormat="false" ht="12.75" hidden="false" customHeight="true" outlineLevel="0" collapsed="false">
      <c r="A676" s="1" t="s">
        <v>2597</v>
      </c>
    </row>
    <row r="677" customFormat="false" ht="12.75" hidden="false" customHeight="true" outlineLevel="0" collapsed="false">
      <c r="A677" s="0" t="s">
        <v>2536</v>
      </c>
    </row>
    <row r="678" customFormat="false" ht="12.75" hidden="false" customHeight="true" outlineLevel="0" collapsed="false">
      <c r="A678" s="1" t="s">
        <v>2598</v>
      </c>
    </row>
    <row r="679" customFormat="false" ht="12.75" hidden="false" customHeight="true" outlineLevel="0" collapsed="false">
      <c r="A679" s="0" t="s">
        <v>2541</v>
      </c>
    </row>
    <row r="680" customFormat="false" ht="12.75" hidden="false" customHeight="true" outlineLevel="0" collapsed="false">
      <c r="A680" s="1" t="s">
        <v>1430</v>
      </c>
    </row>
    <row r="681" customFormat="false" ht="12.75" hidden="false" customHeight="true" outlineLevel="0" collapsed="false">
      <c r="A681" s="1" t="s">
        <v>1431</v>
      </c>
    </row>
    <row r="682" customFormat="false" ht="12.75" hidden="false" customHeight="true" outlineLevel="0" collapsed="false"/>
    <row r="683" customFormat="false" ht="12.75" hidden="false" customHeight="true" outlineLevel="0" collapsed="false">
      <c r="A683" s="1" t="s">
        <v>1209</v>
      </c>
    </row>
    <row r="684" customFormat="false" ht="12.75" hidden="false" customHeight="true" outlineLevel="0" collapsed="false">
      <c r="A684" s="1" t="s">
        <v>1432</v>
      </c>
    </row>
    <row r="685" customFormat="false" ht="12.75" hidden="false" customHeight="true" outlineLevel="0" collapsed="false">
      <c r="A685" s="1" t="s">
        <v>1433</v>
      </c>
    </row>
    <row r="686" customFormat="false" ht="12.75" hidden="false" customHeight="true" outlineLevel="0" collapsed="false">
      <c r="A686" s="1" t="s">
        <v>1434</v>
      </c>
    </row>
    <row r="687" customFormat="false" ht="12.75" hidden="false" customHeight="true" outlineLevel="0" collapsed="false">
      <c r="A687" s="1" t="s">
        <v>1435</v>
      </c>
    </row>
    <row r="688" customFormat="false" ht="12.75" hidden="false" customHeight="true" outlineLevel="0" collapsed="false"/>
    <row r="689" customFormat="false" ht="12.75" hidden="false" customHeight="true" outlineLevel="0" collapsed="false">
      <c r="A689" s="1" t="s">
        <v>1210</v>
      </c>
    </row>
    <row r="690" customFormat="false" ht="12.75" hidden="false" customHeight="true" outlineLevel="0" collapsed="false">
      <c r="A690" s="1" t="s">
        <v>1436</v>
      </c>
    </row>
    <row r="691" customFormat="false" ht="12.75" hidden="false" customHeight="true" outlineLevel="0" collapsed="false">
      <c r="A691" s="1" t="s">
        <v>1437</v>
      </c>
    </row>
    <row r="692" customFormat="false" ht="12.75" hidden="false" customHeight="true" outlineLevel="0" collapsed="false"/>
    <row r="693" customFormat="false" ht="12.75" hidden="false" customHeight="true" outlineLevel="0" collapsed="false">
      <c r="A693" s="1" t="s">
        <v>1211</v>
      </c>
    </row>
    <row r="694" customFormat="false" ht="12.75" hidden="false" customHeight="true" outlineLevel="0" collapsed="false">
      <c r="A694" s="1" t="s">
        <v>1438</v>
      </c>
    </row>
    <row r="695" customFormat="false" ht="12.75" hidden="false" customHeight="true" outlineLevel="0" collapsed="false">
      <c r="A695" s="1" t="s">
        <v>1439</v>
      </c>
    </row>
    <row r="696" customFormat="false" ht="12.75" hidden="false" customHeight="true" outlineLevel="0" collapsed="false"/>
    <row r="697" customFormat="false" ht="12.75" hidden="false" customHeight="true" outlineLevel="0" collapsed="false">
      <c r="A697" s="1" t="s">
        <v>1212</v>
      </c>
    </row>
    <row r="698" customFormat="false" ht="12.75" hidden="false" customHeight="true" outlineLevel="0" collapsed="false">
      <c r="A698" s="1" t="s">
        <v>1440</v>
      </c>
    </row>
    <row r="699" customFormat="false" ht="12.75" hidden="false" customHeight="true" outlineLevel="0" collapsed="false">
      <c r="A699" s="1" t="s">
        <v>2597</v>
      </c>
    </row>
    <row r="700" customFormat="false" ht="12.75" hidden="false" customHeight="true" outlineLevel="0" collapsed="false">
      <c r="A700" s="0" t="s">
        <v>2536</v>
      </c>
    </row>
    <row r="701" customFormat="false" ht="12.75" hidden="false" customHeight="true" outlineLevel="0" collapsed="false">
      <c r="A701" s="1" t="s">
        <v>2599</v>
      </c>
    </row>
    <row r="702" customFormat="false" ht="12.75" hidden="false" customHeight="true" outlineLevel="0" collapsed="false">
      <c r="A702" s="0" t="s">
        <v>2541</v>
      </c>
    </row>
    <row r="703" customFormat="false" ht="12.75" hidden="false" customHeight="true" outlineLevel="0" collapsed="false">
      <c r="A703" s="1" t="s">
        <v>1430</v>
      </c>
    </row>
    <row r="704" customFormat="false" ht="12.75" hidden="false" customHeight="true" outlineLevel="0" collapsed="false">
      <c r="A704" s="1" t="s">
        <v>1431</v>
      </c>
    </row>
    <row r="705" customFormat="false" ht="12.75" hidden="false" customHeight="true" outlineLevel="0" collapsed="false"/>
    <row r="706" customFormat="false" ht="12.75" hidden="false" customHeight="true" outlineLevel="0" collapsed="false">
      <c r="A706" s="1" t="s">
        <v>1209</v>
      </c>
    </row>
    <row r="707" customFormat="false" ht="12.75" hidden="false" customHeight="true" outlineLevel="0" collapsed="false">
      <c r="A707" s="1" t="s">
        <v>1432</v>
      </c>
    </row>
    <row r="708" customFormat="false" ht="12.75" hidden="false" customHeight="true" outlineLevel="0" collapsed="false">
      <c r="A708" s="1" t="s">
        <v>1433</v>
      </c>
    </row>
    <row r="709" customFormat="false" ht="12.75" hidden="false" customHeight="true" outlineLevel="0" collapsed="false">
      <c r="A709" s="1" t="s">
        <v>1434</v>
      </c>
    </row>
    <row r="710" customFormat="false" ht="12.75" hidden="false" customHeight="true" outlineLevel="0" collapsed="false">
      <c r="A710" s="1" t="s">
        <v>1435</v>
      </c>
    </row>
    <row r="711" customFormat="false" ht="12.75" hidden="false" customHeight="true" outlineLevel="0" collapsed="false"/>
    <row r="712" customFormat="false" ht="12.75" hidden="false" customHeight="true" outlineLevel="0" collapsed="false">
      <c r="A712" s="1" t="s">
        <v>1210</v>
      </c>
    </row>
    <row r="713" customFormat="false" ht="12.75" hidden="false" customHeight="true" outlineLevel="0" collapsed="false">
      <c r="A713" s="1" t="s">
        <v>1436</v>
      </c>
    </row>
    <row r="714" customFormat="false" ht="12.75" hidden="false" customHeight="true" outlineLevel="0" collapsed="false">
      <c r="A714" s="1" t="s">
        <v>1437</v>
      </c>
    </row>
    <row r="715" customFormat="false" ht="12.75" hidden="false" customHeight="true" outlineLevel="0" collapsed="false"/>
    <row r="716" customFormat="false" ht="12.75" hidden="false" customHeight="true" outlineLevel="0" collapsed="false">
      <c r="A716" s="1" t="s">
        <v>1211</v>
      </c>
    </row>
    <row r="717" customFormat="false" ht="12.75" hidden="false" customHeight="true" outlineLevel="0" collapsed="false">
      <c r="A717" s="1" t="s">
        <v>1438</v>
      </c>
    </row>
    <row r="718" customFormat="false" ht="12.75" hidden="false" customHeight="true" outlineLevel="0" collapsed="false">
      <c r="A718" s="1" t="s">
        <v>1439</v>
      </c>
    </row>
    <row r="719" customFormat="false" ht="12.75" hidden="false" customHeight="true" outlineLevel="0" collapsed="false"/>
    <row r="720" customFormat="false" ht="12.75" hidden="false" customHeight="true" outlineLevel="0" collapsed="false">
      <c r="A720" s="1" t="s">
        <v>1212</v>
      </c>
    </row>
    <row r="721" customFormat="false" ht="12.75" hidden="false" customHeight="true" outlineLevel="0" collapsed="false">
      <c r="A721" s="1" t="s">
        <v>1440</v>
      </c>
    </row>
    <row r="722" customFormat="false" ht="12.75" hidden="false" customHeight="true" outlineLevel="0" collapsed="false">
      <c r="A722" s="1" t="s">
        <v>2600</v>
      </c>
    </row>
    <row r="723" customFormat="false" ht="12.75" hidden="false" customHeight="true" outlineLevel="0" collapsed="false">
      <c r="A723" s="0" t="s">
        <v>2601</v>
      </c>
    </row>
    <row r="724" customFormat="false" ht="12.75" hidden="false" customHeight="true" outlineLevel="0" collapsed="false">
      <c r="A724" s="1" t="s">
        <v>1447</v>
      </c>
    </row>
    <row r="725" customFormat="false" ht="12.75" hidden="false" customHeight="true" outlineLevel="0" collapsed="false">
      <c r="A725" s="1" t="s">
        <v>1448</v>
      </c>
    </row>
    <row r="726" customFormat="false" ht="12.75" hidden="false" customHeight="true" outlineLevel="0" collapsed="false">
      <c r="A726" s="1" t="s">
        <v>1449</v>
      </c>
    </row>
    <row r="727" customFormat="false" ht="12.75" hidden="false" customHeight="true" outlineLevel="0" collapsed="false">
      <c r="A727" s="1" t="s">
        <v>2602</v>
      </c>
    </row>
    <row r="728" customFormat="false" ht="12.75" hidden="false" customHeight="true" outlineLevel="0" collapsed="false">
      <c r="A728" s="0" t="s">
        <v>2572</v>
      </c>
    </row>
    <row r="729" customFormat="false" ht="12.75" hidden="false" customHeight="true" outlineLevel="0" collapsed="false">
      <c r="A729" s="1" t="s">
        <v>1451</v>
      </c>
    </row>
    <row r="730" customFormat="false" ht="12.75" hidden="false" customHeight="true" outlineLevel="0" collapsed="false">
      <c r="A730" s="1" t="s">
        <v>1452</v>
      </c>
    </row>
    <row r="731" customFormat="false" ht="12.75" hidden="false" customHeight="true" outlineLevel="0" collapsed="false"/>
    <row r="732" customFormat="false" ht="12.75" hidden="false" customHeight="true" outlineLevel="0" collapsed="false">
      <c r="A732" s="1" t="s">
        <v>1268</v>
      </c>
    </row>
    <row r="733" customFormat="false" ht="12.75" hidden="false" customHeight="true" outlineLevel="0" collapsed="false">
      <c r="A733" s="1" t="s">
        <v>1453</v>
      </c>
    </row>
    <row r="734" customFormat="false" ht="12.75" hidden="false" customHeight="true" outlineLevel="0" collapsed="false">
      <c r="A734" s="1" t="s">
        <v>1454</v>
      </c>
    </row>
    <row r="735" customFormat="false" ht="12.75" hidden="false" customHeight="true" outlineLevel="0" collapsed="false">
      <c r="A735" s="1" t="s">
        <v>1455</v>
      </c>
    </row>
    <row r="736" customFormat="false" ht="12.75" hidden="false" customHeight="true" outlineLevel="0" collapsed="false"/>
    <row r="737" customFormat="false" ht="12.75" hidden="false" customHeight="true" outlineLevel="0" collapsed="false">
      <c r="A737" s="1" t="s">
        <v>1272</v>
      </c>
    </row>
    <row r="738" customFormat="false" ht="12.75" hidden="false" customHeight="true" outlineLevel="0" collapsed="false">
      <c r="A738" s="1" t="s">
        <v>1456</v>
      </c>
    </row>
    <row r="739" customFormat="false" ht="12.75" hidden="false" customHeight="true" outlineLevel="0" collapsed="false">
      <c r="A739" s="1" t="s">
        <v>1457</v>
      </c>
    </row>
    <row r="740" customFormat="false" ht="12.75" hidden="false" customHeight="true" outlineLevel="0" collapsed="false">
      <c r="A740" s="1" t="s">
        <v>1458</v>
      </c>
    </row>
    <row r="741" customFormat="false" ht="12.75" hidden="false" customHeight="true" outlineLevel="0" collapsed="false">
      <c r="A741" s="1" t="s">
        <v>1459</v>
      </c>
    </row>
    <row r="742" customFormat="false" ht="12.75" hidden="false" customHeight="true" outlineLevel="0" collapsed="false">
      <c r="A742" s="1" t="s">
        <v>2603</v>
      </c>
    </row>
    <row r="743" customFormat="false" ht="12.75" hidden="false" customHeight="true" outlineLevel="0" collapsed="false">
      <c r="A743" s="0" t="s">
        <v>2536</v>
      </c>
    </row>
    <row r="744" customFormat="false" ht="12.75" hidden="false" customHeight="true" outlineLevel="0" collapsed="false">
      <c r="A744" s="1" t="s">
        <v>2604</v>
      </c>
    </row>
    <row r="745" customFormat="false" ht="12.75" hidden="false" customHeight="true" outlineLevel="0" collapsed="false">
      <c r="A745" s="0" t="s">
        <v>2541</v>
      </c>
    </row>
    <row r="746" customFormat="false" ht="12.75" hidden="false" customHeight="true" outlineLevel="0" collapsed="false">
      <c r="A746" s="1" t="s">
        <v>1430</v>
      </c>
    </row>
    <row r="747" customFormat="false" ht="12.75" hidden="false" customHeight="true" outlineLevel="0" collapsed="false">
      <c r="A747" s="1" t="s">
        <v>1431</v>
      </c>
    </row>
    <row r="748" customFormat="false" ht="12.75" hidden="false" customHeight="true" outlineLevel="0" collapsed="false"/>
    <row r="749" customFormat="false" ht="12.75" hidden="false" customHeight="true" outlineLevel="0" collapsed="false">
      <c r="A749" s="1" t="s">
        <v>1209</v>
      </c>
    </row>
    <row r="750" customFormat="false" ht="12.75" hidden="false" customHeight="true" outlineLevel="0" collapsed="false">
      <c r="A750" s="1" t="s">
        <v>1432</v>
      </c>
    </row>
    <row r="751" customFormat="false" ht="12.75" hidden="false" customHeight="true" outlineLevel="0" collapsed="false">
      <c r="A751" s="1" t="s">
        <v>1433</v>
      </c>
    </row>
    <row r="752" customFormat="false" ht="12.75" hidden="false" customHeight="true" outlineLevel="0" collapsed="false">
      <c r="A752" s="1" t="s">
        <v>1434</v>
      </c>
    </row>
    <row r="753" customFormat="false" ht="12.75" hidden="false" customHeight="true" outlineLevel="0" collapsed="false">
      <c r="A753" s="1" t="s">
        <v>1435</v>
      </c>
    </row>
    <row r="754" customFormat="false" ht="12.75" hidden="false" customHeight="true" outlineLevel="0" collapsed="false"/>
    <row r="755" customFormat="false" ht="12.75" hidden="false" customHeight="true" outlineLevel="0" collapsed="false">
      <c r="A755" s="1" t="s">
        <v>1210</v>
      </c>
    </row>
    <row r="756" customFormat="false" ht="12.75" hidden="false" customHeight="true" outlineLevel="0" collapsed="false">
      <c r="A756" s="1" t="s">
        <v>1436</v>
      </c>
    </row>
    <row r="757" customFormat="false" ht="12.75" hidden="false" customHeight="true" outlineLevel="0" collapsed="false">
      <c r="A757" s="1" t="s">
        <v>1437</v>
      </c>
    </row>
    <row r="758" customFormat="false" ht="12.75" hidden="false" customHeight="true" outlineLevel="0" collapsed="false"/>
    <row r="759" customFormat="false" ht="12.75" hidden="false" customHeight="true" outlineLevel="0" collapsed="false">
      <c r="A759" s="1" t="s">
        <v>1211</v>
      </c>
    </row>
    <row r="760" customFormat="false" ht="12.75" hidden="false" customHeight="true" outlineLevel="0" collapsed="false">
      <c r="A760" s="1" t="s">
        <v>1438</v>
      </c>
    </row>
    <row r="761" customFormat="false" ht="12.75" hidden="false" customHeight="true" outlineLevel="0" collapsed="false">
      <c r="A761" s="1" t="s">
        <v>1439</v>
      </c>
    </row>
    <row r="762" customFormat="false" ht="12.75" hidden="false" customHeight="true" outlineLevel="0" collapsed="false"/>
    <row r="763" customFormat="false" ht="12.75" hidden="false" customHeight="true" outlineLevel="0" collapsed="false">
      <c r="A763" s="1" t="s">
        <v>1212</v>
      </c>
    </row>
    <row r="764" customFormat="false" ht="12.75" hidden="false" customHeight="true" outlineLevel="0" collapsed="false">
      <c r="A764" s="1" t="s">
        <v>1440</v>
      </c>
    </row>
    <row r="765" customFormat="false" ht="12.75" hidden="false" customHeight="true" outlineLevel="0" collapsed="false">
      <c r="A765" s="1" t="s">
        <v>2600</v>
      </c>
    </row>
    <row r="766" customFormat="false" ht="12.75" hidden="false" customHeight="true" outlineLevel="0" collapsed="false">
      <c r="A766" s="0" t="s">
        <v>2601</v>
      </c>
    </row>
    <row r="767" customFormat="false" ht="12.75" hidden="false" customHeight="true" outlineLevel="0" collapsed="false">
      <c r="A767" s="1" t="s">
        <v>1447</v>
      </c>
    </row>
    <row r="768" customFormat="false" ht="12.75" hidden="false" customHeight="true" outlineLevel="0" collapsed="false">
      <c r="A768" s="1" t="s">
        <v>1448</v>
      </c>
    </row>
    <row r="769" customFormat="false" ht="12.75" hidden="false" customHeight="true" outlineLevel="0" collapsed="false">
      <c r="A769" s="1" t="s">
        <v>1449</v>
      </c>
    </row>
    <row r="770" customFormat="false" ht="12.75" hidden="false" customHeight="true" outlineLevel="0" collapsed="false">
      <c r="A770" s="1" t="s">
        <v>2602</v>
      </c>
    </row>
    <row r="771" customFormat="false" ht="12.75" hidden="false" customHeight="true" outlineLevel="0" collapsed="false">
      <c r="A771" s="0" t="s">
        <v>2572</v>
      </c>
    </row>
    <row r="772" customFormat="false" ht="12.75" hidden="false" customHeight="true" outlineLevel="0" collapsed="false">
      <c r="A772" s="1" t="s">
        <v>1451</v>
      </c>
    </row>
    <row r="773" customFormat="false" ht="12.75" hidden="false" customHeight="true" outlineLevel="0" collapsed="false">
      <c r="A773" s="1" t="s">
        <v>1452</v>
      </c>
    </row>
    <row r="774" customFormat="false" ht="12.75" hidden="false" customHeight="true" outlineLevel="0" collapsed="false"/>
    <row r="775" customFormat="false" ht="12.75" hidden="false" customHeight="true" outlineLevel="0" collapsed="false">
      <c r="A775" s="1" t="s">
        <v>1268</v>
      </c>
    </row>
    <row r="776" customFormat="false" ht="12.75" hidden="false" customHeight="true" outlineLevel="0" collapsed="false">
      <c r="A776" s="1" t="s">
        <v>1453</v>
      </c>
    </row>
    <row r="777" customFormat="false" ht="12.75" hidden="false" customHeight="true" outlineLevel="0" collapsed="false">
      <c r="A777" s="1" t="s">
        <v>1454</v>
      </c>
    </row>
    <row r="778" customFormat="false" ht="12.75" hidden="false" customHeight="true" outlineLevel="0" collapsed="false">
      <c r="A778" s="1" t="s">
        <v>1455</v>
      </c>
    </row>
    <row r="779" customFormat="false" ht="12.75" hidden="false" customHeight="true" outlineLevel="0" collapsed="false"/>
    <row r="780" customFormat="false" ht="12.75" hidden="false" customHeight="true" outlineLevel="0" collapsed="false">
      <c r="A780" s="1" t="s">
        <v>1272</v>
      </c>
    </row>
    <row r="781" customFormat="false" ht="12.75" hidden="false" customHeight="true" outlineLevel="0" collapsed="false">
      <c r="A781" s="1" t="s">
        <v>1456</v>
      </c>
    </row>
    <row r="782" customFormat="false" ht="12.75" hidden="false" customHeight="true" outlineLevel="0" collapsed="false">
      <c r="A782" s="1" t="s">
        <v>1457</v>
      </c>
    </row>
    <row r="783" customFormat="false" ht="12.75" hidden="false" customHeight="true" outlineLevel="0" collapsed="false">
      <c r="A783" s="1" t="s">
        <v>1458</v>
      </c>
    </row>
    <row r="784" customFormat="false" ht="12.75" hidden="false" customHeight="true" outlineLevel="0" collapsed="false">
      <c r="A784" s="1" t="s">
        <v>1459</v>
      </c>
    </row>
    <row r="785" customFormat="false" ht="12.75" hidden="false" customHeight="true" outlineLevel="0" collapsed="false">
      <c r="A785" s="1" t="s">
        <v>2603</v>
      </c>
    </row>
    <row r="786" customFormat="false" ht="12.75" hidden="false" customHeight="true" outlineLevel="0" collapsed="false">
      <c r="A786" s="0" t="s">
        <v>2536</v>
      </c>
    </row>
    <row r="787" customFormat="false" ht="12.75" hidden="false" customHeight="true" outlineLevel="0" collapsed="false">
      <c r="A787" s="1" t="s">
        <v>2605</v>
      </c>
    </row>
    <row r="788" customFormat="false" ht="12.75" hidden="false" customHeight="true" outlineLevel="0" collapsed="false">
      <c r="A788" s="0" t="s">
        <v>2606</v>
      </c>
    </row>
    <row r="789" customFormat="false" ht="12.75" hidden="false" customHeight="true" outlineLevel="0" collapsed="false">
      <c r="A789" s="1" t="s">
        <v>1463</v>
      </c>
    </row>
    <row r="790" customFormat="false" ht="12.75" hidden="false" customHeight="true" outlineLevel="0" collapsed="false">
      <c r="A790" s="1" t="s">
        <v>1464</v>
      </c>
    </row>
    <row r="791" customFormat="false" ht="12.75" hidden="false" customHeight="true" outlineLevel="0" collapsed="false"/>
    <row r="792" customFormat="false" ht="12.75" hidden="false" customHeight="true" outlineLevel="0" collapsed="false">
      <c r="A792" s="1" t="s">
        <v>1209</v>
      </c>
    </row>
    <row r="793" customFormat="false" ht="12.75" hidden="false" customHeight="true" outlineLevel="0" collapsed="false">
      <c r="A793" s="1" t="s">
        <v>1465</v>
      </c>
    </row>
    <row r="794" customFormat="false" ht="12.75" hidden="false" customHeight="true" outlineLevel="0" collapsed="false">
      <c r="A794" s="1" t="s">
        <v>1466</v>
      </c>
    </row>
    <row r="795" customFormat="false" ht="12.75" hidden="false" customHeight="true" outlineLevel="0" collapsed="false">
      <c r="A795" s="1" t="s">
        <v>1467</v>
      </c>
    </row>
    <row r="796" customFormat="false" ht="12.75" hidden="false" customHeight="true" outlineLevel="0" collapsed="false">
      <c r="A796" s="1" t="s">
        <v>1468</v>
      </c>
    </row>
    <row r="797" customFormat="false" ht="12.75" hidden="false" customHeight="true" outlineLevel="0" collapsed="false"/>
    <row r="798" customFormat="false" ht="12.75" hidden="false" customHeight="true" outlineLevel="0" collapsed="false">
      <c r="A798" s="1" t="s">
        <v>1210</v>
      </c>
    </row>
    <row r="799" customFormat="false" ht="12.75" hidden="false" customHeight="true" outlineLevel="0" collapsed="false">
      <c r="A799" s="1" t="s">
        <v>1469</v>
      </c>
    </row>
    <row r="800" customFormat="false" ht="12.75" hidden="false" customHeight="true" outlineLevel="0" collapsed="false">
      <c r="A800" s="1" t="s">
        <v>1470</v>
      </c>
    </row>
    <row r="801" customFormat="false" ht="12.75" hidden="false" customHeight="true" outlineLevel="0" collapsed="false"/>
    <row r="802" customFormat="false" ht="12.75" hidden="false" customHeight="true" outlineLevel="0" collapsed="false">
      <c r="A802" s="1" t="s">
        <v>1211</v>
      </c>
    </row>
    <row r="803" customFormat="false" ht="12.75" hidden="false" customHeight="true" outlineLevel="0" collapsed="false">
      <c r="A803" s="1" t="s">
        <v>1471</v>
      </c>
    </row>
    <row r="804" customFormat="false" ht="12.75" hidden="false" customHeight="true" outlineLevel="0" collapsed="false">
      <c r="A804" s="1" t="s">
        <v>1472</v>
      </c>
    </row>
    <row r="805" customFormat="false" ht="12.75" hidden="false" customHeight="true" outlineLevel="0" collapsed="false"/>
    <row r="806" customFormat="false" ht="12.75" hidden="false" customHeight="true" outlineLevel="0" collapsed="false">
      <c r="A806" s="1" t="s">
        <v>1212</v>
      </c>
    </row>
    <row r="807" customFormat="false" ht="12.75" hidden="false" customHeight="true" outlineLevel="0" collapsed="false">
      <c r="A807" s="1" t="s">
        <v>1473</v>
      </c>
    </row>
    <row r="808" customFormat="false" ht="12.75" hidden="false" customHeight="true" outlineLevel="0" collapsed="false">
      <c r="A808" s="1" t="s">
        <v>2607</v>
      </c>
    </row>
    <row r="809" customFormat="false" ht="12.75" hidden="false" customHeight="true" outlineLevel="0" collapsed="false">
      <c r="A809" s="0" t="s">
        <v>2536</v>
      </c>
    </row>
    <row r="810" customFormat="false" ht="12.75" hidden="false" customHeight="true" outlineLevel="0" collapsed="false">
      <c r="A810" s="1" t="s">
        <v>2608</v>
      </c>
    </row>
    <row r="811" customFormat="false" ht="12.75" hidden="false" customHeight="true" outlineLevel="0" collapsed="false">
      <c r="A811" s="0" t="s">
        <v>2609</v>
      </c>
    </row>
    <row r="812" customFormat="false" ht="12.75" hidden="false" customHeight="true" outlineLevel="0" collapsed="false">
      <c r="A812" s="1" t="s">
        <v>1463</v>
      </c>
    </row>
    <row r="813" customFormat="false" ht="12.75" hidden="false" customHeight="true" outlineLevel="0" collapsed="false">
      <c r="A813" s="1" t="s">
        <v>1464</v>
      </c>
    </row>
    <row r="814" customFormat="false" ht="12.75" hidden="false" customHeight="true" outlineLevel="0" collapsed="false"/>
    <row r="815" customFormat="false" ht="12.75" hidden="false" customHeight="true" outlineLevel="0" collapsed="false">
      <c r="A815" s="1" t="s">
        <v>1209</v>
      </c>
    </row>
    <row r="816" customFormat="false" ht="12.75" hidden="false" customHeight="true" outlineLevel="0" collapsed="false">
      <c r="A816" s="1" t="s">
        <v>1465</v>
      </c>
    </row>
    <row r="817" customFormat="false" ht="12.75" hidden="false" customHeight="true" outlineLevel="0" collapsed="false">
      <c r="A817" s="1" t="s">
        <v>1466</v>
      </c>
    </row>
    <row r="818" customFormat="false" ht="12.75" hidden="false" customHeight="true" outlineLevel="0" collapsed="false">
      <c r="A818" s="1" t="s">
        <v>1467</v>
      </c>
    </row>
    <row r="819" customFormat="false" ht="12.75" hidden="false" customHeight="true" outlineLevel="0" collapsed="false">
      <c r="A819" s="1" t="s">
        <v>1468</v>
      </c>
    </row>
    <row r="820" customFormat="false" ht="12.75" hidden="false" customHeight="true" outlineLevel="0" collapsed="false"/>
    <row r="821" customFormat="false" ht="12.75" hidden="false" customHeight="true" outlineLevel="0" collapsed="false">
      <c r="A821" s="1" t="s">
        <v>1210</v>
      </c>
    </row>
    <row r="822" customFormat="false" ht="12.75" hidden="false" customHeight="true" outlineLevel="0" collapsed="false">
      <c r="A822" s="1" t="s">
        <v>1469</v>
      </c>
    </row>
    <row r="823" customFormat="false" ht="12.75" hidden="false" customHeight="true" outlineLevel="0" collapsed="false">
      <c r="A823" s="1" t="s">
        <v>1470</v>
      </c>
    </row>
    <row r="824" customFormat="false" ht="12.75" hidden="false" customHeight="true" outlineLevel="0" collapsed="false"/>
    <row r="825" customFormat="false" ht="12.75" hidden="false" customHeight="true" outlineLevel="0" collapsed="false">
      <c r="A825" s="1" t="s">
        <v>1211</v>
      </c>
    </row>
    <row r="826" customFormat="false" ht="12.75" hidden="false" customHeight="true" outlineLevel="0" collapsed="false">
      <c r="A826" s="1" t="s">
        <v>1471</v>
      </c>
    </row>
    <row r="827" customFormat="false" ht="12.75" hidden="false" customHeight="true" outlineLevel="0" collapsed="false">
      <c r="A827" s="1" t="s">
        <v>1472</v>
      </c>
    </row>
    <row r="828" customFormat="false" ht="12.75" hidden="false" customHeight="true" outlineLevel="0" collapsed="false"/>
    <row r="829" customFormat="false" ht="12.75" hidden="false" customHeight="true" outlineLevel="0" collapsed="false">
      <c r="A829" s="1" t="s">
        <v>1212</v>
      </c>
    </row>
    <row r="830" customFormat="false" ht="12.75" hidden="false" customHeight="true" outlineLevel="0" collapsed="false">
      <c r="A830" s="1" t="s">
        <v>1473</v>
      </c>
    </row>
    <row r="831" customFormat="false" ht="12.75" hidden="false" customHeight="true" outlineLevel="0" collapsed="false">
      <c r="A831" s="1" t="s">
        <v>2607</v>
      </c>
    </row>
    <row r="832" customFormat="false" ht="12.75" hidden="false" customHeight="true" outlineLevel="0" collapsed="false">
      <c r="A832" s="0" t="s">
        <v>2536</v>
      </c>
    </row>
    <row r="833" customFormat="false" ht="12.75" hidden="false" customHeight="true" outlineLevel="0" collapsed="false">
      <c r="A833" s="1" t="s">
        <v>2610</v>
      </c>
    </row>
    <row r="834" customFormat="false" ht="12.75" hidden="false" customHeight="true" outlineLevel="0" collapsed="false">
      <c r="A834" s="0" t="s">
        <v>2611</v>
      </c>
    </row>
    <row r="835" customFormat="false" ht="12.75" hidden="false" customHeight="true" outlineLevel="0" collapsed="false">
      <c r="A835" s="1" t="s">
        <v>1463</v>
      </c>
    </row>
    <row r="836" customFormat="false" ht="12.75" hidden="false" customHeight="true" outlineLevel="0" collapsed="false">
      <c r="A836" s="1" t="s">
        <v>1464</v>
      </c>
    </row>
    <row r="837" customFormat="false" ht="12.75" hidden="false" customHeight="true" outlineLevel="0" collapsed="false"/>
    <row r="838" customFormat="false" ht="12.75" hidden="false" customHeight="true" outlineLevel="0" collapsed="false">
      <c r="A838" s="1" t="s">
        <v>1209</v>
      </c>
    </row>
    <row r="839" customFormat="false" ht="12.75" hidden="false" customHeight="true" outlineLevel="0" collapsed="false">
      <c r="A839" s="1" t="s">
        <v>1465</v>
      </c>
    </row>
    <row r="840" customFormat="false" ht="12.75" hidden="false" customHeight="true" outlineLevel="0" collapsed="false">
      <c r="A840" s="1" t="s">
        <v>1466</v>
      </c>
    </row>
    <row r="841" customFormat="false" ht="12.75" hidden="false" customHeight="true" outlineLevel="0" collapsed="false">
      <c r="A841" s="1" t="s">
        <v>1467</v>
      </c>
    </row>
    <row r="842" customFormat="false" ht="12.75" hidden="false" customHeight="true" outlineLevel="0" collapsed="false">
      <c r="A842" s="1" t="s">
        <v>1468</v>
      </c>
    </row>
    <row r="843" customFormat="false" ht="12.75" hidden="false" customHeight="true" outlineLevel="0" collapsed="false"/>
    <row r="844" customFormat="false" ht="12.75" hidden="false" customHeight="true" outlineLevel="0" collapsed="false">
      <c r="A844" s="1" t="s">
        <v>1210</v>
      </c>
    </row>
    <row r="845" customFormat="false" ht="12.75" hidden="false" customHeight="true" outlineLevel="0" collapsed="false">
      <c r="A845" s="1" t="s">
        <v>1469</v>
      </c>
    </row>
    <row r="846" customFormat="false" ht="12.75" hidden="false" customHeight="true" outlineLevel="0" collapsed="false">
      <c r="A846" s="1" t="s">
        <v>1470</v>
      </c>
    </row>
    <row r="847" customFormat="false" ht="12.75" hidden="false" customHeight="true" outlineLevel="0" collapsed="false"/>
    <row r="848" customFormat="false" ht="12.75" hidden="false" customHeight="true" outlineLevel="0" collapsed="false">
      <c r="A848" s="1" t="s">
        <v>1211</v>
      </c>
    </row>
    <row r="849" customFormat="false" ht="12.75" hidden="false" customHeight="true" outlineLevel="0" collapsed="false">
      <c r="A849" s="1" t="s">
        <v>1471</v>
      </c>
    </row>
    <row r="850" customFormat="false" ht="12.75" hidden="false" customHeight="true" outlineLevel="0" collapsed="false">
      <c r="A850" s="1" t="s">
        <v>1472</v>
      </c>
    </row>
    <row r="851" customFormat="false" ht="12.75" hidden="false" customHeight="true" outlineLevel="0" collapsed="false"/>
    <row r="852" customFormat="false" ht="12.75" hidden="false" customHeight="true" outlineLevel="0" collapsed="false">
      <c r="A852" s="1" t="s">
        <v>1212</v>
      </c>
    </row>
    <row r="853" customFormat="false" ht="12.75" hidden="false" customHeight="true" outlineLevel="0" collapsed="false">
      <c r="A853" s="1" t="s">
        <v>1473</v>
      </c>
    </row>
    <row r="854" customFormat="false" ht="12.75" hidden="false" customHeight="true" outlineLevel="0" collapsed="false">
      <c r="A854" s="1" t="s">
        <v>2607</v>
      </c>
    </row>
    <row r="855" customFormat="false" ht="12.75" hidden="false" customHeight="true" outlineLevel="0" collapsed="false">
      <c r="A855" s="0" t="s">
        <v>2536</v>
      </c>
    </row>
    <row r="856" customFormat="false" ht="12.75" hidden="false" customHeight="true" outlineLevel="0" collapsed="false">
      <c r="A856" s="1" t="s">
        <v>2612</v>
      </c>
    </row>
    <row r="857" customFormat="false" ht="12.75" hidden="false" customHeight="true" outlineLevel="0" collapsed="false">
      <c r="A857" s="0" t="s">
        <v>2613</v>
      </c>
    </row>
    <row r="858" customFormat="false" ht="12.75" hidden="false" customHeight="true" outlineLevel="0" collapsed="false">
      <c r="A858" s="1" t="s">
        <v>1463</v>
      </c>
    </row>
    <row r="859" customFormat="false" ht="12.75" hidden="false" customHeight="true" outlineLevel="0" collapsed="false">
      <c r="A859" s="1" t="s">
        <v>1464</v>
      </c>
    </row>
    <row r="860" customFormat="false" ht="12.75" hidden="false" customHeight="true" outlineLevel="0" collapsed="false"/>
    <row r="861" customFormat="false" ht="12.75" hidden="false" customHeight="true" outlineLevel="0" collapsed="false">
      <c r="A861" s="1" t="s">
        <v>1209</v>
      </c>
    </row>
    <row r="862" customFormat="false" ht="12.75" hidden="false" customHeight="true" outlineLevel="0" collapsed="false">
      <c r="A862" s="1" t="s">
        <v>1465</v>
      </c>
    </row>
    <row r="863" customFormat="false" ht="12.75" hidden="false" customHeight="true" outlineLevel="0" collapsed="false">
      <c r="A863" s="1" t="s">
        <v>1466</v>
      </c>
    </row>
    <row r="864" customFormat="false" ht="12.75" hidden="false" customHeight="true" outlineLevel="0" collapsed="false">
      <c r="A864" s="1" t="s">
        <v>1467</v>
      </c>
    </row>
    <row r="865" customFormat="false" ht="12.75" hidden="false" customHeight="true" outlineLevel="0" collapsed="false">
      <c r="A865" s="1" t="s">
        <v>1468</v>
      </c>
    </row>
    <row r="866" customFormat="false" ht="12.75" hidden="false" customHeight="true" outlineLevel="0" collapsed="false"/>
    <row r="867" customFormat="false" ht="12.75" hidden="false" customHeight="true" outlineLevel="0" collapsed="false">
      <c r="A867" s="1" t="s">
        <v>1210</v>
      </c>
    </row>
    <row r="868" customFormat="false" ht="12.75" hidden="false" customHeight="true" outlineLevel="0" collapsed="false">
      <c r="A868" s="1" t="s">
        <v>1469</v>
      </c>
    </row>
    <row r="869" customFormat="false" ht="12.75" hidden="false" customHeight="true" outlineLevel="0" collapsed="false">
      <c r="A869" s="1" t="s">
        <v>1470</v>
      </c>
    </row>
    <row r="870" customFormat="false" ht="12.75" hidden="false" customHeight="true" outlineLevel="0" collapsed="false"/>
    <row r="871" customFormat="false" ht="12.75" hidden="false" customHeight="true" outlineLevel="0" collapsed="false">
      <c r="A871" s="1" t="s">
        <v>1211</v>
      </c>
    </row>
    <row r="872" customFormat="false" ht="12.75" hidden="false" customHeight="true" outlineLevel="0" collapsed="false">
      <c r="A872" s="1" t="s">
        <v>1471</v>
      </c>
    </row>
    <row r="873" customFormat="false" ht="12.75" hidden="false" customHeight="true" outlineLevel="0" collapsed="false">
      <c r="A873" s="1" t="s">
        <v>1472</v>
      </c>
    </row>
    <row r="874" customFormat="false" ht="12.75" hidden="false" customHeight="true" outlineLevel="0" collapsed="false"/>
    <row r="875" customFormat="false" ht="12.75" hidden="false" customHeight="true" outlineLevel="0" collapsed="false">
      <c r="A875" s="1" t="s">
        <v>1212</v>
      </c>
    </row>
    <row r="876" customFormat="false" ht="12.75" hidden="false" customHeight="true" outlineLevel="0" collapsed="false">
      <c r="A876" s="1" t="s">
        <v>1473</v>
      </c>
    </row>
    <row r="877" customFormat="false" ht="12.75" hidden="false" customHeight="true" outlineLevel="0" collapsed="false">
      <c r="A877" s="1" t="s">
        <v>2607</v>
      </c>
    </row>
    <row r="878" customFormat="false" ht="12.75" hidden="false" customHeight="true" outlineLevel="0" collapsed="false">
      <c r="A878" s="0" t="s">
        <v>2536</v>
      </c>
    </row>
    <row r="879" customFormat="false" ht="12.75" hidden="false" customHeight="true" outlineLevel="0" collapsed="false">
      <c r="A879" s="1" t="s">
        <v>2614</v>
      </c>
    </row>
    <row r="880" customFormat="false" ht="12.75" hidden="false" customHeight="true" outlineLevel="0" collapsed="false">
      <c r="A880" s="0" t="s">
        <v>2615</v>
      </c>
    </row>
    <row r="881" customFormat="false" ht="12.75" hidden="false" customHeight="true" outlineLevel="0" collapsed="false">
      <c r="A881" s="1" t="s">
        <v>1463</v>
      </c>
    </row>
    <row r="882" customFormat="false" ht="12.75" hidden="false" customHeight="true" outlineLevel="0" collapsed="false">
      <c r="A882" s="1" t="s">
        <v>1464</v>
      </c>
    </row>
    <row r="883" customFormat="false" ht="12.75" hidden="false" customHeight="true" outlineLevel="0" collapsed="false"/>
    <row r="884" customFormat="false" ht="12.75" hidden="false" customHeight="true" outlineLevel="0" collapsed="false">
      <c r="A884" s="1" t="s">
        <v>1209</v>
      </c>
    </row>
    <row r="885" customFormat="false" ht="12.75" hidden="false" customHeight="true" outlineLevel="0" collapsed="false">
      <c r="A885" s="1" t="s">
        <v>1465</v>
      </c>
    </row>
    <row r="886" customFormat="false" ht="12.75" hidden="false" customHeight="true" outlineLevel="0" collapsed="false">
      <c r="A886" s="1" t="s">
        <v>1466</v>
      </c>
    </row>
    <row r="887" customFormat="false" ht="12.75" hidden="false" customHeight="true" outlineLevel="0" collapsed="false">
      <c r="A887" s="1" t="s">
        <v>1467</v>
      </c>
    </row>
    <row r="888" customFormat="false" ht="12.75" hidden="false" customHeight="true" outlineLevel="0" collapsed="false">
      <c r="A888" s="1" t="s">
        <v>1468</v>
      </c>
    </row>
    <row r="889" customFormat="false" ht="12.75" hidden="false" customHeight="true" outlineLevel="0" collapsed="false"/>
    <row r="890" customFormat="false" ht="12.75" hidden="false" customHeight="true" outlineLevel="0" collapsed="false">
      <c r="A890" s="1" t="s">
        <v>1210</v>
      </c>
    </row>
    <row r="891" customFormat="false" ht="12.75" hidden="false" customHeight="true" outlineLevel="0" collapsed="false">
      <c r="A891" s="1" t="s">
        <v>1469</v>
      </c>
    </row>
    <row r="892" customFormat="false" ht="12.75" hidden="false" customHeight="true" outlineLevel="0" collapsed="false">
      <c r="A892" s="1" t="s">
        <v>1470</v>
      </c>
    </row>
    <row r="893" customFormat="false" ht="12.75" hidden="false" customHeight="true" outlineLevel="0" collapsed="false"/>
    <row r="894" customFormat="false" ht="12.75" hidden="false" customHeight="true" outlineLevel="0" collapsed="false">
      <c r="A894" s="1" t="s">
        <v>1211</v>
      </c>
    </row>
    <row r="895" customFormat="false" ht="12.75" hidden="false" customHeight="true" outlineLevel="0" collapsed="false">
      <c r="A895" s="1" t="s">
        <v>1471</v>
      </c>
    </row>
    <row r="896" customFormat="false" ht="12.75" hidden="false" customHeight="true" outlineLevel="0" collapsed="false">
      <c r="A896" s="1" t="s">
        <v>1472</v>
      </c>
    </row>
    <row r="897" customFormat="false" ht="12.75" hidden="false" customHeight="true" outlineLevel="0" collapsed="false"/>
    <row r="898" customFormat="false" ht="12.75" hidden="false" customHeight="true" outlineLevel="0" collapsed="false">
      <c r="A898" s="1" t="s">
        <v>1212</v>
      </c>
    </row>
    <row r="899" customFormat="false" ht="12.75" hidden="false" customHeight="true" outlineLevel="0" collapsed="false">
      <c r="A899" s="1" t="s">
        <v>1479</v>
      </c>
    </row>
    <row r="900" customFormat="false" ht="12.75" hidden="false" customHeight="true" outlineLevel="0" collapsed="false">
      <c r="A900" s="1" t="s">
        <v>2607</v>
      </c>
    </row>
    <row r="901" customFormat="false" ht="12.75" hidden="false" customHeight="true" outlineLevel="0" collapsed="false">
      <c r="A901" s="0" t="s">
        <v>2536</v>
      </c>
    </row>
    <row r="902" customFormat="false" ht="12.75" hidden="false" customHeight="true" outlineLevel="0" collapsed="false">
      <c r="A902" s="1" t="s">
        <v>2616</v>
      </c>
    </row>
    <row r="903" customFormat="false" ht="12.75" hidden="false" customHeight="true" outlineLevel="0" collapsed="false">
      <c r="A903" s="0" t="s">
        <v>2541</v>
      </c>
    </row>
    <row r="904" customFormat="false" ht="12.75" hidden="false" customHeight="true" outlineLevel="0" collapsed="false">
      <c r="A904" s="1" t="s">
        <v>1481</v>
      </c>
    </row>
    <row r="905" customFormat="false" ht="12.75" hidden="false" customHeight="true" outlineLevel="0" collapsed="false">
      <c r="A905" s="1" t="s">
        <v>1482</v>
      </c>
    </row>
    <row r="906" customFormat="false" ht="12.75" hidden="false" customHeight="true" outlineLevel="0" collapsed="false"/>
    <row r="907" customFormat="false" ht="12.75" hidden="false" customHeight="true" outlineLevel="0" collapsed="false">
      <c r="A907" s="1" t="s">
        <v>1209</v>
      </c>
    </row>
    <row r="908" customFormat="false" ht="12.75" hidden="false" customHeight="true" outlineLevel="0" collapsed="false">
      <c r="A908" s="1" t="s">
        <v>1483</v>
      </c>
    </row>
    <row r="909" customFormat="false" ht="12.75" hidden="false" customHeight="true" outlineLevel="0" collapsed="false">
      <c r="A909" s="1" t="s">
        <v>1484</v>
      </c>
    </row>
    <row r="910" customFormat="false" ht="12.75" hidden="false" customHeight="true" outlineLevel="0" collapsed="false">
      <c r="A910" s="1" t="s">
        <v>1485</v>
      </c>
    </row>
    <row r="911" customFormat="false" ht="12.75" hidden="false" customHeight="true" outlineLevel="0" collapsed="false">
      <c r="A911" s="1" t="s">
        <v>1486</v>
      </c>
    </row>
    <row r="912" customFormat="false" ht="12.75" hidden="false" customHeight="true" outlineLevel="0" collapsed="false"/>
    <row r="913" customFormat="false" ht="12.75" hidden="false" customHeight="true" outlineLevel="0" collapsed="false">
      <c r="A913" s="1" t="s">
        <v>1210</v>
      </c>
    </row>
    <row r="914" customFormat="false" ht="12.75" hidden="false" customHeight="true" outlineLevel="0" collapsed="false">
      <c r="A914" s="1" t="s">
        <v>1487</v>
      </c>
    </row>
    <row r="915" customFormat="false" ht="12.75" hidden="false" customHeight="true" outlineLevel="0" collapsed="false">
      <c r="A915" s="1" t="s">
        <v>1488</v>
      </c>
    </row>
    <row r="916" customFormat="false" ht="12.75" hidden="false" customHeight="true" outlineLevel="0" collapsed="false"/>
    <row r="917" customFormat="false" ht="12.75" hidden="false" customHeight="true" outlineLevel="0" collapsed="false">
      <c r="A917" s="1" t="s">
        <v>1211</v>
      </c>
    </row>
    <row r="918" customFormat="false" ht="12.75" hidden="false" customHeight="true" outlineLevel="0" collapsed="false">
      <c r="A918" s="1" t="s">
        <v>1489</v>
      </c>
    </row>
    <row r="919" customFormat="false" ht="12.75" hidden="false" customHeight="true" outlineLevel="0" collapsed="false">
      <c r="A919" s="1" t="s">
        <v>1490</v>
      </c>
    </row>
    <row r="920" customFormat="false" ht="12.75" hidden="false" customHeight="true" outlineLevel="0" collapsed="false"/>
    <row r="921" customFormat="false" ht="12.75" hidden="false" customHeight="true" outlineLevel="0" collapsed="false">
      <c r="A921" s="1" t="s">
        <v>1212</v>
      </c>
    </row>
    <row r="922" customFormat="false" ht="12.75" hidden="false" customHeight="true" outlineLevel="0" collapsed="false">
      <c r="A922" s="1" t="s">
        <v>1491</v>
      </c>
    </row>
    <row r="923" customFormat="false" ht="12.75" hidden="false" customHeight="true" outlineLevel="0" collapsed="false">
      <c r="A923" s="1" t="s">
        <v>2617</v>
      </c>
    </row>
    <row r="924" customFormat="false" ht="12.75" hidden="false" customHeight="true" outlineLevel="0" collapsed="false">
      <c r="A924" s="0" t="s">
        <v>2536</v>
      </c>
    </row>
    <row r="925" customFormat="false" ht="12.75" hidden="false" customHeight="true" outlineLevel="0" collapsed="false">
      <c r="A925" s="1" t="s">
        <v>2618</v>
      </c>
    </row>
    <row r="926" customFormat="false" ht="12.75" hidden="false" customHeight="true" outlineLevel="0" collapsed="false">
      <c r="A926" s="0" t="s">
        <v>2568</v>
      </c>
    </row>
    <row r="927" customFormat="false" ht="12.75" hidden="false" customHeight="true" outlineLevel="0" collapsed="false">
      <c r="A927" s="1" t="s">
        <v>1494</v>
      </c>
    </row>
    <row r="928" customFormat="false" ht="12.75" hidden="false" customHeight="true" outlineLevel="0" collapsed="false">
      <c r="A928" s="1" t="s">
        <v>1495</v>
      </c>
    </row>
    <row r="929" customFormat="false" ht="12.75" hidden="false" customHeight="true" outlineLevel="0" collapsed="false"/>
    <row r="930" customFormat="false" ht="12.75" hidden="false" customHeight="true" outlineLevel="0" collapsed="false">
      <c r="A930" s="1" t="s">
        <v>1209</v>
      </c>
    </row>
    <row r="931" customFormat="false" ht="12.75" hidden="false" customHeight="true" outlineLevel="0" collapsed="false">
      <c r="A931" s="1" t="s">
        <v>1496</v>
      </c>
    </row>
    <row r="932" customFormat="false" ht="12.75" hidden="false" customHeight="true" outlineLevel="0" collapsed="false">
      <c r="A932" s="1" t="s">
        <v>1497</v>
      </c>
    </row>
    <row r="933" customFormat="false" ht="12.75" hidden="false" customHeight="true" outlineLevel="0" collapsed="false">
      <c r="A933" s="1" t="s">
        <v>1498</v>
      </c>
    </row>
    <row r="934" customFormat="false" ht="12.75" hidden="false" customHeight="true" outlineLevel="0" collapsed="false">
      <c r="A934" s="1" t="s">
        <v>1499</v>
      </c>
    </row>
    <row r="935" customFormat="false" ht="12.75" hidden="false" customHeight="true" outlineLevel="0" collapsed="false"/>
    <row r="936" customFormat="false" ht="12.75" hidden="false" customHeight="true" outlineLevel="0" collapsed="false">
      <c r="A936" s="1" t="s">
        <v>1210</v>
      </c>
    </row>
    <row r="937" customFormat="false" ht="12.75" hidden="false" customHeight="true" outlineLevel="0" collapsed="false">
      <c r="A937" s="1" t="s">
        <v>1500</v>
      </c>
    </row>
    <row r="938" customFormat="false" ht="12.75" hidden="false" customHeight="true" outlineLevel="0" collapsed="false">
      <c r="A938" s="1" t="s">
        <v>1501</v>
      </c>
    </row>
    <row r="939" customFormat="false" ht="12.75" hidden="false" customHeight="true" outlineLevel="0" collapsed="false"/>
    <row r="940" customFormat="false" ht="12.75" hidden="false" customHeight="true" outlineLevel="0" collapsed="false">
      <c r="A940" s="1" t="s">
        <v>1211</v>
      </c>
    </row>
    <row r="941" customFormat="false" ht="12.75" hidden="false" customHeight="true" outlineLevel="0" collapsed="false">
      <c r="A941" s="1" t="s">
        <v>1502</v>
      </c>
    </row>
    <row r="942" customFormat="false" ht="12.75" hidden="false" customHeight="true" outlineLevel="0" collapsed="false">
      <c r="A942" s="1" t="s">
        <v>1503</v>
      </c>
    </row>
    <row r="943" customFormat="false" ht="12.75" hidden="false" customHeight="true" outlineLevel="0" collapsed="false"/>
    <row r="944" customFormat="false" ht="12.75" hidden="false" customHeight="true" outlineLevel="0" collapsed="false">
      <c r="A944" s="1" t="s">
        <v>1212</v>
      </c>
    </row>
    <row r="945" customFormat="false" ht="12.75" hidden="false" customHeight="true" outlineLevel="0" collapsed="false">
      <c r="A945" s="1" t="s">
        <v>1504</v>
      </c>
    </row>
    <row r="946" customFormat="false" ht="12.75" hidden="false" customHeight="true" outlineLevel="0" collapsed="false">
      <c r="A946" s="1" t="s">
        <v>2619</v>
      </c>
    </row>
    <row r="947" customFormat="false" ht="12.75" hidden="false" customHeight="true" outlineLevel="0" collapsed="false">
      <c r="A947" s="0" t="s">
        <v>2592</v>
      </c>
    </row>
    <row r="948" customFormat="false" ht="12.75" hidden="false" customHeight="true" outlineLevel="0" collapsed="false">
      <c r="A948" s="1" t="s">
        <v>1425</v>
      </c>
    </row>
    <row r="949" customFormat="false" ht="12.75" hidden="false" customHeight="true" outlineLevel="0" collapsed="false">
      <c r="A949" s="1" t="s">
        <v>1426</v>
      </c>
    </row>
    <row r="950" customFormat="false" ht="12.75" hidden="false" customHeight="true" outlineLevel="0" collapsed="false">
      <c r="A950" s="1" t="s">
        <v>1427</v>
      </c>
    </row>
    <row r="951" customFormat="false" ht="12.75" hidden="false" customHeight="true" outlineLevel="0" collapsed="false">
      <c r="A951" s="1" t="s">
        <v>2593</v>
      </c>
    </row>
    <row r="952" customFormat="false" ht="12.75" hidden="false" customHeight="true" outlineLevel="0" collapsed="false">
      <c r="A952" s="0" t="s">
        <v>2536</v>
      </c>
    </row>
    <row r="953" customFormat="false" ht="12.75" hidden="false" customHeight="true" outlineLevel="0" collapsed="false">
      <c r="A953" s="1" t="s">
        <v>2620</v>
      </c>
    </row>
    <row r="954" customFormat="false" ht="12.75" hidden="false" customHeight="true" outlineLevel="0" collapsed="false">
      <c r="A954" s="0" t="s">
        <v>2541</v>
      </c>
    </row>
    <row r="955" customFormat="false" ht="12.75" hidden="false" customHeight="true" outlineLevel="0" collapsed="false">
      <c r="A955" s="1" t="s">
        <v>1507</v>
      </c>
    </row>
    <row r="956" customFormat="false" ht="12.75" hidden="false" customHeight="true" outlineLevel="0" collapsed="false">
      <c r="A956" s="1" t="s">
        <v>1498</v>
      </c>
    </row>
    <row r="957" customFormat="false" ht="12.75" hidden="false" customHeight="true" outlineLevel="0" collapsed="false"/>
    <row r="958" customFormat="false" ht="12.75" hidden="false" customHeight="true" outlineLevel="0" collapsed="false">
      <c r="A958" s="1" t="s">
        <v>1209</v>
      </c>
    </row>
    <row r="959" customFormat="false" ht="12.75" hidden="false" customHeight="true" outlineLevel="0" collapsed="false">
      <c r="A959" s="1" t="s">
        <v>1508</v>
      </c>
    </row>
    <row r="960" customFormat="false" ht="12.75" hidden="false" customHeight="true" outlineLevel="0" collapsed="false">
      <c r="A960" s="1" t="s">
        <v>1509</v>
      </c>
    </row>
    <row r="961" customFormat="false" ht="12.75" hidden="false" customHeight="true" outlineLevel="0" collapsed="false">
      <c r="A961" s="1" t="s">
        <v>1510</v>
      </c>
    </row>
    <row r="962" customFormat="false" ht="12.75" hidden="false" customHeight="true" outlineLevel="0" collapsed="false">
      <c r="A962" s="1" t="s">
        <v>1511</v>
      </c>
    </row>
    <row r="963" customFormat="false" ht="12.75" hidden="false" customHeight="true" outlineLevel="0" collapsed="false"/>
    <row r="964" customFormat="false" ht="12.75" hidden="false" customHeight="true" outlineLevel="0" collapsed="false">
      <c r="A964" s="1" t="s">
        <v>1210</v>
      </c>
    </row>
    <row r="965" customFormat="false" ht="12.75" hidden="false" customHeight="true" outlineLevel="0" collapsed="false">
      <c r="A965" s="1" t="s">
        <v>1512</v>
      </c>
    </row>
    <row r="966" customFormat="false" ht="12.75" hidden="false" customHeight="true" outlineLevel="0" collapsed="false">
      <c r="A966" s="1" t="s">
        <v>1513</v>
      </c>
    </row>
    <row r="967" customFormat="false" ht="12.75" hidden="false" customHeight="true" outlineLevel="0" collapsed="false"/>
    <row r="968" customFormat="false" ht="12.75" hidden="false" customHeight="true" outlineLevel="0" collapsed="false">
      <c r="A968" s="1" t="s">
        <v>1211</v>
      </c>
    </row>
    <row r="969" customFormat="false" ht="12.75" hidden="false" customHeight="true" outlineLevel="0" collapsed="false">
      <c r="A969" s="1" t="s">
        <v>1514</v>
      </c>
    </row>
    <row r="970" customFormat="false" ht="12.75" hidden="false" customHeight="true" outlineLevel="0" collapsed="false">
      <c r="A970" s="1" t="s">
        <v>1515</v>
      </c>
    </row>
    <row r="971" customFormat="false" ht="12.75" hidden="false" customHeight="true" outlineLevel="0" collapsed="false"/>
    <row r="972" customFormat="false" ht="12.75" hidden="false" customHeight="true" outlineLevel="0" collapsed="false">
      <c r="A972" s="1" t="s">
        <v>1212</v>
      </c>
    </row>
    <row r="973" customFormat="false" ht="12.75" hidden="false" customHeight="true" outlineLevel="0" collapsed="false">
      <c r="A973" s="1" t="s">
        <v>1514</v>
      </c>
    </row>
    <row r="974" customFormat="false" ht="12.75" hidden="false" customHeight="true" outlineLevel="0" collapsed="false">
      <c r="A974" s="1" t="s">
        <v>2621</v>
      </c>
    </row>
    <row r="975" customFormat="false" ht="12.75" hidden="false" customHeight="true" outlineLevel="0" collapsed="false">
      <c r="A975" s="0" t="s">
        <v>2536</v>
      </c>
    </row>
    <row r="976" customFormat="false" ht="12.75" hidden="false" customHeight="true" outlineLevel="0" collapsed="false">
      <c r="A976" s="1" t="s">
        <v>2622</v>
      </c>
    </row>
    <row r="977" customFormat="false" ht="12.75" hidden="false" customHeight="true" outlineLevel="0" collapsed="false">
      <c r="A977" s="0" t="s">
        <v>2541</v>
      </c>
    </row>
    <row r="978" customFormat="false" ht="12.75" hidden="false" customHeight="true" outlineLevel="0" collapsed="false">
      <c r="A978" s="1" t="s">
        <v>1518</v>
      </c>
    </row>
    <row r="979" customFormat="false" ht="12.75" hidden="false" customHeight="true" outlineLevel="0" collapsed="false">
      <c r="A979" s="1" t="s">
        <v>1519</v>
      </c>
    </row>
    <row r="980" customFormat="false" ht="12.75" hidden="false" customHeight="true" outlineLevel="0" collapsed="false"/>
    <row r="981" customFormat="false" ht="12.75" hidden="false" customHeight="true" outlineLevel="0" collapsed="false">
      <c r="A981" s="1" t="s">
        <v>1209</v>
      </c>
    </row>
    <row r="982" customFormat="false" ht="12.75" hidden="false" customHeight="true" outlineLevel="0" collapsed="false">
      <c r="A982" s="1" t="s">
        <v>1520</v>
      </c>
    </row>
    <row r="983" customFormat="false" ht="12.75" hidden="false" customHeight="true" outlineLevel="0" collapsed="false">
      <c r="A983" s="1" t="s">
        <v>1521</v>
      </c>
    </row>
    <row r="984" customFormat="false" ht="12.75" hidden="false" customHeight="true" outlineLevel="0" collapsed="false">
      <c r="A984" s="1" t="s">
        <v>1522</v>
      </c>
    </row>
    <row r="985" customFormat="false" ht="12.75" hidden="false" customHeight="true" outlineLevel="0" collapsed="false">
      <c r="A985" s="1" t="s">
        <v>1523</v>
      </c>
    </row>
    <row r="986" customFormat="false" ht="12.75" hidden="false" customHeight="true" outlineLevel="0" collapsed="false"/>
    <row r="987" customFormat="false" ht="12.75" hidden="false" customHeight="true" outlineLevel="0" collapsed="false">
      <c r="A987" s="1" t="s">
        <v>1210</v>
      </c>
    </row>
    <row r="988" customFormat="false" ht="12.75" hidden="false" customHeight="true" outlineLevel="0" collapsed="false">
      <c r="A988" s="1" t="s">
        <v>1524</v>
      </c>
    </row>
    <row r="989" customFormat="false" ht="12.75" hidden="false" customHeight="true" outlineLevel="0" collapsed="false">
      <c r="A989" s="1" t="s">
        <v>1524</v>
      </c>
    </row>
    <row r="990" customFormat="false" ht="12.75" hidden="false" customHeight="true" outlineLevel="0" collapsed="false"/>
    <row r="991" customFormat="false" ht="12.75" hidden="false" customHeight="true" outlineLevel="0" collapsed="false">
      <c r="A991" s="1" t="s">
        <v>1211</v>
      </c>
    </row>
    <row r="992" customFormat="false" ht="12.75" hidden="false" customHeight="true" outlineLevel="0" collapsed="false">
      <c r="A992" s="1" t="s">
        <v>1525</v>
      </c>
    </row>
    <row r="993" customFormat="false" ht="12.75" hidden="false" customHeight="true" outlineLevel="0" collapsed="false">
      <c r="A993" s="1" t="s">
        <v>1525</v>
      </c>
    </row>
    <row r="994" customFormat="false" ht="12.75" hidden="false" customHeight="true" outlineLevel="0" collapsed="false"/>
    <row r="995" customFormat="false" ht="12.75" hidden="false" customHeight="true" outlineLevel="0" collapsed="false">
      <c r="A995" s="1" t="s">
        <v>1212</v>
      </c>
    </row>
    <row r="996" customFormat="false" ht="12.75" hidden="false" customHeight="true" outlineLevel="0" collapsed="false">
      <c r="A996" s="1" t="s">
        <v>1525</v>
      </c>
    </row>
    <row r="997" customFormat="false" ht="12.75" hidden="false" customHeight="true" outlineLevel="0" collapsed="false">
      <c r="A997" s="1" t="s">
        <v>2623</v>
      </c>
    </row>
    <row r="998" customFormat="false" ht="12.75" hidden="false" customHeight="true" outlineLevel="0" collapsed="false">
      <c r="A998" s="0" t="s">
        <v>2592</v>
      </c>
    </row>
    <row r="999" customFormat="false" ht="12.75" hidden="false" customHeight="true" outlineLevel="0" collapsed="false">
      <c r="A999" s="1" t="s">
        <v>1425</v>
      </c>
    </row>
    <row r="1000" customFormat="false" ht="12.75" hidden="false" customHeight="true" outlineLevel="0" collapsed="false">
      <c r="A1000" s="1" t="s">
        <v>1426</v>
      </c>
    </row>
    <row r="1001" customFormat="false" ht="12.75" hidden="false" customHeight="true" outlineLevel="0" collapsed="false">
      <c r="A1001" s="1" t="s">
        <v>1427</v>
      </c>
    </row>
    <row r="1002" customFormat="false" ht="12.75" hidden="false" customHeight="true" outlineLevel="0" collapsed="false">
      <c r="A1002" s="1" t="s">
        <v>2593</v>
      </c>
    </row>
    <row r="1003" customFormat="false" ht="12.75" hidden="false" customHeight="true" outlineLevel="0" collapsed="false">
      <c r="A1003" s="0" t="s">
        <v>2536</v>
      </c>
    </row>
    <row r="1004" customFormat="false" ht="12.75" hidden="false" customHeight="true" outlineLevel="0" collapsed="false">
      <c r="A1004" s="1" t="s">
        <v>2624</v>
      </c>
    </row>
    <row r="1005" customFormat="false" ht="12.75" hidden="false" customHeight="true" outlineLevel="0" collapsed="false">
      <c r="A1005" s="0" t="s">
        <v>2541</v>
      </c>
    </row>
    <row r="1006" customFormat="false" ht="12.75" hidden="false" customHeight="true" outlineLevel="0" collapsed="false">
      <c r="A1006" s="1" t="s">
        <v>1507</v>
      </c>
    </row>
    <row r="1007" customFormat="false" ht="12.75" hidden="false" customHeight="true" outlineLevel="0" collapsed="false">
      <c r="A1007" s="1" t="s">
        <v>1498</v>
      </c>
    </row>
    <row r="1008" customFormat="false" ht="12.75" hidden="false" customHeight="true" outlineLevel="0" collapsed="false"/>
    <row r="1009" customFormat="false" ht="12.75" hidden="false" customHeight="true" outlineLevel="0" collapsed="false">
      <c r="A1009" s="1" t="s">
        <v>1209</v>
      </c>
    </row>
    <row r="1010" customFormat="false" ht="12.75" hidden="false" customHeight="true" outlineLevel="0" collapsed="false">
      <c r="A1010" s="1" t="s">
        <v>1508</v>
      </c>
    </row>
    <row r="1011" customFormat="false" ht="12.75" hidden="false" customHeight="true" outlineLevel="0" collapsed="false">
      <c r="A1011" s="1" t="s">
        <v>1509</v>
      </c>
    </row>
    <row r="1012" customFormat="false" ht="12.75" hidden="false" customHeight="true" outlineLevel="0" collapsed="false">
      <c r="A1012" s="1" t="s">
        <v>1510</v>
      </c>
    </row>
    <row r="1013" customFormat="false" ht="12.75" hidden="false" customHeight="true" outlineLevel="0" collapsed="false">
      <c r="A1013" s="1" t="s">
        <v>1511</v>
      </c>
    </row>
    <row r="1014" customFormat="false" ht="12.75" hidden="false" customHeight="true" outlineLevel="0" collapsed="false"/>
    <row r="1015" customFormat="false" ht="12.75" hidden="false" customHeight="true" outlineLevel="0" collapsed="false">
      <c r="A1015" s="1" t="s">
        <v>1210</v>
      </c>
    </row>
    <row r="1016" customFormat="false" ht="12.75" hidden="false" customHeight="true" outlineLevel="0" collapsed="false">
      <c r="A1016" s="1" t="s">
        <v>1512</v>
      </c>
    </row>
    <row r="1017" customFormat="false" ht="12.75" hidden="false" customHeight="true" outlineLevel="0" collapsed="false">
      <c r="A1017" s="1" t="s">
        <v>1513</v>
      </c>
    </row>
    <row r="1018" customFormat="false" ht="12.75" hidden="false" customHeight="true" outlineLevel="0" collapsed="false"/>
    <row r="1019" customFormat="false" ht="12.75" hidden="false" customHeight="true" outlineLevel="0" collapsed="false">
      <c r="A1019" s="1" t="s">
        <v>1211</v>
      </c>
    </row>
    <row r="1020" customFormat="false" ht="12.75" hidden="false" customHeight="true" outlineLevel="0" collapsed="false">
      <c r="A1020" s="1" t="s">
        <v>1514</v>
      </c>
    </row>
    <row r="1021" customFormat="false" ht="12.75" hidden="false" customHeight="true" outlineLevel="0" collapsed="false">
      <c r="A1021" s="1" t="s">
        <v>1515</v>
      </c>
    </row>
    <row r="1022" customFormat="false" ht="12.75" hidden="false" customHeight="true" outlineLevel="0" collapsed="false"/>
    <row r="1023" customFormat="false" ht="12.75" hidden="false" customHeight="true" outlineLevel="0" collapsed="false">
      <c r="A1023" s="1" t="s">
        <v>1212</v>
      </c>
    </row>
    <row r="1024" customFormat="false" ht="12.75" hidden="false" customHeight="true" outlineLevel="0" collapsed="false">
      <c r="A1024" s="1" t="s">
        <v>1514</v>
      </c>
    </row>
    <row r="1025" customFormat="false" ht="12.75" hidden="false" customHeight="true" outlineLevel="0" collapsed="false">
      <c r="A1025" s="1" t="s">
        <v>2621</v>
      </c>
    </row>
    <row r="1026" customFormat="false" ht="12.75" hidden="false" customHeight="true" outlineLevel="0" collapsed="false">
      <c r="A1026" s="0" t="s">
        <v>2536</v>
      </c>
    </row>
    <row r="1027" customFormat="false" ht="12.75" hidden="false" customHeight="true" outlineLevel="0" collapsed="false">
      <c r="A1027" s="1" t="s">
        <v>2625</v>
      </c>
    </row>
    <row r="1028" customFormat="false" ht="12.75" hidden="false" customHeight="true" outlineLevel="0" collapsed="false">
      <c r="A1028" s="0" t="s">
        <v>2541</v>
      </c>
    </row>
    <row r="1029" customFormat="false" ht="12.75" hidden="false" customHeight="true" outlineLevel="0" collapsed="false">
      <c r="A1029" s="1" t="s">
        <v>1529</v>
      </c>
    </row>
    <row r="1030" customFormat="false" ht="12.75" hidden="false" customHeight="true" outlineLevel="0" collapsed="false">
      <c r="A1030" s="1" t="s">
        <v>1530</v>
      </c>
    </row>
    <row r="1031" customFormat="false" ht="12.75" hidden="false" customHeight="true" outlineLevel="0" collapsed="false"/>
    <row r="1032" customFormat="false" ht="12.75" hidden="false" customHeight="true" outlineLevel="0" collapsed="false">
      <c r="A1032" s="1" t="s">
        <v>1209</v>
      </c>
    </row>
    <row r="1033" customFormat="false" ht="12.75" hidden="false" customHeight="true" outlineLevel="0" collapsed="false">
      <c r="A1033" s="1" t="s">
        <v>1521</v>
      </c>
    </row>
    <row r="1034" customFormat="false" ht="12.75" hidden="false" customHeight="true" outlineLevel="0" collapsed="false">
      <c r="A1034" s="1" t="s">
        <v>1531</v>
      </c>
    </row>
    <row r="1035" customFormat="false" ht="12.75" hidden="false" customHeight="true" outlineLevel="0" collapsed="false">
      <c r="A1035" s="1" t="s">
        <v>1523</v>
      </c>
    </row>
    <row r="1036" customFormat="false" ht="12.75" hidden="false" customHeight="true" outlineLevel="0" collapsed="false">
      <c r="A1036" s="1" t="s">
        <v>1519</v>
      </c>
    </row>
    <row r="1037" customFormat="false" ht="12.75" hidden="false" customHeight="true" outlineLevel="0" collapsed="false"/>
    <row r="1038" customFormat="false" ht="12.75" hidden="false" customHeight="true" outlineLevel="0" collapsed="false">
      <c r="A1038" s="1" t="s">
        <v>1210</v>
      </c>
    </row>
    <row r="1039" customFormat="false" ht="12.75" hidden="false" customHeight="true" outlineLevel="0" collapsed="false">
      <c r="A1039" s="1" t="s">
        <v>1532</v>
      </c>
    </row>
    <row r="1040" customFormat="false" ht="12.75" hidden="false" customHeight="true" outlineLevel="0" collapsed="false">
      <c r="A1040" s="1" t="s">
        <v>1525</v>
      </c>
    </row>
    <row r="1041" customFormat="false" ht="12.75" hidden="false" customHeight="true" outlineLevel="0" collapsed="false"/>
    <row r="1042" customFormat="false" ht="12.75" hidden="false" customHeight="true" outlineLevel="0" collapsed="false">
      <c r="A1042" s="1" t="s">
        <v>1211</v>
      </c>
    </row>
    <row r="1043" customFormat="false" ht="12.75" hidden="false" customHeight="true" outlineLevel="0" collapsed="false">
      <c r="A1043" s="1" t="s">
        <v>1533</v>
      </c>
    </row>
    <row r="1044" customFormat="false" ht="12.75" hidden="false" customHeight="true" outlineLevel="0" collapsed="false">
      <c r="A1044" s="1" t="s">
        <v>1534</v>
      </c>
    </row>
    <row r="1045" customFormat="false" ht="12.75" hidden="false" customHeight="true" outlineLevel="0" collapsed="false"/>
    <row r="1046" customFormat="false" ht="12.75" hidden="false" customHeight="true" outlineLevel="0" collapsed="false">
      <c r="A1046" s="1" t="s">
        <v>1212</v>
      </c>
    </row>
    <row r="1047" customFormat="false" ht="12.75" hidden="false" customHeight="true" outlineLevel="0" collapsed="false">
      <c r="A1047" s="1" t="s">
        <v>1533</v>
      </c>
    </row>
    <row r="1048" customFormat="false" ht="12.75" hidden="false" customHeight="true" outlineLevel="0" collapsed="false">
      <c r="A1048" s="1" t="s">
        <v>2626</v>
      </c>
    </row>
    <row r="1049" customFormat="false" ht="12.75" hidden="false" customHeight="true" outlineLevel="0" collapsed="false">
      <c r="A1049" s="0" t="s">
        <v>2627</v>
      </c>
    </row>
    <row r="1050" customFormat="false" ht="12.75" hidden="false" customHeight="true" outlineLevel="0" collapsed="false">
      <c r="A1050" s="1" t="s">
        <v>1536</v>
      </c>
    </row>
    <row r="1051" customFormat="false" ht="12.75" hidden="false" customHeight="true" outlineLevel="0" collapsed="false">
      <c r="A1051" s="1" t="s">
        <v>1537</v>
      </c>
    </row>
    <row r="1052" customFormat="false" ht="12.75" hidden="false" customHeight="true" outlineLevel="0" collapsed="false">
      <c r="A1052" s="1" t="s">
        <v>1538</v>
      </c>
    </row>
    <row r="1053" customFormat="false" ht="12.75" hidden="false" customHeight="true" outlineLevel="0" collapsed="false">
      <c r="A1053" s="1" t="s">
        <v>2628</v>
      </c>
    </row>
    <row r="1054" customFormat="false" ht="12.75" hidden="false" customHeight="true" outlineLevel="0" collapsed="false">
      <c r="A1054" s="0" t="s">
        <v>2536</v>
      </c>
    </row>
    <row r="1055" customFormat="false" ht="12.75" hidden="false" customHeight="true" outlineLevel="0" collapsed="false">
      <c r="A1055" s="1" t="s">
        <v>2629</v>
      </c>
    </row>
    <row r="1056" customFormat="false" ht="12.75" hidden="false" customHeight="true" outlineLevel="0" collapsed="false">
      <c r="A1056" s="0" t="s">
        <v>2541</v>
      </c>
    </row>
    <row r="1057" customFormat="false" ht="12.75" hidden="false" customHeight="true" outlineLevel="0" collapsed="false">
      <c r="A1057" s="1" t="s">
        <v>1541</v>
      </c>
    </row>
    <row r="1058" customFormat="false" ht="12.75" hidden="false" customHeight="true" outlineLevel="0" collapsed="false">
      <c r="A1058" s="1" t="s">
        <v>1542</v>
      </c>
    </row>
    <row r="1059" customFormat="false" ht="12.75" hidden="false" customHeight="true" outlineLevel="0" collapsed="false"/>
    <row r="1060" customFormat="false" ht="12.75" hidden="false" customHeight="true" outlineLevel="0" collapsed="false">
      <c r="A1060" s="1" t="s">
        <v>1209</v>
      </c>
    </row>
    <row r="1061" customFormat="false" ht="12.75" hidden="false" customHeight="true" outlineLevel="0" collapsed="false">
      <c r="A1061" s="1" t="s">
        <v>1531</v>
      </c>
    </row>
    <row r="1062" customFormat="false" ht="12.75" hidden="false" customHeight="true" outlineLevel="0" collapsed="false">
      <c r="A1062" s="1" t="s">
        <v>1533</v>
      </c>
    </row>
    <row r="1063" customFormat="false" ht="12.75" hidden="false" customHeight="true" outlineLevel="0" collapsed="false">
      <c r="A1063" s="1" t="s">
        <v>1543</v>
      </c>
    </row>
    <row r="1064" customFormat="false" ht="12.75" hidden="false" customHeight="true" outlineLevel="0" collapsed="false">
      <c r="A1064" s="1" t="s">
        <v>1544</v>
      </c>
    </row>
    <row r="1065" customFormat="false" ht="12.75" hidden="false" customHeight="true" outlineLevel="0" collapsed="false"/>
    <row r="1066" customFormat="false" ht="12.75" hidden="false" customHeight="true" outlineLevel="0" collapsed="false">
      <c r="A1066" s="1" t="s">
        <v>1210</v>
      </c>
    </row>
    <row r="1067" customFormat="false" ht="12.75" hidden="false" customHeight="true" outlineLevel="0" collapsed="false">
      <c r="A1067" s="1" t="s">
        <v>1545</v>
      </c>
    </row>
    <row r="1068" customFormat="false" ht="12.75" hidden="false" customHeight="true" outlineLevel="0" collapsed="false">
      <c r="A1068" s="1" t="s">
        <v>1546</v>
      </c>
    </row>
    <row r="1069" customFormat="false" ht="12.75" hidden="false" customHeight="true" outlineLevel="0" collapsed="false"/>
    <row r="1070" customFormat="false" ht="12.75" hidden="false" customHeight="true" outlineLevel="0" collapsed="false">
      <c r="A1070" s="1" t="s">
        <v>1211</v>
      </c>
    </row>
    <row r="1071" customFormat="false" ht="12.75" hidden="false" customHeight="true" outlineLevel="0" collapsed="false">
      <c r="A1071" s="1" t="s">
        <v>1545</v>
      </c>
    </row>
    <row r="1072" customFormat="false" ht="12.75" hidden="false" customHeight="true" outlineLevel="0" collapsed="false">
      <c r="A1072" s="1" t="s">
        <v>1547</v>
      </c>
    </row>
    <row r="1073" customFormat="false" ht="12.75" hidden="false" customHeight="true" outlineLevel="0" collapsed="false"/>
    <row r="1074" customFormat="false" ht="12.75" hidden="false" customHeight="true" outlineLevel="0" collapsed="false">
      <c r="A1074" s="1" t="s">
        <v>1212</v>
      </c>
    </row>
    <row r="1075" customFormat="false" ht="12.75" hidden="false" customHeight="true" outlineLevel="0" collapsed="false">
      <c r="A1075" s="1" t="s">
        <v>1545</v>
      </c>
    </row>
    <row r="1076" customFormat="false" ht="12.75" hidden="false" customHeight="true" outlineLevel="0" collapsed="false">
      <c r="A1076" s="1" t="s">
        <v>2630</v>
      </c>
    </row>
    <row r="1077" customFormat="false" ht="12.75" hidden="false" customHeight="true" outlineLevel="0" collapsed="false">
      <c r="A1077" s="0" t="s">
        <v>2627</v>
      </c>
    </row>
    <row r="1078" customFormat="false" ht="12.75" hidden="false" customHeight="true" outlineLevel="0" collapsed="false">
      <c r="A1078" s="1" t="s">
        <v>1536</v>
      </c>
    </row>
    <row r="1079" customFormat="false" ht="12.75" hidden="false" customHeight="true" outlineLevel="0" collapsed="false">
      <c r="A1079" s="1" t="s">
        <v>1537</v>
      </c>
    </row>
    <row r="1080" customFormat="false" ht="12.75" hidden="false" customHeight="true" outlineLevel="0" collapsed="false">
      <c r="A1080" s="1" t="s">
        <v>1538</v>
      </c>
    </row>
    <row r="1081" customFormat="false" ht="12.75" hidden="false" customHeight="true" outlineLevel="0" collapsed="false">
      <c r="A1081" s="1" t="s">
        <v>2628</v>
      </c>
    </row>
    <row r="1082" customFormat="false" ht="12.75" hidden="false" customHeight="true" outlineLevel="0" collapsed="false">
      <c r="A1082" s="0" t="s">
        <v>2536</v>
      </c>
    </row>
    <row r="1083" customFormat="false" ht="12.75" hidden="false" customHeight="true" outlineLevel="0" collapsed="false">
      <c r="A1083" s="1" t="s">
        <v>2631</v>
      </c>
    </row>
    <row r="1084" customFormat="false" ht="12.75" hidden="false" customHeight="true" outlineLevel="0" collapsed="false">
      <c r="A1084" s="0" t="s">
        <v>2541</v>
      </c>
    </row>
    <row r="1085" customFormat="false" ht="12.75" hidden="false" customHeight="true" outlineLevel="0" collapsed="false">
      <c r="A1085" s="1" t="s">
        <v>1550</v>
      </c>
    </row>
    <row r="1086" customFormat="false" ht="12.75" hidden="false" customHeight="true" outlineLevel="0" collapsed="false">
      <c r="A1086" s="1" t="s">
        <v>1544</v>
      </c>
    </row>
    <row r="1087" customFormat="false" ht="12.75" hidden="false" customHeight="true" outlineLevel="0" collapsed="false"/>
    <row r="1088" customFormat="false" ht="12.75" hidden="false" customHeight="true" outlineLevel="0" collapsed="false">
      <c r="A1088" s="1" t="s">
        <v>1209</v>
      </c>
    </row>
    <row r="1089" customFormat="false" ht="12.75" hidden="false" customHeight="true" outlineLevel="0" collapsed="false">
      <c r="A1089" s="1" t="s">
        <v>1545</v>
      </c>
    </row>
    <row r="1090" customFormat="false" ht="12.75" hidden="false" customHeight="true" outlineLevel="0" collapsed="false">
      <c r="A1090" s="1" t="s">
        <v>1543</v>
      </c>
    </row>
    <row r="1091" customFormat="false" ht="12.75" hidden="false" customHeight="true" outlineLevel="0" collapsed="false">
      <c r="A1091" s="1" t="s">
        <v>1546</v>
      </c>
    </row>
    <row r="1092" customFormat="false" ht="12.75" hidden="false" customHeight="true" outlineLevel="0" collapsed="false">
      <c r="A1092" s="1" t="s">
        <v>1547</v>
      </c>
    </row>
    <row r="1093" customFormat="false" ht="12.75" hidden="false" customHeight="true" outlineLevel="0" collapsed="false"/>
    <row r="1094" customFormat="false" ht="12.75" hidden="false" customHeight="true" outlineLevel="0" collapsed="false">
      <c r="A1094" s="1" t="s">
        <v>1210</v>
      </c>
    </row>
    <row r="1095" customFormat="false" ht="12.75" hidden="false" customHeight="true" outlineLevel="0" collapsed="false">
      <c r="A1095" s="1" t="s">
        <v>1551</v>
      </c>
    </row>
    <row r="1096" customFormat="false" ht="12.75" hidden="false" customHeight="true" outlineLevel="0" collapsed="false">
      <c r="A1096" s="1" t="s">
        <v>1552</v>
      </c>
    </row>
    <row r="1097" customFormat="false" ht="12.75" hidden="false" customHeight="true" outlineLevel="0" collapsed="false"/>
    <row r="1098" customFormat="false" ht="12.75" hidden="false" customHeight="true" outlineLevel="0" collapsed="false">
      <c r="A1098" s="1" t="s">
        <v>1211</v>
      </c>
    </row>
    <row r="1099" customFormat="false" ht="12.75" hidden="false" customHeight="true" outlineLevel="0" collapsed="false">
      <c r="A1099" s="1" t="s">
        <v>1551</v>
      </c>
    </row>
    <row r="1100" customFormat="false" ht="12.75" hidden="false" customHeight="true" outlineLevel="0" collapsed="false">
      <c r="A1100" s="1" t="s">
        <v>1553</v>
      </c>
    </row>
    <row r="1101" customFormat="false" ht="12.75" hidden="false" customHeight="true" outlineLevel="0" collapsed="false"/>
    <row r="1102" customFormat="false" ht="12.75" hidden="false" customHeight="true" outlineLevel="0" collapsed="false">
      <c r="A1102" s="1" t="s">
        <v>1212</v>
      </c>
    </row>
    <row r="1103" customFormat="false" ht="12.75" hidden="false" customHeight="true" outlineLevel="0" collapsed="false">
      <c r="A1103" s="1" t="s">
        <v>1551</v>
      </c>
    </row>
    <row r="1104" customFormat="false" ht="12.75" hidden="false" customHeight="true" outlineLevel="0" collapsed="false">
      <c r="A1104" s="1" t="s">
        <v>2632</v>
      </c>
    </row>
    <row r="1105" customFormat="false" ht="12.75" hidden="false" customHeight="true" outlineLevel="0" collapsed="false">
      <c r="A1105" s="0" t="s">
        <v>2627</v>
      </c>
    </row>
    <row r="1106" customFormat="false" ht="12.75" hidden="false" customHeight="true" outlineLevel="0" collapsed="false">
      <c r="A1106" s="1" t="s">
        <v>1536</v>
      </c>
    </row>
    <row r="1107" customFormat="false" ht="12.75" hidden="false" customHeight="true" outlineLevel="0" collapsed="false">
      <c r="A1107" s="1" t="s">
        <v>1537</v>
      </c>
    </row>
    <row r="1108" customFormat="false" ht="12.75" hidden="false" customHeight="true" outlineLevel="0" collapsed="false">
      <c r="A1108" s="1" t="s">
        <v>1538</v>
      </c>
    </row>
    <row r="1109" customFormat="false" ht="12.75" hidden="false" customHeight="true" outlineLevel="0" collapsed="false">
      <c r="A1109" s="1" t="s">
        <v>2628</v>
      </c>
    </row>
    <row r="1110" customFormat="false" ht="12.75" hidden="false" customHeight="true" outlineLevel="0" collapsed="false">
      <c r="A1110" s="0" t="s">
        <v>2536</v>
      </c>
    </row>
    <row r="1111" customFormat="false" ht="12.75" hidden="false" customHeight="true" outlineLevel="0" collapsed="false">
      <c r="A1111" s="1" t="s">
        <v>2633</v>
      </c>
    </row>
    <row r="1112" customFormat="false" ht="12.75" hidden="false" customHeight="true" outlineLevel="0" collapsed="false">
      <c r="A1112" s="0" t="s">
        <v>2541</v>
      </c>
    </row>
    <row r="1113" customFormat="false" ht="12.75" hidden="false" customHeight="true" outlineLevel="0" collapsed="false">
      <c r="A1113" s="1" t="s">
        <v>1556</v>
      </c>
    </row>
    <row r="1114" customFormat="false" ht="12.75" hidden="false" customHeight="true" outlineLevel="0" collapsed="false">
      <c r="A1114" s="1" t="s">
        <v>1546</v>
      </c>
    </row>
    <row r="1115" customFormat="false" ht="12.75" hidden="false" customHeight="true" outlineLevel="0" collapsed="false"/>
    <row r="1116" customFormat="false" ht="12.75" hidden="false" customHeight="true" outlineLevel="0" collapsed="false">
      <c r="A1116" s="1" t="s">
        <v>1209</v>
      </c>
    </row>
    <row r="1117" customFormat="false" ht="12.75" hidden="false" customHeight="true" outlineLevel="0" collapsed="false">
      <c r="A1117" s="1" t="s">
        <v>1547</v>
      </c>
    </row>
    <row r="1118" customFormat="false" ht="12.75" hidden="false" customHeight="true" outlineLevel="0" collapsed="false">
      <c r="A1118" s="1" t="s">
        <v>1552</v>
      </c>
    </row>
    <row r="1119" customFormat="false" ht="12.75" hidden="false" customHeight="true" outlineLevel="0" collapsed="false">
      <c r="A1119" s="1" t="s">
        <v>1543</v>
      </c>
    </row>
    <row r="1120" customFormat="false" ht="12.75" hidden="false" customHeight="true" outlineLevel="0" collapsed="false">
      <c r="A1120" s="1" t="s">
        <v>1553</v>
      </c>
    </row>
    <row r="1121" customFormat="false" ht="12.75" hidden="false" customHeight="true" outlineLevel="0" collapsed="false"/>
    <row r="1122" customFormat="false" ht="12.75" hidden="false" customHeight="true" outlineLevel="0" collapsed="false">
      <c r="A1122" s="1" t="s">
        <v>1210</v>
      </c>
    </row>
    <row r="1123" customFormat="false" ht="12.75" hidden="false" customHeight="true" outlineLevel="0" collapsed="false">
      <c r="A1123" s="1" t="s">
        <v>1557</v>
      </c>
    </row>
    <row r="1124" customFormat="false" ht="12.75" hidden="false" customHeight="true" outlineLevel="0" collapsed="false">
      <c r="A1124" s="1" t="s">
        <v>1558</v>
      </c>
    </row>
    <row r="1125" customFormat="false" ht="12.75" hidden="false" customHeight="true" outlineLevel="0" collapsed="false"/>
    <row r="1126" customFormat="false" ht="12.75" hidden="false" customHeight="true" outlineLevel="0" collapsed="false">
      <c r="A1126" s="1" t="s">
        <v>1211</v>
      </c>
    </row>
    <row r="1127" customFormat="false" ht="12.75" hidden="false" customHeight="true" outlineLevel="0" collapsed="false">
      <c r="A1127" s="1" t="s">
        <v>1559</v>
      </c>
    </row>
    <row r="1128" customFormat="false" ht="12.75" hidden="false" customHeight="true" outlineLevel="0" collapsed="false">
      <c r="A1128" s="1" t="s">
        <v>1560</v>
      </c>
    </row>
    <row r="1129" customFormat="false" ht="12.75" hidden="false" customHeight="true" outlineLevel="0" collapsed="false"/>
    <row r="1130" customFormat="false" ht="12.75" hidden="false" customHeight="true" outlineLevel="0" collapsed="false">
      <c r="A1130" s="1" t="s">
        <v>1212</v>
      </c>
    </row>
    <row r="1131" customFormat="false" ht="12.75" hidden="false" customHeight="true" outlineLevel="0" collapsed="false">
      <c r="A1131" s="1" t="s">
        <v>1559</v>
      </c>
    </row>
    <row r="1132" customFormat="false" ht="12.75" hidden="false" customHeight="true" outlineLevel="0" collapsed="false">
      <c r="A1132" s="1" t="s">
        <v>2634</v>
      </c>
    </row>
    <row r="1133" customFormat="false" ht="12.75" hidden="false" customHeight="true" outlineLevel="0" collapsed="false">
      <c r="A1133" s="0" t="s">
        <v>2635</v>
      </c>
    </row>
    <row r="1134" customFormat="false" ht="12.75" hidden="false" customHeight="true" outlineLevel="0" collapsed="false">
      <c r="A1134" s="1" t="s">
        <v>1562</v>
      </c>
    </row>
    <row r="1135" customFormat="false" ht="12.75" hidden="false" customHeight="true" outlineLevel="0" collapsed="false">
      <c r="A1135" s="1" t="s">
        <v>1563</v>
      </c>
    </row>
    <row r="1136" customFormat="false" ht="12.75" hidden="false" customHeight="true" outlineLevel="0" collapsed="false">
      <c r="A1136" s="1" t="s">
        <v>1564</v>
      </c>
    </row>
    <row r="1137" customFormat="false" ht="12.75" hidden="false" customHeight="true" outlineLevel="0" collapsed="false">
      <c r="A1137" s="1" t="s">
        <v>2636</v>
      </c>
    </row>
    <row r="1138" customFormat="false" ht="12.75" hidden="false" customHeight="true" outlineLevel="0" collapsed="false">
      <c r="A1138" s="0" t="s">
        <v>2536</v>
      </c>
    </row>
    <row r="1139" customFormat="false" ht="12.75" hidden="false" customHeight="true" outlineLevel="0" collapsed="false">
      <c r="A1139" s="1" t="s">
        <v>2637</v>
      </c>
    </row>
    <row r="1140" customFormat="false" ht="12.75" hidden="false" customHeight="true" outlineLevel="0" collapsed="false">
      <c r="A1140" s="0" t="s">
        <v>2541</v>
      </c>
    </row>
    <row r="1141" customFormat="false" ht="12.75" hidden="false" customHeight="true" outlineLevel="0" collapsed="false">
      <c r="A1141" s="1" t="s">
        <v>1550</v>
      </c>
    </row>
    <row r="1142" customFormat="false" ht="12.75" hidden="false" customHeight="true" outlineLevel="0" collapsed="false">
      <c r="A1142" s="1" t="s">
        <v>1544</v>
      </c>
    </row>
    <row r="1143" customFormat="false" ht="12.75" hidden="false" customHeight="true" outlineLevel="0" collapsed="false"/>
    <row r="1144" customFormat="false" ht="12.75" hidden="false" customHeight="true" outlineLevel="0" collapsed="false">
      <c r="A1144" s="1" t="s">
        <v>1209</v>
      </c>
    </row>
    <row r="1145" customFormat="false" ht="12.75" hidden="false" customHeight="true" outlineLevel="0" collapsed="false">
      <c r="A1145" s="1" t="s">
        <v>1545</v>
      </c>
    </row>
    <row r="1146" customFormat="false" ht="12.75" hidden="false" customHeight="true" outlineLevel="0" collapsed="false">
      <c r="A1146" s="1" t="s">
        <v>1543</v>
      </c>
    </row>
    <row r="1147" customFormat="false" ht="12.75" hidden="false" customHeight="true" outlineLevel="0" collapsed="false">
      <c r="A1147" s="1" t="s">
        <v>1546</v>
      </c>
    </row>
    <row r="1148" customFormat="false" ht="12.75" hidden="false" customHeight="true" outlineLevel="0" collapsed="false">
      <c r="A1148" s="1" t="s">
        <v>1547</v>
      </c>
    </row>
    <row r="1149" customFormat="false" ht="12.75" hidden="false" customHeight="true" outlineLevel="0" collapsed="false"/>
    <row r="1150" customFormat="false" ht="12.75" hidden="false" customHeight="true" outlineLevel="0" collapsed="false">
      <c r="A1150" s="1" t="s">
        <v>1210</v>
      </c>
    </row>
    <row r="1151" customFormat="false" ht="12.75" hidden="false" customHeight="true" outlineLevel="0" collapsed="false">
      <c r="A1151" s="1" t="s">
        <v>1551</v>
      </c>
    </row>
    <row r="1152" customFormat="false" ht="12.75" hidden="false" customHeight="true" outlineLevel="0" collapsed="false">
      <c r="A1152" s="1" t="s">
        <v>1552</v>
      </c>
    </row>
    <row r="1153" customFormat="false" ht="12.75" hidden="false" customHeight="true" outlineLevel="0" collapsed="false"/>
    <row r="1154" customFormat="false" ht="12.75" hidden="false" customHeight="true" outlineLevel="0" collapsed="false">
      <c r="A1154" s="1" t="s">
        <v>1211</v>
      </c>
    </row>
    <row r="1155" customFormat="false" ht="12.75" hidden="false" customHeight="true" outlineLevel="0" collapsed="false">
      <c r="A1155" s="1" t="s">
        <v>1551</v>
      </c>
    </row>
    <row r="1156" customFormat="false" ht="12.75" hidden="false" customHeight="true" outlineLevel="0" collapsed="false">
      <c r="A1156" s="1" t="s">
        <v>1553</v>
      </c>
    </row>
    <row r="1157" customFormat="false" ht="12.75" hidden="false" customHeight="true" outlineLevel="0" collapsed="false"/>
    <row r="1158" customFormat="false" ht="12.75" hidden="false" customHeight="true" outlineLevel="0" collapsed="false">
      <c r="A1158" s="1" t="s">
        <v>1212</v>
      </c>
    </row>
    <row r="1159" customFormat="false" ht="12.75" hidden="false" customHeight="true" outlineLevel="0" collapsed="false">
      <c r="A1159" s="1" t="s">
        <v>1551</v>
      </c>
    </row>
    <row r="1160" customFormat="false" ht="12.75" hidden="false" customHeight="true" outlineLevel="0" collapsed="false">
      <c r="A1160" s="1" t="s">
        <v>2632</v>
      </c>
    </row>
    <row r="1161" customFormat="false" ht="12.75" hidden="false" customHeight="true" outlineLevel="0" collapsed="false">
      <c r="A1161" s="0" t="s">
        <v>2627</v>
      </c>
    </row>
    <row r="1162" customFormat="false" ht="12.75" hidden="false" customHeight="true" outlineLevel="0" collapsed="false">
      <c r="A1162" s="1" t="s">
        <v>1536</v>
      </c>
    </row>
    <row r="1163" customFormat="false" ht="12.75" hidden="false" customHeight="true" outlineLevel="0" collapsed="false">
      <c r="A1163" s="1" t="s">
        <v>1537</v>
      </c>
    </row>
    <row r="1164" customFormat="false" ht="12.75" hidden="false" customHeight="true" outlineLevel="0" collapsed="false">
      <c r="A1164" s="1" t="s">
        <v>1538</v>
      </c>
    </row>
    <row r="1165" customFormat="false" ht="12.75" hidden="false" customHeight="true" outlineLevel="0" collapsed="false">
      <c r="A1165" s="1" t="s">
        <v>2628</v>
      </c>
    </row>
    <row r="1166" customFormat="false" ht="12.75" hidden="false" customHeight="true" outlineLevel="0" collapsed="false">
      <c r="A1166" s="0" t="s">
        <v>2536</v>
      </c>
    </row>
    <row r="1167" customFormat="false" ht="12.75" hidden="false" customHeight="true" outlineLevel="0" collapsed="false">
      <c r="A1167" s="1" t="s">
        <v>2638</v>
      </c>
    </row>
    <row r="1168" customFormat="false" ht="12.75" hidden="false" customHeight="true" outlineLevel="0" collapsed="false">
      <c r="A1168" s="0" t="s">
        <v>2541</v>
      </c>
    </row>
    <row r="1169" customFormat="false" ht="12.75" hidden="false" customHeight="true" outlineLevel="0" collapsed="false">
      <c r="A1169" s="1" t="s">
        <v>1541</v>
      </c>
    </row>
    <row r="1170" customFormat="false" ht="12.75" hidden="false" customHeight="true" outlineLevel="0" collapsed="false">
      <c r="A1170" s="1" t="s">
        <v>1542</v>
      </c>
    </row>
    <row r="1171" customFormat="false" ht="12.75" hidden="false" customHeight="true" outlineLevel="0" collapsed="false"/>
    <row r="1172" customFormat="false" ht="12.75" hidden="false" customHeight="true" outlineLevel="0" collapsed="false">
      <c r="A1172" s="1" t="s">
        <v>1209</v>
      </c>
    </row>
    <row r="1173" customFormat="false" ht="12.75" hidden="false" customHeight="true" outlineLevel="0" collapsed="false">
      <c r="A1173" s="1" t="s">
        <v>1531</v>
      </c>
    </row>
    <row r="1174" customFormat="false" ht="12.75" hidden="false" customHeight="true" outlineLevel="0" collapsed="false">
      <c r="A1174" s="1" t="s">
        <v>1533</v>
      </c>
    </row>
    <row r="1175" customFormat="false" ht="12.75" hidden="false" customHeight="true" outlineLevel="0" collapsed="false">
      <c r="A1175" s="1" t="s">
        <v>1543</v>
      </c>
    </row>
    <row r="1176" customFormat="false" ht="12.75" hidden="false" customHeight="true" outlineLevel="0" collapsed="false">
      <c r="A1176" s="1" t="s">
        <v>1544</v>
      </c>
    </row>
    <row r="1177" customFormat="false" ht="12.75" hidden="false" customHeight="true" outlineLevel="0" collapsed="false"/>
    <row r="1178" customFormat="false" ht="12.75" hidden="false" customHeight="true" outlineLevel="0" collapsed="false">
      <c r="A1178" s="1" t="s">
        <v>1210</v>
      </c>
    </row>
    <row r="1179" customFormat="false" ht="12.75" hidden="false" customHeight="true" outlineLevel="0" collapsed="false">
      <c r="A1179" s="1" t="s">
        <v>1545</v>
      </c>
    </row>
    <row r="1180" customFormat="false" ht="12.75" hidden="false" customHeight="true" outlineLevel="0" collapsed="false">
      <c r="A1180" s="1" t="s">
        <v>1546</v>
      </c>
    </row>
    <row r="1181" customFormat="false" ht="12.75" hidden="false" customHeight="true" outlineLevel="0" collapsed="false"/>
    <row r="1182" customFormat="false" ht="12.75" hidden="false" customHeight="true" outlineLevel="0" collapsed="false">
      <c r="A1182" s="1" t="s">
        <v>1211</v>
      </c>
    </row>
    <row r="1183" customFormat="false" ht="12.75" hidden="false" customHeight="true" outlineLevel="0" collapsed="false">
      <c r="A1183" s="1" t="s">
        <v>1545</v>
      </c>
    </row>
    <row r="1184" customFormat="false" ht="12.75" hidden="false" customHeight="true" outlineLevel="0" collapsed="false">
      <c r="A1184" s="1" t="s">
        <v>1547</v>
      </c>
    </row>
    <row r="1185" customFormat="false" ht="12.75" hidden="false" customHeight="true" outlineLevel="0" collapsed="false"/>
    <row r="1186" customFormat="false" ht="12.75" hidden="false" customHeight="true" outlineLevel="0" collapsed="false">
      <c r="A1186" s="1" t="s">
        <v>1212</v>
      </c>
    </row>
    <row r="1187" customFormat="false" ht="12.75" hidden="false" customHeight="true" outlineLevel="0" collapsed="false">
      <c r="A1187" s="1" t="s">
        <v>1545</v>
      </c>
    </row>
    <row r="1188" customFormat="false" ht="12.75" hidden="false" customHeight="true" outlineLevel="0" collapsed="false">
      <c r="A1188" s="1" t="s">
        <v>2630</v>
      </c>
    </row>
    <row r="1189" customFormat="false" ht="12.75" hidden="false" customHeight="true" outlineLevel="0" collapsed="false">
      <c r="A1189" s="0" t="s">
        <v>2627</v>
      </c>
    </row>
    <row r="1190" customFormat="false" ht="12.75" hidden="false" customHeight="true" outlineLevel="0" collapsed="false">
      <c r="A1190" s="1" t="s">
        <v>1536</v>
      </c>
    </row>
    <row r="1191" customFormat="false" ht="12.75" hidden="false" customHeight="true" outlineLevel="0" collapsed="false">
      <c r="A1191" s="1" t="s">
        <v>1537</v>
      </c>
    </row>
    <row r="1192" customFormat="false" ht="12.75" hidden="false" customHeight="true" outlineLevel="0" collapsed="false">
      <c r="A1192" s="1" t="s">
        <v>1538</v>
      </c>
    </row>
    <row r="1193" customFormat="false" ht="12.75" hidden="false" customHeight="true" outlineLevel="0" collapsed="false">
      <c r="A1193" s="1" t="s">
        <v>2628</v>
      </c>
    </row>
    <row r="1194" customFormat="false" ht="12.75" hidden="false" customHeight="true" outlineLevel="0" collapsed="false">
      <c r="A1194" s="0" t="s">
        <v>2536</v>
      </c>
    </row>
    <row r="1195" customFormat="false" ht="12.75" hidden="false" customHeight="true" outlineLevel="0" collapsed="false">
      <c r="A1195" s="1" t="s">
        <v>2639</v>
      </c>
    </row>
    <row r="1196" customFormat="false" ht="12.75" hidden="false" customHeight="true" outlineLevel="0" collapsed="false">
      <c r="A1196" s="0" t="s">
        <v>2568</v>
      </c>
    </row>
    <row r="1197" customFormat="false" ht="12.75" hidden="false" customHeight="true" outlineLevel="0" collapsed="false">
      <c r="A1197" s="1" t="s">
        <v>1569</v>
      </c>
    </row>
    <row r="1198" customFormat="false" ht="12.75" hidden="false" customHeight="true" outlineLevel="0" collapsed="false">
      <c r="A1198" s="1" t="s">
        <v>1570</v>
      </c>
    </row>
    <row r="1199" customFormat="false" ht="12.75" hidden="false" customHeight="true" outlineLevel="0" collapsed="false"/>
    <row r="1200" customFormat="false" ht="12.75" hidden="false" customHeight="true" outlineLevel="0" collapsed="false">
      <c r="A1200" s="1" t="s">
        <v>1209</v>
      </c>
    </row>
    <row r="1201" customFormat="false" ht="12.75" hidden="false" customHeight="true" outlineLevel="0" collapsed="false">
      <c r="A1201" s="1" t="s">
        <v>1571</v>
      </c>
    </row>
    <row r="1202" customFormat="false" ht="12.75" hidden="false" customHeight="true" outlineLevel="0" collapsed="false">
      <c r="A1202" s="1" t="s">
        <v>1572</v>
      </c>
    </row>
    <row r="1203" customFormat="false" ht="12.75" hidden="false" customHeight="true" outlineLevel="0" collapsed="false">
      <c r="A1203" s="1" t="s">
        <v>1573</v>
      </c>
    </row>
    <row r="1204" customFormat="false" ht="12.75" hidden="false" customHeight="true" outlineLevel="0" collapsed="false">
      <c r="A1204" s="1" t="s">
        <v>1574</v>
      </c>
    </row>
    <row r="1205" customFormat="false" ht="12.75" hidden="false" customHeight="true" outlineLevel="0" collapsed="false"/>
    <row r="1206" customFormat="false" ht="12.75" hidden="false" customHeight="true" outlineLevel="0" collapsed="false">
      <c r="A1206" s="1" t="s">
        <v>1210</v>
      </c>
    </row>
    <row r="1207" customFormat="false" ht="12.75" hidden="false" customHeight="true" outlineLevel="0" collapsed="false">
      <c r="A1207" s="1" t="s">
        <v>1575</v>
      </c>
    </row>
    <row r="1208" customFormat="false" ht="12.75" hidden="false" customHeight="true" outlineLevel="0" collapsed="false">
      <c r="A1208" s="1" t="s">
        <v>1576</v>
      </c>
    </row>
    <row r="1209" customFormat="false" ht="12.75" hidden="false" customHeight="true" outlineLevel="0" collapsed="false"/>
    <row r="1210" customFormat="false" ht="12.75" hidden="false" customHeight="true" outlineLevel="0" collapsed="false">
      <c r="A1210" s="1" t="s">
        <v>1211</v>
      </c>
    </row>
    <row r="1211" customFormat="false" ht="12.75" hidden="false" customHeight="true" outlineLevel="0" collapsed="false">
      <c r="A1211" s="1" t="s">
        <v>1577</v>
      </c>
    </row>
    <row r="1212" customFormat="false" ht="12.75" hidden="false" customHeight="true" outlineLevel="0" collapsed="false">
      <c r="A1212" s="1" t="s">
        <v>1578</v>
      </c>
    </row>
    <row r="1213" customFormat="false" ht="12.75" hidden="false" customHeight="true" outlineLevel="0" collapsed="false"/>
    <row r="1214" customFormat="false" ht="12.75" hidden="false" customHeight="true" outlineLevel="0" collapsed="false">
      <c r="A1214" s="1" t="s">
        <v>1212</v>
      </c>
    </row>
    <row r="1215" customFormat="false" ht="12.75" hidden="false" customHeight="true" outlineLevel="0" collapsed="false">
      <c r="A1215" s="1" t="s">
        <v>1579</v>
      </c>
    </row>
    <row r="1216" customFormat="false" ht="12.75" hidden="false" customHeight="true" outlineLevel="0" collapsed="false">
      <c r="A1216" s="1" t="s">
        <v>2640</v>
      </c>
    </row>
    <row r="1217" customFormat="false" ht="12.75" hidden="false" customHeight="true" outlineLevel="0" collapsed="false">
      <c r="A1217" s="0" t="s">
        <v>2641</v>
      </c>
    </row>
    <row r="1218" customFormat="false" ht="12.75" hidden="false" customHeight="true" outlineLevel="0" collapsed="false">
      <c r="A1218" s="1" t="s">
        <v>1581</v>
      </c>
    </row>
    <row r="1219" customFormat="false" ht="12.75" hidden="false" customHeight="true" outlineLevel="0" collapsed="false">
      <c r="A1219" s="1" t="s">
        <v>1582</v>
      </c>
    </row>
    <row r="1220" customFormat="false" ht="12.75" hidden="false" customHeight="true" outlineLevel="0" collapsed="false">
      <c r="A1220" s="1" t="s">
        <v>1583</v>
      </c>
    </row>
    <row r="1221" customFormat="false" ht="12.75" hidden="false" customHeight="true" outlineLevel="0" collapsed="false">
      <c r="A1221" s="1" t="s">
        <v>2642</v>
      </c>
    </row>
    <row r="1222" customFormat="false" ht="12.75" hidden="false" customHeight="true" outlineLevel="0" collapsed="false">
      <c r="A1222" s="0" t="s">
        <v>2572</v>
      </c>
    </row>
    <row r="1223" customFormat="false" ht="12.75" hidden="false" customHeight="true" outlineLevel="0" collapsed="false">
      <c r="A1223" s="1" t="s">
        <v>1266</v>
      </c>
    </row>
    <row r="1224" customFormat="false" ht="12.75" hidden="false" customHeight="true" outlineLevel="0" collapsed="false">
      <c r="A1224" s="1" t="s">
        <v>1267</v>
      </c>
    </row>
    <row r="1225" customFormat="false" ht="12.75" hidden="false" customHeight="true" outlineLevel="0" collapsed="false"/>
    <row r="1226" customFormat="false" ht="12.75" hidden="false" customHeight="true" outlineLevel="0" collapsed="false">
      <c r="A1226" s="1" t="s">
        <v>1268</v>
      </c>
    </row>
    <row r="1227" customFormat="false" ht="12.75" hidden="false" customHeight="true" outlineLevel="0" collapsed="false">
      <c r="A1227" s="1" t="s">
        <v>1585</v>
      </c>
    </row>
    <row r="1228" customFormat="false" ht="12.75" hidden="false" customHeight="true" outlineLevel="0" collapsed="false">
      <c r="A1228" s="1" t="s">
        <v>1270</v>
      </c>
    </row>
    <row r="1229" customFormat="false" ht="12.75" hidden="false" customHeight="true" outlineLevel="0" collapsed="false">
      <c r="A1229" s="1" t="s">
        <v>1586</v>
      </c>
    </row>
    <row r="1230" customFormat="false" ht="12.75" hidden="false" customHeight="true" outlineLevel="0" collapsed="false"/>
    <row r="1231" customFormat="false" ht="12.75" hidden="false" customHeight="true" outlineLevel="0" collapsed="false">
      <c r="A1231" s="1" t="s">
        <v>1272</v>
      </c>
    </row>
    <row r="1232" customFormat="false" ht="12.75" hidden="false" customHeight="true" outlineLevel="0" collapsed="false">
      <c r="A1232" s="1" t="s">
        <v>1587</v>
      </c>
    </row>
    <row r="1233" customFormat="false" ht="12.75" hidden="false" customHeight="true" outlineLevel="0" collapsed="false">
      <c r="A1233" s="1" t="s">
        <v>1588</v>
      </c>
    </row>
    <row r="1234" customFormat="false" ht="12.75" hidden="false" customHeight="true" outlineLevel="0" collapsed="false">
      <c r="A1234" s="1" t="s">
        <v>1275</v>
      </c>
    </row>
    <row r="1235" customFormat="false" ht="12.75" hidden="false" customHeight="true" outlineLevel="0" collapsed="false">
      <c r="A1235" s="1" t="s">
        <v>1589</v>
      </c>
    </row>
    <row r="1236" customFormat="false" ht="12.75" hidden="false" customHeight="true" outlineLevel="0" collapsed="false">
      <c r="A1236" s="1" t="s">
        <v>2552</v>
      </c>
    </row>
    <row r="1237" customFormat="false" ht="12.75" hidden="false" customHeight="true" outlineLevel="0" collapsed="false">
      <c r="A1237" s="0" t="s">
        <v>2536</v>
      </c>
    </row>
    <row r="1238" customFormat="false" ht="12.75" hidden="false" customHeight="true" outlineLevel="0" collapsed="false">
      <c r="A1238" s="1" t="s">
        <v>2643</v>
      </c>
    </row>
    <row r="1239" customFormat="false" ht="12.75" hidden="false" customHeight="true" outlineLevel="0" collapsed="false">
      <c r="A1239" s="0" t="s">
        <v>2541</v>
      </c>
    </row>
    <row r="1240" customFormat="false" ht="12.75" hidden="false" customHeight="true" outlineLevel="0" collapsed="false">
      <c r="A1240" s="1" t="s">
        <v>1591</v>
      </c>
    </row>
    <row r="1241" customFormat="false" ht="12.75" hidden="false" customHeight="true" outlineLevel="0" collapsed="false">
      <c r="A1241" s="1" t="s">
        <v>1592</v>
      </c>
    </row>
    <row r="1242" customFormat="false" ht="12.75" hidden="false" customHeight="true" outlineLevel="0" collapsed="false"/>
    <row r="1243" customFormat="false" ht="12.75" hidden="false" customHeight="true" outlineLevel="0" collapsed="false">
      <c r="A1243" s="1" t="s">
        <v>1209</v>
      </c>
    </row>
    <row r="1244" customFormat="false" ht="12.75" hidden="false" customHeight="true" outlineLevel="0" collapsed="false">
      <c r="A1244" s="1" t="s">
        <v>1593</v>
      </c>
    </row>
    <row r="1245" customFormat="false" ht="12.75" hidden="false" customHeight="true" outlineLevel="0" collapsed="false">
      <c r="A1245" s="1" t="s">
        <v>1594</v>
      </c>
    </row>
    <row r="1246" customFormat="false" ht="12.75" hidden="false" customHeight="true" outlineLevel="0" collapsed="false">
      <c r="A1246" s="1" t="s">
        <v>1595</v>
      </c>
    </row>
    <row r="1247" customFormat="false" ht="12.75" hidden="false" customHeight="true" outlineLevel="0" collapsed="false">
      <c r="A1247" s="1" t="s">
        <v>1596</v>
      </c>
    </row>
    <row r="1248" customFormat="false" ht="12.75" hidden="false" customHeight="true" outlineLevel="0" collapsed="false"/>
    <row r="1249" customFormat="false" ht="12.75" hidden="false" customHeight="true" outlineLevel="0" collapsed="false">
      <c r="A1249" s="1" t="s">
        <v>1210</v>
      </c>
    </row>
    <row r="1250" customFormat="false" ht="12.75" hidden="false" customHeight="true" outlineLevel="0" collapsed="false">
      <c r="A1250" s="1" t="s">
        <v>1597</v>
      </c>
    </row>
    <row r="1251" customFormat="false" ht="12.75" hidden="false" customHeight="true" outlineLevel="0" collapsed="false">
      <c r="A1251" s="1" t="s">
        <v>1598</v>
      </c>
    </row>
    <row r="1252" customFormat="false" ht="12.75" hidden="false" customHeight="true" outlineLevel="0" collapsed="false"/>
    <row r="1253" customFormat="false" ht="12.75" hidden="false" customHeight="true" outlineLevel="0" collapsed="false">
      <c r="A1253" s="1" t="s">
        <v>1211</v>
      </c>
    </row>
    <row r="1254" customFormat="false" ht="12.75" hidden="false" customHeight="true" outlineLevel="0" collapsed="false">
      <c r="A1254" s="1" t="s">
        <v>1599</v>
      </c>
    </row>
    <row r="1255" customFormat="false" ht="12.75" hidden="false" customHeight="true" outlineLevel="0" collapsed="false">
      <c r="A1255" s="1" t="s">
        <v>1600</v>
      </c>
    </row>
    <row r="1256" customFormat="false" ht="12.75" hidden="false" customHeight="true" outlineLevel="0" collapsed="false"/>
    <row r="1257" customFormat="false" ht="12.75" hidden="false" customHeight="true" outlineLevel="0" collapsed="false">
      <c r="A1257" s="1" t="s">
        <v>1212</v>
      </c>
    </row>
    <row r="1258" customFormat="false" ht="12.75" hidden="false" customHeight="true" outlineLevel="0" collapsed="false">
      <c r="A1258" s="1" t="s">
        <v>1599</v>
      </c>
    </row>
    <row r="1259" customFormat="false" ht="12.75" hidden="false" customHeight="true" outlineLevel="0" collapsed="false">
      <c r="A1259" s="1" t="s">
        <v>2644</v>
      </c>
    </row>
    <row r="1260" customFormat="false" ht="12.75" hidden="false" customHeight="true" outlineLevel="0" collapsed="false">
      <c r="A1260" s="0" t="s">
        <v>2645</v>
      </c>
    </row>
    <row r="1261" customFormat="false" ht="12.75" hidden="false" customHeight="true" outlineLevel="0" collapsed="false">
      <c r="A1261" s="1" t="s">
        <v>1602</v>
      </c>
    </row>
    <row r="1262" customFormat="false" ht="12.75" hidden="false" customHeight="true" outlineLevel="0" collapsed="false">
      <c r="A1262" s="1" t="s">
        <v>1603</v>
      </c>
    </row>
    <row r="1263" customFormat="false" ht="12.75" hidden="false" customHeight="true" outlineLevel="0" collapsed="false">
      <c r="A1263" s="1" t="s">
        <v>1604</v>
      </c>
    </row>
    <row r="1264" customFormat="false" ht="12.75" hidden="false" customHeight="true" outlineLevel="0" collapsed="false">
      <c r="A1264" s="1" t="s">
        <v>2646</v>
      </c>
    </row>
    <row r="1265" customFormat="false" ht="12.75" hidden="false" customHeight="true" outlineLevel="0" collapsed="false">
      <c r="A1265" s="0" t="s">
        <v>2572</v>
      </c>
    </row>
    <row r="1266" customFormat="false" ht="12.75" hidden="false" customHeight="true" outlineLevel="0" collapsed="false">
      <c r="A1266" s="1" t="s">
        <v>1266</v>
      </c>
    </row>
    <row r="1267" customFormat="false" ht="12.75" hidden="false" customHeight="true" outlineLevel="0" collapsed="false">
      <c r="A1267" s="1" t="s">
        <v>1267</v>
      </c>
    </row>
    <row r="1268" customFormat="false" ht="12.75" hidden="false" customHeight="true" outlineLevel="0" collapsed="false"/>
    <row r="1269" customFormat="false" ht="12.75" hidden="false" customHeight="true" outlineLevel="0" collapsed="false">
      <c r="A1269" s="1" t="s">
        <v>1268</v>
      </c>
    </row>
    <row r="1270" customFormat="false" ht="12.75" hidden="false" customHeight="true" outlineLevel="0" collapsed="false">
      <c r="A1270" s="1" t="s">
        <v>1586</v>
      </c>
    </row>
    <row r="1271" customFormat="false" ht="12.75" hidden="false" customHeight="true" outlineLevel="0" collapsed="false">
      <c r="A1271" s="1" t="s">
        <v>1270</v>
      </c>
    </row>
    <row r="1272" customFormat="false" ht="12.75" hidden="false" customHeight="true" outlineLevel="0" collapsed="false">
      <c r="A1272" s="1" t="s">
        <v>1585</v>
      </c>
    </row>
    <row r="1273" customFormat="false" ht="12.75" hidden="false" customHeight="true" outlineLevel="0" collapsed="false"/>
    <row r="1274" customFormat="false" ht="12.75" hidden="false" customHeight="true" outlineLevel="0" collapsed="false">
      <c r="A1274" s="1" t="s">
        <v>1272</v>
      </c>
    </row>
    <row r="1275" customFormat="false" ht="12.75" hidden="false" customHeight="true" outlineLevel="0" collapsed="false">
      <c r="A1275" s="1" t="s">
        <v>1606</v>
      </c>
    </row>
    <row r="1276" customFormat="false" ht="12.75" hidden="false" customHeight="true" outlineLevel="0" collapsed="false">
      <c r="A1276" s="1" t="s">
        <v>1607</v>
      </c>
    </row>
    <row r="1277" customFormat="false" ht="12.75" hidden="false" customHeight="true" outlineLevel="0" collapsed="false">
      <c r="A1277" s="1" t="s">
        <v>1275</v>
      </c>
    </row>
    <row r="1278" customFormat="false" ht="12.75" hidden="false" customHeight="true" outlineLevel="0" collapsed="false">
      <c r="A1278" s="1" t="s">
        <v>1589</v>
      </c>
    </row>
    <row r="1279" customFormat="false" ht="12.75" hidden="false" customHeight="true" outlineLevel="0" collapsed="false">
      <c r="A1279" s="1" t="s">
        <v>2552</v>
      </c>
    </row>
    <row r="1280" customFormat="false" ht="12.75" hidden="false" customHeight="true" outlineLevel="0" collapsed="false">
      <c r="A1280" s="0" t="s">
        <v>2536</v>
      </c>
    </row>
    <row r="1281" customFormat="false" ht="12.75" hidden="false" customHeight="true" outlineLevel="0" collapsed="false">
      <c r="A1281" s="1" t="s">
        <v>2647</v>
      </c>
    </row>
    <row r="1282" customFormat="false" ht="12.75" hidden="false" customHeight="true" outlineLevel="0" collapsed="false">
      <c r="A1282" s="0" t="s">
        <v>2541</v>
      </c>
    </row>
    <row r="1283" customFormat="false" ht="12.75" hidden="false" customHeight="true" outlineLevel="0" collapsed="false">
      <c r="A1283" s="1" t="s">
        <v>1609</v>
      </c>
    </row>
    <row r="1284" customFormat="false" ht="12.75" hidden="false" customHeight="true" outlineLevel="0" collapsed="false">
      <c r="A1284" s="1" t="s">
        <v>1592</v>
      </c>
    </row>
    <row r="1285" customFormat="false" ht="12.75" hidden="false" customHeight="true" outlineLevel="0" collapsed="false"/>
    <row r="1286" customFormat="false" ht="12.75" hidden="false" customHeight="true" outlineLevel="0" collapsed="false">
      <c r="A1286" s="1" t="s">
        <v>1209</v>
      </c>
    </row>
    <row r="1287" customFormat="false" ht="12.75" hidden="false" customHeight="true" outlineLevel="0" collapsed="false">
      <c r="A1287" s="1" t="s">
        <v>1593</v>
      </c>
    </row>
    <row r="1288" customFormat="false" ht="12.75" hidden="false" customHeight="true" outlineLevel="0" collapsed="false">
      <c r="A1288" s="1" t="s">
        <v>1610</v>
      </c>
    </row>
    <row r="1289" customFormat="false" ht="12.75" hidden="false" customHeight="true" outlineLevel="0" collapsed="false">
      <c r="A1289" s="1" t="s">
        <v>1595</v>
      </c>
    </row>
    <row r="1290" customFormat="false" ht="12.75" hidden="false" customHeight="true" outlineLevel="0" collapsed="false">
      <c r="A1290" s="1" t="s">
        <v>1611</v>
      </c>
    </row>
    <row r="1291" customFormat="false" ht="12.75" hidden="false" customHeight="true" outlineLevel="0" collapsed="false"/>
    <row r="1292" customFormat="false" ht="12.75" hidden="false" customHeight="true" outlineLevel="0" collapsed="false">
      <c r="A1292" s="1" t="s">
        <v>1210</v>
      </c>
    </row>
    <row r="1293" customFormat="false" ht="12.75" hidden="false" customHeight="true" outlineLevel="0" collapsed="false">
      <c r="A1293" s="1" t="s">
        <v>1612</v>
      </c>
    </row>
    <row r="1294" customFormat="false" ht="12.75" hidden="false" customHeight="true" outlineLevel="0" collapsed="false">
      <c r="A1294" s="1" t="s">
        <v>1613</v>
      </c>
    </row>
    <row r="1295" customFormat="false" ht="12.75" hidden="false" customHeight="true" outlineLevel="0" collapsed="false"/>
    <row r="1296" customFormat="false" ht="12.75" hidden="false" customHeight="true" outlineLevel="0" collapsed="false">
      <c r="A1296" s="1" t="s">
        <v>1211</v>
      </c>
    </row>
    <row r="1297" customFormat="false" ht="12.75" hidden="false" customHeight="true" outlineLevel="0" collapsed="false">
      <c r="A1297" s="1" t="s">
        <v>1599</v>
      </c>
    </row>
    <row r="1298" customFormat="false" ht="12.75" hidden="false" customHeight="true" outlineLevel="0" collapsed="false">
      <c r="A1298" s="1" t="s">
        <v>1614</v>
      </c>
    </row>
    <row r="1299" customFormat="false" ht="12.75" hidden="false" customHeight="true" outlineLevel="0" collapsed="false"/>
    <row r="1300" customFormat="false" ht="12.75" hidden="false" customHeight="true" outlineLevel="0" collapsed="false">
      <c r="A1300" s="1" t="s">
        <v>1212</v>
      </c>
    </row>
    <row r="1301" customFormat="false" ht="12.75" hidden="false" customHeight="true" outlineLevel="0" collapsed="false">
      <c r="A1301" s="1" t="s">
        <v>1599</v>
      </c>
    </row>
    <row r="1302" customFormat="false" ht="12.75" hidden="false" customHeight="true" outlineLevel="0" collapsed="false">
      <c r="A1302" s="1" t="s">
        <v>2648</v>
      </c>
    </row>
    <row r="1303" customFormat="false" ht="12.75" hidden="false" customHeight="true" outlineLevel="0" collapsed="false">
      <c r="A1303" s="0" t="s">
        <v>2536</v>
      </c>
    </row>
    <row r="1304" customFormat="false" ht="12.75" hidden="false" customHeight="true" outlineLevel="0" collapsed="false">
      <c r="A1304" s="1" t="s">
        <v>2649</v>
      </c>
    </row>
    <row r="1305" customFormat="false" ht="12.75" hidden="false" customHeight="true" outlineLevel="0" collapsed="false">
      <c r="A1305" s="0" t="s">
        <v>2541</v>
      </c>
    </row>
    <row r="1306" customFormat="false" ht="12.75" hidden="false" customHeight="true" outlineLevel="0" collapsed="false">
      <c r="A1306" s="1" t="s">
        <v>1609</v>
      </c>
    </row>
    <row r="1307" customFormat="false" ht="12.75" hidden="false" customHeight="true" outlineLevel="0" collapsed="false">
      <c r="A1307" s="1" t="s">
        <v>1592</v>
      </c>
    </row>
    <row r="1308" customFormat="false" ht="12.75" hidden="false" customHeight="true" outlineLevel="0" collapsed="false"/>
    <row r="1309" customFormat="false" ht="12.75" hidden="false" customHeight="true" outlineLevel="0" collapsed="false">
      <c r="A1309" s="1" t="s">
        <v>1209</v>
      </c>
    </row>
    <row r="1310" customFormat="false" ht="12.75" hidden="false" customHeight="true" outlineLevel="0" collapsed="false">
      <c r="A1310" s="1" t="s">
        <v>1593</v>
      </c>
    </row>
    <row r="1311" customFormat="false" ht="12.75" hidden="false" customHeight="true" outlineLevel="0" collapsed="false">
      <c r="A1311" s="1" t="s">
        <v>1610</v>
      </c>
    </row>
    <row r="1312" customFormat="false" ht="12.75" hidden="false" customHeight="true" outlineLevel="0" collapsed="false">
      <c r="A1312" s="1" t="s">
        <v>1595</v>
      </c>
    </row>
    <row r="1313" customFormat="false" ht="12.75" hidden="false" customHeight="true" outlineLevel="0" collapsed="false">
      <c r="A1313" s="1" t="s">
        <v>1611</v>
      </c>
    </row>
    <row r="1314" customFormat="false" ht="12.75" hidden="false" customHeight="true" outlineLevel="0" collapsed="false"/>
    <row r="1315" customFormat="false" ht="12.75" hidden="false" customHeight="true" outlineLevel="0" collapsed="false">
      <c r="A1315" s="1" t="s">
        <v>1210</v>
      </c>
    </row>
    <row r="1316" customFormat="false" ht="12.75" hidden="false" customHeight="true" outlineLevel="0" collapsed="false">
      <c r="A1316" s="1" t="s">
        <v>1612</v>
      </c>
    </row>
    <row r="1317" customFormat="false" ht="12.75" hidden="false" customHeight="true" outlineLevel="0" collapsed="false">
      <c r="A1317" s="1" t="s">
        <v>1613</v>
      </c>
    </row>
    <row r="1318" customFormat="false" ht="12.75" hidden="false" customHeight="true" outlineLevel="0" collapsed="false"/>
    <row r="1319" customFormat="false" ht="12.75" hidden="false" customHeight="true" outlineLevel="0" collapsed="false">
      <c r="A1319" s="1" t="s">
        <v>1211</v>
      </c>
    </row>
    <row r="1320" customFormat="false" ht="12.75" hidden="false" customHeight="true" outlineLevel="0" collapsed="false">
      <c r="A1320" s="1" t="s">
        <v>1599</v>
      </c>
    </row>
    <row r="1321" customFormat="false" ht="12.75" hidden="false" customHeight="true" outlineLevel="0" collapsed="false">
      <c r="A1321" s="1" t="s">
        <v>1614</v>
      </c>
    </row>
    <row r="1322" customFormat="false" ht="12.75" hidden="false" customHeight="true" outlineLevel="0" collapsed="false"/>
    <row r="1323" customFormat="false" ht="12.75" hidden="false" customHeight="true" outlineLevel="0" collapsed="false">
      <c r="A1323" s="1" t="s">
        <v>1212</v>
      </c>
    </row>
    <row r="1324" customFormat="false" ht="12.75" hidden="false" customHeight="true" outlineLevel="0" collapsed="false">
      <c r="A1324" s="1" t="s">
        <v>1599</v>
      </c>
    </row>
    <row r="1325" customFormat="false" ht="12.75" hidden="false" customHeight="true" outlineLevel="0" collapsed="false">
      <c r="A1325" s="1" t="s">
        <v>2648</v>
      </c>
    </row>
    <row r="1326" customFormat="false" ht="12.75" hidden="false" customHeight="true" outlineLevel="0" collapsed="false">
      <c r="A1326" s="0" t="s">
        <v>2536</v>
      </c>
    </row>
    <row r="1327" customFormat="false" ht="12.75" hidden="false" customHeight="true" outlineLevel="0" collapsed="false">
      <c r="A1327" s="1" t="s">
        <v>2650</v>
      </c>
    </row>
    <row r="1328" customFormat="false" ht="12.75" hidden="false" customHeight="true" outlineLevel="0" collapsed="false">
      <c r="A1328" s="0" t="s">
        <v>2541</v>
      </c>
    </row>
    <row r="1329" customFormat="false" ht="12.75" hidden="false" customHeight="true" outlineLevel="0" collapsed="false">
      <c r="A1329" s="1" t="s">
        <v>1591</v>
      </c>
    </row>
    <row r="1330" customFormat="false" ht="12.75" hidden="false" customHeight="true" outlineLevel="0" collapsed="false">
      <c r="A1330" s="1" t="s">
        <v>1592</v>
      </c>
    </row>
    <row r="1331" customFormat="false" ht="12.75" hidden="false" customHeight="true" outlineLevel="0" collapsed="false"/>
    <row r="1332" customFormat="false" ht="12.75" hidden="false" customHeight="true" outlineLevel="0" collapsed="false">
      <c r="A1332" s="1" t="s">
        <v>1209</v>
      </c>
    </row>
    <row r="1333" customFormat="false" ht="12.75" hidden="false" customHeight="true" outlineLevel="0" collapsed="false">
      <c r="A1333" s="1" t="s">
        <v>1593</v>
      </c>
    </row>
    <row r="1334" customFormat="false" ht="12.75" hidden="false" customHeight="true" outlineLevel="0" collapsed="false">
      <c r="A1334" s="1" t="s">
        <v>1594</v>
      </c>
    </row>
    <row r="1335" customFormat="false" ht="12.75" hidden="false" customHeight="true" outlineLevel="0" collapsed="false">
      <c r="A1335" s="1" t="s">
        <v>1595</v>
      </c>
    </row>
    <row r="1336" customFormat="false" ht="12.75" hidden="false" customHeight="true" outlineLevel="0" collapsed="false">
      <c r="A1336" s="1" t="s">
        <v>1596</v>
      </c>
    </row>
    <row r="1337" customFormat="false" ht="12.75" hidden="false" customHeight="true" outlineLevel="0" collapsed="false"/>
    <row r="1338" customFormat="false" ht="12.75" hidden="false" customHeight="true" outlineLevel="0" collapsed="false">
      <c r="A1338" s="1" t="s">
        <v>1210</v>
      </c>
    </row>
    <row r="1339" customFormat="false" ht="12.75" hidden="false" customHeight="true" outlineLevel="0" collapsed="false">
      <c r="A1339" s="1" t="s">
        <v>1597</v>
      </c>
    </row>
    <row r="1340" customFormat="false" ht="12.75" hidden="false" customHeight="true" outlineLevel="0" collapsed="false">
      <c r="A1340" s="1" t="s">
        <v>1598</v>
      </c>
    </row>
    <row r="1341" customFormat="false" ht="12.75" hidden="false" customHeight="true" outlineLevel="0" collapsed="false"/>
    <row r="1342" customFormat="false" ht="12.75" hidden="false" customHeight="true" outlineLevel="0" collapsed="false">
      <c r="A1342" s="1" t="s">
        <v>1211</v>
      </c>
    </row>
    <row r="1343" customFormat="false" ht="12.75" hidden="false" customHeight="true" outlineLevel="0" collapsed="false">
      <c r="A1343" s="1" t="s">
        <v>1599</v>
      </c>
    </row>
    <row r="1344" customFormat="false" ht="12.75" hidden="false" customHeight="true" outlineLevel="0" collapsed="false">
      <c r="A1344" s="1" t="s">
        <v>1600</v>
      </c>
    </row>
    <row r="1345" customFormat="false" ht="12.75" hidden="false" customHeight="true" outlineLevel="0" collapsed="false"/>
    <row r="1346" customFormat="false" ht="12.75" hidden="false" customHeight="true" outlineLevel="0" collapsed="false">
      <c r="A1346" s="1" t="s">
        <v>1212</v>
      </c>
    </row>
    <row r="1347" customFormat="false" ht="12.75" hidden="false" customHeight="true" outlineLevel="0" collapsed="false">
      <c r="A1347" s="1" t="s">
        <v>1599</v>
      </c>
    </row>
    <row r="1348" customFormat="false" ht="12.75" hidden="false" customHeight="true" outlineLevel="0" collapsed="false">
      <c r="A1348" s="1" t="s">
        <v>2644</v>
      </c>
    </row>
    <row r="1349" customFormat="false" ht="12.75" hidden="false" customHeight="true" outlineLevel="0" collapsed="false">
      <c r="A1349" s="0" t="s">
        <v>2651</v>
      </c>
    </row>
    <row r="1350" customFormat="false" ht="12.75" hidden="false" customHeight="true" outlineLevel="0" collapsed="false">
      <c r="A1350" s="1" t="s">
        <v>1619</v>
      </c>
    </row>
    <row r="1351" customFormat="false" ht="12.75" hidden="false" customHeight="true" outlineLevel="0" collapsed="false">
      <c r="A1351" s="1" t="s">
        <v>1620</v>
      </c>
    </row>
    <row r="1352" customFormat="false" ht="12.75" hidden="false" customHeight="true" outlineLevel="0" collapsed="false">
      <c r="A1352" s="1" t="s">
        <v>1621</v>
      </c>
    </row>
    <row r="1353" customFormat="false" ht="12.75" hidden="false" customHeight="true" outlineLevel="0" collapsed="false">
      <c r="A1353" s="1" t="s">
        <v>2652</v>
      </c>
    </row>
    <row r="1354" customFormat="false" ht="12.75" hidden="false" customHeight="true" outlineLevel="0" collapsed="false">
      <c r="A1354" s="0" t="s">
        <v>2572</v>
      </c>
    </row>
    <row r="1355" customFormat="false" ht="12.75" hidden="false" customHeight="true" outlineLevel="0" collapsed="false">
      <c r="A1355" s="1" t="s">
        <v>1266</v>
      </c>
    </row>
    <row r="1356" customFormat="false" ht="12.75" hidden="false" customHeight="true" outlineLevel="0" collapsed="false">
      <c r="A1356" s="1" t="s">
        <v>1267</v>
      </c>
    </row>
    <row r="1357" customFormat="false" ht="12.75" hidden="false" customHeight="true" outlineLevel="0" collapsed="false"/>
    <row r="1358" customFormat="false" ht="12.75" hidden="false" customHeight="true" outlineLevel="0" collapsed="false">
      <c r="A1358" s="1" t="s">
        <v>1268</v>
      </c>
    </row>
    <row r="1359" customFormat="false" ht="12.75" hidden="false" customHeight="true" outlineLevel="0" collapsed="false">
      <c r="A1359" s="1" t="s">
        <v>1269</v>
      </c>
    </row>
    <row r="1360" customFormat="false" ht="12.75" hidden="false" customHeight="true" outlineLevel="0" collapsed="false">
      <c r="A1360" s="1" t="s">
        <v>1270</v>
      </c>
    </row>
    <row r="1361" customFormat="false" ht="12.75" hidden="false" customHeight="true" outlineLevel="0" collapsed="false">
      <c r="A1361" s="1" t="s">
        <v>1269</v>
      </c>
    </row>
    <row r="1362" customFormat="false" ht="12.75" hidden="false" customHeight="true" outlineLevel="0" collapsed="false"/>
    <row r="1363" customFormat="false" ht="12.75" hidden="false" customHeight="true" outlineLevel="0" collapsed="false">
      <c r="A1363" s="1" t="s">
        <v>1272</v>
      </c>
    </row>
    <row r="1364" customFormat="false" ht="12.75" hidden="false" customHeight="true" outlineLevel="0" collapsed="false">
      <c r="A1364" s="1" t="s">
        <v>1273</v>
      </c>
    </row>
    <row r="1365" customFormat="false" ht="12.75" hidden="false" customHeight="true" outlineLevel="0" collapsed="false">
      <c r="A1365" s="1" t="s">
        <v>1274</v>
      </c>
    </row>
    <row r="1366" customFormat="false" ht="12.75" hidden="false" customHeight="true" outlineLevel="0" collapsed="false">
      <c r="A1366" s="1" t="s">
        <v>1275</v>
      </c>
    </row>
    <row r="1367" customFormat="false" ht="12.75" hidden="false" customHeight="true" outlineLevel="0" collapsed="false">
      <c r="A1367" s="1" t="s">
        <v>1623</v>
      </c>
    </row>
    <row r="1368" customFormat="false" ht="12.75" hidden="false" customHeight="true" outlineLevel="0" collapsed="false">
      <c r="A1368" s="1" t="s">
        <v>2552</v>
      </c>
    </row>
    <row r="1369" customFormat="false" ht="12.75" hidden="false" customHeight="true" outlineLevel="0" collapsed="false">
      <c r="A1369" s="0" t="s">
        <v>2536</v>
      </c>
    </row>
    <row r="1370" customFormat="false" ht="12.75" hidden="false" customHeight="true" outlineLevel="0" collapsed="false">
      <c r="A1370" s="1" t="s">
        <v>2653</v>
      </c>
    </row>
    <row r="1371" customFormat="false" ht="12.75" hidden="false" customHeight="true" outlineLevel="0" collapsed="false">
      <c r="A1371" s="0" t="s">
        <v>2568</v>
      </c>
    </row>
    <row r="1372" customFormat="false" ht="12.75" hidden="false" customHeight="true" outlineLevel="0" collapsed="false">
      <c r="A1372" s="1" t="s">
        <v>1625</v>
      </c>
    </row>
    <row r="1373" customFormat="false" ht="12.75" hidden="false" customHeight="true" outlineLevel="0" collapsed="false">
      <c r="A1373" s="1" t="s">
        <v>1626</v>
      </c>
    </row>
    <row r="1374" customFormat="false" ht="12.75" hidden="false" customHeight="true" outlineLevel="0" collapsed="false"/>
    <row r="1375" customFormat="false" ht="12.75" hidden="false" customHeight="true" outlineLevel="0" collapsed="false">
      <c r="A1375" s="1" t="s">
        <v>1209</v>
      </c>
    </row>
    <row r="1376" customFormat="false" ht="12.75" hidden="false" customHeight="true" outlineLevel="0" collapsed="false">
      <c r="A1376" s="1" t="s">
        <v>1627</v>
      </c>
    </row>
    <row r="1377" customFormat="false" ht="12.75" hidden="false" customHeight="true" outlineLevel="0" collapsed="false">
      <c r="A1377" s="1" t="s">
        <v>1628</v>
      </c>
    </row>
    <row r="1378" customFormat="false" ht="12.75" hidden="false" customHeight="true" outlineLevel="0" collapsed="false">
      <c r="A1378" s="1" t="s">
        <v>1629</v>
      </c>
    </row>
    <row r="1379" customFormat="false" ht="12.75" hidden="false" customHeight="true" outlineLevel="0" collapsed="false">
      <c r="A1379" s="1" t="s">
        <v>1630</v>
      </c>
    </row>
    <row r="1380" customFormat="false" ht="12.75" hidden="false" customHeight="true" outlineLevel="0" collapsed="false"/>
    <row r="1381" customFormat="false" ht="12.75" hidden="false" customHeight="true" outlineLevel="0" collapsed="false">
      <c r="A1381" s="1" t="s">
        <v>1210</v>
      </c>
    </row>
    <row r="1382" customFormat="false" ht="12.75" hidden="false" customHeight="true" outlineLevel="0" collapsed="false">
      <c r="A1382" s="1" t="s">
        <v>1631</v>
      </c>
    </row>
    <row r="1383" customFormat="false" ht="12.75" hidden="false" customHeight="true" outlineLevel="0" collapsed="false">
      <c r="A1383" s="1" t="s">
        <v>1632</v>
      </c>
    </row>
    <row r="1384" customFormat="false" ht="12.75" hidden="false" customHeight="true" outlineLevel="0" collapsed="false"/>
    <row r="1385" customFormat="false" ht="12.75" hidden="false" customHeight="true" outlineLevel="0" collapsed="false">
      <c r="A1385" s="1" t="s">
        <v>1211</v>
      </c>
    </row>
    <row r="1386" customFormat="false" ht="12.75" hidden="false" customHeight="true" outlineLevel="0" collapsed="false">
      <c r="A1386" s="1" t="s">
        <v>1633</v>
      </c>
    </row>
    <row r="1387" customFormat="false" ht="12.75" hidden="false" customHeight="true" outlineLevel="0" collapsed="false">
      <c r="A1387" s="1" t="s">
        <v>1634</v>
      </c>
    </row>
    <row r="1388" customFormat="false" ht="12.75" hidden="false" customHeight="true" outlineLevel="0" collapsed="false"/>
    <row r="1389" customFormat="false" ht="12.75" hidden="false" customHeight="true" outlineLevel="0" collapsed="false">
      <c r="A1389" s="1" t="s">
        <v>1212</v>
      </c>
    </row>
    <row r="1390" customFormat="false" ht="12.75" hidden="false" customHeight="true" outlineLevel="0" collapsed="false">
      <c r="A1390" s="1" t="s">
        <v>1635</v>
      </c>
    </row>
    <row r="1391" customFormat="false" ht="12.75" hidden="false" customHeight="true" outlineLevel="0" collapsed="false">
      <c r="A1391" s="1" t="s">
        <v>2654</v>
      </c>
    </row>
    <row r="1392" customFormat="false" ht="12.75" hidden="false" customHeight="true" outlineLevel="0" collapsed="false">
      <c r="A1392" s="0" t="s">
        <v>2536</v>
      </c>
    </row>
    <row r="1393" customFormat="false" ht="12.75" hidden="false" customHeight="true" outlineLevel="0" collapsed="false">
      <c r="A1393" s="1" t="s">
        <v>2655</v>
      </c>
    </row>
    <row r="1394" customFormat="false" ht="12.75" hidden="false" customHeight="true" outlineLevel="0" collapsed="false">
      <c r="A1394" s="0" t="s">
        <v>2656</v>
      </c>
    </row>
    <row r="1395" customFormat="false" ht="12.75" hidden="false" customHeight="true" outlineLevel="0" collapsed="false">
      <c r="A1395" s="1" t="s">
        <v>1638</v>
      </c>
    </row>
    <row r="1396" customFormat="false" ht="12.75" hidden="false" customHeight="true" outlineLevel="0" collapsed="false">
      <c r="A1396" s="1" t="s">
        <v>1639</v>
      </c>
    </row>
    <row r="1397" customFormat="false" ht="12.75" hidden="false" customHeight="true" outlineLevel="0" collapsed="false"/>
    <row r="1398" customFormat="false" ht="12.75" hidden="false" customHeight="true" outlineLevel="0" collapsed="false">
      <c r="A1398" s="1" t="s">
        <v>1209</v>
      </c>
    </row>
    <row r="1399" customFormat="false" ht="12.75" hidden="false" customHeight="true" outlineLevel="0" collapsed="false">
      <c r="A1399" s="1" t="s">
        <v>1640</v>
      </c>
    </row>
    <row r="1400" customFormat="false" ht="12.75" hidden="false" customHeight="true" outlineLevel="0" collapsed="false">
      <c r="A1400" s="1" t="s">
        <v>1641</v>
      </c>
    </row>
    <row r="1401" customFormat="false" ht="12.75" hidden="false" customHeight="true" outlineLevel="0" collapsed="false">
      <c r="A1401" s="1" t="s">
        <v>1642</v>
      </c>
    </row>
    <row r="1402" customFormat="false" ht="12.75" hidden="false" customHeight="true" outlineLevel="0" collapsed="false">
      <c r="A1402" s="1" t="s">
        <v>1643</v>
      </c>
    </row>
    <row r="1403" customFormat="false" ht="12.75" hidden="false" customHeight="true" outlineLevel="0" collapsed="false"/>
    <row r="1404" customFormat="false" ht="12.75" hidden="false" customHeight="true" outlineLevel="0" collapsed="false">
      <c r="A1404" s="1" t="s">
        <v>1210</v>
      </c>
    </row>
    <row r="1405" customFormat="false" ht="12.75" hidden="false" customHeight="true" outlineLevel="0" collapsed="false">
      <c r="A1405" s="1" t="s">
        <v>1644</v>
      </c>
    </row>
    <row r="1406" customFormat="false" ht="12.75" hidden="false" customHeight="true" outlineLevel="0" collapsed="false">
      <c r="A1406" s="1" t="s">
        <v>1645</v>
      </c>
    </row>
    <row r="1407" customFormat="false" ht="12.75" hidden="false" customHeight="true" outlineLevel="0" collapsed="false"/>
    <row r="1408" customFormat="false" ht="12.75" hidden="false" customHeight="true" outlineLevel="0" collapsed="false">
      <c r="A1408" s="1" t="s">
        <v>1211</v>
      </c>
    </row>
    <row r="1409" customFormat="false" ht="12.75" hidden="false" customHeight="true" outlineLevel="0" collapsed="false">
      <c r="A1409" s="1" t="s">
        <v>1646</v>
      </c>
    </row>
    <row r="1410" customFormat="false" ht="12.75" hidden="false" customHeight="true" outlineLevel="0" collapsed="false">
      <c r="A1410" s="1" t="s">
        <v>1647</v>
      </c>
    </row>
    <row r="1411" customFormat="false" ht="12.75" hidden="false" customHeight="true" outlineLevel="0" collapsed="false"/>
    <row r="1412" customFormat="false" ht="12.75" hidden="false" customHeight="true" outlineLevel="0" collapsed="false">
      <c r="A1412" s="1" t="s">
        <v>1212</v>
      </c>
    </row>
    <row r="1413" customFormat="false" ht="12.75" hidden="false" customHeight="true" outlineLevel="0" collapsed="false">
      <c r="A1413" s="1" t="s">
        <v>1648</v>
      </c>
    </row>
    <row r="1414" customFormat="false" ht="12.75" hidden="false" customHeight="true" outlineLevel="0" collapsed="false">
      <c r="A1414" s="1" t="s">
        <v>2657</v>
      </c>
    </row>
    <row r="1415" customFormat="false" ht="12.75" hidden="false" customHeight="true" outlineLevel="0" collapsed="false">
      <c r="A1415" s="0" t="s">
        <v>2536</v>
      </c>
    </row>
    <row r="1416" customFormat="false" ht="12.75" hidden="false" customHeight="true" outlineLevel="0" collapsed="false">
      <c r="A1416" s="1" t="s">
        <v>2658</v>
      </c>
    </row>
    <row r="1417" customFormat="false" ht="12.75" hidden="false" customHeight="true" outlineLevel="0" collapsed="false">
      <c r="A1417" s="0" t="s">
        <v>2606</v>
      </c>
    </row>
    <row r="1418" customFormat="false" ht="12.75" hidden="false" customHeight="true" outlineLevel="0" collapsed="false">
      <c r="A1418" s="1" t="s">
        <v>1638</v>
      </c>
    </row>
    <row r="1419" customFormat="false" ht="12.75" hidden="false" customHeight="true" outlineLevel="0" collapsed="false">
      <c r="A1419" s="1" t="s">
        <v>1639</v>
      </c>
    </row>
    <row r="1420" customFormat="false" ht="12.75" hidden="false" customHeight="true" outlineLevel="0" collapsed="false"/>
    <row r="1421" customFormat="false" ht="12.75" hidden="false" customHeight="true" outlineLevel="0" collapsed="false">
      <c r="A1421" s="1" t="s">
        <v>1209</v>
      </c>
    </row>
    <row r="1422" customFormat="false" ht="12.75" hidden="false" customHeight="true" outlineLevel="0" collapsed="false">
      <c r="A1422" s="1" t="s">
        <v>1640</v>
      </c>
    </row>
    <row r="1423" customFormat="false" ht="12.75" hidden="false" customHeight="true" outlineLevel="0" collapsed="false">
      <c r="A1423" s="1" t="s">
        <v>1641</v>
      </c>
    </row>
    <row r="1424" customFormat="false" ht="12.75" hidden="false" customHeight="true" outlineLevel="0" collapsed="false">
      <c r="A1424" s="1" t="s">
        <v>1642</v>
      </c>
    </row>
    <row r="1425" customFormat="false" ht="12.75" hidden="false" customHeight="true" outlineLevel="0" collapsed="false">
      <c r="A1425" s="1" t="s">
        <v>1643</v>
      </c>
    </row>
    <row r="1426" customFormat="false" ht="12.75" hidden="false" customHeight="true" outlineLevel="0" collapsed="false"/>
    <row r="1427" customFormat="false" ht="12.75" hidden="false" customHeight="true" outlineLevel="0" collapsed="false">
      <c r="A1427" s="1" t="s">
        <v>1210</v>
      </c>
    </row>
    <row r="1428" customFormat="false" ht="12.75" hidden="false" customHeight="true" outlineLevel="0" collapsed="false">
      <c r="A1428" s="1" t="s">
        <v>1644</v>
      </c>
    </row>
    <row r="1429" customFormat="false" ht="12.75" hidden="false" customHeight="true" outlineLevel="0" collapsed="false">
      <c r="A1429" s="1" t="s">
        <v>1645</v>
      </c>
    </row>
    <row r="1430" customFormat="false" ht="12.75" hidden="false" customHeight="true" outlineLevel="0" collapsed="false"/>
    <row r="1431" customFormat="false" ht="12.75" hidden="false" customHeight="true" outlineLevel="0" collapsed="false">
      <c r="A1431" s="1" t="s">
        <v>1211</v>
      </c>
    </row>
    <row r="1432" customFormat="false" ht="12.75" hidden="false" customHeight="true" outlineLevel="0" collapsed="false">
      <c r="A1432" s="1" t="s">
        <v>1646</v>
      </c>
    </row>
    <row r="1433" customFormat="false" ht="12.75" hidden="false" customHeight="true" outlineLevel="0" collapsed="false">
      <c r="A1433" s="1" t="s">
        <v>1647</v>
      </c>
    </row>
    <row r="1434" customFormat="false" ht="12.75" hidden="false" customHeight="true" outlineLevel="0" collapsed="false"/>
    <row r="1435" customFormat="false" ht="12.75" hidden="false" customHeight="true" outlineLevel="0" collapsed="false">
      <c r="A1435" s="1" t="s">
        <v>1212</v>
      </c>
    </row>
    <row r="1436" customFormat="false" ht="12.75" hidden="false" customHeight="true" outlineLevel="0" collapsed="false">
      <c r="A1436" s="1" t="s">
        <v>1648</v>
      </c>
    </row>
    <row r="1437" customFormat="false" ht="12.75" hidden="false" customHeight="true" outlineLevel="0" collapsed="false">
      <c r="A1437" s="1" t="s">
        <v>2657</v>
      </c>
    </row>
    <row r="1438" customFormat="false" ht="12.75" hidden="false" customHeight="true" outlineLevel="0" collapsed="false">
      <c r="A1438" s="0" t="s">
        <v>2536</v>
      </c>
    </row>
    <row r="1439" customFormat="false" ht="12.75" hidden="false" customHeight="true" outlineLevel="0" collapsed="false">
      <c r="A1439" s="1" t="s">
        <v>2659</v>
      </c>
    </row>
    <row r="1440" customFormat="false" ht="12.75" hidden="false" customHeight="true" outlineLevel="0" collapsed="false">
      <c r="A1440" s="0" t="s">
        <v>2660</v>
      </c>
    </row>
    <row r="1441" customFormat="false" ht="12.75" hidden="false" customHeight="true" outlineLevel="0" collapsed="false">
      <c r="A1441" s="1" t="s">
        <v>1638</v>
      </c>
    </row>
    <row r="1442" customFormat="false" ht="12.75" hidden="false" customHeight="true" outlineLevel="0" collapsed="false">
      <c r="A1442" s="1" t="s">
        <v>1639</v>
      </c>
    </row>
    <row r="1443" customFormat="false" ht="12.75" hidden="false" customHeight="true" outlineLevel="0" collapsed="false"/>
    <row r="1444" customFormat="false" ht="12.75" hidden="false" customHeight="true" outlineLevel="0" collapsed="false">
      <c r="A1444" s="1" t="s">
        <v>1209</v>
      </c>
    </row>
    <row r="1445" customFormat="false" ht="12.75" hidden="false" customHeight="true" outlineLevel="0" collapsed="false">
      <c r="A1445" s="1" t="s">
        <v>1640</v>
      </c>
    </row>
    <row r="1446" customFormat="false" ht="12.75" hidden="false" customHeight="true" outlineLevel="0" collapsed="false">
      <c r="A1446" s="1" t="s">
        <v>1641</v>
      </c>
    </row>
    <row r="1447" customFormat="false" ht="12.75" hidden="false" customHeight="true" outlineLevel="0" collapsed="false">
      <c r="A1447" s="1" t="s">
        <v>1642</v>
      </c>
    </row>
    <row r="1448" customFormat="false" ht="12.75" hidden="false" customHeight="true" outlineLevel="0" collapsed="false">
      <c r="A1448" s="1" t="s">
        <v>1643</v>
      </c>
    </row>
    <row r="1449" customFormat="false" ht="12.75" hidden="false" customHeight="true" outlineLevel="0" collapsed="false"/>
    <row r="1450" customFormat="false" ht="12.75" hidden="false" customHeight="true" outlineLevel="0" collapsed="false">
      <c r="A1450" s="1" t="s">
        <v>1210</v>
      </c>
    </row>
    <row r="1451" customFormat="false" ht="12.75" hidden="false" customHeight="true" outlineLevel="0" collapsed="false">
      <c r="A1451" s="1" t="s">
        <v>1644</v>
      </c>
    </row>
    <row r="1452" customFormat="false" ht="12.75" hidden="false" customHeight="true" outlineLevel="0" collapsed="false">
      <c r="A1452" s="1" t="s">
        <v>1645</v>
      </c>
    </row>
    <row r="1453" customFormat="false" ht="12.75" hidden="false" customHeight="true" outlineLevel="0" collapsed="false"/>
    <row r="1454" customFormat="false" ht="12.75" hidden="false" customHeight="true" outlineLevel="0" collapsed="false">
      <c r="A1454" s="1" t="s">
        <v>1211</v>
      </c>
    </row>
    <row r="1455" customFormat="false" ht="12.75" hidden="false" customHeight="true" outlineLevel="0" collapsed="false">
      <c r="A1455" s="1" t="s">
        <v>1646</v>
      </c>
    </row>
    <row r="1456" customFormat="false" ht="12.75" hidden="false" customHeight="true" outlineLevel="0" collapsed="false">
      <c r="A1456" s="1" t="s">
        <v>1647</v>
      </c>
    </row>
    <row r="1457" customFormat="false" ht="12.75" hidden="false" customHeight="true" outlineLevel="0" collapsed="false"/>
    <row r="1458" customFormat="false" ht="12.75" hidden="false" customHeight="true" outlineLevel="0" collapsed="false">
      <c r="A1458" s="1" t="s">
        <v>1212</v>
      </c>
    </row>
    <row r="1459" customFormat="false" ht="12.75" hidden="false" customHeight="true" outlineLevel="0" collapsed="false">
      <c r="A1459" s="1" t="s">
        <v>1648</v>
      </c>
    </row>
    <row r="1460" customFormat="false" ht="12.75" hidden="false" customHeight="true" outlineLevel="0" collapsed="false">
      <c r="A1460" s="1" t="s">
        <v>2657</v>
      </c>
    </row>
    <row r="1461" customFormat="false" ht="12.75" hidden="false" customHeight="true" outlineLevel="0" collapsed="false">
      <c r="A1461" s="0" t="s">
        <v>2536</v>
      </c>
    </row>
    <row r="1462" customFormat="false" ht="12.75" hidden="false" customHeight="true" outlineLevel="0" collapsed="false">
      <c r="A1462" s="1" t="s">
        <v>2661</v>
      </c>
    </row>
    <row r="1463" customFormat="false" ht="12.75" hidden="false" customHeight="true" outlineLevel="0" collapsed="false">
      <c r="A1463" s="0" t="s">
        <v>2609</v>
      </c>
    </row>
    <row r="1464" customFormat="false" ht="12.75" hidden="false" customHeight="true" outlineLevel="0" collapsed="false">
      <c r="A1464" s="1" t="s">
        <v>1638</v>
      </c>
    </row>
    <row r="1465" customFormat="false" ht="12.75" hidden="false" customHeight="true" outlineLevel="0" collapsed="false">
      <c r="A1465" s="1" t="s">
        <v>1639</v>
      </c>
    </row>
    <row r="1466" customFormat="false" ht="12.75" hidden="false" customHeight="true" outlineLevel="0" collapsed="false"/>
    <row r="1467" customFormat="false" ht="12.75" hidden="false" customHeight="true" outlineLevel="0" collapsed="false">
      <c r="A1467" s="1" t="s">
        <v>1209</v>
      </c>
    </row>
    <row r="1468" customFormat="false" ht="12.75" hidden="false" customHeight="true" outlineLevel="0" collapsed="false">
      <c r="A1468" s="1" t="s">
        <v>1640</v>
      </c>
    </row>
    <row r="1469" customFormat="false" ht="12.75" hidden="false" customHeight="true" outlineLevel="0" collapsed="false">
      <c r="A1469" s="1" t="s">
        <v>1641</v>
      </c>
    </row>
    <row r="1470" customFormat="false" ht="12.75" hidden="false" customHeight="true" outlineLevel="0" collapsed="false">
      <c r="A1470" s="1" t="s">
        <v>1642</v>
      </c>
    </row>
    <row r="1471" customFormat="false" ht="12.75" hidden="false" customHeight="true" outlineLevel="0" collapsed="false">
      <c r="A1471" s="1" t="s">
        <v>1643</v>
      </c>
    </row>
    <row r="1472" customFormat="false" ht="12.75" hidden="false" customHeight="true" outlineLevel="0" collapsed="false"/>
    <row r="1473" customFormat="false" ht="12.75" hidden="false" customHeight="true" outlineLevel="0" collapsed="false">
      <c r="A1473" s="1" t="s">
        <v>1210</v>
      </c>
    </row>
    <row r="1474" customFormat="false" ht="12.75" hidden="false" customHeight="true" outlineLevel="0" collapsed="false">
      <c r="A1474" s="1" t="s">
        <v>1644</v>
      </c>
    </row>
    <row r="1475" customFormat="false" ht="12.75" hidden="false" customHeight="true" outlineLevel="0" collapsed="false">
      <c r="A1475" s="1" t="s">
        <v>1645</v>
      </c>
    </row>
    <row r="1476" customFormat="false" ht="12.75" hidden="false" customHeight="true" outlineLevel="0" collapsed="false"/>
    <row r="1477" customFormat="false" ht="12.75" hidden="false" customHeight="true" outlineLevel="0" collapsed="false">
      <c r="A1477" s="1" t="s">
        <v>1211</v>
      </c>
    </row>
    <row r="1478" customFormat="false" ht="12.75" hidden="false" customHeight="true" outlineLevel="0" collapsed="false">
      <c r="A1478" s="1" t="s">
        <v>1646</v>
      </c>
    </row>
    <row r="1479" customFormat="false" ht="12.75" hidden="false" customHeight="true" outlineLevel="0" collapsed="false">
      <c r="A1479" s="1" t="s">
        <v>1647</v>
      </c>
    </row>
    <row r="1480" customFormat="false" ht="12.75" hidden="false" customHeight="true" outlineLevel="0" collapsed="false"/>
    <row r="1481" customFormat="false" ht="12.75" hidden="false" customHeight="true" outlineLevel="0" collapsed="false">
      <c r="A1481" s="1" t="s">
        <v>1212</v>
      </c>
    </row>
    <row r="1482" customFormat="false" ht="12.75" hidden="false" customHeight="true" outlineLevel="0" collapsed="false">
      <c r="A1482" s="1" t="s">
        <v>1648</v>
      </c>
    </row>
    <row r="1483" customFormat="false" ht="12.75" hidden="false" customHeight="true" outlineLevel="0" collapsed="false">
      <c r="A1483" s="1" t="s">
        <v>2657</v>
      </c>
    </row>
    <row r="1484" customFormat="false" ht="12.75" hidden="false" customHeight="true" outlineLevel="0" collapsed="false">
      <c r="A1484" s="0" t="s">
        <v>2536</v>
      </c>
    </row>
    <row r="1485" customFormat="false" ht="12.75" hidden="false" customHeight="true" outlineLevel="0" collapsed="false">
      <c r="A1485" s="1" t="s">
        <v>2662</v>
      </c>
    </row>
    <row r="1486" customFormat="false" ht="12.75" hidden="false" customHeight="true" outlineLevel="0" collapsed="false">
      <c r="A1486" s="0" t="s">
        <v>2544</v>
      </c>
    </row>
    <row r="1487" customFormat="false" ht="12.75" hidden="false" customHeight="true" outlineLevel="0" collapsed="false">
      <c r="A1487" s="1" t="s">
        <v>1638</v>
      </c>
    </row>
    <row r="1488" customFormat="false" ht="12.75" hidden="false" customHeight="true" outlineLevel="0" collapsed="false">
      <c r="A1488" s="1" t="s">
        <v>1639</v>
      </c>
    </row>
    <row r="1489" customFormat="false" ht="12.75" hidden="false" customHeight="true" outlineLevel="0" collapsed="false"/>
    <row r="1490" customFormat="false" ht="12.75" hidden="false" customHeight="true" outlineLevel="0" collapsed="false">
      <c r="A1490" s="1" t="s">
        <v>1209</v>
      </c>
    </row>
    <row r="1491" customFormat="false" ht="12.75" hidden="false" customHeight="true" outlineLevel="0" collapsed="false">
      <c r="A1491" s="1" t="s">
        <v>1640</v>
      </c>
    </row>
    <row r="1492" customFormat="false" ht="12.75" hidden="false" customHeight="true" outlineLevel="0" collapsed="false">
      <c r="A1492" s="1" t="s">
        <v>1641</v>
      </c>
    </row>
    <row r="1493" customFormat="false" ht="12.75" hidden="false" customHeight="true" outlineLevel="0" collapsed="false">
      <c r="A1493" s="1" t="s">
        <v>1642</v>
      </c>
    </row>
    <row r="1494" customFormat="false" ht="12.75" hidden="false" customHeight="true" outlineLevel="0" collapsed="false">
      <c r="A1494" s="1" t="s">
        <v>1643</v>
      </c>
    </row>
    <row r="1495" customFormat="false" ht="12.75" hidden="false" customHeight="true" outlineLevel="0" collapsed="false"/>
    <row r="1496" customFormat="false" ht="12.75" hidden="false" customHeight="true" outlineLevel="0" collapsed="false">
      <c r="A1496" s="1" t="s">
        <v>1210</v>
      </c>
    </row>
    <row r="1497" customFormat="false" ht="12.75" hidden="false" customHeight="true" outlineLevel="0" collapsed="false">
      <c r="A1497" s="1" t="s">
        <v>1644</v>
      </c>
    </row>
    <row r="1498" customFormat="false" ht="12.75" hidden="false" customHeight="true" outlineLevel="0" collapsed="false">
      <c r="A1498" s="1" t="s">
        <v>1645</v>
      </c>
    </row>
    <row r="1499" customFormat="false" ht="12.75" hidden="false" customHeight="true" outlineLevel="0" collapsed="false"/>
    <row r="1500" customFormat="false" ht="12.75" hidden="false" customHeight="true" outlineLevel="0" collapsed="false">
      <c r="A1500" s="1" t="s">
        <v>1211</v>
      </c>
    </row>
    <row r="1501" customFormat="false" ht="12.75" hidden="false" customHeight="true" outlineLevel="0" collapsed="false">
      <c r="A1501" s="1" t="s">
        <v>1646</v>
      </c>
    </row>
    <row r="1502" customFormat="false" ht="12.75" hidden="false" customHeight="true" outlineLevel="0" collapsed="false">
      <c r="A1502" s="1" t="s">
        <v>1647</v>
      </c>
    </row>
    <row r="1503" customFormat="false" ht="12.75" hidden="false" customHeight="true" outlineLevel="0" collapsed="false"/>
    <row r="1504" customFormat="false" ht="12.75" hidden="false" customHeight="true" outlineLevel="0" collapsed="false">
      <c r="A1504" s="1" t="s">
        <v>1212</v>
      </c>
    </row>
    <row r="1505" customFormat="false" ht="12.75" hidden="false" customHeight="true" outlineLevel="0" collapsed="false">
      <c r="A1505" s="1" t="s">
        <v>1648</v>
      </c>
    </row>
    <row r="1506" customFormat="false" ht="12.75" hidden="false" customHeight="true" outlineLevel="0" collapsed="false">
      <c r="A1506" s="1" t="s">
        <v>2657</v>
      </c>
    </row>
    <row r="1507" customFormat="false" ht="12.75" hidden="false" customHeight="true" outlineLevel="0" collapsed="false">
      <c r="A1507" s="0" t="s">
        <v>2536</v>
      </c>
    </row>
    <row r="1508" customFormat="false" ht="12.75" hidden="false" customHeight="true" outlineLevel="0" collapsed="false">
      <c r="A1508" s="1" t="s">
        <v>2663</v>
      </c>
    </row>
    <row r="1509" customFormat="false" ht="12.75" hidden="false" customHeight="true" outlineLevel="0" collapsed="false">
      <c r="A1509" s="0" t="s">
        <v>2611</v>
      </c>
    </row>
    <row r="1510" customFormat="false" ht="12.75" hidden="false" customHeight="true" outlineLevel="0" collapsed="false">
      <c r="A1510" s="1" t="s">
        <v>1638</v>
      </c>
    </row>
    <row r="1511" customFormat="false" ht="12.75" hidden="false" customHeight="true" outlineLevel="0" collapsed="false">
      <c r="A1511" s="1" t="s">
        <v>1639</v>
      </c>
    </row>
    <row r="1512" customFormat="false" ht="12.75" hidden="false" customHeight="true" outlineLevel="0" collapsed="false"/>
    <row r="1513" customFormat="false" ht="12.75" hidden="false" customHeight="true" outlineLevel="0" collapsed="false">
      <c r="A1513" s="1" t="s">
        <v>1209</v>
      </c>
    </row>
    <row r="1514" customFormat="false" ht="12.75" hidden="false" customHeight="true" outlineLevel="0" collapsed="false">
      <c r="A1514" s="1" t="s">
        <v>1640</v>
      </c>
    </row>
    <row r="1515" customFormat="false" ht="12.75" hidden="false" customHeight="true" outlineLevel="0" collapsed="false">
      <c r="A1515" s="1" t="s">
        <v>1641</v>
      </c>
    </row>
    <row r="1516" customFormat="false" ht="12.75" hidden="false" customHeight="true" outlineLevel="0" collapsed="false">
      <c r="A1516" s="1" t="s">
        <v>1642</v>
      </c>
    </row>
    <row r="1517" customFormat="false" ht="12.75" hidden="false" customHeight="true" outlineLevel="0" collapsed="false">
      <c r="A1517" s="1" t="s">
        <v>1643</v>
      </c>
    </row>
    <row r="1518" customFormat="false" ht="12.75" hidden="false" customHeight="true" outlineLevel="0" collapsed="false"/>
    <row r="1519" customFormat="false" ht="12.75" hidden="false" customHeight="true" outlineLevel="0" collapsed="false">
      <c r="A1519" s="1" t="s">
        <v>1210</v>
      </c>
    </row>
    <row r="1520" customFormat="false" ht="12.75" hidden="false" customHeight="true" outlineLevel="0" collapsed="false">
      <c r="A1520" s="1" t="s">
        <v>1644</v>
      </c>
    </row>
    <row r="1521" customFormat="false" ht="12.75" hidden="false" customHeight="true" outlineLevel="0" collapsed="false">
      <c r="A1521" s="1" t="s">
        <v>1645</v>
      </c>
    </row>
    <row r="1522" customFormat="false" ht="12.75" hidden="false" customHeight="true" outlineLevel="0" collapsed="false"/>
    <row r="1523" customFormat="false" ht="12.75" hidden="false" customHeight="true" outlineLevel="0" collapsed="false">
      <c r="A1523" s="1" t="s">
        <v>1211</v>
      </c>
    </row>
    <row r="1524" customFormat="false" ht="12.75" hidden="false" customHeight="true" outlineLevel="0" collapsed="false">
      <c r="A1524" s="1" t="s">
        <v>1646</v>
      </c>
    </row>
    <row r="1525" customFormat="false" ht="12.75" hidden="false" customHeight="true" outlineLevel="0" collapsed="false">
      <c r="A1525" s="1" t="s">
        <v>1647</v>
      </c>
    </row>
    <row r="1526" customFormat="false" ht="12.75" hidden="false" customHeight="true" outlineLevel="0" collapsed="false"/>
    <row r="1527" customFormat="false" ht="12.75" hidden="false" customHeight="true" outlineLevel="0" collapsed="false">
      <c r="A1527" s="1" t="s">
        <v>1212</v>
      </c>
    </row>
    <row r="1528" customFormat="false" ht="12.75" hidden="false" customHeight="true" outlineLevel="0" collapsed="false">
      <c r="A1528" s="1" t="s">
        <v>1648</v>
      </c>
    </row>
    <row r="1529" customFormat="false" ht="12.75" hidden="false" customHeight="true" outlineLevel="0" collapsed="false">
      <c r="A1529" s="1" t="s">
        <v>2657</v>
      </c>
    </row>
    <row r="1530" customFormat="false" ht="12.75" hidden="false" customHeight="true" outlineLevel="0" collapsed="false">
      <c r="A1530" s="0" t="s">
        <v>2536</v>
      </c>
    </row>
    <row r="1531" customFormat="false" ht="12.75" hidden="false" customHeight="true" outlineLevel="0" collapsed="false">
      <c r="A1531" s="1" t="s">
        <v>2664</v>
      </c>
    </row>
    <row r="1532" customFormat="false" ht="12.75" hidden="false" customHeight="true" outlineLevel="0" collapsed="false">
      <c r="A1532" s="0" t="s">
        <v>2541</v>
      </c>
    </row>
    <row r="1533" customFormat="false" ht="12.75" hidden="false" customHeight="true" outlineLevel="0" collapsed="false">
      <c r="A1533" s="1" t="s">
        <v>1638</v>
      </c>
    </row>
    <row r="1534" customFormat="false" ht="12.75" hidden="false" customHeight="true" outlineLevel="0" collapsed="false">
      <c r="A1534" s="1" t="s">
        <v>1639</v>
      </c>
    </row>
    <row r="1535" customFormat="false" ht="12.75" hidden="false" customHeight="true" outlineLevel="0" collapsed="false"/>
    <row r="1536" customFormat="false" ht="12.75" hidden="false" customHeight="true" outlineLevel="0" collapsed="false">
      <c r="A1536" s="1" t="s">
        <v>1209</v>
      </c>
    </row>
    <row r="1537" customFormat="false" ht="12.75" hidden="false" customHeight="true" outlineLevel="0" collapsed="false">
      <c r="A1537" s="1" t="s">
        <v>1640</v>
      </c>
    </row>
    <row r="1538" customFormat="false" ht="12.75" hidden="false" customHeight="true" outlineLevel="0" collapsed="false">
      <c r="A1538" s="1" t="s">
        <v>1641</v>
      </c>
    </row>
    <row r="1539" customFormat="false" ht="12.75" hidden="false" customHeight="true" outlineLevel="0" collapsed="false">
      <c r="A1539" s="1" t="s">
        <v>1642</v>
      </c>
    </row>
    <row r="1540" customFormat="false" ht="12.75" hidden="false" customHeight="true" outlineLevel="0" collapsed="false">
      <c r="A1540" s="1" t="s">
        <v>1643</v>
      </c>
    </row>
    <row r="1541" customFormat="false" ht="12.75" hidden="false" customHeight="true" outlineLevel="0" collapsed="false"/>
    <row r="1542" customFormat="false" ht="12.75" hidden="false" customHeight="true" outlineLevel="0" collapsed="false">
      <c r="A1542" s="1" t="s">
        <v>1210</v>
      </c>
    </row>
    <row r="1543" customFormat="false" ht="12.75" hidden="false" customHeight="true" outlineLevel="0" collapsed="false">
      <c r="A1543" s="1" t="s">
        <v>1644</v>
      </c>
    </row>
    <row r="1544" customFormat="false" ht="12.75" hidden="false" customHeight="true" outlineLevel="0" collapsed="false">
      <c r="A1544" s="1" t="s">
        <v>1645</v>
      </c>
    </row>
    <row r="1545" customFormat="false" ht="12.75" hidden="false" customHeight="true" outlineLevel="0" collapsed="false"/>
    <row r="1546" customFormat="false" ht="12.75" hidden="false" customHeight="true" outlineLevel="0" collapsed="false">
      <c r="A1546" s="1" t="s">
        <v>1211</v>
      </c>
    </row>
    <row r="1547" customFormat="false" ht="12.75" hidden="false" customHeight="true" outlineLevel="0" collapsed="false">
      <c r="A1547" s="1" t="s">
        <v>1646</v>
      </c>
    </row>
    <row r="1548" customFormat="false" ht="12.75" hidden="false" customHeight="true" outlineLevel="0" collapsed="false">
      <c r="A1548" s="1" t="s">
        <v>1647</v>
      </c>
    </row>
    <row r="1549" customFormat="false" ht="12.75" hidden="false" customHeight="true" outlineLevel="0" collapsed="false"/>
    <row r="1550" customFormat="false" ht="12.75" hidden="false" customHeight="true" outlineLevel="0" collapsed="false">
      <c r="A1550" s="1" t="s">
        <v>1212</v>
      </c>
    </row>
    <row r="1551" customFormat="false" ht="12.75" hidden="false" customHeight="true" outlineLevel="0" collapsed="false">
      <c r="A1551" s="1" t="s">
        <v>1648</v>
      </c>
    </row>
    <row r="1552" customFormat="false" ht="12.75" hidden="false" customHeight="true" outlineLevel="0" collapsed="false">
      <c r="A1552" s="1" t="s">
        <v>2657</v>
      </c>
    </row>
    <row r="1553" customFormat="false" ht="12.75" hidden="false" customHeight="true" outlineLevel="0" collapsed="false">
      <c r="A1553" s="0" t="s">
        <v>2536</v>
      </c>
    </row>
    <row r="1554" customFormat="false" ht="12.75" hidden="false" customHeight="true" outlineLevel="0" collapsed="false">
      <c r="A1554" s="1" t="s">
        <v>2665</v>
      </c>
    </row>
    <row r="1555" customFormat="false" ht="12.75" hidden="false" customHeight="true" outlineLevel="0" collapsed="false">
      <c r="A1555" s="0" t="s">
        <v>2613</v>
      </c>
    </row>
    <row r="1556" customFormat="false" ht="12.75" hidden="false" customHeight="true" outlineLevel="0" collapsed="false">
      <c r="A1556" s="1" t="s">
        <v>1638</v>
      </c>
    </row>
    <row r="1557" customFormat="false" ht="12.75" hidden="false" customHeight="true" outlineLevel="0" collapsed="false">
      <c r="A1557" s="1" t="s">
        <v>1639</v>
      </c>
    </row>
    <row r="1558" customFormat="false" ht="12.75" hidden="false" customHeight="true" outlineLevel="0" collapsed="false"/>
    <row r="1559" customFormat="false" ht="12.75" hidden="false" customHeight="true" outlineLevel="0" collapsed="false">
      <c r="A1559" s="1" t="s">
        <v>1209</v>
      </c>
    </row>
    <row r="1560" customFormat="false" ht="12.75" hidden="false" customHeight="true" outlineLevel="0" collapsed="false">
      <c r="A1560" s="1" t="s">
        <v>1640</v>
      </c>
    </row>
    <row r="1561" customFormat="false" ht="12.75" hidden="false" customHeight="true" outlineLevel="0" collapsed="false">
      <c r="A1561" s="1" t="s">
        <v>1641</v>
      </c>
    </row>
    <row r="1562" customFormat="false" ht="12.75" hidden="false" customHeight="true" outlineLevel="0" collapsed="false">
      <c r="A1562" s="1" t="s">
        <v>1642</v>
      </c>
    </row>
    <row r="1563" customFormat="false" ht="12.75" hidden="false" customHeight="true" outlineLevel="0" collapsed="false">
      <c r="A1563" s="1" t="s">
        <v>1643</v>
      </c>
    </row>
    <row r="1564" customFormat="false" ht="12.75" hidden="false" customHeight="true" outlineLevel="0" collapsed="false"/>
    <row r="1565" customFormat="false" ht="12.75" hidden="false" customHeight="true" outlineLevel="0" collapsed="false">
      <c r="A1565" s="1" t="s">
        <v>1210</v>
      </c>
    </row>
    <row r="1566" customFormat="false" ht="12.75" hidden="false" customHeight="true" outlineLevel="0" collapsed="false">
      <c r="A1566" s="1" t="s">
        <v>1644</v>
      </c>
    </row>
    <row r="1567" customFormat="false" ht="12.75" hidden="false" customHeight="true" outlineLevel="0" collapsed="false">
      <c r="A1567" s="1" t="s">
        <v>1645</v>
      </c>
    </row>
    <row r="1568" customFormat="false" ht="12.75" hidden="false" customHeight="true" outlineLevel="0" collapsed="false"/>
    <row r="1569" customFormat="false" ht="12.75" hidden="false" customHeight="true" outlineLevel="0" collapsed="false">
      <c r="A1569" s="1" t="s">
        <v>1211</v>
      </c>
    </row>
    <row r="1570" customFormat="false" ht="12.75" hidden="false" customHeight="true" outlineLevel="0" collapsed="false">
      <c r="A1570" s="1" t="s">
        <v>1646</v>
      </c>
    </row>
    <row r="1571" customFormat="false" ht="12.75" hidden="false" customHeight="true" outlineLevel="0" collapsed="false">
      <c r="A1571" s="1" t="s">
        <v>1647</v>
      </c>
    </row>
    <row r="1572" customFormat="false" ht="12.75" hidden="false" customHeight="true" outlineLevel="0" collapsed="false"/>
    <row r="1573" customFormat="false" ht="12.75" hidden="false" customHeight="true" outlineLevel="0" collapsed="false">
      <c r="A1573" s="1" t="s">
        <v>1212</v>
      </c>
    </row>
    <row r="1574" customFormat="false" ht="12.75" hidden="false" customHeight="true" outlineLevel="0" collapsed="false">
      <c r="A1574" s="1" t="s">
        <v>1648</v>
      </c>
    </row>
    <row r="1575" customFormat="false" ht="12.75" hidden="false" customHeight="true" outlineLevel="0" collapsed="false">
      <c r="A1575" s="1" t="s">
        <v>2657</v>
      </c>
    </row>
    <row r="1576" customFormat="false" ht="12.75" hidden="false" customHeight="true" outlineLevel="0" collapsed="false">
      <c r="A1576" s="0" t="s">
        <v>2536</v>
      </c>
    </row>
    <row r="1577" customFormat="false" ht="12.75" hidden="false" customHeight="true" outlineLevel="0" collapsed="false">
      <c r="A1577" s="1" t="s">
        <v>2666</v>
      </c>
    </row>
    <row r="1578" customFormat="false" ht="12.75" hidden="false" customHeight="true" outlineLevel="0" collapsed="false">
      <c r="A1578" s="0" t="s">
        <v>2667</v>
      </c>
    </row>
    <row r="1579" customFormat="false" ht="12.75" hidden="false" customHeight="true" outlineLevel="0" collapsed="false">
      <c r="A1579" s="1" t="s">
        <v>1638</v>
      </c>
    </row>
    <row r="1580" customFormat="false" ht="12.75" hidden="false" customHeight="true" outlineLevel="0" collapsed="false">
      <c r="A1580" s="1" t="s">
        <v>1639</v>
      </c>
    </row>
    <row r="1581" customFormat="false" ht="12.75" hidden="false" customHeight="true" outlineLevel="0" collapsed="false"/>
    <row r="1582" customFormat="false" ht="12.75" hidden="false" customHeight="true" outlineLevel="0" collapsed="false">
      <c r="A1582" s="1" t="s">
        <v>1209</v>
      </c>
    </row>
    <row r="1583" customFormat="false" ht="12.75" hidden="false" customHeight="true" outlineLevel="0" collapsed="false">
      <c r="A1583" s="1" t="s">
        <v>1640</v>
      </c>
    </row>
    <row r="1584" customFormat="false" ht="12.75" hidden="false" customHeight="true" outlineLevel="0" collapsed="false">
      <c r="A1584" s="1" t="s">
        <v>1641</v>
      </c>
    </row>
    <row r="1585" customFormat="false" ht="12.75" hidden="false" customHeight="true" outlineLevel="0" collapsed="false">
      <c r="A1585" s="1" t="s">
        <v>1642</v>
      </c>
    </row>
    <row r="1586" customFormat="false" ht="12.75" hidden="false" customHeight="true" outlineLevel="0" collapsed="false">
      <c r="A1586" s="1" t="s">
        <v>1643</v>
      </c>
    </row>
    <row r="1587" customFormat="false" ht="12.75" hidden="false" customHeight="true" outlineLevel="0" collapsed="false"/>
    <row r="1588" customFormat="false" ht="12.75" hidden="false" customHeight="true" outlineLevel="0" collapsed="false">
      <c r="A1588" s="1" t="s">
        <v>1210</v>
      </c>
    </row>
    <row r="1589" customFormat="false" ht="12.75" hidden="false" customHeight="true" outlineLevel="0" collapsed="false">
      <c r="A1589" s="1" t="s">
        <v>1644</v>
      </c>
    </row>
    <row r="1590" customFormat="false" ht="12.75" hidden="false" customHeight="true" outlineLevel="0" collapsed="false">
      <c r="A1590" s="1" t="s">
        <v>1645</v>
      </c>
    </row>
    <row r="1591" customFormat="false" ht="12.75" hidden="false" customHeight="true" outlineLevel="0" collapsed="false"/>
    <row r="1592" customFormat="false" ht="12.75" hidden="false" customHeight="true" outlineLevel="0" collapsed="false">
      <c r="A1592" s="1" t="s">
        <v>1211</v>
      </c>
    </row>
    <row r="1593" customFormat="false" ht="12.75" hidden="false" customHeight="true" outlineLevel="0" collapsed="false">
      <c r="A1593" s="1" t="s">
        <v>1646</v>
      </c>
    </row>
    <row r="1594" customFormat="false" ht="12.75" hidden="false" customHeight="true" outlineLevel="0" collapsed="false">
      <c r="A1594" s="1" t="s">
        <v>1647</v>
      </c>
    </row>
    <row r="1595" customFormat="false" ht="12.75" hidden="false" customHeight="true" outlineLevel="0" collapsed="false"/>
    <row r="1596" customFormat="false" ht="12.75" hidden="false" customHeight="true" outlineLevel="0" collapsed="false">
      <c r="A1596" s="1" t="s">
        <v>1212</v>
      </c>
    </row>
    <row r="1597" customFormat="false" ht="12.75" hidden="false" customHeight="true" outlineLevel="0" collapsed="false">
      <c r="A1597" s="1" t="s">
        <v>1648</v>
      </c>
    </row>
    <row r="1598" customFormat="false" ht="12.75" hidden="false" customHeight="true" outlineLevel="0" collapsed="false">
      <c r="A1598" s="1" t="s">
        <v>2657</v>
      </c>
    </row>
    <row r="1599" customFormat="false" ht="12.75" hidden="false" customHeight="true" outlineLevel="0" collapsed="false">
      <c r="A1599" s="0" t="s">
        <v>2536</v>
      </c>
    </row>
    <row r="1600" customFormat="false" ht="12.75" hidden="false" customHeight="true" outlineLevel="0" collapsed="false">
      <c r="A1600" s="1" t="s">
        <v>2668</v>
      </c>
    </row>
    <row r="1601" customFormat="false" ht="12.75" hidden="false" customHeight="true" outlineLevel="0" collapsed="false">
      <c r="A1601" s="0" t="s">
        <v>2615</v>
      </c>
    </row>
    <row r="1602" customFormat="false" ht="12.75" hidden="false" customHeight="true" outlineLevel="0" collapsed="false">
      <c r="A1602" s="1" t="s">
        <v>1638</v>
      </c>
    </row>
    <row r="1603" customFormat="false" ht="12.75" hidden="false" customHeight="true" outlineLevel="0" collapsed="false">
      <c r="A1603" s="1" t="s">
        <v>1639</v>
      </c>
    </row>
    <row r="1604" customFormat="false" ht="12.75" hidden="false" customHeight="true" outlineLevel="0" collapsed="false"/>
    <row r="1605" customFormat="false" ht="12.75" hidden="false" customHeight="true" outlineLevel="0" collapsed="false">
      <c r="A1605" s="1" t="s">
        <v>1209</v>
      </c>
    </row>
    <row r="1606" customFormat="false" ht="12.75" hidden="false" customHeight="true" outlineLevel="0" collapsed="false">
      <c r="A1606" s="1" t="s">
        <v>1640</v>
      </c>
    </row>
    <row r="1607" customFormat="false" ht="12.75" hidden="false" customHeight="true" outlineLevel="0" collapsed="false">
      <c r="A1607" s="1" t="s">
        <v>1641</v>
      </c>
    </row>
    <row r="1608" customFormat="false" ht="12.75" hidden="false" customHeight="true" outlineLevel="0" collapsed="false">
      <c r="A1608" s="1" t="s">
        <v>1642</v>
      </c>
    </row>
    <row r="1609" customFormat="false" ht="12.75" hidden="false" customHeight="true" outlineLevel="0" collapsed="false">
      <c r="A1609" s="1" t="s">
        <v>1643</v>
      </c>
    </row>
    <row r="1610" customFormat="false" ht="12.75" hidden="false" customHeight="true" outlineLevel="0" collapsed="false"/>
    <row r="1611" customFormat="false" ht="12.75" hidden="false" customHeight="true" outlineLevel="0" collapsed="false">
      <c r="A1611" s="1" t="s">
        <v>1210</v>
      </c>
    </row>
    <row r="1612" customFormat="false" ht="12.75" hidden="false" customHeight="true" outlineLevel="0" collapsed="false">
      <c r="A1612" s="1" t="s">
        <v>1644</v>
      </c>
    </row>
    <row r="1613" customFormat="false" ht="12.75" hidden="false" customHeight="true" outlineLevel="0" collapsed="false">
      <c r="A1613" s="1" t="s">
        <v>1645</v>
      </c>
    </row>
    <row r="1614" customFormat="false" ht="12.75" hidden="false" customHeight="true" outlineLevel="0" collapsed="false"/>
    <row r="1615" customFormat="false" ht="12.75" hidden="false" customHeight="true" outlineLevel="0" collapsed="false">
      <c r="A1615" s="1" t="s">
        <v>1211</v>
      </c>
    </row>
    <row r="1616" customFormat="false" ht="12.75" hidden="false" customHeight="true" outlineLevel="0" collapsed="false">
      <c r="A1616" s="1" t="s">
        <v>1646</v>
      </c>
    </row>
    <row r="1617" customFormat="false" ht="12.75" hidden="false" customHeight="true" outlineLevel="0" collapsed="false">
      <c r="A1617" s="1" t="s">
        <v>1647</v>
      </c>
    </row>
    <row r="1618" customFormat="false" ht="12.75" hidden="false" customHeight="true" outlineLevel="0" collapsed="false"/>
    <row r="1619" customFormat="false" ht="12.75" hidden="false" customHeight="true" outlineLevel="0" collapsed="false">
      <c r="A1619" s="1" t="s">
        <v>1212</v>
      </c>
    </row>
    <row r="1620" customFormat="false" ht="12.75" hidden="false" customHeight="true" outlineLevel="0" collapsed="false">
      <c r="A1620" s="1" t="s">
        <v>1648</v>
      </c>
    </row>
    <row r="1621" customFormat="false" ht="12.75" hidden="false" customHeight="true" outlineLevel="0" collapsed="false">
      <c r="A1621" s="1" t="s">
        <v>2657</v>
      </c>
    </row>
    <row r="1622" customFormat="false" ht="12.75" hidden="false" customHeight="true" outlineLevel="0" collapsed="false">
      <c r="A1622" s="0" t="s">
        <v>2536</v>
      </c>
    </row>
    <row r="1623" customFormat="false" ht="12.75" hidden="false" customHeight="true" outlineLevel="0" collapsed="false">
      <c r="A1623" s="1" t="s">
        <v>2669</v>
      </c>
    </row>
    <row r="1624" customFormat="false" ht="12.75" hidden="false" customHeight="true" outlineLevel="0" collapsed="false">
      <c r="A1624" s="0" t="s">
        <v>2544</v>
      </c>
    </row>
    <row r="1625" customFormat="false" ht="12.75" hidden="false" customHeight="true" outlineLevel="0" collapsed="false">
      <c r="A1625" s="1" t="s">
        <v>1638</v>
      </c>
    </row>
    <row r="1626" customFormat="false" ht="12.75" hidden="false" customHeight="true" outlineLevel="0" collapsed="false">
      <c r="A1626" s="1" t="s">
        <v>1639</v>
      </c>
    </row>
    <row r="1627" customFormat="false" ht="12.75" hidden="false" customHeight="true" outlineLevel="0" collapsed="false"/>
    <row r="1628" customFormat="false" ht="12.75" hidden="false" customHeight="true" outlineLevel="0" collapsed="false">
      <c r="A1628" s="1" t="s">
        <v>1209</v>
      </c>
    </row>
    <row r="1629" customFormat="false" ht="12.75" hidden="false" customHeight="true" outlineLevel="0" collapsed="false">
      <c r="A1629" s="1" t="s">
        <v>1640</v>
      </c>
    </row>
    <row r="1630" customFormat="false" ht="12.75" hidden="false" customHeight="true" outlineLevel="0" collapsed="false">
      <c r="A1630" s="1" t="s">
        <v>1641</v>
      </c>
    </row>
    <row r="1631" customFormat="false" ht="12.75" hidden="false" customHeight="true" outlineLevel="0" collapsed="false">
      <c r="A1631" s="1" t="s">
        <v>1642</v>
      </c>
    </row>
    <row r="1632" customFormat="false" ht="12.75" hidden="false" customHeight="true" outlineLevel="0" collapsed="false">
      <c r="A1632" s="1" t="s">
        <v>1660</v>
      </c>
    </row>
    <row r="1633" customFormat="false" ht="12.75" hidden="false" customHeight="true" outlineLevel="0" collapsed="false"/>
    <row r="1634" customFormat="false" ht="12.75" hidden="false" customHeight="true" outlineLevel="0" collapsed="false">
      <c r="A1634" s="1" t="s">
        <v>1210</v>
      </c>
    </row>
    <row r="1635" customFormat="false" ht="12.75" hidden="false" customHeight="true" outlineLevel="0" collapsed="false">
      <c r="A1635" s="1" t="s">
        <v>1661</v>
      </c>
    </row>
    <row r="1636" customFormat="false" ht="12.75" hidden="false" customHeight="true" outlineLevel="0" collapsed="false">
      <c r="A1636" s="1" t="s">
        <v>1645</v>
      </c>
    </row>
    <row r="1637" customFormat="false" ht="12.75" hidden="false" customHeight="true" outlineLevel="0" collapsed="false"/>
    <row r="1638" customFormat="false" ht="12.75" hidden="false" customHeight="true" outlineLevel="0" collapsed="false">
      <c r="A1638" s="1" t="s">
        <v>1211</v>
      </c>
    </row>
    <row r="1639" customFormat="false" ht="12.75" hidden="false" customHeight="true" outlineLevel="0" collapsed="false">
      <c r="A1639" s="1" t="s">
        <v>1646</v>
      </c>
    </row>
    <row r="1640" customFormat="false" ht="12.75" hidden="false" customHeight="true" outlineLevel="0" collapsed="false">
      <c r="A1640" s="1" t="s">
        <v>1647</v>
      </c>
    </row>
    <row r="1641" customFormat="false" ht="12.75" hidden="false" customHeight="true" outlineLevel="0" collapsed="false"/>
    <row r="1642" customFormat="false" ht="12.75" hidden="false" customHeight="true" outlineLevel="0" collapsed="false">
      <c r="A1642" s="1" t="s">
        <v>1212</v>
      </c>
    </row>
    <row r="1643" customFormat="false" ht="12.75" hidden="false" customHeight="true" outlineLevel="0" collapsed="false">
      <c r="A1643" s="1" t="s">
        <v>1648</v>
      </c>
    </row>
    <row r="1644" customFormat="false" ht="12.75" hidden="false" customHeight="true" outlineLevel="0" collapsed="false">
      <c r="A1644" s="1" t="s">
        <v>2657</v>
      </c>
    </row>
    <row r="1645" customFormat="false" ht="12.75" hidden="false" customHeight="true" outlineLevel="0" collapsed="false">
      <c r="A1645" s="0" t="s">
        <v>2536</v>
      </c>
    </row>
    <row r="1646" customFormat="false" ht="12.75" hidden="false" customHeight="true" outlineLevel="0" collapsed="false">
      <c r="A1646" s="1" t="s">
        <v>2670</v>
      </c>
    </row>
    <row r="1647" customFormat="false" ht="12.75" hidden="false" customHeight="true" outlineLevel="0" collapsed="false">
      <c r="A1647" s="0" t="s">
        <v>2544</v>
      </c>
    </row>
    <row r="1648" customFormat="false" ht="12.75" hidden="false" customHeight="true" outlineLevel="0" collapsed="false">
      <c r="A1648" s="1" t="s">
        <v>1638</v>
      </c>
    </row>
    <row r="1649" customFormat="false" ht="12.75" hidden="false" customHeight="true" outlineLevel="0" collapsed="false">
      <c r="A1649" s="1" t="s">
        <v>1639</v>
      </c>
    </row>
    <row r="1650" customFormat="false" ht="12.75" hidden="false" customHeight="true" outlineLevel="0" collapsed="false"/>
    <row r="1651" customFormat="false" ht="12.75" hidden="false" customHeight="true" outlineLevel="0" collapsed="false">
      <c r="A1651" s="1" t="s">
        <v>1209</v>
      </c>
    </row>
    <row r="1652" customFormat="false" ht="12.75" hidden="false" customHeight="true" outlineLevel="0" collapsed="false">
      <c r="A1652" s="1" t="s">
        <v>1640</v>
      </c>
    </row>
    <row r="1653" customFormat="false" ht="12.75" hidden="false" customHeight="true" outlineLevel="0" collapsed="false">
      <c r="A1653" s="1" t="s">
        <v>1641</v>
      </c>
    </row>
    <row r="1654" customFormat="false" ht="12.75" hidden="false" customHeight="true" outlineLevel="0" collapsed="false">
      <c r="A1654" s="1" t="s">
        <v>1642</v>
      </c>
    </row>
    <row r="1655" customFormat="false" ht="12.75" hidden="false" customHeight="true" outlineLevel="0" collapsed="false">
      <c r="A1655" s="1" t="s">
        <v>1660</v>
      </c>
    </row>
    <row r="1656" customFormat="false" ht="12.75" hidden="false" customHeight="true" outlineLevel="0" collapsed="false"/>
    <row r="1657" customFormat="false" ht="12.75" hidden="false" customHeight="true" outlineLevel="0" collapsed="false">
      <c r="A1657" s="1" t="s">
        <v>1210</v>
      </c>
    </row>
    <row r="1658" customFormat="false" ht="12.75" hidden="false" customHeight="true" outlineLevel="0" collapsed="false">
      <c r="A1658" s="1" t="s">
        <v>1661</v>
      </c>
    </row>
    <row r="1659" customFormat="false" ht="12.75" hidden="false" customHeight="true" outlineLevel="0" collapsed="false">
      <c r="A1659" s="1" t="s">
        <v>1645</v>
      </c>
    </row>
    <row r="1660" customFormat="false" ht="12.75" hidden="false" customHeight="true" outlineLevel="0" collapsed="false"/>
    <row r="1661" customFormat="false" ht="12.75" hidden="false" customHeight="true" outlineLevel="0" collapsed="false">
      <c r="A1661" s="1" t="s">
        <v>1211</v>
      </c>
    </row>
    <row r="1662" customFormat="false" ht="12.75" hidden="false" customHeight="true" outlineLevel="0" collapsed="false">
      <c r="A1662" s="1" t="s">
        <v>1646</v>
      </c>
    </row>
    <row r="1663" customFormat="false" ht="12.75" hidden="false" customHeight="true" outlineLevel="0" collapsed="false">
      <c r="A1663" s="1" t="s">
        <v>1647</v>
      </c>
    </row>
    <row r="1664" customFormat="false" ht="12.75" hidden="false" customHeight="true" outlineLevel="0" collapsed="false"/>
    <row r="1665" customFormat="false" ht="12.75" hidden="false" customHeight="true" outlineLevel="0" collapsed="false">
      <c r="A1665" s="1" t="s">
        <v>1212</v>
      </c>
    </row>
    <row r="1666" customFormat="false" ht="12.75" hidden="false" customHeight="true" outlineLevel="0" collapsed="false">
      <c r="A1666" s="1" t="s">
        <v>1648</v>
      </c>
    </row>
    <row r="1667" customFormat="false" ht="12.75" hidden="false" customHeight="true" outlineLevel="0" collapsed="false">
      <c r="A1667" s="1" t="s">
        <v>2657</v>
      </c>
    </row>
    <row r="1668" customFormat="false" ht="12.75" hidden="false" customHeight="true" outlineLevel="0" collapsed="false">
      <c r="A1668" s="0" t="s">
        <v>2536</v>
      </c>
    </row>
    <row r="1669" customFormat="false" ht="12.75" hidden="false" customHeight="true" outlineLevel="0" collapsed="false">
      <c r="A1669" s="1" t="s">
        <v>2671</v>
      </c>
    </row>
    <row r="1670" customFormat="false" ht="12.75" hidden="false" customHeight="true" outlineLevel="0" collapsed="false">
      <c r="A1670" s="0" t="s">
        <v>2544</v>
      </c>
    </row>
    <row r="1671" customFormat="false" ht="12.75" hidden="false" customHeight="true" outlineLevel="0" collapsed="false">
      <c r="A1671" s="1" t="s">
        <v>1638</v>
      </c>
    </row>
    <row r="1672" customFormat="false" ht="12.75" hidden="false" customHeight="true" outlineLevel="0" collapsed="false">
      <c r="A1672" s="1" t="s">
        <v>1639</v>
      </c>
    </row>
    <row r="1673" customFormat="false" ht="12.75" hidden="false" customHeight="true" outlineLevel="0" collapsed="false"/>
    <row r="1674" customFormat="false" ht="12.75" hidden="false" customHeight="true" outlineLevel="0" collapsed="false">
      <c r="A1674" s="1" t="s">
        <v>1209</v>
      </c>
    </row>
    <row r="1675" customFormat="false" ht="12.75" hidden="false" customHeight="true" outlineLevel="0" collapsed="false">
      <c r="A1675" s="1" t="s">
        <v>1640</v>
      </c>
    </row>
    <row r="1676" customFormat="false" ht="12.75" hidden="false" customHeight="true" outlineLevel="0" collapsed="false">
      <c r="A1676" s="1" t="s">
        <v>1641</v>
      </c>
    </row>
    <row r="1677" customFormat="false" ht="12.75" hidden="false" customHeight="true" outlineLevel="0" collapsed="false">
      <c r="A1677" s="1" t="s">
        <v>1642</v>
      </c>
    </row>
    <row r="1678" customFormat="false" ht="12.75" hidden="false" customHeight="true" outlineLevel="0" collapsed="false">
      <c r="A1678" s="1" t="s">
        <v>1660</v>
      </c>
    </row>
    <row r="1679" customFormat="false" ht="12.75" hidden="false" customHeight="true" outlineLevel="0" collapsed="false"/>
    <row r="1680" customFormat="false" ht="12.75" hidden="false" customHeight="true" outlineLevel="0" collapsed="false">
      <c r="A1680" s="1" t="s">
        <v>1210</v>
      </c>
    </row>
    <row r="1681" customFormat="false" ht="12.75" hidden="false" customHeight="true" outlineLevel="0" collapsed="false">
      <c r="A1681" s="1" t="s">
        <v>1661</v>
      </c>
    </row>
    <row r="1682" customFormat="false" ht="12.75" hidden="false" customHeight="true" outlineLevel="0" collapsed="false">
      <c r="A1682" s="1" t="s">
        <v>1645</v>
      </c>
    </row>
    <row r="1683" customFormat="false" ht="12.75" hidden="false" customHeight="true" outlineLevel="0" collapsed="false"/>
    <row r="1684" customFormat="false" ht="12.75" hidden="false" customHeight="true" outlineLevel="0" collapsed="false">
      <c r="A1684" s="1" t="s">
        <v>1211</v>
      </c>
    </row>
    <row r="1685" customFormat="false" ht="12.75" hidden="false" customHeight="true" outlineLevel="0" collapsed="false">
      <c r="A1685" s="1" t="s">
        <v>1646</v>
      </c>
    </row>
    <row r="1686" customFormat="false" ht="12.75" hidden="false" customHeight="true" outlineLevel="0" collapsed="false">
      <c r="A1686" s="1" t="s">
        <v>1647</v>
      </c>
    </row>
    <row r="1687" customFormat="false" ht="12.75" hidden="false" customHeight="true" outlineLevel="0" collapsed="false"/>
    <row r="1688" customFormat="false" ht="12.75" hidden="false" customHeight="true" outlineLevel="0" collapsed="false">
      <c r="A1688" s="1" t="s">
        <v>1212</v>
      </c>
    </row>
    <row r="1689" customFormat="false" ht="12.75" hidden="false" customHeight="true" outlineLevel="0" collapsed="false">
      <c r="A1689" s="1" t="s">
        <v>1648</v>
      </c>
    </row>
    <row r="1690" customFormat="false" ht="12.75" hidden="false" customHeight="true" outlineLevel="0" collapsed="false">
      <c r="A1690" s="1" t="s">
        <v>2657</v>
      </c>
    </row>
    <row r="1691" customFormat="false" ht="12.75" hidden="false" customHeight="true" outlineLevel="0" collapsed="false">
      <c r="A1691" s="0" t="s">
        <v>2536</v>
      </c>
    </row>
    <row r="1692" customFormat="false" ht="12.75" hidden="false" customHeight="true" outlineLevel="0" collapsed="false">
      <c r="A1692" s="1" t="s">
        <v>2672</v>
      </c>
    </row>
    <row r="1693" customFormat="false" ht="12.75" hidden="false" customHeight="true" outlineLevel="0" collapsed="false">
      <c r="A1693" s="0" t="s">
        <v>2544</v>
      </c>
    </row>
    <row r="1694" customFormat="false" ht="12.75" hidden="false" customHeight="true" outlineLevel="0" collapsed="false">
      <c r="A1694" s="1" t="s">
        <v>1638</v>
      </c>
    </row>
    <row r="1695" customFormat="false" ht="12.75" hidden="false" customHeight="true" outlineLevel="0" collapsed="false">
      <c r="A1695" s="1" t="s">
        <v>1639</v>
      </c>
    </row>
    <row r="1696" customFormat="false" ht="12.75" hidden="false" customHeight="true" outlineLevel="0" collapsed="false"/>
    <row r="1697" customFormat="false" ht="12.75" hidden="false" customHeight="true" outlineLevel="0" collapsed="false">
      <c r="A1697" s="1" t="s">
        <v>1209</v>
      </c>
    </row>
    <row r="1698" customFormat="false" ht="12.75" hidden="false" customHeight="true" outlineLevel="0" collapsed="false">
      <c r="A1698" s="1" t="s">
        <v>1640</v>
      </c>
    </row>
    <row r="1699" customFormat="false" ht="12.75" hidden="false" customHeight="true" outlineLevel="0" collapsed="false">
      <c r="A1699" s="1" t="s">
        <v>1641</v>
      </c>
    </row>
    <row r="1700" customFormat="false" ht="12.75" hidden="false" customHeight="true" outlineLevel="0" collapsed="false">
      <c r="A1700" s="1" t="s">
        <v>1642</v>
      </c>
    </row>
    <row r="1701" customFormat="false" ht="12.75" hidden="false" customHeight="true" outlineLevel="0" collapsed="false">
      <c r="A1701" s="1" t="s">
        <v>1660</v>
      </c>
    </row>
    <row r="1702" customFormat="false" ht="12.75" hidden="false" customHeight="true" outlineLevel="0" collapsed="false"/>
    <row r="1703" customFormat="false" ht="12.75" hidden="false" customHeight="true" outlineLevel="0" collapsed="false">
      <c r="A1703" s="1" t="s">
        <v>1210</v>
      </c>
    </row>
    <row r="1704" customFormat="false" ht="12.75" hidden="false" customHeight="true" outlineLevel="0" collapsed="false">
      <c r="A1704" s="1" t="s">
        <v>1661</v>
      </c>
    </row>
    <row r="1705" customFormat="false" ht="12.75" hidden="false" customHeight="true" outlineLevel="0" collapsed="false">
      <c r="A1705" s="1" t="s">
        <v>1645</v>
      </c>
    </row>
    <row r="1706" customFormat="false" ht="12.75" hidden="false" customHeight="true" outlineLevel="0" collapsed="false"/>
    <row r="1707" customFormat="false" ht="12.75" hidden="false" customHeight="true" outlineLevel="0" collapsed="false">
      <c r="A1707" s="1" t="s">
        <v>1211</v>
      </c>
    </row>
    <row r="1708" customFormat="false" ht="12.75" hidden="false" customHeight="true" outlineLevel="0" collapsed="false">
      <c r="A1708" s="1" t="s">
        <v>1646</v>
      </c>
    </row>
    <row r="1709" customFormat="false" ht="12.75" hidden="false" customHeight="true" outlineLevel="0" collapsed="false">
      <c r="A1709" s="1" t="s">
        <v>1647</v>
      </c>
    </row>
    <row r="1710" customFormat="false" ht="12.75" hidden="false" customHeight="true" outlineLevel="0" collapsed="false"/>
    <row r="1711" customFormat="false" ht="12.75" hidden="false" customHeight="true" outlineLevel="0" collapsed="false">
      <c r="A1711" s="1" t="s">
        <v>1212</v>
      </c>
    </row>
    <row r="1712" customFormat="false" ht="12.75" hidden="false" customHeight="true" outlineLevel="0" collapsed="false">
      <c r="A1712" s="1" t="s">
        <v>1648</v>
      </c>
    </row>
    <row r="1713" customFormat="false" ht="12.75" hidden="false" customHeight="true" outlineLevel="0" collapsed="false">
      <c r="A1713" s="1" t="s">
        <v>2657</v>
      </c>
    </row>
    <row r="1714" customFormat="false" ht="12.75" hidden="false" customHeight="true" outlineLevel="0" collapsed="false">
      <c r="A1714" s="0" t="s">
        <v>2536</v>
      </c>
    </row>
    <row r="1715" customFormat="false" ht="12.75" hidden="false" customHeight="true" outlineLevel="0" collapsed="false">
      <c r="A1715" s="1" t="s">
        <v>2673</v>
      </c>
    </row>
    <row r="1716" customFormat="false" ht="12.75" hidden="false" customHeight="true" outlineLevel="0" collapsed="false">
      <c r="A1716" s="0" t="s">
        <v>2568</v>
      </c>
    </row>
    <row r="1717" customFormat="false" ht="12.75" hidden="false" customHeight="true" outlineLevel="0" collapsed="false">
      <c r="A1717" s="1" t="s">
        <v>1666</v>
      </c>
    </row>
    <row r="1718" customFormat="false" ht="12.75" hidden="false" customHeight="true" outlineLevel="0" collapsed="false">
      <c r="A1718" s="1" t="s">
        <v>1667</v>
      </c>
    </row>
    <row r="1719" customFormat="false" ht="12.75" hidden="false" customHeight="true" outlineLevel="0" collapsed="false"/>
    <row r="1720" customFormat="false" ht="12.75" hidden="false" customHeight="true" outlineLevel="0" collapsed="false">
      <c r="A1720" s="1" t="s">
        <v>1209</v>
      </c>
    </row>
    <row r="1721" customFormat="false" ht="12.75" hidden="false" customHeight="true" outlineLevel="0" collapsed="false">
      <c r="A1721" s="1" t="s">
        <v>1668</v>
      </c>
    </row>
    <row r="1722" customFormat="false" ht="12.75" hidden="false" customHeight="true" outlineLevel="0" collapsed="false">
      <c r="A1722" s="1" t="s">
        <v>1669</v>
      </c>
    </row>
    <row r="1723" customFormat="false" ht="12.75" hidden="false" customHeight="true" outlineLevel="0" collapsed="false">
      <c r="A1723" s="1" t="s">
        <v>1509</v>
      </c>
    </row>
    <row r="1724" customFormat="false" ht="12.75" hidden="false" customHeight="true" outlineLevel="0" collapsed="false">
      <c r="A1724" s="1" t="s">
        <v>1670</v>
      </c>
    </row>
    <row r="1725" customFormat="false" ht="12.75" hidden="false" customHeight="true" outlineLevel="0" collapsed="false"/>
    <row r="1726" customFormat="false" ht="12.75" hidden="false" customHeight="true" outlineLevel="0" collapsed="false">
      <c r="A1726" s="1" t="s">
        <v>1210</v>
      </c>
    </row>
    <row r="1727" customFormat="false" ht="12.75" hidden="false" customHeight="true" outlineLevel="0" collapsed="false">
      <c r="A1727" s="1" t="s">
        <v>1671</v>
      </c>
    </row>
    <row r="1728" customFormat="false" ht="12.75" hidden="false" customHeight="true" outlineLevel="0" collapsed="false">
      <c r="A1728" s="1" t="s">
        <v>1672</v>
      </c>
    </row>
    <row r="1729" customFormat="false" ht="12.75" hidden="false" customHeight="true" outlineLevel="0" collapsed="false"/>
    <row r="1730" customFormat="false" ht="12.75" hidden="false" customHeight="true" outlineLevel="0" collapsed="false">
      <c r="A1730" s="1" t="s">
        <v>1211</v>
      </c>
    </row>
    <row r="1731" customFormat="false" ht="12.75" hidden="false" customHeight="true" outlineLevel="0" collapsed="false">
      <c r="A1731" s="1" t="s">
        <v>1673</v>
      </c>
    </row>
    <row r="1732" customFormat="false" ht="12.75" hidden="false" customHeight="true" outlineLevel="0" collapsed="false">
      <c r="A1732" s="1" t="s">
        <v>1674</v>
      </c>
    </row>
    <row r="1733" customFormat="false" ht="12.75" hidden="false" customHeight="true" outlineLevel="0" collapsed="false"/>
    <row r="1734" customFormat="false" ht="12.75" hidden="false" customHeight="true" outlineLevel="0" collapsed="false">
      <c r="A1734" s="1" t="s">
        <v>1212</v>
      </c>
    </row>
    <row r="1735" customFormat="false" ht="12.75" hidden="false" customHeight="true" outlineLevel="0" collapsed="false">
      <c r="A1735" s="1" t="s">
        <v>1675</v>
      </c>
    </row>
    <row r="1736" customFormat="false" ht="12.75" hidden="false" customHeight="true" outlineLevel="0" collapsed="false">
      <c r="A1736" s="1" t="s">
        <v>2674</v>
      </c>
    </row>
    <row r="1737" customFormat="false" ht="12.75" hidden="false" customHeight="true" outlineLevel="0" collapsed="false">
      <c r="A1737" s="0" t="s">
        <v>2651</v>
      </c>
    </row>
    <row r="1738" customFormat="false" ht="12.75" hidden="false" customHeight="true" outlineLevel="0" collapsed="false">
      <c r="A1738" s="1" t="s">
        <v>1619</v>
      </c>
    </row>
    <row r="1739" customFormat="false" ht="12.75" hidden="false" customHeight="true" outlineLevel="0" collapsed="false">
      <c r="A1739" s="1" t="s">
        <v>1677</v>
      </c>
    </row>
    <row r="1740" customFormat="false" ht="12.75" hidden="false" customHeight="true" outlineLevel="0" collapsed="false">
      <c r="A1740" s="1" t="s">
        <v>1678</v>
      </c>
    </row>
    <row r="1741" customFormat="false" ht="12.75" hidden="false" customHeight="true" outlineLevel="0" collapsed="false">
      <c r="A1741" s="1" t="s">
        <v>2675</v>
      </c>
    </row>
    <row r="1742" customFormat="false" ht="12.75" hidden="false" customHeight="true" outlineLevel="0" collapsed="false">
      <c r="A1742" s="0" t="s">
        <v>2676</v>
      </c>
    </row>
    <row r="1743" customFormat="false" ht="12.75" hidden="false" customHeight="true" outlineLevel="0" collapsed="false">
      <c r="A1743" s="1" t="s">
        <v>1425</v>
      </c>
    </row>
    <row r="1744" customFormat="false" ht="12.75" hidden="false" customHeight="true" outlineLevel="0" collapsed="false">
      <c r="A1744" s="1" t="s">
        <v>1426</v>
      </c>
    </row>
    <row r="1745" customFormat="false" ht="12.75" hidden="false" customHeight="true" outlineLevel="0" collapsed="false">
      <c r="A1745" s="1" t="s">
        <v>1427</v>
      </c>
    </row>
    <row r="1746" customFormat="false" ht="12.75" hidden="false" customHeight="true" outlineLevel="0" collapsed="false">
      <c r="A1746" s="1" t="s">
        <v>2677</v>
      </c>
    </row>
    <row r="1747" customFormat="false" ht="12.75" hidden="false" customHeight="true" outlineLevel="0" collapsed="false">
      <c r="A1747" s="0" t="s">
        <v>2572</v>
      </c>
    </row>
    <row r="1748" customFormat="false" ht="12.75" hidden="false" customHeight="true" outlineLevel="0" collapsed="false">
      <c r="A1748" s="1" t="s">
        <v>1266</v>
      </c>
    </row>
    <row r="1749" customFormat="false" ht="12.75" hidden="false" customHeight="true" outlineLevel="0" collapsed="false">
      <c r="A1749" s="1" t="s">
        <v>1267</v>
      </c>
    </row>
    <row r="1750" customFormat="false" ht="12.75" hidden="false" customHeight="true" outlineLevel="0" collapsed="false"/>
    <row r="1751" customFormat="false" ht="12.75" hidden="false" customHeight="true" outlineLevel="0" collapsed="false">
      <c r="A1751" s="1" t="s">
        <v>1268</v>
      </c>
    </row>
    <row r="1752" customFormat="false" ht="12.75" hidden="false" customHeight="true" outlineLevel="0" collapsed="false">
      <c r="A1752" s="1" t="s">
        <v>1269</v>
      </c>
    </row>
    <row r="1753" customFormat="false" ht="12.75" hidden="false" customHeight="true" outlineLevel="0" collapsed="false">
      <c r="A1753" s="1" t="s">
        <v>1270</v>
      </c>
    </row>
    <row r="1754" customFormat="false" ht="12.75" hidden="false" customHeight="true" outlineLevel="0" collapsed="false">
      <c r="A1754" s="1" t="s">
        <v>1269</v>
      </c>
    </row>
    <row r="1755" customFormat="false" ht="12.75" hidden="false" customHeight="true" outlineLevel="0" collapsed="false"/>
    <row r="1756" customFormat="false" ht="12.75" hidden="false" customHeight="true" outlineLevel="0" collapsed="false">
      <c r="A1756" s="1" t="s">
        <v>1272</v>
      </c>
    </row>
    <row r="1757" customFormat="false" ht="12.75" hidden="false" customHeight="true" outlineLevel="0" collapsed="false">
      <c r="A1757" s="1" t="s">
        <v>1273</v>
      </c>
    </row>
    <row r="1758" customFormat="false" ht="12.75" hidden="false" customHeight="true" outlineLevel="0" collapsed="false">
      <c r="A1758" s="1" t="s">
        <v>1273</v>
      </c>
    </row>
    <row r="1759" customFormat="false" ht="12.75" hidden="false" customHeight="true" outlineLevel="0" collapsed="false">
      <c r="A1759" s="1" t="s">
        <v>1275</v>
      </c>
    </row>
    <row r="1760" customFormat="false" ht="12.75" hidden="false" customHeight="true" outlineLevel="0" collapsed="false">
      <c r="A1760" s="1" t="s">
        <v>1623</v>
      </c>
    </row>
    <row r="1761" customFormat="false" ht="12.75" hidden="false" customHeight="true" outlineLevel="0" collapsed="false">
      <c r="A1761" s="1" t="s">
        <v>2552</v>
      </c>
    </row>
    <row r="1762" customFormat="false" ht="12.75" hidden="false" customHeight="true" outlineLevel="0" collapsed="false">
      <c r="A1762" s="0" t="s">
        <v>2536</v>
      </c>
    </row>
    <row r="1763" customFormat="false" ht="12.75" hidden="false" customHeight="true" outlineLevel="0" collapsed="false">
      <c r="A1763" s="1" t="s">
        <v>2678</v>
      </c>
    </row>
    <row r="1764" customFormat="false" ht="12.75" hidden="false" customHeight="true" outlineLevel="0" collapsed="false">
      <c r="A1764" s="0" t="s">
        <v>2568</v>
      </c>
    </row>
    <row r="1765" customFormat="false" ht="12.75" hidden="false" customHeight="true" outlineLevel="0" collapsed="false">
      <c r="A1765" s="1" t="s">
        <v>1666</v>
      </c>
    </row>
    <row r="1766" customFormat="false" ht="12.75" hidden="false" customHeight="true" outlineLevel="0" collapsed="false">
      <c r="A1766" s="1" t="s">
        <v>1682</v>
      </c>
    </row>
    <row r="1767" customFormat="false" ht="12.75" hidden="false" customHeight="true" outlineLevel="0" collapsed="false"/>
    <row r="1768" customFormat="false" ht="12.75" hidden="false" customHeight="true" outlineLevel="0" collapsed="false">
      <c r="A1768" s="1" t="s">
        <v>1209</v>
      </c>
    </row>
    <row r="1769" customFormat="false" ht="12.75" hidden="false" customHeight="true" outlineLevel="0" collapsed="false">
      <c r="A1769" s="1" t="s">
        <v>1683</v>
      </c>
    </row>
    <row r="1770" customFormat="false" ht="12.75" hidden="false" customHeight="true" outlineLevel="0" collapsed="false">
      <c r="A1770" s="1" t="s">
        <v>1684</v>
      </c>
    </row>
    <row r="1771" customFormat="false" ht="12.75" hidden="false" customHeight="true" outlineLevel="0" collapsed="false">
      <c r="A1771" s="1" t="s">
        <v>1668</v>
      </c>
    </row>
    <row r="1772" customFormat="false" ht="12.75" hidden="false" customHeight="true" outlineLevel="0" collapsed="false">
      <c r="A1772" s="1" t="s">
        <v>1670</v>
      </c>
    </row>
    <row r="1773" customFormat="false" ht="12.75" hidden="false" customHeight="true" outlineLevel="0" collapsed="false"/>
    <row r="1774" customFormat="false" ht="12.75" hidden="false" customHeight="true" outlineLevel="0" collapsed="false">
      <c r="A1774" s="1" t="s">
        <v>1210</v>
      </c>
    </row>
    <row r="1775" customFormat="false" ht="12.75" hidden="false" customHeight="true" outlineLevel="0" collapsed="false">
      <c r="A1775" s="1" t="s">
        <v>1495</v>
      </c>
    </row>
    <row r="1776" customFormat="false" ht="12.75" hidden="false" customHeight="true" outlineLevel="0" collapsed="false">
      <c r="A1776" s="1" t="s">
        <v>1576</v>
      </c>
    </row>
    <row r="1777" customFormat="false" ht="12.75" hidden="false" customHeight="true" outlineLevel="0" collapsed="false"/>
    <row r="1778" customFormat="false" ht="12.75" hidden="false" customHeight="true" outlineLevel="0" collapsed="false">
      <c r="A1778" s="1" t="s">
        <v>1211</v>
      </c>
    </row>
    <row r="1779" customFormat="false" ht="12.75" hidden="false" customHeight="true" outlineLevel="0" collapsed="false">
      <c r="A1779" s="1" t="s">
        <v>1501</v>
      </c>
    </row>
    <row r="1780" customFormat="false" ht="12.75" hidden="false" customHeight="true" outlineLevel="0" collapsed="false">
      <c r="A1780" s="1" t="s">
        <v>1674</v>
      </c>
    </row>
    <row r="1781" customFormat="false" ht="12.75" hidden="false" customHeight="true" outlineLevel="0" collapsed="false"/>
    <row r="1782" customFormat="false" ht="12.75" hidden="false" customHeight="true" outlineLevel="0" collapsed="false">
      <c r="A1782" s="1" t="s">
        <v>1212</v>
      </c>
    </row>
    <row r="1783" customFormat="false" ht="12.75" hidden="false" customHeight="true" outlineLevel="0" collapsed="false">
      <c r="A1783" s="1" t="s">
        <v>1501</v>
      </c>
    </row>
    <row r="1784" customFormat="false" ht="12.75" hidden="false" customHeight="true" outlineLevel="0" collapsed="false">
      <c r="A1784" s="1" t="s">
        <v>2674</v>
      </c>
    </row>
    <row r="1785" customFormat="false" ht="12.75" hidden="false" customHeight="true" outlineLevel="0" collapsed="false">
      <c r="A1785" s="0" t="s">
        <v>2651</v>
      </c>
    </row>
    <row r="1786" customFormat="false" ht="12.75" hidden="false" customHeight="true" outlineLevel="0" collapsed="false">
      <c r="A1786" s="1" t="s">
        <v>1619</v>
      </c>
    </row>
    <row r="1787" customFormat="false" ht="12.75" hidden="false" customHeight="true" outlineLevel="0" collapsed="false">
      <c r="A1787" s="1" t="s">
        <v>1677</v>
      </c>
    </row>
    <row r="1788" customFormat="false" ht="12.75" hidden="false" customHeight="true" outlineLevel="0" collapsed="false">
      <c r="A1788" s="1" t="s">
        <v>1678</v>
      </c>
    </row>
    <row r="1789" customFormat="false" ht="12.75" hidden="false" customHeight="true" outlineLevel="0" collapsed="false">
      <c r="A1789" s="1" t="s">
        <v>2675</v>
      </c>
    </row>
    <row r="1790" customFormat="false" ht="12.75" hidden="false" customHeight="true" outlineLevel="0" collapsed="false">
      <c r="A1790" s="0" t="s">
        <v>2572</v>
      </c>
    </row>
    <row r="1791" customFormat="false" ht="12.75" hidden="false" customHeight="true" outlineLevel="0" collapsed="false">
      <c r="A1791" s="1" t="s">
        <v>1266</v>
      </c>
    </row>
    <row r="1792" customFormat="false" ht="12.75" hidden="false" customHeight="true" outlineLevel="0" collapsed="false">
      <c r="A1792" s="1" t="s">
        <v>1267</v>
      </c>
    </row>
    <row r="1793" customFormat="false" ht="12.75" hidden="false" customHeight="true" outlineLevel="0" collapsed="false"/>
    <row r="1794" customFormat="false" ht="12.75" hidden="false" customHeight="true" outlineLevel="0" collapsed="false">
      <c r="A1794" s="1" t="s">
        <v>1268</v>
      </c>
    </row>
    <row r="1795" customFormat="false" ht="12.75" hidden="false" customHeight="true" outlineLevel="0" collapsed="false">
      <c r="A1795" s="1" t="s">
        <v>1269</v>
      </c>
    </row>
    <row r="1796" customFormat="false" ht="12.75" hidden="false" customHeight="true" outlineLevel="0" collapsed="false">
      <c r="A1796" s="1" t="s">
        <v>1270</v>
      </c>
    </row>
    <row r="1797" customFormat="false" ht="12.75" hidden="false" customHeight="true" outlineLevel="0" collapsed="false">
      <c r="A1797" s="1" t="s">
        <v>1269</v>
      </c>
    </row>
    <row r="1798" customFormat="false" ht="12.75" hidden="false" customHeight="true" outlineLevel="0" collapsed="false"/>
    <row r="1799" customFormat="false" ht="12.75" hidden="false" customHeight="true" outlineLevel="0" collapsed="false">
      <c r="A1799" s="1" t="s">
        <v>1272</v>
      </c>
    </row>
    <row r="1800" customFormat="false" ht="12.75" hidden="false" customHeight="true" outlineLevel="0" collapsed="false">
      <c r="A1800" s="1" t="s">
        <v>1273</v>
      </c>
    </row>
    <row r="1801" customFormat="false" ht="12.75" hidden="false" customHeight="true" outlineLevel="0" collapsed="false">
      <c r="A1801" s="1" t="s">
        <v>1273</v>
      </c>
    </row>
    <row r="1802" customFormat="false" ht="12.75" hidden="false" customHeight="true" outlineLevel="0" collapsed="false">
      <c r="A1802" s="1" t="s">
        <v>1275</v>
      </c>
    </row>
    <row r="1803" customFormat="false" ht="12.75" hidden="false" customHeight="true" outlineLevel="0" collapsed="false">
      <c r="A1803" s="1" t="s">
        <v>1623</v>
      </c>
    </row>
    <row r="1804" customFormat="false" ht="12.75" hidden="false" customHeight="true" outlineLevel="0" collapsed="false">
      <c r="A1804" s="1" t="s">
        <v>2552</v>
      </c>
    </row>
    <row r="1805" customFormat="false" ht="12.75" hidden="false" customHeight="true" outlineLevel="0" collapsed="false">
      <c r="A1805" s="0" t="s">
        <v>2536</v>
      </c>
    </row>
    <row r="1806" customFormat="false" ht="12.75" hidden="false" customHeight="true" outlineLevel="0" collapsed="false">
      <c r="A1806" s="1" t="s">
        <v>2679</v>
      </c>
    </row>
    <row r="1807" customFormat="false" ht="12.75" hidden="false" customHeight="true" outlineLevel="0" collapsed="false">
      <c r="A1807" s="0" t="s">
        <v>2568</v>
      </c>
    </row>
    <row r="1808" customFormat="false" ht="12.75" hidden="false" customHeight="true" outlineLevel="0" collapsed="false">
      <c r="A1808" s="1" t="s">
        <v>1687</v>
      </c>
    </row>
    <row r="1809" customFormat="false" ht="12.75" hidden="false" customHeight="true" outlineLevel="0" collapsed="false">
      <c r="A1809" s="1" t="s">
        <v>1572</v>
      </c>
    </row>
    <row r="1810" customFormat="false" ht="12.75" hidden="false" customHeight="true" outlineLevel="0" collapsed="false"/>
    <row r="1811" customFormat="false" ht="12.75" hidden="false" customHeight="true" outlineLevel="0" collapsed="false">
      <c r="A1811" s="1" t="s">
        <v>1209</v>
      </c>
    </row>
    <row r="1812" customFormat="false" ht="12.75" hidden="false" customHeight="true" outlineLevel="0" collapsed="false">
      <c r="A1812" s="1" t="s">
        <v>1688</v>
      </c>
    </row>
    <row r="1813" customFormat="false" ht="12.75" hidden="false" customHeight="true" outlineLevel="0" collapsed="false">
      <c r="A1813" s="1" t="s">
        <v>1689</v>
      </c>
    </row>
    <row r="1814" customFormat="false" ht="12.75" hidden="false" customHeight="true" outlineLevel="0" collapsed="false">
      <c r="A1814" s="1" t="s">
        <v>1668</v>
      </c>
    </row>
    <row r="1815" customFormat="false" ht="12.75" hidden="false" customHeight="true" outlineLevel="0" collapsed="false">
      <c r="A1815" s="1" t="s">
        <v>1670</v>
      </c>
    </row>
    <row r="1816" customFormat="false" ht="12.75" hidden="false" customHeight="true" outlineLevel="0" collapsed="false"/>
    <row r="1817" customFormat="false" ht="12.75" hidden="false" customHeight="true" outlineLevel="0" collapsed="false">
      <c r="A1817" s="1" t="s">
        <v>1210</v>
      </c>
    </row>
    <row r="1818" customFormat="false" ht="12.75" hidden="false" customHeight="true" outlineLevel="0" collapsed="false">
      <c r="A1818" s="1" t="s">
        <v>1690</v>
      </c>
    </row>
    <row r="1819" customFormat="false" ht="12.75" hidden="false" customHeight="true" outlineLevel="0" collapsed="false">
      <c r="A1819" s="1" t="s">
        <v>1576</v>
      </c>
    </row>
    <row r="1820" customFormat="false" ht="12.75" hidden="false" customHeight="true" outlineLevel="0" collapsed="false"/>
    <row r="1821" customFormat="false" ht="12.75" hidden="false" customHeight="true" outlineLevel="0" collapsed="false">
      <c r="A1821" s="1" t="s">
        <v>1211</v>
      </c>
    </row>
    <row r="1822" customFormat="false" ht="12.75" hidden="false" customHeight="true" outlineLevel="0" collapsed="false">
      <c r="A1822" s="1" t="s">
        <v>1691</v>
      </c>
    </row>
    <row r="1823" customFormat="false" ht="12.75" hidden="false" customHeight="true" outlineLevel="0" collapsed="false">
      <c r="A1823" s="1" t="s">
        <v>1674</v>
      </c>
    </row>
    <row r="1824" customFormat="false" ht="12.75" hidden="false" customHeight="true" outlineLevel="0" collapsed="false"/>
    <row r="1825" customFormat="false" ht="12.75" hidden="false" customHeight="true" outlineLevel="0" collapsed="false">
      <c r="A1825" s="1" t="s">
        <v>1212</v>
      </c>
    </row>
    <row r="1826" customFormat="false" ht="12.75" hidden="false" customHeight="true" outlineLevel="0" collapsed="false">
      <c r="A1826" s="1" t="s">
        <v>1692</v>
      </c>
    </row>
    <row r="1827" customFormat="false" ht="12.75" hidden="false" customHeight="true" outlineLevel="0" collapsed="false">
      <c r="A1827" s="1" t="s">
        <v>2674</v>
      </c>
    </row>
    <row r="1828" customFormat="false" ht="12.75" hidden="false" customHeight="true" outlineLevel="0" collapsed="false">
      <c r="A1828" s="0" t="s">
        <v>2641</v>
      </c>
    </row>
    <row r="1829" customFormat="false" ht="12.75" hidden="false" customHeight="true" outlineLevel="0" collapsed="false">
      <c r="A1829" s="1" t="s">
        <v>1581</v>
      </c>
    </row>
    <row r="1830" customFormat="false" ht="12.75" hidden="false" customHeight="true" outlineLevel="0" collapsed="false">
      <c r="A1830" s="1" t="s">
        <v>1582</v>
      </c>
    </row>
    <row r="1831" customFormat="false" ht="12.75" hidden="false" customHeight="true" outlineLevel="0" collapsed="false">
      <c r="A1831" s="1" t="s">
        <v>1583</v>
      </c>
    </row>
    <row r="1832" customFormat="false" ht="12.75" hidden="false" customHeight="true" outlineLevel="0" collapsed="false">
      <c r="A1832" s="1" t="s">
        <v>2642</v>
      </c>
    </row>
    <row r="1833" customFormat="false" ht="12.75" hidden="false" customHeight="true" outlineLevel="0" collapsed="false">
      <c r="A1833" s="0" t="s">
        <v>2572</v>
      </c>
    </row>
    <row r="1834" customFormat="false" ht="12.75" hidden="false" customHeight="true" outlineLevel="0" collapsed="false">
      <c r="A1834" s="1" t="s">
        <v>1266</v>
      </c>
    </row>
    <row r="1835" customFormat="false" ht="12.75" hidden="false" customHeight="true" outlineLevel="0" collapsed="false">
      <c r="A1835" s="1" t="s">
        <v>1267</v>
      </c>
    </row>
    <row r="1836" customFormat="false" ht="12.75" hidden="false" customHeight="true" outlineLevel="0" collapsed="false"/>
    <row r="1837" customFormat="false" ht="12.75" hidden="false" customHeight="true" outlineLevel="0" collapsed="false">
      <c r="A1837" s="1" t="s">
        <v>1268</v>
      </c>
    </row>
    <row r="1838" customFormat="false" ht="12.75" hidden="false" customHeight="true" outlineLevel="0" collapsed="false">
      <c r="A1838" s="1" t="s">
        <v>1586</v>
      </c>
    </row>
    <row r="1839" customFormat="false" ht="12.75" hidden="false" customHeight="true" outlineLevel="0" collapsed="false">
      <c r="A1839" s="1" t="s">
        <v>1270</v>
      </c>
    </row>
    <row r="1840" customFormat="false" ht="12.75" hidden="false" customHeight="true" outlineLevel="0" collapsed="false">
      <c r="A1840" s="1" t="s">
        <v>1585</v>
      </c>
    </row>
    <row r="1841" customFormat="false" ht="12.75" hidden="false" customHeight="true" outlineLevel="0" collapsed="false"/>
    <row r="1842" customFormat="false" ht="12.75" hidden="false" customHeight="true" outlineLevel="0" collapsed="false">
      <c r="A1842" s="1" t="s">
        <v>1272</v>
      </c>
    </row>
    <row r="1843" customFormat="false" ht="12.75" hidden="false" customHeight="true" outlineLevel="0" collapsed="false">
      <c r="A1843" s="1" t="s">
        <v>1606</v>
      </c>
    </row>
    <row r="1844" customFormat="false" ht="12.75" hidden="false" customHeight="true" outlineLevel="0" collapsed="false">
      <c r="A1844" s="1" t="s">
        <v>1607</v>
      </c>
    </row>
    <row r="1845" customFormat="false" ht="12.75" hidden="false" customHeight="true" outlineLevel="0" collapsed="false">
      <c r="A1845" s="1" t="s">
        <v>1275</v>
      </c>
    </row>
    <row r="1846" customFormat="false" ht="12.75" hidden="false" customHeight="true" outlineLevel="0" collapsed="false">
      <c r="A1846" s="1" t="s">
        <v>1589</v>
      </c>
    </row>
    <row r="1847" customFormat="false" ht="12.75" hidden="false" customHeight="true" outlineLevel="0" collapsed="false">
      <c r="A1847" s="1" t="s">
        <v>2552</v>
      </c>
    </row>
    <row r="1848" customFormat="false" ht="12.75" hidden="false" customHeight="true" outlineLevel="0" collapsed="false">
      <c r="A1848" s="0" t="s">
        <v>2536</v>
      </c>
    </row>
    <row r="1849" customFormat="false" ht="12.75" hidden="false" customHeight="true" outlineLevel="0" collapsed="false">
      <c r="A1849" s="1" t="s">
        <v>2680</v>
      </c>
    </row>
    <row r="1850" customFormat="false" ht="12.75" hidden="false" customHeight="true" outlineLevel="0" collapsed="false">
      <c r="A1850" s="0" t="s">
        <v>2568</v>
      </c>
    </row>
    <row r="1851" customFormat="false" ht="12.75" hidden="false" customHeight="true" outlineLevel="0" collapsed="false">
      <c r="A1851" s="1" t="s">
        <v>1695</v>
      </c>
    </row>
    <row r="1852" customFormat="false" ht="12.75" hidden="false" customHeight="true" outlineLevel="0" collapsed="false">
      <c r="A1852" s="1" t="s">
        <v>1696</v>
      </c>
    </row>
    <row r="1853" customFormat="false" ht="12.75" hidden="false" customHeight="true" outlineLevel="0" collapsed="false"/>
    <row r="1854" customFormat="false" ht="12.75" hidden="false" customHeight="true" outlineLevel="0" collapsed="false">
      <c r="A1854" s="1" t="s">
        <v>1209</v>
      </c>
    </row>
    <row r="1855" customFormat="false" ht="12.75" hidden="false" customHeight="true" outlineLevel="0" collapsed="false">
      <c r="A1855" s="1" t="s">
        <v>1697</v>
      </c>
    </row>
    <row r="1856" customFormat="false" ht="12.75" hidden="false" customHeight="true" outlineLevel="0" collapsed="false">
      <c r="A1856" s="1" t="s">
        <v>1689</v>
      </c>
    </row>
    <row r="1857" customFormat="false" ht="12.75" hidden="false" customHeight="true" outlineLevel="0" collapsed="false">
      <c r="A1857" s="1" t="s">
        <v>1698</v>
      </c>
    </row>
    <row r="1858" customFormat="false" ht="12.75" hidden="false" customHeight="true" outlineLevel="0" collapsed="false">
      <c r="A1858" s="1" t="s">
        <v>1670</v>
      </c>
    </row>
    <row r="1859" customFormat="false" ht="12.75" hidden="false" customHeight="true" outlineLevel="0" collapsed="false"/>
    <row r="1860" customFormat="false" ht="12.75" hidden="false" customHeight="true" outlineLevel="0" collapsed="false">
      <c r="A1860" s="1" t="s">
        <v>1210</v>
      </c>
    </row>
    <row r="1861" customFormat="false" ht="12.75" hidden="false" customHeight="true" outlineLevel="0" collapsed="false">
      <c r="A1861" s="1" t="s">
        <v>1573</v>
      </c>
    </row>
    <row r="1862" customFormat="false" ht="12.75" hidden="false" customHeight="true" outlineLevel="0" collapsed="false">
      <c r="A1862" s="1" t="s">
        <v>1576</v>
      </c>
    </row>
    <row r="1863" customFormat="false" ht="12.75" hidden="false" customHeight="true" outlineLevel="0" collapsed="false"/>
    <row r="1864" customFormat="false" ht="12.75" hidden="false" customHeight="true" outlineLevel="0" collapsed="false">
      <c r="A1864" s="1" t="s">
        <v>1211</v>
      </c>
    </row>
    <row r="1865" customFormat="false" ht="12.75" hidden="false" customHeight="true" outlineLevel="0" collapsed="false">
      <c r="A1865" s="1" t="s">
        <v>1699</v>
      </c>
    </row>
    <row r="1866" customFormat="false" ht="12.75" hidden="false" customHeight="true" outlineLevel="0" collapsed="false">
      <c r="A1866" s="1" t="s">
        <v>1674</v>
      </c>
    </row>
    <row r="1867" customFormat="false" ht="12.75" hidden="false" customHeight="true" outlineLevel="0" collapsed="false"/>
    <row r="1868" customFormat="false" ht="12.75" hidden="false" customHeight="true" outlineLevel="0" collapsed="false">
      <c r="A1868" s="1" t="s">
        <v>1212</v>
      </c>
    </row>
    <row r="1869" customFormat="false" ht="12.75" hidden="false" customHeight="true" outlineLevel="0" collapsed="false">
      <c r="A1869" s="1" t="s">
        <v>1700</v>
      </c>
    </row>
    <row r="1870" customFormat="false" ht="12.75" hidden="false" customHeight="true" outlineLevel="0" collapsed="false">
      <c r="A1870" s="1" t="s">
        <v>2674</v>
      </c>
    </row>
    <row r="1871" customFormat="false" ht="12.75" hidden="false" customHeight="true" outlineLevel="0" collapsed="false">
      <c r="A1871" s="0" t="s">
        <v>2651</v>
      </c>
    </row>
    <row r="1872" customFormat="false" ht="12.75" hidden="false" customHeight="true" outlineLevel="0" collapsed="false">
      <c r="A1872" s="1" t="s">
        <v>1619</v>
      </c>
    </row>
    <row r="1873" customFormat="false" ht="12.75" hidden="false" customHeight="true" outlineLevel="0" collapsed="false">
      <c r="A1873" s="1" t="s">
        <v>1677</v>
      </c>
    </row>
    <row r="1874" customFormat="false" ht="12.75" hidden="false" customHeight="true" outlineLevel="0" collapsed="false">
      <c r="A1874" s="1" t="s">
        <v>1678</v>
      </c>
    </row>
    <row r="1875" customFormat="false" ht="12.75" hidden="false" customHeight="true" outlineLevel="0" collapsed="false">
      <c r="A1875" s="1" t="s">
        <v>2675</v>
      </c>
    </row>
    <row r="1876" customFormat="false" ht="12.75" hidden="false" customHeight="true" outlineLevel="0" collapsed="false">
      <c r="A1876" s="0" t="s">
        <v>2572</v>
      </c>
    </row>
    <row r="1877" customFormat="false" ht="12.75" hidden="false" customHeight="true" outlineLevel="0" collapsed="false">
      <c r="A1877" s="1" t="s">
        <v>1266</v>
      </c>
    </row>
    <row r="1878" customFormat="false" ht="12.75" hidden="false" customHeight="true" outlineLevel="0" collapsed="false">
      <c r="A1878" s="1" t="s">
        <v>1267</v>
      </c>
    </row>
    <row r="1879" customFormat="false" ht="12.75" hidden="false" customHeight="true" outlineLevel="0" collapsed="false"/>
    <row r="1880" customFormat="false" ht="12.75" hidden="false" customHeight="true" outlineLevel="0" collapsed="false">
      <c r="A1880" s="1" t="s">
        <v>1268</v>
      </c>
    </row>
    <row r="1881" customFormat="false" ht="12.75" hidden="false" customHeight="true" outlineLevel="0" collapsed="false">
      <c r="A1881" s="1" t="s">
        <v>1269</v>
      </c>
    </row>
    <row r="1882" customFormat="false" ht="12.75" hidden="false" customHeight="true" outlineLevel="0" collapsed="false">
      <c r="A1882" s="1" t="s">
        <v>1270</v>
      </c>
    </row>
    <row r="1883" customFormat="false" ht="12.75" hidden="false" customHeight="true" outlineLevel="0" collapsed="false">
      <c r="A1883" s="1" t="s">
        <v>1269</v>
      </c>
    </row>
    <row r="1884" customFormat="false" ht="12.75" hidden="false" customHeight="true" outlineLevel="0" collapsed="false"/>
    <row r="1885" customFormat="false" ht="12.75" hidden="false" customHeight="true" outlineLevel="0" collapsed="false">
      <c r="A1885" s="1" t="s">
        <v>1272</v>
      </c>
    </row>
    <row r="1886" customFormat="false" ht="12.75" hidden="false" customHeight="true" outlineLevel="0" collapsed="false">
      <c r="A1886" s="1" t="s">
        <v>1273</v>
      </c>
    </row>
    <row r="1887" customFormat="false" ht="12.75" hidden="false" customHeight="true" outlineLevel="0" collapsed="false">
      <c r="A1887" s="1" t="s">
        <v>1273</v>
      </c>
    </row>
    <row r="1888" customFormat="false" ht="12.75" hidden="false" customHeight="true" outlineLevel="0" collapsed="false">
      <c r="A1888" s="1" t="s">
        <v>1275</v>
      </c>
    </row>
    <row r="1889" customFormat="false" ht="12.75" hidden="false" customHeight="true" outlineLevel="0" collapsed="false">
      <c r="A1889" s="1" t="s">
        <v>1623</v>
      </c>
    </row>
    <row r="1890" customFormat="false" ht="12.75" hidden="false" customHeight="true" outlineLevel="0" collapsed="false">
      <c r="A1890" s="1" t="s">
        <v>2552</v>
      </c>
    </row>
    <row r="1891" customFormat="false" ht="12.75" hidden="false" customHeight="true" outlineLevel="0" collapsed="false">
      <c r="A1891" s="0" t="s">
        <v>2536</v>
      </c>
    </row>
    <row r="1892" customFormat="false" ht="12.75" hidden="false" customHeight="true" outlineLevel="0" collapsed="false">
      <c r="A1892" s="1" t="s">
        <v>2681</v>
      </c>
    </row>
    <row r="1893" customFormat="false" ht="12.75" hidden="false" customHeight="true" outlineLevel="0" collapsed="false">
      <c r="A1893" s="0" t="s">
        <v>2656</v>
      </c>
    </row>
    <row r="1894" customFormat="false" ht="12.75" hidden="false" customHeight="true" outlineLevel="0" collapsed="false">
      <c r="A1894" s="1" t="s">
        <v>1702</v>
      </c>
    </row>
    <row r="1895" customFormat="false" ht="12.75" hidden="false" customHeight="true" outlineLevel="0" collapsed="false">
      <c r="A1895" s="1" t="s">
        <v>1703</v>
      </c>
    </row>
    <row r="1896" customFormat="false" ht="12.75" hidden="false" customHeight="true" outlineLevel="0" collapsed="false"/>
    <row r="1897" customFormat="false" ht="12.75" hidden="false" customHeight="true" outlineLevel="0" collapsed="false">
      <c r="A1897" s="1" t="s">
        <v>1209</v>
      </c>
    </row>
    <row r="1898" customFormat="false" ht="12.75" hidden="false" customHeight="true" outlineLevel="0" collapsed="false">
      <c r="A1898" s="1" t="s">
        <v>1704</v>
      </c>
    </row>
    <row r="1899" customFormat="false" ht="12.75" hidden="false" customHeight="true" outlineLevel="0" collapsed="false">
      <c r="A1899" s="1" t="s">
        <v>1704</v>
      </c>
    </row>
    <row r="1900" customFormat="false" ht="12.75" hidden="false" customHeight="true" outlineLevel="0" collapsed="false">
      <c r="A1900" s="1" t="s">
        <v>1705</v>
      </c>
    </row>
    <row r="1901" customFormat="false" ht="12.75" hidden="false" customHeight="true" outlineLevel="0" collapsed="false">
      <c r="A1901" s="1" t="s">
        <v>1705</v>
      </c>
    </row>
    <row r="1902" customFormat="false" ht="12.75" hidden="false" customHeight="true" outlineLevel="0" collapsed="false"/>
    <row r="1903" customFormat="false" ht="12.75" hidden="false" customHeight="true" outlineLevel="0" collapsed="false">
      <c r="A1903" s="1" t="s">
        <v>1210</v>
      </c>
    </row>
    <row r="1904" customFormat="false" ht="12.75" hidden="false" customHeight="true" outlineLevel="0" collapsed="false">
      <c r="A1904" s="1" t="s">
        <v>1706</v>
      </c>
    </row>
    <row r="1905" customFormat="false" ht="12.75" hidden="false" customHeight="true" outlineLevel="0" collapsed="false">
      <c r="A1905" s="1" t="s">
        <v>1707</v>
      </c>
    </row>
    <row r="1906" customFormat="false" ht="12.75" hidden="false" customHeight="true" outlineLevel="0" collapsed="false"/>
    <row r="1907" customFormat="false" ht="12.75" hidden="false" customHeight="true" outlineLevel="0" collapsed="false">
      <c r="A1907" s="1" t="s">
        <v>1211</v>
      </c>
    </row>
    <row r="1908" customFormat="false" ht="12.75" hidden="false" customHeight="true" outlineLevel="0" collapsed="false">
      <c r="A1908" s="1" t="s">
        <v>1706</v>
      </c>
    </row>
    <row r="1909" customFormat="false" ht="12.75" hidden="false" customHeight="true" outlineLevel="0" collapsed="false">
      <c r="A1909" s="1" t="s">
        <v>1707</v>
      </c>
    </row>
    <row r="1910" customFormat="false" ht="12.75" hidden="false" customHeight="true" outlineLevel="0" collapsed="false"/>
    <row r="1911" customFormat="false" ht="12.75" hidden="false" customHeight="true" outlineLevel="0" collapsed="false">
      <c r="A1911" s="1" t="s">
        <v>1212</v>
      </c>
    </row>
    <row r="1912" customFormat="false" ht="12.75" hidden="false" customHeight="true" outlineLevel="0" collapsed="false">
      <c r="A1912" s="1" t="s">
        <v>1708</v>
      </c>
    </row>
    <row r="1913" customFormat="false" ht="12.75" hidden="false" customHeight="true" outlineLevel="0" collapsed="false">
      <c r="A1913" s="1" t="s">
        <v>2682</v>
      </c>
    </row>
    <row r="1914" customFormat="false" ht="12.75" hidden="false" customHeight="true" outlineLevel="0" collapsed="false">
      <c r="A1914" s="0" t="s">
        <v>2536</v>
      </c>
    </row>
    <row r="1915" customFormat="false" ht="12.75" hidden="false" customHeight="true" outlineLevel="0" collapsed="false">
      <c r="A1915" s="1" t="s">
        <v>2683</v>
      </c>
    </row>
    <row r="1916" customFormat="false" ht="12.75" hidden="false" customHeight="true" outlineLevel="0" collapsed="false">
      <c r="A1916" s="0" t="s">
        <v>2684</v>
      </c>
    </row>
    <row r="1917" customFormat="false" ht="12.75" hidden="false" customHeight="true" outlineLevel="0" collapsed="false">
      <c r="A1917" s="1" t="s">
        <v>1711</v>
      </c>
    </row>
    <row r="1918" customFormat="false" ht="12.75" hidden="false" customHeight="true" outlineLevel="0" collapsed="false">
      <c r="A1918" s="1" t="s">
        <v>1677</v>
      </c>
    </row>
    <row r="1919" customFormat="false" ht="12.75" hidden="false" customHeight="true" outlineLevel="0" collapsed="false">
      <c r="A1919" s="1" t="s">
        <v>1678</v>
      </c>
    </row>
    <row r="1920" customFormat="false" ht="12.75" hidden="false" customHeight="true" outlineLevel="0" collapsed="false">
      <c r="A1920" s="1" t="s">
        <v>2675</v>
      </c>
    </row>
    <row r="1921" customFormat="false" ht="12.75" hidden="false" customHeight="true" outlineLevel="0" collapsed="false">
      <c r="A1921" s="0" t="s">
        <v>2572</v>
      </c>
    </row>
    <row r="1922" customFormat="false" ht="12.75" hidden="false" customHeight="true" outlineLevel="0" collapsed="false">
      <c r="A1922" s="1" t="s">
        <v>1266</v>
      </c>
    </row>
    <row r="1923" customFormat="false" ht="12.75" hidden="false" customHeight="true" outlineLevel="0" collapsed="false">
      <c r="A1923" s="1" t="s">
        <v>1267</v>
      </c>
    </row>
    <row r="1924" customFormat="false" ht="12.75" hidden="false" customHeight="true" outlineLevel="0" collapsed="false"/>
    <row r="1925" customFormat="false" ht="12.75" hidden="false" customHeight="true" outlineLevel="0" collapsed="false">
      <c r="A1925" s="1" t="s">
        <v>1268</v>
      </c>
    </row>
    <row r="1926" customFormat="false" ht="12.75" hidden="false" customHeight="true" outlineLevel="0" collapsed="false">
      <c r="A1926" s="1" t="s">
        <v>1269</v>
      </c>
    </row>
    <row r="1927" customFormat="false" ht="12.75" hidden="false" customHeight="true" outlineLevel="0" collapsed="false">
      <c r="A1927" s="1" t="s">
        <v>1270</v>
      </c>
    </row>
    <row r="1928" customFormat="false" ht="12.75" hidden="false" customHeight="true" outlineLevel="0" collapsed="false">
      <c r="A1928" s="1" t="s">
        <v>1269</v>
      </c>
    </row>
    <row r="1929" customFormat="false" ht="12.75" hidden="false" customHeight="true" outlineLevel="0" collapsed="false"/>
    <row r="1930" customFormat="false" ht="12.75" hidden="false" customHeight="true" outlineLevel="0" collapsed="false">
      <c r="A1930" s="1" t="s">
        <v>1272</v>
      </c>
    </row>
    <row r="1931" customFormat="false" ht="12.75" hidden="false" customHeight="true" outlineLevel="0" collapsed="false">
      <c r="A1931" s="1" t="s">
        <v>1273</v>
      </c>
    </row>
    <row r="1932" customFormat="false" ht="12.75" hidden="false" customHeight="true" outlineLevel="0" collapsed="false">
      <c r="A1932" s="1" t="s">
        <v>1712</v>
      </c>
    </row>
    <row r="1933" customFormat="false" ht="12.75" hidden="false" customHeight="true" outlineLevel="0" collapsed="false">
      <c r="A1933" s="1" t="s">
        <v>1275</v>
      </c>
    </row>
    <row r="1934" customFormat="false" ht="12.75" hidden="false" customHeight="true" outlineLevel="0" collapsed="false">
      <c r="A1934" s="1" t="s">
        <v>1623</v>
      </c>
    </row>
    <row r="1935" customFormat="false" ht="12.75" hidden="false" customHeight="true" outlineLevel="0" collapsed="false">
      <c r="A1935" s="1" t="s">
        <v>2552</v>
      </c>
    </row>
    <row r="1936" customFormat="false" ht="12.75" hidden="false" customHeight="true" outlineLevel="0" collapsed="false">
      <c r="A1936" s="0" t="s">
        <v>2536</v>
      </c>
    </row>
    <row r="1937" customFormat="false" ht="12.75" hidden="false" customHeight="true" outlineLevel="0" collapsed="false">
      <c r="A1937" s="1" t="s">
        <v>2685</v>
      </c>
    </row>
    <row r="1938" customFormat="false" ht="12.75" hidden="false" customHeight="true" outlineLevel="0" collapsed="false">
      <c r="A1938" s="0" t="s">
        <v>2684</v>
      </c>
    </row>
    <row r="1939" customFormat="false" ht="12.75" hidden="false" customHeight="true" outlineLevel="0" collapsed="false">
      <c r="A1939" s="1" t="s">
        <v>1711</v>
      </c>
    </row>
    <row r="1940" customFormat="false" ht="12.75" hidden="false" customHeight="true" outlineLevel="0" collapsed="false">
      <c r="A1940" s="1" t="s">
        <v>1677</v>
      </c>
    </row>
    <row r="1941" customFormat="false" ht="12.75" hidden="false" customHeight="true" outlineLevel="0" collapsed="false">
      <c r="A1941" s="1" t="s">
        <v>1678</v>
      </c>
    </row>
    <row r="1942" customFormat="false" ht="12.75" hidden="false" customHeight="true" outlineLevel="0" collapsed="false">
      <c r="A1942" s="1" t="s">
        <v>2675</v>
      </c>
    </row>
    <row r="1943" customFormat="false" ht="12.75" hidden="false" customHeight="true" outlineLevel="0" collapsed="false">
      <c r="A1943" s="0" t="s">
        <v>2572</v>
      </c>
    </row>
    <row r="1944" customFormat="false" ht="12.75" hidden="false" customHeight="true" outlineLevel="0" collapsed="false">
      <c r="A1944" s="1" t="s">
        <v>1266</v>
      </c>
    </row>
    <row r="1945" customFormat="false" ht="12.75" hidden="false" customHeight="true" outlineLevel="0" collapsed="false">
      <c r="A1945" s="1" t="s">
        <v>1267</v>
      </c>
    </row>
    <row r="1946" customFormat="false" ht="12.75" hidden="false" customHeight="true" outlineLevel="0" collapsed="false"/>
    <row r="1947" customFormat="false" ht="12.75" hidden="false" customHeight="true" outlineLevel="0" collapsed="false">
      <c r="A1947" s="1" t="s">
        <v>1268</v>
      </c>
    </row>
    <row r="1948" customFormat="false" ht="12.75" hidden="false" customHeight="true" outlineLevel="0" collapsed="false">
      <c r="A1948" s="1" t="s">
        <v>1269</v>
      </c>
    </row>
    <row r="1949" customFormat="false" ht="12.75" hidden="false" customHeight="true" outlineLevel="0" collapsed="false">
      <c r="A1949" s="1" t="s">
        <v>1270</v>
      </c>
    </row>
    <row r="1950" customFormat="false" ht="12.75" hidden="false" customHeight="true" outlineLevel="0" collapsed="false">
      <c r="A1950" s="1" t="s">
        <v>1269</v>
      </c>
    </row>
    <row r="1951" customFormat="false" ht="12.75" hidden="false" customHeight="true" outlineLevel="0" collapsed="false"/>
    <row r="1952" customFormat="false" ht="12.75" hidden="false" customHeight="true" outlineLevel="0" collapsed="false">
      <c r="A1952" s="1" t="s">
        <v>1272</v>
      </c>
    </row>
    <row r="1953" customFormat="false" ht="12.75" hidden="false" customHeight="true" outlineLevel="0" collapsed="false">
      <c r="A1953" s="1" t="s">
        <v>1273</v>
      </c>
    </row>
    <row r="1954" customFormat="false" ht="12.75" hidden="false" customHeight="true" outlineLevel="0" collapsed="false">
      <c r="A1954" s="1" t="s">
        <v>1712</v>
      </c>
    </row>
    <row r="1955" customFormat="false" ht="12.75" hidden="false" customHeight="true" outlineLevel="0" collapsed="false">
      <c r="A1955" s="1" t="s">
        <v>1275</v>
      </c>
    </row>
    <row r="1956" customFormat="false" ht="12.75" hidden="false" customHeight="true" outlineLevel="0" collapsed="false">
      <c r="A1956" s="1" t="s">
        <v>1623</v>
      </c>
    </row>
    <row r="1957" customFormat="false" ht="12.75" hidden="false" customHeight="true" outlineLevel="0" collapsed="false">
      <c r="A1957" s="1" t="s">
        <v>2552</v>
      </c>
    </row>
    <row r="1958" customFormat="false" ht="12.75" hidden="false" customHeight="true" outlineLevel="0" collapsed="false">
      <c r="A1958" s="0" t="s">
        <v>2536</v>
      </c>
    </row>
    <row r="1959" customFormat="false" ht="12.75" hidden="false" customHeight="true" outlineLevel="0" collapsed="false">
      <c r="A1959" s="1" t="s">
        <v>2686</v>
      </c>
    </row>
    <row r="1960" customFormat="false" ht="12.75" hidden="false" customHeight="true" outlineLevel="0" collapsed="false">
      <c r="A1960" s="0" t="s">
        <v>2568</v>
      </c>
    </row>
    <row r="1961" customFormat="false" ht="12.75" hidden="false" customHeight="true" outlineLevel="0" collapsed="false">
      <c r="A1961" s="1" t="s">
        <v>1715</v>
      </c>
    </row>
    <row r="1962" customFormat="false" ht="12.75" hidden="false" customHeight="true" outlineLevel="0" collapsed="false">
      <c r="A1962" s="1" t="s">
        <v>1716</v>
      </c>
    </row>
    <row r="1963" customFormat="false" ht="12.75" hidden="false" customHeight="true" outlineLevel="0" collapsed="false"/>
    <row r="1964" customFormat="false" ht="12.75" hidden="false" customHeight="true" outlineLevel="0" collapsed="false">
      <c r="A1964" s="1" t="s">
        <v>1209</v>
      </c>
    </row>
    <row r="1965" customFormat="false" ht="12.75" hidden="false" customHeight="true" outlineLevel="0" collapsed="false">
      <c r="A1965" s="1" t="s">
        <v>1717</v>
      </c>
    </row>
    <row r="1966" customFormat="false" ht="12.75" hidden="false" customHeight="true" outlineLevel="0" collapsed="false">
      <c r="A1966" s="1" t="s">
        <v>1718</v>
      </c>
    </row>
    <row r="1967" customFormat="false" ht="12.75" hidden="false" customHeight="true" outlineLevel="0" collapsed="false">
      <c r="A1967" s="1" t="s">
        <v>1719</v>
      </c>
    </row>
    <row r="1968" customFormat="false" ht="12.75" hidden="false" customHeight="true" outlineLevel="0" collapsed="false">
      <c r="A1968" s="1" t="s">
        <v>1720</v>
      </c>
    </row>
    <row r="1969" customFormat="false" ht="12.75" hidden="false" customHeight="true" outlineLevel="0" collapsed="false"/>
    <row r="1970" customFormat="false" ht="12.75" hidden="false" customHeight="true" outlineLevel="0" collapsed="false">
      <c r="A1970" s="1" t="s">
        <v>1210</v>
      </c>
    </row>
    <row r="1971" customFormat="false" ht="12.75" hidden="false" customHeight="true" outlineLevel="0" collapsed="false">
      <c r="A1971" s="1" t="s">
        <v>1721</v>
      </c>
    </row>
    <row r="1972" customFormat="false" ht="12.75" hidden="false" customHeight="true" outlineLevel="0" collapsed="false">
      <c r="A1972" s="1" t="s">
        <v>1598</v>
      </c>
    </row>
    <row r="1973" customFormat="false" ht="12.75" hidden="false" customHeight="true" outlineLevel="0" collapsed="false"/>
    <row r="1974" customFormat="false" ht="12.75" hidden="false" customHeight="true" outlineLevel="0" collapsed="false">
      <c r="A1974" s="1" t="s">
        <v>1211</v>
      </c>
    </row>
    <row r="1975" customFormat="false" ht="12.75" hidden="false" customHeight="true" outlineLevel="0" collapsed="false">
      <c r="A1975" s="1" t="s">
        <v>1722</v>
      </c>
    </row>
    <row r="1976" customFormat="false" ht="12.75" hidden="false" customHeight="true" outlineLevel="0" collapsed="false">
      <c r="A1976" s="1" t="s">
        <v>1723</v>
      </c>
    </row>
    <row r="1977" customFormat="false" ht="12.75" hidden="false" customHeight="true" outlineLevel="0" collapsed="false"/>
    <row r="1978" customFormat="false" ht="12.75" hidden="false" customHeight="true" outlineLevel="0" collapsed="false">
      <c r="A1978" s="1" t="s">
        <v>1212</v>
      </c>
    </row>
    <row r="1979" customFormat="false" ht="12.75" hidden="false" customHeight="true" outlineLevel="0" collapsed="false">
      <c r="A1979" s="1" t="s">
        <v>1722</v>
      </c>
    </row>
    <row r="1980" customFormat="false" ht="12.75" hidden="false" customHeight="true" outlineLevel="0" collapsed="false">
      <c r="A1980" s="1" t="s">
        <v>2687</v>
      </c>
    </row>
    <row r="1981" customFormat="false" ht="12.75" hidden="false" customHeight="true" outlineLevel="0" collapsed="false">
      <c r="A1981" s="0" t="s">
        <v>2684</v>
      </c>
    </row>
    <row r="1982" customFormat="false" ht="12.75" hidden="false" customHeight="true" outlineLevel="0" collapsed="false">
      <c r="A1982" s="1" t="s">
        <v>1711</v>
      </c>
    </row>
    <row r="1983" customFormat="false" ht="12.75" hidden="false" customHeight="true" outlineLevel="0" collapsed="false">
      <c r="A1983" s="1" t="s">
        <v>1677</v>
      </c>
    </row>
    <row r="1984" customFormat="false" ht="12.75" hidden="false" customHeight="true" outlineLevel="0" collapsed="false">
      <c r="A1984" s="1" t="s">
        <v>1678</v>
      </c>
    </row>
    <row r="1985" customFormat="false" ht="12.75" hidden="false" customHeight="true" outlineLevel="0" collapsed="false">
      <c r="A1985" s="1" t="s">
        <v>2675</v>
      </c>
    </row>
    <row r="1986" customFormat="false" ht="12.75" hidden="false" customHeight="true" outlineLevel="0" collapsed="false">
      <c r="A1986" s="0" t="s">
        <v>2572</v>
      </c>
    </row>
    <row r="1987" customFormat="false" ht="12.75" hidden="false" customHeight="true" outlineLevel="0" collapsed="false">
      <c r="A1987" s="1" t="s">
        <v>1266</v>
      </c>
    </row>
    <row r="1988" customFormat="false" ht="12.75" hidden="false" customHeight="true" outlineLevel="0" collapsed="false">
      <c r="A1988" s="1" t="s">
        <v>1267</v>
      </c>
    </row>
    <row r="1989" customFormat="false" ht="12.75" hidden="false" customHeight="true" outlineLevel="0" collapsed="false"/>
    <row r="1990" customFormat="false" ht="12.75" hidden="false" customHeight="true" outlineLevel="0" collapsed="false">
      <c r="A1990" s="1" t="s">
        <v>1268</v>
      </c>
    </row>
    <row r="1991" customFormat="false" ht="12.75" hidden="false" customHeight="true" outlineLevel="0" collapsed="false">
      <c r="A1991" s="1" t="s">
        <v>1269</v>
      </c>
    </row>
    <row r="1992" customFormat="false" ht="12.75" hidden="false" customHeight="true" outlineLevel="0" collapsed="false">
      <c r="A1992" s="1" t="s">
        <v>1270</v>
      </c>
    </row>
    <row r="1993" customFormat="false" ht="12.75" hidden="false" customHeight="true" outlineLevel="0" collapsed="false">
      <c r="A1993" s="1" t="s">
        <v>1269</v>
      </c>
    </row>
    <row r="1994" customFormat="false" ht="12.75" hidden="false" customHeight="true" outlineLevel="0" collapsed="false"/>
    <row r="1995" customFormat="false" ht="12.75" hidden="false" customHeight="true" outlineLevel="0" collapsed="false">
      <c r="A1995" s="1" t="s">
        <v>1272</v>
      </c>
    </row>
    <row r="1996" customFormat="false" ht="12.75" hidden="false" customHeight="true" outlineLevel="0" collapsed="false">
      <c r="A1996" s="1" t="s">
        <v>1273</v>
      </c>
    </row>
    <row r="1997" customFormat="false" ht="12.75" hidden="false" customHeight="true" outlineLevel="0" collapsed="false">
      <c r="A1997" s="1" t="s">
        <v>1712</v>
      </c>
    </row>
    <row r="1998" customFormat="false" ht="12.75" hidden="false" customHeight="true" outlineLevel="0" collapsed="false">
      <c r="A1998" s="1" t="s">
        <v>1275</v>
      </c>
    </row>
    <row r="1999" customFormat="false" ht="12.75" hidden="false" customHeight="true" outlineLevel="0" collapsed="false">
      <c r="A1999" s="1" t="s">
        <v>1623</v>
      </c>
    </row>
    <row r="2000" customFormat="false" ht="12.75" hidden="false" customHeight="true" outlineLevel="0" collapsed="false">
      <c r="A2000" s="1" t="s">
        <v>2552</v>
      </c>
    </row>
    <row r="2001" customFormat="false" ht="12.75" hidden="false" customHeight="true" outlineLevel="0" collapsed="false">
      <c r="A2001" s="0" t="s">
        <v>2536</v>
      </c>
    </row>
    <row r="2002" customFormat="false" ht="12.75" hidden="false" customHeight="true" outlineLevel="0" collapsed="false">
      <c r="A2002" s="1" t="s">
        <v>2688</v>
      </c>
    </row>
    <row r="2003" customFormat="false" ht="12.75" hidden="false" customHeight="true" outlineLevel="0" collapsed="false">
      <c r="A2003" s="0" t="s">
        <v>2568</v>
      </c>
    </row>
    <row r="2004" customFormat="false" ht="12.75" hidden="false" customHeight="true" outlineLevel="0" collapsed="false">
      <c r="A2004" s="1" t="s">
        <v>1726</v>
      </c>
    </row>
    <row r="2005" customFormat="false" ht="12.75" hidden="false" customHeight="true" outlineLevel="0" collapsed="false">
      <c r="A2005" s="1" t="s">
        <v>1727</v>
      </c>
    </row>
    <row r="2006" customFormat="false" ht="12.75" hidden="false" customHeight="true" outlineLevel="0" collapsed="false"/>
    <row r="2007" customFormat="false" ht="12.75" hidden="false" customHeight="true" outlineLevel="0" collapsed="false">
      <c r="A2007" s="1" t="s">
        <v>1209</v>
      </c>
    </row>
    <row r="2008" customFormat="false" ht="12.75" hidden="false" customHeight="true" outlineLevel="0" collapsed="false">
      <c r="A2008" s="1" t="s">
        <v>1728</v>
      </c>
    </row>
    <row r="2009" customFormat="false" ht="12.75" hidden="false" customHeight="true" outlineLevel="0" collapsed="false">
      <c r="A2009" s="1" t="s">
        <v>1729</v>
      </c>
    </row>
    <row r="2010" customFormat="false" ht="12.75" hidden="false" customHeight="true" outlineLevel="0" collapsed="false">
      <c r="A2010" s="1" t="s">
        <v>1718</v>
      </c>
    </row>
    <row r="2011" customFormat="false" ht="12.75" hidden="false" customHeight="true" outlineLevel="0" collapsed="false">
      <c r="A2011" s="1" t="s">
        <v>1727</v>
      </c>
    </row>
    <row r="2012" customFormat="false" ht="12.75" hidden="false" customHeight="true" outlineLevel="0" collapsed="false"/>
    <row r="2013" customFormat="false" ht="12.75" hidden="false" customHeight="true" outlineLevel="0" collapsed="false">
      <c r="A2013" s="1" t="s">
        <v>1210</v>
      </c>
    </row>
    <row r="2014" customFormat="false" ht="12.75" hidden="false" customHeight="true" outlineLevel="0" collapsed="false">
      <c r="A2014" s="1" t="s">
        <v>1730</v>
      </c>
    </row>
    <row r="2015" customFormat="false" ht="12.75" hidden="false" customHeight="true" outlineLevel="0" collapsed="false">
      <c r="A2015" s="1" t="s">
        <v>1731</v>
      </c>
    </row>
    <row r="2016" customFormat="false" ht="12.75" hidden="false" customHeight="true" outlineLevel="0" collapsed="false"/>
    <row r="2017" customFormat="false" ht="12.75" hidden="false" customHeight="true" outlineLevel="0" collapsed="false">
      <c r="A2017" s="1" t="s">
        <v>1211</v>
      </c>
    </row>
    <row r="2018" customFormat="false" ht="12.75" hidden="false" customHeight="true" outlineLevel="0" collapsed="false">
      <c r="A2018" s="1" t="s">
        <v>1728</v>
      </c>
    </row>
    <row r="2019" customFormat="false" ht="12.75" hidden="false" customHeight="true" outlineLevel="0" collapsed="false">
      <c r="A2019" s="1" t="s">
        <v>1729</v>
      </c>
    </row>
    <row r="2020" customFormat="false" ht="12.75" hidden="false" customHeight="true" outlineLevel="0" collapsed="false"/>
    <row r="2021" customFormat="false" ht="12.75" hidden="false" customHeight="true" outlineLevel="0" collapsed="false">
      <c r="A2021" s="1" t="s">
        <v>1212</v>
      </c>
    </row>
    <row r="2022" customFormat="false" ht="12.75" hidden="false" customHeight="true" outlineLevel="0" collapsed="false">
      <c r="A2022" s="1" t="s">
        <v>1728</v>
      </c>
    </row>
    <row r="2023" customFormat="false" ht="12.75" hidden="false" customHeight="true" outlineLevel="0" collapsed="false">
      <c r="A2023" s="1" t="s">
        <v>2689</v>
      </c>
    </row>
    <row r="2024" customFormat="false" ht="12.75" hidden="false" customHeight="true" outlineLevel="0" collapsed="false">
      <c r="A2024" s="0" t="s">
        <v>2684</v>
      </c>
    </row>
    <row r="2025" customFormat="false" ht="12.75" hidden="false" customHeight="true" outlineLevel="0" collapsed="false">
      <c r="A2025" s="1" t="s">
        <v>1711</v>
      </c>
    </row>
    <row r="2026" customFormat="false" ht="12.75" hidden="false" customHeight="true" outlineLevel="0" collapsed="false">
      <c r="A2026" s="1" t="s">
        <v>1677</v>
      </c>
    </row>
    <row r="2027" customFormat="false" ht="12.75" hidden="false" customHeight="true" outlineLevel="0" collapsed="false">
      <c r="A2027" s="1" t="s">
        <v>1678</v>
      </c>
    </row>
    <row r="2028" customFormat="false" ht="12.75" hidden="false" customHeight="true" outlineLevel="0" collapsed="false">
      <c r="A2028" s="1" t="s">
        <v>2675</v>
      </c>
    </row>
    <row r="2029" customFormat="false" ht="12.75" hidden="false" customHeight="true" outlineLevel="0" collapsed="false">
      <c r="A2029" s="0" t="s">
        <v>2572</v>
      </c>
    </row>
    <row r="2030" customFormat="false" ht="12.75" hidden="false" customHeight="true" outlineLevel="0" collapsed="false">
      <c r="A2030" s="1" t="s">
        <v>1266</v>
      </c>
    </row>
    <row r="2031" customFormat="false" ht="12.75" hidden="false" customHeight="true" outlineLevel="0" collapsed="false">
      <c r="A2031" s="1" t="s">
        <v>1267</v>
      </c>
    </row>
    <row r="2032" customFormat="false" ht="12.75" hidden="false" customHeight="true" outlineLevel="0" collapsed="false"/>
    <row r="2033" customFormat="false" ht="12.75" hidden="false" customHeight="true" outlineLevel="0" collapsed="false">
      <c r="A2033" s="1" t="s">
        <v>1268</v>
      </c>
    </row>
    <row r="2034" customFormat="false" ht="12.75" hidden="false" customHeight="true" outlineLevel="0" collapsed="false">
      <c r="A2034" s="1" t="s">
        <v>1269</v>
      </c>
    </row>
    <row r="2035" customFormat="false" ht="12.75" hidden="false" customHeight="true" outlineLevel="0" collapsed="false">
      <c r="A2035" s="1" t="s">
        <v>1270</v>
      </c>
    </row>
    <row r="2036" customFormat="false" ht="12.75" hidden="false" customHeight="true" outlineLevel="0" collapsed="false">
      <c r="A2036" s="1" t="s">
        <v>1269</v>
      </c>
    </row>
    <row r="2037" customFormat="false" ht="12.75" hidden="false" customHeight="true" outlineLevel="0" collapsed="false"/>
    <row r="2038" customFormat="false" ht="12.75" hidden="false" customHeight="true" outlineLevel="0" collapsed="false">
      <c r="A2038" s="1" t="s">
        <v>1272</v>
      </c>
    </row>
    <row r="2039" customFormat="false" ht="12.75" hidden="false" customHeight="true" outlineLevel="0" collapsed="false">
      <c r="A2039" s="1" t="s">
        <v>1273</v>
      </c>
    </row>
    <row r="2040" customFormat="false" ht="12.75" hidden="false" customHeight="true" outlineLevel="0" collapsed="false">
      <c r="A2040" s="1" t="s">
        <v>1712</v>
      </c>
    </row>
    <row r="2041" customFormat="false" ht="12.75" hidden="false" customHeight="true" outlineLevel="0" collapsed="false">
      <c r="A2041" s="1" t="s">
        <v>1275</v>
      </c>
    </row>
    <row r="2042" customFormat="false" ht="12.75" hidden="false" customHeight="true" outlineLevel="0" collapsed="false">
      <c r="A2042" s="1" t="s">
        <v>1623</v>
      </c>
    </row>
    <row r="2043" customFormat="false" ht="12.75" hidden="false" customHeight="true" outlineLevel="0" collapsed="false">
      <c r="A2043" s="1" t="s">
        <v>2552</v>
      </c>
    </row>
    <row r="2044" customFormat="false" ht="12.75" hidden="false" customHeight="true" outlineLevel="0" collapsed="false">
      <c r="A2044" s="0" t="s">
        <v>2536</v>
      </c>
    </row>
    <row r="2045" customFormat="false" ht="12.75" hidden="false" customHeight="true" outlineLevel="0" collapsed="false">
      <c r="A2045" s="1" t="s">
        <v>2690</v>
      </c>
    </row>
    <row r="2046" customFormat="false" ht="12.75" hidden="false" customHeight="true" outlineLevel="0" collapsed="false">
      <c r="A2046" s="0" t="s">
        <v>2651</v>
      </c>
    </row>
    <row r="2047" customFormat="false" ht="12.75" hidden="false" customHeight="true" outlineLevel="0" collapsed="false">
      <c r="A2047" s="1" t="s">
        <v>1619</v>
      </c>
    </row>
    <row r="2048" customFormat="false" ht="12.75" hidden="false" customHeight="true" outlineLevel="0" collapsed="false">
      <c r="A2048" s="1" t="s">
        <v>1677</v>
      </c>
    </row>
    <row r="2049" customFormat="false" ht="12.75" hidden="false" customHeight="true" outlineLevel="0" collapsed="false">
      <c r="A2049" s="1" t="s">
        <v>1678</v>
      </c>
    </row>
    <row r="2050" customFormat="false" ht="12.75" hidden="false" customHeight="true" outlineLevel="0" collapsed="false">
      <c r="A2050" s="1" t="s">
        <v>2675</v>
      </c>
    </row>
    <row r="2051" customFormat="false" ht="12.75" hidden="false" customHeight="true" outlineLevel="0" collapsed="false">
      <c r="A2051" s="0" t="s">
        <v>2572</v>
      </c>
    </row>
    <row r="2052" customFormat="false" ht="12.75" hidden="false" customHeight="true" outlineLevel="0" collapsed="false">
      <c r="A2052" s="1" t="s">
        <v>1266</v>
      </c>
    </row>
    <row r="2053" customFormat="false" ht="12.75" hidden="false" customHeight="true" outlineLevel="0" collapsed="false">
      <c r="A2053" s="1" t="s">
        <v>1267</v>
      </c>
    </row>
    <row r="2054" customFormat="false" ht="12.75" hidden="false" customHeight="true" outlineLevel="0" collapsed="false"/>
    <row r="2055" customFormat="false" ht="12.75" hidden="false" customHeight="true" outlineLevel="0" collapsed="false">
      <c r="A2055" s="1" t="s">
        <v>1268</v>
      </c>
    </row>
    <row r="2056" customFormat="false" ht="12.75" hidden="false" customHeight="true" outlineLevel="0" collapsed="false">
      <c r="A2056" s="1" t="s">
        <v>1269</v>
      </c>
    </row>
    <row r="2057" customFormat="false" ht="12.75" hidden="false" customHeight="true" outlineLevel="0" collapsed="false">
      <c r="A2057" s="1" t="s">
        <v>1270</v>
      </c>
    </row>
    <row r="2058" customFormat="false" ht="12.75" hidden="false" customHeight="true" outlineLevel="0" collapsed="false">
      <c r="A2058" s="1" t="s">
        <v>1269</v>
      </c>
    </row>
    <row r="2059" customFormat="false" ht="12.75" hidden="false" customHeight="true" outlineLevel="0" collapsed="false"/>
    <row r="2060" customFormat="false" ht="12.75" hidden="false" customHeight="true" outlineLevel="0" collapsed="false">
      <c r="A2060" s="1" t="s">
        <v>1272</v>
      </c>
    </row>
    <row r="2061" customFormat="false" ht="12.75" hidden="false" customHeight="true" outlineLevel="0" collapsed="false">
      <c r="A2061" s="1" t="s">
        <v>1273</v>
      </c>
    </row>
    <row r="2062" customFormat="false" ht="12.75" hidden="false" customHeight="true" outlineLevel="0" collapsed="false">
      <c r="A2062" s="1" t="s">
        <v>1712</v>
      </c>
    </row>
    <row r="2063" customFormat="false" ht="12.75" hidden="false" customHeight="true" outlineLevel="0" collapsed="false">
      <c r="A2063" s="1" t="s">
        <v>1275</v>
      </c>
    </row>
    <row r="2064" customFormat="false" ht="12.75" hidden="false" customHeight="true" outlineLevel="0" collapsed="false">
      <c r="A2064" s="1" t="s">
        <v>1623</v>
      </c>
    </row>
    <row r="2065" customFormat="false" ht="12.75" hidden="false" customHeight="true" outlineLevel="0" collapsed="false">
      <c r="A2065" s="1" t="s">
        <v>2552</v>
      </c>
    </row>
    <row r="2066" customFormat="false" ht="12.75" hidden="false" customHeight="true" outlineLevel="0" collapsed="false">
      <c r="A2066" s="0" t="s">
        <v>2536</v>
      </c>
    </row>
    <row r="2067" customFormat="false" ht="12.75" hidden="false" customHeight="true" outlineLevel="0" collapsed="false">
      <c r="A2067" s="1" t="s">
        <v>2691</v>
      </c>
    </row>
    <row r="2068" customFormat="false" ht="12.75" hidden="false" customHeight="true" outlineLevel="0" collapsed="false">
      <c r="A2068" s="0" t="s">
        <v>2651</v>
      </c>
    </row>
    <row r="2069" customFormat="false" ht="12.75" hidden="false" customHeight="true" outlineLevel="0" collapsed="false">
      <c r="A2069" s="1" t="s">
        <v>1619</v>
      </c>
    </row>
    <row r="2070" customFormat="false" ht="12.75" hidden="false" customHeight="true" outlineLevel="0" collapsed="false">
      <c r="A2070" s="1" t="s">
        <v>1677</v>
      </c>
    </row>
    <row r="2071" customFormat="false" ht="12.75" hidden="false" customHeight="true" outlineLevel="0" collapsed="false">
      <c r="A2071" s="1" t="s">
        <v>1678</v>
      </c>
    </row>
    <row r="2072" customFormat="false" ht="12.75" hidden="false" customHeight="true" outlineLevel="0" collapsed="false">
      <c r="A2072" s="1" t="s">
        <v>2675</v>
      </c>
    </row>
    <row r="2073" customFormat="false" ht="12.75" hidden="false" customHeight="true" outlineLevel="0" collapsed="false">
      <c r="A2073" s="0" t="s">
        <v>2572</v>
      </c>
    </row>
    <row r="2074" customFormat="false" ht="12.75" hidden="false" customHeight="true" outlineLevel="0" collapsed="false">
      <c r="A2074" s="1" t="s">
        <v>1266</v>
      </c>
    </row>
    <row r="2075" customFormat="false" ht="12.75" hidden="false" customHeight="true" outlineLevel="0" collapsed="false">
      <c r="A2075" s="1" t="s">
        <v>1267</v>
      </c>
    </row>
    <row r="2076" customFormat="false" ht="12.75" hidden="false" customHeight="true" outlineLevel="0" collapsed="false"/>
    <row r="2077" customFormat="false" ht="12.75" hidden="false" customHeight="true" outlineLevel="0" collapsed="false">
      <c r="A2077" s="1" t="s">
        <v>1268</v>
      </c>
    </row>
    <row r="2078" customFormat="false" ht="12.75" hidden="false" customHeight="true" outlineLevel="0" collapsed="false">
      <c r="A2078" s="1" t="s">
        <v>1269</v>
      </c>
    </row>
    <row r="2079" customFormat="false" ht="12.75" hidden="false" customHeight="true" outlineLevel="0" collapsed="false">
      <c r="A2079" s="1" t="s">
        <v>1270</v>
      </c>
    </row>
    <row r="2080" customFormat="false" ht="12.75" hidden="false" customHeight="true" outlineLevel="0" collapsed="false">
      <c r="A2080" s="1" t="s">
        <v>1269</v>
      </c>
    </row>
    <row r="2081" customFormat="false" ht="12.75" hidden="false" customHeight="true" outlineLevel="0" collapsed="false"/>
    <row r="2082" customFormat="false" ht="12.75" hidden="false" customHeight="true" outlineLevel="0" collapsed="false">
      <c r="A2082" s="1" t="s">
        <v>1272</v>
      </c>
    </row>
    <row r="2083" customFormat="false" ht="12.75" hidden="false" customHeight="true" outlineLevel="0" collapsed="false">
      <c r="A2083" s="1" t="s">
        <v>1273</v>
      </c>
    </row>
    <row r="2084" customFormat="false" ht="12.75" hidden="false" customHeight="true" outlineLevel="0" collapsed="false">
      <c r="A2084" s="1" t="s">
        <v>1712</v>
      </c>
    </row>
    <row r="2085" customFormat="false" ht="12.75" hidden="false" customHeight="true" outlineLevel="0" collapsed="false">
      <c r="A2085" s="1" t="s">
        <v>1275</v>
      </c>
    </row>
    <row r="2086" customFormat="false" ht="12.75" hidden="false" customHeight="true" outlineLevel="0" collapsed="false">
      <c r="A2086" s="1" t="s">
        <v>1623</v>
      </c>
    </row>
    <row r="2087" customFormat="false" ht="12.75" hidden="false" customHeight="true" outlineLevel="0" collapsed="false">
      <c r="A2087" s="1" t="s">
        <v>2552</v>
      </c>
    </row>
    <row r="2088" customFormat="false" ht="12.75" hidden="false" customHeight="true" outlineLevel="0" collapsed="false">
      <c r="A2088" s="0" t="s">
        <v>2536</v>
      </c>
    </row>
    <row r="2089" customFormat="false" ht="12.75" hidden="false" customHeight="true" outlineLevel="0" collapsed="false">
      <c r="A2089" s="1" t="s">
        <v>2692</v>
      </c>
    </row>
    <row r="2090" customFormat="false" ht="12.75" hidden="false" customHeight="true" outlineLevel="0" collapsed="false">
      <c r="A2090" s="0" t="s">
        <v>2568</v>
      </c>
    </row>
    <row r="2091" customFormat="false" ht="12.75" hidden="false" customHeight="true" outlineLevel="0" collapsed="false">
      <c r="A2091" s="1" t="s">
        <v>1736</v>
      </c>
    </row>
    <row r="2092" customFormat="false" ht="12.75" hidden="false" customHeight="true" outlineLevel="0" collapsed="false">
      <c r="A2092" s="1" t="s">
        <v>1716</v>
      </c>
    </row>
    <row r="2093" customFormat="false" ht="12.75" hidden="false" customHeight="true" outlineLevel="0" collapsed="false"/>
    <row r="2094" customFormat="false" ht="12.75" hidden="false" customHeight="true" outlineLevel="0" collapsed="false">
      <c r="A2094" s="1" t="s">
        <v>1209</v>
      </c>
    </row>
    <row r="2095" customFormat="false" ht="12.75" hidden="false" customHeight="true" outlineLevel="0" collapsed="false">
      <c r="A2095" s="1" t="s">
        <v>1737</v>
      </c>
    </row>
    <row r="2096" customFormat="false" ht="12.75" hidden="false" customHeight="true" outlineLevel="0" collapsed="false">
      <c r="A2096" s="1" t="s">
        <v>1738</v>
      </c>
    </row>
    <row r="2097" customFormat="false" ht="12.75" hidden="false" customHeight="true" outlineLevel="0" collapsed="false">
      <c r="A2097" s="1" t="s">
        <v>1719</v>
      </c>
    </row>
    <row r="2098" customFormat="false" ht="12.75" hidden="false" customHeight="true" outlineLevel="0" collapsed="false">
      <c r="A2098" s="1" t="s">
        <v>1720</v>
      </c>
    </row>
    <row r="2099" customFormat="false" ht="12.75" hidden="false" customHeight="true" outlineLevel="0" collapsed="false"/>
    <row r="2100" customFormat="false" ht="12.75" hidden="false" customHeight="true" outlineLevel="0" collapsed="false">
      <c r="A2100" s="1" t="s">
        <v>1210</v>
      </c>
    </row>
    <row r="2101" customFormat="false" ht="12.75" hidden="false" customHeight="true" outlineLevel="0" collapsed="false">
      <c r="A2101" s="1" t="s">
        <v>1739</v>
      </c>
    </row>
    <row r="2102" customFormat="false" ht="12.75" hidden="false" customHeight="true" outlineLevel="0" collapsed="false">
      <c r="A2102" s="1" t="s">
        <v>1598</v>
      </c>
    </row>
    <row r="2103" customFormat="false" ht="12.75" hidden="false" customHeight="true" outlineLevel="0" collapsed="false"/>
    <row r="2104" customFormat="false" ht="12.75" hidden="false" customHeight="true" outlineLevel="0" collapsed="false">
      <c r="A2104" s="1" t="s">
        <v>1211</v>
      </c>
    </row>
    <row r="2105" customFormat="false" ht="12.75" hidden="false" customHeight="true" outlineLevel="0" collapsed="false">
      <c r="A2105" s="1" t="s">
        <v>1740</v>
      </c>
    </row>
    <row r="2106" customFormat="false" ht="12.75" hidden="false" customHeight="true" outlineLevel="0" collapsed="false">
      <c r="A2106" s="1" t="s">
        <v>1723</v>
      </c>
    </row>
    <row r="2107" customFormat="false" ht="12.75" hidden="false" customHeight="true" outlineLevel="0" collapsed="false"/>
    <row r="2108" customFormat="false" ht="12.75" hidden="false" customHeight="true" outlineLevel="0" collapsed="false">
      <c r="A2108" s="1" t="s">
        <v>1212</v>
      </c>
    </row>
    <row r="2109" customFormat="false" ht="12.75" hidden="false" customHeight="true" outlineLevel="0" collapsed="false">
      <c r="A2109" s="1" t="s">
        <v>1740</v>
      </c>
    </row>
    <row r="2110" customFormat="false" ht="12.75" hidden="false" customHeight="true" outlineLevel="0" collapsed="false">
      <c r="A2110" s="1" t="s">
        <v>2687</v>
      </c>
    </row>
    <row r="2111" customFormat="false" ht="12.75" hidden="false" customHeight="true" outlineLevel="0" collapsed="false">
      <c r="A2111" s="0" t="s">
        <v>2651</v>
      </c>
    </row>
    <row r="2112" customFormat="false" ht="12.75" hidden="false" customHeight="true" outlineLevel="0" collapsed="false">
      <c r="A2112" s="1" t="s">
        <v>1619</v>
      </c>
    </row>
    <row r="2113" customFormat="false" ht="12.75" hidden="false" customHeight="true" outlineLevel="0" collapsed="false">
      <c r="A2113" s="1" t="s">
        <v>1677</v>
      </c>
    </row>
    <row r="2114" customFormat="false" ht="12.75" hidden="false" customHeight="true" outlineLevel="0" collapsed="false">
      <c r="A2114" s="1" t="s">
        <v>1678</v>
      </c>
    </row>
    <row r="2115" customFormat="false" ht="12.75" hidden="false" customHeight="true" outlineLevel="0" collapsed="false">
      <c r="A2115" s="1" t="s">
        <v>2675</v>
      </c>
    </row>
    <row r="2116" customFormat="false" ht="12.75" hidden="false" customHeight="true" outlineLevel="0" collapsed="false">
      <c r="A2116" s="0" t="s">
        <v>2572</v>
      </c>
    </row>
    <row r="2117" customFormat="false" ht="12.75" hidden="false" customHeight="true" outlineLevel="0" collapsed="false">
      <c r="A2117" s="1" t="s">
        <v>1266</v>
      </c>
    </row>
    <row r="2118" customFormat="false" ht="12.75" hidden="false" customHeight="true" outlineLevel="0" collapsed="false">
      <c r="A2118" s="1" t="s">
        <v>1267</v>
      </c>
    </row>
    <row r="2119" customFormat="false" ht="12.75" hidden="false" customHeight="true" outlineLevel="0" collapsed="false"/>
    <row r="2120" customFormat="false" ht="12.75" hidden="false" customHeight="true" outlineLevel="0" collapsed="false">
      <c r="A2120" s="1" t="s">
        <v>1268</v>
      </c>
    </row>
    <row r="2121" customFormat="false" ht="12.75" hidden="false" customHeight="true" outlineLevel="0" collapsed="false">
      <c r="A2121" s="1" t="s">
        <v>1269</v>
      </c>
    </row>
    <row r="2122" customFormat="false" ht="12.75" hidden="false" customHeight="true" outlineLevel="0" collapsed="false">
      <c r="A2122" s="1" t="s">
        <v>1270</v>
      </c>
    </row>
    <row r="2123" customFormat="false" ht="12.75" hidden="false" customHeight="true" outlineLevel="0" collapsed="false">
      <c r="A2123" s="1" t="s">
        <v>1269</v>
      </c>
    </row>
    <row r="2124" customFormat="false" ht="12.75" hidden="false" customHeight="true" outlineLevel="0" collapsed="false"/>
    <row r="2125" customFormat="false" ht="12.75" hidden="false" customHeight="true" outlineLevel="0" collapsed="false">
      <c r="A2125" s="1" t="s">
        <v>1272</v>
      </c>
    </row>
    <row r="2126" customFormat="false" ht="12.75" hidden="false" customHeight="true" outlineLevel="0" collapsed="false">
      <c r="A2126" s="1" t="s">
        <v>1273</v>
      </c>
    </row>
    <row r="2127" customFormat="false" ht="12.75" hidden="false" customHeight="true" outlineLevel="0" collapsed="false">
      <c r="A2127" s="1" t="s">
        <v>1712</v>
      </c>
    </row>
    <row r="2128" customFormat="false" ht="12.75" hidden="false" customHeight="true" outlineLevel="0" collapsed="false">
      <c r="A2128" s="1" t="s">
        <v>1275</v>
      </c>
    </row>
    <row r="2129" customFormat="false" ht="12.75" hidden="false" customHeight="true" outlineLevel="0" collapsed="false">
      <c r="A2129" s="1" t="s">
        <v>1623</v>
      </c>
    </row>
    <row r="2130" customFormat="false" ht="12.75" hidden="false" customHeight="true" outlineLevel="0" collapsed="false">
      <c r="A2130" s="1" t="s">
        <v>2552</v>
      </c>
    </row>
    <row r="2131" customFormat="false" ht="12.75" hidden="false" customHeight="true" outlineLevel="0" collapsed="false">
      <c r="A2131" s="0" t="s">
        <v>2536</v>
      </c>
    </row>
    <row r="2132" customFormat="false" ht="12.75" hidden="false" customHeight="true" outlineLevel="0" collapsed="false">
      <c r="A2132" s="1" t="s">
        <v>2693</v>
      </c>
    </row>
    <row r="2133" customFormat="false" ht="12.75" hidden="false" customHeight="true" outlineLevel="0" collapsed="false">
      <c r="A2133" s="0" t="s">
        <v>2568</v>
      </c>
    </row>
    <row r="2134" customFormat="false" ht="12.75" hidden="false" customHeight="true" outlineLevel="0" collapsed="false">
      <c r="A2134" s="1" t="s">
        <v>1743</v>
      </c>
    </row>
    <row r="2135" customFormat="false" ht="12.75" hidden="false" customHeight="true" outlineLevel="0" collapsed="false">
      <c r="A2135" s="1" t="s">
        <v>1744</v>
      </c>
    </row>
    <row r="2136" customFormat="false" ht="12.75" hidden="false" customHeight="true" outlineLevel="0" collapsed="false"/>
    <row r="2137" customFormat="false" ht="12.75" hidden="false" customHeight="true" outlineLevel="0" collapsed="false">
      <c r="A2137" s="1" t="s">
        <v>1209</v>
      </c>
    </row>
    <row r="2138" customFormat="false" ht="12.75" hidden="false" customHeight="true" outlineLevel="0" collapsed="false">
      <c r="A2138" s="1" t="s">
        <v>1745</v>
      </c>
    </row>
    <row r="2139" customFormat="false" ht="12.75" hidden="false" customHeight="true" outlineLevel="0" collapsed="false">
      <c r="A2139" s="1" t="s">
        <v>1746</v>
      </c>
    </row>
    <row r="2140" customFormat="false" ht="12.75" hidden="false" customHeight="true" outlineLevel="0" collapsed="false">
      <c r="A2140" s="1" t="s">
        <v>1747</v>
      </c>
    </row>
    <row r="2141" customFormat="false" ht="12.75" hidden="false" customHeight="true" outlineLevel="0" collapsed="false">
      <c r="A2141" s="1" t="s">
        <v>1748</v>
      </c>
    </row>
    <row r="2142" customFormat="false" ht="12.75" hidden="false" customHeight="true" outlineLevel="0" collapsed="false"/>
    <row r="2143" customFormat="false" ht="12.75" hidden="false" customHeight="true" outlineLevel="0" collapsed="false">
      <c r="A2143" s="1" t="s">
        <v>1210</v>
      </c>
    </row>
    <row r="2144" customFormat="false" ht="12.75" hidden="false" customHeight="true" outlineLevel="0" collapsed="false">
      <c r="A2144" s="1" t="s">
        <v>1749</v>
      </c>
    </row>
    <row r="2145" customFormat="false" ht="12.75" hidden="false" customHeight="true" outlineLevel="0" collapsed="false">
      <c r="A2145" s="1" t="s">
        <v>1598</v>
      </c>
    </row>
    <row r="2146" customFormat="false" ht="12.75" hidden="false" customHeight="true" outlineLevel="0" collapsed="false"/>
    <row r="2147" customFormat="false" ht="12.75" hidden="false" customHeight="true" outlineLevel="0" collapsed="false">
      <c r="A2147" s="1" t="s">
        <v>1211</v>
      </c>
    </row>
    <row r="2148" customFormat="false" ht="12.75" hidden="false" customHeight="true" outlineLevel="0" collapsed="false">
      <c r="A2148" s="1" t="s">
        <v>1750</v>
      </c>
    </row>
    <row r="2149" customFormat="false" ht="12.75" hidden="false" customHeight="true" outlineLevel="0" collapsed="false">
      <c r="A2149" s="1" t="s">
        <v>1751</v>
      </c>
    </row>
    <row r="2150" customFormat="false" ht="12.75" hidden="false" customHeight="true" outlineLevel="0" collapsed="false"/>
    <row r="2151" customFormat="false" ht="12.75" hidden="false" customHeight="true" outlineLevel="0" collapsed="false">
      <c r="A2151" s="1" t="s">
        <v>1212</v>
      </c>
    </row>
    <row r="2152" customFormat="false" ht="12.75" hidden="false" customHeight="true" outlineLevel="0" collapsed="false">
      <c r="A2152" s="1" t="s">
        <v>1750</v>
      </c>
    </row>
    <row r="2153" customFormat="false" ht="12.75" hidden="false" customHeight="true" outlineLevel="0" collapsed="false">
      <c r="A2153" s="1" t="s">
        <v>2694</v>
      </c>
    </row>
    <row r="2154" customFormat="false" ht="12.75" hidden="false" customHeight="true" outlineLevel="0" collapsed="false">
      <c r="A2154" s="0" t="s">
        <v>2695</v>
      </c>
    </row>
    <row r="2155" customFormat="false" ht="12.75" hidden="false" customHeight="true" outlineLevel="0" collapsed="false">
      <c r="A2155" s="1" t="s">
        <v>1753</v>
      </c>
    </row>
    <row r="2156" customFormat="false" ht="12.75" hidden="false" customHeight="true" outlineLevel="0" collapsed="false">
      <c r="A2156" s="1" t="s">
        <v>1754</v>
      </c>
    </row>
    <row r="2157" customFormat="false" ht="12.75" hidden="false" customHeight="true" outlineLevel="0" collapsed="false">
      <c r="A2157" s="1" t="s">
        <v>1755</v>
      </c>
    </row>
    <row r="2158" customFormat="false" ht="12.75" hidden="false" customHeight="true" outlineLevel="0" collapsed="false">
      <c r="A2158" s="1" t="s">
        <v>2696</v>
      </c>
    </row>
    <row r="2159" customFormat="false" ht="12.75" hidden="false" customHeight="true" outlineLevel="0" collapsed="false">
      <c r="A2159" s="0" t="s">
        <v>2572</v>
      </c>
    </row>
    <row r="2160" customFormat="false" ht="12.75" hidden="false" customHeight="true" outlineLevel="0" collapsed="false">
      <c r="A2160" s="1" t="s">
        <v>1266</v>
      </c>
    </row>
    <row r="2161" customFormat="false" ht="12.75" hidden="false" customHeight="true" outlineLevel="0" collapsed="false">
      <c r="A2161" s="1" t="s">
        <v>1267</v>
      </c>
    </row>
    <row r="2162" customFormat="false" ht="12.75" hidden="false" customHeight="true" outlineLevel="0" collapsed="false"/>
    <row r="2163" customFormat="false" ht="12.75" hidden="false" customHeight="true" outlineLevel="0" collapsed="false">
      <c r="A2163" s="1" t="s">
        <v>1268</v>
      </c>
    </row>
    <row r="2164" customFormat="false" ht="12.75" hidden="false" customHeight="true" outlineLevel="0" collapsed="false">
      <c r="A2164" s="1" t="s">
        <v>1586</v>
      </c>
    </row>
    <row r="2165" customFormat="false" ht="12.75" hidden="false" customHeight="true" outlineLevel="0" collapsed="false">
      <c r="A2165" s="1" t="s">
        <v>1270</v>
      </c>
    </row>
    <row r="2166" customFormat="false" ht="12.75" hidden="false" customHeight="true" outlineLevel="0" collapsed="false">
      <c r="A2166" s="1" t="s">
        <v>1585</v>
      </c>
    </row>
    <row r="2167" customFormat="false" ht="12.75" hidden="false" customHeight="true" outlineLevel="0" collapsed="false"/>
    <row r="2168" customFormat="false" ht="12.75" hidden="false" customHeight="true" outlineLevel="0" collapsed="false">
      <c r="A2168" s="1" t="s">
        <v>1272</v>
      </c>
    </row>
    <row r="2169" customFormat="false" ht="12.75" hidden="false" customHeight="true" outlineLevel="0" collapsed="false">
      <c r="A2169" s="1" t="s">
        <v>1606</v>
      </c>
    </row>
    <row r="2170" customFormat="false" ht="12.75" hidden="false" customHeight="true" outlineLevel="0" collapsed="false">
      <c r="A2170" s="1" t="s">
        <v>1607</v>
      </c>
    </row>
    <row r="2171" customFormat="false" ht="12.75" hidden="false" customHeight="true" outlineLevel="0" collapsed="false">
      <c r="A2171" s="1" t="s">
        <v>1275</v>
      </c>
    </row>
    <row r="2172" customFormat="false" ht="12.75" hidden="false" customHeight="true" outlineLevel="0" collapsed="false">
      <c r="A2172" s="1" t="s">
        <v>1589</v>
      </c>
    </row>
    <row r="2173" customFormat="false" ht="12.75" hidden="false" customHeight="true" outlineLevel="0" collapsed="false">
      <c r="A2173" s="1" t="s">
        <v>2552</v>
      </c>
    </row>
    <row r="2174" customFormat="false" ht="12.75" hidden="false" customHeight="true" outlineLevel="0" collapsed="false">
      <c r="A2174" s="0" t="s">
        <v>2536</v>
      </c>
    </row>
    <row r="2175" customFormat="false" ht="12.75" hidden="false" customHeight="true" outlineLevel="0" collapsed="false">
      <c r="A2175" s="1" t="s">
        <v>2697</v>
      </c>
    </row>
    <row r="2176" customFormat="false" ht="12.75" hidden="false" customHeight="true" outlineLevel="0" collapsed="false">
      <c r="A2176" s="0" t="s">
        <v>2651</v>
      </c>
    </row>
    <row r="2177" customFormat="false" ht="12.75" hidden="false" customHeight="true" outlineLevel="0" collapsed="false">
      <c r="A2177" s="1" t="s">
        <v>1619</v>
      </c>
    </row>
    <row r="2178" customFormat="false" ht="12.75" hidden="false" customHeight="true" outlineLevel="0" collapsed="false">
      <c r="A2178" s="1" t="s">
        <v>1758</v>
      </c>
    </row>
    <row r="2179" customFormat="false" ht="12.75" hidden="false" customHeight="true" outlineLevel="0" collapsed="false">
      <c r="A2179" s="1" t="s">
        <v>1678</v>
      </c>
    </row>
    <row r="2180" customFormat="false" ht="12.75" hidden="false" customHeight="true" outlineLevel="0" collapsed="false">
      <c r="A2180" s="1" t="s">
        <v>2675</v>
      </c>
    </row>
    <row r="2181" customFormat="false" ht="12.75" hidden="false" customHeight="true" outlineLevel="0" collapsed="false">
      <c r="A2181" s="0" t="s">
        <v>2572</v>
      </c>
    </row>
    <row r="2182" customFormat="false" ht="12.75" hidden="false" customHeight="true" outlineLevel="0" collapsed="false">
      <c r="A2182" s="1" t="s">
        <v>1266</v>
      </c>
    </row>
    <row r="2183" customFormat="false" ht="12.75" hidden="false" customHeight="true" outlineLevel="0" collapsed="false">
      <c r="A2183" s="1" t="s">
        <v>1267</v>
      </c>
    </row>
    <row r="2184" customFormat="false" ht="12.75" hidden="false" customHeight="true" outlineLevel="0" collapsed="false"/>
    <row r="2185" customFormat="false" ht="12.75" hidden="false" customHeight="true" outlineLevel="0" collapsed="false">
      <c r="A2185" s="1" t="s">
        <v>1268</v>
      </c>
    </row>
    <row r="2186" customFormat="false" ht="12.75" hidden="false" customHeight="true" outlineLevel="0" collapsed="false">
      <c r="A2186" s="1" t="s">
        <v>1269</v>
      </c>
    </row>
    <row r="2187" customFormat="false" ht="12.75" hidden="false" customHeight="true" outlineLevel="0" collapsed="false">
      <c r="A2187" s="1" t="s">
        <v>1270</v>
      </c>
    </row>
    <row r="2188" customFormat="false" ht="12.75" hidden="false" customHeight="true" outlineLevel="0" collapsed="false">
      <c r="A2188" s="1" t="s">
        <v>1269</v>
      </c>
    </row>
    <row r="2189" customFormat="false" ht="12.75" hidden="false" customHeight="true" outlineLevel="0" collapsed="false"/>
    <row r="2190" customFormat="false" ht="12.75" hidden="false" customHeight="true" outlineLevel="0" collapsed="false">
      <c r="A2190" s="1" t="s">
        <v>1272</v>
      </c>
    </row>
    <row r="2191" customFormat="false" ht="12.75" hidden="false" customHeight="true" outlineLevel="0" collapsed="false">
      <c r="A2191" s="1" t="s">
        <v>1273</v>
      </c>
    </row>
    <row r="2192" customFormat="false" ht="12.75" hidden="false" customHeight="true" outlineLevel="0" collapsed="false">
      <c r="A2192" s="1" t="s">
        <v>1712</v>
      </c>
    </row>
    <row r="2193" customFormat="false" ht="12.75" hidden="false" customHeight="true" outlineLevel="0" collapsed="false">
      <c r="A2193" s="1" t="s">
        <v>1275</v>
      </c>
    </row>
    <row r="2194" customFormat="false" ht="12.75" hidden="false" customHeight="true" outlineLevel="0" collapsed="false">
      <c r="A2194" s="1" t="s">
        <v>1623</v>
      </c>
    </row>
    <row r="2195" customFormat="false" ht="12.75" hidden="false" customHeight="true" outlineLevel="0" collapsed="false">
      <c r="A2195" s="1" t="s">
        <v>2552</v>
      </c>
    </row>
    <row r="2196" customFormat="false" ht="12.75" hidden="false" customHeight="true" outlineLevel="0" collapsed="false">
      <c r="A2196" s="0" t="s">
        <v>2536</v>
      </c>
    </row>
    <row r="2197" customFormat="false" ht="12.75" hidden="false" customHeight="true" outlineLevel="0" collapsed="false">
      <c r="A2197" s="1" t="s">
        <v>2698</v>
      </c>
    </row>
    <row r="2198" customFormat="false" ht="12.75" hidden="false" customHeight="true" outlineLevel="0" collapsed="false">
      <c r="A2198" s="0" t="s">
        <v>2568</v>
      </c>
    </row>
    <row r="2199" customFormat="false" ht="12.75" hidden="false" customHeight="true" outlineLevel="0" collapsed="false">
      <c r="A2199" s="1" t="s">
        <v>1736</v>
      </c>
    </row>
    <row r="2200" customFormat="false" ht="12.75" hidden="false" customHeight="true" outlineLevel="0" collapsed="false">
      <c r="A2200" s="1" t="s">
        <v>1716</v>
      </c>
    </row>
    <row r="2201" customFormat="false" ht="12.75" hidden="false" customHeight="true" outlineLevel="0" collapsed="false"/>
    <row r="2202" customFormat="false" ht="12.75" hidden="false" customHeight="true" outlineLevel="0" collapsed="false">
      <c r="A2202" s="1" t="s">
        <v>1209</v>
      </c>
    </row>
    <row r="2203" customFormat="false" ht="12.75" hidden="false" customHeight="true" outlineLevel="0" collapsed="false">
      <c r="A2203" s="1" t="s">
        <v>1760</v>
      </c>
    </row>
    <row r="2204" customFormat="false" ht="12.75" hidden="false" customHeight="true" outlineLevel="0" collapsed="false">
      <c r="A2204" s="1" t="s">
        <v>1738</v>
      </c>
    </row>
    <row r="2205" customFormat="false" ht="12.75" hidden="false" customHeight="true" outlineLevel="0" collapsed="false">
      <c r="A2205" s="1" t="s">
        <v>1719</v>
      </c>
    </row>
    <row r="2206" customFormat="false" ht="12.75" hidden="false" customHeight="true" outlineLevel="0" collapsed="false">
      <c r="A2206" s="1" t="s">
        <v>1720</v>
      </c>
    </row>
    <row r="2207" customFormat="false" ht="12.75" hidden="false" customHeight="true" outlineLevel="0" collapsed="false"/>
    <row r="2208" customFormat="false" ht="12.75" hidden="false" customHeight="true" outlineLevel="0" collapsed="false">
      <c r="A2208" s="1" t="s">
        <v>1210</v>
      </c>
    </row>
    <row r="2209" customFormat="false" ht="12.75" hidden="false" customHeight="true" outlineLevel="0" collapsed="false">
      <c r="A2209" s="1" t="s">
        <v>1740</v>
      </c>
    </row>
    <row r="2210" customFormat="false" ht="12.75" hidden="false" customHeight="true" outlineLevel="0" collapsed="false">
      <c r="A2210" s="1" t="s">
        <v>1598</v>
      </c>
    </row>
    <row r="2211" customFormat="false" ht="12.75" hidden="false" customHeight="true" outlineLevel="0" collapsed="false"/>
    <row r="2212" customFormat="false" ht="12.75" hidden="false" customHeight="true" outlineLevel="0" collapsed="false">
      <c r="A2212" s="1" t="s">
        <v>1211</v>
      </c>
    </row>
    <row r="2213" customFormat="false" ht="12.75" hidden="false" customHeight="true" outlineLevel="0" collapsed="false">
      <c r="A2213" s="1" t="s">
        <v>1761</v>
      </c>
    </row>
    <row r="2214" customFormat="false" ht="12.75" hidden="false" customHeight="true" outlineLevel="0" collapsed="false">
      <c r="A2214" s="1" t="s">
        <v>1723</v>
      </c>
    </row>
    <row r="2215" customFormat="false" ht="12.75" hidden="false" customHeight="true" outlineLevel="0" collapsed="false"/>
    <row r="2216" customFormat="false" ht="12.75" hidden="false" customHeight="true" outlineLevel="0" collapsed="false">
      <c r="A2216" s="1" t="s">
        <v>1212</v>
      </c>
    </row>
    <row r="2217" customFormat="false" ht="12.75" hidden="false" customHeight="true" outlineLevel="0" collapsed="false">
      <c r="A2217" s="1" t="s">
        <v>1761</v>
      </c>
    </row>
    <row r="2218" customFormat="false" ht="12.75" hidden="false" customHeight="true" outlineLevel="0" collapsed="false">
      <c r="A2218" s="1" t="s">
        <v>2699</v>
      </c>
    </row>
    <row r="2219" customFormat="false" ht="12.75" hidden="false" customHeight="true" outlineLevel="0" collapsed="false">
      <c r="A2219" s="0" t="s">
        <v>2536</v>
      </c>
    </row>
    <row r="2220" customFormat="false" ht="12.75" hidden="false" customHeight="true" outlineLevel="0" collapsed="false">
      <c r="A2220" s="1" t="s">
        <v>2700</v>
      </c>
    </row>
    <row r="2221" customFormat="false" ht="12.75" hidden="false" customHeight="true" outlineLevel="0" collapsed="false">
      <c r="A2221" s="0" t="s">
        <v>2568</v>
      </c>
    </row>
    <row r="2222" customFormat="false" ht="12.75" hidden="false" customHeight="true" outlineLevel="0" collapsed="false">
      <c r="A2222" s="1" t="s">
        <v>1764</v>
      </c>
    </row>
    <row r="2223" customFormat="false" ht="12.75" hidden="false" customHeight="true" outlineLevel="0" collapsed="false">
      <c r="A2223" s="1" t="s">
        <v>1761</v>
      </c>
    </row>
    <row r="2224" customFormat="false" ht="12.75" hidden="false" customHeight="true" outlineLevel="0" collapsed="false"/>
    <row r="2225" customFormat="false" ht="12.75" hidden="false" customHeight="true" outlineLevel="0" collapsed="false">
      <c r="A2225" s="1" t="s">
        <v>1209</v>
      </c>
    </row>
    <row r="2226" customFormat="false" ht="12.75" hidden="false" customHeight="true" outlineLevel="0" collapsed="false">
      <c r="A2226" s="1" t="s">
        <v>1765</v>
      </c>
    </row>
    <row r="2227" customFormat="false" ht="12.75" hidden="false" customHeight="true" outlineLevel="0" collapsed="false">
      <c r="A2227" s="1" t="s">
        <v>1740</v>
      </c>
    </row>
    <row r="2228" customFormat="false" ht="12.75" hidden="false" customHeight="true" outlineLevel="0" collapsed="false">
      <c r="A2228" s="1" t="s">
        <v>1766</v>
      </c>
    </row>
    <row r="2229" customFormat="false" ht="12.75" hidden="false" customHeight="true" outlineLevel="0" collapsed="false">
      <c r="A2229" s="1" t="s">
        <v>1748</v>
      </c>
    </row>
    <row r="2230" customFormat="false" ht="12.75" hidden="false" customHeight="true" outlineLevel="0" collapsed="false"/>
    <row r="2231" customFormat="false" ht="12.75" hidden="false" customHeight="true" outlineLevel="0" collapsed="false">
      <c r="A2231" s="1" t="s">
        <v>1210</v>
      </c>
    </row>
    <row r="2232" customFormat="false" ht="12.75" hidden="false" customHeight="true" outlineLevel="0" collapsed="false">
      <c r="A2232" s="1" t="s">
        <v>1767</v>
      </c>
    </row>
    <row r="2233" customFormat="false" ht="12.75" hidden="false" customHeight="true" outlineLevel="0" collapsed="false">
      <c r="A2233" s="1" t="s">
        <v>1740</v>
      </c>
    </row>
    <row r="2234" customFormat="false" ht="12.75" hidden="false" customHeight="true" outlineLevel="0" collapsed="false"/>
    <row r="2235" customFormat="false" ht="12.75" hidden="false" customHeight="true" outlineLevel="0" collapsed="false">
      <c r="A2235" s="1" t="s">
        <v>1211</v>
      </c>
    </row>
    <row r="2236" customFormat="false" ht="12.75" hidden="false" customHeight="true" outlineLevel="0" collapsed="false">
      <c r="A2236" s="1" t="s">
        <v>1768</v>
      </c>
    </row>
    <row r="2237" customFormat="false" ht="12.75" hidden="false" customHeight="true" outlineLevel="0" collapsed="false">
      <c r="A2237" s="1" t="s">
        <v>1751</v>
      </c>
    </row>
    <row r="2238" customFormat="false" ht="12.75" hidden="false" customHeight="true" outlineLevel="0" collapsed="false"/>
    <row r="2239" customFormat="false" ht="12.75" hidden="false" customHeight="true" outlineLevel="0" collapsed="false">
      <c r="A2239" s="1" t="s">
        <v>1212</v>
      </c>
    </row>
    <row r="2240" customFormat="false" ht="12.75" hidden="false" customHeight="true" outlineLevel="0" collapsed="false">
      <c r="A2240" s="1" t="s">
        <v>1769</v>
      </c>
    </row>
    <row r="2241" customFormat="false" ht="12.75" hidden="false" customHeight="true" outlineLevel="0" collapsed="false">
      <c r="A2241" s="1" t="s">
        <v>2694</v>
      </c>
    </row>
    <row r="2242" customFormat="false" ht="12.75" hidden="false" customHeight="true" outlineLevel="0" collapsed="false">
      <c r="A2242" s="0" t="s">
        <v>2701</v>
      </c>
    </row>
    <row r="2243" customFormat="false" ht="12.75" hidden="false" customHeight="true" outlineLevel="0" collapsed="false">
      <c r="A2243" s="1" t="s">
        <v>1536</v>
      </c>
    </row>
    <row r="2244" customFormat="false" ht="12.75" hidden="false" customHeight="true" outlineLevel="0" collapsed="false">
      <c r="A2244" s="1" t="s">
        <v>1537</v>
      </c>
    </row>
    <row r="2245" customFormat="false" ht="12.75" hidden="false" customHeight="true" outlineLevel="0" collapsed="false">
      <c r="A2245" s="1" t="s">
        <v>1538</v>
      </c>
    </row>
    <row r="2246" customFormat="false" ht="12.75" hidden="false" customHeight="true" outlineLevel="0" collapsed="false">
      <c r="A2246" s="1" t="s">
        <v>2628</v>
      </c>
    </row>
    <row r="2247" customFormat="false" ht="12.75" hidden="false" customHeight="true" outlineLevel="0" collapsed="false">
      <c r="A2247" s="0" t="s">
        <v>2536</v>
      </c>
    </row>
    <row r="2248" customFormat="false" ht="12.75" hidden="false" customHeight="true" outlineLevel="0" collapsed="false">
      <c r="A2248" s="1" t="s">
        <v>2702</v>
      </c>
    </row>
    <row r="2249" customFormat="false" ht="12.75" hidden="false" customHeight="true" outlineLevel="0" collapsed="false">
      <c r="A2249" s="0" t="s">
        <v>2651</v>
      </c>
    </row>
    <row r="2250" customFormat="false" ht="12.75" hidden="false" customHeight="true" outlineLevel="0" collapsed="false">
      <c r="A2250" s="1" t="s">
        <v>1619</v>
      </c>
    </row>
    <row r="2251" customFormat="false" ht="12.75" hidden="false" customHeight="true" outlineLevel="0" collapsed="false">
      <c r="A2251" s="1" t="s">
        <v>1758</v>
      </c>
    </row>
    <row r="2252" customFormat="false" ht="12.75" hidden="false" customHeight="true" outlineLevel="0" collapsed="false">
      <c r="A2252" s="1" t="s">
        <v>1678</v>
      </c>
    </row>
    <row r="2253" customFormat="false" ht="12.75" hidden="false" customHeight="true" outlineLevel="0" collapsed="false">
      <c r="A2253" s="1" t="s">
        <v>2675</v>
      </c>
    </row>
    <row r="2254" customFormat="false" ht="12.75" hidden="false" customHeight="true" outlineLevel="0" collapsed="false">
      <c r="A2254" s="0" t="s">
        <v>2572</v>
      </c>
    </row>
    <row r="2255" customFormat="false" ht="12.75" hidden="false" customHeight="true" outlineLevel="0" collapsed="false">
      <c r="A2255" s="1" t="s">
        <v>1266</v>
      </c>
    </row>
    <row r="2256" customFormat="false" ht="12.75" hidden="false" customHeight="true" outlineLevel="0" collapsed="false">
      <c r="A2256" s="1" t="s">
        <v>1267</v>
      </c>
    </row>
    <row r="2257" customFormat="false" ht="12.75" hidden="false" customHeight="true" outlineLevel="0" collapsed="false"/>
    <row r="2258" customFormat="false" ht="12.75" hidden="false" customHeight="true" outlineLevel="0" collapsed="false">
      <c r="A2258" s="1" t="s">
        <v>1268</v>
      </c>
    </row>
    <row r="2259" customFormat="false" ht="12.75" hidden="false" customHeight="true" outlineLevel="0" collapsed="false">
      <c r="A2259" s="1" t="s">
        <v>1269</v>
      </c>
    </row>
    <row r="2260" customFormat="false" ht="12.75" hidden="false" customHeight="true" outlineLevel="0" collapsed="false">
      <c r="A2260" s="1" t="s">
        <v>1270</v>
      </c>
    </row>
    <row r="2261" customFormat="false" ht="12.75" hidden="false" customHeight="true" outlineLevel="0" collapsed="false">
      <c r="A2261" s="1" t="s">
        <v>1269</v>
      </c>
    </row>
    <row r="2262" customFormat="false" ht="12.75" hidden="false" customHeight="true" outlineLevel="0" collapsed="false"/>
    <row r="2263" customFormat="false" ht="12.75" hidden="false" customHeight="true" outlineLevel="0" collapsed="false">
      <c r="A2263" s="1" t="s">
        <v>1272</v>
      </c>
    </row>
    <row r="2264" customFormat="false" ht="12.75" hidden="false" customHeight="true" outlineLevel="0" collapsed="false">
      <c r="A2264" s="1" t="s">
        <v>1273</v>
      </c>
    </row>
    <row r="2265" customFormat="false" ht="12.75" hidden="false" customHeight="true" outlineLevel="0" collapsed="false">
      <c r="A2265" s="1" t="s">
        <v>1712</v>
      </c>
    </row>
    <row r="2266" customFormat="false" ht="12.75" hidden="false" customHeight="true" outlineLevel="0" collapsed="false">
      <c r="A2266" s="1" t="s">
        <v>1275</v>
      </c>
    </row>
    <row r="2267" customFormat="false" ht="12.75" hidden="false" customHeight="true" outlineLevel="0" collapsed="false">
      <c r="A2267" s="1" t="s">
        <v>1623</v>
      </c>
    </row>
    <row r="2268" customFormat="false" ht="12.75" hidden="false" customHeight="true" outlineLevel="0" collapsed="false">
      <c r="A2268" s="1" t="s">
        <v>2552</v>
      </c>
    </row>
    <row r="2269" customFormat="false" ht="12.75" hidden="false" customHeight="true" outlineLevel="0" collapsed="false">
      <c r="A2269" s="0" t="s">
        <v>2536</v>
      </c>
    </row>
    <row r="2270" customFormat="false" ht="12.75" hidden="false" customHeight="true" outlineLevel="0" collapsed="false">
      <c r="A2270" s="1" t="s">
        <v>2703</v>
      </c>
    </row>
    <row r="2271" customFormat="false" ht="12.75" hidden="false" customHeight="true" outlineLevel="0" collapsed="false">
      <c r="A2271" s="0" t="s">
        <v>2568</v>
      </c>
    </row>
    <row r="2272" customFormat="false" ht="12.75" hidden="false" customHeight="true" outlineLevel="0" collapsed="false">
      <c r="A2272" s="1" t="s">
        <v>1773</v>
      </c>
    </row>
    <row r="2273" customFormat="false" ht="12.75" hidden="false" customHeight="true" outlineLevel="0" collapsed="false">
      <c r="A2273" s="1" t="s">
        <v>1774</v>
      </c>
    </row>
    <row r="2274" customFormat="false" ht="12.75" hidden="false" customHeight="true" outlineLevel="0" collapsed="false"/>
    <row r="2275" customFormat="false" ht="12.75" hidden="false" customHeight="true" outlineLevel="0" collapsed="false">
      <c r="A2275" s="1" t="s">
        <v>1209</v>
      </c>
    </row>
    <row r="2276" customFormat="false" ht="12.75" hidden="false" customHeight="true" outlineLevel="0" collapsed="false">
      <c r="A2276" s="1" t="s">
        <v>1775</v>
      </c>
    </row>
    <row r="2277" customFormat="false" ht="12.75" hidden="false" customHeight="true" outlineLevel="0" collapsed="false">
      <c r="A2277" s="1" t="s">
        <v>1775</v>
      </c>
    </row>
    <row r="2278" customFormat="false" ht="12.75" hidden="false" customHeight="true" outlineLevel="0" collapsed="false">
      <c r="A2278" s="1" t="s">
        <v>1776</v>
      </c>
    </row>
    <row r="2279" customFormat="false" ht="12.75" hidden="false" customHeight="true" outlineLevel="0" collapsed="false">
      <c r="A2279" s="1" t="s">
        <v>1776</v>
      </c>
    </row>
    <row r="2280" customFormat="false" ht="12.75" hidden="false" customHeight="true" outlineLevel="0" collapsed="false"/>
    <row r="2281" customFormat="false" ht="12.75" hidden="false" customHeight="true" outlineLevel="0" collapsed="false">
      <c r="A2281" s="1" t="s">
        <v>1210</v>
      </c>
    </row>
    <row r="2282" customFormat="false" ht="12.75" hidden="false" customHeight="true" outlineLevel="0" collapsed="false">
      <c r="A2282" s="1" t="s">
        <v>1777</v>
      </c>
    </row>
    <row r="2283" customFormat="false" ht="12.75" hidden="false" customHeight="true" outlineLevel="0" collapsed="false">
      <c r="A2283" s="1" t="s">
        <v>1777</v>
      </c>
    </row>
    <row r="2284" customFormat="false" ht="12.75" hidden="false" customHeight="true" outlineLevel="0" collapsed="false"/>
    <row r="2285" customFormat="false" ht="12.75" hidden="false" customHeight="true" outlineLevel="0" collapsed="false">
      <c r="A2285" s="1" t="s">
        <v>1211</v>
      </c>
    </row>
    <row r="2286" customFormat="false" ht="12.75" hidden="false" customHeight="true" outlineLevel="0" collapsed="false">
      <c r="A2286" s="1" t="s">
        <v>1778</v>
      </c>
    </row>
    <row r="2287" customFormat="false" ht="12.75" hidden="false" customHeight="true" outlineLevel="0" collapsed="false">
      <c r="A2287" s="1" t="s">
        <v>1778</v>
      </c>
    </row>
    <row r="2288" customFormat="false" ht="12.75" hidden="false" customHeight="true" outlineLevel="0" collapsed="false"/>
    <row r="2289" customFormat="false" ht="12.75" hidden="false" customHeight="true" outlineLevel="0" collapsed="false">
      <c r="A2289" s="1" t="s">
        <v>1212</v>
      </c>
    </row>
    <row r="2290" customFormat="false" ht="12.75" hidden="false" customHeight="true" outlineLevel="0" collapsed="false">
      <c r="A2290" s="1" t="s">
        <v>1779</v>
      </c>
    </row>
    <row r="2291" customFormat="false" ht="12.75" hidden="false" customHeight="true" outlineLevel="0" collapsed="false">
      <c r="A2291" s="1" t="s">
        <v>2704</v>
      </c>
    </row>
    <row r="2292" customFormat="false" ht="12.75" hidden="false" customHeight="true" outlineLevel="0" collapsed="false">
      <c r="A2292" s="0" t="s">
        <v>2536</v>
      </c>
    </row>
    <row r="2293" customFormat="false" ht="12.75" hidden="false" customHeight="true" outlineLevel="0" collapsed="false">
      <c r="A2293" s="1" t="s">
        <v>2705</v>
      </c>
    </row>
    <row r="2294" customFormat="false" ht="12.75" hidden="false" customHeight="true" outlineLevel="0" collapsed="false">
      <c r="A2294" s="0" t="s">
        <v>2568</v>
      </c>
    </row>
    <row r="2295" customFormat="false" ht="12.75" hidden="false" customHeight="true" outlineLevel="0" collapsed="false">
      <c r="A2295" s="1" t="s">
        <v>1782</v>
      </c>
    </row>
    <row r="2296" customFormat="false" ht="12.75" hidden="false" customHeight="true" outlineLevel="0" collapsed="false">
      <c r="A2296" s="1" t="s">
        <v>1783</v>
      </c>
    </row>
    <row r="2297" customFormat="false" ht="12.75" hidden="false" customHeight="true" outlineLevel="0" collapsed="false"/>
    <row r="2298" customFormat="false" ht="12.75" hidden="false" customHeight="true" outlineLevel="0" collapsed="false">
      <c r="A2298" s="1" t="s">
        <v>1209</v>
      </c>
    </row>
    <row r="2299" customFormat="false" ht="12.75" hidden="false" customHeight="true" outlineLevel="0" collapsed="false">
      <c r="A2299" s="1" t="s">
        <v>1784</v>
      </c>
    </row>
    <row r="2300" customFormat="false" ht="12.75" hidden="false" customHeight="true" outlineLevel="0" collapsed="false">
      <c r="A2300" s="1" t="s">
        <v>1785</v>
      </c>
    </row>
    <row r="2301" customFormat="false" ht="12.75" hidden="false" customHeight="true" outlineLevel="0" collapsed="false">
      <c r="A2301" s="1" t="s">
        <v>1785</v>
      </c>
    </row>
    <row r="2302" customFormat="false" ht="12.75" hidden="false" customHeight="true" outlineLevel="0" collapsed="false">
      <c r="A2302" s="1" t="s">
        <v>1784</v>
      </c>
    </row>
    <row r="2303" customFormat="false" ht="12.75" hidden="false" customHeight="true" outlineLevel="0" collapsed="false"/>
    <row r="2304" customFormat="false" ht="12.75" hidden="false" customHeight="true" outlineLevel="0" collapsed="false">
      <c r="A2304" s="1" t="s">
        <v>1210</v>
      </c>
    </row>
    <row r="2305" customFormat="false" ht="12.75" hidden="false" customHeight="true" outlineLevel="0" collapsed="false">
      <c r="A2305" s="1" t="s">
        <v>1786</v>
      </c>
    </row>
    <row r="2306" customFormat="false" ht="12.75" hidden="false" customHeight="true" outlineLevel="0" collapsed="false">
      <c r="A2306" s="1" t="s">
        <v>1787</v>
      </c>
    </row>
    <row r="2307" customFormat="false" ht="12.75" hidden="false" customHeight="true" outlineLevel="0" collapsed="false"/>
    <row r="2308" customFormat="false" ht="12.75" hidden="false" customHeight="true" outlineLevel="0" collapsed="false">
      <c r="A2308" s="1" t="s">
        <v>1211</v>
      </c>
    </row>
    <row r="2309" customFormat="false" ht="12.75" hidden="false" customHeight="true" outlineLevel="0" collapsed="false">
      <c r="A2309" s="1" t="s">
        <v>1788</v>
      </c>
    </row>
    <row r="2310" customFormat="false" ht="12.75" hidden="false" customHeight="true" outlineLevel="0" collapsed="false">
      <c r="A2310" s="1" t="s">
        <v>1789</v>
      </c>
    </row>
    <row r="2311" customFormat="false" ht="12.75" hidden="false" customHeight="true" outlineLevel="0" collapsed="false"/>
    <row r="2312" customFormat="false" ht="12.75" hidden="false" customHeight="true" outlineLevel="0" collapsed="false">
      <c r="A2312" s="1" t="s">
        <v>1212</v>
      </c>
    </row>
    <row r="2313" customFormat="false" ht="12.75" hidden="false" customHeight="true" outlineLevel="0" collapsed="false">
      <c r="A2313" s="1" t="s">
        <v>1790</v>
      </c>
    </row>
    <row r="2314" customFormat="false" ht="12.75" hidden="false" customHeight="true" outlineLevel="0" collapsed="false">
      <c r="A2314" s="1" t="s">
        <v>2706</v>
      </c>
    </row>
    <row r="2315" customFormat="false" ht="12.75" hidden="false" customHeight="true" outlineLevel="0" collapsed="false">
      <c r="A2315" s="0" t="s">
        <v>2536</v>
      </c>
    </row>
    <row r="2316" customFormat="false" ht="12.75" hidden="false" customHeight="true" outlineLevel="0" collapsed="false">
      <c r="A2316" s="1" t="s">
        <v>2707</v>
      </c>
    </row>
    <row r="2317" customFormat="false" ht="12.75" hidden="false" customHeight="true" outlineLevel="0" collapsed="false">
      <c r="A2317" s="0" t="s">
        <v>2568</v>
      </c>
    </row>
    <row r="2318" customFormat="false" ht="12.75" hidden="false" customHeight="true" outlineLevel="0" collapsed="false">
      <c r="A2318" s="1" t="s">
        <v>1793</v>
      </c>
    </row>
    <row r="2319" customFormat="false" ht="12.75" hidden="false" customHeight="true" outlineLevel="0" collapsed="false">
      <c r="A2319" s="1" t="s">
        <v>1794</v>
      </c>
    </row>
    <row r="2320" customFormat="false" ht="12.75" hidden="false" customHeight="true" outlineLevel="0" collapsed="false"/>
    <row r="2321" customFormat="false" ht="12.75" hidden="false" customHeight="true" outlineLevel="0" collapsed="false">
      <c r="A2321" s="1" t="s">
        <v>1209</v>
      </c>
    </row>
    <row r="2322" customFormat="false" ht="12.75" hidden="false" customHeight="true" outlineLevel="0" collapsed="false">
      <c r="A2322" s="1" t="s">
        <v>1795</v>
      </c>
    </row>
    <row r="2323" customFormat="false" ht="12.75" hidden="false" customHeight="true" outlineLevel="0" collapsed="false">
      <c r="A2323" s="1" t="s">
        <v>1796</v>
      </c>
    </row>
    <row r="2324" customFormat="false" ht="12.75" hidden="false" customHeight="true" outlineLevel="0" collapsed="false">
      <c r="A2324" s="1" t="s">
        <v>1797</v>
      </c>
    </row>
    <row r="2325" customFormat="false" ht="12.75" hidden="false" customHeight="true" outlineLevel="0" collapsed="false">
      <c r="A2325" s="1" t="s">
        <v>1798</v>
      </c>
    </row>
    <row r="2326" customFormat="false" ht="12.75" hidden="false" customHeight="true" outlineLevel="0" collapsed="false"/>
    <row r="2327" customFormat="false" ht="12.75" hidden="false" customHeight="true" outlineLevel="0" collapsed="false">
      <c r="A2327" s="1" t="s">
        <v>1210</v>
      </c>
    </row>
    <row r="2328" customFormat="false" ht="12.75" hidden="false" customHeight="true" outlineLevel="0" collapsed="false">
      <c r="A2328" s="1" t="s">
        <v>1799</v>
      </c>
    </row>
    <row r="2329" customFormat="false" ht="12.75" hidden="false" customHeight="true" outlineLevel="0" collapsed="false">
      <c r="A2329" s="1" t="s">
        <v>1800</v>
      </c>
    </row>
    <row r="2330" customFormat="false" ht="12.75" hidden="false" customHeight="true" outlineLevel="0" collapsed="false"/>
    <row r="2331" customFormat="false" ht="12.75" hidden="false" customHeight="true" outlineLevel="0" collapsed="false">
      <c r="A2331" s="1" t="s">
        <v>1211</v>
      </c>
    </row>
    <row r="2332" customFormat="false" ht="12.75" hidden="false" customHeight="true" outlineLevel="0" collapsed="false">
      <c r="A2332" s="1" t="s">
        <v>1801</v>
      </c>
    </row>
    <row r="2333" customFormat="false" ht="12.75" hidden="false" customHeight="true" outlineLevel="0" collapsed="false">
      <c r="A2333" s="1" t="s">
        <v>1801</v>
      </c>
    </row>
    <row r="2334" customFormat="false" ht="12.75" hidden="false" customHeight="true" outlineLevel="0" collapsed="false"/>
    <row r="2335" customFormat="false" ht="12.75" hidden="false" customHeight="true" outlineLevel="0" collapsed="false">
      <c r="A2335" s="1" t="s">
        <v>1212</v>
      </c>
    </row>
    <row r="2336" customFormat="false" ht="12.75" hidden="false" customHeight="true" outlineLevel="0" collapsed="false">
      <c r="A2336" s="1" t="s">
        <v>1802</v>
      </c>
    </row>
    <row r="2337" customFormat="false" ht="12.75" hidden="false" customHeight="true" outlineLevel="0" collapsed="false">
      <c r="A2337" s="1" t="s">
        <v>2708</v>
      </c>
    </row>
    <row r="2338" customFormat="false" ht="12.75" hidden="false" customHeight="true" outlineLevel="0" collapsed="false">
      <c r="A2338" s="0" t="s">
        <v>2536</v>
      </c>
    </row>
    <row r="2339" customFormat="false" ht="12.75" hidden="false" customHeight="true" outlineLevel="0" collapsed="false">
      <c r="A2339" s="1" t="s">
        <v>2709</v>
      </c>
    </row>
    <row r="2340" customFormat="false" ht="12.75" hidden="false" customHeight="true" outlineLevel="0" collapsed="false">
      <c r="A2340" s="0" t="s">
        <v>2568</v>
      </c>
    </row>
    <row r="2341" customFormat="false" ht="12.75" hidden="false" customHeight="true" outlineLevel="0" collapsed="false">
      <c r="A2341" s="1" t="s">
        <v>1805</v>
      </c>
    </row>
    <row r="2342" customFormat="false" ht="12.75" hidden="false" customHeight="true" outlineLevel="0" collapsed="false">
      <c r="A2342" s="1" t="s">
        <v>1806</v>
      </c>
    </row>
    <row r="2343" customFormat="false" ht="12.75" hidden="false" customHeight="true" outlineLevel="0" collapsed="false"/>
    <row r="2344" customFormat="false" ht="12.75" hidden="false" customHeight="true" outlineLevel="0" collapsed="false">
      <c r="A2344" s="1" t="s">
        <v>1209</v>
      </c>
    </row>
    <row r="2345" customFormat="false" ht="12.75" hidden="false" customHeight="true" outlineLevel="0" collapsed="false">
      <c r="A2345" s="1" t="s">
        <v>1807</v>
      </c>
    </row>
    <row r="2346" customFormat="false" ht="12.75" hidden="false" customHeight="true" outlineLevel="0" collapsed="false">
      <c r="A2346" s="1" t="s">
        <v>1808</v>
      </c>
    </row>
    <row r="2347" customFormat="false" ht="12.75" hidden="false" customHeight="true" outlineLevel="0" collapsed="false">
      <c r="A2347" s="1" t="s">
        <v>1809</v>
      </c>
    </row>
    <row r="2348" customFormat="false" ht="12.75" hidden="false" customHeight="true" outlineLevel="0" collapsed="false">
      <c r="A2348" s="1" t="s">
        <v>1810</v>
      </c>
    </row>
    <row r="2349" customFormat="false" ht="12.75" hidden="false" customHeight="true" outlineLevel="0" collapsed="false"/>
    <row r="2350" customFormat="false" ht="12.75" hidden="false" customHeight="true" outlineLevel="0" collapsed="false">
      <c r="A2350" s="1" t="s">
        <v>1210</v>
      </c>
    </row>
    <row r="2351" customFormat="false" ht="12.75" hidden="false" customHeight="true" outlineLevel="0" collapsed="false">
      <c r="A2351" s="1" t="s">
        <v>1811</v>
      </c>
    </row>
    <row r="2352" customFormat="false" ht="12.75" hidden="false" customHeight="true" outlineLevel="0" collapsed="false">
      <c r="A2352" s="1" t="s">
        <v>1812</v>
      </c>
    </row>
    <row r="2353" customFormat="false" ht="12.75" hidden="false" customHeight="true" outlineLevel="0" collapsed="false"/>
    <row r="2354" customFormat="false" ht="12.75" hidden="false" customHeight="true" outlineLevel="0" collapsed="false">
      <c r="A2354" s="1" t="s">
        <v>1211</v>
      </c>
    </row>
    <row r="2355" customFormat="false" ht="12.75" hidden="false" customHeight="true" outlineLevel="0" collapsed="false">
      <c r="A2355" s="1" t="s">
        <v>1813</v>
      </c>
    </row>
    <row r="2356" customFormat="false" ht="12.75" hidden="false" customHeight="true" outlineLevel="0" collapsed="false">
      <c r="A2356" s="1" t="s">
        <v>1814</v>
      </c>
    </row>
    <row r="2357" customFormat="false" ht="12.75" hidden="false" customHeight="true" outlineLevel="0" collapsed="false"/>
    <row r="2358" customFormat="false" ht="12.75" hidden="false" customHeight="true" outlineLevel="0" collapsed="false">
      <c r="A2358" s="1" t="s">
        <v>1212</v>
      </c>
    </row>
    <row r="2359" customFormat="false" ht="12.75" hidden="false" customHeight="true" outlineLevel="0" collapsed="false">
      <c r="A2359" s="1" t="s">
        <v>1815</v>
      </c>
    </row>
    <row r="2360" customFormat="false" ht="12.75" hidden="false" customHeight="true" outlineLevel="0" collapsed="false">
      <c r="A2360" s="1" t="s">
        <v>2710</v>
      </c>
    </row>
    <row r="2361" customFormat="false" ht="12.75" hidden="false" customHeight="true" outlineLevel="0" collapsed="false">
      <c r="A2361" s="0" t="s">
        <v>2711</v>
      </c>
    </row>
    <row r="2362" customFormat="false" ht="12.75" hidden="false" customHeight="true" outlineLevel="0" collapsed="false">
      <c r="A2362" s="1" t="s">
        <v>1817</v>
      </c>
    </row>
    <row r="2363" customFormat="false" ht="12.75" hidden="false" customHeight="true" outlineLevel="0" collapsed="false">
      <c r="A2363" s="1" t="s">
        <v>1818</v>
      </c>
    </row>
    <row r="2364" customFormat="false" ht="12.75" hidden="false" customHeight="true" outlineLevel="0" collapsed="false">
      <c r="A2364" s="1" t="s">
        <v>1347</v>
      </c>
    </row>
    <row r="2365" customFormat="false" ht="12.75" hidden="false" customHeight="true" outlineLevel="0" collapsed="false">
      <c r="A2365" s="1" t="s">
        <v>2571</v>
      </c>
    </row>
    <row r="2366" customFormat="false" ht="12.75" hidden="false" customHeight="true" outlineLevel="0" collapsed="false">
      <c r="A2366" s="0" t="s">
        <v>2572</v>
      </c>
    </row>
    <row r="2367" customFormat="false" ht="12.75" hidden="false" customHeight="true" outlineLevel="0" collapsed="false">
      <c r="A2367" s="1" t="s">
        <v>1349</v>
      </c>
    </row>
    <row r="2368" customFormat="false" ht="12.75" hidden="false" customHeight="true" outlineLevel="0" collapsed="false">
      <c r="A2368" s="1" t="s">
        <v>1819</v>
      </c>
    </row>
    <row r="2369" customFormat="false" ht="12.75" hidden="false" customHeight="true" outlineLevel="0" collapsed="false"/>
    <row r="2370" customFormat="false" ht="12.75" hidden="false" customHeight="true" outlineLevel="0" collapsed="false">
      <c r="A2370" s="1" t="s">
        <v>1268</v>
      </c>
    </row>
    <row r="2371" customFormat="false" ht="12.75" hidden="false" customHeight="true" outlineLevel="0" collapsed="false">
      <c r="A2371" s="1" t="s">
        <v>1820</v>
      </c>
    </row>
    <row r="2372" customFormat="false" ht="12.75" hidden="false" customHeight="true" outlineLevel="0" collapsed="false">
      <c r="A2372" s="1" t="s">
        <v>1454</v>
      </c>
    </row>
    <row r="2373" customFormat="false" ht="12.75" hidden="false" customHeight="true" outlineLevel="0" collapsed="false">
      <c r="A2373" s="1" t="s">
        <v>1821</v>
      </c>
    </row>
    <row r="2374" customFormat="false" ht="12.75" hidden="false" customHeight="true" outlineLevel="0" collapsed="false"/>
    <row r="2375" customFormat="false" ht="12.75" hidden="false" customHeight="true" outlineLevel="0" collapsed="false">
      <c r="A2375" s="1" t="s">
        <v>1272</v>
      </c>
    </row>
    <row r="2376" customFormat="false" ht="12.75" hidden="false" customHeight="true" outlineLevel="0" collapsed="false">
      <c r="A2376" s="1" t="s">
        <v>1822</v>
      </c>
    </row>
    <row r="2377" customFormat="false" ht="12.75" hidden="false" customHeight="true" outlineLevel="0" collapsed="false">
      <c r="A2377" s="1" t="s">
        <v>1823</v>
      </c>
    </row>
    <row r="2378" customFormat="false" ht="12.75" hidden="false" customHeight="true" outlineLevel="0" collapsed="false">
      <c r="A2378" s="1" t="s">
        <v>1824</v>
      </c>
    </row>
    <row r="2379" customFormat="false" ht="12.75" hidden="false" customHeight="true" outlineLevel="0" collapsed="false">
      <c r="A2379" s="1" t="s">
        <v>1825</v>
      </c>
    </row>
    <row r="2380" customFormat="false" ht="12.75" hidden="false" customHeight="true" outlineLevel="0" collapsed="false">
      <c r="A2380" s="1" t="s">
        <v>2712</v>
      </c>
    </row>
    <row r="2381" customFormat="false" ht="12.75" hidden="false" customHeight="true" outlineLevel="0" collapsed="false">
      <c r="A2381" s="0" t="s">
        <v>2536</v>
      </c>
    </row>
    <row r="2382" customFormat="false" ht="12.75" hidden="false" customHeight="true" outlineLevel="0" collapsed="false">
      <c r="A2382" s="1" t="s">
        <v>2713</v>
      </c>
    </row>
    <row r="2383" customFormat="false" ht="12.75" hidden="false" customHeight="true" outlineLevel="0" collapsed="false">
      <c r="A2383" s="0" t="s">
        <v>2568</v>
      </c>
    </row>
    <row r="2384" customFormat="false" ht="12.75" hidden="false" customHeight="true" outlineLevel="0" collapsed="false">
      <c r="A2384" s="1" t="s">
        <v>1828</v>
      </c>
    </row>
    <row r="2385" customFormat="false" ht="12.75" hidden="false" customHeight="true" outlineLevel="0" collapsed="false">
      <c r="A2385" s="1" t="s">
        <v>1829</v>
      </c>
    </row>
    <row r="2386" customFormat="false" ht="12.75" hidden="false" customHeight="true" outlineLevel="0" collapsed="false"/>
    <row r="2387" customFormat="false" ht="12.75" hidden="false" customHeight="true" outlineLevel="0" collapsed="false">
      <c r="A2387" s="1" t="s">
        <v>1209</v>
      </c>
    </row>
    <row r="2388" customFormat="false" ht="12.75" hidden="false" customHeight="true" outlineLevel="0" collapsed="false">
      <c r="A2388" s="1" t="s">
        <v>1830</v>
      </c>
    </row>
    <row r="2389" customFormat="false" ht="12.75" hidden="false" customHeight="true" outlineLevel="0" collapsed="false">
      <c r="A2389" s="1" t="s">
        <v>1831</v>
      </c>
    </row>
    <row r="2390" customFormat="false" ht="12.75" hidden="false" customHeight="true" outlineLevel="0" collapsed="false">
      <c r="A2390" s="1" t="s">
        <v>1832</v>
      </c>
    </row>
    <row r="2391" customFormat="false" ht="12.75" hidden="false" customHeight="true" outlineLevel="0" collapsed="false">
      <c r="A2391" s="1" t="s">
        <v>1833</v>
      </c>
    </row>
    <row r="2392" customFormat="false" ht="12.75" hidden="false" customHeight="true" outlineLevel="0" collapsed="false"/>
    <row r="2393" customFormat="false" ht="12.75" hidden="false" customHeight="true" outlineLevel="0" collapsed="false">
      <c r="A2393" s="1" t="s">
        <v>1210</v>
      </c>
    </row>
    <row r="2394" customFormat="false" ht="12.75" hidden="false" customHeight="true" outlineLevel="0" collapsed="false">
      <c r="A2394" s="1" t="s">
        <v>1834</v>
      </c>
    </row>
    <row r="2395" customFormat="false" ht="12.75" hidden="false" customHeight="true" outlineLevel="0" collapsed="false">
      <c r="A2395" s="1" t="s">
        <v>1835</v>
      </c>
    </row>
    <row r="2396" customFormat="false" ht="12.75" hidden="false" customHeight="true" outlineLevel="0" collapsed="false"/>
    <row r="2397" customFormat="false" ht="12.75" hidden="false" customHeight="true" outlineLevel="0" collapsed="false">
      <c r="A2397" s="1" t="s">
        <v>1211</v>
      </c>
    </row>
    <row r="2398" customFormat="false" ht="12.75" hidden="false" customHeight="true" outlineLevel="0" collapsed="false">
      <c r="A2398" s="1" t="s">
        <v>1836</v>
      </c>
    </row>
    <row r="2399" customFormat="false" ht="12.75" hidden="false" customHeight="true" outlineLevel="0" collapsed="false">
      <c r="A2399" s="1" t="s">
        <v>1837</v>
      </c>
    </row>
    <row r="2400" customFormat="false" ht="12.75" hidden="false" customHeight="true" outlineLevel="0" collapsed="false"/>
    <row r="2401" customFormat="false" ht="12.75" hidden="false" customHeight="true" outlineLevel="0" collapsed="false">
      <c r="A2401" s="1" t="s">
        <v>1212</v>
      </c>
    </row>
    <row r="2402" customFormat="false" ht="12.75" hidden="false" customHeight="true" outlineLevel="0" collapsed="false">
      <c r="A2402" s="1" t="s">
        <v>1838</v>
      </c>
    </row>
    <row r="2403" customFormat="false" ht="12.75" hidden="false" customHeight="true" outlineLevel="0" collapsed="false">
      <c r="A2403" s="1" t="s">
        <v>2714</v>
      </c>
    </row>
    <row r="2404" customFormat="false" ht="12.75" hidden="false" customHeight="true" outlineLevel="0" collapsed="false">
      <c r="A2404" s="0" t="s">
        <v>2536</v>
      </c>
    </row>
    <row r="2405" customFormat="false" ht="12.75" hidden="false" customHeight="true" outlineLevel="0" collapsed="false">
      <c r="A2405" s="1" t="s">
        <v>2715</v>
      </c>
    </row>
    <row r="2406" customFormat="false" ht="12.75" hidden="false" customHeight="true" outlineLevel="0" collapsed="false">
      <c r="A2406" s="0" t="s">
        <v>2568</v>
      </c>
    </row>
    <row r="2407" customFormat="false" ht="12.75" hidden="false" customHeight="true" outlineLevel="0" collapsed="false">
      <c r="A2407" s="1" t="s">
        <v>1828</v>
      </c>
    </row>
    <row r="2408" customFormat="false" ht="12.75" hidden="false" customHeight="true" outlineLevel="0" collapsed="false">
      <c r="A2408" s="1" t="s">
        <v>1829</v>
      </c>
    </row>
    <row r="2409" customFormat="false" ht="12.75" hidden="false" customHeight="true" outlineLevel="0" collapsed="false"/>
    <row r="2410" customFormat="false" ht="12.75" hidden="false" customHeight="true" outlineLevel="0" collapsed="false">
      <c r="A2410" s="1" t="s">
        <v>1209</v>
      </c>
    </row>
    <row r="2411" customFormat="false" ht="12.75" hidden="false" customHeight="true" outlineLevel="0" collapsed="false">
      <c r="A2411" s="1" t="s">
        <v>1830</v>
      </c>
    </row>
    <row r="2412" customFormat="false" ht="12.75" hidden="false" customHeight="true" outlineLevel="0" collapsed="false">
      <c r="A2412" s="1" t="s">
        <v>1831</v>
      </c>
    </row>
    <row r="2413" customFormat="false" ht="12.75" hidden="false" customHeight="true" outlineLevel="0" collapsed="false">
      <c r="A2413" s="1" t="s">
        <v>1832</v>
      </c>
    </row>
    <row r="2414" customFormat="false" ht="12.75" hidden="false" customHeight="true" outlineLevel="0" collapsed="false">
      <c r="A2414" s="1" t="s">
        <v>1833</v>
      </c>
    </row>
    <row r="2415" customFormat="false" ht="12.75" hidden="false" customHeight="true" outlineLevel="0" collapsed="false"/>
    <row r="2416" customFormat="false" ht="12.75" hidden="false" customHeight="true" outlineLevel="0" collapsed="false">
      <c r="A2416" s="1" t="s">
        <v>1210</v>
      </c>
    </row>
    <row r="2417" customFormat="false" ht="12.75" hidden="false" customHeight="true" outlineLevel="0" collapsed="false">
      <c r="A2417" s="1" t="s">
        <v>1834</v>
      </c>
    </row>
    <row r="2418" customFormat="false" ht="12.75" hidden="false" customHeight="true" outlineLevel="0" collapsed="false">
      <c r="A2418" s="1" t="s">
        <v>1835</v>
      </c>
    </row>
    <row r="2419" customFormat="false" ht="12.75" hidden="false" customHeight="true" outlineLevel="0" collapsed="false"/>
    <row r="2420" customFormat="false" ht="12.75" hidden="false" customHeight="true" outlineLevel="0" collapsed="false">
      <c r="A2420" s="1" t="s">
        <v>1211</v>
      </c>
    </row>
    <row r="2421" customFormat="false" ht="12.75" hidden="false" customHeight="true" outlineLevel="0" collapsed="false">
      <c r="A2421" s="1" t="s">
        <v>1836</v>
      </c>
    </row>
    <row r="2422" customFormat="false" ht="12.75" hidden="false" customHeight="true" outlineLevel="0" collapsed="false">
      <c r="A2422" s="1" t="s">
        <v>1837</v>
      </c>
    </row>
    <row r="2423" customFormat="false" ht="12.75" hidden="false" customHeight="true" outlineLevel="0" collapsed="false"/>
    <row r="2424" customFormat="false" ht="12.75" hidden="false" customHeight="true" outlineLevel="0" collapsed="false">
      <c r="A2424" s="1" t="s">
        <v>1212</v>
      </c>
    </row>
    <row r="2425" customFormat="false" ht="12.75" hidden="false" customHeight="true" outlineLevel="0" collapsed="false">
      <c r="A2425" s="1" t="s">
        <v>1838</v>
      </c>
    </row>
    <row r="2426" customFormat="false" ht="12.75" hidden="false" customHeight="true" outlineLevel="0" collapsed="false">
      <c r="A2426" s="1" t="s">
        <v>2716</v>
      </c>
    </row>
    <row r="2427" customFormat="false" ht="12.75" hidden="false" customHeight="true" outlineLevel="0" collapsed="false">
      <c r="A2427" s="0" t="s">
        <v>2711</v>
      </c>
    </row>
    <row r="2428" customFormat="false" ht="12.75" hidden="false" customHeight="true" outlineLevel="0" collapsed="false">
      <c r="A2428" s="1" t="s">
        <v>1842</v>
      </c>
    </row>
    <row r="2429" customFormat="false" ht="12.75" hidden="false" customHeight="true" outlineLevel="0" collapsed="false">
      <c r="A2429" s="1" t="s">
        <v>1818</v>
      </c>
    </row>
    <row r="2430" customFormat="false" ht="12.75" hidden="false" customHeight="true" outlineLevel="0" collapsed="false">
      <c r="A2430" s="1" t="s">
        <v>1347</v>
      </c>
    </row>
    <row r="2431" customFormat="false" ht="12.75" hidden="false" customHeight="true" outlineLevel="0" collapsed="false">
      <c r="A2431" s="1" t="s">
        <v>2717</v>
      </c>
    </row>
    <row r="2432" customFormat="false" ht="12.75" hidden="false" customHeight="true" outlineLevel="0" collapsed="false">
      <c r="A2432" s="0" t="s">
        <v>2572</v>
      </c>
    </row>
    <row r="2433" customFormat="false" ht="12.75" hidden="false" customHeight="true" outlineLevel="0" collapsed="false">
      <c r="A2433" s="1" t="s">
        <v>1349</v>
      </c>
    </row>
    <row r="2434" customFormat="false" ht="12.75" hidden="false" customHeight="true" outlineLevel="0" collapsed="false">
      <c r="A2434" s="1" t="s">
        <v>1819</v>
      </c>
    </row>
    <row r="2435" customFormat="false" ht="12.75" hidden="false" customHeight="true" outlineLevel="0" collapsed="false"/>
    <row r="2436" customFormat="false" ht="12.75" hidden="false" customHeight="true" outlineLevel="0" collapsed="false">
      <c r="A2436" s="1" t="s">
        <v>1268</v>
      </c>
    </row>
    <row r="2437" customFormat="false" ht="12.75" hidden="false" customHeight="true" outlineLevel="0" collapsed="false">
      <c r="A2437" s="1" t="s">
        <v>1844</v>
      </c>
    </row>
    <row r="2438" customFormat="false" ht="12.75" hidden="false" customHeight="true" outlineLevel="0" collapsed="false">
      <c r="A2438" s="1" t="s">
        <v>1353</v>
      </c>
    </row>
    <row r="2439" customFormat="false" ht="12.75" hidden="false" customHeight="true" outlineLevel="0" collapsed="false">
      <c r="A2439" s="1" t="s">
        <v>1821</v>
      </c>
    </row>
    <row r="2440" customFormat="false" ht="12.75" hidden="false" customHeight="true" outlineLevel="0" collapsed="false"/>
    <row r="2441" customFormat="false" ht="12.75" hidden="false" customHeight="true" outlineLevel="0" collapsed="false">
      <c r="A2441" s="1" t="s">
        <v>1272</v>
      </c>
    </row>
    <row r="2442" customFormat="false" ht="12.75" hidden="false" customHeight="true" outlineLevel="0" collapsed="false">
      <c r="A2442" s="1" t="s">
        <v>1354</v>
      </c>
    </row>
    <row r="2443" customFormat="false" ht="12.75" hidden="false" customHeight="true" outlineLevel="0" collapsed="false">
      <c r="A2443" s="1" t="s">
        <v>1355</v>
      </c>
    </row>
    <row r="2444" customFormat="false" ht="12.75" hidden="false" customHeight="true" outlineLevel="0" collapsed="false">
      <c r="A2444" s="1" t="s">
        <v>1845</v>
      </c>
    </row>
    <row r="2445" customFormat="false" ht="12.75" hidden="false" customHeight="true" outlineLevel="0" collapsed="false">
      <c r="A2445" s="1" t="s">
        <v>1846</v>
      </c>
    </row>
    <row r="2446" customFormat="false" ht="12.75" hidden="false" customHeight="true" outlineLevel="0" collapsed="false">
      <c r="A2446" s="1" t="s">
        <v>2718</v>
      </c>
    </row>
    <row r="2447" customFormat="false" ht="12.75" hidden="false" customHeight="true" outlineLevel="0" collapsed="false">
      <c r="A2447" s="0" t="s">
        <v>2536</v>
      </c>
    </row>
    <row r="2448" customFormat="false" ht="12.75" hidden="false" customHeight="true" outlineLevel="0" collapsed="false">
      <c r="A2448" s="1" t="s">
        <v>2719</v>
      </c>
    </row>
    <row r="2449" customFormat="false" ht="12.75" hidden="false" customHeight="true" outlineLevel="0" collapsed="false">
      <c r="A2449" s="0" t="s">
        <v>2568</v>
      </c>
    </row>
    <row r="2450" customFormat="false" ht="12.75" hidden="false" customHeight="true" outlineLevel="0" collapsed="false">
      <c r="A2450" s="1" t="s">
        <v>1849</v>
      </c>
    </row>
    <row r="2451" customFormat="false" ht="12.75" hidden="false" customHeight="true" outlineLevel="0" collapsed="false">
      <c r="A2451" s="1" t="s">
        <v>1850</v>
      </c>
    </row>
    <row r="2452" customFormat="false" ht="12.75" hidden="false" customHeight="true" outlineLevel="0" collapsed="false"/>
    <row r="2453" customFormat="false" ht="12.75" hidden="false" customHeight="true" outlineLevel="0" collapsed="false">
      <c r="A2453" s="1" t="s">
        <v>1209</v>
      </c>
    </row>
    <row r="2454" customFormat="false" ht="12.75" hidden="false" customHeight="true" outlineLevel="0" collapsed="false">
      <c r="A2454" s="1" t="s">
        <v>1851</v>
      </c>
    </row>
    <row r="2455" customFormat="false" ht="12.75" hidden="false" customHeight="true" outlineLevel="0" collapsed="false">
      <c r="A2455" s="1" t="s">
        <v>1852</v>
      </c>
    </row>
    <row r="2456" customFormat="false" ht="12.75" hidden="false" customHeight="true" outlineLevel="0" collapsed="false">
      <c r="A2456" s="1" t="s">
        <v>1853</v>
      </c>
    </row>
    <row r="2457" customFormat="false" ht="12.75" hidden="false" customHeight="true" outlineLevel="0" collapsed="false">
      <c r="A2457" s="1" t="s">
        <v>1854</v>
      </c>
    </row>
    <row r="2458" customFormat="false" ht="12.75" hidden="false" customHeight="true" outlineLevel="0" collapsed="false"/>
    <row r="2459" customFormat="false" ht="12.75" hidden="false" customHeight="true" outlineLevel="0" collapsed="false">
      <c r="A2459" s="1" t="s">
        <v>1210</v>
      </c>
    </row>
    <row r="2460" customFormat="false" ht="12.75" hidden="false" customHeight="true" outlineLevel="0" collapsed="false">
      <c r="A2460" s="1" t="s">
        <v>1855</v>
      </c>
    </row>
    <row r="2461" customFormat="false" ht="12.75" hidden="false" customHeight="true" outlineLevel="0" collapsed="false">
      <c r="A2461" s="1" t="s">
        <v>1856</v>
      </c>
    </row>
    <row r="2462" customFormat="false" ht="12.75" hidden="false" customHeight="true" outlineLevel="0" collapsed="false"/>
    <row r="2463" customFormat="false" ht="12.75" hidden="false" customHeight="true" outlineLevel="0" collapsed="false">
      <c r="A2463" s="1" t="s">
        <v>1211</v>
      </c>
    </row>
    <row r="2464" customFormat="false" ht="12.75" hidden="false" customHeight="true" outlineLevel="0" collapsed="false">
      <c r="A2464" s="1" t="s">
        <v>1857</v>
      </c>
    </row>
    <row r="2465" customFormat="false" ht="12.75" hidden="false" customHeight="true" outlineLevel="0" collapsed="false">
      <c r="A2465" s="1" t="s">
        <v>1858</v>
      </c>
    </row>
    <row r="2466" customFormat="false" ht="12.75" hidden="false" customHeight="true" outlineLevel="0" collapsed="false"/>
    <row r="2467" customFormat="false" ht="12.75" hidden="false" customHeight="true" outlineLevel="0" collapsed="false">
      <c r="A2467" s="1" t="s">
        <v>1212</v>
      </c>
    </row>
    <row r="2468" customFormat="false" ht="12.75" hidden="false" customHeight="true" outlineLevel="0" collapsed="false">
      <c r="A2468" s="1" t="s">
        <v>1859</v>
      </c>
    </row>
    <row r="2469" customFormat="false" ht="12.75" hidden="false" customHeight="true" outlineLevel="0" collapsed="false">
      <c r="A2469" s="1" t="s">
        <v>2720</v>
      </c>
    </row>
    <row r="2470" customFormat="false" ht="12.75" hidden="false" customHeight="true" outlineLevel="0" collapsed="false">
      <c r="A2470" s="0" t="s">
        <v>2536</v>
      </c>
    </row>
    <row r="2471" customFormat="false" ht="12.75" hidden="false" customHeight="true" outlineLevel="0" collapsed="false">
      <c r="A2471" s="1" t="s">
        <v>2721</v>
      </c>
    </row>
    <row r="2472" customFormat="false" ht="12.75" hidden="false" customHeight="true" outlineLevel="0" collapsed="false">
      <c r="A2472" s="0" t="s">
        <v>2568</v>
      </c>
    </row>
    <row r="2473" customFormat="false" ht="12.75" hidden="false" customHeight="true" outlineLevel="0" collapsed="false">
      <c r="A2473" s="1" t="s">
        <v>1862</v>
      </c>
    </row>
    <row r="2474" customFormat="false" ht="12.75" hidden="false" customHeight="true" outlineLevel="0" collapsed="false">
      <c r="A2474" s="1" t="s">
        <v>1863</v>
      </c>
    </row>
    <row r="2475" customFormat="false" ht="12.75" hidden="false" customHeight="true" outlineLevel="0" collapsed="false"/>
    <row r="2476" customFormat="false" ht="12.75" hidden="false" customHeight="true" outlineLevel="0" collapsed="false">
      <c r="A2476" s="1" t="s">
        <v>1209</v>
      </c>
    </row>
    <row r="2477" customFormat="false" ht="12.75" hidden="false" customHeight="true" outlineLevel="0" collapsed="false">
      <c r="A2477" s="1" t="s">
        <v>1864</v>
      </c>
    </row>
    <row r="2478" customFormat="false" ht="12.75" hidden="false" customHeight="true" outlineLevel="0" collapsed="false">
      <c r="A2478" s="1" t="s">
        <v>1865</v>
      </c>
    </row>
    <row r="2479" customFormat="false" ht="12.75" hidden="false" customHeight="true" outlineLevel="0" collapsed="false">
      <c r="A2479" s="1" t="s">
        <v>1866</v>
      </c>
    </row>
    <row r="2480" customFormat="false" ht="12.75" hidden="false" customHeight="true" outlineLevel="0" collapsed="false">
      <c r="A2480" s="1" t="s">
        <v>1867</v>
      </c>
    </row>
    <row r="2481" customFormat="false" ht="12.75" hidden="false" customHeight="true" outlineLevel="0" collapsed="false"/>
    <row r="2482" customFormat="false" ht="12.75" hidden="false" customHeight="true" outlineLevel="0" collapsed="false">
      <c r="A2482" s="1" t="s">
        <v>1210</v>
      </c>
    </row>
    <row r="2483" customFormat="false" ht="12.75" hidden="false" customHeight="true" outlineLevel="0" collapsed="false">
      <c r="A2483" s="1" t="s">
        <v>1868</v>
      </c>
    </row>
    <row r="2484" customFormat="false" ht="12.75" hidden="false" customHeight="true" outlineLevel="0" collapsed="false">
      <c r="A2484" s="1" t="s">
        <v>1869</v>
      </c>
    </row>
    <row r="2485" customFormat="false" ht="12.75" hidden="false" customHeight="true" outlineLevel="0" collapsed="false"/>
    <row r="2486" customFormat="false" ht="12.75" hidden="false" customHeight="true" outlineLevel="0" collapsed="false">
      <c r="A2486" s="1" t="s">
        <v>1211</v>
      </c>
    </row>
    <row r="2487" customFormat="false" ht="12.75" hidden="false" customHeight="true" outlineLevel="0" collapsed="false">
      <c r="A2487" s="1" t="s">
        <v>1870</v>
      </c>
    </row>
    <row r="2488" customFormat="false" ht="12.75" hidden="false" customHeight="true" outlineLevel="0" collapsed="false">
      <c r="A2488" s="1" t="s">
        <v>1871</v>
      </c>
    </row>
    <row r="2489" customFormat="false" ht="12.75" hidden="false" customHeight="true" outlineLevel="0" collapsed="false"/>
    <row r="2490" customFormat="false" ht="12.75" hidden="false" customHeight="true" outlineLevel="0" collapsed="false">
      <c r="A2490" s="1" t="s">
        <v>1212</v>
      </c>
    </row>
    <row r="2491" customFormat="false" ht="12.75" hidden="false" customHeight="true" outlineLevel="0" collapsed="false">
      <c r="A2491" s="1" t="s">
        <v>1872</v>
      </c>
    </row>
    <row r="2492" customFormat="false" ht="12.75" hidden="false" customHeight="true" outlineLevel="0" collapsed="false">
      <c r="A2492" s="1" t="s">
        <v>2722</v>
      </c>
    </row>
    <row r="2493" customFormat="false" ht="12.75" hidden="false" customHeight="true" outlineLevel="0" collapsed="false">
      <c r="A2493" s="0" t="s">
        <v>2536</v>
      </c>
    </row>
    <row r="2494" customFormat="false" ht="12.75" hidden="false" customHeight="true" outlineLevel="0" collapsed="false">
      <c r="A2494" s="1" t="s">
        <v>2723</v>
      </c>
    </row>
    <row r="2495" customFormat="false" ht="12.75" hidden="false" customHeight="true" outlineLevel="0" collapsed="false">
      <c r="A2495" s="0" t="s">
        <v>2568</v>
      </c>
    </row>
    <row r="2496" customFormat="false" ht="12.75" hidden="false" customHeight="true" outlineLevel="0" collapsed="false">
      <c r="A2496" s="1" t="s">
        <v>1875</v>
      </c>
    </row>
    <row r="2497" customFormat="false" ht="12.75" hidden="false" customHeight="true" outlineLevel="0" collapsed="false">
      <c r="A2497" s="1" t="s">
        <v>1876</v>
      </c>
    </row>
    <row r="2498" customFormat="false" ht="12.75" hidden="false" customHeight="true" outlineLevel="0" collapsed="false"/>
    <row r="2499" customFormat="false" ht="12.75" hidden="false" customHeight="true" outlineLevel="0" collapsed="false">
      <c r="A2499" s="1" t="s">
        <v>1209</v>
      </c>
    </row>
    <row r="2500" customFormat="false" ht="12.75" hidden="false" customHeight="true" outlineLevel="0" collapsed="false">
      <c r="A2500" s="1" t="s">
        <v>1877</v>
      </c>
    </row>
    <row r="2501" customFormat="false" ht="12.75" hidden="false" customHeight="true" outlineLevel="0" collapsed="false">
      <c r="A2501" s="1" t="s">
        <v>1878</v>
      </c>
    </row>
    <row r="2502" customFormat="false" ht="12.75" hidden="false" customHeight="true" outlineLevel="0" collapsed="false">
      <c r="A2502" s="1" t="s">
        <v>1879</v>
      </c>
    </row>
    <row r="2503" customFormat="false" ht="12.75" hidden="false" customHeight="true" outlineLevel="0" collapsed="false">
      <c r="A2503" s="1" t="s">
        <v>1880</v>
      </c>
    </row>
    <row r="2504" customFormat="false" ht="12.75" hidden="false" customHeight="true" outlineLevel="0" collapsed="false"/>
    <row r="2505" customFormat="false" ht="12.75" hidden="false" customHeight="true" outlineLevel="0" collapsed="false">
      <c r="A2505" s="1" t="s">
        <v>1210</v>
      </c>
    </row>
    <row r="2506" customFormat="false" ht="12.75" hidden="false" customHeight="true" outlineLevel="0" collapsed="false">
      <c r="A2506" s="1" t="s">
        <v>1881</v>
      </c>
    </row>
    <row r="2507" customFormat="false" ht="12.75" hidden="false" customHeight="true" outlineLevel="0" collapsed="false">
      <c r="A2507" s="1" t="s">
        <v>1882</v>
      </c>
    </row>
    <row r="2508" customFormat="false" ht="12.75" hidden="false" customHeight="true" outlineLevel="0" collapsed="false"/>
    <row r="2509" customFormat="false" ht="12.75" hidden="false" customHeight="true" outlineLevel="0" collapsed="false">
      <c r="A2509" s="1" t="s">
        <v>1211</v>
      </c>
    </row>
    <row r="2510" customFormat="false" ht="12.75" hidden="false" customHeight="true" outlineLevel="0" collapsed="false">
      <c r="A2510" s="1" t="s">
        <v>1883</v>
      </c>
    </row>
    <row r="2511" customFormat="false" ht="12.75" hidden="false" customHeight="true" outlineLevel="0" collapsed="false">
      <c r="A2511" s="1" t="s">
        <v>1884</v>
      </c>
    </row>
    <row r="2512" customFormat="false" ht="12.75" hidden="false" customHeight="true" outlineLevel="0" collapsed="false"/>
    <row r="2513" customFormat="false" ht="12.75" hidden="false" customHeight="true" outlineLevel="0" collapsed="false">
      <c r="A2513" s="1" t="s">
        <v>1212</v>
      </c>
    </row>
    <row r="2514" customFormat="false" ht="12.75" hidden="false" customHeight="true" outlineLevel="0" collapsed="false">
      <c r="A2514" s="1" t="s">
        <v>1885</v>
      </c>
    </row>
    <row r="2515" customFormat="false" ht="12.75" hidden="false" customHeight="true" outlineLevel="0" collapsed="false">
      <c r="A2515" s="1" t="s">
        <v>2724</v>
      </c>
    </row>
    <row r="2516" customFormat="false" ht="12.75" hidden="false" customHeight="true" outlineLevel="0" collapsed="false">
      <c r="A2516" s="0" t="s">
        <v>2536</v>
      </c>
    </row>
    <row r="2517" customFormat="false" ht="12.75" hidden="false" customHeight="true" outlineLevel="0" collapsed="false">
      <c r="A2517" s="1" t="s">
        <v>2725</v>
      </c>
    </row>
    <row r="2518" customFormat="false" ht="12.75" hidden="false" customHeight="true" outlineLevel="0" collapsed="false">
      <c r="A2518" s="0" t="s">
        <v>2568</v>
      </c>
    </row>
    <row r="2519" customFormat="false" ht="12.75" hidden="false" customHeight="true" outlineLevel="0" collapsed="false">
      <c r="A2519" s="1" t="s">
        <v>1888</v>
      </c>
    </row>
    <row r="2520" customFormat="false" ht="12.75" hidden="false" customHeight="true" outlineLevel="0" collapsed="false">
      <c r="A2520" s="1" t="s">
        <v>1889</v>
      </c>
    </row>
    <row r="2521" customFormat="false" ht="12.75" hidden="false" customHeight="true" outlineLevel="0" collapsed="false"/>
    <row r="2522" customFormat="false" ht="12.75" hidden="false" customHeight="true" outlineLevel="0" collapsed="false">
      <c r="A2522" s="1" t="s">
        <v>1209</v>
      </c>
    </row>
    <row r="2523" customFormat="false" ht="12.75" hidden="false" customHeight="true" outlineLevel="0" collapsed="false">
      <c r="A2523" s="1" t="s">
        <v>1890</v>
      </c>
    </row>
    <row r="2524" customFormat="false" ht="12.75" hidden="false" customHeight="true" outlineLevel="0" collapsed="false">
      <c r="A2524" s="1" t="s">
        <v>1891</v>
      </c>
    </row>
    <row r="2525" customFormat="false" ht="12.75" hidden="false" customHeight="true" outlineLevel="0" collapsed="false">
      <c r="A2525" s="1" t="s">
        <v>1892</v>
      </c>
    </row>
    <row r="2526" customFormat="false" ht="12.75" hidden="false" customHeight="true" outlineLevel="0" collapsed="false">
      <c r="A2526" s="1" t="s">
        <v>1893</v>
      </c>
    </row>
    <row r="2527" customFormat="false" ht="12.75" hidden="false" customHeight="true" outlineLevel="0" collapsed="false"/>
    <row r="2528" customFormat="false" ht="12.75" hidden="false" customHeight="true" outlineLevel="0" collapsed="false">
      <c r="A2528" s="1" t="s">
        <v>1210</v>
      </c>
    </row>
    <row r="2529" customFormat="false" ht="12.75" hidden="false" customHeight="true" outlineLevel="0" collapsed="false">
      <c r="A2529" s="1" t="s">
        <v>1894</v>
      </c>
    </row>
    <row r="2530" customFormat="false" ht="12.75" hidden="false" customHeight="true" outlineLevel="0" collapsed="false">
      <c r="A2530" s="1" t="s">
        <v>1895</v>
      </c>
    </row>
    <row r="2531" customFormat="false" ht="12.75" hidden="false" customHeight="true" outlineLevel="0" collapsed="false"/>
    <row r="2532" customFormat="false" ht="12.75" hidden="false" customHeight="true" outlineLevel="0" collapsed="false">
      <c r="A2532" s="1" t="s">
        <v>1211</v>
      </c>
    </row>
    <row r="2533" customFormat="false" ht="12.75" hidden="false" customHeight="true" outlineLevel="0" collapsed="false">
      <c r="A2533" s="1" t="s">
        <v>1896</v>
      </c>
    </row>
    <row r="2534" customFormat="false" ht="12.75" hidden="false" customHeight="true" outlineLevel="0" collapsed="false">
      <c r="A2534" s="1" t="s">
        <v>1897</v>
      </c>
    </row>
    <row r="2535" customFormat="false" ht="12.75" hidden="false" customHeight="true" outlineLevel="0" collapsed="false"/>
    <row r="2536" customFormat="false" ht="12.75" hidden="false" customHeight="true" outlineLevel="0" collapsed="false">
      <c r="A2536" s="1" t="s">
        <v>1212</v>
      </c>
    </row>
    <row r="2537" customFormat="false" ht="12.75" hidden="false" customHeight="true" outlineLevel="0" collapsed="false">
      <c r="A2537" s="1" t="s">
        <v>1898</v>
      </c>
    </row>
    <row r="2538" customFormat="false" ht="12.75" hidden="false" customHeight="true" outlineLevel="0" collapsed="false">
      <c r="A2538" s="1" t="s">
        <v>2726</v>
      </c>
    </row>
    <row r="2539" customFormat="false" ht="12.75" hidden="false" customHeight="true" outlineLevel="0" collapsed="false">
      <c r="A2539" s="0" t="s">
        <v>2711</v>
      </c>
    </row>
    <row r="2540" customFormat="false" ht="12.75" hidden="false" customHeight="true" outlineLevel="0" collapsed="false">
      <c r="A2540" s="1" t="s">
        <v>1900</v>
      </c>
    </row>
    <row r="2541" customFormat="false" ht="12.75" hidden="false" customHeight="true" outlineLevel="0" collapsed="false">
      <c r="A2541" s="1" t="s">
        <v>1449</v>
      </c>
    </row>
    <row r="2542" customFormat="false" ht="12.75" hidden="false" customHeight="true" outlineLevel="0" collapsed="false">
      <c r="A2542" s="1" t="s">
        <v>1901</v>
      </c>
    </row>
    <row r="2543" customFormat="false" ht="12.75" hidden="false" customHeight="true" outlineLevel="0" collapsed="false">
      <c r="A2543" s="1" t="s">
        <v>2571</v>
      </c>
    </row>
    <row r="2544" customFormat="false" ht="12.75" hidden="false" customHeight="true" outlineLevel="0" collapsed="false">
      <c r="A2544" s="0" t="s">
        <v>2572</v>
      </c>
    </row>
    <row r="2545" customFormat="false" ht="12.75" hidden="false" customHeight="true" outlineLevel="0" collapsed="false">
      <c r="A2545" s="1" t="s">
        <v>1451</v>
      </c>
    </row>
    <row r="2546" customFormat="false" ht="12.75" hidden="false" customHeight="true" outlineLevel="0" collapsed="false">
      <c r="A2546" s="1" t="s">
        <v>1902</v>
      </c>
    </row>
    <row r="2547" customFormat="false" ht="12.75" hidden="false" customHeight="true" outlineLevel="0" collapsed="false"/>
    <row r="2548" customFormat="false" ht="12.75" hidden="false" customHeight="true" outlineLevel="0" collapsed="false">
      <c r="A2548" s="1" t="s">
        <v>1268</v>
      </c>
    </row>
    <row r="2549" customFormat="false" ht="12.75" hidden="false" customHeight="true" outlineLevel="0" collapsed="false">
      <c r="A2549" s="1" t="s">
        <v>1903</v>
      </c>
    </row>
    <row r="2550" customFormat="false" ht="12.75" hidden="false" customHeight="true" outlineLevel="0" collapsed="false">
      <c r="A2550" s="1" t="s">
        <v>1904</v>
      </c>
    </row>
    <row r="2551" customFormat="false" ht="12.75" hidden="false" customHeight="true" outlineLevel="0" collapsed="false">
      <c r="A2551" s="1" t="s">
        <v>1821</v>
      </c>
    </row>
    <row r="2552" customFormat="false" ht="12.75" hidden="false" customHeight="true" outlineLevel="0" collapsed="false"/>
    <row r="2553" customFormat="false" ht="12.75" hidden="false" customHeight="true" outlineLevel="0" collapsed="false">
      <c r="A2553" s="1" t="s">
        <v>1272</v>
      </c>
    </row>
    <row r="2554" customFormat="false" ht="12.75" hidden="false" customHeight="true" outlineLevel="0" collapsed="false">
      <c r="A2554" s="1" t="s">
        <v>1905</v>
      </c>
    </row>
    <row r="2555" customFormat="false" ht="12.75" hidden="false" customHeight="true" outlineLevel="0" collapsed="false">
      <c r="A2555" s="1" t="s">
        <v>1906</v>
      </c>
    </row>
    <row r="2556" customFormat="false" ht="12.75" hidden="false" customHeight="true" outlineLevel="0" collapsed="false">
      <c r="A2556" s="1" t="s">
        <v>1907</v>
      </c>
    </row>
    <row r="2557" customFormat="false" ht="12.75" hidden="false" customHeight="true" outlineLevel="0" collapsed="false">
      <c r="A2557" s="1" t="s">
        <v>1908</v>
      </c>
    </row>
    <row r="2558" customFormat="false" ht="12.75" hidden="false" customHeight="true" outlineLevel="0" collapsed="false">
      <c r="A2558" s="1" t="s">
        <v>2727</v>
      </c>
    </row>
    <row r="2559" customFormat="false" ht="12.75" hidden="false" customHeight="true" outlineLevel="0" collapsed="false">
      <c r="A2559" s="0" t="s">
        <v>2536</v>
      </c>
    </row>
    <row r="2560" customFormat="false" ht="12.75" hidden="false" customHeight="true" outlineLevel="0" collapsed="false">
      <c r="A2560" s="1" t="s">
        <v>2728</v>
      </c>
    </row>
    <row r="2561" customFormat="false" ht="12.75" hidden="false" customHeight="true" outlineLevel="0" collapsed="false">
      <c r="A2561" s="0" t="s">
        <v>2568</v>
      </c>
    </row>
    <row r="2562" customFormat="false" ht="12.75" hidden="false" customHeight="true" outlineLevel="0" collapsed="false">
      <c r="A2562" s="1" t="s">
        <v>1911</v>
      </c>
    </row>
    <row r="2563" customFormat="false" ht="12.75" hidden="false" customHeight="true" outlineLevel="0" collapsed="false">
      <c r="A2563" s="1" t="s">
        <v>1912</v>
      </c>
    </row>
    <row r="2564" customFormat="false" ht="12.75" hidden="false" customHeight="true" outlineLevel="0" collapsed="false"/>
    <row r="2565" customFormat="false" ht="12.75" hidden="false" customHeight="true" outlineLevel="0" collapsed="false">
      <c r="A2565" s="1" t="s">
        <v>1209</v>
      </c>
    </row>
    <row r="2566" customFormat="false" ht="12.75" hidden="false" customHeight="true" outlineLevel="0" collapsed="false">
      <c r="A2566" s="1" t="s">
        <v>1913</v>
      </c>
    </row>
    <row r="2567" customFormat="false" ht="12.75" hidden="false" customHeight="true" outlineLevel="0" collapsed="false">
      <c r="A2567" s="1" t="s">
        <v>1914</v>
      </c>
    </row>
    <row r="2568" customFormat="false" ht="12.75" hidden="false" customHeight="true" outlineLevel="0" collapsed="false">
      <c r="A2568" s="1" t="s">
        <v>1915</v>
      </c>
    </row>
    <row r="2569" customFormat="false" ht="12.75" hidden="false" customHeight="true" outlineLevel="0" collapsed="false">
      <c r="A2569" s="1" t="s">
        <v>1916</v>
      </c>
    </row>
    <row r="2570" customFormat="false" ht="12.75" hidden="false" customHeight="true" outlineLevel="0" collapsed="false"/>
    <row r="2571" customFormat="false" ht="12.75" hidden="false" customHeight="true" outlineLevel="0" collapsed="false">
      <c r="A2571" s="1" t="s">
        <v>1210</v>
      </c>
    </row>
    <row r="2572" customFormat="false" ht="12.75" hidden="false" customHeight="true" outlineLevel="0" collapsed="false">
      <c r="A2572" s="1" t="s">
        <v>1917</v>
      </c>
    </row>
    <row r="2573" customFormat="false" ht="12.75" hidden="false" customHeight="true" outlineLevel="0" collapsed="false">
      <c r="A2573" s="1" t="s">
        <v>1918</v>
      </c>
    </row>
    <row r="2574" customFormat="false" ht="12.75" hidden="false" customHeight="true" outlineLevel="0" collapsed="false"/>
    <row r="2575" customFormat="false" ht="12.75" hidden="false" customHeight="true" outlineLevel="0" collapsed="false">
      <c r="A2575" s="1" t="s">
        <v>1211</v>
      </c>
    </row>
    <row r="2576" customFormat="false" ht="12.75" hidden="false" customHeight="true" outlineLevel="0" collapsed="false">
      <c r="A2576" s="1" t="s">
        <v>1919</v>
      </c>
    </row>
    <row r="2577" customFormat="false" ht="12.75" hidden="false" customHeight="true" outlineLevel="0" collapsed="false">
      <c r="A2577" s="1" t="s">
        <v>1920</v>
      </c>
    </row>
    <row r="2578" customFormat="false" ht="12.75" hidden="false" customHeight="true" outlineLevel="0" collapsed="false"/>
    <row r="2579" customFormat="false" ht="12.75" hidden="false" customHeight="true" outlineLevel="0" collapsed="false">
      <c r="A2579" s="1" t="s">
        <v>1212</v>
      </c>
    </row>
    <row r="2580" customFormat="false" ht="12.75" hidden="false" customHeight="true" outlineLevel="0" collapsed="false">
      <c r="A2580" s="1" t="s">
        <v>1921</v>
      </c>
    </row>
    <row r="2581" customFormat="false" ht="12.75" hidden="false" customHeight="true" outlineLevel="0" collapsed="false">
      <c r="A2581" s="1" t="s">
        <v>2729</v>
      </c>
    </row>
    <row r="2582" customFormat="false" ht="12.75" hidden="false" customHeight="true" outlineLevel="0" collapsed="false">
      <c r="A2582" s="0" t="s">
        <v>2711</v>
      </c>
    </row>
    <row r="2583" customFormat="false" ht="12.75" hidden="false" customHeight="true" outlineLevel="0" collapsed="false">
      <c r="A2583" s="1" t="s">
        <v>1900</v>
      </c>
    </row>
    <row r="2584" customFormat="false" ht="12.75" hidden="false" customHeight="true" outlineLevel="0" collapsed="false">
      <c r="A2584" s="1" t="s">
        <v>1449</v>
      </c>
    </row>
    <row r="2585" customFormat="false" ht="12.75" hidden="false" customHeight="true" outlineLevel="0" collapsed="false">
      <c r="A2585" s="1" t="s">
        <v>1901</v>
      </c>
    </row>
    <row r="2586" customFormat="false" ht="12.75" hidden="false" customHeight="true" outlineLevel="0" collapsed="false">
      <c r="A2586" s="1" t="s">
        <v>2730</v>
      </c>
    </row>
    <row r="2587" customFormat="false" ht="12.75" hidden="false" customHeight="true" outlineLevel="0" collapsed="false">
      <c r="A2587" s="0" t="s">
        <v>2572</v>
      </c>
    </row>
    <row r="2588" customFormat="false" ht="12.75" hidden="false" customHeight="true" outlineLevel="0" collapsed="false">
      <c r="A2588" s="1" t="s">
        <v>1349</v>
      </c>
    </row>
    <row r="2589" customFormat="false" ht="12.75" hidden="false" customHeight="true" outlineLevel="0" collapsed="false">
      <c r="A2589" s="1" t="s">
        <v>1819</v>
      </c>
    </row>
    <row r="2590" customFormat="false" ht="12.75" hidden="false" customHeight="true" outlineLevel="0" collapsed="false"/>
    <row r="2591" customFormat="false" ht="12.75" hidden="false" customHeight="true" outlineLevel="0" collapsed="false">
      <c r="A2591" s="1" t="s">
        <v>1268</v>
      </c>
    </row>
    <row r="2592" customFormat="false" ht="12.75" hidden="false" customHeight="true" outlineLevel="0" collapsed="false">
      <c r="A2592" s="1" t="s">
        <v>1903</v>
      </c>
    </row>
    <row r="2593" customFormat="false" ht="12.75" hidden="false" customHeight="true" outlineLevel="0" collapsed="false">
      <c r="A2593" s="1" t="s">
        <v>1924</v>
      </c>
    </row>
    <row r="2594" customFormat="false" ht="12.75" hidden="false" customHeight="true" outlineLevel="0" collapsed="false">
      <c r="A2594" s="1" t="s">
        <v>1925</v>
      </c>
    </row>
    <row r="2595" customFormat="false" ht="12.75" hidden="false" customHeight="true" outlineLevel="0" collapsed="false"/>
    <row r="2596" customFormat="false" ht="12.75" hidden="false" customHeight="true" outlineLevel="0" collapsed="false">
      <c r="A2596" s="1" t="s">
        <v>1272</v>
      </c>
    </row>
    <row r="2597" customFormat="false" ht="12.75" hidden="false" customHeight="true" outlineLevel="0" collapsed="false">
      <c r="A2597" s="1" t="s">
        <v>1453</v>
      </c>
    </row>
    <row r="2598" customFormat="false" ht="12.75" hidden="false" customHeight="true" outlineLevel="0" collapsed="false">
      <c r="A2598" s="1" t="s">
        <v>1823</v>
      </c>
    </row>
    <row r="2599" customFormat="false" ht="12.75" hidden="false" customHeight="true" outlineLevel="0" collapsed="false">
      <c r="A2599" s="1" t="s">
        <v>1926</v>
      </c>
    </row>
    <row r="2600" customFormat="false" ht="12.75" hidden="false" customHeight="true" outlineLevel="0" collapsed="false">
      <c r="A2600" s="1" t="s">
        <v>1927</v>
      </c>
    </row>
    <row r="2601" customFormat="false" ht="12.75" hidden="false" customHeight="true" outlineLevel="0" collapsed="false">
      <c r="A2601" s="1" t="s">
        <v>2731</v>
      </c>
    </row>
    <row r="2602" customFormat="false" ht="12.75" hidden="false" customHeight="true" outlineLevel="0" collapsed="false">
      <c r="A2602" s="0" t="s">
        <v>2536</v>
      </c>
    </row>
    <row r="2603" customFormat="false" ht="12.75" hidden="false" customHeight="true" outlineLevel="0" collapsed="false">
      <c r="A2603" s="1" t="s">
        <v>2732</v>
      </c>
    </row>
    <row r="2604" customFormat="false" ht="12.75" hidden="false" customHeight="true" outlineLevel="0" collapsed="false">
      <c r="A2604" s="0" t="s">
        <v>2568</v>
      </c>
    </row>
    <row r="2605" customFormat="false" ht="12.75" hidden="false" customHeight="true" outlineLevel="0" collapsed="false">
      <c r="A2605" s="1" t="s">
        <v>1930</v>
      </c>
    </row>
    <row r="2606" customFormat="false" ht="12.75" hidden="false" customHeight="true" outlineLevel="0" collapsed="false">
      <c r="A2606" s="1" t="s">
        <v>1931</v>
      </c>
    </row>
    <row r="2607" customFormat="false" ht="12.75" hidden="false" customHeight="true" outlineLevel="0" collapsed="false"/>
    <row r="2608" customFormat="false" ht="12.75" hidden="false" customHeight="true" outlineLevel="0" collapsed="false">
      <c r="A2608" s="1" t="s">
        <v>1209</v>
      </c>
    </row>
    <row r="2609" customFormat="false" ht="12.75" hidden="false" customHeight="true" outlineLevel="0" collapsed="false">
      <c r="A2609" s="1" t="s">
        <v>1932</v>
      </c>
    </row>
    <row r="2610" customFormat="false" ht="12.75" hidden="false" customHeight="true" outlineLevel="0" collapsed="false">
      <c r="A2610" s="1" t="s">
        <v>1933</v>
      </c>
    </row>
    <row r="2611" customFormat="false" ht="12.75" hidden="false" customHeight="true" outlineLevel="0" collapsed="false">
      <c r="A2611" s="1" t="s">
        <v>1934</v>
      </c>
    </row>
    <row r="2612" customFormat="false" ht="12.75" hidden="false" customHeight="true" outlineLevel="0" collapsed="false">
      <c r="A2612" s="1" t="s">
        <v>1935</v>
      </c>
    </row>
    <row r="2613" customFormat="false" ht="12.75" hidden="false" customHeight="true" outlineLevel="0" collapsed="false"/>
    <row r="2614" customFormat="false" ht="12.75" hidden="false" customHeight="true" outlineLevel="0" collapsed="false">
      <c r="A2614" s="1" t="s">
        <v>1210</v>
      </c>
    </row>
    <row r="2615" customFormat="false" ht="12.75" hidden="false" customHeight="true" outlineLevel="0" collapsed="false">
      <c r="A2615" s="1" t="s">
        <v>1936</v>
      </c>
    </row>
    <row r="2616" customFormat="false" ht="12.75" hidden="false" customHeight="true" outlineLevel="0" collapsed="false">
      <c r="A2616" s="1" t="s">
        <v>1937</v>
      </c>
    </row>
    <row r="2617" customFormat="false" ht="12.75" hidden="false" customHeight="true" outlineLevel="0" collapsed="false"/>
    <row r="2618" customFormat="false" ht="12.75" hidden="false" customHeight="true" outlineLevel="0" collapsed="false">
      <c r="A2618" s="1" t="s">
        <v>1211</v>
      </c>
    </row>
    <row r="2619" customFormat="false" ht="12.75" hidden="false" customHeight="true" outlineLevel="0" collapsed="false">
      <c r="A2619" s="1" t="s">
        <v>1938</v>
      </c>
    </row>
    <row r="2620" customFormat="false" ht="12.75" hidden="false" customHeight="true" outlineLevel="0" collapsed="false">
      <c r="A2620" s="1" t="s">
        <v>1939</v>
      </c>
    </row>
    <row r="2621" customFormat="false" ht="12.75" hidden="false" customHeight="true" outlineLevel="0" collapsed="false"/>
    <row r="2622" customFormat="false" ht="12.75" hidden="false" customHeight="true" outlineLevel="0" collapsed="false">
      <c r="A2622" s="1" t="s">
        <v>1212</v>
      </c>
    </row>
    <row r="2623" customFormat="false" ht="12.75" hidden="false" customHeight="true" outlineLevel="0" collapsed="false">
      <c r="A2623" s="1" t="s">
        <v>1940</v>
      </c>
    </row>
    <row r="2624" customFormat="false" ht="12.75" hidden="false" customHeight="true" outlineLevel="0" collapsed="false">
      <c r="A2624" s="1" t="s">
        <v>2733</v>
      </c>
    </row>
    <row r="2625" customFormat="false" ht="12.75" hidden="false" customHeight="true" outlineLevel="0" collapsed="false">
      <c r="A2625" s="0" t="s">
        <v>2711</v>
      </c>
    </row>
    <row r="2626" customFormat="false" ht="12.75" hidden="false" customHeight="true" outlineLevel="0" collapsed="false">
      <c r="A2626" s="1" t="s">
        <v>1900</v>
      </c>
    </row>
    <row r="2627" customFormat="false" ht="12.75" hidden="false" customHeight="true" outlineLevel="0" collapsed="false">
      <c r="A2627" s="1" t="s">
        <v>1449</v>
      </c>
    </row>
    <row r="2628" customFormat="false" ht="12.75" hidden="false" customHeight="true" outlineLevel="0" collapsed="false">
      <c r="A2628" s="1" t="s">
        <v>1901</v>
      </c>
    </row>
    <row r="2629" customFormat="false" ht="12.75" hidden="false" customHeight="true" outlineLevel="0" collapsed="false">
      <c r="A2629" s="1" t="s">
        <v>2730</v>
      </c>
    </row>
    <row r="2630" customFormat="false" ht="12.75" hidden="false" customHeight="true" outlineLevel="0" collapsed="false">
      <c r="A2630" s="0" t="s">
        <v>2734</v>
      </c>
    </row>
    <row r="2631" customFormat="false" ht="12.75" hidden="false" customHeight="true" outlineLevel="0" collapsed="false">
      <c r="A2631" s="1" t="s">
        <v>1349</v>
      </c>
    </row>
    <row r="2632" customFormat="false" ht="12.75" hidden="false" customHeight="true" outlineLevel="0" collapsed="false">
      <c r="A2632" s="1" t="s">
        <v>1819</v>
      </c>
    </row>
    <row r="2633" customFormat="false" ht="12.75" hidden="false" customHeight="true" outlineLevel="0" collapsed="false"/>
    <row r="2634" customFormat="false" ht="12.75" hidden="false" customHeight="true" outlineLevel="0" collapsed="false">
      <c r="A2634" s="1" t="s">
        <v>1268</v>
      </c>
    </row>
    <row r="2635" customFormat="false" ht="12.75" hidden="false" customHeight="true" outlineLevel="0" collapsed="false">
      <c r="A2635" s="1" t="s">
        <v>1903</v>
      </c>
    </row>
    <row r="2636" customFormat="false" ht="12.75" hidden="false" customHeight="true" outlineLevel="0" collapsed="false">
      <c r="A2636" s="1" t="s">
        <v>1454</v>
      </c>
    </row>
    <row r="2637" customFormat="false" ht="12.75" hidden="false" customHeight="true" outlineLevel="0" collapsed="false">
      <c r="A2637" s="1" t="s">
        <v>1821</v>
      </c>
    </row>
    <row r="2638" customFormat="false" ht="12.75" hidden="false" customHeight="true" outlineLevel="0" collapsed="false"/>
    <row r="2639" customFormat="false" ht="12.75" hidden="false" customHeight="true" outlineLevel="0" collapsed="false">
      <c r="A2639" s="1" t="s">
        <v>1272</v>
      </c>
    </row>
    <row r="2640" customFormat="false" ht="12.75" hidden="false" customHeight="true" outlineLevel="0" collapsed="false">
      <c r="A2640" s="1" t="s">
        <v>1905</v>
      </c>
    </row>
    <row r="2641" customFormat="false" ht="12.75" hidden="false" customHeight="true" outlineLevel="0" collapsed="false">
      <c r="A2641" s="1" t="s">
        <v>1823</v>
      </c>
    </row>
    <row r="2642" customFormat="false" ht="12.75" hidden="false" customHeight="true" outlineLevel="0" collapsed="false">
      <c r="A2642" s="1" t="s">
        <v>1824</v>
      </c>
    </row>
    <row r="2643" customFormat="false" ht="12.75" hidden="false" customHeight="true" outlineLevel="0" collapsed="false">
      <c r="A2643" s="1" t="s">
        <v>1825</v>
      </c>
    </row>
    <row r="2644" customFormat="false" ht="12.75" hidden="false" customHeight="true" outlineLevel="0" collapsed="false">
      <c r="A2644" s="1" t="s">
        <v>2727</v>
      </c>
    </row>
    <row r="2645" customFormat="false" ht="12.75" hidden="false" customHeight="true" outlineLevel="0" collapsed="false">
      <c r="A2645" s="0" t="s">
        <v>2536</v>
      </c>
    </row>
    <row r="2646" customFormat="false" ht="12.75" hidden="false" customHeight="true" outlineLevel="0" collapsed="false">
      <c r="A2646" s="1" t="s">
        <v>2735</v>
      </c>
    </row>
    <row r="2647" customFormat="false" ht="12.75" hidden="false" customHeight="true" outlineLevel="0" collapsed="false">
      <c r="A2647" s="0" t="s">
        <v>2568</v>
      </c>
    </row>
    <row r="2648" customFormat="false" ht="12.75" hidden="false" customHeight="true" outlineLevel="0" collapsed="false">
      <c r="A2648" s="1" t="s">
        <v>1944</v>
      </c>
    </row>
    <row r="2649" customFormat="false" ht="12.75" hidden="false" customHeight="true" outlineLevel="0" collapsed="false">
      <c r="A2649" s="1" t="s">
        <v>1945</v>
      </c>
    </row>
    <row r="2650" customFormat="false" ht="12.75" hidden="false" customHeight="true" outlineLevel="0" collapsed="false"/>
    <row r="2651" customFormat="false" ht="12.75" hidden="false" customHeight="true" outlineLevel="0" collapsed="false">
      <c r="A2651" s="1" t="s">
        <v>1209</v>
      </c>
    </row>
    <row r="2652" customFormat="false" ht="12.75" hidden="false" customHeight="true" outlineLevel="0" collapsed="false">
      <c r="A2652" s="1" t="s">
        <v>1946</v>
      </c>
    </row>
    <row r="2653" customFormat="false" ht="12.75" hidden="false" customHeight="true" outlineLevel="0" collapsed="false">
      <c r="A2653" s="1" t="s">
        <v>1947</v>
      </c>
    </row>
    <row r="2654" customFormat="false" ht="12.75" hidden="false" customHeight="true" outlineLevel="0" collapsed="false">
      <c r="A2654" s="1" t="s">
        <v>1948</v>
      </c>
    </row>
    <row r="2655" customFormat="false" ht="12.75" hidden="false" customHeight="true" outlineLevel="0" collapsed="false">
      <c r="A2655" s="1" t="s">
        <v>1949</v>
      </c>
    </row>
    <row r="2656" customFormat="false" ht="12.75" hidden="false" customHeight="true" outlineLevel="0" collapsed="false"/>
    <row r="2657" customFormat="false" ht="12.75" hidden="false" customHeight="true" outlineLevel="0" collapsed="false">
      <c r="A2657" s="1" t="s">
        <v>1210</v>
      </c>
    </row>
    <row r="2658" customFormat="false" ht="12.75" hidden="false" customHeight="true" outlineLevel="0" collapsed="false">
      <c r="A2658" s="1" t="s">
        <v>1950</v>
      </c>
    </row>
    <row r="2659" customFormat="false" ht="12.75" hidden="false" customHeight="true" outlineLevel="0" collapsed="false">
      <c r="A2659" s="1" t="s">
        <v>1951</v>
      </c>
    </row>
    <row r="2660" customFormat="false" ht="12.75" hidden="false" customHeight="true" outlineLevel="0" collapsed="false"/>
    <row r="2661" customFormat="false" ht="12.75" hidden="false" customHeight="true" outlineLevel="0" collapsed="false">
      <c r="A2661" s="1" t="s">
        <v>1211</v>
      </c>
    </row>
    <row r="2662" customFormat="false" ht="12.75" hidden="false" customHeight="true" outlineLevel="0" collapsed="false">
      <c r="A2662" s="1" t="s">
        <v>1952</v>
      </c>
    </row>
    <row r="2663" customFormat="false" ht="12.75" hidden="false" customHeight="true" outlineLevel="0" collapsed="false">
      <c r="A2663" s="1" t="s">
        <v>1953</v>
      </c>
    </row>
    <row r="2664" customFormat="false" ht="12.75" hidden="false" customHeight="true" outlineLevel="0" collapsed="false"/>
    <row r="2665" customFormat="false" ht="12.75" hidden="false" customHeight="true" outlineLevel="0" collapsed="false">
      <c r="A2665" s="1" t="s">
        <v>1212</v>
      </c>
    </row>
    <row r="2666" customFormat="false" ht="12.75" hidden="false" customHeight="true" outlineLevel="0" collapsed="false">
      <c r="A2666" s="1" t="s">
        <v>1954</v>
      </c>
    </row>
    <row r="2667" customFormat="false" ht="12.75" hidden="false" customHeight="true" outlineLevel="0" collapsed="false">
      <c r="A2667" s="1" t="s">
        <v>2733</v>
      </c>
    </row>
    <row r="2668" customFormat="false" ht="12.75" hidden="false" customHeight="true" outlineLevel="0" collapsed="false">
      <c r="A2668" s="0" t="s">
        <v>2711</v>
      </c>
    </row>
    <row r="2669" customFormat="false" ht="12.75" hidden="false" customHeight="true" outlineLevel="0" collapsed="false">
      <c r="A2669" s="1" t="s">
        <v>1900</v>
      </c>
    </row>
    <row r="2670" customFormat="false" ht="12.75" hidden="false" customHeight="true" outlineLevel="0" collapsed="false">
      <c r="A2670" s="1" t="s">
        <v>1449</v>
      </c>
    </row>
    <row r="2671" customFormat="false" ht="12.75" hidden="false" customHeight="true" outlineLevel="0" collapsed="false">
      <c r="A2671" s="1" t="s">
        <v>1901</v>
      </c>
    </row>
    <row r="2672" customFormat="false" ht="12.75" hidden="false" customHeight="true" outlineLevel="0" collapsed="false">
      <c r="A2672" s="1" t="s">
        <v>2730</v>
      </c>
    </row>
    <row r="2673" customFormat="false" ht="12.75" hidden="false" customHeight="true" outlineLevel="0" collapsed="false">
      <c r="A2673" s="0" t="s">
        <v>2572</v>
      </c>
    </row>
    <row r="2674" customFormat="false" ht="12.75" hidden="false" customHeight="true" outlineLevel="0" collapsed="false">
      <c r="A2674" s="1" t="s">
        <v>1349</v>
      </c>
    </row>
    <row r="2675" customFormat="false" ht="12.75" hidden="false" customHeight="true" outlineLevel="0" collapsed="false">
      <c r="A2675" s="1" t="s">
        <v>1819</v>
      </c>
    </row>
    <row r="2676" customFormat="false" ht="12.75" hidden="false" customHeight="true" outlineLevel="0" collapsed="false"/>
    <row r="2677" customFormat="false" ht="12.75" hidden="false" customHeight="true" outlineLevel="0" collapsed="false">
      <c r="A2677" s="1" t="s">
        <v>1268</v>
      </c>
    </row>
    <row r="2678" customFormat="false" ht="12.75" hidden="false" customHeight="true" outlineLevel="0" collapsed="false">
      <c r="A2678" s="1" t="s">
        <v>1903</v>
      </c>
    </row>
    <row r="2679" customFormat="false" ht="12.75" hidden="false" customHeight="true" outlineLevel="0" collapsed="false">
      <c r="A2679" s="1" t="s">
        <v>1454</v>
      </c>
    </row>
    <row r="2680" customFormat="false" ht="12.75" hidden="false" customHeight="true" outlineLevel="0" collapsed="false">
      <c r="A2680" s="1" t="s">
        <v>1821</v>
      </c>
    </row>
    <row r="2681" customFormat="false" ht="12.75" hidden="false" customHeight="true" outlineLevel="0" collapsed="false"/>
    <row r="2682" customFormat="false" ht="12.75" hidden="false" customHeight="true" outlineLevel="0" collapsed="false">
      <c r="A2682" s="1" t="s">
        <v>1272</v>
      </c>
    </row>
    <row r="2683" customFormat="false" ht="12.75" hidden="false" customHeight="true" outlineLevel="0" collapsed="false">
      <c r="A2683" s="1" t="s">
        <v>1905</v>
      </c>
    </row>
    <row r="2684" customFormat="false" ht="12.75" hidden="false" customHeight="true" outlineLevel="0" collapsed="false">
      <c r="A2684" s="1" t="s">
        <v>1823</v>
      </c>
    </row>
    <row r="2685" customFormat="false" ht="12.75" hidden="false" customHeight="true" outlineLevel="0" collapsed="false">
      <c r="A2685" s="1" t="s">
        <v>1824</v>
      </c>
    </row>
    <row r="2686" customFormat="false" ht="12.75" hidden="false" customHeight="true" outlineLevel="0" collapsed="false">
      <c r="A2686" s="1" t="s">
        <v>1825</v>
      </c>
    </row>
    <row r="2687" customFormat="false" ht="12.75" hidden="false" customHeight="true" outlineLevel="0" collapsed="false">
      <c r="A2687" s="1" t="s">
        <v>2727</v>
      </c>
    </row>
    <row r="2688" customFormat="false" ht="12.75" hidden="false" customHeight="true" outlineLevel="0" collapsed="false">
      <c r="A2688" s="0" t="s">
        <v>2536</v>
      </c>
    </row>
    <row r="2689" customFormat="false" ht="12.75" hidden="false" customHeight="true" outlineLevel="0" collapsed="false">
      <c r="A2689" s="1" t="s">
        <v>2736</v>
      </c>
    </row>
    <row r="2690" customFormat="false" ht="12.75" hidden="false" customHeight="true" outlineLevel="0" collapsed="false">
      <c r="A2690" s="0" t="s">
        <v>2568</v>
      </c>
    </row>
    <row r="2691" customFormat="false" ht="12.75" hidden="false" customHeight="true" outlineLevel="0" collapsed="false">
      <c r="A2691" s="1" t="s">
        <v>1956</v>
      </c>
    </row>
    <row r="2692" customFormat="false" ht="12.75" hidden="false" customHeight="true" outlineLevel="0" collapsed="false">
      <c r="A2692" s="1" t="s">
        <v>1957</v>
      </c>
    </row>
    <row r="2693" customFormat="false" ht="12.75" hidden="false" customHeight="true" outlineLevel="0" collapsed="false"/>
    <row r="2694" customFormat="false" ht="12.75" hidden="false" customHeight="true" outlineLevel="0" collapsed="false">
      <c r="A2694" s="1" t="s">
        <v>1209</v>
      </c>
    </row>
    <row r="2695" customFormat="false" ht="12.75" hidden="false" customHeight="true" outlineLevel="0" collapsed="false">
      <c r="A2695" s="1" t="s">
        <v>1958</v>
      </c>
    </row>
    <row r="2696" customFormat="false" ht="12.75" hidden="false" customHeight="true" outlineLevel="0" collapsed="false">
      <c r="A2696" s="1" t="s">
        <v>1959</v>
      </c>
    </row>
    <row r="2697" customFormat="false" ht="12.75" hidden="false" customHeight="true" outlineLevel="0" collapsed="false">
      <c r="A2697" s="1" t="s">
        <v>1960</v>
      </c>
    </row>
    <row r="2698" customFormat="false" ht="12.75" hidden="false" customHeight="true" outlineLevel="0" collapsed="false">
      <c r="A2698" s="1" t="s">
        <v>1961</v>
      </c>
    </row>
    <row r="2699" customFormat="false" ht="12.75" hidden="false" customHeight="true" outlineLevel="0" collapsed="false"/>
    <row r="2700" customFormat="false" ht="12.75" hidden="false" customHeight="true" outlineLevel="0" collapsed="false">
      <c r="A2700" s="1" t="s">
        <v>1210</v>
      </c>
    </row>
    <row r="2701" customFormat="false" ht="12.75" hidden="false" customHeight="true" outlineLevel="0" collapsed="false">
      <c r="A2701" s="1" t="s">
        <v>1962</v>
      </c>
    </row>
    <row r="2702" customFormat="false" ht="12.75" hidden="false" customHeight="true" outlineLevel="0" collapsed="false">
      <c r="A2702" s="1" t="s">
        <v>1963</v>
      </c>
    </row>
    <row r="2703" customFormat="false" ht="12.75" hidden="false" customHeight="true" outlineLevel="0" collapsed="false"/>
    <row r="2704" customFormat="false" ht="12.75" hidden="false" customHeight="true" outlineLevel="0" collapsed="false">
      <c r="A2704" s="1" t="s">
        <v>1211</v>
      </c>
    </row>
    <row r="2705" customFormat="false" ht="12.75" hidden="false" customHeight="true" outlineLevel="0" collapsed="false">
      <c r="A2705" s="1" t="s">
        <v>1964</v>
      </c>
    </row>
    <row r="2706" customFormat="false" ht="12.75" hidden="false" customHeight="true" outlineLevel="0" collapsed="false">
      <c r="A2706" s="1" t="s">
        <v>1965</v>
      </c>
    </row>
    <row r="2707" customFormat="false" ht="12.75" hidden="false" customHeight="true" outlineLevel="0" collapsed="false"/>
    <row r="2708" customFormat="false" ht="12.75" hidden="false" customHeight="true" outlineLevel="0" collapsed="false">
      <c r="A2708" s="1" t="s">
        <v>1212</v>
      </c>
    </row>
    <row r="2709" customFormat="false" ht="12.75" hidden="false" customHeight="true" outlineLevel="0" collapsed="false">
      <c r="A2709" s="1" t="s">
        <v>1966</v>
      </c>
    </row>
    <row r="2710" customFormat="false" ht="12.75" hidden="false" customHeight="true" outlineLevel="0" collapsed="false">
      <c r="A2710" s="1" t="s">
        <v>2737</v>
      </c>
    </row>
    <row r="2711" customFormat="false" ht="12.75" hidden="false" customHeight="true" outlineLevel="0" collapsed="false">
      <c r="A2711" s="0" t="s">
        <v>2536</v>
      </c>
    </row>
    <row r="2712" customFormat="false" ht="12.75" hidden="false" customHeight="true" outlineLevel="0" collapsed="false">
      <c r="A2712" s="1" t="s">
        <v>2738</v>
      </c>
    </row>
    <row r="2713" customFormat="false" ht="12.75" hidden="false" customHeight="true" outlineLevel="0" collapsed="false">
      <c r="A2713" s="0" t="s">
        <v>2568</v>
      </c>
    </row>
    <row r="2714" customFormat="false" ht="12.75" hidden="false" customHeight="true" outlineLevel="0" collapsed="false">
      <c r="A2714" s="1" t="s">
        <v>1969</v>
      </c>
    </row>
    <row r="2715" customFormat="false" ht="12.75" hidden="false" customHeight="true" outlineLevel="0" collapsed="false">
      <c r="A2715" s="1" t="s">
        <v>1970</v>
      </c>
    </row>
    <row r="2716" customFormat="false" ht="12.75" hidden="false" customHeight="true" outlineLevel="0" collapsed="false"/>
    <row r="2717" customFormat="false" ht="12.75" hidden="false" customHeight="true" outlineLevel="0" collapsed="false">
      <c r="A2717" s="1" t="s">
        <v>1209</v>
      </c>
    </row>
    <row r="2718" customFormat="false" ht="12.75" hidden="false" customHeight="true" outlineLevel="0" collapsed="false">
      <c r="A2718" s="1" t="s">
        <v>1971</v>
      </c>
    </row>
    <row r="2719" customFormat="false" ht="12.75" hidden="false" customHeight="true" outlineLevel="0" collapsed="false">
      <c r="A2719" s="1" t="s">
        <v>1972</v>
      </c>
    </row>
    <row r="2720" customFormat="false" ht="12.75" hidden="false" customHeight="true" outlineLevel="0" collapsed="false">
      <c r="A2720" s="1" t="s">
        <v>1973</v>
      </c>
    </row>
    <row r="2721" customFormat="false" ht="12.75" hidden="false" customHeight="true" outlineLevel="0" collapsed="false">
      <c r="A2721" s="1" t="s">
        <v>1974</v>
      </c>
    </row>
    <row r="2722" customFormat="false" ht="12.75" hidden="false" customHeight="true" outlineLevel="0" collapsed="false"/>
    <row r="2723" customFormat="false" ht="12.75" hidden="false" customHeight="true" outlineLevel="0" collapsed="false">
      <c r="A2723" s="1" t="s">
        <v>1210</v>
      </c>
    </row>
    <row r="2724" customFormat="false" ht="12.75" hidden="false" customHeight="true" outlineLevel="0" collapsed="false">
      <c r="A2724" s="1" t="s">
        <v>1975</v>
      </c>
    </row>
    <row r="2725" customFormat="false" ht="12.75" hidden="false" customHeight="true" outlineLevel="0" collapsed="false">
      <c r="A2725" s="1" t="s">
        <v>1976</v>
      </c>
    </row>
    <row r="2726" customFormat="false" ht="12.75" hidden="false" customHeight="true" outlineLevel="0" collapsed="false"/>
    <row r="2727" customFormat="false" ht="12.75" hidden="false" customHeight="true" outlineLevel="0" collapsed="false">
      <c r="A2727" s="1" t="s">
        <v>1211</v>
      </c>
    </row>
    <row r="2728" customFormat="false" ht="12.75" hidden="false" customHeight="true" outlineLevel="0" collapsed="false">
      <c r="A2728" s="1" t="s">
        <v>1977</v>
      </c>
    </row>
    <row r="2729" customFormat="false" ht="12.75" hidden="false" customHeight="true" outlineLevel="0" collapsed="false">
      <c r="A2729" s="1" t="s">
        <v>1978</v>
      </c>
    </row>
    <row r="2730" customFormat="false" ht="12.75" hidden="false" customHeight="true" outlineLevel="0" collapsed="false"/>
    <row r="2731" customFormat="false" ht="12.75" hidden="false" customHeight="true" outlineLevel="0" collapsed="false">
      <c r="A2731" s="1" t="s">
        <v>1212</v>
      </c>
    </row>
    <row r="2732" customFormat="false" ht="12.75" hidden="false" customHeight="true" outlineLevel="0" collapsed="false">
      <c r="A2732" s="1" t="s">
        <v>1979</v>
      </c>
    </row>
    <row r="2733" customFormat="false" ht="12.75" hidden="false" customHeight="true" outlineLevel="0" collapsed="false">
      <c r="A2733" s="1" t="s">
        <v>2737</v>
      </c>
    </row>
    <row r="2734" customFormat="false" ht="12.75" hidden="false" customHeight="true" outlineLevel="0" collapsed="false">
      <c r="A2734" s="0" t="s">
        <v>2536</v>
      </c>
    </row>
    <row r="2735" customFormat="false" ht="12.75" hidden="false" customHeight="true" outlineLevel="0" collapsed="false">
      <c r="A2735" s="1" t="s">
        <v>2739</v>
      </c>
    </row>
    <row r="2736" customFormat="false" ht="12.75" hidden="false" customHeight="true" outlineLevel="0" collapsed="false">
      <c r="A2736" s="0" t="s">
        <v>2568</v>
      </c>
    </row>
    <row r="2737" customFormat="false" ht="12.75" hidden="false" customHeight="true" outlineLevel="0" collapsed="false">
      <c r="A2737" s="1" t="s">
        <v>1981</v>
      </c>
    </row>
    <row r="2738" customFormat="false" ht="12.75" hidden="false" customHeight="true" outlineLevel="0" collapsed="false">
      <c r="A2738" s="1" t="s">
        <v>1931</v>
      </c>
    </row>
    <row r="2739" customFormat="false" ht="12.75" hidden="false" customHeight="true" outlineLevel="0" collapsed="false"/>
    <row r="2740" customFormat="false" ht="12.75" hidden="false" customHeight="true" outlineLevel="0" collapsed="false">
      <c r="A2740" s="1" t="s">
        <v>1209</v>
      </c>
    </row>
    <row r="2741" customFormat="false" ht="12.75" hidden="false" customHeight="true" outlineLevel="0" collapsed="false">
      <c r="A2741" s="1" t="s">
        <v>1982</v>
      </c>
    </row>
    <row r="2742" customFormat="false" ht="12.75" hidden="false" customHeight="true" outlineLevel="0" collapsed="false">
      <c r="A2742" s="1" t="s">
        <v>1933</v>
      </c>
    </row>
    <row r="2743" customFormat="false" ht="12.75" hidden="false" customHeight="true" outlineLevel="0" collapsed="false">
      <c r="A2743" s="1" t="s">
        <v>1934</v>
      </c>
    </row>
    <row r="2744" customFormat="false" ht="12.75" hidden="false" customHeight="true" outlineLevel="0" collapsed="false">
      <c r="A2744" s="1" t="s">
        <v>1983</v>
      </c>
    </row>
    <row r="2745" customFormat="false" ht="12.75" hidden="false" customHeight="true" outlineLevel="0" collapsed="false"/>
    <row r="2746" customFormat="false" ht="12.75" hidden="false" customHeight="true" outlineLevel="0" collapsed="false">
      <c r="A2746" s="1" t="s">
        <v>1210</v>
      </c>
    </row>
    <row r="2747" customFormat="false" ht="12.75" hidden="false" customHeight="true" outlineLevel="0" collapsed="false">
      <c r="A2747" s="1" t="s">
        <v>1984</v>
      </c>
    </row>
    <row r="2748" customFormat="false" ht="12.75" hidden="false" customHeight="true" outlineLevel="0" collapsed="false">
      <c r="A2748" s="1" t="s">
        <v>1985</v>
      </c>
    </row>
    <row r="2749" customFormat="false" ht="12.75" hidden="false" customHeight="true" outlineLevel="0" collapsed="false"/>
    <row r="2750" customFormat="false" ht="12.75" hidden="false" customHeight="true" outlineLevel="0" collapsed="false">
      <c r="A2750" s="1" t="s">
        <v>1211</v>
      </c>
    </row>
    <row r="2751" customFormat="false" ht="12.75" hidden="false" customHeight="true" outlineLevel="0" collapsed="false">
      <c r="A2751" s="1" t="s">
        <v>1938</v>
      </c>
    </row>
    <row r="2752" customFormat="false" ht="12.75" hidden="false" customHeight="true" outlineLevel="0" collapsed="false">
      <c r="A2752" s="1" t="s">
        <v>1986</v>
      </c>
    </row>
    <row r="2753" customFormat="false" ht="12.75" hidden="false" customHeight="true" outlineLevel="0" collapsed="false"/>
    <row r="2754" customFormat="false" ht="12.75" hidden="false" customHeight="true" outlineLevel="0" collapsed="false">
      <c r="A2754" s="1" t="s">
        <v>1212</v>
      </c>
    </row>
    <row r="2755" customFormat="false" ht="12.75" hidden="false" customHeight="true" outlineLevel="0" collapsed="false">
      <c r="A2755" s="1" t="s">
        <v>1987</v>
      </c>
    </row>
    <row r="2756" customFormat="false" ht="12.75" hidden="false" customHeight="true" outlineLevel="0" collapsed="false">
      <c r="A2756" s="1" t="s">
        <v>2740</v>
      </c>
    </row>
    <row r="2757" customFormat="false" ht="12.75" hidden="false" customHeight="true" outlineLevel="0" collapsed="false">
      <c r="A2757" s="0" t="s">
        <v>2536</v>
      </c>
    </row>
    <row r="2758" customFormat="false" ht="12.75" hidden="false" customHeight="true" outlineLevel="0" collapsed="false">
      <c r="A2758" s="1" t="s">
        <v>2741</v>
      </c>
    </row>
    <row r="2759" customFormat="false" ht="12.75" hidden="false" customHeight="true" outlineLevel="0" collapsed="false">
      <c r="A2759" s="0" t="s">
        <v>2568</v>
      </c>
    </row>
    <row r="2760" customFormat="false" ht="12.75" hidden="false" customHeight="true" outlineLevel="0" collapsed="false">
      <c r="A2760" s="1" t="s">
        <v>1990</v>
      </c>
    </row>
    <row r="2761" customFormat="false" ht="12.75" hidden="false" customHeight="true" outlineLevel="0" collapsed="false">
      <c r="A2761" s="1" t="s">
        <v>1945</v>
      </c>
    </row>
    <row r="2762" customFormat="false" ht="12.75" hidden="false" customHeight="true" outlineLevel="0" collapsed="false"/>
    <row r="2763" customFormat="false" ht="12.75" hidden="false" customHeight="true" outlineLevel="0" collapsed="false">
      <c r="A2763" s="1" t="s">
        <v>1209</v>
      </c>
    </row>
    <row r="2764" customFormat="false" ht="12.75" hidden="false" customHeight="true" outlineLevel="0" collapsed="false">
      <c r="A2764" s="1" t="s">
        <v>1991</v>
      </c>
    </row>
    <row r="2765" customFormat="false" ht="12.75" hidden="false" customHeight="true" outlineLevel="0" collapsed="false">
      <c r="A2765" s="1" t="s">
        <v>1992</v>
      </c>
    </row>
    <row r="2766" customFormat="false" ht="12.75" hidden="false" customHeight="true" outlineLevel="0" collapsed="false">
      <c r="A2766" s="1" t="s">
        <v>1948</v>
      </c>
    </row>
    <row r="2767" customFormat="false" ht="12.75" hidden="false" customHeight="true" outlineLevel="0" collapsed="false">
      <c r="A2767" s="1" t="s">
        <v>1993</v>
      </c>
    </row>
    <row r="2768" customFormat="false" ht="12.75" hidden="false" customHeight="true" outlineLevel="0" collapsed="false"/>
    <row r="2769" customFormat="false" ht="12.75" hidden="false" customHeight="true" outlineLevel="0" collapsed="false">
      <c r="A2769" s="1" t="s">
        <v>1210</v>
      </c>
    </row>
    <row r="2770" customFormat="false" ht="12.75" hidden="false" customHeight="true" outlineLevel="0" collapsed="false">
      <c r="A2770" s="1" t="s">
        <v>1994</v>
      </c>
    </row>
    <row r="2771" customFormat="false" ht="12.75" hidden="false" customHeight="true" outlineLevel="0" collapsed="false">
      <c r="A2771" s="1" t="s">
        <v>1995</v>
      </c>
    </row>
    <row r="2772" customFormat="false" ht="12.75" hidden="false" customHeight="true" outlineLevel="0" collapsed="false"/>
    <row r="2773" customFormat="false" ht="12.75" hidden="false" customHeight="true" outlineLevel="0" collapsed="false">
      <c r="A2773" s="1" t="s">
        <v>1211</v>
      </c>
    </row>
    <row r="2774" customFormat="false" ht="12.75" hidden="false" customHeight="true" outlineLevel="0" collapsed="false">
      <c r="A2774" s="1" t="s">
        <v>1952</v>
      </c>
    </row>
    <row r="2775" customFormat="false" ht="12.75" hidden="false" customHeight="true" outlineLevel="0" collapsed="false">
      <c r="A2775" s="1" t="s">
        <v>1996</v>
      </c>
    </row>
    <row r="2776" customFormat="false" ht="12.75" hidden="false" customHeight="true" outlineLevel="0" collapsed="false"/>
    <row r="2777" customFormat="false" ht="12.75" hidden="false" customHeight="true" outlineLevel="0" collapsed="false">
      <c r="A2777" s="1" t="s">
        <v>1212</v>
      </c>
    </row>
    <row r="2778" customFormat="false" ht="12.75" hidden="false" customHeight="true" outlineLevel="0" collapsed="false">
      <c r="A2778" s="1" t="s">
        <v>1997</v>
      </c>
    </row>
    <row r="2779" customFormat="false" ht="12.75" hidden="false" customHeight="true" outlineLevel="0" collapsed="false">
      <c r="A2779" s="1" t="s">
        <v>2740</v>
      </c>
    </row>
    <row r="2780" customFormat="false" ht="12.75" hidden="false" customHeight="true" outlineLevel="0" collapsed="false">
      <c r="A2780" s="0" t="s">
        <v>2536</v>
      </c>
    </row>
    <row r="2781" customFormat="false" ht="12.75" hidden="false" customHeight="true" outlineLevel="0" collapsed="false">
      <c r="A2781" s="1" t="s">
        <v>2742</v>
      </c>
    </row>
    <row r="2782" customFormat="false" ht="12.75" hidden="false" customHeight="true" outlineLevel="0" collapsed="false">
      <c r="A2782" s="0" t="s">
        <v>2568</v>
      </c>
    </row>
    <row r="2783" customFormat="false" ht="12.75" hidden="false" customHeight="true" outlineLevel="0" collapsed="false">
      <c r="A2783" s="1" t="s">
        <v>1999</v>
      </c>
    </row>
    <row r="2784" customFormat="false" ht="12.75" hidden="false" customHeight="true" outlineLevel="0" collapsed="false">
      <c r="A2784" s="1" t="s">
        <v>1957</v>
      </c>
    </row>
    <row r="2785" customFormat="false" ht="12.75" hidden="false" customHeight="true" outlineLevel="0" collapsed="false"/>
    <row r="2786" customFormat="false" ht="12.75" hidden="false" customHeight="true" outlineLevel="0" collapsed="false">
      <c r="A2786" s="1" t="s">
        <v>1209</v>
      </c>
    </row>
    <row r="2787" customFormat="false" ht="12.75" hidden="false" customHeight="true" outlineLevel="0" collapsed="false">
      <c r="A2787" s="1" t="s">
        <v>2000</v>
      </c>
    </row>
    <row r="2788" customFormat="false" ht="12.75" hidden="false" customHeight="true" outlineLevel="0" collapsed="false">
      <c r="A2788" s="1" t="s">
        <v>1959</v>
      </c>
    </row>
    <row r="2789" customFormat="false" ht="12.75" hidden="false" customHeight="true" outlineLevel="0" collapsed="false">
      <c r="A2789" s="1" t="s">
        <v>1960</v>
      </c>
    </row>
    <row r="2790" customFormat="false" ht="12.75" hidden="false" customHeight="true" outlineLevel="0" collapsed="false">
      <c r="A2790" s="1" t="s">
        <v>2001</v>
      </c>
    </row>
    <row r="2791" customFormat="false" ht="12.75" hidden="false" customHeight="true" outlineLevel="0" collapsed="false"/>
    <row r="2792" customFormat="false" ht="12.75" hidden="false" customHeight="true" outlineLevel="0" collapsed="false">
      <c r="A2792" s="1" t="s">
        <v>1210</v>
      </c>
    </row>
    <row r="2793" customFormat="false" ht="12.75" hidden="false" customHeight="true" outlineLevel="0" collapsed="false">
      <c r="A2793" s="1" t="s">
        <v>2002</v>
      </c>
    </row>
    <row r="2794" customFormat="false" ht="12.75" hidden="false" customHeight="true" outlineLevel="0" collapsed="false">
      <c r="A2794" s="1" t="s">
        <v>2003</v>
      </c>
    </row>
    <row r="2795" customFormat="false" ht="12.75" hidden="false" customHeight="true" outlineLevel="0" collapsed="false"/>
    <row r="2796" customFormat="false" ht="12.75" hidden="false" customHeight="true" outlineLevel="0" collapsed="false">
      <c r="A2796" s="1" t="s">
        <v>1211</v>
      </c>
    </row>
    <row r="2797" customFormat="false" ht="12.75" hidden="false" customHeight="true" outlineLevel="0" collapsed="false">
      <c r="A2797" s="1" t="s">
        <v>2004</v>
      </c>
    </row>
    <row r="2798" customFormat="false" ht="12.75" hidden="false" customHeight="true" outlineLevel="0" collapsed="false">
      <c r="A2798" s="1" t="s">
        <v>2005</v>
      </c>
    </row>
    <row r="2799" customFormat="false" ht="12.75" hidden="false" customHeight="true" outlineLevel="0" collapsed="false"/>
    <row r="2800" customFormat="false" ht="12.75" hidden="false" customHeight="true" outlineLevel="0" collapsed="false">
      <c r="A2800" s="1" t="s">
        <v>1212</v>
      </c>
    </row>
    <row r="2801" customFormat="false" ht="12.75" hidden="false" customHeight="true" outlineLevel="0" collapsed="false">
      <c r="A2801" s="1" t="s">
        <v>2006</v>
      </c>
    </row>
    <row r="2802" customFormat="false" ht="12.75" hidden="false" customHeight="true" outlineLevel="0" collapsed="false">
      <c r="A2802" s="1" t="s">
        <v>2740</v>
      </c>
    </row>
    <row r="2803" customFormat="false" ht="12.75" hidden="false" customHeight="true" outlineLevel="0" collapsed="false">
      <c r="A2803" s="0" t="s">
        <v>2536</v>
      </c>
    </row>
    <row r="2804" customFormat="false" ht="12.75" hidden="false" customHeight="true" outlineLevel="0" collapsed="false">
      <c r="A2804" s="1" t="s">
        <v>2743</v>
      </c>
    </row>
    <row r="2805" customFormat="false" ht="12.75" hidden="false" customHeight="true" outlineLevel="0" collapsed="false">
      <c r="A2805" s="0" t="s">
        <v>2711</v>
      </c>
    </row>
    <row r="2806" customFormat="false" ht="12.75" hidden="false" customHeight="true" outlineLevel="0" collapsed="false">
      <c r="A2806" s="1" t="s">
        <v>1900</v>
      </c>
    </row>
    <row r="2807" customFormat="false" ht="12.75" hidden="false" customHeight="true" outlineLevel="0" collapsed="false">
      <c r="A2807" s="1" t="s">
        <v>1901</v>
      </c>
    </row>
    <row r="2808" customFormat="false" ht="12.75" hidden="false" customHeight="true" outlineLevel="0" collapsed="false">
      <c r="A2808" s="1" t="s">
        <v>1449</v>
      </c>
    </row>
    <row r="2809" customFormat="false" ht="12.75" hidden="false" customHeight="true" outlineLevel="0" collapsed="false">
      <c r="A2809" s="1" t="s">
        <v>2730</v>
      </c>
    </row>
    <row r="2810" customFormat="false" ht="12.75" hidden="false" customHeight="true" outlineLevel="0" collapsed="false">
      <c r="A2810" s="0" t="s">
        <v>2572</v>
      </c>
    </row>
    <row r="2811" customFormat="false" ht="12.75" hidden="false" customHeight="true" outlineLevel="0" collapsed="false">
      <c r="A2811" s="1" t="s">
        <v>2008</v>
      </c>
    </row>
    <row r="2812" customFormat="false" ht="12.75" hidden="false" customHeight="true" outlineLevel="0" collapsed="false">
      <c r="A2812" s="1" t="s">
        <v>2009</v>
      </c>
    </row>
    <row r="2813" customFormat="false" ht="12.75" hidden="false" customHeight="true" outlineLevel="0" collapsed="false"/>
    <row r="2814" customFormat="false" ht="12.75" hidden="false" customHeight="true" outlineLevel="0" collapsed="false">
      <c r="A2814" s="1" t="s">
        <v>1268</v>
      </c>
    </row>
    <row r="2815" customFormat="false" ht="12.75" hidden="false" customHeight="true" outlineLevel="0" collapsed="false">
      <c r="A2815" s="1" t="s">
        <v>1453</v>
      </c>
    </row>
    <row r="2816" customFormat="false" ht="12.75" hidden="false" customHeight="true" outlineLevel="0" collapsed="false">
      <c r="A2816" s="1" t="s">
        <v>1454</v>
      </c>
    </row>
    <row r="2817" customFormat="false" ht="12.75" hidden="false" customHeight="true" outlineLevel="0" collapsed="false">
      <c r="A2817" s="1" t="s">
        <v>1455</v>
      </c>
    </row>
    <row r="2818" customFormat="false" ht="12.75" hidden="false" customHeight="true" outlineLevel="0" collapsed="false"/>
    <row r="2819" customFormat="false" ht="12.75" hidden="false" customHeight="true" outlineLevel="0" collapsed="false">
      <c r="A2819" s="1" t="s">
        <v>1272</v>
      </c>
    </row>
    <row r="2820" customFormat="false" ht="12.75" hidden="false" customHeight="true" outlineLevel="0" collapsed="false">
      <c r="A2820" s="1" t="s">
        <v>1456</v>
      </c>
    </row>
    <row r="2821" customFormat="false" ht="12.75" hidden="false" customHeight="true" outlineLevel="0" collapsed="false">
      <c r="A2821" s="1" t="s">
        <v>2010</v>
      </c>
    </row>
    <row r="2822" customFormat="false" ht="12.75" hidden="false" customHeight="true" outlineLevel="0" collapsed="false">
      <c r="A2822" s="1" t="s">
        <v>1458</v>
      </c>
    </row>
    <row r="2823" customFormat="false" ht="12.75" hidden="false" customHeight="true" outlineLevel="0" collapsed="false">
      <c r="A2823" s="1" t="s">
        <v>1459</v>
      </c>
    </row>
    <row r="2824" customFormat="false" ht="12.75" hidden="false" customHeight="true" outlineLevel="0" collapsed="false">
      <c r="A2824" s="1" t="s">
        <v>2603</v>
      </c>
    </row>
    <row r="2825" customFormat="false" ht="12.75" hidden="false" customHeight="true" outlineLevel="0" collapsed="false">
      <c r="A2825" s="0" t="s">
        <v>2536</v>
      </c>
    </row>
    <row r="2826" customFormat="false" ht="12.75" hidden="false" customHeight="true" outlineLevel="0" collapsed="false">
      <c r="A2826" s="1" t="s">
        <v>2744</v>
      </c>
    </row>
    <row r="2827" customFormat="false" ht="12.75" hidden="false" customHeight="true" outlineLevel="0" collapsed="false">
      <c r="A2827" s="0" t="s">
        <v>2711</v>
      </c>
    </row>
    <row r="2828" customFormat="false" ht="12.75" hidden="false" customHeight="true" outlineLevel="0" collapsed="false">
      <c r="A2828" s="1" t="s">
        <v>1900</v>
      </c>
    </row>
    <row r="2829" customFormat="false" ht="12.75" hidden="false" customHeight="true" outlineLevel="0" collapsed="false">
      <c r="A2829" s="1" t="s">
        <v>1901</v>
      </c>
    </row>
    <row r="2830" customFormat="false" ht="12.75" hidden="false" customHeight="true" outlineLevel="0" collapsed="false">
      <c r="A2830" s="1" t="s">
        <v>1449</v>
      </c>
    </row>
    <row r="2831" customFormat="false" ht="12.75" hidden="false" customHeight="true" outlineLevel="0" collapsed="false">
      <c r="A2831" s="1" t="s">
        <v>2730</v>
      </c>
    </row>
    <row r="2832" customFormat="false" ht="12.75" hidden="false" customHeight="true" outlineLevel="0" collapsed="false">
      <c r="A2832" s="0" t="s">
        <v>2572</v>
      </c>
    </row>
    <row r="2833" customFormat="false" ht="12.75" hidden="false" customHeight="true" outlineLevel="0" collapsed="false">
      <c r="A2833" s="1" t="s">
        <v>2008</v>
      </c>
    </row>
    <row r="2834" customFormat="false" ht="12.75" hidden="false" customHeight="true" outlineLevel="0" collapsed="false">
      <c r="A2834" s="1" t="s">
        <v>2009</v>
      </c>
    </row>
    <row r="2835" customFormat="false" ht="12.75" hidden="false" customHeight="true" outlineLevel="0" collapsed="false"/>
    <row r="2836" customFormat="false" ht="12.75" hidden="false" customHeight="true" outlineLevel="0" collapsed="false">
      <c r="A2836" s="1" t="s">
        <v>1268</v>
      </c>
    </row>
    <row r="2837" customFormat="false" ht="12.75" hidden="false" customHeight="true" outlineLevel="0" collapsed="false">
      <c r="A2837" s="1" t="s">
        <v>1453</v>
      </c>
    </row>
    <row r="2838" customFormat="false" ht="12.75" hidden="false" customHeight="true" outlineLevel="0" collapsed="false">
      <c r="A2838" s="1" t="s">
        <v>1454</v>
      </c>
    </row>
    <row r="2839" customFormat="false" ht="12.75" hidden="false" customHeight="true" outlineLevel="0" collapsed="false">
      <c r="A2839" s="1" t="s">
        <v>1455</v>
      </c>
    </row>
    <row r="2840" customFormat="false" ht="12.75" hidden="false" customHeight="true" outlineLevel="0" collapsed="false"/>
    <row r="2841" customFormat="false" ht="12.75" hidden="false" customHeight="true" outlineLevel="0" collapsed="false">
      <c r="A2841" s="1" t="s">
        <v>1272</v>
      </c>
    </row>
    <row r="2842" customFormat="false" ht="12.75" hidden="false" customHeight="true" outlineLevel="0" collapsed="false">
      <c r="A2842" s="1" t="s">
        <v>1456</v>
      </c>
    </row>
    <row r="2843" customFormat="false" ht="12.75" hidden="false" customHeight="true" outlineLevel="0" collapsed="false">
      <c r="A2843" s="1" t="s">
        <v>2010</v>
      </c>
    </row>
    <row r="2844" customFormat="false" ht="12.75" hidden="false" customHeight="true" outlineLevel="0" collapsed="false">
      <c r="A2844" s="1" t="s">
        <v>1458</v>
      </c>
    </row>
    <row r="2845" customFormat="false" ht="12.75" hidden="false" customHeight="true" outlineLevel="0" collapsed="false">
      <c r="A2845" s="1" t="s">
        <v>1459</v>
      </c>
    </row>
    <row r="2846" customFormat="false" ht="12.75" hidden="false" customHeight="true" outlineLevel="0" collapsed="false">
      <c r="A2846" s="1" t="s">
        <v>2603</v>
      </c>
    </row>
    <row r="2847" customFormat="false" ht="12.75" hidden="false" customHeight="true" outlineLevel="0" collapsed="false">
      <c r="A2847" s="0" t="s">
        <v>2536</v>
      </c>
    </row>
    <row r="2848" customFormat="false" ht="12.75" hidden="false" customHeight="true" outlineLevel="0" collapsed="false">
      <c r="A2848" s="1" t="s">
        <v>2745</v>
      </c>
    </row>
    <row r="2849" customFormat="false" ht="12.75" hidden="false" customHeight="true" outlineLevel="0" collapsed="false">
      <c r="A2849" s="0" t="s">
        <v>2538</v>
      </c>
    </row>
    <row r="2850" customFormat="false" ht="12.75" hidden="false" customHeight="true" outlineLevel="0" collapsed="false">
      <c r="A2850" s="1" t="s">
        <v>2013</v>
      </c>
    </row>
    <row r="2851" customFormat="false" ht="12.75" hidden="false" customHeight="true" outlineLevel="0" collapsed="false">
      <c r="A2851" s="1" t="s">
        <v>2014</v>
      </c>
    </row>
    <row r="2852" customFormat="false" ht="12.75" hidden="false" customHeight="true" outlineLevel="0" collapsed="false"/>
    <row r="2853" customFormat="false" ht="12.75" hidden="false" customHeight="true" outlineLevel="0" collapsed="false">
      <c r="A2853" s="1" t="s">
        <v>1209</v>
      </c>
    </row>
    <row r="2854" customFormat="false" ht="12.75" hidden="false" customHeight="true" outlineLevel="0" collapsed="false">
      <c r="A2854" s="1" t="s">
        <v>2015</v>
      </c>
    </row>
    <row r="2855" customFormat="false" ht="12.75" hidden="false" customHeight="true" outlineLevel="0" collapsed="false">
      <c r="A2855" s="1" t="s">
        <v>2016</v>
      </c>
    </row>
    <row r="2856" customFormat="false" ht="12.75" hidden="false" customHeight="true" outlineLevel="0" collapsed="false">
      <c r="A2856" s="1" t="s">
        <v>2017</v>
      </c>
    </row>
    <row r="2857" customFormat="false" ht="12.75" hidden="false" customHeight="true" outlineLevel="0" collapsed="false">
      <c r="A2857" s="1" t="s">
        <v>2018</v>
      </c>
    </row>
    <row r="2858" customFormat="false" ht="12.75" hidden="false" customHeight="true" outlineLevel="0" collapsed="false"/>
    <row r="2859" customFormat="false" ht="12.75" hidden="false" customHeight="true" outlineLevel="0" collapsed="false">
      <c r="A2859" s="1" t="s">
        <v>1210</v>
      </c>
    </row>
    <row r="2860" customFormat="false" ht="12.75" hidden="false" customHeight="true" outlineLevel="0" collapsed="false">
      <c r="A2860" s="1" t="s">
        <v>2019</v>
      </c>
    </row>
    <row r="2861" customFormat="false" ht="12.75" hidden="false" customHeight="true" outlineLevel="0" collapsed="false">
      <c r="A2861" s="1" t="s">
        <v>2020</v>
      </c>
    </row>
    <row r="2862" customFormat="false" ht="12.75" hidden="false" customHeight="true" outlineLevel="0" collapsed="false"/>
    <row r="2863" customFormat="false" ht="12.75" hidden="false" customHeight="true" outlineLevel="0" collapsed="false">
      <c r="A2863" s="1" t="s">
        <v>1211</v>
      </c>
    </row>
    <row r="2864" customFormat="false" ht="12.75" hidden="false" customHeight="true" outlineLevel="0" collapsed="false">
      <c r="A2864" s="1" t="s">
        <v>2021</v>
      </c>
    </row>
    <row r="2865" customFormat="false" ht="12.75" hidden="false" customHeight="true" outlineLevel="0" collapsed="false">
      <c r="A2865" s="1" t="s">
        <v>2022</v>
      </c>
    </row>
    <row r="2866" customFormat="false" ht="12.75" hidden="false" customHeight="true" outlineLevel="0" collapsed="false"/>
    <row r="2867" customFormat="false" ht="12.75" hidden="false" customHeight="true" outlineLevel="0" collapsed="false">
      <c r="A2867" s="1" t="s">
        <v>1212</v>
      </c>
    </row>
    <row r="2868" customFormat="false" ht="12.75" hidden="false" customHeight="true" outlineLevel="0" collapsed="false">
      <c r="A2868" s="1" t="s">
        <v>2023</v>
      </c>
    </row>
    <row r="2869" customFormat="false" ht="12.75" hidden="false" customHeight="true" outlineLevel="0" collapsed="false">
      <c r="A2869" s="1" t="s">
        <v>2746</v>
      </c>
    </row>
    <row r="2870" customFormat="false" ht="12.75" hidden="false" customHeight="true" outlineLevel="0" collapsed="false">
      <c r="A2870" s="0" t="s">
        <v>2711</v>
      </c>
    </row>
    <row r="2871" customFormat="false" ht="12.75" hidden="false" customHeight="true" outlineLevel="0" collapsed="false">
      <c r="A2871" s="1" t="s">
        <v>1900</v>
      </c>
    </row>
    <row r="2872" customFormat="false" ht="12.75" hidden="false" customHeight="true" outlineLevel="0" collapsed="false">
      <c r="A2872" s="1" t="s">
        <v>1901</v>
      </c>
    </row>
    <row r="2873" customFormat="false" ht="12.75" hidden="false" customHeight="true" outlineLevel="0" collapsed="false">
      <c r="A2873" s="1" t="s">
        <v>1449</v>
      </c>
    </row>
    <row r="2874" customFormat="false" ht="12.75" hidden="false" customHeight="true" outlineLevel="0" collapsed="false">
      <c r="A2874" s="1" t="s">
        <v>2730</v>
      </c>
    </row>
    <row r="2875" customFormat="false" ht="12.75" hidden="false" customHeight="true" outlineLevel="0" collapsed="false">
      <c r="A2875" s="0" t="s">
        <v>2572</v>
      </c>
    </row>
    <row r="2876" customFormat="false" ht="12.75" hidden="false" customHeight="true" outlineLevel="0" collapsed="false">
      <c r="A2876" s="1" t="s">
        <v>2008</v>
      </c>
    </row>
    <row r="2877" customFormat="false" ht="12.75" hidden="false" customHeight="true" outlineLevel="0" collapsed="false">
      <c r="A2877" s="1" t="s">
        <v>2009</v>
      </c>
    </row>
    <row r="2878" customFormat="false" ht="12.75" hidden="false" customHeight="true" outlineLevel="0" collapsed="false"/>
    <row r="2879" customFormat="false" ht="12.75" hidden="false" customHeight="true" outlineLevel="0" collapsed="false">
      <c r="A2879" s="1" t="s">
        <v>1268</v>
      </c>
    </row>
    <row r="2880" customFormat="false" ht="12.75" hidden="false" customHeight="true" outlineLevel="0" collapsed="false">
      <c r="A2880" s="1" t="s">
        <v>1453</v>
      </c>
    </row>
    <row r="2881" customFormat="false" ht="12.75" hidden="false" customHeight="true" outlineLevel="0" collapsed="false">
      <c r="A2881" s="1" t="s">
        <v>1454</v>
      </c>
    </row>
    <row r="2882" customFormat="false" ht="12.75" hidden="false" customHeight="true" outlineLevel="0" collapsed="false">
      <c r="A2882" s="1" t="s">
        <v>1455</v>
      </c>
    </row>
    <row r="2883" customFormat="false" ht="12.75" hidden="false" customHeight="true" outlineLevel="0" collapsed="false"/>
    <row r="2884" customFormat="false" ht="12.75" hidden="false" customHeight="true" outlineLevel="0" collapsed="false">
      <c r="A2884" s="1" t="s">
        <v>1272</v>
      </c>
    </row>
    <row r="2885" customFormat="false" ht="12.75" hidden="false" customHeight="true" outlineLevel="0" collapsed="false">
      <c r="A2885" s="1" t="s">
        <v>1456</v>
      </c>
    </row>
    <row r="2886" customFormat="false" ht="12.75" hidden="false" customHeight="true" outlineLevel="0" collapsed="false">
      <c r="A2886" s="1" t="s">
        <v>2010</v>
      </c>
    </row>
    <row r="2887" customFormat="false" ht="12.75" hidden="false" customHeight="true" outlineLevel="0" collapsed="false">
      <c r="A2887" s="1" t="s">
        <v>1458</v>
      </c>
    </row>
    <row r="2888" customFormat="false" ht="12.75" hidden="false" customHeight="true" outlineLevel="0" collapsed="false">
      <c r="A2888" s="1" t="s">
        <v>1459</v>
      </c>
    </row>
    <row r="2889" customFormat="false" ht="12.75" hidden="false" customHeight="true" outlineLevel="0" collapsed="false">
      <c r="A2889" s="1" t="s">
        <v>2603</v>
      </c>
    </row>
    <row r="2890" customFormat="false" ht="12.75" hidden="false" customHeight="true" outlineLevel="0" collapsed="false">
      <c r="A2890" s="0" t="s">
        <v>2536</v>
      </c>
    </row>
    <row r="2891" customFormat="false" ht="12.75" hidden="false" customHeight="true" outlineLevel="0" collapsed="false">
      <c r="A2891" s="1" t="s">
        <v>2747</v>
      </c>
    </row>
    <row r="2892" customFormat="false" ht="12.75" hidden="false" customHeight="true" outlineLevel="0" collapsed="false">
      <c r="A2892" s="0" t="s">
        <v>2538</v>
      </c>
    </row>
    <row r="2893" customFormat="false" ht="12.75" hidden="false" customHeight="true" outlineLevel="0" collapsed="false">
      <c r="A2893" s="1" t="s">
        <v>2013</v>
      </c>
    </row>
    <row r="2894" customFormat="false" ht="12.75" hidden="false" customHeight="true" outlineLevel="0" collapsed="false">
      <c r="A2894" s="1" t="s">
        <v>2014</v>
      </c>
    </row>
    <row r="2895" customFormat="false" ht="12.75" hidden="false" customHeight="true" outlineLevel="0" collapsed="false"/>
    <row r="2896" customFormat="false" ht="12.75" hidden="false" customHeight="true" outlineLevel="0" collapsed="false">
      <c r="A2896" s="1" t="s">
        <v>1209</v>
      </c>
    </row>
    <row r="2897" customFormat="false" ht="12.75" hidden="false" customHeight="true" outlineLevel="0" collapsed="false">
      <c r="A2897" s="1" t="s">
        <v>2015</v>
      </c>
    </row>
    <row r="2898" customFormat="false" ht="12.75" hidden="false" customHeight="true" outlineLevel="0" collapsed="false">
      <c r="A2898" s="1" t="s">
        <v>2016</v>
      </c>
    </row>
    <row r="2899" customFormat="false" ht="12.75" hidden="false" customHeight="true" outlineLevel="0" collapsed="false">
      <c r="A2899" s="1" t="s">
        <v>2017</v>
      </c>
    </row>
    <row r="2900" customFormat="false" ht="12.75" hidden="false" customHeight="true" outlineLevel="0" collapsed="false">
      <c r="A2900" s="1" t="s">
        <v>2018</v>
      </c>
    </row>
    <row r="2901" customFormat="false" ht="12.75" hidden="false" customHeight="true" outlineLevel="0" collapsed="false"/>
    <row r="2902" customFormat="false" ht="12.75" hidden="false" customHeight="true" outlineLevel="0" collapsed="false">
      <c r="A2902" s="1" t="s">
        <v>1210</v>
      </c>
    </row>
    <row r="2903" customFormat="false" ht="12.75" hidden="false" customHeight="true" outlineLevel="0" collapsed="false">
      <c r="A2903" s="1" t="s">
        <v>2019</v>
      </c>
    </row>
    <row r="2904" customFormat="false" ht="12.75" hidden="false" customHeight="true" outlineLevel="0" collapsed="false">
      <c r="A2904" s="1" t="s">
        <v>2020</v>
      </c>
    </row>
    <row r="2905" customFormat="false" ht="12.75" hidden="false" customHeight="true" outlineLevel="0" collapsed="false"/>
    <row r="2906" customFormat="false" ht="12.75" hidden="false" customHeight="true" outlineLevel="0" collapsed="false">
      <c r="A2906" s="1" t="s">
        <v>1211</v>
      </c>
    </row>
    <row r="2907" customFormat="false" ht="12.75" hidden="false" customHeight="true" outlineLevel="0" collapsed="false">
      <c r="A2907" s="1" t="s">
        <v>2021</v>
      </c>
    </row>
    <row r="2908" customFormat="false" ht="12.75" hidden="false" customHeight="true" outlineLevel="0" collapsed="false">
      <c r="A2908" s="1" t="s">
        <v>2022</v>
      </c>
    </row>
    <row r="2909" customFormat="false" ht="12.75" hidden="false" customHeight="true" outlineLevel="0" collapsed="false"/>
    <row r="2910" customFormat="false" ht="12.75" hidden="false" customHeight="true" outlineLevel="0" collapsed="false">
      <c r="A2910" s="1" t="s">
        <v>1212</v>
      </c>
    </row>
    <row r="2911" customFormat="false" ht="12.75" hidden="false" customHeight="true" outlineLevel="0" collapsed="false">
      <c r="A2911" s="1" t="s">
        <v>2023</v>
      </c>
    </row>
    <row r="2912" customFormat="false" ht="12.75" hidden="false" customHeight="true" outlineLevel="0" collapsed="false">
      <c r="A2912" s="1" t="s">
        <v>2746</v>
      </c>
    </row>
    <row r="2913" customFormat="false" ht="12.75" hidden="false" customHeight="true" outlineLevel="0" collapsed="false">
      <c r="A2913" s="0" t="s">
        <v>2711</v>
      </c>
    </row>
    <row r="2914" customFormat="false" ht="12.75" hidden="false" customHeight="true" outlineLevel="0" collapsed="false">
      <c r="A2914" s="1" t="s">
        <v>1900</v>
      </c>
    </row>
    <row r="2915" customFormat="false" ht="12.75" hidden="false" customHeight="true" outlineLevel="0" collapsed="false">
      <c r="A2915" s="1" t="s">
        <v>1901</v>
      </c>
    </row>
    <row r="2916" customFormat="false" ht="12.75" hidden="false" customHeight="true" outlineLevel="0" collapsed="false">
      <c r="A2916" s="1" t="s">
        <v>1449</v>
      </c>
    </row>
    <row r="2917" customFormat="false" ht="12.75" hidden="false" customHeight="true" outlineLevel="0" collapsed="false">
      <c r="A2917" s="1" t="s">
        <v>2730</v>
      </c>
    </row>
    <row r="2918" customFormat="false" ht="12.75" hidden="false" customHeight="true" outlineLevel="0" collapsed="false">
      <c r="A2918" s="0" t="s">
        <v>2572</v>
      </c>
    </row>
    <row r="2919" customFormat="false" ht="12.75" hidden="false" customHeight="true" outlineLevel="0" collapsed="false">
      <c r="A2919" s="1" t="s">
        <v>2008</v>
      </c>
    </row>
    <row r="2920" customFormat="false" ht="12.75" hidden="false" customHeight="true" outlineLevel="0" collapsed="false">
      <c r="A2920" s="1" t="s">
        <v>2009</v>
      </c>
    </row>
    <row r="2921" customFormat="false" ht="12.75" hidden="false" customHeight="true" outlineLevel="0" collapsed="false"/>
    <row r="2922" customFormat="false" ht="12.75" hidden="false" customHeight="true" outlineLevel="0" collapsed="false">
      <c r="A2922" s="1" t="s">
        <v>1268</v>
      </c>
    </row>
    <row r="2923" customFormat="false" ht="12.75" hidden="false" customHeight="true" outlineLevel="0" collapsed="false">
      <c r="A2923" s="1" t="s">
        <v>1453</v>
      </c>
    </row>
    <row r="2924" customFormat="false" ht="12.75" hidden="false" customHeight="true" outlineLevel="0" collapsed="false">
      <c r="A2924" s="1" t="s">
        <v>1454</v>
      </c>
    </row>
    <row r="2925" customFormat="false" ht="12.75" hidden="false" customHeight="true" outlineLevel="0" collapsed="false">
      <c r="A2925" s="1" t="s">
        <v>1455</v>
      </c>
    </row>
    <row r="2926" customFormat="false" ht="12.75" hidden="false" customHeight="true" outlineLevel="0" collapsed="false"/>
    <row r="2927" customFormat="false" ht="12.75" hidden="false" customHeight="true" outlineLevel="0" collapsed="false">
      <c r="A2927" s="1" t="s">
        <v>1272</v>
      </c>
    </row>
    <row r="2928" customFormat="false" ht="12.75" hidden="false" customHeight="true" outlineLevel="0" collapsed="false">
      <c r="A2928" s="1" t="s">
        <v>1456</v>
      </c>
    </row>
    <row r="2929" customFormat="false" ht="12.75" hidden="false" customHeight="true" outlineLevel="0" collapsed="false">
      <c r="A2929" s="1" t="s">
        <v>2010</v>
      </c>
    </row>
    <row r="2930" customFormat="false" ht="12.75" hidden="false" customHeight="true" outlineLevel="0" collapsed="false">
      <c r="A2930" s="1" t="s">
        <v>1458</v>
      </c>
    </row>
    <row r="2931" customFormat="false" ht="12.75" hidden="false" customHeight="true" outlineLevel="0" collapsed="false">
      <c r="A2931" s="1" t="s">
        <v>1459</v>
      </c>
    </row>
    <row r="2932" customFormat="false" ht="12.75" hidden="false" customHeight="true" outlineLevel="0" collapsed="false">
      <c r="A2932" s="1" t="s">
        <v>2603</v>
      </c>
    </row>
    <row r="2933" customFormat="false" ht="12.75" hidden="false" customHeight="true" outlineLevel="0" collapsed="false">
      <c r="A2933" s="0" t="s">
        <v>2536</v>
      </c>
    </row>
    <row r="2934" customFormat="false" ht="12.75" hidden="false" customHeight="true" outlineLevel="0" collapsed="false">
      <c r="A2934" s="1" t="s">
        <v>2748</v>
      </c>
    </row>
    <row r="2935" customFormat="false" ht="12.75" hidden="false" customHeight="true" outlineLevel="0" collapsed="false">
      <c r="A2935" s="0" t="s">
        <v>2568</v>
      </c>
    </row>
    <row r="2936" customFormat="false" ht="12.75" hidden="false" customHeight="true" outlineLevel="0" collapsed="false">
      <c r="A2936" s="1" t="s">
        <v>2027</v>
      </c>
    </row>
    <row r="2937" customFormat="false" ht="12.75" hidden="false" customHeight="true" outlineLevel="0" collapsed="false">
      <c r="A2937" s="1" t="s">
        <v>2028</v>
      </c>
    </row>
    <row r="2938" customFormat="false" ht="12.75" hidden="false" customHeight="true" outlineLevel="0" collapsed="false"/>
    <row r="2939" customFormat="false" ht="12.75" hidden="false" customHeight="true" outlineLevel="0" collapsed="false">
      <c r="A2939" s="1" t="s">
        <v>1209</v>
      </c>
    </row>
    <row r="2940" customFormat="false" ht="12.75" hidden="false" customHeight="true" outlineLevel="0" collapsed="false">
      <c r="A2940" s="1" t="s">
        <v>2029</v>
      </c>
    </row>
    <row r="2941" customFormat="false" ht="12.75" hidden="false" customHeight="true" outlineLevel="0" collapsed="false">
      <c r="A2941" s="1" t="s">
        <v>2030</v>
      </c>
    </row>
    <row r="2942" customFormat="false" ht="12.75" hidden="false" customHeight="true" outlineLevel="0" collapsed="false">
      <c r="A2942" s="1" t="s">
        <v>2031</v>
      </c>
    </row>
    <row r="2943" customFormat="false" ht="12.75" hidden="false" customHeight="true" outlineLevel="0" collapsed="false">
      <c r="A2943" s="1" t="s">
        <v>2032</v>
      </c>
    </row>
    <row r="2944" customFormat="false" ht="12.75" hidden="false" customHeight="true" outlineLevel="0" collapsed="false"/>
    <row r="2945" customFormat="false" ht="12.75" hidden="false" customHeight="true" outlineLevel="0" collapsed="false">
      <c r="A2945" s="1" t="s">
        <v>1210</v>
      </c>
    </row>
    <row r="2946" customFormat="false" ht="12.75" hidden="false" customHeight="true" outlineLevel="0" collapsed="false">
      <c r="A2946" s="1" t="s">
        <v>2033</v>
      </c>
    </row>
    <row r="2947" customFormat="false" ht="12.75" hidden="false" customHeight="true" outlineLevel="0" collapsed="false">
      <c r="A2947" s="1" t="s">
        <v>2034</v>
      </c>
    </row>
    <row r="2948" customFormat="false" ht="12.75" hidden="false" customHeight="true" outlineLevel="0" collapsed="false"/>
    <row r="2949" customFormat="false" ht="12.75" hidden="false" customHeight="true" outlineLevel="0" collapsed="false">
      <c r="A2949" s="1" t="s">
        <v>1211</v>
      </c>
    </row>
    <row r="2950" customFormat="false" ht="12.75" hidden="false" customHeight="true" outlineLevel="0" collapsed="false">
      <c r="A2950" s="1" t="s">
        <v>2035</v>
      </c>
    </row>
    <row r="2951" customFormat="false" ht="12.75" hidden="false" customHeight="true" outlineLevel="0" collapsed="false">
      <c r="A2951" s="1" t="s">
        <v>2036</v>
      </c>
    </row>
    <row r="2952" customFormat="false" ht="12.75" hidden="false" customHeight="true" outlineLevel="0" collapsed="false"/>
    <row r="2953" customFormat="false" ht="12.75" hidden="false" customHeight="true" outlineLevel="0" collapsed="false">
      <c r="A2953" s="1" t="s">
        <v>1212</v>
      </c>
    </row>
    <row r="2954" customFormat="false" ht="12.75" hidden="false" customHeight="true" outlineLevel="0" collapsed="false">
      <c r="A2954" s="1" t="s">
        <v>2037</v>
      </c>
    </row>
    <row r="2955" customFormat="false" ht="12.75" hidden="false" customHeight="true" outlineLevel="0" collapsed="false">
      <c r="A2955" s="1" t="s">
        <v>2749</v>
      </c>
    </row>
    <row r="2956" customFormat="false" ht="12.75" hidden="false" customHeight="true" outlineLevel="0" collapsed="false">
      <c r="A2956" s="0" t="s">
        <v>2750</v>
      </c>
    </row>
    <row r="2957" customFormat="false" ht="12.75" hidden="false" customHeight="true" outlineLevel="0" collapsed="false">
      <c r="A2957" s="1" t="s">
        <v>2039</v>
      </c>
    </row>
    <row r="2958" customFormat="false" ht="12.75" hidden="false" customHeight="true" outlineLevel="0" collapsed="false">
      <c r="A2958" s="1" t="s">
        <v>2040</v>
      </c>
    </row>
    <row r="2959" customFormat="false" ht="12.75" hidden="false" customHeight="true" outlineLevel="0" collapsed="false">
      <c r="A2959" s="1" t="s">
        <v>2041</v>
      </c>
    </row>
    <row r="2960" customFormat="false" ht="12.75" hidden="false" customHeight="true" outlineLevel="0" collapsed="false">
      <c r="A2960" s="1" t="s">
        <v>2751</v>
      </c>
    </row>
    <row r="2961" customFormat="false" ht="12.75" hidden="false" customHeight="true" outlineLevel="0" collapsed="false">
      <c r="A2961" s="0" t="s">
        <v>2572</v>
      </c>
    </row>
    <row r="2962" customFormat="false" ht="12.75" hidden="false" customHeight="true" outlineLevel="0" collapsed="false">
      <c r="A2962" s="1" t="s">
        <v>1349</v>
      </c>
    </row>
    <row r="2963" customFormat="false" ht="12.75" hidden="false" customHeight="true" outlineLevel="0" collapsed="false">
      <c r="A2963" s="1" t="s">
        <v>1350</v>
      </c>
    </row>
    <row r="2964" customFormat="false" ht="12.75" hidden="false" customHeight="true" outlineLevel="0" collapsed="false"/>
    <row r="2965" customFormat="false" ht="12.75" hidden="false" customHeight="true" outlineLevel="0" collapsed="false">
      <c r="A2965" s="1" t="s">
        <v>1268</v>
      </c>
    </row>
    <row r="2966" customFormat="false" ht="12.75" hidden="false" customHeight="true" outlineLevel="0" collapsed="false">
      <c r="A2966" s="1" t="s">
        <v>2043</v>
      </c>
    </row>
    <row r="2967" customFormat="false" ht="12.75" hidden="false" customHeight="true" outlineLevel="0" collapsed="false">
      <c r="A2967" s="1" t="s">
        <v>2044</v>
      </c>
    </row>
    <row r="2968" customFormat="false" ht="12.75" hidden="false" customHeight="true" outlineLevel="0" collapsed="false">
      <c r="A2968" s="1" t="s">
        <v>2045</v>
      </c>
    </row>
    <row r="2969" customFormat="false" ht="12.75" hidden="false" customHeight="true" outlineLevel="0" collapsed="false"/>
    <row r="2970" customFormat="false" ht="12.75" hidden="false" customHeight="true" outlineLevel="0" collapsed="false">
      <c r="A2970" s="1" t="s">
        <v>1272</v>
      </c>
    </row>
    <row r="2971" customFormat="false" ht="12.75" hidden="false" customHeight="true" outlineLevel="0" collapsed="false">
      <c r="A2971" s="1" t="s">
        <v>2046</v>
      </c>
    </row>
    <row r="2972" customFormat="false" ht="12.75" hidden="false" customHeight="true" outlineLevel="0" collapsed="false">
      <c r="A2972" s="1" t="s">
        <v>1823</v>
      </c>
    </row>
    <row r="2973" customFormat="false" ht="12.75" hidden="false" customHeight="true" outlineLevel="0" collapsed="false">
      <c r="A2973" s="1" t="s">
        <v>2047</v>
      </c>
    </row>
    <row r="2974" customFormat="false" ht="12.75" hidden="false" customHeight="true" outlineLevel="0" collapsed="false">
      <c r="A2974" s="1" t="s">
        <v>1846</v>
      </c>
    </row>
    <row r="2975" customFormat="false" ht="12.75" hidden="false" customHeight="true" outlineLevel="0" collapsed="false">
      <c r="A2975" s="1" t="s">
        <v>2718</v>
      </c>
    </row>
    <row r="2976" customFormat="false" ht="12.75" hidden="false" customHeight="true" outlineLevel="0" collapsed="false">
      <c r="A2976" s="0" t="s">
        <v>2536</v>
      </c>
    </row>
    <row r="2977" customFormat="false" ht="12.75" hidden="false" customHeight="true" outlineLevel="0" collapsed="false">
      <c r="A2977" s="1" t="s">
        <v>2752</v>
      </c>
    </row>
    <row r="2978" customFormat="false" ht="12.75" hidden="false" customHeight="true" outlineLevel="0" collapsed="false">
      <c r="A2978" s="0" t="s">
        <v>2568</v>
      </c>
    </row>
    <row r="2979" customFormat="false" ht="12.75" hidden="false" customHeight="true" outlineLevel="0" collapsed="false">
      <c r="A2979" s="1" t="s">
        <v>2049</v>
      </c>
    </row>
    <row r="2980" customFormat="false" ht="12.75" hidden="false" customHeight="true" outlineLevel="0" collapsed="false">
      <c r="A2980" s="1" t="s">
        <v>2050</v>
      </c>
    </row>
    <row r="2981" customFormat="false" ht="12.75" hidden="false" customHeight="true" outlineLevel="0" collapsed="false"/>
    <row r="2982" customFormat="false" ht="12.75" hidden="false" customHeight="true" outlineLevel="0" collapsed="false">
      <c r="A2982" s="1" t="s">
        <v>1209</v>
      </c>
    </row>
    <row r="2983" customFormat="false" ht="12.75" hidden="false" customHeight="true" outlineLevel="0" collapsed="false">
      <c r="A2983" s="1" t="s">
        <v>2051</v>
      </c>
    </row>
    <row r="2984" customFormat="false" ht="12.75" hidden="false" customHeight="true" outlineLevel="0" collapsed="false">
      <c r="A2984" s="1" t="s">
        <v>2052</v>
      </c>
    </row>
    <row r="2985" customFormat="false" ht="12.75" hidden="false" customHeight="true" outlineLevel="0" collapsed="false">
      <c r="A2985" s="1" t="s">
        <v>1296</v>
      </c>
    </row>
    <row r="2986" customFormat="false" ht="12.75" hidden="false" customHeight="true" outlineLevel="0" collapsed="false">
      <c r="A2986" s="1" t="s">
        <v>2053</v>
      </c>
    </row>
    <row r="2987" customFormat="false" ht="12.75" hidden="false" customHeight="true" outlineLevel="0" collapsed="false"/>
    <row r="2988" customFormat="false" ht="12.75" hidden="false" customHeight="true" outlineLevel="0" collapsed="false">
      <c r="A2988" s="1" t="s">
        <v>1210</v>
      </c>
    </row>
    <row r="2989" customFormat="false" ht="12.75" hidden="false" customHeight="true" outlineLevel="0" collapsed="false">
      <c r="A2989" s="1" t="s">
        <v>2054</v>
      </c>
    </row>
    <row r="2990" customFormat="false" ht="12.75" hidden="false" customHeight="true" outlineLevel="0" collapsed="false">
      <c r="A2990" s="1" t="s">
        <v>2055</v>
      </c>
    </row>
    <row r="2991" customFormat="false" ht="12.75" hidden="false" customHeight="true" outlineLevel="0" collapsed="false"/>
    <row r="2992" customFormat="false" ht="12.75" hidden="false" customHeight="true" outlineLevel="0" collapsed="false">
      <c r="A2992" s="1" t="s">
        <v>1211</v>
      </c>
    </row>
    <row r="2993" customFormat="false" ht="12.75" hidden="false" customHeight="true" outlineLevel="0" collapsed="false">
      <c r="A2993" s="1" t="s">
        <v>2056</v>
      </c>
    </row>
    <row r="2994" customFormat="false" ht="12.75" hidden="false" customHeight="true" outlineLevel="0" collapsed="false">
      <c r="A2994" s="1" t="s">
        <v>2057</v>
      </c>
    </row>
    <row r="2995" customFormat="false" ht="12.75" hidden="false" customHeight="true" outlineLevel="0" collapsed="false"/>
    <row r="2996" customFormat="false" ht="12.75" hidden="false" customHeight="true" outlineLevel="0" collapsed="false">
      <c r="A2996" s="1" t="s">
        <v>1212</v>
      </c>
    </row>
    <row r="2997" customFormat="false" ht="12.75" hidden="false" customHeight="true" outlineLevel="0" collapsed="false">
      <c r="A2997" s="1" t="s">
        <v>2058</v>
      </c>
    </row>
    <row r="2998" customFormat="false" ht="12.75" hidden="false" customHeight="true" outlineLevel="0" collapsed="false">
      <c r="A2998" s="1" t="s">
        <v>2753</v>
      </c>
    </row>
    <row r="2999" customFormat="false" ht="12.75" hidden="false" customHeight="true" outlineLevel="0" collapsed="false">
      <c r="A2999" s="0" t="s">
        <v>2754</v>
      </c>
    </row>
    <row r="3000" customFormat="false" ht="12.75" hidden="false" customHeight="true" outlineLevel="0" collapsed="false">
      <c r="A3000" s="1" t="s">
        <v>2060</v>
      </c>
    </row>
    <row r="3001" customFormat="false" ht="12.75" hidden="false" customHeight="true" outlineLevel="0" collapsed="false">
      <c r="A3001" s="1" t="s">
        <v>2061</v>
      </c>
    </row>
    <row r="3002" customFormat="false" ht="12.75" hidden="false" customHeight="true" outlineLevel="0" collapsed="false">
      <c r="A3002" s="1" t="s">
        <v>1394</v>
      </c>
    </row>
    <row r="3003" customFormat="false" ht="12.75" hidden="false" customHeight="true" outlineLevel="0" collapsed="false">
      <c r="A3003" s="1" t="s">
        <v>2755</v>
      </c>
    </row>
    <row r="3004" customFormat="false" ht="12.75" hidden="false" customHeight="true" outlineLevel="0" collapsed="false">
      <c r="A3004" s="0" t="s">
        <v>2572</v>
      </c>
    </row>
    <row r="3005" customFormat="false" ht="12.75" hidden="false" customHeight="true" outlineLevel="0" collapsed="false">
      <c r="A3005" s="1" t="s">
        <v>2063</v>
      </c>
    </row>
    <row r="3006" customFormat="false" ht="12.75" hidden="false" customHeight="true" outlineLevel="0" collapsed="false">
      <c r="A3006" s="1" t="s">
        <v>2064</v>
      </c>
    </row>
    <row r="3007" customFormat="false" ht="12.75" hidden="false" customHeight="true" outlineLevel="0" collapsed="false"/>
    <row r="3008" customFormat="false" ht="12.75" hidden="false" customHeight="true" outlineLevel="0" collapsed="false">
      <c r="A3008" s="1" t="s">
        <v>1268</v>
      </c>
    </row>
    <row r="3009" customFormat="false" ht="12.75" hidden="false" customHeight="true" outlineLevel="0" collapsed="false">
      <c r="A3009" s="1" t="s">
        <v>2065</v>
      </c>
    </row>
    <row r="3010" customFormat="false" ht="12.75" hidden="false" customHeight="true" outlineLevel="0" collapsed="false">
      <c r="A3010" s="1" t="s">
        <v>2066</v>
      </c>
    </row>
    <row r="3011" customFormat="false" ht="12.75" hidden="false" customHeight="true" outlineLevel="0" collapsed="false">
      <c r="A3011" s="1" t="s">
        <v>2067</v>
      </c>
    </row>
    <row r="3012" customFormat="false" ht="12.75" hidden="false" customHeight="true" outlineLevel="0" collapsed="false"/>
    <row r="3013" customFormat="false" ht="12.75" hidden="false" customHeight="true" outlineLevel="0" collapsed="false">
      <c r="A3013" s="1" t="s">
        <v>1272</v>
      </c>
    </row>
    <row r="3014" customFormat="false" ht="12.75" hidden="false" customHeight="true" outlineLevel="0" collapsed="false">
      <c r="A3014" s="1" t="s">
        <v>2068</v>
      </c>
    </row>
    <row r="3015" customFormat="false" ht="12.75" hidden="false" customHeight="true" outlineLevel="0" collapsed="false">
      <c r="A3015" s="1" t="s">
        <v>1393</v>
      </c>
    </row>
    <row r="3016" customFormat="false" ht="12.75" hidden="false" customHeight="true" outlineLevel="0" collapsed="false">
      <c r="A3016" s="1" t="s">
        <v>2069</v>
      </c>
    </row>
    <row r="3017" customFormat="false" ht="12.75" hidden="false" customHeight="true" outlineLevel="0" collapsed="false">
      <c r="A3017" s="1" t="s">
        <v>2070</v>
      </c>
    </row>
    <row r="3018" customFormat="false" ht="12.75" hidden="false" customHeight="true" outlineLevel="0" collapsed="false">
      <c r="A3018" s="1" t="s">
        <v>2756</v>
      </c>
    </row>
    <row r="3019" customFormat="false" ht="12.75" hidden="false" customHeight="true" outlineLevel="0" collapsed="false">
      <c r="A3019" s="0" t="s">
        <v>2536</v>
      </c>
    </row>
    <row r="3020" customFormat="false" ht="12.75" hidden="false" customHeight="true" outlineLevel="0" collapsed="false">
      <c r="A3020" s="1" t="s">
        <v>2757</v>
      </c>
    </row>
    <row r="3021" customFormat="false" ht="12.75" hidden="false" customHeight="true" outlineLevel="0" collapsed="false">
      <c r="A3021" s="0" t="s">
        <v>2568</v>
      </c>
    </row>
    <row r="3022" customFormat="false" ht="12.75" hidden="false" customHeight="true" outlineLevel="0" collapsed="false">
      <c r="A3022" s="1" t="s">
        <v>2073</v>
      </c>
    </row>
    <row r="3023" customFormat="false" ht="12.75" hidden="false" customHeight="true" outlineLevel="0" collapsed="false">
      <c r="A3023" s="1" t="s">
        <v>2074</v>
      </c>
    </row>
    <row r="3024" customFormat="false" ht="12.75" hidden="false" customHeight="true" outlineLevel="0" collapsed="false"/>
    <row r="3025" customFormat="false" ht="12.75" hidden="false" customHeight="true" outlineLevel="0" collapsed="false">
      <c r="A3025" s="1" t="s">
        <v>1209</v>
      </c>
    </row>
    <row r="3026" customFormat="false" ht="12.75" hidden="false" customHeight="true" outlineLevel="0" collapsed="false">
      <c r="A3026" s="1" t="s">
        <v>2075</v>
      </c>
    </row>
    <row r="3027" customFormat="false" ht="12.75" hidden="false" customHeight="true" outlineLevel="0" collapsed="false">
      <c r="A3027" s="1" t="s">
        <v>2076</v>
      </c>
    </row>
    <row r="3028" customFormat="false" ht="12.75" hidden="false" customHeight="true" outlineLevel="0" collapsed="false">
      <c r="A3028" s="1" t="s">
        <v>2077</v>
      </c>
    </row>
    <row r="3029" customFormat="false" ht="12.75" hidden="false" customHeight="true" outlineLevel="0" collapsed="false">
      <c r="A3029" s="1" t="s">
        <v>2078</v>
      </c>
    </row>
    <row r="3030" customFormat="false" ht="12.75" hidden="false" customHeight="true" outlineLevel="0" collapsed="false"/>
    <row r="3031" customFormat="false" ht="12.75" hidden="false" customHeight="true" outlineLevel="0" collapsed="false">
      <c r="A3031" s="1" t="s">
        <v>1210</v>
      </c>
    </row>
    <row r="3032" customFormat="false" ht="12.75" hidden="false" customHeight="true" outlineLevel="0" collapsed="false">
      <c r="A3032" s="1" t="s">
        <v>2079</v>
      </c>
    </row>
    <row r="3033" customFormat="false" ht="12.75" hidden="false" customHeight="true" outlineLevel="0" collapsed="false">
      <c r="A3033" s="1" t="s">
        <v>2080</v>
      </c>
    </row>
    <row r="3034" customFormat="false" ht="12.75" hidden="false" customHeight="true" outlineLevel="0" collapsed="false"/>
    <row r="3035" customFormat="false" ht="12.75" hidden="false" customHeight="true" outlineLevel="0" collapsed="false">
      <c r="A3035" s="1" t="s">
        <v>1211</v>
      </c>
    </row>
    <row r="3036" customFormat="false" ht="12.75" hidden="false" customHeight="true" outlineLevel="0" collapsed="false">
      <c r="A3036" s="1" t="s">
        <v>2081</v>
      </c>
    </row>
    <row r="3037" customFormat="false" ht="12.75" hidden="false" customHeight="true" outlineLevel="0" collapsed="false">
      <c r="A3037" s="1" t="s">
        <v>2082</v>
      </c>
    </row>
    <row r="3038" customFormat="false" ht="12.75" hidden="false" customHeight="true" outlineLevel="0" collapsed="false"/>
    <row r="3039" customFormat="false" ht="12.75" hidden="false" customHeight="true" outlineLevel="0" collapsed="false">
      <c r="A3039" s="1" t="s">
        <v>1212</v>
      </c>
    </row>
    <row r="3040" customFormat="false" ht="12.75" hidden="false" customHeight="true" outlineLevel="0" collapsed="false">
      <c r="A3040" s="1" t="s">
        <v>2083</v>
      </c>
    </row>
    <row r="3041" customFormat="false" ht="12.75" hidden="false" customHeight="true" outlineLevel="0" collapsed="false">
      <c r="A3041" s="1" t="s">
        <v>2758</v>
      </c>
    </row>
    <row r="3042" customFormat="false" ht="12.75" hidden="false" customHeight="true" outlineLevel="0" collapsed="false">
      <c r="A3042" s="0" t="s">
        <v>2759</v>
      </c>
    </row>
    <row r="3043" customFormat="false" ht="12.75" hidden="false" customHeight="true" outlineLevel="0" collapsed="false">
      <c r="A3043" s="1" t="s">
        <v>2085</v>
      </c>
    </row>
    <row r="3044" customFormat="false" ht="12.75" hidden="false" customHeight="true" outlineLevel="0" collapsed="false">
      <c r="A3044" s="1" t="s">
        <v>2086</v>
      </c>
    </row>
    <row r="3045" customFormat="false" ht="12.75" hidden="false" customHeight="true" outlineLevel="0" collapsed="false">
      <c r="A3045" s="1" t="s">
        <v>2016</v>
      </c>
    </row>
    <row r="3046" customFormat="false" ht="12.75" hidden="false" customHeight="true" outlineLevel="0" collapsed="false">
      <c r="A3046" s="1" t="s">
        <v>2760</v>
      </c>
    </row>
    <row r="3047" customFormat="false" ht="12.75" hidden="false" customHeight="true" outlineLevel="0" collapsed="false">
      <c r="A3047" s="0" t="s">
        <v>2572</v>
      </c>
    </row>
    <row r="3048" customFormat="false" ht="12.75" hidden="false" customHeight="true" outlineLevel="0" collapsed="false">
      <c r="A3048" s="1" t="s">
        <v>1349</v>
      </c>
    </row>
    <row r="3049" customFormat="false" ht="12.75" hidden="false" customHeight="true" outlineLevel="0" collapsed="false">
      <c r="A3049" s="1" t="s">
        <v>1819</v>
      </c>
    </row>
    <row r="3050" customFormat="false" ht="12.75" hidden="false" customHeight="true" outlineLevel="0" collapsed="false"/>
    <row r="3051" customFormat="false" ht="12.75" hidden="false" customHeight="true" outlineLevel="0" collapsed="false">
      <c r="A3051" s="1" t="s">
        <v>1268</v>
      </c>
    </row>
    <row r="3052" customFormat="false" ht="12.75" hidden="false" customHeight="true" outlineLevel="0" collapsed="false">
      <c r="A3052" s="1" t="s">
        <v>1820</v>
      </c>
    </row>
    <row r="3053" customFormat="false" ht="12.75" hidden="false" customHeight="true" outlineLevel="0" collapsed="false">
      <c r="A3053" s="1" t="s">
        <v>1454</v>
      </c>
    </row>
    <row r="3054" customFormat="false" ht="12.75" hidden="false" customHeight="true" outlineLevel="0" collapsed="false">
      <c r="A3054" s="1" t="s">
        <v>1821</v>
      </c>
    </row>
    <row r="3055" customFormat="false" ht="12.75" hidden="false" customHeight="true" outlineLevel="0" collapsed="false"/>
    <row r="3056" customFormat="false" ht="12.75" hidden="false" customHeight="true" outlineLevel="0" collapsed="false">
      <c r="A3056" s="1" t="s">
        <v>1272</v>
      </c>
    </row>
    <row r="3057" customFormat="false" ht="12.75" hidden="false" customHeight="true" outlineLevel="0" collapsed="false">
      <c r="A3057" s="1" t="s">
        <v>1822</v>
      </c>
    </row>
    <row r="3058" customFormat="false" ht="12.75" hidden="false" customHeight="true" outlineLevel="0" collapsed="false">
      <c r="A3058" s="1" t="s">
        <v>1823</v>
      </c>
    </row>
    <row r="3059" customFormat="false" ht="12.75" hidden="false" customHeight="true" outlineLevel="0" collapsed="false">
      <c r="A3059" s="1" t="s">
        <v>1824</v>
      </c>
    </row>
    <row r="3060" customFormat="false" ht="12.75" hidden="false" customHeight="true" outlineLevel="0" collapsed="false">
      <c r="A3060" s="1" t="s">
        <v>1825</v>
      </c>
    </row>
    <row r="3061" customFormat="false" ht="12.75" hidden="false" customHeight="true" outlineLevel="0" collapsed="false">
      <c r="A3061" s="1" t="s">
        <v>2712</v>
      </c>
    </row>
    <row r="3062" customFormat="false" ht="12.75" hidden="false" customHeight="true" outlineLevel="0" collapsed="false">
      <c r="A3062" s="0" t="s">
        <v>2536</v>
      </c>
    </row>
    <row r="3063" customFormat="false" ht="12.75" hidden="false" customHeight="true" outlineLevel="0" collapsed="false">
      <c r="A3063" s="1" t="s">
        <v>2761</v>
      </c>
    </row>
    <row r="3064" customFormat="false" ht="12.75" hidden="false" customHeight="true" outlineLevel="0" collapsed="false">
      <c r="A3064" s="0" t="s">
        <v>2568</v>
      </c>
    </row>
    <row r="3065" customFormat="false" ht="12.75" hidden="false" customHeight="true" outlineLevel="0" collapsed="false">
      <c r="A3065" s="1" t="s">
        <v>2089</v>
      </c>
    </row>
    <row r="3066" customFormat="false" ht="12.75" hidden="false" customHeight="true" outlineLevel="0" collapsed="false">
      <c r="A3066" s="1" t="s">
        <v>2090</v>
      </c>
    </row>
    <row r="3067" customFormat="false" ht="12.75" hidden="false" customHeight="true" outlineLevel="0" collapsed="false"/>
    <row r="3068" customFormat="false" ht="12.75" hidden="false" customHeight="true" outlineLevel="0" collapsed="false">
      <c r="A3068" s="1" t="s">
        <v>1209</v>
      </c>
    </row>
    <row r="3069" customFormat="false" ht="12.75" hidden="false" customHeight="true" outlineLevel="0" collapsed="false">
      <c r="A3069" s="1" t="s">
        <v>2091</v>
      </c>
    </row>
    <row r="3070" customFormat="false" ht="12.75" hidden="false" customHeight="true" outlineLevel="0" collapsed="false">
      <c r="A3070" s="1" t="s">
        <v>1829</v>
      </c>
    </row>
    <row r="3071" customFormat="false" ht="12.75" hidden="false" customHeight="true" outlineLevel="0" collapsed="false">
      <c r="A3071" s="1" t="s">
        <v>2092</v>
      </c>
    </row>
    <row r="3072" customFormat="false" ht="12.75" hidden="false" customHeight="true" outlineLevel="0" collapsed="false">
      <c r="A3072" s="1" t="s">
        <v>2093</v>
      </c>
    </row>
    <row r="3073" customFormat="false" ht="12.75" hidden="false" customHeight="true" outlineLevel="0" collapsed="false"/>
    <row r="3074" customFormat="false" ht="12.75" hidden="false" customHeight="true" outlineLevel="0" collapsed="false">
      <c r="A3074" s="1" t="s">
        <v>1210</v>
      </c>
    </row>
    <row r="3075" customFormat="false" ht="12.75" hidden="false" customHeight="true" outlineLevel="0" collapsed="false">
      <c r="A3075" s="1" t="s">
        <v>2079</v>
      </c>
    </row>
    <row r="3076" customFormat="false" ht="12.75" hidden="false" customHeight="true" outlineLevel="0" collapsed="false">
      <c r="A3076" s="1" t="s">
        <v>2080</v>
      </c>
    </row>
    <row r="3077" customFormat="false" ht="12.75" hidden="false" customHeight="true" outlineLevel="0" collapsed="false"/>
    <row r="3078" customFormat="false" ht="12.75" hidden="false" customHeight="true" outlineLevel="0" collapsed="false">
      <c r="A3078" s="1" t="s">
        <v>1211</v>
      </c>
    </row>
    <row r="3079" customFormat="false" ht="12.75" hidden="false" customHeight="true" outlineLevel="0" collapsed="false">
      <c r="A3079" s="1" t="s">
        <v>2081</v>
      </c>
    </row>
    <row r="3080" customFormat="false" ht="12.75" hidden="false" customHeight="true" outlineLevel="0" collapsed="false">
      <c r="A3080" s="1" t="s">
        <v>2082</v>
      </c>
    </row>
    <row r="3081" customFormat="false" ht="12.75" hidden="false" customHeight="true" outlineLevel="0" collapsed="false"/>
    <row r="3082" customFormat="false" ht="12.75" hidden="false" customHeight="true" outlineLevel="0" collapsed="false">
      <c r="A3082" s="1" t="s">
        <v>1212</v>
      </c>
    </row>
    <row r="3083" customFormat="false" ht="12.75" hidden="false" customHeight="true" outlineLevel="0" collapsed="false">
      <c r="A3083" s="1" t="s">
        <v>2094</v>
      </c>
    </row>
    <row r="3084" customFormat="false" ht="12.75" hidden="false" customHeight="true" outlineLevel="0" collapsed="false">
      <c r="A3084" s="1" t="s">
        <v>2762</v>
      </c>
    </row>
    <row r="3085" customFormat="false" ht="12.75" hidden="false" customHeight="true" outlineLevel="0" collapsed="false">
      <c r="A3085" s="0" t="s">
        <v>2759</v>
      </c>
    </row>
    <row r="3086" customFormat="false" ht="12.75" hidden="false" customHeight="true" outlineLevel="0" collapsed="false">
      <c r="A3086" s="1" t="s">
        <v>2085</v>
      </c>
    </row>
    <row r="3087" customFormat="false" ht="12.75" hidden="false" customHeight="true" outlineLevel="0" collapsed="false">
      <c r="A3087" s="1" t="s">
        <v>2086</v>
      </c>
    </row>
    <row r="3088" customFormat="false" ht="12.75" hidden="false" customHeight="true" outlineLevel="0" collapsed="false">
      <c r="A3088" s="1" t="s">
        <v>2016</v>
      </c>
    </row>
    <row r="3089" customFormat="false" ht="12.75" hidden="false" customHeight="true" outlineLevel="0" collapsed="false">
      <c r="A3089" s="1" t="s">
        <v>2760</v>
      </c>
    </row>
    <row r="3090" customFormat="false" ht="12.75" hidden="false" customHeight="true" outlineLevel="0" collapsed="false">
      <c r="A3090" s="0" t="s">
        <v>2572</v>
      </c>
    </row>
    <row r="3091" customFormat="false" ht="12.75" hidden="false" customHeight="true" outlineLevel="0" collapsed="false">
      <c r="A3091" s="1" t="s">
        <v>1349</v>
      </c>
    </row>
    <row r="3092" customFormat="false" ht="12.75" hidden="false" customHeight="true" outlineLevel="0" collapsed="false">
      <c r="A3092" s="1" t="s">
        <v>1819</v>
      </c>
    </row>
    <row r="3093" customFormat="false" ht="12.75" hidden="false" customHeight="true" outlineLevel="0" collapsed="false"/>
    <row r="3094" customFormat="false" ht="12.75" hidden="false" customHeight="true" outlineLevel="0" collapsed="false">
      <c r="A3094" s="1" t="s">
        <v>1268</v>
      </c>
    </row>
    <row r="3095" customFormat="false" ht="12.75" hidden="false" customHeight="true" outlineLevel="0" collapsed="false">
      <c r="A3095" s="1" t="s">
        <v>1820</v>
      </c>
    </row>
    <row r="3096" customFormat="false" ht="12.75" hidden="false" customHeight="true" outlineLevel="0" collapsed="false">
      <c r="A3096" s="1" t="s">
        <v>1454</v>
      </c>
    </row>
    <row r="3097" customFormat="false" ht="12.75" hidden="false" customHeight="true" outlineLevel="0" collapsed="false">
      <c r="A3097" s="1" t="s">
        <v>1821</v>
      </c>
    </row>
    <row r="3098" customFormat="false" ht="12.75" hidden="false" customHeight="true" outlineLevel="0" collapsed="false"/>
    <row r="3099" customFormat="false" ht="12.75" hidden="false" customHeight="true" outlineLevel="0" collapsed="false">
      <c r="A3099" s="1" t="s">
        <v>1272</v>
      </c>
    </row>
    <row r="3100" customFormat="false" ht="12.75" hidden="false" customHeight="true" outlineLevel="0" collapsed="false">
      <c r="A3100" s="1" t="s">
        <v>1822</v>
      </c>
    </row>
    <row r="3101" customFormat="false" ht="12.75" hidden="false" customHeight="true" outlineLevel="0" collapsed="false">
      <c r="A3101" s="1" t="s">
        <v>1823</v>
      </c>
    </row>
    <row r="3102" customFormat="false" ht="12.75" hidden="false" customHeight="true" outlineLevel="0" collapsed="false">
      <c r="A3102" s="1" t="s">
        <v>1824</v>
      </c>
    </row>
    <row r="3103" customFormat="false" ht="12.75" hidden="false" customHeight="true" outlineLevel="0" collapsed="false">
      <c r="A3103" s="1" t="s">
        <v>1825</v>
      </c>
    </row>
    <row r="3104" customFormat="false" ht="12.75" hidden="false" customHeight="true" outlineLevel="0" collapsed="false">
      <c r="A3104" s="1" t="s">
        <v>2712</v>
      </c>
    </row>
    <row r="3105" customFormat="false" ht="12.75" hidden="false" customHeight="true" outlineLevel="0" collapsed="false">
      <c r="A3105" s="0" t="s">
        <v>2536</v>
      </c>
    </row>
    <row r="3106" customFormat="false" ht="12.75" hidden="false" customHeight="true" outlineLevel="0" collapsed="false">
      <c r="A3106" s="1" t="s">
        <v>2763</v>
      </c>
    </row>
    <row r="3107" customFormat="false" ht="12.75" hidden="false" customHeight="true" outlineLevel="0" collapsed="false">
      <c r="A3107" s="0" t="s">
        <v>2764</v>
      </c>
    </row>
    <row r="3108" customFormat="false" ht="12.75" hidden="false" customHeight="true" outlineLevel="0" collapsed="false">
      <c r="A3108" s="1" t="s">
        <v>1900</v>
      </c>
    </row>
    <row r="3109" customFormat="false" ht="12.75" hidden="false" customHeight="true" outlineLevel="0" collapsed="false">
      <c r="A3109" s="1" t="s">
        <v>1449</v>
      </c>
    </row>
    <row r="3110" customFormat="false" ht="12.75" hidden="false" customHeight="true" outlineLevel="0" collapsed="false">
      <c r="A3110" s="1" t="s">
        <v>1901</v>
      </c>
    </row>
    <row r="3111" customFormat="false" ht="12.75" hidden="false" customHeight="true" outlineLevel="0" collapsed="false">
      <c r="A3111" s="1" t="s">
        <v>2730</v>
      </c>
    </row>
    <row r="3112" customFormat="false" ht="12.75" hidden="false" customHeight="true" outlineLevel="0" collapsed="false">
      <c r="A3112" s="0" t="s">
        <v>2551</v>
      </c>
    </row>
    <row r="3113" customFormat="false" ht="12.75" hidden="false" customHeight="true" outlineLevel="0" collapsed="false">
      <c r="A3113" s="1" t="s">
        <v>1349</v>
      </c>
    </row>
    <row r="3114" customFormat="false" ht="12.75" hidden="false" customHeight="true" outlineLevel="0" collapsed="false">
      <c r="A3114" s="1" t="s">
        <v>1819</v>
      </c>
    </row>
    <row r="3115" customFormat="false" ht="12.75" hidden="false" customHeight="true" outlineLevel="0" collapsed="false"/>
    <row r="3116" customFormat="false" ht="12.75" hidden="false" customHeight="true" outlineLevel="0" collapsed="false">
      <c r="A3116" s="1" t="s">
        <v>1268</v>
      </c>
    </row>
    <row r="3117" customFormat="false" ht="12.75" hidden="false" customHeight="true" outlineLevel="0" collapsed="false">
      <c r="A3117" s="1" t="s">
        <v>1903</v>
      </c>
    </row>
    <row r="3118" customFormat="false" ht="12.75" hidden="false" customHeight="true" outlineLevel="0" collapsed="false">
      <c r="A3118" s="1" t="s">
        <v>1454</v>
      </c>
    </row>
    <row r="3119" customFormat="false" ht="12.75" hidden="false" customHeight="true" outlineLevel="0" collapsed="false">
      <c r="A3119" s="1" t="s">
        <v>1925</v>
      </c>
    </row>
    <row r="3120" customFormat="false" ht="12.75" hidden="false" customHeight="true" outlineLevel="0" collapsed="false"/>
    <row r="3121" customFormat="false" ht="12.75" hidden="false" customHeight="true" outlineLevel="0" collapsed="false">
      <c r="A3121" s="1" t="s">
        <v>1272</v>
      </c>
    </row>
    <row r="3122" customFormat="false" ht="12.75" hidden="false" customHeight="true" outlineLevel="0" collapsed="false">
      <c r="A3122" s="1" t="s">
        <v>1905</v>
      </c>
    </row>
    <row r="3123" customFormat="false" ht="12.75" hidden="false" customHeight="true" outlineLevel="0" collapsed="false">
      <c r="A3123" s="1" t="s">
        <v>1823</v>
      </c>
    </row>
    <row r="3124" customFormat="false" ht="12.75" hidden="false" customHeight="true" outlineLevel="0" collapsed="false">
      <c r="A3124" s="1" t="s">
        <v>1926</v>
      </c>
    </row>
    <row r="3125" customFormat="false" ht="12.75" hidden="false" customHeight="true" outlineLevel="0" collapsed="false">
      <c r="A3125" s="1" t="s">
        <v>1825</v>
      </c>
    </row>
    <row r="3126" customFormat="false" ht="12.75" hidden="false" customHeight="true" outlineLevel="0" collapsed="false">
      <c r="A3126" s="1" t="s">
        <v>2765</v>
      </c>
    </row>
    <row r="3127" customFormat="false" ht="12.75" hidden="false" customHeight="true" outlineLevel="0" collapsed="false">
      <c r="A3127" s="0" t="s">
        <v>2536</v>
      </c>
    </row>
    <row r="3128" customFormat="false" ht="12.75" hidden="false" customHeight="true" outlineLevel="0" collapsed="false">
      <c r="A3128" s="1" t="s">
        <v>2766</v>
      </c>
    </row>
    <row r="3129" customFormat="false" ht="12.75" hidden="false" customHeight="true" outlineLevel="0" collapsed="false">
      <c r="A3129" s="0" t="s">
        <v>2767</v>
      </c>
    </row>
    <row r="3130" customFormat="false" ht="12.75" hidden="false" customHeight="true" outlineLevel="0" collapsed="false">
      <c r="A3130" s="1" t="s">
        <v>1842</v>
      </c>
    </row>
    <row r="3131" customFormat="false" ht="12.75" hidden="false" customHeight="true" outlineLevel="0" collapsed="false">
      <c r="A3131" s="1" t="s">
        <v>1347</v>
      </c>
    </row>
    <row r="3132" customFormat="false" ht="12.75" hidden="false" customHeight="true" outlineLevel="0" collapsed="false">
      <c r="A3132" s="1" t="s">
        <v>1346</v>
      </c>
    </row>
    <row r="3133" customFormat="false" ht="12.75" hidden="false" customHeight="true" outlineLevel="0" collapsed="false">
      <c r="A3133" s="1" t="s">
        <v>2768</v>
      </c>
    </row>
    <row r="3134" customFormat="false" ht="12.75" hidden="false" customHeight="true" outlineLevel="0" collapsed="false">
      <c r="A3134" s="0" t="s">
        <v>2551</v>
      </c>
    </row>
    <row r="3135" customFormat="false" ht="12.75" hidden="false" customHeight="true" outlineLevel="0" collapsed="false">
      <c r="A3135" s="1" t="s">
        <v>1349</v>
      </c>
    </row>
    <row r="3136" customFormat="false" ht="12.75" hidden="false" customHeight="true" outlineLevel="0" collapsed="false">
      <c r="A3136" s="1" t="s">
        <v>1350</v>
      </c>
    </row>
    <row r="3137" customFormat="false" ht="12.75" hidden="false" customHeight="true" outlineLevel="0" collapsed="false"/>
    <row r="3138" customFormat="false" ht="12.75" hidden="false" customHeight="true" outlineLevel="0" collapsed="false">
      <c r="A3138" s="1" t="s">
        <v>1268</v>
      </c>
    </row>
    <row r="3139" customFormat="false" ht="12.75" hidden="false" customHeight="true" outlineLevel="0" collapsed="false">
      <c r="A3139" s="1" t="s">
        <v>2043</v>
      </c>
    </row>
    <row r="3140" customFormat="false" ht="12.75" hidden="false" customHeight="true" outlineLevel="0" collapsed="false">
      <c r="A3140" s="1" t="s">
        <v>2044</v>
      </c>
    </row>
    <row r="3141" customFormat="false" ht="12.75" hidden="false" customHeight="true" outlineLevel="0" collapsed="false">
      <c r="A3141" s="1" t="s">
        <v>2045</v>
      </c>
    </row>
    <row r="3142" customFormat="false" ht="12.75" hidden="false" customHeight="true" outlineLevel="0" collapsed="false"/>
    <row r="3143" customFormat="false" ht="12.75" hidden="false" customHeight="true" outlineLevel="0" collapsed="false">
      <c r="A3143" s="1" t="s">
        <v>1272</v>
      </c>
    </row>
    <row r="3144" customFormat="false" ht="12.75" hidden="false" customHeight="true" outlineLevel="0" collapsed="false">
      <c r="A3144" s="1" t="s">
        <v>2046</v>
      </c>
    </row>
    <row r="3145" customFormat="false" ht="12.75" hidden="false" customHeight="true" outlineLevel="0" collapsed="false">
      <c r="A3145" s="1" t="s">
        <v>1823</v>
      </c>
    </row>
    <row r="3146" customFormat="false" ht="12.75" hidden="false" customHeight="true" outlineLevel="0" collapsed="false">
      <c r="A3146" s="1" t="s">
        <v>2047</v>
      </c>
    </row>
    <row r="3147" customFormat="false" ht="12.75" hidden="false" customHeight="true" outlineLevel="0" collapsed="false">
      <c r="A3147" s="1" t="s">
        <v>1846</v>
      </c>
    </row>
    <row r="3148" customFormat="false" ht="12.75" hidden="false" customHeight="true" outlineLevel="0" collapsed="false">
      <c r="A3148" s="1" t="s">
        <v>2718</v>
      </c>
    </row>
    <row r="3149" customFormat="false" ht="12.75" hidden="false" customHeight="true" outlineLevel="0" collapsed="false">
      <c r="A3149" s="0" t="s">
        <v>2536</v>
      </c>
    </row>
    <row r="3150" customFormat="false" ht="12.75" hidden="false" customHeight="true" outlineLevel="0" collapsed="false">
      <c r="A3150" s="1" t="s">
        <v>2769</v>
      </c>
    </row>
    <row r="3151" customFormat="false" ht="12.75" hidden="false" customHeight="true" outlineLevel="0" collapsed="false">
      <c r="A3151" s="0" t="s">
        <v>2764</v>
      </c>
    </row>
    <row r="3152" customFormat="false" ht="12.75" hidden="false" customHeight="true" outlineLevel="0" collapsed="false">
      <c r="A3152" s="1" t="s">
        <v>1817</v>
      </c>
    </row>
    <row r="3153" customFormat="false" ht="12.75" hidden="false" customHeight="true" outlineLevel="0" collapsed="false">
      <c r="A3153" s="1" t="s">
        <v>1818</v>
      </c>
    </row>
    <row r="3154" customFormat="false" ht="12.75" hidden="false" customHeight="true" outlineLevel="0" collapsed="false">
      <c r="A3154" s="1" t="s">
        <v>1347</v>
      </c>
    </row>
    <row r="3155" customFormat="false" ht="12.75" hidden="false" customHeight="true" outlineLevel="0" collapsed="false">
      <c r="A3155" s="1" t="s">
        <v>2571</v>
      </c>
    </row>
    <row r="3156" customFormat="false" ht="12.75" hidden="false" customHeight="true" outlineLevel="0" collapsed="false">
      <c r="A3156" s="0" t="s">
        <v>2551</v>
      </c>
    </row>
    <row r="3157" customFormat="false" ht="12.75" hidden="false" customHeight="true" outlineLevel="0" collapsed="false">
      <c r="A3157" s="1" t="s">
        <v>1349</v>
      </c>
    </row>
    <row r="3158" customFormat="false" ht="12.75" hidden="false" customHeight="true" outlineLevel="0" collapsed="false">
      <c r="A3158" s="1" t="s">
        <v>1819</v>
      </c>
    </row>
    <row r="3159" customFormat="false" ht="12.75" hidden="false" customHeight="true" outlineLevel="0" collapsed="false"/>
    <row r="3160" customFormat="false" ht="12.75" hidden="false" customHeight="true" outlineLevel="0" collapsed="false">
      <c r="A3160" s="1" t="s">
        <v>1268</v>
      </c>
    </row>
    <row r="3161" customFormat="false" ht="12.75" hidden="false" customHeight="true" outlineLevel="0" collapsed="false">
      <c r="A3161" s="1" t="s">
        <v>1820</v>
      </c>
    </row>
    <row r="3162" customFormat="false" ht="12.75" hidden="false" customHeight="true" outlineLevel="0" collapsed="false">
      <c r="A3162" s="1" t="s">
        <v>1454</v>
      </c>
    </row>
    <row r="3163" customFormat="false" ht="12.75" hidden="false" customHeight="true" outlineLevel="0" collapsed="false">
      <c r="A3163" s="1" t="s">
        <v>1821</v>
      </c>
    </row>
    <row r="3164" customFormat="false" ht="12.75" hidden="false" customHeight="true" outlineLevel="0" collapsed="false"/>
    <row r="3165" customFormat="false" ht="12.75" hidden="false" customHeight="true" outlineLevel="0" collapsed="false">
      <c r="A3165" s="1" t="s">
        <v>1272</v>
      </c>
    </row>
    <row r="3166" customFormat="false" ht="12.75" hidden="false" customHeight="true" outlineLevel="0" collapsed="false">
      <c r="A3166" s="1" t="s">
        <v>1822</v>
      </c>
    </row>
    <row r="3167" customFormat="false" ht="12.75" hidden="false" customHeight="true" outlineLevel="0" collapsed="false">
      <c r="A3167" s="1" t="s">
        <v>1823</v>
      </c>
    </row>
    <row r="3168" customFormat="false" ht="12.75" hidden="false" customHeight="true" outlineLevel="0" collapsed="false">
      <c r="A3168" s="1" t="s">
        <v>1824</v>
      </c>
    </row>
    <row r="3169" customFormat="false" ht="12.75" hidden="false" customHeight="true" outlineLevel="0" collapsed="false">
      <c r="A3169" s="1" t="s">
        <v>1825</v>
      </c>
    </row>
    <row r="3170" customFormat="false" ht="12.75" hidden="false" customHeight="true" outlineLevel="0" collapsed="false">
      <c r="A3170" s="1" t="s">
        <v>2712</v>
      </c>
    </row>
    <row r="3171" customFormat="false" ht="12.75" hidden="false" customHeight="true" outlineLevel="0" collapsed="false">
      <c r="A3171" s="0" t="s">
        <v>2536</v>
      </c>
    </row>
    <row r="3172" customFormat="false" ht="12.75" hidden="false" customHeight="true" outlineLevel="0" collapsed="false">
      <c r="A3172" s="1" t="s">
        <v>2770</v>
      </c>
    </row>
    <row r="3173" customFormat="false" ht="12.75" hidden="false" customHeight="true" outlineLevel="0" collapsed="false">
      <c r="A3173" s="0" t="s">
        <v>2764</v>
      </c>
    </row>
    <row r="3174" customFormat="false" ht="12.75" hidden="false" customHeight="true" outlineLevel="0" collapsed="false">
      <c r="A3174" s="1" t="s">
        <v>1900</v>
      </c>
    </row>
    <row r="3175" customFormat="false" ht="12.75" hidden="false" customHeight="true" outlineLevel="0" collapsed="false">
      <c r="A3175" s="1" t="s">
        <v>1449</v>
      </c>
    </row>
    <row r="3176" customFormat="false" ht="12.75" hidden="false" customHeight="true" outlineLevel="0" collapsed="false">
      <c r="A3176" s="1" t="s">
        <v>1901</v>
      </c>
    </row>
    <row r="3177" customFormat="false" ht="12.75" hidden="false" customHeight="true" outlineLevel="0" collapsed="false">
      <c r="A3177" s="1" t="s">
        <v>2730</v>
      </c>
    </row>
    <row r="3178" customFormat="false" ht="12.75" hidden="false" customHeight="true" outlineLevel="0" collapsed="false">
      <c r="A3178" s="0" t="s">
        <v>2551</v>
      </c>
    </row>
    <row r="3179" customFormat="false" ht="12.75" hidden="false" customHeight="true" outlineLevel="0" collapsed="false">
      <c r="A3179" s="1" t="s">
        <v>1349</v>
      </c>
    </row>
    <row r="3180" customFormat="false" ht="12.75" hidden="false" customHeight="true" outlineLevel="0" collapsed="false">
      <c r="A3180" s="1" t="s">
        <v>1819</v>
      </c>
    </row>
    <row r="3181" customFormat="false" ht="12.75" hidden="false" customHeight="true" outlineLevel="0" collapsed="false"/>
    <row r="3182" customFormat="false" ht="12.75" hidden="false" customHeight="true" outlineLevel="0" collapsed="false">
      <c r="A3182" s="1" t="s">
        <v>1268</v>
      </c>
    </row>
    <row r="3183" customFormat="false" ht="12.75" hidden="false" customHeight="true" outlineLevel="0" collapsed="false">
      <c r="A3183" s="1" t="s">
        <v>1903</v>
      </c>
    </row>
    <row r="3184" customFormat="false" ht="12.75" hidden="false" customHeight="true" outlineLevel="0" collapsed="false">
      <c r="A3184" s="1" t="s">
        <v>1924</v>
      </c>
    </row>
    <row r="3185" customFormat="false" ht="12.75" hidden="false" customHeight="true" outlineLevel="0" collapsed="false">
      <c r="A3185" s="1" t="s">
        <v>1925</v>
      </c>
    </row>
    <row r="3186" customFormat="false" ht="12.75" hidden="false" customHeight="true" outlineLevel="0" collapsed="false"/>
    <row r="3187" customFormat="false" ht="12.75" hidden="false" customHeight="true" outlineLevel="0" collapsed="false">
      <c r="A3187" s="1" t="s">
        <v>1272</v>
      </c>
    </row>
    <row r="3188" customFormat="false" ht="12.75" hidden="false" customHeight="true" outlineLevel="0" collapsed="false">
      <c r="A3188" s="1" t="s">
        <v>1453</v>
      </c>
    </row>
    <row r="3189" customFormat="false" ht="12.75" hidden="false" customHeight="true" outlineLevel="0" collapsed="false">
      <c r="A3189" s="1" t="s">
        <v>1823</v>
      </c>
    </row>
    <row r="3190" customFormat="false" ht="12.75" hidden="false" customHeight="true" outlineLevel="0" collapsed="false">
      <c r="A3190" s="1" t="s">
        <v>1926</v>
      </c>
    </row>
    <row r="3191" customFormat="false" ht="15" hidden="false" customHeight="false" outlineLevel="0" collapsed="false">
      <c r="A3191" s="1" t="s">
        <v>1927</v>
      </c>
    </row>
    <row r="3192" customFormat="false" ht="15" hidden="false" customHeight="false" outlineLevel="0" collapsed="false">
      <c r="A3192" s="1" t="s">
        <v>1928</v>
      </c>
    </row>
    <row r="3193" customFormat="false" ht="15" hidden="false" customHeight="false" outlineLevel="0" collapsed="false">
      <c r="A3193" s="1" t="s">
        <v>2104</v>
      </c>
    </row>
    <row r="3194" customFormat="false" ht="15" hidden="false" customHeight="false" outlineLevel="0" collapsed="false">
      <c r="A3194" s="1" t="s">
        <v>1842</v>
      </c>
    </row>
    <row r="3195" customFormat="false" ht="15" hidden="false" customHeight="false" outlineLevel="0" collapsed="false">
      <c r="A3195" s="1" t="s">
        <v>2105</v>
      </c>
    </row>
    <row r="3196" customFormat="false" ht="15" hidden="false" customHeight="false" outlineLevel="0" collapsed="false">
      <c r="A3196" s="1" t="s">
        <v>1347</v>
      </c>
    </row>
    <row r="3197" customFormat="false" ht="15" hidden="false" customHeight="false" outlineLevel="0" collapsed="false">
      <c r="A3197" s="1" t="s">
        <v>2106</v>
      </c>
    </row>
    <row r="3198" customFormat="false" ht="15" hidden="false" customHeight="false" outlineLevel="0" collapsed="false">
      <c r="A3198" s="1" t="s">
        <v>1349</v>
      </c>
    </row>
    <row r="3199" customFormat="false" ht="15" hidden="false" customHeight="false" outlineLevel="0" collapsed="false">
      <c r="A3199" s="1" t="s">
        <v>2107</v>
      </c>
    </row>
    <row r="3200" customFormat="false" ht="15" hidden="false" customHeight="false" outlineLevel="0" collapsed="false"/>
    <row r="3201" customFormat="false" ht="15" hidden="false" customHeight="false" outlineLevel="0" collapsed="false">
      <c r="A3201" s="1" t="s">
        <v>1268</v>
      </c>
    </row>
    <row r="3202" customFormat="false" ht="15" hidden="false" customHeight="false" outlineLevel="0" collapsed="false">
      <c r="A3202" s="1" t="s">
        <v>2043</v>
      </c>
    </row>
    <row r="3203" customFormat="false" ht="15" hidden="false" customHeight="false" outlineLevel="0" collapsed="false">
      <c r="A3203" s="1" t="s">
        <v>2044</v>
      </c>
    </row>
    <row r="3204" customFormat="false" ht="15" hidden="false" customHeight="false" outlineLevel="0" collapsed="false">
      <c r="A3204" s="1" t="s">
        <v>2108</v>
      </c>
    </row>
    <row r="3205" customFormat="false" ht="15" hidden="false" customHeight="false" outlineLevel="0" collapsed="false"/>
    <row r="3206" customFormat="false" ht="15" hidden="false" customHeight="false" outlineLevel="0" collapsed="false">
      <c r="A3206" s="1" t="s">
        <v>1272</v>
      </c>
    </row>
    <row r="3207" customFormat="false" ht="15" hidden="false" customHeight="false" outlineLevel="0" collapsed="false">
      <c r="A3207" s="1" t="s">
        <v>1823</v>
      </c>
    </row>
    <row r="3208" customFormat="false" ht="15" hidden="false" customHeight="false" outlineLevel="0" collapsed="false">
      <c r="A3208" s="1" t="s">
        <v>2109</v>
      </c>
    </row>
    <row r="3209" customFormat="false" ht="15" hidden="false" customHeight="false" outlineLevel="0" collapsed="false">
      <c r="A3209" s="1" t="s">
        <v>2110</v>
      </c>
    </row>
    <row r="3210" customFormat="false" ht="15" hidden="false" customHeight="false" outlineLevel="0" collapsed="false">
      <c r="A3210" s="1" t="s">
        <v>2111</v>
      </c>
    </row>
    <row r="3211" customFormat="false" ht="15" hidden="false" customHeight="false" outlineLevel="0" collapsed="false">
      <c r="A3211" s="1" t="s">
        <v>2112</v>
      </c>
    </row>
    <row r="3212" customFormat="false" ht="15" hidden="false" customHeight="false" outlineLevel="0" collapsed="false">
      <c r="A3212" s="1" t="s">
        <v>2113</v>
      </c>
    </row>
    <row r="3213" customFormat="false" ht="15" hidden="false" customHeight="false" outlineLevel="0" collapsed="false">
      <c r="A3213" s="1" t="s">
        <v>1817</v>
      </c>
    </row>
    <row r="3214" customFormat="false" ht="15" hidden="false" customHeight="false" outlineLevel="0" collapsed="false">
      <c r="A3214" s="1" t="s">
        <v>1818</v>
      </c>
    </row>
    <row r="3215" customFormat="false" ht="15" hidden="false" customHeight="false" outlineLevel="0" collapsed="false">
      <c r="A3215" s="1" t="s">
        <v>1347</v>
      </c>
    </row>
    <row r="3216" customFormat="false" ht="15" hidden="false" customHeight="false" outlineLevel="0" collapsed="false">
      <c r="A3216" s="1" t="s">
        <v>2102</v>
      </c>
    </row>
    <row r="3217" customFormat="false" ht="15" hidden="false" customHeight="false" outlineLevel="0" collapsed="false">
      <c r="A3217" s="1" t="s">
        <v>2114</v>
      </c>
    </row>
    <row r="3218" customFormat="false" ht="15" hidden="false" customHeight="false" outlineLevel="0" collapsed="false">
      <c r="A3218" s="1" t="s">
        <v>1350</v>
      </c>
    </row>
    <row r="3219" customFormat="false" ht="15" hidden="false" customHeight="false" outlineLevel="0" collapsed="false"/>
    <row r="3220" customFormat="false" ht="15" hidden="false" customHeight="false" outlineLevel="0" collapsed="false">
      <c r="A3220" s="1" t="s">
        <v>1268</v>
      </c>
    </row>
    <row r="3221" customFormat="false" ht="15" hidden="false" customHeight="false" outlineLevel="0" collapsed="false">
      <c r="A3221" s="1" t="s">
        <v>2115</v>
      </c>
    </row>
    <row r="3222" customFormat="false" ht="15" hidden="false" customHeight="false" outlineLevel="0" collapsed="false">
      <c r="A3222" s="1" t="s">
        <v>1352</v>
      </c>
    </row>
    <row r="3223" customFormat="false" ht="15" hidden="false" customHeight="false" outlineLevel="0" collapsed="false">
      <c r="A3223" s="1" t="s">
        <v>1353</v>
      </c>
    </row>
    <row r="3224" customFormat="false" ht="15" hidden="false" customHeight="false" outlineLevel="0" collapsed="false"/>
    <row r="3225" customFormat="false" ht="15" hidden="false" customHeight="false" outlineLevel="0" collapsed="false">
      <c r="A3225" s="1" t="s">
        <v>1272</v>
      </c>
    </row>
    <row r="3226" customFormat="false" ht="15" hidden="false" customHeight="false" outlineLevel="0" collapsed="false">
      <c r="A3226" s="1" t="s">
        <v>1354</v>
      </c>
    </row>
    <row r="3227" customFormat="false" ht="15" hidden="false" customHeight="false" outlineLevel="0" collapsed="false">
      <c r="A3227" s="1" t="s">
        <v>2116</v>
      </c>
    </row>
    <row r="3228" customFormat="false" ht="15" hidden="false" customHeight="false" outlineLevel="0" collapsed="false">
      <c r="A3228" s="1" t="s">
        <v>2117</v>
      </c>
    </row>
    <row r="3229" customFormat="false" ht="15" hidden="false" customHeight="false" outlineLevel="0" collapsed="false">
      <c r="A3229" s="1" t="s">
        <v>1846</v>
      </c>
    </row>
    <row r="3230" customFormat="false" ht="15" hidden="false" customHeight="false" outlineLevel="0" collapsed="false">
      <c r="A3230" s="1" t="s">
        <v>2118</v>
      </c>
    </row>
    <row r="3231" customFormat="false" ht="15" hidden="false" customHeight="false" outlineLevel="0" collapsed="false">
      <c r="A3231" s="1" t="s">
        <v>2119</v>
      </c>
    </row>
    <row r="3232" customFormat="false" ht="15" hidden="false" customHeight="false" outlineLevel="0" collapsed="false">
      <c r="A3232" s="1" t="s">
        <v>1449</v>
      </c>
    </row>
    <row r="3233" customFormat="false" ht="15" hidden="false" customHeight="false" outlineLevel="0" collapsed="false">
      <c r="A3233" s="1" t="s">
        <v>1439</v>
      </c>
    </row>
    <row r="3234" customFormat="false" ht="15" hidden="false" customHeight="false" outlineLevel="0" collapsed="false">
      <c r="A3234" s="1" t="s">
        <v>2120</v>
      </c>
    </row>
    <row r="3235" customFormat="false" ht="15" hidden="false" customHeight="false" outlineLevel="0" collapsed="false">
      <c r="A3235" s="1" t="s">
        <v>2121</v>
      </c>
    </row>
    <row r="3236" customFormat="false" ht="15" hidden="false" customHeight="false" outlineLevel="0" collapsed="false">
      <c r="A3236" s="1" t="s">
        <v>2122</v>
      </c>
    </row>
    <row r="3237" customFormat="false" ht="15" hidden="false" customHeight="false" outlineLevel="0" collapsed="false">
      <c r="A3237" s="1" t="s">
        <v>2123</v>
      </c>
    </row>
    <row r="3238" customFormat="false" ht="15" hidden="false" customHeight="false" outlineLevel="0" collapsed="false"/>
    <row r="3239" customFormat="false" ht="15" hidden="false" customHeight="false" outlineLevel="0" collapsed="false">
      <c r="A3239" s="1" t="s">
        <v>1268</v>
      </c>
    </row>
    <row r="3240" customFormat="false" ht="15" hidden="false" customHeight="false" outlineLevel="0" collapsed="false">
      <c r="A3240" s="1" t="s">
        <v>2124</v>
      </c>
    </row>
    <row r="3241" customFormat="false" ht="15" hidden="false" customHeight="false" outlineLevel="0" collapsed="false">
      <c r="A3241" s="1" t="s">
        <v>2125</v>
      </c>
    </row>
    <row r="3242" customFormat="false" ht="15" hidden="false" customHeight="false" outlineLevel="0" collapsed="false">
      <c r="A3242" s="1" t="s">
        <v>2126</v>
      </c>
    </row>
    <row r="3243" customFormat="false" ht="15" hidden="false" customHeight="false" outlineLevel="0" collapsed="false"/>
    <row r="3244" customFormat="false" ht="15" hidden="false" customHeight="false" outlineLevel="0" collapsed="false">
      <c r="A3244" s="1" t="s">
        <v>1272</v>
      </c>
    </row>
    <row r="3245" customFormat="false" ht="15" hidden="false" customHeight="false" outlineLevel="0" collapsed="false">
      <c r="A3245" s="1" t="s">
        <v>2127</v>
      </c>
    </row>
    <row r="3246" customFormat="false" ht="15" hidden="false" customHeight="false" outlineLevel="0" collapsed="false">
      <c r="A3246" s="1" t="s">
        <v>2128</v>
      </c>
    </row>
    <row r="3247" customFormat="false" ht="15" hidden="false" customHeight="false" outlineLevel="0" collapsed="false">
      <c r="A3247" s="1" t="s">
        <v>2129</v>
      </c>
    </row>
    <row r="3248" customFormat="false" ht="15" hidden="false" customHeight="false" outlineLevel="0" collapsed="false">
      <c r="A3248" s="1" t="s">
        <v>2130</v>
      </c>
    </row>
    <row r="3249" customFormat="false" ht="15" hidden="false" customHeight="false" outlineLevel="0" collapsed="false">
      <c r="A3249" s="1" t="s">
        <v>2131</v>
      </c>
    </row>
    <row r="3250" customFormat="false" ht="15" hidden="false" customHeight="false" outlineLevel="0" collapsed="false">
      <c r="A3250" s="1" t="s">
        <v>2132</v>
      </c>
    </row>
    <row r="3251" customFormat="false" ht="15" hidden="false" customHeight="false" outlineLevel="0" collapsed="false">
      <c r="A3251" s="1" t="s">
        <v>1619</v>
      </c>
    </row>
    <row r="3252" customFormat="false" ht="15" hidden="false" customHeight="false" outlineLevel="0" collapsed="false">
      <c r="A3252" s="1" t="s">
        <v>1677</v>
      </c>
    </row>
    <row r="3253" customFormat="false" ht="15" hidden="false" customHeight="false" outlineLevel="0" collapsed="false">
      <c r="A3253" s="1" t="s">
        <v>1678</v>
      </c>
    </row>
    <row r="3254" customFormat="false" ht="15" hidden="false" customHeight="false" outlineLevel="0" collapsed="false">
      <c r="A3254" s="1" t="s">
        <v>2133</v>
      </c>
    </row>
    <row r="3255" customFormat="false" ht="15" hidden="false" customHeight="false" outlineLevel="0" collapsed="false">
      <c r="A3255" s="1" t="s">
        <v>1266</v>
      </c>
    </row>
    <row r="3256" customFormat="false" ht="15" hidden="false" customHeight="false" outlineLevel="0" collapsed="false">
      <c r="A3256" s="1" t="s">
        <v>1267</v>
      </c>
    </row>
    <row r="3257" customFormat="false" ht="15" hidden="false" customHeight="false" outlineLevel="0" collapsed="false"/>
    <row r="3258" customFormat="false" ht="15" hidden="false" customHeight="false" outlineLevel="0" collapsed="false">
      <c r="A3258" s="1" t="s">
        <v>1268</v>
      </c>
    </row>
    <row r="3259" customFormat="false" ht="15" hidden="false" customHeight="false" outlineLevel="0" collapsed="false">
      <c r="A3259" s="1" t="s">
        <v>1269</v>
      </c>
    </row>
    <row r="3260" customFormat="false" ht="15" hidden="false" customHeight="false" outlineLevel="0" collapsed="false">
      <c r="A3260" s="1" t="s">
        <v>1270</v>
      </c>
    </row>
    <row r="3261" customFormat="false" ht="15" hidden="false" customHeight="false" outlineLevel="0" collapsed="false">
      <c r="A3261" s="1" t="s">
        <v>1269</v>
      </c>
    </row>
    <row r="3262" customFormat="false" ht="15" hidden="false" customHeight="false" outlineLevel="0" collapsed="false"/>
    <row r="3263" customFormat="false" ht="15" hidden="false" customHeight="false" outlineLevel="0" collapsed="false">
      <c r="A3263" s="1" t="s">
        <v>1272</v>
      </c>
    </row>
    <row r="3264" customFormat="false" ht="15" hidden="false" customHeight="false" outlineLevel="0" collapsed="false">
      <c r="A3264" s="1" t="s">
        <v>1273</v>
      </c>
    </row>
    <row r="3265" customFormat="false" ht="15" hidden="false" customHeight="false" outlineLevel="0" collapsed="false">
      <c r="A3265" s="1" t="s">
        <v>1274</v>
      </c>
    </row>
    <row r="3266" customFormat="false" ht="15" hidden="false" customHeight="false" outlineLevel="0" collapsed="false">
      <c r="A3266" s="1" t="s">
        <v>1275</v>
      </c>
    </row>
    <row r="3267" customFormat="false" ht="15" hidden="false" customHeight="false" outlineLevel="0" collapsed="false">
      <c r="A3267" s="1" t="s">
        <v>1623</v>
      </c>
    </row>
    <row r="3268" customFormat="false" ht="15" hidden="false" customHeight="false" outlineLevel="0" collapsed="false">
      <c r="A3268" s="1" t="s">
        <v>1277</v>
      </c>
    </row>
    <row r="3269" customFormat="false" ht="15" hidden="false" customHeight="false" outlineLevel="0" collapsed="false">
      <c r="A3269" s="1" t="s">
        <v>2134</v>
      </c>
    </row>
    <row r="3270" customFormat="false" ht="15" hidden="false" customHeight="false" outlineLevel="0" collapsed="false">
      <c r="A3270" s="1" t="s">
        <v>1602</v>
      </c>
    </row>
    <row r="3271" customFormat="false" ht="15" hidden="false" customHeight="false" outlineLevel="0" collapsed="false">
      <c r="A3271" s="1" t="s">
        <v>1754</v>
      </c>
    </row>
    <row r="3272" customFormat="false" ht="15" hidden="false" customHeight="false" outlineLevel="0" collapsed="false">
      <c r="A3272" s="1" t="s">
        <v>1754</v>
      </c>
    </row>
    <row r="3273" customFormat="false" ht="15" hidden="false" customHeight="false" outlineLevel="0" collapsed="false">
      <c r="A3273" s="1" t="s">
        <v>2135</v>
      </c>
    </row>
    <row r="3274" customFormat="false" ht="15" hidden="false" customHeight="false" outlineLevel="0" collapsed="false">
      <c r="A3274" s="1" t="s">
        <v>1266</v>
      </c>
    </row>
    <row r="3275" customFormat="false" ht="15" hidden="false" customHeight="false" outlineLevel="0" collapsed="false">
      <c r="A3275" s="1" t="s">
        <v>1267</v>
      </c>
    </row>
    <row r="3276" customFormat="false" ht="15" hidden="false" customHeight="false" outlineLevel="0" collapsed="false"/>
    <row r="3277" customFormat="false" ht="15" hidden="false" customHeight="false" outlineLevel="0" collapsed="false">
      <c r="A3277" s="1" t="s">
        <v>1268</v>
      </c>
    </row>
    <row r="3278" customFormat="false" ht="15" hidden="false" customHeight="false" outlineLevel="0" collapsed="false">
      <c r="A3278" s="1" t="s">
        <v>1586</v>
      </c>
    </row>
    <row r="3279" customFormat="false" ht="15" hidden="false" customHeight="false" outlineLevel="0" collapsed="false">
      <c r="A3279" s="1" t="s">
        <v>1270</v>
      </c>
    </row>
    <row r="3280" customFormat="false" ht="15" hidden="false" customHeight="false" outlineLevel="0" collapsed="false">
      <c r="A3280" s="1" t="s">
        <v>1585</v>
      </c>
    </row>
    <row r="3281" customFormat="false" ht="15" hidden="false" customHeight="false" outlineLevel="0" collapsed="false"/>
    <row r="3282" customFormat="false" ht="15" hidden="false" customHeight="false" outlineLevel="0" collapsed="false">
      <c r="A3282" s="1" t="s">
        <v>1272</v>
      </c>
    </row>
    <row r="3283" customFormat="false" ht="15" hidden="false" customHeight="false" outlineLevel="0" collapsed="false">
      <c r="A3283" s="1" t="s">
        <v>1606</v>
      </c>
    </row>
    <row r="3284" customFormat="false" ht="15" hidden="false" customHeight="false" outlineLevel="0" collapsed="false">
      <c r="A3284" s="1" t="s">
        <v>1607</v>
      </c>
    </row>
    <row r="3285" customFormat="false" ht="15" hidden="false" customHeight="false" outlineLevel="0" collapsed="false">
      <c r="A3285" s="1" t="s">
        <v>1275</v>
      </c>
    </row>
    <row r="3286" customFormat="false" ht="15" hidden="false" customHeight="false" outlineLevel="0" collapsed="false">
      <c r="A3286" s="1" t="s">
        <v>1589</v>
      </c>
    </row>
    <row r="3287" customFormat="false" ht="15" hidden="false" customHeight="false" outlineLevel="0" collapsed="false">
      <c r="A3287" s="1" t="s">
        <v>1277</v>
      </c>
    </row>
    <row r="3288" customFormat="false" ht="15" hidden="false" customHeight="false" outlineLevel="0" collapsed="false">
      <c r="A3288" s="1" t="s">
        <v>2136</v>
      </c>
    </row>
    <row r="3289" customFormat="false" ht="15" hidden="false" customHeight="false" outlineLevel="0" collapsed="false">
      <c r="A3289" s="1" t="s">
        <v>1711</v>
      </c>
    </row>
    <row r="3290" customFormat="false" ht="15" hidden="false" customHeight="false" outlineLevel="0" collapsed="false">
      <c r="A3290" s="1" t="s">
        <v>1677</v>
      </c>
    </row>
    <row r="3291" customFormat="false" ht="15" hidden="false" customHeight="false" outlineLevel="0" collapsed="false">
      <c r="A3291" s="1" t="s">
        <v>1678</v>
      </c>
    </row>
    <row r="3292" customFormat="false" ht="15" hidden="false" customHeight="false" outlineLevel="0" collapsed="false">
      <c r="A3292" s="1" t="s">
        <v>2133</v>
      </c>
    </row>
    <row r="3293" customFormat="false" ht="15" hidden="false" customHeight="false" outlineLevel="0" collapsed="false">
      <c r="A3293" s="1" t="s">
        <v>1266</v>
      </c>
    </row>
    <row r="3294" customFormat="false" ht="15" hidden="false" customHeight="false" outlineLevel="0" collapsed="false">
      <c r="A3294" s="1" t="s">
        <v>1267</v>
      </c>
    </row>
    <row r="3295" customFormat="false" ht="15" hidden="false" customHeight="false" outlineLevel="0" collapsed="false"/>
    <row r="3296" customFormat="false" ht="15" hidden="false" customHeight="false" outlineLevel="0" collapsed="false">
      <c r="A3296" s="1" t="s">
        <v>1268</v>
      </c>
    </row>
    <row r="3297" customFormat="false" ht="15" hidden="false" customHeight="false" outlineLevel="0" collapsed="false">
      <c r="A3297" s="1" t="s">
        <v>1269</v>
      </c>
    </row>
    <row r="3298" customFormat="false" ht="15" hidden="false" customHeight="false" outlineLevel="0" collapsed="false">
      <c r="A3298" s="1" t="s">
        <v>1270</v>
      </c>
    </row>
    <row r="3299" customFormat="false" ht="15" hidden="false" customHeight="false" outlineLevel="0" collapsed="false">
      <c r="A3299" s="1" t="s">
        <v>1269</v>
      </c>
    </row>
    <row r="3300" customFormat="false" ht="15" hidden="false" customHeight="false" outlineLevel="0" collapsed="false"/>
    <row r="3301" customFormat="false" ht="15" hidden="false" customHeight="false" outlineLevel="0" collapsed="false">
      <c r="A3301" s="1" t="s">
        <v>1272</v>
      </c>
    </row>
    <row r="3302" customFormat="false" ht="15" hidden="false" customHeight="false" outlineLevel="0" collapsed="false">
      <c r="A3302" s="1" t="s">
        <v>1273</v>
      </c>
    </row>
    <row r="3303" customFormat="false" ht="15" hidden="false" customHeight="false" outlineLevel="0" collapsed="false">
      <c r="A3303" s="1" t="s">
        <v>1274</v>
      </c>
    </row>
    <row r="3304" customFormat="false" ht="15" hidden="false" customHeight="false" outlineLevel="0" collapsed="false">
      <c r="A3304" s="1" t="s">
        <v>1275</v>
      </c>
    </row>
    <row r="3305" customFormat="false" ht="15" hidden="false" customHeight="false" outlineLevel="0" collapsed="false">
      <c r="A3305" s="1" t="s">
        <v>1623</v>
      </c>
    </row>
    <row r="3306" customFormat="false" ht="15" hidden="false" customHeight="false" outlineLevel="0" collapsed="false">
      <c r="A3306" s="1" t="s">
        <v>1277</v>
      </c>
    </row>
    <row r="3307" customFormat="false" ht="15" hidden="false" customHeight="false" outlineLevel="0" collapsed="false">
      <c r="A3307" s="1" t="s">
        <v>2137</v>
      </c>
    </row>
    <row r="3308" customFormat="false" ht="15" hidden="false" customHeight="false" outlineLevel="0" collapsed="false">
      <c r="A3308" s="1" t="s">
        <v>2138</v>
      </c>
    </row>
    <row r="3309" customFormat="false" ht="15" hidden="false" customHeight="false" outlineLevel="0" collapsed="false">
      <c r="A3309" s="1" t="s">
        <v>2139</v>
      </c>
    </row>
    <row r="3310" customFormat="false" ht="15" hidden="false" customHeight="false" outlineLevel="0" collapsed="false"/>
    <row r="3311" customFormat="false" ht="15" hidden="false" customHeight="false" outlineLevel="0" collapsed="false">
      <c r="A3311" s="1" t="s">
        <v>1209</v>
      </c>
    </row>
    <row r="3312" customFormat="false" ht="15" hidden="false" customHeight="false" outlineLevel="0" collapsed="false">
      <c r="A3312" s="1" t="s">
        <v>2140</v>
      </c>
    </row>
    <row r="3313" customFormat="false" ht="15" hidden="false" customHeight="false" outlineLevel="0" collapsed="false">
      <c r="A3313" s="1" t="s">
        <v>2141</v>
      </c>
    </row>
    <row r="3314" customFormat="false" ht="15" hidden="false" customHeight="false" outlineLevel="0" collapsed="false">
      <c r="A3314" s="1" t="s">
        <v>2142</v>
      </c>
    </row>
    <row r="3315" customFormat="false" ht="15" hidden="false" customHeight="false" outlineLevel="0" collapsed="false">
      <c r="A3315" s="1" t="s">
        <v>2139</v>
      </c>
    </row>
    <row r="3316" customFormat="false" ht="15" hidden="false" customHeight="false" outlineLevel="0" collapsed="false"/>
    <row r="3317" customFormat="false" ht="15" hidden="false" customHeight="false" outlineLevel="0" collapsed="false">
      <c r="A3317" s="1" t="s">
        <v>1210</v>
      </c>
    </row>
    <row r="3318" customFormat="false" ht="15" hidden="false" customHeight="false" outlineLevel="0" collapsed="false">
      <c r="A3318" s="1" t="s">
        <v>2143</v>
      </c>
    </row>
    <row r="3319" customFormat="false" ht="15" hidden="false" customHeight="false" outlineLevel="0" collapsed="false">
      <c r="A3319" s="1" t="s">
        <v>2144</v>
      </c>
    </row>
    <row r="3320" customFormat="false" ht="15" hidden="false" customHeight="false" outlineLevel="0" collapsed="false"/>
    <row r="3321" customFormat="false" ht="15" hidden="false" customHeight="false" outlineLevel="0" collapsed="false">
      <c r="A3321" s="1" t="s">
        <v>1211</v>
      </c>
    </row>
    <row r="3322" customFormat="false" ht="15" hidden="false" customHeight="false" outlineLevel="0" collapsed="false">
      <c r="A3322" s="1" t="s">
        <v>2140</v>
      </c>
    </row>
    <row r="3323" customFormat="false" ht="15" hidden="false" customHeight="false" outlineLevel="0" collapsed="false">
      <c r="A3323" s="1" t="s">
        <v>2141</v>
      </c>
    </row>
    <row r="3324" customFormat="false" ht="15" hidden="false" customHeight="false" outlineLevel="0" collapsed="false"/>
    <row r="3325" customFormat="false" ht="15" hidden="false" customHeight="false" outlineLevel="0" collapsed="false">
      <c r="A3325" s="1" t="s">
        <v>1212</v>
      </c>
    </row>
    <row r="3326" customFormat="false" ht="15" hidden="false" customHeight="false" outlineLevel="0" collapsed="false">
      <c r="A3326" s="1" t="s">
        <v>2140</v>
      </c>
    </row>
    <row r="3327" customFormat="false" ht="15" hidden="false" customHeight="false" outlineLevel="0" collapsed="false">
      <c r="A3327" s="1" t="s">
        <v>2145</v>
      </c>
    </row>
    <row r="3328" customFormat="false" ht="15" hidden="false" customHeight="false" outlineLevel="0" collapsed="false">
      <c r="A3328" s="1" t="s">
        <v>2137</v>
      </c>
    </row>
    <row r="3329" customFormat="false" ht="15" hidden="false" customHeight="false" outlineLevel="0" collapsed="false">
      <c r="A3329" s="1" t="s">
        <v>2146</v>
      </c>
    </row>
    <row r="3330" customFormat="false" ht="15" hidden="false" customHeight="false" outlineLevel="0" collapsed="false">
      <c r="A3330" s="1" t="s">
        <v>2147</v>
      </c>
    </row>
    <row r="3331" customFormat="false" ht="15" hidden="false" customHeight="false" outlineLevel="0" collapsed="false"/>
    <row r="3332" customFormat="false" ht="15" hidden="false" customHeight="false" outlineLevel="0" collapsed="false">
      <c r="A3332" s="1" t="s">
        <v>1209</v>
      </c>
    </row>
    <row r="3333" customFormat="false" ht="15" hidden="false" customHeight="false" outlineLevel="0" collapsed="false">
      <c r="A3333" s="1" t="s">
        <v>2148</v>
      </c>
    </row>
    <row r="3334" customFormat="false" ht="15" hidden="false" customHeight="false" outlineLevel="0" collapsed="false">
      <c r="A3334" s="1" t="s">
        <v>2149</v>
      </c>
    </row>
    <row r="3335" customFormat="false" ht="15" hidden="false" customHeight="false" outlineLevel="0" collapsed="false">
      <c r="A3335" s="1" t="s">
        <v>2150</v>
      </c>
    </row>
    <row r="3336" customFormat="false" ht="15" hidden="false" customHeight="false" outlineLevel="0" collapsed="false">
      <c r="A3336" s="1" t="s">
        <v>2147</v>
      </c>
    </row>
    <row r="3337" customFormat="false" ht="15" hidden="false" customHeight="false" outlineLevel="0" collapsed="false"/>
    <row r="3338" customFormat="false" ht="15" hidden="false" customHeight="false" outlineLevel="0" collapsed="false">
      <c r="A3338" s="1" t="s">
        <v>1210</v>
      </c>
    </row>
    <row r="3339" customFormat="false" ht="15" hidden="false" customHeight="false" outlineLevel="0" collapsed="false">
      <c r="A3339" s="1" t="s">
        <v>2151</v>
      </c>
    </row>
    <row r="3340" customFormat="false" ht="15" hidden="false" customHeight="false" outlineLevel="0" collapsed="false">
      <c r="A3340" s="1" t="s">
        <v>2152</v>
      </c>
    </row>
    <row r="3341" customFormat="false" ht="15" hidden="false" customHeight="false" outlineLevel="0" collapsed="false"/>
    <row r="3342" customFormat="false" ht="15" hidden="false" customHeight="false" outlineLevel="0" collapsed="false">
      <c r="A3342" s="1" t="s">
        <v>1211</v>
      </c>
    </row>
    <row r="3343" customFormat="false" ht="15" hidden="false" customHeight="false" outlineLevel="0" collapsed="false">
      <c r="A3343" s="1" t="s">
        <v>2148</v>
      </c>
    </row>
    <row r="3344" customFormat="false" ht="15" hidden="false" customHeight="false" outlineLevel="0" collapsed="false">
      <c r="A3344" s="1" t="s">
        <v>2149</v>
      </c>
    </row>
    <row r="3345" customFormat="false" ht="15" hidden="false" customHeight="false" outlineLevel="0" collapsed="false"/>
    <row r="3346" customFormat="false" ht="15" hidden="false" customHeight="false" outlineLevel="0" collapsed="false">
      <c r="A3346" s="1" t="s">
        <v>1212</v>
      </c>
    </row>
    <row r="3347" customFormat="false" ht="15" hidden="false" customHeight="false" outlineLevel="0" collapsed="false">
      <c r="A3347" s="1" t="s">
        <v>2148</v>
      </c>
    </row>
    <row r="3348" customFormat="false" ht="15" hidden="false" customHeight="false" outlineLevel="0" collapsed="false">
      <c r="A3348" s="1" t="s">
        <v>2153</v>
      </c>
    </row>
    <row r="3349" customFormat="false" ht="15" hidden="false" customHeight="false" outlineLevel="0" collapsed="false">
      <c r="A3349" s="1" t="s">
        <v>2137</v>
      </c>
    </row>
    <row r="3350" customFormat="false" ht="15" hidden="false" customHeight="false" outlineLevel="0" collapsed="false">
      <c r="A3350" s="1" t="s">
        <v>2154</v>
      </c>
    </row>
    <row r="3351" customFormat="false" ht="15" hidden="false" customHeight="false" outlineLevel="0" collapsed="false">
      <c r="A3351" s="1" t="s">
        <v>2155</v>
      </c>
    </row>
    <row r="3352" customFormat="false" ht="15" hidden="false" customHeight="false" outlineLevel="0" collapsed="false"/>
    <row r="3353" customFormat="false" ht="15" hidden="false" customHeight="false" outlineLevel="0" collapsed="false">
      <c r="A3353" s="1" t="s">
        <v>1209</v>
      </c>
    </row>
    <row r="3354" customFormat="false" ht="15" hidden="false" customHeight="false" outlineLevel="0" collapsed="false">
      <c r="A3354" s="1" t="s">
        <v>2156</v>
      </c>
    </row>
    <row r="3355" customFormat="false" ht="15" hidden="false" customHeight="false" outlineLevel="0" collapsed="false">
      <c r="A3355" s="1" t="s">
        <v>2157</v>
      </c>
    </row>
    <row r="3356" customFormat="false" ht="15" hidden="false" customHeight="false" outlineLevel="0" collapsed="false">
      <c r="A3356" s="1" t="s">
        <v>2158</v>
      </c>
    </row>
    <row r="3357" customFormat="false" ht="15" hidden="false" customHeight="false" outlineLevel="0" collapsed="false">
      <c r="A3357" s="1" t="s">
        <v>2155</v>
      </c>
    </row>
    <row r="3358" customFormat="false" ht="15" hidden="false" customHeight="false" outlineLevel="0" collapsed="false"/>
    <row r="3359" customFormat="false" ht="15" hidden="false" customHeight="false" outlineLevel="0" collapsed="false">
      <c r="A3359" s="1" t="s">
        <v>1210</v>
      </c>
    </row>
    <row r="3360" customFormat="false" ht="15" hidden="false" customHeight="false" outlineLevel="0" collapsed="false">
      <c r="A3360" s="1" t="s">
        <v>2159</v>
      </c>
    </row>
    <row r="3361" customFormat="false" ht="15" hidden="false" customHeight="false" outlineLevel="0" collapsed="false">
      <c r="A3361" s="1" t="s">
        <v>2160</v>
      </c>
    </row>
    <row r="3362" customFormat="false" ht="15" hidden="false" customHeight="false" outlineLevel="0" collapsed="false"/>
    <row r="3363" customFormat="false" ht="15" hidden="false" customHeight="false" outlineLevel="0" collapsed="false">
      <c r="A3363" s="1" t="s">
        <v>1211</v>
      </c>
    </row>
    <row r="3364" customFormat="false" ht="15" hidden="false" customHeight="false" outlineLevel="0" collapsed="false">
      <c r="A3364" s="1" t="s">
        <v>2161</v>
      </c>
    </row>
    <row r="3365" customFormat="false" ht="15" hidden="false" customHeight="false" outlineLevel="0" collapsed="false">
      <c r="A3365" s="1" t="s">
        <v>2157</v>
      </c>
    </row>
    <row r="3366" customFormat="false" ht="15" hidden="false" customHeight="false" outlineLevel="0" collapsed="false"/>
    <row r="3367" customFormat="false" ht="15" hidden="false" customHeight="false" outlineLevel="0" collapsed="false">
      <c r="A3367" s="1" t="s">
        <v>1212</v>
      </c>
    </row>
    <row r="3368" customFormat="false" ht="15" hidden="false" customHeight="false" outlineLevel="0" collapsed="false">
      <c r="A3368" s="1" t="s">
        <v>2161</v>
      </c>
    </row>
    <row r="3369" customFormat="false" ht="15" hidden="false" customHeight="false" outlineLevel="0" collapsed="false">
      <c r="A3369" s="1" t="s">
        <v>2162</v>
      </c>
    </row>
    <row r="3370" customFormat="false" ht="15" hidden="false" customHeight="false" outlineLevel="0" collapsed="false">
      <c r="A3370" s="1" t="s">
        <v>2137</v>
      </c>
    </row>
    <row r="3371" customFormat="false" ht="15" hidden="false" customHeight="false" outlineLevel="0" collapsed="false">
      <c r="A3371" s="1" t="s">
        <v>2163</v>
      </c>
    </row>
    <row r="3372" customFormat="false" ht="15" hidden="false" customHeight="false" outlineLevel="0" collapsed="false">
      <c r="A3372" s="1" t="s">
        <v>2164</v>
      </c>
    </row>
    <row r="3373" customFormat="false" ht="15" hidden="false" customHeight="false" outlineLevel="0" collapsed="false"/>
    <row r="3374" customFormat="false" ht="15" hidden="false" customHeight="false" outlineLevel="0" collapsed="false">
      <c r="A3374" s="1" t="s">
        <v>1209</v>
      </c>
    </row>
    <row r="3375" customFormat="false" ht="15" hidden="false" customHeight="false" outlineLevel="0" collapsed="false">
      <c r="A3375" s="1" t="s">
        <v>2165</v>
      </c>
    </row>
    <row r="3376" customFormat="false" ht="15" hidden="false" customHeight="false" outlineLevel="0" collapsed="false">
      <c r="A3376" s="1" t="s">
        <v>2166</v>
      </c>
    </row>
    <row r="3377" customFormat="false" ht="15" hidden="false" customHeight="false" outlineLevel="0" collapsed="false">
      <c r="A3377" s="1" t="s">
        <v>2167</v>
      </c>
    </row>
    <row r="3378" customFormat="false" ht="15" hidden="false" customHeight="false" outlineLevel="0" collapsed="false">
      <c r="A3378" s="1" t="s">
        <v>2164</v>
      </c>
    </row>
    <row r="3379" customFormat="false" ht="15" hidden="false" customHeight="false" outlineLevel="0" collapsed="false"/>
    <row r="3380" customFormat="false" ht="15" hidden="false" customHeight="false" outlineLevel="0" collapsed="false">
      <c r="A3380" s="1" t="s">
        <v>1210</v>
      </c>
    </row>
    <row r="3381" customFormat="false" ht="15" hidden="false" customHeight="false" outlineLevel="0" collapsed="false">
      <c r="A3381" s="1" t="s">
        <v>2168</v>
      </c>
    </row>
    <row r="3382" customFormat="false" ht="15" hidden="false" customHeight="false" outlineLevel="0" collapsed="false">
      <c r="A3382" s="1" t="s">
        <v>2169</v>
      </c>
    </row>
    <row r="3383" customFormat="false" ht="15" hidden="false" customHeight="false" outlineLevel="0" collapsed="false"/>
    <row r="3384" customFormat="false" ht="15" hidden="false" customHeight="false" outlineLevel="0" collapsed="false">
      <c r="A3384" s="1" t="s">
        <v>1211</v>
      </c>
    </row>
    <row r="3385" customFormat="false" ht="15" hidden="false" customHeight="false" outlineLevel="0" collapsed="false">
      <c r="A3385" s="1" t="s">
        <v>2165</v>
      </c>
    </row>
    <row r="3386" customFormat="false" ht="15" hidden="false" customHeight="false" outlineLevel="0" collapsed="false">
      <c r="A3386" s="1" t="s">
        <v>2166</v>
      </c>
    </row>
    <row r="3387" customFormat="false" ht="15" hidden="false" customHeight="false" outlineLevel="0" collapsed="false"/>
    <row r="3388" customFormat="false" ht="15" hidden="false" customHeight="false" outlineLevel="0" collapsed="false">
      <c r="A3388" s="1" t="s">
        <v>1212</v>
      </c>
    </row>
    <row r="3389" customFormat="false" ht="15" hidden="false" customHeight="false" outlineLevel="0" collapsed="false">
      <c r="A3389" s="1" t="s">
        <v>2165</v>
      </c>
    </row>
    <row r="3390" customFormat="false" ht="15" hidden="false" customHeight="false" outlineLevel="0" collapsed="false">
      <c r="A3390" s="1" t="s">
        <v>2170</v>
      </c>
    </row>
    <row r="3391" customFormat="false" ht="15" hidden="false" customHeight="false" outlineLevel="0" collapsed="false">
      <c r="A3391" s="1" t="s">
        <v>2137</v>
      </c>
    </row>
    <row r="3392" customFormat="false" ht="15" hidden="false" customHeight="false" outlineLevel="0" collapsed="false">
      <c r="A3392" s="1" t="s">
        <v>2171</v>
      </c>
    </row>
    <row r="3393" customFormat="false" ht="15" hidden="false" customHeight="false" outlineLevel="0" collapsed="false">
      <c r="A3393" s="1" t="s">
        <v>2172</v>
      </c>
    </row>
    <row r="3394" customFormat="false" ht="15" hidden="false" customHeight="false" outlineLevel="0" collapsed="false"/>
    <row r="3395" customFormat="false" ht="15" hidden="false" customHeight="false" outlineLevel="0" collapsed="false">
      <c r="A3395" s="1" t="s">
        <v>1209</v>
      </c>
    </row>
    <row r="3396" customFormat="false" ht="15" hidden="false" customHeight="false" outlineLevel="0" collapsed="false">
      <c r="A3396" s="1" t="s">
        <v>2173</v>
      </c>
    </row>
    <row r="3397" customFormat="false" ht="15" hidden="false" customHeight="false" outlineLevel="0" collapsed="false">
      <c r="A3397" s="1" t="s">
        <v>2174</v>
      </c>
    </row>
    <row r="3398" customFormat="false" ht="15" hidden="false" customHeight="false" outlineLevel="0" collapsed="false">
      <c r="A3398" s="1" t="s">
        <v>2175</v>
      </c>
    </row>
    <row r="3399" customFormat="false" ht="15" hidden="false" customHeight="false" outlineLevel="0" collapsed="false">
      <c r="A3399" s="1" t="s">
        <v>2172</v>
      </c>
    </row>
    <row r="3400" customFormat="false" ht="15" hidden="false" customHeight="false" outlineLevel="0" collapsed="false"/>
    <row r="3401" customFormat="false" ht="15" hidden="false" customHeight="false" outlineLevel="0" collapsed="false">
      <c r="A3401" s="1" t="s">
        <v>1210</v>
      </c>
    </row>
    <row r="3402" customFormat="false" ht="15" hidden="false" customHeight="false" outlineLevel="0" collapsed="false">
      <c r="A3402" s="1" t="s">
        <v>2176</v>
      </c>
    </row>
    <row r="3403" customFormat="false" ht="15" hidden="false" customHeight="false" outlineLevel="0" collapsed="false">
      <c r="A3403" s="1" t="s">
        <v>2177</v>
      </c>
    </row>
    <row r="3404" customFormat="false" ht="15" hidden="false" customHeight="false" outlineLevel="0" collapsed="false"/>
    <row r="3405" customFormat="false" ht="15" hidden="false" customHeight="false" outlineLevel="0" collapsed="false">
      <c r="A3405" s="1" t="s">
        <v>1211</v>
      </c>
    </row>
    <row r="3406" customFormat="false" ht="15" hidden="false" customHeight="false" outlineLevel="0" collapsed="false">
      <c r="A3406" s="1" t="s">
        <v>2173</v>
      </c>
    </row>
    <row r="3407" customFormat="false" ht="15" hidden="false" customHeight="false" outlineLevel="0" collapsed="false">
      <c r="A3407" s="1" t="s">
        <v>2174</v>
      </c>
    </row>
    <row r="3408" customFormat="false" ht="15" hidden="false" customHeight="false" outlineLevel="0" collapsed="false"/>
    <row r="3409" customFormat="false" ht="15" hidden="false" customHeight="false" outlineLevel="0" collapsed="false">
      <c r="A3409" s="1" t="s">
        <v>1212</v>
      </c>
    </row>
    <row r="3410" customFormat="false" ht="15" hidden="false" customHeight="false" outlineLevel="0" collapsed="false">
      <c r="A3410" s="1" t="s">
        <v>2173</v>
      </c>
    </row>
    <row r="3411" customFormat="false" ht="15" hidden="false" customHeight="false" outlineLevel="0" collapsed="false">
      <c r="A3411" s="1" t="s">
        <v>2178</v>
      </c>
    </row>
    <row r="3412" customFormat="false" ht="15" hidden="false" customHeight="false" outlineLevel="0" collapsed="false">
      <c r="A3412" s="1" t="s">
        <v>2137</v>
      </c>
    </row>
    <row r="3413" customFormat="false" ht="15" hidden="false" customHeight="false" outlineLevel="0" collapsed="false">
      <c r="A3413" s="1" t="s">
        <v>2179</v>
      </c>
    </row>
    <row r="3414" customFormat="false" ht="15" hidden="false" customHeight="false" outlineLevel="0" collapsed="false">
      <c r="A3414" s="1" t="s">
        <v>2180</v>
      </c>
    </row>
    <row r="3415" customFormat="false" ht="15" hidden="false" customHeight="false" outlineLevel="0" collapsed="false"/>
    <row r="3416" customFormat="false" ht="15" hidden="false" customHeight="false" outlineLevel="0" collapsed="false">
      <c r="A3416" s="1" t="s">
        <v>1209</v>
      </c>
    </row>
    <row r="3417" customFormat="false" ht="15" hidden="false" customHeight="false" outlineLevel="0" collapsed="false">
      <c r="A3417" s="1" t="s">
        <v>2181</v>
      </c>
    </row>
    <row r="3418" customFormat="false" ht="15" hidden="false" customHeight="false" outlineLevel="0" collapsed="false">
      <c r="A3418" s="1" t="s">
        <v>2182</v>
      </c>
    </row>
    <row r="3419" customFormat="false" ht="15" hidden="false" customHeight="false" outlineLevel="0" collapsed="false">
      <c r="A3419" s="1" t="s">
        <v>2183</v>
      </c>
    </row>
    <row r="3420" customFormat="false" ht="15" hidden="false" customHeight="false" outlineLevel="0" collapsed="false">
      <c r="A3420" s="1" t="s">
        <v>2180</v>
      </c>
    </row>
    <row r="3421" customFormat="false" ht="15" hidden="false" customHeight="false" outlineLevel="0" collapsed="false"/>
    <row r="3422" customFormat="false" ht="15" hidden="false" customHeight="false" outlineLevel="0" collapsed="false">
      <c r="A3422" s="1" t="s">
        <v>1210</v>
      </c>
    </row>
    <row r="3423" customFormat="false" ht="15" hidden="false" customHeight="false" outlineLevel="0" collapsed="false">
      <c r="A3423" s="1" t="s">
        <v>2184</v>
      </c>
    </row>
    <row r="3424" customFormat="false" ht="15" hidden="false" customHeight="false" outlineLevel="0" collapsed="false">
      <c r="A3424" s="1" t="s">
        <v>2185</v>
      </c>
    </row>
    <row r="3425" customFormat="false" ht="15" hidden="false" customHeight="false" outlineLevel="0" collapsed="false"/>
    <row r="3426" customFormat="false" ht="15" hidden="false" customHeight="false" outlineLevel="0" collapsed="false">
      <c r="A3426" s="1" t="s">
        <v>1211</v>
      </c>
    </row>
    <row r="3427" customFormat="false" ht="15" hidden="false" customHeight="false" outlineLevel="0" collapsed="false">
      <c r="A3427" s="1" t="s">
        <v>2181</v>
      </c>
    </row>
    <row r="3428" customFormat="false" ht="15" hidden="false" customHeight="false" outlineLevel="0" collapsed="false">
      <c r="A3428" s="1" t="s">
        <v>2182</v>
      </c>
    </row>
    <row r="3429" customFormat="false" ht="15" hidden="false" customHeight="false" outlineLevel="0" collapsed="false"/>
    <row r="3430" customFormat="false" ht="15" hidden="false" customHeight="false" outlineLevel="0" collapsed="false">
      <c r="A3430" s="1" t="s">
        <v>1212</v>
      </c>
    </row>
    <row r="3431" customFormat="false" ht="15" hidden="false" customHeight="false" outlineLevel="0" collapsed="false">
      <c r="A3431" s="1" t="s">
        <v>2181</v>
      </c>
    </row>
    <row r="3432" customFormat="false" ht="15" hidden="false" customHeight="false" outlineLevel="0" collapsed="false">
      <c r="A3432" s="1" t="s">
        <v>2186</v>
      </c>
    </row>
    <row r="3433" customFormat="false" ht="15" hidden="false" customHeight="false" outlineLevel="0" collapsed="false">
      <c r="A3433" s="1" t="s">
        <v>2137</v>
      </c>
    </row>
    <row r="3434" customFormat="false" ht="15" hidden="false" customHeight="false" outlineLevel="0" collapsed="false">
      <c r="A3434" s="1" t="s">
        <v>2187</v>
      </c>
    </row>
    <row r="3435" customFormat="false" ht="15" hidden="false" customHeight="false" outlineLevel="0" collapsed="false">
      <c r="A3435" s="1" t="s">
        <v>2188</v>
      </c>
    </row>
    <row r="3436" customFormat="false" ht="15" hidden="false" customHeight="false" outlineLevel="0" collapsed="false"/>
    <row r="3437" customFormat="false" ht="15" hidden="false" customHeight="false" outlineLevel="0" collapsed="false">
      <c r="A3437" s="1" t="s">
        <v>1209</v>
      </c>
    </row>
    <row r="3438" customFormat="false" ht="15" hidden="false" customHeight="false" outlineLevel="0" collapsed="false">
      <c r="A3438" s="1" t="s">
        <v>2189</v>
      </c>
    </row>
    <row r="3439" customFormat="false" ht="15" hidden="false" customHeight="false" outlineLevel="0" collapsed="false">
      <c r="A3439" s="1" t="s">
        <v>2190</v>
      </c>
    </row>
    <row r="3440" customFormat="false" ht="15" hidden="false" customHeight="false" outlineLevel="0" collapsed="false">
      <c r="A3440" s="1" t="s">
        <v>2191</v>
      </c>
    </row>
    <row r="3441" customFormat="false" ht="15" hidden="false" customHeight="false" outlineLevel="0" collapsed="false">
      <c r="A3441" s="1" t="s">
        <v>2188</v>
      </c>
    </row>
    <row r="3442" customFormat="false" ht="15" hidden="false" customHeight="false" outlineLevel="0" collapsed="false"/>
    <row r="3443" customFormat="false" ht="15" hidden="false" customHeight="false" outlineLevel="0" collapsed="false">
      <c r="A3443" s="1" t="s">
        <v>1210</v>
      </c>
    </row>
    <row r="3444" customFormat="false" ht="15" hidden="false" customHeight="false" outlineLevel="0" collapsed="false">
      <c r="A3444" s="1" t="s">
        <v>2192</v>
      </c>
    </row>
    <row r="3445" customFormat="false" ht="15" hidden="false" customHeight="false" outlineLevel="0" collapsed="false">
      <c r="A3445" s="1" t="s">
        <v>2193</v>
      </c>
    </row>
    <row r="3446" customFormat="false" ht="15" hidden="false" customHeight="false" outlineLevel="0" collapsed="false"/>
    <row r="3447" customFormat="false" ht="15" hidden="false" customHeight="false" outlineLevel="0" collapsed="false">
      <c r="A3447" s="1" t="s">
        <v>1211</v>
      </c>
    </row>
    <row r="3448" customFormat="false" ht="15" hidden="false" customHeight="false" outlineLevel="0" collapsed="false">
      <c r="A3448" s="1" t="s">
        <v>2189</v>
      </c>
    </row>
    <row r="3449" customFormat="false" ht="15" hidden="false" customHeight="false" outlineLevel="0" collapsed="false">
      <c r="A3449" s="1" t="s">
        <v>2190</v>
      </c>
    </row>
    <row r="3450" customFormat="false" ht="15" hidden="false" customHeight="false" outlineLevel="0" collapsed="false"/>
    <row r="3451" customFormat="false" ht="15" hidden="false" customHeight="false" outlineLevel="0" collapsed="false">
      <c r="A3451" s="1" t="s">
        <v>1212</v>
      </c>
    </row>
    <row r="3452" customFormat="false" ht="15" hidden="false" customHeight="false" outlineLevel="0" collapsed="false">
      <c r="A3452" s="1" t="s">
        <v>2189</v>
      </c>
    </row>
    <row r="3453" customFormat="false" ht="15" hidden="false" customHeight="false" outlineLevel="0" collapsed="false">
      <c r="A3453" s="1" t="s">
        <v>2194</v>
      </c>
    </row>
    <row r="3454" customFormat="false" ht="15" hidden="false" customHeight="false" outlineLevel="0" collapsed="false">
      <c r="A3454" s="1" t="s">
        <v>2137</v>
      </c>
    </row>
    <row r="3455" customFormat="false" ht="15" hidden="false" customHeight="false" outlineLevel="0" collapsed="false">
      <c r="A3455" s="1" t="s">
        <v>2195</v>
      </c>
    </row>
    <row r="3456" customFormat="false" ht="15" hidden="false" customHeight="false" outlineLevel="0" collapsed="false">
      <c r="A3456" s="1" t="s">
        <v>2196</v>
      </c>
    </row>
    <row r="3457" customFormat="false" ht="15" hidden="false" customHeight="false" outlineLevel="0" collapsed="false"/>
    <row r="3458" customFormat="false" ht="15" hidden="false" customHeight="false" outlineLevel="0" collapsed="false">
      <c r="A3458" s="1" t="s">
        <v>1209</v>
      </c>
    </row>
    <row r="3459" customFormat="false" ht="15" hidden="false" customHeight="false" outlineLevel="0" collapsed="false">
      <c r="A3459" s="1" t="s">
        <v>2197</v>
      </c>
    </row>
    <row r="3460" customFormat="false" ht="15" hidden="false" customHeight="false" outlineLevel="0" collapsed="false">
      <c r="A3460" s="1" t="s">
        <v>2198</v>
      </c>
    </row>
    <row r="3461" customFormat="false" ht="15" hidden="false" customHeight="false" outlineLevel="0" collapsed="false">
      <c r="A3461" s="1" t="s">
        <v>2199</v>
      </c>
    </row>
    <row r="3462" customFormat="false" ht="15" hidden="false" customHeight="false" outlineLevel="0" collapsed="false">
      <c r="A3462" s="1" t="s">
        <v>2196</v>
      </c>
    </row>
    <row r="3463" customFormat="false" ht="15" hidden="false" customHeight="false" outlineLevel="0" collapsed="false"/>
    <row r="3464" customFormat="false" ht="15" hidden="false" customHeight="false" outlineLevel="0" collapsed="false">
      <c r="A3464" s="1" t="s">
        <v>1210</v>
      </c>
    </row>
    <row r="3465" customFormat="false" ht="15" hidden="false" customHeight="false" outlineLevel="0" collapsed="false">
      <c r="A3465" s="1" t="s">
        <v>2200</v>
      </c>
    </row>
    <row r="3466" customFormat="false" ht="15" hidden="false" customHeight="false" outlineLevel="0" collapsed="false">
      <c r="A3466" s="1" t="s">
        <v>2201</v>
      </c>
    </row>
    <row r="3467" customFormat="false" ht="15" hidden="false" customHeight="false" outlineLevel="0" collapsed="false"/>
    <row r="3468" customFormat="false" ht="15" hidden="false" customHeight="false" outlineLevel="0" collapsed="false">
      <c r="A3468" s="1" t="s">
        <v>1211</v>
      </c>
    </row>
    <row r="3469" customFormat="false" ht="15" hidden="false" customHeight="false" outlineLevel="0" collapsed="false">
      <c r="A3469" s="1" t="s">
        <v>2197</v>
      </c>
    </row>
    <row r="3470" customFormat="false" ht="15" hidden="false" customHeight="false" outlineLevel="0" collapsed="false">
      <c r="A3470" s="1" t="s">
        <v>2198</v>
      </c>
    </row>
    <row r="3471" customFormat="false" ht="15" hidden="false" customHeight="false" outlineLevel="0" collapsed="false"/>
    <row r="3472" customFormat="false" ht="15" hidden="false" customHeight="false" outlineLevel="0" collapsed="false">
      <c r="A3472" s="1" t="s">
        <v>1212</v>
      </c>
    </row>
    <row r="3473" customFormat="false" ht="15" hidden="false" customHeight="false" outlineLevel="0" collapsed="false">
      <c r="A3473" s="1" t="s">
        <v>2197</v>
      </c>
    </row>
    <row r="3474" customFormat="false" ht="15" hidden="false" customHeight="false" outlineLevel="0" collapsed="false">
      <c r="A3474" s="1" t="s">
        <v>2202</v>
      </c>
    </row>
    <row r="3475" customFormat="false" ht="15" hidden="false" customHeight="false" outlineLevel="0" collapsed="false">
      <c r="A3475" s="1" t="s">
        <v>2137</v>
      </c>
    </row>
    <row r="3476" customFormat="false" ht="15" hidden="false" customHeight="false" outlineLevel="0" collapsed="false">
      <c r="A3476" s="1" t="s">
        <v>2203</v>
      </c>
    </row>
    <row r="3477" customFormat="false" ht="15" hidden="false" customHeight="false" outlineLevel="0" collapsed="false">
      <c r="A3477" s="1" t="s">
        <v>2204</v>
      </c>
    </row>
    <row r="3478" customFormat="false" ht="15" hidden="false" customHeight="false" outlineLevel="0" collapsed="false"/>
    <row r="3479" customFormat="false" ht="15" hidden="false" customHeight="false" outlineLevel="0" collapsed="false">
      <c r="A3479" s="1" t="s">
        <v>1209</v>
      </c>
    </row>
    <row r="3480" customFormat="false" ht="15" hidden="false" customHeight="false" outlineLevel="0" collapsed="false">
      <c r="A3480" s="1" t="s">
        <v>2205</v>
      </c>
    </row>
    <row r="3481" customFormat="false" ht="15" hidden="false" customHeight="false" outlineLevel="0" collapsed="false">
      <c r="A3481" s="1" t="s">
        <v>2206</v>
      </c>
    </row>
    <row r="3482" customFormat="false" ht="15" hidden="false" customHeight="false" outlineLevel="0" collapsed="false">
      <c r="A3482" s="1" t="s">
        <v>2207</v>
      </c>
    </row>
    <row r="3483" customFormat="false" ht="15" hidden="false" customHeight="false" outlineLevel="0" collapsed="false">
      <c r="A3483" s="1" t="s">
        <v>2204</v>
      </c>
    </row>
    <row r="3484" customFormat="false" ht="15" hidden="false" customHeight="false" outlineLevel="0" collapsed="false"/>
    <row r="3485" customFormat="false" ht="15" hidden="false" customHeight="false" outlineLevel="0" collapsed="false">
      <c r="A3485" s="1" t="s">
        <v>1210</v>
      </c>
    </row>
    <row r="3486" customFormat="false" ht="15" hidden="false" customHeight="false" outlineLevel="0" collapsed="false">
      <c r="A3486" s="1" t="s">
        <v>2208</v>
      </c>
    </row>
    <row r="3487" customFormat="false" ht="15" hidden="false" customHeight="false" outlineLevel="0" collapsed="false">
      <c r="A3487" s="1" t="s">
        <v>2209</v>
      </c>
    </row>
    <row r="3488" customFormat="false" ht="15" hidden="false" customHeight="false" outlineLevel="0" collapsed="false"/>
    <row r="3489" customFormat="false" ht="15" hidden="false" customHeight="false" outlineLevel="0" collapsed="false">
      <c r="A3489" s="1" t="s">
        <v>1211</v>
      </c>
    </row>
    <row r="3490" customFormat="false" ht="15" hidden="false" customHeight="false" outlineLevel="0" collapsed="false">
      <c r="A3490" s="1" t="s">
        <v>2205</v>
      </c>
    </row>
    <row r="3491" customFormat="false" ht="15" hidden="false" customHeight="false" outlineLevel="0" collapsed="false">
      <c r="A3491" s="1" t="s">
        <v>2206</v>
      </c>
    </row>
    <row r="3492" customFormat="false" ht="15" hidden="false" customHeight="false" outlineLevel="0" collapsed="false"/>
    <row r="3493" customFormat="false" ht="15" hidden="false" customHeight="false" outlineLevel="0" collapsed="false">
      <c r="A3493" s="1" t="s">
        <v>1212</v>
      </c>
    </row>
    <row r="3494" customFormat="false" ht="15" hidden="false" customHeight="false" outlineLevel="0" collapsed="false">
      <c r="A3494" s="1" t="s">
        <v>2205</v>
      </c>
    </row>
    <row r="3495" customFormat="false" ht="15" hidden="false" customHeight="false" outlineLevel="0" collapsed="false">
      <c r="A3495" s="1" t="s">
        <v>2210</v>
      </c>
    </row>
  </sheetData>
  <printOptions headings="false" gridLines="false" gridLinesSet="true" horizontalCentered="false" verticalCentered="false"/>
  <pageMargins left="0.7875" right="0.7875" top="1.025" bottom="1.025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46.25"/>
    <col collapsed="false" customWidth="true" hidden="false" outlineLevel="0" max="2" min="2" style="0" width="45.75"/>
    <col collapsed="false" customWidth="true" hidden="false" outlineLevel="0" max="26" min="3" style="0" width="11.63"/>
  </cols>
  <sheetData>
    <row r="1" customFormat="false" ht="12.75" hidden="false" customHeight="true" outlineLevel="0" collapsed="false">
      <c r="A1" s="1" t="s">
        <v>2537</v>
      </c>
      <c r="B1" s="1" t="str">
        <f aca="false">TRIM(A1)</f>
        <v>+1, 0, 0,</v>
      </c>
    </row>
    <row r="2" customFormat="false" ht="12.75" hidden="false" customHeight="true" outlineLevel="0" collapsed="false">
      <c r="A2" s="1" t="s">
        <v>2538</v>
      </c>
      <c r="B2" s="1" t="str">
        <f aca="false">TRIM(A2)</f>
        <v>14, # 20%</v>
      </c>
    </row>
    <row r="3" customFormat="false" ht="12.75" hidden="false" customHeight="true" outlineLevel="0" collapsed="false">
      <c r="A3" s="1" t="s">
        <v>1221</v>
      </c>
      <c r="B3" s="1" t="str">
        <f aca="false">TRIM(A3)</f>
        <v>4, 6, CATERPIE</v>
      </c>
    </row>
    <row r="4" customFormat="false" ht="12.75" hidden="false" customHeight="true" outlineLevel="0" collapsed="false">
      <c r="A4" s="1" t="s">
        <v>1222</v>
      </c>
      <c r="B4" s="1" t="str">
        <f aca="false">TRIM(A4)</f>
        <v>+4, 6, WEEDLE</v>
      </c>
    </row>
    <row r="5" customFormat="false" ht="12.75" hidden="false" customHeight="true" outlineLevel="0" collapsed="false">
      <c r="A5" s="2"/>
      <c r="B5" s="1" t="str">
        <f aca="false">TRIM(A5)</f>
        <v/>
      </c>
    </row>
    <row r="6" customFormat="false" ht="12.75" hidden="false" customHeight="true" outlineLevel="0" collapsed="false">
      <c r="A6" s="1" t="s">
        <v>1209</v>
      </c>
      <c r="B6" s="1" t="str">
        <f aca="false">TRIM(A6)</f>
        <v># 10%</v>
      </c>
    </row>
    <row r="7" customFormat="false" ht="12.75" hidden="false" customHeight="true" outlineLevel="0" collapsed="false">
      <c r="A7" s="1" t="s">
        <v>1223</v>
      </c>
      <c r="B7" s="1" t="str">
        <f aca="false">TRIM(A7)</f>
        <v>+5, 7, ODDISH</v>
      </c>
    </row>
    <row r="8" customFormat="false" ht="12.75" hidden="false" customHeight="true" outlineLevel="0" collapsed="false">
      <c r="A8" s="1" t="s">
        <v>1224</v>
      </c>
      <c r="B8" s="1" t="str">
        <f aca="false">TRIM(A8)</f>
        <v>+7, 9, METAPOD</v>
      </c>
    </row>
    <row r="9" customFormat="false" ht="12.75" hidden="false" customHeight="true" outlineLevel="0" collapsed="false">
      <c r="A9" s="1" t="s">
        <v>1225</v>
      </c>
      <c r="B9" s="1" t="str">
        <f aca="false">TRIM(A9)</f>
        <v>+7, 9, KAKUNA</v>
      </c>
    </row>
    <row r="10" customFormat="false" ht="12.75" hidden="false" customHeight="true" outlineLevel="0" collapsed="false">
      <c r="A10" s="1" t="s">
        <v>1226</v>
      </c>
      <c r="B10" s="1" t="str">
        <f aca="false">TRIM(A10)</f>
        <v>+5, 7, PIKACHU</v>
      </c>
    </row>
    <row r="11" customFormat="false" ht="12.75" hidden="false" customHeight="true" outlineLevel="0" collapsed="false">
      <c r="A11" s="2"/>
      <c r="B11" s="1" t="str">
        <f aca="false">TRIM(A11)</f>
        <v/>
      </c>
    </row>
    <row r="12" customFormat="false" ht="12.75" hidden="false" customHeight="true" outlineLevel="0" collapsed="false">
      <c r="A12" s="1" t="s">
        <v>1210</v>
      </c>
      <c r="B12" s="1" t="str">
        <f aca="false">TRIM(A12)</f>
        <v># 5%</v>
      </c>
    </row>
    <row r="13" customFormat="false" ht="12.75" hidden="false" customHeight="true" outlineLevel="0" collapsed="false">
      <c r="A13" s="1" t="s">
        <v>1227</v>
      </c>
      <c r="B13" s="1" t="str">
        <f aca="false">TRIM(A13)</f>
        <v>+5, 7, MANKEY</v>
      </c>
    </row>
    <row r="14" customFormat="false" ht="12.75" hidden="false" customHeight="true" outlineLevel="0" collapsed="false">
      <c r="A14" s="1" t="s">
        <v>1228</v>
      </c>
      <c r="B14" s="1" t="str">
        <f aca="false">TRIM(A14)</f>
        <v>+9, 10, BUTTERFREE</v>
      </c>
    </row>
    <row r="15" customFormat="false" ht="12.75" hidden="false" customHeight="true" outlineLevel="0" collapsed="false">
      <c r="A15" s="2"/>
      <c r="B15" s="1" t="str">
        <f aca="false">TRIM(A15)</f>
        <v/>
      </c>
    </row>
    <row r="16" customFormat="false" ht="12.75" hidden="false" customHeight="true" outlineLevel="0" collapsed="false">
      <c r="A16" s="1" t="s">
        <v>1211</v>
      </c>
      <c r="B16" s="1" t="str">
        <f aca="false">TRIM(A16)</f>
        <v># 4%</v>
      </c>
    </row>
    <row r="17" customFormat="false" ht="12.75" hidden="false" customHeight="true" outlineLevel="0" collapsed="false">
      <c r="A17" s="1" t="s">
        <v>1229</v>
      </c>
      <c r="B17" s="1" t="str">
        <f aca="false">TRIM(A17)</f>
        <v>+9, 10, BEEDRILL</v>
      </c>
    </row>
    <row r="18" customFormat="false" ht="12.75" hidden="false" customHeight="true" outlineLevel="0" collapsed="false">
      <c r="A18" s="1" t="s">
        <v>1230</v>
      </c>
      <c r="B18" s="1" t="str">
        <f aca="false">TRIM(A18)</f>
        <v>+6, 9, TANGELA</v>
      </c>
    </row>
    <row r="19" customFormat="false" ht="12.75" hidden="false" customHeight="true" outlineLevel="0" collapsed="false">
      <c r="A19" s="2"/>
      <c r="B19" s="1" t="str">
        <f aca="false">TRIM(A19)</f>
        <v/>
      </c>
    </row>
    <row r="20" customFormat="false" ht="12.75" hidden="false" customHeight="true" outlineLevel="0" collapsed="false">
      <c r="A20" s="1" t="s">
        <v>1212</v>
      </c>
      <c r="B20" s="1" t="str">
        <f aca="false">TRIM(A20)</f>
        <v># 1%</v>
      </c>
    </row>
    <row r="21" customFormat="false" ht="12.75" hidden="false" customHeight="true" outlineLevel="0" collapsed="false">
      <c r="A21" s="1" t="s">
        <v>1231</v>
      </c>
      <c r="B21" s="1" t="str">
        <f aca="false">TRIM(A21)</f>
        <v>+11, 11, BEEDRILL</v>
      </c>
    </row>
    <row r="22" customFormat="false" ht="12.75" hidden="false" customHeight="true" outlineLevel="0" collapsed="false">
      <c r="A22" s="1" t="s">
        <v>2539</v>
      </c>
      <c r="B22" s="1" t="str">
        <f aca="false">TRIM(A22)</f>
        <v>+10, 10, TANGELA , &lt;null&gt;, &lt;null&gt;, &lt;null&gt;</v>
      </c>
    </row>
    <row r="23" customFormat="false" ht="12.75" hidden="false" customHeight="true" outlineLevel="0" collapsed="false">
      <c r="A23" s="2"/>
      <c r="B23" s="1" t="str">
        <f aca="false">TRIM(A23)</f>
        <v/>
      </c>
    </row>
    <row r="24" customFormat="false" ht="12.75" hidden="false" customHeight="true" outlineLevel="0" collapsed="false">
      <c r="A24" s="1" t="s">
        <v>2536</v>
      </c>
      <c r="B24" s="1" t="str">
        <f aca="false">TRIM(A24)</f>
        <v>NEW ROUTE</v>
      </c>
    </row>
    <row r="25" customFormat="false" ht="12.75" hidden="false" customHeight="true" outlineLevel="0" collapsed="false">
      <c r="A25" s="1" t="s">
        <v>2540</v>
      </c>
      <c r="B25" s="1" t="str">
        <f aca="false">TRIM(A25)</f>
        <v>+1, 1, 0,</v>
      </c>
    </row>
    <row r="26" customFormat="false" ht="12.75" hidden="false" customHeight="true" outlineLevel="0" collapsed="false">
      <c r="A26" s="1" t="s">
        <v>2541</v>
      </c>
      <c r="B26" s="1" t="str">
        <f aca="false">TRIM(A26)</f>
        <v>7, # 20%</v>
      </c>
    </row>
    <row r="27" customFormat="false" ht="12.75" hidden="false" customHeight="true" outlineLevel="0" collapsed="false">
      <c r="A27" s="1" t="s">
        <v>1234</v>
      </c>
      <c r="B27" s="1" t="str">
        <f aca="false">TRIM(A27)</f>
        <v>9, 11, ZUBAT</v>
      </c>
    </row>
    <row r="28" customFormat="false" ht="12.75" hidden="false" customHeight="true" outlineLevel="0" collapsed="false">
      <c r="A28" s="1" t="s">
        <v>1235</v>
      </c>
      <c r="B28" s="1" t="str">
        <f aca="false">TRIM(A28)</f>
        <v>+9, 11, ZUBAT</v>
      </c>
    </row>
    <row r="29" customFormat="false" ht="12.75" hidden="false" customHeight="true" outlineLevel="0" collapsed="false">
      <c r="A29" s="2"/>
      <c r="B29" s="1" t="str">
        <f aca="false">TRIM(A29)</f>
        <v/>
      </c>
    </row>
    <row r="30" customFormat="false" ht="12.75" hidden="false" customHeight="true" outlineLevel="0" collapsed="false">
      <c r="A30" s="1" t="s">
        <v>1209</v>
      </c>
      <c r="B30" s="1" t="str">
        <f aca="false">TRIM(A30)</f>
        <v># 10%</v>
      </c>
    </row>
    <row r="31" customFormat="false" ht="12.75" hidden="false" customHeight="true" outlineLevel="0" collapsed="false">
      <c r="A31" s="1" t="s">
        <v>1236</v>
      </c>
      <c r="B31" s="1" t="str">
        <f aca="false">TRIM(A31)</f>
        <v>+10, 12, ZUBAT</v>
      </c>
    </row>
    <row r="32" customFormat="false" ht="12.75" hidden="false" customHeight="true" outlineLevel="0" collapsed="false">
      <c r="A32" s="1" t="s">
        <v>1236</v>
      </c>
      <c r="B32" s="1" t="str">
        <f aca="false">TRIM(A32)</f>
        <v>+10, 12, ZUBAT</v>
      </c>
    </row>
    <row r="33" customFormat="false" ht="12.75" hidden="false" customHeight="true" outlineLevel="0" collapsed="false">
      <c r="A33" s="1" t="s">
        <v>1237</v>
      </c>
      <c r="B33" s="1" t="str">
        <f aca="false">TRIM(A33)</f>
        <v>+10, 12, GEODUDE</v>
      </c>
    </row>
    <row r="34" customFormat="false" ht="12.75" hidden="false" customHeight="true" outlineLevel="0" collapsed="false">
      <c r="A34" s="1" t="s">
        <v>1237</v>
      </c>
      <c r="B34" s="1" t="str">
        <f aca="false">TRIM(A34)</f>
        <v>+10, 12, GEODUDE</v>
      </c>
    </row>
    <row r="35" customFormat="false" ht="12.75" hidden="false" customHeight="true" outlineLevel="0" collapsed="false">
      <c r="A35" s="2"/>
      <c r="B35" s="1" t="str">
        <f aca="false">TRIM(A35)</f>
        <v/>
      </c>
    </row>
    <row r="36" customFormat="false" ht="12.75" hidden="false" customHeight="true" outlineLevel="0" collapsed="false">
      <c r="A36" s="1" t="s">
        <v>1210</v>
      </c>
      <c r="B36" s="1" t="str">
        <f aca="false">TRIM(A36)</f>
        <v># 5%</v>
      </c>
    </row>
    <row r="37" customFormat="false" ht="12.75" hidden="false" customHeight="true" outlineLevel="0" collapsed="false">
      <c r="A37" s="1" t="s">
        <v>1238</v>
      </c>
      <c r="B37" s="1" t="str">
        <f aca="false">TRIM(A37)</f>
        <v>+11, 11, SANDSHREW</v>
      </c>
    </row>
    <row r="38" customFormat="false" ht="12.75" hidden="false" customHeight="true" outlineLevel="0" collapsed="false">
      <c r="A38" s="1" t="s">
        <v>1238</v>
      </c>
      <c r="B38" s="1" t="str">
        <f aca="false">TRIM(A38)</f>
        <v>+11, 11, SANDSHREW</v>
      </c>
    </row>
    <row r="39" customFormat="false" ht="12.75" hidden="false" customHeight="true" outlineLevel="0" collapsed="false">
      <c r="A39" s="2"/>
      <c r="B39" s="1" t="str">
        <f aca="false">TRIM(A39)</f>
        <v/>
      </c>
    </row>
    <row r="40" customFormat="false" ht="12.75" hidden="false" customHeight="true" outlineLevel="0" collapsed="false">
      <c r="A40" s="1" t="s">
        <v>1211</v>
      </c>
      <c r="B40" s="1" t="str">
        <f aca="false">TRIM(A40)</f>
        <v># 4%</v>
      </c>
    </row>
    <row r="41" customFormat="false" ht="12.75" hidden="false" customHeight="true" outlineLevel="0" collapsed="false">
      <c r="A41" s="1" t="s">
        <v>1239</v>
      </c>
      <c r="B41" s="1" t="str">
        <f aca="false">TRIM(A41)</f>
        <v>+11, 11, PARAS</v>
      </c>
    </row>
    <row r="42" customFormat="false" ht="12.75" hidden="false" customHeight="true" outlineLevel="0" collapsed="false">
      <c r="A42" s="1" t="s">
        <v>1239</v>
      </c>
      <c r="B42" s="1" t="str">
        <f aca="false">TRIM(A42)</f>
        <v>+11, 11, PARAS</v>
      </c>
    </row>
    <row r="43" customFormat="false" ht="12.75" hidden="false" customHeight="true" outlineLevel="0" collapsed="false">
      <c r="A43" s="2"/>
      <c r="B43" s="1" t="str">
        <f aca="false">TRIM(A43)</f>
        <v/>
      </c>
    </row>
    <row r="44" customFormat="false" ht="12.75" hidden="false" customHeight="true" outlineLevel="0" collapsed="false">
      <c r="A44" s="1" t="s">
        <v>1212</v>
      </c>
      <c r="B44" s="1" t="str">
        <f aca="false">TRIM(A44)</f>
        <v># 1%</v>
      </c>
    </row>
    <row r="45" customFormat="false" ht="12.75" hidden="false" customHeight="true" outlineLevel="0" collapsed="false">
      <c r="A45" s="1" t="s">
        <v>1240</v>
      </c>
      <c r="B45" s="1" t="str">
        <f aca="false">TRIM(A45)</f>
        <v>+11, 14, ONIX</v>
      </c>
    </row>
    <row r="46" customFormat="false" ht="12.75" hidden="false" customHeight="true" outlineLevel="0" collapsed="false">
      <c r="A46" s="1" t="s">
        <v>2542</v>
      </c>
      <c r="B46" s="1" t="str">
        <f aca="false">TRIM(A46)</f>
        <v>+11, 14, CLEFAIRY , &lt;null&gt;, &lt;null&gt;, &lt;null&gt;</v>
      </c>
    </row>
    <row r="47" customFormat="false" ht="12.75" hidden="false" customHeight="true" outlineLevel="0" collapsed="false">
      <c r="A47" s="2"/>
      <c r="B47" s="1" t="str">
        <f aca="false">TRIM(A47)</f>
        <v/>
      </c>
    </row>
    <row r="48" customFormat="false" ht="12.75" hidden="false" customHeight="true" outlineLevel="0" collapsed="false">
      <c r="A48" s="1" t="s">
        <v>2536</v>
      </c>
      <c r="B48" s="1" t="str">
        <f aca="false">TRIM(A48)</f>
        <v>NEW ROUTE</v>
      </c>
    </row>
    <row r="49" customFormat="false" ht="12.75" hidden="false" customHeight="true" outlineLevel="0" collapsed="false">
      <c r="A49" s="1" t="s">
        <v>2543</v>
      </c>
      <c r="B49" s="1" t="str">
        <f aca="false">TRIM(A49)</f>
        <v>+1, 2, 0,</v>
      </c>
    </row>
    <row r="50" customFormat="false" ht="12.75" hidden="false" customHeight="true" outlineLevel="0" collapsed="false">
      <c r="A50" s="1" t="s">
        <v>2544</v>
      </c>
      <c r="B50" s="1" t="str">
        <f aca="false">TRIM(A50)</f>
        <v>5, # 20%</v>
      </c>
    </row>
    <row r="51" customFormat="false" ht="12.75" hidden="false" customHeight="true" outlineLevel="0" collapsed="false">
      <c r="A51" s="1" t="s">
        <v>1243</v>
      </c>
      <c r="B51" s="1" t="str">
        <f aca="false">TRIM(A51)</f>
        <v>10, 12, ZUBAT</v>
      </c>
    </row>
    <row r="52" customFormat="false" ht="12.75" hidden="false" customHeight="true" outlineLevel="0" collapsed="false">
      <c r="A52" s="1" t="s">
        <v>1236</v>
      </c>
      <c r="B52" s="1" t="str">
        <f aca="false">TRIM(A52)</f>
        <v>+10, 12, ZUBAT</v>
      </c>
    </row>
    <row r="53" customFormat="false" ht="12.75" hidden="false" customHeight="true" outlineLevel="0" collapsed="false">
      <c r="A53" s="2"/>
      <c r="B53" s="1" t="str">
        <f aca="false">TRIM(A53)</f>
        <v/>
      </c>
    </row>
    <row r="54" customFormat="false" ht="12.75" hidden="false" customHeight="true" outlineLevel="0" collapsed="false">
      <c r="A54" s="1" t="s">
        <v>1209</v>
      </c>
      <c r="B54" s="1" t="str">
        <f aca="false">TRIM(A54)</f>
        <v># 10%</v>
      </c>
    </row>
    <row r="55" customFormat="false" ht="12.75" hidden="false" customHeight="true" outlineLevel="0" collapsed="false">
      <c r="A55" s="1" t="s">
        <v>1244</v>
      </c>
      <c r="B55" s="1" t="str">
        <f aca="false">TRIM(A55)</f>
        <v>+11, 13, ZUBAT</v>
      </c>
    </row>
    <row r="56" customFormat="false" ht="12.75" hidden="false" customHeight="true" outlineLevel="0" collapsed="false">
      <c r="A56" s="1" t="s">
        <v>1244</v>
      </c>
      <c r="B56" s="1" t="str">
        <f aca="false">TRIM(A56)</f>
        <v>+11, 13, ZUBAT</v>
      </c>
    </row>
    <row r="57" customFormat="false" ht="12.75" hidden="false" customHeight="true" outlineLevel="0" collapsed="false">
      <c r="A57" s="1" t="s">
        <v>1245</v>
      </c>
      <c r="B57" s="1" t="str">
        <f aca="false">TRIM(A57)</f>
        <v>+11, 13, GEODUDE</v>
      </c>
    </row>
    <row r="58" customFormat="false" ht="12.75" hidden="false" customHeight="true" outlineLevel="0" collapsed="false">
      <c r="A58" s="1" t="s">
        <v>1245</v>
      </c>
      <c r="B58" s="1" t="str">
        <f aca="false">TRIM(A58)</f>
        <v>+11, 13, GEODUDE</v>
      </c>
    </row>
    <row r="59" customFormat="false" ht="12.75" hidden="false" customHeight="true" outlineLevel="0" collapsed="false">
      <c r="A59" s="2"/>
      <c r="B59" s="1" t="str">
        <f aca="false">TRIM(A59)</f>
        <v/>
      </c>
    </row>
    <row r="60" customFormat="false" ht="12.75" hidden="false" customHeight="true" outlineLevel="0" collapsed="false">
      <c r="A60" s="1" t="s">
        <v>1210</v>
      </c>
      <c r="B60" s="1" t="str">
        <f aca="false">TRIM(A60)</f>
        <v># 5%</v>
      </c>
    </row>
    <row r="61" customFormat="false" ht="12.75" hidden="false" customHeight="true" outlineLevel="0" collapsed="false">
      <c r="A61" s="1" t="s">
        <v>1246</v>
      </c>
      <c r="B61" s="1" t="str">
        <f aca="false">TRIM(A61)</f>
        <v>+12, 12, SANDSHREW</v>
      </c>
    </row>
    <row r="62" customFormat="false" ht="12.75" hidden="false" customHeight="true" outlineLevel="0" collapsed="false">
      <c r="A62" s="1" t="s">
        <v>1246</v>
      </c>
      <c r="B62" s="1" t="str">
        <f aca="false">TRIM(A62)</f>
        <v>+12, 12, SANDSHREW</v>
      </c>
    </row>
    <row r="63" customFormat="false" ht="12.75" hidden="false" customHeight="true" outlineLevel="0" collapsed="false">
      <c r="A63" s="2"/>
      <c r="B63" s="1" t="str">
        <f aca="false">TRIM(A63)</f>
        <v/>
      </c>
    </row>
    <row r="64" customFormat="false" ht="12.75" hidden="false" customHeight="true" outlineLevel="0" collapsed="false">
      <c r="A64" s="1" t="s">
        <v>1211</v>
      </c>
      <c r="B64" s="1" t="str">
        <f aca="false">TRIM(A64)</f>
        <v># 4%</v>
      </c>
    </row>
    <row r="65" customFormat="false" ht="12.75" hidden="false" customHeight="true" outlineLevel="0" collapsed="false">
      <c r="A65" s="1" t="s">
        <v>1247</v>
      </c>
      <c r="B65" s="1" t="str">
        <f aca="false">TRIM(A65)</f>
        <v>+12, 12, PARAS</v>
      </c>
    </row>
    <row r="66" customFormat="false" ht="12.75" hidden="false" customHeight="true" outlineLevel="0" collapsed="false">
      <c r="A66" s="1" t="s">
        <v>1247</v>
      </c>
      <c r="B66" s="1" t="str">
        <f aca="false">TRIM(A66)</f>
        <v>+12, 12, PARAS</v>
      </c>
    </row>
    <row r="67" customFormat="false" ht="12.75" hidden="false" customHeight="true" outlineLevel="0" collapsed="false">
      <c r="A67" s="2"/>
      <c r="B67" s="1" t="str">
        <f aca="false">TRIM(A67)</f>
        <v/>
      </c>
    </row>
    <row r="68" customFormat="false" ht="12.75" hidden="false" customHeight="true" outlineLevel="0" collapsed="false">
      <c r="A68" s="1" t="s">
        <v>1212</v>
      </c>
      <c r="B68" s="1" t="str">
        <f aca="false">TRIM(A68)</f>
        <v># 1%</v>
      </c>
    </row>
    <row r="69" customFormat="false" ht="12.75" hidden="false" customHeight="true" outlineLevel="0" collapsed="false">
      <c r="A69" s="1" t="s">
        <v>1248</v>
      </c>
      <c r="B69" s="1" t="str">
        <f aca="false">TRIM(A69)</f>
        <v>+12, 15, ONIX</v>
      </c>
    </row>
    <row r="70" customFormat="false" ht="12.75" hidden="false" customHeight="true" outlineLevel="0" collapsed="false">
      <c r="A70" s="1" t="s">
        <v>2545</v>
      </c>
      <c r="B70" s="1" t="str">
        <f aca="false">TRIM(A70)</f>
        <v>+12, 15, CLEFAIRY , &lt;null&gt;, &lt;null&gt;, &lt;null&gt;</v>
      </c>
    </row>
    <row r="71" customFormat="false" ht="12.75" hidden="false" customHeight="true" outlineLevel="0" collapsed="false">
      <c r="A71" s="2"/>
      <c r="B71" s="1" t="str">
        <f aca="false">TRIM(A71)</f>
        <v/>
      </c>
    </row>
    <row r="72" customFormat="false" ht="12.75" hidden="false" customHeight="true" outlineLevel="0" collapsed="false">
      <c r="A72" s="1" t="s">
        <v>2536</v>
      </c>
      <c r="B72" s="1" t="str">
        <f aca="false">TRIM(A72)</f>
        <v>NEW ROUTE</v>
      </c>
    </row>
    <row r="73" customFormat="false" ht="12.75" hidden="false" customHeight="true" outlineLevel="0" collapsed="false">
      <c r="A73" s="1" t="s">
        <v>2546</v>
      </c>
      <c r="B73" s="1" t="str">
        <f aca="false">TRIM(A73)</f>
        <v>+1, 3, 0,</v>
      </c>
    </row>
    <row r="74" customFormat="false" ht="12.75" hidden="false" customHeight="true" outlineLevel="0" collapsed="false">
      <c r="A74" s="1" t="s">
        <v>2541</v>
      </c>
      <c r="B74" s="1" t="str">
        <f aca="false">TRIM(A74)</f>
        <v>7, # 20%</v>
      </c>
    </row>
    <row r="75" customFormat="false" ht="12.75" hidden="false" customHeight="true" outlineLevel="0" collapsed="false">
      <c r="A75" s="1" t="s">
        <v>1251</v>
      </c>
      <c r="B75" s="1" t="str">
        <f aca="false">TRIM(A75)</f>
        <v>10, 13, ZUBAT</v>
      </c>
    </row>
    <row r="76" customFormat="false" ht="12.75" hidden="false" customHeight="true" outlineLevel="0" collapsed="false">
      <c r="A76" s="1" t="s">
        <v>1252</v>
      </c>
      <c r="B76" s="1" t="str">
        <f aca="false">TRIM(A76)</f>
        <v>+10, 13, ZUBAT</v>
      </c>
    </row>
    <row r="77" customFormat="false" ht="12.75" hidden="false" customHeight="true" outlineLevel="0" collapsed="false">
      <c r="A77" s="2"/>
      <c r="B77" s="1" t="str">
        <f aca="false">TRIM(A77)</f>
        <v/>
      </c>
    </row>
    <row r="78" customFormat="false" ht="12.75" hidden="false" customHeight="true" outlineLevel="0" collapsed="false">
      <c r="A78" s="1" t="s">
        <v>1209</v>
      </c>
      <c r="B78" s="1" t="str">
        <f aca="false">TRIM(A78)</f>
        <v># 10%</v>
      </c>
    </row>
    <row r="79" customFormat="false" ht="12.75" hidden="false" customHeight="true" outlineLevel="0" collapsed="false">
      <c r="A79" s="1" t="s">
        <v>1253</v>
      </c>
      <c r="B79" s="1" t="str">
        <f aca="false">TRIM(A79)</f>
        <v>+11, 14, ZUBAT</v>
      </c>
    </row>
    <row r="80" customFormat="false" ht="12.75" hidden="false" customHeight="true" outlineLevel="0" collapsed="false">
      <c r="A80" s="1" t="s">
        <v>1254</v>
      </c>
      <c r="B80" s="1" t="str">
        <f aca="false">TRIM(A80)</f>
        <v>+11, 14, GEODUDE</v>
      </c>
    </row>
    <row r="81" customFormat="false" ht="12.75" hidden="false" customHeight="true" outlineLevel="0" collapsed="false">
      <c r="A81" s="1" t="s">
        <v>1254</v>
      </c>
      <c r="B81" s="1" t="str">
        <f aca="false">TRIM(A81)</f>
        <v>+11, 14, GEODUDE</v>
      </c>
    </row>
    <row r="82" customFormat="false" ht="12.75" hidden="false" customHeight="true" outlineLevel="0" collapsed="false">
      <c r="A82" s="1" t="s">
        <v>1255</v>
      </c>
      <c r="B82" s="1" t="str">
        <f aca="false">TRIM(A82)</f>
        <v>+11, 14, SANDSHREW</v>
      </c>
    </row>
    <row r="83" customFormat="false" ht="12.75" hidden="false" customHeight="true" outlineLevel="0" collapsed="false">
      <c r="A83" s="2"/>
      <c r="B83" s="1" t="str">
        <f aca="false">TRIM(A83)</f>
        <v/>
      </c>
    </row>
    <row r="84" customFormat="false" ht="12.75" hidden="false" customHeight="true" outlineLevel="0" collapsed="false">
      <c r="A84" s="1" t="s">
        <v>1210</v>
      </c>
      <c r="B84" s="1" t="str">
        <f aca="false">TRIM(A84)</f>
        <v># 5%</v>
      </c>
    </row>
    <row r="85" customFormat="false" ht="12.75" hidden="false" customHeight="true" outlineLevel="0" collapsed="false">
      <c r="A85" s="1" t="s">
        <v>1256</v>
      </c>
      <c r="B85" s="1" t="str">
        <f aca="false">TRIM(A85)</f>
        <v>+13, 13, PARAS</v>
      </c>
    </row>
    <row r="86" customFormat="false" ht="12.75" hidden="false" customHeight="true" outlineLevel="0" collapsed="false">
      <c r="A86" s="1" t="s">
        <v>1256</v>
      </c>
      <c r="B86" s="1" t="str">
        <f aca="false">TRIM(A86)</f>
        <v>+13, 13, PARAS</v>
      </c>
    </row>
    <row r="87" customFormat="false" ht="12.75" hidden="false" customHeight="true" outlineLevel="0" collapsed="false">
      <c r="A87" s="2"/>
      <c r="B87" s="1" t="str">
        <f aca="false">TRIM(A87)</f>
        <v/>
      </c>
    </row>
    <row r="88" customFormat="false" ht="12.75" hidden="false" customHeight="true" outlineLevel="0" collapsed="false">
      <c r="A88" s="1" t="s">
        <v>1211</v>
      </c>
      <c r="B88" s="1" t="str">
        <f aca="false">TRIM(A88)</f>
        <v># 4%</v>
      </c>
    </row>
    <row r="89" customFormat="false" ht="12.75" hidden="false" customHeight="true" outlineLevel="0" collapsed="false">
      <c r="A89" s="1" t="s">
        <v>1257</v>
      </c>
      <c r="B89" s="1" t="str">
        <f aca="false">TRIM(A89)</f>
        <v>+13, 13, ONIX</v>
      </c>
    </row>
    <row r="90" customFormat="false" ht="12.75" hidden="false" customHeight="true" outlineLevel="0" collapsed="false">
      <c r="A90" s="1" t="s">
        <v>1258</v>
      </c>
      <c r="B90" s="1" t="str">
        <f aca="false">TRIM(A90)</f>
        <v>+13, 13, CLEFAIRY</v>
      </c>
    </row>
    <row r="91" customFormat="false" ht="12.75" hidden="false" customHeight="true" outlineLevel="0" collapsed="false">
      <c r="A91" s="2"/>
      <c r="B91" s="1" t="str">
        <f aca="false">TRIM(A91)</f>
        <v/>
      </c>
    </row>
    <row r="92" customFormat="false" ht="12.75" hidden="false" customHeight="true" outlineLevel="0" collapsed="false">
      <c r="A92" s="1" t="s">
        <v>1212</v>
      </c>
      <c r="B92" s="1" t="str">
        <f aca="false">TRIM(A92)</f>
        <v># 1%</v>
      </c>
    </row>
    <row r="93" customFormat="false" ht="12.75" hidden="false" customHeight="true" outlineLevel="0" collapsed="false">
      <c r="A93" s="1" t="s">
        <v>1259</v>
      </c>
      <c r="B93" s="1" t="str">
        <f aca="false">TRIM(A93)</f>
        <v>+13, 16, GOLBAT</v>
      </c>
    </row>
    <row r="94" customFormat="false" ht="12.75" hidden="false" customHeight="true" outlineLevel="0" collapsed="false">
      <c r="A94" s="1" t="s">
        <v>2547</v>
      </c>
      <c r="B94" s="1" t="str">
        <f aca="false">TRIM(A94)</f>
        <v>+13, 16, GRAVELER , &lt;null&gt;, &lt;null&gt;, &lt;null&gt;</v>
      </c>
    </row>
    <row r="95" customFormat="false" ht="12.75" hidden="false" customHeight="true" outlineLevel="0" collapsed="false">
      <c r="A95" s="2"/>
      <c r="B95" s="1" t="str">
        <f aca="false">TRIM(A95)</f>
        <v/>
      </c>
    </row>
    <row r="96" customFormat="false" ht="12.75" hidden="false" customHeight="true" outlineLevel="0" collapsed="false">
      <c r="A96" s="1" t="s">
        <v>2536</v>
      </c>
      <c r="B96" s="1" t="str">
        <f aca="false">TRIM(A96)</f>
        <v>NEW ROUTE</v>
      </c>
    </row>
    <row r="97" customFormat="false" ht="12.75" hidden="false" customHeight="true" outlineLevel="0" collapsed="false">
      <c r="A97" s="1" t="s">
        <v>2548</v>
      </c>
      <c r="B97" s="1" t="str">
        <f aca="false">TRIM(A97)</f>
        <v>+1, 4, 0, &lt;null&gt;,</v>
      </c>
    </row>
    <row r="98" customFormat="false" ht="12.75" hidden="false" customHeight="true" outlineLevel="0" collapsed="false">
      <c r="A98" s="2"/>
      <c r="B98" s="1" t="str">
        <f aca="false">TRIM(A98)</f>
        <v/>
      </c>
    </row>
    <row r="99" customFormat="false" ht="12.75" hidden="false" customHeight="true" outlineLevel="0" collapsed="false">
      <c r="A99" s="1" t="s">
        <v>2549</v>
      </c>
      <c r="B99" s="1" t="str">
        <f aca="false">TRIM(A99)</f>
        <v>1, 5, 10, TENTACOOL</v>
      </c>
    </row>
    <row r="100" customFormat="false" ht="12.75" hidden="false" customHeight="true" outlineLevel="0" collapsed="false">
      <c r="A100" s="1" t="s">
        <v>1262</v>
      </c>
      <c r="B100" s="1" t="str">
        <f aca="false">TRIM(A100)</f>
        <v>+10, 20, TENTACOOL</v>
      </c>
    </row>
    <row r="101" customFormat="false" ht="12.75" hidden="false" customHeight="true" outlineLevel="0" collapsed="false">
      <c r="A101" s="1" t="s">
        <v>1263</v>
      </c>
      <c r="B101" s="1" t="str">
        <f aca="false">TRIM(A101)</f>
        <v>+20, 30, TENTACOOL</v>
      </c>
    </row>
    <row r="102" customFormat="false" ht="12.75" hidden="false" customHeight="true" outlineLevel="0" collapsed="false">
      <c r="A102" s="1" t="s">
        <v>1264</v>
      </c>
      <c r="B102" s="1" t="str">
        <f aca="false">TRIM(A102)</f>
        <v>+30, 35, TENTACOOL</v>
      </c>
    </row>
    <row r="103" customFormat="false" ht="12.75" hidden="false" customHeight="true" outlineLevel="0" collapsed="false">
      <c r="A103" s="1" t="s">
        <v>2550</v>
      </c>
      <c r="B103" s="1" t="str">
        <f aca="false">TRIM(A103)</f>
        <v>+35, 40, TENTACOOL</v>
      </c>
    </row>
    <row r="104" customFormat="false" ht="12.75" hidden="false" customHeight="true" outlineLevel="0" collapsed="false">
      <c r="A104" s="1" t="s">
        <v>2551</v>
      </c>
      <c r="B104" s="1" t="str">
        <f aca="false">TRIM(A104)</f>
        <v>10, # old rod:</v>
      </c>
    </row>
    <row r="105" customFormat="false" ht="12.75" hidden="false" customHeight="true" outlineLevel="0" collapsed="false">
      <c r="A105" s="1" t="s">
        <v>1266</v>
      </c>
      <c r="B105" s="1" t="str">
        <f aca="false">TRIM(A105)</f>
        <v>5, 5, MAGIKARP</v>
      </c>
    </row>
    <row r="106" customFormat="false" ht="12.75" hidden="false" customHeight="true" outlineLevel="0" collapsed="false">
      <c r="A106" s="1" t="s">
        <v>1267</v>
      </c>
      <c r="B106" s="1" t="str">
        <f aca="false">TRIM(A106)</f>
        <v>+5, 5, MAGIKARP</v>
      </c>
    </row>
    <row r="107" customFormat="false" ht="12.75" hidden="false" customHeight="true" outlineLevel="0" collapsed="false">
      <c r="A107" s="2"/>
      <c r="B107" s="1" t="str">
        <f aca="false">TRIM(A107)</f>
        <v/>
      </c>
    </row>
    <row r="108" customFormat="false" ht="12.75" hidden="false" customHeight="true" outlineLevel="0" collapsed="false">
      <c r="A108" s="1" t="s">
        <v>1268</v>
      </c>
      <c r="B108" s="1" t="str">
        <f aca="false">TRIM(A108)</f>
        <v># good rod:</v>
      </c>
    </row>
    <row r="109" customFormat="false" ht="12.75" hidden="false" customHeight="true" outlineLevel="0" collapsed="false">
      <c r="A109" s="1" t="s">
        <v>1269</v>
      </c>
      <c r="B109" s="1" t="str">
        <f aca="false">TRIM(A109)</f>
        <v>+5, 15, KRABBY</v>
      </c>
    </row>
    <row r="110" customFormat="false" ht="12.75" hidden="false" customHeight="true" outlineLevel="0" collapsed="false">
      <c r="A110" s="1" t="s">
        <v>1270</v>
      </c>
      <c r="B110" s="1" t="str">
        <f aca="false">TRIM(A110)</f>
        <v>+5, 15, MAGIKARP</v>
      </c>
    </row>
    <row r="111" customFormat="false" ht="12.75" hidden="false" customHeight="true" outlineLevel="0" collapsed="false">
      <c r="A111" s="1" t="s">
        <v>1271</v>
      </c>
      <c r="B111" s="1" t="str">
        <f aca="false">TRIM(A111)</f>
        <v>+5, 15, HORSEA</v>
      </c>
    </row>
    <row r="112" customFormat="false" ht="12.75" hidden="false" customHeight="true" outlineLevel="0" collapsed="false">
      <c r="A112" s="2"/>
      <c r="B112" s="1" t="str">
        <f aca="false">TRIM(A112)</f>
        <v/>
      </c>
    </row>
    <row r="113" customFormat="false" ht="12.75" hidden="false" customHeight="true" outlineLevel="0" collapsed="false">
      <c r="A113" s="1" t="s">
        <v>1272</v>
      </c>
      <c r="B113" s="1" t="str">
        <f aca="false">TRIM(A113)</f>
        <v># super rod:</v>
      </c>
    </row>
    <row r="114" customFormat="false" ht="12.75" hidden="false" customHeight="true" outlineLevel="0" collapsed="false">
      <c r="A114" s="1" t="s">
        <v>1273</v>
      </c>
      <c r="B114" s="1" t="str">
        <f aca="false">TRIM(A114)</f>
        <v>+15, 25, KRABBY</v>
      </c>
    </row>
    <row r="115" customFormat="false" ht="12.75" hidden="false" customHeight="true" outlineLevel="0" collapsed="false">
      <c r="A115" s="1" t="s">
        <v>1274</v>
      </c>
      <c r="B115" s="1" t="str">
        <f aca="false">TRIM(A115)</f>
        <v>+15, 25, STARYU</v>
      </c>
    </row>
    <row r="116" customFormat="false" ht="12.75" hidden="false" customHeight="true" outlineLevel="0" collapsed="false">
      <c r="A116" s="1" t="s">
        <v>1275</v>
      </c>
      <c r="B116" s="1" t="str">
        <f aca="false">TRIM(A116)</f>
        <v>+15, 25, GYARADOS</v>
      </c>
    </row>
    <row r="117" customFormat="false" ht="12.75" hidden="false" customHeight="true" outlineLevel="0" collapsed="false">
      <c r="A117" s="1" t="s">
        <v>1276</v>
      </c>
      <c r="B117" s="1" t="str">
        <f aca="false">TRIM(A117)</f>
        <v>+25, 35, KRABBY</v>
      </c>
    </row>
    <row r="118" customFormat="false" ht="12.75" hidden="false" customHeight="true" outlineLevel="0" collapsed="false">
      <c r="A118" s="1" t="s">
        <v>2552</v>
      </c>
      <c r="B118" s="1" t="str">
        <f aca="false">TRIM(A118)</f>
        <v>+25, 35, SLOWPOKE</v>
      </c>
    </row>
    <row r="119" customFormat="false" ht="12.75" hidden="false" customHeight="true" outlineLevel="0" collapsed="false">
      <c r="A119" s="1" t="s">
        <v>2536</v>
      </c>
      <c r="B119" s="1" t="str">
        <f aca="false">TRIM(A119)</f>
        <v>NEW ROUTE</v>
      </c>
    </row>
    <row r="120" customFormat="false" ht="12.75" hidden="false" customHeight="true" outlineLevel="0" collapsed="false">
      <c r="A120" s="1" t="s">
        <v>2553</v>
      </c>
      <c r="B120" s="1" t="str">
        <f aca="false">TRIM(A120)</f>
        <v>+1, 37, 0,</v>
      </c>
    </row>
    <row r="121" customFormat="false" ht="12.75" hidden="false" customHeight="true" outlineLevel="0" collapsed="false">
      <c r="A121" s="1" t="s">
        <v>2544</v>
      </c>
      <c r="B121" s="1" t="str">
        <f aca="false">TRIM(A121)</f>
        <v>5, # 20%</v>
      </c>
    </row>
    <row r="122" customFormat="false" ht="12.75" hidden="false" customHeight="true" outlineLevel="0" collapsed="false">
      <c r="A122" s="1" t="s">
        <v>1279</v>
      </c>
      <c r="B122" s="1" t="str">
        <f aca="false">TRIM(A122)</f>
        <v>18, 18, DIGLETT</v>
      </c>
    </row>
    <row r="123" customFormat="false" ht="12.75" hidden="false" customHeight="true" outlineLevel="0" collapsed="false">
      <c r="A123" s="1" t="s">
        <v>1280</v>
      </c>
      <c r="B123" s="1" t="str">
        <f aca="false">TRIM(A123)</f>
        <v>+19, 19, DIGLETT</v>
      </c>
    </row>
    <row r="124" customFormat="false" ht="12.75" hidden="false" customHeight="true" outlineLevel="0" collapsed="false">
      <c r="A124" s="2"/>
      <c r="B124" s="1" t="str">
        <f aca="false">TRIM(A124)</f>
        <v/>
      </c>
    </row>
    <row r="125" customFormat="false" ht="12.75" hidden="false" customHeight="true" outlineLevel="0" collapsed="false">
      <c r="A125" s="1" t="s">
        <v>1209</v>
      </c>
      <c r="B125" s="1" t="str">
        <f aca="false">TRIM(A125)</f>
        <v># 10%</v>
      </c>
    </row>
    <row r="126" customFormat="false" ht="12.75" hidden="false" customHeight="true" outlineLevel="0" collapsed="false">
      <c r="A126" s="1" t="s">
        <v>1281</v>
      </c>
      <c r="B126" s="1" t="str">
        <f aca="false">TRIM(A126)</f>
        <v>+20, 20, DIGLETT</v>
      </c>
    </row>
    <row r="127" customFormat="false" ht="12.75" hidden="false" customHeight="true" outlineLevel="0" collapsed="false">
      <c r="A127" s="1" t="s">
        <v>1282</v>
      </c>
      <c r="B127" s="1" t="str">
        <f aca="false">TRIM(A127)</f>
        <v>+21, 21, DIGLETT</v>
      </c>
    </row>
    <row r="128" customFormat="false" ht="12.75" hidden="false" customHeight="true" outlineLevel="0" collapsed="false">
      <c r="A128" s="1" t="s">
        <v>1283</v>
      </c>
      <c r="B128" s="1" t="str">
        <f aca="false">TRIM(A128)</f>
        <v>+22, 22, DIGLETT</v>
      </c>
    </row>
    <row r="129" customFormat="false" ht="12.75" hidden="false" customHeight="true" outlineLevel="0" collapsed="false">
      <c r="A129" s="1" t="s">
        <v>1284</v>
      </c>
      <c r="B129" s="1" t="str">
        <f aca="false">TRIM(A129)</f>
        <v>+19, 19, DUGTRIO</v>
      </c>
    </row>
    <row r="130" customFormat="false" ht="12.75" hidden="false" customHeight="true" outlineLevel="0" collapsed="false">
      <c r="A130" s="2"/>
      <c r="B130" s="1" t="str">
        <f aca="false">TRIM(A130)</f>
        <v/>
      </c>
    </row>
    <row r="131" customFormat="false" ht="12.75" hidden="false" customHeight="true" outlineLevel="0" collapsed="false">
      <c r="A131" s="1" t="s">
        <v>1210</v>
      </c>
      <c r="B131" s="1" t="str">
        <f aca="false">TRIM(A131)</f>
        <v># 5%</v>
      </c>
    </row>
    <row r="132" customFormat="false" ht="12.75" hidden="false" customHeight="true" outlineLevel="0" collapsed="false">
      <c r="A132" s="1" t="s">
        <v>1285</v>
      </c>
      <c r="B132" s="1" t="str">
        <f aca="false">TRIM(A132)</f>
        <v>+23, 23, DIGLETT</v>
      </c>
    </row>
    <row r="133" customFormat="false" ht="12.75" hidden="false" customHeight="true" outlineLevel="0" collapsed="false">
      <c r="A133" s="1" t="s">
        <v>1286</v>
      </c>
      <c r="B133" s="1" t="str">
        <f aca="false">TRIM(A133)</f>
        <v>+24, 24, DIGLETT</v>
      </c>
    </row>
    <row r="134" customFormat="false" ht="12.75" hidden="false" customHeight="true" outlineLevel="0" collapsed="false">
      <c r="A134" s="2"/>
      <c r="B134" s="1" t="str">
        <f aca="false">TRIM(A134)</f>
        <v/>
      </c>
    </row>
    <row r="135" customFormat="false" ht="12.75" hidden="false" customHeight="true" outlineLevel="0" collapsed="false">
      <c r="A135" s="1" t="s">
        <v>1211</v>
      </c>
      <c r="B135" s="1" t="str">
        <f aca="false">TRIM(A135)</f>
        <v># 4%</v>
      </c>
    </row>
    <row r="136" customFormat="false" ht="12.75" hidden="false" customHeight="true" outlineLevel="0" collapsed="false">
      <c r="A136" s="1" t="s">
        <v>1287</v>
      </c>
      <c r="B136" s="1" t="str">
        <f aca="false">TRIM(A136)</f>
        <v>+20, 23, DUGTRIO</v>
      </c>
    </row>
    <row r="137" customFormat="false" ht="12.75" hidden="false" customHeight="true" outlineLevel="0" collapsed="false">
      <c r="A137" s="1" t="s">
        <v>1288</v>
      </c>
      <c r="B137" s="1" t="str">
        <f aca="false">TRIM(A137)</f>
        <v>+24, 26, DUGTRIO</v>
      </c>
    </row>
    <row r="138" customFormat="false" ht="12.75" hidden="false" customHeight="true" outlineLevel="0" collapsed="false">
      <c r="A138" s="2"/>
      <c r="B138" s="1" t="str">
        <f aca="false">TRIM(A138)</f>
        <v/>
      </c>
    </row>
    <row r="139" customFormat="false" ht="12.75" hidden="false" customHeight="true" outlineLevel="0" collapsed="false">
      <c r="A139" s="1" t="s">
        <v>1212</v>
      </c>
      <c r="B139" s="1" t="str">
        <f aca="false">TRIM(A139)</f>
        <v># 1%</v>
      </c>
    </row>
    <row r="140" customFormat="false" ht="12.75" hidden="false" customHeight="true" outlineLevel="0" collapsed="false">
      <c r="A140" s="1" t="s">
        <v>1289</v>
      </c>
      <c r="B140" s="1" t="str">
        <f aca="false">TRIM(A140)</f>
        <v>+27, 28, DUGTRIO</v>
      </c>
    </row>
    <row r="141" customFormat="false" ht="12.75" hidden="false" customHeight="true" outlineLevel="0" collapsed="false">
      <c r="A141" s="1" t="s">
        <v>2554</v>
      </c>
      <c r="B141" s="1" t="str">
        <f aca="false">TRIM(A141)</f>
        <v>+30, 30, DUGROUPLE , &lt;null&gt;, &lt;null&gt;, &lt;null&gt;</v>
      </c>
    </row>
    <row r="142" customFormat="false" ht="12.75" hidden="false" customHeight="true" outlineLevel="0" collapsed="false">
      <c r="A142" s="2"/>
      <c r="B142" s="1" t="str">
        <f aca="false">TRIM(A142)</f>
        <v/>
      </c>
    </row>
    <row r="143" customFormat="false" ht="12.75" hidden="false" customHeight="true" outlineLevel="0" collapsed="false">
      <c r="A143" s="1" t="s">
        <v>2536</v>
      </c>
      <c r="B143" s="1" t="str">
        <f aca="false">TRIM(A143)</f>
        <v>NEW ROUTE</v>
      </c>
    </row>
    <row r="144" customFormat="false" ht="12.75" hidden="false" customHeight="true" outlineLevel="0" collapsed="false">
      <c r="A144" s="1" t="s">
        <v>2555</v>
      </c>
      <c r="B144" s="1" t="str">
        <f aca="false">TRIM(A144)</f>
        <v>+1, 39, 0,</v>
      </c>
    </row>
    <row r="145" customFormat="false" ht="12.75" hidden="false" customHeight="true" outlineLevel="0" collapsed="false">
      <c r="A145" s="1" t="s">
        <v>2541</v>
      </c>
      <c r="B145" s="1" t="str">
        <f aca="false">TRIM(A145)</f>
        <v>7, # 20%</v>
      </c>
    </row>
    <row r="146" customFormat="false" ht="12.75" hidden="false" customHeight="true" outlineLevel="0" collapsed="false">
      <c r="A146" s="1" t="s">
        <v>1292</v>
      </c>
      <c r="B146" s="1" t="str">
        <f aca="false">TRIM(A146)</f>
        <v>51, 56, NOHTYP</v>
      </c>
    </row>
    <row r="147" customFormat="false" ht="12.75" hidden="false" customHeight="true" outlineLevel="0" collapsed="false">
      <c r="A147" s="1" t="s">
        <v>1293</v>
      </c>
      <c r="B147" s="1" t="str">
        <f aca="false">TRIM(A147)</f>
        <v>+51, 56, CROBAT</v>
      </c>
    </row>
    <row r="148" customFormat="false" ht="12.75" hidden="false" customHeight="true" outlineLevel="0" collapsed="false">
      <c r="A148" s="2"/>
      <c r="B148" s="1" t="str">
        <f aca="false">TRIM(A148)</f>
        <v/>
      </c>
    </row>
    <row r="149" customFormat="false" ht="12.75" hidden="false" customHeight="true" outlineLevel="0" collapsed="false">
      <c r="A149" s="1" t="s">
        <v>1209</v>
      </c>
      <c r="B149" s="1" t="str">
        <f aca="false">TRIM(A149)</f>
        <v># 10%</v>
      </c>
    </row>
    <row r="150" customFormat="false" ht="12.75" hidden="false" customHeight="true" outlineLevel="0" collapsed="false">
      <c r="A150" s="1" t="s">
        <v>1294</v>
      </c>
      <c r="B150" s="1" t="str">
        <f aca="false">TRIM(A150)</f>
        <v>+51, 56, MACHAMP</v>
      </c>
    </row>
    <row r="151" customFormat="false" ht="12.75" hidden="false" customHeight="true" outlineLevel="0" collapsed="false">
      <c r="A151" s="1" t="s">
        <v>1295</v>
      </c>
      <c r="B151" s="1" t="str">
        <f aca="false">TRIM(A151)</f>
        <v>+51, 56, GOLEM</v>
      </c>
    </row>
    <row r="152" customFormat="false" ht="12.75" hidden="false" customHeight="true" outlineLevel="0" collapsed="false">
      <c r="A152" s="1" t="s">
        <v>1296</v>
      </c>
      <c r="B152" s="1" t="str">
        <f aca="false">TRIM(A152)</f>
        <v>+53, 57, ADNOKANA</v>
      </c>
    </row>
    <row r="153" customFormat="false" ht="12.75" hidden="false" customHeight="true" outlineLevel="0" collapsed="false">
      <c r="A153" s="1" t="s">
        <v>1297</v>
      </c>
      <c r="B153" s="1" t="str">
        <f aca="false">TRIM(A153)</f>
        <v>+53, 57, POLABAT</v>
      </c>
    </row>
    <row r="154" customFormat="false" ht="12.75" hidden="false" customHeight="true" outlineLevel="0" collapsed="false">
      <c r="A154" s="2"/>
      <c r="B154" s="1" t="str">
        <f aca="false">TRIM(A154)</f>
        <v/>
      </c>
    </row>
    <row r="155" customFormat="false" ht="12.75" hidden="false" customHeight="true" outlineLevel="0" collapsed="false">
      <c r="A155" s="1" t="s">
        <v>1210</v>
      </c>
      <c r="B155" s="1" t="str">
        <f aca="false">TRIM(A155)</f>
        <v># 5%</v>
      </c>
    </row>
    <row r="156" customFormat="false" ht="12.75" hidden="false" customHeight="true" outlineLevel="0" collapsed="false">
      <c r="A156" s="1" t="s">
        <v>1298</v>
      </c>
      <c r="B156" s="1" t="str">
        <f aca="false">TRIM(A156)</f>
        <v>+53, 57, MACHULK</v>
      </c>
    </row>
    <row r="157" customFormat="false" ht="12.75" hidden="false" customHeight="true" outlineLevel="0" collapsed="false">
      <c r="A157" s="1" t="s">
        <v>1299</v>
      </c>
      <c r="B157" s="1" t="str">
        <f aca="false">TRIM(A157)</f>
        <v>+53, 57, RHYMARKABL</v>
      </c>
    </row>
    <row r="158" customFormat="false" ht="12.75" hidden="false" customHeight="true" outlineLevel="0" collapsed="false">
      <c r="A158" s="2"/>
      <c r="B158" s="1" t="str">
        <f aca="false">TRIM(A158)</f>
        <v/>
      </c>
    </row>
    <row r="159" customFormat="false" ht="12.75" hidden="false" customHeight="true" outlineLevel="0" collapsed="false">
      <c r="A159" s="1" t="s">
        <v>1211</v>
      </c>
      <c r="B159" s="1" t="str">
        <f aca="false">TRIM(A159)</f>
        <v># 4%</v>
      </c>
    </row>
    <row r="160" customFormat="false" ht="12.75" hidden="false" customHeight="true" outlineLevel="0" collapsed="false">
      <c r="A160" s="1" t="s">
        <v>1300</v>
      </c>
      <c r="B160" s="1" t="str">
        <f aca="false">TRIM(A160)</f>
        <v>+55, 57, PLATNIX</v>
      </c>
    </row>
    <row r="161" customFormat="false" ht="12.75" hidden="false" customHeight="true" outlineLevel="0" collapsed="false">
      <c r="A161" s="1" t="s">
        <v>1301</v>
      </c>
      <c r="B161" s="1" t="str">
        <f aca="false">TRIM(A161)</f>
        <v>+55, 57, SLAGOLEM</v>
      </c>
    </row>
    <row r="162" customFormat="false" ht="12.75" hidden="false" customHeight="true" outlineLevel="0" collapsed="false">
      <c r="A162" s="2"/>
      <c r="B162" s="1" t="str">
        <f aca="false">TRIM(A162)</f>
        <v/>
      </c>
    </row>
    <row r="163" customFormat="false" ht="12.75" hidden="false" customHeight="true" outlineLevel="0" collapsed="false">
      <c r="A163" s="1" t="s">
        <v>1212</v>
      </c>
      <c r="B163" s="1" t="str">
        <f aca="false">TRIM(A163)</f>
        <v># 1%</v>
      </c>
    </row>
    <row r="164" customFormat="false" ht="12.75" hidden="false" customHeight="true" outlineLevel="0" collapsed="false">
      <c r="A164" s="1" t="s">
        <v>1302</v>
      </c>
      <c r="B164" s="1" t="str">
        <f aca="false">TRIM(A164)</f>
        <v>+58, 60, MOLTREM</v>
      </c>
    </row>
    <row r="165" customFormat="false" ht="12.75" hidden="false" customHeight="true" outlineLevel="0" collapsed="false">
      <c r="A165" s="1" t="s">
        <v>2556</v>
      </c>
      <c r="B165" s="1" t="str">
        <f aca="false">TRIM(A165)</f>
        <v>+58, 60, WRAIWRATH , &lt;null&gt;, &lt;null&gt;, &lt;null&gt;</v>
      </c>
    </row>
    <row r="166" customFormat="false" ht="12.75" hidden="false" customHeight="true" outlineLevel="0" collapsed="false">
      <c r="A166" s="2"/>
      <c r="B166" s="1" t="str">
        <f aca="false">TRIM(A166)</f>
        <v/>
      </c>
    </row>
    <row r="167" customFormat="false" ht="12.75" hidden="false" customHeight="true" outlineLevel="0" collapsed="false">
      <c r="A167" s="1" t="s">
        <v>2536</v>
      </c>
      <c r="B167" s="1" t="str">
        <f aca="false">TRIM(A167)</f>
        <v>NEW ROUTE</v>
      </c>
    </row>
    <row r="168" customFormat="false" ht="12.75" hidden="false" customHeight="true" outlineLevel="0" collapsed="false">
      <c r="A168" s="1" t="s">
        <v>2557</v>
      </c>
      <c r="B168" s="1" t="str">
        <f aca="false">TRIM(A168)</f>
        <v>+1, 40, 0,</v>
      </c>
    </row>
    <row r="169" customFormat="false" ht="12.75" hidden="false" customHeight="true" outlineLevel="0" collapsed="false">
      <c r="A169" s="1" t="s">
        <v>2541</v>
      </c>
      <c r="B169" s="1" t="str">
        <f aca="false">TRIM(A169)</f>
        <v>7, # 20%</v>
      </c>
    </row>
    <row r="170" customFormat="false" ht="12.75" hidden="false" customHeight="true" outlineLevel="0" collapsed="false">
      <c r="A170" s="1" t="s">
        <v>1292</v>
      </c>
      <c r="B170" s="1" t="str">
        <f aca="false">TRIM(A170)</f>
        <v>51, 56, NOHTYP</v>
      </c>
    </row>
    <row r="171" customFormat="false" ht="12.75" hidden="false" customHeight="true" outlineLevel="0" collapsed="false">
      <c r="A171" s="1" t="s">
        <v>1293</v>
      </c>
      <c r="B171" s="1" t="str">
        <f aca="false">TRIM(A171)</f>
        <v>+51, 56, CROBAT</v>
      </c>
    </row>
    <row r="172" customFormat="false" ht="12.75" hidden="false" customHeight="true" outlineLevel="0" collapsed="false">
      <c r="A172" s="2"/>
      <c r="B172" s="1" t="str">
        <f aca="false">TRIM(A172)</f>
        <v/>
      </c>
    </row>
    <row r="173" customFormat="false" ht="12.75" hidden="false" customHeight="true" outlineLevel="0" collapsed="false">
      <c r="A173" s="1" t="s">
        <v>1209</v>
      </c>
      <c r="B173" s="1" t="str">
        <f aca="false">TRIM(A173)</f>
        <v># 10%</v>
      </c>
    </row>
    <row r="174" customFormat="false" ht="12.75" hidden="false" customHeight="true" outlineLevel="0" collapsed="false">
      <c r="A174" s="1" t="s">
        <v>1294</v>
      </c>
      <c r="B174" s="1" t="str">
        <f aca="false">TRIM(A174)</f>
        <v>+51, 56, MACHAMP</v>
      </c>
    </row>
    <row r="175" customFormat="false" ht="12.75" hidden="false" customHeight="true" outlineLevel="0" collapsed="false">
      <c r="A175" s="1" t="s">
        <v>1295</v>
      </c>
      <c r="B175" s="1" t="str">
        <f aca="false">TRIM(A175)</f>
        <v>+51, 56, GOLEM</v>
      </c>
    </row>
    <row r="176" customFormat="false" ht="12.75" hidden="false" customHeight="true" outlineLevel="0" collapsed="false">
      <c r="A176" s="1" t="s">
        <v>1296</v>
      </c>
      <c r="B176" s="1" t="str">
        <f aca="false">TRIM(A176)</f>
        <v>+53, 57, ADNOKANA</v>
      </c>
    </row>
    <row r="177" customFormat="false" ht="12.75" hidden="false" customHeight="true" outlineLevel="0" collapsed="false">
      <c r="A177" s="1" t="s">
        <v>1297</v>
      </c>
      <c r="B177" s="1" t="str">
        <f aca="false">TRIM(A177)</f>
        <v>+53, 57, POLABAT</v>
      </c>
    </row>
    <row r="178" customFormat="false" ht="12.75" hidden="false" customHeight="true" outlineLevel="0" collapsed="false">
      <c r="A178" s="2"/>
      <c r="B178" s="1" t="str">
        <f aca="false">TRIM(A178)</f>
        <v/>
      </c>
    </row>
    <row r="179" customFormat="false" ht="12.75" hidden="false" customHeight="true" outlineLevel="0" collapsed="false">
      <c r="A179" s="1" t="s">
        <v>1210</v>
      </c>
      <c r="B179" s="1" t="str">
        <f aca="false">TRIM(A179)</f>
        <v># 5%</v>
      </c>
    </row>
    <row r="180" customFormat="false" ht="12.75" hidden="false" customHeight="true" outlineLevel="0" collapsed="false">
      <c r="A180" s="1" t="s">
        <v>1298</v>
      </c>
      <c r="B180" s="1" t="str">
        <f aca="false">TRIM(A180)</f>
        <v>+53, 57, MACHULK</v>
      </c>
    </row>
    <row r="181" customFormat="false" ht="12.75" hidden="false" customHeight="true" outlineLevel="0" collapsed="false">
      <c r="A181" s="1" t="s">
        <v>1299</v>
      </c>
      <c r="B181" s="1" t="str">
        <f aca="false">TRIM(A181)</f>
        <v>+53, 57, RHYMARKABL</v>
      </c>
    </row>
    <row r="182" customFormat="false" ht="12.75" hidden="false" customHeight="true" outlineLevel="0" collapsed="false">
      <c r="A182" s="2"/>
      <c r="B182" s="1" t="str">
        <f aca="false">TRIM(A182)</f>
        <v/>
      </c>
    </row>
    <row r="183" customFormat="false" ht="12.75" hidden="false" customHeight="true" outlineLevel="0" collapsed="false">
      <c r="A183" s="1" t="s">
        <v>1211</v>
      </c>
      <c r="B183" s="1" t="str">
        <f aca="false">TRIM(A183)</f>
        <v># 4%</v>
      </c>
    </row>
    <row r="184" customFormat="false" ht="12.75" hidden="false" customHeight="true" outlineLevel="0" collapsed="false">
      <c r="A184" s="1" t="s">
        <v>1300</v>
      </c>
      <c r="B184" s="1" t="str">
        <f aca="false">TRIM(A184)</f>
        <v>+55, 57, PLATNIX</v>
      </c>
    </row>
    <row r="185" customFormat="false" ht="12.75" hidden="false" customHeight="true" outlineLevel="0" collapsed="false">
      <c r="A185" s="1" t="s">
        <v>1301</v>
      </c>
      <c r="B185" s="1" t="str">
        <f aca="false">TRIM(A185)</f>
        <v>+55, 57, SLAGOLEM</v>
      </c>
    </row>
    <row r="186" customFormat="false" ht="12.75" hidden="false" customHeight="true" outlineLevel="0" collapsed="false">
      <c r="A186" s="2"/>
      <c r="B186" s="1" t="str">
        <f aca="false">TRIM(A186)</f>
        <v/>
      </c>
    </row>
    <row r="187" customFormat="false" ht="12.75" hidden="false" customHeight="true" outlineLevel="0" collapsed="false">
      <c r="A187" s="1" t="s">
        <v>1212</v>
      </c>
      <c r="B187" s="1" t="str">
        <f aca="false">TRIM(A187)</f>
        <v># 1%</v>
      </c>
    </row>
    <row r="188" customFormat="false" ht="12.75" hidden="false" customHeight="true" outlineLevel="0" collapsed="false">
      <c r="A188" s="1" t="s">
        <v>1305</v>
      </c>
      <c r="B188" s="1" t="str">
        <f aca="false">TRIM(A188)</f>
        <v>+59, 61, MOLTREM</v>
      </c>
    </row>
    <row r="189" customFormat="false" ht="12.75" hidden="false" customHeight="true" outlineLevel="0" collapsed="false">
      <c r="A189" s="1" t="s">
        <v>2558</v>
      </c>
      <c r="B189" s="1" t="str">
        <f aca="false">TRIM(A189)</f>
        <v>+59, 61, FERODILLO , &lt;null&gt;, &lt;null&gt;, &lt;null&gt;</v>
      </c>
    </row>
    <row r="190" customFormat="false" ht="12.75" hidden="false" customHeight="true" outlineLevel="0" collapsed="false">
      <c r="A190" s="2"/>
      <c r="B190" s="1" t="str">
        <f aca="false">TRIM(A190)</f>
        <v/>
      </c>
    </row>
    <row r="191" customFormat="false" ht="12.75" hidden="false" customHeight="true" outlineLevel="0" collapsed="false">
      <c r="A191" s="1" t="s">
        <v>2536</v>
      </c>
      <c r="B191" s="1" t="str">
        <f aca="false">TRIM(A191)</f>
        <v>NEW ROUTE</v>
      </c>
    </row>
    <row r="192" customFormat="false" ht="12.75" hidden="false" customHeight="true" outlineLevel="0" collapsed="false">
      <c r="A192" s="1" t="s">
        <v>2559</v>
      </c>
      <c r="B192" s="1" t="str">
        <f aca="false">TRIM(A192)</f>
        <v>+1, 41, 0,</v>
      </c>
    </row>
    <row r="193" customFormat="false" ht="12.75" hidden="false" customHeight="true" outlineLevel="0" collapsed="false">
      <c r="A193" s="1" t="s">
        <v>2541</v>
      </c>
      <c r="B193" s="1" t="str">
        <f aca="false">TRIM(A193)</f>
        <v>7, # 20%</v>
      </c>
    </row>
    <row r="194" customFormat="false" ht="12.75" hidden="false" customHeight="true" outlineLevel="0" collapsed="false">
      <c r="A194" s="1" t="s">
        <v>1292</v>
      </c>
      <c r="B194" s="1" t="str">
        <f aca="false">TRIM(A194)</f>
        <v>51, 56, NOHTYP</v>
      </c>
    </row>
    <row r="195" customFormat="false" ht="12.75" hidden="false" customHeight="true" outlineLevel="0" collapsed="false">
      <c r="A195" s="1" t="s">
        <v>1293</v>
      </c>
      <c r="B195" s="1" t="str">
        <f aca="false">TRIM(A195)</f>
        <v>+51, 56, CROBAT</v>
      </c>
    </row>
    <row r="196" customFormat="false" ht="12.75" hidden="false" customHeight="true" outlineLevel="0" collapsed="false">
      <c r="A196" s="2"/>
      <c r="B196" s="1" t="str">
        <f aca="false">TRIM(A196)</f>
        <v/>
      </c>
    </row>
    <row r="197" customFormat="false" ht="12.75" hidden="false" customHeight="true" outlineLevel="0" collapsed="false">
      <c r="A197" s="1" t="s">
        <v>1209</v>
      </c>
      <c r="B197" s="1" t="str">
        <f aca="false">TRIM(A197)</f>
        <v># 10%</v>
      </c>
    </row>
    <row r="198" customFormat="false" ht="12.75" hidden="false" customHeight="true" outlineLevel="0" collapsed="false">
      <c r="A198" s="1" t="s">
        <v>1294</v>
      </c>
      <c r="B198" s="1" t="str">
        <f aca="false">TRIM(A198)</f>
        <v>+51, 56, MACHAMP</v>
      </c>
    </row>
    <row r="199" customFormat="false" ht="12.75" hidden="false" customHeight="true" outlineLevel="0" collapsed="false">
      <c r="A199" s="1" t="s">
        <v>1295</v>
      </c>
      <c r="B199" s="1" t="str">
        <f aca="false">TRIM(A199)</f>
        <v>+51, 56, GOLEM</v>
      </c>
    </row>
    <row r="200" customFormat="false" ht="12.75" hidden="false" customHeight="true" outlineLevel="0" collapsed="false">
      <c r="A200" s="1" t="s">
        <v>1296</v>
      </c>
      <c r="B200" s="1" t="str">
        <f aca="false">TRIM(A200)</f>
        <v>+53, 57, ADNOKANA</v>
      </c>
    </row>
    <row r="201" customFormat="false" ht="12.75" hidden="false" customHeight="true" outlineLevel="0" collapsed="false">
      <c r="A201" s="1" t="s">
        <v>1297</v>
      </c>
      <c r="B201" s="1" t="str">
        <f aca="false">TRIM(A201)</f>
        <v>+53, 57, POLABAT</v>
      </c>
    </row>
    <row r="202" customFormat="false" ht="12.75" hidden="false" customHeight="true" outlineLevel="0" collapsed="false">
      <c r="A202" s="2"/>
      <c r="B202" s="1" t="str">
        <f aca="false">TRIM(A202)</f>
        <v/>
      </c>
    </row>
    <row r="203" customFormat="false" ht="12.75" hidden="false" customHeight="true" outlineLevel="0" collapsed="false">
      <c r="A203" s="1" t="s">
        <v>1210</v>
      </c>
      <c r="B203" s="1" t="str">
        <f aca="false">TRIM(A203)</f>
        <v># 5%</v>
      </c>
    </row>
    <row r="204" customFormat="false" ht="12.75" hidden="false" customHeight="true" outlineLevel="0" collapsed="false">
      <c r="A204" s="1" t="s">
        <v>1298</v>
      </c>
      <c r="B204" s="1" t="str">
        <f aca="false">TRIM(A204)</f>
        <v>+53, 57, MACHULK</v>
      </c>
    </row>
    <row r="205" customFormat="false" ht="12.75" hidden="false" customHeight="true" outlineLevel="0" collapsed="false">
      <c r="A205" s="1" t="s">
        <v>1299</v>
      </c>
      <c r="B205" s="1" t="str">
        <f aca="false">TRIM(A205)</f>
        <v>+53, 57, RHYMARKABL</v>
      </c>
    </row>
    <row r="206" customFormat="false" ht="12.75" hidden="false" customHeight="true" outlineLevel="0" collapsed="false">
      <c r="A206" s="2"/>
      <c r="B206" s="1" t="str">
        <f aca="false">TRIM(A206)</f>
        <v/>
      </c>
    </row>
    <row r="207" customFormat="false" ht="12.75" hidden="false" customHeight="true" outlineLevel="0" collapsed="false">
      <c r="A207" s="1" t="s">
        <v>1211</v>
      </c>
      <c r="B207" s="1" t="str">
        <f aca="false">TRIM(A207)</f>
        <v># 4%</v>
      </c>
    </row>
    <row r="208" customFormat="false" ht="12.75" hidden="false" customHeight="true" outlineLevel="0" collapsed="false">
      <c r="A208" s="1" t="s">
        <v>1300</v>
      </c>
      <c r="B208" s="1" t="str">
        <f aca="false">TRIM(A208)</f>
        <v>+55, 57, PLATNIX</v>
      </c>
    </row>
    <row r="209" customFormat="false" ht="12.75" hidden="false" customHeight="true" outlineLevel="0" collapsed="false">
      <c r="A209" s="1" t="s">
        <v>1301</v>
      </c>
      <c r="B209" s="1" t="str">
        <f aca="false">TRIM(A209)</f>
        <v>+55, 57, SLAGOLEM</v>
      </c>
    </row>
    <row r="210" customFormat="false" ht="12.75" hidden="false" customHeight="true" outlineLevel="0" collapsed="false">
      <c r="A210" s="2"/>
      <c r="B210" s="1" t="str">
        <f aca="false">TRIM(A210)</f>
        <v/>
      </c>
    </row>
    <row r="211" customFormat="false" ht="12.75" hidden="false" customHeight="true" outlineLevel="0" collapsed="false">
      <c r="A211" s="1" t="s">
        <v>1212</v>
      </c>
      <c r="B211" s="1" t="str">
        <f aca="false">TRIM(A211)</f>
        <v># 1%</v>
      </c>
    </row>
    <row r="212" customFormat="false" ht="12.75" hidden="false" customHeight="true" outlineLevel="0" collapsed="false">
      <c r="A212" s="1" t="s">
        <v>1308</v>
      </c>
      <c r="B212" s="1" t="str">
        <f aca="false">TRIM(A212)</f>
        <v>+60, 62, MOLTREM</v>
      </c>
    </row>
    <row r="213" customFormat="false" ht="12.75" hidden="false" customHeight="true" outlineLevel="0" collapsed="false">
      <c r="A213" s="1" t="s">
        <v>2560</v>
      </c>
      <c r="B213" s="1" t="str">
        <f aca="false">TRIM(A213)</f>
        <v>+60, 62, CLAYMOR , &lt;null&gt;, &lt;null&gt;, &lt;null&gt;</v>
      </c>
    </row>
    <row r="214" customFormat="false" ht="12.75" hidden="false" customHeight="true" outlineLevel="0" collapsed="false">
      <c r="A214" s="2"/>
      <c r="B214" s="1" t="str">
        <f aca="false">TRIM(A214)</f>
        <v/>
      </c>
    </row>
    <row r="215" customFormat="false" ht="12.75" hidden="false" customHeight="true" outlineLevel="0" collapsed="false">
      <c r="A215" s="1" t="s">
        <v>2536</v>
      </c>
      <c r="B215" s="1" t="str">
        <f aca="false">TRIM(A215)</f>
        <v>NEW ROUTE</v>
      </c>
    </row>
    <row r="216" customFormat="false" ht="12.75" hidden="false" customHeight="true" outlineLevel="0" collapsed="false">
      <c r="A216" s="1" t="s">
        <v>2561</v>
      </c>
      <c r="B216" s="1" t="str">
        <f aca="false">TRIM(A216)</f>
        <v>+1, 59, 0,</v>
      </c>
    </row>
    <row r="217" customFormat="false" ht="12.75" hidden="false" customHeight="true" outlineLevel="0" collapsed="false">
      <c r="A217" s="1" t="s">
        <v>2541</v>
      </c>
      <c r="B217" s="1" t="str">
        <f aca="false">TRIM(A217)</f>
        <v>7, # 20%</v>
      </c>
    </row>
    <row r="218" customFormat="false" ht="12.75" hidden="false" customHeight="true" outlineLevel="0" collapsed="false">
      <c r="A218" s="1" t="s">
        <v>1311</v>
      </c>
      <c r="B218" s="1" t="str">
        <f aca="false">TRIM(A218)</f>
        <v>40, 44, RATTCHET</v>
      </c>
    </row>
    <row r="219" customFormat="false" ht="12.75" hidden="false" customHeight="true" outlineLevel="0" collapsed="false">
      <c r="A219" s="1" t="s">
        <v>1312</v>
      </c>
      <c r="B219" s="1" t="str">
        <f aca="false">TRIM(A219)</f>
        <v>+40, 44, NINETALES</v>
      </c>
    </row>
    <row r="220" customFormat="false" ht="12.75" hidden="false" customHeight="true" outlineLevel="0" collapsed="false">
      <c r="A220" s="2"/>
      <c r="B220" s="1" t="str">
        <f aca="false">TRIM(A220)</f>
        <v/>
      </c>
    </row>
    <row r="221" customFormat="false" ht="12.75" hidden="false" customHeight="true" outlineLevel="0" collapsed="false">
      <c r="A221" s="1" t="s">
        <v>1209</v>
      </c>
      <c r="B221" s="1" t="str">
        <f aca="false">TRIM(A221)</f>
        <v># 10%</v>
      </c>
    </row>
    <row r="222" customFormat="false" ht="12.75" hidden="false" customHeight="true" outlineLevel="0" collapsed="false">
      <c r="A222" s="1" t="s">
        <v>1313</v>
      </c>
      <c r="B222" s="1" t="str">
        <f aca="false">TRIM(A222)</f>
        <v>+41, 42, ARCANINE</v>
      </c>
    </row>
    <row r="223" customFormat="false" ht="12.75" hidden="false" customHeight="true" outlineLevel="0" collapsed="false">
      <c r="A223" s="1" t="s">
        <v>1314</v>
      </c>
      <c r="B223" s="1" t="str">
        <f aca="false">TRIM(A223)</f>
        <v>+43, 44, ARCANINE</v>
      </c>
    </row>
    <row r="224" customFormat="false" ht="12.75" hidden="false" customHeight="true" outlineLevel="0" collapsed="false">
      <c r="A224" s="1" t="s">
        <v>1315</v>
      </c>
      <c r="B224" s="1" t="str">
        <f aca="false">TRIM(A224)</f>
        <v>+42, 44, WEEZING</v>
      </c>
    </row>
    <row r="225" customFormat="false" ht="12.75" hidden="false" customHeight="true" outlineLevel="0" collapsed="false">
      <c r="A225" s="1" t="s">
        <v>1316</v>
      </c>
      <c r="B225" s="1" t="str">
        <f aca="false">TRIM(A225)</f>
        <v>+42, 44, MUK</v>
      </c>
    </row>
    <row r="226" customFormat="false" ht="12.75" hidden="false" customHeight="true" outlineLevel="0" collapsed="false">
      <c r="A226" s="2"/>
      <c r="B226" s="1" t="str">
        <f aca="false">TRIM(A226)</f>
        <v/>
      </c>
    </row>
    <row r="227" customFormat="false" ht="12.75" hidden="false" customHeight="true" outlineLevel="0" collapsed="false">
      <c r="A227" s="1" t="s">
        <v>1210</v>
      </c>
      <c r="B227" s="1" t="str">
        <f aca="false">TRIM(A227)</f>
        <v># 5%</v>
      </c>
    </row>
    <row r="228" customFormat="false" ht="12.75" hidden="false" customHeight="true" outlineLevel="0" collapsed="false">
      <c r="A228" s="1" t="s">
        <v>1317</v>
      </c>
      <c r="B228" s="1" t="str">
        <f aca="false">TRIM(A228)</f>
        <v>+43, 45, SINGESHA</v>
      </c>
    </row>
    <row r="229" customFormat="false" ht="12.75" hidden="false" customHeight="true" outlineLevel="0" collapsed="false">
      <c r="A229" s="1" t="s">
        <v>1318</v>
      </c>
      <c r="B229" s="1" t="str">
        <f aca="false">TRIM(A229)</f>
        <v>+43, 45, SPIRITALES</v>
      </c>
    </row>
    <row r="230" customFormat="false" ht="12.75" hidden="false" customHeight="true" outlineLevel="0" collapsed="false">
      <c r="A230" s="2"/>
      <c r="B230" s="1" t="str">
        <f aca="false">TRIM(A230)</f>
        <v/>
      </c>
    </row>
    <row r="231" customFormat="false" ht="12.75" hidden="false" customHeight="true" outlineLevel="0" collapsed="false">
      <c r="A231" s="1" t="s">
        <v>1211</v>
      </c>
      <c r="B231" s="1" t="str">
        <f aca="false">TRIM(A231)</f>
        <v># 4%</v>
      </c>
    </row>
    <row r="232" customFormat="false" ht="12.75" hidden="false" customHeight="true" outlineLevel="0" collapsed="false">
      <c r="A232" s="1" t="s">
        <v>1319</v>
      </c>
      <c r="B232" s="1" t="str">
        <f aca="false">TRIM(A232)</f>
        <v>+45, 46, GUNK</v>
      </c>
    </row>
    <row r="233" customFormat="false" ht="12.75" hidden="false" customHeight="true" outlineLevel="0" collapsed="false">
      <c r="A233" s="1" t="s">
        <v>1320</v>
      </c>
      <c r="B233" s="1" t="str">
        <f aca="false">TRIM(A233)</f>
        <v>+45, 46, HEEVING</v>
      </c>
    </row>
    <row r="234" customFormat="false" ht="12.75" hidden="false" customHeight="true" outlineLevel="0" collapsed="false">
      <c r="A234" s="2"/>
      <c r="B234" s="1" t="str">
        <f aca="false">TRIM(A234)</f>
        <v/>
      </c>
    </row>
    <row r="235" customFormat="false" ht="12.75" hidden="false" customHeight="true" outlineLevel="0" collapsed="false">
      <c r="A235" s="1" t="s">
        <v>1212</v>
      </c>
      <c r="B235" s="1" t="str">
        <f aca="false">TRIM(A235)</f>
        <v># 1%</v>
      </c>
    </row>
    <row r="236" customFormat="false" ht="12.75" hidden="false" customHeight="true" outlineLevel="0" collapsed="false">
      <c r="A236" s="1" t="s">
        <v>1321</v>
      </c>
      <c r="B236" s="1" t="str">
        <f aca="false">TRIM(A236)</f>
        <v>+44, 47, RATTARULE</v>
      </c>
    </row>
    <row r="237" customFormat="false" ht="12.75" hidden="false" customHeight="true" outlineLevel="0" collapsed="false">
      <c r="A237" s="1" t="s">
        <v>2562</v>
      </c>
      <c r="B237" s="1" t="str">
        <f aca="false">TRIM(A237)</f>
        <v>+20, 25, CHARMANDER , &lt;null&gt;, &lt;null&gt;, &lt;null&gt;</v>
      </c>
    </row>
    <row r="238" customFormat="false" ht="12.75" hidden="false" customHeight="true" outlineLevel="0" collapsed="false">
      <c r="A238" s="2"/>
      <c r="B238" s="1" t="str">
        <f aca="false">TRIM(A238)</f>
        <v/>
      </c>
    </row>
    <row r="239" customFormat="false" ht="12.75" hidden="false" customHeight="true" outlineLevel="0" collapsed="false">
      <c r="A239" s="1" t="s">
        <v>2536</v>
      </c>
      <c r="B239" s="1" t="str">
        <f aca="false">TRIM(A239)</f>
        <v>NEW ROUTE</v>
      </c>
    </row>
    <row r="240" customFormat="false" ht="12.75" hidden="false" customHeight="true" outlineLevel="0" collapsed="false">
      <c r="A240" s="1" t="s">
        <v>2563</v>
      </c>
      <c r="B240" s="1" t="str">
        <f aca="false">TRIM(A240)</f>
        <v>+1, 60, 0,</v>
      </c>
    </row>
    <row r="241" customFormat="false" ht="12.75" hidden="false" customHeight="true" outlineLevel="0" collapsed="false">
      <c r="A241" s="1" t="s">
        <v>2541</v>
      </c>
      <c r="B241" s="1" t="str">
        <f aca="false">TRIM(A241)</f>
        <v>7, # 20%</v>
      </c>
    </row>
    <row r="242" customFormat="false" ht="12.75" hidden="false" customHeight="true" outlineLevel="0" collapsed="false">
      <c r="A242" s="1" t="s">
        <v>1311</v>
      </c>
      <c r="B242" s="1" t="str">
        <f aca="false">TRIM(A242)</f>
        <v>40, 44, RATTCHET</v>
      </c>
    </row>
    <row r="243" customFormat="false" ht="12.75" hidden="false" customHeight="true" outlineLevel="0" collapsed="false">
      <c r="A243" s="1" t="s">
        <v>1312</v>
      </c>
      <c r="B243" s="1" t="str">
        <f aca="false">TRIM(A243)</f>
        <v>+40, 44, NINETALES</v>
      </c>
    </row>
    <row r="244" customFormat="false" ht="12.75" hidden="false" customHeight="true" outlineLevel="0" collapsed="false">
      <c r="A244" s="2"/>
      <c r="B244" s="1" t="str">
        <f aca="false">TRIM(A244)</f>
        <v/>
      </c>
    </row>
    <row r="245" customFormat="false" ht="12.75" hidden="false" customHeight="true" outlineLevel="0" collapsed="false">
      <c r="A245" s="1" t="s">
        <v>1209</v>
      </c>
      <c r="B245" s="1" t="str">
        <f aca="false">TRIM(A245)</f>
        <v># 10%</v>
      </c>
    </row>
    <row r="246" customFormat="false" ht="12.75" hidden="false" customHeight="true" outlineLevel="0" collapsed="false">
      <c r="A246" s="1" t="s">
        <v>1313</v>
      </c>
      <c r="B246" s="1" t="str">
        <f aca="false">TRIM(A246)</f>
        <v>+41, 42, ARCANINE</v>
      </c>
    </row>
    <row r="247" customFormat="false" ht="12.75" hidden="false" customHeight="true" outlineLevel="0" collapsed="false">
      <c r="A247" s="1" t="s">
        <v>1314</v>
      </c>
      <c r="B247" s="1" t="str">
        <f aca="false">TRIM(A247)</f>
        <v>+43, 44, ARCANINE</v>
      </c>
    </row>
    <row r="248" customFormat="false" ht="12.75" hidden="false" customHeight="true" outlineLevel="0" collapsed="false">
      <c r="A248" s="1" t="s">
        <v>1315</v>
      </c>
      <c r="B248" s="1" t="str">
        <f aca="false">TRIM(A248)</f>
        <v>+42, 44, WEEZING</v>
      </c>
    </row>
    <row r="249" customFormat="false" ht="12.75" hidden="false" customHeight="true" outlineLevel="0" collapsed="false">
      <c r="A249" s="1" t="s">
        <v>1316</v>
      </c>
      <c r="B249" s="1" t="str">
        <f aca="false">TRIM(A249)</f>
        <v>+42, 44, MUK</v>
      </c>
    </row>
    <row r="250" customFormat="false" ht="12.75" hidden="false" customHeight="true" outlineLevel="0" collapsed="false">
      <c r="A250" s="2"/>
      <c r="B250" s="1" t="str">
        <f aca="false">TRIM(A250)</f>
        <v/>
      </c>
    </row>
    <row r="251" customFormat="false" ht="12.75" hidden="false" customHeight="true" outlineLevel="0" collapsed="false">
      <c r="A251" s="1" t="s">
        <v>1210</v>
      </c>
      <c r="B251" s="1" t="str">
        <f aca="false">TRIM(A251)</f>
        <v># 5%</v>
      </c>
    </row>
    <row r="252" customFormat="false" ht="12.75" hidden="false" customHeight="true" outlineLevel="0" collapsed="false">
      <c r="A252" s="1" t="s">
        <v>1317</v>
      </c>
      <c r="B252" s="1" t="str">
        <f aca="false">TRIM(A252)</f>
        <v>+43, 45, SINGESHA</v>
      </c>
    </row>
    <row r="253" customFormat="false" ht="12.75" hidden="false" customHeight="true" outlineLevel="0" collapsed="false">
      <c r="A253" s="1" t="s">
        <v>1318</v>
      </c>
      <c r="B253" s="1" t="str">
        <f aca="false">TRIM(A253)</f>
        <v>+43, 45, SPIRITALES</v>
      </c>
    </row>
    <row r="254" customFormat="false" ht="12.75" hidden="false" customHeight="true" outlineLevel="0" collapsed="false">
      <c r="A254" s="2"/>
      <c r="B254" s="1" t="str">
        <f aca="false">TRIM(A254)</f>
        <v/>
      </c>
    </row>
    <row r="255" customFormat="false" ht="12.75" hidden="false" customHeight="true" outlineLevel="0" collapsed="false">
      <c r="A255" s="1" t="s">
        <v>1211</v>
      </c>
      <c r="B255" s="1" t="str">
        <f aca="false">TRIM(A255)</f>
        <v># 4%</v>
      </c>
    </row>
    <row r="256" customFormat="false" ht="12.75" hidden="false" customHeight="true" outlineLevel="0" collapsed="false">
      <c r="A256" s="1" t="s">
        <v>1319</v>
      </c>
      <c r="B256" s="1" t="str">
        <f aca="false">TRIM(A256)</f>
        <v>+45, 46, GUNK</v>
      </c>
    </row>
    <row r="257" customFormat="false" ht="12.75" hidden="false" customHeight="true" outlineLevel="0" collapsed="false">
      <c r="A257" s="1" t="s">
        <v>1320</v>
      </c>
      <c r="B257" s="1" t="str">
        <f aca="false">TRIM(A257)</f>
        <v>+45, 46, HEEVING</v>
      </c>
    </row>
    <row r="258" customFormat="false" ht="12.75" hidden="false" customHeight="true" outlineLevel="0" collapsed="false">
      <c r="A258" s="2"/>
      <c r="B258" s="1" t="str">
        <f aca="false">TRIM(A258)</f>
        <v/>
      </c>
    </row>
    <row r="259" customFormat="false" ht="12.75" hidden="false" customHeight="true" outlineLevel="0" collapsed="false">
      <c r="A259" s="1" t="s">
        <v>1212</v>
      </c>
      <c r="B259" s="1" t="str">
        <f aca="false">TRIM(A259)</f>
        <v># 1%</v>
      </c>
    </row>
    <row r="260" customFormat="false" ht="12.75" hidden="false" customHeight="true" outlineLevel="0" collapsed="false">
      <c r="A260" s="1" t="s">
        <v>1321</v>
      </c>
      <c r="B260" s="1" t="str">
        <f aca="false">TRIM(A260)</f>
        <v>+44, 47, RATTARULE</v>
      </c>
    </row>
    <row r="261" customFormat="false" ht="12.75" hidden="false" customHeight="true" outlineLevel="0" collapsed="false">
      <c r="A261" s="1" t="s">
        <v>2562</v>
      </c>
      <c r="B261" s="1" t="str">
        <f aca="false">TRIM(A261)</f>
        <v>+20, 25, CHARMANDER , &lt;null&gt;, &lt;null&gt;, &lt;null&gt;</v>
      </c>
    </row>
    <row r="262" customFormat="false" ht="12.75" hidden="false" customHeight="true" outlineLevel="0" collapsed="false">
      <c r="A262" s="2"/>
      <c r="B262" s="1" t="str">
        <f aca="false">TRIM(A262)</f>
        <v/>
      </c>
    </row>
    <row r="263" customFormat="false" ht="12.75" hidden="false" customHeight="true" outlineLevel="0" collapsed="false">
      <c r="A263" s="1" t="s">
        <v>2536</v>
      </c>
      <c r="B263" s="1" t="str">
        <f aca="false">TRIM(A263)</f>
        <v>NEW ROUTE</v>
      </c>
    </row>
    <row r="264" customFormat="false" ht="12.75" hidden="false" customHeight="true" outlineLevel="0" collapsed="false">
      <c r="A264" s="1" t="s">
        <v>2564</v>
      </c>
      <c r="B264" s="1" t="str">
        <f aca="false">TRIM(A264)</f>
        <v>+1, 61, 0,</v>
      </c>
    </row>
    <row r="265" customFormat="false" ht="12.75" hidden="false" customHeight="true" outlineLevel="0" collapsed="false">
      <c r="A265" s="1" t="s">
        <v>2541</v>
      </c>
      <c r="B265" s="1" t="str">
        <f aca="false">TRIM(A265)</f>
        <v>7, # 20%</v>
      </c>
    </row>
    <row r="266" customFormat="false" ht="12.75" hidden="false" customHeight="true" outlineLevel="0" collapsed="false">
      <c r="A266" s="1" t="s">
        <v>1311</v>
      </c>
      <c r="B266" s="1" t="str">
        <f aca="false">TRIM(A266)</f>
        <v>40, 44, RATTCHET</v>
      </c>
    </row>
    <row r="267" customFormat="false" ht="12.75" hidden="false" customHeight="true" outlineLevel="0" collapsed="false">
      <c r="A267" s="1" t="s">
        <v>1312</v>
      </c>
      <c r="B267" s="1" t="str">
        <f aca="false">TRIM(A267)</f>
        <v>+40, 44, NINETALES</v>
      </c>
    </row>
    <row r="268" customFormat="false" ht="12.75" hidden="false" customHeight="true" outlineLevel="0" collapsed="false">
      <c r="A268" s="2"/>
      <c r="B268" s="1" t="str">
        <f aca="false">TRIM(A268)</f>
        <v/>
      </c>
    </row>
    <row r="269" customFormat="false" ht="12.75" hidden="false" customHeight="true" outlineLevel="0" collapsed="false">
      <c r="A269" s="1" t="s">
        <v>1209</v>
      </c>
      <c r="B269" s="1" t="str">
        <f aca="false">TRIM(A269)</f>
        <v># 10%</v>
      </c>
    </row>
    <row r="270" customFormat="false" ht="12.75" hidden="false" customHeight="true" outlineLevel="0" collapsed="false">
      <c r="A270" s="1" t="s">
        <v>1313</v>
      </c>
      <c r="B270" s="1" t="str">
        <f aca="false">TRIM(A270)</f>
        <v>+41, 42, ARCANINE</v>
      </c>
    </row>
    <row r="271" customFormat="false" ht="12.75" hidden="false" customHeight="true" outlineLevel="0" collapsed="false">
      <c r="A271" s="1" t="s">
        <v>1314</v>
      </c>
      <c r="B271" s="1" t="str">
        <f aca="false">TRIM(A271)</f>
        <v>+43, 44, ARCANINE</v>
      </c>
    </row>
    <row r="272" customFormat="false" ht="12.75" hidden="false" customHeight="true" outlineLevel="0" collapsed="false">
      <c r="A272" s="1" t="s">
        <v>1315</v>
      </c>
      <c r="B272" s="1" t="str">
        <f aca="false">TRIM(A272)</f>
        <v>+42, 44, WEEZING</v>
      </c>
    </row>
    <row r="273" customFormat="false" ht="12.75" hidden="false" customHeight="true" outlineLevel="0" collapsed="false">
      <c r="A273" s="1" t="s">
        <v>1316</v>
      </c>
      <c r="B273" s="1" t="str">
        <f aca="false">TRIM(A273)</f>
        <v>+42, 44, MUK</v>
      </c>
    </row>
    <row r="274" customFormat="false" ht="12.75" hidden="false" customHeight="true" outlineLevel="0" collapsed="false">
      <c r="A274" s="2"/>
      <c r="B274" s="1" t="str">
        <f aca="false">TRIM(A274)</f>
        <v/>
      </c>
    </row>
    <row r="275" customFormat="false" ht="12.75" hidden="false" customHeight="true" outlineLevel="0" collapsed="false">
      <c r="A275" s="1" t="s">
        <v>1210</v>
      </c>
      <c r="B275" s="1" t="str">
        <f aca="false">TRIM(A275)</f>
        <v># 5%</v>
      </c>
    </row>
    <row r="276" customFormat="false" ht="12.75" hidden="false" customHeight="true" outlineLevel="0" collapsed="false">
      <c r="A276" s="1" t="s">
        <v>1317</v>
      </c>
      <c r="B276" s="1" t="str">
        <f aca="false">TRIM(A276)</f>
        <v>+43, 45, SINGESHA</v>
      </c>
    </row>
    <row r="277" customFormat="false" ht="12.75" hidden="false" customHeight="true" outlineLevel="0" collapsed="false">
      <c r="A277" s="1" t="s">
        <v>1318</v>
      </c>
      <c r="B277" s="1" t="str">
        <f aca="false">TRIM(A277)</f>
        <v>+43, 45, SPIRITALES</v>
      </c>
    </row>
    <row r="278" customFormat="false" ht="12.75" hidden="false" customHeight="true" outlineLevel="0" collapsed="false">
      <c r="A278" s="2"/>
      <c r="B278" s="1" t="str">
        <f aca="false">TRIM(A278)</f>
        <v/>
      </c>
    </row>
    <row r="279" customFormat="false" ht="12.75" hidden="false" customHeight="true" outlineLevel="0" collapsed="false">
      <c r="A279" s="1" t="s">
        <v>1211</v>
      </c>
      <c r="B279" s="1" t="str">
        <f aca="false">TRIM(A279)</f>
        <v># 4%</v>
      </c>
    </row>
    <row r="280" customFormat="false" ht="12.75" hidden="false" customHeight="true" outlineLevel="0" collapsed="false">
      <c r="A280" s="1" t="s">
        <v>1319</v>
      </c>
      <c r="B280" s="1" t="str">
        <f aca="false">TRIM(A280)</f>
        <v>+45, 46, GUNK</v>
      </c>
    </row>
    <row r="281" customFormat="false" ht="12.75" hidden="false" customHeight="true" outlineLevel="0" collapsed="false">
      <c r="A281" s="1" t="s">
        <v>1320</v>
      </c>
      <c r="B281" s="1" t="str">
        <f aca="false">TRIM(A281)</f>
        <v>+45, 46, HEEVING</v>
      </c>
    </row>
    <row r="282" customFormat="false" ht="12.75" hidden="false" customHeight="true" outlineLevel="0" collapsed="false">
      <c r="A282" s="2"/>
      <c r="B282" s="1" t="str">
        <f aca="false">TRIM(A282)</f>
        <v/>
      </c>
    </row>
    <row r="283" customFormat="false" ht="12.75" hidden="false" customHeight="true" outlineLevel="0" collapsed="false">
      <c r="A283" s="1" t="s">
        <v>1212</v>
      </c>
      <c r="B283" s="1" t="str">
        <f aca="false">TRIM(A283)</f>
        <v># 1%</v>
      </c>
    </row>
    <row r="284" customFormat="false" ht="12.75" hidden="false" customHeight="true" outlineLevel="0" collapsed="false">
      <c r="A284" s="1" t="s">
        <v>1321</v>
      </c>
      <c r="B284" s="1" t="str">
        <f aca="false">TRIM(A284)</f>
        <v>+44, 47, RATTARULE</v>
      </c>
    </row>
    <row r="285" customFormat="false" ht="12.75" hidden="false" customHeight="true" outlineLevel="0" collapsed="false">
      <c r="A285" s="1" t="s">
        <v>2562</v>
      </c>
      <c r="B285" s="1" t="str">
        <f aca="false">TRIM(A285)</f>
        <v>+20, 25, CHARMANDER , &lt;null&gt;, &lt;null&gt;, &lt;null&gt;</v>
      </c>
    </row>
    <row r="286" customFormat="false" ht="12.75" hidden="false" customHeight="true" outlineLevel="0" collapsed="false">
      <c r="A286" s="2"/>
      <c r="B286" s="1" t="str">
        <f aca="false">TRIM(A286)</f>
        <v/>
      </c>
    </row>
    <row r="287" customFormat="false" ht="12.75" hidden="false" customHeight="true" outlineLevel="0" collapsed="false">
      <c r="A287" s="1" t="s">
        <v>2536</v>
      </c>
      <c r="B287" s="1" t="str">
        <f aca="false">TRIM(A287)</f>
        <v>NEW ROUTE</v>
      </c>
    </row>
    <row r="288" customFormat="false" ht="12.75" hidden="false" customHeight="true" outlineLevel="0" collapsed="false">
      <c r="A288" s="1" t="s">
        <v>2565</v>
      </c>
      <c r="B288" s="1" t="str">
        <f aca="false">TRIM(A288)</f>
        <v>+1, 62, 0,</v>
      </c>
    </row>
    <row r="289" customFormat="false" ht="12.75" hidden="false" customHeight="true" outlineLevel="0" collapsed="false">
      <c r="A289" s="1" t="s">
        <v>2544</v>
      </c>
      <c r="B289" s="1" t="str">
        <f aca="false">TRIM(A289)</f>
        <v>5, # 20%</v>
      </c>
    </row>
    <row r="290" customFormat="false" ht="12.75" hidden="false" customHeight="true" outlineLevel="0" collapsed="false">
      <c r="A290" s="1" t="s">
        <v>1311</v>
      </c>
      <c r="B290" s="1" t="str">
        <f aca="false">TRIM(A290)</f>
        <v>40, 44, RATTCHET</v>
      </c>
    </row>
    <row r="291" customFormat="false" ht="12.75" hidden="false" customHeight="true" outlineLevel="0" collapsed="false">
      <c r="A291" s="1" t="s">
        <v>1312</v>
      </c>
      <c r="B291" s="1" t="str">
        <f aca="false">TRIM(A291)</f>
        <v>+40, 44, NINETALES</v>
      </c>
    </row>
    <row r="292" customFormat="false" ht="12.75" hidden="false" customHeight="true" outlineLevel="0" collapsed="false">
      <c r="A292" s="2"/>
      <c r="B292" s="1" t="str">
        <f aca="false">TRIM(A292)</f>
        <v/>
      </c>
    </row>
    <row r="293" customFormat="false" ht="12.75" hidden="false" customHeight="true" outlineLevel="0" collapsed="false">
      <c r="A293" s="1" t="s">
        <v>1209</v>
      </c>
      <c r="B293" s="1" t="str">
        <f aca="false">TRIM(A293)</f>
        <v># 10%</v>
      </c>
    </row>
    <row r="294" customFormat="false" ht="12.75" hidden="false" customHeight="true" outlineLevel="0" collapsed="false">
      <c r="A294" s="1" t="s">
        <v>1313</v>
      </c>
      <c r="B294" s="1" t="str">
        <f aca="false">TRIM(A294)</f>
        <v>+41, 42, ARCANINE</v>
      </c>
    </row>
    <row r="295" customFormat="false" ht="12.75" hidden="false" customHeight="true" outlineLevel="0" collapsed="false">
      <c r="A295" s="1" t="s">
        <v>1314</v>
      </c>
      <c r="B295" s="1" t="str">
        <f aca="false">TRIM(A295)</f>
        <v>+43, 44, ARCANINE</v>
      </c>
    </row>
    <row r="296" customFormat="false" ht="12.75" hidden="false" customHeight="true" outlineLevel="0" collapsed="false">
      <c r="A296" s="1" t="s">
        <v>1315</v>
      </c>
      <c r="B296" s="1" t="str">
        <f aca="false">TRIM(A296)</f>
        <v>+42, 44, WEEZING</v>
      </c>
    </row>
    <row r="297" customFormat="false" ht="12.75" hidden="false" customHeight="true" outlineLevel="0" collapsed="false">
      <c r="A297" s="1" t="s">
        <v>1316</v>
      </c>
      <c r="B297" s="1" t="str">
        <f aca="false">TRIM(A297)</f>
        <v>+42, 44, MUK</v>
      </c>
    </row>
    <row r="298" customFormat="false" ht="12.75" hidden="false" customHeight="true" outlineLevel="0" collapsed="false">
      <c r="A298" s="2"/>
      <c r="B298" s="1" t="str">
        <f aca="false">TRIM(A298)</f>
        <v/>
      </c>
    </row>
    <row r="299" customFormat="false" ht="12.75" hidden="false" customHeight="true" outlineLevel="0" collapsed="false">
      <c r="A299" s="1" t="s">
        <v>1210</v>
      </c>
      <c r="B299" s="1" t="str">
        <f aca="false">TRIM(A299)</f>
        <v># 5%</v>
      </c>
    </row>
    <row r="300" customFormat="false" ht="12.75" hidden="false" customHeight="true" outlineLevel="0" collapsed="false">
      <c r="A300" s="1" t="s">
        <v>1326</v>
      </c>
      <c r="B300" s="1" t="str">
        <f aca="false">TRIM(A300)</f>
        <v>+43, 45, GUNK</v>
      </c>
    </row>
    <row r="301" customFormat="false" ht="12.75" hidden="false" customHeight="true" outlineLevel="0" collapsed="false">
      <c r="A301" s="1" t="s">
        <v>1327</v>
      </c>
      <c r="B301" s="1" t="str">
        <f aca="false">TRIM(A301)</f>
        <v>+43, 45, HEEVING</v>
      </c>
    </row>
    <row r="302" customFormat="false" ht="12.75" hidden="false" customHeight="true" outlineLevel="0" collapsed="false">
      <c r="A302" s="2"/>
      <c r="B302" s="1" t="str">
        <f aca="false">TRIM(A302)</f>
        <v/>
      </c>
    </row>
    <row r="303" customFormat="false" ht="12.75" hidden="false" customHeight="true" outlineLevel="0" collapsed="false">
      <c r="A303" s="1" t="s">
        <v>1211</v>
      </c>
      <c r="B303" s="1" t="str">
        <f aca="false">TRIM(A303)</f>
        <v># 4%</v>
      </c>
    </row>
    <row r="304" customFormat="false" ht="12.75" hidden="false" customHeight="true" outlineLevel="0" collapsed="false">
      <c r="A304" s="1" t="s">
        <v>1328</v>
      </c>
      <c r="B304" s="1" t="str">
        <f aca="false">TRIM(A304)</f>
        <v>+45, 46, RATTARULE</v>
      </c>
    </row>
    <row r="305" customFormat="false" ht="12.75" hidden="false" customHeight="true" outlineLevel="0" collapsed="false">
      <c r="A305" s="1" t="s">
        <v>1329</v>
      </c>
      <c r="B305" s="1" t="str">
        <f aca="false">TRIM(A305)</f>
        <v>+45, 46, DITTO</v>
      </c>
    </row>
    <row r="306" customFormat="false" ht="12.75" hidden="false" customHeight="true" outlineLevel="0" collapsed="false">
      <c r="A306" s="2"/>
      <c r="B306" s="1" t="str">
        <f aca="false">TRIM(A306)</f>
        <v/>
      </c>
    </row>
    <row r="307" customFormat="false" ht="12.75" hidden="false" customHeight="true" outlineLevel="0" collapsed="false">
      <c r="A307" s="1" t="s">
        <v>1212</v>
      </c>
      <c r="B307" s="1" t="str">
        <f aca="false">TRIM(A307)</f>
        <v># 1%</v>
      </c>
    </row>
    <row r="308" customFormat="false" ht="12.75" hidden="false" customHeight="true" outlineLevel="0" collapsed="false">
      <c r="A308" s="1" t="s">
        <v>1330</v>
      </c>
      <c r="B308" s="1" t="str">
        <f aca="false">TRIM(A308)</f>
        <v>+20, 25, KABUTO</v>
      </c>
    </row>
    <row r="309" customFormat="false" ht="12.75" hidden="false" customHeight="true" outlineLevel="0" collapsed="false">
      <c r="A309" s="1" t="s">
        <v>2566</v>
      </c>
      <c r="B309" s="1" t="str">
        <f aca="false">TRIM(A309)</f>
        <v>+20, 25, OMANYTE , &lt;null&gt;, &lt;null&gt;, &lt;null&gt;</v>
      </c>
    </row>
    <row r="310" customFormat="false" ht="12.75" hidden="false" customHeight="true" outlineLevel="0" collapsed="false">
      <c r="A310" s="2"/>
      <c r="B310" s="1" t="str">
        <f aca="false">TRIM(A310)</f>
        <v/>
      </c>
    </row>
    <row r="311" customFormat="false" ht="12.75" hidden="false" customHeight="true" outlineLevel="0" collapsed="false">
      <c r="A311" s="1" t="s">
        <v>2536</v>
      </c>
      <c r="B311" s="1" t="str">
        <f aca="false">TRIM(A311)</f>
        <v>NEW ROUTE</v>
      </c>
    </row>
    <row r="312" customFormat="false" ht="12.75" hidden="false" customHeight="true" outlineLevel="0" collapsed="false">
      <c r="A312" s="1" t="s">
        <v>2567</v>
      </c>
      <c r="B312" s="1" t="str">
        <f aca="false">TRIM(A312)</f>
        <v>+1, 63, 0,</v>
      </c>
    </row>
    <row r="313" customFormat="false" ht="12.75" hidden="false" customHeight="true" outlineLevel="0" collapsed="false">
      <c r="A313" s="1" t="s">
        <v>2568</v>
      </c>
      <c r="B313" s="1" t="str">
        <f aca="false">TRIM(A313)</f>
        <v>21, # 20%</v>
      </c>
    </row>
    <row r="314" customFormat="false" ht="12.75" hidden="false" customHeight="true" outlineLevel="0" collapsed="false">
      <c r="A314" s="1" t="s">
        <v>1333</v>
      </c>
      <c r="B314" s="1" t="str">
        <f aca="false">TRIM(A314)</f>
        <v>35, 40, NIDOKING</v>
      </c>
    </row>
    <row r="315" customFormat="false" ht="12.75" hidden="false" customHeight="true" outlineLevel="0" collapsed="false">
      <c r="A315" s="1" t="s">
        <v>1334</v>
      </c>
      <c r="B315" s="1" t="str">
        <f aca="false">TRIM(A315)</f>
        <v>+35, 40, NIDOQUEEN</v>
      </c>
    </row>
    <row r="316" customFormat="false" ht="12.75" hidden="false" customHeight="true" outlineLevel="0" collapsed="false">
      <c r="A316" s="2"/>
      <c r="B316" s="1" t="str">
        <f aca="false">TRIM(A316)</f>
        <v/>
      </c>
    </row>
    <row r="317" customFormat="false" ht="12.75" hidden="false" customHeight="true" outlineLevel="0" collapsed="false">
      <c r="A317" s="1" t="s">
        <v>1209</v>
      </c>
      <c r="B317" s="1" t="str">
        <f aca="false">TRIM(A317)</f>
        <v># 10%</v>
      </c>
    </row>
    <row r="318" customFormat="false" ht="12.75" hidden="false" customHeight="true" outlineLevel="0" collapsed="false">
      <c r="A318" s="1" t="s">
        <v>1335</v>
      </c>
      <c r="B318" s="1" t="str">
        <f aca="false">TRIM(A318)</f>
        <v>+36, 41, PARASECT</v>
      </c>
    </row>
    <row r="319" customFormat="false" ht="12.75" hidden="false" customHeight="true" outlineLevel="0" collapsed="false">
      <c r="A319" s="1" t="s">
        <v>1336</v>
      </c>
      <c r="B319" s="1" t="str">
        <f aca="false">TRIM(A319)</f>
        <v>+36, 41, VENOMOTH</v>
      </c>
    </row>
    <row r="320" customFormat="false" ht="12.75" hidden="false" customHeight="true" outlineLevel="0" collapsed="false">
      <c r="A320" s="1" t="s">
        <v>1337</v>
      </c>
      <c r="B320" s="1" t="str">
        <f aca="false">TRIM(A320)</f>
        <v>+36, 41, EXEGGUTOR</v>
      </c>
    </row>
    <row r="321" customFormat="false" ht="12.75" hidden="false" customHeight="true" outlineLevel="0" collapsed="false">
      <c r="A321" s="1" t="s">
        <v>1338</v>
      </c>
      <c r="B321" s="1" t="str">
        <f aca="false">TRIM(A321)</f>
        <v>+36, 41, RHYDON</v>
      </c>
    </row>
    <row r="322" customFormat="false" ht="12.75" hidden="false" customHeight="true" outlineLevel="0" collapsed="false">
      <c r="A322" s="2"/>
      <c r="B322" s="1" t="str">
        <f aca="false">TRIM(A322)</f>
        <v/>
      </c>
    </row>
    <row r="323" customFormat="false" ht="12.75" hidden="false" customHeight="true" outlineLevel="0" collapsed="false">
      <c r="A323" s="1" t="s">
        <v>1210</v>
      </c>
      <c r="B323" s="1" t="str">
        <f aca="false">TRIM(A323)</f>
        <v># 5%</v>
      </c>
    </row>
    <row r="324" customFormat="false" ht="12.75" hidden="false" customHeight="true" outlineLevel="0" collapsed="false">
      <c r="A324" s="1" t="s">
        <v>1339</v>
      </c>
      <c r="B324" s="1" t="str">
        <f aca="false">TRIM(A324)</f>
        <v>+37, 39, SCIZOR</v>
      </c>
    </row>
    <row r="325" customFormat="false" ht="12.75" hidden="false" customHeight="true" outlineLevel="0" collapsed="false">
      <c r="A325" s="1" t="s">
        <v>1340</v>
      </c>
      <c r="B325" s="1" t="str">
        <f aca="false">TRIM(A325)</f>
        <v>+37, 39, PINSIRIOR</v>
      </c>
    </row>
    <row r="326" customFormat="false" ht="12.75" hidden="false" customHeight="true" outlineLevel="0" collapsed="false">
      <c r="A326" s="2"/>
      <c r="B326" s="1" t="str">
        <f aca="false">TRIM(A326)</f>
        <v/>
      </c>
    </row>
    <row r="327" customFormat="false" ht="12.75" hidden="false" customHeight="true" outlineLevel="0" collapsed="false">
      <c r="A327" s="1" t="s">
        <v>1211</v>
      </c>
      <c r="B327" s="1" t="str">
        <f aca="false">TRIM(A327)</f>
        <v># 4%</v>
      </c>
    </row>
    <row r="328" customFormat="false" ht="12.75" hidden="false" customHeight="true" outlineLevel="0" collapsed="false">
      <c r="A328" s="1" t="s">
        <v>1341</v>
      </c>
      <c r="B328" s="1" t="str">
        <f aca="false">TRIM(A328)</f>
        <v>+38, 42, CHANSEY</v>
      </c>
    </row>
    <row r="329" customFormat="false" ht="12.75" hidden="false" customHeight="true" outlineLevel="0" collapsed="false">
      <c r="A329" s="1" t="s">
        <v>1342</v>
      </c>
      <c r="B329" s="1" t="str">
        <f aca="false">TRIM(A329)</f>
        <v>+38, 42, JOLTEON</v>
      </c>
    </row>
    <row r="330" customFormat="false" ht="12.75" hidden="false" customHeight="true" outlineLevel="0" collapsed="false">
      <c r="A330" s="2"/>
      <c r="B330" s="1" t="str">
        <f aca="false">TRIM(A330)</f>
        <v/>
      </c>
    </row>
    <row r="331" customFormat="false" ht="12.75" hidden="false" customHeight="true" outlineLevel="0" collapsed="false">
      <c r="A331" s="1" t="s">
        <v>1212</v>
      </c>
      <c r="B331" s="1" t="str">
        <f aca="false">TRIM(A331)</f>
        <v># 1%</v>
      </c>
    </row>
    <row r="332" customFormat="false" ht="12.75" hidden="false" customHeight="true" outlineLevel="0" collapsed="false">
      <c r="A332" s="1" t="s">
        <v>1343</v>
      </c>
      <c r="B332" s="1" t="str">
        <f aca="false">TRIM(A332)</f>
        <v>+40, 40, BLISSEY</v>
      </c>
    </row>
    <row r="333" customFormat="false" ht="12.75" hidden="false" customHeight="true" outlineLevel="0" collapsed="false">
      <c r="A333" s="1" t="s">
        <v>2569</v>
      </c>
      <c r="B333" s="1" t="str">
        <f aca="false">TRIM(A333)</f>
        <v>+40, 40, RHYPERIOR</v>
      </c>
    </row>
    <row r="334" customFormat="false" ht="12.75" hidden="false" customHeight="true" outlineLevel="0" collapsed="false">
      <c r="A334" s="1" t="s">
        <v>2570</v>
      </c>
      <c r="B334" s="1" t="str">
        <f aca="false">TRIM(A334)</f>
        <v>2, 38, 42, SLOWPOKE</v>
      </c>
    </row>
    <row r="335" customFormat="false" ht="12.75" hidden="false" customHeight="true" outlineLevel="0" collapsed="false">
      <c r="A335" s="1" t="s">
        <v>1345</v>
      </c>
      <c r="B335" s="1" t="str">
        <f aca="false">TRIM(A335)</f>
        <v>+40, 42, PSYDUCK</v>
      </c>
    </row>
    <row r="336" customFormat="false" ht="12.75" hidden="false" customHeight="true" outlineLevel="0" collapsed="false">
      <c r="A336" s="1" t="s">
        <v>1346</v>
      </c>
      <c r="B336" s="1" t="str">
        <f aca="false">TRIM(A336)</f>
        <v>+42, 46, SLOWBRO</v>
      </c>
    </row>
    <row r="337" customFormat="false" ht="12.75" hidden="false" customHeight="true" outlineLevel="0" collapsed="false">
      <c r="A337" s="1" t="s">
        <v>1347</v>
      </c>
      <c r="B337" s="1" t="str">
        <f aca="false">TRIM(A337)</f>
        <v>+42, 46, GOLDUCK</v>
      </c>
    </row>
    <row r="338" customFormat="false" ht="12.75" hidden="false" customHeight="true" outlineLevel="0" collapsed="false">
      <c r="A338" s="1" t="s">
        <v>2571</v>
      </c>
      <c r="B338" s="1" t="str">
        <f aca="false">TRIM(A338)</f>
        <v>+44, 48, VAPOREON</v>
      </c>
    </row>
    <row r="339" customFormat="false" ht="12.75" hidden="false" customHeight="true" outlineLevel="0" collapsed="false">
      <c r="A339" s="1" t="s">
        <v>2572</v>
      </c>
      <c r="B339" s="1" t="str">
        <f aca="false">TRIM(A339)</f>
        <v>20, # old rod:</v>
      </c>
    </row>
    <row r="340" customFormat="false" ht="12.75" hidden="false" customHeight="true" outlineLevel="0" collapsed="false">
      <c r="A340" s="1" t="s">
        <v>1349</v>
      </c>
      <c r="B340" s="1" t="str">
        <f aca="false">TRIM(A340)</f>
        <v>19, 26, MAGIKARP</v>
      </c>
    </row>
    <row r="341" customFormat="false" ht="12.75" hidden="false" customHeight="true" outlineLevel="0" collapsed="false">
      <c r="A341" s="1" t="s">
        <v>1350</v>
      </c>
      <c r="B341" s="1" t="str">
        <f aca="false">TRIM(A341)</f>
        <v>+19, 26, POLIWAG</v>
      </c>
    </row>
    <row r="342" customFormat="false" ht="12.75" hidden="false" customHeight="true" outlineLevel="0" collapsed="false">
      <c r="A342" s="2"/>
      <c r="B342" s="1" t="str">
        <f aca="false">TRIM(A342)</f>
        <v/>
      </c>
    </row>
    <row r="343" customFormat="false" ht="12.75" hidden="false" customHeight="true" outlineLevel="0" collapsed="false">
      <c r="A343" s="1" t="s">
        <v>1268</v>
      </c>
      <c r="B343" s="1" t="str">
        <f aca="false">TRIM(A343)</f>
        <v># good rod:</v>
      </c>
    </row>
    <row r="344" customFormat="false" ht="12.75" hidden="false" customHeight="true" outlineLevel="0" collapsed="false">
      <c r="A344" s="1" t="s">
        <v>1351</v>
      </c>
      <c r="B344" s="1" t="str">
        <f aca="false">TRIM(A344)</f>
        <v>+29, 33, GYARADOS</v>
      </c>
    </row>
    <row r="345" customFormat="false" ht="12.75" hidden="false" customHeight="true" outlineLevel="0" collapsed="false">
      <c r="A345" s="1" t="s">
        <v>1352</v>
      </c>
      <c r="B345" s="1" t="str">
        <f aca="false">TRIM(A345)</f>
        <v>+30, 35, POLIWAG</v>
      </c>
    </row>
    <row r="346" customFormat="false" ht="12.75" hidden="false" customHeight="true" outlineLevel="0" collapsed="false">
      <c r="A346" s="1" t="s">
        <v>1353</v>
      </c>
      <c r="B346" s="1" t="str">
        <f aca="false">TRIM(A346)</f>
        <v>+30, 35, GOLDEEN</v>
      </c>
    </row>
    <row r="347" customFormat="false" ht="12.75" hidden="false" customHeight="true" outlineLevel="0" collapsed="false">
      <c r="A347" s="2"/>
      <c r="B347" s="1" t="str">
        <f aca="false">TRIM(A347)</f>
        <v/>
      </c>
    </row>
    <row r="348" customFormat="false" ht="12.75" hidden="false" customHeight="true" outlineLevel="0" collapsed="false">
      <c r="A348" s="1" t="s">
        <v>1272</v>
      </c>
      <c r="B348" s="1" t="str">
        <f aca="false">TRIM(A348)</f>
        <v># super rod:</v>
      </c>
    </row>
    <row r="349" customFormat="false" ht="12.75" hidden="false" customHeight="true" outlineLevel="0" collapsed="false">
      <c r="A349" s="1" t="s">
        <v>1354</v>
      </c>
      <c r="B349" s="1" t="str">
        <f aca="false">TRIM(A349)</f>
        <v>+36, 40, POLIWHIRL</v>
      </c>
    </row>
    <row r="350" customFormat="false" ht="12.75" hidden="false" customHeight="true" outlineLevel="0" collapsed="false">
      <c r="A350" s="1" t="s">
        <v>1355</v>
      </c>
      <c r="B350" s="1" t="str">
        <f aca="false">TRIM(A350)</f>
        <v>+36, 40, SEAKING</v>
      </c>
    </row>
    <row r="351" customFormat="false" ht="12.75" hidden="false" customHeight="true" outlineLevel="0" collapsed="false">
      <c r="A351" s="1" t="s">
        <v>1356</v>
      </c>
      <c r="B351" s="1" t="str">
        <f aca="false">TRIM(A351)</f>
        <v>+38, 42, DRATINI</v>
      </c>
    </row>
    <row r="352" customFormat="false" ht="12.75" hidden="false" customHeight="true" outlineLevel="0" collapsed="false">
      <c r="A352" s="1" t="s">
        <v>1357</v>
      </c>
      <c r="B352" s="1" t="str">
        <f aca="false">TRIM(A352)</f>
        <v>+38, 42, DRAGONAIR</v>
      </c>
    </row>
    <row r="353" customFormat="false" ht="12.75" hidden="false" customHeight="true" outlineLevel="0" collapsed="false">
      <c r="A353" s="1" t="s">
        <v>2573</v>
      </c>
      <c r="B353" s="1" t="str">
        <f aca="false">TRIM(A353)</f>
        <v>+40, 44, DRAGONITE</v>
      </c>
    </row>
    <row r="354" customFormat="false" ht="12.75" hidden="false" customHeight="true" outlineLevel="0" collapsed="false">
      <c r="A354" s="1" t="s">
        <v>2536</v>
      </c>
      <c r="B354" s="1" t="str">
        <f aca="false">TRIM(A354)</f>
        <v>NEW ROUTE</v>
      </c>
    </row>
    <row r="355" customFormat="false" ht="12.75" hidden="false" customHeight="true" outlineLevel="0" collapsed="false">
      <c r="A355" s="1" t="s">
        <v>2574</v>
      </c>
      <c r="B355" s="1" t="str">
        <f aca="false">TRIM(A355)</f>
        <v>+1, 64, 0,</v>
      </c>
    </row>
    <row r="356" customFormat="false" ht="12.75" hidden="false" customHeight="true" outlineLevel="0" collapsed="false">
      <c r="A356" s="1" t="s">
        <v>2568</v>
      </c>
      <c r="B356" s="1" t="str">
        <f aca="false">TRIM(A356)</f>
        <v>21, # 20%</v>
      </c>
    </row>
    <row r="357" customFormat="false" ht="12.75" hidden="false" customHeight="true" outlineLevel="0" collapsed="false">
      <c r="A357" s="1" t="s">
        <v>1333</v>
      </c>
      <c r="B357" s="1" t="str">
        <f aca="false">TRIM(A357)</f>
        <v>35, 40, NIDOKING</v>
      </c>
    </row>
    <row r="358" customFormat="false" ht="12.75" hidden="false" customHeight="true" outlineLevel="0" collapsed="false">
      <c r="A358" s="1" t="s">
        <v>1334</v>
      </c>
      <c r="B358" s="1" t="str">
        <f aca="false">TRIM(A358)</f>
        <v>+35, 40, NIDOQUEEN</v>
      </c>
    </row>
    <row r="359" customFormat="false" ht="12.75" hidden="false" customHeight="true" outlineLevel="0" collapsed="false">
      <c r="A359" s="2"/>
      <c r="B359" s="1" t="str">
        <f aca="false">TRIM(A359)</f>
        <v/>
      </c>
    </row>
    <row r="360" customFormat="false" ht="12.75" hidden="false" customHeight="true" outlineLevel="0" collapsed="false">
      <c r="A360" s="1" t="s">
        <v>1209</v>
      </c>
      <c r="B360" s="1" t="str">
        <f aca="false">TRIM(A360)</f>
        <v># 10%</v>
      </c>
    </row>
    <row r="361" customFormat="false" ht="12.75" hidden="false" customHeight="true" outlineLevel="0" collapsed="false">
      <c r="A361" s="1" t="s">
        <v>1335</v>
      </c>
      <c r="B361" s="1" t="str">
        <f aca="false">TRIM(A361)</f>
        <v>+36, 41, PARASECT</v>
      </c>
    </row>
    <row r="362" customFormat="false" ht="12.75" hidden="false" customHeight="true" outlineLevel="0" collapsed="false">
      <c r="A362" s="1" t="s">
        <v>1336</v>
      </c>
      <c r="B362" s="1" t="str">
        <f aca="false">TRIM(A362)</f>
        <v>+36, 41, VENOMOTH</v>
      </c>
    </row>
    <row r="363" customFormat="false" ht="12.75" hidden="false" customHeight="true" outlineLevel="0" collapsed="false">
      <c r="A363" s="1" t="s">
        <v>1360</v>
      </c>
      <c r="B363" s="1" t="str">
        <f aca="false">TRIM(A363)</f>
        <v>+36, 41, DODRIO</v>
      </c>
    </row>
    <row r="364" customFormat="false" ht="12.75" hidden="false" customHeight="true" outlineLevel="0" collapsed="false">
      <c r="A364" s="1" t="s">
        <v>1361</v>
      </c>
      <c r="B364" s="1" t="str">
        <f aca="false">TRIM(A364)</f>
        <v>+36, 41, MAGMAR</v>
      </c>
    </row>
    <row r="365" customFormat="false" ht="12.75" hidden="false" customHeight="true" outlineLevel="0" collapsed="false">
      <c r="A365" s="2"/>
      <c r="B365" s="1" t="str">
        <f aca="false">TRIM(A365)</f>
        <v/>
      </c>
    </row>
    <row r="366" customFormat="false" ht="12.75" hidden="false" customHeight="true" outlineLevel="0" collapsed="false">
      <c r="A366" s="1" t="s">
        <v>1210</v>
      </c>
      <c r="B366" s="1" t="str">
        <f aca="false">TRIM(A366)</f>
        <v># 5%</v>
      </c>
    </row>
    <row r="367" customFormat="false" ht="12.75" hidden="false" customHeight="true" outlineLevel="0" collapsed="false">
      <c r="A367" s="1" t="s">
        <v>1339</v>
      </c>
      <c r="B367" s="1" t="str">
        <f aca="false">TRIM(A367)</f>
        <v>+37, 39, SCIZOR</v>
      </c>
    </row>
    <row r="368" customFormat="false" ht="12.75" hidden="false" customHeight="true" outlineLevel="0" collapsed="false">
      <c r="A368" s="1" t="s">
        <v>1340</v>
      </c>
      <c r="B368" s="1" t="str">
        <f aca="false">TRIM(A368)</f>
        <v>+37, 39, PINSIRIOR</v>
      </c>
    </row>
    <row r="369" customFormat="false" ht="12.75" hidden="false" customHeight="true" outlineLevel="0" collapsed="false">
      <c r="A369" s="2"/>
      <c r="B369" s="1" t="str">
        <f aca="false">TRIM(A369)</f>
        <v/>
      </c>
    </row>
    <row r="370" customFormat="false" ht="12.75" hidden="false" customHeight="true" outlineLevel="0" collapsed="false">
      <c r="A370" s="1" t="s">
        <v>1211</v>
      </c>
      <c r="B370" s="1" t="str">
        <f aca="false">TRIM(A370)</f>
        <v># 4%</v>
      </c>
    </row>
    <row r="371" customFormat="false" ht="12.75" hidden="false" customHeight="true" outlineLevel="0" collapsed="false">
      <c r="A371" s="1" t="s">
        <v>1362</v>
      </c>
      <c r="B371" s="1" t="str">
        <f aca="false">TRIM(A371)</f>
        <v>+38, 42, KANGASKHAN</v>
      </c>
    </row>
    <row r="372" customFormat="false" ht="12.75" hidden="false" customHeight="true" outlineLevel="0" collapsed="false">
      <c r="A372" s="1" t="s">
        <v>1363</v>
      </c>
      <c r="B372" s="1" t="str">
        <f aca="false">TRIM(A372)</f>
        <v>+38, 42, HITMONCHAN</v>
      </c>
    </row>
    <row r="373" customFormat="false" ht="12.75" hidden="false" customHeight="true" outlineLevel="0" collapsed="false">
      <c r="A373" s="2"/>
      <c r="B373" s="1" t="str">
        <f aca="false">TRIM(A373)</f>
        <v/>
      </c>
    </row>
    <row r="374" customFormat="false" ht="12.75" hidden="false" customHeight="true" outlineLevel="0" collapsed="false">
      <c r="A374" s="1" t="s">
        <v>1212</v>
      </c>
      <c r="B374" s="1" t="str">
        <f aca="false">TRIM(A374)</f>
        <v># 1%</v>
      </c>
    </row>
    <row r="375" customFormat="false" ht="12.75" hidden="false" customHeight="true" outlineLevel="0" collapsed="false">
      <c r="A375" s="1" t="s">
        <v>1364</v>
      </c>
      <c r="B375" s="1" t="str">
        <f aca="false">TRIM(A375)</f>
        <v>+40, 40, KANGALLOUS</v>
      </c>
    </row>
    <row r="376" customFormat="false" ht="12.75" hidden="false" customHeight="true" outlineLevel="0" collapsed="false">
      <c r="A376" s="1" t="s">
        <v>2575</v>
      </c>
      <c r="B376" s="1" t="str">
        <f aca="false">TRIM(A376)</f>
        <v>+40, 40, MAGMORTAR</v>
      </c>
    </row>
    <row r="377" customFormat="false" ht="12.75" hidden="false" customHeight="true" outlineLevel="0" collapsed="false">
      <c r="A377" s="1" t="s">
        <v>2570</v>
      </c>
      <c r="B377" s="1" t="str">
        <f aca="false">TRIM(A377)</f>
        <v>2, 38, 42, SLOWPOKE</v>
      </c>
    </row>
    <row r="378" customFormat="false" ht="12.75" hidden="false" customHeight="true" outlineLevel="0" collapsed="false">
      <c r="A378" s="1" t="s">
        <v>1345</v>
      </c>
      <c r="B378" s="1" t="str">
        <f aca="false">TRIM(A378)</f>
        <v>+40, 42, PSYDUCK</v>
      </c>
    </row>
    <row r="379" customFormat="false" ht="12.75" hidden="false" customHeight="true" outlineLevel="0" collapsed="false">
      <c r="A379" s="1" t="s">
        <v>1346</v>
      </c>
      <c r="B379" s="1" t="str">
        <f aca="false">TRIM(A379)</f>
        <v>+42, 46, SLOWBRO</v>
      </c>
    </row>
    <row r="380" customFormat="false" ht="12.75" hidden="false" customHeight="true" outlineLevel="0" collapsed="false">
      <c r="A380" s="1" t="s">
        <v>1347</v>
      </c>
      <c r="B380" s="1" t="str">
        <f aca="false">TRIM(A380)</f>
        <v>+42, 46, GOLDUCK</v>
      </c>
    </row>
    <row r="381" customFormat="false" ht="12.75" hidden="false" customHeight="true" outlineLevel="0" collapsed="false">
      <c r="A381" s="1" t="s">
        <v>2571</v>
      </c>
      <c r="B381" s="1" t="str">
        <f aca="false">TRIM(A381)</f>
        <v>+44, 48, VAPOREON</v>
      </c>
    </row>
    <row r="382" customFormat="false" ht="12.75" hidden="false" customHeight="true" outlineLevel="0" collapsed="false">
      <c r="A382" s="1" t="s">
        <v>2572</v>
      </c>
      <c r="B382" s="1" t="str">
        <f aca="false">TRIM(A382)</f>
        <v>20, # old rod:</v>
      </c>
    </row>
    <row r="383" customFormat="false" ht="12.75" hidden="false" customHeight="true" outlineLevel="0" collapsed="false">
      <c r="A383" s="1" t="s">
        <v>1349</v>
      </c>
      <c r="B383" s="1" t="str">
        <f aca="false">TRIM(A383)</f>
        <v>19, 26, MAGIKARP</v>
      </c>
    </row>
    <row r="384" customFormat="false" ht="12.75" hidden="false" customHeight="true" outlineLevel="0" collapsed="false">
      <c r="A384" s="1" t="s">
        <v>1350</v>
      </c>
      <c r="B384" s="1" t="str">
        <f aca="false">TRIM(A384)</f>
        <v>+19, 26, POLIWAG</v>
      </c>
    </row>
    <row r="385" customFormat="false" ht="12.75" hidden="false" customHeight="true" outlineLevel="0" collapsed="false">
      <c r="A385" s="2"/>
      <c r="B385" s="1" t="str">
        <f aca="false">TRIM(A385)</f>
        <v/>
      </c>
    </row>
    <row r="386" customFormat="false" ht="12.75" hidden="false" customHeight="true" outlineLevel="0" collapsed="false">
      <c r="A386" s="1" t="s">
        <v>1268</v>
      </c>
      <c r="B386" s="1" t="str">
        <f aca="false">TRIM(A386)</f>
        <v># good rod:</v>
      </c>
    </row>
    <row r="387" customFormat="false" ht="12.75" hidden="false" customHeight="true" outlineLevel="0" collapsed="false">
      <c r="A387" s="1" t="s">
        <v>1351</v>
      </c>
      <c r="B387" s="1" t="str">
        <f aca="false">TRIM(A387)</f>
        <v>+29, 33, GYARADOS</v>
      </c>
    </row>
    <row r="388" customFormat="false" ht="12.75" hidden="false" customHeight="true" outlineLevel="0" collapsed="false">
      <c r="A388" s="1" t="s">
        <v>1352</v>
      </c>
      <c r="B388" s="1" t="str">
        <f aca="false">TRIM(A388)</f>
        <v>+30, 35, POLIWAG</v>
      </c>
    </row>
    <row r="389" customFormat="false" ht="12.75" hidden="false" customHeight="true" outlineLevel="0" collapsed="false">
      <c r="A389" s="1" t="s">
        <v>1353</v>
      </c>
      <c r="B389" s="1" t="str">
        <f aca="false">TRIM(A389)</f>
        <v>+30, 35, GOLDEEN</v>
      </c>
    </row>
    <row r="390" customFormat="false" ht="12.75" hidden="false" customHeight="true" outlineLevel="0" collapsed="false">
      <c r="A390" s="2"/>
      <c r="B390" s="1" t="str">
        <f aca="false">TRIM(A390)</f>
        <v/>
      </c>
    </row>
    <row r="391" customFormat="false" ht="12.75" hidden="false" customHeight="true" outlineLevel="0" collapsed="false">
      <c r="A391" s="1" t="s">
        <v>1272</v>
      </c>
      <c r="B391" s="1" t="str">
        <f aca="false">TRIM(A391)</f>
        <v># super rod:</v>
      </c>
    </row>
    <row r="392" customFormat="false" ht="12.75" hidden="false" customHeight="true" outlineLevel="0" collapsed="false">
      <c r="A392" s="1" t="s">
        <v>1354</v>
      </c>
      <c r="B392" s="1" t="str">
        <f aca="false">TRIM(A392)</f>
        <v>+36, 40, POLIWHIRL</v>
      </c>
    </row>
    <row r="393" customFormat="false" ht="12.75" hidden="false" customHeight="true" outlineLevel="0" collapsed="false">
      <c r="A393" s="1" t="s">
        <v>1355</v>
      </c>
      <c r="B393" s="1" t="str">
        <f aca="false">TRIM(A393)</f>
        <v>+36, 40, SEAKING</v>
      </c>
    </row>
    <row r="394" customFormat="false" ht="12.75" hidden="false" customHeight="true" outlineLevel="0" collapsed="false">
      <c r="A394" s="1" t="s">
        <v>1356</v>
      </c>
      <c r="B394" s="1" t="str">
        <f aca="false">TRIM(A394)</f>
        <v>+38, 42, DRATINI</v>
      </c>
    </row>
    <row r="395" customFormat="false" ht="12.75" hidden="false" customHeight="true" outlineLevel="0" collapsed="false">
      <c r="A395" s="1" t="s">
        <v>1357</v>
      </c>
      <c r="B395" s="1" t="str">
        <f aca="false">TRIM(A395)</f>
        <v>+38, 42, DRAGONAIR</v>
      </c>
    </row>
    <row r="396" customFormat="false" ht="12.75" hidden="false" customHeight="true" outlineLevel="0" collapsed="false">
      <c r="A396" s="1" t="s">
        <v>2573</v>
      </c>
      <c r="B396" s="1" t="str">
        <f aca="false">TRIM(A396)</f>
        <v>+40, 44, DRAGONITE</v>
      </c>
    </row>
    <row r="397" customFormat="false" ht="12.75" hidden="false" customHeight="true" outlineLevel="0" collapsed="false">
      <c r="A397" s="1" t="s">
        <v>2536</v>
      </c>
      <c r="B397" s="1" t="str">
        <f aca="false">TRIM(A397)</f>
        <v>NEW ROUTE</v>
      </c>
    </row>
    <row r="398" customFormat="false" ht="12.75" hidden="false" customHeight="true" outlineLevel="0" collapsed="false">
      <c r="A398" s="1" t="s">
        <v>2576</v>
      </c>
      <c r="B398" s="1" t="str">
        <f aca="false">TRIM(A398)</f>
        <v>+1, 65, 0,</v>
      </c>
    </row>
    <row r="399" customFormat="false" ht="12.75" hidden="false" customHeight="true" outlineLevel="0" collapsed="false">
      <c r="A399" s="1" t="s">
        <v>2568</v>
      </c>
      <c r="B399" s="1" t="str">
        <f aca="false">TRIM(A399)</f>
        <v>21, # 20%</v>
      </c>
    </row>
    <row r="400" customFormat="false" ht="12.75" hidden="false" customHeight="true" outlineLevel="0" collapsed="false">
      <c r="A400" s="1" t="s">
        <v>1333</v>
      </c>
      <c r="B400" s="1" t="str">
        <f aca="false">TRIM(A400)</f>
        <v>35, 40, NIDOKING</v>
      </c>
    </row>
    <row r="401" customFormat="false" ht="12.75" hidden="false" customHeight="true" outlineLevel="0" collapsed="false">
      <c r="A401" s="1" t="s">
        <v>1334</v>
      </c>
      <c r="B401" s="1" t="str">
        <f aca="false">TRIM(A401)</f>
        <v>+35, 40, NIDOQUEEN</v>
      </c>
    </row>
    <row r="402" customFormat="false" ht="12.75" hidden="false" customHeight="true" outlineLevel="0" collapsed="false">
      <c r="A402" s="2"/>
      <c r="B402" s="1" t="str">
        <f aca="false">TRIM(A402)</f>
        <v/>
      </c>
    </row>
    <row r="403" customFormat="false" ht="12.75" hidden="false" customHeight="true" outlineLevel="0" collapsed="false">
      <c r="A403" s="1" t="s">
        <v>1209</v>
      </c>
      <c r="B403" s="1" t="str">
        <f aca="false">TRIM(A403)</f>
        <v># 10%</v>
      </c>
    </row>
    <row r="404" customFormat="false" ht="12.75" hidden="false" customHeight="true" outlineLevel="0" collapsed="false">
      <c r="A404" s="1" t="s">
        <v>1335</v>
      </c>
      <c r="B404" s="1" t="str">
        <f aca="false">TRIM(A404)</f>
        <v>+36, 41, PARASECT</v>
      </c>
    </row>
    <row r="405" customFormat="false" ht="12.75" hidden="false" customHeight="true" outlineLevel="0" collapsed="false">
      <c r="A405" s="1" t="s">
        <v>1336</v>
      </c>
      <c r="B405" s="1" t="str">
        <f aca="false">TRIM(A405)</f>
        <v>+36, 41, VENOMOTH</v>
      </c>
    </row>
    <row r="406" customFormat="false" ht="12.75" hidden="false" customHeight="true" outlineLevel="0" collapsed="false">
      <c r="A406" s="1" t="s">
        <v>1367</v>
      </c>
      <c r="B406" s="1" t="str">
        <f aca="false">TRIM(A406)</f>
        <v>+36, 41, CLEFABLE</v>
      </c>
    </row>
    <row r="407" customFormat="false" ht="12.75" hidden="false" customHeight="true" outlineLevel="0" collapsed="false">
      <c r="A407" s="1" t="s">
        <v>1368</v>
      </c>
      <c r="B407" s="1" t="str">
        <f aca="false">TRIM(A407)</f>
        <v>+36, 41, ELECTABUZZ</v>
      </c>
    </row>
    <row r="408" customFormat="false" ht="12.75" hidden="false" customHeight="true" outlineLevel="0" collapsed="false">
      <c r="A408" s="2"/>
      <c r="B408" s="1" t="str">
        <f aca="false">TRIM(A408)</f>
        <v/>
      </c>
    </row>
    <row r="409" customFormat="false" ht="12.75" hidden="false" customHeight="true" outlineLevel="0" collapsed="false">
      <c r="A409" s="1" t="s">
        <v>1210</v>
      </c>
      <c r="B409" s="1" t="str">
        <f aca="false">TRIM(A409)</f>
        <v># 5%</v>
      </c>
    </row>
    <row r="410" customFormat="false" ht="12.75" hidden="false" customHeight="true" outlineLevel="0" collapsed="false">
      <c r="A410" s="1" t="s">
        <v>1339</v>
      </c>
      <c r="B410" s="1" t="str">
        <f aca="false">TRIM(A410)</f>
        <v>+37, 39, SCIZOR</v>
      </c>
    </row>
    <row r="411" customFormat="false" ht="12.75" hidden="false" customHeight="true" outlineLevel="0" collapsed="false">
      <c r="A411" s="1" t="s">
        <v>1340</v>
      </c>
      <c r="B411" s="1" t="str">
        <f aca="false">TRIM(A411)</f>
        <v>+37, 39, PINSIRIOR</v>
      </c>
    </row>
    <row r="412" customFormat="false" ht="12.75" hidden="false" customHeight="true" outlineLevel="0" collapsed="false">
      <c r="A412" s="2"/>
      <c r="B412" s="1" t="str">
        <f aca="false">TRIM(A412)</f>
        <v/>
      </c>
    </row>
    <row r="413" customFormat="false" ht="12.75" hidden="false" customHeight="true" outlineLevel="0" collapsed="false">
      <c r="A413" s="1" t="s">
        <v>1211</v>
      </c>
      <c r="B413" s="1" t="str">
        <f aca="false">TRIM(A413)</f>
        <v># 4%</v>
      </c>
    </row>
    <row r="414" customFormat="false" ht="12.75" hidden="false" customHeight="true" outlineLevel="0" collapsed="false">
      <c r="A414" s="1" t="s">
        <v>1369</v>
      </c>
      <c r="B414" s="1" t="str">
        <f aca="false">TRIM(A414)</f>
        <v>+38, 42, TAUROS</v>
      </c>
    </row>
    <row r="415" customFormat="false" ht="12.75" hidden="false" customHeight="true" outlineLevel="0" collapsed="false">
      <c r="A415" s="1" t="s">
        <v>1370</v>
      </c>
      <c r="B415" s="1" t="str">
        <f aca="false">TRIM(A415)</f>
        <v>+38, 42, FLAREON</v>
      </c>
    </row>
    <row r="416" customFormat="false" ht="12.75" hidden="false" customHeight="true" outlineLevel="0" collapsed="false">
      <c r="A416" s="2"/>
      <c r="B416" s="1" t="str">
        <f aca="false">TRIM(A416)</f>
        <v/>
      </c>
    </row>
    <row r="417" customFormat="false" ht="12.75" hidden="false" customHeight="true" outlineLevel="0" collapsed="false">
      <c r="A417" s="1" t="s">
        <v>1212</v>
      </c>
      <c r="B417" s="1" t="str">
        <f aca="false">TRIM(A417)</f>
        <v># 1%</v>
      </c>
    </row>
    <row r="418" customFormat="false" ht="12.75" hidden="false" customHeight="true" outlineLevel="0" collapsed="false">
      <c r="A418" s="1" t="s">
        <v>1371</v>
      </c>
      <c r="B418" s="1" t="str">
        <f aca="false">TRIM(A418)</f>
        <v>+40, 40, TAUROX</v>
      </c>
    </row>
    <row r="419" customFormat="false" ht="12.75" hidden="false" customHeight="true" outlineLevel="0" collapsed="false">
      <c r="A419" s="1" t="s">
        <v>2577</v>
      </c>
      <c r="B419" s="1" t="str">
        <f aca="false">TRIM(A419)</f>
        <v>+40, 40, ELECTIVIRE</v>
      </c>
    </row>
    <row r="420" customFormat="false" ht="12.75" hidden="false" customHeight="true" outlineLevel="0" collapsed="false">
      <c r="A420" s="1" t="s">
        <v>2570</v>
      </c>
      <c r="B420" s="1" t="str">
        <f aca="false">TRIM(A420)</f>
        <v>2, 38, 42, SLOWPOKE</v>
      </c>
    </row>
    <row r="421" customFormat="false" ht="12.75" hidden="false" customHeight="true" outlineLevel="0" collapsed="false">
      <c r="A421" s="1" t="s">
        <v>1345</v>
      </c>
      <c r="B421" s="1" t="str">
        <f aca="false">TRIM(A421)</f>
        <v>+40, 42, PSYDUCK</v>
      </c>
    </row>
    <row r="422" customFormat="false" ht="12.75" hidden="false" customHeight="true" outlineLevel="0" collapsed="false">
      <c r="A422" s="1" t="s">
        <v>1346</v>
      </c>
      <c r="B422" s="1" t="str">
        <f aca="false">TRIM(A422)</f>
        <v>+42, 46, SLOWBRO</v>
      </c>
    </row>
    <row r="423" customFormat="false" ht="12.75" hidden="false" customHeight="true" outlineLevel="0" collapsed="false">
      <c r="A423" s="1" t="s">
        <v>1347</v>
      </c>
      <c r="B423" s="1" t="str">
        <f aca="false">TRIM(A423)</f>
        <v>+42, 46, GOLDUCK</v>
      </c>
    </row>
    <row r="424" customFormat="false" ht="12.75" hidden="false" customHeight="true" outlineLevel="0" collapsed="false">
      <c r="A424" s="1" t="s">
        <v>2571</v>
      </c>
      <c r="B424" s="1" t="str">
        <f aca="false">TRIM(A424)</f>
        <v>+44, 48, VAPOREON</v>
      </c>
    </row>
    <row r="425" customFormat="false" ht="12.75" hidden="false" customHeight="true" outlineLevel="0" collapsed="false">
      <c r="A425" s="1" t="s">
        <v>2572</v>
      </c>
      <c r="B425" s="1" t="str">
        <f aca="false">TRIM(A425)</f>
        <v>20, # old rod:</v>
      </c>
    </row>
    <row r="426" customFormat="false" ht="12.75" hidden="false" customHeight="true" outlineLevel="0" collapsed="false">
      <c r="A426" s="1" t="s">
        <v>1349</v>
      </c>
      <c r="B426" s="1" t="str">
        <f aca="false">TRIM(A426)</f>
        <v>19, 26, MAGIKARP</v>
      </c>
    </row>
    <row r="427" customFormat="false" ht="12.75" hidden="false" customHeight="true" outlineLevel="0" collapsed="false">
      <c r="A427" s="1" t="s">
        <v>1350</v>
      </c>
      <c r="B427" s="1" t="str">
        <f aca="false">TRIM(A427)</f>
        <v>+19, 26, POLIWAG</v>
      </c>
    </row>
    <row r="428" customFormat="false" ht="12.75" hidden="false" customHeight="true" outlineLevel="0" collapsed="false">
      <c r="A428" s="2"/>
      <c r="B428" s="1" t="str">
        <f aca="false">TRIM(A428)</f>
        <v/>
      </c>
    </row>
    <row r="429" customFormat="false" ht="12.75" hidden="false" customHeight="true" outlineLevel="0" collapsed="false">
      <c r="A429" s="1" t="s">
        <v>1268</v>
      </c>
      <c r="B429" s="1" t="str">
        <f aca="false">TRIM(A429)</f>
        <v># good rod:</v>
      </c>
    </row>
    <row r="430" customFormat="false" ht="12.75" hidden="false" customHeight="true" outlineLevel="0" collapsed="false">
      <c r="A430" s="1" t="s">
        <v>1351</v>
      </c>
      <c r="B430" s="1" t="str">
        <f aca="false">TRIM(A430)</f>
        <v>+29, 33, GYARADOS</v>
      </c>
    </row>
    <row r="431" customFormat="false" ht="12.75" hidden="false" customHeight="true" outlineLevel="0" collapsed="false">
      <c r="A431" s="1" t="s">
        <v>1352</v>
      </c>
      <c r="B431" s="1" t="str">
        <f aca="false">TRIM(A431)</f>
        <v>+30, 35, POLIWAG</v>
      </c>
    </row>
    <row r="432" customFormat="false" ht="12.75" hidden="false" customHeight="true" outlineLevel="0" collapsed="false">
      <c r="A432" s="1" t="s">
        <v>1353</v>
      </c>
      <c r="B432" s="1" t="str">
        <f aca="false">TRIM(A432)</f>
        <v>+30, 35, GOLDEEN</v>
      </c>
    </row>
    <row r="433" customFormat="false" ht="12.75" hidden="false" customHeight="true" outlineLevel="0" collapsed="false">
      <c r="A433" s="2"/>
      <c r="B433" s="1" t="str">
        <f aca="false">TRIM(A433)</f>
        <v/>
      </c>
    </row>
    <row r="434" customFormat="false" ht="12.75" hidden="false" customHeight="true" outlineLevel="0" collapsed="false">
      <c r="A434" s="1" t="s">
        <v>1272</v>
      </c>
      <c r="B434" s="1" t="str">
        <f aca="false">TRIM(A434)</f>
        <v># super rod:</v>
      </c>
    </row>
    <row r="435" customFormat="false" ht="12.75" hidden="false" customHeight="true" outlineLevel="0" collapsed="false">
      <c r="A435" s="1" t="s">
        <v>1354</v>
      </c>
      <c r="B435" s="1" t="str">
        <f aca="false">TRIM(A435)</f>
        <v>+36, 40, POLIWHIRL</v>
      </c>
    </row>
    <row r="436" customFormat="false" ht="12.75" hidden="false" customHeight="true" outlineLevel="0" collapsed="false">
      <c r="A436" s="1" t="s">
        <v>1355</v>
      </c>
      <c r="B436" s="1" t="str">
        <f aca="false">TRIM(A436)</f>
        <v>+36, 40, SEAKING</v>
      </c>
    </row>
    <row r="437" customFormat="false" ht="12.75" hidden="false" customHeight="true" outlineLevel="0" collapsed="false">
      <c r="A437" s="1" t="s">
        <v>1356</v>
      </c>
      <c r="B437" s="1" t="str">
        <f aca="false">TRIM(A437)</f>
        <v>+38, 42, DRATINI</v>
      </c>
    </row>
    <row r="438" customFormat="false" ht="12.75" hidden="false" customHeight="true" outlineLevel="0" collapsed="false">
      <c r="A438" s="1" t="s">
        <v>1357</v>
      </c>
      <c r="B438" s="1" t="str">
        <f aca="false">TRIM(A438)</f>
        <v>+38, 42, DRAGONAIR</v>
      </c>
    </row>
    <row r="439" customFormat="false" ht="12.75" hidden="false" customHeight="true" outlineLevel="0" collapsed="false">
      <c r="A439" s="1" t="s">
        <v>2573</v>
      </c>
      <c r="B439" s="1" t="str">
        <f aca="false">TRIM(A439)</f>
        <v>+40, 44, DRAGONITE</v>
      </c>
    </row>
    <row r="440" customFormat="false" ht="12.75" hidden="false" customHeight="true" outlineLevel="0" collapsed="false">
      <c r="A440" s="1" t="s">
        <v>2536</v>
      </c>
      <c r="B440" s="1" t="str">
        <f aca="false">TRIM(A440)</f>
        <v>NEW ROUTE</v>
      </c>
    </row>
    <row r="441" customFormat="false" ht="12.75" hidden="false" customHeight="true" outlineLevel="0" collapsed="false">
      <c r="A441" s="1" t="s">
        <v>2578</v>
      </c>
      <c r="B441" s="1" t="str">
        <f aca="false">TRIM(A441)</f>
        <v>+1, 66, 0,</v>
      </c>
    </row>
    <row r="442" customFormat="false" ht="12.75" hidden="false" customHeight="true" outlineLevel="0" collapsed="false">
      <c r="A442" s="1" t="s">
        <v>2568</v>
      </c>
      <c r="B442" s="1" t="str">
        <f aca="false">TRIM(A442)</f>
        <v>21, # 20%</v>
      </c>
    </row>
    <row r="443" customFormat="false" ht="12.75" hidden="false" customHeight="true" outlineLevel="0" collapsed="false">
      <c r="A443" s="1" t="s">
        <v>1333</v>
      </c>
      <c r="B443" s="1" t="str">
        <f aca="false">TRIM(A443)</f>
        <v>35, 40, NIDOKING</v>
      </c>
    </row>
    <row r="444" customFormat="false" ht="12.75" hidden="false" customHeight="true" outlineLevel="0" collapsed="false">
      <c r="A444" s="1" t="s">
        <v>1334</v>
      </c>
      <c r="B444" s="1" t="str">
        <f aca="false">TRIM(A444)</f>
        <v>+35, 40, NIDOQUEEN</v>
      </c>
    </row>
    <row r="445" customFormat="false" ht="12.75" hidden="false" customHeight="true" outlineLevel="0" collapsed="false">
      <c r="A445" s="2"/>
      <c r="B445" s="1" t="str">
        <f aca="false">TRIM(A445)</f>
        <v/>
      </c>
    </row>
    <row r="446" customFormat="false" ht="12.75" hidden="false" customHeight="true" outlineLevel="0" collapsed="false">
      <c r="A446" s="1" t="s">
        <v>1209</v>
      </c>
      <c r="B446" s="1" t="str">
        <f aca="false">TRIM(A446)</f>
        <v># 10%</v>
      </c>
    </row>
    <row r="447" customFormat="false" ht="12.75" hidden="false" customHeight="true" outlineLevel="0" collapsed="false">
      <c r="A447" s="1" t="s">
        <v>1335</v>
      </c>
      <c r="B447" s="1" t="str">
        <f aca="false">TRIM(A447)</f>
        <v>+36, 41, PARASECT</v>
      </c>
    </row>
    <row r="448" customFormat="false" ht="12.75" hidden="false" customHeight="true" outlineLevel="0" collapsed="false">
      <c r="A448" s="1" t="s">
        <v>1336</v>
      </c>
      <c r="B448" s="1" t="str">
        <f aca="false">TRIM(A448)</f>
        <v>+36, 41, VENOMOTH</v>
      </c>
    </row>
    <row r="449" customFormat="false" ht="12.75" hidden="false" customHeight="true" outlineLevel="0" collapsed="false">
      <c r="A449" s="1" t="s">
        <v>1374</v>
      </c>
      <c r="B449" s="1" t="str">
        <f aca="false">TRIM(A449)</f>
        <v>+36, 41, RAPIDASH</v>
      </c>
    </row>
    <row r="450" customFormat="false" ht="12.75" hidden="false" customHeight="true" outlineLevel="0" collapsed="false">
      <c r="A450" s="1" t="s">
        <v>1375</v>
      </c>
      <c r="B450" s="1" t="str">
        <f aca="false">TRIM(A450)</f>
        <v>+36, 41, TANGELA</v>
      </c>
    </row>
    <row r="451" customFormat="false" ht="12.75" hidden="false" customHeight="true" outlineLevel="0" collapsed="false">
      <c r="A451" s="2"/>
      <c r="B451" s="1" t="str">
        <f aca="false">TRIM(A451)</f>
        <v/>
      </c>
    </row>
    <row r="452" customFormat="false" ht="12.75" hidden="false" customHeight="true" outlineLevel="0" collapsed="false">
      <c r="A452" s="1" t="s">
        <v>1210</v>
      </c>
      <c r="B452" s="1" t="str">
        <f aca="false">TRIM(A452)</f>
        <v># 5%</v>
      </c>
    </row>
    <row r="453" customFormat="false" ht="12.75" hidden="false" customHeight="true" outlineLevel="0" collapsed="false">
      <c r="A453" s="1" t="s">
        <v>1339</v>
      </c>
      <c r="B453" s="1" t="str">
        <f aca="false">TRIM(A453)</f>
        <v>+37, 39, SCIZOR</v>
      </c>
    </row>
    <row r="454" customFormat="false" ht="12.75" hidden="false" customHeight="true" outlineLevel="0" collapsed="false">
      <c r="A454" s="1" t="s">
        <v>1340</v>
      </c>
      <c r="B454" s="1" t="str">
        <f aca="false">TRIM(A454)</f>
        <v>+37, 39, PINSIRIOR</v>
      </c>
    </row>
    <row r="455" customFormat="false" ht="12.75" hidden="false" customHeight="true" outlineLevel="0" collapsed="false">
      <c r="A455" s="2"/>
      <c r="B455" s="1" t="str">
        <f aca="false">TRIM(A455)</f>
        <v/>
      </c>
    </row>
    <row r="456" customFormat="false" ht="12.75" hidden="false" customHeight="true" outlineLevel="0" collapsed="false">
      <c r="A456" s="1" t="s">
        <v>1211</v>
      </c>
      <c r="B456" s="1" t="str">
        <f aca="false">TRIM(A456)</f>
        <v># 4%</v>
      </c>
    </row>
    <row r="457" customFormat="false" ht="12.75" hidden="false" customHeight="true" outlineLevel="0" collapsed="false">
      <c r="A457" s="1" t="s">
        <v>1376</v>
      </c>
      <c r="B457" s="1" t="str">
        <f aca="false">TRIM(A457)</f>
        <v>+38, 42, SNORLAX</v>
      </c>
    </row>
    <row r="458" customFormat="false" ht="12.75" hidden="false" customHeight="true" outlineLevel="0" collapsed="false">
      <c r="A458" s="1" t="s">
        <v>1377</v>
      </c>
      <c r="B458" s="1" t="str">
        <f aca="false">TRIM(A458)</f>
        <v>+38, 42, HITMONLEE</v>
      </c>
    </row>
    <row r="459" customFormat="false" ht="12.75" hidden="false" customHeight="true" outlineLevel="0" collapsed="false">
      <c r="A459" s="2"/>
      <c r="B459" s="1" t="str">
        <f aca="false">TRIM(A459)</f>
        <v/>
      </c>
    </row>
    <row r="460" customFormat="false" ht="12.75" hidden="false" customHeight="true" outlineLevel="0" collapsed="false">
      <c r="A460" s="1" t="s">
        <v>1212</v>
      </c>
      <c r="B460" s="1" t="str">
        <f aca="false">TRIM(A460)</f>
        <v># 1%</v>
      </c>
    </row>
    <row r="461" customFormat="false" ht="12.75" hidden="false" customHeight="true" outlineLevel="0" collapsed="false">
      <c r="A461" s="1" t="s">
        <v>1378</v>
      </c>
      <c r="B461" s="1" t="str">
        <f aca="false">TRIM(A461)</f>
        <v>+40, 40, ACTLAX</v>
      </c>
    </row>
    <row r="462" customFormat="false" ht="12.75" hidden="false" customHeight="true" outlineLevel="0" collapsed="false">
      <c r="A462" s="1" t="s">
        <v>2579</v>
      </c>
      <c r="B462" s="1" t="str">
        <f aca="false">TRIM(A462)</f>
        <v>+40, 40, TANGROWTH</v>
      </c>
    </row>
    <row r="463" customFormat="false" ht="12.75" hidden="false" customHeight="true" outlineLevel="0" collapsed="false">
      <c r="A463" s="1" t="s">
        <v>2570</v>
      </c>
      <c r="B463" s="1" t="str">
        <f aca="false">TRIM(A463)</f>
        <v>2, 38, 42, SLOWPOKE</v>
      </c>
    </row>
    <row r="464" customFormat="false" ht="12.75" hidden="false" customHeight="true" outlineLevel="0" collapsed="false">
      <c r="A464" s="1" t="s">
        <v>1345</v>
      </c>
      <c r="B464" s="1" t="str">
        <f aca="false">TRIM(A464)</f>
        <v>+40, 42, PSYDUCK</v>
      </c>
    </row>
    <row r="465" customFormat="false" ht="12.75" hidden="false" customHeight="true" outlineLevel="0" collapsed="false">
      <c r="A465" s="1" t="s">
        <v>1346</v>
      </c>
      <c r="B465" s="1" t="str">
        <f aca="false">TRIM(A465)</f>
        <v>+42, 46, SLOWBRO</v>
      </c>
    </row>
    <row r="466" customFormat="false" ht="12.75" hidden="false" customHeight="true" outlineLevel="0" collapsed="false">
      <c r="A466" s="1" t="s">
        <v>1347</v>
      </c>
      <c r="B466" s="1" t="str">
        <f aca="false">TRIM(A466)</f>
        <v>+42, 46, GOLDUCK</v>
      </c>
    </row>
    <row r="467" customFormat="false" ht="12.75" hidden="false" customHeight="true" outlineLevel="0" collapsed="false">
      <c r="A467" s="1" t="s">
        <v>2571</v>
      </c>
      <c r="B467" s="1" t="str">
        <f aca="false">TRIM(A467)</f>
        <v>+44, 48, VAPOREON</v>
      </c>
    </row>
    <row r="468" customFormat="false" ht="12.75" hidden="false" customHeight="true" outlineLevel="0" collapsed="false">
      <c r="A468" s="1" t="s">
        <v>2572</v>
      </c>
      <c r="B468" s="1" t="str">
        <f aca="false">TRIM(A468)</f>
        <v>20, # old rod:</v>
      </c>
    </row>
    <row r="469" customFormat="false" ht="12.75" hidden="false" customHeight="true" outlineLevel="0" collapsed="false">
      <c r="A469" s="1" t="s">
        <v>1349</v>
      </c>
      <c r="B469" s="1" t="str">
        <f aca="false">TRIM(A469)</f>
        <v>19, 26, MAGIKARP</v>
      </c>
    </row>
    <row r="470" customFormat="false" ht="12.75" hidden="false" customHeight="true" outlineLevel="0" collapsed="false">
      <c r="A470" s="1" t="s">
        <v>1350</v>
      </c>
      <c r="B470" s="1" t="str">
        <f aca="false">TRIM(A470)</f>
        <v>+19, 26, POLIWAG</v>
      </c>
    </row>
    <row r="471" customFormat="false" ht="12.75" hidden="false" customHeight="true" outlineLevel="0" collapsed="false">
      <c r="A471" s="2"/>
      <c r="B471" s="1" t="str">
        <f aca="false">TRIM(A471)</f>
        <v/>
      </c>
    </row>
    <row r="472" customFormat="false" ht="12.75" hidden="false" customHeight="true" outlineLevel="0" collapsed="false">
      <c r="A472" s="1" t="s">
        <v>1268</v>
      </c>
      <c r="B472" s="1" t="str">
        <f aca="false">TRIM(A472)</f>
        <v># good rod:</v>
      </c>
    </row>
    <row r="473" customFormat="false" ht="12.75" hidden="false" customHeight="true" outlineLevel="0" collapsed="false">
      <c r="A473" s="1" t="s">
        <v>1351</v>
      </c>
      <c r="B473" s="1" t="str">
        <f aca="false">TRIM(A473)</f>
        <v>+29, 33, GYARADOS</v>
      </c>
    </row>
    <row r="474" customFormat="false" ht="12.75" hidden="false" customHeight="true" outlineLevel="0" collapsed="false">
      <c r="A474" s="1" t="s">
        <v>1352</v>
      </c>
      <c r="B474" s="1" t="str">
        <f aca="false">TRIM(A474)</f>
        <v>+30, 35, POLIWAG</v>
      </c>
    </row>
    <row r="475" customFormat="false" ht="12.75" hidden="false" customHeight="true" outlineLevel="0" collapsed="false">
      <c r="A475" s="1" t="s">
        <v>1353</v>
      </c>
      <c r="B475" s="1" t="str">
        <f aca="false">TRIM(A475)</f>
        <v>+30, 35, GOLDEEN</v>
      </c>
    </row>
    <row r="476" customFormat="false" ht="12.75" hidden="false" customHeight="true" outlineLevel="0" collapsed="false">
      <c r="A476" s="2"/>
      <c r="B476" s="1" t="str">
        <f aca="false">TRIM(A476)</f>
        <v/>
      </c>
    </row>
    <row r="477" customFormat="false" ht="12.75" hidden="false" customHeight="true" outlineLevel="0" collapsed="false">
      <c r="A477" s="1" t="s">
        <v>1272</v>
      </c>
      <c r="B477" s="1" t="str">
        <f aca="false">TRIM(A477)</f>
        <v># super rod:</v>
      </c>
    </row>
    <row r="478" customFormat="false" ht="12.75" hidden="false" customHeight="true" outlineLevel="0" collapsed="false">
      <c r="A478" s="1" t="s">
        <v>1354</v>
      </c>
      <c r="B478" s="1" t="str">
        <f aca="false">TRIM(A478)</f>
        <v>+36, 40, POLIWHIRL</v>
      </c>
    </row>
    <row r="479" customFormat="false" ht="12.75" hidden="false" customHeight="true" outlineLevel="0" collapsed="false">
      <c r="A479" s="1" t="s">
        <v>1355</v>
      </c>
      <c r="B479" s="1" t="str">
        <f aca="false">TRIM(A479)</f>
        <v>+36, 40, SEAKING</v>
      </c>
    </row>
    <row r="480" customFormat="false" ht="12.75" hidden="false" customHeight="true" outlineLevel="0" collapsed="false">
      <c r="A480" s="1" t="s">
        <v>1356</v>
      </c>
      <c r="B480" s="1" t="str">
        <f aca="false">TRIM(A480)</f>
        <v>+38, 42, DRATINI</v>
      </c>
    </row>
    <row r="481" customFormat="false" ht="12.75" hidden="false" customHeight="true" outlineLevel="0" collapsed="false">
      <c r="A481" s="1" t="s">
        <v>1357</v>
      </c>
      <c r="B481" s="1" t="str">
        <f aca="false">TRIM(A481)</f>
        <v>+38, 42, DRAGONAIR</v>
      </c>
    </row>
    <row r="482" customFormat="false" ht="12.75" hidden="false" customHeight="true" outlineLevel="0" collapsed="false">
      <c r="A482" s="1" t="s">
        <v>2573</v>
      </c>
      <c r="B482" s="1" t="str">
        <f aca="false">TRIM(A482)</f>
        <v>+40, 44, DRAGONITE</v>
      </c>
    </row>
    <row r="483" customFormat="false" ht="12.75" hidden="false" customHeight="true" outlineLevel="0" collapsed="false">
      <c r="A483" s="1" t="s">
        <v>2536</v>
      </c>
      <c r="B483" s="1" t="str">
        <f aca="false">TRIM(A483)</f>
        <v>NEW ROUTE</v>
      </c>
    </row>
    <row r="484" customFormat="false" ht="12.75" hidden="false" customHeight="true" outlineLevel="0" collapsed="false">
      <c r="A484" s="1" t="s">
        <v>2580</v>
      </c>
      <c r="B484" s="1" t="str">
        <f aca="false">TRIM(A484)</f>
        <v>+1, 72, 0,</v>
      </c>
    </row>
    <row r="485" customFormat="false" ht="12.75" hidden="false" customHeight="true" outlineLevel="0" collapsed="false">
      <c r="A485" s="1" t="s">
        <v>2541</v>
      </c>
      <c r="B485" s="1" t="str">
        <f aca="false">TRIM(A485)</f>
        <v>7, # 20%</v>
      </c>
    </row>
    <row r="486" customFormat="false" ht="12.75" hidden="false" customHeight="true" outlineLevel="0" collapsed="false">
      <c r="A486" s="1" t="s">
        <v>1381</v>
      </c>
      <c r="B486" s="1" t="str">
        <f aca="false">TRIM(A486)</f>
        <v>50, 55, DUGROUPLE</v>
      </c>
    </row>
    <row r="487" customFormat="false" ht="12.75" hidden="false" customHeight="true" outlineLevel="0" collapsed="false">
      <c r="A487" s="1" t="s">
        <v>1382</v>
      </c>
      <c r="B487" s="1" t="str">
        <f aca="false">TRIM(A487)</f>
        <v>+50, 55, POLABAT</v>
      </c>
    </row>
    <row r="488" customFormat="false" ht="12.75" hidden="false" customHeight="true" outlineLevel="0" collapsed="false">
      <c r="A488" s="2"/>
      <c r="B488" s="1" t="str">
        <f aca="false">TRIM(A488)</f>
        <v/>
      </c>
    </row>
    <row r="489" customFormat="false" ht="12.75" hidden="false" customHeight="true" outlineLevel="0" collapsed="false">
      <c r="A489" s="1" t="s">
        <v>1209</v>
      </c>
      <c r="B489" s="1" t="str">
        <f aca="false">TRIM(A489)</f>
        <v># 10%</v>
      </c>
    </row>
    <row r="490" customFormat="false" ht="12.75" hidden="false" customHeight="true" outlineLevel="0" collapsed="false">
      <c r="A490" s="1" t="s">
        <v>1383</v>
      </c>
      <c r="B490" s="1" t="str">
        <f aca="false">TRIM(A490)</f>
        <v>+52, 55, VENOMENON</v>
      </c>
    </row>
    <row r="491" customFormat="false" ht="12.75" hidden="false" customHeight="true" outlineLevel="0" collapsed="false">
      <c r="A491" s="1" t="s">
        <v>1384</v>
      </c>
      <c r="B491" s="1" t="str">
        <f aca="false">TRIM(A491)</f>
        <v>+52, 55, "MR. JEST"</v>
      </c>
    </row>
    <row r="492" customFormat="false" ht="12.75" hidden="false" customHeight="true" outlineLevel="0" collapsed="false">
      <c r="A492" s="1" t="s">
        <v>1385</v>
      </c>
      <c r="B492" s="1" t="str">
        <f aca="false">TRIM(A492)</f>
        <v>+52, 55, NIDORULY</v>
      </c>
    </row>
    <row r="493" customFormat="false" ht="12.75" hidden="false" customHeight="true" outlineLevel="0" collapsed="false">
      <c r="A493" s="1" t="s">
        <v>1386</v>
      </c>
      <c r="B493" s="1" t="str">
        <f aca="false">TRIM(A493)</f>
        <v>+52, 55, NIDOREGAL</v>
      </c>
    </row>
    <row r="494" customFormat="false" ht="12.75" hidden="false" customHeight="true" outlineLevel="0" collapsed="false">
      <c r="A494" s="2"/>
      <c r="B494" s="1" t="str">
        <f aca="false">TRIM(A494)</f>
        <v/>
      </c>
    </row>
    <row r="495" customFormat="false" ht="12.75" hidden="false" customHeight="true" outlineLevel="0" collapsed="false">
      <c r="A495" s="1" t="s">
        <v>1210</v>
      </c>
      <c r="B495" s="1" t="str">
        <f aca="false">TRIM(A495)</f>
        <v># 5%</v>
      </c>
    </row>
    <row r="496" customFormat="false" ht="12.75" hidden="false" customHeight="true" outlineLevel="0" collapsed="false">
      <c r="A496" s="1" t="s">
        <v>1387</v>
      </c>
      <c r="B496" s="1" t="str">
        <f aca="false">TRIM(A496)</f>
        <v>+54, 56, MORPHO</v>
      </c>
    </row>
    <row r="497" customFormat="false" ht="12.75" hidden="false" customHeight="true" outlineLevel="0" collapsed="false">
      <c r="A497" s="1" t="s">
        <v>1388</v>
      </c>
      <c r="B497" s="1" t="str">
        <f aca="false">TRIM(A497)</f>
        <v>+54, 56, MAGNEMELD</v>
      </c>
    </row>
    <row r="498" customFormat="false" ht="12.75" hidden="false" customHeight="true" outlineLevel="0" collapsed="false">
      <c r="A498" s="2"/>
      <c r="B498" s="1" t="str">
        <f aca="false">TRIM(A498)</f>
        <v/>
      </c>
    </row>
    <row r="499" customFormat="false" ht="12.75" hidden="false" customHeight="true" outlineLevel="0" collapsed="false">
      <c r="A499" s="1" t="s">
        <v>1211</v>
      </c>
      <c r="B499" s="1" t="str">
        <f aca="false">TRIM(A499)</f>
        <v># 4%</v>
      </c>
    </row>
    <row r="500" customFormat="false" ht="12.75" hidden="false" customHeight="true" outlineLevel="0" collapsed="false">
      <c r="A500" s="1" t="s">
        <v>1389</v>
      </c>
      <c r="B500" s="1" t="str">
        <f aca="false">TRIM(A500)</f>
        <v>+54, 56, VOHOO-DU</v>
      </c>
    </row>
    <row r="501" customFormat="false" ht="12.75" hidden="false" customHeight="true" outlineLevel="0" collapsed="false">
      <c r="A501" s="1" t="s">
        <v>1390</v>
      </c>
      <c r="B501" s="1" t="str">
        <f aca="false">TRIM(A501)</f>
        <v>+54, 56, CLEFAEFAE</v>
      </c>
    </row>
    <row r="502" customFormat="false" ht="12.75" hidden="false" customHeight="true" outlineLevel="0" collapsed="false">
      <c r="A502" s="2"/>
      <c r="B502" s="1" t="str">
        <f aca="false">TRIM(A502)</f>
        <v/>
      </c>
    </row>
    <row r="503" customFormat="false" ht="12.75" hidden="false" customHeight="true" outlineLevel="0" collapsed="false">
      <c r="A503" s="1" t="s">
        <v>1212</v>
      </c>
      <c r="B503" s="1" t="str">
        <f aca="false">TRIM(A503)</f>
        <v># 1%</v>
      </c>
    </row>
    <row r="504" customFormat="false" ht="12.75" hidden="false" customHeight="true" outlineLevel="0" collapsed="false">
      <c r="A504" s="1" t="s">
        <v>1391</v>
      </c>
      <c r="B504" s="1" t="str">
        <f aca="false">TRIM(A504)</f>
        <v>+55, 56, KABUTAK</v>
      </c>
    </row>
    <row r="505" customFormat="false" ht="12.75" hidden="false" customHeight="true" outlineLevel="0" collapsed="false">
      <c r="A505" s="1" t="s">
        <v>2581</v>
      </c>
      <c r="B505" s="1" t="str">
        <f aca="false">TRIM(A505)</f>
        <v>+55, 56, OMAPAL</v>
      </c>
    </row>
    <row r="506" customFormat="false" ht="12.75" hidden="false" customHeight="true" outlineLevel="0" collapsed="false">
      <c r="A506" s="1" t="s">
        <v>2582</v>
      </c>
      <c r="B506" s="1" t="str">
        <f aca="false">TRIM(A506)</f>
        <v>2, 50, 55, POLITOES</v>
      </c>
    </row>
    <row r="507" customFormat="false" ht="12.75" hidden="false" customHeight="true" outlineLevel="0" collapsed="false">
      <c r="A507" s="1" t="s">
        <v>1393</v>
      </c>
      <c r="B507" s="1" t="str">
        <f aca="false">TRIM(A507)</f>
        <v>+50, 55, DRAGONITE</v>
      </c>
    </row>
    <row r="508" customFormat="false" ht="12.75" hidden="false" customHeight="true" outlineLevel="0" collapsed="false">
      <c r="A508" s="1" t="s">
        <v>1394</v>
      </c>
      <c r="B508" s="1" t="str">
        <f aca="false">TRIM(A508)</f>
        <v>+52, 57, POLIWISE</v>
      </c>
    </row>
    <row r="509" customFormat="false" ht="12.75" hidden="false" customHeight="true" outlineLevel="0" collapsed="false">
      <c r="A509" s="1" t="s">
        <v>1395</v>
      </c>
      <c r="B509" s="1" t="str">
        <f aca="false">TRIM(A509)</f>
        <v>+52, 57, DRAGONIER</v>
      </c>
    </row>
    <row r="510" customFormat="false" ht="12.75" hidden="false" customHeight="true" outlineLevel="0" collapsed="false">
      <c r="A510" s="1" t="s">
        <v>2583</v>
      </c>
      <c r="B510" s="1" t="str">
        <f aca="false">TRIM(A510)</f>
        <v>+53, 58, NESSEA</v>
      </c>
    </row>
    <row r="511" customFormat="false" ht="12.75" hidden="false" customHeight="true" outlineLevel="0" collapsed="false">
      <c r="A511" s="1" t="s">
        <v>2572</v>
      </c>
      <c r="B511" s="1" t="str">
        <f aca="false">TRIM(A511)</f>
        <v>20, # old rod:</v>
      </c>
    </row>
    <row r="512" customFormat="false" ht="12.75" hidden="false" customHeight="true" outlineLevel="0" collapsed="false">
      <c r="A512" s="1" t="s">
        <v>1397</v>
      </c>
      <c r="B512" s="1" t="str">
        <f aca="false">TRIM(A512)</f>
        <v>23, 36, CLOYSTER</v>
      </c>
    </row>
    <row r="513" customFormat="false" ht="12.75" hidden="false" customHeight="true" outlineLevel="0" collapsed="false">
      <c r="A513" s="1" t="s">
        <v>1398</v>
      </c>
      <c r="B513" s="1" t="str">
        <f aca="false">TRIM(A513)</f>
        <v>+23, 36, GYARADOS</v>
      </c>
    </row>
    <row r="514" customFormat="false" ht="12.75" hidden="false" customHeight="true" outlineLevel="0" collapsed="false">
      <c r="A514" s="2"/>
      <c r="B514" s="1" t="str">
        <f aca="false">TRIM(A514)</f>
        <v/>
      </c>
    </row>
    <row r="515" customFormat="false" ht="12.75" hidden="false" customHeight="true" outlineLevel="0" collapsed="false">
      <c r="A515" s="1" t="s">
        <v>1268</v>
      </c>
      <c r="B515" s="1" t="str">
        <f aca="false">TRIM(A515)</f>
        <v># good rod:</v>
      </c>
    </row>
    <row r="516" customFormat="false" ht="12.75" hidden="false" customHeight="true" outlineLevel="0" collapsed="false">
      <c r="A516" s="1" t="s">
        <v>1399</v>
      </c>
      <c r="B516" s="1" t="str">
        <f aca="false">TRIM(A516)</f>
        <v>+30, 38, CLOYSTER</v>
      </c>
    </row>
    <row r="517" customFormat="false" ht="12.75" hidden="false" customHeight="true" outlineLevel="0" collapsed="false">
      <c r="A517" s="1" t="s">
        <v>1400</v>
      </c>
      <c r="B517" s="1" t="str">
        <f aca="false">TRIM(A517)</f>
        <v>+32, 40, KINGDRA</v>
      </c>
    </row>
    <row r="518" customFormat="false" ht="12.75" hidden="false" customHeight="true" outlineLevel="0" collapsed="false">
      <c r="A518" s="1" t="s">
        <v>1401</v>
      </c>
      <c r="B518" s="1" t="str">
        <f aca="false">TRIM(A518)</f>
        <v>+32, 40, HYDRADOS</v>
      </c>
    </row>
    <row r="519" customFormat="false" ht="12.75" hidden="false" customHeight="true" outlineLevel="0" collapsed="false">
      <c r="A519" s="2"/>
      <c r="B519" s="1" t="str">
        <f aca="false">TRIM(A519)</f>
        <v/>
      </c>
    </row>
    <row r="520" customFormat="false" ht="12.75" hidden="false" customHeight="true" outlineLevel="0" collapsed="false">
      <c r="A520" s="1" t="s">
        <v>1272</v>
      </c>
      <c r="B520" s="1" t="str">
        <f aca="false">TRIM(A520)</f>
        <v># super rod:</v>
      </c>
    </row>
    <row r="521" customFormat="false" ht="12.75" hidden="false" customHeight="true" outlineLevel="0" collapsed="false">
      <c r="A521" s="1" t="s">
        <v>1402</v>
      </c>
      <c r="B521" s="1" t="str">
        <f aca="false">TRIM(A521)</f>
        <v>+50, 55, LORDRA</v>
      </c>
    </row>
    <row r="522" customFormat="false" ht="12.75" hidden="false" customHeight="true" outlineLevel="0" collapsed="false">
      <c r="A522" s="1" t="s">
        <v>1403</v>
      </c>
      <c r="B522" s="1" t="str">
        <f aca="false">TRIM(A522)</f>
        <v>+50, 55, AN'ENEMY</v>
      </c>
    </row>
    <row r="523" customFormat="false" ht="12.75" hidden="false" customHeight="true" outlineLevel="0" collapsed="false">
      <c r="A523" s="1" t="s">
        <v>1404</v>
      </c>
      <c r="B523" s="1" t="str">
        <f aca="false">TRIM(A523)</f>
        <v>+52, 57, DRACOSMIC</v>
      </c>
    </row>
    <row r="524" customFormat="false" ht="12.75" hidden="false" customHeight="true" outlineLevel="0" collapsed="false">
      <c r="A524" s="1" t="s">
        <v>1405</v>
      </c>
      <c r="B524" s="1" t="str">
        <f aca="false">TRIM(A524)</f>
        <v>+52, 57, GLAISHELL</v>
      </c>
    </row>
    <row r="525" customFormat="false" ht="12.75" hidden="false" customHeight="true" outlineLevel="0" collapsed="false">
      <c r="A525" s="1" t="s">
        <v>2584</v>
      </c>
      <c r="B525" s="1" t="str">
        <f aca="false">TRIM(A525)</f>
        <v>+53, 58, STARWE</v>
      </c>
    </row>
    <row r="526" customFormat="false" ht="12.75" hidden="false" customHeight="true" outlineLevel="0" collapsed="false">
      <c r="A526" s="1" t="s">
        <v>2536</v>
      </c>
      <c r="B526" s="1" t="str">
        <f aca="false">TRIM(A526)</f>
        <v>NEW ROUTE</v>
      </c>
    </row>
    <row r="527" customFormat="false" ht="12.75" hidden="false" customHeight="true" outlineLevel="0" collapsed="false">
      <c r="A527" s="1" t="s">
        <v>2585</v>
      </c>
      <c r="B527" s="1" t="str">
        <f aca="false">TRIM(A527)</f>
        <v>+1, 73, 0,</v>
      </c>
    </row>
    <row r="528" customFormat="false" ht="12.75" hidden="false" customHeight="true" outlineLevel="0" collapsed="false">
      <c r="A528" s="1" t="s">
        <v>2541</v>
      </c>
      <c r="B528" s="1" t="str">
        <f aca="false">TRIM(A528)</f>
        <v>7, # 20%</v>
      </c>
    </row>
    <row r="529" customFormat="false" ht="12.75" hidden="false" customHeight="true" outlineLevel="0" collapsed="false">
      <c r="A529" s="1" t="s">
        <v>1381</v>
      </c>
      <c r="B529" s="1" t="str">
        <f aca="false">TRIM(A529)</f>
        <v>50, 55, DUGROUPLE</v>
      </c>
    </row>
    <row r="530" customFormat="false" ht="12.75" hidden="false" customHeight="true" outlineLevel="0" collapsed="false">
      <c r="A530" s="1" t="s">
        <v>1382</v>
      </c>
      <c r="B530" s="1" t="str">
        <f aca="false">TRIM(A530)</f>
        <v>+50, 55, POLABAT</v>
      </c>
    </row>
    <row r="531" customFormat="false" ht="12.75" hidden="false" customHeight="true" outlineLevel="0" collapsed="false">
      <c r="A531" s="2"/>
      <c r="B531" s="1" t="str">
        <f aca="false">TRIM(A531)</f>
        <v/>
      </c>
    </row>
    <row r="532" customFormat="false" ht="12.75" hidden="false" customHeight="true" outlineLevel="0" collapsed="false">
      <c r="A532" s="1" t="s">
        <v>1209</v>
      </c>
      <c r="B532" s="1" t="str">
        <f aca="false">TRIM(A532)</f>
        <v># 10%</v>
      </c>
    </row>
    <row r="533" customFormat="false" ht="12.75" hidden="false" customHeight="true" outlineLevel="0" collapsed="false">
      <c r="A533" s="1" t="s">
        <v>1383</v>
      </c>
      <c r="B533" s="1" t="str">
        <f aca="false">TRIM(A533)</f>
        <v>+52, 55, VENOMENON</v>
      </c>
    </row>
    <row r="534" customFormat="false" ht="12.75" hidden="false" customHeight="true" outlineLevel="0" collapsed="false">
      <c r="A534" s="1" t="s">
        <v>1384</v>
      </c>
      <c r="B534" s="1" t="str">
        <f aca="false">TRIM(A534)</f>
        <v>+52, 55, "MR. JEST"</v>
      </c>
    </row>
    <row r="535" customFormat="false" ht="12.75" hidden="false" customHeight="true" outlineLevel="0" collapsed="false">
      <c r="A535" s="1" t="s">
        <v>1385</v>
      </c>
      <c r="B535" s="1" t="str">
        <f aca="false">TRIM(A535)</f>
        <v>+52, 55, NIDORULY</v>
      </c>
    </row>
    <row r="536" customFormat="false" ht="12.75" hidden="false" customHeight="true" outlineLevel="0" collapsed="false">
      <c r="A536" s="1" t="s">
        <v>1386</v>
      </c>
      <c r="B536" s="1" t="str">
        <f aca="false">TRIM(A536)</f>
        <v>+52, 55, NIDOREGAL</v>
      </c>
    </row>
    <row r="537" customFormat="false" ht="12.75" hidden="false" customHeight="true" outlineLevel="0" collapsed="false">
      <c r="A537" s="2"/>
      <c r="B537" s="1" t="str">
        <f aca="false">TRIM(A537)</f>
        <v/>
      </c>
    </row>
    <row r="538" customFormat="false" ht="12.75" hidden="false" customHeight="true" outlineLevel="0" collapsed="false">
      <c r="A538" s="1" t="s">
        <v>1210</v>
      </c>
      <c r="B538" s="1" t="str">
        <f aca="false">TRIM(A538)</f>
        <v># 5%</v>
      </c>
    </row>
    <row r="539" customFormat="false" ht="12.75" hidden="false" customHeight="true" outlineLevel="0" collapsed="false">
      <c r="A539" s="1" t="s">
        <v>1387</v>
      </c>
      <c r="B539" s="1" t="str">
        <f aca="false">TRIM(A539)</f>
        <v>+54, 56, MORPHO</v>
      </c>
    </row>
    <row r="540" customFormat="false" ht="12.75" hidden="false" customHeight="true" outlineLevel="0" collapsed="false">
      <c r="A540" s="1" t="s">
        <v>1388</v>
      </c>
      <c r="B540" s="1" t="str">
        <f aca="false">TRIM(A540)</f>
        <v>+54, 56, MAGNEMELD</v>
      </c>
    </row>
    <row r="541" customFormat="false" ht="12.75" hidden="false" customHeight="true" outlineLevel="0" collapsed="false">
      <c r="A541" s="2"/>
      <c r="B541" s="1" t="str">
        <f aca="false">TRIM(A541)</f>
        <v/>
      </c>
    </row>
    <row r="542" customFormat="false" ht="12.75" hidden="false" customHeight="true" outlineLevel="0" collapsed="false">
      <c r="A542" s="1" t="s">
        <v>1211</v>
      </c>
      <c r="B542" s="1" t="str">
        <f aca="false">TRIM(A542)</f>
        <v># 4%</v>
      </c>
    </row>
    <row r="543" customFormat="false" ht="12.75" hidden="false" customHeight="true" outlineLevel="0" collapsed="false">
      <c r="A543" s="1" t="s">
        <v>1389</v>
      </c>
      <c r="B543" s="1" t="str">
        <f aca="false">TRIM(A543)</f>
        <v>+54, 56, VOHOO-DU</v>
      </c>
    </row>
    <row r="544" customFormat="false" ht="12.75" hidden="false" customHeight="true" outlineLevel="0" collapsed="false">
      <c r="A544" s="1" t="s">
        <v>1390</v>
      </c>
      <c r="B544" s="1" t="str">
        <f aca="false">TRIM(A544)</f>
        <v>+54, 56, CLEFAEFAE</v>
      </c>
    </row>
    <row r="545" customFormat="false" ht="12.75" hidden="false" customHeight="true" outlineLevel="0" collapsed="false">
      <c r="A545" s="2"/>
      <c r="B545" s="1" t="str">
        <f aca="false">TRIM(A545)</f>
        <v/>
      </c>
    </row>
    <row r="546" customFormat="false" ht="12.75" hidden="false" customHeight="true" outlineLevel="0" collapsed="false">
      <c r="A546" s="1" t="s">
        <v>1212</v>
      </c>
      <c r="B546" s="1" t="str">
        <f aca="false">TRIM(A546)</f>
        <v># 1%</v>
      </c>
    </row>
    <row r="547" customFormat="false" ht="12.75" hidden="false" customHeight="true" outlineLevel="0" collapsed="false">
      <c r="A547" s="1" t="s">
        <v>1391</v>
      </c>
      <c r="B547" s="1" t="str">
        <f aca="false">TRIM(A547)</f>
        <v>+55, 56, KABUTAK</v>
      </c>
    </row>
    <row r="548" customFormat="false" ht="12.75" hidden="false" customHeight="true" outlineLevel="0" collapsed="false">
      <c r="A548" s="1" t="s">
        <v>2586</v>
      </c>
      <c r="B548" s="1" t="str">
        <f aca="false">TRIM(A548)</f>
        <v>+55, 56, OMAPAL , &lt;null&gt;, &lt;null&gt;, &lt;null&gt;</v>
      </c>
    </row>
    <row r="549" customFormat="false" ht="12.75" hidden="false" customHeight="true" outlineLevel="0" collapsed="false">
      <c r="A549" s="2"/>
      <c r="B549" s="1" t="str">
        <f aca="false">TRIM(A549)</f>
        <v/>
      </c>
    </row>
    <row r="550" customFormat="false" ht="12.75" hidden="false" customHeight="true" outlineLevel="0" collapsed="false">
      <c r="A550" s="1" t="s">
        <v>2536</v>
      </c>
      <c r="B550" s="1" t="str">
        <f aca="false">TRIM(A550)</f>
        <v>NEW ROUTE</v>
      </c>
    </row>
    <row r="551" customFormat="false" ht="12.75" hidden="false" customHeight="true" outlineLevel="0" collapsed="false">
      <c r="A551" s="1" t="s">
        <v>2587</v>
      </c>
      <c r="B551" s="1" t="str">
        <f aca="false">TRIM(A551)</f>
        <v>+1, 74, 0,</v>
      </c>
    </row>
    <row r="552" customFormat="false" ht="12.75" hidden="false" customHeight="true" outlineLevel="0" collapsed="false">
      <c r="A552" s="1" t="s">
        <v>2541</v>
      </c>
      <c r="B552" s="1" t="str">
        <f aca="false">TRIM(A552)</f>
        <v>7, # 20%</v>
      </c>
    </row>
    <row r="553" customFormat="false" ht="12.75" hidden="false" customHeight="true" outlineLevel="0" collapsed="false">
      <c r="A553" s="1" t="s">
        <v>1381</v>
      </c>
      <c r="B553" s="1" t="str">
        <f aca="false">TRIM(A553)</f>
        <v>50, 55, DUGROUPLE</v>
      </c>
    </row>
    <row r="554" customFormat="false" ht="12.75" hidden="false" customHeight="true" outlineLevel="0" collapsed="false">
      <c r="A554" s="1" t="s">
        <v>1382</v>
      </c>
      <c r="B554" s="1" t="str">
        <f aca="false">TRIM(A554)</f>
        <v>+50, 55, POLABAT</v>
      </c>
    </row>
    <row r="555" customFormat="false" ht="12.75" hidden="false" customHeight="true" outlineLevel="0" collapsed="false">
      <c r="A555" s="2"/>
      <c r="B555" s="1" t="str">
        <f aca="false">TRIM(A555)</f>
        <v/>
      </c>
    </row>
    <row r="556" customFormat="false" ht="12.75" hidden="false" customHeight="true" outlineLevel="0" collapsed="false">
      <c r="A556" s="1" t="s">
        <v>1209</v>
      </c>
      <c r="B556" s="1" t="str">
        <f aca="false">TRIM(A556)</f>
        <v># 10%</v>
      </c>
    </row>
    <row r="557" customFormat="false" ht="12.75" hidden="false" customHeight="true" outlineLevel="0" collapsed="false">
      <c r="A557" s="1" t="s">
        <v>1383</v>
      </c>
      <c r="B557" s="1" t="str">
        <f aca="false">TRIM(A557)</f>
        <v>+52, 55, VENOMENON</v>
      </c>
    </row>
    <row r="558" customFormat="false" ht="12.75" hidden="false" customHeight="true" outlineLevel="0" collapsed="false">
      <c r="A558" s="1" t="s">
        <v>1384</v>
      </c>
      <c r="B558" s="1" t="str">
        <f aca="false">TRIM(A558)</f>
        <v>+52, 55, "MR. JEST"</v>
      </c>
    </row>
    <row r="559" customFormat="false" ht="12.75" hidden="false" customHeight="true" outlineLevel="0" collapsed="false">
      <c r="A559" s="1" t="s">
        <v>1385</v>
      </c>
      <c r="B559" s="1" t="str">
        <f aca="false">TRIM(A559)</f>
        <v>+52, 55, NIDORULY</v>
      </c>
    </row>
    <row r="560" customFormat="false" ht="12.75" hidden="false" customHeight="true" outlineLevel="0" collapsed="false">
      <c r="A560" s="1" t="s">
        <v>1386</v>
      </c>
      <c r="B560" s="1" t="str">
        <f aca="false">TRIM(A560)</f>
        <v>+52, 55, NIDOREGAL</v>
      </c>
    </row>
    <row r="561" customFormat="false" ht="12.75" hidden="false" customHeight="true" outlineLevel="0" collapsed="false">
      <c r="A561" s="2"/>
      <c r="B561" s="1" t="str">
        <f aca="false">TRIM(A561)</f>
        <v/>
      </c>
    </row>
    <row r="562" customFormat="false" ht="12.75" hidden="false" customHeight="true" outlineLevel="0" collapsed="false">
      <c r="A562" s="1" t="s">
        <v>1210</v>
      </c>
      <c r="B562" s="1" t="str">
        <f aca="false">TRIM(A562)</f>
        <v># 5%</v>
      </c>
    </row>
    <row r="563" customFormat="false" ht="12.75" hidden="false" customHeight="true" outlineLevel="0" collapsed="false">
      <c r="A563" s="1" t="s">
        <v>1387</v>
      </c>
      <c r="B563" s="1" t="str">
        <f aca="false">TRIM(A563)</f>
        <v>+54, 56, MORPHO</v>
      </c>
    </row>
    <row r="564" customFormat="false" ht="12.75" hidden="false" customHeight="true" outlineLevel="0" collapsed="false">
      <c r="A564" s="1" t="s">
        <v>1388</v>
      </c>
      <c r="B564" s="1" t="str">
        <f aca="false">TRIM(A564)</f>
        <v>+54, 56, MAGNEMELD</v>
      </c>
    </row>
    <row r="565" customFormat="false" ht="12.75" hidden="false" customHeight="true" outlineLevel="0" collapsed="false">
      <c r="A565" s="2"/>
      <c r="B565" s="1" t="str">
        <f aca="false">TRIM(A565)</f>
        <v/>
      </c>
    </row>
    <row r="566" customFormat="false" ht="12.75" hidden="false" customHeight="true" outlineLevel="0" collapsed="false">
      <c r="A566" s="1" t="s">
        <v>1211</v>
      </c>
      <c r="B566" s="1" t="str">
        <f aca="false">TRIM(A566)</f>
        <v># 4%</v>
      </c>
    </row>
    <row r="567" customFormat="false" ht="12.75" hidden="false" customHeight="true" outlineLevel="0" collapsed="false">
      <c r="A567" s="1" t="s">
        <v>1389</v>
      </c>
      <c r="B567" s="1" t="str">
        <f aca="false">TRIM(A567)</f>
        <v>+54, 56, VOHOO-DU</v>
      </c>
    </row>
    <row r="568" customFormat="false" ht="12.75" hidden="false" customHeight="true" outlineLevel="0" collapsed="false">
      <c r="A568" s="1" t="s">
        <v>1390</v>
      </c>
      <c r="B568" s="1" t="str">
        <f aca="false">TRIM(A568)</f>
        <v>+54, 56, CLEFAEFAE</v>
      </c>
    </row>
    <row r="569" customFormat="false" ht="12.75" hidden="false" customHeight="true" outlineLevel="0" collapsed="false">
      <c r="A569" s="2"/>
      <c r="B569" s="1" t="str">
        <f aca="false">TRIM(A569)</f>
        <v/>
      </c>
    </row>
    <row r="570" customFormat="false" ht="12.75" hidden="false" customHeight="true" outlineLevel="0" collapsed="false">
      <c r="A570" s="1" t="s">
        <v>1212</v>
      </c>
      <c r="B570" s="1" t="str">
        <f aca="false">TRIM(A570)</f>
        <v># 1%</v>
      </c>
    </row>
    <row r="571" customFormat="false" ht="12.75" hidden="false" customHeight="true" outlineLevel="0" collapsed="false">
      <c r="A571" s="1" t="s">
        <v>1391</v>
      </c>
      <c r="B571" s="1" t="str">
        <f aca="false">TRIM(A571)</f>
        <v>+55, 56, KABUTAK</v>
      </c>
    </row>
    <row r="572" customFormat="false" ht="12.75" hidden="false" customHeight="true" outlineLevel="0" collapsed="false">
      <c r="A572" s="1" t="s">
        <v>2581</v>
      </c>
      <c r="B572" s="1" t="str">
        <f aca="false">TRIM(A572)</f>
        <v>+55, 56, OMAPAL</v>
      </c>
    </row>
    <row r="573" customFormat="false" ht="12.75" hidden="false" customHeight="true" outlineLevel="0" collapsed="false">
      <c r="A573" s="1" t="s">
        <v>2582</v>
      </c>
      <c r="B573" s="1" t="str">
        <f aca="false">TRIM(A573)</f>
        <v>2, 50, 55, POLITOES</v>
      </c>
    </row>
    <row r="574" customFormat="false" ht="12.75" hidden="false" customHeight="true" outlineLevel="0" collapsed="false">
      <c r="A574" s="1" t="s">
        <v>1393</v>
      </c>
      <c r="B574" s="1" t="str">
        <f aca="false">TRIM(A574)</f>
        <v>+50, 55, DRAGONITE</v>
      </c>
    </row>
    <row r="575" customFormat="false" ht="12.75" hidden="false" customHeight="true" outlineLevel="0" collapsed="false">
      <c r="A575" s="1" t="s">
        <v>1394</v>
      </c>
      <c r="B575" s="1" t="str">
        <f aca="false">TRIM(A575)</f>
        <v>+52, 57, POLIWISE</v>
      </c>
    </row>
    <row r="576" customFormat="false" ht="12.75" hidden="false" customHeight="true" outlineLevel="0" collapsed="false">
      <c r="A576" s="1" t="s">
        <v>1395</v>
      </c>
      <c r="B576" s="1" t="str">
        <f aca="false">TRIM(A576)</f>
        <v>+52, 57, DRAGONIER</v>
      </c>
    </row>
    <row r="577" customFormat="false" ht="12.75" hidden="false" customHeight="true" outlineLevel="0" collapsed="false">
      <c r="A577" s="1" t="s">
        <v>2583</v>
      </c>
      <c r="B577" s="1" t="str">
        <f aca="false">TRIM(A577)</f>
        <v>+53, 58, NESSEA</v>
      </c>
    </row>
    <row r="578" customFormat="false" ht="12.75" hidden="false" customHeight="true" outlineLevel="0" collapsed="false">
      <c r="A578" s="1" t="s">
        <v>2572</v>
      </c>
      <c r="B578" s="1" t="str">
        <f aca="false">TRIM(A578)</f>
        <v>20, # old rod:</v>
      </c>
    </row>
    <row r="579" customFormat="false" ht="12.75" hidden="false" customHeight="true" outlineLevel="0" collapsed="false">
      <c r="A579" s="1" t="s">
        <v>1397</v>
      </c>
      <c r="B579" s="1" t="str">
        <f aca="false">TRIM(A579)</f>
        <v>23, 36, CLOYSTER</v>
      </c>
    </row>
    <row r="580" customFormat="false" ht="12.75" hidden="false" customHeight="true" outlineLevel="0" collapsed="false">
      <c r="A580" s="1" t="s">
        <v>1398</v>
      </c>
      <c r="B580" s="1" t="str">
        <f aca="false">TRIM(A580)</f>
        <v>+23, 36, GYARADOS</v>
      </c>
    </row>
    <row r="581" customFormat="false" ht="12.75" hidden="false" customHeight="true" outlineLevel="0" collapsed="false">
      <c r="A581" s="2"/>
      <c r="B581" s="1" t="str">
        <f aca="false">TRIM(A581)</f>
        <v/>
      </c>
    </row>
    <row r="582" customFormat="false" ht="12.75" hidden="false" customHeight="true" outlineLevel="0" collapsed="false">
      <c r="A582" s="1" t="s">
        <v>1268</v>
      </c>
      <c r="B582" s="1" t="str">
        <f aca="false">TRIM(A582)</f>
        <v># good rod:</v>
      </c>
    </row>
    <row r="583" customFormat="false" ht="12.75" hidden="false" customHeight="true" outlineLevel="0" collapsed="false">
      <c r="A583" s="1" t="s">
        <v>1399</v>
      </c>
      <c r="B583" s="1" t="str">
        <f aca="false">TRIM(A583)</f>
        <v>+30, 38, CLOYSTER</v>
      </c>
    </row>
    <row r="584" customFormat="false" ht="12.75" hidden="false" customHeight="true" outlineLevel="0" collapsed="false">
      <c r="A584" s="1" t="s">
        <v>1400</v>
      </c>
      <c r="B584" s="1" t="str">
        <f aca="false">TRIM(A584)</f>
        <v>+32, 40, KINGDRA</v>
      </c>
    </row>
    <row r="585" customFormat="false" ht="12.75" hidden="false" customHeight="true" outlineLevel="0" collapsed="false">
      <c r="A585" s="1" t="s">
        <v>1401</v>
      </c>
      <c r="B585" s="1" t="str">
        <f aca="false">TRIM(A585)</f>
        <v>+32, 40, HYDRADOS</v>
      </c>
    </row>
    <row r="586" customFormat="false" ht="12.75" hidden="false" customHeight="true" outlineLevel="0" collapsed="false">
      <c r="A586" s="2"/>
      <c r="B586" s="1" t="str">
        <f aca="false">TRIM(A586)</f>
        <v/>
      </c>
    </row>
    <row r="587" customFormat="false" ht="12.75" hidden="false" customHeight="true" outlineLevel="0" collapsed="false">
      <c r="A587" s="1" t="s">
        <v>1272</v>
      </c>
      <c r="B587" s="1" t="str">
        <f aca="false">TRIM(A587)</f>
        <v># super rod:</v>
      </c>
    </row>
    <row r="588" customFormat="false" ht="12.75" hidden="false" customHeight="true" outlineLevel="0" collapsed="false">
      <c r="A588" s="1" t="s">
        <v>1402</v>
      </c>
      <c r="B588" s="1" t="str">
        <f aca="false">TRIM(A588)</f>
        <v>+50, 55, LORDRA</v>
      </c>
    </row>
    <row r="589" customFormat="false" ht="12.75" hidden="false" customHeight="true" outlineLevel="0" collapsed="false">
      <c r="A589" s="1" t="s">
        <v>1403</v>
      </c>
      <c r="B589" s="1" t="str">
        <f aca="false">TRIM(A589)</f>
        <v>+50, 55, AN'ENEMY</v>
      </c>
    </row>
    <row r="590" customFormat="false" ht="12.75" hidden="false" customHeight="true" outlineLevel="0" collapsed="false">
      <c r="A590" s="1" t="s">
        <v>1404</v>
      </c>
      <c r="B590" s="1" t="str">
        <f aca="false">TRIM(A590)</f>
        <v>+52, 57, DRACOSMIC</v>
      </c>
    </row>
    <row r="591" customFormat="false" ht="12.75" hidden="false" customHeight="true" outlineLevel="0" collapsed="false">
      <c r="A591" s="1" t="s">
        <v>1405</v>
      </c>
      <c r="B591" s="1" t="str">
        <f aca="false">TRIM(A591)</f>
        <v>+52, 57, GLAISHELL</v>
      </c>
    </row>
    <row r="592" customFormat="false" ht="12.75" hidden="false" customHeight="true" outlineLevel="0" collapsed="false">
      <c r="A592" s="1" t="s">
        <v>2584</v>
      </c>
      <c r="B592" s="1" t="str">
        <f aca="false">TRIM(A592)</f>
        <v>+53, 58, STARWE</v>
      </c>
    </row>
    <row r="593" customFormat="false" ht="12.75" hidden="false" customHeight="true" outlineLevel="0" collapsed="false">
      <c r="A593" s="1" t="s">
        <v>2536</v>
      </c>
      <c r="B593" s="1" t="str">
        <f aca="false">TRIM(A593)</f>
        <v>NEW ROUTE</v>
      </c>
    </row>
    <row r="594" customFormat="false" ht="12.75" hidden="false" customHeight="true" outlineLevel="0" collapsed="false">
      <c r="A594" s="1" t="s">
        <v>2588</v>
      </c>
      <c r="B594" s="1" t="str">
        <f aca="false">TRIM(A594)</f>
        <v>+1, 81, 0,</v>
      </c>
    </row>
    <row r="595" customFormat="false" ht="12.75" hidden="false" customHeight="true" outlineLevel="0" collapsed="false">
      <c r="A595" s="1" t="s">
        <v>2541</v>
      </c>
      <c r="B595" s="1" t="str">
        <f aca="false">TRIM(A595)</f>
        <v>7, # 20%</v>
      </c>
    </row>
    <row r="596" customFormat="false" ht="12.75" hidden="false" customHeight="true" outlineLevel="0" collapsed="false">
      <c r="A596" s="1" t="s">
        <v>1411</v>
      </c>
      <c r="B596" s="1" t="str">
        <f aca="false">TRIM(A596)</f>
        <v>20, 23, RHYHORN</v>
      </c>
    </row>
    <row r="597" customFormat="false" ht="12.75" hidden="false" customHeight="true" outlineLevel="0" collapsed="false">
      <c r="A597" s="1" t="s">
        <v>1412</v>
      </c>
      <c r="B597" s="1" t="str">
        <f aca="false">TRIM(A597)</f>
        <v>+20, 23, GEODUDE</v>
      </c>
    </row>
    <row r="598" customFormat="false" ht="12.75" hidden="false" customHeight="true" outlineLevel="0" collapsed="false">
      <c r="A598" s="2"/>
      <c r="B598" s="1" t="str">
        <f aca="false">TRIM(A598)</f>
        <v/>
      </c>
    </row>
    <row r="599" customFormat="false" ht="12.75" hidden="false" customHeight="true" outlineLevel="0" collapsed="false">
      <c r="A599" s="1" t="s">
        <v>1209</v>
      </c>
      <c r="B599" s="1" t="str">
        <f aca="false">TRIM(A599)</f>
        <v># 10%</v>
      </c>
    </row>
    <row r="600" customFormat="false" ht="12.75" hidden="false" customHeight="true" outlineLevel="0" collapsed="false">
      <c r="A600" s="1" t="s">
        <v>1413</v>
      </c>
      <c r="B600" s="1" t="str">
        <f aca="false">TRIM(A600)</f>
        <v>+20, 24, ONIX</v>
      </c>
    </row>
    <row r="601" customFormat="false" ht="12.75" hidden="false" customHeight="true" outlineLevel="0" collapsed="false">
      <c r="A601" s="1" t="s">
        <v>1414</v>
      </c>
      <c r="B601" s="1" t="str">
        <f aca="false">TRIM(A601)</f>
        <v>+19, 23, MANKEY</v>
      </c>
    </row>
    <row r="602" customFormat="false" ht="12.75" hidden="false" customHeight="true" outlineLevel="0" collapsed="false">
      <c r="A602" s="1" t="s">
        <v>1415</v>
      </c>
      <c r="B602" s="1" t="str">
        <f aca="false">TRIM(A602)</f>
        <v>+19, 23, MACHOP</v>
      </c>
    </row>
    <row r="603" customFormat="false" ht="12.75" hidden="false" customHeight="true" outlineLevel="0" collapsed="false">
      <c r="A603" s="1" t="s">
        <v>1416</v>
      </c>
      <c r="B603" s="1" t="str">
        <f aca="false">TRIM(A603)</f>
        <v>+22, 24, GOLBAT</v>
      </c>
    </row>
    <row r="604" customFormat="false" ht="12.75" hidden="false" customHeight="true" outlineLevel="0" collapsed="false">
      <c r="A604" s="2"/>
      <c r="B604" s="1" t="str">
        <f aca="false">TRIM(A604)</f>
        <v/>
      </c>
    </row>
    <row r="605" customFormat="false" ht="12.75" hidden="false" customHeight="true" outlineLevel="0" collapsed="false">
      <c r="A605" s="1" t="s">
        <v>1210</v>
      </c>
      <c r="B605" s="1" t="str">
        <f aca="false">TRIM(A605)</f>
        <v># 5%</v>
      </c>
    </row>
    <row r="606" customFormat="false" ht="12.75" hidden="false" customHeight="true" outlineLevel="0" collapsed="false">
      <c r="A606" s="1" t="s">
        <v>1417</v>
      </c>
      <c r="B606" s="1" t="str">
        <f aca="false">TRIM(A606)</f>
        <v>+24, 24, RHYHORN</v>
      </c>
    </row>
    <row r="607" customFormat="false" ht="12.75" hidden="false" customHeight="true" outlineLevel="0" collapsed="false">
      <c r="A607" s="1" t="s">
        <v>1418</v>
      </c>
      <c r="B607" s="1" t="str">
        <f aca="false">TRIM(A607)</f>
        <v>+24, 24, GEODUDE</v>
      </c>
    </row>
    <row r="608" customFormat="false" ht="12.75" hidden="false" customHeight="true" outlineLevel="0" collapsed="false">
      <c r="A608" s="2"/>
      <c r="B608" s="1" t="str">
        <f aca="false">TRIM(A608)</f>
        <v/>
      </c>
    </row>
    <row r="609" customFormat="false" ht="12.75" hidden="false" customHeight="true" outlineLevel="0" collapsed="false">
      <c r="A609" s="1" t="s">
        <v>1211</v>
      </c>
      <c r="B609" s="1" t="str">
        <f aca="false">TRIM(A609)</f>
        <v># 4%</v>
      </c>
    </row>
    <row r="610" customFormat="false" ht="12.75" hidden="false" customHeight="true" outlineLevel="0" collapsed="false">
      <c r="A610" s="1" t="s">
        <v>1419</v>
      </c>
      <c r="B610" s="1" t="str">
        <f aca="false">TRIM(A610)</f>
        <v>+20, 25, GRAVELER</v>
      </c>
    </row>
    <row r="611" customFormat="false" ht="12.75" hidden="false" customHeight="true" outlineLevel="0" collapsed="false">
      <c r="A611" s="1" t="s">
        <v>1420</v>
      </c>
      <c r="B611" s="1" t="str">
        <f aca="false">TRIM(A611)</f>
        <v>+25, 25, GOLBAT</v>
      </c>
    </row>
    <row r="612" customFormat="false" ht="12.75" hidden="false" customHeight="true" outlineLevel="0" collapsed="false">
      <c r="A612" s="2"/>
      <c r="B612" s="1" t="str">
        <f aca="false">TRIM(A612)</f>
        <v/>
      </c>
    </row>
    <row r="613" customFormat="false" ht="12.75" hidden="false" customHeight="true" outlineLevel="0" collapsed="false">
      <c r="A613" s="1" t="s">
        <v>1212</v>
      </c>
      <c r="B613" s="1" t="str">
        <f aca="false">TRIM(A613)</f>
        <v># 1%</v>
      </c>
    </row>
    <row r="614" customFormat="false" ht="12.75" hidden="false" customHeight="true" outlineLevel="0" collapsed="false">
      <c r="A614" s="1" t="s">
        <v>1421</v>
      </c>
      <c r="B614" s="1" t="str">
        <f aca="false">TRIM(A614)</f>
        <v>+20, 25, PINSIR</v>
      </c>
    </row>
    <row r="615" customFormat="false" ht="12.75" hidden="false" customHeight="true" outlineLevel="0" collapsed="false">
      <c r="A615" s="1" t="s">
        <v>2589</v>
      </c>
      <c r="B615" s="1" t="str">
        <f aca="false">TRIM(A615)</f>
        <v>+20, 23, KANGASKHAN , &lt;null&gt;, &lt;null&gt;, &lt;null&gt;</v>
      </c>
    </row>
    <row r="616" customFormat="false" ht="12.75" hidden="false" customHeight="true" outlineLevel="0" collapsed="false">
      <c r="A616" s="2"/>
      <c r="B616" s="1" t="str">
        <f aca="false">TRIM(A616)</f>
        <v/>
      </c>
    </row>
    <row r="617" customFormat="false" ht="12.75" hidden="false" customHeight="true" outlineLevel="0" collapsed="false">
      <c r="A617" s="1" t="s">
        <v>2536</v>
      </c>
      <c r="B617" s="1" t="str">
        <f aca="false">TRIM(A617)</f>
        <v>NEW ROUTE</v>
      </c>
    </row>
    <row r="618" customFormat="false" ht="12.75" hidden="false" customHeight="true" outlineLevel="0" collapsed="false">
      <c r="A618" s="1" t="s">
        <v>2590</v>
      </c>
      <c r="B618" s="1" t="str">
        <f aca="false">TRIM(A618)</f>
        <v>+1, 82, 0,</v>
      </c>
    </row>
    <row r="619" customFormat="false" ht="12.75" hidden="false" customHeight="true" outlineLevel="0" collapsed="false">
      <c r="A619" s="1" t="s">
        <v>2541</v>
      </c>
      <c r="B619" s="1" t="str">
        <f aca="false">TRIM(A619)</f>
        <v>7, # 20%</v>
      </c>
    </row>
    <row r="620" customFormat="false" ht="12.75" hidden="false" customHeight="true" outlineLevel="0" collapsed="false">
      <c r="A620" s="1" t="s">
        <v>1411</v>
      </c>
      <c r="B620" s="1" t="str">
        <f aca="false">TRIM(A620)</f>
        <v>20, 23, RHYHORN</v>
      </c>
    </row>
    <row r="621" customFormat="false" ht="12.75" hidden="false" customHeight="true" outlineLevel="0" collapsed="false">
      <c r="A621" s="1" t="s">
        <v>1412</v>
      </c>
      <c r="B621" s="1" t="str">
        <f aca="false">TRIM(A621)</f>
        <v>+20, 23, GEODUDE</v>
      </c>
    </row>
    <row r="622" customFormat="false" ht="12.75" hidden="false" customHeight="true" outlineLevel="0" collapsed="false">
      <c r="A622" s="2"/>
      <c r="B622" s="1" t="str">
        <f aca="false">TRIM(A622)</f>
        <v/>
      </c>
    </row>
    <row r="623" customFormat="false" ht="12.75" hidden="false" customHeight="true" outlineLevel="0" collapsed="false">
      <c r="A623" s="1" t="s">
        <v>1209</v>
      </c>
      <c r="B623" s="1" t="str">
        <f aca="false">TRIM(A623)</f>
        <v># 10%</v>
      </c>
    </row>
    <row r="624" customFormat="false" ht="12.75" hidden="false" customHeight="true" outlineLevel="0" collapsed="false">
      <c r="A624" s="1" t="s">
        <v>1413</v>
      </c>
      <c r="B624" s="1" t="str">
        <f aca="false">TRIM(A624)</f>
        <v>+20, 24, ONIX</v>
      </c>
    </row>
    <row r="625" customFormat="false" ht="12.75" hidden="false" customHeight="true" outlineLevel="0" collapsed="false">
      <c r="A625" s="1" t="s">
        <v>1414</v>
      </c>
      <c r="B625" s="1" t="str">
        <f aca="false">TRIM(A625)</f>
        <v>+19, 23, MANKEY</v>
      </c>
    </row>
    <row r="626" customFormat="false" ht="12.75" hidden="false" customHeight="true" outlineLevel="0" collapsed="false">
      <c r="A626" s="1" t="s">
        <v>1415</v>
      </c>
      <c r="B626" s="1" t="str">
        <f aca="false">TRIM(A626)</f>
        <v>+19, 23, MACHOP</v>
      </c>
    </row>
    <row r="627" customFormat="false" ht="12.75" hidden="false" customHeight="true" outlineLevel="0" collapsed="false">
      <c r="A627" s="1" t="s">
        <v>1416</v>
      </c>
      <c r="B627" s="1" t="str">
        <f aca="false">TRIM(A627)</f>
        <v>+22, 24, GOLBAT</v>
      </c>
    </row>
    <row r="628" customFormat="false" ht="12.75" hidden="false" customHeight="true" outlineLevel="0" collapsed="false">
      <c r="A628" s="2"/>
      <c r="B628" s="1" t="str">
        <f aca="false">TRIM(A628)</f>
        <v/>
      </c>
    </row>
    <row r="629" customFormat="false" ht="12.75" hidden="false" customHeight="true" outlineLevel="0" collapsed="false">
      <c r="A629" s="1" t="s">
        <v>1210</v>
      </c>
      <c r="B629" s="1" t="str">
        <f aca="false">TRIM(A629)</f>
        <v># 5%</v>
      </c>
    </row>
    <row r="630" customFormat="false" ht="12.75" hidden="false" customHeight="true" outlineLevel="0" collapsed="false">
      <c r="A630" s="1" t="s">
        <v>1417</v>
      </c>
      <c r="B630" s="1" t="str">
        <f aca="false">TRIM(A630)</f>
        <v>+24, 24, RHYHORN</v>
      </c>
    </row>
    <row r="631" customFormat="false" ht="12.75" hidden="false" customHeight="true" outlineLevel="0" collapsed="false">
      <c r="A631" s="1" t="s">
        <v>1418</v>
      </c>
      <c r="B631" s="1" t="str">
        <f aca="false">TRIM(A631)</f>
        <v>+24, 24, GEODUDE</v>
      </c>
    </row>
    <row r="632" customFormat="false" ht="12.75" hidden="false" customHeight="true" outlineLevel="0" collapsed="false">
      <c r="A632" s="2"/>
      <c r="B632" s="1" t="str">
        <f aca="false">TRIM(A632)</f>
        <v/>
      </c>
    </row>
    <row r="633" customFormat="false" ht="12.75" hidden="false" customHeight="true" outlineLevel="0" collapsed="false">
      <c r="A633" s="1" t="s">
        <v>1211</v>
      </c>
      <c r="B633" s="1" t="str">
        <f aca="false">TRIM(A633)</f>
        <v># 4%</v>
      </c>
    </row>
    <row r="634" customFormat="false" ht="12.75" hidden="false" customHeight="true" outlineLevel="0" collapsed="false">
      <c r="A634" s="1" t="s">
        <v>1419</v>
      </c>
      <c r="B634" s="1" t="str">
        <f aca="false">TRIM(A634)</f>
        <v>+20, 25, GRAVELER</v>
      </c>
    </row>
    <row r="635" customFormat="false" ht="12.75" hidden="false" customHeight="true" outlineLevel="0" collapsed="false">
      <c r="A635" s="1" t="s">
        <v>1420</v>
      </c>
      <c r="B635" s="1" t="str">
        <f aca="false">TRIM(A635)</f>
        <v>+25, 25, GOLBAT</v>
      </c>
    </row>
    <row r="636" customFormat="false" ht="12.75" hidden="false" customHeight="true" outlineLevel="0" collapsed="false">
      <c r="A636" s="2"/>
      <c r="B636" s="1" t="str">
        <f aca="false">TRIM(A636)</f>
        <v/>
      </c>
    </row>
    <row r="637" customFormat="false" ht="12.75" hidden="false" customHeight="true" outlineLevel="0" collapsed="false">
      <c r="A637" s="1" t="s">
        <v>1212</v>
      </c>
      <c r="B637" s="1" t="str">
        <f aca="false">TRIM(A637)</f>
        <v># 1%</v>
      </c>
    </row>
    <row r="638" customFormat="false" ht="12.75" hidden="false" customHeight="true" outlineLevel="0" collapsed="false">
      <c r="A638" s="1" t="s">
        <v>1421</v>
      </c>
      <c r="B638" s="1" t="str">
        <f aca="false">TRIM(A638)</f>
        <v>+20, 25, PINSIR</v>
      </c>
    </row>
    <row r="639" customFormat="false" ht="12.75" hidden="false" customHeight="true" outlineLevel="0" collapsed="false">
      <c r="A639" s="1" t="s">
        <v>2591</v>
      </c>
      <c r="B639" s="1" t="str">
        <f aca="false">TRIM(A639)</f>
        <v>+21, 24, KANGASKHAN</v>
      </c>
    </row>
    <row r="640" customFormat="false" ht="12.75" hidden="false" customHeight="true" outlineLevel="0" collapsed="false">
      <c r="A640" s="1" t="s">
        <v>2592</v>
      </c>
      <c r="B640" s="1" t="str">
        <f aca="false">TRIM(A640)</f>
        <v>50, 5, 20, GEODUDE</v>
      </c>
    </row>
    <row r="641" customFormat="false" ht="12.75" hidden="false" customHeight="true" outlineLevel="0" collapsed="false">
      <c r="A641" s="1" t="s">
        <v>1425</v>
      </c>
      <c r="B641" s="1" t="str">
        <f aca="false">TRIM(A641)</f>
        <v>+10, 20, GEODUDE</v>
      </c>
    </row>
    <row r="642" customFormat="false" ht="12.75" hidden="false" customHeight="true" outlineLevel="0" collapsed="false">
      <c r="A642" s="1" t="s">
        <v>1426</v>
      </c>
      <c r="B642" s="1" t="str">
        <f aca="false">TRIM(A642)</f>
        <v>+15, 30, GEODUDE</v>
      </c>
    </row>
    <row r="643" customFormat="false" ht="12.75" hidden="false" customHeight="true" outlineLevel="0" collapsed="false">
      <c r="A643" s="1" t="s">
        <v>1427</v>
      </c>
      <c r="B643" s="1" t="str">
        <f aca="false">TRIM(A643)</f>
        <v>+25, 40, GRAVELER</v>
      </c>
    </row>
    <row r="644" customFormat="false" ht="12.75" hidden="false" customHeight="true" outlineLevel="0" collapsed="false">
      <c r="A644" s="1" t="s">
        <v>2593</v>
      </c>
      <c r="B644" s="1" t="str">
        <f aca="false">TRIM(A644)</f>
        <v>+30, 40, GRAVELER , &lt;null&gt;</v>
      </c>
    </row>
    <row r="645" customFormat="false" ht="12.75" hidden="false" customHeight="true" outlineLevel="0" collapsed="false">
      <c r="A645" s="2"/>
      <c r="B645" s="1" t="str">
        <f aca="false">TRIM(A645)</f>
        <v/>
      </c>
    </row>
    <row r="646" customFormat="false" ht="12.75" hidden="false" customHeight="true" outlineLevel="0" collapsed="false">
      <c r="A646" s="1" t="s">
        <v>2536</v>
      </c>
      <c r="B646" s="1" t="str">
        <f aca="false">TRIM(A646)</f>
        <v>NEW ROUTE</v>
      </c>
    </row>
    <row r="647" customFormat="false" ht="12.75" hidden="false" customHeight="true" outlineLevel="0" collapsed="false">
      <c r="A647" s="1" t="s">
        <v>2594</v>
      </c>
      <c r="B647" s="1" t="str">
        <f aca="false">TRIM(A647)</f>
        <v>+1, 83, 0,</v>
      </c>
    </row>
    <row r="648" customFormat="false" ht="12.75" hidden="false" customHeight="true" outlineLevel="0" collapsed="false">
      <c r="A648" s="1" t="s">
        <v>2541</v>
      </c>
      <c r="B648" s="1" t="str">
        <f aca="false">TRIM(A648)</f>
        <v>7, # 20%</v>
      </c>
    </row>
    <row r="649" customFormat="false" ht="12.75" hidden="false" customHeight="true" outlineLevel="0" collapsed="false">
      <c r="A649" s="1" t="s">
        <v>1430</v>
      </c>
      <c r="B649" s="1" t="str">
        <f aca="false">TRIM(A649)</f>
        <v>40, 44, GOLBAT</v>
      </c>
    </row>
    <row r="650" customFormat="false" ht="12.75" hidden="false" customHeight="true" outlineLevel="0" collapsed="false">
      <c r="A650" s="1" t="s">
        <v>1431</v>
      </c>
      <c r="B650" s="1" t="str">
        <f aca="false">TRIM(A650)</f>
        <v>+40, 44, GOLDUCK</v>
      </c>
    </row>
    <row r="651" customFormat="false" ht="12.75" hidden="false" customHeight="true" outlineLevel="0" collapsed="false">
      <c r="A651" s="2"/>
      <c r="B651" s="1" t="str">
        <f aca="false">TRIM(A651)</f>
        <v/>
      </c>
    </row>
    <row r="652" customFormat="false" ht="12.75" hidden="false" customHeight="true" outlineLevel="0" collapsed="false">
      <c r="A652" s="1" t="s">
        <v>1209</v>
      </c>
      <c r="B652" s="1" t="str">
        <f aca="false">TRIM(A652)</f>
        <v># 10%</v>
      </c>
    </row>
    <row r="653" customFormat="false" ht="12.75" hidden="false" customHeight="true" outlineLevel="0" collapsed="false">
      <c r="A653" s="1" t="s">
        <v>1432</v>
      </c>
      <c r="B653" s="1" t="str">
        <f aca="false">TRIM(A653)</f>
        <v>+40, 44, SLOWBRO</v>
      </c>
    </row>
    <row r="654" customFormat="false" ht="12.75" hidden="false" customHeight="true" outlineLevel="0" collapsed="false">
      <c r="A654" s="1" t="s">
        <v>1433</v>
      </c>
      <c r="B654" s="1" t="str">
        <f aca="false">TRIM(A654)</f>
        <v>+40, 44, CROBAT</v>
      </c>
    </row>
    <row r="655" customFormat="false" ht="12.75" hidden="false" customHeight="true" outlineLevel="0" collapsed="false">
      <c r="A655" s="1" t="s">
        <v>1434</v>
      </c>
      <c r="B655" s="1" t="str">
        <f aca="false">TRIM(A655)</f>
        <v>+40, 44, DEWGONG</v>
      </c>
    </row>
    <row r="656" customFormat="false" ht="12.75" hidden="false" customHeight="true" outlineLevel="0" collapsed="false">
      <c r="A656" s="1" t="s">
        <v>1435</v>
      </c>
      <c r="B656" s="1" t="str">
        <f aca="false">TRIM(A656)</f>
        <v>+40, 44, LICKILICKY</v>
      </c>
    </row>
    <row r="657" customFormat="false" ht="12.75" hidden="false" customHeight="true" outlineLevel="0" collapsed="false">
      <c r="A657" s="2"/>
      <c r="B657" s="1" t="str">
        <f aca="false">TRIM(A657)</f>
        <v/>
      </c>
    </row>
    <row r="658" customFormat="false" ht="12.75" hidden="false" customHeight="true" outlineLevel="0" collapsed="false">
      <c r="A658" s="1" t="s">
        <v>1210</v>
      </c>
      <c r="B658" s="1" t="str">
        <f aca="false">TRIM(A658)</f>
        <v># 5%</v>
      </c>
    </row>
    <row r="659" customFormat="false" ht="12.75" hidden="false" customHeight="true" outlineLevel="0" collapsed="false">
      <c r="A659" s="1" t="s">
        <v>1436</v>
      </c>
      <c r="B659" s="1" t="str">
        <f aca="false">TRIM(A659)</f>
        <v>+42, 46, POLABAT</v>
      </c>
    </row>
    <row r="660" customFormat="false" ht="12.75" hidden="false" customHeight="true" outlineLevel="0" collapsed="false">
      <c r="A660" s="1" t="s">
        <v>1437</v>
      </c>
      <c r="B660" s="1" t="str">
        <f aca="false">TRIM(A660)</f>
        <v>+42, 46, GILDUCK</v>
      </c>
    </row>
    <row r="661" customFormat="false" ht="12.75" hidden="false" customHeight="true" outlineLevel="0" collapsed="false">
      <c r="A661" s="2"/>
      <c r="B661" s="1" t="str">
        <f aca="false">TRIM(A661)</f>
        <v/>
      </c>
    </row>
    <row r="662" customFormat="false" ht="12.75" hidden="false" customHeight="true" outlineLevel="0" collapsed="false">
      <c r="A662" s="1" t="s">
        <v>1211</v>
      </c>
      <c r="B662" s="1" t="str">
        <f aca="false">TRIM(A662)</f>
        <v># 4%</v>
      </c>
    </row>
    <row r="663" customFormat="false" ht="12.75" hidden="false" customHeight="true" outlineLevel="0" collapsed="false">
      <c r="A663" s="1" t="s">
        <v>1438</v>
      </c>
      <c r="B663" s="1" t="str">
        <f aca="false">TRIM(A663)</f>
        <v>+44, 47, SLOWMATE</v>
      </c>
    </row>
    <row r="664" customFormat="false" ht="12.75" hidden="false" customHeight="true" outlineLevel="0" collapsed="false">
      <c r="A664" s="1" t="s">
        <v>1439</v>
      </c>
      <c r="B664" s="1" t="str">
        <f aca="false">TRIM(A664)</f>
        <v>+44, 47, PRECIPED</v>
      </c>
    </row>
    <row r="665" customFormat="false" ht="12.75" hidden="false" customHeight="true" outlineLevel="0" collapsed="false">
      <c r="A665" s="2"/>
      <c r="B665" s="1" t="str">
        <f aca="false">TRIM(A665)</f>
        <v/>
      </c>
    </row>
    <row r="666" customFormat="false" ht="12.75" hidden="false" customHeight="true" outlineLevel="0" collapsed="false">
      <c r="A666" s="1" t="s">
        <v>1212</v>
      </c>
      <c r="B666" s="1" t="str">
        <f aca="false">TRIM(A666)</f>
        <v># 1%</v>
      </c>
    </row>
    <row r="667" customFormat="false" ht="12.75" hidden="false" customHeight="true" outlineLevel="0" collapsed="false">
      <c r="A667" s="1" t="s">
        <v>1440</v>
      </c>
      <c r="B667" s="1" t="str">
        <f aca="false">TRIM(A667)</f>
        <v>+45, 50, DRAGONITE</v>
      </c>
    </row>
    <row r="668" customFormat="false" ht="12.75" hidden="false" customHeight="true" outlineLevel="0" collapsed="false">
      <c r="A668" s="1" t="s">
        <v>2595</v>
      </c>
      <c r="B668" s="1" t="str">
        <f aca="false">TRIM(A668)</f>
        <v>+45, 50, LICKILICKY , &lt;null&gt;, &lt;null&gt;, &lt;null&gt;</v>
      </c>
    </row>
    <row r="669" customFormat="false" ht="12.75" hidden="false" customHeight="true" outlineLevel="0" collapsed="false">
      <c r="A669" s="2"/>
      <c r="B669" s="1" t="str">
        <f aca="false">TRIM(A669)</f>
        <v/>
      </c>
    </row>
    <row r="670" customFormat="false" ht="12.75" hidden="false" customHeight="true" outlineLevel="0" collapsed="false">
      <c r="A670" s="1" t="s">
        <v>2536</v>
      </c>
      <c r="B670" s="1" t="str">
        <f aca="false">TRIM(A670)</f>
        <v>NEW ROUTE</v>
      </c>
    </row>
    <row r="671" customFormat="false" ht="12.75" hidden="false" customHeight="true" outlineLevel="0" collapsed="false">
      <c r="A671" s="1" t="s">
        <v>2596</v>
      </c>
      <c r="B671" s="1" t="str">
        <f aca="false">TRIM(A671)</f>
        <v>+1, 84, 0,</v>
      </c>
    </row>
    <row r="672" customFormat="false" ht="12.75" hidden="false" customHeight="true" outlineLevel="0" collapsed="false">
      <c r="A672" s="1" t="s">
        <v>2541</v>
      </c>
      <c r="B672" s="1" t="str">
        <f aca="false">TRIM(A672)</f>
        <v>7, # 20%</v>
      </c>
    </row>
    <row r="673" customFormat="false" ht="12.75" hidden="false" customHeight="true" outlineLevel="0" collapsed="false">
      <c r="A673" s="1" t="s">
        <v>1430</v>
      </c>
      <c r="B673" s="1" t="str">
        <f aca="false">TRIM(A673)</f>
        <v>40, 44, GOLBAT</v>
      </c>
    </row>
    <row r="674" customFormat="false" ht="12.75" hidden="false" customHeight="true" outlineLevel="0" collapsed="false">
      <c r="A674" s="1" t="s">
        <v>1431</v>
      </c>
      <c r="B674" s="1" t="str">
        <f aca="false">TRIM(A674)</f>
        <v>+40, 44, GOLDUCK</v>
      </c>
    </row>
    <row r="675" customFormat="false" ht="12.75" hidden="false" customHeight="true" outlineLevel="0" collapsed="false">
      <c r="A675" s="2"/>
      <c r="B675" s="1" t="str">
        <f aca="false">TRIM(A675)</f>
        <v/>
      </c>
    </row>
    <row r="676" customFormat="false" ht="12.75" hidden="false" customHeight="true" outlineLevel="0" collapsed="false">
      <c r="A676" s="1" t="s">
        <v>1209</v>
      </c>
      <c r="B676" s="1" t="str">
        <f aca="false">TRIM(A676)</f>
        <v># 10%</v>
      </c>
    </row>
    <row r="677" customFormat="false" ht="12.75" hidden="false" customHeight="true" outlineLevel="0" collapsed="false">
      <c r="A677" s="1" t="s">
        <v>1432</v>
      </c>
      <c r="B677" s="1" t="str">
        <f aca="false">TRIM(A677)</f>
        <v>+40, 44, SLOWBRO</v>
      </c>
    </row>
    <row r="678" customFormat="false" ht="12.75" hidden="false" customHeight="true" outlineLevel="0" collapsed="false">
      <c r="A678" s="1" t="s">
        <v>1433</v>
      </c>
      <c r="B678" s="1" t="str">
        <f aca="false">TRIM(A678)</f>
        <v>+40, 44, CROBAT</v>
      </c>
    </row>
    <row r="679" customFormat="false" ht="12.75" hidden="false" customHeight="true" outlineLevel="0" collapsed="false">
      <c r="A679" s="1" t="s">
        <v>1434</v>
      </c>
      <c r="B679" s="1" t="str">
        <f aca="false">TRIM(A679)</f>
        <v>+40, 44, DEWGONG</v>
      </c>
    </row>
    <row r="680" customFormat="false" ht="12.75" hidden="false" customHeight="true" outlineLevel="0" collapsed="false">
      <c r="A680" s="1" t="s">
        <v>1435</v>
      </c>
      <c r="B680" s="1" t="str">
        <f aca="false">TRIM(A680)</f>
        <v>+40, 44, LICKILICKY</v>
      </c>
    </row>
    <row r="681" customFormat="false" ht="12.75" hidden="false" customHeight="true" outlineLevel="0" collapsed="false">
      <c r="A681" s="2"/>
      <c r="B681" s="1" t="str">
        <f aca="false">TRIM(A681)</f>
        <v/>
      </c>
    </row>
    <row r="682" customFormat="false" ht="12.75" hidden="false" customHeight="true" outlineLevel="0" collapsed="false">
      <c r="A682" s="1" t="s">
        <v>1210</v>
      </c>
      <c r="B682" s="1" t="str">
        <f aca="false">TRIM(A682)</f>
        <v># 5%</v>
      </c>
    </row>
    <row r="683" customFormat="false" ht="12.75" hidden="false" customHeight="true" outlineLevel="0" collapsed="false">
      <c r="A683" s="1" t="s">
        <v>1436</v>
      </c>
      <c r="B683" s="1" t="str">
        <f aca="false">TRIM(A683)</f>
        <v>+42, 46, POLABAT</v>
      </c>
    </row>
    <row r="684" customFormat="false" ht="12.75" hidden="false" customHeight="true" outlineLevel="0" collapsed="false">
      <c r="A684" s="1" t="s">
        <v>1437</v>
      </c>
      <c r="B684" s="1" t="str">
        <f aca="false">TRIM(A684)</f>
        <v>+42, 46, GILDUCK</v>
      </c>
    </row>
    <row r="685" customFormat="false" ht="12.75" hidden="false" customHeight="true" outlineLevel="0" collapsed="false">
      <c r="A685" s="2"/>
      <c r="B685" s="1" t="str">
        <f aca="false">TRIM(A685)</f>
        <v/>
      </c>
    </row>
    <row r="686" customFormat="false" ht="12.75" hidden="false" customHeight="true" outlineLevel="0" collapsed="false">
      <c r="A686" s="1" t="s">
        <v>1211</v>
      </c>
      <c r="B686" s="1" t="str">
        <f aca="false">TRIM(A686)</f>
        <v># 4%</v>
      </c>
    </row>
    <row r="687" customFormat="false" ht="12.75" hidden="false" customHeight="true" outlineLevel="0" collapsed="false">
      <c r="A687" s="1" t="s">
        <v>1438</v>
      </c>
      <c r="B687" s="1" t="str">
        <f aca="false">TRIM(A687)</f>
        <v>+44, 47, SLOWMATE</v>
      </c>
    </row>
    <row r="688" customFormat="false" ht="12.75" hidden="false" customHeight="true" outlineLevel="0" collapsed="false">
      <c r="A688" s="1" t="s">
        <v>1439</v>
      </c>
      <c r="B688" s="1" t="str">
        <f aca="false">TRIM(A688)</f>
        <v>+44, 47, PRECIPED</v>
      </c>
    </row>
    <row r="689" customFormat="false" ht="12.75" hidden="false" customHeight="true" outlineLevel="0" collapsed="false">
      <c r="A689" s="2"/>
      <c r="B689" s="1" t="str">
        <f aca="false">TRIM(A689)</f>
        <v/>
      </c>
    </row>
    <row r="690" customFormat="false" ht="12.75" hidden="false" customHeight="true" outlineLevel="0" collapsed="false">
      <c r="A690" s="1" t="s">
        <v>1212</v>
      </c>
      <c r="B690" s="1" t="str">
        <f aca="false">TRIM(A690)</f>
        <v># 1%</v>
      </c>
    </row>
    <row r="691" customFormat="false" ht="12.75" hidden="false" customHeight="true" outlineLevel="0" collapsed="false">
      <c r="A691" s="1" t="s">
        <v>1440</v>
      </c>
      <c r="B691" s="1" t="str">
        <f aca="false">TRIM(A691)</f>
        <v>+45, 50, DRAGONITE</v>
      </c>
    </row>
    <row r="692" customFormat="false" ht="12.75" hidden="false" customHeight="true" outlineLevel="0" collapsed="false">
      <c r="A692" s="1" t="s">
        <v>2597</v>
      </c>
      <c r="B692" s="1" t="str">
        <f aca="false">TRIM(A692)</f>
        <v>+45, 50, LICKILOLLY , &lt;null&gt;, &lt;null&gt;, &lt;null&gt;</v>
      </c>
    </row>
    <row r="693" customFormat="false" ht="12.75" hidden="false" customHeight="true" outlineLevel="0" collapsed="false">
      <c r="A693" s="2"/>
      <c r="B693" s="1" t="str">
        <f aca="false">TRIM(A693)</f>
        <v/>
      </c>
    </row>
    <row r="694" customFormat="false" ht="12.75" hidden="false" customHeight="true" outlineLevel="0" collapsed="false">
      <c r="A694" s="1" t="s">
        <v>2536</v>
      </c>
      <c r="B694" s="1" t="str">
        <f aca="false">TRIM(A694)</f>
        <v>NEW ROUTE</v>
      </c>
    </row>
    <row r="695" customFormat="false" ht="12.75" hidden="false" customHeight="true" outlineLevel="0" collapsed="false">
      <c r="A695" s="1" t="s">
        <v>2598</v>
      </c>
      <c r="B695" s="1" t="str">
        <f aca="false">TRIM(A695)</f>
        <v>+1, 85, 0,</v>
      </c>
    </row>
    <row r="696" customFormat="false" ht="12.75" hidden="false" customHeight="true" outlineLevel="0" collapsed="false">
      <c r="A696" s="1" t="s">
        <v>2541</v>
      </c>
      <c r="B696" s="1" t="str">
        <f aca="false">TRIM(A696)</f>
        <v>7, # 20%</v>
      </c>
    </row>
    <row r="697" customFormat="false" ht="12.75" hidden="false" customHeight="true" outlineLevel="0" collapsed="false">
      <c r="A697" s="1" t="s">
        <v>1430</v>
      </c>
      <c r="B697" s="1" t="str">
        <f aca="false">TRIM(A697)</f>
        <v>40, 44, GOLBAT</v>
      </c>
    </row>
    <row r="698" customFormat="false" ht="12.75" hidden="false" customHeight="true" outlineLevel="0" collapsed="false">
      <c r="A698" s="1" t="s">
        <v>1431</v>
      </c>
      <c r="B698" s="1" t="str">
        <f aca="false">TRIM(A698)</f>
        <v>+40, 44, GOLDUCK</v>
      </c>
    </row>
    <row r="699" customFormat="false" ht="12.75" hidden="false" customHeight="true" outlineLevel="0" collapsed="false">
      <c r="A699" s="2"/>
      <c r="B699" s="1" t="str">
        <f aca="false">TRIM(A699)</f>
        <v/>
      </c>
    </row>
    <row r="700" customFormat="false" ht="12.75" hidden="false" customHeight="true" outlineLevel="0" collapsed="false">
      <c r="A700" s="1" t="s">
        <v>1209</v>
      </c>
      <c r="B700" s="1" t="str">
        <f aca="false">TRIM(A700)</f>
        <v># 10%</v>
      </c>
    </row>
    <row r="701" customFormat="false" ht="12.75" hidden="false" customHeight="true" outlineLevel="0" collapsed="false">
      <c r="A701" s="1" t="s">
        <v>1432</v>
      </c>
      <c r="B701" s="1" t="str">
        <f aca="false">TRIM(A701)</f>
        <v>+40, 44, SLOWBRO</v>
      </c>
    </row>
    <row r="702" customFormat="false" ht="12.75" hidden="false" customHeight="true" outlineLevel="0" collapsed="false">
      <c r="A702" s="1" t="s">
        <v>1433</v>
      </c>
      <c r="B702" s="1" t="str">
        <f aca="false">TRIM(A702)</f>
        <v>+40, 44, CROBAT</v>
      </c>
    </row>
    <row r="703" customFormat="false" ht="12.75" hidden="false" customHeight="true" outlineLevel="0" collapsed="false">
      <c r="A703" s="1" t="s">
        <v>1434</v>
      </c>
      <c r="B703" s="1" t="str">
        <f aca="false">TRIM(A703)</f>
        <v>+40, 44, DEWGONG</v>
      </c>
    </row>
    <row r="704" customFormat="false" ht="12.75" hidden="false" customHeight="true" outlineLevel="0" collapsed="false">
      <c r="A704" s="1" t="s">
        <v>1435</v>
      </c>
      <c r="B704" s="1" t="str">
        <f aca="false">TRIM(A704)</f>
        <v>+40, 44, LICKILICKY</v>
      </c>
    </row>
    <row r="705" customFormat="false" ht="12.75" hidden="false" customHeight="true" outlineLevel="0" collapsed="false">
      <c r="A705" s="2"/>
      <c r="B705" s="1" t="str">
        <f aca="false">TRIM(A705)</f>
        <v/>
      </c>
    </row>
    <row r="706" customFormat="false" ht="12.75" hidden="false" customHeight="true" outlineLevel="0" collapsed="false">
      <c r="A706" s="1" t="s">
        <v>1210</v>
      </c>
      <c r="B706" s="1" t="str">
        <f aca="false">TRIM(A706)</f>
        <v># 5%</v>
      </c>
    </row>
    <row r="707" customFormat="false" ht="12.75" hidden="false" customHeight="true" outlineLevel="0" collapsed="false">
      <c r="A707" s="1" t="s">
        <v>1436</v>
      </c>
      <c r="B707" s="1" t="str">
        <f aca="false">TRIM(A707)</f>
        <v>+42, 46, POLABAT</v>
      </c>
    </row>
    <row r="708" customFormat="false" ht="12.75" hidden="false" customHeight="true" outlineLevel="0" collapsed="false">
      <c r="A708" s="1" t="s">
        <v>1437</v>
      </c>
      <c r="B708" s="1" t="str">
        <f aca="false">TRIM(A708)</f>
        <v>+42, 46, GILDUCK</v>
      </c>
    </row>
    <row r="709" customFormat="false" ht="12.75" hidden="false" customHeight="true" outlineLevel="0" collapsed="false">
      <c r="A709" s="2"/>
      <c r="B709" s="1" t="str">
        <f aca="false">TRIM(A709)</f>
        <v/>
      </c>
    </row>
    <row r="710" customFormat="false" ht="12.75" hidden="false" customHeight="true" outlineLevel="0" collapsed="false">
      <c r="A710" s="1" t="s">
        <v>1211</v>
      </c>
      <c r="B710" s="1" t="str">
        <f aca="false">TRIM(A710)</f>
        <v># 4%</v>
      </c>
    </row>
    <row r="711" customFormat="false" ht="12.75" hidden="false" customHeight="true" outlineLevel="0" collapsed="false">
      <c r="A711" s="1" t="s">
        <v>1438</v>
      </c>
      <c r="B711" s="1" t="str">
        <f aca="false">TRIM(A711)</f>
        <v>+44, 47, SLOWMATE</v>
      </c>
    </row>
    <row r="712" customFormat="false" ht="12.75" hidden="false" customHeight="true" outlineLevel="0" collapsed="false">
      <c r="A712" s="1" t="s">
        <v>1439</v>
      </c>
      <c r="B712" s="1" t="str">
        <f aca="false">TRIM(A712)</f>
        <v>+44, 47, PRECIPED</v>
      </c>
    </row>
    <row r="713" customFormat="false" ht="12.75" hidden="false" customHeight="true" outlineLevel="0" collapsed="false">
      <c r="A713" s="2"/>
      <c r="B713" s="1" t="str">
        <f aca="false">TRIM(A713)</f>
        <v/>
      </c>
    </row>
    <row r="714" customFormat="false" ht="12.75" hidden="false" customHeight="true" outlineLevel="0" collapsed="false">
      <c r="A714" s="1" t="s">
        <v>1212</v>
      </c>
      <c r="B714" s="1" t="str">
        <f aca="false">TRIM(A714)</f>
        <v># 1%</v>
      </c>
    </row>
    <row r="715" customFormat="false" ht="12.75" hidden="false" customHeight="true" outlineLevel="0" collapsed="false">
      <c r="A715" s="1" t="s">
        <v>1440</v>
      </c>
      <c r="B715" s="1" t="str">
        <f aca="false">TRIM(A715)</f>
        <v>+45, 50, DRAGONITE</v>
      </c>
    </row>
    <row r="716" customFormat="false" ht="12.75" hidden="false" customHeight="true" outlineLevel="0" collapsed="false">
      <c r="A716" s="1" t="s">
        <v>2597</v>
      </c>
      <c r="B716" s="1" t="str">
        <f aca="false">TRIM(A716)</f>
        <v>+45, 50, LICKILOLLY , &lt;null&gt;, &lt;null&gt;, &lt;null&gt;</v>
      </c>
    </row>
    <row r="717" customFormat="false" ht="12.75" hidden="false" customHeight="true" outlineLevel="0" collapsed="false">
      <c r="A717" s="2"/>
      <c r="B717" s="1" t="str">
        <f aca="false">TRIM(A717)</f>
        <v/>
      </c>
    </row>
    <row r="718" customFormat="false" ht="12.75" hidden="false" customHeight="true" outlineLevel="0" collapsed="false">
      <c r="A718" s="1" t="s">
        <v>2536</v>
      </c>
      <c r="B718" s="1" t="str">
        <f aca="false">TRIM(A718)</f>
        <v>NEW ROUTE</v>
      </c>
    </row>
    <row r="719" customFormat="false" ht="12.75" hidden="false" customHeight="true" outlineLevel="0" collapsed="false">
      <c r="A719" s="1" t="s">
        <v>2599</v>
      </c>
      <c r="B719" s="1" t="str">
        <f aca="false">TRIM(A719)</f>
        <v>+1, 86, 0,</v>
      </c>
    </row>
    <row r="720" customFormat="false" ht="12.75" hidden="false" customHeight="true" outlineLevel="0" collapsed="false">
      <c r="A720" s="1" t="s">
        <v>2541</v>
      </c>
      <c r="B720" s="1" t="str">
        <f aca="false">TRIM(A720)</f>
        <v>7, # 20%</v>
      </c>
    </row>
    <row r="721" customFormat="false" ht="12.75" hidden="false" customHeight="true" outlineLevel="0" collapsed="false">
      <c r="A721" s="1" t="s">
        <v>1430</v>
      </c>
      <c r="B721" s="1" t="str">
        <f aca="false">TRIM(A721)</f>
        <v>40, 44, GOLBAT</v>
      </c>
    </row>
    <row r="722" customFormat="false" ht="12.75" hidden="false" customHeight="true" outlineLevel="0" collapsed="false">
      <c r="A722" s="1" t="s">
        <v>1431</v>
      </c>
      <c r="B722" s="1" t="str">
        <f aca="false">TRIM(A722)</f>
        <v>+40, 44, GOLDUCK</v>
      </c>
    </row>
    <row r="723" customFormat="false" ht="12.75" hidden="false" customHeight="true" outlineLevel="0" collapsed="false">
      <c r="A723" s="2"/>
      <c r="B723" s="1" t="str">
        <f aca="false">TRIM(A723)</f>
        <v/>
      </c>
    </row>
    <row r="724" customFormat="false" ht="12.75" hidden="false" customHeight="true" outlineLevel="0" collapsed="false">
      <c r="A724" s="1" t="s">
        <v>1209</v>
      </c>
      <c r="B724" s="1" t="str">
        <f aca="false">TRIM(A724)</f>
        <v># 10%</v>
      </c>
    </row>
    <row r="725" customFormat="false" ht="12.75" hidden="false" customHeight="true" outlineLevel="0" collapsed="false">
      <c r="A725" s="1" t="s">
        <v>1432</v>
      </c>
      <c r="B725" s="1" t="str">
        <f aca="false">TRIM(A725)</f>
        <v>+40, 44, SLOWBRO</v>
      </c>
    </row>
    <row r="726" customFormat="false" ht="12.75" hidden="false" customHeight="true" outlineLevel="0" collapsed="false">
      <c r="A726" s="1" t="s">
        <v>1433</v>
      </c>
      <c r="B726" s="1" t="str">
        <f aca="false">TRIM(A726)</f>
        <v>+40, 44, CROBAT</v>
      </c>
    </row>
    <row r="727" customFormat="false" ht="12.75" hidden="false" customHeight="true" outlineLevel="0" collapsed="false">
      <c r="A727" s="1" t="s">
        <v>1434</v>
      </c>
      <c r="B727" s="1" t="str">
        <f aca="false">TRIM(A727)</f>
        <v>+40, 44, DEWGONG</v>
      </c>
    </row>
    <row r="728" customFormat="false" ht="12.75" hidden="false" customHeight="true" outlineLevel="0" collapsed="false">
      <c r="A728" s="1" t="s">
        <v>1435</v>
      </c>
      <c r="B728" s="1" t="str">
        <f aca="false">TRIM(A728)</f>
        <v>+40, 44, LICKILICKY</v>
      </c>
    </row>
    <row r="729" customFormat="false" ht="12.75" hidden="false" customHeight="true" outlineLevel="0" collapsed="false">
      <c r="A729" s="2"/>
      <c r="B729" s="1" t="str">
        <f aca="false">TRIM(A729)</f>
        <v/>
      </c>
    </row>
    <row r="730" customFormat="false" ht="12.75" hidden="false" customHeight="true" outlineLevel="0" collapsed="false">
      <c r="A730" s="1" t="s">
        <v>1210</v>
      </c>
      <c r="B730" s="1" t="str">
        <f aca="false">TRIM(A730)</f>
        <v># 5%</v>
      </c>
    </row>
    <row r="731" customFormat="false" ht="12.75" hidden="false" customHeight="true" outlineLevel="0" collapsed="false">
      <c r="A731" s="1" t="s">
        <v>1436</v>
      </c>
      <c r="B731" s="1" t="str">
        <f aca="false">TRIM(A731)</f>
        <v>+42, 46, POLABAT</v>
      </c>
    </row>
    <row r="732" customFormat="false" ht="12.75" hidden="false" customHeight="true" outlineLevel="0" collapsed="false">
      <c r="A732" s="1" t="s">
        <v>1437</v>
      </c>
      <c r="B732" s="1" t="str">
        <f aca="false">TRIM(A732)</f>
        <v>+42, 46, GILDUCK</v>
      </c>
    </row>
    <row r="733" customFormat="false" ht="12.75" hidden="false" customHeight="true" outlineLevel="0" collapsed="false">
      <c r="A733" s="2"/>
      <c r="B733" s="1" t="str">
        <f aca="false">TRIM(A733)</f>
        <v/>
      </c>
    </row>
    <row r="734" customFormat="false" ht="12.75" hidden="false" customHeight="true" outlineLevel="0" collapsed="false">
      <c r="A734" s="1" t="s">
        <v>1211</v>
      </c>
      <c r="B734" s="1" t="str">
        <f aca="false">TRIM(A734)</f>
        <v># 4%</v>
      </c>
    </row>
    <row r="735" customFormat="false" ht="12.75" hidden="false" customHeight="true" outlineLevel="0" collapsed="false">
      <c r="A735" s="1" t="s">
        <v>1438</v>
      </c>
      <c r="B735" s="1" t="str">
        <f aca="false">TRIM(A735)</f>
        <v>+44, 47, SLOWMATE</v>
      </c>
    </row>
    <row r="736" customFormat="false" ht="12.75" hidden="false" customHeight="true" outlineLevel="0" collapsed="false">
      <c r="A736" s="1" t="s">
        <v>1439</v>
      </c>
      <c r="B736" s="1" t="str">
        <f aca="false">TRIM(A736)</f>
        <v>+44, 47, PRECIPED</v>
      </c>
    </row>
    <row r="737" customFormat="false" ht="12.75" hidden="false" customHeight="true" outlineLevel="0" collapsed="false">
      <c r="A737" s="2"/>
      <c r="B737" s="1" t="str">
        <f aca="false">TRIM(A737)</f>
        <v/>
      </c>
    </row>
    <row r="738" customFormat="false" ht="12.75" hidden="false" customHeight="true" outlineLevel="0" collapsed="false">
      <c r="A738" s="1" t="s">
        <v>1212</v>
      </c>
      <c r="B738" s="1" t="str">
        <f aca="false">TRIM(A738)</f>
        <v># 1%</v>
      </c>
    </row>
    <row r="739" customFormat="false" ht="12.75" hidden="false" customHeight="true" outlineLevel="0" collapsed="false">
      <c r="A739" s="1" t="s">
        <v>1440</v>
      </c>
      <c r="B739" s="1" t="str">
        <f aca="false">TRIM(A739)</f>
        <v>+45, 50, DRAGONITE</v>
      </c>
    </row>
    <row r="740" customFormat="false" ht="12.75" hidden="false" customHeight="true" outlineLevel="0" collapsed="false">
      <c r="A740" s="1" t="s">
        <v>2600</v>
      </c>
      <c r="B740" s="1" t="str">
        <f aca="false">TRIM(A740)</f>
        <v>+45, 50, LICKILOLLY</v>
      </c>
    </row>
    <row r="741" customFormat="false" ht="12.75" hidden="false" customHeight="true" outlineLevel="0" collapsed="false">
      <c r="A741" s="1" t="s">
        <v>2601</v>
      </c>
      <c r="B741" s="1" t="str">
        <f aca="false">TRIM(A741)</f>
        <v>2, 38, 44, DEWGONG</v>
      </c>
    </row>
    <row r="742" customFormat="false" ht="12.75" hidden="false" customHeight="true" outlineLevel="0" collapsed="false">
      <c r="A742" s="1" t="s">
        <v>1447</v>
      </c>
      <c r="B742" s="1" t="str">
        <f aca="false">TRIM(A742)</f>
        <v>+40, 44, SEADRA</v>
      </c>
    </row>
    <row r="743" customFormat="false" ht="12.75" hidden="false" customHeight="true" outlineLevel="0" collapsed="false">
      <c r="A743" s="1" t="s">
        <v>1448</v>
      </c>
      <c r="B743" s="1" t="str">
        <f aca="false">TRIM(A743)</f>
        <v>+42, 46, KINGLER</v>
      </c>
    </row>
    <row r="744" customFormat="false" ht="12.75" hidden="false" customHeight="true" outlineLevel="0" collapsed="false">
      <c r="A744" s="1" t="s">
        <v>1449</v>
      </c>
      <c r="B744" s="1" t="str">
        <f aca="false">TRIM(A744)</f>
        <v>+42, 46, LAPRAS</v>
      </c>
    </row>
    <row r="745" customFormat="false" ht="12.75" hidden="false" customHeight="true" outlineLevel="0" collapsed="false">
      <c r="A745" s="1" t="s">
        <v>2602</v>
      </c>
      <c r="B745" s="1" t="str">
        <f aca="false">TRIM(A745)</f>
        <v>+42, 46, SLOWBRO</v>
      </c>
    </row>
    <row r="746" customFormat="false" ht="12.75" hidden="false" customHeight="true" outlineLevel="0" collapsed="false">
      <c r="A746" s="1" t="s">
        <v>2572</v>
      </c>
      <c r="B746" s="1" t="str">
        <f aca="false">TRIM(A746)</f>
        <v>20, # old rod:</v>
      </c>
    </row>
    <row r="747" customFormat="false" ht="12.75" hidden="false" customHeight="true" outlineLevel="0" collapsed="false">
      <c r="A747" s="1" t="s">
        <v>1451</v>
      </c>
      <c r="B747" s="1" t="str">
        <f aca="false">TRIM(A747)</f>
        <v>19, 26, HORSEA</v>
      </c>
    </row>
    <row r="748" customFormat="false" ht="12.75" hidden="false" customHeight="true" outlineLevel="0" collapsed="false">
      <c r="A748" s="1" t="s">
        <v>1452</v>
      </c>
      <c r="B748" s="1" t="str">
        <f aca="false">TRIM(A748)</f>
        <v>+19, 26, SHELLDER</v>
      </c>
    </row>
    <row r="749" customFormat="false" ht="12.75" hidden="false" customHeight="true" outlineLevel="0" collapsed="false">
      <c r="A749" s="2"/>
      <c r="B749" s="1" t="str">
        <f aca="false">TRIM(A749)</f>
        <v/>
      </c>
    </row>
    <row r="750" customFormat="false" ht="12.75" hidden="false" customHeight="true" outlineLevel="0" collapsed="false">
      <c r="A750" s="1" t="s">
        <v>1268</v>
      </c>
      <c r="B750" s="1" t="str">
        <f aca="false">TRIM(A750)</f>
        <v># good rod:</v>
      </c>
    </row>
    <row r="751" customFormat="false" ht="12.75" hidden="false" customHeight="true" outlineLevel="0" collapsed="false">
      <c r="A751" s="1" t="s">
        <v>1453</v>
      </c>
      <c r="B751" s="1" t="str">
        <f aca="false">TRIM(A751)</f>
        <v>+29, 33, SEADRA</v>
      </c>
    </row>
    <row r="752" customFormat="false" ht="12.75" hidden="false" customHeight="true" outlineLevel="0" collapsed="false">
      <c r="A752" s="1" t="s">
        <v>1454</v>
      </c>
      <c r="B752" s="1" t="str">
        <f aca="false">TRIM(A752)</f>
        <v>+30, 35, KRABBY</v>
      </c>
    </row>
    <row r="753" customFormat="false" ht="12.75" hidden="false" customHeight="true" outlineLevel="0" collapsed="false">
      <c r="A753" s="1" t="s">
        <v>1455</v>
      </c>
      <c r="B753" s="1" t="str">
        <f aca="false">TRIM(A753)</f>
        <v>+30, 35, GOLDUCK</v>
      </c>
    </row>
    <row r="754" customFormat="false" ht="12.75" hidden="false" customHeight="true" outlineLevel="0" collapsed="false">
      <c r="A754" s="2"/>
      <c r="B754" s="1" t="str">
        <f aca="false">TRIM(A754)</f>
        <v/>
      </c>
    </row>
    <row r="755" customFormat="false" ht="12.75" hidden="false" customHeight="true" outlineLevel="0" collapsed="false">
      <c r="A755" s="1" t="s">
        <v>1272</v>
      </c>
      <c r="B755" s="1" t="str">
        <f aca="false">TRIM(A755)</f>
        <v># super rod:</v>
      </c>
    </row>
    <row r="756" customFormat="false" ht="12.75" hidden="false" customHeight="true" outlineLevel="0" collapsed="false">
      <c r="A756" s="1" t="s">
        <v>1456</v>
      </c>
      <c r="B756" s="1" t="str">
        <f aca="false">TRIM(A756)</f>
        <v>+36, 40, KINGDRA</v>
      </c>
    </row>
    <row r="757" customFormat="false" ht="12.75" hidden="false" customHeight="true" outlineLevel="0" collapsed="false">
      <c r="A757" s="1" t="s">
        <v>1457</v>
      </c>
      <c r="B757" s="1" t="str">
        <f aca="false">TRIM(A757)</f>
        <v>+36, 40, CLOYSTER</v>
      </c>
    </row>
    <row r="758" customFormat="false" ht="12.75" hidden="false" customHeight="true" outlineLevel="0" collapsed="false">
      <c r="A758" s="1" t="s">
        <v>1458</v>
      </c>
      <c r="B758" s="1" t="str">
        <f aca="false">TRIM(A758)</f>
        <v>+38, 42, GILDUCK</v>
      </c>
    </row>
    <row r="759" customFormat="false" ht="12.75" hidden="false" customHeight="true" outlineLevel="0" collapsed="false">
      <c r="A759" s="1" t="s">
        <v>1459</v>
      </c>
      <c r="B759" s="1" t="str">
        <f aca="false">TRIM(A759)</f>
        <v>+38, 42, KRAKLAW</v>
      </c>
    </row>
    <row r="760" customFormat="false" ht="12.75" hidden="false" customHeight="true" outlineLevel="0" collapsed="false">
      <c r="A760" s="1" t="s">
        <v>2603</v>
      </c>
      <c r="B760" s="1" t="str">
        <f aca="false">TRIM(A760)</f>
        <v>+40, 44, LORDRA</v>
      </c>
    </row>
    <row r="761" customFormat="false" ht="12.75" hidden="false" customHeight="true" outlineLevel="0" collapsed="false">
      <c r="A761" s="1" t="s">
        <v>2536</v>
      </c>
      <c r="B761" s="1" t="str">
        <f aca="false">TRIM(A761)</f>
        <v>NEW ROUTE</v>
      </c>
    </row>
    <row r="762" customFormat="false" ht="12.75" hidden="false" customHeight="true" outlineLevel="0" collapsed="false">
      <c r="A762" s="1" t="s">
        <v>2604</v>
      </c>
      <c r="B762" s="1" t="str">
        <f aca="false">TRIM(A762)</f>
        <v>+1, 87, 0,</v>
      </c>
    </row>
    <row r="763" customFormat="false" ht="12.75" hidden="false" customHeight="true" outlineLevel="0" collapsed="false">
      <c r="A763" s="1" t="s">
        <v>2541</v>
      </c>
      <c r="B763" s="1" t="str">
        <f aca="false">TRIM(A763)</f>
        <v>7, # 20%</v>
      </c>
    </row>
    <row r="764" customFormat="false" ht="12.75" hidden="false" customHeight="true" outlineLevel="0" collapsed="false">
      <c r="A764" s="1" t="s">
        <v>1430</v>
      </c>
      <c r="B764" s="1" t="str">
        <f aca="false">TRIM(A764)</f>
        <v>40, 44, GOLBAT</v>
      </c>
    </row>
    <row r="765" customFormat="false" ht="12.75" hidden="false" customHeight="true" outlineLevel="0" collapsed="false">
      <c r="A765" s="1" t="s">
        <v>1431</v>
      </c>
      <c r="B765" s="1" t="str">
        <f aca="false">TRIM(A765)</f>
        <v>+40, 44, GOLDUCK</v>
      </c>
    </row>
    <row r="766" customFormat="false" ht="12.75" hidden="false" customHeight="true" outlineLevel="0" collapsed="false">
      <c r="A766" s="2"/>
      <c r="B766" s="1" t="str">
        <f aca="false">TRIM(A766)</f>
        <v/>
      </c>
    </row>
    <row r="767" customFormat="false" ht="12.75" hidden="false" customHeight="true" outlineLevel="0" collapsed="false">
      <c r="A767" s="1" t="s">
        <v>1209</v>
      </c>
      <c r="B767" s="1" t="str">
        <f aca="false">TRIM(A767)</f>
        <v># 10%</v>
      </c>
    </row>
    <row r="768" customFormat="false" ht="12.75" hidden="false" customHeight="true" outlineLevel="0" collapsed="false">
      <c r="A768" s="1" t="s">
        <v>1432</v>
      </c>
      <c r="B768" s="1" t="str">
        <f aca="false">TRIM(A768)</f>
        <v>+40, 44, SLOWBRO</v>
      </c>
    </row>
    <row r="769" customFormat="false" ht="12.75" hidden="false" customHeight="true" outlineLevel="0" collapsed="false">
      <c r="A769" s="1" t="s">
        <v>1433</v>
      </c>
      <c r="B769" s="1" t="str">
        <f aca="false">TRIM(A769)</f>
        <v>+40, 44, CROBAT</v>
      </c>
    </row>
    <row r="770" customFormat="false" ht="12.75" hidden="false" customHeight="true" outlineLevel="0" collapsed="false">
      <c r="A770" s="1" t="s">
        <v>1434</v>
      </c>
      <c r="B770" s="1" t="str">
        <f aca="false">TRIM(A770)</f>
        <v>+40, 44, DEWGONG</v>
      </c>
    </row>
    <row r="771" customFormat="false" ht="12.75" hidden="false" customHeight="true" outlineLevel="0" collapsed="false">
      <c r="A771" s="1" t="s">
        <v>1435</v>
      </c>
      <c r="B771" s="1" t="str">
        <f aca="false">TRIM(A771)</f>
        <v>+40, 44, LICKILICKY</v>
      </c>
    </row>
    <row r="772" customFormat="false" ht="12.75" hidden="false" customHeight="true" outlineLevel="0" collapsed="false">
      <c r="A772" s="2"/>
      <c r="B772" s="1" t="str">
        <f aca="false">TRIM(A772)</f>
        <v/>
      </c>
    </row>
    <row r="773" customFormat="false" ht="12.75" hidden="false" customHeight="true" outlineLevel="0" collapsed="false">
      <c r="A773" s="1" t="s">
        <v>1210</v>
      </c>
      <c r="B773" s="1" t="str">
        <f aca="false">TRIM(A773)</f>
        <v># 5%</v>
      </c>
    </row>
    <row r="774" customFormat="false" ht="12.75" hidden="false" customHeight="true" outlineLevel="0" collapsed="false">
      <c r="A774" s="1" t="s">
        <v>1436</v>
      </c>
      <c r="B774" s="1" t="str">
        <f aca="false">TRIM(A774)</f>
        <v>+42, 46, POLABAT</v>
      </c>
    </row>
    <row r="775" customFormat="false" ht="12.75" hidden="false" customHeight="true" outlineLevel="0" collapsed="false">
      <c r="A775" s="1" t="s">
        <v>1437</v>
      </c>
      <c r="B775" s="1" t="str">
        <f aca="false">TRIM(A775)</f>
        <v>+42, 46, GILDUCK</v>
      </c>
    </row>
    <row r="776" customFormat="false" ht="12.75" hidden="false" customHeight="true" outlineLevel="0" collapsed="false">
      <c r="A776" s="2"/>
      <c r="B776" s="1" t="str">
        <f aca="false">TRIM(A776)</f>
        <v/>
      </c>
    </row>
    <row r="777" customFormat="false" ht="12.75" hidden="false" customHeight="true" outlineLevel="0" collapsed="false">
      <c r="A777" s="1" t="s">
        <v>1211</v>
      </c>
      <c r="B777" s="1" t="str">
        <f aca="false">TRIM(A777)</f>
        <v># 4%</v>
      </c>
    </row>
    <row r="778" customFormat="false" ht="12.75" hidden="false" customHeight="true" outlineLevel="0" collapsed="false">
      <c r="A778" s="1" t="s">
        <v>1438</v>
      </c>
      <c r="B778" s="1" t="str">
        <f aca="false">TRIM(A778)</f>
        <v>+44, 47, SLOWMATE</v>
      </c>
    </row>
    <row r="779" customFormat="false" ht="12.75" hidden="false" customHeight="true" outlineLevel="0" collapsed="false">
      <c r="A779" s="1" t="s">
        <v>1439</v>
      </c>
      <c r="B779" s="1" t="str">
        <f aca="false">TRIM(A779)</f>
        <v>+44, 47, PRECIPED</v>
      </c>
    </row>
    <row r="780" customFormat="false" ht="12.75" hidden="false" customHeight="true" outlineLevel="0" collapsed="false">
      <c r="A780" s="2"/>
      <c r="B780" s="1" t="str">
        <f aca="false">TRIM(A780)</f>
        <v/>
      </c>
    </row>
    <row r="781" customFormat="false" ht="12.75" hidden="false" customHeight="true" outlineLevel="0" collapsed="false">
      <c r="A781" s="1" t="s">
        <v>1212</v>
      </c>
      <c r="B781" s="1" t="str">
        <f aca="false">TRIM(A781)</f>
        <v># 1%</v>
      </c>
    </row>
    <row r="782" customFormat="false" ht="12.75" hidden="false" customHeight="true" outlineLevel="0" collapsed="false">
      <c r="A782" s="1" t="s">
        <v>1440</v>
      </c>
      <c r="B782" s="1" t="str">
        <f aca="false">TRIM(A782)</f>
        <v>+45, 50, DRAGONITE</v>
      </c>
    </row>
    <row r="783" customFormat="false" ht="12.75" hidden="false" customHeight="true" outlineLevel="0" collapsed="false">
      <c r="A783" s="1" t="s">
        <v>2600</v>
      </c>
      <c r="B783" s="1" t="str">
        <f aca="false">TRIM(A783)</f>
        <v>+45, 50, LICKILOLLY</v>
      </c>
    </row>
    <row r="784" customFormat="false" ht="12.75" hidden="false" customHeight="true" outlineLevel="0" collapsed="false">
      <c r="A784" s="1" t="s">
        <v>2601</v>
      </c>
      <c r="B784" s="1" t="str">
        <f aca="false">TRIM(A784)</f>
        <v>2, 38, 44, DEWGONG</v>
      </c>
    </row>
    <row r="785" customFormat="false" ht="12.75" hidden="false" customHeight="true" outlineLevel="0" collapsed="false">
      <c r="A785" s="1" t="s">
        <v>1447</v>
      </c>
      <c r="B785" s="1" t="str">
        <f aca="false">TRIM(A785)</f>
        <v>+40, 44, SEADRA</v>
      </c>
    </row>
    <row r="786" customFormat="false" ht="12.75" hidden="false" customHeight="true" outlineLevel="0" collapsed="false">
      <c r="A786" s="1" t="s">
        <v>1448</v>
      </c>
      <c r="B786" s="1" t="str">
        <f aca="false">TRIM(A786)</f>
        <v>+42, 46, KINGLER</v>
      </c>
    </row>
    <row r="787" customFormat="false" ht="12.75" hidden="false" customHeight="true" outlineLevel="0" collapsed="false">
      <c r="A787" s="1" t="s">
        <v>1449</v>
      </c>
      <c r="B787" s="1" t="str">
        <f aca="false">TRIM(A787)</f>
        <v>+42, 46, LAPRAS</v>
      </c>
    </row>
    <row r="788" customFormat="false" ht="12.75" hidden="false" customHeight="true" outlineLevel="0" collapsed="false">
      <c r="A788" s="1" t="s">
        <v>2602</v>
      </c>
      <c r="B788" s="1" t="str">
        <f aca="false">TRIM(A788)</f>
        <v>+42, 46, SLOWBRO</v>
      </c>
    </row>
    <row r="789" customFormat="false" ht="12.75" hidden="false" customHeight="true" outlineLevel="0" collapsed="false">
      <c r="A789" s="1" t="s">
        <v>2572</v>
      </c>
      <c r="B789" s="1" t="str">
        <f aca="false">TRIM(A789)</f>
        <v>20, # old rod:</v>
      </c>
    </row>
    <row r="790" customFormat="false" ht="12.75" hidden="false" customHeight="true" outlineLevel="0" collapsed="false">
      <c r="A790" s="1" t="s">
        <v>1451</v>
      </c>
      <c r="B790" s="1" t="str">
        <f aca="false">TRIM(A790)</f>
        <v>19, 26, HORSEA</v>
      </c>
    </row>
    <row r="791" customFormat="false" ht="12.75" hidden="false" customHeight="true" outlineLevel="0" collapsed="false">
      <c r="A791" s="1" t="s">
        <v>1452</v>
      </c>
      <c r="B791" s="1" t="str">
        <f aca="false">TRIM(A791)</f>
        <v>+19, 26, SHELLDER</v>
      </c>
    </row>
    <row r="792" customFormat="false" ht="12.75" hidden="false" customHeight="true" outlineLevel="0" collapsed="false">
      <c r="A792" s="2"/>
      <c r="B792" s="1" t="str">
        <f aca="false">TRIM(A792)</f>
        <v/>
      </c>
    </row>
    <row r="793" customFormat="false" ht="12.75" hidden="false" customHeight="true" outlineLevel="0" collapsed="false">
      <c r="A793" s="1" t="s">
        <v>1268</v>
      </c>
      <c r="B793" s="1" t="str">
        <f aca="false">TRIM(A793)</f>
        <v># good rod:</v>
      </c>
    </row>
    <row r="794" customFormat="false" ht="12.75" hidden="false" customHeight="true" outlineLevel="0" collapsed="false">
      <c r="A794" s="1" t="s">
        <v>1453</v>
      </c>
      <c r="B794" s="1" t="str">
        <f aca="false">TRIM(A794)</f>
        <v>+29, 33, SEADRA</v>
      </c>
    </row>
    <row r="795" customFormat="false" ht="12.75" hidden="false" customHeight="true" outlineLevel="0" collapsed="false">
      <c r="A795" s="1" t="s">
        <v>1454</v>
      </c>
      <c r="B795" s="1" t="str">
        <f aca="false">TRIM(A795)</f>
        <v>+30, 35, KRABBY</v>
      </c>
    </row>
    <row r="796" customFormat="false" ht="12.75" hidden="false" customHeight="true" outlineLevel="0" collapsed="false">
      <c r="A796" s="1" t="s">
        <v>1455</v>
      </c>
      <c r="B796" s="1" t="str">
        <f aca="false">TRIM(A796)</f>
        <v>+30, 35, GOLDUCK</v>
      </c>
    </row>
    <row r="797" customFormat="false" ht="12.75" hidden="false" customHeight="true" outlineLevel="0" collapsed="false">
      <c r="A797" s="2"/>
      <c r="B797" s="1" t="str">
        <f aca="false">TRIM(A797)</f>
        <v/>
      </c>
    </row>
    <row r="798" customFormat="false" ht="12.75" hidden="false" customHeight="true" outlineLevel="0" collapsed="false">
      <c r="A798" s="1" t="s">
        <v>1272</v>
      </c>
      <c r="B798" s="1" t="str">
        <f aca="false">TRIM(A798)</f>
        <v># super rod:</v>
      </c>
    </row>
    <row r="799" customFormat="false" ht="12.75" hidden="false" customHeight="true" outlineLevel="0" collapsed="false">
      <c r="A799" s="1" t="s">
        <v>1456</v>
      </c>
      <c r="B799" s="1" t="str">
        <f aca="false">TRIM(A799)</f>
        <v>+36, 40, KINGDRA</v>
      </c>
    </row>
    <row r="800" customFormat="false" ht="12.75" hidden="false" customHeight="true" outlineLevel="0" collapsed="false">
      <c r="A800" s="1" t="s">
        <v>1457</v>
      </c>
      <c r="B800" s="1" t="str">
        <f aca="false">TRIM(A800)</f>
        <v>+36, 40, CLOYSTER</v>
      </c>
    </row>
    <row r="801" customFormat="false" ht="12.75" hidden="false" customHeight="true" outlineLevel="0" collapsed="false">
      <c r="A801" s="1" t="s">
        <v>1458</v>
      </c>
      <c r="B801" s="1" t="str">
        <f aca="false">TRIM(A801)</f>
        <v>+38, 42, GILDUCK</v>
      </c>
    </row>
    <row r="802" customFormat="false" ht="12.75" hidden="false" customHeight="true" outlineLevel="0" collapsed="false">
      <c r="A802" s="1" t="s">
        <v>1459</v>
      </c>
      <c r="B802" s="1" t="str">
        <f aca="false">TRIM(A802)</f>
        <v>+38, 42, KRAKLAW</v>
      </c>
    </row>
    <row r="803" customFormat="false" ht="12.75" hidden="false" customHeight="true" outlineLevel="0" collapsed="false">
      <c r="A803" s="1" t="s">
        <v>2603</v>
      </c>
      <c r="B803" s="1" t="str">
        <f aca="false">TRIM(A803)</f>
        <v>+40, 44, LORDRA</v>
      </c>
    </row>
    <row r="804" customFormat="false" ht="12.75" hidden="false" customHeight="true" outlineLevel="0" collapsed="false">
      <c r="A804" s="1" t="s">
        <v>2536</v>
      </c>
      <c r="B804" s="1" t="str">
        <f aca="false">TRIM(A804)</f>
        <v>NEW ROUTE</v>
      </c>
    </row>
    <row r="805" customFormat="false" ht="12.75" hidden="false" customHeight="true" outlineLevel="0" collapsed="false">
      <c r="A805" s="1" t="s">
        <v>2605</v>
      </c>
      <c r="B805" s="1" t="str">
        <f aca="false">TRIM(A805)</f>
        <v>+1, 90, 0,</v>
      </c>
    </row>
    <row r="806" customFormat="false" ht="12.75" hidden="false" customHeight="true" outlineLevel="0" collapsed="false">
      <c r="A806" s="1" t="s">
        <v>2606</v>
      </c>
      <c r="B806" s="1" t="str">
        <f aca="false">TRIM(A806)</f>
        <v>2, # 20%</v>
      </c>
    </row>
    <row r="807" customFormat="false" ht="12.75" hidden="false" customHeight="true" outlineLevel="0" collapsed="false">
      <c r="A807" s="1" t="s">
        <v>1463</v>
      </c>
      <c r="B807" s="1" t="str">
        <f aca="false">TRIM(A807)</f>
        <v>28, 31, GASTLY</v>
      </c>
    </row>
    <row r="808" customFormat="false" ht="12.75" hidden="false" customHeight="true" outlineLevel="0" collapsed="false">
      <c r="A808" s="1" t="s">
        <v>1464</v>
      </c>
      <c r="B808" s="1" t="str">
        <f aca="false">TRIM(A808)</f>
        <v>+29, 32, RATTATA</v>
      </c>
    </row>
    <row r="809" customFormat="false" ht="12.75" hidden="false" customHeight="true" outlineLevel="0" collapsed="false">
      <c r="A809" s="2"/>
      <c r="B809" s="1" t="str">
        <f aca="false">TRIM(A809)</f>
        <v/>
      </c>
    </row>
    <row r="810" customFormat="false" ht="12.75" hidden="false" customHeight="true" outlineLevel="0" collapsed="false">
      <c r="A810" s="1" t="s">
        <v>1209</v>
      </c>
      <c r="B810" s="1" t="str">
        <f aca="false">TRIM(A810)</f>
        <v># 10%</v>
      </c>
    </row>
    <row r="811" customFormat="false" ht="12.75" hidden="false" customHeight="true" outlineLevel="0" collapsed="false">
      <c r="A811" s="1" t="s">
        <v>1465</v>
      </c>
      <c r="B811" s="1" t="str">
        <f aca="false">TRIM(A811)</f>
        <v>+27, 31, CUBONE</v>
      </c>
    </row>
    <row r="812" customFormat="false" ht="12.75" hidden="false" customHeight="true" outlineLevel="0" collapsed="false">
      <c r="A812" s="1" t="s">
        <v>1466</v>
      </c>
      <c r="B812" s="1" t="str">
        <f aca="false">TRIM(A812)</f>
        <v>+29, 32, HAUNTER</v>
      </c>
    </row>
    <row r="813" customFormat="false" ht="12.75" hidden="false" customHeight="true" outlineLevel="0" collapsed="false">
      <c r="A813" s="1" t="s">
        <v>1467</v>
      </c>
      <c r="B813" s="1" t="str">
        <f aca="false">TRIM(A813)</f>
        <v>+28, 31, DROWZEE</v>
      </c>
    </row>
    <row r="814" customFormat="false" ht="12.75" hidden="false" customHeight="true" outlineLevel="0" collapsed="false">
      <c r="A814" s="1" t="s">
        <v>1468</v>
      </c>
      <c r="B814" s="1" t="str">
        <f aca="false">TRIM(A814)</f>
        <v>+28, 31, VULPIX</v>
      </c>
    </row>
    <row r="815" customFormat="false" ht="12.75" hidden="false" customHeight="true" outlineLevel="0" collapsed="false">
      <c r="A815" s="2"/>
      <c r="B815" s="1" t="str">
        <f aca="false">TRIM(A815)</f>
        <v/>
      </c>
    </row>
    <row r="816" customFormat="false" ht="12.75" hidden="false" customHeight="true" outlineLevel="0" collapsed="false">
      <c r="A816" s="1" t="s">
        <v>1210</v>
      </c>
      <c r="B816" s="1" t="str">
        <f aca="false">TRIM(A816)</f>
        <v># 5%</v>
      </c>
    </row>
    <row r="817" customFormat="false" ht="12.75" hidden="false" customHeight="true" outlineLevel="0" collapsed="false">
      <c r="A817" s="1" t="s">
        <v>1469</v>
      </c>
      <c r="B817" s="1" t="str">
        <f aca="false">TRIM(A817)</f>
        <v>+29, 32, HYPNO</v>
      </c>
    </row>
    <row r="818" customFormat="false" ht="12.75" hidden="false" customHeight="true" outlineLevel="0" collapsed="false">
      <c r="A818" s="1" t="s">
        <v>1470</v>
      </c>
      <c r="B818" s="1" t="str">
        <f aca="false">TRIM(A818)</f>
        <v>+28, 31, RATICATE</v>
      </c>
    </row>
    <row r="819" customFormat="false" ht="12.75" hidden="false" customHeight="true" outlineLevel="0" collapsed="false">
      <c r="A819" s="2"/>
      <c r="B819" s="1" t="str">
        <f aca="false">TRIM(A819)</f>
        <v/>
      </c>
    </row>
    <row r="820" customFormat="false" ht="12.75" hidden="false" customHeight="true" outlineLevel="0" collapsed="false">
      <c r="A820" s="1" t="s">
        <v>1211</v>
      </c>
      <c r="B820" s="1" t="str">
        <f aca="false">TRIM(A820)</f>
        <v># 4%</v>
      </c>
    </row>
    <row r="821" customFormat="false" ht="12.75" hidden="false" customHeight="true" outlineLevel="0" collapsed="false">
      <c r="A821" s="1" t="s">
        <v>1471</v>
      </c>
      <c r="B821" s="1" t="str">
        <f aca="false">TRIM(A821)</f>
        <v>+29, 32, MAROWAK</v>
      </c>
    </row>
    <row r="822" customFormat="false" ht="12.75" hidden="false" customHeight="true" outlineLevel="0" collapsed="false">
      <c r="A822" s="1" t="s">
        <v>1472</v>
      </c>
      <c r="B822" s="1" t="str">
        <f aca="false">TRIM(A822)</f>
        <v>+28, 31, RATTCHET</v>
      </c>
    </row>
    <row r="823" customFormat="false" ht="12.75" hidden="false" customHeight="true" outlineLevel="0" collapsed="false">
      <c r="A823" s="2"/>
      <c r="B823" s="1" t="str">
        <f aca="false">TRIM(A823)</f>
        <v/>
      </c>
    </row>
    <row r="824" customFormat="false" ht="12.75" hidden="false" customHeight="true" outlineLevel="0" collapsed="false">
      <c r="A824" s="1" t="s">
        <v>1212</v>
      </c>
      <c r="B824" s="1" t="str">
        <f aca="false">TRIM(A824)</f>
        <v># 1%</v>
      </c>
    </row>
    <row r="825" customFormat="false" ht="12.75" hidden="false" customHeight="true" outlineLevel="0" collapsed="false">
      <c r="A825" s="1" t="s">
        <v>1473</v>
      </c>
      <c r="B825" s="1" t="str">
        <f aca="false">TRIM(A825)</f>
        <v>+33, 33, HAUNTER</v>
      </c>
    </row>
    <row r="826" customFormat="false" ht="12.75" hidden="false" customHeight="true" outlineLevel="0" collapsed="false">
      <c r="A826" s="1" t="s">
        <v>2607</v>
      </c>
      <c r="B826" s="1" t="str">
        <f aca="false">TRIM(A826)</f>
        <v>+32, 33, NINETALES , &lt;null&gt;, &lt;null&gt;, &lt;null&gt;</v>
      </c>
    </row>
    <row r="827" customFormat="false" ht="12.75" hidden="false" customHeight="true" outlineLevel="0" collapsed="false">
      <c r="A827" s="2"/>
      <c r="B827" s="1" t="str">
        <f aca="false">TRIM(A827)</f>
        <v/>
      </c>
    </row>
    <row r="828" customFormat="false" ht="12.75" hidden="false" customHeight="true" outlineLevel="0" collapsed="false">
      <c r="A828" s="1" t="s">
        <v>2536</v>
      </c>
      <c r="B828" s="1" t="str">
        <f aca="false">TRIM(A828)</f>
        <v>NEW ROUTE</v>
      </c>
    </row>
    <row r="829" customFormat="false" ht="12.75" hidden="false" customHeight="true" outlineLevel="0" collapsed="false">
      <c r="A829" s="1" t="s">
        <v>2608</v>
      </c>
      <c r="B829" s="1" t="str">
        <f aca="false">TRIM(A829)</f>
        <v>+1, 91, 0,</v>
      </c>
    </row>
    <row r="830" customFormat="false" ht="12.75" hidden="false" customHeight="true" outlineLevel="0" collapsed="false">
      <c r="A830" s="1" t="s">
        <v>2609</v>
      </c>
      <c r="B830" s="1" t="str">
        <f aca="false">TRIM(A830)</f>
        <v>4, # 20%</v>
      </c>
    </row>
    <row r="831" customFormat="false" ht="12.75" hidden="false" customHeight="true" outlineLevel="0" collapsed="false">
      <c r="A831" s="1" t="s">
        <v>1463</v>
      </c>
      <c r="B831" s="1" t="str">
        <f aca="false">TRIM(A831)</f>
        <v>28, 31, GASTLY</v>
      </c>
    </row>
    <row r="832" customFormat="false" ht="12.75" hidden="false" customHeight="true" outlineLevel="0" collapsed="false">
      <c r="A832" s="1" t="s">
        <v>1464</v>
      </c>
      <c r="B832" s="1" t="str">
        <f aca="false">TRIM(A832)</f>
        <v>+29, 32, RATTATA</v>
      </c>
    </row>
    <row r="833" customFormat="false" ht="12.75" hidden="false" customHeight="true" outlineLevel="0" collapsed="false">
      <c r="A833" s="2"/>
      <c r="B833" s="1" t="str">
        <f aca="false">TRIM(A833)</f>
        <v/>
      </c>
    </row>
    <row r="834" customFormat="false" ht="12.75" hidden="false" customHeight="true" outlineLevel="0" collapsed="false">
      <c r="A834" s="1" t="s">
        <v>1209</v>
      </c>
      <c r="B834" s="1" t="str">
        <f aca="false">TRIM(A834)</f>
        <v># 10%</v>
      </c>
    </row>
    <row r="835" customFormat="false" ht="12.75" hidden="false" customHeight="true" outlineLevel="0" collapsed="false">
      <c r="A835" s="1" t="s">
        <v>1465</v>
      </c>
      <c r="B835" s="1" t="str">
        <f aca="false">TRIM(A835)</f>
        <v>+27, 31, CUBONE</v>
      </c>
    </row>
    <row r="836" customFormat="false" ht="12.75" hidden="false" customHeight="true" outlineLevel="0" collapsed="false">
      <c r="A836" s="1" t="s">
        <v>1466</v>
      </c>
      <c r="B836" s="1" t="str">
        <f aca="false">TRIM(A836)</f>
        <v>+29, 32, HAUNTER</v>
      </c>
    </row>
    <row r="837" customFormat="false" ht="12.75" hidden="false" customHeight="true" outlineLevel="0" collapsed="false">
      <c r="A837" s="1" t="s">
        <v>1467</v>
      </c>
      <c r="B837" s="1" t="str">
        <f aca="false">TRIM(A837)</f>
        <v>+28, 31, DROWZEE</v>
      </c>
    </row>
    <row r="838" customFormat="false" ht="12.75" hidden="false" customHeight="true" outlineLevel="0" collapsed="false">
      <c r="A838" s="1" t="s">
        <v>1468</v>
      </c>
      <c r="B838" s="1" t="str">
        <f aca="false">TRIM(A838)</f>
        <v>+28, 31, VULPIX</v>
      </c>
    </row>
    <row r="839" customFormat="false" ht="12.75" hidden="false" customHeight="true" outlineLevel="0" collapsed="false">
      <c r="A839" s="2"/>
      <c r="B839" s="1" t="str">
        <f aca="false">TRIM(A839)</f>
        <v/>
      </c>
    </row>
    <row r="840" customFormat="false" ht="12.75" hidden="false" customHeight="true" outlineLevel="0" collapsed="false">
      <c r="A840" s="1" t="s">
        <v>1210</v>
      </c>
      <c r="B840" s="1" t="str">
        <f aca="false">TRIM(A840)</f>
        <v># 5%</v>
      </c>
    </row>
    <row r="841" customFormat="false" ht="12.75" hidden="false" customHeight="true" outlineLevel="0" collapsed="false">
      <c r="A841" s="1" t="s">
        <v>1469</v>
      </c>
      <c r="B841" s="1" t="str">
        <f aca="false">TRIM(A841)</f>
        <v>+29, 32, HYPNO</v>
      </c>
    </row>
    <row r="842" customFormat="false" ht="12.75" hidden="false" customHeight="true" outlineLevel="0" collapsed="false">
      <c r="A842" s="1" t="s">
        <v>1470</v>
      </c>
      <c r="B842" s="1" t="str">
        <f aca="false">TRIM(A842)</f>
        <v>+28, 31, RATICATE</v>
      </c>
    </row>
    <row r="843" customFormat="false" ht="12.75" hidden="false" customHeight="true" outlineLevel="0" collapsed="false">
      <c r="A843" s="2"/>
      <c r="B843" s="1" t="str">
        <f aca="false">TRIM(A843)</f>
        <v/>
      </c>
    </row>
    <row r="844" customFormat="false" ht="12.75" hidden="false" customHeight="true" outlineLevel="0" collapsed="false">
      <c r="A844" s="1" t="s">
        <v>1211</v>
      </c>
      <c r="B844" s="1" t="str">
        <f aca="false">TRIM(A844)</f>
        <v># 4%</v>
      </c>
    </row>
    <row r="845" customFormat="false" ht="12.75" hidden="false" customHeight="true" outlineLevel="0" collapsed="false">
      <c r="A845" s="1" t="s">
        <v>1471</v>
      </c>
      <c r="B845" s="1" t="str">
        <f aca="false">TRIM(A845)</f>
        <v>+29, 32, MAROWAK</v>
      </c>
    </row>
    <row r="846" customFormat="false" ht="12.75" hidden="false" customHeight="true" outlineLevel="0" collapsed="false">
      <c r="A846" s="1" t="s">
        <v>1472</v>
      </c>
      <c r="B846" s="1" t="str">
        <f aca="false">TRIM(A846)</f>
        <v>+28, 31, RATTCHET</v>
      </c>
    </row>
    <row r="847" customFormat="false" ht="12.75" hidden="false" customHeight="true" outlineLevel="0" collapsed="false">
      <c r="A847" s="2"/>
      <c r="B847" s="1" t="str">
        <f aca="false">TRIM(A847)</f>
        <v/>
      </c>
    </row>
    <row r="848" customFormat="false" ht="12.75" hidden="false" customHeight="true" outlineLevel="0" collapsed="false">
      <c r="A848" s="1" t="s">
        <v>1212</v>
      </c>
      <c r="B848" s="1" t="str">
        <f aca="false">TRIM(A848)</f>
        <v># 1%</v>
      </c>
    </row>
    <row r="849" customFormat="false" ht="12.75" hidden="false" customHeight="true" outlineLevel="0" collapsed="false">
      <c r="A849" s="1" t="s">
        <v>1473</v>
      </c>
      <c r="B849" s="1" t="str">
        <f aca="false">TRIM(A849)</f>
        <v>+33, 33, HAUNTER</v>
      </c>
    </row>
    <row r="850" customFormat="false" ht="12.75" hidden="false" customHeight="true" outlineLevel="0" collapsed="false">
      <c r="A850" s="1" t="s">
        <v>2607</v>
      </c>
      <c r="B850" s="1" t="str">
        <f aca="false">TRIM(A850)</f>
        <v>+32, 33, NINETALES , &lt;null&gt;, &lt;null&gt;, &lt;null&gt;</v>
      </c>
    </row>
    <row r="851" customFormat="false" ht="12.75" hidden="false" customHeight="true" outlineLevel="0" collapsed="false">
      <c r="A851" s="2"/>
      <c r="B851" s="1" t="str">
        <f aca="false">TRIM(A851)</f>
        <v/>
      </c>
    </row>
    <row r="852" customFormat="false" ht="12.75" hidden="false" customHeight="true" outlineLevel="0" collapsed="false">
      <c r="A852" s="1" t="s">
        <v>2536</v>
      </c>
      <c r="B852" s="1" t="str">
        <f aca="false">TRIM(A852)</f>
        <v>NEW ROUTE</v>
      </c>
    </row>
    <row r="853" customFormat="false" ht="12.75" hidden="false" customHeight="true" outlineLevel="0" collapsed="false">
      <c r="A853" s="1" t="s">
        <v>2610</v>
      </c>
      <c r="B853" s="1" t="str">
        <f aca="false">TRIM(A853)</f>
        <v>+1, 92, 0,</v>
      </c>
    </row>
    <row r="854" customFormat="false" ht="12.75" hidden="false" customHeight="true" outlineLevel="0" collapsed="false">
      <c r="A854" s="1" t="s">
        <v>2611</v>
      </c>
      <c r="B854" s="1" t="str">
        <f aca="false">TRIM(A854)</f>
        <v>6, # 20%</v>
      </c>
    </row>
    <row r="855" customFormat="false" ht="12.75" hidden="false" customHeight="true" outlineLevel="0" collapsed="false">
      <c r="A855" s="1" t="s">
        <v>1463</v>
      </c>
      <c r="B855" s="1" t="str">
        <f aca="false">TRIM(A855)</f>
        <v>28, 31, GASTLY</v>
      </c>
    </row>
    <row r="856" customFormat="false" ht="12.75" hidden="false" customHeight="true" outlineLevel="0" collapsed="false">
      <c r="A856" s="1" t="s">
        <v>1464</v>
      </c>
      <c r="B856" s="1" t="str">
        <f aca="false">TRIM(A856)</f>
        <v>+29, 32, RATTATA</v>
      </c>
    </row>
    <row r="857" customFormat="false" ht="12.75" hidden="false" customHeight="true" outlineLevel="0" collapsed="false">
      <c r="A857" s="2"/>
      <c r="B857" s="1" t="str">
        <f aca="false">TRIM(A857)</f>
        <v/>
      </c>
    </row>
    <row r="858" customFormat="false" ht="12.75" hidden="false" customHeight="true" outlineLevel="0" collapsed="false">
      <c r="A858" s="1" t="s">
        <v>1209</v>
      </c>
      <c r="B858" s="1" t="str">
        <f aca="false">TRIM(A858)</f>
        <v># 10%</v>
      </c>
    </row>
    <row r="859" customFormat="false" ht="12.75" hidden="false" customHeight="true" outlineLevel="0" collapsed="false">
      <c r="A859" s="1" t="s">
        <v>1465</v>
      </c>
      <c r="B859" s="1" t="str">
        <f aca="false">TRIM(A859)</f>
        <v>+27, 31, CUBONE</v>
      </c>
    </row>
    <row r="860" customFormat="false" ht="12.75" hidden="false" customHeight="true" outlineLevel="0" collapsed="false">
      <c r="A860" s="1" t="s">
        <v>1466</v>
      </c>
      <c r="B860" s="1" t="str">
        <f aca="false">TRIM(A860)</f>
        <v>+29, 32, HAUNTER</v>
      </c>
    </row>
    <row r="861" customFormat="false" ht="12.75" hidden="false" customHeight="true" outlineLevel="0" collapsed="false">
      <c r="A861" s="1" t="s">
        <v>1467</v>
      </c>
      <c r="B861" s="1" t="str">
        <f aca="false">TRIM(A861)</f>
        <v>+28, 31, DROWZEE</v>
      </c>
    </row>
    <row r="862" customFormat="false" ht="12.75" hidden="false" customHeight="true" outlineLevel="0" collapsed="false">
      <c r="A862" s="1" t="s">
        <v>1468</v>
      </c>
      <c r="B862" s="1" t="str">
        <f aca="false">TRIM(A862)</f>
        <v>+28, 31, VULPIX</v>
      </c>
    </row>
    <row r="863" customFormat="false" ht="12.75" hidden="false" customHeight="true" outlineLevel="0" collapsed="false">
      <c r="A863" s="2"/>
      <c r="B863" s="1" t="str">
        <f aca="false">TRIM(A863)</f>
        <v/>
      </c>
    </row>
    <row r="864" customFormat="false" ht="12.75" hidden="false" customHeight="true" outlineLevel="0" collapsed="false">
      <c r="A864" s="1" t="s">
        <v>1210</v>
      </c>
      <c r="B864" s="1" t="str">
        <f aca="false">TRIM(A864)</f>
        <v># 5%</v>
      </c>
    </row>
    <row r="865" customFormat="false" ht="12.75" hidden="false" customHeight="true" outlineLevel="0" collapsed="false">
      <c r="A865" s="1" t="s">
        <v>1469</v>
      </c>
      <c r="B865" s="1" t="str">
        <f aca="false">TRIM(A865)</f>
        <v>+29, 32, HYPNO</v>
      </c>
    </row>
    <row r="866" customFormat="false" ht="12.75" hidden="false" customHeight="true" outlineLevel="0" collapsed="false">
      <c r="A866" s="1" t="s">
        <v>1470</v>
      </c>
      <c r="B866" s="1" t="str">
        <f aca="false">TRIM(A866)</f>
        <v>+28, 31, RATICATE</v>
      </c>
    </row>
    <row r="867" customFormat="false" ht="12.75" hidden="false" customHeight="true" outlineLevel="0" collapsed="false">
      <c r="A867" s="2"/>
      <c r="B867" s="1" t="str">
        <f aca="false">TRIM(A867)</f>
        <v/>
      </c>
    </row>
    <row r="868" customFormat="false" ht="12.75" hidden="false" customHeight="true" outlineLevel="0" collapsed="false">
      <c r="A868" s="1" t="s">
        <v>1211</v>
      </c>
      <c r="B868" s="1" t="str">
        <f aca="false">TRIM(A868)</f>
        <v># 4%</v>
      </c>
    </row>
    <row r="869" customFormat="false" ht="12.75" hidden="false" customHeight="true" outlineLevel="0" collapsed="false">
      <c r="A869" s="1" t="s">
        <v>1471</v>
      </c>
      <c r="B869" s="1" t="str">
        <f aca="false">TRIM(A869)</f>
        <v>+29, 32, MAROWAK</v>
      </c>
    </row>
    <row r="870" customFormat="false" ht="12.75" hidden="false" customHeight="true" outlineLevel="0" collapsed="false">
      <c r="A870" s="1" t="s">
        <v>1472</v>
      </c>
      <c r="B870" s="1" t="str">
        <f aca="false">TRIM(A870)</f>
        <v>+28, 31, RATTCHET</v>
      </c>
    </row>
    <row r="871" customFormat="false" ht="12.75" hidden="false" customHeight="true" outlineLevel="0" collapsed="false">
      <c r="A871" s="2"/>
      <c r="B871" s="1" t="str">
        <f aca="false">TRIM(A871)</f>
        <v/>
      </c>
    </row>
    <row r="872" customFormat="false" ht="12.75" hidden="false" customHeight="true" outlineLevel="0" collapsed="false">
      <c r="A872" s="1" t="s">
        <v>1212</v>
      </c>
      <c r="B872" s="1" t="str">
        <f aca="false">TRIM(A872)</f>
        <v># 1%</v>
      </c>
    </row>
    <row r="873" customFormat="false" ht="12.75" hidden="false" customHeight="true" outlineLevel="0" collapsed="false">
      <c r="A873" s="1" t="s">
        <v>1473</v>
      </c>
      <c r="B873" s="1" t="str">
        <f aca="false">TRIM(A873)</f>
        <v>+33, 33, HAUNTER</v>
      </c>
    </row>
    <row r="874" customFormat="false" ht="12.75" hidden="false" customHeight="true" outlineLevel="0" collapsed="false">
      <c r="A874" s="1" t="s">
        <v>2607</v>
      </c>
      <c r="B874" s="1" t="str">
        <f aca="false">TRIM(A874)</f>
        <v>+32, 33, NINETALES , &lt;null&gt;, &lt;null&gt;, &lt;null&gt;</v>
      </c>
    </row>
    <row r="875" customFormat="false" ht="12.75" hidden="false" customHeight="true" outlineLevel="0" collapsed="false">
      <c r="A875" s="2"/>
      <c r="B875" s="1" t="str">
        <f aca="false">TRIM(A875)</f>
        <v/>
      </c>
    </row>
    <row r="876" customFormat="false" ht="12.75" hidden="false" customHeight="true" outlineLevel="0" collapsed="false">
      <c r="A876" s="1" t="s">
        <v>2536</v>
      </c>
      <c r="B876" s="1" t="str">
        <f aca="false">TRIM(A876)</f>
        <v>NEW ROUTE</v>
      </c>
    </row>
    <row r="877" customFormat="false" ht="12.75" hidden="false" customHeight="true" outlineLevel="0" collapsed="false">
      <c r="A877" s="1" t="s">
        <v>2612</v>
      </c>
      <c r="B877" s="1" t="str">
        <f aca="false">TRIM(A877)</f>
        <v>+1, 93, 0,</v>
      </c>
    </row>
    <row r="878" customFormat="false" ht="12.75" hidden="false" customHeight="true" outlineLevel="0" collapsed="false">
      <c r="A878" s="1" t="s">
        <v>2613</v>
      </c>
      <c r="B878" s="1" t="str">
        <f aca="false">TRIM(A878)</f>
        <v>8, # 20%</v>
      </c>
    </row>
    <row r="879" customFormat="false" ht="12.75" hidden="false" customHeight="true" outlineLevel="0" collapsed="false">
      <c r="A879" s="1" t="s">
        <v>1463</v>
      </c>
      <c r="B879" s="1" t="str">
        <f aca="false">TRIM(A879)</f>
        <v>28, 31, GASTLY</v>
      </c>
    </row>
    <row r="880" customFormat="false" ht="12.75" hidden="false" customHeight="true" outlineLevel="0" collapsed="false">
      <c r="A880" s="1" t="s">
        <v>1464</v>
      </c>
      <c r="B880" s="1" t="str">
        <f aca="false">TRIM(A880)</f>
        <v>+29, 32, RATTATA</v>
      </c>
    </row>
    <row r="881" customFormat="false" ht="12.75" hidden="false" customHeight="true" outlineLevel="0" collapsed="false">
      <c r="A881" s="2"/>
      <c r="B881" s="1" t="str">
        <f aca="false">TRIM(A881)</f>
        <v/>
      </c>
    </row>
    <row r="882" customFormat="false" ht="12.75" hidden="false" customHeight="true" outlineLevel="0" collapsed="false">
      <c r="A882" s="1" t="s">
        <v>1209</v>
      </c>
      <c r="B882" s="1" t="str">
        <f aca="false">TRIM(A882)</f>
        <v># 10%</v>
      </c>
    </row>
    <row r="883" customFormat="false" ht="12.75" hidden="false" customHeight="true" outlineLevel="0" collapsed="false">
      <c r="A883" s="1" t="s">
        <v>1465</v>
      </c>
      <c r="B883" s="1" t="str">
        <f aca="false">TRIM(A883)</f>
        <v>+27, 31, CUBONE</v>
      </c>
    </row>
    <row r="884" customFormat="false" ht="12.75" hidden="false" customHeight="true" outlineLevel="0" collapsed="false">
      <c r="A884" s="1" t="s">
        <v>1466</v>
      </c>
      <c r="B884" s="1" t="str">
        <f aca="false">TRIM(A884)</f>
        <v>+29, 32, HAUNTER</v>
      </c>
    </row>
    <row r="885" customFormat="false" ht="12.75" hidden="false" customHeight="true" outlineLevel="0" collapsed="false">
      <c r="A885" s="1" t="s">
        <v>1467</v>
      </c>
      <c r="B885" s="1" t="str">
        <f aca="false">TRIM(A885)</f>
        <v>+28, 31, DROWZEE</v>
      </c>
    </row>
    <row r="886" customFormat="false" ht="12.75" hidden="false" customHeight="true" outlineLevel="0" collapsed="false">
      <c r="A886" s="1" t="s">
        <v>1468</v>
      </c>
      <c r="B886" s="1" t="str">
        <f aca="false">TRIM(A886)</f>
        <v>+28, 31, VULPIX</v>
      </c>
    </row>
    <row r="887" customFormat="false" ht="12.75" hidden="false" customHeight="true" outlineLevel="0" collapsed="false">
      <c r="A887" s="2"/>
      <c r="B887" s="1" t="str">
        <f aca="false">TRIM(A887)</f>
        <v/>
      </c>
    </row>
    <row r="888" customFormat="false" ht="12.75" hidden="false" customHeight="true" outlineLevel="0" collapsed="false">
      <c r="A888" s="1" t="s">
        <v>1210</v>
      </c>
      <c r="B888" s="1" t="str">
        <f aca="false">TRIM(A888)</f>
        <v># 5%</v>
      </c>
    </row>
    <row r="889" customFormat="false" ht="12.75" hidden="false" customHeight="true" outlineLevel="0" collapsed="false">
      <c r="A889" s="1" t="s">
        <v>1469</v>
      </c>
      <c r="B889" s="1" t="str">
        <f aca="false">TRIM(A889)</f>
        <v>+29, 32, HYPNO</v>
      </c>
    </row>
    <row r="890" customFormat="false" ht="12.75" hidden="false" customHeight="true" outlineLevel="0" collapsed="false">
      <c r="A890" s="1" t="s">
        <v>1470</v>
      </c>
      <c r="B890" s="1" t="str">
        <f aca="false">TRIM(A890)</f>
        <v>+28, 31, RATICATE</v>
      </c>
    </row>
    <row r="891" customFormat="false" ht="12.75" hidden="false" customHeight="true" outlineLevel="0" collapsed="false">
      <c r="A891" s="2"/>
      <c r="B891" s="1" t="str">
        <f aca="false">TRIM(A891)</f>
        <v/>
      </c>
    </row>
    <row r="892" customFormat="false" ht="12.75" hidden="false" customHeight="true" outlineLevel="0" collapsed="false">
      <c r="A892" s="1" t="s">
        <v>1211</v>
      </c>
      <c r="B892" s="1" t="str">
        <f aca="false">TRIM(A892)</f>
        <v># 4%</v>
      </c>
    </row>
    <row r="893" customFormat="false" ht="12.75" hidden="false" customHeight="true" outlineLevel="0" collapsed="false">
      <c r="A893" s="1" t="s">
        <v>1471</v>
      </c>
      <c r="B893" s="1" t="str">
        <f aca="false">TRIM(A893)</f>
        <v>+29, 32, MAROWAK</v>
      </c>
    </row>
    <row r="894" customFormat="false" ht="12.75" hidden="false" customHeight="true" outlineLevel="0" collapsed="false">
      <c r="A894" s="1" t="s">
        <v>1472</v>
      </c>
      <c r="B894" s="1" t="str">
        <f aca="false">TRIM(A894)</f>
        <v>+28, 31, RATTCHET</v>
      </c>
    </row>
    <row r="895" customFormat="false" ht="12.75" hidden="false" customHeight="true" outlineLevel="0" collapsed="false">
      <c r="A895" s="2"/>
      <c r="B895" s="1" t="str">
        <f aca="false">TRIM(A895)</f>
        <v/>
      </c>
    </row>
    <row r="896" customFormat="false" ht="12.75" hidden="false" customHeight="true" outlineLevel="0" collapsed="false">
      <c r="A896" s="1" t="s">
        <v>1212</v>
      </c>
      <c r="B896" s="1" t="str">
        <f aca="false">TRIM(A896)</f>
        <v># 1%</v>
      </c>
    </row>
    <row r="897" customFormat="false" ht="12.75" hidden="false" customHeight="true" outlineLevel="0" collapsed="false">
      <c r="A897" s="1" t="s">
        <v>1473</v>
      </c>
      <c r="B897" s="1" t="str">
        <f aca="false">TRIM(A897)</f>
        <v>+33, 33, HAUNTER</v>
      </c>
    </row>
    <row r="898" customFormat="false" ht="12.75" hidden="false" customHeight="true" outlineLevel="0" collapsed="false">
      <c r="A898" s="1" t="s">
        <v>2607</v>
      </c>
      <c r="B898" s="1" t="str">
        <f aca="false">TRIM(A898)</f>
        <v>+32, 33, NINETALES , &lt;null&gt;, &lt;null&gt;, &lt;null&gt;</v>
      </c>
    </row>
    <row r="899" customFormat="false" ht="12.75" hidden="false" customHeight="true" outlineLevel="0" collapsed="false">
      <c r="A899" s="2"/>
      <c r="B899" s="1" t="str">
        <f aca="false">TRIM(A899)</f>
        <v/>
      </c>
    </row>
    <row r="900" customFormat="false" ht="12.75" hidden="false" customHeight="true" outlineLevel="0" collapsed="false">
      <c r="A900" s="1" t="s">
        <v>2536</v>
      </c>
      <c r="B900" s="1" t="str">
        <f aca="false">TRIM(A900)</f>
        <v>NEW ROUTE</v>
      </c>
    </row>
    <row r="901" customFormat="false" ht="12.75" hidden="false" customHeight="true" outlineLevel="0" collapsed="false">
      <c r="A901" s="1" t="s">
        <v>2614</v>
      </c>
      <c r="B901" s="1" t="str">
        <f aca="false">TRIM(A901)</f>
        <v>+1, 94, 0,</v>
      </c>
    </row>
    <row r="902" customFormat="false" ht="12.75" hidden="false" customHeight="true" outlineLevel="0" collapsed="false">
      <c r="A902" s="1" t="s">
        <v>2615</v>
      </c>
      <c r="B902" s="1" t="str">
        <f aca="false">TRIM(A902)</f>
        <v>10, # 20%</v>
      </c>
    </row>
    <row r="903" customFormat="false" ht="12.75" hidden="false" customHeight="true" outlineLevel="0" collapsed="false">
      <c r="A903" s="1" t="s">
        <v>1463</v>
      </c>
      <c r="B903" s="1" t="str">
        <f aca="false">TRIM(A903)</f>
        <v>28, 31, GASTLY</v>
      </c>
    </row>
    <row r="904" customFormat="false" ht="12.75" hidden="false" customHeight="true" outlineLevel="0" collapsed="false">
      <c r="A904" s="1" t="s">
        <v>1464</v>
      </c>
      <c r="B904" s="1" t="str">
        <f aca="false">TRIM(A904)</f>
        <v>+29, 32, RATTATA</v>
      </c>
    </row>
    <row r="905" customFormat="false" ht="12.75" hidden="false" customHeight="true" outlineLevel="0" collapsed="false">
      <c r="A905" s="2"/>
      <c r="B905" s="1" t="str">
        <f aca="false">TRIM(A905)</f>
        <v/>
      </c>
    </row>
    <row r="906" customFormat="false" ht="12.75" hidden="false" customHeight="true" outlineLevel="0" collapsed="false">
      <c r="A906" s="1" t="s">
        <v>1209</v>
      </c>
      <c r="B906" s="1" t="str">
        <f aca="false">TRIM(A906)</f>
        <v># 10%</v>
      </c>
    </row>
    <row r="907" customFormat="false" ht="12.75" hidden="false" customHeight="true" outlineLevel="0" collapsed="false">
      <c r="A907" s="1" t="s">
        <v>1465</v>
      </c>
      <c r="B907" s="1" t="str">
        <f aca="false">TRIM(A907)</f>
        <v>+27, 31, CUBONE</v>
      </c>
    </row>
    <row r="908" customFormat="false" ht="12.75" hidden="false" customHeight="true" outlineLevel="0" collapsed="false">
      <c r="A908" s="1" t="s">
        <v>1466</v>
      </c>
      <c r="B908" s="1" t="str">
        <f aca="false">TRIM(A908)</f>
        <v>+29, 32, HAUNTER</v>
      </c>
    </row>
    <row r="909" customFormat="false" ht="12.75" hidden="false" customHeight="true" outlineLevel="0" collapsed="false">
      <c r="A909" s="1" t="s">
        <v>1467</v>
      </c>
      <c r="B909" s="1" t="str">
        <f aca="false">TRIM(A909)</f>
        <v>+28, 31, DROWZEE</v>
      </c>
    </row>
    <row r="910" customFormat="false" ht="12.75" hidden="false" customHeight="true" outlineLevel="0" collapsed="false">
      <c r="A910" s="1" t="s">
        <v>1468</v>
      </c>
      <c r="B910" s="1" t="str">
        <f aca="false">TRIM(A910)</f>
        <v>+28, 31, VULPIX</v>
      </c>
    </row>
    <row r="911" customFormat="false" ht="12.75" hidden="false" customHeight="true" outlineLevel="0" collapsed="false">
      <c r="A911" s="2"/>
      <c r="B911" s="1" t="str">
        <f aca="false">TRIM(A911)</f>
        <v/>
      </c>
    </row>
    <row r="912" customFormat="false" ht="12.75" hidden="false" customHeight="true" outlineLevel="0" collapsed="false">
      <c r="A912" s="1" t="s">
        <v>1210</v>
      </c>
      <c r="B912" s="1" t="str">
        <f aca="false">TRIM(A912)</f>
        <v># 5%</v>
      </c>
    </row>
    <row r="913" customFormat="false" ht="12.75" hidden="false" customHeight="true" outlineLevel="0" collapsed="false">
      <c r="A913" s="1" t="s">
        <v>1469</v>
      </c>
      <c r="B913" s="1" t="str">
        <f aca="false">TRIM(A913)</f>
        <v>+29, 32, HYPNO</v>
      </c>
    </row>
    <row r="914" customFormat="false" ht="12.75" hidden="false" customHeight="true" outlineLevel="0" collapsed="false">
      <c r="A914" s="1" t="s">
        <v>1470</v>
      </c>
      <c r="B914" s="1" t="str">
        <f aca="false">TRIM(A914)</f>
        <v>+28, 31, RATICATE</v>
      </c>
    </row>
    <row r="915" customFormat="false" ht="12.75" hidden="false" customHeight="true" outlineLevel="0" collapsed="false">
      <c r="A915" s="2"/>
      <c r="B915" s="1" t="str">
        <f aca="false">TRIM(A915)</f>
        <v/>
      </c>
    </row>
    <row r="916" customFormat="false" ht="12.75" hidden="false" customHeight="true" outlineLevel="0" collapsed="false">
      <c r="A916" s="1" t="s">
        <v>1211</v>
      </c>
      <c r="B916" s="1" t="str">
        <f aca="false">TRIM(A916)</f>
        <v># 4%</v>
      </c>
    </row>
    <row r="917" customFormat="false" ht="12.75" hidden="false" customHeight="true" outlineLevel="0" collapsed="false">
      <c r="A917" s="1" t="s">
        <v>1471</v>
      </c>
      <c r="B917" s="1" t="str">
        <f aca="false">TRIM(A917)</f>
        <v>+29, 32, MAROWAK</v>
      </c>
    </row>
    <row r="918" customFormat="false" ht="12.75" hidden="false" customHeight="true" outlineLevel="0" collapsed="false">
      <c r="A918" s="1" t="s">
        <v>1472</v>
      </c>
      <c r="B918" s="1" t="str">
        <f aca="false">TRIM(A918)</f>
        <v>+28, 31, RATTCHET</v>
      </c>
    </row>
    <row r="919" customFormat="false" ht="12.75" hidden="false" customHeight="true" outlineLevel="0" collapsed="false">
      <c r="A919" s="2"/>
      <c r="B919" s="1" t="str">
        <f aca="false">TRIM(A919)</f>
        <v/>
      </c>
    </row>
    <row r="920" customFormat="false" ht="12.75" hidden="false" customHeight="true" outlineLevel="0" collapsed="false">
      <c r="A920" s="1" t="s">
        <v>1212</v>
      </c>
      <c r="B920" s="1" t="str">
        <f aca="false">TRIM(A920)</f>
        <v># 1%</v>
      </c>
    </row>
    <row r="921" customFormat="false" ht="12.75" hidden="false" customHeight="true" outlineLevel="0" collapsed="false">
      <c r="A921" s="1" t="s">
        <v>1479</v>
      </c>
      <c r="B921" s="1" t="str">
        <f aca="false">TRIM(A921)</f>
        <v>+32, 33, GENGAR</v>
      </c>
    </row>
    <row r="922" customFormat="false" ht="12.75" hidden="false" customHeight="true" outlineLevel="0" collapsed="false">
      <c r="A922" s="1" t="s">
        <v>2607</v>
      </c>
      <c r="B922" s="1" t="str">
        <f aca="false">TRIM(A922)</f>
        <v>+32, 33, NINETALES , &lt;null&gt;, &lt;null&gt;, &lt;null&gt;</v>
      </c>
    </row>
    <row r="923" customFormat="false" ht="12.75" hidden="false" customHeight="true" outlineLevel="0" collapsed="false">
      <c r="A923" s="2"/>
      <c r="B923" s="1" t="str">
        <f aca="false">TRIM(A923)</f>
        <v/>
      </c>
    </row>
    <row r="924" customFormat="false" ht="12.75" hidden="false" customHeight="true" outlineLevel="0" collapsed="false">
      <c r="A924" s="1" t="s">
        <v>2536</v>
      </c>
      <c r="B924" s="1" t="str">
        <f aca="false">TRIM(A924)</f>
        <v>NEW ROUTE</v>
      </c>
    </row>
    <row r="925" customFormat="false" ht="12.75" hidden="false" customHeight="true" outlineLevel="0" collapsed="false">
      <c r="A925" s="1" t="s">
        <v>2616</v>
      </c>
      <c r="B925" s="1" t="str">
        <f aca="false">TRIM(A925)</f>
        <v>+1, 95, 0,</v>
      </c>
    </row>
    <row r="926" customFormat="false" ht="12.75" hidden="false" customHeight="true" outlineLevel="0" collapsed="false">
      <c r="A926" s="1" t="s">
        <v>2541</v>
      </c>
      <c r="B926" s="1" t="str">
        <f aca="false">TRIM(A926)</f>
        <v>7, # 20%</v>
      </c>
    </row>
    <row r="927" customFormat="false" ht="12.75" hidden="false" customHeight="true" outlineLevel="0" collapsed="false">
      <c r="A927" s="1" t="s">
        <v>1481</v>
      </c>
      <c r="B927" s="1" t="str">
        <f aca="false">TRIM(A927)</f>
        <v>39, 46, MAGNEMITE</v>
      </c>
    </row>
    <row r="928" customFormat="false" ht="12.75" hidden="false" customHeight="true" outlineLevel="0" collapsed="false">
      <c r="A928" s="1" t="s">
        <v>1482</v>
      </c>
      <c r="B928" s="1" t="str">
        <f aca="false">TRIM(A928)</f>
        <v>+39, 46, PIKACHU</v>
      </c>
    </row>
    <row r="929" customFormat="false" ht="12.75" hidden="false" customHeight="true" outlineLevel="0" collapsed="false">
      <c r="A929" s="2"/>
      <c r="B929" s="1" t="str">
        <f aca="false">TRIM(A929)</f>
        <v/>
      </c>
    </row>
    <row r="930" customFormat="false" ht="12.75" hidden="false" customHeight="true" outlineLevel="0" collapsed="false">
      <c r="A930" s="1" t="s">
        <v>1209</v>
      </c>
      <c r="B930" s="1" t="str">
        <f aca="false">TRIM(A930)</f>
        <v># 10%</v>
      </c>
    </row>
    <row r="931" customFormat="false" ht="12.75" hidden="false" customHeight="true" outlineLevel="0" collapsed="false">
      <c r="A931" s="1" t="s">
        <v>1483</v>
      </c>
      <c r="B931" s="1" t="str">
        <f aca="false">TRIM(A931)</f>
        <v>+41, 48, VOLTORB</v>
      </c>
    </row>
    <row r="932" customFormat="false" ht="12.75" hidden="false" customHeight="true" outlineLevel="0" collapsed="false">
      <c r="A932" s="1" t="s">
        <v>1484</v>
      </c>
      <c r="B932" s="1" t="str">
        <f aca="false">TRIM(A932)</f>
        <v>+41, 46, ELECTABUZZ</v>
      </c>
    </row>
    <row r="933" customFormat="false" ht="12.75" hidden="false" customHeight="true" outlineLevel="0" collapsed="false">
      <c r="A933" s="1" t="s">
        <v>1485</v>
      </c>
      <c r="B933" s="1" t="str">
        <f aca="false">TRIM(A933)</f>
        <v>+41, 48, PORYGON</v>
      </c>
    </row>
    <row r="934" customFormat="false" ht="12.75" hidden="false" customHeight="true" outlineLevel="0" collapsed="false">
      <c r="A934" s="1" t="s">
        <v>1486</v>
      </c>
      <c r="B934" s="1" t="str">
        <f aca="false">TRIM(A934)</f>
        <v>+41, 48, MAGNETON</v>
      </c>
    </row>
    <row r="935" customFormat="false" ht="12.75" hidden="false" customHeight="true" outlineLevel="0" collapsed="false">
      <c r="A935" s="2"/>
      <c r="B935" s="1" t="str">
        <f aca="false">TRIM(A935)</f>
        <v/>
      </c>
    </row>
    <row r="936" customFormat="false" ht="12.75" hidden="false" customHeight="true" outlineLevel="0" collapsed="false">
      <c r="A936" s="1" t="s">
        <v>1210</v>
      </c>
      <c r="B936" s="1" t="str">
        <f aca="false">TRIM(A936)</f>
        <v># 5%</v>
      </c>
    </row>
    <row r="937" customFormat="false" ht="12.75" hidden="false" customHeight="true" outlineLevel="0" collapsed="false">
      <c r="A937" s="1" t="s">
        <v>1487</v>
      </c>
      <c r="B937" s="1" t="str">
        <f aca="false">TRIM(A937)</f>
        <v>+43, 50, PORYGON2</v>
      </c>
    </row>
    <row r="938" customFormat="false" ht="12.75" hidden="false" customHeight="true" outlineLevel="0" collapsed="false">
      <c r="A938" s="1" t="s">
        <v>1488</v>
      </c>
      <c r="B938" s="1" t="str">
        <f aca="false">TRIM(A938)</f>
        <v>+43, 50, ELECTRODE</v>
      </c>
    </row>
    <row r="939" customFormat="false" ht="12.75" hidden="false" customHeight="true" outlineLevel="0" collapsed="false">
      <c r="A939" s="2"/>
      <c r="B939" s="1" t="str">
        <f aca="false">TRIM(A939)</f>
        <v/>
      </c>
    </row>
    <row r="940" customFormat="false" ht="12.75" hidden="false" customHeight="true" outlineLevel="0" collapsed="false">
      <c r="A940" s="1" t="s">
        <v>1211</v>
      </c>
      <c r="B940" s="1" t="str">
        <f aca="false">TRIM(A940)</f>
        <v># 4%</v>
      </c>
    </row>
    <row r="941" customFormat="false" ht="12.75" hidden="false" customHeight="true" outlineLevel="0" collapsed="false">
      <c r="A941" s="1" t="s">
        <v>1489</v>
      </c>
      <c r="B941" s="1" t="str">
        <f aca="false">TRIM(A941)</f>
        <v>+43, 50, JOLTEON</v>
      </c>
    </row>
    <row r="942" customFormat="false" ht="12.75" hidden="false" customHeight="true" outlineLevel="0" collapsed="false">
      <c r="A942" s="1" t="s">
        <v>1490</v>
      </c>
      <c r="B942" s="1" t="str">
        <f aca="false">TRIM(A942)</f>
        <v>+43, 50, RAICHU</v>
      </c>
    </row>
    <row r="943" customFormat="false" ht="12.75" hidden="false" customHeight="true" outlineLevel="0" collapsed="false">
      <c r="A943" s="2"/>
      <c r="B943" s="1" t="str">
        <f aca="false">TRIM(A943)</f>
        <v/>
      </c>
    </row>
    <row r="944" customFormat="false" ht="12.75" hidden="false" customHeight="true" outlineLevel="0" collapsed="false">
      <c r="A944" s="1" t="s">
        <v>1212</v>
      </c>
      <c r="B944" s="1" t="str">
        <f aca="false">TRIM(A944)</f>
        <v># 1%</v>
      </c>
    </row>
    <row r="945" customFormat="false" ht="12.75" hidden="false" customHeight="true" outlineLevel="0" collapsed="false">
      <c r="A945" s="1" t="s">
        <v>1491</v>
      </c>
      <c r="B945" s="1" t="str">
        <f aca="false">TRIM(A945)</f>
        <v>+45, 52, ELECTIVIRE</v>
      </c>
    </row>
    <row r="946" customFormat="false" ht="12.75" hidden="false" customHeight="true" outlineLevel="0" collapsed="false">
      <c r="A946" s="1" t="s">
        <v>2617</v>
      </c>
      <c r="B946" s="1" t="str">
        <f aca="false">TRIM(A946)</f>
        <v>+45, 50, MAGNEZONE , &lt;null&gt;, &lt;null&gt;, &lt;null&gt;</v>
      </c>
    </row>
    <row r="947" customFormat="false" ht="12.75" hidden="false" customHeight="true" outlineLevel="0" collapsed="false">
      <c r="A947" s="2"/>
      <c r="B947" s="1" t="str">
        <f aca="false">TRIM(A947)</f>
        <v/>
      </c>
    </row>
    <row r="948" customFormat="false" ht="12.75" hidden="false" customHeight="true" outlineLevel="0" collapsed="false">
      <c r="A948" s="1" t="s">
        <v>2536</v>
      </c>
      <c r="B948" s="1" t="str">
        <f aca="false">TRIM(A948)</f>
        <v>NEW ROUTE</v>
      </c>
    </row>
    <row r="949" customFormat="false" ht="12.75" hidden="false" customHeight="true" outlineLevel="0" collapsed="false">
      <c r="A949" s="1" t="s">
        <v>2618</v>
      </c>
      <c r="B949" s="1" t="str">
        <f aca="false">TRIM(A949)</f>
        <v>+1, 97, 0,</v>
      </c>
    </row>
    <row r="950" customFormat="false" ht="12.75" hidden="false" customHeight="true" outlineLevel="0" collapsed="false">
      <c r="A950" s="1" t="s">
        <v>2568</v>
      </c>
      <c r="B950" s="1" t="str">
        <f aca="false">TRIM(A950)</f>
        <v>21, # 20%</v>
      </c>
    </row>
    <row r="951" customFormat="false" ht="12.75" hidden="false" customHeight="true" outlineLevel="0" collapsed="false">
      <c r="A951" s="1" t="s">
        <v>1494</v>
      </c>
      <c r="B951" s="1" t="str">
        <f aca="false">TRIM(A951)</f>
        <v>30, 30, PONYTA</v>
      </c>
    </row>
    <row r="952" customFormat="false" ht="12.75" hidden="false" customHeight="true" outlineLevel="0" collapsed="false">
      <c r="A952" s="1" t="s">
        <v>1495</v>
      </c>
      <c r="B952" s="1" t="str">
        <f aca="false">TRIM(A952)</f>
        <v>+38, 38, FEAROW</v>
      </c>
    </row>
    <row r="953" customFormat="false" ht="12.75" hidden="false" customHeight="true" outlineLevel="0" collapsed="false">
      <c r="A953" s="2"/>
      <c r="B953" s="1" t="str">
        <f aca="false">TRIM(A953)</f>
        <v/>
      </c>
    </row>
    <row r="954" customFormat="false" ht="12.75" hidden="false" customHeight="true" outlineLevel="0" collapsed="false">
      <c r="A954" s="1" t="s">
        <v>1209</v>
      </c>
      <c r="B954" s="1" t="str">
        <f aca="false">TRIM(A954)</f>
        <v># 10%</v>
      </c>
    </row>
    <row r="955" customFormat="false" ht="12.75" hidden="false" customHeight="true" outlineLevel="0" collapsed="false">
      <c r="A955" s="1" t="s">
        <v>1496</v>
      </c>
      <c r="B955" s="1" t="str">
        <f aca="false">TRIM(A955)</f>
        <v>+33, 33, PONYTA</v>
      </c>
    </row>
    <row r="956" customFormat="false" ht="12.75" hidden="false" customHeight="true" outlineLevel="0" collapsed="false">
      <c r="A956" s="1" t="s">
        <v>1497</v>
      </c>
      <c r="B956" s="1" t="str">
        <f aca="false">TRIM(A956)</f>
        <v>+32, 32, SPEAROW</v>
      </c>
    </row>
    <row r="957" customFormat="false" ht="12.75" hidden="false" customHeight="true" outlineLevel="0" collapsed="false">
      <c r="A957" s="1" t="s">
        <v>1498</v>
      </c>
      <c r="B957" s="1" t="str">
        <f aca="false">TRIM(A957)</f>
        <v>+35, 35, MACHOP</v>
      </c>
    </row>
    <row r="958" customFormat="false" ht="12.75" hidden="false" customHeight="true" outlineLevel="0" collapsed="false">
      <c r="A958" s="1" t="s">
        <v>1499</v>
      </c>
      <c r="B958" s="1" t="str">
        <f aca="false">TRIM(A958)</f>
        <v>+33, 33, GEODUDE</v>
      </c>
    </row>
    <row r="959" customFormat="false" ht="12.75" hidden="false" customHeight="true" outlineLevel="0" collapsed="false">
      <c r="A959" s="2"/>
      <c r="B959" s="1" t="str">
        <f aca="false">TRIM(A959)</f>
        <v/>
      </c>
    </row>
    <row r="960" customFormat="false" ht="12.75" hidden="false" customHeight="true" outlineLevel="0" collapsed="false">
      <c r="A960" s="1" t="s">
        <v>1210</v>
      </c>
      <c r="B960" s="1" t="str">
        <f aca="false">TRIM(A960)</f>
        <v># 5%</v>
      </c>
    </row>
    <row r="961" customFormat="false" ht="12.75" hidden="false" customHeight="true" outlineLevel="0" collapsed="false">
      <c r="A961" s="1" t="s">
        <v>1500</v>
      </c>
      <c r="B961" s="1" t="str">
        <f aca="false">TRIM(A961)</f>
        <v>+36, 36, PONYTA</v>
      </c>
    </row>
    <row r="962" customFormat="false" ht="12.75" hidden="false" customHeight="true" outlineLevel="0" collapsed="false">
      <c r="A962" s="1" t="s">
        <v>1501</v>
      </c>
      <c r="B962" s="1" t="str">
        <f aca="false">TRIM(A962)</f>
        <v>+40, 40, FEAROW</v>
      </c>
    </row>
    <row r="963" customFormat="false" ht="12.75" hidden="false" customHeight="true" outlineLevel="0" collapsed="false">
      <c r="A963" s="2"/>
      <c r="B963" s="1" t="str">
        <f aca="false">TRIM(A963)</f>
        <v/>
      </c>
    </row>
    <row r="964" customFormat="false" ht="12.75" hidden="false" customHeight="true" outlineLevel="0" collapsed="false">
      <c r="A964" s="1" t="s">
        <v>1211</v>
      </c>
      <c r="B964" s="1" t="str">
        <f aca="false">TRIM(A964)</f>
        <v># 4%</v>
      </c>
    </row>
    <row r="965" customFormat="false" ht="12.75" hidden="false" customHeight="true" outlineLevel="0" collapsed="false">
      <c r="A965" s="1" t="s">
        <v>1502</v>
      </c>
      <c r="B965" s="1" t="str">
        <f aca="false">TRIM(A965)</f>
        <v>+38, 38, MAGMAR</v>
      </c>
    </row>
    <row r="966" customFormat="false" ht="12.75" hidden="false" customHeight="true" outlineLevel="0" collapsed="false">
      <c r="A966" s="1" t="s">
        <v>1503</v>
      </c>
      <c r="B966" s="1" t="str">
        <f aca="false">TRIM(A966)</f>
        <v>+39, 39, RAPIDASH</v>
      </c>
    </row>
    <row r="967" customFormat="false" ht="12.75" hidden="false" customHeight="true" outlineLevel="0" collapsed="false">
      <c r="A967" s="2"/>
      <c r="B967" s="1" t="str">
        <f aca="false">TRIM(A967)</f>
        <v/>
      </c>
    </row>
    <row r="968" customFormat="false" ht="12.75" hidden="false" customHeight="true" outlineLevel="0" collapsed="false">
      <c r="A968" s="1" t="s">
        <v>1212</v>
      </c>
      <c r="B968" s="1" t="str">
        <f aca="false">TRIM(A968)</f>
        <v># 1%</v>
      </c>
    </row>
    <row r="969" customFormat="false" ht="12.75" hidden="false" customHeight="true" outlineLevel="0" collapsed="false">
      <c r="A969" s="1" t="s">
        <v>1504</v>
      </c>
      <c r="B969" s="1" t="str">
        <f aca="false">TRIM(A969)</f>
        <v>+40, 40, MAGMAR</v>
      </c>
    </row>
    <row r="970" customFormat="false" ht="12.75" hidden="false" customHeight="true" outlineLevel="0" collapsed="false">
      <c r="A970" s="1" t="s">
        <v>2619</v>
      </c>
      <c r="B970" s="1" t="str">
        <f aca="false">TRIM(A970)</f>
        <v>+42, 42, RAPIDASH</v>
      </c>
    </row>
    <row r="971" customFormat="false" ht="12.75" hidden="false" customHeight="true" outlineLevel="0" collapsed="false">
      <c r="A971" s="1" t="s">
        <v>2592</v>
      </c>
      <c r="B971" s="1" t="str">
        <f aca="false">TRIM(A971)</f>
        <v>50, 5, 20, GEODUDE</v>
      </c>
    </row>
    <row r="972" customFormat="false" ht="12.75" hidden="false" customHeight="true" outlineLevel="0" collapsed="false">
      <c r="A972" s="1" t="s">
        <v>1425</v>
      </c>
      <c r="B972" s="1" t="str">
        <f aca="false">TRIM(A972)</f>
        <v>+10, 20, GEODUDE</v>
      </c>
    </row>
    <row r="973" customFormat="false" ht="12.75" hidden="false" customHeight="true" outlineLevel="0" collapsed="false">
      <c r="A973" s="1" t="s">
        <v>1426</v>
      </c>
      <c r="B973" s="1" t="str">
        <f aca="false">TRIM(A973)</f>
        <v>+15, 30, GEODUDE</v>
      </c>
    </row>
    <row r="974" customFormat="false" ht="12.75" hidden="false" customHeight="true" outlineLevel="0" collapsed="false">
      <c r="A974" s="1" t="s">
        <v>1427</v>
      </c>
      <c r="B974" s="1" t="str">
        <f aca="false">TRIM(A974)</f>
        <v>+25, 40, GRAVELER</v>
      </c>
    </row>
    <row r="975" customFormat="false" ht="12.75" hidden="false" customHeight="true" outlineLevel="0" collapsed="false">
      <c r="A975" s="1" t="s">
        <v>2593</v>
      </c>
      <c r="B975" s="1" t="str">
        <f aca="false">TRIM(A975)</f>
        <v>+30, 40, GRAVELER , &lt;null&gt;</v>
      </c>
    </row>
    <row r="976" customFormat="false" ht="12.75" hidden="false" customHeight="true" outlineLevel="0" collapsed="false">
      <c r="A976" s="2"/>
      <c r="B976" s="1" t="str">
        <f aca="false">TRIM(A976)</f>
        <v/>
      </c>
    </row>
    <row r="977" customFormat="false" ht="12.75" hidden="false" customHeight="true" outlineLevel="0" collapsed="false">
      <c r="A977" s="1" t="s">
        <v>2536</v>
      </c>
      <c r="B977" s="1" t="str">
        <f aca="false">TRIM(A977)</f>
        <v>NEW ROUTE</v>
      </c>
    </row>
    <row r="978" customFormat="false" ht="12.75" hidden="false" customHeight="true" outlineLevel="0" collapsed="false">
      <c r="A978" s="1" t="s">
        <v>2620</v>
      </c>
      <c r="B978" s="1" t="str">
        <f aca="false">TRIM(A978)</f>
        <v>+1, 98, 0,</v>
      </c>
    </row>
    <row r="979" customFormat="false" ht="12.75" hidden="false" customHeight="true" outlineLevel="0" collapsed="false">
      <c r="A979" s="1" t="s">
        <v>2541</v>
      </c>
      <c r="B979" s="1" t="str">
        <f aca="false">TRIM(A979)</f>
        <v>7, # 20%</v>
      </c>
    </row>
    <row r="980" customFormat="false" ht="12.75" hidden="false" customHeight="true" outlineLevel="0" collapsed="false">
      <c r="A980" s="1" t="s">
        <v>1507</v>
      </c>
      <c r="B980" s="1" t="str">
        <f aca="false">TRIM(A980)</f>
        <v>33, 33, GEODUDE</v>
      </c>
    </row>
    <row r="981" customFormat="false" ht="12.75" hidden="false" customHeight="true" outlineLevel="0" collapsed="false">
      <c r="A981" s="1" t="s">
        <v>1498</v>
      </c>
      <c r="B981" s="1" t="str">
        <f aca="false">TRIM(A981)</f>
        <v>+35, 35, MACHOP</v>
      </c>
    </row>
    <row r="982" customFormat="false" ht="12.75" hidden="false" customHeight="true" outlineLevel="0" collapsed="false">
      <c r="A982" s="2"/>
      <c r="B982" s="1" t="str">
        <f aca="false">TRIM(A982)</f>
        <v/>
      </c>
    </row>
    <row r="983" customFormat="false" ht="12.75" hidden="false" customHeight="true" outlineLevel="0" collapsed="false">
      <c r="A983" s="1" t="s">
        <v>1209</v>
      </c>
      <c r="B983" s="1" t="str">
        <f aca="false">TRIM(A983)</f>
        <v># 10%</v>
      </c>
    </row>
    <row r="984" customFormat="false" ht="12.75" hidden="false" customHeight="true" outlineLevel="0" collapsed="false">
      <c r="A984" s="1" t="s">
        <v>1508</v>
      </c>
      <c r="B984" s="1" t="str">
        <f aca="false">TRIM(A984)</f>
        <v>+29, 29, GEODUDE</v>
      </c>
    </row>
    <row r="985" customFormat="false" ht="12.75" hidden="false" customHeight="true" outlineLevel="0" collapsed="false">
      <c r="A985" s="1" t="s">
        <v>1509</v>
      </c>
      <c r="B985" s="1" t="str">
        <f aca="false">TRIM(A985)</f>
        <v>+31, 31, GEODUDE</v>
      </c>
    </row>
    <row r="986" customFormat="false" ht="12.75" hidden="false" customHeight="true" outlineLevel="0" collapsed="false">
      <c r="A986" s="1" t="s">
        <v>1510</v>
      </c>
      <c r="B986" s="1" t="str">
        <f aca="false">TRIM(A986)</f>
        <v>+31, 31, MACHOP</v>
      </c>
    </row>
    <row r="987" customFormat="false" ht="12.75" hidden="false" customHeight="true" outlineLevel="0" collapsed="false">
      <c r="A987" s="1" t="s">
        <v>1511</v>
      </c>
      <c r="B987" s="1" t="str">
        <f aca="false">TRIM(A987)</f>
        <v>+33, 33, MACHOP</v>
      </c>
    </row>
    <row r="988" customFormat="false" ht="12.75" hidden="false" customHeight="true" outlineLevel="0" collapsed="false">
      <c r="A988" s="2"/>
      <c r="B988" s="1" t="str">
        <f aca="false">TRIM(A988)</f>
        <v/>
      </c>
    </row>
    <row r="989" customFormat="false" ht="12.75" hidden="false" customHeight="true" outlineLevel="0" collapsed="false">
      <c r="A989" s="1" t="s">
        <v>1210</v>
      </c>
      <c r="B989" s="1" t="str">
        <f aca="false">TRIM(A989)</f>
        <v># 5%</v>
      </c>
    </row>
    <row r="990" customFormat="false" ht="12.75" hidden="false" customHeight="true" outlineLevel="0" collapsed="false">
      <c r="A990" s="1" t="s">
        <v>1512</v>
      </c>
      <c r="B990" s="1" t="str">
        <f aca="false">TRIM(A990)</f>
        <v>+35, 35, GEODUDE</v>
      </c>
    </row>
    <row r="991" customFormat="false" ht="12.75" hidden="false" customHeight="true" outlineLevel="0" collapsed="false">
      <c r="A991" s="1" t="s">
        <v>1513</v>
      </c>
      <c r="B991" s="1" t="str">
        <f aca="false">TRIM(A991)</f>
        <v>+37, 37, MACHOP</v>
      </c>
    </row>
    <row r="992" customFormat="false" ht="12.75" hidden="false" customHeight="true" outlineLevel="0" collapsed="false">
      <c r="A992" s="2"/>
      <c r="B992" s="1" t="str">
        <f aca="false">TRIM(A992)</f>
        <v/>
      </c>
    </row>
    <row r="993" customFormat="false" ht="12.75" hidden="false" customHeight="true" outlineLevel="0" collapsed="false">
      <c r="A993" s="1" t="s">
        <v>1211</v>
      </c>
      <c r="B993" s="1" t="str">
        <f aca="false">TRIM(A993)</f>
        <v># 4%</v>
      </c>
    </row>
    <row r="994" customFormat="false" ht="12.75" hidden="false" customHeight="true" outlineLevel="0" collapsed="false">
      <c r="A994" s="1" t="s">
        <v>1514</v>
      </c>
      <c r="B994" s="1" t="str">
        <f aca="false">TRIM(A994)</f>
        <v>+37, 37, GEODUDE</v>
      </c>
    </row>
    <row r="995" customFormat="false" ht="12.75" hidden="false" customHeight="true" outlineLevel="0" collapsed="false">
      <c r="A995" s="1" t="s">
        <v>1515</v>
      </c>
      <c r="B995" s="1" t="str">
        <f aca="false">TRIM(A995)</f>
        <v>+39, 39, MACHOP</v>
      </c>
    </row>
    <row r="996" customFormat="false" ht="12.75" hidden="false" customHeight="true" outlineLevel="0" collapsed="false">
      <c r="A996" s="2"/>
      <c r="B996" s="1" t="str">
        <f aca="false">TRIM(A996)</f>
        <v/>
      </c>
    </row>
    <row r="997" customFormat="false" ht="12.75" hidden="false" customHeight="true" outlineLevel="0" collapsed="false">
      <c r="A997" s="1" t="s">
        <v>1212</v>
      </c>
      <c r="B997" s="1" t="str">
        <f aca="false">TRIM(A997)</f>
        <v># 1%</v>
      </c>
    </row>
    <row r="998" customFormat="false" ht="12.75" hidden="false" customHeight="true" outlineLevel="0" collapsed="false">
      <c r="A998" s="1" t="s">
        <v>1514</v>
      </c>
      <c r="B998" s="1" t="str">
        <f aca="false">TRIM(A998)</f>
        <v>+37, 37, GEODUDE</v>
      </c>
    </row>
    <row r="999" customFormat="false" ht="12.75" hidden="false" customHeight="true" outlineLevel="0" collapsed="false">
      <c r="A999" s="1" t="s">
        <v>2621</v>
      </c>
      <c r="B999" s="1" t="str">
        <f aca="false">TRIM(A999)</f>
        <v>+39, 39, MACHOP , &lt;null&gt;, &lt;null&gt;, &lt;null&gt;</v>
      </c>
    </row>
    <row r="1000" customFormat="false" ht="12.75" hidden="false" customHeight="true" outlineLevel="0" collapsed="false">
      <c r="A1000" s="2"/>
      <c r="B1000" s="1" t="str">
        <f aca="false">TRIM(A1000)</f>
        <v/>
      </c>
    </row>
    <row r="1001" customFormat="false" ht="12.75" hidden="false" customHeight="true" outlineLevel="0" collapsed="false">
      <c r="A1001" s="1" t="s">
        <v>2536</v>
      </c>
      <c r="B1001" s="1" t="str">
        <f aca="false">TRIM(A1001)</f>
        <v>NEW ROUTE</v>
      </c>
    </row>
    <row r="1002" customFormat="false" ht="12.75" hidden="false" customHeight="true" outlineLevel="0" collapsed="false">
      <c r="A1002" s="1" t="s">
        <v>2622</v>
      </c>
      <c r="B1002" s="1" t="str">
        <f aca="false">TRIM(A1002)</f>
        <v>+1, 99, 0,</v>
      </c>
    </row>
    <row r="1003" customFormat="false" ht="12.75" hidden="false" customHeight="true" outlineLevel="0" collapsed="false">
      <c r="A1003" s="1" t="s">
        <v>2541</v>
      </c>
      <c r="B1003" s="1" t="str">
        <f aca="false">TRIM(A1003)</f>
        <v>7, # 20%</v>
      </c>
    </row>
    <row r="1004" customFormat="false" ht="12.75" hidden="false" customHeight="true" outlineLevel="0" collapsed="false">
      <c r="A1004" s="1" t="s">
        <v>1518</v>
      </c>
      <c r="B1004" s="1" t="str">
        <f aca="false">TRIM(A1004)</f>
        <v>34, 34, GEODUDE</v>
      </c>
    </row>
    <row r="1005" customFormat="false" ht="12.75" hidden="false" customHeight="true" outlineLevel="0" collapsed="false">
      <c r="A1005" s="1" t="s">
        <v>1519</v>
      </c>
      <c r="B1005" s="1" t="str">
        <f aca="false">TRIM(A1005)</f>
        <v>+36, 36, MACHOP</v>
      </c>
    </row>
    <row r="1006" customFormat="false" ht="12.75" hidden="false" customHeight="true" outlineLevel="0" collapsed="false">
      <c r="A1006" s="2"/>
      <c r="B1006" s="1" t="str">
        <f aca="false">TRIM(A1006)</f>
        <v/>
      </c>
    </row>
    <row r="1007" customFormat="false" ht="12.75" hidden="false" customHeight="true" outlineLevel="0" collapsed="false">
      <c r="A1007" s="1" t="s">
        <v>1209</v>
      </c>
      <c r="B1007" s="1" t="str">
        <f aca="false">TRIM(A1007)</f>
        <v># 10%</v>
      </c>
    </row>
    <row r="1008" customFormat="false" ht="12.75" hidden="false" customHeight="true" outlineLevel="0" collapsed="false">
      <c r="A1008" s="1" t="s">
        <v>1520</v>
      </c>
      <c r="B1008" s="1" t="str">
        <f aca="false">TRIM(A1008)</f>
        <v>+30, 30, GEODUDE</v>
      </c>
    </row>
    <row r="1009" customFormat="false" ht="12.75" hidden="false" customHeight="true" outlineLevel="0" collapsed="false">
      <c r="A1009" s="1" t="s">
        <v>1521</v>
      </c>
      <c r="B1009" s="1" t="str">
        <f aca="false">TRIM(A1009)</f>
        <v>+32, 32, GEODUDE</v>
      </c>
    </row>
    <row r="1010" customFormat="false" ht="12.75" hidden="false" customHeight="true" outlineLevel="0" collapsed="false">
      <c r="A1010" s="1" t="s">
        <v>1522</v>
      </c>
      <c r="B1010" s="1" t="str">
        <f aca="false">TRIM(A1010)</f>
        <v>+32, 32, MACHOP</v>
      </c>
    </row>
    <row r="1011" customFormat="false" ht="12.75" hidden="false" customHeight="true" outlineLevel="0" collapsed="false">
      <c r="A1011" s="1" t="s">
        <v>1523</v>
      </c>
      <c r="B1011" s="1" t="str">
        <f aca="false">TRIM(A1011)</f>
        <v>+34, 34, MACHOP</v>
      </c>
    </row>
    <row r="1012" customFormat="false" ht="12.75" hidden="false" customHeight="true" outlineLevel="0" collapsed="false">
      <c r="A1012" s="2"/>
      <c r="B1012" s="1" t="str">
        <f aca="false">TRIM(A1012)</f>
        <v/>
      </c>
    </row>
    <row r="1013" customFormat="false" ht="12.75" hidden="false" customHeight="true" outlineLevel="0" collapsed="false">
      <c r="A1013" s="1" t="s">
        <v>1210</v>
      </c>
      <c r="B1013" s="1" t="str">
        <f aca="false">TRIM(A1013)</f>
        <v># 5%</v>
      </c>
    </row>
    <row r="1014" customFormat="false" ht="12.75" hidden="false" customHeight="true" outlineLevel="0" collapsed="false">
      <c r="A1014" s="1" t="s">
        <v>1524</v>
      </c>
      <c r="B1014" s="1" t="str">
        <f aca="false">TRIM(A1014)</f>
        <v>+38, 38, MACHOKE</v>
      </c>
    </row>
    <row r="1015" customFormat="false" ht="12.75" hidden="false" customHeight="true" outlineLevel="0" collapsed="false">
      <c r="A1015" s="1" t="s">
        <v>1524</v>
      </c>
      <c r="B1015" s="1" t="str">
        <f aca="false">TRIM(A1015)</f>
        <v>+38, 38, MACHOKE</v>
      </c>
    </row>
    <row r="1016" customFormat="false" ht="12.75" hidden="false" customHeight="true" outlineLevel="0" collapsed="false">
      <c r="A1016" s="2"/>
      <c r="B1016" s="1" t="str">
        <f aca="false">TRIM(A1016)</f>
        <v/>
      </c>
    </row>
    <row r="1017" customFormat="false" ht="12.75" hidden="false" customHeight="true" outlineLevel="0" collapsed="false">
      <c r="A1017" s="1" t="s">
        <v>1211</v>
      </c>
      <c r="B1017" s="1" t="str">
        <f aca="false">TRIM(A1017)</f>
        <v># 4%</v>
      </c>
    </row>
    <row r="1018" customFormat="false" ht="12.75" hidden="false" customHeight="true" outlineLevel="0" collapsed="false">
      <c r="A1018" s="1" t="s">
        <v>1525</v>
      </c>
      <c r="B1018" s="1" t="str">
        <f aca="false">TRIM(A1018)</f>
        <v>+40, 40, MACHOKE</v>
      </c>
    </row>
    <row r="1019" customFormat="false" ht="12.75" hidden="false" customHeight="true" outlineLevel="0" collapsed="false">
      <c r="A1019" s="1" t="s">
        <v>1525</v>
      </c>
      <c r="B1019" s="1" t="str">
        <f aca="false">TRIM(A1019)</f>
        <v>+40, 40, MACHOKE</v>
      </c>
    </row>
    <row r="1020" customFormat="false" ht="12.75" hidden="false" customHeight="true" outlineLevel="0" collapsed="false">
      <c r="A1020" s="2"/>
      <c r="B1020" s="1" t="str">
        <f aca="false">TRIM(A1020)</f>
        <v/>
      </c>
    </row>
    <row r="1021" customFormat="false" ht="12.75" hidden="false" customHeight="true" outlineLevel="0" collapsed="false">
      <c r="A1021" s="1" t="s">
        <v>1212</v>
      </c>
      <c r="B1021" s="1" t="str">
        <f aca="false">TRIM(A1021)</f>
        <v># 1%</v>
      </c>
    </row>
    <row r="1022" customFormat="false" ht="12.75" hidden="false" customHeight="true" outlineLevel="0" collapsed="false">
      <c r="A1022" s="1" t="s">
        <v>1525</v>
      </c>
      <c r="B1022" s="1" t="str">
        <f aca="false">TRIM(A1022)</f>
        <v>+40, 40, MACHOKE</v>
      </c>
    </row>
    <row r="1023" customFormat="false" ht="12.75" hidden="false" customHeight="true" outlineLevel="0" collapsed="false">
      <c r="A1023" s="1" t="s">
        <v>2623</v>
      </c>
      <c r="B1023" s="1" t="str">
        <f aca="false">TRIM(A1023)</f>
        <v>+40, 40, MACHOKE</v>
      </c>
    </row>
    <row r="1024" customFormat="false" ht="12.75" hidden="false" customHeight="true" outlineLevel="0" collapsed="false">
      <c r="A1024" s="1" t="s">
        <v>2592</v>
      </c>
      <c r="B1024" s="1" t="str">
        <f aca="false">TRIM(A1024)</f>
        <v>50, 5, 20, GEODUDE</v>
      </c>
    </row>
    <row r="1025" customFormat="false" ht="12.75" hidden="false" customHeight="true" outlineLevel="0" collapsed="false">
      <c r="A1025" s="1" t="s">
        <v>1425</v>
      </c>
      <c r="B1025" s="1" t="str">
        <f aca="false">TRIM(A1025)</f>
        <v>+10, 20, GEODUDE</v>
      </c>
    </row>
    <row r="1026" customFormat="false" ht="12.75" hidden="false" customHeight="true" outlineLevel="0" collapsed="false">
      <c r="A1026" s="1" t="s">
        <v>1426</v>
      </c>
      <c r="B1026" s="1" t="str">
        <f aca="false">TRIM(A1026)</f>
        <v>+15, 30, GEODUDE</v>
      </c>
    </row>
    <row r="1027" customFormat="false" ht="12.75" hidden="false" customHeight="true" outlineLevel="0" collapsed="false">
      <c r="A1027" s="1" t="s">
        <v>1427</v>
      </c>
      <c r="B1027" s="1" t="str">
        <f aca="false">TRIM(A1027)</f>
        <v>+25, 40, GRAVELER</v>
      </c>
    </row>
    <row r="1028" customFormat="false" ht="12.75" hidden="false" customHeight="true" outlineLevel="0" collapsed="false">
      <c r="A1028" s="1" t="s">
        <v>2593</v>
      </c>
      <c r="B1028" s="1" t="str">
        <f aca="false">TRIM(A1028)</f>
        <v>+30, 40, GRAVELER , &lt;null&gt;</v>
      </c>
    </row>
    <row r="1029" customFormat="false" ht="12.75" hidden="false" customHeight="true" outlineLevel="0" collapsed="false">
      <c r="A1029" s="2"/>
      <c r="B1029" s="1" t="str">
        <f aca="false">TRIM(A1029)</f>
        <v/>
      </c>
    </row>
    <row r="1030" customFormat="false" ht="12.75" hidden="false" customHeight="true" outlineLevel="0" collapsed="false">
      <c r="A1030" s="1" t="s">
        <v>2536</v>
      </c>
      <c r="B1030" s="1" t="str">
        <f aca="false">TRIM(A1030)</f>
        <v>NEW ROUTE</v>
      </c>
    </row>
    <row r="1031" customFormat="false" ht="12.75" hidden="false" customHeight="true" outlineLevel="0" collapsed="false">
      <c r="A1031" s="1" t="s">
        <v>2624</v>
      </c>
      <c r="B1031" s="1" t="str">
        <f aca="false">TRIM(A1031)</f>
        <v>+1, 100, 0,</v>
      </c>
    </row>
    <row r="1032" customFormat="false" ht="12.75" hidden="false" customHeight="true" outlineLevel="0" collapsed="false">
      <c r="A1032" s="1" t="s">
        <v>2541</v>
      </c>
      <c r="B1032" s="1" t="str">
        <f aca="false">TRIM(A1032)</f>
        <v>7, # 20%</v>
      </c>
    </row>
    <row r="1033" customFormat="false" ht="12.75" hidden="false" customHeight="true" outlineLevel="0" collapsed="false">
      <c r="A1033" s="1" t="s">
        <v>1507</v>
      </c>
      <c r="B1033" s="1" t="str">
        <f aca="false">TRIM(A1033)</f>
        <v>33, 33, GEODUDE</v>
      </c>
    </row>
    <row r="1034" customFormat="false" ht="12.75" hidden="false" customHeight="true" outlineLevel="0" collapsed="false">
      <c r="A1034" s="1" t="s">
        <v>1498</v>
      </c>
      <c r="B1034" s="1" t="str">
        <f aca="false">TRIM(A1034)</f>
        <v>+35, 35, MACHOP</v>
      </c>
    </row>
    <row r="1035" customFormat="false" ht="12.75" hidden="false" customHeight="true" outlineLevel="0" collapsed="false">
      <c r="A1035" s="2"/>
      <c r="B1035" s="1" t="str">
        <f aca="false">TRIM(A1035)</f>
        <v/>
      </c>
    </row>
    <row r="1036" customFormat="false" ht="12.75" hidden="false" customHeight="true" outlineLevel="0" collapsed="false">
      <c r="A1036" s="1" t="s">
        <v>1209</v>
      </c>
      <c r="B1036" s="1" t="str">
        <f aca="false">TRIM(A1036)</f>
        <v># 10%</v>
      </c>
    </row>
    <row r="1037" customFormat="false" ht="12.75" hidden="false" customHeight="true" outlineLevel="0" collapsed="false">
      <c r="A1037" s="1" t="s">
        <v>1508</v>
      </c>
      <c r="B1037" s="1" t="str">
        <f aca="false">TRIM(A1037)</f>
        <v>+29, 29, GEODUDE</v>
      </c>
    </row>
    <row r="1038" customFormat="false" ht="12.75" hidden="false" customHeight="true" outlineLevel="0" collapsed="false">
      <c r="A1038" s="1" t="s">
        <v>1509</v>
      </c>
      <c r="B1038" s="1" t="str">
        <f aca="false">TRIM(A1038)</f>
        <v>+31, 31, GEODUDE</v>
      </c>
    </row>
    <row r="1039" customFormat="false" ht="12.75" hidden="false" customHeight="true" outlineLevel="0" collapsed="false">
      <c r="A1039" s="1" t="s">
        <v>1510</v>
      </c>
      <c r="B1039" s="1" t="str">
        <f aca="false">TRIM(A1039)</f>
        <v>+31, 31, MACHOP</v>
      </c>
    </row>
    <row r="1040" customFormat="false" ht="12.75" hidden="false" customHeight="true" outlineLevel="0" collapsed="false">
      <c r="A1040" s="1" t="s">
        <v>1511</v>
      </c>
      <c r="B1040" s="1" t="str">
        <f aca="false">TRIM(A1040)</f>
        <v>+33, 33, MACHOP</v>
      </c>
    </row>
    <row r="1041" customFormat="false" ht="12.75" hidden="false" customHeight="true" outlineLevel="0" collapsed="false">
      <c r="A1041" s="2"/>
      <c r="B1041" s="1" t="str">
        <f aca="false">TRIM(A1041)</f>
        <v/>
      </c>
    </row>
    <row r="1042" customFormat="false" ht="12.75" hidden="false" customHeight="true" outlineLevel="0" collapsed="false">
      <c r="A1042" s="1" t="s">
        <v>1210</v>
      </c>
      <c r="B1042" s="1" t="str">
        <f aca="false">TRIM(A1042)</f>
        <v># 5%</v>
      </c>
    </row>
    <row r="1043" customFormat="false" ht="12.75" hidden="false" customHeight="true" outlineLevel="0" collapsed="false">
      <c r="A1043" s="1" t="s">
        <v>1512</v>
      </c>
      <c r="B1043" s="1" t="str">
        <f aca="false">TRIM(A1043)</f>
        <v>+35, 35, GEODUDE</v>
      </c>
    </row>
    <row r="1044" customFormat="false" ht="12.75" hidden="false" customHeight="true" outlineLevel="0" collapsed="false">
      <c r="A1044" s="1" t="s">
        <v>1513</v>
      </c>
      <c r="B1044" s="1" t="str">
        <f aca="false">TRIM(A1044)</f>
        <v>+37, 37, MACHOP</v>
      </c>
    </row>
    <row r="1045" customFormat="false" ht="12.75" hidden="false" customHeight="true" outlineLevel="0" collapsed="false">
      <c r="A1045" s="2"/>
      <c r="B1045" s="1" t="str">
        <f aca="false">TRIM(A1045)</f>
        <v/>
      </c>
    </row>
    <row r="1046" customFormat="false" ht="12.75" hidden="false" customHeight="true" outlineLevel="0" collapsed="false">
      <c r="A1046" s="1" t="s">
        <v>1211</v>
      </c>
      <c r="B1046" s="1" t="str">
        <f aca="false">TRIM(A1046)</f>
        <v># 4%</v>
      </c>
    </row>
    <row r="1047" customFormat="false" ht="12.75" hidden="false" customHeight="true" outlineLevel="0" collapsed="false">
      <c r="A1047" s="1" t="s">
        <v>1514</v>
      </c>
      <c r="B1047" s="1" t="str">
        <f aca="false">TRIM(A1047)</f>
        <v>+37, 37, GEODUDE</v>
      </c>
    </row>
    <row r="1048" customFormat="false" ht="12.75" hidden="false" customHeight="true" outlineLevel="0" collapsed="false">
      <c r="A1048" s="1" t="s">
        <v>1515</v>
      </c>
      <c r="B1048" s="1" t="str">
        <f aca="false">TRIM(A1048)</f>
        <v>+39, 39, MACHOP</v>
      </c>
    </row>
    <row r="1049" customFormat="false" ht="12.75" hidden="false" customHeight="true" outlineLevel="0" collapsed="false">
      <c r="A1049" s="2"/>
      <c r="B1049" s="1" t="str">
        <f aca="false">TRIM(A1049)</f>
        <v/>
      </c>
    </row>
    <row r="1050" customFormat="false" ht="12.75" hidden="false" customHeight="true" outlineLevel="0" collapsed="false">
      <c r="A1050" s="1" t="s">
        <v>1212</v>
      </c>
      <c r="B1050" s="1" t="str">
        <f aca="false">TRIM(A1050)</f>
        <v># 1%</v>
      </c>
    </row>
    <row r="1051" customFormat="false" ht="12.75" hidden="false" customHeight="true" outlineLevel="0" collapsed="false">
      <c r="A1051" s="1" t="s">
        <v>1514</v>
      </c>
      <c r="B1051" s="1" t="str">
        <f aca="false">TRIM(A1051)</f>
        <v>+37, 37, GEODUDE</v>
      </c>
    </row>
    <row r="1052" customFormat="false" ht="12.75" hidden="false" customHeight="true" outlineLevel="0" collapsed="false">
      <c r="A1052" s="1" t="s">
        <v>2621</v>
      </c>
      <c r="B1052" s="1" t="str">
        <f aca="false">TRIM(A1052)</f>
        <v>+39, 39, MACHOP , &lt;null&gt;, &lt;null&gt;, &lt;null&gt;</v>
      </c>
    </row>
    <row r="1053" customFormat="false" ht="12.75" hidden="false" customHeight="true" outlineLevel="0" collapsed="false">
      <c r="A1053" s="2"/>
      <c r="B1053" s="1" t="str">
        <f aca="false">TRIM(A1053)</f>
        <v/>
      </c>
    </row>
    <row r="1054" customFormat="false" ht="12.75" hidden="false" customHeight="true" outlineLevel="0" collapsed="false">
      <c r="A1054" s="1" t="s">
        <v>2536</v>
      </c>
      <c r="B1054" s="1" t="str">
        <f aca="false">TRIM(A1054)</f>
        <v>NEW ROUTE</v>
      </c>
    </row>
    <row r="1055" customFormat="false" ht="12.75" hidden="false" customHeight="true" outlineLevel="0" collapsed="false">
      <c r="A1055" s="1" t="s">
        <v>2625</v>
      </c>
      <c r="B1055" s="1" t="str">
        <f aca="false">TRIM(A1055)</f>
        <v>+1, 103, 0,</v>
      </c>
    </row>
    <row r="1056" customFormat="false" ht="12.75" hidden="false" customHeight="true" outlineLevel="0" collapsed="false">
      <c r="A1056" s="1" t="s">
        <v>2541</v>
      </c>
      <c r="B1056" s="1" t="str">
        <f aca="false">TRIM(A1056)</f>
        <v>7, # 20%</v>
      </c>
    </row>
    <row r="1057" customFormat="false" ht="12.75" hidden="false" customHeight="true" outlineLevel="0" collapsed="false">
      <c r="A1057" s="1" t="s">
        <v>1529</v>
      </c>
      <c r="B1057" s="1" t="str">
        <f aca="false">TRIM(A1057)</f>
        <v>36, 36, GEODUDE</v>
      </c>
    </row>
    <row r="1058" customFormat="false" ht="12.75" hidden="false" customHeight="true" outlineLevel="0" collapsed="false">
      <c r="A1058" s="1" t="s">
        <v>1530</v>
      </c>
      <c r="B1058" s="1" t="str">
        <f aca="false">TRIM(A1058)</f>
        <v>+38, 38, MACHOP</v>
      </c>
    </row>
    <row r="1059" customFormat="false" ht="12.75" hidden="false" customHeight="true" outlineLevel="0" collapsed="false">
      <c r="A1059" s="2"/>
      <c r="B1059" s="1" t="str">
        <f aca="false">TRIM(A1059)</f>
        <v/>
      </c>
    </row>
    <row r="1060" customFormat="false" ht="12.75" hidden="false" customHeight="true" outlineLevel="0" collapsed="false">
      <c r="A1060" s="1" t="s">
        <v>1209</v>
      </c>
      <c r="B1060" s="1" t="str">
        <f aca="false">TRIM(A1060)</f>
        <v># 10%</v>
      </c>
    </row>
    <row r="1061" customFormat="false" ht="12.75" hidden="false" customHeight="true" outlineLevel="0" collapsed="false">
      <c r="A1061" s="1" t="s">
        <v>1521</v>
      </c>
      <c r="B1061" s="1" t="str">
        <f aca="false">TRIM(A1061)</f>
        <v>+32, 32, GEODUDE</v>
      </c>
    </row>
    <row r="1062" customFormat="false" ht="12.75" hidden="false" customHeight="true" outlineLevel="0" collapsed="false">
      <c r="A1062" s="1" t="s">
        <v>1531</v>
      </c>
      <c r="B1062" s="1" t="str">
        <f aca="false">TRIM(A1062)</f>
        <v>+34, 34, GEODUDE</v>
      </c>
    </row>
    <row r="1063" customFormat="false" ht="12.75" hidden="false" customHeight="true" outlineLevel="0" collapsed="false">
      <c r="A1063" s="1" t="s">
        <v>1523</v>
      </c>
      <c r="B1063" s="1" t="str">
        <f aca="false">TRIM(A1063)</f>
        <v>+34, 34, MACHOP</v>
      </c>
    </row>
    <row r="1064" customFormat="false" ht="12.75" hidden="false" customHeight="true" outlineLevel="0" collapsed="false">
      <c r="A1064" s="1" t="s">
        <v>1519</v>
      </c>
      <c r="B1064" s="1" t="str">
        <f aca="false">TRIM(A1064)</f>
        <v>+36, 36, MACHOP</v>
      </c>
    </row>
    <row r="1065" customFormat="false" ht="12.75" hidden="false" customHeight="true" outlineLevel="0" collapsed="false">
      <c r="A1065" s="2"/>
      <c r="B1065" s="1" t="str">
        <f aca="false">TRIM(A1065)</f>
        <v/>
      </c>
    </row>
    <row r="1066" customFormat="false" ht="12.75" hidden="false" customHeight="true" outlineLevel="0" collapsed="false">
      <c r="A1066" s="1" t="s">
        <v>1210</v>
      </c>
      <c r="B1066" s="1" t="str">
        <f aca="false">TRIM(A1066)</f>
        <v># 5%</v>
      </c>
    </row>
    <row r="1067" customFormat="false" ht="12.75" hidden="false" customHeight="true" outlineLevel="0" collapsed="false">
      <c r="A1067" s="1" t="s">
        <v>1532</v>
      </c>
      <c r="B1067" s="1" t="str">
        <f aca="false">TRIM(A1067)</f>
        <v>+38, 38, GEODUDE</v>
      </c>
    </row>
    <row r="1068" customFormat="false" ht="12.75" hidden="false" customHeight="true" outlineLevel="0" collapsed="false">
      <c r="A1068" s="1" t="s">
        <v>1525</v>
      </c>
      <c r="B1068" s="1" t="str">
        <f aca="false">TRIM(A1068)</f>
        <v>+40, 40, MACHOKE</v>
      </c>
    </row>
    <row r="1069" customFormat="false" ht="12.75" hidden="false" customHeight="true" outlineLevel="0" collapsed="false">
      <c r="A1069" s="2"/>
      <c r="B1069" s="1" t="str">
        <f aca="false">TRIM(A1069)</f>
        <v/>
      </c>
    </row>
    <row r="1070" customFormat="false" ht="12.75" hidden="false" customHeight="true" outlineLevel="0" collapsed="false">
      <c r="A1070" s="1" t="s">
        <v>1211</v>
      </c>
      <c r="B1070" s="1" t="str">
        <f aca="false">TRIM(A1070)</f>
        <v># 4%</v>
      </c>
    </row>
    <row r="1071" customFormat="false" ht="12.75" hidden="false" customHeight="true" outlineLevel="0" collapsed="false">
      <c r="A1071" s="1" t="s">
        <v>1533</v>
      </c>
      <c r="B1071" s="1" t="str">
        <f aca="false">TRIM(A1071)</f>
        <v>+40, 40, GEODUDE</v>
      </c>
    </row>
    <row r="1072" customFormat="false" ht="12.75" hidden="false" customHeight="true" outlineLevel="0" collapsed="false">
      <c r="A1072" s="1" t="s">
        <v>1534</v>
      </c>
      <c r="B1072" s="1" t="str">
        <f aca="false">TRIM(A1072)</f>
        <v>+42, 42, MACHOKE</v>
      </c>
    </row>
    <row r="1073" customFormat="false" ht="12.75" hidden="false" customHeight="true" outlineLevel="0" collapsed="false">
      <c r="A1073" s="2"/>
      <c r="B1073" s="1" t="str">
        <f aca="false">TRIM(A1073)</f>
        <v/>
      </c>
    </row>
    <row r="1074" customFormat="false" ht="12.75" hidden="false" customHeight="true" outlineLevel="0" collapsed="false">
      <c r="A1074" s="1" t="s">
        <v>1212</v>
      </c>
      <c r="B1074" s="1" t="str">
        <f aca="false">TRIM(A1074)</f>
        <v># 1%</v>
      </c>
    </row>
    <row r="1075" customFormat="false" ht="12.75" hidden="false" customHeight="true" outlineLevel="0" collapsed="false">
      <c r="A1075" s="1" t="s">
        <v>1533</v>
      </c>
      <c r="B1075" s="1" t="str">
        <f aca="false">TRIM(A1075)</f>
        <v>+40, 40, GEODUDE</v>
      </c>
    </row>
    <row r="1076" customFormat="false" ht="12.75" hidden="false" customHeight="true" outlineLevel="0" collapsed="false">
      <c r="A1076" s="1" t="s">
        <v>2626</v>
      </c>
      <c r="B1076" s="1" t="str">
        <f aca="false">TRIM(A1076)</f>
        <v>+42, 42, MACHOKE</v>
      </c>
    </row>
    <row r="1077" customFormat="false" ht="12.75" hidden="false" customHeight="true" outlineLevel="0" collapsed="false">
      <c r="A1077" s="1" t="s">
        <v>2627</v>
      </c>
      <c r="B1077" s="1" t="str">
        <f aca="false">TRIM(A1077)</f>
        <v>50, 25, 35, GEODUDE</v>
      </c>
    </row>
    <row r="1078" customFormat="false" ht="12.75" hidden="false" customHeight="true" outlineLevel="0" collapsed="false">
      <c r="A1078" s="1" t="s">
        <v>1536</v>
      </c>
      <c r="B1078" s="1" t="str">
        <f aca="false">TRIM(A1078)</f>
        <v>+30, 45, GRAVELER</v>
      </c>
    </row>
    <row r="1079" customFormat="false" ht="12.75" hidden="false" customHeight="true" outlineLevel="0" collapsed="false">
      <c r="A1079" s="1" t="s">
        <v>1537</v>
      </c>
      <c r="B1079" s="1" t="str">
        <f aca="false">TRIM(A1079)</f>
        <v>+35, 50, GRAVELER</v>
      </c>
    </row>
    <row r="1080" customFormat="false" ht="12.75" hidden="false" customHeight="true" outlineLevel="0" collapsed="false">
      <c r="A1080" s="1" t="s">
        <v>1538</v>
      </c>
      <c r="B1080" s="1" t="str">
        <f aca="false">TRIM(A1080)</f>
        <v>+30, 40, GEODUDE</v>
      </c>
    </row>
    <row r="1081" customFormat="false" ht="12.75" hidden="false" customHeight="true" outlineLevel="0" collapsed="false">
      <c r="A1081" s="1" t="s">
        <v>2628</v>
      </c>
      <c r="B1081" s="1" t="str">
        <f aca="false">TRIM(A1081)</f>
        <v>+30, 40, GEODUDE , &lt;null&gt;</v>
      </c>
    </row>
    <row r="1082" customFormat="false" ht="12.75" hidden="false" customHeight="true" outlineLevel="0" collapsed="false">
      <c r="A1082" s="2"/>
      <c r="B1082" s="1" t="str">
        <f aca="false">TRIM(A1082)</f>
        <v/>
      </c>
    </row>
    <row r="1083" customFormat="false" ht="12.75" hidden="false" customHeight="true" outlineLevel="0" collapsed="false">
      <c r="A1083" s="1" t="s">
        <v>2536</v>
      </c>
      <c r="B1083" s="1" t="str">
        <f aca="false">TRIM(A1083)</f>
        <v>NEW ROUTE</v>
      </c>
    </row>
    <row r="1084" customFormat="false" ht="12.75" hidden="false" customHeight="true" outlineLevel="0" collapsed="false">
      <c r="A1084" s="1" t="s">
        <v>2629</v>
      </c>
      <c r="B1084" s="1" t="str">
        <f aca="false">TRIM(A1084)</f>
        <v>+1, 104, 0,</v>
      </c>
    </row>
    <row r="1085" customFormat="false" ht="12.75" hidden="false" customHeight="true" outlineLevel="0" collapsed="false">
      <c r="A1085" s="1" t="s">
        <v>2541</v>
      </c>
      <c r="B1085" s="1" t="str">
        <f aca="false">TRIM(A1085)</f>
        <v>7, # 20%</v>
      </c>
    </row>
    <row r="1086" customFormat="false" ht="12.75" hidden="false" customHeight="true" outlineLevel="0" collapsed="false">
      <c r="A1086" s="1" t="s">
        <v>1541</v>
      </c>
      <c r="B1086" s="1" t="str">
        <f aca="false">TRIM(A1086)</f>
        <v>38, 38, GEODUDE</v>
      </c>
    </row>
    <row r="1087" customFormat="false" ht="12.75" hidden="false" customHeight="true" outlineLevel="0" collapsed="false">
      <c r="A1087" s="1" t="s">
        <v>1542</v>
      </c>
      <c r="B1087" s="1" t="str">
        <f aca="false">TRIM(A1087)</f>
        <v>+36, 36, GEODUDE</v>
      </c>
    </row>
    <row r="1088" customFormat="false" ht="12.75" hidden="false" customHeight="true" outlineLevel="0" collapsed="false">
      <c r="A1088" s="2"/>
      <c r="B1088" s="1" t="str">
        <f aca="false">TRIM(A1088)</f>
        <v/>
      </c>
    </row>
    <row r="1089" customFormat="false" ht="12.75" hidden="false" customHeight="true" outlineLevel="0" collapsed="false">
      <c r="A1089" s="1" t="s">
        <v>1209</v>
      </c>
      <c r="B1089" s="1" t="str">
        <f aca="false">TRIM(A1089)</f>
        <v># 10%</v>
      </c>
    </row>
    <row r="1090" customFormat="false" ht="12.75" hidden="false" customHeight="true" outlineLevel="0" collapsed="false">
      <c r="A1090" s="1" t="s">
        <v>1531</v>
      </c>
      <c r="B1090" s="1" t="str">
        <f aca="false">TRIM(A1090)</f>
        <v>+34, 34, GEODUDE</v>
      </c>
    </row>
    <row r="1091" customFormat="false" ht="12.75" hidden="false" customHeight="true" outlineLevel="0" collapsed="false">
      <c r="A1091" s="1" t="s">
        <v>1533</v>
      </c>
      <c r="B1091" s="1" t="str">
        <f aca="false">TRIM(A1091)</f>
        <v>+40, 40, GEODUDE</v>
      </c>
    </row>
    <row r="1092" customFormat="false" ht="12.75" hidden="false" customHeight="true" outlineLevel="0" collapsed="false">
      <c r="A1092" s="1" t="s">
        <v>1543</v>
      </c>
      <c r="B1092" s="1" t="str">
        <f aca="false">TRIM(A1092)</f>
        <v>+24, 24, SLUGMA</v>
      </c>
    </row>
    <row r="1093" customFormat="false" ht="12.75" hidden="false" customHeight="true" outlineLevel="0" collapsed="false">
      <c r="A1093" s="1" t="s">
        <v>1544</v>
      </c>
      <c r="B1093" s="1" t="str">
        <f aca="false">TRIM(A1093)</f>
        <v>+26, 26, SLUGMA</v>
      </c>
    </row>
    <row r="1094" customFormat="false" ht="12.75" hidden="false" customHeight="true" outlineLevel="0" collapsed="false">
      <c r="A1094" s="2"/>
      <c r="B1094" s="1" t="str">
        <f aca="false">TRIM(A1094)</f>
        <v/>
      </c>
    </row>
    <row r="1095" customFormat="false" ht="12.75" hidden="false" customHeight="true" outlineLevel="0" collapsed="false">
      <c r="A1095" s="1" t="s">
        <v>1210</v>
      </c>
      <c r="B1095" s="1" t="str">
        <f aca="false">TRIM(A1095)</f>
        <v># 5%</v>
      </c>
    </row>
    <row r="1096" customFormat="false" ht="12.75" hidden="false" customHeight="true" outlineLevel="0" collapsed="false">
      <c r="A1096" s="1" t="s">
        <v>1545</v>
      </c>
      <c r="B1096" s="1" t="str">
        <f aca="false">TRIM(A1096)</f>
        <v>+42, 42, GEODUDE</v>
      </c>
    </row>
    <row r="1097" customFormat="false" ht="12.75" hidden="false" customHeight="true" outlineLevel="0" collapsed="false">
      <c r="A1097" s="1" t="s">
        <v>1546</v>
      </c>
      <c r="B1097" s="1" t="str">
        <f aca="false">TRIM(A1097)</f>
        <v>+28, 28, SLUGMA</v>
      </c>
    </row>
    <row r="1098" customFormat="false" ht="12.75" hidden="false" customHeight="true" outlineLevel="0" collapsed="false">
      <c r="A1098" s="2"/>
      <c r="B1098" s="1" t="str">
        <f aca="false">TRIM(A1098)</f>
        <v/>
      </c>
    </row>
    <row r="1099" customFormat="false" ht="12.75" hidden="false" customHeight="true" outlineLevel="0" collapsed="false">
      <c r="A1099" s="1" t="s">
        <v>1211</v>
      </c>
      <c r="B1099" s="1" t="str">
        <f aca="false">TRIM(A1099)</f>
        <v># 4%</v>
      </c>
    </row>
    <row r="1100" customFormat="false" ht="12.75" hidden="false" customHeight="true" outlineLevel="0" collapsed="false">
      <c r="A1100" s="1" t="s">
        <v>1545</v>
      </c>
      <c r="B1100" s="1" t="str">
        <f aca="false">TRIM(A1100)</f>
        <v>+42, 42, GEODUDE</v>
      </c>
    </row>
    <row r="1101" customFormat="false" ht="12.75" hidden="false" customHeight="true" outlineLevel="0" collapsed="false">
      <c r="A1101" s="1" t="s">
        <v>1547</v>
      </c>
      <c r="B1101" s="1" t="str">
        <f aca="false">TRIM(A1101)</f>
        <v>+30, 30, SLUGMA</v>
      </c>
    </row>
    <row r="1102" customFormat="false" ht="12.75" hidden="false" customHeight="true" outlineLevel="0" collapsed="false">
      <c r="A1102" s="2"/>
      <c r="B1102" s="1" t="str">
        <f aca="false">TRIM(A1102)</f>
        <v/>
      </c>
    </row>
    <row r="1103" customFormat="false" ht="12.75" hidden="false" customHeight="true" outlineLevel="0" collapsed="false">
      <c r="A1103" s="1" t="s">
        <v>1212</v>
      </c>
      <c r="B1103" s="1" t="str">
        <f aca="false">TRIM(A1103)</f>
        <v># 1%</v>
      </c>
    </row>
    <row r="1104" customFormat="false" ht="12.75" hidden="false" customHeight="true" outlineLevel="0" collapsed="false">
      <c r="A1104" s="1" t="s">
        <v>1545</v>
      </c>
      <c r="B1104" s="1" t="str">
        <f aca="false">TRIM(A1104)</f>
        <v>+42, 42, GEODUDE</v>
      </c>
    </row>
    <row r="1105" customFormat="false" ht="12.75" hidden="false" customHeight="true" outlineLevel="0" collapsed="false">
      <c r="A1105" s="1" t="s">
        <v>2630</v>
      </c>
      <c r="B1105" s="1" t="str">
        <f aca="false">TRIM(A1105)</f>
        <v>+30, 30, SLUGMA</v>
      </c>
    </row>
    <row r="1106" customFormat="false" ht="12.75" hidden="false" customHeight="true" outlineLevel="0" collapsed="false">
      <c r="A1106" s="1" t="s">
        <v>2627</v>
      </c>
      <c r="B1106" s="1" t="str">
        <f aca="false">TRIM(A1106)</f>
        <v>50, 25, 35, GEODUDE</v>
      </c>
    </row>
    <row r="1107" customFormat="false" ht="12.75" hidden="false" customHeight="true" outlineLevel="0" collapsed="false">
      <c r="A1107" s="1" t="s">
        <v>1536</v>
      </c>
      <c r="B1107" s="1" t="str">
        <f aca="false">TRIM(A1107)</f>
        <v>+30, 45, GRAVELER</v>
      </c>
    </row>
    <row r="1108" customFormat="false" ht="12.75" hidden="false" customHeight="true" outlineLevel="0" collapsed="false">
      <c r="A1108" s="1" t="s">
        <v>1537</v>
      </c>
      <c r="B1108" s="1" t="str">
        <f aca="false">TRIM(A1108)</f>
        <v>+35, 50, GRAVELER</v>
      </c>
    </row>
    <row r="1109" customFormat="false" ht="12.75" hidden="false" customHeight="true" outlineLevel="0" collapsed="false">
      <c r="A1109" s="1" t="s">
        <v>1538</v>
      </c>
      <c r="B1109" s="1" t="str">
        <f aca="false">TRIM(A1109)</f>
        <v>+30, 40, GEODUDE</v>
      </c>
    </row>
    <row r="1110" customFormat="false" ht="12.75" hidden="false" customHeight="true" outlineLevel="0" collapsed="false">
      <c r="A1110" s="1" t="s">
        <v>2628</v>
      </c>
      <c r="B1110" s="1" t="str">
        <f aca="false">TRIM(A1110)</f>
        <v>+30, 40, GEODUDE , &lt;null&gt;</v>
      </c>
    </row>
    <row r="1111" customFormat="false" ht="12.75" hidden="false" customHeight="true" outlineLevel="0" collapsed="false">
      <c r="A1111" s="2"/>
      <c r="B1111" s="1" t="str">
        <f aca="false">TRIM(A1111)</f>
        <v/>
      </c>
    </row>
    <row r="1112" customFormat="false" ht="12.75" hidden="false" customHeight="true" outlineLevel="0" collapsed="false">
      <c r="A1112" s="1" t="s">
        <v>2536</v>
      </c>
      <c r="B1112" s="1" t="str">
        <f aca="false">TRIM(A1112)</f>
        <v>NEW ROUTE</v>
      </c>
    </row>
    <row r="1113" customFormat="false" ht="12.75" hidden="false" customHeight="true" outlineLevel="0" collapsed="false">
      <c r="A1113" s="1" t="s">
        <v>2631</v>
      </c>
      <c r="B1113" s="1" t="str">
        <f aca="false">TRIM(A1113)</f>
        <v>+1, 105, 0,</v>
      </c>
    </row>
    <row r="1114" customFormat="false" ht="12.75" hidden="false" customHeight="true" outlineLevel="0" collapsed="false">
      <c r="A1114" s="1" t="s">
        <v>2541</v>
      </c>
      <c r="B1114" s="1" t="str">
        <f aca="false">TRIM(A1114)</f>
        <v>7, # 20%</v>
      </c>
    </row>
    <row r="1115" customFormat="false" ht="12.75" hidden="false" customHeight="true" outlineLevel="0" collapsed="false">
      <c r="A1115" s="1" t="s">
        <v>1550</v>
      </c>
      <c r="B1115" s="1" t="str">
        <f aca="false">TRIM(A1115)</f>
        <v>40, 40, GEODUDE</v>
      </c>
    </row>
    <row r="1116" customFormat="false" ht="12.75" hidden="false" customHeight="true" outlineLevel="0" collapsed="false">
      <c r="A1116" s="1" t="s">
        <v>1544</v>
      </c>
      <c r="B1116" s="1" t="str">
        <f aca="false">TRIM(A1116)</f>
        <v>+26, 26, SLUGMA</v>
      </c>
    </row>
    <row r="1117" customFormat="false" ht="12.75" hidden="false" customHeight="true" outlineLevel="0" collapsed="false">
      <c r="A1117" s="2"/>
      <c r="B1117" s="1" t="str">
        <f aca="false">TRIM(A1117)</f>
        <v/>
      </c>
    </row>
    <row r="1118" customFormat="false" ht="12.75" hidden="false" customHeight="true" outlineLevel="0" collapsed="false">
      <c r="A1118" s="1" t="s">
        <v>1209</v>
      </c>
      <c r="B1118" s="1" t="str">
        <f aca="false">TRIM(A1118)</f>
        <v># 10%</v>
      </c>
    </row>
    <row r="1119" customFormat="false" ht="12.75" hidden="false" customHeight="true" outlineLevel="0" collapsed="false">
      <c r="A1119" s="1" t="s">
        <v>1545</v>
      </c>
      <c r="B1119" s="1" t="str">
        <f aca="false">TRIM(A1119)</f>
        <v>+42, 42, GEODUDE</v>
      </c>
    </row>
    <row r="1120" customFormat="false" ht="12.75" hidden="false" customHeight="true" outlineLevel="0" collapsed="false">
      <c r="A1120" s="1" t="s">
        <v>1543</v>
      </c>
      <c r="B1120" s="1" t="str">
        <f aca="false">TRIM(A1120)</f>
        <v>+24, 24, SLUGMA</v>
      </c>
    </row>
    <row r="1121" customFormat="false" ht="12.75" hidden="false" customHeight="true" outlineLevel="0" collapsed="false">
      <c r="A1121" s="1" t="s">
        <v>1546</v>
      </c>
      <c r="B1121" s="1" t="str">
        <f aca="false">TRIM(A1121)</f>
        <v>+28, 28, SLUGMA</v>
      </c>
    </row>
    <row r="1122" customFormat="false" ht="12.75" hidden="false" customHeight="true" outlineLevel="0" collapsed="false">
      <c r="A1122" s="1" t="s">
        <v>1547</v>
      </c>
      <c r="B1122" s="1" t="str">
        <f aca="false">TRIM(A1122)</f>
        <v>+30, 30, SLUGMA</v>
      </c>
    </row>
    <row r="1123" customFormat="false" ht="12.75" hidden="false" customHeight="true" outlineLevel="0" collapsed="false">
      <c r="A1123" s="2"/>
      <c r="B1123" s="1" t="str">
        <f aca="false">TRIM(A1123)</f>
        <v/>
      </c>
    </row>
    <row r="1124" customFormat="false" ht="12.75" hidden="false" customHeight="true" outlineLevel="0" collapsed="false">
      <c r="A1124" s="1" t="s">
        <v>1210</v>
      </c>
      <c r="B1124" s="1" t="str">
        <f aca="false">TRIM(A1124)</f>
        <v># 5%</v>
      </c>
    </row>
    <row r="1125" customFormat="false" ht="12.75" hidden="false" customHeight="true" outlineLevel="0" collapsed="false">
      <c r="A1125" s="1" t="s">
        <v>1551</v>
      </c>
      <c r="B1125" s="1" t="str">
        <f aca="false">TRIM(A1125)</f>
        <v>+44, 44, GEODUDE</v>
      </c>
    </row>
    <row r="1126" customFormat="false" ht="12.75" hidden="false" customHeight="true" outlineLevel="0" collapsed="false">
      <c r="A1126" s="1" t="s">
        <v>1552</v>
      </c>
      <c r="B1126" s="1" t="str">
        <f aca="false">TRIM(A1126)</f>
        <v>+32, 32, SLUGMA</v>
      </c>
    </row>
    <row r="1127" customFormat="false" ht="12.75" hidden="false" customHeight="true" outlineLevel="0" collapsed="false">
      <c r="A1127" s="2"/>
      <c r="B1127" s="1" t="str">
        <f aca="false">TRIM(A1127)</f>
        <v/>
      </c>
    </row>
    <row r="1128" customFormat="false" ht="12.75" hidden="false" customHeight="true" outlineLevel="0" collapsed="false">
      <c r="A1128" s="1" t="s">
        <v>1211</v>
      </c>
      <c r="B1128" s="1" t="str">
        <f aca="false">TRIM(A1128)</f>
        <v># 4%</v>
      </c>
    </row>
    <row r="1129" customFormat="false" ht="12.75" hidden="false" customHeight="true" outlineLevel="0" collapsed="false">
      <c r="A1129" s="1" t="s">
        <v>1551</v>
      </c>
      <c r="B1129" s="1" t="str">
        <f aca="false">TRIM(A1129)</f>
        <v>+44, 44, GEODUDE</v>
      </c>
    </row>
    <row r="1130" customFormat="false" ht="12.75" hidden="false" customHeight="true" outlineLevel="0" collapsed="false">
      <c r="A1130" s="1" t="s">
        <v>1553</v>
      </c>
      <c r="B1130" s="1" t="str">
        <f aca="false">TRIM(A1130)</f>
        <v>+22, 22, SLUGMA</v>
      </c>
    </row>
    <row r="1131" customFormat="false" ht="12.75" hidden="false" customHeight="true" outlineLevel="0" collapsed="false">
      <c r="A1131" s="2"/>
      <c r="B1131" s="1" t="str">
        <f aca="false">TRIM(A1131)</f>
        <v/>
      </c>
    </row>
    <row r="1132" customFormat="false" ht="12.75" hidden="false" customHeight="true" outlineLevel="0" collapsed="false">
      <c r="A1132" s="1" t="s">
        <v>1212</v>
      </c>
      <c r="B1132" s="1" t="str">
        <f aca="false">TRIM(A1132)</f>
        <v># 1%</v>
      </c>
    </row>
    <row r="1133" customFormat="false" ht="12.75" hidden="false" customHeight="true" outlineLevel="0" collapsed="false">
      <c r="A1133" s="1" t="s">
        <v>1551</v>
      </c>
      <c r="B1133" s="1" t="str">
        <f aca="false">TRIM(A1133)</f>
        <v>+44, 44, GEODUDE</v>
      </c>
    </row>
    <row r="1134" customFormat="false" ht="12.75" hidden="false" customHeight="true" outlineLevel="0" collapsed="false">
      <c r="A1134" s="1" t="s">
        <v>2632</v>
      </c>
      <c r="B1134" s="1" t="str">
        <f aca="false">TRIM(A1134)</f>
        <v>+22, 22, SLUGMA</v>
      </c>
    </row>
    <row r="1135" customFormat="false" ht="12.75" hidden="false" customHeight="true" outlineLevel="0" collapsed="false">
      <c r="A1135" s="1" t="s">
        <v>2627</v>
      </c>
      <c r="B1135" s="1" t="str">
        <f aca="false">TRIM(A1135)</f>
        <v>50, 25, 35, GEODUDE</v>
      </c>
    </row>
    <row r="1136" customFormat="false" ht="12.75" hidden="false" customHeight="true" outlineLevel="0" collapsed="false">
      <c r="A1136" s="1" t="s">
        <v>1536</v>
      </c>
      <c r="B1136" s="1" t="str">
        <f aca="false">TRIM(A1136)</f>
        <v>+30, 45, GRAVELER</v>
      </c>
    </row>
    <row r="1137" customFormat="false" ht="12.75" hidden="false" customHeight="true" outlineLevel="0" collapsed="false">
      <c r="A1137" s="1" t="s">
        <v>1537</v>
      </c>
      <c r="B1137" s="1" t="str">
        <f aca="false">TRIM(A1137)</f>
        <v>+35, 50, GRAVELER</v>
      </c>
    </row>
    <row r="1138" customFormat="false" ht="12.75" hidden="false" customHeight="true" outlineLevel="0" collapsed="false">
      <c r="A1138" s="1" t="s">
        <v>1538</v>
      </c>
      <c r="B1138" s="1" t="str">
        <f aca="false">TRIM(A1138)</f>
        <v>+30, 40, GEODUDE</v>
      </c>
    </row>
    <row r="1139" customFormat="false" ht="12.75" hidden="false" customHeight="true" outlineLevel="0" collapsed="false">
      <c r="A1139" s="1" t="s">
        <v>2628</v>
      </c>
      <c r="B1139" s="1" t="str">
        <f aca="false">TRIM(A1139)</f>
        <v>+30, 40, GEODUDE , &lt;null&gt;</v>
      </c>
    </row>
    <row r="1140" customFormat="false" ht="12.75" hidden="false" customHeight="true" outlineLevel="0" collapsed="false">
      <c r="A1140" s="2"/>
      <c r="B1140" s="1" t="str">
        <f aca="false">TRIM(A1140)</f>
        <v/>
      </c>
    </row>
    <row r="1141" customFormat="false" ht="12.75" hidden="false" customHeight="true" outlineLevel="0" collapsed="false">
      <c r="A1141" s="1" t="s">
        <v>2536</v>
      </c>
      <c r="B1141" s="1" t="str">
        <f aca="false">TRIM(A1141)</f>
        <v>NEW ROUTE</v>
      </c>
    </row>
    <row r="1142" customFormat="false" ht="12.75" hidden="false" customHeight="true" outlineLevel="0" collapsed="false">
      <c r="A1142" s="1" t="s">
        <v>2633</v>
      </c>
      <c r="B1142" s="1" t="str">
        <f aca="false">TRIM(A1142)</f>
        <v>+1, 106, 0,</v>
      </c>
    </row>
    <row r="1143" customFormat="false" ht="12.75" hidden="false" customHeight="true" outlineLevel="0" collapsed="false">
      <c r="A1143" s="1" t="s">
        <v>2541</v>
      </c>
      <c r="B1143" s="1" t="str">
        <f aca="false">TRIM(A1143)</f>
        <v>7, # 20%</v>
      </c>
    </row>
    <row r="1144" customFormat="false" ht="12.75" hidden="false" customHeight="true" outlineLevel="0" collapsed="false">
      <c r="A1144" s="1" t="s">
        <v>1556</v>
      </c>
      <c r="B1144" s="1" t="str">
        <f aca="false">TRIM(A1144)</f>
        <v>26, 26, SLUGMA</v>
      </c>
    </row>
    <row r="1145" customFormat="false" ht="12.75" hidden="false" customHeight="true" outlineLevel="0" collapsed="false">
      <c r="A1145" s="1" t="s">
        <v>1546</v>
      </c>
      <c r="B1145" s="1" t="str">
        <f aca="false">TRIM(A1145)</f>
        <v>+28, 28, SLUGMA</v>
      </c>
    </row>
    <row r="1146" customFormat="false" ht="12.75" hidden="false" customHeight="true" outlineLevel="0" collapsed="false">
      <c r="A1146" s="2"/>
      <c r="B1146" s="1" t="str">
        <f aca="false">TRIM(A1146)</f>
        <v/>
      </c>
    </row>
    <row r="1147" customFormat="false" ht="12.75" hidden="false" customHeight="true" outlineLevel="0" collapsed="false">
      <c r="A1147" s="1" t="s">
        <v>1209</v>
      </c>
      <c r="B1147" s="1" t="str">
        <f aca="false">TRIM(A1147)</f>
        <v># 10%</v>
      </c>
    </row>
    <row r="1148" customFormat="false" ht="12.75" hidden="false" customHeight="true" outlineLevel="0" collapsed="false">
      <c r="A1148" s="1" t="s">
        <v>1547</v>
      </c>
      <c r="B1148" s="1" t="str">
        <f aca="false">TRIM(A1148)</f>
        <v>+30, 30, SLUGMA</v>
      </c>
    </row>
    <row r="1149" customFormat="false" ht="12.75" hidden="false" customHeight="true" outlineLevel="0" collapsed="false">
      <c r="A1149" s="1" t="s">
        <v>1552</v>
      </c>
      <c r="B1149" s="1" t="str">
        <f aca="false">TRIM(A1149)</f>
        <v>+32, 32, SLUGMA</v>
      </c>
    </row>
    <row r="1150" customFormat="false" ht="12.75" hidden="false" customHeight="true" outlineLevel="0" collapsed="false">
      <c r="A1150" s="1" t="s">
        <v>1543</v>
      </c>
      <c r="B1150" s="1" t="str">
        <f aca="false">TRIM(A1150)</f>
        <v>+24, 24, SLUGMA</v>
      </c>
    </row>
    <row r="1151" customFormat="false" ht="12.75" hidden="false" customHeight="true" outlineLevel="0" collapsed="false">
      <c r="A1151" s="1" t="s">
        <v>1553</v>
      </c>
      <c r="B1151" s="1" t="str">
        <f aca="false">TRIM(A1151)</f>
        <v>+22, 22, SLUGMA</v>
      </c>
    </row>
    <row r="1152" customFormat="false" ht="12.75" hidden="false" customHeight="true" outlineLevel="0" collapsed="false">
      <c r="A1152" s="2"/>
      <c r="B1152" s="1" t="str">
        <f aca="false">TRIM(A1152)</f>
        <v/>
      </c>
    </row>
    <row r="1153" customFormat="false" ht="12.75" hidden="false" customHeight="true" outlineLevel="0" collapsed="false">
      <c r="A1153" s="1" t="s">
        <v>1210</v>
      </c>
      <c r="B1153" s="1" t="str">
        <f aca="false">TRIM(A1153)</f>
        <v># 5%</v>
      </c>
    </row>
    <row r="1154" customFormat="false" ht="12.75" hidden="false" customHeight="true" outlineLevel="0" collapsed="false">
      <c r="A1154" s="1" t="s">
        <v>1557</v>
      </c>
      <c r="B1154" s="1" t="str">
        <f aca="false">TRIM(A1154)</f>
        <v>+20, 20, SLUGMA</v>
      </c>
    </row>
    <row r="1155" customFormat="false" ht="12.75" hidden="false" customHeight="true" outlineLevel="0" collapsed="false">
      <c r="A1155" s="1" t="s">
        <v>1558</v>
      </c>
      <c r="B1155" s="1" t="str">
        <f aca="false">TRIM(A1155)</f>
        <v>+34, 34, SLUGMA</v>
      </c>
    </row>
    <row r="1156" customFormat="false" ht="12.75" hidden="false" customHeight="true" outlineLevel="0" collapsed="false">
      <c r="A1156" s="2"/>
      <c r="B1156" s="1" t="str">
        <f aca="false">TRIM(A1156)</f>
        <v/>
      </c>
    </row>
    <row r="1157" customFormat="false" ht="12.75" hidden="false" customHeight="true" outlineLevel="0" collapsed="false">
      <c r="A1157" s="1" t="s">
        <v>1211</v>
      </c>
      <c r="B1157" s="1" t="str">
        <f aca="false">TRIM(A1157)</f>
        <v># 4%</v>
      </c>
    </row>
    <row r="1158" customFormat="false" ht="12.75" hidden="false" customHeight="true" outlineLevel="0" collapsed="false">
      <c r="A1158" s="1" t="s">
        <v>1559</v>
      </c>
      <c r="B1158" s="1" t="str">
        <f aca="false">TRIM(A1158)</f>
        <v>+36, 36, SLUGMA</v>
      </c>
    </row>
    <row r="1159" customFormat="false" ht="12.75" hidden="false" customHeight="true" outlineLevel="0" collapsed="false">
      <c r="A1159" s="1" t="s">
        <v>1560</v>
      </c>
      <c r="B1159" s="1" t="str">
        <f aca="false">TRIM(A1159)</f>
        <v>+18, 18, SLUGMA</v>
      </c>
    </row>
    <row r="1160" customFormat="false" ht="12.75" hidden="false" customHeight="true" outlineLevel="0" collapsed="false">
      <c r="A1160" s="2"/>
      <c r="B1160" s="1" t="str">
        <f aca="false">TRIM(A1160)</f>
        <v/>
      </c>
    </row>
    <row r="1161" customFormat="false" ht="12.75" hidden="false" customHeight="true" outlineLevel="0" collapsed="false">
      <c r="A1161" s="1" t="s">
        <v>1212</v>
      </c>
      <c r="B1161" s="1" t="str">
        <f aca="false">TRIM(A1161)</f>
        <v># 1%</v>
      </c>
    </row>
    <row r="1162" customFormat="false" ht="12.75" hidden="false" customHeight="true" outlineLevel="0" collapsed="false">
      <c r="A1162" s="1" t="s">
        <v>1559</v>
      </c>
      <c r="B1162" s="1" t="str">
        <f aca="false">TRIM(A1162)</f>
        <v>+36, 36, SLUGMA</v>
      </c>
    </row>
    <row r="1163" customFormat="false" ht="12.75" hidden="false" customHeight="true" outlineLevel="0" collapsed="false">
      <c r="A1163" s="1" t="s">
        <v>2634</v>
      </c>
      <c r="B1163" s="1" t="str">
        <f aca="false">TRIM(A1163)</f>
        <v>+18, 18, SLUGMA</v>
      </c>
    </row>
    <row r="1164" customFormat="false" ht="12.75" hidden="false" customHeight="true" outlineLevel="0" collapsed="false">
      <c r="A1164" s="1" t="s">
        <v>2635</v>
      </c>
      <c r="B1164" s="1" t="str">
        <f aca="false">TRIM(A1164)</f>
        <v>50, 15, 25, SLUGMA</v>
      </c>
    </row>
    <row r="1165" customFormat="false" ht="12.75" hidden="false" customHeight="true" outlineLevel="0" collapsed="false">
      <c r="A1165" s="1" t="s">
        <v>1562</v>
      </c>
      <c r="B1165" s="1" t="str">
        <f aca="false">TRIM(A1165)</f>
        <v>+25, 35, SLUGMA</v>
      </c>
    </row>
    <row r="1166" customFormat="false" ht="12.75" hidden="false" customHeight="true" outlineLevel="0" collapsed="false">
      <c r="A1166" s="1" t="s">
        <v>1563</v>
      </c>
      <c r="B1166" s="1" t="str">
        <f aca="false">TRIM(A1166)</f>
        <v>+40, 45, MAGCARGO</v>
      </c>
    </row>
    <row r="1167" customFormat="false" ht="12.75" hidden="false" customHeight="true" outlineLevel="0" collapsed="false">
      <c r="A1167" s="1" t="s">
        <v>1564</v>
      </c>
      <c r="B1167" s="1" t="str">
        <f aca="false">TRIM(A1167)</f>
        <v>+35, 45, MAGCARGO</v>
      </c>
    </row>
    <row r="1168" customFormat="false" ht="12.75" hidden="false" customHeight="true" outlineLevel="0" collapsed="false">
      <c r="A1168" s="1" t="s">
        <v>2636</v>
      </c>
      <c r="B1168" s="1" t="str">
        <f aca="false">TRIM(A1168)</f>
        <v>+25, 35, MAGCARGO , &lt;null&gt;</v>
      </c>
    </row>
    <row r="1169" customFormat="false" ht="12.75" hidden="false" customHeight="true" outlineLevel="0" collapsed="false">
      <c r="A1169" s="2"/>
      <c r="B1169" s="1" t="str">
        <f aca="false">TRIM(A1169)</f>
        <v/>
      </c>
    </row>
    <row r="1170" customFormat="false" ht="12.75" hidden="false" customHeight="true" outlineLevel="0" collapsed="false">
      <c r="A1170" s="1" t="s">
        <v>2536</v>
      </c>
      <c r="B1170" s="1" t="str">
        <f aca="false">TRIM(A1170)</f>
        <v>NEW ROUTE</v>
      </c>
    </row>
    <row r="1171" customFormat="false" ht="12.75" hidden="false" customHeight="true" outlineLevel="0" collapsed="false">
      <c r="A1171" s="1" t="s">
        <v>2637</v>
      </c>
      <c r="B1171" s="1" t="str">
        <f aca="false">TRIM(A1171)</f>
        <v>+1, 107, 0,</v>
      </c>
    </row>
    <row r="1172" customFormat="false" ht="12.75" hidden="false" customHeight="true" outlineLevel="0" collapsed="false">
      <c r="A1172" s="1" t="s">
        <v>2541</v>
      </c>
      <c r="B1172" s="1" t="str">
        <f aca="false">TRIM(A1172)</f>
        <v>7, # 20%</v>
      </c>
    </row>
    <row r="1173" customFormat="false" ht="12.75" hidden="false" customHeight="true" outlineLevel="0" collapsed="false">
      <c r="A1173" s="1" t="s">
        <v>1550</v>
      </c>
      <c r="B1173" s="1" t="str">
        <f aca="false">TRIM(A1173)</f>
        <v>40, 40, GEODUDE</v>
      </c>
    </row>
    <row r="1174" customFormat="false" ht="12.75" hidden="false" customHeight="true" outlineLevel="0" collapsed="false">
      <c r="A1174" s="1" t="s">
        <v>1544</v>
      </c>
      <c r="B1174" s="1" t="str">
        <f aca="false">TRIM(A1174)</f>
        <v>+26, 26, SLUGMA</v>
      </c>
    </row>
    <row r="1175" customFormat="false" ht="12.75" hidden="false" customHeight="true" outlineLevel="0" collapsed="false">
      <c r="A1175" s="2"/>
      <c r="B1175" s="1" t="str">
        <f aca="false">TRIM(A1175)</f>
        <v/>
      </c>
    </row>
    <row r="1176" customFormat="false" ht="12.75" hidden="false" customHeight="true" outlineLevel="0" collapsed="false">
      <c r="A1176" s="1" t="s">
        <v>1209</v>
      </c>
      <c r="B1176" s="1" t="str">
        <f aca="false">TRIM(A1176)</f>
        <v># 10%</v>
      </c>
    </row>
    <row r="1177" customFormat="false" ht="12.75" hidden="false" customHeight="true" outlineLevel="0" collapsed="false">
      <c r="A1177" s="1" t="s">
        <v>1545</v>
      </c>
      <c r="B1177" s="1" t="str">
        <f aca="false">TRIM(A1177)</f>
        <v>+42, 42, GEODUDE</v>
      </c>
    </row>
    <row r="1178" customFormat="false" ht="12.75" hidden="false" customHeight="true" outlineLevel="0" collapsed="false">
      <c r="A1178" s="1" t="s">
        <v>1543</v>
      </c>
      <c r="B1178" s="1" t="str">
        <f aca="false">TRIM(A1178)</f>
        <v>+24, 24, SLUGMA</v>
      </c>
    </row>
    <row r="1179" customFormat="false" ht="12.75" hidden="false" customHeight="true" outlineLevel="0" collapsed="false">
      <c r="A1179" s="1" t="s">
        <v>1546</v>
      </c>
      <c r="B1179" s="1" t="str">
        <f aca="false">TRIM(A1179)</f>
        <v>+28, 28, SLUGMA</v>
      </c>
    </row>
    <row r="1180" customFormat="false" ht="12.75" hidden="false" customHeight="true" outlineLevel="0" collapsed="false">
      <c r="A1180" s="1" t="s">
        <v>1547</v>
      </c>
      <c r="B1180" s="1" t="str">
        <f aca="false">TRIM(A1180)</f>
        <v>+30, 30, SLUGMA</v>
      </c>
    </row>
    <row r="1181" customFormat="false" ht="12.75" hidden="false" customHeight="true" outlineLevel="0" collapsed="false">
      <c r="A1181" s="2"/>
      <c r="B1181" s="1" t="str">
        <f aca="false">TRIM(A1181)</f>
        <v/>
      </c>
    </row>
    <row r="1182" customFormat="false" ht="12.75" hidden="false" customHeight="true" outlineLevel="0" collapsed="false">
      <c r="A1182" s="1" t="s">
        <v>1210</v>
      </c>
      <c r="B1182" s="1" t="str">
        <f aca="false">TRIM(A1182)</f>
        <v># 5%</v>
      </c>
    </row>
    <row r="1183" customFormat="false" ht="12.75" hidden="false" customHeight="true" outlineLevel="0" collapsed="false">
      <c r="A1183" s="1" t="s">
        <v>1551</v>
      </c>
      <c r="B1183" s="1" t="str">
        <f aca="false">TRIM(A1183)</f>
        <v>+44, 44, GEODUDE</v>
      </c>
    </row>
    <row r="1184" customFormat="false" ht="12.75" hidden="false" customHeight="true" outlineLevel="0" collapsed="false">
      <c r="A1184" s="1" t="s">
        <v>1552</v>
      </c>
      <c r="B1184" s="1" t="str">
        <f aca="false">TRIM(A1184)</f>
        <v>+32, 32, SLUGMA</v>
      </c>
    </row>
    <row r="1185" customFormat="false" ht="12.75" hidden="false" customHeight="true" outlineLevel="0" collapsed="false">
      <c r="A1185" s="2"/>
      <c r="B1185" s="1" t="str">
        <f aca="false">TRIM(A1185)</f>
        <v/>
      </c>
    </row>
    <row r="1186" customFormat="false" ht="12.75" hidden="false" customHeight="true" outlineLevel="0" collapsed="false">
      <c r="A1186" s="1" t="s">
        <v>1211</v>
      </c>
      <c r="B1186" s="1" t="str">
        <f aca="false">TRIM(A1186)</f>
        <v># 4%</v>
      </c>
    </row>
    <row r="1187" customFormat="false" ht="12.75" hidden="false" customHeight="true" outlineLevel="0" collapsed="false">
      <c r="A1187" s="1" t="s">
        <v>1551</v>
      </c>
      <c r="B1187" s="1" t="str">
        <f aca="false">TRIM(A1187)</f>
        <v>+44, 44, GEODUDE</v>
      </c>
    </row>
    <row r="1188" customFormat="false" ht="12.75" hidden="false" customHeight="true" outlineLevel="0" collapsed="false">
      <c r="A1188" s="1" t="s">
        <v>1553</v>
      </c>
      <c r="B1188" s="1" t="str">
        <f aca="false">TRIM(A1188)</f>
        <v>+22, 22, SLUGMA</v>
      </c>
    </row>
    <row r="1189" customFormat="false" ht="12.75" hidden="false" customHeight="true" outlineLevel="0" collapsed="false">
      <c r="A1189" s="2"/>
      <c r="B1189" s="1" t="str">
        <f aca="false">TRIM(A1189)</f>
        <v/>
      </c>
    </row>
    <row r="1190" customFormat="false" ht="12.75" hidden="false" customHeight="true" outlineLevel="0" collapsed="false">
      <c r="A1190" s="1" t="s">
        <v>1212</v>
      </c>
      <c r="B1190" s="1" t="str">
        <f aca="false">TRIM(A1190)</f>
        <v># 1%</v>
      </c>
    </row>
    <row r="1191" customFormat="false" ht="12.75" hidden="false" customHeight="true" outlineLevel="0" collapsed="false">
      <c r="A1191" s="1" t="s">
        <v>1551</v>
      </c>
      <c r="B1191" s="1" t="str">
        <f aca="false">TRIM(A1191)</f>
        <v>+44, 44, GEODUDE</v>
      </c>
    </row>
    <row r="1192" customFormat="false" ht="12.75" hidden="false" customHeight="true" outlineLevel="0" collapsed="false">
      <c r="A1192" s="1" t="s">
        <v>2632</v>
      </c>
      <c r="B1192" s="1" t="str">
        <f aca="false">TRIM(A1192)</f>
        <v>+22, 22, SLUGMA</v>
      </c>
    </row>
    <row r="1193" customFormat="false" ht="12.75" hidden="false" customHeight="true" outlineLevel="0" collapsed="false">
      <c r="A1193" s="1" t="s">
        <v>2627</v>
      </c>
      <c r="B1193" s="1" t="str">
        <f aca="false">TRIM(A1193)</f>
        <v>50, 25, 35, GEODUDE</v>
      </c>
    </row>
    <row r="1194" customFormat="false" ht="12.75" hidden="false" customHeight="true" outlineLevel="0" collapsed="false">
      <c r="A1194" s="1" t="s">
        <v>1536</v>
      </c>
      <c r="B1194" s="1" t="str">
        <f aca="false">TRIM(A1194)</f>
        <v>+30, 45, GRAVELER</v>
      </c>
    </row>
    <row r="1195" customFormat="false" ht="12.75" hidden="false" customHeight="true" outlineLevel="0" collapsed="false">
      <c r="A1195" s="1" t="s">
        <v>1537</v>
      </c>
      <c r="B1195" s="1" t="str">
        <f aca="false">TRIM(A1195)</f>
        <v>+35, 50, GRAVELER</v>
      </c>
    </row>
    <row r="1196" customFormat="false" ht="12.75" hidden="false" customHeight="true" outlineLevel="0" collapsed="false">
      <c r="A1196" s="1" t="s">
        <v>1538</v>
      </c>
      <c r="B1196" s="1" t="str">
        <f aca="false">TRIM(A1196)</f>
        <v>+30, 40, GEODUDE</v>
      </c>
    </row>
    <row r="1197" customFormat="false" ht="12.75" hidden="false" customHeight="true" outlineLevel="0" collapsed="false">
      <c r="A1197" s="1" t="s">
        <v>2628</v>
      </c>
      <c r="B1197" s="1" t="str">
        <f aca="false">TRIM(A1197)</f>
        <v>+30, 40, GEODUDE , &lt;null&gt;</v>
      </c>
    </row>
    <row r="1198" customFormat="false" ht="12.75" hidden="false" customHeight="true" outlineLevel="0" collapsed="false">
      <c r="A1198" s="2"/>
      <c r="B1198" s="1" t="str">
        <f aca="false">TRIM(A1198)</f>
        <v/>
      </c>
    </row>
    <row r="1199" customFormat="false" ht="12.75" hidden="false" customHeight="true" outlineLevel="0" collapsed="false">
      <c r="A1199" s="1" t="s">
        <v>2536</v>
      </c>
      <c r="B1199" s="1" t="str">
        <f aca="false">TRIM(A1199)</f>
        <v>NEW ROUTE</v>
      </c>
    </row>
    <row r="1200" customFormat="false" ht="12.75" hidden="false" customHeight="true" outlineLevel="0" collapsed="false">
      <c r="A1200" s="1" t="s">
        <v>2638</v>
      </c>
      <c r="B1200" s="1" t="str">
        <f aca="false">TRIM(A1200)</f>
        <v>+1, 108, 0,</v>
      </c>
    </row>
    <row r="1201" customFormat="false" ht="12.75" hidden="false" customHeight="true" outlineLevel="0" collapsed="false">
      <c r="A1201" s="1" t="s">
        <v>2541</v>
      </c>
      <c r="B1201" s="1" t="str">
        <f aca="false">TRIM(A1201)</f>
        <v>7, # 20%</v>
      </c>
    </row>
    <row r="1202" customFormat="false" ht="12.75" hidden="false" customHeight="true" outlineLevel="0" collapsed="false">
      <c r="A1202" s="1" t="s">
        <v>1541</v>
      </c>
      <c r="B1202" s="1" t="str">
        <f aca="false">TRIM(A1202)</f>
        <v>38, 38, GEODUDE</v>
      </c>
    </row>
    <row r="1203" customFormat="false" ht="12.75" hidden="false" customHeight="true" outlineLevel="0" collapsed="false">
      <c r="A1203" s="1" t="s">
        <v>1542</v>
      </c>
      <c r="B1203" s="1" t="str">
        <f aca="false">TRIM(A1203)</f>
        <v>+36, 36, GEODUDE</v>
      </c>
    </row>
    <row r="1204" customFormat="false" ht="12.75" hidden="false" customHeight="true" outlineLevel="0" collapsed="false">
      <c r="A1204" s="2"/>
      <c r="B1204" s="1" t="str">
        <f aca="false">TRIM(A1204)</f>
        <v/>
      </c>
    </row>
    <row r="1205" customFormat="false" ht="12.75" hidden="false" customHeight="true" outlineLevel="0" collapsed="false">
      <c r="A1205" s="1" t="s">
        <v>1209</v>
      </c>
      <c r="B1205" s="1" t="str">
        <f aca="false">TRIM(A1205)</f>
        <v># 10%</v>
      </c>
    </row>
    <row r="1206" customFormat="false" ht="12.75" hidden="false" customHeight="true" outlineLevel="0" collapsed="false">
      <c r="A1206" s="1" t="s">
        <v>1531</v>
      </c>
      <c r="B1206" s="1" t="str">
        <f aca="false">TRIM(A1206)</f>
        <v>+34, 34, GEODUDE</v>
      </c>
    </row>
    <row r="1207" customFormat="false" ht="12.75" hidden="false" customHeight="true" outlineLevel="0" collapsed="false">
      <c r="A1207" s="1" t="s">
        <v>1533</v>
      </c>
      <c r="B1207" s="1" t="str">
        <f aca="false">TRIM(A1207)</f>
        <v>+40, 40, GEODUDE</v>
      </c>
    </row>
    <row r="1208" customFormat="false" ht="12.75" hidden="false" customHeight="true" outlineLevel="0" collapsed="false">
      <c r="A1208" s="1" t="s">
        <v>1543</v>
      </c>
      <c r="B1208" s="1" t="str">
        <f aca="false">TRIM(A1208)</f>
        <v>+24, 24, SLUGMA</v>
      </c>
    </row>
    <row r="1209" customFormat="false" ht="12.75" hidden="false" customHeight="true" outlineLevel="0" collapsed="false">
      <c r="A1209" s="1" t="s">
        <v>1544</v>
      </c>
      <c r="B1209" s="1" t="str">
        <f aca="false">TRIM(A1209)</f>
        <v>+26, 26, SLUGMA</v>
      </c>
    </row>
    <row r="1210" customFormat="false" ht="12.75" hidden="false" customHeight="true" outlineLevel="0" collapsed="false">
      <c r="A1210" s="2"/>
      <c r="B1210" s="1" t="str">
        <f aca="false">TRIM(A1210)</f>
        <v/>
      </c>
    </row>
    <row r="1211" customFormat="false" ht="12.75" hidden="false" customHeight="true" outlineLevel="0" collapsed="false">
      <c r="A1211" s="1" t="s">
        <v>1210</v>
      </c>
      <c r="B1211" s="1" t="str">
        <f aca="false">TRIM(A1211)</f>
        <v># 5%</v>
      </c>
    </row>
    <row r="1212" customFormat="false" ht="12.75" hidden="false" customHeight="true" outlineLevel="0" collapsed="false">
      <c r="A1212" s="1" t="s">
        <v>1545</v>
      </c>
      <c r="B1212" s="1" t="str">
        <f aca="false">TRIM(A1212)</f>
        <v>+42, 42, GEODUDE</v>
      </c>
    </row>
    <row r="1213" customFormat="false" ht="12.75" hidden="false" customHeight="true" outlineLevel="0" collapsed="false">
      <c r="A1213" s="1" t="s">
        <v>1546</v>
      </c>
      <c r="B1213" s="1" t="str">
        <f aca="false">TRIM(A1213)</f>
        <v>+28, 28, SLUGMA</v>
      </c>
    </row>
    <row r="1214" customFormat="false" ht="12.75" hidden="false" customHeight="true" outlineLevel="0" collapsed="false">
      <c r="A1214" s="2"/>
      <c r="B1214" s="1" t="str">
        <f aca="false">TRIM(A1214)</f>
        <v/>
      </c>
    </row>
    <row r="1215" customFormat="false" ht="12.75" hidden="false" customHeight="true" outlineLevel="0" collapsed="false">
      <c r="A1215" s="1" t="s">
        <v>1211</v>
      </c>
      <c r="B1215" s="1" t="str">
        <f aca="false">TRIM(A1215)</f>
        <v># 4%</v>
      </c>
    </row>
    <row r="1216" customFormat="false" ht="12.75" hidden="false" customHeight="true" outlineLevel="0" collapsed="false">
      <c r="A1216" s="1" t="s">
        <v>1545</v>
      </c>
      <c r="B1216" s="1" t="str">
        <f aca="false">TRIM(A1216)</f>
        <v>+42, 42, GEODUDE</v>
      </c>
    </row>
    <row r="1217" customFormat="false" ht="12.75" hidden="false" customHeight="true" outlineLevel="0" collapsed="false">
      <c r="A1217" s="1" t="s">
        <v>1547</v>
      </c>
      <c r="B1217" s="1" t="str">
        <f aca="false">TRIM(A1217)</f>
        <v>+30, 30, SLUGMA</v>
      </c>
    </row>
    <row r="1218" customFormat="false" ht="12.75" hidden="false" customHeight="true" outlineLevel="0" collapsed="false">
      <c r="A1218" s="2"/>
      <c r="B1218" s="1" t="str">
        <f aca="false">TRIM(A1218)</f>
        <v/>
      </c>
    </row>
    <row r="1219" customFormat="false" ht="12.75" hidden="false" customHeight="true" outlineLevel="0" collapsed="false">
      <c r="A1219" s="1" t="s">
        <v>1212</v>
      </c>
      <c r="B1219" s="1" t="str">
        <f aca="false">TRIM(A1219)</f>
        <v># 1%</v>
      </c>
    </row>
    <row r="1220" customFormat="false" ht="12.75" hidden="false" customHeight="true" outlineLevel="0" collapsed="false">
      <c r="A1220" s="1" t="s">
        <v>1545</v>
      </c>
      <c r="B1220" s="1" t="str">
        <f aca="false">TRIM(A1220)</f>
        <v>+42, 42, GEODUDE</v>
      </c>
    </row>
    <row r="1221" customFormat="false" ht="12.75" hidden="false" customHeight="true" outlineLevel="0" collapsed="false">
      <c r="A1221" s="1" t="s">
        <v>2630</v>
      </c>
      <c r="B1221" s="1" t="str">
        <f aca="false">TRIM(A1221)</f>
        <v>+30, 30, SLUGMA</v>
      </c>
    </row>
    <row r="1222" customFormat="false" ht="12.75" hidden="false" customHeight="true" outlineLevel="0" collapsed="false">
      <c r="A1222" s="1" t="s">
        <v>2627</v>
      </c>
      <c r="B1222" s="1" t="str">
        <f aca="false">TRIM(A1222)</f>
        <v>50, 25, 35, GEODUDE</v>
      </c>
    </row>
    <row r="1223" customFormat="false" ht="12.75" hidden="false" customHeight="true" outlineLevel="0" collapsed="false">
      <c r="A1223" s="1" t="s">
        <v>1536</v>
      </c>
      <c r="B1223" s="1" t="str">
        <f aca="false">TRIM(A1223)</f>
        <v>+30, 45, GRAVELER</v>
      </c>
    </row>
    <row r="1224" customFormat="false" ht="12.75" hidden="false" customHeight="true" outlineLevel="0" collapsed="false">
      <c r="A1224" s="1" t="s">
        <v>1537</v>
      </c>
      <c r="B1224" s="1" t="str">
        <f aca="false">TRIM(A1224)</f>
        <v>+35, 50, GRAVELER</v>
      </c>
    </row>
    <row r="1225" customFormat="false" ht="12.75" hidden="false" customHeight="true" outlineLevel="0" collapsed="false">
      <c r="A1225" s="1" t="s">
        <v>1538</v>
      </c>
      <c r="B1225" s="1" t="str">
        <f aca="false">TRIM(A1225)</f>
        <v>+30, 40, GEODUDE</v>
      </c>
    </row>
    <row r="1226" customFormat="false" ht="12.75" hidden="false" customHeight="true" outlineLevel="0" collapsed="false">
      <c r="A1226" s="1" t="s">
        <v>2628</v>
      </c>
      <c r="B1226" s="1" t="str">
        <f aca="false">TRIM(A1226)</f>
        <v>+30, 40, GEODUDE , &lt;null&gt;</v>
      </c>
    </row>
    <row r="1227" customFormat="false" ht="12.75" hidden="false" customHeight="true" outlineLevel="0" collapsed="false">
      <c r="A1227" s="2"/>
      <c r="B1227" s="1" t="str">
        <f aca="false">TRIM(A1227)</f>
        <v/>
      </c>
    </row>
    <row r="1228" customFormat="false" ht="12.75" hidden="false" customHeight="true" outlineLevel="0" collapsed="false">
      <c r="A1228" s="1" t="s">
        <v>2536</v>
      </c>
      <c r="B1228" s="1" t="str">
        <f aca="false">TRIM(A1228)</f>
        <v>NEW ROUTE</v>
      </c>
    </row>
    <row r="1229" customFormat="false" ht="12.75" hidden="false" customHeight="true" outlineLevel="0" collapsed="false">
      <c r="A1229" s="1" t="s">
        <v>2639</v>
      </c>
      <c r="B1229" s="1" t="str">
        <f aca="false">TRIM(A1229)</f>
        <v>+1, 109, 0,</v>
      </c>
    </row>
    <row r="1230" customFormat="false" ht="12.75" hidden="false" customHeight="true" outlineLevel="0" collapsed="false">
      <c r="A1230" s="1" t="s">
        <v>2568</v>
      </c>
      <c r="B1230" s="1" t="str">
        <f aca="false">TRIM(A1230)</f>
        <v>21, # 20%</v>
      </c>
    </row>
    <row r="1231" customFormat="false" ht="12.75" hidden="false" customHeight="true" outlineLevel="0" collapsed="false">
      <c r="A1231" s="1" t="s">
        <v>1569</v>
      </c>
      <c r="B1231" s="1" t="str">
        <f aca="false">TRIM(A1231)</f>
        <v>37, 37, PIDGEOTTO</v>
      </c>
    </row>
    <row r="1232" customFormat="false" ht="12.75" hidden="false" customHeight="true" outlineLevel="0" collapsed="false">
      <c r="A1232" s="1" t="s">
        <v>1570</v>
      </c>
      <c r="B1232" s="1" t="str">
        <f aca="false">TRIM(A1232)</f>
        <v>+35, 35, WEEPINBELL</v>
      </c>
    </row>
    <row r="1233" customFormat="false" ht="12.75" hidden="false" customHeight="true" outlineLevel="0" collapsed="false">
      <c r="A1233" s="2"/>
      <c r="B1233" s="1" t="str">
        <f aca="false">TRIM(A1233)</f>
        <v/>
      </c>
    </row>
    <row r="1234" customFormat="false" ht="12.75" hidden="false" customHeight="true" outlineLevel="0" collapsed="false">
      <c r="A1234" s="1" t="s">
        <v>1209</v>
      </c>
      <c r="B1234" s="1" t="str">
        <f aca="false">TRIM(A1234)</f>
        <v># 10%</v>
      </c>
    </row>
    <row r="1235" customFormat="false" ht="12.75" hidden="false" customHeight="true" outlineLevel="0" collapsed="false">
      <c r="A1235" s="1" t="s">
        <v>1571</v>
      </c>
      <c r="B1235" s="1" t="str">
        <f aca="false">TRIM(A1235)</f>
        <v>+32, 32, PIDGEY</v>
      </c>
    </row>
    <row r="1236" customFormat="false" ht="12.75" hidden="false" customHeight="true" outlineLevel="0" collapsed="false">
      <c r="A1236" s="1" t="s">
        <v>1572</v>
      </c>
      <c r="B1236" s="1" t="str">
        <f aca="false">TRIM(A1236)</f>
        <v>+30, 30, BELLSPROUT</v>
      </c>
    </row>
    <row r="1237" customFormat="false" ht="12.75" hidden="false" customHeight="true" outlineLevel="0" collapsed="false">
      <c r="A1237" s="1" t="s">
        <v>1573</v>
      </c>
      <c r="B1237" s="1" t="str">
        <f aca="false">TRIM(A1237)</f>
        <v>+34, 34, VENONAT</v>
      </c>
    </row>
    <row r="1238" customFormat="false" ht="12.75" hidden="false" customHeight="true" outlineLevel="0" collapsed="false">
      <c r="A1238" s="1" t="s">
        <v>1574</v>
      </c>
      <c r="B1238" s="1" t="str">
        <f aca="false">TRIM(A1238)</f>
        <v>+34, 34, DROWZEE</v>
      </c>
    </row>
    <row r="1239" customFormat="false" ht="12.75" hidden="false" customHeight="true" outlineLevel="0" collapsed="false">
      <c r="A1239" s="2"/>
      <c r="B1239" s="1" t="str">
        <f aca="false">TRIM(A1239)</f>
        <v/>
      </c>
    </row>
    <row r="1240" customFormat="false" ht="12.75" hidden="false" customHeight="true" outlineLevel="0" collapsed="false">
      <c r="A1240" s="1" t="s">
        <v>1210</v>
      </c>
      <c r="B1240" s="1" t="str">
        <f aca="false">TRIM(A1240)</f>
        <v># 5%</v>
      </c>
    </row>
    <row r="1241" customFormat="false" ht="12.75" hidden="false" customHeight="true" outlineLevel="0" collapsed="false">
      <c r="A1241" s="1" t="s">
        <v>1575</v>
      </c>
      <c r="B1241" s="1" t="str">
        <f aca="false">TRIM(A1241)</f>
        <v>+35, 35, EXEGGCUTE</v>
      </c>
    </row>
    <row r="1242" customFormat="false" ht="12.75" hidden="false" customHeight="true" outlineLevel="0" collapsed="false">
      <c r="A1242" s="1" t="s">
        <v>1576</v>
      </c>
      <c r="B1242" s="1" t="str">
        <f aca="false">TRIM(A1242)</f>
        <v>+31, 31, SLOWPOKE</v>
      </c>
    </row>
    <row r="1243" customFormat="false" ht="12.75" hidden="false" customHeight="true" outlineLevel="0" collapsed="false">
      <c r="A1243" s="2"/>
      <c r="B1243" s="1" t="str">
        <f aca="false">TRIM(A1243)</f>
        <v/>
      </c>
    </row>
    <row r="1244" customFormat="false" ht="12.75" hidden="false" customHeight="true" outlineLevel="0" collapsed="false">
      <c r="A1244" s="1" t="s">
        <v>1211</v>
      </c>
      <c r="B1244" s="1" t="str">
        <f aca="false">TRIM(A1244)</f>
        <v># 4%</v>
      </c>
    </row>
    <row r="1245" customFormat="false" ht="12.75" hidden="false" customHeight="true" outlineLevel="0" collapsed="false">
      <c r="A1245" s="1" t="s">
        <v>1577</v>
      </c>
      <c r="B1245" s="1" t="str">
        <f aca="false">TRIM(A1245)</f>
        <v>+37, 37, VENOMOTH</v>
      </c>
    </row>
    <row r="1246" customFormat="false" ht="12.75" hidden="false" customHeight="true" outlineLevel="0" collapsed="false">
      <c r="A1246" s="1" t="s">
        <v>1578</v>
      </c>
      <c r="B1246" s="1" t="str">
        <f aca="false">TRIM(A1246)</f>
        <v>+37, 37, HYPNO</v>
      </c>
    </row>
    <row r="1247" customFormat="false" ht="12.75" hidden="false" customHeight="true" outlineLevel="0" collapsed="false">
      <c r="A1247" s="2"/>
      <c r="B1247" s="1" t="str">
        <f aca="false">TRIM(A1247)</f>
        <v/>
      </c>
    </row>
    <row r="1248" customFormat="false" ht="12.75" hidden="false" customHeight="true" outlineLevel="0" collapsed="false">
      <c r="A1248" s="1" t="s">
        <v>1212</v>
      </c>
      <c r="B1248" s="1" t="str">
        <f aca="false">TRIM(A1248)</f>
        <v># 1%</v>
      </c>
    </row>
    <row r="1249" customFormat="false" ht="12.75" hidden="false" customHeight="true" outlineLevel="0" collapsed="false">
      <c r="A1249" s="1" t="s">
        <v>1579</v>
      </c>
      <c r="B1249" s="1" t="str">
        <f aca="false">TRIM(A1249)</f>
        <v>+40, 40, VENOMOTH</v>
      </c>
    </row>
    <row r="1250" customFormat="false" ht="12.75" hidden="false" customHeight="true" outlineLevel="0" collapsed="false">
      <c r="A1250" s="1" t="s">
        <v>2640</v>
      </c>
      <c r="B1250" s="1" t="str">
        <f aca="false">TRIM(A1250)</f>
        <v>+40, 40, HYPNO</v>
      </c>
    </row>
    <row r="1251" customFormat="false" ht="12.75" hidden="false" customHeight="true" outlineLevel="0" collapsed="false">
      <c r="A1251" s="1" t="s">
        <v>2641</v>
      </c>
      <c r="B1251" s="1" t="str">
        <f aca="false">TRIM(A1251)</f>
        <v>2, 5, 20, SLOWPOKE</v>
      </c>
    </row>
    <row r="1252" customFormat="false" ht="12.75" hidden="false" customHeight="true" outlineLevel="0" collapsed="false">
      <c r="A1252" s="1" t="s">
        <v>1581</v>
      </c>
      <c r="B1252" s="1" t="str">
        <f aca="false">TRIM(A1252)</f>
        <v>+20, 35, SLOWPOKE</v>
      </c>
    </row>
    <row r="1253" customFormat="false" ht="12.75" hidden="false" customHeight="true" outlineLevel="0" collapsed="false">
      <c r="A1253" s="1" t="s">
        <v>1582</v>
      </c>
      <c r="B1253" s="1" t="str">
        <f aca="false">TRIM(A1253)</f>
        <v>+35, 40, SLOWPOKE</v>
      </c>
    </row>
    <row r="1254" customFormat="false" ht="12.75" hidden="false" customHeight="true" outlineLevel="0" collapsed="false">
      <c r="A1254" s="1" t="s">
        <v>1583</v>
      </c>
      <c r="B1254" s="1" t="str">
        <f aca="false">TRIM(A1254)</f>
        <v>+35, 40, SLOWBRO</v>
      </c>
    </row>
    <row r="1255" customFormat="false" ht="12.75" hidden="false" customHeight="true" outlineLevel="0" collapsed="false">
      <c r="A1255" s="1" t="s">
        <v>2642</v>
      </c>
      <c r="B1255" s="1" t="str">
        <f aca="false">TRIM(A1255)</f>
        <v>+35, 40, SLOWBRO</v>
      </c>
    </row>
    <row r="1256" customFormat="false" ht="12.75" hidden="false" customHeight="true" outlineLevel="0" collapsed="false">
      <c r="A1256" s="1" t="s">
        <v>2572</v>
      </c>
      <c r="B1256" s="1" t="str">
        <f aca="false">TRIM(A1256)</f>
        <v>20, # old rod:</v>
      </c>
    </row>
    <row r="1257" customFormat="false" ht="12.75" hidden="false" customHeight="true" outlineLevel="0" collapsed="false">
      <c r="A1257" s="1" t="s">
        <v>1266</v>
      </c>
      <c r="B1257" s="1" t="str">
        <f aca="false">TRIM(A1257)</f>
        <v>5, 5, MAGIKARP</v>
      </c>
    </row>
    <row r="1258" customFormat="false" ht="12.75" hidden="false" customHeight="true" outlineLevel="0" collapsed="false">
      <c r="A1258" s="1" t="s">
        <v>1267</v>
      </c>
      <c r="B1258" s="1" t="str">
        <f aca="false">TRIM(A1258)</f>
        <v>+5, 5, MAGIKARP</v>
      </c>
    </row>
    <row r="1259" customFormat="false" ht="12.75" hidden="false" customHeight="true" outlineLevel="0" collapsed="false">
      <c r="A1259" s="2"/>
      <c r="B1259" s="1" t="str">
        <f aca="false">TRIM(A1259)</f>
        <v/>
      </c>
    </row>
    <row r="1260" customFormat="false" ht="12.75" hidden="false" customHeight="true" outlineLevel="0" collapsed="false">
      <c r="A1260" s="1" t="s">
        <v>1268</v>
      </c>
      <c r="B1260" s="1" t="str">
        <f aca="false">TRIM(A1260)</f>
        <v># good rod:</v>
      </c>
    </row>
    <row r="1261" customFormat="false" ht="12.75" hidden="false" customHeight="true" outlineLevel="0" collapsed="false">
      <c r="A1261" s="1" t="s">
        <v>1585</v>
      </c>
      <c r="B1261" s="1" t="str">
        <f aca="false">TRIM(A1261)</f>
        <v>+5, 15, GOLDEEN</v>
      </c>
    </row>
    <row r="1262" customFormat="false" ht="12.75" hidden="false" customHeight="true" outlineLevel="0" collapsed="false">
      <c r="A1262" s="1" t="s">
        <v>1270</v>
      </c>
      <c r="B1262" s="1" t="str">
        <f aca="false">TRIM(A1262)</f>
        <v>+5, 15, MAGIKARP</v>
      </c>
    </row>
    <row r="1263" customFormat="false" ht="12.75" hidden="false" customHeight="true" outlineLevel="0" collapsed="false">
      <c r="A1263" s="1" t="s">
        <v>1586</v>
      </c>
      <c r="B1263" s="1" t="str">
        <f aca="false">TRIM(A1263)</f>
        <v>+5, 15, POLIWAG</v>
      </c>
    </row>
    <row r="1264" customFormat="false" ht="12.75" hidden="false" customHeight="true" outlineLevel="0" collapsed="false">
      <c r="A1264" s="2"/>
      <c r="B1264" s="1" t="str">
        <f aca="false">TRIM(A1264)</f>
        <v/>
      </c>
    </row>
    <row r="1265" customFormat="false" ht="12.75" hidden="false" customHeight="true" outlineLevel="0" collapsed="false">
      <c r="A1265" s="1" t="s">
        <v>1272</v>
      </c>
      <c r="B1265" s="1" t="str">
        <f aca="false">TRIM(A1265)</f>
        <v># super rod:</v>
      </c>
    </row>
    <row r="1266" customFormat="false" ht="12.75" hidden="false" customHeight="true" outlineLevel="0" collapsed="false">
      <c r="A1266" s="1" t="s">
        <v>1587</v>
      </c>
      <c r="B1266" s="1" t="str">
        <f aca="false">TRIM(A1266)</f>
        <v>+15, 25, GOLDEEN</v>
      </c>
    </row>
    <row r="1267" customFormat="false" ht="12.75" hidden="false" customHeight="true" outlineLevel="0" collapsed="false">
      <c r="A1267" s="1" t="s">
        <v>1588</v>
      </c>
      <c r="B1267" s="1" t="str">
        <f aca="false">TRIM(A1267)</f>
        <v>+20, 30, SEAKING</v>
      </c>
    </row>
    <row r="1268" customFormat="false" ht="12.75" hidden="false" customHeight="true" outlineLevel="0" collapsed="false">
      <c r="A1268" s="1" t="s">
        <v>1275</v>
      </c>
      <c r="B1268" s="1" t="str">
        <f aca="false">TRIM(A1268)</f>
        <v>+15, 25, GYARADOS</v>
      </c>
    </row>
    <row r="1269" customFormat="false" ht="12.75" hidden="false" customHeight="true" outlineLevel="0" collapsed="false">
      <c r="A1269" s="1" t="s">
        <v>1589</v>
      </c>
      <c r="B1269" s="1" t="str">
        <f aca="false">TRIM(A1269)</f>
        <v>+15, 25, SLOWPOKE</v>
      </c>
    </row>
    <row r="1270" customFormat="false" ht="12.75" hidden="false" customHeight="true" outlineLevel="0" collapsed="false">
      <c r="A1270" s="1" t="s">
        <v>2552</v>
      </c>
      <c r="B1270" s="1" t="str">
        <f aca="false">TRIM(A1270)</f>
        <v>+25, 35, SLOWPOKE</v>
      </c>
    </row>
    <row r="1271" customFormat="false" ht="12.75" hidden="false" customHeight="true" outlineLevel="0" collapsed="false">
      <c r="A1271" s="1" t="s">
        <v>2536</v>
      </c>
      <c r="B1271" s="1" t="str">
        <f aca="false">TRIM(A1271)</f>
        <v>NEW ROUTE</v>
      </c>
    </row>
    <row r="1272" customFormat="false" ht="12.75" hidden="false" customHeight="true" outlineLevel="0" collapsed="false">
      <c r="A1272" s="1" t="s">
        <v>2643</v>
      </c>
      <c r="B1272" s="1" t="str">
        <f aca="false">TRIM(A1272)</f>
        <v>+1, 110, 0,</v>
      </c>
    </row>
    <row r="1273" customFormat="false" ht="12.75" hidden="false" customHeight="true" outlineLevel="0" collapsed="false">
      <c r="A1273" s="1" t="s">
        <v>2541</v>
      </c>
      <c r="B1273" s="1" t="str">
        <f aca="false">TRIM(A1273)</f>
        <v>7, # 20%</v>
      </c>
    </row>
    <row r="1274" customFormat="false" ht="12.75" hidden="false" customHeight="true" outlineLevel="0" collapsed="false">
      <c r="A1274" s="1" t="s">
        <v>1591</v>
      </c>
      <c r="B1274" s="1" t="str">
        <f aca="false">TRIM(A1274)</f>
        <v>43, 43, SEEL</v>
      </c>
    </row>
    <row r="1275" customFormat="false" ht="12.75" hidden="false" customHeight="true" outlineLevel="0" collapsed="false">
      <c r="A1275" s="1" t="s">
        <v>1592</v>
      </c>
      <c r="B1275" s="1" t="str">
        <f aca="false">TRIM(A1275)</f>
        <v>+45, 45, GOLBAT</v>
      </c>
    </row>
    <row r="1276" customFormat="false" ht="12.75" hidden="false" customHeight="true" outlineLevel="0" collapsed="false">
      <c r="A1276" s="2"/>
      <c r="B1276" s="1" t="str">
        <f aca="false">TRIM(A1276)</f>
        <v/>
      </c>
    </row>
    <row r="1277" customFormat="false" ht="12.75" hidden="false" customHeight="true" outlineLevel="0" collapsed="false">
      <c r="A1277" s="1" t="s">
        <v>1209</v>
      </c>
      <c r="B1277" s="1" t="str">
        <f aca="false">TRIM(A1277)</f>
        <v># 10%</v>
      </c>
    </row>
    <row r="1278" customFormat="false" ht="12.75" hidden="false" customHeight="true" outlineLevel="0" collapsed="false">
      <c r="A1278" s="1" t="s">
        <v>1593</v>
      </c>
      <c r="B1278" s="1" t="str">
        <f aca="false">TRIM(A1278)</f>
        <v>+45, 45, SEEL</v>
      </c>
    </row>
    <row r="1279" customFormat="false" ht="12.75" hidden="false" customHeight="true" outlineLevel="0" collapsed="false">
      <c r="A1279" s="1" t="s">
        <v>1594</v>
      </c>
      <c r="B1279" s="1" t="str">
        <f aca="false">TRIM(A1279)</f>
        <v>+47, 47, SEEL</v>
      </c>
    </row>
    <row r="1280" customFormat="false" ht="12.75" hidden="false" customHeight="true" outlineLevel="0" collapsed="false">
      <c r="A1280" s="1" t="s">
        <v>1595</v>
      </c>
      <c r="B1280" s="1" t="str">
        <f aca="false">TRIM(A1280)</f>
        <v>+40, 40, ZUBAT</v>
      </c>
    </row>
    <row r="1281" customFormat="false" ht="12.75" hidden="false" customHeight="true" outlineLevel="0" collapsed="false">
      <c r="A1281" s="1" t="s">
        <v>1596</v>
      </c>
      <c r="B1281" s="1" t="str">
        <f aca="false">TRIM(A1281)</f>
        <v>+49, 49, DEWGONG</v>
      </c>
    </row>
    <row r="1282" customFormat="false" ht="12.75" hidden="false" customHeight="true" outlineLevel="0" collapsed="false">
      <c r="A1282" s="2"/>
      <c r="B1282" s="1" t="str">
        <f aca="false">TRIM(A1282)</f>
        <v/>
      </c>
    </row>
    <row r="1283" customFormat="false" ht="12.75" hidden="false" customHeight="true" outlineLevel="0" collapsed="false">
      <c r="A1283" s="1" t="s">
        <v>1210</v>
      </c>
      <c r="B1283" s="1" t="str">
        <f aca="false">TRIM(A1283)</f>
        <v># 5%</v>
      </c>
    </row>
    <row r="1284" customFormat="false" ht="12.75" hidden="false" customHeight="true" outlineLevel="0" collapsed="false">
      <c r="A1284" s="1" t="s">
        <v>1597</v>
      </c>
      <c r="B1284" s="1" t="str">
        <f aca="false">TRIM(A1284)</f>
        <v>+51, 51, DEWGONG</v>
      </c>
    </row>
    <row r="1285" customFormat="false" ht="12.75" hidden="false" customHeight="true" outlineLevel="0" collapsed="false">
      <c r="A1285" s="1" t="s">
        <v>1598</v>
      </c>
      <c r="B1285" s="1" t="str">
        <f aca="false">TRIM(A1285)</f>
        <v>+41, 41, SLOWPOKE</v>
      </c>
    </row>
    <row r="1286" customFormat="false" ht="12.75" hidden="false" customHeight="true" outlineLevel="0" collapsed="false">
      <c r="A1286" s="2"/>
      <c r="B1286" s="1" t="str">
        <f aca="false">TRIM(A1286)</f>
        <v/>
      </c>
    </row>
    <row r="1287" customFormat="false" ht="12.75" hidden="false" customHeight="true" outlineLevel="0" collapsed="false">
      <c r="A1287" s="1" t="s">
        <v>1211</v>
      </c>
      <c r="B1287" s="1" t="str">
        <f aca="false">TRIM(A1287)</f>
        <v># 4%</v>
      </c>
    </row>
    <row r="1288" customFormat="false" ht="12.75" hidden="false" customHeight="true" outlineLevel="0" collapsed="false">
      <c r="A1288" s="1" t="s">
        <v>1599</v>
      </c>
      <c r="B1288" s="1" t="str">
        <f aca="false">TRIM(A1288)</f>
        <v>+48, 48, GOLBAT</v>
      </c>
    </row>
    <row r="1289" customFormat="false" ht="12.75" hidden="false" customHeight="true" outlineLevel="0" collapsed="false">
      <c r="A1289" s="1" t="s">
        <v>1600</v>
      </c>
      <c r="B1289" s="1" t="str">
        <f aca="false">TRIM(A1289)</f>
        <v>+53, 53, DEWGONG</v>
      </c>
    </row>
    <row r="1290" customFormat="false" ht="12.75" hidden="false" customHeight="true" outlineLevel="0" collapsed="false">
      <c r="A1290" s="2"/>
      <c r="B1290" s="1" t="str">
        <f aca="false">TRIM(A1290)</f>
        <v/>
      </c>
    </row>
    <row r="1291" customFormat="false" ht="12.75" hidden="false" customHeight="true" outlineLevel="0" collapsed="false">
      <c r="A1291" s="1" t="s">
        <v>1212</v>
      </c>
      <c r="B1291" s="1" t="str">
        <f aca="false">TRIM(A1291)</f>
        <v># 1%</v>
      </c>
    </row>
    <row r="1292" customFormat="false" ht="12.75" hidden="false" customHeight="true" outlineLevel="0" collapsed="false">
      <c r="A1292" s="1" t="s">
        <v>1599</v>
      </c>
      <c r="B1292" s="1" t="str">
        <f aca="false">TRIM(A1292)</f>
        <v>+48, 48, GOLBAT</v>
      </c>
    </row>
    <row r="1293" customFormat="false" ht="12.75" hidden="false" customHeight="true" outlineLevel="0" collapsed="false">
      <c r="A1293" s="1" t="s">
        <v>2644</v>
      </c>
      <c r="B1293" s="1" t="str">
        <f aca="false">TRIM(A1293)</f>
        <v>+53, 53, DEWGONG</v>
      </c>
    </row>
    <row r="1294" customFormat="false" ht="12.75" hidden="false" customHeight="true" outlineLevel="0" collapsed="false">
      <c r="A1294" s="1" t="s">
        <v>2645</v>
      </c>
      <c r="B1294" s="1" t="str">
        <f aca="false">TRIM(A1294)</f>
        <v>2, 5, 35, SEEL</v>
      </c>
    </row>
    <row r="1295" customFormat="false" ht="12.75" hidden="false" customHeight="true" outlineLevel="0" collapsed="false">
      <c r="A1295" s="1" t="s">
        <v>1602</v>
      </c>
      <c r="B1295" s="1" t="str">
        <f aca="false">TRIM(A1295)</f>
        <v>+5, 35, SLOWPOKE</v>
      </c>
    </row>
    <row r="1296" customFormat="false" ht="12.75" hidden="false" customHeight="true" outlineLevel="0" collapsed="false">
      <c r="A1296" s="1" t="s">
        <v>1603</v>
      </c>
      <c r="B1296" s="1" t="str">
        <f aca="false">TRIM(A1296)</f>
        <v>+35, 40, DEWGONG</v>
      </c>
    </row>
    <row r="1297" customFormat="false" ht="12.75" hidden="false" customHeight="true" outlineLevel="0" collapsed="false">
      <c r="A1297" s="1" t="s">
        <v>1604</v>
      </c>
      <c r="B1297" s="1" t="str">
        <f aca="false">TRIM(A1297)</f>
        <v>+5, 15, MARILL</v>
      </c>
    </row>
    <row r="1298" customFormat="false" ht="12.75" hidden="false" customHeight="true" outlineLevel="0" collapsed="false">
      <c r="A1298" s="1" t="s">
        <v>2646</v>
      </c>
      <c r="B1298" s="1" t="str">
        <f aca="false">TRIM(A1298)</f>
        <v>+5, 15, MARILL</v>
      </c>
    </row>
    <row r="1299" customFormat="false" ht="12.75" hidden="false" customHeight="true" outlineLevel="0" collapsed="false">
      <c r="A1299" s="1" t="s">
        <v>2572</v>
      </c>
      <c r="B1299" s="1" t="str">
        <f aca="false">TRIM(A1299)</f>
        <v>20, # old rod:</v>
      </c>
    </row>
    <row r="1300" customFormat="false" ht="12.75" hidden="false" customHeight="true" outlineLevel="0" collapsed="false">
      <c r="A1300" s="1" t="s">
        <v>1266</v>
      </c>
      <c r="B1300" s="1" t="str">
        <f aca="false">TRIM(A1300)</f>
        <v>5, 5, MAGIKARP</v>
      </c>
    </row>
    <row r="1301" customFormat="false" ht="12.75" hidden="false" customHeight="true" outlineLevel="0" collapsed="false">
      <c r="A1301" s="1" t="s">
        <v>1267</v>
      </c>
      <c r="B1301" s="1" t="str">
        <f aca="false">TRIM(A1301)</f>
        <v>+5, 5, MAGIKARP</v>
      </c>
    </row>
    <row r="1302" customFormat="false" ht="12.75" hidden="false" customHeight="true" outlineLevel="0" collapsed="false">
      <c r="A1302" s="2"/>
      <c r="B1302" s="1" t="str">
        <f aca="false">TRIM(A1302)</f>
        <v/>
      </c>
    </row>
    <row r="1303" customFormat="false" ht="12.75" hidden="false" customHeight="true" outlineLevel="0" collapsed="false">
      <c r="A1303" s="1" t="s">
        <v>1268</v>
      </c>
      <c r="B1303" s="1" t="str">
        <f aca="false">TRIM(A1303)</f>
        <v># good rod:</v>
      </c>
    </row>
    <row r="1304" customFormat="false" ht="12.75" hidden="false" customHeight="true" outlineLevel="0" collapsed="false">
      <c r="A1304" s="1" t="s">
        <v>1586</v>
      </c>
      <c r="B1304" s="1" t="str">
        <f aca="false">TRIM(A1304)</f>
        <v>+5, 15, POLIWAG</v>
      </c>
    </row>
    <row r="1305" customFormat="false" ht="12.75" hidden="false" customHeight="true" outlineLevel="0" collapsed="false">
      <c r="A1305" s="1" t="s">
        <v>1270</v>
      </c>
      <c r="B1305" s="1" t="str">
        <f aca="false">TRIM(A1305)</f>
        <v>+5, 15, MAGIKARP</v>
      </c>
    </row>
    <row r="1306" customFormat="false" ht="12.75" hidden="false" customHeight="true" outlineLevel="0" collapsed="false">
      <c r="A1306" s="1" t="s">
        <v>1585</v>
      </c>
      <c r="B1306" s="1" t="str">
        <f aca="false">TRIM(A1306)</f>
        <v>+5, 15, GOLDEEN</v>
      </c>
    </row>
    <row r="1307" customFormat="false" ht="12.75" hidden="false" customHeight="true" outlineLevel="0" collapsed="false">
      <c r="A1307" s="2"/>
      <c r="B1307" s="1" t="str">
        <f aca="false">TRIM(A1307)</f>
        <v/>
      </c>
    </row>
    <row r="1308" customFormat="false" ht="12.75" hidden="false" customHeight="true" outlineLevel="0" collapsed="false">
      <c r="A1308" s="1" t="s">
        <v>1272</v>
      </c>
      <c r="B1308" s="1" t="str">
        <f aca="false">TRIM(A1308)</f>
        <v># super rod:</v>
      </c>
    </row>
    <row r="1309" customFormat="false" ht="12.75" hidden="false" customHeight="true" outlineLevel="0" collapsed="false">
      <c r="A1309" s="1" t="s">
        <v>1606</v>
      </c>
      <c r="B1309" s="1" t="str">
        <f aca="false">TRIM(A1309)</f>
        <v>+15, 25, POLIWAG</v>
      </c>
    </row>
    <row r="1310" customFormat="false" ht="12.75" hidden="false" customHeight="true" outlineLevel="0" collapsed="false">
      <c r="A1310" s="1" t="s">
        <v>1607</v>
      </c>
      <c r="B1310" s="1" t="str">
        <f aca="false">TRIM(A1310)</f>
        <v>+20, 30, POLIWHIRL</v>
      </c>
    </row>
    <row r="1311" customFormat="false" ht="12.75" hidden="false" customHeight="true" outlineLevel="0" collapsed="false">
      <c r="A1311" s="1" t="s">
        <v>1275</v>
      </c>
      <c r="B1311" s="1" t="str">
        <f aca="false">TRIM(A1311)</f>
        <v>+15, 25, GYARADOS</v>
      </c>
    </row>
    <row r="1312" customFormat="false" ht="12.75" hidden="false" customHeight="true" outlineLevel="0" collapsed="false">
      <c r="A1312" s="1" t="s">
        <v>1589</v>
      </c>
      <c r="B1312" s="1" t="str">
        <f aca="false">TRIM(A1312)</f>
        <v>+15, 25, SLOWPOKE</v>
      </c>
    </row>
    <row r="1313" customFormat="false" ht="12.75" hidden="false" customHeight="true" outlineLevel="0" collapsed="false">
      <c r="A1313" s="1" t="s">
        <v>2552</v>
      </c>
      <c r="B1313" s="1" t="str">
        <f aca="false">TRIM(A1313)</f>
        <v>+25, 35, SLOWPOKE</v>
      </c>
    </row>
    <row r="1314" customFormat="false" ht="12.75" hidden="false" customHeight="true" outlineLevel="0" collapsed="false">
      <c r="A1314" s="1" t="s">
        <v>2536</v>
      </c>
      <c r="B1314" s="1" t="str">
        <f aca="false">TRIM(A1314)</f>
        <v>NEW ROUTE</v>
      </c>
    </row>
    <row r="1315" customFormat="false" ht="12.75" hidden="false" customHeight="true" outlineLevel="0" collapsed="false">
      <c r="A1315" s="1" t="s">
        <v>2647</v>
      </c>
      <c r="B1315" s="1" t="str">
        <f aca="false">TRIM(A1315)</f>
        <v>+1, 111, 0,</v>
      </c>
    </row>
    <row r="1316" customFormat="false" ht="12.75" hidden="false" customHeight="true" outlineLevel="0" collapsed="false">
      <c r="A1316" s="1" t="s">
        <v>2541</v>
      </c>
      <c r="B1316" s="1" t="str">
        <f aca="false">TRIM(A1316)</f>
        <v>7, # 20%</v>
      </c>
    </row>
    <row r="1317" customFormat="false" ht="12.75" hidden="false" customHeight="true" outlineLevel="0" collapsed="false">
      <c r="A1317" s="1" t="s">
        <v>1609</v>
      </c>
      <c r="B1317" s="1" t="str">
        <f aca="false">TRIM(A1317)</f>
        <v>25, 25, SWINUB</v>
      </c>
    </row>
    <row r="1318" customFormat="false" ht="12.75" hidden="false" customHeight="true" outlineLevel="0" collapsed="false">
      <c r="A1318" s="1" t="s">
        <v>1592</v>
      </c>
      <c r="B1318" s="1" t="str">
        <f aca="false">TRIM(A1318)</f>
        <v>+45, 45, GOLBAT</v>
      </c>
    </row>
    <row r="1319" customFormat="false" ht="12.75" hidden="false" customHeight="true" outlineLevel="0" collapsed="false">
      <c r="A1319" s="2"/>
      <c r="B1319" s="1" t="str">
        <f aca="false">TRIM(A1319)</f>
        <v/>
      </c>
    </row>
    <row r="1320" customFormat="false" ht="12.75" hidden="false" customHeight="true" outlineLevel="0" collapsed="false">
      <c r="A1320" s="1" t="s">
        <v>1209</v>
      </c>
      <c r="B1320" s="1" t="str">
        <f aca="false">TRIM(A1320)</f>
        <v># 10%</v>
      </c>
    </row>
    <row r="1321" customFormat="false" ht="12.75" hidden="false" customHeight="true" outlineLevel="0" collapsed="false">
      <c r="A1321" s="1" t="s">
        <v>1593</v>
      </c>
      <c r="B1321" s="1" t="str">
        <f aca="false">TRIM(A1321)</f>
        <v>+45, 45, SEEL</v>
      </c>
    </row>
    <row r="1322" customFormat="false" ht="12.75" hidden="false" customHeight="true" outlineLevel="0" collapsed="false">
      <c r="A1322" s="1" t="s">
        <v>1610</v>
      </c>
      <c r="B1322" s="1" t="str">
        <f aca="false">TRIM(A1322)</f>
        <v>+27, 27, SWINUB</v>
      </c>
    </row>
    <row r="1323" customFormat="false" ht="12.75" hidden="false" customHeight="true" outlineLevel="0" collapsed="false">
      <c r="A1323" s="1" t="s">
        <v>1595</v>
      </c>
      <c r="B1323" s="1" t="str">
        <f aca="false">TRIM(A1323)</f>
        <v>+40, 40, ZUBAT</v>
      </c>
    </row>
    <row r="1324" customFormat="false" ht="12.75" hidden="false" customHeight="true" outlineLevel="0" collapsed="false">
      <c r="A1324" s="1" t="s">
        <v>1611</v>
      </c>
      <c r="B1324" s="1" t="str">
        <f aca="false">TRIM(A1324)</f>
        <v>+29, 29, SWINUB</v>
      </c>
    </row>
    <row r="1325" customFormat="false" ht="12.75" hidden="false" customHeight="true" outlineLevel="0" collapsed="false">
      <c r="A1325" s="2"/>
      <c r="B1325" s="1" t="str">
        <f aca="false">TRIM(A1325)</f>
        <v/>
      </c>
    </row>
    <row r="1326" customFormat="false" ht="12.75" hidden="false" customHeight="true" outlineLevel="0" collapsed="false">
      <c r="A1326" s="1" t="s">
        <v>1210</v>
      </c>
      <c r="B1326" s="1" t="str">
        <f aca="false">TRIM(A1326)</f>
        <v># 5%</v>
      </c>
    </row>
    <row r="1327" customFormat="false" ht="12.75" hidden="false" customHeight="true" outlineLevel="0" collapsed="false">
      <c r="A1327" s="1" t="s">
        <v>1612</v>
      </c>
      <c r="B1327" s="1" t="str">
        <f aca="false">TRIM(A1327)</f>
        <v>+30, 30, SNEASEL</v>
      </c>
    </row>
    <row r="1328" customFormat="false" ht="12.75" hidden="false" customHeight="true" outlineLevel="0" collapsed="false">
      <c r="A1328" s="1" t="s">
        <v>1613</v>
      </c>
      <c r="B1328" s="1" t="str">
        <f aca="false">TRIM(A1328)</f>
        <v>+31, 31, SWINUB</v>
      </c>
    </row>
    <row r="1329" customFormat="false" ht="12.75" hidden="false" customHeight="true" outlineLevel="0" collapsed="false">
      <c r="A1329" s="2"/>
      <c r="B1329" s="1" t="str">
        <f aca="false">TRIM(A1329)</f>
        <v/>
      </c>
    </row>
    <row r="1330" customFormat="false" ht="12.75" hidden="false" customHeight="true" outlineLevel="0" collapsed="false">
      <c r="A1330" s="1" t="s">
        <v>1211</v>
      </c>
      <c r="B1330" s="1" t="str">
        <f aca="false">TRIM(A1330)</f>
        <v># 4%</v>
      </c>
    </row>
    <row r="1331" customFormat="false" ht="12.75" hidden="false" customHeight="true" outlineLevel="0" collapsed="false">
      <c r="A1331" s="1" t="s">
        <v>1599</v>
      </c>
      <c r="B1331" s="1" t="str">
        <f aca="false">TRIM(A1331)</f>
        <v>+48, 48, GOLBAT</v>
      </c>
    </row>
    <row r="1332" customFormat="false" ht="12.75" hidden="false" customHeight="true" outlineLevel="0" collapsed="false">
      <c r="A1332" s="1" t="s">
        <v>1614</v>
      </c>
      <c r="B1332" s="1" t="str">
        <f aca="false">TRIM(A1332)</f>
        <v>+23, 23, SWINUB</v>
      </c>
    </row>
    <row r="1333" customFormat="false" ht="12.75" hidden="false" customHeight="true" outlineLevel="0" collapsed="false">
      <c r="A1333" s="2"/>
      <c r="B1333" s="1" t="str">
        <f aca="false">TRIM(A1333)</f>
        <v/>
      </c>
    </row>
    <row r="1334" customFormat="false" ht="12.75" hidden="false" customHeight="true" outlineLevel="0" collapsed="false">
      <c r="A1334" s="1" t="s">
        <v>1212</v>
      </c>
      <c r="B1334" s="1" t="str">
        <f aca="false">TRIM(A1334)</f>
        <v># 1%</v>
      </c>
    </row>
    <row r="1335" customFormat="false" ht="12.75" hidden="false" customHeight="true" outlineLevel="0" collapsed="false">
      <c r="A1335" s="1" t="s">
        <v>1599</v>
      </c>
      <c r="B1335" s="1" t="str">
        <f aca="false">TRIM(A1335)</f>
        <v>+48, 48, GOLBAT</v>
      </c>
    </row>
    <row r="1336" customFormat="false" ht="12.75" hidden="false" customHeight="true" outlineLevel="0" collapsed="false">
      <c r="A1336" s="1" t="s">
        <v>2648</v>
      </c>
      <c r="B1336" s="1" t="str">
        <f aca="false">TRIM(A1336)</f>
        <v>+23, 23, SWINUB , &lt;null&gt;, &lt;null&gt;, &lt;null&gt;</v>
      </c>
    </row>
    <row r="1337" customFormat="false" ht="12.75" hidden="false" customHeight="true" outlineLevel="0" collapsed="false">
      <c r="A1337" s="2"/>
      <c r="B1337" s="1" t="str">
        <f aca="false">TRIM(A1337)</f>
        <v/>
      </c>
    </row>
    <row r="1338" customFormat="false" ht="12.75" hidden="false" customHeight="true" outlineLevel="0" collapsed="false">
      <c r="A1338" s="1" t="s">
        <v>2536</v>
      </c>
      <c r="B1338" s="1" t="str">
        <f aca="false">TRIM(A1338)</f>
        <v>NEW ROUTE</v>
      </c>
    </row>
    <row r="1339" customFormat="false" ht="12.75" hidden="false" customHeight="true" outlineLevel="0" collapsed="false">
      <c r="A1339" s="1" t="s">
        <v>2649</v>
      </c>
      <c r="B1339" s="1" t="str">
        <f aca="false">TRIM(A1339)</f>
        <v>+1, 112, 0,</v>
      </c>
    </row>
    <row r="1340" customFormat="false" ht="12.75" hidden="false" customHeight="true" outlineLevel="0" collapsed="false">
      <c r="A1340" s="1" t="s">
        <v>2541</v>
      </c>
      <c r="B1340" s="1" t="str">
        <f aca="false">TRIM(A1340)</f>
        <v>7, # 20%</v>
      </c>
    </row>
    <row r="1341" customFormat="false" ht="12.75" hidden="false" customHeight="true" outlineLevel="0" collapsed="false">
      <c r="A1341" s="1" t="s">
        <v>1609</v>
      </c>
      <c r="B1341" s="1" t="str">
        <f aca="false">TRIM(A1341)</f>
        <v>25, 25, SWINUB</v>
      </c>
    </row>
    <row r="1342" customFormat="false" ht="12.75" hidden="false" customHeight="true" outlineLevel="0" collapsed="false">
      <c r="A1342" s="1" t="s">
        <v>1592</v>
      </c>
      <c r="B1342" s="1" t="str">
        <f aca="false">TRIM(A1342)</f>
        <v>+45, 45, GOLBAT</v>
      </c>
    </row>
    <row r="1343" customFormat="false" ht="12.75" hidden="false" customHeight="true" outlineLevel="0" collapsed="false">
      <c r="A1343" s="2"/>
      <c r="B1343" s="1" t="str">
        <f aca="false">TRIM(A1343)</f>
        <v/>
      </c>
    </row>
    <row r="1344" customFormat="false" ht="12.75" hidden="false" customHeight="true" outlineLevel="0" collapsed="false">
      <c r="A1344" s="1" t="s">
        <v>1209</v>
      </c>
      <c r="B1344" s="1" t="str">
        <f aca="false">TRIM(A1344)</f>
        <v># 10%</v>
      </c>
    </row>
    <row r="1345" customFormat="false" ht="12.75" hidden="false" customHeight="true" outlineLevel="0" collapsed="false">
      <c r="A1345" s="1" t="s">
        <v>1593</v>
      </c>
      <c r="B1345" s="1" t="str">
        <f aca="false">TRIM(A1345)</f>
        <v>+45, 45, SEEL</v>
      </c>
    </row>
    <row r="1346" customFormat="false" ht="12.75" hidden="false" customHeight="true" outlineLevel="0" collapsed="false">
      <c r="A1346" s="1" t="s">
        <v>1610</v>
      </c>
      <c r="B1346" s="1" t="str">
        <f aca="false">TRIM(A1346)</f>
        <v>+27, 27, SWINUB</v>
      </c>
    </row>
    <row r="1347" customFormat="false" ht="12.75" hidden="false" customHeight="true" outlineLevel="0" collapsed="false">
      <c r="A1347" s="1" t="s">
        <v>1595</v>
      </c>
      <c r="B1347" s="1" t="str">
        <f aca="false">TRIM(A1347)</f>
        <v>+40, 40, ZUBAT</v>
      </c>
    </row>
    <row r="1348" customFormat="false" ht="12.75" hidden="false" customHeight="true" outlineLevel="0" collapsed="false">
      <c r="A1348" s="1" t="s">
        <v>1611</v>
      </c>
      <c r="B1348" s="1" t="str">
        <f aca="false">TRIM(A1348)</f>
        <v>+29, 29, SWINUB</v>
      </c>
    </row>
    <row r="1349" customFormat="false" ht="12.75" hidden="false" customHeight="true" outlineLevel="0" collapsed="false">
      <c r="A1349" s="2"/>
      <c r="B1349" s="1" t="str">
        <f aca="false">TRIM(A1349)</f>
        <v/>
      </c>
    </row>
    <row r="1350" customFormat="false" ht="12.75" hidden="false" customHeight="true" outlineLevel="0" collapsed="false">
      <c r="A1350" s="1" t="s">
        <v>1210</v>
      </c>
      <c r="B1350" s="1" t="str">
        <f aca="false">TRIM(A1350)</f>
        <v># 5%</v>
      </c>
    </row>
    <row r="1351" customFormat="false" ht="12.75" hidden="false" customHeight="true" outlineLevel="0" collapsed="false">
      <c r="A1351" s="1" t="s">
        <v>1612</v>
      </c>
      <c r="B1351" s="1" t="str">
        <f aca="false">TRIM(A1351)</f>
        <v>+30, 30, SNEASEL</v>
      </c>
    </row>
    <row r="1352" customFormat="false" ht="12.75" hidden="false" customHeight="true" outlineLevel="0" collapsed="false">
      <c r="A1352" s="1" t="s">
        <v>1613</v>
      </c>
      <c r="B1352" s="1" t="str">
        <f aca="false">TRIM(A1352)</f>
        <v>+31, 31, SWINUB</v>
      </c>
    </row>
    <row r="1353" customFormat="false" ht="12.75" hidden="false" customHeight="true" outlineLevel="0" collapsed="false">
      <c r="A1353" s="2"/>
      <c r="B1353" s="1" t="str">
        <f aca="false">TRIM(A1353)</f>
        <v/>
      </c>
    </row>
    <row r="1354" customFormat="false" ht="12.75" hidden="false" customHeight="true" outlineLevel="0" collapsed="false">
      <c r="A1354" s="1" t="s">
        <v>1211</v>
      </c>
      <c r="B1354" s="1" t="str">
        <f aca="false">TRIM(A1354)</f>
        <v># 4%</v>
      </c>
    </row>
    <row r="1355" customFormat="false" ht="12.75" hidden="false" customHeight="true" outlineLevel="0" collapsed="false">
      <c r="A1355" s="1" t="s">
        <v>1599</v>
      </c>
      <c r="B1355" s="1" t="str">
        <f aca="false">TRIM(A1355)</f>
        <v>+48, 48, GOLBAT</v>
      </c>
    </row>
    <row r="1356" customFormat="false" ht="12.75" hidden="false" customHeight="true" outlineLevel="0" collapsed="false">
      <c r="A1356" s="1" t="s">
        <v>1614</v>
      </c>
      <c r="B1356" s="1" t="str">
        <f aca="false">TRIM(A1356)</f>
        <v>+23, 23, SWINUB</v>
      </c>
    </row>
    <row r="1357" customFormat="false" ht="12.75" hidden="false" customHeight="true" outlineLevel="0" collapsed="false">
      <c r="A1357" s="2"/>
      <c r="B1357" s="1" t="str">
        <f aca="false">TRIM(A1357)</f>
        <v/>
      </c>
    </row>
    <row r="1358" customFormat="false" ht="12.75" hidden="false" customHeight="true" outlineLevel="0" collapsed="false">
      <c r="A1358" s="1" t="s">
        <v>1212</v>
      </c>
      <c r="B1358" s="1" t="str">
        <f aca="false">TRIM(A1358)</f>
        <v># 1%</v>
      </c>
    </row>
    <row r="1359" customFormat="false" ht="12.75" hidden="false" customHeight="true" outlineLevel="0" collapsed="false">
      <c r="A1359" s="1" t="s">
        <v>1599</v>
      </c>
      <c r="B1359" s="1" t="str">
        <f aca="false">TRIM(A1359)</f>
        <v>+48, 48, GOLBAT</v>
      </c>
    </row>
    <row r="1360" customFormat="false" ht="12.75" hidden="false" customHeight="true" outlineLevel="0" collapsed="false">
      <c r="A1360" s="1" t="s">
        <v>2648</v>
      </c>
      <c r="B1360" s="1" t="str">
        <f aca="false">TRIM(A1360)</f>
        <v>+23, 23, SWINUB , &lt;null&gt;, &lt;null&gt;, &lt;null&gt;</v>
      </c>
    </row>
    <row r="1361" customFormat="false" ht="12.75" hidden="false" customHeight="true" outlineLevel="0" collapsed="false">
      <c r="A1361" s="2"/>
      <c r="B1361" s="1" t="str">
        <f aca="false">TRIM(A1361)</f>
        <v/>
      </c>
    </row>
    <row r="1362" customFormat="false" ht="12.75" hidden="false" customHeight="true" outlineLevel="0" collapsed="false">
      <c r="A1362" s="1" t="s">
        <v>2536</v>
      </c>
      <c r="B1362" s="1" t="str">
        <f aca="false">TRIM(A1362)</f>
        <v>NEW ROUTE</v>
      </c>
    </row>
    <row r="1363" customFormat="false" ht="12.75" hidden="false" customHeight="true" outlineLevel="0" collapsed="false">
      <c r="A1363" s="1" t="s">
        <v>2650</v>
      </c>
      <c r="B1363" s="1" t="str">
        <f aca="false">TRIM(A1363)</f>
        <v>+1, 113, 0,</v>
      </c>
    </row>
    <row r="1364" customFormat="false" ht="12.75" hidden="false" customHeight="true" outlineLevel="0" collapsed="false">
      <c r="A1364" s="1" t="s">
        <v>2541</v>
      </c>
      <c r="B1364" s="1" t="str">
        <f aca="false">TRIM(A1364)</f>
        <v>7, # 20%</v>
      </c>
    </row>
    <row r="1365" customFormat="false" ht="12.75" hidden="false" customHeight="true" outlineLevel="0" collapsed="false">
      <c r="A1365" s="1" t="s">
        <v>1591</v>
      </c>
      <c r="B1365" s="1" t="str">
        <f aca="false">TRIM(A1365)</f>
        <v>43, 43, SEEL</v>
      </c>
    </row>
    <row r="1366" customFormat="false" ht="12.75" hidden="false" customHeight="true" outlineLevel="0" collapsed="false">
      <c r="A1366" s="1" t="s">
        <v>1592</v>
      </c>
      <c r="B1366" s="1" t="str">
        <f aca="false">TRIM(A1366)</f>
        <v>+45, 45, GOLBAT</v>
      </c>
    </row>
    <row r="1367" customFormat="false" ht="12.75" hidden="false" customHeight="true" outlineLevel="0" collapsed="false">
      <c r="A1367" s="2"/>
      <c r="B1367" s="1" t="str">
        <f aca="false">TRIM(A1367)</f>
        <v/>
      </c>
    </row>
    <row r="1368" customFormat="false" ht="12.75" hidden="false" customHeight="true" outlineLevel="0" collapsed="false">
      <c r="A1368" s="1" t="s">
        <v>1209</v>
      </c>
      <c r="B1368" s="1" t="str">
        <f aca="false">TRIM(A1368)</f>
        <v># 10%</v>
      </c>
    </row>
    <row r="1369" customFormat="false" ht="12.75" hidden="false" customHeight="true" outlineLevel="0" collapsed="false">
      <c r="A1369" s="1" t="s">
        <v>1593</v>
      </c>
      <c r="B1369" s="1" t="str">
        <f aca="false">TRIM(A1369)</f>
        <v>+45, 45, SEEL</v>
      </c>
    </row>
    <row r="1370" customFormat="false" ht="12.75" hidden="false" customHeight="true" outlineLevel="0" collapsed="false">
      <c r="A1370" s="1" t="s">
        <v>1594</v>
      </c>
      <c r="B1370" s="1" t="str">
        <f aca="false">TRIM(A1370)</f>
        <v>+47, 47, SEEL</v>
      </c>
    </row>
    <row r="1371" customFormat="false" ht="12.75" hidden="false" customHeight="true" outlineLevel="0" collapsed="false">
      <c r="A1371" s="1" t="s">
        <v>1595</v>
      </c>
      <c r="B1371" s="1" t="str">
        <f aca="false">TRIM(A1371)</f>
        <v>+40, 40, ZUBAT</v>
      </c>
    </row>
    <row r="1372" customFormat="false" ht="12.75" hidden="false" customHeight="true" outlineLevel="0" collapsed="false">
      <c r="A1372" s="1" t="s">
        <v>1596</v>
      </c>
      <c r="B1372" s="1" t="str">
        <f aca="false">TRIM(A1372)</f>
        <v>+49, 49, DEWGONG</v>
      </c>
    </row>
    <row r="1373" customFormat="false" ht="12.75" hidden="false" customHeight="true" outlineLevel="0" collapsed="false">
      <c r="A1373" s="2"/>
      <c r="B1373" s="1" t="str">
        <f aca="false">TRIM(A1373)</f>
        <v/>
      </c>
    </row>
    <row r="1374" customFormat="false" ht="12.75" hidden="false" customHeight="true" outlineLevel="0" collapsed="false">
      <c r="A1374" s="1" t="s">
        <v>1210</v>
      </c>
      <c r="B1374" s="1" t="str">
        <f aca="false">TRIM(A1374)</f>
        <v># 5%</v>
      </c>
    </row>
    <row r="1375" customFormat="false" ht="12.75" hidden="false" customHeight="true" outlineLevel="0" collapsed="false">
      <c r="A1375" s="1" t="s">
        <v>1597</v>
      </c>
      <c r="B1375" s="1" t="str">
        <f aca="false">TRIM(A1375)</f>
        <v>+51, 51, DEWGONG</v>
      </c>
    </row>
    <row r="1376" customFormat="false" ht="12.75" hidden="false" customHeight="true" outlineLevel="0" collapsed="false">
      <c r="A1376" s="1" t="s">
        <v>1598</v>
      </c>
      <c r="B1376" s="1" t="str">
        <f aca="false">TRIM(A1376)</f>
        <v>+41, 41, SLOWPOKE</v>
      </c>
    </row>
    <row r="1377" customFormat="false" ht="12.75" hidden="false" customHeight="true" outlineLevel="0" collapsed="false">
      <c r="A1377" s="2"/>
      <c r="B1377" s="1" t="str">
        <f aca="false">TRIM(A1377)</f>
        <v/>
      </c>
    </row>
    <row r="1378" customFormat="false" ht="12.75" hidden="false" customHeight="true" outlineLevel="0" collapsed="false">
      <c r="A1378" s="1" t="s">
        <v>1211</v>
      </c>
      <c r="B1378" s="1" t="str">
        <f aca="false">TRIM(A1378)</f>
        <v># 4%</v>
      </c>
    </row>
    <row r="1379" customFormat="false" ht="12.75" hidden="false" customHeight="true" outlineLevel="0" collapsed="false">
      <c r="A1379" s="1" t="s">
        <v>1599</v>
      </c>
      <c r="B1379" s="1" t="str">
        <f aca="false">TRIM(A1379)</f>
        <v>+48, 48, GOLBAT</v>
      </c>
    </row>
    <row r="1380" customFormat="false" ht="12.75" hidden="false" customHeight="true" outlineLevel="0" collapsed="false">
      <c r="A1380" s="1" t="s">
        <v>1600</v>
      </c>
      <c r="B1380" s="1" t="str">
        <f aca="false">TRIM(A1380)</f>
        <v>+53, 53, DEWGONG</v>
      </c>
    </row>
    <row r="1381" customFormat="false" ht="12.75" hidden="false" customHeight="true" outlineLevel="0" collapsed="false">
      <c r="A1381" s="2"/>
      <c r="B1381" s="1" t="str">
        <f aca="false">TRIM(A1381)</f>
        <v/>
      </c>
    </row>
    <row r="1382" customFormat="false" ht="12.75" hidden="false" customHeight="true" outlineLevel="0" collapsed="false">
      <c r="A1382" s="1" t="s">
        <v>1212</v>
      </c>
      <c r="B1382" s="1" t="str">
        <f aca="false">TRIM(A1382)</f>
        <v># 1%</v>
      </c>
    </row>
    <row r="1383" customFormat="false" ht="12.75" hidden="false" customHeight="true" outlineLevel="0" collapsed="false">
      <c r="A1383" s="1" t="s">
        <v>1599</v>
      </c>
      <c r="B1383" s="1" t="str">
        <f aca="false">TRIM(A1383)</f>
        <v>+48, 48, GOLBAT</v>
      </c>
    </row>
    <row r="1384" customFormat="false" ht="12.75" hidden="false" customHeight="true" outlineLevel="0" collapsed="false">
      <c r="A1384" s="1" t="s">
        <v>2644</v>
      </c>
      <c r="B1384" s="1" t="str">
        <f aca="false">TRIM(A1384)</f>
        <v>+53, 53, DEWGONG</v>
      </c>
    </row>
    <row r="1385" customFormat="false" ht="12.75" hidden="false" customHeight="true" outlineLevel="0" collapsed="false">
      <c r="A1385" s="1" t="s">
        <v>2651</v>
      </c>
      <c r="B1385" s="1" t="str">
        <f aca="false">TRIM(A1385)</f>
        <v>2, 5, 20, TENTACOOL</v>
      </c>
    </row>
    <row r="1386" customFormat="false" ht="12.75" hidden="false" customHeight="true" outlineLevel="0" collapsed="false">
      <c r="A1386" s="1" t="s">
        <v>1619</v>
      </c>
      <c r="B1386" s="1" t="str">
        <f aca="false">TRIM(A1386)</f>
        <v>+20, 35, TENTACOOL</v>
      </c>
    </row>
    <row r="1387" customFormat="false" ht="12.75" hidden="false" customHeight="true" outlineLevel="0" collapsed="false">
      <c r="A1387" s="1" t="s">
        <v>1620</v>
      </c>
      <c r="B1387" s="1" t="str">
        <f aca="false">TRIM(A1387)</f>
        <v>+35, 45, TENTACOOL</v>
      </c>
    </row>
    <row r="1388" customFormat="false" ht="12.75" hidden="false" customHeight="true" outlineLevel="0" collapsed="false">
      <c r="A1388" s="1" t="s">
        <v>1621</v>
      </c>
      <c r="B1388" s="1" t="str">
        <f aca="false">TRIM(A1388)</f>
        <v>+35, 45, TENTACRUEL</v>
      </c>
    </row>
    <row r="1389" customFormat="false" ht="12.75" hidden="false" customHeight="true" outlineLevel="0" collapsed="false">
      <c r="A1389" s="1" t="s">
        <v>2652</v>
      </c>
      <c r="B1389" s="1" t="str">
        <f aca="false">TRIM(A1389)</f>
        <v>+30, 45, LAPRAS</v>
      </c>
    </row>
    <row r="1390" customFormat="false" ht="12.75" hidden="false" customHeight="true" outlineLevel="0" collapsed="false">
      <c r="A1390" s="1" t="s">
        <v>2572</v>
      </c>
      <c r="B1390" s="1" t="str">
        <f aca="false">TRIM(A1390)</f>
        <v>20, # old rod:</v>
      </c>
    </row>
    <row r="1391" customFormat="false" ht="12.75" hidden="false" customHeight="true" outlineLevel="0" collapsed="false">
      <c r="A1391" s="1" t="s">
        <v>1266</v>
      </c>
      <c r="B1391" s="1" t="str">
        <f aca="false">TRIM(A1391)</f>
        <v>5, 5, MAGIKARP</v>
      </c>
    </row>
    <row r="1392" customFormat="false" ht="12.75" hidden="false" customHeight="true" outlineLevel="0" collapsed="false">
      <c r="A1392" s="1" t="s">
        <v>1267</v>
      </c>
      <c r="B1392" s="1" t="str">
        <f aca="false">TRIM(A1392)</f>
        <v>+5, 5, MAGIKARP</v>
      </c>
    </row>
    <row r="1393" customFormat="false" ht="12.75" hidden="false" customHeight="true" outlineLevel="0" collapsed="false">
      <c r="A1393" s="2"/>
      <c r="B1393" s="1" t="str">
        <f aca="false">TRIM(A1393)</f>
        <v/>
      </c>
    </row>
    <row r="1394" customFormat="false" ht="12.75" hidden="false" customHeight="true" outlineLevel="0" collapsed="false">
      <c r="A1394" s="1" t="s">
        <v>1268</v>
      </c>
      <c r="B1394" s="1" t="str">
        <f aca="false">TRIM(A1394)</f>
        <v># good rod:</v>
      </c>
    </row>
    <row r="1395" customFormat="false" ht="12.75" hidden="false" customHeight="true" outlineLevel="0" collapsed="false">
      <c r="A1395" s="1" t="s">
        <v>1269</v>
      </c>
      <c r="B1395" s="1" t="str">
        <f aca="false">TRIM(A1395)</f>
        <v>+5, 15, KRABBY</v>
      </c>
    </row>
    <row r="1396" customFormat="false" ht="12.75" hidden="false" customHeight="true" outlineLevel="0" collapsed="false">
      <c r="A1396" s="1" t="s">
        <v>1270</v>
      </c>
      <c r="B1396" s="1" t="str">
        <f aca="false">TRIM(A1396)</f>
        <v>+5, 15, MAGIKARP</v>
      </c>
    </row>
    <row r="1397" customFormat="false" ht="12.75" hidden="false" customHeight="true" outlineLevel="0" collapsed="false">
      <c r="A1397" s="1" t="s">
        <v>1269</v>
      </c>
      <c r="B1397" s="1" t="str">
        <f aca="false">TRIM(A1397)</f>
        <v>+5, 15, KRABBY</v>
      </c>
    </row>
    <row r="1398" customFormat="false" ht="12.75" hidden="false" customHeight="true" outlineLevel="0" collapsed="false">
      <c r="A1398" s="2"/>
      <c r="B1398" s="1" t="str">
        <f aca="false">TRIM(A1398)</f>
        <v/>
      </c>
    </row>
    <row r="1399" customFormat="false" ht="12.75" hidden="false" customHeight="true" outlineLevel="0" collapsed="false">
      <c r="A1399" s="1" t="s">
        <v>1272</v>
      </c>
      <c r="B1399" s="1" t="str">
        <f aca="false">TRIM(A1399)</f>
        <v># super rod:</v>
      </c>
    </row>
    <row r="1400" customFormat="false" ht="12.75" hidden="false" customHeight="true" outlineLevel="0" collapsed="false">
      <c r="A1400" s="1" t="s">
        <v>1273</v>
      </c>
      <c r="B1400" s="1" t="str">
        <f aca="false">TRIM(A1400)</f>
        <v>+15, 25, KRABBY</v>
      </c>
    </row>
    <row r="1401" customFormat="false" ht="12.75" hidden="false" customHeight="true" outlineLevel="0" collapsed="false">
      <c r="A1401" s="1" t="s">
        <v>1274</v>
      </c>
      <c r="B1401" s="1" t="str">
        <f aca="false">TRIM(A1401)</f>
        <v>+15, 25, STARYU</v>
      </c>
    </row>
    <row r="1402" customFormat="false" ht="12.75" hidden="false" customHeight="true" outlineLevel="0" collapsed="false">
      <c r="A1402" s="1" t="s">
        <v>1275</v>
      </c>
      <c r="B1402" s="1" t="str">
        <f aca="false">TRIM(A1402)</f>
        <v>+15, 25, GYARADOS</v>
      </c>
    </row>
    <row r="1403" customFormat="false" ht="12.75" hidden="false" customHeight="true" outlineLevel="0" collapsed="false">
      <c r="A1403" s="1" t="s">
        <v>1623</v>
      </c>
      <c r="B1403" s="1" t="str">
        <f aca="false">TRIM(A1403)</f>
        <v>+25, 35, KINGLER</v>
      </c>
    </row>
    <row r="1404" customFormat="false" ht="12.75" hidden="false" customHeight="true" outlineLevel="0" collapsed="false">
      <c r="A1404" s="1" t="s">
        <v>2552</v>
      </c>
      <c r="B1404" s="1" t="str">
        <f aca="false">TRIM(A1404)</f>
        <v>+25, 35, SLOWPOKE</v>
      </c>
    </row>
    <row r="1405" customFormat="false" ht="12.75" hidden="false" customHeight="true" outlineLevel="0" collapsed="false">
      <c r="A1405" s="1" t="s">
        <v>2536</v>
      </c>
      <c r="B1405" s="1" t="str">
        <f aca="false">TRIM(A1405)</f>
        <v>NEW ROUTE</v>
      </c>
    </row>
    <row r="1406" customFormat="false" ht="12.75" hidden="false" customHeight="true" outlineLevel="0" collapsed="false">
      <c r="A1406" s="1" t="s">
        <v>2653</v>
      </c>
      <c r="B1406" s="1" t="str">
        <f aca="false">TRIM(A1406)</f>
        <v>+1, 121, 0,</v>
      </c>
    </row>
    <row r="1407" customFormat="false" ht="12.75" hidden="false" customHeight="true" outlineLevel="0" collapsed="false">
      <c r="A1407" s="1" t="s">
        <v>2568</v>
      </c>
      <c r="B1407" s="1" t="str">
        <f aca="false">TRIM(A1407)</f>
        <v>21, # 20%</v>
      </c>
    </row>
    <row r="1408" customFormat="false" ht="12.75" hidden="false" customHeight="true" outlineLevel="0" collapsed="false">
      <c r="A1408" s="1" t="s">
        <v>1625</v>
      </c>
      <c r="B1408" s="1" t="str">
        <f aca="false">TRIM(A1408)</f>
        <v>9, 9, LEDYBA</v>
      </c>
    </row>
    <row r="1409" customFormat="false" ht="12.75" hidden="false" customHeight="true" outlineLevel="0" collapsed="false">
      <c r="A1409" s="1" t="s">
        <v>1626</v>
      </c>
      <c r="B1409" s="1" t="str">
        <f aca="false">TRIM(A1409)</f>
        <v>+9, 9, KAKUNA</v>
      </c>
    </row>
    <row r="1410" customFormat="false" ht="12.75" hidden="false" customHeight="true" outlineLevel="0" collapsed="false">
      <c r="A1410" s="2"/>
      <c r="B1410" s="1" t="str">
        <f aca="false">TRIM(A1410)</f>
        <v/>
      </c>
    </row>
    <row r="1411" customFormat="false" ht="12.75" hidden="false" customHeight="true" outlineLevel="0" collapsed="false">
      <c r="A1411" s="1" t="s">
        <v>1209</v>
      </c>
      <c r="B1411" s="1" t="str">
        <f aca="false">TRIM(A1411)</f>
        <v># 10%</v>
      </c>
    </row>
    <row r="1412" customFormat="false" ht="12.75" hidden="false" customHeight="true" outlineLevel="0" collapsed="false">
      <c r="A1412" s="1" t="s">
        <v>1627</v>
      </c>
      <c r="B1412" s="1" t="str">
        <f aca="false">TRIM(A1412)</f>
        <v>+14, 14, LEDYBA</v>
      </c>
    </row>
    <row r="1413" customFormat="false" ht="12.75" hidden="false" customHeight="true" outlineLevel="0" collapsed="false">
      <c r="A1413" s="1" t="s">
        <v>1628</v>
      </c>
      <c r="B1413" s="1" t="str">
        <f aca="false">TRIM(A1413)</f>
        <v>+6, 6, CATERPIE</v>
      </c>
    </row>
    <row r="1414" customFormat="false" ht="12.75" hidden="false" customHeight="true" outlineLevel="0" collapsed="false">
      <c r="A1414" s="1" t="s">
        <v>1629</v>
      </c>
      <c r="B1414" s="1" t="str">
        <f aca="false">TRIM(A1414)</f>
        <v>+6, 6, WEEDLE</v>
      </c>
    </row>
    <row r="1415" customFormat="false" ht="12.75" hidden="false" customHeight="true" outlineLevel="0" collapsed="false">
      <c r="A1415" s="1" t="s">
        <v>1630</v>
      </c>
      <c r="B1415" s="1" t="str">
        <f aca="false">TRIM(A1415)</f>
        <v>+15, 15, HERACROSS</v>
      </c>
    </row>
    <row r="1416" customFormat="false" ht="12.75" hidden="false" customHeight="true" outlineLevel="0" collapsed="false">
      <c r="A1416" s="2"/>
      <c r="B1416" s="1" t="str">
        <f aca="false">TRIM(A1416)</f>
        <v/>
      </c>
    </row>
    <row r="1417" customFormat="false" ht="12.75" hidden="false" customHeight="true" outlineLevel="0" collapsed="false">
      <c r="A1417" s="1" t="s">
        <v>1210</v>
      </c>
      <c r="B1417" s="1" t="str">
        <f aca="false">TRIM(A1417)</f>
        <v># 5%</v>
      </c>
    </row>
    <row r="1418" customFormat="false" ht="12.75" hidden="false" customHeight="true" outlineLevel="0" collapsed="false">
      <c r="A1418" s="1" t="s">
        <v>1631</v>
      </c>
      <c r="B1418" s="1" t="str">
        <f aca="false">TRIM(A1418)</f>
        <v>+9, 9, METAPOD</v>
      </c>
    </row>
    <row r="1419" customFormat="false" ht="12.75" hidden="false" customHeight="true" outlineLevel="0" collapsed="false">
      <c r="A1419" s="1" t="s">
        <v>1632</v>
      </c>
      <c r="B1419" s="1" t="str">
        <f aca="false">TRIM(A1419)</f>
        <v>+20, 20, HERACROSS</v>
      </c>
    </row>
    <row r="1420" customFormat="false" ht="12.75" hidden="false" customHeight="true" outlineLevel="0" collapsed="false">
      <c r="A1420" s="2"/>
      <c r="B1420" s="1" t="str">
        <f aca="false">TRIM(A1420)</f>
        <v/>
      </c>
    </row>
    <row r="1421" customFormat="false" ht="12.75" hidden="false" customHeight="true" outlineLevel="0" collapsed="false">
      <c r="A1421" s="1" t="s">
        <v>1211</v>
      </c>
      <c r="B1421" s="1" t="str">
        <f aca="false">TRIM(A1421)</f>
        <v># 4%</v>
      </c>
    </row>
    <row r="1422" customFormat="false" ht="12.75" hidden="false" customHeight="true" outlineLevel="0" collapsed="false">
      <c r="A1422" s="1" t="s">
        <v>1633</v>
      </c>
      <c r="B1422" s="1" t="str">
        <f aca="false">TRIM(A1422)</f>
        <v>+9, 9, SPINARAK</v>
      </c>
    </row>
    <row r="1423" customFormat="false" ht="12.75" hidden="false" customHeight="true" outlineLevel="0" collapsed="false">
      <c r="A1423" s="1" t="s">
        <v>1634</v>
      </c>
      <c r="B1423" s="1" t="str">
        <f aca="false">TRIM(A1423)</f>
        <v>+25, 25, HERACROSS</v>
      </c>
    </row>
    <row r="1424" customFormat="false" ht="12.75" hidden="false" customHeight="true" outlineLevel="0" collapsed="false">
      <c r="A1424" s="2"/>
      <c r="B1424" s="1" t="str">
        <f aca="false">TRIM(A1424)</f>
        <v/>
      </c>
    </row>
    <row r="1425" customFormat="false" ht="12.75" hidden="false" customHeight="true" outlineLevel="0" collapsed="false">
      <c r="A1425" s="1" t="s">
        <v>1212</v>
      </c>
      <c r="B1425" s="1" t="str">
        <f aca="false">TRIM(A1425)</f>
        <v># 1%</v>
      </c>
    </row>
    <row r="1426" customFormat="false" ht="12.75" hidden="false" customHeight="true" outlineLevel="0" collapsed="false">
      <c r="A1426" s="1" t="s">
        <v>1635</v>
      </c>
      <c r="B1426" s="1" t="str">
        <f aca="false">TRIM(A1426)</f>
        <v>+14, 14, SPINARAK</v>
      </c>
    </row>
    <row r="1427" customFormat="false" ht="12.75" hidden="false" customHeight="true" outlineLevel="0" collapsed="false">
      <c r="A1427" s="1" t="s">
        <v>2654</v>
      </c>
      <c r="B1427" s="1" t="str">
        <f aca="false">TRIM(A1427)</f>
        <v>+30, 30, HERACROSS , &lt;null&gt;, &lt;null&gt;, &lt;null&gt;</v>
      </c>
    </row>
    <row r="1428" customFormat="false" ht="12.75" hidden="false" customHeight="true" outlineLevel="0" collapsed="false">
      <c r="A1428" s="2"/>
      <c r="B1428" s="1" t="str">
        <f aca="false">TRIM(A1428)</f>
        <v/>
      </c>
    </row>
    <row r="1429" customFormat="false" ht="12.75" hidden="false" customHeight="true" outlineLevel="0" collapsed="false">
      <c r="A1429" s="1" t="s">
        <v>2536</v>
      </c>
      <c r="B1429" s="1" t="str">
        <f aca="false">TRIM(A1429)</f>
        <v>NEW ROUTE</v>
      </c>
    </row>
    <row r="1430" customFormat="false" ht="12.75" hidden="false" customHeight="true" outlineLevel="0" collapsed="false">
      <c r="A1430" s="1" t="s">
        <v>2655</v>
      </c>
      <c r="B1430" s="1" t="str">
        <f aca="false">TRIM(A1430)</f>
        <v>+2, 13, 0,</v>
      </c>
    </row>
    <row r="1431" customFormat="false" ht="12.75" hidden="false" customHeight="true" outlineLevel="0" collapsed="false">
      <c r="A1431" s="1" t="s">
        <v>2656</v>
      </c>
      <c r="B1431" s="1" t="str">
        <f aca="false">TRIM(A1431)</f>
        <v>1, # 20%</v>
      </c>
    </row>
    <row r="1432" customFormat="false" ht="12.75" hidden="false" customHeight="true" outlineLevel="0" collapsed="false">
      <c r="A1432" s="1" t="s">
        <v>1638</v>
      </c>
      <c r="B1432" s="1" t="str">
        <f aca="false">TRIM(A1432)</f>
        <v>40, 40, GASTLY</v>
      </c>
    </row>
    <row r="1433" customFormat="false" ht="12.75" hidden="false" customHeight="true" outlineLevel="0" collapsed="false">
      <c r="A1433" s="1" t="s">
        <v>1639</v>
      </c>
      <c r="B1433" s="1" t="str">
        <f aca="false">TRIM(A1433)</f>
        <v>+37, 37, ZUBAT</v>
      </c>
    </row>
    <row r="1434" customFormat="false" ht="12.75" hidden="false" customHeight="true" outlineLevel="0" collapsed="false">
      <c r="A1434" s="2"/>
      <c r="B1434" s="1" t="str">
        <f aca="false">TRIM(A1434)</f>
        <v/>
      </c>
    </row>
    <row r="1435" customFormat="false" ht="12.75" hidden="false" customHeight="true" outlineLevel="0" collapsed="false">
      <c r="A1435" s="1" t="s">
        <v>1209</v>
      </c>
      <c r="B1435" s="1" t="str">
        <f aca="false">TRIM(A1435)</f>
        <v># 10%</v>
      </c>
    </row>
    <row r="1436" customFormat="false" ht="12.75" hidden="false" customHeight="true" outlineLevel="0" collapsed="false">
      <c r="A1436" s="1" t="s">
        <v>1640</v>
      </c>
      <c r="B1436" s="1" t="str">
        <f aca="false">TRIM(A1436)</f>
        <v>+44, 44, HAUNTER</v>
      </c>
    </row>
    <row r="1437" customFormat="false" ht="12.75" hidden="false" customHeight="true" outlineLevel="0" collapsed="false">
      <c r="A1437" s="1" t="s">
        <v>1641</v>
      </c>
      <c r="B1437" s="1" t="str">
        <f aca="false">TRIM(A1437)</f>
        <v>+46, 46, HAUNTER</v>
      </c>
    </row>
    <row r="1438" customFormat="false" ht="12.75" hidden="false" customHeight="true" outlineLevel="0" collapsed="false">
      <c r="A1438" s="1" t="s">
        <v>1642</v>
      </c>
      <c r="B1438" s="1" t="str">
        <f aca="false">TRIM(A1438)</f>
        <v>+41, 41, GOLBAT</v>
      </c>
    </row>
    <row r="1439" customFormat="false" ht="12.75" hidden="false" customHeight="true" outlineLevel="0" collapsed="false">
      <c r="A1439" s="1" t="s">
        <v>1643</v>
      </c>
      <c r="B1439" s="1" t="str">
        <f aca="false">TRIM(A1439)</f>
        <v>+43, 43, GOLBAT</v>
      </c>
    </row>
    <row r="1440" customFormat="false" ht="12.75" hidden="false" customHeight="true" outlineLevel="0" collapsed="false">
      <c r="A1440" s="2"/>
      <c r="B1440" s="1" t="str">
        <f aca="false">TRIM(A1440)</f>
        <v/>
      </c>
    </row>
    <row r="1441" customFormat="false" ht="12.75" hidden="false" customHeight="true" outlineLevel="0" collapsed="false">
      <c r="A1441" s="1" t="s">
        <v>1210</v>
      </c>
      <c r="B1441" s="1" t="str">
        <f aca="false">TRIM(A1441)</f>
        <v># 5%</v>
      </c>
    </row>
    <row r="1442" customFormat="false" ht="12.75" hidden="false" customHeight="true" outlineLevel="0" collapsed="false">
      <c r="A1442" s="1" t="s">
        <v>1644</v>
      </c>
      <c r="B1442" s="1" t="str">
        <f aca="false">TRIM(A1442)</f>
        <v>+38, 38, GASTLY</v>
      </c>
    </row>
    <row r="1443" customFormat="false" ht="12.75" hidden="false" customHeight="true" outlineLevel="0" collapsed="false">
      <c r="A1443" s="1" t="s">
        <v>1645</v>
      </c>
      <c r="B1443" s="1" t="str">
        <f aca="false">TRIM(A1443)</f>
        <v>+48, 48, HAUNTER</v>
      </c>
    </row>
    <row r="1444" customFormat="false" ht="12.75" hidden="false" customHeight="true" outlineLevel="0" collapsed="false">
      <c r="A1444" s="2"/>
      <c r="B1444" s="1" t="str">
        <f aca="false">TRIM(A1444)</f>
        <v/>
      </c>
    </row>
    <row r="1445" customFormat="false" ht="12.75" hidden="false" customHeight="true" outlineLevel="0" collapsed="false">
      <c r="A1445" s="1" t="s">
        <v>1211</v>
      </c>
      <c r="B1445" s="1" t="str">
        <f aca="false">TRIM(A1445)</f>
        <v># 4%</v>
      </c>
    </row>
    <row r="1446" customFormat="false" ht="12.75" hidden="false" customHeight="true" outlineLevel="0" collapsed="false">
      <c r="A1446" s="1" t="s">
        <v>1646</v>
      </c>
      <c r="B1446" s="1" t="str">
        <f aca="false">TRIM(A1446)</f>
        <v>+50, 50, HAUNTER</v>
      </c>
    </row>
    <row r="1447" customFormat="false" ht="12.75" hidden="false" customHeight="true" outlineLevel="0" collapsed="false">
      <c r="A1447" s="1" t="s">
        <v>1647</v>
      </c>
      <c r="B1447" s="1" t="str">
        <f aca="false">TRIM(A1447)</f>
        <v>+22, 22, MISDREAVUS</v>
      </c>
    </row>
    <row r="1448" customFormat="false" ht="12.75" hidden="false" customHeight="true" outlineLevel="0" collapsed="false">
      <c r="A1448" s="2"/>
      <c r="B1448" s="1" t="str">
        <f aca="false">TRIM(A1448)</f>
        <v/>
      </c>
    </row>
    <row r="1449" customFormat="false" ht="12.75" hidden="false" customHeight="true" outlineLevel="0" collapsed="false">
      <c r="A1449" s="1" t="s">
        <v>1212</v>
      </c>
      <c r="B1449" s="1" t="str">
        <f aca="false">TRIM(A1449)</f>
        <v># 1%</v>
      </c>
    </row>
    <row r="1450" customFormat="false" ht="12.75" hidden="false" customHeight="true" outlineLevel="0" collapsed="false">
      <c r="A1450" s="1" t="s">
        <v>1648</v>
      </c>
      <c r="B1450" s="1" t="str">
        <f aca="false">TRIM(A1450)</f>
        <v>+52, 52, HAUNTER</v>
      </c>
    </row>
    <row r="1451" customFormat="false" ht="12.75" hidden="false" customHeight="true" outlineLevel="0" collapsed="false">
      <c r="A1451" s="1" t="s">
        <v>2657</v>
      </c>
      <c r="B1451" s="1" t="str">
        <f aca="false">TRIM(A1451)</f>
        <v>+22, 22, MISDREAVUS , &lt;null&gt;, &lt;null&gt;, &lt;null&gt;</v>
      </c>
    </row>
    <row r="1452" customFormat="false" ht="12.75" hidden="false" customHeight="true" outlineLevel="0" collapsed="false">
      <c r="A1452" s="2"/>
      <c r="B1452" s="1" t="str">
        <f aca="false">TRIM(A1452)</f>
        <v/>
      </c>
    </row>
    <row r="1453" customFormat="false" ht="12.75" hidden="false" customHeight="true" outlineLevel="0" collapsed="false">
      <c r="A1453" s="1" t="s">
        <v>2536</v>
      </c>
      <c r="B1453" s="1" t="str">
        <f aca="false">TRIM(A1453)</f>
        <v>NEW ROUTE</v>
      </c>
    </row>
    <row r="1454" customFormat="false" ht="12.75" hidden="false" customHeight="true" outlineLevel="0" collapsed="false">
      <c r="A1454" s="1" t="s">
        <v>2658</v>
      </c>
      <c r="B1454" s="1" t="str">
        <f aca="false">TRIM(A1454)</f>
        <v>+2, 14, 0,</v>
      </c>
    </row>
    <row r="1455" customFormat="false" ht="12.75" hidden="false" customHeight="true" outlineLevel="0" collapsed="false">
      <c r="A1455" s="1" t="s">
        <v>2606</v>
      </c>
      <c r="B1455" s="1" t="str">
        <f aca="false">TRIM(A1455)</f>
        <v>2, # 20%</v>
      </c>
    </row>
    <row r="1456" customFormat="false" ht="12.75" hidden="false" customHeight="true" outlineLevel="0" collapsed="false">
      <c r="A1456" s="1" t="s">
        <v>1638</v>
      </c>
      <c r="B1456" s="1" t="str">
        <f aca="false">TRIM(A1456)</f>
        <v>40, 40, GASTLY</v>
      </c>
    </row>
    <row r="1457" customFormat="false" ht="12.75" hidden="false" customHeight="true" outlineLevel="0" collapsed="false">
      <c r="A1457" s="1" t="s">
        <v>1639</v>
      </c>
      <c r="B1457" s="1" t="str">
        <f aca="false">TRIM(A1457)</f>
        <v>+37, 37, ZUBAT</v>
      </c>
    </row>
    <row r="1458" customFormat="false" ht="12.75" hidden="false" customHeight="true" outlineLevel="0" collapsed="false">
      <c r="A1458" s="2"/>
      <c r="B1458" s="1" t="str">
        <f aca="false">TRIM(A1458)</f>
        <v/>
      </c>
    </row>
    <row r="1459" customFormat="false" ht="12.75" hidden="false" customHeight="true" outlineLevel="0" collapsed="false">
      <c r="A1459" s="1" t="s">
        <v>1209</v>
      </c>
      <c r="B1459" s="1" t="str">
        <f aca="false">TRIM(A1459)</f>
        <v># 10%</v>
      </c>
    </row>
    <row r="1460" customFormat="false" ht="12.75" hidden="false" customHeight="true" outlineLevel="0" collapsed="false">
      <c r="A1460" s="1" t="s">
        <v>1640</v>
      </c>
      <c r="B1460" s="1" t="str">
        <f aca="false">TRIM(A1460)</f>
        <v>+44, 44, HAUNTER</v>
      </c>
    </row>
    <row r="1461" customFormat="false" ht="12.75" hidden="false" customHeight="true" outlineLevel="0" collapsed="false">
      <c r="A1461" s="1" t="s">
        <v>1641</v>
      </c>
      <c r="B1461" s="1" t="str">
        <f aca="false">TRIM(A1461)</f>
        <v>+46, 46, HAUNTER</v>
      </c>
    </row>
    <row r="1462" customFormat="false" ht="12.75" hidden="false" customHeight="true" outlineLevel="0" collapsed="false">
      <c r="A1462" s="1" t="s">
        <v>1642</v>
      </c>
      <c r="B1462" s="1" t="str">
        <f aca="false">TRIM(A1462)</f>
        <v>+41, 41, GOLBAT</v>
      </c>
    </row>
    <row r="1463" customFormat="false" ht="12.75" hidden="false" customHeight="true" outlineLevel="0" collapsed="false">
      <c r="A1463" s="1" t="s">
        <v>1643</v>
      </c>
      <c r="B1463" s="1" t="str">
        <f aca="false">TRIM(A1463)</f>
        <v>+43, 43, GOLBAT</v>
      </c>
    </row>
    <row r="1464" customFormat="false" ht="12.75" hidden="false" customHeight="true" outlineLevel="0" collapsed="false">
      <c r="A1464" s="2"/>
      <c r="B1464" s="1" t="str">
        <f aca="false">TRIM(A1464)</f>
        <v/>
      </c>
    </row>
    <row r="1465" customFormat="false" ht="12.75" hidden="false" customHeight="true" outlineLevel="0" collapsed="false">
      <c r="A1465" s="1" t="s">
        <v>1210</v>
      </c>
      <c r="B1465" s="1" t="str">
        <f aca="false">TRIM(A1465)</f>
        <v># 5%</v>
      </c>
    </row>
    <row r="1466" customFormat="false" ht="12.75" hidden="false" customHeight="true" outlineLevel="0" collapsed="false">
      <c r="A1466" s="1" t="s">
        <v>1644</v>
      </c>
      <c r="B1466" s="1" t="str">
        <f aca="false">TRIM(A1466)</f>
        <v>+38, 38, GASTLY</v>
      </c>
    </row>
    <row r="1467" customFormat="false" ht="12.75" hidden="false" customHeight="true" outlineLevel="0" collapsed="false">
      <c r="A1467" s="1" t="s">
        <v>1645</v>
      </c>
      <c r="B1467" s="1" t="str">
        <f aca="false">TRIM(A1467)</f>
        <v>+48, 48, HAUNTER</v>
      </c>
    </row>
    <row r="1468" customFormat="false" ht="12.75" hidden="false" customHeight="true" outlineLevel="0" collapsed="false">
      <c r="A1468" s="2"/>
      <c r="B1468" s="1" t="str">
        <f aca="false">TRIM(A1468)</f>
        <v/>
      </c>
    </row>
    <row r="1469" customFormat="false" ht="12.75" hidden="false" customHeight="true" outlineLevel="0" collapsed="false">
      <c r="A1469" s="1" t="s">
        <v>1211</v>
      </c>
      <c r="B1469" s="1" t="str">
        <f aca="false">TRIM(A1469)</f>
        <v># 4%</v>
      </c>
    </row>
    <row r="1470" customFormat="false" ht="12.75" hidden="false" customHeight="true" outlineLevel="0" collapsed="false">
      <c r="A1470" s="1" t="s">
        <v>1646</v>
      </c>
      <c r="B1470" s="1" t="str">
        <f aca="false">TRIM(A1470)</f>
        <v>+50, 50, HAUNTER</v>
      </c>
    </row>
    <row r="1471" customFormat="false" ht="12.75" hidden="false" customHeight="true" outlineLevel="0" collapsed="false">
      <c r="A1471" s="1" t="s">
        <v>1647</v>
      </c>
      <c r="B1471" s="1" t="str">
        <f aca="false">TRIM(A1471)</f>
        <v>+22, 22, MISDREAVUS</v>
      </c>
    </row>
    <row r="1472" customFormat="false" ht="12.75" hidden="false" customHeight="true" outlineLevel="0" collapsed="false">
      <c r="A1472" s="2"/>
      <c r="B1472" s="1" t="str">
        <f aca="false">TRIM(A1472)</f>
        <v/>
      </c>
    </row>
    <row r="1473" customFormat="false" ht="12.75" hidden="false" customHeight="true" outlineLevel="0" collapsed="false">
      <c r="A1473" s="1" t="s">
        <v>1212</v>
      </c>
      <c r="B1473" s="1" t="str">
        <f aca="false">TRIM(A1473)</f>
        <v># 1%</v>
      </c>
    </row>
    <row r="1474" customFormat="false" ht="12.75" hidden="false" customHeight="true" outlineLevel="0" collapsed="false">
      <c r="A1474" s="1" t="s">
        <v>1648</v>
      </c>
      <c r="B1474" s="1" t="str">
        <f aca="false">TRIM(A1474)</f>
        <v>+52, 52, HAUNTER</v>
      </c>
    </row>
    <row r="1475" customFormat="false" ht="12.75" hidden="false" customHeight="true" outlineLevel="0" collapsed="false">
      <c r="A1475" s="1" t="s">
        <v>2657</v>
      </c>
      <c r="B1475" s="1" t="str">
        <f aca="false">TRIM(A1475)</f>
        <v>+22, 22, MISDREAVUS , &lt;null&gt;, &lt;null&gt;, &lt;null&gt;</v>
      </c>
    </row>
    <row r="1476" customFormat="false" ht="12.75" hidden="false" customHeight="true" outlineLevel="0" collapsed="false">
      <c r="A1476" s="2"/>
      <c r="B1476" s="1" t="str">
        <f aca="false">TRIM(A1476)</f>
        <v/>
      </c>
    </row>
    <row r="1477" customFormat="false" ht="12.75" hidden="false" customHeight="true" outlineLevel="0" collapsed="false">
      <c r="A1477" s="1" t="s">
        <v>2536</v>
      </c>
      <c r="B1477" s="1" t="str">
        <f aca="false">TRIM(A1477)</f>
        <v>NEW ROUTE</v>
      </c>
    </row>
    <row r="1478" customFormat="false" ht="12.75" hidden="false" customHeight="true" outlineLevel="0" collapsed="false">
      <c r="A1478" s="1" t="s">
        <v>2659</v>
      </c>
      <c r="B1478" s="1" t="str">
        <f aca="false">TRIM(A1478)</f>
        <v>+2, 15, 0,</v>
      </c>
    </row>
    <row r="1479" customFormat="false" ht="12.75" hidden="false" customHeight="true" outlineLevel="0" collapsed="false">
      <c r="A1479" s="1" t="s">
        <v>2660</v>
      </c>
      <c r="B1479" s="1" t="str">
        <f aca="false">TRIM(A1479)</f>
        <v>3, # 20%</v>
      </c>
    </row>
    <row r="1480" customFormat="false" ht="12.75" hidden="false" customHeight="true" outlineLevel="0" collapsed="false">
      <c r="A1480" s="1" t="s">
        <v>1638</v>
      </c>
      <c r="B1480" s="1" t="str">
        <f aca="false">TRIM(A1480)</f>
        <v>40, 40, GASTLY</v>
      </c>
    </row>
    <row r="1481" customFormat="false" ht="12.75" hidden="false" customHeight="true" outlineLevel="0" collapsed="false">
      <c r="A1481" s="1" t="s">
        <v>1639</v>
      </c>
      <c r="B1481" s="1" t="str">
        <f aca="false">TRIM(A1481)</f>
        <v>+37, 37, ZUBAT</v>
      </c>
    </row>
    <row r="1482" customFormat="false" ht="12.75" hidden="false" customHeight="true" outlineLevel="0" collapsed="false">
      <c r="A1482" s="2"/>
      <c r="B1482" s="1" t="str">
        <f aca="false">TRIM(A1482)</f>
        <v/>
      </c>
    </row>
    <row r="1483" customFormat="false" ht="12.75" hidden="false" customHeight="true" outlineLevel="0" collapsed="false">
      <c r="A1483" s="1" t="s">
        <v>1209</v>
      </c>
      <c r="B1483" s="1" t="str">
        <f aca="false">TRIM(A1483)</f>
        <v># 10%</v>
      </c>
    </row>
    <row r="1484" customFormat="false" ht="12.75" hidden="false" customHeight="true" outlineLevel="0" collapsed="false">
      <c r="A1484" s="1" t="s">
        <v>1640</v>
      </c>
      <c r="B1484" s="1" t="str">
        <f aca="false">TRIM(A1484)</f>
        <v>+44, 44, HAUNTER</v>
      </c>
    </row>
    <row r="1485" customFormat="false" ht="12.75" hidden="false" customHeight="true" outlineLevel="0" collapsed="false">
      <c r="A1485" s="1" t="s">
        <v>1641</v>
      </c>
      <c r="B1485" s="1" t="str">
        <f aca="false">TRIM(A1485)</f>
        <v>+46, 46, HAUNTER</v>
      </c>
    </row>
    <row r="1486" customFormat="false" ht="12.75" hidden="false" customHeight="true" outlineLevel="0" collapsed="false">
      <c r="A1486" s="1" t="s">
        <v>1642</v>
      </c>
      <c r="B1486" s="1" t="str">
        <f aca="false">TRIM(A1486)</f>
        <v>+41, 41, GOLBAT</v>
      </c>
    </row>
    <row r="1487" customFormat="false" ht="12.75" hidden="false" customHeight="true" outlineLevel="0" collapsed="false">
      <c r="A1487" s="1" t="s">
        <v>1643</v>
      </c>
      <c r="B1487" s="1" t="str">
        <f aca="false">TRIM(A1487)</f>
        <v>+43, 43, GOLBAT</v>
      </c>
    </row>
    <row r="1488" customFormat="false" ht="12.75" hidden="false" customHeight="true" outlineLevel="0" collapsed="false">
      <c r="A1488" s="2"/>
      <c r="B1488" s="1" t="str">
        <f aca="false">TRIM(A1488)</f>
        <v/>
      </c>
    </row>
    <row r="1489" customFormat="false" ht="12.75" hidden="false" customHeight="true" outlineLevel="0" collapsed="false">
      <c r="A1489" s="1" t="s">
        <v>1210</v>
      </c>
      <c r="B1489" s="1" t="str">
        <f aca="false">TRIM(A1489)</f>
        <v># 5%</v>
      </c>
    </row>
    <row r="1490" customFormat="false" ht="12.75" hidden="false" customHeight="true" outlineLevel="0" collapsed="false">
      <c r="A1490" s="1" t="s">
        <v>1644</v>
      </c>
      <c r="B1490" s="1" t="str">
        <f aca="false">TRIM(A1490)</f>
        <v>+38, 38, GASTLY</v>
      </c>
    </row>
    <row r="1491" customFormat="false" ht="12.75" hidden="false" customHeight="true" outlineLevel="0" collapsed="false">
      <c r="A1491" s="1" t="s">
        <v>1645</v>
      </c>
      <c r="B1491" s="1" t="str">
        <f aca="false">TRIM(A1491)</f>
        <v>+48, 48, HAUNTER</v>
      </c>
    </row>
    <row r="1492" customFormat="false" ht="12.75" hidden="false" customHeight="true" outlineLevel="0" collapsed="false">
      <c r="A1492" s="2"/>
      <c r="B1492" s="1" t="str">
        <f aca="false">TRIM(A1492)</f>
        <v/>
      </c>
    </row>
    <row r="1493" customFormat="false" ht="12.75" hidden="false" customHeight="true" outlineLevel="0" collapsed="false">
      <c r="A1493" s="1" t="s">
        <v>1211</v>
      </c>
      <c r="B1493" s="1" t="str">
        <f aca="false">TRIM(A1493)</f>
        <v># 4%</v>
      </c>
    </row>
    <row r="1494" customFormat="false" ht="12.75" hidden="false" customHeight="true" outlineLevel="0" collapsed="false">
      <c r="A1494" s="1" t="s">
        <v>1646</v>
      </c>
      <c r="B1494" s="1" t="str">
        <f aca="false">TRIM(A1494)</f>
        <v>+50, 50, HAUNTER</v>
      </c>
    </row>
    <row r="1495" customFormat="false" ht="12.75" hidden="false" customHeight="true" outlineLevel="0" collapsed="false">
      <c r="A1495" s="1" t="s">
        <v>1647</v>
      </c>
      <c r="B1495" s="1" t="str">
        <f aca="false">TRIM(A1495)</f>
        <v>+22, 22, MISDREAVUS</v>
      </c>
    </row>
    <row r="1496" customFormat="false" ht="12.75" hidden="false" customHeight="true" outlineLevel="0" collapsed="false">
      <c r="A1496" s="2"/>
      <c r="B1496" s="1" t="str">
        <f aca="false">TRIM(A1496)</f>
        <v/>
      </c>
    </row>
    <row r="1497" customFormat="false" ht="12.75" hidden="false" customHeight="true" outlineLevel="0" collapsed="false">
      <c r="A1497" s="1" t="s">
        <v>1212</v>
      </c>
      <c r="B1497" s="1" t="str">
        <f aca="false">TRIM(A1497)</f>
        <v># 1%</v>
      </c>
    </row>
    <row r="1498" customFormat="false" ht="12.75" hidden="false" customHeight="true" outlineLevel="0" collapsed="false">
      <c r="A1498" s="1" t="s">
        <v>1648</v>
      </c>
      <c r="B1498" s="1" t="str">
        <f aca="false">TRIM(A1498)</f>
        <v>+52, 52, HAUNTER</v>
      </c>
    </row>
    <row r="1499" customFormat="false" ht="12.75" hidden="false" customHeight="true" outlineLevel="0" collapsed="false">
      <c r="A1499" s="1" t="s">
        <v>2657</v>
      </c>
      <c r="B1499" s="1" t="str">
        <f aca="false">TRIM(A1499)</f>
        <v>+22, 22, MISDREAVUS , &lt;null&gt;, &lt;null&gt;, &lt;null&gt;</v>
      </c>
    </row>
    <row r="1500" customFormat="false" ht="12.75" hidden="false" customHeight="true" outlineLevel="0" collapsed="false">
      <c r="A1500" s="2"/>
      <c r="B1500" s="1" t="str">
        <f aca="false">TRIM(A1500)</f>
        <v/>
      </c>
    </row>
    <row r="1501" customFormat="false" ht="12.75" hidden="false" customHeight="true" outlineLevel="0" collapsed="false">
      <c r="A1501" s="1" t="s">
        <v>2536</v>
      </c>
      <c r="B1501" s="1" t="str">
        <f aca="false">TRIM(A1501)</f>
        <v>NEW ROUTE</v>
      </c>
    </row>
    <row r="1502" customFormat="false" ht="12.75" hidden="false" customHeight="true" outlineLevel="0" collapsed="false">
      <c r="A1502" s="1" t="s">
        <v>2661</v>
      </c>
      <c r="B1502" s="1" t="str">
        <f aca="false">TRIM(A1502)</f>
        <v>+2, 16, 0,</v>
      </c>
    </row>
    <row r="1503" customFormat="false" ht="12.75" hidden="false" customHeight="true" outlineLevel="0" collapsed="false">
      <c r="A1503" s="1" t="s">
        <v>2609</v>
      </c>
      <c r="B1503" s="1" t="str">
        <f aca="false">TRIM(A1503)</f>
        <v>4, # 20%</v>
      </c>
    </row>
    <row r="1504" customFormat="false" ht="12.75" hidden="false" customHeight="true" outlineLevel="0" collapsed="false">
      <c r="A1504" s="1" t="s">
        <v>1638</v>
      </c>
      <c r="B1504" s="1" t="str">
        <f aca="false">TRIM(A1504)</f>
        <v>40, 40, GASTLY</v>
      </c>
    </row>
    <row r="1505" customFormat="false" ht="12.75" hidden="false" customHeight="true" outlineLevel="0" collapsed="false">
      <c r="A1505" s="1" t="s">
        <v>1639</v>
      </c>
      <c r="B1505" s="1" t="str">
        <f aca="false">TRIM(A1505)</f>
        <v>+37, 37, ZUBAT</v>
      </c>
    </row>
    <row r="1506" customFormat="false" ht="12.75" hidden="false" customHeight="true" outlineLevel="0" collapsed="false">
      <c r="A1506" s="2"/>
      <c r="B1506" s="1" t="str">
        <f aca="false">TRIM(A1506)</f>
        <v/>
      </c>
    </row>
    <row r="1507" customFormat="false" ht="12.75" hidden="false" customHeight="true" outlineLevel="0" collapsed="false">
      <c r="A1507" s="1" t="s">
        <v>1209</v>
      </c>
      <c r="B1507" s="1" t="str">
        <f aca="false">TRIM(A1507)</f>
        <v># 10%</v>
      </c>
    </row>
    <row r="1508" customFormat="false" ht="12.75" hidden="false" customHeight="true" outlineLevel="0" collapsed="false">
      <c r="A1508" s="1" t="s">
        <v>1640</v>
      </c>
      <c r="B1508" s="1" t="str">
        <f aca="false">TRIM(A1508)</f>
        <v>+44, 44, HAUNTER</v>
      </c>
    </row>
    <row r="1509" customFormat="false" ht="12.75" hidden="false" customHeight="true" outlineLevel="0" collapsed="false">
      <c r="A1509" s="1" t="s">
        <v>1641</v>
      </c>
      <c r="B1509" s="1" t="str">
        <f aca="false">TRIM(A1509)</f>
        <v>+46, 46, HAUNTER</v>
      </c>
    </row>
    <row r="1510" customFormat="false" ht="12.75" hidden="false" customHeight="true" outlineLevel="0" collapsed="false">
      <c r="A1510" s="1" t="s">
        <v>1642</v>
      </c>
      <c r="B1510" s="1" t="str">
        <f aca="false">TRIM(A1510)</f>
        <v>+41, 41, GOLBAT</v>
      </c>
    </row>
    <row r="1511" customFormat="false" ht="12.75" hidden="false" customHeight="true" outlineLevel="0" collapsed="false">
      <c r="A1511" s="1" t="s">
        <v>1643</v>
      </c>
      <c r="B1511" s="1" t="str">
        <f aca="false">TRIM(A1511)</f>
        <v>+43, 43, GOLBAT</v>
      </c>
    </row>
    <row r="1512" customFormat="false" ht="12.75" hidden="false" customHeight="true" outlineLevel="0" collapsed="false">
      <c r="A1512" s="2"/>
      <c r="B1512" s="1" t="str">
        <f aca="false">TRIM(A1512)</f>
        <v/>
      </c>
    </row>
    <row r="1513" customFormat="false" ht="12.75" hidden="false" customHeight="true" outlineLevel="0" collapsed="false">
      <c r="A1513" s="1" t="s">
        <v>1210</v>
      </c>
      <c r="B1513" s="1" t="str">
        <f aca="false">TRIM(A1513)</f>
        <v># 5%</v>
      </c>
    </row>
    <row r="1514" customFormat="false" ht="12.75" hidden="false" customHeight="true" outlineLevel="0" collapsed="false">
      <c r="A1514" s="1" t="s">
        <v>1644</v>
      </c>
      <c r="B1514" s="1" t="str">
        <f aca="false">TRIM(A1514)</f>
        <v>+38, 38, GASTLY</v>
      </c>
    </row>
    <row r="1515" customFormat="false" ht="12.75" hidden="false" customHeight="true" outlineLevel="0" collapsed="false">
      <c r="A1515" s="1" t="s">
        <v>1645</v>
      </c>
      <c r="B1515" s="1" t="str">
        <f aca="false">TRIM(A1515)</f>
        <v>+48, 48, HAUNTER</v>
      </c>
    </row>
    <row r="1516" customFormat="false" ht="12.75" hidden="false" customHeight="true" outlineLevel="0" collapsed="false">
      <c r="A1516" s="2"/>
      <c r="B1516" s="1" t="str">
        <f aca="false">TRIM(A1516)</f>
        <v/>
      </c>
    </row>
    <row r="1517" customFormat="false" ht="12.75" hidden="false" customHeight="true" outlineLevel="0" collapsed="false">
      <c r="A1517" s="1" t="s">
        <v>1211</v>
      </c>
      <c r="B1517" s="1" t="str">
        <f aca="false">TRIM(A1517)</f>
        <v># 4%</v>
      </c>
    </row>
    <row r="1518" customFormat="false" ht="12.75" hidden="false" customHeight="true" outlineLevel="0" collapsed="false">
      <c r="A1518" s="1" t="s">
        <v>1646</v>
      </c>
      <c r="B1518" s="1" t="str">
        <f aca="false">TRIM(A1518)</f>
        <v>+50, 50, HAUNTER</v>
      </c>
    </row>
    <row r="1519" customFormat="false" ht="12.75" hidden="false" customHeight="true" outlineLevel="0" collapsed="false">
      <c r="A1519" s="1" t="s">
        <v>1647</v>
      </c>
      <c r="B1519" s="1" t="str">
        <f aca="false">TRIM(A1519)</f>
        <v>+22, 22, MISDREAVUS</v>
      </c>
    </row>
    <row r="1520" customFormat="false" ht="12.75" hidden="false" customHeight="true" outlineLevel="0" collapsed="false">
      <c r="A1520" s="2"/>
      <c r="B1520" s="1" t="str">
        <f aca="false">TRIM(A1520)</f>
        <v/>
      </c>
    </row>
    <row r="1521" customFormat="false" ht="12.75" hidden="false" customHeight="true" outlineLevel="0" collapsed="false">
      <c r="A1521" s="1" t="s">
        <v>1212</v>
      </c>
      <c r="B1521" s="1" t="str">
        <f aca="false">TRIM(A1521)</f>
        <v># 1%</v>
      </c>
    </row>
    <row r="1522" customFormat="false" ht="12.75" hidden="false" customHeight="true" outlineLevel="0" collapsed="false">
      <c r="A1522" s="1" t="s">
        <v>1648</v>
      </c>
      <c r="B1522" s="1" t="str">
        <f aca="false">TRIM(A1522)</f>
        <v>+52, 52, HAUNTER</v>
      </c>
    </row>
    <row r="1523" customFormat="false" ht="12.75" hidden="false" customHeight="true" outlineLevel="0" collapsed="false">
      <c r="A1523" s="1" t="s">
        <v>2657</v>
      </c>
      <c r="B1523" s="1" t="str">
        <f aca="false">TRIM(A1523)</f>
        <v>+22, 22, MISDREAVUS , &lt;null&gt;, &lt;null&gt;, &lt;null&gt;</v>
      </c>
    </row>
    <row r="1524" customFormat="false" ht="12.75" hidden="false" customHeight="true" outlineLevel="0" collapsed="false">
      <c r="A1524" s="2"/>
      <c r="B1524" s="1" t="str">
        <f aca="false">TRIM(A1524)</f>
        <v/>
      </c>
    </row>
    <row r="1525" customFormat="false" ht="12.75" hidden="false" customHeight="true" outlineLevel="0" collapsed="false">
      <c r="A1525" s="1" t="s">
        <v>2536</v>
      </c>
      <c r="B1525" s="1" t="str">
        <f aca="false">TRIM(A1525)</f>
        <v>NEW ROUTE</v>
      </c>
    </row>
    <row r="1526" customFormat="false" ht="12.75" hidden="false" customHeight="true" outlineLevel="0" collapsed="false">
      <c r="A1526" s="1" t="s">
        <v>2662</v>
      </c>
      <c r="B1526" s="1" t="str">
        <f aca="false">TRIM(A1526)</f>
        <v>+2, 17, 0,</v>
      </c>
    </row>
    <row r="1527" customFormat="false" ht="12.75" hidden="false" customHeight="true" outlineLevel="0" collapsed="false">
      <c r="A1527" s="1" t="s">
        <v>2544</v>
      </c>
      <c r="B1527" s="1" t="str">
        <f aca="false">TRIM(A1527)</f>
        <v>5, # 20%</v>
      </c>
    </row>
    <row r="1528" customFormat="false" ht="12.75" hidden="false" customHeight="true" outlineLevel="0" collapsed="false">
      <c r="A1528" s="1" t="s">
        <v>1638</v>
      </c>
      <c r="B1528" s="1" t="str">
        <f aca="false">TRIM(A1528)</f>
        <v>40, 40, GASTLY</v>
      </c>
    </row>
    <row r="1529" customFormat="false" ht="12.75" hidden="false" customHeight="true" outlineLevel="0" collapsed="false">
      <c r="A1529" s="1" t="s">
        <v>1639</v>
      </c>
      <c r="B1529" s="1" t="str">
        <f aca="false">TRIM(A1529)</f>
        <v>+37, 37, ZUBAT</v>
      </c>
    </row>
    <row r="1530" customFormat="false" ht="12.75" hidden="false" customHeight="true" outlineLevel="0" collapsed="false">
      <c r="A1530" s="2"/>
      <c r="B1530" s="1" t="str">
        <f aca="false">TRIM(A1530)</f>
        <v/>
      </c>
    </row>
    <row r="1531" customFormat="false" ht="12.75" hidden="false" customHeight="true" outlineLevel="0" collapsed="false">
      <c r="A1531" s="1" t="s">
        <v>1209</v>
      </c>
      <c r="B1531" s="1" t="str">
        <f aca="false">TRIM(A1531)</f>
        <v># 10%</v>
      </c>
    </row>
    <row r="1532" customFormat="false" ht="12.75" hidden="false" customHeight="true" outlineLevel="0" collapsed="false">
      <c r="A1532" s="1" t="s">
        <v>1640</v>
      </c>
      <c r="B1532" s="1" t="str">
        <f aca="false">TRIM(A1532)</f>
        <v>+44, 44, HAUNTER</v>
      </c>
    </row>
    <row r="1533" customFormat="false" ht="12.75" hidden="false" customHeight="true" outlineLevel="0" collapsed="false">
      <c r="A1533" s="1" t="s">
        <v>1641</v>
      </c>
      <c r="B1533" s="1" t="str">
        <f aca="false">TRIM(A1533)</f>
        <v>+46, 46, HAUNTER</v>
      </c>
    </row>
    <row r="1534" customFormat="false" ht="12.75" hidden="false" customHeight="true" outlineLevel="0" collapsed="false">
      <c r="A1534" s="1" t="s">
        <v>1642</v>
      </c>
      <c r="B1534" s="1" t="str">
        <f aca="false">TRIM(A1534)</f>
        <v>+41, 41, GOLBAT</v>
      </c>
    </row>
    <row r="1535" customFormat="false" ht="12.75" hidden="false" customHeight="true" outlineLevel="0" collapsed="false">
      <c r="A1535" s="1" t="s">
        <v>1643</v>
      </c>
      <c r="B1535" s="1" t="str">
        <f aca="false">TRIM(A1535)</f>
        <v>+43, 43, GOLBAT</v>
      </c>
    </row>
    <row r="1536" customFormat="false" ht="12.75" hidden="false" customHeight="true" outlineLevel="0" collapsed="false">
      <c r="A1536" s="2"/>
      <c r="B1536" s="1" t="str">
        <f aca="false">TRIM(A1536)</f>
        <v/>
      </c>
    </row>
    <row r="1537" customFormat="false" ht="12.75" hidden="false" customHeight="true" outlineLevel="0" collapsed="false">
      <c r="A1537" s="1" t="s">
        <v>1210</v>
      </c>
      <c r="B1537" s="1" t="str">
        <f aca="false">TRIM(A1537)</f>
        <v># 5%</v>
      </c>
    </row>
    <row r="1538" customFormat="false" ht="12.75" hidden="false" customHeight="true" outlineLevel="0" collapsed="false">
      <c r="A1538" s="1" t="s">
        <v>1644</v>
      </c>
      <c r="B1538" s="1" t="str">
        <f aca="false">TRIM(A1538)</f>
        <v>+38, 38, GASTLY</v>
      </c>
    </row>
    <row r="1539" customFormat="false" ht="12.75" hidden="false" customHeight="true" outlineLevel="0" collapsed="false">
      <c r="A1539" s="1" t="s">
        <v>1645</v>
      </c>
      <c r="B1539" s="1" t="str">
        <f aca="false">TRIM(A1539)</f>
        <v>+48, 48, HAUNTER</v>
      </c>
    </row>
    <row r="1540" customFormat="false" ht="12.75" hidden="false" customHeight="true" outlineLevel="0" collapsed="false">
      <c r="A1540" s="2"/>
      <c r="B1540" s="1" t="str">
        <f aca="false">TRIM(A1540)</f>
        <v/>
      </c>
    </row>
    <row r="1541" customFormat="false" ht="12.75" hidden="false" customHeight="true" outlineLevel="0" collapsed="false">
      <c r="A1541" s="1" t="s">
        <v>1211</v>
      </c>
      <c r="B1541" s="1" t="str">
        <f aca="false">TRIM(A1541)</f>
        <v># 4%</v>
      </c>
    </row>
    <row r="1542" customFormat="false" ht="12.75" hidden="false" customHeight="true" outlineLevel="0" collapsed="false">
      <c r="A1542" s="1" t="s">
        <v>1646</v>
      </c>
      <c r="B1542" s="1" t="str">
        <f aca="false">TRIM(A1542)</f>
        <v>+50, 50, HAUNTER</v>
      </c>
    </row>
    <row r="1543" customFormat="false" ht="12.75" hidden="false" customHeight="true" outlineLevel="0" collapsed="false">
      <c r="A1543" s="1" t="s">
        <v>1647</v>
      </c>
      <c r="B1543" s="1" t="str">
        <f aca="false">TRIM(A1543)</f>
        <v>+22, 22, MISDREAVUS</v>
      </c>
    </row>
    <row r="1544" customFormat="false" ht="12.75" hidden="false" customHeight="true" outlineLevel="0" collapsed="false">
      <c r="A1544" s="2"/>
      <c r="B1544" s="1" t="str">
        <f aca="false">TRIM(A1544)</f>
        <v/>
      </c>
    </row>
    <row r="1545" customFormat="false" ht="12.75" hidden="false" customHeight="true" outlineLevel="0" collapsed="false">
      <c r="A1545" s="1" t="s">
        <v>1212</v>
      </c>
      <c r="B1545" s="1" t="str">
        <f aca="false">TRIM(A1545)</f>
        <v># 1%</v>
      </c>
    </row>
    <row r="1546" customFormat="false" ht="12.75" hidden="false" customHeight="true" outlineLevel="0" collapsed="false">
      <c r="A1546" s="1" t="s">
        <v>1648</v>
      </c>
      <c r="B1546" s="1" t="str">
        <f aca="false">TRIM(A1546)</f>
        <v>+52, 52, HAUNTER</v>
      </c>
    </row>
    <row r="1547" customFormat="false" ht="12.75" hidden="false" customHeight="true" outlineLevel="0" collapsed="false">
      <c r="A1547" s="1" t="s">
        <v>2657</v>
      </c>
      <c r="B1547" s="1" t="str">
        <f aca="false">TRIM(A1547)</f>
        <v>+22, 22, MISDREAVUS , &lt;null&gt;, &lt;null&gt;, &lt;null&gt;</v>
      </c>
    </row>
    <row r="1548" customFormat="false" ht="12.75" hidden="false" customHeight="true" outlineLevel="0" collapsed="false">
      <c r="A1548" s="2"/>
      <c r="B1548" s="1" t="str">
        <f aca="false">TRIM(A1548)</f>
        <v/>
      </c>
    </row>
    <row r="1549" customFormat="false" ht="12.75" hidden="false" customHeight="true" outlineLevel="0" collapsed="false">
      <c r="A1549" s="1" t="s">
        <v>2536</v>
      </c>
      <c r="B1549" s="1" t="str">
        <f aca="false">TRIM(A1549)</f>
        <v>NEW ROUTE</v>
      </c>
    </row>
    <row r="1550" customFormat="false" ht="12.75" hidden="false" customHeight="true" outlineLevel="0" collapsed="false">
      <c r="A1550" s="1" t="s">
        <v>2663</v>
      </c>
      <c r="B1550" s="1" t="str">
        <f aca="false">TRIM(A1550)</f>
        <v>+2, 18, 0,</v>
      </c>
    </row>
    <row r="1551" customFormat="false" ht="12.75" hidden="false" customHeight="true" outlineLevel="0" collapsed="false">
      <c r="A1551" s="1" t="s">
        <v>2611</v>
      </c>
      <c r="B1551" s="1" t="str">
        <f aca="false">TRIM(A1551)</f>
        <v>6, # 20%</v>
      </c>
    </row>
    <row r="1552" customFormat="false" ht="12.75" hidden="false" customHeight="true" outlineLevel="0" collapsed="false">
      <c r="A1552" s="1" t="s">
        <v>1638</v>
      </c>
      <c r="B1552" s="1" t="str">
        <f aca="false">TRIM(A1552)</f>
        <v>40, 40, GASTLY</v>
      </c>
    </row>
    <row r="1553" customFormat="false" ht="12.75" hidden="false" customHeight="true" outlineLevel="0" collapsed="false">
      <c r="A1553" s="1" t="s">
        <v>1639</v>
      </c>
      <c r="B1553" s="1" t="str">
        <f aca="false">TRIM(A1553)</f>
        <v>+37, 37, ZUBAT</v>
      </c>
    </row>
    <row r="1554" customFormat="false" ht="12.75" hidden="false" customHeight="true" outlineLevel="0" collapsed="false">
      <c r="A1554" s="2"/>
      <c r="B1554" s="1" t="str">
        <f aca="false">TRIM(A1554)</f>
        <v/>
      </c>
    </row>
    <row r="1555" customFormat="false" ht="12.75" hidden="false" customHeight="true" outlineLevel="0" collapsed="false">
      <c r="A1555" s="1" t="s">
        <v>1209</v>
      </c>
      <c r="B1555" s="1" t="str">
        <f aca="false">TRIM(A1555)</f>
        <v># 10%</v>
      </c>
    </row>
    <row r="1556" customFormat="false" ht="12.75" hidden="false" customHeight="true" outlineLevel="0" collapsed="false">
      <c r="A1556" s="1" t="s">
        <v>1640</v>
      </c>
      <c r="B1556" s="1" t="str">
        <f aca="false">TRIM(A1556)</f>
        <v>+44, 44, HAUNTER</v>
      </c>
    </row>
    <row r="1557" customFormat="false" ht="12.75" hidden="false" customHeight="true" outlineLevel="0" collapsed="false">
      <c r="A1557" s="1" t="s">
        <v>1641</v>
      </c>
      <c r="B1557" s="1" t="str">
        <f aca="false">TRIM(A1557)</f>
        <v>+46, 46, HAUNTER</v>
      </c>
    </row>
    <row r="1558" customFormat="false" ht="12.75" hidden="false" customHeight="true" outlineLevel="0" collapsed="false">
      <c r="A1558" s="1" t="s">
        <v>1642</v>
      </c>
      <c r="B1558" s="1" t="str">
        <f aca="false">TRIM(A1558)</f>
        <v>+41, 41, GOLBAT</v>
      </c>
    </row>
    <row r="1559" customFormat="false" ht="12.75" hidden="false" customHeight="true" outlineLevel="0" collapsed="false">
      <c r="A1559" s="1" t="s">
        <v>1643</v>
      </c>
      <c r="B1559" s="1" t="str">
        <f aca="false">TRIM(A1559)</f>
        <v>+43, 43, GOLBAT</v>
      </c>
    </row>
    <row r="1560" customFormat="false" ht="12.75" hidden="false" customHeight="true" outlineLevel="0" collapsed="false">
      <c r="A1560" s="2"/>
      <c r="B1560" s="1" t="str">
        <f aca="false">TRIM(A1560)</f>
        <v/>
      </c>
    </row>
    <row r="1561" customFormat="false" ht="12.75" hidden="false" customHeight="true" outlineLevel="0" collapsed="false">
      <c r="A1561" s="1" t="s">
        <v>1210</v>
      </c>
      <c r="B1561" s="1" t="str">
        <f aca="false">TRIM(A1561)</f>
        <v># 5%</v>
      </c>
    </row>
    <row r="1562" customFormat="false" ht="12.75" hidden="false" customHeight="true" outlineLevel="0" collapsed="false">
      <c r="A1562" s="1" t="s">
        <v>1644</v>
      </c>
      <c r="B1562" s="1" t="str">
        <f aca="false">TRIM(A1562)</f>
        <v>+38, 38, GASTLY</v>
      </c>
    </row>
    <row r="1563" customFormat="false" ht="12.75" hidden="false" customHeight="true" outlineLevel="0" collapsed="false">
      <c r="A1563" s="1" t="s">
        <v>1645</v>
      </c>
      <c r="B1563" s="1" t="str">
        <f aca="false">TRIM(A1563)</f>
        <v>+48, 48, HAUNTER</v>
      </c>
    </row>
    <row r="1564" customFormat="false" ht="12.75" hidden="false" customHeight="true" outlineLevel="0" collapsed="false">
      <c r="A1564" s="2"/>
      <c r="B1564" s="1" t="str">
        <f aca="false">TRIM(A1564)</f>
        <v/>
      </c>
    </row>
    <row r="1565" customFormat="false" ht="12.75" hidden="false" customHeight="true" outlineLevel="0" collapsed="false">
      <c r="A1565" s="1" t="s">
        <v>1211</v>
      </c>
      <c r="B1565" s="1" t="str">
        <f aca="false">TRIM(A1565)</f>
        <v># 4%</v>
      </c>
    </row>
    <row r="1566" customFormat="false" ht="12.75" hidden="false" customHeight="true" outlineLevel="0" collapsed="false">
      <c r="A1566" s="1" t="s">
        <v>1646</v>
      </c>
      <c r="B1566" s="1" t="str">
        <f aca="false">TRIM(A1566)</f>
        <v>+50, 50, HAUNTER</v>
      </c>
    </row>
    <row r="1567" customFormat="false" ht="12.75" hidden="false" customHeight="true" outlineLevel="0" collapsed="false">
      <c r="A1567" s="1" t="s">
        <v>1647</v>
      </c>
      <c r="B1567" s="1" t="str">
        <f aca="false">TRIM(A1567)</f>
        <v>+22, 22, MISDREAVUS</v>
      </c>
    </row>
    <row r="1568" customFormat="false" ht="12.75" hidden="false" customHeight="true" outlineLevel="0" collapsed="false">
      <c r="A1568" s="2"/>
      <c r="B1568" s="1" t="str">
        <f aca="false">TRIM(A1568)</f>
        <v/>
      </c>
    </row>
    <row r="1569" customFormat="false" ht="12.75" hidden="false" customHeight="true" outlineLevel="0" collapsed="false">
      <c r="A1569" s="1" t="s">
        <v>1212</v>
      </c>
      <c r="B1569" s="1" t="str">
        <f aca="false">TRIM(A1569)</f>
        <v># 1%</v>
      </c>
    </row>
    <row r="1570" customFormat="false" ht="12.75" hidden="false" customHeight="true" outlineLevel="0" collapsed="false">
      <c r="A1570" s="1" t="s">
        <v>1648</v>
      </c>
      <c r="B1570" s="1" t="str">
        <f aca="false">TRIM(A1570)</f>
        <v>+52, 52, HAUNTER</v>
      </c>
    </row>
    <row r="1571" customFormat="false" ht="12.75" hidden="false" customHeight="true" outlineLevel="0" collapsed="false">
      <c r="A1571" s="1" t="s">
        <v>2657</v>
      </c>
      <c r="B1571" s="1" t="str">
        <f aca="false">TRIM(A1571)</f>
        <v>+22, 22, MISDREAVUS , &lt;null&gt;, &lt;null&gt;, &lt;null&gt;</v>
      </c>
    </row>
    <row r="1572" customFormat="false" ht="12.75" hidden="false" customHeight="true" outlineLevel="0" collapsed="false">
      <c r="A1572" s="2"/>
      <c r="B1572" s="1" t="str">
        <f aca="false">TRIM(A1572)</f>
        <v/>
      </c>
    </row>
    <row r="1573" customFormat="false" ht="12.75" hidden="false" customHeight="true" outlineLevel="0" collapsed="false">
      <c r="A1573" s="1" t="s">
        <v>2536</v>
      </c>
      <c r="B1573" s="1" t="str">
        <f aca="false">TRIM(A1573)</f>
        <v>NEW ROUTE</v>
      </c>
    </row>
    <row r="1574" customFormat="false" ht="12.75" hidden="false" customHeight="true" outlineLevel="0" collapsed="false">
      <c r="A1574" s="1" t="s">
        <v>2664</v>
      </c>
      <c r="B1574" s="1" t="str">
        <f aca="false">TRIM(A1574)</f>
        <v>+2, 19, 0,</v>
      </c>
    </row>
    <row r="1575" customFormat="false" ht="12.75" hidden="false" customHeight="true" outlineLevel="0" collapsed="false">
      <c r="A1575" s="1" t="s">
        <v>2541</v>
      </c>
      <c r="B1575" s="1" t="str">
        <f aca="false">TRIM(A1575)</f>
        <v>7, # 20%</v>
      </c>
    </row>
    <row r="1576" customFormat="false" ht="12.75" hidden="false" customHeight="true" outlineLevel="0" collapsed="false">
      <c r="A1576" s="1" t="s">
        <v>1638</v>
      </c>
      <c r="B1576" s="1" t="str">
        <f aca="false">TRIM(A1576)</f>
        <v>40, 40, GASTLY</v>
      </c>
    </row>
    <row r="1577" customFormat="false" ht="12.75" hidden="false" customHeight="true" outlineLevel="0" collapsed="false">
      <c r="A1577" s="1" t="s">
        <v>1639</v>
      </c>
      <c r="B1577" s="1" t="str">
        <f aca="false">TRIM(A1577)</f>
        <v>+37, 37, ZUBAT</v>
      </c>
    </row>
    <row r="1578" customFormat="false" ht="12.75" hidden="false" customHeight="true" outlineLevel="0" collapsed="false">
      <c r="A1578" s="2"/>
      <c r="B1578" s="1" t="str">
        <f aca="false">TRIM(A1578)</f>
        <v/>
      </c>
    </row>
    <row r="1579" customFormat="false" ht="12.75" hidden="false" customHeight="true" outlineLevel="0" collapsed="false">
      <c r="A1579" s="1" t="s">
        <v>1209</v>
      </c>
      <c r="B1579" s="1" t="str">
        <f aca="false">TRIM(A1579)</f>
        <v># 10%</v>
      </c>
    </row>
    <row r="1580" customFormat="false" ht="12.75" hidden="false" customHeight="true" outlineLevel="0" collapsed="false">
      <c r="A1580" s="1" t="s">
        <v>1640</v>
      </c>
      <c r="B1580" s="1" t="str">
        <f aca="false">TRIM(A1580)</f>
        <v>+44, 44, HAUNTER</v>
      </c>
    </row>
    <row r="1581" customFormat="false" ht="12.75" hidden="false" customHeight="true" outlineLevel="0" collapsed="false">
      <c r="A1581" s="1" t="s">
        <v>1641</v>
      </c>
      <c r="B1581" s="1" t="str">
        <f aca="false">TRIM(A1581)</f>
        <v>+46, 46, HAUNTER</v>
      </c>
    </row>
    <row r="1582" customFormat="false" ht="12.75" hidden="false" customHeight="true" outlineLevel="0" collapsed="false">
      <c r="A1582" s="1" t="s">
        <v>1642</v>
      </c>
      <c r="B1582" s="1" t="str">
        <f aca="false">TRIM(A1582)</f>
        <v>+41, 41, GOLBAT</v>
      </c>
    </row>
    <row r="1583" customFormat="false" ht="12.75" hidden="false" customHeight="true" outlineLevel="0" collapsed="false">
      <c r="A1583" s="1" t="s">
        <v>1643</v>
      </c>
      <c r="B1583" s="1" t="str">
        <f aca="false">TRIM(A1583)</f>
        <v>+43, 43, GOLBAT</v>
      </c>
    </row>
    <row r="1584" customFormat="false" ht="12.75" hidden="false" customHeight="true" outlineLevel="0" collapsed="false">
      <c r="A1584" s="2"/>
      <c r="B1584" s="1" t="str">
        <f aca="false">TRIM(A1584)</f>
        <v/>
      </c>
    </row>
    <row r="1585" customFormat="false" ht="12.75" hidden="false" customHeight="true" outlineLevel="0" collapsed="false">
      <c r="A1585" s="1" t="s">
        <v>1210</v>
      </c>
      <c r="B1585" s="1" t="str">
        <f aca="false">TRIM(A1585)</f>
        <v># 5%</v>
      </c>
    </row>
    <row r="1586" customFormat="false" ht="12.75" hidden="false" customHeight="true" outlineLevel="0" collapsed="false">
      <c r="A1586" s="1" t="s">
        <v>1644</v>
      </c>
      <c r="B1586" s="1" t="str">
        <f aca="false">TRIM(A1586)</f>
        <v>+38, 38, GASTLY</v>
      </c>
    </row>
    <row r="1587" customFormat="false" ht="12.75" hidden="false" customHeight="true" outlineLevel="0" collapsed="false">
      <c r="A1587" s="1" t="s">
        <v>1645</v>
      </c>
      <c r="B1587" s="1" t="str">
        <f aca="false">TRIM(A1587)</f>
        <v>+48, 48, HAUNTER</v>
      </c>
    </row>
    <row r="1588" customFormat="false" ht="12.75" hidden="false" customHeight="true" outlineLevel="0" collapsed="false">
      <c r="A1588" s="2"/>
      <c r="B1588" s="1" t="str">
        <f aca="false">TRIM(A1588)</f>
        <v/>
      </c>
    </row>
    <row r="1589" customFormat="false" ht="12.75" hidden="false" customHeight="true" outlineLevel="0" collapsed="false">
      <c r="A1589" s="1" t="s">
        <v>1211</v>
      </c>
      <c r="B1589" s="1" t="str">
        <f aca="false">TRIM(A1589)</f>
        <v># 4%</v>
      </c>
    </row>
    <row r="1590" customFormat="false" ht="12.75" hidden="false" customHeight="true" outlineLevel="0" collapsed="false">
      <c r="A1590" s="1" t="s">
        <v>1646</v>
      </c>
      <c r="B1590" s="1" t="str">
        <f aca="false">TRIM(A1590)</f>
        <v>+50, 50, HAUNTER</v>
      </c>
    </row>
    <row r="1591" customFormat="false" ht="12.75" hidden="false" customHeight="true" outlineLevel="0" collapsed="false">
      <c r="A1591" s="1" t="s">
        <v>1647</v>
      </c>
      <c r="B1591" s="1" t="str">
        <f aca="false">TRIM(A1591)</f>
        <v>+22, 22, MISDREAVUS</v>
      </c>
    </row>
    <row r="1592" customFormat="false" ht="12.75" hidden="false" customHeight="true" outlineLevel="0" collapsed="false">
      <c r="A1592" s="2"/>
      <c r="B1592" s="1" t="str">
        <f aca="false">TRIM(A1592)</f>
        <v/>
      </c>
    </row>
    <row r="1593" customFormat="false" ht="12.75" hidden="false" customHeight="true" outlineLevel="0" collapsed="false">
      <c r="A1593" s="1" t="s">
        <v>1212</v>
      </c>
      <c r="B1593" s="1" t="str">
        <f aca="false">TRIM(A1593)</f>
        <v># 1%</v>
      </c>
    </row>
    <row r="1594" customFormat="false" ht="12.75" hidden="false" customHeight="true" outlineLevel="0" collapsed="false">
      <c r="A1594" s="1" t="s">
        <v>1648</v>
      </c>
      <c r="B1594" s="1" t="str">
        <f aca="false">TRIM(A1594)</f>
        <v>+52, 52, HAUNTER</v>
      </c>
    </row>
    <row r="1595" customFormat="false" ht="12.75" hidden="false" customHeight="true" outlineLevel="0" collapsed="false">
      <c r="A1595" s="1" t="s">
        <v>2657</v>
      </c>
      <c r="B1595" s="1" t="str">
        <f aca="false">TRIM(A1595)</f>
        <v>+22, 22, MISDREAVUS , &lt;null&gt;, &lt;null&gt;, &lt;null&gt;</v>
      </c>
    </row>
    <row r="1596" customFormat="false" ht="12.75" hidden="false" customHeight="true" outlineLevel="0" collapsed="false">
      <c r="A1596" s="2"/>
      <c r="B1596" s="1" t="str">
        <f aca="false">TRIM(A1596)</f>
        <v/>
      </c>
    </row>
    <row r="1597" customFormat="false" ht="12.75" hidden="false" customHeight="true" outlineLevel="0" collapsed="false">
      <c r="A1597" s="1" t="s">
        <v>2536</v>
      </c>
      <c r="B1597" s="1" t="str">
        <f aca="false">TRIM(A1597)</f>
        <v>NEW ROUTE</v>
      </c>
    </row>
    <row r="1598" customFormat="false" ht="12.75" hidden="false" customHeight="true" outlineLevel="0" collapsed="false">
      <c r="A1598" s="1" t="s">
        <v>2665</v>
      </c>
      <c r="B1598" s="1" t="str">
        <f aca="false">TRIM(A1598)</f>
        <v>+2, 20, 0,</v>
      </c>
    </row>
    <row r="1599" customFormat="false" ht="12.75" hidden="false" customHeight="true" outlineLevel="0" collapsed="false">
      <c r="A1599" s="1" t="s">
        <v>2613</v>
      </c>
      <c r="B1599" s="1" t="str">
        <f aca="false">TRIM(A1599)</f>
        <v>8, # 20%</v>
      </c>
    </row>
    <row r="1600" customFormat="false" ht="12.75" hidden="false" customHeight="true" outlineLevel="0" collapsed="false">
      <c r="A1600" s="1" t="s">
        <v>1638</v>
      </c>
      <c r="B1600" s="1" t="str">
        <f aca="false">TRIM(A1600)</f>
        <v>40, 40, GASTLY</v>
      </c>
    </row>
    <row r="1601" customFormat="false" ht="12.75" hidden="false" customHeight="true" outlineLevel="0" collapsed="false">
      <c r="A1601" s="1" t="s">
        <v>1639</v>
      </c>
      <c r="B1601" s="1" t="str">
        <f aca="false">TRIM(A1601)</f>
        <v>+37, 37, ZUBAT</v>
      </c>
    </row>
    <row r="1602" customFormat="false" ht="12.75" hidden="false" customHeight="true" outlineLevel="0" collapsed="false">
      <c r="A1602" s="2"/>
      <c r="B1602" s="1" t="str">
        <f aca="false">TRIM(A1602)</f>
        <v/>
      </c>
    </row>
    <row r="1603" customFormat="false" ht="12.75" hidden="false" customHeight="true" outlineLevel="0" collapsed="false">
      <c r="A1603" s="1" t="s">
        <v>1209</v>
      </c>
      <c r="B1603" s="1" t="str">
        <f aca="false">TRIM(A1603)</f>
        <v># 10%</v>
      </c>
    </row>
    <row r="1604" customFormat="false" ht="12.75" hidden="false" customHeight="true" outlineLevel="0" collapsed="false">
      <c r="A1604" s="1" t="s">
        <v>1640</v>
      </c>
      <c r="B1604" s="1" t="str">
        <f aca="false">TRIM(A1604)</f>
        <v>+44, 44, HAUNTER</v>
      </c>
    </row>
    <row r="1605" customFormat="false" ht="12.75" hidden="false" customHeight="true" outlineLevel="0" collapsed="false">
      <c r="A1605" s="1" t="s">
        <v>1641</v>
      </c>
      <c r="B1605" s="1" t="str">
        <f aca="false">TRIM(A1605)</f>
        <v>+46, 46, HAUNTER</v>
      </c>
    </row>
    <row r="1606" customFormat="false" ht="12.75" hidden="false" customHeight="true" outlineLevel="0" collapsed="false">
      <c r="A1606" s="1" t="s">
        <v>1642</v>
      </c>
      <c r="B1606" s="1" t="str">
        <f aca="false">TRIM(A1606)</f>
        <v>+41, 41, GOLBAT</v>
      </c>
    </row>
    <row r="1607" customFormat="false" ht="12.75" hidden="false" customHeight="true" outlineLevel="0" collapsed="false">
      <c r="A1607" s="1" t="s">
        <v>1643</v>
      </c>
      <c r="B1607" s="1" t="str">
        <f aca="false">TRIM(A1607)</f>
        <v>+43, 43, GOLBAT</v>
      </c>
    </row>
    <row r="1608" customFormat="false" ht="12.75" hidden="false" customHeight="true" outlineLevel="0" collapsed="false">
      <c r="A1608" s="2"/>
      <c r="B1608" s="1" t="str">
        <f aca="false">TRIM(A1608)</f>
        <v/>
      </c>
    </row>
    <row r="1609" customFormat="false" ht="12.75" hidden="false" customHeight="true" outlineLevel="0" collapsed="false">
      <c r="A1609" s="1" t="s">
        <v>1210</v>
      </c>
      <c r="B1609" s="1" t="str">
        <f aca="false">TRIM(A1609)</f>
        <v># 5%</v>
      </c>
    </row>
    <row r="1610" customFormat="false" ht="12.75" hidden="false" customHeight="true" outlineLevel="0" collapsed="false">
      <c r="A1610" s="1" t="s">
        <v>1644</v>
      </c>
      <c r="B1610" s="1" t="str">
        <f aca="false">TRIM(A1610)</f>
        <v>+38, 38, GASTLY</v>
      </c>
    </row>
    <row r="1611" customFormat="false" ht="12.75" hidden="false" customHeight="true" outlineLevel="0" collapsed="false">
      <c r="A1611" s="1" t="s">
        <v>1645</v>
      </c>
      <c r="B1611" s="1" t="str">
        <f aca="false">TRIM(A1611)</f>
        <v>+48, 48, HAUNTER</v>
      </c>
    </row>
    <row r="1612" customFormat="false" ht="12.75" hidden="false" customHeight="true" outlineLevel="0" collapsed="false">
      <c r="A1612" s="2"/>
      <c r="B1612" s="1" t="str">
        <f aca="false">TRIM(A1612)</f>
        <v/>
      </c>
    </row>
    <row r="1613" customFormat="false" ht="12.75" hidden="false" customHeight="true" outlineLevel="0" collapsed="false">
      <c r="A1613" s="1" t="s">
        <v>1211</v>
      </c>
      <c r="B1613" s="1" t="str">
        <f aca="false">TRIM(A1613)</f>
        <v># 4%</v>
      </c>
    </row>
    <row r="1614" customFormat="false" ht="12.75" hidden="false" customHeight="true" outlineLevel="0" collapsed="false">
      <c r="A1614" s="1" t="s">
        <v>1646</v>
      </c>
      <c r="B1614" s="1" t="str">
        <f aca="false">TRIM(A1614)</f>
        <v>+50, 50, HAUNTER</v>
      </c>
    </row>
    <row r="1615" customFormat="false" ht="12.75" hidden="false" customHeight="true" outlineLevel="0" collapsed="false">
      <c r="A1615" s="1" t="s">
        <v>1647</v>
      </c>
      <c r="B1615" s="1" t="str">
        <f aca="false">TRIM(A1615)</f>
        <v>+22, 22, MISDREAVUS</v>
      </c>
    </row>
    <row r="1616" customFormat="false" ht="12.75" hidden="false" customHeight="true" outlineLevel="0" collapsed="false">
      <c r="A1616" s="2"/>
      <c r="B1616" s="1" t="str">
        <f aca="false">TRIM(A1616)</f>
        <v/>
      </c>
    </row>
    <row r="1617" customFormat="false" ht="12.75" hidden="false" customHeight="true" outlineLevel="0" collapsed="false">
      <c r="A1617" s="1" t="s">
        <v>1212</v>
      </c>
      <c r="B1617" s="1" t="str">
        <f aca="false">TRIM(A1617)</f>
        <v># 1%</v>
      </c>
    </row>
    <row r="1618" customFormat="false" ht="12.75" hidden="false" customHeight="true" outlineLevel="0" collapsed="false">
      <c r="A1618" s="1" t="s">
        <v>1648</v>
      </c>
      <c r="B1618" s="1" t="str">
        <f aca="false">TRIM(A1618)</f>
        <v>+52, 52, HAUNTER</v>
      </c>
    </row>
    <row r="1619" customFormat="false" ht="12.75" hidden="false" customHeight="true" outlineLevel="0" collapsed="false">
      <c r="A1619" s="1" t="s">
        <v>2657</v>
      </c>
      <c r="B1619" s="1" t="str">
        <f aca="false">TRIM(A1619)</f>
        <v>+22, 22, MISDREAVUS , &lt;null&gt;, &lt;null&gt;, &lt;null&gt;</v>
      </c>
    </row>
    <row r="1620" customFormat="false" ht="12.75" hidden="false" customHeight="true" outlineLevel="0" collapsed="false">
      <c r="A1620" s="2"/>
      <c r="B1620" s="1" t="str">
        <f aca="false">TRIM(A1620)</f>
        <v/>
      </c>
    </row>
    <row r="1621" customFormat="false" ht="12.75" hidden="false" customHeight="true" outlineLevel="0" collapsed="false">
      <c r="A1621" s="1" t="s">
        <v>2536</v>
      </c>
      <c r="B1621" s="1" t="str">
        <f aca="false">TRIM(A1621)</f>
        <v>NEW ROUTE</v>
      </c>
    </row>
    <row r="1622" customFormat="false" ht="12.75" hidden="false" customHeight="true" outlineLevel="0" collapsed="false">
      <c r="A1622" s="1" t="s">
        <v>2666</v>
      </c>
      <c r="B1622" s="1" t="str">
        <f aca="false">TRIM(A1622)</f>
        <v>+2, 21, 0,</v>
      </c>
    </row>
    <row r="1623" customFormat="false" ht="12.75" hidden="false" customHeight="true" outlineLevel="0" collapsed="false">
      <c r="A1623" s="1" t="s">
        <v>2667</v>
      </c>
      <c r="B1623" s="1" t="str">
        <f aca="false">TRIM(A1623)</f>
        <v>9, # 20%</v>
      </c>
    </row>
    <row r="1624" customFormat="false" ht="12.75" hidden="false" customHeight="true" outlineLevel="0" collapsed="false">
      <c r="A1624" s="1" t="s">
        <v>1638</v>
      </c>
      <c r="B1624" s="1" t="str">
        <f aca="false">TRIM(A1624)</f>
        <v>40, 40, GASTLY</v>
      </c>
    </row>
    <row r="1625" customFormat="false" ht="12.75" hidden="false" customHeight="true" outlineLevel="0" collapsed="false">
      <c r="A1625" s="1" t="s">
        <v>1639</v>
      </c>
      <c r="B1625" s="1" t="str">
        <f aca="false">TRIM(A1625)</f>
        <v>+37, 37, ZUBAT</v>
      </c>
    </row>
    <row r="1626" customFormat="false" ht="12.75" hidden="false" customHeight="true" outlineLevel="0" collapsed="false">
      <c r="A1626" s="2"/>
      <c r="B1626" s="1" t="str">
        <f aca="false">TRIM(A1626)</f>
        <v/>
      </c>
    </row>
    <row r="1627" customFormat="false" ht="12.75" hidden="false" customHeight="true" outlineLevel="0" collapsed="false">
      <c r="A1627" s="1" t="s">
        <v>1209</v>
      </c>
      <c r="B1627" s="1" t="str">
        <f aca="false">TRIM(A1627)</f>
        <v># 10%</v>
      </c>
    </row>
    <row r="1628" customFormat="false" ht="12.75" hidden="false" customHeight="true" outlineLevel="0" collapsed="false">
      <c r="A1628" s="1" t="s">
        <v>1640</v>
      </c>
      <c r="B1628" s="1" t="str">
        <f aca="false">TRIM(A1628)</f>
        <v>+44, 44, HAUNTER</v>
      </c>
    </row>
    <row r="1629" customFormat="false" ht="12.75" hidden="false" customHeight="true" outlineLevel="0" collapsed="false">
      <c r="A1629" s="1" t="s">
        <v>1641</v>
      </c>
      <c r="B1629" s="1" t="str">
        <f aca="false">TRIM(A1629)</f>
        <v>+46, 46, HAUNTER</v>
      </c>
    </row>
    <row r="1630" customFormat="false" ht="12.75" hidden="false" customHeight="true" outlineLevel="0" collapsed="false">
      <c r="A1630" s="1" t="s">
        <v>1642</v>
      </c>
      <c r="B1630" s="1" t="str">
        <f aca="false">TRIM(A1630)</f>
        <v>+41, 41, GOLBAT</v>
      </c>
    </row>
    <row r="1631" customFormat="false" ht="12.75" hidden="false" customHeight="true" outlineLevel="0" collapsed="false">
      <c r="A1631" s="1" t="s">
        <v>1643</v>
      </c>
      <c r="B1631" s="1" t="str">
        <f aca="false">TRIM(A1631)</f>
        <v>+43, 43, GOLBAT</v>
      </c>
    </row>
    <row r="1632" customFormat="false" ht="12.75" hidden="false" customHeight="true" outlineLevel="0" collapsed="false">
      <c r="A1632" s="2"/>
      <c r="B1632" s="1" t="str">
        <f aca="false">TRIM(A1632)</f>
        <v/>
      </c>
    </row>
    <row r="1633" customFormat="false" ht="12.75" hidden="false" customHeight="true" outlineLevel="0" collapsed="false">
      <c r="A1633" s="1" t="s">
        <v>1210</v>
      </c>
      <c r="B1633" s="1" t="str">
        <f aca="false">TRIM(A1633)</f>
        <v># 5%</v>
      </c>
    </row>
    <row r="1634" customFormat="false" ht="12.75" hidden="false" customHeight="true" outlineLevel="0" collapsed="false">
      <c r="A1634" s="1" t="s">
        <v>1644</v>
      </c>
      <c r="B1634" s="1" t="str">
        <f aca="false">TRIM(A1634)</f>
        <v>+38, 38, GASTLY</v>
      </c>
    </row>
    <row r="1635" customFormat="false" ht="12.75" hidden="false" customHeight="true" outlineLevel="0" collapsed="false">
      <c r="A1635" s="1" t="s">
        <v>1645</v>
      </c>
      <c r="B1635" s="1" t="str">
        <f aca="false">TRIM(A1635)</f>
        <v>+48, 48, HAUNTER</v>
      </c>
    </row>
    <row r="1636" customFormat="false" ht="12.75" hidden="false" customHeight="true" outlineLevel="0" collapsed="false">
      <c r="A1636" s="2"/>
      <c r="B1636" s="1" t="str">
        <f aca="false">TRIM(A1636)</f>
        <v/>
      </c>
    </row>
    <row r="1637" customFormat="false" ht="12.75" hidden="false" customHeight="true" outlineLevel="0" collapsed="false">
      <c r="A1637" s="1" t="s">
        <v>1211</v>
      </c>
      <c r="B1637" s="1" t="str">
        <f aca="false">TRIM(A1637)</f>
        <v># 4%</v>
      </c>
    </row>
    <row r="1638" customFormat="false" ht="12.75" hidden="false" customHeight="true" outlineLevel="0" collapsed="false">
      <c r="A1638" s="1" t="s">
        <v>1646</v>
      </c>
      <c r="B1638" s="1" t="str">
        <f aca="false">TRIM(A1638)</f>
        <v>+50, 50, HAUNTER</v>
      </c>
    </row>
    <row r="1639" customFormat="false" ht="12.75" hidden="false" customHeight="true" outlineLevel="0" collapsed="false">
      <c r="A1639" s="1" t="s">
        <v>1647</v>
      </c>
      <c r="B1639" s="1" t="str">
        <f aca="false">TRIM(A1639)</f>
        <v>+22, 22, MISDREAVUS</v>
      </c>
    </row>
    <row r="1640" customFormat="false" ht="12.75" hidden="false" customHeight="true" outlineLevel="0" collapsed="false">
      <c r="A1640" s="2"/>
      <c r="B1640" s="1" t="str">
        <f aca="false">TRIM(A1640)</f>
        <v/>
      </c>
    </row>
    <row r="1641" customFormat="false" ht="12.75" hidden="false" customHeight="true" outlineLevel="0" collapsed="false">
      <c r="A1641" s="1" t="s">
        <v>1212</v>
      </c>
      <c r="B1641" s="1" t="str">
        <f aca="false">TRIM(A1641)</f>
        <v># 1%</v>
      </c>
    </row>
    <row r="1642" customFormat="false" ht="12.75" hidden="false" customHeight="true" outlineLevel="0" collapsed="false">
      <c r="A1642" s="1" t="s">
        <v>1648</v>
      </c>
      <c r="B1642" s="1" t="str">
        <f aca="false">TRIM(A1642)</f>
        <v>+52, 52, HAUNTER</v>
      </c>
    </row>
    <row r="1643" customFormat="false" ht="12.75" hidden="false" customHeight="true" outlineLevel="0" collapsed="false">
      <c r="A1643" s="1" t="s">
        <v>2657</v>
      </c>
      <c r="B1643" s="1" t="str">
        <f aca="false">TRIM(A1643)</f>
        <v>+22, 22, MISDREAVUS , &lt;null&gt;, &lt;null&gt;, &lt;null&gt;</v>
      </c>
    </row>
    <row r="1644" customFormat="false" ht="12.75" hidden="false" customHeight="true" outlineLevel="0" collapsed="false">
      <c r="A1644" s="2"/>
      <c r="B1644" s="1" t="str">
        <f aca="false">TRIM(A1644)</f>
        <v/>
      </c>
    </row>
    <row r="1645" customFormat="false" ht="12.75" hidden="false" customHeight="true" outlineLevel="0" collapsed="false">
      <c r="A1645" s="1" t="s">
        <v>2536</v>
      </c>
      <c r="B1645" s="1" t="str">
        <f aca="false">TRIM(A1645)</f>
        <v>NEW ROUTE</v>
      </c>
    </row>
    <row r="1646" customFormat="false" ht="12.75" hidden="false" customHeight="true" outlineLevel="0" collapsed="false">
      <c r="A1646" s="1" t="s">
        <v>2668</v>
      </c>
      <c r="B1646" s="1" t="str">
        <f aca="false">TRIM(A1646)</f>
        <v>+2, 22, 0,</v>
      </c>
    </row>
    <row r="1647" customFormat="false" ht="12.75" hidden="false" customHeight="true" outlineLevel="0" collapsed="false">
      <c r="A1647" s="1" t="s">
        <v>2615</v>
      </c>
      <c r="B1647" s="1" t="str">
        <f aca="false">TRIM(A1647)</f>
        <v>10, # 20%</v>
      </c>
    </row>
    <row r="1648" customFormat="false" ht="12.75" hidden="false" customHeight="true" outlineLevel="0" collapsed="false">
      <c r="A1648" s="1" t="s">
        <v>1638</v>
      </c>
      <c r="B1648" s="1" t="str">
        <f aca="false">TRIM(A1648)</f>
        <v>40, 40, GASTLY</v>
      </c>
    </row>
    <row r="1649" customFormat="false" ht="12.75" hidden="false" customHeight="true" outlineLevel="0" collapsed="false">
      <c r="A1649" s="1" t="s">
        <v>1639</v>
      </c>
      <c r="B1649" s="1" t="str">
        <f aca="false">TRIM(A1649)</f>
        <v>+37, 37, ZUBAT</v>
      </c>
    </row>
    <row r="1650" customFormat="false" ht="12.75" hidden="false" customHeight="true" outlineLevel="0" collapsed="false">
      <c r="A1650" s="2"/>
      <c r="B1650" s="1" t="str">
        <f aca="false">TRIM(A1650)</f>
        <v/>
      </c>
    </row>
    <row r="1651" customFormat="false" ht="12.75" hidden="false" customHeight="true" outlineLevel="0" collapsed="false">
      <c r="A1651" s="1" t="s">
        <v>1209</v>
      </c>
      <c r="B1651" s="1" t="str">
        <f aca="false">TRIM(A1651)</f>
        <v># 10%</v>
      </c>
    </row>
    <row r="1652" customFormat="false" ht="12.75" hidden="false" customHeight="true" outlineLevel="0" collapsed="false">
      <c r="A1652" s="1" t="s">
        <v>1640</v>
      </c>
      <c r="B1652" s="1" t="str">
        <f aca="false">TRIM(A1652)</f>
        <v>+44, 44, HAUNTER</v>
      </c>
    </row>
    <row r="1653" customFormat="false" ht="12.75" hidden="false" customHeight="true" outlineLevel="0" collapsed="false">
      <c r="A1653" s="1" t="s">
        <v>1641</v>
      </c>
      <c r="B1653" s="1" t="str">
        <f aca="false">TRIM(A1653)</f>
        <v>+46, 46, HAUNTER</v>
      </c>
    </row>
    <row r="1654" customFormat="false" ht="12.75" hidden="false" customHeight="true" outlineLevel="0" collapsed="false">
      <c r="A1654" s="1" t="s">
        <v>1642</v>
      </c>
      <c r="B1654" s="1" t="str">
        <f aca="false">TRIM(A1654)</f>
        <v>+41, 41, GOLBAT</v>
      </c>
    </row>
    <row r="1655" customFormat="false" ht="12.75" hidden="false" customHeight="true" outlineLevel="0" collapsed="false">
      <c r="A1655" s="1" t="s">
        <v>1643</v>
      </c>
      <c r="B1655" s="1" t="str">
        <f aca="false">TRIM(A1655)</f>
        <v>+43, 43, GOLBAT</v>
      </c>
    </row>
    <row r="1656" customFormat="false" ht="12.75" hidden="false" customHeight="true" outlineLevel="0" collapsed="false">
      <c r="A1656" s="2"/>
      <c r="B1656" s="1" t="str">
        <f aca="false">TRIM(A1656)</f>
        <v/>
      </c>
    </row>
    <row r="1657" customFormat="false" ht="12.75" hidden="false" customHeight="true" outlineLevel="0" collapsed="false">
      <c r="A1657" s="1" t="s">
        <v>1210</v>
      </c>
      <c r="B1657" s="1" t="str">
        <f aca="false">TRIM(A1657)</f>
        <v># 5%</v>
      </c>
    </row>
    <row r="1658" customFormat="false" ht="12.75" hidden="false" customHeight="true" outlineLevel="0" collapsed="false">
      <c r="A1658" s="1" t="s">
        <v>1644</v>
      </c>
      <c r="B1658" s="1" t="str">
        <f aca="false">TRIM(A1658)</f>
        <v>+38, 38, GASTLY</v>
      </c>
    </row>
    <row r="1659" customFormat="false" ht="12.75" hidden="false" customHeight="true" outlineLevel="0" collapsed="false">
      <c r="A1659" s="1" t="s">
        <v>1645</v>
      </c>
      <c r="B1659" s="1" t="str">
        <f aca="false">TRIM(A1659)</f>
        <v>+48, 48, HAUNTER</v>
      </c>
    </row>
    <row r="1660" customFormat="false" ht="12.75" hidden="false" customHeight="true" outlineLevel="0" collapsed="false">
      <c r="A1660" s="2"/>
      <c r="B1660" s="1" t="str">
        <f aca="false">TRIM(A1660)</f>
        <v/>
      </c>
    </row>
    <row r="1661" customFormat="false" ht="12.75" hidden="false" customHeight="true" outlineLevel="0" collapsed="false">
      <c r="A1661" s="1" t="s">
        <v>1211</v>
      </c>
      <c r="B1661" s="1" t="str">
        <f aca="false">TRIM(A1661)</f>
        <v># 4%</v>
      </c>
    </row>
    <row r="1662" customFormat="false" ht="12.75" hidden="false" customHeight="true" outlineLevel="0" collapsed="false">
      <c r="A1662" s="1" t="s">
        <v>1646</v>
      </c>
      <c r="B1662" s="1" t="str">
        <f aca="false">TRIM(A1662)</f>
        <v>+50, 50, HAUNTER</v>
      </c>
    </row>
    <row r="1663" customFormat="false" ht="12.75" hidden="false" customHeight="true" outlineLevel="0" collapsed="false">
      <c r="A1663" s="1" t="s">
        <v>1647</v>
      </c>
      <c r="B1663" s="1" t="str">
        <f aca="false">TRIM(A1663)</f>
        <v>+22, 22, MISDREAVUS</v>
      </c>
    </row>
    <row r="1664" customFormat="false" ht="12.75" hidden="false" customHeight="true" outlineLevel="0" collapsed="false">
      <c r="A1664" s="2"/>
      <c r="B1664" s="1" t="str">
        <f aca="false">TRIM(A1664)</f>
        <v/>
      </c>
    </row>
    <row r="1665" customFormat="false" ht="12.75" hidden="false" customHeight="true" outlineLevel="0" collapsed="false">
      <c r="A1665" s="1" t="s">
        <v>1212</v>
      </c>
      <c r="B1665" s="1" t="str">
        <f aca="false">TRIM(A1665)</f>
        <v># 1%</v>
      </c>
    </row>
    <row r="1666" customFormat="false" ht="12.75" hidden="false" customHeight="true" outlineLevel="0" collapsed="false">
      <c r="A1666" s="1" t="s">
        <v>1648</v>
      </c>
      <c r="B1666" s="1" t="str">
        <f aca="false">TRIM(A1666)</f>
        <v>+52, 52, HAUNTER</v>
      </c>
    </row>
    <row r="1667" customFormat="false" ht="12.75" hidden="false" customHeight="true" outlineLevel="0" collapsed="false">
      <c r="A1667" s="1" t="s">
        <v>2657</v>
      </c>
      <c r="B1667" s="1" t="str">
        <f aca="false">TRIM(A1667)</f>
        <v>+22, 22, MISDREAVUS , &lt;null&gt;, &lt;null&gt;, &lt;null&gt;</v>
      </c>
    </row>
    <row r="1668" customFormat="false" ht="12.75" hidden="false" customHeight="true" outlineLevel="0" collapsed="false">
      <c r="A1668" s="2"/>
      <c r="B1668" s="1" t="str">
        <f aca="false">TRIM(A1668)</f>
        <v/>
      </c>
    </row>
    <row r="1669" customFormat="false" ht="12.75" hidden="false" customHeight="true" outlineLevel="0" collapsed="false">
      <c r="A1669" s="1" t="s">
        <v>2536</v>
      </c>
      <c r="B1669" s="1" t="str">
        <f aca="false">TRIM(A1669)</f>
        <v>NEW ROUTE</v>
      </c>
    </row>
    <row r="1670" customFormat="false" ht="12.75" hidden="false" customHeight="true" outlineLevel="0" collapsed="false">
      <c r="A1670" s="1" t="s">
        <v>2669</v>
      </c>
      <c r="B1670" s="1" t="str">
        <f aca="false">TRIM(A1670)</f>
        <v>+2, 23, 0,</v>
      </c>
    </row>
    <row r="1671" customFormat="false" ht="12.75" hidden="false" customHeight="true" outlineLevel="0" collapsed="false">
      <c r="A1671" s="1" t="s">
        <v>2544</v>
      </c>
      <c r="B1671" s="1" t="str">
        <f aca="false">TRIM(A1671)</f>
        <v>5, # 20%</v>
      </c>
    </row>
    <row r="1672" customFormat="false" ht="12.75" hidden="false" customHeight="true" outlineLevel="0" collapsed="false">
      <c r="A1672" s="1" t="s">
        <v>1638</v>
      </c>
      <c r="B1672" s="1" t="str">
        <f aca="false">TRIM(A1672)</f>
        <v>40, 40, GASTLY</v>
      </c>
    </row>
    <row r="1673" customFormat="false" ht="12.75" hidden="false" customHeight="true" outlineLevel="0" collapsed="false">
      <c r="A1673" s="1" t="s">
        <v>1639</v>
      </c>
      <c r="B1673" s="1" t="str">
        <f aca="false">TRIM(A1673)</f>
        <v>+37, 37, ZUBAT</v>
      </c>
    </row>
    <row r="1674" customFormat="false" ht="12.75" hidden="false" customHeight="true" outlineLevel="0" collapsed="false">
      <c r="A1674" s="2"/>
      <c r="B1674" s="1" t="str">
        <f aca="false">TRIM(A1674)</f>
        <v/>
      </c>
    </row>
    <row r="1675" customFormat="false" ht="12.75" hidden="false" customHeight="true" outlineLevel="0" collapsed="false">
      <c r="A1675" s="1" t="s">
        <v>1209</v>
      </c>
      <c r="B1675" s="1" t="str">
        <f aca="false">TRIM(A1675)</f>
        <v># 10%</v>
      </c>
    </row>
    <row r="1676" customFormat="false" ht="12.75" hidden="false" customHeight="true" outlineLevel="0" collapsed="false">
      <c r="A1676" s="1" t="s">
        <v>1640</v>
      </c>
      <c r="B1676" s="1" t="str">
        <f aca="false">TRIM(A1676)</f>
        <v>+44, 44, HAUNTER</v>
      </c>
    </row>
    <row r="1677" customFormat="false" ht="12.75" hidden="false" customHeight="true" outlineLevel="0" collapsed="false">
      <c r="A1677" s="1" t="s">
        <v>1641</v>
      </c>
      <c r="B1677" s="1" t="str">
        <f aca="false">TRIM(A1677)</f>
        <v>+46, 46, HAUNTER</v>
      </c>
    </row>
    <row r="1678" customFormat="false" ht="12.75" hidden="false" customHeight="true" outlineLevel="0" collapsed="false">
      <c r="A1678" s="1" t="s">
        <v>1642</v>
      </c>
      <c r="B1678" s="1" t="str">
        <f aca="false">TRIM(A1678)</f>
        <v>+41, 41, GOLBAT</v>
      </c>
    </row>
    <row r="1679" customFormat="false" ht="12.75" hidden="false" customHeight="true" outlineLevel="0" collapsed="false">
      <c r="A1679" s="1" t="s">
        <v>1660</v>
      </c>
      <c r="B1679" s="1" t="str">
        <f aca="false">TRIM(A1679)</f>
        <v>+15, 15, MISDREAVUS</v>
      </c>
    </row>
    <row r="1680" customFormat="false" ht="12.75" hidden="false" customHeight="true" outlineLevel="0" collapsed="false">
      <c r="A1680" s="2"/>
      <c r="B1680" s="1" t="str">
        <f aca="false">TRIM(A1680)</f>
        <v/>
      </c>
    </row>
    <row r="1681" customFormat="false" ht="12.75" hidden="false" customHeight="true" outlineLevel="0" collapsed="false">
      <c r="A1681" s="1" t="s">
        <v>1210</v>
      </c>
      <c r="B1681" s="1" t="str">
        <f aca="false">TRIM(A1681)</f>
        <v># 5%</v>
      </c>
    </row>
    <row r="1682" customFormat="false" ht="12.75" hidden="false" customHeight="true" outlineLevel="0" collapsed="false">
      <c r="A1682" s="1" t="s">
        <v>1661</v>
      </c>
      <c r="B1682" s="1" t="str">
        <f aca="false">TRIM(A1682)</f>
        <v>+20, 20, MISDREAVUS</v>
      </c>
    </row>
    <row r="1683" customFormat="false" ht="12.75" hidden="false" customHeight="true" outlineLevel="0" collapsed="false">
      <c r="A1683" s="1" t="s">
        <v>1645</v>
      </c>
      <c r="B1683" s="1" t="str">
        <f aca="false">TRIM(A1683)</f>
        <v>+48, 48, HAUNTER</v>
      </c>
    </row>
    <row r="1684" customFormat="false" ht="12.75" hidden="false" customHeight="true" outlineLevel="0" collapsed="false">
      <c r="A1684" s="2"/>
      <c r="B1684" s="1" t="str">
        <f aca="false">TRIM(A1684)</f>
        <v/>
      </c>
    </row>
    <row r="1685" customFormat="false" ht="12.75" hidden="false" customHeight="true" outlineLevel="0" collapsed="false">
      <c r="A1685" s="1" t="s">
        <v>1211</v>
      </c>
      <c r="B1685" s="1" t="str">
        <f aca="false">TRIM(A1685)</f>
        <v># 4%</v>
      </c>
    </row>
    <row r="1686" customFormat="false" ht="12.75" hidden="false" customHeight="true" outlineLevel="0" collapsed="false">
      <c r="A1686" s="1" t="s">
        <v>1646</v>
      </c>
      <c r="B1686" s="1" t="str">
        <f aca="false">TRIM(A1686)</f>
        <v>+50, 50, HAUNTER</v>
      </c>
    </row>
    <row r="1687" customFormat="false" ht="12.75" hidden="false" customHeight="true" outlineLevel="0" collapsed="false">
      <c r="A1687" s="1" t="s">
        <v>1647</v>
      </c>
      <c r="B1687" s="1" t="str">
        <f aca="false">TRIM(A1687)</f>
        <v>+22, 22, MISDREAVUS</v>
      </c>
    </row>
    <row r="1688" customFormat="false" ht="12.75" hidden="false" customHeight="true" outlineLevel="0" collapsed="false">
      <c r="A1688" s="2"/>
      <c r="B1688" s="1" t="str">
        <f aca="false">TRIM(A1688)</f>
        <v/>
      </c>
    </row>
    <row r="1689" customFormat="false" ht="12.75" hidden="false" customHeight="true" outlineLevel="0" collapsed="false">
      <c r="A1689" s="1" t="s">
        <v>1212</v>
      </c>
      <c r="B1689" s="1" t="str">
        <f aca="false">TRIM(A1689)</f>
        <v># 1%</v>
      </c>
    </row>
    <row r="1690" customFormat="false" ht="12.75" hidden="false" customHeight="true" outlineLevel="0" collapsed="false">
      <c r="A1690" s="1" t="s">
        <v>1648</v>
      </c>
      <c r="B1690" s="1" t="str">
        <f aca="false">TRIM(A1690)</f>
        <v>+52, 52, HAUNTER</v>
      </c>
    </row>
    <row r="1691" customFormat="false" ht="12.75" hidden="false" customHeight="true" outlineLevel="0" collapsed="false">
      <c r="A1691" s="1" t="s">
        <v>2657</v>
      </c>
      <c r="B1691" s="1" t="str">
        <f aca="false">TRIM(A1691)</f>
        <v>+22, 22, MISDREAVUS , &lt;null&gt;, &lt;null&gt;, &lt;null&gt;</v>
      </c>
    </row>
    <row r="1692" customFormat="false" ht="12.75" hidden="false" customHeight="true" outlineLevel="0" collapsed="false">
      <c r="A1692" s="2"/>
      <c r="B1692" s="1" t="str">
        <f aca="false">TRIM(A1692)</f>
        <v/>
      </c>
    </row>
    <row r="1693" customFormat="false" ht="12.75" hidden="false" customHeight="true" outlineLevel="0" collapsed="false">
      <c r="A1693" s="1" t="s">
        <v>2536</v>
      </c>
      <c r="B1693" s="1" t="str">
        <f aca="false">TRIM(A1693)</f>
        <v>NEW ROUTE</v>
      </c>
    </row>
    <row r="1694" customFormat="false" ht="12.75" hidden="false" customHeight="true" outlineLevel="0" collapsed="false">
      <c r="A1694" s="1" t="s">
        <v>2670</v>
      </c>
      <c r="B1694" s="1" t="str">
        <f aca="false">TRIM(A1694)</f>
        <v>+2, 24, 0,</v>
      </c>
    </row>
    <row r="1695" customFormat="false" ht="12.75" hidden="false" customHeight="true" outlineLevel="0" collapsed="false">
      <c r="A1695" s="1" t="s">
        <v>2544</v>
      </c>
      <c r="B1695" s="1" t="str">
        <f aca="false">TRIM(A1695)</f>
        <v>5, # 20%</v>
      </c>
    </row>
    <row r="1696" customFormat="false" ht="12.75" hidden="false" customHeight="true" outlineLevel="0" collapsed="false">
      <c r="A1696" s="1" t="s">
        <v>1638</v>
      </c>
      <c r="B1696" s="1" t="str">
        <f aca="false">TRIM(A1696)</f>
        <v>40, 40, GASTLY</v>
      </c>
    </row>
    <row r="1697" customFormat="false" ht="12.75" hidden="false" customHeight="true" outlineLevel="0" collapsed="false">
      <c r="A1697" s="1" t="s">
        <v>1639</v>
      </c>
      <c r="B1697" s="1" t="str">
        <f aca="false">TRIM(A1697)</f>
        <v>+37, 37, ZUBAT</v>
      </c>
    </row>
    <row r="1698" customFormat="false" ht="12.75" hidden="false" customHeight="true" outlineLevel="0" collapsed="false">
      <c r="A1698" s="2"/>
      <c r="B1698" s="1" t="str">
        <f aca="false">TRIM(A1698)</f>
        <v/>
      </c>
    </row>
    <row r="1699" customFormat="false" ht="12.75" hidden="false" customHeight="true" outlineLevel="0" collapsed="false">
      <c r="A1699" s="1" t="s">
        <v>1209</v>
      </c>
      <c r="B1699" s="1" t="str">
        <f aca="false">TRIM(A1699)</f>
        <v># 10%</v>
      </c>
    </row>
    <row r="1700" customFormat="false" ht="12.75" hidden="false" customHeight="true" outlineLevel="0" collapsed="false">
      <c r="A1700" s="1" t="s">
        <v>1640</v>
      </c>
      <c r="B1700" s="1" t="str">
        <f aca="false">TRIM(A1700)</f>
        <v>+44, 44, HAUNTER</v>
      </c>
    </row>
    <row r="1701" customFormat="false" ht="12.75" hidden="false" customHeight="true" outlineLevel="0" collapsed="false">
      <c r="A1701" s="1" t="s">
        <v>1641</v>
      </c>
      <c r="B1701" s="1" t="str">
        <f aca="false">TRIM(A1701)</f>
        <v>+46, 46, HAUNTER</v>
      </c>
    </row>
    <row r="1702" customFormat="false" ht="12.75" hidden="false" customHeight="true" outlineLevel="0" collapsed="false">
      <c r="A1702" s="1" t="s">
        <v>1642</v>
      </c>
      <c r="B1702" s="1" t="str">
        <f aca="false">TRIM(A1702)</f>
        <v>+41, 41, GOLBAT</v>
      </c>
    </row>
    <row r="1703" customFormat="false" ht="12.75" hidden="false" customHeight="true" outlineLevel="0" collapsed="false">
      <c r="A1703" s="1" t="s">
        <v>1660</v>
      </c>
      <c r="B1703" s="1" t="str">
        <f aca="false">TRIM(A1703)</f>
        <v>+15, 15, MISDREAVUS</v>
      </c>
    </row>
    <row r="1704" customFormat="false" ht="12.75" hidden="false" customHeight="true" outlineLevel="0" collapsed="false">
      <c r="A1704" s="2"/>
      <c r="B1704" s="1" t="str">
        <f aca="false">TRIM(A1704)</f>
        <v/>
      </c>
    </row>
    <row r="1705" customFormat="false" ht="12.75" hidden="false" customHeight="true" outlineLevel="0" collapsed="false">
      <c r="A1705" s="1" t="s">
        <v>1210</v>
      </c>
      <c r="B1705" s="1" t="str">
        <f aca="false">TRIM(A1705)</f>
        <v># 5%</v>
      </c>
    </row>
    <row r="1706" customFormat="false" ht="12.75" hidden="false" customHeight="true" outlineLevel="0" collapsed="false">
      <c r="A1706" s="1" t="s">
        <v>1661</v>
      </c>
      <c r="B1706" s="1" t="str">
        <f aca="false">TRIM(A1706)</f>
        <v>+20, 20, MISDREAVUS</v>
      </c>
    </row>
    <row r="1707" customFormat="false" ht="12.75" hidden="false" customHeight="true" outlineLevel="0" collapsed="false">
      <c r="A1707" s="1" t="s">
        <v>1645</v>
      </c>
      <c r="B1707" s="1" t="str">
        <f aca="false">TRIM(A1707)</f>
        <v>+48, 48, HAUNTER</v>
      </c>
    </row>
    <row r="1708" customFormat="false" ht="12.75" hidden="false" customHeight="true" outlineLevel="0" collapsed="false">
      <c r="A1708" s="2"/>
      <c r="B1708" s="1" t="str">
        <f aca="false">TRIM(A1708)</f>
        <v/>
      </c>
    </row>
    <row r="1709" customFormat="false" ht="12.75" hidden="false" customHeight="true" outlineLevel="0" collapsed="false">
      <c r="A1709" s="1" t="s">
        <v>1211</v>
      </c>
      <c r="B1709" s="1" t="str">
        <f aca="false">TRIM(A1709)</f>
        <v># 4%</v>
      </c>
    </row>
    <row r="1710" customFormat="false" ht="12.75" hidden="false" customHeight="true" outlineLevel="0" collapsed="false">
      <c r="A1710" s="1" t="s">
        <v>1646</v>
      </c>
      <c r="B1710" s="1" t="str">
        <f aca="false">TRIM(A1710)</f>
        <v>+50, 50, HAUNTER</v>
      </c>
    </row>
    <row r="1711" customFormat="false" ht="12.75" hidden="false" customHeight="true" outlineLevel="0" collapsed="false">
      <c r="A1711" s="1" t="s">
        <v>1647</v>
      </c>
      <c r="B1711" s="1" t="str">
        <f aca="false">TRIM(A1711)</f>
        <v>+22, 22, MISDREAVUS</v>
      </c>
    </row>
    <row r="1712" customFormat="false" ht="12.75" hidden="false" customHeight="true" outlineLevel="0" collapsed="false">
      <c r="A1712" s="2"/>
      <c r="B1712" s="1" t="str">
        <f aca="false">TRIM(A1712)</f>
        <v/>
      </c>
    </row>
    <row r="1713" customFormat="false" ht="12.75" hidden="false" customHeight="true" outlineLevel="0" collapsed="false">
      <c r="A1713" s="1" t="s">
        <v>1212</v>
      </c>
      <c r="B1713" s="1" t="str">
        <f aca="false">TRIM(A1713)</f>
        <v># 1%</v>
      </c>
    </row>
    <row r="1714" customFormat="false" ht="12.75" hidden="false" customHeight="true" outlineLevel="0" collapsed="false">
      <c r="A1714" s="1" t="s">
        <v>1648</v>
      </c>
      <c r="B1714" s="1" t="str">
        <f aca="false">TRIM(A1714)</f>
        <v>+52, 52, HAUNTER</v>
      </c>
    </row>
    <row r="1715" customFormat="false" ht="12.75" hidden="false" customHeight="true" outlineLevel="0" collapsed="false">
      <c r="A1715" s="1" t="s">
        <v>2657</v>
      </c>
      <c r="B1715" s="1" t="str">
        <f aca="false">TRIM(A1715)</f>
        <v>+22, 22, MISDREAVUS , &lt;null&gt;, &lt;null&gt;, &lt;null&gt;</v>
      </c>
    </row>
    <row r="1716" customFormat="false" ht="12.75" hidden="false" customHeight="true" outlineLevel="0" collapsed="false">
      <c r="A1716" s="2"/>
      <c r="B1716" s="1" t="str">
        <f aca="false">TRIM(A1716)</f>
        <v/>
      </c>
    </row>
    <row r="1717" customFormat="false" ht="12.75" hidden="false" customHeight="true" outlineLevel="0" collapsed="false">
      <c r="A1717" s="1" t="s">
        <v>2536</v>
      </c>
      <c r="B1717" s="1" t="str">
        <f aca="false">TRIM(A1717)</f>
        <v>NEW ROUTE</v>
      </c>
    </row>
    <row r="1718" customFormat="false" ht="12.75" hidden="false" customHeight="true" outlineLevel="0" collapsed="false">
      <c r="A1718" s="1" t="s">
        <v>2671</v>
      </c>
      <c r="B1718" s="1" t="str">
        <f aca="false">TRIM(A1718)</f>
        <v>+2, 25, 0,</v>
      </c>
    </row>
    <row r="1719" customFormat="false" ht="12.75" hidden="false" customHeight="true" outlineLevel="0" collapsed="false">
      <c r="A1719" s="1" t="s">
        <v>2544</v>
      </c>
      <c r="B1719" s="1" t="str">
        <f aca="false">TRIM(A1719)</f>
        <v>5, # 20%</v>
      </c>
    </row>
    <row r="1720" customFormat="false" ht="12.75" hidden="false" customHeight="true" outlineLevel="0" collapsed="false">
      <c r="A1720" s="1" t="s">
        <v>1638</v>
      </c>
      <c r="B1720" s="1" t="str">
        <f aca="false">TRIM(A1720)</f>
        <v>40, 40, GASTLY</v>
      </c>
    </row>
    <row r="1721" customFormat="false" ht="12.75" hidden="false" customHeight="true" outlineLevel="0" collapsed="false">
      <c r="A1721" s="1" t="s">
        <v>1639</v>
      </c>
      <c r="B1721" s="1" t="str">
        <f aca="false">TRIM(A1721)</f>
        <v>+37, 37, ZUBAT</v>
      </c>
    </row>
    <row r="1722" customFormat="false" ht="12.75" hidden="false" customHeight="true" outlineLevel="0" collapsed="false">
      <c r="A1722" s="2"/>
      <c r="B1722" s="1" t="str">
        <f aca="false">TRIM(A1722)</f>
        <v/>
      </c>
    </row>
    <row r="1723" customFormat="false" ht="12.75" hidden="false" customHeight="true" outlineLevel="0" collapsed="false">
      <c r="A1723" s="1" t="s">
        <v>1209</v>
      </c>
      <c r="B1723" s="1" t="str">
        <f aca="false">TRIM(A1723)</f>
        <v># 10%</v>
      </c>
    </row>
    <row r="1724" customFormat="false" ht="12.75" hidden="false" customHeight="true" outlineLevel="0" collapsed="false">
      <c r="A1724" s="1" t="s">
        <v>1640</v>
      </c>
      <c r="B1724" s="1" t="str">
        <f aca="false">TRIM(A1724)</f>
        <v>+44, 44, HAUNTER</v>
      </c>
    </row>
    <row r="1725" customFormat="false" ht="12.75" hidden="false" customHeight="true" outlineLevel="0" collapsed="false">
      <c r="A1725" s="1" t="s">
        <v>1641</v>
      </c>
      <c r="B1725" s="1" t="str">
        <f aca="false">TRIM(A1725)</f>
        <v>+46, 46, HAUNTER</v>
      </c>
    </row>
    <row r="1726" customFormat="false" ht="12.75" hidden="false" customHeight="true" outlineLevel="0" collapsed="false">
      <c r="A1726" s="1" t="s">
        <v>1642</v>
      </c>
      <c r="B1726" s="1" t="str">
        <f aca="false">TRIM(A1726)</f>
        <v>+41, 41, GOLBAT</v>
      </c>
    </row>
    <row r="1727" customFormat="false" ht="12.75" hidden="false" customHeight="true" outlineLevel="0" collapsed="false">
      <c r="A1727" s="1" t="s">
        <v>1660</v>
      </c>
      <c r="B1727" s="1" t="str">
        <f aca="false">TRIM(A1727)</f>
        <v>+15, 15, MISDREAVUS</v>
      </c>
    </row>
    <row r="1728" customFormat="false" ht="12.75" hidden="false" customHeight="true" outlineLevel="0" collapsed="false">
      <c r="A1728" s="2"/>
      <c r="B1728" s="1" t="str">
        <f aca="false">TRIM(A1728)</f>
        <v/>
      </c>
    </row>
    <row r="1729" customFormat="false" ht="12.75" hidden="false" customHeight="true" outlineLevel="0" collapsed="false">
      <c r="A1729" s="1" t="s">
        <v>1210</v>
      </c>
      <c r="B1729" s="1" t="str">
        <f aca="false">TRIM(A1729)</f>
        <v># 5%</v>
      </c>
    </row>
    <row r="1730" customFormat="false" ht="12.75" hidden="false" customHeight="true" outlineLevel="0" collapsed="false">
      <c r="A1730" s="1" t="s">
        <v>1661</v>
      </c>
      <c r="B1730" s="1" t="str">
        <f aca="false">TRIM(A1730)</f>
        <v>+20, 20, MISDREAVUS</v>
      </c>
    </row>
    <row r="1731" customFormat="false" ht="12.75" hidden="false" customHeight="true" outlineLevel="0" collapsed="false">
      <c r="A1731" s="1" t="s">
        <v>1645</v>
      </c>
      <c r="B1731" s="1" t="str">
        <f aca="false">TRIM(A1731)</f>
        <v>+48, 48, HAUNTER</v>
      </c>
    </row>
    <row r="1732" customFormat="false" ht="12.75" hidden="false" customHeight="true" outlineLevel="0" collapsed="false">
      <c r="A1732" s="2"/>
      <c r="B1732" s="1" t="str">
        <f aca="false">TRIM(A1732)</f>
        <v/>
      </c>
    </row>
    <row r="1733" customFormat="false" ht="12.75" hidden="false" customHeight="true" outlineLevel="0" collapsed="false">
      <c r="A1733" s="1" t="s">
        <v>1211</v>
      </c>
      <c r="B1733" s="1" t="str">
        <f aca="false">TRIM(A1733)</f>
        <v># 4%</v>
      </c>
    </row>
    <row r="1734" customFormat="false" ht="12.75" hidden="false" customHeight="true" outlineLevel="0" collapsed="false">
      <c r="A1734" s="1" t="s">
        <v>1646</v>
      </c>
      <c r="B1734" s="1" t="str">
        <f aca="false">TRIM(A1734)</f>
        <v>+50, 50, HAUNTER</v>
      </c>
    </row>
    <row r="1735" customFormat="false" ht="12.75" hidden="false" customHeight="true" outlineLevel="0" collapsed="false">
      <c r="A1735" s="1" t="s">
        <v>1647</v>
      </c>
      <c r="B1735" s="1" t="str">
        <f aca="false">TRIM(A1735)</f>
        <v>+22, 22, MISDREAVUS</v>
      </c>
    </row>
    <row r="1736" customFormat="false" ht="12.75" hidden="false" customHeight="true" outlineLevel="0" collapsed="false">
      <c r="A1736" s="2"/>
      <c r="B1736" s="1" t="str">
        <f aca="false">TRIM(A1736)</f>
        <v/>
      </c>
    </row>
    <row r="1737" customFormat="false" ht="12.75" hidden="false" customHeight="true" outlineLevel="0" collapsed="false">
      <c r="A1737" s="1" t="s">
        <v>1212</v>
      </c>
      <c r="B1737" s="1" t="str">
        <f aca="false">TRIM(A1737)</f>
        <v># 1%</v>
      </c>
    </row>
    <row r="1738" customFormat="false" ht="12.75" hidden="false" customHeight="true" outlineLevel="0" collapsed="false">
      <c r="A1738" s="1" t="s">
        <v>1648</v>
      </c>
      <c r="B1738" s="1" t="str">
        <f aca="false">TRIM(A1738)</f>
        <v>+52, 52, HAUNTER</v>
      </c>
    </row>
    <row r="1739" customFormat="false" ht="12.75" hidden="false" customHeight="true" outlineLevel="0" collapsed="false">
      <c r="A1739" s="1" t="s">
        <v>2657</v>
      </c>
      <c r="B1739" s="1" t="str">
        <f aca="false">TRIM(A1739)</f>
        <v>+22, 22, MISDREAVUS , &lt;null&gt;, &lt;null&gt;, &lt;null&gt;</v>
      </c>
    </row>
    <row r="1740" customFormat="false" ht="12.75" hidden="false" customHeight="true" outlineLevel="0" collapsed="false">
      <c r="A1740" s="2"/>
      <c r="B1740" s="1" t="str">
        <f aca="false">TRIM(A1740)</f>
        <v/>
      </c>
    </row>
    <row r="1741" customFormat="false" ht="12.75" hidden="false" customHeight="true" outlineLevel="0" collapsed="false">
      <c r="A1741" s="1" t="s">
        <v>2536</v>
      </c>
      <c r="B1741" s="1" t="str">
        <f aca="false">TRIM(A1741)</f>
        <v>NEW ROUTE</v>
      </c>
    </row>
    <row r="1742" customFormat="false" ht="12.75" hidden="false" customHeight="true" outlineLevel="0" collapsed="false">
      <c r="A1742" s="1" t="s">
        <v>2672</v>
      </c>
      <c r="B1742" s="1" t="str">
        <f aca="false">TRIM(A1742)</f>
        <v>+2, 26, 0,</v>
      </c>
    </row>
    <row r="1743" customFormat="false" ht="12.75" hidden="false" customHeight="true" outlineLevel="0" collapsed="false">
      <c r="A1743" s="1" t="s">
        <v>2544</v>
      </c>
      <c r="B1743" s="1" t="str">
        <f aca="false">TRIM(A1743)</f>
        <v>5, # 20%</v>
      </c>
    </row>
    <row r="1744" customFormat="false" ht="12.75" hidden="false" customHeight="true" outlineLevel="0" collapsed="false">
      <c r="A1744" s="1" t="s">
        <v>1638</v>
      </c>
      <c r="B1744" s="1" t="str">
        <f aca="false">TRIM(A1744)</f>
        <v>40, 40, GASTLY</v>
      </c>
    </row>
    <row r="1745" customFormat="false" ht="12.75" hidden="false" customHeight="true" outlineLevel="0" collapsed="false">
      <c r="A1745" s="1" t="s">
        <v>1639</v>
      </c>
      <c r="B1745" s="1" t="str">
        <f aca="false">TRIM(A1745)</f>
        <v>+37, 37, ZUBAT</v>
      </c>
    </row>
    <row r="1746" customFormat="false" ht="12.75" hidden="false" customHeight="true" outlineLevel="0" collapsed="false">
      <c r="A1746" s="2"/>
      <c r="B1746" s="1" t="str">
        <f aca="false">TRIM(A1746)</f>
        <v/>
      </c>
    </row>
    <row r="1747" customFormat="false" ht="12.75" hidden="false" customHeight="true" outlineLevel="0" collapsed="false">
      <c r="A1747" s="1" t="s">
        <v>1209</v>
      </c>
      <c r="B1747" s="1" t="str">
        <f aca="false">TRIM(A1747)</f>
        <v># 10%</v>
      </c>
    </row>
    <row r="1748" customFormat="false" ht="12.75" hidden="false" customHeight="true" outlineLevel="0" collapsed="false">
      <c r="A1748" s="1" t="s">
        <v>1640</v>
      </c>
      <c r="B1748" s="1" t="str">
        <f aca="false">TRIM(A1748)</f>
        <v>+44, 44, HAUNTER</v>
      </c>
    </row>
    <row r="1749" customFormat="false" ht="12.75" hidden="false" customHeight="true" outlineLevel="0" collapsed="false">
      <c r="A1749" s="1" t="s">
        <v>1641</v>
      </c>
      <c r="B1749" s="1" t="str">
        <f aca="false">TRIM(A1749)</f>
        <v>+46, 46, HAUNTER</v>
      </c>
    </row>
    <row r="1750" customFormat="false" ht="12.75" hidden="false" customHeight="true" outlineLevel="0" collapsed="false">
      <c r="A1750" s="1" t="s">
        <v>1642</v>
      </c>
      <c r="B1750" s="1" t="str">
        <f aca="false">TRIM(A1750)</f>
        <v>+41, 41, GOLBAT</v>
      </c>
    </row>
    <row r="1751" customFormat="false" ht="12.75" hidden="false" customHeight="true" outlineLevel="0" collapsed="false">
      <c r="A1751" s="1" t="s">
        <v>1660</v>
      </c>
      <c r="B1751" s="1" t="str">
        <f aca="false">TRIM(A1751)</f>
        <v>+15, 15, MISDREAVUS</v>
      </c>
    </row>
    <row r="1752" customFormat="false" ht="12.75" hidden="false" customHeight="true" outlineLevel="0" collapsed="false">
      <c r="A1752" s="2"/>
      <c r="B1752" s="1" t="str">
        <f aca="false">TRIM(A1752)</f>
        <v/>
      </c>
    </row>
    <row r="1753" customFormat="false" ht="12.75" hidden="false" customHeight="true" outlineLevel="0" collapsed="false">
      <c r="A1753" s="1" t="s">
        <v>1210</v>
      </c>
      <c r="B1753" s="1" t="str">
        <f aca="false">TRIM(A1753)</f>
        <v># 5%</v>
      </c>
    </row>
    <row r="1754" customFormat="false" ht="12.75" hidden="false" customHeight="true" outlineLevel="0" collapsed="false">
      <c r="A1754" s="1" t="s">
        <v>1661</v>
      </c>
      <c r="B1754" s="1" t="str">
        <f aca="false">TRIM(A1754)</f>
        <v>+20, 20, MISDREAVUS</v>
      </c>
    </row>
    <row r="1755" customFormat="false" ht="12.75" hidden="false" customHeight="true" outlineLevel="0" collapsed="false">
      <c r="A1755" s="1" t="s">
        <v>1645</v>
      </c>
      <c r="B1755" s="1" t="str">
        <f aca="false">TRIM(A1755)</f>
        <v>+48, 48, HAUNTER</v>
      </c>
    </row>
    <row r="1756" customFormat="false" ht="12.75" hidden="false" customHeight="true" outlineLevel="0" collapsed="false">
      <c r="A1756" s="2"/>
      <c r="B1756" s="1" t="str">
        <f aca="false">TRIM(A1756)</f>
        <v/>
      </c>
    </row>
    <row r="1757" customFormat="false" ht="12.75" hidden="false" customHeight="true" outlineLevel="0" collapsed="false">
      <c r="A1757" s="1" t="s">
        <v>1211</v>
      </c>
      <c r="B1757" s="1" t="str">
        <f aca="false">TRIM(A1757)</f>
        <v># 4%</v>
      </c>
    </row>
    <row r="1758" customFormat="false" ht="12.75" hidden="false" customHeight="true" outlineLevel="0" collapsed="false">
      <c r="A1758" s="1" t="s">
        <v>1646</v>
      </c>
      <c r="B1758" s="1" t="str">
        <f aca="false">TRIM(A1758)</f>
        <v>+50, 50, HAUNTER</v>
      </c>
    </row>
    <row r="1759" customFormat="false" ht="12.75" hidden="false" customHeight="true" outlineLevel="0" collapsed="false">
      <c r="A1759" s="1" t="s">
        <v>1647</v>
      </c>
      <c r="B1759" s="1" t="str">
        <f aca="false">TRIM(A1759)</f>
        <v>+22, 22, MISDREAVUS</v>
      </c>
    </row>
    <row r="1760" customFormat="false" ht="12.75" hidden="false" customHeight="true" outlineLevel="0" collapsed="false">
      <c r="A1760" s="2"/>
      <c r="B1760" s="1" t="str">
        <f aca="false">TRIM(A1760)</f>
        <v/>
      </c>
    </row>
    <row r="1761" customFormat="false" ht="12.75" hidden="false" customHeight="true" outlineLevel="0" collapsed="false">
      <c r="A1761" s="1" t="s">
        <v>1212</v>
      </c>
      <c r="B1761" s="1" t="str">
        <f aca="false">TRIM(A1761)</f>
        <v># 1%</v>
      </c>
    </row>
    <row r="1762" customFormat="false" ht="12.75" hidden="false" customHeight="true" outlineLevel="0" collapsed="false">
      <c r="A1762" s="1" t="s">
        <v>1648</v>
      </c>
      <c r="B1762" s="1" t="str">
        <f aca="false">TRIM(A1762)</f>
        <v>+52, 52, HAUNTER</v>
      </c>
    </row>
    <row r="1763" customFormat="false" ht="12.75" hidden="false" customHeight="true" outlineLevel="0" collapsed="false">
      <c r="A1763" s="1" t="s">
        <v>2657</v>
      </c>
      <c r="B1763" s="1" t="str">
        <f aca="false">TRIM(A1763)</f>
        <v>+22, 22, MISDREAVUS , &lt;null&gt;, &lt;null&gt;, &lt;null&gt;</v>
      </c>
    </row>
    <row r="1764" customFormat="false" ht="12.75" hidden="false" customHeight="true" outlineLevel="0" collapsed="false">
      <c r="A1764" s="2"/>
      <c r="B1764" s="1" t="str">
        <f aca="false">TRIM(A1764)</f>
        <v/>
      </c>
    </row>
    <row r="1765" customFormat="false" ht="12.75" hidden="false" customHeight="true" outlineLevel="0" collapsed="false">
      <c r="A1765" s="1" t="s">
        <v>2536</v>
      </c>
      <c r="B1765" s="1" t="str">
        <f aca="false">TRIM(A1765)</f>
        <v>NEW ROUTE</v>
      </c>
    </row>
    <row r="1766" customFormat="false" ht="12.75" hidden="false" customHeight="true" outlineLevel="0" collapsed="false">
      <c r="A1766" s="1" t="s">
        <v>2673</v>
      </c>
      <c r="B1766" s="1" t="str">
        <f aca="false">TRIM(A1766)</f>
        <v>+3, 45, 0,</v>
      </c>
    </row>
    <row r="1767" customFormat="false" ht="12.75" hidden="false" customHeight="true" outlineLevel="0" collapsed="false">
      <c r="A1767" s="1" t="s">
        <v>2568</v>
      </c>
      <c r="B1767" s="1" t="str">
        <f aca="false">TRIM(A1767)</f>
        <v>21, # 20%</v>
      </c>
    </row>
    <row r="1768" customFormat="false" ht="12.75" hidden="false" customHeight="true" outlineLevel="0" collapsed="false">
      <c r="A1768" s="1" t="s">
        <v>1666</v>
      </c>
      <c r="B1768" s="1" t="str">
        <f aca="false">TRIM(A1768)</f>
        <v>32, 32, SPEAROW</v>
      </c>
    </row>
    <row r="1769" customFormat="false" ht="12.75" hidden="false" customHeight="true" outlineLevel="0" collapsed="false">
      <c r="A1769" s="1" t="s">
        <v>1667</v>
      </c>
      <c r="B1769" s="1" t="str">
        <f aca="false">TRIM(A1769)</f>
        <v>+34, 34, PONYTA</v>
      </c>
    </row>
    <row r="1770" customFormat="false" ht="12.75" hidden="false" customHeight="true" outlineLevel="0" collapsed="false">
      <c r="A1770" s="2"/>
      <c r="B1770" s="1" t="str">
        <f aca="false">TRIM(A1770)</f>
        <v/>
      </c>
    </row>
    <row r="1771" customFormat="false" ht="12.75" hidden="false" customHeight="true" outlineLevel="0" collapsed="false">
      <c r="A1771" s="1" t="s">
        <v>1209</v>
      </c>
      <c r="B1771" s="1" t="str">
        <f aca="false">TRIM(A1771)</f>
        <v># 10%</v>
      </c>
    </row>
    <row r="1772" customFormat="false" ht="12.75" hidden="false" customHeight="true" outlineLevel="0" collapsed="false">
      <c r="A1772" s="1" t="s">
        <v>1668</v>
      </c>
      <c r="B1772" s="1" t="str">
        <f aca="false">TRIM(A1772)</f>
        <v>+36, 36, FEAROW</v>
      </c>
    </row>
    <row r="1773" customFormat="false" ht="12.75" hidden="false" customHeight="true" outlineLevel="0" collapsed="false">
      <c r="A1773" s="1" t="s">
        <v>1669</v>
      </c>
      <c r="B1773" s="1" t="str">
        <f aca="false">TRIM(A1773)</f>
        <v>+31, 31, PONYTA</v>
      </c>
    </row>
    <row r="1774" customFormat="false" ht="12.75" hidden="false" customHeight="true" outlineLevel="0" collapsed="false">
      <c r="A1774" s="1" t="s">
        <v>1509</v>
      </c>
      <c r="B1774" s="1" t="str">
        <f aca="false">TRIM(A1774)</f>
        <v>+31, 31, GEODUDE</v>
      </c>
    </row>
    <row r="1775" customFormat="false" ht="12.75" hidden="false" customHeight="true" outlineLevel="0" collapsed="false">
      <c r="A1775" s="1" t="s">
        <v>1670</v>
      </c>
      <c r="B1775" s="1" t="str">
        <f aca="false">TRIM(A1775)</f>
        <v>+31, 31, MEOWTH</v>
      </c>
    </row>
    <row r="1776" customFormat="false" ht="12.75" hidden="false" customHeight="true" outlineLevel="0" collapsed="false">
      <c r="A1776" s="2"/>
      <c r="B1776" s="1" t="str">
        <f aca="false">TRIM(A1776)</f>
        <v/>
      </c>
    </row>
    <row r="1777" customFormat="false" ht="12.75" hidden="false" customHeight="true" outlineLevel="0" collapsed="false">
      <c r="A1777" s="1" t="s">
        <v>1210</v>
      </c>
      <c r="B1777" s="1" t="str">
        <f aca="false">TRIM(A1777)</f>
        <v># 5%</v>
      </c>
    </row>
    <row r="1778" customFormat="false" ht="12.75" hidden="false" customHeight="true" outlineLevel="0" collapsed="false">
      <c r="A1778" s="1" t="s">
        <v>1671</v>
      </c>
      <c r="B1778" s="1" t="str">
        <f aca="false">TRIM(A1778)</f>
        <v>+30, 30, SPEAROW</v>
      </c>
    </row>
    <row r="1779" customFormat="false" ht="12.75" hidden="false" customHeight="true" outlineLevel="0" collapsed="false">
      <c r="A1779" s="1" t="s">
        <v>1672</v>
      </c>
      <c r="B1779" s="1" t="str">
        <f aca="false">TRIM(A1779)</f>
        <v>+34, 34, SLOWPOKE</v>
      </c>
    </row>
    <row r="1780" customFormat="false" ht="12.75" hidden="false" customHeight="true" outlineLevel="0" collapsed="false">
      <c r="A1780" s="2"/>
      <c r="B1780" s="1" t="str">
        <f aca="false">TRIM(A1780)</f>
        <v/>
      </c>
    </row>
    <row r="1781" customFormat="false" ht="12.75" hidden="false" customHeight="true" outlineLevel="0" collapsed="false">
      <c r="A1781" s="1" t="s">
        <v>1211</v>
      </c>
      <c r="B1781" s="1" t="str">
        <f aca="false">TRIM(A1781)</f>
        <v># 4%</v>
      </c>
    </row>
    <row r="1782" customFormat="false" ht="12.75" hidden="false" customHeight="true" outlineLevel="0" collapsed="false">
      <c r="A1782" s="1" t="s">
        <v>1673</v>
      </c>
      <c r="B1782" s="1" t="str">
        <f aca="false">TRIM(A1782)</f>
        <v>+37, 37, RAPIDASH</v>
      </c>
    </row>
    <row r="1783" customFormat="false" ht="12.75" hidden="false" customHeight="true" outlineLevel="0" collapsed="false">
      <c r="A1783" s="1" t="s">
        <v>1674</v>
      </c>
      <c r="B1783" s="1" t="str">
        <f aca="false">TRIM(A1783)</f>
        <v>+37, 37, PERSIAN</v>
      </c>
    </row>
    <row r="1784" customFormat="false" ht="12.75" hidden="false" customHeight="true" outlineLevel="0" collapsed="false">
      <c r="A1784" s="2"/>
      <c r="B1784" s="1" t="str">
        <f aca="false">TRIM(A1784)</f>
        <v/>
      </c>
    </row>
    <row r="1785" customFormat="false" ht="12.75" hidden="false" customHeight="true" outlineLevel="0" collapsed="false">
      <c r="A1785" s="1" t="s">
        <v>1212</v>
      </c>
      <c r="B1785" s="1" t="str">
        <f aca="false">TRIM(A1785)</f>
        <v># 1%</v>
      </c>
    </row>
    <row r="1786" customFormat="false" ht="12.75" hidden="false" customHeight="true" outlineLevel="0" collapsed="false">
      <c r="A1786" s="1" t="s">
        <v>1675</v>
      </c>
      <c r="B1786" s="1" t="str">
        <f aca="false">TRIM(A1786)</f>
        <v>+40, 40, RAPIDASH</v>
      </c>
    </row>
    <row r="1787" customFormat="false" ht="12.75" hidden="false" customHeight="true" outlineLevel="0" collapsed="false">
      <c r="A1787" s="1" t="s">
        <v>2674</v>
      </c>
      <c r="B1787" s="1" t="str">
        <f aca="false">TRIM(A1787)</f>
        <v>+40, 40, PERSIAN</v>
      </c>
    </row>
    <row r="1788" customFormat="false" ht="12.75" hidden="false" customHeight="true" outlineLevel="0" collapsed="false">
      <c r="A1788" s="1" t="s">
        <v>2651</v>
      </c>
      <c r="B1788" s="1" t="str">
        <f aca="false">TRIM(A1788)</f>
        <v>2, 5, 20, TENTACOOL</v>
      </c>
    </row>
    <row r="1789" customFormat="false" ht="12.75" hidden="false" customHeight="true" outlineLevel="0" collapsed="false">
      <c r="A1789" s="1" t="s">
        <v>1619</v>
      </c>
      <c r="B1789" s="1" t="str">
        <f aca="false">TRIM(A1789)</f>
        <v>+20, 35, TENTACOOL</v>
      </c>
    </row>
    <row r="1790" customFormat="false" ht="12.75" hidden="false" customHeight="true" outlineLevel="0" collapsed="false">
      <c r="A1790" s="1" t="s">
        <v>1677</v>
      </c>
      <c r="B1790" s="1" t="str">
        <f aca="false">TRIM(A1790)</f>
        <v>+35, 40, TENTACOOL</v>
      </c>
    </row>
    <row r="1791" customFormat="false" ht="12.75" hidden="false" customHeight="true" outlineLevel="0" collapsed="false">
      <c r="A1791" s="1" t="s">
        <v>1678</v>
      </c>
      <c r="B1791" s="1" t="str">
        <f aca="false">TRIM(A1791)</f>
        <v>+35, 40, TENTACRUEL</v>
      </c>
    </row>
    <row r="1792" customFormat="false" ht="12.75" hidden="false" customHeight="true" outlineLevel="0" collapsed="false">
      <c r="A1792" s="1" t="s">
        <v>2675</v>
      </c>
      <c r="B1792" s="1" t="str">
        <f aca="false">TRIM(A1792)</f>
        <v>+35, 40, TENTACRUEL</v>
      </c>
    </row>
    <row r="1793" customFormat="false" ht="12.75" hidden="false" customHeight="true" outlineLevel="0" collapsed="false">
      <c r="A1793" s="1" t="s">
        <v>2676</v>
      </c>
      <c r="B1793" s="1" t="str">
        <f aca="false">TRIM(A1793)</f>
        <v>25, 5, 20, GEODUDE</v>
      </c>
    </row>
    <row r="1794" customFormat="false" ht="12.75" hidden="false" customHeight="true" outlineLevel="0" collapsed="false">
      <c r="A1794" s="1" t="s">
        <v>1425</v>
      </c>
      <c r="B1794" s="1" t="str">
        <f aca="false">TRIM(A1794)</f>
        <v>+10, 20, GEODUDE</v>
      </c>
    </row>
    <row r="1795" customFormat="false" ht="12.75" hidden="false" customHeight="true" outlineLevel="0" collapsed="false">
      <c r="A1795" s="1" t="s">
        <v>1426</v>
      </c>
      <c r="B1795" s="1" t="str">
        <f aca="false">TRIM(A1795)</f>
        <v>+15, 30, GEODUDE</v>
      </c>
    </row>
    <row r="1796" customFormat="false" ht="12.75" hidden="false" customHeight="true" outlineLevel="0" collapsed="false">
      <c r="A1796" s="1" t="s">
        <v>1427</v>
      </c>
      <c r="B1796" s="1" t="str">
        <f aca="false">TRIM(A1796)</f>
        <v>+25, 40, GRAVELER</v>
      </c>
    </row>
    <row r="1797" customFormat="false" ht="12.75" hidden="false" customHeight="true" outlineLevel="0" collapsed="false">
      <c r="A1797" s="1" t="s">
        <v>2677</v>
      </c>
      <c r="B1797" s="1" t="str">
        <f aca="false">TRIM(A1797)</f>
        <v>+30, 40, GRAVELER</v>
      </c>
    </row>
    <row r="1798" customFormat="false" ht="12.75" hidden="false" customHeight="true" outlineLevel="0" collapsed="false">
      <c r="A1798" s="1" t="s">
        <v>2572</v>
      </c>
      <c r="B1798" s="1" t="str">
        <f aca="false">TRIM(A1798)</f>
        <v>20, # old rod:</v>
      </c>
    </row>
    <row r="1799" customFormat="false" ht="12.75" hidden="false" customHeight="true" outlineLevel="0" collapsed="false">
      <c r="A1799" s="1" t="s">
        <v>1266</v>
      </c>
      <c r="B1799" s="1" t="str">
        <f aca="false">TRIM(A1799)</f>
        <v>5, 5, MAGIKARP</v>
      </c>
    </row>
    <row r="1800" customFormat="false" ht="12.75" hidden="false" customHeight="true" outlineLevel="0" collapsed="false">
      <c r="A1800" s="1" t="s">
        <v>1267</v>
      </c>
      <c r="B1800" s="1" t="str">
        <f aca="false">TRIM(A1800)</f>
        <v>+5, 5, MAGIKARP</v>
      </c>
    </row>
    <row r="1801" customFormat="false" ht="12.75" hidden="false" customHeight="true" outlineLevel="0" collapsed="false">
      <c r="A1801" s="2"/>
      <c r="B1801" s="1" t="str">
        <f aca="false">TRIM(A1801)</f>
        <v/>
      </c>
    </row>
    <row r="1802" customFormat="false" ht="12.75" hidden="false" customHeight="true" outlineLevel="0" collapsed="false">
      <c r="A1802" s="1" t="s">
        <v>1268</v>
      </c>
      <c r="B1802" s="1" t="str">
        <f aca="false">TRIM(A1802)</f>
        <v># good rod:</v>
      </c>
    </row>
    <row r="1803" customFormat="false" ht="12.75" hidden="false" customHeight="true" outlineLevel="0" collapsed="false">
      <c r="A1803" s="1" t="s">
        <v>1269</v>
      </c>
      <c r="B1803" s="1" t="str">
        <f aca="false">TRIM(A1803)</f>
        <v>+5, 15, KRABBY</v>
      </c>
    </row>
    <row r="1804" customFormat="false" ht="12.75" hidden="false" customHeight="true" outlineLevel="0" collapsed="false">
      <c r="A1804" s="1" t="s">
        <v>1270</v>
      </c>
      <c r="B1804" s="1" t="str">
        <f aca="false">TRIM(A1804)</f>
        <v>+5, 15, MAGIKARP</v>
      </c>
    </row>
    <row r="1805" customFormat="false" ht="12.75" hidden="false" customHeight="true" outlineLevel="0" collapsed="false">
      <c r="A1805" s="1" t="s">
        <v>1269</v>
      </c>
      <c r="B1805" s="1" t="str">
        <f aca="false">TRIM(A1805)</f>
        <v>+5, 15, KRABBY</v>
      </c>
    </row>
    <row r="1806" customFormat="false" ht="12.75" hidden="false" customHeight="true" outlineLevel="0" collapsed="false">
      <c r="A1806" s="2"/>
      <c r="B1806" s="1" t="str">
        <f aca="false">TRIM(A1806)</f>
        <v/>
      </c>
    </row>
    <row r="1807" customFormat="false" ht="12.75" hidden="false" customHeight="true" outlineLevel="0" collapsed="false">
      <c r="A1807" s="1" t="s">
        <v>1272</v>
      </c>
      <c r="B1807" s="1" t="str">
        <f aca="false">TRIM(A1807)</f>
        <v># super rod:</v>
      </c>
    </row>
    <row r="1808" customFormat="false" ht="12.75" hidden="false" customHeight="true" outlineLevel="0" collapsed="false">
      <c r="A1808" s="1" t="s">
        <v>1273</v>
      </c>
      <c r="B1808" s="1" t="str">
        <f aca="false">TRIM(A1808)</f>
        <v>+15, 25, KRABBY</v>
      </c>
    </row>
    <row r="1809" customFormat="false" ht="12.75" hidden="false" customHeight="true" outlineLevel="0" collapsed="false">
      <c r="A1809" s="1" t="s">
        <v>1273</v>
      </c>
      <c r="B1809" s="1" t="str">
        <f aca="false">TRIM(A1809)</f>
        <v>+15, 25, KRABBY</v>
      </c>
    </row>
    <row r="1810" customFormat="false" ht="12.75" hidden="false" customHeight="true" outlineLevel="0" collapsed="false">
      <c r="A1810" s="1" t="s">
        <v>1275</v>
      </c>
      <c r="B1810" s="1" t="str">
        <f aca="false">TRIM(A1810)</f>
        <v>+15, 25, GYARADOS</v>
      </c>
    </row>
    <row r="1811" customFormat="false" ht="12.75" hidden="false" customHeight="true" outlineLevel="0" collapsed="false">
      <c r="A1811" s="1" t="s">
        <v>1623</v>
      </c>
      <c r="B1811" s="1" t="str">
        <f aca="false">TRIM(A1811)</f>
        <v>+25, 35, KINGLER</v>
      </c>
    </row>
    <row r="1812" customFormat="false" ht="12.75" hidden="false" customHeight="true" outlineLevel="0" collapsed="false">
      <c r="A1812" s="1" t="s">
        <v>2552</v>
      </c>
      <c r="B1812" s="1" t="str">
        <f aca="false">TRIM(A1812)</f>
        <v>+25, 35, SLOWPOKE</v>
      </c>
    </row>
    <row r="1813" customFormat="false" ht="12.75" hidden="false" customHeight="true" outlineLevel="0" collapsed="false">
      <c r="A1813" s="1" t="s">
        <v>2536</v>
      </c>
      <c r="B1813" s="1" t="str">
        <f aca="false">TRIM(A1813)</f>
        <v>NEW ROUTE</v>
      </c>
    </row>
    <row r="1814" customFormat="false" ht="12.75" hidden="false" customHeight="true" outlineLevel="0" collapsed="false">
      <c r="A1814" s="1" t="s">
        <v>2678</v>
      </c>
      <c r="B1814" s="1" t="str">
        <f aca="false">TRIM(A1814)</f>
        <v>+3, 46, 0,</v>
      </c>
    </row>
    <row r="1815" customFormat="false" ht="12.75" hidden="false" customHeight="true" outlineLevel="0" collapsed="false">
      <c r="A1815" s="1" t="s">
        <v>2568</v>
      </c>
      <c r="B1815" s="1" t="str">
        <f aca="false">TRIM(A1815)</f>
        <v>21, # 20%</v>
      </c>
    </row>
    <row r="1816" customFormat="false" ht="12.75" hidden="false" customHeight="true" outlineLevel="0" collapsed="false">
      <c r="A1816" s="1" t="s">
        <v>1666</v>
      </c>
      <c r="B1816" s="1" t="str">
        <f aca="false">TRIM(A1816)</f>
        <v>32, 32, SPEAROW</v>
      </c>
    </row>
    <row r="1817" customFormat="false" ht="12.75" hidden="false" customHeight="true" outlineLevel="0" collapsed="false">
      <c r="A1817" s="1" t="s">
        <v>1682</v>
      </c>
      <c r="B1817" s="1" t="str">
        <f aca="false">TRIM(A1817)</f>
        <v>+33, 33, TANGELA</v>
      </c>
    </row>
    <row r="1818" customFormat="false" ht="12.75" hidden="false" customHeight="true" outlineLevel="0" collapsed="false">
      <c r="A1818" s="2"/>
      <c r="B1818" s="1" t="str">
        <f aca="false">TRIM(A1818)</f>
        <v/>
      </c>
    </row>
    <row r="1819" customFormat="false" ht="12.75" hidden="false" customHeight="true" outlineLevel="0" collapsed="false">
      <c r="A1819" s="1" t="s">
        <v>1209</v>
      </c>
      <c r="B1819" s="1" t="str">
        <f aca="false">TRIM(A1819)</f>
        <v># 10%</v>
      </c>
    </row>
    <row r="1820" customFormat="false" ht="12.75" hidden="false" customHeight="true" outlineLevel="0" collapsed="false">
      <c r="A1820" s="1" t="s">
        <v>1683</v>
      </c>
      <c r="B1820" s="1" t="str">
        <f aca="false">TRIM(A1820)</f>
        <v>+31, 31, SPEAROW</v>
      </c>
    </row>
    <row r="1821" customFormat="false" ht="12.75" hidden="false" customHeight="true" outlineLevel="0" collapsed="false">
      <c r="A1821" s="1" t="s">
        <v>1684</v>
      </c>
      <c r="B1821" s="1" t="str">
        <f aca="false">TRIM(A1821)</f>
        <v>+35, 35, TANGELA</v>
      </c>
    </row>
    <row r="1822" customFormat="false" ht="12.75" hidden="false" customHeight="true" outlineLevel="0" collapsed="false">
      <c r="A1822" s="1" t="s">
        <v>1668</v>
      </c>
      <c r="B1822" s="1" t="str">
        <f aca="false">TRIM(A1822)</f>
        <v>+36, 36, FEAROW</v>
      </c>
    </row>
    <row r="1823" customFormat="false" ht="12.75" hidden="false" customHeight="true" outlineLevel="0" collapsed="false">
      <c r="A1823" s="1" t="s">
        <v>1670</v>
      </c>
      <c r="B1823" s="1" t="str">
        <f aca="false">TRIM(A1823)</f>
        <v>+31, 31, MEOWTH</v>
      </c>
    </row>
    <row r="1824" customFormat="false" ht="12.75" hidden="false" customHeight="true" outlineLevel="0" collapsed="false">
      <c r="A1824" s="2"/>
      <c r="B1824" s="1" t="str">
        <f aca="false">TRIM(A1824)</f>
        <v/>
      </c>
    </row>
    <row r="1825" customFormat="false" ht="12.75" hidden="false" customHeight="true" outlineLevel="0" collapsed="false">
      <c r="A1825" s="1" t="s">
        <v>1210</v>
      </c>
      <c r="B1825" s="1" t="str">
        <f aca="false">TRIM(A1825)</f>
        <v># 5%</v>
      </c>
    </row>
    <row r="1826" customFormat="false" ht="12.75" hidden="false" customHeight="true" outlineLevel="0" collapsed="false">
      <c r="A1826" s="1" t="s">
        <v>1495</v>
      </c>
      <c r="B1826" s="1" t="str">
        <f aca="false">TRIM(A1826)</f>
        <v>+38, 38, FEAROW</v>
      </c>
    </row>
    <row r="1827" customFormat="false" ht="12.75" hidden="false" customHeight="true" outlineLevel="0" collapsed="false">
      <c r="A1827" s="1" t="s">
        <v>1576</v>
      </c>
      <c r="B1827" s="1" t="str">
        <f aca="false">TRIM(A1827)</f>
        <v>+31, 31, SLOWPOKE</v>
      </c>
    </row>
    <row r="1828" customFormat="false" ht="12.75" hidden="false" customHeight="true" outlineLevel="0" collapsed="false">
      <c r="A1828" s="2"/>
      <c r="B1828" s="1" t="str">
        <f aca="false">TRIM(A1828)</f>
        <v/>
      </c>
    </row>
    <row r="1829" customFormat="false" ht="12.75" hidden="false" customHeight="true" outlineLevel="0" collapsed="false">
      <c r="A1829" s="1" t="s">
        <v>1211</v>
      </c>
      <c r="B1829" s="1" t="str">
        <f aca="false">TRIM(A1829)</f>
        <v># 4%</v>
      </c>
    </row>
    <row r="1830" customFormat="false" ht="12.75" hidden="false" customHeight="true" outlineLevel="0" collapsed="false">
      <c r="A1830" s="1" t="s">
        <v>1501</v>
      </c>
      <c r="B1830" s="1" t="str">
        <f aca="false">TRIM(A1830)</f>
        <v>+40, 40, FEAROW</v>
      </c>
    </row>
    <row r="1831" customFormat="false" ht="12.75" hidden="false" customHeight="true" outlineLevel="0" collapsed="false">
      <c r="A1831" s="1" t="s">
        <v>1674</v>
      </c>
      <c r="B1831" s="1" t="str">
        <f aca="false">TRIM(A1831)</f>
        <v>+37, 37, PERSIAN</v>
      </c>
    </row>
    <row r="1832" customFormat="false" ht="12.75" hidden="false" customHeight="true" outlineLevel="0" collapsed="false">
      <c r="A1832" s="2"/>
      <c r="B1832" s="1" t="str">
        <f aca="false">TRIM(A1832)</f>
        <v/>
      </c>
    </row>
    <row r="1833" customFormat="false" ht="12.75" hidden="false" customHeight="true" outlineLevel="0" collapsed="false">
      <c r="A1833" s="1" t="s">
        <v>1212</v>
      </c>
      <c r="B1833" s="1" t="str">
        <f aca="false">TRIM(A1833)</f>
        <v># 1%</v>
      </c>
    </row>
    <row r="1834" customFormat="false" ht="12.75" hidden="false" customHeight="true" outlineLevel="0" collapsed="false">
      <c r="A1834" s="1" t="s">
        <v>1501</v>
      </c>
      <c r="B1834" s="1" t="str">
        <f aca="false">TRIM(A1834)</f>
        <v>+40, 40, FEAROW</v>
      </c>
    </row>
    <row r="1835" customFormat="false" ht="12.75" hidden="false" customHeight="true" outlineLevel="0" collapsed="false">
      <c r="A1835" s="1" t="s">
        <v>2674</v>
      </c>
      <c r="B1835" s="1" t="str">
        <f aca="false">TRIM(A1835)</f>
        <v>+40, 40, PERSIAN</v>
      </c>
    </row>
    <row r="1836" customFormat="false" ht="12.75" hidden="false" customHeight="true" outlineLevel="0" collapsed="false">
      <c r="A1836" s="1" t="s">
        <v>2651</v>
      </c>
      <c r="B1836" s="1" t="str">
        <f aca="false">TRIM(A1836)</f>
        <v>2, 5, 20, TENTACOOL</v>
      </c>
    </row>
    <row r="1837" customFormat="false" ht="12.75" hidden="false" customHeight="true" outlineLevel="0" collapsed="false">
      <c r="A1837" s="1" t="s">
        <v>1619</v>
      </c>
      <c r="B1837" s="1" t="str">
        <f aca="false">TRIM(A1837)</f>
        <v>+20, 35, TENTACOOL</v>
      </c>
    </row>
    <row r="1838" customFormat="false" ht="12.75" hidden="false" customHeight="true" outlineLevel="0" collapsed="false">
      <c r="A1838" s="1" t="s">
        <v>1677</v>
      </c>
      <c r="B1838" s="1" t="str">
        <f aca="false">TRIM(A1838)</f>
        <v>+35, 40, TENTACOOL</v>
      </c>
    </row>
    <row r="1839" customFormat="false" ht="12.75" hidden="false" customHeight="true" outlineLevel="0" collapsed="false">
      <c r="A1839" s="1" t="s">
        <v>1678</v>
      </c>
      <c r="B1839" s="1" t="str">
        <f aca="false">TRIM(A1839)</f>
        <v>+35, 40, TENTACRUEL</v>
      </c>
    </row>
    <row r="1840" customFormat="false" ht="12.75" hidden="false" customHeight="true" outlineLevel="0" collapsed="false">
      <c r="A1840" s="1" t="s">
        <v>2675</v>
      </c>
      <c r="B1840" s="1" t="str">
        <f aca="false">TRIM(A1840)</f>
        <v>+35, 40, TENTACRUEL</v>
      </c>
    </row>
    <row r="1841" customFormat="false" ht="12.75" hidden="false" customHeight="true" outlineLevel="0" collapsed="false">
      <c r="A1841" s="1" t="s">
        <v>2572</v>
      </c>
      <c r="B1841" s="1" t="str">
        <f aca="false">TRIM(A1841)</f>
        <v>20, # old rod:</v>
      </c>
    </row>
    <row r="1842" customFormat="false" ht="12.75" hidden="false" customHeight="true" outlineLevel="0" collapsed="false">
      <c r="A1842" s="1" t="s">
        <v>1266</v>
      </c>
      <c r="B1842" s="1" t="str">
        <f aca="false">TRIM(A1842)</f>
        <v>5, 5, MAGIKARP</v>
      </c>
    </row>
    <row r="1843" customFormat="false" ht="12.75" hidden="false" customHeight="true" outlineLevel="0" collapsed="false">
      <c r="A1843" s="1" t="s">
        <v>1267</v>
      </c>
      <c r="B1843" s="1" t="str">
        <f aca="false">TRIM(A1843)</f>
        <v>+5, 5, MAGIKARP</v>
      </c>
    </row>
    <row r="1844" customFormat="false" ht="12.75" hidden="false" customHeight="true" outlineLevel="0" collapsed="false">
      <c r="A1844" s="2"/>
      <c r="B1844" s="1" t="str">
        <f aca="false">TRIM(A1844)</f>
        <v/>
      </c>
    </row>
    <row r="1845" customFormat="false" ht="12.75" hidden="false" customHeight="true" outlineLevel="0" collapsed="false">
      <c r="A1845" s="1" t="s">
        <v>1268</v>
      </c>
      <c r="B1845" s="1" t="str">
        <f aca="false">TRIM(A1845)</f>
        <v># good rod:</v>
      </c>
    </row>
    <row r="1846" customFormat="false" ht="12.75" hidden="false" customHeight="true" outlineLevel="0" collapsed="false">
      <c r="A1846" s="1" t="s">
        <v>1269</v>
      </c>
      <c r="B1846" s="1" t="str">
        <f aca="false">TRIM(A1846)</f>
        <v>+5, 15, KRABBY</v>
      </c>
    </row>
    <row r="1847" customFormat="false" ht="12.75" hidden="false" customHeight="true" outlineLevel="0" collapsed="false">
      <c r="A1847" s="1" t="s">
        <v>1270</v>
      </c>
      <c r="B1847" s="1" t="str">
        <f aca="false">TRIM(A1847)</f>
        <v>+5, 15, MAGIKARP</v>
      </c>
    </row>
    <row r="1848" customFormat="false" ht="12.75" hidden="false" customHeight="true" outlineLevel="0" collapsed="false">
      <c r="A1848" s="1" t="s">
        <v>1269</v>
      </c>
      <c r="B1848" s="1" t="str">
        <f aca="false">TRIM(A1848)</f>
        <v>+5, 15, KRABBY</v>
      </c>
    </row>
    <row r="1849" customFormat="false" ht="12.75" hidden="false" customHeight="true" outlineLevel="0" collapsed="false">
      <c r="A1849" s="2"/>
      <c r="B1849" s="1" t="str">
        <f aca="false">TRIM(A1849)</f>
        <v/>
      </c>
    </row>
    <row r="1850" customFormat="false" ht="12.75" hidden="false" customHeight="true" outlineLevel="0" collapsed="false">
      <c r="A1850" s="1" t="s">
        <v>1272</v>
      </c>
      <c r="B1850" s="1" t="str">
        <f aca="false">TRIM(A1850)</f>
        <v># super rod:</v>
      </c>
    </row>
    <row r="1851" customFormat="false" ht="12.75" hidden="false" customHeight="true" outlineLevel="0" collapsed="false">
      <c r="A1851" s="1" t="s">
        <v>1273</v>
      </c>
      <c r="B1851" s="1" t="str">
        <f aca="false">TRIM(A1851)</f>
        <v>+15, 25, KRABBY</v>
      </c>
    </row>
    <row r="1852" customFormat="false" ht="12.75" hidden="false" customHeight="true" outlineLevel="0" collapsed="false">
      <c r="A1852" s="1" t="s">
        <v>1273</v>
      </c>
      <c r="B1852" s="1" t="str">
        <f aca="false">TRIM(A1852)</f>
        <v>+15, 25, KRABBY</v>
      </c>
    </row>
    <row r="1853" customFormat="false" ht="12.75" hidden="false" customHeight="true" outlineLevel="0" collapsed="false">
      <c r="A1853" s="1" t="s">
        <v>1275</v>
      </c>
      <c r="B1853" s="1" t="str">
        <f aca="false">TRIM(A1853)</f>
        <v>+15, 25, GYARADOS</v>
      </c>
    </row>
    <row r="1854" customFormat="false" ht="12.75" hidden="false" customHeight="true" outlineLevel="0" collapsed="false">
      <c r="A1854" s="1" t="s">
        <v>1623</v>
      </c>
      <c r="B1854" s="1" t="str">
        <f aca="false">TRIM(A1854)</f>
        <v>+25, 35, KINGLER</v>
      </c>
    </row>
    <row r="1855" customFormat="false" ht="12.75" hidden="false" customHeight="true" outlineLevel="0" collapsed="false">
      <c r="A1855" s="1" t="s">
        <v>2552</v>
      </c>
      <c r="B1855" s="1" t="str">
        <f aca="false">TRIM(A1855)</f>
        <v>+25, 35, SLOWPOKE</v>
      </c>
    </row>
    <row r="1856" customFormat="false" ht="12.75" hidden="false" customHeight="true" outlineLevel="0" collapsed="false">
      <c r="A1856" s="1" t="s">
        <v>2536</v>
      </c>
      <c r="B1856" s="1" t="str">
        <f aca="false">TRIM(A1856)</f>
        <v>NEW ROUTE</v>
      </c>
    </row>
    <row r="1857" customFormat="false" ht="12.75" hidden="false" customHeight="true" outlineLevel="0" collapsed="false">
      <c r="A1857" s="1" t="s">
        <v>2679</v>
      </c>
      <c r="B1857" s="1" t="str">
        <f aca="false">TRIM(A1857)</f>
        <v>+3, 47, 0,</v>
      </c>
    </row>
    <row r="1858" customFormat="false" ht="12.75" hidden="false" customHeight="true" outlineLevel="0" collapsed="false">
      <c r="A1858" s="1" t="s">
        <v>2568</v>
      </c>
      <c r="B1858" s="1" t="str">
        <f aca="false">TRIM(A1858)</f>
        <v>21, # 20%</v>
      </c>
    </row>
    <row r="1859" customFormat="false" ht="12.75" hidden="false" customHeight="true" outlineLevel="0" collapsed="false">
      <c r="A1859" s="1" t="s">
        <v>1687</v>
      </c>
      <c r="B1859" s="1" t="str">
        <f aca="false">TRIM(A1859)</f>
        <v>31, 31, SPEAROW</v>
      </c>
    </row>
    <row r="1860" customFormat="false" ht="12.75" hidden="false" customHeight="true" outlineLevel="0" collapsed="false">
      <c r="A1860" s="1" t="s">
        <v>1572</v>
      </c>
      <c r="B1860" s="1" t="str">
        <f aca="false">TRIM(A1860)</f>
        <v>+30, 30, BELLSPROUT</v>
      </c>
    </row>
    <row r="1861" customFormat="false" ht="12.75" hidden="false" customHeight="true" outlineLevel="0" collapsed="false">
      <c r="A1861" s="2"/>
      <c r="B1861" s="1" t="str">
        <f aca="false">TRIM(A1861)</f>
        <v/>
      </c>
    </row>
    <row r="1862" customFormat="false" ht="12.75" hidden="false" customHeight="true" outlineLevel="0" collapsed="false">
      <c r="A1862" s="1" t="s">
        <v>1209</v>
      </c>
      <c r="B1862" s="1" t="str">
        <f aca="false">TRIM(A1862)</f>
        <v># 10%</v>
      </c>
    </row>
    <row r="1863" customFormat="false" ht="12.75" hidden="false" customHeight="true" outlineLevel="0" collapsed="false">
      <c r="A1863" s="1" t="s">
        <v>1688</v>
      </c>
      <c r="B1863" s="1" t="str">
        <f aca="false">TRIM(A1863)</f>
        <v>+32, 32, BELLSPROUT</v>
      </c>
    </row>
    <row r="1864" customFormat="false" ht="12.75" hidden="false" customHeight="true" outlineLevel="0" collapsed="false">
      <c r="A1864" s="1" t="s">
        <v>1689</v>
      </c>
      <c r="B1864" s="1" t="str">
        <f aca="false">TRIM(A1864)</f>
        <v>+36, 36, WEEPINBELL</v>
      </c>
    </row>
    <row r="1865" customFormat="false" ht="12.75" hidden="false" customHeight="true" outlineLevel="0" collapsed="false">
      <c r="A1865" s="1" t="s">
        <v>1668</v>
      </c>
      <c r="B1865" s="1" t="str">
        <f aca="false">TRIM(A1865)</f>
        <v>+36, 36, FEAROW</v>
      </c>
    </row>
    <row r="1866" customFormat="false" ht="12.75" hidden="false" customHeight="true" outlineLevel="0" collapsed="false">
      <c r="A1866" s="1" t="s">
        <v>1670</v>
      </c>
      <c r="B1866" s="1" t="str">
        <f aca="false">TRIM(A1866)</f>
        <v>+31, 31, MEOWTH</v>
      </c>
    </row>
    <row r="1867" customFormat="false" ht="12.75" hidden="false" customHeight="true" outlineLevel="0" collapsed="false">
      <c r="A1867" s="2"/>
      <c r="B1867" s="1" t="str">
        <f aca="false">TRIM(A1867)</f>
        <v/>
      </c>
    </row>
    <row r="1868" customFormat="false" ht="12.75" hidden="false" customHeight="true" outlineLevel="0" collapsed="false">
      <c r="A1868" s="1" t="s">
        <v>1210</v>
      </c>
      <c r="B1868" s="1" t="str">
        <f aca="false">TRIM(A1868)</f>
        <v># 5%</v>
      </c>
    </row>
    <row r="1869" customFormat="false" ht="12.75" hidden="false" customHeight="true" outlineLevel="0" collapsed="false">
      <c r="A1869" s="1" t="s">
        <v>1690</v>
      </c>
      <c r="B1869" s="1" t="str">
        <f aca="false">TRIM(A1869)</f>
        <v>+38, 38, WEEPINBELL</v>
      </c>
    </row>
    <row r="1870" customFormat="false" ht="12.75" hidden="false" customHeight="true" outlineLevel="0" collapsed="false">
      <c r="A1870" s="1" t="s">
        <v>1576</v>
      </c>
      <c r="B1870" s="1" t="str">
        <f aca="false">TRIM(A1870)</f>
        <v>+31, 31, SLOWPOKE</v>
      </c>
    </row>
    <row r="1871" customFormat="false" ht="12.75" hidden="false" customHeight="true" outlineLevel="0" collapsed="false">
      <c r="A1871" s="2"/>
      <c r="B1871" s="1" t="str">
        <f aca="false">TRIM(A1871)</f>
        <v/>
      </c>
    </row>
    <row r="1872" customFormat="false" ht="12.75" hidden="false" customHeight="true" outlineLevel="0" collapsed="false">
      <c r="A1872" s="1" t="s">
        <v>1211</v>
      </c>
      <c r="B1872" s="1" t="str">
        <f aca="false">TRIM(A1872)</f>
        <v># 4%</v>
      </c>
    </row>
    <row r="1873" customFormat="false" ht="12.75" hidden="false" customHeight="true" outlineLevel="0" collapsed="false">
      <c r="A1873" s="1" t="s">
        <v>1691</v>
      </c>
      <c r="B1873" s="1" t="str">
        <f aca="false">TRIM(A1873)</f>
        <v>+37, 37, SLOWBRO</v>
      </c>
    </row>
    <row r="1874" customFormat="false" ht="12.75" hidden="false" customHeight="true" outlineLevel="0" collapsed="false">
      <c r="A1874" s="1" t="s">
        <v>1674</v>
      </c>
      <c r="B1874" s="1" t="str">
        <f aca="false">TRIM(A1874)</f>
        <v>+37, 37, PERSIAN</v>
      </c>
    </row>
    <row r="1875" customFormat="false" ht="12.75" hidden="false" customHeight="true" outlineLevel="0" collapsed="false">
      <c r="A1875" s="2"/>
      <c r="B1875" s="1" t="str">
        <f aca="false">TRIM(A1875)</f>
        <v/>
      </c>
    </row>
    <row r="1876" customFormat="false" ht="12.75" hidden="false" customHeight="true" outlineLevel="0" collapsed="false">
      <c r="A1876" s="1" t="s">
        <v>1212</v>
      </c>
      <c r="B1876" s="1" t="str">
        <f aca="false">TRIM(A1876)</f>
        <v># 1%</v>
      </c>
    </row>
    <row r="1877" customFormat="false" ht="12.75" hidden="false" customHeight="true" outlineLevel="0" collapsed="false">
      <c r="A1877" s="1" t="s">
        <v>1692</v>
      </c>
      <c r="B1877" s="1" t="str">
        <f aca="false">TRIM(A1877)</f>
        <v>+40, 40, SLOWBRO</v>
      </c>
    </row>
    <row r="1878" customFormat="false" ht="12.75" hidden="false" customHeight="true" outlineLevel="0" collapsed="false">
      <c r="A1878" s="1" t="s">
        <v>2674</v>
      </c>
      <c r="B1878" s="1" t="str">
        <f aca="false">TRIM(A1878)</f>
        <v>+40, 40, PERSIAN</v>
      </c>
    </row>
    <row r="1879" customFormat="false" ht="12.75" hidden="false" customHeight="true" outlineLevel="0" collapsed="false">
      <c r="A1879" s="1" t="s">
        <v>2641</v>
      </c>
      <c r="B1879" s="1" t="str">
        <f aca="false">TRIM(A1879)</f>
        <v>2, 5, 20, SLOWPOKE</v>
      </c>
    </row>
    <row r="1880" customFormat="false" ht="12.75" hidden="false" customHeight="true" outlineLevel="0" collapsed="false">
      <c r="A1880" s="1" t="s">
        <v>1581</v>
      </c>
      <c r="B1880" s="1" t="str">
        <f aca="false">TRIM(A1880)</f>
        <v>+20, 35, SLOWPOKE</v>
      </c>
    </row>
    <row r="1881" customFormat="false" ht="12.75" hidden="false" customHeight="true" outlineLevel="0" collapsed="false">
      <c r="A1881" s="1" t="s">
        <v>1582</v>
      </c>
      <c r="B1881" s="1" t="str">
        <f aca="false">TRIM(A1881)</f>
        <v>+35, 40, SLOWPOKE</v>
      </c>
    </row>
    <row r="1882" customFormat="false" ht="12.75" hidden="false" customHeight="true" outlineLevel="0" collapsed="false">
      <c r="A1882" s="1" t="s">
        <v>1583</v>
      </c>
      <c r="B1882" s="1" t="str">
        <f aca="false">TRIM(A1882)</f>
        <v>+35, 40, SLOWBRO</v>
      </c>
    </row>
    <row r="1883" customFormat="false" ht="12.75" hidden="false" customHeight="true" outlineLevel="0" collapsed="false">
      <c r="A1883" s="1" t="s">
        <v>2642</v>
      </c>
      <c r="B1883" s="1" t="str">
        <f aca="false">TRIM(A1883)</f>
        <v>+35, 40, SLOWBRO</v>
      </c>
    </row>
    <row r="1884" customFormat="false" ht="12.75" hidden="false" customHeight="true" outlineLevel="0" collapsed="false">
      <c r="A1884" s="1" t="s">
        <v>2572</v>
      </c>
      <c r="B1884" s="1" t="str">
        <f aca="false">TRIM(A1884)</f>
        <v>20, # old rod:</v>
      </c>
    </row>
    <row r="1885" customFormat="false" ht="12.75" hidden="false" customHeight="true" outlineLevel="0" collapsed="false">
      <c r="A1885" s="1" t="s">
        <v>1266</v>
      </c>
      <c r="B1885" s="1" t="str">
        <f aca="false">TRIM(A1885)</f>
        <v>5, 5, MAGIKARP</v>
      </c>
    </row>
    <row r="1886" customFormat="false" ht="12.75" hidden="false" customHeight="true" outlineLevel="0" collapsed="false">
      <c r="A1886" s="1" t="s">
        <v>1267</v>
      </c>
      <c r="B1886" s="1" t="str">
        <f aca="false">TRIM(A1886)</f>
        <v>+5, 5, MAGIKARP</v>
      </c>
    </row>
    <row r="1887" customFormat="false" ht="12.75" hidden="false" customHeight="true" outlineLevel="0" collapsed="false">
      <c r="A1887" s="2"/>
      <c r="B1887" s="1" t="str">
        <f aca="false">TRIM(A1887)</f>
        <v/>
      </c>
    </row>
    <row r="1888" customFormat="false" ht="12.75" hidden="false" customHeight="true" outlineLevel="0" collapsed="false">
      <c r="A1888" s="1" t="s">
        <v>1268</v>
      </c>
      <c r="B1888" s="1" t="str">
        <f aca="false">TRIM(A1888)</f>
        <v># good rod:</v>
      </c>
    </row>
    <row r="1889" customFormat="false" ht="12.75" hidden="false" customHeight="true" outlineLevel="0" collapsed="false">
      <c r="A1889" s="1" t="s">
        <v>1586</v>
      </c>
      <c r="B1889" s="1" t="str">
        <f aca="false">TRIM(A1889)</f>
        <v>+5, 15, POLIWAG</v>
      </c>
    </row>
    <row r="1890" customFormat="false" ht="12.75" hidden="false" customHeight="true" outlineLevel="0" collapsed="false">
      <c r="A1890" s="1" t="s">
        <v>1270</v>
      </c>
      <c r="B1890" s="1" t="str">
        <f aca="false">TRIM(A1890)</f>
        <v>+5, 15, MAGIKARP</v>
      </c>
    </row>
    <row r="1891" customFormat="false" ht="12.75" hidden="false" customHeight="true" outlineLevel="0" collapsed="false">
      <c r="A1891" s="1" t="s">
        <v>1585</v>
      </c>
      <c r="B1891" s="1" t="str">
        <f aca="false">TRIM(A1891)</f>
        <v>+5, 15, GOLDEEN</v>
      </c>
    </row>
    <row r="1892" customFormat="false" ht="12.75" hidden="false" customHeight="true" outlineLevel="0" collapsed="false">
      <c r="A1892" s="2"/>
      <c r="B1892" s="1" t="str">
        <f aca="false">TRIM(A1892)</f>
        <v/>
      </c>
    </row>
    <row r="1893" customFormat="false" ht="12.75" hidden="false" customHeight="true" outlineLevel="0" collapsed="false">
      <c r="A1893" s="1" t="s">
        <v>1272</v>
      </c>
      <c r="B1893" s="1" t="str">
        <f aca="false">TRIM(A1893)</f>
        <v># super rod:</v>
      </c>
    </row>
    <row r="1894" customFormat="false" ht="12.75" hidden="false" customHeight="true" outlineLevel="0" collapsed="false">
      <c r="A1894" s="1" t="s">
        <v>1606</v>
      </c>
      <c r="B1894" s="1" t="str">
        <f aca="false">TRIM(A1894)</f>
        <v>+15, 25, POLIWAG</v>
      </c>
    </row>
    <row r="1895" customFormat="false" ht="12.75" hidden="false" customHeight="true" outlineLevel="0" collapsed="false">
      <c r="A1895" s="1" t="s">
        <v>1607</v>
      </c>
      <c r="B1895" s="1" t="str">
        <f aca="false">TRIM(A1895)</f>
        <v>+20, 30, POLIWHIRL</v>
      </c>
    </row>
    <row r="1896" customFormat="false" ht="12.75" hidden="false" customHeight="true" outlineLevel="0" collapsed="false">
      <c r="A1896" s="1" t="s">
        <v>1275</v>
      </c>
      <c r="B1896" s="1" t="str">
        <f aca="false">TRIM(A1896)</f>
        <v>+15, 25, GYARADOS</v>
      </c>
    </row>
    <row r="1897" customFormat="false" ht="12.75" hidden="false" customHeight="true" outlineLevel="0" collapsed="false">
      <c r="A1897" s="1" t="s">
        <v>1589</v>
      </c>
      <c r="B1897" s="1" t="str">
        <f aca="false">TRIM(A1897)</f>
        <v>+15, 25, SLOWPOKE</v>
      </c>
    </row>
    <row r="1898" customFormat="false" ht="12.75" hidden="false" customHeight="true" outlineLevel="0" collapsed="false">
      <c r="A1898" s="1" t="s">
        <v>2552</v>
      </c>
      <c r="B1898" s="1" t="str">
        <f aca="false">TRIM(A1898)</f>
        <v>+25, 35, SLOWPOKE</v>
      </c>
    </row>
    <row r="1899" customFormat="false" ht="12.75" hidden="false" customHeight="true" outlineLevel="0" collapsed="false">
      <c r="A1899" s="1" t="s">
        <v>2536</v>
      </c>
      <c r="B1899" s="1" t="str">
        <f aca="false">TRIM(A1899)</f>
        <v>NEW ROUTE</v>
      </c>
    </row>
    <row r="1900" customFormat="false" ht="12.75" hidden="false" customHeight="true" outlineLevel="0" collapsed="false">
      <c r="A1900" s="1" t="s">
        <v>2680</v>
      </c>
      <c r="B1900" s="1" t="str">
        <f aca="false">TRIM(A1900)</f>
        <v>+3, 48, 0,</v>
      </c>
    </row>
    <row r="1901" customFormat="false" ht="12.75" hidden="false" customHeight="true" outlineLevel="0" collapsed="false">
      <c r="A1901" s="1" t="s">
        <v>2568</v>
      </c>
      <c r="B1901" s="1" t="str">
        <f aca="false">TRIM(A1901)</f>
        <v>21, # 20%</v>
      </c>
    </row>
    <row r="1902" customFormat="false" ht="12.75" hidden="false" customHeight="true" outlineLevel="0" collapsed="false">
      <c r="A1902" s="1" t="s">
        <v>1695</v>
      </c>
      <c r="B1902" s="1" t="str">
        <f aca="false">TRIM(A1902)</f>
        <v>32, 32, PIDGEY</v>
      </c>
    </row>
    <row r="1903" customFormat="false" ht="12.75" hidden="false" customHeight="true" outlineLevel="0" collapsed="false">
      <c r="A1903" s="1" t="s">
        <v>1696</v>
      </c>
      <c r="B1903" s="1" t="str">
        <f aca="false">TRIM(A1903)</f>
        <v>+31, 31, BELLSPROUT</v>
      </c>
    </row>
    <row r="1904" customFormat="false" ht="12.75" hidden="false" customHeight="true" outlineLevel="0" collapsed="false">
      <c r="A1904" s="2"/>
      <c r="B1904" s="1" t="str">
        <f aca="false">TRIM(A1904)</f>
        <v/>
      </c>
    </row>
    <row r="1905" customFormat="false" ht="12.75" hidden="false" customHeight="true" outlineLevel="0" collapsed="false">
      <c r="A1905" s="1" t="s">
        <v>1209</v>
      </c>
      <c r="B1905" s="1" t="str">
        <f aca="false">TRIM(A1905)</f>
        <v># 10%</v>
      </c>
    </row>
    <row r="1906" customFormat="false" ht="12.75" hidden="false" customHeight="true" outlineLevel="0" collapsed="false">
      <c r="A1906" s="1" t="s">
        <v>1697</v>
      </c>
      <c r="B1906" s="1" t="str">
        <f aca="false">TRIM(A1906)</f>
        <v>+29, 29, PIDGEY</v>
      </c>
    </row>
    <row r="1907" customFormat="false" ht="12.75" hidden="false" customHeight="true" outlineLevel="0" collapsed="false">
      <c r="A1907" s="1" t="s">
        <v>1689</v>
      </c>
      <c r="B1907" s="1" t="str">
        <f aca="false">TRIM(A1907)</f>
        <v>+36, 36, WEEPINBELL</v>
      </c>
    </row>
    <row r="1908" customFormat="false" ht="12.75" hidden="false" customHeight="true" outlineLevel="0" collapsed="false">
      <c r="A1908" s="1" t="s">
        <v>1698</v>
      </c>
      <c r="B1908" s="1" t="str">
        <f aca="false">TRIM(A1908)</f>
        <v>+34, 34, PIDGEOTTO</v>
      </c>
    </row>
    <row r="1909" customFormat="false" ht="12.75" hidden="false" customHeight="true" outlineLevel="0" collapsed="false">
      <c r="A1909" s="1" t="s">
        <v>1670</v>
      </c>
      <c r="B1909" s="1" t="str">
        <f aca="false">TRIM(A1909)</f>
        <v>+31, 31, MEOWTH</v>
      </c>
    </row>
    <row r="1910" customFormat="false" ht="12.75" hidden="false" customHeight="true" outlineLevel="0" collapsed="false">
      <c r="A1910" s="2"/>
      <c r="B1910" s="1" t="str">
        <f aca="false">TRIM(A1910)</f>
        <v/>
      </c>
    </row>
    <row r="1911" customFormat="false" ht="12.75" hidden="false" customHeight="true" outlineLevel="0" collapsed="false">
      <c r="A1911" s="1" t="s">
        <v>1210</v>
      </c>
      <c r="B1911" s="1" t="str">
        <f aca="false">TRIM(A1911)</f>
        <v># 5%</v>
      </c>
    </row>
    <row r="1912" customFormat="false" ht="12.75" hidden="false" customHeight="true" outlineLevel="0" collapsed="false">
      <c r="A1912" s="1" t="s">
        <v>1573</v>
      </c>
      <c r="B1912" s="1" t="str">
        <f aca="false">TRIM(A1912)</f>
        <v>+34, 34, VENONAT</v>
      </c>
    </row>
    <row r="1913" customFormat="false" ht="12.75" hidden="false" customHeight="true" outlineLevel="0" collapsed="false">
      <c r="A1913" s="1" t="s">
        <v>1576</v>
      </c>
      <c r="B1913" s="1" t="str">
        <f aca="false">TRIM(A1913)</f>
        <v>+31, 31, SLOWPOKE</v>
      </c>
    </row>
    <row r="1914" customFormat="false" ht="12.75" hidden="false" customHeight="true" outlineLevel="0" collapsed="false">
      <c r="A1914" s="2"/>
      <c r="B1914" s="1" t="str">
        <f aca="false">TRIM(A1914)</f>
        <v/>
      </c>
    </row>
    <row r="1915" customFormat="false" ht="12.75" hidden="false" customHeight="true" outlineLevel="0" collapsed="false">
      <c r="A1915" s="1" t="s">
        <v>1211</v>
      </c>
      <c r="B1915" s="1" t="str">
        <f aca="false">TRIM(A1915)</f>
        <v># 4%</v>
      </c>
    </row>
    <row r="1916" customFormat="false" ht="12.75" hidden="false" customHeight="true" outlineLevel="0" collapsed="false">
      <c r="A1916" s="1" t="s">
        <v>1699</v>
      </c>
      <c r="B1916" s="1" t="str">
        <f aca="false">TRIM(A1916)</f>
        <v>+37, 37, PIDGEOTTO</v>
      </c>
    </row>
    <row r="1917" customFormat="false" ht="12.75" hidden="false" customHeight="true" outlineLevel="0" collapsed="false">
      <c r="A1917" s="1" t="s">
        <v>1674</v>
      </c>
      <c r="B1917" s="1" t="str">
        <f aca="false">TRIM(A1917)</f>
        <v>+37, 37, PERSIAN</v>
      </c>
    </row>
    <row r="1918" customFormat="false" ht="12.75" hidden="false" customHeight="true" outlineLevel="0" collapsed="false">
      <c r="A1918" s="2"/>
      <c r="B1918" s="1" t="str">
        <f aca="false">TRIM(A1918)</f>
        <v/>
      </c>
    </row>
    <row r="1919" customFormat="false" ht="12.75" hidden="false" customHeight="true" outlineLevel="0" collapsed="false">
      <c r="A1919" s="1" t="s">
        <v>1212</v>
      </c>
      <c r="B1919" s="1" t="str">
        <f aca="false">TRIM(A1919)</f>
        <v># 1%</v>
      </c>
    </row>
    <row r="1920" customFormat="false" ht="12.75" hidden="false" customHeight="true" outlineLevel="0" collapsed="false">
      <c r="A1920" s="1" t="s">
        <v>1700</v>
      </c>
      <c r="B1920" s="1" t="str">
        <f aca="false">TRIM(A1920)</f>
        <v>+40, 40, PIDGEOTTO</v>
      </c>
    </row>
    <row r="1921" customFormat="false" ht="12.75" hidden="false" customHeight="true" outlineLevel="0" collapsed="false">
      <c r="A1921" s="1" t="s">
        <v>2674</v>
      </c>
      <c r="B1921" s="1" t="str">
        <f aca="false">TRIM(A1921)</f>
        <v>+40, 40, PERSIAN</v>
      </c>
    </row>
    <row r="1922" customFormat="false" ht="12.75" hidden="false" customHeight="true" outlineLevel="0" collapsed="false">
      <c r="A1922" s="1" t="s">
        <v>2651</v>
      </c>
      <c r="B1922" s="1" t="str">
        <f aca="false">TRIM(A1922)</f>
        <v>2, 5, 20, TENTACOOL</v>
      </c>
    </row>
    <row r="1923" customFormat="false" ht="12.75" hidden="false" customHeight="true" outlineLevel="0" collapsed="false">
      <c r="A1923" s="1" t="s">
        <v>1619</v>
      </c>
      <c r="B1923" s="1" t="str">
        <f aca="false">TRIM(A1923)</f>
        <v>+20, 35, TENTACOOL</v>
      </c>
    </row>
    <row r="1924" customFormat="false" ht="12.75" hidden="false" customHeight="true" outlineLevel="0" collapsed="false">
      <c r="A1924" s="1" t="s">
        <v>1677</v>
      </c>
      <c r="B1924" s="1" t="str">
        <f aca="false">TRIM(A1924)</f>
        <v>+35, 40, TENTACOOL</v>
      </c>
    </row>
    <row r="1925" customFormat="false" ht="12.75" hidden="false" customHeight="true" outlineLevel="0" collapsed="false">
      <c r="A1925" s="1" t="s">
        <v>1678</v>
      </c>
      <c r="B1925" s="1" t="str">
        <f aca="false">TRIM(A1925)</f>
        <v>+35, 40, TENTACRUEL</v>
      </c>
    </row>
    <row r="1926" customFormat="false" ht="12.75" hidden="false" customHeight="true" outlineLevel="0" collapsed="false">
      <c r="A1926" s="1" t="s">
        <v>2675</v>
      </c>
      <c r="B1926" s="1" t="str">
        <f aca="false">TRIM(A1926)</f>
        <v>+35, 40, TENTACRUEL</v>
      </c>
    </row>
    <row r="1927" customFormat="false" ht="12.75" hidden="false" customHeight="true" outlineLevel="0" collapsed="false">
      <c r="A1927" s="1" t="s">
        <v>2572</v>
      </c>
      <c r="B1927" s="1" t="str">
        <f aca="false">TRIM(A1927)</f>
        <v>20, # old rod:</v>
      </c>
    </row>
    <row r="1928" customFormat="false" ht="12.75" hidden="false" customHeight="true" outlineLevel="0" collapsed="false">
      <c r="A1928" s="1" t="s">
        <v>1266</v>
      </c>
      <c r="B1928" s="1" t="str">
        <f aca="false">TRIM(A1928)</f>
        <v>5, 5, MAGIKARP</v>
      </c>
    </row>
    <row r="1929" customFormat="false" ht="12.75" hidden="false" customHeight="true" outlineLevel="0" collapsed="false">
      <c r="A1929" s="1" t="s">
        <v>1267</v>
      </c>
      <c r="B1929" s="1" t="str">
        <f aca="false">TRIM(A1929)</f>
        <v>+5, 5, MAGIKARP</v>
      </c>
    </row>
    <row r="1930" customFormat="false" ht="12.75" hidden="false" customHeight="true" outlineLevel="0" collapsed="false">
      <c r="A1930" s="2"/>
      <c r="B1930" s="1" t="str">
        <f aca="false">TRIM(A1930)</f>
        <v/>
      </c>
    </row>
    <row r="1931" customFormat="false" ht="12.75" hidden="false" customHeight="true" outlineLevel="0" collapsed="false">
      <c r="A1931" s="1" t="s">
        <v>1268</v>
      </c>
      <c r="B1931" s="1" t="str">
        <f aca="false">TRIM(A1931)</f>
        <v># good rod:</v>
      </c>
    </row>
    <row r="1932" customFormat="false" ht="12.75" hidden="false" customHeight="true" outlineLevel="0" collapsed="false">
      <c r="A1932" s="1" t="s">
        <v>1269</v>
      </c>
      <c r="B1932" s="1" t="str">
        <f aca="false">TRIM(A1932)</f>
        <v>+5, 15, KRABBY</v>
      </c>
    </row>
    <row r="1933" customFormat="false" ht="12.75" hidden="false" customHeight="true" outlineLevel="0" collapsed="false">
      <c r="A1933" s="1" t="s">
        <v>1270</v>
      </c>
      <c r="B1933" s="1" t="str">
        <f aca="false">TRIM(A1933)</f>
        <v>+5, 15, MAGIKARP</v>
      </c>
    </row>
    <row r="1934" customFormat="false" ht="12.75" hidden="false" customHeight="true" outlineLevel="0" collapsed="false">
      <c r="A1934" s="1" t="s">
        <v>1269</v>
      </c>
      <c r="B1934" s="1" t="str">
        <f aca="false">TRIM(A1934)</f>
        <v>+5, 15, KRABBY</v>
      </c>
    </row>
    <row r="1935" customFormat="false" ht="12.75" hidden="false" customHeight="true" outlineLevel="0" collapsed="false">
      <c r="A1935" s="2"/>
      <c r="B1935" s="1" t="str">
        <f aca="false">TRIM(A1935)</f>
        <v/>
      </c>
    </row>
    <row r="1936" customFormat="false" ht="12.75" hidden="false" customHeight="true" outlineLevel="0" collapsed="false">
      <c r="A1936" s="1" t="s">
        <v>1272</v>
      </c>
      <c r="B1936" s="1" t="str">
        <f aca="false">TRIM(A1936)</f>
        <v># super rod:</v>
      </c>
    </row>
    <row r="1937" customFormat="false" ht="12.75" hidden="false" customHeight="true" outlineLevel="0" collapsed="false">
      <c r="A1937" s="1" t="s">
        <v>1273</v>
      </c>
      <c r="B1937" s="1" t="str">
        <f aca="false">TRIM(A1937)</f>
        <v>+15, 25, KRABBY</v>
      </c>
    </row>
    <row r="1938" customFormat="false" ht="12.75" hidden="false" customHeight="true" outlineLevel="0" collapsed="false">
      <c r="A1938" s="1" t="s">
        <v>1273</v>
      </c>
      <c r="B1938" s="1" t="str">
        <f aca="false">TRIM(A1938)</f>
        <v>+15, 25, KRABBY</v>
      </c>
    </row>
    <row r="1939" customFormat="false" ht="12.75" hidden="false" customHeight="true" outlineLevel="0" collapsed="false">
      <c r="A1939" s="1" t="s">
        <v>1275</v>
      </c>
      <c r="B1939" s="1" t="str">
        <f aca="false">TRIM(A1939)</f>
        <v>+15, 25, GYARADOS</v>
      </c>
    </row>
    <row r="1940" customFormat="false" ht="12.75" hidden="false" customHeight="true" outlineLevel="0" collapsed="false">
      <c r="A1940" s="1" t="s">
        <v>1623</v>
      </c>
      <c r="B1940" s="1" t="str">
        <f aca="false">TRIM(A1940)</f>
        <v>+25, 35, KINGLER</v>
      </c>
    </row>
    <row r="1941" customFormat="false" ht="12.75" hidden="false" customHeight="true" outlineLevel="0" collapsed="false">
      <c r="A1941" s="1" t="s">
        <v>2552</v>
      </c>
      <c r="B1941" s="1" t="str">
        <f aca="false">TRIM(A1941)</f>
        <v>+25, 35, SLOWPOKE</v>
      </c>
    </row>
    <row r="1942" customFormat="false" ht="12.75" hidden="false" customHeight="true" outlineLevel="0" collapsed="false">
      <c r="A1942" s="1" t="s">
        <v>2536</v>
      </c>
      <c r="B1942" s="1" t="str">
        <f aca="false">TRIM(A1942)</f>
        <v>NEW ROUTE</v>
      </c>
    </row>
    <row r="1943" customFormat="false" ht="12.75" hidden="false" customHeight="true" outlineLevel="0" collapsed="false">
      <c r="A1943" s="1" t="s">
        <v>2681</v>
      </c>
      <c r="B1943" s="1" t="str">
        <f aca="false">TRIM(A1943)</f>
        <v>+3, 49, 0,</v>
      </c>
    </row>
    <row r="1944" customFormat="false" ht="12.75" hidden="false" customHeight="true" outlineLevel="0" collapsed="false">
      <c r="A1944" s="1" t="s">
        <v>2656</v>
      </c>
      <c r="B1944" s="1" t="str">
        <f aca="false">TRIM(A1944)</f>
        <v>1, # 20%</v>
      </c>
    </row>
    <row r="1945" customFormat="false" ht="12.75" hidden="false" customHeight="true" outlineLevel="0" collapsed="false">
      <c r="A1945" s="1" t="s">
        <v>1702</v>
      </c>
      <c r="B1945" s="1" t="str">
        <f aca="false">TRIM(A1945)</f>
        <v>15, 15, DUNSPARCE</v>
      </c>
    </row>
    <row r="1946" customFormat="false" ht="12.75" hidden="false" customHeight="true" outlineLevel="0" collapsed="false">
      <c r="A1946" s="1" t="s">
        <v>1703</v>
      </c>
      <c r="B1946" s="1" t="str">
        <f aca="false">TRIM(A1946)</f>
        <v>+15, 15, DUNSPARCE</v>
      </c>
    </row>
    <row r="1947" customFormat="false" ht="12.75" hidden="false" customHeight="true" outlineLevel="0" collapsed="false">
      <c r="A1947" s="2"/>
      <c r="B1947" s="1" t="str">
        <f aca="false">TRIM(A1947)</f>
        <v/>
      </c>
    </row>
    <row r="1948" customFormat="false" ht="12.75" hidden="false" customHeight="true" outlineLevel="0" collapsed="false">
      <c r="A1948" s="1" t="s">
        <v>1209</v>
      </c>
      <c r="B1948" s="1" t="str">
        <f aca="false">TRIM(A1948)</f>
        <v># 10%</v>
      </c>
    </row>
    <row r="1949" customFormat="false" ht="12.75" hidden="false" customHeight="true" outlineLevel="0" collapsed="false">
      <c r="A1949" s="1" t="s">
        <v>1704</v>
      </c>
      <c r="B1949" s="1" t="str">
        <f aca="false">TRIM(A1949)</f>
        <v>+10, 10, DUNSPARCE</v>
      </c>
    </row>
    <row r="1950" customFormat="false" ht="12.75" hidden="false" customHeight="true" outlineLevel="0" collapsed="false">
      <c r="A1950" s="1" t="s">
        <v>1704</v>
      </c>
      <c r="B1950" s="1" t="str">
        <f aca="false">TRIM(A1950)</f>
        <v>+10, 10, DUNSPARCE</v>
      </c>
    </row>
    <row r="1951" customFormat="false" ht="12.75" hidden="false" customHeight="true" outlineLevel="0" collapsed="false">
      <c r="A1951" s="1" t="s">
        <v>1705</v>
      </c>
      <c r="B1951" s="1" t="str">
        <f aca="false">TRIM(A1951)</f>
        <v>+20, 20, DUNSPARCE</v>
      </c>
    </row>
    <row r="1952" customFormat="false" ht="12.75" hidden="false" customHeight="true" outlineLevel="0" collapsed="false">
      <c r="A1952" s="1" t="s">
        <v>1705</v>
      </c>
      <c r="B1952" s="1" t="str">
        <f aca="false">TRIM(A1952)</f>
        <v>+20, 20, DUNSPARCE</v>
      </c>
    </row>
    <row r="1953" customFormat="false" ht="12.75" hidden="false" customHeight="true" outlineLevel="0" collapsed="false">
      <c r="A1953" s="2"/>
      <c r="B1953" s="1" t="str">
        <f aca="false">TRIM(A1953)</f>
        <v/>
      </c>
    </row>
    <row r="1954" customFormat="false" ht="12.75" hidden="false" customHeight="true" outlineLevel="0" collapsed="false">
      <c r="A1954" s="1" t="s">
        <v>1210</v>
      </c>
      <c r="B1954" s="1" t="str">
        <f aca="false">TRIM(A1954)</f>
        <v># 5%</v>
      </c>
    </row>
    <row r="1955" customFormat="false" ht="12.75" hidden="false" customHeight="true" outlineLevel="0" collapsed="false">
      <c r="A1955" s="1" t="s">
        <v>1706</v>
      </c>
      <c r="B1955" s="1" t="str">
        <f aca="false">TRIM(A1955)</f>
        <v>+25, 25, DUNSPARCE</v>
      </c>
    </row>
    <row r="1956" customFormat="false" ht="12.75" hidden="false" customHeight="true" outlineLevel="0" collapsed="false">
      <c r="A1956" s="1" t="s">
        <v>1707</v>
      </c>
      <c r="B1956" s="1" t="str">
        <f aca="false">TRIM(A1956)</f>
        <v>+30, 30, DUNSPARCE</v>
      </c>
    </row>
    <row r="1957" customFormat="false" ht="12.75" hidden="false" customHeight="true" outlineLevel="0" collapsed="false">
      <c r="A1957" s="2"/>
      <c r="B1957" s="1" t="str">
        <f aca="false">TRIM(A1957)</f>
        <v/>
      </c>
    </row>
    <row r="1958" customFormat="false" ht="12.75" hidden="false" customHeight="true" outlineLevel="0" collapsed="false">
      <c r="A1958" s="1" t="s">
        <v>1211</v>
      </c>
      <c r="B1958" s="1" t="str">
        <f aca="false">TRIM(A1958)</f>
        <v># 4%</v>
      </c>
    </row>
    <row r="1959" customFormat="false" ht="12.75" hidden="false" customHeight="true" outlineLevel="0" collapsed="false">
      <c r="A1959" s="1" t="s">
        <v>1706</v>
      </c>
      <c r="B1959" s="1" t="str">
        <f aca="false">TRIM(A1959)</f>
        <v>+25, 25, DUNSPARCE</v>
      </c>
    </row>
    <row r="1960" customFormat="false" ht="12.75" hidden="false" customHeight="true" outlineLevel="0" collapsed="false">
      <c r="A1960" s="1" t="s">
        <v>1707</v>
      </c>
      <c r="B1960" s="1" t="str">
        <f aca="false">TRIM(A1960)</f>
        <v>+30, 30, DUNSPARCE</v>
      </c>
    </row>
    <row r="1961" customFormat="false" ht="12.75" hidden="false" customHeight="true" outlineLevel="0" collapsed="false">
      <c r="A1961" s="2"/>
      <c r="B1961" s="1" t="str">
        <f aca="false">TRIM(A1961)</f>
        <v/>
      </c>
    </row>
    <row r="1962" customFormat="false" ht="12.75" hidden="false" customHeight="true" outlineLevel="0" collapsed="false">
      <c r="A1962" s="1" t="s">
        <v>1212</v>
      </c>
      <c r="B1962" s="1" t="str">
        <f aca="false">TRIM(A1962)</f>
        <v># 1%</v>
      </c>
    </row>
    <row r="1963" customFormat="false" ht="12.75" hidden="false" customHeight="true" outlineLevel="0" collapsed="false">
      <c r="A1963" s="1" t="s">
        <v>1708</v>
      </c>
      <c r="B1963" s="1" t="str">
        <f aca="false">TRIM(A1963)</f>
        <v>+5, 5, DUNSPARCE</v>
      </c>
    </row>
    <row r="1964" customFormat="false" ht="12.75" hidden="false" customHeight="true" outlineLevel="0" collapsed="false">
      <c r="A1964" s="1" t="s">
        <v>2682</v>
      </c>
      <c r="B1964" s="1" t="str">
        <f aca="false">TRIM(A1964)</f>
        <v>+35, 35, DUNSPARCE , &lt;null&gt;, &lt;null&gt;, &lt;null&gt;</v>
      </c>
    </row>
    <row r="1965" customFormat="false" ht="12.75" hidden="false" customHeight="true" outlineLevel="0" collapsed="false">
      <c r="A1965" s="2"/>
      <c r="B1965" s="1" t="str">
        <f aca="false">TRIM(A1965)</f>
        <v/>
      </c>
    </row>
    <row r="1966" customFormat="false" ht="12.75" hidden="false" customHeight="true" outlineLevel="0" collapsed="false">
      <c r="A1966" s="1" t="s">
        <v>2536</v>
      </c>
      <c r="B1966" s="1" t="str">
        <f aca="false">TRIM(A1966)</f>
        <v>NEW ROUTE</v>
      </c>
    </row>
    <row r="1967" customFormat="false" ht="12.75" hidden="false" customHeight="true" outlineLevel="0" collapsed="false">
      <c r="A1967" s="1" t="s">
        <v>2683</v>
      </c>
      <c r="B1967" s="1" t="str">
        <f aca="false">TRIM(A1967)</f>
        <v>+3, 54, 0, &lt;null&gt;,</v>
      </c>
    </row>
    <row r="1968" customFormat="false" ht="12.75" hidden="false" customHeight="true" outlineLevel="0" collapsed="false">
      <c r="A1968" s="2"/>
      <c r="B1968" s="1" t="str">
        <f aca="false">TRIM(A1968)</f>
        <v/>
      </c>
    </row>
    <row r="1969" customFormat="false" ht="12.75" hidden="false" customHeight="true" outlineLevel="0" collapsed="false">
      <c r="A1969" s="1" t="s">
        <v>2684</v>
      </c>
      <c r="B1969" s="1" t="str">
        <f aca="false">TRIM(A1969)</f>
        <v>2, 5, 35, TENTACOOL</v>
      </c>
    </row>
    <row r="1970" customFormat="false" ht="12.75" hidden="false" customHeight="true" outlineLevel="0" collapsed="false">
      <c r="A1970" s="1" t="s">
        <v>1711</v>
      </c>
      <c r="B1970" s="1" t="str">
        <f aca="false">TRIM(A1970)</f>
        <v>+5, 15, HOPPIP</v>
      </c>
    </row>
    <row r="1971" customFormat="false" ht="12.75" hidden="false" customHeight="true" outlineLevel="0" collapsed="false">
      <c r="A1971" s="1" t="s">
        <v>1677</v>
      </c>
      <c r="B1971" s="1" t="str">
        <f aca="false">TRIM(A1971)</f>
        <v>+35, 40, TENTACOOL</v>
      </c>
    </row>
    <row r="1972" customFormat="false" ht="12.75" hidden="false" customHeight="true" outlineLevel="0" collapsed="false">
      <c r="A1972" s="1" t="s">
        <v>1678</v>
      </c>
      <c r="B1972" s="1" t="str">
        <f aca="false">TRIM(A1972)</f>
        <v>+35, 40, TENTACRUEL</v>
      </c>
    </row>
    <row r="1973" customFormat="false" ht="12.75" hidden="false" customHeight="true" outlineLevel="0" collapsed="false">
      <c r="A1973" s="1" t="s">
        <v>2675</v>
      </c>
      <c r="B1973" s="1" t="str">
        <f aca="false">TRIM(A1973)</f>
        <v>+35, 40, TENTACRUEL</v>
      </c>
    </row>
    <row r="1974" customFormat="false" ht="12.75" hidden="false" customHeight="true" outlineLevel="0" collapsed="false">
      <c r="A1974" s="1" t="s">
        <v>2572</v>
      </c>
      <c r="B1974" s="1" t="str">
        <f aca="false">TRIM(A1974)</f>
        <v>20, # old rod:</v>
      </c>
    </row>
    <row r="1975" customFormat="false" ht="12.75" hidden="false" customHeight="true" outlineLevel="0" collapsed="false">
      <c r="A1975" s="1" t="s">
        <v>1266</v>
      </c>
      <c r="B1975" s="1" t="str">
        <f aca="false">TRIM(A1975)</f>
        <v>5, 5, MAGIKARP</v>
      </c>
    </row>
    <row r="1976" customFormat="false" ht="12.75" hidden="false" customHeight="true" outlineLevel="0" collapsed="false">
      <c r="A1976" s="1" t="s">
        <v>1267</v>
      </c>
      <c r="B1976" s="1" t="str">
        <f aca="false">TRIM(A1976)</f>
        <v>+5, 5, MAGIKARP</v>
      </c>
    </row>
    <row r="1977" customFormat="false" ht="12.75" hidden="false" customHeight="true" outlineLevel="0" collapsed="false">
      <c r="A1977" s="2"/>
      <c r="B1977" s="1" t="str">
        <f aca="false">TRIM(A1977)</f>
        <v/>
      </c>
    </row>
    <row r="1978" customFormat="false" ht="12.75" hidden="false" customHeight="true" outlineLevel="0" collapsed="false">
      <c r="A1978" s="1" t="s">
        <v>1268</v>
      </c>
      <c r="B1978" s="1" t="str">
        <f aca="false">TRIM(A1978)</f>
        <v># good rod:</v>
      </c>
    </row>
    <row r="1979" customFormat="false" ht="12.75" hidden="false" customHeight="true" outlineLevel="0" collapsed="false">
      <c r="A1979" s="1" t="s">
        <v>1269</v>
      </c>
      <c r="B1979" s="1" t="str">
        <f aca="false">TRIM(A1979)</f>
        <v>+5, 15, KRABBY</v>
      </c>
    </row>
    <row r="1980" customFormat="false" ht="12.75" hidden="false" customHeight="true" outlineLevel="0" collapsed="false">
      <c r="A1980" s="1" t="s">
        <v>1270</v>
      </c>
      <c r="B1980" s="1" t="str">
        <f aca="false">TRIM(A1980)</f>
        <v>+5, 15, MAGIKARP</v>
      </c>
    </row>
    <row r="1981" customFormat="false" ht="12.75" hidden="false" customHeight="true" outlineLevel="0" collapsed="false">
      <c r="A1981" s="1" t="s">
        <v>1269</v>
      </c>
      <c r="B1981" s="1" t="str">
        <f aca="false">TRIM(A1981)</f>
        <v>+5, 15, KRABBY</v>
      </c>
    </row>
    <row r="1982" customFormat="false" ht="12.75" hidden="false" customHeight="true" outlineLevel="0" collapsed="false">
      <c r="A1982" s="2"/>
      <c r="B1982" s="1" t="str">
        <f aca="false">TRIM(A1982)</f>
        <v/>
      </c>
    </row>
    <row r="1983" customFormat="false" ht="12.75" hidden="false" customHeight="true" outlineLevel="0" collapsed="false">
      <c r="A1983" s="1" t="s">
        <v>1272</v>
      </c>
      <c r="B1983" s="1" t="str">
        <f aca="false">TRIM(A1983)</f>
        <v># super rod:</v>
      </c>
    </row>
    <row r="1984" customFormat="false" ht="12.75" hidden="false" customHeight="true" outlineLevel="0" collapsed="false">
      <c r="A1984" s="1" t="s">
        <v>1273</v>
      </c>
      <c r="B1984" s="1" t="str">
        <f aca="false">TRIM(A1984)</f>
        <v>+15, 25, KRABBY</v>
      </c>
    </row>
    <row r="1985" customFormat="false" ht="12.75" hidden="false" customHeight="true" outlineLevel="0" collapsed="false">
      <c r="A1985" s="1" t="s">
        <v>1712</v>
      </c>
      <c r="B1985" s="1" t="str">
        <f aca="false">TRIM(A1985)</f>
        <v>+15, 25, REMORAID</v>
      </c>
    </row>
    <row r="1986" customFormat="false" ht="12.75" hidden="false" customHeight="true" outlineLevel="0" collapsed="false">
      <c r="A1986" s="1" t="s">
        <v>1275</v>
      </c>
      <c r="B1986" s="1" t="str">
        <f aca="false">TRIM(A1986)</f>
        <v>+15, 25, GYARADOS</v>
      </c>
    </row>
    <row r="1987" customFormat="false" ht="12.75" hidden="false" customHeight="true" outlineLevel="0" collapsed="false">
      <c r="A1987" s="1" t="s">
        <v>1623</v>
      </c>
      <c r="B1987" s="1" t="str">
        <f aca="false">TRIM(A1987)</f>
        <v>+25, 35, KINGLER</v>
      </c>
    </row>
    <row r="1988" customFormat="false" ht="12.75" hidden="false" customHeight="true" outlineLevel="0" collapsed="false">
      <c r="A1988" s="1" t="s">
        <v>2552</v>
      </c>
      <c r="B1988" s="1" t="str">
        <f aca="false">TRIM(A1988)</f>
        <v>+25, 35, SLOWPOKE</v>
      </c>
    </row>
    <row r="1989" customFormat="false" ht="12.75" hidden="false" customHeight="true" outlineLevel="0" collapsed="false">
      <c r="A1989" s="1" t="s">
        <v>2536</v>
      </c>
      <c r="B1989" s="1" t="str">
        <f aca="false">TRIM(A1989)</f>
        <v>NEW ROUTE</v>
      </c>
    </row>
    <row r="1990" customFormat="false" ht="12.75" hidden="false" customHeight="true" outlineLevel="0" collapsed="false">
      <c r="A1990" s="1" t="s">
        <v>2685</v>
      </c>
      <c r="B1990" s="1" t="str">
        <f aca="false">TRIM(A1990)</f>
        <v>+3, 55, 0, &lt;null&gt;,</v>
      </c>
    </row>
    <row r="1991" customFormat="false" ht="12.75" hidden="false" customHeight="true" outlineLevel="0" collapsed="false">
      <c r="A1991" s="2"/>
      <c r="B1991" s="1" t="str">
        <f aca="false">TRIM(A1991)</f>
        <v/>
      </c>
    </row>
    <row r="1992" customFormat="false" ht="12.75" hidden="false" customHeight="true" outlineLevel="0" collapsed="false">
      <c r="A1992" s="1" t="s">
        <v>2684</v>
      </c>
      <c r="B1992" s="1" t="str">
        <f aca="false">TRIM(A1992)</f>
        <v>2, 5, 35, TENTACOOL</v>
      </c>
    </row>
    <row r="1993" customFormat="false" ht="12.75" hidden="false" customHeight="true" outlineLevel="0" collapsed="false">
      <c r="A1993" s="1" t="s">
        <v>1711</v>
      </c>
      <c r="B1993" s="1" t="str">
        <f aca="false">TRIM(A1993)</f>
        <v>+5, 15, HOPPIP</v>
      </c>
    </row>
    <row r="1994" customFormat="false" ht="12.75" hidden="false" customHeight="true" outlineLevel="0" collapsed="false">
      <c r="A1994" s="1" t="s">
        <v>1677</v>
      </c>
      <c r="B1994" s="1" t="str">
        <f aca="false">TRIM(A1994)</f>
        <v>+35, 40, TENTACOOL</v>
      </c>
    </row>
    <row r="1995" customFormat="false" ht="12.75" hidden="false" customHeight="true" outlineLevel="0" collapsed="false">
      <c r="A1995" s="1" t="s">
        <v>1678</v>
      </c>
      <c r="B1995" s="1" t="str">
        <f aca="false">TRIM(A1995)</f>
        <v>+35, 40, TENTACRUEL</v>
      </c>
    </row>
    <row r="1996" customFormat="false" ht="12.75" hidden="false" customHeight="true" outlineLevel="0" collapsed="false">
      <c r="A1996" s="1" t="s">
        <v>2675</v>
      </c>
      <c r="B1996" s="1" t="str">
        <f aca="false">TRIM(A1996)</f>
        <v>+35, 40, TENTACRUEL</v>
      </c>
    </row>
    <row r="1997" customFormat="false" ht="12.75" hidden="false" customHeight="true" outlineLevel="0" collapsed="false">
      <c r="A1997" s="1" t="s">
        <v>2572</v>
      </c>
      <c r="B1997" s="1" t="str">
        <f aca="false">TRIM(A1997)</f>
        <v>20, # old rod:</v>
      </c>
    </row>
    <row r="1998" customFormat="false" ht="12.75" hidden="false" customHeight="true" outlineLevel="0" collapsed="false">
      <c r="A1998" s="1" t="s">
        <v>1266</v>
      </c>
      <c r="B1998" s="1" t="str">
        <f aca="false">TRIM(A1998)</f>
        <v>5, 5, MAGIKARP</v>
      </c>
    </row>
    <row r="1999" customFormat="false" ht="12.75" hidden="false" customHeight="true" outlineLevel="0" collapsed="false">
      <c r="A1999" s="1" t="s">
        <v>1267</v>
      </c>
      <c r="B1999" s="1" t="str">
        <f aca="false">TRIM(A1999)</f>
        <v>+5, 5, MAGIKARP</v>
      </c>
    </row>
    <row r="2000" customFormat="false" ht="12.75" hidden="false" customHeight="true" outlineLevel="0" collapsed="false">
      <c r="A2000" s="2"/>
      <c r="B2000" s="1" t="str">
        <f aca="false">TRIM(A2000)</f>
        <v/>
      </c>
    </row>
    <row r="2001" customFormat="false" ht="12.75" hidden="false" customHeight="true" outlineLevel="0" collapsed="false">
      <c r="A2001" s="1" t="s">
        <v>1268</v>
      </c>
      <c r="B2001" s="1" t="str">
        <f aca="false">TRIM(A2001)</f>
        <v># good rod:</v>
      </c>
    </row>
    <row r="2002" customFormat="false" ht="12.75" hidden="false" customHeight="true" outlineLevel="0" collapsed="false">
      <c r="A2002" s="1" t="s">
        <v>1269</v>
      </c>
      <c r="B2002" s="1" t="str">
        <f aca="false">TRIM(A2002)</f>
        <v>+5, 15, KRABBY</v>
      </c>
    </row>
    <row r="2003" customFormat="false" ht="12.75" hidden="false" customHeight="true" outlineLevel="0" collapsed="false">
      <c r="A2003" s="1" t="s">
        <v>1270</v>
      </c>
      <c r="B2003" s="1" t="str">
        <f aca="false">TRIM(A2003)</f>
        <v>+5, 15, MAGIKARP</v>
      </c>
    </row>
    <row r="2004" customFormat="false" ht="12.75" hidden="false" customHeight="true" outlineLevel="0" collapsed="false">
      <c r="A2004" s="1" t="s">
        <v>1269</v>
      </c>
      <c r="B2004" s="1" t="str">
        <f aca="false">TRIM(A2004)</f>
        <v>+5, 15, KRABBY</v>
      </c>
    </row>
    <row r="2005" customFormat="false" ht="12.75" hidden="false" customHeight="true" outlineLevel="0" collapsed="false">
      <c r="A2005" s="2"/>
      <c r="B2005" s="1" t="str">
        <f aca="false">TRIM(A2005)</f>
        <v/>
      </c>
    </row>
    <row r="2006" customFormat="false" ht="12.75" hidden="false" customHeight="true" outlineLevel="0" collapsed="false">
      <c r="A2006" s="1" t="s">
        <v>1272</v>
      </c>
      <c r="B2006" s="1" t="str">
        <f aca="false">TRIM(A2006)</f>
        <v># super rod:</v>
      </c>
    </row>
    <row r="2007" customFormat="false" ht="12.75" hidden="false" customHeight="true" outlineLevel="0" collapsed="false">
      <c r="A2007" s="1" t="s">
        <v>1273</v>
      </c>
      <c r="B2007" s="1" t="str">
        <f aca="false">TRIM(A2007)</f>
        <v>+15, 25, KRABBY</v>
      </c>
    </row>
    <row r="2008" customFormat="false" ht="12.75" hidden="false" customHeight="true" outlineLevel="0" collapsed="false">
      <c r="A2008" s="1" t="s">
        <v>1712</v>
      </c>
      <c r="B2008" s="1" t="str">
        <f aca="false">TRIM(A2008)</f>
        <v>+15, 25, REMORAID</v>
      </c>
    </row>
    <row r="2009" customFormat="false" ht="12.75" hidden="false" customHeight="true" outlineLevel="0" collapsed="false">
      <c r="A2009" s="1" t="s">
        <v>1275</v>
      </c>
      <c r="B2009" s="1" t="str">
        <f aca="false">TRIM(A2009)</f>
        <v>+15, 25, GYARADOS</v>
      </c>
    </row>
    <row r="2010" customFormat="false" ht="12.75" hidden="false" customHeight="true" outlineLevel="0" collapsed="false">
      <c r="A2010" s="1" t="s">
        <v>1623</v>
      </c>
      <c r="B2010" s="1" t="str">
        <f aca="false">TRIM(A2010)</f>
        <v>+25, 35, KINGLER</v>
      </c>
    </row>
    <row r="2011" customFormat="false" ht="12.75" hidden="false" customHeight="true" outlineLevel="0" collapsed="false">
      <c r="A2011" s="1" t="s">
        <v>2552</v>
      </c>
      <c r="B2011" s="1" t="str">
        <f aca="false">TRIM(A2011)</f>
        <v>+25, 35, SLOWPOKE</v>
      </c>
    </row>
    <row r="2012" customFormat="false" ht="12.75" hidden="false" customHeight="true" outlineLevel="0" collapsed="false">
      <c r="A2012" s="1" t="s">
        <v>2536</v>
      </c>
      <c r="B2012" s="1" t="str">
        <f aca="false">TRIM(A2012)</f>
        <v>NEW ROUTE</v>
      </c>
    </row>
    <row r="2013" customFormat="false" ht="12.75" hidden="false" customHeight="true" outlineLevel="0" collapsed="false">
      <c r="A2013" s="1" t="s">
        <v>2686</v>
      </c>
      <c r="B2013" s="1" t="str">
        <f aca="false">TRIM(A2013)</f>
        <v>+3, 56, 0,</v>
      </c>
    </row>
    <row r="2014" customFormat="false" ht="12.75" hidden="false" customHeight="true" outlineLevel="0" collapsed="false">
      <c r="A2014" s="1" t="s">
        <v>2568</v>
      </c>
      <c r="B2014" s="1" t="str">
        <f aca="false">TRIM(A2014)</f>
        <v>21, # 20%</v>
      </c>
    </row>
    <row r="2015" customFormat="false" ht="12.75" hidden="false" customHeight="true" outlineLevel="0" collapsed="false">
      <c r="A2015" s="1" t="s">
        <v>1715</v>
      </c>
      <c r="B2015" s="1" t="str">
        <f aca="false">TRIM(A2015)</f>
        <v>44, 44, PIDGEY</v>
      </c>
    </row>
    <row r="2016" customFormat="false" ht="12.75" hidden="false" customHeight="true" outlineLevel="0" collapsed="false">
      <c r="A2016" s="1" t="s">
        <v>1716</v>
      </c>
      <c r="B2016" s="1" t="str">
        <f aca="false">TRIM(A2016)</f>
        <v>+10, 10, SENTRET</v>
      </c>
    </row>
    <row r="2017" customFormat="false" ht="12.75" hidden="false" customHeight="true" outlineLevel="0" collapsed="false">
      <c r="A2017" s="2"/>
      <c r="B2017" s="1" t="str">
        <f aca="false">TRIM(A2017)</f>
        <v/>
      </c>
    </row>
    <row r="2018" customFormat="false" ht="12.75" hidden="false" customHeight="true" outlineLevel="0" collapsed="false">
      <c r="A2018" s="1" t="s">
        <v>1209</v>
      </c>
      <c r="B2018" s="1" t="str">
        <f aca="false">TRIM(A2018)</f>
        <v># 10%</v>
      </c>
    </row>
    <row r="2019" customFormat="false" ht="12.75" hidden="false" customHeight="true" outlineLevel="0" collapsed="false">
      <c r="A2019" s="1" t="s">
        <v>1717</v>
      </c>
      <c r="B2019" s="1" t="str">
        <f aca="false">TRIM(A2019)</f>
        <v>+48, 48, PIDGEOTTO</v>
      </c>
    </row>
    <row r="2020" customFormat="false" ht="12.75" hidden="false" customHeight="true" outlineLevel="0" collapsed="false">
      <c r="A2020" s="1" t="s">
        <v>1718</v>
      </c>
      <c r="B2020" s="1" t="str">
        <f aca="false">TRIM(A2020)</f>
        <v>+10, 10, HOPPIP</v>
      </c>
    </row>
    <row r="2021" customFormat="false" ht="12.75" hidden="false" customHeight="true" outlineLevel="0" collapsed="false">
      <c r="A2021" s="1" t="s">
        <v>1719</v>
      </c>
      <c r="B2021" s="1" t="str">
        <f aca="false">TRIM(A2021)</f>
        <v>+15, 15, SENTRET</v>
      </c>
    </row>
    <row r="2022" customFormat="false" ht="12.75" hidden="false" customHeight="true" outlineLevel="0" collapsed="false">
      <c r="A2022" s="1" t="s">
        <v>1720</v>
      </c>
      <c r="B2022" s="1" t="str">
        <f aca="false">TRIM(A2022)</f>
        <v>+41, 41, MEOWTH</v>
      </c>
    </row>
    <row r="2023" customFormat="false" ht="12.75" hidden="false" customHeight="true" outlineLevel="0" collapsed="false">
      <c r="A2023" s="2"/>
      <c r="B2023" s="1" t="str">
        <f aca="false">TRIM(A2023)</f>
        <v/>
      </c>
    </row>
    <row r="2024" customFormat="false" ht="12.75" hidden="false" customHeight="true" outlineLevel="0" collapsed="false">
      <c r="A2024" s="1" t="s">
        <v>1210</v>
      </c>
      <c r="B2024" s="1" t="str">
        <f aca="false">TRIM(A2024)</f>
        <v># 5%</v>
      </c>
    </row>
    <row r="2025" customFormat="false" ht="12.75" hidden="false" customHeight="true" outlineLevel="0" collapsed="false">
      <c r="A2025" s="1" t="s">
        <v>1721</v>
      </c>
      <c r="B2025" s="1" t="str">
        <f aca="false">TRIM(A2025)</f>
        <v>+15, 15, HOPPIP</v>
      </c>
    </row>
    <row r="2026" customFormat="false" ht="12.75" hidden="false" customHeight="true" outlineLevel="0" collapsed="false">
      <c r="A2026" s="1" t="s">
        <v>1598</v>
      </c>
      <c r="B2026" s="1" t="str">
        <f aca="false">TRIM(A2026)</f>
        <v>+41, 41, SLOWPOKE</v>
      </c>
    </row>
    <row r="2027" customFormat="false" ht="12.75" hidden="false" customHeight="true" outlineLevel="0" collapsed="false">
      <c r="A2027" s="2"/>
      <c r="B2027" s="1" t="str">
        <f aca="false">TRIM(A2027)</f>
        <v/>
      </c>
    </row>
    <row r="2028" customFormat="false" ht="12.75" hidden="false" customHeight="true" outlineLevel="0" collapsed="false">
      <c r="A2028" s="1" t="s">
        <v>1211</v>
      </c>
      <c r="B2028" s="1" t="str">
        <f aca="false">TRIM(A2028)</f>
        <v># 4%</v>
      </c>
    </row>
    <row r="2029" customFormat="false" ht="12.75" hidden="false" customHeight="true" outlineLevel="0" collapsed="false">
      <c r="A2029" s="1" t="s">
        <v>1722</v>
      </c>
      <c r="B2029" s="1" t="str">
        <f aca="false">TRIM(A2029)</f>
        <v>+50, 50, PIDGEOTTO</v>
      </c>
    </row>
    <row r="2030" customFormat="false" ht="12.75" hidden="false" customHeight="true" outlineLevel="0" collapsed="false">
      <c r="A2030" s="1" t="s">
        <v>1723</v>
      </c>
      <c r="B2030" s="1" t="str">
        <f aca="false">TRIM(A2030)</f>
        <v>+47, 47, PERSIAN</v>
      </c>
    </row>
    <row r="2031" customFormat="false" ht="12.75" hidden="false" customHeight="true" outlineLevel="0" collapsed="false">
      <c r="A2031" s="2"/>
      <c r="B2031" s="1" t="str">
        <f aca="false">TRIM(A2031)</f>
        <v/>
      </c>
    </row>
    <row r="2032" customFormat="false" ht="12.75" hidden="false" customHeight="true" outlineLevel="0" collapsed="false">
      <c r="A2032" s="1" t="s">
        <v>1212</v>
      </c>
      <c r="B2032" s="1" t="str">
        <f aca="false">TRIM(A2032)</f>
        <v># 1%</v>
      </c>
    </row>
    <row r="2033" customFormat="false" ht="12.75" hidden="false" customHeight="true" outlineLevel="0" collapsed="false">
      <c r="A2033" s="1" t="s">
        <v>1722</v>
      </c>
      <c r="B2033" s="1" t="str">
        <f aca="false">TRIM(A2033)</f>
        <v>+50, 50, PIDGEOTTO</v>
      </c>
    </row>
    <row r="2034" customFormat="false" ht="12.75" hidden="false" customHeight="true" outlineLevel="0" collapsed="false">
      <c r="A2034" s="1" t="s">
        <v>2687</v>
      </c>
      <c r="B2034" s="1" t="str">
        <f aca="false">TRIM(A2034)</f>
        <v>+50, 50, PERSIAN</v>
      </c>
    </row>
    <row r="2035" customFormat="false" ht="12.75" hidden="false" customHeight="true" outlineLevel="0" collapsed="false">
      <c r="A2035" s="1" t="s">
        <v>2684</v>
      </c>
      <c r="B2035" s="1" t="str">
        <f aca="false">TRIM(A2035)</f>
        <v>2, 5, 35, TENTACOOL</v>
      </c>
    </row>
    <row r="2036" customFormat="false" ht="12.75" hidden="false" customHeight="true" outlineLevel="0" collapsed="false">
      <c r="A2036" s="1" t="s">
        <v>1711</v>
      </c>
      <c r="B2036" s="1" t="str">
        <f aca="false">TRIM(A2036)</f>
        <v>+5, 15, HOPPIP</v>
      </c>
    </row>
    <row r="2037" customFormat="false" ht="12.75" hidden="false" customHeight="true" outlineLevel="0" collapsed="false">
      <c r="A2037" s="1" t="s">
        <v>1677</v>
      </c>
      <c r="B2037" s="1" t="str">
        <f aca="false">TRIM(A2037)</f>
        <v>+35, 40, TENTACOOL</v>
      </c>
    </row>
    <row r="2038" customFormat="false" ht="12.75" hidden="false" customHeight="true" outlineLevel="0" collapsed="false">
      <c r="A2038" s="1" t="s">
        <v>1678</v>
      </c>
      <c r="B2038" s="1" t="str">
        <f aca="false">TRIM(A2038)</f>
        <v>+35, 40, TENTACRUEL</v>
      </c>
    </row>
    <row r="2039" customFormat="false" ht="12.75" hidden="false" customHeight="true" outlineLevel="0" collapsed="false">
      <c r="A2039" s="1" t="s">
        <v>2675</v>
      </c>
      <c r="B2039" s="1" t="str">
        <f aca="false">TRIM(A2039)</f>
        <v>+35, 40, TENTACRUEL</v>
      </c>
    </row>
    <row r="2040" customFormat="false" ht="12.75" hidden="false" customHeight="true" outlineLevel="0" collapsed="false">
      <c r="A2040" s="1" t="s">
        <v>2572</v>
      </c>
      <c r="B2040" s="1" t="str">
        <f aca="false">TRIM(A2040)</f>
        <v>20, # old rod:</v>
      </c>
    </row>
    <row r="2041" customFormat="false" ht="12.75" hidden="false" customHeight="true" outlineLevel="0" collapsed="false">
      <c r="A2041" s="1" t="s">
        <v>1266</v>
      </c>
      <c r="B2041" s="1" t="str">
        <f aca="false">TRIM(A2041)</f>
        <v>5, 5, MAGIKARP</v>
      </c>
    </row>
    <row r="2042" customFormat="false" ht="12.75" hidden="false" customHeight="true" outlineLevel="0" collapsed="false">
      <c r="A2042" s="1" t="s">
        <v>1267</v>
      </c>
      <c r="B2042" s="1" t="str">
        <f aca="false">TRIM(A2042)</f>
        <v>+5, 5, MAGIKARP</v>
      </c>
    </row>
    <row r="2043" customFormat="false" ht="12.75" hidden="false" customHeight="true" outlineLevel="0" collapsed="false">
      <c r="A2043" s="2"/>
      <c r="B2043" s="1" t="str">
        <f aca="false">TRIM(A2043)</f>
        <v/>
      </c>
    </row>
    <row r="2044" customFormat="false" ht="12.75" hidden="false" customHeight="true" outlineLevel="0" collapsed="false">
      <c r="A2044" s="1" t="s">
        <v>1268</v>
      </c>
      <c r="B2044" s="1" t="str">
        <f aca="false">TRIM(A2044)</f>
        <v># good rod:</v>
      </c>
    </row>
    <row r="2045" customFormat="false" ht="12.75" hidden="false" customHeight="true" outlineLevel="0" collapsed="false">
      <c r="A2045" s="1" t="s">
        <v>1269</v>
      </c>
      <c r="B2045" s="1" t="str">
        <f aca="false">TRIM(A2045)</f>
        <v>+5, 15, KRABBY</v>
      </c>
    </row>
    <row r="2046" customFormat="false" ht="12.75" hidden="false" customHeight="true" outlineLevel="0" collapsed="false">
      <c r="A2046" s="1" t="s">
        <v>1270</v>
      </c>
      <c r="B2046" s="1" t="str">
        <f aca="false">TRIM(A2046)</f>
        <v>+5, 15, MAGIKARP</v>
      </c>
    </row>
    <row r="2047" customFormat="false" ht="12.75" hidden="false" customHeight="true" outlineLevel="0" collapsed="false">
      <c r="A2047" s="1" t="s">
        <v>1269</v>
      </c>
      <c r="B2047" s="1" t="str">
        <f aca="false">TRIM(A2047)</f>
        <v>+5, 15, KRABBY</v>
      </c>
    </row>
    <row r="2048" customFormat="false" ht="12.75" hidden="false" customHeight="true" outlineLevel="0" collapsed="false">
      <c r="A2048" s="2"/>
      <c r="B2048" s="1" t="str">
        <f aca="false">TRIM(A2048)</f>
        <v/>
      </c>
    </row>
    <row r="2049" customFormat="false" ht="12.75" hidden="false" customHeight="true" outlineLevel="0" collapsed="false">
      <c r="A2049" s="1" t="s">
        <v>1272</v>
      </c>
      <c r="B2049" s="1" t="str">
        <f aca="false">TRIM(A2049)</f>
        <v># super rod:</v>
      </c>
    </row>
    <row r="2050" customFormat="false" ht="12.75" hidden="false" customHeight="true" outlineLevel="0" collapsed="false">
      <c r="A2050" s="1" t="s">
        <v>1273</v>
      </c>
      <c r="B2050" s="1" t="str">
        <f aca="false">TRIM(A2050)</f>
        <v>+15, 25, KRABBY</v>
      </c>
    </row>
    <row r="2051" customFormat="false" ht="12.75" hidden="false" customHeight="true" outlineLevel="0" collapsed="false">
      <c r="A2051" s="1" t="s">
        <v>1712</v>
      </c>
      <c r="B2051" s="1" t="str">
        <f aca="false">TRIM(A2051)</f>
        <v>+15, 25, REMORAID</v>
      </c>
    </row>
    <row r="2052" customFormat="false" ht="12.75" hidden="false" customHeight="true" outlineLevel="0" collapsed="false">
      <c r="A2052" s="1" t="s">
        <v>1275</v>
      </c>
      <c r="B2052" s="1" t="str">
        <f aca="false">TRIM(A2052)</f>
        <v>+15, 25, GYARADOS</v>
      </c>
    </row>
    <row r="2053" customFormat="false" ht="12.75" hidden="false" customHeight="true" outlineLevel="0" collapsed="false">
      <c r="A2053" s="1" t="s">
        <v>1623</v>
      </c>
      <c r="B2053" s="1" t="str">
        <f aca="false">TRIM(A2053)</f>
        <v>+25, 35, KINGLER</v>
      </c>
    </row>
    <row r="2054" customFormat="false" ht="12.75" hidden="false" customHeight="true" outlineLevel="0" collapsed="false">
      <c r="A2054" s="1" t="s">
        <v>2552</v>
      </c>
      <c r="B2054" s="1" t="str">
        <f aca="false">TRIM(A2054)</f>
        <v>+25, 35, SLOWPOKE</v>
      </c>
    </row>
    <row r="2055" customFormat="false" ht="12.75" hidden="false" customHeight="true" outlineLevel="0" collapsed="false">
      <c r="A2055" s="1" t="s">
        <v>2536</v>
      </c>
      <c r="B2055" s="1" t="str">
        <f aca="false">TRIM(A2055)</f>
        <v>NEW ROUTE</v>
      </c>
    </row>
    <row r="2056" customFormat="false" ht="12.75" hidden="false" customHeight="true" outlineLevel="0" collapsed="false">
      <c r="A2056" s="1" t="s">
        <v>2688</v>
      </c>
      <c r="B2056" s="1" t="str">
        <f aca="false">TRIM(A2056)</f>
        <v>+3, 57, 0,</v>
      </c>
    </row>
    <row r="2057" customFormat="false" ht="12.75" hidden="false" customHeight="true" outlineLevel="0" collapsed="false">
      <c r="A2057" s="1" t="s">
        <v>2568</v>
      </c>
      <c r="B2057" s="1" t="str">
        <f aca="false">TRIM(A2057)</f>
        <v>21, # 20%</v>
      </c>
    </row>
    <row r="2058" customFormat="false" ht="12.75" hidden="false" customHeight="true" outlineLevel="0" collapsed="false">
      <c r="A2058" s="1" t="s">
        <v>1726</v>
      </c>
      <c r="B2058" s="1" t="str">
        <f aca="false">TRIM(A2058)</f>
        <v>10, 10, HOPPIP</v>
      </c>
    </row>
    <row r="2059" customFormat="false" ht="12.75" hidden="false" customHeight="true" outlineLevel="0" collapsed="false">
      <c r="A2059" s="1" t="s">
        <v>1727</v>
      </c>
      <c r="B2059" s="1" t="str">
        <f aca="false">TRIM(A2059)</f>
        <v>+12, 12, HOPPIP</v>
      </c>
    </row>
    <row r="2060" customFormat="false" ht="12.75" hidden="false" customHeight="true" outlineLevel="0" collapsed="false">
      <c r="A2060" s="2"/>
      <c r="B2060" s="1" t="str">
        <f aca="false">TRIM(A2060)</f>
        <v/>
      </c>
    </row>
    <row r="2061" customFormat="false" ht="12.75" hidden="false" customHeight="true" outlineLevel="0" collapsed="false">
      <c r="A2061" s="1" t="s">
        <v>1209</v>
      </c>
      <c r="B2061" s="1" t="str">
        <f aca="false">TRIM(A2061)</f>
        <v># 10%</v>
      </c>
    </row>
    <row r="2062" customFormat="false" ht="12.75" hidden="false" customHeight="true" outlineLevel="0" collapsed="false">
      <c r="A2062" s="1" t="s">
        <v>1728</v>
      </c>
      <c r="B2062" s="1" t="str">
        <f aca="false">TRIM(A2062)</f>
        <v>+8, 8, HOPPIP</v>
      </c>
    </row>
    <row r="2063" customFormat="false" ht="12.75" hidden="false" customHeight="true" outlineLevel="0" collapsed="false">
      <c r="A2063" s="1" t="s">
        <v>1729</v>
      </c>
      <c r="B2063" s="1" t="str">
        <f aca="false">TRIM(A2063)</f>
        <v>+14, 14, HOPPIP</v>
      </c>
    </row>
    <row r="2064" customFormat="false" ht="12.75" hidden="false" customHeight="true" outlineLevel="0" collapsed="false">
      <c r="A2064" s="1" t="s">
        <v>1718</v>
      </c>
      <c r="B2064" s="1" t="str">
        <f aca="false">TRIM(A2064)</f>
        <v>+10, 10, HOPPIP</v>
      </c>
    </row>
    <row r="2065" customFormat="false" ht="12.75" hidden="false" customHeight="true" outlineLevel="0" collapsed="false">
      <c r="A2065" s="1" t="s">
        <v>1727</v>
      </c>
      <c r="B2065" s="1" t="str">
        <f aca="false">TRIM(A2065)</f>
        <v>+12, 12, HOPPIP</v>
      </c>
    </row>
    <row r="2066" customFormat="false" ht="12.75" hidden="false" customHeight="true" outlineLevel="0" collapsed="false">
      <c r="A2066" s="2"/>
      <c r="B2066" s="1" t="str">
        <f aca="false">TRIM(A2066)</f>
        <v/>
      </c>
    </row>
    <row r="2067" customFormat="false" ht="12.75" hidden="false" customHeight="true" outlineLevel="0" collapsed="false">
      <c r="A2067" s="1" t="s">
        <v>1210</v>
      </c>
      <c r="B2067" s="1" t="str">
        <f aca="false">TRIM(A2067)</f>
        <v># 5%</v>
      </c>
    </row>
    <row r="2068" customFormat="false" ht="12.75" hidden="false" customHeight="true" outlineLevel="0" collapsed="false">
      <c r="A2068" s="1" t="s">
        <v>1730</v>
      </c>
      <c r="B2068" s="1" t="str">
        <f aca="false">TRIM(A2068)</f>
        <v>+16, 16, HOPPIP</v>
      </c>
    </row>
    <row r="2069" customFormat="false" ht="12.75" hidden="false" customHeight="true" outlineLevel="0" collapsed="false">
      <c r="A2069" s="1" t="s">
        <v>1731</v>
      </c>
      <c r="B2069" s="1" t="str">
        <f aca="false">TRIM(A2069)</f>
        <v>+6, 6, HOPPIP</v>
      </c>
    </row>
    <row r="2070" customFormat="false" ht="12.75" hidden="false" customHeight="true" outlineLevel="0" collapsed="false">
      <c r="A2070" s="2"/>
      <c r="B2070" s="1" t="str">
        <f aca="false">TRIM(A2070)</f>
        <v/>
      </c>
    </row>
    <row r="2071" customFormat="false" ht="12.75" hidden="false" customHeight="true" outlineLevel="0" collapsed="false">
      <c r="A2071" s="1" t="s">
        <v>1211</v>
      </c>
      <c r="B2071" s="1" t="str">
        <f aca="false">TRIM(A2071)</f>
        <v># 4%</v>
      </c>
    </row>
    <row r="2072" customFormat="false" ht="12.75" hidden="false" customHeight="true" outlineLevel="0" collapsed="false">
      <c r="A2072" s="1" t="s">
        <v>1728</v>
      </c>
      <c r="B2072" s="1" t="str">
        <f aca="false">TRIM(A2072)</f>
        <v>+8, 8, HOPPIP</v>
      </c>
    </row>
    <row r="2073" customFormat="false" ht="12.75" hidden="false" customHeight="true" outlineLevel="0" collapsed="false">
      <c r="A2073" s="1" t="s">
        <v>1729</v>
      </c>
      <c r="B2073" s="1" t="str">
        <f aca="false">TRIM(A2073)</f>
        <v>+14, 14, HOPPIP</v>
      </c>
    </row>
    <row r="2074" customFormat="false" ht="12.75" hidden="false" customHeight="true" outlineLevel="0" collapsed="false">
      <c r="A2074" s="2"/>
      <c r="B2074" s="1" t="str">
        <f aca="false">TRIM(A2074)</f>
        <v/>
      </c>
    </row>
    <row r="2075" customFormat="false" ht="12.75" hidden="false" customHeight="true" outlineLevel="0" collapsed="false">
      <c r="A2075" s="1" t="s">
        <v>1212</v>
      </c>
      <c r="B2075" s="1" t="str">
        <f aca="false">TRIM(A2075)</f>
        <v># 1%</v>
      </c>
    </row>
    <row r="2076" customFormat="false" ht="12.75" hidden="false" customHeight="true" outlineLevel="0" collapsed="false">
      <c r="A2076" s="1" t="s">
        <v>1728</v>
      </c>
      <c r="B2076" s="1" t="str">
        <f aca="false">TRIM(A2076)</f>
        <v>+8, 8, HOPPIP</v>
      </c>
    </row>
    <row r="2077" customFormat="false" ht="12.75" hidden="false" customHeight="true" outlineLevel="0" collapsed="false">
      <c r="A2077" s="1" t="s">
        <v>2689</v>
      </c>
      <c r="B2077" s="1" t="str">
        <f aca="false">TRIM(A2077)</f>
        <v>+14, 14, HOPPIP</v>
      </c>
    </row>
    <row r="2078" customFormat="false" ht="12.75" hidden="false" customHeight="true" outlineLevel="0" collapsed="false">
      <c r="A2078" s="1" t="s">
        <v>2684</v>
      </c>
      <c r="B2078" s="1" t="str">
        <f aca="false">TRIM(A2078)</f>
        <v>2, 5, 35, TENTACOOL</v>
      </c>
    </row>
    <row r="2079" customFormat="false" ht="12.75" hidden="false" customHeight="true" outlineLevel="0" collapsed="false">
      <c r="A2079" s="1" t="s">
        <v>1711</v>
      </c>
      <c r="B2079" s="1" t="str">
        <f aca="false">TRIM(A2079)</f>
        <v>+5, 15, HOPPIP</v>
      </c>
    </row>
    <row r="2080" customFormat="false" ht="12.75" hidden="false" customHeight="true" outlineLevel="0" collapsed="false">
      <c r="A2080" s="1" t="s">
        <v>1677</v>
      </c>
      <c r="B2080" s="1" t="str">
        <f aca="false">TRIM(A2080)</f>
        <v>+35, 40, TENTACOOL</v>
      </c>
    </row>
    <row r="2081" customFormat="false" ht="12.75" hidden="false" customHeight="true" outlineLevel="0" collapsed="false">
      <c r="A2081" s="1" t="s">
        <v>1678</v>
      </c>
      <c r="B2081" s="1" t="str">
        <f aca="false">TRIM(A2081)</f>
        <v>+35, 40, TENTACRUEL</v>
      </c>
    </row>
    <row r="2082" customFormat="false" ht="12.75" hidden="false" customHeight="true" outlineLevel="0" collapsed="false">
      <c r="A2082" s="1" t="s">
        <v>2675</v>
      </c>
      <c r="B2082" s="1" t="str">
        <f aca="false">TRIM(A2082)</f>
        <v>+35, 40, TENTACRUEL</v>
      </c>
    </row>
    <row r="2083" customFormat="false" ht="12.75" hidden="false" customHeight="true" outlineLevel="0" collapsed="false">
      <c r="A2083" s="1" t="s">
        <v>2572</v>
      </c>
      <c r="B2083" s="1" t="str">
        <f aca="false">TRIM(A2083)</f>
        <v>20, # old rod:</v>
      </c>
    </row>
    <row r="2084" customFormat="false" ht="12.75" hidden="false" customHeight="true" outlineLevel="0" collapsed="false">
      <c r="A2084" s="1" t="s">
        <v>1266</v>
      </c>
      <c r="B2084" s="1" t="str">
        <f aca="false">TRIM(A2084)</f>
        <v>5, 5, MAGIKARP</v>
      </c>
    </row>
    <row r="2085" customFormat="false" ht="12.75" hidden="false" customHeight="true" outlineLevel="0" collapsed="false">
      <c r="A2085" s="1" t="s">
        <v>1267</v>
      </c>
      <c r="B2085" s="1" t="str">
        <f aca="false">TRIM(A2085)</f>
        <v>+5, 5, MAGIKARP</v>
      </c>
    </row>
    <row r="2086" customFormat="false" ht="12.75" hidden="false" customHeight="true" outlineLevel="0" collapsed="false">
      <c r="A2086" s="2"/>
      <c r="B2086" s="1" t="str">
        <f aca="false">TRIM(A2086)</f>
        <v/>
      </c>
    </row>
    <row r="2087" customFormat="false" ht="12.75" hidden="false" customHeight="true" outlineLevel="0" collapsed="false">
      <c r="A2087" s="1" t="s">
        <v>1268</v>
      </c>
      <c r="B2087" s="1" t="str">
        <f aca="false">TRIM(A2087)</f>
        <v># good rod:</v>
      </c>
    </row>
    <row r="2088" customFormat="false" ht="12.75" hidden="false" customHeight="true" outlineLevel="0" collapsed="false">
      <c r="A2088" s="1" t="s">
        <v>1269</v>
      </c>
      <c r="B2088" s="1" t="str">
        <f aca="false">TRIM(A2088)</f>
        <v>+5, 15, KRABBY</v>
      </c>
    </row>
    <row r="2089" customFormat="false" ht="12.75" hidden="false" customHeight="true" outlineLevel="0" collapsed="false">
      <c r="A2089" s="1" t="s">
        <v>1270</v>
      </c>
      <c r="B2089" s="1" t="str">
        <f aca="false">TRIM(A2089)</f>
        <v>+5, 15, MAGIKARP</v>
      </c>
    </row>
    <row r="2090" customFormat="false" ht="12.75" hidden="false" customHeight="true" outlineLevel="0" collapsed="false">
      <c r="A2090" s="1" t="s">
        <v>1269</v>
      </c>
      <c r="B2090" s="1" t="str">
        <f aca="false">TRIM(A2090)</f>
        <v>+5, 15, KRABBY</v>
      </c>
    </row>
    <row r="2091" customFormat="false" ht="12.75" hidden="false" customHeight="true" outlineLevel="0" collapsed="false">
      <c r="A2091" s="2"/>
      <c r="B2091" s="1" t="str">
        <f aca="false">TRIM(A2091)</f>
        <v/>
      </c>
    </row>
    <row r="2092" customFormat="false" ht="12.75" hidden="false" customHeight="true" outlineLevel="0" collapsed="false">
      <c r="A2092" s="1" t="s">
        <v>1272</v>
      </c>
      <c r="B2092" s="1" t="str">
        <f aca="false">TRIM(A2092)</f>
        <v># super rod:</v>
      </c>
    </row>
    <row r="2093" customFormat="false" ht="12.75" hidden="false" customHeight="true" outlineLevel="0" collapsed="false">
      <c r="A2093" s="1" t="s">
        <v>1273</v>
      </c>
      <c r="B2093" s="1" t="str">
        <f aca="false">TRIM(A2093)</f>
        <v>+15, 25, KRABBY</v>
      </c>
    </row>
    <row r="2094" customFormat="false" ht="12.75" hidden="false" customHeight="true" outlineLevel="0" collapsed="false">
      <c r="A2094" s="1" t="s">
        <v>1712</v>
      </c>
      <c r="B2094" s="1" t="str">
        <f aca="false">TRIM(A2094)</f>
        <v>+15, 25, REMORAID</v>
      </c>
    </row>
    <row r="2095" customFormat="false" ht="12.75" hidden="false" customHeight="true" outlineLevel="0" collapsed="false">
      <c r="A2095" s="1" t="s">
        <v>1275</v>
      </c>
      <c r="B2095" s="1" t="str">
        <f aca="false">TRIM(A2095)</f>
        <v>+15, 25, GYARADOS</v>
      </c>
    </row>
    <row r="2096" customFormat="false" ht="12.75" hidden="false" customHeight="true" outlineLevel="0" collapsed="false">
      <c r="A2096" s="1" t="s">
        <v>1623</v>
      </c>
      <c r="B2096" s="1" t="str">
        <f aca="false">TRIM(A2096)</f>
        <v>+25, 35, KINGLER</v>
      </c>
    </row>
    <row r="2097" customFormat="false" ht="12.75" hidden="false" customHeight="true" outlineLevel="0" collapsed="false">
      <c r="A2097" s="1" t="s">
        <v>2552</v>
      </c>
      <c r="B2097" s="1" t="str">
        <f aca="false">TRIM(A2097)</f>
        <v>+25, 35, SLOWPOKE</v>
      </c>
    </row>
    <row r="2098" customFormat="false" ht="12.75" hidden="false" customHeight="true" outlineLevel="0" collapsed="false">
      <c r="A2098" s="1" t="s">
        <v>2536</v>
      </c>
      <c r="B2098" s="1" t="str">
        <f aca="false">TRIM(A2098)</f>
        <v>NEW ROUTE</v>
      </c>
    </row>
    <row r="2099" customFormat="false" ht="12.75" hidden="false" customHeight="true" outlineLevel="0" collapsed="false">
      <c r="A2099" s="1" t="s">
        <v>2690</v>
      </c>
      <c r="B2099" s="1" t="str">
        <f aca="false">TRIM(A2099)</f>
        <v>+3, 58, 0, &lt;null&gt;,</v>
      </c>
    </row>
    <row r="2100" customFormat="false" ht="12.75" hidden="false" customHeight="true" outlineLevel="0" collapsed="false">
      <c r="A2100" s="2"/>
      <c r="B2100" s="1" t="str">
        <f aca="false">TRIM(A2100)</f>
        <v/>
      </c>
    </row>
    <row r="2101" customFormat="false" ht="12.75" hidden="false" customHeight="true" outlineLevel="0" collapsed="false">
      <c r="A2101" s="1" t="s">
        <v>2651</v>
      </c>
      <c r="B2101" s="1" t="str">
        <f aca="false">TRIM(A2101)</f>
        <v>2, 5, 20, TENTACOOL</v>
      </c>
    </row>
    <row r="2102" customFormat="false" ht="12.75" hidden="false" customHeight="true" outlineLevel="0" collapsed="false">
      <c r="A2102" s="1" t="s">
        <v>1619</v>
      </c>
      <c r="B2102" s="1" t="str">
        <f aca="false">TRIM(A2102)</f>
        <v>+20, 35, TENTACOOL</v>
      </c>
    </row>
    <row r="2103" customFormat="false" ht="12.75" hidden="false" customHeight="true" outlineLevel="0" collapsed="false">
      <c r="A2103" s="1" t="s">
        <v>1677</v>
      </c>
      <c r="B2103" s="1" t="str">
        <f aca="false">TRIM(A2103)</f>
        <v>+35, 40, TENTACOOL</v>
      </c>
    </row>
    <row r="2104" customFormat="false" ht="12.75" hidden="false" customHeight="true" outlineLevel="0" collapsed="false">
      <c r="A2104" s="1" t="s">
        <v>1678</v>
      </c>
      <c r="B2104" s="1" t="str">
        <f aca="false">TRIM(A2104)</f>
        <v>+35, 40, TENTACRUEL</v>
      </c>
    </row>
    <row r="2105" customFormat="false" ht="12.75" hidden="false" customHeight="true" outlineLevel="0" collapsed="false">
      <c r="A2105" s="1" t="s">
        <v>2675</v>
      </c>
      <c r="B2105" s="1" t="str">
        <f aca="false">TRIM(A2105)</f>
        <v>+35, 40, TENTACRUEL</v>
      </c>
    </row>
    <row r="2106" customFormat="false" ht="12.75" hidden="false" customHeight="true" outlineLevel="0" collapsed="false">
      <c r="A2106" s="1" t="s">
        <v>2572</v>
      </c>
      <c r="B2106" s="1" t="str">
        <f aca="false">TRIM(A2106)</f>
        <v>20, # old rod:</v>
      </c>
    </row>
    <row r="2107" customFormat="false" ht="12.75" hidden="false" customHeight="true" outlineLevel="0" collapsed="false">
      <c r="A2107" s="1" t="s">
        <v>1266</v>
      </c>
      <c r="B2107" s="1" t="str">
        <f aca="false">TRIM(A2107)</f>
        <v>5, 5, MAGIKARP</v>
      </c>
    </row>
    <row r="2108" customFormat="false" ht="12.75" hidden="false" customHeight="true" outlineLevel="0" collapsed="false">
      <c r="A2108" s="1" t="s">
        <v>1267</v>
      </c>
      <c r="B2108" s="1" t="str">
        <f aca="false">TRIM(A2108)</f>
        <v>+5, 5, MAGIKARP</v>
      </c>
    </row>
    <row r="2109" customFormat="false" ht="12.75" hidden="false" customHeight="true" outlineLevel="0" collapsed="false">
      <c r="A2109" s="2"/>
      <c r="B2109" s="1" t="str">
        <f aca="false">TRIM(A2109)</f>
        <v/>
      </c>
    </row>
    <row r="2110" customFormat="false" ht="12.75" hidden="false" customHeight="true" outlineLevel="0" collapsed="false">
      <c r="A2110" s="1" t="s">
        <v>1268</v>
      </c>
      <c r="B2110" s="1" t="str">
        <f aca="false">TRIM(A2110)</f>
        <v># good rod:</v>
      </c>
    </row>
    <row r="2111" customFormat="false" ht="12.75" hidden="false" customHeight="true" outlineLevel="0" collapsed="false">
      <c r="A2111" s="1" t="s">
        <v>1269</v>
      </c>
      <c r="B2111" s="1" t="str">
        <f aca="false">TRIM(A2111)</f>
        <v>+5, 15, KRABBY</v>
      </c>
    </row>
    <row r="2112" customFormat="false" ht="12.75" hidden="false" customHeight="true" outlineLevel="0" collapsed="false">
      <c r="A2112" s="1" t="s">
        <v>1270</v>
      </c>
      <c r="B2112" s="1" t="str">
        <f aca="false">TRIM(A2112)</f>
        <v>+5, 15, MAGIKARP</v>
      </c>
    </row>
    <row r="2113" customFormat="false" ht="12.75" hidden="false" customHeight="true" outlineLevel="0" collapsed="false">
      <c r="A2113" s="1" t="s">
        <v>1269</v>
      </c>
      <c r="B2113" s="1" t="str">
        <f aca="false">TRIM(A2113)</f>
        <v>+5, 15, KRABBY</v>
      </c>
    </row>
    <row r="2114" customFormat="false" ht="12.75" hidden="false" customHeight="true" outlineLevel="0" collapsed="false">
      <c r="A2114" s="2"/>
      <c r="B2114" s="1" t="str">
        <f aca="false">TRIM(A2114)</f>
        <v/>
      </c>
    </row>
    <row r="2115" customFormat="false" ht="12.75" hidden="false" customHeight="true" outlineLevel="0" collapsed="false">
      <c r="A2115" s="1" t="s">
        <v>1272</v>
      </c>
      <c r="B2115" s="1" t="str">
        <f aca="false">TRIM(A2115)</f>
        <v># super rod:</v>
      </c>
    </row>
    <row r="2116" customFormat="false" ht="12.75" hidden="false" customHeight="true" outlineLevel="0" collapsed="false">
      <c r="A2116" s="1" t="s">
        <v>1273</v>
      </c>
      <c r="B2116" s="1" t="str">
        <f aca="false">TRIM(A2116)</f>
        <v>+15, 25, KRABBY</v>
      </c>
    </row>
    <row r="2117" customFormat="false" ht="12.75" hidden="false" customHeight="true" outlineLevel="0" collapsed="false">
      <c r="A2117" s="1" t="s">
        <v>1712</v>
      </c>
      <c r="B2117" s="1" t="str">
        <f aca="false">TRIM(A2117)</f>
        <v>+15, 25, REMORAID</v>
      </c>
    </row>
    <row r="2118" customFormat="false" ht="12.75" hidden="false" customHeight="true" outlineLevel="0" collapsed="false">
      <c r="A2118" s="1" t="s">
        <v>1275</v>
      </c>
      <c r="B2118" s="1" t="str">
        <f aca="false">TRIM(A2118)</f>
        <v>+15, 25, GYARADOS</v>
      </c>
    </row>
    <row r="2119" customFormat="false" ht="12.75" hidden="false" customHeight="true" outlineLevel="0" collapsed="false">
      <c r="A2119" s="1" t="s">
        <v>1623</v>
      </c>
      <c r="B2119" s="1" t="str">
        <f aca="false">TRIM(A2119)</f>
        <v>+25, 35, KINGLER</v>
      </c>
    </row>
    <row r="2120" customFormat="false" ht="12.75" hidden="false" customHeight="true" outlineLevel="0" collapsed="false">
      <c r="A2120" s="1" t="s">
        <v>2552</v>
      </c>
      <c r="B2120" s="1" t="str">
        <f aca="false">TRIM(A2120)</f>
        <v>+25, 35, SLOWPOKE</v>
      </c>
    </row>
    <row r="2121" customFormat="false" ht="12.75" hidden="false" customHeight="true" outlineLevel="0" collapsed="false">
      <c r="A2121" s="1" t="s">
        <v>2536</v>
      </c>
      <c r="B2121" s="1" t="str">
        <f aca="false">TRIM(A2121)</f>
        <v>NEW ROUTE</v>
      </c>
    </row>
    <row r="2122" customFormat="false" ht="12.75" hidden="false" customHeight="true" outlineLevel="0" collapsed="false">
      <c r="A2122" s="1" t="s">
        <v>2691</v>
      </c>
      <c r="B2122" s="1" t="str">
        <f aca="false">TRIM(A2122)</f>
        <v>+3, 59, 0, &lt;null&gt;,</v>
      </c>
    </row>
    <row r="2123" customFormat="false" ht="12.75" hidden="false" customHeight="true" outlineLevel="0" collapsed="false">
      <c r="A2123" s="2"/>
      <c r="B2123" s="1" t="str">
        <f aca="false">TRIM(A2123)</f>
        <v/>
      </c>
    </row>
    <row r="2124" customFormat="false" ht="12.75" hidden="false" customHeight="true" outlineLevel="0" collapsed="false">
      <c r="A2124" s="1" t="s">
        <v>2651</v>
      </c>
      <c r="B2124" s="1" t="str">
        <f aca="false">TRIM(A2124)</f>
        <v>2, 5, 20, TENTACOOL</v>
      </c>
    </row>
    <row r="2125" customFormat="false" ht="12.75" hidden="false" customHeight="true" outlineLevel="0" collapsed="false">
      <c r="A2125" s="1" t="s">
        <v>1619</v>
      </c>
      <c r="B2125" s="1" t="str">
        <f aca="false">TRIM(A2125)</f>
        <v>+20, 35, TENTACOOL</v>
      </c>
    </row>
    <row r="2126" customFormat="false" ht="12.75" hidden="false" customHeight="true" outlineLevel="0" collapsed="false">
      <c r="A2126" s="1" t="s">
        <v>1677</v>
      </c>
      <c r="B2126" s="1" t="str">
        <f aca="false">TRIM(A2126)</f>
        <v>+35, 40, TENTACOOL</v>
      </c>
    </row>
    <row r="2127" customFormat="false" ht="12.75" hidden="false" customHeight="true" outlineLevel="0" collapsed="false">
      <c r="A2127" s="1" t="s">
        <v>1678</v>
      </c>
      <c r="B2127" s="1" t="str">
        <f aca="false">TRIM(A2127)</f>
        <v>+35, 40, TENTACRUEL</v>
      </c>
    </row>
    <row r="2128" customFormat="false" ht="12.75" hidden="false" customHeight="true" outlineLevel="0" collapsed="false">
      <c r="A2128" s="1" t="s">
        <v>2675</v>
      </c>
      <c r="B2128" s="1" t="str">
        <f aca="false">TRIM(A2128)</f>
        <v>+35, 40, TENTACRUEL</v>
      </c>
    </row>
    <row r="2129" customFormat="false" ht="12.75" hidden="false" customHeight="true" outlineLevel="0" collapsed="false">
      <c r="A2129" s="1" t="s">
        <v>2572</v>
      </c>
      <c r="B2129" s="1" t="str">
        <f aca="false">TRIM(A2129)</f>
        <v>20, # old rod:</v>
      </c>
    </row>
    <row r="2130" customFormat="false" ht="12.75" hidden="false" customHeight="true" outlineLevel="0" collapsed="false">
      <c r="A2130" s="1" t="s">
        <v>1266</v>
      </c>
      <c r="B2130" s="1" t="str">
        <f aca="false">TRIM(A2130)</f>
        <v>5, 5, MAGIKARP</v>
      </c>
    </row>
    <row r="2131" customFormat="false" ht="12.75" hidden="false" customHeight="true" outlineLevel="0" collapsed="false">
      <c r="A2131" s="1" t="s">
        <v>1267</v>
      </c>
      <c r="B2131" s="1" t="str">
        <f aca="false">TRIM(A2131)</f>
        <v>+5, 5, MAGIKARP</v>
      </c>
    </row>
    <row r="2132" customFormat="false" ht="12.75" hidden="false" customHeight="true" outlineLevel="0" collapsed="false">
      <c r="A2132" s="2"/>
      <c r="B2132" s="1" t="str">
        <f aca="false">TRIM(A2132)</f>
        <v/>
      </c>
    </row>
    <row r="2133" customFormat="false" ht="12.75" hidden="false" customHeight="true" outlineLevel="0" collapsed="false">
      <c r="A2133" s="1" t="s">
        <v>1268</v>
      </c>
      <c r="B2133" s="1" t="str">
        <f aca="false">TRIM(A2133)</f>
        <v># good rod:</v>
      </c>
    </row>
    <row r="2134" customFormat="false" ht="12.75" hidden="false" customHeight="true" outlineLevel="0" collapsed="false">
      <c r="A2134" s="1" t="s">
        <v>1269</v>
      </c>
      <c r="B2134" s="1" t="str">
        <f aca="false">TRIM(A2134)</f>
        <v>+5, 15, KRABBY</v>
      </c>
    </row>
    <row r="2135" customFormat="false" ht="12.75" hidden="false" customHeight="true" outlineLevel="0" collapsed="false">
      <c r="A2135" s="1" t="s">
        <v>1270</v>
      </c>
      <c r="B2135" s="1" t="str">
        <f aca="false">TRIM(A2135)</f>
        <v>+5, 15, MAGIKARP</v>
      </c>
    </row>
    <row r="2136" customFormat="false" ht="12.75" hidden="false" customHeight="true" outlineLevel="0" collapsed="false">
      <c r="A2136" s="1" t="s">
        <v>1269</v>
      </c>
      <c r="B2136" s="1" t="str">
        <f aca="false">TRIM(A2136)</f>
        <v>+5, 15, KRABBY</v>
      </c>
    </row>
    <row r="2137" customFormat="false" ht="12.75" hidden="false" customHeight="true" outlineLevel="0" collapsed="false">
      <c r="A2137" s="2"/>
      <c r="B2137" s="1" t="str">
        <f aca="false">TRIM(A2137)</f>
        <v/>
      </c>
    </row>
    <row r="2138" customFormat="false" ht="12.75" hidden="false" customHeight="true" outlineLevel="0" collapsed="false">
      <c r="A2138" s="1" t="s">
        <v>1272</v>
      </c>
      <c r="B2138" s="1" t="str">
        <f aca="false">TRIM(A2138)</f>
        <v># super rod:</v>
      </c>
    </row>
    <row r="2139" customFormat="false" ht="12.75" hidden="false" customHeight="true" outlineLevel="0" collapsed="false">
      <c r="A2139" s="1" t="s">
        <v>1273</v>
      </c>
      <c r="B2139" s="1" t="str">
        <f aca="false">TRIM(A2139)</f>
        <v>+15, 25, KRABBY</v>
      </c>
    </row>
    <row r="2140" customFormat="false" ht="12.75" hidden="false" customHeight="true" outlineLevel="0" collapsed="false">
      <c r="A2140" s="1" t="s">
        <v>1712</v>
      </c>
      <c r="B2140" s="1" t="str">
        <f aca="false">TRIM(A2140)</f>
        <v>+15, 25, REMORAID</v>
      </c>
    </row>
    <row r="2141" customFormat="false" ht="12.75" hidden="false" customHeight="true" outlineLevel="0" collapsed="false">
      <c r="A2141" s="1" t="s">
        <v>1275</v>
      </c>
      <c r="B2141" s="1" t="str">
        <f aca="false">TRIM(A2141)</f>
        <v>+15, 25, GYARADOS</v>
      </c>
    </row>
    <row r="2142" customFormat="false" ht="12.75" hidden="false" customHeight="true" outlineLevel="0" collapsed="false">
      <c r="A2142" s="1" t="s">
        <v>1623</v>
      </c>
      <c r="B2142" s="1" t="str">
        <f aca="false">TRIM(A2142)</f>
        <v>+25, 35, KINGLER</v>
      </c>
    </row>
    <row r="2143" customFormat="false" ht="12.75" hidden="false" customHeight="true" outlineLevel="0" collapsed="false">
      <c r="A2143" s="1" t="s">
        <v>2552</v>
      </c>
      <c r="B2143" s="1" t="str">
        <f aca="false">TRIM(A2143)</f>
        <v>+25, 35, SLOWPOKE</v>
      </c>
    </row>
    <row r="2144" customFormat="false" ht="12.75" hidden="false" customHeight="true" outlineLevel="0" collapsed="false">
      <c r="A2144" s="1" t="s">
        <v>2536</v>
      </c>
      <c r="B2144" s="1" t="str">
        <f aca="false">TRIM(A2144)</f>
        <v>NEW ROUTE</v>
      </c>
    </row>
    <row r="2145" customFormat="false" ht="12.75" hidden="false" customHeight="true" outlineLevel="0" collapsed="false">
      <c r="A2145" s="1" t="s">
        <v>2692</v>
      </c>
      <c r="B2145" s="1" t="str">
        <f aca="false">TRIM(A2145)</f>
        <v>+3, 60, 0,</v>
      </c>
    </row>
    <row r="2146" customFormat="false" ht="12.75" hidden="false" customHeight="true" outlineLevel="0" collapsed="false">
      <c r="A2146" s="1" t="s">
        <v>2568</v>
      </c>
      <c r="B2146" s="1" t="str">
        <f aca="false">TRIM(A2146)</f>
        <v>21, # 20%</v>
      </c>
    </row>
    <row r="2147" customFormat="false" ht="12.75" hidden="false" customHeight="true" outlineLevel="0" collapsed="false">
      <c r="A2147" s="1" t="s">
        <v>1736</v>
      </c>
      <c r="B2147" s="1" t="str">
        <f aca="false">TRIM(A2147)</f>
        <v>44, 44, SPEAROW</v>
      </c>
    </row>
    <row r="2148" customFormat="false" ht="12.75" hidden="false" customHeight="true" outlineLevel="0" collapsed="false">
      <c r="A2148" s="1" t="s">
        <v>1716</v>
      </c>
      <c r="B2148" s="1" t="str">
        <f aca="false">TRIM(A2148)</f>
        <v>+10, 10, SENTRET</v>
      </c>
    </row>
    <row r="2149" customFormat="false" ht="12.75" hidden="false" customHeight="true" outlineLevel="0" collapsed="false">
      <c r="A2149" s="2"/>
      <c r="B2149" s="1" t="str">
        <f aca="false">TRIM(A2149)</f>
        <v/>
      </c>
    </row>
    <row r="2150" customFormat="false" ht="12.75" hidden="false" customHeight="true" outlineLevel="0" collapsed="false">
      <c r="A2150" s="1" t="s">
        <v>1209</v>
      </c>
      <c r="B2150" s="1" t="str">
        <f aca="false">TRIM(A2150)</f>
        <v># 10%</v>
      </c>
    </row>
    <row r="2151" customFormat="false" ht="12.75" hidden="false" customHeight="true" outlineLevel="0" collapsed="false">
      <c r="A2151" s="1" t="s">
        <v>1737</v>
      </c>
      <c r="B2151" s="1" t="str">
        <f aca="false">TRIM(A2151)</f>
        <v>+44, 44, BELLSPROUT</v>
      </c>
    </row>
    <row r="2152" customFormat="false" ht="12.75" hidden="false" customHeight="true" outlineLevel="0" collapsed="false">
      <c r="A2152" s="1" t="s">
        <v>1738</v>
      </c>
      <c r="B2152" s="1" t="str">
        <f aca="false">TRIM(A2152)</f>
        <v>+48, 48, FEAROW</v>
      </c>
    </row>
    <row r="2153" customFormat="false" ht="12.75" hidden="false" customHeight="true" outlineLevel="0" collapsed="false">
      <c r="A2153" s="1" t="s">
        <v>1719</v>
      </c>
      <c r="B2153" s="1" t="str">
        <f aca="false">TRIM(A2153)</f>
        <v>+15, 15, SENTRET</v>
      </c>
    </row>
    <row r="2154" customFormat="false" ht="12.75" hidden="false" customHeight="true" outlineLevel="0" collapsed="false">
      <c r="A2154" s="1" t="s">
        <v>1720</v>
      </c>
      <c r="B2154" s="1" t="str">
        <f aca="false">TRIM(A2154)</f>
        <v>+41, 41, MEOWTH</v>
      </c>
    </row>
    <row r="2155" customFormat="false" ht="12.75" hidden="false" customHeight="true" outlineLevel="0" collapsed="false">
      <c r="A2155" s="2"/>
      <c r="B2155" s="1" t="str">
        <f aca="false">TRIM(A2155)</f>
        <v/>
      </c>
    </row>
    <row r="2156" customFormat="false" ht="12.75" hidden="false" customHeight="true" outlineLevel="0" collapsed="false">
      <c r="A2156" s="1" t="s">
        <v>1210</v>
      </c>
      <c r="B2156" s="1" t="str">
        <f aca="false">TRIM(A2156)</f>
        <v># 5%</v>
      </c>
    </row>
    <row r="2157" customFormat="false" ht="12.75" hidden="false" customHeight="true" outlineLevel="0" collapsed="false">
      <c r="A2157" s="1" t="s">
        <v>1739</v>
      </c>
      <c r="B2157" s="1" t="str">
        <f aca="false">TRIM(A2157)</f>
        <v>+48, 48, WEEPINBELL</v>
      </c>
    </row>
    <row r="2158" customFormat="false" ht="12.75" hidden="false" customHeight="true" outlineLevel="0" collapsed="false">
      <c r="A2158" s="1" t="s">
        <v>1598</v>
      </c>
      <c r="B2158" s="1" t="str">
        <f aca="false">TRIM(A2158)</f>
        <v>+41, 41, SLOWPOKE</v>
      </c>
    </row>
    <row r="2159" customFormat="false" ht="12.75" hidden="false" customHeight="true" outlineLevel="0" collapsed="false">
      <c r="A2159" s="2"/>
      <c r="B2159" s="1" t="str">
        <f aca="false">TRIM(A2159)</f>
        <v/>
      </c>
    </row>
    <row r="2160" customFormat="false" ht="12.75" hidden="false" customHeight="true" outlineLevel="0" collapsed="false">
      <c r="A2160" s="1" t="s">
        <v>1211</v>
      </c>
      <c r="B2160" s="1" t="str">
        <f aca="false">TRIM(A2160)</f>
        <v># 4%</v>
      </c>
    </row>
    <row r="2161" customFormat="false" ht="12.75" hidden="false" customHeight="true" outlineLevel="0" collapsed="false">
      <c r="A2161" s="1" t="s">
        <v>1740</v>
      </c>
      <c r="B2161" s="1" t="str">
        <f aca="false">TRIM(A2161)</f>
        <v>+50, 50, FEAROW</v>
      </c>
    </row>
    <row r="2162" customFormat="false" ht="12.75" hidden="false" customHeight="true" outlineLevel="0" collapsed="false">
      <c r="A2162" s="1" t="s">
        <v>1723</v>
      </c>
      <c r="B2162" s="1" t="str">
        <f aca="false">TRIM(A2162)</f>
        <v>+47, 47, PERSIAN</v>
      </c>
    </row>
    <row r="2163" customFormat="false" ht="12.75" hidden="false" customHeight="true" outlineLevel="0" collapsed="false">
      <c r="A2163" s="2"/>
      <c r="B2163" s="1" t="str">
        <f aca="false">TRIM(A2163)</f>
        <v/>
      </c>
    </row>
    <row r="2164" customFormat="false" ht="12.75" hidden="false" customHeight="true" outlineLevel="0" collapsed="false">
      <c r="A2164" s="1" t="s">
        <v>1212</v>
      </c>
      <c r="B2164" s="1" t="str">
        <f aca="false">TRIM(A2164)</f>
        <v># 1%</v>
      </c>
    </row>
    <row r="2165" customFormat="false" ht="12.75" hidden="false" customHeight="true" outlineLevel="0" collapsed="false">
      <c r="A2165" s="1" t="s">
        <v>1740</v>
      </c>
      <c r="B2165" s="1" t="str">
        <f aca="false">TRIM(A2165)</f>
        <v>+50, 50, FEAROW</v>
      </c>
    </row>
    <row r="2166" customFormat="false" ht="12.75" hidden="false" customHeight="true" outlineLevel="0" collapsed="false">
      <c r="A2166" s="1" t="s">
        <v>2687</v>
      </c>
      <c r="B2166" s="1" t="str">
        <f aca="false">TRIM(A2166)</f>
        <v>+50, 50, PERSIAN</v>
      </c>
    </row>
    <row r="2167" customFormat="false" ht="12.75" hidden="false" customHeight="true" outlineLevel="0" collapsed="false">
      <c r="A2167" s="1" t="s">
        <v>2651</v>
      </c>
      <c r="B2167" s="1" t="str">
        <f aca="false">TRIM(A2167)</f>
        <v>2, 5, 20, TENTACOOL</v>
      </c>
    </row>
    <row r="2168" customFormat="false" ht="12.75" hidden="false" customHeight="true" outlineLevel="0" collapsed="false">
      <c r="A2168" s="1" t="s">
        <v>1619</v>
      </c>
      <c r="B2168" s="1" t="str">
        <f aca="false">TRIM(A2168)</f>
        <v>+20, 35, TENTACOOL</v>
      </c>
    </row>
    <row r="2169" customFormat="false" ht="12.75" hidden="false" customHeight="true" outlineLevel="0" collapsed="false">
      <c r="A2169" s="1" t="s">
        <v>1677</v>
      </c>
      <c r="B2169" s="1" t="str">
        <f aca="false">TRIM(A2169)</f>
        <v>+35, 40, TENTACOOL</v>
      </c>
    </row>
    <row r="2170" customFormat="false" ht="12.75" hidden="false" customHeight="true" outlineLevel="0" collapsed="false">
      <c r="A2170" s="1" t="s">
        <v>1678</v>
      </c>
      <c r="B2170" s="1" t="str">
        <f aca="false">TRIM(A2170)</f>
        <v>+35, 40, TENTACRUEL</v>
      </c>
    </row>
    <row r="2171" customFormat="false" ht="12.75" hidden="false" customHeight="true" outlineLevel="0" collapsed="false">
      <c r="A2171" s="1" t="s">
        <v>2675</v>
      </c>
      <c r="B2171" s="1" t="str">
        <f aca="false">TRIM(A2171)</f>
        <v>+35, 40, TENTACRUEL</v>
      </c>
    </row>
    <row r="2172" customFormat="false" ht="12.75" hidden="false" customHeight="true" outlineLevel="0" collapsed="false">
      <c r="A2172" s="1" t="s">
        <v>2572</v>
      </c>
      <c r="B2172" s="1" t="str">
        <f aca="false">TRIM(A2172)</f>
        <v>20, # old rod:</v>
      </c>
    </row>
    <row r="2173" customFormat="false" ht="12.75" hidden="false" customHeight="true" outlineLevel="0" collapsed="false">
      <c r="A2173" s="1" t="s">
        <v>1266</v>
      </c>
      <c r="B2173" s="1" t="str">
        <f aca="false">TRIM(A2173)</f>
        <v>5, 5, MAGIKARP</v>
      </c>
    </row>
    <row r="2174" customFormat="false" ht="12.75" hidden="false" customHeight="true" outlineLevel="0" collapsed="false">
      <c r="A2174" s="1" t="s">
        <v>1267</v>
      </c>
      <c r="B2174" s="1" t="str">
        <f aca="false">TRIM(A2174)</f>
        <v>+5, 5, MAGIKARP</v>
      </c>
    </row>
    <row r="2175" customFormat="false" ht="12.75" hidden="false" customHeight="true" outlineLevel="0" collapsed="false">
      <c r="A2175" s="2"/>
      <c r="B2175" s="1" t="str">
        <f aca="false">TRIM(A2175)</f>
        <v/>
      </c>
    </row>
    <row r="2176" customFormat="false" ht="12.75" hidden="false" customHeight="true" outlineLevel="0" collapsed="false">
      <c r="A2176" s="1" t="s">
        <v>1268</v>
      </c>
      <c r="B2176" s="1" t="str">
        <f aca="false">TRIM(A2176)</f>
        <v># good rod:</v>
      </c>
    </row>
    <row r="2177" customFormat="false" ht="12.75" hidden="false" customHeight="true" outlineLevel="0" collapsed="false">
      <c r="A2177" s="1" t="s">
        <v>1269</v>
      </c>
      <c r="B2177" s="1" t="str">
        <f aca="false">TRIM(A2177)</f>
        <v>+5, 15, KRABBY</v>
      </c>
    </row>
    <row r="2178" customFormat="false" ht="12.75" hidden="false" customHeight="true" outlineLevel="0" collapsed="false">
      <c r="A2178" s="1" t="s">
        <v>1270</v>
      </c>
      <c r="B2178" s="1" t="str">
        <f aca="false">TRIM(A2178)</f>
        <v>+5, 15, MAGIKARP</v>
      </c>
    </row>
    <row r="2179" customFormat="false" ht="12.75" hidden="false" customHeight="true" outlineLevel="0" collapsed="false">
      <c r="A2179" s="1" t="s">
        <v>1269</v>
      </c>
      <c r="B2179" s="1" t="str">
        <f aca="false">TRIM(A2179)</f>
        <v>+5, 15, KRABBY</v>
      </c>
    </row>
    <row r="2180" customFormat="false" ht="12.75" hidden="false" customHeight="true" outlineLevel="0" collapsed="false">
      <c r="A2180" s="2"/>
      <c r="B2180" s="1" t="str">
        <f aca="false">TRIM(A2180)</f>
        <v/>
      </c>
    </row>
    <row r="2181" customFormat="false" ht="12.75" hidden="false" customHeight="true" outlineLevel="0" collapsed="false">
      <c r="A2181" s="1" t="s">
        <v>1272</v>
      </c>
      <c r="B2181" s="1" t="str">
        <f aca="false">TRIM(A2181)</f>
        <v># super rod:</v>
      </c>
    </row>
    <row r="2182" customFormat="false" ht="12.75" hidden="false" customHeight="true" outlineLevel="0" collapsed="false">
      <c r="A2182" s="1" t="s">
        <v>1273</v>
      </c>
      <c r="B2182" s="1" t="str">
        <f aca="false">TRIM(A2182)</f>
        <v>+15, 25, KRABBY</v>
      </c>
    </row>
    <row r="2183" customFormat="false" ht="12.75" hidden="false" customHeight="true" outlineLevel="0" collapsed="false">
      <c r="A2183" s="1" t="s">
        <v>1712</v>
      </c>
      <c r="B2183" s="1" t="str">
        <f aca="false">TRIM(A2183)</f>
        <v>+15, 25, REMORAID</v>
      </c>
    </row>
    <row r="2184" customFormat="false" ht="12.75" hidden="false" customHeight="true" outlineLevel="0" collapsed="false">
      <c r="A2184" s="1" t="s">
        <v>1275</v>
      </c>
      <c r="B2184" s="1" t="str">
        <f aca="false">TRIM(A2184)</f>
        <v>+15, 25, GYARADOS</v>
      </c>
    </row>
    <row r="2185" customFormat="false" ht="12.75" hidden="false" customHeight="true" outlineLevel="0" collapsed="false">
      <c r="A2185" s="1" t="s">
        <v>1623</v>
      </c>
      <c r="B2185" s="1" t="str">
        <f aca="false">TRIM(A2185)</f>
        <v>+25, 35, KINGLER</v>
      </c>
    </row>
    <row r="2186" customFormat="false" ht="12.75" hidden="false" customHeight="true" outlineLevel="0" collapsed="false">
      <c r="A2186" s="1" t="s">
        <v>2552</v>
      </c>
      <c r="B2186" s="1" t="str">
        <f aca="false">TRIM(A2186)</f>
        <v>+25, 35, SLOWPOKE</v>
      </c>
    </row>
    <row r="2187" customFormat="false" ht="12.75" hidden="false" customHeight="true" outlineLevel="0" collapsed="false">
      <c r="A2187" s="1" t="s">
        <v>2536</v>
      </c>
      <c r="B2187" s="1" t="str">
        <f aca="false">TRIM(A2187)</f>
        <v>NEW ROUTE</v>
      </c>
    </row>
    <row r="2188" customFormat="false" ht="12.75" hidden="false" customHeight="true" outlineLevel="0" collapsed="false">
      <c r="A2188" s="1" t="s">
        <v>2693</v>
      </c>
      <c r="B2188" s="1" t="str">
        <f aca="false">TRIM(A2188)</f>
        <v>+3, 61, 0,</v>
      </c>
    </row>
    <row r="2189" customFormat="false" ht="12.75" hidden="false" customHeight="true" outlineLevel="0" collapsed="false">
      <c r="A2189" s="1" t="s">
        <v>2568</v>
      </c>
      <c r="B2189" s="1" t="str">
        <f aca="false">TRIM(A2189)</f>
        <v>21, # 20%</v>
      </c>
    </row>
    <row r="2190" customFormat="false" ht="12.75" hidden="false" customHeight="true" outlineLevel="0" collapsed="false">
      <c r="A2190" s="1" t="s">
        <v>1743</v>
      </c>
      <c r="B2190" s="1" t="str">
        <f aca="false">TRIM(A2190)</f>
        <v>15, 15, NATU</v>
      </c>
    </row>
    <row r="2191" customFormat="false" ht="12.75" hidden="false" customHeight="true" outlineLevel="0" collapsed="false">
      <c r="A2191" s="1" t="s">
        <v>1744</v>
      </c>
      <c r="B2191" s="1" t="str">
        <f aca="false">TRIM(A2191)</f>
        <v>+44, 44, SPEAROW</v>
      </c>
    </row>
    <row r="2192" customFormat="false" ht="12.75" hidden="false" customHeight="true" outlineLevel="0" collapsed="false">
      <c r="A2192" s="2"/>
      <c r="B2192" s="1" t="str">
        <f aca="false">TRIM(A2192)</f>
        <v/>
      </c>
    </row>
    <row r="2193" customFormat="false" ht="12.75" hidden="false" customHeight="true" outlineLevel="0" collapsed="false">
      <c r="A2193" s="1" t="s">
        <v>1209</v>
      </c>
      <c r="B2193" s="1" t="str">
        <f aca="false">TRIM(A2193)</f>
        <v># 10%</v>
      </c>
    </row>
    <row r="2194" customFormat="false" ht="12.75" hidden="false" customHeight="true" outlineLevel="0" collapsed="false">
      <c r="A2194" s="1" t="s">
        <v>1745</v>
      </c>
      <c r="B2194" s="1" t="str">
        <f aca="false">TRIM(A2194)</f>
        <v>+18, 18, YANMA</v>
      </c>
    </row>
    <row r="2195" customFormat="false" ht="12.75" hidden="false" customHeight="true" outlineLevel="0" collapsed="false">
      <c r="A2195" s="1" t="s">
        <v>1746</v>
      </c>
      <c r="B2195" s="1" t="str">
        <f aca="false">TRIM(A2195)</f>
        <v>+15, 15, MARILL</v>
      </c>
    </row>
    <row r="2196" customFormat="false" ht="12.75" hidden="false" customHeight="true" outlineLevel="0" collapsed="false">
      <c r="A2196" s="1" t="s">
        <v>1747</v>
      </c>
      <c r="B2196" s="1" t="str">
        <f aca="false">TRIM(A2196)</f>
        <v>+49, 49, FEAROW</v>
      </c>
    </row>
    <row r="2197" customFormat="false" ht="12.75" hidden="false" customHeight="true" outlineLevel="0" collapsed="false">
      <c r="A2197" s="1" t="s">
        <v>1748</v>
      </c>
      <c r="B2197" s="1" t="str">
        <f aca="false">TRIM(A2197)</f>
        <v>+43, 43, MEOWTH</v>
      </c>
    </row>
    <row r="2198" customFormat="false" ht="12.75" hidden="false" customHeight="true" outlineLevel="0" collapsed="false">
      <c r="A2198" s="2"/>
      <c r="B2198" s="1" t="str">
        <f aca="false">TRIM(A2198)</f>
        <v/>
      </c>
    </row>
    <row r="2199" customFormat="false" ht="12.75" hidden="false" customHeight="true" outlineLevel="0" collapsed="false">
      <c r="A2199" s="1" t="s">
        <v>1210</v>
      </c>
      <c r="B2199" s="1" t="str">
        <f aca="false">TRIM(A2199)</f>
        <v># 5%</v>
      </c>
    </row>
    <row r="2200" customFormat="false" ht="12.75" hidden="false" customHeight="true" outlineLevel="0" collapsed="false">
      <c r="A2200" s="1" t="s">
        <v>1749</v>
      </c>
      <c r="B2200" s="1" t="str">
        <f aca="false">TRIM(A2200)</f>
        <v>+25, 25, WOBBUFFET</v>
      </c>
    </row>
    <row r="2201" customFormat="false" ht="12.75" hidden="false" customHeight="true" outlineLevel="0" collapsed="false">
      <c r="A2201" s="1" t="s">
        <v>1598</v>
      </c>
      <c r="B2201" s="1" t="str">
        <f aca="false">TRIM(A2201)</f>
        <v>+41, 41, SLOWPOKE</v>
      </c>
    </row>
    <row r="2202" customFormat="false" ht="12.75" hidden="false" customHeight="true" outlineLevel="0" collapsed="false">
      <c r="A2202" s="2"/>
      <c r="B2202" s="1" t="str">
        <f aca="false">TRIM(A2202)</f>
        <v/>
      </c>
    </row>
    <row r="2203" customFormat="false" ht="12.75" hidden="false" customHeight="true" outlineLevel="0" collapsed="false">
      <c r="A2203" s="1" t="s">
        <v>1211</v>
      </c>
      <c r="B2203" s="1" t="str">
        <f aca="false">TRIM(A2203)</f>
        <v># 4%</v>
      </c>
    </row>
    <row r="2204" customFormat="false" ht="12.75" hidden="false" customHeight="true" outlineLevel="0" collapsed="false">
      <c r="A2204" s="1" t="s">
        <v>1750</v>
      </c>
      <c r="B2204" s="1" t="str">
        <f aca="false">TRIM(A2204)</f>
        <v>+20, 20, NATU</v>
      </c>
    </row>
    <row r="2205" customFormat="false" ht="12.75" hidden="false" customHeight="true" outlineLevel="0" collapsed="false">
      <c r="A2205" s="1" t="s">
        <v>1751</v>
      </c>
      <c r="B2205" s="1" t="str">
        <f aca="false">TRIM(A2205)</f>
        <v>+49, 49, PERSIAN</v>
      </c>
    </row>
    <row r="2206" customFormat="false" ht="12.75" hidden="false" customHeight="true" outlineLevel="0" collapsed="false">
      <c r="A2206" s="2"/>
      <c r="B2206" s="1" t="str">
        <f aca="false">TRIM(A2206)</f>
        <v/>
      </c>
    </row>
    <row r="2207" customFormat="false" ht="12.75" hidden="false" customHeight="true" outlineLevel="0" collapsed="false">
      <c r="A2207" s="1" t="s">
        <v>1212</v>
      </c>
      <c r="B2207" s="1" t="str">
        <f aca="false">TRIM(A2207)</f>
        <v># 1%</v>
      </c>
    </row>
    <row r="2208" customFormat="false" ht="12.75" hidden="false" customHeight="true" outlineLevel="0" collapsed="false">
      <c r="A2208" s="1" t="s">
        <v>1750</v>
      </c>
      <c r="B2208" s="1" t="str">
        <f aca="false">TRIM(A2208)</f>
        <v>+20, 20, NATU</v>
      </c>
    </row>
    <row r="2209" customFormat="false" ht="12.75" hidden="false" customHeight="true" outlineLevel="0" collapsed="false">
      <c r="A2209" s="1" t="s">
        <v>2694</v>
      </c>
      <c r="B2209" s="1" t="str">
        <f aca="false">TRIM(A2209)</f>
        <v>+52, 52, PERSIAN</v>
      </c>
    </row>
    <row r="2210" customFormat="false" ht="12.75" hidden="false" customHeight="true" outlineLevel="0" collapsed="false">
      <c r="A2210" s="1" t="s">
        <v>2695</v>
      </c>
      <c r="B2210" s="1" t="str">
        <f aca="false">TRIM(A2210)</f>
        <v>2, 5, 20, MARILL</v>
      </c>
    </row>
    <row r="2211" customFormat="false" ht="12.75" hidden="false" customHeight="true" outlineLevel="0" collapsed="false">
      <c r="A2211" s="1" t="s">
        <v>1753</v>
      </c>
      <c r="B2211" s="1" t="str">
        <f aca="false">TRIM(A2211)</f>
        <v>+10, 20, MARILL</v>
      </c>
    </row>
    <row r="2212" customFormat="false" ht="12.75" hidden="false" customHeight="true" outlineLevel="0" collapsed="false">
      <c r="A2212" s="1" t="s">
        <v>1754</v>
      </c>
      <c r="B2212" s="1" t="str">
        <f aca="false">TRIM(A2212)</f>
        <v>+15, 25, MARILL</v>
      </c>
    </row>
    <row r="2213" customFormat="false" ht="12.75" hidden="false" customHeight="true" outlineLevel="0" collapsed="false">
      <c r="A2213" s="1" t="s">
        <v>1755</v>
      </c>
      <c r="B2213" s="1" t="str">
        <f aca="false">TRIM(A2213)</f>
        <v>+20, 25, MARILL</v>
      </c>
    </row>
    <row r="2214" customFormat="false" ht="12.75" hidden="false" customHeight="true" outlineLevel="0" collapsed="false">
      <c r="A2214" s="1" t="s">
        <v>2696</v>
      </c>
      <c r="B2214" s="1" t="str">
        <f aca="false">TRIM(A2214)</f>
        <v>+20, 25, MARILL</v>
      </c>
    </row>
    <row r="2215" customFormat="false" ht="12.75" hidden="false" customHeight="true" outlineLevel="0" collapsed="false">
      <c r="A2215" s="1" t="s">
        <v>2572</v>
      </c>
      <c r="B2215" s="1" t="str">
        <f aca="false">TRIM(A2215)</f>
        <v>20, # old rod:</v>
      </c>
    </row>
    <row r="2216" customFormat="false" ht="12.75" hidden="false" customHeight="true" outlineLevel="0" collapsed="false">
      <c r="A2216" s="1" t="s">
        <v>1266</v>
      </c>
      <c r="B2216" s="1" t="str">
        <f aca="false">TRIM(A2216)</f>
        <v>5, 5, MAGIKARP</v>
      </c>
    </row>
    <row r="2217" customFormat="false" ht="12.75" hidden="false" customHeight="true" outlineLevel="0" collapsed="false">
      <c r="A2217" s="1" t="s">
        <v>1267</v>
      </c>
      <c r="B2217" s="1" t="str">
        <f aca="false">TRIM(A2217)</f>
        <v>+5, 5, MAGIKARP</v>
      </c>
    </row>
    <row r="2218" customFormat="false" ht="12.75" hidden="false" customHeight="true" outlineLevel="0" collapsed="false">
      <c r="A2218" s="2"/>
      <c r="B2218" s="1" t="str">
        <f aca="false">TRIM(A2218)</f>
        <v/>
      </c>
    </row>
    <row r="2219" customFormat="false" ht="12.75" hidden="false" customHeight="true" outlineLevel="0" collapsed="false">
      <c r="A2219" s="1" t="s">
        <v>1268</v>
      </c>
      <c r="B2219" s="1" t="str">
        <f aca="false">TRIM(A2219)</f>
        <v># good rod:</v>
      </c>
    </row>
    <row r="2220" customFormat="false" ht="12.75" hidden="false" customHeight="true" outlineLevel="0" collapsed="false">
      <c r="A2220" s="1" t="s">
        <v>1586</v>
      </c>
      <c r="B2220" s="1" t="str">
        <f aca="false">TRIM(A2220)</f>
        <v>+5, 15, POLIWAG</v>
      </c>
    </row>
    <row r="2221" customFormat="false" ht="12.75" hidden="false" customHeight="true" outlineLevel="0" collapsed="false">
      <c r="A2221" s="1" t="s">
        <v>1270</v>
      </c>
      <c r="B2221" s="1" t="str">
        <f aca="false">TRIM(A2221)</f>
        <v>+5, 15, MAGIKARP</v>
      </c>
    </row>
    <row r="2222" customFormat="false" ht="12.75" hidden="false" customHeight="true" outlineLevel="0" collapsed="false">
      <c r="A2222" s="1" t="s">
        <v>1585</v>
      </c>
      <c r="B2222" s="1" t="str">
        <f aca="false">TRIM(A2222)</f>
        <v>+5, 15, GOLDEEN</v>
      </c>
    </row>
    <row r="2223" customFormat="false" ht="12.75" hidden="false" customHeight="true" outlineLevel="0" collapsed="false">
      <c r="A2223" s="2"/>
      <c r="B2223" s="1" t="str">
        <f aca="false">TRIM(A2223)</f>
        <v/>
      </c>
    </row>
    <row r="2224" customFormat="false" ht="12.75" hidden="false" customHeight="true" outlineLevel="0" collapsed="false">
      <c r="A2224" s="1" t="s">
        <v>1272</v>
      </c>
      <c r="B2224" s="1" t="str">
        <f aca="false">TRIM(A2224)</f>
        <v># super rod:</v>
      </c>
    </row>
    <row r="2225" customFormat="false" ht="12.75" hidden="false" customHeight="true" outlineLevel="0" collapsed="false">
      <c r="A2225" s="1" t="s">
        <v>1606</v>
      </c>
      <c r="B2225" s="1" t="str">
        <f aca="false">TRIM(A2225)</f>
        <v>+15, 25, POLIWAG</v>
      </c>
    </row>
    <row r="2226" customFormat="false" ht="12.75" hidden="false" customHeight="true" outlineLevel="0" collapsed="false">
      <c r="A2226" s="1" t="s">
        <v>1607</v>
      </c>
      <c r="B2226" s="1" t="str">
        <f aca="false">TRIM(A2226)</f>
        <v>+20, 30, POLIWHIRL</v>
      </c>
    </row>
    <row r="2227" customFormat="false" ht="12.75" hidden="false" customHeight="true" outlineLevel="0" collapsed="false">
      <c r="A2227" s="1" t="s">
        <v>1275</v>
      </c>
      <c r="B2227" s="1" t="str">
        <f aca="false">TRIM(A2227)</f>
        <v>+15, 25, GYARADOS</v>
      </c>
    </row>
    <row r="2228" customFormat="false" ht="12.75" hidden="false" customHeight="true" outlineLevel="0" collapsed="false">
      <c r="A2228" s="1" t="s">
        <v>1589</v>
      </c>
      <c r="B2228" s="1" t="str">
        <f aca="false">TRIM(A2228)</f>
        <v>+15, 25, SLOWPOKE</v>
      </c>
    </row>
    <row r="2229" customFormat="false" ht="12.75" hidden="false" customHeight="true" outlineLevel="0" collapsed="false">
      <c r="A2229" s="1" t="s">
        <v>2552</v>
      </c>
      <c r="B2229" s="1" t="str">
        <f aca="false">TRIM(A2229)</f>
        <v>+25, 35, SLOWPOKE</v>
      </c>
    </row>
    <row r="2230" customFormat="false" ht="12.75" hidden="false" customHeight="true" outlineLevel="0" collapsed="false">
      <c r="A2230" s="1" t="s">
        <v>2536</v>
      </c>
      <c r="B2230" s="1" t="str">
        <f aca="false">TRIM(A2230)</f>
        <v>NEW ROUTE</v>
      </c>
    </row>
    <row r="2231" customFormat="false" ht="12.75" hidden="false" customHeight="true" outlineLevel="0" collapsed="false">
      <c r="A2231" s="1" t="s">
        <v>2697</v>
      </c>
      <c r="B2231" s="1" t="str">
        <f aca="false">TRIM(A2231)</f>
        <v>+3, 62, 0, &lt;null&gt;,</v>
      </c>
    </row>
    <row r="2232" customFormat="false" ht="12.75" hidden="false" customHeight="true" outlineLevel="0" collapsed="false">
      <c r="A2232" s="2"/>
      <c r="B2232" s="1" t="str">
        <f aca="false">TRIM(A2232)</f>
        <v/>
      </c>
    </row>
    <row r="2233" customFormat="false" ht="12.75" hidden="false" customHeight="true" outlineLevel="0" collapsed="false">
      <c r="A2233" s="1" t="s">
        <v>2651</v>
      </c>
      <c r="B2233" s="1" t="str">
        <f aca="false">TRIM(A2233)</f>
        <v>2, 5, 20, TENTACOOL</v>
      </c>
    </row>
    <row r="2234" customFormat="false" ht="12.75" hidden="false" customHeight="true" outlineLevel="0" collapsed="false">
      <c r="A2234" s="1" t="s">
        <v>1619</v>
      </c>
      <c r="B2234" s="1" t="str">
        <f aca="false">TRIM(A2234)</f>
        <v>+20, 35, TENTACOOL</v>
      </c>
    </row>
    <row r="2235" customFormat="false" ht="12.75" hidden="false" customHeight="true" outlineLevel="0" collapsed="false">
      <c r="A2235" s="1" t="s">
        <v>1758</v>
      </c>
      <c r="B2235" s="1" t="str">
        <f aca="false">TRIM(A2235)</f>
        <v>+35, 40, MANTINE</v>
      </c>
    </row>
    <row r="2236" customFormat="false" ht="12.75" hidden="false" customHeight="true" outlineLevel="0" collapsed="false">
      <c r="A2236" s="1" t="s">
        <v>1678</v>
      </c>
      <c r="B2236" s="1" t="str">
        <f aca="false">TRIM(A2236)</f>
        <v>+35, 40, TENTACRUEL</v>
      </c>
    </row>
    <row r="2237" customFormat="false" ht="12.75" hidden="false" customHeight="true" outlineLevel="0" collapsed="false">
      <c r="A2237" s="1" t="s">
        <v>2675</v>
      </c>
      <c r="B2237" s="1" t="str">
        <f aca="false">TRIM(A2237)</f>
        <v>+35, 40, TENTACRUEL</v>
      </c>
    </row>
    <row r="2238" customFormat="false" ht="12.75" hidden="false" customHeight="true" outlineLevel="0" collapsed="false">
      <c r="A2238" s="1" t="s">
        <v>2572</v>
      </c>
      <c r="B2238" s="1" t="str">
        <f aca="false">TRIM(A2238)</f>
        <v>20, # old rod:</v>
      </c>
    </row>
    <row r="2239" customFormat="false" ht="12.75" hidden="false" customHeight="true" outlineLevel="0" collapsed="false">
      <c r="A2239" s="1" t="s">
        <v>1266</v>
      </c>
      <c r="B2239" s="1" t="str">
        <f aca="false">TRIM(A2239)</f>
        <v>5, 5, MAGIKARP</v>
      </c>
    </row>
    <row r="2240" customFormat="false" ht="12.75" hidden="false" customHeight="true" outlineLevel="0" collapsed="false">
      <c r="A2240" s="1" t="s">
        <v>1267</v>
      </c>
      <c r="B2240" s="1" t="str">
        <f aca="false">TRIM(A2240)</f>
        <v>+5, 5, MAGIKARP</v>
      </c>
    </row>
    <row r="2241" customFormat="false" ht="12.75" hidden="false" customHeight="true" outlineLevel="0" collapsed="false">
      <c r="A2241" s="2"/>
      <c r="B2241" s="1" t="str">
        <f aca="false">TRIM(A2241)</f>
        <v/>
      </c>
    </row>
    <row r="2242" customFormat="false" ht="12.75" hidden="false" customHeight="true" outlineLevel="0" collapsed="false">
      <c r="A2242" s="1" t="s">
        <v>1268</v>
      </c>
      <c r="B2242" s="1" t="str">
        <f aca="false">TRIM(A2242)</f>
        <v># good rod:</v>
      </c>
    </row>
    <row r="2243" customFormat="false" ht="12.75" hidden="false" customHeight="true" outlineLevel="0" collapsed="false">
      <c r="A2243" s="1" t="s">
        <v>1269</v>
      </c>
      <c r="B2243" s="1" t="str">
        <f aca="false">TRIM(A2243)</f>
        <v>+5, 15, KRABBY</v>
      </c>
    </row>
    <row r="2244" customFormat="false" ht="12.75" hidden="false" customHeight="true" outlineLevel="0" collapsed="false">
      <c r="A2244" s="1" t="s">
        <v>1270</v>
      </c>
      <c r="B2244" s="1" t="str">
        <f aca="false">TRIM(A2244)</f>
        <v>+5, 15, MAGIKARP</v>
      </c>
    </row>
    <row r="2245" customFormat="false" ht="12.75" hidden="false" customHeight="true" outlineLevel="0" collapsed="false">
      <c r="A2245" s="1" t="s">
        <v>1269</v>
      </c>
      <c r="B2245" s="1" t="str">
        <f aca="false">TRIM(A2245)</f>
        <v>+5, 15, KRABBY</v>
      </c>
    </row>
    <row r="2246" customFormat="false" ht="12.75" hidden="false" customHeight="true" outlineLevel="0" collapsed="false">
      <c r="A2246" s="2"/>
      <c r="B2246" s="1" t="str">
        <f aca="false">TRIM(A2246)</f>
        <v/>
      </c>
    </row>
    <row r="2247" customFormat="false" ht="12.75" hidden="false" customHeight="true" outlineLevel="0" collapsed="false">
      <c r="A2247" s="1" t="s">
        <v>1272</v>
      </c>
      <c r="B2247" s="1" t="str">
        <f aca="false">TRIM(A2247)</f>
        <v># super rod:</v>
      </c>
    </row>
    <row r="2248" customFormat="false" ht="12.75" hidden="false" customHeight="true" outlineLevel="0" collapsed="false">
      <c r="A2248" s="1" t="s">
        <v>1273</v>
      </c>
      <c r="B2248" s="1" t="str">
        <f aca="false">TRIM(A2248)</f>
        <v>+15, 25, KRABBY</v>
      </c>
    </row>
    <row r="2249" customFormat="false" ht="12.75" hidden="false" customHeight="true" outlineLevel="0" collapsed="false">
      <c r="A2249" s="1" t="s">
        <v>1712</v>
      </c>
      <c r="B2249" s="1" t="str">
        <f aca="false">TRIM(A2249)</f>
        <v>+15, 25, REMORAID</v>
      </c>
    </row>
    <row r="2250" customFormat="false" ht="12.75" hidden="false" customHeight="true" outlineLevel="0" collapsed="false">
      <c r="A2250" s="1" t="s">
        <v>1275</v>
      </c>
      <c r="B2250" s="1" t="str">
        <f aca="false">TRIM(A2250)</f>
        <v>+15, 25, GYARADOS</v>
      </c>
    </row>
    <row r="2251" customFormat="false" ht="12.75" hidden="false" customHeight="true" outlineLevel="0" collapsed="false">
      <c r="A2251" s="1" t="s">
        <v>1623</v>
      </c>
      <c r="B2251" s="1" t="str">
        <f aca="false">TRIM(A2251)</f>
        <v>+25, 35, KINGLER</v>
      </c>
    </row>
    <row r="2252" customFormat="false" ht="12.75" hidden="false" customHeight="true" outlineLevel="0" collapsed="false">
      <c r="A2252" s="1" t="s">
        <v>2552</v>
      </c>
      <c r="B2252" s="1" t="str">
        <f aca="false">TRIM(A2252)</f>
        <v>+25, 35, SLOWPOKE</v>
      </c>
    </row>
    <row r="2253" customFormat="false" ht="12.75" hidden="false" customHeight="true" outlineLevel="0" collapsed="false">
      <c r="A2253" s="1" t="s">
        <v>2536</v>
      </c>
      <c r="B2253" s="1" t="str">
        <f aca="false">TRIM(A2253)</f>
        <v>NEW ROUTE</v>
      </c>
    </row>
    <row r="2254" customFormat="false" ht="12.75" hidden="false" customHeight="true" outlineLevel="0" collapsed="false">
      <c r="A2254" s="1" t="s">
        <v>2698</v>
      </c>
      <c r="B2254" s="1" t="str">
        <f aca="false">TRIM(A2254)</f>
        <v>+3, 63, 0,</v>
      </c>
    </row>
    <row r="2255" customFormat="false" ht="12.75" hidden="false" customHeight="true" outlineLevel="0" collapsed="false">
      <c r="A2255" s="1" t="s">
        <v>2568</v>
      </c>
      <c r="B2255" s="1" t="str">
        <f aca="false">TRIM(A2255)</f>
        <v>21, # 20%</v>
      </c>
    </row>
    <row r="2256" customFormat="false" ht="12.75" hidden="false" customHeight="true" outlineLevel="0" collapsed="false">
      <c r="A2256" s="1" t="s">
        <v>1736</v>
      </c>
      <c r="B2256" s="1" t="str">
        <f aca="false">TRIM(A2256)</f>
        <v>44, 44, SPEAROW</v>
      </c>
    </row>
    <row r="2257" customFormat="false" ht="12.75" hidden="false" customHeight="true" outlineLevel="0" collapsed="false">
      <c r="A2257" s="1" t="s">
        <v>1716</v>
      </c>
      <c r="B2257" s="1" t="str">
        <f aca="false">TRIM(A2257)</f>
        <v>+10, 10, SENTRET</v>
      </c>
    </row>
    <row r="2258" customFormat="false" ht="12.75" hidden="false" customHeight="true" outlineLevel="0" collapsed="false">
      <c r="A2258" s="2"/>
      <c r="B2258" s="1" t="str">
        <f aca="false">TRIM(A2258)</f>
        <v/>
      </c>
    </row>
    <row r="2259" customFormat="false" ht="12.75" hidden="false" customHeight="true" outlineLevel="0" collapsed="false">
      <c r="A2259" s="1" t="s">
        <v>1209</v>
      </c>
      <c r="B2259" s="1" t="str">
        <f aca="false">TRIM(A2259)</f>
        <v># 10%</v>
      </c>
    </row>
    <row r="2260" customFormat="false" ht="12.75" hidden="false" customHeight="true" outlineLevel="0" collapsed="false">
      <c r="A2260" s="1" t="s">
        <v>1760</v>
      </c>
      <c r="B2260" s="1" t="str">
        <f aca="false">TRIM(A2260)</f>
        <v>+10, 10, PHANPY</v>
      </c>
    </row>
    <row r="2261" customFormat="false" ht="12.75" hidden="false" customHeight="true" outlineLevel="0" collapsed="false">
      <c r="A2261" s="1" t="s">
        <v>1738</v>
      </c>
      <c r="B2261" s="1" t="str">
        <f aca="false">TRIM(A2261)</f>
        <v>+48, 48, FEAROW</v>
      </c>
    </row>
    <row r="2262" customFormat="false" ht="12.75" hidden="false" customHeight="true" outlineLevel="0" collapsed="false">
      <c r="A2262" s="1" t="s">
        <v>1719</v>
      </c>
      <c r="B2262" s="1" t="str">
        <f aca="false">TRIM(A2262)</f>
        <v>+15, 15, SENTRET</v>
      </c>
    </row>
    <row r="2263" customFormat="false" ht="12.75" hidden="false" customHeight="true" outlineLevel="0" collapsed="false">
      <c r="A2263" s="1" t="s">
        <v>1720</v>
      </c>
      <c r="B2263" s="1" t="str">
        <f aca="false">TRIM(A2263)</f>
        <v>+41, 41, MEOWTH</v>
      </c>
    </row>
    <row r="2264" customFormat="false" ht="12.75" hidden="false" customHeight="true" outlineLevel="0" collapsed="false">
      <c r="A2264" s="2"/>
      <c r="B2264" s="1" t="str">
        <f aca="false">TRIM(A2264)</f>
        <v/>
      </c>
    </row>
    <row r="2265" customFormat="false" ht="12.75" hidden="false" customHeight="true" outlineLevel="0" collapsed="false">
      <c r="A2265" s="1" t="s">
        <v>1210</v>
      </c>
      <c r="B2265" s="1" t="str">
        <f aca="false">TRIM(A2265)</f>
        <v># 5%</v>
      </c>
    </row>
    <row r="2266" customFormat="false" ht="12.75" hidden="false" customHeight="true" outlineLevel="0" collapsed="false">
      <c r="A2266" s="1" t="s">
        <v>1740</v>
      </c>
      <c r="B2266" s="1" t="str">
        <f aca="false">TRIM(A2266)</f>
        <v>+50, 50, FEAROW</v>
      </c>
    </row>
    <row r="2267" customFormat="false" ht="12.75" hidden="false" customHeight="true" outlineLevel="0" collapsed="false">
      <c r="A2267" s="1" t="s">
        <v>1598</v>
      </c>
      <c r="B2267" s="1" t="str">
        <f aca="false">TRIM(A2267)</f>
        <v>+41, 41, SLOWPOKE</v>
      </c>
    </row>
    <row r="2268" customFormat="false" ht="12.75" hidden="false" customHeight="true" outlineLevel="0" collapsed="false">
      <c r="A2268" s="2"/>
      <c r="B2268" s="1" t="str">
        <f aca="false">TRIM(A2268)</f>
        <v/>
      </c>
    </row>
    <row r="2269" customFormat="false" ht="12.75" hidden="false" customHeight="true" outlineLevel="0" collapsed="false">
      <c r="A2269" s="1" t="s">
        <v>1211</v>
      </c>
      <c r="B2269" s="1" t="str">
        <f aca="false">TRIM(A2269)</f>
        <v># 4%</v>
      </c>
    </row>
    <row r="2270" customFormat="false" ht="12.75" hidden="false" customHeight="true" outlineLevel="0" collapsed="false">
      <c r="A2270" s="1" t="s">
        <v>1761</v>
      </c>
      <c r="B2270" s="1" t="str">
        <f aca="false">TRIM(A2270)</f>
        <v>+15, 15, PHANPY</v>
      </c>
    </row>
    <row r="2271" customFormat="false" ht="12.75" hidden="false" customHeight="true" outlineLevel="0" collapsed="false">
      <c r="A2271" s="1" t="s">
        <v>1723</v>
      </c>
      <c r="B2271" s="1" t="str">
        <f aca="false">TRIM(A2271)</f>
        <v>+47, 47, PERSIAN</v>
      </c>
    </row>
    <row r="2272" customFormat="false" ht="12.75" hidden="false" customHeight="true" outlineLevel="0" collapsed="false">
      <c r="A2272" s="2"/>
      <c r="B2272" s="1" t="str">
        <f aca="false">TRIM(A2272)</f>
        <v/>
      </c>
    </row>
    <row r="2273" customFormat="false" ht="12.75" hidden="false" customHeight="true" outlineLevel="0" collapsed="false">
      <c r="A2273" s="1" t="s">
        <v>1212</v>
      </c>
      <c r="B2273" s="1" t="str">
        <f aca="false">TRIM(A2273)</f>
        <v># 1%</v>
      </c>
    </row>
    <row r="2274" customFormat="false" ht="12.75" hidden="false" customHeight="true" outlineLevel="0" collapsed="false">
      <c r="A2274" s="1" t="s">
        <v>1761</v>
      </c>
      <c r="B2274" s="1" t="str">
        <f aca="false">TRIM(A2274)</f>
        <v>+15, 15, PHANPY</v>
      </c>
    </row>
    <row r="2275" customFormat="false" ht="12.75" hidden="false" customHeight="true" outlineLevel="0" collapsed="false">
      <c r="A2275" s="1" t="s">
        <v>2699</v>
      </c>
      <c r="B2275" s="1" t="str">
        <f aca="false">TRIM(A2275)</f>
        <v>+50, 50, PERSIAN , &lt;null&gt;, &lt;null&gt;, &lt;null&gt;</v>
      </c>
    </row>
    <row r="2276" customFormat="false" ht="12.75" hidden="false" customHeight="true" outlineLevel="0" collapsed="false">
      <c r="A2276" s="2"/>
      <c r="B2276" s="1" t="str">
        <f aca="false">TRIM(A2276)</f>
        <v/>
      </c>
    </row>
    <row r="2277" customFormat="false" ht="12.75" hidden="false" customHeight="true" outlineLevel="0" collapsed="false">
      <c r="A2277" s="1" t="s">
        <v>2536</v>
      </c>
      <c r="B2277" s="1" t="str">
        <f aca="false">TRIM(A2277)</f>
        <v>NEW ROUTE</v>
      </c>
    </row>
    <row r="2278" customFormat="false" ht="12.75" hidden="false" customHeight="true" outlineLevel="0" collapsed="false">
      <c r="A2278" s="1" t="s">
        <v>2700</v>
      </c>
      <c r="B2278" s="1" t="str">
        <f aca="false">TRIM(A2278)</f>
        <v>+3, 64, 0,</v>
      </c>
    </row>
    <row r="2279" customFormat="false" ht="12.75" hidden="false" customHeight="true" outlineLevel="0" collapsed="false">
      <c r="A2279" s="1" t="s">
        <v>2568</v>
      </c>
      <c r="B2279" s="1" t="str">
        <f aca="false">TRIM(A2279)</f>
        <v>21, # 20%</v>
      </c>
    </row>
    <row r="2280" customFormat="false" ht="12.75" hidden="false" customHeight="true" outlineLevel="0" collapsed="false">
      <c r="A2280" s="1" t="s">
        <v>1764</v>
      </c>
      <c r="B2280" s="1" t="str">
        <f aca="false">TRIM(A2280)</f>
        <v>46, 46, GEODUDE</v>
      </c>
    </row>
    <row r="2281" customFormat="false" ht="12.75" hidden="false" customHeight="true" outlineLevel="0" collapsed="false">
      <c r="A2281" s="1" t="s">
        <v>1761</v>
      </c>
      <c r="B2281" s="1" t="str">
        <f aca="false">TRIM(A2281)</f>
        <v>+15, 15, PHANPY</v>
      </c>
    </row>
    <row r="2282" customFormat="false" ht="12.75" hidden="false" customHeight="true" outlineLevel="0" collapsed="false">
      <c r="A2282" s="2"/>
      <c r="B2282" s="1" t="str">
        <f aca="false">TRIM(A2282)</f>
        <v/>
      </c>
    </row>
    <row r="2283" customFormat="false" ht="12.75" hidden="false" customHeight="true" outlineLevel="0" collapsed="false">
      <c r="A2283" s="1" t="s">
        <v>1209</v>
      </c>
      <c r="B2283" s="1" t="str">
        <f aca="false">TRIM(A2283)</f>
        <v># 10%</v>
      </c>
    </row>
    <row r="2284" customFormat="false" ht="12.75" hidden="false" customHeight="true" outlineLevel="0" collapsed="false">
      <c r="A2284" s="1" t="s">
        <v>1765</v>
      </c>
      <c r="B2284" s="1" t="str">
        <f aca="false">TRIM(A2284)</f>
        <v>+46, 46, CUBONE</v>
      </c>
    </row>
    <row r="2285" customFormat="false" ht="12.75" hidden="false" customHeight="true" outlineLevel="0" collapsed="false">
      <c r="A2285" s="1" t="s">
        <v>1740</v>
      </c>
      <c r="B2285" s="1" t="str">
        <f aca="false">TRIM(A2285)</f>
        <v>+50, 50, FEAROW</v>
      </c>
    </row>
    <row r="2286" customFormat="false" ht="12.75" hidden="false" customHeight="true" outlineLevel="0" collapsed="false">
      <c r="A2286" s="1" t="s">
        <v>1766</v>
      </c>
      <c r="B2286" s="1" t="str">
        <f aca="false">TRIM(A2286)</f>
        <v>+52, 52, MAROWAK</v>
      </c>
    </row>
    <row r="2287" customFormat="false" ht="12.75" hidden="false" customHeight="true" outlineLevel="0" collapsed="false">
      <c r="A2287" s="1" t="s">
        <v>1748</v>
      </c>
      <c r="B2287" s="1" t="str">
        <f aca="false">TRIM(A2287)</f>
        <v>+43, 43, MEOWTH</v>
      </c>
    </row>
    <row r="2288" customFormat="false" ht="12.75" hidden="false" customHeight="true" outlineLevel="0" collapsed="false">
      <c r="A2288" s="2"/>
      <c r="B2288" s="1" t="str">
        <f aca="false">TRIM(A2288)</f>
        <v/>
      </c>
    </row>
    <row r="2289" customFormat="false" ht="12.75" hidden="false" customHeight="true" outlineLevel="0" collapsed="false">
      <c r="A2289" s="1" t="s">
        <v>1210</v>
      </c>
      <c r="B2289" s="1" t="str">
        <f aca="false">TRIM(A2289)</f>
        <v># 5%</v>
      </c>
    </row>
    <row r="2290" customFormat="false" ht="12.75" hidden="false" customHeight="true" outlineLevel="0" collapsed="false">
      <c r="A2290" s="1" t="s">
        <v>1767</v>
      </c>
      <c r="B2290" s="1" t="str">
        <f aca="false">TRIM(A2290)</f>
        <v>+54, 54, ONIX</v>
      </c>
    </row>
    <row r="2291" customFormat="false" ht="12.75" hidden="false" customHeight="true" outlineLevel="0" collapsed="false">
      <c r="A2291" s="1" t="s">
        <v>1740</v>
      </c>
      <c r="B2291" s="1" t="str">
        <f aca="false">TRIM(A2291)</f>
        <v>+50, 50, FEAROW</v>
      </c>
    </row>
    <row r="2292" customFormat="false" ht="12.75" hidden="false" customHeight="true" outlineLevel="0" collapsed="false">
      <c r="A2292" s="2"/>
      <c r="B2292" s="1" t="str">
        <f aca="false">TRIM(A2292)</f>
        <v/>
      </c>
    </row>
    <row r="2293" customFormat="false" ht="12.75" hidden="false" customHeight="true" outlineLevel="0" collapsed="false">
      <c r="A2293" s="1" t="s">
        <v>1211</v>
      </c>
      <c r="B2293" s="1" t="str">
        <f aca="false">TRIM(A2293)</f>
        <v># 4%</v>
      </c>
    </row>
    <row r="2294" customFormat="false" ht="12.75" hidden="false" customHeight="true" outlineLevel="0" collapsed="false">
      <c r="A2294" s="1" t="s">
        <v>1768</v>
      </c>
      <c r="B2294" s="1" t="str">
        <f aca="false">TRIM(A2294)</f>
        <v>+15, 15, LARVITAR</v>
      </c>
    </row>
    <row r="2295" customFormat="false" ht="12.75" hidden="false" customHeight="true" outlineLevel="0" collapsed="false">
      <c r="A2295" s="1" t="s">
        <v>1751</v>
      </c>
      <c r="B2295" s="1" t="str">
        <f aca="false">TRIM(A2295)</f>
        <v>+49, 49, PERSIAN</v>
      </c>
    </row>
    <row r="2296" customFormat="false" ht="12.75" hidden="false" customHeight="true" outlineLevel="0" collapsed="false">
      <c r="A2296" s="2"/>
      <c r="B2296" s="1" t="str">
        <f aca="false">TRIM(A2296)</f>
        <v/>
      </c>
    </row>
    <row r="2297" customFormat="false" ht="12.75" hidden="false" customHeight="true" outlineLevel="0" collapsed="false">
      <c r="A2297" s="1" t="s">
        <v>1212</v>
      </c>
      <c r="B2297" s="1" t="str">
        <f aca="false">TRIM(A2297)</f>
        <v># 1%</v>
      </c>
    </row>
    <row r="2298" customFormat="false" ht="12.75" hidden="false" customHeight="true" outlineLevel="0" collapsed="false">
      <c r="A2298" s="1" t="s">
        <v>1769</v>
      </c>
      <c r="B2298" s="1" t="str">
        <f aca="false">TRIM(A2298)</f>
        <v>+20, 20, LARVITAR</v>
      </c>
    </row>
    <row r="2299" customFormat="false" ht="12.75" hidden="false" customHeight="true" outlineLevel="0" collapsed="false">
      <c r="A2299" s="1" t="s">
        <v>2694</v>
      </c>
      <c r="B2299" s="1" t="str">
        <f aca="false">TRIM(A2299)</f>
        <v>+52, 52, PERSIAN</v>
      </c>
    </row>
    <row r="2300" customFormat="false" ht="12.75" hidden="false" customHeight="true" outlineLevel="0" collapsed="false">
      <c r="A2300" s="1" t="s">
        <v>2701</v>
      </c>
      <c r="B2300" s="1" t="str">
        <f aca="false">TRIM(A2300)</f>
        <v>25, 25, 35, GEODUDE</v>
      </c>
    </row>
    <row r="2301" customFormat="false" ht="12.75" hidden="false" customHeight="true" outlineLevel="0" collapsed="false">
      <c r="A2301" s="1" t="s">
        <v>1536</v>
      </c>
      <c r="B2301" s="1" t="str">
        <f aca="false">TRIM(A2301)</f>
        <v>+30, 45, GRAVELER</v>
      </c>
    </row>
    <row r="2302" customFormat="false" ht="12.75" hidden="false" customHeight="true" outlineLevel="0" collapsed="false">
      <c r="A2302" s="1" t="s">
        <v>1537</v>
      </c>
      <c r="B2302" s="1" t="str">
        <f aca="false">TRIM(A2302)</f>
        <v>+35, 50, GRAVELER</v>
      </c>
    </row>
    <row r="2303" customFormat="false" ht="12.75" hidden="false" customHeight="true" outlineLevel="0" collapsed="false">
      <c r="A2303" s="1" t="s">
        <v>1538</v>
      </c>
      <c r="B2303" s="1" t="str">
        <f aca="false">TRIM(A2303)</f>
        <v>+30, 40, GEODUDE</v>
      </c>
    </row>
    <row r="2304" customFormat="false" ht="12.75" hidden="false" customHeight="true" outlineLevel="0" collapsed="false">
      <c r="A2304" s="1" t="s">
        <v>2628</v>
      </c>
      <c r="B2304" s="1" t="str">
        <f aca="false">TRIM(A2304)</f>
        <v>+30, 40, GEODUDE , &lt;null&gt;</v>
      </c>
    </row>
    <row r="2305" customFormat="false" ht="12.75" hidden="false" customHeight="true" outlineLevel="0" collapsed="false">
      <c r="A2305" s="2"/>
      <c r="B2305" s="1" t="str">
        <f aca="false">TRIM(A2305)</f>
        <v/>
      </c>
    </row>
    <row r="2306" customFormat="false" ht="12.75" hidden="false" customHeight="true" outlineLevel="0" collapsed="false">
      <c r="A2306" s="1" t="s">
        <v>2536</v>
      </c>
      <c r="B2306" s="1" t="str">
        <f aca="false">TRIM(A2306)</f>
        <v>NEW ROUTE</v>
      </c>
    </row>
    <row r="2307" customFormat="false" ht="12.75" hidden="false" customHeight="true" outlineLevel="0" collapsed="false">
      <c r="A2307" s="1" t="s">
        <v>2702</v>
      </c>
      <c r="B2307" s="1" t="str">
        <f aca="false">TRIM(A2307)</f>
        <v>+3, 65, 0, &lt;null&gt;,</v>
      </c>
    </row>
    <row r="2308" customFormat="false" ht="12.75" hidden="false" customHeight="true" outlineLevel="0" collapsed="false">
      <c r="A2308" s="2"/>
      <c r="B2308" s="1" t="str">
        <f aca="false">TRIM(A2308)</f>
        <v/>
      </c>
    </row>
    <row r="2309" customFormat="false" ht="12.75" hidden="false" customHeight="true" outlineLevel="0" collapsed="false">
      <c r="A2309" s="1" t="s">
        <v>2651</v>
      </c>
      <c r="B2309" s="1" t="str">
        <f aca="false">TRIM(A2309)</f>
        <v>2, 5, 20, TENTACOOL</v>
      </c>
    </row>
    <row r="2310" customFormat="false" ht="12.75" hidden="false" customHeight="true" outlineLevel="0" collapsed="false">
      <c r="A2310" s="1" t="s">
        <v>1619</v>
      </c>
      <c r="B2310" s="1" t="str">
        <f aca="false">TRIM(A2310)</f>
        <v>+20, 35, TENTACOOL</v>
      </c>
    </row>
    <row r="2311" customFormat="false" ht="12.75" hidden="false" customHeight="true" outlineLevel="0" collapsed="false">
      <c r="A2311" s="1" t="s">
        <v>1758</v>
      </c>
      <c r="B2311" s="1" t="str">
        <f aca="false">TRIM(A2311)</f>
        <v>+35, 40, MANTINE</v>
      </c>
    </row>
    <row r="2312" customFormat="false" ht="12.75" hidden="false" customHeight="true" outlineLevel="0" collapsed="false">
      <c r="A2312" s="1" t="s">
        <v>1678</v>
      </c>
      <c r="B2312" s="1" t="str">
        <f aca="false">TRIM(A2312)</f>
        <v>+35, 40, TENTACRUEL</v>
      </c>
    </row>
    <row r="2313" customFormat="false" ht="12.75" hidden="false" customHeight="true" outlineLevel="0" collapsed="false">
      <c r="A2313" s="1" t="s">
        <v>2675</v>
      </c>
      <c r="B2313" s="1" t="str">
        <f aca="false">TRIM(A2313)</f>
        <v>+35, 40, TENTACRUEL</v>
      </c>
    </row>
    <row r="2314" customFormat="false" ht="12.75" hidden="false" customHeight="true" outlineLevel="0" collapsed="false">
      <c r="A2314" s="1" t="s">
        <v>2572</v>
      </c>
      <c r="B2314" s="1" t="str">
        <f aca="false">TRIM(A2314)</f>
        <v>20, # old rod:</v>
      </c>
    </row>
    <row r="2315" customFormat="false" ht="12.75" hidden="false" customHeight="true" outlineLevel="0" collapsed="false">
      <c r="A2315" s="1" t="s">
        <v>1266</v>
      </c>
      <c r="B2315" s="1" t="str">
        <f aca="false">TRIM(A2315)</f>
        <v>5, 5, MAGIKARP</v>
      </c>
    </row>
    <row r="2316" customFormat="false" ht="12.75" hidden="false" customHeight="true" outlineLevel="0" collapsed="false">
      <c r="A2316" s="1" t="s">
        <v>1267</v>
      </c>
      <c r="B2316" s="1" t="str">
        <f aca="false">TRIM(A2316)</f>
        <v>+5, 5, MAGIKARP</v>
      </c>
    </row>
    <row r="2317" customFormat="false" ht="12.75" hidden="false" customHeight="true" outlineLevel="0" collapsed="false">
      <c r="A2317" s="2"/>
      <c r="B2317" s="1" t="str">
        <f aca="false">TRIM(A2317)</f>
        <v/>
      </c>
    </row>
    <row r="2318" customFormat="false" ht="12.75" hidden="false" customHeight="true" outlineLevel="0" collapsed="false">
      <c r="A2318" s="1" t="s">
        <v>1268</v>
      </c>
      <c r="B2318" s="1" t="str">
        <f aca="false">TRIM(A2318)</f>
        <v># good rod:</v>
      </c>
    </row>
    <row r="2319" customFormat="false" ht="12.75" hidden="false" customHeight="true" outlineLevel="0" collapsed="false">
      <c r="A2319" s="1" t="s">
        <v>1269</v>
      </c>
      <c r="B2319" s="1" t="str">
        <f aca="false">TRIM(A2319)</f>
        <v>+5, 15, KRABBY</v>
      </c>
    </row>
    <row r="2320" customFormat="false" ht="12.75" hidden="false" customHeight="true" outlineLevel="0" collapsed="false">
      <c r="A2320" s="1" t="s">
        <v>1270</v>
      </c>
      <c r="B2320" s="1" t="str">
        <f aca="false">TRIM(A2320)</f>
        <v>+5, 15, MAGIKARP</v>
      </c>
    </row>
    <row r="2321" customFormat="false" ht="12.75" hidden="false" customHeight="true" outlineLevel="0" collapsed="false">
      <c r="A2321" s="1" t="s">
        <v>1269</v>
      </c>
      <c r="B2321" s="1" t="str">
        <f aca="false">TRIM(A2321)</f>
        <v>+5, 15, KRABBY</v>
      </c>
    </row>
    <row r="2322" customFormat="false" ht="12.75" hidden="false" customHeight="true" outlineLevel="0" collapsed="false">
      <c r="A2322" s="2"/>
      <c r="B2322" s="1" t="str">
        <f aca="false">TRIM(A2322)</f>
        <v/>
      </c>
    </row>
    <row r="2323" customFormat="false" ht="12.75" hidden="false" customHeight="true" outlineLevel="0" collapsed="false">
      <c r="A2323" s="1" t="s">
        <v>1272</v>
      </c>
      <c r="B2323" s="1" t="str">
        <f aca="false">TRIM(A2323)</f>
        <v># super rod:</v>
      </c>
    </row>
    <row r="2324" customFormat="false" ht="12.75" hidden="false" customHeight="true" outlineLevel="0" collapsed="false">
      <c r="A2324" s="1" t="s">
        <v>1273</v>
      </c>
      <c r="B2324" s="1" t="str">
        <f aca="false">TRIM(A2324)</f>
        <v>+15, 25, KRABBY</v>
      </c>
    </row>
    <row r="2325" customFormat="false" ht="12.75" hidden="false" customHeight="true" outlineLevel="0" collapsed="false">
      <c r="A2325" s="1" t="s">
        <v>1712</v>
      </c>
      <c r="B2325" s="1" t="str">
        <f aca="false">TRIM(A2325)</f>
        <v>+15, 25, REMORAID</v>
      </c>
    </row>
    <row r="2326" customFormat="false" ht="12.75" hidden="false" customHeight="true" outlineLevel="0" collapsed="false">
      <c r="A2326" s="1" t="s">
        <v>1275</v>
      </c>
      <c r="B2326" s="1" t="str">
        <f aca="false">TRIM(A2326)</f>
        <v>+15, 25, GYARADOS</v>
      </c>
    </row>
    <row r="2327" customFormat="false" ht="12.75" hidden="false" customHeight="true" outlineLevel="0" collapsed="false">
      <c r="A2327" s="1" t="s">
        <v>1623</v>
      </c>
      <c r="B2327" s="1" t="str">
        <f aca="false">TRIM(A2327)</f>
        <v>+25, 35, KINGLER</v>
      </c>
    </row>
    <row r="2328" customFormat="false" ht="12.75" hidden="false" customHeight="true" outlineLevel="0" collapsed="false">
      <c r="A2328" s="1" t="s">
        <v>2552</v>
      </c>
      <c r="B2328" s="1" t="str">
        <f aca="false">TRIM(A2328)</f>
        <v>+25, 35, SLOWPOKE</v>
      </c>
    </row>
    <row r="2329" customFormat="false" ht="12.75" hidden="false" customHeight="true" outlineLevel="0" collapsed="false">
      <c r="A2329" s="1" t="s">
        <v>2536</v>
      </c>
      <c r="B2329" s="1" t="str">
        <f aca="false">TRIM(A2329)</f>
        <v>NEW ROUTE</v>
      </c>
    </row>
    <row r="2330" customFormat="false" ht="12.75" hidden="false" customHeight="true" outlineLevel="0" collapsed="false">
      <c r="A2330" s="1" t="s">
        <v>2703</v>
      </c>
      <c r="B2330" s="1" t="str">
        <f aca="false">TRIM(A2330)</f>
        <v>+3, 19, 0,</v>
      </c>
    </row>
    <row r="2331" customFormat="false" ht="12.75" hidden="false" customHeight="true" outlineLevel="0" collapsed="false">
      <c r="A2331" s="1" t="s">
        <v>2568</v>
      </c>
      <c r="B2331" s="1" t="str">
        <f aca="false">TRIM(A2331)</f>
        <v>21, # 20%</v>
      </c>
    </row>
    <row r="2332" customFormat="false" ht="12.75" hidden="false" customHeight="true" outlineLevel="0" collapsed="false">
      <c r="A2332" s="1" t="s">
        <v>1773</v>
      </c>
      <c r="B2332" s="1" t="str">
        <f aca="false">TRIM(A2332)</f>
        <v>2, 5, PIDGEY</v>
      </c>
    </row>
    <row r="2333" customFormat="false" ht="12.75" hidden="false" customHeight="true" outlineLevel="0" collapsed="false">
      <c r="A2333" s="1" t="s">
        <v>1774</v>
      </c>
      <c r="B2333" s="1" t="str">
        <f aca="false">TRIM(A2333)</f>
        <v>+2, 5, PIDGEY</v>
      </c>
    </row>
    <row r="2334" customFormat="false" ht="12.75" hidden="false" customHeight="true" outlineLevel="0" collapsed="false">
      <c r="A2334" s="2"/>
      <c r="B2334" s="1" t="str">
        <f aca="false">TRIM(A2334)</f>
        <v/>
      </c>
    </row>
    <row r="2335" customFormat="false" ht="12.75" hidden="false" customHeight="true" outlineLevel="0" collapsed="false">
      <c r="A2335" s="1" t="s">
        <v>1209</v>
      </c>
      <c r="B2335" s="1" t="str">
        <f aca="false">TRIM(A2335)</f>
        <v># 10%</v>
      </c>
    </row>
    <row r="2336" customFormat="false" ht="12.75" hidden="false" customHeight="true" outlineLevel="0" collapsed="false">
      <c r="A2336" s="1" t="s">
        <v>1775</v>
      </c>
      <c r="B2336" s="1" t="str">
        <f aca="false">TRIM(A2336)</f>
        <v>+2, 4, RATTATA</v>
      </c>
    </row>
    <row r="2337" customFormat="false" ht="12.75" hidden="false" customHeight="true" outlineLevel="0" collapsed="false">
      <c r="A2337" s="1" t="s">
        <v>1775</v>
      </c>
      <c r="B2337" s="1" t="str">
        <f aca="false">TRIM(A2337)</f>
        <v>+2, 4, RATTATA</v>
      </c>
    </row>
    <row r="2338" customFormat="false" ht="12.75" hidden="false" customHeight="true" outlineLevel="0" collapsed="false">
      <c r="A2338" s="1" t="s">
        <v>1776</v>
      </c>
      <c r="B2338" s="1" t="str">
        <f aca="false">TRIM(A2338)</f>
        <v>+2, 4, BELLSPROUT</v>
      </c>
    </row>
    <row r="2339" customFormat="false" ht="12.75" hidden="false" customHeight="true" outlineLevel="0" collapsed="false">
      <c r="A2339" s="1" t="s">
        <v>1776</v>
      </c>
      <c r="B2339" s="1" t="str">
        <f aca="false">TRIM(A2339)</f>
        <v>+2, 4, BELLSPROUT</v>
      </c>
    </row>
    <row r="2340" customFormat="false" ht="12.75" hidden="false" customHeight="true" outlineLevel="0" collapsed="false">
      <c r="A2340" s="2"/>
      <c r="B2340" s="1" t="str">
        <f aca="false">TRIM(A2340)</f>
        <v/>
      </c>
    </row>
    <row r="2341" customFormat="false" ht="12.75" hidden="false" customHeight="true" outlineLevel="0" collapsed="false">
      <c r="A2341" s="1" t="s">
        <v>1210</v>
      </c>
      <c r="B2341" s="1" t="str">
        <f aca="false">TRIM(A2341)</f>
        <v># 5%</v>
      </c>
    </row>
    <row r="2342" customFormat="false" ht="12.75" hidden="false" customHeight="true" outlineLevel="0" collapsed="false">
      <c r="A2342" s="1" t="s">
        <v>1777</v>
      </c>
      <c r="B2342" s="1" t="str">
        <f aca="false">TRIM(A2342)</f>
        <v>+2, 4, ODDISH</v>
      </c>
    </row>
    <row r="2343" customFormat="false" ht="12.75" hidden="false" customHeight="true" outlineLevel="0" collapsed="false">
      <c r="A2343" s="1" t="s">
        <v>1777</v>
      </c>
      <c r="B2343" s="1" t="str">
        <f aca="false">TRIM(A2343)</f>
        <v>+2, 4, ODDISH</v>
      </c>
    </row>
    <row r="2344" customFormat="false" ht="12.75" hidden="false" customHeight="true" outlineLevel="0" collapsed="false">
      <c r="A2344" s="2"/>
      <c r="B2344" s="1" t="str">
        <f aca="false">TRIM(A2344)</f>
        <v/>
      </c>
    </row>
    <row r="2345" customFormat="false" ht="12.75" hidden="false" customHeight="true" outlineLevel="0" collapsed="false">
      <c r="A2345" s="1" t="s">
        <v>1211</v>
      </c>
      <c r="B2345" s="1" t="str">
        <f aca="false">TRIM(A2345)</f>
        <v># 4%</v>
      </c>
    </row>
    <row r="2346" customFormat="false" ht="12.75" hidden="false" customHeight="true" outlineLevel="0" collapsed="false">
      <c r="A2346" s="1" t="s">
        <v>1778</v>
      </c>
      <c r="B2346" s="1" t="str">
        <f aca="false">TRIM(A2346)</f>
        <v>+2, 4, VENONAT</v>
      </c>
    </row>
    <row r="2347" customFormat="false" ht="12.75" hidden="false" customHeight="true" outlineLevel="0" collapsed="false">
      <c r="A2347" s="1" t="s">
        <v>1778</v>
      </c>
      <c r="B2347" s="1" t="str">
        <f aca="false">TRIM(A2347)</f>
        <v>+2, 4, VENONAT</v>
      </c>
    </row>
    <row r="2348" customFormat="false" ht="12.75" hidden="false" customHeight="true" outlineLevel="0" collapsed="false">
      <c r="A2348" s="2"/>
      <c r="B2348" s="1" t="str">
        <f aca="false">TRIM(A2348)</f>
        <v/>
      </c>
    </row>
    <row r="2349" customFormat="false" ht="12.75" hidden="false" customHeight="true" outlineLevel="0" collapsed="false">
      <c r="A2349" s="1" t="s">
        <v>1212</v>
      </c>
      <c r="B2349" s="1" t="str">
        <f aca="false">TRIM(A2349)</f>
        <v># 1%</v>
      </c>
    </row>
    <row r="2350" customFormat="false" ht="12.75" hidden="false" customHeight="true" outlineLevel="0" collapsed="false">
      <c r="A2350" s="1" t="s">
        <v>1779</v>
      </c>
      <c r="B2350" s="1" t="str">
        <f aca="false">TRIM(A2350)</f>
        <v>+3, 3, EEVEE</v>
      </c>
    </row>
    <row r="2351" customFormat="false" ht="12.75" hidden="false" customHeight="true" outlineLevel="0" collapsed="false">
      <c r="A2351" s="1" t="s">
        <v>2704</v>
      </c>
      <c r="B2351" s="1" t="str">
        <f aca="false">TRIM(A2351)</f>
        <v>+3, 3, EEVEE , &lt;null&gt;, &lt;null&gt;, &lt;null&gt;</v>
      </c>
    </row>
    <row r="2352" customFormat="false" ht="12.75" hidden="false" customHeight="true" outlineLevel="0" collapsed="false">
      <c r="A2352" s="2"/>
      <c r="B2352" s="1" t="str">
        <f aca="false">TRIM(A2352)</f>
        <v/>
      </c>
    </row>
    <row r="2353" customFormat="false" ht="12.75" hidden="false" customHeight="true" outlineLevel="0" collapsed="false">
      <c r="A2353" s="1" t="s">
        <v>2536</v>
      </c>
      <c r="B2353" s="1" t="str">
        <f aca="false">TRIM(A2353)</f>
        <v>NEW ROUTE</v>
      </c>
    </row>
    <row r="2354" customFormat="false" ht="12.75" hidden="false" customHeight="true" outlineLevel="0" collapsed="false">
      <c r="A2354" s="1" t="s">
        <v>2705</v>
      </c>
      <c r="B2354" s="1" t="str">
        <f aca="false">TRIM(A2354)</f>
        <v>+3, 20, 0,</v>
      </c>
    </row>
    <row r="2355" customFormat="false" ht="12.75" hidden="false" customHeight="true" outlineLevel="0" collapsed="false">
      <c r="A2355" s="1" t="s">
        <v>2568</v>
      </c>
      <c r="B2355" s="1" t="str">
        <f aca="false">TRIM(A2355)</f>
        <v>21, # 20%</v>
      </c>
    </row>
    <row r="2356" customFormat="false" ht="12.75" hidden="false" customHeight="true" outlineLevel="0" collapsed="false">
      <c r="A2356" s="1" t="s">
        <v>1782</v>
      </c>
      <c r="B2356" s="1" t="str">
        <f aca="false">TRIM(A2356)</f>
        <v>3, 5, CATERPIE</v>
      </c>
    </row>
    <row r="2357" customFormat="false" ht="12.75" hidden="false" customHeight="true" outlineLevel="0" collapsed="false">
      <c r="A2357" s="1" t="s">
        <v>1783</v>
      </c>
      <c r="B2357" s="1" t="str">
        <f aca="false">TRIM(A2357)</f>
        <v>+3, 5, WEEDLE</v>
      </c>
    </row>
    <row r="2358" customFormat="false" ht="12.75" hidden="false" customHeight="true" outlineLevel="0" collapsed="false">
      <c r="A2358" s="2"/>
      <c r="B2358" s="1" t="str">
        <f aca="false">TRIM(A2358)</f>
        <v/>
      </c>
    </row>
    <row r="2359" customFormat="false" ht="12.75" hidden="false" customHeight="true" outlineLevel="0" collapsed="false">
      <c r="A2359" s="1" t="s">
        <v>1209</v>
      </c>
      <c r="B2359" s="1" t="str">
        <f aca="false">TRIM(A2359)</f>
        <v># 10%</v>
      </c>
    </row>
    <row r="2360" customFormat="false" ht="12.75" hidden="false" customHeight="true" outlineLevel="0" collapsed="false">
      <c r="A2360" s="1" t="s">
        <v>1784</v>
      </c>
      <c r="B2360" s="1" t="str">
        <f aca="false">TRIM(A2360)</f>
        <v>+4, 6, PIDGEY</v>
      </c>
    </row>
    <row r="2361" customFormat="false" ht="12.75" hidden="false" customHeight="true" outlineLevel="0" collapsed="false">
      <c r="A2361" s="1" t="s">
        <v>1785</v>
      </c>
      <c r="B2361" s="1" t="str">
        <f aca="false">TRIM(A2361)</f>
        <v>+4, 6, RATTATA</v>
      </c>
    </row>
    <row r="2362" customFormat="false" ht="12.75" hidden="false" customHeight="true" outlineLevel="0" collapsed="false">
      <c r="A2362" s="1" t="s">
        <v>1785</v>
      </c>
      <c r="B2362" s="1" t="str">
        <f aca="false">TRIM(A2362)</f>
        <v>+4, 6, RATTATA</v>
      </c>
    </row>
    <row r="2363" customFormat="false" ht="12.75" hidden="false" customHeight="true" outlineLevel="0" collapsed="false">
      <c r="A2363" s="1" t="s">
        <v>1784</v>
      </c>
      <c r="B2363" s="1" t="str">
        <f aca="false">TRIM(A2363)</f>
        <v>+4, 6, PIDGEY</v>
      </c>
    </row>
    <row r="2364" customFormat="false" ht="12.75" hidden="false" customHeight="true" outlineLevel="0" collapsed="false">
      <c r="A2364" s="2"/>
      <c r="B2364" s="1" t="str">
        <f aca="false">TRIM(A2364)</f>
        <v/>
      </c>
    </row>
    <row r="2365" customFormat="false" ht="12.75" hidden="false" customHeight="true" outlineLevel="0" collapsed="false">
      <c r="A2365" s="1" t="s">
        <v>1210</v>
      </c>
      <c r="B2365" s="1" t="str">
        <f aca="false">TRIM(A2365)</f>
        <v># 5%</v>
      </c>
    </row>
    <row r="2366" customFormat="false" ht="12.75" hidden="false" customHeight="true" outlineLevel="0" collapsed="false">
      <c r="A2366" s="1" t="s">
        <v>1786</v>
      </c>
      <c r="B2366" s="1" t="str">
        <f aca="false">TRIM(A2366)</f>
        <v>+5, 8, MEOWTH</v>
      </c>
    </row>
    <row r="2367" customFormat="false" ht="12.75" hidden="false" customHeight="true" outlineLevel="0" collapsed="false">
      <c r="A2367" s="1" t="s">
        <v>1787</v>
      </c>
      <c r="B2367" s="1" t="str">
        <f aca="false">TRIM(A2367)</f>
        <v>+5, 8, FARFETCH'D</v>
      </c>
    </row>
    <row r="2368" customFormat="false" ht="12.75" hidden="false" customHeight="true" outlineLevel="0" collapsed="false">
      <c r="A2368" s="2"/>
      <c r="B2368" s="1" t="str">
        <f aca="false">TRIM(A2368)</f>
        <v/>
      </c>
    </row>
    <row r="2369" customFormat="false" ht="12.75" hidden="false" customHeight="true" outlineLevel="0" collapsed="false">
      <c r="A2369" s="1" t="s">
        <v>1211</v>
      </c>
      <c r="B2369" s="1" t="str">
        <f aca="false">TRIM(A2369)</f>
        <v># 4%</v>
      </c>
    </row>
    <row r="2370" customFormat="false" ht="12.75" hidden="false" customHeight="true" outlineLevel="0" collapsed="false">
      <c r="A2370" s="1" t="s">
        <v>1788</v>
      </c>
      <c r="B2370" s="1" t="str">
        <f aca="false">TRIM(A2370)</f>
        <v>+5, 8, MAGNEMITE</v>
      </c>
    </row>
    <row r="2371" customFormat="false" ht="12.75" hidden="false" customHeight="true" outlineLevel="0" collapsed="false">
      <c r="A2371" s="1" t="s">
        <v>1789</v>
      </c>
      <c r="B2371" s="1" t="str">
        <f aca="false">TRIM(A2371)</f>
        <v>+5, 8, GROWLITHE</v>
      </c>
    </row>
    <row r="2372" customFormat="false" ht="12.75" hidden="false" customHeight="true" outlineLevel="0" collapsed="false">
      <c r="A2372" s="2"/>
      <c r="B2372" s="1" t="str">
        <f aca="false">TRIM(A2372)</f>
        <v/>
      </c>
    </row>
    <row r="2373" customFormat="false" ht="12.75" hidden="false" customHeight="true" outlineLevel="0" collapsed="false">
      <c r="A2373" s="1" t="s">
        <v>1212</v>
      </c>
      <c r="B2373" s="1" t="str">
        <f aca="false">TRIM(A2373)</f>
        <v># 1%</v>
      </c>
    </row>
    <row r="2374" customFormat="false" ht="12.75" hidden="false" customHeight="true" outlineLevel="0" collapsed="false">
      <c r="A2374" s="1" t="s">
        <v>1790</v>
      </c>
      <c r="B2374" s="1" t="str">
        <f aca="false">TRIM(A2374)</f>
        <v>+7, 7, MAGNEMITE</v>
      </c>
    </row>
    <row r="2375" customFormat="false" ht="12.75" hidden="false" customHeight="true" outlineLevel="0" collapsed="false">
      <c r="A2375" s="1" t="s">
        <v>2706</v>
      </c>
      <c r="B2375" s="1" t="str">
        <f aca="false">TRIM(A2375)</f>
        <v>+7, 7, GROWLITHE , &lt;null&gt;, &lt;null&gt;, &lt;null&gt;</v>
      </c>
    </row>
    <row r="2376" customFormat="false" ht="12.75" hidden="false" customHeight="true" outlineLevel="0" collapsed="false">
      <c r="A2376" s="2"/>
      <c r="B2376" s="1" t="str">
        <f aca="false">TRIM(A2376)</f>
        <v/>
      </c>
    </row>
    <row r="2377" customFormat="false" ht="12.75" hidden="false" customHeight="true" outlineLevel="0" collapsed="false">
      <c r="A2377" s="1" t="s">
        <v>2536</v>
      </c>
      <c r="B2377" s="1" t="str">
        <f aca="false">TRIM(A2377)</f>
        <v>NEW ROUTE</v>
      </c>
    </row>
    <row r="2378" customFormat="false" ht="12.75" hidden="false" customHeight="true" outlineLevel="0" collapsed="false">
      <c r="A2378" s="1" t="s">
        <v>2707</v>
      </c>
      <c r="B2378" s="1" t="str">
        <f aca="false">TRIM(A2378)</f>
        <v>+3, 21, 0,</v>
      </c>
    </row>
    <row r="2379" customFormat="false" ht="12.75" hidden="false" customHeight="true" outlineLevel="0" collapsed="false">
      <c r="A2379" s="1" t="s">
        <v>2568</v>
      </c>
      <c r="B2379" s="1" t="str">
        <f aca="false">TRIM(A2379)</f>
        <v>21, # 20%</v>
      </c>
    </row>
    <row r="2380" customFormat="false" ht="12.75" hidden="false" customHeight="true" outlineLevel="0" collapsed="false">
      <c r="A2380" s="1" t="s">
        <v>1793</v>
      </c>
      <c r="B2380" s="1" t="str">
        <f aca="false">TRIM(A2380)</f>
        <v>7, 9, SPEAROW</v>
      </c>
    </row>
    <row r="2381" customFormat="false" ht="12.75" hidden="false" customHeight="true" outlineLevel="0" collapsed="false">
      <c r="A2381" s="1" t="s">
        <v>1794</v>
      </c>
      <c r="B2381" s="1" t="str">
        <f aca="false">TRIM(A2381)</f>
        <v>+7, 9, PIDGEY</v>
      </c>
    </row>
    <row r="2382" customFormat="false" ht="12.75" hidden="false" customHeight="true" outlineLevel="0" collapsed="false">
      <c r="A2382" s="2"/>
      <c r="B2382" s="1" t="str">
        <f aca="false">TRIM(A2382)</f>
        <v/>
      </c>
    </row>
    <row r="2383" customFormat="false" ht="12.75" hidden="false" customHeight="true" outlineLevel="0" collapsed="false">
      <c r="A2383" s="1" t="s">
        <v>1209</v>
      </c>
      <c r="B2383" s="1" t="str">
        <f aca="false">TRIM(A2383)</f>
        <v># 10%</v>
      </c>
    </row>
    <row r="2384" customFormat="false" ht="12.75" hidden="false" customHeight="true" outlineLevel="0" collapsed="false">
      <c r="A2384" s="1" t="s">
        <v>1795</v>
      </c>
      <c r="B2384" s="1" t="str">
        <f aca="false">TRIM(A2384)</f>
        <v>+8, 10, NIDORAN\sf</v>
      </c>
    </row>
    <row r="2385" customFormat="false" ht="12.75" hidden="false" customHeight="true" outlineLevel="0" collapsed="false">
      <c r="A2385" s="1" t="s">
        <v>1796</v>
      </c>
      <c r="B2385" s="1" t="str">
        <f aca="false">TRIM(A2385)</f>
        <v>+8, 10, NIDORAN\sm</v>
      </c>
    </row>
    <row r="2386" customFormat="false" ht="12.75" hidden="false" customHeight="true" outlineLevel="0" collapsed="false">
      <c r="A2386" s="1" t="s">
        <v>1797</v>
      </c>
      <c r="B2386" s="1" t="str">
        <f aca="false">TRIM(A2386)</f>
        <v>+8, 10, EKANS</v>
      </c>
    </row>
    <row r="2387" customFormat="false" ht="12.75" hidden="false" customHeight="true" outlineLevel="0" collapsed="false">
      <c r="A2387" s="1" t="s">
        <v>1798</v>
      </c>
      <c r="B2387" s="1" t="str">
        <f aca="false">TRIM(A2387)</f>
        <v>+8, 10, SANDSHREW</v>
      </c>
    </row>
    <row r="2388" customFormat="false" ht="12.75" hidden="false" customHeight="true" outlineLevel="0" collapsed="false">
      <c r="A2388" s="2"/>
      <c r="B2388" s="1" t="str">
        <f aca="false">TRIM(A2388)</f>
        <v/>
      </c>
    </row>
    <row r="2389" customFormat="false" ht="12.75" hidden="false" customHeight="true" outlineLevel="0" collapsed="false">
      <c r="A2389" s="1" t="s">
        <v>1210</v>
      </c>
      <c r="B2389" s="1" t="str">
        <f aca="false">TRIM(A2389)</f>
        <v># 5%</v>
      </c>
    </row>
    <row r="2390" customFormat="false" ht="12.75" hidden="false" customHeight="true" outlineLevel="0" collapsed="false">
      <c r="A2390" s="1" t="s">
        <v>1799</v>
      </c>
      <c r="B2390" s="1" t="str">
        <f aca="false">TRIM(A2390)</f>
        <v>+9, 10, JIGGLYPUFF</v>
      </c>
    </row>
    <row r="2391" customFormat="false" ht="12.75" hidden="false" customHeight="true" outlineLevel="0" collapsed="false">
      <c r="A2391" s="1" t="s">
        <v>1800</v>
      </c>
      <c r="B2391" s="1" t="str">
        <f aca="false">TRIM(A2391)</f>
        <v>+9, 10, CLEFAIRY</v>
      </c>
    </row>
    <row r="2392" customFormat="false" ht="12.75" hidden="false" customHeight="true" outlineLevel="0" collapsed="false">
      <c r="A2392" s="2"/>
      <c r="B2392" s="1" t="str">
        <f aca="false">TRIM(A2392)</f>
        <v/>
      </c>
    </row>
    <row r="2393" customFormat="false" ht="12.75" hidden="false" customHeight="true" outlineLevel="0" collapsed="false">
      <c r="A2393" s="1" t="s">
        <v>1211</v>
      </c>
      <c r="B2393" s="1" t="str">
        <f aca="false">TRIM(A2393)</f>
        <v># 4%</v>
      </c>
    </row>
    <row r="2394" customFormat="false" ht="12.75" hidden="false" customHeight="true" outlineLevel="0" collapsed="false">
      <c r="A2394" s="1" t="s">
        <v>1801</v>
      </c>
      <c r="B2394" s="1" t="str">
        <f aca="false">TRIM(A2394)</f>
        <v>+9, 11, MACHOP</v>
      </c>
    </row>
    <row r="2395" customFormat="false" ht="12.75" hidden="false" customHeight="true" outlineLevel="0" collapsed="false">
      <c r="A2395" s="1" t="s">
        <v>1801</v>
      </c>
      <c r="B2395" s="1" t="str">
        <f aca="false">TRIM(A2395)</f>
        <v>+9, 11, MACHOP</v>
      </c>
    </row>
    <row r="2396" customFormat="false" ht="12.75" hidden="false" customHeight="true" outlineLevel="0" collapsed="false">
      <c r="A2396" s="2"/>
      <c r="B2396" s="1" t="str">
        <f aca="false">TRIM(A2396)</f>
        <v/>
      </c>
    </row>
    <row r="2397" customFormat="false" ht="12.75" hidden="false" customHeight="true" outlineLevel="0" collapsed="false">
      <c r="A2397" s="1" t="s">
        <v>1212</v>
      </c>
      <c r="B2397" s="1" t="str">
        <f aca="false">TRIM(A2397)</f>
        <v># 1%</v>
      </c>
    </row>
    <row r="2398" customFormat="false" ht="12.75" hidden="false" customHeight="true" outlineLevel="0" collapsed="false">
      <c r="A2398" s="1" t="s">
        <v>1802</v>
      </c>
      <c r="B2398" s="1" t="str">
        <f aca="false">TRIM(A2398)</f>
        <v>+10, 13, NIDORAN\sf</v>
      </c>
    </row>
    <row r="2399" customFormat="false" ht="12.75" hidden="false" customHeight="true" outlineLevel="0" collapsed="false">
      <c r="A2399" s="1" t="s">
        <v>2708</v>
      </c>
      <c r="B2399" s="1" t="str">
        <f aca="false">TRIM(A2399)</f>
        <v>+10, 13, NIDORAN\sm , &lt;null&gt;, &lt;null&gt;, &lt;null&gt;</v>
      </c>
    </row>
    <row r="2400" customFormat="false" ht="12.75" hidden="false" customHeight="true" outlineLevel="0" collapsed="false">
      <c r="A2400" s="2"/>
      <c r="B2400" s="1" t="str">
        <f aca="false">TRIM(A2400)</f>
        <v/>
      </c>
    </row>
    <row r="2401" customFormat="false" ht="12.75" hidden="false" customHeight="true" outlineLevel="0" collapsed="false">
      <c r="A2401" s="1" t="s">
        <v>2536</v>
      </c>
      <c r="B2401" s="1" t="str">
        <f aca="false">TRIM(A2401)</f>
        <v>NEW ROUTE</v>
      </c>
    </row>
    <row r="2402" customFormat="false" ht="12.75" hidden="false" customHeight="true" outlineLevel="0" collapsed="false">
      <c r="A2402" s="1" t="s">
        <v>2709</v>
      </c>
      <c r="B2402" s="1" t="str">
        <f aca="false">TRIM(A2402)</f>
        <v>+3, 22, 0,</v>
      </c>
    </row>
    <row r="2403" customFormat="false" ht="12.75" hidden="false" customHeight="true" outlineLevel="0" collapsed="false">
      <c r="A2403" s="1" t="s">
        <v>2568</v>
      </c>
      <c r="B2403" s="1" t="str">
        <f aca="false">TRIM(A2403)</f>
        <v>21, # 20%</v>
      </c>
    </row>
    <row r="2404" customFormat="false" ht="12.75" hidden="false" customHeight="true" outlineLevel="0" collapsed="false">
      <c r="A2404" s="1" t="s">
        <v>1805</v>
      </c>
      <c r="B2404" s="1" t="str">
        <f aca="false">TRIM(A2404)</f>
        <v>13, 16, RATTATA</v>
      </c>
    </row>
    <row r="2405" customFormat="false" ht="12.75" hidden="false" customHeight="true" outlineLevel="0" collapsed="false">
      <c r="A2405" s="1" t="s">
        <v>1806</v>
      </c>
      <c r="B2405" s="1" t="str">
        <f aca="false">TRIM(A2405)</f>
        <v>+13, 16, SPEAROW</v>
      </c>
    </row>
    <row r="2406" customFormat="false" ht="12.75" hidden="false" customHeight="true" outlineLevel="0" collapsed="false">
      <c r="A2406" s="2"/>
      <c r="B2406" s="1" t="str">
        <f aca="false">TRIM(A2406)</f>
        <v/>
      </c>
    </row>
    <row r="2407" customFormat="false" ht="12.75" hidden="false" customHeight="true" outlineLevel="0" collapsed="false">
      <c r="A2407" s="1" t="s">
        <v>1209</v>
      </c>
      <c r="B2407" s="1" t="str">
        <f aca="false">TRIM(A2407)</f>
        <v># 10%</v>
      </c>
    </row>
    <row r="2408" customFormat="false" ht="12.75" hidden="false" customHeight="true" outlineLevel="0" collapsed="false">
      <c r="A2408" s="1" t="s">
        <v>1807</v>
      </c>
      <c r="B2408" s="1" t="str">
        <f aca="false">TRIM(A2408)</f>
        <v>+14, 16, PSYDUCK</v>
      </c>
    </row>
    <row r="2409" customFormat="false" ht="12.75" hidden="false" customHeight="true" outlineLevel="0" collapsed="false">
      <c r="A2409" s="1" t="s">
        <v>1808</v>
      </c>
      <c r="B2409" s="1" t="str">
        <f aca="false">TRIM(A2409)</f>
        <v>+14, 16, NIDORAN\sm</v>
      </c>
    </row>
    <row r="2410" customFormat="false" ht="12.75" hidden="false" customHeight="true" outlineLevel="0" collapsed="false">
      <c r="A2410" s="1" t="s">
        <v>1809</v>
      </c>
      <c r="B2410" s="1" t="str">
        <f aca="false">TRIM(A2410)</f>
        <v>+14, 16, NIDORAN\sf</v>
      </c>
    </row>
    <row r="2411" customFormat="false" ht="12.75" hidden="false" customHeight="true" outlineLevel="0" collapsed="false">
      <c r="A2411" s="1" t="s">
        <v>1810</v>
      </c>
      <c r="B2411" s="1" t="str">
        <f aca="false">TRIM(A2411)</f>
        <v>+14, 16, EKANS</v>
      </c>
    </row>
    <row r="2412" customFormat="false" ht="12.75" hidden="false" customHeight="true" outlineLevel="0" collapsed="false">
      <c r="A2412" s="2"/>
      <c r="B2412" s="1" t="str">
        <f aca="false">TRIM(A2412)</f>
        <v/>
      </c>
    </row>
    <row r="2413" customFormat="false" ht="12.75" hidden="false" customHeight="true" outlineLevel="0" collapsed="false">
      <c r="A2413" s="1" t="s">
        <v>1210</v>
      </c>
      <c r="B2413" s="1" t="str">
        <f aca="false">TRIM(A2413)</f>
        <v># 5%</v>
      </c>
    </row>
    <row r="2414" customFormat="false" ht="12.75" hidden="false" customHeight="true" outlineLevel="0" collapsed="false">
      <c r="A2414" s="1" t="s">
        <v>1811</v>
      </c>
      <c r="B2414" s="1" t="str">
        <f aca="false">TRIM(A2414)</f>
        <v>+15, 15, JIGGLYPUFF</v>
      </c>
    </row>
    <row r="2415" customFormat="false" ht="12.75" hidden="false" customHeight="true" outlineLevel="0" collapsed="false">
      <c r="A2415" s="1" t="s">
        <v>1812</v>
      </c>
      <c r="B2415" s="1" t="str">
        <f aca="false">TRIM(A2415)</f>
        <v>+15, 15, CLEFAIRY</v>
      </c>
    </row>
    <row r="2416" customFormat="false" ht="12.75" hidden="false" customHeight="true" outlineLevel="0" collapsed="false">
      <c r="A2416" s="2"/>
      <c r="B2416" s="1" t="str">
        <f aca="false">TRIM(A2416)</f>
        <v/>
      </c>
    </row>
    <row r="2417" customFormat="false" ht="12.75" hidden="false" customHeight="true" outlineLevel="0" collapsed="false">
      <c r="A2417" s="1" t="s">
        <v>1211</v>
      </c>
      <c r="B2417" s="1" t="str">
        <f aca="false">TRIM(A2417)</f>
        <v># 4%</v>
      </c>
    </row>
    <row r="2418" customFormat="false" ht="12.75" hidden="false" customHeight="true" outlineLevel="0" collapsed="false">
      <c r="A2418" s="1" t="s">
        <v>1813</v>
      </c>
      <c r="B2418" s="1" t="str">
        <f aca="false">TRIM(A2418)</f>
        <v>+13, 18, MANKEY</v>
      </c>
    </row>
    <row r="2419" customFormat="false" ht="12.75" hidden="false" customHeight="true" outlineLevel="0" collapsed="false">
      <c r="A2419" s="1" t="s">
        <v>1814</v>
      </c>
      <c r="B2419" s="1" t="str">
        <f aca="false">TRIM(A2419)</f>
        <v>+13, 18, MACHOP</v>
      </c>
    </row>
    <row r="2420" customFormat="false" ht="12.75" hidden="false" customHeight="true" outlineLevel="0" collapsed="false">
      <c r="A2420" s="2"/>
      <c r="B2420" s="1" t="str">
        <f aca="false">TRIM(A2420)</f>
        <v/>
      </c>
    </row>
    <row r="2421" customFormat="false" ht="12.75" hidden="false" customHeight="true" outlineLevel="0" collapsed="false">
      <c r="A2421" s="1" t="s">
        <v>1212</v>
      </c>
      <c r="B2421" s="1" t="str">
        <f aca="false">TRIM(A2421)</f>
        <v># 1%</v>
      </c>
    </row>
    <row r="2422" customFormat="false" ht="12.75" hidden="false" customHeight="true" outlineLevel="0" collapsed="false">
      <c r="A2422" s="1" t="s">
        <v>1815</v>
      </c>
      <c r="B2422" s="1" t="str">
        <f aca="false">TRIM(A2422)</f>
        <v>+16, 16, NIDORINO</v>
      </c>
    </row>
    <row r="2423" customFormat="false" ht="12.75" hidden="false" customHeight="true" outlineLevel="0" collapsed="false">
      <c r="A2423" s="1" t="s">
        <v>2710</v>
      </c>
      <c r="B2423" s="1" t="str">
        <f aca="false">TRIM(A2423)</f>
        <v>+16, 16, NIDORINA</v>
      </c>
    </row>
    <row r="2424" customFormat="false" ht="12.75" hidden="false" customHeight="true" outlineLevel="0" collapsed="false">
      <c r="A2424" s="1" t="s">
        <v>2711</v>
      </c>
      <c r="B2424" s="1" t="str">
        <f aca="false">TRIM(A2424)</f>
        <v>2, 38, 42, TENTACOOL</v>
      </c>
    </row>
    <row r="2425" customFormat="false" ht="12.75" hidden="false" customHeight="true" outlineLevel="0" collapsed="false">
      <c r="A2425" s="1" t="s">
        <v>1817</v>
      </c>
      <c r="B2425" s="1" t="str">
        <f aca="false">TRIM(A2425)</f>
        <v>+40, 44, PSYDUCK</v>
      </c>
    </row>
    <row r="2426" customFormat="false" ht="12.75" hidden="false" customHeight="true" outlineLevel="0" collapsed="false">
      <c r="A2426" s="1" t="s">
        <v>1818</v>
      </c>
      <c r="B2426" s="1" t="str">
        <f aca="false">TRIM(A2426)</f>
        <v>+42, 46, TENTACRUEL</v>
      </c>
    </row>
    <row r="2427" customFormat="false" ht="12.75" hidden="false" customHeight="true" outlineLevel="0" collapsed="false">
      <c r="A2427" s="1" t="s">
        <v>1347</v>
      </c>
      <c r="B2427" s="1" t="str">
        <f aca="false">TRIM(A2427)</f>
        <v>+42, 46, GOLDUCK</v>
      </c>
    </row>
    <row r="2428" customFormat="false" ht="12.75" hidden="false" customHeight="true" outlineLevel="0" collapsed="false">
      <c r="A2428" s="1" t="s">
        <v>2571</v>
      </c>
      <c r="B2428" s="1" t="str">
        <f aca="false">TRIM(A2428)</f>
        <v>+44, 48, VAPOREON</v>
      </c>
    </row>
    <row r="2429" customFormat="false" ht="12.75" hidden="false" customHeight="true" outlineLevel="0" collapsed="false">
      <c r="A2429" s="1" t="s">
        <v>2572</v>
      </c>
      <c r="B2429" s="1" t="str">
        <f aca="false">TRIM(A2429)</f>
        <v>20, # old rod:</v>
      </c>
    </row>
    <row r="2430" customFormat="false" ht="12.75" hidden="false" customHeight="true" outlineLevel="0" collapsed="false">
      <c r="A2430" s="1" t="s">
        <v>1349</v>
      </c>
      <c r="B2430" s="1" t="str">
        <f aca="false">TRIM(A2430)</f>
        <v>19, 26, MAGIKARP</v>
      </c>
    </row>
    <row r="2431" customFormat="false" ht="12.75" hidden="false" customHeight="true" outlineLevel="0" collapsed="false">
      <c r="A2431" s="1" t="s">
        <v>1819</v>
      </c>
      <c r="B2431" s="1" t="str">
        <f aca="false">TRIM(A2431)</f>
        <v>+19, 26, GYARADOS</v>
      </c>
    </row>
    <row r="2432" customFormat="false" ht="12.75" hidden="false" customHeight="true" outlineLevel="0" collapsed="false">
      <c r="A2432" s="2"/>
      <c r="B2432" s="1" t="str">
        <f aca="false">TRIM(A2432)</f>
        <v/>
      </c>
    </row>
    <row r="2433" customFormat="false" ht="12.75" hidden="false" customHeight="true" outlineLevel="0" collapsed="false">
      <c r="A2433" s="1" t="s">
        <v>1268</v>
      </c>
      <c r="B2433" s="1" t="str">
        <f aca="false">TRIM(A2433)</f>
        <v># good rod:</v>
      </c>
    </row>
    <row r="2434" customFormat="false" ht="12.75" hidden="false" customHeight="true" outlineLevel="0" collapsed="false">
      <c r="A2434" s="1" t="s">
        <v>1820</v>
      </c>
      <c r="B2434" s="1" t="str">
        <f aca="false">TRIM(A2434)</f>
        <v>+29, 33, SLOWPOKE</v>
      </c>
    </row>
    <row r="2435" customFormat="false" ht="12.75" hidden="false" customHeight="true" outlineLevel="0" collapsed="false">
      <c r="A2435" s="1" t="s">
        <v>1454</v>
      </c>
      <c r="B2435" s="1" t="str">
        <f aca="false">TRIM(A2435)</f>
        <v>+30, 35, KRABBY</v>
      </c>
    </row>
    <row r="2436" customFormat="false" ht="12.75" hidden="false" customHeight="true" outlineLevel="0" collapsed="false">
      <c r="A2436" s="1" t="s">
        <v>1821</v>
      </c>
      <c r="B2436" s="1" t="str">
        <f aca="false">TRIM(A2436)</f>
        <v>+30, 35, PSYDUCK</v>
      </c>
    </row>
    <row r="2437" customFormat="false" ht="12.75" hidden="false" customHeight="true" outlineLevel="0" collapsed="false">
      <c r="A2437" s="2"/>
      <c r="B2437" s="1" t="str">
        <f aca="false">TRIM(A2437)</f>
        <v/>
      </c>
    </row>
    <row r="2438" customFormat="false" ht="12.75" hidden="false" customHeight="true" outlineLevel="0" collapsed="false">
      <c r="A2438" s="1" t="s">
        <v>1272</v>
      </c>
      <c r="B2438" s="1" t="str">
        <f aca="false">TRIM(A2438)</f>
        <v># super rod:</v>
      </c>
    </row>
    <row r="2439" customFormat="false" ht="12.75" hidden="false" customHeight="true" outlineLevel="0" collapsed="false">
      <c r="A2439" s="1" t="s">
        <v>1822</v>
      </c>
      <c r="B2439" s="1" t="str">
        <f aca="false">TRIM(A2439)</f>
        <v>+36, 40, SLOWBRO</v>
      </c>
    </row>
    <row r="2440" customFormat="false" ht="12.75" hidden="false" customHeight="true" outlineLevel="0" collapsed="false">
      <c r="A2440" s="1" t="s">
        <v>1823</v>
      </c>
      <c r="B2440" s="1" t="str">
        <f aca="false">TRIM(A2440)</f>
        <v>+36, 40, GYARADOS</v>
      </c>
    </row>
    <row r="2441" customFormat="false" ht="12.75" hidden="false" customHeight="true" outlineLevel="0" collapsed="false">
      <c r="A2441" s="1" t="s">
        <v>1824</v>
      </c>
      <c r="B2441" s="1" t="str">
        <f aca="false">TRIM(A2441)</f>
        <v>+38, 42, GOLDUCK</v>
      </c>
    </row>
    <row r="2442" customFormat="false" ht="12.75" hidden="false" customHeight="true" outlineLevel="0" collapsed="false">
      <c r="A2442" s="1" t="s">
        <v>1825</v>
      </c>
      <c r="B2442" s="1" t="str">
        <f aca="false">TRIM(A2442)</f>
        <v>+38, 42, KINGLER</v>
      </c>
    </row>
    <row r="2443" customFormat="false" ht="12.75" hidden="false" customHeight="true" outlineLevel="0" collapsed="false">
      <c r="A2443" s="1" t="s">
        <v>2712</v>
      </c>
      <c r="B2443" s="1" t="str">
        <f aca="false">TRIM(A2443)</f>
        <v>+40, 44, SLOWMATE</v>
      </c>
    </row>
    <row r="2444" customFormat="false" ht="12.75" hidden="false" customHeight="true" outlineLevel="0" collapsed="false">
      <c r="A2444" s="1" t="s">
        <v>2536</v>
      </c>
      <c r="B2444" s="1" t="str">
        <f aca="false">TRIM(A2444)</f>
        <v>NEW ROUTE</v>
      </c>
    </row>
    <row r="2445" customFormat="false" ht="12.75" hidden="false" customHeight="true" outlineLevel="0" collapsed="false">
      <c r="A2445" s="1" t="s">
        <v>2713</v>
      </c>
      <c r="B2445" s="1" t="str">
        <f aca="false">TRIM(A2445)</f>
        <v>+3, 23, 0,</v>
      </c>
    </row>
    <row r="2446" customFormat="false" ht="12.75" hidden="false" customHeight="true" outlineLevel="0" collapsed="false">
      <c r="A2446" s="1" t="s">
        <v>2568</v>
      </c>
      <c r="B2446" s="1" t="str">
        <f aca="false">TRIM(A2446)</f>
        <v>21, # 20%</v>
      </c>
    </row>
    <row r="2447" customFormat="false" ht="12.75" hidden="false" customHeight="true" outlineLevel="0" collapsed="false">
      <c r="A2447" s="1" t="s">
        <v>1828</v>
      </c>
      <c r="B2447" s="1" t="str">
        <f aca="false">TRIM(A2447)</f>
        <v>15, 17, PIDGEY</v>
      </c>
    </row>
    <row r="2448" customFormat="false" ht="12.75" hidden="false" customHeight="true" outlineLevel="0" collapsed="false">
      <c r="A2448" s="1" t="s">
        <v>1829</v>
      </c>
      <c r="B2448" s="1" t="str">
        <f aca="false">TRIM(A2448)</f>
        <v>+15, 17, MEOWTH</v>
      </c>
    </row>
    <row r="2449" customFormat="false" ht="12.75" hidden="false" customHeight="true" outlineLevel="0" collapsed="false">
      <c r="A2449" s="2"/>
      <c r="B2449" s="1" t="str">
        <f aca="false">TRIM(A2449)</f>
        <v/>
      </c>
    </row>
    <row r="2450" customFormat="false" ht="12.75" hidden="false" customHeight="true" outlineLevel="0" collapsed="false">
      <c r="A2450" s="1" t="s">
        <v>1209</v>
      </c>
      <c r="B2450" s="1" t="str">
        <f aca="false">TRIM(A2450)</f>
        <v># 10%</v>
      </c>
    </row>
    <row r="2451" customFormat="false" ht="12.75" hidden="false" customHeight="true" outlineLevel="0" collapsed="false">
      <c r="A2451" s="1" t="s">
        <v>1830</v>
      </c>
      <c r="B2451" s="1" t="str">
        <f aca="false">TRIM(A2451)</f>
        <v>+16, 19, ODDISH</v>
      </c>
    </row>
    <row r="2452" customFormat="false" ht="12.75" hidden="false" customHeight="true" outlineLevel="0" collapsed="false">
      <c r="A2452" s="1" t="s">
        <v>1831</v>
      </c>
      <c r="B2452" s="1" t="str">
        <f aca="false">TRIM(A2452)</f>
        <v>+16, 19, BELLSPROUT</v>
      </c>
    </row>
    <row r="2453" customFormat="false" ht="12.75" hidden="false" customHeight="true" outlineLevel="0" collapsed="false">
      <c r="A2453" s="1" t="s">
        <v>1832</v>
      </c>
      <c r="B2453" s="1" t="str">
        <f aca="false">TRIM(A2453)</f>
        <v>+16, 19, EKANS</v>
      </c>
    </row>
    <row r="2454" customFormat="false" ht="12.75" hidden="false" customHeight="true" outlineLevel="0" collapsed="false">
      <c r="A2454" s="1" t="s">
        <v>1833</v>
      </c>
      <c r="B2454" s="1" t="str">
        <f aca="false">TRIM(A2454)</f>
        <v>+16, 19, PARAS</v>
      </c>
    </row>
    <row r="2455" customFormat="false" ht="12.75" hidden="false" customHeight="true" outlineLevel="0" collapsed="false">
      <c r="A2455" s="2"/>
      <c r="B2455" s="1" t="str">
        <f aca="false">TRIM(A2455)</f>
        <v/>
      </c>
    </row>
    <row r="2456" customFormat="false" ht="12.75" hidden="false" customHeight="true" outlineLevel="0" collapsed="false">
      <c r="A2456" s="1" t="s">
        <v>1210</v>
      </c>
      <c r="B2456" s="1" t="str">
        <f aca="false">TRIM(A2456)</f>
        <v># 5%</v>
      </c>
    </row>
    <row r="2457" customFormat="false" ht="12.75" hidden="false" customHeight="true" outlineLevel="0" collapsed="false">
      <c r="A2457" s="1" t="s">
        <v>1834</v>
      </c>
      <c r="B2457" s="1" t="str">
        <f aca="false">TRIM(A2457)</f>
        <v>+17, 17, VULPIX</v>
      </c>
    </row>
    <row r="2458" customFormat="false" ht="12.75" hidden="false" customHeight="true" outlineLevel="0" collapsed="false">
      <c r="A2458" s="1" t="s">
        <v>1835</v>
      </c>
      <c r="B2458" s="1" t="str">
        <f aca="false">TRIM(A2458)</f>
        <v>+17, 17, GROWLITHE</v>
      </c>
    </row>
    <row r="2459" customFormat="false" ht="12.75" hidden="false" customHeight="true" outlineLevel="0" collapsed="false">
      <c r="A2459" s="2"/>
      <c r="B2459" s="1" t="str">
        <f aca="false">TRIM(A2459)</f>
        <v/>
      </c>
    </row>
    <row r="2460" customFormat="false" ht="12.75" hidden="false" customHeight="true" outlineLevel="0" collapsed="false">
      <c r="A2460" s="1" t="s">
        <v>1211</v>
      </c>
      <c r="B2460" s="1" t="str">
        <f aca="false">TRIM(A2460)</f>
        <v># 4%</v>
      </c>
    </row>
    <row r="2461" customFormat="false" ht="12.75" hidden="false" customHeight="true" outlineLevel="0" collapsed="false">
      <c r="A2461" s="1" t="s">
        <v>1836</v>
      </c>
      <c r="B2461" s="1" t="str">
        <f aca="false">TRIM(A2461)</f>
        <v>+16, 18, PIKACHU</v>
      </c>
    </row>
    <row r="2462" customFormat="false" ht="12.75" hidden="false" customHeight="true" outlineLevel="0" collapsed="false">
      <c r="A2462" s="1" t="s">
        <v>1837</v>
      </c>
      <c r="B2462" s="1" t="str">
        <f aca="false">TRIM(A2462)</f>
        <v>+16, 18, EEVEE</v>
      </c>
    </row>
    <row r="2463" customFormat="false" ht="12.75" hidden="false" customHeight="true" outlineLevel="0" collapsed="false">
      <c r="A2463" s="2"/>
      <c r="B2463" s="1" t="str">
        <f aca="false">TRIM(A2463)</f>
        <v/>
      </c>
    </row>
    <row r="2464" customFormat="false" ht="12.75" hidden="false" customHeight="true" outlineLevel="0" collapsed="false">
      <c r="A2464" s="1" t="s">
        <v>1212</v>
      </c>
      <c r="B2464" s="1" t="str">
        <f aca="false">TRIM(A2464)</f>
        <v># 1%</v>
      </c>
    </row>
    <row r="2465" customFormat="false" ht="12.75" hidden="false" customHeight="true" outlineLevel="0" collapsed="false">
      <c r="A2465" s="1" t="s">
        <v>1838</v>
      </c>
      <c r="B2465" s="1" t="str">
        <f aca="false">TRIM(A2465)</f>
        <v>+20, 20, FEAROW</v>
      </c>
    </row>
    <row r="2466" customFormat="false" ht="12.75" hidden="false" customHeight="true" outlineLevel="0" collapsed="false">
      <c r="A2466" s="1" t="s">
        <v>2714</v>
      </c>
      <c r="B2466" s="1" t="str">
        <f aca="false">TRIM(A2466)</f>
        <v>+20, 20, WEEPINBELL , &lt;null&gt;, &lt;null&gt;, &lt;null&gt;</v>
      </c>
    </row>
    <row r="2467" customFormat="false" ht="12.75" hidden="false" customHeight="true" outlineLevel="0" collapsed="false">
      <c r="A2467" s="2"/>
      <c r="B2467" s="1" t="str">
        <f aca="false">TRIM(A2467)</f>
        <v/>
      </c>
    </row>
    <row r="2468" customFormat="false" ht="12.75" hidden="false" customHeight="true" outlineLevel="0" collapsed="false">
      <c r="A2468" s="1" t="s">
        <v>2536</v>
      </c>
      <c r="B2468" s="1" t="str">
        <f aca="false">TRIM(A2468)</f>
        <v>NEW ROUTE</v>
      </c>
    </row>
    <row r="2469" customFormat="false" ht="12.75" hidden="false" customHeight="true" outlineLevel="0" collapsed="false">
      <c r="A2469" s="1" t="s">
        <v>2715</v>
      </c>
      <c r="B2469" s="1" t="str">
        <f aca="false">TRIM(A2469)</f>
        <v>+3, 24, 0,</v>
      </c>
    </row>
    <row r="2470" customFormat="false" ht="12.75" hidden="false" customHeight="true" outlineLevel="0" collapsed="false">
      <c r="A2470" s="1" t="s">
        <v>2568</v>
      </c>
      <c r="B2470" s="1" t="str">
        <f aca="false">TRIM(A2470)</f>
        <v>21, # 20%</v>
      </c>
    </row>
    <row r="2471" customFormat="false" ht="12.75" hidden="false" customHeight="true" outlineLevel="0" collapsed="false">
      <c r="A2471" s="1" t="s">
        <v>1828</v>
      </c>
      <c r="B2471" s="1" t="str">
        <f aca="false">TRIM(A2471)</f>
        <v>15, 17, PIDGEY</v>
      </c>
    </row>
    <row r="2472" customFormat="false" ht="12.75" hidden="false" customHeight="true" outlineLevel="0" collapsed="false">
      <c r="A2472" s="1" t="s">
        <v>1829</v>
      </c>
      <c r="B2472" s="1" t="str">
        <f aca="false">TRIM(A2472)</f>
        <v>+15, 17, MEOWTH</v>
      </c>
    </row>
    <row r="2473" customFormat="false" ht="12.75" hidden="false" customHeight="true" outlineLevel="0" collapsed="false">
      <c r="A2473" s="2"/>
      <c r="B2473" s="1" t="str">
        <f aca="false">TRIM(A2473)</f>
        <v/>
      </c>
    </row>
    <row r="2474" customFormat="false" ht="12.75" hidden="false" customHeight="true" outlineLevel="0" collapsed="false">
      <c r="A2474" s="1" t="s">
        <v>1209</v>
      </c>
      <c r="B2474" s="1" t="str">
        <f aca="false">TRIM(A2474)</f>
        <v># 10%</v>
      </c>
    </row>
    <row r="2475" customFormat="false" ht="12.75" hidden="false" customHeight="true" outlineLevel="0" collapsed="false">
      <c r="A2475" s="1" t="s">
        <v>1830</v>
      </c>
      <c r="B2475" s="1" t="str">
        <f aca="false">TRIM(A2475)</f>
        <v>+16, 19, ODDISH</v>
      </c>
    </row>
    <row r="2476" customFormat="false" ht="12.75" hidden="false" customHeight="true" outlineLevel="0" collapsed="false">
      <c r="A2476" s="1" t="s">
        <v>1831</v>
      </c>
      <c r="B2476" s="1" t="str">
        <f aca="false">TRIM(A2476)</f>
        <v>+16, 19, BELLSPROUT</v>
      </c>
    </row>
    <row r="2477" customFormat="false" ht="12.75" hidden="false" customHeight="true" outlineLevel="0" collapsed="false">
      <c r="A2477" s="1" t="s">
        <v>1832</v>
      </c>
      <c r="B2477" s="1" t="str">
        <f aca="false">TRIM(A2477)</f>
        <v>+16, 19, EKANS</v>
      </c>
    </row>
    <row r="2478" customFormat="false" ht="12.75" hidden="false" customHeight="true" outlineLevel="0" collapsed="false">
      <c r="A2478" s="1" t="s">
        <v>1833</v>
      </c>
      <c r="B2478" s="1" t="str">
        <f aca="false">TRIM(A2478)</f>
        <v>+16, 19, PARAS</v>
      </c>
    </row>
    <row r="2479" customFormat="false" ht="12.75" hidden="false" customHeight="true" outlineLevel="0" collapsed="false">
      <c r="A2479" s="2"/>
      <c r="B2479" s="1" t="str">
        <f aca="false">TRIM(A2479)</f>
        <v/>
      </c>
    </row>
    <row r="2480" customFormat="false" ht="12.75" hidden="false" customHeight="true" outlineLevel="0" collapsed="false">
      <c r="A2480" s="1" t="s">
        <v>1210</v>
      </c>
      <c r="B2480" s="1" t="str">
        <f aca="false">TRIM(A2480)</f>
        <v># 5%</v>
      </c>
    </row>
    <row r="2481" customFormat="false" ht="12.75" hidden="false" customHeight="true" outlineLevel="0" collapsed="false">
      <c r="A2481" s="1" t="s">
        <v>1834</v>
      </c>
      <c r="B2481" s="1" t="str">
        <f aca="false">TRIM(A2481)</f>
        <v>+17, 17, VULPIX</v>
      </c>
    </row>
    <row r="2482" customFormat="false" ht="12.75" hidden="false" customHeight="true" outlineLevel="0" collapsed="false">
      <c r="A2482" s="1" t="s">
        <v>1835</v>
      </c>
      <c r="B2482" s="1" t="str">
        <f aca="false">TRIM(A2482)</f>
        <v>+17, 17, GROWLITHE</v>
      </c>
    </row>
    <row r="2483" customFormat="false" ht="12.75" hidden="false" customHeight="true" outlineLevel="0" collapsed="false">
      <c r="A2483" s="2"/>
      <c r="B2483" s="1" t="str">
        <f aca="false">TRIM(A2483)</f>
        <v/>
      </c>
    </row>
    <row r="2484" customFormat="false" ht="12.75" hidden="false" customHeight="true" outlineLevel="0" collapsed="false">
      <c r="A2484" s="1" t="s">
        <v>1211</v>
      </c>
      <c r="B2484" s="1" t="str">
        <f aca="false">TRIM(A2484)</f>
        <v># 4%</v>
      </c>
    </row>
    <row r="2485" customFormat="false" ht="12.75" hidden="false" customHeight="true" outlineLevel="0" collapsed="false">
      <c r="A2485" s="1" t="s">
        <v>1836</v>
      </c>
      <c r="B2485" s="1" t="str">
        <f aca="false">TRIM(A2485)</f>
        <v>+16, 18, PIKACHU</v>
      </c>
    </row>
    <row r="2486" customFormat="false" ht="12.75" hidden="false" customHeight="true" outlineLevel="0" collapsed="false">
      <c r="A2486" s="1" t="s">
        <v>1837</v>
      </c>
      <c r="B2486" s="1" t="str">
        <f aca="false">TRIM(A2486)</f>
        <v>+16, 18, EEVEE</v>
      </c>
    </row>
    <row r="2487" customFormat="false" ht="12.75" hidden="false" customHeight="true" outlineLevel="0" collapsed="false">
      <c r="A2487" s="2"/>
      <c r="B2487" s="1" t="str">
        <f aca="false">TRIM(A2487)</f>
        <v/>
      </c>
    </row>
    <row r="2488" customFormat="false" ht="12.75" hidden="false" customHeight="true" outlineLevel="0" collapsed="false">
      <c r="A2488" s="1" t="s">
        <v>1212</v>
      </c>
      <c r="B2488" s="1" t="str">
        <f aca="false">TRIM(A2488)</f>
        <v># 1%</v>
      </c>
    </row>
    <row r="2489" customFormat="false" ht="12.75" hidden="false" customHeight="true" outlineLevel="0" collapsed="false">
      <c r="A2489" s="1" t="s">
        <v>1838</v>
      </c>
      <c r="B2489" s="1" t="str">
        <f aca="false">TRIM(A2489)</f>
        <v>+20, 20, FEAROW</v>
      </c>
    </row>
    <row r="2490" customFormat="false" ht="12.75" hidden="false" customHeight="true" outlineLevel="0" collapsed="false">
      <c r="A2490" s="1" t="s">
        <v>2716</v>
      </c>
      <c r="B2490" s="1" t="str">
        <f aca="false">TRIM(A2490)</f>
        <v>+20, 20, WEEPINBELL</v>
      </c>
    </row>
    <row r="2491" customFormat="false" ht="12.75" hidden="false" customHeight="true" outlineLevel="0" collapsed="false">
      <c r="A2491" s="1" t="s">
        <v>2711</v>
      </c>
      <c r="B2491" s="1" t="str">
        <f aca="false">TRIM(A2491)</f>
        <v>2, 38, 42, TENTACOOL</v>
      </c>
    </row>
    <row r="2492" customFormat="false" ht="12.75" hidden="false" customHeight="true" outlineLevel="0" collapsed="false">
      <c r="A2492" s="1" t="s">
        <v>1842</v>
      </c>
      <c r="B2492" s="1" t="str">
        <f aca="false">TRIM(A2492)</f>
        <v>+40, 44, SLOWPOKE</v>
      </c>
    </row>
    <row r="2493" customFormat="false" ht="12.75" hidden="false" customHeight="true" outlineLevel="0" collapsed="false">
      <c r="A2493" s="1" t="s">
        <v>1818</v>
      </c>
      <c r="B2493" s="1" t="str">
        <f aca="false">TRIM(A2493)</f>
        <v>+42, 46, TENTACRUEL</v>
      </c>
    </row>
    <row r="2494" customFormat="false" ht="12.75" hidden="false" customHeight="true" outlineLevel="0" collapsed="false">
      <c r="A2494" s="1" t="s">
        <v>1347</v>
      </c>
      <c r="B2494" s="1" t="str">
        <f aca="false">TRIM(A2494)</f>
        <v>+42, 46, GOLDUCK</v>
      </c>
    </row>
    <row r="2495" customFormat="false" ht="12.75" hidden="false" customHeight="true" outlineLevel="0" collapsed="false">
      <c r="A2495" s="1" t="s">
        <v>2717</v>
      </c>
      <c r="B2495" s="1" t="str">
        <f aca="false">TRIM(A2495)</f>
        <v>+44, 48, SLOWBRO</v>
      </c>
    </row>
    <row r="2496" customFormat="false" ht="12.75" hidden="false" customHeight="true" outlineLevel="0" collapsed="false">
      <c r="A2496" s="1" t="s">
        <v>2572</v>
      </c>
      <c r="B2496" s="1" t="str">
        <f aca="false">TRIM(A2496)</f>
        <v>20, # old rod:</v>
      </c>
    </row>
    <row r="2497" customFormat="false" ht="12.75" hidden="false" customHeight="true" outlineLevel="0" collapsed="false">
      <c r="A2497" s="1" t="s">
        <v>1349</v>
      </c>
      <c r="B2497" s="1" t="str">
        <f aca="false">TRIM(A2497)</f>
        <v>19, 26, MAGIKARP</v>
      </c>
    </row>
    <row r="2498" customFormat="false" ht="12.75" hidden="false" customHeight="true" outlineLevel="0" collapsed="false">
      <c r="A2498" s="1" t="s">
        <v>1819</v>
      </c>
      <c r="B2498" s="1" t="str">
        <f aca="false">TRIM(A2498)</f>
        <v>+19, 26, GYARADOS</v>
      </c>
    </row>
    <row r="2499" customFormat="false" ht="12.75" hidden="false" customHeight="true" outlineLevel="0" collapsed="false">
      <c r="A2499" s="2"/>
      <c r="B2499" s="1" t="str">
        <f aca="false">TRIM(A2499)</f>
        <v/>
      </c>
    </row>
    <row r="2500" customFormat="false" ht="12.75" hidden="false" customHeight="true" outlineLevel="0" collapsed="false">
      <c r="A2500" s="1" t="s">
        <v>1268</v>
      </c>
      <c r="B2500" s="1" t="str">
        <f aca="false">TRIM(A2500)</f>
        <v># good rod:</v>
      </c>
    </row>
    <row r="2501" customFormat="false" ht="12.75" hidden="false" customHeight="true" outlineLevel="0" collapsed="false">
      <c r="A2501" s="1" t="s">
        <v>1844</v>
      </c>
      <c r="B2501" s="1" t="str">
        <f aca="false">TRIM(A2501)</f>
        <v>+29, 33, POLIWAG</v>
      </c>
    </row>
    <row r="2502" customFormat="false" ht="12.75" hidden="false" customHeight="true" outlineLevel="0" collapsed="false">
      <c r="A2502" s="1" t="s">
        <v>1353</v>
      </c>
      <c r="B2502" s="1" t="str">
        <f aca="false">TRIM(A2502)</f>
        <v>+30, 35, GOLDEEN</v>
      </c>
    </row>
    <row r="2503" customFormat="false" ht="12.75" hidden="false" customHeight="true" outlineLevel="0" collapsed="false">
      <c r="A2503" s="1" t="s">
        <v>1821</v>
      </c>
      <c r="B2503" s="1" t="str">
        <f aca="false">TRIM(A2503)</f>
        <v>+30, 35, PSYDUCK</v>
      </c>
    </row>
    <row r="2504" customFormat="false" ht="12.75" hidden="false" customHeight="true" outlineLevel="0" collapsed="false">
      <c r="A2504" s="2"/>
      <c r="B2504" s="1" t="str">
        <f aca="false">TRIM(A2504)</f>
        <v/>
      </c>
    </row>
    <row r="2505" customFormat="false" ht="12.75" hidden="false" customHeight="true" outlineLevel="0" collapsed="false">
      <c r="A2505" s="1" t="s">
        <v>1272</v>
      </c>
      <c r="B2505" s="1" t="str">
        <f aca="false">TRIM(A2505)</f>
        <v># super rod:</v>
      </c>
    </row>
    <row r="2506" customFormat="false" ht="12.75" hidden="false" customHeight="true" outlineLevel="0" collapsed="false">
      <c r="A2506" s="1" t="s">
        <v>1354</v>
      </c>
      <c r="B2506" s="1" t="str">
        <f aca="false">TRIM(A2506)</f>
        <v>+36, 40, POLIWHIRL</v>
      </c>
    </row>
    <row r="2507" customFormat="false" ht="12.75" hidden="false" customHeight="true" outlineLevel="0" collapsed="false">
      <c r="A2507" s="1" t="s">
        <v>1355</v>
      </c>
      <c r="B2507" s="1" t="str">
        <f aca="false">TRIM(A2507)</f>
        <v>+36, 40, SEAKING</v>
      </c>
    </row>
    <row r="2508" customFormat="false" ht="12.75" hidden="false" customHeight="true" outlineLevel="0" collapsed="false">
      <c r="A2508" s="1" t="s">
        <v>1845</v>
      </c>
      <c r="B2508" s="1" t="str">
        <f aca="false">TRIM(A2508)</f>
        <v>+38, 42, GYARADOS</v>
      </c>
    </row>
    <row r="2509" customFormat="false" ht="12.75" hidden="false" customHeight="true" outlineLevel="0" collapsed="false">
      <c r="A2509" s="1" t="s">
        <v>1846</v>
      </c>
      <c r="B2509" s="1" t="str">
        <f aca="false">TRIM(A2509)</f>
        <v>+38, 42, POLIWRATH</v>
      </c>
    </row>
    <row r="2510" customFormat="false" ht="12.75" hidden="false" customHeight="true" outlineLevel="0" collapsed="false">
      <c r="A2510" s="1" t="s">
        <v>2718</v>
      </c>
      <c r="B2510" s="1" t="str">
        <f aca="false">TRIM(A2510)</f>
        <v>+40, 44, POLITOES</v>
      </c>
    </row>
    <row r="2511" customFormat="false" ht="12.75" hidden="false" customHeight="true" outlineLevel="0" collapsed="false">
      <c r="A2511" s="1" t="s">
        <v>2536</v>
      </c>
      <c r="B2511" s="1" t="str">
        <f aca="false">TRIM(A2511)</f>
        <v>NEW ROUTE</v>
      </c>
    </row>
    <row r="2512" customFormat="false" ht="12.75" hidden="false" customHeight="true" outlineLevel="0" collapsed="false">
      <c r="A2512" s="1" t="s">
        <v>2719</v>
      </c>
      <c r="B2512" s="1" t="str">
        <f aca="false">TRIM(A2512)</f>
        <v>+3, 25, 0,</v>
      </c>
    </row>
    <row r="2513" customFormat="false" ht="12.75" hidden="false" customHeight="true" outlineLevel="0" collapsed="false">
      <c r="A2513" s="1" t="s">
        <v>2568</v>
      </c>
      <c r="B2513" s="1" t="str">
        <f aca="false">TRIM(A2513)</f>
        <v>21, # 20%</v>
      </c>
    </row>
    <row r="2514" customFormat="false" ht="12.75" hidden="false" customHeight="true" outlineLevel="0" collapsed="false">
      <c r="A2514" s="1" t="s">
        <v>1849</v>
      </c>
      <c r="B2514" s="1" t="str">
        <f aca="false">TRIM(A2514)</f>
        <v>24, 26, PONYTA</v>
      </c>
    </row>
    <row r="2515" customFormat="false" ht="12.75" hidden="false" customHeight="true" outlineLevel="0" collapsed="false">
      <c r="A2515" s="1" t="s">
        <v>1850</v>
      </c>
      <c r="B2515" s="1" t="str">
        <f aca="false">TRIM(A2515)</f>
        <v>+24, 26, KOFFING</v>
      </c>
    </row>
    <row r="2516" customFormat="false" ht="12.75" hidden="false" customHeight="true" outlineLevel="0" collapsed="false">
      <c r="A2516" s="2"/>
      <c r="B2516" s="1" t="str">
        <f aca="false">TRIM(A2516)</f>
        <v/>
      </c>
    </row>
    <row r="2517" customFormat="false" ht="12.75" hidden="false" customHeight="true" outlineLevel="0" collapsed="false">
      <c r="A2517" s="1" t="s">
        <v>1209</v>
      </c>
      <c r="B2517" s="1" t="str">
        <f aca="false">TRIM(A2517)</f>
        <v># 10%</v>
      </c>
    </row>
    <row r="2518" customFormat="false" ht="12.75" hidden="false" customHeight="true" outlineLevel="0" collapsed="false">
      <c r="A2518" s="1" t="s">
        <v>1851</v>
      </c>
      <c r="B2518" s="1" t="str">
        <f aca="false">TRIM(A2518)</f>
        <v>+25, 27, SANDSHREW</v>
      </c>
    </row>
    <row r="2519" customFormat="false" ht="12.75" hidden="false" customHeight="true" outlineLevel="0" collapsed="false">
      <c r="A2519" s="1" t="s">
        <v>1852</v>
      </c>
      <c r="B2519" s="1" t="str">
        <f aca="false">TRIM(A2519)</f>
        <v>+25, 27, MEOWTH</v>
      </c>
    </row>
    <row r="2520" customFormat="false" ht="12.75" hidden="false" customHeight="true" outlineLevel="0" collapsed="false">
      <c r="A2520" s="1" t="s">
        <v>1853</v>
      </c>
      <c r="B2520" s="1" t="str">
        <f aca="false">TRIM(A2520)</f>
        <v>+25, 27, PARAS</v>
      </c>
    </row>
    <row r="2521" customFormat="false" ht="12.75" hidden="false" customHeight="true" outlineLevel="0" collapsed="false">
      <c r="A2521" s="1" t="s">
        <v>1854</v>
      </c>
      <c r="B2521" s="1" t="str">
        <f aca="false">TRIM(A2521)</f>
        <v>+25, 27, VULPIX</v>
      </c>
    </row>
    <row r="2522" customFormat="false" ht="12.75" hidden="false" customHeight="true" outlineLevel="0" collapsed="false">
      <c r="A2522" s="2"/>
      <c r="B2522" s="1" t="str">
        <f aca="false">TRIM(A2522)</f>
        <v/>
      </c>
    </row>
    <row r="2523" customFormat="false" ht="12.75" hidden="false" customHeight="true" outlineLevel="0" collapsed="false">
      <c r="A2523" s="1" t="s">
        <v>1210</v>
      </c>
      <c r="B2523" s="1" t="str">
        <f aca="false">TRIM(A2523)</f>
        <v># 5%</v>
      </c>
    </row>
    <row r="2524" customFormat="false" ht="12.75" hidden="false" customHeight="true" outlineLevel="0" collapsed="false">
      <c r="A2524" s="1" t="s">
        <v>1855</v>
      </c>
      <c r="B2524" s="1" t="str">
        <f aca="false">TRIM(A2524)</f>
        <v>+24, 28, WEEZING</v>
      </c>
    </row>
    <row r="2525" customFormat="false" ht="12.75" hidden="false" customHeight="true" outlineLevel="0" collapsed="false">
      <c r="A2525" s="1" t="s">
        <v>1856</v>
      </c>
      <c r="B2525" s="1" t="str">
        <f aca="false">TRIM(A2525)</f>
        <v>+24, 28, LICKITUNG</v>
      </c>
    </row>
    <row r="2526" customFormat="false" ht="12.75" hidden="false" customHeight="true" outlineLevel="0" collapsed="false">
      <c r="A2526" s="2"/>
      <c r="B2526" s="1" t="str">
        <f aca="false">TRIM(A2526)</f>
        <v/>
      </c>
    </row>
    <row r="2527" customFormat="false" ht="12.75" hidden="false" customHeight="true" outlineLevel="0" collapsed="false">
      <c r="A2527" s="1" t="s">
        <v>1211</v>
      </c>
      <c r="B2527" s="1" t="str">
        <f aca="false">TRIM(A2527)</f>
        <v># 4%</v>
      </c>
    </row>
    <row r="2528" customFormat="false" ht="12.75" hidden="false" customHeight="true" outlineLevel="0" collapsed="false">
      <c r="A2528" s="1" t="s">
        <v>1857</v>
      </c>
      <c r="B2528" s="1" t="str">
        <f aca="false">TRIM(A2528)</f>
        <v>+26, 26, PERSIAN</v>
      </c>
    </row>
    <row r="2529" customFormat="false" ht="12.75" hidden="false" customHeight="true" outlineLevel="0" collapsed="false">
      <c r="A2529" s="1" t="s">
        <v>1858</v>
      </c>
      <c r="B2529" s="1" t="str">
        <f aca="false">TRIM(A2529)</f>
        <v>+21, 26, EEVEE</v>
      </c>
    </row>
    <row r="2530" customFormat="false" ht="12.75" hidden="false" customHeight="true" outlineLevel="0" collapsed="false">
      <c r="A2530" s="2"/>
      <c r="B2530" s="1" t="str">
        <f aca="false">TRIM(A2530)</f>
        <v/>
      </c>
    </row>
    <row r="2531" customFormat="false" ht="12.75" hidden="false" customHeight="true" outlineLevel="0" collapsed="false">
      <c r="A2531" s="1" t="s">
        <v>1212</v>
      </c>
      <c r="B2531" s="1" t="str">
        <f aca="false">TRIM(A2531)</f>
        <v># 1%</v>
      </c>
    </row>
    <row r="2532" customFormat="false" ht="12.75" hidden="false" customHeight="true" outlineLevel="0" collapsed="false">
      <c r="A2532" s="1" t="s">
        <v>1859</v>
      </c>
      <c r="B2532" s="1" t="str">
        <f aca="false">TRIM(A2532)</f>
        <v>+24, 28, SANDSLASH</v>
      </c>
    </row>
    <row r="2533" customFormat="false" ht="12.75" hidden="false" customHeight="true" outlineLevel="0" collapsed="false">
      <c r="A2533" s="1" t="s">
        <v>2720</v>
      </c>
      <c r="B2533" s="1" t="str">
        <f aca="false">TRIM(A2533)</f>
        <v>+24, 28, PARASECT , &lt;null&gt;, &lt;null&gt;, &lt;null&gt;</v>
      </c>
    </row>
    <row r="2534" customFormat="false" ht="12.75" hidden="false" customHeight="true" outlineLevel="0" collapsed="false">
      <c r="A2534" s="2"/>
      <c r="B2534" s="1" t="str">
        <f aca="false">TRIM(A2534)</f>
        <v/>
      </c>
    </row>
    <row r="2535" customFormat="false" ht="12.75" hidden="false" customHeight="true" outlineLevel="0" collapsed="false">
      <c r="A2535" s="1" t="s">
        <v>2536</v>
      </c>
      <c r="B2535" s="1" t="str">
        <f aca="false">TRIM(A2535)</f>
        <v>NEW ROUTE</v>
      </c>
    </row>
    <row r="2536" customFormat="false" ht="12.75" hidden="false" customHeight="true" outlineLevel="0" collapsed="false">
      <c r="A2536" s="1" t="s">
        <v>2721</v>
      </c>
      <c r="B2536" s="1" t="str">
        <f aca="false">TRIM(A2536)</f>
        <v>+3, 26, 0,</v>
      </c>
    </row>
    <row r="2537" customFormat="false" ht="12.75" hidden="false" customHeight="true" outlineLevel="0" collapsed="false">
      <c r="A2537" s="1" t="s">
        <v>2568</v>
      </c>
      <c r="B2537" s="1" t="str">
        <f aca="false">TRIM(A2537)</f>
        <v>21, # 20%</v>
      </c>
    </row>
    <row r="2538" customFormat="false" ht="12.75" hidden="false" customHeight="true" outlineLevel="0" collapsed="false">
      <c r="A2538" s="1" t="s">
        <v>1862</v>
      </c>
      <c r="B2538" s="1" t="str">
        <f aca="false">TRIM(A2538)</f>
        <v>23, 25, PONYTA</v>
      </c>
    </row>
    <row r="2539" customFormat="false" ht="12.75" hidden="false" customHeight="true" outlineLevel="0" collapsed="false">
      <c r="A2539" s="1" t="s">
        <v>1863</v>
      </c>
      <c r="B2539" s="1" t="str">
        <f aca="false">TRIM(A2539)</f>
        <v>+23, 25, EKANS</v>
      </c>
    </row>
    <row r="2540" customFormat="false" ht="12.75" hidden="false" customHeight="true" outlineLevel="0" collapsed="false">
      <c r="A2540" s="2"/>
      <c r="B2540" s="1" t="str">
        <f aca="false">TRIM(A2540)</f>
        <v/>
      </c>
    </row>
    <row r="2541" customFormat="false" ht="12.75" hidden="false" customHeight="true" outlineLevel="0" collapsed="false">
      <c r="A2541" s="1" t="s">
        <v>1209</v>
      </c>
      <c r="B2541" s="1" t="str">
        <f aca="false">TRIM(A2541)</f>
        <v># 10%</v>
      </c>
    </row>
    <row r="2542" customFormat="false" ht="12.75" hidden="false" customHeight="true" outlineLevel="0" collapsed="false">
      <c r="A2542" s="1" t="s">
        <v>1864</v>
      </c>
      <c r="B2542" s="1" t="str">
        <f aca="false">TRIM(A2542)</f>
        <v>+24, 26, SANDSHREW</v>
      </c>
    </row>
    <row r="2543" customFormat="false" ht="12.75" hidden="false" customHeight="true" outlineLevel="0" collapsed="false">
      <c r="A2543" s="1" t="s">
        <v>1865</v>
      </c>
      <c r="B2543" s="1" t="str">
        <f aca="false">TRIM(A2543)</f>
        <v>+24, 26, MEOWTH</v>
      </c>
    </row>
    <row r="2544" customFormat="false" ht="12.75" hidden="false" customHeight="true" outlineLevel="0" collapsed="false">
      <c r="A2544" s="1" t="s">
        <v>1866</v>
      </c>
      <c r="B2544" s="1" t="str">
        <f aca="false">TRIM(A2544)</f>
        <v>+24, 26, VENONAT</v>
      </c>
    </row>
    <row r="2545" customFormat="false" ht="12.75" hidden="false" customHeight="true" outlineLevel="0" collapsed="false">
      <c r="A2545" s="1" t="s">
        <v>1867</v>
      </c>
      <c r="B2545" s="1" t="str">
        <f aca="false">TRIM(A2545)</f>
        <v>+24, 26, GROWLITHE</v>
      </c>
    </row>
    <row r="2546" customFormat="false" ht="12.75" hidden="false" customHeight="true" outlineLevel="0" collapsed="false">
      <c r="A2546" s="2"/>
      <c r="B2546" s="1" t="str">
        <f aca="false">TRIM(A2546)</f>
        <v/>
      </c>
    </row>
    <row r="2547" customFormat="false" ht="12.75" hidden="false" customHeight="true" outlineLevel="0" collapsed="false">
      <c r="A2547" s="1" t="s">
        <v>1210</v>
      </c>
      <c r="B2547" s="1" t="str">
        <f aca="false">TRIM(A2547)</f>
        <v># 5%</v>
      </c>
    </row>
    <row r="2548" customFormat="false" ht="12.75" hidden="false" customHeight="true" outlineLevel="0" collapsed="false">
      <c r="A2548" s="1" t="s">
        <v>1868</v>
      </c>
      <c r="B2548" s="1" t="str">
        <f aca="false">TRIM(A2548)</f>
        <v>+23, 27, ARBOK</v>
      </c>
    </row>
    <row r="2549" customFormat="false" ht="12.75" hidden="false" customHeight="true" outlineLevel="0" collapsed="false">
      <c r="A2549" s="1" t="s">
        <v>1869</v>
      </c>
      <c r="B2549" s="1" t="str">
        <f aca="false">TRIM(A2549)</f>
        <v>+23, 27, LICKITUNG</v>
      </c>
    </row>
    <row r="2550" customFormat="false" ht="12.75" hidden="false" customHeight="true" outlineLevel="0" collapsed="false">
      <c r="A2550" s="2"/>
      <c r="B2550" s="1" t="str">
        <f aca="false">TRIM(A2550)</f>
        <v/>
      </c>
    </row>
    <row r="2551" customFormat="false" ht="12.75" hidden="false" customHeight="true" outlineLevel="0" collapsed="false">
      <c r="A2551" s="1" t="s">
        <v>1211</v>
      </c>
      <c r="B2551" s="1" t="str">
        <f aca="false">TRIM(A2551)</f>
        <v># 4%</v>
      </c>
    </row>
    <row r="2552" customFormat="false" ht="12.75" hidden="false" customHeight="true" outlineLevel="0" collapsed="false">
      <c r="A2552" s="1" t="s">
        <v>1870</v>
      </c>
      <c r="B2552" s="1" t="str">
        <f aca="false">TRIM(A2552)</f>
        <v>+25, 25, PERSIAN</v>
      </c>
    </row>
    <row r="2553" customFormat="false" ht="12.75" hidden="false" customHeight="true" outlineLevel="0" collapsed="false">
      <c r="A2553" s="1" t="s">
        <v>1871</v>
      </c>
      <c r="B2553" s="1" t="str">
        <f aca="false">TRIM(A2553)</f>
        <v>+20, 25, EEVEE</v>
      </c>
    </row>
    <row r="2554" customFormat="false" ht="12.75" hidden="false" customHeight="true" outlineLevel="0" collapsed="false">
      <c r="A2554" s="2"/>
      <c r="B2554" s="1" t="str">
        <f aca="false">TRIM(A2554)</f>
        <v/>
      </c>
    </row>
    <row r="2555" customFormat="false" ht="12.75" hidden="false" customHeight="true" outlineLevel="0" collapsed="false">
      <c r="A2555" s="1" t="s">
        <v>1212</v>
      </c>
      <c r="B2555" s="1" t="str">
        <f aca="false">TRIM(A2555)</f>
        <v># 1%</v>
      </c>
    </row>
    <row r="2556" customFormat="false" ht="12.75" hidden="false" customHeight="true" outlineLevel="0" collapsed="false">
      <c r="A2556" s="1" t="s">
        <v>1872</v>
      </c>
      <c r="B2556" s="1" t="str">
        <f aca="false">TRIM(A2556)</f>
        <v>+23, 27, SANDSLASH</v>
      </c>
    </row>
    <row r="2557" customFormat="false" ht="12.75" hidden="false" customHeight="true" outlineLevel="0" collapsed="false">
      <c r="A2557" s="1" t="s">
        <v>2722</v>
      </c>
      <c r="B2557" s="1" t="str">
        <f aca="false">TRIM(A2557)</f>
        <v>+23, 27, VENOMOTH , &lt;null&gt;, &lt;null&gt;, &lt;null&gt;</v>
      </c>
    </row>
    <row r="2558" customFormat="false" ht="12.75" hidden="false" customHeight="true" outlineLevel="0" collapsed="false">
      <c r="A2558" s="2"/>
      <c r="B2558" s="1" t="str">
        <f aca="false">TRIM(A2558)</f>
        <v/>
      </c>
    </row>
    <row r="2559" customFormat="false" ht="12.75" hidden="false" customHeight="true" outlineLevel="0" collapsed="false">
      <c r="A2559" s="1" t="s">
        <v>2536</v>
      </c>
      <c r="B2559" s="1" t="str">
        <f aca="false">TRIM(A2559)</f>
        <v>NEW ROUTE</v>
      </c>
    </row>
    <row r="2560" customFormat="false" ht="12.75" hidden="false" customHeight="true" outlineLevel="0" collapsed="false">
      <c r="A2560" s="1" t="s">
        <v>2723</v>
      </c>
      <c r="B2560" s="1" t="str">
        <f aca="false">TRIM(A2560)</f>
        <v>+3, 27, 0,</v>
      </c>
    </row>
    <row r="2561" customFormat="false" ht="12.75" hidden="false" customHeight="true" outlineLevel="0" collapsed="false">
      <c r="A2561" s="1" t="s">
        <v>2568</v>
      </c>
      <c r="B2561" s="1" t="str">
        <f aca="false">TRIM(A2561)</f>
        <v>21, # 20%</v>
      </c>
    </row>
    <row r="2562" customFormat="false" ht="12.75" hidden="false" customHeight="true" outlineLevel="0" collapsed="false">
      <c r="A2562" s="1" t="s">
        <v>1875</v>
      </c>
      <c r="B2562" s="1" t="str">
        <f aca="false">TRIM(A2562)</f>
        <v>17, 22, NIDORINA</v>
      </c>
    </row>
    <row r="2563" customFormat="false" ht="12.75" hidden="false" customHeight="true" outlineLevel="0" collapsed="false">
      <c r="A2563" s="1" t="s">
        <v>1876</v>
      </c>
      <c r="B2563" s="1" t="str">
        <f aca="false">TRIM(A2563)</f>
        <v>+17, 22, NIDORINO</v>
      </c>
    </row>
    <row r="2564" customFormat="false" ht="12.75" hidden="false" customHeight="true" outlineLevel="0" collapsed="false">
      <c r="A2564" s="2"/>
      <c r="B2564" s="1" t="str">
        <f aca="false">TRIM(A2564)</f>
        <v/>
      </c>
    </row>
    <row r="2565" customFormat="false" ht="12.75" hidden="false" customHeight="true" outlineLevel="0" collapsed="false">
      <c r="A2565" s="1" t="s">
        <v>1209</v>
      </c>
      <c r="B2565" s="1" t="str">
        <f aca="false">TRIM(A2565)</f>
        <v># 10%</v>
      </c>
    </row>
    <row r="2566" customFormat="false" ht="12.75" hidden="false" customHeight="true" outlineLevel="0" collapsed="false">
      <c r="A2566" s="1" t="s">
        <v>1877</v>
      </c>
      <c r="B2566" s="1" t="str">
        <f aca="false">TRIM(A2566)</f>
        <v>+16, 19, SPEAROW</v>
      </c>
    </row>
    <row r="2567" customFormat="false" ht="12.75" hidden="false" customHeight="true" outlineLevel="0" collapsed="false">
      <c r="A2567" s="1" t="s">
        <v>1878</v>
      </c>
      <c r="B2567" s="1" t="str">
        <f aca="false">TRIM(A2567)</f>
        <v>+16, 19, CUBONE</v>
      </c>
    </row>
    <row r="2568" customFormat="false" ht="12.75" hidden="false" customHeight="true" outlineLevel="0" collapsed="false">
      <c r="A2568" s="1" t="s">
        <v>1879</v>
      </c>
      <c r="B2568" s="1" t="str">
        <f aca="false">TRIM(A2568)</f>
        <v>+16, 19, MACHOP</v>
      </c>
    </row>
    <row r="2569" customFormat="false" ht="12.75" hidden="false" customHeight="true" outlineLevel="0" collapsed="false">
      <c r="A2569" s="1" t="s">
        <v>1880</v>
      </c>
      <c r="B2569" s="1" t="str">
        <f aca="false">TRIM(A2569)</f>
        <v>+16, 19, SANDSHREW</v>
      </c>
    </row>
    <row r="2570" customFormat="false" ht="12.75" hidden="false" customHeight="true" outlineLevel="0" collapsed="false">
      <c r="A2570" s="2"/>
      <c r="B2570" s="1" t="str">
        <f aca="false">TRIM(A2570)</f>
        <v/>
      </c>
    </row>
    <row r="2571" customFormat="false" ht="12.75" hidden="false" customHeight="true" outlineLevel="0" collapsed="false">
      <c r="A2571" s="1" t="s">
        <v>1210</v>
      </c>
      <c r="B2571" s="1" t="str">
        <f aca="false">TRIM(A2571)</f>
        <v># 5%</v>
      </c>
    </row>
    <row r="2572" customFormat="false" ht="12.75" hidden="false" customHeight="true" outlineLevel="0" collapsed="false">
      <c r="A2572" s="1" t="s">
        <v>1881</v>
      </c>
      <c r="B2572" s="1" t="str">
        <f aca="false">TRIM(A2572)</f>
        <v>+17, 18, DODUO</v>
      </c>
    </row>
    <row r="2573" customFormat="false" ht="12.75" hidden="false" customHeight="true" outlineLevel="0" collapsed="false">
      <c r="A2573" s="1" t="s">
        <v>1882</v>
      </c>
      <c r="B2573" s="1" t="str">
        <f aca="false">TRIM(A2573)</f>
        <v>+17, 18, DROWZEE</v>
      </c>
    </row>
    <row r="2574" customFormat="false" ht="12.75" hidden="false" customHeight="true" outlineLevel="0" collapsed="false">
      <c r="A2574" s="2"/>
      <c r="B2574" s="1" t="str">
        <f aca="false">TRIM(A2574)</f>
        <v/>
      </c>
    </row>
    <row r="2575" customFormat="false" ht="12.75" hidden="false" customHeight="true" outlineLevel="0" collapsed="false">
      <c r="A2575" s="1" t="s">
        <v>1211</v>
      </c>
      <c r="B2575" s="1" t="str">
        <f aca="false">TRIM(A2575)</f>
        <v># 4%</v>
      </c>
    </row>
    <row r="2576" customFormat="false" ht="12.75" hidden="false" customHeight="true" outlineLevel="0" collapsed="false">
      <c r="A2576" s="1" t="s">
        <v>1883</v>
      </c>
      <c r="B2576" s="1" t="str">
        <f aca="false">TRIM(A2576)</f>
        <v>+16, 25, FEAROW</v>
      </c>
    </row>
    <row r="2577" customFormat="false" ht="12.75" hidden="false" customHeight="true" outlineLevel="0" collapsed="false">
      <c r="A2577" s="1" t="s">
        <v>1884</v>
      </c>
      <c r="B2577" s="1" t="str">
        <f aca="false">TRIM(A2577)</f>
        <v>+22, 22, SANDSLASH</v>
      </c>
    </row>
    <row r="2578" customFormat="false" ht="12.75" hidden="false" customHeight="true" outlineLevel="0" collapsed="false">
      <c r="A2578" s="2"/>
      <c r="B2578" s="1" t="str">
        <f aca="false">TRIM(A2578)</f>
        <v/>
      </c>
    </row>
    <row r="2579" customFormat="false" ht="12.75" hidden="false" customHeight="true" outlineLevel="0" collapsed="false">
      <c r="A2579" s="1" t="s">
        <v>1212</v>
      </c>
      <c r="B2579" s="1" t="str">
        <f aca="false">TRIM(A2579)</f>
        <v># 1%</v>
      </c>
    </row>
    <row r="2580" customFormat="false" ht="12.75" hidden="false" customHeight="true" outlineLevel="0" collapsed="false">
      <c r="A2580" s="1" t="s">
        <v>1885</v>
      </c>
      <c r="B2580" s="1" t="str">
        <f aca="false">TRIM(A2580)</f>
        <v>+14, 17, KANGAKID</v>
      </c>
    </row>
    <row r="2581" customFormat="false" ht="12.75" hidden="false" customHeight="true" outlineLevel="0" collapsed="false">
      <c r="A2581" s="1" t="s">
        <v>2724</v>
      </c>
      <c r="B2581" s="1" t="str">
        <f aca="false">TRIM(A2581)</f>
        <v>+18, 18, KANGAKID , &lt;null&gt;, &lt;null&gt;, &lt;null&gt;</v>
      </c>
    </row>
    <row r="2582" customFormat="false" ht="12.75" hidden="false" customHeight="true" outlineLevel="0" collapsed="false">
      <c r="A2582" s="2"/>
      <c r="B2582" s="1" t="str">
        <f aca="false">TRIM(A2582)</f>
        <v/>
      </c>
    </row>
    <row r="2583" customFormat="false" ht="12.75" hidden="false" customHeight="true" outlineLevel="0" collapsed="false">
      <c r="A2583" s="1" t="s">
        <v>2536</v>
      </c>
      <c r="B2583" s="1" t="str">
        <f aca="false">TRIM(A2583)</f>
        <v>NEW ROUTE</v>
      </c>
    </row>
    <row r="2584" customFormat="false" ht="12.75" hidden="false" customHeight="true" outlineLevel="0" collapsed="false">
      <c r="A2584" s="1" t="s">
        <v>2725</v>
      </c>
      <c r="B2584" s="1" t="str">
        <f aca="false">TRIM(A2584)</f>
        <v>+3, 28, 0,</v>
      </c>
    </row>
    <row r="2585" customFormat="false" ht="12.75" hidden="false" customHeight="true" outlineLevel="0" collapsed="false">
      <c r="A2585" s="1" t="s">
        <v>2568</v>
      </c>
      <c r="B2585" s="1" t="str">
        <f aca="false">TRIM(A2585)</f>
        <v>21, # 20%</v>
      </c>
    </row>
    <row r="2586" customFormat="false" ht="12.75" hidden="false" customHeight="true" outlineLevel="0" collapsed="false">
      <c r="A2586" s="1" t="s">
        <v>1888</v>
      </c>
      <c r="B2586" s="1" t="str">
        <f aca="false">TRIM(A2586)</f>
        <v>19, 23, NIDORINA</v>
      </c>
    </row>
    <row r="2587" customFormat="false" ht="12.75" hidden="false" customHeight="true" outlineLevel="0" collapsed="false">
      <c r="A2587" s="1" t="s">
        <v>1889</v>
      </c>
      <c r="B2587" s="1" t="str">
        <f aca="false">TRIM(A2587)</f>
        <v>+19, 23, NIDORINO</v>
      </c>
    </row>
    <row r="2588" customFormat="false" ht="12.75" hidden="false" customHeight="true" outlineLevel="0" collapsed="false">
      <c r="A2588" s="2"/>
      <c r="B2588" s="1" t="str">
        <f aca="false">TRIM(A2588)</f>
        <v/>
      </c>
    </row>
    <row r="2589" customFormat="false" ht="12.75" hidden="false" customHeight="true" outlineLevel="0" collapsed="false">
      <c r="A2589" s="1" t="s">
        <v>1209</v>
      </c>
      <c r="B2589" s="1" t="str">
        <f aca="false">TRIM(A2589)</f>
        <v># 10%</v>
      </c>
    </row>
    <row r="2590" customFormat="false" ht="12.75" hidden="false" customHeight="true" outlineLevel="0" collapsed="false">
      <c r="A2590" s="1" t="s">
        <v>1890</v>
      </c>
      <c r="B2590" s="1" t="str">
        <f aca="false">TRIM(A2590)</f>
        <v>+18, 20, SPEAROW</v>
      </c>
    </row>
    <row r="2591" customFormat="false" ht="12.75" hidden="false" customHeight="true" outlineLevel="0" collapsed="false">
      <c r="A2591" s="1" t="s">
        <v>1891</v>
      </c>
      <c r="B2591" s="1" t="str">
        <f aca="false">TRIM(A2591)</f>
        <v>+18, 20, CUBONE</v>
      </c>
    </row>
    <row r="2592" customFormat="false" ht="12.75" hidden="false" customHeight="true" outlineLevel="0" collapsed="false">
      <c r="A2592" s="1" t="s">
        <v>1892</v>
      </c>
      <c r="B2592" s="1" t="str">
        <f aca="false">TRIM(A2592)</f>
        <v>+18, 20, MAGNEMITE</v>
      </c>
    </row>
    <row r="2593" customFormat="false" ht="12.75" hidden="false" customHeight="true" outlineLevel="0" collapsed="false">
      <c r="A2593" s="1" t="s">
        <v>1893</v>
      </c>
      <c r="B2593" s="1" t="str">
        <f aca="false">TRIM(A2593)</f>
        <v>+18, 20, POLIWAG</v>
      </c>
    </row>
    <row r="2594" customFormat="false" ht="12.75" hidden="false" customHeight="true" outlineLevel="0" collapsed="false">
      <c r="A2594" s="2"/>
      <c r="B2594" s="1" t="str">
        <f aca="false">TRIM(A2594)</f>
        <v/>
      </c>
    </row>
    <row r="2595" customFormat="false" ht="12.75" hidden="false" customHeight="true" outlineLevel="0" collapsed="false">
      <c r="A2595" s="1" t="s">
        <v>1210</v>
      </c>
      <c r="B2595" s="1" t="str">
        <f aca="false">TRIM(A2595)</f>
        <v># 5%</v>
      </c>
    </row>
    <row r="2596" customFormat="false" ht="12.75" hidden="false" customHeight="true" outlineLevel="0" collapsed="false">
      <c r="A2596" s="1" t="s">
        <v>1894</v>
      </c>
      <c r="B2596" s="1" t="str">
        <f aca="false">TRIM(A2596)</f>
        <v>+19, 19, DODUO</v>
      </c>
    </row>
    <row r="2597" customFormat="false" ht="12.75" hidden="false" customHeight="true" outlineLevel="0" collapsed="false">
      <c r="A2597" s="1" t="s">
        <v>1895</v>
      </c>
      <c r="B2597" s="1" t="str">
        <f aca="false">TRIM(A2597)</f>
        <v>+19, 19, VOLTORB</v>
      </c>
    </row>
    <row r="2598" customFormat="false" ht="12.75" hidden="false" customHeight="true" outlineLevel="0" collapsed="false">
      <c r="A2598" s="2"/>
      <c r="B2598" s="1" t="str">
        <f aca="false">TRIM(A2598)</f>
        <v/>
      </c>
    </row>
    <row r="2599" customFormat="false" ht="12.75" hidden="false" customHeight="true" outlineLevel="0" collapsed="false">
      <c r="A2599" s="1" t="s">
        <v>1211</v>
      </c>
      <c r="B2599" s="1" t="str">
        <f aca="false">TRIM(A2599)</f>
        <v># 4%</v>
      </c>
    </row>
    <row r="2600" customFormat="false" ht="12.75" hidden="false" customHeight="true" outlineLevel="0" collapsed="false">
      <c r="A2600" s="1" t="s">
        <v>1896</v>
      </c>
      <c r="B2600" s="1" t="str">
        <f aca="false">TRIM(A2600)</f>
        <v>+20, 25, FEAROW</v>
      </c>
    </row>
    <row r="2601" customFormat="false" ht="12.75" hidden="false" customHeight="true" outlineLevel="0" collapsed="false">
      <c r="A2601" s="1" t="s">
        <v>1897</v>
      </c>
      <c r="B2601" s="1" t="str">
        <f aca="false">TRIM(A2601)</f>
        <v>+22, 22, POLIWHIRL</v>
      </c>
    </row>
    <row r="2602" customFormat="false" ht="12.75" hidden="false" customHeight="true" outlineLevel="0" collapsed="false">
      <c r="A2602" s="2"/>
      <c r="B2602" s="1" t="str">
        <f aca="false">TRIM(A2602)</f>
        <v/>
      </c>
    </row>
    <row r="2603" customFormat="false" ht="12.75" hidden="false" customHeight="true" outlineLevel="0" collapsed="false">
      <c r="A2603" s="1" t="s">
        <v>1212</v>
      </c>
      <c r="B2603" s="1" t="str">
        <f aca="false">TRIM(A2603)</f>
        <v># 1%</v>
      </c>
    </row>
    <row r="2604" customFormat="false" ht="12.75" hidden="false" customHeight="true" outlineLevel="0" collapsed="false">
      <c r="A2604" s="1" t="s">
        <v>1898</v>
      </c>
      <c r="B2604" s="1" t="str">
        <f aca="false">TRIM(A2604)</f>
        <v>+19, 21, TANGELA</v>
      </c>
    </row>
    <row r="2605" customFormat="false" ht="12.75" hidden="false" customHeight="true" outlineLevel="0" collapsed="false">
      <c r="A2605" s="1" t="s">
        <v>2726</v>
      </c>
      <c r="B2605" s="1" t="str">
        <f aca="false">TRIM(A2605)</f>
        <v>+19, 21, PONYTA</v>
      </c>
    </row>
    <row r="2606" customFormat="false" ht="12.75" hidden="false" customHeight="true" outlineLevel="0" collapsed="false">
      <c r="A2606" s="1" t="s">
        <v>2711</v>
      </c>
      <c r="B2606" s="1" t="str">
        <f aca="false">TRIM(A2606)</f>
        <v>2, 38, 42, TENTACOOL</v>
      </c>
    </row>
    <row r="2607" customFormat="false" ht="12.75" hidden="false" customHeight="true" outlineLevel="0" collapsed="false">
      <c r="A2607" s="1" t="s">
        <v>1900</v>
      </c>
      <c r="B2607" s="1" t="str">
        <f aca="false">TRIM(A2607)</f>
        <v>+40, 44, TENTACRUEL</v>
      </c>
    </row>
    <row r="2608" customFormat="false" ht="12.75" hidden="false" customHeight="true" outlineLevel="0" collapsed="false">
      <c r="A2608" s="1" t="s">
        <v>1449</v>
      </c>
      <c r="B2608" s="1" t="str">
        <f aca="false">TRIM(A2608)</f>
        <v>+42, 46, LAPRAS</v>
      </c>
    </row>
    <row r="2609" customFormat="false" ht="12.75" hidden="false" customHeight="true" outlineLevel="0" collapsed="false">
      <c r="A2609" s="1" t="s">
        <v>1901</v>
      </c>
      <c r="B2609" s="1" t="str">
        <f aca="false">TRIM(A2609)</f>
        <v>+42, 46, TENTACATE</v>
      </c>
    </row>
    <row r="2610" customFormat="false" ht="12.75" hidden="false" customHeight="true" outlineLevel="0" collapsed="false">
      <c r="A2610" s="1" t="s">
        <v>2571</v>
      </c>
      <c r="B2610" s="1" t="str">
        <f aca="false">TRIM(A2610)</f>
        <v>+44, 48, VAPOREON</v>
      </c>
    </row>
    <row r="2611" customFormat="false" ht="12.75" hidden="false" customHeight="true" outlineLevel="0" collapsed="false">
      <c r="A2611" s="1" t="s">
        <v>2572</v>
      </c>
      <c r="B2611" s="1" t="str">
        <f aca="false">TRIM(A2611)</f>
        <v>20, # old rod:</v>
      </c>
    </row>
    <row r="2612" customFormat="false" ht="12.75" hidden="false" customHeight="true" outlineLevel="0" collapsed="false">
      <c r="A2612" s="1" t="s">
        <v>1451</v>
      </c>
      <c r="B2612" s="1" t="str">
        <f aca="false">TRIM(A2612)</f>
        <v>19, 26, HORSEA</v>
      </c>
    </row>
    <row r="2613" customFormat="false" ht="12.75" hidden="false" customHeight="true" outlineLevel="0" collapsed="false">
      <c r="A2613" s="1" t="s">
        <v>1902</v>
      </c>
      <c r="B2613" s="1" t="str">
        <f aca="false">TRIM(A2613)</f>
        <v>+19, 26, PSYDUCK</v>
      </c>
    </row>
    <row r="2614" customFormat="false" ht="12.75" hidden="false" customHeight="true" outlineLevel="0" collapsed="false">
      <c r="A2614" s="2"/>
      <c r="B2614" s="1" t="str">
        <f aca="false">TRIM(A2614)</f>
        <v/>
      </c>
    </row>
    <row r="2615" customFormat="false" ht="12.75" hidden="false" customHeight="true" outlineLevel="0" collapsed="false">
      <c r="A2615" s="1" t="s">
        <v>1268</v>
      </c>
      <c r="B2615" s="1" t="str">
        <f aca="false">TRIM(A2615)</f>
        <v># good rod:</v>
      </c>
    </row>
    <row r="2616" customFormat="false" ht="12.75" hidden="false" customHeight="true" outlineLevel="0" collapsed="false">
      <c r="A2616" s="1" t="s">
        <v>1903</v>
      </c>
      <c r="B2616" s="1" t="str">
        <f aca="false">TRIM(A2616)</f>
        <v>+29, 33, HORSEA</v>
      </c>
    </row>
    <row r="2617" customFormat="false" ht="12.75" hidden="false" customHeight="true" outlineLevel="0" collapsed="false">
      <c r="A2617" s="1" t="s">
        <v>1904</v>
      </c>
      <c r="B2617" s="1" t="str">
        <f aca="false">TRIM(A2617)</f>
        <v>+30, 35, SLOWPOKE</v>
      </c>
    </row>
    <row r="2618" customFormat="false" ht="12.75" hidden="false" customHeight="true" outlineLevel="0" collapsed="false">
      <c r="A2618" s="1" t="s">
        <v>1821</v>
      </c>
      <c r="B2618" s="1" t="str">
        <f aca="false">TRIM(A2618)</f>
        <v>+30, 35, PSYDUCK</v>
      </c>
    </row>
    <row r="2619" customFormat="false" ht="12.75" hidden="false" customHeight="true" outlineLevel="0" collapsed="false">
      <c r="A2619" s="2"/>
      <c r="B2619" s="1" t="str">
        <f aca="false">TRIM(A2619)</f>
        <v/>
      </c>
    </row>
    <row r="2620" customFormat="false" ht="12.75" hidden="false" customHeight="true" outlineLevel="0" collapsed="false">
      <c r="A2620" s="1" t="s">
        <v>1272</v>
      </c>
      <c r="B2620" s="1" t="str">
        <f aca="false">TRIM(A2620)</f>
        <v># super rod:</v>
      </c>
    </row>
    <row r="2621" customFormat="false" ht="12.75" hidden="false" customHeight="true" outlineLevel="0" collapsed="false">
      <c r="A2621" s="1" t="s">
        <v>1905</v>
      </c>
      <c r="B2621" s="1" t="str">
        <f aca="false">TRIM(A2621)</f>
        <v>+36, 40, SEADRA</v>
      </c>
    </row>
    <row r="2622" customFormat="false" ht="12.75" hidden="false" customHeight="true" outlineLevel="0" collapsed="false">
      <c r="A2622" s="1" t="s">
        <v>1906</v>
      </c>
      <c r="B2622" s="1" t="str">
        <f aca="false">TRIM(A2622)</f>
        <v>+36, 40, GOLDUCK</v>
      </c>
    </row>
    <row r="2623" customFormat="false" ht="12.75" hidden="false" customHeight="true" outlineLevel="0" collapsed="false">
      <c r="A2623" s="1" t="s">
        <v>1907</v>
      </c>
      <c r="B2623" s="1" t="str">
        <f aca="false">TRIM(A2623)</f>
        <v>+38, 42, SLOWBRO</v>
      </c>
    </row>
    <row r="2624" customFormat="false" ht="12.75" hidden="false" customHeight="true" outlineLevel="0" collapsed="false">
      <c r="A2624" s="1" t="s">
        <v>1908</v>
      </c>
      <c r="B2624" s="1" t="str">
        <f aca="false">TRIM(A2624)</f>
        <v>+38, 42, KINGDRA</v>
      </c>
    </row>
    <row r="2625" customFormat="false" ht="12.75" hidden="false" customHeight="true" outlineLevel="0" collapsed="false">
      <c r="A2625" s="1" t="s">
        <v>2727</v>
      </c>
      <c r="B2625" s="1" t="str">
        <f aca="false">TRIM(A2625)</f>
        <v>+40, 44, GILDUCK</v>
      </c>
    </row>
    <row r="2626" customFormat="false" ht="12.75" hidden="false" customHeight="true" outlineLevel="0" collapsed="false">
      <c r="A2626" s="1" t="s">
        <v>2536</v>
      </c>
      <c r="B2626" s="1" t="str">
        <f aca="false">TRIM(A2626)</f>
        <v>NEW ROUTE</v>
      </c>
    </row>
    <row r="2627" customFormat="false" ht="12.75" hidden="false" customHeight="true" outlineLevel="0" collapsed="false">
      <c r="A2627" s="1" t="s">
        <v>2728</v>
      </c>
      <c r="B2627" s="1" t="str">
        <f aca="false">TRIM(A2627)</f>
        <v>+3, 29, 0,</v>
      </c>
    </row>
    <row r="2628" customFormat="false" ht="12.75" hidden="false" customHeight="true" outlineLevel="0" collapsed="false">
      <c r="A2628" s="1" t="s">
        <v>2568</v>
      </c>
      <c r="B2628" s="1" t="str">
        <f aca="false">TRIM(A2628)</f>
        <v>21, # 20%</v>
      </c>
    </row>
    <row r="2629" customFormat="false" ht="12.75" hidden="false" customHeight="true" outlineLevel="0" collapsed="false">
      <c r="A2629" s="1" t="s">
        <v>1911</v>
      </c>
      <c r="B2629" s="1" t="str">
        <f aca="false">TRIM(A2629)</f>
        <v>16, 18, EKANS</v>
      </c>
    </row>
    <row r="2630" customFormat="false" ht="12.75" hidden="false" customHeight="true" outlineLevel="0" collapsed="false">
      <c r="A2630" s="1" t="s">
        <v>1912</v>
      </c>
      <c r="B2630" s="1" t="str">
        <f aca="false">TRIM(A2630)</f>
        <v>+16, 18, SPEAROW</v>
      </c>
    </row>
    <row r="2631" customFormat="false" ht="12.75" hidden="false" customHeight="true" outlineLevel="0" collapsed="false">
      <c r="A2631" s="2"/>
      <c r="B2631" s="1" t="str">
        <f aca="false">TRIM(A2631)</f>
        <v/>
      </c>
    </row>
    <row r="2632" customFormat="false" ht="12.75" hidden="false" customHeight="true" outlineLevel="0" collapsed="false">
      <c r="A2632" s="1" t="s">
        <v>1209</v>
      </c>
      <c r="B2632" s="1" t="str">
        <f aca="false">TRIM(A2632)</f>
        <v># 10%</v>
      </c>
    </row>
    <row r="2633" customFormat="false" ht="12.75" hidden="false" customHeight="true" outlineLevel="0" collapsed="false">
      <c r="A2633" s="1" t="s">
        <v>1913</v>
      </c>
      <c r="B2633" s="1" t="str">
        <f aca="false">TRIM(A2633)</f>
        <v>+17, 20, SANDSHREW</v>
      </c>
    </row>
    <row r="2634" customFormat="false" ht="12.75" hidden="false" customHeight="true" outlineLevel="0" collapsed="false">
      <c r="A2634" s="1" t="s">
        <v>1914</v>
      </c>
      <c r="B2634" s="1" t="str">
        <f aca="false">TRIM(A2634)</f>
        <v>+17, 20, DROWZEE</v>
      </c>
    </row>
    <row r="2635" customFormat="false" ht="12.75" hidden="false" customHeight="true" outlineLevel="0" collapsed="false">
      <c r="A2635" s="1" t="s">
        <v>1915</v>
      </c>
      <c r="B2635" s="1" t="str">
        <f aca="false">TRIM(A2635)</f>
        <v>+17, 20, MAGNEMITE</v>
      </c>
    </row>
    <row r="2636" customFormat="false" ht="12.75" hidden="false" customHeight="true" outlineLevel="0" collapsed="false">
      <c r="A2636" s="1" t="s">
        <v>1916</v>
      </c>
      <c r="B2636" s="1" t="str">
        <f aca="false">TRIM(A2636)</f>
        <v>+17, 20, VOLTORB</v>
      </c>
    </row>
    <row r="2637" customFormat="false" ht="12.75" hidden="false" customHeight="true" outlineLevel="0" collapsed="false">
      <c r="A2637" s="2"/>
      <c r="B2637" s="1" t="str">
        <f aca="false">TRIM(A2637)</f>
        <v/>
      </c>
    </row>
    <row r="2638" customFormat="false" ht="12.75" hidden="false" customHeight="true" outlineLevel="0" collapsed="false">
      <c r="A2638" s="1" t="s">
        <v>1210</v>
      </c>
      <c r="B2638" s="1" t="str">
        <f aca="false">TRIM(A2638)</f>
        <v># 5%</v>
      </c>
    </row>
    <row r="2639" customFormat="false" ht="12.75" hidden="false" customHeight="true" outlineLevel="0" collapsed="false">
      <c r="A2639" s="1" t="s">
        <v>1917</v>
      </c>
      <c r="B2639" s="1" t="str">
        <f aca="false">TRIM(A2639)</f>
        <v>+18, 18, FARFETCH'D</v>
      </c>
    </row>
    <row r="2640" customFormat="false" ht="12.75" hidden="false" customHeight="true" outlineLevel="0" collapsed="false">
      <c r="A2640" s="1" t="s">
        <v>1918</v>
      </c>
      <c r="B2640" s="1" t="str">
        <f aca="false">TRIM(A2640)</f>
        <v>+18, 18, ABRA</v>
      </c>
    </row>
    <row r="2641" customFormat="false" ht="12.75" hidden="false" customHeight="true" outlineLevel="0" collapsed="false">
      <c r="A2641" s="2"/>
      <c r="B2641" s="1" t="str">
        <f aca="false">TRIM(A2641)</f>
        <v/>
      </c>
    </row>
    <row r="2642" customFormat="false" ht="12.75" hidden="false" customHeight="true" outlineLevel="0" collapsed="false">
      <c r="A2642" s="1" t="s">
        <v>1211</v>
      </c>
      <c r="B2642" s="1" t="str">
        <f aca="false">TRIM(A2642)</f>
        <v># 4%</v>
      </c>
    </row>
    <row r="2643" customFormat="false" ht="12.75" hidden="false" customHeight="true" outlineLevel="0" collapsed="false">
      <c r="A2643" s="1" t="s">
        <v>1919</v>
      </c>
      <c r="B2643" s="1" t="str">
        <f aca="false">TRIM(A2643)</f>
        <v>+15, 19, PIKACHU</v>
      </c>
    </row>
    <row r="2644" customFormat="false" ht="12.75" hidden="false" customHeight="true" outlineLevel="0" collapsed="false">
      <c r="A2644" s="1" t="s">
        <v>1920</v>
      </c>
      <c r="B2644" s="1" t="str">
        <f aca="false">TRIM(A2644)</f>
        <v>+15, 19, KADABRA</v>
      </c>
    </row>
    <row r="2645" customFormat="false" ht="12.75" hidden="false" customHeight="true" outlineLevel="0" collapsed="false">
      <c r="A2645" s="2"/>
      <c r="B2645" s="1" t="str">
        <f aca="false">TRIM(A2645)</f>
        <v/>
      </c>
    </row>
    <row r="2646" customFormat="false" ht="12.75" hidden="false" customHeight="true" outlineLevel="0" collapsed="false">
      <c r="A2646" s="1" t="s">
        <v>1212</v>
      </c>
      <c r="B2646" s="1" t="str">
        <f aca="false">TRIM(A2646)</f>
        <v># 1%</v>
      </c>
    </row>
    <row r="2647" customFormat="false" ht="12.75" hidden="false" customHeight="true" outlineLevel="0" collapsed="false">
      <c r="A2647" s="1" t="s">
        <v>1921</v>
      </c>
      <c r="B2647" s="1" t="str">
        <f aca="false">TRIM(A2647)</f>
        <v>+22, 22, ARBOK</v>
      </c>
    </row>
    <row r="2648" customFormat="false" ht="12.75" hidden="false" customHeight="true" outlineLevel="0" collapsed="false">
      <c r="A2648" s="1" t="s">
        <v>2729</v>
      </c>
      <c r="B2648" s="1" t="str">
        <f aca="false">TRIM(A2648)</f>
        <v>+22, 22, LICKITUNG</v>
      </c>
    </row>
    <row r="2649" customFormat="false" ht="12.75" hidden="false" customHeight="true" outlineLevel="0" collapsed="false">
      <c r="A2649" s="1" t="s">
        <v>2711</v>
      </c>
      <c r="B2649" s="1" t="str">
        <f aca="false">TRIM(A2649)</f>
        <v>2, 38, 42, TENTACOOL</v>
      </c>
    </row>
    <row r="2650" customFormat="false" ht="12.75" hidden="false" customHeight="true" outlineLevel="0" collapsed="false">
      <c r="A2650" s="1" t="s">
        <v>1900</v>
      </c>
      <c r="B2650" s="1" t="str">
        <f aca="false">TRIM(A2650)</f>
        <v>+40, 44, TENTACRUEL</v>
      </c>
    </row>
    <row r="2651" customFormat="false" ht="12.75" hidden="false" customHeight="true" outlineLevel="0" collapsed="false">
      <c r="A2651" s="1" t="s">
        <v>1449</v>
      </c>
      <c r="B2651" s="1" t="str">
        <f aca="false">TRIM(A2651)</f>
        <v>+42, 46, LAPRAS</v>
      </c>
    </row>
    <row r="2652" customFormat="false" ht="12.75" hidden="false" customHeight="true" outlineLevel="0" collapsed="false">
      <c r="A2652" s="1" t="s">
        <v>1901</v>
      </c>
      <c r="B2652" s="1" t="str">
        <f aca="false">TRIM(A2652)</f>
        <v>+42, 46, TENTACATE</v>
      </c>
    </row>
    <row r="2653" customFormat="false" ht="12.75" hidden="false" customHeight="true" outlineLevel="0" collapsed="false">
      <c r="A2653" s="1" t="s">
        <v>2730</v>
      </c>
      <c r="B2653" s="1" t="str">
        <f aca="false">TRIM(A2653)</f>
        <v>+44, 48, LOCHLASS</v>
      </c>
    </row>
    <row r="2654" customFormat="false" ht="12.75" hidden="false" customHeight="true" outlineLevel="0" collapsed="false">
      <c r="A2654" s="1" t="s">
        <v>2572</v>
      </c>
      <c r="B2654" s="1" t="str">
        <f aca="false">TRIM(A2654)</f>
        <v>20, # old rod:</v>
      </c>
    </row>
    <row r="2655" customFormat="false" ht="12.75" hidden="false" customHeight="true" outlineLevel="0" collapsed="false">
      <c r="A2655" s="1" t="s">
        <v>1349</v>
      </c>
      <c r="B2655" s="1" t="str">
        <f aca="false">TRIM(A2655)</f>
        <v>19, 26, MAGIKARP</v>
      </c>
    </row>
    <row r="2656" customFormat="false" ht="12.75" hidden="false" customHeight="true" outlineLevel="0" collapsed="false">
      <c r="A2656" s="1" t="s">
        <v>1819</v>
      </c>
      <c r="B2656" s="1" t="str">
        <f aca="false">TRIM(A2656)</f>
        <v>+19, 26, GYARADOS</v>
      </c>
    </row>
    <row r="2657" customFormat="false" ht="12.75" hidden="false" customHeight="true" outlineLevel="0" collapsed="false">
      <c r="A2657" s="2"/>
      <c r="B2657" s="1" t="str">
        <f aca="false">TRIM(A2657)</f>
        <v/>
      </c>
    </row>
    <row r="2658" customFormat="false" ht="12.75" hidden="false" customHeight="true" outlineLevel="0" collapsed="false">
      <c r="A2658" s="1" t="s">
        <v>1268</v>
      </c>
      <c r="B2658" s="1" t="str">
        <f aca="false">TRIM(A2658)</f>
        <v># good rod:</v>
      </c>
    </row>
    <row r="2659" customFormat="false" ht="12.75" hidden="false" customHeight="true" outlineLevel="0" collapsed="false">
      <c r="A2659" s="1" t="s">
        <v>1903</v>
      </c>
      <c r="B2659" s="1" t="str">
        <f aca="false">TRIM(A2659)</f>
        <v>+29, 33, HORSEA</v>
      </c>
    </row>
    <row r="2660" customFormat="false" ht="12.75" hidden="false" customHeight="true" outlineLevel="0" collapsed="false">
      <c r="A2660" s="1" t="s">
        <v>1924</v>
      </c>
      <c r="B2660" s="1" t="str">
        <f aca="false">TRIM(A2660)</f>
        <v>+30, 35, SHELLDER</v>
      </c>
    </row>
    <row r="2661" customFormat="false" ht="12.75" hidden="false" customHeight="true" outlineLevel="0" collapsed="false">
      <c r="A2661" s="1" t="s">
        <v>1925</v>
      </c>
      <c r="B2661" s="1" t="str">
        <f aca="false">TRIM(A2661)</f>
        <v>+30, 35, STARYU</v>
      </c>
    </row>
    <row r="2662" customFormat="false" ht="12.75" hidden="false" customHeight="true" outlineLevel="0" collapsed="false">
      <c r="A2662" s="2"/>
      <c r="B2662" s="1" t="str">
        <f aca="false">TRIM(A2662)</f>
        <v/>
      </c>
    </row>
    <row r="2663" customFormat="false" ht="12.75" hidden="false" customHeight="true" outlineLevel="0" collapsed="false">
      <c r="A2663" s="1" t="s">
        <v>1272</v>
      </c>
      <c r="B2663" s="1" t="str">
        <f aca="false">TRIM(A2663)</f>
        <v># super rod:</v>
      </c>
    </row>
    <row r="2664" customFormat="false" ht="12.75" hidden="false" customHeight="true" outlineLevel="0" collapsed="false">
      <c r="A2664" s="1" t="s">
        <v>1453</v>
      </c>
      <c r="B2664" s="1" t="str">
        <f aca="false">TRIM(A2664)</f>
        <v>+29, 33, SEADRA</v>
      </c>
    </row>
    <row r="2665" customFormat="false" ht="12.75" hidden="false" customHeight="true" outlineLevel="0" collapsed="false">
      <c r="A2665" s="1" t="s">
        <v>1823</v>
      </c>
      <c r="B2665" s="1" t="str">
        <f aca="false">TRIM(A2665)</f>
        <v>+36, 40, GYARADOS</v>
      </c>
    </row>
    <row r="2666" customFormat="false" ht="12.75" hidden="false" customHeight="true" outlineLevel="0" collapsed="false">
      <c r="A2666" s="1" t="s">
        <v>1926</v>
      </c>
      <c r="B2666" s="1" t="str">
        <f aca="false">TRIM(A2666)</f>
        <v>+38, 42, STARMIE</v>
      </c>
    </row>
    <row r="2667" customFormat="false" ht="12.75" hidden="false" customHeight="true" outlineLevel="0" collapsed="false">
      <c r="A2667" s="1" t="s">
        <v>1927</v>
      </c>
      <c r="B2667" s="1" t="str">
        <f aca="false">TRIM(A2667)</f>
        <v>+38, 42, CLOYSTER</v>
      </c>
    </row>
    <row r="2668" customFormat="false" ht="12.75" hidden="false" customHeight="true" outlineLevel="0" collapsed="false">
      <c r="A2668" s="1" t="s">
        <v>2731</v>
      </c>
      <c r="B2668" s="1" t="str">
        <f aca="false">TRIM(A2668)</f>
        <v>+38, 42, STARUS</v>
      </c>
    </row>
    <row r="2669" customFormat="false" ht="12.75" hidden="false" customHeight="true" outlineLevel="0" collapsed="false">
      <c r="A2669" s="1" t="s">
        <v>2536</v>
      </c>
      <c r="B2669" s="1" t="str">
        <f aca="false">TRIM(A2669)</f>
        <v>NEW ROUTE</v>
      </c>
    </row>
    <row r="2670" customFormat="false" ht="12.75" hidden="false" customHeight="true" outlineLevel="0" collapsed="false">
      <c r="A2670" s="1" t="s">
        <v>2732</v>
      </c>
      <c r="B2670" s="1" t="str">
        <f aca="false">TRIM(A2670)</f>
        <v>+3, 30, 0,</v>
      </c>
    </row>
    <row r="2671" customFormat="false" ht="12.75" hidden="false" customHeight="true" outlineLevel="0" collapsed="false">
      <c r="A2671" s="1" t="s">
        <v>2568</v>
      </c>
      <c r="B2671" s="1" t="str">
        <f aca="false">TRIM(A2671)</f>
        <v>21, # 20%</v>
      </c>
    </row>
    <row r="2672" customFormat="false" ht="12.75" hidden="false" customHeight="true" outlineLevel="0" collapsed="false">
      <c r="A2672" s="1" t="s">
        <v>1930</v>
      </c>
      <c r="B2672" s="1" t="str">
        <f aca="false">TRIM(A2672)</f>
        <v>29, 34, BELLSPROUT</v>
      </c>
    </row>
    <row r="2673" customFormat="false" ht="12.75" hidden="false" customHeight="true" outlineLevel="0" collapsed="false">
      <c r="A2673" s="1" t="s">
        <v>1931</v>
      </c>
      <c r="B2673" s="1" t="str">
        <f aca="false">TRIM(A2673)</f>
        <v>+29, 34, PIDGEOTTO</v>
      </c>
    </row>
    <row r="2674" customFormat="false" ht="12.75" hidden="false" customHeight="true" outlineLevel="0" collapsed="false">
      <c r="A2674" s="2"/>
      <c r="B2674" s="1" t="str">
        <f aca="false">TRIM(A2674)</f>
        <v/>
      </c>
    </row>
    <row r="2675" customFormat="false" ht="12.75" hidden="false" customHeight="true" outlineLevel="0" collapsed="false">
      <c r="A2675" s="1" t="s">
        <v>1209</v>
      </c>
      <c r="B2675" s="1" t="str">
        <f aca="false">TRIM(A2675)</f>
        <v># 10%</v>
      </c>
    </row>
    <row r="2676" customFormat="false" ht="12.75" hidden="false" customHeight="true" outlineLevel="0" collapsed="false">
      <c r="A2676" s="1" t="s">
        <v>1932</v>
      </c>
      <c r="B2676" s="1" t="str">
        <f aca="false">TRIM(A2676)</f>
        <v>+29, 31, WEEPINBELL</v>
      </c>
    </row>
    <row r="2677" customFormat="false" ht="12.75" hidden="false" customHeight="true" outlineLevel="0" collapsed="false">
      <c r="A2677" s="1" t="s">
        <v>1933</v>
      </c>
      <c r="B2677" s="1" t="str">
        <f aca="false">TRIM(A2677)</f>
        <v>+29, 31, DODUO</v>
      </c>
    </row>
    <row r="2678" customFormat="false" ht="12.75" hidden="false" customHeight="true" outlineLevel="0" collapsed="false">
      <c r="A2678" s="1" t="s">
        <v>1934</v>
      </c>
      <c r="B2678" s="1" t="str">
        <f aca="false">TRIM(A2678)</f>
        <v>+31, 31, PIDGEOT</v>
      </c>
    </row>
    <row r="2679" customFormat="false" ht="12.75" hidden="false" customHeight="true" outlineLevel="0" collapsed="false">
      <c r="A2679" s="1" t="s">
        <v>1935</v>
      </c>
      <c r="B2679" s="1" t="str">
        <f aca="false">TRIM(A2679)</f>
        <v>+29, 31, EXEGGCUTE</v>
      </c>
    </row>
    <row r="2680" customFormat="false" ht="12.75" hidden="false" customHeight="true" outlineLevel="0" collapsed="false">
      <c r="A2680" s="2"/>
      <c r="B2680" s="1" t="str">
        <f aca="false">TRIM(A2680)</f>
        <v/>
      </c>
    </row>
    <row r="2681" customFormat="false" ht="12.75" hidden="false" customHeight="true" outlineLevel="0" collapsed="false">
      <c r="A2681" s="1" t="s">
        <v>1210</v>
      </c>
      <c r="B2681" s="1" t="str">
        <f aca="false">TRIM(A2681)</f>
        <v># 5%</v>
      </c>
    </row>
    <row r="2682" customFormat="false" ht="12.75" hidden="false" customHeight="true" outlineLevel="0" collapsed="false">
      <c r="A2682" s="1" t="s">
        <v>1936</v>
      </c>
      <c r="B2682" s="1" t="str">
        <f aca="false">TRIM(A2682)</f>
        <v>+30, 34, SCYTHER</v>
      </c>
    </row>
    <row r="2683" customFormat="false" ht="12.75" hidden="false" customHeight="true" outlineLevel="0" collapsed="false">
      <c r="A2683" s="1" t="s">
        <v>1937</v>
      </c>
      <c r="B2683" s="1" t="str">
        <f aca="false">TRIM(A2683)</f>
        <v>+30, 34, JYNX</v>
      </c>
    </row>
    <row r="2684" customFormat="false" ht="12.75" hidden="false" customHeight="true" outlineLevel="0" collapsed="false">
      <c r="A2684" s="2"/>
      <c r="B2684" s="1" t="str">
        <f aca="false">TRIM(A2684)</f>
        <v/>
      </c>
    </row>
    <row r="2685" customFormat="false" ht="12.75" hidden="false" customHeight="true" outlineLevel="0" collapsed="false">
      <c r="A2685" s="1" t="s">
        <v>1211</v>
      </c>
      <c r="B2685" s="1" t="str">
        <f aca="false">TRIM(A2685)</f>
        <v># 4%</v>
      </c>
    </row>
    <row r="2686" customFormat="false" ht="12.75" hidden="false" customHeight="true" outlineLevel="0" collapsed="false">
      <c r="A2686" s="1" t="s">
        <v>1938</v>
      </c>
      <c r="B2686" s="1" t="str">
        <f aca="false">TRIM(A2686)</f>
        <v>+31, 31, DODRIO</v>
      </c>
    </row>
    <row r="2687" customFormat="false" ht="12.75" hidden="false" customHeight="true" outlineLevel="0" collapsed="false">
      <c r="A2687" s="1" t="s">
        <v>1939</v>
      </c>
      <c r="B2687" s="1" t="str">
        <f aca="false">TRIM(A2687)</f>
        <v>+31, 31, EXEGGUTOR</v>
      </c>
    </row>
    <row r="2688" customFormat="false" ht="12.75" hidden="false" customHeight="true" outlineLevel="0" collapsed="false">
      <c r="A2688" s="2"/>
      <c r="B2688" s="1" t="str">
        <f aca="false">TRIM(A2688)</f>
        <v/>
      </c>
    </row>
    <row r="2689" customFormat="false" ht="12.75" hidden="false" customHeight="true" outlineLevel="0" collapsed="false">
      <c r="A2689" s="1" t="s">
        <v>1212</v>
      </c>
      <c r="B2689" s="1" t="str">
        <f aca="false">TRIM(A2689)</f>
        <v># 1%</v>
      </c>
    </row>
    <row r="2690" customFormat="false" ht="12.75" hidden="false" customHeight="true" outlineLevel="0" collapsed="false">
      <c r="A2690" s="1" t="s">
        <v>1940</v>
      </c>
      <c r="B2690" s="1" t="str">
        <f aca="false">TRIM(A2690)</f>
        <v>+29, 34, VICTREEBEL</v>
      </c>
    </row>
    <row r="2691" customFormat="false" ht="12.75" hidden="false" customHeight="true" outlineLevel="0" collapsed="false">
      <c r="A2691" s="1" t="s">
        <v>2733</v>
      </c>
      <c r="B2691" s="1" t="str">
        <f aca="false">TRIM(A2691)</f>
        <v>+20, 25, SQUIRTLE</v>
      </c>
    </row>
    <row r="2692" customFormat="false" ht="12.75" hidden="false" customHeight="true" outlineLevel="0" collapsed="false">
      <c r="A2692" s="1" t="s">
        <v>2711</v>
      </c>
      <c r="B2692" s="1" t="str">
        <f aca="false">TRIM(A2692)</f>
        <v>2, 38, 42, TENTACOOL</v>
      </c>
    </row>
    <row r="2693" customFormat="false" ht="12.75" hidden="false" customHeight="true" outlineLevel="0" collapsed="false">
      <c r="A2693" s="1" t="s">
        <v>1900</v>
      </c>
      <c r="B2693" s="1" t="str">
        <f aca="false">TRIM(A2693)</f>
        <v>+40, 44, TENTACRUEL</v>
      </c>
    </row>
    <row r="2694" customFormat="false" ht="12.75" hidden="false" customHeight="true" outlineLevel="0" collapsed="false">
      <c r="A2694" s="1" t="s">
        <v>1449</v>
      </c>
      <c r="B2694" s="1" t="str">
        <f aca="false">TRIM(A2694)</f>
        <v>+42, 46, LAPRAS</v>
      </c>
    </row>
    <row r="2695" customFormat="false" ht="12.75" hidden="false" customHeight="true" outlineLevel="0" collapsed="false">
      <c r="A2695" s="1" t="s">
        <v>1901</v>
      </c>
      <c r="B2695" s="1" t="str">
        <f aca="false">TRIM(A2695)</f>
        <v>+42, 46, TENTACATE</v>
      </c>
    </row>
    <row r="2696" customFormat="false" ht="12.75" hidden="false" customHeight="true" outlineLevel="0" collapsed="false">
      <c r="A2696" s="1" t="s">
        <v>2730</v>
      </c>
      <c r="B2696" s="1" t="str">
        <f aca="false">TRIM(A2696)</f>
        <v>+44, 48, LOCHLASS</v>
      </c>
    </row>
    <row r="2697" customFormat="false" ht="12.75" hidden="false" customHeight="true" outlineLevel="0" collapsed="false">
      <c r="A2697" s="1" t="s">
        <v>2734</v>
      </c>
      <c r="B2697" s="1" t="str">
        <f aca="false">TRIM(A2697)</f>
        <v>60, # old rod:</v>
      </c>
    </row>
    <row r="2698" customFormat="false" ht="12.75" hidden="false" customHeight="true" outlineLevel="0" collapsed="false">
      <c r="A2698" s="1" t="s">
        <v>1349</v>
      </c>
      <c r="B2698" s="1" t="str">
        <f aca="false">TRIM(A2698)</f>
        <v>19, 26, MAGIKARP</v>
      </c>
    </row>
    <row r="2699" customFormat="false" ht="12.75" hidden="false" customHeight="true" outlineLevel="0" collapsed="false">
      <c r="A2699" s="1" t="s">
        <v>1819</v>
      </c>
      <c r="B2699" s="1" t="str">
        <f aca="false">TRIM(A2699)</f>
        <v>+19, 26, GYARADOS</v>
      </c>
    </row>
    <row r="2700" customFormat="false" ht="12.75" hidden="false" customHeight="true" outlineLevel="0" collapsed="false">
      <c r="A2700" s="2"/>
      <c r="B2700" s="1" t="str">
        <f aca="false">TRIM(A2700)</f>
        <v/>
      </c>
    </row>
    <row r="2701" customFormat="false" ht="12.75" hidden="false" customHeight="true" outlineLevel="0" collapsed="false">
      <c r="A2701" s="1" t="s">
        <v>1268</v>
      </c>
      <c r="B2701" s="1" t="str">
        <f aca="false">TRIM(A2701)</f>
        <v># good rod:</v>
      </c>
    </row>
    <row r="2702" customFormat="false" ht="12.75" hidden="false" customHeight="true" outlineLevel="0" collapsed="false">
      <c r="A2702" s="1" t="s">
        <v>1903</v>
      </c>
      <c r="B2702" s="1" t="str">
        <f aca="false">TRIM(A2702)</f>
        <v>+29, 33, HORSEA</v>
      </c>
    </row>
    <row r="2703" customFormat="false" ht="12.75" hidden="false" customHeight="true" outlineLevel="0" collapsed="false">
      <c r="A2703" s="1" t="s">
        <v>1454</v>
      </c>
      <c r="B2703" s="1" t="str">
        <f aca="false">TRIM(A2703)</f>
        <v>+30, 35, KRABBY</v>
      </c>
    </row>
    <row r="2704" customFormat="false" ht="12.75" hidden="false" customHeight="true" outlineLevel="0" collapsed="false">
      <c r="A2704" s="1" t="s">
        <v>1821</v>
      </c>
      <c r="B2704" s="1" t="str">
        <f aca="false">TRIM(A2704)</f>
        <v>+30, 35, PSYDUCK</v>
      </c>
    </row>
    <row r="2705" customFormat="false" ht="12.75" hidden="false" customHeight="true" outlineLevel="0" collapsed="false">
      <c r="A2705" s="2"/>
      <c r="B2705" s="1" t="str">
        <f aca="false">TRIM(A2705)</f>
        <v/>
      </c>
    </row>
    <row r="2706" customFormat="false" ht="12.75" hidden="false" customHeight="true" outlineLevel="0" collapsed="false">
      <c r="A2706" s="1" t="s">
        <v>1272</v>
      </c>
      <c r="B2706" s="1" t="str">
        <f aca="false">TRIM(A2706)</f>
        <v># super rod:</v>
      </c>
    </row>
    <row r="2707" customFormat="false" ht="12.75" hidden="false" customHeight="true" outlineLevel="0" collapsed="false">
      <c r="A2707" s="1" t="s">
        <v>1905</v>
      </c>
      <c r="B2707" s="1" t="str">
        <f aca="false">TRIM(A2707)</f>
        <v>+36, 40, SEADRA</v>
      </c>
    </row>
    <row r="2708" customFormat="false" ht="12.75" hidden="false" customHeight="true" outlineLevel="0" collapsed="false">
      <c r="A2708" s="1" t="s">
        <v>1823</v>
      </c>
      <c r="B2708" s="1" t="str">
        <f aca="false">TRIM(A2708)</f>
        <v>+36, 40, GYARADOS</v>
      </c>
    </row>
    <row r="2709" customFormat="false" ht="12.75" hidden="false" customHeight="true" outlineLevel="0" collapsed="false">
      <c r="A2709" s="1" t="s">
        <v>1824</v>
      </c>
      <c r="B2709" s="1" t="str">
        <f aca="false">TRIM(A2709)</f>
        <v>+38, 42, GOLDUCK</v>
      </c>
    </row>
    <row r="2710" customFormat="false" ht="12.75" hidden="false" customHeight="true" outlineLevel="0" collapsed="false">
      <c r="A2710" s="1" t="s">
        <v>1825</v>
      </c>
      <c r="B2710" s="1" t="str">
        <f aca="false">TRIM(A2710)</f>
        <v>+38, 42, KINGLER</v>
      </c>
    </row>
    <row r="2711" customFormat="false" ht="12.75" hidden="false" customHeight="true" outlineLevel="0" collapsed="false">
      <c r="A2711" s="1" t="s">
        <v>2727</v>
      </c>
      <c r="B2711" s="1" t="str">
        <f aca="false">TRIM(A2711)</f>
        <v>+40, 44, GILDUCK</v>
      </c>
    </row>
    <row r="2712" customFormat="false" ht="12.75" hidden="false" customHeight="true" outlineLevel="0" collapsed="false">
      <c r="A2712" s="1" t="s">
        <v>2536</v>
      </c>
      <c r="B2712" s="1" t="str">
        <f aca="false">TRIM(A2712)</f>
        <v>NEW ROUTE</v>
      </c>
    </row>
    <row r="2713" customFormat="false" ht="12.75" hidden="false" customHeight="true" outlineLevel="0" collapsed="false">
      <c r="A2713" s="1" t="s">
        <v>2735</v>
      </c>
      <c r="B2713" s="1" t="str">
        <f aca="false">TRIM(A2713)</f>
        <v>+3, 31, 0,</v>
      </c>
    </row>
    <row r="2714" customFormat="false" ht="12.75" hidden="false" customHeight="true" outlineLevel="0" collapsed="false">
      <c r="A2714" s="1" t="s">
        <v>2568</v>
      </c>
      <c r="B2714" s="1" t="str">
        <f aca="false">TRIM(A2714)</f>
        <v>21, # 20%</v>
      </c>
    </row>
    <row r="2715" customFormat="false" ht="12.75" hidden="false" customHeight="true" outlineLevel="0" collapsed="false">
      <c r="A2715" s="1" t="s">
        <v>1944</v>
      </c>
      <c r="B2715" s="1" t="str">
        <f aca="false">TRIM(A2715)</f>
        <v>30, 35, BELLSPROUT</v>
      </c>
    </row>
    <row r="2716" customFormat="false" ht="12.75" hidden="false" customHeight="true" outlineLevel="0" collapsed="false">
      <c r="A2716" s="1" t="s">
        <v>1945</v>
      </c>
      <c r="B2716" s="1" t="str">
        <f aca="false">TRIM(A2716)</f>
        <v>+30, 35, PIDGEOTTO</v>
      </c>
    </row>
    <row r="2717" customFormat="false" ht="12.75" hidden="false" customHeight="true" outlineLevel="0" collapsed="false">
      <c r="A2717" s="2"/>
      <c r="B2717" s="1" t="str">
        <f aca="false">TRIM(A2717)</f>
        <v/>
      </c>
    </row>
    <row r="2718" customFormat="false" ht="12.75" hidden="false" customHeight="true" outlineLevel="0" collapsed="false">
      <c r="A2718" s="1" t="s">
        <v>1209</v>
      </c>
      <c r="B2718" s="1" t="str">
        <f aca="false">TRIM(A2718)</f>
        <v># 10%</v>
      </c>
    </row>
    <row r="2719" customFormat="false" ht="12.75" hidden="false" customHeight="true" outlineLevel="0" collapsed="false">
      <c r="A2719" s="1" t="s">
        <v>1946</v>
      </c>
      <c r="B2719" s="1" t="str">
        <f aca="false">TRIM(A2719)</f>
        <v>+30, 32, WEEPINBELL</v>
      </c>
    </row>
    <row r="2720" customFormat="false" ht="12.75" hidden="false" customHeight="true" outlineLevel="0" collapsed="false">
      <c r="A2720" s="1" t="s">
        <v>1947</v>
      </c>
      <c r="B2720" s="1" t="str">
        <f aca="false">TRIM(A2720)</f>
        <v>+30, 32, DODUO</v>
      </c>
    </row>
    <row r="2721" customFormat="false" ht="12.75" hidden="false" customHeight="true" outlineLevel="0" collapsed="false">
      <c r="A2721" s="1" t="s">
        <v>1948</v>
      </c>
      <c r="B2721" s="1" t="str">
        <f aca="false">TRIM(A2721)</f>
        <v>+32, 32, PIDGEOT</v>
      </c>
    </row>
    <row r="2722" customFormat="false" ht="12.75" hidden="false" customHeight="true" outlineLevel="0" collapsed="false">
      <c r="A2722" s="1" t="s">
        <v>1949</v>
      </c>
      <c r="B2722" s="1" t="str">
        <f aca="false">TRIM(A2722)</f>
        <v>+30, 32, EXEGGCUTE</v>
      </c>
    </row>
    <row r="2723" customFormat="false" ht="12.75" hidden="false" customHeight="true" outlineLevel="0" collapsed="false">
      <c r="A2723" s="2"/>
      <c r="B2723" s="1" t="str">
        <f aca="false">TRIM(A2723)</f>
        <v/>
      </c>
    </row>
    <row r="2724" customFormat="false" ht="12.75" hidden="false" customHeight="true" outlineLevel="0" collapsed="false">
      <c r="A2724" s="1" t="s">
        <v>1210</v>
      </c>
      <c r="B2724" s="1" t="str">
        <f aca="false">TRIM(A2724)</f>
        <v># 5%</v>
      </c>
    </row>
    <row r="2725" customFormat="false" ht="12.75" hidden="false" customHeight="true" outlineLevel="0" collapsed="false">
      <c r="A2725" s="1" t="s">
        <v>1950</v>
      </c>
      <c r="B2725" s="1" t="str">
        <f aca="false">TRIM(A2725)</f>
        <v>+31, 35, SCYTHER</v>
      </c>
    </row>
    <row r="2726" customFormat="false" ht="12.75" hidden="false" customHeight="true" outlineLevel="0" collapsed="false">
      <c r="A2726" s="1" t="s">
        <v>1951</v>
      </c>
      <c r="B2726" s="1" t="str">
        <f aca="false">TRIM(A2726)</f>
        <v>+31, 35, JYNX</v>
      </c>
    </row>
    <row r="2727" customFormat="false" ht="12.75" hidden="false" customHeight="true" outlineLevel="0" collapsed="false">
      <c r="A2727" s="2"/>
      <c r="B2727" s="1" t="str">
        <f aca="false">TRIM(A2727)</f>
        <v/>
      </c>
    </row>
    <row r="2728" customFormat="false" ht="12.75" hidden="false" customHeight="true" outlineLevel="0" collapsed="false">
      <c r="A2728" s="1" t="s">
        <v>1211</v>
      </c>
      <c r="B2728" s="1" t="str">
        <f aca="false">TRIM(A2728)</f>
        <v># 4%</v>
      </c>
    </row>
    <row r="2729" customFormat="false" ht="12.75" hidden="false" customHeight="true" outlineLevel="0" collapsed="false">
      <c r="A2729" s="1" t="s">
        <v>1952</v>
      </c>
      <c r="B2729" s="1" t="str">
        <f aca="false">TRIM(A2729)</f>
        <v>+32, 32, DODRIO</v>
      </c>
    </row>
    <row r="2730" customFormat="false" ht="12.75" hidden="false" customHeight="true" outlineLevel="0" collapsed="false">
      <c r="A2730" s="1" t="s">
        <v>1953</v>
      </c>
      <c r="B2730" s="1" t="str">
        <f aca="false">TRIM(A2730)</f>
        <v>+32, 32, EXEGGUTOR</v>
      </c>
    </row>
    <row r="2731" customFormat="false" ht="12.75" hidden="false" customHeight="true" outlineLevel="0" collapsed="false">
      <c r="A2731" s="2"/>
      <c r="B2731" s="1" t="str">
        <f aca="false">TRIM(A2731)</f>
        <v/>
      </c>
    </row>
    <row r="2732" customFormat="false" ht="12.75" hidden="false" customHeight="true" outlineLevel="0" collapsed="false">
      <c r="A2732" s="1" t="s">
        <v>1212</v>
      </c>
      <c r="B2732" s="1" t="str">
        <f aca="false">TRIM(A2732)</f>
        <v># 1%</v>
      </c>
    </row>
    <row r="2733" customFormat="false" ht="12.75" hidden="false" customHeight="true" outlineLevel="0" collapsed="false">
      <c r="A2733" s="1" t="s">
        <v>1954</v>
      </c>
      <c r="B2733" s="1" t="str">
        <f aca="false">TRIM(A2733)</f>
        <v>+30, 35, VICTREEBEL</v>
      </c>
    </row>
    <row r="2734" customFormat="false" ht="12.75" hidden="false" customHeight="true" outlineLevel="0" collapsed="false">
      <c r="A2734" s="1" t="s">
        <v>2733</v>
      </c>
      <c r="B2734" s="1" t="str">
        <f aca="false">TRIM(A2734)</f>
        <v>+20, 25, SQUIRTLE</v>
      </c>
    </row>
    <row r="2735" customFormat="false" ht="12.75" hidden="false" customHeight="true" outlineLevel="0" collapsed="false">
      <c r="A2735" s="1" t="s">
        <v>2711</v>
      </c>
      <c r="B2735" s="1" t="str">
        <f aca="false">TRIM(A2735)</f>
        <v>2, 38, 42, TENTACOOL</v>
      </c>
    </row>
    <row r="2736" customFormat="false" ht="12.75" hidden="false" customHeight="true" outlineLevel="0" collapsed="false">
      <c r="A2736" s="1" t="s">
        <v>1900</v>
      </c>
      <c r="B2736" s="1" t="str">
        <f aca="false">TRIM(A2736)</f>
        <v>+40, 44, TENTACRUEL</v>
      </c>
    </row>
    <row r="2737" customFormat="false" ht="12.75" hidden="false" customHeight="true" outlineLevel="0" collapsed="false">
      <c r="A2737" s="1" t="s">
        <v>1449</v>
      </c>
      <c r="B2737" s="1" t="str">
        <f aca="false">TRIM(A2737)</f>
        <v>+42, 46, LAPRAS</v>
      </c>
    </row>
    <row r="2738" customFormat="false" ht="12.75" hidden="false" customHeight="true" outlineLevel="0" collapsed="false">
      <c r="A2738" s="1" t="s">
        <v>1901</v>
      </c>
      <c r="B2738" s="1" t="str">
        <f aca="false">TRIM(A2738)</f>
        <v>+42, 46, TENTACATE</v>
      </c>
    </row>
    <row r="2739" customFormat="false" ht="12.75" hidden="false" customHeight="true" outlineLevel="0" collapsed="false">
      <c r="A2739" s="1" t="s">
        <v>2730</v>
      </c>
      <c r="B2739" s="1" t="str">
        <f aca="false">TRIM(A2739)</f>
        <v>+44, 48, LOCHLASS</v>
      </c>
    </row>
    <row r="2740" customFormat="false" ht="12.75" hidden="false" customHeight="true" outlineLevel="0" collapsed="false">
      <c r="A2740" s="1" t="s">
        <v>2572</v>
      </c>
      <c r="B2740" s="1" t="str">
        <f aca="false">TRIM(A2740)</f>
        <v>20, # old rod:</v>
      </c>
    </row>
    <row r="2741" customFormat="false" ht="12.75" hidden="false" customHeight="true" outlineLevel="0" collapsed="false">
      <c r="A2741" s="1" t="s">
        <v>1349</v>
      </c>
      <c r="B2741" s="1" t="str">
        <f aca="false">TRIM(A2741)</f>
        <v>19, 26, MAGIKARP</v>
      </c>
    </row>
    <row r="2742" customFormat="false" ht="12.75" hidden="false" customHeight="true" outlineLevel="0" collapsed="false">
      <c r="A2742" s="1" t="s">
        <v>1819</v>
      </c>
      <c r="B2742" s="1" t="str">
        <f aca="false">TRIM(A2742)</f>
        <v>+19, 26, GYARADOS</v>
      </c>
    </row>
    <row r="2743" customFormat="false" ht="12.75" hidden="false" customHeight="true" outlineLevel="0" collapsed="false">
      <c r="A2743" s="2"/>
      <c r="B2743" s="1" t="str">
        <f aca="false">TRIM(A2743)</f>
        <v/>
      </c>
    </row>
    <row r="2744" customFormat="false" ht="12.75" hidden="false" customHeight="true" outlineLevel="0" collapsed="false">
      <c r="A2744" s="1" t="s">
        <v>1268</v>
      </c>
      <c r="B2744" s="1" t="str">
        <f aca="false">TRIM(A2744)</f>
        <v># good rod:</v>
      </c>
    </row>
    <row r="2745" customFormat="false" ht="12.75" hidden="false" customHeight="true" outlineLevel="0" collapsed="false">
      <c r="A2745" s="1" t="s">
        <v>1903</v>
      </c>
      <c r="B2745" s="1" t="str">
        <f aca="false">TRIM(A2745)</f>
        <v>+29, 33, HORSEA</v>
      </c>
    </row>
    <row r="2746" customFormat="false" ht="12.75" hidden="false" customHeight="true" outlineLevel="0" collapsed="false">
      <c r="A2746" s="1" t="s">
        <v>1454</v>
      </c>
      <c r="B2746" s="1" t="str">
        <f aca="false">TRIM(A2746)</f>
        <v>+30, 35, KRABBY</v>
      </c>
    </row>
    <row r="2747" customFormat="false" ht="12.75" hidden="false" customHeight="true" outlineLevel="0" collapsed="false">
      <c r="A2747" s="1" t="s">
        <v>1821</v>
      </c>
      <c r="B2747" s="1" t="str">
        <f aca="false">TRIM(A2747)</f>
        <v>+30, 35, PSYDUCK</v>
      </c>
    </row>
    <row r="2748" customFormat="false" ht="12.75" hidden="false" customHeight="true" outlineLevel="0" collapsed="false">
      <c r="A2748" s="2"/>
      <c r="B2748" s="1" t="str">
        <f aca="false">TRIM(A2748)</f>
        <v/>
      </c>
    </row>
    <row r="2749" customFormat="false" ht="12.75" hidden="false" customHeight="true" outlineLevel="0" collapsed="false">
      <c r="A2749" s="1" t="s">
        <v>1272</v>
      </c>
      <c r="B2749" s="1" t="str">
        <f aca="false">TRIM(A2749)</f>
        <v># super rod:</v>
      </c>
    </row>
    <row r="2750" customFormat="false" ht="12.75" hidden="false" customHeight="true" outlineLevel="0" collapsed="false">
      <c r="A2750" s="1" t="s">
        <v>1905</v>
      </c>
      <c r="B2750" s="1" t="str">
        <f aca="false">TRIM(A2750)</f>
        <v>+36, 40, SEADRA</v>
      </c>
    </row>
    <row r="2751" customFormat="false" ht="12.75" hidden="false" customHeight="true" outlineLevel="0" collapsed="false">
      <c r="A2751" s="1" t="s">
        <v>1823</v>
      </c>
      <c r="B2751" s="1" t="str">
        <f aca="false">TRIM(A2751)</f>
        <v>+36, 40, GYARADOS</v>
      </c>
    </row>
    <row r="2752" customFormat="false" ht="12.75" hidden="false" customHeight="true" outlineLevel="0" collapsed="false">
      <c r="A2752" s="1" t="s">
        <v>1824</v>
      </c>
      <c r="B2752" s="1" t="str">
        <f aca="false">TRIM(A2752)</f>
        <v>+38, 42, GOLDUCK</v>
      </c>
    </row>
    <row r="2753" customFormat="false" ht="12.75" hidden="false" customHeight="true" outlineLevel="0" collapsed="false">
      <c r="A2753" s="1" t="s">
        <v>1825</v>
      </c>
      <c r="B2753" s="1" t="str">
        <f aca="false">TRIM(A2753)</f>
        <v>+38, 42, KINGLER</v>
      </c>
    </row>
    <row r="2754" customFormat="false" ht="12.75" hidden="false" customHeight="true" outlineLevel="0" collapsed="false">
      <c r="A2754" s="1" t="s">
        <v>2727</v>
      </c>
      <c r="B2754" s="1" t="str">
        <f aca="false">TRIM(A2754)</f>
        <v>+40, 44, GILDUCK</v>
      </c>
    </row>
    <row r="2755" customFormat="false" ht="12.75" hidden="false" customHeight="true" outlineLevel="0" collapsed="false">
      <c r="A2755" s="1" t="s">
        <v>2536</v>
      </c>
      <c r="B2755" s="1" t="str">
        <f aca="false">TRIM(A2755)</f>
        <v>NEW ROUTE</v>
      </c>
    </row>
    <row r="2756" customFormat="false" ht="12.75" hidden="false" customHeight="true" outlineLevel="0" collapsed="false">
      <c r="A2756" s="1" t="s">
        <v>2736</v>
      </c>
      <c r="B2756" s="1" t="str">
        <f aca="false">TRIM(A2756)</f>
        <v>+3, 32, 0,</v>
      </c>
    </row>
    <row r="2757" customFormat="false" ht="12.75" hidden="false" customHeight="true" outlineLevel="0" collapsed="false">
      <c r="A2757" s="1" t="s">
        <v>2568</v>
      </c>
      <c r="B2757" s="1" t="str">
        <f aca="false">TRIM(A2757)</f>
        <v>21, # 20%</v>
      </c>
    </row>
    <row r="2758" customFormat="false" ht="12.75" hidden="false" customHeight="true" outlineLevel="0" collapsed="false">
      <c r="A2758" s="1" t="s">
        <v>1956</v>
      </c>
      <c r="B2758" s="1" t="str">
        <f aca="false">TRIM(A2758)</f>
        <v>32, 36, BELLSPROUT</v>
      </c>
    </row>
    <row r="2759" customFormat="false" ht="12.75" hidden="false" customHeight="true" outlineLevel="0" collapsed="false">
      <c r="A2759" s="1" t="s">
        <v>1957</v>
      </c>
      <c r="B2759" s="1" t="str">
        <f aca="false">TRIM(A2759)</f>
        <v>+32, 36, PIDGEOTTO</v>
      </c>
    </row>
    <row r="2760" customFormat="false" ht="12.75" hidden="false" customHeight="true" outlineLevel="0" collapsed="false">
      <c r="A2760" s="2"/>
      <c r="B2760" s="1" t="str">
        <f aca="false">TRIM(A2760)</f>
        <v/>
      </c>
    </row>
    <row r="2761" customFormat="false" ht="12.75" hidden="false" customHeight="true" outlineLevel="0" collapsed="false">
      <c r="A2761" s="1" t="s">
        <v>1209</v>
      </c>
      <c r="B2761" s="1" t="str">
        <f aca="false">TRIM(A2761)</f>
        <v># 10%</v>
      </c>
    </row>
    <row r="2762" customFormat="false" ht="12.75" hidden="false" customHeight="true" outlineLevel="0" collapsed="false">
      <c r="A2762" s="1" t="s">
        <v>1958</v>
      </c>
      <c r="B2762" s="1" t="str">
        <f aca="false">TRIM(A2762)</f>
        <v>+31, 33, WEEPINBELL</v>
      </c>
    </row>
    <row r="2763" customFormat="false" ht="12.75" hidden="false" customHeight="true" outlineLevel="0" collapsed="false">
      <c r="A2763" s="1" t="s">
        <v>1959</v>
      </c>
      <c r="B2763" s="1" t="str">
        <f aca="false">TRIM(A2763)</f>
        <v>+31, 33, DODUO</v>
      </c>
    </row>
    <row r="2764" customFormat="false" ht="12.75" hidden="false" customHeight="true" outlineLevel="0" collapsed="false">
      <c r="A2764" s="1" t="s">
        <v>1960</v>
      </c>
      <c r="B2764" s="1" t="str">
        <f aca="false">TRIM(A2764)</f>
        <v>+33, 33, PIDGEOT</v>
      </c>
    </row>
    <row r="2765" customFormat="false" ht="12.75" hidden="false" customHeight="true" outlineLevel="0" collapsed="false">
      <c r="A2765" s="1" t="s">
        <v>1961</v>
      </c>
      <c r="B2765" s="1" t="str">
        <f aca="false">TRIM(A2765)</f>
        <v>+31, 33, EXEGGCUTE</v>
      </c>
    </row>
    <row r="2766" customFormat="false" ht="12.75" hidden="false" customHeight="true" outlineLevel="0" collapsed="false">
      <c r="A2766" s="2"/>
      <c r="B2766" s="1" t="str">
        <f aca="false">TRIM(A2766)</f>
        <v/>
      </c>
    </row>
    <row r="2767" customFormat="false" ht="12.75" hidden="false" customHeight="true" outlineLevel="0" collapsed="false">
      <c r="A2767" s="1" t="s">
        <v>1210</v>
      </c>
      <c r="B2767" s="1" t="str">
        <f aca="false">TRIM(A2767)</f>
        <v># 5%</v>
      </c>
    </row>
    <row r="2768" customFormat="false" ht="12.75" hidden="false" customHeight="true" outlineLevel="0" collapsed="false">
      <c r="A2768" s="1" t="s">
        <v>1962</v>
      </c>
      <c r="B2768" s="1" t="str">
        <f aca="false">TRIM(A2768)</f>
        <v>+32, 36, SCYTHER</v>
      </c>
    </row>
    <row r="2769" customFormat="false" ht="12.75" hidden="false" customHeight="true" outlineLevel="0" collapsed="false">
      <c r="A2769" s="1" t="s">
        <v>1963</v>
      </c>
      <c r="B2769" s="1" t="str">
        <f aca="false">TRIM(A2769)</f>
        <v>+32, 36, JYNX</v>
      </c>
    </row>
    <row r="2770" customFormat="false" ht="12.75" hidden="false" customHeight="true" outlineLevel="0" collapsed="false">
      <c r="A2770" s="2"/>
      <c r="B2770" s="1" t="str">
        <f aca="false">TRIM(A2770)</f>
        <v/>
      </c>
    </row>
    <row r="2771" customFormat="false" ht="12.75" hidden="false" customHeight="true" outlineLevel="0" collapsed="false">
      <c r="A2771" s="1" t="s">
        <v>1211</v>
      </c>
      <c r="B2771" s="1" t="str">
        <f aca="false">TRIM(A2771)</f>
        <v># 4%</v>
      </c>
    </row>
    <row r="2772" customFormat="false" ht="12.75" hidden="false" customHeight="true" outlineLevel="0" collapsed="false">
      <c r="A2772" s="1" t="s">
        <v>1964</v>
      </c>
      <c r="B2772" s="1" t="str">
        <f aca="false">TRIM(A2772)</f>
        <v>+33, 33, DODRIO</v>
      </c>
    </row>
    <row r="2773" customFormat="false" ht="12.75" hidden="false" customHeight="true" outlineLevel="0" collapsed="false">
      <c r="A2773" s="1" t="s">
        <v>1965</v>
      </c>
      <c r="B2773" s="1" t="str">
        <f aca="false">TRIM(A2773)</f>
        <v>+33, 33, EXEGGUTOR</v>
      </c>
    </row>
    <row r="2774" customFormat="false" ht="12.75" hidden="false" customHeight="true" outlineLevel="0" collapsed="false">
      <c r="A2774" s="2"/>
      <c r="B2774" s="1" t="str">
        <f aca="false">TRIM(A2774)</f>
        <v/>
      </c>
    </row>
    <row r="2775" customFormat="false" ht="12.75" hidden="false" customHeight="true" outlineLevel="0" collapsed="false">
      <c r="A2775" s="1" t="s">
        <v>1212</v>
      </c>
      <c r="B2775" s="1" t="str">
        <f aca="false">TRIM(A2775)</f>
        <v># 1%</v>
      </c>
    </row>
    <row r="2776" customFormat="false" ht="12.75" hidden="false" customHeight="true" outlineLevel="0" collapsed="false">
      <c r="A2776" s="1" t="s">
        <v>1966</v>
      </c>
      <c r="B2776" s="1" t="str">
        <f aca="false">TRIM(A2776)</f>
        <v>+31, 36, VICTREEBEL</v>
      </c>
    </row>
    <row r="2777" customFormat="false" ht="12.75" hidden="false" customHeight="true" outlineLevel="0" collapsed="false">
      <c r="A2777" s="1" t="s">
        <v>2737</v>
      </c>
      <c r="B2777" s="1" t="str">
        <f aca="false">TRIM(A2777)</f>
        <v>+20, 25, SQUIRTLE , &lt;null&gt;, &lt;null&gt;, &lt;null&gt;</v>
      </c>
    </row>
    <row r="2778" customFormat="false" ht="12.75" hidden="false" customHeight="true" outlineLevel="0" collapsed="false">
      <c r="A2778" s="2"/>
      <c r="B2778" s="1" t="str">
        <f aca="false">TRIM(A2778)</f>
        <v/>
      </c>
    </row>
    <row r="2779" customFormat="false" ht="12.75" hidden="false" customHeight="true" outlineLevel="0" collapsed="false">
      <c r="A2779" s="1" t="s">
        <v>2536</v>
      </c>
      <c r="B2779" s="1" t="str">
        <f aca="false">TRIM(A2779)</f>
        <v>NEW ROUTE</v>
      </c>
    </row>
    <row r="2780" customFormat="false" ht="12.75" hidden="false" customHeight="true" outlineLevel="0" collapsed="false">
      <c r="A2780" s="1" t="s">
        <v>2738</v>
      </c>
      <c r="B2780" s="1" t="str">
        <f aca="false">TRIM(A2780)</f>
        <v>+3, 33, 0,</v>
      </c>
    </row>
    <row r="2781" customFormat="false" ht="12.75" hidden="false" customHeight="true" outlineLevel="0" collapsed="false">
      <c r="A2781" s="1" t="s">
        <v>2568</v>
      </c>
      <c r="B2781" s="1" t="str">
        <f aca="false">TRIM(A2781)</f>
        <v>21, # 20%</v>
      </c>
    </row>
    <row r="2782" customFormat="false" ht="12.75" hidden="false" customHeight="true" outlineLevel="0" collapsed="false">
      <c r="A2782" s="1" t="s">
        <v>1969</v>
      </c>
      <c r="B2782" s="1" t="str">
        <f aca="false">TRIM(A2782)</f>
        <v>33, 37, BELLSPROUT</v>
      </c>
    </row>
    <row r="2783" customFormat="false" ht="12.75" hidden="false" customHeight="true" outlineLevel="0" collapsed="false">
      <c r="A2783" s="1" t="s">
        <v>1970</v>
      </c>
      <c r="B2783" s="1" t="str">
        <f aca="false">TRIM(A2783)</f>
        <v>+33, 37, PIDGEOTTO</v>
      </c>
    </row>
    <row r="2784" customFormat="false" ht="12.75" hidden="false" customHeight="true" outlineLevel="0" collapsed="false">
      <c r="A2784" s="2"/>
      <c r="B2784" s="1" t="str">
        <f aca="false">TRIM(A2784)</f>
        <v/>
      </c>
    </row>
    <row r="2785" customFormat="false" ht="12.75" hidden="false" customHeight="true" outlineLevel="0" collapsed="false">
      <c r="A2785" s="1" t="s">
        <v>1209</v>
      </c>
      <c r="B2785" s="1" t="str">
        <f aca="false">TRIM(A2785)</f>
        <v># 10%</v>
      </c>
    </row>
    <row r="2786" customFormat="false" ht="12.75" hidden="false" customHeight="true" outlineLevel="0" collapsed="false">
      <c r="A2786" s="1" t="s">
        <v>1971</v>
      </c>
      <c r="B2786" s="1" t="str">
        <f aca="false">TRIM(A2786)</f>
        <v>+32, 34, WEEPINBELL</v>
      </c>
    </row>
    <row r="2787" customFormat="false" ht="12.75" hidden="false" customHeight="true" outlineLevel="0" collapsed="false">
      <c r="A2787" s="1" t="s">
        <v>1972</v>
      </c>
      <c r="B2787" s="1" t="str">
        <f aca="false">TRIM(A2787)</f>
        <v>+32, 34, DODUO</v>
      </c>
    </row>
    <row r="2788" customFormat="false" ht="12.75" hidden="false" customHeight="true" outlineLevel="0" collapsed="false">
      <c r="A2788" s="1" t="s">
        <v>1973</v>
      </c>
      <c r="B2788" s="1" t="str">
        <f aca="false">TRIM(A2788)</f>
        <v>+34, 34, PIDGEOT</v>
      </c>
    </row>
    <row r="2789" customFormat="false" ht="12.75" hidden="false" customHeight="true" outlineLevel="0" collapsed="false">
      <c r="A2789" s="1" t="s">
        <v>1974</v>
      </c>
      <c r="B2789" s="1" t="str">
        <f aca="false">TRIM(A2789)</f>
        <v>+32, 34, EXEGGCUTE</v>
      </c>
    </row>
    <row r="2790" customFormat="false" ht="12.75" hidden="false" customHeight="true" outlineLevel="0" collapsed="false">
      <c r="A2790" s="2"/>
      <c r="B2790" s="1" t="str">
        <f aca="false">TRIM(A2790)</f>
        <v/>
      </c>
    </row>
    <row r="2791" customFormat="false" ht="12.75" hidden="false" customHeight="true" outlineLevel="0" collapsed="false">
      <c r="A2791" s="1" t="s">
        <v>1210</v>
      </c>
      <c r="B2791" s="1" t="str">
        <f aca="false">TRIM(A2791)</f>
        <v># 5%</v>
      </c>
    </row>
    <row r="2792" customFormat="false" ht="12.75" hidden="false" customHeight="true" outlineLevel="0" collapsed="false">
      <c r="A2792" s="1" t="s">
        <v>1975</v>
      </c>
      <c r="B2792" s="1" t="str">
        <f aca="false">TRIM(A2792)</f>
        <v>+33, 37, SCYTHER</v>
      </c>
    </row>
    <row r="2793" customFormat="false" ht="12.75" hidden="false" customHeight="true" outlineLevel="0" collapsed="false">
      <c r="A2793" s="1" t="s">
        <v>1976</v>
      </c>
      <c r="B2793" s="1" t="str">
        <f aca="false">TRIM(A2793)</f>
        <v>+33, 37, JYNX</v>
      </c>
    </row>
    <row r="2794" customFormat="false" ht="12.75" hidden="false" customHeight="true" outlineLevel="0" collapsed="false">
      <c r="A2794" s="2"/>
      <c r="B2794" s="1" t="str">
        <f aca="false">TRIM(A2794)</f>
        <v/>
      </c>
    </row>
    <row r="2795" customFormat="false" ht="12.75" hidden="false" customHeight="true" outlineLevel="0" collapsed="false">
      <c r="A2795" s="1" t="s">
        <v>1211</v>
      </c>
      <c r="B2795" s="1" t="str">
        <f aca="false">TRIM(A2795)</f>
        <v># 4%</v>
      </c>
    </row>
    <row r="2796" customFormat="false" ht="12.75" hidden="false" customHeight="true" outlineLevel="0" collapsed="false">
      <c r="A2796" s="1" t="s">
        <v>1977</v>
      </c>
      <c r="B2796" s="1" t="str">
        <f aca="false">TRIM(A2796)</f>
        <v>+34, 34, DODRIO</v>
      </c>
    </row>
    <row r="2797" customFormat="false" ht="12.75" hidden="false" customHeight="true" outlineLevel="0" collapsed="false">
      <c r="A2797" s="1" t="s">
        <v>1978</v>
      </c>
      <c r="B2797" s="1" t="str">
        <f aca="false">TRIM(A2797)</f>
        <v>+34, 34, EXEGGUTOR</v>
      </c>
    </row>
    <row r="2798" customFormat="false" ht="12.75" hidden="false" customHeight="true" outlineLevel="0" collapsed="false">
      <c r="A2798" s="2"/>
      <c r="B2798" s="1" t="str">
        <f aca="false">TRIM(A2798)</f>
        <v/>
      </c>
    </row>
    <row r="2799" customFormat="false" ht="12.75" hidden="false" customHeight="true" outlineLevel="0" collapsed="false">
      <c r="A2799" s="1" t="s">
        <v>1212</v>
      </c>
      <c r="B2799" s="1" t="str">
        <f aca="false">TRIM(A2799)</f>
        <v># 1%</v>
      </c>
    </row>
    <row r="2800" customFormat="false" ht="12.75" hidden="false" customHeight="true" outlineLevel="0" collapsed="false">
      <c r="A2800" s="1" t="s">
        <v>1979</v>
      </c>
      <c r="B2800" s="1" t="str">
        <f aca="false">TRIM(A2800)</f>
        <v>+32, 37, VICTREEBEL</v>
      </c>
    </row>
    <row r="2801" customFormat="false" ht="12.75" hidden="false" customHeight="true" outlineLevel="0" collapsed="false">
      <c r="A2801" s="1" t="s">
        <v>2737</v>
      </c>
      <c r="B2801" s="1" t="str">
        <f aca="false">TRIM(A2801)</f>
        <v>+20, 25, SQUIRTLE , &lt;null&gt;, &lt;null&gt;, &lt;null&gt;</v>
      </c>
    </row>
    <row r="2802" customFormat="false" ht="12.75" hidden="false" customHeight="true" outlineLevel="0" collapsed="false">
      <c r="A2802" s="2"/>
      <c r="B2802" s="1" t="str">
        <f aca="false">TRIM(A2802)</f>
        <v/>
      </c>
    </row>
    <row r="2803" customFormat="false" ht="12.75" hidden="false" customHeight="true" outlineLevel="0" collapsed="false">
      <c r="A2803" s="1" t="s">
        <v>2536</v>
      </c>
      <c r="B2803" s="1" t="str">
        <f aca="false">TRIM(A2803)</f>
        <v>NEW ROUTE</v>
      </c>
    </row>
    <row r="2804" customFormat="false" ht="12.75" hidden="false" customHeight="true" outlineLevel="0" collapsed="false">
      <c r="A2804" s="1" t="s">
        <v>2739</v>
      </c>
      <c r="B2804" s="1" t="str">
        <f aca="false">TRIM(A2804)</f>
        <v>+3, 34, 0,</v>
      </c>
    </row>
    <row r="2805" customFormat="false" ht="12.75" hidden="false" customHeight="true" outlineLevel="0" collapsed="false">
      <c r="A2805" s="1" t="s">
        <v>2568</v>
      </c>
      <c r="B2805" s="1" t="str">
        <f aca="false">TRIM(A2805)</f>
        <v>21, # 20%</v>
      </c>
    </row>
    <row r="2806" customFormat="false" ht="12.75" hidden="false" customHeight="true" outlineLevel="0" collapsed="false">
      <c r="A2806" s="1" t="s">
        <v>1981</v>
      </c>
      <c r="B2806" s="1" t="str">
        <f aca="false">TRIM(A2806)</f>
        <v>29, 34, ODDISH</v>
      </c>
    </row>
    <row r="2807" customFormat="false" ht="12.75" hidden="false" customHeight="true" outlineLevel="0" collapsed="false">
      <c r="A2807" s="1" t="s">
        <v>1931</v>
      </c>
      <c r="B2807" s="1" t="str">
        <f aca="false">TRIM(A2807)</f>
        <v>+29, 34, PIDGEOTTO</v>
      </c>
    </row>
    <row r="2808" customFormat="false" ht="12.75" hidden="false" customHeight="true" outlineLevel="0" collapsed="false">
      <c r="A2808" s="2"/>
      <c r="B2808" s="1" t="str">
        <f aca="false">TRIM(A2808)</f>
        <v/>
      </c>
    </row>
    <row r="2809" customFormat="false" ht="12.75" hidden="false" customHeight="true" outlineLevel="0" collapsed="false">
      <c r="A2809" s="1" t="s">
        <v>1209</v>
      </c>
      <c r="B2809" s="1" t="str">
        <f aca="false">TRIM(A2809)</f>
        <v># 10%</v>
      </c>
    </row>
    <row r="2810" customFormat="false" ht="12.75" hidden="false" customHeight="true" outlineLevel="0" collapsed="false">
      <c r="A2810" s="1" t="s">
        <v>1982</v>
      </c>
      <c r="B2810" s="1" t="str">
        <f aca="false">TRIM(A2810)</f>
        <v>+29, 31, GLOOM</v>
      </c>
    </row>
    <row r="2811" customFormat="false" ht="12.75" hidden="false" customHeight="true" outlineLevel="0" collapsed="false">
      <c r="A2811" s="1" t="s">
        <v>1933</v>
      </c>
      <c r="B2811" s="1" t="str">
        <f aca="false">TRIM(A2811)</f>
        <v>+29, 31, DODUO</v>
      </c>
    </row>
    <row r="2812" customFormat="false" ht="12.75" hidden="false" customHeight="true" outlineLevel="0" collapsed="false">
      <c r="A2812" s="1" t="s">
        <v>1934</v>
      </c>
      <c r="B2812" s="1" t="str">
        <f aca="false">TRIM(A2812)</f>
        <v>+31, 31, PIDGEOT</v>
      </c>
    </row>
    <row r="2813" customFormat="false" ht="12.75" hidden="false" customHeight="true" outlineLevel="0" collapsed="false">
      <c r="A2813" s="1" t="s">
        <v>1983</v>
      </c>
      <c r="B2813" s="1" t="str">
        <f aca="false">TRIM(A2813)</f>
        <v>+29, 31, LICKITUNG</v>
      </c>
    </row>
    <row r="2814" customFormat="false" ht="12.75" hidden="false" customHeight="true" outlineLevel="0" collapsed="false">
      <c r="A2814" s="2"/>
      <c r="B2814" s="1" t="str">
        <f aca="false">TRIM(A2814)</f>
        <v/>
      </c>
    </row>
    <row r="2815" customFormat="false" ht="12.75" hidden="false" customHeight="true" outlineLevel="0" collapsed="false">
      <c r="A2815" s="1" t="s">
        <v>1210</v>
      </c>
      <c r="B2815" s="1" t="str">
        <f aca="false">TRIM(A2815)</f>
        <v># 5%</v>
      </c>
    </row>
    <row r="2816" customFormat="false" ht="12.75" hidden="false" customHeight="true" outlineLevel="0" collapsed="false">
      <c r="A2816" s="1" t="s">
        <v>1984</v>
      </c>
      <c r="B2816" s="1" t="str">
        <f aca="false">TRIM(A2816)</f>
        <v>+30, 34, TAUROS</v>
      </c>
    </row>
    <row r="2817" customFormat="false" ht="12.75" hidden="false" customHeight="true" outlineLevel="0" collapsed="false">
      <c r="A2817" s="1" t="s">
        <v>1985</v>
      </c>
      <c r="B2817" s="1" t="str">
        <f aca="false">TRIM(A2817)</f>
        <v>+30, 34, "MR. MIME"</v>
      </c>
    </row>
    <row r="2818" customFormat="false" ht="12.75" hidden="false" customHeight="true" outlineLevel="0" collapsed="false">
      <c r="A2818" s="2"/>
      <c r="B2818" s="1" t="str">
        <f aca="false">TRIM(A2818)</f>
        <v/>
      </c>
    </row>
    <row r="2819" customFormat="false" ht="12.75" hidden="false" customHeight="true" outlineLevel="0" collapsed="false">
      <c r="A2819" s="1" t="s">
        <v>1211</v>
      </c>
      <c r="B2819" s="1" t="str">
        <f aca="false">TRIM(A2819)</f>
        <v># 4%</v>
      </c>
    </row>
    <row r="2820" customFormat="false" ht="12.75" hidden="false" customHeight="true" outlineLevel="0" collapsed="false">
      <c r="A2820" s="1" t="s">
        <v>1938</v>
      </c>
      <c r="B2820" s="1" t="str">
        <f aca="false">TRIM(A2820)</f>
        <v>+31, 31, DODRIO</v>
      </c>
    </row>
    <row r="2821" customFormat="false" ht="12.75" hidden="false" customHeight="true" outlineLevel="0" collapsed="false">
      <c r="A2821" s="1" t="s">
        <v>1986</v>
      </c>
      <c r="B2821" s="1" t="str">
        <f aca="false">TRIM(A2821)</f>
        <v>+31, 31, LICKILICKY</v>
      </c>
    </row>
    <row r="2822" customFormat="false" ht="12.75" hidden="false" customHeight="true" outlineLevel="0" collapsed="false">
      <c r="A2822" s="2"/>
      <c r="B2822" s="1" t="str">
        <f aca="false">TRIM(A2822)</f>
        <v/>
      </c>
    </row>
    <row r="2823" customFormat="false" ht="12.75" hidden="false" customHeight="true" outlineLevel="0" collapsed="false">
      <c r="A2823" s="1" t="s">
        <v>1212</v>
      </c>
      <c r="B2823" s="1" t="str">
        <f aca="false">TRIM(A2823)</f>
        <v># 1%</v>
      </c>
    </row>
    <row r="2824" customFormat="false" ht="12.75" hidden="false" customHeight="true" outlineLevel="0" collapsed="false">
      <c r="A2824" s="1" t="s">
        <v>1987</v>
      </c>
      <c r="B2824" s="1" t="str">
        <f aca="false">TRIM(A2824)</f>
        <v>+29, 34, VILEPLUME</v>
      </c>
    </row>
    <row r="2825" customFormat="false" ht="12.75" hidden="false" customHeight="true" outlineLevel="0" collapsed="false">
      <c r="A2825" s="1" t="s">
        <v>2740</v>
      </c>
      <c r="B2825" s="1" t="str">
        <f aca="false">TRIM(A2825)</f>
        <v>+20, 25, BULBASAUR , &lt;null&gt;, &lt;null&gt;, &lt;null&gt;</v>
      </c>
    </row>
    <row r="2826" customFormat="false" ht="12.75" hidden="false" customHeight="true" outlineLevel="0" collapsed="false">
      <c r="A2826" s="2"/>
      <c r="B2826" s="1" t="str">
        <f aca="false">TRIM(A2826)</f>
        <v/>
      </c>
    </row>
    <row r="2827" customFormat="false" ht="12.75" hidden="false" customHeight="true" outlineLevel="0" collapsed="false">
      <c r="A2827" s="1" t="s">
        <v>2536</v>
      </c>
      <c r="B2827" s="1" t="str">
        <f aca="false">TRIM(A2827)</f>
        <v>NEW ROUTE</v>
      </c>
    </row>
    <row r="2828" customFormat="false" ht="12.75" hidden="false" customHeight="true" outlineLevel="0" collapsed="false">
      <c r="A2828" s="1" t="s">
        <v>2741</v>
      </c>
      <c r="B2828" s="1" t="str">
        <f aca="false">TRIM(A2828)</f>
        <v>+3, 35, 0,</v>
      </c>
    </row>
    <row r="2829" customFormat="false" ht="12.75" hidden="false" customHeight="true" outlineLevel="0" collapsed="false">
      <c r="A2829" s="1" t="s">
        <v>2568</v>
      </c>
      <c r="B2829" s="1" t="str">
        <f aca="false">TRIM(A2829)</f>
        <v>21, # 20%</v>
      </c>
    </row>
    <row r="2830" customFormat="false" ht="12.75" hidden="false" customHeight="true" outlineLevel="0" collapsed="false">
      <c r="A2830" s="1" t="s">
        <v>1990</v>
      </c>
      <c r="B2830" s="1" t="str">
        <f aca="false">TRIM(A2830)</f>
        <v>30, 35, ODDISH</v>
      </c>
    </row>
    <row r="2831" customFormat="false" ht="12.75" hidden="false" customHeight="true" outlineLevel="0" collapsed="false">
      <c r="A2831" s="1" t="s">
        <v>1945</v>
      </c>
      <c r="B2831" s="1" t="str">
        <f aca="false">TRIM(A2831)</f>
        <v>+30, 35, PIDGEOTTO</v>
      </c>
    </row>
    <row r="2832" customFormat="false" ht="12.75" hidden="false" customHeight="true" outlineLevel="0" collapsed="false">
      <c r="A2832" s="2"/>
      <c r="B2832" s="1" t="str">
        <f aca="false">TRIM(A2832)</f>
        <v/>
      </c>
    </row>
    <row r="2833" customFormat="false" ht="12.75" hidden="false" customHeight="true" outlineLevel="0" collapsed="false">
      <c r="A2833" s="1" t="s">
        <v>1209</v>
      </c>
      <c r="B2833" s="1" t="str">
        <f aca="false">TRIM(A2833)</f>
        <v># 10%</v>
      </c>
    </row>
    <row r="2834" customFormat="false" ht="12.75" hidden="false" customHeight="true" outlineLevel="0" collapsed="false">
      <c r="A2834" s="1" t="s">
        <v>1991</v>
      </c>
      <c r="B2834" s="1" t="str">
        <f aca="false">TRIM(A2834)</f>
        <v>+30, 35, GLOOM</v>
      </c>
    </row>
    <row r="2835" customFormat="false" ht="12.75" hidden="false" customHeight="true" outlineLevel="0" collapsed="false">
      <c r="A2835" s="1" t="s">
        <v>1992</v>
      </c>
      <c r="B2835" s="1" t="str">
        <f aca="false">TRIM(A2835)</f>
        <v>+30, 35, DODUO</v>
      </c>
    </row>
    <row r="2836" customFormat="false" ht="12.75" hidden="false" customHeight="true" outlineLevel="0" collapsed="false">
      <c r="A2836" s="1" t="s">
        <v>1948</v>
      </c>
      <c r="B2836" s="1" t="str">
        <f aca="false">TRIM(A2836)</f>
        <v>+32, 32, PIDGEOT</v>
      </c>
    </row>
    <row r="2837" customFormat="false" ht="12.75" hidden="false" customHeight="true" outlineLevel="0" collapsed="false">
      <c r="A2837" s="1" t="s">
        <v>1993</v>
      </c>
      <c r="B2837" s="1" t="str">
        <f aca="false">TRIM(A2837)</f>
        <v>+30, 32, LICKITUNG</v>
      </c>
    </row>
    <row r="2838" customFormat="false" ht="12.75" hidden="false" customHeight="true" outlineLevel="0" collapsed="false">
      <c r="A2838" s="2"/>
      <c r="B2838" s="1" t="str">
        <f aca="false">TRIM(A2838)</f>
        <v/>
      </c>
    </row>
    <row r="2839" customFormat="false" ht="12.75" hidden="false" customHeight="true" outlineLevel="0" collapsed="false">
      <c r="A2839" s="1" t="s">
        <v>1210</v>
      </c>
      <c r="B2839" s="1" t="str">
        <f aca="false">TRIM(A2839)</f>
        <v># 5%</v>
      </c>
    </row>
    <row r="2840" customFormat="false" ht="12.75" hidden="false" customHeight="true" outlineLevel="0" collapsed="false">
      <c r="A2840" s="1" t="s">
        <v>1994</v>
      </c>
      <c r="B2840" s="1" t="str">
        <f aca="false">TRIM(A2840)</f>
        <v>+31, 35, TAUROS</v>
      </c>
    </row>
    <row r="2841" customFormat="false" ht="12.75" hidden="false" customHeight="true" outlineLevel="0" collapsed="false">
      <c r="A2841" s="1" t="s">
        <v>1995</v>
      </c>
      <c r="B2841" s="1" t="str">
        <f aca="false">TRIM(A2841)</f>
        <v>+31, 35, "MR. MIME"</v>
      </c>
    </row>
    <row r="2842" customFormat="false" ht="12.75" hidden="false" customHeight="true" outlineLevel="0" collapsed="false">
      <c r="A2842" s="2"/>
      <c r="B2842" s="1" t="str">
        <f aca="false">TRIM(A2842)</f>
        <v/>
      </c>
    </row>
    <row r="2843" customFormat="false" ht="12.75" hidden="false" customHeight="true" outlineLevel="0" collapsed="false">
      <c r="A2843" s="1" t="s">
        <v>1211</v>
      </c>
      <c r="B2843" s="1" t="str">
        <f aca="false">TRIM(A2843)</f>
        <v># 4%</v>
      </c>
    </row>
    <row r="2844" customFormat="false" ht="12.75" hidden="false" customHeight="true" outlineLevel="0" collapsed="false">
      <c r="A2844" s="1" t="s">
        <v>1952</v>
      </c>
      <c r="B2844" s="1" t="str">
        <f aca="false">TRIM(A2844)</f>
        <v>+32, 32, DODRIO</v>
      </c>
    </row>
    <row r="2845" customFormat="false" ht="12.75" hidden="false" customHeight="true" outlineLevel="0" collapsed="false">
      <c r="A2845" s="1" t="s">
        <v>1996</v>
      </c>
      <c r="B2845" s="1" t="str">
        <f aca="false">TRIM(A2845)</f>
        <v>+32, 32, LICKILICKY</v>
      </c>
    </row>
    <row r="2846" customFormat="false" ht="12.75" hidden="false" customHeight="true" outlineLevel="0" collapsed="false">
      <c r="A2846" s="2"/>
      <c r="B2846" s="1" t="str">
        <f aca="false">TRIM(A2846)</f>
        <v/>
      </c>
    </row>
    <row r="2847" customFormat="false" ht="12.75" hidden="false" customHeight="true" outlineLevel="0" collapsed="false">
      <c r="A2847" s="1" t="s">
        <v>1212</v>
      </c>
      <c r="B2847" s="1" t="str">
        <f aca="false">TRIM(A2847)</f>
        <v># 1%</v>
      </c>
    </row>
    <row r="2848" customFormat="false" ht="12.75" hidden="false" customHeight="true" outlineLevel="0" collapsed="false">
      <c r="A2848" s="1" t="s">
        <v>1997</v>
      </c>
      <c r="B2848" s="1" t="str">
        <f aca="false">TRIM(A2848)</f>
        <v>+30, 35, VILEPLUME</v>
      </c>
    </row>
    <row r="2849" customFormat="false" ht="12.75" hidden="false" customHeight="true" outlineLevel="0" collapsed="false">
      <c r="A2849" s="1" t="s">
        <v>2740</v>
      </c>
      <c r="B2849" s="1" t="str">
        <f aca="false">TRIM(A2849)</f>
        <v>+20, 25, BULBASAUR , &lt;null&gt;, &lt;null&gt;, &lt;null&gt;</v>
      </c>
    </row>
    <row r="2850" customFormat="false" ht="12.75" hidden="false" customHeight="true" outlineLevel="0" collapsed="false">
      <c r="A2850" s="2"/>
      <c r="B2850" s="1" t="str">
        <f aca="false">TRIM(A2850)</f>
        <v/>
      </c>
    </row>
    <row r="2851" customFormat="false" ht="12.75" hidden="false" customHeight="true" outlineLevel="0" collapsed="false">
      <c r="A2851" s="1" t="s">
        <v>2536</v>
      </c>
      <c r="B2851" s="1" t="str">
        <f aca="false">TRIM(A2851)</f>
        <v>NEW ROUTE</v>
      </c>
    </row>
    <row r="2852" customFormat="false" ht="12.75" hidden="false" customHeight="true" outlineLevel="0" collapsed="false">
      <c r="A2852" s="1" t="s">
        <v>2742</v>
      </c>
      <c r="B2852" s="1" t="str">
        <f aca="false">TRIM(A2852)</f>
        <v>+3, 36, 0,</v>
      </c>
    </row>
    <row r="2853" customFormat="false" ht="12.75" hidden="false" customHeight="true" outlineLevel="0" collapsed="false">
      <c r="A2853" s="1" t="s">
        <v>2568</v>
      </c>
      <c r="B2853" s="1" t="str">
        <f aca="false">TRIM(A2853)</f>
        <v>21, # 20%</v>
      </c>
    </row>
    <row r="2854" customFormat="false" ht="12.75" hidden="false" customHeight="true" outlineLevel="0" collapsed="false">
      <c r="A2854" s="1" t="s">
        <v>1999</v>
      </c>
      <c r="B2854" s="1" t="str">
        <f aca="false">TRIM(A2854)</f>
        <v>32, 36, ODDISH</v>
      </c>
    </row>
    <row r="2855" customFormat="false" ht="12.75" hidden="false" customHeight="true" outlineLevel="0" collapsed="false">
      <c r="A2855" s="1" t="s">
        <v>1957</v>
      </c>
      <c r="B2855" s="1" t="str">
        <f aca="false">TRIM(A2855)</f>
        <v>+32, 36, PIDGEOTTO</v>
      </c>
    </row>
    <row r="2856" customFormat="false" ht="12.75" hidden="false" customHeight="true" outlineLevel="0" collapsed="false">
      <c r="A2856" s="2"/>
      <c r="B2856" s="1" t="str">
        <f aca="false">TRIM(A2856)</f>
        <v/>
      </c>
    </row>
    <row r="2857" customFormat="false" ht="12.75" hidden="false" customHeight="true" outlineLevel="0" collapsed="false">
      <c r="A2857" s="1" t="s">
        <v>1209</v>
      </c>
      <c r="B2857" s="1" t="str">
        <f aca="false">TRIM(A2857)</f>
        <v># 10%</v>
      </c>
    </row>
    <row r="2858" customFormat="false" ht="12.75" hidden="false" customHeight="true" outlineLevel="0" collapsed="false">
      <c r="A2858" s="1" t="s">
        <v>2000</v>
      </c>
      <c r="B2858" s="1" t="str">
        <f aca="false">TRIM(A2858)</f>
        <v>+31, 33, GLOOM</v>
      </c>
    </row>
    <row r="2859" customFormat="false" ht="12.75" hidden="false" customHeight="true" outlineLevel="0" collapsed="false">
      <c r="A2859" s="1" t="s">
        <v>1959</v>
      </c>
      <c r="B2859" s="1" t="str">
        <f aca="false">TRIM(A2859)</f>
        <v>+31, 33, DODUO</v>
      </c>
    </row>
    <row r="2860" customFormat="false" ht="12.75" hidden="false" customHeight="true" outlineLevel="0" collapsed="false">
      <c r="A2860" s="1" t="s">
        <v>1960</v>
      </c>
      <c r="B2860" s="1" t="str">
        <f aca="false">TRIM(A2860)</f>
        <v>+33, 33, PIDGEOT</v>
      </c>
    </row>
    <row r="2861" customFormat="false" ht="12.75" hidden="false" customHeight="true" outlineLevel="0" collapsed="false">
      <c r="A2861" s="1" t="s">
        <v>2001</v>
      </c>
      <c r="B2861" s="1" t="str">
        <f aca="false">TRIM(A2861)</f>
        <v>+31, 33, LICKITUNG</v>
      </c>
    </row>
    <row r="2862" customFormat="false" ht="12.75" hidden="false" customHeight="true" outlineLevel="0" collapsed="false">
      <c r="A2862" s="2"/>
      <c r="B2862" s="1" t="str">
        <f aca="false">TRIM(A2862)</f>
        <v/>
      </c>
    </row>
    <row r="2863" customFormat="false" ht="12.75" hidden="false" customHeight="true" outlineLevel="0" collapsed="false">
      <c r="A2863" s="1" t="s">
        <v>1210</v>
      </c>
      <c r="B2863" s="1" t="str">
        <f aca="false">TRIM(A2863)</f>
        <v># 5%</v>
      </c>
    </row>
    <row r="2864" customFormat="false" ht="12.75" hidden="false" customHeight="true" outlineLevel="0" collapsed="false">
      <c r="A2864" s="1" t="s">
        <v>2002</v>
      </c>
      <c r="B2864" s="1" t="str">
        <f aca="false">TRIM(A2864)</f>
        <v>+32, 36, TAUROS</v>
      </c>
    </row>
    <row r="2865" customFormat="false" ht="12.75" hidden="false" customHeight="true" outlineLevel="0" collapsed="false">
      <c r="A2865" s="1" t="s">
        <v>2003</v>
      </c>
      <c r="B2865" s="1" t="str">
        <f aca="false">TRIM(A2865)</f>
        <v>+32, 36, "MR. MIME"</v>
      </c>
    </row>
    <row r="2866" customFormat="false" ht="12.75" hidden="false" customHeight="true" outlineLevel="0" collapsed="false">
      <c r="A2866" s="2"/>
      <c r="B2866" s="1" t="str">
        <f aca="false">TRIM(A2866)</f>
        <v/>
      </c>
    </row>
    <row r="2867" customFormat="false" ht="12.75" hidden="false" customHeight="true" outlineLevel="0" collapsed="false">
      <c r="A2867" s="1" t="s">
        <v>1211</v>
      </c>
      <c r="B2867" s="1" t="str">
        <f aca="false">TRIM(A2867)</f>
        <v># 4%</v>
      </c>
    </row>
    <row r="2868" customFormat="false" ht="12.75" hidden="false" customHeight="true" outlineLevel="0" collapsed="false">
      <c r="A2868" s="1" t="s">
        <v>2004</v>
      </c>
      <c r="B2868" s="1" t="str">
        <f aca="false">TRIM(A2868)</f>
        <v>+34, 36, DODRIO</v>
      </c>
    </row>
    <row r="2869" customFormat="false" ht="12.75" hidden="false" customHeight="true" outlineLevel="0" collapsed="false">
      <c r="A2869" s="1" t="s">
        <v>2005</v>
      </c>
      <c r="B2869" s="1" t="str">
        <f aca="false">TRIM(A2869)</f>
        <v>+33, 33, LICKILICKY</v>
      </c>
    </row>
    <row r="2870" customFormat="false" ht="12.75" hidden="false" customHeight="true" outlineLevel="0" collapsed="false">
      <c r="A2870" s="2"/>
      <c r="B2870" s="1" t="str">
        <f aca="false">TRIM(A2870)</f>
        <v/>
      </c>
    </row>
    <row r="2871" customFormat="false" ht="12.75" hidden="false" customHeight="true" outlineLevel="0" collapsed="false">
      <c r="A2871" s="1" t="s">
        <v>1212</v>
      </c>
      <c r="B2871" s="1" t="str">
        <f aca="false">TRIM(A2871)</f>
        <v># 1%</v>
      </c>
    </row>
    <row r="2872" customFormat="false" ht="12.75" hidden="false" customHeight="true" outlineLevel="0" collapsed="false">
      <c r="A2872" s="1" t="s">
        <v>2006</v>
      </c>
      <c r="B2872" s="1" t="str">
        <f aca="false">TRIM(A2872)</f>
        <v>+31, 36, VILEPLUME</v>
      </c>
    </row>
    <row r="2873" customFormat="false" ht="12.75" hidden="false" customHeight="true" outlineLevel="0" collapsed="false">
      <c r="A2873" s="1" t="s">
        <v>2740</v>
      </c>
      <c r="B2873" s="1" t="str">
        <f aca="false">TRIM(A2873)</f>
        <v>+20, 25, BULBASAUR , &lt;null&gt;, &lt;null&gt;, &lt;null&gt;</v>
      </c>
    </row>
    <row r="2874" customFormat="false" ht="12.75" hidden="false" customHeight="true" outlineLevel="0" collapsed="false">
      <c r="A2874" s="2"/>
      <c r="B2874" s="1" t="str">
        <f aca="false">TRIM(A2874)</f>
        <v/>
      </c>
    </row>
    <row r="2875" customFormat="false" ht="12.75" hidden="false" customHeight="true" outlineLevel="0" collapsed="false">
      <c r="A2875" s="1" t="s">
        <v>2536</v>
      </c>
      <c r="B2875" s="1" t="str">
        <f aca="false">TRIM(A2875)</f>
        <v>NEW ROUTE</v>
      </c>
    </row>
    <row r="2876" customFormat="false" ht="12.75" hidden="false" customHeight="true" outlineLevel="0" collapsed="false">
      <c r="A2876" s="1" t="s">
        <v>2743</v>
      </c>
      <c r="B2876" s="1" t="str">
        <f aca="false">TRIM(A2876)</f>
        <v>+3, 37, 0, &lt;null&gt;,</v>
      </c>
    </row>
    <row r="2877" customFormat="false" ht="12.75" hidden="false" customHeight="true" outlineLevel="0" collapsed="false">
      <c r="A2877" s="2"/>
      <c r="B2877" s="1" t="str">
        <f aca="false">TRIM(A2877)</f>
        <v/>
      </c>
    </row>
    <row r="2878" customFormat="false" ht="12.75" hidden="false" customHeight="true" outlineLevel="0" collapsed="false">
      <c r="A2878" s="1" t="s">
        <v>2711</v>
      </c>
      <c r="B2878" s="1" t="str">
        <f aca="false">TRIM(A2878)</f>
        <v>2, 38, 42, TENTACOOL</v>
      </c>
    </row>
    <row r="2879" customFormat="false" ht="12.75" hidden="false" customHeight="true" outlineLevel="0" collapsed="false">
      <c r="A2879" s="1" t="s">
        <v>1900</v>
      </c>
      <c r="B2879" s="1" t="str">
        <f aca="false">TRIM(A2879)</f>
        <v>+40, 44, TENTACRUEL</v>
      </c>
    </row>
    <row r="2880" customFormat="false" ht="12.75" hidden="false" customHeight="true" outlineLevel="0" collapsed="false">
      <c r="A2880" s="1" t="s">
        <v>1901</v>
      </c>
      <c r="B2880" s="1" t="str">
        <f aca="false">TRIM(A2880)</f>
        <v>+42, 46, TENTACATE</v>
      </c>
    </row>
    <row r="2881" customFormat="false" ht="12.75" hidden="false" customHeight="true" outlineLevel="0" collapsed="false">
      <c r="A2881" s="1" t="s">
        <v>1449</v>
      </c>
      <c r="B2881" s="1" t="str">
        <f aca="false">TRIM(A2881)</f>
        <v>+42, 46, LAPRAS</v>
      </c>
    </row>
    <row r="2882" customFormat="false" ht="12.75" hidden="false" customHeight="true" outlineLevel="0" collapsed="false">
      <c r="A2882" s="1" t="s">
        <v>2730</v>
      </c>
      <c r="B2882" s="1" t="str">
        <f aca="false">TRIM(A2882)</f>
        <v>+44, 48, LOCHLASS</v>
      </c>
    </row>
    <row r="2883" customFormat="false" ht="12.75" hidden="false" customHeight="true" outlineLevel="0" collapsed="false">
      <c r="A2883" s="1" t="s">
        <v>2572</v>
      </c>
      <c r="B2883" s="1" t="str">
        <f aca="false">TRIM(A2883)</f>
        <v>20, # old rod:</v>
      </c>
    </row>
    <row r="2884" customFormat="false" ht="12.75" hidden="false" customHeight="true" outlineLevel="0" collapsed="false">
      <c r="A2884" s="1" t="s">
        <v>2008</v>
      </c>
      <c r="B2884" s="1" t="str">
        <f aca="false">TRIM(A2884)</f>
        <v>19, 26, PSYDUCK</v>
      </c>
    </row>
    <row r="2885" customFormat="false" ht="12.75" hidden="false" customHeight="true" outlineLevel="0" collapsed="false">
      <c r="A2885" s="1" t="s">
        <v>2009</v>
      </c>
      <c r="B2885" s="1" t="str">
        <f aca="false">TRIM(A2885)</f>
        <v>+19, 26, HORSEA</v>
      </c>
    </row>
    <row r="2886" customFormat="false" ht="12.75" hidden="false" customHeight="true" outlineLevel="0" collapsed="false">
      <c r="A2886" s="2"/>
      <c r="B2886" s="1" t="str">
        <f aca="false">TRIM(A2886)</f>
        <v/>
      </c>
    </row>
    <row r="2887" customFormat="false" ht="12.75" hidden="false" customHeight="true" outlineLevel="0" collapsed="false">
      <c r="A2887" s="1" t="s">
        <v>1268</v>
      </c>
      <c r="B2887" s="1" t="str">
        <f aca="false">TRIM(A2887)</f>
        <v># good rod:</v>
      </c>
    </row>
    <row r="2888" customFormat="false" ht="12.75" hidden="false" customHeight="true" outlineLevel="0" collapsed="false">
      <c r="A2888" s="1" t="s">
        <v>1453</v>
      </c>
      <c r="B2888" s="1" t="str">
        <f aca="false">TRIM(A2888)</f>
        <v>+29, 33, SEADRA</v>
      </c>
    </row>
    <row r="2889" customFormat="false" ht="12.75" hidden="false" customHeight="true" outlineLevel="0" collapsed="false">
      <c r="A2889" s="1" t="s">
        <v>1454</v>
      </c>
      <c r="B2889" s="1" t="str">
        <f aca="false">TRIM(A2889)</f>
        <v>+30, 35, KRABBY</v>
      </c>
    </row>
    <row r="2890" customFormat="false" ht="12.75" hidden="false" customHeight="true" outlineLevel="0" collapsed="false">
      <c r="A2890" s="1" t="s">
        <v>1455</v>
      </c>
      <c r="B2890" s="1" t="str">
        <f aca="false">TRIM(A2890)</f>
        <v>+30, 35, GOLDUCK</v>
      </c>
    </row>
    <row r="2891" customFormat="false" ht="12.75" hidden="false" customHeight="true" outlineLevel="0" collapsed="false">
      <c r="A2891" s="2"/>
      <c r="B2891" s="1" t="str">
        <f aca="false">TRIM(A2891)</f>
        <v/>
      </c>
    </row>
    <row r="2892" customFormat="false" ht="12.75" hidden="false" customHeight="true" outlineLevel="0" collapsed="false">
      <c r="A2892" s="1" t="s">
        <v>1272</v>
      </c>
      <c r="B2892" s="1" t="str">
        <f aca="false">TRIM(A2892)</f>
        <v># super rod:</v>
      </c>
    </row>
    <row r="2893" customFormat="false" ht="12.75" hidden="false" customHeight="true" outlineLevel="0" collapsed="false">
      <c r="A2893" s="1" t="s">
        <v>1456</v>
      </c>
      <c r="B2893" s="1" t="str">
        <f aca="false">TRIM(A2893)</f>
        <v>+36, 40, KINGDRA</v>
      </c>
    </row>
    <row r="2894" customFormat="false" ht="12.75" hidden="false" customHeight="true" outlineLevel="0" collapsed="false">
      <c r="A2894" s="1" t="s">
        <v>2010</v>
      </c>
      <c r="B2894" s="1" t="str">
        <f aca="false">TRIM(A2894)</f>
        <v>+36, 40, KINGLER</v>
      </c>
    </row>
    <row r="2895" customFormat="false" ht="12.75" hidden="false" customHeight="true" outlineLevel="0" collapsed="false">
      <c r="A2895" s="1" t="s">
        <v>1458</v>
      </c>
      <c r="B2895" s="1" t="str">
        <f aca="false">TRIM(A2895)</f>
        <v>+38, 42, GILDUCK</v>
      </c>
    </row>
    <row r="2896" customFormat="false" ht="12.75" hidden="false" customHeight="true" outlineLevel="0" collapsed="false">
      <c r="A2896" s="1" t="s">
        <v>1459</v>
      </c>
      <c r="B2896" s="1" t="str">
        <f aca="false">TRIM(A2896)</f>
        <v>+38, 42, KRAKLAW</v>
      </c>
    </row>
    <row r="2897" customFormat="false" ht="12.75" hidden="false" customHeight="true" outlineLevel="0" collapsed="false">
      <c r="A2897" s="1" t="s">
        <v>2603</v>
      </c>
      <c r="B2897" s="1" t="str">
        <f aca="false">TRIM(A2897)</f>
        <v>+40, 44, LORDRA</v>
      </c>
    </row>
    <row r="2898" customFormat="false" ht="12.75" hidden="false" customHeight="true" outlineLevel="0" collapsed="false">
      <c r="A2898" s="1" t="s">
        <v>2536</v>
      </c>
      <c r="B2898" s="1" t="str">
        <f aca="false">TRIM(A2898)</f>
        <v>NEW ROUTE</v>
      </c>
    </row>
    <row r="2899" customFormat="false" ht="12.75" hidden="false" customHeight="true" outlineLevel="0" collapsed="false">
      <c r="A2899" s="1" t="s">
        <v>2744</v>
      </c>
      <c r="B2899" s="1" t="str">
        <f aca="false">TRIM(A2899)</f>
        <v>+3, 38, 0, &lt;null&gt;,</v>
      </c>
    </row>
    <row r="2900" customFormat="false" ht="12.75" hidden="false" customHeight="true" outlineLevel="0" collapsed="false">
      <c r="A2900" s="2"/>
      <c r="B2900" s="1" t="str">
        <f aca="false">TRIM(A2900)</f>
        <v/>
      </c>
    </row>
    <row r="2901" customFormat="false" ht="12.75" hidden="false" customHeight="true" outlineLevel="0" collapsed="false">
      <c r="A2901" s="1" t="s">
        <v>2711</v>
      </c>
      <c r="B2901" s="1" t="str">
        <f aca="false">TRIM(A2901)</f>
        <v>2, 38, 42, TENTACOOL</v>
      </c>
    </row>
    <row r="2902" customFormat="false" ht="12.75" hidden="false" customHeight="true" outlineLevel="0" collapsed="false">
      <c r="A2902" s="1" t="s">
        <v>1900</v>
      </c>
      <c r="B2902" s="1" t="str">
        <f aca="false">TRIM(A2902)</f>
        <v>+40, 44, TENTACRUEL</v>
      </c>
    </row>
    <row r="2903" customFormat="false" ht="12.75" hidden="false" customHeight="true" outlineLevel="0" collapsed="false">
      <c r="A2903" s="1" t="s">
        <v>1901</v>
      </c>
      <c r="B2903" s="1" t="str">
        <f aca="false">TRIM(A2903)</f>
        <v>+42, 46, TENTACATE</v>
      </c>
    </row>
    <row r="2904" customFormat="false" ht="12.75" hidden="false" customHeight="true" outlineLevel="0" collapsed="false">
      <c r="A2904" s="1" t="s">
        <v>1449</v>
      </c>
      <c r="B2904" s="1" t="str">
        <f aca="false">TRIM(A2904)</f>
        <v>+42, 46, LAPRAS</v>
      </c>
    </row>
    <row r="2905" customFormat="false" ht="12.75" hidden="false" customHeight="true" outlineLevel="0" collapsed="false">
      <c r="A2905" s="1" t="s">
        <v>2730</v>
      </c>
      <c r="B2905" s="1" t="str">
        <f aca="false">TRIM(A2905)</f>
        <v>+44, 48, LOCHLASS</v>
      </c>
    </row>
    <row r="2906" customFormat="false" ht="12.75" hidden="false" customHeight="true" outlineLevel="0" collapsed="false">
      <c r="A2906" s="1" t="s">
        <v>2572</v>
      </c>
      <c r="B2906" s="1" t="str">
        <f aca="false">TRIM(A2906)</f>
        <v>20, # old rod:</v>
      </c>
    </row>
    <row r="2907" customFormat="false" ht="12.75" hidden="false" customHeight="true" outlineLevel="0" collapsed="false">
      <c r="A2907" s="1" t="s">
        <v>2008</v>
      </c>
      <c r="B2907" s="1" t="str">
        <f aca="false">TRIM(A2907)</f>
        <v>19, 26, PSYDUCK</v>
      </c>
    </row>
    <row r="2908" customFormat="false" ht="12.75" hidden="false" customHeight="true" outlineLevel="0" collapsed="false">
      <c r="A2908" s="1" t="s">
        <v>2009</v>
      </c>
      <c r="B2908" s="1" t="str">
        <f aca="false">TRIM(A2908)</f>
        <v>+19, 26, HORSEA</v>
      </c>
    </row>
    <row r="2909" customFormat="false" ht="12.75" hidden="false" customHeight="true" outlineLevel="0" collapsed="false">
      <c r="A2909" s="2"/>
      <c r="B2909" s="1" t="str">
        <f aca="false">TRIM(A2909)</f>
        <v/>
      </c>
    </row>
    <row r="2910" customFormat="false" ht="12.75" hidden="false" customHeight="true" outlineLevel="0" collapsed="false">
      <c r="A2910" s="1" t="s">
        <v>1268</v>
      </c>
      <c r="B2910" s="1" t="str">
        <f aca="false">TRIM(A2910)</f>
        <v># good rod:</v>
      </c>
    </row>
    <row r="2911" customFormat="false" ht="12.75" hidden="false" customHeight="true" outlineLevel="0" collapsed="false">
      <c r="A2911" s="1" t="s">
        <v>1453</v>
      </c>
      <c r="B2911" s="1" t="str">
        <f aca="false">TRIM(A2911)</f>
        <v>+29, 33, SEADRA</v>
      </c>
    </row>
    <row r="2912" customFormat="false" ht="12.75" hidden="false" customHeight="true" outlineLevel="0" collapsed="false">
      <c r="A2912" s="1" t="s">
        <v>1454</v>
      </c>
      <c r="B2912" s="1" t="str">
        <f aca="false">TRIM(A2912)</f>
        <v>+30, 35, KRABBY</v>
      </c>
    </row>
    <row r="2913" customFormat="false" ht="12.75" hidden="false" customHeight="true" outlineLevel="0" collapsed="false">
      <c r="A2913" s="1" t="s">
        <v>1455</v>
      </c>
      <c r="B2913" s="1" t="str">
        <f aca="false">TRIM(A2913)</f>
        <v>+30, 35, GOLDUCK</v>
      </c>
    </row>
    <row r="2914" customFormat="false" ht="12.75" hidden="false" customHeight="true" outlineLevel="0" collapsed="false">
      <c r="A2914" s="2"/>
      <c r="B2914" s="1" t="str">
        <f aca="false">TRIM(A2914)</f>
        <v/>
      </c>
    </row>
    <row r="2915" customFormat="false" ht="12.75" hidden="false" customHeight="true" outlineLevel="0" collapsed="false">
      <c r="A2915" s="1" t="s">
        <v>1272</v>
      </c>
      <c r="B2915" s="1" t="str">
        <f aca="false">TRIM(A2915)</f>
        <v># super rod:</v>
      </c>
    </row>
    <row r="2916" customFormat="false" ht="12.75" hidden="false" customHeight="true" outlineLevel="0" collapsed="false">
      <c r="A2916" s="1" t="s">
        <v>1456</v>
      </c>
      <c r="B2916" s="1" t="str">
        <f aca="false">TRIM(A2916)</f>
        <v>+36, 40, KINGDRA</v>
      </c>
    </row>
    <row r="2917" customFormat="false" ht="12.75" hidden="false" customHeight="true" outlineLevel="0" collapsed="false">
      <c r="A2917" s="1" t="s">
        <v>2010</v>
      </c>
      <c r="B2917" s="1" t="str">
        <f aca="false">TRIM(A2917)</f>
        <v>+36, 40, KINGLER</v>
      </c>
    </row>
    <row r="2918" customFormat="false" ht="12.75" hidden="false" customHeight="true" outlineLevel="0" collapsed="false">
      <c r="A2918" s="1" t="s">
        <v>1458</v>
      </c>
      <c r="B2918" s="1" t="str">
        <f aca="false">TRIM(A2918)</f>
        <v>+38, 42, GILDUCK</v>
      </c>
    </row>
    <row r="2919" customFormat="false" ht="12.75" hidden="false" customHeight="true" outlineLevel="0" collapsed="false">
      <c r="A2919" s="1" t="s">
        <v>1459</v>
      </c>
      <c r="B2919" s="1" t="str">
        <f aca="false">TRIM(A2919)</f>
        <v>+38, 42, KRAKLAW</v>
      </c>
    </row>
    <row r="2920" customFormat="false" ht="12.75" hidden="false" customHeight="true" outlineLevel="0" collapsed="false">
      <c r="A2920" s="1" t="s">
        <v>2603</v>
      </c>
      <c r="B2920" s="1" t="str">
        <f aca="false">TRIM(A2920)</f>
        <v>+40, 44, LORDRA</v>
      </c>
    </row>
    <row r="2921" customFormat="false" ht="12.75" hidden="false" customHeight="true" outlineLevel="0" collapsed="false">
      <c r="A2921" s="1" t="s">
        <v>2536</v>
      </c>
      <c r="B2921" s="1" t="str">
        <f aca="false">TRIM(A2921)</f>
        <v>NEW ROUTE</v>
      </c>
    </row>
    <row r="2922" customFormat="false" ht="12.75" hidden="false" customHeight="true" outlineLevel="0" collapsed="false">
      <c r="A2922" s="1" t="s">
        <v>2745</v>
      </c>
      <c r="B2922" s="1" t="str">
        <f aca="false">TRIM(A2922)</f>
        <v>+3, 39, 0,</v>
      </c>
    </row>
    <row r="2923" customFormat="false" ht="12.75" hidden="false" customHeight="true" outlineLevel="0" collapsed="false">
      <c r="A2923" s="1" t="s">
        <v>2538</v>
      </c>
      <c r="B2923" s="1" t="str">
        <f aca="false">TRIM(A2923)</f>
        <v>14, # 20%</v>
      </c>
    </row>
    <row r="2924" customFormat="false" ht="12.75" hidden="false" customHeight="true" outlineLevel="0" collapsed="false">
      <c r="A2924" s="1" t="s">
        <v>2013</v>
      </c>
      <c r="B2924" s="1" t="str">
        <f aca="false">TRIM(A2924)</f>
        <v>39, 46, TANGROWTH</v>
      </c>
    </row>
    <row r="2925" customFormat="false" ht="12.75" hidden="false" customHeight="true" outlineLevel="0" collapsed="false">
      <c r="A2925" s="1" t="s">
        <v>2014</v>
      </c>
      <c r="B2925" s="1" t="str">
        <f aca="false">TRIM(A2925)</f>
        <v>+39, 46, EXEGGUTOR</v>
      </c>
    </row>
    <row r="2926" customFormat="false" ht="12.75" hidden="false" customHeight="true" outlineLevel="0" collapsed="false">
      <c r="A2926" s="2"/>
      <c r="B2926" s="1" t="str">
        <f aca="false">TRIM(A2926)</f>
        <v/>
      </c>
    </row>
    <row r="2927" customFormat="false" ht="12.75" hidden="false" customHeight="true" outlineLevel="0" collapsed="false">
      <c r="A2927" s="1" t="s">
        <v>1209</v>
      </c>
      <c r="B2927" s="1" t="str">
        <f aca="false">TRIM(A2927)</f>
        <v># 10%</v>
      </c>
    </row>
    <row r="2928" customFormat="false" ht="12.75" hidden="false" customHeight="true" outlineLevel="0" collapsed="false">
      <c r="A2928" s="1" t="s">
        <v>2015</v>
      </c>
      <c r="B2928" s="1" t="str">
        <f aca="false">TRIM(A2928)</f>
        <v>+39, 42, DODRIO</v>
      </c>
    </row>
    <row r="2929" customFormat="false" ht="12.75" hidden="false" customHeight="true" outlineLevel="0" collapsed="false">
      <c r="A2929" s="1" t="s">
        <v>2016</v>
      </c>
      <c r="B2929" s="1" t="str">
        <f aca="false">TRIM(A2929)</f>
        <v>+39, 42, GOLDUCK</v>
      </c>
    </row>
    <row r="2930" customFormat="false" ht="12.75" hidden="false" customHeight="true" outlineLevel="0" collapsed="false">
      <c r="A2930" s="1" t="s">
        <v>2017</v>
      </c>
      <c r="B2930" s="1" t="str">
        <f aca="false">TRIM(A2930)</f>
        <v>+43, 46, DODRIO</v>
      </c>
    </row>
    <row r="2931" customFormat="false" ht="12.75" hidden="false" customHeight="true" outlineLevel="0" collapsed="false">
      <c r="A2931" s="1" t="s">
        <v>2018</v>
      </c>
      <c r="B2931" s="1" t="str">
        <f aca="false">TRIM(A2931)</f>
        <v>+43, 46, GOLDUCK</v>
      </c>
    </row>
    <row r="2932" customFormat="false" ht="12.75" hidden="false" customHeight="true" outlineLevel="0" collapsed="false">
      <c r="A2932" s="2"/>
      <c r="B2932" s="1" t="str">
        <f aca="false">TRIM(A2932)</f>
        <v/>
      </c>
    </row>
    <row r="2933" customFormat="false" ht="12.75" hidden="false" customHeight="true" outlineLevel="0" collapsed="false">
      <c r="A2933" s="1" t="s">
        <v>1210</v>
      </c>
      <c r="B2933" s="1" t="str">
        <f aca="false">TRIM(A2933)</f>
        <v># 5%</v>
      </c>
    </row>
    <row r="2934" customFormat="false" ht="12.75" hidden="false" customHeight="true" outlineLevel="0" collapsed="false">
      <c r="A2934" s="1" t="s">
        <v>2019</v>
      </c>
      <c r="B2934" s="1" t="str">
        <f aca="false">TRIM(A2934)</f>
        <v>+43, 50, TANGATHER</v>
      </c>
    </row>
    <row r="2935" customFormat="false" ht="12.75" hidden="false" customHeight="true" outlineLevel="0" collapsed="false">
      <c r="A2935" s="1" t="s">
        <v>2020</v>
      </c>
      <c r="B2935" s="1" t="str">
        <f aca="false">TRIM(A2935)</f>
        <v>+43, 50, EXEGGITY</v>
      </c>
    </row>
    <row r="2936" customFormat="false" ht="12.75" hidden="false" customHeight="true" outlineLevel="0" collapsed="false">
      <c r="A2936" s="2"/>
      <c r="B2936" s="1" t="str">
        <f aca="false">TRIM(A2936)</f>
        <v/>
      </c>
    </row>
    <row r="2937" customFormat="false" ht="12.75" hidden="false" customHeight="true" outlineLevel="0" collapsed="false">
      <c r="A2937" s="1" t="s">
        <v>1211</v>
      </c>
      <c r="B2937" s="1" t="str">
        <f aca="false">TRIM(A2937)</f>
        <v># 4%</v>
      </c>
    </row>
    <row r="2938" customFormat="false" ht="12.75" hidden="false" customHeight="true" outlineLevel="0" collapsed="false">
      <c r="A2938" s="1" t="s">
        <v>2021</v>
      </c>
      <c r="B2938" s="1" t="str">
        <f aca="false">TRIM(A2938)</f>
        <v>+43, 50, GILDUCK</v>
      </c>
    </row>
    <row r="2939" customFormat="false" ht="12.75" hidden="false" customHeight="true" outlineLevel="0" collapsed="false">
      <c r="A2939" s="1" t="s">
        <v>2022</v>
      </c>
      <c r="B2939" s="1" t="str">
        <f aca="false">TRIM(A2939)</f>
        <v>+43, 50, QUADODO</v>
      </c>
    </row>
    <row r="2940" customFormat="false" ht="12.75" hidden="false" customHeight="true" outlineLevel="0" collapsed="false">
      <c r="A2940" s="2"/>
      <c r="B2940" s="1" t="str">
        <f aca="false">TRIM(A2940)</f>
        <v/>
      </c>
    </row>
    <row r="2941" customFormat="false" ht="12.75" hidden="false" customHeight="true" outlineLevel="0" collapsed="false">
      <c r="A2941" s="1" t="s">
        <v>1212</v>
      </c>
      <c r="B2941" s="1" t="str">
        <f aca="false">TRIM(A2941)</f>
        <v># 1%</v>
      </c>
    </row>
    <row r="2942" customFormat="false" ht="12.75" hidden="false" customHeight="true" outlineLevel="0" collapsed="false">
      <c r="A2942" s="1" t="s">
        <v>2023</v>
      </c>
      <c r="B2942" s="1" t="str">
        <f aca="false">TRIM(A2942)</f>
        <v>+45, 52, TANGOLIATH</v>
      </c>
    </row>
    <row r="2943" customFormat="false" ht="12.75" hidden="false" customHeight="true" outlineLevel="0" collapsed="false">
      <c r="A2943" s="1" t="s">
        <v>2746</v>
      </c>
      <c r="B2943" s="1" t="str">
        <f aca="false">TRIM(A2943)</f>
        <v>+44, 44, TANGOLIATH</v>
      </c>
    </row>
    <row r="2944" customFormat="false" ht="12.75" hidden="false" customHeight="true" outlineLevel="0" collapsed="false">
      <c r="A2944" s="1" t="s">
        <v>2711</v>
      </c>
      <c r="B2944" s="1" t="str">
        <f aca="false">TRIM(A2944)</f>
        <v>2, 38, 42, TENTACOOL</v>
      </c>
    </row>
    <row r="2945" customFormat="false" ht="12.75" hidden="false" customHeight="true" outlineLevel="0" collapsed="false">
      <c r="A2945" s="1" t="s">
        <v>1900</v>
      </c>
      <c r="B2945" s="1" t="str">
        <f aca="false">TRIM(A2945)</f>
        <v>+40, 44, TENTACRUEL</v>
      </c>
    </row>
    <row r="2946" customFormat="false" ht="12.75" hidden="false" customHeight="true" outlineLevel="0" collapsed="false">
      <c r="A2946" s="1" t="s">
        <v>1901</v>
      </c>
      <c r="B2946" s="1" t="str">
        <f aca="false">TRIM(A2946)</f>
        <v>+42, 46, TENTACATE</v>
      </c>
    </row>
    <row r="2947" customFormat="false" ht="12.75" hidden="false" customHeight="true" outlineLevel="0" collapsed="false">
      <c r="A2947" s="1" t="s">
        <v>1449</v>
      </c>
      <c r="B2947" s="1" t="str">
        <f aca="false">TRIM(A2947)</f>
        <v>+42, 46, LAPRAS</v>
      </c>
    </row>
    <row r="2948" customFormat="false" ht="12.75" hidden="false" customHeight="true" outlineLevel="0" collapsed="false">
      <c r="A2948" s="1" t="s">
        <v>2730</v>
      </c>
      <c r="B2948" s="1" t="str">
        <f aca="false">TRIM(A2948)</f>
        <v>+44, 48, LOCHLASS</v>
      </c>
    </row>
    <row r="2949" customFormat="false" ht="12.75" hidden="false" customHeight="true" outlineLevel="0" collapsed="false">
      <c r="A2949" s="1" t="s">
        <v>2572</v>
      </c>
      <c r="B2949" s="1" t="str">
        <f aca="false">TRIM(A2949)</f>
        <v>20, # old rod:</v>
      </c>
    </row>
    <row r="2950" customFormat="false" ht="12.75" hidden="false" customHeight="true" outlineLevel="0" collapsed="false">
      <c r="A2950" s="1" t="s">
        <v>2008</v>
      </c>
      <c r="B2950" s="1" t="str">
        <f aca="false">TRIM(A2950)</f>
        <v>19, 26, PSYDUCK</v>
      </c>
    </row>
    <row r="2951" customFormat="false" ht="12.75" hidden="false" customHeight="true" outlineLevel="0" collapsed="false">
      <c r="A2951" s="1" t="s">
        <v>2009</v>
      </c>
      <c r="B2951" s="1" t="str">
        <f aca="false">TRIM(A2951)</f>
        <v>+19, 26, HORSEA</v>
      </c>
    </row>
    <row r="2952" customFormat="false" ht="12.75" hidden="false" customHeight="true" outlineLevel="0" collapsed="false">
      <c r="A2952" s="2"/>
      <c r="B2952" s="1" t="str">
        <f aca="false">TRIM(A2952)</f>
        <v/>
      </c>
    </row>
    <row r="2953" customFormat="false" ht="12.75" hidden="false" customHeight="true" outlineLevel="0" collapsed="false">
      <c r="A2953" s="1" t="s">
        <v>1268</v>
      </c>
      <c r="B2953" s="1" t="str">
        <f aca="false">TRIM(A2953)</f>
        <v># good rod:</v>
      </c>
    </row>
    <row r="2954" customFormat="false" ht="12.75" hidden="false" customHeight="true" outlineLevel="0" collapsed="false">
      <c r="A2954" s="1" t="s">
        <v>1453</v>
      </c>
      <c r="B2954" s="1" t="str">
        <f aca="false">TRIM(A2954)</f>
        <v>+29, 33, SEADRA</v>
      </c>
    </row>
    <row r="2955" customFormat="false" ht="12.75" hidden="false" customHeight="true" outlineLevel="0" collapsed="false">
      <c r="A2955" s="1" t="s">
        <v>1454</v>
      </c>
      <c r="B2955" s="1" t="str">
        <f aca="false">TRIM(A2955)</f>
        <v>+30, 35, KRABBY</v>
      </c>
    </row>
    <row r="2956" customFormat="false" ht="12.75" hidden="false" customHeight="true" outlineLevel="0" collapsed="false">
      <c r="A2956" s="1" t="s">
        <v>1455</v>
      </c>
      <c r="B2956" s="1" t="str">
        <f aca="false">TRIM(A2956)</f>
        <v>+30, 35, GOLDUCK</v>
      </c>
    </row>
    <row r="2957" customFormat="false" ht="12.75" hidden="false" customHeight="true" outlineLevel="0" collapsed="false">
      <c r="A2957" s="2"/>
      <c r="B2957" s="1" t="str">
        <f aca="false">TRIM(A2957)</f>
        <v/>
      </c>
    </row>
    <row r="2958" customFormat="false" ht="12.75" hidden="false" customHeight="true" outlineLevel="0" collapsed="false">
      <c r="A2958" s="1" t="s">
        <v>1272</v>
      </c>
      <c r="B2958" s="1" t="str">
        <f aca="false">TRIM(A2958)</f>
        <v># super rod:</v>
      </c>
    </row>
    <row r="2959" customFormat="false" ht="12.75" hidden="false" customHeight="true" outlineLevel="0" collapsed="false">
      <c r="A2959" s="1" t="s">
        <v>1456</v>
      </c>
      <c r="B2959" s="1" t="str">
        <f aca="false">TRIM(A2959)</f>
        <v>+36, 40, KINGDRA</v>
      </c>
    </row>
    <row r="2960" customFormat="false" ht="12.75" hidden="false" customHeight="true" outlineLevel="0" collapsed="false">
      <c r="A2960" s="1" t="s">
        <v>2010</v>
      </c>
      <c r="B2960" s="1" t="str">
        <f aca="false">TRIM(A2960)</f>
        <v>+36, 40, KINGLER</v>
      </c>
    </row>
    <row r="2961" customFormat="false" ht="12.75" hidden="false" customHeight="true" outlineLevel="0" collapsed="false">
      <c r="A2961" s="1" t="s">
        <v>1458</v>
      </c>
      <c r="B2961" s="1" t="str">
        <f aca="false">TRIM(A2961)</f>
        <v>+38, 42, GILDUCK</v>
      </c>
    </row>
    <row r="2962" customFormat="false" ht="12.75" hidden="false" customHeight="true" outlineLevel="0" collapsed="false">
      <c r="A2962" s="1" t="s">
        <v>1459</v>
      </c>
      <c r="B2962" s="1" t="str">
        <f aca="false">TRIM(A2962)</f>
        <v>+38, 42, KRAKLAW</v>
      </c>
    </row>
    <row r="2963" customFormat="false" ht="12.75" hidden="false" customHeight="true" outlineLevel="0" collapsed="false">
      <c r="A2963" s="1" t="s">
        <v>2603</v>
      </c>
      <c r="B2963" s="1" t="str">
        <f aca="false">TRIM(A2963)</f>
        <v>+40, 44, LORDRA</v>
      </c>
    </row>
    <row r="2964" customFormat="false" ht="12.75" hidden="false" customHeight="true" outlineLevel="0" collapsed="false">
      <c r="A2964" s="1" t="s">
        <v>2536</v>
      </c>
      <c r="B2964" s="1" t="str">
        <f aca="false">TRIM(A2964)</f>
        <v>NEW ROUTE</v>
      </c>
    </row>
    <row r="2965" customFormat="false" ht="12.75" hidden="false" customHeight="true" outlineLevel="0" collapsed="false">
      <c r="A2965" s="1" t="s">
        <v>2747</v>
      </c>
      <c r="B2965" s="1" t="str">
        <f aca="false">TRIM(A2965)</f>
        <v>+3, 40, 0,</v>
      </c>
    </row>
    <row r="2966" customFormat="false" ht="12.75" hidden="false" customHeight="true" outlineLevel="0" collapsed="false">
      <c r="A2966" s="1" t="s">
        <v>2538</v>
      </c>
      <c r="B2966" s="1" t="str">
        <f aca="false">TRIM(A2966)</f>
        <v>14, # 20%</v>
      </c>
    </row>
    <row r="2967" customFormat="false" ht="12.75" hidden="false" customHeight="true" outlineLevel="0" collapsed="false">
      <c r="A2967" s="1" t="s">
        <v>2013</v>
      </c>
      <c r="B2967" s="1" t="str">
        <f aca="false">TRIM(A2967)</f>
        <v>39, 46, TANGROWTH</v>
      </c>
    </row>
    <row r="2968" customFormat="false" ht="12.75" hidden="false" customHeight="true" outlineLevel="0" collapsed="false">
      <c r="A2968" s="1" t="s">
        <v>2014</v>
      </c>
      <c r="B2968" s="1" t="str">
        <f aca="false">TRIM(A2968)</f>
        <v>+39, 46, EXEGGUTOR</v>
      </c>
    </row>
    <row r="2969" customFormat="false" ht="12.75" hidden="false" customHeight="true" outlineLevel="0" collapsed="false">
      <c r="A2969" s="2"/>
      <c r="B2969" s="1" t="str">
        <f aca="false">TRIM(A2969)</f>
        <v/>
      </c>
    </row>
    <row r="2970" customFormat="false" ht="12.75" hidden="false" customHeight="true" outlineLevel="0" collapsed="false">
      <c r="A2970" s="1" t="s">
        <v>1209</v>
      </c>
      <c r="B2970" s="1" t="str">
        <f aca="false">TRIM(A2970)</f>
        <v># 10%</v>
      </c>
    </row>
    <row r="2971" customFormat="false" ht="12.75" hidden="false" customHeight="true" outlineLevel="0" collapsed="false">
      <c r="A2971" s="1" t="s">
        <v>2015</v>
      </c>
      <c r="B2971" s="1" t="str">
        <f aca="false">TRIM(A2971)</f>
        <v>+39, 42, DODRIO</v>
      </c>
    </row>
    <row r="2972" customFormat="false" ht="12.75" hidden="false" customHeight="true" outlineLevel="0" collapsed="false">
      <c r="A2972" s="1" t="s">
        <v>2016</v>
      </c>
      <c r="B2972" s="1" t="str">
        <f aca="false">TRIM(A2972)</f>
        <v>+39, 42, GOLDUCK</v>
      </c>
    </row>
    <row r="2973" customFormat="false" ht="12.75" hidden="false" customHeight="true" outlineLevel="0" collapsed="false">
      <c r="A2973" s="1" t="s">
        <v>2017</v>
      </c>
      <c r="B2973" s="1" t="str">
        <f aca="false">TRIM(A2973)</f>
        <v>+43, 46, DODRIO</v>
      </c>
    </row>
    <row r="2974" customFormat="false" ht="12.75" hidden="false" customHeight="true" outlineLevel="0" collapsed="false">
      <c r="A2974" s="1" t="s">
        <v>2018</v>
      </c>
      <c r="B2974" s="1" t="str">
        <f aca="false">TRIM(A2974)</f>
        <v>+43, 46, GOLDUCK</v>
      </c>
    </row>
    <row r="2975" customFormat="false" ht="12.75" hidden="false" customHeight="true" outlineLevel="0" collapsed="false">
      <c r="A2975" s="2"/>
      <c r="B2975" s="1" t="str">
        <f aca="false">TRIM(A2975)</f>
        <v/>
      </c>
    </row>
    <row r="2976" customFormat="false" ht="12.75" hidden="false" customHeight="true" outlineLevel="0" collapsed="false">
      <c r="A2976" s="1" t="s">
        <v>1210</v>
      </c>
      <c r="B2976" s="1" t="str">
        <f aca="false">TRIM(A2976)</f>
        <v># 5%</v>
      </c>
    </row>
    <row r="2977" customFormat="false" ht="12.75" hidden="false" customHeight="true" outlineLevel="0" collapsed="false">
      <c r="A2977" s="1" t="s">
        <v>2019</v>
      </c>
      <c r="B2977" s="1" t="str">
        <f aca="false">TRIM(A2977)</f>
        <v>+43, 50, TANGATHER</v>
      </c>
    </row>
    <row r="2978" customFormat="false" ht="12.75" hidden="false" customHeight="true" outlineLevel="0" collapsed="false">
      <c r="A2978" s="1" t="s">
        <v>2020</v>
      </c>
      <c r="B2978" s="1" t="str">
        <f aca="false">TRIM(A2978)</f>
        <v>+43, 50, EXEGGITY</v>
      </c>
    </row>
    <row r="2979" customFormat="false" ht="12.75" hidden="false" customHeight="true" outlineLevel="0" collapsed="false">
      <c r="A2979" s="2"/>
      <c r="B2979" s="1" t="str">
        <f aca="false">TRIM(A2979)</f>
        <v/>
      </c>
    </row>
    <row r="2980" customFormat="false" ht="12.75" hidden="false" customHeight="true" outlineLevel="0" collapsed="false">
      <c r="A2980" s="1" t="s">
        <v>1211</v>
      </c>
      <c r="B2980" s="1" t="str">
        <f aca="false">TRIM(A2980)</f>
        <v># 4%</v>
      </c>
    </row>
    <row r="2981" customFormat="false" ht="12.75" hidden="false" customHeight="true" outlineLevel="0" collapsed="false">
      <c r="A2981" s="1" t="s">
        <v>2021</v>
      </c>
      <c r="B2981" s="1" t="str">
        <f aca="false">TRIM(A2981)</f>
        <v>+43, 50, GILDUCK</v>
      </c>
    </row>
    <row r="2982" customFormat="false" ht="12.75" hidden="false" customHeight="true" outlineLevel="0" collapsed="false">
      <c r="A2982" s="1" t="s">
        <v>2022</v>
      </c>
      <c r="B2982" s="1" t="str">
        <f aca="false">TRIM(A2982)</f>
        <v>+43, 50, QUADODO</v>
      </c>
    </row>
    <row r="2983" customFormat="false" ht="12.75" hidden="false" customHeight="true" outlineLevel="0" collapsed="false">
      <c r="A2983" s="2"/>
      <c r="B2983" s="1" t="str">
        <f aca="false">TRIM(A2983)</f>
        <v/>
      </c>
    </row>
    <row r="2984" customFormat="false" ht="12.75" hidden="false" customHeight="true" outlineLevel="0" collapsed="false">
      <c r="A2984" s="1" t="s">
        <v>1212</v>
      </c>
      <c r="B2984" s="1" t="str">
        <f aca="false">TRIM(A2984)</f>
        <v># 1%</v>
      </c>
    </row>
    <row r="2985" customFormat="false" ht="12.75" hidden="false" customHeight="true" outlineLevel="0" collapsed="false">
      <c r="A2985" s="1" t="s">
        <v>2023</v>
      </c>
      <c r="B2985" s="1" t="str">
        <f aca="false">TRIM(A2985)</f>
        <v>+45, 52, TANGOLIATH</v>
      </c>
    </row>
    <row r="2986" customFormat="false" ht="12.75" hidden="false" customHeight="true" outlineLevel="0" collapsed="false">
      <c r="A2986" s="1" t="s">
        <v>2746</v>
      </c>
      <c r="B2986" s="1" t="str">
        <f aca="false">TRIM(A2986)</f>
        <v>+44, 44, TANGOLIATH</v>
      </c>
    </row>
    <row r="2987" customFormat="false" ht="12.75" hidden="false" customHeight="true" outlineLevel="0" collapsed="false">
      <c r="A2987" s="1" t="s">
        <v>2711</v>
      </c>
      <c r="B2987" s="1" t="str">
        <f aca="false">TRIM(A2987)</f>
        <v>2, 38, 42, TENTACOOL</v>
      </c>
    </row>
    <row r="2988" customFormat="false" ht="12.75" hidden="false" customHeight="true" outlineLevel="0" collapsed="false">
      <c r="A2988" s="1" t="s">
        <v>1900</v>
      </c>
      <c r="B2988" s="1" t="str">
        <f aca="false">TRIM(A2988)</f>
        <v>+40, 44, TENTACRUEL</v>
      </c>
    </row>
    <row r="2989" customFormat="false" ht="12.75" hidden="false" customHeight="true" outlineLevel="0" collapsed="false">
      <c r="A2989" s="1" t="s">
        <v>1901</v>
      </c>
      <c r="B2989" s="1" t="str">
        <f aca="false">TRIM(A2989)</f>
        <v>+42, 46, TENTACATE</v>
      </c>
    </row>
    <row r="2990" customFormat="false" ht="12.75" hidden="false" customHeight="true" outlineLevel="0" collapsed="false">
      <c r="A2990" s="1" t="s">
        <v>1449</v>
      </c>
      <c r="B2990" s="1" t="str">
        <f aca="false">TRIM(A2990)</f>
        <v>+42, 46, LAPRAS</v>
      </c>
    </row>
    <row r="2991" customFormat="false" ht="12.75" hidden="false" customHeight="true" outlineLevel="0" collapsed="false">
      <c r="A2991" s="1" t="s">
        <v>2730</v>
      </c>
      <c r="B2991" s="1" t="str">
        <f aca="false">TRIM(A2991)</f>
        <v>+44, 48, LOCHLASS</v>
      </c>
    </row>
    <row r="2992" customFormat="false" ht="12.75" hidden="false" customHeight="true" outlineLevel="0" collapsed="false">
      <c r="A2992" s="1" t="s">
        <v>2572</v>
      </c>
      <c r="B2992" s="1" t="str">
        <f aca="false">TRIM(A2992)</f>
        <v>20, # old rod:</v>
      </c>
    </row>
    <row r="2993" customFormat="false" ht="12.75" hidden="false" customHeight="true" outlineLevel="0" collapsed="false">
      <c r="A2993" s="1" t="s">
        <v>2008</v>
      </c>
      <c r="B2993" s="1" t="str">
        <f aca="false">TRIM(A2993)</f>
        <v>19, 26, PSYDUCK</v>
      </c>
    </row>
    <row r="2994" customFormat="false" ht="12.75" hidden="false" customHeight="true" outlineLevel="0" collapsed="false">
      <c r="A2994" s="1" t="s">
        <v>2009</v>
      </c>
      <c r="B2994" s="1" t="str">
        <f aca="false">TRIM(A2994)</f>
        <v>+19, 26, HORSEA</v>
      </c>
    </row>
    <row r="2995" customFormat="false" ht="12.75" hidden="false" customHeight="true" outlineLevel="0" collapsed="false">
      <c r="A2995" s="2"/>
      <c r="B2995" s="1" t="str">
        <f aca="false">TRIM(A2995)</f>
        <v/>
      </c>
    </row>
    <row r="2996" customFormat="false" ht="12.75" hidden="false" customHeight="true" outlineLevel="0" collapsed="false">
      <c r="A2996" s="1" t="s">
        <v>1268</v>
      </c>
      <c r="B2996" s="1" t="str">
        <f aca="false">TRIM(A2996)</f>
        <v># good rod:</v>
      </c>
    </row>
    <row r="2997" customFormat="false" ht="12.75" hidden="false" customHeight="true" outlineLevel="0" collapsed="false">
      <c r="A2997" s="1" t="s">
        <v>1453</v>
      </c>
      <c r="B2997" s="1" t="str">
        <f aca="false">TRIM(A2997)</f>
        <v>+29, 33, SEADRA</v>
      </c>
    </row>
    <row r="2998" customFormat="false" ht="12.75" hidden="false" customHeight="true" outlineLevel="0" collapsed="false">
      <c r="A2998" s="1" t="s">
        <v>1454</v>
      </c>
      <c r="B2998" s="1" t="str">
        <f aca="false">TRIM(A2998)</f>
        <v>+30, 35, KRABBY</v>
      </c>
    </row>
    <row r="2999" customFormat="false" ht="12.75" hidden="false" customHeight="true" outlineLevel="0" collapsed="false">
      <c r="A2999" s="1" t="s">
        <v>1455</v>
      </c>
      <c r="B2999" s="1" t="str">
        <f aca="false">TRIM(A2999)</f>
        <v>+30, 35, GOLDUCK</v>
      </c>
    </row>
    <row r="3000" customFormat="false" ht="12.75" hidden="false" customHeight="true" outlineLevel="0" collapsed="false">
      <c r="A3000" s="2"/>
      <c r="B3000" s="1" t="str">
        <f aca="false">TRIM(A3000)</f>
        <v/>
      </c>
    </row>
    <row r="3001" customFormat="false" ht="12.75" hidden="false" customHeight="true" outlineLevel="0" collapsed="false">
      <c r="A3001" s="1" t="s">
        <v>1272</v>
      </c>
      <c r="B3001" s="1" t="str">
        <f aca="false">TRIM(A3001)</f>
        <v># super rod:</v>
      </c>
    </row>
    <row r="3002" customFormat="false" ht="12.75" hidden="false" customHeight="true" outlineLevel="0" collapsed="false">
      <c r="A3002" s="1" t="s">
        <v>1456</v>
      </c>
      <c r="B3002" s="1" t="str">
        <f aca="false">TRIM(A3002)</f>
        <v>+36, 40, KINGDRA</v>
      </c>
    </row>
    <row r="3003" customFormat="false" ht="12.75" hidden="false" customHeight="true" outlineLevel="0" collapsed="false">
      <c r="A3003" s="1" t="s">
        <v>2010</v>
      </c>
      <c r="B3003" s="1" t="str">
        <f aca="false">TRIM(A3003)</f>
        <v>+36, 40, KINGLER</v>
      </c>
    </row>
    <row r="3004" customFormat="false" ht="12.75" hidden="false" customHeight="true" outlineLevel="0" collapsed="false">
      <c r="A3004" s="1" t="s">
        <v>1458</v>
      </c>
      <c r="B3004" s="1" t="str">
        <f aca="false">TRIM(A3004)</f>
        <v>+38, 42, GILDUCK</v>
      </c>
    </row>
    <row r="3005" customFormat="false" ht="12.75" hidden="false" customHeight="true" outlineLevel="0" collapsed="false">
      <c r="A3005" s="1" t="s">
        <v>1459</v>
      </c>
      <c r="B3005" s="1" t="str">
        <f aca="false">TRIM(A3005)</f>
        <v>+38, 42, KRAKLAW</v>
      </c>
    </row>
    <row r="3006" customFormat="false" ht="12.75" hidden="false" customHeight="true" outlineLevel="0" collapsed="false">
      <c r="A3006" s="1" t="s">
        <v>2603</v>
      </c>
      <c r="B3006" s="1" t="str">
        <f aca="false">TRIM(A3006)</f>
        <v>+40, 44, LORDRA</v>
      </c>
    </row>
    <row r="3007" customFormat="false" ht="12.75" hidden="false" customHeight="true" outlineLevel="0" collapsed="false">
      <c r="A3007" s="1" t="s">
        <v>2536</v>
      </c>
      <c r="B3007" s="1" t="str">
        <f aca="false">TRIM(A3007)</f>
        <v>NEW ROUTE</v>
      </c>
    </row>
    <row r="3008" customFormat="false" ht="12.75" hidden="false" customHeight="true" outlineLevel="0" collapsed="false">
      <c r="A3008" s="1" t="s">
        <v>2748</v>
      </c>
      <c r="B3008" s="1" t="str">
        <f aca="false">TRIM(A3008)</f>
        <v>+3, 41, 0,</v>
      </c>
    </row>
    <row r="3009" customFormat="false" ht="12.75" hidden="false" customHeight="true" outlineLevel="0" collapsed="false">
      <c r="A3009" s="1" t="s">
        <v>2568</v>
      </c>
      <c r="B3009" s="1" t="str">
        <f aca="false">TRIM(A3009)</f>
        <v>21, # 20%</v>
      </c>
    </row>
    <row r="3010" customFormat="false" ht="12.75" hidden="false" customHeight="true" outlineLevel="0" collapsed="false">
      <c r="A3010" s="1" t="s">
        <v>2027</v>
      </c>
      <c r="B3010" s="1" t="str">
        <f aca="false">TRIM(A3010)</f>
        <v>2, 3, RATTATA</v>
      </c>
    </row>
    <row r="3011" customFormat="false" ht="12.75" hidden="false" customHeight="true" outlineLevel="0" collapsed="false">
      <c r="A3011" s="1" t="s">
        <v>2028</v>
      </c>
      <c r="B3011" s="1" t="str">
        <f aca="false">TRIM(A3011)</f>
        <v>+4, 5, RATTATA</v>
      </c>
    </row>
    <row r="3012" customFormat="false" ht="12.75" hidden="false" customHeight="true" outlineLevel="0" collapsed="false">
      <c r="A3012" s="2"/>
      <c r="B3012" s="1" t="str">
        <f aca="false">TRIM(A3012)</f>
        <v/>
      </c>
    </row>
    <row r="3013" customFormat="false" ht="12.75" hidden="false" customHeight="true" outlineLevel="0" collapsed="false">
      <c r="A3013" s="1" t="s">
        <v>1209</v>
      </c>
      <c r="B3013" s="1" t="str">
        <f aca="false">TRIM(A3013)</f>
        <v># 10%</v>
      </c>
    </row>
    <row r="3014" customFormat="false" ht="12.75" hidden="false" customHeight="true" outlineLevel="0" collapsed="false">
      <c r="A3014" s="1" t="s">
        <v>2029</v>
      </c>
      <c r="B3014" s="1" t="str">
        <f aca="false">TRIM(A3014)</f>
        <v>+2, 3, MEOWTH</v>
      </c>
    </row>
    <row r="3015" customFormat="false" ht="12.75" hidden="false" customHeight="true" outlineLevel="0" collapsed="false">
      <c r="A3015" s="1" t="s">
        <v>2030</v>
      </c>
      <c r="B3015" s="1" t="str">
        <f aca="false">TRIM(A3015)</f>
        <v>+4, 5, MEOWTH</v>
      </c>
    </row>
    <row r="3016" customFormat="false" ht="12.75" hidden="false" customHeight="true" outlineLevel="0" collapsed="false">
      <c r="A3016" s="1" t="s">
        <v>2031</v>
      </c>
      <c r="B3016" s="1" t="str">
        <f aca="false">TRIM(A3016)</f>
        <v>+2, 3, SPEAROW</v>
      </c>
    </row>
    <row r="3017" customFormat="false" ht="12.75" hidden="false" customHeight="true" outlineLevel="0" collapsed="false">
      <c r="A3017" s="1" t="s">
        <v>2032</v>
      </c>
      <c r="B3017" s="1" t="str">
        <f aca="false">TRIM(A3017)</f>
        <v>+4, 5, SPEAROW</v>
      </c>
    </row>
    <row r="3018" customFormat="false" ht="12.75" hidden="false" customHeight="true" outlineLevel="0" collapsed="false">
      <c r="A3018" s="2"/>
      <c r="B3018" s="1" t="str">
        <f aca="false">TRIM(A3018)</f>
        <v/>
      </c>
    </row>
    <row r="3019" customFormat="false" ht="12.75" hidden="false" customHeight="true" outlineLevel="0" collapsed="false">
      <c r="A3019" s="1" t="s">
        <v>1210</v>
      </c>
      <c r="B3019" s="1" t="str">
        <f aca="false">TRIM(A3019)</f>
        <v># 5%</v>
      </c>
    </row>
    <row r="3020" customFormat="false" ht="12.75" hidden="false" customHeight="true" outlineLevel="0" collapsed="false">
      <c r="A3020" s="1" t="s">
        <v>2033</v>
      </c>
      <c r="B3020" s="1" t="str">
        <f aca="false">TRIM(A3020)</f>
        <v>+2, 3, GROWLITHE</v>
      </c>
    </row>
    <row r="3021" customFormat="false" ht="12.75" hidden="false" customHeight="true" outlineLevel="0" collapsed="false">
      <c r="A3021" s="1" t="s">
        <v>2034</v>
      </c>
      <c r="B3021" s="1" t="str">
        <f aca="false">TRIM(A3021)</f>
        <v>+4, 5, GROWLITHE</v>
      </c>
    </row>
    <row r="3022" customFormat="false" ht="12.75" hidden="false" customHeight="true" outlineLevel="0" collapsed="false">
      <c r="A3022" s="2"/>
      <c r="B3022" s="1" t="str">
        <f aca="false">TRIM(A3022)</f>
        <v/>
      </c>
    </row>
    <row r="3023" customFormat="false" ht="12.75" hidden="false" customHeight="true" outlineLevel="0" collapsed="false">
      <c r="A3023" s="1" t="s">
        <v>1211</v>
      </c>
      <c r="B3023" s="1" t="str">
        <f aca="false">TRIM(A3023)</f>
        <v># 4%</v>
      </c>
    </row>
    <row r="3024" customFormat="false" ht="12.75" hidden="false" customHeight="true" outlineLevel="0" collapsed="false">
      <c r="A3024" s="1" t="s">
        <v>2035</v>
      </c>
      <c r="B3024" s="1" t="str">
        <f aca="false">TRIM(A3024)</f>
        <v>+2, 5, ABRA</v>
      </c>
    </row>
    <row r="3025" customFormat="false" ht="12.75" hidden="false" customHeight="true" outlineLevel="0" collapsed="false">
      <c r="A3025" s="1" t="s">
        <v>2036</v>
      </c>
      <c r="B3025" s="1" t="str">
        <f aca="false">TRIM(A3025)</f>
        <v>+2, 5, KANGAKID</v>
      </c>
    </row>
    <row r="3026" customFormat="false" ht="12.75" hidden="false" customHeight="true" outlineLevel="0" collapsed="false">
      <c r="A3026" s="2"/>
      <c r="B3026" s="1" t="str">
        <f aca="false">TRIM(A3026)</f>
        <v/>
      </c>
    </row>
    <row r="3027" customFormat="false" ht="12.75" hidden="false" customHeight="true" outlineLevel="0" collapsed="false">
      <c r="A3027" s="1" t="s">
        <v>1212</v>
      </c>
      <c r="B3027" s="1" t="str">
        <f aca="false">TRIM(A3027)</f>
        <v># 1%</v>
      </c>
    </row>
    <row r="3028" customFormat="false" ht="12.75" hidden="false" customHeight="true" outlineLevel="0" collapsed="false">
      <c r="A3028" s="1" t="s">
        <v>2037</v>
      </c>
      <c r="B3028" s="1" t="str">
        <f aca="false">TRIM(A3028)</f>
        <v>+2, 5, EEVEE</v>
      </c>
    </row>
    <row r="3029" customFormat="false" ht="12.75" hidden="false" customHeight="true" outlineLevel="0" collapsed="false">
      <c r="A3029" s="1" t="s">
        <v>2749</v>
      </c>
      <c r="B3029" s="1" t="str">
        <f aca="false">TRIM(A3029)</f>
        <v>+2, 5, SCYTHER</v>
      </c>
    </row>
    <row r="3030" customFormat="false" ht="12.75" hidden="false" customHeight="true" outlineLevel="0" collapsed="false">
      <c r="A3030" s="1" t="s">
        <v>2750</v>
      </c>
      <c r="B3030" s="1" t="str">
        <f aca="false">TRIM(A3030)</f>
        <v>2, 40, 44, PSYDUCK</v>
      </c>
    </row>
    <row r="3031" customFormat="false" ht="12.75" hidden="false" customHeight="true" outlineLevel="0" collapsed="false">
      <c r="A3031" s="1" t="s">
        <v>2039</v>
      </c>
      <c r="B3031" s="1" t="str">
        <f aca="false">TRIM(A3031)</f>
        <v>+42, 46, SLOWPOKE</v>
      </c>
    </row>
    <row r="3032" customFormat="false" ht="12.75" hidden="false" customHeight="true" outlineLevel="0" collapsed="false">
      <c r="A3032" s="1" t="s">
        <v>2040</v>
      </c>
      <c r="B3032" s="1" t="str">
        <f aca="false">TRIM(A3032)</f>
        <v>+44, 47, GOLDUCK</v>
      </c>
    </row>
    <row r="3033" customFormat="false" ht="12.75" hidden="false" customHeight="true" outlineLevel="0" collapsed="false">
      <c r="A3033" s="1" t="s">
        <v>2041</v>
      </c>
      <c r="B3033" s="1" t="str">
        <f aca="false">TRIM(A3033)</f>
        <v>+44, 47, SLOWBRO</v>
      </c>
    </row>
    <row r="3034" customFormat="false" ht="12.75" hidden="false" customHeight="true" outlineLevel="0" collapsed="false">
      <c r="A3034" s="1" t="s">
        <v>2751</v>
      </c>
      <c r="B3034" s="1" t="str">
        <f aca="false">TRIM(A3034)</f>
        <v>+45, 50, GILDUCK</v>
      </c>
    </row>
    <row r="3035" customFormat="false" ht="12.75" hidden="false" customHeight="true" outlineLevel="0" collapsed="false">
      <c r="A3035" s="1" t="s">
        <v>2572</v>
      </c>
      <c r="B3035" s="1" t="str">
        <f aca="false">TRIM(A3035)</f>
        <v>20, # old rod:</v>
      </c>
    </row>
    <row r="3036" customFormat="false" ht="12.75" hidden="false" customHeight="true" outlineLevel="0" collapsed="false">
      <c r="A3036" s="1" t="s">
        <v>1349</v>
      </c>
      <c r="B3036" s="1" t="str">
        <f aca="false">TRIM(A3036)</f>
        <v>19, 26, MAGIKARP</v>
      </c>
    </row>
    <row r="3037" customFormat="false" ht="12.75" hidden="false" customHeight="true" outlineLevel="0" collapsed="false">
      <c r="A3037" s="1" t="s">
        <v>1350</v>
      </c>
      <c r="B3037" s="1" t="str">
        <f aca="false">TRIM(A3037)</f>
        <v>+19, 26, POLIWAG</v>
      </c>
    </row>
    <row r="3038" customFormat="false" ht="12.75" hidden="false" customHeight="true" outlineLevel="0" collapsed="false">
      <c r="A3038" s="2"/>
      <c r="B3038" s="1" t="str">
        <f aca="false">TRIM(A3038)</f>
        <v/>
      </c>
    </row>
    <row r="3039" customFormat="false" ht="12.75" hidden="false" customHeight="true" outlineLevel="0" collapsed="false">
      <c r="A3039" s="1" t="s">
        <v>1268</v>
      </c>
      <c r="B3039" s="1" t="str">
        <f aca="false">TRIM(A3039)</f>
        <v># good rod:</v>
      </c>
    </row>
    <row r="3040" customFormat="false" ht="12.75" hidden="false" customHeight="true" outlineLevel="0" collapsed="false">
      <c r="A3040" s="1" t="s">
        <v>2043</v>
      </c>
      <c r="B3040" s="1" t="str">
        <f aca="false">TRIM(A3040)</f>
        <v>+29, 33, MAGIKARP</v>
      </c>
    </row>
    <row r="3041" customFormat="false" ht="12.75" hidden="false" customHeight="true" outlineLevel="0" collapsed="false">
      <c r="A3041" s="1" t="s">
        <v>2044</v>
      </c>
      <c r="B3041" s="1" t="str">
        <f aca="false">TRIM(A3041)</f>
        <v>+30, 35, GYARADOS</v>
      </c>
    </row>
    <row r="3042" customFormat="false" ht="12.75" hidden="false" customHeight="true" outlineLevel="0" collapsed="false">
      <c r="A3042" s="1" t="s">
        <v>2045</v>
      </c>
      <c r="B3042" s="1" t="str">
        <f aca="false">TRIM(A3042)</f>
        <v>+30, 35, POLIWHIRL</v>
      </c>
    </row>
    <row r="3043" customFormat="false" ht="12.75" hidden="false" customHeight="true" outlineLevel="0" collapsed="false">
      <c r="A3043" s="2"/>
      <c r="B3043" s="1" t="str">
        <f aca="false">TRIM(A3043)</f>
        <v/>
      </c>
    </row>
    <row r="3044" customFormat="false" ht="12.75" hidden="false" customHeight="true" outlineLevel="0" collapsed="false">
      <c r="A3044" s="1" t="s">
        <v>1272</v>
      </c>
      <c r="B3044" s="1" t="str">
        <f aca="false">TRIM(A3044)</f>
        <v># super rod:</v>
      </c>
    </row>
    <row r="3045" customFormat="false" ht="12.75" hidden="false" customHeight="true" outlineLevel="0" collapsed="false">
      <c r="A3045" s="1" t="s">
        <v>2046</v>
      </c>
      <c r="B3045" s="1" t="str">
        <f aca="false">TRIM(A3045)</f>
        <v>+36, 40, MAGIKARP</v>
      </c>
    </row>
    <row r="3046" customFormat="false" ht="12.75" hidden="false" customHeight="true" outlineLevel="0" collapsed="false">
      <c r="A3046" s="1" t="s">
        <v>1823</v>
      </c>
      <c r="B3046" s="1" t="str">
        <f aca="false">TRIM(A3046)</f>
        <v>+36, 40, GYARADOS</v>
      </c>
    </row>
    <row r="3047" customFormat="false" ht="12.75" hidden="false" customHeight="true" outlineLevel="0" collapsed="false">
      <c r="A3047" s="1" t="s">
        <v>2047</v>
      </c>
      <c r="B3047" s="1" t="str">
        <f aca="false">TRIM(A3047)</f>
        <v>+38, 42, POLIWHIRL</v>
      </c>
    </row>
    <row r="3048" customFormat="false" ht="12.75" hidden="false" customHeight="true" outlineLevel="0" collapsed="false">
      <c r="A3048" s="1" t="s">
        <v>1846</v>
      </c>
      <c r="B3048" s="1" t="str">
        <f aca="false">TRIM(A3048)</f>
        <v>+38, 42, POLIWRATH</v>
      </c>
    </row>
    <row r="3049" customFormat="false" ht="12.75" hidden="false" customHeight="true" outlineLevel="0" collapsed="false">
      <c r="A3049" s="1" t="s">
        <v>2718</v>
      </c>
      <c r="B3049" s="1" t="str">
        <f aca="false">TRIM(A3049)</f>
        <v>+40, 44, POLITOES</v>
      </c>
    </row>
    <row r="3050" customFormat="false" ht="12.75" hidden="false" customHeight="true" outlineLevel="0" collapsed="false">
      <c r="A3050" s="1" t="s">
        <v>2536</v>
      </c>
      <c r="B3050" s="1" t="str">
        <f aca="false">TRIM(A3050)</f>
        <v>NEW ROUTE</v>
      </c>
    </row>
    <row r="3051" customFormat="false" ht="12.75" hidden="false" customHeight="true" outlineLevel="0" collapsed="false">
      <c r="A3051" s="1" t="s">
        <v>2752</v>
      </c>
      <c r="B3051" s="1" t="str">
        <f aca="false">TRIM(A3051)</f>
        <v>+3, 42, 0,</v>
      </c>
    </row>
    <row r="3052" customFormat="false" ht="12.75" hidden="false" customHeight="true" outlineLevel="0" collapsed="false">
      <c r="A3052" s="1" t="s">
        <v>2568</v>
      </c>
      <c r="B3052" s="1" t="str">
        <f aca="false">TRIM(A3052)</f>
        <v>21, # 20%</v>
      </c>
    </row>
    <row r="3053" customFormat="false" ht="12.75" hidden="false" customHeight="true" outlineLevel="0" collapsed="false">
      <c r="A3053" s="1" t="s">
        <v>2049</v>
      </c>
      <c r="B3053" s="1" t="str">
        <f aca="false">TRIM(A3053)</f>
        <v>51, 56, PRIMEAPE</v>
      </c>
    </row>
    <row r="3054" customFormat="false" ht="12.75" hidden="false" customHeight="true" outlineLevel="0" collapsed="false">
      <c r="A3054" s="1" t="s">
        <v>2050</v>
      </c>
      <c r="B3054" s="1" t="str">
        <f aca="false">TRIM(A3054)</f>
        <v>+51, 56, SNEEROW</v>
      </c>
    </row>
    <row r="3055" customFormat="false" ht="12.75" hidden="false" customHeight="true" outlineLevel="0" collapsed="false">
      <c r="A3055" s="2"/>
      <c r="B3055" s="1" t="str">
        <f aca="false">TRIM(A3055)</f>
        <v/>
      </c>
    </row>
    <row r="3056" customFormat="false" ht="12.75" hidden="false" customHeight="true" outlineLevel="0" collapsed="false">
      <c r="A3056" s="1" t="s">
        <v>1209</v>
      </c>
      <c r="B3056" s="1" t="str">
        <f aca="false">TRIM(A3056)</f>
        <v># 10%</v>
      </c>
    </row>
    <row r="3057" customFormat="false" ht="12.75" hidden="false" customHeight="true" outlineLevel="0" collapsed="false">
      <c r="A3057" s="1" t="s">
        <v>2051</v>
      </c>
      <c r="B3057" s="1" t="str">
        <f aca="false">TRIM(A3057)</f>
        <v>+53, 57, GORILLASH</v>
      </c>
    </row>
    <row r="3058" customFormat="false" ht="12.75" hidden="false" customHeight="true" outlineLevel="0" collapsed="false">
      <c r="A3058" s="1" t="s">
        <v>2052</v>
      </c>
      <c r="B3058" s="1" t="str">
        <f aca="false">TRIM(A3058)</f>
        <v>+53, 57, ORNITHOW</v>
      </c>
    </row>
    <row r="3059" customFormat="false" ht="12.75" hidden="false" customHeight="true" outlineLevel="0" collapsed="false">
      <c r="A3059" s="1" t="s">
        <v>1296</v>
      </c>
      <c r="B3059" s="1" t="str">
        <f aca="false">TRIM(A3059)</f>
        <v>+53, 57, ADNOKANA</v>
      </c>
    </row>
    <row r="3060" customFormat="false" ht="12.75" hidden="false" customHeight="true" outlineLevel="0" collapsed="false">
      <c r="A3060" s="1" t="s">
        <v>2053</v>
      </c>
      <c r="B3060" s="1" t="str">
        <f aca="false">TRIM(A3060)</f>
        <v>+53, 57, SANDSLAM</v>
      </c>
    </row>
    <row r="3061" customFormat="false" ht="12.75" hidden="false" customHeight="true" outlineLevel="0" collapsed="false">
      <c r="A3061" s="2"/>
      <c r="B3061" s="1" t="str">
        <f aca="false">TRIM(A3061)</f>
        <v/>
      </c>
    </row>
    <row r="3062" customFormat="false" ht="12.75" hidden="false" customHeight="true" outlineLevel="0" collapsed="false">
      <c r="A3062" s="1" t="s">
        <v>1210</v>
      </c>
      <c r="B3062" s="1" t="str">
        <f aca="false">TRIM(A3062)</f>
        <v># 5%</v>
      </c>
    </row>
    <row r="3063" customFormat="false" ht="12.75" hidden="false" customHeight="true" outlineLevel="0" collapsed="false">
      <c r="A3063" s="1" t="s">
        <v>2054</v>
      </c>
      <c r="B3063" s="1" t="str">
        <f aca="false">TRIM(A3063)</f>
        <v>+54, 56, "MR. JEST"</v>
      </c>
    </row>
    <row r="3064" customFormat="false" ht="12.75" hidden="false" customHeight="true" outlineLevel="0" collapsed="false">
      <c r="A3064" s="1" t="s">
        <v>2055</v>
      </c>
      <c r="B3064" s="1" t="str">
        <f aca="false">TRIM(A3064)</f>
        <v>+54, 56, ELECTIVINE</v>
      </c>
    </row>
    <row r="3065" customFormat="false" ht="12.75" hidden="false" customHeight="true" outlineLevel="0" collapsed="false">
      <c r="A3065" s="2"/>
      <c r="B3065" s="1" t="str">
        <f aca="false">TRIM(A3065)</f>
        <v/>
      </c>
    </row>
    <row r="3066" customFormat="false" ht="12.75" hidden="false" customHeight="true" outlineLevel="0" collapsed="false">
      <c r="A3066" s="1" t="s">
        <v>1211</v>
      </c>
      <c r="B3066" s="1" t="str">
        <f aca="false">TRIM(A3066)</f>
        <v># 4%</v>
      </c>
    </row>
    <row r="3067" customFormat="false" ht="12.75" hidden="false" customHeight="true" outlineLevel="0" collapsed="false">
      <c r="A3067" s="1" t="s">
        <v>2056</v>
      </c>
      <c r="B3067" s="1" t="str">
        <f aca="false">TRIM(A3067)</f>
        <v>+54, 55, FELANKH</v>
      </c>
    </row>
    <row r="3068" customFormat="false" ht="12.75" hidden="false" customHeight="true" outlineLevel="0" collapsed="false">
      <c r="A3068" s="1" t="s">
        <v>2057</v>
      </c>
      <c r="B3068" s="1" t="str">
        <f aca="false">TRIM(A3068)</f>
        <v>+56, 57, FELANKH</v>
      </c>
    </row>
    <row r="3069" customFormat="false" ht="12.75" hidden="false" customHeight="true" outlineLevel="0" collapsed="false">
      <c r="A3069" s="2"/>
      <c r="B3069" s="1" t="str">
        <f aca="false">TRIM(A3069)</f>
        <v/>
      </c>
    </row>
    <row r="3070" customFormat="false" ht="12.75" hidden="false" customHeight="true" outlineLevel="0" collapsed="false">
      <c r="A3070" s="1" t="s">
        <v>1212</v>
      </c>
      <c r="B3070" s="1" t="str">
        <f aca="false">TRIM(A3070)</f>
        <v># 1%</v>
      </c>
    </row>
    <row r="3071" customFormat="false" ht="12.75" hidden="false" customHeight="true" outlineLevel="0" collapsed="false">
      <c r="A3071" s="1" t="s">
        <v>2058</v>
      </c>
      <c r="B3071" s="1" t="str">
        <f aca="false">TRIM(A3071)</f>
        <v>+40, 50, AERODACTYL</v>
      </c>
    </row>
    <row r="3072" customFormat="false" ht="12.75" hidden="false" customHeight="true" outlineLevel="0" collapsed="false">
      <c r="A3072" s="1" t="s">
        <v>2753</v>
      </c>
      <c r="B3072" s="1" t="str">
        <f aca="false">TRIM(A3072)</f>
        <v>+57, 59, LUKKEY</v>
      </c>
    </row>
    <row r="3073" customFormat="false" ht="12.75" hidden="false" customHeight="true" outlineLevel="0" collapsed="false">
      <c r="A3073" s="1" t="s">
        <v>2754</v>
      </c>
      <c r="B3073" s="1" t="str">
        <f aca="false">TRIM(A3073)</f>
        <v>2, 50, 55, GILDUCK</v>
      </c>
    </row>
    <row r="3074" customFormat="false" ht="12.75" hidden="false" customHeight="true" outlineLevel="0" collapsed="false">
      <c r="A3074" s="1" t="s">
        <v>2060</v>
      </c>
      <c r="B3074" s="1" t="str">
        <f aca="false">TRIM(A3074)</f>
        <v>+50, 55, POLITOES</v>
      </c>
    </row>
    <row r="3075" customFormat="false" ht="12.75" hidden="false" customHeight="true" outlineLevel="0" collapsed="false">
      <c r="A3075" s="1" t="s">
        <v>2061</v>
      </c>
      <c r="B3075" s="1" t="str">
        <f aca="false">TRIM(A3075)</f>
        <v>+52, 57, SLOWMATE</v>
      </c>
    </row>
    <row r="3076" customFormat="false" ht="12.75" hidden="false" customHeight="true" outlineLevel="0" collapsed="false">
      <c r="A3076" s="1" t="s">
        <v>1394</v>
      </c>
      <c r="B3076" s="1" t="str">
        <f aca="false">TRIM(A3076)</f>
        <v>+52, 57, POLIWISE</v>
      </c>
    </row>
    <row r="3077" customFormat="false" ht="12.75" hidden="false" customHeight="true" outlineLevel="0" collapsed="false">
      <c r="A3077" s="1" t="s">
        <v>2755</v>
      </c>
      <c r="B3077" s="1" t="str">
        <f aca="false">TRIM(A3077)</f>
        <v>+53, 58, PLATINUPUS</v>
      </c>
    </row>
    <row r="3078" customFormat="false" ht="12.75" hidden="false" customHeight="true" outlineLevel="0" collapsed="false">
      <c r="A3078" s="1" t="s">
        <v>2572</v>
      </c>
      <c r="B3078" s="1" t="str">
        <f aca="false">TRIM(A3078)</f>
        <v>20, # old rod:</v>
      </c>
    </row>
    <row r="3079" customFormat="false" ht="12.75" hidden="false" customHeight="true" outlineLevel="0" collapsed="false">
      <c r="A3079" s="1" t="s">
        <v>2063</v>
      </c>
      <c r="B3079" s="1" t="str">
        <f aca="false">TRIM(A3079)</f>
        <v>24, 36, GOLDEEN</v>
      </c>
    </row>
    <row r="3080" customFormat="false" ht="12.75" hidden="false" customHeight="true" outlineLevel="0" collapsed="false">
      <c r="A3080" s="1" t="s">
        <v>2064</v>
      </c>
      <c r="B3080" s="1" t="str">
        <f aca="false">TRIM(A3080)</f>
        <v>+23, 36, KRABBY</v>
      </c>
    </row>
    <row r="3081" customFormat="false" ht="12.75" hidden="false" customHeight="true" outlineLevel="0" collapsed="false">
      <c r="A3081" s="2"/>
      <c r="B3081" s="1" t="str">
        <f aca="false">TRIM(A3081)</f>
        <v/>
      </c>
    </row>
    <row r="3082" customFormat="false" ht="12.75" hidden="false" customHeight="true" outlineLevel="0" collapsed="false">
      <c r="A3082" s="1" t="s">
        <v>1268</v>
      </c>
      <c r="B3082" s="1" t="str">
        <f aca="false">TRIM(A3082)</f>
        <v># good rod:</v>
      </c>
    </row>
    <row r="3083" customFormat="false" ht="12.75" hidden="false" customHeight="true" outlineLevel="0" collapsed="false">
      <c r="A3083" s="1" t="s">
        <v>2065</v>
      </c>
      <c r="B3083" s="1" t="str">
        <f aca="false">TRIM(A3083)</f>
        <v>+30, 38, SEAKING</v>
      </c>
    </row>
    <row r="3084" customFormat="false" ht="12.75" hidden="false" customHeight="true" outlineLevel="0" collapsed="false">
      <c r="A3084" s="1" t="s">
        <v>2066</v>
      </c>
      <c r="B3084" s="1" t="str">
        <f aca="false">TRIM(A3084)</f>
        <v>+32, 40, KINGLER</v>
      </c>
    </row>
    <row r="3085" customFormat="false" ht="12.75" hidden="false" customHeight="true" outlineLevel="0" collapsed="false">
      <c r="A3085" s="1" t="s">
        <v>2067</v>
      </c>
      <c r="B3085" s="1" t="str">
        <f aca="false">TRIM(A3085)</f>
        <v>+32, 40, DRAGONAIR</v>
      </c>
    </row>
    <row r="3086" customFormat="false" ht="12.75" hidden="false" customHeight="true" outlineLevel="0" collapsed="false">
      <c r="A3086" s="2"/>
      <c r="B3086" s="1" t="str">
        <f aca="false">TRIM(A3086)</f>
        <v/>
      </c>
    </row>
    <row r="3087" customFormat="false" ht="12.75" hidden="false" customHeight="true" outlineLevel="0" collapsed="false">
      <c r="A3087" s="1" t="s">
        <v>1272</v>
      </c>
      <c r="B3087" s="1" t="str">
        <f aca="false">TRIM(A3087)</f>
        <v># super rod:</v>
      </c>
    </row>
    <row r="3088" customFormat="false" ht="12.75" hidden="false" customHeight="true" outlineLevel="0" collapsed="false">
      <c r="A3088" s="1" t="s">
        <v>2068</v>
      </c>
      <c r="B3088" s="1" t="str">
        <f aca="false">TRIM(A3088)</f>
        <v>+50, 55, SEAREX</v>
      </c>
    </row>
    <row r="3089" customFormat="false" ht="12.75" hidden="false" customHeight="true" outlineLevel="0" collapsed="false">
      <c r="A3089" s="1" t="s">
        <v>1393</v>
      </c>
      <c r="B3089" s="1" t="str">
        <f aca="false">TRIM(A3089)</f>
        <v>+50, 55, DRAGONITE</v>
      </c>
    </row>
    <row r="3090" customFormat="false" ht="12.75" hidden="false" customHeight="true" outlineLevel="0" collapsed="false">
      <c r="A3090" s="1" t="s">
        <v>2069</v>
      </c>
      <c r="B3090" s="1" t="str">
        <f aca="false">TRIM(A3090)</f>
        <v>+52, 57, KRAKLAW</v>
      </c>
    </row>
    <row r="3091" customFormat="false" ht="12.75" hidden="false" customHeight="true" outlineLevel="0" collapsed="false">
      <c r="A3091" s="1" t="s">
        <v>2070</v>
      </c>
      <c r="B3091" s="1" t="str">
        <f aca="false">TRIM(A3091)</f>
        <v>+52, 57, CAPRISEA</v>
      </c>
    </row>
    <row r="3092" customFormat="false" ht="12.75" hidden="false" customHeight="true" outlineLevel="0" collapsed="false">
      <c r="A3092" s="1" t="s">
        <v>2756</v>
      </c>
      <c r="B3092" s="1" t="str">
        <f aca="false">TRIM(A3092)</f>
        <v>+53, 58, DRAGONIER</v>
      </c>
    </row>
    <row r="3093" customFormat="false" ht="12.75" hidden="false" customHeight="true" outlineLevel="0" collapsed="false">
      <c r="A3093" s="1" t="s">
        <v>2536</v>
      </c>
      <c r="B3093" s="1" t="str">
        <f aca="false">TRIM(A3093)</f>
        <v>NEW ROUTE</v>
      </c>
    </row>
    <row r="3094" customFormat="false" ht="12.75" hidden="false" customHeight="true" outlineLevel="0" collapsed="false">
      <c r="A3094" s="1" t="s">
        <v>2757</v>
      </c>
      <c r="B3094" s="1" t="str">
        <f aca="false">TRIM(A3094)</f>
        <v>+3, 43, 0,</v>
      </c>
    </row>
    <row r="3095" customFormat="false" ht="12.75" hidden="false" customHeight="true" outlineLevel="0" collapsed="false">
      <c r="A3095" s="1" t="s">
        <v>2568</v>
      </c>
      <c r="B3095" s="1" t="str">
        <f aca="false">TRIM(A3095)</f>
        <v>21, # 20%</v>
      </c>
    </row>
    <row r="3096" customFormat="false" ht="12.75" hidden="false" customHeight="true" outlineLevel="0" collapsed="false">
      <c r="A3096" s="1" t="s">
        <v>2073</v>
      </c>
      <c r="B3096" s="1" t="str">
        <f aca="false">TRIM(A3096)</f>
        <v>13, 17, PIDGEY</v>
      </c>
    </row>
    <row r="3097" customFormat="false" ht="12.75" hidden="false" customHeight="true" outlineLevel="0" collapsed="false">
      <c r="A3097" s="1" t="s">
        <v>2074</v>
      </c>
      <c r="B3097" s="1" t="str">
        <f aca="false">TRIM(A3097)</f>
        <v>+13, 17, ODDISH</v>
      </c>
    </row>
    <row r="3098" customFormat="false" ht="12.75" hidden="false" customHeight="true" outlineLevel="0" collapsed="false">
      <c r="A3098" s="2"/>
      <c r="B3098" s="1" t="str">
        <f aca="false">TRIM(A3098)</f>
        <v/>
      </c>
    </row>
    <row r="3099" customFormat="false" ht="12.75" hidden="false" customHeight="true" outlineLevel="0" collapsed="false">
      <c r="A3099" s="1" t="s">
        <v>1209</v>
      </c>
      <c r="B3099" s="1" t="str">
        <f aca="false">TRIM(A3099)</f>
        <v># 10%</v>
      </c>
    </row>
    <row r="3100" customFormat="false" ht="12.75" hidden="false" customHeight="true" outlineLevel="0" collapsed="false">
      <c r="A3100" s="1" t="s">
        <v>2075</v>
      </c>
      <c r="B3100" s="1" t="str">
        <f aca="false">TRIM(A3100)</f>
        <v>+14, 17, BELLSPROUT</v>
      </c>
    </row>
    <row r="3101" customFormat="false" ht="12.75" hidden="false" customHeight="true" outlineLevel="0" collapsed="false">
      <c r="A3101" s="1" t="s">
        <v>2076</v>
      </c>
      <c r="B3101" s="1" t="str">
        <f aca="false">TRIM(A3101)</f>
        <v>+14, 17, MEOWTH</v>
      </c>
    </row>
    <row r="3102" customFormat="false" ht="12.75" hidden="false" customHeight="true" outlineLevel="0" collapsed="false">
      <c r="A3102" s="1" t="s">
        <v>2077</v>
      </c>
      <c r="B3102" s="1" t="str">
        <f aca="false">TRIM(A3102)</f>
        <v>+14, 17, PSYDUCK</v>
      </c>
    </row>
    <row r="3103" customFormat="false" ht="12.75" hidden="false" customHeight="true" outlineLevel="0" collapsed="false">
      <c r="A3103" s="1" t="s">
        <v>2078</v>
      </c>
      <c r="B3103" s="1" t="str">
        <f aca="false">TRIM(A3103)</f>
        <v>+14, 17, PIDGEOTTO</v>
      </c>
    </row>
    <row r="3104" customFormat="false" ht="12.75" hidden="false" customHeight="true" outlineLevel="0" collapsed="false">
      <c r="A3104" s="2"/>
      <c r="B3104" s="1" t="str">
        <f aca="false">TRIM(A3104)</f>
        <v/>
      </c>
    </row>
    <row r="3105" customFormat="false" ht="12.75" hidden="false" customHeight="true" outlineLevel="0" collapsed="false">
      <c r="A3105" s="1" t="s">
        <v>1210</v>
      </c>
      <c r="B3105" s="1" t="str">
        <f aca="false">TRIM(A3105)</f>
        <v># 5%</v>
      </c>
    </row>
    <row r="3106" customFormat="false" ht="12.75" hidden="false" customHeight="true" outlineLevel="0" collapsed="false">
      <c r="A3106" s="1" t="s">
        <v>2079</v>
      </c>
      <c r="B3106" s="1" t="str">
        <f aca="false">TRIM(A3106)</f>
        <v>+16, 16, PIKACHU</v>
      </c>
    </row>
    <row r="3107" customFormat="false" ht="12.75" hidden="false" customHeight="true" outlineLevel="0" collapsed="false">
      <c r="A3107" s="1" t="s">
        <v>2080</v>
      </c>
      <c r="B3107" s="1" t="str">
        <f aca="false">TRIM(A3107)</f>
        <v>+16, 16, ABRA</v>
      </c>
    </row>
    <row r="3108" customFormat="false" ht="12.75" hidden="false" customHeight="true" outlineLevel="0" collapsed="false">
      <c r="A3108" s="2"/>
      <c r="B3108" s="1" t="str">
        <f aca="false">TRIM(A3108)</f>
        <v/>
      </c>
    </row>
    <row r="3109" customFormat="false" ht="12.75" hidden="false" customHeight="true" outlineLevel="0" collapsed="false">
      <c r="A3109" s="1" t="s">
        <v>1211</v>
      </c>
      <c r="B3109" s="1" t="str">
        <f aca="false">TRIM(A3109)</f>
        <v># 4%</v>
      </c>
    </row>
    <row r="3110" customFormat="false" ht="12.75" hidden="false" customHeight="true" outlineLevel="0" collapsed="false">
      <c r="A3110" s="1" t="s">
        <v>2081</v>
      </c>
      <c r="B3110" s="1" t="str">
        <f aca="false">TRIM(A3110)</f>
        <v>+15, 18, VENONAT</v>
      </c>
    </row>
    <row r="3111" customFormat="false" ht="12.75" hidden="false" customHeight="true" outlineLevel="0" collapsed="false">
      <c r="A3111" s="1" t="s">
        <v>2082</v>
      </c>
      <c r="B3111" s="1" t="str">
        <f aca="false">TRIM(A3111)</f>
        <v>+15, 18, GLOOM</v>
      </c>
    </row>
    <row r="3112" customFormat="false" ht="12.75" hidden="false" customHeight="true" outlineLevel="0" collapsed="false">
      <c r="A3112" s="2"/>
      <c r="B3112" s="1" t="str">
        <f aca="false">TRIM(A3112)</f>
        <v/>
      </c>
    </row>
    <row r="3113" customFormat="false" ht="12.75" hidden="false" customHeight="true" outlineLevel="0" collapsed="false">
      <c r="A3113" s="1" t="s">
        <v>1212</v>
      </c>
      <c r="B3113" s="1" t="str">
        <f aca="false">TRIM(A3113)</f>
        <v># 1%</v>
      </c>
    </row>
    <row r="3114" customFormat="false" ht="12.75" hidden="false" customHeight="true" outlineLevel="0" collapsed="false">
      <c r="A3114" s="1" t="s">
        <v>2083</v>
      </c>
      <c r="B3114" s="1" t="str">
        <f aca="false">TRIM(A3114)</f>
        <v>+17, 17, KADABRA</v>
      </c>
    </row>
    <row r="3115" customFormat="false" ht="12.75" hidden="false" customHeight="true" outlineLevel="0" collapsed="false">
      <c r="A3115" s="1" t="s">
        <v>2758</v>
      </c>
      <c r="B3115" s="1" t="str">
        <f aca="false">TRIM(A3115)</f>
        <v>+17, 17, KADABRA</v>
      </c>
    </row>
    <row r="3116" customFormat="false" ht="12.75" hidden="false" customHeight="true" outlineLevel="0" collapsed="false">
      <c r="A3116" s="1" t="s">
        <v>2759</v>
      </c>
      <c r="B3116" s="1" t="str">
        <f aca="false">TRIM(A3116)</f>
        <v>2, 34, 40, TENTACOOL</v>
      </c>
    </row>
    <row r="3117" customFormat="false" ht="12.75" hidden="false" customHeight="true" outlineLevel="0" collapsed="false">
      <c r="A3117" s="1" t="s">
        <v>2085</v>
      </c>
      <c r="B3117" s="1" t="str">
        <f aca="false">TRIM(A3117)</f>
        <v>+34, 40, PSYDUCK</v>
      </c>
    </row>
    <row r="3118" customFormat="false" ht="12.75" hidden="false" customHeight="true" outlineLevel="0" collapsed="false">
      <c r="A3118" s="1" t="s">
        <v>2086</v>
      </c>
      <c r="B3118" s="1" t="str">
        <f aca="false">TRIM(A3118)</f>
        <v>+36, 42, TENTACRUEL</v>
      </c>
    </row>
    <row r="3119" customFormat="false" ht="12.75" hidden="false" customHeight="true" outlineLevel="0" collapsed="false">
      <c r="A3119" s="1" t="s">
        <v>2016</v>
      </c>
      <c r="B3119" s="1" t="str">
        <f aca="false">TRIM(A3119)</f>
        <v>+39, 42, GOLDUCK</v>
      </c>
    </row>
    <row r="3120" customFormat="false" ht="12.75" hidden="false" customHeight="true" outlineLevel="0" collapsed="false">
      <c r="A3120" s="1" t="s">
        <v>2760</v>
      </c>
      <c r="B3120" s="1" t="str">
        <f aca="false">TRIM(A3120)</f>
        <v>+39, 42, VAPOREON</v>
      </c>
    </row>
    <row r="3121" customFormat="false" ht="12.75" hidden="false" customHeight="true" outlineLevel="0" collapsed="false">
      <c r="A3121" s="1" t="s">
        <v>2572</v>
      </c>
      <c r="B3121" s="1" t="str">
        <f aca="false">TRIM(A3121)</f>
        <v>20, # old rod:</v>
      </c>
    </row>
    <row r="3122" customFormat="false" ht="12.75" hidden="false" customHeight="true" outlineLevel="0" collapsed="false">
      <c r="A3122" s="1" t="s">
        <v>1349</v>
      </c>
      <c r="B3122" s="1" t="str">
        <f aca="false">TRIM(A3122)</f>
        <v>19, 26, MAGIKARP</v>
      </c>
    </row>
    <row r="3123" customFormat="false" ht="12.75" hidden="false" customHeight="true" outlineLevel="0" collapsed="false">
      <c r="A3123" s="1" t="s">
        <v>1819</v>
      </c>
      <c r="B3123" s="1" t="str">
        <f aca="false">TRIM(A3123)</f>
        <v>+19, 26, GYARADOS</v>
      </c>
    </row>
    <row r="3124" customFormat="false" ht="12.75" hidden="false" customHeight="true" outlineLevel="0" collapsed="false">
      <c r="A3124" s="2"/>
      <c r="B3124" s="1" t="str">
        <f aca="false">TRIM(A3124)</f>
        <v/>
      </c>
    </row>
    <row r="3125" customFormat="false" ht="12.75" hidden="false" customHeight="true" outlineLevel="0" collapsed="false">
      <c r="A3125" s="1" t="s">
        <v>1268</v>
      </c>
      <c r="B3125" s="1" t="str">
        <f aca="false">TRIM(A3125)</f>
        <v># good rod:</v>
      </c>
    </row>
    <row r="3126" customFormat="false" ht="12.75" hidden="false" customHeight="true" outlineLevel="0" collapsed="false">
      <c r="A3126" s="1" t="s">
        <v>1820</v>
      </c>
      <c r="B3126" s="1" t="str">
        <f aca="false">TRIM(A3126)</f>
        <v>+29, 33, SLOWPOKE</v>
      </c>
    </row>
    <row r="3127" customFormat="false" ht="12.75" hidden="false" customHeight="true" outlineLevel="0" collapsed="false">
      <c r="A3127" s="1" t="s">
        <v>1454</v>
      </c>
      <c r="B3127" s="1" t="str">
        <f aca="false">TRIM(A3127)</f>
        <v>+30, 35, KRABBY</v>
      </c>
    </row>
    <row r="3128" customFormat="false" ht="12.75" hidden="false" customHeight="true" outlineLevel="0" collapsed="false">
      <c r="A3128" s="1" t="s">
        <v>1821</v>
      </c>
      <c r="B3128" s="1" t="str">
        <f aca="false">TRIM(A3128)</f>
        <v>+30, 35, PSYDUCK</v>
      </c>
    </row>
    <row r="3129" customFormat="false" ht="12.75" hidden="false" customHeight="true" outlineLevel="0" collapsed="false">
      <c r="A3129" s="2"/>
      <c r="B3129" s="1" t="str">
        <f aca="false">TRIM(A3129)</f>
        <v/>
      </c>
    </row>
    <row r="3130" customFormat="false" ht="12.75" hidden="false" customHeight="true" outlineLevel="0" collapsed="false">
      <c r="A3130" s="1" t="s">
        <v>1272</v>
      </c>
      <c r="B3130" s="1" t="str">
        <f aca="false">TRIM(A3130)</f>
        <v># super rod:</v>
      </c>
    </row>
    <row r="3131" customFormat="false" ht="12.75" hidden="false" customHeight="true" outlineLevel="0" collapsed="false">
      <c r="A3131" s="1" t="s">
        <v>1822</v>
      </c>
      <c r="B3131" s="1" t="str">
        <f aca="false">TRIM(A3131)</f>
        <v>+36, 40, SLOWBRO</v>
      </c>
    </row>
    <row r="3132" customFormat="false" ht="12.75" hidden="false" customHeight="true" outlineLevel="0" collapsed="false">
      <c r="A3132" s="1" t="s">
        <v>1823</v>
      </c>
      <c r="B3132" s="1" t="str">
        <f aca="false">TRIM(A3132)</f>
        <v>+36, 40, GYARADOS</v>
      </c>
    </row>
    <row r="3133" customFormat="false" ht="12.75" hidden="false" customHeight="true" outlineLevel="0" collapsed="false">
      <c r="A3133" s="1" t="s">
        <v>1824</v>
      </c>
      <c r="B3133" s="1" t="str">
        <f aca="false">TRIM(A3133)</f>
        <v>+38, 42, GOLDUCK</v>
      </c>
    </row>
    <row r="3134" customFormat="false" ht="12.75" hidden="false" customHeight="true" outlineLevel="0" collapsed="false">
      <c r="A3134" s="1" t="s">
        <v>1825</v>
      </c>
      <c r="B3134" s="1" t="str">
        <f aca="false">TRIM(A3134)</f>
        <v>+38, 42, KINGLER</v>
      </c>
    </row>
    <row r="3135" customFormat="false" ht="12.75" hidden="false" customHeight="true" outlineLevel="0" collapsed="false">
      <c r="A3135" s="1" t="s">
        <v>2712</v>
      </c>
      <c r="B3135" s="1" t="str">
        <f aca="false">TRIM(A3135)</f>
        <v>+40, 44, SLOWMATE</v>
      </c>
    </row>
    <row r="3136" customFormat="false" ht="12.75" hidden="false" customHeight="true" outlineLevel="0" collapsed="false">
      <c r="A3136" s="1" t="s">
        <v>2536</v>
      </c>
      <c r="B3136" s="1" t="str">
        <f aca="false">TRIM(A3136)</f>
        <v>NEW ROUTE</v>
      </c>
    </row>
    <row r="3137" customFormat="false" ht="12.75" hidden="false" customHeight="true" outlineLevel="0" collapsed="false">
      <c r="A3137" s="1" t="s">
        <v>2761</v>
      </c>
      <c r="B3137" s="1" t="str">
        <f aca="false">TRIM(A3137)</f>
        <v>+3, 44, 0,</v>
      </c>
    </row>
    <row r="3138" customFormat="false" ht="12.75" hidden="false" customHeight="true" outlineLevel="0" collapsed="false">
      <c r="A3138" s="1" t="s">
        <v>2568</v>
      </c>
      <c r="B3138" s="1" t="str">
        <f aca="false">TRIM(A3138)</f>
        <v>21, # 20%</v>
      </c>
    </row>
    <row r="3139" customFormat="false" ht="12.75" hidden="false" customHeight="true" outlineLevel="0" collapsed="false">
      <c r="A3139" s="1" t="s">
        <v>2089</v>
      </c>
      <c r="B3139" s="1" t="str">
        <f aca="false">TRIM(A3139)</f>
        <v>14, 17, PIDGEY</v>
      </c>
    </row>
    <row r="3140" customFormat="false" ht="12.75" hidden="false" customHeight="true" outlineLevel="0" collapsed="false">
      <c r="A3140" s="1" t="s">
        <v>2090</v>
      </c>
      <c r="B3140" s="1" t="str">
        <f aca="false">TRIM(A3140)</f>
        <v>+14, 17, ODDISH</v>
      </c>
    </row>
    <row r="3141" customFormat="false" ht="12.75" hidden="false" customHeight="true" outlineLevel="0" collapsed="false">
      <c r="A3141" s="2"/>
      <c r="B3141" s="1" t="str">
        <f aca="false">TRIM(A3141)</f>
        <v/>
      </c>
    </row>
    <row r="3142" customFormat="false" ht="12.75" hidden="false" customHeight="true" outlineLevel="0" collapsed="false">
      <c r="A3142" s="1" t="s">
        <v>1209</v>
      </c>
      <c r="B3142" s="1" t="str">
        <f aca="false">TRIM(A3142)</f>
        <v># 10%</v>
      </c>
    </row>
    <row r="3143" customFormat="false" ht="12.75" hidden="false" customHeight="true" outlineLevel="0" collapsed="false">
      <c r="A3143" s="1" t="s">
        <v>2091</v>
      </c>
      <c r="B3143" s="1" t="str">
        <f aca="false">TRIM(A3143)</f>
        <v>+15, 17, BELLSPROUT</v>
      </c>
    </row>
    <row r="3144" customFormat="false" ht="12.75" hidden="false" customHeight="true" outlineLevel="0" collapsed="false">
      <c r="A3144" s="1" t="s">
        <v>1829</v>
      </c>
      <c r="B3144" s="1" t="str">
        <f aca="false">TRIM(A3144)</f>
        <v>+15, 17, MEOWTH</v>
      </c>
    </row>
    <row r="3145" customFormat="false" ht="12.75" hidden="false" customHeight="true" outlineLevel="0" collapsed="false">
      <c r="A3145" s="1" t="s">
        <v>2092</v>
      </c>
      <c r="B3145" s="1" t="str">
        <f aca="false">TRIM(A3145)</f>
        <v>+15, 17, PSYDUCK</v>
      </c>
    </row>
    <row r="3146" customFormat="false" ht="12.75" hidden="false" customHeight="true" outlineLevel="0" collapsed="false">
      <c r="A3146" s="1" t="s">
        <v>2093</v>
      </c>
      <c r="B3146" s="1" t="str">
        <f aca="false">TRIM(A3146)</f>
        <v>+15, 17, PIDGEOTTO</v>
      </c>
    </row>
    <row r="3147" customFormat="false" ht="12.75" hidden="false" customHeight="true" outlineLevel="0" collapsed="false">
      <c r="A3147" s="2"/>
      <c r="B3147" s="1" t="str">
        <f aca="false">TRIM(A3147)</f>
        <v/>
      </c>
    </row>
    <row r="3148" customFormat="false" ht="12.75" hidden="false" customHeight="true" outlineLevel="0" collapsed="false">
      <c r="A3148" s="1" t="s">
        <v>1210</v>
      </c>
      <c r="B3148" s="1" t="str">
        <f aca="false">TRIM(A3148)</f>
        <v># 5%</v>
      </c>
    </row>
    <row r="3149" customFormat="false" ht="12.75" hidden="false" customHeight="true" outlineLevel="0" collapsed="false">
      <c r="A3149" s="1" t="s">
        <v>2079</v>
      </c>
      <c r="B3149" s="1" t="str">
        <f aca="false">TRIM(A3149)</f>
        <v>+16, 16, PIKACHU</v>
      </c>
    </row>
    <row r="3150" customFormat="false" ht="12.75" hidden="false" customHeight="true" outlineLevel="0" collapsed="false">
      <c r="A3150" s="1" t="s">
        <v>2080</v>
      </c>
      <c r="B3150" s="1" t="str">
        <f aca="false">TRIM(A3150)</f>
        <v>+16, 16, ABRA</v>
      </c>
    </row>
    <row r="3151" customFormat="false" ht="12.75" hidden="false" customHeight="true" outlineLevel="0" collapsed="false">
      <c r="A3151" s="2"/>
      <c r="B3151" s="1" t="str">
        <f aca="false">TRIM(A3151)</f>
        <v/>
      </c>
    </row>
    <row r="3152" customFormat="false" ht="12.75" hidden="false" customHeight="true" outlineLevel="0" collapsed="false">
      <c r="A3152" s="1" t="s">
        <v>1211</v>
      </c>
      <c r="B3152" s="1" t="str">
        <f aca="false">TRIM(A3152)</f>
        <v># 4%</v>
      </c>
    </row>
    <row r="3153" customFormat="false" ht="12.75" hidden="false" customHeight="true" outlineLevel="0" collapsed="false">
      <c r="A3153" s="1" t="s">
        <v>2081</v>
      </c>
      <c r="B3153" s="1" t="str">
        <f aca="false">TRIM(A3153)</f>
        <v>+15, 18, VENONAT</v>
      </c>
    </row>
    <row r="3154" customFormat="false" ht="12.75" hidden="false" customHeight="true" outlineLevel="0" collapsed="false">
      <c r="A3154" s="1" t="s">
        <v>2082</v>
      </c>
      <c r="B3154" s="1" t="str">
        <f aca="false">TRIM(A3154)</f>
        <v>+15, 18, GLOOM</v>
      </c>
    </row>
    <row r="3155" customFormat="false" ht="12.75" hidden="false" customHeight="true" outlineLevel="0" collapsed="false">
      <c r="A3155" s="2"/>
      <c r="B3155" s="1" t="str">
        <f aca="false">TRIM(A3155)</f>
        <v/>
      </c>
    </row>
    <row r="3156" customFormat="false" ht="12.75" hidden="false" customHeight="true" outlineLevel="0" collapsed="false">
      <c r="A3156" s="1" t="s">
        <v>1212</v>
      </c>
      <c r="B3156" s="1" t="str">
        <f aca="false">TRIM(A3156)</f>
        <v># 1%</v>
      </c>
    </row>
    <row r="3157" customFormat="false" ht="12.75" hidden="false" customHeight="true" outlineLevel="0" collapsed="false">
      <c r="A3157" s="1" t="s">
        <v>2094</v>
      </c>
      <c r="B3157" s="1" t="str">
        <f aca="false">TRIM(A3157)</f>
        <v>+18, 18, KADABRA</v>
      </c>
    </row>
    <row r="3158" customFormat="false" ht="12.75" hidden="false" customHeight="true" outlineLevel="0" collapsed="false">
      <c r="A3158" s="1" t="s">
        <v>2762</v>
      </c>
      <c r="B3158" s="1" t="str">
        <f aca="false">TRIM(A3158)</f>
        <v>+18, 18, KADABRA</v>
      </c>
    </row>
    <row r="3159" customFormat="false" ht="12.75" hidden="false" customHeight="true" outlineLevel="0" collapsed="false">
      <c r="A3159" s="1" t="s">
        <v>2759</v>
      </c>
      <c r="B3159" s="1" t="str">
        <f aca="false">TRIM(A3159)</f>
        <v>2, 34, 40, TENTACOOL</v>
      </c>
    </row>
    <row r="3160" customFormat="false" ht="12.75" hidden="false" customHeight="true" outlineLevel="0" collapsed="false">
      <c r="A3160" s="1" t="s">
        <v>2085</v>
      </c>
      <c r="B3160" s="1" t="str">
        <f aca="false">TRIM(A3160)</f>
        <v>+34, 40, PSYDUCK</v>
      </c>
    </row>
    <row r="3161" customFormat="false" ht="12.75" hidden="false" customHeight="true" outlineLevel="0" collapsed="false">
      <c r="A3161" s="1" t="s">
        <v>2086</v>
      </c>
      <c r="B3161" s="1" t="str">
        <f aca="false">TRIM(A3161)</f>
        <v>+36, 42, TENTACRUEL</v>
      </c>
    </row>
    <row r="3162" customFormat="false" ht="12.75" hidden="false" customHeight="true" outlineLevel="0" collapsed="false">
      <c r="A3162" s="1" t="s">
        <v>2016</v>
      </c>
      <c r="B3162" s="1" t="str">
        <f aca="false">TRIM(A3162)</f>
        <v>+39, 42, GOLDUCK</v>
      </c>
    </row>
    <row r="3163" customFormat="false" ht="12.75" hidden="false" customHeight="true" outlineLevel="0" collapsed="false">
      <c r="A3163" s="1" t="s">
        <v>2760</v>
      </c>
      <c r="B3163" s="1" t="str">
        <f aca="false">TRIM(A3163)</f>
        <v>+39, 42, VAPOREON</v>
      </c>
    </row>
    <row r="3164" customFormat="false" ht="12.75" hidden="false" customHeight="true" outlineLevel="0" collapsed="false">
      <c r="A3164" s="1" t="s">
        <v>2572</v>
      </c>
      <c r="B3164" s="1" t="str">
        <f aca="false">TRIM(A3164)</f>
        <v>20, # old rod:</v>
      </c>
    </row>
    <row r="3165" customFormat="false" ht="12.75" hidden="false" customHeight="true" outlineLevel="0" collapsed="false">
      <c r="A3165" s="1" t="s">
        <v>1349</v>
      </c>
      <c r="B3165" s="1" t="str">
        <f aca="false">TRIM(A3165)</f>
        <v>19, 26, MAGIKARP</v>
      </c>
    </row>
    <row r="3166" customFormat="false" ht="12.75" hidden="false" customHeight="true" outlineLevel="0" collapsed="false">
      <c r="A3166" s="1" t="s">
        <v>1819</v>
      </c>
      <c r="B3166" s="1" t="str">
        <f aca="false">TRIM(A3166)</f>
        <v>+19, 26, GYARADOS</v>
      </c>
    </row>
    <row r="3167" customFormat="false" ht="12.75" hidden="false" customHeight="true" outlineLevel="0" collapsed="false">
      <c r="A3167" s="2"/>
      <c r="B3167" s="1" t="str">
        <f aca="false">TRIM(A3167)</f>
        <v/>
      </c>
    </row>
    <row r="3168" customFormat="false" ht="12.75" hidden="false" customHeight="true" outlineLevel="0" collapsed="false">
      <c r="A3168" s="1" t="s">
        <v>1268</v>
      </c>
      <c r="B3168" s="1" t="str">
        <f aca="false">TRIM(A3168)</f>
        <v># good rod:</v>
      </c>
    </row>
    <row r="3169" customFormat="false" ht="12.75" hidden="false" customHeight="true" outlineLevel="0" collapsed="false">
      <c r="A3169" s="1" t="s">
        <v>1820</v>
      </c>
      <c r="B3169" s="1" t="str">
        <f aca="false">TRIM(A3169)</f>
        <v>+29, 33, SLOWPOKE</v>
      </c>
    </row>
    <row r="3170" customFormat="false" ht="12.75" hidden="false" customHeight="true" outlineLevel="0" collapsed="false">
      <c r="A3170" s="1" t="s">
        <v>1454</v>
      </c>
      <c r="B3170" s="1" t="str">
        <f aca="false">TRIM(A3170)</f>
        <v>+30, 35, KRABBY</v>
      </c>
    </row>
    <row r="3171" customFormat="false" ht="12.75" hidden="false" customHeight="true" outlineLevel="0" collapsed="false">
      <c r="A3171" s="1" t="s">
        <v>1821</v>
      </c>
      <c r="B3171" s="1" t="str">
        <f aca="false">TRIM(A3171)</f>
        <v>+30, 35, PSYDUCK</v>
      </c>
    </row>
    <row r="3172" customFormat="false" ht="12.75" hidden="false" customHeight="true" outlineLevel="0" collapsed="false">
      <c r="A3172" s="2"/>
      <c r="B3172" s="1" t="str">
        <f aca="false">TRIM(A3172)</f>
        <v/>
      </c>
    </row>
    <row r="3173" customFormat="false" ht="12.75" hidden="false" customHeight="true" outlineLevel="0" collapsed="false">
      <c r="A3173" s="1" t="s">
        <v>1272</v>
      </c>
      <c r="B3173" s="1" t="str">
        <f aca="false">TRIM(A3173)</f>
        <v># super rod:</v>
      </c>
    </row>
    <row r="3174" customFormat="false" ht="12.75" hidden="false" customHeight="true" outlineLevel="0" collapsed="false">
      <c r="A3174" s="1" t="s">
        <v>1822</v>
      </c>
      <c r="B3174" s="1" t="str">
        <f aca="false">TRIM(A3174)</f>
        <v>+36, 40, SLOWBRO</v>
      </c>
    </row>
    <row r="3175" customFormat="false" ht="12.75" hidden="false" customHeight="true" outlineLevel="0" collapsed="false">
      <c r="A3175" s="1" t="s">
        <v>1823</v>
      </c>
      <c r="B3175" s="1" t="str">
        <f aca="false">TRIM(A3175)</f>
        <v>+36, 40, GYARADOS</v>
      </c>
    </row>
    <row r="3176" customFormat="false" ht="12.75" hidden="false" customHeight="true" outlineLevel="0" collapsed="false">
      <c r="A3176" s="1" t="s">
        <v>1824</v>
      </c>
      <c r="B3176" s="1" t="str">
        <f aca="false">TRIM(A3176)</f>
        <v>+38, 42, GOLDUCK</v>
      </c>
    </row>
    <row r="3177" customFormat="false" ht="12.75" hidden="false" customHeight="true" outlineLevel="0" collapsed="false">
      <c r="A3177" s="1" t="s">
        <v>1825</v>
      </c>
      <c r="B3177" s="1" t="str">
        <f aca="false">TRIM(A3177)</f>
        <v>+38, 42, KINGLER</v>
      </c>
    </row>
    <row r="3178" customFormat="false" ht="12.75" hidden="false" customHeight="true" outlineLevel="0" collapsed="false">
      <c r="A3178" s="1" t="s">
        <v>2712</v>
      </c>
      <c r="B3178" s="1" t="str">
        <f aca="false">TRIM(A3178)</f>
        <v>+40, 44, SLOWMATE</v>
      </c>
    </row>
    <row r="3179" customFormat="false" ht="12.75" hidden="false" customHeight="true" outlineLevel="0" collapsed="false">
      <c r="A3179" s="1" t="s">
        <v>2536</v>
      </c>
      <c r="B3179" s="1" t="str">
        <f aca="false">TRIM(A3179)</f>
        <v>NEW ROUTE</v>
      </c>
    </row>
    <row r="3180" customFormat="false" ht="12.75" hidden="false" customHeight="true" outlineLevel="0" collapsed="false">
      <c r="A3180" s="1" t="s">
        <v>2763</v>
      </c>
      <c r="B3180" s="1" t="str">
        <f aca="false">TRIM(A3180)</f>
        <v>+3, 0, 0, &lt;null&gt;,</v>
      </c>
    </row>
    <row r="3181" customFormat="false" ht="12.75" hidden="false" customHeight="true" outlineLevel="0" collapsed="false">
      <c r="A3181" s="2"/>
      <c r="B3181" s="1" t="str">
        <f aca="false">TRIM(A3181)</f>
        <v/>
      </c>
    </row>
    <row r="3182" customFormat="false" ht="12.75" hidden="false" customHeight="true" outlineLevel="0" collapsed="false">
      <c r="A3182" s="1" t="s">
        <v>2764</v>
      </c>
      <c r="B3182" s="1" t="str">
        <f aca="false">TRIM(A3182)</f>
        <v>1, 38, 42, TENTACOOL</v>
      </c>
    </row>
    <row r="3183" customFormat="false" ht="12.75" hidden="false" customHeight="true" outlineLevel="0" collapsed="false">
      <c r="A3183" s="1" t="s">
        <v>1900</v>
      </c>
      <c r="B3183" s="1" t="str">
        <f aca="false">TRIM(A3183)</f>
        <v>+40, 44, TENTACRUEL</v>
      </c>
    </row>
    <row r="3184" customFormat="false" ht="12.75" hidden="false" customHeight="true" outlineLevel="0" collapsed="false">
      <c r="A3184" s="1" t="s">
        <v>1449</v>
      </c>
      <c r="B3184" s="1" t="str">
        <f aca="false">TRIM(A3184)</f>
        <v>+42, 46, LAPRAS</v>
      </c>
    </row>
    <row r="3185" customFormat="false" ht="12.75" hidden="false" customHeight="true" outlineLevel="0" collapsed="false">
      <c r="A3185" s="1" t="s">
        <v>1901</v>
      </c>
      <c r="B3185" s="1" t="str">
        <f aca="false">TRIM(A3185)</f>
        <v>+42, 46, TENTACATE</v>
      </c>
    </row>
    <row r="3186" customFormat="false" ht="12.75" hidden="false" customHeight="true" outlineLevel="0" collapsed="false">
      <c r="A3186" s="1" t="s">
        <v>2730</v>
      </c>
      <c r="B3186" s="1" t="str">
        <f aca="false">TRIM(A3186)</f>
        <v>+44, 48, LOCHLASS</v>
      </c>
    </row>
    <row r="3187" customFormat="false" ht="12.75" hidden="false" customHeight="true" outlineLevel="0" collapsed="false">
      <c r="A3187" s="1" t="s">
        <v>2551</v>
      </c>
      <c r="B3187" s="1" t="str">
        <f aca="false">TRIM(A3187)</f>
        <v>10, # old rod:</v>
      </c>
    </row>
    <row r="3188" customFormat="false" ht="12.75" hidden="false" customHeight="true" outlineLevel="0" collapsed="false">
      <c r="A3188" s="1" t="s">
        <v>1349</v>
      </c>
      <c r="B3188" s="1" t="str">
        <f aca="false">TRIM(A3188)</f>
        <v>19, 26, MAGIKARP</v>
      </c>
    </row>
    <row r="3189" customFormat="false" ht="12.75" hidden="false" customHeight="true" outlineLevel="0" collapsed="false">
      <c r="A3189" s="1" t="s">
        <v>1819</v>
      </c>
      <c r="B3189" s="1" t="str">
        <f aca="false">TRIM(A3189)</f>
        <v>+19, 26, GYARADOS</v>
      </c>
    </row>
    <row r="3190" customFormat="false" ht="12.75" hidden="false" customHeight="true" outlineLevel="0" collapsed="false">
      <c r="A3190" s="2"/>
      <c r="B3190" s="1" t="str">
        <f aca="false">TRIM(A3190)</f>
        <v/>
      </c>
    </row>
    <row r="3191" customFormat="false" ht="12.75" hidden="false" customHeight="true" outlineLevel="0" collapsed="false">
      <c r="A3191" s="1" t="s">
        <v>1268</v>
      </c>
      <c r="B3191" s="1" t="str">
        <f aca="false">TRIM(A3191)</f>
        <v># good rod:</v>
      </c>
    </row>
    <row r="3192" customFormat="false" ht="12.75" hidden="false" customHeight="true" outlineLevel="0" collapsed="false">
      <c r="A3192" s="1" t="s">
        <v>1903</v>
      </c>
      <c r="B3192" s="1" t="str">
        <f aca="false">TRIM(A3192)</f>
        <v>+29, 33, HORSEA</v>
      </c>
    </row>
    <row r="3193" customFormat="false" ht="12.75" hidden="false" customHeight="true" outlineLevel="0" collapsed="false">
      <c r="A3193" s="1" t="s">
        <v>1454</v>
      </c>
      <c r="B3193" s="1" t="str">
        <f aca="false">TRIM(A3193)</f>
        <v>+30, 35, KRABBY</v>
      </c>
    </row>
    <row r="3194" customFormat="false" ht="12.75" hidden="false" customHeight="true" outlineLevel="0" collapsed="false">
      <c r="A3194" s="1" t="s">
        <v>1925</v>
      </c>
      <c r="B3194" s="1" t="str">
        <f aca="false">TRIM(A3194)</f>
        <v>+30, 35, STARYU</v>
      </c>
    </row>
    <row r="3195" customFormat="false" ht="12.75" hidden="false" customHeight="true" outlineLevel="0" collapsed="false">
      <c r="A3195" s="2"/>
      <c r="B3195" s="1" t="str">
        <f aca="false">TRIM(A3195)</f>
        <v/>
      </c>
    </row>
    <row r="3196" customFormat="false" ht="12.75" hidden="false" customHeight="true" outlineLevel="0" collapsed="false">
      <c r="A3196" s="1" t="s">
        <v>1272</v>
      </c>
      <c r="B3196" s="1" t="str">
        <f aca="false">TRIM(A3196)</f>
        <v># super rod:</v>
      </c>
    </row>
    <row r="3197" customFormat="false" ht="12.75" hidden="false" customHeight="true" outlineLevel="0" collapsed="false">
      <c r="A3197" s="1" t="s">
        <v>1905</v>
      </c>
      <c r="B3197" s="1" t="str">
        <f aca="false">TRIM(A3197)</f>
        <v>+36, 40, SEADRA</v>
      </c>
    </row>
    <row r="3198" customFormat="false" ht="12.75" hidden="false" customHeight="true" outlineLevel="0" collapsed="false">
      <c r="A3198" s="1" t="s">
        <v>1823</v>
      </c>
      <c r="B3198" s="1" t="str">
        <f aca="false">TRIM(A3198)</f>
        <v>+36, 40, GYARADOS</v>
      </c>
    </row>
    <row r="3199" customFormat="false" ht="12.75" hidden="false" customHeight="true" outlineLevel="0" collapsed="false">
      <c r="A3199" s="1" t="s">
        <v>1926</v>
      </c>
      <c r="B3199" s="1" t="str">
        <f aca="false">TRIM(A3199)</f>
        <v>+38, 42, STARMIE</v>
      </c>
    </row>
    <row r="3200" customFormat="false" ht="12.75" hidden="false" customHeight="true" outlineLevel="0" collapsed="false">
      <c r="A3200" s="1" t="s">
        <v>1825</v>
      </c>
      <c r="B3200" s="1" t="str">
        <f aca="false">TRIM(A3200)</f>
        <v>+38, 42, KINGLER</v>
      </c>
    </row>
    <row r="3201" customFormat="false" ht="12.75" hidden="false" customHeight="true" outlineLevel="0" collapsed="false">
      <c r="A3201" s="1" t="s">
        <v>2765</v>
      </c>
      <c r="B3201" s="1" t="str">
        <f aca="false">TRIM(A3201)</f>
        <v>+40, 44, STARUS</v>
      </c>
    </row>
    <row r="3202" customFormat="false" ht="12.75" hidden="false" customHeight="true" outlineLevel="0" collapsed="false">
      <c r="A3202" s="1" t="s">
        <v>2536</v>
      </c>
      <c r="B3202" s="1" t="str">
        <f aca="false">TRIM(A3202)</f>
        <v>NEW ROUTE</v>
      </c>
    </row>
    <row r="3203" customFormat="false" ht="12.75" hidden="false" customHeight="true" outlineLevel="0" collapsed="false">
      <c r="A3203" s="1" t="s">
        <v>2766</v>
      </c>
      <c r="B3203" s="1" t="str">
        <f aca="false">TRIM(A3203)</f>
        <v>+3, 1, 0, &lt;null&gt;,</v>
      </c>
    </row>
    <row r="3204" customFormat="false" ht="12.75" hidden="false" customHeight="true" outlineLevel="0" collapsed="false">
      <c r="A3204" s="2"/>
      <c r="B3204" s="1" t="str">
        <f aca="false">TRIM(A3204)</f>
        <v/>
      </c>
    </row>
    <row r="3205" customFormat="false" ht="12.75" hidden="false" customHeight="true" outlineLevel="0" collapsed="false">
      <c r="A3205" s="1" t="s">
        <v>2767</v>
      </c>
      <c r="B3205" s="1" t="str">
        <f aca="false">TRIM(A3205)</f>
        <v>1, 38, 42, PSYDUCK</v>
      </c>
    </row>
    <row r="3206" customFormat="false" ht="12.75" hidden="false" customHeight="true" outlineLevel="0" collapsed="false">
      <c r="A3206" s="1" t="s">
        <v>1842</v>
      </c>
      <c r="B3206" s="1" t="str">
        <f aca="false">TRIM(A3206)</f>
        <v>+40, 44, SLOWPOKE</v>
      </c>
    </row>
    <row r="3207" customFormat="false" ht="12.75" hidden="false" customHeight="true" outlineLevel="0" collapsed="false">
      <c r="A3207" s="1" t="s">
        <v>1347</v>
      </c>
      <c r="B3207" s="1" t="str">
        <f aca="false">TRIM(A3207)</f>
        <v>+42, 46, GOLDUCK</v>
      </c>
    </row>
    <row r="3208" customFormat="false" ht="12.75" hidden="false" customHeight="true" outlineLevel="0" collapsed="false">
      <c r="A3208" s="1" t="s">
        <v>1346</v>
      </c>
      <c r="B3208" s="1" t="str">
        <f aca="false">TRIM(A3208)</f>
        <v>+42, 46, SLOWBRO</v>
      </c>
    </row>
    <row r="3209" customFormat="false" ht="12.75" hidden="false" customHeight="true" outlineLevel="0" collapsed="false">
      <c r="A3209" s="1" t="s">
        <v>2768</v>
      </c>
      <c r="B3209" s="1" t="str">
        <f aca="false">TRIM(A3209)</f>
        <v>+44, 48, GILDUCK</v>
      </c>
    </row>
    <row r="3210" customFormat="false" ht="12.75" hidden="false" customHeight="true" outlineLevel="0" collapsed="false">
      <c r="A3210" s="1" t="s">
        <v>2551</v>
      </c>
      <c r="B3210" s="1" t="str">
        <f aca="false">TRIM(A3210)</f>
        <v>10, # old rod:</v>
      </c>
    </row>
    <row r="3211" customFormat="false" ht="12.75" hidden="false" customHeight="true" outlineLevel="0" collapsed="false">
      <c r="A3211" s="1" t="s">
        <v>1349</v>
      </c>
      <c r="B3211" s="1" t="str">
        <f aca="false">TRIM(A3211)</f>
        <v>19, 26, MAGIKARP</v>
      </c>
    </row>
    <row r="3212" customFormat="false" ht="12.75" hidden="false" customHeight="true" outlineLevel="0" collapsed="false">
      <c r="A3212" s="1" t="s">
        <v>1350</v>
      </c>
      <c r="B3212" s="1" t="str">
        <f aca="false">TRIM(A3212)</f>
        <v>+19, 26, POLIWAG</v>
      </c>
    </row>
    <row r="3213" customFormat="false" ht="12.75" hidden="false" customHeight="true" outlineLevel="0" collapsed="false">
      <c r="A3213" s="2"/>
      <c r="B3213" s="1" t="str">
        <f aca="false">TRIM(A3213)</f>
        <v/>
      </c>
    </row>
    <row r="3214" customFormat="false" ht="12.75" hidden="false" customHeight="true" outlineLevel="0" collapsed="false">
      <c r="A3214" s="1" t="s">
        <v>1268</v>
      </c>
      <c r="B3214" s="1" t="str">
        <f aca="false">TRIM(A3214)</f>
        <v># good rod:</v>
      </c>
    </row>
    <row r="3215" customFormat="false" ht="12.75" hidden="false" customHeight="true" outlineLevel="0" collapsed="false">
      <c r="A3215" s="1" t="s">
        <v>2043</v>
      </c>
      <c r="B3215" s="1" t="str">
        <f aca="false">TRIM(A3215)</f>
        <v>+29, 33, MAGIKARP</v>
      </c>
    </row>
    <row r="3216" customFormat="false" ht="12.75" hidden="false" customHeight="true" outlineLevel="0" collapsed="false">
      <c r="A3216" s="1" t="s">
        <v>2044</v>
      </c>
      <c r="B3216" s="1" t="str">
        <f aca="false">TRIM(A3216)</f>
        <v>+30, 35, GYARADOS</v>
      </c>
    </row>
    <row r="3217" customFormat="false" ht="12.75" hidden="false" customHeight="true" outlineLevel="0" collapsed="false">
      <c r="A3217" s="1" t="s">
        <v>2045</v>
      </c>
      <c r="B3217" s="1" t="str">
        <f aca="false">TRIM(A3217)</f>
        <v>+30, 35, POLIWHIRL</v>
      </c>
    </row>
    <row r="3218" customFormat="false" ht="12.75" hidden="false" customHeight="true" outlineLevel="0" collapsed="false">
      <c r="A3218" s="2"/>
      <c r="B3218" s="1" t="str">
        <f aca="false">TRIM(A3218)</f>
        <v/>
      </c>
    </row>
    <row r="3219" customFormat="false" ht="12.75" hidden="false" customHeight="true" outlineLevel="0" collapsed="false">
      <c r="A3219" s="1" t="s">
        <v>1272</v>
      </c>
      <c r="B3219" s="1" t="str">
        <f aca="false">TRIM(A3219)</f>
        <v># super rod:</v>
      </c>
    </row>
    <row r="3220" customFormat="false" ht="12.75" hidden="false" customHeight="true" outlineLevel="0" collapsed="false">
      <c r="A3220" s="1" t="s">
        <v>2046</v>
      </c>
      <c r="B3220" s="1" t="str">
        <f aca="false">TRIM(A3220)</f>
        <v>+36, 40, MAGIKARP</v>
      </c>
    </row>
    <row r="3221" customFormat="false" ht="12.75" hidden="false" customHeight="true" outlineLevel="0" collapsed="false">
      <c r="A3221" s="1" t="s">
        <v>1823</v>
      </c>
      <c r="B3221" s="1" t="str">
        <f aca="false">TRIM(A3221)</f>
        <v>+36, 40, GYARADOS</v>
      </c>
    </row>
    <row r="3222" customFormat="false" ht="12.75" hidden="false" customHeight="true" outlineLevel="0" collapsed="false">
      <c r="A3222" s="1" t="s">
        <v>2047</v>
      </c>
      <c r="B3222" s="1" t="str">
        <f aca="false">TRIM(A3222)</f>
        <v>+38, 42, POLIWHIRL</v>
      </c>
    </row>
    <row r="3223" customFormat="false" ht="12.75" hidden="false" customHeight="true" outlineLevel="0" collapsed="false">
      <c r="A3223" s="1" t="s">
        <v>1846</v>
      </c>
      <c r="B3223" s="1" t="str">
        <f aca="false">TRIM(A3223)</f>
        <v>+38, 42, POLIWRATH</v>
      </c>
    </row>
    <row r="3224" customFormat="false" ht="12.75" hidden="false" customHeight="true" outlineLevel="0" collapsed="false">
      <c r="A3224" s="1" t="s">
        <v>2718</v>
      </c>
      <c r="B3224" s="1" t="str">
        <f aca="false">TRIM(A3224)</f>
        <v>+40, 44, POLITOES</v>
      </c>
    </row>
    <row r="3225" customFormat="false" ht="12.75" hidden="false" customHeight="true" outlineLevel="0" collapsed="false">
      <c r="A3225" s="1" t="s">
        <v>2536</v>
      </c>
      <c r="B3225" s="1" t="str">
        <f aca="false">TRIM(A3225)</f>
        <v>NEW ROUTE</v>
      </c>
    </row>
    <row r="3226" customFormat="false" ht="12.75" hidden="false" customHeight="true" outlineLevel="0" collapsed="false">
      <c r="A3226" s="1" t="s">
        <v>2769</v>
      </c>
      <c r="B3226" s="1" t="str">
        <f aca="false">TRIM(A3226)</f>
        <v>+3, 3, 0, &lt;null&gt;,</v>
      </c>
    </row>
    <row r="3227" customFormat="false" ht="12.75" hidden="false" customHeight="true" outlineLevel="0" collapsed="false">
      <c r="A3227" s="2"/>
      <c r="B3227" s="1" t="str">
        <f aca="false">TRIM(A3227)</f>
        <v/>
      </c>
    </row>
    <row r="3228" customFormat="false" ht="12.75" hidden="false" customHeight="true" outlineLevel="0" collapsed="false">
      <c r="A3228" s="1" t="s">
        <v>2764</v>
      </c>
      <c r="B3228" s="1" t="str">
        <f aca="false">TRIM(A3228)</f>
        <v>1, 38, 42, TENTACOOL</v>
      </c>
    </row>
    <row r="3229" customFormat="false" ht="12.75" hidden="false" customHeight="true" outlineLevel="0" collapsed="false">
      <c r="A3229" s="1" t="s">
        <v>1817</v>
      </c>
      <c r="B3229" s="1" t="str">
        <f aca="false">TRIM(A3229)</f>
        <v>+40, 44, PSYDUCK</v>
      </c>
    </row>
    <row r="3230" customFormat="false" ht="12.75" hidden="false" customHeight="true" outlineLevel="0" collapsed="false">
      <c r="A3230" s="1" t="s">
        <v>1818</v>
      </c>
      <c r="B3230" s="1" t="str">
        <f aca="false">TRIM(A3230)</f>
        <v>+42, 46, TENTACRUEL</v>
      </c>
    </row>
    <row r="3231" customFormat="false" ht="12.75" hidden="false" customHeight="true" outlineLevel="0" collapsed="false">
      <c r="A3231" s="1" t="s">
        <v>1347</v>
      </c>
      <c r="B3231" s="1" t="str">
        <f aca="false">TRIM(A3231)</f>
        <v>+42, 46, GOLDUCK</v>
      </c>
    </row>
    <row r="3232" customFormat="false" ht="12.75" hidden="false" customHeight="true" outlineLevel="0" collapsed="false">
      <c r="A3232" s="1" t="s">
        <v>2571</v>
      </c>
      <c r="B3232" s="1" t="str">
        <f aca="false">TRIM(A3232)</f>
        <v>+44, 48, VAPOREON</v>
      </c>
    </row>
    <row r="3233" customFormat="false" ht="12.75" hidden="false" customHeight="true" outlineLevel="0" collapsed="false">
      <c r="A3233" s="1" t="s">
        <v>2551</v>
      </c>
      <c r="B3233" s="1" t="str">
        <f aca="false">TRIM(A3233)</f>
        <v>10, # old rod:</v>
      </c>
    </row>
    <row r="3234" customFormat="false" ht="12.75" hidden="false" customHeight="true" outlineLevel="0" collapsed="false">
      <c r="A3234" s="1" t="s">
        <v>1349</v>
      </c>
      <c r="B3234" s="1" t="str">
        <f aca="false">TRIM(A3234)</f>
        <v>19, 26, MAGIKARP</v>
      </c>
    </row>
    <row r="3235" customFormat="false" ht="12.75" hidden="false" customHeight="true" outlineLevel="0" collapsed="false">
      <c r="A3235" s="1" t="s">
        <v>1819</v>
      </c>
      <c r="B3235" s="1" t="str">
        <f aca="false">TRIM(A3235)</f>
        <v>+19, 26, GYARADOS</v>
      </c>
    </row>
    <row r="3236" customFormat="false" ht="12.75" hidden="false" customHeight="true" outlineLevel="0" collapsed="false">
      <c r="A3236" s="2"/>
      <c r="B3236" s="1" t="str">
        <f aca="false">TRIM(A3236)</f>
        <v/>
      </c>
    </row>
    <row r="3237" customFormat="false" ht="12.75" hidden="false" customHeight="true" outlineLevel="0" collapsed="false">
      <c r="A3237" s="1" t="s">
        <v>1268</v>
      </c>
      <c r="B3237" s="1" t="str">
        <f aca="false">TRIM(A3237)</f>
        <v># good rod:</v>
      </c>
    </row>
    <row r="3238" customFormat="false" ht="12.75" hidden="false" customHeight="true" outlineLevel="0" collapsed="false">
      <c r="A3238" s="1" t="s">
        <v>1820</v>
      </c>
      <c r="B3238" s="1" t="str">
        <f aca="false">TRIM(A3238)</f>
        <v>+29, 33, SLOWPOKE</v>
      </c>
    </row>
    <row r="3239" customFormat="false" ht="12.75" hidden="false" customHeight="true" outlineLevel="0" collapsed="false">
      <c r="A3239" s="1" t="s">
        <v>1454</v>
      </c>
      <c r="B3239" s="1" t="str">
        <f aca="false">TRIM(A3239)</f>
        <v>+30, 35, KRABBY</v>
      </c>
    </row>
    <row r="3240" customFormat="false" ht="12.75" hidden="false" customHeight="true" outlineLevel="0" collapsed="false">
      <c r="A3240" s="1" t="s">
        <v>1821</v>
      </c>
      <c r="B3240" s="1" t="str">
        <f aca="false">TRIM(A3240)</f>
        <v>+30, 35, PSYDUCK</v>
      </c>
    </row>
    <row r="3241" customFormat="false" ht="12.75" hidden="false" customHeight="true" outlineLevel="0" collapsed="false">
      <c r="A3241" s="2"/>
      <c r="B3241" s="1" t="str">
        <f aca="false">TRIM(A3241)</f>
        <v/>
      </c>
    </row>
    <row r="3242" customFormat="false" ht="12.75" hidden="false" customHeight="true" outlineLevel="0" collapsed="false">
      <c r="A3242" s="1" t="s">
        <v>1272</v>
      </c>
      <c r="B3242" s="1" t="str">
        <f aca="false">TRIM(A3242)</f>
        <v># super rod:</v>
      </c>
    </row>
    <row r="3243" customFormat="false" ht="12.75" hidden="false" customHeight="true" outlineLevel="0" collapsed="false">
      <c r="A3243" s="1" t="s">
        <v>1822</v>
      </c>
      <c r="B3243" s="1" t="str">
        <f aca="false">TRIM(A3243)</f>
        <v>+36, 40, SLOWBRO</v>
      </c>
    </row>
    <row r="3244" customFormat="false" ht="12.75" hidden="false" customHeight="true" outlineLevel="0" collapsed="false">
      <c r="A3244" s="1" t="s">
        <v>1823</v>
      </c>
      <c r="B3244" s="1" t="str">
        <f aca="false">TRIM(A3244)</f>
        <v>+36, 40, GYARADOS</v>
      </c>
    </row>
    <row r="3245" customFormat="false" ht="12.75" hidden="false" customHeight="true" outlineLevel="0" collapsed="false">
      <c r="A3245" s="1" t="s">
        <v>1824</v>
      </c>
      <c r="B3245" s="1" t="str">
        <f aca="false">TRIM(A3245)</f>
        <v>+38, 42, GOLDUCK</v>
      </c>
    </row>
    <row r="3246" customFormat="false" ht="12.75" hidden="false" customHeight="true" outlineLevel="0" collapsed="false">
      <c r="A3246" s="1" t="s">
        <v>1825</v>
      </c>
      <c r="B3246" s="1" t="str">
        <f aca="false">TRIM(A3246)</f>
        <v>+38, 42, KINGLER</v>
      </c>
    </row>
    <row r="3247" customFormat="false" ht="12.75" hidden="false" customHeight="true" outlineLevel="0" collapsed="false">
      <c r="A3247" s="1" t="s">
        <v>2712</v>
      </c>
      <c r="B3247" s="1" t="str">
        <f aca="false">TRIM(A3247)</f>
        <v>+40, 44, SLOWMATE</v>
      </c>
    </row>
    <row r="3248" customFormat="false" ht="12.75" hidden="false" customHeight="true" outlineLevel="0" collapsed="false">
      <c r="A3248" s="1" t="s">
        <v>2536</v>
      </c>
      <c r="B3248" s="1" t="str">
        <f aca="false">TRIM(A3248)</f>
        <v>NEW ROUTE</v>
      </c>
    </row>
    <row r="3249" customFormat="false" ht="12.75" hidden="false" customHeight="true" outlineLevel="0" collapsed="false">
      <c r="A3249" s="1" t="s">
        <v>2770</v>
      </c>
      <c r="B3249" s="1" t="str">
        <f aca="false">TRIM(A3249)</f>
        <v>+3, 5, 0, &lt;null&gt;,</v>
      </c>
    </row>
    <row r="3250" customFormat="false" ht="12.75" hidden="false" customHeight="true" outlineLevel="0" collapsed="false">
      <c r="A3250" s="2"/>
      <c r="B3250" s="1" t="str">
        <f aca="false">TRIM(A3250)</f>
        <v/>
      </c>
    </row>
    <row r="3251" customFormat="false" ht="12.75" hidden="false" customHeight="true" outlineLevel="0" collapsed="false">
      <c r="A3251" s="1" t="s">
        <v>2764</v>
      </c>
      <c r="B3251" s="1" t="str">
        <f aca="false">TRIM(A3251)</f>
        <v>1, 38, 42, TENTACOOL</v>
      </c>
    </row>
    <row r="3252" customFormat="false" ht="12.75" hidden="false" customHeight="true" outlineLevel="0" collapsed="false">
      <c r="A3252" s="1" t="s">
        <v>1900</v>
      </c>
      <c r="B3252" s="1" t="str">
        <f aca="false">TRIM(A3252)</f>
        <v>+40, 44, TENTACRUEL</v>
      </c>
    </row>
    <row r="3253" customFormat="false" ht="12.75" hidden="false" customHeight="true" outlineLevel="0" collapsed="false">
      <c r="A3253" s="1" t="s">
        <v>1449</v>
      </c>
      <c r="B3253" s="1" t="str">
        <f aca="false">TRIM(A3253)</f>
        <v>+42, 46, LAPRAS</v>
      </c>
    </row>
    <row r="3254" customFormat="false" ht="12.75" hidden="false" customHeight="true" outlineLevel="0" collapsed="false">
      <c r="A3254" s="1" t="s">
        <v>1901</v>
      </c>
      <c r="B3254" s="1" t="str">
        <f aca="false">TRIM(A3254)</f>
        <v>+42, 46, TENTACATE</v>
      </c>
    </row>
    <row r="3255" customFormat="false" ht="12.75" hidden="false" customHeight="true" outlineLevel="0" collapsed="false">
      <c r="A3255" s="1" t="s">
        <v>2730</v>
      </c>
      <c r="B3255" s="1" t="str">
        <f aca="false">TRIM(A3255)</f>
        <v>+44, 48, LOCHLASS</v>
      </c>
    </row>
    <row r="3256" customFormat="false" ht="12.75" hidden="false" customHeight="true" outlineLevel="0" collapsed="false">
      <c r="A3256" s="1" t="s">
        <v>2551</v>
      </c>
      <c r="B3256" s="1" t="str">
        <f aca="false">TRIM(A3256)</f>
        <v>10, # old rod:</v>
      </c>
    </row>
    <row r="3257" customFormat="false" ht="12.75" hidden="false" customHeight="true" outlineLevel="0" collapsed="false">
      <c r="A3257" s="1" t="s">
        <v>1349</v>
      </c>
      <c r="B3257" s="1" t="str">
        <f aca="false">TRIM(A3257)</f>
        <v>19, 26, MAGIKARP</v>
      </c>
    </row>
    <row r="3258" customFormat="false" ht="12.75" hidden="false" customHeight="true" outlineLevel="0" collapsed="false">
      <c r="A3258" s="1" t="s">
        <v>1819</v>
      </c>
      <c r="B3258" s="1" t="str">
        <f aca="false">TRIM(A3258)</f>
        <v>+19, 26, GYARADOS</v>
      </c>
    </row>
    <row r="3259" customFormat="false" ht="12.75" hidden="false" customHeight="true" outlineLevel="0" collapsed="false">
      <c r="A3259" s="2"/>
      <c r="B3259" s="1" t="str">
        <f aca="false">TRIM(A3259)</f>
        <v/>
      </c>
    </row>
    <row r="3260" customFormat="false" ht="12.75" hidden="false" customHeight="true" outlineLevel="0" collapsed="false">
      <c r="A3260" s="1" t="s">
        <v>1268</v>
      </c>
      <c r="B3260" s="1" t="str">
        <f aca="false">TRIM(A3260)</f>
        <v># good rod:</v>
      </c>
    </row>
    <row r="3261" customFormat="false" ht="12.75" hidden="false" customHeight="true" outlineLevel="0" collapsed="false">
      <c r="A3261" s="1" t="s">
        <v>1903</v>
      </c>
      <c r="B3261" s="1" t="str">
        <f aca="false">TRIM(A3261)</f>
        <v>+29, 33, HORSEA</v>
      </c>
    </row>
    <row r="3262" customFormat="false" ht="12.75" hidden="false" customHeight="true" outlineLevel="0" collapsed="false">
      <c r="A3262" s="1" t="s">
        <v>1924</v>
      </c>
      <c r="B3262" s="1" t="str">
        <f aca="false">TRIM(A3262)</f>
        <v>+30, 35, SHELLDER</v>
      </c>
    </row>
    <row r="3263" customFormat="false" ht="12.75" hidden="false" customHeight="true" outlineLevel="0" collapsed="false">
      <c r="A3263" s="1" t="s">
        <v>1925</v>
      </c>
      <c r="B3263" s="1" t="str">
        <f aca="false">TRIM(A3263)</f>
        <v>+30, 35, STARYU</v>
      </c>
    </row>
    <row r="3264" customFormat="false" ht="12.75" hidden="false" customHeight="true" outlineLevel="0" collapsed="false">
      <c r="A3264" s="2"/>
      <c r="B3264" s="1" t="str">
        <f aca="false">TRIM(A3264)</f>
        <v/>
      </c>
    </row>
    <row r="3265" customFormat="false" ht="12.75" hidden="false" customHeight="true" outlineLevel="0" collapsed="false">
      <c r="A3265" s="1" t="s">
        <v>1272</v>
      </c>
      <c r="B3265" s="1" t="str">
        <f aca="false">TRIM(A3265)</f>
        <v># super rod:</v>
      </c>
    </row>
    <row r="3266" customFormat="false" ht="12.75" hidden="false" customHeight="true" outlineLevel="0" collapsed="false">
      <c r="A3266" s="1" t="s">
        <v>1453</v>
      </c>
      <c r="B3266" s="1" t="str">
        <f aca="false">TRIM(A3266)</f>
        <v>+29, 33, SEADRA</v>
      </c>
    </row>
    <row r="3267" customFormat="false" ht="12.75" hidden="false" customHeight="true" outlineLevel="0" collapsed="false">
      <c r="A3267" s="1" t="s">
        <v>1823</v>
      </c>
      <c r="B3267" s="1" t="str">
        <f aca="false">TRIM(A3267)</f>
        <v>+36, 40, GYARADOS</v>
      </c>
    </row>
    <row r="3268" customFormat="false" ht="12.75" hidden="false" customHeight="true" outlineLevel="0" collapsed="false">
      <c r="A3268" s="1" t="s">
        <v>1926</v>
      </c>
      <c r="B3268" s="1" t="str">
        <f aca="false">TRIM(A3268)</f>
        <v>+38, 42, STARMIE</v>
      </c>
    </row>
    <row r="3269" customFormat="false" ht="12.75" hidden="false" customHeight="true" outlineLevel="0" collapsed="false">
      <c r="A3269" s="1" t="s">
        <v>1927</v>
      </c>
      <c r="B3269" s="1" t="str">
        <f aca="false">TRIM(A3269)</f>
        <v>+38, 42, CLOYSTER</v>
      </c>
    </row>
    <row r="3270" customFormat="false" ht="12.75" hidden="false" customHeight="true" outlineLevel="0" collapsed="false">
      <c r="A3270" s="1" t="s">
        <v>2731</v>
      </c>
      <c r="B3270" s="1" t="str">
        <f aca="false">TRIM(A3270)</f>
        <v>+38, 42, STARUS</v>
      </c>
    </row>
    <row r="3271" customFormat="false" ht="12.75" hidden="false" customHeight="true" outlineLevel="0" collapsed="false">
      <c r="A3271" s="1" t="s">
        <v>2536</v>
      </c>
      <c r="B3271" s="1" t="str">
        <f aca="false">TRIM(A3271)</f>
        <v>NEW ROUTE</v>
      </c>
    </row>
    <row r="3272" customFormat="false" ht="12.75" hidden="false" customHeight="true" outlineLevel="0" collapsed="false">
      <c r="A3272" s="1" t="s">
        <v>2771</v>
      </c>
      <c r="B3272" s="1" t="str">
        <f aca="false">TRIM(A3272)</f>
        <v>+3, 6, 0, &lt;null&gt;,</v>
      </c>
    </row>
    <row r="3273" customFormat="false" ht="12.75" hidden="false" customHeight="true" outlineLevel="0" collapsed="false">
      <c r="A3273" s="2"/>
      <c r="B3273" s="1" t="str">
        <f aca="false">TRIM(A3273)</f>
        <v/>
      </c>
    </row>
    <row r="3274" customFormat="false" ht="12.75" hidden="false" customHeight="true" outlineLevel="0" collapsed="false">
      <c r="A3274" s="1" t="s">
        <v>2767</v>
      </c>
      <c r="B3274" s="1" t="str">
        <f aca="false">TRIM(A3274)</f>
        <v>1, 38, 42, PSYDUCK</v>
      </c>
    </row>
    <row r="3275" customFormat="false" ht="12.75" hidden="false" customHeight="true" outlineLevel="0" collapsed="false">
      <c r="A3275" s="1" t="s">
        <v>1842</v>
      </c>
      <c r="B3275" s="1" t="str">
        <f aca="false">TRIM(A3275)</f>
        <v>+40, 44, SLOWPOKE</v>
      </c>
    </row>
    <row r="3276" customFormat="false" ht="12.75" hidden="false" customHeight="true" outlineLevel="0" collapsed="false">
      <c r="A3276" s="1" t="s">
        <v>2105</v>
      </c>
      <c r="B3276" s="1" t="str">
        <f aca="false">TRIM(A3276)</f>
        <v>+42, 46, KOFFING</v>
      </c>
    </row>
    <row r="3277" customFormat="false" ht="12.75" hidden="false" customHeight="true" outlineLevel="0" collapsed="false">
      <c r="A3277" s="1" t="s">
        <v>1347</v>
      </c>
      <c r="B3277" s="1" t="str">
        <f aca="false">TRIM(A3277)</f>
        <v>+42, 46, GOLDUCK</v>
      </c>
    </row>
    <row r="3278" customFormat="false" ht="12.75" hidden="false" customHeight="true" outlineLevel="0" collapsed="false">
      <c r="A3278" s="1" t="s">
        <v>2772</v>
      </c>
      <c r="B3278" s="1" t="str">
        <f aca="false">TRIM(A3278)</f>
        <v>+44, 48, WEEZING</v>
      </c>
    </row>
    <row r="3279" customFormat="false" ht="12.75" hidden="false" customHeight="true" outlineLevel="0" collapsed="false">
      <c r="A3279" s="1" t="s">
        <v>2551</v>
      </c>
      <c r="B3279" s="1" t="str">
        <f aca="false">TRIM(A3279)</f>
        <v>10, # old rod:</v>
      </c>
    </row>
    <row r="3280" customFormat="false" ht="12.75" hidden="false" customHeight="true" outlineLevel="0" collapsed="false">
      <c r="A3280" s="1" t="s">
        <v>1349</v>
      </c>
      <c r="B3280" s="1" t="str">
        <f aca="false">TRIM(A3280)</f>
        <v>19, 26, MAGIKARP</v>
      </c>
    </row>
    <row r="3281" customFormat="false" ht="12.75" hidden="false" customHeight="true" outlineLevel="0" collapsed="false">
      <c r="A3281" s="1" t="s">
        <v>2107</v>
      </c>
      <c r="B3281" s="1" t="str">
        <f aca="false">TRIM(A3281)</f>
        <v>+19, 26, GRIMER</v>
      </c>
    </row>
    <row r="3282" customFormat="false" ht="12.75" hidden="false" customHeight="true" outlineLevel="0" collapsed="false">
      <c r="A3282" s="2"/>
      <c r="B3282" s="1" t="str">
        <f aca="false">TRIM(A3282)</f>
        <v/>
      </c>
    </row>
    <row r="3283" customFormat="false" ht="12.75" hidden="false" customHeight="true" outlineLevel="0" collapsed="false">
      <c r="A3283" s="1" t="s">
        <v>1268</v>
      </c>
      <c r="B3283" s="1" t="str">
        <f aca="false">TRIM(A3283)</f>
        <v># good rod:</v>
      </c>
    </row>
    <row r="3284" customFormat="false" ht="12.75" hidden="false" customHeight="true" outlineLevel="0" collapsed="false">
      <c r="A3284" s="1" t="s">
        <v>2043</v>
      </c>
      <c r="B3284" s="1" t="str">
        <f aca="false">TRIM(A3284)</f>
        <v>+29, 33, MAGIKARP</v>
      </c>
    </row>
    <row r="3285" customFormat="false" ht="12.75" hidden="false" customHeight="true" outlineLevel="0" collapsed="false">
      <c r="A3285" s="1" t="s">
        <v>2044</v>
      </c>
      <c r="B3285" s="1" t="str">
        <f aca="false">TRIM(A3285)</f>
        <v>+30, 35, GYARADOS</v>
      </c>
    </row>
    <row r="3286" customFormat="false" ht="12.75" hidden="false" customHeight="true" outlineLevel="0" collapsed="false">
      <c r="A3286" s="1" t="s">
        <v>2108</v>
      </c>
      <c r="B3286" s="1" t="str">
        <f aca="false">TRIM(A3286)</f>
        <v>+30, 35, MUK</v>
      </c>
    </row>
    <row r="3287" customFormat="false" ht="12.75" hidden="false" customHeight="true" outlineLevel="0" collapsed="false">
      <c r="A3287" s="2"/>
      <c r="B3287" s="1" t="str">
        <f aca="false">TRIM(A3287)</f>
        <v/>
      </c>
    </row>
    <row r="3288" customFormat="false" ht="12.75" hidden="false" customHeight="true" outlineLevel="0" collapsed="false">
      <c r="A3288" s="1" t="s">
        <v>1272</v>
      </c>
      <c r="B3288" s="1" t="str">
        <f aca="false">TRIM(A3288)</f>
        <v># super rod:</v>
      </c>
    </row>
    <row r="3289" customFormat="false" ht="12.75" hidden="false" customHeight="true" outlineLevel="0" collapsed="false">
      <c r="A3289" s="1" t="s">
        <v>1823</v>
      </c>
      <c r="B3289" s="1" t="str">
        <f aca="false">TRIM(A3289)</f>
        <v>+36, 40, GYARADOS</v>
      </c>
    </row>
    <row r="3290" customFormat="false" ht="12.75" hidden="false" customHeight="true" outlineLevel="0" collapsed="false">
      <c r="A3290" s="1" t="s">
        <v>2109</v>
      </c>
      <c r="B3290" s="1" t="str">
        <f aca="false">TRIM(A3290)</f>
        <v>+36, 40, MUK</v>
      </c>
    </row>
    <row r="3291" customFormat="false" ht="12.75" hidden="false" customHeight="true" outlineLevel="0" collapsed="false">
      <c r="A3291" s="1" t="s">
        <v>2110</v>
      </c>
      <c r="B3291" s="1" t="str">
        <f aca="false">TRIM(A3291)</f>
        <v>+41, 41, GYARADOS</v>
      </c>
    </row>
    <row r="3292" customFormat="false" ht="12.75" hidden="false" customHeight="true" outlineLevel="0" collapsed="false">
      <c r="A3292" s="1" t="s">
        <v>2111</v>
      </c>
      <c r="B3292" s="1" t="str">
        <f aca="false">TRIM(A3292)</f>
        <v>+38, 42, HYDRADOS</v>
      </c>
    </row>
    <row r="3293" customFormat="false" ht="12.75" hidden="false" customHeight="true" outlineLevel="0" collapsed="false">
      <c r="A3293" s="1" t="s">
        <v>2773</v>
      </c>
      <c r="B3293" s="1" t="str">
        <f aca="false">TRIM(A3293)</f>
        <v>+40, 44, GUNK</v>
      </c>
    </row>
    <row r="3294" customFormat="false" ht="12.75" hidden="false" customHeight="true" outlineLevel="0" collapsed="false">
      <c r="A3294" s="1" t="s">
        <v>2536</v>
      </c>
      <c r="B3294" s="1" t="str">
        <f aca="false">TRIM(A3294)</f>
        <v>NEW ROUTE</v>
      </c>
    </row>
    <row r="3295" customFormat="false" ht="12.75" hidden="false" customHeight="true" outlineLevel="0" collapsed="false">
      <c r="A3295" s="1" t="s">
        <v>2774</v>
      </c>
      <c r="B3295" s="1" t="str">
        <f aca="false">TRIM(A3295)</f>
        <v>+3, 7, 0, &lt;null&gt;,</v>
      </c>
    </row>
    <row r="3296" customFormat="false" ht="12.75" hidden="false" customHeight="true" outlineLevel="0" collapsed="false">
      <c r="A3296" s="2"/>
      <c r="B3296" s="1" t="str">
        <f aca="false">TRIM(A3296)</f>
        <v/>
      </c>
    </row>
    <row r="3297" customFormat="false" ht="12.75" hidden="false" customHeight="true" outlineLevel="0" collapsed="false">
      <c r="A3297" s="1" t="s">
        <v>2764</v>
      </c>
      <c r="B3297" s="1" t="str">
        <f aca="false">TRIM(A3297)</f>
        <v>1, 38, 42, TENTACOOL</v>
      </c>
    </row>
    <row r="3298" customFormat="false" ht="12.75" hidden="false" customHeight="true" outlineLevel="0" collapsed="false">
      <c r="A3298" s="1" t="s">
        <v>1817</v>
      </c>
      <c r="B3298" s="1" t="str">
        <f aca="false">TRIM(A3298)</f>
        <v>+40, 44, PSYDUCK</v>
      </c>
    </row>
    <row r="3299" customFormat="false" ht="12.75" hidden="false" customHeight="true" outlineLevel="0" collapsed="false">
      <c r="A3299" s="1" t="s">
        <v>1818</v>
      </c>
      <c r="B3299" s="1" t="str">
        <f aca="false">TRIM(A3299)</f>
        <v>+42, 46, TENTACRUEL</v>
      </c>
    </row>
    <row r="3300" customFormat="false" ht="12.75" hidden="false" customHeight="true" outlineLevel="0" collapsed="false">
      <c r="A3300" s="1" t="s">
        <v>1347</v>
      </c>
      <c r="B3300" s="1" t="str">
        <f aca="false">TRIM(A3300)</f>
        <v>+42, 46, GOLDUCK</v>
      </c>
    </row>
    <row r="3301" customFormat="false" ht="12.75" hidden="false" customHeight="true" outlineLevel="0" collapsed="false">
      <c r="A3301" s="1" t="s">
        <v>2571</v>
      </c>
      <c r="B3301" s="1" t="str">
        <f aca="false">TRIM(A3301)</f>
        <v>+44, 48, VAPOREON</v>
      </c>
    </row>
    <row r="3302" customFormat="false" ht="12.75" hidden="false" customHeight="true" outlineLevel="0" collapsed="false">
      <c r="A3302" s="1" t="s">
        <v>2551</v>
      </c>
      <c r="B3302" s="1" t="str">
        <f aca="false">TRIM(A3302)</f>
        <v>10, # old rod:</v>
      </c>
    </row>
    <row r="3303" customFormat="false" ht="12.75" hidden="false" customHeight="true" outlineLevel="0" collapsed="false">
      <c r="A3303" s="1" t="s">
        <v>2114</v>
      </c>
      <c r="B3303" s="1" t="str">
        <f aca="false">TRIM(A3303)</f>
        <v>19, 26, SEEL</v>
      </c>
    </row>
    <row r="3304" customFormat="false" ht="12.75" hidden="false" customHeight="true" outlineLevel="0" collapsed="false">
      <c r="A3304" s="1" t="s">
        <v>1350</v>
      </c>
      <c r="B3304" s="1" t="str">
        <f aca="false">TRIM(A3304)</f>
        <v>+19, 26, POLIWAG</v>
      </c>
    </row>
    <row r="3305" customFormat="false" ht="12.75" hidden="false" customHeight="true" outlineLevel="0" collapsed="false">
      <c r="A3305" s="2"/>
      <c r="B3305" s="1" t="str">
        <f aca="false">TRIM(A3305)</f>
        <v/>
      </c>
    </row>
    <row r="3306" customFormat="false" ht="12.75" hidden="false" customHeight="true" outlineLevel="0" collapsed="false">
      <c r="A3306" s="1" t="s">
        <v>1268</v>
      </c>
      <c r="B3306" s="1" t="str">
        <f aca="false">TRIM(A3306)</f>
        <v># good rod:</v>
      </c>
    </row>
    <row r="3307" customFormat="false" ht="12.75" hidden="false" customHeight="true" outlineLevel="0" collapsed="false">
      <c r="A3307" s="1" t="s">
        <v>2115</v>
      </c>
      <c r="B3307" s="1" t="str">
        <f aca="false">TRIM(A3307)</f>
        <v>+29, 33, SEEL</v>
      </c>
    </row>
    <row r="3308" customFormat="false" ht="12.75" hidden="false" customHeight="true" outlineLevel="0" collapsed="false">
      <c r="A3308" s="1" t="s">
        <v>1352</v>
      </c>
      <c r="B3308" s="1" t="str">
        <f aca="false">TRIM(A3308)</f>
        <v>+30, 35, POLIWAG</v>
      </c>
    </row>
    <row r="3309" customFormat="false" ht="12.75" hidden="false" customHeight="true" outlineLevel="0" collapsed="false">
      <c r="A3309" s="1" t="s">
        <v>1353</v>
      </c>
      <c r="B3309" s="1" t="str">
        <f aca="false">TRIM(A3309)</f>
        <v>+30, 35, GOLDEEN</v>
      </c>
    </row>
    <row r="3310" customFormat="false" ht="12.75" hidden="false" customHeight="true" outlineLevel="0" collapsed="false">
      <c r="A3310" s="2"/>
      <c r="B3310" s="1" t="str">
        <f aca="false">TRIM(A3310)</f>
        <v/>
      </c>
    </row>
    <row r="3311" customFormat="false" ht="12.75" hidden="false" customHeight="true" outlineLevel="0" collapsed="false">
      <c r="A3311" s="1" t="s">
        <v>1272</v>
      </c>
      <c r="B3311" s="1" t="str">
        <f aca="false">TRIM(A3311)</f>
        <v># super rod:</v>
      </c>
    </row>
    <row r="3312" customFormat="false" ht="12.75" hidden="false" customHeight="true" outlineLevel="0" collapsed="false">
      <c r="A3312" s="1" t="s">
        <v>1354</v>
      </c>
      <c r="B3312" s="1" t="str">
        <f aca="false">TRIM(A3312)</f>
        <v>+36, 40, POLIWHIRL</v>
      </c>
    </row>
    <row r="3313" customFormat="false" ht="12.75" hidden="false" customHeight="true" outlineLevel="0" collapsed="false">
      <c r="A3313" s="1" t="s">
        <v>2116</v>
      </c>
      <c r="B3313" s="1" t="str">
        <f aca="false">TRIM(A3313)</f>
        <v>+36, 40, DEWGONG</v>
      </c>
    </row>
    <row r="3314" customFormat="false" ht="12.75" hidden="false" customHeight="true" outlineLevel="0" collapsed="false">
      <c r="A3314" s="1" t="s">
        <v>2117</v>
      </c>
      <c r="B3314" s="1" t="str">
        <f aca="false">TRIM(A3314)</f>
        <v>+38, 42, SEAKING</v>
      </c>
    </row>
    <row r="3315" customFormat="false" ht="12.75" hidden="false" customHeight="true" outlineLevel="0" collapsed="false">
      <c r="A3315" s="1" t="s">
        <v>1846</v>
      </c>
      <c r="B3315" s="1" t="str">
        <f aca="false">TRIM(A3315)</f>
        <v>+38, 42, POLIWRATH</v>
      </c>
    </row>
    <row r="3316" customFormat="false" ht="12.75" hidden="false" customHeight="true" outlineLevel="0" collapsed="false">
      <c r="A3316" s="1" t="s">
        <v>2775</v>
      </c>
      <c r="B3316" s="1" t="str">
        <f aca="false">TRIM(A3316)</f>
        <v>+40, 44, SEAREX</v>
      </c>
    </row>
    <row r="3317" customFormat="false" ht="12.75" hidden="false" customHeight="true" outlineLevel="0" collapsed="false">
      <c r="A3317" s="1" t="s">
        <v>2536</v>
      </c>
      <c r="B3317" s="1" t="str">
        <f aca="false">TRIM(A3317)</f>
        <v>NEW ROUTE</v>
      </c>
    </row>
    <row r="3318" customFormat="false" ht="12.75" hidden="false" customHeight="true" outlineLevel="0" collapsed="false">
      <c r="A3318" s="1" t="s">
        <v>2776</v>
      </c>
      <c r="B3318" s="1" t="str">
        <f aca="false">TRIM(A3318)</f>
        <v>+3, 8, 0, &lt;null&gt;,</v>
      </c>
    </row>
    <row r="3319" customFormat="false" ht="12.75" hidden="false" customHeight="true" outlineLevel="0" collapsed="false">
      <c r="A3319" s="2"/>
      <c r="B3319" s="1" t="str">
        <f aca="false">TRIM(A3319)</f>
        <v/>
      </c>
    </row>
    <row r="3320" customFormat="false" ht="12.75" hidden="false" customHeight="true" outlineLevel="0" collapsed="false">
      <c r="A3320" s="1" t="s">
        <v>2777</v>
      </c>
      <c r="B3320" s="1" t="str">
        <f aca="false">TRIM(A3320)</f>
        <v>1, 40, 44, DEWGONG</v>
      </c>
    </row>
    <row r="3321" customFormat="false" ht="12.75" hidden="false" customHeight="true" outlineLevel="0" collapsed="false">
      <c r="A3321" s="1" t="s">
        <v>1449</v>
      </c>
      <c r="B3321" s="1" t="str">
        <f aca="false">TRIM(A3321)</f>
        <v>+42, 46, LAPRAS</v>
      </c>
    </row>
    <row r="3322" customFormat="false" ht="12.75" hidden="false" customHeight="true" outlineLevel="0" collapsed="false">
      <c r="A3322" s="1" t="s">
        <v>1439</v>
      </c>
      <c r="B3322" s="1" t="str">
        <f aca="false">TRIM(A3322)</f>
        <v>+44, 47, PRECIPED</v>
      </c>
    </row>
    <row r="3323" customFormat="false" ht="12.75" hidden="false" customHeight="true" outlineLevel="0" collapsed="false">
      <c r="A3323" s="1" t="s">
        <v>2120</v>
      </c>
      <c r="B3323" s="1" t="str">
        <f aca="false">TRIM(A3323)</f>
        <v>+44, 47, TENTACATE</v>
      </c>
    </row>
    <row r="3324" customFormat="false" ht="12.75" hidden="false" customHeight="true" outlineLevel="0" collapsed="false">
      <c r="A3324" s="1" t="s">
        <v>2778</v>
      </c>
      <c r="B3324" s="1" t="str">
        <f aca="false">TRIM(A3324)</f>
        <v>+45, 50, LOCHLASS</v>
      </c>
    </row>
    <row r="3325" customFormat="false" ht="12.75" hidden="false" customHeight="true" outlineLevel="0" collapsed="false">
      <c r="A3325" s="1" t="s">
        <v>2551</v>
      </c>
      <c r="B3325" s="1" t="str">
        <f aca="false">TRIM(A3325)</f>
        <v>10, # old rod:</v>
      </c>
    </row>
    <row r="3326" customFormat="false" ht="12.75" hidden="false" customHeight="true" outlineLevel="0" collapsed="false">
      <c r="A3326" s="1" t="s">
        <v>2122</v>
      </c>
      <c r="B3326" s="1" t="str">
        <f aca="false">TRIM(A3326)</f>
        <v>24, 30, HORSEA</v>
      </c>
    </row>
    <row r="3327" customFormat="false" ht="12.75" hidden="false" customHeight="true" outlineLevel="0" collapsed="false">
      <c r="A3327" s="1" t="s">
        <v>2123</v>
      </c>
      <c r="B3327" s="1" t="str">
        <f aca="false">TRIM(A3327)</f>
        <v>+24, 30, SHELLDER</v>
      </c>
    </row>
    <row r="3328" customFormat="false" ht="12.75" hidden="false" customHeight="true" outlineLevel="0" collapsed="false">
      <c r="A3328" s="2"/>
      <c r="B3328" s="1" t="str">
        <f aca="false">TRIM(A3328)</f>
        <v/>
      </c>
    </row>
    <row r="3329" customFormat="false" ht="12.75" hidden="false" customHeight="true" outlineLevel="0" collapsed="false">
      <c r="A3329" s="1" t="s">
        <v>1268</v>
      </c>
      <c r="B3329" s="1" t="str">
        <f aca="false">TRIM(A3329)</f>
        <v># good rod:</v>
      </c>
    </row>
    <row r="3330" customFormat="false" ht="12.75" hidden="false" customHeight="true" outlineLevel="0" collapsed="false">
      <c r="A3330" s="1" t="s">
        <v>2124</v>
      </c>
      <c r="B3330" s="1" t="str">
        <f aca="false">TRIM(A3330)</f>
        <v>+35, 40, SEADRA</v>
      </c>
    </row>
    <row r="3331" customFormat="false" ht="12.75" hidden="false" customHeight="true" outlineLevel="0" collapsed="false">
      <c r="A3331" s="1" t="s">
        <v>2125</v>
      </c>
      <c r="B3331" s="1" t="str">
        <f aca="false">TRIM(A3331)</f>
        <v>+37, 42, KRABBY</v>
      </c>
    </row>
    <row r="3332" customFormat="false" ht="12.75" hidden="false" customHeight="true" outlineLevel="0" collapsed="false">
      <c r="A3332" s="1" t="s">
        <v>2126</v>
      </c>
      <c r="B3332" s="1" t="str">
        <f aca="false">TRIM(A3332)</f>
        <v>+37, 42, CLOYSTER</v>
      </c>
    </row>
    <row r="3333" customFormat="false" ht="12.75" hidden="false" customHeight="true" outlineLevel="0" collapsed="false">
      <c r="A3333" s="2"/>
      <c r="B3333" s="1" t="str">
        <f aca="false">TRIM(A3333)</f>
        <v/>
      </c>
    </row>
    <row r="3334" customFormat="false" ht="12.75" hidden="false" customHeight="true" outlineLevel="0" collapsed="false">
      <c r="A3334" s="1" t="s">
        <v>1272</v>
      </c>
      <c r="B3334" s="1" t="str">
        <f aca="false">TRIM(A3334)</f>
        <v># super rod:</v>
      </c>
    </row>
    <row r="3335" customFormat="false" ht="12.75" hidden="false" customHeight="true" outlineLevel="0" collapsed="false">
      <c r="A3335" s="1" t="s">
        <v>2127</v>
      </c>
      <c r="B3335" s="1" t="str">
        <f aca="false">TRIM(A3335)</f>
        <v>+39, 45, KINGDRA</v>
      </c>
    </row>
    <row r="3336" customFormat="false" ht="12.75" hidden="false" customHeight="true" outlineLevel="0" collapsed="false">
      <c r="A3336" s="1" t="s">
        <v>2128</v>
      </c>
      <c r="B3336" s="1" t="str">
        <f aca="false">TRIM(A3336)</f>
        <v>+39, 45, KINGLER</v>
      </c>
    </row>
    <row r="3337" customFormat="false" ht="12.75" hidden="false" customHeight="true" outlineLevel="0" collapsed="false">
      <c r="A3337" s="1" t="s">
        <v>2129</v>
      </c>
      <c r="B3337" s="1" t="str">
        <f aca="false">TRIM(A3337)</f>
        <v>+43, 46, AN'ENEMY</v>
      </c>
    </row>
    <row r="3338" customFormat="false" ht="12.75" hidden="false" customHeight="true" outlineLevel="0" collapsed="false">
      <c r="A3338" s="1" t="s">
        <v>2130</v>
      </c>
      <c r="B3338" s="1" t="str">
        <f aca="false">TRIM(A3338)</f>
        <v>+43, 46, KRAKLAW</v>
      </c>
    </row>
    <row r="3339" customFormat="false" ht="12.75" hidden="false" customHeight="true" outlineLevel="0" collapsed="false">
      <c r="A3339" s="1" t="s">
        <v>2779</v>
      </c>
      <c r="B3339" s="1" t="str">
        <f aca="false">TRIM(A3339)</f>
        <v>+45, 52, LORDRA</v>
      </c>
    </row>
    <row r="3340" customFormat="false" ht="12.75" hidden="false" customHeight="true" outlineLevel="0" collapsed="false">
      <c r="A3340" s="1" t="s">
        <v>2536</v>
      </c>
      <c r="B3340" s="1" t="str">
        <f aca="false">TRIM(A3340)</f>
        <v>NEW ROUTE</v>
      </c>
    </row>
    <row r="3341" customFormat="false" ht="12.75" hidden="false" customHeight="true" outlineLevel="0" collapsed="false">
      <c r="A3341" s="1" t="s">
        <v>2780</v>
      </c>
      <c r="B3341" s="1" t="str">
        <f aca="false">TRIM(A3341)</f>
        <v>+3, 12, 0, &lt;null&gt;,</v>
      </c>
    </row>
    <row r="3342" customFormat="false" ht="12.75" hidden="false" customHeight="true" outlineLevel="0" collapsed="false">
      <c r="A3342" s="2"/>
      <c r="B3342" s="1" t="str">
        <f aca="false">TRIM(A3342)</f>
        <v/>
      </c>
    </row>
    <row r="3343" customFormat="false" ht="12.75" hidden="false" customHeight="true" outlineLevel="0" collapsed="false">
      <c r="A3343" s="1" t="s">
        <v>2781</v>
      </c>
      <c r="B3343" s="1" t="str">
        <f aca="false">TRIM(A3343)</f>
        <v>1, 5, 20, TENTACOOL</v>
      </c>
    </row>
    <row r="3344" customFormat="false" ht="12.75" hidden="false" customHeight="true" outlineLevel="0" collapsed="false">
      <c r="A3344" s="1" t="s">
        <v>1619</v>
      </c>
      <c r="B3344" s="1" t="str">
        <f aca="false">TRIM(A3344)</f>
        <v>+20, 35, TENTACOOL</v>
      </c>
    </row>
    <row r="3345" customFormat="false" ht="12.75" hidden="false" customHeight="true" outlineLevel="0" collapsed="false">
      <c r="A3345" s="1" t="s">
        <v>1677</v>
      </c>
      <c r="B3345" s="1" t="str">
        <f aca="false">TRIM(A3345)</f>
        <v>+35, 40, TENTACOOL</v>
      </c>
    </row>
    <row r="3346" customFormat="false" ht="12.75" hidden="false" customHeight="true" outlineLevel="0" collapsed="false">
      <c r="A3346" s="1" t="s">
        <v>1678</v>
      </c>
      <c r="B3346" s="1" t="str">
        <f aca="false">TRIM(A3346)</f>
        <v>+35, 40, TENTACRUEL</v>
      </c>
    </row>
    <row r="3347" customFormat="false" ht="12.75" hidden="false" customHeight="true" outlineLevel="0" collapsed="false">
      <c r="A3347" s="1" t="s">
        <v>2675</v>
      </c>
      <c r="B3347" s="1" t="str">
        <f aca="false">TRIM(A3347)</f>
        <v>+35, 40, TENTACRUEL</v>
      </c>
    </row>
    <row r="3348" customFormat="false" ht="12.75" hidden="false" customHeight="true" outlineLevel="0" collapsed="false">
      <c r="A3348" s="1" t="s">
        <v>2551</v>
      </c>
      <c r="B3348" s="1" t="str">
        <f aca="false">TRIM(A3348)</f>
        <v>10, # old rod:</v>
      </c>
    </row>
    <row r="3349" customFormat="false" ht="12.75" hidden="false" customHeight="true" outlineLevel="0" collapsed="false">
      <c r="A3349" s="1" t="s">
        <v>1266</v>
      </c>
      <c r="B3349" s="1" t="str">
        <f aca="false">TRIM(A3349)</f>
        <v>5, 5, MAGIKARP</v>
      </c>
    </row>
    <row r="3350" customFormat="false" ht="12.75" hidden="false" customHeight="true" outlineLevel="0" collapsed="false">
      <c r="A3350" s="1" t="s">
        <v>1267</v>
      </c>
      <c r="B3350" s="1" t="str">
        <f aca="false">TRIM(A3350)</f>
        <v>+5, 5, MAGIKARP</v>
      </c>
    </row>
    <row r="3351" customFormat="false" ht="12.75" hidden="false" customHeight="true" outlineLevel="0" collapsed="false">
      <c r="A3351" s="2"/>
      <c r="B3351" s="1" t="str">
        <f aca="false">TRIM(A3351)</f>
        <v/>
      </c>
    </row>
    <row r="3352" customFormat="false" ht="12.75" hidden="false" customHeight="true" outlineLevel="0" collapsed="false">
      <c r="A3352" s="1" t="s">
        <v>1268</v>
      </c>
      <c r="B3352" s="1" t="str">
        <f aca="false">TRIM(A3352)</f>
        <v># good rod:</v>
      </c>
    </row>
    <row r="3353" customFormat="false" ht="12.75" hidden="false" customHeight="true" outlineLevel="0" collapsed="false">
      <c r="A3353" s="1" t="s">
        <v>1269</v>
      </c>
      <c r="B3353" s="1" t="str">
        <f aca="false">TRIM(A3353)</f>
        <v>+5, 15, KRABBY</v>
      </c>
    </row>
    <row r="3354" customFormat="false" ht="12.75" hidden="false" customHeight="true" outlineLevel="0" collapsed="false">
      <c r="A3354" s="1" t="s">
        <v>1270</v>
      </c>
      <c r="B3354" s="1" t="str">
        <f aca="false">TRIM(A3354)</f>
        <v>+5, 15, MAGIKARP</v>
      </c>
    </row>
    <row r="3355" customFormat="false" ht="12.75" hidden="false" customHeight="true" outlineLevel="0" collapsed="false">
      <c r="A3355" s="1" t="s">
        <v>1269</v>
      </c>
      <c r="B3355" s="1" t="str">
        <f aca="false">TRIM(A3355)</f>
        <v>+5, 15, KRABBY</v>
      </c>
    </row>
    <row r="3356" customFormat="false" ht="12.75" hidden="false" customHeight="true" outlineLevel="0" collapsed="false">
      <c r="A3356" s="2"/>
      <c r="B3356" s="1" t="str">
        <f aca="false">TRIM(A3356)</f>
        <v/>
      </c>
    </row>
    <row r="3357" customFormat="false" ht="12.75" hidden="false" customHeight="true" outlineLevel="0" collapsed="false">
      <c r="A3357" s="1" t="s">
        <v>1272</v>
      </c>
      <c r="B3357" s="1" t="str">
        <f aca="false">TRIM(A3357)</f>
        <v># super rod:</v>
      </c>
    </row>
    <row r="3358" customFormat="false" ht="12.75" hidden="false" customHeight="true" outlineLevel="0" collapsed="false">
      <c r="A3358" s="1" t="s">
        <v>1273</v>
      </c>
      <c r="B3358" s="1" t="str">
        <f aca="false">TRIM(A3358)</f>
        <v>+15, 25, KRABBY</v>
      </c>
    </row>
    <row r="3359" customFormat="false" ht="12.75" hidden="false" customHeight="true" outlineLevel="0" collapsed="false">
      <c r="A3359" s="1" t="s">
        <v>1274</v>
      </c>
      <c r="B3359" s="1" t="str">
        <f aca="false">TRIM(A3359)</f>
        <v>+15, 25, STARYU</v>
      </c>
    </row>
    <row r="3360" customFormat="false" ht="12.75" hidden="false" customHeight="true" outlineLevel="0" collapsed="false">
      <c r="A3360" s="1" t="s">
        <v>1275</v>
      </c>
      <c r="B3360" s="1" t="str">
        <f aca="false">TRIM(A3360)</f>
        <v>+15, 25, GYARADOS</v>
      </c>
    </row>
    <row r="3361" customFormat="false" ht="12.75" hidden="false" customHeight="true" outlineLevel="0" collapsed="false">
      <c r="A3361" s="1" t="s">
        <v>1623</v>
      </c>
      <c r="B3361" s="1" t="str">
        <f aca="false">TRIM(A3361)</f>
        <v>+25, 35, KINGLER</v>
      </c>
    </row>
    <row r="3362" customFormat="false" ht="12.75" hidden="false" customHeight="true" outlineLevel="0" collapsed="false">
      <c r="A3362" s="1" t="s">
        <v>2552</v>
      </c>
      <c r="B3362" s="1" t="str">
        <f aca="false">TRIM(A3362)</f>
        <v>+25, 35, SLOWPOKE</v>
      </c>
    </row>
    <row r="3363" customFormat="false" ht="12.75" hidden="false" customHeight="true" outlineLevel="0" collapsed="false">
      <c r="A3363" s="1" t="s">
        <v>2536</v>
      </c>
      <c r="B3363" s="1" t="str">
        <f aca="false">TRIM(A3363)</f>
        <v>NEW ROUTE</v>
      </c>
    </row>
    <row r="3364" customFormat="false" ht="12.75" hidden="false" customHeight="true" outlineLevel="0" collapsed="false">
      <c r="A3364" s="1" t="s">
        <v>2782</v>
      </c>
      <c r="B3364" s="1" t="str">
        <f aca="false">TRIM(A3364)</f>
        <v>+3, 15, 0, &lt;null&gt;,</v>
      </c>
    </row>
    <row r="3365" customFormat="false" ht="12.75" hidden="false" customHeight="true" outlineLevel="0" collapsed="false">
      <c r="A3365" s="2"/>
      <c r="B3365" s="1" t="str">
        <f aca="false">TRIM(A3365)</f>
        <v/>
      </c>
    </row>
    <row r="3366" customFormat="false" ht="12.75" hidden="false" customHeight="true" outlineLevel="0" collapsed="false">
      <c r="A3366" s="1" t="s">
        <v>2783</v>
      </c>
      <c r="B3366" s="1" t="str">
        <f aca="false">TRIM(A3366)</f>
        <v>2, 5, 15, MARILL</v>
      </c>
    </row>
    <row r="3367" customFormat="false" ht="12.75" hidden="false" customHeight="true" outlineLevel="0" collapsed="false">
      <c r="A3367" s="1" t="s">
        <v>1602</v>
      </c>
      <c r="B3367" s="1" t="str">
        <f aca="false">TRIM(A3367)</f>
        <v>+5, 35, SLOWPOKE</v>
      </c>
    </row>
    <row r="3368" customFormat="false" ht="12.75" hidden="false" customHeight="true" outlineLevel="0" collapsed="false">
      <c r="A3368" s="1" t="s">
        <v>1754</v>
      </c>
      <c r="B3368" s="1" t="str">
        <f aca="false">TRIM(A3368)</f>
        <v>+15, 25, MARILL</v>
      </c>
    </row>
    <row r="3369" customFormat="false" ht="12.75" hidden="false" customHeight="true" outlineLevel="0" collapsed="false">
      <c r="A3369" s="1" t="s">
        <v>1754</v>
      </c>
      <c r="B3369" s="1" t="str">
        <f aca="false">TRIM(A3369)</f>
        <v>+15, 25, MARILL</v>
      </c>
    </row>
    <row r="3370" customFormat="false" ht="12.75" hidden="false" customHeight="true" outlineLevel="0" collapsed="false">
      <c r="A3370" s="1" t="s">
        <v>2784</v>
      </c>
      <c r="B3370" s="1" t="str">
        <f aca="false">TRIM(A3370)</f>
        <v>+15, 25, MARILL</v>
      </c>
    </row>
    <row r="3371" customFormat="false" ht="12.75" hidden="false" customHeight="true" outlineLevel="0" collapsed="false">
      <c r="A3371" s="1" t="s">
        <v>2572</v>
      </c>
      <c r="B3371" s="1" t="str">
        <f aca="false">TRIM(A3371)</f>
        <v>20, # old rod:</v>
      </c>
    </row>
    <row r="3372" customFormat="false" ht="12.75" hidden="false" customHeight="true" outlineLevel="0" collapsed="false">
      <c r="A3372" s="1" t="s">
        <v>1266</v>
      </c>
      <c r="B3372" s="1" t="str">
        <f aca="false">TRIM(A3372)</f>
        <v>5, 5, MAGIKARP</v>
      </c>
    </row>
    <row r="3373" customFormat="false" ht="12.75" hidden="false" customHeight="true" outlineLevel="0" collapsed="false">
      <c r="A3373" s="1" t="s">
        <v>1267</v>
      </c>
      <c r="B3373" s="1" t="str">
        <f aca="false">TRIM(A3373)</f>
        <v>+5, 5, MAGIKARP</v>
      </c>
    </row>
    <row r="3374" customFormat="false" ht="12.75" hidden="false" customHeight="true" outlineLevel="0" collapsed="false">
      <c r="A3374" s="2"/>
      <c r="B3374" s="1" t="str">
        <f aca="false">TRIM(A3374)</f>
        <v/>
      </c>
    </row>
    <row r="3375" customFormat="false" ht="12.75" hidden="false" customHeight="true" outlineLevel="0" collapsed="false">
      <c r="A3375" s="1" t="s">
        <v>1268</v>
      </c>
      <c r="B3375" s="1" t="str">
        <f aca="false">TRIM(A3375)</f>
        <v># good rod:</v>
      </c>
    </row>
    <row r="3376" customFormat="false" ht="12.75" hidden="false" customHeight="true" outlineLevel="0" collapsed="false">
      <c r="A3376" s="1" t="s">
        <v>1586</v>
      </c>
      <c r="B3376" s="1" t="str">
        <f aca="false">TRIM(A3376)</f>
        <v>+5, 15, POLIWAG</v>
      </c>
    </row>
    <row r="3377" customFormat="false" ht="12.75" hidden="false" customHeight="true" outlineLevel="0" collapsed="false">
      <c r="A3377" s="1" t="s">
        <v>1270</v>
      </c>
      <c r="B3377" s="1" t="str">
        <f aca="false">TRIM(A3377)</f>
        <v>+5, 15, MAGIKARP</v>
      </c>
    </row>
    <row r="3378" customFormat="false" ht="12.75" hidden="false" customHeight="true" outlineLevel="0" collapsed="false">
      <c r="A3378" s="1" t="s">
        <v>1585</v>
      </c>
      <c r="B3378" s="1" t="str">
        <f aca="false">TRIM(A3378)</f>
        <v>+5, 15, GOLDEEN</v>
      </c>
    </row>
    <row r="3379" customFormat="false" ht="12.75" hidden="false" customHeight="true" outlineLevel="0" collapsed="false">
      <c r="A3379" s="2"/>
      <c r="B3379" s="1" t="str">
        <f aca="false">TRIM(A3379)</f>
        <v/>
      </c>
    </row>
    <row r="3380" customFormat="false" ht="12.75" hidden="false" customHeight="true" outlineLevel="0" collapsed="false">
      <c r="A3380" s="1" t="s">
        <v>1272</v>
      </c>
      <c r="B3380" s="1" t="str">
        <f aca="false">TRIM(A3380)</f>
        <v># super rod:</v>
      </c>
    </row>
    <row r="3381" customFormat="false" ht="12.75" hidden="false" customHeight="true" outlineLevel="0" collapsed="false">
      <c r="A3381" s="1" t="s">
        <v>1606</v>
      </c>
      <c r="B3381" s="1" t="str">
        <f aca="false">TRIM(A3381)</f>
        <v>+15, 25, POLIWAG</v>
      </c>
    </row>
    <row r="3382" customFormat="false" ht="12.75" hidden="false" customHeight="true" outlineLevel="0" collapsed="false">
      <c r="A3382" s="1" t="s">
        <v>1607</v>
      </c>
      <c r="B3382" s="1" t="str">
        <f aca="false">TRIM(A3382)</f>
        <v>+20, 30, POLIWHIRL</v>
      </c>
    </row>
    <row r="3383" customFormat="false" ht="12.75" hidden="false" customHeight="true" outlineLevel="0" collapsed="false">
      <c r="A3383" s="1" t="s">
        <v>1275</v>
      </c>
      <c r="B3383" s="1" t="str">
        <f aca="false">TRIM(A3383)</f>
        <v>+15, 25, GYARADOS</v>
      </c>
    </row>
    <row r="3384" customFormat="false" ht="12.75" hidden="false" customHeight="true" outlineLevel="0" collapsed="false">
      <c r="A3384" s="1" t="s">
        <v>1589</v>
      </c>
      <c r="B3384" s="1" t="str">
        <f aca="false">TRIM(A3384)</f>
        <v>+15, 25, SLOWPOKE</v>
      </c>
    </row>
    <row r="3385" customFormat="false" ht="12.75" hidden="false" customHeight="true" outlineLevel="0" collapsed="false">
      <c r="A3385" s="1" t="s">
        <v>2552</v>
      </c>
      <c r="B3385" s="1" t="str">
        <f aca="false">TRIM(A3385)</f>
        <v>+25, 35, SLOWPOKE</v>
      </c>
    </row>
    <row r="3386" customFormat="false" ht="12.75" hidden="false" customHeight="true" outlineLevel="0" collapsed="false">
      <c r="A3386" s="1" t="s">
        <v>2536</v>
      </c>
      <c r="B3386" s="1" t="str">
        <f aca="false">TRIM(A3386)</f>
        <v>NEW ROUTE</v>
      </c>
    </row>
    <row r="3387" customFormat="false" ht="12.75" hidden="false" customHeight="true" outlineLevel="0" collapsed="false">
      <c r="A3387" s="1" t="s">
        <v>2785</v>
      </c>
      <c r="B3387" s="1" t="str">
        <f aca="false">TRIM(A3387)</f>
        <v>+3, 16, 0, &lt;null&gt;,</v>
      </c>
    </row>
    <row r="3388" customFormat="false" ht="12.75" hidden="false" customHeight="true" outlineLevel="0" collapsed="false">
      <c r="A3388" s="2"/>
      <c r="B3388" s="1" t="str">
        <f aca="false">TRIM(A3388)</f>
        <v/>
      </c>
    </row>
    <row r="3389" customFormat="false" ht="12.75" hidden="false" customHeight="true" outlineLevel="0" collapsed="false">
      <c r="A3389" s="1" t="s">
        <v>2786</v>
      </c>
      <c r="B3389" s="1" t="str">
        <f aca="false">TRIM(A3389)</f>
        <v>1, 5, 35, TENTACOOL</v>
      </c>
    </row>
    <row r="3390" customFormat="false" ht="12.75" hidden="false" customHeight="true" outlineLevel="0" collapsed="false">
      <c r="A3390" s="1" t="s">
        <v>1711</v>
      </c>
      <c r="B3390" s="1" t="str">
        <f aca="false">TRIM(A3390)</f>
        <v>+5, 15, HOPPIP</v>
      </c>
    </row>
    <row r="3391" customFormat="false" ht="12.75" hidden="false" customHeight="true" outlineLevel="0" collapsed="false">
      <c r="A3391" s="1" t="s">
        <v>1677</v>
      </c>
      <c r="B3391" s="1" t="str">
        <f aca="false">TRIM(A3391)</f>
        <v>+35, 40, TENTACOOL</v>
      </c>
    </row>
    <row r="3392" customFormat="false" ht="12.75" hidden="false" customHeight="true" outlineLevel="0" collapsed="false">
      <c r="A3392" s="1" t="s">
        <v>1678</v>
      </c>
      <c r="B3392" s="1" t="str">
        <f aca="false">TRIM(A3392)</f>
        <v>+35, 40, TENTACRUEL</v>
      </c>
    </row>
    <row r="3393" customFormat="false" ht="12.75" hidden="false" customHeight="true" outlineLevel="0" collapsed="false">
      <c r="A3393" s="1" t="s">
        <v>2675</v>
      </c>
      <c r="B3393" s="1" t="str">
        <f aca="false">TRIM(A3393)</f>
        <v>+35, 40, TENTACRUEL</v>
      </c>
    </row>
    <row r="3394" customFormat="false" ht="12.75" hidden="false" customHeight="true" outlineLevel="0" collapsed="false">
      <c r="A3394" s="1" t="s">
        <v>2551</v>
      </c>
      <c r="B3394" s="1" t="str">
        <f aca="false">TRIM(A3394)</f>
        <v>10, # old rod:</v>
      </c>
    </row>
    <row r="3395" customFormat="false" ht="12.75" hidden="false" customHeight="true" outlineLevel="0" collapsed="false">
      <c r="A3395" s="1" t="s">
        <v>1266</v>
      </c>
      <c r="B3395" s="1" t="str">
        <f aca="false">TRIM(A3395)</f>
        <v>5, 5, MAGIKARP</v>
      </c>
    </row>
    <row r="3396" customFormat="false" ht="12.75" hidden="false" customHeight="true" outlineLevel="0" collapsed="false">
      <c r="A3396" s="1" t="s">
        <v>1267</v>
      </c>
      <c r="B3396" s="1" t="str">
        <f aca="false">TRIM(A3396)</f>
        <v>+5, 5, MAGIKARP</v>
      </c>
    </row>
    <row r="3397" customFormat="false" ht="12.75" hidden="false" customHeight="true" outlineLevel="0" collapsed="false">
      <c r="A3397" s="2"/>
      <c r="B3397" s="1" t="str">
        <f aca="false">TRIM(A3397)</f>
        <v/>
      </c>
    </row>
    <row r="3398" customFormat="false" ht="12.75" hidden="false" customHeight="true" outlineLevel="0" collapsed="false">
      <c r="A3398" s="1" t="s">
        <v>1268</v>
      </c>
      <c r="B3398" s="1" t="str">
        <f aca="false">TRIM(A3398)</f>
        <v># good rod:</v>
      </c>
    </row>
    <row r="3399" customFormat="false" ht="12.75" hidden="false" customHeight="true" outlineLevel="0" collapsed="false">
      <c r="A3399" s="1" t="s">
        <v>1269</v>
      </c>
      <c r="B3399" s="1" t="str">
        <f aca="false">TRIM(A3399)</f>
        <v>+5, 15, KRABBY</v>
      </c>
    </row>
    <row r="3400" customFormat="false" ht="12.75" hidden="false" customHeight="true" outlineLevel="0" collapsed="false">
      <c r="A3400" s="1" t="s">
        <v>1270</v>
      </c>
      <c r="B3400" s="1" t="str">
        <f aca="false">TRIM(A3400)</f>
        <v>+5, 15, MAGIKARP</v>
      </c>
    </row>
    <row r="3401" customFormat="false" ht="12.75" hidden="false" customHeight="true" outlineLevel="0" collapsed="false">
      <c r="A3401" s="1" t="s">
        <v>1269</v>
      </c>
      <c r="B3401" s="1" t="str">
        <f aca="false">TRIM(A3401)</f>
        <v>+5, 15, KRABBY</v>
      </c>
    </row>
    <row r="3402" customFormat="false" ht="12.75" hidden="false" customHeight="true" outlineLevel="0" collapsed="false">
      <c r="A3402" s="2"/>
      <c r="B3402" s="1" t="str">
        <f aca="false">TRIM(A3402)</f>
        <v/>
      </c>
    </row>
    <row r="3403" customFormat="false" ht="12.75" hidden="false" customHeight="true" outlineLevel="0" collapsed="false">
      <c r="A3403" s="1" t="s">
        <v>1272</v>
      </c>
      <c r="B3403" s="1" t="str">
        <f aca="false">TRIM(A3403)</f>
        <v># super rod:</v>
      </c>
    </row>
    <row r="3404" customFormat="false" ht="12.75" hidden="false" customHeight="true" outlineLevel="0" collapsed="false">
      <c r="A3404" s="1" t="s">
        <v>1273</v>
      </c>
      <c r="B3404" s="1" t="str">
        <f aca="false">TRIM(A3404)</f>
        <v>+15, 25, KRABBY</v>
      </c>
    </row>
    <row r="3405" customFormat="false" ht="12.75" hidden="false" customHeight="true" outlineLevel="0" collapsed="false">
      <c r="A3405" s="1" t="s">
        <v>1274</v>
      </c>
      <c r="B3405" s="1" t="str">
        <f aca="false">TRIM(A3405)</f>
        <v>+15, 25, STARYU</v>
      </c>
    </row>
    <row r="3406" customFormat="false" ht="12.75" hidden="false" customHeight="true" outlineLevel="0" collapsed="false">
      <c r="A3406" s="1" t="s">
        <v>1275</v>
      </c>
      <c r="B3406" s="1" t="str">
        <f aca="false">TRIM(A3406)</f>
        <v>+15, 25, GYARADOS</v>
      </c>
    </row>
    <row r="3407" customFormat="false" ht="12.75" hidden="false" customHeight="true" outlineLevel="0" collapsed="false">
      <c r="A3407" s="1" t="s">
        <v>1623</v>
      </c>
      <c r="B3407" s="1" t="str">
        <f aca="false">TRIM(A3407)</f>
        <v>+25, 35, KINGLER</v>
      </c>
    </row>
    <row r="3408" customFormat="false" ht="12.75" hidden="false" customHeight="true" outlineLevel="0" collapsed="false">
      <c r="A3408" s="1" t="s">
        <v>2552</v>
      </c>
      <c r="B3408" s="1" t="str">
        <f aca="false">TRIM(A3408)</f>
        <v>+25, 35, SLOWPOKE</v>
      </c>
    </row>
    <row r="3409" customFormat="false" ht="12.75" hidden="false" customHeight="true" outlineLevel="0" collapsed="false">
      <c r="A3409" s="1" t="s">
        <v>2536</v>
      </c>
      <c r="B3409" s="1" t="str">
        <f aca="false">TRIM(A3409)</f>
        <v>NEW ROUTE</v>
      </c>
    </row>
    <row r="3410" customFormat="false" ht="12.75" hidden="false" customHeight="true" outlineLevel="0" collapsed="false">
      <c r="A3410" s="1" t="s">
        <v>2787</v>
      </c>
      <c r="B3410" s="1" t="str">
        <f aca="false">TRIM(A3410)</f>
        <v>+1, 122, 0,</v>
      </c>
    </row>
    <row r="3411" customFormat="false" ht="12.75" hidden="false" customHeight="true" outlineLevel="0" collapsed="false">
      <c r="A3411" s="1" t="s">
        <v>2541</v>
      </c>
      <c r="B3411" s="1" t="str">
        <f aca="false">TRIM(A3411)</f>
        <v>7, # 20%</v>
      </c>
    </row>
    <row r="3412" customFormat="false" ht="12.75" hidden="false" customHeight="true" outlineLevel="0" collapsed="false">
      <c r="A3412" s="1" t="s">
        <v>2138</v>
      </c>
      <c r="B3412" s="1" t="str">
        <f aca="false">TRIM(A3412)</f>
        <v>10, 10, ZUBAT</v>
      </c>
    </row>
    <row r="3413" customFormat="false" ht="12.75" hidden="false" customHeight="true" outlineLevel="0" collapsed="false">
      <c r="A3413" s="1" t="s">
        <v>2139</v>
      </c>
      <c r="B3413" s="1" t="str">
        <f aca="false">TRIM(A3413)</f>
        <v>+12, 12, ZUBAT</v>
      </c>
    </row>
    <row r="3414" customFormat="false" ht="12.75" hidden="false" customHeight="true" outlineLevel="0" collapsed="false">
      <c r="A3414" s="2"/>
      <c r="B3414" s="1" t="str">
        <f aca="false">TRIM(A3414)</f>
        <v/>
      </c>
    </row>
    <row r="3415" customFormat="false" ht="12.75" hidden="false" customHeight="true" outlineLevel="0" collapsed="false">
      <c r="A3415" s="1" t="s">
        <v>1209</v>
      </c>
      <c r="B3415" s="1" t="str">
        <f aca="false">TRIM(A3415)</f>
        <v># 10%</v>
      </c>
    </row>
    <row r="3416" customFormat="false" ht="12.75" hidden="false" customHeight="true" outlineLevel="0" collapsed="false">
      <c r="A3416" s="1" t="s">
        <v>2140</v>
      </c>
      <c r="B3416" s="1" t="str">
        <f aca="false">TRIM(A3416)</f>
        <v>+8, 8, ZUBAT</v>
      </c>
    </row>
    <row r="3417" customFormat="false" ht="12.75" hidden="false" customHeight="true" outlineLevel="0" collapsed="false">
      <c r="A3417" s="1" t="s">
        <v>2141</v>
      </c>
      <c r="B3417" s="1" t="str">
        <f aca="false">TRIM(A3417)</f>
        <v>+14, 14, ZUBAT</v>
      </c>
    </row>
    <row r="3418" customFormat="false" ht="12.75" hidden="false" customHeight="true" outlineLevel="0" collapsed="false">
      <c r="A3418" s="1" t="s">
        <v>2142</v>
      </c>
      <c r="B3418" s="1" t="str">
        <f aca="false">TRIM(A3418)</f>
        <v>+10, 10, ZUBAT</v>
      </c>
    </row>
    <row r="3419" customFormat="false" ht="12.75" hidden="false" customHeight="true" outlineLevel="0" collapsed="false">
      <c r="A3419" s="1" t="s">
        <v>2139</v>
      </c>
      <c r="B3419" s="1" t="str">
        <f aca="false">TRIM(A3419)</f>
        <v>+12, 12, ZUBAT</v>
      </c>
    </row>
    <row r="3420" customFormat="false" ht="12.75" hidden="false" customHeight="true" outlineLevel="0" collapsed="false">
      <c r="A3420" s="2"/>
      <c r="B3420" s="1" t="str">
        <f aca="false">TRIM(A3420)</f>
        <v/>
      </c>
    </row>
    <row r="3421" customFormat="false" ht="12.75" hidden="false" customHeight="true" outlineLevel="0" collapsed="false">
      <c r="A3421" s="1" t="s">
        <v>1210</v>
      </c>
      <c r="B3421" s="1" t="str">
        <f aca="false">TRIM(A3421)</f>
        <v># 5%</v>
      </c>
    </row>
    <row r="3422" customFormat="false" ht="12.75" hidden="false" customHeight="true" outlineLevel="0" collapsed="false">
      <c r="A3422" s="1" t="s">
        <v>2143</v>
      </c>
      <c r="B3422" s="1" t="str">
        <f aca="false">TRIM(A3422)</f>
        <v>+16, 16, ZUBAT</v>
      </c>
    </row>
    <row r="3423" customFormat="false" ht="12.75" hidden="false" customHeight="true" outlineLevel="0" collapsed="false">
      <c r="A3423" s="1" t="s">
        <v>2144</v>
      </c>
      <c r="B3423" s="1" t="str">
        <f aca="false">TRIM(A3423)</f>
        <v>+6, 6, ZUBAT</v>
      </c>
    </row>
    <row r="3424" customFormat="false" ht="12.75" hidden="false" customHeight="true" outlineLevel="0" collapsed="false">
      <c r="A3424" s="2"/>
      <c r="B3424" s="1" t="str">
        <f aca="false">TRIM(A3424)</f>
        <v/>
      </c>
    </row>
    <row r="3425" customFormat="false" ht="12.75" hidden="false" customHeight="true" outlineLevel="0" collapsed="false">
      <c r="A3425" s="1" t="s">
        <v>1211</v>
      </c>
      <c r="B3425" s="1" t="str">
        <f aca="false">TRIM(A3425)</f>
        <v># 4%</v>
      </c>
    </row>
    <row r="3426" customFormat="false" ht="12.75" hidden="false" customHeight="true" outlineLevel="0" collapsed="false">
      <c r="A3426" s="1" t="s">
        <v>2140</v>
      </c>
      <c r="B3426" s="1" t="str">
        <f aca="false">TRIM(A3426)</f>
        <v>+8, 8, ZUBAT</v>
      </c>
    </row>
    <row r="3427" customFormat="false" ht="12.75" hidden="false" customHeight="true" outlineLevel="0" collapsed="false">
      <c r="A3427" s="1" t="s">
        <v>2141</v>
      </c>
      <c r="B3427" s="1" t="str">
        <f aca="false">TRIM(A3427)</f>
        <v>+14, 14, ZUBAT</v>
      </c>
    </row>
    <row r="3428" customFormat="false" ht="12.75" hidden="false" customHeight="true" outlineLevel="0" collapsed="false">
      <c r="A3428" s="2"/>
      <c r="B3428" s="1" t="str">
        <f aca="false">TRIM(A3428)</f>
        <v/>
      </c>
    </row>
    <row r="3429" customFormat="false" ht="12.75" hidden="false" customHeight="true" outlineLevel="0" collapsed="false">
      <c r="A3429" s="1" t="s">
        <v>1212</v>
      </c>
      <c r="B3429" s="1" t="str">
        <f aca="false">TRIM(A3429)</f>
        <v># 1%</v>
      </c>
    </row>
    <row r="3430" customFormat="false" ht="12.75" hidden="false" customHeight="true" outlineLevel="0" collapsed="false">
      <c r="A3430" s="1" t="s">
        <v>2140</v>
      </c>
      <c r="B3430" s="1" t="str">
        <f aca="false">TRIM(A3430)</f>
        <v>+8, 8, ZUBAT</v>
      </c>
    </row>
    <row r="3431" customFormat="false" ht="12.75" hidden="false" customHeight="true" outlineLevel="0" collapsed="false">
      <c r="A3431" s="1" t="s">
        <v>2788</v>
      </c>
      <c r="B3431" s="1" t="str">
        <f aca="false">TRIM(A3431)</f>
        <v>+14, 14, ZUBAT , &lt;null&gt;, &lt;null&gt;, &lt;null&gt;</v>
      </c>
    </row>
    <row r="3432" customFormat="false" ht="12.75" hidden="false" customHeight="true" outlineLevel="0" collapsed="false">
      <c r="A3432" s="2"/>
      <c r="B3432" s="1" t="str">
        <f aca="false">TRIM(A3432)</f>
        <v/>
      </c>
    </row>
    <row r="3433" customFormat="false" ht="12.75" hidden="false" customHeight="true" outlineLevel="0" collapsed="false">
      <c r="A3433" s="1" t="s">
        <v>2536</v>
      </c>
      <c r="B3433" s="1" t="str">
        <f aca="false">TRIM(A3433)</f>
        <v>NEW ROUTE</v>
      </c>
    </row>
    <row r="3434" customFormat="false" ht="12.75" hidden="false" customHeight="true" outlineLevel="0" collapsed="false">
      <c r="A3434" s="1" t="s">
        <v>2787</v>
      </c>
      <c r="B3434" s="1" t="str">
        <f aca="false">TRIM(A3434)</f>
        <v>+1, 122, 0,</v>
      </c>
    </row>
    <row r="3435" customFormat="false" ht="12.75" hidden="false" customHeight="true" outlineLevel="0" collapsed="false">
      <c r="A3435" s="1" t="s">
        <v>2541</v>
      </c>
      <c r="B3435" s="1" t="str">
        <f aca="false">TRIM(A3435)</f>
        <v>7, # 20%</v>
      </c>
    </row>
    <row r="3436" customFormat="false" ht="12.75" hidden="false" customHeight="true" outlineLevel="0" collapsed="false">
      <c r="A3436" s="1" t="s">
        <v>2146</v>
      </c>
      <c r="B3436" s="1" t="str">
        <f aca="false">TRIM(A3436)</f>
        <v>7, 7, MAREEP</v>
      </c>
    </row>
    <row r="3437" customFormat="false" ht="12.75" hidden="false" customHeight="true" outlineLevel="0" collapsed="false">
      <c r="A3437" s="1" t="s">
        <v>2147</v>
      </c>
      <c r="B3437" s="1" t="str">
        <f aca="false">TRIM(A3437)</f>
        <v>+9, 9, MAREEP</v>
      </c>
    </row>
    <row r="3438" customFormat="false" ht="12.75" hidden="false" customHeight="true" outlineLevel="0" collapsed="false">
      <c r="A3438" s="2"/>
      <c r="B3438" s="1" t="str">
        <f aca="false">TRIM(A3438)</f>
        <v/>
      </c>
    </row>
    <row r="3439" customFormat="false" ht="12.75" hidden="false" customHeight="true" outlineLevel="0" collapsed="false">
      <c r="A3439" s="1" t="s">
        <v>1209</v>
      </c>
      <c r="B3439" s="1" t="str">
        <f aca="false">TRIM(A3439)</f>
        <v># 10%</v>
      </c>
    </row>
    <row r="3440" customFormat="false" ht="12.75" hidden="false" customHeight="true" outlineLevel="0" collapsed="false">
      <c r="A3440" s="1" t="s">
        <v>2148</v>
      </c>
      <c r="B3440" s="1" t="str">
        <f aca="false">TRIM(A3440)</f>
        <v>+5, 5, MAREEP</v>
      </c>
    </row>
    <row r="3441" customFormat="false" ht="12.75" hidden="false" customHeight="true" outlineLevel="0" collapsed="false">
      <c r="A3441" s="1" t="s">
        <v>2149</v>
      </c>
      <c r="B3441" s="1" t="str">
        <f aca="false">TRIM(A3441)</f>
        <v>+11, 11, MAREEP</v>
      </c>
    </row>
    <row r="3442" customFormat="false" ht="12.75" hidden="false" customHeight="true" outlineLevel="0" collapsed="false">
      <c r="A3442" s="1" t="s">
        <v>2150</v>
      </c>
      <c r="B3442" s="1" t="str">
        <f aca="false">TRIM(A3442)</f>
        <v>+7, 7, MAREEP</v>
      </c>
    </row>
    <row r="3443" customFormat="false" ht="12.75" hidden="false" customHeight="true" outlineLevel="0" collapsed="false">
      <c r="A3443" s="1" t="s">
        <v>2147</v>
      </c>
      <c r="B3443" s="1" t="str">
        <f aca="false">TRIM(A3443)</f>
        <v>+9, 9, MAREEP</v>
      </c>
    </row>
    <row r="3444" customFormat="false" ht="12.75" hidden="false" customHeight="true" outlineLevel="0" collapsed="false">
      <c r="A3444" s="2"/>
      <c r="B3444" s="1" t="str">
        <f aca="false">TRIM(A3444)</f>
        <v/>
      </c>
    </row>
    <row r="3445" customFormat="false" ht="12.75" hidden="false" customHeight="true" outlineLevel="0" collapsed="false">
      <c r="A3445" s="1" t="s">
        <v>1210</v>
      </c>
      <c r="B3445" s="1" t="str">
        <f aca="false">TRIM(A3445)</f>
        <v># 5%</v>
      </c>
    </row>
    <row r="3446" customFormat="false" ht="12.75" hidden="false" customHeight="true" outlineLevel="0" collapsed="false">
      <c r="A3446" s="1" t="s">
        <v>2151</v>
      </c>
      <c r="B3446" s="1" t="str">
        <f aca="false">TRIM(A3446)</f>
        <v>+13, 13, MAREEP</v>
      </c>
    </row>
    <row r="3447" customFormat="false" ht="12.75" hidden="false" customHeight="true" outlineLevel="0" collapsed="false">
      <c r="A3447" s="1" t="s">
        <v>2152</v>
      </c>
      <c r="B3447" s="1" t="str">
        <f aca="false">TRIM(A3447)</f>
        <v>+3, 3, MAREEP</v>
      </c>
    </row>
    <row r="3448" customFormat="false" ht="12.75" hidden="false" customHeight="true" outlineLevel="0" collapsed="false">
      <c r="A3448" s="2"/>
      <c r="B3448" s="1" t="str">
        <f aca="false">TRIM(A3448)</f>
        <v/>
      </c>
    </row>
    <row r="3449" customFormat="false" ht="12.75" hidden="false" customHeight="true" outlineLevel="0" collapsed="false">
      <c r="A3449" s="1" t="s">
        <v>1211</v>
      </c>
      <c r="B3449" s="1" t="str">
        <f aca="false">TRIM(A3449)</f>
        <v># 4%</v>
      </c>
    </row>
    <row r="3450" customFormat="false" ht="12.75" hidden="false" customHeight="true" outlineLevel="0" collapsed="false">
      <c r="A3450" s="1" t="s">
        <v>2148</v>
      </c>
      <c r="B3450" s="1" t="str">
        <f aca="false">TRIM(A3450)</f>
        <v>+5, 5, MAREEP</v>
      </c>
    </row>
    <row r="3451" customFormat="false" ht="12.75" hidden="false" customHeight="true" outlineLevel="0" collapsed="false">
      <c r="A3451" s="1" t="s">
        <v>2149</v>
      </c>
      <c r="B3451" s="1" t="str">
        <f aca="false">TRIM(A3451)</f>
        <v>+11, 11, MAREEP</v>
      </c>
    </row>
    <row r="3452" customFormat="false" ht="12.75" hidden="false" customHeight="true" outlineLevel="0" collapsed="false">
      <c r="A3452" s="2"/>
      <c r="B3452" s="1" t="str">
        <f aca="false">TRIM(A3452)</f>
        <v/>
      </c>
    </row>
    <row r="3453" customFormat="false" ht="12.75" hidden="false" customHeight="true" outlineLevel="0" collapsed="false">
      <c r="A3453" s="1" t="s">
        <v>1212</v>
      </c>
      <c r="B3453" s="1" t="str">
        <f aca="false">TRIM(A3453)</f>
        <v># 1%</v>
      </c>
    </row>
    <row r="3454" customFormat="false" ht="12.75" hidden="false" customHeight="true" outlineLevel="0" collapsed="false">
      <c r="A3454" s="1" t="s">
        <v>2148</v>
      </c>
      <c r="B3454" s="1" t="str">
        <f aca="false">TRIM(A3454)</f>
        <v>+5, 5, MAREEP</v>
      </c>
    </row>
    <row r="3455" customFormat="false" ht="12.75" hidden="false" customHeight="true" outlineLevel="0" collapsed="false">
      <c r="A3455" s="1" t="s">
        <v>2789</v>
      </c>
      <c r="B3455" s="1" t="str">
        <f aca="false">TRIM(A3455)</f>
        <v>+11, 11, MAREEP , &lt;null&gt;, &lt;null&gt;, &lt;null&gt;</v>
      </c>
    </row>
    <row r="3456" customFormat="false" ht="12.75" hidden="false" customHeight="true" outlineLevel="0" collapsed="false">
      <c r="A3456" s="2"/>
      <c r="B3456" s="1" t="str">
        <f aca="false">TRIM(A3456)</f>
        <v/>
      </c>
    </row>
    <row r="3457" customFormat="false" ht="12.75" hidden="false" customHeight="true" outlineLevel="0" collapsed="false">
      <c r="A3457" s="1" t="s">
        <v>2536</v>
      </c>
      <c r="B3457" s="1" t="str">
        <f aca="false">TRIM(A3457)</f>
        <v>NEW ROUTE</v>
      </c>
    </row>
    <row r="3458" customFormat="false" ht="12.75" hidden="false" customHeight="true" outlineLevel="0" collapsed="false">
      <c r="A3458" s="1" t="s">
        <v>2787</v>
      </c>
      <c r="B3458" s="1" t="str">
        <f aca="false">TRIM(A3458)</f>
        <v>+1, 122, 0,</v>
      </c>
    </row>
    <row r="3459" customFormat="false" ht="12.75" hidden="false" customHeight="true" outlineLevel="0" collapsed="false">
      <c r="A3459" s="1" t="s">
        <v>2541</v>
      </c>
      <c r="B3459" s="1" t="str">
        <f aca="false">TRIM(A3459)</f>
        <v>7, # 20%</v>
      </c>
    </row>
    <row r="3460" customFormat="false" ht="12.75" hidden="false" customHeight="true" outlineLevel="0" collapsed="false">
      <c r="A3460" s="1" t="s">
        <v>2154</v>
      </c>
      <c r="B3460" s="1" t="str">
        <f aca="false">TRIM(A3460)</f>
        <v>23, 23, PINECO</v>
      </c>
    </row>
    <row r="3461" customFormat="false" ht="12.75" hidden="false" customHeight="true" outlineLevel="0" collapsed="false">
      <c r="A3461" s="1" t="s">
        <v>2155</v>
      </c>
      <c r="B3461" s="1" t="str">
        <f aca="false">TRIM(A3461)</f>
        <v>+25, 25, PINECO</v>
      </c>
    </row>
    <row r="3462" customFormat="false" ht="12.75" hidden="false" customHeight="true" outlineLevel="0" collapsed="false">
      <c r="A3462" s="2"/>
      <c r="B3462" s="1" t="str">
        <f aca="false">TRIM(A3462)</f>
        <v/>
      </c>
    </row>
    <row r="3463" customFormat="false" ht="12.75" hidden="false" customHeight="true" outlineLevel="0" collapsed="false">
      <c r="A3463" s="1" t="s">
        <v>1209</v>
      </c>
      <c r="B3463" s="1" t="str">
        <f aca="false">TRIM(A3463)</f>
        <v># 10%</v>
      </c>
    </row>
    <row r="3464" customFormat="false" ht="12.75" hidden="false" customHeight="true" outlineLevel="0" collapsed="false">
      <c r="A3464" s="1" t="s">
        <v>2156</v>
      </c>
      <c r="B3464" s="1" t="str">
        <f aca="false">TRIM(A3464)</f>
        <v>+22, 22, PINECO</v>
      </c>
    </row>
    <row r="3465" customFormat="false" ht="12.75" hidden="false" customHeight="true" outlineLevel="0" collapsed="false">
      <c r="A3465" s="1" t="s">
        <v>2157</v>
      </c>
      <c r="B3465" s="1" t="str">
        <f aca="false">TRIM(A3465)</f>
        <v>+27, 27, PINECO</v>
      </c>
    </row>
    <row r="3466" customFormat="false" ht="12.75" hidden="false" customHeight="true" outlineLevel="0" collapsed="false">
      <c r="A3466" s="1" t="s">
        <v>2158</v>
      </c>
      <c r="B3466" s="1" t="str">
        <f aca="false">TRIM(A3466)</f>
        <v>+23, 23, PINECO</v>
      </c>
    </row>
    <row r="3467" customFormat="false" ht="12.75" hidden="false" customHeight="true" outlineLevel="0" collapsed="false">
      <c r="A3467" s="1" t="s">
        <v>2155</v>
      </c>
      <c r="B3467" s="1" t="str">
        <f aca="false">TRIM(A3467)</f>
        <v>+25, 25, PINECO</v>
      </c>
    </row>
    <row r="3468" customFormat="false" ht="12.75" hidden="false" customHeight="true" outlineLevel="0" collapsed="false">
      <c r="A3468" s="2"/>
      <c r="B3468" s="1" t="str">
        <f aca="false">TRIM(A3468)</f>
        <v/>
      </c>
    </row>
    <row r="3469" customFormat="false" ht="12.75" hidden="false" customHeight="true" outlineLevel="0" collapsed="false">
      <c r="A3469" s="1" t="s">
        <v>1210</v>
      </c>
      <c r="B3469" s="1" t="str">
        <f aca="false">TRIM(A3469)</f>
        <v># 5%</v>
      </c>
    </row>
    <row r="3470" customFormat="false" ht="12.75" hidden="false" customHeight="true" outlineLevel="0" collapsed="false">
      <c r="A3470" s="1" t="s">
        <v>2159</v>
      </c>
      <c r="B3470" s="1" t="str">
        <f aca="false">TRIM(A3470)</f>
        <v>+29, 29, PINECO</v>
      </c>
    </row>
    <row r="3471" customFormat="false" ht="12.75" hidden="false" customHeight="true" outlineLevel="0" collapsed="false">
      <c r="A3471" s="1" t="s">
        <v>2160</v>
      </c>
      <c r="B3471" s="1" t="str">
        <f aca="false">TRIM(A3471)</f>
        <v>+19, 19, PINECO</v>
      </c>
    </row>
    <row r="3472" customFormat="false" ht="12.75" hidden="false" customHeight="true" outlineLevel="0" collapsed="false">
      <c r="A3472" s="2"/>
      <c r="B3472" s="1" t="str">
        <f aca="false">TRIM(A3472)</f>
        <v/>
      </c>
    </row>
    <row r="3473" customFormat="false" ht="12.75" hidden="false" customHeight="true" outlineLevel="0" collapsed="false">
      <c r="A3473" s="1" t="s">
        <v>1211</v>
      </c>
      <c r="B3473" s="1" t="str">
        <f aca="false">TRIM(A3473)</f>
        <v># 4%</v>
      </c>
    </row>
    <row r="3474" customFormat="false" ht="12.75" hidden="false" customHeight="true" outlineLevel="0" collapsed="false">
      <c r="A3474" s="1" t="s">
        <v>2161</v>
      </c>
      <c r="B3474" s="1" t="str">
        <f aca="false">TRIM(A3474)</f>
        <v>+21, 21, PINECO</v>
      </c>
    </row>
    <row r="3475" customFormat="false" ht="12.75" hidden="false" customHeight="true" outlineLevel="0" collapsed="false">
      <c r="A3475" s="1" t="s">
        <v>2157</v>
      </c>
      <c r="B3475" s="1" t="str">
        <f aca="false">TRIM(A3475)</f>
        <v>+27, 27, PINECO</v>
      </c>
    </row>
    <row r="3476" customFormat="false" ht="12.75" hidden="false" customHeight="true" outlineLevel="0" collapsed="false">
      <c r="A3476" s="2"/>
      <c r="B3476" s="1" t="str">
        <f aca="false">TRIM(A3476)</f>
        <v/>
      </c>
    </row>
    <row r="3477" customFormat="false" ht="12.75" hidden="false" customHeight="true" outlineLevel="0" collapsed="false">
      <c r="A3477" s="1" t="s">
        <v>1212</v>
      </c>
      <c r="B3477" s="1" t="str">
        <f aca="false">TRIM(A3477)</f>
        <v># 1%</v>
      </c>
    </row>
    <row r="3478" customFormat="false" ht="12.75" hidden="false" customHeight="true" outlineLevel="0" collapsed="false">
      <c r="A3478" s="1" t="s">
        <v>2161</v>
      </c>
      <c r="B3478" s="1" t="str">
        <f aca="false">TRIM(A3478)</f>
        <v>+21, 21, PINECO</v>
      </c>
    </row>
    <row r="3479" customFormat="false" ht="12.75" hidden="false" customHeight="true" outlineLevel="0" collapsed="false">
      <c r="A3479" s="1" t="s">
        <v>2790</v>
      </c>
      <c r="B3479" s="1" t="str">
        <f aca="false">TRIM(A3479)</f>
        <v>+27, 27, PINECO , &lt;null&gt;, &lt;null&gt;, &lt;null&gt;</v>
      </c>
    </row>
    <row r="3480" customFormat="false" ht="12.75" hidden="false" customHeight="true" outlineLevel="0" collapsed="false">
      <c r="A3480" s="2"/>
      <c r="B3480" s="1" t="str">
        <f aca="false">TRIM(A3480)</f>
        <v/>
      </c>
    </row>
    <row r="3481" customFormat="false" ht="12.75" hidden="false" customHeight="true" outlineLevel="0" collapsed="false">
      <c r="A3481" s="1" t="s">
        <v>2536</v>
      </c>
      <c r="B3481" s="1" t="str">
        <f aca="false">TRIM(A3481)</f>
        <v>NEW ROUTE</v>
      </c>
    </row>
    <row r="3482" customFormat="false" ht="12.75" hidden="false" customHeight="true" outlineLevel="0" collapsed="false">
      <c r="A3482" s="1" t="s">
        <v>2787</v>
      </c>
      <c r="B3482" s="1" t="str">
        <f aca="false">TRIM(A3482)</f>
        <v>+1, 122, 0,</v>
      </c>
    </row>
    <row r="3483" customFormat="false" ht="12.75" hidden="false" customHeight="true" outlineLevel="0" collapsed="false">
      <c r="A3483" s="1" t="s">
        <v>2541</v>
      </c>
      <c r="B3483" s="1" t="str">
        <f aca="false">TRIM(A3483)</f>
        <v>7, # 20%</v>
      </c>
    </row>
    <row r="3484" customFormat="false" ht="12.75" hidden="false" customHeight="true" outlineLevel="0" collapsed="false">
      <c r="A3484" s="1" t="s">
        <v>2163</v>
      </c>
      <c r="B3484" s="1" t="str">
        <f aca="false">TRIM(A3484)</f>
        <v>16, 16, HOUNDOUR</v>
      </c>
    </row>
    <row r="3485" customFormat="false" ht="12.75" hidden="false" customHeight="true" outlineLevel="0" collapsed="false">
      <c r="A3485" s="1" t="s">
        <v>2164</v>
      </c>
      <c r="B3485" s="1" t="str">
        <f aca="false">TRIM(A3485)</f>
        <v>+18, 18, HOUNDOUR</v>
      </c>
    </row>
    <row r="3486" customFormat="false" ht="12.75" hidden="false" customHeight="true" outlineLevel="0" collapsed="false">
      <c r="A3486" s="2"/>
      <c r="B3486" s="1" t="str">
        <f aca="false">TRIM(A3486)</f>
        <v/>
      </c>
    </row>
    <row r="3487" customFormat="false" ht="12.75" hidden="false" customHeight="true" outlineLevel="0" collapsed="false">
      <c r="A3487" s="1" t="s">
        <v>1209</v>
      </c>
      <c r="B3487" s="1" t="str">
        <f aca="false">TRIM(A3487)</f>
        <v># 10%</v>
      </c>
    </row>
    <row r="3488" customFormat="false" ht="12.75" hidden="false" customHeight="true" outlineLevel="0" collapsed="false">
      <c r="A3488" s="1" t="s">
        <v>2165</v>
      </c>
      <c r="B3488" s="1" t="str">
        <f aca="false">TRIM(A3488)</f>
        <v>+14, 14, HOUNDOUR</v>
      </c>
    </row>
    <row r="3489" customFormat="false" ht="12.75" hidden="false" customHeight="true" outlineLevel="0" collapsed="false">
      <c r="A3489" s="1" t="s">
        <v>2166</v>
      </c>
      <c r="B3489" s="1" t="str">
        <f aca="false">TRIM(A3489)</f>
        <v>+20, 20, HOUNDOUR</v>
      </c>
    </row>
    <row r="3490" customFormat="false" ht="12.75" hidden="false" customHeight="true" outlineLevel="0" collapsed="false">
      <c r="A3490" s="1" t="s">
        <v>2167</v>
      </c>
      <c r="B3490" s="1" t="str">
        <f aca="false">TRIM(A3490)</f>
        <v>+16, 16, HOUNDOUR</v>
      </c>
    </row>
    <row r="3491" customFormat="false" ht="12.75" hidden="false" customHeight="true" outlineLevel="0" collapsed="false">
      <c r="A3491" s="1" t="s">
        <v>2164</v>
      </c>
      <c r="B3491" s="1" t="str">
        <f aca="false">TRIM(A3491)</f>
        <v>+18, 18, HOUNDOUR</v>
      </c>
    </row>
    <row r="3492" customFormat="false" ht="12.75" hidden="false" customHeight="true" outlineLevel="0" collapsed="false">
      <c r="A3492" s="2"/>
      <c r="B3492" s="1" t="str">
        <f aca="false">TRIM(A3492)</f>
        <v/>
      </c>
    </row>
    <row r="3493" customFormat="false" ht="12.75" hidden="false" customHeight="true" outlineLevel="0" collapsed="false">
      <c r="A3493" s="1" t="s">
        <v>1210</v>
      </c>
      <c r="B3493" s="1" t="str">
        <f aca="false">TRIM(A3493)</f>
        <v># 5%</v>
      </c>
    </row>
    <row r="3494" customFormat="false" ht="12.75" hidden="false" customHeight="true" outlineLevel="0" collapsed="false">
      <c r="A3494" s="1" t="s">
        <v>2168</v>
      </c>
      <c r="B3494" s="1" t="str">
        <f aca="false">TRIM(A3494)</f>
        <v>+22, 22, HOUNDOUR</v>
      </c>
    </row>
    <row r="3495" customFormat="false" ht="12.75" hidden="false" customHeight="true" outlineLevel="0" collapsed="false">
      <c r="A3495" s="1" t="s">
        <v>2169</v>
      </c>
      <c r="B3495" s="1" t="str">
        <f aca="false">TRIM(A3495)</f>
        <v>+12, 12, HOUNDOUR</v>
      </c>
    </row>
    <row r="3496" customFormat="false" ht="12.75" hidden="false" customHeight="true" outlineLevel="0" collapsed="false">
      <c r="A3496" s="2"/>
      <c r="B3496" s="1" t="str">
        <f aca="false">TRIM(A3496)</f>
        <v/>
      </c>
    </row>
    <row r="3497" customFormat="false" ht="12.75" hidden="false" customHeight="true" outlineLevel="0" collapsed="false">
      <c r="A3497" s="1" t="s">
        <v>1211</v>
      </c>
      <c r="B3497" s="1" t="str">
        <f aca="false">TRIM(A3497)</f>
        <v># 4%</v>
      </c>
    </row>
    <row r="3498" customFormat="false" ht="12.75" hidden="false" customHeight="true" outlineLevel="0" collapsed="false">
      <c r="A3498" s="1" t="s">
        <v>2165</v>
      </c>
      <c r="B3498" s="1" t="str">
        <f aca="false">TRIM(A3498)</f>
        <v>+14, 14, HOUNDOUR</v>
      </c>
    </row>
    <row r="3499" customFormat="false" ht="12.75" hidden="false" customHeight="true" outlineLevel="0" collapsed="false">
      <c r="A3499" s="1" t="s">
        <v>2166</v>
      </c>
      <c r="B3499" s="1" t="str">
        <f aca="false">TRIM(A3499)</f>
        <v>+20, 20, HOUNDOUR</v>
      </c>
    </row>
    <row r="3500" customFormat="false" ht="12.75" hidden="false" customHeight="true" outlineLevel="0" collapsed="false">
      <c r="A3500" s="2"/>
      <c r="B3500" s="1" t="str">
        <f aca="false">TRIM(A3500)</f>
        <v/>
      </c>
    </row>
    <row r="3501" customFormat="false" ht="12.75" hidden="false" customHeight="true" outlineLevel="0" collapsed="false">
      <c r="A3501" s="1" t="s">
        <v>1212</v>
      </c>
      <c r="B3501" s="1" t="str">
        <f aca="false">TRIM(A3501)</f>
        <v># 1%</v>
      </c>
    </row>
    <row r="3502" customFormat="false" ht="12.75" hidden="false" customHeight="true" outlineLevel="0" collapsed="false">
      <c r="A3502" s="1" t="s">
        <v>2165</v>
      </c>
      <c r="B3502" s="1" t="str">
        <f aca="false">TRIM(A3502)</f>
        <v>+14, 14, HOUNDOUR</v>
      </c>
    </row>
    <row r="3503" customFormat="false" ht="12.75" hidden="false" customHeight="true" outlineLevel="0" collapsed="false">
      <c r="A3503" s="1" t="s">
        <v>2791</v>
      </c>
      <c r="B3503" s="1" t="str">
        <f aca="false">TRIM(A3503)</f>
        <v>+20, 20, HOUNDOUR , &lt;null&gt;, &lt;null&gt;, &lt;null&gt;</v>
      </c>
    </row>
    <row r="3504" customFormat="false" ht="12.75" hidden="false" customHeight="true" outlineLevel="0" collapsed="false">
      <c r="A3504" s="2"/>
      <c r="B3504" s="1" t="str">
        <f aca="false">TRIM(A3504)</f>
        <v/>
      </c>
    </row>
    <row r="3505" customFormat="false" ht="12.75" hidden="false" customHeight="true" outlineLevel="0" collapsed="false">
      <c r="A3505" s="1" t="s">
        <v>2536</v>
      </c>
      <c r="B3505" s="1" t="str">
        <f aca="false">TRIM(A3505)</f>
        <v>NEW ROUTE</v>
      </c>
    </row>
    <row r="3506" customFormat="false" ht="12.75" hidden="false" customHeight="true" outlineLevel="0" collapsed="false">
      <c r="A3506" s="1" t="s">
        <v>2787</v>
      </c>
      <c r="B3506" s="1" t="str">
        <f aca="false">TRIM(A3506)</f>
        <v>+1, 122, 0,</v>
      </c>
    </row>
    <row r="3507" customFormat="false" ht="12.75" hidden="false" customHeight="true" outlineLevel="0" collapsed="false">
      <c r="A3507" s="1" t="s">
        <v>2541</v>
      </c>
      <c r="B3507" s="1" t="str">
        <f aca="false">TRIM(A3507)</f>
        <v>7, # 20%</v>
      </c>
    </row>
    <row r="3508" customFormat="false" ht="12.75" hidden="false" customHeight="true" outlineLevel="0" collapsed="false">
      <c r="A3508" s="1" t="s">
        <v>2171</v>
      </c>
      <c r="B3508" s="1" t="str">
        <f aca="false">TRIM(A3508)</f>
        <v>22, 22, TEDDIURSA</v>
      </c>
    </row>
    <row r="3509" customFormat="false" ht="12.75" hidden="false" customHeight="true" outlineLevel="0" collapsed="false">
      <c r="A3509" s="1" t="s">
        <v>2172</v>
      </c>
      <c r="B3509" s="1" t="str">
        <f aca="false">TRIM(A3509)</f>
        <v>+24, 24, TEDDIURSA</v>
      </c>
    </row>
    <row r="3510" customFormat="false" ht="12.75" hidden="false" customHeight="true" outlineLevel="0" collapsed="false">
      <c r="A3510" s="2"/>
      <c r="B3510" s="1" t="str">
        <f aca="false">TRIM(A3510)</f>
        <v/>
      </c>
    </row>
    <row r="3511" customFormat="false" ht="12.75" hidden="false" customHeight="true" outlineLevel="0" collapsed="false">
      <c r="A3511" s="1" t="s">
        <v>1209</v>
      </c>
      <c r="B3511" s="1" t="str">
        <f aca="false">TRIM(A3511)</f>
        <v># 10%</v>
      </c>
    </row>
    <row r="3512" customFormat="false" ht="12.75" hidden="false" customHeight="true" outlineLevel="0" collapsed="false">
      <c r="A3512" s="1" t="s">
        <v>2173</v>
      </c>
      <c r="B3512" s="1" t="str">
        <f aca="false">TRIM(A3512)</f>
        <v>+20, 20, TEDDIURSA</v>
      </c>
    </row>
    <row r="3513" customFormat="false" ht="12.75" hidden="false" customHeight="true" outlineLevel="0" collapsed="false">
      <c r="A3513" s="1" t="s">
        <v>2174</v>
      </c>
      <c r="B3513" s="1" t="str">
        <f aca="false">TRIM(A3513)</f>
        <v>+26, 26, TEDDIURSA</v>
      </c>
    </row>
    <row r="3514" customFormat="false" ht="12.75" hidden="false" customHeight="true" outlineLevel="0" collapsed="false">
      <c r="A3514" s="1" t="s">
        <v>2175</v>
      </c>
      <c r="B3514" s="1" t="str">
        <f aca="false">TRIM(A3514)</f>
        <v>+22, 22, TEDDIURSA</v>
      </c>
    </row>
    <row r="3515" customFormat="false" ht="12.75" hidden="false" customHeight="true" outlineLevel="0" collapsed="false">
      <c r="A3515" s="1" t="s">
        <v>2172</v>
      </c>
      <c r="B3515" s="1" t="str">
        <f aca="false">TRIM(A3515)</f>
        <v>+24, 24, TEDDIURSA</v>
      </c>
    </row>
    <row r="3516" customFormat="false" ht="12.75" hidden="false" customHeight="true" outlineLevel="0" collapsed="false">
      <c r="A3516" s="2"/>
      <c r="B3516" s="1" t="str">
        <f aca="false">TRIM(A3516)</f>
        <v/>
      </c>
    </row>
    <row r="3517" customFormat="false" ht="12.75" hidden="false" customHeight="true" outlineLevel="0" collapsed="false">
      <c r="A3517" s="1" t="s">
        <v>1210</v>
      </c>
      <c r="B3517" s="1" t="str">
        <f aca="false">TRIM(A3517)</f>
        <v># 5%</v>
      </c>
    </row>
    <row r="3518" customFormat="false" ht="12.75" hidden="false" customHeight="true" outlineLevel="0" collapsed="false">
      <c r="A3518" s="1" t="s">
        <v>2176</v>
      </c>
      <c r="B3518" s="1" t="str">
        <f aca="false">TRIM(A3518)</f>
        <v>+28, 28, TEDDIURSA</v>
      </c>
    </row>
    <row r="3519" customFormat="false" ht="12.75" hidden="false" customHeight="true" outlineLevel="0" collapsed="false">
      <c r="A3519" s="1" t="s">
        <v>2177</v>
      </c>
      <c r="B3519" s="1" t="str">
        <f aca="false">TRIM(A3519)</f>
        <v>+18, 18, TEDDIURSA</v>
      </c>
    </row>
    <row r="3520" customFormat="false" ht="12.75" hidden="false" customHeight="true" outlineLevel="0" collapsed="false">
      <c r="A3520" s="2"/>
      <c r="B3520" s="1" t="str">
        <f aca="false">TRIM(A3520)</f>
        <v/>
      </c>
    </row>
    <row r="3521" customFormat="false" ht="12.75" hidden="false" customHeight="true" outlineLevel="0" collapsed="false">
      <c r="A3521" s="1" t="s">
        <v>1211</v>
      </c>
      <c r="B3521" s="1" t="str">
        <f aca="false">TRIM(A3521)</f>
        <v># 4%</v>
      </c>
    </row>
    <row r="3522" customFormat="false" ht="12.75" hidden="false" customHeight="true" outlineLevel="0" collapsed="false">
      <c r="A3522" s="1" t="s">
        <v>2173</v>
      </c>
      <c r="B3522" s="1" t="str">
        <f aca="false">TRIM(A3522)</f>
        <v>+20, 20, TEDDIURSA</v>
      </c>
    </row>
    <row r="3523" customFormat="false" ht="12.75" hidden="false" customHeight="true" outlineLevel="0" collapsed="false">
      <c r="A3523" s="1" t="s">
        <v>2174</v>
      </c>
      <c r="B3523" s="1" t="str">
        <f aca="false">TRIM(A3523)</f>
        <v>+26, 26, TEDDIURSA</v>
      </c>
    </row>
    <row r="3524" customFormat="false" ht="12.75" hidden="false" customHeight="true" outlineLevel="0" collapsed="false">
      <c r="A3524" s="2"/>
      <c r="B3524" s="1" t="str">
        <f aca="false">TRIM(A3524)</f>
        <v/>
      </c>
    </row>
    <row r="3525" customFormat="false" ht="12.75" hidden="false" customHeight="true" outlineLevel="0" collapsed="false">
      <c r="A3525" s="1" t="s">
        <v>1212</v>
      </c>
      <c r="B3525" s="1" t="str">
        <f aca="false">TRIM(A3525)</f>
        <v># 1%</v>
      </c>
    </row>
    <row r="3526" customFormat="false" ht="12.75" hidden="false" customHeight="true" outlineLevel="0" collapsed="false">
      <c r="A3526" s="1" t="s">
        <v>2173</v>
      </c>
      <c r="B3526" s="1" t="str">
        <f aca="false">TRIM(A3526)</f>
        <v>+20, 20, TEDDIURSA</v>
      </c>
    </row>
    <row r="3527" customFormat="false" ht="12.75" hidden="false" customHeight="true" outlineLevel="0" collapsed="false">
      <c r="A3527" s="1" t="s">
        <v>2792</v>
      </c>
      <c r="B3527" s="1" t="str">
        <f aca="false">TRIM(A3527)</f>
        <v>+26, 26, TEDDIURSA , &lt;null&gt;, &lt;null&gt;, &lt;null&gt;</v>
      </c>
    </row>
    <row r="3528" customFormat="false" ht="12.75" hidden="false" customHeight="true" outlineLevel="0" collapsed="false">
      <c r="A3528" s="2"/>
      <c r="B3528" s="1" t="str">
        <f aca="false">TRIM(A3528)</f>
        <v/>
      </c>
    </row>
    <row r="3529" customFormat="false" ht="12.75" hidden="false" customHeight="true" outlineLevel="0" collapsed="false">
      <c r="A3529" s="1" t="s">
        <v>2536</v>
      </c>
      <c r="B3529" s="1" t="str">
        <f aca="false">TRIM(A3529)</f>
        <v>NEW ROUTE</v>
      </c>
    </row>
    <row r="3530" customFormat="false" ht="12.75" hidden="false" customHeight="true" outlineLevel="0" collapsed="false">
      <c r="A3530" s="1" t="s">
        <v>2787</v>
      </c>
      <c r="B3530" s="1" t="str">
        <f aca="false">TRIM(A3530)</f>
        <v>+1, 122, 0,</v>
      </c>
    </row>
    <row r="3531" customFormat="false" ht="12.75" hidden="false" customHeight="true" outlineLevel="0" collapsed="false">
      <c r="A3531" s="1" t="s">
        <v>2541</v>
      </c>
      <c r="B3531" s="1" t="str">
        <f aca="false">TRIM(A3531)</f>
        <v>7, # 20%</v>
      </c>
    </row>
    <row r="3532" customFormat="false" ht="12.75" hidden="false" customHeight="true" outlineLevel="0" collapsed="false">
      <c r="A3532" s="1" t="s">
        <v>2179</v>
      </c>
      <c r="B3532" s="1" t="str">
        <f aca="false">TRIM(A3532)</f>
        <v>22, 22, AIPOM</v>
      </c>
    </row>
    <row r="3533" customFormat="false" ht="12.75" hidden="false" customHeight="true" outlineLevel="0" collapsed="false">
      <c r="A3533" s="1" t="s">
        <v>2180</v>
      </c>
      <c r="B3533" s="1" t="str">
        <f aca="false">TRIM(A3533)</f>
        <v>+24, 24, AIPOM</v>
      </c>
    </row>
    <row r="3534" customFormat="false" ht="12.75" hidden="false" customHeight="true" outlineLevel="0" collapsed="false">
      <c r="A3534" s="2"/>
      <c r="B3534" s="1" t="str">
        <f aca="false">TRIM(A3534)</f>
        <v/>
      </c>
    </row>
    <row r="3535" customFormat="false" ht="12.75" hidden="false" customHeight="true" outlineLevel="0" collapsed="false">
      <c r="A3535" s="1" t="s">
        <v>1209</v>
      </c>
      <c r="B3535" s="1" t="str">
        <f aca="false">TRIM(A3535)</f>
        <v># 10%</v>
      </c>
    </row>
    <row r="3536" customFormat="false" ht="12.75" hidden="false" customHeight="true" outlineLevel="0" collapsed="false">
      <c r="A3536" s="1" t="s">
        <v>2181</v>
      </c>
      <c r="B3536" s="1" t="str">
        <f aca="false">TRIM(A3536)</f>
        <v>+20, 20, AIPOM</v>
      </c>
    </row>
    <row r="3537" customFormat="false" ht="12.75" hidden="false" customHeight="true" outlineLevel="0" collapsed="false">
      <c r="A3537" s="1" t="s">
        <v>2182</v>
      </c>
      <c r="B3537" s="1" t="str">
        <f aca="false">TRIM(A3537)</f>
        <v>+26, 26, AIPOM</v>
      </c>
    </row>
    <row r="3538" customFormat="false" ht="12.75" hidden="false" customHeight="true" outlineLevel="0" collapsed="false">
      <c r="A3538" s="1" t="s">
        <v>2183</v>
      </c>
      <c r="B3538" s="1" t="str">
        <f aca="false">TRIM(A3538)</f>
        <v>+22, 22, AIPOM</v>
      </c>
    </row>
    <row r="3539" customFormat="false" ht="12.75" hidden="false" customHeight="true" outlineLevel="0" collapsed="false">
      <c r="A3539" s="1" t="s">
        <v>2180</v>
      </c>
      <c r="B3539" s="1" t="str">
        <f aca="false">TRIM(A3539)</f>
        <v>+24, 24, AIPOM</v>
      </c>
    </row>
    <row r="3540" customFormat="false" ht="12.75" hidden="false" customHeight="true" outlineLevel="0" collapsed="false">
      <c r="A3540" s="2"/>
      <c r="B3540" s="1" t="str">
        <f aca="false">TRIM(A3540)</f>
        <v/>
      </c>
    </row>
    <row r="3541" customFormat="false" ht="12.75" hidden="false" customHeight="true" outlineLevel="0" collapsed="false">
      <c r="A3541" s="1" t="s">
        <v>1210</v>
      </c>
      <c r="B3541" s="1" t="str">
        <f aca="false">TRIM(A3541)</f>
        <v># 5%</v>
      </c>
    </row>
    <row r="3542" customFormat="false" ht="12.75" hidden="false" customHeight="true" outlineLevel="0" collapsed="false">
      <c r="A3542" s="1" t="s">
        <v>2184</v>
      </c>
      <c r="B3542" s="1" t="str">
        <f aca="false">TRIM(A3542)</f>
        <v>+28, 28, AIPOM</v>
      </c>
    </row>
    <row r="3543" customFormat="false" ht="12.75" hidden="false" customHeight="true" outlineLevel="0" collapsed="false">
      <c r="A3543" s="1" t="s">
        <v>2185</v>
      </c>
      <c r="B3543" s="1" t="str">
        <f aca="false">TRIM(A3543)</f>
        <v>+18, 18, AIPOM</v>
      </c>
    </row>
    <row r="3544" customFormat="false" ht="12.75" hidden="false" customHeight="true" outlineLevel="0" collapsed="false">
      <c r="A3544" s="2"/>
      <c r="B3544" s="1" t="str">
        <f aca="false">TRIM(A3544)</f>
        <v/>
      </c>
    </row>
    <row r="3545" customFormat="false" ht="12.75" hidden="false" customHeight="true" outlineLevel="0" collapsed="false">
      <c r="A3545" s="1" t="s">
        <v>1211</v>
      </c>
      <c r="B3545" s="1" t="str">
        <f aca="false">TRIM(A3545)</f>
        <v># 4%</v>
      </c>
    </row>
    <row r="3546" customFormat="false" ht="12.75" hidden="false" customHeight="true" outlineLevel="0" collapsed="false">
      <c r="A3546" s="1" t="s">
        <v>2181</v>
      </c>
      <c r="B3546" s="1" t="str">
        <f aca="false">TRIM(A3546)</f>
        <v>+20, 20, AIPOM</v>
      </c>
    </row>
    <row r="3547" customFormat="false" ht="12.75" hidden="false" customHeight="true" outlineLevel="0" collapsed="false">
      <c r="A3547" s="1" t="s">
        <v>2182</v>
      </c>
      <c r="B3547" s="1" t="str">
        <f aca="false">TRIM(A3547)</f>
        <v>+26, 26, AIPOM</v>
      </c>
    </row>
    <row r="3548" customFormat="false" ht="12.75" hidden="false" customHeight="true" outlineLevel="0" collapsed="false">
      <c r="A3548" s="2"/>
      <c r="B3548" s="1" t="str">
        <f aca="false">TRIM(A3548)</f>
        <v/>
      </c>
    </row>
    <row r="3549" customFormat="false" ht="12.75" hidden="false" customHeight="true" outlineLevel="0" collapsed="false">
      <c r="A3549" s="1" t="s">
        <v>1212</v>
      </c>
      <c r="B3549" s="1" t="str">
        <f aca="false">TRIM(A3549)</f>
        <v># 1%</v>
      </c>
    </row>
    <row r="3550" customFormat="false" ht="12.75" hidden="false" customHeight="true" outlineLevel="0" collapsed="false">
      <c r="A3550" s="1" t="s">
        <v>2181</v>
      </c>
      <c r="B3550" s="1" t="str">
        <f aca="false">TRIM(A3550)</f>
        <v>+20, 20, AIPOM</v>
      </c>
    </row>
    <row r="3551" customFormat="false" ht="12.75" hidden="false" customHeight="true" outlineLevel="0" collapsed="false">
      <c r="A3551" s="1" t="s">
        <v>2793</v>
      </c>
      <c r="B3551" s="1" t="str">
        <f aca="false">TRIM(A3551)</f>
        <v>+26, 26, AIPOM , &lt;null&gt;, &lt;null&gt;, &lt;null&gt;</v>
      </c>
    </row>
    <row r="3552" customFormat="false" ht="12.75" hidden="false" customHeight="true" outlineLevel="0" collapsed="false">
      <c r="A3552" s="2"/>
      <c r="B3552" s="1" t="str">
        <f aca="false">TRIM(A3552)</f>
        <v/>
      </c>
    </row>
    <row r="3553" customFormat="false" ht="12.75" hidden="false" customHeight="true" outlineLevel="0" collapsed="false">
      <c r="A3553" s="1" t="s">
        <v>2536</v>
      </c>
      <c r="B3553" s="1" t="str">
        <f aca="false">TRIM(A3553)</f>
        <v>NEW ROUTE</v>
      </c>
    </row>
    <row r="3554" customFormat="false" ht="12.75" hidden="false" customHeight="true" outlineLevel="0" collapsed="false">
      <c r="A3554" s="1" t="s">
        <v>2787</v>
      </c>
      <c r="B3554" s="1" t="str">
        <f aca="false">TRIM(A3554)</f>
        <v>+1, 122, 0,</v>
      </c>
    </row>
    <row r="3555" customFormat="false" ht="12.75" hidden="false" customHeight="true" outlineLevel="0" collapsed="false">
      <c r="A3555" s="1" t="s">
        <v>2541</v>
      </c>
      <c r="B3555" s="1" t="str">
        <f aca="false">TRIM(A3555)</f>
        <v>7, # 20%</v>
      </c>
    </row>
    <row r="3556" customFormat="false" ht="12.75" hidden="false" customHeight="true" outlineLevel="0" collapsed="false">
      <c r="A3556" s="1" t="s">
        <v>2187</v>
      </c>
      <c r="B3556" s="1" t="str">
        <f aca="false">TRIM(A3556)</f>
        <v>22, 22, SHUCKLE</v>
      </c>
    </row>
    <row r="3557" customFormat="false" ht="12.75" hidden="false" customHeight="true" outlineLevel="0" collapsed="false">
      <c r="A3557" s="1" t="s">
        <v>2188</v>
      </c>
      <c r="B3557" s="1" t="str">
        <f aca="false">TRIM(A3557)</f>
        <v>+24, 24, SHUCKLE</v>
      </c>
    </row>
    <row r="3558" customFormat="false" ht="12.75" hidden="false" customHeight="true" outlineLevel="0" collapsed="false">
      <c r="A3558" s="2"/>
      <c r="B3558" s="1" t="str">
        <f aca="false">TRIM(A3558)</f>
        <v/>
      </c>
    </row>
    <row r="3559" customFormat="false" ht="12.75" hidden="false" customHeight="true" outlineLevel="0" collapsed="false">
      <c r="A3559" s="1" t="s">
        <v>1209</v>
      </c>
      <c r="B3559" s="1" t="str">
        <f aca="false">TRIM(A3559)</f>
        <v># 10%</v>
      </c>
    </row>
    <row r="3560" customFormat="false" ht="12.75" hidden="false" customHeight="true" outlineLevel="0" collapsed="false">
      <c r="A3560" s="1" t="s">
        <v>2189</v>
      </c>
      <c r="B3560" s="1" t="str">
        <f aca="false">TRIM(A3560)</f>
        <v>+20, 20, SHUCKLE</v>
      </c>
    </row>
    <row r="3561" customFormat="false" ht="12.75" hidden="false" customHeight="true" outlineLevel="0" collapsed="false">
      <c r="A3561" s="1" t="s">
        <v>2190</v>
      </c>
      <c r="B3561" s="1" t="str">
        <f aca="false">TRIM(A3561)</f>
        <v>+26, 26, SHUCKLE</v>
      </c>
    </row>
    <row r="3562" customFormat="false" ht="12.75" hidden="false" customHeight="true" outlineLevel="0" collapsed="false">
      <c r="A3562" s="1" t="s">
        <v>2191</v>
      </c>
      <c r="B3562" s="1" t="str">
        <f aca="false">TRIM(A3562)</f>
        <v>+22, 22, SHUCKLE</v>
      </c>
    </row>
    <row r="3563" customFormat="false" ht="12.75" hidden="false" customHeight="true" outlineLevel="0" collapsed="false">
      <c r="A3563" s="1" t="s">
        <v>2188</v>
      </c>
      <c r="B3563" s="1" t="str">
        <f aca="false">TRIM(A3563)</f>
        <v>+24, 24, SHUCKLE</v>
      </c>
    </row>
    <row r="3564" customFormat="false" ht="12.75" hidden="false" customHeight="true" outlineLevel="0" collapsed="false">
      <c r="A3564" s="2"/>
      <c r="B3564" s="1" t="str">
        <f aca="false">TRIM(A3564)</f>
        <v/>
      </c>
    </row>
    <row r="3565" customFormat="false" ht="12.75" hidden="false" customHeight="true" outlineLevel="0" collapsed="false">
      <c r="A3565" s="1" t="s">
        <v>1210</v>
      </c>
      <c r="B3565" s="1" t="str">
        <f aca="false">TRIM(A3565)</f>
        <v># 5%</v>
      </c>
    </row>
    <row r="3566" customFormat="false" ht="12.75" hidden="false" customHeight="true" outlineLevel="0" collapsed="false">
      <c r="A3566" s="1" t="s">
        <v>2192</v>
      </c>
      <c r="B3566" s="1" t="str">
        <f aca="false">TRIM(A3566)</f>
        <v>+28, 28, SHUCKLE</v>
      </c>
    </row>
    <row r="3567" customFormat="false" ht="12.75" hidden="false" customHeight="true" outlineLevel="0" collapsed="false">
      <c r="A3567" s="1" t="s">
        <v>2193</v>
      </c>
      <c r="B3567" s="1" t="str">
        <f aca="false">TRIM(A3567)</f>
        <v>+18, 18, SHUCKLE</v>
      </c>
    </row>
    <row r="3568" customFormat="false" ht="12.75" hidden="false" customHeight="true" outlineLevel="0" collapsed="false">
      <c r="A3568" s="2"/>
      <c r="B3568" s="1" t="str">
        <f aca="false">TRIM(A3568)</f>
        <v/>
      </c>
    </row>
    <row r="3569" customFormat="false" ht="12.75" hidden="false" customHeight="true" outlineLevel="0" collapsed="false">
      <c r="A3569" s="1" t="s">
        <v>1211</v>
      </c>
      <c r="B3569" s="1" t="str">
        <f aca="false">TRIM(A3569)</f>
        <v># 4%</v>
      </c>
    </row>
    <row r="3570" customFormat="false" ht="12.75" hidden="false" customHeight="true" outlineLevel="0" collapsed="false">
      <c r="A3570" s="1" t="s">
        <v>2189</v>
      </c>
      <c r="B3570" s="1" t="str">
        <f aca="false">TRIM(A3570)</f>
        <v>+20, 20, SHUCKLE</v>
      </c>
    </row>
    <row r="3571" customFormat="false" ht="12.75" hidden="false" customHeight="true" outlineLevel="0" collapsed="false">
      <c r="A3571" s="1" t="s">
        <v>2190</v>
      </c>
      <c r="B3571" s="1" t="str">
        <f aca="false">TRIM(A3571)</f>
        <v>+26, 26, SHUCKLE</v>
      </c>
    </row>
    <row r="3572" customFormat="false" ht="12.75" hidden="false" customHeight="true" outlineLevel="0" collapsed="false">
      <c r="A3572" s="2"/>
      <c r="B3572" s="1" t="str">
        <f aca="false">TRIM(A3572)</f>
        <v/>
      </c>
    </row>
    <row r="3573" customFormat="false" ht="12.75" hidden="false" customHeight="true" outlineLevel="0" collapsed="false">
      <c r="A3573" s="1" t="s">
        <v>1212</v>
      </c>
      <c r="B3573" s="1" t="str">
        <f aca="false">TRIM(A3573)</f>
        <v># 1%</v>
      </c>
    </row>
    <row r="3574" customFormat="false" ht="12.75" hidden="false" customHeight="true" outlineLevel="0" collapsed="false">
      <c r="A3574" s="1" t="s">
        <v>2189</v>
      </c>
      <c r="B3574" s="1" t="str">
        <f aca="false">TRIM(A3574)</f>
        <v>+20, 20, SHUCKLE</v>
      </c>
    </row>
    <row r="3575" customFormat="false" ht="12.75" hidden="false" customHeight="true" outlineLevel="0" collapsed="false">
      <c r="A3575" s="1" t="s">
        <v>2794</v>
      </c>
      <c r="B3575" s="1" t="str">
        <f aca="false">TRIM(A3575)</f>
        <v>+26, 26, SHUCKLE , &lt;null&gt;, &lt;null&gt;, &lt;null&gt;</v>
      </c>
    </row>
    <row r="3576" customFormat="false" ht="12.75" hidden="false" customHeight="true" outlineLevel="0" collapsed="false">
      <c r="B3576" s="1" t="str">
        <f aca="false">TRIM(A3576)</f>
        <v/>
      </c>
    </row>
    <row r="3577" customFormat="false" ht="12.75" hidden="false" customHeight="true" outlineLevel="0" collapsed="false">
      <c r="A3577" s="1" t="s">
        <v>2536</v>
      </c>
      <c r="B3577" s="1" t="str">
        <f aca="false">TRIM(A3577)</f>
        <v>NEW ROUTE</v>
      </c>
    </row>
    <row r="3578" customFormat="false" ht="12.75" hidden="false" customHeight="true" outlineLevel="0" collapsed="false">
      <c r="A3578" s="1" t="s">
        <v>2787</v>
      </c>
      <c r="B3578" s="1" t="str">
        <f aca="false">TRIM(A3578)</f>
        <v>+1, 122, 0,</v>
      </c>
    </row>
    <row r="3579" customFormat="false" ht="12.75" hidden="false" customHeight="true" outlineLevel="0" collapsed="false">
      <c r="A3579" s="1" t="s">
        <v>2541</v>
      </c>
      <c r="B3579" s="1" t="str">
        <f aca="false">TRIM(A3579)</f>
        <v>7, # 20%</v>
      </c>
    </row>
    <row r="3580" customFormat="false" ht="12.75" hidden="false" customHeight="true" outlineLevel="0" collapsed="false">
      <c r="A3580" s="1" t="s">
        <v>2195</v>
      </c>
      <c r="B3580" s="1" t="str">
        <f aca="false">TRIM(A3580)</f>
        <v>22, 22, STANTLER</v>
      </c>
    </row>
    <row r="3581" customFormat="false" ht="12.75" hidden="false" customHeight="true" outlineLevel="0" collapsed="false">
      <c r="A3581" s="1" t="s">
        <v>2196</v>
      </c>
      <c r="B3581" s="1" t="str">
        <f aca="false">TRIM(A3581)</f>
        <v>+24, 24, STANTLER</v>
      </c>
    </row>
    <row r="3582" customFormat="false" ht="12.75" hidden="false" customHeight="true" outlineLevel="0" collapsed="false">
      <c r="A3582" s="2"/>
      <c r="B3582" s="1" t="str">
        <f aca="false">TRIM(A3582)</f>
        <v/>
      </c>
    </row>
    <row r="3583" customFormat="false" ht="12.75" hidden="false" customHeight="true" outlineLevel="0" collapsed="false">
      <c r="A3583" s="1" t="s">
        <v>1209</v>
      </c>
      <c r="B3583" s="1" t="str">
        <f aca="false">TRIM(A3583)</f>
        <v># 10%</v>
      </c>
    </row>
    <row r="3584" customFormat="false" ht="12.75" hidden="false" customHeight="true" outlineLevel="0" collapsed="false">
      <c r="A3584" s="1" t="s">
        <v>2197</v>
      </c>
      <c r="B3584" s="1" t="str">
        <f aca="false">TRIM(A3584)</f>
        <v>+20, 20, STANTLER</v>
      </c>
    </row>
    <row r="3585" customFormat="false" ht="12.75" hidden="false" customHeight="true" outlineLevel="0" collapsed="false">
      <c r="A3585" s="1" t="s">
        <v>2198</v>
      </c>
      <c r="B3585" s="1" t="str">
        <f aca="false">TRIM(A3585)</f>
        <v>+26, 26, STANTLER</v>
      </c>
    </row>
    <row r="3586" customFormat="false" ht="12.75" hidden="false" customHeight="true" outlineLevel="0" collapsed="false">
      <c r="A3586" s="1" t="s">
        <v>2199</v>
      </c>
      <c r="B3586" s="1" t="str">
        <f aca="false">TRIM(A3586)</f>
        <v>+22, 22, STANTLER</v>
      </c>
    </row>
    <row r="3587" customFormat="false" ht="12.75" hidden="false" customHeight="true" outlineLevel="0" collapsed="false">
      <c r="A3587" s="1" t="s">
        <v>2196</v>
      </c>
      <c r="B3587" s="1" t="str">
        <f aca="false">TRIM(A3587)</f>
        <v>+24, 24, STANTLER</v>
      </c>
    </row>
    <row r="3588" customFormat="false" ht="12.75" hidden="false" customHeight="true" outlineLevel="0" collapsed="false">
      <c r="A3588" s="2"/>
      <c r="B3588" s="1" t="str">
        <f aca="false">TRIM(A3588)</f>
        <v/>
      </c>
    </row>
    <row r="3589" customFormat="false" ht="12.75" hidden="false" customHeight="true" outlineLevel="0" collapsed="false">
      <c r="A3589" s="1" t="s">
        <v>1210</v>
      </c>
      <c r="B3589" s="1" t="str">
        <f aca="false">TRIM(A3589)</f>
        <v># 5%</v>
      </c>
    </row>
    <row r="3590" customFormat="false" ht="12.75" hidden="false" customHeight="true" outlineLevel="0" collapsed="false">
      <c r="A3590" s="1" t="s">
        <v>2200</v>
      </c>
      <c r="B3590" s="1" t="str">
        <f aca="false">TRIM(A3590)</f>
        <v>+28, 28, STANTLER</v>
      </c>
    </row>
    <row r="3591" customFormat="false" ht="12.75" hidden="false" customHeight="true" outlineLevel="0" collapsed="false">
      <c r="A3591" s="1" t="s">
        <v>2201</v>
      </c>
      <c r="B3591" s="1" t="str">
        <f aca="false">TRIM(A3591)</f>
        <v>+18, 18, STANTLER</v>
      </c>
    </row>
    <row r="3592" customFormat="false" ht="12.75" hidden="false" customHeight="true" outlineLevel="0" collapsed="false">
      <c r="A3592" s="2"/>
      <c r="B3592" s="1" t="str">
        <f aca="false">TRIM(A3592)</f>
        <v/>
      </c>
    </row>
    <row r="3593" customFormat="false" ht="12.75" hidden="false" customHeight="true" outlineLevel="0" collapsed="false">
      <c r="A3593" s="1" t="s">
        <v>1211</v>
      </c>
      <c r="B3593" s="1" t="str">
        <f aca="false">TRIM(A3593)</f>
        <v># 4%</v>
      </c>
    </row>
    <row r="3594" customFormat="false" ht="12.75" hidden="false" customHeight="true" outlineLevel="0" collapsed="false">
      <c r="A3594" s="1" t="s">
        <v>2197</v>
      </c>
      <c r="B3594" s="1" t="str">
        <f aca="false">TRIM(A3594)</f>
        <v>+20, 20, STANTLER</v>
      </c>
    </row>
    <row r="3595" customFormat="false" ht="12.75" hidden="false" customHeight="true" outlineLevel="0" collapsed="false">
      <c r="A3595" s="1" t="s">
        <v>2198</v>
      </c>
      <c r="B3595" s="1" t="str">
        <f aca="false">TRIM(A3595)</f>
        <v>+26, 26, STANTLER</v>
      </c>
    </row>
    <row r="3596" customFormat="false" ht="12.75" hidden="false" customHeight="true" outlineLevel="0" collapsed="false">
      <c r="A3596" s="2"/>
      <c r="B3596" s="1" t="str">
        <f aca="false">TRIM(A3596)</f>
        <v/>
      </c>
    </row>
    <row r="3597" customFormat="false" ht="12.75" hidden="false" customHeight="true" outlineLevel="0" collapsed="false">
      <c r="A3597" s="1" t="s">
        <v>1212</v>
      </c>
      <c r="B3597" s="1" t="str">
        <f aca="false">TRIM(A3597)</f>
        <v># 1%</v>
      </c>
    </row>
    <row r="3598" customFormat="false" ht="12.75" hidden="false" customHeight="true" outlineLevel="0" collapsed="false">
      <c r="A3598" s="1" t="s">
        <v>2197</v>
      </c>
      <c r="B3598" s="1" t="str">
        <f aca="false">TRIM(A3598)</f>
        <v>+20, 20, STANTLER</v>
      </c>
    </row>
    <row r="3599" customFormat="false" ht="12.75" hidden="false" customHeight="true" outlineLevel="0" collapsed="false">
      <c r="A3599" s="1" t="s">
        <v>2795</v>
      </c>
      <c r="B3599" s="1" t="str">
        <f aca="false">TRIM(A3599)</f>
        <v>+26, 26, STANTLER , &lt;null&gt;, &lt;null&gt;, &lt;null&gt;</v>
      </c>
    </row>
    <row r="3600" customFormat="false" ht="12.75" hidden="false" customHeight="true" outlineLevel="0" collapsed="false">
      <c r="B3600" s="1" t="str">
        <f aca="false">TRIM(A3600)</f>
        <v/>
      </c>
    </row>
    <row r="3601" customFormat="false" ht="12.75" hidden="false" customHeight="true" outlineLevel="0" collapsed="false">
      <c r="A3601" s="1" t="s">
        <v>2536</v>
      </c>
      <c r="B3601" s="1" t="str">
        <f aca="false">TRIM(A3601)</f>
        <v>NEW ROUTE</v>
      </c>
    </row>
    <row r="3602" customFormat="false" ht="12.75" hidden="false" customHeight="true" outlineLevel="0" collapsed="false">
      <c r="A3602" s="1" t="s">
        <v>2787</v>
      </c>
      <c r="B3602" s="1" t="str">
        <f aca="false">TRIM(A3602)</f>
        <v>+1, 122, 0,</v>
      </c>
    </row>
    <row r="3603" customFormat="false" ht="12.75" hidden="false" customHeight="true" outlineLevel="0" collapsed="false">
      <c r="A3603" s="1" t="s">
        <v>2541</v>
      </c>
      <c r="B3603" s="1" t="str">
        <f aca="false">TRIM(A3603)</f>
        <v>7, # 20%</v>
      </c>
    </row>
    <row r="3604" customFormat="false" ht="12.75" hidden="false" customHeight="true" outlineLevel="0" collapsed="false">
      <c r="A3604" s="1" t="s">
        <v>2203</v>
      </c>
      <c r="B3604" s="1" t="str">
        <f aca="false">TRIM(A3604)</f>
        <v>22, 22, SMEARGLE</v>
      </c>
    </row>
    <row r="3605" customFormat="false" ht="12.75" hidden="false" customHeight="true" outlineLevel="0" collapsed="false">
      <c r="A3605" s="1" t="s">
        <v>2204</v>
      </c>
      <c r="B3605" s="1" t="str">
        <f aca="false">TRIM(A3605)</f>
        <v>+24, 24, SMEARGLE</v>
      </c>
    </row>
    <row r="3606" customFormat="false" ht="12.75" hidden="false" customHeight="true" outlineLevel="0" collapsed="false">
      <c r="A3606" s="2"/>
      <c r="B3606" s="1" t="str">
        <f aca="false">TRIM(A3606)</f>
        <v/>
      </c>
    </row>
    <row r="3607" customFormat="false" ht="12.75" hidden="false" customHeight="true" outlineLevel="0" collapsed="false">
      <c r="A3607" s="1" t="s">
        <v>1209</v>
      </c>
      <c r="B3607" s="1" t="str">
        <f aca="false">TRIM(A3607)</f>
        <v># 10%</v>
      </c>
    </row>
    <row r="3608" customFormat="false" ht="12.75" hidden="false" customHeight="true" outlineLevel="0" collapsed="false">
      <c r="A3608" s="1" t="s">
        <v>2205</v>
      </c>
      <c r="B3608" s="1" t="str">
        <f aca="false">TRIM(A3608)</f>
        <v>+20, 20, SMEARGLE</v>
      </c>
    </row>
    <row r="3609" customFormat="false" ht="12.75" hidden="false" customHeight="true" outlineLevel="0" collapsed="false">
      <c r="A3609" s="1" t="s">
        <v>2206</v>
      </c>
      <c r="B3609" s="1" t="str">
        <f aca="false">TRIM(A3609)</f>
        <v>+26, 26, SMEARGLE</v>
      </c>
    </row>
    <row r="3610" customFormat="false" ht="12.75" hidden="false" customHeight="true" outlineLevel="0" collapsed="false">
      <c r="A3610" s="1" t="s">
        <v>2207</v>
      </c>
      <c r="B3610" s="1" t="str">
        <f aca="false">TRIM(A3610)</f>
        <v>+22, 22, SMEARGLE</v>
      </c>
    </row>
    <row r="3611" customFormat="false" ht="12.75" hidden="false" customHeight="true" outlineLevel="0" collapsed="false">
      <c r="A3611" s="1" t="s">
        <v>2204</v>
      </c>
      <c r="B3611" s="1" t="str">
        <f aca="false">TRIM(A3611)</f>
        <v>+24, 24, SMEARGLE</v>
      </c>
    </row>
    <row r="3612" customFormat="false" ht="12.75" hidden="false" customHeight="true" outlineLevel="0" collapsed="false">
      <c r="A3612" s="2"/>
      <c r="B3612" s="1" t="str">
        <f aca="false">TRIM(A3612)</f>
        <v/>
      </c>
    </row>
    <row r="3613" customFormat="false" ht="12.75" hidden="false" customHeight="true" outlineLevel="0" collapsed="false">
      <c r="A3613" s="1" t="s">
        <v>1210</v>
      </c>
      <c r="B3613" s="1" t="str">
        <f aca="false">TRIM(A3613)</f>
        <v># 5%</v>
      </c>
    </row>
    <row r="3614" customFormat="false" ht="12.75" hidden="false" customHeight="true" outlineLevel="0" collapsed="false">
      <c r="A3614" s="1" t="s">
        <v>2208</v>
      </c>
      <c r="B3614" s="1" t="str">
        <f aca="false">TRIM(A3614)</f>
        <v>+28, 28, SMEARGLE</v>
      </c>
    </row>
    <row r="3615" customFormat="false" ht="12.75" hidden="false" customHeight="true" outlineLevel="0" collapsed="false">
      <c r="A3615" s="1" t="s">
        <v>2209</v>
      </c>
      <c r="B3615" s="1" t="str">
        <f aca="false">TRIM(A3615)</f>
        <v>+18, 18, SMEARGLE</v>
      </c>
    </row>
    <row r="3616" customFormat="false" ht="12.75" hidden="false" customHeight="true" outlineLevel="0" collapsed="false">
      <c r="A3616" s="2"/>
      <c r="B3616" s="1" t="str">
        <f aca="false">TRIM(A3616)</f>
        <v/>
      </c>
    </row>
    <row r="3617" customFormat="false" ht="12.75" hidden="false" customHeight="true" outlineLevel="0" collapsed="false">
      <c r="A3617" s="1" t="s">
        <v>1211</v>
      </c>
      <c r="B3617" s="1" t="str">
        <f aca="false">TRIM(A3617)</f>
        <v># 4%</v>
      </c>
    </row>
    <row r="3618" customFormat="false" ht="12.75" hidden="false" customHeight="true" outlineLevel="0" collapsed="false">
      <c r="A3618" s="1" t="s">
        <v>2205</v>
      </c>
      <c r="B3618" s="1" t="str">
        <f aca="false">TRIM(A3618)</f>
        <v>+20, 20, SMEARGLE</v>
      </c>
    </row>
    <row r="3619" customFormat="false" ht="12.75" hidden="false" customHeight="true" outlineLevel="0" collapsed="false">
      <c r="A3619" s="1" t="s">
        <v>2206</v>
      </c>
      <c r="B3619" s="1" t="str">
        <f aca="false">TRIM(A3619)</f>
        <v>+26, 26, SMEARGLE</v>
      </c>
    </row>
    <row r="3620" customFormat="false" ht="12.75" hidden="false" customHeight="true" outlineLevel="0" collapsed="false">
      <c r="A3620" s="2"/>
      <c r="B3620" s="1" t="str">
        <f aca="false">TRIM(A3620)</f>
        <v/>
      </c>
    </row>
    <row r="3621" customFormat="false" ht="12.75" hidden="false" customHeight="true" outlineLevel="0" collapsed="false">
      <c r="A3621" s="1" t="s">
        <v>1212</v>
      </c>
      <c r="B3621" s="1" t="str">
        <f aca="false">TRIM(A3621)</f>
        <v># 1%</v>
      </c>
    </row>
    <row r="3622" customFormat="false" ht="12.75" hidden="false" customHeight="true" outlineLevel="0" collapsed="false">
      <c r="A3622" s="1" t="s">
        <v>2205</v>
      </c>
      <c r="B3622" s="1" t="str">
        <f aca="false">TRIM(A3622)</f>
        <v>+20, 20, SMEARGLE</v>
      </c>
    </row>
    <row r="3623" customFormat="false" ht="12.75" hidden="false" customHeight="true" outlineLevel="0" collapsed="false">
      <c r="A3623" s="1" t="s">
        <v>2796</v>
      </c>
      <c r="B3623" s="1" t="str">
        <f aca="false">TRIM(A3623)</f>
        <v>+26, 26, SMEARGLE , &lt;null&gt;, &lt;null&gt;, &lt;null&gt;</v>
      </c>
    </row>
    <row r="3624" customFormat="false" ht="12.75" hidden="false" customHeight="true" outlineLevel="0" collapsed="false">
      <c r="B3624" s="1" t="str">
        <f aca="false">TRIM(A3624)</f>
        <v/>
      </c>
    </row>
    <row r="3625" customFormat="false" ht="12.75" hidden="false" customHeight="true" outlineLevel="0" collapsed="false">
      <c r="A3625" s="1" t="s">
        <v>2536</v>
      </c>
      <c r="B3625" s="1" t="str">
        <f aca="false">TRIM(A3625)</f>
        <v>NEW ROUTE</v>
      </c>
    </row>
    <row r="3626" customFormat="false" ht="12.75" hidden="false" customHeight="true" outlineLevel="0" collapsed="false">
      <c r="A3626" s="1" t="s">
        <v>2196</v>
      </c>
      <c r="B3626" s="1" t="str">
        <f aca="false">TRIM(A3626)</f>
        <v>+24, 24, STANTLER</v>
      </c>
    </row>
    <row r="3627" customFormat="false" ht="12.75" hidden="false" customHeight="true" outlineLevel="0" collapsed="false">
      <c r="A3627" s="2"/>
      <c r="B3627" s="1" t="str">
        <f aca="false">TRIM(A3627)</f>
        <v/>
      </c>
    </row>
    <row r="3628" customFormat="false" ht="12.75" hidden="false" customHeight="true" outlineLevel="0" collapsed="false">
      <c r="A3628" s="1" t="s">
        <v>1210</v>
      </c>
      <c r="B3628" s="1" t="str">
        <f aca="false">TRIM(A3628)</f>
        <v># 5%</v>
      </c>
    </row>
    <row r="3629" customFormat="false" ht="12.75" hidden="false" customHeight="true" outlineLevel="0" collapsed="false">
      <c r="A3629" s="1" t="s">
        <v>2200</v>
      </c>
      <c r="B3629" s="1" t="str">
        <f aca="false">TRIM(A3629)</f>
        <v>+28, 28, STANTLER</v>
      </c>
    </row>
    <row r="3630" customFormat="false" ht="12.75" hidden="false" customHeight="true" outlineLevel="0" collapsed="false">
      <c r="A3630" s="1" t="s">
        <v>2201</v>
      </c>
      <c r="B3630" s="1" t="str">
        <f aca="false">TRIM(A3630)</f>
        <v>+18, 18, STANTLER</v>
      </c>
    </row>
    <row r="3631" customFormat="false" ht="12.75" hidden="false" customHeight="true" outlineLevel="0" collapsed="false">
      <c r="A3631" s="2"/>
      <c r="B3631" s="1" t="str">
        <f aca="false">TRIM(A3631)</f>
        <v/>
      </c>
    </row>
    <row r="3632" customFormat="false" ht="12.75" hidden="false" customHeight="true" outlineLevel="0" collapsed="false">
      <c r="A3632" s="1" t="s">
        <v>1211</v>
      </c>
      <c r="B3632" s="1" t="str">
        <f aca="false">TRIM(A3632)</f>
        <v># 4%</v>
      </c>
    </row>
    <row r="3633" customFormat="false" ht="12.75" hidden="false" customHeight="true" outlineLevel="0" collapsed="false">
      <c r="A3633" s="1" t="s">
        <v>2197</v>
      </c>
      <c r="B3633" s="1" t="str">
        <f aca="false">TRIM(A3633)</f>
        <v>+20, 20, STANTLER</v>
      </c>
    </row>
    <row r="3634" customFormat="false" ht="12.75" hidden="false" customHeight="true" outlineLevel="0" collapsed="false">
      <c r="A3634" s="1" t="s">
        <v>2198</v>
      </c>
      <c r="B3634" s="1" t="str">
        <f aca="false">TRIM(A3634)</f>
        <v>+26, 26, STANTLER</v>
      </c>
    </row>
    <row r="3635" customFormat="false" ht="12.75" hidden="false" customHeight="true" outlineLevel="0" collapsed="false">
      <c r="A3635" s="2"/>
      <c r="B3635" s="1" t="str">
        <f aca="false">TRIM(A3635)</f>
        <v/>
      </c>
    </row>
    <row r="3636" customFormat="false" ht="12.75" hidden="false" customHeight="true" outlineLevel="0" collapsed="false">
      <c r="A3636" s="1" t="s">
        <v>1212</v>
      </c>
      <c r="B3636" s="1" t="str">
        <f aca="false">TRIM(A3636)</f>
        <v># 1%</v>
      </c>
    </row>
    <row r="3637" customFormat="false" ht="12.75" hidden="false" customHeight="true" outlineLevel="0" collapsed="false">
      <c r="A3637" s="1" t="s">
        <v>2197</v>
      </c>
      <c r="B3637" s="1" t="str">
        <f aca="false">TRIM(A3637)</f>
        <v>+20, 20, STANTLER</v>
      </c>
    </row>
    <row r="3638" customFormat="false" ht="12.75" hidden="false" customHeight="true" outlineLevel="0" collapsed="false">
      <c r="A3638" s="1" t="s">
        <v>2795</v>
      </c>
      <c r="B3638" s="1" t="str">
        <f aca="false">TRIM(A3638)</f>
        <v>+26, 26, STANTLER , &lt;null&gt;, &lt;null&gt;, &lt;null&gt;</v>
      </c>
    </row>
    <row r="3639" customFormat="false" ht="12.75" hidden="false" customHeight="true" outlineLevel="0" collapsed="false">
      <c r="B3639" s="1" t="str">
        <f aca="false">TRIM(A3639)</f>
        <v/>
      </c>
    </row>
    <row r="3640" customFormat="false" ht="12.75" hidden="false" customHeight="true" outlineLevel="0" collapsed="false">
      <c r="A3640" s="2" t="s">
        <v>2536</v>
      </c>
      <c r="B3640" s="1" t="str">
        <f aca="false">TRIM(A3640)</f>
        <v>NEW ROUTE</v>
      </c>
    </row>
    <row r="3641" customFormat="false" ht="12.75" hidden="false" customHeight="true" outlineLevel="0" collapsed="false">
      <c r="A3641" s="1" t="s">
        <v>2787</v>
      </c>
      <c r="B3641" s="1" t="str">
        <f aca="false">TRIM(A3641)</f>
        <v>+1, 122, 0,</v>
      </c>
    </row>
    <row r="3642" customFormat="false" ht="12.75" hidden="false" customHeight="true" outlineLevel="0" collapsed="false">
      <c r="A3642" s="2" t="s">
        <v>2541</v>
      </c>
      <c r="B3642" s="1" t="str">
        <f aca="false">TRIM(A3642)</f>
        <v>7, # 20%</v>
      </c>
    </row>
    <row r="3643" customFormat="false" ht="12.75" hidden="false" customHeight="true" outlineLevel="0" collapsed="false">
      <c r="A3643" s="1" t="s">
        <v>2203</v>
      </c>
      <c r="B3643" s="1" t="str">
        <f aca="false">TRIM(A3643)</f>
        <v>22, 22, SMEARGLE</v>
      </c>
    </row>
    <row r="3644" customFormat="false" ht="12.75" hidden="false" customHeight="true" outlineLevel="0" collapsed="false">
      <c r="A3644" s="1" t="s">
        <v>2204</v>
      </c>
      <c r="B3644" s="1" t="str">
        <f aca="false">TRIM(A3644)</f>
        <v>+24, 24, SMEARGLE</v>
      </c>
    </row>
    <row r="3645" customFormat="false" ht="12.75" hidden="false" customHeight="true" outlineLevel="0" collapsed="false">
      <c r="A3645" s="2"/>
      <c r="B3645" s="1" t="str">
        <f aca="false">TRIM(A3645)</f>
        <v/>
      </c>
    </row>
    <row r="3646" customFormat="false" ht="12.75" hidden="false" customHeight="true" outlineLevel="0" collapsed="false">
      <c r="A3646" s="1" t="s">
        <v>1209</v>
      </c>
      <c r="B3646" s="1" t="str">
        <f aca="false">TRIM(A3646)</f>
        <v># 10%</v>
      </c>
    </row>
    <row r="3647" customFormat="false" ht="12.75" hidden="false" customHeight="true" outlineLevel="0" collapsed="false">
      <c r="A3647" s="1" t="s">
        <v>2205</v>
      </c>
      <c r="B3647" s="1" t="str">
        <f aca="false">TRIM(A3647)</f>
        <v>+20, 20, SMEARGLE</v>
      </c>
    </row>
    <row r="3648" customFormat="false" ht="12.75" hidden="false" customHeight="true" outlineLevel="0" collapsed="false">
      <c r="A3648" s="1" t="s">
        <v>2206</v>
      </c>
      <c r="B3648" s="1" t="str">
        <f aca="false">TRIM(A3648)</f>
        <v>+26, 26, SMEARGLE</v>
      </c>
    </row>
    <row r="3649" customFormat="false" ht="12.75" hidden="false" customHeight="true" outlineLevel="0" collapsed="false">
      <c r="A3649" s="1" t="s">
        <v>2207</v>
      </c>
      <c r="B3649" s="1" t="str">
        <f aca="false">TRIM(A3649)</f>
        <v>+22, 22, SMEARGLE</v>
      </c>
    </row>
    <row r="3650" customFormat="false" ht="12.75" hidden="false" customHeight="true" outlineLevel="0" collapsed="false">
      <c r="A3650" s="1" t="s">
        <v>2204</v>
      </c>
      <c r="B3650" s="1" t="str">
        <f aca="false">TRIM(A3650)</f>
        <v>+24, 24, SMEARGLE</v>
      </c>
    </row>
    <row r="3651" customFormat="false" ht="12.75" hidden="false" customHeight="true" outlineLevel="0" collapsed="false">
      <c r="A3651" s="2"/>
      <c r="B3651" s="1" t="str">
        <f aca="false">TRIM(A3651)</f>
        <v/>
      </c>
    </row>
    <row r="3652" customFormat="false" ht="12.75" hidden="false" customHeight="true" outlineLevel="0" collapsed="false">
      <c r="A3652" s="1" t="s">
        <v>1210</v>
      </c>
      <c r="B3652" s="1" t="str">
        <f aca="false">TRIM(A3652)</f>
        <v># 5%</v>
      </c>
    </row>
    <row r="3653" customFormat="false" ht="12.75" hidden="false" customHeight="true" outlineLevel="0" collapsed="false">
      <c r="A3653" s="1" t="s">
        <v>2208</v>
      </c>
      <c r="B3653" s="1" t="str">
        <f aca="false">TRIM(A3653)</f>
        <v>+28, 28, SMEARGLE</v>
      </c>
    </row>
    <row r="3654" customFormat="false" ht="12.75" hidden="false" customHeight="true" outlineLevel="0" collapsed="false">
      <c r="A3654" s="1" t="s">
        <v>2209</v>
      </c>
      <c r="B3654" s="1" t="str">
        <f aca="false">TRIM(A3654)</f>
        <v>+18, 18, SMEARGLE</v>
      </c>
    </row>
    <row r="3655" customFormat="false" ht="12.75" hidden="false" customHeight="true" outlineLevel="0" collapsed="false">
      <c r="A3655" s="2"/>
      <c r="B3655" s="1" t="str">
        <f aca="false">TRIM(A3655)</f>
        <v/>
      </c>
    </row>
    <row r="3656" customFormat="false" ht="12.75" hidden="false" customHeight="true" outlineLevel="0" collapsed="false">
      <c r="A3656" s="1" t="s">
        <v>1211</v>
      </c>
      <c r="B3656" s="1" t="str">
        <f aca="false">TRIM(A3656)</f>
        <v># 4%</v>
      </c>
    </row>
    <row r="3657" customFormat="false" ht="12.75" hidden="false" customHeight="true" outlineLevel="0" collapsed="false">
      <c r="A3657" s="1" t="s">
        <v>2205</v>
      </c>
      <c r="B3657" s="1" t="str">
        <f aca="false">TRIM(A3657)</f>
        <v>+20, 20, SMEARGLE</v>
      </c>
    </row>
    <row r="3658" customFormat="false" ht="12.75" hidden="false" customHeight="true" outlineLevel="0" collapsed="false">
      <c r="A3658" s="1" t="s">
        <v>2206</v>
      </c>
      <c r="B3658" s="1" t="str">
        <f aca="false">TRIM(A3658)</f>
        <v>+26, 26, SMEARGLE</v>
      </c>
    </row>
    <row r="3659" customFormat="false" ht="12.75" hidden="false" customHeight="true" outlineLevel="0" collapsed="false">
      <c r="A3659" s="2"/>
      <c r="B3659" s="1" t="str">
        <f aca="false">TRIM(A3659)</f>
        <v/>
      </c>
    </row>
    <row r="3660" customFormat="false" ht="12.75" hidden="false" customHeight="true" outlineLevel="0" collapsed="false">
      <c r="A3660" s="1" t="s">
        <v>1212</v>
      </c>
      <c r="B3660" s="1" t="str">
        <f aca="false">TRIM(A3660)</f>
        <v># 1%</v>
      </c>
    </row>
    <row r="3661" customFormat="false" ht="12.75" hidden="false" customHeight="true" outlineLevel="0" collapsed="false">
      <c r="A3661" s="1" t="s">
        <v>2205</v>
      </c>
      <c r="B3661" s="1" t="str">
        <f aca="false">TRIM(A3661)</f>
        <v>+20, 20, SMEARGLE</v>
      </c>
    </row>
    <row r="3662" customFormat="false" ht="12.75" hidden="false" customHeight="true" outlineLevel="0" collapsed="false">
      <c r="A3662" s="1" t="s">
        <v>2796</v>
      </c>
      <c r="B3662" s="1" t="str">
        <f aca="false">TRIM(A3662)</f>
        <v>+26, 26, SMEARGLE , &lt;null&gt;, &lt;null&gt;, &lt;null&gt;</v>
      </c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44.38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3" t="s">
        <v>2536</v>
      </c>
      <c r="B1" s="3" t="str">
        <f aca="false">IF(ISNUMBER(SEARCH("%", A1)),RIGHT(A1,3),A1)</f>
        <v>NEW ROUTE</v>
      </c>
      <c r="C1" s="2" t="s">
        <v>2536</v>
      </c>
    </row>
    <row r="2" customFormat="false" ht="12.75" hidden="false" customHeight="true" outlineLevel="0" collapsed="false">
      <c r="A2" s="3" t="s">
        <v>2797</v>
      </c>
      <c r="B2" s="3" t="str">
        <f aca="false">IF(ISNUMBER(SEARCH("%", A2)),RIGHT(A2,3),A2)</f>
        <v>1, 0, 0,</v>
      </c>
      <c r="C2" s="2" t="s">
        <v>2797</v>
      </c>
    </row>
    <row r="3" customFormat="false" ht="12.75" hidden="false" customHeight="true" outlineLevel="0" collapsed="false">
      <c r="A3" s="3" t="s">
        <v>2798</v>
      </c>
      <c r="B3" s="3" t="str">
        <f aca="false">IF(ISNUMBER(SEARCH("%", A3)),RIGHT(A3,3),A3)</f>
        <v>20%</v>
      </c>
      <c r="C3" s="2" t="s">
        <v>2799</v>
      </c>
    </row>
    <row r="4" customFormat="false" ht="12.75" hidden="false" customHeight="true" outlineLevel="0" collapsed="false">
      <c r="A4" s="3" t="s">
        <v>1221</v>
      </c>
      <c r="B4" s="3" t="str">
        <f aca="false">IF(ISNUMBER(SEARCH("%", A4)),RIGHT(A4,3),A4)</f>
        <v>4, 6, CATERPIE</v>
      </c>
      <c r="C4" s="2" t="s">
        <v>1221</v>
      </c>
    </row>
    <row r="5" customFormat="false" ht="12.75" hidden="false" customHeight="true" outlineLevel="0" collapsed="false">
      <c r="A5" s="3" t="s">
        <v>2800</v>
      </c>
      <c r="B5" s="3" t="str">
        <f aca="false">IF(ISNUMBER(SEARCH("%", A5)),RIGHT(A5,3),A5)</f>
        <v>4, 6, WEEDLE</v>
      </c>
      <c r="C5" s="2" t="s">
        <v>2800</v>
      </c>
    </row>
    <row r="6" customFormat="false" ht="12.75" hidden="false" customHeight="true" outlineLevel="0" collapsed="false">
      <c r="A6" s="3"/>
      <c r="B6" s="3" t="n">
        <f aca="false">IF(ISNUMBER(SEARCH("%", A6)),RIGHT(A6,3),A6)</f>
        <v>0</v>
      </c>
      <c r="C6" s="2"/>
    </row>
    <row r="7" customFormat="false" ht="12.75" hidden="false" customHeight="true" outlineLevel="0" collapsed="false">
      <c r="A7" s="3" t="s">
        <v>2801</v>
      </c>
      <c r="B7" s="3" t="str">
        <f aca="false">IF(ISNUMBER(SEARCH("%", A7)),RIGHT(A7,3),A7)</f>
        <v>0.1</v>
      </c>
      <c r="C7" s="2" t="s">
        <v>2801</v>
      </c>
    </row>
    <row r="8" customFormat="false" ht="12.75" hidden="false" customHeight="true" outlineLevel="0" collapsed="false">
      <c r="A8" s="3" t="s">
        <v>2802</v>
      </c>
      <c r="B8" s="3" t="str">
        <f aca="false">IF(ISNUMBER(SEARCH("%", A8)),RIGHT(A8,3),A8)</f>
        <v>5, 7, ODDISH</v>
      </c>
      <c r="C8" s="2" t="s">
        <v>2802</v>
      </c>
    </row>
    <row r="9" customFormat="false" ht="12.75" hidden="false" customHeight="true" outlineLevel="0" collapsed="false">
      <c r="A9" s="3" t="s">
        <v>2803</v>
      </c>
      <c r="B9" s="3" t="str">
        <f aca="false">IF(ISNUMBER(SEARCH("%", A9)),RIGHT(A9,3),A9)</f>
        <v>7, 9, METAPOD</v>
      </c>
      <c r="C9" s="2" t="s">
        <v>2803</v>
      </c>
    </row>
    <row r="10" customFormat="false" ht="12.75" hidden="false" customHeight="true" outlineLevel="0" collapsed="false">
      <c r="A10" s="3" t="s">
        <v>2804</v>
      </c>
      <c r="B10" s="3" t="str">
        <f aca="false">IF(ISNUMBER(SEARCH("%", A10)),RIGHT(A10,3),A10)</f>
        <v>7, 9, KAKUNA</v>
      </c>
      <c r="C10" s="2" t="s">
        <v>2804</v>
      </c>
    </row>
    <row r="11" customFormat="false" ht="12.75" hidden="false" customHeight="true" outlineLevel="0" collapsed="false">
      <c r="A11" s="3" t="s">
        <v>2805</v>
      </c>
      <c r="B11" s="3" t="str">
        <f aca="false">IF(ISNUMBER(SEARCH("%", A11)),RIGHT(A11,3),A11)</f>
        <v>5, 7, PIKACHU</v>
      </c>
      <c r="C11" s="2" t="s">
        <v>2805</v>
      </c>
    </row>
    <row r="12" customFormat="false" ht="12.75" hidden="false" customHeight="true" outlineLevel="0" collapsed="false">
      <c r="A12" s="3"/>
      <c r="B12" s="3" t="n">
        <f aca="false">IF(ISNUMBER(SEARCH("%", A12)),RIGHT(A12,3),A12)</f>
        <v>0</v>
      </c>
      <c r="C12" s="2"/>
    </row>
    <row r="13" customFormat="false" ht="12.75" hidden="false" customHeight="true" outlineLevel="0" collapsed="false">
      <c r="A13" s="3" t="s">
        <v>2806</v>
      </c>
      <c r="B13" s="3" t="str">
        <f aca="false">IF(ISNUMBER(SEARCH("%", A13)),RIGHT(A13,3),A13)</f>
        <v>0.05</v>
      </c>
      <c r="C13" s="2" t="s">
        <v>2806</v>
      </c>
    </row>
    <row r="14" customFormat="false" ht="12.75" hidden="false" customHeight="true" outlineLevel="0" collapsed="false">
      <c r="A14" s="3" t="s">
        <v>2807</v>
      </c>
      <c r="B14" s="3" t="str">
        <f aca="false">IF(ISNUMBER(SEARCH("%", A14)),RIGHT(A14,3),A14)</f>
        <v>5, 7, MANKEY</v>
      </c>
      <c r="C14" s="2" t="s">
        <v>2807</v>
      </c>
    </row>
    <row r="15" customFormat="false" ht="12.75" hidden="false" customHeight="true" outlineLevel="0" collapsed="false">
      <c r="A15" s="3" t="s">
        <v>2808</v>
      </c>
      <c r="B15" s="3" t="str">
        <f aca="false">IF(ISNUMBER(SEARCH("%", A15)),RIGHT(A15,3),A15)</f>
        <v>9, 10, BUTTERFREE</v>
      </c>
      <c r="C15" s="2" t="s">
        <v>2808</v>
      </c>
    </row>
    <row r="16" customFormat="false" ht="12.75" hidden="false" customHeight="true" outlineLevel="0" collapsed="false">
      <c r="A16" s="3"/>
      <c r="B16" s="3" t="n">
        <f aca="false">IF(ISNUMBER(SEARCH("%", A16)),RIGHT(A16,3),A16)</f>
        <v>0</v>
      </c>
      <c r="C16" s="2"/>
    </row>
    <row r="17" customFormat="false" ht="12.75" hidden="false" customHeight="true" outlineLevel="0" collapsed="false">
      <c r="A17" s="3" t="s">
        <v>2809</v>
      </c>
      <c r="B17" s="3" t="str">
        <f aca="false">IF(ISNUMBER(SEARCH("%", A17)),RIGHT(A17,3),A17)</f>
        <v>0.04</v>
      </c>
      <c r="C17" s="2" t="s">
        <v>2809</v>
      </c>
    </row>
    <row r="18" customFormat="false" ht="12.75" hidden="false" customHeight="true" outlineLevel="0" collapsed="false">
      <c r="A18" s="3" t="s">
        <v>2810</v>
      </c>
      <c r="B18" s="3" t="str">
        <f aca="false">IF(ISNUMBER(SEARCH("%", A18)),RIGHT(A18,3),A18)</f>
        <v>9, 10, BEEDRILL</v>
      </c>
      <c r="C18" s="2" t="s">
        <v>2810</v>
      </c>
    </row>
    <row r="19" customFormat="false" ht="12.75" hidden="false" customHeight="true" outlineLevel="0" collapsed="false">
      <c r="A19" s="3" t="s">
        <v>2811</v>
      </c>
      <c r="B19" s="3" t="str">
        <f aca="false">IF(ISNUMBER(SEARCH("%", A19)),RIGHT(A19,3),A19)</f>
        <v>6, 9, TANGELA</v>
      </c>
      <c r="C19" s="2" t="s">
        <v>2811</v>
      </c>
    </row>
    <row r="20" customFormat="false" ht="12.75" hidden="false" customHeight="true" outlineLevel="0" collapsed="false">
      <c r="A20" s="3"/>
      <c r="B20" s="3" t="n">
        <f aca="false">IF(ISNUMBER(SEARCH("%", A20)),RIGHT(A20,3),A20)</f>
        <v>0</v>
      </c>
      <c r="C20" s="2"/>
    </row>
    <row r="21" customFormat="false" ht="12.75" hidden="false" customHeight="true" outlineLevel="0" collapsed="false">
      <c r="A21" s="3" t="s">
        <v>2812</v>
      </c>
      <c r="B21" s="3" t="str">
        <f aca="false">IF(ISNUMBER(SEARCH("%", A21)),RIGHT(A21,3),A21)</f>
        <v>0.01</v>
      </c>
      <c r="C21" s="2" t="s">
        <v>2812</v>
      </c>
    </row>
    <row r="22" customFormat="false" ht="12.75" hidden="false" customHeight="true" outlineLevel="0" collapsed="false">
      <c r="A22" s="3" t="s">
        <v>2813</v>
      </c>
      <c r="B22" s="3" t="str">
        <f aca="false">IF(ISNUMBER(SEARCH("%", A22)),RIGHT(A22,3),A22)</f>
        <v>11, 11, BEEDRILL</v>
      </c>
      <c r="C22" s="2" t="s">
        <v>2813</v>
      </c>
    </row>
    <row r="23" customFormat="false" ht="12.75" hidden="false" customHeight="true" outlineLevel="0" collapsed="false">
      <c r="A23" s="3" t="s">
        <v>2814</v>
      </c>
      <c r="B23" s="3" t="str">
        <f aca="false">IF(ISNUMBER(SEARCH("%", A23)),RIGHT(A23,3),A23)</f>
        <v>10, 10, TANGELA , &lt;null&gt;, &lt;null&gt;, &lt;null&gt;</v>
      </c>
      <c r="C23" s="2" t="s">
        <v>2814</v>
      </c>
    </row>
    <row r="24" customFormat="false" ht="12.75" hidden="false" customHeight="true" outlineLevel="0" collapsed="false">
      <c r="A24" s="3"/>
      <c r="B24" s="3" t="n">
        <f aca="false">IF(ISNUMBER(SEARCH("%", A24)),RIGHT(A24,3),A24)</f>
        <v>0</v>
      </c>
      <c r="C24" s="2"/>
    </row>
    <row r="25" customFormat="false" ht="12.75" hidden="false" customHeight="true" outlineLevel="0" collapsed="false">
      <c r="A25" s="3" t="s">
        <v>2536</v>
      </c>
      <c r="B25" s="3" t="str">
        <f aca="false">IF(ISNUMBER(SEARCH("%", A25)),RIGHT(A25,3),A25)</f>
        <v>NEW ROUTE</v>
      </c>
      <c r="C25" s="2" t="s">
        <v>2536</v>
      </c>
    </row>
    <row r="26" customFormat="false" ht="12.75" hidden="false" customHeight="true" outlineLevel="0" collapsed="false">
      <c r="A26" s="3" t="s">
        <v>2815</v>
      </c>
      <c r="B26" s="3" t="str">
        <f aca="false">IF(ISNUMBER(SEARCH("%", A26)),RIGHT(A26,3),A26)</f>
        <v>1, 1, 0,</v>
      </c>
      <c r="C26" s="2" t="s">
        <v>2815</v>
      </c>
    </row>
    <row r="27" customFormat="false" ht="12.75" hidden="false" customHeight="true" outlineLevel="0" collapsed="false">
      <c r="A27" s="3" t="s">
        <v>2816</v>
      </c>
      <c r="B27" s="3" t="str">
        <f aca="false">IF(ISNUMBER(SEARCH("%", A27)),RIGHT(A27,3),A27)</f>
        <v>20%</v>
      </c>
      <c r="C27" s="2" t="s">
        <v>2799</v>
      </c>
    </row>
    <row r="28" customFormat="false" ht="12.75" hidden="false" customHeight="true" outlineLevel="0" collapsed="false">
      <c r="A28" s="3" t="s">
        <v>1234</v>
      </c>
      <c r="B28" s="3" t="str">
        <f aca="false">IF(ISNUMBER(SEARCH("%", A28)),RIGHT(A28,3),A28)</f>
        <v>9, 11, ZUBAT</v>
      </c>
      <c r="C28" s="2" t="s">
        <v>1234</v>
      </c>
    </row>
    <row r="29" customFormat="false" ht="12.75" hidden="false" customHeight="true" outlineLevel="0" collapsed="false">
      <c r="A29" s="3" t="s">
        <v>1234</v>
      </c>
      <c r="B29" s="3" t="str">
        <f aca="false">IF(ISNUMBER(SEARCH("%", A29)),RIGHT(A29,3),A29)</f>
        <v>9, 11, ZUBAT</v>
      </c>
      <c r="C29" s="2" t="s">
        <v>1234</v>
      </c>
    </row>
    <row r="30" customFormat="false" ht="12.75" hidden="false" customHeight="true" outlineLevel="0" collapsed="false">
      <c r="A30" s="3"/>
      <c r="B30" s="3" t="n">
        <f aca="false">IF(ISNUMBER(SEARCH("%", A30)),RIGHT(A30,3),A30)</f>
        <v>0</v>
      </c>
      <c r="C30" s="2"/>
    </row>
    <row r="31" customFormat="false" ht="12.75" hidden="false" customHeight="true" outlineLevel="0" collapsed="false">
      <c r="A31" s="3" t="s">
        <v>2801</v>
      </c>
      <c r="B31" s="3" t="str">
        <f aca="false">IF(ISNUMBER(SEARCH("%", A31)),RIGHT(A31,3),A31)</f>
        <v>0.1</v>
      </c>
      <c r="C31" s="2" t="s">
        <v>2801</v>
      </c>
    </row>
    <row r="32" customFormat="false" ht="12.75" hidden="false" customHeight="true" outlineLevel="0" collapsed="false">
      <c r="A32" s="3" t="s">
        <v>1243</v>
      </c>
      <c r="B32" s="3" t="str">
        <f aca="false">IF(ISNUMBER(SEARCH("%", A32)),RIGHT(A32,3),A32)</f>
        <v>10, 12, ZUBAT</v>
      </c>
      <c r="C32" s="2" t="s">
        <v>1243</v>
      </c>
    </row>
    <row r="33" customFormat="false" ht="12.75" hidden="false" customHeight="true" outlineLevel="0" collapsed="false">
      <c r="A33" s="3" t="s">
        <v>1243</v>
      </c>
      <c r="B33" s="3" t="str">
        <f aca="false">IF(ISNUMBER(SEARCH("%", A33)),RIGHT(A33,3),A33)</f>
        <v>10, 12, ZUBAT</v>
      </c>
      <c r="C33" s="2" t="s">
        <v>1243</v>
      </c>
    </row>
    <row r="34" customFormat="false" ht="12.75" hidden="false" customHeight="true" outlineLevel="0" collapsed="false">
      <c r="A34" s="3" t="s">
        <v>2817</v>
      </c>
      <c r="B34" s="3" t="str">
        <f aca="false">IF(ISNUMBER(SEARCH("%", A34)),RIGHT(A34,3),A34)</f>
        <v>10, 12, GEODUDE</v>
      </c>
      <c r="C34" s="2" t="s">
        <v>2817</v>
      </c>
    </row>
    <row r="35" customFormat="false" ht="12.75" hidden="false" customHeight="true" outlineLevel="0" collapsed="false">
      <c r="A35" s="3" t="s">
        <v>2817</v>
      </c>
      <c r="B35" s="3" t="str">
        <f aca="false">IF(ISNUMBER(SEARCH("%", A35)),RIGHT(A35,3),A35)</f>
        <v>10, 12, GEODUDE</v>
      </c>
      <c r="C35" s="2" t="s">
        <v>2817</v>
      </c>
    </row>
    <row r="36" customFormat="false" ht="12.75" hidden="false" customHeight="true" outlineLevel="0" collapsed="false">
      <c r="A36" s="3"/>
      <c r="B36" s="3" t="n">
        <f aca="false">IF(ISNUMBER(SEARCH("%", A36)),RIGHT(A36,3),A36)</f>
        <v>0</v>
      </c>
      <c r="C36" s="2"/>
    </row>
    <row r="37" customFormat="false" ht="12.75" hidden="false" customHeight="true" outlineLevel="0" collapsed="false">
      <c r="A37" s="3" t="s">
        <v>2806</v>
      </c>
      <c r="B37" s="3" t="str">
        <f aca="false">IF(ISNUMBER(SEARCH("%", A37)),RIGHT(A37,3),A37)</f>
        <v>0.05</v>
      </c>
      <c r="C37" s="2" t="s">
        <v>2806</v>
      </c>
    </row>
    <row r="38" customFormat="false" ht="12.75" hidden="false" customHeight="true" outlineLevel="0" collapsed="false">
      <c r="A38" s="3" t="s">
        <v>2818</v>
      </c>
      <c r="B38" s="3" t="str">
        <f aca="false">IF(ISNUMBER(SEARCH("%", A38)),RIGHT(A38,3),A38)</f>
        <v>11, 11, SANDSHREW</v>
      </c>
      <c r="C38" s="2" t="s">
        <v>2818</v>
      </c>
    </row>
    <row r="39" customFormat="false" ht="12.75" hidden="false" customHeight="true" outlineLevel="0" collapsed="false">
      <c r="A39" s="3" t="s">
        <v>2818</v>
      </c>
      <c r="B39" s="3" t="str">
        <f aca="false">IF(ISNUMBER(SEARCH("%", A39)),RIGHT(A39,3),A39)</f>
        <v>11, 11, SANDSHREW</v>
      </c>
      <c r="C39" s="2" t="s">
        <v>2818</v>
      </c>
    </row>
    <row r="40" customFormat="false" ht="12.75" hidden="false" customHeight="true" outlineLevel="0" collapsed="false">
      <c r="A40" s="3"/>
      <c r="B40" s="3" t="n">
        <f aca="false">IF(ISNUMBER(SEARCH("%", A40)),RIGHT(A40,3),A40)</f>
        <v>0</v>
      </c>
      <c r="C40" s="2"/>
    </row>
    <row r="41" customFormat="false" ht="12.75" hidden="false" customHeight="true" outlineLevel="0" collapsed="false">
      <c r="A41" s="3" t="s">
        <v>2809</v>
      </c>
      <c r="B41" s="3" t="str">
        <f aca="false">IF(ISNUMBER(SEARCH("%", A41)),RIGHT(A41,3),A41)</f>
        <v>0.04</v>
      </c>
      <c r="C41" s="2" t="s">
        <v>2809</v>
      </c>
    </row>
    <row r="42" customFormat="false" ht="12.75" hidden="false" customHeight="true" outlineLevel="0" collapsed="false">
      <c r="A42" s="3" t="s">
        <v>2819</v>
      </c>
      <c r="B42" s="3" t="str">
        <f aca="false">IF(ISNUMBER(SEARCH("%", A42)),RIGHT(A42,3),A42)</f>
        <v>11, 11, PARAS</v>
      </c>
      <c r="C42" s="2" t="s">
        <v>2819</v>
      </c>
    </row>
    <row r="43" customFormat="false" ht="12.75" hidden="false" customHeight="true" outlineLevel="0" collapsed="false">
      <c r="A43" s="3" t="s">
        <v>2819</v>
      </c>
      <c r="B43" s="3" t="str">
        <f aca="false">IF(ISNUMBER(SEARCH("%", A43)),RIGHT(A43,3),A43)</f>
        <v>11, 11, PARAS</v>
      </c>
      <c r="C43" s="2" t="s">
        <v>2819</v>
      </c>
    </row>
    <row r="44" customFormat="false" ht="12.75" hidden="false" customHeight="true" outlineLevel="0" collapsed="false">
      <c r="A44" s="3"/>
      <c r="B44" s="3" t="n">
        <f aca="false">IF(ISNUMBER(SEARCH("%", A44)),RIGHT(A44,3),A44)</f>
        <v>0</v>
      </c>
      <c r="C44" s="2"/>
    </row>
    <row r="45" customFormat="false" ht="12.75" hidden="false" customHeight="true" outlineLevel="0" collapsed="false">
      <c r="A45" s="3" t="s">
        <v>2812</v>
      </c>
      <c r="B45" s="3" t="str">
        <f aca="false">IF(ISNUMBER(SEARCH("%", A45)),RIGHT(A45,3),A45)</f>
        <v>0.01</v>
      </c>
      <c r="C45" s="2" t="s">
        <v>2812</v>
      </c>
    </row>
    <row r="46" customFormat="false" ht="12.75" hidden="false" customHeight="true" outlineLevel="0" collapsed="false">
      <c r="A46" s="3" t="s">
        <v>2820</v>
      </c>
      <c r="B46" s="3" t="str">
        <f aca="false">IF(ISNUMBER(SEARCH("%", A46)),RIGHT(A46,3),A46)</f>
        <v>11, 14, ONIX</v>
      </c>
      <c r="C46" s="2" t="s">
        <v>2820</v>
      </c>
    </row>
    <row r="47" customFormat="false" ht="12.75" hidden="false" customHeight="true" outlineLevel="0" collapsed="false">
      <c r="A47" s="3" t="s">
        <v>2821</v>
      </c>
      <c r="B47" s="3" t="str">
        <f aca="false">IF(ISNUMBER(SEARCH("%", A47)),RIGHT(A47,3),A47)</f>
        <v>11, 14, CLEFAIRY , &lt;null&gt;, &lt;null&gt;, &lt;null&gt;</v>
      </c>
      <c r="C47" s="2" t="s">
        <v>2821</v>
      </c>
    </row>
    <row r="48" customFormat="false" ht="12.75" hidden="false" customHeight="true" outlineLevel="0" collapsed="false">
      <c r="A48" s="3"/>
      <c r="B48" s="3" t="n">
        <f aca="false">IF(ISNUMBER(SEARCH("%", A48)),RIGHT(A48,3),A48)</f>
        <v>0</v>
      </c>
      <c r="C48" s="2"/>
    </row>
    <row r="49" customFormat="false" ht="12.75" hidden="false" customHeight="true" outlineLevel="0" collapsed="false">
      <c r="A49" s="3" t="s">
        <v>2536</v>
      </c>
      <c r="B49" s="3" t="str">
        <f aca="false">IF(ISNUMBER(SEARCH("%", A49)),RIGHT(A49,3),A49)</f>
        <v>NEW ROUTE</v>
      </c>
      <c r="C49" s="2" t="s">
        <v>2536</v>
      </c>
    </row>
    <row r="50" customFormat="false" ht="12.75" hidden="false" customHeight="true" outlineLevel="0" collapsed="false">
      <c r="A50" s="3" t="s">
        <v>2822</v>
      </c>
      <c r="B50" s="3" t="str">
        <f aca="false">IF(ISNUMBER(SEARCH("%", A50)),RIGHT(A50,3),A50)</f>
        <v>1, 2, 0,</v>
      </c>
      <c r="C50" s="2" t="s">
        <v>2822</v>
      </c>
    </row>
    <row r="51" customFormat="false" ht="12.75" hidden="false" customHeight="true" outlineLevel="0" collapsed="false">
      <c r="A51" s="3" t="s">
        <v>2823</v>
      </c>
      <c r="B51" s="3" t="str">
        <f aca="false">IF(ISNUMBER(SEARCH("%", A51)),RIGHT(A51,3),A51)</f>
        <v>20%</v>
      </c>
      <c r="C51" s="2" t="s">
        <v>2799</v>
      </c>
    </row>
    <row r="52" customFormat="false" ht="12.75" hidden="false" customHeight="true" outlineLevel="0" collapsed="false">
      <c r="A52" s="3" t="s">
        <v>1243</v>
      </c>
      <c r="B52" s="3" t="str">
        <f aca="false">IF(ISNUMBER(SEARCH("%", A52)),RIGHT(A52,3),A52)</f>
        <v>10, 12, ZUBAT</v>
      </c>
      <c r="C52" s="2" t="s">
        <v>1243</v>
      </c>
    </row>
    <row r="53" customFormat="false" ht="12.75" hidden="false" customHeight="true" outlineLevel="0" collapsed="false">
      <c r="A53" s="3" t="s">
        <v>1243</v>
      </c>
      <c r="B53" s="3" t="str">
        <f aca="false">IF(ISNUMBER(SEARCH("%", A53)),RIGHT(A53,3),A53)</f>
        <v>10, 12, ZUBAT</v>
      </c>
      <c r="C53" s="2" t="s">
        <v>1243</v>
      </c>
    </row>
    <row r="54" customFormat="false" ht="12.75" hidden="false" customHeight="true" outlineLevel="0" collapsed="false">
      <c r="A54" s="3"/>
      <c r="B54" s="3" t="n">
        <f aca="false">IF(ISNUMBER(SEARCH("%", A54)),RIGHT(A54,3),A54)</f>
        <v>0</v>
      </c>
      <c r="C54" s="2"/>
    </row>
    <row r="55" customFormat="false" ht="12.75" hidden="false" customHeight="true" outlineLevel="0" collapsed="false">
      <c r="A55" s="3" t="s">
        <v>2801</v>
      </c>
      <c r="B55" s="3" t="str">
        <f aca="false">IF(ISNUMBER(SEARCH("%", A55)),RIGHT(A55,3),A55)</f>
        <v>0.1</v>
      </c>
      <c r="C55" s="2" t="s">
        <v>2801</v>
      </c>
    </row>
    <row r="56" customFormat="false" ht="12.75" hidden="false" customHeight="true" outlineLevel="0" collapsed="false">
      <c r="A56" s="3" t="s">
        <v>2824</v>
      </c>
      <c r="B56" s="3" t="str">
        <f aca="false">IF(ISNUMBER(SEARCH("%", A56)),RIGHT(A56,3),A56)</f>
        <v>11, 13, ZUBAT</v>
      </c>
      <c r="C56" s="2" t="s">
        <v>2824</v>
      </c>
    </row>
    <row r="57" customFormat="false" ht="12.75" hidden="false" customHeight="true" outlineLevel="0" collapsed="false">
      <c r="A57" s="3" t="s">
        <v>2824</v>
      </c>
      <c r="B57" s="3" t="str">
        <f aca="false">IF(ISNUMBER(SEARCH("%", A57)),RIGHT(A57,3),A57)</f>
        <v>11, 13, ZUBAT</v>
      </c>
      <c r="C57" s="2" t="s">
        <v>2824</v>
      </c>
    </row>
    <row r="58" customFormat="false" ht="12.75" hidden="false" customHeight="true" outlineLevel="0" collapsed="false">
      <c r="A58" s="3" t="s">
        <v>2825</v>
      </c>
      <c r="B58" s="3" t="str">
        <f aca="false">IF(ISNUMBER(SEARCH("%", A58)),RIGHT(A58,3),A58)</f>
        <v>11, 13, GEODUDE</v>
      </c>
      <c r="C58" s="2" t="s">
        <v>2825</v>
      </c>
    </row>
    <row r="59" customFormat="false" ht="12.75" hidden="false" customHeight="true" outlineLevel="0" collapsed="false">
      <c r="A59" s="3" t="s">
        <v>2825</v>
      </c>
      <c r="B59" s="3" t="str">
        <f aca="false">IF(ISNUMBER(SEARCH("%", A59)),RIGHT(A59,3),A59)</f>
        <v>11, 13, GEODUDE</v>
      </c>
      <c r="C59" s="2" t="s">
        <v>2825</v>
      </c>
    </row>
    <row r="60" customFormat="false" ht="12.75" hidden="false" customHeight="true" outlineLevel="0" collapsed="false">
      <c r="A60" s="3"/>
      <c r="B60" s="3" t="n">
        <f aca="false">IF(ISNUMBER(SEARCH("%", A60)),RIGHT(A60,3),A60)</f>
        <v>0</v>
      </c>
      <c r="C60" s="2"/>
    </row>
    <row r="61" customFormat="false" ht="12.75" hidden="false" customHeight="true" outlineLevel="0" collapsed="false">
      <c r="A61" s="3" t="s">
        <v>2806</v>
      </c>
      <c r="B61" s="3" t="str">
        <f aca="false">IF(ISNUMBER(SEARCH("%", A61)),RIGHT(A61,3),A61)</f>
        <v>0.05</v>
      </c>
      <c r="C61" s="2" t="s">
        <v>2806</v>
      </c>
    </row>
    <row r="62" customFormat="false" ht="12.75" hidden="false" customHeight="true" outlineLevel="0" collapsed="false">
      <c r="A62" s="3" t="s">
        <v>2826</v>
      </c>
      <c r="B62" s="3" t="str">
        <f aca="false">IF(ISNUMBER(SEARCH("%", A62)),RIGHT(A62,3),A62)</f>
        <v>12, 12, SANDSHREW</v>
      </c>
      <c r="C62" s="2" t="s">
        <v>2826</v>
      </c>
    </row>
    <row r="63" customFormat="false" ht="12.75" hidden="false" customHeight="true" outlineLevel="0" collapsed="false">
      <c r="A63" s="3" t="s">
        <v>2826</v>
      </c>
      <c r="B63" s="3" t="str">
        <f aca="false">IF(ISNUMBER(SEARCH("%", A63)),RIGHT(A63,3),A63)</f>
        <v>12, 12, SANDSHREW</v>
      </c>
      <c r="C63" s="2" t="s">
        <v>2826</v>
      </c>
    </row>
    <row r="64" customFormat="false" ht="12.75" hidden="false" customHeight="true" outlineLevel="0" collapsed="false">
      <c r="A64" s="3"/>
      <c r="B64" s="3" t="n">
        <f aca="false">IF(ISNUMBER(SEARCH("%", A64)),RIGHT(A64,3),A64)</f>
        <v>0</v>
      </c>
      <c r="C64" s="2"/>
    </row>
    <row r="65" customFormat="false" ht="12.75" hidden="false" customHeight="true" outlineLevel="0" collapsed="false">
      <c r="A65" s="3" t="s">
        <v>2809</v>
      </c>
      <c r="B65" s="3" t="str">
        <f aca="false">IF(ISNUMBER(SEARCH("%", A65)),RIGHT(A65,3),A65)</f>
        <v>0.04</v>
      </c>
      <c r="C65" s="2" t="s">
        <v>2809</v>
      </c>
    </row>
    <row r="66" customFormat="false" ht="12.75" hidden="false" customHeight="true" outlineLevel="0" collapsed="false">
      <c r="A66" s="3" t="s">
        <v>2827</v>
      </c>
      <c r="B66" s="3" t="str">
        <f aca="false">IF(ISNUMBER(SEARCH("%", A66)),RIGHT(A66,3),A66)</f>
        <v>12, 12, PARAS</v>
      </c>
      <c r="C66" s="2" t="s">
        <v>2827</v>
      </c>
    </row>
    <row r="67" customFormat="false" ht="12.75" hidden="false" customHeight="true" outlineLevel="0" collapsed="false">
      <c r="A67" s="3" t="s">
        <v>2827</v>
      </c>
      <c r="B67" s="3" t="str">
        <f aca="false">IF(ISNUMBER(SEARCH("%", A67)),RIGHT(A67,3),A67)</f>
        <v>12, 12, PARAS</v>
      </c>
      <c r="C67" s="2" t="s">
        <v>2827</v>
      </c>
    </row>
    <row r="68" customFormat="false" ht="12.75" hidden="false" customHeight="true" outlineLevel="0" collapsed="false">
      <c r="A68" s="3"/>
      <c r="B68" s="3" t="n">
        <f aca="false">IF(ISNUMBER(SEARCH("%", A68)),RIGHT(A68,3),A68)</f>
        <v>0</v>
      </c>
      <c r="C68" s="2"/>
    </row>
    <row r="69" customFormat="false" ht="12.75" hidden="false" customHeight="true" outlineLevel="0" collapsed="false">
      <c r="A69" s="3" t="s">
        <v>2812</v>
      </c>
      <c r="B69" s="3" t="str">
        <f aca="false">IF(ISNUMBER(SEARCH("%", A69)),RIGHT(A69,3),A69)</f>
        <v>0.01</v>
      </c>
      <c r="C69" s="2" t="s">
        <v>2812</v>
      </c>
    </row>
    <row r="70" customFormat="false" ht="12.75" hidden="false" customHeight="true" outlineLevel="0" collapsed="false">
      <c r="A70" s="3" t="s">
        <v>2828</v>
      </c>
      <c r="B70" s="3" t="str">
        <f aca="false">IF(ISNUMBER(SEARCH("%", A70)),RIGHT(A70,3),A70)</f>
        <v>12, 15, ONIX</v>
      </c>
      <c r="C70" s="2" t="s">
        <v>2828</v>
      </c>
    </row>
    <row r="71" customFormat="false" ht="12.75" hidden="false" customHeight="true" outlineLevel="0" collapsed="false">
      <c r="A71" s="3" t="s">
        <v>2829</v>
      </c>
      <c r="B71" s="3" t="str">
        <f aca="false">IF(ISNUMBER(SEARCH("%", A71)),RIGHT(A71,3),A71)</f>
        <v>12, 15, CLEFAIRY , &lt;null&gt;, &lt;null&gt;, &lt;null&gt;</v>
      </c>
      <c r="C71" s="2" t="s">
        <v>2829</v>
      </c>
    </row>
    <row r="72" customFormat="false" ht="12.75" hidden="false" customHeight="true" outlineLevel="0" collapsed="false">
      <c r="A72" s="3"/>
      <c r="B72" s="3" t="n">
        <f aca="false">IF(ISNUMBER(SEARCH("%", A72)),RIGHT(A72,3),A72)</f>
        <v>0</v>
      </c>
      <c r="C72" s="2"/>
    </row>
    <row r="73" customFormat="false" ht="12.75" hidden="false" customHeight="true" outlineLevel="0" collapsed="false">
      <c r="A73" s="3" t="s">
        <v>2536</v>
      </c>
      <c r="B73" s="3" t="str">
        <f aca="false">IF(ISNUMBER(SEARCH("%", A73)),RIGHT(A73,3),A73)</f>
        <v>NEW ROUTE</v>
      </c>
      <c r="C73" s="2" t="s">
        <v>2536</v>
      </c>
    </row>
    <row r="74" customFormat="false" ht="12.75" hidden="false" customHeight="true" outlineLevel="0" collapsed="false">
      <c r="A74" s="3" t="s">
        <v>2830</v>
      </c>
      <c r="B74" s="3" t="str">
        <f aca="false">IF(ISNUMBER(SEARCH("%", A74)),RIGHT(A74,3),A74)</f>
        <v>1, 3, 0,</v>
      </c>
      <c r="C74" s="2" t="s">
        <v>2830</v>
      </c>
    </row>
    <row r="75" customFormat="false" ht="12.75" hidden="false" customHeight="true" outlineLevel="0" collapsed="false">
      <c r="A75" s="3" t="s">
        <v>2816</v>
      </c>
      <c r="B75" s="3" t="str">
        <f aca="false">IF(ISNUMBER(SEARCH("%", A75)),RIGHT(A75,3),A75)</f>
        <v>20%</v>
      </c>
      <c r="C75" s="2" t="s">
        <v>2799</v>
      </c>
    </row>
    <row r="76" customFormat="false" ht="12.75" hidden="false" customHeight="true" outlineLevel="0" collapsed="false">
      <c r="A76" s="3" t="s">
        <v>1251</v>
      </c>
      <c r="B76" s="3" t="str">
        <f aca="false">IF(ISNUMBER(SEARCH("%", A76)),RIGHT(A76,3),A76)</f>
        <v>10, 13, ZUBAT</v>
      </c>
      <c r="C76" s="2" t="s">
        <v>1251</v>
      </c>
    </row>
    <row r="77" customFormat="false" ht="12.75" hidden="false" customHeight="true" outlineLevel="0" collapsed="false">
      <c r="A77" s="3" t="s">
        <v>1251</v>
      </c>
      <c r="B77" s="3" t="str">
        <f aca="false">IF(ISNUMBER(SEARCH("%", A77)),RIGHT(A77,3),A77)</f>
        <v>10, 13, ZUBAT</v>
      </c>
      <c r="C77" s="2" t="s">
        <v>1251</v>
      </c>
    </row>
    <row r="78" customFormat="false" ht="12.75" hidden="false" customHeight="true" outlineLevel="0" collapsed="false">
      <c r="A78" s="3"/>
      <c r="B78" s="3" t="n">
        <f aca="false">IF(ISNUMBER(SEARCH("%", A78)),RIGHT(A78,3),A78)</f>
        <v>0</v>
      </c>
      <c r="C78" s="2"/>
    </row>
    <row r="79" customFormat="false" ht="12.75" hidden="false" customHeight="true" outlineLevel="0" collapsed="false">
      <c r="A79" s="3" t="s">
        <v>2801</v>
      </c>
      <c r="B79" s="3" t="str">
        <f aca="false">IF(ISNUMBER(SEARCH("%", A79)),RIGHT(A79,3),A79)</f>
        <v>0.1</v>
      </c>
      <c r="C79" s="2" t="s">
        <v>2801</v>
      </c>
    </row>
    <row r="80" customFormat="false" ht="12.75" hidden="false" customHeight="true" outlineLevel="0" collapsed="false">
      <c r="A80" s="3" t="s">
        <v>2831</v>
      </c>
      <c r="B80" s="3" t="str">
        <f aca="false">IF(ISNUMBER(SEARCH("%", A80)),RIGHT(A80,3),A80)</f>
        <v>11, 14, ZUBAT</v>
      </c>
      <c r="C80" s="2" t="s">
        <v>2831</v>
      </c>
    </row>
    <row r="81" customFormat="false" ht="12.75" hidden="false" customHeight="true" outlineLevel="0" collapsed="false">
      <c r="A81" s="3" t="s">
        <v>2832</v>
      </c>
      <c r="B81" s="3" t="str">
        <f aca="false">IF(ISNUMBER(SEARCH("%", A81)),RIGHT(A81,3),A81)</f>
        <v>11, 14, GEODUDE</v>
      </c>
      <c r="C81" s="2" t="s">
        <v>2832</v>
      </c>
    </row>
    <row r="82" customFormat="false" ht="12.75" hidden="false" customHeight="true" outlineLevel="0" collapsed="false">
      <c r="A82" s="3" t="s">
        <v>2832</v>
      </c>
      <c r="B82" s="3" t="str">
        <f aca="false">IF(ISNUMBER(SEARCH("%", A82)),RIGHT(A82,3),A82)</f>
        <v>11, 14, GEODUDE</v>
      </c>
      <c r="C82" s="2" t="s">
        <v>2832</v>
      </c>
    </row>
    <row r="83" customFormat="false" ht="12.75" hidden="false" customHeight="true" outlineLevel="0" collapsed="false">
      <c r="A83" s="3" t="s">
        <v>2833</v>
      </c>
      <c r="B83" s="3" t="str">
        <f aca="false">IF(ISNUMBER(SEARCH("%", A83)),RIGHT(A83,3),A83)</f>
        <v>11, 14, SANDSHREW</v>
      </c>
      <c r="C83" s="2" t="s">
        <v>2833</v>
      </c>
    </row>
    <row r="84" customFormat="false" ht="12.75" hidden="false" customHeight="true" outlineLevel="0" collapsed="false">
      <c r="A84" s="3"/>
      <c r="B84" s="3" t="n">
        <f aca="false">IF(ISNUMBER(SEARCH("%", A84)),RIGHT(A84,3),A84)</f>
        <v>0</v>
      </c>
      <c r="C84" s="2"/>
    </row>
    <row r="85" customFormat="false" ht="12.75" hidden="false" customHeight="true" outlineLevel="0" collapsed="false">
      <c r="A85" s="3" t="s">
        <v>2806</v>
      </c>
      <c r="B85" s="3" t="str">
        <f aca="false">IF(ISNUMBER(SEARCH("%", A85)),RIGHT(A85,3),A85)</f>
        <v>0.05</v>
      </c>
      <c r="C85" s="2" t="s">
        <v>2806</v>
      </c>
    </row>
    <row r="86" customFormat="false" ht="12.75" hidden="false" customHeight="true" outlineLevel="0" collapsed="false">
      <c r="A86" s="3" t="s">
        <v>2834</v>
      </c>
      <c r="B86" s="3" t="str">
        <f aca="false">IF(ISNUMBER(SEARCH("%", A86)),RIGHT(A86,3),A86)</f>
        <v>13, 13, PARAS</v>
      </c>
      <c r="C86" s="2" t="s">
        <v>2834</v>
      </c>
    </row>
    <row r="87" customFormat="false" ht="12.75" hidden="false" customHeight="true" outlineLevel="0" collapsed="false">
      <c r="A87" s="3" t="s">
        <v>2834</v>
      </c>
      <c r="B87" s="3" t="str">
        <f aca="false">IF(ISNUMBER(SEARCH("%", A87)),RIGHT(A87,3),A87)</f>
        <v>13, 13, PARAS</v>
      </c>
      <c r="C87" s="2" t="s">
        <v>2834</v>
      </c>
    </row>
    <row r="88" customFormat="false" ht="12.75" hidden="false" customHeight="true" outlineLevel="0" collapsed="false">
      <c r="A88" s="3"/>
      <c r="B88" s="3" t="n">
        <f aca="false">IF(ISNUMBER(SEARCH("%", A88)),RIGHT(A88,3),A88)</f>
        <v>0</v>
      </c>
      <c r="C88" s="2"/>
    </row>
    <row r="89" customFormat="false" ht="12.75" hidden="false" customHeight="true" outlineLevel="0" collapsed="false">
      <c r="A89" s="3" t="s">
        <v>2809</v>
      </c>
      <c r="B89" s="3" t="str">
        <f aca="false">IF(ISNUMBER(SEARCH("%", A89)),RIGHT(A89,3),A89)</f>
        <v>0.04</v>
      </c>
      <c r="C89" s="2" t="s">
        <v>2809</v>
      </c>
    </row>
    <row r="90" customFormat="false" ht="12.75" hidden="false" customHeight="true" outlineLevel="0" collapsed="false">
      <c r="A90" s="3" t="s">
        <v>2835</v>
      </c>
      <c r="B90" s="3" t="str">
        <f aca="false">IF(ISNUMBER(SEARCH("%", A90)),RIGHT(A90,3),A90)</f>
        <v>13, 13, ONIX</v>
      </c>
      <c r="C90" s="2" t="s">
        <v>2835</v>
      </c>
    </row>
    <row r="91" customFormat="false" ht="12.75" hidden="false" customHeight="true" outlineLevel="0" collapsed="false">
      <c r="A91" s="3" t="s">
        <v>2836</v>
      </c>
      <c r="B91" s="3" t="str">
        <f aca="false">IF(ISNUMBER(SEARCH("%", A91)),RIGHT(A91,3),A91)</f>
        <v>13, 13, CLEFAIRY</v>
      </c>
      <c r="C91" s="2" t="s">
        <v>2836</v>
      </c>
    </row>
    <row r="92" customFormat="false" ht="12.75" hidden="false" customHeight="true" outlineLevel="0" collapsed="false">
      <c r="A92" s="3"/>
      <c r="B92" s="3" t="n">
        <f aca="false">IF(ISNUMBER(SEARCH("%", A92)),RIGHT(A92,3),A92)</f>
        <v>0</v>
      </c>
      <c r="C92" s="2"/>
    </row>
    <row r="93" customFormat="false" ht="12.75" hidden="false" customHeight="true" outlineLevel="0" collapsed="false">
      <c r="A93" s="3" t="s">
        <v>2812</v>
      </c>
      <c r="B93" s="3" t="str">
        <f aca="false">IF(ISNUMBER(SEARCH("%", A93)),RIGHT(A93,3),A93)</f>
        <v>0.01</v>
      </c>
      <c r="C93" s="2" t="s">
        <v>2812</v>
      </c>
    </row>
    <row r="94" customFormat="false" ht="12.75" hidden="false" customHeight="true" outlineLevel="0" collapsed="false">
      <c r="A94" s="3" t="s">
        <v>2837</v>
      </c>
      <c r="B94" s="3" t="str">
        <f aca="false">IF(ISNUMBER(SEARCH("%", A94)),RIGHT(A94,3),A94)</f>
        <v>13, 16, GOLBAT</v>
      </c>
      <c r="C94" s="2" t="s">
        <v>2837</v>
      </c>
    </row>
    <row r="95" customFormat="false" ht="12.75" hidden="false" customHeight="true" outlineLevel="0" collapsed="false">
      <c r="A95" s="3" t="s">
        <v>2838</v>
      </c>
      <c r="B95" s="3" t="str">
        <f aca="false">IF(ISNUMBER(SEARCH("%", A95)),RIGHT(A95,3),A95)</f>
        <v>13, 16, GRAVELER , &lt;null&gt;, &lt;null&gt;, &lt;null&gt;</v>
      </c>
      <c r="C95" s="2" t="s">
        <v>2838</v>
      </c>
    </row>
    <row r="96" customFormat="false" ht="12.75" hidden="false" customHeight="true" outlineLevel="0" collapsed="false">
      <c r="A96" s="3"/>
      <c r="B96" s="3" t="n">
        <f aca="false">IF(ISNUMBER(SEARCH("%", A96)),RIGHT(A96,3),A96)</f>
        <v>0</v>
      </c>
      <c r="C96" s="2"/>
    </row>
    <row r="97" customFormat="false" ht="12.75" hidden="false" customHeight="true" outlineLevel="0" collapsed="false">
      <c r="A97" s="3" t="s">
        <v>2536</v>
      </c>
      <c r="B97" s="3" t="str">
        <f aca="false">IF(ISNUMBER(SEARCH("%", A97)),RIGHT(A97,3),A97)</f>
        <v>NEW ROUTE</v>
      </c>
      <c r="C97" s="2" t="s">
        <v>2536</v>
      </c>
    </row>
    <row r="98" customFormat="false" ht="12.75" hidden="false" customHeight="true" outlineLevel="0" collapsed="false">
      <c r="A98" s="3" t="s">
        <v>2839</v>
      </c>
      <c r="B98" s="3" t="str">
        <f aca="false">IF(ISNUMBER(SEARCH("%", A98)),RIGHT(A98,3),A98)</f>
        <v>1, 4, 0, &lt;null&gt;,</v>
      </c>
      <c r="C98" s="2" t="s">
        <v>2839</v>
      </c>
    </row>
    <row r="99" customFormat="false" ht="12.75" hidden="false" customHeight="true" outlineLevel="0" collapsed="false">
      <c r="A99" s="3"/>
      <c r="B99" s="3" t="n">
        <f aca="false">IF(ISNUMBER(SEARCH("%", A99)),RIGHT(A99,3),A99)</f>
        <v>0</v>
      </c>
      <c r="C99" s="2"/>
    </row>
    <row r="100" customFormat="false" ht="12.75" hidden="false" customHeight="true" outlineLevel="0" collapsed="false">
      <c r="A100" s="3" t="s">
        <v>2840</v>
      </c>
      <c r="B100" s="3" t="str">
        <f aca="false">IF(ISNUMBER(SEARCH("%", A100)),RIGHT(A100,3),A100)</f>
        <v>1, 5, 10, TENTACOOL</v>
      </c>
      <c r="C100" s="2" t="s">
        <v>2840</v>
      </c>
    </row>
    <row r="101" customFormat="false" ht="12.75" hidden="false" customHeight="true" outlineLevel="0" collapsed="false">
      <c r="A101" s="3" t="s">
        <v>2841</v>
      </c>
      <c r="B101" s="3" t="str">
        <f aca="false">IF(ISNUMBER(SEARCH("%", A101)),RIGHT(A101,3),A101)</f>
        <v>10, 20, TENTACOOL</v>
      </c>
      <c r="C101" s="2" t="s">
        <v>2841</v>
      </c>
    </row>
    <row r="102" customFormat="false" ht="12.75" hidden="false" customHeight="true" outlineLevel="0" collapsed="false">
      <c r="A102" s="3" t="s">
        <v>2842</v>
      </c>
      <c r="B102" s="3" t="str">
        <f aca="false">IF(ISNUMBER(SEARCH("%", A102)),RIGHT(A102,3),A102)</f>
        <v>20, 30, TENTACOOL</v>
      </c>
      <c r="C102" s="2" t="s">
        <v>2842</v>
      </c>
    </row>
    <row r="103" customFormat="false" ht="12.75" hidden="false" customHeight="true" outlineLevel="0" collapsed="false">
      <c r="A103" s="3" t="s">
        <v>2843</v>
      </c>
      <c r="B103" s="3" t="str">
        <f aca="false">IF(ISNUMBER(SEARCH("%", A103)),RIGHT(A103,3),A103)</f>
        <v>30, 35, TENTACOOL</v>
      </c>
      <c r="C103" s="2" t="s">
        <v>2843</v>
      </c>
    </row>
    <row r="104" customFormat="false" ht="12.75" hidden="false" customHeight="true" outlineLevel="0" collapsed="false">
      <c r="A104" s="3" t="s">
        <v>2844</v>
      </c>
      <c r="B104" s="3" t="str">
        <f aca="false">IF(ISNUMBER(SEARCH("%", A104)),RIGHT(A104,3),A104)</f>
        <v>35, 40, TENTACOOL</v>
      </c>
      <c r="C104" s="2" t="s">
        <v>2844</v>
      </c>
    </row>
    <row r="105" customFormat="false" ht="12.75" hidden="false" customHeight="true" outlineLevel="0" collapsed="false">
      <c r="A105" s="3" t="s">
        <v>2845</v>
      </c>
      <c r="B105" s="3" t="str">
        <f aca="false">IF(ISNUMBER(SEARCH("%", A105)),RIGHT(A105,3),A105)</f>
        <v>10, old rod:</v>
      </c>
      <c r="C105" s="2" t="s">
        <v>2845</v>
      </c>
    </row>
    <row r="106" customFormat="false" ht="12.75" hidden="false" customHeight="true" outlineLevel="0" collapsed="false">
      <c r="A106" s="3" t="s">
        <v>1266</v>
      </c>
      <c r="B106" s="3" t="str">
        <f aca="false">IF(ISNUMBER(SEARCH("%", A106)),RIGHT(A106,3),A106)</f>
        <v>5, 5, MAGIKARP</v>
      </c>
      <c r="C106" s="2" t="s">
        <v>1266</v>
      </c>
    </row>
    <row r="107" customFormat="false" ht="12.75" hidden="false" customHeight="true" outlineLevel="0" collapsed="false">
      <c r="A107" s="3" t="s">
        <v>1266</v>
      </c>
      <c r="B107" s="3" t="str">
        <f aca="false">IF(ISNUMBER(SEARCH("%", A107)),RIGHT(A107,3),A107)</f>
        <v>5, 5, MAGIKARP</v>
      </c>
      <c r="C107" s="2" t="s">
        <v>1266</v>
      </c>
    </row>
    <row r="108" customFormat="false" ht="12.75" hidden="false" customHeight="true" outlineLevel="0" collapsed="false">
      <c r="A108" s="3"/>
      <c r="B108" s="3" t="n">
        <f aca="false">IF(ISNUMBER(SEARCH("%", A108)),RIGHT(A108,3),A108)</f>
        <v>0</v>
      </c>
      <c r="C108" s="2"/>
    </row>
    <row r="109" customFormat="false" ht="12.75" hidden="false" customHeight="true" outlineLevel="0" collapsed="false">
      <c r="A109" s="3" t="s">
        <v>2846</v>
      </c>
      <c r="B109" s="3" t="str">
        <f aca="false">IF(ISNUMBER(SEARCH("%", A109)),RIGHT(A109,3),A109)</f>
        <v>good rod:</v>
      </c>
      <c r="C109" s="2" t="s">
        <v>2846</v>
      </c>
    </row>
    <row r="110" customFormat="false" ht="12.75" hidden="false" customHeight="true" outlineLevel="0" collapsed="false">
      <c r="A110" s="3" t="s">
        <v>2847</v>
      </c>
      <c r="B110" s="3" t="str">
        <f aca="false">IF(ISNUMBER(SEARCH("%", A110)),RIGHT(A110,3),A110)</f>
        <v>5, 15, KRABBY</v>
      </c>
      <c r="C110" s="2" t="s">
        <v>2847</v>
      </c>
    </row>
    <row r="111" customFormat="false" ht="12.75" hidden="false" customHeight="true" outlineLevel="0" collapsed="false">
      <c r="A111" s="3" t="s">
        <v>2848</v>
      </c>
      <c r="B111" s="3" t="str">
        <f aca="false">IF(ISNUMBER(SEARCH("%", A111)),RIGHT(A111,3),A111)</f>
        <v>5, 15, MAGIKARP</v>
      </c>
      <c r="C111" s="2" t="s">
        <v>2848</v>
      </c>
    </row>
    <row r="112" customFormat="false" ht="12.75" hidden="false" customHeight="true" outlineLevel="0" collapsed="false">
      <c r="A112" s="3" t="s">
        <v>2849</v>
      </c>
      <c r="B112" s="3" t="str">
        <f aca="false">IF(ISNUMBER(SEARCH("%", A112)),RIGHT(A112,3),A112)</f>
        <v>5, 15, HORSEA</v>
      </c>
      <c r="C112" s="2" t="s">
        <v>2849</v>
      </c>
    </row>
    <row r="113" customFormat="false" ht="12.75" hidden="false" customHeight="true" outlineLevel="0" collapsed="false">
      <c r="A113" s="3"/>
      <c r="B113" s="3" t="n">
        <f aca="false">IF(ISNUMBER(SEARCH("%", A113)),RIGHT(A113,3),A113)</f>
        <v>0</v>
      </c>
      <c r="C113" s="2"/>
    </row>
    <row r="114" customFormat="false" ht="12.75" hidden="false" customHeight="true" outlineLevel="0" collapsed="false">
      <c r="A114" s="3" t="s">
        <v>2850</v>
      </c>
      <c r="B114" s="3" t="str">
        <f aca="false">IF(ISNUMBER(SEARCH("%", A114)),RIGHT(A114,3),A114)</f>
        <v>super rod:</v>
      </c>
      <c r="C114" s="2" t="s">
        <v>2850</v>
      </c>
    </row>
    <row r="115" customFormat="false" ht="12.75" hidden="false" customHeight="true" outlineLevel="0" collapsed="false">
      <c r="A115" s="3" t="s">
        <v>2851</v>
      </c>
      <c r="B115" s="3" t="str">
        <f aca="false">IF(ISNUMBER(SEARCH("%", A115)),RIGHT(A115,3),A115)</f>
        <v>15, 25, KRABBY</v>
      </c>
      <c r="C115" s="2" t="s">
        <v>2851</v>
      </c>
    </row>
    <row r="116" customFormat="false" ht="12.75" hidden="false" customHeight="true" outlineLevel="0" collapsed="false">
      <c r="A116" s="3" t="s">
        <v>2852</v>
      </c>
      <c r="B116" s="3" t="str">
        <f aca="false">IF(ISNUMBER(SEARCH("%", A116)),RIGHT(A116,3),A116)</f>
        <v>15, 25, STARYU</v>
      </c>
      <c r="C116" s="2" t="s">
        <v>2852</v>
      </c>
    </row>
    <row r="117" customFormat="false" ht="12.75" hidden="false" customHeight="true" outlineLevel="0" collapsed="false">
      <c r="A117" s="3" t="s">
        <v>2853</v>
      </c>
      <c r="B117" s="3" t="str">
        <f aca="false">IF(ISNUMBER(SEARCH("%", A117)),RIGHT(A117,3),A117)</f>
        <v>15, 25, GYARADOS</v>
      </c>
      <c r="C117" s="2" t="s">
        <v>2853</v>
      </c>
    </row>
    <row r="118" customFormat="false" ht="12.75" hidden="false" customHeight="true" outlineLevel="0" collapsed="false">
      <c r="A118" s="3" t="s">
        <v>2854</v>
      </c>
      <c r="B118" s="3" t="str">
        <f aca="false">IF(ISNUMBER(SEARCH("%", A118)),RIGHT(A118,3),A118)</f>
        <v>25, 35, KRABBY</v>
      </c>
      <c r="C118" s="2" t="s">
        <v>2854</v>
      </c>
    </row>
    <row r="119" customFormat="false" ht="12.75" hidden="false" customHeight="true" outlineLevel="0" collapsed="false">
      <c r="A119" s="3" t="s">
        <v>2855</v>
      </c>
      <c r="B119" s="3" t="str">
        <f aca="false">IF(ISNUMBER(SEARCH("%", A119)),RIGHT(A119,3),A119)</f>
        <v>25, 35, SLOWPOKE</v>
      </c>
      <c r="C119" s="2" t="s">
        <v>2855</v>
      </c>
    </row>
    <row r="120" customFormat="false" ht="12.75" hidden="false" customHeight="true" outlineLevel="0" collapsed="false">
      <c r="A120" s="3" t="s">
        <v>2536</v>
      </c>
      <c r="B120" s="3" t="str">
        <f aca="false">IF(ISNUMBER(SEARCH("%", A120)),RIGHT(A120,3),A120)</f>
        <v>NEW ROUTE</v>
      </c>
      <c r="C120" s="2" t="s">
        <v>2536</v>
      </c>
    </row>
    <row r="121" customFormat="false" ht="12.75" hidden="false" customHeight="true" outlineLevel="0" collapsed="false">
      <c r="A121" s="3" t="s">
        <v>2856</v>
      </c>
      <c r="B121" s="3" t="str">
        <f aca="false">IF(ISNUMBER(SEARCH("%", A121)),RIGHT(A121,3),A121)</f>
        <v>1, 37, 0,</v>
      </c>
      <c r="C121" s="2" t="s">
        <v>2856</v>
      </c>
    </row>
    <row r="122" customFormat="false" ht="12.75" hidden="false" customHeight="true" outlineLevel="0" collapsed="false">
      <c r="A122" s="3" t="s">
        <v>2823</v>
      </c>
      <c r="B122" s="3" t="str">
        <f aca="false">IF(ISNUMBER(SEARCH("%", A122)),RIGHT(A122,3),A122)</f>
        <v>20%</v>
      </c>
      <c r="C122" s="2" t="s">
        <v>2799</v>
      </c>
    </row>
    <row r="123" customFormat="false" ht="12.75" hidden="false" customHeight="true" outlineLevel="0" collapsed="false">
      <c r="A123" s="3" t="s">
        <v>1279</v>
      </c>
      <c r="B123" s="3" t="str">
        <f aca="false">IF(ISNUMBER(SEARCH("%", A123)),RIGHT(A123,3),A123)</f>
        <v>18, 18, DIGLETT</v>
      </c>
      <c r="C123" s="2" t="s">
        <v>1279</v>
      </c>
    </row>
    <row r="124" customFormat="false" ht="12.75" hidden="false" customHeight="true" outlineLevel="0" collapsed="false">
      <c r="A124" s="3" t="s">
        <v>2857</v>
      </c>
      <c r="B124" s="3" t="str">
        <f aca="false">IF(ISNUMBER(SEARCH("%", A124)),RIGHT(A124,3),A124)</f>
        <v>19, 19, DIGLETT</v>
      </c>
      <c r="C124" s="2" t="s">
        <v>2857</v>
      </c>
    </row>
    <row r="125" customFormat="false" ht="12.75" hidden="false" customHeight="true" outlineLevel="0" collapsed="false">
      <c r="A125" s="3"/>
      <c r="B125" s="3" t="n">
        <f aca="false">IF(ISNUMBER(SEARCH("%", A125)),RIGHT(A125,3),A125)</f>
        <v>0</v>
      </c>
      <c r="C125" s="2"/>
    </row>
    <row r="126" customFormat="false" ht="12.75" hidden="false" customHeight="true" outlineLevel="0" collapsed="false">
      <c r="A126" s="3" t="s">
        <v>2801</v>
      </c>
      <c r="B126" s="3" t="str">
        <f aca="false">IF(ISNUMBER(SEARCH("%", A126)),RIGHT(A126,3),A126)</f>
        <v>0.1</v>
      </c>
      <c r="C126" s="2" t="s">
        <v>2801</v>
      </c>
    </row>
    <row r="127" customFormat="false" ht="12.75" hidden="false" customHeight="true" outlineLevel="0" collapsed="false">
      <c r="A127" s="3" t="s">
        <v>2858</v>
      </c>
      <c r="B127" s="3" t="str">
        <f aca="false">IF(ISNUMBER(SEARCH("%", A127)),RIGHT(A127,3),A127)</f>
        <v>20, 20, DIGLETT</v>
      </c>
      <c r="C127" s="2" t="s">
        <v>2858</v>
      </c>
    </row>
    <row r="128" customFormat="false" ht="12.75" hidden="false" customHeight="true" outlineLevel="0" collapsed="false">
      <c r="A128" s="3" t="s">
        <v>2859</v>
      </c>
      <c r="B128" s="3" t="str">
        <f aca="false">IF(ISNUMBER(SEARCH("%", A128)),RIGHT(A128,3),A128)</f>
        <v>21, 21, DIGLETT</v>
      </c>
      <c r="C128" s="2" t="s">
        <v>2859</v>
      </c>
    </row>
    <row r="129" customFormat="false" ht="12.75" hidden="false" customHeight="true" outlineLevel="0" collapsed="false">
      <c r="A129" s="3" t="s">
        <v>2860</v>
      </c>
      <c r="B129" s="3" t="str">
        <f aca="false">IF(ISNUMBER(SEARCH("%", A129)),RIGHT(A129,3),A129)</f>
        <v>22, 22, DIGLETT</v>
      </c>
      <c r="C129" s="2" t="s">
        <v>2860</v>
      </c>
    </row>
    <row r="130" customFormat="false" ht="12.75" hidden="false" customHeight="true" outlineLevel="0" collapsed="false">
      <c r="A130" s="3" t="s">
        <v>2861</v>
      </c>
      <c r="B130" s="3" t="str">
        <f aca="false">IF(ISNUMBER(SEARCH("%", A130)),RIGHT(A130,3),A130)</f>
        <v>19, 19, DUGTRIO</v>
      </c>
      <c r="C130" s="2" t="s">
        <v>2861</v>
      </c>
    </row>
    <row r="131" customFormat="false" ht="12.75" hidden="false" customHeight="true" outlineLevel="0" collapsed="false">
      <c r="A131" s="3"/>
      <c r="B131" s="3" t="n">
        <f aca="false">IF(ISNUMBER(SEARCH("%", A131)),RIGHT(A131,3),A131)</f>
        <v>0</v>
      </c>
      <c r="C131" s="2"/>
    </row>
    <row r="132" customFormat="false" ht="12.75" hidden="false" customHeight="true" outlineLevel="0" collapsed="false">
      <c r="A132" s="3" t="s">
        <v>2806</v>
      </c>
      <c r="B132" s="3" t="str">
        <f aca="false">IF(ISNUMBER(SEARCH("%", A132)),RIGHT(A132,3),A132)</f>
        <v>0.05</v>
      </c>
      <c r="C132" s="2" t="s">
        <v>2806</v>
      </c>
    </row>
    <row r="133" customFormat="false" ht="12.75" hidden="false" customHeight="true" outlineLevel="0" collapsed="false">
      <c r="A133" s="3" t="s">
        <v>2862</v>
      </c>
      <c r="B133" s="3" t="str">
        <f aca="false">IF(ISNUMBER(SEARCH("%", A133)),RIGHT(A133,3),A133)</f>
        <v>23, 23, DIGLETT</v>
      </c>
      <c r="C133" s="2" t="s">
        <v>2862</v>
      </c>
    </row>
    <row r="134" customFormat="false" ht="12.75" hidden="false" customHeight="true" outlineLevel="0" collapsed="false">
      <c r="A134" s="3" t="s">
        <v>2863</v>
      </c>
      <c r="B134" s="3" t="str">
        <f aca="false">IF(ISNUMBER(SEARCH("%", A134)),RIGHT(A134,3),A134)</f>
        <v>24, 24, DIGLETT</v>
      </c>
      <c r="C134" s="2" t="s">
        <v>2863</v>
      </c>
    </row>
    <row r="135" customFormat="false" ht="12.75" hidden="false" customHeight="true" outlineLevel="0" collapsed="false">
      <c r="A135" s="3"/>
      <c r="B135" s="3" t="n">
        <f aca="false">IF(ISNUMBER(SEARCH("%", A135)),RIGHT(A135,3),A135)</f>
        <v>0</v>
      </c>
      <c r="C135" s="2"/>
    </row>
    <row r="136" customFormat="false" ht="12.75" hidden="false" customHeight="true" outlineLevel="0" collapsed="false">
      <c r="A136" s="3" t="s">
        <v>2809</v>
      </c>
      <c r="B136" s="3" t="str">
        <f aca="false">IF(ISNUMBER(SEARCH("%", A136)),RIGHT(A136,3),A136)</f>
        <v>0.04</v>
      </c>
      <c r="C136" s="2" t="s">
        <v>2809</v>
      </c>
    </row>
    <row r="137" customFormat="false" ht="12.75" hidden="false" customHeight="true" outlineLevel="0" collapsed="false">
      <c r="A137" s="3" t="s">
        <v>2864</v>
      </c>
      <c r="B137" s="3" t="str">
        <f aca="false">IF(ISNUMBER(SEARCH("%", A137)),RIGHT(A137,3),A137)</f>
        <v>20, 23, DUGTRIO</v>
      </c>
      <c r="C137" s="2" t="s">
        <v>2864</v>
      </c>
    </row>
    <row r="138" customFormat="false" ht="12.75" hidden="false" customHeight="true" outlineLevel="0" collapsed="false">
      <c r="A138" s="3" t="s">
        <v>2865</v>
      </c>
      <c r="B138" s="3" t="str">
        <f aca="false">IF(ISNUMBER(SEARCH("%", A138)),RIGHT(A138,3),A138)</f>
        <v>24, 26, DUGTRIO</v>
      </c>
      <c r="C138" s="2" t="s">
        <v>2865</v>
      </c>
    </row>
    <row r="139" customFormat="false" ht="12.75" hidden="false" customHeight="true" outlineLevel="0" collapsed="false">
      <c r="A139" s="3"/>
      <c r="B139" s="3" t="n">
        <f aca="false">IF(ISNUMBER(SEARCH("%", A139)),RIGHT(A139,3),A139)</f>
        <v>0</v>
      </c>
      <c r="C139" s="2"/>
    </row>
    <row r="140" customFormat="false" ht="12.75" hidden="false" customHeight="true" outlineLevel="0" collapsed="false">
      <c r="A140" s="3" t="s">
        <v>2812</v>
      </c>
      <c r="B140" s="3" t="str">
        <f aca="false">IF(ISNUMBER(SEARCH("%", A140)),RIGHT(A140,3),A140)</f>
        <v>0.01</v>
      </c>
      <c r="C140" s="2" t="s">
        <v>2812</v>
      </c>
    </row>
    <row r="141" customFormat="false" ht="12.75" hidden="false" customHeight="true" outlineLevel="0" collapsed="false">
      <c r="A141" s="3" t="s">
        <v>2866</v>
      </c>
      <c r="B141" s="3" t="str">
        <f aca="false">IF(ISNUMBER(SEARCH("%", A141)),RIGHT(A141,3),A141)</f>
        <v>27, 28, DUGTRIO</v>
      </c>
      <c r="C141" s="2" t="s">
        <v>2866</v>
      </c>
    </row>
    <row r="142" customFormat="false" ht="12.75" hidden="false" customHeight="true" outlineLevel="0" collapsed="false">
      <c r="A142" s="3" t="s">
        <v>2867</v>
      </c>
      <c r="B142" s="3" t="str">
        <f aca="false">IF(ISNUMBER(SEARCH("%", A142)),RIGHT(A142,3),A142)</f>
        <v>30, 30, DUGROUPLE , &lt;null&gt;, &lt;null&gt;, &lt;null&gt;</v>
      </c>
      <c r="C142" s="2" t="s">
        <v>2867</v>
      </c>
    </row>
    <row r="143" customFormat="false" ht="12.75" hidden="false" customHeight="true" outlineLevel="0" collapsed="false">
      <c r="A143" s="3"/>
      <c r="B143" s="3" t="n">
        <f aca="false">IF(ISNUMBER(SEARCH("%", A143)),RIGHT(A143,3),A143)</f>
        <v>0</v>
      </c>
      <c r="C143" s="2"/>
    </row>
    <row r="144" customFormat="false" ht="12.75" hidden="false" customHeight="true" outlineLevel="0" collapsed="false">
      <c r="A144" s="3" t="s">
        <v>2536</v>
      </c>
      <c r="B144" s="3" t="str">
        <f aca="false">IF(ISNUMBER(SEARCH("%", A144)),RIGHT(A144,3),A144)</f>
        <v>NEW ROUTE</v>
      </c>
      <c r="C144" s="2" t="s">
        <v>2536</v>
      </c>
    </row>
    <row r="145" customFormat="false" ht="12.75" hidden="false" customHeight="true" outlineLevel="0" collapsed="false">
      <c r="A145" s="3" t="s">
        <v>2868</v>
      </c>
      <c r="B145" s="3" t="str">
        <f aca="false">IF(ISNUMBER(SEARCH("%", A145)),RIGHT(A145,3),A145)</f>
        <v>1, 39, 0,</v>
      </c>
      <c r="C145" s="2" t="s">
        <v>2868</v>
      </c>
    </row>
    <row r="146" customFormat="false" ht="12.75" hidden="false" customHeight="true" outlineLevel="0" collapsed="false">
      <c r="A146" s="3" t="s">
        <v>2816</v>
      </c>
      <c r="B146" s="3" t="str">
        <f aca="false">IF(ISNUMBER(SEARCH("%", A146)),RIGHT(A146,3),A146)</f>
        <v>20%</v>
      </c>
      <c r="C146" s="2" t="s">
        <v>2799</v>
      </c>
    </row>
    <row r="147" customFormat="false" ht="12.75" hidden="false" customHeight="true" outlineLevel="0" collapsed="false">
      <c r="A147" s="3" t="s">
        <v>1292</v>
      </c>
      <c r="B147" s="3" t="str">
        <f aca="false">IF(ISNUMBER(SEARCH("%", A147)),RIGHT(A147,3),A147)</f>
        <v>51, 56, NOHTYP</v>
      </c>
      <c r="C147" s="2" t="s">
        <v>1292</v>
      </c>
    </row>
    <row r="148" customFormat="false" ht="12.75" hidden="false" customHeight="true" outlineLevel="0" collapsed="false">
      <c r="A148" s="3" t="s">
        <v>2869</v>
      </c>
      <c r="B148" s="3" t="str">
        <f aca="false">IF(ISNUMBER(SEARCH("%", A148)),RIGHT(A148,3),A148)</f>
        <v>51, 56, CROBAT</v>
      </c>
      <c r="C148" s="2" t="s">
        <v>2869</v>
      </c>
    </row>
    <row r="149" customFormat="false" ht="12.75" hidden="false" customHeight="true" outlineLevel="0" collapsed="false">
      <c r="A149" s="3"/>
      <c r="B149" s="3" t="n">
        <f aca="false">IF(ISNUMBER(SEARCH("%", A149)),RIGHT(A149,3),A149)</f>
        <v>0</v>
      </c>
      <c r="C149" s="2"/>
    </row>
    <row r="150" customFormat="false" ht="12.75" hidden="false" customHeight="true" outlineLevel="0" collapsed="false">
      <c r="A150" s="3" t="s">
        <v>2801</v>
      </c>
      <c r="B150" s="3" t="str">
        <f aca="false">IF(ISNUMBER(SEARCH("%", A150)),RIGHT(A150,3),A150)</f>
        <v>0.1</v>
      </c>
      <c r="C150" s="2" t="s">
        <v>2801</v>
      </c>
    </row>
    <row r="151" customFormat="false" ht="12.75" hidden="false" customHeight="true" outlineLevel="0" collapsed="false">
      <c r="A151" s="3" t="s">
        <v>2870</v>
      </c>
      <c r="B151" s="3" t="str">
        <f aca="false">IF(ISNUMBER(SEARCH("%", A151)),RIGHT(A151,3),A151)</f>
        <v>51, 56, MACHAMP</v>
      </c>
      <c r="C151" s="2" t="s">
        <v>2870</v>
      </c>
    </row>
    <row r="152" customFormat="false" ht="12.75" hidden="false" customHeight="true" outlineLevel="0" collapsed="false">
      <c r="A152" s="3" t="s">
        <v>2871</v>
      </c>
      <c r="B152" s="3" t="str">
        <f aca="false">IF(ISNUMBER(SEARCH("%", A152)),RIGHT(A152,3),A152)</f>
        <v>51, 56, GOLEM</v>
      </c>
      <c r="C152" s="2" t="s">
        <v>2871</v>
      </c>
    </row>
    <row r="153" customFormat="false" ht="12.75" hidden="false" customHeight="true" outlineLevel="0" collapsed="false">
      <c r="A153" s="3" t="s">
        <v>2872</v>
      </c>
      <c r="B153" s="3" t="str">
        <f aca="false">IF(ISNUMBER(SEARCH("%", A153)),RIGHT(A153,3),A153)</f>
        <v>53, 57, ADNOKANA</v>
      </c>
      <c r="C153" s="2" t="s">
        <v>2872</v>
      </c>
    </row>
    <row r="154" customFormat="false" ht="12.75" hidden="false" customHeight="true" outlineLevel="0" collapsed="false">
      <c r="A154" s="3" t="s">
        <v>2873</v>
      </c>
      <c r="B154" s="3" t="str">
        <f aca="false">IF(ISNUMBER(SEARCH("%", A154)),RIGHT(A154,3),A154)</f>
        <v>53, 57, POLABAT</v>
      </c>
      <c r="C154" s="2" t="s">
        <v>2873</v>
      </c>
    </row>
    <row r="155" customFormat="false" ht="12.75" hidden="false" customHeight="true" outlineLevel="0" collapsed="false">
      <c r="A155" s="3"/>
      <c r="B155" s="3" t="n">
        <f aca="false">IF(ISNUMBER(SEARCH("%", A155)),RIGHT(A155,3),A155)</f>
        <v>0</v>
      </c>
      <c r="C155" s="2"/>
    </row>
    <row r="156" customFormat="false" ht="12.75" hidden="false" customHeight="true" outlineLevel="0" collapsed="false">
      <c r="A156" s="3" t="s">
        <v>2806</v>
      </c>
      <c r="B156" s="3" t="str">
        <f aca="false">IF(ISNUMBER(SEARCH("%", A156)),RIGHT(A156,3),A156)</f>
        <v>0.05</v>
      </c>
      <c r="C156" s="2" t="s">
        <v>2806</v>
      </c>
    </row>
    <row r="157" customFormat="false" ht="12.75" hidden="false" customHeight="true" outlineLevel="0" collapsed="false">
      <c r="A157" s="3" t="s">
        <v>2874</v>
      </c>
      <c r="B157" s="3" t="str">
        <f aca="false">IF(ISNUMBER(SEARCH("%", A157)),RIGHT(A157,3),A157)</f>
        <v>53, 57, MACHULK</v>
      </c>
      <c r="C157" s="2" t="s">
        <v>2874</v>
      </c>
    </row>
    <row r="158" customFormat="false" ht="12.75" hidden="false" customHeight="true" outlineLevel="0" collapsed="false">
      <c r="A158" s="3" t="s">
        <v>2875</v>
      </c>
      <c r="B158" s="3" t="str">
        <f aca="false">IF(ISNUMBER(SEARCH("%", A158)),RIGHT(A158,3),A158)</f>
        <v>53, 57, RHYMARKABL</v>
      </c>
      <c r="C158" s="2" t="s">
        <v>2875</v>
      </c>
    </row>
    <row r="159" customFormat="false" ht="12.75" hidden="false" customHeight="true" outlineLevel="0" collapsed="false">
      <c r="A159" s="3"/>
      <c r="B159" s="3" t="n">
        <f aca="false">IF(ISNUMBER(SEARCH("%", A159)),RIGHT(A159,3),A159)</f>
        <v>0</v>
      </c>
      <c r="C159" s="2"/>
    </row>
    <row r="160" customFormat="false" ht="12.75" hidden="false" customHeight="true" outlineLevel="0" collapsed="false">
      <c r="A160" s="3" t="s">
        <v>2809</v>
      </c>
      <c r="B160" s="3" t="str">
        <f aca="false">IF(ISNUMBER(SEARCH("%", A160)),RIGHT(A160,3),A160)</f>
        <v>0.04</v>
      </c>
      <c r="C160" s="2" t="s">
        <v>2809</v>
      </c>
    </row>
    <row r="161" customFormat="false" ht="12.75" hidden="false" customHeight="true" outlineLevel="0" collapsed="false">
      <c r="A161" s="3" t="s">
        <v>2876</v>
      </c>
      <c r="B161" s="3" t="str">
        <f aca="false">IF(ISNUMBER(SEARCH("%", A161)),RIGHT(A161,3),A161)</f>
        <v>55, 57, PLATNIX</v>
      </c>
      <c r="C161" s="2" t="s">
        <v>2876</v>
      </c>
    </row>
    <row r="162" customFormat="false" ht="12.75" hidden="false" customHeight="true" outlineLevel="0" collapsed="false">
      <c r="A162" s="3" t="s">
        <v>2877</v>
      </c>
      <c r="B162" s="3" t="str">
        <f aca="false">IF(ISNUMBER(SEARCH("%", A162)),RIGHT(A162,3),A162)</f>
        <v>55, 57, SLAGOLEM</v>
      </c>
      <c r="C162" s="2" t="s">
        <v>2877</v>
      </c>
    </row>
    <row r="163" customFormat="false" ht="12.75" hidden="false" customHeight="true" outlineLevel="0" collapsed="false">
      <c r="A163" s="3"/>
      <c r="B163" s="3" t="n">
        <f aca="false">IF(ISNUMBER(SEARCH("%", A163)),RIGHT(A163,3),A163)</f>
        <v>0</v>
      </c>
      <c r="C163" s="2"/>
    </row>
    <row r="164" customFormat="false" ht="12.75" hidden="false" customHeight="true" outlineLevel="0" collapsed="false">
      <c r="A164" s="3" t="s">
        <v>2812</v>
      </c>
      <c r="B164" s="3" t="str">
        <f aca="false">IF(ISNUMBER(SEARCH("%", A164)),RIGHT(A164,3),A164)</f>
        <v>0.01</v>
      </c>
      <c r="C164" s="2" t="s">
        <v>2812</v>
      </c>
    </row>
    <row r="165" customFormat="false" ht="12.75" hidden="false" customHeight="true" outlineLevel="0" collapsed="false">
      <c r="A165" s="3" t="s">
        <v>2878</v>
      </c>
      <c r="B165" s="3" t="str">
        <f aca="false">IF(ISNUMBER(SEARCH("%", A165)),RIGHT(A165,3),A165)</f>
        <v>58, 60, MOLTREM</v>
      </c>
      <c r="C165" s="2" t="s">
        <v>2878</v>
      </c>
    </row>
    <row r="166" customFormat="false" ht="12.75" hidden="false" customHeight="true" outlineLevel="0" collapsed="false">
      <c r="A166" s="3" t="s">
        <v>2879</v>
      </c>
      <c r="B166" s="3" t="str">
        <f aca="false">IF(ISNUMBER(SEARCH("%", A166)),RIGHT(A166,3),A166)</f>
        <v>58, 60, WRAIWRATH , &lt;null&gt;, &lt;null&gt;, &lt;null&gt;</v>
      </c>
      <c r="C166" s="2" t="s">
        <v>2879</v>
      </c>
    </row>
    <row r="167" customFormat="false" ht="12.75" hidden="false" customHeight="true" outlineLevel="0" collapsed="false">
      <c r="A167" s="3"/>
      <c r="B167" s="3" t="n">
        <f aca="false">IF(ISNUMBER(SEARCH("%", A167)),RIGHT(A167,3),A167)</f>
        <v>0</v>
      </c>
      <c r="C167" s="2"/>
    </row>
    <row r="168" customFormat="false" ht="12.75" hidden="false" customHeight="true" outlineLevel="0" collapsed="false">
      <c r="A168" s="3" t="s">
        <v>2536</v>
      </c>
      <c r="B168" s="3" t="str">
        <f aca="false">IF(ISNUMBER(SEARCH("%", A168)),RIGHT(A168,3),A168)</f>
        <v>NEW ROUTE</v>
      </c>
      <c r="C168" s="2" t="s">
        <v>2536</v>
      </c>
    </row>
    <row r="169" customFormat="false" ht="12.75" hidden="false" customHeight="true" outlineLevel="0" collapsed="false">
      <c r="A169" s="3" t="s">
        <v>2880</v>
      </c>
      <c r="B169" s="3" t="str">
        <f aca="false">IF(ISNUMBER(SEARCH("%", A169)),RIGHT(A169,3),A169)</f>
        <v>1, 40, 0,</v>
      </c>
      <c r="C169" s="2" t="s">
        <v>2880</v>
      </c>
    </row>
    <row r="170" customFormat="false" ht="12.75" hidden="false" customHeight="true" outlineLevel="0" collapsed="false">
      <c r="A170" s="3" t="s">
        <v>2816</v>
      </c>
      <c r="B170" s="3" t="str">
        <f aca="false">IF(ISNUMBER(SEARCH("%", A170)),RIGHT(A170,3),A170)</f>
        <v>20%</v>
      </c>
      <c r="C170" s="2" t="s">
        <v>2799</v>
      </c>
    </row>
    <row r="171" customFormat="false" ht="12.75" hidden="false" customHeight="true" outlineLevel="0" collapsed="false">
      <c r="A171" s="3" t="s">
        <v>1292</v>
      </c>
      <c r="B171" s="3" t="str">
        <f aca="false">IF(ISNUMBER(SEARCH("%", A171)),RIGHT(A171,3),A171)</f>
        <v>51, 56, NOHTYP</v>
      </c>
      <c r="C171" s="2" t="s">
        <v>1292</v>
      </c>
    </row>
    <row r="172" customFormat="false" ht="12.75" hidden="false" customHeight="true" outlineLevel="0" collapsed="false">
      <c r="A172" s="3" t="s">
        <v>2869</v>
      </c>
      <c r="B172" s="3" t="str">
        <f aca="false">IF(ISNUMBER(SEARCH("%", A172)),RIGHT(A172,3),A172)</f>
        <v>51, 56, CROBAT</v>
      </c>
      <c r="C172" s="2" t="s">
        <v>2869</v>
      </c>
    </row>
    <row r="173" customFormat="false" ht="12.75" hidden="false" customHeight="true" outlineLevel="0" collapsed="false">
      <c r="A173" s="3"/>
      <c r="B173" s="3" t="n">
        <f aca="false">IF(ISNUMBER(SEARCH("%", A173)),RIGHT(A173,3),A173)</f>
        <v>0</v>
      </c>
      <c r="C173" s="2"/>
    </row>
    <row r="174" customFormat="false" ht="12.75" hidden="false" customHeight="true" outlineLevel="0" collapsed="false">
      <c r="A174" s="3" t="s">
        <v>2801</v>
      </c>
      <c r="B174" s="3" t="str">
        <f aca="false">IF(ISNUMBER(SEARCH("%", A174)),RIGHT(A174,3),A174)</f>
        <v>0.1</v>
      </c>
      <c r="C174" s="2" t="s">
        <v>2801</v>
      </c>
    </row>
    <row r="175" customFormat="false" ht="12.75" hidden="false" customHeight="true" outlineLevel="0" collapsed="false">
      <c r="A175" s="3" t="s">
        <v>2870</v>
      </c>
      <c r="B175" s="3" t="str">
        <f aca="false">IF(ISNUMBER(SEARCH("%", A175)),RIGHT(A175,3),A175)</f>
        <v>51, 56, MACHAMP</v>
      </c>
      <c r="C175" s="2" t="s">
        <v>2870</v>
      </c>
    </row>
    <row r="176" customFormat="false" ht="12.75" hidden="false" customHeight="true" outlineLevel="0" collapsed="false">
      <c r="A176" s="3" t="s">
        <v>2871</v>
      </c>
      <c r="B176" s="3" t="str">
        <f aca="false">IF(ISNUMBER(SEARCH("%", A176)),RIGHT(A176,3),A176)</f>
        <v>51, 56, GOLEM</v>
      </c>
      <c r="C176" s="2" t="s">
        <v>2871</v>
      </c>
    </row>
    <row r="177" customFormat="false" ht="12.75" hidden="false" customHeight="true" outlineLevel="0" collapsed="false">
      <c r="A177" s="3" t="s">
        <v>2872</v>
      </c>
      <c r="B177" s="3" t="str">
        <f aca="false">IF(ISNUMBER(SEARCH("%", A177)),RIGHT(A177,3),A177)</f>
        <v>53, 57, ADNOKANA</v>
      </c>
      <c r="C177" s="2" t="s">
        <v>2872</v>
      </c>
    </row>
    <row r="178" customFormat="false" ht="12.75" hidden="false" customHeight="true" outlineLevel="0" collapsed="false">
      <c r="A178" s="3" t="s">
        <v>2873</v>
      </c>
      <c r="B178" s="3" t="str">
        <f aca="false">IF(ISNUMBER(SEARCH("%", A178)),RIGHT(A178,3),A178)</f>
        <v>53, 57, POLABAT</v>
      </c>
      <c r="C178" s="2" t="s">
        <v>2873</v>
      </c>
    </row>
    <row r="179" customFormat="false" ht="12.75" hidden="false" customHeight="true" outlineLevel="0" collapsed="false">
      <c r="A179" s="3"/>
      <c r="B179" s="3" t="n">
        <f aca="false">IF(ISNUMBER(SEARCH("%", A179)),RIGHT(A179,3),A179)</f>
        <v>0</v>
      </c>
      <c r="C179" s="2"/>
    </row>
    <row r="180" customFormat="false" ht="12.75" hidden="false" customHeight="true" outlineLevel="0" collapsed="false">
      <c r="A180" s="3" t="s">
        <v>2806</v>
      </c>
      <c r="B180" s="3" t="str">
        <f aca="false">IF(ISNUMBER(SEARCH("%", A180)),RIGHT(A180,3),A180)</f>
        <v>0.05</v>
      </c>
      <c r="C180" s="2" t="s">
        <v>2806</v>
      </c>
    </row>
    <row r="181" customFormat="false" ht="12.75" hidden="false" customHeight="true" outlineLevel="0" collapsed="false">
      <c r="A181" s="3" t="s">
        <v>2874</v>
      </c>
      <c r="B181" s="3" t="str">
        <f aca="false">IF(ISNUMBER(SEARCH("%", A181)),RIGHT(A181,3),A181)</f>
        <v>53, 57, MACHULK</v>
      </c>
      <c r="C181" s="2" t="s">
        <v>2874</v>
      </c>
    </row>
    <row r="182" customFormat="false" ht="12.75" hidden="false" customHeight="true" outlineLevel="0" collapsed="false">
      <c r="A182" s="3" t="s">
        <v>2875</v>
      </c>
      <c r="B182" s="3" t="str">
        <f aca="false">IF(ISNUMBER(SEARCH("%", A182)),RIGHT(A182,3),A182)</f>
        <v>53, 57, RHYMARKABL</v>
      </c>
      <c r="C182" s="2" t="s">
        <v>2875</v>
      </c>
    </row>
    <row r="183" customFormat="false" ht="12.75" hidden="false" customHeight="true" outlineLevel="0" collapsed="false">
      <c r="A183" s="3"/>
      <c r="B183" s="3" t="n">
        <f aca="false">IF(ISNUMBER(SEARCH("%", A183)),RIGHT(A183,3),A183)</f>
        <v>0</v>
      </c>
      <c r="C183" s="2"/>
    </row>
    <row r="184" customFormat="false" ht="12.75" hidden="false" customHeight="true" outlineLevel="0" collapsed="false">
      <c r="A184" s="3" t="s">
        <v>2809</v>
      </c>
      <c r="B184" s="3" t="str">
        <f aca="false">IF(ISNUMBER(SEARCH("%", A184)),RIGHT(A184,3),A184)</f>
        <v>0.04</v>
      </c>
      <c r="C184" s="2" t="s">
        <v>2809</v>
      </c>
    </row>
    <row r="185" customFormat="false" ht="12.75" hidden="false" customHeight="true" outlineLevel="0" collapsed="false">
      <c r="A185" s="3" t="s">
        <v>2876</v>
      </c>
      <c r="B185" s="3" t="str">
        <f aca="false">IF(ISNUMBER(SEARCH("%", A185)),RIGHT(A185,3),A185)</f>
        <v>55, 57, PLATNIX</v>
      </c>
      <c r="C185" s="2" t="s">
        <v>2876</v>
      </c>
    </row>
    <row r="186" customFormat="false" ht="12.75" hidden="false" customHeight="true" outlineLevel="0" collapsed="false">
      <c r="A186" s="3" t="s">
        <v>2877</v>
      </c>
      <c r="B186" s="3" t="str">
        <f aca="false">IF(ISNUMBER(SEARCH("%", A186)),RIGHT(A186,3),A186)</f>
        <v>55, 57, SLAGOLEM</v>
      </c>
      <c r="C186" s="2" t="s">
        <v>2877</v>
      </c>
    </row>
    <row r="187" customFormat="false" ht="12.75" hidden="false" customHeight="true" outlineLevel="0" collapsed="false">
      <c r="A187" s="3"/>
      <c r="B187" s="3" t="n">
        <f aca="false">IF(ISNUMBER(SEARCH("%", A187)),RIGHT(A187,3),A187)</f>
        <v>0</v>
      </c>
      <c r="C187" s="2"/>
    </row>
    <row r="188" customFormat="false" ht="12.75" hidden="false" customHeight="true" outlineLevel="0" collapsed="false">
      <c r="A188" s="3" t="s">
        <v>2812</v>
      </c>
      <c r="B188" s="3" t="str">
        <f aca="false">IF(ISNUMBER(SEARCH("%", A188)),RIGHT(A188,3),A188)</f>
        <v>0.01</v>
      </c>
      <c r="C188" s="2" t="s">
        <v>2812</v>
      </c>
    </row>
    <row r="189" customFormat="false" ht="12.75" hidden="false" customHeight="true" outlineLevel="0" collapsed="false">
      <c r="A189" s="3" t="s">
        <v>2881</v>
      </c>
      <c r="B189" s="3" t="str">
        <f aca="false">IF(ISNUMBER(SEARCH("%", A189)),RIGHT(A189,3),A189)</f>
        <v>59, 61, MOLTREM</v>
      </c>
      <c r="C189" s="2" t="s">
        <v>2881</v>
      </c>
    </row>
    <row r="190" customFormat="false" ht="12.75" hidden="false" customHeight="true" outlineLevel="0" collapsed="false">
      <c r="A190" s="3" t="s">
        <v>2882</v>
      </c>
      <c r="B190" s="3" t="str">
        <f aca="false">IF(ISNUMBER(SEARCH("%", A190)),RIGHT(A190,3),A190)</f>
        <v>59, 61, FERODILLO , &lt;null&gt;, &lt;null&gt;, &lt;null&gt;</v>
      </c>
      <c r="C190" s="2" t="s">
        <v>2882</v>
      </c>
    </row>
    <row r="191" customFormat="false" ht="12.75" hidden="false" customHeight="true" outlineLevel="0" collapsed="false">
      <c r="A191" s="3"/>
      <c r="B191" s="3" t="n">
        <f aca="false">IF(ISNUMBER(SEARCH("%", A191)),RIGHT(A191,3),A191)</f>
        <v>0</v>
      </c>
      <c r="C191" s="2"/>
    </row>
    <row r="192" customFormat="false" ht="12.75" hidden="false" customHeight="true" outlineLevel="0" collapsed="false">
      <c r="A192" s="3" t="s">
        <v>2536</v>
      </c>
      <c r="B192" s="3" t="str">
        <f aca="false">IF(ISNUMBER(SEARCH("%", A192)),RIGHT(A192,3),A192)</f>
        <v>NEW ROUTE</v>
      </c>
      <c r="C192" s="2" t="s">
        <v>2536</v>
      </c>
    </row>
    <row r="193" customFormat="false" ht="12.75" hidden="false" customHeight="true" outlineLevel="0" collapsed="false">
      <c r="A193" s="3" t="s">
        <v>2883</v>
      </c>
      <c r="B193" s="3" t="str">
        <f aca="false">IF(ISNUMBER(SEARCH("%", A193)),RIGHT(A193,3),A193)</f>
        <v>1, 41, 0,</v>
      </c>
      <c r="C193" s="2" t="s">
        <v>2883</v>
      </c>
    </row>
    <row r="194" customFormat="false" ht="12.75" hidden="false" customHeight="true" outlineLevel="0" collapsed="false">
      <c r="A194" s="3" t="s">
        <v>2816</v>
      </c>
      <c r="B194" s="3" t="str">
        <f aca="false">IF(ISNUMBER(SEARCH("%", A194)),RIGHT(A194,3),A194)</f>
        <v>20%</v>
      </c>
      <c r="C194" s="2" t="s">
        <v>2799</v>
      </c>
    </row>
    <row r="195" customFormat="false" ht="12.75" hidden="false" customHeight="true" outlineLevel="0" collapsed="false">
      <c r="A195" s="3" t="s">
        <v>1292</v>
      </c>
      <c r="B195" s="3" t="str">
        <f aca="false">IF(ISNUMBER(SEARCH("%", A195)),RIGHT(A195,3),A195)</f>
        <v>51, 56, NOHTYP</v>
      </c>
      <c r="C195" s="2" t="s">
        <v>1292</v>
      </c>
    </row>
    <row r="196" customFormat="false" ht="12.75" hidden="false" customHeight="true" outlineLevel="0" collapsed="false">
      <c r="A196" s="3" t="s">
        <v>2869</v>
      </c>
      <c r="B196" s="3" t="str">
        <f aca="false">IF(ISNUMBER(SEARCH("%", A196)),RIGHT(A196,3),A196)</f>
        <v>51, 56, CROBAT</v>
      </c>
      <c r="C196" s="2" t="s">
        <v>2869</v>
      </c>
    </row>
    <row r="197" customFormat="false" ht="12.75" hidden="false" customHeight="true" outlineLevel="0" collapsed="false">
      <c r="A197" s="3"/>
      <c r="B197" s="3" t="n">
        <f aca="false">IF(ISNUMBER(SEARCH("%", A197)),RIGHT(A197,3),A197)</f>
        <v>0</v>
      </c>
      <c r="C197" s="2"/>
    </row>
    <row r="198" customFormat="false" ht="12.75" hidden="false" customHeight="true" outlineLevel="0" collapsed="false">
      <c r="A198" s="3" t="s">
        <v>2801</v>
      </c>
      <c r="B198" s="3" t="str">
        <f aca="false">IF(ISNUMBER(SEARCH("%", A198)),RIGHT(A198,3),A198)</f>
        <v>0.1</v>
      </c>
      <c r="C198" s="2" t="s">
        <v>2801</v>
      </c>
    </row>
    <row r="199" customFormat="false" ht="12.75" hidden="false" customHeight="true" outlineLevel="0" collapsed="false">
      <c r="A199" s="3" t="s">
        <v>2870</v>
      </c>
      <c r="B199" s="3" t="str">
        <f aca="false">IF(ISNUMBER(SEARCH("%", A199)),RIGHT(A199,3),A199)</f>
        <v>51, 56, MACHAMP</v>
      </c>
      <c r="C199" s="2" t="s">
        <v>2870</v>
      </c>
    </row>
    <row r="200" customFormat="false" ht="12.75" hidden="false" customHeight="true" outlineLevel="0" collapsed="false">
      <c r="A200" s="3" t="s">
        <v>2871</v>
      </c>
      <c r="B200" s="3" t="str">
        <f aca="false">IF(ISNUMBER(SEARCH("%", A200)),RIGHT(A200,3),A200)</f>
        <v>51, 56, GOLEM</v>
      </c>
      <c r="C200" s="2" t="s">
        <v>2871</v>
      </c>
    </row>
    <row r="201" customFormat="false" ht="12.75" hidden="false" customHeight="true" outlineLevel="0" collapsed="false">
      <c r="A201" s="3" t="s">
        <v>2872</v>
      </c>
      <c r="B201" s="3" t="str">
        <f aca="false">IF(ISNUMBER(SEARCH("%", A201)),RIGHT(A201,3),A201)</f>
        <v>53, 57, ADNOKANA</v>
      </c>
      <c r="C201" s="2" t="s">
        <v>2872</v>
      </c>
    </row>
    <row r="202" customFormat="false" ht="12.75" hidden="false" customHeight="true" outlineLevel="0" collapsed="false">
      <c r="A202" s="3" t="s">
        <v>2873</v>
      </c>
      <c r="B202" s="3" t="str">
        <f aca="false">IF(ISNUMBER(SEARCH("%", A202)),RIGHT(A202,3),A202)</f>
        <v>53, 57, POLABAT</v>
      </c>
      <c r="C202" s="2" t="s">
        <v>2873</v>
      </c>
    </row>
    <row r="203" customFormat="false" ht="12.75" hidden="false" customHeight="true" outlineLevel="0" collapsed="false">
      <c r="A203" s="3"/>
      <c r="B203" s="3" t="n">
        <f aca="false">IF(ISNUMBER(SEARCH("%", A203)),RIGHT(A203,3),A203)</f>
        <v>0</v>
      </c>
      <c r="C203" s="2"/>
    </row>
    <row r="204" customFormat="false" ht="12.75" hidden="false" customHeight="true" outlineLevel="0" collapsed="false">
      <c r="A204" s="3" t="s">
        <v>2806</v>
      </c>
      <c r="B204" s="3" t="str">
        <f aca="false">IF(ISNUMBER(SEARCH("%", A204)),RIGHT(A204,3),A204)</f>
        <v>0.05</v>
      </c>
      <c r="C204" s="2" t="s">
        <v>2806</v>
      </c>
    </row>
    <row r="205" customFormat="false" ht="12.75" hidden="false" customHeight="true" outlineLevel="0" collapsed="false">
      <c r="A205" s="3" t="s">
        <v>2874</v>
      </c>
      <c r="B205" s="3" t="str">
        <f aca="false">IF(ISNUMBER(SEARCH("%", A205)),RIGHT(A205,3),A205)</f>
        <v>53, 57, MACHULK</v>
      </c>
      <c r="C205" s="2" t="s">
        <v>2874</v>
      </c>
    </row>
    <row r="206" customFormat="false" ht="12.75" hidden="false" customHeight="true" outlineLevel="0" collapsed="false">
      <c r="A206" s="3" t="s">
        <v>2875</v>
      </c>
      <c r="B206" s="3" t="str">
        <f aca="false">IF(ISNUMBER(SEARCH("%", A206)),RIGHT(A206,3),A206)</f>
        <v>53, 57, RHYMARKABL</v>
      </c>
      <c r="C206" s="2" t="s">
        <v>2875</v>
      </c>
    </row>
    <row r="207" customFormat="false" ht="12.75" hidden="false" customHeight="true" outlineLevel="0" collapsed="false">
      <c r="A207" s="3"/>
      <c r="B207" s="3" t="n">
        <f aca="false">IF(ISNUMBER(SEARCH("%", A207)),RIGHT(A207,3),A207)</f>
        <v>0</v>
      </c>
      <c r="C207" s="2"/>
    </row>
    <row r="208" customFormat="false" ht="12.75" hidden="false" customHeight="true" outlineLevel="0" collapsed="false">
      <c r="A208" s="3" t="s">
        <v>2809</v>
      </c>
      <c r="B208" s="3" t="str">
        <f aca="false">IF(ISNUMBER(SEARCH("%", A208)),RIGHT(A208,3),A208)</f>
        <v>0.04</v>
      </c>
      <c r="C208" s="2" t="s">
        <v>2809</v>
      </c>
    </row>
    <row r="209" customFormat="false" ht="12.75" hidden="false" customHeight="true" outlineLevel="0" collapsed="false">
      <c r="A209" s="3" t="s">
        <v>2876</v>
      </c>
      <c r="B209" s="3" t="str">
        <f aca="false">IF(ISNUMBER(SEARCH("%", A209)),RIGHT(A209,3),A209)</f>
        <v>55, 57, PLATNIX</v>
      </c>
      <c r="C209" s="2" t="s">
        <v>2876</v>
      </c>
    </row>
    <row r="210" customFormat="false" ht="12.75" hidden="false" customHeight="true" outlineLevel="0" collapsed="false">
      <c r="A210" s="3" t="s">
        <v>2877</v>
      </c>
      <c r="B210" s="3" t="str">
        <f aca="false">IF(ISNUMBER(SEARCH("%", A210)),RIGHT(A210,3),A210)</f>
        <v>55, 57, SLAGOLEM</v>
      </c>
      <c r="C210" s="2" t="s">
        <v>2877</v>
      </c>
    </row>
    <row r="211" customFormat="false" ht="12.75" hidden="false" customHeight="true" outlineLevel="0" collapsed="false">
      <c r="A211" s="3"/>
      <c r="B211" s="3" t="n">
        <f aca="false">IF(ISNUMBER(SEARCH("%", A211)),RIGHT(A211,3),A211)</f>
        <v>0</v>
      </c>
      <c r="C211" s="2"/>
    </row>
    <row r="212" customFormat="false" ht="12.75" hidden="false" customHeight="true" outlineLevel="0" collapsed="false">
      <c r="A212" s="3" t="s">
        <v>2812</v>
      </c>
      <c r="B212" s="3" t="str">
        <f aca="false">IF(ISNUMBER(SEARCH("%", A212)),RIGHT(A212,3),A212)</f>
        <v>0.01</v>
      </c>
      <c r="C212" s="2" t="s">
        <v>2812</v>
      </c>
    </row>
    <row r="213" customFormat="false" ht="12.75" hidden="false" customHeight="true" outlineLevel="0" collapsed="false">
      <c r="A213" s="3" t="s">
        <v>2884</v>
      </c>
      <c r="B213" s="3" t="str">
        <f aca="false">IF(ISNUMBER(SEARCH("%", A213)),RIGHT(A213,3),A213)</f>
        <v>60, 62, MOLTREM</v>
      </c>
      <c r="C213" s="2" t="s">
        <v>2884</v>
      </c>
    </row>
    <row r="214" customFormat="false" ht="12.75" hidden="false" customHeight="true" outlineLevel="0" collapsed="false">
      <c r="A214" s="3" t="s">
        <v>2885</v>
      </c>
      <c r="B214" s="3" t="str">
        <f aca="false">IF(ISNUMBER(SEARCH("%", A214)),RIGHT(A214,3),A214)</f>
        <v>60, 62, CLAYMOR , &lt;null&gt;, &lt;null&gt;, &lt;null&gt;</v>
      </c>
      <c r="C214" s="2" t="s">
        <v>2885</v>
      </c>
    </row>
    <row r="215" customFormat="false" ht="12.75" hidden="false" customHeight="true" outlineLevel="0" collapsed="false">
      <c r="A215" s="3"/>
      <c r="B215" s="3" t="n">
        <f aca="false">IF(ISNUMBER(SEARCH("%", A215)),RIGHT(A215,3),A215)</f>
        <v>0</v>
      </c>
      <c r="C215" s="2"/>
    </row>
    <row r="216" customFormat="false" ht="12.75" hidden="false" customHeight="true" outlineLevel="0" collapsed="false">
      <c r="A216" s="3" t="s">
        <v>2536</v>
      </c>
      <c r="B216" s="3" t="str">
        <f aca="false">IF(ISNUMBER(SEARCH("%", A216)),RIGHT(A216,3),A216)</f>
        <v>NEW ROUTE</v>
      </c>
      <c r="C216" s="2" t="s">
        <v>2536</v>
      </c>
    </row>
    <row r="217" customFormat="false" ht="12.75" hidden="false" customHeight="true" outlineLevel="0" collapsed="false">
      <c r="A217" s="3" t="s">
        <v>2886</v>
      </c>
      <c r="B217" s="3" t="str">
        <f aca="false">IF(ISNUMBER(SEARCH("%", A217)),RIGHT(A217,3),A217)</f>
        <v>1, 59, 0,</v>
      </c>
      <c r="C217" s="2" t="s">
        <v>2886</v>
      </c>
    </row>
    <row r="218" customFormat="false" ht="12.75" hidden="false" customHeight="true" outlineLevel="0" collapsed="false">
      <c r="A218" s="3" t="s">
        <v>2816</v>
      </c>
      <c r="B218" s="3" t="str">
        <f aca="false">IF(ISNUMBER(SEARCH("%", A218)),RIGHT(A218,3),A218)</f>
        <v>20%</v>
      </c>
      <c r="C218" s="2" t="s">
        <v>2799</v>
      </c>
    </row>
    <row r="219" customFormat="false" ht="12.75" hidden="false" customHeight="true" outlineLevel="0" collapsed="false">
      <c r="A219" s="3" t="s">
        <v>1311</v>
      </c>
      <c r="B219" s="3" t="str">
        <f aca="false">IF(ISNUMBER(SEARCH("%", A219)),RIGHT(A219,3),A219)</f>
        <v>40, 44, RATTCHET</v>
      </c>
      <c r="C219" s="2" t="s">
        <v>1311</v>
      </c>
    </row>
    <row r="220" customFormat="false" ht="12.75" hidden="false" customHeight="true" outlineLevel="0" collapsed="false">
      <c r="A220" s="3" t="s">
        <v>2887</v>
      </c>
      <c r="B220" s="3" t="str">
        <f aca="false">IF(ISNUMBER(SEARCH("%", A220)),RIGHT(A220,3),A220)</f>
        <v>40, 44, NINETALES</v>
      </c>
      <c r="C220" s="2" t="s">
        <v>2887</v>
      </c>
    </row>
    <row r="221" customFormat="false" ht="12.75" hidden="false" customHeight="true" outlineLevel="0" collapsed="false">
      <c r="A221" s="3"/>
      <c r="B221" s="3" t="n">
        <f aca="false">IF(ISNUMBER(SEARCH("%", A221)),RIGHT(A221,3),A221)</f>
        <v>0</v>
      </c>
      <c r="C221" s="2"/>
    </row>
    <row r="222" customFormat="false" ht="12.75" hidden="false" customHeight="true" outlineLevel="0" collapsed="false">
      <c r="A222" s="3" t="s">
        <v>2801</v>
      </c>
      <c r="B222" s="3" t="str">
        <f aca="false">IF(ISNUMBER(SEARCH("%", A222)),RIGHT(A222,3),A222)</f>
        <v>0.1</v>
      </c>
      <c r="C222" s="2" t="s">
        <v>2801</v>
      </c>
    </row>
    <row r="223" customFormat="false" ht="12.75" hidden="false" customHeight="true" outlineLevel="0" collapsed="false">
      <c r="A223" s="3" t="s">
        <v>2888</v>
      </c>
      <c r="B223" s="3" t="str">
        <f aca="false">IF(ISNUMBER(SEARCH("%", A223)),RIGHT(A223,3),A223)</f>
        <v>41, 42, ARCANINE</v>
      </c>
      <c r="C223" s="2" t="s">
        <v>2888</v>
      </c>
    </row>
    <row r="224" customFormat="false" ht="12.75" hidden="false" customHeight="true" outlineLevel="0" collapsed="false">
      <c r="A224" s="3" t="s">
        <v>2889</v>
      </c>
      <c r="B224" s="3" t="str">
        <f aca="false">IF(ISNUMBER(SEARCH("%", A224)),RIGHT(A224,3),A224)</f>
        <v>43, 44, ARCANINE</v>
      </c>
      <c r="C224" s="2" t="s">
        <v>2889</v>
      </c>
    </row>
    <row r="225" customFormat="false" ht="12.75" hidden="false" customHeight="true" outlineLevel="0" collapsed="false">
      <c r="A225" s="3" t="s">
        <v>2890</v>
      </c>
      <c r="B225" s="3" t="str">
        <f aca="false">IF(ISNUMBER(SEARCH("%", A225)),RIGHT(A225,3),A225)</f>
        <v>42, 44, WEEZING</v>
      </c>
      <c r="C225" s="2" t="s">
        <v>2890</v>
      </c>
    </row>
    <row r="226" customFormat="false" ht="12.75" hidden="false" customHeight="true" outlineLevel="0" collapsed="false">
      <c r="A226" s="3" t="s">
        <v>2891</v>
      </c>
      <c r="B226" s="3" t="str">
        <f aca="false">IF(ISNUMBER(SEARCH("%", A226)),RIGHT(A226,3),A226)</f>
        <v>42, 44, MUK</v>
      </c>
      <c r="C226" s="2" t="s">
        <v>2891</v>
      </c>
    </row>
    <row r="227" customFormat="false" ht="12.75" hidden="false" customHeight="true" outlineLevel="0" collapsed="false">
      <c r="A227" s="3"/>
      <c r="B227" s="3" t="n">
        <f aca="false">IF(ISNUMBER(SEARCH("%", A227)),RIGHT(A227,3),A227)</f>
        <v>0</v>
      </c>
      <c r="C227" s="2"/>
    </row>
    <row r="228" customFormat="false" ht="12.75" hidden="false" customHeight="true" outlineLevel="0" collapsed="false">
      <c r="A228" s="3" t="s">
        <v>2806</v>
      </c>
      <c r="B228" s="3" t="str">
        <f aca="false">IF(ISNUMBER(SEARCH("%", A228)),RIGHT(A228,3),A228)</f>
        <v>0.05</v>
      </c>
      <c r="C228" s="2" t="s">
        <v>2806</v>
      </c>
    </row>
    <row r="229" customFormat="false" ht="12.75" hidden="false" customHeight="true" outlineLevel="0" collapsed="false">
      <c r="A229" s="3" t="s">
        <v>2892</v>
      </c>
      <c r="B229" s="3" t="str">
        <f aca="false">IF(ISNUMBER(SEARCH("%", A229)),RIGHT(A229,3),A229)</f>
        <v>43, 45, SINGESHA</v>
      </c>
      <c r="C229" s="2" t="s">
        <v>2892</v>
      </c>
    </row>
    <row r="230" customFormat="false" ht="12.75" hidden="false" customHeight="true" outlineLevel="0" collapsed="false">
      <c r="A230" s="3" t="s">
        <v>2893</v>
      </c>
      <c r="B230" s="3" t="str">
        <f aca="false">IF(ISNUMBER(SEARCH("%", A230)),RIGHT(A230,3),A230)</f>
        <v>43, 45, SPIRITALES</v>
      </c>
      <c r="C230" s="2" t="s">
        <v>2893</v>
      </c>
    </row>
    <row r="231" customFormat="false" ht="12.75" hidden="false" customHeight="true" outlineLevel="0" collapsed="false">
      <c r="A231" s="3"/>
      <c r="B231" s="3" t="n">
        <f aca="false">IF(ISNUMBER(SEARCH("%", A231)),RIGHT(A231,3),A231)</f>
        <v>0</v>
      </c>
      <c r="C231" s="2"/>
    </row>
    <row r="232" customFormat="false" ht="12.75" hidden="false" customHeight="true" outlineLevel="0" collapsed="false">
      <c r="A232" s="3" t="s">
        <v>2809</v>
      </c>
      <c r="B232" s="3" t="str">
        <f aca="false">IF(ISNUMBER(SEARCH("%", A232)),RIGHT(A232,3),A232)</f>
        <v>0.04</v>
      </c>
      <c r="C232" s="2" t="s">
        <v>2809</v>
      </c>
    </row>
    <row r="233" customFormat="false" ht="12.75" hidden="false" customHeight="true" outlineLevel="0" collapsed="false">
      <c r="A233" s="3" t="s">
        <v>2894</v>
      </c>
      <c r="B233" s="3" t="str">
        <f aca="false">IF(ISNUMBER(SEARCH("%", A233)),RIGHT(A233,3),A233)</f>
        <v>45, 46, GUNK</v>
      </c>
      <c r="C233" s="2" t="s">
        <v>2894</v>
      </c>
    </row>
    <row r="234" customFormat="false" ht="12.75" hidden="false" customHeight="true" outlineLevel="0" collapsed="false">
      <c r="A234" s="3" t="s">
        <v>2895</v>
      </c>
      <c r="B234" s="3" t="str">
        <f aca="false">IF(ISNUMBER(SEARCH("%", A234)),RIGHT(A234,3),A234)</f>
        <v>45, 46, HEEVING</v>
      </c>
      <c r="C234" s="2" t="s">
        <v>2895</v>
      </c>
    </row>
    <row r="235" customFormat="false" ht="12.75" hidden="false" customHeight="true" outlineLevel="0" collapsed="false">
      <c r="A235" s="3"/>
      <c r="B235" s="3" t="n">
        <f aca="false">IF(ISNUMBER(SEARCH("%", A235)),RIGHT(A235,3),A235)</f>
        <v>0</v>
      </c>
      <c r="C235" s="2"/>
    </row>
    <row r="236" customFormat="false" ht="12.75" hidden="false" customHeight="true" outlineLevel="0" collapsed="false">
      <c r="A236" s="3" t="s">
        <v>2812</v>
      </c>
      <c r="B236" s="3" t="str">
        <f aca="false">IF(ISNUMBER(SEARCH("%", A236)),RIGHT(A236,3),A236)</f>
        <v>0.01</v>
      </c>
      <c r="C236" s="2" t="s">
        <v>2812</v>
      </c>
    </row>
    <row r="237" customFormat="false" ht="12.75" hidden="false" customHeight="true" outlineLevel="0" collapsed="false">
      <c r="A237" s="3" t="s">
        <v>2896</v>
      </c>
      <c r="B237" s="3" t="str">
        <f aca="false">IF(ISNUMBER(SEARCH("%", A237)),RIGHT(A237,3),A237)</f>
        <v>44, 47, RATTARULE</v>
      </c>
      <c r="C237" s="2" t="s">
        <v>2896</v>
      </c>
    </row>
    <row r="238" customFormat="false" ht="12.75" hidden="false" customHeight="true" outlineLevel="0" collapsed="false">
      <c r="A238" s="3" t="s">
        <v>2897</v>
      </c>
      <c r="B238" s="3" t="str">
        <f aca="false">IF(ISNUMBER(SEARCH("%", A238)),RIGHT(A238,3),A238)</f>
        <v>20, 25, CHARMANDER , &lt;null&gt;, &lt;null&gt;, &lt;null&gt;</v>
      </c>
      <c r="C238" s="2" t="s">
        <v>2897</v>
      </c>
    </row>
    <row r="239" customFormat="false" ht="12.75" hidden="false" customHeight="true" outlineLevel="0" collapsed="false">
      <c r="A239" s="3"/>
      <c r="B239" s="3" t="n">
        <f aca="false">IF(ISNUMBER(SEARCH("%", A239)),RIGHT(A239,3),A239)</f>
        <v>0</v>
      </c>
      <c r="C239" s="2"/>
    </row>
    <row r="240" customFormat="false" ht="12.75" hidden="false" customHeight="true" outlineLevel="0" collapsed="false">
      <c r="A240" s="3" t="s">
        <v>2536</v>
      </c>
      <c r="B240" s="3" t="str">
        <f aca="false">IF(ISNUMBER(SEARCH("%", A240)),RIGHT(A240,3),A240)</f>
        <v>NEW ROUTE</v>
      </c>
      <c r="C240" s="2" t="s">
        <v>2536</v>
      </c>
    </row>
    <row r="241" customFormat="false" ht="12.75" hidden="false" customHeight="true" outlineLevel="0" collapsed="false">
      <c r="A241" s="3" t="s">
        <v>2898</v>
      </c>
      <c r="B241" s="3" t="str">
        <f aca="false">IF(ISNUMBER(SEARCH("%", A241)),RIGHT(A241,3),A241)</f>
        <v>1, 60, 0,</v>
      </c>
      <c r="C241" s="2" t="s">
        <v>2898</v>
      </c>
    </row>
    <row r="242" customFormat="false" ht="12.75" hidden="false" customHeight="true" outlineLevel="0" collapsed="false">
      <c r="A242" s="3" t="s">
        <v>2816</v>
      </c>
      <c r="B242" s="3" t="str">
        <f aca="false">IF(ISNUMBER(SEARCH("%", A242)),RIGHT(A242,3),A242)</f>
        <v>20%</v>
      </c>
      <c r="C242" s="2" t="s">
        <v>2799</v>
      </c>
    </row>
    <row r="243" customFormat="false" ht="12.75" hidden="false" customHeight="true" outlineLevel="0" collapsed="false">
      <c r="A243" s="3" t="s">
        <v>1311</v>
      </c>
      <c r="B243" s="3" t="str">
        <f aca="false">IF(ISNUMBER(SEARCH("%", A243)),RIGHT(A243,3),A243)</f>
        <v>40, 44, RATTCHET</v>
      </c>
      <c r="C243" s="2" t="s">
        <v>1311</v>
      </c>
    </row>
    <row r="244" customFormat="false" ht="12.75" hidden="false" customHeight="true" outlineLevel="0" collapsed="false">
      <c r="A244" s="3" t="s">
        <v>2887</v>
      </c>
      <c r="B244" s="3" t="str">
        <f aca="false">IF(ISNUMBER(SEARCH("%", A244)),RIGHT(A244,3),A244)</f>
        <v>40, 44, NINETALES</v>
      </c>
      <c r="C244" s="2" t="s">
        <v>2887</v>
      </c>
    </row>
    <row r="245" customFormat="false" ht="12.75" hidden="false" customHeight="true" outlineLevel="0" collapsed="false">
      <c r="A245" s="3"/>
      <c r="B245" s="3" t="n">
        <f aca="false">IF(ISNUMBER(SEARCH("%", A245)),RIGHT(A245,3),A245)</f>
        <v>0</v>
      </c>
      <c r="C245" s="2"/>
    </row>
    <row r="246" customFormat="false" ht="12.75" hidden="false" customHeight="true" outlineLevel="0" collapsed="false">
      <c r="A246" s="3" t="s">
        <v>2801</v>
      </c>
      <c r="B246" s="3" t="str">
        <f aca="false">IF(ISNUMBER(SEARCH("%", A246)),RIGHT(A246,3),A246)</f>
        <v>0.1</v>
      </c>
      <c r="C246" s="2" t="s">
        <v>2801</v>
      </c>
    </row>
    <row r="247" customFormat="false" ht="12.75" hidden="false" customHeight="true" outlineLevel="0" collapsed="false">
      <c r="A247" s="3" t="s">
        <v>2888</v>
      </c>
      <c r="B247" s="3" t="str">
        <f aca="false">IF(ISNUMBER(SEARCH("%", A247)),RIGHT(A247,3),A247)</f>
        <v>41, 42, ARCANINE</v>
      </c>
      <c r="C247" s="2" t="s">
        <v>2888</v>
      </c>
    </row>
    <row r="248" customFormat="false" ht="12.75" hidden="false" customHeight="true" outlineLevel="0" collapsed="false">
      <c r="A248" s="3" t="s">
        <v>2889</v>
      </c>
      <c r="B248" s="3" t="str">
        <f aca="false">IF(ISNUMBER(SEARCH("%", A248)),RIGHT(A248,3),A248)</f>
        <v>43, 44, ARCANINE</v>
      </c>
      <c r="C248" s="2" t="s">
        <v>2889</v>
      </c>
    </row>
    <row r="249" customFormat="false" ht="12.75" hidden="false" customHeight="true" outlineLevel="0" collapsed="false">
      <c r="A249" s="3" t="s">
        <v>2890</v>
      </c>
      <c r="B249" s="3" t="str">
        <f aca="false">IF(ISNUMBER(SEARCH("%", A249)),RIGHT(A249,3),A249)</f>
        <v>42, 44, WEEZING</v>
      </c>
      <c r="C249" s="2" t="s">
        <v>2890</v>
      </c>
    </row>
    <row r="250" customFormat="false" ht="12.75" hidden="false" customHeight="true" outlineLevel="0" collapsed="false">
      <c r="A250" s="3" t="s">
        <v>2891</v>
      </c>
      <c r="B250" s="3" t="str">
        <f aca="false">IF(ISNUMBER(SEARCH("%", A250)),RIGHT(A250,3),A250)</f>
        <v>42, 44, MUK</v>
      </c>
      <c r="C250" s="2" t="s">
        <v>2891</v>
      </c>
    </row>
    <row r="251" customFormat="false" ht="12.75" hidden="false" customHeight="true" outlineLevel="0" collapsed="false">
      <c r="A251" s="3"/>
      <c r="B251" s="3" t="n">
        <f aca="false">IF(ISNUMBER(SEARCH("%", A251)),RIGHT(A251,3),A251)</f>
        <v>0</v>
      </c>
      <c r="C251" s="2"/>
    </row>
    <row r="252" customFormat="false" ht="12.75" hidden="false" customHeight="true" outlineLevel="0" collapsed="false">
      <c r="A252" s="3" t="s">
        <v>2806</v>
      </c>
      <c r="B252" s="3" t="str">
        <f aca="false">IF(ISNUMBER(SEARCH("%", A252)),RIGHT(A252,3),A252)</f>
        <v>0.05</v>
      </c>
      <c r="C252" s="2" t="s">
        <v>2806</v>
      </c>
    </row>
    <row r="253" customFormat="false" ht="12.75" hidden="false" customHeight="true" outlineLevel="0" collapsed="false">
      <c r="A253" s="3" t="s">
        <v>2892</v>
      </c>
      <c r="B253" s="3" t="str">
        <f aca="false">IF(ISNUMBER(SEARCH("%", A253)),RIGHT(A253,3),A253)</f>
        <v>43, 45, SINGESHA</v>
      </c>
      <c r="C253" s="2" t="s">
        <v>2892</v>
      </c>
    </row>
    <row r="254" customFormat="false" ht="12.75" hidden="false" customHeight="true" outlineLevel="0" collapsed="false">
      <c r="A254" s="3" t="s">
        <v>2893</v>
      </c>
      <c r="B254" s="3" t="str">
        <f aca="false">IF(ISNUMBER(SEARCH("%", A254)),RIGHT(A254,3),A254)</f>
        <v>43, 45, SPIRITALES</v>
      </c>
      <c r="C254" s="2" t="s">
        <v>2893</v>
      </c>
    </row>
    <row r="255" customFormat="false" ht="12.75" hidden="false" customHeight="true" outlineLevel="0" collapsed="false">
      <c r="A255" s="3"/>
      <c r="B255" s="3" t="n">
        <f aca="false">IF(ISNUMBER(SEARCH("%", A255)),RIGHT(A255,3),A255)</f>
        <v>0</v>
      </c>
      <c r="C255" s="2"/>
    </row>
    <row r="256" customFormat="false" ht="12.75" hidden="false" customHeight="true" outlineLevel="0" collapsed="false">
      <c r="A256" s="3" t="s">
        <v>2809</v>
      </c>
      <c r="B256" s="3" t="str">
        <f aca="false">IF(ISNUMBER(SEARCH("%", A256)),RIGHT(A256,3),A256)</f>
        <v>0.04</v>
      </c>
      <c r="C256" s="2" t="s">
        <v>2809</v>
      </c>
    </row>
    <row r="257" customFormat="false" ht="12.75" hidden="false" customHeight="true" outlineLevel="0" collapsed="false">
      <c r="A257" s="3" t="s">
        <v>2894</v>
      </c>
      <c r="B257" s="3" t="str">
        <f aca="false">IF(ISNUMBER(SEARCH("%", A257)),RIGHT(A257,3),A257)</f>
        <v>45, 46, GUNK</v>
      </c>
      <c r="C257" s="2" t="s">
        <v>2894</v>
      </c>
    </row>
    <row r="258" customFormat="false" ht="12.75" hidden="false" customHeight="true" outlineLevel="0" collapsed="false">
      <c r="A258" s="3" t="s">
        <v>2895</v>
      </c>
      <c r="B258" s="3" t="str">
        <f aca="false">IF(ISNUMBER(SEARCH("%", A258)),RIGHT(A258,3),A258)</f>
        <v>45, 46, HEEVING</v>
      </c>
      <c r="C258" s="2" t="s">
        <v>2895</v>
      </c>
    </row>
    <row r="259" customFormat="false" ht="12.75" hidden="false" customHeight="true" outlineLevel="0" collapsed="false">
      <c r="A259" s="3"/>
      <c r="B259" s="3" t="n">
        <f aca="false">IF(ISNUMBER(SEARCH("%", A259)),RIGHT(A259,3),A259)</f>
        <v>0</v>
      </c>
      <c r="C259" s="2"/>
    </row>
    <row r="260" customFormat="false" ht="12.75" hidden="false" customHeight="true" outlineLevel="0" collapsed="false">
      <c r="A260" s="3" t="s">
        <v>2812</v>
      </c>
      <c r="B260" s="3" t="str">
        <f aca="false">IF(ISNUMBER(SEARCH("%", A260)),RIGHT(A260,3),A260)</f>
        <v>0.01</v>
      </c>
      <c r="C260" s="2" t="s">
        <v>2812</v>
      </c>
    </row>
    <row r="261" customFormat="false" ht="12.75" hidden="false" customHeight="true" outlineLevel="0" collapsed="false">
      <c r="A261" s="3" t="s">
        <v>2896</v>
      </c>
      <c r="B261" s="3" t="str">
        <f aca="false">IF(ISNUMBER(SEARCH("%", A261)),RIGHT(A261,3),A261)</f>
        <v>44, 47, RATTARULE</v>
      </c>
      <c r="C261" s="2" t="s">
        <v>2896</v>
      </c>
    </row>
    <row r="262" customFormat="false" ht="12.75" hidden="false" customHeight="true" outlineLevel="0" collapsed="false">
      <c r="A262" s="3" t="s">
        <v>2897</v>
      </c>
      <c r="B262" s="3" t="str">
        <f aca="false">IF(ISNUMBER(SEARCH("%", A262)),RIGHT(A262,3),A262)</f>
        <v>20, 25, CHARMANDER , &lt;null&gt;, &lt;null&gt;, &lt;null&gt;</v>
      </c>
      <c r="C262" s="2" t="s">
        <v>2897</v>
      </c>
    </row>
    <row r="263" customFormat="false" ht="12.75" hidden="false" customHeight="true" outlineLevel="0" collapsed="false">
      <c r="A263" s="3"/>
      <c r="B263" s="3" t="n">
        <f aca="false">IF(ISNUMBER(SEARCH("%", A263)),RIGHT(A263,3),A263)</f>
        <v>0</v>
      </c>
      <c r="C263" s="2"/>
    </row>
    <row r="264" customFormat="false" ht="12.75" hidden="false" customHeight="true" outlineLevel="0" collapsed="false">
      <c r="A264" s="3" t="s">
        <v>2536</v>
      </c>
      <c r="B264" s="3" t="str">
        <f aca="false">IF(ISNUMBER(SEARCH("%", A264)),RIGHT(A264,3),A264)</f>
        <v>NEW ROUTE</v>
      </c>
      <c r="C264" s="2" t="s">
        <v>2536</v>
      </c>
    </row>
    <row r="265" customFormat="false" ht="12.75" hidden="false" customHeight="true" outlineLevel="0" collapsed="false">
      <c r="A265" s="3" t="s">
        <v>2899</v>
      </c>
      <c r="B265" s="3" t="str">
        <f aca="false">IF(ISNUMBER(SEARCH("%", A265)),RIGHT(A265,3),A265)</f>
        <v>1, 61, 0,</v>
      </c>
      <c r="C265" s="2" t="s">
        <v>2899</v>
      </c>
    </row>
    <row r="266" customFormat="false" ht="12.75" hidden="false" customHeight="true" outlineLevel="0" collapsed="false">
      <c r="A266" s="3" t="s">
        <v>2816</v>
      </c>
      <c r="B266" s="3" t="str">
        <f aca="false">IF(ISNUMBER(SEARCH("%", A266)),RIGHT(A266,3),A266)</f>
        <v>20%</v>
      </c>
      <c r="C266" s="2" t="s">
        <v>2799</v>
      </c>
    </row>
    <row r="267" customFormat="false" ht="12.75" hidden="false" customHeight="true" outlineLevel="0" collapsed="false">
      <c r="A267" s="3" t="s">
        <v>1311</v>
      </c>
      <c r="B267" s="3" t="str">
        <f aca="false">IF(ISNUMBER(SEARCH("%", A267)),RIGHT(A267,3),A267)</f>
        <v>40, 44, RATTCHET</v>
      </c>
      <c r="C267" s="2" t="s">
        <v>1311</v>
      </c>
    </row>
    <row r="268" customFormat="false" ht="12.75" hidden="false" customHeight="true" outlineLevel="0" collapsed="false">
      <c r="A268" s="3" t="s">
        <v>2887</v>
      </c>
      <c r="B268" s="3" t="str">
        <f aca="false">IF(ISNUMBER(SEARCH("%", A268)),RIGHT(A268,3),A268)</f>
        <v>40, 44, NINETALES</v>
      </c>
      <c r="C268" s="2" t="s">
        <v>2887</v>
      </c>
    </row>
    <row r="269" customFormat="false" ht="12.75" hidden="false" customHeight="true" outlineLevel="0" collapsed="false">
      <c r="A269" s="3"/>
      <c r="B269" s="3" t="n">
        <f aca="false">IF(ISNUMBER(SEARCH("%", A269)),RIGHT(A269,3),A269)</f>
        <v>0</v>
      </c>
      <c r="C269" s="2"/>
    </row>
    <row r="270" customFormat="false" ht="12.75" hidden="false" customHeight="true" outlineLevel="0" collapsed="false">
      <c r="A270" s="3" t="s">
        <v>2801</v>
      </c>
      <c r="B270" s="3" t="str">
        <f aca="false">IF(ISNUMBER(SEARCH("%", A270)),RIGHT(A270,3),A270)</f>
        <v>0.1</v>
      </c>
      <c r="C270" s="2" t="s">
        <v>2801</v>
      </c>
    </row>
    <row r="271" customFormat="false" ht="12.75" hidden="false" customHeight="true" outlineLevel="0" collapsed="false">
      <c r="A271" s="3" t="s">
        <v>2888</v>
      </c>
      <c r="B271" s="3" t="str">
        <f aca="false">IF(ISNUMBER(SEARCH("%", A271)),RIGHT(A271,3),A271)</f>
        <v>41, 42, ARCANINE</v>
      </c>
      <c r="C271" s="2" t="s">
        <v>2888</v>
      </c>
    </row>
    <row r="272" customFormat="false" ht="12.75" hidden="false" customHeight="true" outlineLevel="0" collapsed="false">
      <c r="A272" s="3" t="s">
        <v>2889</v>
      </c>
      <c r="B272" s="3" t="str">
        <f aca="false">IF(ISNUMBER(SEARCH("%", A272)),RIGHT(A272,3),A272)</f>
        <v>43, 44, ARCANINE</v>
      </c>
      <c r="C272" s="2" t="s">
        <v>2889</v>
      </c>
    </row>
    <row r="273" customFormat="false" ht="12.75" hidden="false" customHeight="true" outlineLevel="0" collapsed="false">
      <c r="A273" s="3" t="s">
        <v>2890</v>
      </c>
      <c r="B273" s="3" t="str">
        <f aca="false">IF(ISNUMBER(SEARCH("%", A273)),RIGHT(A273,3),A273)</f>
        <v>42, 44, WEEZING</v>
      </c>
      <c r="C273" s="2" t="s">
        <v>2890</v>
      </c>
    </row>
    <row r="274" customFormat="false" ht="12.75" hidden="false" customHeight="true" outlineLevel="0" collapsed="false">
      <c r="A274" s="3" t="s">
        <v>2891</v>
      </c>
      <c r="B274" s="3" t="str">
        <f aca="false">IF(ISNUMBER(SEARCH("%", A274)),RIGHT(A274,3),A274)</f>
        <v>42, 44, MUK</v>
      </c>
      <c r="C274" s="2" t="s">
        <v>2891</v>
      </c>
    </row>
    <row r="275" customFormat="false" ht="12.75" hidden="false" customHeight="true" outlineLevel="0" collapsed="false">
      <c r="A275" s="3"/>
      <c r="B275" s="3" t="n">
        <f aca="false">IF(ISNUMBER(SEARCH("%", A275)),RIGHT(A275,3),A275)</f>
        <v>0</v>
      </c>
      <c r="C275" s="2"/>
    </row>
    <row r="276" customFormat="false" ht="12.75" hidden="false" customHeight="true" outlineLevel="0" collapsed="false">
      <c r="A276" s="3" t="s">
        <v>2806</v>
      </c>
      <c r="B276" s="3" t="str">
        <f aca="false">IF(ISNUMBER(SEARCH("%", A276)),RIGHT(A276,3),A276)</f>
        <v>0.05</v>
      </c>
      <c r="C276" s="2" t="s">
        <v>2806</v>
      </c>
    </row>
    <row r="277" customFormat="false" ht="12.75" hidden="false" customHeight="true" outlineLevel="0" collapsed="false">
      <c r="A277" s="3" t="s">
        <v>2892</v>
      </c>
      <c r="B277" s="3" t="str">
        <f aca="false">IF(ISNUMBER(SEARCH("%", A277)),RIGHT(A277,3),A277)</f>
        <v>43, 45, SINGESHA</v>
      </c>
      <c r="C277" s="2" t="s">
        <v>2892</v>
      </c>
    </row>
    <row r="278" customFormat="false" ht="12.75" hidden="false" customHeight="true" outlineLevel="0" collapsed="false">
      <c r="A278" s="3" t="s">
        <v>2893</v>
      </c>
      <c r="B278" s="3" t="str">
        <f aca="false">IF(ISNUMBER(SEARCH("%", A278)),RIGHT(A278,3),A278)</f>
        <v>43, 45, SPIRITALES</v>
      </c>
      <c r="C278" s="2" t="s">
        <v>2893</v>
      </c>
    </row>
    <row r="279" customFormat="false" ht="12.75" hidden="false" customHeight="true" outlineLevel="0" collapsed="false">
      <c r="A279" s="3"/>
      <c r="B279" s="3" t="n">
        <f aca="false">IF(ISNUMBER(SEARCH("%", A279)),RIGHT(A279,3),A279)</f>
        <v>0</v>
      </c>
      <c r="C279" s="2"/>
    </row>
    <row r="280" customFormat="false" ht="12.75" hidden="false" customHeight="true" outlineLevel="0" collapsed="false">
      <c r="A280" s="3" t="s">
        <v>2809</v>
      </c>
      <c r="B280" s="3" t="str">
        <f aca="false">IF(ISNUMBER(SEARCH("%", A280)),RIGHT(A280,3),A280)</f>
        <v>0.04</v>
      </c>
      <c r="C280" s="2" t="s">
        <v>2809</v>
      </c>
    </row>
    <row r="281" customFormat="false" ht="12.75" hidden="false" customHeight="true" outlineLevel="0" collapsed="false">
      <c r="A281" s="3" t="s">
        <v>2894</v>
      </c>
      <c r="B281" s="3" t="str">
        <f aca="false">IF(ISNUMBER(SEARCH("%", A281)),RIGHT(A281,3),A281)</f>
        <v>45, 46, GUNK</v>
      </c>
      <c r="C281" s="2" t="s">
        <v>2894</v>
      </c>
    </row>
    <row r="282" customFormat="false" ht="12.75" hidden="false" customHeight="true" outlineLevel="0" collapsed="false">
      <c r="A282" s="3" t="s">
        <v>2895</v>
      </c>
      <c r="B282" s="3" t="str">
        <f aca="false">IF(ISNUMBER(SEARCH("%", A282)),RIGHT(A282,3),A282)</f>
        <v>45, 46, HEEVING</v>
      </c>
      <c r="C282" s="2" t="s">
        <v>2895</v>
      </c>
    </row>
    <row r="283" customFormat="false" ht="12.75" hidden="false" customHeight="true" outlineLevel="0" collapsed="false">
      <c r="A283" s="3"/>
      <c r="B283" s="3" t="n">
        <f aca="false">IF(ISNUMBER(SEARCH("%", A283)),RIGHT(A283,3),A283)</f>
        <v>0</v>
      </c>
      <c r="C283" s="2"/>
    </row>
    <row r="284" customFormat="false" ht="12.75" hidden="false" customHeight="true" outlineLevel="0" collapsed="false">
      <c r="A284" s="3" t="s">
        <v>2812</v>
      </c>
      <c r="B284" s="3" t="str">
        <f aca="false">IF(ISNUMBER(SEARCH("%", A284)),RIGHT(A284,3),A284)</f>
        <v>0.01</v>
      </c>
      <c r="C284" s="2" t="s">
        <v>2812</v>
      </c>
    </row>
    <row r="285" customFormat="false" ht="12.75" hidden="false" customHeight="true" outlineLevel="0" collapsed="false">
      <c r="A285" s="3" t="s">
        <v>2896</v>
      </c>
      <c r="B285" s="3" t="str">
        <f aca="false">IF(ISNUMBER(SEARCH("%", A285)),RIGHT(A285,3),A285)</f>
        <v>44, 47, RATTARULE</v>
      </c>
      <c r="C285" s="2" t="s">
        <v>2896</v>
      </c>
    </row>
    <row r="286" customFormat="false" ht="12.75" hidden="false" customHeight="true" outlineLevel="0" collapsed="false">
      <c r="A286" s="3" t="s">
        <v>2897</v>
      </c>
      <c r="B286" s="3" t="str">
        <f aca="false">IF(ISNUMBER(SEARCH("%", A286)),RIGHT(A286,3),A286)</f>
        <v>20, 25, CHARMANDER , &lt;null&gt;, &lt;null&gt;, &lt;null&gt;</v>
      </c>
      <c r="C286" s="2" t="s">
        <v>2897</v>
      </c>
    </row>
    <row r="287" customFormat="false" ht="12.75" hidden="false" customHeight="true" outlineLevel="0" collapsed="false">
      <c r="A287" s="3"/>
      <c r="B287" s="3" t="n">
        <f aca="false">IF(ISNUMBER(SEARCH("%", A287)),RIGHT(A287,3),A287)</f>
        <v>0</v>
      </c>
      <c r="C287" s="2"/>
    </row>
    <row r="288" customFormat="false" ht="12.75" hidden="false" customHeight="true" outlineLevel="0" collapsed="false">
      <c r="A288" s="3" t="s">
        <v>2536</v>
      </c>
      <c r="B288" s="3" t="str">
        <f aca="false">IF(ISNUMBER(SEARCH("%", A288)),RIGHT(A288,3),A288)</f>
        <v>NEW ROUTE</v>
      </c>
      <c r="C288" s="2" t="s">
        <v>2536</v>
      </c>
    </row>
    <row r="289" customFormat="false" ht="12.75" hidden="false" customHeight="true" outlineLevel="0" collapsed="false">
      <c r="A289" s="3" t="s">
        <v>2900</v>
      </c>
      <c r="B289" s="3" t="str">
        <f aca="false">IF(ISNUMBER(SEARCH("%", A289)),RIGHT(A289,3),A289)</f>
        <v>1, 62, 0,</v>
      </c>
      <c r="C289" s="2" t="s">
        <v>2900</v>
      </c>
    </row>
    <row r="290" customFormat="false" ht="12.75" hidden="false" customHeight="true" outlineLevel="0" collapsed="false">
      <c r="A290" s="3" t="s">
        <v>2823</v>
      </c>
      <c r="B290" s="3" t="str">
        <f aca="false">IF(ISNUMBER(SEARCH("%", A290)),RIGHT(A290,3),A290)</f>
        <v>20%</v>
      </c>
      <c r="C290" s="2" t="s">
        <v>2799</v>
      </c>
    </row>
    <row r="291" customFormat="false" ht="12.75" hidden="false" customHeight="true" outlineLevel="0" collapsed="false">
      <c r="A291" s="3" t="s">
        <v>1311</v>
      </c>
      <c r="B291" s="3" t="str">
        <f aca="false">IF(ISNUMBER(SEARCH("%", A291)),RIGHT(A291,3),A291)</f>
        <v>40, 44, RATTCHET</v>
      </c>
      <c r="C291" s="2" t="s">
        <v>1311</v>
      </c>
    </row>
    <row r="292" customFormat="false" ht="12.75" hidden="false" customHeight="true" outlineLevel="0" collapsed="false">
      <c r="A292" s="3" t="s">
        <v>2887</v>
      </c>
      <c r="B292" s="3" t="str">
        <f aca="false">IF(ISNUMBER(SEARCH("%", A292)),RIGHT(A292,3),A292)</f>
        <v>40, 44, NINETALES</v>
      </c>
      <c r="C292" s="2" t="s">
        <v>2887</v>
      </c>
    </row>
    <row r="293" customFormat="false" ht="12.75" hidden="false" customHeight="true" outlineLevel="0" collapsed="false">
      <c r="A293" s="3"/>
      <c r="B293" s="3" t="n">
        <f aca="false">IF(ISNUMBER(SEARCH("%", A293)),RIGHT(A293,3),A293)</f>
        <v>0</v>
      </c>
      <c r="C293" s="2"/>
    </row>
    <row r="294" customFormat="false" ht="12.75" hidden="false" customHeight="true" outlineLevel="0" collapsed="false">
      <c r="A294" s="3" t="s">
        <v>2801</v>
      </c>
      <c r="B294" s="3" t="str">
        <f aca="false">IF(ISNUMBER(SEARCH("%", A294)),RIGHT(A294,3),A294)</f>
        <v>0.1</v>
      </c>
      <c r="C294" s="2" t="s">
        <v>2801</v>
      </c>
    </row>
    <row r="295" customFormat="false" ht="12.75" hidden="false" customHeight="true" outlineLevel="0" collapsed="false">
      <c r="A295" s="3" t="s">
        <v>2888</v>
      </c>
      <c r="B295" s="3" t="str">
        <f aca="false">IF(ISNUMBER(SEARCH("%", A295)),RIGHT(A295,3),A295)</f>
        <v>41, 42, ARCANINE</v>
      </c>
      <c r="C295" s="2" t="s">
        <v>2888</v>
      </c>
    </row>
    <row r="296" customFormat="false" ht="12.75" hidden="false" customHeight="true" outlineLevel="0" collapsed="false">
      <c r="A296" s="3" t="s">
        <v>2889</v>
      </c>
      <c r="B296" s="3" t="str">
        <f aca="false">IF(ISNUMBER(SEARCH("%", A296)),RIGHT(A296,3),A296)</f>
        <v>43, 44, ARCANINE</v>
      </c>
      <c r="C296" s="2" t="s">
        <v>2889</v>
      </c>
    </row>
    <row r="297" customFormat="false" ht="12.75" hidden="false" customHeight="true" outlineLevel="0" collapsed="false">
      <c r="A297" s="3" t="s">
        <v>2890</v>
      </c>
      <c r="B297" s="3" t="str">
        <f aca="false">IF(ISNUMBER(SEARCH("%", A297)),RIGHT(A297,3),A297)</f>
        <v>42, 44, WEEZING</v>
      </c>
      <c r="C297" s="2" t="s">
        <v>2890</v>
      </c>
    </row>
    <row r="298" customFormat="false" ht="12.75" hidden="false" customHeight="true" outlineLevel="0" collapsed="false">
      <c r="A298" s="3" t="s">
        <v>2891</v>
      </c>
      <c r="B298" s="3" t="str">
        <f aca="false">IF(ISNUMBER(SEARCH("%", A298)),RIGHT(A298,3),A298)</f>
        <v>42, 44, MUK</v>
      </c>
      <c r="C298" s="2" t="s">
        <v>2891</v>
      </c>
    </row>
    <row r="299" customFormat="false" ht="12.75" hidden="false" customHeight="true" outlineLevel="0" collapsed="false">
      <c r="A299" s="3"/>
      <c r="B299" s="3" t="n">
        <f aca="false">IF(ISNUMBER(SEARCH("%", A299)),RIGHT(A299,3),A299)</f>
        <v>0</v>
      </c>
      <c r="C299" s="2"/>
    </row>
    <row r="300" customFormat="false" ht="12.75" hidden="false" customHeight="true" outlineLevel="0" collapsed="false">
      <c r="A300" s="3" t="s">
        <v>2806</v>
      </c>
      <c r="B300" s="3" t="str">
        <f aca="false">IF(ISNUMBER(SEARCH("%", A300)),RIGHT(A300,3),A300)</f>
        <v>0.05</v>
      </c>
      <c r="C300" s="2" t="s">
        <v>2806</v>
      </c>
    </row>
    <row r="301" customFormat="false" ht="12.75" hidden="false" customHeight="true" outlineLevel="0" collapsed="false">
      <c r="A301" s="3" t="s">
        <v>2901</v>
      </c>
      <c r="B301" s="3" t="str">
        <f aca="false">IF(ISNUMBER(SEARCH("%", A301)),RIGHT(A301,3),A301)</f>
        <v>43, 45, GUNK</v>
      </c>
      <c r="C301" s="2" t="s">
        <v>2901</v>
      </c>
    </row>
    <row r="302" customFormat="false" ht="12.75" hidden="false" customHeight="true" outlineLevel="0" collapsed="false">
      <c r="A302" s="3" t="s">
        <v>2902</v>
      </c>
      <c r="B302" s="3" t="str">
        <f aca="false">IF(ISNUMBER(SEARCH("%", A302)),RIGHT(A302,3),A302)</f>
        <v>43, 45, HEEVING</v>
      </c>
      <c r="C302" s="2" t="s">
        <v>2902</v>
      </c>
    </row>
    <row r="303" customFormat="false" ht="12.75" hidden="false" customHeight="true" outlineLevel="0" collapsed="false">
      <c r="A303" s="3"/>
      <c r="B303" s="3" t="n">
        <f aca="false">IF(ISNUMBER(SEARCH("%", A303)),RIGHT(A303,3),A303)</f>
        <v>0</v>
      </c>
      <c r="C303" s="2"/>
    </row>
    <row r="304" customFormat="false" ht="12.75" hidden="false" customHeight="true" outlineLevel="0" collapsed="false">
      <c r="A304" s="3" t="s">
        <v>2809</v>
      </c>
      <c r="B304" s="3" t="str">
        <f aca="false">IF(ISNUMBER(SEARCH("%", A304)),RIGHT(A304,3),A304)</f>
        <v>0.04</v>
      </c>
      <c r="C304" s="2" t="s">
        <v>2809</v>
      </c>
    </row>
    <row r="305" customFormat="false" ht="12.75" hidden="false" customHeight="true" outlineLevel="0" collapsed="false">
      <c r="A305" s="3" t="s">
        <v>2903</v>
      </c>
      <c r="B305" s="3" t="str">
        <f aca="false">IF(ISNUMBER(SEARCH("%", A305)),RIGHT(A305,3),A305)</f>
        <v>45, 46, RATTARULE</v>
      </c>
      <c r="C305" s="2" t="s">
        <v>2903</v>
      </c>
    </row>
    <row r="306" customFormat="false" ht="12.75" hidden="false" customHeight="true" outlineLevel="0" collapsed="false">
      <c r="A306" s="3" t="s">
        <v>2904</v>
      </c>
      <c r="B306" s="3" t="str">
        <f aca="false">IF(ISNUMBER(SEARCH("%", A306)),RIGHT(A306,3),A306)</f>
        <v>45, 46, DITTO</v>
      </c>
      <c r="C306" s="2" t="s">
        <v>2904</v>
      </c>
    </row>
    <row r="307" customFormat="false" ht="12.75" hidden="false" customHeight="true" outlineLevel="0" collapsed="false">
      <c r="A307" s="3"/>
      <c r="B307" s="3" t="n">
        <f aca="false">IF(ISNUMBER(SEARCH("%", A307)),RIGHT(A307,3),A307)</f>
        <v>0</v>
      </c>
      <c r="C307" s="2"/>
    </row>
    <row r="308" customFormat="false" ht="12.75" hidden="false" customHeight="true" outlineLevel="0" collapsed="false">
      <c r="A308" s="3" t="s">
        <v>2812</v>
      </c>
      <c r="B308" s="3" t="str">
        <f aca="false">IF(ISNUMBER(SEARCH("%", A308)),RIGHT(A308,3),A308)</f>
        <v>0.01</v>
      </c>
      <c r="C308" s="2" t="s">
        <v>2812</v>
      </c>
    </row>
    <row r="309" customFormat="false" ht="12.75" hidden="false" customHeight="true" outlineLevel="0" collapsed="false">
      <c r="A309" s="3" t="s">
        <v>2905</v>
      </c>
      <c r="B309" s="3" t="str">
        <f aca="false">IF(ISNUMBER(SEARCH("%", A309)),RIGHT(A309,3),A309)</f>
        <v>20, 25, KABUTO</v>
      </c>
      <c r="C309" s="2" t="s">
        <v>2905</v>
      </c>
    </row>
    <row r="310" customFormat="false" ht="12.75" hidden="false" customHeight="true" outlineLevel="0" collapsed="false">
      <c r="A310" s="3" t="s">
        <v>2906</v>
      </c>
      <c r="B310" s="3" t="str">
        <f aca="false">IF(ISNUMBER(SEARCH("%", A310)),RIGHT(A310,3),A310)</f>
        <v>20, 25, OMANYTE , &lt;null&gt;, &lt;null&gt;, &lt;null&gt;</v>
      </c>
      <c r="C310" s="2" t="s">
        <v>2906</v>
      </c>
    </row>
    <row r="311" customFormat="false" ht="12.75" hidden="false" customHeight="true" outlineLevel="0" collapsed="false">
      <c r="A311" s="3"/>
      <c r="B311" s="3" t="n">
        <f aca="false">IF(ISNUMBER(SEARCH("%", A311)),RIGHT(A311,3),A311)</f>
        <v>0</v>
      </c>
      <c r="C311" s="2"/>
    </row>
    <row r="312" customFormat="false" ht="12.75" hidden="false" customHeight="true" outlineLevel="0" collapsed="false">
      <c r="A312" s="3" t="s">
        <v>2536</v>
      </c>
      <c r="B312" s="3" t="str">
        <f aca="false">IF(ISNUMBER(SEARCH("%", A312)),RIGHT(A312,3),A312)</f>
        <v>NEW ROUTE</v>
      </c>
      <c r="C312" s="2" t="s">
        <v>2536</v>
      </c>
    </row>
    <row r="313" customFormat="false" ht="12.75" hidden="false" customHeight="true" outlineLevel="0" collapsed="false">
      <c r="A313" s="3" t="s">
        <v>2907</v>
      </c>
      <c r="B313" s="3" t="str">
        <f aca="false">IF(ISNUMBER(SEARCH("%", A313)),RIGHT(A313,3),A313)</f>
        <v>1, 63, 0,</v>
      </c>
      <c r="C313" s="2" t="s">
        <v>2907</v>
      </c>
    </row>
    <row r="314" customFormat="false" ht="12.75" hidden="false" customHeight="true" outlineLevel="0" collapsed="false">
      <c r="A314" s="3" t="s">
        <v>2908</v>
      </c>
      <c r="B314" s="3" t="str">
        <f aca="false">IF(ISNUMBER(SEARCH("%", A314)),RIGHT(A314,3),A314)</f>
        <v>20%</v>
      </c>
      <c r="C314" s="2" t="s">
        <v>2799</v>
      </c>
    </row>
    <row r="315" customFormat="false" ht="12.75" hidden="false" customHeight="true" outlineLevel="0" collapsed="false">
      <c r="A315" s="3" t="s">
        <v>1333</v>
      </c>
      <c r="B315" s="3" t="str">
        <f aca="false">IF(ISNUMBER(SEARCH("%", A315)),RIGHT(A315,3),A315)</f>
        <v>35, 40, NIDOKING</v>
      </c>
      <c r="C315" s="2" t="s">
        <v>1333</v>
      </c>
    </row>
    <row r="316" customFormat="false" ht="12.75" hidden="false" customHeight="true" outlineLevel="0" collapsed="false">
      <c r="A316" s="3" t="s">
        <v>2909</v>
      </c>
      <c r="B316" s="3" t="str">
        <f aca="false">IF(ISNUMBER(SEARCH("%", A316)),RIGHT(A316,3),A316)</f>
        <v>35, 40, NIDOQUEEN</v>
      </c>
      <c r="C316" s="2" t="s">
        <v>2909</v>
      </c>
    </row>
    <row r="317" customFormat="false" ht="12.75" hidden="false" customHeight="true" outlineLevel="0" collapsed="false">
      <c r="A317" s="3"/>
      <c r="B317" s="3" t="n">
        <f aca="false">IF(ISNUMBER(SEARCH("%", A317)),RIGHT(A317,3),A317)</f>
        <v>0</v>
      </c>
      <c r="C317" s="2"/>
    </row>
    <row r="318" customFormat="false" ht="12.75" hidden="false" customHeight="true" outlineLevel="0" collapsed="false">
      <c r="A318" s="3" t="s">
        <v>2801</v>
      </c>
      <c r="B318" s="3" t="str">
        <f aca="false">IF(ISNUMBER(SEARCH("%", A318)),RIGHT(A318,3),A318)</f>
        <v>0.1</v>
      </c>
      <c r="C318" s="2" t="s">
        <v>2801</v>
      </c>
    </row>
    <row r="319" customFormat="false" ht="12.75" hidden="false" customHeight="true" outlineLevel="0" collapsed="false">
      <c r="A319" s="3" t="s">
        <v>2910</v>
      </c>
      <c r="B319" s="3" t="str">
        <f aca="false">IF(ISNUMBER(SEARCH("%", A319)),RIGHT(A319,3),A319)</f>
        <v>36, 41, PARASECT</v>
      </c>
      <c r="C319" s="2" t="s">
        <v>2910</v>
      </c>
    </row>
    <row r="320" customFormat="false" ht="12.75" hidden="false" customHeight="true" outlineLevel="0" collapsed="false">
      <c r="A320" s="3" t="s">
        <v>2911</v>
      </c>
      <c r="B320" s="3" t="str">
        <f aca="false">IF(ISNUMBER(SEARCH("%", A320)),RIGHT(A320,3),A320)</f>
        <v>36, 41, VENOMOTH</v>
      </c>
      <c r="C320" s="2" t="s">
        <v>2911</v>
      </c>
    </row>
    <row r="321" customFormat="false" ht="12.75" hidden="false" customHeight="true" outlineLevel="0" collapsed="false">
      <c r="A321" s="3" t="s">
        <v>2912</v>
      </c>
      <c r="B321" s="3" t="str">
        <f aca="false">IF(ISNUMBER(SEARCH("%", A321)),RIGHT(A321,3),A321)</f>
        <v>36, 41, EXEGGUTOR</v>
      </c>
      <c r="C321" s="2" t="s">
        <v>2912</v>
      </c>
    </row>
    <row r="322" customFormat="false" ht="12.75" hidden="false" customHeight="true" outlineLevel="0" collapsed="false">
      <c r="A322" s="3" t="s">
        <v>2913</v>
      </c>
      <c r="B322" s="3" t="str">
        <f aca="false">IF(ISNUMBER(SEARCH("%", A322)),RIGHT(A322,3),A322)</f>
        <v>36, 41, RHYDON</v>
      </c>
      <c r="C322" s="2" t="s">
        <v>2913</v>
      </c>
    </row>
    <row r="323" customFormat="false" ht="12.75" hidden="false" customHeight="true" outlineLevel="0" collapsed="false">
      <c r="A323" s="3"/>
      <c r="B323" s="3" t="n">
        <f aca="false">IF(ISNUMBER(SEARCH("%", A323)),RIGHT(A323,3),A323)</f>
        <v>0</v>
      </c>
      <c r="C323" s="2"/>
    </row>
    <row r="324" customFormat="false" ht="12.75" hidden="false" customHeight="true" outlineLevel="0" collapsed="false">
      <c r="A324" s="3" t="s">
        <v>2806</v>
      </c>
      <c r="B324" s="3" t="str">
        <f aca="false">IF(ISNUMBER(SEARCH("%", A324)),RIGHT(A324,3),A324)</f>
        <v>0.05</v>
      </c>
      <c r="C324" s="2" t="s">
        <v>2806</v>
      </c>
    </row>
    <row r="325" customFormat="false" ht="12.75" hidden="false" customHeight="true" outlineLevel="0" collapsed="false">
      <c r="A325" s="3" t="s">
        <v>2914</v>
      </c>
      <c r="B325" s="3" t="str">
        <f aca="false">IF(ISNUMBER(SEARCH("%", A325)),RIGHT(A325,3),A325)</f>
        <v>37, 39, SCIZOR</v>
      </c>
      <c r="C325" s="2" t="s">
        <v>2914</v>
      </c>
    </row>
    <row r="326" customFormat="false" ht="12.75" hidden="false" customHeight="true" outlineLevel="0" collapsed="false">
      <c r="A326" s="3" t="s">
        <v>2915</v>
      </c>
      <c r="B326" s="3" t="str">
        <f aca="false">IF(ISNUMBER(SEARCH("%", A326)),RIGHT(A326,3),A326)</f>
        <v>37, 39, PINSIRIOR</v>
      </c>
      <c r="C326" s="2" t="s">
        <v>2915</v>
      </c>
    </row>
    <row r="327" customFormat="false" ht="12.75" hidden="false" customHeight="true" outlineLevel="0" collapsed="false">
      <c r="A327" s="3"/>
      <c r="B327" s="3" t="n">
        <f aca="false">IF(ISNUMBER(SEARCH("%", A327)),RIGHT(A327,3),A327)</f>
        <v>0</v>
      </c>
      <c r="C327" s="2"/>
    </row>
    <row r="328" customFormat="false" ht="12.75" hidden="false" customHeight="true" outlineLevel="0" collapsed="false">
      <c r="A328" s="3" t="s">
        <v>2809</v>
      </c>
      <c r="B328" s="3" t="str">
        <f aca="false">IF(ISNUMBER(SEARCH("%", A328)),RIGHT(A328,3),A328)</f>
        <v>0.04</v>
      </c>
      <c r="C328" s="2" t="s">
        <v>2809</v>
      </c>
    </row>
    <row r="329" customFormat="false" ht="12.75" hidden="false" customHeight="true" outlineLevel="0" collapsed="false">
      <c r="A329" s="3" t="s">
        <v>2916</v>
      </c>
      <c r="B329" s="3" t="str">
        <f aca="false">IF(ISNUMBER(SEARCH("%", A329)),RIGHT(A329,3),A329)</f>
        <v>38, 42, CHANSEY</v>
      </c>
      <c r="C329" s="2" t="s">
        <v>2916</v>
      </c>
    </row>
    <row r="330" customFormat="false" ht="12.75" hidden="false" customHeight="true" outlineLevel="0" collapsed="false">
      <c r="A330" s="3" t="s">
        <v>2917</v>
      </c>
      <c r="B330" s="3" t="str">
        <f aca="false">IF(ISNUMBER(SEARCH("%", A330)),RIGHT(A330,3),A330)</f>
        <v>38, 42, JOLTEON</v>
      </c>
      <c r="C330" s="2" t="s">
        <v>2917</v>
      </c>
    </row>
    <row r="331" customFormat="false" ht="12.75" hidden="false" customHeight="true" outlineLevel="0" collapsed="false">
      <c r="A331" s="3"/>
      <c r="B331" s="3" t="n">
        <f aca="false">IF(ISNUMBER(SEARCH("%", A331)),RIGHT(A331,3),A331)</f>
        <v>0</v>
      </c>
      <c r="C331" s="2"/>
    </row>
    <row r="332" customFormat="false" ht="12.75" hidden="false" customHeight="true" outlineLevel="0" collapsed="false">
      <c r="A332" s="3" t="s">
        <v>2812</v>
      </c>
      <c r="B332" s="3" t="str">
        <f aca="false">IF(ISNUMBER(SEARCH("%", A332)),RIGHT(A332,3),A332)</f>
        <v>0.01</v>
      </c>
      <c r="C332" s="2" t="s">
        <v>2812</v>
      </c>
    </row>
    <row r="333" customFormat="false" ht="12.75" hidden="false" customHeight="true" outlineLevel="0" collapsed="false">
      <c r="A333" s="3" t="s">
        <v>2918</v>
      </c>
      <c r="B333" s="3" t="str">
        <f aca="false">IF(ISNUMBER(SEARCH("%", A333)),RIGHT(A333,3),A333)</f>
        <v>40, 40, BLISSEY</v>
      </c>
      <c r="C333" s="2" t="s">
        <v>2918</v>
      </c>
    </row>
    <row r="334" customFormat="false" ht="12.75" hidden="false" customHeight="true" outlineLevel="0" collapsed="false">
      <c r="A334" s="3" t="s">
        <v>2919</v>
      </c>
      <c r="B334" s="3" t="str">
        <f aca="false">IF(ISNUMBER(SEARCH("%", A334)),RIGHT(A334,3),A334)</f>
        <v>40, 40, RHYPERIOR</v>
      </c>
      <c r="C334" s="2" t="s">
        <v>2919</v>
      </c>
    </row>
    <row r="335" customFormat="false" ht="12.75" hidden="false" customHeight="true" outlineLevel="0" collapsed="false">
      <c r="A335" s="3" t="s">
        <v>2920</v>
      </c>
      <c r="B335" s="3" t="str">
        <f aca="false">IF(ISNUMBER(SEARCH("%", A335)),RIGHT(A335,3),A335)</f>
        <v>2, 38, 42, SLOWPOKE</v>
      </c>
      <c r="C335" s="2" t="s">
        <v>2920</v>
      </c>
    </row>
    <row r="336" customFormat="false" ht="12.75" hidden="false" customHeight="true" outlineLevel="0" collapsed="false">
      <c r="A336" s="3" t="s">
        <v>2921</v>
      </c>
      <c r="B336" s="3" t="str">
        <f aca="false">IF(ISNUMBER(SEARCH("%", A336)),RIGHT(A336,3),A336)</f>
        <v>40, 42, PSYDUCK</v>
      </c>
      <c r="C336" s="2" t="s">
        <v>2921</v>
      </c>
    </row>
    <row r="337" customFormat="false" ht="12.75" hidden="false" customHeight="true" outlineLevel="0" collapsed="false">
      <c r="A337" s="3" t="s">
        <v>2922</v>
      </c>
      <c r="B337" s="3" t="str">
        <f aca="false">IF(ISNUMBER(SEARCH("%", A337)),RIGHT(A337,3),A337)</f>
        <v>42, 46, SLOWBRO</v>
      </c>
      <c r="C337" s="2" t="s">
        <v>2922</v>
      </c>
    </row>
    <row r="338" customFormat="false" ht="12.75" hidden="false" customHeight="true" outlineLevel="0" collapsed="false">
      <c r="A338" s="3" t="s">
        <v>2923</v>
      </c>
      <c r="B338" s="3" t="str">
        <f aca="false">IF(ISNUMBER(SEARCH("%", A338)),RIGHT(A338,3),A338)</f>
        <v>42, 46, GOLDUCK</v>
      </c>
      <c r="C338" s="2" t="s">
        <v>2923</v>
      </c>
    </row>
    <row r="339" customFormat="false" ht="12.75" hidden="false" customHeight="true" outlineLevel="0" collapsed="false">
      <c r="A339" s="3" t="s">
        <v>2924</v>
      </c>
      <c r="B339" s="3" t="str">
        <f aca="false">IF(ISNUMBER(SEARCH("%", A339)),RIGHT(A339,3),A339)</f>
        <v>44, 48, VAPOREON</v>
      </c>
      <c r="C339" s="2" t="s">
        <v>2924</v>
      </c>
    </row>
    <row r="340" customFormat="false" ht="12.75" hidden="false" customHeight="true" outlineLevel="0" collapsed="false">
      <c r="A340" s="3" t="s">
        <v>2925</v>
      </c>
      <c r="B340" s="3" t="str">
        <f aca="false">IF(ISNUMBER(SEARCH("%", A340)),RIGHT(A340,3),A340)</f>
        <v>20, old rod:</v>
      </c>
      <c r="C340" s="2" t="s">
        <v>2925</v>
      </c>
    </row>
    <row r="341" customFormat="false" ht="12.75" hidden="false" customHeight="true" outlineLevel="0" collapsed="false">
      <c r="A341" s="3" t="s">
        <v>1349</v>
      </c>
      <c r="B341" s="3" t="str">
        <f aca="false">IF(ISNUMBER(SEARCH("%", A341)),RIGHT(A341,3),A341)</f>
        <v>19, 26, MAGIKARP</v>
      </c>
      <c r="C341" s="2" t="s">
        <v>1349</v>
      </c>
    </row>
    <row r="342" customFormat="false" ht="12.75" hidden="false" customHeight="true" outlineLevel="0" collapsed="false">
      <c r="A342" s="3" t="s">
        <v>2926</v>
      </c>
      <c r="B342" s="3" t="str">
        <f aca="false">IF(ISNUMBER(SEARCH("%", A342)),RIGHT(A342,3),A342)</f>
        <v>19, 26, POLIWAG</v>
      </c>
      <c r="C342" s="2" t="s">
        <v>2926</v>
      </c>
    </row>
    <row r="343" customFormat="false" ht="12.75" hidden="false" customHeight="true" outlineLevel="0" collapsed="false">
      <c r="A343" s="3"/>
      <c r="B343" s="3" t="n">
        <f aca="false">IF(ISNUMBER(SEARCH("%", A343)),RIGHT(A343,3),A343)</f>
        <v>0</v>
      </c>
      <c r="C343" s="2"/>
    </row>
    <row r="344" customFormat="false" ht="12.75" hidden="false" customHeight="true" outlineLevel="0" collapsed="false">
      <c r="A344" s="3" t="s">
        <v>2846</v>
      </c>
      <c r="B344" s="3" t="str">
        <f aca="false">IF(ISNUMBER(SEARCH("%", A344)),RIGHT(A344,3),A344)</f>
        <v>good rod:</v>
      </c>
      <c r="C344" s="2" t="s">
        <v>2846</v>
      </c>
    </row>
    <row r="345" customFormat="false" ht="12.75" hidden="false" customHeight="true" outlineLevel="0" collapsed="false">
      <c r="A345" s="3" t="s">
        <v>2927</v>
      </c>
      <c r="B345" s="3" t="str">
        <f aca="false">IF(ISNUMBER(SEARCH("%", A345)),RIGHT(A345,3),A345)</f>
        <v>29, 33, GYARADOS</v>
      </c>
      <c r="C345" s="2" t="s">
        <v>2927</v>
      </c>
    </row>
    <row r="346" customFormat="false" ht="12.75" hidden="false" customHeight="true" outlineLevel="0" collapsed="false">
      <c r="A346" s="3" t="s">
        <v>2928</v>
      </c>
      <c r="B346" s="3" t="str">
        <f aca="false">IF(ISNUMBER(SEARCH("%", A346)),RIGHT(A346,3),A346)</f>
        <v>30, 35, POLIWAG</v>
      </c>
      <c r="C346" s="2" t="s">
        <v>2928</v>
      </c>
    </row>
    <row r="347" customFormat="false" ht="12.75" hidden="false" customHeight="true" outlineLevel="0" collapsed="false">
      <c r="A347" s="3" t="s">
        <v>2929</v>
      </c>
      <c r="B347" s="3" t="str">
        <f aca="false">IF(ISNUMBER(SEARCH("%", A347)),RIGHT(A347,3),A347)</f>
        <v>30, 35, GOLDEEN</v>
      </c>
      <c r="C347" s="2" t="s">
        <v>2929</v>
      </c>
    </row>
    <row r="348" customFormat="false" ht="12.75" hidden="false" customHeight="true" outlineLevel="0" collapsed="false">
      <c r="A348" s="3"/>
      <c r="B348" s="3" t="n">
        <f aca="false">IF(ISNUMBER(SEARCH("%", A348)),RIGHT(A348,3),A348)</f>
        <v>0</v>
      </c>
      <c r="C348" s="2"/>
    </row>
    <row r="349" customFormat="false" ht="12.75" hidden="false" customHeight="true" outlineLevel="0" collapsed="false">
      <c r="A349" s="3" t="s">
        <v>2850</v>
      </c>
      <c r="B349" s="3" t="str">
        <f aca="false">IF(ISNUMBER(SEARCH("%", A349)),RIGHT(A349,3),A349)</f>
        <v>super rod:</v>
      </c>
      <c r="C349" s="2" t="s">
        <v>2850</v>
      </c>
    </row>
    <row r="350" customFormat="false" ht="12.75" hidden="false" customHeight="true" outlineLevel="0" collapsed="false">
      <c r="A350" s="3" t="s">
        <v>2930</v>
      </c>
      <c r="B350" s="3" t="str">
        <f aca="false">IF(ISNUMBER(SEARCH("%", A350)),RIGHT(A350,3),A350)</f>
        <v>36, 40, POLIWHIRL</v>
      </c>
      <c r="C350" s="2" t="s">
        <v>2930</v>
      </c>
    </row>
    <row r="351" customFormat="false" ht="12.75" hidden="false" customHeight="true" outlineLevel="0" collapsed="false">
      <c r="A351" s="3" t="s">
        <v>2931</v>
      </c>
      <c r="B351" s="3" t="str">
        <f aca="false">IF(ISNUMBER(SEARCH("%", A351)),RIGHT(A351,3),A351)</f>
        <v>36, 40, SEAKING</v>
      </c>
      <c r="C351" s="2" t="s">
        <v>2931</v>
      </c>
    </row>
    <row r="352" customFormat="false" ht="12.75" hidden="false" customHeight="true" outlineLevel="0" collapsed="false">
      <c r="A352" s="3" t="s">
        <v>2932</v>
      </c>
      <c r="B352" s="3" t="str">
        <f aca="false">IF(ISNUMBER(SEARCH("%", A352)),RIGHT(A352,3),A352)</f>
        <v>38, 42, DRATINI</v>
      </c>
      <c r="C352" s="2" t="s">
        <v>2932</v>
      </c>
    </row>
    <row r="353" customFormat="false" ht="12.75" hidden="false" customHeight="true" outlineLevel="0" collapsed="false">
      <c r="A353" s="3" t="s">
        <v>2933</v>
      </c>
      <c r="B353" s="3" t="str">
        <f aca="false">IF(ISNUMBER(SEARCH("%", A353)),RIGHT(A353,3),A353)</f>
        <v>38, 42, DRAGONAIR</v>
      </c>
      <c r="C353" s="2" t="s">
        <v>2933</v>
      </c>
    </row>
    <row r="354" customFormat="false" ht="12.75" hidden="false" customHeight="true" outlineLevel="0" collapsed="false">
      <c r="A354" s="3" t="s">
        <v>2934</v>
      </c>
      <c r="B354" s="3" t="str">
        <f aca="false">IF(ISNUMBER(SEARCH("%", A354)),RIGHT(A354,3),A354)</f>
        <v>40, 44, DRAGONITE</v>
      </c>
      <c r="C354" s="2" t="s">
        <v>2934</v>
      </c>
    </row>
    <row r="355" customFormat="false" ht="12.75" hidden="false" customHeight="true" outlineLevel="0" collapsed="false">
      <c r="A355" s="3" t="s">
        <v>2536</v>
      </c>
      <c r="B355" s="3" t="str">
        <f aca="false">IF(ISNUMBER(SEARCH("%", A355)),RIGHT(A355,3),A355)</f>
        <v>NEW ROUTE</v>
      </c>
      <c r="C355" s="2" t="s">
        <v>2536</v>
      </c>
    </row>
    <row r="356" customFormat="false" ht="12.75" hidden="false" customHeight="true" outlineLevel="0" collapsed="false">
      <c r="A356" s="3" t="s">
        <v>2935</v>
      </c>
      <c r="B356" s="3" t="str">
        <f aca="false">IF(ISNUMBER(SEARCH("%", A356)),RIGHT(A356,3),A356)</f>
        <v>1, 64, 0,</v>
      </c>
      <c r="C356" s="2" t="s">
        <v>2935</v>
      </c>
    </row>
    <row r="357" customFormat="false" ht="12.75" hidden="false" customHeight="true" outlineLevel="0" collapsed="false">
      <c r="A357" s="3" t="s">
        <v>2908</v>
      </c>
      <c r="B357" s="3" t="str">
        <f aca="false">IF(ISNUMBER(SEARCH("%", A357)),RIGHT(A357,3),A357)</f>
        <v>20%</v>
      </c>
      <c r="C357" s="2" t="s">
        <v>2799</v>
      </c>
    </row>
    <row r="358" customFormat="false" ht="12.75" hidden="false" customHeight="true" outlineLevel="0" collapsed="false">
      <c r="A358" s="3" t="s">
        <v>1333</v>
      </c>
      <c r="B358" s="3" t="str">
        <f aca="false">IF(ISNUMBER(SEARCH("%", A358)),RIGHT(A358,3),A358)</f>
        <v>35, 40, NIDOKING</v>
      </c>
      <c r="C358" s="2" t="s">
        <v>1333</v>
      </c>
    </row>
    <row r="359" customFormat="false" ht="12.75" hidden="false" customHeight="true" outlineLevel="0" collapsed="false">
      <c r="A359" s="3" t="s">
        <v>2909</v>
      </c>
      <c r="B359" s="3" t="str">
        <f aca="false">IF(ISNUMBER(SEARCH("%", A359)),RIGHT(A359,3),A359)</f>
        <v>35, 40, NIDOQUEEN</v>
      </c>
      <c r="C359" s="2" t="s">
        <v>2909</v>
      </c>
    </row>
    <row r="360" customFormat="false" ht="12.75" hidden="false" customHeight="true" outlineLevel="0" collapsed="false">
      <c r="A360" s="3"/>
      <c r="B360" s="3" t="n">
        <f aca="false">IF(ISNUMBER(SEARCH("%", A360)),RIGHT(A360,3),A360)</f>
        <v>0</v>
      </c>
      <c r="C360" s="2"/>
    </row>
    <row r="361" customFormat="false" ht="12.75" hidden="false" customHeight="true" outlineLevel="0" collapsed="false">
      <c r="A361" s="3" t="s">
        <v>2801</v>
      </c>
      <c r="B361" s="3" t="str">
        <f aca="false">IF(ISNUMBER(SEARCH("%", A361)),RIGHT(A361,3),A361)</f>
        <v>0.1</v>
      </c>
      <c r="C361" s="2" t="s">
        <v>2801</v>
      </c>
    </row>
    <row r="362" customFormat="false" ht="12.75" hidden="false" customHeight="true" outlineLevel="0" collapsed="false">
      <c r="A362" s="3" t="s">
        <v>2910</v>
      </c>
      <c r="B362" s="3" t="str">
        <f aca="false">IF(ISNUMBER(SEARCH("%", A362)),RIGHT(A362,3),A362)</f>
        <v>36, 41, PARASECT</v>
      </c>
      <c r="C362" s="2" t="s">
        <v>2910</v>
      </c>
    </row>
    <row r="363" customFormat="false" ht="12.75" hidden="false" customHeight="true" outlineLevel="0" collapsed="false">
      <c r="A363" s="3" t="s">
        <v>2911</v>
      </c>
      <c r="B363" s="3" t="str">
        <f aca="false">IF(ISNUMBER(SEARCH("%", A363)),RIGHT(A363,3),A363)</f>
        <v>36, 41, VENOMOTH</v>
      </c>
      <c r="C363" s="2" t="s">
        <v>2911</v>
      </c>
    </row>
    <row r="364" customFormat="false" ht="12.75" hidden="false" customHeight="true" outlineLevel="0" collapsed="false">
      <c r="A364" s="3" t="s">
        <v>2936</v>
      </c>
      <c r="B364" s="3" t="str">
        <f aca="false">IF(ISNUMBER(SEARCH("%", A364)),RIGHT(A364,3),A364)</f>
        <v>36, 41, DODRIO</v>
      </c>
      <c r="C364" s="2" t="s">
        <v>2936</v>
      </c>
    </row>
    <row r="365" customFormat="false" ht="12.75" hidden="false" customHeight="true" outlineLevel="0" collapsed="false">
      <c r="A365" s="3" t="s">
        <v>2937</v>
      </c>
      <c r="B365" s="3" t="str">
        <f aca="false">IF(ISNUMBER(SEARCH("%", A365)),RIGHT(A365,3),A365)</f>
        <v>36, 41, MAGMAR</v>
      </c>
      <c r="C365" s="2" t="s">
        <v>2937</v>
      </c>
    </row>
    <row r="366" customFormat="false" ht="12.75" hidden="false" customHeight="true" outlineLevel="0" collapsed="false">
      <c r="A366" s="3"/>
      <c r="B366" s="3" t="n">
        <f aca="false">IF(ISNUMBER(SEARCH("%", A366)),RIGHT(A366,3),A366)</f>
        <v>0</v>
      </c>
      <c r="C366" s="2"/>
    </row>
    <row r="367" customFormat="false" ht="12.75" hidden="false" customHeight="true" outlineLevel="0" collapsed="false">
      <c r="A367" s="3" t="s">
        <v>2806</v>
      </c>
      <c r="B367" s="3" t="str">
        <f aca="false">IF(ISNUMBER(SEARCH("%", A367)),RIGHT(A367,3),A367)</f>
        <v>0.05</v>
      </c>
      <c r="C367" s="2" t="s">
        <v>2806</v>
      </c>
    </row>
    <row r="368" customFormat="false" ht="12.75" hidden="false" customHeight="true" outlineLevel="0" collapsed="false">
      <c r="A368" s="3" t="s">
        <v>2914</v>
      </c>
      <c r="B368" s="3" t="str">
        <f aca="false">IF(ISNUMBER(SEARCH("%", A368)),RIGHT(A368,3),A368)</f>
        <v>37, 39, SCIZOR</v>
      </c>
      <c r="C368" s="2" t="s">
        <v>2914</v>
      </c>
    </row>
    <row r="369" customFormat="false" ht="12.75" hidden="false" customHeight="true" outlineLevel="0" collapsed="false">
      <c r="A369" s="3" t="s">
        <v>2915</v>
      </c>
      <c r="B369" s="3" t="str">
        <f aca="false">IF(ISNUMBER(SEARCH("%", A369)),RIGHT(A369,3),A369)</f>
        <v>37, 39, PINSIRIOR</v>
      </c>
      <c r="C369" s="2" t="s">
        <v>2915</v>
      </c>
    </row>
    <row r="370" customFormat="false" ht="12.75" hidden="false" customHeight="true" outlineLevel="0" collapsed="false">
      <c r="A370" s="3"/>
      <c r="B370" s="3" t="n">
        <f aca="false">IF(ISNUMBER(SEARCH("%", A370)),RIGHT(A370,3),A370)</f>
        <v>0</v>
      </c>
      <c r="C370" s="2"/>
    </row>
    <row r="371" customFormat="false" ht="12.75" hidden="false" customHeight="true" outlineLevel="0" collapsed="false">
      <c r="A371" s="3" t="s">
        <v>2809</v>
      </c>
      <c r="B371" s="3" t="str">
        <f aca="false">IF(ISNUMBER(SEARCH("%", A371)),RIGHT(A371,3),A371)</f>
        <v>0.04</v>
      </c>
      <c r="C371" s="2" t="s">
        <v>2809</v>
      </c>
    </row>
    <row r="372" customFormat="false" ht="12.75" hidden="false" customHeight="true" outlineLevel="0" collapsed="false">
      <c r="A372" s="3" t="s">
        <v>2938</v>
      </c>
      <c r="B372" s="3" t="str">
        <f aca="false">IF(ISNUMBER(SEARCH("%", A372)),RIGHT(A372,3),A372)</f>
        <v>38, 42, KANGASKHAN</v>
      </c>
      <c r="C372" s="2" t="s">
        <v>2938</v>
      </c>
    </row>
    <row r="373" customFormat="false" ht="12.75" hidden="false" customHeight="true" outlineLevel="0" collapsed="false">
      <c r="A373" s="3" t="s">
        <v>2939</v>
      </c>
      <c r="B373" s="3" t="str">
        <f aca="false">IF(ISNUMBER(SEARCH("%", A373)),RIGHT(A373,3),A373)</f>
        <v>38, 42, HITMONCHAN</v>
      </c>
      <c r="C373" s="2" t="s">
        <v>2939</v>
      </c>
    </row>
    <row r="374" customFormat="false" ht="12.75" hidden="false" customHeight="true" outlineLevel="0" collapsed="false">
      <c r="A374" s="3"/>
      <c r="B374" s="3" t="n">
        <f aca="false">IF(ISNUMBER(SEARCH("%", A374)),RIGHT(A374,3),A374)</f>
        <v>0</v>
      </c>
      <c r="C374" s="2"/>
    </row>
    <row r="375" customFormat="false" ht="12.75" hidden="false" customHeight="true" outlineLevel="0" collapsed="false">
      <c r="A375" s="3" t="s">
        <v>2812</v>
      </c>
      <c r="B375" s="3" t="str">
        <f aca="false">IF(ISNUMBER(SEARCH("%", A375)),RIGHT(A375,3),A375)</f>
        <v>0.01</v>
      </c>
      <c r="C375" s="2" t="s">
        <v>2812</v>
      </c>
    </row>
    <row r="376" customFormat="false" ht="12.75" hidden="false" customHeight="true" outlineLevel="0" collapsed="false">
      <c r="A376" s="3" t="s">
        <v>2940</v>
      </c>
      <c r="B376" s="3" t="str">
        <f aca="false">IF(ISNUMBER(SEARCH("%", A376)),RIGHT(A376,3),A376)</f>
        <v>40, 40, KANGALLOUS</v>
      </c>
      <c r="C376" s="2" t="s">
        <v>2940</v>
      </c>
    </row>
    <row r="377" customFormat="false" ht="12.75" hidden="false" customHeight="true" outlineLevel="0" collapsed="false">
      <c r="A377" s="3" t="s">
        <v>2941</v>
      </c>
      <c r="B377" s="3" t="str">
        <f aca="false">IF(ISNUMBER(SEARCH("%", A377)),RIGHT(A377,3),A377)</f>
        <v>40, 40, MAGMORTAR</v>
      </c>
      <c r="C377" s="2" t="s">
        <v>2941</v>
      </c>
    </row>
    <row r="378" customFormat="false" ht="12.75" hidden="false" customHeight="true" outlineLevel="0" collapsed="false">
      <c r="A378" s="3" t="s">
        <v>2920</v>
      </c>
      <c r="B378" s="3" t="str">
        <f aca="false">IF(ISNUMBER(SEARCH("%", A378)),RIGHT(A378,3),A378)</f>
        <v>2, 38, 42, SLOWPOKE</v>
      </c>
      <c r="C378" s="2" t="s">
        <v>2920</v>
      </c>
    </row>
    <row r="379" customFormat="false" ht="12.75" hidden="false" customHeight="true" outlineLevel="0" collapsed="false">
      <c r="A379" s="3" t="s">
        <v>2921</v>
      </c>
      <c r="B379" s="3" t="str">
        <f aca="false">IF(ISNUMBER(SEARCH("%", A379)),RIGHT(A379,3),A379)</f>
        <v>40, 42, PSYDUCK</v>
      </c>
      <c r="C379" s="2" t="s">
        <v>2921</v>
      </c>
    </row>
    <row r="380" customFormat="false" ht="12.75" hidden="false" customHeight="true" outlineLevel="0" collapsed="false">
      <c r="A380" s="3" t="s">
        <v>2922</v>
      </c>
      <c r="B380" s="3" t="str">
        <f aca="false">IF(ISNUMBER(SEARCH("%", A380)),RIGHT(A380,3),A380)</f>
        <v>42, 46, SLOWBRO</v>
      </c>
      <c r="C380" s="2" t="s">
        <v>2922</v>
      </c>
    </row>
    <row r="381" customFormat="false" ht="12.75" hidden="false" customHeight="true" outlineLevel="0" collapsed="false">
      <c r="A381" s="3" t="s">
        <v>2923</v>
      </c>
      <c r="B381" s="3" t="str">
        <f aca="false">IF(ISNUMBER(SEARCH("%", A381)),RIGHT(A381,3),A381)</f>
        <v>42, 46, GOLDUCK</v>
      </c>
      <c r="C381" s="2" t="s">
        <v>2923</v>
      </c>
    </row>
    <row r="382" customFormat="false" ht="12.75" hidden="false" customHeight="true" outlineLevel="0" collapsed="false">
      <c r="A382" s="3" t="s">
        <v>2924</v>
      </c>
      <c r="B382" s="3" t="str">
        <f aca="false">IF(ISNUMBER(SEARCH("%", A382)),RIGHT(A382,3),A382)</f>
        <v>44, 48, VAPOREON</v>
      </c>
      <c r="C382" s="2" t="s">
        <v>2924</v>
      </c>
    </row>
    <row r="383" customFormat="false" ht="12.75" hidden="false" customHeight="true" outlineLevel="0" collapsed="false">
      <c r="A383" s="3" t="s">
        <v>2925</v>
      </c>
      <c r="B383" s="3" t="str">
        <f aca="false">IF(ISNUMBER(SEARCH("%", A383)),RIGHT(A383,3),A383)</f>
        <v>20, old rod:</v>
      </c>
      <c r="C383" s="2" t="s">
        <v>2925</v>
      </c>
    </row>
    <row r="384" customFormat="false" ht="12.75" hidden="false" customHeight="true" outlineLevel="0" collapsed="false">
      <c r="A384" s="3" t="s">
        <v>1349</v>
      </c>
      <c r="B384" s="3" t="str">
        <f aca="false">IF(ISNUMBER(SEARCH("%", A384)),RIGHT(A384,3),A384)</f>
        <v>19, 26, MAGIKARP</v>
      </c>
      <c r="C384" s="2" t="s">
        <v>1349</v>
      </c>
    </row>
    <row r="385" customFormat="false" ht="12.75" hidden="false" customHeight="true" outlineLevel="0" collapsed="false">
      <c r="A385" s="3" t="s">
        <v>2926</v>
      </c>
      <c r="B385" s="3" t="str">
        <f aca="false">IF(ISNUMBER(SEARCH("%", A385)),RIGHT(A385,3),A385)</f>
        <v>19, 26, POLIWAG</v>
      </c>
      <c r="C385" s="2" t="s">
        <v>2926</v>
      </c>
    </row>
    <row r="386" customFormat="false" ht="12.75" hidden="false" customHeight="true" outlineLevel="0" collapsed="false">
      <c r="A386" s="3"/>
      <c r="B386" s="3" t="n">
        <f aca="false">IF(ISNUMBER(SEARCH("%", A386)),RIGHT(A386,3),A386)</f>
        <v>0</v>
      </c>
      <c r="C386" s="2"/>
    </row>
    <row r="387" customFormat="false" ht="12.75" hidden="false" customHeight="true" outlineLevel="0" collapsed="false">
      <c r="A387" s="3" t="s">
        <v>2846</v>
      </c>
      <c r="B387" s="3" t="str">
        <f aca="false">IF(ISNUMBER(SEARCH("%", A387)),RIGHT(A387,3),A387)</f>
        <v>good rod:</v>
      </c>
      <c r="C387" s="2" t="s">
        <v>2846</v>
      </c>
    </row>
    <row r="388" customFormat="false" ht="12.75" hidden="false" customHeight="true" outlineLevel="0" collapsed="false">
      <c r="A388" s="3" t="s">
        <v>2927</v>
      </c>
      <c r="B388" s="3" t="str">
        <f aca="false">IF(ISNUMBER(SEARCH("%", A388)),RIGHT(A388,3),A388)</f>
        <v>29, 33, GYARADOS</v>
      </c>
      <c r="C388" s="2" t="s">
        <v>2927</v>
      </c>
    </row>
    <row r="389" customFormat="false" ht="12.75" hidden="false" customHeight="true" outlineLevel="0" collapsed="false">
      <c r="A389" s="3" t="s">
        <v>2928</v>
      </c>
      <c r="B389" s="3" t="str">
        <f aca="false">IF(ISNUMBER(SEARCH("%", A389)),RIGHT(A389,3),A389)</f>
        <v>30, 35, POLIWAG</v>
      </c>
      <c r="C389" s="2" t="s">
        <v>2928</v>
      </c>
    </row>
    <row r="390" customFormat="false" ht="12.75" hidden="false" customHeight="true" outlineLevel="0" collapsed="false">
      <c r="A390" s="3" t="s">
        <v>2929</v>
      </c>
      <c r="B390" s="3" t="str">
        <f aca="false">IF(ISNUMBER(SEARCH("%", A390)),RIGHT(A390,3),A390)</f>
        <v>30, 35, GOLDEEN</v>
      </c>
      <c r="C390" s="2" t="s">
        <v>2929</v>
      </c>
    </row>
    <row r="391" customFormat="false" ht="12.75" hidden="false" customHeight="true" outlineLevel="0" collapsed="false">
      <c r="A391" s="3"/>
      <c r="B391" s="3" t="n">
        <f aca="false">IF(ISNUMBER(SEARCH("%", A391)),RIGHT(A391,3),A391)</f>
        <v>0</v>
      </c>
      <c r="C391" s="2"/>
    </row>
    <row r="392" customFormat="false" ht="12.75" hidden="false" customHeight="true" outlineLevel="0" collapsed="false">
      <c r="A392" s="3" t="s">
        <v>2850</v>
      </c>
      <c r="B392" s="3" t="str">
        <f aca="false">IF(ISNUMBER(SEARCH("%", A392)),RIGHT(A392,3),A392)</f>
        <v>super rod:</v>
      </c>
      <c r="C392" s="2" t="s">
        <v>2850</v>
      </c>
    </row>
    <row r="393" customFormat="false" ht="12.75" hidden="false" customHeight="true" outlineLevel="0" collapsed="false">
      <c r="A393" s="3" t="s">
        <v>2930</v>
      </c>
      <c r="B393" s="3" t="str">
        <f aca="false">IF(ISNUMBER(SEARCH("%", A393)),RIGHT(A393,3),A393)</f>
        <v>36, 40, POLIWHIRL</v>
      </c>
      <c r="C393" s="2" t="s">
        <v>2930</v>
      </c>
    </row>
    <row r="394" customFormat="false" ht="12.75" hidden="false" customHeight="true" outlineLevel="0" collapsed="false">
      <c r="A394" s="3" t="s">
        <v>2931</v>
      </c>
      <c r="B394" s="3" t="str">
        <f aca="false">IF(ISNUMBER(SEARCH("%", A394)),RIGHT(A394,3),A394)</f>
        <v>36, 40, SEAKING</v>
      </c>
      <c r="C394" s="2" t="s">
        <v>2931</v>
      </c>
    </row>
    <row r="395" customFormat="false" ht="12.75" hidden="false" customHeight="true" outlineLevel="0" collapsed="false">
      <c r="A395" s="3" t="s">
        <v>2932</v>
      </c>
      <c r="B395" s="3" t="str">
        <f aca="false">IF(ISNUMBER(SEARCH("%", A395)),RIGHT(A395,3),A395)</f>
        <v>38, 42, DRATINI</v>
      </c>
      <c r="C395" s="2" t="s">
        <v>2932</v>
      </c>
    </row>
    <row r="396" customFormat="false" ht="12.75" hidden="false" customHeight="true" outlineLevel="0" collapsed="false">
      <c r="A396" s="3" t="s">
        <v>2933</v>
      </c>
      <c r="B396" s="3" t="str">
        <f aca="false">IF(ISNUMBER(SEARCH("%", A396)),RIGHT(A396,3),A396)</f>
        <v>38, 42, DRAGONAIR</v>
      </c>
      <c r="C396" s="2" t="s">
        <v>2933</v>
      </c>
    </row>
    <row r="397" customFormat="false" ht="12.75" hidden="false" customHeight="true" outlineLevel="0" collapsed="false">
      <c r="A397" s="3" t="s">
        <v>2934</v>
      </c>
      <c r="B397" s="3" t="str">
        <f aca="false">IF(ISNUMBER(SEARCH("%", A397)),RIGHT(A397,3),A397)</f>
        <v>40, 44, DRAGONITE</v>
      </c>
      <c r="C397" s="2" t="s">
        <v>2934</v>
      </c>
    </row>
    <row r="398" customFormat="false" ht="12.75" hidden="false" customHeight="true" outlineLevel="0" collapsed="false">
      <c r="A398" s="3" t="s">
        <v>2536</v>
      </c>
      <c r="B398" s="3" t="str">
        <f aca="false">IF(ISNUMBER(SEARCH("%", A398)),RIGHT(A398,3),A398)</f>
        <v>NEW ROUTE</v>
      </c>
      <c r="C398" s="2" t="s">
        <v>2536</v>
      </c>
    </row>
    <row r="399" customFormat="false" ht="12.75" hidden="false" customHeight="true" outlineLevel="0" collapsed="false">
      <c r="A399" s="3" t="s">
        <v>2942</v>
      </c>
      <c r="B399" s="3" t="str">
        <f aca="false">IF(ISNUMBER(SEARCH("%", A399)),RIGHT(A399,3),A399)</f>
        <v>1, 65, 0,</v>
      </c>
      <c r="C399" s="2" t="s">
        <v>2942</v>
      </c>
    </row>
    <row r="400" customFormat="false" ht="12.75" hidden="false" customHeight="true" outlineLevel="0" collapsed="false">
      <c r="A400" s="3" t="s">
        <v>2908</v>
      </c>
      <c r="B400" s="3" t="str">
        <f aca="false">IF(ISNUMBER(SEARCH("%", A400)),RIGHT(A400,3),A400)</f>
        <v>20%</v>
      </c>
      <c r="C400" s="2" t="s">
        <v>2799</v>
      </c>
    </row>
    <row r="401" customFormat="false" ht="12.75" hidden="false" customHeight="true" outlineLevel="0" collapsed="false">
      <c r="A401" s="3" t="s">
        <v>1333</v>
      </c>
      <c r="B401" s="3" t="str">
        <f aca="false">IF(ISNUMBER(SEARCH("%", A401)),RIGHT(A401,3),A401)</f>
        <v>35, 40, NIDOKING</v>
      </c>
      <c r="C401" s="2" t="s">
        <v>1333</v>
      </c>
    </row>
    <row r="402" customFormat="false" ht="12.75" hidden="false" customHeight="true" outlineLevel="0" collapsed="false">
      <c r="A402" s="3" t="s">
        <v>2909</v>
      </c>
      <c r="B402" s="3" t="str">
        <f aca="false">IF(ISNUMBER(SEARCH("%", A402)),RIGHT(A402,3),A402)</f>
        <v>35, 40, NIDOQUEEN</v>
      </c>
      <c r="C402" s="2" t="s">
        <v>2909</v>
      </c>
    </row>
    <row r="403" customFormat="false" ht="12.75" hidden="false" customHeight="true" outlineLevel="0" collapsed="false">
      <c r="A403" s="3"/>
      <c r="B403" s="3" t="n">
        <f aca="false">IF(ISNUMBER(SEARCH("%", A403)),RIGHT(A403,3),A403)</f>
        <v>0</v>
      </c>
      <c r="C403" s="2"/>
    </row>
    <row r="404" customFormat="false" ht="12.75" hidden="false" customHeight="true" outlineLevel="0" collapsed="false">
      <c r="A404" s="3" t="s">
        <v>2801</v>
      </c>
      <c r="B404" s="3" t="str">
        <f aca="false">IF(ISNUMBER(SEARCH("%", A404)),RIGHT(A404,3),A404)</f>
        <v>0.1</v>
      </c>
      <c r="C404" s="2" t="s">
        <v>2801</v>
      </c>
    </row>
    <row r="405" customFormat="false" ht="12.75" hidden="false" customHeight="true" outlineLevel="0" collapsed="false">
      <c r="A405" s="3" t="s">
        <v>2910</v>
      </c>
      <c r="B405" s="3" t="str">
        <f aca="false">IF(ISNUMBER(SEARCH("%", A405)),RIGHT(A405,3),A405)</f>
        <v>36, 41, PARASECT</v>
      </c>
      <c r="C405" s="2" t="s">
        <v>2910</v>
      </c>
    </row>
    <row r="406" customFormat="false" ht="12.75" hidden="false" customHeight="true" outlineLevel="0" collapsed="false">
      <c r="A406" s="3" t="s">
        <v>2911</v>
      </c>
      <c r="B406" s="3" t="str">
        <f aca="false">IF(ISNUMBER(SEARCH("%", A406)),RIGHT(A406,3),A406)</f>
        <v>36, 41, VENOMOTH</v>
      </c>
      <c r="C406" s="2" t="s">
        <v>2911</v>
      </c>
    </row>
    <row r="407" customFormat="false" ht="12.75" hidden="false" customHeight="true" outlineLevel="0" collapsed="false">
      <c r="A407" s="3" t="s">
        <v>2943</v>
      </c>
      <c r="B407" s="3" t="str">
        <f aca="false">IF(ISNUMBER(SEARCH("%", A407)),RIGHT(A407,3),A407)</f>
        <v>36, 41, CLEFABLE</v>
      </c>
      <c r="C407" s="2" t="s">
        <v>2943</v>
      </c>
    </row>
    <row r="408" customFormat="false" ht="12.75" hidden="false" customHeight="true" outlineLevel="0" collapsed="false">
      <c r="A408" s="3" t="s">
        <v>2944</v>
      </c>
      <c r="B408" s="3" t="str">
        <f aca="false">IF(ISNUMBER(SEARCH("%", A408)),RIGHT(A408,3),A408)</f>
        <v>36, 41, ELECTABUZZ</v>
      </c>
      <c r="C408" s="2" t="s">
        <v>2944</v>
      </c>
    </row>
    <row r="409" customFormat="false" ht="12.75" hidden="false" customHeight="true" outlineLevel="0" collapsed="false">
      <c r="A409" s="3"/>
      <c r="B409" s="3" t="n">
        <f aca="false">IF(ISNUMBER(SEARCH("%", A409)),RIGHT(A409,3),A409)</f>
        <v>0</v>
      </c>
      <c r="C409" s="2"/>
    </row>
    <row r="410" customFormat="false" ht="12.75" hidden="false" customHeight="true" outlineLevel="0" collapsed="false">
      <c r="A410" s="3" t="s">
        <v>2806</v>
      </c>
      <c r="B410" s="3" t="str">
        <f aca="false">IF(ISNUMBER(SEARCH("%", A410)),RIGHT(A410,3),A410)</f>
        <v>0.05</v>
      </c>
      <c r="C410" s="2" t="s">
        <v>2806</v>
      </c>
    </row>
    <row r="411" customFormat="false" ht="12.75" hidden="false" customHeight="true" outlineLevel="0" collapsed="false">
      <c r="A411" s="3" t="s">
        <v>2914</v>
      </c>
      <c r="B411" s="3" t="str">
        <f aca="false">IF(ISNUMBER(SEARCH("%", A411)),RIGHT(A411,3),A411)</f>
        <v>37, 39, SCIZOR</v>
      </c>
      <c r="C411" s="2" t="s">
        <v>2914</v>
      </c>
    </row>
    <row r="412" customFormat="false" ht="12.75" hidden="false" customHeight="true" outlineLevel="0" collapsed="false">
      <c r="A412" s="3" t="s">
        <v>2915</v>
      </c>
      <c r="B412" s="3" t="str">
        <f aca="false">IF(ISNUMBER(SEARCH("%", A412)),RIGHT(A412,3),A412)</f>
        <v>37, 39, PINSIRIOR</v>
      </c>
      <c r="C412" s="2" t="s">
        <v>2915</v>
      </c>
    </row>
    <row r="413" customFormat="false" ht="12.75" hidden="false" customHeight="true" outlineLevel="0" collapsed="false">
      <c r="A413" s="3"/>
      <c r="B413" s="3" t="n">
        <f aca="false">IF(ISNUMBER(SEARCH("%", A413)),RIGHT(A413,3),A413)</f>
        <v>0</v>
      </c>
      <c r="C413" s="2"/>
    </row>
    <row r="414" customFormat="false" ht="12.75" hidden="false" customHeight="true" outlineLevel="0" collapsed="false">
      <c r="A414" s="3" t="s">
        <v>2809</v>
      </c>
      <c r="B414" s="3" t="str">
        <f aca="false">IF(ISNUMBER(SEARCH("%", A414)),RIGHT(A414,3),A414)</f>
        <v>0.04</v>
      </c>
      <c r="C414" s="2" t="s">
        <v>2809</v>
      </c>
    </row>
    <row r="415" customFormat="false" ht="12.75" hidden="false" customHeight="true" outlineLevel="0" collapsed="false">
      <c r="A415" s="3" t="s">
        <v>2945</v>
      </c>
      <c r="B415" s="3" t="str">
        <f aca="false">IF(ISNUMBER(SEARCH("%", A415)),RIGHT(A415,3),A415)</f>
        <v>38, 42, TAUROS</v>
      </c>
      <c r="C415" s="2" t="s">
        <v>2945</v>
      </c>
    </row>
    <row r="416" customFormat="false" ht="12.75" hidden="false" customHeight="true" outlineLevel="0" collapsed="false">
      <c r="A416" s="3" t="s">
        <v>2946</v>
      </c>
      <c r="B416" s="3" t="str">
        <f aca="false">IF(ISNUMBER(SEARCH("%", A416)),RIGHT(A416,3),A416)</f>
        <v>38, 42, FLAREON</v>
      </c>
      <c r="C416" s="2" t="s">
        <v>2946</v>
      </c>
    </row>
    <row r="417" customFormat="false" ht="12.75" hidden="false" customHeight="true" outlineLevel="0" collapsed="false">
      <c r="A417" s="3"/>
      <c r="B417" s="3" t="n">
        <f aca="false">IF(ISNUMBER(SEARCH("%", A417)),RIGHT(A417,3),A417)</f>
        <v>0</v>
      </c>
      <c r="C417" s="2"/>
    </row>
    <row r="418" customFormat="false" ht="12.75" hidden="false" customHeight="true" outlineLevel="0" collapsed="false">
      <c r="A418" s="3" t="s">
        <v>2812</v>
      </c>
      <c r="B418" s="3" t="str">
        <f aca="false">IF(ISNUMBER(SEARCH("%", A418)),RIGHT(A418,3),A418)</f>
        <v>0.01</v>
      </c>
      <c r="C418" s="2" t="s">
        <v>2812</v>
      </c>
    </row>
    <row r="419" customFormat="false" ht="12.75" hidden="false" customHeight="true" outlineLevel="0" collapsed="false">
      <c r="A419" s="3" t="s">
        <v>2947</v>
      </c>
      <c r="B419" s="3" t="str">
        <f aca="false">IF(ISNUMBER(SEARCH("%", A419)),RIGHT(A419,3),A419)</f>
        <v>40, 40, TAUROX</v>
      </c>
      <c r="C419" s="2" t="s">
        <v>2947</v>
      </c>
    </row>
    <row r="420" customFormat="false" ht="12.75" hidden="false" customHeight="true" outlineLevel="0" collapsed="false">
      <c r="A420" s="3" t="s">
        <v>2948</v>
      </c>
      <c r="B420" s="3" t="str">
        <f aca="false">IF(ISNUMBER(SEARCH("%", A420)),RIGHT(A420,3),A420)</f>
        <v>40, 40, ELECTIVIRE</v>
      </c>
      <c r="C420" s="2" t="s">
        <v>2948</v>
      </c>
    </row>
    <row r="421" customFormat="false" ht="12.75" hidden="false" customHeight="true" outlineLevel="0" collapsed="false">
      <c r="A421" s="3" t="s">
        <v>2920</v>
      </c>
      <c r="B421" s="3" t="str">
        <f aca="false">IF(ISNUMBER(SEARCH("%", A421)),RIGHT(A421,3),A421)</f>
        <v>2, 38, 42, SLOWPOKE</v>
      </c>
      <c r="C421" s="2" t="s">
        <v>2920</v>
      </c>
    </row>
    <row r="422" customFormat="false" ht="12.75" hidden="false" customHeight="true" outlineLevel="0" collapsed="false">
      <c r="A422" s="3" t="s">
        <v>2921</v>
      </c>
      <c r="B422" s="3" t="str">
        <f aca="false">IF(ISNUMBER(SEARCH("%", A422)),RIGHT(A422,3),A422)</f>
        <v>40, 42, PSYDUCK</v>
      </c>
      <c r="C422" s="2" t="s">
        <v>2921</v>
      </c>
    </row>
    <row r="423" customFormat="false" ht="12.75" hidden="false" customHeight="true" outlineLevel="0" collapsed="false">
      <c r="A423" s="3" t="s">
        <v>2922</v>
      </c>
      <c r="B423" s="3" t="str">
        <f aca="false">IF(ISNUMBER(SEARCH("%", A423)),RIGHT(A423,3),A423)</f>
        <v>42, 46, SLOWBRO</v>
      </c>
      <c r="C423" s="2" t="s">
        <v>2922</v>
      </c>
    </row>
    <row r="424" customFormat="false" ht="12.75" hidden="false" customHeight="true" outlineLevel="0" collapsed="false">
      <c r="A424" s="3" t="s">
        <v>2923</v>
      </c>
      <c r="B424" s="3" t="str">
        <f aca="false">IF(ISNUMBER(SEARCH("%", A424)),RIGHT(A424,3),A424)</f>
        <v>42, 46, GOLDUCK</v>
      </c>
      <c r="C424" s="2" t="s">
        <v>2923</v>
      </c>
    </row>
    <row r="425" customFormat="false" ht="12.75" hidden="false" customHeight="true" outlineLevel="0" collapsed="false">
      <c r="A425" s="3" t="s">
        <v>2924</v>
      </c>
      <c r="B425" s="3" t="str">
        <f aca="false">IF(ISNUMBER(SEARCH("%", A425)),RIGHT(A425,3),A425)</f>
        <v>44, 48, VAPOREON</v>
      </c>
      <c r="C425" s="2" t="s">
        <v>2924</v>
      </c>
    </row>
    <row r="426" customFormat="false" ht="12.75" hidden="false" customHeight="true" outlineLevel="0" collapsed="false">
      <c r="A426" s="3" t="s">
        <v>2925</v>
      </c>
      <c r="B426" s="3" t="str">
        <f aca="false">IF(ISNUMBER(SEARCH("%", A426)),RIGHT(A426,3),A426)</f>
        <v>20, old rod:</v>
      </c>
      <c r="C426" s="2" t="s">
        <v>2925</v>
      </c>
    </row>
    <row r="427" customFormat="false" ht="12.75" hidden="false" customHeight="true" outlineLevel="0" collapsed="false">
      <c r="A427" s="3" t="s">
        <v>1349</v>
      </c>
      <c r="B427" s="3" t="str">
        <f aca="false">IF(ISNUMBER(SEARCH("%", A427)),RIGHT(A427,3),A427)</f>
        <v>19, 26, MAGIKARP</v>
      </c>
      <c r="C427" s="2" t="s">
        <v>1349</v>
      </c>
    </row>
    <row r="428" customFormat="false" ht="12.75" hidden="false" customHeight="true" outlineLevel="0" collapsed="false">
      <c r="A428" s="3" t="s">
        <v>2926</v>
      </c>
      <c r="B428" s="3" t="str">
        <f aca="false">IF(ISNUMBER(SEARCH("%", A428)),RIGHT(A428,3),A428)</f>
        <v>19, 26, POLIWAG</v>
      </c>
      <c r="C428" s="2" t="s">
        <v>2926</v>
      </c>
    </row>
    <row r="429" customFormat="false" ht="12.75" hidden="false" customHeight="true" outlineLevel="0" collapsed="false">
      <c r="A429" s="3"/>
      <c r="B429" s="3" t="n">
        <f aca="false">IF(ISNUMBER(SEARCH("%", A429)),RIGHT(A429,3),A429)</f>
        <v>0</v>
      </c>
      <c r="C429" s="2"/>
    </row>
    <row r="430" customFormat="false" ht="12.75" hidden="false" customHeight="true" outlineLevel="0" collapsed="false">
      <c r="A430" s="3" t="s">
        <v>2846</v>
      </c>
      <c r="B430" s="3" t="str">
        <f aca="false">IF(ISNUMBER(SEARCH("%", A430)),RIGHT(A430,3),A430)</f>
        <v>good rod:</v>
      </c>
      <c r="C430" s="2" t="s">
        <v>2846</v>
      </c>
    </row>
    <row r="431" customFormat="false" ht="12.75" hidden="false" customHeight="true" outlineLevel="0" collapsed="false">
      <c r="A431" s="3" t="s">
        <v>2927</v>
      </c>
      <c r="B431" s="3" t="str">
        <f aca="false">IF(ISNUMBER(SEARCH("%", A431)),RIGHT(A431,3),A431)</f>
        <v>29, 33, GYARADOS</v>
      </c>
      <c r="C431" s="2" t="s">
        <v>2927</v>
      </c>
    </row>
    <row r="432" customFormat="false" ht="12.75" hidden="false" customHeight="true" outlineLevel="0" collapsed="false">
      <c r="A432" s="3" t="s">
        <v>2928</v>
      </c>
      <c r="B432" s="3" t="str">
        <f aca="false">IF(ISNUMBER(SEARCH("%", A432)),RIGHT(A432,3),A432)</f>
        <v>30, 35, POLIWAG</v>
      </c>
      <c r="C432" s="2" t="s">
        <v>2928</v>
      </c>
    </row>
    <row r="433" customFormat="false" ht="12.75" hidden="false" customHeight="true" outlineLevel="0" collapsed="false">
      <c r="A433" s="3" t="s">
        <v>2929</v>
      </c>
      <c r="B433" s="3" t="str">
        <f aca="false">IF(ISNUMBER(SEARCH("%", A433)),RIGHT(A433,3),A433)</f>
        <v>30, 35, GOLDEEN</v>
      </c>
      <c r="C433" s="2" t="s">
        <v>2929</v>
      </c>
    </row>
    <row r="434" customFormat="false" ht="12.75" hidden="false" customHeight="true" outlineLevel="0" collapsed="false">
      <c r="A434" s="3"/>
      <c r="B434" s="3" t="n">
        <f aca="false">IF(ISNUMBER(SEARCH("%", A434)),RIGHT(A434,3),A434)</f>
        <v>0</v>
      </c>
      <c r="C434" s="2"/>
    </row>
    <row r="435" customFormat="false" ht="12.75" hidden="false" customHeight="true" outlineLevel="0" collapsed="false">
      <c r="A435" s="3" t="s">
        <v>2850</v>
      </c>
      <c r="B435" s="3" t="str">
        <f aca="false">IF(ISNUMBER(SEARCH("%", A435)),RIGHT(A435,3),A435)</f>
        <v>super rod:</v>
      </c>
      <c r="C435" s="2" t="s">
        <v>2850</v>
      </c>
    </row>
    <row r="436" customFormat="false" ht="12.75" hidden="false" customHeight="true" outlineLevel="0" collapsed="false">
      <c r="A436" s="3" t="s">
        <v>2930</v>
      </c>
      <c r="B436" s="3" t="str">
        <f aca="false">IF(ISNUMBER(SEARCH("%", A436)),RIGHT(A436,3),A436)</f>
        <v>36, 40, POLIWHIRL</v>
      </c>
      <c r="C436" s="2" t="s">
        <v>2930</v>
      </c>
    </row>
    <row r="437" customFormat="false" ht="12.75" hidden="false" customHeight="true" outlineLevel="0" collapsed="false">
      <c r="A437" s="3" t="s">
        <v>2931</v>
      </c>
      <c r="B437" s="3" t="str">
        <f aca="false">IF(ISNUMBER(SEARCH("%", A437)),RIGHT(A437,3),A437)</f>
        <v>36, 40, SEAKING</v>
      </c>
      <c r="C437" s="2" t="s">
        <v>2931</v>
      </c>
    </row>
    <row r="438" customFormat="false" ht="12.75" hidden="false" customHeight="true" outlineLevel="0" collapsed="false">
      <c r="A438" s="3" t="s">
        <v>2932</v>
      </c>
      <c r="B438" s="3" t="str">
        <f aca="false">IF(ISNUMBER(SEARCH("%", A438)),RIGHT(A438,3),A438)</f>
        <v>38, 42, DRATINI</v>
      </c>
      <c r="C438" s="2" t="s">
        <v>2932</v>
      </c>
    </row>
    <row r="439" customFormat="false" ht="12.75" hidden="false" customHeight="true" outlineLevel="0" collapsed="false">
      <c r="A439" s="3" t="s">
        <v>2933</v>
      </c>
      <c r="B439" s="3" t="str">
        <f aca="false">IF(ISNUMBER(SEARCH("%", A439)),RIGHT(A439,3),A439)</f>
        <v>38, 42, DRAGONAIR</v>
      </c>
      <c r="C439" s="2" t="s">
        <v>2933</v>
      </c>
    </row>
    <row r="440" customFormat="false" ht="12.75" hidden="false" customHeight="true" outlineLevel="0" collapsed="false">
      <c r="A440" s="3" t="s">
        <v>2934</v>
      </c>
      <c r="B440" s="3" t="str">
        <f aca="false">IF(ISNUMBER(SEARCH("%", A440)),RIGHT(A440,3),A440)</f>
        <v>40, 44, DRAGONITE</v>
      </c>
      <c r="C440" s="2" t="s">
        <v>2934</v>
      </c>
    </row>
    <row r="441" customFormat="false" ht="12.75" hidden="false" customHeight="true" outlineLevel="0" collapsed="false">
      <c r="A441" s="3" t="s">
        <v>2536</v>
      </c>
      <c r="B441" s="3" t="str">
        <f aca="false">IF(ISNUMBER(SEARCH("%", A441)),RIGHT(A441,3),A441)</f>
        <v>NEW ROUTE</v>
      </c>
      <c r="C441" s="2" t="s">
        <v>2536</v>
      </c>
    </row>
    <row r="442" customFormat="false" ht="12.75" hidden="false" customHeight="true" outlineLevel="0" collapsed="false">
      <c r="A442" s="3" t="s">
        <v>2949</v>
      </c>
      <c r="B442" s="3" t="str">
        <f aca="false">IF(ISNUMBER(SEARCH("%", A442)),RIGHT(A442,3),A442)</f>
        <v>1, 66, 0,</v>
      </c>
      <c r="C442" s="2" t="s">
        <v>2949</v>
      </c>
    </row>
    <row r="443" customFormat="false" ht="12.75" hidden="false" customHeight="true" outlineLevel="0" collapsed="false">
      <c r="A443" s="3" t="s">
        <v>2908</v>
      </c>
      <c r="B443" s="3" t="str">
        <f aca="false">IF(ISNUMBER(SEARCH("%", A443)),RIGHT(A443,3),A443)</f>
        <v>20%</v>
      </c>
      <c r="C443" s="2" t="s">
        <v>2799</v>
      </c>
    </row>
    <row r="444" customFormat="false" ht="12.75" hidden="false" customHeight="true" outlineLevel="0" collapsed="false">
      <c r="A444" s="3" t="s">
        <v>1333</v>
      </c>
      <c r="B444" s="3" t="str">
        <f aca="false">IF(ISNUMBER(SEARCH("%", A444)),RIGHT(A444,3),A444)</f>
        <v>35, 40, NIDOKING</v>
      </c>
      <c r="C444" s="2" t="s">
        <v>1333</v>
      </c>
    </row>
    <row r="445" customFormat="false" ht="12.75" hidden="false" customHeight="true" outlineLevel="0" collapsed="false">
      <c r="A445" s="3" t="s">
        <v>2909</v>
      </c>
      <c r="B445" s="3" t="str">
        <f aca="false">IF(ISNUMBER(SEARCH("%", A445)),RIGHT(A445,3),A445)</f>
        <v>35, 40, NIDOQUEEN</v>
      </c>
      <c r="C445" s="2" t="s">
        <v>2909</v>
      </c>
    </row>
    <row r="446" customFormat="false" ht="12.75" hidden="false" customHeight="true" outlineLevel="0" collapsed="false">
      <c r="A446" s="3"/>
      <c r="B446" s="3" t="n">
        <f aca="false">IF(ISNUMBER(SEARCH("%", A446)),RIGHT(A446,3),A446)</f>
        <v>0</v>
      </c>
      <c r="C446" s="2"/>
    </row>
    <row r="447" customFormat="false" ht="12.75" hidden="false" customHeight="true" outlineLevel="0" collapsed="false">
      <c r="A447" s="3" t="s">
        <v>2801</v>
      </c>
      <c r="B447" s="3" t="str">
        <f aca="false">IF(ISNUMBER(SEARCH("%", A447)),RIGHT(A447,3),A447)</f>
        <v>0.1</v>
      </c>
      <c r="C447" s="2" t="s">
        <v>2801</v>
      </c>
    </row>
    <row r="448" customFormat="false" ht="12.75" hidden="false" customHeight="true" outlineLevel="0" collapsed="false">
      <c r="A448" s="3" t="s">
        <v>2910</v>
      </c>
      <c r="B448" s="3" t="str">
        <f aca="false">IF(ISNUMBER(SEARCH("%", A448)),RIGHT(A448,3),A448)</f>
        <v>36, 41, PARASECT</v>
      </c>
      <c r="C448" s="2" t="s">
        <v>2910</v>
      </c>
    </row>
    <row r="449" customFormat="false" ht="12.75" hidden="false" customHeight="true" outlineLevel="0" collapsed="false">
      <c r="A449" s="3" t="s">
        <v>2911</v>
      </c>
      <c r="B449" s="3" t="str">
        <f aca="false">IF(ISNUMBER(SEARCH("%", A449)),RIGHT(A449,3),A449)</f>
        <v>36, 41, VENOMOTH</v>
      </c>
      <c r="C449" s="2" t="s">
        <v>2911</v>
      </c>
    </row>
    <row r="450" customFormat="false" ht="12.75" hidden="false" customHeight="true" outlineLevel="0" collapsed="false">
      <c r="A450" s="3" t="s">
        <v>2950</v>
      </c>
      <c r="B450" s="3" t="str">
        <f aca="false">IF(ISNUMBER(SEARCH("%", A450)),RIGHT(A450,3),A450)</f>
        <v>36, 41, RAPIDASH</v>
      </c>
      <c r="C450" s="2" t="s">
        <v>2950</v>
      </c>
    </row>
    <row r="451" customFormat="false" ht="12.75" hidden="false" customHeight="true" outlineLevel="0" collapsed="false">
      <c r="A451" s="3" t="s">
        <v>2951</v>
      </c>
      <c r="B451" s="3" t="str">
        <f aca="false">IF(ISNUMBER(SEARCH("%", A451)),RIGHT(A451,3),A451)</f>
        <v>36, 41, TANGELA</v>
      </c>
      <c r="C451" s="2" t="s">
        <v>2951</v>
      </c>
    </row>
    <row r="452" customFormat="false" ht="12.75" hidden="false" customHeight="true" outlineLevel="0" collapsed="false">
      <c r="A452" s="3"/>
      <c r="B452" s="3" t="n">
        <f aca="false">IF(ISNUMBER(SEARCH("%", A452)),RIGHT(A452,3),A452)</f>
        <v>0</v>
      </c>
      <c r="C452" s="2"/>
    </row>
    <row r="453" customFormat="false" ht="12.75" hidden="false" customHeight="true" outlineLevel="0" collapsed="false">
      <c r="A453" s="3" t="s">
        <v>2806</v>
      </c>
      <c r="B453" s="3" t="str">
        <f aca="false">IF(ISNUMBER(SEARCH("%", A453)),RIGHT(A453,3),A453)</f>
        <v>0.05</v>
      </c>
      <c r="C453" s="2" t="s">
        <v>2806</v>
      </c>
    </row>
    <row r="454" customFormat="false" ht="12.75" hidden="false" customHeight="true" outlineLevel="0" collapsed="false">
      <c r="A454" s="3" t="s">
        <v>2914</v>
      </c>
      <c r="B454" s="3" t="str">
        <f aca="false">IF(ISNUMBER(SEARCH("%", A454)),RIGHT(A454,3),A454)</f>
        <v>37, 39, SCIZOR</v>
      </c>
      <c r="C454" s="2" t="s">
        <v>2914</v>
      </c>
    </row>
    <row r="455" customFormat="false" ht="12.75" hidden="false" customHeight="true" outlineLevel="0" collapsed="false">
      <c r="A455" s="3" t="s">
        <v>2915</v>
      </c>
      <c r="B455" s="3" t="str">
        <f aca="false">IF(ISNUMBER(SEARCH("%", A455)),RIGHT(A455,3),A455)</f>
        <v>37, 39, PINSIRIOR</v>
      </c>
      <c r="C455" s="2" t="s">
        <v>2915</v>
      </c>
    </row>
    <row r="456" customFormat="false" ht="12.75" hidden="false" customHeight="true" outlineLevel="0" collapsed="false">
      <c r="A456" s="3"/>
      <c r="B456" s="3" t="n">
        <f aca="false">IF(ISNUMBER(SEARCH("%", A456)),RIGHT(A456,3),A456)</f>
        <v>0</v>
      </c>
      <c r="C456" s="2"/>
    </row>
    <row r="457" customFormat="false" ht="12.75" hidden="false" customHeight="true" outlineLevel="0" collapsed="false">
      <c r="A457" s="3" t="s">
        <v>2809</v>
      </c>
      <c r="B457" s="3" t="str">
        <f aca="false">IF(ISNUMBER(SEARCH("%", A457)),RIGHT(A457,3),A457)</f>
        <v>0.04</v>
      </c>
      <c r="C457" s="2" t="s">
        <v>2809</v>
      </c>
    </row>
    <row r="458" customFormat="false" ht="12.75" hidden="false" customHeight="true" outlineLevel="0" collapsed="false">
      <c r="A458" s="3" t="s">
        <v>2952</v>
      </c>
      <c r="B458" s="3" t="str">
        <f aca="false">IF(ISNUMBER(SEARCH("%", A458)),RIGHT(A458,3),A458)</f>
        <v>38, 42, SNORLAX</v>
      </c>
      <c r="C458" s="2" t="s">
        <v>2952</v>
      </c>
    </row>
    <row r="459" customFormat="false" ht="12.75" hidden="false" customHeight="true" outlineLevel="0" collapsed="false">
      <c r="A459" s="3" t="s">
        <v>2953</v>
      </c>
      <c r="B459" s="3" t="str">
        <f aca="false">IF(ISNUMBER(SEARCH("%", A459)),RIGHT(A459,3),A459)</f>
        <v>38, 42, HITMONLEE</v>
      </c>
      <c r="C459" s="2" t="s">
        <v>2953</v>
      </c>
    </row>
    <row r="460" customFormat="false" ht="12.75" hidden="false" customHeight="true" outlineLevel="0" collapsed="false">
      <c r="A460" s="3"/>
      <c r="B460" s="3" t="n">
        <f aca="false">IF(ISNUMBER(SEARCH("%", A460)),RIGHT(A460,3),A460)</f>
        <v>0</v>
      </c>
      <c r="C460" s="2"/>
    </row>
    <row r="461" customFormat="false" ht="12.75" hidden="false" customHeight="true" outlineLevel="0" collapsed="false">
      <c r="A461" s="3" t="s">
        <v>2812</v>
      </c>
      <c r="B461" s="3" t="str">
        <f aca="false">IF(ISNUMBER(SEARCH("%", A461)),RIGHT(A461,3),A461)</f>
        <v>0.01</v>
      </c>
      <c r="C461" s="2" t="s">
        <v>2812</v>
      </c>
    </row>
    <row r="462" customFormat="false" ht="12.75" hidden="false" customHeight="true" outlineLevel="0" collapsed="false">
      <c r="A462" s="3" t="s">
        <v>2954</v>
      </c>
      <c r="B462" s="3" t="str">
        <f aca="false">IF(ISNUMBER(SEARCH("%", A462)),RIGHT(A462,3),A462)</f>
        <v>40, 40, ACTLAX</v>
      </c>
      <c r="C462" s="2" t="s">
        <v>2954</v>
      </c>
    </row>
    <row r="463" customFormat="false" ht="12.75" hidden="false" customHeight="true" outlineLevel="0" collapsed="false">
      <c r="A463" s="3" t="s">
        <v>2955</v>
      </c>
      <c r="B463" s="3" t="str">
        <f aca="false">IF(ISNUMBER(SEARCH("%", A463)),RIGHT(A463,3),A463)</f>
        <v>40, 40, TANGROWTH</v>
      </c>
      <c r="C463" s="2" t="s">
        <v>2955</v>
      </c>
    </row>
    <row r="464" customFormat="false" ht="12.75" hidden="false" customHeight="true" outlineLevel="0" collapsed="false">
      <c r="A464" s="3" t="s">
        <v>2920</v>
      </c>
      <c r="B464" s="3" t="str">
        <f aca="false">IF(ISNUMBER(SEARCH("%", A464)),RIGHT(A464,3),A464)</f>
        <v>2, 38, 42, SLOWPOKE</v>
      </c>
      <c r="C464" s="2" t="s">
        <v>2920</v>
      </c>
    </row>
    <row r="465" customFormat="false" ht="12.75" hidden="false" customHeight="true" outlineLevel="0" collapsed="false">
      <c r="A465" s="3" t="s">
        <v>2921</v>
      </c>
      <c r="B465" s="3" t="str">
        <f aca="false">IF(ISNUMBER(SEARCH("%", A465)),RIGHT(A465,3),A465)</f>
        <v>40, 42, PSYDUCK</v>
      </c>
      <c r="C465" s="2" t="s">
        <v>2921</v>
      </c>
    </row>
    <row r="466" customFormat="false" ht="12.75" hidden="false" customHeight="true" outlineLevel="0" collapsed="false">
      <c r="A466" s="3" t="s">
        <v>2922</v>
      </c>
      <c r="B466" s="3" t="str">
        <f aca="false">IF(ISNUMBER(SEARCH("%", A466)),RIGHT(A466,3),A466)</f>
        <v>42, 46, SLOWBRO</v>
      </c>
      <c r="C466" s="2" t="s">
        <v>2922</v>
      </c>
    </row>
    <row r="467" customFormat="false" ht="12.75" hidden="false" customHeight="true" outlineLevel="0" collapsed="false">
      <c r="A467" s="3" t="s">
        <v>2923</v>
      </c>
      <c r="B467" s="3" t="str">
        <f aca="false">IF(ISNUMBER(SEARCH("%", A467)),RIGHT(A467,3),A467)</f>
        <v>42, 46, GOLDUCK</v>
      </c>
      <c r="C467" s="2" t="s">
        <v>2923</v>
      </c>
    </row>
    <row r="468" customFormat="false" ht="12.75" hidden="false" customHeight="true" outlineLevel="0" collapsed="false">
      <c r="A468" s="3" t="s">
        <v>2924</v>
      </c>
      <c r="B468" s="3" t="str">
        <f aca="false">IF(ISNUMBER(SEARCH("%", A468)),RIGHT(A468,3),A468)</f>
        <v>44, 48, VAPOREON</v>
      </c>
      <c r="C468" s="2" t="s">
        <v>2924</v>
      </c>
    </row>
    <row r="469" customFormat="false" ht="12.75" hidden="false" customHeight="true" outlineLevel="0" collapsed="false">
      <c r="A469" s="3" t="s">
        <v>2925</v>
      </c>
      <c r="B469" s="3" t="str">
        <f aca="false">IF(ISNUMBER(SEARCH("%", A469)),RIGHT(A469,3),A469)</f>
        <v>20, old rod:</v>
      </c>
      <c r="C469" s="2" t="s">
        <v>2925</v>
      </c>
    </row>
    <row r="470" customFormat="false" ht="12.75" hidden="false" customHeight="true" outlineLevel="0" collapsed="false">
      <c r="A470" s="3" t="s">
        <v>1349</v>
      </c>
      <c r="B470" s="3" t="str">
        <f aca="false">IF(ISNUMBER(SEARCH("%", A470)),RIGHT(A470,3),A470)</f>
        <v>19, 26, MAGIKARP</v>
      </c>
      <c r="C470" s="2" t="s">
        <v>1349</v>
      </c>
    </row>
    <row r="471" customFormat="false" ht="12.75" hidden="false" customHeight="true" outlineLevel="0" collapsed="false">
      <c r="A471" s="3" t="s">
        <v>2926</v>
      </c>
      <c r="B471" s="3" t="str">
        <f aca="false">IF(ISNUMBER(SEARCH("%", A471)),RIGHT(A471,3),A471)</f>
        <v>19, 26, POLIWAG</v>
      </c>
      <c r="C471" s="2" t="s">
        <v>2926</v>
      </c>
    </row>
    <row r="472" customFormat="false" ht="12.75" hidden="false" customHeight="true" outlineLevel="0" collapsed="false">
      <c r="A472" s="3"/>
      <c r="B472" s="3" t="n">
        <f aca="false">IF(ISNUMBER(SEARCH("%", A472)),RIGHT(A472,3),A472)</f>
        <v>0</v>
      </c>
      <c r="C472" s="2"/>
    </row>
    <row r="473" customFormat="false" ht="12.75" hidden="false" customHeight="true" outlineLevel="0" collapsed="false">
      <c r="A473" s="3" t="s">
        <v>2846</v>
      </c>
      <c r="B473" s="3" t="str">
        <f aca="false">IF(ISNUMBER(SEARCH("%", A473)),RIGHT(A473,3),A473)</f>
        <v>good rod:</v>
      </c>
      <c r="C473" s="2" t="s">
        <v>2846</v>
      </c>
    </row>
    <row r="474" customFormat="false" ht="12.75" hidden="false" customHeight="true" outlineLevel="0" collapsed="false">
      <c r="A474" s="3" t="s">
        <v>2927</v>
      </c>
      <c r="B474" s="3" t="str">
        <f aca="false">IF(ISNUMBER(SEARCH("%", A474)),RIGHT(A474,3),A474)</f>
        <v>29, 33, GYARADOS</v>
      </c>
      <c r="C474" s="2" t="s">
        <v>2927</v>
      </c>
    </row>
    <row r="475" customFormat="false" ht="12.75" hidden="false" customHeight="true" outlineLevel="0" collapsed="false">
      <c r="A475" s="3" t="s">
        <v>2928</v>
      </c>
      <c r="B475" s="3" t="str">
        <f aca="false">IF(ISNUMBER(SEARCH("%", A475)),RIGHT(A475,3),A475)</f>
        <v>30, 35, POLIWAG</v>
      </c>
      <c r="C475" s="2" t="s">
        <v>2928</v>
      </c>
    </row>
    <row r="476" customFormat="false" ht="12.75" hidden="false" customHeight="true" outlineLevel="0" collapsed="false">
      <c r="A476" s="3" t="s">
        <v>2929</v>
      </c>
      <c r="B476" s="3" t="str">
        <f aca="false">IF(ISNUMBER(SEARCH("%", A476)),RIGHT(A476,3),A476)</f>
        <v>30, 35, GOLDEEN</v>
      </c>
      <c r="C476" s="2" t="s">
        <v>2929</v>
      </c>
    </row>
    <row r="477" customFormat="false" ht="12.75" hidden="false" customHeight="true" outlineLevel="0" collapsed="false">
      <c r="A477" s="3"/>
      <c r="B477" s="3" t="n">
        <f aca="false">IF(ISNUMBER(SEARCH("%", A477)),RIGHT(A477,3),A477)</f>
        <v>0</v>
      </c>
      <c r="C477" s="2"/>
    </row>
    <row r="478" customFormat="false" ht="12.75" hidden="false" customHeight="true" outlineLevel="0" collapsed="false">
      <c r="A478" s="3" t="s">
        <v>2850</v>
      </c>
      <c r="B478" s="3" t="str">
        <f aca="false">IF(ISNUMBER(SEARCH("%", A478)),RIGHT(A478,3),A478)</f>
        <v>super rod:</v>
      </c>
      <c r="C478" s="2" t="s">
        <v>2850</v>
      </c>
    </row>
    <row r="479" customFormat="false" ht="12.75" hidden="false" customHeight="true" outlineLevel="0" collapsed="false">
      <c r="A479" s="3" t="s">
        <v>2930</v>
      </c>
      <c r="B479" s="3" t="str">
        <f aca="false">IF(ISNUMBER(SEARCH("%", A479)),RIGHT(A479,3),A479)</f>
        <v>36, 40, POLIWHIRL</v>
      </c>
      <c r="C479" s="2" t="s">
        <v>2930</v>
      </c>
    </row>
    <row r="480" customFormat="false" ht="12.75" hidden="false" customHeight="true" outlineLevel="0" collapsed="false">
      <c r="A480" s="3" t="s">
        <v>2931</v>
      </c>
      <c r="B480" s="3" t="str">
        <f aca="false">IF(ISNUMBER(SEARCH("%", A480)),RIGHT(A480,3),A480)</f>
        <v>36, 40, SEAKING</v>
      </c>
      <c r="C480" s="2" t="s">
        <v>2931</v>
      </c>
    </row>
    <row r="481" customFormat="false" ht="12.75" hidden="false" customHeight="true" outlineLevel="0" collapsed="false">
      <c r="A481" s="3" t="s">
        <v>2932</v>
      </c>
      <c r="B481" s="3" t="str">
        <f aca="false">IF(ISNUMBER(SEARCH("%", A481)),RIGHT(A481,3),A481)</f>
        <v>38, 42, DRATINI</v>
      </c>
      <c r="C481" s="2" t="s">
        <v>2932</v>
      </c>
    </row>
    <row r="482" customFormat="false" ht="12.75" hidden="false" customHeight="true" outlineLevel="0" collapsed="false">
      <c r="A482" s="3" t="s">
        <v>2933</v>
      </c>
      <c r="B482" s="3" t="str">
        <f aca="false">IF(ISNUMBER(SEARCH("%", A482)),RIGHT(A482,3),A482)</f>
        <v>38, 42, DRAGONAIR</v>
      </c>
      <c r="C482" s="2" t="s">
        <v>2933</v>
      </c>
    </row>
    <row r="483" customFormat="false" ht="12.75" hidden="false" customHeight="true" outlineLevel="0" collapsed="false">
      <c r="A483" s="3" t="s">
        <v>2934</v>
      </c>
      <c r="B483" s="3" t="str">
        <f aca="false">IF(ISNUMBER(SEARCH("%", A483)),RIGHT(A483,3),A483)</f>
        <v>40, 44, DRAGONITE</v>
      </c>
      <c r="C483" s="2" t="s">
        <v>2934</v>
      </c>
    </row>
    <row r="484" customFormat="false" ht="12.75" hidden="false" customHeight="true" outlineLevel="0" collapsed="false">
      <c r="A484" s="3" t="s">
        <v>2536</v>
      </c>
      <c r="B484" s="3" t="str">
        <f aca="false">IF(ISNUMBER(SEARCH("%", A484)),RIGHT(A484,3),A484)</f>
        <v>NEW ROUTE</v>
      </c>
      <c r="C484" s="2" t="s">
        <v>2536</v>
      </c>
    </row>
    <row r="485" customFormat="false" ht="12.75" hidden="false" customHeight="true" outlineLevel="0" collapsed="false">
      <c r="A485" s="3" t="s">
        <v>2956</v>
      </c>
      <c r="B485" s="3" t="str">
        <f aca="false">IF(ISNUMBER(SEARCH("%", A485)),RIGHT(A485,3),A485)</f>
        <v>1, 72, 0,</v>
      </c>
      <c r="C485" s="2" t="s">
        <v>2956</v>
      </c>
    </row>
    <row r="486" customFormat="false" ht="12.75" hidden="false" customHeight="true" outlineLevel="0" collapsed="false">
      <c r="A486" s="3" t="s">
        <v>2816</v>
      </c>
      <c r="B486" s="3" t="str">
        <f aca="false">IF(ISNUMBER(SEARCH("%", A486)),RIGHT(A486,3),A486)</f>
        <v>20%</v>
      </c>
      <c r="C486" s="2" t="s">
        <v>2799</v>
      </c>
    </row>
    <row r="487" customFormat="false" ht="12.75" hidden="false" customHeight="true" outlineLevel="0" collapsed="false">
      <c r="A487" s="3" t="s">
        <v>1381</v>
      </c>
      <c r="B487" s="3" t="str">
        <f aca="false">IF(ISNUMBER(SEARCH("%", A487)),RIGHT(A487,3),A487)</f>
        <v>50, 55, DUGROUPLE</v>
      </c>
      <c r="C487" s="2" t="s">
        <v>1381</v>
      </c>
    </row>
    <row r="488" customFormat="false" ht="12.75" hidden="false" customHeight="true" outlineLevel="0" collapsed="false">
      <c r="A488" s="3" t="s">
        <v>2957</v>
      </c>
      <c r="B488" s="3" t="str">
        <f aca="false">IF(ISNUMBER(SEARCH("%", A488)),RIGHT(A488,3),A488)</f>
        <v>50, 55, POLABAT</v>
      </c>
      <c r="C488" s="2" t="s">
        <v>2957</v>
      </c>
    </row>
    <row r="489" customFormat="false" ht="12.75" hidden="false" customHeight="true" outlineLevel="0" collapsed="false">
      <c r="A489" s="3"/>
      <c r="B489" s="3" t="n">
        <f aca="false">IF(ISNUMBER(SEARCH("%", A489)),RIGHT(A489,3),A489)</f>
        <v>0</v>
      </c>
      <c r="C489" s="2"/>
    </row>
    <row r="490" customFormat="false" ht="12.75" hidden="false" customHeight="true" outlineLevel="0" collapsed="false">
      <c r="A490" s="3" t="s">
        <v>2801</v>
      </c>
      <c r="B490" s="3" t="str">
        <f aca="false">IF(ISNUMBER(SEARCH("%", A490)),RIGHT(A490,3),A490)</f>
        <v>0.1</v>
      </c>
      <c r="C490" s="2" t="s">
        <v>2801</v>
      </c>
    </row>
    <row r="491" customFormat="false" ht="12.75" hidden="false" customHeight="true" outlineLevel="0" collapsed="false">
      <c r="A491" s="3" t="s">
        <v>2958</v>
      </c>
      <c r="B491" s="3" t="str">
        <f aca="false">IF(ISNUMBER(SEARCH("%", A491)),RIGHT(A491,3),A491)</f>
        <v>52, 55, VENOMENON</v>
      </c>
      <c r="C491" s="2" t="s">
        <v>2958</v>
      </c>
    </row>
    <row r="492" customFormat="false" ht="12.75" hidden="false" customHeight="true" outlineLevel="0" collapsed="false">
      <c r="A492" s="3" t="s">
        <v>2959</v>
      </c>
      <c r="B492" s="3" t="str">
        <f aca="false">IF(ISNUMBER(SEARCH("%", A492)),RIGHT(A492,3),A492)</f>
        <v>52, 55, "MR. JEST"</v>
      </c>
      <c r="C492" s="2" t="s">
        <v>2959</v>
      </c>
    </row>
    <row r="493" customFormat="false" ht="12.75" hidden="false" customHeight="true" outlineLevel="0" collapsed="false">
      <c r="A493" s="3" t="s">
        <v>2960</v>
      </c>
      <c r="B493" s="3" t="str">
        <f aca="false">IF(ISNUMBER(SEARCH("%", A493)),RIGHT(A493,3),A493)</f>
        <v>52, 55, NIDORULY</v>
      </c>
      <c r="C493" s="2" t="s">
        <v>2960</v>
      </c>
    </row>
    <row r="494" customFormat="false" ht="12.75" hidden="false" customHeight="true" outlineLevel="0" collapsed="false">
      <c r="A494" s="3" t="s">
        <v>2961</v>
      </c>
      <c r="B494" s="3" t="str">
        <f aca="false">IF(ISNUMBER(SEARCH("%", A494)),RIGHT(A494,3),A494)</f>
        <v>52, 55, NIDOREGAL</v>
      </c>
      <c r="C494" s="2" t="s">
        <v>2961</v>
      </c>
    </row>
    <row r="495" customFormat="false" ht="12.75" hidden="false" customHeight="true" outlineLevel="0" collapsed="false">
      <c r="A495" s="3"/>
      <c r="B495" s="3" t="n">
        <f aca="false">IF(ISNUMBER(SEARCH("%", A495)),RIGHT(A495,3),A495)</f>
        <v>0</v>
      </c>
      <c r="C495" s="2"/>
    </row>
    <row r="496" customFormat="false" ht="12.75" hidden="false" customHeight="true" outlineLevel="0" collapsed="false">
      <c r="A496" s="3" t="s">
        <v>2806</v>
      </c>
      <c r="B496" s="3" t="str">
        <f aca="false">IF(ISNUMBER(SEARCH("%", A496)),RIGHT(A496,3),A496)</f>
        <v>0.05</v>
      </c>
      <c r="C496" s="2" t="s">
        <v>2806</v>
      </c>
    </row>
    <row r="497" customFormat="false" ht="12.75" hidden="false" customHeight="true" outlineLevel="0" collapsed="false">
      <c r="A497" s="3" t="s">
        <v>2962</v>
      </c>
      <c r="B497" s="3" t="str">
        <f aca="false">IF(ISNUMBER(SEARCH("%", A497)),RIGHT(A497,3),A497)</f>
        <v>54, 56, MORPHO</v>
      </c>
      <c r="C497" s="2" t="s">
        <v>2962</v>
      </c>
    </row>
    <row r="498" customFormat="false" ht="12.75" hidden="false" customHeight="true" outlineLevel="0" collapsed="false">
      <c r="A498" s="3" t="s">
        <v>2963</v>
      </c>
      <c r="B498" s="3" t="str">
        <f aca="false">IF(ISNUMBER(SEARCH("%", A498)),RIGHT(A498,3),A498)</f>
        <v>54, 56, MAGNEMELD</v>
      </c>
      <c r="C498" s="2" t="s">
        <v>2963</v>
      </c>
    </row>
    <row r="499" customFormat="false" ht="12.75" hidden="false" customHeight="true" outlineLevel="0" collapsed="false">
      <c r="A499" s="3"/>
      <c r="B499" s="3" t="n">
        <f aca="false">IF(ISNUMBER(SEARCH("%", A499)),RIGHT(A499,3),A499)</f>
        <v>0</v>
      </c>
      <c r="C499" s="2"/>
    </row>
    <row r="500" customFormat="false" ht="12.75" hidden="false" customHeight="true" outlineLevel="0" collapsed="false">
      <c r="A500" s="3" t="s">
        <v>2809</v>
      </c>
      <c r="B500" s="3" t="str">
        <f aca="false">IF(ISNUMBER(SEARCH("%", A500)),RIGHT(A500,3),A500)</f>
        <v>0.04</v>
      </c>
      <c r="C500" s="2" t="s">
        <v>2809</v>
      </c>
    </row>
    <row r="501" customFormat="false" ht="12.75" hidden="false" customHeight="true" outlineLevel="0" collapsed="false">
      <c r="A501" s="3" t="s">
        <v>2964</v>
      </c>
      <c r="B501" s="3" t="str">
        <f aca="false">IF(ISNUMBER(SEARCH("%", A501)),RIGHT(A501,3),A501)</f>
        <v>54, 56, VOHOO-DU</v>
      </c>
      <c r="C501" s="2" t="s">
        <v>2964</v>
      </c>
    </row>
    <row r="502" customFormat="false" ht="12.75" hidden="false" customHeight="true" outlineLevel="0" collapsed="false">
      <c r="A502" s="3" t="s">
        <v>2965</v>
      </c>
      <c r="B502" s="3" t="str">
        <f aca="false">IF(ISNUMBER(SEARCH("%", A502)),RIGHT(A502,3),A502)</f>
        <v>54, 56, CLEFAEFAE</v>
      </c>
      <c r="C502" s="2" t="s">
        <v>2965</v>
      </c>
    </row>
    <row r="503" customFormat="false" ht="12.75" hidden="false" customHeight="true" outlineLevel="0" collapsed="false">
      <c r="A503" s="3"/>
      <c r="B503" s="3" t="n">
        <f aca="false">IF(ISNUMBER(SEARCH("%", A503)),RIGHT(A503,3),A503)</f>
        <v>0</v>
      </c>
      <c r="C503" s="2"/>
    </row>
    <row r="504" customFormat="false" ht="12.75" hidden="false" customHeight="true" outlineLevel="0" collapsed="false">
      <c r="A504" s="3" t="s">
        <v>2812</v>
      </c>
      <c r="B504" s="3" t="str">
        <f aca="false">IF(ISNUMBER(SEARCH("%", A504)),RIGHT(A504,3),A504)</f>
        <v>0.01</v>
      </c>
      <c r="C504" s="2" t="s">
        <v>2812</v>
      </c>
    </row>
    <row r="505" customFormat="false" ht="12.75" hidden="false" customHeight="true" outlineLevel="0" collapsed="false">
      <c r="A505" s="3" t="s">
        <v>2966</v>
      </c>
      <c r="B505" s="3" t="str">
        <f aca="false">IF(ISNUMBER(SEARCH("%", A505)),RIGHT(A505,3),A505)</f>
        <v>55, 56, KABUTAK</v>
      </c>
      <c r="C505" s="2" t="s">
        <v>2966</v>
      </c>
    </row>
    <row r="506" customFormat="false" ht="12.75" hidden="false" customHeight="true" outlineLevel="0" collapsed="false">
      <c r="A506" s="3" t="s">
        <v>2967</v>
      </c>
      <c r="B506" s="3" t="str">
        <f aca="false">IF(ISNUMBER(SEARCH("%", A506)),RIGHT(A506,3),A506)</f>
        <v>55, 56, OMAPAL</v>
      </c>
      <c r="C506" s="2" t="s">
        <v>2967</v>
      </c>
    </row>
    <row r="507" customFormat="false" ht="12.75" hidden="false" customHeight="true" outlineLevel="0" collapsed="false">
      <c r="A507" s="3" t="s">
        <v>2968</v>
      </c>
      <c r="B507" s="3" t="str">
        <f aca="false">IF(ISNUMBER(SEARCH("%", A507)),RIGHT(A507,3),A507)</f>
        <v>2, 50, 55, POLITOES</v>
      </c>
      <c r="C507" s="2" t="s">
        <v>2968</v>
      </c>
    </row>
    <row r="508" customFormat="false" ht="12.75" hidden="false" customHeight="true" outlineLevel="0" collapsed="false">
      <c r="A508" s="3" t="s">
        <v>2969</v>
      </c>
      <c r="B508" s="3" t="str">
        <f aca="false">IF(ISNUMBER(SEARCH("%", A508)),RIGHT(A508,3),A508)</f>
        <v>50, 55, DRAGONITE</v>
      </c>
      <c r="C508" s="2" t="s">
        <v>2969</v>
      </c>
    </row>
    <row r="509" customFormat="false" ht="12.75" hidden="false" customHeight="true" outlineLevel="0" collapsed="false">
      <c r="A509" s="3" t="s">
        <v>2970</v>
      </c>
      <c r="B509" s="3" t="str">
        <f aca="false">IF(ISNUMBER(SEARCH("%", A509)),RIGHT(A509,3),A509)</f>
        <v>52, 57, POLIWISE</v>
      </c>
      <c r="C509" s="2" t="s">
        <v>2970</v>
      </c>
    </row>
    <row r="510" customFormat="false" ht="12.75" hidden="false" customHeight="true" outlineLevel="0" collapsed="false">
      <c r="A510" s="3" t="s">
        <v>2971</v>
      </c>
      <c r="B510" s="3" t="str">
        <f aca="false">IF(ISNUMBER(SEARCH("%", A510)),RIGHT(A510,3),A510)</f>
        <v>52, 57, DRAGONIER</v>
      </c>
      <c r="C510" s="2" t="s">
        <v>2971</v>
      </c>
    </row>
    <row r="511" customFormat="false" ht="12.75" hidden="false" customHeight="true" outlineLevel="0" collapsed="false">
      <c r="A511" s="3" t="s">
        <v>2972</v>
      </c>
      <c r="B511" s="3" t="str">
        <f aca="false">IF(ISNUMBER(SEARCH("%", A511)),RIGHT(A511,3),A511)</f>
        <v>53, 58, NESSEA</v>
      </c>
      <c r="C511" s="2" t="s">
        <v>2972</v>
      </c>
    </row>
    <row r="512" customFormat="false" ht="12.75" hidden="false" customHeight="true" outlineLevel="0" collapsed="false">
      <c r="A512" s="3" t="s">
        <v>2925</v>
      </c>
      <c r="B512" s="3" t="str">
        <f aca="false">IF(ISNUMBER(SEARCH("%", A512)),RIGHT(A512,3),A512)</f>
        <v>20, old rod:</v>
      </c>
      <c r="C512" s="2" t="s">
        <v>2925</v>
      </c>
    </row>
    <row r="513" customFormat="false" ht="12.75" hidden="false" customHeight="true" outlineLevel="0" collapsed="false">
      <c r="A513" s="3" t="s">
        <v>1397</v>
      </c>
      <c r="B513" s="3" t="str">
        <f aca="false">IF(ISNUMBER(SEARCH("%", A513)),RIGHT(A513,3),A513)</f>
        <v>23, 36, CLOYSTER</v>
      </c>
      <c r="C513" s="2" t="s">
        <v>1397</v>
      </c>
    </row>
    <row r="514" customFormat="false" ht="12.75" hidden="false" customHeight="true" outlineLevel="0" collapsed="false">
      <c r="A514" s="3" t="s">
        <v>2973</v>
      </c>
      <c r="B514" s="3" t="str">
        <f aca="false">IF(ISNUMBER(SEARCH("%", A514)),RIGHT(A514,3),A514)</f>
        <v>23, 36, GYARADOS</v>
      </c>
      <c r="C514" s="2" t="s">
        <v>2973</v>
      </c>
    </row>
    <row r="515" customFormat="false" ht="12.75" hidden="false" customHeight="true" outlineLevel="0" collapsed="false">
      <c r="A515" s="3"/>
      <c r="B515" s="3" t="n">
        <f aca="false">IF(ISNUMBER(SEARCH("%", A515)),RIGHT(A515,3),A515)</f>
        <v>0</v>
      </c>
      <c r="C515" s="2"/>
    </row>
    <row r="516" customFormat="false" ht="12.75" hidden="false" customHeight="true" outlineLevel="0" collapsed="false">
      <c r="A516" s="3" t="s">
        <v>2846</v>
      </c>
      <c r="B516" s="3" t="str">
        <f aca="false">IF(ISNUMBER(SEARCH("%", A516)),RIGHT(A516,3),A516)</f>
        <v>good rod:</v>
      </c>
      <c r="C516" s="2" t="s">
        <v>2846</v>
      </c>
    </row>
    <row r="517" customFormat="false" ht="12.75" hidden="false" customHeight="true" outlineLevel="0" collapsed="false">
      <c r="A517" s="3" t="s">
        <v>2974</v>
      </c>
      <c r="B517" s="3" t="str">
        <f aca="false">IF(ISNUMBER(SEARCH("%", A517)),RIGHT(A517,3),A517)</f>
        <v>30, 38, CLOYSTER</v>
      </c>
      <c r="C517" s="2" t="s">
        <v>2974</v>
      </c>
    </row>
    <row r="518" customFormat="false" ht="12.75" hidden="false" customHeight="true" outlineLevel="0" collapsed="false">
      <c r="A518" s="3" t="s">
        <v>2975</v>
      </c>
      <c r="B518" s="3" t="str">
        <f aca="false">IF(ISNUMBER(SEARCH("%", A518)),RIGHT(A518,3),A518)</f>
        <v>32, 40, KINGDRA</v>
      </c>
      <c r="C518" s="2" t="s">
        <v>2975</v>
      </c>
    </row>
    <row r="519" customFormat="false" ht="12.75" hidden="false" customHeight="true" outlineLevel="0" collapsed="false">
      <c r="A519" s="3" t="s">
        <v>2976</v>
      </c>
      <c r="B519" s="3" t="str">
        <f aca="false">IF(ISNUMBER(SEARCH("%", A519)),RIGHT(A519,3),A519)</f>
        <v>32, 40, HYDRADOS</v>
      </c>
      <c r="C519" s="2" t="s">
        <v>2976</v>
      </c>
    </row>
    <row r="520" customFormat="false" ht="12.75" hidden="false" customHeight="true" outlineLevel="0" collapsed="false">
      <c r="A520" s="3"/>
      <c r="B520" s="3" t="n">
        <f aca="false">IF(ISNUMBER(SEARCH("%", A520)),RIGHT(A520,3),A520)</f>
        <v>0</v>
      </c>
      <c r="C520" s="2"/>
    </row>
    <row r="521" customFormat="false" ht="12.75" hidden="false" customHeight="true" outlineLevel="0" collapsed="false">
      <c r="A521" s="3" t="s">
        <v>2850</v>
      </c>
      <c r="B521" s="3" t="str">
        <f aca="false">IF(ISNUMBER(SEARCH("%", A521)),RIGHT(A521,3),A521)</f>
        <v>super rod:</v>
      </c>
      <c r="C521" s="2" t="s">
        <v>2850</v>
      </c>
    </row>
    <row r="522" customFormat="false" ht="12.75" hidden="false" customHeight="true" outlineLevel="0" collapsed="false">
      <c r="A522" s="3" t="s">
        <v>2977</v>
      </c>
      <c r="B522" s="3" t="str">
        <f aca="false">IF(ISNUMBER(SEARCH("%", A522)),RIGHT(A522,3),A522)</f>
        <v>50, 55, LORDRA</v>
      </c>
      <c r="C522" s="2" t="s">
        <v>2977</v>
      </c>
    </row>
    <row r="523" customFormat="false" ht="12.75" hidden="false" customHeight="true" outlineLevel="0" collapsed="false">
      <c r="A523" s="3" t="s">
        <v>2978</v>
      </c>
      <c r="B523" s="3" t="str">
        <f aca="false">IF(ISNUMBER(SEARCH("%", A523)),RIGHT(A523,3),A523)</f>
        <v>50, 55, AN'ENEMY</v>
      </c>
      <c r="C523" s="2" t="s">
        <v>2978</v>
      </c>
    </row>
    <row r="524" customFormat="false" ht="12.75" hidden="false" customHeight="true" outlineLevel="0" collapsed="false">
      <c r="A524" s="3" t="s">
        <v>2979</v>
      </c>
      <c r="B524" s="3" t="str">
        <f aca="false">IF(ISNUMBER(SEARCH("%", A524)),RIGHT(A524,3),A524)</f>
        <v>52, 57, DRACOSMIC</v>
      </c>
      <c r="C524" s="2" t="s">
        <v>2979</v>
      </c>
    </row>
    <row r="525" customFormat="false" ht="12.75" hidden="false" customHeight="true" outlineLevel="0" collapsed="false">
      <c r="A525" s="3" t="s">
        <v>2980</v>
      </c>
      <c r="B525" s="3" t="str">
        <f aca="false">IF(ISNUMBER(SEARCH("%", A525)),RIGHT(A525,3),A525)</f>
        <v>52, 57, GLAISHELL</v>
      </c>
      <c r="C525" s="2" t="s">
        <v>2980</v>
      </c>
    </row>
    <row r="526" customFormat="false" ht="12.75" hidden="false" customHeight="true" outlineLevel="0" collapsed="false">
      <c r="A526" s="3" t="s">
        <v>2981</v>
      </c>
      <c r="B526" s="3" t="str">
        <f aca="false">IF(ISNUMBER(SEARCH("%", A526)),RIGHT(A526,3),A526)</f>
        <v>53, 58, STARWE</v>
      </c>
      <c r="C526" s="2" t="s">
        <v>2981</v>
      </c>
    </row>
    <row r="527" customFormat="false" ht="12.75" hidden="false" customHeight="true" outlineLevel="0" collapsed="false">
      <c r="A527" s="3" t="s">
        <v>2536</v>
      </c>
      <c r="B527" s="3" t="str">
        <f aca="false">IF(ISNUMBER(SEARCH("%", A527)),RIGHT(A527,3),A527)</f>
        <v>NEW ROUTE</v>
      </c>
      <c r="C527" s="2" t="s">
        <v>2536</v>
      </c>
    </row>
    <row r="528" customFormat="false" ht="12.75" hidden="false" customHeight="true" outlineLevel="0" collapsed="false">
      <c r="A528" s="3" t="s">
        <v>2982</v>
      </c>
      <c r="B528" s="3" t="str">
        <f aca="false">IF(ISNUMBER(SEARCH("%", A528)),RIGHT(A528,3),A528)</f>
        <v>1, 73, 0,</v>
      </c>
      <c r="C528" s="2" t="s">
        <v>2982</v>
      </c>
    </row>
    <row r="529" customFormat="false" ht="12.75" hidden="false" customHeight="true" outlineLevel="0" collapsed="false">
      <c r="A529" s="3" t="s">
        <v>2816</v>
      </c>
      <c r="B529" s="3" t="str">
        <f aca="false">IF(ISNUMBER(SEARCH("%", A529)),RIGHT(A529,3),A529)</f>
        <v>20%</v>
      </c>
      <c r="C529" s="2" t="s">
        <v>2799</v>
      </c>
    </row>
    <row r="530" customFormat="false" ht="12.75" hidden="false" customHeight="true" outlineLevel="0" collapsed="false">
      <c r="A530" s="3" t="s">
        <v>1381</v>
      </c>
      <c r="B530" s="3" t="str">
        <f aca="false">IF(ISNUMBER(SEARCH("%", A530)),RIGHT(A530,3),A530)</f>
        <v>50, 55, DUGROUPLE</v>
      </c>
      <c r="C530" s="2" t="s">
        <v>1381</v>
      </c>
    </row>
    <row r="531" customFormat="false" ht="12.75" hidden="false" customHeight="true" outlineLevel="0" collapsed="false">
      <c r="A531" s="3" t="s">
        <v>2957</v>
      </c>
      <c r="B531" s="3" t="str">
        <f aca="false">IF(ISNUMBER(SEARCH("%", A531)),RIGHT(A531,3),A531)</f>
        <v>50, 55, POLABAT</v>
      </c>
      <c r="C531" s="2" t="s">
        <v>2957</v>
      </c>
    </row>
    <row r="532" customFormat="false" ht="12.75" hidden="false" customHeight="true" outlineLevel="0" collapsed="false">
      <c r="A532" s="3"/>
      <c r="B532" s="3" t="n">
        <f aca="false">IF(ISNUMBER(SEARCH("%", A532)),RIGHT(A532,3),A532)</f>
        <v>0</v>
      </c>
      <c r="C532" s="2"/>
    </row>
    <row r="533" customFormat="false" ht="12.75" hidden="false" customHeight="true" outlineLevel="0" collapsed="false">
      <c r="A533" s="3" t="s">
        <v>2801</v>
      </c>
      <c r="B533" s="3" t="str">
        <f aca="false">IF(ISNUMBER(SEARCH("%", A533)),RIGHT(A533,3),A533)</f>
        <v>0.1</v>
      </c>
      <c r="C533" s="2" t="s">
        <v>2801</v>
      </c>
    </row>
    <row r="534" customFormat="false" ht="12.75" hidden="false" customHeight="true" outlineLevel="0" collapsed="false">
      <c r="A534" s="3" t="s">
        <v>2958</v>
      </c>
      <c r="B534" s="3" t="str">
        <f aca="false">IF(ISNUMBER(SEARCH("%", A534)),RIGHT(A534,3),A534)</f>
        <v>52, 55, VENOMENON</v>
      </c>
      <c r="C534" s="2" t="s">
        <v>2958</v>
      </c>
    </row>
    <row r="535" customFormat="false" ht="12.75" hidden="false" customHeight="true" outlineLevel="0" collapsed="false">
      <c r="A535" s="3" t="s">
        <v>2959</v>
      </c>
      <c r="B535" s="3" t="str">
        <f aca="false">IF(ISNUMBER(SEARCH("%", A535)),RIGHT(A535,3),A535)</f>
        <v>52, 55, "MR. JEST"</v>
      </c>
      <c r="C535" s="2" t="s">
        <v>2959</v>
      </c>
    </row>
    <row r="536" customFormat="false" ht="12.75" hidden="false" customHeight="true" outlineLevel="0" collapsed="false">
      <c r="A536" s="3" t="s">
        <v>2960</v>
      </c>
      <c r="B536" s="3" t="str">
        <f aca="false">IF(ISNUMBER(SEARCH("%", A536)),RIGHT(A536,3),A536)</f>
        <v>52, 55, NIDORULY</v>
      </c>
      <c r="C536" s="2" t="s">
        <v>2960</v>
      </c>
    </row>
    <row r="537" customFormat="false" ht="12.75" hidden="false" customHeight="true" outlineLevel="0" collapsed="false">
      <c r="A537" s="3" t="s">
        <v>2961</v>
      </c>
      <c r="B537" s="3" t="str">
        <f aca="false">IF(ISNUMBER(SEARCH("%", A537)),RIGHT(A537,3),A537)</f>
        <v>52, 55, NIDOREGAL</v>
      </c>
      <c r="C537" s="2" t="s">
        <v>2961</v>
      </c>
    </row>
    <row r="538" customFormat="false" ht="12.75" hidden="false" customHeight="true" outlineLevel="0" collapsed="false">
      <c r="A538" s="3"/>
      <c r="B538" s="3" t="n">
        <f aca="false">IF(ISNUMBER(SEARCH("%", A538)),RIGHT(A538,3),A538)</f>
        <v>0</v>
      </c>
      <c r="C538" s="2"/>
    </row>
    <row r="539" customFormat="false" ht="12.75" hidden="false" customHeight="true" outlineLevel="0" collapsed="false">
      <c r="A539" s="3" t="s">
        <v>2806</v>
      </c>
      <c r="B539" s="3" t="str">
        <f aca="false">IF(ISNUMBER(SEARCH("%", A539)),RIGHT(A539,3),A539)</f>
        <v>0.05</v>
      </c>
      <c r="C539" s="2" t="s">
        <v>2806</v>
      </c>
    </row>
    <row r="540" customFormat="false" ht="12.75" hidden="false" customHeight="true" outlineLevel="0" collapsed="false">
      <c r="A540" s="3" t="s">
        <v>2962</v>
      </c>
      <c r="B540" s="3" t="str">
        <f aca="false">IF(ISNUMBER(SEARCH("%", A540)),RIGHT(A540,3),A540)</f>
        <v>54, 56, MORPHO</v>
      </c>
      <c r="C540" s="2" t="s">
        <v>2962</v>
      </c>
    </row>
    <row r="541" customFormat="false" ht="12.75" hidden="false" customHeight="true" outlineLevel="0" collapsed="false">
      <c r="A541" s="3" t="s">
        <v>2963</v>
      </c>
      <c r="B541" s="3" t="str">
        <f aca="false">IF(ISNUMBER(SEARCH("%", A541)),RIGHT(A541,3),A541)</f>
        <v>54, 56, MAGNEMELD</v>
      </c>
      <c r="C541" s="2" t="s">
        <v>2963</v>
      </c>
    </row>
    <row r="542" customFormat="false" ht="12.75" hidden="false" customHeight="true" outlineLevel="0" collapsed="false">
      <c r="A542" s="3"/>
      <c r="B542" s="3" t="n">
        <f aca="false">IF(ISNUMBER(SEARCH("%", A542)),RIGHT(A542,3),A542)</f>
        <v>0</v>
      </c>
      <c r="C542" s="2"/>
    </row>
    <row r="543" customFormat="false" ht="12.75" hidden="false" customHeight="true" outlineLevel="0" collapsed="false">
      <c r="A543" s="3" t="s">
        <v>2809</v>
      </c>
      <c r="B543" s="3" t="str">
        <f aca="false">IF(ISNUMBER(SEARCH("%", A543)),RIGHT(A543,3),A543)</f>
        <v>0.04</v>
      </c>
      <c r="C543" s="2" t="s">
        <v>2809</v>
      </c>
    </row>
    <row r="544" customFormat="false" ht="12.75" hidden="false" customHeight="true" outlineLevel="0" collapsed="false">
      <c r="A544" s="3" t="s">
        <v>2964</v>
      </c>
      <c r="B544" s="3" t="str">
        <f aca="false">IF(ISNUMBER(SEARCH("%", A544)),RIGHT(A544,3),A544)</f>
        <v>54, 56, VOHOO-DU</v>
      </c>
      <c r="C544" s="2" t="s">
        <v>2964</v>
      </c>
    </row>
    <row r="545" customFormat="false" ht="12.75" hidden="false" customHeight="true" outlineLevel="0" collapsed="false">
      <c r="A545" s="3" t="s">
        <v>2965</v>
      </c>
      <c r="B545" s="3" t="str">
        <f aca="false">IF(ISNUMBER(SEARCH("%", A545)),RIGHT(A545,3),A545)</f>
        <v>54, 56, CLEFAEFAE</v>
      </c>
      <c r="C545" s="2" t="s">
        <v>2965</v>
      </c>
    </row>
    <row r="546" customFormat="false" ht="12.75" hidden="false" customHeight="true" outlineLevel="0" collapsed="false">
      <c r="A546" s="3"/>
      <c r="B546" s="3" t="n">
        <f aca="false">IF(ISNUMBER(SEARCH("%", A546)),RIGHT(A546,3),A546)</f>
        <v>0</v>
      </c>
      <c r="C546" s="2"/>
    </row>
    <row r="547" customFormat="false" ht="12.75" hidden="false" customHeight="true" outlineLevel="0" collapsed="false">
      <c r="A547" s="3" t="s">
        <v>2812</v>
      </c>
      <c r="B547" s="3" t="str">
        <f aca="false">IF(ISNUMBER(SEARCH("%", A547)),RIGHT(A547,3),A547)</f>
        <v>0.01</v>
      </c>
      <c r="C547" s="2" t="s">
        <v>2812</v>
      </c>
    </row>
    <row r="548" customFormat="false" ht="12.75" hidden="false" customHeight="true" outlineLevel="0" collapsed="false">
      <c r="A548" s="3" t="s">
        <v>2966</v>
      </c>
      <c r="B548" s="3" t="str">
        <f aca="false">IF(ISNUMBER(SEARCH("%", A548)),RIGHT(A548,3),A548)</f>
        <v>55, 56, KABUTAK</v>
      </c>
      <c r="C548" s="2" t="s">
        <v>2966</v>
      </c>
    </row>
    <row r="549" customFormat="false" ht="12.75" hidden="false" customHeight="true" outlineLevel="0" collapsed="false">
      <c r="A549" s="3" t="s">
        <v>2983</v>
      </c>
      <c r="B549" s="3" t="str">
        <f aca="false">IF(ISNUMBER(SEARCH("%", A549)),RIGHT(A549,3),A549)</f>
        <v>55, 56, OMAPAL , &lt;null&gt;, &lt;null&gt;, &lt;null&gt;</v>
      </c>
      <c r="C549" s="2" t="s">
        <v>2983</v>
      </c>
    </row>
    <row r="550" customFormat="false" ht="12.75" hidden="false" customHeight="true" outlineLevel="0" collapsed="false">
      <c r="A550" s="3"/>
      <c r="B550" s="3" t="n">
        <f aca="false">IF(ISNUMBER(SEARCH("%", A550)),RIGHT(A550,3),A550)</f>
        <v>0</v>
      </c>
      <c r="C550" s="2"/>
    </row>
    <row r="551" customFormat="false" ht="12.75" hidden="false" customHeight="true" outlineLevel="0" collapsed="false">
      <c r="A551" s="3" t="s">
        <v>2536</v>
      </c>
      <c r="B551" s="3" t="str">
        <f aca="false">IF(ISNUMBER(SEARCH("%", A551)),RIGHT(A551,3),A551)</f>
        <v>NEW ROUTE</v>
      </c>
      <c r="C551" s="2" t="s">
        <v>2536</v>
      </c>
    </row>
    <row r="552" customFormat="false" ht="12.75" hidden="false" customHeight="true" outlineLevel="0" collapsed="false">
      <c r="A552" s="3" t="s">
        <v>2984</v>
      </c>
      <c r="B552" s="3" t="str">
        <f aca="false">IF(ISNUMBER(SEARCH("%", A552)),RIGHT(A552,3),A552)</f>
        <v>1, 74, 0,</v>
      </c>
      <c r="C552" s="2" t="s">
        <v>2984</v>
      </c>
    </row>
    <row r="553" customFormat="false" ht="12.75" hidden="false" customHeight="true" outlineLevel="0" collapsed="false">
      <c r="A553" s="3" t="s">
        <v>2816</v>
      </c>
      <c r="B553" s="3" t="str">
        <f aca="false">IF(ISNUMBER(SEARCH("%", A553)),RIGHT(A553,3),A553)</f>
        <v>20%</v>
      </c>
      <c r="C553" s="2" t="s">
        <v>2799</v>
      </c>
    </row>
    <row r="554" customFormat="false" ht="12.75" hidden="false" customHeight="true" outlineLevel="0" collapsed="false">
      <c r="A554" s="3" t="s">
        <v>1381</v>
      </c>
      <c r="B554" s="3" t="str">
        <f aca="false">IF(ISNUMBER(SEARCH("%", A554)),RIGHT(A554,3),A554)</f>
        <v>50, 55, DUGROUPLE</v>
      </c>
      <c r="C554" s="2" t="s">
        <v>1381</v>
      </c>
    </row>
    <row r="555" customFormat="false" ht="12.75" hidden="false" customHeight="true" outlineLevel="0" collapsed="false">
      <c r="A555" s="3" t="s">
        <v>2957</v>
      </c>
      <c r="B555" s="3" t="str">
        <f aca="false">IF(ISNUMBER(SEARCH("%", A555)),RIGHT(A555,3),A555)</f>
        <v>50, 55, POLABAT</v>
      </c>
      <c r="C555" s="2" t="s">
        <v>2957</v>
      </c>
    </row>
    <row r="556" customFormat="false" ht="12.75" hidden="false" customHeight="true" outlineLevel="0" collapsed="false">
      <c r="A556" s="3"/>
      <c r="B556" s="3" t="n">
        <f aca="false">IF(ISNUMBER(SEARCH("%", A556)),RIGHT(A556,3),A556)</f>
        <v>0</v>
      </c>
      <c r="C556" s="2"/>
    </row>
    <row r="557" customFormat="false" ht="12.75" hidden="false" customHeight="true" outlineLevel="0" collapsed="false">
      <c r="A557" s="3" t="s">
        <v>2801</v>
      </c>
      <c r="B557" s="3" t="str">
        <f aca="false">IF(ISNUMBER(SEARCH("%", A557)),RIGHT(A557,3),A557)</f>
        <v>0.1</v>
      </c>
      <c r="C557" s="2" t="s">
        <v>2801</v>
      </c>
    </row>
    <row r="558" customFormat="false" ht="12.75" hidden="false" customHeight="true" outlineLevel="0" collapsed="false">
      <c r="A558" s="3" t="s">
        <v>2958</v>
      </c>
      <c r="B558" s="3" t="str">
        <f aca="false">IF(ISNUMBER(SEARCH("%", A558)),RIGHT(A558,3),A558)</f>
        <v>52, 55, VENOMENON</v>
      </c>
      <c r="C558" s="2" t="s">
        <v>2958</v>
      </c>
    </row>
    <row r="559" customFormat="false" ht="12.75" hidden="false" customHeight="true" outlineLevel="0" collapsed="false">
      <c r="A559" s="3" t="s">
        <v>2959</v>
      </c>
      <c r="B559" s="3" t="str">
        <f aca="false">IF(ISNUMBER(SEARCH("%", A559)),RIGHT(A559,3),A559)</f>
        <v>52, 55, "MR. JEST"</v>
      </c>
      <c r="C559" s="2" t="s">
        <v>2959</v>
      </c>
    </row>
    <row r="560" customFormat="false" ht="12.75" hidden="false" customHeight="true" outlineLevel="0" collapsed="false">
      <c r="A560" s="3" t="s">
        <v>2960</v>
      </c>
      <c r="B560" s="3" t="str">
        <f aca="false">IF(ISNUMBER(SEARCH("%", A560)),RIGHT(A560,3),A560)</f>
        <v>52, 55, NIDORULY</v>
      </c>
      <c r="C560" s="2" t="s">
        <v>2960</v>
      </c>
    </row>
    <row r="561" customFormat="false" ht="12.75" hidden="false" customHeight="true" outlineLevel="0" collapsed="false">
      <c r="A561" s="3" t="s">
        <v>2961</v>
      </c>
      <c r="B561" s="3" t="str">
        <f aca="false">IF(ISNUMBER(SEARCH("%", A561)),RIGHT(A561,3),A561)</f>
        <v>52, 55, NIDOREGAL</v>
      </c>
      <c r="C561" s="2" t="s">
        <v>2961</v>
      </c>
    </row>
    <row r="562" customFormat="false" ht="12.75" hidden="false" customHeight="true" outlineLevel="0" collapsed="false">
      <c r="A562" s="3"/>
      <c r="B562" s="3" t="n">
        <f aca="false">IF(ISNUMBER(SEARCH("%", A562)),RIGHT(A562,3),A562)</f>
        <v>0</v>
      </c>
      <c r="C562" s="2"/>
    </row>
    <row r="563" customFormat="false" ht="12.75" hidden="false" customHeight="true" outlineLevel="0" collapsed="false">
      <c r="A563" s="3" t="s">
        <v>2806</v>
      </c>
      <c r="B563" s="3" t="str">
        <f aca="false">IF(ISNUMBER(SEARCH("%", A563)),RIGHT(A563,3),A563)</f>
        <v>0.05</v>
      </c>
      <c r="C563" s="2" t="s">
        <v>2806</v>
      </c>
    </row>
    <row r="564" customFormat="false" ht="12.75" hidden="false" customHeight="true" outlineLevel="0" collapsed="false">
      <c r="A564" s="3" t="s">
        <v>2962</v>
      </c>
      <c r="B564" s="3" t="str">
        <f aca="false">IF(ISNUMBER(SEARCH("%", A564)),RIGHT(A564,3),A564)</f>
        <v>54, 56, MORPHO</v>
      </c>
      <c r="C564" s="2" t="s">
        <v>2962</v>
      </c>
    </row>
    <row r="565" customFormat="false" ht="12.75" hidden="false" customHeight="true" outlineLevel="0" collapsed="false">
      <c r="A565" s="3" t="s">
        <v>2963</v>
      </c>
      <c r="B565" s="3" t="str">
        <f aca="false">IF(ISNUMBER(SEARCH("%", A565)),RIGHT(A565,3),A565)</f>
        <v>54, 56, MAGNEMELD</v>
      </c>
      <c r="C565" s="2" t="s">
        <v>2963</v>
      </c>
    </row>
    <row r="566" customFormat="false" ht="12.75" hidden="false" customHeight="true" outlineLevel="0" collapsed="false">
      <c r="A566" s="3"/>
      <c r="B566" s="3" t="n">
        <f aca="false">IF(ISNUMBER(SEARCH("%", A566)),RIGHT(A566,3),A566)</f>
        <v>0</v>
      </c>
      <c r="C566" s="2"/>
    </row>
    <row r="567" customFormat="false" ht="12.75" hidden="false" customHeight="true" outlineLevel="0" collapsed="false">
      <c r="A567" s="3" t="s">
        <v>2809</v>
      </c>
      <c r="B567" s="3" t="str">
        <f aca="false">IF(ISNUMBER(SEARCH("%", A567)),RIGHT(A567,3),A567)</f>
        <v>0.04</v>
      </c>
      <c r="C567" s="2" t="s">
        <v>2809</v>
      </c>
    </row>
    <row r="568" customFormat="false" ht="12.75" hidden="false" customHeight="true" outlineLevel="0" collapsed="false">
      <c r="A568" s="3" t="s">
        <v>2964</v>
      </c>
      <c r="B568" s="3" t="str">
        <f aca="false">IF(ISNUMBER(SEARCH("%", A568)),RIGHT(A568,3),A568)</f>
        <v>54, 56, VOHOO-DU</v>
      </c>
      <c r="C568" s="2" t="s">
        <v>2964</v>
      </c>
    </row>
    <row r="569" customFormat="false" ht="12.75" hidden="false" customHeight="true" outlineLevel="0" collapsed="false">
      <c r="A569" s="3" t="s">
        <v>2965</v>
      </c>
      <c r="B569" s="3" t="str">
        <f aca="false">IF(ISNUMBER(SEARCH("%", A569)),RIGHT(A569,3),A569)</f>
        <v>54, 56, CLEFAEFAE</v>
      </c>
      <c r="C569" s="2" t="s">
        <v>2965</v>
      </c>
    </row>
    <row r="570" customFormat="false" ht="12.75" hidden="false" customHeight="true" outlineLevel="0" collapsed="false">
      <c r="A570" s="3"/>
      <c r="B570" s="3" t="n">
        <f aca="false">IF(ISNUMBER(SEARCH("%", A570)),RIGHT(A570,3),A570)</f>
        <v>0</v>
      </c>
      <c r="C570" s="2"/>
    </row>
    <row r="571" customFormat="false" ht="12.75" hidden="false" customHeight="true" outlineLevel="0" collapsed="false">
      <c r="A571" s="3" t="s">
        <v>2812</v>
      </c>
      <c r="B571" s="3" t="str">
        <f aca="false">IF(ISNUMBER(SEARCH("%", A571)),RIGHT(A571,3),A571)</f>
        <v>0.01</v>
      </c>
      <c r="C571" s="2" t="s">
        <v>2812</v>
      </c>
    </row>
    <row r="572" customFormat="false" ht="12.75" hidden="false" customHeight="true" outlineLevel="0" collapsed="false">
      <c r="A572" s="3" t="s">
        <v>2966</v>
      </c>
      <c r="B572" s="3" t="str">
        <f aca="false">IF(ISNUMBER(SEARCH("%", A572)),RIGHT(A572,3),A572)</f>
        <v>55, 56, KABUTAK</v>
      </c>
      <c r="C572" s="2" t="s">
        <v>2966</v>
      </c>
    </row>
    <row r="573" customFormat="false" ht="12.75" hidden="false" customHeight="true" outlineLevel="0" collapsed="false">
      <c r="A573" s="3" t="s">
        <v>2967</v>
      </c>
      <c r="B573" s="3" t="str">
        <f aca="false">IF(ISNUMBER(SEARCH("%", A573)),RIGHT(A573,3),A573)</f>
        <v>55, 56, OMAPAL</v>
      </c>
      <c r="C573" s="2" t="s">
        <v>2967</v>
      </c>
    </row>
    <row r="574" customFormat="false" ht="12.75" hidden="false" customHeight="true" outlineLevel="0" collapsed="false">
      <c r="A574" s="3" t="s">
        <v>2968</v>
      </c>
      <c r="B574" s="3" t="str">
        <f aca="false">IF(ISNUMBER(SEARCH("%", A574)),RIGHT(A574,3),A574)</f>
        <v>2, 50, 55, POLITOES</v>
      </c>
      <c r="C574" s="2" t="s">
        <v>2968</v>
      </c>
    </row>
    <row r="575" customFormat="false" ht="12.75" hidden="false" customHeight="true" outlineLevel="0" collapsed="false">
      <c r="A575" s="3" t="s">
        <v>2969</v>
      </c>
      <c r="B575" s="3" t="str">
        <f aca="false">IF(ISNUMBER(SEARCH("%", A575)),RIGHT(A575,3),A575)</f>
        <v>50, 55, DRAGONITE</v>
      </c>
      <c r="C575" s="2" t="s">
        <v>2969</v>
      </c>
    </row>
    <row r="576" customFormat="false" ht="12.75" hidden="false" customHeight="true" outlineLevel="0" collapsed="false">
      <c r="A576" s="3" t="s">
        <v>2970</v>
      </c>
      <c r="B576" s="3" t="str">
        <f aca="false">IF(ISNUMBER(SEARCH("%", A576)),RIGHT(A576,3),A576)</f>
        <v>52, 57, POLIWISE</v>
      </c>
      <c r="C576" s="2" t="s">
        <v>2970</v>
      </c>
    </row>
    <row r="577" customFormat="false" ht="12.75" hidden="false" customHeight="true" outlineLevel="0" collapsed="false">
      <c r="A577" s="3" t="s">
        <v>2971</v>
      </c>
      <c r="B577" s="3" t="str">
        <f aca="false">IF(ISNUMBER(SEARCH("%", A577)),RIGHT(A577,3),A577)</f>
        <v>52, 57, DRAGONIER</v>
      </c>
      <c r="C577" s="2" t="s">
        <v>2971</v>
      </c>
    </row>
    <row r="578" customFormat="false" ht="12.75" hidden="false" customHeight="true" outlineLevel="0" collapsed="false">
      <c r="A578" s="3" t="s">
        <v>2972</v>
      </c>
      <c r="B578" s="3" t="str">
        <f aca="false">IF(ISNUMBER(SEARCH("%", A578)),RIGHT(A578,3),A578)</f>
        <v>53, 58, NESSEA</v>
      </c>
      <c r="C578" s="2" t="s">
        <v>2972</v>
      </c>
    </row>
    <row r="579" customFormat="false" ht="12.75" hidden="false" customHeight="true" outlineLevel="0" collapsed="false">
      <c r="A579" s="3" t="s">
        <v>2925</v>
      </c>
      <c r="B579" s="3" t="str">
        <f aca="false">IF(ISNUMBER(SEARCH("%", A579)),RIGHT(A579,3),A579)</f>
        <v>20, old rod:</v>
      </c>
      <c r="C579" s="2" t="s">
        <v>2925</v>
      </c>
    </row>
    <row r="580" customFormat="false" ht="12.75" hidden="false" customHeight="true" outlineLevel="0" collapsed="false">
      <c r="A580" s="3" t="s">
        <v>1397</v>
      </c>
      <c r="B580" s="3" t="str">
        <f aca="false">IF(ISNUMBER(SEARCH("%", A580)),RIGHT(A580,3),A580)</f>
        <v>23, 36, CLOYSTER</v>
      </c>
      <c r="C580" s="2" t="s">
        <v>1397</v>
      </c>
    </row>
    <row r="581" customFormat="false" ht="12.75" hidden="false" customHeight="true" outlineLevel="0" collapsed="false">
      <c r="A581" s="3" t="s">
        <v>2973</v>
      </c>
      <c r="B581" s="3" t="str">
        <f aca="false">IF(ISNUMBER(SEARCH("%", A581)),RIGHT(A581,3),A581)</f>
        <v>23, 36, GYARADOS</v>
      </c>
      <c r="C581" s="2" t="s">
        <v>2973</v>
      </c>
    </row>
    <row r="582" customFormat="false" ht="12.75" hidden="false" customHeight="true" outlineLevel="0" collapsed="false">
      <c r="A582" s="3"/>
      <c r="B582" s="3" t="n">
        <f aca="false">IF(ISNUMBER(SEARCH("%", A582)),RIGHT(A582,3),A582)</f>
        <v>0</v>
      </c>
      <c r="C582" s="2"/>
    </row>
    <row r="583" customFormat="false" ht="12.75" hidden="false" customHeight="true" outlineLevel="0" collapsed="false">
      <c r="A583" s="3" t="s">
        <v>2846</v>
      </c>
      <c r="B583" s="3" t="str">
        <f aca="false">IF(ISNUMBER(SEARCH("%", A583)),RIGHT(A583,3),A583)</f>
        <v>good rod:</v>
      </c>
      <c r="C583" s="2" t="s">
        <v>2846</v>
      </c>
    </row>
    <row r="584" customFormat="false" ht="12.75" hidden="false" customHeight="true" outlineLevel="0" collapsed="false">
      <c r="A584" s="3" t="s">
        <v>2974</v>
      </c>
      <c r="B584" s="3" t="str">
        <f aca="false">IF(ISNUMBER(SEARCH("%", A584)),RIGHT(A584,3),A584)</f>
        <v>30, 38, CLOYSTER</v>
      </c>
      <c r="C584" s="2" t="s">
        <v>2974</v>
      </c>
    </row>
    <row r="585" customFormat="false" ht="12.75" hidden="false" customHeight="true" outlineLevel="0" collapsed="false">
      <c r="A585" s="3" t="s">
        <v>2975</v>
      </c>
      <c r="B585" s="3" t="str">
        <f aca="false">IF(ISNUMBER(SEARCH("%", A585)),RIGHT(A585,3),A585)</f>
        <v>32, 40, KINGDRA</v>
      </c>
      <c r="C585" s="2" t="s">
        <v>2975</v>
      </c>
    </row>
    <row r="586" customFormat="false" ht="12.75" hidden="false" customHeight="true" outlineLevel="0" collapsed="false">
      <c r="A586" s="3" t="s">
        <v>2976</v>
      </c>
      <c r="B586" s="3" t="str">
        <f aca="false">IF(ISNUMBER(SEARCH("%", A586)),RIGHT(A586,3),A586)</f>
        <v>32, 40, HYDRADOS</v>
      </c>
      <c r="C586" s="2" t="s">
        <v>2976</v>
      </c>
    </row>
    <row r="587" customFormat="false" ht="12.75" hidden="false" customHeight="true" outlineLevel="0" collapsed="false">
      <c r="A587" s="3"/>
      <c r="B587" s="3" t="n">
        <f aca="false">IF(ISNUMBER(SEARCH("%", A587)),RIGHT(A587,3),A587)</f>
        <v>0</v>
      </c>
      <c r="C587" s="2"/>
    </row>
    <row r="588" customFormat="false" ht="12.75" hidden="false" customHeight="true" outlineLevel="0" collapsed="false">
      <c r="A588" s="3" t="s">
        <v>2850</v>
      </c>
      <c r="B588" s="3" t="str">
        <f aca="false">IF(ISNUMBER(SEARCH("%", A588)),RIGHT(A588,3),A588)</f>
        <v>super rod:</v>
      </c>
      <c r="C588" s="2" t="s">
        <v>2850</v>
      </c>
    </row>
    <row r="589" customFormat="false" ht="12.75" hidden="false" customHeight="true" outlineLevel="0" collapsed="false">
      <c r="A589" s="3" t="s">
        <v>2977</v>
      </c>
      <c r="B589" s="3" t="str">
        <f aca="false">IF(ISNUMBER(SEARCH("%", A589)),RIGHT(A589,3),A589)</f>
        <v>50, 55, LORDRA</v>
      </c>
      <c r="C589" s="2" t="s">
        <v>2977</v>
      </c>
    </row>
    <row r="590" customFormat="false" ht="12.75" hidden="false" customHeight="true" outlineLevel="0" collapsed="false">
      <c r="A590" s="3" t="s">
        <v>2978</v>
      </c>
      <c r="B590" s="3" t="str">
        <f aca="false">IF(ISNUMBER(SEARCH("%", A590)),RIGHT(A590,3),A590)</f>
        <v>50, 55, AN'ENEMY</v>
      </c>
      <c r="C590" s="2" t="s">
        <v>2978</v>
      </c>
    </row>
    <row r="591" customFormat="false" ht="12.75" hidden="false" customHeight="true" outlineLevel="0" collapsed="false">
      <c r="A591" s="3" t="s">
        <v>2979</v>
      </c>
      <c r="B591" s="3" t="str">
        <f aca="false">IF(ISNUMBER(SEARCH("%", A591)),RIGHT(A591,3),A591)</f>
        <v>52, 57, DRACOSMIC</v>
      </c>
      <c r="C591" s="2" t="s">
        <v>2979</v>
      </c>
    </row>
    <row r="592" customFormat="false" ht="12.75" hidden="false" customHeight="true" outlineLevel="0" collapsed="false">
      <c r="A592" s="3" t="s">
        <v>2980</v>
      </c>
      <c r="B592" s="3" t="str">
        <f aca="false">IF(ISNUMBER(SEARCH("%", A592)),RIGHT(A592,3),A592)</f>
        <v>52, 57, GLAISHELL</v>
      </c>
      <c r="C592" s="2" t="s">
        <v>2980</v>
      </c>
    </row>
    <row r="593" customFormat="false" ht="12.75" hidden="false" customHeight="true" outlineLevel="0" collapsed="false">
      <c r="A593" s="3" t="s">
        <v>2981</v>
      </c>
      <c r="B593" s="3" t="str">
        <f aca="false">IF(ISNUMBER(SEARCH("%", A593)),RIGHT(A593,3),A593)</f>
        <v>53, 58, STARWE</v>
      </c>
      <c r="C593" s="2" t="s">
        <v>2981</v>
      </c>
    </row>
    <row r="594" customFormat="false" ht="12.75" hidden="false" customHeight="true" outlineLevel="0" collapsed="false">
      <c r="A594" s="3" t="s">
        <v>2536</v>
      </c>
      <c r="B594" s="3" t="str">
        <f aca="false">IF(ISNUMBER(SEARCH("%", A594)),RIGHT(A594,3),A594)</f>
        <v>NEW ROUTE</v>
      </c>
      <c r="C594" s="2" t="s">
        <v>2536</v>
      </c>
    </row>
    <row r="595" customFormat="false" ht="12.75" hidden="false" customHeight="true" outlineLevel="0" collapsed="false">
      <c r="A595" s="3" t="s">
        <v>2985</v>
      </c>
      <c r="B595" s="3" t="str">
        <f aca="false">IF(ISNUMBER(SEARCH("%", A595)),RIGHT(A595,3),A595)</f>
        <v>1, 81, 0,</v>
      </c>
      <c r="C595" s="2" t="s">
        <v>2985</v>
      </c>
    </row>
    <row r="596" customFormat="false" ht="12.75" hidden="false" customHeight="true" outlineLevel="0" collapsed="false">
      <c r="A596" s="3" t="s">
        <v>2816</v>
      </c>
      <c r="B596" s="3" t="str">
        <f aca="false">IF(ISNUMBER(SEARCH("%", A596)),RIGHT(A596,3),A596)</f>
        <v>20%</v>
      </c>
      <c r="C596" s="2" t="s">
        <v>2799</v>
      </c>
    </row>
    <row r="597" customFormat="false" ht="12.75" hidden="false" customHeight="true" outlineLevel="0" collapsed="false">
      <c r="A597" s="3" t="s">
        <v>1411</v>
      </c>
      <c r="B597" s="3" t="str">
        <f aca="false">IF(ISNUMBER(SEARCH("%", A597)),RIGHT(A597,3),A597)</f>
        <v>20, 23, RHYHORN</v>
      </c>
      <c r="C597" s="2" t="s">
        <v>1411</v>
      </c>
    </row>
    <row r="598" customFormat="false" ht="12.75" hidden="false" customHeight="true" outlineLevel="0" collapsed="false">
      <c r="A598" s="3" t="s">
        <v>2986</v>
      </c>
      <c r="B598" s="3" t="str">
        <f aca="false">IF(ISNUMBER(SEARCH("%", A598)),RIGHT(A598,3),A598)</f>
        <v>20, 23, GEODUDE</v>
      </c>
      <c r="C598" s="2" t="s">
        <v>2986</v>
      </c>
    </row>
    <row r="599" customFormat="false" ht="12.75" hidden="false" customHeight="true" outlineLevel="0" collapsed="false">
      <c r="A599" s="3"/>
      <c r="B599" s="3" t="n">
        <f aca="false">IF(ISNUMBER(SEARCH("%", A599)),RIGHT(A599,3),A599)</f>
        <v>0</v>
      </c>
      <c r="C599" s="2"/>
    </row>
    <row r="600" customFormat="false" ht="12.75" hidden="false" customHeight="true" outlineLevel="0" collapsed="false">
      <c r="A600" s="3" t="s">
        <v>2801</v>
      </c>
      <c r="B600" s="3" t="str">
        <f aca="false">IF(ISNUMBER(SEARCH("%", A600)),RIGHT(A600,3),A600)</f>
        <v>0.1</v>
      </c>
      <c r="C600" s="2" t="s">
        <v>2801</v>
      </c>
    </row>
    <row r="601" customFormat="false" ht="12.75" hidden="false" customHeight="true" outlineLevel="0" collapsed="false">
      <c r="A601" s="3" t="s">
        <v>2987</v>
      </c>
      <c r="B601" s="3" t="str">
        <f aca="false">IF(ISNUMBER(SEARCH("%", A601)),RIGHT(A601,3),A601)</f>
        <v>20, 24, ONIX</v>
      </c>
      <c r="C601" s="2" t="s">
        <v>2987</v>
      </c>
    </row>
    <row r="602" customFormat="false" ht="12.75" hidden="false" customHeight="true" outlineLevel="0" collapsed="false">
      <c r="A602" s="3" t="s">
        <v>2988</v>
      </c>
      <c r="B602" s="3" t="str">
        <f aca="false">IF(ISNUMBER(SEARCH("%", A602)),RIGHT(A602,3),A602)</f>
        <v>19, 23, MANKEY</v>
      </c>
      <c r="C602" s="2" t="s">
        <v>2988</v>
      </c>
    </row>
    <row r="603" customFormat="false" ht="12.75" hidden="false" customHeight="true" outlineLevel="0" collapsed="false">
      <c r="A603" s="3" t="s">
        <v>2989</v>
      </c>
      <c r="B603" s="3" t="str">
        <f aca="false">IF(ISNUMBER(SEARCH("%", A603)),RIGHT(A603,3),A603)</f>
        <v>19, 23, MACHOP</v>
      </c>
      <c r="C603" s="2" t="s">
        <v>2989</v>
      </c>
    </row>
    <row r="604" customFormat="false" ht="12.75" hidden="false" customHeight="true" outlineLevel="0" collapsed="false">
      <c r="A604" s="3" t="s">
        <v>2990</v>
      </c>
      <c r="B604" s="3" t="str">
        <f aca="false">IF(ISNUMBER(SEARCH("%", A604)),RIGHT(A604,3),A604)</f>
        <v>22, 24, GOLBAT</v>
      </c>
      <c r="C604" s="2" t="s">
        <v>2990</v>
      </c>
    </row>
    <row r="605" customFormat="false" ht="12.75" hidden="false" customHeight="true" outlineLevel="0" collapsed="false">
      <c r="A605" s="3"/>
      <c r="B605" s="3" t="n">
        <f aca="false">IF(ISNUMBER(SEARCH("%", A605)),RIGHT(A605,3),A605)</f>
        <v>0</v>
      </c>
      <c r="C605" s="2"/>
    </row>
    <row r="606" customFormat="false" ht="12.75" hidden="false" customHeight="true" outlineLevel="0" collapsed="false">
      <c r="A606" s="3" t="s">
        <v>2806</v>
      </c>
      <c r="B606" s="3" t="str">
        <f aca="false">IF(ISNUMBER(SEARCH("%", A606)),RIGHT(A606,3),A606)</f>
        <v>0.05</v>
      </c>
      <c r="C606" s="2" t="s">
        <v>2806</v>
      </c>
    </row>
    <row r="607" customFormat="false" ht="12.75" hidden="false" customHeight="true" outlineLevel="0" collapsed="false">
      <c r="A607" s="3" t="s">
        <v>2991</v>
      </c>
      <c r="B607" s="3" t="str">
        <f aca="false">IF(ISNUMBER(SEARCH("%", A607)),RIGHT(A607,3),A607)</f>
        <v>24, 24, RHYHORN</v>
      </c>
      <c r="C607" s="2" t="s">
        <v>2991</v>
      </c>
    </row>
    <row r="608" customFormat="false" ht="12.75" hidden="false" customHeight="true" outlineLevel="0" collapsed="false">
      <c r="A608" s="3" t="s">
        <v>2992</v>
      </c>
      <c r="B608" s="3" t="str">
        <f aca="false">IF(ISNUMBER(SEARCH("%", A608)),RIGHT(A608,3),A608)</f>
        <v>24, 24, GEODUDE</v>
      </c>
      <c r="C608" s="2" t="s">
        <v>2992</v>
      </c>
    </row>
    <row r="609" customFormat="false" ht="12.75" hidden="false" customHeight="true" outlineLevel="0" collapsed="false">
      <c r="A609" s="3"/>
      <c r="B609" s="3" t="n">
        <f aca="false">IF(ISNUMBER(SEARCH("%", A609)),RIGHT(A609,3),A609)</f>
        <v>0</v>
      </c>
      <c r="C609" s="2"/>
    </row>
    <row r="610" customFormat="false" ht="12.75" hidden="false" customHeight="true" outlineLevel="0" collapsed="false">
      <c r="A610" s="3" t="s">
        <v>2809</v>
      </c>
      <c r="B610" s="3" t="str">
        <f aca="false">IF(ISNUMBER(SEARCH("%", A610)),RIGHT(A610,3),A610)</f>
        <v>0.04</v>
      </c>
      <c r="C610" s="2" t="s">
        <v>2809</v>
      </c>
    </row>
    <row r="611" customFormat="false" ht="12.75" hidden="false" customHeight="true" outlineLevel="0" collapsed="false">
      <c r="A611" s="3" t="s">
        <v>2993</v>
      </c>
      <c r="B611" s="3" t="str">
        <f aca="false">IF(ISNUMBER(SEARCH("%", A611)),RIGHT(A611,3),A611)</f>
        <v>20, 25, GRAVELER</v>
      </c>
      <c r="C611" s="2" t="s">
        <v>2993</v>
      </c>
    </row>
    <row r="612" customFormat="false" ht="12.75" hidden="false" customHeight="true" outlineLevel="0" collapsed="false">
      <c r="A612" s="3" t="s">
        <v>2994</v>
      </c>
      <c r="B612" s="3" t="str">
        <f aca="false">IF(ISNUMBER(SEARCH("%", A612)),RIGHT(A612,3),A612)</f>
        <v>25, 25, GOLBAT</v>
      </c>
      <c r="C612" s="2" t="s">
        <v>2994</v>
      </c>
    </row>
    <row r="613" customFormat="false" ht="12.75" hidden="false" customHeight="true" outlineLevel="0" collapsed="false">
      <c r="A613" s="3"/>
      <c r="B613" s="3" t="n">
        <f aca="false">IF(ISNUMBER(SEARCH("%", A613)),RIGHT(A613,3),A613)</f>
        <v>0</v>
      </c>
      <c r="C613" s="2"/>
    </row>
    <row r="614" customFormat="false" ht="12.75" hidden="false" customHeight="true" outlineLevel="0" collapsed="false">
      <c r="A614" s="3" t="s">
        <v>2812</v>
      </c>
      <c r="B614" s="3" t="str">
        <f aca="false">IF(ISNUMBER(SEARCH("%", A614)),RIGHT(A614,3),A614)</f>
        <v>0.01</v>
      </c>
      <c r="C614" s="2" t="s">
        <v>2812</v>
      </c>
    </row>
    <row r="615" customFormat="false" ht="12.75" hidden="false" customHeight="true" outlineLevel="0" collapsed="false">
      <c r="A615" s="3" t="s">
        <v>2995</v>
      </c>
      <c r="B615" s="3" t="str">
        <f aca="false">IF(ISNUMBER(SEARCH("%", A615)),RIGHT(A615,3),A615)</f>
        <v>20, 25, PINSIR</v>
      </c>
      <c r="C615" s="2" t="s">
        <v>2995</v>
      </c>
    </row>
    <row r="616" customFormat="false" ht="12.75" hidden="false" customHeight="true" outlineLevel="0" collapsed="false">
      <c r="A616" s="3" t="s">
        <v>2996</v>
      </c>
      <c r="B616" s="3" t="str">
        <f aca="false">IF(ISNUMBER(SEARCH("%", A616)),RIGHT(A616,3),A616)</f>
        <v>20, 23, KANGASKHAN , &lt;null&gt;, &lt;null&gt;, &lt;null&gt;</v>
      </c>
      <c r="C616" s="2" t="s">
        <v>2996</v>
      </c>
    </row>
    <row r="617" customFormat="false" ht="12.75" hidden="false" customHeight="true" outlineLevel="0" collapsed="false">
      <c r="A617" s="3"/>
      <c r="B617" s="3" t="n">
        <f aca="false">IF(ISNUMBER(SEARCH("%", A617)),RIGHT(A617,3),A617)</f>
        <v>0</v>
      </c>
      <c r="C617" s="2"/>
    </row>
    <row r="618" customFormat="false" ht="12.75" hidden="false" customHeight="true" outlineLevel="0" collapsed="false">
      <c r="A618" s="3" t="s">
        <v>2536</v>
      </c>
      <c r="B618" s="3" t="str">
        <f aca="false">IF(ISNUMBER(SEARCH("%", A618)),RIGHT(A618,3),A618)</f>
        <v>NEW ROUTE</v>
      </c>
      <c r="C618" s="2" t="s">
        <v>2536</v>
      </c>
    </row>
    <row r="619" customFormat="false" ht="12.75" hidden="false" customHeight="true" outlineLevel="0" collapsed="false">
      <c r="A619" s="3" t="s">
        <v>2997</v>
      </c>
      <c r="B619" s="3" t="str">
        <f aca="false">IF(ISNUMBER(SEARCH("%", A619)),RIGHT(A619,3),A619)</f>
        <v>1, 82, 0,</v>
      </c>
      <c r="C619" s="2" t="s">
        <v>2997</v>
      </c>
    </row>
    <row r="620" customFormat="false" ht="12.75" hidden="false" customHeight="true" outlineLevel="0" collapsed="false">
      <c r="A620" s="3" t="s">
        <v>2816</v>
      </c>
      <c r="B620" s="3" t="str">
        <f aca="false">IF(ISNUMBER(SEARCH("%", A620)),RIGHT(A620,3),A620)</f>
        <v>20%</v>
      </c>
      <c r="C620" s="2" t="s">
        <v>2799</v>
      </c>
    </row>
    <row r="621" customFormat="false" ht="12.75" hidden="false" customHeight="true" outlineLevel="0" collapsed="false">
      <c r="A621" s="3" t="s">
        <v>1411</v>
      </c>
      <c r="B621" s="3" t="str">
        <f aca="false">IF(ISNUMBER(SEARCH("%", A621)),RIGHT(A621,3),A621)</f>
        <v>20, 23, RHYHORN</v>
      </c>
      <c r="C621" s="2" t="s">
        <v>1411</v>
      </c>
    </row>
    <row r="622" customFormat="false" ht="12.75" hidden="false" customHeight="true" outlineLevel="0" collapsed="false">
      <c r="A622" s="3" t="s">
        <v>2986</v>
      </c>
      <c r="B622" s="3" t="str">
        <f aca="false">IF(ISNUMBER(SEARCH("%", A622)),RIGHT(A622,3),A622)</f>
        <v>20, 23, GEODUDE</v>
      </c>
      <c r="C622" s="2" t="s">
        <v>2986</v>
      </c>
    </row>
    <row r="623" customFormat="false" ht="12.75" hidden="false" customHeight="true" outlineLevel="0" collapsed="false">
      <c r="A623" s="3"/>
      <c r="B623" s="3" t="n">
        <f aca="false">IF(ISNUMBER(SEARCH("%", A623)),RIGHT(A623,3),A623)</f>
        <v>0</v>
      </c>
      <c r="C623" s="2"/>
    </row>
    <row r="624" customFormat="false" ht="12.75" hidden="false" customHeight="true" outlineLevel="0" collapsed="false">
      <c r="A624" s="3" t="s">
        <v>2801</v>
      </c>
      <c r="B624" s="3" t="str">
        <f aca="false">IF(ISNUMBER(SEARCH("%", A624)),RIGHT(A624,3),A624)</f>
        <v>0.1</v>
      </c>
      <c r="C624" s="2" t="s">
        <v>2801</v>
      </c>
    </row>
    <row r="625" customFormat="false" ht="12.75" hidden="false" customHeight="true" outlineLevel="0" collapsed="false">
      <c r="A625" s="3" t="s">
        <v>2987</v>
      </c>
      <c r="B625" s="3" t="str">
        <f aca="false">IF(ISNUMBER(SEARCH("%", A625)),RIGHT(A625,3),A625)</f>
        <v>20, 24, ONIX</v>
      </c>
      <c r="C625" s="2" t="s">
        <v>2987</v>
      </c>
    </row>
    <row r="626" customFormat="false" ht="12.75" hidden="false" customHeight="true" outlineLevel="0" collapsed="false">
      <c r="A626" s="3" t="s">
        <v>2988</v>
      </c>
      <c r="B626" s="3" t="str">
        <f aca="false">IF(ISNUMBER(SEARCH("%", A626)),RIGHT(A626,3),A626)</f>
        <v>19, 23, MANKEY</v>
      </c>
      <c r="C626" s="2" t="s">
        <v>2988</v>
      </c>
    </row>
    <row r="627" customFormat="false" ht="12.75" hidden="false" customHeight="true" outlineLevel="0" collapsed="false">
      <c r="A627" s="3" t="s">
        <v>2989</v>
      </c>
      <c r="B627" s="3" t="str">
        <f aca="false">IF(ISNUMBER(SEARCH("%", A627)),RIGHT(A627,3),A627)</f>
        <v>19, 23, MACHOP</v>
      </c>
      <c r="C627" s="2" t="s">
        <v>2989</v>
      </c>
    </row>
    <row r="628" customFormat="false" ht="12.75" hidden="false" customHeight="true" outlineLevel="0" collapsed="false">
      <c r="A628" s="3" t="s">
        <v>2990</v>
      </c>
      <c r="B628" s="3" t="str">
        <f aca="false">IF(ISNUMBER(SEARCH("%", A628)),RIGHT(A628,3),A628)</f>
        <v>22, 24, GOLBAT</v>
      </c>
      <c r="C628" s="2" t="s">
        <v>2990</v>
      </c>
    </row>
    <row r="629" customFormat="false" ht="12.75" hidden="false" customHeight="true" outlineLevel="0" collapsed="false">
      <c r="A629" s="3"/>
      <c r="B629" s="3" t="n">
        <f aca="false">IF(ISNUMBER(SEARCH("%", A629)),RIGHT(A629,3),A629)</f>
        <v>0</v>
      </c>
      <c r="C629" s="2"/>
    </row>
    <row r="630" customFormat="false" ht="12.75" hidden="false" customHeight="true" outlineLevel="0" collapsed="false">
      <c r="A630" s="3" t="s">
        <v>2806</v>
      </c>
      <c r="B630" s="3" t="str">
        <f aca="false">IF(ISNUMBER(SEARCH("%", A630)),RIGHT(A630,3),A630)</f>
        <v>0.05</v>
      </c>
      <c r="C630" s="2" t="s">
        <v>2806</v>
      </c>
    </row>
    <row r="631" customFormat="false" ht="12.75" hidden="false" customHeight="true" outlineLevel="0" collapsed="false">
      <c r="A631" s="3" t="s">
        <v>2991</v>
      </c>
      <c r="B631" s="3" t="str">
        <f aca="false">IF(ISNUMBER(SEARCH("%", A631)),RIGHT(A631,3),A631)</f>
        <v>24, 24, RHYHORN</v>
      </c>
      <c r="C631" s="2" t="s">
        <v>2991</v>
      </c>
    </row>
    <row r="632" customFormat="false" ht="12.75" hidden="false" customHeight="true" outlineLevel="0" collapsed="false">
      <c r="A632" s="3" t="s">
        <v>2992</v>
      </c>
      <c r="B632" s="3" t="str">
        <f aca="false">IF(ISNUMBER(SEARCH("%", A632)),RIGHT(A632,3),A632)</f>
        <v>24, 24, GEODUDE</v>
      </c>
      <c r="C632" s="2" t="s">
        <v>2992</v>
      </c>
    </row>
    <row r="633" customFormat="false" ht="12.75" hidden="false" customHeight="true" outlineLevel="0" collapsed="false">
      <c r="A633" s="3"/>
      <c r="B633" s="3" t="n">
        <f aca="false">IF(ISNUMBER(SEARCH("%", A633)),RIGHT(A633,3),A633)</f>
        <v>0</v>
      </c>
      <c r="C633" s="2"/>
    </row>
    <row r="634" customFormat="false" ht="12.75" hidden="false" customHeight="true" outlineLevel="0" collapsed="false">
      <c r="A634" s="3" t="s">
        <v>2809</v>
      </c>
      <c r="B634" s="3" t="str">
        <f aca="false">IF(ISNUMBER(SEARCH("%", A634)),RIGHT(A634,3),A634)</f>
        <v>0.04</v>
      </c>
      <c r="C634" s="2" t="s">
        <v>2809</v>
      </c>
    </row>
    <row r="635" customFormat="false" ht="12.75" hidden="false" customHeight="true" outlineLevel="0" collapsed="false">
      <c r="A635" s="3" t="s">
        <v>2993</v>
      </c>
      <c r="B635" s="3" t="str">
        <f aca="false">IF(ISNUMBER(SEARCH("%", A635)),RIGHT(A635,3),A635)</f>
        <v>20, 25, GRAVELER</v>
      </c>
      <c r="C635" s="2" t="s">
        <v>2993</v>
      </c>
    </row>
    <row r="636" customFormat="false" ht="12.75" hidden="false" customHeight="true" outlineLevel="0" collapsed="false">
      <c r="A636" s="3" t="s">
        <v>2994</v>
      </c>
      <c r="B636" s="3" t="str">
        <f aca="false">IF(ISNUMBER(SEARCH("%", A636)),RIGHT(A636,3),A636)</f>
        <v>25, 25, GOLBAT</v>
      </c>
      <c r="C636" s="2" t="s">
        <v>2994</v>
      </c>
    </row>
    <row r="637" customFormat="false" ht="12.75" hidden="false" customHeight="true" outlineLevel="0" collapsed="false">
      <c r="A637" s="3"/>
      <c r="B637" s="3" t="n">
        <f aca="false">IF(ISNUMBER(SEARCH("%", A637)),RIGHT(A637,3),A637)</f>
        <v>0</v>
      </c>
      <c r="C637" s="2"/>
    </row>
    <row r="638" customFormat="false" ht="12.75" hidden="false" customHeight="true" outlineLevel="0" collapsed="false">
      <c r="A638" s="3" t="s">
        <v>2812</v>
      </c>
      <c r="B638" s="3" t="str">
        <f aca="false">IF(ISNUMBER(SEARCH("%", A638)),RIGHT(A638,3),A638)</f>
        <v>0.01</v>
      </c>
      <c r="C638" s="2" t="s">
        <v>2812</v>
      </c>
    </row>
    <row r="639" customFormat="false" ht="12.75" hidden="false" customHeight="true" outlineLevel="0" collapsed="false">
      <c r="A639" s="3" t="s">
        <v>2995</v>
      </c>
      <c r="B639" s="3" t="str">
        <f aca="false">IF(ISNUMBER(SEARCH("%", A639)),RIGHT(A639,3),A639)</f>
        <v>20, 25, PINSIR</v>
      </c>
      <c r="C639" s="2" t="s">
        <v>2995</v>
      </c>
    </row>
    <row r="640" customFormat="false" ht="12.75" hidden="false" customHeight="true" outlineLevel="0" collapsed="false">
      <c r="A640" s="3" t="s">
        <v>2998</v>
      </c>
      <c r="B640" s="3" t="str">
        <f aca="false">IF(ISNUMBER(SEARCH("%", A640)),RIGHT(A640,3),A640)</f>
        <v>21, 24, KANGASKHAN</v>
      </c>
      <c r="C640" s="2" t="s">
        <v>2998</v>
      </c>
    </row>
    <row r="641" customFormat="false" ht="12.75" hidden="false" customHeight="true" outlineLevel="0" collapsed="false">
      <c r="A641" s="3" t="s">
        <v>2999</v>
      </c>
      <c r="B641" s="3" t="str">
        <f aca="false">IF(ISNUMBER(SEARCH("%", A641)),RIGHT(A641,3),A641)</f>
        <v>50, 5, 20, GEODUDE</v>
      </c>
      <c r="C641" s="2" t="s">
        <v>2999</v>
      </c>
    </row>
    <row r="642" customFormat="false" ht="12.75" hidden="false" customHeight="true" outlineLevel="0" collapsed="false">
      <c r="A642" s="3" t="s">
        <v>3000</v>
      </c>
      <c r="B642" s="3" t="str">
        <f aca="false">IF(ISNUMBER(SEARCH("%", A642)),RIGHT(A642,3),A642)</f>
        <v>10, 20, GEODUDE</v>
      </c>
      <c r="C642" s="2" t="s">
        <v>3000</v>
      </c>
    </row>
    <row r="643" customFormat="false" ht="12.75" hidden="false" customHeight="true" outlineLevel="0" collapsed="false">
      <c r="A643" s="3" t="s">
        <v>3001</v>
      </c>
      <c r="B643" s="3" t="str">
        <f aca="false">IF(ISNUMBER(SEARCH("%", A643)),RIGHT(A643,3),A643)</f>
        <v>15, 30, GEODUDE</v>
      </c>
      <c r="C643" s="2" t="s">
        <v>3001</v>
      </c>
    </row>
    <row r="644" customFormat="false" ht="12.75" hidden="false" customHeight="true" outlineLevel="0" collapsed="false">
      <c r="A644" s="3" t="s">
        <v>3002</v>
      </c>
      <c r="B644" s="3" t="str">
        <f aca="false">IF(ISNUMBER(SEARCH("%", A644)),RIGHT(A644,3),A644)</f>
        <v>25, 40, GRAVELER</v>
      </c>
      <c r="C644" s="2" t="s">
        <v>3002</v>
      </c>
    </row>
    <row r="645" customFormat="false" ht="12.75" hidden="false" customHeight="true" outlineLevel="0" collapsed="false">
      <c r="A645" s="3" t="s">
        <v>3003</v>
      </c>
      <c r="B645" s="3" t="str">
        <f aca="false">IF(ISNUMBER(SEARCH("%", A645)),RIGHT(A645,3),A645)</f>
        <v>30, 40, GRAVELER , &lt;null&gt;</v>
      </c>
      <c r="C645" s="2" t="s">
        <v>3003</v>
      </c>
    </row>
    <row r="646" customFormat="false" ht="12.75" hidden="false" customHeight="true" outlineLevel="0" collapsed="false">
      <c r="A646" s="3"/>
      <c r="B646" s="3" t="n">
        <f aca="false">IF(ISNUMBER(SEARCH("%", A646)),RIGHT(A646,3),A646)</f>
        <v>0</v>
      </c>
      <c r="C646" s="2"/>
    </row>
    <row r="647" customFormat="false" ht="12.75" hidden="false" customHeight="true" outlineLevel="0" collapsed="false">
      <c r="A647" s="3" t="s">
        <v>2536</v>
      </c>
      <c r="B647" s="3" t="str">
        <f aca="false">IF(ISNUMBER(SEARCH("%", A647)),RIGHT(A647,3),A647)</f>
        <v>NEW ROUTE</v>
      </c>
      <c r="C647" s="2" t="s">
        <v>2536</v>
      </c>
    </row>
    <row r="648" customFormat="false" ht="12.75" hidden="false" customHeight="true" outlineLevel="0" collapsed="false">
      <c r="A648" s="3" t="s">
        <v>3004</v>
      </c>
      <c r="B648" s="3" t="str">
        <f aca="false">IF(ISNUMBER(SEARCH("%", A648)),RIGHT(A648,3),A648)</f>
        <v>1, 83, 0,</v>
      </c>
      <c r="C648" s="2" t="s">
        <v>3004</v>
      </c>
    </row>
    <row r="649" customFormat="false" ht="12.75" hidden="false" customHeight="true" outlineLevel="0" collapsed="false">
      <c r="A649" s="3" t="s">
        <v>2816</v>
      </c>
      <c r="B649" s="3" t="str">
        <f aca="false">IF(ISNUMBER(SEARCH("%", A649)),RIGHT(A649,3),A649)</f>
        <v>20%</v>
      </c>
      <c r="C649" s="2" t="s">
        <v>2799</v>
      </c>
    </row>
    <row r="650" customFormat="false" ht="12.75" hidden="false" customHeight="true" outlineLevel="0" collapsed="false">
      <c r="A650" s="3" t="s">
        <v>1430</v>
      </c>
      <c r="B650" s="3" t="str">
        <f aca="false">IF(ISNUMBER(SEARCH("%", A650)),RIGHT(A650,3),A650)</f>
        <v>40, 44, GOLBAT</v>
      </c>
      <c r="C650" s="2" t="s">
        <v>1430</v>
      </c>
    </row>
    <row r="651" customFormat="false" ht="12.75" hidden="false" customHeight="true" outlineLevel="0" collapsed="false">
      <c r="A651" s="3" t="s">
        <v>3005</v>
      </c>
      <c r="B651" s="3" t="str">
        <f aca="false">IF(ISNUMBER(SEARCH("%", A651)),RIGHT(A651,3),A651)</f>
        <v>40, 44, GOLDUCK</v>
      </c>
      <c r="C651" s="2" t="s">
        <v>3005</v>
      </c>
    </row>
    <row r="652" customFormat="false" ht="12.75" hidden="false" customHeight="true" outlineLevel="0" collapsed="false">
      <c r="A652" s="3"/>
      <c r="B652" s="3" t="n">
        <f aca="false">IF(ISNUMBER(SEARCH("%", A652)),RIGHT(A652,3),A652)</f>
        <v>0</v>
      </c>
      <c r="C652" s="2"/>
    </row>
    <row r="653" customFormat="false" ht="12.75" hidden="false" customHeight="true" outlineLevel="0" collapsed="false">
      <c r="A653" s="3" t="s">
        <v>2801</v>
      </c>
      <c r="B653" s="3" t="str">
        <f aca="false">IF(ISNUMBER(SEARCH("%", A653)),RIGHT(A653,3),A653)</f>
        <v>0.1</v>
      </c>
      <c r="C653" s="2" t="s">
        <v>2801</v>
      </c>
    </row>
    <row r="654" customFormat="false" ht="12.75" hidden="false" customHeight="true" outlineLevel="0" collapsed="false">
      <c r="A654" s="3" t="s">
        <v>3006</v>
      </c>
      <c r="B654" s="3" t="str">
        <f aca="false">IF(ISNUMBER(SEARCH("%", A654)),RIGHT(A654,3),A654)</f>
        <v>40, 44, SLOWBRO</v>
      </c>
      <c r="C654" s="2" t="s">
        <v>3006</v>
      </c>
    </row>
    <row r="655" customFormat="false" ht="12.75" hidden="false" customHeight="true" outlineLevel="0" collapsed="false">
      <c r="A655" s="3" t="s">
        <v>3007</v>
      </c>
      <c r="B655" s="3" t="str">
        <f aca="false">IF(ISNUMBER(SEARCH("%", A655)),RIGHT(A655,3),A655)</f>
        <v>40, 44, CROBAT</v>
      </c>
      <c r="C655" s="2" t="s">
        <v>3007</v>
      </c>
    </row>
    <row r="656" customFormat="false" ht="12.75" hidden="false" customHeight="true" outlineLevel="0" collapsed="false">
      <c r="A656" s="3" t="s">
        <v>3008</v>
      </c>
      <c r="B656" s="3" t="str">
        <f aca="false">IF(ISNUMBER(SEARCH("%", A656)),RIGHT(A656,3),A656)</f>
        <v>40, 44, DEWGONG</v>
      </c>
      <c r="C656" s="2" t="s">
        <v>3008</v>
      </c>
    </row>
    <row r="657" customFormat="false" ht="12.75" hidden="false" customHeight="true" outlineLevel="0" collapsed="false">
      <c r="A657" s="3" t="s">
        <v>3009</v>
      </c>
      <c r="B657" s="3" t="str">
        <f aca="false">IF(ISNUMBER(SEARCH("%", A657)),RIGHT(A657,3),A657)</f>
        <v>40, 44, LICKILICKY</v>
      </c>
      <c r="C657" s="2" t="s">
        <v>3009</v>
      </c>
    </row>
    <row r="658" customFormat="false" ht="12.75" hidden="false" customHeight="true" outlineLevel="0" collapsed="false">
      <c r="A658" s="3"/>
      <c r="B658" s="3" t="n">
        <f aca="false">IF(ISNUMBER(SEARCH("%", A658)),RIGHT(A658,3),A658)</f>
        <v>0</v>
      </c>
      <c r="C658" s="2"/>
    </row>
    <row r="659" customFormat="false" ht="12.75" hidden="false" customHeight="true" outlineLevel="0" collapsed="false">
      <c r="A659" s="3" t="s">
        <v>2806</v>
      </c>
      <c r="B659" s="3" t="str">
        <f aca="false">IF(ISNUMBER(SEARCH("%", A659)),RIGHT(A659,3),A659)</f>
        <v>0.05</v>
      </c>
      <c r="C659" s="2" t="s">
        <v>2806</v>
      </c>
    </row>
    <row r="660" customFormat="false" ht="12.75" hidden="false" customHeight="true" outlineLevel="0" collapsed="false">
      <c r="A660" s="3" t="s">
        <v>3010</v>
      </c>
      <c r="B660" s="3" t="str">
        <f aca="false">IF(ISNUMBER(SEARCH("%", A660)),RIGHT(A660,3),A660)</f>
        <v>42, 46, POLABAT</v>
      </c>
      <c r="C660" s="2" t="s">
        <v>3010</v>
      </c>
    </row>
    <row r="661" customFormat="false" ht="12.75" hidden="false" customHeight="true" outlineLevel="0" collapsed="false">
      <c r="A661" s="3" t="s">
        <v>3011</v>
      </c>
      <c r="B661" s="3" t="str">
        <f aca="false">IF(ISNUMBER(SEARCH("%", A661)),RIGHT(A661,3),A661)</f>
        <v>42, 46, GILDUCK</v>
      </c>
      <c r="C661" s="2" t="s">
        <v>3011</v>
      </c>
    </row>
    <row r="662" customFormat="false" ht="12.75" hidden="false" customHeight="true" outlineLevel="0" collapsed="false">
      <c r="A662" s="3"/>
      <c r="B662" s="3" t="n">
        <f aca="false">IF(ISNUMBER(SEARCH("%", A662)),RIGHT(A662,3),A662)</f>
        <v>0</v>
      </c>
      <c r="C662" s="2"/>
    </row>
    <row r="663" customFormat="false" ht="12.75" hidden="false" customHeight="true" outlineLevel="0" collapsed="false">
      <c r="A663" s="3" t="s">
        <v>2809</v>
      </c>
      <c r="B663" s="3" t="str">
        <f aca="false">IF(ISNUMBER(SEARCH("%", A663)),RIGHT(A663,3),A663)</f>
        <v>0.04</v>
      </c>
      <c r="C663" s="2" t="s">
        <v>2809</v>
      </c>
    </row>
    <row r="664" customFormat="false" ht="12.75" hidden="false" customHeight="true" outlineLevel="0" collapsed="false">
      <c r="A664" s="3" t="s">
        <v>3012</v>
      </c>
      <c r="B664" s="3" t="str">
        <f aca="false">IF(ISNUMBER(SEARCH("%", A664)),RIGHT(A664,3),A664)</f>
        <v>44, 47, SLOWMATE</v>
      </c>
      <c r="C664" s="2" t="s">
        <v>3012</v>
      </c>
    </row>
    <row r="665" customFormat="false" ht="12.75" hidden="false" customHeight="true" outlineLevel="0" collapsed="false">
      <c r="A665" s="3" t="s">
        <v>3013</v>
      </c>
      <c r="B665" s="3" t="str">
        <f aca="false">IF(ISNUMBER(SEARCH("%", A665)),RIGHT(A665,3),A665)</f>
        <v>44, 47, PRECIPED</v>
      </c>
      <c r="C665" s="2" t="s">
        <v>3013</v>
      </c>
    </row>
    <row r="666" customFormat="false" ht="12.75" hidden="false" customHeight="true" outlineLevel="0" collapsed="false">
      <c r="A666" s="3"/>
      <c r="B666" s="3" t="n">
        <f aca="false">IF(ISNUMBER(SEARCH("%", A666)),RIGHT(A666,3),A666)</f>
        <v>0</v>
      </c>
      <c r="C666" s="2"/>
    </row>
    <row r="667" customFormat="false" ht="12.75" hidden="false" customHeight="true" outlineLevel="0" collapsed="false">
      <c r="A667" s="3" t="s">
        <v>2812</v>
      </c>
      <c r="B667" s="3" t="str">
        <f aca="false">IF(ISNUMBER(SEARCH("%", A667)),RIGHT(A667,3),A667)</f>
        <v>0.01</v>
      </c>
      <c r="C667" s="2" t="s">
        <v>2812</v>
      </c>
    </row>
    <row r="668" customFormat="false" ht="12.75" hidden="false" customHeight="true" outlineLevel="0" collapsed="false">
      <c r="A668" s="3" t="s">
        <v>3014</v>
      </c>
      <c r="B668" s="3" t="str">
        <f aca="false">IF(ISNUMBER(SEARCH("%", A668)),RIGHT(A668,3),A668)</f>
        <v>45, 50, DRAGONITE</v>
      </c>
      <c r="C668" s="2" t="s">
        <v>3014</v>
      </c>
    </row>
    <row r="669" customFormat="false" ht="12.75" hidden="false" customHeight="true" outlineLevel="0" collapsed="false">
      <c r="A669" s="3" t="s">
        <v>3015</v>
      </c>
      <c r="B669" s="3" t="str">
        <f aca="false">IF(ISNUMBER(SEARCH("%", A669)),RIGHT(A669,3),A669)</f>
        <v>45, 50, LICKILICKY , &lt;null&gt;, &lt;null&gt;, &lt;null&gt;</v>
      </c>
      <c r="C669" s="2" t="s">
        <v>3015</v>
      </c>
    </row>
    <row r="670" customFormat="false" ht="12.75" hidden="false" customHeight="true" outlineLevel="0" collapsed="false">
      <c r="A670" s="3"/>
      <c r="B670" s="3" t="n">
        <f aca="false">IF(ISNUMBER(SEARCH("%", A670)),RIGHT(A670,3),A670)</f>
        <v>0</v>
      </c>
      <c r="C670" s="2"/>
    </row>
    <row r="671" customFormat="false" ht="12.75" hidden="false" customHeight="true" outlineLevel="0" collapsed="false">
      <c r="A671" s="3" t="s">
        <v>2536</v>
      </c>
      <c r="B671" s="3" t="str">
        <f aca="false">IF(ISNUMBER(SEARCH("%", A671)),RIGHT(A671,3),A671)</f>
        <v>NEW ROUTE</v>
      </c>
      <c r="C671" s="2" t="s">
        <v>2536</v>
      </c>
    </row>
    <row r="672" customFormat="false" ht="12.75" hidden="false" customHeight="true" outlineLevel="0" collapsed="false">
      <c r="A672" s="3" t="s">
        <v>3016</v>
      </c>
      <c r="B672" s="3" t="str">
        <f aca="false">IF(ISNUMBER(SEARCH("%", A672)),RIGHT(A672,3),A672)</f>
        <v>1, 84, 0,</v>
      </c>
      <c r="C672" s="2" t="s">
        <v>3016</v>
      </c>
    </row>
    <row r="673" customFormat="false" ht="12.75" hidden="false" customHeight="true" outlineLevel="0" collapsed="false">
      <c r="A673" s="3" t="s">
        <v>2816</v>
      </c>
      <c r="B673" s="3" t="str">
        <f aca="false">IF(ISNUMBER(SEARCH("%", A673)),RIGHT(A673,3),A673)</f>
        <v>20%</v>
      </c>
      <c r="C673" s="2" t="s">
        <v>2799</v>
      </c>
    </row>
    <row r="674" customFormat="false" ht="12.75" hidden="false" customHeight="true" outlineLevel="0" collapsed="false">
      <c r="A674" s="3" t="s">
        <v>1430</v>
      </c>
      <c r="B674" s="3" t="str">
        <f aca="false">IF(ISNUMBER(SEARCH("%", A674)),RIGHT(A674,3),A674)</f>
        <v>40, 44, GOLBAT</v>
      </c>
      <c r="C674" s="2" t="s">
        <v>1430</v>
      </c>
    </row>
    <row r="675" customFormat="false" ht="12.75" hidden="false" customHeight="true" outlineLevel="0" collapsed="false">
      <c r="A675" s="3" t="s">
        <v>3005</v>
      </c>
      <c r="B675" s="3" t="str">
        <f aca="false">IF(ISNUMBER(SEARCH("%", A675)),RIGHT(A675,3),A675)</f>
        <v>40, 44, GOLDUCK</v>
      </c>
      <c r="C675" s="2" t="s">
        <v>3005</v>
      </c>
    </row>
    <row r="676" customFormat="false" ht="12.75" hidden="false" customHeight="true" outlineLevel="0" collapsed="false">
      <c r="A676" s="3"/>
      <c r="B676" s="3" t="n">
        <f aca="false">IF(ISNUMBER(SEARCH("%", A676)),RIGHT(A676,3),A676)</f>
        <v>0</v>
      </c>
      <c r="C676" s="2"/>
    </row>
    <row r="677" customFormat="false" ht="12.75" hidden="false" customHeight="true" outlineLevel="0" collapsed="false">
      <c r="A677" s="3" t="s">
        <v>2801</v>
      </c>
      <c r="B677" s="3" t="str">
        <f aca="false">IF(ISNUMBER(SEARCH("%", A677)),RIGHT(A677,3),A677)</f>
        <v>0.1</v>
      </c>
      <c r="C677" s="2" t="s">
        <v>2801</v>
      </c>
    </row>
    <row r="678" customFormat="false" ht="12.75" hidden="false" customHeight="true" outlineLevel="0" collapsed="false">
      <c r="A678" s="3" t="s">
        <v>3006</v>
      </c>
      <c r="B678" s="3" t="str">
        <f aca="false">IF(ISNUMBER(SEARCH("%", A678)),RIGHT(A678,3),A678)</f>
        <v>40, 44, SLOWBRO</v>
      </c>
      <c r="C678" s="2" t="s">
        <v>3006</v>
      </c>
    </row>
    <row r="679" customFormat="false" ht="12.75" hidden="false" customHeight="true" outlineLevel="0" collapsed="false">
      <c r="A679" s="3" t="s">
        <v>3007</v>
      </c>
      <c r="B679" s="3" t="str">
        <f aca="false">IF(ISNUMBER(SEARCH("%", A679)),RIGHT(A679,3),A679)</f>
        <v>40, 44, CROBAT</v>
      </c>
      <c r="C679" s="2" t="s">
        <v>3007</v>
      </c>
    </row>
    <row r="680" customFormat="false" ht="12.75" hidden="false" customHeight="true" outlineLevel="0" collapsed="false">
      <c r="A680" s="3" t="s">
        <v>3008</v>
      </c>
      <c r="B680" s="3" t="str">
        <f aca="false">IF(ISNUMBER(SEARCH("%", A680)),RIGHT(A680,3),A680)</f>
        <v>40, 44, DEWGONG</v>
      </c>
      <c r="C680" s="2" t="s">
        <v>3008</v>
      </c>
    </row>
    <row r="681" customFormat="false" ht="12.75" hidden="false" customHeight="true" outlineLevel="0" collapsed="false">
      <c r="A681" s="3" t="s">
        <v>3009</v>
      </c>
      <c r="B681" s="3" t="str">
        <f aca="false">IF(ISNUMBER(SEARCH("%", A681)),RIGHT(A681,3),A681)</f>
        <v>40, 44, LICKILICKY</v>
      </c>
      <c r="C681" s="2" t="s">
        <v>3009</v>
      </c>
    </row>
    <row r="682" customFormat="false" ht="12.75" hidden="false" customHeight="true" outlineLevel="0" collapsed="false">
      <c r="A682" s="3"/>
      <c r="B682" s="3" t="n">
        <f aca="false">IF(ISNUMBER(SEARCH("%", A682)),RIGHT(A682,3),A682)</f>
        <v>0</v>
      </c>
      <c r="C682" s="2"/>
    </row>
    <row r="683" customFormat="false" ht="12.75" hidden="false" customHeight="true" outlineLevel="0" collapsed="false">
      <c r="A683" s="3" t="s">
        <v>2806</v>
      </c>
      <c r="B683" s="3" t="str">
        <f aca="false">IF(ISNUMBER(SEARCH("%", A683)),RIGHT(A683,3),A683)</f>
        <v>0.05</v>
      </c>
      <c r="C683" s="2" t="s">
        <v>2806</v>
      </c>
    </row>
    <row r="684" customFormat="false" ht="12.75" hidden="false" customHeight="true" outlineLevel="0" collapsed="false">
      <c r="A684" s="3" t="s">
        <v>3010</v>
      </c>
      <c r="B684" s="3" t="str">
        <f aca="false">IF(ISNUMBER(SEARCH("%", A684)),RIGHT(A684,3),A684)</f>
        <v>42, 46, POLABAT</v>
      </c>
      <c r="C684" s="2" t="s">
        <v>3010</v>
      </c>
    </row>
    <row r="685" customFormat="false" ht="12.75" hidden="false" customHeight="true" outlineLevel="0" collapsed="false">
      <c r="A685" s="3" t="s">
        <v>3011</v>
      </c>
      <c r="B685" s="3" t="str">
        <f aca="false">IF(ISNUMBER(SEARCH("%", A685)),RIGHT(A685,3),A685)</f>
        <v>42, 46, GILDUCK</v>
      </c>
      <c r="C685" s="2" t="s">
        <v>3011</v>
      </c>
    </row>
    <row r="686" customFormat="false" ht="12.75" hidden="false" customHeight="true" outlineLevel="0" collapsed="false">
      <c r="A686" s="3"/>
      <c r="B686" s="3" t="n">
        <f aca="false">IF(ISNUMBER(SEARCH("%", A686)),RIGHT(A686,3),A686)</f>
        <v>0</v>
      </c>
      <c r="C686" s="2"/>
    </row>
    <row r="687" customFormat="false" ht="12.75" hidden="false" customHeight="true" outlineLevel="0" collapsed="false">
      <c r="A687" s="3" t="s">
        <v>2809</v>
      </c>
      <c r="B687" s="3" t="str">
        <f aca="false">IF(ISNUMBER(SEARCH("%", A687)),RIGHT(A687,3),A687)</f>
        <v>0.04</v>
      </c>
      <c r="C687" s="2" t="s">
        <v>2809</v>
      </c>
    </row>
    <row r="688" customFormat="false" ht="12.75" hidden="false" customHeight="true" outlineLevel="0" collapsed="false">
      <c r="A688" s="3" t="s">
        <v>3012</v>
      </c>
      <c r="B688" s="3" t="str">
        <f aca="false">IF(ISNUMBER(SEARCH("%", A688)),RIGHT(A688,3),A688)</f>
        <v>44, 47, SLOWMATE</v>
      </c>
      <c r="C688" s="2" t="s">
        <v>3012</v>
      </c>
    </row>
    <row r="689" customFormat="false" ht="12.75" hidden="false" customHeight="true" outlineLevel="0" collapsed="false">
      <c r="A689" s="3" t="s">
        <v>3013</v>
      </c>
      <c r="B689" s="3" t="str">
        <f aca="false">IF(ISNUMBER(SEARCH("%", A689)),RIGHT(A689,3),A689)</f>
        <v>44, 47, PRECIPED</v>
      </c>
      <c r="C689" s="2" t="s">
        <v>3013</v>
      </c>
    </row>
    <row r="690" customFormat="false" ht="12.75" hidden="false" customHeight="true" outlineLevel="0" collapsed="false">
      <c r="A690" s="3"/>
      <c r="B690" s="3" t="n">
        <f aca="false">IF(ISNUMBER(SEARCH("%", A690)),RIGHT(A690,3),A690)</f>
        <v>0</v>
      </c>
      <c r="C690" s="2"/>
    </row>
    <row r="691" customFormat="false" ht="12.75" hidden="false" customHeight="true" outlineLevel="0" collapsed="false">
      <c r="A691" s="3" t="s">
        <v>2812</v>
      </c>
      <c r="B691" s="3" t="str">
        <f aca="false">IF(ISNUMBER(SEARCH("%", A691)),RIGHT(A691,3),A691)</f>
        <v>0.01</v>
      </c>
      <c r="C691" s="2" t="s">
        <v>2812</v>
      </c>
    </row>
    <row r="692" customFormat="false" ht="12.75" hidden="false" customHeight="true" outlineLevel="0" collapsed="false">
      <c r="A692" s="3" t="s">
        <v>3014</v>
      </c>
      <c r="B692" s="3" t="str">
        <f aca="false">IF(ISNUMBER(SEARCH("%", A692)),RIGHT(A692,3),A692)</f>
        <v>45, 50, DRAGONITE</v>
      </c>
      <c r="C692" s="2" t="s">
        <v>3014</v>
      </c>
    </row>
    <row r="693" customFormat="false" ht="12.75" hidden="false" customHeight="true" outlineLevel="0" collapsed="false">
      <c r="A693" s="3" t="s">
        <v>3017</v>
      </c>
      <c r="B693" s="3" t="str">
        <f aca="false">IF(ISNUMBER(SEARCH("%", A693)),RIGHT(A693,3),A693)</f>
        <v>45, 50, LICKILOLLY , &lt;null&gt;, &lt;null&gt;, &lt;null&gt;</v>
      </c>
      <c r="C693" s="2" t="s">
        <v>3017</v>
      </c>
    </row>
    <row r="694" customFormat="false" ht="12.75" hidden="false" customHeight="true" outlineLevel="0" collapsed="false">
      <c r="A694" s="3"/>
      <c r="B694" s="3" t="n">
        <f aca="false">IF(ISNUMBER(SEARCH("%", A694)),RIGHT(A694,3),A694)</f>
        <v>0</v>
      </c>
      <c r="C694" s="2"/>
    </row>
    <row r="695" customFormat="false" ht="12.75" hidden="false" customHeight="true" outlineLevel="0" collapsed="false">
      <c r="A695" s="3" t="s">
        <v>2536</v>
      </c>
      <c r="B695" s="3" t="str">
        <f aca="false">IF(ISNUMBER(SEARCH("%", A695)),RIGHT(A695,3),A695)</f>
        <v>NEW ROUTE</v>
      </c>
      <c r="C695" s="2" t="s">
        <v>2536</v>
      </c>
    </row>
    <row r="696" customFormat="false" ht="12.75" hidden="false" customHeight="true" outlineLevel="0" collapsed="false">
      <c r="A696" s="3" t="s">
        <v>3018</v>
      </c>
      <c r="B696" s="3" t="str">
        <f aca="false">IF(ISNUMBER(SEARCH("%", A696)),RIGHT(A696,3),A696)</f>
        <v>1, 85, 0,</v>
      </c>
      <c r="C696" s="2" t="s">
        <v>3018</v>
      </c>
    </row>
    <row r="697" customFormat="false" ht="12.75" hidden="false" customHeight="true" outlineLevel="0" collapsed="false">
      <c r="A697" s="3" t="s">
        <v>2816</v>
      </c>
      <c r="B697" s="3" t="str">
        <f aca="false">IF(ISNUMBER(SEARCH("%", A697)),RIGHT(A697,3),A697)</f>
        <v>20%</v>
      </c>
      <c r="C697" s="2" t="s">
        <v>2799</v>
      </c>
    </row>
    <row r="698" customFormat="false" ht="12.75" hidden="false" customHeight="true" outlineLevel="0" collapsed="false">
      <c r="A698" s="3" t="s">
        <v>1430</v>
      </c>
      <c r="B698" s="3" t="str">
        <f aca="false">IF(ISNUMBER(SEARCH("%", A698)),RIGHT(A698,3),A698)</f>
        <v>40, 44, GOLBAT</v>
      </c>
      <c r="C698" s="2" t="s">
        <v>1430</v>
      </c>
    </row>
    <row r="699" customFormat="false" ht="12.75" hidden="false" customHeight="true" outlineLevel="0" collapsed="false">
      <c r="A699" s="3" t="s">
        <v>3005</v>
      </c>
      <c r="B699" s="3" t="str">
        <f aca="false">IF(ISNUMBER(SEARCH("%", A699)),RIGHT(A699,3),A699)</f>
        <v>40, 44, GOLDUCK</v>
      </c>
      <c r="C699" s="2" t="s">
        <v>3005</v>
      </c>
    </row>
    <row r="700" customFormat="false" ht="12.75" hidden="false" customHeight="true" outlineLevel="0" collapsed="false">
      <c r="A700" s="3"/>
      <c r="B700" s="3" t="n">
        <f aca="false">IF(ISNUMBER(SEARCH("%", A700)),RIGHT(A700,3),A700)</f>
        <v>0</v>
      </c>
      <c r="C700" s="2"/>
    </row>
    <row r="701" customFormat="false" ht="12.75" hidden="false" customHeight="true" outlineLevel="0" collapsed="false">
      <c r="A701" s="3" t="s">
        <v>2801</v>
      </c>
      <c r="B701" s="3" t="str">
        <f aca="false">IF(ISNUMBER(SEARCH("%", A701)),RIGHT(A701,3),A701)</f>
        <v>0.1</v>
      </c>
      <c r="C701" s="2" t="s">
        <v>2801</v>
      </c>
    </row>
    <row r="702" customFormat="false" ht="12.75" hidden="false" customHeight="true" outlineLevel="0" collapsed="false">
      <c r="A702" s="3" t="s">
        <v>3006</v>
      </c>
      <c r="B702" s="3" t="str">
        <f aca="false">IF(ISNUMBER(SEARCH("%", A702)),RIGHT(A702,3),A702)</f>
        <v>40, 44, SLOWBRO</v>
      </c>
      <c r="C702" s="2" t="s">
        <v>3006</v>
      </c>
    </row>
    <row r="703" customFormat="false" ht="12.75" hidden="false" customHeight="true" outlineLevel="0" collapsed="false">
      <c r="A703" s="3" t="s">
        <v>3007</v>
      </c>
      <c r="B703" s="3" t="str">
        <f aca="false">IF(ISNUMBER(SEARCH("%", A703)),RIGHT(A703,3),A703)</f>
        <v>40, 44, CROBAT</v>
      </c>
      <c r="C703" s="2" t="s">
        <v>3007</v>
      </c>
    </row>
    <row r="704" customFormat="false" ht="12.75" hidden="false" customHeight="true" outlineLevel="0" collapsed="false">
      <c r="A704" s="3" t="s">
        <v>3008</v>
      </c>
      <c r="B704" s="3" t="str">
        <f aca="false">IF(ISNUMBER(SEARCH("%", A704)),RIGHT(A704,3),A704)</f>
        <v>40, 44, DEWGONG</v>
      </c>
      <c r="C704" s="2" t="s">
        <v>3008</v>
      </c>
    </row>
    <row r="705" customFormat="false" ht="12.75" hidden="false" customHeight="true" outlineLevel="0" collapsed="false">
      <c r="A705" s="3" t="s">
        <v>3009</v>
      </c>
      <c r="B705" s="3" t="str">
        <f aca="false">IF(ISNUMBER(SEARCH("%", A705)),RIGHT(A705,3),A705)</f>
        <v>40, 44, LICKILICKY</v>
      </c>
      <c r="C705" s="2" t="s">
        <v>3009</v>
      </c>
    </row>
    <row r="706" customFormat="false" ht="12.75" hidden="false" customHeight="true" outlineLevel="0" collapsed="false">
      <c r="A706" s="3"/>
      <c r="B706" s="3" t="n">
        <f aca="false">IF(ISNUMBER(SEARCH("%", A706)),RIGHT(A706,3),A706)</f>
        <v>0</v>
      </c>
      <c r="C706" s="2"/>
    </row>
    <row r="707" customFormat="false" ht="12.75" hidden="false" customHeight="true" outlineLevel="0" collapsed="false">
      <c r="A707" s="3" t="s">
        <v>2806</v>
      </c>
      <c r="B707" s="3" t="str">
        <f aca="false">IF(ISNUMBER(SEARCH("%", A707)),RIGHT(A707,3),A707)</f>
        <v>0.05</v>
      </c>
      <c r="C707" s="2" t="s">
        <v>2806</v>
      </c>
    </row>
    <row r="708" customFormat="false" ht="12.75" hidden="false" customHeight="true" outlineLevel="0" collapsed="false">
      <c r="A708" s="3" t="s">
        <v>3010</v>
      </c>
      <c r="B708" s="3" t="str">
        <f aca="false">IF(ISNUMBER(SEARCH("%", A708)),RIGHT(A708,3),A708)</f>
        <v>42, 46, POLABAT</v>
      </c>
      <c r="C708" s="2" t="s">
        <v>3010</v>
      </c>
    </row>
    <row r="709" customFormat="false" ht="12.75" hidden="false" customHeight="true" outlineLevel="0" collapsed="false">
      <c r="A709" s="3" t="s">
        <v>3011</v>
      </c>
      <c r="B709" s="3" t="str">
        <f aca="false">IF(ISNUMBER(SEARCH("%", A709)),RIGHT(A709,3),A709)</f>
        <v>42, 46, GILDUCK</v>
      </c>
      <c r="C709" s="2" t="s">
        <v>3011</v>
      </c>
    </row>
    <row r="710" customFormat="false" ht="12.75" hidden="false" customHeight="true" outlineLevel="0" collapsed="false">
      <c r="A710" s="3"/>
      <c r="B710" s="3" t="n">
        <f aca="false">IF(ISNUMBER(SEARCH("%", A710)),RIGHT(A710,3),A710)</f>
        <v>0</v>
      </c>
      <c r="C710" s="2"/>
    </row>
    <row r="711" customFormat="false" ht="12.75" hidden="false" customHeight="true" outlineLevel="0" collapsed="false">
      <c r="A711" s="3" t="s">
        <v>2809</v>
      </c>
      <c r="B711" s="3" t="str">
        <f aca="false">IF(ISNUMBER(SEARCH("%", A711)),RIGHT(A711,3),A711)</f>
        <v>0.04</v>
      </c>
      <c r="C711" s="2" t="s">
        <v>2809</v>
      </c>
    </row>
    <row r="712" customFormat="false" ht="12.75" hidden="false" customHeight="true" outlineLevel="0" collapsed="false">
      <c r="A712" s="3" t="s">
        <v>3012</v>
      </c>
      <c r="B712" s="3" t="str">
        <f aca="false">IF(ISNUMBER(SEARCH("%", A712)),RIGHT(A712,3),A712)</f>
        <v>44, 47, SLOWMATE</v>
      </c>
      <c r="C712" s="2" t="s">
        <v>3012</v>
      </c>
    </row>
    <row r="713" customFormat="false" ht="12.75" hidden="false" customHeight="true" outlineLevel="0" collapsed="false">
      <c r="A713" s="3" t="s">
        <v>3013</v>
      </c>
      <c r="B713" s="3" t="str">
        <f aca="false">IF(ISNUMBER(SEARCH("%", A713)),RIGHT(A713,3),A713)</f>
        <v>44, 47, PRECIPED</v>
      </c>
      <c r="C713" s="2" t="s">
        <v>3013</v>
      </c>
    </row>
    <row r="714" customFormat="false" ht="12.75" hidden="false" customHeight="true" outlineLevel="0" collapsed="false">
      <c r="A714" s="3"/>
      <c r="B714" s="3" t="n">
        <f aca="false">IF(ISNUMBER(SEARCH("%", A714)),RIGHT(A714,3),A714)</f>
        <v>0</v>
      </c>
      <c r="C714" s="2"/>
    </row>
    <row r="715" customFormat="false" ht="12.75" hidden="false" customHeight="true" outlineLevel="0" collapsed="false">
      <c r="A715" s="3" t="s">
        <v>2812</v>
      </c>
      <c r="B715" s="3" t="str">
        <f aca="false">IF(ISNUMBER(SEARCH("%", A715)),RIGHT(A715,3),A715)</f>
        <v>0.01</v>
      </c>
      <c r="C715" s="2" t="s">
        <v>2812</v>
      </c>
    </row>
    <row r="716" customFormat="false" ht="12.75" hidden="false" customHeight="true" outlineLevel="0" collapsed="false">
      <c r="A716" s="3" t="s">
        <v>3014</v>
      </c>
      <c r="B716" s="3" t="str">
        <f aca="false">IF(ISNUMBER(SEARCH("%", A716)),RIGHT(A716,3),A716)</f>
        <v>45, 50, DRAGONITE</v>
      </c>
      <c r="C716" s="2" t="s">
        <v>3014</v>
      </c>
    </row>
    <row r="717" customFormat="false" ht="12.75" hidden="false" customHeight="true" outlineLevel="0" collapsed="false">
      <c r="A717" s="3" t="s">
        <v>3017</v>
      </c>
      <c r="B717" s="3" t="str">
        <f aca="false">IF(ISNUMBER(SEARCH("%", A717)),RIGHT(A717,3),A717)</f>
        <v>45, 50, LICKILOLLY , &lt;null&gt;, &lt;null&gt;, &lt;null&gt;</v>
      </c>
      <c r="C717" s="2" t="s">
        <v>3017</v>
      </c>
    </row>
    <row r="718" customFormat="false" ht="12.75" hidden="false" customHeight="true" outlineLevel="0" collapsed="false">
      <c r="A718" s="3"/>
      <c r="B718" s="3" t="n">
        <f aca="false">IF(ISNUMBER(SEARCH("%", A718)),RIGHT(A718,3),A718)</f>
        <v>0</v>
      </c>
      <c r="C718" s="2"/>
    </row>
    <row r="719" customFormat="false" ht="12.75" hidden="false" customHeight="true" outlineLevel="0" collapsed="false">
      <c r="A719" s="3" t="s">
        <v>2536</v>
      </c>
      <c r="B719" s="3" t="str">
        <f aca="false">IF(ISNUMBER(SEARCH("%", A719)),RIGHT(A719,3),A719)</f>
        <v>NEW ROUTE</v>
      </c>
      <c r="C719" s="2" t="s">
        <v>2536</v>
      </c>
    </row>
    <row r="720" customFormat="false" ht="12.75" hidden="false" customHeight="true" outlineLevel="0" collapsed="false">
      <c r="A720" s="3" t="s">
        <v>3019</v>
      </c>
      <c r="B720" s="3" t="str">
        <f aca="false">IF(ISNUMBER(SEARCH("%", A720)),RIGHT(A720,3),A720)</f>
        <v>1, 86, 0,</v>
      </c>
      <c r="C720" s="2" t="s">
        <v>3019</v>
      </c>
    </row>
    <row r="721" customFormat="false" ht="12.75" hidden="false" customHeight="true" outlineLevel="0" collapsed="false">
      <c r="A721" s="3" t="s">
        <v>2816</v>
      </c>
      <c r="B721" s="3" t="str">
        <f aca="false">IF(ISNUMBER(SEARCH("%", A721)),RIGHT(A721,3),A721)</f>
        <v>20%</v>
      </c>
      <c r="C721" s="2" t="s">
        <v>2799</v>
      </c>
    </row>
    <row r="722" customFormat="false" ht="12.75" hidden="false" customHeight="true" outlineLevel="0" collapsed="false">
      <c r="A722" s="3" t="s">
        <v>1430</v>
      </c>
      <c r="B722" s="3" t="str">
        <f aca="false">IF(ISNUMBER(SEARCH("%", A722)),RIGHT(A722,3),A722)</f>
        <v>40, 44, GOLBAT</v>
      </c>
      <c r="C722" s="2" t="s">
        <v>1430</v>
      </c>
    </row>
    <row r="723" customFormat="false" ht="12.75" hidden="false" customHeight="true" outlineLevel="0" collapsed="false">
      <c r="A723" s="3" t="s">
        <v>3005</v>
      </c>
      <c r="B723" s="3" t="str">
        <f aca="false">IF(ISNUMBER(SEARCH("%", A723)),RIGHT(A723,3),A723)</f>
        <v>40, 44, GOLDUCK</v>
      </c>
      <c r="C723" s="2" t="s">
        <v>3005</v>
      </c>
    </row>
    <row r="724" customFormat="false" ht="12.75" hidden="false" customHeight="true" outlineLevel="0" collapsed="false">
      <c r="A724" s="3"/>
      <c r="B724" s="3" t="n">
        <f aca="false">IF(ISNUMBER(SEARCH("%", A724)),RIGHT(A724,3),A724)</f>
        <v>0</v>
      </c>
      <c r="C724" s="2"/>
    </row>
    <row r="725" customFormat="false" ht="12.75" hidden="false" customHeight="true" outlineLevel="0" collapsed="false">
      <c r="A725" s="3" t="s">
        <v>2801</v>
      </c>
      <c r="B725" s="3" t="str">
        <f aca="false">IF(ISNUMBER(SEARCH("%", A725)),RIGHT(A725,3),A725)</f>
        <v>0.1</v>
      </c>
      <c r="C725" s="2" t="s">
        <v>2801</v>
      </c>
    </row>
    <row r="726" customFormat="false" ht="12.75" hidden="false" customHeight="true" outlineLevel="0" collapsed="false">
      <c r="A726" s="3" t="s">
        <v>3006</v>
      </c>
      <c r="B726" s="3" t="str">
        <f aca="false">IF(ISNUMBER(SEARCH("%", A726)),RIGHT(A726,3),A726)</f>
        <v>40, 44, SLOWBRO</v>
      </c>
      <c r="C726" s="2" t="s">
        <v>3006</v>
      </c>
    </row>
    <row r="727" customFormat="false" ht="12.75" hidden="false" customHeight="true" outlineLevel="0" collapsed="false">
      <c r="A727" s="3" t="s">
        <v>3007</v>
      </c>
      <c r="B727" s="3" t="str">
        <f aca="false">IF(ISNUMBER(SEARCH("%", A727)),RIGHT(A727,3),A727)</f>
        <v>40, 44, CROBAT</v>
      </c>
      <c r="C727" s="2" t="s">
        <v>3007</v>
      </c>
    </row>
    <row r="728" customFormat="false" ht="12.75" hidden="false" customHeight="true" outlineLevel="0" collapsed="false">
      <c r="A728" s="3" t="s">
        <v>3008</v>
      </c>
      <c r="B728" s="3" t="str">
        <f aca="false">IF(ISNUMBER(SEARCH("%", A728)),RIGHT(A728,3),A728)</f>
        <v>40, 44, DEWGONG</v>
      </c>
      <c r="C728" s="2" t="s">
        <v>3008</v>
      </c>
    </row>
    <row r="729" customFormat="false" ht="12.75" hidden="false" customHeight="true" outlineLevel="0" collapsed="false">
      <c r="A729" s="3" t="s">
        <v>3009</v>
      </c>
      <c r="B729" s="3" t="str">
        <f aca="false">IF(ISNUMBER(SEARCH("%", A729)),RIGHT(A729,3),A729)</f>
        <v>40, 44, LICKILICKY</v>
      </c>
      <c r="C729" s="2" t="s">
        <v>3009</v>
      </c>
    </row>
    <row r="730" customFormat="false" ht="12.75" hidden="false" customHeight="true" outlineLevel="0" collapsed="false">
      <c r="A730" s="3"/>
      <c r="B730" s="3" t="n">
        <f aca="false">IF(ISNUMBER(SEARCH("%", A730)),RIGHT(A730,3),A730)</f>
        <v>0</v>
      </c>
      <c r="C730" s="2"/>
    </row>
    <row r="731" customFormat="false" ht="12.75" hidden="false" customHeight="true" outlineLevel="0" collapsed="false">
      <c r="A731" s="3" t="s">
        <v>2806</v>
      </c>
      <c r="B731" s="3" t="str">
        <f aca="false">IF(ISNUMBER(SEARCH("%", A731)),RIGHT(A731,3),A731)</f>
        <v>0.05</v>
      </c>
      <c r="C731" s="2" t="s">
        <v>2806</v>
      </c>
    </row>
    <row r="732" customFormat="false" ht="12.75" hidden="false" customHeight="true" outlineLevel="0" collapsed="false">
      <c r="A732" s="3" t="s">
        <v>3010</v>
      </c>
      <c r="B732" s="3" t="str">
        <f aca="false">IF(ISNUMBER(SEARCH("%", A732)),RIGHT(A732,3),A732)</f>
        <v>42, 46, POLABAT</v>
      </c>
      <c r="C732" s="2" t="s">
        <v>3010</v>
      </c>
    </row>
    <row r="733" customFormat="false" ht="12.75" hidden="false" customHeight="true" outlineLevel="0" collapsed="false">
      <c r="A733" s="3" t="s">
        <v>3011</v>
      </c>
      <c r="B733" s="3" t="str">
        <f aca="false">IF(ISNUMBER(SEARCH("%", A733)),RIGHT(A733,3),A733)</f>
        <v>42, 46, GILDUCK</v>
      </c>
      <c r="C733" s="2" t="s">
        <v>3011</v>
      </c>
    </row>
    <row r="734" customFormat="false" ht="12.75" hidden="false" customHeight="true" outlineLevel="0" collapsed="false">
      <c r="A734" s="3"/>
      <c r="B734" s="3" t="n">
        <f aca="false">IF(ISNUMBER(SEARCH("%", A734)),RIGHT(A734,3),A734)</f>
        <v>0</v>
      </c>
      <c r="C734" s="2"/>
    </row>
    <row r="735" customFormat="false" ht="12.75" hidden="false" customHeight="true" outlineLevel="0" collapsed="false">
      <c r="A735" s="3" t="s">
        <v>2809</v>
      </c>
      <c r="B735" s="3" t="str">
        <f aca="false">IF(ISNUMBER(SEARCH("%", A735)),RIGHT(A735,3),A735)</f>
        <v>0.04</v>
      </c>
      <c r="C735" s="2" t="s">
        <v>2809</v>
      </c>
    </row>
    <row r="736" customFormat="false" ht="12.75" hidden="false" customHeight="true" outlineLevel="0" collapsed="false">
      <c r="A736" s="3" t="s">
        <v>3012</v>
      </c>
      <c r="B736" s="3" t="str">
        <f aca="false">IF(ISNUMBER(SEARCH("%", A736)),RIGHT(A736,3),A736)</f>
        <v>44, 47, SLOWMATE</v>
      </c>
      <c r="C736" s="2" t="s">
        <v>3012</v>
      </c>
    </row>
    <row r="737" customFormat="false" ht="12.75" hidden="false" customHeight="true" outlineLevel="0" collapsed="false">
      <c r="A737" s="3" t="s">
        <v>3013</v>
      </c>
      <c r="B737" s="3" t="str">
        <f aca="false">IF(ISNUMBER(SEARCH("%", A737)),RIGHT(A737,3),A737)</f>
        <v>44, 47, PRECIPED</v>
      </c>
      <c r="C737" s="2" t="s">
        <v>3013</v>
      </c>
    </row>
    <row r="738" customFormat="false" ht="12.75" hidden="false" customHeight="true" outlineLevel="0" collapsed="false">
      <c r="A738" s="3"/>
      <c r="B738" s="3" t="n">
        <f aca="false">IF(ISNUMBER(SEARCH("%", A738)),RIGHT(A738,3),A738)</f>
        <v>0</v>
      </c>
      <c r="C738" s="2"/>
    </row>
    <row r="739" customFormat="false" ht="12.75" hidden="false" customHeight="true" outlineLevel="0" collapsed="false">
      <c r="A739" s="3" t="s">
        <v>2812</v>
      </c>
      <c r="B739" s="3" t="str">
        <f aca="false">IF(ISNUMBER(SEARCH("%", A739)),RIGHT(A739,3),A739)</f>
        <v>0.01</v>
      </c>
      <c r="C739" s="2" t="s">
        <v>2812</v>
      </c>
    </row>
    <row r="740" customFormat="false" ht="12.75" hidden="false" customHeight="true" outlineLevel="0" collapsed="false">
      <c r="A740" s="3" t="s">
        <v>3014</v>
      </c>
      <c r="B740" s="3" t="str">
        <f aca="false">IF(ISNUMBER(SEARCH("%", A740)),RIGHT(A740,3),A740)</f>
        <v>45, 50, DRAGONITE</v>
      </c>
      <c r="C740" s="2" t="s">
        <v>3014</v>
      </c>
    </row>
    <row r="741" customFormat="false" ht="12.75" hidden="false" customHeight="true" outlineLevel="0" collapsed="false">
      <c r="A741" s="3" t="s">
        <v>3020</v>
      </c>
      <c r="B741" s="3" t="str">
        <f aca="false">IF(ISNUMBER(SEARCH("%", A741)),RIGHT(A741,3),A741)</f>
        <v>45, 50, LICKILOLLY</v>
      </c>
      <c r="C741" s="2" t="s">
        <v>3020</v>
      </c>
    </row>
    <row r="742" customFormat="false" ht="12.75" hidden="false" customHeight="true" outlineLevel="0" collapsed="false">
      <c r="A742" s="3" t="s">
        <v>3021</v>
      </c>
      <c r="B742" s="3" t="str">
        <f aca="false">IF(ISNUMBER(SEARCH("%", A742)),RIGHT(A742,3),A742)</f>
        <v>2, 38, 44, DEWGONG</v>
      </c>
      <c r="C742" s="2" t="s">
        <v>3021</v>
      </c>
    </row>
    <row r="743" customFormat="false" ht="12.75" hidden="false" customHeight="true" outlineLevel="0" collapsed="false">
      <c r="A743" s="3" t="s">
        <v>3022</v>
      </c>
      <c r="B743" s="3" t="str">
        <f aca="false">IF(ISNUMBER(SEARCH("%", A743)),RIGHT(A743,3),A743)</f>
        <v>40, 44, SEADRA</v>
      </c>
      <c r="C743" s="2" t="s">
        <v>3022</v>
      </c>
    </row>
    <row r="744" customFormat="false" ht="12.75" hidden="false" customHeight="true" outlineLevel="0" collapsed="false">
      <c r="A744" s="3" t="s">
        <v>3023</v>
      </c>
      <c r="B744" s="3" t="str">
        <f aca="false">IF(ISNUMBER(SEARCH("%", A744)),RIGHT(A744,3),A744)</f>
        <v>42, 46, KINGLER</v>
      </c>
      <c r="C744" s="2" t="s">
        <v>3023</v>
      </c>
    </row>
    <row r="745" customFormat="false" ht="12.75" hidden="false" customHeight="true" outlineLevel="0" collapsed="false">
      <c r="A745" s="3" t="s">
        <v>3024</v>
      </c>
      <c r="B745" s="3" t="str">
        <f aca="false">IF(ISNUMBER(SEARCH("%", A745)),RIGHT(A745,3),A745)</f>
        <v>42, 46, LAPRAS</v>
      </c>
      <c r="C745" s="2" t="s">
        <v>3024</v>
      </c>
    </row>
    <row r="746" customFormat="false" ht="12.75" hidden="false" customHeight="true" outlineLevel="0" collapsed="false">
      <c r="A746" s="3" t="s">
        <v>2922</v>
      </c>
      <c r="B746" s="3" t="str">
        <f aca="false">IF(ISNUMBER(SEARCH("%", A746)),RIGHT(A746,3),A746)</f>
        <v>42, 46, SLOWBRO</v>
      </c>
      <c r="C746" s="2" t="s">
        <v>2922</v>
      </c>
    </row>
    <row r="747" customFormat="false" ht="12.75" hidden="false" customHeight="true" outlineLevel="0" collapsed="false">
      <c r="A747" s="3" t="s">
        <v>2925</v>
      </c>
      <c r="B747" s="3" t="str">
        <f aca="false">IF(ISNUMBER(SEARCH("%", A747)),RIGHT(A747,3),A747)</f>
        <v>20, old rod:</v>
      </c>
      <c r="C747" s="2" t="s">
        <v>2925</v>
      </c>
    </row>
    <row r="748" customFormat="false" ht="12.75" hidden="false" customHeight="true" outlineLevel="0" collapsed="false">
      <c r="A748" s="3" t="s">
        <v>1451</v>
      </c>
      <c r="B748" s="3" t="str">
        <f aca="false">IF(ISNUMBER(SEARCH("%", A748)),RIGHT(A748,3),A748)</f>
        <v>19, 26, HORSEA</v>
      </c>
      <c r="C748" s="2" t="s">
        <v>1451</v>
      </c>
    </row>
    <row r="749" customFormat="false" ht="12.75" hidden="false" customHeight="true" outlineLevel="0" collapsed="false">
      <c r="A749" s="3" t="s">
        <v>3025</v>
      </c>
      <c r="B749" s="3" t="str">
        <f aca="false">IF(ISNUMBER(SEARCH("%", A749)),RIGHT(A749,3),A749)</f>
        <v>19, 26, SHELLDER</v>
      </c>
      <c r="C749" s="2" t="s">
        <v>3025</v>
      </c>
    </row>
    <row r="750" customFormat="false" ht="12.75" hidden="false" customHeight="true" outlineLevel="0" collapsed="false">
      <c r="A750" s="3"/>
      <c r="B750" s="3" t="n">
        <f aca="false">IF(ISNUMBER(SEARCH("%", A750)),RIGHT(A750,3),A750)</f>
        <v>0</v>
      </c>
      <c r="C750" s="2"/>
    </row>
    <row r="751" customFormat="false" ht="12.75" hidden="false" customHeight="true" outlineLevel="0" collapsed="false">
      <c r="A751" s="3" t="s">
        <v>2846</v>
      </c>
      <c r="B751" s="3" t="str">
        <f aca="false">IF(ISNUMBER(SEARCH("%", A751)),RIGHT(A751,3),A751)</f>
        <v>good rod:</v>
      </c>
      <c r="C751" s="2" t="s">
        <v>2846</v>
      </c>
    </row>
    <row r="752" customFormat="false" ht="12.75" hidden="false" customHeight="true" outlineLevel="0" collapsed="false">
      <c r="A752" s="3" t="s">
        <v>3026</v>
      </c>
      <c r="B752" s="3" t="str">
        <f aca="false">IF(ISNUMBER(SEARCH("%", A752)),RIGHT(A752,3),A752)</f>
        <v>29, 33, SEADRA</v>
      </c>
      <c r="C752" s="2" t="s">
        <v>3026</v>
      </c>
    </row>
    <row r="753" customFormat="false" ht="12.75" hidden="false" customHeight="true" outlineLevel="0" collapsed="false">
      <c r="A753" s="3" t="s">
        <v>3027</v>
      </c>
      <c r="B753" s="3" t="str">
        <f aca="false">IF(ISNUMBER(SEARCH("%", A753)),RIGHT(A753,3),A753)</f>
        <v>30, 35, KRABBY</v>
      </c>
      <c r="C753" s="2" t="s">
        <v>3027</v>
      </c>
    </row>
    <row r="754" customFormat="false" ht="12.75" hidden="false" customHeight="true" outlineLevel="0" collapsed="false">
      <c r="A754" s="3" t="s">
        <v>3028</v>
      </c>
      <c r="B754" s="3" t="str">
        <f aca="false">IF(ISNUMBER(SEARCH("%", A754)),RIGHT(A754,3),A754)</f>
        <v>30, 35, GOLDUCK</v>
      </c>
      <c r="C754" s="2" t="s">
        <v>3028</v>
      </c>
    </row>
    <row r="755" customFormat="false" ht="12.75" hidden="false" customHeight="true" outlineLevel="0" collapsed="false">
      <c r="A755" s="3"/>
      <c r="B755" s="3" t="n">
        <f aca="false">IF(ISNUMBER(SEARCH("%", A755)),RIGHT(A755,3),A755)</f>
        <v>0</v>
      </c>
      <c r="C755" s="2"/>
    </row>
    <row r="756" customFormat="false" ht="12.75" hidden="false" customHeight="true" outlineLevel="0" collapsed="false">
      <c r="A756" s="3" t="s">
        <v>2850</v>
      </c>
      <c r="B756" s="3" t="str">
        <f aca="false">IF(ISNUMBER(SEARCH("%", A756)),RIGHT(A756,3),A756)</f>
        <v>super rod:</v>
      </c>
      <c r="C756" s="2" t="s">
        <v>2850</v>
      </c>
    </row>
    <row r="757" customFormat="false" ht="12.75" hidden="false" customHeight="true" outlineLevel="0" collapsed="false">
      <c r="A757" s="3" t="s">
        <v>3029</v>
      </c>
      <c r="B757" s="3" t="str">
        <f aca="false">IF(ISNUMBER(SEARCH("%", A757)),RIGHT(A757,3),A757)</f>
        <v>36, 40, KINGDRA</v>
      </c>
      <c r="C757" s="2" t="s">
        <v>3029</v>
      </c>
    </row>
    <row r="758" customFormat="false" ht="12.75" hidden="false" customHeight="true" outlineLevel="0" collapsed="false">
      <c r="A758" s="3" t="s">
        <v>3030</v>
      </c>
      <c r="B758" s="3" t="str">
        <f aca="false">IF(ISNUMBER(SEARCH("%", A758)),RIGHT(A758,3),A758)</f>
        <v>36, 40, CLOYSTER</v>
      </c>
      <c r="C758" s="2" t="s">
        <v>3030</v>
      </c>
    </row>
    <row r="759" customFormat="false" ht="12.75" hidden="false" customHeight="true" outlineLevel="0" collapsed="false">
      <c r="A759" s="3" t="s">
        <v>3031</v>
      </c>
      <c r="B759" s="3" t="str">
        <f aca="false">IF(ISNUMBER(SEARCH("%", A759)),RIGHT(A759,3),A759)</f>
        <v>38, 42, GILDUCK</v>
      </c>
      <c r="C759" s="2" t="s">
        <v>3031</v>
      </c>
    </row>
    <row r="760" customFormat="false" ht="12.75" hidden="false" customHeight="true" outlineLevel="0" collapsed="false">
      <c r="A760" s="3" t="s">
        <v>3032</v>
      </c>
      <c r="B760" s="3" t="str">
        <f aca="false">IF(ISNUMBER(SEARCH("%", A760)),RIGHT(A760,3),A760)</f>
        <v>38, 42, KRAKLAW</v>
      </c>
      <c r="C760" s="2" t="s">
        <v>3032</v>
      </c>
    </row>
    <row r="761" customFormat="false" ht="12.75" hidden="false" customHeight="true" outlineLevel="0" collapsed="false">
      <c r="A761" s="3" t="s">
        <v>3033</v>
      </c>
      <c r="B761" s="3" t="str">
        <f aca="false">IF(ISNUMBER(SEARCH("%", A761)),RIGHT(A761,3),A761)</f>
        <v>40, 44, LORDRA</v>
      </c>
      <c r="C761" s="2" t="s">
        <v>3033</v>
      </c>
    </row>
    <row r="762" customFormat="false" ht="12.75" hidden="false" customHeight="true" outlineLevel="0" collapsed="false">
      <c r="A762" s="3" t="s">
        <v>2536</v>
      </c>
      <c r="B762" s="3" t="str">
        <f aca="false">IF(ISNUMBER(SEARCH("%", A762)),RIGHT(A762,3),A762)</f>
        <v>NEW ROUTE</v>
      </c>
      <c r="C762" s="2" t="s">
        <v>2536</v>
      </c>
    </row>
    <row r="763" customFormat="false" ht="12.75" hidden="false" customHeight="true" outlineLevel="0" collapsed="false">
      <c r="A763" s="3" t="s">
        <v>3034</v>
      </c>
      <c r="B763" s="3" t="str">
        <f aca="false">IF(ISNUMBER(SEARCH("%", A763)),RIGHT(A763,3),A763)</f>
        <v>1, 87, 0,</v>
      </c>
      <c r="C763" s="2" t="s">
        <v>3034</v>
      </c>
    </row>
    <row r="764" customFormat="false" ht="12.75" hidden="false" customHeight="true" outlineLevel="0" collapsed="false">
      <c r="A764" s="3" t="s">
        <v>2816</v>
      </c>
      <c r="B764" s="3" t="str">
        <f aca="false">IF(ISNUMBER(SEARCH("%", A764)),RIGHT(A764,3),A764)</f>
        <v>20%</v>
      </c>
      <c r="C764" s="2" t="s">
        <v>2799</v>
      </c>
    </row>
    <row r="765" customFormat="false" ht="12.75" hidden="false" customHeight="true" outlineLevel="0" collapsed="false">
      <c r="A765" s="3" t="s">
        <v>1430</v>
      </c>
      <c r="B765" s="3" t="str">
        <f aca="false">IF(ISNUMBER(SEARCH("%", A765)),RIGHT(A765,3),A765)</f>
        <v>40, 44, GOLBAT</v>
      </c>
      <c r="C765" s="2" t="s">
        <v>1430</v>
      </c>
    </row>
    <row r="766" customFormat="false" ht="12.75" hidden="false" customHeight="true" outlineLevel="0" collapsed="false">
      <c r="A766" s="3" t="s">
        <v>3005</v>
      </c>
      <c r="B766" s="3" t="str">
        <f aca="false">IF(ISNUMBER(SEARCH("%", A766)),RIGHT(A766,3),A766)</f>
        <v>40, 44, GOLDUCK</v>
      </c>
      <c r="C766" s="2" t="s">
        <v>3005</v>
      </c>
    </row>
    <row r="767" customFormat="false" ht="12.75" hidden="false" customHeight="true" outlineLevel="0" collapsed="false">
      <c r="A767" s="3"/>
      <c r="B767" s="3" t="n">
        <f aca="false">IF(ISNUMBER(SEARCH("%", A767)),RIGHT(A767,3),A767)</f>
        <v>0</v>
      </c>
      <c r="C767" s="2"/>
    </row>
    <row r="768" customFormat="false" ht="12.75" hidden="false" customHeight="true" outlineLevel="0" collapsed="false">
      <c r="A768" s="3" t="s">
        <v>2801</v>
      </c>
      <c r="B768" s="3" t="str">
        <f aca="false">IF(ISNUMBER(SEARCH("%", A768)),RIGHT(A768,3),A768)</f>
        <v>0.1</v>
      </c>
      <c r="C768" s="2" t="s">
        <v>2801</v>
      </c>
    </row>
    <row r="769" customFormat="false" ht="12.75" hidden="false" customHeight="true" outlineLevel="0" collapsed="false">
      <c r="A769" s="3" t="s">
        <v>3006</v>
      </c>
      <c r="B769" s="3" t="str">
        <f aca="false">IF(ISNUMBER(SEARCH("%", A769)),RIGHT(A769,3),A769)</f>
        <v>40, 44, SLOWBRO</v>
      </c>
      <c r="C769" s="2" t="s">
        <v>3006</v>
      </c>
    </row>
    <row r="770" customFormat="false" ht="12.75" hidden="false" customHeight="true" outlineLevel="0" collapsed="false">
      <c r="A770" s="3" t="s">
        <v>3007</v>
      </c>
      <c r="B770" s="3" t="str">
        <f aca="false">IF(ISNUMBER(SEARCH("%", A770)),RIGHT(A770,3),A770)</f>
        <v>40, 44, CROBAT</v>
      </c>
      <c r="C770" s="2" t="s">
        <v>3007</v>
      </c>
    </row>
    <row r="771" customFormat="false" ht="12.75" hidden="false" customHeight="true" outlineLevel="0" collapsed="false">
      <c r="A771" s="3" t="s">
        <v>3008</v>
      </c>
      <c r="B771" s="3" t="str">
        <f aca="false">IF(ISNUMBER(SEARCH("%", A771)),RIGHT(A771,3),A771)</f>
        <v>40, 44, DEWGONG</v>
      </c>
      <c r="C771" s="2" t="s">
        <v>3008</v>
      </c>
    </row>
    <row r="772" customFormat="false" ht="12.75" hidden="false" customHeight="true" outlineLevel="0" collapsed="false">
      <c r="A772" s="3" t="s">
        <v>3009</v>
      </c>
      <c r="B772" s="3" t="str">
        <f aca="false">IF(ISNUMBER(SEARCH("%", A772)),RIGHT(A772,3),A772)</f>
        <v>40, 44, LICKILICKY</v>
      </c>
      <c r="C772" s="2" t="s">
        <v>3009</v>
      </c>
    </row>
    <row r="773" customFormat="false" ht="12.75" hidden="false" customHeight="true" outlineLevel="0" collapsed="false">
      <c r="A773" s="3"/>
      <c r="B773" s="3" t="n">
        <f aca="false">IF(ISNUMBER(SEARCH("%", A773)),RIGHT(A773,3),A773)</f>
        <v>0</v>
      </c>
      <c r="C773" s="2"/>
    </row>
    <row r="774" customFormat="false" ht="12.75" hidden="false" customHeight="true" outlineLevel="0" collapsed="false">
      <c r="A774" s="3" t="s">
        <v>2806</v>
      </c>
      <c r="B774" s="3" t="str">
        <f aca="false">IF(ISNUMBER(SEARCH("%", A774)),RIGHT(A774,3),A774)</f>
        <v>0.05</v>
      </c>
      <c r="C774" s="2" t="s">
        <v>2806</v>
      </c>
    </row>
    <row r="775" customFormat="false" ht="12.75" hidden="false" customHeight="true" outlineLevel="0" collapsed="false">
      <c r="A775" s="3" t="s">
        <v>3010</v>
      </c>
      <c r="B775" s="3" t="str">
        <f aca="false">IF(ISNUMBER(SEARCH("%", A775)),RIGHT(A775,3),A775)</f>
        <v>42, 46, POLABAT</v>
      </c>
      <c r="C775" s="2" t="s">
        <v>3010</v>
      </c>
    </row>
    <row r="776" customFormat="false" ht="12.75" hidden="false" customHeight="true" outlineLevel="0" collapsed="false">
      <c r="A776" s="3" t="s">
        <v>3011</v>
      </c>
      <c r="B776" s="3" t="str">
        <f aca="false">IF(ISNUMBER(SEARCH("%", A776)),RIGHT(A776,3),A776)</f>
        <v>42, 46, GILDUCK</v>
      </c>
      <c r="C776" s="2" t="s">
        <v>3011</v>
      </c>
    </row>
    <row r="777" customFormat="false" ht="12.75" hidden="false" customHeight="true" outlineLevel="0" collapsed="false">
      <c r="A777" s="3"/>
      <c r="B777" s="3" t="n">
        <f aca="false">IF(ISNUMBER(SEARCH("%", A777)),RIGHT(A777,3),A777)</f>
        <v>0</v>
      </c>
      <c r="C777" s="2"/>
    </row>
    <row r="778" customFormat="false" ht="12.75" hidden="false" customHeight="true" outlineLevel="0" collapsed="false">
      <c r="A778" s="3" t="s">
        <v>2809</v>
      </c>
      <c r="B778" s="3" t="str">
        <f aca="false">IF(ISNUMBER(SEARCH("%", A778)),RIGHT(A778,3),A778)</f>
        <v>0.04</v>
      </c>
      <c r="C778" s="2" t="s">
        <v>2809</v>
      </c>
    </row>
    <row r="779" customFormat="false" ht="12.75" hidden="false" customHeight="true" outlineLevel="0" collapsed="false">
      <c r="A779" s="3" t="s">
        <v>3012</v>
      </c>
      <c r="B779" s="3" t="str">
        <f aca="false">IF(ISNUMBER(SEARCH("%", A779)),RIGHT(A779,3),A779)</f>
        <v>44, 47, SLOWMATE</v>
      </c>
      <c r="C779" s="2" t="s">
        <v>3012</v>
      </c>
    </row>
    <row r="780" customFormat="false" ht="12.75" hidden="false" customHeight="true" outlineLevel="0" collapsed="false">
      <c r="A780" s="3" t="s">
        <v>3013</v>
      </c>
      <c r="B780" s="3" t="str">
        <f aca="false">IF(ISNUMBER(SEARCH("%", A780)),RIGHT(A780,3),A780)</f>
        <v>44, 47, PRECIPED</v>
      </c>
      <c r="C780" s="2" t="s">
        <v>3013</v>
      </c>
    </row>
    <row r="781" customFormat="false" ht="12.75" hidden="false" customHeight="true" outlineLevel="0" collapsed="false">
      <c r="A781" s="3"/>
      <c r="B781" s="3" t="n">
        <f aca="false">IF(ISNUMBER(SEARCH("%", A781)),RIGHT(A781,3),A781)</f>
        <v>0</v>
      </c>
      <c r="C781" s="2"/>
    </row>
    <row r="782" customFormat="false" ht="12.75" hidden="false" customHeight="true" outlineLevel="0" collapsed="false">
      <c r="A782" s="3" t="s">
        <v>2812</v>
      </c>
      <c r="B782" s="3" t="str">
        <f aca="false">IF(ISNUMBER(SEARCH("%", A782)),RIGHT(A782,3),A782)</f>
        <v>0.01</v>
      </c>
      <c r="C782" s="2" t="s">
        <v>2812</v>
      </c>
    </row>
    <row r="783" customFormat="false" ht="12.75" hidden="false" customHeight="true" outlineLevel="0" collapsed="false">
      <c r="A783" s="3" t="s">
        <v>3014</v>
      </c>
      <c r="B783" s="3" t="str">
        <f aca="false">IF(ISNUMBER(SEARCH("%", A783)),RIGHT(A783,3),A783)</f>
        <v>45, 50, DRAGONITE</v>
      </c>
      <c r="C783" s="2" t="s">
        <v>3014</v>
      </c>
    </row>
    <row r="784" customFormat="false" ht="12.75" hidden="false" customHeight="true" outlineLevel="0" collapsed="false">
      <c r="A784" s="3" t="s">
        <v>3020</v>
      </c>
      <c r="B784" s="3" t="str">
        <f aca="false">IF(ISNUMBER(SEARCH("%", A784)),RIGHT(A784,3),A784)</f>
        <v>45, 50, LICKILOLLY</v>
      </c>
      <c r="C784" s="2" t="s">
        <v>3020</v>
      </c>
    </row>
    <row r="785" customFormat="false" ht="12.75" hidden="false" customHeight="true" outlineLevel="0" collapsed="false">
      <c r="A785" s="3" t="s">
        <v>3021</v>
      </c>
      <c r="B785" s="3" t="str">
        <f aca="false">IF(ISNUMBER(SEARCH("%", A785)),RIGHT(A785,3),A785)</f>
        <v>2, 38, 44, DEWGONG</v>
      </c>
      <c r="C785" s="2" t="s">
        <v>3021</v>
      </c>
    </row>
    <row r="786" customFormat="false" ht="12.75" hidden="false" customHeight="true" outlineLevel="0" collapsed="false">
      <c r="A786" s="3" t="s">
        <v>3022</v>
      </c>
      <c r="B786" s="3" t="str">
        <f aca="false">IF(ISNUMBER(SEARCH("%", A786)),RIGHT(A786,3),A786)</f>
        <v>40, 44, SEADRA</v>
      </c>
      <c r="C786" s="2" t="s">
        <v>3022</v>
      </c>
    </row>
    <row r="787" customFormat="false" ht="12.75" hidden="false" customHeight="true" outlineLevel="0" collapsed="false">
      <c r="A787" s="3" t="s">
        <v>3023</v>
      </c>
      <c r="B787" s="3" t="str">
        <f aca="false">IF(ISNUMBER(SEARCH("%", A787)),RIGHT(A787,3),A787)</f>
        <v>42, 46, KINGLER</v>
      </c>
      <c r="C787" s="2" t="s">
        <v>3023</v>
      </c>
    </row>
    <row r="788" customFormat="false" ht="12.75" hidden="false" customHeight="true" outlineLevel="0" collapsed="false">
      <c r="A788" s="3" t="s">
        <v>3024</v>
      </c>
      <c r="B788" s="3" t="str">
        <f aca="false">IF(ISNUMBER(SEARCH("%", A788)),RIGHT(A788,3),A788)</f>
        <v>42, 46, LAPRAS</v>
      </c>
      <c r="C788" s="2" t="s">
        <v>3024</v>
      </c>
    </row>
    <row r="789" customFormat="false" ht="12.75" hidden="false" customHeight="true" outlineLevel="0" collapsed="false">
      <c r="A789" s="3" t="s">
        <v>2922</v>
      </c>
      <c r="B789" s="3" t="str">
        <f aca="false">IF(ISNUMBER(SEARCH("%", A789)),RIGHT(A789,3),A789)</f>
        <v>42, 46, SLOWBRO</v>
      </c>
      <c r="C789" s="2" t="s">
        <v>2922</v>
      </c>
    </row>
    <row r="790" customFormat="false" ht="12.75" hidden="false" customHeight="true" outlineLevel="0" collapsed="false">
      <c r="A790" s="3" t="s">
        <v>2925</v>
      </c>
      <c r="B790" s="3" t="str">
        <f aca="false">IF(ISNUMBER(SEARCH("%", A790)),RIGHT(A790,3),A790)</f>
        <v>20, old rod:</v>
      </c>
      <c r="C790" s="2" t="s">
        <v>2925</v>
      </c>
    </row>
    <row r="791" customFormat="false" ht="12.75" hidden="false" customHeight="true" outlineLevel="0" collapsed="false">
      <c r="A791" s="3" t="s">
        <v>1451</v>
      </c>
      <c r="B791" s="3" t="str">
        <f aca="false">IF(ISNUMBER(SEARCH("%", A791)),RIGHT(A791,3),A791)</f>
        <v>19, 26, HORSEA</v>
      </c>
      <c r="C791" s="2" t="s">
        <v>1451</v>
      </c>
    </row>
    <row r="792" customFormat="false" ht="12.75" hidden="false" customHeight="true" outlineLevel="0" collapsed="false">
      <c r="A792" s="3" t="s">
        <v>3025</v>
      </c>
      <c r="B792" s="3" t="str">
        <f aca="false">IF(ISNUMBER(SEARCH("%", A792)),RIGHT(A792,3),A792)</f>
        <v>19, 26, SHELLDER</v>
      </c>
      <c r="C792" s="2" t="s">
        <v>3025</v>
      </c>
    </row>
    <row r="793" customFormat="false" ht="12.75" hidden="false" customHeight="true" outlineLevel="0" collapsed="false">
      <c r="A793" s="3"/>
      <c r="B793" s="3" t="n">
        <f aca="false">IF(ISNUMBER(SEARCH("%", A793)),RIGHT(A793,3),A793)</f>
        <v>0</v>
      </c>
      <c r="C793" s="2"/>
    </row>
    <row r="794" customFormat="false" ht="12.75" hidden="false" customHeight="true" outlineLevel="0" collapsed="false">
      <c r="A794" s="3" t="s">
        <v>2846</v>
      </c>
      <c r="B794" s="3" t="str">
        <f aca="false">IF(ISNUMBER(SEARCH("%", A794)),RIGHT(A794,3),A794)</f>
        <v>good rod:</v>
      </c>
      <c r="C794" s="2" t="s">
        <v>2846</v>
      </c>
    </row>
    <row r="795" customFormat="false" ht="12.75" hidden="false" customHeight="true" outlineLevel="0" collapsed="false">
      <c r="A795" s="3" t="s">
        <v>3026</v>
      </c>
      <c r="B795" s="3" t="str">
        <f aca="false">IF(ISNUMBER(SEARCH("%", A795)),RIGHT(A795,3),A795)</f>
        <v>29, 33, SEADRA</v>
      </c>
      <c r="C795" s="2" t="s">
        <v>3026</v>
      </c>
    </row>
    <row r="796" customFormat="false" ht="12.75" hidden="false" customHeight="true" outlineLevel="0" collapsed="false">
      <c r="A796" s="3" t="s">
        <v>3027</v>
      </c>
      <c r="B796" s="3" t="str">
        <f aca="false">IF(ISNUMBER(SEARCH("%", A796)),RIGHT(A796,3),A796)</f>
        <v>30, 35, KRABBY</v>
      </c>
      <c r="C796" s="2" t="s">
        <v>3027</v>
      </c>
    </row>
    <row r="797" customFormat="false" ht="12.75" hidden="false" customHeight="true" outlineLevel="0" collapsed="false">
      <c r="A797" s="3" t="s">
        <v>3028</v>
      </c>
      <c r="B797" s="3" t="str">
        <f aca="false">IF(ISNUMBER(SEARCH("%", A797)),RIGHT(A797,3),A797)</f>
        <v>30, 35, GOLDUCK</v>
      </c>
      <c r="C797" s="2" t="s">
        <v>3028</v>
      </c>
    </row>
    <row r="798" customFormat="false" ht="12.75" hidden="false" customHeight="true" outlineLevel="0" collapsed="false">
      <c r="A798" s="3"/>
      <c r="B798" s="3" t="n">
        <f aca="false">IF(ISNUMBER(SEARCH("%", A798)),RIGHT(A798,3),A798)</f>
        <v>0</v>
      </c>
      <c r="C798" s="2"/>
    </row>
    <row r="799" customFormat="false" ht="12.75" hidden="false" customHeight="true" outlineLevel="0" collapsed="false">
      <c r="A799" s="3" t="s">
        <v>2850</v>
      </c>
      <c r="B799" s="3" t="str">
        <f aca="false">IF(ISNUMBER(SEARCH("%", A799)),RIGHT(A799,3),A799)</f>
        <v>super rod:</v>
      </c>
      <c r="C799" s="2" t="s">
        <v>2850</v>
      </c>
    </row>
    <row r="800" customFormat="false" ht="12.75" hidden="false" customHeight="true" outlineLevel="0" collapsed="false">
      <c r="A800" s="3" t="s">
        <v>3029</v>
      </c>
      <c r="B800" s="3" t="str">
        <f aca="false">IF(ISNUMBER(SEARCH("%", A800)),RIGHT(A800,3),A800)</f>
        <v>36, 40, KINGDRA</v>
      </c>
      <c r="C800" s="2" t="s">
        <v>3029</v>
      </c>
    </row>
    <row r="801" customFormat="false" ht="12.75" hidden="false" customHeight="true" outlineLevel="0" collapsed="false">
      <c r="A801" s="3" t="s">
        <v>3030</v>
      </c>
      <c r="B801" s="3" t="str">
        <f aca="false">IF(ISNUMBER(SEARCH("%", A801)),RIGHT(A801,3),A801)</f>
        <v>36, 40, CLOYSTER</v>
      </c>
      <c r="C801" s="2" t="s">
        <v>3030</v>
      </c>
    </row>
    <row r="802" customFormat="false" ht="12.75" hidden="false" customHeight="true" outlineLevel="0" collapsed="false">
      <c r="A802" s="3" t="s">
        <v>3031</v>
      </c>
      <c r="B802" s="3" t="str">
        <f aca="false">IF(ISNUMBER(SEARCH("%", A802)),RIGHT(A802,3),A802)</f>
        <v>38, 42, GILDUCK</v>
      </c>
      <c r="C802" s="2" t="s">
        <v>3031</v>
      </c>
    </row>
    <row r="803" customFormat="false" ht="12.75" hidden="false" customHeight="true" outlineLevel="0" collapsed="false">
      <c r="A803" s="3" t="s">
        <v>3032</v>
      </c>
      <c r="B803" s="3" t="str">
        <f aca="false">IF(ISNUMBER(SEARCH("%", A803)),RIGHT(A803,3),A803)</f>
        <v>38, 42, KRAKLAW</v>
      </c>
      <c r="C803" s="2" t="s">
        <v>3032</v>
      </c>
    </row>
    <row r="804" customFormat="false" ht="12.75" hidden="false" customHeight="true" outlineLevel="0" collapsed="false">
      <c r="A804" s="3" t="s">
        <v>3033</v>
      </c>
      <c r="B804" s="3" t="str">
        <f aca="false">IF(ISNUMBER(SEARCH("%", A804)),RIGHT(A804,3),A804)</f>
        <v>40, 44, LORDRA</v>
      </c>
      <c r="C804" s="2" t="s">
        <v>3033</v>
      </c>
    </row>
    <row r="805" customFormat="false" ht="12.75" hidden="false" customHeight="true" outlineLevel="0" collapsed="false">
      <c r="A805" s="3" t="s">
        <v>2536</v>
      </c>
      <c r="B805" s="3" t="str">
        <f aca="false">IF(ISNUMBER(SEARCH("%", A805)),RIGHT(A805,3),A805)</f>
        <v>NEW ROUTE</v>
      </c>
      <c r="C805" s="2" t="s">
        <v>2536</v>
      </c>
    </row>
    <row r="806" customFormat="false" ht="12.75" hidden="false" customHeight="true" outlineLevel="0" collapsed="false">
      <c r="A806" s="3" t="s">
        <v>3035</v>
      </c>
      <c r="B806" s="3" t="str">
        <f aca="false">IF(ISNUMBER(SEARCH("%", A806)),RIGHT(A806,3),A806)</f>
        <v>1, 90, 0,</v>
      </c>
      <c r="C806" s="2" t="s">
        <v>3035</v>
      </c>
    </row>
    <row r="807" customFormat="false" ht="12.75" hidden="false" customHeight="true" outlineLevel="0" collapsed="false">
      <c r="A807" s="3" t="s">
        <v>3036</v>
      </c>
      <c r="B807" s="3" t="str">
        <f aca="false">IF(ISNUMBER(SEARCH("%", A807)),RIGHT(A807,3),A807)</f>
        <v>20%</v>
      </c>
      <c r="C807" s="2" t="s">
        <v>2799</v>
      </c>
    </row>
    <row r="808" customFormat="false" ht="12.75" hidden="false" customHeight="true" outlineLevel="0" collapsed="false">
      <c r="A808" s="3" t="s">
        <v>1463</v>
      </c>
      <c r="B808" s="3" t="str">
        <f aca="false">IF(ISNUMBER(SEARCH("%", A808)),RIGHT(A808,3),A808)</f>
        <v>28, 31, GASTLY</v>
      </c>
      <c r="C808" s="2" t="s">
        <v>1463</v>
      </c>
    </row>
    <row r="809" customFormat="false" ht="12.75" hidden="false" customHeight="true" outlineLevel="0" collapsed="false">
      <c r="A809" s="3" t="s">
        <v>3037</v>
      </c>
      <c r="B809" s="3" t="str">
        <f aca="false">IF(ISNUMBER(SEARCH("%", A809)),RIGHT(A809,3),A809)</f>
        <v>29, 32, RATTATA</v>
      </c>
      <c r="C809" s="2" t="s">
        <v>3037</v>
      </c>
    </row>
    <row r="810" customFormat="false" ht="12.75" hidden="false" customHeight="true" outlineLevel="0" collapsed="false">
      <c r="A810" s="3"/>
      <c r="B810" s="3" t="n">
        <f aca="false">IF(ISNUMBER(SEARCH("%", A810)),RIGHT(A810,3),A810)</f>
        <v>0</v>
      </c>
      <c r="C810" s="2"/>
    </row>
    <row r="811" customFormat="false" ht="12.75" hidden="false" customHeight="true" outlineLevel="0" collapsed="false">
      <c r="A811" s="3" t="s">
        <v>2801</v>
      </c>
      <c r="B811" s="3" t="str">
        <f aca="false">IF(ISNUMBER(SEARCH("%", A811)),RIGHT(A811,3),A811)</f>
        <v>0.1</v>
      </c>
      <c r="C811" s="2" t="s">
        <v>2801</v>
      </c>
    </row>
    <row r="812" customFormat="false" ht="12.75" hidden="false" customHeight="true" outlineLevel="0" collapsed="false">
      <c r="A812" s="3" t="s">
        <v>3038</v>
      </c>
      <c r="B812" s="3" t="str">
        <f aca="false">IF(ISNUMBER(SEARCH("%", A812)),RIGHT(A812,3),A812)</f>
        <v>27, 31, CUBONE</v>
      </c>
      <c r="C812" s="2" t="s">
        <v>3038</v>
      </c>
    </row>
    <row r="813" customFormat="false" ht="12.75" hidden="false" customHeight="true" outlineLevel="0" collapsed="false">
      <c r="A813" s="3" t="s">
        <v>3039</v>
      </c>
      <c r="B813" s="3" t="str">
        <f aca="false">IF(ISNUMBER(SEARCH("%", A813)),RIGHT(A813,3),A813)</f>
        <v>29, 32, HAUNTER</v>
      </c>
      <c r="C813" s="2" t="s">
        <v>3039</v>
      </c>
    </row>
    <row r="814" customFormat="false" ht="12.75" hidden="false" customHeight="true" outlineLevel="0" collapsed="false">
      <c r="A814" s="3" t="s">
        <v>3040</v>
      </c>
      <c r="B814" s="3" t="str">
        <f aca="false">IF(ISNUMBER(SEARCH("%", A814)),RIGHT(A814,3),A814)</f>
        <v>28, 31, DROWZEE</v>
      </c>
      <c r="C814" s="2" t="s">
        <v>3040</v>
      </c>
    </row>
    <row r="815" customFormat="false" ht="12.75" hidden="false" customHeight="true" outlineLevel="0" collapsed="false">
      <c r="A815" s="3" t="s">
        <v>3041</v>
      </c>
      <c r="B815" s="3" t="str">
        <f aca="false">IF(ISNUMBER(SEARCH("%", A815)),RIGHT(A815,3),A815)</f>
        <v>28, 31, VULPIX</v>
      </c>
      <c r="C815" s="2" t="s">
        <v>3041</v>
      </c>
    </row>
    <row r="816" customFormat="false" ht="12.75" hidden="false" customHeight="true" outlineLevel="0" collapsed="false">
      <c r="A816" s="3"/>
      <c r="B816" s="3" t="n">
        <f aca="false">IF(ISNUMBER(SEARCH("%", A816)),RIGHT(A816,3),A816)</f>
        <v>0</v>
      </c>
      <c r="C816" s="2"/>
    </row>
    <row r="817" customFormat="false" ht="12.75" hidden="false" customHeight="true" outlineLevel="0" collapsed="false">
      <c r="A817" s="3" t="s">
        <v>2806</v>
      </c>
      <c r="B817" s="3" t="str">
        <f aca="false">IF(ISNUMBER(SEARCH("%", A817)),RIGHT(A817,3),A817)</f>
        <v>0.05</v>
      </c>
      <c r="C817" s="2" t="s">
        <v>2806</v>
      </c>
    </row>
    <row r="818" customFormat="false" ht="12.75" hidden="false" customHeight="true" outlineLevel="0" collapsed="false">
      <c r="A818" s="3" t="s">
        <v>3042</v>
      </c>
      <c r="B818" s="3" t="str">
        <f aca="false">IF(ISNUMBER(SEARCH("%", A818)),RIGHT(A818,3),A818)</f>
        <v>29, 32, HYPNO</v>
      </c>
      <c r="C818" s="2" t="s">
        <v>3042</v>
      </c>
    </row>
    <row r="819" customFormat="false" ht="12.75" hidden="false" customHeight="true" outlineLevel="0" collapsed="false">
      <c r="A819" s="3" t="s">
        <v>3043</v>
      </c>
      <c r="B819" s="3" t="str">
        <f aca="false">IF(ISNUMBER(SEARCH("%", A819)),RIGHT(A819,3),A819)</f>
        <v>28, 31, RATICATE</v>
      </c>
      <c r="C819" s="2" t="s">
        <v>3043</v>
      </c>
    </row>
    <row r="820" customFormat="false" ht="12.75" hidden="false" customHeight="true" outlineLevel="0" collapsed="false">
      <c r="A820" s="3"/>
      <c r="B820" s="3" t="n">
        <f aca="false">IF(ISNUMBER(SEARCH("%", A820)),RIGHT(A820,3),A820)</f>
        <v>0</v>
      </c>
      <c r="C820" s="2"/>
    </row>
    <row r="821" customFormat="false" ht="12.75" hidden="false" customHeight="true" outlineLevel="0" collapsed="false">
      <c r="A821" s="3" t="s">
        <v>2809</v>
      </c>
      <c r="B821" s="3" t="str">
        <f aca="false">IF(ISNUMBER(SEARCH("%", A821)),RIGHT(A821,3),A821)</f>
        <v>0.04</v>
      </c>
      <c r="C821" s="2" t="s">
        <v>2809</v>
      </c>
    </row>
    <row r="822" customFormat="false" ht="12.75" hidden="false" customHeight="true" outlineLevel="0" collapsed="false">
      <c r="A822" s="3" t="s">
        <v>3044</v>
      </c>
      <c r="B822" s="3" t="str">
        <f aca="false">IF(ISNUMBER(SEARCH("%", A822)),RIGHT(A822,3),A822)</f>
        <v>29, 32, MAROWAK</v>
      </c>
      <c r="C822" s="2" t="s">
        <v>3044</v>
      </c>
    </row>
    <row r="823" customFormat="false" ht="12.75" hidden="false" customHeight="true" outlineLevel="0" collapsed="false">
      <c r="A823" s="3" t="s">
        <v>3045</v>
      </c>
      <c r="B823" s="3" t="str">
        <f aca="false">IF(ISNUMBER(SEARCH("%", A823)),RIGHT(A823,3),A823)</f>
        <v>28, 31, RATTCHET</v>
      </c>
      <c r="C823" s="2" t="s">
        <v>3045</v>
      </c>
    </row>
    <row r="824" customFormat="false" ht="12.75" hidden="false" customHeight="true" outlineLevel="0" collapsed="false">
      <c r="A824" s="3"/>
      <c r="B824" s="3" t="n">
        <f aca="false">IF(ISNUMBER(SEARCH("%", A824)),RIGHT(A824,3),A824)</f>
        <v>0</v>
      </c>
      <c r="C824" s="2"/>
    </row>
    <row r="825" customFormat="false" ht="12.75" hidden="false" customHeight="true" outlineLevel="0" collapsed="false">
      <c r="A825" s="3" t="s">
        <v>2812</v>
      </c>
      <c r="B825" s="3" t="str">
        <f aca="false">IF(ISNUMBER(SEARCH("%", A825)),RIGHT(A825,3),A825)</f>
        <v>0.01</v>
      </c>
      <c r="C825" s="2" t="s">
        <v>2812</v>
      </c>
    </row>
    <row r="826" customFormat="false" ht="12.75" hidden="false" customHeight="true" outlineLevel="0" collapsed="false">
      <c r="A826" s="3" t="s">
        <v>3046</v>
      </c>
      <c r="B826" s="3" t="str">
        <f aca="false">IF(ISNUMBER(SEARCH("%", A826)),RIGHT(A826,3),A826)</f>
        <v>33, 33, HAUNTER</v>
      </c>
      <c r="C826" s="2" t="s">
        <v>3046</v>
      </c>
    </row>
    <row r="827" customFormat="false" ht="12.75" hidden="false" customHeight="true" outlineLevel="0" collapsed="false">
      <c r="A827" s="3" t="s">
        <v>3047</v>
      </c>
      <c r="B827" s="3" t="str">
        <f aca="false">IF(ISNUMBER(SEARCH("%", A827)),RIGHT(A827,3),A827)</f>
        <v>32, 33, NINETALES , &lt;null&gt;, &lt;null&gt;, &lt;null&gt;</v>
      </c>
      <c r="C827" s="2" t="s">
        <v>3047</v>
      </c>
    </row>
    <row r="828" customFormat="false" ht="12.75" hidden="false" customHeight="true" outlineLevel="0" collapsed="false">
      <c r="A828" s="3"/>
      <c r="B828" s="3" t="n">
        <f aca="false">IF(ISNUMBER(SEARCH("%", A828)),RIGHT(A828,3),A828)</f>
        <v>0</v>
      </c>
      <c r="C828" s="2"/>
    </row>
    <row r="829" customFormat="false" ht="12.75" hidden="false" customHeight="true" outlineLevel="0" collapsed="false">
      <c r="A829" s="3" t="s">
        <v>2536</v>
      </c>
      <c r="B829" s="3" t="str">
        <f aca="false">IF(ISNUMBER(SEARCH("%", A829)),RIGHT(A829,3),A829)</f>
        <v>NEW ROUTE</v>
      </c>
      <c r="C829" s="2" t="s">
        <v>2536</v>
      </c>
    </row>
    <row r="830" customFormat="false" ht="12.75" hidden="false" customHeight="true" outlineLevel="0" collapsed="false">
      <c r="A830" s="3" t="s">
        <v>3048</v>
      </c>
      <c r="B830" s="3" t="str">
        <f aca="false">IF(ISNUMBER(SEARCH("%", A830)),RIGHT(A830,3),A830)</f>
        <v>1, 91, 0,</v>
      </c>
      <c r="C830" s="2" t="s">
        <v>3048</v>
      </c>
    </row>
    <row r="831" customFormat="false" ht="12.75" hidden="false" customHeight="true" outlineLevel="0" collapsed="false">
      <c r="A831" s="3" t="s">
        <v>3049</v>
      </c>
      <c r="B831" s="3" t="str">
        <f aca="false">IF(ISNUMBER(SEARCH("%", A831)),RIGHT(A831,3),A831)</f>
        <v>20%</v>
      </c>
      <c r="C831" s="2" t="s">
        <v>2799</v>
      </c>
    </row>
    <row r="832" customFormat="false" ht="12.75" hidden="false" customHeight="true" outlineLevel="0" collapsed="false">
      <c r="A832" s="3" t="s">
        <v>1463</v>
      </c>
      <c r="B832" s="3" t="str">
        <f aca="false">IF(ISNUMBER(SEARCH("%", A832)),RIGHT(A832,3),A832)</f>
        <v>28, 31, GASTLY</v>
      </c>
      <c r="C832" s="2" t="s">
        <v>1463</v>
      </c>
    </row>
    <row r="833" customFormat="false" ht="12.75" hidden="false" customHeight="true" outlineLevel="0" collapsed="false">
      <c r="A833" s="3" t="s">
        <v>3037</v>
      </c>
      <c r="B833" s="3" t="str">
        <f aca="false">IF(ISNUMBER(SEARCH("%", A833)),RIGHT(A833,3),A833)</f>
        <v>29, 32, RATTATA</v>
      </c>
      <c r="C833" s="2" t="s">
        <v>3037</v>
      </c>
    </row>
    <row r="834" customFormat="false" ht="12.75" hidden="false" customHeight="true" outlineLevel="0" collapsed="false">
      <c r="A834" s="3"/>
      <c r="B834" s="3" t="n">
        <f aca="false">IF(ISNUMBER(SEARCH("%", A834)),RIGHT(A834,3),A834)</f>
        <v>0</v>
      </c>
      <c r="C834" s="2"/>
    </row>
    <row r="835" customFormat="false" ht="12.75" hidden="false" customHeight="true" outlineLevel="0" collapsed="false">
      <c r="A835" s="3" t="s">
        <v>2801</v>
      </c>
      <c r="B835" s="3" t="str">
        <f aca="false">IF(ISNUMBER(SEARCH("%", A835)),RIGHT(A835,3),A835)</f>
        <v>0.1</v>
      </c>
      <c r="C835" s="2" t="s">
        <v>2801</v>
      </c>
    </row>
    <row r="836" customFormat="false" ht="12.75" hidden="false" customHeight="true" outlineLevel="0" collapsed="false">
      <c r="A836" s="3" t="s">
        <v>3038</v>
      </c>
      <c r="B836" s="3" t="str">
        <f aca="false">IF(ISNUMBER(SEARCH("%", A836)),RIGHT(A836,3),A836)</f>
        <v>27, 31, CUBONE</v>
      </c>
      <c r="C836" s="2" t="s">
        <v>3038</v>
      </c>
    </row>
    <row r="837" customFormat="false" ht="12.75" hidden="false" customHeight="true" outlineLevel="0" collapsed="false">
      <c r="A837" s="3" t="s">
        <v>3039</v>
      </c>
      <c r="B837" s="3" t="str">
        <f aca="false">IF(ISNUMBER(SEARCH("%", A837)),RIGHT(A837,3),A837)</f>
        <v>29, 32, HAUNTER</v>
      </c>
      <c r="C837" s="2" t="s">
        <v>3039</v>
      </c>
    </row>
    <row r="838" customFormat="false" ht="12.75" hidden="false" customHeight="true" outlineLevel="0" collapsed="false">
      <c r="A838" s="3" t="s">
        <v>3040</v>
      </c>
      <c r="B838" s="3" t="str">
        <f aca="false">IF(ISNUMBER(SEARCH("%", A838)),RIGHT(A838,3),A838)</f>
        <v>28, 31, DROWZEE</v>
      </c>
      <c r="C838" s="2" t="s">
        <v>3040</v>
      </c>
    </row>
    <row r="839" customFormat="false" ht="12.75" hidden="false" customHeight="true" outlineLevel="0" collapsed="false">
      <c r="A839" s="3" t="s">
        <v>3041</v>
      </c>
      <c r="B839" s="3" t="str">
        <f aca="false">IF(ISNUMBER(SEARCH("%", A839)),RIGHT(A839,3),A839)</f>
        <v>28, 31, VULPIX</v>
      </c>
      <c r="C839" s="2" t="s">
        <v>3041</v>
      </c>
    </row>
    <row r="840" customFormat="false" ht="12.75" hidden="false" customHeight="true" outlineLevel="0" collapsed="false">
      <c r="A840" s="3"/>
      <c r="B840" s="3" t="n">
        <f aca="false">IF(ISNUMBER(SEARCH("%", A840)),RIGHT(A840,3),A840)</f>
        <v>0</v>
      </c>
      <c r="C840" s="2"/>
    </row>
    <row r="841" customFormat="false" ht="12.75" hidden="false" customHeight="true" outlineLevel="0" collapsed="false">
      <c r="A841" s="3" t="s">
        <v>2806</v>
      </c>
      <c r="B841" s="3" t="str">
        <f aca="false">IF(ISNUMBER(SEARCH("%", A841)),RIGHT(A841,3),A841)</f>
        <v>0.05</v>
      </c>
      <c r="C841" s="2" t="s">
        <v>2806</v>
      </c>
    </row>
    <row r="842" customFormat="false" ht="12.75" hidden="false" customHeight="true" outlineLevel="0" collapsed="false">
      <c r="A842" s="3" t="s">
        <v>3042</v>
      </c>
      <c r="B842" s="3" t="str">
        <f aca="false">IF(ISNUMBER(SEARCH("%", A842)),RIGHT(A842,3),A842)</f>
        <v>29, 32, HYPNO</v>
      </c>
      <c r="C842" s="2" t="s">
        <v>3042</v>
      </c>
    </row>
    <row r="843" customFormat="false" ht="12.75" hidden="false" customHeight="true" outlineLevel="0" collapsed="false">
      <c r="A843" s="3" t="s">
        <v>3043</v>
      </c>
      <c r="B843" s="3" t="str">
        <f aca="false">IF(ISNUMBER(SEARCH("%", A843)),RIGHT(A843,3),A843)</f>
        <v>28, 31, RATICATE</v>
      </c>
      <c r="C843" s="2" t="s">
        <v>3043</v>
      </c>
    </row>
    <row r="844" customFormat="false" ht="12.75" hidden="false" customHeight="true" outlineLevel="0" collapsed="false">
      <c r="A844" s="3"/>
      <c r="B844" s="3" t="n">
        <f aca="false">IF(ISNUMBER(SEARCH("%", A844)),RIGHT(A844,3),A844)</f>
        <v>0</v>
      </c>
      <c r="C844" s="2"/>
    </row>
    <row r="845" customFormat="false" ht="12.75" hidden="false" customHeight="true" outlineLevel="0" collapsed="false">
      <c r="A845" s="3" t="s">
        <v>2809</v>
      </c>
      <c r="B845" s="3" t="str">
        <f aca="false">IF(ISNUMBER(SEARCH("%", A845)),RIGHT(A845,3),A845)</f>
        <v>0.04</v>
      </c>
      <c r="C845" s="2" t="s">
        <v>2809</v>
      </c>
    </row>
    <row r="846" customFormat="false" ht="12.75" hidden="false" customHeight="true" outlineLevel="0" collapsed="false">
      <c r="A846" s="3" t="s">
        <v>3044</v>
      </c>
      <c r="B846" s="3" t="str">
        <f aca="false">IF(ISNUMBER(SEARCH("%", A846)),RIGHT(A846,3),A846)</f>
        <v>29, 32, MAROWAK</v>
      </c>
      <c r="C846" s="2" t="s">
        <v>3044</v>
      </c>
    </row>
    <row r="847" customFormat="false" ht="12.75" hidden="false" customHeight="true" outlineLevel="0" collapsed="false">
      <c r="A847" s="3" t="s">
        <v>3045</v>
      </c>
      <c r="B847" s="3" t="str">
        <f aca="false">IF(ISNUMBER(SEARCH("%", A847)),RIGHT(A847,3),A847)</f>
        <v>28, 31, RATTCHET</v>
      </c>
      <c r="C847" s="2" t="s">
        <v>3045</v>
      </c>
    </row>
    <row r="848" customFormat="false" ht="12.75" hidden="false" customHeight="true" outlineLevel="0" collapsed="false">
      <c r="A848" s="3"/>
      <c r="B848" s="3" t="n">
        <f aca="false">IF(ISNUMBER(SEARCH("%", A848)),RIGHT(A848,3),A848)</f>
        <v>0</v>
      </c>
      <c r="C848" s="2"/>
    </row>
    <row r="849" customFormat="false" ht="12.75" hidden="false" customHeight="true" outlineLevel="0" collapsed="false">
      <c r="A849" s="3" t="s">
        <v>2812</v>
      </c>
      <c r="B849" s="3" t="str">
        <f aca="false">IF(ISNUMBER(SEARCH("%", A849)),RIGHT(A849,3),A849)</f>
        <v>0.01</v>
      </c>
      <c r="C849" s="2" t="s">
        <v>2812</v>
      </c>
    </row>
    <row r="850" customFormat="false" ht="12.75" hidden="false" customHeight="true" outlineLevel="0" collapsed="false">
      <c r="A850" s="3" t="s">
        <v>3046</v>
      </c>
      <c r="B850" s="3" t="str">
        <f aca="false">IF(ISNUMBER(SEARCH("%", A850)),RIGHT(A850,3),A850)</f>
        <v>33, 33, HAUNTER</v>
      </c>
      <c r="C850" s="2" t="s">
        <v>3046</v>
      </c>
    </row>
    <row r="851" customFormat="false" ht="12.75" hidden="false" customHeight="true" outlineLevel="0" collapsed="false">
      <c r="A851" s="3" t="s">
        <v>3047</v>
      </c>
      <c r="B851" s="3" t="str">
        <f aca="false">IF(ISNUMBER(SEARCH("%", A851)),RIGHT(A851,3),A851)</f>
        <v>32, 33, NINETALES , &lt;null&gt;, &lt;null&gt;, &lt;null&gt;</v>
      </c>
      <c r="C851" s="2" t="s">
        <v>3047</v>
      </c>
    </row>
    <row r="852" customFormat="false" ht="12.75" hidden="false" customHeight="true" outlineLevel="0" collapsed="false">
      <c r="A852" s="3"/>
      <c r="B852" s="3" t="n">
        <f aca="false">IF(ISNUMBER(SEARCH("%", A852)),RIGHT(A852,3),A852)</f>
        <v>0</v>
      </c>
      <c r="C852" s="2"/>
    </row>
    <row r="853" customFormat="false" ht="12.75" hidden="false" customHeight="true" outlineLevel="0" collapsed="false">
      <c r="A853" s="3" t="s">
        <v>2536</v>
      </c>
      <c r="B853" s="3" t="str">
        <f aca="false">IF(ISNUMBER(SEARCH("%", A853)),RIGHT(A853,3),A853)</f>
        <v>NEW ROUTE</v>
      </c>
      <c r="C853" s="2" t="s">
        <v>2536</v>
      </c>
    </row>
    <row r="854" customFormat="false" ht="12.75" hidden="false" customHeight="true" outlineLevel="0" collapsed="false">
      <c r="A854" s="3" t="s">
        <v>3050</v>
      </c>
      <c r="B854" s="3" t="str">
        <f aca="false">IF(ISNUMBER(SEARCH("%", A854)),RIGHT(A854,3),A854)</f>
        <v>1, 92, 0,</v>
      </c>
      <c r="C854" s="2" t="s">
        <v>3050</v>
      </c>
    </row>
    <row r="855" customFormat="false" ht="12.75" hidden="false" customHeight="true" outlineLevel="0" collapsed="false">
      <c r="A855" s="3" t="s">
        <v>3051</v>
      </c>
      <c r="B855" s="3" t="str">
        <f aca="false">IF(ISNUMBER(SEARCH("%", A855)),RIGHT(A855,3),A855)</f>
        <v>20%</v>
      </c>
      <c r="C855" s="2" t="s">
        <v>2799</v>
      </c>
    </row>
    <row r="856" customFormat="false" ht="12.75" hidden="false" customHeight="true" outlineLevel="0" collapsed="false">
      <c r="A856" s="3" t="s">
        <v>1463</v>
      </c>
      <c r="B856" s="3" t="str">
        <f aca="false">IF(ISNUMBER(SEARCH("%", A856)),RIGHT(A856,3),A856)</f>
        <v>28, 31, GASTLY</v>
      </c>
      <c r="C856" s="2" t="s">
        <v>1463</v>
      </c>
    </row>
    <row r="857" customFormat="false" ht="12.75" hidden="false" customHeight="true" outlineLevel="0" collapsed="false">
      <c r="A857" s="3" t="s">
        <v>3037</v>
      </c>
      <c r="B857" s="3" t="str">
        <f aca="false">IF(ISNUMBER(SEARCH("%", A857)),RIGHT(A857,3),A857)</f>
        <v>29, 32, RATTATA</v>
      </c>
      <c r="C857" s="2" t="s">
        <v>3037</v>
      </c>
    </row>
    <row r="858" customFormat="false" ht="12.75" hidden="false" customHeight="true" outlineLevel="0" collapsed="false">
      <c r="A858" s="3"/>
      <c r="B858" s="3" t="n">
        <f aca="false">IF(ISNUMBER(SEARCH("%", A858)),RIGHT(A858,3),A858)</f>
        <v>0</v>
      </c>
      <c r="C858" s="2"/>
    </row>
    <row r="859" customFormat="false" ht="12.75" hidden="false" customHeight="true" outlineLevel="0" collapsed="false">
      <c r="A859" s="3" t="s">
        <v>2801</v>
      </c>
      <c r="B859" s="3" t="str">
        <f aca="false">IF(ISNUMBER(SEARCH("%", A859)),RIGHT(A859,3),A859)</f>
        <v>0.1</v>
      </c>
      <c r="C859" s="2" t="s">
        <v>2801</v>
      </c>
    </row>
    <row r="860" customFormat="false" ht="12.75" hidden="false" customHeight="true" outlineLevel="0" collapsed="false">
      <c r="A860" s="3" t="s">
        <v>3038</v>
      </c>
      <c r="B860" s="3" t="str">
        <f aca="false">IF(ISNUMBER(SEARCH("%", A860)),RIGHT(A860,3),A860)</f>
        <v>27, 31, CUBONE</v>
      </c>
      <c r="C860" s="2" t="s">
        <v>3038</v>
      </c>
    </row>
    <row r="861" customFormat="false" ht="12.75" hidden="false" customHeight="true" outlineLevel="0" collapsed="false">
      <c r="A861" s="3" t="s">
        <v>3039</v>
      </c>
      <c r="B861" s="3" t="str">
        <f aca="false">IF(ISNUMBER(SEARCH("%", A861)),RIGHT(A861,3),A861)</f>
        <v>29, 32, HAUNTER</v>
      </c>
      <c r="C861" s="2" t="s">
        <v>3039</v>
      </c>
    </row>
    <row r="862" customFormat="false" ht="12.75" hidden="false" customHeight="true" outlineLevel="0" collapsed="false">
      <c r="A862" s="3" t="s">
        <v>3040</v>
      </c>
      <c r="B862" s="3" t="str">
        <f aca="false">IF(ISNUMBER(SEARCH("%", A862)),RIGHT(A862,3),A862)</f>
        <v>28, 31, DROWZEE</v>
      </c>
      <c r="C862" s="2" t="s">
        <v>3040</v>
      </c>
    </row>
    <row r="863" customFormat="false" ht="12.75" hidden="false" customHeight="true" outlineLevel="0" collapsed="false">
      <c r="A863" s="3" t="s">
        <v>3041</v>
      </c>
      <c r="B863" s="3" t="str">
        <f aca="false">IF(ISNUMBER(SEARCH("%", A863)),RIGHT(A863,3),A863)</f>
        <v>28, 31, VULPIX</v>
      </c>
      <c r="C863" s="2" t="s">
        <v>3041</v>
      </c>
    </row>
    <row r="864" customFormat="false" ht="12.75" hidden="false" customHeight="true" outlineLevel="0" collapsed="false">
      <c r="A864" s="3"/>
      <c r="B864" s="3" t="n">
        <f aca="false">IF(ISNUMBER(SEARCH("%", A864)),RIGHT(A864,3),A864)</f>
        <v>0</v>
      </c>
      <c r="C864" s="2"/>
    </row>
    <row r="865" customFormat="false" ht="12.75" hidden="false" customHeight="true" outlineLevel="0" collapsed="false">
      <c r="A865" s="3" t="s">
        <v>2806</v>
      </c>
      <c r="B865" s="3" t="str">
        <f aca="false">IF(ISNUMBER(SEARCH("%", A865)),RIGHT(A865,3),A865)</f>
        <v>0.05</v>
      </c>
      <c r="C865" s="2" t="s">
        <v>2806</v>
      </c>
    </row>
    <row r="866" customFormat="false" ht="12.75" hidden="false" customHeight="true" outlineLevel="0" collapsed="false">
      <c r="A866" s="3" t="s">
        <v>3042</v>
      </c>
      <c r="B866" s="3" t="str">
        <f aca="false">IF(ISNUMBER(SEARCH("%", A866)),RIGHT(A866,3),A866)</f>
        <v>29, 32, HYPNO</v>
      </c>
      <c r="C866" s="2" t="s">
        <v>3042</v>
      </c>
    </row>
    <row r="867" customFormat="false" ht="12.75" hidden="false" customHeight="true" outlineLevel="0" collapsed="false">
      <c r="A867" s="3" t="s">
        <v>3043</v>
      </c>
      <c r="B867" s="3" t="str">
        <f aca="false">IF(ISNUMBER(SEARCH("%", A867)),RIGHT(A867,3),A867)</f>
        <v>28, 31, RATICATE</v>
      </c>
      <c r="C867" s="2" t="s">
        <v>3043</v>
      </c>
    </row>
    <row r="868" customFormat="false" ht="12.75" hidden="false" customHeight="true" outlineLevel="0" collapsed="false">
      <c r="A868" s="3"/>
      <c r="B868" s="3" t="n">
        <f aca="false">IF(ISNUMBER(SEARCH("%", A868)),RIGHT(A868,3),A868)</f>
        <v>0</v>
      </c>
      <c r="C868" s="2"/>
    </row>
    <row r="869" customFormat="false" ht="12.75" hidden="false" customHeight="true" outlineLevel="0" collapsed="false">
      <c r="A869" s="3" t="s">
        <v>2809</v>
      </c>
      <c r="B869" s="3" t="str">
        <f aca="false">IF(ISNUMBER(SEARCH("%", A869)),RIGHT(A869,3),A869)</f>
        <v>0.04</v>
      </c>
      <c r="C869" s="2" t="s">
        <v>2809</v>
      </c>
    </row>
    <row r="870" customFormat="false" ht="12.75" hidden="false" customHeight="true" outlineLevel="0" collapsed="false">
      <c r="A870" s="3" t="s">
        <v>3044</v>
      </c>
      <c r="B870" s="3" t="str">
        <f aca="false">IF(ISNUMBER(SEARCH("%", A870)),RIGHT(A870,3),A870)</f>
        <v>29, 32, MAROWAK</v>
      </c>
      <c r="C870" s="2" t="s">
        <v>3044</v>
      </c>
    </row>
    <row r="871" customFormat="false" ht="12.75" hidden="false" customHeight="true" outlineLevel="0" collapsed="false">
      <c r="A871" s="3" t="s">
        <v>3045</v>
      </c>
      <c r="B871" s="3" t="str">
        <f aca="false">IF(ISNUMBER(SEARCH("%", A871)),RIGHT(A871,3),A871)</f>
        <v>28, 31, RATTCHET</v>
      </c>
      <c r="C871" s="2" t="s">
        <v>3045</v>
      </c>
    </row>
    <row r="872" customFormat="false" ht="12.75" hidden="false" customHeight="true" outlineLevel="0" collapsed="false">
      <c r="A872" s="3"/>
      <c r="B872" s="3" t="n">
        <f aca="false">IF(ISNUMBER(SEARCH("%", A872)),RIGHT(A872,3),A872)</f>
        <v>0</v>
      </c>
      <c r="C872" s="2"/>
    </row>
    <row r="873" customFormat="false" ht="12.75" hidden="false" customHeight="true" outlineLevel="0" collapsed="false">
      <c r="A873" s="3" t="s">
        <v>2812</v>
      </c>
      <c r="B873" s="3" t="str">
        <f aca="false">IF(ISNUMBER(SEARCH("%", A873)),RIGHT(A873,3),A873)</f>
        <v>0.01</v>
      </c>
      <c r="C873" s="2" t="s">
        <v>2812</v>
      </c>
    </row>
    <row r="874" customFormat="false" ht="12.75" hidden="false" customHeight="true" outlineLevel="0" collapsed="false">
      <c r="A874" s="3" t="s">
        <v>3046</v>
      </c>
      <c r="B874" s="3" t="str">
        <f aca="false">IF(ISNUMBER(SEARCH("%", A874)),RIGHT(A874,3),A874)</f>
        <v>33, 33, HAUNTER</v>
      </c>
      <c r="C874" s="2" t="s">
        <v>3046</v>
      </c>
    </row>
    <row r="875" customFormat="false" ht="12.75" hidden="false" customHeight="true" outlineLevel="0" collapsed="false">
      <c r="A875" s="3" t="s">
        <v>3047</v>
      </c>
      <c r="B875" s="3" t="str">
        <f aca="false">IF(ISNUMBER(SEARCH("%", A875)),RIGHT(A875,3),A875)</f>
        <v>32, 33, NINETALES , &lt;null&gt;, &lt;null&gt;, &lt;null&gt;</v>
      </c>
      <c r="C875" s="2" t="s">
        <v>3047</v>
      </c>
    </row>
    <row r="876" customFormat="false" ht="12.75" hidden="false" customHeight="true" outlineLevel="0" collapsed="false">
      <c r="A876" s="3"/>
      <c r="B876" s="3" t="n">
        <f aca="false">IF(ISNUMBER(SEARCH("%", A876)),RIGHT(A876,3),A876)</f>
        <v>0</v>
      </c>
      <c r="C876" s="2"/>
    </row>
    <row r="877" customFormat="false" ht="12.75" hidden="false" customHeight="true" outlineLevel="0" collapsed="false">
      <c r="A877" s="3" t="s">
        <v>2536</v>
      </c>
      <c r="B877" s="3" t="str">
        <f aca="false">IF(ISNUMBER(SEARCH("%", A877)),RIGHT(A877,3),A877)</f>
        <v>NEW ROUTE</v>
      </c>
      <c r="C877" s="2" t="s">
        <v>2536</v>
      </c>
    </row>
    <row r="878" customFormat="false" ht="12.75" hidden="false" customHeight="true" outlineLevel="0" collapsed="false">
      <c r="A878" s="3" t="s">
        <v>3052</v>
      </c>
      <c r="B878" s="3" t="str">
        <f aca="false">IF(ISNUMBER(SEARCH("%", A878)),RIGHT(A878,3),A878)</f>
        <v>1, 93, 0,</v>
      </c>
      <c r="C878" s="2" t="s">
        <v>3052</v>
      </c>
    </row>
    <row r="879" customFormat="false" ht="12.75" hidden="false" customHeight="true" outlineLevel="0" collapsed="false">
      <c r="A879" s="3" t="s">
        <v>3053</v>
      </c>
      <c r="B879" s="3" t="str">
        <f aca="false">IF(ISNUMBER(SEARCH("%", A879)),RIGHT(A879,3),A879)</f>
        <v>20%</v>
      </c>
      <c r="C879" s="2" t="s">
        <v>2799</v>
      </c>
    </row>
    <row r="880" customFormat="false" ht="12.75" hidden="false" customHeight="true" outlineLevel="0" collapsed="false">
      <c r="A880" s="3" t="s">
        <v>1463</v>
      </c>
      <c r="B880" s="3" t="str">
        <f aca="false">IF(ISNUMBER(SEARCH("%", A880)),RIGHT(A880,3),A880)</f>
        <v>28, 31, GASTLY</v>
      </c>
      <c r="C880" s="2" t="s">
        <v>1463</v>
      </c>
    </row>
    <row r="881" customFormat="false" ht="12.75" hidden="false" customHeight="true" outlineLevel="0" collapsed="false">
      <c r="A881" s="3" t="s">
        <v>3037</v>
      </c>
      <c r="B881" s="3" t="str">
        <f aca="false">IF(ISNUMBER(SEARCH("%", A881)),RIGHT(A881,3),A881)</f>
        <v>29, 32, RATTATA</v>
      </c>
      <c r="C881" s="2" t="s">
        <v>3037</v>
      </c>
    </row>
    <row r="882" customFormat="false" ht="12.75" hidden="false" customHeight="true" outlineLevel="0" collapsed="false">
      <c r="A882" s="3"/>
      <c r="B882" s="3" t="n">
        <f aca="false">IF(ISNUMBER(SEARCH("%", A882)),RIGHT(A882,3),A882)</f>
        <v>0</v>
      </c>
      <c r="C882" s="2"/>
    </row>
    <row r="883" customFormat="false" ht="12.75" hidden="false" customHeight="true" outlineLevel="0" collapsed="false">
      <c r="A883" s="3" t="s">
        <v>2801</v>
      </c>
      <c r="B883" s="3" t="str">
        <f aca="false">IF(ISNUMBER(SEARCH("%", A883)),RIGHT(A883,3),A883)</f>
        <v>0.1</v>
      </c>
      <c r="C883" s="2" t="s">
        <v>2801</v>
      </c>
    </row>
    <row r="884" customFormat="false" ht="12.75" hidden="false" customHeight="true" outlineLevel="0" collapsed="false">
      <c r="A884" s="3" t="s">
        <v>3038</v>
      </c>
      <c r="B884" s="3" t="str">
        <f aca="false">IF(ISNUMBER(SEARCH("%", A884)),RIGHT(A884,3),A884)</f>
        <v>27, 31, CUBONE</v>
      </c>
      <c r="C884" s="2" t="s">
        <v>3038</v>
      </c>
    </row>
    <row r="885" customFormat="false" ht="12.75" hidden="false" customHeight="true" outlineLevel="0" collapsed="false">
      <c r="A885" s="3" t="s">
        <v>3039</v>
      </c>
      <c r="B885" s="3" t="str">
        <f aca="false">IF(ISNUMBER(SEARCH("%", A885)),RIGHT(A885,3),A885)</f>
        <v>29, 32, HAUNTER</v>
      </c>
      <c r="C885" s="2" t="s">
        <v>3039</v>
      </c>
    </row>
    <row r="886" customFormat="false" ht="12.75" hidden="false" customHeight="true" outlineLevel="0" collapsed="false">
      <c r="A886" s="3" t="s">
        <v>3040</v>
      </c>
      <c r="B886" s="3" t="str">
        <f aca="false">IF(ISNUMBER(SEARCH("%", A886)),RIGHT(A886,3),A886)</f>
        <v>28, 31, DROWZEE</v>
      </c>
      <c r="C886" s="2" t="s">
        <v>3040</v>
      </c>
    </row>
    <row r="887" customFormat="false" ht="12.75" hidden="false" customHeight="true" outlineLevel="0" collapsed="false">
      <c r="A887" s="3" t="s">
        <v>3041</v>
      </c>
      <c r="B887" s="3" t="str">
        <f aca="false">IF(ISNUMBER(SEARCH("%", A887)),RIGHT(A887,3),A887)</f>
        <v>28, 31, VULPIX</v>
      </c>
      <c r="C887" s="2" t="s">
        <v>3041</v>
      </c>
    </row>
    <row r="888" customFormat="false" ht="12.75" hidden="false" customHeight="true" outlineLevel="0" collapsed="false">
      <c r="A888" s="3"/>
      <c r="B888" s="3" t="n">
        <f aca="false">IF(ISNUMBER(SEARCH("%", A888)),RIGHT(A888,3),A888)</f>
        <v>0</v>
      </c>
      <c r="C888" s="2"/>
    </row>
    <row r="889" customFormat="false" ht="12.75" hidden="false" customHeight="true" outlineLevel="0" collapsed="false">
      <c r="A889" s="3" t="s">
        <v>2806</v>
      </c>
      <c r="B889" s="3" t="str">
        <f aca="false">IF(ISNUMBER(SEARCH("%", A889)),RIGHT(A889,3),A889)</f>
        <v>0.05</v>
      </c>
      <c r="C889" s="2" t="s">
        <v>2806</v>
      </c>
    </row>
    <row r="890" customFormat="false" ht="12.75" hidden="false" customHeight="true" outlineLevel="0" collapsed="false">
      <c r="A890" s="3" t="s">
        <v>3042</v>
      </c>
      <c r="B890" s="3" t="str">
        <f aca="false">IF(ISNUMBER(SEARCH("%", A890)),RIGHT(A890,3),A890)</f>
        <v>29, 32, HYPNO</v>
      </c>
      <c r="C890" s="2" t="s">
        <v>3042</v>
      </c>
    </row>
    <row r="891" customFormat="false" ht="12.75" hidden="false" customHeight="true" outlineLevel="0" collapsed="false">
      <c r="A891" s="3" t="s">
        <v>3043</v>
      </c>
      <c r="B891" s="3" t="str">
        <f aca="false">IF(ISNUMBER(SEARCH("%", A891)),RIGHT(A891,3),A891)</f>
        <v>28, 31, RATICATE</v>
      </c>
      <c r="C891" s="2" t="s">
        <v>3043</v>
      </c>
    </row>
    <row r="892" customFormat="false" ht="12.75" hidden="false" customHeight="true" outlineLevel="0" collapsed="false">
      <c r="A892" s="3"/>
      <c r="B892" s="3" t="n">
        <f aca="false">IF(ISNUMBER(SEARCH("%", A892)),RIGHT(A892,3),A892)</f>
        <v>0</v>
      </c>
      <c r="C892" s="2"/>
    </row>
    <row r="893" customFormat="false" ht="12.75" hidden="false" customHeight="true" outlineLevel="0" collapsed="false">
      <c r="A893" s="3" t="s">
        <v>2809</v>
      </c>
      <c r="B893" s="3" t="str">
        <f aca="false">IF(ISNUMBER(SEARCH("%", A893)),RIGHT(A893,3),A893)</f>
        <v>0.04</v>
      </c>
      <c r="C893" s="2" t="s">
        <v>2809</v>
      </c>
    </row>
    <row r="894" customFormat="false" ht="12.75" hidden="false" customHeight="true" outlineLevel="0" collapsed="false">
      <c r="A894" s="3" t="s">
        <v>3044</v>
      </c>
      <c r="B894" s="3" t="str">
        <f aca="false">IF(ISNUMBER(SEARCH("%", A894)),RIGHT(A894,3),A894)</f>
        <v>29, 32, MAROWAK</v>
      </c>
      <c r="C894" s="2" t="s">
        <v>3044</v>
      </c>
    </row>
    <row r="895" customFormat="false" ht="12.75" hidden="false" customHeight="true" outlineLevel="0" collapsed="false">
      <c r="A895" s="3" t="s">
        <v>3045</v>
      </c>
      <c r="B895" s="3" t="str">
        <f aca="false">IF(ISNUMBER(SEARCH("%", A895)),RIGHT(A895,3),A895)</f>
        <v>28, 31, RATTCHET</v>
      </c>
      <c r="C895" s="2" t="s">
        <v>3045</v>
      </c>
    </row>
    <row r="896" customFormat="false" ht="12.75" hidden="false" customHeight="true" outlineLevel="0" collapsed="false">
      <c r="A896" s="3"/>
      <c r="B896" s="3" t="n">
        <f aca="false">IF(ISNUMBER(SEARCH("%", A896)),RIGHT(A896,3),A896)</f>
        <v>0</v>
      </c>
      <c r="C896" s="2"/>
    </row>
    <row r="897" customFormat="false" ht="12.75" hidden="false" customHeight="true" outlineLevel="0" collapsed="false">
      <c r="A897" s="3" t="s">
        <v>2812</v>
      </c>
      <c r="B897" s="3" t="str">
        <f aca="false">IF(ISNUMBER(SEARCH("%", A897)),RIGHT(A897,3),A897)</f>
        <v>0.01</v>
      </c>
      <c r="C897" s="2" t="s">
        <v>2812</v>
      </c>
    </row>
    <row r="898" customFormat="false" ht="12.75" hidden="false" customHeight="true" outlineLevel="0" collapsed="false">
      <c r="A898" s="3" t="s">
        <v>3046</v>
      </c>
      <c r="B898" s="3" t="str">
        <f aca="false">IF(ISNUMBER(SEARCH("%", A898)),RIGHT(A898,3),A898)</f>
        <v>33, 33, HAUNTER</v>
      </c>
      <c r="C898" s="2" t="s">
        <v>3046</v>
      </c>
    </row>
    <row r="899" customFormat="false" ht="12.75" hidden="false" customHeight="true" outlineLevel="0" collapsed="false">
      <c r="A899" s="3" t="s">
        <v>3047</v>
      </c>
      <c r="B899" s="3" t="str">
        <f aca="false">IF(ISNUMBER(SEARCH("%", A899)),RIGHT(A899,3),A899)</f>
        <v>32, 33, NINETALES , &lt;null&gt;, &lt;null&gt;, &lt;null&gt;</v>
      </c>
      <c r="C899" s="2" t="s">
        <v>3047</v>
      </c>
    </row>
    <row r="900" customFormat="false" ht="12.75" hidden="false" customHeight="true" outlineLevel="0" collapsed="false">
      <c r="A900" s="3"/>
      <c r="B900" s="3" t="n">
        <f aca="false">IF(ISNUMBER(SEARCH("%", A900)),RIGHT(A900,3),A900)</f>
        <v>0</v>
      </c>
      <c r="C900" s="2"/>
    </row>
    <row r="901" customFormat="false" ht="12.75" hidden="false" customHeight="true" outlineLevel="0" collapsed="false">
      <c r="A901" s="3" t="s">
        <v>2536</v>
      </c>
      <c r="B901" s="3" t="str">
        <f aca="false">IF(ISNUMBER(SEARCH("%", A901)),RIGHT(A901,3),A901)</f>
        <v>NEW ROUTE</v>
      </c>
      <c r="C901" s="2" t="s">
        <v>2536</v>
      </c>
    </row>
    <row r="902" customFormat="false" ht="12.75" hidden="false" customHeight="true" outlineLevel="0" collapsed="false">
      <c r="A902" s="3" t="s">
        <v>3054</v>
      </c>
      <c r="B902" s="3" t="str">
        <f aca="false">IF(ISNUMBER(SEARCH("%", A902)),RIGHT(A902,3),A902)</f>
        <v>1, 94, 0,</v>
      </c>
      <c r="C902" s="2" t="s">
        <v>3054</v>
      </c>
    </row>
    <row r="903" customFormat="false" ht="12.75" hidden="false" customHeight="true" outlineLevel="0" collapsed="false">
      <c r="A903" s="3" t="s">
        <v>3055</v>
      </c>
      <c r="B903" s="3" t="str">
        <f aca="false">IF(ISNUMBER(SEARCH("%", A903)),RIGHT(A903,3),A903)</f>
        <v>20%</v>
      </c>
      <c r="C903" s="2" t="s">
        <v>2799</v>
      </c>
    </row>
    <row r="904" customFormat="false" ht="12.75" hidden="false" customHeight="true" outlineLevel="0" collapsed="false">
      <c r="A904" s="3" t="s">
        <v>1463</v>
      </c>
      <c r="B904" s="3" t="str">
        <f aca="false">IF(ISNUMBER(SEARCH("%", A904)),RIGHT(A904,3),A904)</f>
        <v>28, 31, GASTLY</v>
      </c>
      <c r="C904" s="2" t="s">
        <v>1463</v>
      </c>
    </row>
    <row r="905" customFormat="false" ht="12.75" hidden="false" customHeight="true" outlineLevel="0" collapsed="false">
      <c r="A905" s="3" t="s">
        <v>3037</v>
      </c>
      <c r="B905" s="3" t="str">
        <f aca="false">IF(ISNUMBER(SEARCH("%", A905)),RIGHT(A905,3),A905)</f>
        <v>29, 32, RATTATA</v>
      </c>
      <c r="C905" s="2" t="s">
        <v>3037</v>
      </c>
    </row>
    <row r="906" customFormat="false" ht="12.75" hidden="false" customHeight="true" outlineLevel="0" collapsed="false">
      <c r="A906" s="3"/>
      <c r="B906" s="3" t="n">
        <f aca="false">IF(ISNUMBER(SEARCH("%", A906)),RIGHT(A906,3),A906)</f>
        <v>0</v>
      </c>
      <c r="C906" s="2"/>
    </row>
    <row r="907" customFormat="false" ht="12.75" hidden="false" customHeight="true" outlineLevel="0" collapsed="false">
      <c r="A907" s="3" t="s">
        <v>2801</v>
      </c>
      <c r="B907" s="3" t="str">
        <f aca="false">IF(ISNUMBER(SEARCH("%", A907)),RIGHT(A907,3),A907)</f>
        <v>0.1</v>
      </c>
      <c r="C907" s="2" t="s">
        <v>2801</v>
      </c>
    </row>
    <row r="908" customFormat="false" ht="12.75" hidden="false" customHeight="true" outlineLevel="0" collapsed="false">
      <c r="A908" s="3" t="s">
        <v>3038</v>
      </c>
      <c r="B908" s="3" t="str">
        <f aca="false">IF(ISNUMBER(SEARCH("%", A908)),RIGHT(A908,3),A908)</f>
        <v>27, 31, CUBONE</v>
      </c>
      <c r="C908" s="2" t="s">
        <v>3038</v>
      </c>
    </row>
    <row r="909" customFormat="false" ht="12.75" hidden="false" customHeight="true" outlineLevel="0" collapsed="false">
      <c r="A909" s="3" t="s">
        <v>3039</v>
      </c>
      <c r="B909" s="3" t="str">
        <f aca="false">IF(ISNUMBER(SEARCH("%", A909)),RIGHT(A909,3),A909)</f>
        <v>29, 32, HAUNTER</v>
      </c>
      <c r="C909" s="2" t="s">
        <v>3039</v>
      </c>
    </row>
    <row r="910" customFormat="false" ht="12.75" hidden="false" customHeight="true" outlineLevel="0" collapsed="false">
      <c r="A910" s="3" t="s">
        <v>3040</v>
      </c>
      <c r="B910" s="3" t="str">
        <f aca="false">IF(ISNUMBER(SEARCH("%", A910)),RIGHT(A910,3),A910)</f>
        <v>28, 31, DROWZEE</v>
      </c>
      <c r="C910" s="2" t="s">
        <v>3040</v>
      </c>
    </row>
    <row r="911" customFormat="false" ht="12.75" hidden="false" customHeight="true" outlineLevel="0" collapsed="false">
      <c r="A911" s="3" t="s">
        <v>3041</v>
      </c>
      <c r="B911" s="3" t="str">
        <f aca="false">IF(ISNUMBER(SEARCH("%", A911)),RIGHT(A911,3),A911)</f>
        <v>28, 31, VULPIX</v>
      </c>
      <c r="C911" s="2" t="s">
        <v>3041</v>
      </c>
    </row>
    <row r="912" customFormat="false" ht="12.75" hidden="false" customHeight="true" outlineLevel="0" collapsed="false">
      <c r="A912" s="3"/>
      <c r="B912" s="3" t="n">
        <f aca="false">IF(ISNUMBER(SEARCH("%", A912)),RIGHT(A912,3),A912)</f>
        <v>0</v>
      </c>
      <c r="C912" s="2"/>
    </row>
    <row r="913" customFormat="false" ht="12.75" hidden="false" customHeight="true" outlineLevel="0" collapsed="false">
      <c r="A913" s="3" t="s">
        <v>2806</v>
      </c>
      <c r="B913" s="3" t="str">
        <f aca="false">IF(ISNUMBER(SEARCH("%", A913)),RIGHT(A913,3),A913)</f>
        <v>0.05</v>
      </c>
      <c r="C913" s="2" t="s">
        <v>2806</v>
      </c>
    </row>
    <row r="914" customFormat="false" ht="12.75" hidden="false" customHeight="true" outlineLevel="0" collapsed="false">
      <c r="A914" s="3" t="s">
        <v>3042</v>
      </c>
      <c r="B914" s="3" t="str">
        <f aca="false">IF(ISNUMBER(SEARCH("%", A914)),RIGHT(A914,3),A914)</f>
        <v>29, 32, HYPNO</v>
      </c>
      <c r="C914" s="2" t="s">
        <v>3042</v>
      </c>
    </row>
    <row r="915" customFormat="false" ht="12.75" hidden="false" customHeight="true" outlineLevel="0" collapsed="false">
      <c r="A915" s="3" t="s">
        <v>3043</v>
      </c>
      <c r="B915" s="3" t="str">
        <f aca="false">IF(ISNUMBER(SEARCH("%", A915)),RIGHT(A915,3),A915)</f>
        <v>28, 31, RATICATE</v>
      </c>
      <c r="C915" s="2" t="s">
        <v>3043</v>
      </c>
    </row>
    <row r="916" customFormat="false" ht="12.75" hidden="false" customHeight="true" outlineLevel="0" collapsed="false">
      <c r="A916" s="3"/>
      <c r="B916" s="3" t="n">
        <f aca="false">IF(ISNUMBER(SEARCH("%", A916)),RIGHT(A916,3),A916)</f>
        <v>0</v>
      </c>
      <c r="C916" s="2"/>
    </row>
    <row r="917" customFormat="false" ht="12.75" hidden="false" customHeight="true" outlineLevel="0" collapsed="false">
      <c r="A917" s="3" t="s">
        <v>2809</v>
      </c>
      <c r="B917" s="3" t="str">
        <f aca="false">IF(ISNUMBER(SEARCH("%", A917)),RIGHT(A917,3),A917)</f>
        <v>0.04</v>
      </c>
      <c r="C917" s="2" t="s">
        <v>2809</v>
      </c>
    </row>
    <row r="918" customFormat="false" ht="12.75" hidden="false" customHeight="true" outlineLevel="0" collapsed="false">
      <c r="A918" s="3" t="s">
        <v>3044</v>
      </c>
      <c r="B918" s="3" t="str">
        <f aca="false">IF(ISNUMBER(SEARCH("%", A918)),RIGHT(A918,3),A918)</f>
        <v>29, 32, MAROWAK</v>
      </c>
      <c r="C918" s="2" t="s">
        <v>3044</v>
      </c>
    </row>
    <row r="919" customFormat="false" ht="12.75" hidden="false" customHeight="true" outlineLevel="0" collapsed="false">
      <c r="A919" s="3" t="s">
        <v>3045</v>
      </c>
      <c r="B919" s="3" t="str">
        <f aca="false">IF(ISNUMBER(SEARCH("%", A919)),RIGHT(A919,3),A919)</f>
        <v>28, 31, RATTCHET</v>
      </c>
      <c r="C919" s="2" t="s">
        <v>3045</v>
      </c>
    </row>
    <row r="920" customFormat="false" ht="12.75" hidden="false" customHeight="true" outlineLevel="0" collapsed="false">
      <c r="A920" s="3"/>
      <c r="B920" s="3" t="n">
        <f aca="false">IF(ISNUMBER(SEARCH("%", A920)),RIGHT(A920,3),A920)</f>
        <v>0</v>
      </c>
      <c r="C920" s="2"/>
    </row>
    <row r="921" customFormat="false" ht="12.75" hidden="false" customHeight="true" outlineLevel="0" collapsed="false">
      <c r="A921" s="3" t="s">
        <v>2812</v>
      </c>
      <c r="B921" s="3" t="str">
        <f aca="false">IF(ISNUMBER(SEARCH("%", A921)),RIGHT(A921,3),A921)</f>
        <v>0.01</v>
      </c>
      <c r="C921" s="2" t="s">
        <v>2812</v>
      </c>
    </row>
    <row r="922" customFormat="false" ht="12.75" hidden="false" customHeight="true" outlineLevel="0" collapsed="false">
      <c r="A922" s="3" t="s">
        <v>3056</v>
      </c>
      <c r="B922" s="3" t="str">
        <f aca="false">IF(ISNUMBER(SEARCH("%", A922)),RIGHT(A922,3),A922)</f>
        <v>32, 33, GENGAR</v>
      </c>
      <c r="C922" s="2" t="s">
        <v>3056</v>
      </c>
    </row>
    <row r="923" customFormat="false" ht="12.75" hidden="false" customHeight="true" outlineLevel="0" collapsed="false">
      <c r="A923" s="3" t="s">
        <v>3047</v>
      </c>
      <c r="B923" s="3" t="str">
        <f aca="false">IF(ISNUMBER(SEARCH("%", A923)),RIGHT(A923,3),A923)</f>
        <v>32, 33, NINETALES , &lt;null&gt;, &lt;null&gt;, &lt;null&gt;</v>
      </c>
      <c r="C923" s="2" t="s">
        <v>3047</v>
      </c>
    </row>
    <row r="924" customFormat="false" ht="12.75" hidden="false" customHeight="true" outlineLevel="0" collapsed="false">
      <c r="A924" s="3"/>
      <c r="B924" s="3" t="n">
        <f aca="false">IF(ISNUMBER(SEARCH("%", A924)),RIGHT(A924,3),A924)</f>
        <v>0</v>
      </c>
      <c r="C924" s="2"/>
    </row>
    <row r="925" customFormat="false" ht="12.75" hidden="false" customHeight="true" outlineLevel="0" collapsed="false">
      <c r="A925" s="3" t="s">
        <v>2536</v>
      </c>
      <c r="B925" s="3" t="str">
        <f aca="false">IF(ISNUMBER(SEARCH("%", A925)),RIGHT(A925,3),A925)</f>
        <v>NEW ROUTE</v>
      </c>
      <c r="C925" s="2" t="s">
        <v>2536</v>
      </c>
    </row>
    <row r="926" customFormat="false" ht="12.75" hidden="false" customHeight="true" outlineLevel="0" collapsed="false">
      <c r="A926" s="3" t="s">
        <v>3057</v>
      </c>
      <c r="B926" s="3" t="str">
        <f aca="false">IF(ISNUMBER(SEARCH("%", A926)),RIGHT(A926,3),A926)</f>
        <v>1, 95, 0,</v>
      </c>
      <c r="C926" s="2" t="s">
        <v>3057</v>
      </c>
    </row>
    <row r="927" customFormat="false" ht="12.75" hidden="false" customHeight="true" outlineLevel="0" collapsed="false">
      <c r="A927" s="3" t="s">
        <v>2816</v>
      </c>
      <c r="B927" s="3" t="str">
        <f aca="false">IF(ISNUMBER(SEARCH("%", A927)),RIGHT(A927,3),A927)</f>
        <v>20%</v>
      </c>
      <c r="C927" s="2" t="s">
        <v>2799</v>
      </c>
    </row>
    <row r="928" customFormat="false" ht="12.75" hidden="false" customHeight="true" outlineLevel="0" collapsed="false">
      <c r="A928" s="3" t="s">
        <v>1481</v>
      </c>
      <c r="B928" s="3" t="str">
        <f aca="false">IF(ISNUMBER(SEARCH("%", A928)),RIGHT(A928,3),A928)</f>
        <v>39, 46, MAGNEMITE</v>
      </c>
      <c r="C928" s="2" t="s">
        <v>1481</v>
      </c>
    </row>
    <row r="929" customFormat="false" ht="12.75" hidden="false" customHeight="true" outlineLevel="0" collapsed="false">
      <c r="A929" s="3" t="s">
        <v>3058</v>
      </c>
      <c r="B929" s="3" t="str">
        <f aca="false">IF(ISNUMBER(SEARCH("%", A929)),RIGHT(A929,3),A929)</f>
        <v>39, 46, PIKACHU</v>
      </c>
      <c r="C929" s="2" t="s">
        <v>3058</v>
      </c>
    </row>
    <row r="930" customFormat="false" ht="12.75" hidden="false" customHeight="true" outlineLevel="0" collapsed="false">
      <c r="A930" s="3"/>
      <c r="B930" s="3" t="n">
        <f aca="false">IF(ISNUMBER(SEARCH("%", A930)),RIGHT(A930,3),A930)</f>
        <v>0</v>
      </c>
      <c r="C930" s="2"/>
    </row>
    <row r="931" customFormat="false" ht="12.75" hidden="false" customHeight="true" outlineLevel="0" collapsed="false">
      <c r="A931" s="3" t="s">
        <v>2801</v>
      </c>
      <c r="B931" s="3" t="str">
        <f aca="false">IF(ISNUMBER(SEARCH("%", A931)),RIGHT(A931,3),A931)</f>
        <v>0.1</v>
      </c>
      <c r="C931" s="2" t="s">
        <v>2801</v>
      </c>
    </row>
    <row r="932" customFormat="false" ht="12.75" hidden="false" customHeight="true" outlineLevel="0" collapsed="false">
      <c r="A932" s="3" t="s">
        <v>3059</v>
      </c>
      <c r="B932" s="3" t="str">
        <f aca="false">IF(ISNUMBER(SEARCH("%", A932)),RIGHT(A932,3),A932)</f>
        <v>41, 48, VOLTORB</v>
      </c>
      <c r="C932" s="2" t="s">
        <v>3059</v>
      </c>
    </row>
    <row r="933" customFormat="false" ht="12.75" hidden="false" customHeight="true" outlineLevel="0" collapsed="false">
      <c r="A933" s="3" t="s">
        <v>3060</v>
      </c>
      <c r="B933" s="3" t="str">
        <f aca="false">IF(ISNUMBER(SEARCH("%", A933)),RIGHT(A933,3),A933)</f>
        <v>41, 46, ELECTABUZZ</v>
      </c>
      <c r="C933" s="2" t="s">
        <v>3060</v>
      </c>
    </row>
    <row r="934" customFormat="false" ht="12.75" hidden="false" customHeight="true" outlineLevel="0" collapsed="false">
      <c r="A934" s="3" t="s">
        <v>3061</v>
      </c>
      <c r="B934" s="3" t="str">
        <f aca="false">IF(ISNUMBER(SEARCH("%", A934)),RIGHT(A934,3),A934)</f>
        <v>41, 48, PORYGON</v>
      </c>
      <c r="C934" s="2" t="s">
        <v>3061</v>
      </c>
    </row>
    <row r="935" customFormat="false" ht="12.75" hidden="false" customHeight="true" outlineLevel="0" collapsed="false">
      <c r="A935" s="3" t="s">
        <v>3062</v>
      </c>
      <c r="B935" s="3" t="str">
        <f aca="false">IF(ISNUMBER(SEARCH("%", A935)),RIGHT(A935,3),A935)</f>
        <v>41, 48, MAGNETON</v>
      </c>
      <c r="C935" s="2" t="s">
        <v>3062</v>
      </c>
    </row>
    <row r="936" customFormat="false" ht="12.75" hidden="false" customHeight="true" outlineLevel="0" collapsed="false">
      <c r="A936" s="3"/>
      <c r="B936" s="3" t="n">
        <f aca="false">IF(ISNUMBER(SEARCH("%", A936)),RIGHT(A936,3),A936)</f>
        <v>0</v>
      </c>
      <c r="C936" s="2"/>
    </row>
    <row r="937" customFormat="false" ht="12.75" hidden="false" customHeight="true" outlineLevel="0" collapsed="false">
      <c r="A937" s="3" t="s">
        <v>2806</v>
      </c>
      <c r="B937" s="3" t="str">
        <f aca="false">IF(ISNUMBER(SEARCH("%", A937)),RIGHT(A937,3),A937)</f>
        <v>0.05</v>
      </c>
      <c r="C937" s="2" t="s">
        <v>2806</v>
      </c>
    </row>
    <row r="938" customFormat="false" ht="12.75" hidden="false" customHeight="true" outlineLevel="0" collapsed="false">
      <c r="A938" s="3" t="s">
        <v>3063</v>
      </c>
      <c r="B938" s="3" t="str">
        <f aca="false">IF(ISNUMBER(SEARCH("%", A938)),RIGHT(A938,3),A938)</f>
        <v>43, 50, PORYGON2</v>
      </c>
      <c r="C938" s="2" t="s">
        <v>3063</v>
      </c>
    </row>
    <row r="939" customFormat="false" ht="12.75" hidden="false" customHeight="true" outlineLevel="0" collapsed="false">
      <c r="A939" s="3" t="s">
        <v>3064</v>
      </c>
      <c r="B939" s="3" t="str">
        <f aca="false">IF(ISNUMBER(SEARCH("%", A939)),RIGHT(A939,3),A939)</f>
        <v>43, 50, ELECTRODE</v>
      </c>
      <c r="C939" s="2" t="s">
        <v>3064</v>
      </c>
    </row>
    <row r="940" customFormat="false" ht="12.75" hidden="false" customHeight="true" outlineLevel="0" collapsed="false">
      <c r="A940" s="3"/>
      <c r="B940" s="3" t="n">
        <f aca="false">IF(ISNUMBER(SEARCH("%", A940)),RIGHT(A940,3),A940)</f>
        <v>0</v>
      </c>
      <c r="C940" s="2"/>
    </row>
    <row r="941" customFormat="false" ht="12.75" hidden="false" customHeight="true" outlineLevel="0" collapsed="false">
      <c r="A941" s="3" t="s">
        <v>2809</v>
      </c>
      <c r="B941" s="3" t="str">
        <f aca="false">IF(ISNUMBER(SEARCH("%", A941)),RIGHT(A941,3),A941)</f>
        <v>0.04</v>
      </c>
      <c r="C941" s="2" t="s">
        <v>2809</v>
      </c>
    </row>
    <row r="942" customFormat="false" ht="12.75" hidden="false" customHeight="true" outlineLevel="0" collapsed="false">
      <c r="A942" s="3" t="s">
        <v>3065</v>
      </c>
      <c r="B942" s="3" t="str">
        <f aca="false">IF(ISNUMBER(SEARCH("%", A942)),RIGHT(A942,3),A942)</f>
        <v>43, 50, JOLTEON</v>
      </c>
      <c r="C942" s="2" t="s">
        <v>3065</v>
      </c>
    </row>
    <row r="943" customFormat="false" ht="12.75" hidden="false" customHeight="true" outlineLevel="0" collapsed="false">
      <c r="A943" s="3" t="s">
        <v>3066</v>
      </c>
      <c r="B943" s="3" t="str">
        <f aca="false">IF(ISNUMBER(SEARCH("%", A943)),RIGHT(A943,3),A943)</f>
        <v>43, 50, RAICHU</v>
      </c>
      <c r="C943" s="2" t="s">
        <v>3066</v>
      </c>
    </row>
    <row r="944" customFormat="false" ht="12.75" hidden="false" customHeight="true" outlineLevel="0" collapsed="false">
      <c r="A944" s="3"/>
      <c r="B944" s="3" t="n">
        <f aca="false">IF(ISNUMBER(SEARCH("%", A944)),RIGHT(A944,3),A944)</f>
        <v>0</v>
      </c>
      <c r="C944" s="2"/>
    </row>
    <row r="945" customFormat="false" ht="12.75" hidden="false" customHeight="true" outlineLevel="0" collapsed="false">
      <c r="A945" s="3" t="s">
        <v>2812</v>
      </c>
      <c r="B945" s="3" t="str">
        <f aca="false">IF(ISNUMBER(SEARCH("%", A945)),RIGHT(A945,3),A945)</f>
        <v>0.01</v>
      </c>
      <c r="C945" s="2" t="s">
        <v>2812</v>
      </c>
    </row>
    <row r="946" customFormat="false" ht="12.75" hidden="false" customHeight="true" outlineLevel="0" collapsed="false">
      <c r="A946" s="3" t="s">
        <v>3067</v>
      </c>
      <c r="B946" s="3" t="str">
        <f aca="false">IF(ISNUMBER(SEARCH("%", A946)),RIGHT(A946,3),A946)</f>
        <v>45, 52, ELECTIVIRE</v>
      </c>
      <c r="C946" s="2" t="s">
        <v>3067</v>
      </c>
    </row>
    <row r="947" customFormat="false" ht="12.75" hidden="false" customHeight="true" outlineLevel="0" collapsed="false">
      <c r="A947" s="3" t="s">
        <v>3068</v>
      </c>
      <c r="B947" s="3" t="str">
        <f aca="false">IF(ISNUMBER(SEARCH("%", A947)),RIGHT(A947,3),A947)</f>
        <v>45, 50, MAGNEZONE , &lt;null&gt;, &lt;null&gt;, &lt;null&gt;</v>
      </c>
      <c r="C947" s="2" t="s">
        <v>3068</v>
      </c>
    </row>
    <row r="948" customFormat="false" ht="12.75" hidden="false" customHeight="true" outlineLevel="0" collapsed="false">
      <c r="A948" s="3"/>
      <c r="B948" s="3" t="n">
        <f aca="false">IF(ISNUMBER(SEARCH("%", A948)),RIGHT(A948,3),A948)</f>
        <v>0</v>
      </c>
      <c r="C948" s="2"/>
    </row>
    <row r="949" customFormat="false" ht="12.75" hidden="false" customHeight="true" outlineLevel="0" collapsed="false">
      <c r="A949" s="3" t="s">
        <v>2536</v>
      </c>
      <c r="B949" s="3" t="str">
        <f aca="false">IF(ISNUMBER(SEARCH("%", A949)),RIGHT(A949,3),A949)</f>
        <v>NEW ROUTE</v>
      </c>
      <c r="C949" s="2" t="s">
        <v>2536</v>
      </c>
    </row>
    <row r="950" customFormat="false" ht="12.75" hidden="false" customHeight="true" outlineLevel="0" collapsed="false">
      <c r="A950" s="3" t="s">
        <v>3069</v>
      </c>
      <c r="B950" s="3" t="str">
        <f aca="false">IF(ISNUMBER(SEARCH("%", A950)),RIGHT(A950,3),A950)</f>
        <v>1, 97, 0,</v>
      </c>
      <c r="C950" s="2" t="s">
        <v>3069</v>
      </c>
    </row>
    <row r="951" customFormat="false" ht="12.75" hidden="false" customHeight="true" outlineLevel="0" collapsed="false">
      <c r="A951" s="3" t="s">
        <v>2908</v>
      </c>
      <c r="B951" s="3" t="str">
        <f aca="false">IF(ISNUMBER(SEARCH("%", A951)),RIGHT(A951,3),A951)</f>
        <v>20%</v>
      </c>
      <c r="C951" s="2" t="s">
        <v>2799</v>
      </c>
    </row>
    <row r="952" customFormat="false" ht="12.75" hidden="false" customHeight="true" outlineLevel="0" collapsed="false">
      <c r="A952" s="3" t="s">
        <v>1494</v>
      </c>
      <c r="B952" s="3" t="str">
        <f aca="false">IF(ISNUMBER(SEARCH("%", A952)),RIGHT(A952,3),A952)</f>
        <v>30, 30, PONYTA</v>
      </c>
      <c r="C952" s="2" t="s">
        <v>1494</v>
      </c>
    </row>
    <row r="953" customFormat="false" ht="12.75" hidden="false" customHeight="true" outlineLevel="0" collapsed="false">
      <c r="A953" s="3" t="s">
        <v>3070</v>
      </c>
      <c r="B953" s="3" t="str">
        <f aca="false">IF(ISNUMBER(SEARCH("%", A953)),RIGHT(A953,3),A953)</f>
        <v>38, 38, FEAROW</v>
      </c>
      <c r="C953" s="2" t="s">
        <v>3070</v>
      </c>
    </row>
    <row r="954" customFormat="false" ht="12.75" hidden="false" customHeight="true" outlineLevel="0" collapsed="false">
      <c r="A954" s="3"/>
      <c r="B954" s="3" t="n">
        <f aca="false">IF(ISNUMBER(SEARCH("%", A954)),RIGHT(A954,3),A954)</f>
        <v>0</v>
      </c>
      <c r="C954" s="2"/>
    </row>
    <row r="955" customFormat="false" ht="12.75" hidden="false" customHeight="true" outlineLevel="0" collapsed="false">
      <c r="A955" s="3" t="s">
        <v>2801</v>
      </c>
      <c r="B955" s="3" t="str">
        <f aca="false">IF(ISNUMBER(SEARCH("%", A955)),RIGHT(A955,3),A955)</f>
        <v>0.1</v>
      </c>
      <c r="C955" s="2" t="s">
        <v>2801</v>
      </c>
    </row>
    <row r="956" customFormat="false" ht="12.75" hidden="false" customHeight="true" outlineLevel="0" collapsed="false">
      <c r="A956" s="3" t="s">
        <v>3071</v>
      </c>
      <c r="B956" s="3" t="str">
        <f aca="false">IF(ISNUMBER(SEARCH("%", A956)),RIGHT(A956,3),A956)</f>
        <v>33, 33, PONYTA</v>
      </c>
      <c r="C956" s="2" t="s">
        <v>3071</v>
      </c>
    </row>
    <row r="957" customFormat="false" ht="12.75" hidden="false" customHeight="true" outlineLevel="0" collapsed="false">
      <c r="A957" s="3" t="s">
        <v>1666</v>
      </c>
      <c r="B957" s="3" t="str">
        <f aca="false">IF(ISNUMBER(SEARCH("%", A957)),RIGHT(A957,3),A957)</f>
        <v>32, 32, SPEAROW</v>
      </c>
      <c r="C957" s="2" t="s">
        <v>1666</v>
      </c>
    </row>
    <row r="958" customFormat="false" ht="12.75" hidden="false" customHeight="true" outlineLevel="0" collapsed="false">
      <c r="A958" s="3" t="s">
        <v>3072</v>
      </c>
      <c r="B958" s="3" t="str">
        <f aca="false">IF(ISNUMBER(SEARCH("%", A958)),RIGHT(A958,3),A958)</f>
        <v>35, 35, MACHOP</v>
      </c>
      <c r="C958" s="2" t="s">
        <v>3072</v>
      </c>
    </row>
    <row r="959" customFormat="false" ht="12.75" hidden="false" customHeight="true" outlineLevel="0" collapsed="false">
      <c r="A959" s="3" t="s">
        <v>1507</v>
      </c>
      <c r="B959" s="3" t="str">
        <f aca="false">IF(ISNUMBER(SEARCH("%", A959)),RIGHT(A959,3),A959)</f>
        <v>33, 33, GEODUDE</v>
      </c>
      <c r="C959" s="2" t="s">
        <v>1507</v>
      </c>
    </row>
    <row r="960" customFormat="false" ht="12.75" hidden="false" customHeight="true" outlineLevel="0" collapsed="false">
      <c r="A960" s="3"/>
      <c r="B960" s="3" t="n">
        <f aca="false">IF(ISNUMBER(SEARCH("%", A960)),RIGHT(A960,3),A960)</f>
        <v>0</v>
      </c>
      <c r="C960" s="2"/>
    </row>
    <row r="961" customFormat="false" ht="12.75" hidden="false" customHeight="true" outlineLevel="0" collapsed="false">
      <c r="A961" s="3" t="s">
        <v>2806</v>
      </c>
      <c r="B961" s="3" t="str">
        <f aca="false">IF(ISNUMBER(SEARCH("%", A961)),RIGHT(A961,3),A961)</f>
        <v>0.05</v>
      </c>
      <c r="C961" s="2" t="s">
        <v>2806</v>
      </c>
    </row>
    <row r="962" customFormat="false" ht="12.75" hidden="false" customHeight="true" outlineLevel="0" collapsed="false">
      <c r="A962" s="3" t="s">
        <v>3073</v>
      </c>
      <c r="B962" s="3" t="str">
        <f aca="false">IF(ISNUMBER(SEARCH("%", A962)),RIGHT(A962,3),A962)</f>
        <v>36, 36, PONYTA</v>
      </c>
      <c r="C962" s="2" t="s">
        <v>3073</v>
      </c>
    </row>
    <row r="963" customFormat="false" ht="12.75" hidden="false" customHeight="true" outlineLevel="0" collapsed="false">
      <c r="A963" s="3" t="s">
        <v>3074</v>
      </c>
      <c r="B963" s="3" t="str">
        <f aca="false">IF(ISNUMBER(SEARCH("%", A963)),RIGHT(A963,3),A963)</f>
        <v>40, 40, FEAROW</v>
      </c>
      <c r="C963" s="2" t="s">
        <v>3074</v>
      </c>
    </row>
    <row r="964" customFormat="false" ht="12.75" hidden="false" customHeight="true" outlineLevel="0" collapsed="false">
      <c r="A964" s="3"/>
      <c r="B964" s="3" t="n">
        <f aca="false">IF(ISNUMBER(SEARCH("%", A964)),RIGHT(A964,3),A964)</f>
        <v>0</v>
      </c>
      <c r="C964" s="2"/>
    </row>
    <row r="965" customFormat="false" ht="12.75" hidden="false" customHeight="true" outlineLevel="0" collapsed="false">
      <c r="A965" s="3" t="s">
        <v>2809</v>
      </c>
      <c r="B965" s="3" t="str">
        <f aca="false">IF(ISNUMBER(SEARCH("%", A965)),RIGHT(A965,3),A965)</f>
        <v>0.04</v>
      </c>
      <c r="C965" s="2" t="s">
        <v>2809</v>
      </c>
    </row>
    <row r="966" customFormat="false" ht="12.75" hidden="false" customHeight="true" outlineLevel="0" collapsed="false">
      <c r="A966" s="3" t="s">
        <v>3075</v>
      </c>
      <c r="B966" s="3" t="str">
        <f aca="false">IF(ISNUMBER(SEARCH("%", A966)),RIGHT(A966,3),A966)</f>
        <v>38, 38, MAGMAR</v>
      </c>
      <c r="C966" s="2" t="s">
        <v>3075</v>
      </c>
    </row>
    <row r="967" customFormat="false" ht="12.75" hidden="false" customHeight="true" outlineLevel="0" collapsed="false">
      <c r="A967" s="3" t="s">
        <v>3076</v>
      </c>
      <c r="B967" s="3" t="str">
        <f aca="false">IF(ISNUMBER(SEARCH("%", A967)),RIGHT(A967,3),A967)</f>
        <v>39, 39, RAPIDASH</v>
      </c>
      <c r="C967" s="2" t="s">
        <v>3076</v>
      </c>
    </row>
    <row r="968" customFormat="false" ht="12.75" hidden="false" customHeight="true" outlineLevel="0" collapsed="false">
      <c r="A968" s="3"/>
      <c r="B968" s="3" t="n">
        <f aca="false">IF(ISNUMBER(SEARCH("%", A968)),RIGHT(A968,3),A968)</f>
        <v>0</v>
      </c>
      <c r="C968" s="2"/>
    </row>
    <row r="969" customFormat="false" ht="12.75" hidden="false" customHeight="true" outlineLevel="0" collapsed="false">
      <c r="A969" s="3" t="s">
        <v>2812</v>
      </c>
      <c r="B969" s="3" t="str">
        <f aca="false">IF(ISNUMBER(SEARCH("%", A969)),RIGHT(A969,3),A969)</f>
        <v>0.01</v>
      </c>
      <c r="C969" s="2" t="s">
        <v>2812</v>
      </c>
    </row>
    <row r="970" customFormat="false" ht="12.75" hidden="false" customHeight="true" outlineLevel="0" collapsed="false">
      <c r="A970" s="3" t="s">
        <v>3077</v>
      </c>
      <c r="B970" s="3" t="str">
        <f aca="false">IF(ISNUMBER(SEARCH("%", A970)),RIGHT(A970,3),A970)</f>
        <v>40, 40, MAGMAR</v>
      </c>
      <c r="C970" s="2" t="s">
        <v>3077</v>
      </c>
    </row>
    <row r="971" customFormat="false" ht="12.75" hidden="false" customHeight="true" outlineLevel="0" collapsed="false">
      <c r="A971" s="3" t="s">
        <v>3078</v>
      </c>
      <c r="B971" s="3" t="str">
        <f aca="false">IF(ISNUMBER(SEARCH("%", A971)),RIGHT(A971,3),A971)</f>
        <v>42, 42, RAPIDASH</v>
      </c>
      <c r="C971" s="2" t="s">
        <v>3078</v>
      </c>
    </row>
    <row r="972" customFormat="false" ht="12.75" hidden="false" customHeight="true" outlineLevel="0" collapsed="false">
      <c r="A972" s="3" t="s">
        <v>2999</v>
      </c>
      <c r="B972" s="3" t="str">
        <f aca="false">IF(ISNUMBER(SEARCH("%", A972)),RIGHT(A972,3),A972)</f>
        <v>50, 5, 20, GEODUDE</v>
      </c>
      <c r="C972" s="2" t="s">
        <v>2999</v>
      </c>
    </row>
    <row r="973" customFormat="false" ht="12.75" hidden="false" customHeight="true" outlineLevel="0" collapsed="false">
      <c r="A973" s="3" t="s">
        <v>3000</v>
      </c>
      <c r="B973" s="3" t="str">
        <f aca="false">IF(ISNUMBER(SEARCH("%", A973)),RIGHT(A973,3),A973)</f>
        <v>10, 20, GEODUDE</v>
      </c>
      <c r="C973" s="2" t="s">
        <v>3000</v>
      </c>
    </row>
    <row r="974" customFormat="false" ht="12.75" hidden="false" customHeight="true" outlineLevel="0" collapsed="false">
      <c r="A974" s="3" t="s">
        <v>3001</v>
      </c>
      <c r="B974" s="3" t="str">
        <f aca="false">IF(ISNUMBER(SEARCH("%", A974)),RIGHT(A974,3),A974)</f>
        <v>15, 30, GEODUDE</v>
      </c>
      <c r="C974" s="2" t="s">
        <v>3001</v>
      </c>
    </row>
    <row r="975" customFormat="false" ht="12.75" hidden="false" customHeight="true" outlineLevel="0" collapsed="false">
      <c r="A975" s="3" t="s">
        <v>3002</v>
      </c>
      <c r="B975" s="3" t="str">
        <f aca="false">IF(ISNUMBER(SEARCH("%", A975)),RIGHT(A975,3),A975)</f>
        <v>25, 40, GRAVELER</v>
      </c>
      <c r="C975" s="2" t="s">
        <v>3002</v>
      </c>
    </row>
    <row r="976" customFormat="false" ht="12.75" hidden="false" customHeight="true" outlineLevel="0" collapsed="false">
      <c r="A976" s="3" t="s">
        <v>3003</v>
      </c>
      <c r="B976" s="3" t="str">
        <f aca="false">IF(ISNUMBER(SEARCH("%", A976)),RIGHT(A976,3),A976)</f>
        <v>30, 40, GRAVELER , &lt;null&gt;</v>
      </c>
      <c r="C976" s="2" t="s">
        <v>3003</v>
      </c>
    </row>
    <row r="977" customFormat="false" ht="12.75" hidden="false" customHeight="true" outlineLevel="0" collapsed="false">
      <c r="A977" s="3"/>
      <c r="B977" s="3" t="n">
        <f aca="false">IF(ISNUMBER(SEARCH("%", A977)),RIGHT(A977,3),A977)</f>
        <v>0</v>
      </c>
      <c r="C977" s="2"/>
    </row>
    <row r="978" customFormat="false" ht="12.75" hidden="false" customHeight="true" outlineLevel="0" collapsed="false">
      <c r="A978" s="3" t="s">
        <v>2536</v>
      </c>
      <c r="B978" s="3" t="str">
        <f aca="false">IF(ISNUMBER(SEARCH("%", A978)),RIGHT(A978,3),A978)</f>
        <v>NEW ROUTE</v>
      </c>
      <c r="C978" s="2" t="s">
        <v>2536</v>
      </c>
    </row>
    <row r="979" customFormat="false" ht="12.75" hidden="false" customHeight="true" outlineLevel="0" collapsed="false">
      <c r="A979" s="3" t="s">
        <v>3079</v>
      </c>
      <c r="B979" s="3" t="str">
        <f aca="false">IF(ISNUMBER(SEARCH("%", A979)),RIGHT(A979,3),A979)</f>
        <v>1, 98, 0,</v>
      </c>
      <c r="C979" s="2" t="s">
        <v>3079</v>
      </c>
    </row>
    <row r="980" customFormat="false" ht="12.75" hidden="false" customHeight="true" outlineLevel="0" collapsed="false">
      <c r="A980" s="3" t="s">
        <v>2816</v>
      </c>
      <c r="B980" s="3" t="str">
        <f aca="false">IF(ISNUMBER(SEARCH("%", A980)),RIGHT(A980,3),A980)</f>
        <v>20%</v>
      </c>
      <c r="C980" s="2" t="s">
        <v>2799</v>
      </c>
    </row>
    <row r="981" customFormat="false" ht="12.75" hidden="false" customHeight="true" outlineLevel="0" collapsed="false">
      <c r="A981" s="3" t="s">
        <v>1507</v>
      </c>
      <c r="B981" s="3" t="str">
        <f aca="false">IF(ISNUMBER(SEARCH("%", A981)),RIGHT(A981,3),A981)</f>
        <v>33, 33, GEODUDE</v>
      </c>
      <c r="C981" s="2" t="s">
        <v>1507</v>
      </c>
    </row>
    <row r="982" customFormat="false" ht="12.75" hidden="false" customHeight="true" outlineLevel="0" collapsed="false">
      <c r="A982" s="3" t="s">
        <v>3072</v>
      </c>
      <c r="B982" s="3" t="str">
        <f aca="false">IF(ISNUMBER(SEARCH("%", A982)),RIGHT(A982,3),A982)</f>
        <v>35, 35, MACHOP</v>
      </c>
      <c r="C982" s="2" t="s">
        <v>3072</v>
      </c>
    </row>
    <row r="983" customFormat="false" ht="12.75" hidden="false" customHeight="true" outlineLevel="0" collapsed="false">
      <c r="A983" s="3"/>
      <c r="B983" s="3" t="n">
        <f aca="false">IF(ISNUMBER(SEARCH("%", A983)),RIGHT(A983,3),A983)</f>
        <v>0</v>
      </c>
      <c r="C983" s="2"/>
    </row>
    <row r="984" customFormat="false" ht="12.75" hidden="false" customHeight="true" outlineLevel="0" collapsed="false">
      <c r="A984" s="3" t="s">
        <v>2801</v>
      </c>
      <c r="B984" s="3" t="str">
        <f aca="false">IF(ISNUMBER(SEARCH("%", A984)),RIGHT(A984,3),A984)</f>
        <v>0.1</v>
      </c>
      <c r="C984" s="2" t="s">
        <v>2801</v>
      </c>
    </row>
    <row r="985" customFormat="false" ht="12.75" hidden="false" customHeight="true" outlineLevel="0" collapsed="false">
      <c r="A985" s="3" t="s">
        <v>3080</v>
      </c>
      <c r="B985" s="3" t="str">
        <f aca="false">IF(ISNUMBER(SEARCH("%", A985)),RIGHT(A985,3),A985)</f>
        <v>29, 29, GEODUDE</v>
      </c>
      <c r="C985" s="2" t="s">
        <v>3080</v>
      </c>
    </row>
    <row r="986" customFormat="false" ht="12.75" hidden="false" customHeight="true" outlineLevel="0" collapsed="false">
      <c r="A986" s="3" t="s">
        <v>3081</v>
      </c>
      <c r="B986" s="3" t="str">
        <f aca="false">IF(ISNUMBER(SEARCH("%", A986)),RIGHT(A986,3),A986)</f>
        <v>31, 31, GEODUDE</v>
      </c>
      <c r="C986" s="2" t="s">
        <v>3081</v>
      </c>
    </row>
    <row r="987" customFormat="false" ht="12.75" hidden="false" customHeight="true" outlineLevel="0" collapsed="false">
      <c r="A987" s="3" t="s">
        <v>3082</v>
      </c>
      <c r="B987" s="3" t="str">
        <f aca="false">IF(ISNUMBER(SEARCH("%", A987)),RIGHT(A987,3),A987)</f>
        <v>31, 31, MACHOP</v>
      </c>
      <c r="C987" s="2" t="s">
        <v>3082</v>
      </c>
    </row>
    <row r="988" customFormat="false" ht="12.75" hidden="false" customHeight="true" outlineLevel="0" collapsed="false">
      <c r="A988" s="3" t="s">
        <v>3083</v>
      </c>
      <c r="B988" s="3" t="str">
        <f aca="false">IF(ISNUMBER(SEARCH("%", A988)),RIGHT(A988,3),A988)</f>
        <v>33, 33, MACHOP</v>
      </c>
      <c r="C988" s="2" t="s">
        <v>3083</v>
      </c>
    </row>
    <row r="989" customFormat="false" ht="12.75" hidden="false" customHeight="true" outlineLevel="0" collapsed="false">
      <c r="A989" s="3"/>
      <c r="B989" s="3" t="n">
        <f aca="false">IF(ISNUMBER(SEARCH("%", A989)),RIGHT(A989,3),A989)</f>
        <v>0</v>
      </c>
      <c r="C989" s="2"/>
    </row>
    <row r="990" customFormat="false" ht="12.75" hidden="false" customHeight="true" outlineLevel="0" collapsed="false">
      <c r="A990" s="3" t="s">
        <v>2806</v>
      </c>
      <c r="B990" s="3" t="str">
        <f aca="false">IF(ISNUMBER(SEARCH("%", A990)),RIGHT(A990,3),A990)</f>
        <v>0.05</v>
      </c>
      <c r="C990" s="2" t="s">
        <v>2806</v>
      </c>
    </row>
    <row r="991" customFormat="false" ht="12.75" hidden="false" customHeight="true" outlineLevel="0" collapsed="false">
      <c r="A991" s="3" t="s">
        <v>3084</v>
      </c>
      <c r="B991" s="3" t="str">
        <f aca="false">IF(ISNUMBER(SEARCH("%", A991)),RIGHT(A991,3),A991)</f>
        <v>35, 35, GEODUDE</v>
      </c>
      <c r="C991" s="2" t="s">
        <v>3084</v>
      </c>
    </row>
    <row r="992" customFormat="false" ht="12.75" hidden="false" customHeight="true" outlineLevel="0" collapsed="false">
      <c r="A992" s="3" t="s">
        <v>3085</v>
      </c>
      <c r="B992" s="3" t="str">
        <f aca="false">IF(ISNUMBER(SEARCH("%", A992)),RIGHT(A992,3),A992)</f>
        <v>37, 37, MACHOP</v>
      </c>
      <c r="C992" s="2" t="s">
        <v>3085</v>
      </c>
    </row>
    <row r="993" customFormat="false" ht="12.75" hidden="false" customHeight="true" outlineLevel="0" collapsed="false">
      <c r="A993" s="3"/>
      <c r="B993" s="3" t="n">
        <f aca="false">IF(ISNUMBER(SEARCH("%", A993)),RIGHT(A993,3),A993)</f>
        <v>0</v>
      </c>
      <c r="C993" s="2"/>
    </row>
    <row r="994" customFormat="false" ht="12.75" hidden="false" customHeight="true" outlineLevel="0" collapsed="false">
      <c r="A994" s="3" t="s">
        <v>2809</v>
      </c>
      <c r="B994" s="3" t="str">
        <f aca="false">IF(ISNUMBER(SEARCH("%", A994)),RIGHT(A994,3),A994)</f>
        <v>0.04</v>
      </c>
      <c r="C994" s="2" t="s">
        <v>2809</v>
      </c>
    </row>
    <row r="995" customFormat="false" ht="12.75" hidden="false" customHeight="true" outlineLevel="0" collapsed="false">
      <c r="A995" s="3" t="s">
        <v>3086</v>
      </c>
      <c r="B995" s="3" t="str">
        <f aca="false">IF(ISNUMBER(SEARCH("%", A995)),RIGHT(A995,3),A995)</f>
        <v>37, 37, GEODUDE</v>
      </c>
      <c r="C995" s="2" t="s">
        <v>3086</v>
      </c>
    </row>
    <row r="996" customFormat="false" ht="12.75" hidden="false" customHeight="true" outlineLevel="0" collapsed="false">
      <c r="A996" s="3" t="s">
        <v>3087</v>
      </c>
      <c r="B996" s="3" t="str">
        <f aca="false">IF(ISNUMBER(SEARCH("%", A996)),RIGHT(A996,3),A996)</f>
        <v>39, 39, MACHOP</v>
      </c>
      <c r="C996" s="2" t="s">
        <v>3087</v>
      </c>
    </row>
    <row r="997" customFormat="false" ht="12.75" hidden="false" customHeight="true" outlineLevel="0" collapsed="false">
      <c r="A997" s="3"/>
      <c r="B997" s="3" t="n">
        <f aca="false">IF(ISNUMBER(SEARCH("%", A997)),RIGHT(A997,3),A997)</f>
        <v>0</v>
      </c>
      <c r="C997" s="2"/>
    </row>
    <row r="998" customFormat="false" ht="12.75" hidden="false" customHeight="true" outlineLevel="0" collapsed="false">
      <c r="A998" s="3" t="s">
        <v>2812</v>
      </c>
      <c r="B998" s="3" t="str">
        <f aca="false">IF(ISNUMBER(SEARCH("%", A998)),RIGHT(A998,3),A998)</f>
        <v>0.01</v>
      </c>
      <c r="C998" s="2" t="s">
        <v>2812</v>
      </c>
    </row>
    <row r="999" customFormat="false" ht="12.75" hidden="false" customHeight="true" outlineLevel="0" collapsed="false">
      <c r="A999" s="3" t="s">
        <v>3086</v>
      </c>
      <c r="B999" s="3" t="str">
        <f aca="false">IF(ISNUMBER(SEARCH("%", A999)),RIGHT(A999,3),A999)</f>
        <v>37, 37, GEODUDE</v>
      </c>
      <c r="C999" s="2" t="s">
        <v>3086</v>
      </c>
    </row>
    <row r="1000" customFormat="false" ht="12.75" hidden="false" customHeight="true" outlineLevel="0" collapsed="false">
      <c r="A1000" s="3" t="s">
        <v>3088</v>
      </c>
      <c r="B1000" s="3" t="str">
        <f aca="false">IF(ISNUMBER(SEARCH("%", A1000)),RIGHT(A1000,3),A1000)</f>
        <v>39, 39, MACHOP , &lt;null&gt;, &lt;null&gt;, &lt;null&gt;</v>
      </c>
      <c r="C1000" s="2" t="s">
        <v>3088</v>
      </c>
    </row>
    <row r="1001" customFormat="false" ht="12.75" hidden="false" customHeight="true" outlineLevel="0" collapsed="false">
      <c r="A1001" s="3"/>
      <c r="B1001" s="3" t="n">
        <f aca="false">IF(ISNUMBER(SEARCH("%", A1001)),RIGHT(A1001,3),A1001)</f>
        <v>0</v>
      </c>
      <c r="C1001" s="2"/>
    </row>
    <row r="1002" customFormat="false" ht="12.75" hidden="false" customHeight="true" outlineLevel="0" collapsed="false">
      <c r="A1002" s="3" t="s">
        <v>2536</v>
      </c>
      <c r="B1002" s="3" t="str">
        <f aca="false">IF(ISNUMBER(SEARCH("%", A1002)),RIGHT(A1002,3),A1002)</f>
        <v>NEW ROUTE</v>
      </c>
      <c r="C1002" s="2" t="s">
        <v>2536</v>
      </c>
    </row>
    <row r="1003" customFormat="false" ht="12.75" hidden="false" customHeight="true" outlineLevel="0" collapsed="false">
      <c r="A1003" s="3" t="s">
        <v>3089</v>
      </c>
      <c r="B1003" s="3" t="str">
        <f aca="false">IF(ISNUMBER(SEARCH("%", A1003)),RIGHT(A1003,3),A1003)</f>
        <v>1, 99, 0,</v>
      </c>
      <c r="C1003" s="2" t="s">
        <v>3089</v>
      </c>
    </row>
    <row r="1004" customFormat="false" ht="12.75" hidden="false" customHeight="true" outlineLevel="0" collapsed="false">
      <c r="A1004" s="3" t="s">
        <v>2816</v>
      </c>
      <c r="B1004" s="3" t="str">
        <f aca="false">IF(ISNUMBER(SEARCH("%", A1004)),RIGHT(A1004,3),A1004)</f>
        <v>20%</v>
      </c>
      <c r="C1004" s="2" t="s">
        <v>2799</v>
      </c>
    </row>
    <row r="1005" customFormat="false" ht="12.75" hidden="false" customHeight="true" outlineLevel="0" collapsed="false">
      <c r="A1005" s="3" t="s">
        <v>1518</v>
      </c>
      <c r="B1005" s="3" t="str">
        <f aca="false">IF(ISNUMBER(SEARCH("%", A1005)),RIGHT(A1005,3),A1005)</f>
        <v>34, 34, GEODUDE</v>
      </c>
      <c r="C1005" s="2" t="s">
        <v>1518</v>
      </c>
    </row>
    <row r="1006" customFormat="false" ht="12.75" hidden="false" customHeight="true" outlineLevel="0" collapsed="false">
      <c r="A1006" s="3" t="s">
        <v>3090</v>
      </c>
      <c r="B1006" s="3" t="str">
        <f aca="false">IF(ISNUMBER(SEARCH("%", A1006)),RIGHT(A1006,3),A1006)</f>
        <v>36, 36, MACHOP</v>
      </c>
      <c r="C1006" s="2" t="s">
        <v>3090</v>
      </c>
    </row>
    <row r="1007" customFormat="false" ht="12.75" hidden="false" customHeight="true" outlineLevel="0" collapsed="false">
      <c r="A1007" s="3"/>
      <c r="B1007" s="3" t="n">
        <f aca="false">IF(ISNUMBER(SEARCH("%", A1007)),RIGHT(A1007,3),A1007)</f>
        <v>0</v>
      </c>
      <c r="C1007" s="2"/>
    </row>
    <row r="1008" customFormat="false" ht="12.75" hidden="false" customHeight="true" outlineLevel="0" collapsed="false">
      <c r="A1008" s="3" t="s">
        <v>2801</v>
      </c>
      <c r="B1008" s="3" t="str">
        <f aca="false">IF(ISNUMBER(SEARCH("%", A1008)),RIGHT(A1008,3),A1008)</f>
        <v>0.1</v>
      </c>
      <c r="C1008" s="2" t="s">
        <v>2801</v>
      </c>
    </row>
    <row r="1009" customFormat="false" ht="12.75" hidden="false" customHeight="true" outlineLevel="0" collapsed="false">
      <c r="A1009" s="3" t="s">
        <v>3091</v>
      </c>
      <c r="B1009" s="3" t="str">
        <f aca="false">IF(ISNUMBER(SEARCH("%", A1009)),RIGHT(A1009,3),A1009)</f>
        <v>30, 30, GEODUDE</v>
      </c>
      <c r="C1009" s="2" t="s">
        <v>3091</v>
      </c>
    </row>
    <row r="1010" customFormat="false" ht="12.75" hidden="false" customHeight="true" outlineLevel="0" collapsed="false">
      <c r="A1010" s="3" t="s">
        <v>3092</v>
      </c>
      <c r="B1010" s="3" t="str">
        <f aca="false">IF(ISNUMBER(SEARCH("%", A1010)),RIGHT(A1010,3),A1010)</f>
        <v>32, 32, GEODUDE</v>
      </c>
      <c r="C1010" s="2" t="s">
        <v>3092</v>
      </c>
    </row>
    <row r="1011" customFormat="false" ht="12.75" hidden="false" customHeight="true" outlineLevel="0" collapsed="false">
      <c r="A1011" s="3" t="s">
        <v>3093</v>
      </c>
      <c r="B1011" s="3" t="str">
        <f aca="false">IF(ISNUMBER(SEARCH("%", A1011)),RIGHT(A1011,3),A1011)</f>
        <v>32, 32, MACHOP</v>
      </c>
      <c r="C1011" s="2" t="s">
        <v>3093</v>
      </c>
    </row>
    <row r="1012" customFormat="false" ht="12.75" hidden="false" customHeight="true" outlineLevel="0" collapsed="false">
      <c r="A1012" s="3" t="s">
        <v>3094</v>
      </c>
      <c r="B1012" s="3" t="str">
        <f aca="false">IF(ISNUMBER(SEARCH("%", A1012)),RIGHT(A1012,3),A1012)</f>
        <v>34, 34, MACHOP</v>
      </c>
      <c r="C1012" s="2" t="s">
        <v>3094</v>
      </c>
    </row>
    <row r="1013" customFormat="false" ht="12.75" hidden="false" customHeight="true" outlineLevel="0" collapsed="false">
      <c r="A1013" s="3"/>
      <c r="B1013" s="3" t="n">
        <f aca="false">IF(ISNUMBER(SEARCH("%", A1013)),RIGHT(A1013,3),A1013)</f>
        <v>0</v>
      </c>
      <c r="C1013" s="2"/>
    </row>
    <row r="1014" customFormat="false" ht="12.75" hidden="false" customHeight="true" outlineLevel="0" collapsed="false">
      <c r="A1014" s="3" t="s">
        <v>2806</v>
      </c>
      <c r="B1014" s="3" t="str">
        <f aca="false">IF(ISNUMBER(SEARCH("%", A1014)),RIGHT(A1014,3),A1014)</f>
        <v>0.05</v>
      </c>
      <c r="C1014" s="2" t="s">
        <v>2806</v>
      </c>
    </row>
    <row r="1015" customFormat="false" ht="12.75" hidden="false" customHeight="true" outlineLevel="0" collapsed="false">
      <c r="A1015" s="3" t="s">
        <v>3095</v>
      </c>
      <c r="B1015" s="3" t="str">
        <f aca="false">IF(ISNUMBER(SEARCH("%", A1015)),RIGHT(A1015,3),A1015)</f>
        <v>38, 38, MACHOKE</v>
      </c>
      <c r="C1015" s="2" t="s">
        <v>3095</v>
      </c>
    </row>
    <row r="1016" customFormat="false" ht="12.75" hidden="false" customHeight="true" outlineLevel="0" collapsed="false">
      <c r="A1016" s="3" t="s">
        <v>3095</v>
      </c>
      <c r="B1016" s="3" t="str">
        <f aca="false">IF(ISNUMBER(SEARCH("%", A1016)),RIGHT(A1016,3),A1016)</f>
        <v>38, 38, MACHOKE</v>
      </c>
      <c r="C1016" s="2" t="s">
        <v>3095</v>
      </c>
    </row>
    <row r="1017" customFormat="false" ht="12.75" hidden="false" customHeight="true" outlineLevel="0" collapsed="false">
      <c r="A1017" s="3"/>
      <c r="B1017" s="3" t="n">
        <f aca="false">IF(ISNUMBER(SEARCH("%", A1017)),RIGHT(A1017,3),A1017)</f>
        <v>0</v>
      </c>
      <c r="C1017" s="2"/>
    </row>
    <row r="1018" customFormat="false" ht="12.75" hidden="false" customHeight="true" outlineLevel="0" collapsed="false">
      <c r="A1018" s="3" t="s">
        <v>2809</v>
      </c>
      <c r="B1018" s="3" t="str">
        <f aca="false">IF(ISNUMBER(SEARCH("%", A1018)),RIGHT(A1018,3),A1018)</f>
        <v>0.04</v>
      </c>
      <c r="C1018" s="2" t="s">
        <v>2809</v>
      </c>
    </row>
    <row r="1019" customFormat="false" ht="12.75" hidden="false" customHeight="true" outlineLevel="0" collapsed="false">
      <c r="A1019" s="3" t="s">
        <v>3096</v>
      </c>
      <c r="B1019" s="3" t="str">
        <f aca="false">IF(ISNUMBER(SEARCH("%", A1019)),RIGHT(A1019,3),A1019)</f>
        <v>40, 40, MACHOKE</v>
      </c>
      <c r="C1019" s="2" t="s">
        <v>3096</v>
      </c>
    </row>
    <row r="1020" customFormat="false" ht="12.75" hidden="false" customHeight="true" outlineLevel="0" collapsed="false">
      <c r="A1020" s="3" t="s">
        <v>3096</v>
      </c>
      <c r="B1020" s="3" t="str">
        <f aca="false">IF(ISNUMBER(SEARCH("%", A1020)),RIGHT(A1020,3),A1020)</f>
        <v>40, 40, MACHOKE</v>
      </c>
      <c r="C1020" s="2" t="s">
        <v>3096</v>
      </c>
    </row>
    <row r="1021" customFormat="false" ht="12.75" hidden="false" customHeight="true" outlineLevel="0" collapsed="false">
      <c r="A1021" s="3"/>
      <c r="B1021" s="3" t="n">
        <f aca="false">IF(ISNUMBER(SEARCH("%", A1021)),RIGHT(A1021,3),A1021)</f>
        <v>0</v>
      </c>
      <c r="C1021" s="2"/>
    </row>
    <row r="1022" customFormat="false" ht="12.75" hidden="false" customHeight="true" outlineLevel="0" collapsed="false">
      <c r="A1022" s="3" t="s">
        <v>2812</v>
      </c>
      <c r="B1022" s="3" t="str">
        <f aca="false">IF(ISNUMBER(SEARCH("%", A1022)),RIGHT(A1022,3),A1022)</f>
        <v>0.01</v>
      </c>
      <c r="C1022" s="2" t="s">
        <v>2812</v>
      </c>
    </row>
    <row r="1023" customFormat="false" ht="12.75" hidden="false" customHeight="true" outlineLevel="0" collapsed="false">
      <c r="A1023" s="3" t="s">
        <v>3096</v>
      </c>
      <c r="B1023" s="3" t="str">
        <f aca="false">IF(ISNUMBER(SEARCH("%", A1023)),RIGHT(A1023,3),A1023)</f>
        <v>40, 40, MACHOKE</v>
      </c>
      <c r="C1023" s="2" t="s">
        <v>3096</v>
      </c>
    </row>
    <row r="1024" customFormat="false" ht="12.75" hidden="false" customHeight="true" outlineLevel="0" collapsed="false">
      <c r="A1024" s="3" t="s">
        <v>3096</v>
      </c>
      <c r="B1024" s="3" t="str">
        <f aca="false">IF(ISNUMBER(SEARCH("%", A1024)),RIGHT(A1024,3),A1024)</f>
        <v>40, 40, MACHOKE</v>
      </c>
      <c r="C1024" s="2" t="s">
        <v>3096</v>
      </c>
    </row>
    <row r="1025" customFormat="false" ht="12.75" hidden="false" customHeight="true" outlineLevel="0" collapsed="false">
      <c r="A1025" s="3" t="s">
        <v>2999</v>
      </c>
      <c r="B1025" s="3" t="str">
        <f aca="false">IF(ISNUMBER(SEARCH("%", A1025)),RIGHT(A1025,3),A1025)</f>
        <v>50, 5, 20, GEODUDE</v>
      </c>
      <c r="C1025" s="2" t="s">
        <v>2999</v>
      </c>
    </row>
    <row r="1026" customFormat="false" ht="12.75" hidden="false" customHeight="true" outlineLevel="0" collapsed="false">
      <c r="A1026" s="3" t="s">
        <v>3000</v>
      </c>
      <c r="B1026" s="3" t="str">
        <f aca="false">IF(ISNUMBER(SEARCH("%", A1026)),RIGHT(A1026,3),A1026)</f>
        <v>10, 20, GEODUDE</v>
      </c>
      <c r="C1026" s="2" t="s">
        <v>3000</v>
      </c>
    </row>
    <row r="1027" customFormat="false" ht="12.75" hidden="false" customHeight="true" outlineLevel="0" collapsed="false">
      <c r="A1027" s="3" t="s">
        <v>3001</v>
      </c>
      <c r="B1027" s="3" t="str">
        <f aca="false">IF(ISNUMBER(SEARCH("%", A1027)),RIGHT(A1027,3),A1027)</f>
        <v>15, 30, GEODUDE</v>
      </c>
      <c r="C1027" s="2" t="s">
        <v>3001</v>
      </c>
    </row>
    <row r="1028" customFormat="false" ht="12.75" hidden="false" customHeight="true" outlineLevel="0" collapsed="false">
      <c r="A1028" s="3" t="s">
        <v>3002</v>
      </c>
      <c r="B1028" s="3" t="str">
        <f aca="false">IF(ISNUMBER(SEARCH("%", A1028)),RIGHT(A1028,3),A1028)</f>
        <v>25, 40, GRAVELER</v>
      </c>
      <c r="C1028" s="2" t="s">
        <v>3002</v>
      </c>
    </row>
    <row r="1029" customFormat="false" ht="12.75" hidden="false" customHeight="true" outlineLevel="0" collapsed="false">
      <c r="A1029" s="3" t="s">
        <v>3003</v>
      </c>
      <c r="B1029" s="3" t="str">
        <f aca="false">IF(ISNUMBER(SEARCH("%", A1029)),RIGHT(A1029,3),A1029)</f>
        <v>30, 40, GRAVELER , &lt;null&gt;</v>
      </c>
      <c r="C1029" s="2" t="s">
        <v>3003</v>
      </c>
    </row>
    <row r="1030" customFormat="false" ht="12.75" hidden="false" customHeight="true" outlineLevel="0" collapsed="false">
      <c r="A1030" s="3"/>
      <c r="B1030" s="3" t="n">
        <f aca="false">IF(ISNUMBER(SEARCH("%", A1030)),RIGHT(A1030,3),A1030)</f>
        <v>0</v>
      </c>
      <c r="C1030" s="2"/>
    </row>
    <row r="1031" customFormat="false" ht="12.75" hidden="false" customHeight="true" outlineLevel="0" collapsed="false">
      <c r="A1031" s="3" t="s">
        <v>2536</v>
      </c>
      <c r="B1031" s="3" t="str">
        <f aca="false">IF(ISNUMBER(SEARCH("%", A1031)),RIGHT(A1031,3),A1031)</f>
        <v>NEW ROUTE</v>
      </c>
      <c r="C1031" s="2" t="s">
        <v>2536</v>
      </c>
    </row>
    <row r="1032" customFormat="false" ht="12.75" hidden="false" customHeight="true" outlineLevel="0" collapsed="false">
      <c r="A1032" s="3" t="s">
        <v>3097</v>
      </c>
      <c r="B1032" s="3" t="str">
        <f aca="false">IF(ISNUMBER(SEARCH("%", A1032)),RIGHT(A1032,3),A1032)</f>
        <v>1, 100, 0,</v>
      </c>
      <c r="C1032" s="2" t="s">
        <v>3097</v>
      </c>
    </row>
    <row r="1033" customFormat="false" ht="12.75" hidden="false" customHeight="true" outlineLevel="0" collapsed="false">
      <c r="A1033" s="3" t="s">
        <v>2816</v>
      </c>
      <c r="B1033" s="3" t="str">
        <f aca="false">IF(ISNUMBER(SEARCH("%", A1033)),RIGHT(A1033,3),A1033)</f>
        <v>20%</v>
      </c>
      <c r="C1033" s="2" t="s">
        <v>2799</v>
      </c>
    </row>
    <row r="1034" customFormat="false" ht="12.75" hidden="false" customHeight="true" outlineLevel="0" collapsed="false">
      <c r="A1034" s="3" t="s">
        <v>1507</v>
      </c>
      <c r="B1034" s="3" t="str">
        <f aca="false">IF(ISNUMBER(SEARCH("%", A1034)),RIGHT(A1034,3),A1034)</f>
        <v>33, 33, GEODUDE</v>
      </c>
      <c r="C1034" s="2" t="s">
        <v>1507</v>
      </c>
    </row>
    <row r="1035" customFormat="false" ht="12.75" hidden="false" customHeight="true" outlineLevel="0" collapsed="false">
      <c r="A1035" s="3" t="s">
        <v>3072</v>
      </c>
      <c r="B1035" s="3" t="str">
        <f aca="false">IF(ISNUMBER(SEARCH("%", A1035)),RIGHT(A1035,3),A1035)</f>
        <v>35, 35, MACHOP</v>
      </c>
      <c r="C1035" s="2" t="s">
        <v>3072</v>
      </c>
    </row>
    <row r="1036" customFormat="false" ht="12.75" hidden="false" customHeight="true" outlineLevel="0" collapsed="false">
      <c r="A1036" s="3"/>
      <c r="B1036" s="3" t="n">
        <f aca="false">IF(ISNUMBER(SEARCH("%", A1036)),RIGHT(A1036,3),A1036)</f>
        <v>0</v>
      </c>
      <c r="C1036" s="2"/>
    </row>
    <row r="1037" customFormat="false" ht="12.75" hidden="false" customHeight="true" outlineLevel="0" collapsed="false">
      <c r="A1037" s="3" t="s">
        <v>2801</v>
      </c>
      <c r="B1037" s="3" t="str">
        <f aca="false">IF(ISNUMBER(SEARCH("%", A1037)),RIGHT(A1037,3),A1037)</f>
        <v>0.1</v>
      </c>
      <c r="C1037" s="2" t="s">
        <v>2801</v>
      </c>
    </row>
    <row r="1038" customFormat="false" ht="12.75" hidden="false" customHeight="true" outlineLevel="0" collapsed="false">
      <c r="A1038" s="3" t="s">
        <v>3080</v>
      </c>
      <c r="B1038" s="3" t="str">
        <f aca="false">IF(ISNUMBER(SEARCH("%", A1038)),RIGHT(A1038,3),A1038)</f>
        <v>29, 29, GEODUDE</v>
      </c>
      <c r="C1038" s="2" t="s">
        <v>3080</v>
      </c>
    </row>
    <row r="1039" customFormat="false" ht="12.75" hidden="false" customHeight="true" outlineLevel="0" collapsed="false">
      <c r="A1039" s="3" t="s">
        <v>3081</v>
      </c>
      <c r="B1039" s="3" t="str">
        <f aca="false">IF(ISNUMBER(SEARCH("%", A1039)),RIGHT(A1039,3),A1039)</f>
        <v>31, 31, GEODUDE</v>
      </c>
      <c r="C1039" s="2" t="s">
        <v>3081</v>
      </c>
    </row>
    <row r="1040" customFormat="false" ht="12.75" hidden="false" customHeight="true" outlineLevel="0" collapsed="false">
      <c r="A1040" s="3" t="s">
        <v>3082</v>
      </c>
      <c r="B1040" s="3" t="str">
        <f aca="false">IF(ISNUMBER(SEARCH("%", A1040)),RIGHT(A1040,3),A1040)</f>
        <v>31, 31, MACHOP</v>
      </c>
      <c r="C1040" s="2" t="s">
        <v>3082</v>
      </c>
    </row>
    <row r="1041" customFormat="false" ht="12.75" hidden="false" customHeight="true" outlineLevel="0" collapsed="false">
      <c r="A1041" s="3" t="s">
        <v>3083</v>
      </c>
      <c r="B1041" s="3" t="str">
        <f aca="false">IF(ISNUMBER(SEARCH("%", A1041)),RIGHT(A1041,3),A1041)</f>
        <v>33, 33, MACHOP</v>
      </c>
      <c r="C1041" s="2" t="s">
        <v>3083</v>
      </c>
    </row>
    <row r="1042" customFormat="false" ht="12.75" hidden="false" customHeight="true" outlineLevel="0" collapsed="false">
      <c r="A1042" s="3"/>
      <c r="B1042" s="3" t="n">
        <f aca="false">IF(ISNUMBER(SEARCH("%", A1042)),RIGHT(A1042,3),A1042)</f>
        <v>0</v>
      </c>
      <c r="C1042" s="2"/>
    </row>
    <row r="1043" customFormat="false" ht="12.75" hidden="false" customHeight="true" outlineLevel="0" collapsed="false">
      <c r="A1043" s="3" t="s">
        <v>2806</v>
      </c>
      <c r="B1043" s="3" t="str">
        <f aca="false">IF(ISNUMBER(SEARCH("%", A1043)),RIGHT(A1043,3),A1043)</f>
        <v>0.05</v>
      </c>
      <c r="C1043" s="2" t="s">
        <v>2806</v>
      </c>
    </row>
    <row r="1044" customFormat="false" ht="12.75" hidden="false" customHeight="true" outlineLevel="0" collapsed="false">
      <c r="A1044" s="3" t="s">
        <v>3084</v>
      </c>
      <c r="B1044" s="3" t="str">
        <f aca="false">IF(ISNUMBER(SEARCH("%", A1044)),RIGHT(A1044,3),A1044)</f>
        <v>35, 35, GEODUDE</v>
      </c>
      <c r="C1044" s="2" t="s">
        <v>3084</v>
      </c>
    </row>
    <row r="1045" customFormat="false" ht="12.75" hidden="false" customHeight="true" outlineLevel="0" collapsed="false">
      <c r="A1045" s="3" t="s">
        <v>3085</v>
      </c>
      <c r="B1045" s="3" t="str">
        <f aca="false">IF(ISNUMBER(SEARCH("%", A1045)),RIGHT(A1045,3),A1045)</f>
        <v>37, 37, MACHOP</v>
      </c>
      <c r="C1045" s="2" t="s">
        <v>3085</v>
      </c>
    </row>
    <row r="1046" customFormat="false" ht="12.75" hidden="false" customHeight="true" outlineLevel="0" collapsed="false">
      <c r="A1046" s="3"/>
      <c r="B1046" s="3" t="n">
        <f aca="false">IF(ISNUMBER(SEARCH("%", A1046)),RIGHT(A1046,3),A1046)</f>
        <v>0</v>
      </c>
      <c r="C1046" s="2"/>
    </row>
    <row r="1047" customFormat="false" ht="12.75" hidden="false" customHeight="true" outlineLevel="0" collapsed="false">
      <c r="A1047" s="3" t="s">
        <v>2809</v>
      </c>
      <c r="B1047" s="3" t="str">
        <f aca="false">IF(ISNUMBER(SEARCH("%", A1047)),RIGHT(A1047,3),A1047)</f>
        <v>0.04</v>
      </c>
      <c r="C1047" s="2" t="s">
        <v>2809</v>
      </c>
    </row>
    <row r="1048" customFormat="false" ht="12.75" hidden="false" customHeight="true" outlineLevel="0" collapsed="false">
      <c r="A1048" s="3" t="s">
        <v>3086</v>
      </c>
      <c r="B1048" s="3" t="str">
        <f aca="false">IF(ISNUMBER(SEARCH("%", A1048)),RIGHT(A1048,3),A1048)</f>
        <v>37, 37, GEODUDE</v>
      </c>
      <c r="C1048" s="2" t="s">
        <v>3086</v>
      </c>
    </row>
    <row r="1049" customFormat="false" ht="12.75" hidden="false" customHeight="true" outlineLevel="0" collapsed="false">
      <c r="A1049" s="3" t="s">
        <v>3087</v>
      </c>
      <c r="B1049" s="3" t="str">
        <f aca="false">IF(ISNUMBER(SEARCH("%", A1049)),RIGHT(A1049,3),A1049)</f>
        <v>39, 39, MACHOP</v>
      </c>
      <c r="C1049" s="2" t="s">
        <v>3087</v>
      </c>
    </row>
    <row r="1050" customFormat="false" ht="12.75" hidden="false" customHeight="true" outlineLevel="0" collapsed="false">
      <c r="A1050" s="3"/>
      <c r="B1050" s="3" t="n">
        <f aca="false">IF(ISNUMBER(SEARCH("%", A1050)),RIGHT(A1050,3),A1050)</f>
        <v>0</v>
      </c>
      <c r="C1050" s="2"/>
    </row>
    <row r="1051" customFormat="false" ht="12.75" hidden="false" customHeight="true" outlineLevel="0" collapsed="false">
      <c r="A1051" s="3" t="s">
        <v>2812</v>
      </c>
      <c r="B1051" s="3" t="str">
        <f aca="false">IF(ISNUMBER(SEARCH("%", A1051)),RIGHT(A1051,3),A1051)</f>
        <v>0.01</v>
      </c>
      <c r="C1051" s="2" t="s">
        <v>2812</v>
      </c>
    </row>
    <row r="1052" customFormat="false" ht="12.75" hidden="false" customHeight="true" outlineLevel="0" collapsed="false">
      <c r="A1052" s="3" t="s">
        <v>3086</v>
      </c>
      <c r="B1052" s="3" t="str">
        <f aca="false">IF(ISNUMBER(SEARCH("%", A1052)),RIGHT(A1052,3),A1052)</f>
        <v>37, 37, GEODUDE</v>
      </c>
      <c r="C1052" s="2" t="s">
        <v>3086</v>
      </c>
    </row>
    <row r="1053" customFormat="false" ht="12.75" hidden="false" customHeight="true" outlineLevel="0" collapsed="false">
      <c r="A1053" s="3" t="s">
        <v>3088</v>
      </c>
      <c r="B1053" s="3" t="str">
        <f aca="false">IF(ISNUMBER(SEARCH("%", A1053)),RIGHT(A1053,3),A1053)</f>
        <v>39, 39, MACHOP , &lt;null&gt;, &lt;null&gt;, &lt;null&gt;</v>
      </c>
      <c r="C1053" s="2" t="s">
        <v>3088</v>
      </c>
    </row>
    <row r="1054" customFormat="false" ht="12.75" hidden="false" customHeight="true" outlineLevel="0" collapsed="false">
      <c r="A1054" s="3"/>
      <c r="B1054" s="3" t="n">
        <f aca="false">IF(ISNUMBER(SEARCH("%", A1054)),RIGHT(A1054,3),A1054)</f>
        <v>0</v>
      </c>
      <c r="C1054" s="2"/>
    </row>
    <row r="1055" customFormat="false" ht="12.75" hidden="false" customHeight="true" outlineLevel="0" collapsed="false">
      <c r="A1055" s="3" t="s">
        <v>2536</v>
      </c>
      <c r="B1055" s="3" t="str">
        <f aca="false">IF(ISNUMBER(SEARCH("%", A1055)),RIGHT(A1055,3),A1055)</f>
        <v>NEW ROUTE</v>
      </c>
      <c r="C1055" s="2" t="s">
        <v>2536</v>
      </c>
    </row>
    <row r="1056" customFormat="false" ht="12.75" hidden="false" customHeight="true" outlineLevel="0" collapsed="false">
      <c r="A1056" s="3" t="s">
        <v>3098</v>
      </c>
      <c r="B1056" s="3" t="str">
        <f aca="false">IF(ISNUMBER(SEARCH("%", A1056)),RIGHT(A1056,3),A1056)</f>
        <v>1, 103, 0,</v>
      </c>
      <c r="C1056" s="2" t="s">
        <v>3098</v>
      </c>
    </row>
    <row r="1057" customFormat="false" ht="12.75" hidden="false" customHeight="true" outlineLevel="0" collapsed="false">
      <c r="A1057" s="3" t="s">
        <v>2816</v>
      </c>
      <c r="B1057" s="3" t="str">
        <f aca="false">IF(ISNUMBER(SEARCH("%", A1057)),RIGHT(A1057,3),A1057)</f>
        <v>20%</v>
      </c>
      <c r="C1057" s="2" t="s">
        <v>2799</v>
      </c>
    </row>
    <row r="1058" customFormat="false" ht="12.75" hidden="false" customHeight="true" outlineLevel="0" collapsed="false">
      <c r="A1058" s="3" t="s">
        <v>1529</v>
      </c>
      <c r="B1058" s="3" t="str">
        <f aca="false">IF(ISNUMBER(SEARCH("%", A1058)),RIGHT(A1058,3),A1058)</f>
        <v>36, 36, GEODUDE</v>
      </c>
      <c r="C1058" s="2" t="s">
        <v>1529</v>
      </c>
    </row>
    <row r="1059" customFormat="false" ht="12.75" hidden="false" customHeight="true" outlineLevel="0" collapsed="false">
      <c r="A1059" s="3" t="s">
        <v>3099</v>
      </c>
      <c r="B1059" s="3" t="str">
        <f aca="false">IF(ISNUMBER(SEARCH("%", A1059)),RIGHT(A1059,3),A1059)</f>
        <v>38, 38, MACHOP</v>
      </c>
      <c r="C1059" s="2" t="s">
        <v>3099</v>
      </c>
    </row>
    <row r="1060" customFormat="false" ht="12.75" hidden="false" customHeight="true" outlineLevel="0" collapsed="false">
      <c r="A1060" s="3"/>
      <c r="B1060" s="3" t="n">
        <f aca="false">IF(ISNUMBER(SEARCH("%", A1060)),RIGHT(A1060,3),A1060)</f>
        <v>0</v>
      </c>
      <c r="C1060" s="2"/>
    </row>
    <row r="1061" customFormat="false" ht="12.75" hidden="false" customHeight="true" outlineLevel="0" collapsed="false">
      <c r="A1061" s="3" t="s">
        <v>2801</v>
      </c>
      <c r="B1061" s="3" t="str">
        <f aca="false">IF(ISNUMBER(SEARCH("%", A1061)),RIGHT(A1061,3),A1061)</f>
        <v>0.1</v>
      </c>
      <c r="C1061" s="2" t="s">
        <v>2801</v>
      </c>
    </row>
    <row r="1062" customFormat="false" ht="12.75" hidden="false" customHeight="true" outlineLevel="0" collapsed="false">
      <c r="A1062" s="3" t="s">
        <v>3092</v>
      </c>
      <c r="B1062" s="3" t="str">
        <f aca="false">IF(ISNUMBER(SEARCH("%", A1062)),RIGHT(A1062,3),A1062)</f>
        <v>32, 32, GEODUDE</v>
      </c>
      <c r="C1062" s="2" t="s">
        <v>3092</v>
      </c>
    </row>
    <row r="1063" customFormat="false" ht="12.75" hidden="false" customHeight="true" outlineLevel="0" collapsed="false">
      <c r="A1063" s="3" t="s">
        <v>1518</v>
      </c>
      <c r="B1063" s="3" t="str">
        <f aca="false">IF(ISNUMBER(SEARCH("%", A1063)),RIGHT(A1063,3),A1063)</f>
        <v>34, 34, GEODUDE</v>
      </c>
      <c r="C1063" s="2" t="s">
        <v>1518</v>
      </c>
    </row>
    <row r="1064" customFormat="false" ht="12.75" hidden="false" customHeight="true" outlineLevel="0" collapsed="false">
      <c r="A1064" s="3" t="s">
        <v>3094</v>
      </c>
      <c r="B1064" s="3" t="str">
        <f aca="false">IF(ISNUMBER(SEARCH("%", A1064)),RIGHT(A1064,3),A1064)</f>
        <v>34, 34, MACHOP</v>
      </c>
      <c r="C1064" s="2" t="s">
        <v>3094</v>
      </c>
    </row>
    <row r="1065" customFormat="false" ht="12.75" hidden="false" customHeight="true" outlineLevel="0" collapsed="false">
      <c r="A1065" s="3" t="s">
        <v>3090</v>
      </c>
      <c r="B1065" s="3" t="str">
        <f aca="false">IF(ISNUMBER(SEARCH("%", A1065)),RIGHT(A1065,3),A1065)</f>
        <v>36, 36, MACHOP</v>
      </c>
      <c r="C1065" s="2" t="s">
        <v>3090</v>
      </c>
    </row>
    <row r="1066" customFormat="false" ht="12.75" hidden="false" customHeight="true" outlineLevel="0" collapsed="false">
      <c r="A1066" s="3"/>
      <c r="B1066" s="3" t="n">
        <f aca="false">IF(ISNUMBER(SEARCH("%", A1066)),RIGHT(A1066,3),A1066)</f>
        <v>0</v>
      </c>
      <c r="C1066" s="2"/>
    </row>
    <row r="1067" customFormat="false" ht="12.75" hidden="false" customHeight="true" outlineLevel="0" collapsed="false">
      <c r="A1067" s="3" t="s">
        <v>2806</v>
      </c>
      <c r="B1067" s="3" t="str">
        <f aca="false">IF(ISNUMBER(SEARCH("%", A1067)),RIGHT(A1067,3),A1067)</f>
        <v>0.05</v>
      </c>
      <c r="C1067" s="2" t="s">
        <v>2806</v>
      </c>
    </row>
    <row r="1068" customFormat="false" ht="12.75" hidden="false" customHeight="true" outlineLevel="0" collapsed="false">
      <c r="A1068" s="3" t="s">
        <v>1541</v>
      </c>
      <c r="B1068" s="3" t="str">
        <f aca="false">IF(ISNUMBER(SEARCH("%", A1068)),RIGHT(A1068,3),A1068)</f>
        <v>38, 38, GEODUDE</v>
      </c>
      <c r="C1068" s="2" t="s">
        <v>1541</v>
      </c>
    </row>
    <row r="1069" customFormat="false" ht="12.75" hidden="false" customHeight="true" outlineLevel="0" collapsed="false">
      <c r="A1069" s="3" t="s">
        <v>3096</v>
      </c>
      <c r="B1069" s="3" t="str">
        <f aca="false">IF(ISNUMBER(SEARCH("%", A1069)),RIGHT(A1069,3),A1069)</f>
        <v>40, 40, MACHOKE</v>
      </c>
      <c r="C1069" s="2" t="s">
        <v>3096</v>
      </c>
    </row>
    <row r="1070" customFormat="false" ht="12.75" hidden="false" customHeight="true" outlineLevel="0" collapsed="false">
      <c r="A1070" s="3"/>
      <c r="B1070" s="3" t="n">
        <f aca="false">IF(ISNUMBER(SEARCH("%", A1070)),RIGHT(A1070,3),A1070)</f>
        <v>0</v>
      </c>
      <c r="C1070" s="2"/>
    </row>
    <row r="1071" customFormat="false" ht="12.75" hidden="false" customHeight="true" outlineLevel="0" collapsed="false">
      <c r="A1071" s="3" t="s">
        <v>2809</v>
      </c>
      <c r="B1071" s="3" t="str">
        <f aca="false">IF(ISNUMBER(SEARCH("%", A1071)),RIGHT(A1071,3),A1071)</f>
        <v>0.04</v>
      </c>
      <c r="C1071" s="2" t="s">
        <v>2809</v>
      </c>
    </row>
    <row r="1072" customFormat="false" ht="12.75" hidden="false" customHeight="true" outlineLevel="0" collapsed="false">
      <c r="A1072" s="3" t="s">
        <v>1550</v>
      </c>
      <c r="B1072" s="3" t="str">
        <f aca="false">IF(ISNUMBER(SEARCH("%", A1072)),RIGHT(A1072,3),A1072)</f>
        <v>40, 40, GEODUDE</v>
      </c>
      <c r="C1072" s="2" t="s">
        <v>1550</v>
      </c>
    </row>
    <row r="1073" customFormat="false" ht="12.75" hidden="false" customHeight="true" outlineLevel="0" collapsed="false">
      <c r="A1073" s="3" t="s">
        <v>3100</v>
      </c>
      <c r="B1073" s="3" t="str">
        <f aca="false">IF(ISNUMBER(SEARCH("%", A1073)),RIGHT(A1073,3),A1073)</f>
        <v>42, 42, MACHOKE</v>
      </c>
      <c r="C1073" s="2" t="s">
        <v>3100</v>
      </c>
    </row>
    <row r="1074" customFormat="false" ht="12.75" hidden="false" customHeight="true" outlineLevel="0" collapsed="false">
      <c r="A1074" s="3"/>
      <c r="B1074" s="3" t="n">
        <f aca="false">IF(ISNUMBER(SEARCH("%", A1074)),RIGHT(A1074,3),A1074)</f>
        <v>0</v>
      </c>
      <c r="C1074" s="2"/>
    </row>
    <row r="1075" customFormat="false" ht="12.75" hidden="false" customHeight="true" outlineLevel="0" collapsed="false">
      <c r="A1075" s="3" t="s">
        <v>2812</v>
      </c>
      <c r="B1075" s="3" t="str">
        <f aca="false">IF(ISNUMBER(SEARCH("%", A1075)),RIGHT(A1075,3),A1075)</f>
        <v>0.01</v>
      </c>
      <c r="C1075" s="2" t="s">
        <v>2812</v>
      </c>
    </row>
    <row r="1076" customFormat="false" ht="12.75" hidden="false" customHeight="true" outlineLevel="0" collapsed="false">
      <c r="A1076" s="3" t="s">
        <v>1550</v>
      </c>
      <c r="B1076" s="3" t="str">
        <f aca="false">IF(ISNUMBER(SEARCH("%", A1076)),RIGHT(A1076,3),A1076)</f>
        <v>40, 40, GEODUDE</v>
      </c>
      <c r="C1076" s="2" t="s">
        <v>1550</v>
      </c>
    </row>
    <row r="1077" customFormat="false" ht="12.75" hidden="false" customHeight="true" outlineLevel="0" collapsed="false">
      <c r="A1077" s="3" t="s">
        <v>3100</v>
      </c>
      <c r="B1077" s="3" t="str">
        <f aca="false">IF(ISNUMBER(SEARCH("%", A1077)),RIGHT(A1077,3),A1077)</f>
        <v>42, 42, MACHOKE</v>
      </c>
      <c r="C1077" s="2" t="s">
        <v>3100</v>
      </c>
    </row>
    <row r="1078" customFormat="false" ht="12.75" hidden="false" customHeight="true" outlineLevel="0" collapsed="false">
      <c r="A1078" s="3" t="s">
        <v>3101</v>
      </c>
      <c r="B1078" s="3" t="str">
        <f aca="false">IF(ISNUMBER(SEARCH("%", A1078)),RIGHT(A1078,3),A1078)</f>
        <v>50, 25, 35, GEODUDE</v>
      </c>
      <c r="C1078" s="2" t="s">
        <v>3101</v>
      </c>
    </row>
    <row r="1079" customFormat="false" ht="12.75" hidden="false" customHeight="true" outlineLevel="0" collapsed="false">
      <c r="A1079" s="3" t="s">
        <v>3102</v>
      </c>
      <c r="B1079" s="3" t="str">
        <f aca="false">IF(ISNUMBER(SEARCH("%", A1079)),RIGHT(A1079,3),A1079)</f>
        <v>30, 45, GRAVELER</v>
      </c>
      <c r="C1079" s="2" t="s">
        <v>3102</v>
      </c>
    </row>
    <row r="1080" customFormat="false" ht="12.75" hidden="false" customHeight="true" outlineLevel="0" collapsed="false">
      <c r="A1080" s="3" t="s">
        <v>3103</v>
      </c>
      <c r="B1080" s="3" t="str">
        <f aca="false">IF(ISNUMBER(SEARCH("%", A1080)),RIGHT(A1080,3),A1080)</f>
        <v>35, 50, GRAVELER</v>
      </c>
      <c r="C1080" s="2" t="s">
        <v>3103</v>
      </c>
    </row>
    <row r="1081" customFormat="false" ht="12.75" hidden="false" customHeight="true" outlineLevel="0" collapsed="false">
      <c r="A1081" s="3" t="s">
        <v>3104</v>
      </c>
      <c r="B1081" s="3" t="str">
        <f aca="false">IF(ISNUMBER(SEARCH("%", A1081)),RIGHT(A1081,3),A1081)</f>
        <v>30, 40, GEODUDE</v>
      </c>
      <c r="C1081" s="2" t="s">
        <v>3104</v>
      </c>
    </row>
    <row r="1082" customFormat="false" ht="12.75" hidden="false" customHeight="true" outlineLevel="0" collapsed="false">
      <c r="A1082" s="3" t="s">
        <v>3105</v>
      </c>
      <c r="B1082" s="3" t="str">
        <f aca="false">IF(ISNUMBER(SEARCH("%", A1082)),RIGHT(A1082,3),A1082)</f>
        <v>30, 40, GEODUDE , &lt;null&gt;</v>
      </c>
      <c r="C1082" s="2" t="s">
        <v>3105</v>
      </c>
    </row>
    <row r="1083" customFormat="false" ht="12.75" hidden="false" customHeight="true" outlineLevel="0" collapsed="false">
      <c r="A1083" s="3"/>
      <c r="B1083" s="3" t="n">
        <f aca="false">IF(ISNUMBER(SEARCH("%", A1083)),RIGHT(A1083,3),A1083)</f>
        <v>0</v>
      </c>
      <c r="C1083" s="2"/>
    </row>
    <row r="1084" customFormat="false" ht="12.75" hidden="false" customHeight="true" outlineLevel="0" collapsed="false">
      <c r="A1084" s="3" t="s">
        <v>2536</v>
      </c>
      <c r="B1084" s="3" t="str">
        <f aca="false">IF(ISNUMBER(SEARCH("%", A1084)),RIGHT(A1084,3),A1084)</f>
        <v>NEW ROUTE</v>
      </c>
      <c r="C1084" s="2" t="s">
        <v>2536</v>
      </c>
    </row>
    <row r="1085" customFormat="false" ht="12.75" hidden="false" customHeight="true" outlineLevel="0" collapsed="false">
      <c r="A1085" s="3" t="s">
        <v>3106</v>
      </c>
      <c r="B1085" s="3" t="str">
        <f aca="false">IF(ISNUMBER(SEARCH("%", A1085)),RIGHT(A1085,3),A1085)</f>
        <v>1, 104, 0,</v>
      </c>
      <c r="C1085" s="2" t="s">
        <v>3106</v>
      </c>
    </row>
    <row r="1086" customFormat="false" ht="12.75" hidden="false" customHeight="true" outlineLevel="0" collapsed="false">
      <c r="A1086" s="3" t="s">
        <v>2816</v>
      </c>
      <c r="B1086" s="3" t="str">
        <f aca="false">IF(ISNUMBER(SEARCH("%", A1086)),RIGHT(A1086,3),A1086)</f>
        <v>20%</v>
      </c>
      <c r="C1086" s="2" t="s">
        <v>2799</v>
      </c>
    </row>
    <row r="1087" customFormat="false" ht="12.75" hidden="false" customHeight="true" outlineLevel="0" collapsed="false">
      <c r="A1087" s="3" t="s">
        <v>1541</v>
      </c>
      <c r="B1087" s="3" t="str">
        <f aca="false">IF(ISNUMBER(SEARCH("%", A1087)),RIGHT(A1087,3),A1087)</f>
        <v>38, 38, GEODUDE</v>
      </c>
      <c r="C1087" s="2" t="s">
        <v>1541</v>
      </c>
    </row>
    <row r="1088" customFormat="false" ht="12.75" hidden="false" customHeight="true" outlineLevel="0" collapsed="false">
      <c r="A1088" s="3" t="s">
        <v>1529</v>
      </c>
      <c r="B1088" s="3" t="str">
        <f aca="false">IF(ISNUMBER(SEARCH("%", A1088)),RIGHT(A1088,3),A1088)</f>
        <v>36, 36, GEODUDE</v>
      </c>
      <c r="C1088" s="2" t="s">
        <v>1529</v>
      </c>
    </row>
    <row r="1089" customFormat="false" ht="12.75" hidden="false" customHeight="true" outlineLevel="0" collapsed="false">
      <c r="A1089" s="3"/>
      <c r="B1089" s="3" t="n">
        <f aca="false">IF(ISNUMBER(SEARCH("%", A1089)),RIGHT(A1089,3),A1089)</f>
        <v>0</v>
      </c>
      <c r="C1089" s="2"/>
    </row>
    <row r="1090" customFormat="false" ht="12.75" hidden="false" customHeight="true" outlineLevel="0" collapsed="false">
      <c r="A1090" s="3" t="s">
        <v>2801</v>
      </c>
      <c r="B1090" s="3" t="str">
        <f aca="false">IF(ISNUMBER(SEARCH("%", A1090)),RIGHT(A1090,3),A1090)</f>
        <v>0.1</v>
      </c>
      <c r="C1090" s="2" t="s">
        <v>2801</v>
      </c>
    </row>
    <row r="1091" customFormat="false" ht="12.75" hidden="false" customHeight="true" outlineLevel="0" collapsed="false">
      <c r="A1091" s="3" t="s">
        <v>1518</v>
      </c>
      <c r="B1091" s="3" t="str">
        <f aca="false">IF(ISNUMBER(SEARCH("%", A1091)),RIGHT(A1091,3),A1091)</f>
        <v>34, 34, GEODUDE</v>
      </c>
      <c r="C1091" s="2" t="s">
        <v>1518</v>
      </c>
    </row>
    <row r="1092" customFormat="false" ht="12.75" hidden="false" customHeight="true" outlineLevel="0" collapsed="false">
      <c r="A1092" s="3" t="s">
        <v>1550</v>
      </c>
      <c r="B1092" s="3" t="str">
        <f aca="false">IF(ISNUMBER(SEARCH("%", A1092)),RIGHT(A1092,3),A1092)</f>
        <v>40, 40, GEODUDE</v>
      </c>
      <c r="C1092" s="2" t="s">
        <v>1550</v>
      </c>
    </row>
    <row r="1093" customFormat="false" ht="12.75" hidden="false" customHeight="true" outlineLevel="0" collapsed="false">
      <c r="A1093" s="3" t="s">
        <v>3107</v>
      </c>
      <c r="B1093" s="3" t="str">
        <f aca="false">IF(ISNUMBER(SEARCH("%", A1093)),RIGHT(A1093,3),A1093)</f>
        <v>24, 24, SLUGMA</v>
      </c>
      <c r="C1093" s="2" t="s">
        <v>3107</v>
      </c>
    </row>
    <row r="1094" customFormat="false" ht="12.75" hidden="false" customHeight="true" outlineLevel="0" collapsed="false">
      <c r="A1094" s="3" t="s">
        <v>1556</v>
      </c>
      <c r="B1094" s="3" t="str">
        <f aca="false">IF(ISNUMBER(SEARCH("%", A1094)),RIGHT(A1094,3),A1094)</f>
        <v>26, 26, SLUGMA</v>
      </c>
      <c r="C1094" s="2" t="s">
        <v>1556</v>
      </c>
    </row>
    <row r="1095" customFormat="false" ht="12.75" hidden="false" customHeight="true" outlineLevel="0" collapsed="false">
      <c r="A1095" s="3"/>
      <c r="B1095" s="3" t="n">
        <f aca="false">IF(ISNUMBER(SEARCH("%", A1095)),RIGHT(A1095,3),A1095)</f>
        <v>0</v>
      </c>
      <c r="C1095" s="2"/>
    </row>
    <row r="1096" customFormat="false" ht="12.75" hidden="false" customHeight="true" outlineLevel="0" collapsed="false">
      <c r="A1096" s="3" t="s">
        <v>2806</v>
      </c>
      <c r="B1096" s="3" t="str">
        <f aca="false">IF(ISNUMBER(SEARCH("%", A1096)),RIGHT(A1096,3),A1096)</f>
        <v>0.05</v>
      </c>
      <c r="C1096" s="2" t="s">
        <v>2806</v>
      </c>
    </row>
    <row r="1097" customFormat="false" ht="12.75" hidden="false" customHeight="true" outlineLevel="0" collapsed="false">
      <c r="A1097" s="3" t="s">
        <v>3108</v>
      </c>
      <c r="B1097" s="3" t="str">
        <f aca="false">IF(ISNUMBER(SEARCH("%", A1097)),RIGHT(A1097,3),A1097)</f>
        <v>42, 42, GEODUDE</v>
      </c>
      <c r="C1097" s="2" t="s">
        <v>3108</v>
      </c>
    </row>
    <row r="1098" customFormat="false" ht="12.75" hidden="false" customHeight="true" outlineLevel="0" collapsed="false">
      <c r="A1098" s="3" t="s">
        <v>3109</v>
      </c>
      <c r="B1098" s="3" t="str">
        <f aca="false">IF(ISNUMBER(SEARCH("%", A1098)),RIGHT(A1098,3),A1098)</f>
        <v>28, 28, SLUGMA</v>
      </c>
      <c r="C1098" s="2" t="s">
        <v>3109</v>
      </c>
    </row>
    <row r="1099" customFormat="false" ht="12.75" hidden="false" customHeight="true" outlineLevel="0" collapsed="false">
      <c r="A1099" s="3"/>
      <c r="B1099" s="3" t="n">
        <f aca="false">IF(ISNUMBER(SEARCH("%", A1099)),RIGHT(A1099,3),A1099)</f>
        <v>0</v>
      </c>
      <c r="C1099" s="2"/>
    </row>
    <row r="1100" customFormat="false" ht="12.75" hidden="false" customHeight="true" outlineLevel="0" collapsed="false">
      <c r="A1100" s="3" t="s">
        <v>2809</v>
      </c>
      <c r="B1100" s="3" t="str">
        <f aca="false">IF(ISNUMBER(SEARCH("%", A1100)),RIGHT(A1100,3),A1100)</f>
        <v>0.04</v>
      </c>
      <c r="C1100" s="2" t="s">
        <v>2809</v>
      </c>
    </row>
    <row r="1101" customFormat="false" ht="12.75" hidden="false" customHeight="true" outlineLevel="0" collapsed="false">
      <c r="A1101" s="3" t="s">
        <v>3108</v>
      </c>
      <c r="B1101" s="3" t="str">
        <f aca="false">IF(ISNUMBER(SEARCH("%", A1101)),RIGHT(A1101,3),A1101)</f>
        <v>42, 42, GEODUDE</v>
      </c>
      <c r="C1101" s="2" t="s">
        <v>3108</v>
      </c>
    </row>
    <row r="1102" customFormat="false" ht="12.75" hidden="false" customHeight="true" outlineLevel="0" collapsed="false">
      <c r="A1102" s="3" t="s">
        <v>3110</v>
      </c>
      <c r="B1102" s="3" t="str">
        <f aca="false">IF(ISNUMBER(SEARCH("%", A1102)),RIGHT(A1102,3),A1102)</f>
        <v>30, 30, SLUGMA</v>
      </c>
      <c r="C1102" s="2" t="s">
        <v>3110</v>
      </c>
    </row>
    <row r="1103" customFormat="false" ht="12.75" hidden="false" customHeight="true" outlineLevel="0" collapsed="false">
      <c r="A1103" s="3"/>
      <c r="B1103" s="3" t="n">
        <f aca="false">IF(ISNUMBER(SEARCH("%", A1103)),RIGHT(A1103,3),A1103)</f>
        <v>0</v>
      </c>
      <c r="C1103" s="2"/>
    </row>
    <row r="1104" customFormat="false" ht="12.75" hidden="false" customHeight="true" outlineLevel="0" collapsed="false">
      <c r="A1104" s="3" t="s">
        <v>2812</v>
      </c>
      <c r="B1104" s="3" t="str">
        <f aca="false">IF(ISNUMBER(SEARCH("%", A1104)),RIGHT(A1104,3),A1104)</f>
        <v>0.01</v>
      </c>
      <c r="C1104" s="2" t="s">
        <v>2812</v>
      </c>
    </row>
    <row r="1105" customFormat="false" ht="12.75" hidden="false" customHeight="true" outlineLevel="0" collapsed="false">
      <c r="A1105" s="3" t="s">
        <v>3108</v>
      </c>
      <c r="B1105" s="3" t="str">
        <f aca="false">IF(ISNUMBER(SEARCH("%", A1105)),RIGHT(A1105,3),A1105)</f>
        <v>42, 42, GEODUDE</v>
      </c>
      <c r="C1105" s="2" t="s">
        <v>3108</v>
      </c>
    </row>
    <row r="1106" customFormat="false" ht="12.75" hidden="false" customHeight="true" outlineLevel="0" collapsed="false">
      <c r="A1106" s="3" t="s">
        <v>3110</v>
      </c>
      <c r="B1106" s="3" t="str">
        <f aca="false">IF(ISNUMBER(SEARCH("%", A1106)),RIGHT(A1106,3),A1106)</f>
        <v>30, 30, SLUGMA</v>
      </c>
      <c r="C1106" s="2" t="s">
        <v>3110</v>
      </c>
    </row>
    <row r="1107" customFormat="false" ht="12.75" hidden="false" customHeight="true" outlineLevel="0" collapsed="false">
      <c r="A1107" s="3" t="s">
        <v>3101</v>
      </c>
      <c r="B1107" s="3" t="str">
        <f aca="false">IF(ISNUMBER(SEARCH("%", A1107)),RIGHT(A1107,3),A1107)</f>
        <v>50, 25, 35, GEODUDE</v>
      </c>
      <c r="C1107" s="2" t="s">
        <v>3101</v>
      </c>
    </row>
    <row r="1108" customFormat="false" ht="12.75" hidden="false" customHeight="true" outlineLevel="0" collapsed="false">
      <c r="A1108" s="3" t="s">
        <v>3102</v>
      </c>
      <c r="B1108" s="3" t="str">
        <f aca="false">IF(ISNUMBER(SEARCH("%", A1108)),RIGHT(A1108,3),A1108)</f>
        <v>30, 45, GRAVELER</v>
      </c>
      <c r="C1108" s="2" t="s">
        <v>3102</v>
      </c>
    </row>
    <row r="1109" customFormat="false" ht="12.75" hidden="false" customHeight="true" outlineLevel="0" collapsed="false">
      <c r="A1109" s="3" t="s">
        <v>3103</v>
      </c>
      <c r="B1109" s="3" t="str">
        <f aca="false">IF(ISNUMBER(SEARCH("%", A1109)),RIGHT(A1109,3),A1109)</f>
        <v>35, 50, GRAVELER</v>
      </c>
      <c r="C1109" s="2" t="s">
        <v>3103</v>
      </c>
    </row>
    <row r="1110" customFormat="false" ht="12.75" hidden="false" customHeight="true" outlineLevel="0" collapsed="false">
      <c r="A1110" s="3" t="s">
        <v>3104</v>
      </c>
      <c r="B1110" s="3" t="str">
        <f aca="false">IF(ISNUMBER(SEARCH("%", A1110)),RIGHT(A1110,3),A1110)</f>
        <v>30, 40, GEODUDE</v>
      </c>
      <c r="C1110" s="2" t="s">
        <v>3104</v>
      </c>
    </row>
    <row r="1111" customFormat="false" ht="12.75" hidden="false" customHeight="true" outlineLevel="0" collapsed="false">
      <c r="A1111" s="3" t="s">
        <v>3105</v>
      </c>
      <c r="B1111" s="3" t="str">
        <f aca="false">IF(ISNUMBER(SEARCH("%", A1111)),RIGHT(A1111,3),A1111)</f>
        <v>30, 40, GEODUDE , &lt;null&gt;</v>
      </c>
      <c r="C1111" s="2" t="s">
        <v>3105</v>
      </c>
    </row>
    <row r="1112" customFormat="false" ht="12.75" hidden="false" customHeight="true" outlineLevel="0" collapsed="false">
      <c r="A1112" s="3"/>
      <c r="B1112" s="3" t="n">
        <f aca="false">IF(ISNUMBER(SEARCH("%", A1112)),RIGHT(A1112,3),A1112)</f>
        <v>0</v>
      </c>
      <c r="C1112" s="2"/>
    </row>
    <row r="1113" customFormat="false" ht="12.75" hidden="false" customHeight="true" outlineLevel="0" collapsed="false">
      <c r="A1113" s="3" t="s">
        <v>2536</v>
      </c>
      <c r="B1113" s="3" t="str">
        <f aca="false">IF(ISNUMBER(SEARCH("%", A1113)),RIGHT(A1113,3),A1113)</f>
        <v>NEW ROUTE</v>
      </c>
      <c r="C1113" s="2" t="s">
        <v>2536</v>
      </c>
    </row>
    <row r="1114" customFormat="false" ht="12.75" hidden="false" customHeight="true" outlineLevel="0" collapsed="false">
      <c r="A1114" s="3" t="s">
        <v>3111</v>
      </c>
      <c r="B1114" s="3" t="str">
        <f aca="false">IF(ISNUMBER(SEARCH("%", A1114)),RIGHT(A1114,3),A1114)</f>
        <v>1, 105, 0,</v>
      </c>
      <c r="C1114" s="2" t="s">
        <v>3111</v>
      </c>
    </row>
    <row r="1115" customFormat="false" ht="12.75" hidden="false" customHeight="true" outlineLevel="0" collapsed="false">
      <c r="A1115" s="3" t="s">
        <v>2816</v>
      </c>
      <c r="B1115" s="3" t="str">
        <f aca="false">IF(ISNUMBER(SEARCH("%", A1115)),RIGHT(A1115,3),A1115)</f>
        <v>20%</v>
      </c>
      <c r="C1115" s="2" t="s">
        <v>2799</v>
      </c>
    </row>
    <row r="1116" customFormat="false" ht="12.75" hidden="false" customHeight="true" outlineLevel="0" collapsed="false">
      <c r="A1116" s="3" t="s">
        <v>1550</v>
      </c>
      <c r="B1116" s="3" t="str">
        <f aca="false">IF(ISNUMBER(SEARCH("%", A1116)),RIGHT(A1116,3),A1116)</f>
        <v>40, 40, GEODUDE</v>
      </c>
      <c r="C1116" s="2" t="s">
        <v>1550</v>
      </c>
    </row>
    <row r="1117" customFormat="false" ht="12.75" hidden="false" customHeight="true" outlineLevel="0" collapsed="false">
      <c r="A1117" s="3" t="s">
        <v>1556</v>
      </c>
      <c r="B1117" s="3" t="str">
        <f aca="false">IF(ISNUMBER(SEARCH("%", A1117)),RIGHT(A1117,3),A1117)</f>
        <v>26, 26, SLUGMA</v>
      </c>
      <c r="C1117" s="2" t="s">
        <v>1556</v>
      </c>
    </row>
    <row r="1118" customFormat="false" ht="12.75" hidden="false" customHeight="true" outlineLevel="0" collapsed="false">
      <c r="A1118" s="3"/>
      <c r="B1118" s="3" t="n">
        <f aca="false">IF(ISNUMBER(SEARCH("%", A1118)),RIGHT(A1118,3),A1118)</f>
        <v>0</v>
      </c>
      <c r="C1118" s="2"/>
    </row>
    <row r="1119" customFormat="false" ht="12.75" hidden="false" customHeight="true" outlineLevel="0" collapsed="false">
      <c r="A1119" s="3" t="s">
        <v>2801</v>
      </c>
      <c r="B1119" s="3" t="str">
        <f aca="false">IF(ISNUMBER(SEARCH("%", A1119)),RIGHT(A1119,3),A1119)</f>
        <v>0.1</v>
      </c>
      <c r="C1119" s="2" t="s">
        <v>2801</v>
      </c>
    </row>
    <row r="1120" customFormat="false" ht="12.75" hidden="false" customHeight="true" outlineLevel="0" collapsed="false">
      <c r="A1120" s="3" t="s">
        <v>3108</v>
      </c>
      <c r="B1120" s="3" t="str">
        <f aca="false">IF(ISNUMBER(SEARCH("%", A1120)),RIGHT(A1120,3),A1120)</f>
        <v>42, 42, GEODUDE</v>
      </c>
      <c r="C1120" s="2" t="s">
        <v>3108</v>
      </c>
    </row>
    <row r="1121" customFormat="false" ht="12.75" hidden="false" customHeight="true" outlineLevel="0" collapsed="false">
      <c r="A1121" s="3" t="s">
        <v>3107</v>
      </c>
      <c r="B1121" s="3" t="str">
        <f aca="false">IF(ISNUMBER(SEARCH("%", A1121)),RIGHT(A1121,3),A1121)</f>
        <v>24, 24, SLUGMA</v>
      </c>
      <c r="C1121" s="2" t="s">
        <v>3107</v>
      </c>
    </row>
    <row r="1122" customFormat="false" ht="12.75" hidden="false" customHeight="true" outlineLevel="0" collapsed="false">
      <c r="A1122" s="3" t="s">
        <v>3109</v>
      </c>
      <c r="B1122" s="3" t="str">
        <f aca="false">IF(ISNUMBER(SEARCH("%", A1122)),RIGHT(A1122,3),A1122)</f>
        <v>28, 28, SLUGMA</v>
      </c>
      <c r="C1122" s="2" t="s">
        <v>3109</v>
      </c>
    </row>
    <row r="1123" customFormat="false" ht="12.75" hidden="false" customHeight="true" outlineLevel="0" collapsed="false">
      <c r="A1123" s="3" t="s">
        <v>3110</v>
      </c>
      <c r="B1123" s="3" t="str">
        <f aca="false">IF(ISNUMBER(SEARCH("%", A1123)),RIGHT(A1123,3),A1123)</f>
        <v>30, 30, SLUGMA</v>
      </c>
      <c r="C1123" s="2" t="s">
        <v>3110</v>
      </c>
    </row>
    <row r="1124" customFormat="false" ht="12.75" hidden="false" customHeight="true" outlineLevel="0" collapsed="false">
      <c r="A1124" s="3"/>
      <c r="B1124" s="3" t="n">
        <f aca="false">IF(ISNUMBER(SEARCH("%", A1124)),RIGHT(A1124,3),A1124)</f>
        <v>0</v>
      </c>
      <c r="C1124" s="2"/>
    </row>
    <row r="1125" customFormat="false" ht="12.75" hidden="false" customHeight="true" outlineLevel="0" collapsed="false">
      <c r="A1125" s="3" t="s">
        <v>2806</v>
      </c>
      <c r="B1125" s="3" t="str">
        <f aca="false">IF(ISNUMBER(SEARCH("%", A1125)),RIGHT(A1125,3),A1125)</f>
        <v>0.05</v>
      </c>
      <c r="C1125" s="2" t="s">
        <v>2806</v>
      </c>
    </row>
    <row r="1126" customFormat="false" ht="12.75" hidden="false" customHeight="true" outlineLevel="0" collapsed="false">
      <c r="A1126" s="3" t="s">
        <v>3112</v>
      </c>
      <c r="B1126" s="3" t="str">
        <f aca="false">IF(ISNUMBER(SEARCH("%", A1126)),RIGHT(A1126,3),A1126)</f>
        <v>44, 44, GEODUDE</v>
      </c>
      <c r="C1126" s="2" t="s">
        <v>3112</v>
      </c>
    </row>
    <row r="1127" customFormat="false" ht="12.75" hidden="false" customHeight="true" outlineLevel="0" collapsed="false">
      <c r="A1127" s="3" t="s">
        <v>3113</v>
      </c>
      <c r="B1127" s="3" t="str">
        <f aca="false">IF(ISNUMBER(SEARCH("%", A1127)),RIGHT(A1127,3),A1127)</f>
        <v>32, 32, SLUGMA</v>
      </c>
      <c r="C1127" s="2" t="s">
        <v>3113</v>
      </c>
    </row>
    <row r="1128" customFormat="false" ht="12.75" hidden="false" customHeight="true" outlineLevel="0" collapsed="false">
      <c r="A1128" s="3"/>
      <c r="B1128" s="3" t="n">
        <f aca="false">IF(ISNUMBER(SEARCH("%", A1128)),RIGHT(A1128,3),A1128)</f>
        <v>0</v>
      </c>
      <c r="C1128" s="2"/>
    </row>
    <row r="1129" customFormat="false" ht="12.75" hidden="false" customHeight="true" outlineLevel="0" collapsed="false">
      <c r="A1129" s="3" t="s">
        <v>2809</v>
      </c>
      <c r="B1129" s="3" t="str">
        <f aca="false">IF(ISNUMBER(SEARCH("%", A1129)),RIGHT(A1129,3),A1129)</f>
        <v>0.04</v>
      </c>
      <c r="C1129" s="2" t="s">
        <v>2809</v>
      </c>
    </row>
    <row r="1130" customFormat="false" ht="12.75" hidden="false" customHeight="true" outlineLevel="0" collapsed="false">
      <c r="A1130" s="3" t="s">
        <v>3112</v>
      </c>
      <c r="B1130" s="3" t="str">
        <f aca="false">IF(ISNUMBER(SEARCH("%", A1130)),RIGHT(A1130,3),A1130)</f>
        <v>44, 44, GEODUDE</v>
      </c>
      <c r="C1130" s="2" t="s">
        <v>3112</v>
      </c>
    </row>
    <row r="1131" customFormat="false" ht="12.75" hidden="false" customHeight="true" outlineLevel="0" collapsed="false">
      <c r="A1131" s="3" t="s">
        <v>3114</v>
      </c>
      <c r="B1131" s="3" t="str">
        <f aca="false">IF(ISNUMBER(SEARCH("%", A1131)),RIGHT(A1131,3),A1131)</f>
        <v>22, 22, SLUGMA</v>
      </c>
      <c r="C1131" s="2" t="s">
        <v>3114</v>
      </c>
    </row>
    <row r="1132" customFormat="false" ht="12.75" hidden="false" customHeight="true" outlineLevel="0" collapsed="false">
      <c r="A1132" s="3"/>
      <c r="B1132" s="3" t="n">
        <f aca="false">IF(ISNUMBER(SEARCH("%", A1132)),RIGHT(A1132,3),A1132)</f>
        <v>0</v>
      </c>
      <c r="C1132" s="2"/>
    </row>
    <row r="1133" customFormat="false" ht="12.75" hidden="false" customHeight="true" outlineLevel="0" collapsed="false">
      <c r="A1133" s="3" t="s">
        <v>2812</v>
      </c>
      <c r="B1133" s="3" t="str">
        <f aca="false">IF(ISNUMBER(SEARCH("%", A1133)),RIGHT(A1133,3),A1133)</f>
        <v>0.01</v>
      </c>
      <c r="C1133" s="2" t="s">
        <v>2812</v>
      </c>
    </row>
    <row r="1134" customFormat="false" ht="12.75" hidden="false" customHeight="true" outlineLevel="0" collapsed="false">
      <c r="A1134" s="3" t="s">
        <v>3112</v>
      </c>
      <c r="B1134" s="3" t="str">
        <f aca="false">IF(ISNUMBER(SEARCH("%", A1134)),RIGHT(A1134,3),A1134)</f>
        <v>44, 44, GEODUDE</v>
      </c>
      <c r="C1134" s="2" t="s">
        <v>3112</v>
      </c>
    </row>
    <row r="1135" customFormat="false" ht="12.75" hidden="false" customHeight="true" outlineLevel="0" collapsed="false">
      <c r="A1135" s="3" t="s">
        <v>3114</v>
      </c>
      <c r="B1135" s="3" t="str">
        <f aca="false">IF(ISNUMBER(SEARCH("%", A1135)),RIGHT(A1135,3),A1135)</f>
        <v>22, 22, SLUGMA</v>
      </c>
      <c r="C1135" s="2" t="s">
        <v>3114</v>
      </c>
    </row>
    <row r="1136" customFormat="false" ht="12.75" hidden="false" customHeight="true" outlineLevel="0" collapsed="false">
      <c r="A1136" s="3" t="s">
        <v>3101</v>
      </c>
      <c r="B1136" s="3" t="str">
        <f aca="false">IF(ISNUMBER(SEARCH("%", A1136)),RIGHT(A1136,3),A1136)</f>
        <v>50, 25, 35, GEODUDE</v>
      </c>
      <c r="C1136" s="2" t="s">
        <v>3101</v>
      </c>
    </row>
    <row r="1137" customFormat="false" ht="12.75" hidden="false" customHeight="true" outlineLevel="0" collapsed="false">
      <c r="A1137" s="3" t="s">
        <v>3102</v>
      </c>
      <c r="B1137" s="3" t="str">
        <f aca="false">IF(ISNUMBER(SEARCH("%", A1137)),RIGHT(A1137,3),A1137)</f>
        <v>30, 45, GRAVELER</v>
      </c>
      <c r="C1137" s="2" t="s">
        <v>3102</v>
      </c>
    </row>
    <row r="1138" customFormat="false" ht="12.75" hidden="false" customHeight="true" outlineLevel="0" collapsed="false">
      <c r="A1138" s="3" t="s">
        <v>3103</v>
      </c>
      <c r="B1138" s="3" t="str">
        <f aca="false">IF(ISNUMBER(SEARCH("%", A1138)),RIGHT(A1138,3),A1138)</f>
        <v>35, 50, GRAVELER</v>
      </c>
      <c r="C1138" s="2" t="s">
        <v>3103</v>
      </c>
    </row>
    <row r="1139" customFormat="false" ht="12.75" hidden="false" customHeight="true" outlineLevel="0" collapsed="false">
      <c r="A1139" s="3" t="s">
        <v>3104</v>
      </c>
      <c r="B1139" s="3" t="str">
        <f aca="false">IF(ISNUMBER(SEARCH("%", A1139)),RIGHT(A1139,3),A1139)</f>
        <v>30, 40, GEODUDE</v>
      </c>
      <c r="C1139" s="2" t="s">
        <v>3104</v>
      </c>
    </row>
    <row r="1140" customFormat="false" ht="12.75" hidden="false" customHeight="true" outlineLevel="0" collapsed="false">
      <c r="A1140" s="3" t="s">
        <v>3105</v>
      </c>
      <c r="B1140" s="3" t="str">
        <f aca="false">IF(ISNUMBER(SEARCH("%", A1140)),RIGHT(A1140,3),A1140)</f>
        <v>30, 40, GEODUDE , &lt;null&gt;</v>
      </c>
      <c r="C1140" s="2" t="s">
        <v>3105</v>
      </c>
    </row>
    <row r="1141" customFormat="false" ht="12.75" hidden="false" customHeight="true" outlineLevel="0" collapsed="false">
      <c r="A1141" s="3"/>
      <c r="B1141" s="3" t="n">
        <f aca="false">IF(ISNUMBER(SEARCH("%", A1141)),RIGHT(A1141,3),A1141)</f>
        <v>0</v>
      </c>
      <c r="C1141" s="2"/>
    </row>
    <row r="1142" customFormat="false" ht="12.75" hidden="false" customHeight="true" outlineLevel="0" collapsed="false">
      <c r="A1142" s="3" t="s">
        <v>2536</v>
      </c>
      <c r="B1142" s="3" t="str">
        <f aca="false">IF(ISNUMBER(SEARCH("%", A1142)),RIGHT(A1142,3),A1142)</f>
        <v>NEW ROUTE</v>
      </c>
      <c r="C1142" s="2" t="s">
        <v>2536</v>
      </c>
    </row>
    <row r="1143" customFormat="false" ht="12.75" hidden="false" customHeight="true" outlineLevel="0" collapsed="false">
      <c r="A1143" s="3" t="s">
        <v>3115</v>
      </c>
      <c r="B1143" s="3" t="str">
        <f aca="false">IF(ISNUMBER(SEARCH("%", A1143)),RIGHT(A1143,3),A1143)</f>
        <v>1, 106, 0,</v>
      </c>
      <c r="C1143" s="2" t="s">
        <v>3115</v>
      </c>
    </row>
    <row r="1144" customFormat="false" ht="12.75" hidden="false" customHeight="true" outlineLevel="0" collapsed="false">
      <c r="A1144" s="3" t="s">
        <v>2816</v>
      </c>
      <c r="B1144" s="3" t="str">
        <f aca="false">IF(ISNUMBER(SEARCH("%", A1144)),RIGHT(A1144,3),A1144)</f>
        <v>20%</v>
      </c>
      <c r="C1144" s="2" t="s">
        <v>2799</v>
      </c>
    </row>
    <row r="1145" customFormat="false" ht="12.75" hidden="false" customHeight="true" outlineLevel="0" collapsed="false">
      <c r="A1145" s="3" t="s">
        <v>1556</v>
      </c>
      <c r="B1145" s="3" t="str">
        <f aca="false">IF(ISNUMBER(SEARCH("%", A1145)),RIGHT(A1145,3),A1145)</f>
        <v>26, 26, SLUGMA</v>
      </c>
      <c r="C1145" s="2" t="s">
        <v>1556</v>
      </c>
    </row>
    <row r="1146" customFormat="false" ht="12.75" hidden="false" customHeight="true" outlineLevel="0" collapsed="false">
      <c r="A1146" s="3" t="s">
        <v>3109</v>
      </c>
      <c r="B1146" s="3" t="str">
        <f aca="false">IF(ISNUMBER(SEARCH("%", A1146)),RIGHT(A1146,3),A1146)</f>
        <v>28, 28, SLUGMA</v>
      </c>
      <c r="C1146" s="2" t="s">
        <v>3109</v>
      </c>
    </row>
    <row r="1147" customFormat="false" ht="12.75" hidden="false" customHeight="true" outlineLevel="0" collapsed="false">
      <c r="A1147" s="3"/>
      <c r="B1147" s="3" t="n">
        <f aca="false">IF(ISNUMBER(SEARCH("%", A1147)),RIGHT(A1147,3),A1147)</f>
        <v>0</v>
      </c>
      <c r="C1147" s="2"/>
    </row>
    <row r="1148" customFormat="false" ht="12.75" hidden="false" customHeight="true" outlineLevel="0" collapsed="false">
      <c r="A1148" s="3" t="s">
        <v>2801</v>
      </c>
      <c r="B1148" s="3" t="str">
        <f aca="false">IF(ISNUMBER(SEARCH("%", A1148)),RIGHT(A1148,3),A1148)</f>
        <v>0.1</v>
      </c>
      <c r="C1148" s="2" t="s">
        <v>2801</v>
      </c>
    </row>
    <row r="1149" customFormat="false" ht="12.75" hidden="false" customHeight="true" outlineLevel="0" collapsed="false">
      <c r="A1149" s="3" t="s">
        <v>3110</v>
      </c>
      <c r="B1149" s="3" t="str">
        <f aca="false">IF(ISNUMBER(SEARCH("%", A1149)),RIGHT(A1149,3),A1149)</f>
        <v>30, 30, SLUGMA</v>
      </c>
      <c r="C1149" s="2" t="s">
        <v>3110</v>
      </c>
    </row>
    <row r="1150" customFormat="false" ht="12.75" hidden="false" customHeight="true" outlineLevel="0" collapsed="false">
      <c r="A1150" s="3" t="s">
        <v>3113</v>
      </c>
      <c r="B1150" s="3" t="str">
        <f aca="false">IF(ISNUMBER(SEARCH("%", A1150)),RIGHT(A1150,3),A1150)</f>
        <v>32, 32, SLUGMA</v>
      </c>
      <c r="C1150" s="2" t="s">
        <v>3113</v>
      </c>
    </row>
    <row r="1151" customFormat="false" ht="12.75" hidden="false" customHeight="true" outlineLevel="0" collapsed="false">
      <c r="A1151" s="3" t="s">
        <v>3107</v>
      </c>
      <c r="B1151" s="3" t="str">
        <f aca="false">IF(ISNUMBER(SEARCH("%", A1151)),RIGHT(A1151,3),A1151)</f>
        <v>24, 24, SLUGMA</v>
      </c>
      <c r="C1151" s="2" t="s">
        <v>3107</v>
      </c>
    </row>
    <row r="1152" customFormat="false" ht="12.75" hidden="false" customHeight="true" outlineLevel="0" collapsed="false">
      <c r="A1152" s="3" t="s">
        <v>3114</v>
      </c>
      <c r="B1152" s="3" t="str">
        <f aca="false">IF(ISNUMBER(SEARCH("%", A1152)),RIGHT(A1152,3),A1152)</f>
        <v>22, 22, SLUGMA</v>
      </c>
      <c r="C1152" s="2" t="s">
        <v>3114</v>
      </c>
    </row>
    <row r="1153" customFormat="false" ht="12.75" hidden="false" customHeight="true" outlineLevel="0" collapsed="false">
      <c r="A1153" s="3"/>
      <c r="B1153" s="3" t="n">
        <f aca="false">IF(ISNUMBER(SEARCH("%", A1153)),RIGHT(A1153,3),A1153)</f>
        <v>0</v>
      </c>
      <c r="C1153" s="2"/>
    </row>
    <row r="1154" customFormat="false" ht="12.75" hidden="false" customHeight="true" outlineLevel="0" collapsed="false">
      <c r="A1154" s="3" t="s">
        <v>2806</v>
      </c>
      <c r="B1154" s="3" t="str">
        <f aca="false">IF(ISNUMBER(SEARCH("%", A1154)),RIGHT(A1154,3),A1154)</f>
        <v>0.05</v>
      </c>
      <c r="C1154" s="2" t="s">
        <v>2806</v>
      </c>
    </row>
    <row r="1155" customFormat="false" ht="12.75" hidden="false" customHeight="true" outlineLevel="0" collapsed="false">
      <c r="A1155" s="3" t="s">
        <v>3116</v>
      </c>
      <c r="B1155" s="3" t="str">
        <f aca="false">IF(ISNUMBER(SEARCH("%", A1155)),RIGHT(A1155,3),A1155)</f>
        <v>20, 20, SLUGMA</v>
      </c>
      <c r="C1155" s="2" t="s">
        <v>3116</v>
      </c>
    </row>
    <row r="1156" customFormat="false" ht="12.75" hidden="false" customHeight="true" outlineLevel="0" collapsed="false">
      <c r="A1156" s="3" t="s">
        <v>3117</v>
      </c>
      <c r="B1156" s="3" t="str">
        <f aca="false">IF(ISNUMBER(SEARCH("%", A1156)),RIGHT(A1156,3),A1156)</f>
        <v>34, 34, SLUGMA</v>
      </c>
      <c r="C1156" s="2" t="s">
        <v>3117</v>
      </c>
    </row>
    <row r="1157" customFormat="false" ht="12.75" hidden="false" customHeight="true" outlineLevel="0" collapsed="false">
      <c r="A1157" s="3"/>
      <c r="B1157" s="3" t="n">
        <f aca="false">IF(ISNUMBER(SEARCH("%", A1157)),RIGHT(A1157,3),A1157)</f>
        <v>0</v>
      </c>
      <c r="C1157" s="2"/>
    </row>
    <row r="1158" customFormat="false" ht="12.75" hidden="false" customHeight="true" outlineLevel="0" collapsed="false">
      <c r="A1158" s="3" t="s">
        <v>2809</v>
      </c>
      <c r="B1158" s="3" t="str">
        <f aca="false">IF(ISNUMBER(SEARCH("%", A1158)),RIGHT(A1158,3),A1158)</f>
        <v>0.04</v>
      </c>
      <c r="C1158" s="2" t="s">
        <v>2809</v>
      </c>
    </row>
    <row r="1159" customFormat="false" ht="12.75" hidden="false" customHeight="true" outlineLevel="0" collapsed="false">
      <c r="A1159" s="3" t="s">
        <v>3118</v>
      </c>
      <c r="B1159" s="3" t="str">
        <f aca="false">IF(ISNUMBER(SEARCH("%", A1159)),RIGHT(A1159,3),A1159)</f>
        <v>36, 36, SLUGMA</v>
      </c>
      <c r="C1159" s="2" t="s">
        <v>3118</v>
      </c>
    </row>
    <row r="1160" customFormat="false" ht="12.75" hidden="false" customHeight="true" outlineLevel="0" collapsed="false">
      <c r="A1160" s="3" t="s">
        <v>3119</v>
      </c>
      <c r="B1160" s="3" t="str">
        <f aca="false">IF(ISNUMBER(SEARCH("%", A1160)),RIGHT(A1160,3),A1160)</f>
        <v>18, 18, SLUGMA</v>
      </c>
      <c r="C1160" s="2" t="s">
        <v>3119</v>
      </c>
    </row>
    <row r="1161" customFormat="false" ht="12.75" hidden="false" customHeight="true" outlineLevel="0" collapsed="false">
      <c r="A1161" s="3"/>
      <c r="B1161" s="3" t="n">
        <f aca="false">IF(ISNUMBER(SEARCH("%", A1161)),RIGHT(A1161,3),A1161)</f>
        <v>0</v>
      </c>
      <c r="C1161" s="2"/>
    </row>
    <row r="1162" customFormat="false" ht="12.75" hidden="false" customHeight="true" outlineLevel="0" collapsed="false">
      <c r="A1162" s="3" t="s">
        <v>2812</v>
      </c>
      <c r="B1162" s="3" t="str">
        <f aca="false">IF(ISNUMBER(SEARCH("%", A1162)),RIGHT(A1162,3),A1162)</f>
        <v>0.01</v>
      </c>
      <c r="C1162" s="2" t="s">
        <v>2812</v>
      </c>
    </row>
    <row r="1163" customFormat="false" ht="12.75" hidden="false" customHeight="true" outlineLevel="0" collapsed="false">
      <c r="A1163" s="3" t="s">
        <v>3118</v>
      </c>
      <c r="B1163" s="3" t="str">
        <f aca="false">IF(ISNUMBER(SEARCH("%", A1163)),RIGHT(A1163,3),A1163)</f>
        <v>36, 36, SLUGMA</v>
      </c>
      <c r="C1163" s="2" t="s">
        <v>3118</v>
      </c>
    </row>
    <row r="1164" customFormat="false" ht="12.75" hidden="false" customHeight="true" outlineLevel="0" collapsed="false">
      <c r="A1164" s="3" t="s">
        <v>3119</v>
      </c>
      <c r="B1164" s="3" t="str">
        <f aca="false">IF(ISNUMBER(SEARCH("%", A1164)),RIGHT(A1164,3),A1164)</f>
        <v>18, 18, SLUGMA</v>
      </c>
      <c r="C1164" s="2" t="s">
        <v>3119</v>
      </c>
    </row>
    <row r="1165" customFormat="false" ht="12.75" hidden="false" customHeight="true" outlineLevel="0" collapsed="false">
      <c r="A1165" s="3" t="s">
        <v>3120</v>
      </c>
      <c r="B1165" s="3" t="str">
        <f aca="false">IF(ISNUMBER(SEARCH("%", A1165)),RIGHT(A1165,3),A1165)</f>
        <v>50, 15, 25, SLUGMA</v>
      </c>
      <c r="C1165" s="2" t="s">
        <v>3120</v>
      </c>
    </row>
    <row r="1166" customFormat="false" ht="12.75" hidden="false" customHeight="true" outlineLevel="0" collapsed="false">
      <c r="A1166" s="3" t="s">
        <v>3121</v>
      </c>
      <c r="B1166" s="3" t="str">
        <f aca="false">IF(ISNUMBER(SEARCH("%", A1166)),RIGHT(A1166,3),A1166)</f>
        <v>25, 35, SLUGMA</v>
      </c>
      <c r="C1166" s="2" t="s">
        <v>3121</v>
      </c>
    </row>
    <row r="1167" customFormat="false" ht="12.75" hidden="false" customHeight="true" outlineLevel="0" collapsed="false">
      <c r="A1167" s="3" t="s">
        <v>3122</v>
      </c>
      <c r="B1167" s="3" t="str">
        <f aca="false">IF(ISNUMBER(SEARCH("%", A1167)),RIGHT(A1167,3),A1167)</f>
        <v>40, 45, MAGCARGO</v>
      </c>
      <c r="C1167" s="2" t="s">
        <v>3122</v>
      </c>
    </row>
    <row r="1168" customFormat="false" ht="12.75" hidden="false" customHeight="true" outlineLevel="0" collapsed="false">
      <c r="A1168" s="3" t="s">
        <v>3123</v>
      </c>
      <c r="B1168" s="3" t="str">
        <f aca="false">IF(ISNUMBER(SEARCH("%", A1168)),RIGHT(A1168,3),A1168)</f>
        <v>35, 45, MAGCARGO</v>
      </c>
      <c r="C1168" s="2" t="s">
        <v>3123</v>
      </c>
    </row>
    <row r="1169" customFormat="false" ht="12.75" hidden="false" customHeight="true" outlineLevel="0" collapsed="false">
      <c r="A1169" s="3" t="s">
        <v>3124</v>
      </c>
      <c r="B1169" s="3" t="str">
        <f aca="false">IF(ISNUMBER(SEARCH("%", A1169)),RIGHT(A1169,3),A1169)</f>
        <v>25, 35, MAGCARGO , &lt;null&gt;</v>
      </c>
      <c r="C1169" s="2" t="s">
        <v>3124</v>
      </c>
    </row>
    <row r="1170" customFormat="false" ht="12.75" hidden="false" customHeight="true" outlineLevel="0" collapsed="false">
      <c r="A1170" s="3"/>
      <c r="B1170" s="3" t="n">
        <f aca="false">IF(ISNUMBER(SEARCH("%", A1170)),RIGHT(A1170,3),A1170)</f>
        <v>0</v>
      </c>
      <c r="C1170" s="2"/>
    </row>
    <row r="1171" customFormat="false" ht="12.75" hidden="false" customHeight="true" outlineLevel="0" collapsed="false">
      <c r="A1171" s="3" t="s">
        <v>2536</v>
      </c>
      <c r="B1171" s="3" t="str">
        <f aca="false">IF(ISNUMBER(SEARCH("%", A1171)),RIGHT(A1171,3),A1171)</f>
        <v>NEW ROUTE</v>
      </c>
      <c r="C1171" s="2" t="s">
        <v>2536</v>
      </c>
    </row>
    <row r="1172" customFormat="false" ht="12.75" hidden="false" customHeight="true" outlineLevel="0" collapsed="false">
      <c r="A1172" s="3" t="s">
        <v>3125</v>
      </c>
      <c r="B1172" s="3" t="str">
        <f aca="false">IF(ISNUMBER(SEARCH("%", A1172)),RIGHT(A1172,3),A1172)</f>
        <v>1, 107, 0,</v>
      </c>
      <c r="C1172" s="2" t="s">
        <v>3125</v>
      </c>
    </row>
    <row r="1173" customFormat="false" ht="12.75" hidden="false" customHeight="true" outlineLevel="0" collapsed="false">
      <c r="A1173" s="3" t="s">
        <v>2816</v>
      </c>
      <c r="B1173" s="3" t="str">
        <f aca="false">IF(ISNUMBER(SEARCH("%", A1173)),RIGHT(A1173,3),A1173)</f>
        <v>20%</v>
      </c>
      <c r="C1173" s="2" t="s">
        <v>2799</v>
      </c>
    </row>
    <row r="1174" customFormat="false" ht="12.75" hidden="false" customHeight="true" outlineLevel="0" collapsed="false">
      <c r="A1174" s="3" t="s">
        <v>1550</v>
      </c>
      <c r="B1174" s="3" t="str">
        <f aca="false">IF(ISNUMBER(SEARCH("%", A1174)),RIGHT(A1174,3),A1174)</f>
        <v>40, 40, GEODUDE</v>
      </c>
      <c r="C1174" s="2" t="s">
        <v>1550</v>
      </c>
    </row>
    <row r="1175" customFormat="false" ht="12.75" hidden="false" customHeight="true" outlineLevel="0" collapsed="false">
      <c r="A1175" s="3" t="s">
        <v>1556</v>
      </c>
      <c r="B1175" s="3" t="str">
        <f aca="false">IF(ISNUMBER(SEARCH("%", A1175)),RIGHT(A1175,3),A1175)</f>
        <v>26, 26, SLUGMA</v>
      </c>
      <c r="C1175" s="2" t="s">
        <v>1556</v>
      </c>
    </row>
    <row r="1176" customFormat="false" ht="12.75" hidden="false" customHeight="true" outlineLevel="0" collapsed="false">
      <c r="A1176" s="3"/>
      <c r="B1176" s="3" t="n">
        <f aca="false">IF(ISNUMBER(SEARCH("%", A1176)),RIGHT(A1176,3),A1176)</f>
        <v>0</v>
      </c>
      <c r="C1176" s="2"/>
    </row>
    <row r="1177" customFormat="false" ht="12.75" hidden="false" customHeight="true" outlineLevel="0" collapsed="false">
      <c r="A1177" s="3" t="s">
        <v>2801</v>
      </c>
      <c r="B1177" s="3" t="str">
        <f aca="false">IF(ISNUMBER(SEARCH("%", A1177)),RIGHT(A1177,3),A1177)</f>
        <v>0.1</v>
      </c>
      <c r="C1177" s="2" t="s">
        <v>2801</v>
      </c>
    </row>
    <row r="1178" customFormat="false" ht="12.75" hidden="false" customHeight="true" outlineLevel="0" collapsed="false">
      <c r="A1178" s="3" t="s">
        <v>3108</v>
      </c>
      <c r="B1178" s="3" t="str">
        <f aca="false">IF(ISNUMBER(SEARCH("%", A1178)),RIGHT(A1178,3),A1178)</f>
        <v>42, 42, GEODUDE</v>
      </c>
      <c r="C1178" s="2" t="s">
        <v>3108</v>
      </c>
    </row>
    <row r="1179" customFormat="false" ht="12.75" hidden="false" customHeight="true" outlineLevel="0" collapsed="false">
      <c r="A1179" s="3" t="s">
        <v>3107</v>
      </c>
      <c r="B1179" s="3" t="str">
        <f aca="false">IF(ISNUMBER(SEARCH("%", A1179)),RIGHT(A1179,3),A1179)</f>
        <v>24, 24, SLUGMA</v>
      </c>
      <c r="C1179" s="2" t="s">
        <v>3107</v>
      </c>
    </row>
    <row r="1180" customFormat="false" ht="12.75" hidden="false" customHeight="true" outlineLevel="0" collapsed="false">
      <c r="A1180" s="3" t="s">
        <v>3109</v>
      </c>
      <c r="B1180" s="3" t="str">
        <f aca="false">IF(ISNUMBER(SEARCH("%", A1180)),RIGHT(A1180,3),A1180)</f>
        <v>28, 28, SLUGMA</v>
      </c>
      <c r="C1180" s="2" t="s">
        <v>3109</v>
      </c>
    </row>
    <row r="1181" customFormat="false" ht="12.75" hidden="false" customHeight="true" outlineLevel="0" collapsed="false">
      <c r="A1181" s="3" t="s">
        <v>3110</v>
      </c>
      <c r="B1181" s="3" t="str">
        <f aca="false">IF(ISNUMBER(SEARCH("%", A1181)),RIGHT(A1181,3),A1181)</f>
        <v>30, 30, SLUGMA</v>
      </c>
      <c r="C1181" s="2" t="s">
        <v>3110</v>
      </c>
    </row>
    <row r="1182" customFormat="false" ht="12.75" hidden="false" customHeight="true" outlineLevel="0" collapsed="false">
      <c r="A1182" s="3"/>
      <c r="B1182" s="3" t="n">
        <f aca="false">IF(ISNUMBER(SEARCH("%", A1182)),RIGHT(A1182,3),A1182)</f>
        <v>0</v>
      </c>
      <c r="C1182" s="2"/>
    </row>
    <row r="1183" customFormat="false" ht="12.75" hidden="false" customHeight="true" outlineLevel="0" collapsed="false">
      <c r="A1183" s="3" t="s">
        <v>2806</v>
      </c>
      <c r="B1183" s="3" t="str">
        <f aca="false">IF(ISNUMBER(SEARCH("%", A1183)),RIGHT(A1183,3),A1183)</f>
        <v>0.05</v>
      </c>
      <c r="C1183" s="2" t="s">
        <v>2806</v>
      </c>
    </row>
    <row r="1184" customFormat="false" ht="12.75" hidden="false" customHeight="true" outlineLevel="0" collapsed="false">
      <c r="A1184" s="3" t="s">
        <v>3112</v>
      </c>
      <c r="B1184" s="3" t="str">
        <f aca="false">IF(ISNUMBER(SEARCH("%", A1184)),RIGHT(A1184,3),A1184)</f>
        <v>44, 44, GEODUDE</v>
      </c>
      <c r="C1184" s="2" t="s">
        <v>3112</v>
      </c>
    </row>
    <row r="1185" customFormat="false" ht="12.75" hidden="false" customHeight="true" outlineLevel="0" collapsed="false">
      <c r="A1185" s="3" t="s">
        <v>3113</v>
      </c>
      <c r="B1185" s="3" t="str">
        <f aca="false">IF(ISNUMBER(SEARCH("%", A1185)),RIGHT(A1185,3),A1185)</f>
        <v>32, 32, SLUGMA</v>
      </c>
      <c r="C1185" s="2" t="s">
        <v>3113</v>
      </c>
    </row>
    <row r="1186" customFormat="false" ht="12.75" hidden="false" customHeight="true" outlineLevel="0" collapsed="false">
      <c r="A1186" s="3"/>
      <c r="B1186" s="3" t="n">
        <f aca="false">IF(ISNUMBER(SEARCH("%", A1186)),RIGHT(A1186,3),A1186)</f>
        <v>0</v>
      </c>
      <c r="C1186" s="2"/>
    </row>
    <row r="1187" customFormat="false" ht="12.75" hidden="false" customHeight="true" outlineLevel="0" collapsed="false">
      <c r="A1187" s="3" t="s">
        <v>2809</v>
      </c>
      <c r="B1187" s="3" t="str">
        <f aca="false">IF(ISNUMBER(SEARCH("%", A1187)),RIGHT(A1187,3),A1187)</f>
        <v>0.04</v>
      </c>
      <c r="C1187" s="2" t="s">
        <v>2809</v>
      </c>
    </row>
    <row r="1188" customFormat="false" ht="12.75" hidden="false" customHeight="true" outlineLevel="0" collapsed="false">
      <c r="A1188" s="3" t="s">
        <v>3112</v>
      </c>
      <c r="B1188" s="3" t="str">
        <f aca="false">IF(ISNUMBER(SEARCH("%", A1188)),RIGHT(A1188,3),A1188)</f>
        <v>44, 44, GEODUDE</v>
      </c>
      <c r="C1188" s="2" t="s">
        <v>3112</v>
      </c>
    </row>
    <row r="1189" customFormat="false" ht="12.75" hidden="false" customHeight="true" outlineLevel="0" collapsed="false">
      <c r="A1189" s="3" t="s">
        <v>3114</v>
      </c>
      <c r="B1189" s="3" t="str">
        <f aca="false">IF(ISNUMBER(SEARCH("%", A1189)),RIGHT(A1189,3),A1189)</f>
        <v>22, 22, SLUGMA</v>
      </c>
      <c r="C1189" s="2" t="s">
        <v>3114</v>
      </c>
    </row>
    <row r="1190" customFormat="false" ht="12.75" hidden="false" customHeight="true" outlineLevel="0" collapsed="false">
      <c r="A1190" s="3"/>
      <c r="B1190" s="3" t="n">
        <f aca="false">IF(ISNUMBER(SEARCH("%", A1190)),RIGHT(A1190,3),A1190)</f>
        <v>0</v>
      </c>
      <c r="C1190" s="2"/>
    </row>
    <row r="1191" customFormat="false" ht="12.75" hidden="false" customHeight="true" outlineLevel="0" collapsed="false">
      <c r="A1191" s="3" t="s">
        <v>2812</v>
      </c>
      <c r="B1191" s="3" t="str">
        <f aca="false">IF(ISNUMBER(SEARCH("%", A1191)),RIGHT(A1191,3),A1191)</f>
        <v>0.01</v>
      </c>
      <c r="C1191" s="2" t="s">
        <v>2812</v>
      </c>
    </row>
    <row r="1192" customFormat="false" ht="12.75" hidden="false" customHeight="true" outlineLevel="0" collapsed="false">
      <c r="A1192" s="3" t="s">
        <v>3112</v>
      </c>
      <c r="B1192" s="3" t="str">
        <f aca="false">IF(ISNUMBER(SEARCH("%", A1192)),RIGHT(A1192,3),A1192)</f>
        <v>44, 44, GEODUDE</v>
      </c>
      <c r="C1192" s="2" t="s">
        <v>3112</v>
      </c>
    </row>
    <row r="1193" customFormat="false" ht="12.75" hidden="false" customHeight="true" outlineLevel="0" collapsed="false">
      <c r="A1193" s="3" t="s">
        <v>3114</v>
      </c>
      <c r="B1193" s="3" t="str">
        <f aca="false">IF(ISNUMBER(SEARCH("%", A1193)),RIGHT(A1193,3),A1193)</f>
        <v>22, 22, SLUGMA</v>
      </c>
      <c r="C1193" s="2" t="s">
        <v>3114</v>
      </c>
    </row>
    <row r="1194" customFormat="false" ht="12.75" hidden="false" customHeight="true" outlineLevel="0" collapsed="false">
      <c r="A1194" s="3" t="s">
        <v>3101</v>
      </c>
      <c r="B1194" s="3" t="str">
        <f aca="false">IF(ISNUMBER(SEARCH("%", A1194)),RIGHT(A1194,3),A1194)</f>
        <v>50, 25, 35, GEODUDE</v>
      </c>
      <c r="C1194" s="2" t="s">
        <v>3101</v>
      </c>
    </row>
    <row r="1195" customFormat="false" ht="12.75" hidden="false" customHeight="true" outlineLevel="0" collapsed="false">
      <c r="A1195" s="3" t="s">
        <v>3102</v>
      </c>
      <c r="B1195" s="3" t="str">
        <f aca="false">IF(ISNUMBER(SEARCH("%", A1195)),RIGHT(A1195,3),A1195)</f>
        <v>30, 45, GRAVELER</v>
      </c>
      <c r="C1195" s="2" t="s">
        <v>3102</v>
      </c>
    </row>
    <row r="1196" customFormat="false" ht="12.75" hidden="false" customHeight="true" outlineLevel="0" collapsed="false">
      <c r="A1196" s="3" t="s">
        <v>3103</v>
      </c>
      <c r="B1196" s="3" t="str">
        <f aca="false">IF(ISNUMBER(SEARCH("%", A1196)),RIGHT(A1196,3),A1196)</f>
        <v>35, 50, GRAVELER</v>
      </c>
      <c r="C1196" s="2" t="s">
        <v>3103</v>
      </c>
    </row>
    <row r="1197" customFormat="false" ht="12.75" hidden="false" customHeight="true" outlineLevel="0" collapsed="false">
      <c r="A1197" s="3" t="s">
        <v>3104</v>
      </c>
      <c r="B1197" s="3" t="str">
        <f aca="false">IF(ISNUMBER(SEARCH("%", A1197)),RIGHT(A1197,3),A1197)</f>
        <v>30, 40, GEODUDE</v>
      </c>
      <c r="C1197" s="2" t="s">
        <v>3104</v>
      </c>
    </row>
    <row r="1198" customFormat="false" ht="12.75" hidden="false" customHeight="true" outlineLevel="0" collapsed="false">
      <c r="A1198" s="3" t="s">
        <v>3105</v>
      </c>
      <c r="B1198" s="3" t="str">
        <f aca="false">IF(ISNUMBER(SEARCH("%", A1198)),RIGHT(A1198,3),A1198)</f>
        <v>30, 40, GEODUDE , &lt;null&gt;</v>
      </c>
      <c r="C1198" s="2" t="s">
        <v>3105</v>
      </c>
    </row>
    <row r="1199" customFormat="false" ht="12.75" hidden="false" customHeight="true" outlineLevel="0" collapsed="false">
      <c r="A1199" s="3"/>
      <c r="B1199" s="3" t="n">
        <f aca="false">IF(ISNUMBER(SEARCH("%", A1199)),RIGHT(A1199,3),A1199)</f>
        <v>0</v>
      </c>
      <c r="C1199" s="2"/>
    </row>
    <row r="1200" customFormat="false" ht="12.75" hidden="false" customHeight="true" outlineLevel="0" collapsed="false">
      <c r="A1200" s="3" t="s">
        <v>2536</v>
      </c>
      <c r="B1200" s="3" t="str">
        <f aca="false">IF(ISNUMBER(SEARCH("%", A1200)),RIGHT(A1200,3),A1200)</f>
        <v>NEW ROUTE</v>
      </c>
      <c r="C1200" s="2" t="s">
        <v>2536</v>
      </c>
    </row>
    <row r="1201" customFormat="false" ht="12.75" hidden="false" customHeight="true" outlineLevel="0" collapsed="false">
      <c r="A1201" s="3" t="s">
        <v>3126</v>
      </c>
      <c r="B1201" s="3" t="str">
        <f aca="false">IF(ISNUMBER(SEARCH("%", A1201)),RIGHT(A1201,3),A1201)</f>
        <v>1, 108, 0,</v>
      </c>
      <c r="C1201" s="2" t="s">
        <v>3126</v>
      </c>
    </row>
    <row r="1202" customFormat="false" ht="12.75" hidden="false" customHeight="true" outlineLevel="0" collapsed="false">
      <c r="A1202" s="3" t="s">
        <v>2816</v>
      </c>
      <c r="B1202" s="3" t="str">
        <f aca="false">IF(ISNUMBER(SEARCH("%", A1202)),RIGHT(A1202,3),A1202)</f>
        <v>20%</v>
      </c>
      <c r="C1202" s="2" t="s">
        <v>2799</v>
      </c>
    </row>
    <row r="1203" customFormat="false" ht="12.75" hidden="false" customHeight="true" outlineLevel="0" collapsed="false">
      <c r="A1203" s="3" t="s">
        <v>1541</v>
      </c>
      <c r="B1203" s="3" t="str">
        <f aca="false">IF(ISNUMBER(SEARCH("%", A1203)),RIGHT(A1203,3),A1203)</f>
        <v>38, 38, GEODUDE</v>
      </c>
      <c r="C1203" s="2" t="s">
        <v>1541</v>
      </c>
    </row>
    <row r="1204" customFormat="false" ht="12.75" hidden="false" customHeight="true" outlineLevel="0" collapsed="false">
      <c r="A1204" s="3" t="s">
        <v>1529</v>
      </c>
      <c r="B1204" s="3" t="str">
        <f aca="false">IF(ISNUMBER(SEARCH("%", A1204)),RIGHT(A1204,3),A1204)</f>
        <v>36, 36, GEODUDE</v>
      </c>
      <c r="C1204" s="2" t="s">
        <v>1529</v>
      </c>
    </row>
    <row r="1205" customFormat="false" ht="12.75" hidden="false" customHeight="true" outlineLevel="0" collapsed="false">
      <c r="A1205" s="3"/>
      <c r="B1205" s="3" t="n">
        <f aca="false">IF(ISNUMBER(SEARCH("%", A1205)),RIGHT(A1205,3),A1205)</f>
        <v>0</v>
      </c>
      <c r="C1205" s="2"/>
    </row>
    <row r="1206" customFormat="false" ht="12.75" hidden="false" customHeight="true" outlineLevel="0" collapsed="false">
      <c r="A1206" s="3" t="s">
        <v>2801</v>
      </c>
      <c r="B1206" s="3" t="str">
        <f aca="false">IF(ISNUMBER(SEARCH("%", A1206)),RIGHT(A1206,3),A1206)</f>
        <v>0.1</v>
      </c>
      <c r="C1206" s="2" t="s">
        <v>2801</v>
      </c>
    </row>
    <row r="1207" customFormat="false" ht="12.75" hidden="false" customHeight="true" outlineLevel="0" collapsed="false">
      <c r="A1207" s="3" t="s">
        <v>1518</v>
      </c>
      <c r="B1207" s="3" t="str">
        <f aca="false">IF(ISNUMBER(SEARCH("%", A1207)),RIGHT(A1207,3),A1207)</f>
        <v>34, 34, GEODUDE</v>
      </c>
      <c r="C1207" s="2" t="s">
        <v>1518</v>
      </c>
    </row>
    <row r="1208" customFormat="false" ht="12.75" hidden="false" customHeight="true" outlineLevel="0" collapsed="false">
      <c r="A1208" s="3" t="s">
        <v>1550</v>
      </c>
      <c r="B1208" s="3" t="str">
        <f aca="false">IF(ISNUMBER(SEARCH("%", A1208)),RIGHT(A1208,3),A1208)</f>
        <v>40, 40, GEODUDE</v>
      </c>
      <c r="C1208" s="2" t="s">
        <v>1550</v>
      </c>
    </row>
    <row r="1209" customFormat="false" ht="12.75" hidden="false" customHeight="true" outlineLevel="0" collapsed="false">
      <c r="A1209" s="3" t="s">
        <v>3107</v>
      </c>
      <c r="B1209" s="3" t="str">
        <f aca="false">IF(ISNUMBER(SEARCH("%", A1209)),RIGHT(A1209,3),A1209)</f>
        <v>24, 24, SLUGMA</v>
      </c>
      <c r="C1209" s="2" t="s">
        <v>3107</v>
      </c>
    </row>
    <row r="1210" customFormat="false" ht="12.75" hidden="false" customHeight="true" outlineLevel="0" collapsed="false">
      <c r="A1210" s="3" t="s">
        <v>1556</v>
      </c>
      <c r="B1210" s="3" t="str">
        <f aca="false">IF(ISNUMBER(SEARCH("%", A1210)),RIGHT(A1210,3),A1210)</f>
        <v>26, 26, SLUGMA</v>
      </c>
      <c r="C1210" s="2" t="s">
        <v>1556</v>
      </c>
    </row>
    <row r="1211" customFormat="false" ht="12.75" hidden="false" customHeight="true" outlineLevel="0" collapsed="false">
      <c r="A1211" s="3"/>
      <c r="B1211" s="3" t="n">
        <f aca="false">IF(ISNUMBER(SEARCH("%", A1211)),RIGHT(A1211,3),A1211)</f>
        <v>0</v>
      </c>
      <c r="C1211" s="2"/>
    </row>
    <row r="1212" customFormat="false" ht="12.75" hidden="false" customHeight="true" outlineLevel="0" collapsed="false">
      <c r="A1212" s="3" t="s">
        <v>2806</v>
      </c>
      <c r="B1212" s="3" t="str">
        <f aca="false">IF(ISNUMBER(SEARCH("%", A1212)),RIGHT(A1212,3),A1212)</f>
        <v>0.05</v>
      </c>
      <c r="C1212" s="2" t="s">
        <v>2806</v>
      </c>
    </row>
    <row r="1213" customFormat="false" ht="12.75" hidden="false" customHeight="true" outlineLevel="0" collapsed="false">
      <c r="A1213" s="3" t="s">
        <v>3108</v>
      </c>
      <c r="B1213" s="3" t="str">
        <f aca="false">IF(ISNUMBER(SEARCH("%", A1213)),RIGHT(A1213,3),A1213)</f>
        <v>42, 42, GEODUDE</v>
      </c>
      <c r="C1213" s="2" t="s">
        <v>3108</v>
      </c>
    </row>
    <row r="1214" customFormat="false" ht="12.75" hidden="false" customHeight="true" outlineLevel="0" collapsed="false">
      <c r="A1214" s="3" t="s">
        <v>3109</v>
      </c>
      <c r="B1214" s="3" t="str">
        <f aca="false">IF(ISNUMBER(SEARCH("%", A1214)),RIGHT(A1214,3),A1214)</f>
        <v>28, 28, SLUGMA</v>
      </c>
      <c r="C1214" s="2" t="s">
        <v>3109</v>
      </c>
    </row>
    <row r="1215" customFormat="false" ht="12.75" hidden="false" customHeight="true" outlineLevel="0" collapsed="false">
      <c r="A1215" s="3"/>
      <c r="B1215" s="3" t="n">
        <f aca="false">IF(ISNUMBER(SEARCH("%", A1215)),RIGHT(A1215,3),A1215)</f>
        <v>0</v>
      </c>
      <c r="C1215" s="2"/>
    </row>
    <row r="1216" customFormat="false" ht="12.75" hidden="false" customHeight="true" outlineLevel="0" collapsed="false">
      <c r="A1216" s="3" t="s">
        <v>2809</v>
      </c>
      <c r="B1216" s="3" t="str">
        <f aca="false">IF(ISNUMBER(SEARCH("%", A1216)),RIGHT(A1216,3),A1216)</f>
        <v>0.04</v>
      </c>
      <c r="C1216" s="2" t="s">
        <v>2809</v>
      </c>
    </row>
    <row r="1217" customFormat="false" ht="12.75" hidden="false" customHeight="true" outlineLevel="0" collapsed="false">
      <c r="A1217" s="3" t="s">
        <v>3108</v>
      </c>
      <c r="B1217" s="3" t="str">
        <f aca="false">IF(ISNUMBER(SEARCH("%", A1217)),RIGHT(A1217,3),A1217)</f>
        <v>42, 42, GEODUDE</v>
      </c>
      <c r="C1217" s="2" t="s">
        <v>3108</v>
      </c>
    </row>
    <row r="1218" customFormat="false" ht="12.75" hidden="false" customHeight="true" outlineLevel="0" collapsed="false">
      <c r="A1218" s="3" t="s">
        <v>3110</v>
      </c>
      <c r="B1218" s="3" t="str">
        <f aca="false">IF(ISNUMBER(SEARCH("%", A1218)),RIGHT(A1218,3),A1218)</f>
        <v>30, 30, SLUGMA</v>
      </c>
      <c r="C1218" s="2" t="s">
        <v>3110</v>
      </c>
    </row>
    <row r="1219" customFormat="false" ht="12.75" hidden="false" customHeight="true" outlineLevel="0" collapsed="false">
      <c r="A1219" s="3"/>
      <c r="B1219" s="3" t="n">
        <f aca="false">IF(ISNUMBER(SEARCH("%", A1219)),RIGHT(A1219,3),A1219)</f>
        <v>0</v>
      </c>
      <c r="C1219" s="2"/>
    </row>
    <row r="1220" customFormat="false" ht="12.75" hidden="false" customHeight="true" outlineLevel="0" collapsed="false">
      <c r="A1220" s="3" t="s">
        <v>2812</v>
      </c>
      <c r="B1220" s="3" t="str">
        <f aca="false">IF(ISNUMBER(SEARCH("%", A1220)),RIGHT(A1220,3),A1220)</f>
        <v>0.01</v>
      </c>
      <c r="C1220" s="2" t="s">
        <v>2812</v>
      </c>
    </row>
    <row r="1221" customFormat="false" ht="12.75" hidden="false" customHeight="true" outlineLevel="0" collapsed="false">
      <c r="A1221" s="3" t="s">
        <v>3108</v>
      </c>
      <c r="B1221" s="3" t="str">
        <f aca="false">IF(ISNUMBER(SEARCH("%", A1221)),RIGHT(A1221,3),A1221)</f>
        <v>42, 42, GEODUDE</v>
      </c>
      <c r="C1221" s="2" t="s">
        <v>3108</v>
      </c>
    </row>
    <row r="1222" customFormat="false" ht="12.75" hidden="false" customHeight="true" outlineLevel="0" collapsed="false">
      <c r="A1222" s="3" t="s">
        <v>3110</v>
      </c>
      <c r="B1222" s="3" t="str">
        <f aca="false">IF(ISNUMBER(SEARCH("%", A1222)),RIGHT(A1222,3),A1222)</f>
        <v>30, 30, SLUGMA</v>
      </c>
      <c r="C1222" s="2" t="s">
        <v>3110</v>
      </c>
    </row>
    <row r="1223" customFormat="false" ht="12.75" hidden="false" customHeight="true" outlineLevel="0" collapsed="false">
      <c r="A1223" s="3" t="s">
        <v>3101</v>
      </c>
      <c r="B1223" s="3" t="str">
        <f aca="false">IF(ISNUMBER(SEARCH("%", A1223)),RIGHT(A1223,3),A1223)</f>
        <v>50, 25, 35, GEODUDE</v>
      </c>
      <c r="C1223" s="2" t="s">
        <v>3101</v>
      </c>
    </row>
    <row r="1224" customFormat="false" ht="12.75" hidden="false" customHeight="true" outlineLevel="0" collapsed="false">
      <c r="A1224" s="3" t="s">
        <v>3102</v>
      </c>
      <c r="B1224" s="3" t="str">
        <f aca="false">IF(ISNUMBER(SEARCH("%", A1224)),RIGHT(A1224,3),A1224)</f>
        <v>30, 45, GRAVELER</v>
      </c>
      <c r="C1224" s="2" t="s">
        <v>3102</v>
      </c>
    </row>
    <row r="1225" customFormat="false" ht="12.75" hidden="false" customHeight="true" outlineLevel="0" collapsed="false">
      <c r="A1225" s="3" t="s">
        <v>3103</v>
      </c>
      <c r="B1225" s="3" t="str">
        <f aca="false">IF(ISNUMBER(SEARCH("%", A1225)),RIGHT(A1225,3),A1225)</f>
        <v>35, 50, GRAVELER</v>
      </c>
      <c r="C1225" s="2" t="s">
        <v>3103</v>
      </c>
    </row>
    <row r="1226" customFormat="false" ht="12.75" hidden="false" customHeight="true" outlineLevel="0" collapsed="false">
      <c r="A1226" s="3" t="s">
        <v>3104</v>
      </c>
      <c r="B1226" s="3" t="str">
        <f aca="false">IF(ISNUMBER(SEARCH("%", A1226)),RIGHT(A1226,3),A1226)</f>
        <v>30, 40, GEODUDE</v>
      </c>
      <c r="C1226" s="2" t="s">
        <v>3104</v>
      </c>
    </row>
    <row r="1227" customFormat="false" ht="12.75" hidden="false" customHeight="true" outlineLevel="0" collapsed="false">
      <c r="A1227" s="3" t="s">
        <v>3105</v>
      </c>
      <c r="B1227" s="3" t="str">
        <f aca="false">IF(ISNUMBER(SEARCH("%", A1227)),RIGHT(A1227,3),A1227)</f>
        <v>30, 40, GEODUDE , &lt;null&gt;</v>
      </c>
      <c r="C1227" s="2" t="s">
        <v>3105</v>
      </c>
    </row>
    <row r="1228" customFormat="false" ht="12.75" hidden="false" customHeight="true" outlineLevel="0" collapsed="false">
      <c r="A1228" s="3"/>
      <c r="B1228" s="3" t="n">
        <f aca="false">IF(ISNUMBER(SEARCH("%", A1228)),RIGHT(A1228,3),A1228)</f>
        <v>0</v>
      </c>
      <c r="C1228" s="2"/>
    </row>
    <row r="1229" customFormat="false" ht="12.75" hidden="false" customHeight="true" outlineLevel="0" collapsed="false">
      <c r="A1229" s="3" t="s">
        <v>2536</v>
      </c>
      <c r="B1229" s="3" t="str">
        <f aca="false">IF(ISNUMBER(SEARCH("%", A1229)),RIGHT(A1229,3),A1229)</f>
        <v>NEW ROUTE</v>
      </c>
      <c r="C1229" s="2" t="s">
        <v>2536</v>
      </c>
    </row>
    <row r="1230" customFormat="false" ht="12.75" hidden="false" customHeight="true" outlineLevel="0" collapsed="false">
      <c r="A1230" s="3" t="s">
        <v>3127</v>
      </c>
      <c r="B1230" s="3" t="str">
        <f aca="false">IF(ISNUMBER(SEARCH("%", A1230)),RIGHT(A1230,3),A1230)</f>
        <v>1, 109, 0,</v>
      </c>
      <c r="C1230" s="2" t="s">
        <v>3127</v>
      </c>
    </row>
    <row r="1231" customFormat="false" ht="12.75" hidden="false" customHeight="true" outlineLevel="0" collapsed="false">
      <c r="A1231" s="3" t="s">
        <v>2908</v>
      </c>
      <c r="B1231" s="3" t="str">
        <f aca="false">IF(ISNUMBER(SEARCH("%", A1231)),RIGHT(A1231,3),A1231)</f>
        <v>20%</v>
      </c>
      <c r="C1231" s="2" t="s">
        <v>2799</v>
      </c>
    </row>
    <row r="1232" customFormat="false" ht="12.75" hidden="false" customHeight="true" outlineLevel="0" collapsed="false">
      <c r="A1232" s="3" t="s">
        <v>1569</v>
      </c>
      <c r="B1232" s="3" t="str">
        <f aca="false">IF(ISNUMBER(SEARCH("%", A1232)),RIGHT(A1232,3),A1232)</f>
        <v>37, 37, PIDGEOTTO</v>
      </c>
      <c r="C1232" s="2" t="s">
        <v>1569</v>
      </c>
    </row>
    <row r="1233" customFormat="false" ht="12.75" hidden="false" customHeight="true" outlineLevel="0" collapsed="false">
      <c r="A1233" s="3" t="s">
        <v>3128</v>
      </c>
      <c r="B1233" s="3" t="str">
        <f aca="false">IF(ISNUMBER(SEARCH("%", A1233)),RIGHT(A1233,3),A1233)</f>
        <v>35, 35, WEEPINBELL</v>
      </c>
      <c r="C1233" s="2" t="s">
        <v>3128</v>
      </c>
    </row>
    <row r="1234" customFormat="false" ht="12.75" hidden="false" customHeight="true" outlineLevel="0" collapsed="false">
      <c r="A1234" s="3"/>
      <c r="B1234" s="3" t="n">
        <f aca="false">IF(ISNUMBER(SEARCH("%", A1234)),RIGHT(A1234,3),A1234)</f>
        <v>0</v>
      </c>
      <c r="C1234" s="2"/>
    </row>
    <row r="1235" customFormat="false" ht="12.75" hidden="false" customHeight="true" outlineLevel="0" collapsed="false">
      <c r="A1235" s="3" t="s">
        <v>2801</v>
      </c>
      <c r="B1235" s="3" t="str">
        <f aca="false">IF(ISNUMBER(SEARCH("%", A1235)),RIGHT(A1235,3),A1235)</f>
        <v>0.1</v>
      </c>
      <c r="C1235" s="2" t="s">
        <v>2801</v>
      </c>
    </row>
    <row r="1236" customFormat="false" ht="12.75" hidden="false" customHeight="true" outlineLevel="0" collapsed="false">
      <c r="A1236" s="3" t="s">
        <v>1695</v>
      </c>
      <c r="B1236" s="3" t="str">
        <f aca="false">IF(ISNUMBER(SEARCH("%", A1236)),RIGHT(A1236,3),A1236)</f>
        <v>32, 32, PIDGEY</v>
      </c>
      <c r="C1236" s="2" t="s">
        <v>1695</v>
      </c>
    </row>
    <row r="1237" customFormat="false" ht="12.75" hidden="false" customHeight="true" outlineLevel="0" collapsed="false">
      <c r="A1237" s="3" t="s">
        <v>3129</v>
      </c>
      <c r="B1237" s="3" t="str">
        <f aca="false">IF(ISNUMBER(SEARCH("%", A1237)),RIGHT(A1237,3),A1237)</f>
        <v>30, 30, BELLSPROUT</v>
      </c>
      <c r="C1237" s="2" t="s">
        <v>3129</v>
      </c>
    </row>
    <row r="1238" customFormat="false" ht="12.75" hidden="false" customHeight="true" outlineLevel="0" collapsed="false">
      <c r="A1238" s="3" t="s">
        <v>3130</v>
      </c>
      <c r="B1238" s="3" t="str">
        <f aca="false">IF(ISNUMBER(SEARCH("%", A1238)),RIGHT(A1238,3),A1238)</f>
        <v>34, 34, VENONAT</v>
      </c>
      <c r="C1238" s="2" t="s">
        <v>3130</v>
      </c>
    </row>
    <row r="1239" customFormat="false" ht="12.75" hidden="false" customHeight="true" outlineLevel="0" collapsed="false">
      <c r="A1239" s="3" t="s">
        <v>3131</v>
      </c>
      <c r="B1239" s="3" t="str">
        <f aca="false">IF(ISNUMBER(SEARCH("%", A1239)),RIGHT(A1239,3),A1239)</f>
        <v>34, 34, DROWZEE</v>
      </c>
      <c r="C1239" s="2" t="s">
        <v>3131</v>
      </c>
    </row>
    <row r="1240" customFormat="false" ht="12.75" hidden="false" customHeight="true" outlineLevel="0" collapsed="false">
      <c r="A1240" s="3"/>
      <c r="B1240" s="3" t="n">
        <f aca="false">IF(ISNUMBER(SEARCH("%", A1240)),RIGHT(A1240,3),A1240)</f>
        <v>0</v>
      </c>
      <c r="C1240" s="2"/>
    </row>
    <row r="1241" customFormat="false" ht="12.75" hidden="false" customHeight="true" outlineLevel="0" collapsed="false">
      <c r="A1241" s="3" t="s">
        <v>2806</v>
      </c>
      <c r="B1241" s="3" t="str">
        <f aca="false">IF(ISNUMBER(SEARCH("%", A1241)),RIGHT(A1241,3),A1241)</f>
        <v>0.05</v>
      </c>
      <c r="C1241" s="2" t="s">
        <v>2806</v>
      </c>
    </row>
    <row r="1242" customFormat="false" ht="12.75" hidden="false" customHeight="true" outlineLevel="0" collapsed="false">
      <c r="A1242" s="3" t="s">
        <v>3132</v>
      </c>
      <c r="B1242" s="3" t="str">
        <f aca="false">IF(ISNUMBER(SEARCH("%", A1242)),RIGHT(A1242,3),A1242)</f>
        <v>35, 35, EXEGGCUTE</v>
      </c>
      <c r="C1242" s="2" t="s">
        <v>3132</v>
      </c>
    </row>
    <row r="1243" customFormat="false" ht="12.75" hidden="false" customHeight="true" outlineLevel="0" collapsed="false">
      <c r="A1243" s="3" t="s">
        <v>3133</v>
      </c>
      <c r="B1243" s="3" t="str">
        <f aca="false">IF(ISNUMBER(SEARCH("%", A1243)),RIGHT(A1243,3),A1243)</f>
        <v>31, 31, SLOWPOKE</v>
      </c>
      <c r="C1243" s="2" t="s">
        <v>3133</v>
      </c>
    </row>
    <row r="1244" customFormat="false" ht="12.75" hidden="false" customHeight="true" outlineLevel="0" collapsed="false">
      <c r="A1244" s="3"/>
      <c r="B1244" s="3" t="n">
        <f aca="false">IF(ISNUMBER(SEARCH("%", A1244)),RIGHT(A1244,3),A1244)</f>
        <v>0</v>
      </c>
      <c r="C1244" s="2"/>
    </row>
    <row r="1245" customFormat="false" ht="12.75" hidden="false" customHeight="true" outlineLevel="0" collapsed="false">
      <c r="A1245" s="3" t="s">
        <v>2809</v>
      </c>
      <c r="B1245" s="3" t="str">
        <f aca="false">IF(ISNUMBER(SEARCH("%", A1245)),RIGHT(A1245,3),A1245)</f>
        <v>0.04</v>
      </c>
      <c r="C1245" s="2" t="s">
        <v>2809</v>
      </c>
    </row>
    <row r="1246" customFormat="false" ht="12.75" hidden="false" customHeight="true" outlineLevel="0" collapsed="false">
      <c r="A1246" s="3" t="s">
        <v>3134</v>
      </c>
      <c r="B1246" s="3" t="str">
        <f aca="false">IF(ISNUMBER(SEARCH("%", A1246)),RIGHT(A1246,3),A1246)</f>
        <v>37, 37, VENOMOTH</v>
      </c>
      <c r="C1246" s="2" t="s">
        <v>3134</v>
      </c>
    </row>
    <row r="1247" customFormat="false" ht="12.75" hidden="false" customHeight="true" outlineLevel="0" collapsed="false">
      <c r="A1247" s="3" t="s">
        <v>3135</v>
      </c>
      <c r="B1247" s="3" t="str">
        <f aca="false">IF(ISNUMBER(SEARCH("%", A1247)),RIGHT(A1247,3),A1247)</f>
        <v>37, 37, HYPNO</v>
      </c>
      <c r="C1247" s="2" t="s">
        <v>3135</v>
      </c>
    </row>
    <row r="1248" customFormat="false" ht="12.75" hidden="false" customHeight="true" outlineLevel="0" collapsed="false">
      <c r="A1248" s="3"/>
      <c r="B1248" s="3" t="n">
        <f aca="false">IF(ISNUMBER(SEARCH("%", A1248)),RIGHT(A1248,3),A1248)</f>
        <v>0</v>
      </c>
      <c r="C1248" s="2"/>
    </row>
    <row r="1249" customFormat="false" ht="12.75" hidden="false" customHeight="true" outlineLevel="0" collapsed="false">
      <c r="A1249" s="3" t="s">
        <v>2812</v>
      </c>
      <c r="B1249" s="3" t="str">
        <f aca="false">IF(ISNUMBER(SEARCH("%", A1249)),RIGHT(A1249,3),A1249)</f>
        <v>0.01</v>
      </c>
      <c r="C1249" s="2" t="s">
        <v>2812</v>
      </c>
    </row>
    <row r="1250" customFormat="false" ht="12.75" hidden="false" customHeight="true" outlineLevel="0" collapsed="false">
      <c r="A1250" s="3" t="s">
        <v>3136</v>
      </c>
      <c r="B1250" s="3" t="str">
        <f aca="false">IF(ISNUMBER(SEARCH("%", A1250)),RIGHT(A1250,3),A1250)</f>
        <v>40, 40, VENOMOTH</v>
      </c>
      <c r="C1250" s="2" t="s">
        <v>3136</v>
      </c>
    </row>
    <row r="1251" customFormat="false" ht="12.75" hidden="false" customHeight="true" outlineLevel="0" collapsed="false">
      <c r="A1251" s="3" t="s">
        <v>3137</v>
      </c>
      <c r="B1251" s="3" t="str">
        <f aca="false">IF(ISNUMBER(SEARCH("%", A1251)),RIGHT(A1251,3),A1251)</f>
        <v>40, 40, HYPNO</v>
      </c>
      <c r="C1251" s="2" t="s">
        <v>3137</v>
      </c>
    </row>
    <row r="1252" customFormat="false" ht="12.75" hidden="false" customHeight="true" outlineLevel="0" collapsed="false">
      <c r="A1252" s="3" t="s">
        <v>3138</v>
      </c>
      <c r="B1252" s="3" t="str">
        <f aca="false">IF(ISNUMBER(SEARCH("%", A1252)),RIGHT(A1252,3),A1252)</f>
        <v>2, 5, 20, SLOWPOKE</v>
      </c>
      <c r="C1252" s="2" t="s">
        <v>3138</v>
      </c>
    </row>
    <row r="1253" customFormat="false" ht="12.75" hidden="false" customHeight="true" outlineLevel="0" collapsed="false">
      <c r="A1253" s="3" t="s">
        <v>3139</v>
      </c>
      <c r="B1253" s="3" t="str">
        <f aca="false">IF(ISNUMBER(SEARCH("%", A1253)),RIGHT(A1253,3),A1253)</f>
        <v>20, 35, SLOWPOKE</v>
      </c>
      <c r="C1253" s="2" t="s">
        <v>3139</v>
      </c>
    </row>
    <row r="1254" customFormat="false" ht="12.75" hidden="false" customHeight="true" outlineLevel="0" collapsed="false">
      <c r="A1254" s="3" t="s">
        <v>3140</v>
      </c>
      <c r="B1254" s="3" t="str">
        <f aca="false">IF(ISNUMBER(SEARCH("%", A1254)),RIGHT(A1254,3),A1254)</f>
        <v>35, 40, SLOWPOKE</v>
      </c>
      <c r="C1254" s="2" t="s">
        <v>3140</v>
      </c>
    </row>
    <row r="1255" customFormat="false" ht="12.75" hidden="false" customHeight="true" outlineLevel="0" collapsed="false">
      <c r="A1255" s="3" t="s">
        <v>3141</v>
      </c>
      <c r="B1255" s="3" t="str">
        <f aca="false">IF(ISNUMBER(SEARCH("%", A1255)),RIGHT(A1255,3),A1255)</f>
        <v>35, 40, SLOWBRO</v>
      </c>
      <c r="C1255" s="2" t="s">
        <v>3141</v>
      </c>
    </row>
    <row r="1256" customFormat="false" ht="12.75" hidden="false" customHeight="true" outlineLevel="0" collapsed="false">
      <c r="A1256" s="3" t="s">
        <v>3141</v>
      </c>
      <c r="B1256" s="3" t="str">
        <f aca="false">IF(ISNUMBER(SEARCH("%", A1256)),RIGHT(A1256,3),A1256)</f>
        <v>35, 40, SLOWBRO</v>
      </c>
      <c r="C1256" s="2" t="s">
        <v>3141</v>
      </c>
    </row>
    <row r="1257" customFormat="false" ht="12.75" hidden="false" customHeight="true" outlineLevel="0" collapsed="false">
      <c r="A1257" s="3" t="s">
        <v>2925</v>
      </c>
      <c r="B1257" s="3" t="str">
        <f aca="false">IF(ISNUMBER(SEARCH("%", A1257)),RIGHT(A1257,3),A1257)</f>
        <v>20, old rod:</v>
      </c>
      <c r="C1257" s="2" t="s">
        <v>2925</v>
      </c>
    </row>
    <row r="1258" customFormat="false" ht="12.75" hidden="false" customHeight="true" outlineLevel="0" collapsed="false">
      <c r="A1258" s="3" t="s">
        <v>1266</v>
      </c>
      <c r="B1258" s="3" t="str">
        <f aca="false">IF(ISNUMBER(SEARCH("%", A1258)),RIGHT(A1258,3),A1258)</f>
        <v>5, 5, MAGIKARP</v>
      </c>
      <c r="C1258" s="2" t="s">
        <v>1266</v>
      </c>
    </row>
    <row r="1259" customFormat="false" ht="12.75" hidden="false" customHeight="true" outlineLevel="0" collapsed="false">
      <c r="A1259" s="3" t="s">
        <v>1266</v>
      </c>
      <c r="B1259" s="3" t="str">
        <f aca="false">IF(ISNUMBER(SEARCH("%", A1259)),RIGHT(A1259,3),A1259)</f>
        <v>5, 5, MAGIKARP</v>
      </c>
      <c r="C1259" s="2" t="s">
        <v>1266</v>
      </c>
    </row>
    <row r="1260" customFormat="false" ht="12.75" hidden="false" customHeight="true" outlineLevel="0" collapsed="false">
      <c r="A1260" s="3"/>
      <c r="B1260" s="3" t="n">
        <f aca="false">IF(ISNUMBER(SEARCH("%", A1260)),RIGHT(A1260,3),A1260)</f>
        <v>0</v>
      </c>
      <c r="C1260" s="2"/>
    </row>
    <row r="1261" customFormat="false" ht="12.75" hidden="false" customHeight="true" outlineLevel="0" collapsed="false">
      <c r="A1261" s="3" t="s">
        <v>2846</v>
      </c>
      <c r="B1261" s="3" t="str">
        <f aca="false">IF(ISNUMBER(SEARCH("%", A1261)),RIGHT(A1261,3),A1261)</f>
        <v>good rod:</v>
      </c>
      <c r="C1261" s="2" t="s">
        <v>2846</v>
      </c>
    </row>
    <row r="1262" customFormat="false" ht="12.75" hidden="false" customHeight="true" outlineLevel="0" collapsed="false">
      <c r="A1262" s="3" t="s">
        <v>3142</v>
      </c>
      <c r="B1262" s="3" t="str">
        <f aca="false">IF(ISNUMBER(SEARCH("%", A1262)),RIGHT(A1262,3),A1262)</f>
        <v>5, 15, GOLDEEN</v>
      </c>
      <c r="C1262" s="2" t="s">
        <v>3142</v>
      </c>
    </row>
    <row r="1263" customFormat="false" ht="12.75" hidden="false" customHeight="true" outlineLevel="0" collapsed="false">
      <c r="A1263" s="3" t="s">
        <v>2848</v>
      </c>
      <c r="B1263" s="3" t="str">
        <f aca="false">IF(ISNUMBER(SEARCH("%", A1263)),RIGHT(A1263,3),A1263)</f>
        <v>5, 15, MAGIKARP</v>
      </c>
      <c r="C1263" s="2" t="s">
        <v>2848</v>
      </c>
    </row>
    <row r="1264" customFormat="false" ht="12.75" hidden="false" customHeight="true" outlineLevel="0" collapsed="false">
      <c r="A1264" s="3" t="s">
        <v>3143</v>
      </c>
      <c r="B1264" s="3" t="str">
        <f aca="false">IF(ISNUMBER(SEARCH("%", A1264)),RIGHT(A1264,3),A1264)</f>
        <v>5, 15, POLIWAG</v>
      </c>
      <c r="C1264" s="2" t="s">
        <v>3143</v>
      </c>
    </row>
    <row r="1265" customFormat="false" ht="12.75" hidden="false" customHeight="true" outlineLevel="0" collapsed="false">
      <c r="A1265" s="3"/>
      <c r="B1265" s="3" t="n">
        <f aca="false">IF(ISNUMBER(SEARCH("%", A1265)),RIGHT(A1265,3),A1265)</f>
        <v>0</v>
      </c>
      <c r="C1265" s="2"/>
    </row>
    <row r="1266" customFormat="false" ht="12.75" hidden="false" customHeight="true" outlineLevel="0" collapsed="false">
      <c r="A1266" s="3" t="s">
        <v>2850</v>
      </c>
      <c r="B1266" s="3" t="str">
        <f aca="false">IF(ISNUMBER(SEARCH("%", A1266)),RIGHT(A1266,3),A1266)</f>
        <v>super rod:</v>
      </c>
      <c r="C1266" s="2" t="s">
        <v>2850</v>
      </c>
    </row>
    <row r="1267" customFormat="false" ht="12.75" hidden="false" customHeight="true" outlineLevel="0" collapsed="false">
      <c r="A1267" s="3" t="s">
        <v>3144</v>
      </c>
      <c r="B1267" s="3" t="str">
        <f aca="false">IF(ISNUMBER(SEARCH("%", A1267)),RIGHT(A1267,3),A1267)</f>
        <v>15, 25, GOLDEEN</v>
      </c>
      <c r="C1267" s="2" t="s">
        <v>3144</v>
      </c>
    </row>
    <row r="1268" customFormat="false" ht="12.75" hidden="false" customHeight="true" outlineLevel="0" collapsed="false">
      <c r="A1268" s="3" t="s">
        <v>3145</v>
      </c>
      <c r="B1268" s="3" t="str">
        <f aca="false">IF(ISNUMBER(SEARCH("%", A1268)),RIGHT(A1268,3),A1268)</f>
        <v>20, 30, SEAKING</v>
      </c>
      <c r="C1268" s="2" t="s">
        <v>3145</v>
      </c>
    </row>
    <row r="1269" customFormat="false" ht="12.75" hidden="false" customHeight="true" outlineLevel="0" collapsed="false">
      <c r="A1269" s="3" t="s">
        <v>2853</v>
      </c>
      <c r="B1269" s="3" t="str">
        <f aca="false">IF(ISNUMBER(SEARCH("%", A1269)),RIGHT(A1269,3),A1269)</f>
        <v>15, 25, GYARADOS</v>
      </c>
      <c r="C1269" s="2" t="s">
        <v>2853</v>
      </c>
    </row>
    <row r="1270" customFormat="false" ht="12.75" hidden="false" customHeight="true" outlineLevel="0" collapsed="false">
      <c r="A1270" s="3" t="s">
        <v>3146</v>
      </c>
      <c r="B1270" s="3" t="str">
        <f aca="false">IF(ISNUMBER(SEARCH("%", A1270)),RIGHT(A1270,3),A1270)</f>
        <v>15, 25, SLOWPOKE</v>
      </c>
      <c r="C1270" s="2" t="s">
        <v>3146</v>
      </c>
    </row>
    <row r="1271" customFormat="false" ht="12.75" hidden="false" customHeight="true" outlineLevel="0" collapsed="false">
      <c r="A1271" s="3" t="s">
        <v>2855</v>
      </c>
      <c r="B1271" s="3" t="str">
        <f aca="false">IF(ISNUMBER(SEARCH("%", A1271)),RIGHT(A1271,3),A1271)</f>
        <v>25, 35, SLOWPOKE</v>
      </c>
      <c r="C1271" s="2" t="s">
        <v>2855</v>
      </c>
    </row>
    <row r="1272" customFormat="false" ht="12.75" hidden="false" customHeight="true" outlineLevel="0" collapsed="false">
      <c r="A1272" s="3" t="s">
        <v>2536</v>
      </c>
      <c r="B1272" s="3" t="str">
        <f aca="false">IF(ISNUMBER(SEARCH("%", A1272)),RIGHT(A1272,3),A1272)</f>
        <v>NEW ROUTE</v>
      </c>
      <c r="C1272" s="2" t="s">
        <v>2536</v>
      </c>
    </row>
    <row r="1273" customFormat="false" ht="12.75" hidden="false" customHeight="true" outlineLevel="0" collapsed="false">
      <c r="A1273" s="3" t="s">
        <v>3147</v>
      </c>
      <c r="B1273" s="3" t="str">
        <f aca="false">IF(ISNUMBER(SEARCH("%", A1273)),RIGHT(A1273,3),A1273)</f>
        <v>1, 110, 0,</v>
      </c>
      <c r="C1273" s="2" t="s">
        <v>3147</v>
      </c>
    </row>
    <row r="1274" customFormat="false" ht="12.75" hidden="false" customHeight="true" outlineLevel="0" collapsed="false">
      <c r="A1274" s="3" t="s">
        <v>2816</v>
      </c>
      <c r="B1274" s="3" t="str">
        <f aca="false">IF(ISNUMBER(SEARCH("%", A1274)),RIGHT(A1274,3),A1274)</f>
        <v>20%</v>
      </c>
      <c r="C1274" s="2" t="s">
        <v>2799</v>
      </c>
    </row>
    <row r="1275" customFormat="false" ht="12.75" hidden="false" customHeight="true" outlineLevel="0" collapsed="false">
      <c r="A1275" s="3" t="s">
        <v>1591</v>
      </c>
      <c r="B1275" s="3" t="str">
        <f aca="false">IF(ISNUMBER(SEARCH("%", A1275)),RIGHT(A1275,3),A1275)</f>
        <v>43, 43, SEEL</v>
      </c>
      <c r="C1275" s="2" t="s">
        <v>1591</v>
      </c>
    </row>
    <row r="1276" customFormat="false" ht="12.75" hidden="false" customHeight="true" outlineLevel="0" collapsed="false">
      <c r="A1276" s="3" t="s">
        <v>3148</v>
      </c>
      <c r="B1276" s="3" t="str">
        <f aca="false">IF(ISNUMBER(SEARCH("%", A1276)),RIGHT(A1276,3),A1276)</f>
        <v>45, 45, GOLBAT</v>
      </c>
      <c r="C1276" s="2" t="s">
        <v>3148</v>
      </c>
    </row>
    <row r="1277" customFormat="false" ht="12.75" hidden="false" customHeight="true" outlineLevel="0" collapsed="false">
      <c r="A1277" s="3"/>
      <c r="B1277" s="3" t="n">
        <f aca="false">IF(ISNUMBER(SEARCH("%", A1277)),RIGHT(A1277,3),A1277)</f>
        <v>0</v>
      </c>
      <c r="C1277" s="2"/>
    </row>
    <row r="1278" customFormat="false" ht="12.75" hidden="false" customHeight="true" outlineLevel="0" collapsed="false">
      <c r="A1278" s="3" t="s">
        <v>2801</v>
      </c>
      <c r="B1278" s="3" t="str">
        <f aca="false">IF(ISNUMBER(SEARCH("%", A1278)),RIGHT(A1278,3),A1278)</f>
        <v>0.1</v>
      </c>
      <c r="C1278" s="2" t="s">
        <v>2801</v>
      </c>
    </row>
    <row r="1279" customFormat="false" ht="12.75" hidden="false" customHeight="true" outlineLevel="0" collapsed="false">
      <c r="A1279" s="3" t="s">
        <v>3149</v>
      </c>
      <c r="B1279" s="3" t="str">
        <f aca="false">IF(ISNUMBER(SEARCH("%", A1279)),RIGHT(A1279,3),A1279)</f>
        <v>45, 45, SEEL</v>
      </c>
      <c r="C1279" s="2" t="s">
        <v>3149</v>
      </c>
    </row>
    <row r="1280" customFormat="false" ht="12.75" hidden="false" customHeight="true" outlineLevel="0" collapsed="false">
      <c r="A1280" s="3" t="s">
        <v>3150</v>
      </c>
      <c r="B1280" s="3" t="str">
        <f aca="false">IF(ISNUMBER(SEARCH("%", A1280)),RIGHT(A1280,3),A1280)</f>
        <v>47, 47, SEEL</v>
      </c>
      <c r="C1280" s="2" t="s">
        <v>3150</v>
      </c>
    </row>
    <row r="1281" customFormat="false" ht="12.75" hidden="false" customHeight="true" outlineLevel="0" collapsed="false">
      <c r="A1281" s="3" t="s">
        <v>3151</v>
      </c>
      <c r="B1281" s="3" t="str">
        <f aca="false">IF(ISNUMBER(SEARCH("%", A1281)),RIGHT(A1281,3),A1281)</f>
        <v>40, 40, ZUBAT</v>
      </c>
      <c r="C1281" s="2" t="s">
        <v>3151</v>
      </c>
    </row>
    <row r="1282" customFormat="false" ht="12.75" hidden="false" customHeight="true" outlineLevel="0" collapsed="false">
      <c r="A1282" s="3" t="s">
        <v>3152</v>
      </c>
      <c r="B1282" s="3" t="str">
        <f aca="false">IF(ISNUMBER(SEARCH("%", A1282)),RIGHT(A1282,3),A1282)</f>
        <v>49, 49, DEWGONG</v>
      </c>
      <c r="C1282" s="2" t="s">
        <v>3152</v>
      </c>
    </row>
    <row r="1283" customFormat="false" ht="12.75" hidden="false" customHeight="true" outlineLevel="0" collapsed="false">
      <c r="A1283" s="3"/>
      <c r="B1283" s="3" t="n">
        <f aca="false">IF(ISNUMBER(SEARCH("%", A1283)),RIGHT(A1283,3),A1283)</f>
        <v>0</v>
      </c>
      <c r="C1283" s="2"/>
    </row>
    <row r="1284" customFormat="false" ht="12.75" hidden="false" customHeight="true" outlineLevel="0" collapsed="false">
      <c r="A1284" s="3" t="s">
        <v>2806</v>
      </c>
      <c r="B1284" s="3" t="str">
        <f aca="false">IF(ISNUMBER(SEARCH("%", A1284)),RIGHT(A1284,3),A1284)</f>
        <v>0.05</v>
      </c>
      <c r="C1284" s="2" t="s">
        <v>2806</v>
      </c>
    </row>
    <row r="1285" customFormat="false" ht="12.75" hidden="false" customHeight="true" outlineLevel="0" collapsed="false">
      <c r="A1285" s="3" t="s">
        <v>3153</v>
      </c>
      <c r="B1285" s="3" t="str">
        <f aca="false">IF(ISNUMBER(SEARCH("%", A1285)),RIGHT(A1285,3),A1285)</f>
        <v>51, 51, DEWGONG</v>
      </c>
      <c r="C1285" s="2" t="s">
        <v>3153</v>
      </c>
    </row>
    <row r="1286" customFormat="false" ht="12.75" hidden="false" customHeight="true" outlineLevel="0" collapsed="false">
      <c r="A1286" s="3" t="s">
        <v>3154</v>
      </c>
      <c r="B1286" s="3" t="str">
        <f aca="false">IF(ISNUMBER(SEARCH("%", A1286)),RIGHT(A1286,3),A1286)</f>
        <v>41, 41, SLOWPOKE</v>
      </c>
      <c r="C1286" s="2" t="s">
        <v>3154</v>
      </c>
    </row>
    <row r="1287" customFormat="false" ht="12.75" hidden="false" customHeight="true" outlineLevel="0" collapsed="false">
      <c r="A1287" s="3"/>
      <c r="B1287" s="3" t="n">
        <f aca="false">IF(ISNUMBER(SEARCH("%", A1287)),RIGHT(A1287,3),A1287)</f>
        <v>0</v>
      </c>
      <c r="C1287" s="2"/>
    </row>
    <row r="1288" customFormat="false" ht="12.75" hidden="false" customHeight="true" outlineLevel="0" collapsed="false">
      <c r="A1288" s="3" t="s">
        <v>2809</v>
      </c>
      <c r="B1288" s="3" t="str">
        <f aca="false">IF(ISNUMBER(SEARCH("%", A1288)),RIGHT(A1288,3),A1288)</f>
        <v>0.04</v>
      </c>
      <c r="C1288" s="2" t="s">
        <v>2809</v>
      </c>
    </row>
    <row r="1289" customFormat="false" ht="12.75" hidden="false" customHeight="true" outlineLevel="0" collapsed="false">
      <c r="A1289" s="3" t="s">
        <v>3155</v>
      </c>
      <c r="B1289" s="3" t="str">
        <f aca="false">IF(ISNUMBER(SEARCH("%", A1289)),RIGHT(A1289,3),A1289)</f>
        <v>48, 48, GOLBAT</v>
      </c>
      <c r="C1289" s="2" t="s">
        <v>3155</v>
      </c>
    </row>
    <row r="1290" customFormat="false" ht="12.75" hidden="false" customHeight="true" outlineLevel="0" collapsed="false">
      <c r="A1290" s="3" t="s">
        <v>3156</v>
      </c>
      <c r="B1290" s="3" t="str">
        <f aca="false">IF(ISNUMBER(SEARCH("%", A1290)),RIGHT(A1290,3),A1290)</f>
        <v>53, 53, DEWGONG</v>
      </c>
      <c r="C1290" s="2" t="s">
        <v>3156</v>
      </c>
    </row>
    <row r="1291" customFormat="false" ht="12.75" hidden="false" customHeight="true" outlineLevel="0" collapsed="false">
      <c r="A1291" s="3"/>
      <c r="B1291" s="3" t="n">
        <f aca="false">IF(ISNUMBER(SEARCH("%", A1291)),RIGHT(A1291,3),A1291)</f>
        <v>0</v>
      </c>
      <c r="C1291" s="2"/>
    </row>
    <row r="1292" customFormat="false" ht="12.75" hidden="false" customHeight="true" outlineLevel="0" collapsed="false">
      <c r="A1292" s="3" t="s">
        <v>2812</v>
      </c>
      <c r="B1292" s="3" t="str">
        <f aca="false">IF(ISNUMBER(SEARCH("%", A1292)),RIGHT(A1292,3),A1292)</f>
        <v>0.01</v>
      </c>
      <c r="C1292" s="2" t="s">
        <v>2812</v>
      </c>
    </row>
    <row r="1293" customFormat="false" ht="12.75" hidden="false" customHeight="true" outlineLevel="0" collapsed="false">
      <c r="A1293" s="3" t="s">
        <v>3155</v>
      </c>
      <c r="B1293" s="3" t="str">
        <f aca="false">IF(ISNUMBER(SEARCH("%", A1293)),RIGHT(A1293,3),A1293)</f>
        <v>48, 48, GOLBAT</v>
      </c>
      <c r="C1293" s="2" t="s">
        <v>3155</v>
      </c>
    </row>
    <row r="1294" customFormat="false" ht="12.75" hidden="false" customHeight="true" outlineLevel="0" collapsed="false">
      <c r="A1294" s="3" t="s">
        <v>3156</v>
      </c>
      <c r="B1294" s="3" t="str">
        <f aca="false">IF(ISNUMBER(SEARCH("%", A1294)),RIGHT(A1294,3),A1294)</f>
        <v>53, 53, DEWGONG</v>
      </c>
      <c r="C1294" s="2" t="s">
        <v>3156</v>
      </c>
    </row>
    <row r="1295" customFormat="false" ht="12.75" hidden="false" customHeight="true" outlineLevel="0" collapsed="false">
      <c r="A1295" s="3" t="s">
        <v>3157</v>
      </c>
      <c r="B1295" s="3" t="str">
        <f aca="false">IF(ISNUMBER(SEARCH("%", A1295)),RIGHT(A1295,3),A1295)</f>
        <v>2, 5, 35, SEEL</v>
      </c>
      <c r="C1295" s="2" t="s">
        <v>3157</v>
      </c>
    </row>
    <row r="1296" customFormat="false" ht="12.75" hidden="false" customHeight="true" outlineLevel="0" collapsed="false">
      <c r="A1296" s="3" t="s">
        <v>3158</v>
      </c>
      <c r="B1296" s="3" t="str">
        <f aca="false">IF(ISNUMBER(SEARCH("%", A1296)),RIGHT(A1296,3),A1296)</f>
        <v>5, 35, SLOWPOKE</v>
      </c>
      <c r="C1296" s="2" t="s">
        <v>3158</v>
      </c>
    </row>
    <row r="1297" customFormat="false" ht="12.75" hidden="false" customHeight="true" outlineLevel="0" collapsed="false">
      <c r="A1297" s="3" t="s">
        <v>3159</v>
      </c>
      <c r="B1297" s="3" t="str">
        <f aca="false">IF(ISNUMBER(SEARCH("%", A1297)),RIGHT(A1297,3),A1297)</f>
        <v>35, 40, DEWGONG</v>
      </c>
      <c r="C1297" s="2" t="s">
        <v>3159</v>
      </c>
    </row>
    <row r="1298" customFormat="false" ht="12.75" hidden="false" customHeight="true" outlineLevel="0" collapsed="false">
      <c r="A1298" s="3" t="s">
        <v>3160</v>
      </c>
      <c r="B1298" s="3" t="str">
        <f aca="false">IF(ISNUMBER(SEARCH("%", A1298)),RIGHT(A1298,3),A1298)</f>
        <v>5, 15, MARILL</v>
      </c>
      <c r="C1298" s="2" t="s">
        <v>3160</v>
      </c>
    </row>
    <row r="1299" customFormat="false" ht="12.75" hidden="false" customHeight="true" outlineLevel="0" collapsed="false">
      <c r="A1299" s="3" t="s">
        <v>3160</v>
      </c>
      <c r="B1299" s="3" t="str">
        <f aca="false">IF(ISNUMBER(SEARCH("%", A1299)),RIGHT(A1299,3),A1299)</f>
        <v>5, 15, MARILL</v>
      </c>
      <c r="C1299" s="2" t="s">
        <v>3160</v>
      </c>
    </row>
    <row r="1300" customFormat="false" ht="12.75" hidden="false" customHeight="true" outlineLevel="0" collapsed="false">
      <c r="A1300" s="3" t="s">
        <v>2925</v>
      </c>
      <c r="B1300" s="3" t="str">
        <f aca="false">IF(ISNUMBER(SEARCH("%", A1300)),RIGHT(A1300,3),A1300)</f>
        <v>20, old rod:</v>
      </c>
      <c r="C1300" s="2" t="s">
        <v>2925</v>
      </c>
    </row>
    <row r="1301" customFormat="false" ht="12.75" hidden="false" customHeight="true" outlineLevel="0" collapsed="false">
      <c r="A1301" s="3" t="s">
        <v>1266</v>
      </c>
      <c r="B1301" s="3" t="str">
        <f aca="false">IF(ISNUMBER(SEARCH("%", A1301)),RIGHT(A1301,3),A1301)</f>
        <v>5, 5, MAGIKARP</v>
      </c>
      <c r="C1301" s="2" t="s">
        <v>1266</v>
      </c>
    </row>
    <row r="1302" customFormat="false" ht="12.75" hidden="false" customHeight="true" outlineLevel="0" collapsed="false">
      <c r="A1302" s="3" t="s">
        <v>1266</v>
      </c>
      <c r="B1302" s="3" t="str">
        <f aca="false">IF(ISNUMBER(SEARCH("%", A1302)),RIGHT(A1302,3),A1302)</f>
        <v>5, 5, MAGIKARP</v>
      </c>
      <c r="C1302" s="2" t="s">
        <v>1266</v>
      </c>
    </row>
    <row r="1303" customFormat="false" ht="12.75" hidden="false" customHeight="true" outlineLevel="0" collapsed="false">
      <c r="A1303" s="3"/>
      <c r="B1303" s="3" t="n">
        <f aca="false">IF(ISNUMBER(SEARCH("%", A1303)),RIGHT(A1303,3),A1303)</f>
        <v>0</v>
      </c>
      <c r="C1303" s="2"/>
    </row>
    <row r="1304" customFormat="false" ht="12.75" hidden="false" customHeight="true" outlineLevel="0" collapsed="false">
      <c r="A1304" s="3" t="s">
        <v>2846</v>
      </c>
      <c r="B1304" s="3" t="str">
        <f aca="false">IF(ISNUMBER(SEARCH("%", A1304)),RIGHT(A1304,3),A1304)</f>
        <v>good rod:</v>
      </c>
      <c r="C1304" s="2" t="s">
        <v>2846</v>
      </c>
    </row>
    <row r="1305" customFormat="false" ht="12.75" hidden="false" customHeight="true" outlineLevel="0" collapsed="false">
      <c r="A1305" s="3" t="s">
        <v>3143</v>
      </c>
      <c r="B1305" s="3" t="str">
        <f aca="false">IF(ISNUMBER(SEARCH("%", A1305)),RIGHT(A1305,3),A1305)</f>
        <v>5, 15, POLIWAG</v>
      </c>
      <c r="C1305" s="2" t="s">
        <v>3143</v>
      </c>
    </row>
    <row r="1306" customFormat="false" ht="12.75" hidden="false" customHeight="true" outlineLevel="0" collapsed="false">
      <c r="A1306" s="3" t="s">
        <v>2848</v>
      </c>
      <c r="B1306" s="3" t="str">
        <f aca="false">IF(ISNUMBER(SEARCH("%", A1306)),RIGHT(A1306,3),A1306)</f>
        <v>5, 15, MAGIKARP</v>
      </c>
      <c r="C1306" s="2" t="s">
        <v>2848</v>
      </c>
    </row>
    <row r="1307" customFormat="false" ht="12.75" hidden="false" customHeight="true" outlineLevel="0" collapsed="false">
      <c r="A1307" s="3" t="s">
        <v>3142</v>
      </c>
      <c r="B1307" s="3" t="str">
        <f aca="false">IF(ISNUMBER(SEARCH("%", A1307)),RIGHT(A1307,3),A1307)</f>
        <v>5, 15, GOLDEEN</v>
      </c>
      <c r="C1307" s="2" t="s">
        <v>3142</v>
      </c>
    </row>
    <row r="1308" customFormat="false" ht="12.75" hidden="false" customHeight="true" outlineLevel="0" collapsed="false">
      <c r="A1308" s="3"/>
      <c r="B1308" s="3" t="n">
        <f aca="false">IF(ISNUMBER(SEARCH("%", A1308)),RIGHT(A1308,3),A1308)</f>
        <v>0</v>
      </c>
      <c r="C1308" s="2"/>
    </row>
    <row r="1309" customFormat="false" ht="12.75" hidden="false" customHeight="true" outlineLevel="0" collapsed="false">
      <c r="A1309" s="3" t="s">
        <v>2850</v>
      </c>
      <c r="B1309" s="3" t="str">
        <f aca="false">IF(ISNUMBER(SEARCH("%", A1309)),RIGHT(A1309,3),A1309)</f>
        <v>super rod:</v>
      </c>
      <c r="C1309" s="2" t="s">
        <v>2850</v>
      </c>
    </row>
    <row r="1310" customFormat="false" ht="12.75" hidden="false" customHeight="true" outlineLevel="0" collapsed="false">
      <c r="A1310" s="3" t="s">
        <v>3161</v>
      </c>
      <c r="B1310" s="3" t="str">
        <f aca="false">IF(ISNUMBER(SEARCH("%", A1310)),RIGHT(A1310,3),A1310)</f>
        <v>15, 25, POLIWAG</v>
      </c>
      <c r="C1310" s="2" t="s">
        <v>3161</v>
      </c>
    </row>
    <row r="1311" customFormat="false" ht="12.75" hidden="false" customHeight="true" outlineLevel="0" collapsed="false">
      <c r="A1311" s="3" t="s">
        <v>3162</v>
      </c>
      <c r="B1311" s="3" t="str">
        <f aca="false">IF(ISNUMBER(SEARCH("%", A1311)),RIGHT(A1311,3),A1311)</f>
        <v>20, 30, POLIWHIRL</v>
      </c>
      <c r="C1311" s="2" t="s">
        <v>3162</v>
      </c>
    </row>
    <row r="1312" customFormat="false" ht="12.75" hidden="false" customHeight="true" outlineLevel="0" collapsed="false">
      <c r="A1312" s="3" t="s">
        <v>2853</v>
      </c>
      <c r="B1312" s="3" t="str">
        <f aca="false">IF(ISNUMBER(SEARCH("%", A1312)),RIGHT(A1312,3),A1312)</f>
        <v>15, 25, GYARADOS</v>
      </c>
      <c r="C1312" s="2" t="s">
        <v>2853</v>
      </c>
    </row>
    <row r="1313" customFormat="false" ht="12.75" hidden="false" customHeight="true" outlineLevel="0" collapsed="false">
      <c r="A1313" s="3" t="s">
        <v>3146</v>
      </c>
      <c r="B1313" s="3" t="str">
        <f aca="false">IF(ISNUMBER(SEARCH("%", A1313)),RIGHT(A1313,3),A1313)</f>
        <v>15, 25, SLOWPOKE</v>
      </c>
      <c r="C1313" s="2" t="s">
        <v>3146</v>
      </c>
    </row>
    <row r="1314" customFormat="false" ht="12.75" hidden="false" customHeight="true" outlineLevel="0" collapsed="false">
      <c r="A1314" s="3" t="s">
        <v>2855</v>
      </c>
      <c r="B1314" s="3" t="str">
        <f aca="false">IF(ISNUMBER(SEARCH("%", A1314)),RIGHT(A1314,3),A1314)</f>
        <v>25, 35, SLOWPOKE</v>
      </c>
      <c r="C1314" s="2" t="s">
        <v>2855</v>
      </c>
    </row>
    <row r="1315" customFormat="false" ht="12.75" hidden="false" customHeight="true" outlineLevel="0" collapsed="false">
      <c r="A1315" s="3" t="s">
        <v>2536</v>
      </c>
      <c r="B1315" s="3" t="str">
        <f aca="false">IF(ISNUMBER(SEARCH("%", A1315)),RIGHT(A1315,3),A1315)</f>
        <v>NEW ROUTE</v>
      </c>
      <c r="C1315" s="2" t="s">
        <v>2536</v>
      </c>
    </row>
    <row r="1316" customFormat="false" ht="12.75" hidden="false" customHeight="true" outlineLevel="0" collapsed="false">
      <c r="A1316" s="3" t="s">
        <v>3163</v>
      </c>
      <c r="B1316" s="3" t="str">
        <f aca="false">IF(ISNUMBER(SEARCH("%", A1316)),RIGHT(A1316,3),A1316)</f>
        <v>1, 111, 0,</v>
      </c>
      <c r="C1316" s="2" t="s">
        <v>3163</v>
      </c>
    </row>
    <row r="1317" customFormat="false" ht="12.75" hidden="false" customHeight="true" outlineLevel="0" collapsed="false">
      <c r="A1317" s="3" t="s">
        <v>2816</v>
      </c>
      <c r="B1317" s="3" t="str">
        <f aca="false">IF(ISNUMBER(SEARCH("%", A1317)),RIGHT(A1317,3),A1317)</f>
        <v>20%</v>
      </c>
      <c r="C1317" s="2" t="s">
        <v>2799</v>
      </c>
    </row>
    <row r="1318" customFormat="false" ht="12.75" hidden="false" customHeight="true" outlineLevel="0" collapsed="false">
      <c r="A1318" s="3" t="s">
        <v>1609</v>
      </c>
      <c r="B1318" s="3" t="str">
        <f aca="false">IF(ISNUMBER(SEARCH("%", A1318)),RIGHT(A1318,3),A1318)</f>
        <v>25, 25, SWINUB</v>
      </c>
      <c r="C1318" s="2" t="s">
        <v>1609</v>
      </c>
    </row>
    <row r="1319" customFormat="false" ht="12.75" hidden="false" customHeight="true" outlineLevel="0" collapsed="false">
      <c r="A1319" s="3" t="s">
        <v>3148</v>
      </c>
      <c r="B1319" s="3" t="str">
        <f aca="false">IF(ISNUMBER(SEARCH("%", A1319)),RIGHT(A1319,3),A1319)</f>
        <v>45, 45, GOLBAT</v>
      </c>
      <c r="C1319" s="2" t="s">
        <v>3148</v>
      </c>
    </row>
    <row r="1320" customFormat="false" ht="12.75" hidden="false" customHeight="true" outlineLevel="0" collapsed="false">
      <c r="A1320" s="3"/>
      <c r="B1320" s="3" t="n">
        <f aca="false">IF(ISNUMBER(SEARCH("%", A1320)),RIGHT(A1320,3),A1320)</f>
        <v>0</v>
      </c>
      <c r="C1320" s="2"/>
    </row>
    <row r="1321" customFormat="false" ht="12.75" hidden="false" customHeight="true" outlineLevel="0" collapsed="false">
      <c r="A1321" s="3" t="s">
        <v>2801</v>
      </c>
      <c r="B1321" s="3" t="str">
        <f aca="false">IF(ISNUMBER(SEARCH("%", A1321)),RIGHT(A1321,3),A1321)</f>
        <v>0.1</v>
      </c>
      <c r="C1321" s="2" t="s">
        <v>2801</v>
      </c>
    </row>
    <row r="1322" customFormat="false" ht="12.75" hidden="false" customHeight="true" outlineLevel="0" collapsed="false">
      <c r="A1322" s="3" t="s">
        <v>3149</v>
      </c>
      <c r="B1322" s="3" t="str">
        <f aca="false">IF(ISNUMBER(SEARCH("%", A1322)),RIGHT(A1322,3),A1322)</f>
        <v>45, 45, SEEL</v>
      </c>
      <c r="C1322" s="2" t="s">
        <v>3149</v>
      </c>
    </row>
    <row r="1323" customFormat="false" ht="12.75" hidden="false" customHeight="true" outlineLevel="0" collapsed="false">
      <c r="A1323" s="3" t="s">
        <v>3164</v>
      </c>
      <c r="B1323" s="3" t="str">
        <f aca="false">IF(ISNUMBER(SEARCH("%", A1323)),RIGHT(A1323,3),A1323)</f>
        <v>27, 27, SWINUB</v>
      </c>
      <c r="C1323" s="2" t="s">
        <v>3164</v>
      </c>
    </row>
    <row r="1324" customFormat="false" ht="12.75" hidden="false" customHeight="true" outlineLevel="0" collapsed="false">
      <c r="A1324" s="3" t="s">
        <v>3151</v>
      </c>
      <c r="B1324" s="3" t="str">
        <f aca="false">IF(ISNUMBER(SEARCH("%", A1324)),RIGHT(A1324,3),A1324)</f>
        <v>40, 40, ZUBAT</v>
      </c>
      <c r="C1324" s="2" t="s">
        <v>3151</v>
      </c>
    </row>
    <row r="1325" customFormat="false" ht="12.75" hidden="false" customHeight="true" outlineLevel="0" collapsed="false">
      <c r="A1325" s="3" t="s">
        <v>3165</v>
      </c>
      <c r="B1325" s="3" t="str">
        <f aca="false">IF(ISNUMBER(SEARCH("%", A1325)),RIGHT(A1325,3),A1325)</f>
        <v>29, 29, SWINUB</v>
      </c>
      <c r="C1325" s="2" t="s">
        <v>3165</v>
      </c>
    </row>
    <row r="1326" customFormat="false" ht="12.75" hidden="false" customHeight="true" outlineLevel="0" collapsed="false">
      <c r="A1326" s="3"/>
      <c r="B1326" s="3" t="n">
        <f aca="false">IF(ISNUMBER(SEARCH("%", A1326)),RIGHT(A1326,3),A1326)</f>
        <v>0</v>
      </c>
      <c r="C1326" s="2"/>
    </row>
    <row r="1327" customFormat="false" ht="12.75" hidden="false" customHeight="true" outlineLevel="0" collapsed="false">
      <c r="A1327" s="3" t="s">
        <v>2806</v>
      </c>
      <c r="B1327" s="3" t="str">
        <f aca="false">IF(ISNUMBER(SEARCH("%", A1327)),RIGHT(A1327,3),A1327)</f>
        <v>0.05</v>
      </c>
      <c r="C1327" s="2" t="s">
        <v>2806</v>
      </c>
    </row>
    <row r="1328" customFormat="false" ht="12.75" hidden="false" customHeight="true" outlineLevel="0" collapsed="false">
      <c r="A1328" s="3" t="s">
        <v>3166</v>
      </c>
      <c r="B1328" s="3" t="str">
        <f aca="false">IF(ISNUMBER(SEARCH("%", A1328)),RIGHT(A1328,3),A1328)</f>
        <v>30, 30, SNEASEL</v>
      </c>
      <c r="C1328" s="2" t="s">
        <v>3166</v>
      </c>
    </row>
    <row r="1329" customFormat="false" ht="12.75" hidden="false" customHeight="true" outlineLevel="0" collapsed="false">
      <c r="A1329" s="3" t="s">
        <v>3167</v>
      </c>
      <c r="B1329" s="3" t="str">
        <f aca="false">IF(ISNUMBER(SEARCH("%", A1329)),RIGHT(A1329,3),A1329)</f>
        <v>31, 31, SWINUB</v>
      </c>
      <c r="C1329" s="2" t="s">
        <v>3167</v>
      </c>
    </row>
    <row r="1330" customFormat="false" ht="12.75" hidden="false" customHeight="true" outlineLevel="0" collapsed="false">
      <c r="A1330" s="3"/>
      <c r="B1330" s="3" t="n">
        <f aca="false">IF(ISNUMBER(SEARCH("%", A1330)),RIGHT(A1330,3),A1330)</f>
        <v>0</v>
      </c>
      <c r="C1330" s="2"/>
    </row>
    <row r="1331" customFormat="false" ht="12.75" hidden="false" customHeight="true" outlineLevel="0" collapsed="false">
      <c r="A1331" s="3" t="s">
        <v>2809</v>
      </c>
      <c r="B1331" s="3" t="str">
        <f aca="false">IF(ISNUMBER(SEARCH("%", A1331)),RIGHT(A1331,3),A1331)</f>
        <v>0.04</v>
      </c>
      <c r="C1331" s="2" t="s">
        <v>2809</v>
      </c>
    </row>
    <row r="1332" customFormat="false" ht="12.75" hidden="false" customHeight="true" outlineLevel="0" collapsed="false">
      <c r="A1332" s="3" t="s">
        <v>3155</v>
      </c>
      <c r="B1332" s="3" t="str">
        <f aca="false">IF(ISNUMBER(SEARCH("%", A1332)),RIGHT(A1332,3),A1332)</f>
        <v>48, 48, GOLBAT</v>
      </c>
      <c r="C1332" s="2" t="s">
        <v>3155</v>
      </c>
    </row>
    <row r="1333" customFormat="false" ht="12.75" hidden="false" customHeight="true" outlineLevel="0" collapsed="false">
      <c r="A1333" s="3" t="s">
        <v>3168</v>
      </c>
      <c r="B1333" s="3" t="str">
        <f aca="false">IF(ISNUMBER(SEARCH("%", A1333)),RIGHT(A1333,3),A1333)</f>
        <v>23, 23, SWINUB</v>
      </c>
      <c r="C1333" s="2" t="s">
        <v>3168</v>
      </c>
    </row>
    <row r="1334" customFormat="false" ht="12.75" hidden="false" customHeight="true" outlineLevel="0" collapsed="false">
      <c r="A1334" s="3"/>
      <c r="B1334" s="3" t="n">
        <f aca="false">IF(ISNUMBER(SEARCH("%", A1334)),RIGHT(A1334,3),A1334)</f>
        <v>0</v>
      </c>
      <c r="C1334" s="2"/>
    </row>
    <row r="1335" customFormat="false" ht="12.75" hidden="false" customHeight="true" outlineLevel="0" collapsed="false">
      <c r="A1335" s="3" t="s">
        <v>2812</v>
      </c>
      <c r="B1335" s="3" t="str">
        <f aca="false">IF(ISNUMBER(SEARCH("%", A1335)),RIGHT(A1335,3),A1335)</f>
        <v>0.01</v>
      </c>
      <c r="C1335" s="2" t="s">
        <v>2812</v>
      </c>
    </row>
    <row r="1336" customFormat="false" ht="12.75" hidden="false" customHeight="true" outlineLevel="0" collapsed="false">
      <c r="A1336" s="3" t="s">
        <v>3155</v>
      </c>
      <c r="B1336" s="3" t="str">
        <f aca="false">IF(ISNUMBER(SEARCH("%", A1336)),RIGHT(A1336,3),A1336)</f>
        <v>48, 48, GOLBAT</v>
      </c>
      <c r="C1336" s="2" t="s">
        <v>3155</v>
      </c>
    </row>
    <row r="1337" customFormat="false" ht="12.75" hidden="false" customHeight="true" outlineLevel="0" collapsed="false">
      <c r="A1337" s="3" t="s">
        <v>3169</v>
      </c>
      <c r="B1337" s="3" t="str">
        <f aca="false">IF(ISNUMBER(SEARCH("%", A1337)),RIGHT(A1337,3),A1337)</f>
        <v>23, 23, SWINUB , &lt;null&gt;, &lt;null&gt;, &lt;null&gt;</v>
      </c>
      <c r="C1337" s="2" t="s">
        <v>3169</v>
      </c>
    </row>
    <row r="1338" customFormat="false" ht="12.75" hidden="false" customHeight="true" outlineLevel="0" collapsed="false">
      <c r="A1338" s="3"/>
      <c r="B1338" s="3" t="n">
        <f aca="false">IF(ISNUMBER(SEARCH("%", A1338)),RIGHT(A1338,3),A1338)</f>
        <v>0</v>
      </c>
      <c r="C1338" s="2"/>
    </row>
    <row r="1339" customFormat="false" ht="12.75" hidden="false" customHeight="true" outlineLevel="0" collapsed="false">
      <c r="A1339" s="3" t="s">
        <v>2536</v>
      </c>
      <c r="B1339" s="3" t="str">
        <f aca="false">IF(ISNUMBER(SEARCH("%", A1339)),RIGHT(A1339,3),A1339)</f>
        <v>NEW ROUTE</v>
      </c>
      <c r="C1339" s="2" t="s">
        <v>2536</v>
      </c>
    </row>
    <row r="1340" customFormat="false" ht="12.75" hidden="false" customHeight="true" outlineLevel="0" collapsed="false">
      <c r="A1340" s="3" t="s">
        <v>3170</v>
      </c>
      <c r="B1340" s="3" t="str">
        <f aca="false">IF(ISNUMBER(SEARCH("%", A1340)),RIGHT(A1340,3),A1340)</f>
        <v>1, 112, 0,</v>
      </c>
      <c r="C1340" s="2" t="s">
        <v>3170</v>
      </c>
    </row>
    <row r="1341" customFormat="false" ht="12.75" hidden="false" customHeight="true" outlineLevel="0" collapsed="false">
      <c r="A1341" s="3" t="s">
        <v>2816</v>
      </c>
      <c r="B1341" s="3" t="str">
        <f aca="false">IF(ISNUMBER(SEARCH("%", A1341)),RIGHT(A1341,3),A1341)</f>
        <v>20%</v>
      </c>
      <c r="C1341" s="2" t="s">
        <v>2799</v>
      </c>
    </row>
    <row r="1342" customFormat="false" ht="12.75" hidden="false" customHeight="true" outlineLevel="0" collapsed="false">
      <c r="A1342" s="3" t="s">
        <v>1609</v>
      </c>
      <c r="B1342" s="3" t="str">
        <f aca="false">IF(ISNUMBER(SEARCH("%", A1342)),RIGHT(A1342,3),A1342)</f>
        <v>25, 25, SWINUB</v>
      </c>
      <c r="C1342" s="2" t="s">
        <v>1609</v>
      </c>
    </row>
    <row r="1343" customFormat="false" ht="12.75" hidden="false" customHeight="true" outlineLevel="0" collapsed="false">
      <c r="A1343" s="3" t="s">
        <v>3148</v>
      </c>
      <c r="B1343" s="3" t="str">
        <f aca="false">IF(ISNUMBER(SEARCH("%", A1343)),RIGHT(A1343,3),A1343)</f>
        <v>45, 45, GOLBAT</v>
      </c>
      <c r="C1343" s="2" t="s">
        <v>3148</v>
      </c>
    </row>
    <row r="1344" customFormat="false" ht="12.75" hidden="false" customHeight="true" outlineLevel="0" collapsed="false">
      <c r="A1344" s="3"/>
      <c r="B1344" s="3" t="n">
        <f aca="false">IF(ISNUMBER(SEARCH("%", A1344)),RIGHT(A1344,3),A1344)</f>
        <v>0</v>
      </c>
      <c r="C1344" s="2"/>
    </row>
    <row r="1345" customFormat="false" ht="12.75" hidden="false" customHeight="true" outlineLevel="0" collapsed="false">
      <c r="A1345" s="3" t="s">
        <v>2801</v>
      </c>
      <c r="B1345" s="3" t="str">
        <f aca="false">IF(ISNUMBER(SEARCH("%", A1345)),RIGHT(A1345,3),A1345)</f>
        <v>0.1</v>
      </c>
      <c r="C1345" s="2" t="s">
        <v>2801</v>
      </c>
    </row>
    <row r="1346" customFormat="false" ht="12.75" hidden="false" customHeight="true" outlineLevel="0" collapsed="false">
      <c r="A1346" s="3" t="s">
        <v>3149</v>
      </c>
      <c r="B1346" s="3" t="str">
        <f aca="false">IF(ISNUMBER(SEARCH("%", A1346)),RIGHT(A1346,3),A1346)</f>
        <v>45, 45, SEEL</v>
      </c>
      <c r="C1346" s="2" t="s">
        <v>3149</v>
      </c>
    </row>
    <row r="1347" customFormat="false" ht="12.75" hidden="false" customHeight="true" outlineLevel="0" collapsed="false">
      <c r="A1347" s="3" t="s">
        <v>3164</v>
      </c>
      <c r="B1347" s="3" t="str">
        <f aca="false">IF(ISNUMBER(SEARCH("%", A1347)),RIGHT(A1347,3),A1347)</f>
        <v>27, 27, SWINUB</v>
      </c>
      <c r="C1347" s="2" t="s">
        <v>3164</v>
      </c>
    </row>
    <row r="1348" customFormat="false" ht="12.75" hidden="false" customHeight="true" outlineLevel="0" collapsed="false">
      <c r="A1348" s="3" t="s">
        <v>3151</v>
      </c>
      <c r="B1348" s="3" t="str">
        <f aca="false">IF(ISNUMBER(SEARCH("%", A1348)),RIGHT(A1348,3),A1348)</f>
        <v>40, 40, ZUBAT</v>
      </c>
      <c r="C1348" s="2" t="s">
        <v>3151</v>
      </c>
    </row>
    <row r="1349" customFormat="false" ht="12.75" hidden="false" customHeight="true" outlineLevel="0" collapsed="false">
      <c r="A1349" s="3" t="s">
        <v>3165</v>
      </c>
      <c r="B1349" s="3" t="str">
        <f aca="false">IF(ISNUMBER(SEARCH("%", A1349)),RIGHT(A1349,3),A1349)</f>
        <v>29, 29, SWINUB</v>
      </c>
      <c r="C1349" s="2" t="s">
        <v>3165</v>
      </c>
    </row>
    <row r="1350" customFormat="false" ht="12.75" hidden="false" customHeight="true" outlineLevel="0" collapsed="false">
      <c r="A1350" s="3"/>
      <c r="B1350" s="3" t="n">
        <f aca="false">IF(ISNUMBER(SEARCH("%", A1350)),RIGHT(A1350,3),A1350)</f>
        <v>0</v>
      </c>
      <c r="C1350" s="2"/>
    </row>
    <row r="1351" customFormat="false" ht="12.75" hidden="false" customHeight="true" outlineLevel="0" collapsed="false">
      <c r="A1351" s="3" t="s">
        <v>2806</v>
      </c>
      <c r="B1351" s="3" t="str">
        <f aca="false">IF(ISNUMBER(SEARCH("%", A1351)),RIGHT(A1351,3),A1351)</f>
        <v>0.05</v>
      </c>
      <c r="C1351" s="2" t="s">
        <v>2806</v>
      </c>
    </row>
    <row r="1352" customFormat="false" ht="12.75" hidden="false" customHeight="true" outlineLevel="0" collapsed="false">
      <c r="A1352" s="3" t="s">
        <v>3166</v>
      </c>
      <c r="B1352" s="3" t="str">
        <f aca="false">IF(ISNUMBER(SEARCH("%", A1352)),RIGHT(A1352,3),A1352)</f>
        <v>30, 30, SNEASEL</v>
      </c>
      <c r="C1352" s="2" t="s">
        <v>3166</v>
      </c>
    </row>
    <row r="1353" customFormat="false" ht="12.75" hidden="false" customHeight="true" outlineLevel="0" collapsed="false">
      <c r="A1353" s="3" t="s">
        <v>3167</v>
      </c>
      <c r="B1353" s="3" t="str">
        <f aca="false">IF(ISNUMBER(SEARCH("%", A1353)),RIGHT(A1353,3),A1353)</f>
        <v>31, 31, SWINUB</v>
      </c>
      <c r="C1353" s="2" t="s">
        <v>3167</v>
      </c>
    </row>
    <row r="1354" customFormat="false" ht="12.75" hidden="false" customHeight="true" outlineLevel="0" collapsed="false">
      <c r="A1354" s="3"/>
      <c r="B1354" s="3" t="n">
        <f aca="false">IF(ISNUMBER(SEARCH("%", A1354)),RIGHT(A1354,3),A1354)</f>
        <v>0</v>
      </c>
      <c r="C1354" s="2"/>
    </row>
    <row r="1355" customFormat="false" ht="12.75" hidden="false" customHeight="true" outlineLevel="0" collapsed="false">
      <c r="A1355" s="3" t="s">
        <v>2809</v>
      </c>
      <c r="B1355" s="3" t="str">
        <f aca="false">IF(ISNUMBER(SEARCH("%", A1355)),RIGHT(A1355,3),A1355)</f>
        <v>0.04</v>
      </c>
      <c r="C1355" s="2" t="s">
        <v>2809</v>
      </c>
    </row>
    <row r="1356" customFormat="false" ht="12.75" hidden="false" customHeight="true" outlineLevel="0" collapsed="false">
      <c r="A1356" s="3" t="s">
        <v>3155</v>
      </c>
      <c r="B1356" s="3" t="str">
        <f aca="false">IF(ISNUMBER(SEARCH("%", A1356)),RIGHT(A1356,3),A1356)</f>
        <v>48, 48, GOLBAT</v>
      </c>
      <c r="C1356" s="2" t="s">
        <v>3155</v>
      </c>
    </row>
    <row r="1357" customFormat="false" ht="12.75" hidden="false" customHeight="true" outlineLevel="0" collapsed="false">
      <c r="A1357" s="3" t="s">
        <v>3168</v>
      </c>
      <c r="B1357" s="3" t="str">
        <f aca="false">IF(ISNUMBER(SEARCH("%", A1357)),RIGHT(A1357,3),A1357)</f>
        <v>23, 23, SWINUB</v>
      </c>
      <c r="C1357" s="2" t="s">
        <v>3168</v>
      </c>
    </row>
    <row r="1358" customFormat="false" ht="12.75" hidden="false" customHeight="true" outlineLevel="0" collapsed="false">
      <c r="A1358" s="3"/>
      <c r="B1358" s="3" t="n">
        <f aca="false">IF(ISNUMBER(SEARCH("%", A1358)),RIGHT(A1358,3),A1358)</f>
        <v>0</v>
      </c>
      <c r="C1358" s="2"/>
    </row>
    <row r="1359" customFormat="false" ht="12.75" hidden="false" customHeight="true" outlineLevel="0" collapsed="false">
      <c r="A1359" s="3" t="s">
        <v>2812</v>
      </c>
      <c r="B1359" s="3" t="str">
        <f aca="false">IF(ISNUMBER(SEARCH("%", A1359)),RIGHT(A1359,3),A1359)</f>
        <v>0.01</v>
      </c>
      <c r="C1359" s="2" t="s">
        <v>2812</v>
      </c>
    </row>
    <row r="1360" customFormat="false" ht="12.75" hidden="false" customHeight="true" outlineLevel="0" collapsed="false">
      <c r="A1360" s="3" t="s">
        <v>3155</v>
      </c>
      <c r="B1360" s="3" t="str">
        <f aca="false">IF(ISNUMBER(SEARCH("%", A1360)),RIGHT(A1360,3),A1360)</f>
        <v>48, 48, GOLBAT</v>
      </c>
      <c r="C1360" s="2" t="s">
        <v>3155</v>
      </c>
    </row>
    <row r="1361" customFormat="false" ht="12.75" hidden="false" customHeight="true" outlineLevel="0" collapsed="false">
      <c r="A1361" s="3" t="s">
        <v>3169</v>
      </c>
      <c r="B1361" s="3" t="str">
        <f aca="false">IF(ISNUMBER(SEARCH("%", A1361)),RIGHT(A1361,3),A1361)</f>
        <v>23, 23, SWINUB , &lt;null&gt;, &lt;null&gt;, &lt;null&gt;</v>
      </c>
      <c r="C1361" s="2" t="s">
        <v>3169</v>
      </c>
    </row>
    <row r="1362" customFormat="false" ht="12.75" hidden="false" customHeight="true" outlineLevel="0" collapsed="false">
      <c r="A1362" s="3"/>
      <c r="B1362" s="3" t="n">
        <f aca="false">IF(ISNUMBER(SEARCH("%", A1362)),RIGHT(A1362,3),A1362)</f>
        <v>0</v>
      </c>
      <c r="C1362" s="2"/>
    </row>
    <row r="1363" customFormat="false" ht="12.75" hidden="false" customHeight="true" outlineLevel="0" collapsed="false">
      <c r="A1363" s="3" t="s">
        <v>2536</v>
      </c>
      <c r="B1363" s="3" t="str">
        <f aca="false">IF(ISNUMBER(SEARCH("%", A1363)),RIGHT(A1363,3),A1363)</f>
        <v>NEW ROUTE</v>
      </c>
      <c r="C1363" s="2" t="s">
        <v>2536</v>
      </c>
    </row>
    <row r="1364" customFormat="false" ht="12.75" hidden="false" customHeight="true" outlineLevel="0" collapsed="false">
      <c r="A1364" s="3" t="s">
        <v>3171</v>
      </c>
      <c r="B1364" s="3" t="str">
        <f aca="false">IF(ISNUMBER(SEARCH("%", A1364)),RIGHT(A1364,3),A1364)</f>
        <v>1, 113, 0,</v>
      </c>
      <c r="C1364" s="2" t="s">
        <v>3171</v>
      </c>
    </row>
    <row r="1365" customFormat="false" ht="12.75" hidden="false" customHeight="true" outlineLevel="0" collapsed="false">
      <c r="A1365" s="3" t="s">
        <v>2816</v>
      </c>
      <c r="B1365" s="3" t="str">
        <f aca="false">IF(ISNUMBER(SEARCH("%", A1365)),RIGHT(A1365,3),A1365)</f>
        <v>20%</v>
      </c>
      <c r="C1365" s="2" t="s">
        <v>2799</v>
      </c>
    </row>
    <row r="1366" customFormat="false" ht="12.75" hidden="false" customHeight="true" outlineLevel="0" collapsed="false">
      <c r="A1366" s="3" t="s">
        <v>1591</v>
      </c>
      <c r="B1366" s="3" t="str">
        <f aca="false">IF(ISNUMBER(SEARCH("%", A1366)),RIGHT(A1366,3),A1366)</f>
        <v>43, 43, SEEL</v>
      </c>
      <c r="C1366" s="2" t="s">
        <v>1591</v>
      </c>
    </row>
    <row r="1367" customFormat="false" ht="12.75" hidden="false" customHeight="true" outlineLevel="0" collapsed="false">
      <c r="A1367" s="3" t="s">
        <v>3148</v>
      </c>
      <c r="B1367" s="3" t="str">
        <f aca="false">IF(ISNUMBER(SEARCH("%", A1367)),RIGHT(A1367,3),A1367)</f>
        <v>45, 45, GOLBAT</v>
      </c>
      <c r="C1367" s="2" t="s">
        <v>3148</v>
      </c>
    </row>
    <row r="1368" customFormat="false" ht="12.75" hidden="false" customHeight="true" outlineLevel="0" collapsed="false">
      <c r="A1368" s="3"/>
      <c r="B1368" s="3" t="n">
        <f aca="false">IF(ISNUMBER(SEARCH("%", A1368)),RIGHT(A1368,3),A1368)</f>
        <v>0</v>
      </c>
      <c r="C1368" s="2"/>
    </row>
    <row r="1369" customFormat="false" ht="12.75" hidden="false" customHeight="true" outlineLevel="0" collapsed="false">
      <c r="A1369" s="3" t="s">
        <v>2801</v>
      </c>
      <c r="B1369" s="3" t="str">
        <f aca="false">IF(ISNUMBER(SEARCH("%", A1369)),RIGHT(A1369,3),A1369)</f>
        <v>0.1</v>
      </c>
      <c r="C1369" s="2" t="s">
        <v>2801</v>
      </c>
    </row>
    <row r="1370" customFormat="false" ht="12.75" hidden="false" customHeight="true" outlineLevel="0" collapsed="false">
      <c r="A1370" s="3" t="s">
        <v>3149</v>
      </c>
      <c r="B1370" s="3" t="str">
        <f aca="false">IF(ISNUMBER(SEARCH("%", A1370)),RIGHT(A1370,3),A1370)</f>
        <v>45, 45, SEEL</v>
      </c>
      <c r="C1370" s="2" t="s">
        <v>3149</v>
      </c>
    </row>
    <row r="1371" customFormat="false" ht="12.75" hidden="false" customHeight="true" outlineLevel="0" collapsed="false">
      <c r="A1371" s="3" t="s">
        <v>3150</v>
      </c>
      <c r="B1371" s="3" t="str">
        <f aca="false">IF(ISNUMBER(SEARCH("%", A1371)),RIGHT(A1371,3),A1371)</f>
        <v>47, 47, SEEL</v>
      </c>
      <c r="C1371" s="2" t="s">
        <v>3150</v>
      </c>
    </row>
    <row r="1372" customFormat="false" ht="12.75" hidden="false" customHeight="true" outlineLevel="0" collapsed="false">
      <c r="A1372" s="3" t="s">
        <v>3151</v>
      </c>
      <c r="B1372" s="3" t="str">
        <f aca="false">IF(ISNUMBER(SEARCH("%", A1372)),RIGHT(A1372,3),A1372)</f>
        <v>40, 40, ZUBAT</v>
      </c>
      <c r="C1372" s="2" t="s">
        <v>3151</v>
      </c>
    </row>
    <row r="1373" customFormat="false" ht="12.75" hidden="false" customHeight="true" outlineLevel="0" collapsed="false">
      <c r="A1373" s="3" t="s">
        <v>3152</v>
      </c>
      <c r="B1373" s="3" t="str">
        <f aca="false">IF(ISNUMBER(SEARCH("%", A1373)),RIGHT(A1373,3),A1373)</f>
        <v>49, 49, DEWGONG</v>
      </c>
      <c r="C1373" s="2" t="s">
        <v>3152</v>
      </c>
    </row>
    <row r="1374" customFormat="false" ht="12.75" hidden="false" customHeight="true" outlineLevel="0" collapsed="false">
      <c r="A1374" s="3"/>
      <c r="B1374" s="3" t="n">
        <f aca="false">IF(ISNUMBER(SEARCH("%", A1374)),RIGHT(A1374,3),A1374)</f>
        <v>0</v>
      </c>
      <c r="C1374" s="2"/>
    </row>
    <row r="1375" customFormat="false" ht="12.75" hidden="false" customHeight="true" outlineLevel="0" collapsed="false">
      <c r="A1375" s="3" t="s">
        <v>2806</v>
      </c>
      <c r="B1375" s="3" t="str">
        <f aca="false">IF(ISNUMBER(SEARCH("%", A1375)),RIGHT(A1375,3),A1375)</f>
        <v>0.05</v>
      </c>
      <c r="C1375" s="2" t="s">
        <v>2806</v>
      </c>
    </row>
    <row r="1376" customFormat="false" ht="12.75" hidden="false" customHeight="true" outlineLevel="0" collapsed="false">
      <c r="A1376" s="3" t="s">
        <v>3153</v>
      </c>
      <c r="B1376" s="3" t="str">
        <f aca="false">IF(ISNUMBER(SEARCH("%", A1376)),RIGHT(A1376,3),A1376)</f>
        <v>51, 51, DEWGONG</v>
      </c>
      <c r="C1376" s="2" t="s">
        <v>3153</v>
      </c>
    </row>
    <row r="1377" customFormat="false" ht="12.75" hidden="false" customHeight="true" outlineLevel="0" collapsed="false">
      <c r="A1377" s="3" t="s">
        <v>3154</v>
      </c>
      <c r="B1377" s="3" t="str">
        <f aca="false">IF(ISNUMBER(SEARCH("%", A1377)),RIGHT(A1377,3),A1377)</f>
        <v>41, 41, SLOWPOKE</v>
      </c>
      <c r="C1377" s="2" t="s">
        <v>3154</v>
      </c>
    </row>
    <row r="1378" customFormat="false" ht="12.75" hidden="false" customHeight="true" outlineLevel="0" collapsed="false">
      <c r="A1378" s="3"/>
      <c r="B1378" s="3" t="n">
        <f aca="false">IF(ISNUMBER(SEARCH("%", A1378)),RIGHT(A1378,3),A1378)</f>
        <v>0</v>
      </c>
      <c r="C1378" s="2"/>
    </row>
    <row r="1379" customFormat="false" ht="12.75" hidden="false" customHeight="true" outlineLevel="0" collapsed="false">
      <c r="A1379" s="3" t="s">
        <v>2809</v>
      </c>
      <c r="B1379" s="3" t="str">
        <f aca="false">IF(ISNUMBER(SEARCH("%", A1379)),RIGHT(A1379,3),A1379)</f>
        <v>0.04</v>
      </c>
      <c r="C1379" s="2" t="s">
        <v>2809</v>
      </c>
    </row>
    <row r="1380" customFormat="false" ht="12.75" hidden="false" customHeight="true" outlineLevel="0" collapsed="false">
      <c r="A1380" s="3" t="s">
        <v>3155</v>
      </c>
      <c r="B1380" s="3" t="str">
        <f aca="false">IF(ISNUMBER(SEARCH("%", A1380)),RIGHT(A1380,3),A1380)</f>
        <v>48, 48, GOLBAT</v>
      </c>
      <c r="C1380" s="2" t="s">
        <v>3155</v>
      </c>
    </row>
    <row r="1381" customFormat="false" ht="12.75" hidden="false" customHeight="true" outlineLevel="0" collapsed="false">
      <c r="A1381" s="3" t="s">
        <v>3156</v>
      </c>
      <c r="B1381" s="3" t="str">
        <f aca="false">IF(ISNUMBER(SEARCH("%", A1381)),RIGHT(A1381,3),A1381)</f>
        <v>53, 53, DEWGONG</v>
      </c>
      <c r="C1381" s="2" t="s">
        <v>3156</v>
      </c>
    </row>
    <row r="1382" customFormat="false" ht="12.75" hidden="false" customHeight="true" outlineLevel="0" collapsed="false">
      <c r="A1382" s="3"/>
      <c r="B1382" s="3" t="n">
        <f aca="false">IF(ISNUMBER(SEARCH("%", A1382)),RIGHT(A1382,3),A1382)</f>
        <v>0</v>
      </c>
      <c r="C1382" s="2"/>
    </row>
    <row r="1383" customFormat="false" ht="12.75" hidden="false" customHeight="true" outlineLevel="0" collapsed="false">
      <c r="A1383" s="3" t="s">
        <v>2812</v>
      </c>
      <c r="B1383" s="3" t="str">
        <f aca="false">IF(ISNUMBER(SEARCH("%", A1383)),RIGHT(A1383,3),A1383)</f>
        <v>0.01</v>
      </c>
      <c r="C1383" s="2" t="s">
        <v>2812</v>
      </c>
    </row>
    <row r="1384" customFormat="false" ht="12.75" hidden="false" customHeight="true" outlineLevel="0" collapsed="false">
      <c r="A1384" s="3" t="s">
        <v>3155</v>
      </c>
      <c r="B1384" s="3" t="str">
        <f aca="false">IF(ISNUMBER(SEARCH("%", A1384)),RIGHT(A1384,3),A1384)</f>
        <v>48, 48, GOLBAT</v>
      </c>
      <c r="C1384" s="2" t="s">
        <v>3155</v>
      </c>
    </row>
    <row r="1385" customFormat="false" ht="12.75" hidden="false" customHeight="true" outlineLevel="0" collapsed="false">
      <c r="A1385" s="3" t="s">
        <v>3156</v>
      </c>
      <c r="B1385" s="3" t="str">
        <f aca="false">IF(ISNUMBER(SEARCH("%", A1385)),RIGHT(A1385,3),A1385)</f>
        <v>53, 53, DEWGONG</v>
      </c>
      <c r="C1385" s="2" t="s">
        <v>3156</v>
      </c>
    </row>
    <row r="1386" customFormat="false" ht="12.75" hidden="false" customHeight="true" outlineLevel="0" collapsed="false">
      <c r="A1386" s="3" t="s">
        <v>3172</v>
      </c>
      <c r="B1386" s="3" t="str">
        <f aca="false">IF(ISNUMBER(SEARCH("%", A1386)),RIGHT(A1386,3),A1386)</f>
        <v>2, 5, 20, TENTACOOL</v>
      </c>
      <c r="C1386" s="2" t="s">
        <v>3172</v>
      </c>
    </row>
    <row r="1387" customFormat="false" ht="12.75" hidden="false" customHeight="true" outlineLevel="0" collapsed="false">
      <c r="A1387" s="3" t="s">
        <v>3173</v>
      </c>
      <c r="B1387" s="3" t="str">
        <f aca="false">IF(ISNUMBER(SEARCH("%", A1387)),RIGHT(A1387,3),A1387)</f>
        <v>20, 35, TENTACOOL</v>
      </c>
      <c r="C1387" s="2" t="s">
        <v>3173</v>
      </c>
    </row>
    <row r="1388" customFormat="false" ht="12.75" hidden="false" customHeight="true" outlineLevel="0" collapsed="false">
      <c r="A1388" s="3" t="s">
        <v>3174</v>
      </c>
      <c r="B1388" s="3" t="str">
        <f aca="false">IF(ISNUMBER(SEARCH("%", A1388)),RIGHT(A1388,3),A1388)</f>
        <v>35, 45, TENTACOOL</v>
      </c>
      <c r="C1388" s="2" t="s">
        <v>3174</v>
      </c>
    </row>
    <row r="1389" customFormat="false" ht="12.75" hidden="false" customHeight="true" outlineLevel="0" collapsed="false">
      <c r="A1389" s="3" t="s">
        <v>3175</v>
      </c>
      <c r="B1389" s="3" t="str">
        <f aca="false">IF(ISNUMBER(SEARCH("%", A1389)),RIGHT(A1389,3),A1389)</f>
        <v>35, 45, TENTACRUEL</v>
      </c>
      <c r="C1389" s="2" t="s">
        <v>3175</v>
      </c>
    </row>
    <row r="1390" customFormat="false" ht="12.75" hidden="false" customHeight="true" outlineLevel="0" collapsed="false">
      <c r="A1390" s="3" t="s">
        <v>3176</v>
      </c>
      <c r="B1390" s="3" t="str">
        <f aca="false">IF(ISNUMBER(SEARCH("%", A1390)),RIGHT(A1390,3),A1390)</f>
        <v>30, 45, LAPRAS</v>
      </c>
      <c r="C1390" s="2" t="s">
        <v>3176</v>
      </c>
    </row>
    <row r="1391" customFormat="false" ht="12.75" hidden="false" customHeight="true" outlineLevel="0" collapsed="false">
      <c r="A1391" s="3" t="s">
        <v>2925</v>
      </c>
      <c r="B1391" s="3" t="str">
        <f aca="false">IF(ISNUMBER(SEARCH("%", A1391)),RIGHT(A1391,3),A1391)</f>
        <v>20, old rod:</v>
      </c>
      <c r="C1391" s="2" t="s">
        <v>2925</v>
      </c>
    </row>
    <row r="1392" customFormat="false" ht="12.75" hidden="false" customHeight="true" outlineLevel="0" collapsed="false">
      <c r="A1392" s="3" t="s">
        <v>1266</v>
      </c>
      <c r="B1392" s="3" t="str">
        <f aca="false">IF(ISNUMBER(SEARCH("%", A1392)),RIGHT(A1392,3),A1392)</f>
        <v>5, 5, MAGIKARP</v>
      </c>
      <c r="C1392" s="2" t="s">
        <v>1266</v>
      </c>
    </row>
    <row r="1393" customFormat="false" ht="12.75" hidden="false" customHeight="true" outlineLevel="0" collapsed="false">
      <c r="A1393" s="3" t="s">
        <v>1266</v>
      </c>
      <c r="B1393" s="3" t="str">
        <f aca="false">IF(ISNUMBER(SEARCH("%", A1393)),RIGHT(A1393,3),A1393)</f>
        <v>5, 5, MAGIKARP</v>
      </c>
      <c r="C1393" s="2" t="s">
        <v>1266</v>
      </c>
    </row>
    <row r="1394" customFormat="false" ht="12.75" hidden="false" customHeight="true" outlineLevel="0" collapsed="false">
      <c r="A1394" s="3"/>
      <c r="B1394" s="3" t="n">
        <f aca="false">IF(ISNUMBER(SEARCH("%", A1394)),RIGHT(A1394,3),A1394)</f>
        <v>0</v>
      </c>
      <c r="C1394" s="2"/>
    </row>
    <row r="1395" customFormat="false" ht="12.75" hidden="false" customHeight="true" outlineLevel="0" collapsed="false">
      <c r="A1395" s="3" t="s">
        <v>2846</v>
      </c>
      <c r="B1395" s="3" t="str">
        <f aca="false">IF(ISNUMBER(SEARCH("%", A1395)),RIGHT(A1395,3),A1395)</f>
        <v>good rod:</v>
      </c>
      <c r="C1395" s="2" t="s">
        <v>2846</v>
      </c>
    </row>
    <row r="1396" customFormat="false" ht="12.75" hidden="false" customHeight="true" outlineLevel="0" collapsed="false">
      <c r="A1396" s="3" t="s">
        <v>2847</v>
      </c>
      <c r="B1396" s="3" t="str">
        <f aca="false">IF(ISNUMBER(SEARCH("%", A1396)),RIGHT(A1396,3),A1396)</f>
        <v>5, 15, KRABBY</v>
      </c>
      <c r="C1396" s="2" t="s">
        <v>2847</v>
      </c>
    </row>
    <row r="1397" customFormat="false" ht="12.75" hidden="false" customHeight="true" outlineLevel="0" collapsed="false">
      <c r="A1397" s="3" t="s">
        <v>2848</v>
      </c>
      <c r="B1397" s="3" t="str">
        <f aca="false">IF(ISNUMBER(SEARCH("%", A1397)),RIGHT(A1397,3),A1397)</f>
        <v>5, 15, MAGIKARP</v>
      </c>
      <c r="C1397" s="2" t="s">
        <v>2848</v>
      </c>
    </row>
    <row r="1398" customFormat="false" ht="12.75" hidden="false" customHeight="true" outlineLevel="0" collapsed="false">
      <c r="A1398" s="3" t="s">
        <v>2847</v>
      </c>
      <c r="B1398" s="3" t="str">
        <f aca="false">IF(ISNUMBER(SEARCH("%", A1398)),RIGHT(A1398,3),A1398)</f>
        <v>5, 15, KRABBY</v>
      </c>
      <c r="C1398" s="2" t="s">
        <v>2847</v>
      </c>
    </row>
    <row r="1399" customFormat="false" ht="12.75" hidden="false" customHeight="true" outlineLevel="0" collapsed="false">
      <c r="A1399" s="3"/>
      <c r="B1399" s="3" t="n">
        <f aca="false">IF(ISNUMBER(SEARCH("%", A1399)),RIGHT(A1399,3),A1399)</f>
        <v>0</v>
      </c>
      <c r="C1399" s="2"/>
    </row>
    <row r="1400" customFormat="false" ht="12.75" hidden="false" customHeight="true" outlineLevel="0" collapsed="false">
      <c r="A1400" s="3" t="s">
        <v>2850</v>
      </c>
      <c r="B1400" s="3" t="str">
        <f aca="false">IF(ISNUMBER(SEARCH("%", A1400)),RIGHT(A1400,3),A1400)</f>
        <v>super rod:</v>
      </c>
      <c r="C1400" s="2" t="s">
        <v>2850</v>
      </c>
    </row>
    <row r="1401" customFormat="false" ht="12.75" hidden="false" customHeight="true" outlineLevel="0" collapsed="false">
      <c r="A1401" s="3" t="s">
        <v>2851</v>
      </c>
      <c r="B1401" s="3" t="str">
        <f aca="false">IF(ISNUMBER(SEARCH("%", A1401)),RIGHT(A1401,3),A1401)</f>
        <v>15, 25, KRABBY</v>
      </c>
      <c r="C1401" s="2" t="s">
        <v>2851</v>
      </c>
    </row>
    <row r="1402" customFormat="false" ht="12.75" hidden="false" customHeight="true" outlineLevel="0" collapsed="false">
      <c r="A1402" s="3" t="s">
        <v>2852</v>
      </c>
      <c r="B1402" s="3" t="str">
        <f aca="false">IF(ISNUMBER(SEARCH("%", A1402)),RIGHT(A1402,3),A1402)</f>
        <v>15, 25, STARYU</v>
      </c>
      <c r="C1402" s="2" t="s">
        <v>2852</v>
      </c>
    </row>
    <row r="1403" customFormat="false" ht="12.75" hidden="false" customHeight="true" outlineLevel="0" collapsed="false">
      <c r="A1403" s="3" t="s">
        <v>2853</v>
      </c>
      <c r="B1403" s="3" t="str">
        <f aca="false">IF(ISNUMBER(SEARCH("%", A1403)),RIGHT(A1403,3),A1403)</f>
        <v>15, 25, GYARADOS</v>
      </c>
      <c r="C1403" s="2" t="s">
        <v>2853</v>
      </c>
    </row>
    <row r="1404" customFormat="false" ht="12.75" hidden="false" customHeight="true" outlineLevel="0" collapsed="false">
      <c r="A1404" s="3" t="s">
        <v>3177</v>
      </c>
      <c r="B1404" s="3" t="str">
        <f aca="false">IF(ISNUMBER(SEARCH("%", A1404)),RIGHT(A1404,3),A1404)</f>
        <v>25, 35, KINGLER</v>
      </c>
      <c r="C1404" s="2" t="s">
        <v>3177</v>
      </c>
    </row>
    <row r="1405" customFormat="false" ht="12.75" hidden="false" customHeight="true" outlineLevel="0" collapsed="false">
      <c r="A1405" s="3" t="s">
        <v>2855</v>
      </c>
      <c r="B1405" s="3" t="str">
        <f aca="false">IF(ISNUMBER(SEARCH("%", A1405)),RIGHT(A1405,3),A1405)</f>
        <v>25, 35, SLOWPOKE</v>
      </c>
      <c r="C1405" s="2" t="s">
        <v>2855</v>
      </c>
    </row>
    <row r="1406" customFormat="false" ht="12.75" hidden="false" customHeight="true" outlineLevel="0" collapsed="false">
      <c r="A1406" s="3" t="s">
        <v>2536</v>
      </c>
      <c r="B1406" s="3" t="str">
        <f aca="false">IF(ISNUMBER(SEARCH("%", A1406)),RIGHT(A1406,3),A1406)</f>
        <v>NEW ROUTE</v>
      </c>
      <c r="C1406" s="2" t="s">
        <v>2536</v>
      </c>
    </row>
    <row r="1407" customFormat="false" ht="12.75" hidden="false" customHeight="true" outlineLevel="0" collapsed="false">
      <c r="A1407" s="3" t="s">
        <v>3178</v>
      </c>
      <c r="B1407" s="3" t="str">
        <f aca="false">IF(ISNUMBER(SEARCH("%", A1407)),RIGHT(A1407,3),A1407)</f>
        <v>1, 121, 0,</v>
      </c>
      <c r="C1407" s="2" t="s">
        <v>3178</v>
      </c>
    </row>
    <row r="1408" customFormat="false" ht="12.75" hidden="false" customHeight="true" outlineLevel="0" collapsed="false">
      <c r="A1408" s="3" t="s">
        <v>2908</v>
      </c>
      <c r="B1408" s="3" t="str">
        <f aca="false">IF(ISNUMBER(SEARCH("%", A1408)),RIGHT(A1408,3),A1408)</f>
        <v>20%</v>
      </c>
      <c r="C1408" s="2" t="s">
        <v>2799</v>
      </c>
    </row>
    <row r="1409" customFormat="false" ht="12.75" hidden="false" customHeight="true" outlineLevel="0" collapsed="false">
      <c r="A1409" s="3" t="s">
        <v>1625</v>
      </c>
      <c r="B1409" s="3" t="str">
        <f aca="false">IF(ISNUMBER(SEARCH("%", A1409)),RIGHT(A1409,3),A1409)</f>
        <v>9, 9, LEDYBA</v>
      </c>
      <c r="C1409" s="2" t="s">
        <v>1625</v>
      </c>
    </row>
    <row r="1410" customFormat="false" ht="12.75" hidden="false" customHeight="true" outlineLevel="0" collapsed="false">
      <c r="A1410" s="3" t="s">
        <v>3179</v>
      </c>
      <c r="B1410" s="3" t="str">
        <f aca="false">IF(ISNUMBER(SEARCH("%", A1410)),RIGHT(A1410,3),A1410)</f>
        <v>9, 9, KAKUNA</v>
      </c>
      <c r="C1410" s="2" t="s">
        <v>3179</v>
      </c>
    </row>
    <row r="1411" customFormat="false" ht="12.75" hidden="false" customHeight="true" outlineLevel="0" collapsed="false">
      <c r="A1411" s="3"/>
      <c r="B1411" s="3" t="n">
        <f aca="false">IF(ISNUMBER(SEARCH("%", A1411)),RIGHT(A1411,3),A1411)</f>
        <v>0</v>
      </c>
      <c r="C1411" s="2"/>
    </row>
    <row r="1412" customFormat="false" ht="12.75" hidden="false" customHeight="true" outlineLevel="0" collapsed="false">
      <c r="A1412" s="3" t="s">
        <v>2801</v>
      </c>
      <c r="B1412" s="3" t="str">
        <f aca="false">IF(ISNUMBER(SEARCH("%", A1412)),RIGHT(A1412,3),A1412)</f>
        <v>0.1</v>
      </c>
      <c r="C1412" s="2" t="s">
        <v>2801</v>
      </c>
    </row>
    <row r="1413" customFormat="false" ht="12.75" hidden="false" customHeight="true" outlineLevel="0" collapsed="false">
      <c r="A1413" s="3" t="s">
        <v>3180</v>
      </c>
      <c r="B1413" s="3" t="str">
        <f aca="false">IF(ISNUMBER(SEARCH("%", A1413)),RIGHT(A1413,3),A1413)</f>
        <v>14, 14, LEDYBA</v>
      </c>
      <c r="C1413" s="2" t="s">
        <v>3180</v>
      </c>
    </row>
    <row r="1414" customFormat="false" ht="12.75" hidden="false" customHeight="true" outlineLevel="0" collapsed="false">
      <c r="A1414" s="3" t="s">
        <v>3181</v>
      </c>
      <c r="B1414" s="3" t="str">
        <f aca="false">IF(ISNUMBER(SEARCH("%", A1414)),RIGHT(A1414,3),A1414)</f>
        <v>6, 6, CATERPIE</v>
      </c>
      <c r="C1414" s="2" t="s">
        <v>3181</v>
      </c>
    </row>
    <row r="1415" customFormat="false" ht="12.75" hidden="false" customHeight="true" outlineLevel="0" collapsed="false">
      <c r="A1415" s="3" t="s">
        <v>3182</v>
      </c>
      <c r="B1415" s="3" t="str">
        <f aca="false">IF(ISNUMBER(SEARCH("%", A1415)),RIGHT(A1415,3),A1415)</f>
        <v>6, 6, WEEDLE</v>
      </c>
      <c r="C1415" s="2" t="s">
        <v>3182</v>
      </c>
    </row>
    <row r="1416" customFormat="false" ht="12.75" hidden="false" customHeight="true" outlineLevel="0" collapsed="false">
      <c r="A1416" s="3" t="s">
        <v>3183</v>
      </c>
      <c r="B1416" s="3" t="str">
        <f aca="false">IF(ISNUMBER(SEARCH("%", A1416)),RIGHT(A1416,3),A1416)</f>
        <v>15, 15, HERACROSS</v>
      </c>
      <c r="C1416" s="2" t="s">
        <v>3183</v>
      </c>
    </row>
    <row r="1417" customFormat="false" ht="12.75" hidden="false" customHeight="true" outlineLevel="0" collapsed="false">
      <c r="A1417" s="3"/>
      <c r="B1417" s="3" t="n">
        <f aca="false">IF(ISNUMBER(SEARCH("%", A1417)),RIGHT(A1417,3),A1417)</f>
        <v>0</v>
      </c>
      <c r="C1417" s="2"/>
    </row>
    <row r="1418" customFormat="false" ht="12.75" hidden="false" customHeight="true" outlineLevel="0" collapsed="false">
      <c r="A1418" s="3" t="s">
        <v>2806</v>
      </c>
      <c r="B1418" s="3" t="str">
        <f aca="false">IF(ISNUMBER(SEARCH("%", A1418)),RIGHT(A1418,3),A1418)</f>
        <v>0.05</v>
      </c>
      <c r="C1418" s="2" t="s">
        <v>2806</v>
      </c>
    </row>
    <row r="1419" customFormat="false" ht="12.75" hidden="false" customHeight="true" outlineLevel="0" collapsed="false">
      <c r="A1419" s="3" t="s">
        <v>3184</v>
      </c>
      <c r="B1419" s="3" t="str">
        <f aca="false">IF(ISNUMBER(SEARCH("%", A1419)),RIGHT(A1419,3),A1419)</f>
        <v>9, 9, METAPOD</v>
      </c>
      <c r="C1419" s="2" t="s">
        <v>3184</v>
      </c>
    </row>
    <row r="1420" customFormat="false" ht="12.75" hidden="false" customHeight="true" outlineLevel="0" collapsed="false">
      <c r="A1420" s="3" t="s">
        <v>3185</v>
      </c>
      <c r="B1420" s="3" t="str">
        <f aca="false">IF(ISNUMBER(SEARCH("%", A1420)),RIGHT(A1420,3),A1420)</f>
        <v>20, 20, HERACROSS</v>
      </c>
      <c r="C1420" s="2" t="s">
        <v>3185</v>
      </c>
    </row>
    <row r="1421" customFormat="false" ht="12.75" hidden="false" customHeight="true" outlineLevel="0" collapsed="false">
      <c r="A1421" s="3"/>
      <c r="B1421" s="3" t="n">
        <f aca="false">IF(ISNUMBER(SEARCH("%", A1421)),RIGHT(A1421,3),A1421)</f>
        <v>0</v>
      </c>
      <c r="C1421" s="2"/>
    </row>
    <row r="1422" customFormat="false" ht="12.75" hidden="false" customHeight="true" outlineLevel="0" collapsed="false">
      <c r="A1422" s="3" t="s">
        <v>2809</v>
      </c>
      <c r="B1422" s="3" t="str">
        <f aca="false">IF(ISNUMBER(SEARCH("%", A1422)),RIGHT(A1422,3),A1422)</f>
        <v>0.04</v>
      </c>
      <c r="C1422" s="2" t="s">
        <v>2809</v>
      </c>
    </row>
    <row r="1423" customFormat="false" ht="12.75" hidden="false" customHeight="true" outlineLevel="0" collapsed="false">
      <c r="A1423" s="3" t="s">
        <v>3186</v>
      </c>
      <c r="B1423" s="3" t="str">
        <f aca="false">IF(ISNUMBER(SEARCH("%", A1423)),RIGHT(A1423,3),A1423)</f>
        <v>9, 9, SPINARAK</v>
      </c>
      <c r="C1423" s="2" t="s">
        <v>3186</v>
      </c>
    </row>
    <row r="1424" customFormat="false" ht="12.75" hidden="false" customHeight="true" outlineLevel="0" collapsed="false">
      <c r="A1424" s="3" t="s">
        <v>3187</v>
      </c>
      <c r="B1424" s="3" t="str">
        <f aca="false">IF(ISNUMBER(SEARCH("%", A1424)),RIGHT(A1424,3),A1424)</f>
        <v>25, 25, HERACROSS</v>
      </c>
      <c r="C1424" s="2" t="s">
        <v>3187</v>
      </c>
    </row>
    <row r="1425" customFormat="false" ht="12.75" hidden="false" customHeight="true" outlineLevel="0" collapsed="false">
      <c r="A1425" s="3"/>
      <c r="B1425" s="3" t="n">
        <f aca="false">IF(ISNUMBER(SEARCH("%", A1425)),RIGHT(A1425,3),A1425)</f>
        <v>0</v>
      </c>
      <c r="C1425" s="2"/>
    </row>
    <row r="1426" customFormat="false" ht="12.75" hidden="false" customHeight="true" outlineLevel="0" collapsed="false">
      <c r="A1426" s="3" t="s">
        <v>2812</v>
      </c>
      <c r="B1426" s="3" t="str">
        <f aca="false">IF(ISNUMBER(SEARCH("%", A1426)),RIGHT(A1426,3),A1426)</f>
        <v>0.01</v>
      </c>
      <c r="C1426" s="2" t="s">
        <v>2812</v>
      </c>
    </row>
    <row r="1427" customFormat="false" ht="12.75" hidden="false" customHeight="true" outlineLevel="0" collapsed="false">
      <c r="A1427" s="3" t="s">
        <v>3188</v>
      </c>
      <c r="B1427" s="3" t="str">
        <f aca="false">IF(ISNUMBER(SEARCH("%", A1427)),RIGHT(A1427,3),A1427)</f>
        <v>14, 14, SPINARAK</v>
      </c>
      <c r="C1427" s="2" t="s">
        <v>3188</v>
      </c>
    </row>
    <row r="1428" customFormat="false" ht="12.75" hidden="false" customHeight="true" outlineLevel="0" collapsed="false">
      <c r="A1428" s="3" t="s">
        <v>3189</v>
      </c>
      <c r="B1428" s="3" t="str">
        <f aca="false">IF(ISNUMBER(SEARCH("%", A1428)),RIGHT(A1428,3),A1428)</f>
        <v>30, 30, HERACROSS , &lt;null&gt;, &lt;null&gt;, &lt;null&gt;</v>
      </c>
      <c r="C1428" s="2" t="s">
        <v>3189</v>
      </c>
    </row>
    <row r="1429" customFormat="false" ht="12.75" hidden="false" customHeight="true" outlineLevel="0" collapsed="false">
      <c r="A1429" s="3"/>
      <c r="B1429" s="3" t="n">
        <f aca="false">IF(ISNUMBER(SEARCH("%", A1429)),RIGHT(A1429,3),A1429)</f>
        <v>0</v>
      </c>
      <c r="C1429" s="2"/>
    </row>
    <row r="1430" customFormat="false" ht="12.75" hidden="false" customHeight="true" outlineLevel="0" collapsed="false">
      <c r="A1430" s="3" t="s">
        <v>2536</v>
      </c>
      <c r="B1430" s="3" t="str">
        <f aca="false">IF(ISNUMBER(SEARCH("%", A1430)),RIGHT(A1430,3),A1430)</f>
        <v>NEW ROUTE</v>
      </c>
      <c r="C1430" s="2" t="s">
        <v>2536</v>
      </c>
    </row>
    <row r="1431" customFormat="false" ht="12.75" hidden="false" customHeight="true" outlineLevel="0" collapsed="false">
      <c r="A1431" s="3" t="s">
        <v>3190</v>
      </c>
      <c r="B1431" s="3" t="str">
        <f aca="false">IF(ISNUMBER(SEARCH("%", A1431)),RIGHT(A1431,3),A1431)</f>
        <v>2, 13, 0,</v>
      </c>
      <c r="C1431" s="2" t="s">
        <v>3190</v>
      </c>
    </row>
    <row r="1432" customFormat="false" ht="12.75" hidden="false" customHeight="true" outlineLevel="0" collapsed="false">
      <c r="A1432" s="3" t="s">
        <v>3191</v>
      </c>
      <c r="B1432" s="3" t="str">
        <f aca="false">IF(ISNUMBER(SEARCH("%", A1432)),RIGHT(A1432,3),A1432)</f>
        <v>20%</v>
      </c>
      <c r="C1432" s="2" t="s">
        <v>2799</v>
      </c>
    </row>
    <row r="1433" customFormat="false" ht="12.75" hidden="false" customHeight="true" outlineLevel="0" collapsed="false">
      <c r="A1433" s="3" t="s">
        <v>1638</v>
      </c>
      <c r="B1433" s="3" t="str">
        <f aca="false">IF(ISNUMBER(SEARCH("%", A1433)),RIGHT(A1433,3),A1433)</f>
        <v>40, 40, GASTLY</v>
      </c>
      <c r="C1433" s="2" t="s">
        <v>1638</v>
      </c>
    </row>
    <row r="1434" customFormat="false" ht="12.75" hidden="false" customHeight="true" outlineLevel="0" collapsed="false">
      <c r="A1434" s="3" t="s">
        <v>3192</v>
      </c>
      <c r="B1434" s="3" t="str">
        <f aca="false">IF(ISNUMBER(SEARCH("%", A1434)),RIGHT(A1434,3),A1434)</f>
        <v>37, 37, ZUBAT</v>
      </c>
      <c r="C1434" s="2" t="s">
        <v>3192</v>
      </c>
    </row>
    <row r="1435" customFormat="false" ht="12.75" hidden="false" customHeight="true" outlineLevel="0" collapsed="false">
      <c r="A1435" s="3"/>
      <c r="B1435" s="3" t="n">
        <f aca="false">IF(ISNUMBER(SEARCH("%", A1435)),RIGHT(A1435,3),A1435)</f>
        <v>0</v>
      </c>
      <c r="C1435" s="2"/>
    </row>
    <row r="1436" customFormat="false" ht="12.75" hidden="false" customHeight="true" outlineLevel="0" collapsed="false">
      <c r="A1436" s="3" t="s">
        <v>2801</v>
      </c>
      <c r="B1436" s="3" t="str">
        <f aca="false">IF(ISNUMBER(SEARCH("%", A1436)),RIGHT(A1436,3),A1436)</f>
        <v>0.1</v>
      </c>
      <c r="C1436" s="2" t="s">
        <v>2801</v>
      </c>
    </row>
    <row r="1437" customFormat="false" ht="12.75" hidden="false" customHeight="true" outlineLevel="0" collapsed="false">
      <c r="A1437" s="3" t="s">
        <v>3193</v>
      </c>
      <c r="B1437" s="3" t="str">
        <f aca="false">IF(ISNUMBER(SEARCH("%", A1437)),RIGHT(A1437,3),A1437)</f>
        <v>44, 44, HAUNTER</v>
      </c>
      <c r="C1437" s="2" t="s">
        <v>3193</v>
      </c>
    </row>
    <row r="1438" customFormat="false" ht="12.75" hidden="false" customHeight="true" outlineLevel="0" collapsed="false">
      <c r="A1438" s="3" t="s">
        <v>3194</v>
      </c>
      <c r="B1438" s="3" t="str">
        <f aca="false">IF(ISNUMBER(SEARCH("%", A1438)),RIGHT(A1438,3),A1438)</f>
        <v>46, 46, HAUNTER</v>
      </c>
      <c r="C1438" s="2" t="s">
        <v>3194</v>
      </c>
    </row>
    <row r="1439" customFormat="false" ht="12.75" hidden="false" customHeight="true" outlineLevel="0" collapsed="false">
      <c r="A1439" s="3" t="s">
        <v>3195</v>
      </c>
      <c r="B1439" s="3" t="str">
        <f aca="false">IF(ISNUMBER(SEARCH("%", A1439)),RIGHT(A1439,3),A1439)</f>
        <v>41, 41, GOLBAT</v>
      </c>
      <c r="C1439" s="2" t="s">
        <v>3195</v>
      </c>
    </row>
    <row r="1440" customFormat="false" ht="12.75" hidden="false" customHeight="true" outlineLevel="0" collapsed="false">
      <c r="A1440" s="3" t="s">
        <v>3196</v>
      </c>
      <c r="B1440" s="3" t="str">
        <f aca="false">IF(ISNUMBER(SEARCH("%", A1440)),RIGHT(A1440,3),A1440)</f>
        <v>43, 43, GOLBAT</v>
      </c>
      <c r="C1440" s="2" t="s">
        <v>3196</v>
      </c>
    </row>
    <row r="1441" customFormat="false" ht="12.75" hidden="false" customHeight="true" outlineLevel="0" collapsed="false">
      <c r="A1441" s="3"/>
      <c r="B1441" s="3" t="n">
        <f aca="false">IF(ISNUMBER(SEARCH("%", A1441)),RIGHT(A1441,3),A1441)</f>
        <v>0</v>
      </c>
      <c r="C1441" s="2"/>
    </row>
    <row r="1442" customFormat="false" ht="12.75" hidden="false" customHeight="true" outlineLevel="0" collapsed="false">
      <c r="A1442" s="3" t="s">
        <v>2806</v>
      </c>
      <c r="B1442" s="3" t="str">
        <f aca="false">IF(ISNUMBER(SEARCH("%", A1442)),RIGHT(A1442,3),A1442)</f>
        <v>0.05</v>
      </c>
      <c r="C1442" s="2" t="s">
        <v>2806</v>
      </c>
    </row>
    <row r="1443" customFormat="false" ht="12.75" hidden="false" customHeight="true" outlineLevel="0" collapsed="false">
      <c r="A1443" s="3" t="s">
        <v>3197</v>
      </c>
      <c r="B1443" s="3" t="str">
        <f aca="false">IF(ISNUMBER(SEARCH("%", A1443)),RIGHT(A1443,3),A1443)</f>
        <v>38, 38, GASTLY</v>
      </c>
      <c r="C1443" s="2" t="s">
        <v>3197</v>
      </c>
    </row>
    <row r="1444" customFormat="false" ht="12.75" hidden="false" customHeight="true" outlineLevel="0" collapsed="false">
      <c r="A1444" s="3" t="s">
        <v>3198</v>
      </c>
      <c r="B1444" s="3" t="str">
        <f aca="false">IF(ISNUMBER(SEARCH("%", A1444)),RIGHT(A1444,3),A1444)</f>
        <v>48, 48, HAUNTER</v>
      </c>
      <c r="C1444" s="2" t="s">
        <v>3198</v>
      </c>
    </row>
    <row r="1445" customFormat="false" ht="12.75" hidden="false" customHeight="true" outlineLevel="0" collapsed="false">
      <c r="A1445" s="3"/>
      <c r="B1445" s="3" t="n">
        <f aca="false">IF(ISNUMBER(SEARCH("%", A1445)),RIGHT(A1445,3),A1445)</f>
        <v>0</v>
      </c>
      <c r="C1445" s="2"/>
    </row>
    <row r="1446" customFormat="false" ht="12.75" hidden="false" customHeight="true" outlineLevel="0" collapsed="false">
      <c r="A1446" s="3" t="s">
        <v>2809</v>
      </c>
      <c r="B1446" s="3" t="str">
        <f aca="false">IF(ISNUMBER(SEARCH("%", A1446)),RIGHT(A1446,3),A1446)</f>
        <v>0.04</v>
      </c>
      <c r="C1446" s="2" t="s">
        <v>2809</v>
      </c>
    </row>
    <row r="1447" customFormat="false" ht="12.75" hidden="false" customHeight="true" outlineLevel="0" collapsed="false">
      <c r="A1447" s="3" t="s">
        <v>3199</v>
      </c>
      <c r="B1447" s="3" t="str">
        <f aca="false">IF(ISNUMBER(SEARCH("%", A1447)),RIGHT(A1447,3),A1447)</f>
        <v>50, 50, HAUNTER</v>
      </c>
      <c r="C1447" s="2" t="s">
        <v>3199</v>
      </c>
    </row>
    <row r="1448" customFormat="false" ht="12.75" hidden="false" customHeight="true" outlineLevel="0" collapsed="false">
      <c r="A1448" s="3" t="s">
        <v>3200</v>
      </c>
      <c r="B1448" s="3" t="str">
        <f aca="false">IF(ISNUMBER(SEARCH("%", A1448)),RIGHT(A1448,3),A1448)</f>
        <v>22, 22, MISDREAVUS</v>
      </c>
      <c r="C1448" s="2" t="s">
        <v>3200</v>
      </c>
    </row>
    <row r="1449" customFormat="false" ht="12.75" hidden="false" customHeight="true" outlineLevel="0" collapsed="false">
      <c r="A1449" s="3"/>
      <c r="B1449" s="3" t="n">
        <f aca="false">IF(ISNUMBER(SEARCH("%", A1449)),RIGHT(A1449,3),A1449)</f>
        <v>0</v>
      </c>
      <c r="C1449" s="2"/>
    </row>
    <row r="1450" customFormat="false" ht="12.75" hidden="false" customHeight="true" outlineLevel="0" collapsed="false">
      <c r="A1450" s="3" t="s">
        <v>2812</v>
      </c>
      <c r="B1450" s="3" t="str">
        <f aca="false">IF(ISNUMBER(SEARCH("%", A1450)),RIGHT(A1450,3),A1450)</f>
        <v>0.01</v>
      </c>
      <c r="C1450" s="2" t="s">
        <v>2812</v>
      </c>
    </row>
    <row r="1451" customFormat="false" ht="12.75" hidden="false" customHeight="true" outlineLevel="0" collapsed="false">
      <c r="A1451" s="3" t="s">
        <v>3201</v>
      </c>
      <c r="B1451" s="3" t="str">
        <f aca="false">IF(ISNUMBER(SEARCH("%", A1451)),RIGHT(A1451,3),A1451)</f>
        <v>52, 52, HAUNTER</v>
      </c>
      <c r="C1451" s="2" t="s">
        <v>3201</v>
      </c>
    </row>
    <row r="1452" customFormat="false" ht="12.75" hidden="false" customHeight="true" outlineLevel="0" collapsed="false">
      <c r="A1452" s="3" t="s">
        <v>3202</v>
      </c>
      <c r="B1452" s="3" t="str">
        <f aca="false">IF(ISNUMBER(SEARCH("%", A1452)),RIGHT(A1452,3),A1452)</f>
        <v>22, 22, MISDREAVUS , &lt;null&gt;, &lt;null&gt;, &lt;null&gt;</v>
      </c>
      <c r="C1452" s="2" t="s">
        <v>3202</v>
      </c>
    </row>
    <row r="1453" customFormat="false" ht="12.75" hidden="false" customHeight="true" outlineLevel="0" collapsed="false">
      <c r="A1453" s="3"/>
      <c r="B1453" s="3" t="n">
        <f aca="false">IF(ISNUMBER(SEARCH("%", A1453)),RIGHT(A1453,3),A1453)</f>
        <v>0</v>
      </c>
      <c r="C1453" s="2"/>
    </row>
    <row r="1454" customFormat="false" ht="12.75" hidden="false" customHeight="true" outlineLevel="0" collapsed="false">
      <c r="A1454" s="3" t="s">
        <v>2536</v>
      </c>
      <c r="B1454" s="3" t="str">
        <f aca="false">IF(ISNUMBER(SEARCH("%", A1454)),RIGHT(A1454,3),A1454)</f>
        <v>NEW ROUTE</v>
      </c>
      <c r="C1454" s="2" t="s">
        <v>2536</v>
      </c>
    </row>
    <row r="1455" customFormat="false" ht="12.75" hidden="false" customHeight="true" outlineLevel="0" collapsed="false">
      <c r="A1455" s="3" t="s">
        <v>3203</v>
      </c>
      <c r="B1455" s="3" t="str">
        <f aca="false">IF(ISNUMBER(SEARCH("%", A1455)),RIGHT(A1455,3),A1455)</f>
        <v>2, 14, 0,</v>
      </c>
      <c r="C1455" s="2" t="s">
        <v>3203</v>
      </c>
    </row>
    <row r="1456" customFormat="false" ht="12.75" hidden="false" customHeight="true" outlineLevel="0" collapsed="false">
      <c r="A1456" s="3" t="s">
        <v>3036</v>
      </c>
      <c r="B1456" s="3" t="str">
        <f aca="false">IF(ISNUMBER(SEARCH("%", A1456)),RIGHT(A1456,3),A1456)</f>
        <v>20%</v>
      </c>
      <c r="C1456" s="2" t="s">
        <v>2799</v>
      </c>
    </row>
    <row r="1457" customFormat="false" ht="12.75" hidden="false" customHeight="true" outlineLevel="0" collapsed="false">
      <c r="A1457" s="3" t="s">
        <v>1638</v>
      </c>
      <c r="B1457" s="3" t="str">
        <f aca="false">IF(ISNUMBER(SEARCH("%", A1457)),RIGHT(A1457,3),A1457)</f>
        <v>40, 40, GASTLY</v>
      </c>
      <c r="C1457" s="2" t="s">
        <v>1638</v>
      </c>
    </row>
    <row r="1458" customFormat="false" ht="12.75" hidden="false" customHeight="true" outlineLevel="0" collapsed="false">
      <c r="A1458" s="3" t="s">
        <v>3192</v>
      </c>
      <c r="B1458" s="3" t="str">
        <f aca="false">IF(ISNUMBER(SEARCH("%", A1458)),RIGHT(A1458,3),A1458)</f>
        <v>37, 37, ZUBAT</v>
      </c>
      <c r="C1458" s="2" t="s">
        <v>3192</v>
      </c>
    </row>
    <row r="1459" customFormat="false" ht="12.75" hidden="false" customHeight="true" outlineLevel="0" collapsed="false">
      <c r="A1459" s="3"/>
      <c r="B1459" s="3" t="n">
        <f aca="false">IF(ISNUMBER(SEARCH("%", A1459)),RIGHT(A1459,3),A1459)</f>
        <v>0</v>
      </c>
      <c r="C1459" s="2"/>
    </row>
    <row r="1460" customFormat="false" ht="12.75" hidden="false" customHeight="true" outlineLevel="0" collapsed="false">
      <c r="A1460" s="3" t="s">
        <v>2801</v>
      </c>
      <c r="B1460" s="3" t="str">
        <f aca="false">IF(ISNUMBER(SEARCH("%", A1460)),RIGHT(A1460,3),A1460)</f>
        <v>0.1</v>
      </c>
      <c r="C1460" s="2" t="s">
        <v>2801</v>
      </c>
    </row>
    <row r="1461" customFormat="false" ht="12.75" hidden="false" customHeight="true" outlineLevel="0" collapsed="false">
      <c r="A1461" s="3" t="s">
        <v>3193</v>
      </c>
      <c r="B1461" s="3" t="str">
        <f aca="false">IF(ISNUMBER(SEARCH("%", A1461)),RIGHT(A1461,3),A1461)</f>
        <v>44, 44, HAUNTER</v>
      </c>
      <c r="C1461" s="2" t="s">
        <v>3193</v>
      </c>
    </row>
    <row r="1462" customFormat="false" ht="12.75" hidden="false" customHeight="true" outlineLevel="0" collapsed="false">
      <c r="A1462" s="3" t="s">
        <v>3194</v>
      </c>
      <c r="B1462" s="3" t="str">
        <f aca="false">IF(ISNUMBER(SEARCH("%", A1462)),RIGHT(A1462,3),A1462)</f>
        <v>46, 46, HAUNTER</v>
      </c>
      <c r="C1462" s="2" t="s">
        <v>3194</v>
      </c>
    </row>
    <row r="1463" customFormat="false" ht="12.75" hidden="false" customHeight="true" outlineLevel="0" collapsed="false">
      <c r="A1463" s="3" t="s">
        <v>3195</v>
      </c>
      <c r="B1463" s="3" t="str">
        <f aca="false">IF(ISNUMBER(SEARCH("%", A1463)),RIGHT(A1463,3),A1463)</f>
        <v>41, 41, GOLBAT</v>
      </c>
      <c r="C1463" s="2" t="s">
        <v>3195</v>
      </c>
    </row>
    <row r="1464" customFormat="false" ht="12.75" hidden="false" customHeight="true" outlineLevel="0" collapsed="false">
      <c r="A1464" s="3" t="s">
        <v>3196</v>
      </c>
      <c r="B1464" s="3" t="str">
        <f aca="false">IF(ISNUMBER(SEARCH("%", A1464)),RIGHT(A1464,3),A1464)</f>
        <v>43, 43, GOLBAT</v>
      </c>
      <c r="C1464" s="2" t="s">
        <v>3196</v>
      </c>
    </row>
    <row r="1465" customFormat="false" ht="12.75" hidden="false" customHeight="true" outlineLevel="0" collapsed="false">
      <c r="A1465" s="3"/>
      <c r="B1465" s="3" t="n">
        <f aca="false">IF(ISNUMBER(SEARCH("%", A1465)),RIGHT(A1465,3),A1465)</f>
        <v>0</v>
      </c>
      <c r="C1465" s="2"/>
    </row>
    <row r="1466" customFormat="false" ht="12.75" hidden="false" customHeight="true" outlineLevel="0" collapsed="false">
      <c r="A1466" s="3" t="s">
        <v>2806</v>
      </c>
      <c r="B1466" s="3" t="str">
        <f aca="false">IF(ISNUMBER(SEARCH("%", A1466)),RIGHT(A1466,3),A1466)</f>
        <v>0.05</v>
      </c>
      <c r="C1466" s="2" t="s">
        <v>2806</v>
      </c>
    </row>
    <row r="1467" customFormat="false" ht="12.75" hidden="false" customHeight="true" outlineLevel="0" collapsed="false">
      <c r="A1467" s="3" t="s">
        <v>3197</v>
      </c>
      <c r="B1467" s="3" t="str">
        <f aca="false">IF(ISNUMBER(SEARCH("%", A1467)),RIGHT(A1467,3),A1467)</f>
        <v>38, 38, GASTLY</v>
      </c>
      <c r="C1467" s="2" t="s">
        <v>3197</v>
      </c>
    </row>
    <row r="1468" customFormat="false" ht="12.75" hidden="false" customHeight="true" outlineLevel="0" collapsed="false">
      <c r="A1468" s="3" t="s">
        <v>3198</v>
      </c>
      <c r="B1468" s="3" t="str">
        <f aca="false">IF(ISNUMBER(SEARCH("%", A1468)),RIGHT(A1468,3),A1468)</f>
        <v>48, 48, HAUNTER</v>
      </c>
      <c r="C1468" s="2" t="s">
        <v>3198</v>
      </c>
    </row>
    <row r="1469" customFormat="false" ht="12.75" hidden="false" customHeight="true" outlineLevel="0" collapsed="false">
      <c r="A1469" s="3"/>
      <c r="B1469" s="3" t="n">
        <f aca="false">IF(ISNUMBER(SEARCH("%", A1469)),RIGHT(A1469,3),A1469)</f>
        <v>0</v>
      </c>
      <c r="C1469" s="2"/>
    </row>
    <row r="1470" customFormat="false" ht="12.75" hidden="false" customHeight="true" outlineLevel="0" collapsed="false">
      <c r="A1470" s="3" t="s">
        <v>2809</v>
      </c>
      <c r="B1470" s="3" t="str">
        <f aca="false">IF(ISNUMBER(SEARCH("%", A1470)),RIGHT(A1470,3),A1470)</f>
        <v>0.04</v>
      </c>
      <c r="C1470" s="2" t="s">
        <v>2809</v>
      </c>
    </row>
    <row r="1471" customFormat="false" ht="12.75" hidden="false" customHeight="true" outlineLevel="0" collapsed="false">
      <c r="A1471" s="3" t="s">
        <v>3199</v>
      </c>
      <c r="B1471" s="3" t="str">
        <f aca="false">IF(ISNUMBER(SEARCH("%", A1471)),RIGHT(A1471,3),A1471)</f>
        <v>50, 50, HAUNTER</v>
      </c>
      <c r="C1471" s="2" t="s">
        <v>3199</v>
      </c>
    </row>
    <row r="1472" customFormat="false" ht="12.75" hidden="false" customHeight="true" outlineLevel="0" collapsed="false">
      <c r="A1472" s="3" t="s">
        <v>3200</v>
      </c>
      <c r="B1472" s="3" t="str">
        <f aca="false">IF(ISNUMBER(SEARCH("%", A1472)),RIGHT(A1472,3),A1472)</f>
        <v>22, 22, MISDREAVUS</v>
      </c>
      <c r="C1472" s="2" t="s">
        <v>3200</v>
      </c>
    </row>
    <row r="1473" customFormat="false" ht="12.75" hidden="false" customHeight="true" outlineLevel="0" collapsed="false">
      <c r="A1473" s="3"/>
      <c r="B1473" s="3" t="n">
        <f aca="false">IF(ISNUMBER(SEARCH("%", A1473)),RIGHT(A1473,3),A1473)</f>
        <v>0</v>
      </c>
      <c r="C1473" s="2"/>
    </row>
    <row r="1474" customFormat="false" ht="12.75" hidden="false" customHeight="true" outlineLevel="0" collapsed="false">
      <c r="A1474" s="3" t="s">
        <v>2812</v>
      </c>
      <c r="B1474" s="3" t="str">
        <f aca="false">IF(ISNUMBER(SEARCH("%", A1474)),RIGHT(A1474,3),A1474)</f>
        <v>0.01</v>
      </c>
      <c r="C1474" s="2" t="s">
        <v>2812</v>
      </c>
    </row>
    <row r="1475" customFormat="false" ht="12.75" hidden="false" customHeight="true" outlineLevel="0" collapsed="false">
      <c r="A1475" s="3" t="s">
        <v>3201</v>
      </c>
      <c r="B1475" s="3" t="str">
        <f aca="false">IF(ISNUMBER(SEARCH("%", A1475)),RIGHT(A1475,3),A1475)</f>
        <v>52, 52, HAUNTER</v>
      </c>
      <c r="C1475" s="2" t="s">
        <v>3201</v>
      </c>
    </row>
    <row r="1476" customFormat="false" ht="12.75" hidden="false" customHeight="true" outlineLevel="0" collapsed="false">
      <c r="A1476" s="3" t="s">
        <v>3202</v>
      </c>
      <c r="B1476" s="3" t="str">
        <f aca="false">IF(ISNUMBER(SEARCH("%", A1476)),RIGHT(A1476,3),A1476)</f>
        <v>22, 22, MISDREAVUS , &lt;null&gt;, &lt;null&gt;, &lt;null&gt;</v>
      </c>
      <c r="C1476" s="2" t="s">
        <v>3202</v>
      </c>
    </row>
    <row r="1477" customFormat="false" ht="12.75" hidden="false" customHeight="true" outlineLevel="0" collapsed="false">
      <c r="A1477" s="3"/>
      <c r="B1477" s="3" t="n">
        <f aca="false">IF(ISNUMBER(SEARCH("%", A1477)),RIGHT(A1477,3),A1477)</f>
        <v>0</v>
      </c>
      <c r="C1477" s="2"/>
    </row>
    <row r="1478" customFormat="false" ht="12.75" hidden="false" customHeight="true" outlineLevel="0" collapsed="false">
      <c r="A1478" s="3" t="s">
        <v>2536</v>
      </c>
      <c r="B1478" s="3" t="str">
        <f aca="false">IF(ISNUMBER(SEARCH("%", A1478)),RIGHT(A1478,3),A1478)</f>
        <v>NEW ROUTE</v>
      </c>
      <c r="C1478" s="2" t="s">
        <v>2536</v>
      </c>
    </row>
    <row r="1479" customFormat="false" ht="12.75" hidden="false" customHeight="true" outlineLevel="0" collapsed="false">
      <c r="A1479" s="3" t="s">
        <v>3204</v>
      </c>
      <c r="B1479" s="3" t="str">
        <f aca="false">IF(ISNUMBER(SEARCH("%", A1479)),RIGHT(A1479,3),A1479)</f>
        <v>2, 15, 0,</v>
      </c>
      <c r="C1479" s="2" t="s">
        <v>3204</v>
      </c>
    </row>
    <row r="1480" customFormat="false" ht="12.75" hidden="false" customHeight="true" outlineLevel="0" collapsed="false">
      <c r="A1480" s="3" t="s">
        <v>3205</v>
      </c>
      <c r="B1480" s="3" t="str">
        <f aca="false">IF(ISNUMBER(SEARCH("%", A1480)),RIGHT(A1480,3),A1480)</f>
        <v>20%</v>
      </c>
      <c r="C1480" s="2" t="s">
        <v>2799</v>
      </c>
    </row>
    <row r="1481" customFormat="false" ht="12.75" hidden="false" customHeight="true" outlineLevel="0" collapsed="false">
      <c r="A1481" s="3" t="s">
        <v>1638</v>
      </c>
      <c r="B1481" s="3" t="str">
        <f aca="false">IF(ISNUMBER(SEARCH("%", A1481)),RIGHT(A1481,3),A1481)</f>
        <v>40, 40, GASTLY</v>
      </c>
      <c r="C1481" s="2" t="s">
        <v>1638</v>
      </c>
    </row>
    <row r="1482" customFormat="false" ht="12.75" hidden="false" customHeight="true" outlineLevel="0" collapsed="false">
      <c r="A1482" s="3" t="s">
        <v>3192</v>
      </c>
      <c r="B1482" s="3" t="str">
        <f aca="false">IF(ISNUMBER(SEARCH("%", A1482)),RIGHT(A1482,3),A1482)</f>
        <v>37, 37, ZUBAT</v>
      </c>
      <c r="C1482" s="2" t="s">
        <v>3192</v>
      </c>
    </row>
    <row r="1483" customFormat="false" ht="12.75" hidden="false" customHeight="true" outlineLevel="0" collapsed="false">
      <c r="A1483" s="3"/>
      <c r="B1483" s="3" t="n">
        <f aca="false">IF(ISNUMBER(SEARCH("%", A1483)),RIGHT(A1483,3),A1483)</f>
        <v>0</v>
      </c>
      <c r="C1483" s="2"/>
    </row>
    <row r="1484" customFormat="false" ht="12.75" hidden="false" customHeight="true" outlineLevel="0" collapsed="false">
      <c r="A1484" s="3" t="s">
        <v>2801</v>
      </c>
      <c r="B1484" s="3" t="str">
        <f aca="false">IF(ISNUMBER(SEARCH("%", A1484)),RIGHT(A1484,3),A1484)</f>
        <v>0.1</v>
      </c>
      <c r="C1484" s="2" t="s">
        <v>2801</v>
      </c>
    </row>
    <row r="1485" customFormat="false" ht="12.75" hidden="false" customHeight="true" outlineLevel="0" collapsed="false">
      <c r="A1485" s="3" t="s">
        <v>3193</v>
      </c>
      <c r="B1485" s="3" t="str">
        <f aca="false">IF(ISNUMBER(SEARCH("%", A1485)),RIGHT(A1485,3),A1485)</f>
        <v>44, 44, HAUNTER</v>
      </c>
      <c r="C1485" s="2" t="s">
        <v>3193</v>
      </c>
    </row>
    <row r="1486" customFormat="false" ht="12.75" hidden="false" customHeight="true" outlineLevel="0" collapsed="false">
      <c r="A1486" s="3" t="s">
        <v>3194</v>
      </c>
      <c r="B1486" s="3" t="str">
        <f aca="false">IF(ISNUMBER(SEARCH("%", A1486)),RIGHT(A1486,3),A1486)</f>
        <v>46, 46, HAUNTER</v>
      </c>
      <c r="C1486" s="2" t="s">
        <v>3194</v>
      </c>
    </row>
    <row r="1487" customFormat="false" ht="12.75" hidden="false" customHeight="true" outlineLevel="0" collapsed="false">
      <c r="A1487" s="3" t="s">
        <v>3195</v>
      </c>
      <c r="B1487" s="3" t="str">
        <f aca="false">IF(ISNUMBER(SEARCH("%", A1487)),RIGHT(A1487,3),A1487)</f>
        <v>41, 41, GOLBAT</v>
      </c>
      <c r="C1487" s="2" t="s">
        <v>3195</v>
      </c>
    </row>
    <row r="1488" customFormat="false" ht="12.75" hidden="false" customHeight="true" outlineLevel="0" collapsed="false">
      <c r="A1488" s="3" t="s">
        <v>3196</v>
      </c>
      <c r="B1488" s="3" t="str">
        <f aca="false">IF(ISNUMBER(SEARCH("%", A1488)),RIGHT(A1488,3),A1488)</f>
        <v>43, 43, GOLBAT</v>
      </c>
      <c r="C1488" s="2" t="s">
        <v>3196</v>
      </c>
    </row>
    <row r="1489" customFormat="false" ht="12.75" hidden="false" customHeight="true" outlineLevel="0" collapsed="false">
      <c r="A1489" s="3"/>
      <c r="B1489" s="3" t="n">
        <f aca="false">IF(ISNUMBER(SEARCH("%", A1489)),RIGHT(A1489,3),A1489)</f>
        <v>0</v>
      </c>
      <c r="C1489" s="2"/>
    </row>
    <row r="1490" customFormat="false" ht="12.75" hidden="false" customHeight="true" outlineLevel="0" collapsed="false">
      <c r="A1490" s="3" t="s">
        <v>2806</v>
      </c>
      <c r="B1490" s="3" t="str">
        <f aca="false">IF(ISNUMBER(SEARCH("%", A1490)),RIGHT(A1490,3),A1490)</f>
        <v>0.05</v>
      </c>
      <c r="C1490" s="2" t="s">
        <v>2806</v>
      </c>
    </row>
    <row r="1491" customFormat="false" ht="12.75" hidden="false" customHeight="true" outlineLevel="0" collapsed="false">
      <c r="A1491" s="3" t="s">
        <v>3197</v>
      </c>
      <c r="B1491" s="3" t="str">
        <f aca="false">IF(ISNUMBER(SEARCH("%", A1491)),RIGHT(A1491,3),A1491)</f>
        <v>38, 38, GASTLY</v>
      </c>
      <c r="C1491" s="2" t="s">
        <v>3197</v>
      </c>
    </row>
    <row r="1492" customFormat="false" ht="12.75" hidden="false" customHeight="true" outlineLevel="0" collapsed="false">
      <c r="A1492" s="3" t="s">
        <v>3198</v>
      </c>
      <c r="B1492" s="3" t="str">
        <f aca="false">IF(ISNUMBER(SEARCH("%", A1492)),RIGHT(A1492,3),A1492)</f>
        <v>48, 48, HAUNTER</v>
      </c>
      <c r="C1492" s="2" t="s">
        <v>3198</v>
      </c>
    </row>
    <row r="1493" customFormat="false" ht="12.75" hidden="false" customHeight="true" outlineLevel="0" collapsed="false">
      <c r="A1493" s="3"/>
      <c r="B1493" s="3" t="n">
        <f aca="false">IF(ISNUMBER(SEARCH("%", A1493)),RIGHT(A1493,3),A1493)</f>
        <v>0</v>
      </c>
      <c r="C1493" s="2"/>
    </row>
    <row r="1494" customFormat="false" ht="12.75" hidden="false" customHeight="true" outlineLevel="0" collapsed="false">
      <c r="A1494" s="3" t="s">
        <v>2809</v>
      </c>
      <c r="B1494" s="3" t="str">
        <f aca="false">IF(ISNUMBER(SEARCH("%", A1494)),RIGHT(A1494,3),A1494)</f>
        <v>0.04</v>
      </c>
      <c r="C1494" s="2" t="s">
        <v>2809</v>
      </c>
    </row>
    <row r="1495" customFormat="false" ht="12.75" hidden="false" customHeight="true" outlineLevel="0" collapsed="false">
      <c r="A1495" s="3" t="s">
        <v>3199</v>
      </c>
      <c r="B1495" s="3" t="str">
        <f aca="false">IF(ISNUMBER(SEARCH("%", A1495)),RIGHT(A1495,3),A1495)</f>
        <v>50, 50, HAUNTER</v>
      </c>
      <c r="C1495" s="2" t="s">
        <v>3199</v>
      </c>
    </row>
    <row r="1496" customFormat="false" ht="12.75" hidden="false" customHeight="true" outlineLevel="0" collapsed="false">
      <c r="A1496" s="3" t="s">
        <v>3200</v>
      </c>
      <c r="B1496" s="3" t="str">
        <f aca="false">IF(ISNUMBER(SEARCH("%", A1496)),RIGHT(A1496,3),A1496)</f>
        <v>22, 22, MISDREAVUS</v>
      </c>
      <c r="C1496" s="2" t="s">
        <v>3200</v>
      </c>
    </row>
    <row r="1497" customFormat="false" ht="12.75" hidden="false" customHeight="true" outlineLevel="0" collapsed="false">
      <c r="A1497" s="3"/>
      <c r="B1497" s="3" t="n">
        <f aca="false">IF(ISNUMBER(SEARCH("%", A1497)),RIGHT(A1497,3),A1497)</f>
        <v>0</v>
      </c>
      <c r="C1497" s="2"/>
    </row>
    <row r="1498" customFormat="false" ht="12.75" hidden="false" customHeight="true" outlineLevel="0" collapsed="false">
      <c r="A1498" s="3" t="s">
        <v>2812</v>
      </c>
      <c r="B1498" s="3" t="str">
        <f aca="false">IF(ISNUMBER(SEARCH("%", A1498)),RIGHT(A1498,3),A1498)</f>
        <v>0.01</v>
      </c>
      <c r="C1498" s="2" t="s">
        <v>2812</v>
      </c>
    </row>
    <row r="1499" customFormat="false" ht="12.75" hidden="false" customHeight="true" outlineLevel="0" collapsed="false">
      <c r="A1499" s="3" t="s">
        <v>3201</v>
      </c>
      <c r="B1499" s="3" t="str">
        <f aca="false">IF(ISNUMBER(SEARCH("%", A1499)),RIGHT(A1499,3),A1499)</f>
        <v>52, 52, HAUNTER</v>
      </c>
      <c r="C1499" s="2" t="s">
        <v>3201</v>
      </c>
    </row>
    <row r="1500" customFormat="false" ht="12.75" hidden="false" customHeight="true" outlineLevel="0" collapsed="false">
      <c r="A1500" s="3" t="s">
        <v>3202</v>
      </c>
      <c r="B1500" s="3" t="str">
        <f aca="false">IF(ISNUMBER(SEARCH("%", A1500)),RIGHT(A1500,3),A1500)</f>
        <v>22, 22, MISDREAVUS , &lt;null&gt;, &lt;null&gt;, &lt;null&gt;</v>
      </c>
      <c r="C1500" s="2" t="s">
        <v>3202</v>
      </c>
    </row>
    <row r="1501" customFormat="false" ht="12.75" hidden="false" customHeight="true" outlineLevel="0" collapsed="false">
      <c r="A1501" s="3"/>
      <c r="B1501" s="3" t="n">
        <f aca="false">IF(ISNUMBER(SEARCH("%", A1501)),RIGHT(A1501,3),A1501)</f>
        <v>0</v>
      </c>
      <c r="C1501" s="2"/>
    </row>
    <row r="1502" customFormat="false" ht="12.75" hidden="false" customHeight="true" outlineLevel="0" collapsed="false">
      <c r="A1502" s="3" t="s">
        <v>2536</v>
      </c>
      <c r="B1502" s="3" t="str">
        <f aca="false">IF(ISNUMBER(SEARCH("%", A1502)),RIGHT(A1502,3),A1502)</f>
        <v>NEW ROUTE</v>
      </c>
      <c r="C1502" s="2" t="s">
        <v>2536</v>
      </c>
    </row>
    <row r="1503" customFormat="false" ht="12.75" hidden="false" customHeight="true" outlineLevel="0" collapsed="false">
      <c r="A1503" s="3" t="s">
        <v>3206</v>
      </c>
      <c r="B1503" s="3" t="str">
        <f aca="false">IF(ISNUMBER(SEARCH("%", A1503)),RIGHT(A1503,3),A1503)</f>
        <v>2, 16, 0,</v>
      </c>
      <c r="C1503" s="2" t="s">
        <v>3206</v>
      </c>
    </row>
    <row r="1504" customFormat="false" ht="12.75" hidden="false" customHeight="true" outlineLevel="0" collapsed="false">
      <c r="A1504" s="3" t="s">
        <v>3049</v>
      </c>
      <c r="B1504" s="3" t="str">
        <f aca="false">IF(ISNUMBER(SEARCH("%", A1504)),RIGHT(A1504,3),A1504)</f>
        <v>20%</v>
      </c>
      <c r="C1504" s="2" t="s">
        <v>2799</v>
      </c>
    </row>
    <row r="1505" customFormat="false" ht="12.75" hidden="false" customHeight="true" outlineLevel="0" collapsed="false">
      <c r="A1505" s="3" t="s">
        <v>1638</v>
      </c>
      <c r="B1505" s="3" t="str">
        <f aca="false">IF(ISNUMBER(SEARCH("%", A1505)),RIGHT(A1505,3),A1505)</f>
        <v>40, 40, GASTLY</v>
      </c>
      <c r="C1505" s="2" t="s">
        <v>1638</v>
      </c>
    </row>
    <row r="1506" customFormat="false" ht="12.75" hidden="false" customHeight="true" outlineLevel="0" collapsed="false">
      <c r="A1506" s="3" t="s">
        <v>3192</v>
      </c>
      <c r="B1506" s="3" t="str">
        <f aca="false">IF(ISNUMBER(SEARCH("%", A1506)),RIGHT(A1506,3),A1506)</f>
        <v>37, 37, ZUBAT</v>
      </c>
      <c r="C1506" s="2" t="s">
        <v>3192</v>
      </c>
    </row>
    <row r="1507" customFormat="false" ht="12.75" hidden="false" customHeight="true" outlineLevel="0" collapsed="false">
      <c r="A1507" s="3"/>
      <c r="B1507" s="3" t="n">
        <f aca="false">IF(ISNUMBER(SEARCH("%", A1507)),RIGHT(A1507,3),A1507)</f>
        <v>0</v>
      </c>
      <c r="C1507" s="2"/>
    </row>
    <row r="1508" customFormat="false" ht="12.75" hidden="false" customHeight="true" outlineLevel="0" collapsed="false">
      <c r="A1508" s="3" t="s">
        <v>2801</v>
      </c>
      <c r="B1508" s="3" t="str">
        <f aca="false">IF(ISNUMBER(SEARCH("%", A1508)),RIGHT(A1508,3),A1508)</f>
        <v>0.1</v>
      </c>
      <c r="C1508" s="2" t="s">
        <v>2801</v>
      </c>
    </row>
    <row r="1509" customFormat="false" ht="12.75" hidden="false" customHeight="true" outlineLevel="0" collapsed="false">
      <c r="A1509" s="3" t="s">
        <v>3193</v>
      </c>
      <c r="B1509" s="3" t="str">
        <f aca="false">IF(ISNUMBER(SEARCH("%", A1509)),RIGHT(A1509,3),A1509)</f>
        <v>44, 44, HAUNTER</v>
      </c>
      <c r="C1509" s="2" t="s">
        <v>3193</v>
      </c>
    </row>
    <row r="1510" customFormat="false" ht="12.75" hidden="false" customHeight="true" outlineLevel="0" collapsed="false">
      <c r="A1510" s="3" t="s">
        <v>3194</v>
      </c>
      <c r="B1510" s="3" t="str">
        <f aca="false">IF(ISNUMBER(SEARCH("%", A1510)),RIGHT(A1510,3),A1510)</f>
        <v>46, 46, HAUNTER</v>
      </c>
      <c r="C1510" s="2" t="s">
        <v>3194</v>
      </c>
    </row>
    <row r="1511" customFormat="false" ht="12.75" hidden="false" customHeight="true" outlineLevel="0" collapsed="false">
      <c r="A1511" s="3" t="s">
        <v>3195</v>
      </c>
      <c r="B1511" s="3" t="str">
        <f aca="false">IF(ISNUMBER(SEARCH("%", A1511)),RIGHT(A1511,3),A1511)</f>
        <v>41, 41, GOLBAT</v>
      </c>
      <c r="C1511" s="2" t="s">
        <v>3195</v>
      </c>
    </row>
    <row r="1512" customFormat="false" ht="12.75" hidden="false" customHeight="true" outlineLevel="0" collapsed="false">
      <c r="A1512" s="3" t="s">
        <v>3196</v>
      </c>
      <c r="B1512" s="3" t="str">
        <f aca="false">IF(ISNUMBER(SEARCH("%", A1512)),RIGHT(A1512,3),A1512)</f>
        <v>43, 43, GOLBAT</v>
      </c>
      <c r="C1512" s="2" t="s">
        <v>3196</v>
      </c>
    </row>
    <row r="1513" customFormat="false" ht="12.75" hidden="false" customHeight="true" outlineLevel="0" collapsed="false">
      <c r="A1513" s="3"/>
      <c r="B1513" s="3" t="n">
        <f aca="false">IF(ISNUMBER(SEARCH("%", A1513)),RIGHT(A1513,3),A1513)</f>
        <v>0</v>
      </c>
      <c r="C1513" s="2"/>
    </row>
    <row r="1514" customFormat="false" ht="12.75" hidden="false" customHeight="true" outlineLevel="0" collapsed="false">
      <c r="A1514" s="3" t="s">
        <v>2806</v>
      </c>
      <c r="B1514" s="3" t="str">
        <f aca="false">IF(ISNUMBER(SEARCH("%", A1514)),RIGHT(A1514,3),A1514)</f>
        <v>0.05</v>
      </c>
      <c r="C1514" s="2" t="s">
        <v>2806</v>
      </c>
    </row>
    <row r="1515" customFormat="false" ht="12.75" hidden="false" customHeight="true" outlineLevel="0" collapsed="false">
      <c r="A1515" s="3" t="s">
        <v>3197</v>
      </c>
      <c r="B1515" s="3" t="str">
        <f aca="false">IF(ISNUMBER(SEARCH("%", A1515)),RIGHT(A1515,3),A1515)</f>
        <v>38, 38, GASTLY</v>
      </c>
      <c r="C1515" s="2" t="s">
        <v>3197</v>
      </c>
    </row>
    <row r="1516" customFormat="false" ht="12.75" hidden="false" customHeight="true" outlineLevel="0" collapsed="false">
      <c r="A1516" s="3" t="s">
        <v>3198</v>
      </c>
      <c r="B1516" s="3" t="str">
        <f aca="false">IF(ISNUMBER(SEARCH("%", A1516)),RIGHT(A1516,3),A1516)</f>
        <v>48, 48, HAUNTER</v>
      </c>
      <c r="C1516" s="2" t="s">
        <v>3198</v>
      </c>
    </row>
    <row r="1517" customFormat="false" ht="12.75" hidden="false" customHeight="true" outlineLevel="0" collapsed="false">
      <c r="A1517" s="3"/>
      <c r="B1517" s="3" t="n">
        <f aca="false">IF(ISNUMBER(SEARCH("%", A1517)),RIGHT(A1517,3),A1517)</f>
        <v>0</v>
      </c>
      <c r="C1517" s="2"/>
    </row>
    <row r="1518" customFormat="false" ht="12.75" hidden="false" customHeight="true" outlineLevel="0" collapsed="false">
      <c r="A1518" s="3" t="s">
        <v>2809</v>
      </c>
      <c r="B1518" s="3" t="str">
        <f aca="false">IF(ISNUMBER(SEARCH("%", A1518)),RIGHT(A1518,3),A1518)</f>
        <v>0.04</v>
      </c>
      <c r="C1518" s="2" t="s">
        <v>2809</v>
      </c>
    </row>
    <row r="1519" customFormat="false" ht="12.75" hidden="false" customHeight="true" outlineLevel="0" collapsed="false">
      <c r="A1519" s="3" t="s">
        <v>3199</v>
      </c>
      <c r="B1519" s="3" t="str">
        <f aca="false">IF(ISNUMBER(SEARCH("%", A1519)),RIGHT(A1519,3),A1519)</f>
        <v>50, 50, HAUNTER</v>
      </c>
      <c r="C1519" s="2" t="s">
        <v>3199</v>
      </c>
    </row>
    <row r="1520" customFormat="false" ht="12.75" hidden="false" customHeight="true" outlineLevel="0" collapsed="false">
      <c r="A1520" s="3" t="s">
        <v>3200</v>
      </c>
      <c r="B1520" s="3" t="str">
        <f aca="false">IF(ISNUMBER(SEARCH("%", A1520)),RIGHT(A1520,3),A1520)</f>
        <v>22, 22, MISDREAVUS</v>
      </c>
      <c r="C1520" s="2" t="s">
        <v>3200</v>
      </c>
    </row>
    <row r="1521" customFormat="false" ht="12.75" hidden="false" customHeight="true" outlineLevel="0" collapsed="false">
      <c r="A1521" s="3"/>
      <c r="B1521" s="3" t="n">
        <f aca="false">IF(ISNUMBER(SEARCH("%", A1521)),RIGHT(A1521,3),A1521)</f>
        <v>0</v>
      </c>
      <c r="C1521" s="2"/>
    </row>
    <row r="1522" customFormat="false" ht="12.75" hidden="false" customHeight="true" outlineLevel="0" collapsed="false">
      <c r="A1522" s="3" t="s">
        <v>2812</v>
      </c>
      <c r="B1522" s="3" t="str">
        <f aca="false">IF(ISNUMBER(SEARCH("%", A1522)),RIGHT(A1522,3),A1522)</f>
        <v>0.01</v>
      </c>
      <c r="C1522" s="2" t="s">
        <v>2812</v>
      </c>
    </row>
    <row r="1523" customFormat="false" ht="12.75" hidden="false" customHeight="true" outlineLevel="0" collapsed="false">
      <c r="A1523" s="3" t="s">
        <v>3201</v>
      </c>
      <c r="B1523" s="3" t="str">
        <f aca="false">IF(ISNUMBER(SEARCH("%", A1523)),RIGHT(A1523,3),A1523)</f>
        <v>52, 52, HAUNTER</v>
      </c>
      <c r="C1523" s="2" t="s">
        <v>3201</v>
      </c>
    </row>
    <row r="1524" customFormat="false" ht="12.75" hidden="false" customHeight="true" outlineLevel="0" collapsed="false">
      <c r="A1524" s="3" t="s">
        <v>3202</v>
      </c>
      <c r="B1524" s="3" t="str">
        <f aca="false">IF(ISNUMBER(SEARCH("%", A1524)),RIGHT(A1524,3),A1524)</f>
        <v>22, 22, MISDREAVUS , &lt;null&gt;, &lt;null&gt;, &lt;null&gt;</v>
      </c>
      <c r="C1524" s="2" t="s">
        <v>3202</v>
      </c>
    </row>
    <row r="1525" customFormat="false" ht="12.75" hidden="false" customHeight="true" outlineLevel="0" collapsed="false">
      <c r="A1525" s="3"/>
      <c r="B1525" s="3" t="n">
        <f aca="false">IF(ISNUMBER(SEARCH("%", A1525)),RIGHT(A1525,3),A1525)</f>
        <v>0</v>
      </c>
      <c r="C1525" s="2"/>
    </row>
    <row r="1526" customFormat="false" ht="12.75" hidden="false" customHeight="true" outlineLevel="0" collapsed="false">
      <c r="A1526" s="3" t="s">
        <v>2536</v>
      </c>
      <c r="B1526" s="3" t="str">
        <f aca="false">IF(ISNUMBER(SEARCH("%", A1526)),RIGHT(A1526,3),A1526)</f>
        <v>NEW ROUTE</v>
      </c>
      <c r="C1526" s="2" t="s">
        <v>2536</v>
      </c>
    </row>
    <row r="1527" customFormat="false" ht="12.75" hidden="false" customHeight="true" outlineLevel="0" collapsed="false">
      <c r="A1527" s="3" t="s">
        <v>3207</v>
      </c>
      <c r="B1527" s="3" t="str">
        <f aca="false">IF(ISNUMBER(SEARCH("%", A1527)),RIGHT(A1527,3),A1527)</f>
        <v>2, 17, 0,</v>
      </c>
      <c r="C1527" s="2" t="s">
        <v>3207</v>
      </c>
    </row>
    <row r="1528" customFormat="false" ht="12.75" hidden="false" customHeight="true" outlineLevel="0" collapsed="false">
      <c r="A1528" s="3" t="s">
        <v>2823</v>
      </c>
      <c r="B1528" s="3" t="str">
        <f aca="false">IF(ISNUMBER(SEARCH("%", A1528)),RIGHT(A1528,3),A1528)</f>
        <v>20%</v>
      </c>
      <c r="C1528" s="2" t="s">
        <v>2799</v>
      </c>
    </row>
    <row r="1529" customFormat="false" ht="12.75" hidden="false" customHeight="true" outlineLevel="0" collapsed="false">
      <c r="A1529" s="3" t="s">
        <v>1638</v>
      </c>
      <c r="B1529" s="3" t="str">
        <f aca="false">IF(ISNUMBER(SEARCH("%", A1529)),RIGHT(A1529,3),A1529)</f>
        <v>40, 40, GASTLY</v>
      </c>
      <c r="C1529" s="2" t="s">
        <v>1638</v>
      </c>
    </row>
    <row r="1530" customFormat="false" ht="12.75" hidden="false" customHeight="true" outlineLevel="0" collapsed="false">
      <c r="A1530" s="3" t="s">
        <v>3192</v>
      </c>
      <c r="B1530" s="3" t="str">
        <f aca="false">IF(ISNUMBER(SEARCH("%", A1530)),RIGHT(A1530,3),A1530)</f>
        <v>37, 37, ZUBAT</v>
      </c>
      <c r="C1530" s="2" t="s">
        <v>3192</v>
      </c>
    </row>
    <row r="1531" customFormat="false" ht="12.75" hidden="false" customHeight="true" outlineLevel="0" collapsed="false">
      <c r="A1531" s="3"/>
      <c r="B1531" s="3" t="n">
        <f aca="false">IF(ISNUMBER(SEARCH("%", A1531)),RIGHT(A1531,3),A1531)</f>
        <v>0</v>
      </c>
      <c r="C1531" s="2"/>
    </row>
    <row r="1532" customFormat="false" ht="12.75" hidden="false" customHeight="true" outlineLevel="0" collapsed="false">
      <c r="A1532" s="3" t="s">
        <v>2801</v>
      </c>
      <c r="B1532" s="3" t="str">
        <f aca="false">IF(ISNUMBER(SEARCH("%", A1532)),RIGHT(A1532,3),A1532)</f>
        <v>0.1</v>
      </c>
      <c r="C1532" s="2" t="s">
        <v>2801</v>
      </c>
    </row>
    <row r="1533" customFormat="false" ht="12.75" hidden="false" customHeight="true" outlineLevel="0" collapsed="false">
      <c r="A1533" s="3" t="s">
        <v>3193</v>
      </c>
      <c r="B1533" s="3" t="str">
        <f aca="false">IF(ISNUMBER(SEARCH("%", A1533)),RIGHT(A1533,3),A1533)</f>
        <v>44, 44, HAUNTER</v>
      </c>
      <c r="C1533" s="2" t="s">
        <v>3193</v>
      </c>
    </row>
    <row r="1534" customFormat="false" ht="12.75" hidden="false" customHeight="true" outlineLevel="0" collapsed="false">
      <c r="A1534" s="3" t="s">
        <v>3194</v>
      </c>
      <c r="B1534" s="3" t="str">
        <f aca="false">IF(ISNUMBER(SEARCH("%", A1534)),RIGHT(A1534,3),A1534)</f>
        <v>46, 46, HAUNTER</v>
      </c>
      <c r="C1534" s="2" t="s">
        <v>3194</v>
      </c>
    </row>
    <row r="1535" customFormat="false" ht="12.75" hidden="false" customHeight="true" outlineLevel="0" collapsed="false">
      <c r="A1535" s="3" t="s">
        <v>3195</v>
      </c>
      <c r="B1535" s="3" t="str">
        <f aca="false">IF(ISNUMBER(SEARCH("%", A1535)),RIGHT(A1535,3),A1535)</f>
        <v>41, 41, GOLBAT</v>
      </c>
      <c r="C1535" s="2" t="s">
        <v>3195</v>
      </c>
    </row>
    <row r="1536" customFormat="false" ht="12.75" hidden="false" customHeight="true" outlineLevel="0" collapsed="false">
      <c r="A1536" s="3" t="s">
        <v>3196</v>
      </c>
      <c r="B1536" s="3" t="str">
        <f aca="false">IF(ISNUMBER(SEARCH("%", A1536)),RIGHT(A1536,3),A1536)</f>
        <v>43, 43, GOLBAT</v>
      </c>
      <c r="C1536" s="2" t="s">
        <v>3196</v>
      </c>
    </row>
    <row r="1537" customFormat="false" ht="12.75" hidden="false" customHeight="true" outlineLevel="0" collapsed="false">
      <c r="A1537" s="3"/>
      <c r="B1537" s="3" t="n">
        <f aca="false">IF(ISNUMBER(SEARCH("%", A1537)),RIGHT(A1537,3),A1537)</f>
        <v>0</v>
      </c>
      <c r="C1537" s="2"/>
    </row>
    <row r="1538" customFormat="false" ht="12.75" hidden="false" customHeight="true" outlineLevel="0" collapsed="false">
      <c r="A1538" s="3" t="s">
        <v>2806</v>
      </c>
      <c r="B1538" s="3" t="str">
        <f aca="false">IF(ISNUMBER(SEARCH("%", A1538)),RIGHT(A1538,3),A1538)</f>
        <v>0.05</v>
      </c>
      <c r="C1538" s="2" t="s">
        <v>2806</v>
      </c>
    </row>
    <row r="1539" customFormat="false" ht="12.75" hidden="false" customHeight="true" outlineLevel="0" collapsed="false">
      <c r="A1539" s="3" t="s">
        <v>3197</v>
      </c>
      <c r="B1539" s="3" t="str">
        <f aca="false">IF(ISNUMBER(SEARCH("%", A1539)),RIGHT(A1539,3),A1539)</f>
        <v>38, 38, GASTLY</v>
      </c>
      <c r="C1539" s="2" t="s">
        <v>3197</v>
      </c>
    </row>
    <row r="1540" customFormat="false" ht="12.75" hidden="false" customHeight="true" outlineLevel="0" collapsed="false">
      <c r="A1540" s="3" t="s">
        <v>3198</v>
      </c>
      <c r="B1540" s="3" t="str">
        <f aca="false">IF(ISNUMBER(SEARCH("%", A1540)),RIGHT(A1540,3),A1540)</f>
        <v>48, 48, HAUNTER</v>
      </c>
      <c r="C1540" s="2" t="s">
        <v>3198</v>
      </c>
    </row>
    <row r="1541" customFormat="false" ht="12.75" hidden="false" customHeight="true" outlineLevel="0" collapsed="false">
      <c r="A1541" s="3"/>
      <c r="B1541" s="3" t="n">
        <f aca="false">IF(ISNUMBER(SEARCH("%", A1541)),RIGHT(A1541,3),A1541)</f>
        <v>0</v>
      </c>
      <c r="C1541" s="2"/>
    </row>
    <row r="1542" customFormat="false" ht="12.75" hidden="false" customHeight="true" outlineLevel="0" collapsed="false">
      <c r="A1542" s="3" t="s">
        <v>2809</v>
      </c>
      <c r="B1542" s="3" t="str">
        <f aca="false">IF(ISNUMBER(SEARCH("%", A1542)),RIGHT(A1542,3),A1542)</f>
        <v>0.04</v>
      </c>
      <c r="C1542" s="2" t="s">
        <v>2809</v>
      </c>
    </row>
    <row r="1543" customFormat="false" ht="12.75" hidden="false" customHeight="true" outlineLevel="0" collapsed="false">
      <c r="A1543" s="3" t="s">
        <v>3199</v>
      </c>
      <c r="B1543" s="3" t="str">
        <f aca="false">IF(ISNUMBER(SEARCH("%", A1543)),RIGHT(A1543,3),A1543)</f>
        <v>50, 50, HAUNTER</v>
      </c>
      <c r="C1543" s="2" t="s">
        <v>3199</v>
      </c>
    </row>
    <row r="1544" customFormat="false" ht="12.75" hidden="false" customHeight="true" outlineLevel="0" collapsed="false">
      <c r="A1544" s="3" t="s">
        <v>3200</v>
      </c>
      <c r="B1544" s="3" t="str">
        <f aca="false">IF(ISNUMBER(SEARCH("%", A1544)),RIGHT(A1544,3),A1544)</f>
        <v>22, 22, MISDREAVUS</v>
      </c>
      <c r="C1544" s="2" t="s">
        <v>3200</v>
      </c>
    </row>
    <row r="1545" customFormat="false" ht="12.75" hidden="false" customHeight="true" outlineLevel="0" collapsed="false">
      <c r="A1545" s="3"/>
      <c r="B1545" s="3" t="n">
        <f aca="false">IF(ISNUMBER(SEARCH("%", A1545)),RIGHT(A1545,3),A1545)</f>
        <v>0</v>
      </c>
      <c r="C1545" s="2"/>
    </row>
    <row r="1546" customFormat="false" ht="12.75" hidden="false" customHeight="true" outlineLevel="0" collapsed="false">
      <c r="A1546" s="3" t="s">
        <v>2812</v>
      </c>
      <c r="B1546" s="3" t="str">
        <f aca="false">IF(ISNUMBER(SEARCH("%", A1546)),RIGHT(A1546,3),A1546)</f>
        <v>0.01</v>
      </c>
      <c r="C1546" s="2" t="s">
        <v>2812</v>
      </c>
    </row>
    <row r="1547" customFormat="false" ht="12.75" hidden="false" customHeight="true" outlineLevel="0" collapsed="false">
      <c r="A1547" s="3" t="s">
        <v>3201</v>
      </c>
      <c r="B1547" s="3" t="str">
        <f aca="false">IF(ISNUMBER(SEARCH("%", A1547)),RIGHT(A1547,3),A1547)</f>
        <v>52, 52, HAUNTER</v>
      </c>
      <c r="C1547" s="2" t="s">
        <v>3201</v>
      </c>
    </row>
    <row r="1548" customFormat="false" ht="12.75" hidden="false" customHeight="true" outlineLevel="0" collapsed="false">
      <c r="A1548" s="3" t="s">
        <v>3202</v>
      </c>
      <c r="B1548" s="3" t="str">
        <f aca="false">IF(ISNUMBER(SEARCH("%", A1548)),RIGHT(A1548,3),A1548)</f>
        <v>22, 22, MISDREAVUS , &lt;null&gt;, &lt;null&gt;, &lt;null&gt;</v>
      </c>
      <c r="C1548" s="2" t="s">
        <v>3202</v>
      </c>
    </row>
    <row r="1549" customFormat="false" ht="12.75" hidden="false" customHeight="true" outlineLevel="0" collapsed="false">
      <c r="A1549" s="3"/>
      <c r="B1549" s="3" t="n">
        <f aca="false">IF(ISNUMBER(SEARCH("%", A1549)),RIGHT(A1549,3),A1549)</f>
        <v>0</v>
      </c>
      <c r="C1549" s="2"/>
    </row>
    <row r="1550" customFormat="false" ht="12.75" hidden="false" customHeight="true" outlineLevel="0" collapsed="false">
      <c r="A1550" s="3" t="s">
        <v>2536</v>
      </c>
      <c r="B1550" s="3" t="str">
        <f aca="false">IF(ISNUMBER(SEARCH("%", A1550)),RIGHT(A1550,3),A1550)</f>
        <v>NEW ROUTE</v>
      </c>
      <c r="C1550" s="2" t="s">
        <v>2536</v>
      </c>
    </row>
    <row r="1551" customFormat="false" ht="12.75" hidden="false" customHeight="true" outlineLevel="0" collapsed="false">
      <c r="A1551" s="3" t="s">
        <v>3208</v>
      </c>
      <c r="B1551" s="3" t="str">
        <f aca="false">IF(ISNUMBER(SEARCH("%", A1551)),RIGHT(A1551,3),A1551)</f>
        <v>2, 18, 0,</v>
      </c>
      <c r="C1551" s="2" t="s">
        <v>3208</v>
      </c>
    </row>
    <row r="1552" customFormat="false" ht="12.75" hidden="false" customHeight="true" outlineLevel="0" collapsed="false">
      <c r="A1552" s="3" t="s">
        <v>3051</v>
      </c>
      <c r="B1552" s="3" t="str">
        <f aca="false">IF(ISNUMBER(SEARCH("%", A1552)),RIGHT(A1552,3),A1552)</f>
        <v>20%</v>
      </c>
      <c r="C1552" s="2" t="s">
        <v>2799</v>
      </c>
    </row>
    <row r="1553" customFormat="false" ht="12.75" hidden="false" customHeight="true" outlineLevel="0" collapsed="false">
      <c r="A1553" s="3" t="s">
        <v>1638</v>
      </c>
      <c r="B1553" s="3" t="str">
        <f aca="false">IF(ISNUMBER(SEARCH("%", A1553)),RIGHT(A1553,3),A1553)</f>
        <v>40, 40, GASTLY</v>
      </c>
      <c r="C1553" s="2" t="s">
        <v>1638</v>
      </c>
    </row>
    <row r="1554" customFormat="false" ht="12.75" hidden="false" customHeight="true" outlineLevel="0" collapsed="false">
      <c r="A1554" s="3" t="s">
        <v>3192</v>
      </c>
      <c r="B1554" s="3" t="str">
        <f aca="false">IF(ISNUMBER(SEARCH("%", A1554)),RIGHT(A1554,3),A1554)</f>
        <v>37, 37, ZUBAT</v>
      </c>
      <c r="C1554" s="2" t="s">
        <v>3192</v>
      </c>
    </row>
    <row r="1555" customFormat="false" ht="12.75" hidden="false" customHeight="true" outlineLevel="0" collapsed="false">
      <c r="A1555" s="3"/>
      <c r="B1555" s="3" t="n">
        <f aca="false">IF(ISNUMBER(SEARCH("%", A1555)),RIGHT(A1555,3),A1555)</f>
        <v>0</v>
      </c>
      <c r="C1555" s="2"/>
    </row>
    <row r="1556" customFormat="false" ht="12.75" hidden="false" customHeight="true" outlineLevel="0" collapsed="false">
      <c r="A1556" s="3" t="s">
        <v>2801</v>
      </c>
      <c r="B1556" s="3" t="str">
        <f aca="false">IF(ISNUMBER(SEARCH("%", A1556)),RIGHT(A1556,3),A1556)</f>
        <v>0.1</v>
      </c>
      <c r="C1556" s="2" t="s">
        <v>2801</v>
      </c>
    </row>
    <row r="1557" customFormat="false" ht="12.75" hidden="false" customHeight="true" outlineLevel="0" collapsed="false">
      <c r="A1557" s="3" t="s">
        <v>3193</v>
      </c>
      <c r="B1557" s="3" t="str">
        <f aca="false">IF(ISNUMBER(SEARCH("%", A1557)),RIGHT(A1557,3),A1557)</f>
        <v>44, 44, HAUNTER</v>
      </c>
      <c r="C1557" s="2" t="s">
        <v>3193</v>
      </c>
    </row>
    <row r="1558" customFormat="false" ht="12.75" hidden="false" customHeight="true" outlineLevel="0" collapsed="false">
      <c r="A1558" s="3" t="s">
        <v>3194</v>
      </c>
      <c r="B1558" s="3" t="str">
        <f aca="false">IF(ISNUMBER(SEARCH("%", A1558)),RIGHT(A1558,3),A1558)</f>
        <v>46, 46, HAUNTER</v>
      </c>
      <c r="C1558" s="2" t="s">
        <v>3194</v>
      </c>
    </row>
    <row r="1559" customFormat="false" ht="12.75" hidden="false" customHeight="true" outlineLevel="0" collapsed="false">
      <c r="A1559" s="3" t="s">
        <v>3195</v>
      </c>
      <c r="B1559" s="3" t="str">
        <f aca="false">IF(ISNUMBER(SEARCH("%", A1559)),RIGHT(A1559,3),A1559)</f>
        <v>41, 41, GOLBAT</v>
      </c>
      <c r="C1559" s="2" t="s">
        <v>3195</v>
      </c>
    </row>
    <row r="1560" customFormat="false" ht="12.75" hidden="false" customHeight="true" outlineLevel="0" collapsed="false">
      <c r="A1560" s="3" t="s">
        <v>3196</v>
      </c>
      <c r="B1560" s="3" t="str">
        <f aca="false">IF(ISNUMBER(SEARCH("%", A1560)),RIGHT(A1560,3),A1560)</f>
        <v>43, 43, GOLBAT</v>
      </c>
      <c r="C1560" s="2" t="s">
        <v>3196</v>
      </c>
    </row>
    <row r="1561" customFormat="false" ht="12.75" hidden="false" customHeight="true" outlineLevel="0" collapsed="false">
      <c r="A1561" s="3"/>
      <c r="B1561" s="3" t="n">
        <f aca="false">IF(ISNUMBER(SEARCH("%", A1561)),RIGHT(A1561,3),A1561)</f>
        <v>0</v>
      </c>
      <c r="C1561" s="2"/>
    </row>
    <row r="1562" customFormat="false" ht="12.75" hidden="false" customHeight="true" outlineLevel="0" collapsed="false">
      <c r="A1562" s="3" t="s">
        <v>2806</v>
      </c>
      <c r="B1562" s="3" t="str">
        <f aca="false">IF(ISNUMBER(SEARCH("%", A1562)),RIGHT(A1562,3),A1562)</f>
        <v>0.05</v>
      </c>
      <c r="C1562" s="2" t="s">
        <v>2806</v>
      </c>
    </row>
    <row r="1563" customFormat="false" ht="12.75" hidden="false" customHeight="true" outlineLevel="0" collapsed="false">
      <c r="A1563" s="3" t="s">
        <v>3197</v>
      </c>
      <c r="B1563" s="3" t="str">
        <f aca="false">IF(ISNUMBER(SEARCH("%", A1563)),RIGHT(A1563,3),A1563)</f>
        <v>38, 38, GASTLY</v>
      </c>
      <c r="C1563" s="2" t="s">
        <v>3197</v>
      </c>
    </row>
    <row r="1564" customFormat="false" ht="12.75" hidden="false" customHeight="true" outlineLevel="0" collapsed="false">
      <c r="A1564" s="3" t="s">
        <v>3198</v>
      </c>
      <c r="B1564" s="3" t="str">
        <f aca="false">IF(ISNUMBER(SEARCH("%", A1564)),RIGHT(A1564,3),A1564)</f>
        <v>48, 48, HAUNTER</v>
      </c>
      <c r="C1564" s="2" t="s">
        <v>3198</v>
      </c>
    </row>
    <row r="1565" customFormat="false" ht="12.75" hidden="false" customHeight="true" outlineLevel="0" collapsed="false">
      <c r="A1565" s="3"/>
      <c r="B1565" s="3" t="n">
        <f aca="false">IF(ISNUMBER(SEARCH("%", A1565)),RIGHT(A1565,3),A1565)</f>
        <v>0</v>
      </c>
      <c r="C1565" s="2"/>
    </row>
    <row r="1566" customFormat="false" ht="12.75" hidden="false" customHeight="true" outlineLevel="0" collapsed="false">
      <c r="A1566" s="3" t="s">
        <v>2809</v>
      </c>
      <c r="B1566" s="3" t="str">
        <f aca="false">IF(ISNUMBER(SEARCH("%", A1566)),RIGHT(A1566,3),A1566)</f>
        <v>0.04</v>
      </c>
      <c r="C1566" s="2" t="s">
        <v>2809</v>
      </c>
    </row>
    <row r="1567" customFormat="false" ht="12.75" hidden="false" customHeight="true" outlineLevel="0" collapsed="false">
      <c r="A1567" s="3" t="s">
        <v>3199</v>
      </c>
      <c r="B1567" s="3" t="str">
        <f aca="false">IF(ISNUMBER(SEARCH("%", A1567)),RIGHT(A1567,3),A1567)</f>
        <v>50, 50, HAUNTER</v>
      </c>
      <c r="C1567" s="2" t="s">
        <v>3199</v>
      </c>
    </row>
    <row r="1568" customFormat="false" ht="12.75" hidden="false" customHeight="true" outlineLevel="0" collapsed="false">
      <c r="A1568" s="3" t="s">
        <v>3200</v>
      </c>
      <c r="B1568" s="3" t="str">
        <f aca="false">IF(ISNUMBER(SEARCH("%", A1568)),RIGHT(A1568,3),A1568)</f>
        <v>22, 22, MISDREAVUS</v>
      </c>
      <c r="C1568" s="2" t="s">
        <v>3200</v>
      </c>
    </row>
    <row r="1569" customFormat="false" ht="12.75" hidden="false" customHeight="true" outlineLevel="0" collapsed="false">
      <c r="A1569" s="3"/>
      <c r="B1569" s="3" t="n">
        <f aca="false">IF(ISNUMBER(SEARCH("%", A1569)),RIGHT(A1569,3),A1569)</f>
        <v>0</v>
      </c>
      <c r="C1569" s="2"/>
    </row>
    <row r="1570" customFormat="false" ht="12.75" hidden="false" customHeight="true" outlineLevel="0" collapsed="false">
      <c r="A1570" s="3" t="s">
        <v>2812</v>
      </c>
      <c r="B1570" s="3" t="str">
        <f aca="false">IF(ISNUMBER(SEARCH("%", A1570)),RIGHT(A1570,3),A1570)</f>
        <v>0.01</v>
      </c>
      <c r="C1570" s="2" t="s">
        <v>2812</v>
      </c>
    </row>
    <row r="1571" customFormat="false" ht="12.75" hidden="false" customHeight="true" outlineLevel="0" collapsed="false">
      <c r="A1571" s="3" t="s">
        <v>3201</v>
      </c>
      <c r="B1571" s="3" t="str">
        <f aca="false">IF(ISNUMBER(SEARCH("%", A1571)),RIGHT(A1571,3),A1571)</f>
        <v>52, 52, HAUNTER</v>
      </c>
      <c r="C1571" s="2" t="s">
        <v>3201</v>
      </c>
    </row>
    <row r="1572" customFormat="false" ht="12.75" hidden="false" customHeight="true" outlineLevel="0" collapsed="false">
      <c r="A1572" s="3" t="s">
        <v>3202</v>
      </c>
      <c r="B1572" s="3" t="str">
        <f aca="false">IF(ISNUMBER(SEARCH("%", A1572)),RIGHT(A1572,3),A1572)</f>
        <v>22, 22, MISDREAVUS , &lt;null&gt;, &lt;null&gt;, &lt;null&gt;</v>
      </c>
      <c r="C1572" s="2" t="s">
        <v>3202</v>
      </c>
    </row>
    <row r="1573" customFormat="false" ht="12.75" hidden="false" customHeight="true" outlineLevel="0" collapsed="false">
      <c r="A1573" s="3"/>
      <c r="B1573" s="3" t="n">
        <f aca="false">IF(ISNUMBER(SEARCH("%", A1573)),RIGHT(A1573,3),A1573)</f>
        <v>0</v>
      </c>
      <c r="C1573" s="2"/>
    </row>
    <row r="1574" customFormat="false" ht="12.75" hidden="false" customHeight="true" outlineLevel="0" collapsed="false">
      <c r="A1574" s="3" t="s">
        <v>2536</v>
      </c>
      <c r="B1574" s="3" t="str">
        <f aca="false">IF(ISNUMBER(SEARCH("%", A1574)),RIGHT(A1574,3),A1574)</f>
        <v>NEW ROUTE</v>
      </c>
      <c r="C1574" s="2" t="s">
        <v>2536</v>
      </c>
    </row>
    <row r="1575" customFormat="false" ht="12.75" hidden="false" customHeight="true" outlineLevel="0" collapsed="false">
      <c r="A1575" s="3" t="s">
        <v>3209</v>
      </c>
      <c r="B1575" s="3" t="str">
        <f aca="false">IF(ISNUMBER(SEARCH("%", A1575)),RIGHT(A1575,3),A1575)</f>
        <v>2, 19, 0,</v>
      </c>
      <c r="C1575" s="2" t="s">
        <v>3209</v>
      </c>
    </row>
    <row r="1576" customFormat="false" ht="12.75" hidden="false" customHeight="true" outlineLevel="0" collapsed="false">
      <c r="A1576" s="3" t="s">
        <v>2816</v>
      </c>
      <c r="B1576" s="3" t="str">
        <f aca="false">IF(ISNUMBER(SEARCH("%", A1576)),RIGHT(A1576,3),A1576)</f>
        <v>20%</v>
      </c>
      <c r="C1576" s="2" t="s">
        <v>2799</v>
      </c>
    </row>
    <row r="1577" customFormat="false" ht="12.75" hidden="false" customHeight="true" outlineLevel="0" collapsed="false">
      <c r="A1577" s="3" t="s">
        <v>1638</v>
      </c>
      <c r="B1577" s="3" t="str">
        <f aca="false">IF(ISNUMBER(SEARCH("%", A1577)),RIGHT(A1577,3),A1577)</f>
        <v>40, 40, GASTLY</v>
      </c>
      <c r="C1577" s="2" t="s">
        <v>1638</v>
      </c>
    </row>
    <row r="1578" customFormat="false" ht="12.75" hidden="false" customHeight="true" outlineLevel="0" collapsed="false">
      <c r="A1578" s="3" t="s">
        <v>3192</v>
      </c>
      <c r="B1578" s="3" t="str">
        <f aca="false">IF(ISNUMBER(SEARCH("%", A1578)),RIGHT(A1578,3),A1578)</f>
        <v>37, 37, ZUBAT</v>
      </c>
      <c r="C1578" s="2" t="s">
        <v>3192</v>
      </c>
    </row>
    <row r="1579" customFormat="false" ht="12.75" hidden="false" customHeight="true" outlineLevel="0" collapsed="false">
      <c r="A1579" s="3"/>
      <c r="B1579" s="3" t="n">
        <f aca="false">IF(ISNUMBER(SEARCH("%", A1579)),RIGHT(A1579,3),A1579)</f>
        <v>0</v>
      </c>
      <c r="C1579" s="2"/>
    </row>
    <row r="1580" customFormat="false" ht="12.75" hidden="false" customHeight="true" outlineLevel="0" collapsed="false">
      <c r="A1580" s="3" t="s">
        <v>2801</v>
      </c>
      <c r="B1580" s="3" t="str">
        <f aca="false">IF(ISNUMBER(SEARCH("%", A1580)),RIGHT(A1580,3),A1580)</f>
        <v>0.1</v>
      </c>
      <c r="C1580" s="2" t="s">
        <v>2801</v>
      </c>
    </row>
    <row r="1581" customFormat="false" ht="12.75" hidden="false" customHeight="true" outlineLevel="0" collapsed="false">
      <c r="A1581" s="3" t="s">
        <v>3193</v>
      </c>
      <c r="B1581" s="3" t="str">
        <f aca="false">IF(ISNUMBER(SEARCH("%", A1581)),RIGHT(A1581,3),A1581)</f>
        <v>44, 44, HAUNTER</v>
      </c>
      <c r="C1581" s="2" t="s">
        <v>3193</v>
      </c>
    </row>
    <row r="1582" customFormat="false" ht="12.75" hidden="false" customHeight="true" outlineLevel="0" collapsed="false">
      <c r="A1582" s="3" t="s">
        <v>3194</v>
      </c>
      <c r="B1582" s="3" t="str">
        <f aca="false">IF(ISNUMBER(SEARCH("%", A1582)),RIGHT(A1582,3),A1582)</f>
        <v>46, 46, HAUNTER</v>
      </c>
      <c r="C1582" s="2" t="s">
        <v>3194</v>
      </c>
    </row>
    <row r="1583" customFormat="false" ht="12.75" hidden="false" customHeight="true" outlineLevel="0" collapsed="false">
      <c r="A1583" s="3" t="s">
        <v>3195</v>
      </c>
      <c r="B1583" s="3" t="str">
        <f aca="false">IF(ISNUMBER(SEARCH("%", A1583)),RIGHT(A1583,3),A1583)</f>
        <v>41, 41, GOLBAT</v>
      </c>
      <c r="C1583" s="2" t="s">
        <v>3195</v>
      </c>
    </row>
    <row r="1584" customFormat="false" ht="12.75" hidden="false" customHeight="true" outlineLevel="0" collapsed="false">
      <c r="A1584" s="3" t="s">
        <v>3196</v>
      </c>
      <c r="B1584" s="3" t="str">
        <f aca="false">IF(ISNUMBER(SEARCH("%", A1584)),RIGHT(A1584,3),A1584)</f>
        <v>43, 43, GOLBAT</v>
      </c>
      <c r="C1584" s="2" t="s">
        <v>3196</v>
      </c>
    </row>
    <row r="1585" customFormat="false" ht="12.75" hidden="false" customHeight="true" outlineLevel="0" collapsed="false">
      <c r="A1585" s="3"/>
      <c r="B1585" s="3" t="n">
        <f aca="false">IF(ISNUMBER(SEARCH("%", A1585)),RIGHT(A1585,3),A1585)</f>
        <v>0</v>
      </c>
      <c r="C1585" s="2"/>
    </row>
    <row r="1586" customFormat="false" ht="12.75" hidden="false" customHeight="true" outlineLevel="0" collapsed="false">
      <c r="A1586" s="3" t="s">
        <v>2806</v>
      </c>
      <c r="B1586" s="3" t="str">
        <f aca="false">IF(ISNUMBER(SEARCH("%", A1586)),RIGHT(A1586,3),A1586)</f>
        <v>0.05</v>
      </c>
      <c r="C1586" s="2" t="s">
        <v>2806</v>
      </c>
    </row>
    <row r="1587" customFormat="false" ht="12.75" hidden="false" customHeight="true" outlineLevel="0" collapsed="false">
      <c r="A1587" s="3" t="s">
        <v>3197</v>
      </c>
      <c r="B1587" s="3" t="str">
        <f aca="false">IF(ISNUMBER(SEARCH("%", A1587)),RIGHT(A1587,3),A1587)</f>
        <v>38, 38, GASTLY</v>
      </c>
      <c r="C1587" s="2" t="s">
        <v>3197</v>
      </c>
    </row>
    <row r="1588" customFormat="false" ht="12.75" hidden="false" customHeight="true" outlineLevel="0" collapsed="false">
      <c r="A1588" s="3" t="s">
        <v>3198</v>
      </c>
      <c r="B1588" s="3" t="str">
        <f aca="false">IF(ISNUMBER(SEARCH("%", A1588)),RIGHT(A1588,3),A1588)</f>
        <v>48, 48, HAUNTER</v>
      </c>
      <c r="C1588" s="2" t="s">
        <v>3198</v>
      </c>
    </row>
    <row r="1589" customFormat="false" ht="12.75" hidden="false" customHeight="true" outlineLevel="0" collapsed="false">
      <c r="A1589" s="3"/>
      <c r="B1589" s="3" t="n">
        <f aca="false">IF(ISNUMBER(SEARCH("%", A1589)),RIGHT(A1589,3),A1589)</f>
        <v>0</v>
      </c>
      <c r="C1589" s="2"/>
    </row>
    <row r="1590" customFormat="false" ht="12.75" hidden="false" customHeight="true" outlineLevel="0" collapsed="false">
      <c r="A1590" s="3" t="s">
        <v>2809</v>
      </c>
      <c r="B1590" s="3" t="str">
        <f aca="false">IF(ISNUMBER(SEARCH("%", A1590)),RIGHT(A1590,3),A1590)</f>
        <v>0.04</v>
      </c>
      <c r="C1590" s="2" t="s">
        <v>2809</v>
      </c>
    </row>
    <row r="1591" customFormat="false" ht="12.75" hidden="false" customHeight="true" outlineLevel="0" collapsed="false">
      <c r="A1591" s="3" t="s">
        <v>3199</v>
      </c>
      <c r="B1591" s="3" t="str">
        <f aca="false">IF(ISNUMBER(SEARCH("%", A1591)),RIGHT(A1591,3),A1591)</f>
        <v>50, 50, HAUNTER</v>
      </c>
      <c r="C1591" s="2" t="s">
        <v>3199</v>
      </c>
    </row>
    <row r="1592" customFormat="false" ht="12.75" hidden="false" customHeight="true" outlineLevel="0" collapsed="false">
      <c r="A1592" s="3" t="s">
        <v>3200</v>
      </c>
      <c r="B1592" s="3" t="str">
        <f aca="false">IF(ISNUMBER(SEARCH("%", A1592)),RIGHT(A1592,3),A1592)</f>
        <v>22, 22, MISDREAVUS</v>
      </c>
      <c r="C1592" s="2" t="s">
        <v>3200</v>
      </c>
    </row>
    <row r="1593" customFormat="false" ht="12.75" hidden="false" customHeight="true" outlineLevel="0" collapsed="false">
      <c r="A1593" s="3"/>
      <c r="B1593" s="3" t="n">
        <f aca="false">IF(ISNUMBER(SEARCH("%", A1593)),RIGHT(A1593,3),A1593)</f>
        <v>0</v>
      </c>
      <c r="C1593" s="2"/>
    </row>
    <row r="1594" customFormat="false" ht="12.75" hidden="false" customHeight="true" outlineLevel="0" collapsed="false">
      <c r="A1594" s="3" t="s">
        <v>2812</v>
      </c>
      <c r="B1594" s="3" t="str">
        <f aca="false">IF(ISNUMBER(SEARCH("%", A1594)),RIGHT(A1594,3),A1594)</f>
        <v>0.01</v>
      </c>
      <c r="C1594" s="2" t="s">
        <v>2812</v>
      </c>
    </row>
    <row r="1595" customFormat="false" ht="12.75" hidden="false" customHeight="true" outlineLevel="0" collapsed="false">
      <c r="A1595" s="3" t="s">
        <v>3201</v>
      </c>
      <c r="B1595" s="3" t="str">
        <f aca="false">IF(ISNUMBER(SEARCH("%", A1595)),RIGHT(A1595,3),A1595)</f>
        <v>52, 52, HAUNTER</v>
      </c>
      <c r="C1595" s="2" t="s">
        <v>3201</v>
      </c>
    </row>
    <row r="1596" customFormat="false" ht="12.75" hidden="false" customHeight="true" outlineLevel="0" collapsed="false">
      <c r="A1596" s="3" t="s">
        <v>3202</v>
      </c>
      <c r="B1596" s="3" t="str">
        <f aca="false">IF(ISNUMBER(SEARCH("%", A1596)),RIGHT(A1596,3),A1596)</f>
        <v>22, 22, MISDREAVUS , &lt;null&gt;, &lt;null&gt;, &lt;null&gt;</v>
      </c>
      <c r="C1596" s="2" t="s">
        <v>3202</v>
      </c>
    </row>
    <row r="1597" customFormat="false" ht="12.75" hidden="false" customHeight="true" outlineLevel="0" collapsed="false">
      <c r="A1597" s="3"/>
      <c r="B1597" s="3" t="n">
        <f aca="false">IF(ISNUMBER(SEARCH("%", A1597)),RIGHT(A1597,3),A1597)</f>
        <v>0</v>
      </c>
      <c r="C1597" s="2"/>
    </row>
    <row r="1598" customFormat="false" ht="12.75" hidden="false" customHeight="true" outlineLevel="0" collapsed="false">
      <c r="A1598" s="3" t="s">
        <v>2536</v>
      </c>
      <c r="B1598" s="3" t="str">
        <f aca="false">IF(ISNUMBER(SEARCH("%", A1598)),RIGHT(A1598,3),A1598)</f>
        <v>NEW ROUTE</v>
      </c>
      <c r="C1598" s="2" t="s">
        <v>2536</v>
      </c>
    </row>
    <row r="1599" customFormat="false" ht="12.75" hidden="false" customHeight="true" outlineLevel="0" collapsed="false">
      <c r="A1599" s="3" t="s">
        <v>3210</v>
      </c>
      <c r="B1599" s="3" t="str">
        <f aca="false">IF(ISNUMBER(SEARCH("%", A1599)),RIGHT(A1599,3),A1599)</f>
        <v>2, 20, 0,</v>
      </c>
      <c r="C1599" s="2" t="s">
        <v>3210</v>
      </c>
    </row>
    <row r="1600" customFormat="false" ht="12.75" hidden="false" customHeight="true" outlineLevel="0" collapsed="false">
      <c r="A1600" s="3" t="s">
        <v>3053</v>
      </c>
      <c r="B1600" s="3" t="str">
        <f aca="false">IF(ISNUMBER(SEARCH("%", A1600)),RIGHT(A1600,3),A1600)</f>
        <v>20%</v>
      </c>
      <c r="C1600" s="2" t="s">
        <v>2799</v>
      </c>
    </row>
    <row r="1601" customFormat="false" ht="12.75" hidden="false" customHeight="true" outlineLevel="0" collapsed="false">
      <c r="A1601" s="3" t="s">
        <v>1638</v>
      </c>
      <c r="B1601" s="3" t="str">
        <f aca="false">IF(ISNUMBER(SEARCH("%", A1601)),RIGHT(A1601,3),A1601)</f>
        <v>40, 40, GASTLY</v>
      </c>
      <c r="C1601" s="2" t="s">
        <v>1638</v>
      </c>
    </row>
    <row r="1602" customFormat="false" ht="12.75" hidden="false" customHeight="true" outlineLevel="0" collapsed="false">
      <c r="A1602" s="3" t="s">
        <v>3192</v>
      </c>
      <c r="B1602" s="3" t="str">
        <f aca="false">IF(ISNUMBER(SEARCH("%", A1602)),RIGHT(A1602,3),A1602)</f>
        <v>37, 37, ZUBAT</v>
      </c>
      <c r="C1602" s="2" t="s">
        <v>3192</v>
      </c>
    </row>
    <row r="1603" customFormat="false" ht="12.75" hidden="false" customHeight="true" outlineLevel="0" collapsed="false">
      <c r="A1603" s="3"/>
      <c r="B1603" s="3" t="n">
        <f aca="false">IF(ISNUMBER(SEARCH("%", A1603)),RIGHT(A1603,3),A1603)</f>
        <v>0</v>
      </c>
      <c r="C1603" s="2"/>
    </row>
    <row r="1604" customFormat="false" ht="12.75" hidden="false" customHeight="true" outlineLevel="0" collapsed="false">
      <c r="A1604" s="3" t="s">
        <v>2801</v>
      </c>
      <c r="B1604" s="3" t="str">
        <f aca="false">IF(ISNUMBER(SEARCH("%", A1604)),RIGHT(A1604,3),A1604)</f>
        <v>0.1</v>
      </c>
      <c r="C1604" s="2" t="s">
        <v>2801</v>
      </c>
    </row>
    <row r="1605" customFormat="false" ht="12.75" hidden="false" customHeight="true" outlineLevel="0" collapsed="false">
      <c r="A1605" s="3" t="s">
        <v>3193</v>
      </c>
      <c r="B1605" s="3" t="str">
        <f aca="false">IF(ISNUMBER(SEARCH("%", A1605)),RIGHT(A1605,3),A1605)</f>
        <v>44, 44, HAUNTER</v>
      </c>
      <c r="C1605" s="2" t="s">
        <v>3193</v>
      </c>
    </row>
    <row r="1606" customFormat="false" ht="12.75" hidden="false" customHeight="true" outlineLevel="0" collapsed="false">
      <c r="A1606" s="3" t="s">
        <v>3194</v>
      </c>
      <c r="B1606" s="3" t="str">
        <f aca="false">IF(ISNUMBER(SEARCH("%", A1606)),RIGHT(A1606,3),A1606)</f>
        <v>46, 46, HAUNTER</v>
      </c>
      <c r="C1606" s="2" t="s">
        <v>3194</v>
      </c>
    </row>
    <row r="1607" customFormat="false" ht="12.75" hidden="false" customHeight="true" outlineLevel="0" collapsed="false">
      <c r="A1607" s="3" t="s">
        <v>3195</v>
      </c>
      <c r="B1607" s="3" t="str">
        <f aca="false">IF(ISNUMBER(SEARCH("%", A1607)),RIGHT(A1607,3),A1607)</f>
        <v>41, 41, GOLBAT</v>
      </c>
      <c r="C1607" s="2" t="s">
        <v>3195</v>
      </c>
    </row>
    <row r="1608" customFormat="false" ht="12.75" hidden="false" customHeight="true" outlineLevel="0" collapsed="false">
      <c r="A1608" s="3" t="s">
        <v>3196</v>
      </c>
      <c r="B1608" s="3" t="str">
        <f aca="false">IF(ISNUMBER(SEARCH("%", A1608)),RIGHT(A1608,3),A1608)</f>
        <v>43, 43, GOLBAT</v>
      </c>
      <c r="C1608" s="2" t="s">
        <v>3196</v>
      </c>
    </row>
    <row r="1609" customFormat="false" ht="12.75" hidden="false" customHeight="true" outlineLevel="0" collapsed="false">
      <c r="A1609" s="3"/>
      <c r="B1609" s="3" t="n">
        <f aca="false">IF(ISNUMBER(SEARCH("%", A1609)),RIGHT(A1609,3),A1609)</f>
        <v>0</v>
      </c>
      <c r="C1609" s="2"/>
    </row>
    <row r="1610" customFormat="false" ht="12.75" hidden="false" customHeight="true" outlineLevel="0" collapsed="false">
      <c r="A1610" s="3" t="s">
        <v>2806</v>
      </c>
      <c r="B1610" s="3" t="str">
        <f aca="false">IF(ISNUMBER(SEARCH("%", A1610)),RIGHT(A1610,3),A1610)</f>
        <v>0.05</v>
      </c>
      <c r="C1610" s="2" t="s">
        <v>2806</v>
      </c>
    </row>
    <row r="1611" customFormat="false" ht="12.75" hidden="false" customHeight="true" outlineLevel="0" collapsed="false">
      <c r="A1611" s="3" t="s">
        <v>3197</v>
      </c>
      <c r="B1611" s="3" t="str">
        <f aca="false">IF(ISNUMBER(SEARCH("%", A1611)),RIGHT(A1611,3),A1611)</f>
        <v>38, 38, GASTLY</v>
      </c>
      <c r="C1611" s="2" t="s">
        <v>3197</v>
      </c>
    </row>
    <row r="1612" customFormat="false" ht="12.75" hidden="false" customHeight="true" outlineLevel="0" collapsed="false">
      <c r="A1612" s="3" t="s">
        <v>3198</v>
      </c>
      <c r="B1612" s="3" t="str">
        <f aca="false">IF(ISNUMBER(SEARCH("%", A1612)),RIGHT(A1612,3),A1612)</f>
        <v>48, 48, HAUNTER</v>
      </c>
      <c r="C1612" s="2" t="s">
        <v>3198</v>
      </c>
    </row>
    <row r="1613" customFormat="false" ht="12.75" hidden="false" customHeight="true" outlineLevel="0" collapsed="false">
      <c r="A1613" s="3"/>
      <c r="B1613" s="3" t="n">
        <f aca="false">IF(ISNUMBER(SEARCH("%", A1613)),RIGHT(A1613,3),A1613)</f>
        <v>0</v>
      </c>
      <c r="C1613" s="2"/>
    </row>
    <row r="1614" customFormat="false" ht="12.75" hidden="false" customHeight="true" outlineLevel="0" collapsed="false">
      <c r="A1614" s="3" t="s">
        <v>2809</v>
      </c>
      <c r="B1614" s="3" t="str">
        <f aca="false">IF(ISNUMBER(SEARCH("%", A1614)),RIGHT(A1614,3),A1614)</f>
        <v>0.04</v>
      </c>
      <c r="C1614" s="2" t="s">
        <v>2809</v>
      </c>
    </row>
    <row r="1615" customFormat="false" ht="12.75" hidden="false" customHeight="true" outlineLevel="0" collapsed="false">
      <c r="A1615" s="3" t="s">
        <v>3199</v>
      </c>
      <c r="B1615" s="3" t="str">
        <f aca="false">IF(ISNUMBER(SEARCH("%", A1615)),RIGHT(A1615,3),A1615)</f>
        <v>50, 50, HAUNTER</v>
      </c>
      <c r="C1615" s="2" t="s">
        <v>3199</v>
      </c>
    </row>
    <row r="1616" customFormat="false" ht="12.75" hidden="false" customHeight="true" outlineLevel="0" collapsed="false">
      <c r="A1616" s="3" t="s">
        <v>3200</v>
      </c>
      <c r="B1616" s="3" t="str">
        <f aca="false">IF(ISNUMBER(SEARCH("%", A1616)),RIGHT(A1616,3),A1616)</f>
        <v>22, 22, MISDREAVUS</v>
      </c>
      <c r="C1616" s="2" t="s">
        <v>3200</v>
      </c>
    </row>
    <row r="1617" customFormat="false" ht="12.75" hidden="false" customHeight="true" outlineLevel="0" collapsed="false">
      <c r="A1617" s="3"/>
      <c r="B1617" s="3" t="n">
        <f aca="false">IF(ISNUMBER(SEARCH("%", A1617)),RIGHT(A1617,3),A1617)</f>
        <v>0</v>
      </c>
      <c r="C1617" s="2"/>
    </row>
    <row r="1618" customFormat="false" ht="12.75" hidden="false" customHeight="true" outlineLevel="0" collapsed="false">
      <c r="A1618" s="3" t="s">
        <v>2812</v>
      </c>
      <c r="B1618" s="3" t="str">
        <f aca="false">IF(ISNUMBER(SEARCH("%", A1618)),RIGHT(A1618,3),A1618)</f>
        <v>0.01</v>
      </c>
      <c r="C1618" s="2" t="s">
        <v>2812</v>
      </c>
    </row>
    <row r="1619" customFormat="false" ht="12.75" hidden="false" customHeight="true" outlineLevel="0" collapsed="false">
      <c r="A1619" s="3" t="s">
        <v>3201</v>
      </c>
      <c r="B1619" s="3" t="str">
        <f aca="false">IF(ISNUMBER(SEARCH("%", A1619)),RIGHT(A1619,3),A1619)</f>
        <v>52, 52, HAUNTER</v>
      </c>
      <c r="C1619" s="2" t="s">
        <v>3201</v>
      </c>
    </row>
    <row r="1620" customFormat="false" ht="12.75" hidden="false" customHeight="true" outlineLevel="0" collapsed="false">
      <c r="A1620" s="3" t="s">
        <v>3202</v>
      </c>
      <c r="B1620" s="3" t="str">
        <f aca="false">IF(ISNUMBER(SEARCH("%", A1620)),RIGHT(A1620,3),A1620)</f>
        <v>22, 22, MISDREAVUS , &lt;null&gt;, &lt;null&gt;, &lt;null&gt;</v>
      </c>
      <c r="C1620" s="2" t="s">
        <v>3202</v>
      </c>
    </row>
    <row r="1621" customFormat="false" ht="12.75" hidden="false" customHeight="true" outlineLevel="0" collapsed="false">
      <c r="A1621" s="3"/>
      <c r="B1621" s="3" t="n">
        <f aca="false">IF(ISNUMBER(SEARCH("%", A1621)),RIGHT(A1621,3),A1621)</f>
        <v>0</v>
      </c>
      <c r="C1621" s="2"/>
    </row>
    <row r="1622" customFormat="false" ht="12.75" hidden="false" customHeight="true" outlineLevel="0" collapsed="false">
      <c r="A1622" s="3" t="s">
        <v>2536</v>
      </c>
      <c r="B1622" s="3" t="str">
        <f aca="false">IF(ISNUMBER(SEARCH("%", A1622)),RIGHT(A1622,3),A1622)</f>
        <v>NEW ROUTE</v>
      </c>
      <c r="C1622" s="2" t="s">
        <v>2536</v>
      </c>
    </row>
    <row r="1623" customFormat="false" ht="12.75" hidden="false" customHeight="true" outlineLevel="0" collapsed="false">
      <c r="A1623" s="3" t="s">
        <v>3211</v>
      </c>
      <c r="B1623" s="3" t="str">
        <f aca="false">IF(ISNUMBER(SEARCH("%", A1623)),RIGHT(A1623,3),A1623)</f>
        <v>2, 21, 0,</v>
      </c>
      <c r="C1623" s="2" t="s">
        <v>3211</v>
      </c>
    </row>
    <row r="1624" customFormat="false" ht="12.75" hidden="false" customHeight="true" outlineLevel="0" collapsed="false">
      <c r="A1624" s="3" t="s">
        <v>3212</v>
      </c>
      <c r="B1624" s="3" t="str">
        <f aca="false">IF(ISNUMBER(SEARCH("%", A1624)),RIGHT(A1624,3),A1624)</f>
        <v>20%</v>
      </c>
      <c r="C1624" s="2" t="s">
        <v>2799</v>
      </c>
    </row>
    <row r="1625" customFormat="false" ht="12.75" hidden="false" customHeight="true" outlineLevel="0" collapsed="false">
      <c r="A1625" s="3" t="s">
        <v>1638</v>
      </c>
      <c r="B1625" s="3" t="str">
        <f aca="false">IF(ISNUMBER(SEARCH("%", A1625)),RIGHT(A1625,3),A1625)</f>
        <v>40, 40, GASTLY</v>
      </c>
      <c r="C1625" s="2" t="s">
        <v>1638</v>
      </c>
    </row>
    <row r="1626" customFormat="false" ht="12.75" hidden="false" customHeight="true" outlineLevel="0" collapsed="false">
      <c r="A1626" s="3" t="s">
        <v>3192</v>
      </c>
      <c r="B1626" s="3" t="str">
        <f aca="false">IF(ISNUMBER(SEARCH("%", A1626)),RIGHT(A1626,3),A1626)</f>
        <v>37, 37, ZUBAT</v>
      </c>
      <c r="C1626" s="2" t="s">
        <v>3192</v>
      </c>
    </row>
    <row r="1627" customFormat="false" ht="12.75" hidden="false" customHeight="true" outlineLevel="0" collapsed="false">
      <c r="A1627" s="3"/>
      <c r="B1627" s="3" t="n">
        <f aca="false">IF(ISNUMBER(SEARCH("%", A1627)),RIGHT(A1627,3),A1627)</f>
        <v>0</v>
      </c>
      <c r="C1627" s="2"/>
    </row>
    <row r="1628" customFormat="false" ht="12.75" hidden="false" customHeight="true" outlineLevel="0" collapsed="false">
      <c r="A1628" s="3" t="s">
        <v>2801</v>
      </c>
      <c r="B1628" s="3" t="str">
        <f aca="false">IF(ISNUMBER(SEARCH("%", A1628)),RIGHT(A1628,3),A1628)</f>
        <v>0.1</v>
      </c>
      <c r="C1628" s="2" t="s">
        <v>2801</v>
      </c>
    </row>
    <row r="1629" customFormat="false" ht="12.75" hidden="false" customHeight="true" outlineLevel="0" collapsed="false">
      <c r="A1629" s="3" t="s">
        <v>3193</v>
      </c>
      <c r="B1629" s="3" t="str">
        <f aca="false">IF(ISNUMBER(SEARCH("%", A1629)),RIGHT(A1629,3),A1629)</f>
        <v>44, 44, HAUNTER</v>
      </c>
      <c r="C1629" s="2" t="s">
        <v>3193</v>
      </c>
    </row>
    <row r="1630" customFormat="false" ht="12.75" hidden="false" customHeight="true" outlineLevel="0" collapsed="false">
      <c r="A1630" s="3" t="s">
        <v>3194</v>
      </c>
      <c r="B1630" s="3" t="str">
        <f aca="false">IF(ISNUMBER(SEARCH("%", A1630)),RIGHT(A1630,3),A1630)</f>
        <v>46, 46, HAUNTER</v>
      </c>
      <c r="C1630" s="2" t="s">
        <v>3194</v>
      </c>
    </row>
    <row r="1631" customFormat="false" ht="12.75" hidden="false" customHeight="true" outlineLevel="0" collapsed="false">
      <c r="A1631" s="3" t="s">
        <v>3195</v>
      </c>
      <c r="B1631" s="3" t="str">
        <f aca="false">IF(ISNUMBER(SEARCH("%", A1631)),RIGHT(A1631,3),A1631)</f>
        <v>41, 41, GOLBAT</v>
      </c>
      <c r="C1631" s="2" t="s">
        <v>3195</v>
      </c>
    </row>
    <row r="1632" customFormat="false" ht="12.75" hidden="false" customHeight="true" outlineLevel="0" collapsed="false">
      <c r="A1632" s="3" t="s">
        <v>3196</v>
      </c>
      <c r="B1632" s="3" t="str">
        <f aca="false">IF(ISNUMBER(SEARCH("%", A1632)),RIGHT(A1632,3),A1632)</f>
        <v>43, 43, GOLBAT</v>
      </c>
      <c r="C1632" s="2" t="s">
        <v>3196</v>
      </c>
    </row>
    <row r="1633" customFormat="false" ht="12.75" hidden="false" customHeight="true" outlineLevel="0" collapsed="false">
      <c r="A1633" s="3"/>
      <c r="B1633" s="3" t="n">
        <f aca="false">IF(ISNUMBER(SEARCH("%", A1633)),RIGHT(A1633,3),A1633)</f>
        <v>0</v>
      </c>
      <c r="C1633" s="2"/>
    </row>
    <row r="1634" customFormat="false" ht="12.75" hidden="false" customHeight="true" outlineLevel="0" collapsed="false">
      <c r="A1634" s="3" t="s">
        <v>2806</v>
      </c>
      <c r="B1634" s="3" t="str">
        <f aca="false">IF(ISNUMBER(SEARCH("%", A1634)),RIGHT(A1634,3),A1634)</f>
        <v>0.05</v>
      </c>
      <c r="C1634" s="2" t="s">
        <v>2806</v>
      </c>
    </row>
    <row r="1635" customFormat="false" ht="12.75" hidden="false" customHeight="true" outlineLevel="0" collapsed="false">
      <c r="A1635" s="3" t="s">
        <v>3197</v>
      </c>
      <c r="B1635" s="3" t="str">
        <f aca="false">IF(ISNUMBER(SEARCH("%", A1635)),RIGHT(A1635,3),A1635)</f>
        <v>38, 38, GASTLY</v>
      </c>
      <c r="C1635" s="2" t="s">
        <v>3197</v>
      </c>
    </row>
    <row r="1636" customFormat="false" ht="12.75" hidden="false" customHeight="true" outlineLevel="0" collapsed="false">
      <c r="A1636" s="3" t="s">
        <v>3198</v>
      </c>
      <c r="B1636" s="3" t="str">
        <f aca="false">IF(ISNUMBER(SEARCH("%", A1636)),RIGHT(A1636,3),A1636)</f>
        <v>48, 48, HAUNTER</v>
      </c>
      <c r="C1636" s="2" t="s">
        <v>3198</v>
      </c>
    </row>
    <row r="1637" customFormat="false" ht="12.75" hidden="false" customHeight="true" outlineLevel="0" collapsed="false">
      <c r="A1637" s="3"/>
      <c r="B1637" s="3" t="n">
        <f aca="false">IF(ISNUMBER(SEARCH("%", A1637)),RIGHT(A1637,3),A1637)</f>
        <v>0</v>
      </c>
      <c r="C1637" s="2"/>
    </row>
    <row r="1638" customFormat="false" ht="12.75" hidden="false" customHeight="true" outlineLevel="0" collapsed="false">
      <c r="A1638" s="3" t="s">
        <v>2809</v>
      </c>
      <c r="B1638" s="3" t="str">
        <f aca="false">IF(ISNUMBER(SEARCH("%", A1638)),RIGHT(A1638,3),A1638)</f>
        <v>0.04</v>
      </c>
      <c r="C1638" s="2" t="s">
        <v>2809</v>
      </c>
    </row>
    <row r="1639" customFormat="false" ht="12.75" hidden="false" customHeight="true" outlineLevel="0" collapsed="false">
      <c r="A1639" s="3" t="s">
        <v>3199</v>
      </c>
      <c r="B1639" s="3" t="str">
        <f aca="false">IF(ISNUMBER(SEARCH("%", A1639)),RIGHT(A1639,3),A1639)</f>
        <v>50, 50, HAUNTER</v>
      </c>
      <c r="C1639" s="2" t="s">
        <v>3199</v>
      </c>
    </row>
    <row r="1640" customFormat="false" ht="12.75" hidden="false" customHeight="true" outlineLevel="0" collapsed="false">
      <c r="A1640" s="3" t="s">
        <v>3200</v>
      </c>
      <c r="B1640" s="3" t="str">
        <f aca="false">IF(ISNUMBER(SEARCH("%", A1640)),RIGHT(A1640,3),A1640)</f>
        <v>22, 22, MISDREAVUS</v>
      </c>
      <c r="C1640" s="2" t="s">
        <v>3200</v>
      </c>
    </row>
    <row r="1641" customFormat="false" ht="12.75" hidden="false" customHeight="true" outlineLevel="0" collapsed="false">
      <c r="A1641" s="3"/>
      <c r="B1641" s="3" t="n">
        <f aca="false">IF(ISNUMBER(SEARCH("%", A1641)),RIGHT(A1641,3),A1641)</f>
        <v>0</v>
      </c>
      <c r="C1641" s="2"/>
    </row>
    <row r="1642" customFormat="false" ht="12.75" hidden="false" customHeight="true" outlineLevel="0" collapsed="false">
      <c r="A1642" s="3" t="s">
        <v>2812</v>
      </c>
      <c r="B1642" s="3" t="str">
        <f aca="false">IF(ISNUMBER(SEARCH("%", A1642)),RIGHT(A1642,3),A1642)</f>
        <v>0.01</v>
      </c>
      <c r="C1642" s="2" t="s">
        <v>2812</v>
      </c>
    </row>
    <row r="1643" customFormat="false" ht="12.75" hidden="false" customHeight="true" outlineLevel="0" collapsed="false">
      <c r="A1643" s="3" t="s">
        <v>3201</v>
      </c>
      <c r="B1643" s="3" t="str">
        <f aca="false">IF(ISNUMBER(SEARCH("%", A1643)),RIGHT(A1643,3),A1643)</f>
        <v>52, 52, HAUNTER</v>
      </c>
      <c r="C1643" s="2" t="s">
        <v>3201</v>
      </c>
    </row>
    <row r="1644" customFormat="false" ht="12.75" hidden="false" customHeight="true" outlineLevel="0" collapsed="false">
      <c r="A1644" s="3" t="s">
        <v>3202</v>
      </c>
      <c r="B1644" s="3" t="str">
        <f aca="false">IF(ISNUMBER(SEARCH("%", A1644)),RIGHT(A1644,3),A1644)</f>
        <v>22, 22, MISDREAVUS , &lt;null&gt;, &lt;null&gt;, &lt;null&gt;</v>
      </c>
      <c r="C1644" s="2" t="s">
        <v>3202</v>
      </c>
    </row>
    <row r="1645" customFormat="false" ht="12.75" hidden="false" customHeight="true" outlineLevel="0" collapsed="false">
      <c r="A1645" s="3"/>
      <c r="B1645" s="3" t="n">
        <f aca="false">IF(ISNUMBER(SEARCH("%", A1645)),RIGHT(A1645,3),A1645)</f>
        <v>0</v>
      </c>
      <c r="C1645" s="2"/>
    </row>
    <row r="1646" customFormat="false" ht="12.75" hidden="false" customHeight="true" outlineLevel="0" collapsed="false">
      <c r="A1646" s="3" t="s">
        <v>2536</v>
      </c>
      <c r="B1646" s="3" t="str">
        <f aca="false">IF(ISNUMBER(SEARCH("%", A1646)),RIGHT(A1646,3),A1646)</f>
        <v>NEW ROUTE</v>
      </c>
      <c r="C1646" s="2" t="s">
        <v>2536</v>
      </c>
    </row>
    <row r="1647" customFormat="false" ht="12.75" hidden="false" customHeight="true" outlineLevel="0" collapsed="false">
      <c r="A1647" s="3" t="s">
        <v>3213</v>
      </c>
      <c r="B1647" s="3" t="str">
        <f aca="false">IF(ISNUMBER(SEARCH("%", A1647)),RIGHT(A1647,3),A1647)</f>
        <v>2, 22, 0,</v>
      </c>
      <c r="C1647" s="2" t="s">
        <v>3213</v>
      </c>
    </row>
    <row r="1648" customFormat="false" ht="12.75" hidden="false" customHeight="true" outlineLevel="0" collapsed="false">
      <c r="A1648" s="3" t="s">
        <v>3055</v>
      </c>
      <c r="B1648" s="3" t="str">
        <f aca="false">IF(ISNUMBER(SEARCH("%", A1648)),RIGHT(A1648,3),A1648)</f>
        <v>20%</v>
      </c>
      <c r="C1648" s="2" t="s">
        <v>2799</v>
      </c>
    </row>
    <row r="1649" customFormat="false" ht="12.75" hidden="false" customHeight="true" outlineLevel="0" collapsed="false">
      <c r="A1649" s="3" t="s">
        <v>1638</v>
      </c>
      <c r="B1649" s="3" t="str">
        <f aca="false">IF(ISNUMBER(SEARCH("%", A1649)),RIGHT(A1649,3),A1649)</f>
        <v>40, 40, GASTLY</v>
      </c>
      <c r="C1649" s="2" t="s">
        <v>1638</v>
      </c>
    </row>
    <row r="1650" customFormat="false" ht="12.75" hidden="false" customHeight="true" outlineLevel="0" collapsed="false">
      <c r="A1650" s="3" t="s">
        <v>3192</v>
      </c>
      <c r="B1650" s="3" t="str">
        <f aca="false">IF(ISNUMBER(SEARCH("%", A1650)),RIGHT(A1650,3),A1650)</f>
        <v>37, 37, ZUBAT</v>
      </c>
      <c r="C1650" s="2" t="s">
        <v>3192</v>
      </c>
    </row>
    <row r="1651" customFormat="false" ht="12.75" hidden="false" customHeight="true" outlineLevel="0" collapsed="false">
      <c r="A1651" s="3"/>
      <c r="B1651" s="3" t="n">
        <f aca="false">IF(ISNUMBER(SEARCH("%", A1651)),RIGHT(A1651,3),A1651)</f>
        <v>0</v>
      </c>
      <c r="C1651" s="2"/>
    </row>
    <row r="1652" customFormat="false" ht="12.75" hidden="false" customHeight="true" outlineLevel="0" collapsed="false">
      <c r="A1652" s="3" t="s">
        <v>2801</v>
      </c>
      <c r="B1652" s="3" t="str">
        <f aca="false">IF(ISNUMBER(SEARCH("%", A1652)),RIGHT(A1652,3),A1652)</f>
        <v>0.1</v>
      </c>
      <c r="C1652" s="2" t="s">
        <v>2801</v>
      </c>
    </row>
    <row r="1653" customFormat="false" ht="12.75" hidden="false" customHeight="true" outlineLevel="0" collapsed="false">
      <c r="A1653" s="3" t="s">
        <v>3193</v>
      </c>
      <c r="B1653" s="3" t="str">
        <f aca="false">IF(ISNUMBER(SEARCH("%", A1653)),RIGHT(A1653,3),A1653)</f>
        <v>44, 44, HAUNTER</v>
      </c>
      <c r="C1653" s="2" t="s">
        <v>3193</v>
      </c>
    </row>
    <row r="1654" customFormat="false" ht="12.75" hidden="false" customHeight="true" outlineLevel="0" collapsed="false">
      <c r="A1654" s="3" t="s">
        <v>3194</v>
      </c>
      <c r="B1654" s="3" t="str">
        <f aca="false">IF(ISNUMBER(SEARCH("%", A1654)),RIGHT(A1654,3),A1654)</f>
        <v>46, 46, HAUNTER</v>
      </c>
      <c r="C1654" s="2" t="s">
        <v>3194</v>
      </c>
    </row>
    <row r="1655" customFormat="false" ht="12.75" hidden="false" customHeight="true" outlineLevel="0" collapsed="false">
      <c r="A1655" s="3" t="s">
        <v>3195</v>
      </c>
      <c r="B1655" s="3" t="str">
        <f aca="false">IF(ISNUMBER(SEARCH("%", A1655)),RIGHT(A1655,3),A1655)</f>
        <v>41, 41, GOLBAT</v>
      </c>
      <c r="C1655" s="2" t="s">
        <v>3195</v>
      </c>
    </row>
    <row r="1656" customFormat="false" ht="12.75" hidden="false" customHeight="true" outlineLevel="0" collapsed="false">
      <c r="A1656" s="3" t="s">
        <v>3196</v>
      </c>
      <c r="B1656" s="3" t="str">
        <f aca="false">IF(ISNUMBER(SEARCH("%", A1656)),RIGHT(A1656,3),A1656)</f>
        <v>43, 43, GOLBAT</v>
      </c>
      <c r="C1656" s="2" t="s">
        <v>3196</v>
      </c>
    </row>
    <row r="1657" customFormat="false" ht="12.75" hidden="false" customHeight="true" outlineLevel="0" collapsed="false">
      <c r="A1657" s="3"/>
      <c r="B1657" s="3" t="n">
        <f aca="false">IF(ISNUMBER(SEARCH("%", A1657)),RIGHT(A1657,3),A1657)</f>
        <v>0</v>
      </c>
      <c r="C1657" s="2"/>
    </row>
    <row r="1658" customFormat="false" ht="12.75" hidden="false" customHeight="true" outlineLevel="0" collapsed="false">
      <c r="A1658" s="3" t="s">
        <v>2806</v>
      </c>
      <c r="B1658" s="3" t="str">
        <f aca="false">IF(ISNUMBER(SEARCH("%", A1658)),RIGHT(A1658,3),A1658)</f>
        <v>0.05</v>
      </c>
      <c r="C1658" s="2" t="s">
        <v>2806</v>
      </c>
    </row>
    <row r="1659" customFormat="false" ht="12.75" hidden="false" customHeight="true" outlineLevel="0" collapsed="false">
      <c r="A1659" s="3" t="s">
        <v>3197</v>
      </c>
      <c r="B1659" s="3" t="str">
        <f aca="false">IF(ISNUMBER(SEARCH("%", A1659)),RIGHT(A1659,3),A1659)</f>
        <v>38, 38, GASTLY</v>
      </c>
      <c r="C1659" s="2" t="s">
        <v>3197</v>
      </c>
    </row>
    <row r="1660" customFormat="false" ht="12.75" hidden="false" customHeight="true" outlineLevel="0" collapsed="false">
      <c r="A1660" s="3" t="s">
        <v>3198</v>
      </c>
      <c r="B1660" s="3" t="str">
        <f aca="false">IF(ISNUMBER(SEARCH("%", A1660)),RIGHT(A1660,3),A1660)</f>
        <v>48, 48, HAUNTER</v>
      </c>
      <c r="C1660" s="2" t="s">
        <v>3198</v>
      </c>
    </row>
    <row r="1661" customFormat="false" ht="12.75" hidden="false" customHeight="true" outlineLevel="0" collapsed="false">
      <c r="A1661" s="3"/>
      <c r="B1661" s="3" t="n">
        <f aca="false">IF(ISNUMBER(SEARCH("%", A1661)),RIGHT(A1661,3),A1661)</f>
        <v>0</v>
      </c>
      <c r="C1661" s="2"/>
    </row>
    <row r="1662" customFormat="false" ht="12.75" hidden="false" customHeight="true" outlineLevel="0" collapsed="false">
      <c r="A1662" s="3" t="s">
        <v>2809</v>
      </c>
      <c r="B1662" s="3" t="str">
        <f aca="false">IF(ISNUMBER(SEARCH("%", A1662)),RIGHT(A1662,3),A1662)</f>
        <v>0.04</v>
      </c>
      <c r="C1662" s="2" t="s">
        <v>2809</v>
      </c>
    </row>
    <row r="1663" customFormat="false" ht="12.75" hidden="false" customHeight="true" outlineLevel="0" collapsed="false">
      <c r="A1663" s="3" t="s">
        <v>3199</v>
      </c>
      <c r="B1663" s="3" t="str">
        <f aca="false">IF(ISNUMBER(SEARCH("%", A1663)),RIGHT(A1663,3),A1663)</f>
        <v>50, 50, HAUNTER</v>
      </c>
      <c r="C1663" s="2" t="s">
        <v>3199</v>
      </c>
    </row>
    <row r="1664" customFormat="false" ht="12.75" hidden="false" customHeight="true" outlineLevel="0" collapsed="false">
      <c r="A1664" s="3" t="s">
        <v>3200</v>
      </c>
      <c r="B1664" s="3" t="str">
        <f aca="false">IF(ISNUMBER(SEARCH("%", A1664)),RIGHT(A1664,3),A1664)</f>
        <v>22, 22, MISDREAVUS</v>
      </c>
      <c r="C1664" s="2" t="s">
        <v>3200</v>
      </c>
    </row>
    <row r="1665" customFormat="false" ht="12.75" hidden="false" customHeight="true" outlineLevel="0" collapsed="false">
      <c r="A1665" s="3"/>
      <c r="B1665" s="3" t="n">
        <f aca="false">IF(ISNUMBER(SEARCH("%", A1665)),RIGHT(A1665,3),A1665)</f>
        <v>0</v>
      </c>
      <c r="C1665" s="2"/>
    </row>
    <row r="1666" customFormat="false" ht="12.75" hidden="false" customHeight="true" outlineLevel="0" collapsed="false">
      <c r="A1666" s="3" t="s">
        <v>2812</v>
      </c>
      <c r="B1666" s="3" t="str">
        <f aca="false">IF(ISNUMBER(SEARCH("%", A1666)),RIGHT(A1666,3),A1666)</f>
        <v>0.01</v>
      </c>
      <c r="C1666" s="2" t="s">
        <v>2812</v>
      </c>
    </row>
    <row r="1667" customFormat="false" ht="12.75" hidden="false" customHeight="true" outlineLevel="0" collapsed="false">
      <c r="A1667" s="3" t="s">
        <v>3201</v>
      </c>
      <c r="B1667" s="3" t="str">
        <f aca="false">IF(ISNUMBER(SEARCH("%", A1667)),RIGHT(A1667,3),A1667)</f>
        <v>52, 52, HAUNTER</v>
      </c>
      <c r="C1667" s="2" t="s">
        <v>3201</v>
      </c>
    </row>
    <row r="1668" customFormat="false" ht="12.75" hidden="false" customHeight="true" outlineLevel="0" collapsed="false">
      <c r="A1668" s="3" t="s">
        <v>3202</v>
      </c>
      <c r="B1668" s="3" t="str">
        <f aca="false">IF(ISNUMBER(SEARCH("%", A1668)),RIGHT(A1668,3),A1668)</f>
        <v>22, 22, MISDREAVUS , &lt;null&gt;, &lt;null&gt;, &lt;null&gt;</v>
      </c>
      <c r="C1668" s="2" t="s">
        <v>3202</v>
      </c>
    </row>
    <row r="1669" customFormat="false" ht="12.75" hidden="false" customHeight="true" outlineLevel="0" collapsed="false">
      <c r="A1669" s="3"/>
      <c r="B1669" s="3" t="n">
        <f aca="false">IF(ISNUMBER(SEARCH("%", A1669)),RIGHT(A1669,3),A1669)</f>
        <v>0</v>
      </c>
      <c r="C1669" s="2"/>
    </row>
    <row r="1670" customFormat="false" ht="12.75" hidden="false" customHeight="true" outlineLevel="0" collapsed="false">
      <c r="A1670" s="3" t="s">
        <v>2536</v>
      </c>
      <c r="B1670" s="3" t="str">
        <f aca="false">IF(ISNUMBER(SEARCH("%", A1670)),RIGHT(A1670,3),A1670)</f>
        <v>NEW ROUTE</v>
      </c>
      <c r="C1670" s="2" t="s">
        <v>2536</v>
      </c>
    </row>
    <row r="1671" customFormat="false" ht="12.75" hidden="false" customHeight="true" outlineLevel="0" collapsed="false">
      <c r="A1671" s="3" t="s">
        <v>3214</v>
      </c>
      <c r="B1671" s="3" t="str">
        <f aca="false">IF(ISNUMBER(SEARCH("%", A1671)),RIGHT(A1671,3),A1671)</f>
        <v>2, 23, 0,</v>
      </c>
      <c r="C1671" s="2" t="s">
        <v>3214</v>
      </c>
    </row>
    <row r="1672" customFormat="false" ht="12.75" hidden="false" customHeight="true" outlineLevel="0" collapsed="false">
      <c r="A1672" s="3" t="s">
        <v>2823</v>
      </c>
      <c r="B1672" s="3" t="str">
        <f aca="false">IF(ISNUMBER(SEARCH("%", A1672)),RIGHT(A1672,3),A1672)</f>
        <v>20%</v>
      </c>
      <c r="C1672" s="2" t="s">
        <v>2799</v>
      </c>
    </row>
    <row r="1673" customFormat="false" ht="12.75" hidden="false" customHeight="true" outlineLevel="0" collapsed="false">
      <c r="A1673" s="3" t="s">
        <v>1638</v>
      </c>
      <c r="B1673" s="3" t="str">
        <f aca="false">IF(ISNUMBER(SEARCH("%", A1673)),RIGHT(A1673,3),A1673)</f>
        <v>40, 40, GASTLY</v>
      </c>
      <c r="C1673" s="2" t="s">
        <v>1638</v>
      </c>
    </row>
    <row r="1674" customFormat="false" ht="12.75" hidden="false" customHeight="true" outlineLevel="0" collapsed="false">
      <c r="A1674" s="3" t="s">
        <v>3192</v>
      </c>
      <c r="B1674" s="3" t="str">
        <f aca="false">IF(ISNUMBER(SEARCH("%", A1674)),RIGHT(A1674,3),A1674)</f>
        <v>37, 37, ZUBAT</v>
      </c>
      <c r="C1674" s="2" t="s">
        <v>3192</v>
      </c>
    </row>
    <row r="1675" customFormat="false" ht="12.75" hidden="false" customHeight="true" outlineLevel="0" collapsed="false">
      <c r="A1675" s="3"/>
      <c r="B1675" s="3" t="n">
        <f aca="false">IF(ISNUMBER(SEARCH("%", A1675)),RIGHT(A1675,3),A1675)</f>
        <v>0</v>
      </c>
      <c r="C1675" s="2"/>
    </row>
    <row r="1676" customFormat="false" ht="12.75" hidden="false" customHeight="true" outlineLevel="0" collapsed="false">
      <c r="A1676" s="3" t="s">
        <v>2801</v>
      </c>
      <c r="B1676" s="3" t="str">
        <f aca="false">IF(ISNUMBER(SEARCH("%", A1676)),RIGHT(A1676,3),A1676)</f>
        <v>0.1</v>
      </c>
      <c r="C1676" s="2" t="s">
        <v>2801</v>
      </c>
    </row>
    <row r="1677" customFormat="false" ht="12.75" hidden="false" customHeight="true" outlineLevel="0" collapsed="false">
      <c r="A1677" s="3" t="s">
        <v>3193</v>
      </c>
      <c r="B1677" s="3" t="str">
        <f aca="false">IF(ISNUMBER(SEARCH("%", A1677)),RIGHT(A1677,3),A1677)</f>
        <v>44, 44, HAUNTER</v>
      </c>
      <c r="C1677" s="2" t="s">
        <v>3193</v>
      </c>
    </row>
    <row r="1678" customFormat="false" ht="12.75" hidden="false" customHeight="true" outlineLevel="0" collapsed="false">
      <c r="A1678" s="3" t="s">
        <v>3194</v>
      </c>
      <c r="B1678" s="3" t="str">
        <f aca="false">IF(ISNUMBER(SEARCH("%", A1678)),RIGHT(A1678,3),A1678)</f>
        <v>46, 46, HAUNTER</v>
      </c>
      <c r="C1678" s="2" t="s">
        <v>3194</v>
      </c>
    </row>
    <row r="1679" customFormat="false" ht="12.75" hidden="false" customHeight="true" outlineLevel="0" collapsed="false">
      <c r="A1679" s="3" t="s">
        <v>3195</v>
      </c>
      <c r="B1679" s="3" t="str">
        <f aca="false">IF(ISNUMBER(SEARCH("%", A1679)),RIGHT(A1679,3),A1679)</f>
        <v>41, 41, GOLBAT</v>
      </c>
      <c r="C1679" s="2" t="s">
        <v>3195</v>
      </c>
    </row>
    <row r="1680" customFormat="false" ht="12.75" hidden="false" customHeight="true" outlineLevel="0" collapsed="false">
      <c r="A1680" s="3" t="s">
        <v>3215</v>
      </c>
      <c r="B1680" s="3" t="str">
        <f aca="false">IF(ISNUMBER(SEARCH("%", A1680)),RIGHT(A1680,3),A1680)</f>
        <v>15, 15, MISDREAVUS</v>
      </c>
      <c r="C1680" s="2" t="s">
        <v>3215</v>
      </c>
    </row>
    <row r="1681" customFormat="false" ht="12.75" hidden="false" customHeight="true" outlineLevel="0" collapsed="false">
      <c r="A1681" s="3"/>
      <c r="B1681" s="3" t="n">
        <f aca="false">IF(ISNUMBER(SEARCH("%", A1681)),RIGHT(A1681,3),A1681)</f>
        <v>0</v>
      </c>
      <c r="C1681" s="2"/>
    </row>
    <row r="1682" customFormat="false" ht="12.75" hidden="false" customHeight="true" outlineLevel="0" collapsed="false">
      <c r="A1682" s="3" t="s">
        <v>2806</v>
      </c>
      <c r="B1682" s="3" t="str">
        <f aca="false">IF(ISNUMBER(SEARCH("%", A1682)),RIGHT(A1682,3),A1682)</f>
        <v>0.05</v>
      </c>
      <c r="C1682" s="2" t="s">
        <v>2806</v>
      </c>
    </row>
    <row r="1683" customFormat="false" ht="12.75" hidden="false" customHeight="true" outlineLevel="0" collapsed="false">
      <c r="A1683" s="3" t="s">
        <v>3216</v>
      </c>
      <c r="B1683" s="3" t="str">
        <f aca="false">IF(ISNUMBER(SEARCH("%", A1683)),RIGHT(A1683,3),A1683)</f>
        <v>20, 20, MISDREAVUS</v>
      </c>
      <c r="C1683" s="2" t="s">
        <v>3216</v>
      </c>
    </row>
    <row r="1684" customFormat="false" ht="12.75" hidden="false" customHeight="true" outlineLevel="0" collapsed="false">
      <c r="A1684" s="3" t="s">
        <v>3198</v>
      </c>
      <c r="B1684" s="3" t="str">
        <f aca="false">IF(ISNUMBER(SEARCH("%", A1684)),RIGHT(A1684,3),A1684)</f>
        <v>48, 48, HAUNTER</v>
      </c>
      <c r="C1684" s="2" t="s">
        <v>3198</v>
      </c>
    </row>
    <row r="1685" customFormat="false" ht="12.75" hidden="false" customHeight="true" outlineLevel="0" collapsed="false">
      <c r="A1685" s="3"/>
      <c r="B1685" s="3" t="n">
        <f aca="false">IF(ISNUMBER(SEARCH("%", A1685)),RIGHT(A1685,3),A1685)</f>
        <v>0</v>
      </c>
      <c r="C1685" s="2"/>
    </row>
    <row r="1686" customFormat="false" ht="12.75" hidden="false" customHeight="true" outlineLevel="0" collapsed="false">
      <c r="A1686" s="3" t="s">
        <v>2809</v>
      </c>
      <c r="B1686" s="3" t="str">
        <f aca="false">IF(ISNUMBER(SEARCH("%", A1686)),RIGHT(A1686,3),A1686)</f>
        <v>0.04</v>
      </c>
      <c r="C1686" s="2" t="s">
        <v>2809</v>
      </c>
    </row>
    <row r="1687" customFormat="false" ht="12.75" hidden="false" customHeight="true" outlineLevel="0" collapsed="false">
      <c r="A1687" s="3" t="s">
        <v>3199</v>
      </c>
      <c r="B1687" s="3" t="str">
        <f aca="false">IF(ISNUMBER(SEARCH("%", A1687)),RIGHT(A1687,3),A1687)</f>
        <v>50, 50, HAUNTER</v>
      </c>
      <c r="C1687" s="2" t="s">
        <v>3199</v>
      </c>
    </row>
    <row r="1688" customFormat="false" ht="12.75" hidden="false" customHeight="true" outlineLevel="0" collapsed="false">
      <c r="A1688" s="3" t="s">
        <v>3200</v>
      </c>
      <c r="B1688" s="3" t="str">
        <f aca="false">IF(ISNUMBER(SEARCH("%", A1688)),RIGHT(A1688,3),A1688)</f>
        <v>22, 22, MISDREAVUS</v>
      </c>
      <c r="C1688" s="2" t="s">
        <v>3200</v>
      </c>
    </row>
    <row r="1689" customFormat="false" ht="12.75" hidden="false" customHeight="true" outlineLevel="0" collapsed="false">
      <c r="A1689" s="3"/>
      <c r="B1689" s="3" t="n">
        <f aca="false">IF(ISNUMBER(SEARCH("%", A1689)),RIGHT(A1689,3),A1689)</f>
        <v>0</v>
      </c>
      <c r="C1689" s="2"/>
    </row>
    <row r="1690" customFormat="false" ht="12.75" hidden="false" customHeight="true" outlineLevel="0" collapsed="false">
      <c r="A1690" s="3" t="s">
        <v>2812</v>
      </c>
      <c r="B1690" s="3" t="str">
        <f aca="false">IF(ISNUMBER(SEARCH("%", A1690)),RIGHT(A1690,3),A1690)</f>
        <v>0.01</v>
      </c>
      <c r="C1690" s="2" t="s">
        <v>2812</v>
      </c>
    </row>
    <row r="1691" customFormat="false" ht="12.75" hidden="false" customHeight="true" outlineLevel="0" collapsed="false">
      <c r="A1691" s="3" t="s">
        <v>3201</v>
      </c>
      <c r="B1691" s="3" t="str">
        <f aca="false">IF(ISNUMBER(SEARCH("%", A1691)),RIGHT(A1691,3),A1691)</f>
        <v>52, 52, HAUNTER</v>
      </c>
      <c r="C1691" s="2" t="s">
        <v>3201</v>
      </c>
    </row>
    <row r="1692" customFormat="false" ht="12.75" hidden="false" customHeight="true" outlineLevel="0" collapsed="false">
      <c r="A1692" s="3" t="s">
        <v>3202</v>
      </c>
      <c r="B1692" s="3" t="str">
        <f aca="false">IF(ISNUMBER(SEARCH("%", A1692)),RIGHT(A1692,3),A1692)</f>
        <v>22, 22, MISDREAVUS , &lt;null&gt;, &lt;null&gt;, &lt;null&gt;</v>
      </c>
      <c r="C1692" s="2" t="s">
        <v>3202</v>
      </c>
    </row>
    <row r="1693" customFormat="false" ht="12.75" hidden="false" customHeight="true" outlineLevel="0" collapsed="false">
      <c r="A1693" s="3"/>
      <c r="B1693" s="3" t="n">
        <f aca="false">IF(ISNUMBER(SEARCH("%", A1693)),RIGHT(A1693,3),A1693)</f>
        <v>0</v>
      </c>
      <c r="C1693" s="2"/>
    </row>
    <row r="1694" customFormat="false" ht="12.75" hidden="false" customHeight="true" outlineLevel="0" collapsed="false">
      <c r="A1694" s="3" t="s">
        <v>2536</v>
      </c>
      <c r="B1694" s="3" t="str">
        <f aca="false">IF(ISNUMBER(SEARCH("%", A1694)),RIGHT(A1694,3),A1694)</f>
        <v>NEW ROUTE</v>
      </c>
      <c r="C1694" s="2" t="s">
        <v>2536</v>
      </c>
    </row>
    <row r="1695" customFormat="false" ht="12.75" hidden="false" customHeight="true" outlineLevel="0" collapsed="false">
      <c r="A1695" s="3" t="s">
        <v>3217</v>
      </c>
      <c r="B1695" s="3" t="str">
        <f aca="false">IF(ISNUMBER(SEARCH("%", A1695)),RIGHT(A1695,3),A1695)</f>
        <v>2, 24, 0,</v>
      </c>
      <c r="C1695" s="2" t="s">
        <v>3217</v>
      </c>
    </row>
    <row r="1696" customFormat="false" ht="12.75" hidden="false" customHeight="true" outlineLevel="0" collapsed="false">
      <c r="A1696" s="3" t="s">
        <v>2823</v>
      </c>
      <c r="B1696" s="3" t="str">
        <f aca="false">IF(ISNUMBER(SEARCH("%", A1696)),RIGHT(A1696,3),A1696)</f>
        <v>20%</v>
      </c>
      <c r="C1696" s="2" t="s">
        <v>2799</v>
      </c>
    </row>
    <row r="1697" customFormat="false" ht="12.75" hidden="false" customHeight="true" outlineLevel="0" collapsed="false">
      <c r="A1697" s="3" t="s">
        <v>1638</v>
      </c>
      <c r="B1697" s="3" t="str">
        <f aca="false">IF(ISNUMBER(SEARCH("%", A1697)),RIGHT(A1697,3),A1697)</f>
        <v>40, 40, GASTLY</v>
      </c>
      <c r="C1697" s="2" t="s">
        <v>1638</v>
      </c>
    </row>
    <row r="1698" customFormat="false" ht="12.75" hidden="false" customHeight="true" outlineLevel="0" collapsed="false">
      <c r="A1698" s="3" t="s">
        <v>3192</v>
      </c>
      <c r="B1698" s="3" t="str">
        <f aca="false">IF(ISNUMBER(SEARCH("%", A1698)),RIGHT(A1698,3),A1698)</f>
        <v>37, 37, ZUBAT</v>
      </c>
      <c r="C1698" s="2" t="s">
        <v>3192</v>
      </c>
    </row>
    <row r="1699" customFormat="false" ht="12.75" hidden="false" customHeight="true" outlineLevel="0" collapsed="false">
      <c r="A1699" s="3"/>
      <c r="B1699" s="3" t="n">
        <f aca="false">IF(ISNUMBER(SEARCH("%", A1699)),RIGHT(A1699,3),A1699)</f>
        <v>0</v>
      </c>
      <c r="C1699" s="2"/>
    </row>
    <row r="1700" customFormat="false" ht="12.75" hidden="false" customHeight="true" outlineLevel="0" collapsed="false">
      <c r="A1700" s="3" t="s">
        <v>2801</v>
      </c>
      <c r="B1700" s="3" t="str">
        <f aca="false">IF(ISNUMBER(SEARCH("%", A1700)),RIGHT(A1700,3),A1700)</f>
        <v>0.1</v>
      </c>
      <c r="C1700" s="2" t="s">
        <v>2801</v>
      </c>
    </row>
    <row r="1701" customFormat="false" ht="12.75" hidden="false" customHeight="true" outlineLevel="0" collapsed="false">
      <c r="A1701" s="3" t="s">
        <v>3193</v>
      </c>
      <c r="B1701" s="3" t="str">
        <f aca="false">IF(ISNUMBER(SEARCH("%", A1701)),RIGHT(A1701,3),A1701)</f>
        <v>44, 44, HAUNTER</v>
      </c>
      <c r="C1701" s="2" t="s">
        <v>3193</v>
      </c>
    </row>
    <row r="1702" customFormat="false" ht="12.75" hidden="false" customHeight="true" outlineLevel="0" collapsed="false">
      <c r="A1702" s="3" t="s">
        <v>3194</v>
      </c>
      <c r="B1702" s="3" t="str">
        <f aca="false">IF(ISNUMBER(SEARCH("%", A1702)),RIGHT(A1702,3),A1702)</f>
        <v>46, 46, HAUNTER</v>
      </c>
      <c r="C1702" s="2" t="s">
        <v>3194</v>
      </c>
    </row>
    <row r="1703" customFormat="false" ht="12.75" hidden="false" customHeight="true" outlineLevel="0" collapsed="false">
      <c r="A1703" s="3" t="s">
        <v>3195</v>
      </c>
      <c r="B1703" s="3" t="str">
        <f aca="false">IF(ISNUMBER(SEARCH("%", A1703)),RIGHT(A1703,3),A1703)</f>
        <v>41, 41, GOLBAT</v>
      </c>
      <c r="C1703" s="2" t="s">
        <v>3195</v>
      </c>
    </row>
    <row r="1704" customFormat="false" ht="12.75" hidden="false" customHeight="true" outlineLevel="0" collapsed="false">
      <c r="A1704" s="3" t="s">
        <v>3215</v>
      </c>
      <c r="B1704" s="3" t="str">
        <f aca="false">IF(ISNUMBER(SEARCH("%", A1704)),RIGHT(A1704,3),A1704)</f>
        <v>15, 15, MISDREAVUS</v>
      </c>
      <c r="C1704" s="2" t="s">
        <v>3215</v>
      </c>
    </row>
    <row r="1705" customFormat="false" ht="12.75" hidden="false" customHeight="true" outlineLevel="0" collapsed="false">
      <c r="A1705" s="3"/>
      <c r="B1705" s="3" t="n">
        <f aca="false">IF(ISNUMBER(SEARCH("%", A1705)),RIGHT(A1705,3),A1705)</f>
        <v>0</v>
      </c>
      <c r="C1705" s="2"/>
    </row>
    <row r="1706" customFormat="false" ht="12.75" hidden="false" customHeight="true" outlineLevel="0" collapsed="false">
      <c r="A1706" s="3" t="s">
        <v>2806</v>
      </c>
      <c r="B1706" s="3" t="str">
        <f aca="false">IF(ISNUMBER(SEARCH("%", A1706)),RIGHT(A1706,3),A1706)</f>
        <v>0.05</v>
      </c>
      <c r="C1706" s="2" t="s">
        <v>2806</v>
      </c>
    </row>
    <row r="1707" customFormat="false" ht="12.75" hidden="false" customHeight="true" outlineLevel="0" collapsed="false">
      <c r="A1707" s="3" t="s">
        <v>3216</v>
      </c>
      <c r="B1707" s="3" t="str">
        <f aca="false">IF(ISNUMBER(SEARCH("%", A1707)),RIGHT(A1707,3),A1707)</f>
        <v>20, 20, MISDREAVUS</v>
      </c>
      <c r="C1707" s="2" t="s">
        <v>3216</v>
      </c>
    </row>
    <row r="1708" customFormat="false" ht="12.75" hidden="false" customHeight="true" outlineLevel="0" collapsed="false">
      <c r="A1708" s="3" t="s">
        <v>3198</v>
      </c>
      <c r="B1708" s="3" t="str">
        <f aca="false">IF(ISNUMBER(SEARCH("%", A1708)),RIGHT(A1708,3),A1708)</f>
        <v>48, 48, HAUNTER</v>
      </c>
      <c r="C1708" s="2" t="s">
        <v>3198</v>
      </c>
    </row>
    <row r="1709" customFormat="false" ht="12.75" hidden="false" customHeight="true" outlineLevel="0" collapsed="false">
      <c r="A1709" s="3"/>
      <c r="B1709" s="3" t="n">
        <f aca="false">IF(ISNUMBER(SEARCH("%", A1709)),RIGHT(A1709,3),A1709)</f>
        <v>0</v>
      </c>
      <c r="C1709" s="2"/>
    </row>
    <row r="1710" customFormat="false" ht="12.75" hidden="false" customHeight="true" outlineLevel="0" collapsed="false">
      <c r="A1710" s="3" t="s">
        <v>2809</v>
      </c>
      <c r="B1710" s="3" t="str">
        <f aca="false">IF(ISNUMBER(SEARCH("%", A1710)),RIGHT(A1710,3),A1710)</f>
        <v>0.04</v>
      </c>
      <c r="C1710" s="2" t="s">
        <v>2809</v>
      </c>
    </row>
    <row r="1711" customFormat="false" ht="12.75" hidden="false" customHeight="true" outlineLevel="0" collapsed="false">
      <c r="A1711" s="3" t="s">
        <v>3199</v>
      </c>
      <c r="B1711" s="3" t="str">
        <f aca="false">IF(ISNUMBER(SEARCH("%", A1711)),RIGHT(A1711,3),A1711)</f>
        <v>50, 50, HAUNTER</v>
      </c>
      <c r="C1711" s="2" t="s">
        <v>3199</v>
      </c>
    </row>
    <row r="1712" customFormat="false" ht="12.75" hidden="false" customHeight="true" outlineLevel="0" collapsed="false">
      <c r="A1712" s="3" t="s">
        <v>3200</v>
      </c>
      <c r="B1712" s="3" t="str">
        <f aca="false">IF(ISNUMBER(SEARCH("%", A1712)),RIGHT(A1712,3),A1712)</f>
        <v>22, 22, MISDREAVUS</v>
      </c>
      <c r="C1712" s="2" t="s">
        <v>3200</v>
      </c>
    </row>
    <row r="1713" customFormat="false" ht="12.75" hidden="false" customHeight="true" outlineLevel="0" collapsed="false">
      <c r="A1713" s="3"/>
      <c r="B1713" s="3" t="n">
        <f aca="false">IF(ISNUMBER(SEARCH("%", A1713)),RIGHT(A1713,3),A1713)</f>
        <v>0</v>
      </c>
      <c r="C1713" s="2"/>
    </row>
    <row r="1714" customFormat="false" ht="12.75" hidden="false" customHeight="true" outlineLevel="0" collapsed="false">
      <c r="A1714" s="3" t="s">
        <v>2812</v>
      </c>
      <c r="B1714" s="3" t="str">
        <f aca="false">IF(ISNUMBER(SEARCH("%", A1714)),RIGHT(A1714,3),A1714)</f>
        <v>0.01</v>
      </c>
      <c r="C1714" s="2" t="s">
        <v>2812</v>
      </c>
    </row>
    <row r="1715" customFormat="false" ht="12.75" hidden="false" customHeight="true" outlineLevel="0" collapsed="false">
      <c r="A1715" s="3" t="s">
        <v>3201</v>
      </c>
      <c r="B1715" s="3" t="str">
        <f aca="false">IF(ISNUMBER(SEARCH("%", A1715)),RIGHT(A1715,3),A1715)</f>
        <v>52, 52, HAUNTER</v>
      </c>
      <c r="C1715" s="2" t="s">
        <v>3201</v>
      </c>
    </row>
    <row r="1716" customFormat="false" ht="12.75" hidden="false" customHeight="true" outlineLevel="0" collapsed="false">
      <c r="A1716" s="3" t="s">
        <v>3202</v>
      </c>
      <c r="B1716" s="3" t="str">
        <f aca="false">IF(ISNUMBER(SEARCH("%", A1716)),RIGHT(A1716,3),A1716)</f>
        <v>22, 22, MISDREAVUS , &lt;null&gt;, &lt;null&gt;, &lt;null&gt;</v>
      </c>
      <c r="C1716" s="2" t="s">
        <v>3202</v>
      </c>
    </row>
    <row r="1717" customFormat="false" ht="12.75" hidden="false" customHeight="true" outlineLevel="0" collapsed="false">
      <c r="A1717" s="3"/>
      <c r="B1717" s="3" t="n">
        <f aca="false">IF(ISNUMBER(SEARCH("%", A1717)),RIGHT(A1717,3),A1717)</f>
        <v>0</v>
      </c>
      <c r="C1717" s="2"/>
    </row>
    <row r="1718" customFormat="false" ht="12.75" hidden="false" customHeight="true" outlineLevel="0" collapsed="false">
      <c r="A1718" s="3" t="s">
        <v>2536</v>
      </c>
      <c r="B1718" s="3" t="str">
        <f aca="false">IF(ISNUMBER(SEARCH("%", A1718)),RIGHT(A1718,3),A1718)</f>
        <v>NEW ROUTE</v>
      </c>
      <c r="C1718" s="2" t="s">
        <v>2536</v>
      </c>
    </row>
    <row r="1719" customFormat="false" ht="12.75" hidden="false" customHeight="true" outlineLevel="0" collapsed="false">
      <c r="A1719" s="3" t="s">
        <v>3218</v>
      </c>
      <c r="B1719" s="3" t="str">
        <f aca="false">IF(ISNUMBER(SEARCH("%", A1719)),RIGHT(A1719,3),A1719)</f>
        <v>2, 25, 0,</v>
      </c>
      <c r="C1719" s="2" t="s">
        <v>3218</v>
      </c>
    </row>
    <row r="1720" customFormat="false" ht="12.75" hidden="false" customHeight="true" outlineLevel="0" collapsed="false">
      <c r="A1720" s="3" t="s">
        <v>2823</v>
      </c>
      <c r="B1720" s="3" t="str">
        <f aca="false">IF(ISNUMBER(SEARCH("%", A1720)),RIGHT(A1720,3),A1720)</f>
        <v>20%</v>
      </c>
      <c r="C1720" s="2" t="s">
        <v>2799</v>
      </c>
    </row>
    <row r="1721" customFormat="false" ht="12.75" hidden="false" customHeight="true" outlineLevel="0" collapsed="false">
      <c r="A1721" s="3" t="s">
        <v>1638</v>
      </c>
      <c r="B1721" s="3" t="str">
        <f aca="false">IF(ISNUMBER(SEARCH("%", A1721)),RIGHT(A1721,3),A1721)</f>
        <v>40, 40, GASTLY</v>
      </c>
      <c r="C1721" s="2" t="s">
        <v>1638</v>
      </c>
    </row>
    <row r="1722" customFormat="false" ht="12.75" hidden="false" customHeight="true" outlineLevel="0" collapsed="false">
      <c r="A1722" s="3" t="s">
        <v>3192</v>
      </c>
      <c r="B1722" s="3" t="str">
        <f aca="false">IF(ISNUMBER(SEARCH("%", A1722)),RIGHT(A1722,3),A1722)</f>
        <v>37, 37, ZUBAT</v>
      </c>
      <c r="C1722" s="2" t="s">
        <v>3192</v>
      </c>
    </row>
    <row r="1723" customFormat="false" ht="12.75" hidden="false" customHeight="true" outlineLevel="0" collapsed="false">
      <c r="A1723" s="3"/>
      <c r="B1723" s="3" t="n">
        <f aca="false">IF(ISNUMBER(SEARCH("%", A1723)),RIGHT(A1723,3),A1723)</f>
        <v>0</v>
      </c>
      <c r="C1723" s="2"/>
    </row>
    <row r="1724" customFormat="false" ht="12.75" hidden="false" customHeight="true" outlineLevel="0" collapsed="false">
      <c r="A1724" s="3" t="s">
        <v>2801</v>
      </c>
      <c r="B1724" s="3" t="str">
        <f aca="false">IF(ISNUMBER(SEARCH("%", A1724)),RIGHT(A1724,3),A1724)</f>
        <v>0.1</v>
      </c>
      <c r="C1724" s="2" t="s">
        <v>2801</v>
      </c>
    </row>
    <row r="1725" customFormat="false" ht="12.75" hidden="false" customHeight="true" outlineLevel="0" collapsed="false">
      <c r="A1725" s="3" t="s">
        <v>3193</v>
      </c>
      <c r="B1725" s="3" t="str">
        <f aca="false">IF(ISNUMBER(SEARCH("%", A1725)),RIGHT(A1725,3),A1725)</f>
        <v>44, 44, HAUNTER</v>
      </c>
      <c r="C1725" s="2" t="s">
        <v>3193</v>
      </c>
    </row>
    <row r="1726" customFormat="false" ht="12.75" hidden="false" customHeight="true" outlineLevel="0" collapsed="false">
      <c r="A1726" s="3" t="s">
        <v>3194</v>
      </c>
      <c r="B1726" s="3" t="str">
        <f aca="false">IF(ISNUMBER(SEARCH("%", A1726)),RIGHT(A1726,3),A1726)</f>
        <v>46, 46, HAUNTER</v>
      </c>
      <c r="C1726" s="2" t="s">
        <v>3194</v>
      </c>
    </row>
    <row r="1727" customFormat="false" ht="12.75" hidden="false" customHeight="true" outlineLevel="0" collapsed="false">
      <c r="A1727" s="3" t="s">
        <v>3195</v>
      </c>
      <c r="B1727" s="3" t="str">
        <f aca="false">IF(ISNUMBER(SEARCH("%", A1727)),RIGHT(A1727,3),A1727)</f>
        <v>41, 41, GOLBAT</v>
      </c>
      <c r="C1727" s="2" t="s">
        <v>3195</v>
      </c>
    </row>
    <row r="1728" customFormat="false" ht="12.75" hidden="false" customHeight="true" outlineLevel="0" collapsed="false">
      <c r="A1728" s="3" t="s">
        <v>3215</v>
      </c>
      <c r="B1728" s="3" t="str">
        <f aca="false">IF(ISNUMBER(SEARCH("%", A1728)),RIGHT(A1728,3),A1728)</f>
        <v>15, 15, MISDREAVUS</v>
      </c>
      <c r="C1728" s="2" t="s">
        <v>3215</v>
      </c>
    </row>
    <row r="1729" customFormat="false" ht="12.75" hidden="false" customHeight="true" outlineLevel="0" collapsed="false">
      <c r="A1729" s="3"/>
      <c r="B1729" s="3" t="n">
        <f aca="false">IF(ISNUMBER(SEARCH("%", A1729)),RIGHT(A1729,3),A1729)</f>
        <v>0</v>
      </c>
      <c r="C1729" s="2"/>
    </row>
    <row r="1730" customFormat="false" ht="12.75" hidden="false" customHeight="true" outlineLevel="0" collapsed="false">
      <c r="A1730" s="3" t="s">
        <v>2806</v>
      </c>
      <c r="B1730" s="3" t="str">
        <f aca="false">IF(ISNUMBER(SEARCH("%", A1730)),RIGHT(A1730,3),A1730)</f>
        <v>0.05</v>
      </c>
      <c r="C1730" s="2" t="s">
        <v>2806</v>
      </c>
    </row>
    <row r="1731" customFormat="false" ht="12.75" hidden="false" customHeight="true" outlineLevel="0" collapsed="false">
      <c r="A1731" s="3" t="s">
        <v>3216</v>
      </c>
      <c r="B1731" s="3" t="str">
        <f aca="false">IF(ISNUMBER(SEARCH("%", A1731)),RIGHT(A1731,3),A1731)</f>
        <v>20, 20, MISDREAVUS</v>
      </c>
      <c r="C1731" s="2" t="s">
        <v>3216</v>
      </c>
    </row>
    <row r="1732" customFormat="false" ht="12.75" hidden="false" customHeight="true" outlineLevel="0" collapsed="false">
      <c r="A1732" s="3" t="s">
        <v>3198</v>
      </c>
      <c r="B1732" s="3" t="str">
        <f aca="false">IF(ISNUMBER(SEARCH("%", A1732)),RIGHT(A1732,3),A1732)</f>
        <v>48, 48, HAUNTER</v>
      </c>
      <c r="C1732" s="2" t="s">
        <v>3198</v>
      </c>
    </row>
    <row r="1733" customFormat="false" ht="12.75" hidden="false" customHeight="true" outlineLevel="0" collapsed="false">
      <c r="A1733" s="3"/>
      <c r="B1733" s="3" t="n">
        <f aca="false">IF(ISNUMBER(SEARCH("%", A1733)),RIGHT(A1733,3),A1733)</f>
        <v>0</v>
      </c>
      <c r="C1733" s="2"/>
    </row>
    <row r="1734" customFormat="false" ht="12.75" hidden="false" customHeight="true" outlineLevel="0" collapsed="false">
      <c r="A1734" s="3" t="s">
        <v>2809</v>
      </c>
      <c r="B1734" s="3" t="str">
        <f aca="false">IF(ISNUMBER(SEARCH("%", A1734)),RIGHT(A1734,3),A1734)</f>
        <v>0.04</v>
      </c>
      <c r="C1734" s="2" t="s">
        <v>2809</v>
      </c>
    </row>
    <row r="1735" customFormat="false" ht="12.75" hidden="false" customHeight="true" outlineLevel="0" collapsed="false">
      <c r="A1735" s="3" t="s">
        <v>3199</v>
      </c>
      <c r="B1735" s="3" t="str">
        <f aca="false">IF(ISNUMBER(SEARCH("%", A1735)),RIGHT(A1735,3),A1735)</f>
        <v>50, 50, HAUNTER</v>
      </c>
      <c r="C1735" s="2" t="s">
        <v>3199</v>
      </c>
    </row>
    <row r="1736" customFormat="false" ht="12.75" hidden="false" customHeight="true" outlineLevel="0" collapsed="false">
      <c r="A1736" s="3" t="s">
        <v>3200</v>
      </c>
      <c r="B1736" s="3" t="str">
        <f aca="false">IF(ISNUMBER(SEARCH("%", A1736)),RIGHT(A1736,3),A1736)</f>
        <v>22, 22, MISDREAVUS</v>
      </c>
      <c r="C1736" s="2" t="s">
        <v>3200</v>
      </c>
    </row>
    <row r="1737" customFormat="false" ht="12.75" hidden="false" customHeight="true" outlineLevel="0" collapsed="false">
      <c r="A1737" s="3"/>
      <c r="B1737" s="3" t="n">
        <f aca="false">IF(ISNUMBER(SEARCH("%", A1737)),RIGHT(A1737,3),A1737)</f>
        <v>0</v>
      </c>
      <c r="C1737" s="2"/>
    </row>
    <row r="1738" customFormat="false" ht="12.75" hidden="false" customHeight="true" outlineLevel="0" collapsed="false">
      <c r="A1738" s="3" t="s">
        <v>2812</v>
      </c>
      <c r="B1738" s="3" t="str">
        <f aca="false">IF(ISNUMBER(SEARCH("%", A1738)),RIGHT(A1738,3),A1738)</f>
        <v>0.01</v>
      </c>
      <c r="C1738" s="2" t="s">
        <v>2812</v>
      </c>
    </row>
    <row r="1739" customFormat="false" ht="12.75" hidden="false" customHeight="true" outlineLevel="0" collapsed="false">
      <c r="A1739" s="3" t="s">
        <v>3201</v>
      </c>
      <c r="B1739" s="3" t="str">
        <f aca="false">IF(ISNUMBER(SEARCH("%", A1739)),RIGHT(A1739,3),A1739)</f>
        <v>52, 52, HAUNTER</v>
      </c>
      <c r="C1739" s="2" t="s">
        <v>3201</v>
      </c>
    </row>
    <row r="1740" customFormat="false" ht="12.75" hidden="false" customHeight="true" outlineLevel="0" collapsed="false">
      <c r="A1740" s="3" t="s">
        <v>3202</v>
      </c>
      <c r="B1740" s="3" t="str">
        <f aca="false">IF(ISNUMBER(SEARCH("%", A1740)),RIGHT(A1740,3),A1740)</f>
        <v>22, 22, MISDREAVUS , &lt;null&gt;, &lt;null&gt;, &lt;null&gt;</v>
      </c>
      <c r="C1740" s="2" t="s">
        <v>3202</v>
      </c>
    </row>
    <row r="1741" customFormat="false" ht="12.75" hidden="false" customHeight="true" outlineLevel="0" collapsed="false">
      <c r="A1741" s="3"/>
      <c r="B1741" s="3" t="n">
        <f aca="false">IF(ISNUMBER(SEARCH("%", A1741)),RIGHT(A1741,3),A1741)</f>
        <v>0</v>
      </c>
      <c r="C1741" s="2"/>
    </row>
    <row r="1742" customFormat="false" ht="12.75" hidden="false" customHeight="true" outlineLevel="0" collapsed="false">
      <c r="A1742" s="3" t="s">
        <v>2536</v>
      </c>
      <c r="B1742" s="3" t="str">
        <f aca="false">IF(ISNUMBER(SEARCH("%", A1742)),RIGHT(A1742,3),A1742)</f>
        <v>NEW ROUTE</v>
      </c>
      <c r="C1742" s="2" t="s">
        <v>2536</v>
      </c>
    </row>
    <row r="1743" customFormat="false" ht="12.75" hidden="false" customHeight="true" outlineLevel="0" collapsed="false">
      <c r="A1743" s="3" t="s">
        <v>3219</v>
      </c>
      <c r="B1743" s="3" t="str">
        <f aca="false">IF(ISNUMBER(SEARCH("%", A1743)),RIGHT(A1743,3),A1743)</f>
        <v>2, 26, 0,</v>
      </c>
      <c r="C1743" s="2" t="s">
        <v>3219</v>
      </c>
    </row>
    <row r="1744" customFormat="false" ht="12.75" hidden="false" customHeight="true" outlineLevel="0" collapsed="false">
      <c r="A1744" s="3" t="s">
        <v>2823</v>
      </c>
      <c r="B1744" s="3" t="str">
        <f aca="false">IF(ISNUMBER(SEARCH("%", A1744)),RIGHT(A1744,3),A1744)</f>
        <v>20%</v>
      </c>
      <c r="C1744" s="2" t="s">
        <v>2799</v>
      </c>
    </row>
    <row r="1745" customFormat="false" ht="12.75" hidden="false" customHeight="true" outlineLevel="0" collapsed="false">
      <c r="A1745" s="3" t="s">
        <v>1638</v>
      </c>
      <c r="B1745" s="3" t="str">
        <f aca="false">IF(ISNUMBER(SEARCH("%", A1745)),RIGHT(A1745,3),A1745)</f>
        <v>40, 40, GASTLY</v>
      </c>
      <c r="C1745" s="2" t="s">
        <v>1638</v>
      </c>
    </row>
    <row r="1746" customFormat="false" ht="12.75" hidden="false" customHeight="true" outlineLevel="0" collapsed="false">
      <c r="A1746" s="3" t="s">
        <v>3192</v>
      </c>
      <c r="B1746" s="3" t="str">
        <f aca="false">IF(ISNUMBER(SEARCH("%", A1746)),RIGHT(A1746,3),A1746)</f>
        <v>37, 37, ZUBAT</v>
      </c>
      <c r="C1746" s="2" t="s">
        <v>3192</v>
      </c>
    </row>
    <row r="1747" customFormat="false" ht="12.75" hidden="false" customHeight="true" outlineLevel="0" collapsed="false">
      <c r="A1747" s="3"/>
      <c r="B1747" s="3" t="n">
        <f aca="false">IF(ISNUMBER(SEARCH("%", A1747)),RIGHT(A1747,3),A1747)</f>
        <v>0</v>
      </c>
      <c r="C1747" s="2"/>
    </row>
    <row r="1748" customFormat="false" ht="12.75" hidden="false" customHeight="true" outlineLevel="0" collapsed="false">
      <c r="A1748" s="3" t="s">
        <v>2801</v>
      </c>
      <c r="B1748" s="3" t="str">
        <f aca="false">IF(ISNUMBER(SEARCH("%", A1748)),RIGHT(A1748,3),A1748)</f>
        <v>0.1</v>
      </c>
      <c r="C1748" s="2" t="s">
        <v>2801</v>
      </c>
    </row>
    <row r="1749" customFormat="false" ht="12.75" hidden="false" customHeight="true" outlineLevel="0" collapsed="false">
      <c r="A1749" s="3" t="s">
        <v>3193</v>
      </c>
      <c r="B1749" s="3" t="str">
        <f aca="false">IF(ISNUMBER(SEARCH("%", A1749)),RIGHT(A1749,3),A1749)</f>
        <v>44, 44, HAUNTER</v>
      </c>
      <c r="C1749" s="2" t="s">
        <v>3193</v>
      </c>
    </row>
    <row r="1750" customFormat="false" ht="12.75" hidden="false" customHeight="true" outlineLevel="0" collapsed="false">
      <c r="A1750" s="3" t="s">
        <v>3194</v>
      </c>
      <c r="B1750" s="3" t="str">
        <f aca="false">IF(ISNUMBER(SEARCH("%", A1750)),RIGHT(A1750,3),A1750)</f>
        <v>46, 46, HAUNTER</v>
      </c>
      <c r="C1750" s="2" t="s">
        <v>3194</v>
      </c>
    </row>
    <row r="1751" customFormat="false" ht="12.75" hidden="false" customHeight="true" outlineLevel="0" collapsed="false">
      <c r="A1751" s="3" t="s">
        <v>3195</v>
      </c>
      <c r="B1751" s="3" t="str">
        <f aca="false">IF(ISNUMBER(SEARCH("%", A1751)),RIGHT(A1751,3),A1751)</f>
        <v>41, 41, GOLBAT</v>
      </c>
      <c r="C1751" s="2" t="s">
        <v>3195</v>
      </c>
    </row>
    <row r="1752" customFormat="false" ht="12.75" hidden="false" customHeight="true" outlineLevel="0" collapsed="false">
      <c r="A1752" s="3" t="s">
        <v>3215</v>
      </c>
      <c r="B1752" s="3" t="str">
        <f aca="false">IF(ISNUMBER(SEARCH("%", A1752)),RIGHT(A1752,3),A1752)</f>
        <v>15, 15, MISDREAVUS</v>
      </c>
      <c r="C1752" s="2" t="s">
        <v>3215</v>
      </c>
    </row>
    <row r="1753" customFormat="false" ht="12.75" hidden="false" customHeight="true" outlineLevel="0" collapsed="false">
      <c r="A1753" s="3"/>
      <c r="B1753" s="3" t="n">
        <f aca="false">IF(ISNUMBER(SEARCH("%", A1753)),RIGHT(A1753,3),A1753)</f>
        <v>0</v>
      </c>
      <c r="C1753" s="2"/>
    </row>
    <row r="1754" customFormat="false" ht="12.75" hidden="false" customHeight="true" outlineLevel="0" collapsed="false">
      <c r="A1754" s="3" t="s">
        <v>2806</v>
      </c>
      <c r="B1754" s="3" t="str">
        <f aca="false">IF(ISNUMBER(SEARCH("%", A1754)),RIGHT(A1754,3),A1754)</f>
        <v>0.05</v>
      </c>
      <c r="C1754" s="2" t="s">
        <v>2806</v>
      </c>
    </row>
    <row r="1755" customFormat="false" ht="12.75" hidden="false" customHeight="true" outlineLevel="0" collapsed="false">
      <c r="A1755" s="3" t="s">
        <v>3216</v>
      </c>
      <c r="B1755" s="3" t="str">
        <f aca="false">IF(ISNUMBER(SEARCH("%", A1755)),RIGHT(A1755,3),A1755)</f>
        <v>20, 20, MISDREAVUS</v>
      </c>
      <c r="C1755" s="2" t="s">
        <v>3216</v>
      </c>
    </row>
    <row r="1756" customFormat="false" ht="12.75" hidden="false" customHeight="true" outlineLevel="0" collapsed="false">
      <c r="A1756" s="3" t="s">
        <v>3198</v>
      </c>
      <c r="B1756" s="3" t="str">
        <f aca="false">IF(ISNUMBER(SEARCH("%", A1756)),RIGHT(A1756,3),A1756)</f>
        <v>48, 48, HAUNTER</v>
      </c>
      <c r="C1756" s="2" t="s">
        <v>3198</v>
      </c>
    </row>
    <row r="1757" customFormat="false" ht="12.75" hidden="false" customHeight="true" outlineLevel="0" collapsed="false">
      <c r="A1757" s="3"/>
      <c r="B1757" s="3" t="n">
        <f aca="false">IF(ISNUMBER(SEARCH("%", A1757)),RIGHT(A1757,3),A1757)</f>
        <v>0</v>
      </c>
      <c r="C1757" s="2"/>
    </row>
    <row r="1758" customFormat="false" ht="12.75" hidden="false" customHeight="true" outlineLevel="0" collapsed="false">
      <c r="A1758" s="3" t="s">
        <v>2809</v>
      </c>
      <c r="B1758" s="3" t="str">
        <f aca="false">IF(ISNUMBER(SEARCH("%", A1758)),RIGHT(A1758,3),A1758)</f>
        <v>0.04</v>
      </c>
      <c r="C1758" s="2" t="s">
        <v>2809</v>
      </c>
    </row>
    <row r="1759" customFormat="false" ht="12.75" hidden="false" customHeight="true" outlineLevel="0" collapsed="false">
      <c r="A1759" s="3" t="s">
        <v>3199</v>
      </c>
      <c r="B1759" s="3" t="str">
        <f aca="false">IF(ISNUMBER(SEARCH("%", A1759)),RIGHT(A1759,3),A1759)</f>
        <v>50, 50, HAUNTER</v>
      </c>
      <c r="C1759" s="2" t="s">
        <v>3199</v>
      </c>
    </row>
    <row r="1760" customFormat="false" ht="12.75" hidden="false" customHeight="true" outlineLevel="0" collapsed="false">
      <c r="A1760" s="3" t="s">
        <v>3200</v>
      </c>
      <c r="B1760" s="3" t="str">
        <f aca="false">IF(ISNUMBER(SEARCH("%", A1760)),RIGHT(A1760,3),A1760)</f>
        <v>22, 22, MISDREAVUS</v>
      </c>
      <c r="C1760" s="2" t="s">
        <v>3200</v>
      </c>
    </row>
    <row r="1761" customFormat="false" ht="12.75" hidden="false" customHeight="true" outlineLevel="0" collapsed="false">
      <c r="A1761" s="3"/>
      <c r="B1761" s="3" t="n">
        <f aca="false">IF(ISNUMBER(SEARCH("%", A1761)),RIGHT(A1761,3),A1761)</f>
        <v>0</v>
      </c>
      <c r="C1761" s="2"/>
    </row>
    <row r="1762" customFormat="false" ht="12.75" hidden="false" customHeight="true" outlineLevel="0" collapsed="false">
      <c r="A1762" s="3" t="s">
        <v>2812</v>
      </c>
      <c r="B1762" s="3" t="str">
        <f aca="false">IF(ISNUMBER(SEARCH("%", A1762)),RIGHT(A1762,3),A1762)</f>
        <v>0.01</v>
      </c>
      <c r="C1762" s="2" t="s">
        <v>2812</v>
      </c>
    </row>
    <row r="1763" customFormat="false" ht="12.75" hidden="false" customHeight="true" outlineLevel="0" collapsed="false">
      <c r="A1763" s="3" t="s">
        <v>3201</v>
      </c>
      <c r="B1763" s="3" t="str">
        <f aca="false">IF(ISNUMBER(SEARCH("%", A1763)),RIGHT(A1763,3),A1763)</f>
        <v>52, 52, HAUNTER</v>
      </c>
      <c r="C1763" s="2" t="s">
        <v>3201</v>
      </c>
    </row>
    <row r="1764" customFormat="false" ht="12.75" hidden="false" customHeight="true" outlineLevel="0" collapsed="false">
      <c r="A1764" s="3" t="s">
        <v>3202</v>
      </c>
      <c r="B1764" s="3" t="str">
        <f aca="false">IF(ISNUMBER(SEARCH("%", A1764)),RIGHT(A1764,3),A1764)</f>
        <v>22, 22, MISDREAVUS , &lt;null&gt;, &lt;null&gt;, &lt;null&gt;</v>
      </c>
      <c r="C1764" s="2" t="s">
        <v>3202</v>
      </c>
    </row>
    <row r="1765" customFormat="false" ht="12.75" hidden="false" customHeight="true" outlineLevel="0" collapsed="false">
      <c r="A1765" s="3"/>
      <c r="B1765" s="3" t="n">
        <f aca="false">IF(ISNUMBER(SEARCH("%", A1765)),RIGHT(A1765,3),A1765)</f>
        <v>0</v>
      </c>
      <c r="C1765" s="2"/>
    </row>
    <row r="1766" customFormat="false" ht="12.75" hidden="false" customHeight="true" outlineLevel="0" collapsed="false">
      <c r="A1766" s="3" t="s">
        <v>2536</v>
      </c>
      <c r="B1766" s="3" t="str">
        <f aca="false">IF(ISNUMBER(SEARCH("%", A1766)),RIGHT(A1766,3),A1766)</f>
        <v>NEW ROUTE</v>
      </c>
      <c r="C1766" s="2" t="s">
        <v>2536</v>
      </c>
    </row>
    <row r="1767" customFormat="false" ht="12.75" hidden="false" customHeight="true" outlineLevel="0" collapsed="false">
      <c r="A1767" s="3" t="s">
        <v>3220</v>
      </c>
      <c r="B1767" s="3" t="str">
        <f aca="false">IF(ISNUMBER(SEARCH("%", A1767)),RIGHT(A1767,3),A1767)</f>
        <v>3, 45, 0,</v>
      </c>
      <c r="C1767" s="2" t="s">
        <v>3220</v>
      </c>
    </row>
    <row r="1768" customFormat="false" ht="12.75" hidden="false" customHeight="true" outlineLevel="0" collapsed="false">
      <c r="A1768" s="3" t="s">
        <v>2908</v>
      </c>
      <c r="B1768" s="3" t="str">
        <f aca="false">IF(ISNUMBER(SEARCH("%", A1768)),RIGHT(A1768,3),A1768)</f>
        <v>20%</v>
      </c>
      <c r="C1768" s="2" t="s">
        <v>2799</v>
      </c>
    </row>
    <row r="1769" customFormat="false" ht="12.75" hidden="false" customHeight="true" outlineLevel="0" collapsed="false">
      <c r="A1769" s="3" t="s">
        <v>1666</v>
      </c>
      <c r="B1769" s="3" t="str">
        <f aca="false">IF(ISNUMBER(SEARCH("%", A1769)),RIGHT(A1769,3),A1769)</f>
        <v>32, 32, SPEAROW</v>
      </c>
      <c r="C1769" s="2" t="s">
        <v>1666</v>
      </c>
    </row>
    <row r="1770" customFormat="false" ht="12.75" hidden="false" customHeight="true" outlineLevel="0" collapsed="false">
      <c r="A1770" s="3" t="s">
        <v>3221</v>
      </c>
      <c r="B1770" s="3" t="str">
        <f aca="false">IF(ISNUMBER(SEARCH("%", A1770)),RIGHT(A1770,3),A1770)</f>
        <v>34, 34, PONYTA</v>
      </c>
      <c r="C1770" s="2" t="s">
        <v>3221</v>
      </c>
    </row>
    <row r="1771" customFormat="false" ht="12.75" hidden="false" customHeight="true" outlineLevel="0" collapsed="false">
      <c r="A1771" s="3"/>
      <c r="B1771" s="3" t="n">
        <f aca="false">IF(ISNUMBER(SEARCH("%", A1771)),RIGHT(A1771,3),A1771)</f>
        <v>0</v>
      </c>
      <c r="C1771" s="2"/>
    </row>
    <row r="1772" customFormat="false" ht="12.75" hidden="false" customHeight="true" outlineLevel="0" collapsed="false">
      <c r="A1772" s="3" t="s">
        <v>2801</v>
      </c>
      <c r="B1772" s="3" t="str">
        <f aca="false">IF(ISNUMBER(SEARCH("%", A1772)),RIGHT(A1772,3),A1772)</f>
        <v>0.1</v>
      </c>
      <c r="C1772" s="2" t="s">
        <v>2801</v>
      </c>
    </row>
    <row r="1773" customFormat="false" ht="12.75" hidden="false" customHeight="true" outlineLevel="0" collapsed="false">
      <c r="A1773" s="3" t="s">
        <v>3222</v>
      </c>
      <c r="B1773" s="3" t="str">
        <f aca="false">IF(ISNUMBER(SEARCH("%", A1773)),RIGHT(A1773,3),A1773)</f>
        <v>36, 36, FEAROW</v>
      </c>
      <c r="C1773" s="2" t="s">
        <v>3222</v>
      </c>
    </row>
    <row r="1774" customFormat="false" ht="12.75" hidden="false" customHeight="true" outlineLevel="0" collapsed="false">
      <c r="A1774" s="3" t="s">
        <v>3223</v>
      </c>
      <c r="B1774" s="3" t="str">
        <f aca="false">IF(ISNUMBER(SEARCH("%", A1774)),RIGHT(A1774,3),A1774)</f>
        <v>31, 31, PONYTA</v>
      </c>
      <c r="C1774" s="2" t="s">
        <v>3223</v>
      </c>
    </row>
    <row r="1775" customFormat="false" ht="12.75" hidden="false" customHeight="true" outlineLevel="0" collapsed="false">
      <c r="A1775" s="3" t="s">
        <v>3081</v>
      </c>
      <c r="B1775" s="3" t="str">
        <f aca="false">IF(ISNUMBER(SEARCH("%", A1775)),RIGHT(A1775,3),A1775)</f>
        <v>31, 31, GEODUDE</v>
      </c>
      <c r="C1775" s="2" t="s">
        <v>3081</v>
      </c>
    </row>
    <row r="1776" customFormat="false" ht="12.75" hidden="false" customHeight="true" outlineLevel="0" collapsed="false">
      <c r="A1776" s="3" t="s">
        <v>3224</v>
      </c>
      <c r="B1776" s="3" t="str">
        <f aca="false">IF(ISNUMBER(SEARCH("%", A1776)),RIGHT(A1776,3),A1776)</f>
        <v>31, 31, MEOWTH</v>
      </c>
      <c r="C1776" s="2" t="s">
        <v>3224</v>
      </c>
    </row>
    <row r="1777" customFormat="false" ht="12.75" hidden="false" customHeight="true" outlineLevel="0" collapsed="false">
      <c r="A1777" s="3"/>
      <c r="B1777" s="3" t="n">
        <f aca="false">IF(ISNUMBER(SEARCH("%", A1777)),RIGHT(A1777,3),A1777)</f>
        <v>0</v>
      </c>
      <c r="C1777" s="2"/>
    </row>
    <row r="1778" customFormat="false" ht="12.75" hidden="false" customHeight="true" outlineLevel="0" collapsed="false">
      <c r="A1778" s="3" t="s">
        <v>2806</v>
      </c>
      <c r="B1778" s="3" t="str">
        <f aca="false">IF(ISNUMBER(SEARCH("%", A1778)),RIGHT(A1778,3),A1778)</f>
        <v>0.05</v>
      </c>
      <c r="C1778" s="2" t="s">
        <v>2806</v>
      </c>
    </row>
    <row r="1779" customFormat="false" ht="12.75" hidden="false" customHeight="true" outlineLevel="0" collapsed="false">
      <c r="A1779" s="3" t="s">
        <v>3225</v>
      </c>
      <c r="B1779" s="3" t="str">
        <f aca="false">IF(ISNUMBER(SEARCH("%", A1779)),RIGHT(A1779,3),A1779)</f>
        <v>30, 30, SPEAROW</v>
      </c>
      <c r="C1779" s="2" t="s">
        <v>3225</v>
      </c>
    </row>
    <row r="1780" customFormat="false" ht="12.75" hidden="false" customHeight="true" outlineLevel="0" collapsed="false">
      <c r="A1780" s="3" t="s">
        <v>3226</v>
      </c>
      <c r="B1780" s="3" t="str">
        <f aca="false">IF(ISNUMBER(SEARCH("%", A1780)),RIGHT(A1780,3),A1780)</f>
        <v>34, 34, SLOWPOKE</v>
      </c>
      <c r="C1780" s="2" t="s">
        <v>3226</v>
      </c>
    </row>
    <row r="1781" customFormat="false" ht="12.75" hidden="false" customHeight="true" outlineLevel="0" collapsed="false">
      <c r="A1781" s="3"/>
      <c r="B1781" s="3" t="n">
        <f aca="false">IF(ISNUMBER(SEARCH("%", A1781)),RIGHT(A1781,3),A1781)</f>
        <v>0</v>
      </c>
      <c r="C1781" s="2"/>
    </row>
    <row r="1782" customFormat="false" ht="12.75" hidden="false" customHeight="true" outlineLevel="0" collapsed="false">
      <c r="A1782" s="3" t="s">
        <v>2809</v>
      </c>
      <c r="B1782" s="3" t="str">
        <f aca="false">IF(ISNUMBER(SEARCH("%", A1782)),RIGHT(A1782,3),A1782)</f>
        <v>0.04</v>
      </c>
      <c r="C1782" s="2" t="s">
        <v>2809</v>
      </c>
    </row>
    <row r="1783" customFormat="false" ht="12.75" hidden="false" customHeight="true" outlineLevel="0" collapsed="false">
      <c r="A1783" s="3" t="s">
        <v>3227</v>
      </c>
      <c r="B1783" s="3" t="str">
        <f aca="false">IF(ISNUMBER(SEARCH("%", A1783)),RIGHT(A1783,3),A1783)</f>
        <v>37, 37, RAPIDASH</v>
      </c>
      <c r="C1783" s="2" t="s">
        <v>3227</v>
      </c>
    </row>
    <row r="1784" customFormat="false" ht="12.75" hidden="false" customHeight="true" outlineLevel="0" collapsed="false">
      <c r="A1784" s="3" t="s">
        <v>3228</v>
      </c>
      <c r="B1784" s="3" t="str">
        <f aca="false">IF(ISNUMBER(SEARCH("%", A1784)),RIGHT(A1784,3),A1784)</f>
        <v>37, 37, PERSIAN</v>
      </c>
      <c r="C1784" s="2" t="s">
        <v>3228</v>
      </c>
    </row>
    <row r="1785" customFormat="false" ht="12.75" hidden="false" customHeight="true" outlineLevel="0" collapsed="false">
      <c r="A1785" s="3"/>
      <c r="B1785" s="3" t="n">
        <f aca="false">IF(ISNUMBER(SEARCH("%", A1785)),RIGHT(A1785,3),A1785)</f>
        <v>0</v>
      </c>
      <c r="C1785" s="2"/>
    </row>
    <row r="1786" customFormat="false" ht="12.75" hidden="false" customHeight="true" outlineLevel="0" collapsed="false">
      <c r="A1786" s="3" t="s">
        <v>2812</v>
      </c>
      <c r="B1786" s="3" t="str">
        <f aca="false">IF(ISNUMBER(SEARCH("%", A1786)),RIGHT(A1786,3),A1786)</f>
        <v>0.01</v>
      </c>
      <c r="C1786" s="2" t="s">
        <v>2812</v>
      </c>
    </row>
    <row r="1787" customFormat="false" ht="12.75" hidden="false" customHeight="true" outlineLevel="0" collapsed="false">
      <c r="A1787" s="3" t="s">
        <v>3229</v>
      </c>
      <c r="B1787" s="3" t="str">
        <f aca="false">IF(ISNUMBER(SEARCH("%", A1787)),RIGHT(A1787,3),A1787)</f>
        <v>40, 40, RAPIDASH</v>
      </c>
      <c r="C1787" s="2" t="s">
        <v>3229</v>
      </c>
    </row>
    <row r="1788" customFormat="false" ht="12.75" hidden="false" customHeight="true" outlineLevel="0" collapsed="false">
      <c r="A1788" s="3" t="s">
        <v>3230</v>
      </c>
      <c r="B1788" s="3" t="str">
        <f aca="false">IF(ISNUMBER(SEARCH("%", A1788)),RIGHT(A1788,3),A1788)</f>
        <v>40, 40, PERSIAN</v>
      </c>
      <c r="C1788" s="2" t="s">
        <v>3230</v>
      </c>
    </row>
    <row r="1789" customFormat="false" ht="12.75" hidden="false" customHeight="true" outlineLevel="0" collapsed="false">
      <c r="A1789" s="3" t="s">
        <v>3172</v>
      </c>
      <c r="B1789" s="3" t="str">
        <f aca="false">IF(ISNUMBER(SEARCH("%", A1789)),RIGHT(A1789,3),A1789)</f>
        <v>2, 5, 20, TENTACOOL</v>
      </c>
      <c r="C1789" s="2" t="s">
        <v>3172</v>
      </c>
    </row>
    <row r="1790" customFormat="false" ht="12.75" hidden="false" customHeight="true" outlineLevel="0" collapsed="false">
      <c r="A1790" s="3" t="s">
        <v>3173</v>
      </c>
      <c r="B1790" s="3" t="str">
        <f aca="false">IF(ISNUMBER(SEARCH("%", A1790)),RIGHT(A1790,3),A1790)</f>
        <v>20, 35, TENTACOOL</v>
      </c>
      <c r="C1790" s="2" t="s">
        <v>3173</v>
      </c>
    </row>
    <row r="1791" customFormat="false" ht="12.75" hidden="false" customHeight="true" outlineLevel="0" collapsed="false">
      <c r="A1791" s="3" t="s">
        <v>2844</v>
      </c>
      <c r="B1791" s="3" t="str">
        <f aca="false">IF(ISNUMBER(SEARCH("%", A1791)),RIGHT(A1791,3),A1791)</f>
        <v>35, 40, TENTACOOL</v>
      </c>
      <c r="C1791" s="2" t="s">
        <v>2844</v>
      </c>
    </row>
    <row r="1792" customFormat="false" ht="12.75" hidden="false" customHeight="true" outlineLevel="0" collapsed="false">
      <c r="A1792" s="3" t="s">
        <v>3231</v>
      </c>
      <c r="B1792" s="3" t="str">
        <f aca="false">IF(ISNUMBER(SEARCH("%", A1792)),RIGHT(A1792,3),A1792)</f>
        <v>35, 40, TENTACRUEL</v>
      </c>
      <c r="C1792" s="2" t="s">
        <v>3231</v>
      </c>
    </row>
    <row r="1793" customFormat="false" ht="12.75" hidden="false" customHeight="true" outlineLevel="0" collapsed="false">
      <c r="A1793" s="3" t="s">
        <v>3231</v>
      </c>
      <c r="B1793" s="3" t="str">
        <f aca="false">IF(ISNUMBER(SEARCH("%", A1793)),RIGHT(A1793,3),A1793)</f>
        <v>35, 40, TENTACRUEL</v>
      </c>
      <c r="C1793" s="2" t="s">
        <v>3231</v>
      </c>
    </row>
    <row r="1794" customFormat="false" ht="12.75" hidden="false" customHeight="true" outlineLevel="0" collapsed="false">
      <c r="A1794" s="3" t="s">
        <v>3232</v>
      </c>
      <c r="B1794" s="3" t="str">
        <f aca="false">IF(ISNUMBER(SEARCH("%", A1794)),RIGHT(A1794,3),A1794)</f>
        <v>25, 5, 20, GEODUDE</v>
      </c>
      <c r="C1794" s="2" t="s">
        <v>3232</v>
      </c>
    </row>
    <row r="1795" customFormat="false" ht="12.75" hidden="false" customHeight="true" outlineLevel="0" collapsed="false">
      <c r="A1795" s="3" t="s">
        <v>3000</v>
      </c>
      <c r="B1795" s="3" t="str">
        <f aca="false">IF(ISNUMBER(SEARCH("%", A1795)),RIGHT(A1795,3),A1795)</f>
        <v>10, 20, GEODUDE</v>
      </c>
      <c r="C1795" s="2" t="s">
        <v>3000</v>
      </c>
    </row>
    <row r="1796" customFormat="false" ht="12.75" hidden="false" customHeight="true" outlineLevel="0" collapsed="false">
      <c r="A1796" s="3" t="s">
        <v>3001</v>
      </c>
      <c r="B1796" s="3" t="str">
        <f aca="false">IF(ISNUMBER(SEARCH("%", A1796)),RIGHT(A1796,3),A1796)</f>
        <v>15, 30, GEODUDE</v>
      </c>
      <c r="C1796" s="2" t="s">
        <v>3001</v>
      </c>
    </row>
    <row r="1797" customFormat="false" ht="12.75" hidden="false" customHeight="true" outlineLevel="0" collapsed="false">
      <c r="A1797" s="3" t="s">
        <v>3002</v>
      </c>
      <c r="B1797" s="3" t="str">
        <f aca="false">IF(ISNUMBER(SEARCH("%", A1797)),RIGHT(A1797,3),A1797)</f>
        <v>25, 40, GRAVELER</v>
      </c>
      <c r="C1797" s="2" t="s">
        <v>3002</v>
      </c>
    </row>
    <row r="1798" customFormat="false" ht="12.75" hidden="false" customHeight="true" outlineLevel="0" collapsed="false">
      <c r="A1798" s="3" t="s">
        <v>3233</v>
      </c>
      <c r="B1798" s="3" t="str">
        <f aca="false">IF(ISNUMBER(SEARCH("%", A1798)),RIGHT(A1798,3),A1798)</f>
        <v>30, 40, GRAVELER</v>
      </c>
      <c r="C1798" s="2" t="s">
        <v>3233</v>
      </c>
    </row>
    <row r="1799" customFormat="false" ht="12.75" hidden="false" customHeight="true" outlineLevel="0" collapsed="false">
      <c r="A1799" s="3" t="s">
        <v>2925</v>
      </c>
      <c r="B1799" s="3" t="str">
        <f aca="false">IF(ISNUMBER(SEARCH("%", A1799)),RIGHT(A1799,3),A1799)</f>
        <v>20, old rod:</v>
      </c>
      <c r="C1799" s="2" t="s">
        <v>2925</v>
      </c>
    </row>
    <row r="1800" customFormat="false" ht="12.75" hidden="false" customHeight="true" outlineLevel="0" collapsed="false">
      <c r="A1800" s="3" t="s">
        <v>1266</v>
      </c>
      <c r="B1800" s="3" t="str">
        <f aca="false">IF(ISNUMBER(SEARCH("%", A1800)),RIGHT(A1800,3),A1800)</f>
        <v>5, 5, MAGIKARP</v>
      </c>
      <c r="C1800" s="2" t="s">
        <v>1266</v>
      </c>
    </row>
    <row r="1801" customFormat="false" ht="12.75" hidden="false" customHeight="true" outlineLevel="0" collapsed="false">
      <c r="A1801" s="3" t="s">
        <v>1266</v>
      </c>
      <c r="B1801" s="3" t="str">
        <f aca="false">IF(ISNUMBER(SEARCH("%", A1801)),RIGHT(A1801,3),A1801)</f>
        <v>5, 5, MAGIKARP</v>
      </c>
      <c r="C1801" s="2" t="s">
        <v>1266</v>
      </c>
    </row>
    <row r="1802" customFormat="false" ht="12.75" hidden="false" customHeight="true" outlineLevel="0" collapsed="false">
      <c r="A1802" s="3"/>
      <c r="B1802" s="3" t="n">
        <f aca="false">IF(ISNUMBER(SEARCH("%", A1802)),RIGHT(A1802,3),A1802)</f>
        <v>0</v>
      </c>
      <c r="C1802" s="2"/>
    </row>
    <row r="1803" customFormat="false" ht="12.75" hidden="false" customHeight="true" outlineLevel="0" collapsed="false">
      <c r="A1803" s="3" t="s">
        <v>2846</v>
      </c>
      <c r="B1803" s="3" t="str">
        <f aca="false">IF(ISNUMBER(SEARCH("%", A1803)),RIGHT(A1803,3),A1803)</f>
        <v>good rod:</v>
      </c>
      <c r="C1803" s="2" t="s">
        <v>2846</v>
      </c>
    </row>
    <row r="1804" customFormat="false" ht="12.75" hidden="false" customHeight="true" outlineLevel="0" collapsed="false">
      <c r="A1804" s="3" t="s">
        <v>2847</v>
      </c>
      <c r="B1804" s="3" t="str">
        <f aca="false">IF(ISNUMBER(SEARCH("%", A1804)),RIGHT(A1804,3),A1804)</f>
        <v>5, 15, KRABBY</v>
      </c>
      <c r="C1804" s="2" t="s">
        <v>2847</v>
      </c>
    </row>
    <row r="1805" customFormat="false" ht="12.75" hidden="false" customHeight="true" outlineLevel="0" collapsed="false">
      <c r="A1805" s="3" t="s">
        <v>2848</v>
      </c>
      <c r="B1805" s="3" t="str">
        <f aca="false">IF(ISNUMBER(SEARCH("%", A1805)),RIGHT(A1805,3),A1805)</f>
        <v>5, 15, MAGIKARP</v>
      </c>
      <c r="C1805" s="2" t="s">
        <v>2848</v>
      </c>
    </row>
    <row r="1806" customFormat="false" ht="12.75" hidden="false" customHeight="true" outlineLevel="0" collapsed="false">
      <c r="A1806" s="3" t="s">
        <v>2847</v>
      </c>
      <c r="B1806" s="3" t="str">
        <f aca="false">IF(ISNUMBER(SEARCH("%", A1806)),RIGHT(A1806,3),A1806)</f>
        <v>5, 15, KRABBY</v>
      </c>
      <c r="C1806" s="2" t="s">
        <v>2847</v>
      </c>
    </row>
    <row r="1807" customFormat="false" ht="12.75" hidden="false" customHeight="true" outlineLevel="0" collapsed="false">
      <c r="A1807" s="3"/>
      <c r="B1807" s="3" t="n">
        <f aca="false">IF(ISNUMBER(SEARCH("%", A1807)),RIGHT(A1807,3),A1807)</f>
        <v>0</v>
      </c>
      <c r="C1807" s="2"/>
    </row>
    <row r="1808" customFormat="false" ht="12.75" hidden="false" customHeight="true" outlineLevel="0" collapsed="false">
      <c r="A1808" s="3" t="s">
        <v>2850</v>
      </c>
      <c r="B1808" s="3" t="str">
        <f aca="false">IF(ISNUMBER(SEARCH("%", A1808)),RIGHT(A1808,3),A1808)</f>
        <v>super rod:</v>
      </c>
      <c r="C1808" s="2" t="s">
        <v>2850</v>
      </c>
    </row>
    <row r="1809" customFormat="false" ht="12.75" hidden="false" customHeight="true" outlineLevel="0" collapsed="false">
      <c r="A1809" s="3" t="s">
        <v>2851</v>
      </c>
      <c r="B1809" s="3" t="str">
        <f aca="false">IF(ISNUMBER(SEARCH("%", A1809)),RIGHT(A1809,3),A1809)</f>
        <v>15, 25, KRABBY</v>
      </c>
      <c r="C1809" s="2" t="s">
        <v>2851</v>
      </c>
    </row>
    <row r="1810" customFormat="false" ht="12.75" hidden="false" customHeight="true" outlineLevel="0" collapsed="false">
      <c r="A1810" s="3" t="s">
        <v>2851</v>
      </c>
      <c r="B1810" s="3" t="str">
        <f aca="false">IF(ISNUMBER(SEARCH("%", A1810)),RIGHT(A1810,3),A1810)</f>
        <v>15, 25, KRABBY</v>
      </c>
      <c r="C1810" s="2" t="s">
        <v>2851</v>
      </c>
    </row>
    <row r="1811" customFormat="false" ht="12.75" hidden="false" customHeight="true" outlineLevel="0" collapsed="false">
      <c r="A1811" s="3" t="s">
        <v>2853</v>
      </c>
      <c r="B1811" s="3" t="str">
        <f aca="false">IF(ISNUMBER(SEARCH("%", A1811)),RIGHT(A1811,3),A1811)</f>
        <v>15, 25, GYARADOS</v>
      </c>
      <c r="C1811" s="2" t="s">
        <v>2853</v>
      </c>
    </row>
    <row r="1812" customFormat="false" ht="12.75" hidden="false" customHeight="true" outlineLevel="0" collapsed="false">
      <c r="A1812" s="3" t="s">
        <v>3177</v>
      </c>
      <c r="B1812" s="3" t="str">
        <f aca="false">IF(ISNUMBER(SEARCH("%", A1812)),RIGHT(A1812,3),A1812)</f>
        <v>25, 35, KINGLER</v>
      </c>
      <c r="C1812" s="2" t="s">
        <v>3177</v>
      </c>
    </row>
    <row r="1813" customFormat="false" ht="12.75" hidden="false" customHeight="true" outlineLevel="0" collapsed="false">
      <c r="A1813" s="3" t="s">
        <v>2855</v>
      </c>
      <c r="B1813" s="3" t="str">
        <f aca="false">IF(ISNUMBER(SEARCH("%", A1813)),RIGHT(A1813,3),A1813)</f>
        <v>25, 35, SLOWPOKE</v>
      </c>
      <c r="C1813" s="2" t="s">
        <v>2855</v>
      </c>
    </row>
    <row r="1814" customFormat="false" ht="12.75" hidden="false" customHeight="true" outlineLevel="0" collapsed="false">
      <c r="A1814" s="3" t="s">
        <v>2536</v>
      </c>
      <c r="B1814" s="3" t="str">
        <f aca="false">IF(ISNUMBER(SEARCH("%", A1814)),RIGHT(A1814,3),A1814)</f>
        <v>NEW ROUTE</v>
      </c>
      <c r="C1814" s="2" t="s">
        <v>2536</v>
      </c>
    </row>
    <row r="1815" customFormat="false" ht="12.75" hidden="false" customHeight="true" outlineLevel="0" collapsed="false">
      <c r="A1815" s="3" t="s">
        <v>3234</v>
      </c>
      <c r="B1815" s="3" t="str">
        <f aca="false">IF(ISNUMBER(SEARCH("%", A1815)),RIGHT(A1815,3),A1815)</f>
        <v>3, 46, 0,</v>
      </c>
      <c r="C1815" s="2" t="s">
        <v>3234</v>
      </c>
    </row>
    <row r="1816" customFormat="false" ht="12.75" hidden="false" customHeight="true" outlineLevel="0" collapsed="false">
      <c r="A1816" s="3" t="s">
        <v>2908</v>
      </c>
      <c r="B1816" s="3" t="str">
        <f aca="false">IF(ISNUMBER(SEARCH("%", A1816)),RIGHT(A1816,3),A1816)</f>
        <v>20%</v>
      </c>
      <c r="C1816" s="2" t="s">
        <v>2799</v>
      </c>
    </row>
    <row r="1817" customFormat="false" ht="12.75" hidden="false" customHeight="true" outlineLevel="0" collapsed="false">
      <c r="A1817" s="3" t="s">
        <v>1666</v>
      </c>
      <c r="B1817" s="3" t="str">
        <f aca="false">IF(ISNUMBER(SEARCH("%", A1817)),RIGHT(A1817,3),A1817)</f>
        <v>32, 32, SPEAROW</v>
      </c>
      <c r="C1817" s="2" t="s">
        <v>1666</v>
      </c>
    </row>
    <row r="1818" customFormat="false" ht="12.75" hidden="false" customHeight="true" outlineLevel="0" collapsed="false">
      <c r="A1818" s="3" t="s">
        <v>3235</v>
      </c>
      <c r="B1818" s="3" t="str">
        <f aca="false">IF(ISNUMBER(SEARCH("%", A1818)),RIGHT(A1818,3),A1818)</f>
        <v>33, 33, TANGELA</v>
      </c>
      <c r="C1818" s="2" t="s">
        <v>3235</v>
      </c>
    </row>
    <row r="1819" customFormat="false" ht="12.75" hidden="false" customHeight="true" outlineLevel="0" collapsed="false">
      <c r="A1819" s="3"/>
      <c r="B1819" s="3" t="n">
        <f aca="false">IF(ISNUMBER(SEARCH("%", A1819)),RIGHT(A1819,3),A1819)</f>
        <v>0</v>
      </c>
      <c r="C1819" s="2"/>
    </row>
    <row r="1820" customFormat="false" ht="12.75" hidden="false" customHeight="true" outlineLevel="0" collapsed="false">
      <c r="A1820" s="3" t="s">
        <v>2801</v>
      </c>
      <c r="B1820" s="3" t="str">
        <f aca="false">IF(ISNUMBER(SEARCH("%", A1820)),RIGHT(A1820,3),A1820)</f>
        <v>0.1</v>
      </c>
      <c r="C1820" s="2" t="s">
        <v>2801</v>
      </c>
    </row>
    <row r="1821" customFormat="false" ht="12.75" hidden="false" customHeight="true" outlineLevel="0" collapsed="false">
      <c r="A1821" s="3" t="s">
        <v>1687</v>
      </c>
      <c r="B1821" s="3" t="str">
        <f aca="false">IF(ISNUMBER(SEARCH("%", A1821)),RIGHT(A1821,3),A1821)</f>
        <v>31, 31, SPEAROW</v>
      </c>
      <c r="C1821" s="2" t="s">
        <v>1687</v>
      </c>
    </row>
    <row r="1822" customFormat="false" ht="12.75" hidden="false" customHeight="true" outlineLevel="0" collapsed="false">
      <c r="A1822" s="3" t="s">
        <v>3236</v>
      </c>
      <c r="B1822" s="3" t="str">
        <f aca="false">IF(ISNUMBER(SEARCH("%", A1822)),RIGHT(A1822,3),A1822)</f>
        <v>35, 35, TANGELA</v>
      </c>
      <c r="C1822" s="2" t="s">
        <v>3236</v>
      </c>
    </row>
    <row r="1823" customFormat="false" ht="12.75" hidden="false" customHeight="true" outlineLevel="0" collapsed="false">
      <c r="A1823" s="3" t="s">
        <v>3222</v>
      </c>
      <c r="B1823" s="3" t="str">
        <f aca="false">IF(ISNUMBER(SEARCH("%", A1823)),RIGHT(A1823,3),A1823)</f>
        <v>36, 36, FEAROW</v>
      </c>
      <c r="C1823" s="2" t="s">
        <v>3222</v>
      </c>
    </row>
    <row r="1824" customFormat="false" ht="12.75" hidden="false" customHeight="true" outlineLevel="0" collapsed="false">
      <c r="A1824" s="3" t="s">
        <v>3224</v>
      </c>
      <c r="B1824" s="3" t="str">
        <f aca="false">IF(ISNUMBER(SEARCH("%", A1824)),RIGHT(A1824,3),A1824)</f>
        <v>31, 31, MEOWTH</v>
      </c>
      <c r="C1824" s="2" t="s">
        <v>3224</v>
      </c>
    </row>
    <row r="1825" customFormat="false" ht="12.75" hidden="false" customHeight="true" outlineLevel="0" collapsed="false">
      <c r="A1825" s="3"/>
      <c r="B1825" s="3" t="n">
        <f aca="false">IF(ISNUMBER(SEARCH("%", A1825)),RIGHT(A1825,3),A1825)</f>
        <v>0</v>
      </c>
      <c r="C1825" s="2"/>
    </row>
    <row r="1826" customFormat="false" ht="12.75" hidden="false" customHeight="true" outlineLevel="0" collapsed="false">
      <c r="A1826" s="3" t="s">
        <v>2806</v>
      </c>
      <c r="B1826" s="3" t="str">
        <f aca="false">IF(ISNUMBER(SEARCH("%", A1826)),RIGHT(A1826,3),A1826)</f>
        <v>0.05</v>
      </c>
      <c r="C1826" s="2" t="s">
        <v>2806</v>
      </c>
    </row>
    <row r="1827" customFormat="false" ht="12.75" hidden="false" customHeight="true" outlineLevel="0" collapsed="false">
      <c r="A1827" s="3" t="s">
        <v>3070</v>
      </c>
      <c r="B1827" s="3" t="str">
        <f aca="false">IF(ISNUMBER(SEARCH("%", A1827)),RIGHT(A1827,3),A1827)</f>
        <v>38, 38, FEAROW</v>
      </c>
      <c r="C1827" s="2" t="s">
        <v>3070</v>
      </c>
    </row>
    <row r="1828" customFormat="false" ht="12.75" hidden="false" customHeight="true" outlineLevel="0" collapsed="false">
      <c r="A1828" s="3" t="s">
        <v>3133</v>
      </c>
      <c r="B1828" s="3" t="str">
        <f aca="false">IF(ISNUMBER(SEARCH("%", A1828)),RIGHT(A1828,3),A1828)</f>
        <v>31, 31, SLOWPOKE</v>
      </c>
      <c r="C1828" s="2" t="s">
        <v>3133</v>
      </c>
    </row>
    <row r="1829" customFormat="false" ht="12.75" hidden="false" customHeight="true" outlineLevel="0" collapsed="false">
      <c r="A1829" s="3"/>
      <c r="B1829" s="3" t="n">
        <f aca="false">IF(ISNUMBER(SEARCH("%", A1829)),RIGHT(A1829,3),A1829)</f>
        <v>0</v>
      </c>
      <c r="C1829" s="2"/>
    </row>
    <row r="1830" customFormat="false" ht="12.75" hidden="false" customHeight="true" outlineLevel="0" collapsed="false">
      <c r="A1830" s="3" t="s">
        <v>2809</v>
      </c>
      <c r="B1830" s="3" t="str">
        <f aca="false">IF(ISNUMBER(SEARCH("%", A1830)),RIGHT(A1830,3),A1830)</f>
        <v>0.04</v>
      </c>
      <c r="C1830" s="2" t="s">
        <v>2809</v>
      </c>
    </row>
    <row r="1831" customFormat="false" ht="12.75" hidden="false" customHeight="true" outlineLevel="0" collapsed="false">
      <c r="A1831" s="3" t="s">
        <v>3074</v>
      </c>
      <c r="B1831" s="3" t="str">
        <f aca="false">IF(ISNUMBER(SEARCH("%", A1831)),RIGHT(A1831,3),A1831)</f>
        <v>40, 40, FEAROW</v>
      </c>
      <c r="C1831" s="2" t="s">
        <v>3074</v>
      </c>
    </row>
    <row r="1832" customFormat="false" ht="12.75" hidden="false" customHeight="true" outlineLevel="0" collapsed="false">
      <c r="A1832" s="3" t="s">
        <v>3228</v>
      </c>
      <c r="B1832" s="3" t="str">
        <f aca="false">IF(ISNUMBER(SEARCH("%", A1832)),RIGHT(A1832,3),A1832)</f>
        <v>37, 37, PERSIAN</v>
      </c>
      <c r="C1832" s="2" t="s">
        <v>3228</v>
      </c>
    </row>
    <row r="1833" customFormat="false" ht="12.75" hidden="false" customHeight="true" outlineLevel="0" collapsed="false">
      <c r="A1833" s="3"/>
      <c r="B1833" s="3" t="n">
        <f aca="false">IF(ISNUMBER(SEARCH("%", A1833)),RIGHT(A1833,3),A1833)</f>
        <v>0</v>
      </c>
      <c r="C1833" s="2"/>
    </row>
    <row r="1834" customFormat="false" ht="12.75" hidden="false" customHeight="true" outlineLevel="0" collapsed="false">
      <c r="A1834" s="3" t="s">
        <v>2812</v>
      </c>
      <c r="B1834" s="3" t="str">
        <f aca="false">IF(ISNUMBER(SEARCH("%", A1834)),RIGHT(A1834,3),A1834)</f>
        <v>0.01</v>
      </c>
      <c r="C1834" s="2" t="s">
        <v>2812</v>
      </c>
    </row>
    <row r="1835" customFormat="false" ht="12.75" hidden="false" customHeight="true" outlineLevel="0" collapsed="false">
      <c r="A1835" s="3" t="s">
        <v>3074</v>
      </c>
      <c r="B1835" s="3" t="str">
        <f aca="false">IF(ISNUMBER(SEARCH("%", A1835)),RIGHT(A1835,3),A1835)</f>
        <v>40, 40, FEAROW</v>
      </c>
      <c r="C1835" s="2" t="s">
        <v>3074</v>
      </c>
    </row>
    <row r="1836" customFormat="false" ht="12.75" hidden="false" customHeight="true" outlineLevel="0" collapsed="false">
      <c r="A1836" s="3" t="s">
        <v>3230</v>
      </c>
      <c r="B1836" s="3" t="str">
        <f aca="false">IF(ISNUMBER(SEARCH("%", A1836)),RIGHT(A1836,3),A1836)</f>
        <v>40, 40, PERSIAN</v>
      </c>
      <c r="C1836" s="2" t="s">
        <v>3230</v>
      </c>
    </row>
    <row r="1837" customFormat="false" ht="12.75" hidden="false" customHeight="true" outlineLevel="0" collapsed="false">
      <c r="A1837" s="3" t="s">
        <v>3172</v>
      </c>
      <c r="B1837" s="3" t="str">
        <f aca="false">IF(ISNUMBER(SEARCH("%", A1837)),RIGHT(A1837,3),A1837)</f>
        <v>2, 5, 20, TENTACOOL</v>
      </c>
      <c r="C1837" s="2" t="s">
        <v>3172</v>
      </c>
    </row>
    <row r="1838" customFormat="false" ht="12.75" hidden="false" customHeight="true" outlineLevel="0" collapsed="false">
      <c r="A1838" s="3" t="s">
        <v>3173</v>
      </c>
      <c r="B1838" s="3" t="str">
        <f aca="false">IF(ISNUMBER(SEARCH("%", A1838)),RIGHT(A1838,3),A1838)</f>
        <v>20, 35, TENTACOOL</v>
      </c>
      <c r="C1838" s="2" t="s">
        <v>3173</v>
      </c>
    </row>
    <row r="1839" customFormat="false" ht="12.75" hidden="false" customHeight="true" outlineLevel="0" collapsed="false">
      <c r="A1839" s="3" t="s">
        <v>2844</v>
      </c>
      <c r="B1839" s="3" t="str">
        <f aca="false">IF(ISNUMBER(SEARCH("%", A1839)),RIGHT(A1839,3),A1839)</f>
        <v>35, 40, TENTACOOL</v>
      </c>
      <c r="C1839" s="2" t="s">
        <v>2844</v>
      </c>
    </row>
    <row r="1840" customFormat="false" ht="12.75" hidden="false" customHeight="true" outlineLevel="0" collapsed="false">
      <c r="A1840" s="3" t="s">
        <v>3231</v>
      </c>
      <c r="B1840" s="3" t="str">
        <f aca="false">IF(ISNUMBER(SEARCH("%", A1840)),RIGHT(A1840,3),A1840)</f>
        <v>35, 40, TENTACRUEL</v>
      </c>
      <c r="C1840" s="2" t="s">
        <v>3231</v>
      </c>
    </row>
    <row r="1841" customFormat="false" ht="12.75" hidden="false" customHeight="true" outlineLevel="0" collapsed="false">
      <c r="A1841" s="3" t="s">
        <v>3231</v>
      </c>
      <c r="B1841" s="3" t="str">
        <f aca="false">IF(ISNUMBER(SEARCH("%", A1841)),RIGHT(A1841,3),A1841)</f>
        <v>35, 40, TENTACRUEL</v>
      </c>
      <c r="C1841" s="2" t="s">
        <v>3231</v>
      </c>
    </row>
    <row r="1842" customFormat="false" ht="12.75" hidden="false" customHeight="true" outlineLevel="0" collapsed="false">
      <c r="A1842" s="3" t="s">
        <v>2925</v>
      </c>
      <c r="B1842" s="3" t="str">
        <f aca="false">IF(ISNUMBER(SEARCH("%", A1842)),RIGHT(A1842,3),A1842)</f>
        <v>20, old rod:</v>
      </c>
      <c r="C1842" s="2" t="s">
        <v>2925</v>
      </c>
    </row>
    <row r="1843" customFormat="false" ht="12.75" hidden="false" customHeight="true" outlineLevel="0" collapsed="false">
      <c r="A1843" s="3" t="s">
        <v>1266</v>
      </c>
      <c r="B1843" s="3" t="str">
        <f aca="false">IF(ISNUMBER(SEARCH("%", A1843)),RIGHT(A1843,3),A1843)</f>
        <v>5, 5, MAGIKARP</v>
      </c>
      <c r="C1843" s="2" t="s">
        <v>1266</v>
      </c>
    </row>
    <row r="1844" customFormat="false" ht="12.75" hidden="false" customHeight="true" outlineLevel="0" collapsed="false">
      <c r="A1844" s="3" t="s">
        <v>1266</v>
      </c>
      <c r="B1844" s="3" t="str">
        <f aca="false">IF(ISNUMBER(SEARCH("%", A1844)),RIGHT(A1844,3),A1844)</f>
        <v>5, 5, MAGIKARP</v>
      </c>
      <c r="C1844" s="2" t="s">
        <v>1266</v>
      </c>
    </row>
    <row r="1845" customFormat="false" ht="12.75" hidden="false" customHeight="true" outlineLevel="0" collapsed="false">
      <c r="A1845" s="3"/>
      <c r="B1845" s="3" t="n">
        <f aca="false">IF(ISNUMBER(SEARCH("%", A1845)),RIGHT(A1845,3),A1845)</f>
        <v>0</v>
      </c>
      <c r="C1845" s="2"/>
    </row>
    <row r="1846" customFormat="false" ht="12.75" hidden="false" customHeight="true" outlineLevel="0" collapsed="false">
      <c r="A1846" s="3" t="s">
        <v>2846</v>
      </c>
      <c r="B1846" s="3" t="str">
        <f aca="false">IF(ISNUMBER(SEARCH("%", A1846)),RIGHT(A1846,3),A1846)</f>
        <v>good rod:</v>
      </c>
      <c r="C1846" s="2" t="s">
        <v>2846</v>
      </c>
    </row>
    <row r="1847" customFormat="false" ht="12.75" hidden="false" customHeight="true" outlineLevel="0" collapsed="false">
      <c r="A1847" s="3" t="s">
        <v>2847</v>
      </c>
      <c r="B1847" s="3" t="str">
        <f aca="false">IF(ISNUMBER(SEARCH("%", A1847)),RIGHT(A1847,3),A1847)</f>
        <v>5, 15, KRABBY</v>
      </c>
      <c r="C1847" s="2" t="s">
        <v>2847</v>
      </c>
    </row>
    <row r="1848" customFormat="false" ht="12.75" hidden="false" customHeight="true" outlineLevel="0" collapsed="false">
      <c r="A1848" s="3" t="s">
        <v>2848</v>
      </c>
      <c r="B1848" s="3" t="str">
        <f aca="false">IF(ISNUMBER(SEARCH("%", A1848)),RIGHT(A1848,3),A1848)</f>
        <v>5, 15, MAGIKARP</v>
      </c>
      <c r="C1848" s="2" t="s">
        <v>2848</v>
      </c>
    </row>
    <row r="1849" customFormat="false" ht="12.75" hidden="false" customHeight="true" outlineLevel="0" collapsed="false">
      <c r="A1849" s="3" t="s">
        <v>2847</v>
      </c>
      <c r="B1849" s="3" t="str">
        <f aca="false">IF(ISNUMBER(SEARCH("%", A1849)),RIGHT(A1849,3),A1849)</f>
        <v>5, 15, KRABBY</v>
      </c>
      <c r="C1849" s="2" t="s">
        <v>2847</v>
      </c>
    </row>
    <row r="1850" customFormat="false" ht="12.75" hidden="false" customHeight="true" outlineLevel="0" collapsed="false">
      <c r="A1850" s="3"/>
      <c r="B1850" s="3" t="n">
        <f aca="false">IF(ISNUMBER(SEARCH("%", A1850)),RIGHT(A1850,3),A1850)</f>
        <v>0</v>
      </c>
      <c r="C1850" s="2"/>
    </row>
    <row r="1851" customFormat="false" ht="12.75" hidden="false" customHeight="true" outlineLevel="0" collapsed="false">
      <c r="A1851" s="3" t="s">
        <v>2850</v>
      </c>
      <c r="B1851" s="3" t="str">
        <f aca="false">IF(ISNUMBER(SEARCH("%", A1851)),RIGHT(A1851,3),A1851)</f>
        <v>super rod:</v>
      </c>
      <c r="C1851" s="2" t="s">
        <v>2850</v>
      </c>
    </row>
    <row r="1852" customFormat="false" ht="12.75" hidden="false" customHeight="true" outlineLevel="0" collapsed="false">
      <c r="A1852" s="3" t="s">
        <v>2851</v>
      </c>
      <c r="B1852" s="3" t="str">
        <f aca="false">IF(ISNUMBER(SEARCH("%", A1852)),RIGHT(A1852,3),A1852)</f>
        <v>15, 25, KRABBY</v>
      </c>
      <c r="C1852" s="2" t="s">
        <v>2851</v>
      </c>
    </row>
    <row r="1853" customFormat="false" ht="12.75" hidden="false" customHeight="true" outlineLevel="0" collapsed="false">
      <c r="A1853" s="3" t="s">
        <v>2851</v>
      </c>
      <c r="B1853" s="3" t="str">
        <f aca="false">IF(ISNUMBER(SEARCH("%", A1853)),RIGHT(A1853,3),A1853)</f>
        <v>15, 25, KRABBY</v>
      </c>
      <c r="C1853" s="2" t="s">
        <v>2851</v>
      </c>
    </row>
    <row r="1854" customFormat="false" ht="12.75" hidden="false" customHeight="true" outlineLevel="0" collapsed="false">
      <c r="A1854" s="3" t="s">
        <v>2853</v>
      </c>
      <c r="B1854" s="3" t="str">
        <f aca="false">IF(ISNUMBER(SEARCH("%", A1854)),RIGHT(A1854,3),A1854)</f>
        <v>15, 25, GYARADOS</v>
      </c>
      <c r="C1854" s="2" t="s">
        <v>2853</v>
      </c>
    </row>
    <row r="1855" customFormat="false" ht="12.75" hidden="false" customHeight="true" outlineLevel="0" collapsed="false">
      <c r="A1855" s="3" t="s">
        <v>3177</v>
      </c>
      <c r="B1855" s="3" t="str">
        <f aca="false">IF(ISNUMBER(SEARCH("%", A1855)),RIGHT(A1855,3),A1855)</f>
        <v>25, 35, KINGLER</v>
      </c>
      <c r="C1855" s="2" t="s">
        <v>3177</v>
      </c>
    </row>
    <row r="1856" customFormat="false" ht="12.75" hidden="false" customHeight="true" outlineLevel="0" collapsed="false">
      <c r="A1856" s="3" t="s">
        <v>2855</v>
      </c>
      <c r="B1856" s="3" t="str">
        <f aca="false">IF(ISNUMBER(SEARCH("%", A1856)),RIGHT(A1856,3),A1856)</f>
        <v>25, 35, SLOWPOKE</v>
      </c>
      <c r="C1856" s="2" t="s">
        <v>2855</v>
      </c>
    </row>
    <row r="1857" customFormat="false" ht="12.75" hidden="false" customHeight="true" outlineLevel="0" collapsed="false">
      <c r="A1857" s="3" t="s">
        <v>2536</v>
      </c>
      <c r="B1857" s="3" t="str">
        <f aca="false">IF(ISNUMBER(SEARCH("%", A1857)),RIGHT(A1857,3),A1857)</f>
        <v>NEW ROUTE</v>
      </c>
      <c r="C1857" s="2" t="s">
        <v>2536</v>
      </c>
    </row>
    <row r="1858" customFormat="false" ht="12.75" hidden="false" customHeight="true" outlineLevel="0" collapsed="false">
      <c r="A1858" s="3" t="s">
        <v>3237</v>
      </c>
      <c r="B1858" s="3" t="str">
        <f aca="false">IF(ISNUMBER(SEARCH("%", A1858)),RIGHT(A1858,3),A1858)</f>
        <v>3, 47, 0,</v>
      </c>
      <c r="C1858" s="2" t="s">
        <v>3237</v>
      </c>
    </row>
    <row r="1859" customFormat="false" ht="12.75" hidden="false" customHeight="true" outlineLevel="0" collapsed="false">
      <c r="A1859" s="3" t="s">
        <v>2908</v>
      </c>
      <c r="B1859" s="3" t="str">
        <f aca="false">IF(ISNUMBER(SEARCH("%", A1859)),RIGHT(A1859,3),A1859)</f>
        <v>20%</v>
      </c>
      <c r="C1859" s="2" t="s">
        <v>2799</v>
      </c>
    </row>
    <row r="1860" customFormat="false" ht="12.75" hidden="false" customHeight="true" outlineLevel="0" collapsed="false">
      <c r="A1860" s="3" t="s">
        <v>1687</v>
      </c>
      <c r="B1860" s="3" t="str">
        <f aca="false">IF(ISNUMBER(SEARCH("%", A1860)),RIGHT(A1860,3),A1860)</f>
        <v>31, 31, SPEAROW</v>
      </c>
      <c r="C1860" s="2" t="s">
        <v>1687</v>
      </c>
    </row>
    <row r="1861" customFormat="false" ht="12.75" hidden="false" customHeight="true" outlineLevel="0" collapsed="false">
      <c r="A1861" s="3" t="s">
        <v>3129</v>
      </c>
      <c r="B1861" s="3" t="str">
        <f aca="false">IF(ISNUMBER(SEARCH("%", A1861)),RIGHT(A1861,3),A1861)</f>
        <v>30, 30, BELLSPROUT</v>
      </c>
      <c r="C1861" s="2" t="s">
        <v>3129</v>
      </c>
    </row>
    <row r="1862" customFormat="false" ht="12.75" hidden="false" customHeight="true" outlineLevel="0" collapsed="false">
      <c r="A1862" s="3"/>
      <c r="B1862" s="3" t="n">
        <f aca="false">IF(ISNUMBER(SEARCH("%", A1862)),RIGHT(A1862,3),A1862)</f>
        <v>0</v>
      </c>
      <c r="C1862" s="2"/>
    </row>
    <row r="1863" customFormat="false" ht="12.75" hidden="false" customHeight="true" outlineLevel="0" collapsed="false">
      <c r="A1863" s="3" t="s">
        <v>2801</v>
      </c>
      <c r="B1863" s="3" t="str">
        <f aca="false">IF(ISNUMBER(SEARCH("%", A1863)),RIGHT(A1863,3),A1863)</f>
        <v>0.1</v>
      </c>
      <c r="C1863" s="2" t="s">
        <v>2801</v>
      </c>
    </row>
    <row r="1864" customFormat="false" ht="12.75" hidden="false" customHeight="true" outlineLevel="0" collapsed="false">
      <c r="A1864" s="3" t="s">
        <v>3238</v>
      </c>
      <c r="B1864" s="3" t="str">
        <f aca="false">IF(ISNUMBER(SEARCH("%", A1864)),RIGHT(A1864,3),A1864)</f>
        <v>32, 32, BELLSPROUT</v>
      </c>
      <c r="C1864" s="2" t="s">
        <v>3238</v>
      </c>
    </row>
    <row r="1865" customFormat="false" ht="12.75" hidden="false" customHeight="true" outlineLevel="0" collapsed="false">
      <c r="A1865" s="3" t="s">
        <v>3239</v>
      </c>
      <c r="B1865" s="3" t="str">
        <f aca="false">IF(ISNUMBER(SEARCH("%", A1865)),RIGHT(A1865,3),A1865)</f>
        <v>36, 36, WEEPINBELL</v>
      </c>
      <c r="C1865" s="2" t="s">
        <v>3239</v>
      </c>
    </row>
    <row r="1866" customFormat="false" ht="12.75" hidden="false" customHeight="true" outlineLevel="0" collapsed="false">
      <c r="A1866" s="3" t="s">
        <v>3222</v>
      </c>
      <c r="B1866" s="3" t="str">
        <f aca="false">IF(ISNUMBER(SEARCH("%", A1866)),RIGHT(A1866,3),A1866)</f>
        <v>36, 36, FEAROW</v>
      </c>
      <c r="C1866" s="2" t="s">
        <v>3222</v>
      </c>
    </row>
    <row r="1867" customFormat="false" ht="12.75" hidden="false" customHeight="true" outlineLevel="0" collapsed="false">
      <c r="A1867" s="3" t="s">
        <v>3224</v>
      </c>
      <c r="B1867" s="3" t="str">
        <f aca="false">IF(ISNUMBER(SEARCH("%", A1867)),RIGHT(A1867,3),A1867)</f>
        <v>31, 31, MEOWTH</v>
      </c>
      <c r="C1867" s="2" t="s">
        <v>3224</v>
      </c>
    </row>
    <row r="1868" customFormat="false" ht="12.75" hidden="false" customHeight="true" outlineLevel="0" collapsed="false">
      <c r="A1868" s="3"/>
      <c r="B1868" s="3" t="n">
        <f aca="false">IF(ISNUMBER(SEARCH("%", A1868)),RIGHT(A1868,3),A1868)</f>
        <v>0</v>
      </c>
      <c r="C1868" s="2"/>
    </row>
    <row r="1869" customFormat="false" ht="12.75" hidden="false" customHeight="true" outlineLevel="0" collapsed="false">
      <c r="A1869" s="3" t="s">
        <v>2806</v>
      </c>
      <c r="B1869" s="3" t="str">
        <f aca="false">IF(ISNUMBER(SEARCH("%", A1869)),RIGHT(A1869,3),A1869)</f>
        <v>0.05</v>
      </c>
      <c r="C1869" s="2" t="s">
        <v>2806</v>
      </c>
    </row>
    <row r="1870" customFormat="false" ht="12.75" hidden="false" customHeight="true" outlineLevel="0" collapsed="false">
      <c r="A1870" s="3" t="s">
        <v>3240</v>
      </c>
      <c r="B1870" s="3" t="str">
        <f aca="false">IF(ISNUMBER(SEARCH("%", A1870)),RIGHT(A1870,3),A1870)</f>
        <v>38, 38, WEEPINBELL</v>
      </c>
      <c r="C1870" s="2" t="s">
        <v>3240</v>
      </c>
    </row>
    <row r="1871" customFormat="false" ht="12.75" hidden="false" customHeight="true" outlineLevel="0" collapsed="false">
      <c r="A1871" s="3" t="s">
        <v>3133</v>
      </c>
      <c r="B1871" s="3" t="str">
        <f aca="false">IF(ISNUMBER(SEARCH("%", A1871)),RIGHT(A1871,3),A1871)</f>
        <v>31, 31, SLOWPOKE</v>
      </c>
      <c r="C1871" s="2" t="s">
        <v>3133</v>
      </c>
    </row>
    <row r="1872" customFormat="false" ht="12.75" hidden="false" customHeight="true" outlineLevel="0" collapsed="false">
      <c r="A1872" s="3"/>
      <c r="B1872" s="3" t="n">
        <f aca="false">IF(ISNUMBER(SEARCH("%", A1872)),RIGHT(A1872,3),A1872)</f>
        <v>0</v>
      </c>
      <c r="C1872" s="2"/>
    </row>
    <row r="1873" customFormat="false" ht="12.75" hidden="false" customHeight="true" outlineLevel="0" collapsed="false">
      <c r="A1873" s="3" t="s">
        <v>2809</v>
      </c>
      <c r="B1873" s="3" t="str">
        <f aca="false">IF(ISNUMBER(SEARCH("%", A1873)),RIGHT(A1873,3),A1873)</f>
        <v>0.04</v>
      </c>
      <c r="C1873" s="2" t="s">
        <v>2809</v>
      </c>
    </row>
    <row r="1874" customFormat="false" ht="12.75" hidden="false" customHeight="true" outlineLevel="0" collapsed="false">
      <c r="A1874" s="3" t="s">
        <v>3241</v>
      </c>
      <c r="B1874" s="3" t="str">
        <f aca="false">IF(ISNUMBER(SEARCH("%", A1874)),RIGHT(A1874,3),A1874)</f>
        <v>37, 37, SLOWBRO</v>
      </c>
      <c r="C1874" s="2" t="s">
        <v>3241</v>
      </c>
    </row>
    <row r="1875" customFormat="false" ht="12.75" hidden="false" customHeight="true" outlineLevel="0" collapsed="false">
      <c r="A1875" s="3" t="s">
        <v>3228</v>
      </c>
      <c r="B1875" s="3" t="str">
        <f aca="false">IF(ISNUMBER(SEARCH("%", A1875)),RIGHT(A1875,3),A1875)</f>
        <v>37, 37, PERSIAN</v>
      </c>
      <c r="C1875" s="2" t="s">
        <v>3228</v>
      </c>
    </row>
    <row r="1876" customFormat="false" ht="12.75" hidden="false" customHeight="true" outlineLevel="0" collapsed="false">
      <c r="A1876" s="3"/>
      <c r="B1876" s="3" t="n">
        <f aca="false">IF(ISNUMBER(SEARCH("%", A1876)),RIGHT(A1876,3),A1876)</f>
        <v>0</v>
      </c>
      <c r="C1876" s="2"/>
    </row>
    <row r="1877" customFormat="false" ht="12.75" hidden="false" customHeight="true" outlineLevel="0" collapsed="false">
      <c r="A1877" s="3" t="s">
        <v>2812</v>
      </c>
      <c r="B1877" s="3" t="str">
        <f aca="false">IF(ISNUMBER(SEARCH("%", A1877)),RIGHT(A1877,3),A1877)</f>
        <v>0.01</v>
      </c>
      <c r="C1877" s="2" t="s">
        <v>2812</v>
      </c>
    </row>
    <row r="1878" customFormat="false" ht="12.75" hidden="false" customHeight="true" outlineLevel="0" collapsed="false">
      <c r="A1878" s="3" t="s">
        <v>3242</v>
      </c>
      <c r="B1878" s="3" t="str">
        <f aca="false">IF(ISNUMBER(SEARCH("%", A1878)),RIGHT(A1878,3),A1878)</f>
        <v>40, 40, SLOWBRO</v>
      </c>
      <c r="C1878" s="2" t="s">
        <v>3242</v>
      </c>
    </row>
    <row r="1879" customFormat="false" ht="12.75" hidden="false" customHeight="true" outlineLevel="0" collapsed="false">
      <c r="A1879" s="3" t="s">
        <v>3230</v>
      </c>
      <c r="B1879" s="3" t="str">
        <f aca="false">IF(ISNUMBER(SEARCH("%", A1879)),RIGHT(A1879,3),A1879)</f>
        <v>40, 40, PERSIAN</v>
      </c>
      <c r="C1879" s="2" t="s">
        <v>3230</v>
      </c>
    </row>
    <row r="1880" customFormat="false" ht="12.75" hidden="false" customHeight="true" outlineLevel="0" collapsed="false">
      <c r="A1880" s="3" t="s">
        <v>3138</v>
      </c>
      <c r="B1880" s="3" t="str">
        <f aca="false">IF(ISNUMBER(SEARCH("%", A1880)),RIGHT(A1880,3),A1880)</f>
        <v>2, 5, 20, SLOWPOKE</v>
      </c>
      <c r="C1880" s="2" t="s">
        <v>3138</v>
      </c>
    </row>
    <row r="1881" customFormat="false" ht="12.75" hidden="false" customHeight="true" outlineLevel="0" collapsed="false">
      <c r="A1881" s="3" t="s">
        <v>3139</v>
      </c>
      <c r="B1881" s="3" t="str">
        <f aca="false">IF(ISNUMBER(SEARCH("%", A1881)),RIGHT(A1881,3),A1881)</f>
        <v>20, 35, SLOWPOKE</v>
      </c>
      <c r="C1881" s="2" t="s">
        <v>3139</v>
      </c>
    </row>
    <row r="1882" customFormat="false" ht="12.75" hidden="false" customHeight="true" outlineLevel="0" collapsed="false">
      <c r="A1882" s="3" t="s">
        <v>3140</v>
      </c>
      <c r="B1882" s="3" t="str">
        <f aca="false">IF(ISNUMBER(SEARCH("%", A1882)),RIGHT(A1882,3),A1882)</f>
        <v>35, 40, SLOWPOKE</v>
      </c>
      <c r="C1882" s="2" t="s">
        <v>3140</v>
      </c>
    </row>
    <row r="1883" customFormat="false" ht="12.75" hidden="false" customHeight="true" outlineLevel="0" collapsed="false">
      <c r="A1883" s="3" t="s">
        <v>3141</v>
      </c>
      <c r="B1883" s="3" t="str">
        <f aca="false">IF(ISNUMBER(SEARCH("%", A1883)),RIGHT(A1883,3),A1883)</f>
        <v>35, 40, SLOWBRO</v>
      </c>
      <c r="C1883" s="2" t="s">
        <v>3141</v>
      </c>
    </row>
    <row r="1884" customFormat="false" ht="12.75" hidden="false" customHeight="true" outlineLevel="0" collapsed="false">
      <c r="A1884" s="3" t="s">
        <v>3141</v>
      </c>
      <c r="B1884" s="3" t="str">
        <f aca="false">IF(ISNUMBER(SEARCH("%", A1884)),RIGHT(A1884,3),A1884)</f>
        <v>35, 40, SLOWBRO</v>
      </c>
      <c r="C1884" s="2" t="s">
        <v>3141</v>
      </c>
    </row>
    <row r="1885" customFormat="false" ht="12.75" hidden="false" customHeight="true" outlineLevel="0" collapsed="false">
      <c r="A1885" s="3" t="s">
        <v>2925</v>
      </c>
      <c r="B1885" s="3" t="str">
        <f aca="false">IF(ISNUMBER(SEARCH("%", A1885)),RIGHT(A1885,3),A1885)</f>
        <v>20, old rod:</v>
      </c>
      <c r="C1885" s="2" t="s">
        <v>2925</v>
      </c>
    </row>
    <row r="1886" customFormat="false" ht="12.75" hidden="false" customHeight="true" outlineLevel="0" collapsed="false">
      <c r="A1886" s="3" t="s">
        <v>1266</v>
      </c>
      <c r="B1886" s="3" t="str">
        <f aca="false">IF(ISNUMBER(SEARCH("%", A1886)),RIGHT(A1886,3),A1886)</f>
        <v>5, 5, MAGIKARP</v>
      </c>
      <c r="C1886" s="2" t="s">
        <v>1266</v>
      </c>
    </row>
    <row r="1887" customFormat="false" ht="12.75" hidden="false" customHeight="true" outlineLevel="0" collapsed="false">
      <c r="A1887" s="3" t="s">
        <v>1266</v>
      </c>
      <c r="B1887" s="3" t="str">
        <f aca="false">IF(ISNUMBER(SEARCH("%", A1887)),RIGHT(A1887,3),A1887)</f>
        <v>5, 5, MAGIKARP</v>
      </c>
      <c r="C1887" s="2" t="s">
        <v>1266</v>
      </c>
    </row>
    <row r="1888" customFormat="false" ht="12.75" hidden="false" customHeight="true" outlineLevel="0" collapsed="false">
      <c r="A1888" s="3"/>
      <c r="B1888" s="3" t="n">
        <f aca="false">IF(ISNUMBER(SEARCH("%", A1888)),RIGHT(A1888,3),A1888)</f>
        <v>0</v>
      </c>
      <c r="C1888" s="2"/>
    </row>
    <row r="1889" customFormat="false" ht="12.75" hidden="false" customHeight="true" outlineLevel="0" collapsed="false">
      <c r="A1889" s="3" t="s">
        <v>2846</v>
      </c>
      <c r="B1889" s="3" t="str">
        <f aca="false">IF(ISNUMBER(SEARCH("%", A1889)),RIGHT(A1889,3),A1889)</f>
        <v>good rod:</v>
      </c>
      <c r="C1889" s="2" t="s">
        <v>2846</v>
      </c>
    </row>
    <row r="1890" customFormat="false" ht="12.75" hidden="false" customHeight="true" outlineLevel="0" collapsed="false">
      <c r="A1890" s="3" t="s">
        <v>3143</v>
      </c>
      <c r="B1890" s="3" t="str">
        <f aca="false">IF(ISNUMBER(SEARCH("%", A1890)),RIGHT(A1890,3),A1890)</f>
        <v>5, 15, POLIWAG</v>
      </c>
      <c r="C1890" s="2" t="s">
        <v>3143</v>
      </c>
    </row>
    <row r="1891" customFormat="false" ht="12.75" hidden="false" customHeight="true" outlineLevel="0" collapsed="false">
      <c r="A1891" s="3" t="s">
        <v>2848</v>
      </c>
      <c r="B1891" s="3" t="str">
        <f aca="false">IF(ISNUMBER(SEARCH("%", A1891)),RIGHT(A1891,3),A1891)</f>
        <v>5, 15, MAGIKARP</v>
      </c>
      <c r="C1891" s="2" t="s">
        <v>2848</v>
      </c>
    </row>
    <row r="1892" customFormat="false" ht="12.75" hidden="false" customHeight="true" outlineLevel="0" collapsed="false">
      <c r="A1892" s="3" t="s">
        <v>3142</v>
      </c>
      <c r="B1892" s="3" t="str">
        <f aca="false">IF(ISNUMBER(SEARCH("%", A1892)),RIGHT(A1892,3),A1892)</f>
        <v>5, 15, GOLDEEN</v>
      </c>
      <c r="C1892" s="2" t="s">
        <v>3142</v>
      </c>
    </row>
    <row r="1893" customFormat="false" ht="12.75" hidden="false" customHeight="true" outlineLevel="0" collapsed="false">
      <c r="A1893" s="3"/>
      <c r="B1893" s="3" t="n">
        <f aca="false">IF(ISNUMBER(SEARCH("%", A1893)),RIGHT(A1893,3),A1893)</f>
        <v>0</v>
      </c>
      <c r="C1893" s="2"/>
    </row>
    <row r="1894" customFormat="false" ht="12.75" hidden="false" customHeight="true" outlineLevel="0" collapsed="false">
      <c r="A1894" s="3" t="s">
        <v>2850</v>
      </c>
      <c r="B1894" s="3" t="str">
        <f aca="false">IF(ISNUMBER(SEARCH("%", A1894)),RIGHT(A1894,3),A1894)</f>
        <v>super rod:</v>
      </c>
      <c r="C1894" s="2" t="s">
        <v>2850</v>
      </c>
    </row>
    <row r="1895" customFormat="false" ht="12.75" hidden="false" customHeight="true" outlineLevel="0" collapsed="false">
      <c r="A1895" s="3" t="s">
        <v>3161</v>
      </c>
      <c r="B1895" s="3" t="str">
        <f aca="false">IF(ISNUMBER(SEARCH("%", A1895)),RIGHT(A1895,3),A1895)</f>
        <v>15, 25, POLIWAG</v>
      </c>
      <c r="C1895" s="2" t="s">
        <v>3161</v>
      </c>
    </row>
    <row r="1896" customFormat="false" ht="12.75" hidden="false" customHeight="true" outlineLevel="0" collapsed="false">
      <c r="A1896" s="3" t="s">
        <v>3162</v>
      </c>
      <c r="B1896" s="3" t="str">
        <f aca="false">IF(ISNUMBER(SEARCH("%", A1896)),RIGHT(A1896,3),A1896)</f>
        <v>20, 30, POLIWHIRL</v>
      </c>
      <c r="C1896" s="2" t="s">
        <v>3162</v>
      </c>
    </row>
    <row r="1897" customFormat="false" ht="12.75" hidden="false" customHeight="true" outlineLevel="0" collapsed="false">
      <c r="A1897" s="3" t="s">
        <v>2853</v>
      </c>
      <c r="B1897" s="3" t="str">
        <f aca="false">IF(ISNUMBER(SEARCH("%", A1897)),RIGHT(A1897,3),A1897)</f>
        <v>15, 25, GYARADOS</v>
      </c>
      <c r="C1897" s="2" t="s">
        <v>2853</v>
      </c>
    </row>
    <row r="1898" customFormat="false" ht="12.75" hidden="false" customHeight="true" outlineLevel="0" collapsed="false">
      <c r="A1898" s="3" t="s">
        <v>3146</v>
      </c>
      <c r="B1898" s="3" t="str">
        <f aca="false">IF(ISNUMBER(SEARCH("%", A1898)),RIGHT(A1898,3),A1898)</f>
        <v>15, 25, SLOWPOKE</v>
      </c>
      <c r="C1898" s="2" t="s">
        <v>3146</v>
      </c>
    </row>
    <row r="1899" customFormat="false" ht="12.75" hidden="false" customHeight="true" outlineLevel="0" collapsed="false">
      <c r="A1899" s="3" t="s">
        <v>2855</v>
      </c>
      <c r="B1899" s="3" t="str">
        <f aca="false">IF(ISNUMBER(SEARCH("%", A1899)),RIGHT(A1899,3),A1899)</f>
        <v>25, 35, SLOWPOKE</v>
      </c>
      <c r="C1899" s="2" t="s">
        <v>2855</v>
      </c>
    </row>
    <row r="1900" customFormat="false" ht="12.75" hidden="false" customHeight="true" outlineLevel="0" collapsed="false">
      <c r="A1900" s="3" t="s">
        <v>2536</v>
      </c>
      <c r="B1900" s="3" t="str">
        <f aca="false">IF(ISNUMBER(SEARCH("%", A1900)),RIGHT(A1900,3),A1900)</f>
        <v>NEW ROUTE</v>
      </c>
      <c r="C1900" s="2" t="s">
        <v>2536</v>
      </c>
    </row>
    <row r="1901" customFormat="false" ht="12.75" hidden="false" customHeight="true" outlineLevel="0" collapsed="false">
      <c r="A1901" s="3" t="s">
        <v>3243</v>
      </c>
      <c r="B1901" s="3" t="str">
        <f aca="false">IF(ISNUMBER(SEARCH("%", A1901)),RIGHT(A1901,3),A1901)</f>
        <v>3, 48, 0,</v>
      </c>
      <c r="C1901" s="2" t="s">
        <v>3243</v>
      </c>
    </row>
    <row r="1902" customFormat="false" ht="12.75" hidden="false" customHeight="true" outlineLevel="0" collapsed="false">
      <c r="A1902" s="3" t="s">
        <v>2908</v>
      </c>
      <c r="B1902" s="3" t="str">
        <f aca="false">IF(ISNUMBER(SEARCH("%", A1902)),RIGHT(A1902,3),A1902)</f>
        <v>20%</v>
      </c>
      <c r="C1902" s="2" t="s">
        <v>2799</v>
      </c>
    </row>
    <row r="1903" customFormat="false" ht="12.75" hidden="false" customHeight="true" outlineLevel="0" collapsed="false">
      <c r="A1903" s="3" t="s">
        <v>1695</v>
      </c>
      <c r="B1903" s="3" t="str">
        <f aca="false">IF(ISNUMBER(SEARCH("%", A1903)),RIGHT(A1903,3),A1903)</f>
        <v>32, 32, PIDGEY</v>
      </c>
      <c r="C1903" s="2" t="s">
        <v>1695</v>
      </c>
    </row>
    <row r="1904" customFormat="false" ht="12.75" hidden="false" customHeight="true" outlineLevel="0" collapsed="false">
      <c r="A1904" s="3" t="s">
        <v>3244</v>
      </c>
      <c r="B1904" s="3" t="str">
        <f aca="false">IF(ISNUMBER(SEARCH("%", A1904)),RIGHT(A1904,3),A1904)</f>
        <v>31, 31, BELLSPROUT</v>
      </c>
      <c r="C1904" s="2" t="s">
        <v>3244</v>
      </c>
    </row>
    <row r="1905" customFormat="false" ht="12.75" hidden="false" customHeight="true" outlineLevel="0" collapsed="false">
      <c r="A1905" s="3"/>
      <c r="B1905" s="3" t="n">
        <f aca="false">IF(ISNUMBER(SEARCH("%", A1905)),RIGHT(A1905,3),A1905)</f>
        <v>0</v>
      </c>
      <c r="C1905" s="2"/>
    </row>
    <row r="1906" customFormat="false" ht="12.75" hidden="false" customHeight="true" outlineLevel="0" collapsed="false">
      <c r="A1906" s="3" t="s">
        <v>2801</v>
      </c>
      <c r="B1906" s="3" t="str">
        <f aca="false">IF(ISNUMBER(SEARCH("%", A1906)),RIGHT(A1906,3),A1906)</f>
        <v>0.1</v>
      </c>
      <c r="C1906" s="2" t="s">
        <v>2801</v>
      </c>
    </row>
    <row r="1907" customFormat="false" ht="12.75" hidden="false" customHeight="true" outlineLevel="0" collapsed="false">
      <c r="A1907" s="3" t="s">
        <v>3245</v>
      </c>
      <c r="B1907" s="3" t="str">
        <f aca="false">IF(ISNUMBER(SEARCH("%", A1907)),RIGHT(A1907,3),A1907)</f>
        <v>29, 29, PIDGEY</v>
      </c>
      <c r="C1907" s="2" t="s">
        <v>3245</v>
      </c>
    </row>
    <row r="1908" customFormat="false" ht="12.75" hidden="false" customHeight="true" outlineLevel="0" collapsed="false">
      <c r="A1908" s="3" t="s">
        <v>3239</v>
      </c>
      <c r="B1908" s="3" t="str">
        <f aca="false">IF(ISNUMBER(SEARCH("%", A1908)),RIGHT(A1908,3),A1908)</f>
        <v>36, 36, WEEPINBELL</v>
      </c>
      <c r="C1908" s="2" t="s">
        <v>3239</v>
      </c>
    </row>
    <row r="1909" customFormat="false" ht="12.75" hidden="false" customHeight="true" outlineLevel="0" collapsed="false">
      <c r="A1909" s="3" t="s">
        <v>3246</v>
      </c>
      <c r="B1909" s="3" t="str">
        <f aca="false">IF(ISNUMBER(SEARCH("%", A1909)),RIGHT(A1909,3),A1909)</f>
        <v>34, 34, PIDGEOTTO</v>
      </c>
      <c r="C1909" s="2" t="s">
        <v>3246</v>
      </c>
    </row>
    <row r="1910" customFormat="false" ht="12.75" hidden="false" customHeight="true" outlineLevel="0" collapsed="false">
      <c r="A1910" s="3" t="s">
        <v>3224</v>
      </c>
      <c r="B1910" s="3" t="str">
        <f aca="false">IF(ISNUMBER(SEARCH("%", A1910)),RIGHT(A1910,3),A1910)</f>
        <v>31, 31, MEOWTH</v>
      </c>
      <c r="C1910" s="2" t="s">
        <v>3224</v>
      </c>
    </row>
    <row r="1911" customFormat="false" ht="12.75" hidden="false" customHeight="true" outlineLevel="0" collapsed="false">
      <c r="A1911" s="3"/>
      <c r="B1911" s="3" t="n">
        <f aca="false">IF(ISNUMBER(SEARCH("%", A1911)),RIGHT(A1911,3),A1911)</f>
        <v>0</v>
      </c>
      <c r="C1911" s="2"/>
    </row>
    <row r="1912" customFormat="false" ht="12.75" hidden="false" customHeight="true" outlineLevel="0" collapsed="false">
      <c r="A1912" s="3" t="s">
        <v>2806</v>
      </c>
      <c r="B1912" s="3" t="str">
        <f aca="false">IF(ISNUMBER(SEARCH("%", A1912)),RIGHT(A1912,3),A1912)</f>
        <v>0.05</v>
      </c>
      <c r="C1912" s="2" t="s">
        <v>2806</v>
      </c>
    </row>
    <row r="1913" customFormat="false" ht="12.75" hidden="false" customHeight="true" outlineLevel="0" collapsed="false">
      <c r="A1913" s="3" t="s">
        <v>3130</v>
      </c>
      <c r="B1913" s="3" t="str">
        <f aca="false">IF(ISNUMBER(SEARCH("%", A1913)),RIGHT(A1913,3),A1913)</f>
        <v>34, 34, VENONAT</v>
      </c>
      <c r="C1913" s="2" t="s">
        <v>3130</v>
      </c>
    </row>
    <row r="1914" customFormat="false" ht="12.75" hidden="false" customHeight="true" outlineLevel="0" collapsed="false">
      <c r="A1914" s="3" t="s">
        <v>3133</v>
      </c>
      <c r="B1914" s="3" t="str">
        <f aca="false">IF(ISNUMBER(SEARCH("%", A1914)),RIGHT(A1914,3),A1914)</f>
        <v>31, 31, SLOWPOKE</v>
      </c>
      <c r="C1914" s="2" t="s">
        <v>3133</v>
      </c>
    </row>
    <row r="1915" customFormat="false" ht="12.75" hidden="false" customHeight="true" outlineLevel="0" collapsed="false">
      <c r="A1915" s="3"/>
      <c r="B1915" s="3" t="n">
        <f aca="false">IF(ISNUMBER(SEARCH("%", A1915)),RIGHT(A1915,3),A1915)</f>
        <v>0</v>
      </c>
      <c r="C1915" s="2"/>
    </row>
    <row r="1916" customFormat="false" ht="12.75" hidden="false" customHeight="true" outlineLevel="0" collapsed="false">
      <c r="A1916" s="3" t="s">
        <v>2809</v>
      </c>
      <c r="B1916" s="3" t="str">
        <f aca="false">IF(ISNUMBER(SEARCH("%", A1916)),RIGHT(A1916,3),A1916)</f>
        <v>0.04</v>
      </c>
      <c r="C1916" s="2" t="s">
        <v>2809</v>
      </c>
    </row>
    <row r="1917" customFormat="false" ht="12.75" hidden="false" customHeight="true" outlineLevel="0" collapsed="false">
      <c r="A1917" s="3" t="s">
        <v>1569</v>
      </c>
      <c r="B1917" s="3" t="str">
        <f aca="false">IF(ISNUMBER(SEARCH("%", A1917)),RIGHT(A1917,3),A1917)</f>
        <v>37, 37, PIDGEOTTO</v>
      </c>
      <c r="C1917" s="2" t="s">
        <v>1569</v>
      </c>
    </row>
    <row r="1918" customFormat="false" ht="12.75" hidden="false" customHeight="true" outlineLevel="0" collapsed="false">
      <c r="A1918" s="3" t="s">
        <v>3228</v>
      </c>
      <c r="B1918" s="3" t="str">
        <f aca="false">IF(ISNUMBER(SEARCH("%", A1918)),RIGHT(A1918,3),A1918)</f>
        <v>37, 37, PERSIAN</v>
      </c>
      <c r="C1918" s="2" t="s">
        <v>3228</v>
      </c>
    </row>
    <row r="1919" customFormat="false" ht="12.75" hidden="false" customHeight="true" outlineLevel="0" collapsed="false">
      <c r="A1919" s="3"/>
      <c r="B1919" s="3" t="n">
        <f aca="false">IF(ISNUMBER(SEARCH("%", A1919)),RIGHT(A1919,3),A1919)</f>
        <v>0</v>
      </c>
      <c r="C1919" s="2"/>
    </row>
    <row r="1920" customFormat="false" ht="12.75" hidden="false" customHeight="true" outlineLevel="0" collapsed="false">
      <c r="A1920" s="3" t="s">
        <v>2812</v>
      </c>
      <c r="B1920" s="3" t="str">
        <f aca="false">IF(ISNUMBER(SEARCH("%", A1920)),RIGHT(A1920,3),A1920)</f>
        <v>0.01</v>
      </c>
      <c r="C1920" s="2" t="s">
        <v>2812</v>
      </c>
    </row>
    <row r="1921" customFormat="false" ht="12.75" hidden="false" customHeight="true" outlineLevel="0" collapsed="false">
      <c r="A1921" s="3" t="s">
        <v>3247</v>
      </c>
      <c r="B1921" s="3" t="str">
        <f aca="false">IF(ISNUMBER(SEARCH("%", A1921)),RIGHT(A1921,3),A1921)</f>
        <v>40, 40, PIDGEOTTO</v>
      </c>
      <c r="C1921" s="2" t="s">
        <v>3247</v>
      </c>
    </row>
    <row r="1922" customFormat="false" ht="12.75" hidden="false" customHeight="true" outlineLevel="0" collapsed="false">
      <c r="A1922" s="3" t="s">
        <v>3230</v>
      </c>
      <c r="B1922" s="3" t="str">
        <f aca="false">IF(ISNUMBER(SEARCH("%", A1922)),RIGHT(A1922,3),A1922)</f>
        <v>40, 40, PERSIAN</v>
      </c>
      <c r="C1922" s="2" t="s">
        <v>3230</v>
      </c>
    </row>
    <row r="1923" customFormat="false" ht="12.75" hidden="false" customHeight="true" outlineLevel="0" collapsed="false">
      <c r="A1923" s="3" t="s">
        <v>3172</v>
      </c>
      <c r="B1923" s="3" t="str">
        <f aca="false">IF(ISNUMBER(SEARCH("%", A1923)),RIGHT(A1923,3),A1923)</f>
        <v>2, 5, 20, TENTACOOL</v>
      </c>
      <c r="C1923" s="2" t="s">
        <v>3172</v>
      </c>
    </row>
    <row r="1924" customFormat="false" ht="12.75" hidden="false" customHeight="true" outlineLevel="0" collapsed="false">
      <c r="A1924" s="3" t="s">
        <v>3173</v>
      </c>
      <c r="B1924" s="3" t="str">
        <f aca="false">IF(ISNUMBER(SEARCH("%", A1924)),RIGHT(A1924,3),A1924)</f>
        <v>20, 35, TENTACOOL</v>
      </c>
      <c r="C1924" s="2" t="s">
        <v>3173</v>
      </c>
    </row>
    <row r="1925" customFormat="false" ht="12.75" hidden="false" customHeight="true" outlineLevel="0" collapsed="false">
      <c r="A1925" s="3" t="s">
        <v>2844</v>
      </c>
      <c r="B1925" s="3" t="str">
        <f aca="false">IF(ISNUMBER(SEARCH("%", A1925)),RIGHT(A1925,3),A1925)</f>
        <v>35, 40, TENTACOOL</v>
      </c>
      <c r="C1925" s="2" t="s">
        <v>2844</v>
      </c>
    </row>
    <row r="1926" customFormat="false" ht="12.75" hidden="false" customHeight="true" outlineLevel="0" collapsed="false">
      <c r="A1926" s="3" t="s">
        <v>3231</v>
      </c>
      <c r="B1926" s="3" t="str">
        <f aca="false">IF(ISNUMBER(SEARCH("%", A1926)),RIGHT(A1926,3),A1926)</f>
        <v>35, 40, TENTACRUEL</v>
      </c>
      <c r="C1926" s="2" t="s">
        <v>3231</v>
      </c>
    </row>
    <row r="1927" customFormat="false" ht="12.75" hidden="false" customHeight="true" outlineLevel="0" collapsed="false">
      <c r="A1927" s="3" t="s">
        <v>3231</v>
      </c>
      <c r="B1927" s="3" t="str">
        <f aca="false">IF(ISNUMBER(SEARCH("%", A1927)),RIGHT(A1927,3),A1927)</f>
        <v>35, 40, TENTACRUEL</v>
      </c>
      <c r="C1927" s="2" t="s">
        <v>3231</v>
      </c>
    </row>
    <row r="1928" customFormat="false" ht="12.75" hidden="false" customHeight="true" outlineLevel="0" collapsed="false">
      <c r="A1928" s="3" t="s">
        <v>2925</v>
      </c>
      <c r="B1928" s="3" t="str">
        <f aca="false">IF(ISNUMBER(SEARCH("%", A1928)),RIGHT(A1928,3),A1928)</f>
        <v>20, old rod:</v>
      </c>
      <c r="C1928" s="2" t="s">
        <v>2925</v>
      </c>
    </row>
    <row r="1929" customFormat="false" ht="12.75" hidden="false" customHeight="true" outlineLevel="0" collapsed="false">
      <c r="A1929" s="3" t="s">
        <v>1266</v>
      </c>
      <c r="B1929" s="3" t="str">
        <f aca="false">IF(ISNUMBER(SEARCH("%", A1929)),RIGHT(A1929,3),A1929)</f>
        <v>5, 5, MAGIKARP</v>
      </c>
      <c r="C1929" s="2" t="s">
        <v>1266</v>
      </c>
    </row>
    <row r="1930" customFormat="false" ht="12.75" hidden="false" customHeight="true" outlineLevel="0" collapsed="false">
      <c r="A1930" s="3" t="s">
        <v>1266</v>
      </c>
      <c r="B1930" s="3" t="str">
        <f aca="false">IF(ISNUMBER(SEARCH("%", A1930)),RIGHT(A1930,3),A1930)</f>
        <v>5, 5, MAGIKARP</v>
      </c>
      <c r="C1930" s="2" t="s">
        <v>1266</v>
      </c>
    </row>
    <row r="1931" customFormat="false" ht="12.75" hidden="false" customHeight="true" outlineLevel="0" collapsed="false">
      <c r="A1931" s="3"/>
      <c r="B1931" s="3" t="n">
        <f aca="false">IF(ISNUMBER(SEARCH("%", A1931)),RIGHT(A1931,3),A1931)</f>
        <v>0</v>
      </c>
      <c r="C1931" s="2"/>
    </row>
    <row r="1932" customFormat="false" ht="12.75" hidden="false" customHeight="true" outlineLevel="0" collapsed="false">
      <c r="A1932" s="3" t="s">
        <v>2846</v>
      </c>
      <c r="B1932" s="3" t="str">
        <f aca="false">IF(ISNUMBER(SEARCH("%", A1932)),RIGHT(A1932,3),A1932)</f>
        <v>good rod:</v>
      </c>
      <c r="C1932" s="2" t="s">
        <v>2846</v>
      </c>
    </row>
    <row r="1933" customFormat="false" ht="12.75" hidden="false" customHeight="true" outlineLevel="0" collapsed="false">
      <c r="A1933" s="3" t="s">
        <v>2847</v>
      </c>
      <c r="B1933" s="3" t="str">
        <f aca="false">IF(ISNUMBER(SEARCH("%", A1933)),RIGHT(A1933,3),A1933)</f>
        <v>5, 15, KRABBY</v>
      </c>
      <c r="C1933" s="2" t="s">
        <v>2847</v>
      </c>
    </row>
    <row r="1934" customFormat="false" ht="12.75" hidden="false" customHeight="true" outlineLevel="0" collapsed="false">
      <c r="A1934" s="3" t="s">
        <v>2848</v>
      </c>
      <c r="B1934" s="3" t="str">
        <f aca="false">IF(ISNUMBER(SEARCH("%", A1934)),RIGHT(A1934,3),A1934)</f>
        <v>5, 15, MAGIKARP</v>
      </c>
      <c r="C1934" s="2" t="s">
        <v>2848</v>
      </c>
    </row>
    <row r="1935" customFormat="false" ht="12.75" hidden="false" customHeight="true" outlineLevel="0" collapsed="false">
      <c r="A1935" s="3" t="s">
        <v>2847</v>
      </c>
      <c r="B1935" s="3" t="str">
        <f aca="false">IF(ISNUMBER(SEARCH("%", A1935)),RIGHT(A1935,3),A1935)</f>
        <v>5, 15, KRABBY</v>
      </c>
      <c r="C1935" s="2" t="s">
        <v>2847</v>
      </c>
    </row>
    <row r="1936" customFormat="false" ht="12.75" hidden="false" customHeight="true" outlineLevel="0" collapsed="false">
      <c r="A1936" s="3"/>
      <c r="B1936" s="3" t="n">
        <f aca="false">IF(ISNUMBER(SEARCH("%", A1936)),RIGHT(A1936,3),A1936)</f>
        <v>0</v>
      </c>
      <c r="C1936" s="2"/>
    </row>
    <row r="1937" customFormat="false" ht="12.75" hidden="false" customHeight="true" outlineLevel="0" collapsed="false">
      <c r="A1937" s="3" t="s">
        <v>2850</v>
      </c>
      <c r="B1937" s="3" t="str">
        <f aca="false">IF(ISNUMBER(SEARCH("%", A1937)),RIGHT(A1937,3),A1937)</f>
        <v>super rod:</v>
      </c>
      <c r="C1937" s="2" t="s">
        <v>2850</v>
      </c>
    </row>
    <row r="1938" customFormat="false" ht="12.75" hidden="false" customHeight="true" outlineLevel="0" collapsed="false">
      <c r="A1938" s="3" t="s">
        <v>2851</v>
      </c>
      <c r="B1938" s="3" t="str">
        <f aca="false">IF(ISNUMBER(SEARCH("%", A1938)),RIGHT(A1938,3),A1938)</f>
        <v>15, 25, KRABBY</v>
      </c>
      <c r="C1938" s="2" t="s">
        <v>2851</v>
      </c>
    </row>
    <row r="1939" customFormat="false" ht="12.75" hidden="false" customHeight="true" outlineLevel="0" collapsed="false">
      <c r="A1939" s="3" t="s">
        <v>2851</v>
      </c>
      <c r="B1939" s="3" t="str">
        <f aca="false">IF(ISNUMBER(SEARCH("%", A1939)),RIGHT(A1939,3),A1939)</f>
        <v>15, 25, KRABBY</v>
      </c>
      <c r="C1939" s="2" t="s">
        <v>2851</v>
      </c>
    </row>
    <row r="1940" customFormat="false" ht="12.75" hidden="false" customHeight="true" outlineLevel="0" collapsed="false">
      <c r="A1940" s="3" t="s">
        <v>2853</v>
      </c>
      <c r="B1940" s="3" t="str">
        <f aca="false">IF(ISNUMBER(SEARCH("%", A1940)),RIGHT(A1940,3),A1940)</f>
        <v>15, 25, GYARADOS</v>
      </c>
      <c r="C1940" s="2" t="s">
        <v>2853</v>
      </c>
    </row>
    <row r="1941" customFormat="false" ht="12.75" hidden="false" customHeight="true" outlineLevel="0" collapsed="false">
      <c r="A1941" s="3" t="s">
        <v>3177</v>
      </c>
      <c r="B1941" s="3" t="str">
        <f aca="false">IF(ISNUMBER(SEARCH("%", A1941)),RIGHT(A1941,3),A1941)</f>
        <v>25, 35, KINGLER</v>
      </c>
      <c r="C1941" s="2" t="s">
        <v>3177</v>
      </c>
    </row>
    <row r="1942" customFormat="false" ht="12.75" hidden="false" customHeight="true" outlineLevel="0" collapsed="false">
      <c r="A1942" s="3" t="s">
        <v>2855</v>
      </c>
      <c r="B1942" s="3" t="str">
        <f aca="false">IF(ISNUMBER(SEARCH("%", A1942)),RIGHT(A1942,3),A1942)</f>
        <v>25, 35, SLOWPOKE</v>
      </c>
      <c r="C1942" s="2" t="s">
        <v>2855</v>
      </c>
    </row>
    <row r="1943" customFormat="false" ht="12.75" hidden="false" customHeight="true" outlineLevel="0" collapsed="false">
      <c r="A1943" s="3" t="s">
        <v>2536</v>
      </c>
      <c r="B1943" s="3" t="str">
        <f aca="false">IF(ISNUMBER(SEARCH("%", A1943)),RIGHT(A1943,3),A1943)</f>
        <v>NEW ROUTE</v>
      </c>
      <c r="C1943" s="2" t="s">
        <v>2536</v>
      </c>
    </row>
    <row r="1944" customFormat="false" ht="12.75" hidden="false" customHeight="true" outlineLevel="0" collapsed="false">
      <c r="A1944" s="3" t="s">
        <v>3248</v>
      </c>
      <c r="B1944" s="3" t="str">
        <f aca="false">IF(ISNUMBER(SEARCH("%", A1944)),RIGHT(A1944,3),A1944)</f>
        <v>3, 49, 0,</v>
      </c>
      <c r="C1944" s="2" t="s">
        <v>3248</v>
      </c>
    </row>
    <row r="1945" customFormat="false" ht="12.75" hidden="false" customHeight="true" outlineLevel="0" collapsed="false">
      <c r="A1945" s="3" t="s">
        <v>3191</v>
      </c>
      <c r="B1945" s="3" t="str">
        <f aca="false">IF(ISNUMBER(SEARCH("%", A1945)),RIGHT(A1945,3),A1945)</f>
        <v>20%</v>
      </c>
      <c r="C1945" s="2" t="s">
        <v>2799</v>
      </c>
    </row>
    <row r="1946" customFormat="false" ht="12.75" hidden="false" customHeight="true" outlineLevel="0" collapsed="false">
      <c r="A1946" s="3" t="s">
        <v>1702</v>
      </c>
      <c r="B1946" s="3" t="str">
        <f aca="false">IF(ISNUMBER(SEARCH("%", A1946)),RIGHT(A1946,3),A1946)</f>
        <v>15, 15, DUNSPARCE</v>
      </c>
      <c r="C1946" s="2" t="s">
        <v>1702</v>
      </c>
    </row>
    <row r="1947" customFormat="false" ht="12.75" hidden="false" customHeight="true" outlineLevel="0" collapsed="false">
      <c r="A1947" s="3" t="s">
        <v>1702</v>
      </c>
      <c r="B1947" s="3" t="str">
        <f aca="false">IF(ISNUMBER(SEARCH("%", A1947)),RIGHT(A1947,3),A1947)</f>
        <v>15, 15, DUNSPARCE</v>
      </c>
      <c r="C1947" s="2" t="s">
        <v>1702</v>
      </c>
    </row>
    <row r="1948" customFormat="false" ht="12.75" hidden="false" customHeight="true" outlineLevel="0" collapsed="false">
      <c r="A1948" s="3"/>
      <c r="B1948" s="3" t="n">
        <f aca="false">IF(ISNUMBER(SEARCH("%", A1948)),RIGHT(A1948,3),A1948)</f>
        <v>0</v>
      </c>
      <c r="C1948" s="2"/>
    </row>
    <row r="1949" customFormat="false" ht="12.75" hidden="false" customHeight="true" outlineLevel="0" collapsed="false">
      <c r="A1949" s="3" t="s">
        <v>2801</v>
      </c>
      <c r="B1949" s="3" t="str">
        <f aca="false">IF(ISNUMBER(SEARCH("%", A1949)),RIGHT(A1949,3),A1949)</f>
        <v>0.1</v>
      </c>
      <c r="C1949" s="2" t="s">
        <v>2801</v>
      </c>
    </row>
    <row r="1950" customFormat="false" ht="12.75" hidden="false" customHeight="true" outlineLevel="0" collapsed="false">
      <c r="A1950" s="3" t="s">
        <v>3249</v>
      </c>
      <c r="B1950" s="3" t="str">
        <f aca="false">IF(ISNUMBER(SEARCH("%", A1950)),RIGHT(A1950,3),A1950)</f>
        <v>10, 10, DUNSPARCE</v>
      </c>
      <c r="C1950" s="2" t="s">
        <v>3249</v>
      </c>
    </row>
    <row r="1951" customFormat="false" ht="12.75" hidden="false" customHeight="true" outlineLevel="0" collapsed="false">
      <c r="A1951" s="3" t="s">
        <v>3249</v>
      </c>
      <c r="B1951" s="3" t="str">
        <f aca="false">IF(ISNUMBER(SEARCH("%", A1951)),RIGHT(A1951,3),A1951)</f>
        <v>10, 10, DUNSPARCE</v>
      </c>
      <c r="C1951" s="2" t="s">
        <v>3249</v>
      </c>
    </row>
    <row r="1952" customFormat="false" ht="12.75" hidden="false" customHeight="true" outlineLevel="0" collapsed="false">
      <c r="A1952" s="3" t="s">
        <v>3250</v>
      </c>
      <c r="B1952" s="3" t="str">
        <f aca="false">IF(ISNUMBER(SEARCH("%", A1952)),RIGHT(A1952,3),A1952)</f>
        <v>20, 20, DUNSPARCE</v>
      </c>
      <c r="C1952" s="2" t="s">
        <v>3250</v>
      </c>
    </row>
    <row r="1953" customFormat="false" ht="12.75" hidden="false" customHeight="true" outlineLevel="0" collapsed="false">
      <c r="A1953" s="3" t="s">
        <v>3250</v>
      </c>
      <c r="B1953" s="3" t="str">
        <f aca="false">IF(ISNUMBER(SEARCH("%", A1953)),RIGHT(A1953,3),A1953)</f>
        <v>20, 20, DUNSPARCE</v>
      </c>
      <c r="C1953" s="2" t="s">
        <v>3250</v>
      </c>
    </row>
    <row r="1954" customFormat="false" ht="12.75" hidden="false" customHeight="true" outlineLevel="0" collapsed="false">
      <c r="A1954" s="3"/>
      <c r="B1954" s="3" t="n">
        <f aca="false">IF(ISNUMBER(SEARCH("%", A1954)),RIGHT(A1954,3),A1954)</f>
        <v>0</v>
      </c>
      <c r="C1954" s="2"/>
    </row>
    <row r="1955" customFormat="false" ht="12.75" hidden="false" customHeight="true" outlineLevel="0" collapsed="false">
      <c r="A1955" s="3" t="s">
        <v>2806</v>
      </c>
      <c r="B1955" s="3" t="str">
        <f aca="false">IF(ISNUMBER(SEARCH("%", A1955)),RIGHT(A1955,3),A1955)</f>
        <v>0.05</v>
      </c>
      <c r="C1955" s="2" t="s">
        <v>2806</v>
      </c>
    </row>
    <row r="1956" customFormat="false" ht="12.75" hidden="false" customHeight="true" outlineLevel="0" collapsed="false">
      <c r="A1956" s="3" t="s">
        <v>3251</v>
      </c>
      <c r="B1956" s="3" t="str">
        <f aca="false">IF(ISNUMBER(SEARCH("%", A1956)),RIGHT(A1956,3),A1956)</f>
        <v>25, 25, DUNSPARCE</v>
      </c>
      <c r="C1956" s="2" t="s">
        <v>3251</v>
      </c>
    </row>
    <row r="1957" customFormat="false" ht="12.75" hidden="false" customHeight="true" outlineLevel="0" collapsed="false">
      <c r="A1957" s="3" t="s">
        <v>3252</v>
      </c>
      <c r="B1957" s="3" t="str">
        <f aca="false">IF(ISNUMBER(SEARCH("%", A1957)),RIGHT(A1957,3),A1957)</f>
        <v>30, 30, DUNSPARCE</v>
      </c>
      <c r="C1957" s="2" t="s">
        <v>3252</v>
      </c>
    </row>
    <row r="1958" customFormat="false" ht="12.75" hidden="false" customHeight="true" outlineLevel="0" collapsed="false">
      <c r="A1958" s="3"/>
      <c r="B1958" s="3" t="n">
        <f aca="false">IF(ISNUMBER(SEARCH("%", A1958)),RIGHT(A1958,3),A1958)</f>
        <v>0</v>
      </c>
      <c r="C1958" s="2"/>
    </row>
    <row r="1959" customFormat="false" ht="12.75" hidden="false" customHeight="true" outlineLevel="0" collapsed="false">
      <c r="A1959" s="3" t="s">
        <v>2809</v>
      </c>
      <c r="B1959" s="3" t="str">
        <f aca="false">IF(ISNUMBER(SEARCH("%", A1959)),RIGHT(A1959,3),A1959)</f>
        <v>0.04</v>
      </c>
      <c r="C1959" s="2" t="s">
        <v>2809</v>
      </c>
    </row>
    <row r="1960" customFormat="false" ht="12.75" hidden="false" customHeight="true" outlineLevel="0" collapsed="false">
      <c r="A1960" s="3" t="s">
        <v>3251</v>
      </c>
      <c r="B1960" s="3" t="str">
        <f aca="false">IF(ISNUMBER(SEARCH("%", A1960)),RIGHT(A1960,3),A1960)</f>
        <v>25, 25, DUNSPARCE</v>
      </c>
      <c r="C1960" s="2" t="s">
        <v>3251</v>
      </c>
    </row>
    <row r="1961" customFormat="false" ht="12.75" hidden="false" customHeight="true" outlineLevel="0" collapsed="false">
      <c r="A1961" s="3" t="s">
        <v>3252</v>
      </c>
      <c r="B1961" s="3" t="str">
        <f aca="false">IF(ISNUMBER(SEARCH("%", A1961)),RIGHT(A1961,3),A1961)</f>
        <v>30, 30, DUNSPARCE</v>
      </c>
      <c r="C1961" s="2" t="s">
        <v>3252</v>
      </c>
    </row>
    <row r="1962" customFormat="false" ht="12.75" hidden="false" customHeight="true" outlineLevel="0" collapsed="false">
      <c r="A1962" s="3"/>
      <c r="B1962" s="3" t="n">
        <f aca="false">IF(ISNUMBER(SEARCH("%", A1962)),RIGHT(A1962,3),A1962)</f>
        <v>0</v>
      </c>
      <c r="C1962" s="2"/>
    </row>
    <row r="1963" customFormat="false" ht="12.75" hidden="false" customHeight="true" outlineLevel="0" collapsed="false">
      <c r="A1963" s="3" t="s">
        <v>2812</v>
      </c>
      <c r="B1963" s="3" t="str">
        <f aca="false">IF(ISNUMBER(SEARCH("%", A1963)),RIGHT(A1963,3),A1963)</f>
        <v>0.01</v>
      </c>
      <c r="C1963" s="2" t="s">
        <v>2812</v>
      </c>
    </row>
    <row r="1964" customFormat="false" ht="12.75" hidden="false" customHeight="true" outlineLevel="0" collapsed="false">
      <c r="A1964" s="3" t="s">
        <v>3253</v>
      </c>
      <c r="B1964" s="3" t="str">
        <f aca="false">IF(ISNUMBER(SEARCH("%", A1964)),RIGHT(A1964,3),A1964)</f>
        <v>5, 5, DUNSPARCE</v>
      </c>
      <c r="C1964" s="2" t="s">
        <v>3253</v>
      </c>
    </row>
    <row r="1965" customFormat="false" ht="12.75" hidden="false" customHeight="true" outlineLevel="0" collapsed="false">
      <c r="A1965" s="3" t="s">
        <v>3254</v>
      </c>
      <c r="B1965" s="3" t="str">
        <f aca="false">IF(ISNUMBER(SEARCH("%", A1965)),RIGHT(A1965,3),A1965)</f>
        <v>35, 35, DUNSPARCE , &lt;null&gt;, &lt;null&gt;, &lt;null&gt;</v>
      </c>
      <c r="C1965" s="2" t="s">
        <v>3254</v>
      </c>
    </row>
    <row r="1966" customFormat="false" ht="12.75" hidden="false" customHeight="true" outlineLevel="0" collapsed="false">
      <c r="A1966" s="3"/>
      <c r="B1966" s="3" t="n">
        <f aca="false">IF(ISNUMBER(SEARCH("%", A1966)),RIGHT(A1966,3),A1966)</f>
        <v>0</v>
      </c>
      <c r="C1966" s="2"/>
    </row>
    <row r="1967" customFormat="false" ht="12.75" hidden="false" customHeight="true" outlineLevel="0" collapsed="false">
      <c r="A1967" s="3" t="s">
        <v>2536</v>
      </c>
      <c r="B1967" s="3" t="str">
        <f aca="false">IF(ISNUMBER(SEARCH("%", A1967)),RIGHT(A1967,3),A1967)</f>
        <v>NEW ROUTE</v>
      </c>
      <c r="C1967" s="2" t="s">
        <v>2536</v>
      </c>
    </row>
    <row r="1968" customFormat="false" ht="12.75" hidden="false" customHeight="true" outlineLevel="0" collapsed="false">
      <c r="A1968" s="3" t="s">
        <v>3255</v>
      </c>
      <c r="B1968" s="3" t="str">
        <f aca="false">IF(ISNUMBER(SEARCH("%", A1968)),RIGHT(A1968,3),A1968)</f>
        <v>3, 54, 0, &lt;null&gt;,</v>
      </c>
      <c r="C1968" s="2" t="s">
        <v>3255</v>
      </c>
    </row>
    <row r="1969" customFormat="false" ht="12.75" hidden="false" customHeight="true" outlineLevel="0" collapsed="false">
      <c r="A1969" s="3"/>
      <c r="B1969" s="3" t="n">
        <f aca="false">IF(ISNUMBER(SEARCH("%", A1969)),RIGHT(A1969,3),A1969)</f>
        <v>0</v>
      </c>
      <c r="C1969" s="2"/>
    </row>
    <row r="1970" customFormat="false" ht="12.75" hidden="false" customHeight="true" outlineLevel="0" collapsed="false">
      <c r="A1970" s="3" t="s">
        <v>3256</v>
      </c>
      <c r="B1970" s="3" t="str">
        <f aca="false">IF(ISNUMBER(SEARCH("%", A1970)),RIGHT(A1970,3),A1970)</f>
        <v>2, 5, 35, TENTACOOL</v>
      </c>
      <c r="C1970" s="2" t="s">
        <v>3256</v>
      </c>
    </row>
    <row r="1971" customFormat="false" ht="12.75" hidden="false" customHeight="true" outlineLevel="0" collapsed="false">
      <c r="A1971" s="3" t="s">
        <v>3257</v>
      </c>
      <c r="B1971" s="3" t="str">
        <f aca="false">IF(ISNUMBER(SEARCH("%", A1971)),RIGHT(A1971,3),A1971)</f>
        <v>5, 15, HOPPIP</v>
      </c>
      <c r="C1971" s="2" t="s">
        <v>3257</v>
      </c>
    </row>
    <row r="1972" customFormat="false" ht="12.75" hidden="false" customHeight="true" outlineLevel="0" collapsed="false">
      <c r="A1972" s="3" t="s">
        <v>2844</v>
      </c>
      <c r="B1972" s="3" t="str">
        <f aca="false">IF(ISNUMBER(SEARCH("%", A1972)),RIGHT(A1972,3),A1972)</f>
        <v>35, 40, TENTACOOL</v>
      </c>
      <c r="C1972" s="2" t="s">
        <v>2844</v>
      </c>
    </row>
    <row r="1973" customFormat="false" ht="12.75" hidden="false" customHeight="true" outlineLevel="0" collapsed="false">
      <c r="A1973" s="3" t="s">
        <v>3231</v>
      </c>
      <c r="B1973" s="3" t="str">
        <f aca="false">IF(ISNUMBER(SEARCH("%", A1973)),RIGHT(A1973,3),A1973)</f>
        <v>35, 40, TENTACRUEL</v>
      </c>
      <c r="C1973" s="2" t="s">
        <v>3231</v>
      </c>
    </row>
    <row r="1974" customFormat="false" ht="12.75" hidden="false" customHeight="true" outlineLevel="0" collapsed="false">
      <c r="A1974" s="3" t="s">
        <v>3231</v>
      </c>
      <c r="B1974" s="3" t="str">
        <f aca="false">IF(ISNUMBER(SEARCH("%", A1974)),RIGHT(A1974,3),A1974)</f>
        <v>35, 40, TENTACRUEL</v>
      </c>
      <c r="C1974" s="2" t="s">
        <v>3231</v>
      </c>
    </row>
    <row r="1975" customFormat="false" ht="12.75" hidden="false" customHeight="true" outlineLevel="0" collapsed="false">
      <c r="A1975" s="3" t="s">
        <v>2925</v>
      </c>
      <c r="B1975" s="3" t="str">
        <f aca="false">IF(ISNUMBER(SEARCH("%", A1975)),RIGHT(A1975,3),A1975)</f>
        <v>20, old rod:</v>
      </c>
      <c r="C1975" s="2" t="s">
        <v>2925</v>
      </c>
    </row>
    <row r="1976" customFormat="false" ht="12.75" hidden="false" customHeight="true" outlineLevel="0" collapsed="false">
      <c r="A1976" s="3" t="s">
        <v>1266</v>
      </c>
      <c r="B1976" s="3" t="str">
        <f aca="false">IF(ISNUMBER(SEARCH("%", A1976)),RIGHT(A1976,3),A1976)</f>
        <v>5, 5, MAGIKARP</v>
      </c>
      <c r="C1976" s="2" t="s">
        <v>1266</v>
      </c>
    </row>
    <row r="1977" customFormat="false" ht="12.75" hidden="false" customHeight="true" outlineLevel="0" collapsed="false">
      <c r="A1977" s="3" t="s">
        <v>1266</v>
      </c>
      <c r="B1977" s="3" t="str">
        <f aca="false">IF(ISNUMBER(SEARCH("%", A1977)),RIGHT(A1977,3),A1977)</f>
        <v>5, 5, MAGIKARP</v>
      </c>
      <c r="C1977" s="2" t="s">
        <v>1266</v>
      </c>
    </row>
    <row r="1978" customFormat="false" ht="12.75" hidden="false" customHeight="true" outlineLevel="0" collapsed="false">
      <c r="A1978" s="3"/>
      <c r="B1978" s="3" t="n">
        <f aca="false">IF(ISNUMBER(SEARCH("%", A1978)),RIGHT(A1978,3),A1978)</f>
        <v>0</v>
      </c>
      <c r="C1978" s="2"/>
    </row>
    <row r="1979" customFormat="false" ht="12.75" hidden="false" customHeight="true" outlineLevel="0" collapsed="false">
      <c r="A1979" s="3" t="s">
        <v>2846</v>
      </c>
      <c r="B1979" s="3" t="str">
        <f aca="false">IF(ISNUMBER(SEARCH("%", A1979)),RIGHT(A1979,3),A1979)</f>
        <v>good rod:</v>
      </c>
      <c r="C1979" s="2" t="s">
        <v>2846</v>
      </c>
    </row>
    <row r="1980" customFormat="false" ht="12.75" hidden="false" customHeight="true" outlineLevel="0" collapsed="false">
      <c r="A1980" s="3" t="s">
        <v>2847</v>
      </c>
      <c r="B1980" s="3" t="str">
        <f aca="false">IF(ISNUMBER(SEARCH("%", A1980)),RIGHT(A1980,3),A1980)</f>
        <v>5, 15, KRABBY</v>
      </c>
      <c r="C1980" s="2" t="s">
        <v>2847</v>
      </c>
    </row>
    <row r="1981" customFormat="false" ht="12.75" hidden="false" customHeight="true" outlineLevel="0" collapsed="false">
      <c r="A1981" s="3" t="s">
        <v>2848</v>
      </c>
      <c r="B1981" s="3" t="str">
        <f aca="false">IF(ISNUMBER(SEARCH("%", A1981)),RIGHT(A1981,3),A1981)</f>
        <v>5, 15, MAGIKARP</v>
      </c>
      <c r="C1981" s="2" t="s">
        <v>2848</v>
      </c>
    </row>
    <row r="1982" customFormat="false" ht="12.75" hidden="false" customHeight="true" outlineLevel="0" collapsed="false">
      <c r="A1982" s="3" t="s">
        <v>2847</v>
      </c>
      <c r="B1982" s="3" t="str">
        <f aca="false">IF(ISNUMBER(SEARCH("%", A1982)),RIGHT(A1982,3),A1982)</f>
        <v>5, 15, KRABBY</v>
      </c>
      <c r="C1982" s="2" t="s">
        <v>2847</v>
      </c>
    </row>
    <row r="1983" customFormat="false" ht="12.75" hidden="false" customHeight="true" outlineLevel="0" collapsed="false">
      <c r="A1983" s="3"/>
      <c r="B1983" s="3" t="n">
        <f aca="false">IF(ISNUMBER(SEARCH("%", A1983)),RIGHT(A1983,3),A1983)</f>
        <v>0</v>
      </c>
      <c r="C1983" s="2"/>
    </row>
    <row r="1984" customFormat="false" ht="12.75" hidden="false" customHeight="true" outlineLevel="0" collapsed="false">
      <c r="A1984" s="3" t="s">
        <v>2850</v>
      </c>
      <c r="B1984" s="3" t="str">
        <f aca="false">IF(ISNUMBER(SEARCH("%", A1984)),RIGHT(A1984,3),A1984)</f>
        <v>super rod:</v>
      </c>
      <c r="C1984" s="2" t="s">
        <v>2850</v>
      </c>
    </row>
    <row r="1985" customFormat="false" ht="12.75" hidden="false" customHeight="true" outlineLevel="0" collapsed="false">
      <c r="A1985" s="3" t="s">
        <v>2851</v>
      </c>
      <c r="B1985" s="3" t="str">
        <f aca="false">IF(ISNUMBER(SEARCH("%", A1985)),RIGHT(A1985,3),A1985)</f>
        <v>15, 25, KRABBY</v>
      </c>
      <c r="C1985" s="2" t="s">
        <v>2851</v>
      </c>
    </row>
    <row r="1986" customFormat="false" ht="12.75" hidden="false" customHeight="true" outlineLevel="0" collapsed="false">
      <c r="A1986" s="3" t="s">
        <v>3258</v>
      </c>
      <c r="B1986" s="3" t="str">
        <f aca="false">IF(ISNUMBER(SEARCH("%", A1986)),RIGHT(A1986,3),A1986)</f>
        <v>15, 25, REMORAID</v>
      </c>
      <c r="C1986" s="2" t="s">
        <v>3258</v>
      </c>
    </row>
    <row r="1987" customFormat="false" ht="12.75" hidden="false" customHeight="true" outlineLevel="0" collapsed="false">
      <c r="A1987" s="3" t="s">
        <v>2853</v>
      </c>
      <c r="B1987" s="3" t="str">
        <f aca="false">IF(ISNUMBER(SEARCH("%", A1987)),RIGHT(A1987,3),A1987)</f>
        <v>15, 25, GYARADOS</v>
      </c>
      <c r="C1987" s="2" t="s">
        <v>2853</v>
      </c>
    </row>
    <row r="1988" customFormat="false" ht="12.75" hidden="false" customHeight="true" outlineLevel="0" collapsed="false">
      <c r="A1988" s="3" t="s">
        <v>3177</v>
      </c>
      <c r="B1988" s="3" t="str">
        <f aca="false">IF(ISNUMBER(SEARCH("%", A1988)),RIGHT(A1988,3),A1988)</f>
        <v>25, 35, KINGLER</v>
      </c>
      <c r="C1988" s="2" t="s">
        <v>3177</v>
      </c>
    </row>
    <row r="1989" customFormat="false" ht="12.75" hidden="false" customHeight="true" outlineLevel="0" collapsed="false">
      <c r="A1989" s="3" t="s">
        <v>2855</v>
      </c>
      <c r="B1989" s="3" t="str">
        <f aca="false">IF(ISNUMBER(SEARCH("%", A1989)),RIGHT(A1989,3),A1989)</f>
        <v>25, 35, SLOWPOKE</v>
      </c>
      <c r="C1989" s="2" t="s">
        <v>2855</v>
      </c>
    </row>
    <row r="1990" customFormat="false" ht="12.75" hidden="false" customHeight="true" outlineLevel="0" collapsed="false">
      <c r="A1990" s="3" t="s">
        <v>2536</v>
      </c>
      <c r="B1990" s="3" t="str">
        <f aca="false">IF(ISNUMBER(SEARCH("%", A1990)),RIGHT(A1990,3),A1990)</f>
        <v>NEW ROUTE</v>
      </c>
      <c r="C1990" s="2" t="s">
        <v>2536</v>
      </c>
    </row>
    <row r="1991" customFormat="false" ht="12.75" hidden="false" customHeight="true" outlineLevel="0" collapsed="false">
      <c r="A1991" s="3" t="s">
        <v>3259</v>
      </c>
      <c r="B1991" s="3" t="str">
        <f aca="false">IF(ISNUMBER(SEARCH("%", A1991)),RIGHT(A1991,3),A1991)</f>
        <v>3, 55, 0, &lt;null&gt;,</v>
      </c>
      <c r="C1991" s="2" t="s">
        <v>3259</v>
      </c>
    </row>
    <row r="1992" customFormat="false" ht="12.75" hidden="false" customHeight="true" outlineLevel="0" collapsed="false">
      <c r="A1992" s="3"/>
      <c r="B1992" s="3" t="n">
        <f aca="false">IF(ISNUMBER(SEARCH("%", A1992)),RIGHT(A1992,3),A1992)</f>
        <v>0</v>
      </c>
      <c r="C1992" s="2"/>
    </row>
    <row r="1993" customFormat="false" ht="12.75" hidden="false" customHeight="true" outlineLevel="0" collapsed="false">
      <c r="A1993" s="3" t="s">
        <v>3256</v>
      </c>
      <c r="B1993" s="3" t="str">
        <f aca="false">IF(ISNUMBER(SEARCH("%", A1993)),RIGHT(A1993,3),A1993)</f>
        <v>2, 5, 35, TENTACOOL</v>
      </c>
      <c r="C1993" s="2" t="s">
        <v>3256</v>
      </c>
    </row>
    <row r="1994" customFormat="false" ht="12.75" hidden="false" customHeight="true" outlineLevel="0" collapsed="false">
      <c r="A1994" s="3" t="s">
        <v>3257</v>
      </c>
      <c r="B1994" s="3" t="str">
        <f aca="false">IF(ISNUMBER(SEARCH("%", A1994)),RIGHT(A1994,3),A1994)</f>
        <v>5, 15, HOPPIP</v>
      </c>
      <c r="C1994" s="2" t="s">
        <v>3257</v>
      </c>
    </row>
    <row r="1995" customFormat="false" ht="12.75" hidden="false" customHeight="true" outlineLevel="0" collapsed="false">
      <c r="A1995" s="3" t="s">
        <v>2844</v>
      </c>
      <c r="B1995" s="3" t="str">
        <f aca="false">IF(ISNUMBER(SEARCH("%", A1995)),RIGHT(A1995,3),A1995)</f>
        <v>35, 40, TENTACOOL</v>
      </c>
      <c r="C1995" s="2" t="s">
        <v>2844</v>
      </c>
    </row>
    <row r="1996" customFormat="false" ht="12.75" hidden="false" customHeight="true" outlineLevel="0" collapsed="false">
      <c r="A1996" s="3" t="s">
        <v>3231</v>
      </c>
      <c r="B1996" s="3" t="str">
        <f aca="false">IF(ISNUMBER(SEARCH("%", A1996)),RIGHT(A1996,3),A1996)</f>
        <v>35, 40, TENTACRUEL</v>
      </c>
      <c r="C1996" s="2" t="s">
        <v>3231</v>
      </c>
    </row>
    <row r="1997" customFormat="false" ht="12.75" hidden="false" customHeight="true" outlineLevel="0" collapsed="false">
      <c r="A1997" s="3" t="s">
        <v>3231</v>
      </c>
      <c r="B1997" s="3" t="str">
        <f aca="false">IF(ISNUMBER(SEARCH("%", A1997)),RIGHT(A1997,3),A1997)</f>
        <v>35, 40, TENTACRUEL</v>
      </c>
      <c r="C1997" s="2" t="s">
        <v>3231</v>
      </c>
    </row>
    <row r="1998" customFormat="false" ht="12.75" hidden="false" customHeight="true" outlineLevel="0" collapsed="false">
      <c r="A1998" s="3" t="s">
        <v>2925</v>
      </c>
      <c r="B1998" s="3" t="str">
        <f aca="false">IF(ISNUMBER(SEARCH("%", A1998)),RIGHT(A1998,3),A1998)</f>
        <v>20, old rod:</v>
      </c>
      <c r="C1998" s="2" t="s">
        <v>2925</v>
      </c>
    </row>
    <row r="1999" customFormat="false" ht="12.75" hidden="false" customHeight="true" outlineLevel="0" collapsed="false">
      <c r="A1999" s="3" t="s">
        <v>1266</v>
      </c>
      <c r="B1999" s="3" t="str">
        <f aca="false">IF(ISNUMBER(SEARCH("%", A1999)),RIGHT(A1999,3),A1999)</f>
        <v>5, 5, MAGIKARP</v>
      </c>
      <c r="C1999" s="2" t="s">
        <v>1266</v>
      </c>
    </row>
    <row r="2000" customFormat="false" ht="12.75" hidden="false" customHeight="true" outlineLevel="0" collapsed="false">
      <c r="A2000" s="3" t="s">
        <v>1266</v>
      </c>
      <c r="B2000" s="3" t="str">
        <f aca="false">IF(ISNUMBER(SEARCH("%", A2000)),RIGHT(A2000,3),A2000)</f>
        <v>5, 5, MAGIKARP</v>
      </c>
      <c r="C2000" s="2" t="s">
        <v>1266</v>
      </c>
    </row>
    <row r="2001" customFormat="false" ht="12.75" hidden="false" customHeight="true" outlineLevel="0" collapsed="false">
      <c r="A2001" s="3"/>
      <c r="B2001" s="3" t="n">
        <f aca="false">IF(ISNUMBER(SEARCH("%", A2001)),RIGHT(A2001,3),A2001)</f>
        <v>0</v>
      </c>
      <c r="C2001" s="2"/>
    </row>
    <row r="2002" customFormat="false" ht="12.75" hidden="false" customHeight="true" outlineLevel="0" collapsed="false">
      <c r="A2002" s="3" t="s">
        <v>2846</v>
      </c>
      <c r="B2002" s="3" t="str">
        <f aca="false">IF(ISNUMBER(SEARCH("%", A2002)),RIGHT(A2002,3),A2002)</f>
        <v>good rod:</v>
      </c>
      <c r="C2002" s="2" t="s">
        <v>2846</v>
      </c>
    </row>
    <row r="2003" customFormat="false" ht="12.75" hidden="false" customHeight="true" outlineLevel="0" collapsed="false">
      <c r="A2003" s="3" t="s">
        <v>2847</v>
      </c>
      <c r="B2003" s="3" t="str">
        <f aca="false">IF(ISNUMBER(SEARCH("%", A2003)),RIGHT(A2003,3),A2003)</f>
        <v>5, 15, KRABBY</v>
      </c>
      <c r="C2003" s="2" t="s">
        <v>2847</v>
      </c>
    </row>
    <row r="2004" customFormat="false" ht="12.75" hidden="false" customHeight="true" outlineLevel="0" collapsed="false">
      <c r="A2004" s="3" t="s">
        <v>2848</v>
      </c>
      <c r="B2004" s="3" t="str">
        <f aca="false">IF(ISNUMBER(SEARCH("%", A2004)),RIGHT(A2004,3),A2004)</f>
        <v>5, 15, MAGIKARP</v>
      </c>
      <c r="C2004" s="2" t="s">
        <v>2848</v>
      </c>
    </row>
    <row r="2005" customFormat="false" ht="12.75" hidden="false" customHeight="true" outlineLevel="0" collapsed="false">
      <c r="A2005" s="3" t="s">
        <v>2847</v>
      </c>
      <c r="B2005" s="3" t="str">
        <f aca="false">IF(ISNUMBER(SEARCH("%", A2005)),RIGHT(A2005,3),A2005)</f>
        <v>5, 15, KRABBY</v>
      </c>
      <c r="C2005" s="2" t="s">
        <v>2847</v>
      </c>
    </row>
    <row r="2006" customFormat="false" ht="12.75" hidden="false" customHeight="true" outlineLevel="0" collapsed="false">
      <c r="A2006" s="3"/>
      <c r="B2006" s="3" t="n">
        <f aca="false">IF(ISNUMBER(SEARCH("%", A2006)),RIGHT(A2006,3),A2006)</f>
        <v>0</v>
      </c>
      <c r="C2006" s="2"/>
    </row>
    <row r="2007" customFormat="false" ht="12.75" hidden="false" customHeight="true" outlineLevel="0" collapsed="false">
      <c r="A2007" s="3" t="s">
        <v>2850</v>
      </c>
      <c r="B2007" s="3" t="str">
        <f aca="false">IF(ISNUMBER(SEARCH("%", A2007)),RIGHT(A2007,3),A2007)</f>
        <v>super rod:</v>
      </c>
      <c r="C2007" s="2" t="s">
        <v>2850</v>
      </c>
    </row>
    <row r="2008" customFormat="false" ht="12.75" hidden="false" customHeight="true" outlineLevel="0" collapsed="false">
      <c r="A2008" s="3" t="s">
        <v>2851</v>
      </c>
      <c r="B2008" s="3" t="str">
        <f aca="false">IF(ISNUMBER(SEARCH("%", A2008)),RIGHT(A2008,3),A2008)</f>
        <v>15, 25, KRABBY</v>
      </c>
      <c r="C2008" s="2" t="s">
        <v>2851</v>
      </c>
    </row>
    <row r="2009" customFormat="false" ht="12.75" hidden="false" customHeight="true" outlineLevel="0" collapsed="false">
      <c r="A2009" s="3" t="s">
        <v>3258</v>
      </c>
      <c r="B2009" s="3" t="str">
        <f aca="false">IF(ISNUMBER(SEARCH("%", A2009)),RIGHT(A2009,3),A2009)</f>
        <v>15, 25, REMORAID</v>
      </c>
      <c r="C2009" s="2" t="s">
        <v>3258</v>
      </c>
    </row>
    <row r="2010" customFormat="false" ht="12.75" hidden="false" customHeight="true" outlineLevel="0" collapsed="false">
      <c r="A2010" s="3" t="s">
        <v>2853</v>
      </c>
      <c r="B2010" s="3" t="str">
        <f aca="false">IF(ISNUMBER(SEARCH("%", A2010)),RIGHT(A2010,3),A2010)</f>
        <v>15, 25, GYARADOS</v>
      </c>
      <c r="C2010" s="2" t="s">
        <v>2853</v>
      </c>
    </row>
    <row r="2011" customFormat="false" ht="12.75" hidden="false" customHeight="true" outlineLevel="0" collapsed="false">
      <c r="A2011" s="3" t="s">
        <v>3177</v>
      </c>
      <c r="B2011" s="3" t="str">
        <f aca="false">IF(ISNUMBER(SEARCH("%", A2011)),RIGHT(A2011,3),A2011)</f>
        <v>25, 35, KINGLER</v>
      </c>
      <c r="C2011" s="2" t="s">
        <v>3177</v>
      </c>
    </row>
    <row r="2012" customFormat="false" ht="12.75" hidden="false" customHeight="true" outlineLevel="0" collapsed="false">
      <c r="A2012" s="3" t="s">
        <v>2855</v>
      </c>
      <c r="B2012" s="3" t="str">
        <f aca="false">IF(ISNUMBER(SEARCH("%", A2012)),RIGHT(A2012,3),A2012)</f>
        <v>25, 35, SLOWPOKE</v>
      </c>
      <c r="C2012" s="2" t="s">
        <v>2855</v>
      </c>
    </row>
    <row r="2013" customFormat="false" ht="12.75" hidden="false" customHeight="true" outlineLevel="0" collapsed="false">
      <c r="A2013" s="3" t="s">
        <v>2536</v>
      </c>
      <c r="B2013" s="3" t="str">
        <f aca="false">IF(ISNUMBER(SEARCH("%", A2013)),RIGHT(A2013,3),A2013)</f>
        <v>NEW ROUTE</v>
      </c>
      <c r="C2013" s="2" t="s">
        <v>2536</v>
      </c>
    </row>
    <row r="2014" customFormat="false" ht="12.75" hidden="false" customHeight="true" outlineLevel="0" collapsed="false">
      <c r="A2014" s="3" t="s">
        <v>3260</v>
      </c>
      <c r="B2014" s="3" t="str">
        <f aca="false">IF(ISNUMBER(SEARCH("%", A2014)),RIGHT(A2014,3),A2014)</f>
        <v>3, 56, 0,</v>
      </c>
      <c r="C2014" s="2" t="s">
        <v>3260</v>
      </c>
    </row>
    <row r="2015" customFormat="false" ht="12.75" hidden="false" customHeight="true" outlineLevel="0" collapsed="false">
      <c r="A2015" s="3" t="s">
        <v>2908</v>
      </c>
      <c r="B2015" s="3" t="str">
        <f aca="false">IF(ISNUMBER(SEARCH("%", A2015)),RIGHT(A2015,3),A2015)</f>
        <v>20%</v>
      </c>
      <c r="C2015" s="2" t="s">
        <v>2799</v>
      </c>
    </row>
    <row r="2016" customFormat="false" ht="12.75" hidden="false" customHeight="true" outlineLevel="0" collapsed="false">
      <c r="A2016" s="3" t="s">
        <v>1715</v>
      </c>
      <c r="B2016" s="3" t="str">
        <f aca="false">IF(ISNUMBER(SEARCH("%", A2016)),RIGHT(A2016,3),A2016)</f>
        <v>44, 44, PIDGEY</v>
      </c>
      <c r="C2016" s="2" t="s">
        <v>1715</v>
      </c>
    </row>
    <row r="2017" customFormat="false" ht="12.75" hidden="false" customHeight="true" outlineLevel="0" collapsed="false">
      <c r="A2017" s="3" t="s">
        <v>3261</v>
      </c>
      <c r="B2017" s="3" t="str">
        <f aca="false">IF(ISNUMBER(SEARCH("%", A2017)),RIGHT(A2017,3),A2017)</f>
        <v>10, 10, SENTRET</v>
      </c>
      <c r="C2017" s="2" t="s">
        <v>3261</v>
      </c>
    </row>
    <row r="2018" customFormat="false" ht="12.75" hidden="false" customHeight="true" outlineLevel="0" collapsed="false">
      <c r="A2018" s="3"/>
      <c r="B2018" s="3" t="n">
        <f aca="false">IF(ISNUMBER(SEARCH("%", A2018)),RIGHT(A2018,3),A2018)</f>
        <v>0</v>
      </c>
      <c r="C2018" s="2"/>
    </row>
    <row r="2019" customFormat="false" ht="12.75" hidden="false" customHeight="true" outlineLevel="0" collapsed="false">
      <c r="A2019" s="3" t="s">
        <v>2801</v>
      </c>
      <c r="B2019" s="3" t="str">
        <f aca="false">IF(ISNUMBER(SEARCH("%", A2019)),RIGHT(A2019,3),A2019)</f>
        <v>0.1</v>
      </c>
      <c r="C2019" s="2" t="s">
        <v>2801</v>
      </c>
    </row>
    <row r="2020" customFormat="false" ht="12.75" hidden="false" customHeight="true" outlineLevel="0" collapsed="false">
      <c r="A2020" s="3" t="s">
        <v>3262</v>
      </c>
      <c r="B2020" s="3" t="str">
        <f aca="false">IF(ISNUMBER(SEARCH("%", A2020)),RIGHT(A2020,3),A2020)</f>
        <v>48, 48, PIDGEOTTO</v>
      </c>
      <c r="C2020" s="2" t="s">
        <v>3262</v>
      </c>
    </row>
    <row r="2021" customFormat="false" ht="12.75" hidden="false" customHeight="true" outlineLevel="0" collapsed="false">
      <c r="A2021" s="3" t="s">
        <v>1726</v>
      </c>
      <c r="B2021" s="3" t="str">
        <f aca="false">IF(ISNUMBER(SEARCH("%", A2021)),RIGHT(A2021,3),A2021)</f>
        <v>10, 10, HOPPIP</v>
      </c>
      <c r="C2021" s="2" t="s">
        <v>1726</v>
      </c>
    </row>
    <row r="2022" customFormat="false" ht="12.75" hidden="false" customHeight="true" outlineLevel="0" collapsed="false">
      <c r="A2022" s="3" t="s">
        <v>3263</v>
      </c>
      <c r="B2022" s="3" t="str">
        <f aca="false">IF(ISNUMBER(SEARCH("%", A2022)),RIGHT(A2022,3),A2022)</f>
        <v>15, 15, SENTRET</v>
      </c>
      <c r="C2022" s="2" t="s">
        <v>3263</v>
      </c>
    </row>
    <row r="2023" customFormat="false" ht="12.75" hidden="false" customHeight="true" outlineLevel="0" collapsed="false">
      <c r="A2023" s="3" t="s">
        <v>3264</v>
      </c>
      <c r="B2023" s="3" t="str">
        <f aca="false">IF(ISNUMBER(SEARCH("%", A2023)),RIGHT(A2023,3),A2023)</f>
        <v>41, 41, MEOWTH</v>
      </c>
      <c r="C2023" s="2" t="s">
        <v>3264</v>
      </c>
    </row>
    <row r="2024" customFormat="false" ht="12.75" hidden="false" customHeight="true" outlineLevel="0" collapsed="false">
      <c r="A2024" s="3"/>
      <c r="B2024" s="3" t="n">
        <f aca="false">IF(ISNUMBER(SEARCH("%", A2024)),RIGHT(A2024,3),A2024)</f>
        <v>0</v>
      </c>
      <c r="C2024" s="2"/>
    </row>
    <row r="2025" customFormat="false" ht="12.75" hidden="false" customHeight="true" outlineLevel="0" collapsed="false">
      <c r="A2025" s="3" t="s">
        <v>2806</v>
      </c>
      <c r="B2025" s="3" t="str">
        <f aca="false">IF(ISNUMBER(SEARCH("%", A2025)),RIGHT(A2025,3),A2025)</f>
        <v>0.05</v>
      </c>
      <c r="C2025" s="2" t="s">
        <v>2806</v>
      </c>
    </row>
    <row r="2026" customFormat="false" ht="12.75" hidden="false" customHeight="true" outlineLevel="0" collapsed="false">
      <c r="A2026" s="3" t="s">
        <v>3265</v>
      </c>
      <c r="B2026" s="3" t="str">
        <f aca="false">IF(ISNUMBER(SEARCH("%", A2026)),RIGHT(A2026,3),A2026)</f>
        <v>15, 15, HOPPIP</v>
      </c>
      <c r="C2026" s="2" t="s">
        <v>3265</v>
      </c>
    </row>
    <row r="2027" customFormat="false" ht="12.75" hidden="false" customHeight="true" outlineLevel="0" collapsed="false">
      <c r="A2027" s="3" t="s">
        <v>3154</v>
      </c>
      <c r="B2027" s="3" t="str">
        <f aca="false">IF(ISNUMBER(SEARCH("%", A2027)),RIGHT(A2027,3),A2027)</f>
        <v>41, 41, SLOWPOKE</v>
      </c>
      <c r="C2027" s="2" t="s">
        <v>3154</v>
      </c>
    </row>
    <row r="2028" customFormat="false" ht="12.75" hidden="false" customHeight="true" outlineLevel="0" collapsed="false">
      <c r="A2028" s="3"/>
      <c r="B2028" s="3" t="n">
        <f aca="false">IF(ISNUMBER(SEARCH("%", A2028)),RIGHT(A2028,3),A2028)</f>
        <v>0</v>
      </c>
      <c r="C2028" s="2"/>
    </row>
    <row r="2029" customFormat="false" ht="12.75" hidden="false" customHeight="true" outlineLevel="0" collapsed="false">
      <c r="A2029" s="3" t="s">
        <v>2809</v>
      </c>
      <c r="B2029" s="3" t="str">
        <f aca="false">IF(ISNUMBER(SEARCH("%", A2029)),RIGHT(A2029,3),A2029)</f>
        <v>0.04</v>
      </c>
      <c r="C2029" s="2" t="s">
        <v>2809</v>
      </c>
    </row>
    <row r="2030" customFormat="false" ht="12.75" hidden="false" customHeight="true" outlineLevel="0" collapsed="false">
      <c r="A2030" s="3" t="s">
        <v>3266</v>
      </c>
      <c r="B2030" s="3" t="str">
        <f aca="false">IF(ISNUMBER(SEARCH("%", A2030)),RIGHT(A2030,3),A2030)</f>
        <v>50, 50, PIDGEOTTO</v>
      </c>
      <c r="C2030" s="2" t="s">
        <v>3266</v>
      </c>
    </row>
    <row r="2031" customFormat="false" ht="12.75" hidden="false" customHeight="true" outlineLevel="0" collapsed="false">
      <c r="A2031" s="3" t="s">
        <v>3267</v>
      </c>
      <c r="B2031" s="3" t="str">
        <f aca="false">IF(ISNUMBER(SEARCH("%", A2031)),RIGHT(A2031,3),A2031)</f>
        <v>47, 47, PERSIAN</v>
      </c>
      <c r="C2031" s="2" t="s">
        <v>3267</v>
      </c>
    </row>
    <row r="2032" customFormat="false" ht="12.75" hidden="false" customHeight="true" outlineLevel="0" collapsed="false">
      <c r="A2032" s="3"/>
      <c r="B2032" s="3" t="n">
        <f aca="false">IF(ISNUMBER(SEARCH("%", A2032)),RIGHT(A2032,3),A2032)</f>
        <v>0</v>
      </c>
      <c r="C2032" s="2"/>
    </row>
    <row r="2033" customFormat="false" ht="12.75" hidden="false" customHeight="true" outlineLevel="0" collapsed="false">
      <c r="A2033" s="3" t="s">
        <v>2812</v>
      </c>
      <c r="B2033" s="3" t="str">
        <f aca="false">IF(ISNUMBER(SEARCH("%", A2033)),RIGHT(A2033,3),A2033)</f>
        <v>0.01</v>
      </c>
      <c r="C2033" s="2" t="s">
        <v>2812</v>
      </c>
    </row>
    <row r="2034" customFormat="false" ht="12.75" hidden="false" customHeight="true" outlineLevel="0" collapsed="false">
      <c r="A2034" s="3" t="s">
        <v>3266</v>
      </c>
      <c r="B2034" s="3" t="str">
        <f aca="false">IF(ISNUMBER(SEARCH("%", A2034)),RIGHT(A2034,3),A2034)</f>
        <v>50, 50, PIDGEOTTO</v>
      </c>
      <c r="C2034" s="2" t="s">
        <v>3266</v>
      </c>
    </row>
    <row r="2035" customFormat="false" ht="12.75" hidden="false" customHeight="true" outlineLevel="0" collapsed="false">
      <c r="A2035" s="3" t="s">
        <v>3268</v>
      </c>
      <c r="B2035" s="3" t="str">
        <f aca="false">IF(ISNUMBER(SEARCH("%", A2035)),RIGHT(A2035,3),A2035)</f>
        <v>50, 50, PERSIAN</v>
      </c>
      <c r="C2035" s="2" t="s">
        <v>3268</v>
      </c>
    </row>
    <row r="2036" customFormat="false" ht="12.75" hidden="false" customHeight="true" outlineLevel="0" collapsed="false">
      <c r="A2036" s="3" t="s">
        <v>3256</v>
      </c>
      <c r="B2036" s="3" t="str">
        <f aca="false">IF(ISNUMBER(SEARCH("%", A2036)),RIGHT(A2036,3),A2036)</f>
        <v>2, 5, 35, TENTACOOL</v>
      </c>
      <c r="C2036" s="2" t="s">
        <v>3256</v>
      </c>
    </row>
    <row r="2037" customFormat="false" ht="12.75" hidden="false" customHeight="true" outlineLevel="0" collapsed="false">
      <c r="A2037" s="3" t="s">
        <v>3257</v>
      </c>
      <c r="B2037" s="3" t="str">
        <f aca="false">IF(ISNUMBER(SEARCH("%", A2037)),RIGHT(A2037,3),A2037)</f>
        <v>5, 15, HOPPIP</v>
      </c>
      <c r="C2037" s="2" t="s">
        <v>3257</v>
      </c>
    </row>
    <row r="2038" customFormat="false" ht="12.75" hidden="false" customHeight="true" outlineLevel="0" collapsed="false">
      <c r="A2038" s="3" t="s">
        <v>2844</v>
      </c>
      <c r="B2038" s="3" t="str">
        <f aca="false">IF(ISNUMBER(SEARCH("%", A2038)),RIGHT(A2038,3),A2038)</f>
        <v>35, 40, TENTACOOL</v>
      </c>
      <c r="C2038" s="2" t="s">
        <v>2844</v>
      </c>
    </row>
    <row r="2039" customFormat="false" ht="12.75" hidden="false" customHeight="true" outlineLevel="0" collapsed="false">
      <c r="A2039" s="3" t="s">
        <v>3231</v>
      </c>
      <c r="B2039" s="3" t="str">
        <f aca="false">IF(ISNUMBER(SEARCH("%", A2039)),RIGHT(A2039,3),A2039)</f>
        <v>35, 40, TENTACRUEL</v>
      </c>
      <c r="C2039" s="2" t="s">
        <v>3231</v>
      </c>
    </row>
    <row r="2040" customFormat="false" ht="12.75" hidden="false" customHeight="true" outlineLevel="0" collapsed="false">
      <c r="A2040" s="3" t="s">
        <v>3231</v>
      </c>
      <c r="B2040" s="3" t="str">
        <f aca="false">IF(ISNUMBER(SEARCH("%", A2040)),RIGHT(A2040,3),A2040)</f>
        <v>35, 40, TENTACRUEL</v>
      </c>
      <c r="C2040" s="2" t="s">
        <v>3231</v>
      </c>
    </row>
    <row r="2041" customFormat="false" ht="12.75" hidden="false" customHeight="true" outlineLevel="0" collapsed="false">
      <c r="A2041" s="3" t="s">
        <v>2925</v>
      </c>
      <c r="B2041" s="3" t="str">
        <f aca="false">IF(ISNUMBER(SEARCH("%", A2041)),RIGHT(A2041,3),A2041)</f>
        <v>20, old rod:</v>
      </c>
      <c r="C2041" s="2" t="s">
        <v>2925</v>
      </c>
    </row>
    <row r="2042" customFormat="false" ht="12.75" hidden="false" customHeight="true" outlineLevel="0" collapsed="false">
      <c r="A2042" s="3" t="s">
        <v>1266</v>
      </c>
      <c r="B2042" s="3" t="str">
        <f aca="false">IF(ISNUMBER(SEARCH("%", A2042)),RIGHT(A2042,3),A2042)</f>
        <v>5, 5, MAGIKARP</v>
      </c>
      <c r="C2042" s="2" t="s">
        <v>1266</v>
      </c>
    </row>
    <row r="2043" customFormat="false" ht="12.75" hidden="false" customHeight="true" outlineLevel="0" collapsed="false">
      <c r="A2043" s="3" t="s">
        <v>1266</v>
      </c>
      <c r="B2043" s="3" t="str">
        <f aca="false">IF(ISNUMBER(SEARCH("%", A2043)),RIGHT(A2043,3),A2043)</f>
        <v>5, 5, MAGIKARP</v>
      </c>
      <c r="C2043" s="2" t="s">
        <v>1266</v>
      </c>
    </row>
    <row r="2044" customFormat="false" ht="12.75" hidden="false" customHeight="true" outlineLevel="0" collapsed="false">
      <c r="A2044" s="3"/>
      <c r="B2044" s="3" t="n">
        <f aca="false">IF(ISNUMBER(SEARCH("%", A2044)),RIGHT(A2044,3),A2044)</f>
        <v>0</v>
      </c>
      <c r="C2044" s="2"/>
    </row>
    <row r="2045" customFormat="false" ht="12.75" hidden="false" customHeight="true" outlineLevel="0" collapsed="false">
      <c r="A2045" s="3" t="s">
        <v>2846</v>
      </c>
      <c r="B2045" s="3" t="str">
        <f aca="false">IF(ISNUMBER(SEARCH("%", A2045)),RIGHT(A2045,3),A2045)</f>
        <v>good rod:</v>
      </c>
      <c r="C2045" s="2" t="s">
        <v>2846</v>
      </c>
    </row>
    <row r="2046" customFormat="false" ht="12.75" hidden="false" customHeight="true" outlineLevel="0" collapsed="false">
      <c r="A2046" s="3" t="s">
        <v>2847</v>
      </c>
      <c r="B2046" s="3" t="str">
        <f aca="false">IF(ISNUMBER(SEARCH("%", A2046)),RIGHT(A2046,3),A2046)</f>
        <v>5, 15, KRABBY</v>
      </c>
      <c r="C2046" s="2" t="s">
        <v>2847</v>
      </c>
    </row>
    <row r="2047" customFormat="false" ht="12.75" hidden="false" customHeight="true" outlineLevel="0" collapsed="false">
      <c r="A2047" s="3" t="s">
        <v>2848</v>
      </c>
      <c r="B2047" s="3" t="str">
        <f aca="false">IF(ISNUMBER(SEARCH("%", A2047)),RIGHT(A2047,3),A2047)</f>
        <v>5, 15, MAGIKARP</v>
      </c>
      <c r="C2047" s="2" t="s">
        <v>2848</v>
      </c>
    </row>
    <row r="2048" customFormat="false" ht="12.75" hidden="false" customHeight="true" outlineLevel="0" collapsed="false">
      <c r="A2048" s="3" t="s">
        <v>2847</v>
      </c>
      <c r="B2048" s="3" t="str">
        <f aca="false">IF(ISNUMBER(SEARCH("%", A2048)),RIGHT(A2048,3),A2048)</f>
        <v>5, 15, KRABBY</v>
      </c>
      <c r="C2048" s="2" t="s">
        <v>2847</v>
      </c>
    </row>
    <row r="2049" customFormat="false" ht="12.75" hidden="false" customHeight="true" outlineLevel="0" collapsed="false">
      <c r="A2049" s="3"/>
      <c r="B2049" s="3" t="n">
        <f aca="false">IF(ISNUMBER(SEARCH("%", A2049)),RIGHT(A2049,3),A2049)</f>
        <v>0</v>
      </c>
      <c r="C2049" s="2"/>
    </row>
    <row r="2050" customFormat="false" ht="12.75" hidden="false" customHeight="true" outlineLevel="0" collapsed="false">
      <c r="A2050" s="3" t="s">
        <v>2850</v>
      </c>
      <c r="B2050" s="3" t="str">
        <f aca="false">IF(ISNUMBER(SEARCH("%", A2050)),RIGHT(A2050,3),A2050)</f>
        <v>super rod:</v>
      </c>
      <c r="C2050" s="2" t="s">
        <v>2850</v>
      </c>
    </row>
    <row r="2051" customFormat="false" ht="12.75" hidden="false" customHeight="true" outlineLevel="0" collapsed="false">
      <c r="A2051" s="3" t="s">
        <v>2851</v>
      </c>
      <c r="B2051" s="3" t="str">
        <f aca="false">IF(ISNUMBER(SEARCH("%", A2051)),RIGHT(A2051,3),A2051)</f>
        <v>15, 25, KRABBY</v>
      </c>
      <c r="C2051" s="2" t="s">
        <v>2851</v>
      </c>
    </row>
    <row r="2052" customFormat="false" ht="12.75" hidden="false" customHeight="true" outlineLevel="0" collapsed="false">
      <c r="A2052" s="3" t="s">
        <v>3258</v>
      </c>
      <c r="B2052" s="3" t="str">
        <f aca="false">IF(ISNUMBER(SEARCH("%", A2052)),RIGHT(A2052,3),A2052)</f>
        <v>15, 25, REMORAID</v>
      </c>
      <c r="C2052" s="2" t="s">
        <v>3258</v>
      </c>
    </row>
    <row r="2053" customFormat="false" ht="12.75" hidden="false" customHeight="true" outlineLevel="0" collapsed="false">
      <c r="A2053" s="3" t="s">
        <v>2853</v>
      </c>
      <c r="B2053" s="3" t="str">
        <f aca="false">IF(ISNUMBER(SEARCH("%", A2053)),RIGHT(A2053,3),A2053)</f>
        <v>15, 25, GYARADOS</v>
      </c>
      <c r="C2053" s="2" t="s">
        <v>2853</v>
      </c>
    </row>
    <row r="2054" customFormat="false" ht="12.75" hidden="false" customHeight="true" outlineLevel="0" collapsed="false">
      <c r="A2054" s="3" t="s">
        <v>3177</v>
      </c>
      <c r="B2054" s="3" t="str">
        <f aca="false">IF(ISNUMBER(SEARCH("%", A2054)),RIGHT(A2054,3),A2054)</f>
        <v>25, 35, KINGLER</v>
      </c>
      <c r="C2054" s="2" t="s">
        <v>3177</v>
      </c>
    </row>
    <row r="2055" customFormat="false" ht="12.75" hidden="false" customHeight="true" outlineLevel="0" collapsed="false">
      <c r="A2055" s="3" t="s">
        <v>2855</v>
      </c>
      <c r="B2055" s="3" t="str">
        <f aca="false">IF(ISNUMBER(SEARCH("%", A2055)),RIGHT(A2055,3),A2055)</f>
        <v>25, 35, SLOWPOKE</v>
      </c>
      <c r="C2055" s="2" t="s">
        <v>2855</v>
      </c>
    </row>
    <row r="2056" customFormat="false" ht="12.75" hidden="false" customHeight="true" outlineLevel="0" collapsed="false">
      <c r="A2056" s="3" t="s">
        <v>2536</v>
      </c>
      <c r="B2056" s="3" t="str">
        <f aca="false">IF(ISNUMBER(SEARCH("%", A2056)),RIGHT(A2056,3),A2056)</f>
        <v>NEW ROUTE</v>
      </c>
      <c r="C2056" s="2" t="s">
        <v>2536</v>
      </c>
    </row>
    <row r="2057" customFormat="false" ht="12.75" hidden="false" customHeight="true" outlineLevel="0" collapsed="false">
      <c r="A2057" s="3" t="s">
        <v>3269</v>
      </c>
      <c r="B2057" s="3" t="str">
        <f aca="false">IF(ISNUMBER(SEARCH("%", A2057)),RIGHT(A2057,3),A2057)</f>
        <v>3, 57, 0,</v>
      </c>
      <c r="C2057" s="2" t="s">
        <v>3269</v>
      </c>
    </row>
    <row r="2058" customFormat="false" ht="12.75" hidden="false" customHeight="true" outlineLevel="0" collapsed="false">
      <c r="A2058" s="3" t="s">
        <v>2908</v>
      </c>
      <c r="B2058" s="3" t="str">
        <f aca="false">IF(ISNUMBER(SEARCH("%", A2058)),RIGHT(A2058,3),A2058)</f>
        <v>20%</v>
      </c>
      <c r="C2058" s="2" t="s">
        <v>2799</v>
      </c>
    </row>
    <row r="2059" customFormat="false" ht="12.75" hidden="false" customHeight="true" outlineLevel="0" collapsed="false">
      <c r="A2059" s="3" t="s">
        <v>1726</v>
      </c>
      <c r="B2059" s="3" t="str">
        <f aca="false">IF(ISNUMBER(SEARCH("%", A2059)),RIGHT(A2059,3),A2059)</f>
        <v>10, 10, HOPPIP</v>
      </c>
      <c r="C2059" s="2" t="s">
        <v>1726</v>
      </c>
    </row>
    <row r="2060" customFormat="false" ht="12.75" hidden="false" customHeight="true" outlineLevel="0" collapsed="false">
      <c r="A2060" s="3" t="s">
        <v>3270</v>
      </c>
      <c r="B2060" s="3" t="str">
        <f aca="false">IF(ISNUMBER(SEARCH("%", A2060)),RIGHT(A2060,3),A2060)</f>
        <v>12, 12, HOPPIP</v>
      </c>
      <c r="C2060" s="2" t="s">
        <v>3270</v>
      </c>
    </row>
    <row r="2061" customFormat="false" ht="12.75" hidden="false" customHeight="true" outlineLevel="0" collapsed="false">
      <c r="A2061" s="3"/>
      <c r="B2061" s="3" t="n">
        <f aca="false">IF(ISNUMBER(SEARCH("%", A2061)),RIGHT(A2061,3),A2061)</f>
        <v>0</v>
      </c>
      <c r="C2061" s="2"/>
    </row>
    <row r="2062" customFormat="false" ht="12.75" hidden="false" customHeight="true" outlineLevel="0" collapsed="false">
      <c r="A2062" s="3" t="s">
        <v>2801</v>
      </c>
      <c r="B2062" s="3" t="str">
        <f aca="false">IF(ISNUMBER(SEARCH("%", A2062)),RIGHT(A2062,3),A2062)</f>
        <v>0.1</v>
      </c>
      <c r="C2062" s="2" t="s">
        <v>2801</v>
      </c>
    </row>
    <row r="2063" customFormat="false" ht="12.75" hidden="false" customHeight="true" outlineLevel="0" collapsed="false">
      <c r="A2063" s="3" t="s">
        <v>3271</v>
      </c>
      <c r="B2063" s="3" t="str">
        <f aca="false">IF(ISNUMBER(SEARCH("%", A2063)),RIGHT(A2063,3),A2063)</f>
        <v>8, 8, HOPPIP</v>
      </c>
      <c r="C2063" s="2" t="s">
        <v>3271</v>
      </c>
    </row>
    <row r="2064" customFormat="false" ht="12.75" hidden="false" customHeight="true" outlineLevel="0" collapsed="false">
      <c r="A2064" s="3" t="s">
        <v>3272</v>
      </c>
      <c r="B2064" s="3" t="str">
        <f aca="false">IF(ISNUMBER(SEARCH("%", A2064)),RIGHT(A2064,3),A2064)</f>
        <v>14, 14, HOPPIP</v>
      </c>
      <c r="C2064" s="2" t="s">
        <v>3272</v>
      </c>
    </row>
    <row r="2065" customFormat="false" ht="12.75" hidden="false" customHeight="true" outlineLevel="0" collapsed="false">
      <c r="A2065" s="3" t="s">
        <v>1726</v>
      </c>
      <c r="B2065" s="3" t="str">
        <f aca="false">IF(ISNUMBER(SEARCH("%", A2065)),RIGHT(A2065,3),A2065)</f>
        <v>10, 10, HOPPIP</v>
      </c>
      <c r="C2065" s="2" t="s">
        <v>1726</v>
      </c>
    </row>
    <row r="2066" customFormat="false" ht="12.75" hidden="false" customHeight="true" outlineLevel="0" collapsed="false">
      <c r="A2066" s="3" t="s">
        <v>3270</v>
      </c>
      <c r="B2066" s="3" t="str">
        <f aca="false">IF(ISNUMBER(SEARCH("%", A2066)),RIGHT(A2066,3),A2066)</f>
        <v>12, 12, HOPPIP</v>
      </c>
      <c r="C2066" s="2" t="s">
        <v>3270</v>
      </c>
    </row>
    <row r="2067" customFormat="false" ht="12.75" hidden="false" customHeight="true" outlineLevel="0" collapsed="false">
      <c r="A2067" s="3"/>
      <c r="B2067" s="3" t="n">
        <f aca="false">IF(ISNUMBER(SEARCH("%", A2067)),RIGHT(A2067,3),A2067)</f>
        <v>0</v>
      </c>
      <c r="C2067" s="2"/>
    </row>
    <row r="2068" customFormat="false" ht="12.75" hidden="false" customHeight="true" outlineLevel="0" collapsed="false">
      <c r="A2068" s="3" t="s">
        <v>2806</v>
      </c>
      <c r="B2068" s="3" t="str">
        <f aca="false">IF(ISNUMBER(SEARCH("%", A2068)),RIGHT(A2068,3),A2068)</f>
        <v>0.05</v>
      </c>
      <c r="C2068" s="2" t="s">
        <v>2806</v>
      </c>
    </row>
    <row r="2069" customFormat="false" ht="12.75" hidden="false" customHeight="true" outlineLevel="0" collapsed="false">
      <c r="A2069" s="3" t="s">
        <v>3273</v>
      </c>
      <c r="B2069" s="3" t="str">
        <f aca="false">IF(ISNUMBER(SEARCH("%", A2069)),RIGHT(A2069,3),A2069)</f>
        <v>16, 16, HOPPIP</v>
      </c>
      <c r="C2069" s="2" t="s">
        <v>3273</v>
      </c>
    </row>
    <row r="2070" customFormat="false" ht="12.75" hidden="false" customHeight="true" outlineLevel="0" collapsed="false">
      <c r="A2070" s="3" t="s">
        <v>3274</v>
      </c>
      <c r="B2070" s="3" t="str">
        <f aca="false">IF(ISNUMBER(SEARCH("%", A2070)),RIGHT(A2070,3),A2070)</f>
        <v>6, 6, HOPPIP</v>
      </c>
      <c r="C2070" s="2" t="s">
        <v>3274</v>
      </c>
    </row>
    <row r="2071" customFormat="false" ht="12.75" hidden="false" customHeight="true" outlineLevel="0" collapsed="false">
      <c r="A2071" s="3"/>
      <c r="B2071" s="3" t="n">
        <f aca="false">IF(ISNUMBER(SEARCH("%", A2071)),RIGHT(A2071,3),A2071)</f>
        <v>0</v>
      </c>
      <c r="C2071" s="2"/>
    </row>
    <row r="2072" customFormat="false" ht="12.75" hidden="false" customHeight="true" outlineLevel="0" collapsed="false">
      <c r="A2072" s="3" t="s">
        <v>2809</v>
      </c>
      <c r="B2072" s="3" t="str">
        <f aca="false">IF(ISNUMBER(SEARCH("%", A2072)),RIGHT(A2072,3),A2072)</f>
        <v>0.04</v>
      </c>
      <c r="C2072" s="2" t="s">
        <v>2809</v>
      </c>
    </row>
    <row r="2073" customFormat="false" ht="12.75" hidden="false" customHeight="true" outlineLevel="0" collapsed="false">
      <c r="A2073" s="3" t="s">
        <v>3271</v>
      </c>
      <c r="B2073" s="3" t="str">
        <f aca="false">IF(ISNUMBER(SEARCH("%", A2073)),RIGHT(A2073,3),A2073)</f>
        <v>8, 8, HOPPIP</v>
      </c>
      <c r="C2073" s="2" t="s">
        <v>3271</v>
      </c>
    </row>
    <row r="2074" customFormat="false" ht="12.75" hidden="false" customHeight="true" outlineLevel="0" collapsed="false">
      <c r="A2074" s="3" t="s">
        <v>3272</v>
      </c>
      <c r="B2074" s="3" t="str">
        <f aca="false">IF(ISNUMBER(SEARCH("%", A2074)),RIGHT(A2074,3),A2074)</f>
        <v>14, 14, HOPPIP</v>
      </c>
      <c r="C2074" s="2" t="s">
        <v>3272</v>
      </c>
    </row>
    <row r="2075" customFormat="false" ht="12.75" hidden="false" customHeight="true" outlineLevel="0" collapsed="false">
      <c r="A2075" s="3"/>
      <c r="B2075" s="3" t="n">
        <f aca="false">IF(ISNUMBER(SEARCH("%", A2075)),RIGHT(A2075,3),A2075)</f>
        <v>0</v>
      </c>
      <c r="C2075" s="2"/>
    </row>
    <row r="2076" customFormat="false" ht="12.75" hidden="false" customHeight="true" outlineLevel="0" collapsed="false">
      <c r="A2076" s="3" t="s">
        <v>2812</v>
      </c>
      <c r="B2076" s="3" t="str">
        <f aca="false">IF(ISNUMBER(SEARCH("%", A2076)),RIGHT(A2076,3),A2076)</f>
        <v>0.01</v>
      </c>
      <c r="C2076" s="2" t="s">
        <v>2812</v>
      </c>
    </row>
    <row r="2077" customFormat="false" ht="12.75" hidden="false" customHeight="true" outlineLevel="0" collapsed="false">
      <c r="A2077" s="3" t="s">
        <v>3271</v>
      </c>
      <c r="B2077" s="3" t="str">
        <f aca="false">IF(ISNUMBER(SEARCH("%", A2077)),RIGHT(A2077,3),A2077)</f>
        <v>8, 8, HOPPIP</v>
      </c>
      <c r="C2077" s="2" t="s">
        <v>3271</v>
      </c>
    </row>
    <row r="2078" customFormat="false" ht="12.75" hidden="false" customHeight="true" outlineLevel="0" collapsed="false">
      <c r="A2078" s="3" t="s">
        <v>3272</v>
      </c>
      <c r="B2078" s="3" t="str">
        <f aca="false">IF(ISNUMBER(SEARCH("%", A2078)),RIGHT(A2078,3),A2078)</f>
        <v>14, 14, HOPPIP</v>
      </c>
      <c r="C2078" s="2" t="s">
        <v>3272</v>
      </c>
    </row>
    <row r="2079" customFormat="false" ht="12.75" hidden="false" customHeight="true" outlineLevel="0" collapsed="false">
      <c r="A2079" s="3" t="s">
        <v>3256</v>
      </c>
      <c r="B2079" s="3" t="str">
        <f aca="false">IF(ISNUMBER(SEARCH("%", A2079)),RIGHT(A2079,3),A2079)</f>
        <v>2, 5, 35, TENTACOOL</v>
      </c>
      <c r="C2079" s="2" t="s">
        <v>3256</v>
      </c>
    </row>
    <row r="2080" customFormat="false" ht="12.75" hidden="false" customHeight="true" outlineLevel="0" collapsed="false">
      <c r="A2080" s="3" t="s">
        <v>3257</v>
      </c>
      <c r="B2080" s="3" t="str">
        <f aca="false">IF(ISNUMBER(SEARCH("%", A2080)),RIGHT(A2080,3),A2080)</f>
        <v>5, 15, HOPPIP</v>
      </c>
      <c r="C2080" s="2" t="s">
        <v>3257</v>
      </c>
    </row>
    <row r="2081" customFormat="false" ht="12.75" hidden="false" customHeight="true" outlineLevel="0" collapsed="false">
      <c r="A2081" s="3" t="s">
        <v>2844</v>
      </c>
      <c r="B2081" s="3" t="str">
        <f aca="false">IF(ISNUMBER(SEARCH("%", A2081)),RIGHT(A2081,3),A2081)</f>
        <v>35, 40, TENTACOOL</v>
      </c>
      <c r="C2081" s="2" t="s">
        <v>2844</v>
      </c>
    </row>
    <row r="2082" customFormat="false" ht="12.75" hidden="false" customHeight="true" outlineLevel="0" collapsed="false">
      <c r="A2082" s="3" t="s">
        <v>3231</v>
      </c>
      <c r="B2082" s="3" t="str">
        <f aca="false">IF(ISNUMBER(SEARCH("%", A2082)),RIGHT(A2082,3),A2082)</f>
        <v>35, 40, TENTACRUEL</v>
      </c>
      <c r="C2082" s="2" t="s">
        <v>3231</v>
      </c>
    </row>
    <row r="2083" customFormat="false" ht="12.75" hidden="false" customHeight="true" outlineLevel="0" collapsed="false">
      <c r="A2083" s="3" t="s">
        <v>3231</v>
      </c>
      <c r="B2083" s="3" t="str">
        <f aca="false">IF(ISNUMBER(SEARCH("%", A2083)),RIGHT(A2083,3),A2083)</f>
        <v>35, 40, TENTACRUEL</v>
      </c>
      <c r="C2083" s="2" t="s">
        <v>3231</v>
      </c>
    </row>
    <row r="2084" customFormat="false" ht="12.75" hidden="false" customHeight="true" outlineLevel="0" collapsed="false">
      <c r="A2084" s="3" t="s">
        <v>2925</v>
      </c>
      <c r="B2084" s="3" t="str">
        <f aca="false">IF(ISNUMBER(SEARCH("%", A2084)),RIGHT(A2084,3),A2084)</f>
        <v>20, old rod:</v>
      </c>
      <c r="C2084" s="2" t="s">
        <v>2925</v>
      </c>
    </row>
    <row r="2085" customFormat="false" ht="12.75" hidden="false" customHeight="true" outlineLevel="0" collapsed="false">
      <c r="A2085" s="3" t="s">
        <v>1266</v>
      </c>
      <c r="B2085" s="3" t="str">
        <f aca="false">IF(ISNUMBER(SEARCH("%", A2085)),RIGHT(A2085,3),A2085)</f>
        <v>5, 5, MAGIKARP</v>
      </c>
      <c r="C2085" s="2" t="s">
        <v>1266</v>
      </c>
    </row>
    <row r="2086" customFormat="false" ht="12.75" hidden="false" customHeight="true" outlineLevel="0" collapsed="false">
      <c r="A2086" s="3" t="s">
        <v>1266</v>
      </c>
      <c r="B2086" s="3" t="str">
        <f aca="false">IF(ISNUMBER(SEARCH("%", A2086)),RIGHT(A2086,3),A2086)</f>
        <v>5, 5, MAGIKARP</v>
      </c>
      <c r="C2086" s="2" t="s">
        <v>1266</v>
      </c>
    </row>
    <row r="2087" customFormat="false" ht="12.75" hidden="false" customHeight="true" outlineLevel="0" collapsed="false">
      <c r="A2087" s="3"/>
      <c r="B2087" s="3" t="n">
        <f aca="false">IF(ISNUMBER(SEARCH("%", A2087)),RIGHT(A2087,3),A2087)</f>
        <v>0</v>
      </c>
      <c r="C2087" s="2"/>
    </row>
    <row r="2088" customFormat="false" ht="12.75" hidden="false" customHeight="true" outlineLevel="0" collapsed="false">
      <c r="A2088" s="3" t="s">
        <v>2846</v>
      </c>
      <c r="B2088" s="3" t="str">
        <f aca="false">IF(ISNUMBER(SEARCH("%", A2088)),RIGHT(A2088,3),A2088)</f>
        <v>good rod:</v>
      </c>
      <c r="C2088" s="2" t="s">
        <v>2846</v>
      </c>
    </row>
    <row r="2089" customFormat="false" ht="12.75" hidden="false" customHeight="true" outlineLevel="0" collapsed="false">
      <c r="A2089" s="3" t="s">
        <v>2847</v>
      </c>
      <c r="B2089" s="3" t="str">
        <f aca="false">IF(ISNUMBER(SEARCH("%", A2089)),RIGHT(A2089,3),A2089)</f>
        <v>5, 15, KRABBY</v>
      </c>
      <c r="C2089" s="2" t="s">
        <v>2847</v>
      </c>
    </row>
    <row r="2090" customFormat="false" ht="12.75" hidden="false" customHeight="true" outlineLevel="0" collapsed="false">
      <c r="A2090" s="3" t="s">
        <v>2848</v>
      </c>
      <c r="B2090" s="3" t="str">
        <f aca="false">IF(ISNUMBER(SEARCH("%", A2090)),RIGHT(A2090,3),A2090)</f>
        <v>5, 15, MAGIKARP</v>
      </c>
      <c r="C2090" s="2" t="s">
        <v>2848</v>
      </c>
    </row>
    <row r="2091" customFormat="false" ht="12.75" hidden="false" customHeight="true" outlineLevel="0" collapsed="false">
      <c r="A2091" s="3" t="s">
        <v>2847</v>
      </c>
      <c r="B2091" s="3" t="str">
        <f aca="false">IF(ISNUMBER(SEARCH("%", A2091)),RIGHT(A2091,3),A2091)</f>
        <v>5, 15, KRABBY</v>
      </c>
      <c r="C2091" s="2" t="s">
        <v>2847</v>
      </c>
    </row>
    <row r="2092" customFormat="false" ht="12.75" hidden="false" customHeight="true" outlineLevel="0" collapsed="false">
      <c r="A2092" s="3"/>
      <c r="B2092" s="3" t="n">
        <f aca="false">IF(ISNUMBER(SEARCH("%", A2092)),RIGHT(A2092,3),A2092)</f>
        <v>0</v>
      </c>
      <c r="C2092" s="2"/>
    </row>
    <row r="2093" customFormat="false" ht="12.75" hidden="false" customHeight="true" outlineLevel="0" collapsed="false">
      <c r="A2093" s="3" t="s">
        <v>2850</v>
      </c>
      <c r="B2093" s="3" t="str">
        <f aca="false">IF(ISNUMBER(SEARCH("%", A2093)),RIGHT(A2093,3),A2093)</f>
        <v>super rod:</v>
      </c>
      <c r="C2093" s="2" t="s">
        <v>2850</v>
      </c>
    </row>
    <row r="2094" customFormat="false" ht="12.75" hidden="false" customHeight="true" outlineLevel="0" collapsed="false">
      <c r="A2094" s="3" t="s">
        <v>2851</v>
      </c>
      <c r="B2094" s="3" t="str">
        <f aca="false">IF(ISNUMBER(SEARCH("%", A2094)),RIGHT(A2094,3),A2094)</f>
        <v>15, 25, KRABBY</v>
      </c>
      <c r="C2094" s="2" t="s">
        <v>2851</v>
      </c>
    </row>
    <row r="2095" customFormat="false" ht="12.75" hidden="false" customHeight="true" outlineLevel="0" collapsed="false">
      <c r="A2095" s="3" t="s">
        <v>3258</v>
      </c>
      <c r="B2095" s="3" t="str">
        <f aca="false">IF(ISNUMBER(SEARCH("%", A2095)),RIGHT(A2095,3),A2095)</f>
        <v>15, 25, REMORAID</v>
      </c>
      <c r="C2095" s="2" t="s">
        <v>3258</v>
      </c>
    </row>
    <row r="2096" customFormat="false" ht="12.75" hidden="false" customHeight="true" outlineLevel="0" collapsed="false">
      <c r="A2096" s="3" t="s">
        <v>2853</v>
      </c>
      <c r="B2096" s="3" t="str">
        <f aca="false">IF(ISNUMBER(SEARCH("%", A2096)),RIGHT(A2096,3),A2096)</f>
        <v>15, 25, GYARADOS</v>
      </c>
      <c r="C2096" s="2" t="s">
        <v>2853</v>
      </c>
    </row>
    <row r="2097" customFormat="false" ht="12.75" hidden="false" customHeight="true" outlineLevel="0" collapsed="false">
      <c r="A2097" s="3" t="s">
        <v>3177</v>
      </c>
      <c r="B2097" s="3" t="str">
        <f aca="false">IF(ISNUMBER(SEARCH("%", A2097)),RIGHT(A2097,3),A2097)</f>
        <v>25, 35, KINGLER</v>
      </c>
      <c r="C2097" s="2" t="s">
        <v>3177</v>
      </c>
    </row>
    <row r="2098" customFormat="false" ht="12.75" hidden="false" customHeight="true" outlineLevel="0" collapsed="false">
      <c r="A2098" s="3" t="s">
        <v>2855</v>
      </c>
      <c r="B2098" s="3" t="str">
        <f aca="false">IF(ISNUMBER(SEARCH("%", A2098)),RIGHT(A2098,3),A2098)</f>
        <v>25, 35, SLOWPOKE</v>
      </c>
      <c r="C2098" s="2" t="s">
        <v>2855</v>
      </c>
    </row>
    <row r="2099" customFormat="false" ht="12.75" hidden="false" customHeight="true" outlineLevel="0" collapsed="false">
      <c r="A2099" s="3" t="s">
        <v>2536</v>
      </c>
      <c r="B2099" s="3" t="str">
        <f aca="false">IF(ISNUMBER(SEARCH("%", A2099)),RIGHT(A2099,3),A2099)</f>
        <v>NEW ROUTE</v>
      </c>
      <c r="C2099" s="2" t="s">
        <v>2536</v>
      </c>
    </row>
    <row r="2100" customFormat="false" ht="12.75" hidden="false" customHeight="true" outlineLevel="0" collapsed="false">
      <c r="A2100" s="3" t="s">
        <v>3275</v>
      </c>
      <c r="B2100" s="3" t="str">
        <f aca="false">IF(ISNUMBER(SEARCH("%", A2100)),RIGHT(A2100,3),A2100)</f>
        <v>3, 58, 0, &lt;null&gt;,</v>
      </c>
      <c r="C2100" s="2" t="s">
        <v>3275</v>
      </c>
    </row>
    <row r="2101" customFormat="false" ht="12.75" hidden="false" customHeight="true" outlineLevel="0" collapsed="false">
      <c r="A2101" s="3"/>
      <c r="B2101" s="3" t="n">
        <f aca="false">IF(ISNUMBER(SEARCH("%", A2101)),RIGHT(A2101,3),A2101)</f>
        <v>0</v>
      </c>
      <c r="C2101" s="2"/>
    </row>
    <row r="2102" customFormat="false" ht="12.75" hidden="false" customHeight="true" outlineLevel="0" collapsed="false">
      <c r="A2102" s="3" t="s">
        <v>3172</v>
      </c>
      <c r="B2102" s="3" t="str">
        <f aca="false">IF(ISNUMBER(SEARCH("%", A2102)),RIGHT(A2102,3),A2102)</f>
        <v>2, 5, 20, TENTACOOL</v>
      </c>
      <c r="C2102" s="2" t="s">
        <v>3172</v>
      </c>
    </row>
    <row r="2103" customFormat="false" ht="12.75" hidden="false" customHeight="true" outlineLevel="0" collapsed="false">
      <c r="A2103" s="3" t="s">
        <v>3173</v>
      </c>
      <c r="B2103" s="3" t="str">
        <f aca="false">IF(ISNUMBER(SEARCH("%", A2103)),RIGHT(A2103,3),A2103)</f>
        <v>20, 35, TENTACOOL</v>
      </c>
      <c r="C2103" s="2" t="s">
        <v>3173</v>
      </c>
    </row>
    <row r="2104" customFormat="false" ht="12.75" hidden="false" customHeight="true" outlineLevel="0" collapsed="false">
      <c r="A2104" s="3" t="s">
        <v>2844</v>
      </c>
      <c r="B2104" s="3" t="str">
        <f aca="false">IF(ISNUMBER(SEARCH("%", A2104)),RIGHT(A2104,3),A2104)</f>
        <v>35, 40, TENTACOOL</v>
      </c>
      <c r="C2104" s="2" t="s">
        <v>2844</v>
      </c>
    </row>
    <row r="2105" customFormat="false" ht="12.75" hidden="false" customHeight="true" outlineLevel="0" collapsed="false">
      <c r="A2105" s="3" t="s">
        <v>3231</v>
      </c>
      <c r="B2105" s="3" t="str">
        <f aca="false">IF(ISNUMBER(SEARCH("%", A2105)),RIGHT(A2105,3),A2105)</f>
        <v>35, 40, TENTACRUEL</v>
      </c>
      <c r="C2105" s="2" t="s">
        <v>3231</v>
      </c>
    </row>
    <row r="2106" customFormat="false" ht="12.75" hidden="false" customHeight="true" outlineLevel="0" collapsed="false">
      <c r="A2106" s="3" t="s">
        <v>3231</v>
      </c>
      <c r="B2106" s="3" t="str">
        <f aca="false">IF(ISNUMBER(SEARCH("%", A2106)),RIGHT(A2106,3),A2106)</f>
        <v>35, 40, TENTACRUEL</v>
      </c>
      <c r="C2106" s="2" t="s">
        <v>3231</v>
      </c>
    </row>
    <row r="2107" customFormat="false" ht="12.75" hidden="false" customHeight="true" outlineLevel="0" collapsed="false">
      <c r="A2107" s="3" t="s">
        <v>2925</v>
      </c>
      <c r="B2107" s="3" t="str">
        <f aca="false">IF(ISNUMBER(SEARCH("%", A2107)),RIGHT(A2107,3),A2107)</f>
        <v>20, old rod:</v>
      </c>
      <c r="C2107" s="2" t="s">
        <v>2925</v>
      </c>
    </row>
    <row r="2108" customFormat="false" ht="12.75" hidden="false" customHeight="true" outlineLevel="0" collapsed="false">
      <c r="A2108" s="3" t="s">
        <v>1266</v>
      </c>
      <c r="B2108" s="3" t="str">
        <f aca="false">IF(ISNUMBER(SEARCH("%", A2108)),RIGHT(A2108,3),A2108)</f>
        <v>5, 5, MAGIKARP</v>
      </c>
      <c r="C2108" s="2" t="s">
        <v>1266</v>
      </c>
    </row>
    <row r="2109" customFormat="false" ht="12.75" hidden="false" customHeight="true" outlineLevel="0" collapsed="false">
      <c r="A2109" s="3" t="s">
        <v>1266</v>
      </c>
      <c r="B2109" s="3" t="str">
        <f aca="false">IF(ISNUMBER(SEARCH("%", A2109)),RIGHT(A2109,3),A2109)</f>
        <v>5, 5, MAGIKARP</v>
      </c>
      <c r="C2109" s="2" t="s">
        <v>1266</v>
      </c>
    </row>
    <row r="2110" customFormat="false" ht="12.75" hidden="false" customHeight="true" outlineLevel="0" collapsed="false">
      <c r="A2110" s="3"/>
      <c r="B2110" s="3" t="n">
        <f aca="false">IF(ISNUMBER(SEARCH("%", A2110)),RIGHT(A2110,3),A2110)</f>
        <v>0</v>
      </c>
      <c r="C2110" s="2"/>
    </row>
    <row r="2111" customFormat="false" ht="12.75" hidden="false" customHeight="true" outlineLevel="0" collapsed="false">
      <c r="A2111" s="3" t="s">
        <v>2846</v>
      </c>
      <c r="B2111" s="3" t="str">
        <f aca="false">IF(ISNUMBER(SEARCH("%", A2111)),RIGHT(A2111,3),A2111)</f>
        <v>good rod:</v>
      </c>
      <c r="C2111" s="2" t="s">
        <v>2846</v>
      </c>
    </row>
    <row r="2112" customFormat="false" ht="12.75" hidden="false" customHeight="true" outlineLevel="0" collapsed="false">
      <c r="A2112" s="3" t="s">
        <v>2847</v>
      </c>
      <c r="B2112" s="3" t="str">
        <f aca="false">IF(ISNUMBER(SEARCH("%", A2112)),RIGHT(A2112,3),A2112)</f>
        <v>5, 15, KRABBY</v>
      </c>
      <c r="C2112" s="2" t="s">
        <v>2847</v>
      </c>
    </row>
    <row r="2113" customFormat="false" ht="12.75" hidden="false" customHeight="true" outlineLevel="0" collapsed="false">
      <c r="A2113" s="3" t="s">
        <v>2848</v>
      </c>
      <c r="B2113" s="3" t="str">
        <f aca="false">IF(ISNUMBER(SEARCH("%", A2113)),RIGHT(A2113,3),A2113)</f>
        <v>5, 15, MAGIKARP</v>
      </c>
      <c r="C2113" s="2" t="s">
        <v>2848</v>
      </c>
    </row>
    <row r="2114" customFormat="false" ht="12.75" hidden="false" customHeight="true" outlineLevel="0" collapsed="false">
      <c r="A2114" s="3" t="s">
        <v>2847</v>
      </c>
      <c r="B2114" s="3" t="str">
        <f aca="false">IF(ISNUMBER(SEARCH("%", A2114)),RIGHT(A2114,3),A2114)</f>
        <v>5, 15, KRABBY</v>
      </c>
      <c r="C2114" s="2" t="s">
        <v>2847</v>
      </c>
    </row>
    <row r="2115" customFormat="false" ht="12.75" hidden="false" customHeight="true" outlineLevel="0" collapsed="false">
      <c r="A2115" s="3"/>
      <c r="B2115" s="3" t="n">
        <f aca="false">IF(ISNUMBER(SEARCH("%", A2115)),RIGHT(A2115,3),A2115)</f>
        <v>0</v>
      </c>
      <c r="C2115" s="2"/>
    </row>
    <row r="2116" customFormat="false" ht="12.75" hidden="false" customHeight="true" outlineLevel="0" collapsed="false">
      <c r="A2116" s="3" t="s">
        <v>2850</v>
      </c>
      <c r="B2116" s="3" t="str">
        <f aca="false">IF(ISNUMBER(SEARCH("%", A2116)),RIGHT(A2116,3),A2116)</f>
        <v>super rod:</v>
      </c>
      <c r="C2116" s="2" t="s">
        <v>2850</v>
      </c>
    </row>
    <row r="2117" customFormat="false" ht="12.75" hidden="false" customHeight="true" outlineLevel="0" collapsed="false">
      <c r="A2117" s="3" t="s">
        <v>2851</v>
      </c>
      <c r="B2117" s="3" t="str">
        <f aca="false">IF(ISNUMBER(SEARCH("%", A2117)),RIGHT(A2117,3),A2117)</f>
        <v>15, 25, KRABBY</v>
      </c>
      <c r="C2117" s="2" t="s">
        <v>2851</v>
      </c>
    </row>
    <row r="2118" customFormat="false" ht="12.75" hidden="false" customHeight="true" outlineLevel="0" collapsed="false">
      <c r="A2118" s="3" t="s">
        <v>3258</v>
      </c>
      <c r="B2118" s="3" t="str">
        <f aca="false">IF(ISNUMBER(SEARCH("%", A2118)),RIGHT(A2118,3),A2118)</f>
        <v>15, 25, REMORAID</v>
      </c>
      <c r="C2118" s="2" t="s">
        <v>3258</v>
      </c>
    </row>
    <row r="2119" customFormat="false" ht="12.75" hidden="false" customHeight="true" outlineLevel="0" collapsed="false">
      <c r="A2119" s="3" t="s">
        <v>2853</v>
      </c>
      <c r="B2119" s="3" t="str">
        <f aca="false">IF(ISNUMBER(SEARCH("%", A2119)),RIGHT(A2119,3),A2119)</f>
        <v>15, 25, GYARADOS</v>
      </c>
      <c r="C2119" s="2" t="s">
        <v>2853</v>
      </c>
    </row>
    <row r="2120" customFormat="false" ht="12.75" hidden="false" customHeight="true" outlineLevel="0" collapsed="false">
      <c r="A2120" s="3" t="s">
        <v>3177</v>
      </c>
      <c r="B2120" s="3" t="str">
        <f aca="false">IF(ISNUMBER(SEARCH("%", A2120)),RIGHT(A2120,3),A2120)</f>
        <v>25, 35, KINGLER</v>
      </c>
      <c r="C2120" s="2" t="s">
        <v>3177</v>
      </c>
    </row>
    <row r="2121" customFormat="false" ht="12.75" hidden="false" customHeight="true" outlineLevel="0" collapsed="false">
      <c r="A2121" s="3" t="s">
        <v>2855</v>
      </c>
      <c r="B2121" s="3" t="str">
        <f aca="false">IF(ISNUMBER(SEARCH("%", A2121)),RIGHT(A2121,3),A2121)</f>
        <v>25, 35, SLOWPOKE</v>
      </c>
      <c r="C2121" s="2" t="s">
        <v>2855</v>
      </c>
    </row>
    <row r="2122" customFormat="false" ht="12.75" hidden="false" customHeight="true" outlineLevel="0" collapsed="false">
      <c r="A2122" s="3" t="s">
        <v>2536</v>
      </c>
      <c r="B2122" s="3" t="str">
        <f aca="false">IF(ISNUMBER(SEARCH("%", A2122)),RIGHT(A2122,3),A2122)</f>
        <v>NEW ROUTE</v>
      </c>
      <c r="C2122" s="2" t="s">
        <v>2536</v>
      </c>
    </row>
    <row r="2123" customFormat="false" ht="12.75" hidden="false" customHeight="true" outlineLevel="0" collapsed="false">
      <c r="A2123" s="3" t="s">
        <v>3276</v>
      </c>
      <c r="B2123" s="3" t="str">
        <f aca="false">IF(ISNUMBER(SEARCH("%", A2123)),RIGHT(A2123,3),A2123)</f>
        <v>3, 59, 0, &lt;null&gt;,</v>
      </c>
      <c r="C2123" s="2" t="s">
        <v>3276</v>
      </c>
    </row>
    <row r="2124" customFormat="false" ht="12.75" hidden="false" customHeight="true" outlineLevel="0" collapsed="false">
      <c r="A2124" s="3"/>
      <c r="B2124" s="3" t="n">
        <f aca="false">IF(ISNUMBER(SEARCH("%", A2124)),RIGHT(A2124,3),A2124)</f>
        <v>0</v>
      </c>
      <c r="C2124" s="2"/>
    </row>
    <row r="2125" customFormat="false" ht="12.75" hidden="false" customHeight="true" outlineLevel="0" collapsed="false">
      <c r="A2125" s="3" t="s">
        <v>3172</v>
      </c>
      <c r="B2125" s="3" t="str">
        <f aca="false">IF(ISNUMBER(SEARCH("%", A2125)),RIGHT(A2125,3),A2125)</f>
        <v>2, 5, 20, TENTACOOL</v>
      </c>
      <c r="C2125" s="2" t="s">
        <v>3172</v>
      </c>
    </row>
    <row r="2126" customFormat="false" ht="12.75" hidden="false" customHeight="true" outlineLevel="0" collapsed="false">
      <c r="A2126" s="3" t="s">
        <v>3173</v>
      </c>
      <c r="B2126" s="3" t="str">
        <f aca="false">IF(ISNUMBER(SEARCH("%", A2126)),RIGHT(A2126,3),A2126)</f>
        <v>20, 35, TENTACOOL</v>
      </c>
      <c r="C2126" s="2" t="s">
        <v>3173</v>
      </c>
    </row>
    <row r="2127" customFormat="false" ht="12.75" hidden="false" customHeight="true" outlineLevel="0" collapsed="false">
      <c r="A2127" s="3" t="s">
        <v>2844</v>
      </c>
      <c r="B2127" s="3" t="str">
        <f aca="false">IF(ISNUMBER(SEARCH("%", A2127)),RIGHT(A2127,3),A2127)</f>
        <v>35, 40, TENTACOOL</v>
      </c>
      <c r="C2127" s="2" t="s">
        <v>2844</v>
      </c>
    </row>
    <row r="2128" customFormat="false" ht="12.75" hidden="false" customHeight="true" outlineLevel="0" collapsed="false">
      <c r="A2128" s="3" t="s">
        <v>3231</v>
      </c>
      <c r="B2128" s="3" t="str">
        <f aca="false">IF(ISNUMBER(SEARCH("%", A2128)),RIGHT(A2128,3),A2128)</f>
        <v>35, 40, TENTACRUEL</v>
      </c>
      <c r="C2128" s="2" t="s">
        <v>3231</v>
      </c>
    </row>
    <row r="2129" customFormat="false" ht="12.75" hidden="false" customHeight="true" outlineLevel="0" collapsed="false">
      <c r="A2129" s="3" t="s">
        <v>3231</v>
      </c>
      <c r="B2129" s="3" t="str">
        <f aca="false">IF(ISNUMBER(SEARCH("%", A2129)),RIGHT(A2129,3),A2129)</f>
        <v>35, 40, TENTACRUEL</v>
      </c>
      <c r="C2129" s="2" t="s">
        <v>3231</v>
      </c>
    </row>
    <row r="2130" customFormat="false" ht="12.75" hidden="false" customHeight="true" outlineLevel="0" collapsed="false">
      <c r="A2130" s="3" t="s">
        <v>2925</v>
      </c>
      <c r="B2130" s="3" t="str">
        <f aca="false">IF(ISNUMBER(SEARCH("%", A2130)),RIGHT(A2130,3),A2130)</f>
        <v>20, old rod:</v>
      </c>
      <c r="C2130" s="2" t="s">
        <v>2925</v>
      </c>
    </row>
    <row r="2131" customFormat="false" ht="12.75" hidden="false" customHeight="true" outlineLevel="0" collapsed="false">
      <c r="A2131" s="3" t="s">
        <v>1266</v>
      </c>
      <c r="B2131" s="3" t="str">
        <f aca="false">IF(ISNUMBER(SEARCH("%", A2131)),RIGHT(A2131,3),A2131)</f>
        <v>5, 5, MAGIKARP</v>
      </c>
      <c r="C2131" s="2" t="s">
        <v>1266</v>
      </c>
    </row>
    <row r="2132" customFormat="false" ht="12.75" hidden="false" customHeight="true" outlineLevel="0" collapsed="false">
      <c r="A2132" s="3" t="s">
        <v>1266</v>
      </c>
      <c r="B2132" s="3" t="str">
        <f aca="false">IF(ISNUMBER(SEARCH("%", A2132)),RIGHT(A2132,3),A2132)</f>
        <v>5, 5, MAGIKARP</v>
      </c>
      <c r="C2132" s="2" t="s">
        <v>1266</v>
      </c>
    </row>
    <row r="2133" customFormat="false" ht="12.75" hidden="false" customHeight="true" outlineLevel="0" collapsed="false">
      <c r="A2133" s="3"/>
      <c r="B2133" s="3" t="n">
        <f aca="false">IF(ISNUMBER(SEARCH("%", A2133)),RIGHT(A2133,3),A2133)</f>
        <v>0</v>
      </c>
      <c r="C2133" s="2"/>
    </row>
    <row r="2134" customFormat="false" ht="12.75" hidden="false" customHeight="true" outlineLevel="0" collapsed="false">
      <c r="A2134" s="3" t="s">
        <v>2846</v>
      </c>
      <c r="B2134" s="3" t="str">
        <f aca="false">IF(ISNUMBER(SEARCH("%", A2134)),RIGHT(A2134,3),A2134)</f>
        <v>good rod:</v>
      </c>
      <c r="C2134" s="2" t="s">
        <v>2846</v>
      </c>
    </row>
    <row r="2135" customFormat="false" ht="12.75" hidden="false" customHeight="true" outlineLevel="0" collapsed="false">
      <c r="A2135" s="3" t="s">
        <v>2847</v>
      </c>
      <c r="B2135" s="3" t="str">
        <f aca="false">IF(ISNUMBER(SEARCH("%", A2135)),RIGHT(A2135,3),A2135)</f>
        <v>5, 15, KRABBY</v>
      </c>
      <c r="C2135" s="2" t="s">
        <v>2847</v>
      </c>
    </row>
    <row r="2136" customFormat="false" ht="12.75" hidden="false" customHeight="true" outlineLevel="0" collapsed="false">
      <c r="A2136" s="3" t="s">
        <v>2848</v>
      </c>
      <c r="B2136" s="3" t="str">
        <f aca="false">IF(ISNUMBER(SEARCH("%", A2136)),RIGHT(A2136,3),A2136)</f>
        <v>5, 15, MAGIKARP</v>
      </c>
      <c r="C2136" s="2" t="s">
        <v>2848</v>
      </c>
    </row>
    <row r="2137" customFormat="false" ht="12.75" hidden="false" customHeight="true" outlineLevel="0" collapsed="false">
      <c r="A2137" s="3" t="s">
        <v>2847</v>
      </c>
      <c r="B2137" s="3" t="str">
        <f aca="false">IF(ISNUMBER(SEARCH("%", A2137)),RIGHT(A2137,3),A2137)</f>
        <v>5, 15, KRABBY</v>
      </c>
      <c r="C2137" s="2" t="s">
        <v>2847</v>
      </c>
    </row>
    <row r="2138" customFormat="false" ht="12.75" hidden="false" customHeight="true" outlineLevel="0" collapsed="false">
      <c r="A2138" s="3"/>
      <c r="B2138" s="3" t="n">
        <f aca="false">IF(ISNUMBER(SEARCH("%", A2138)),RIGHT(A2138,3),A2138)</f>
        <v>0</v>
      </c>
      <c r="C2138" s="2"/>
    </row>
    <row r="2139" customFormat="false" ht="12.75" hidden="false" customHeight="true" outlineLevel="0" collapsed="false">
      <c r="A2139" s="3" t="s">
        <v>2850</v>
      </c>
      <c r="B2139" s="3" t="str">
        <f aca="false">IF(ISNUMBER(SEARCH("%", A2139)),RIGHT(A2139,3),A2139)</f>
        <v>super rod:</v>
      </c>
      <c r="C2139" s="2" t="s">
        <v>2850</v>
      </c>
    </row>
    <row r="2140" customFormat="false" ht="12.75" hidden="false" customHeight="true" outlineLevel="0" collapsed="false">
      <c r="A2140" s="3" t="s">
        <v>2851</v>
      </c>
      <c r="B2140" s="3" t="str">
        <f aca="false">IF(ISNUMBER(SEARCH("%", A2140)),RIGHT(A2140,3),A2140)</f>
        <v>15, 25, KRABBY</v>
      </c>
      <c r="C2140" s="2" t="s">
        <v>2851</v>
      </c>
    </row>
    <row r="2141" customFormat="false" ht="12.75" hidden="false" customHeight="true" outlineLevel="0" collapsed="false">
      <c r="A2141" s="3" t="s">
        <v>3258</v>
      </c>
      <c r="B2141" s="3" t="str">
        <f aca="false">IF(ISNUMBER(SEARCH("%", A2141)),RIGHT(A2141,3),A2141)</f>
        <v>15, 25, REMORAID</v>
      </c>
      <c r="C2141" s="2" t="s">
        <v>3258</v>
      </c>
    </row>
    <row r="2142" customFormat="false" ht="12.75" hidden="false" customHeight="true" outlineLevel="0" collapsed="false">
      <c r="A2142" s="3" t="s">
        <v>2853</v>
      </c>
      <c r="B2142" s="3" t="str">
        <f aca="false">IF(ISNUMBER(SEARCH("%", A2142)),RIGHT(A2142,3),A2142)</f>
        <v>15, 25, GYARADOS</v>
      </c>
      <c r="C2142" s="2" t="s">
        <v>2853</v>
      </c>
    </row>
    <row r="2143" customFormat="false" ht="12.75" hidden="false" customHeight="true" outlineLevel="0" collapsed="false">
      <c r="A2143" s="3" t="s">
        <v>3177</v>
      </c>
      <c r="B2143" s="3" t="str">
        <f aca="false">IF(ISNUMBER(SEARCH("%", A2143)),RIGHT(A2143,3),A2143)</f>
        <v>25, 35, KINGLER</v>
      </c>
      <c r="C2143" s="2" t="s">
        <v>3177</v>
      </c>
    </row>
    <row r="2144" customFormat="false" ht="12.75" hidden="false" customHeight="true" outlineLevel="0" collapsed="false">
      <c r="A2144" s="3" t="s">
        <v>2855</v>
      </c>
      <c r="B2144" s="3" t="str">
        <f aca="false">IF(ISNUMBER(SEARCH("%", A2144)),RIGHT(A2144,3),A2144)</f>
        <v>25, 35, SLOWPOKE</v>
      </c>
      <c r="C2144" s="2" t="s">
        <v>2855</v>
      </c>
    </row>
    <row r="2145" customFormat="false" ht="12.75" hidden="false" customHeight="true" outlineLevel="0" collapsed="false">
      <c r="A2145" s="3" t="s">
        <v>2536</v>
      </c>
      <c r="B2145" s="3" t="str">
        <f aca="false">IF(ISNUMBER(SEARCH("%", A2145)),RIGHT(A2145,3),A2145)</f>
        <v>NEW ROUTE</v>
      </c>
      <c r="C2145" s="2" t="s">
        <v>2536</v>
      </c>
    </row>
    <row r="2146" customFormat="false" ht="12.75" hidden="false" customHeight="true" outlineLevel="0" collapsed="false">
      <c r="A2146" s="3" t="s">
        <v>3277</v>
      </c>
      <c r="B2146" s="3" t="str">
        <f aca="false">IF(ISNUMBER(SEARCH("%", A2146)),RIGHT(A2146,3),A2146)</f>
        <v>3, 60, 0,</v>
      </c>
      <c r="C2146" s="2" t="s">
        <v>3277</v>
      </c>
    </row>
    <row r="2147" customFormat="false" ht="12.75" hidden="false" customHeight="true" outlineLevel="0" collapsed="false">
      <c r="A2147" s="3" t="s">
        <v>2908</v>
      </c>
      <c r="B2147" s="3" t="str">
        <f aca="false">IF(ISNUMBER(SEARCH("%", A2147)),RIGHT(A2147,3),A2147)</f>
        <v>20%</v>
      </c>
      <c r="C2147" s="2" t="s">
        <v>2799</v>
      </c>
    </row>
    <row r="2148" customFormat="false" ht="12.75" hidden="false" customHeight="true" outlineLevel="0" collapsed="false">
      <c r="A2148" s="3" t="s">
        <v>1736</v>
      </c>
      <c r="B2148" s="3" t="str">
        <f aca="false">IF(ISNUMBER(SEARCH("%", A2148)),RIGHT(A2148,3),A2148)</f>
        <v>44, 44, SPEAROW</v>
      </c>
      <c r="C2148" s="2" t="s">
        <v>1736</v>
      </c>
    </row>
    <row r="2149" customFormat="false" ht="12.75" hidden="false" customHeight="true" outlineLevel="0" collapsed="false">
      <c r="A2149" s="3" t="s">
        <v>3261</v>
      </c>
      <c r="B2149" s="3" t="str">
        <f aca="false">IF(ISNUMBER(SEARCH("%", A2149)),RIGHT(A2149,3),A2149)</f>
        <v>10, 10, SENTRET</v>
      </c>
      <c r="C2149" s="2" t="s">
        <v>3261</v>
      </c>
    </row>
    <row r="2150" customFormat="false" ht="12.75" hidden="false" customHeight="true" outlineLevel="0" collapsed="false">
      <c r="A2150" s="3"/>
      <c r="B2150" s="3" t="n">
        <f aca="false">IF(ISNUMBER(SEARCH("%", A2150)),RIGHT(A2150,3),A2150)</f>
        <v>0</v>
      </c>
      <c r="C2150" s="2"/>
    </row>
    <row r="2151" customFormat="false" ht="12.75" hidden="false" customHeight="true" outlineLevel="0" collapsed="false">
      <c r="A2151" s="3" t="s">
        <v>2801</v>
      </c>
      <c r="B2151" s="3" t="str">
        <f aca="false">IF(ISNUMBER(SEARCH("%", A2151)),RIGHT(A2151,3),A2151)</f>
        <v>0.1</v>
      </c>
      <c r="C2151" s="2" t="s">
        <v>2801</v>
      </c>
    </row>
    <row r="2152" customFormat="false" ht="12.75" hidden="false" customHeight="true" outlineLevel="0" collapsed="false">
      <c r="A2152" s="3" t="s">
        <v>3278</v>
      </c>
      <c r="B2152" s="3" t="str">
        <f aca="false">IF(ISNUMBER(SEARCH("%", A2152)),RIGHT(A2152,3),A2152)</f>
        <v>44, 44, BELLSPROUT</v>
      </c>
      <c r="C2152" s="2" t="s">
        <v>3278</v>
      </c>
    </row>
    <row r="2153" customFormat="false" ht="12.75" hidden="false" customHeight="true" outlineLevel="0" collapsed="false">
      <c r="A2153" s="3" t="s">
        <v>3279</v>
      </c>
      <c r="B2153" s="3" t="str">
        <f aca="false">IF(ISNUMBER(SEARCH("%", A2153)),RIGHT(A2153,3),A2153)</f>
        <v>48, 48, FEAROW</v>
      </c>
      <c r="C2153" s="2" t="s">
        <v>3279</v>
      </c>
    </row>
    <row r="2154" customFormat="false" ht="12.75" hidden="false" customHeight="true" outlineLevel="0" collapsed="false">
      <c r="A2154" s="3" t="s">
        <v>3263</v>
      </c>
      <c r="B2154" s="3" t="str">
        <f aca="false">IF(ISNUMBER(SEARCH("%", A2154)),RIGHT(A2154,3),A2154)</f>
        <v>15, 15, SENTRET</v>
      </c>
      <c r="C2154" s="2" t="s">
        <v>3263</v>
      </c>
    </row>
    <row r="2155" customFormat="false" ht="12.75" hidden="false" customHeight="true" outlineLevel="0" collapsed="false">
      <c r="A2155" s="3" t="s">
        <v>3264</v>
      </c>
      <c r="B2155" s="3" t="str">
        <f aca="false">IF(ISNUMBER(SEARCH("%", A2155)),RIGHT(A2155,3),A2155)</f>
        <v>41, 41, MEOWTH</v>
      </c>
      <c r="C2155" s="2" t="s">
        <v>3264</v>
      </c>
    </row>
    <row r="2156" customFormat="false" ht="12.75" hidden="false" customHeight="true" outlineLevel="0" collapsed="false">
      <c r="A2156" s="3"/>
      <c r="B2156" s="3" t="n">
        <f aca="false">IF(ISNUMBER(SEARCH("%", A2156)),RIGHT(A2156,3),A2156)</f>
        <v>0</v>
      </c>
      <c r="C2156" s="2"/>
    </row>
    <row r="2157" customFormat="false" ht="12.75" hidden="false" customHeight="true" outlineLevel="0" collapsed="false">
      <c r="A2157" s="3" t="s">
        <v>2806</v>
      </c>
      <c r="B2157" s="3" t="str">
        <f aca="false">IF(ISNUMBER(SEARCH("%", A2157)),RIGHT(A2157,3),A2157)</f>
        <v>0.05</v>
      </c>
      <c r="C2157" s="2" t="s">
        <v>2806</v>
      </c>
    </row>
    <row r="2158" customFormat="false" ht="12.75" hidden="false" customHeight="true" outlineLevel="0" collapsed="false">
      <c r="A2158" s="3" t="s">
        <v>3280</v>
      </c>
      <c r="B2158" s="3" t="str">
        <f aca="false">IF(ISNUMBER(SEARCH("%", A2158)),RIGHT(A2158,3),A2158)</f>
        <v>48, 48, WEEPINBELL</v>
      </c>
      <c r="C2158" s="2" t="s">
        <v>3280</v>
      </c>
    </row>
    <row r="2159" customFormat="false" ht="12.75" hidden="false" customHeight="true" outlineLevel="0" collapsed="false">
      <c r="A2159" s="3" t="s">
        <v>3154</v>
      </c>
      <c r="B2159" s="3" t="str">
        <f aca="false">IF(ISNUMBER(SEARCH("%", A2159)),RIGHT(A2159,3),A2159)</f>
        <v>41, 41, SLOWPOKE</v>
      </c>
      <c r="C2159" s="2" t="s">
        <v>3154</v>
      </c>
    </row>
    <row r="2160" customFormat="false" ht="12.75" hidden="false" customHeight="true" outlineLevel="0" collapsed="false">
      <c r="A2160" s="3"/>
      <c r="B2160" s="3" t="n">
        <f aca="false">IF(ISNUMBER(SEARCH("%", A2160)),RIGHT(A2160,3),A2160)</f>
        <v>0</v>
      </c>
      <c r="C2160" s="2"/>
    </row>
    <row r="2161" customFormat="false" ht="12.75" hidden="false" customHeight="true" outlineLevel="0" collapsed="false">
      <c r="A2161" s="3" t="s">
        <v>2809</v>
      </c>
      <c r="B2161" s="3" t="str">
        <f aca="false">IF(ISNUMBER(SEARCH("%", A2161)),RIGHT(A2161,3),A2161)</f>
        <v>0.04</v>
      </c>
      <c r="C2161" s="2" t="s">
        <v>2809</v>
      </c>
    </row>
    <row r="2162" customFormat="false" ht="12.75" hidden="false" customHeight="true" outlineLevel="0" collapsed="false">
      <c r="A2162" s="3" t="s">
        <v>3281</v>
      </c>
      <c r="B2162" s="3" t="str">
        <f aca="false">IF(ISNUMBER(SEARCH("%", A2162)),RIGHT(A2162,3),A2162)</f>
        <v>50, 50, FEAROW</v>
      </c>
      <c r="C2162" s="2" t="s">
        <v>3281</v>
      </c>
    </row>
    <row r="2163" customFormat="false" ht="12.75" hidden="false" customHeight="true" outlineLevel="0" collapsed="false">
      <c r="A2163" s="3" t="s">
        <v>3267</v>
      </c>
      <c r="B2163" s="3" t="str">
        <f aca="false">IF(ISNUMBER(SEARCH("%", A2163)),RIGHT(A2163,3),A2163)</f>
        <v>47, 47, PERSIAN</v>
      </c>
      <c r="C2163" s="2" t="s">
        <v>3267</v>
      </c>
    </row>
    <row r="2164" customFormat="false" ht="12.75" hidden="false" customHeight="true" outlineLevel="0" collapsed="false">
      <c r="A2164" s="3"/>
      <c r="B2164" s="3" t="n">
        <f aca="false">IF(ISNUMBER(SEARCH("%", A2164)),RIGHT(A2164,3),A2164)</f>
        <v>0</v>
      </c>
      <c r="C2164" s="2"/>
    </row>
    <row r="2165" customFormat="false" ht="12.75" hidden="false" customHeight="true" outlineLevel="0" collapsed="false">
      <c r="A2165" s="3" t="s">
        <v>2812</v>
      </c>
      <c r="B2165" s="3" t="str">
        <f aca="false">IF(ISNUMBER(SEARCH("%", A2165)),RIGHT(A2165,3),A2165)</f>
        <v>0.01</v>
      </c>
      <c r="C2165" s="2" t="s">
        <v>2812</v>
      </c>
    </row>
    <row r="2166" customFormat="false" ht="12.75" hidden="false" customHeight="true" outlineLevel="0" collapsed="false">
      <c r="A2166" s="3" t="s">
        <v>3281</v>
      </c>
      <c r="B2166" s="3" t="str">
        <f aca="false">IF(ISNUMBER(SEARCH("%", A2166)),RIGHT(A2166,3),A2166)</f>
        <v>50, 50, FEAROW</v>
      </c>
      <c r="C2166" s="2" t="s">
        <v>3281</v>
      </c>
    </row>
    <row r="2167" customFormat="false" ht="12.75" hidden="false" customHeight="true" outlineLevel="0" collapsed="false">
      <c r="A2167" s="3" t="s">
        <v>3268</v>
      </c>
      <c r="B2167" s="3" t="str">
        <f aca="false">IF(ISNUMBER(SEARCH("%", A2167)),RIGHT(A2167,3),A2167)</f>
        <v>50, 50, PERSIAN</v>
      </c>
      <c r="C2167" s="2" t="s">
        <v>3268</v>
      </c>
    </row>
    <row r="2168" customFormat="false" ht="12.75" hidden="false" customHeight="true" outlineLevel="0" collapsed="false">
      <c r="A2168" s="3" t="s">
        <v>3172</v>
      </c>
      <c r="B2168" s="3" t="str">
        <f aca="false">IF(ISNUMBER(SEARCH("%", A2168)),RIGHT(A2168,3),A2168)</f>
        <v>2, 5, 20, TENTACOOL</v>
      </c>
      <c r="C2168" s="2" t="s">
        <v>3172</v>
      </c>
    </row>
    <row r="2169" customFormat="false" ht="12.75" hidden="false" customHeight="true" outlineLevel="0" collapsed="false">
      <c r="A2169" s="3" t="s">
        <v>3173</v>
      </c>
      <c r="B2169" s="3" t="str">
        <f aca="false">IF(ISNUMBER(SEARCH("%", A2169)),RIGHT(A2169,3),A2169)</f>
        <v>20, 35, TENTACOOL</v>
      </c>
      <c r="C2169" s="2" t="s">
        <v>3173</v>
      </c>
    </row>
    <row r="2170" customFormat="false" ht="12.75" hidden="false" customHeight="true" outlineLevel="0" collapsed="false">
      <c r="A2170" s="3" t="s">
        <v>2844</v>
      </c>
      <c r="B2170" s="3" t="str">
        <f aca="false">IF(ISNUMBER(SEARCH("%", A2170)),RIGHT(A2170,3),A2170)</f>
        <v>35, 40, TENTACOOL</v>
      </c>
      <c r="C2170" s="2" t="s">
        <v>2844</v>
      </c>
    </row>
    <row r="2171" customFormat="false" ht="12.75" hidden="false" customHeight="true" outlineLevel="0" collapsed="false">
      <c r="A2171" s="3" t="s">
        <v>3231</v>
      </c>
      <c r="B2171" s="3" t="str">
        <f aca="false">IF(ISNUMBER(SEARCH("%", A2171)),RIGHT(A2171,3),A2171)</f>
        <v>35, 40, TENTACRUEL</v>
      </c>
      <c r="C2171" s="2" t="s">
        <v>3231</v>
      </c>
    </row>
    <row r="2172" customFormat="false" ht="12.75" hidden="false" customHeight="true" outlineLevel="0" collapsed="false">
      <c r="A2172" s="3" t="s">
        <v>3231</v>
      </c>
      <c r="B2172" s="3" t="str">
        <f aca="false">IF(ISNUMBER(SEARCH("%", A2172)),RIGHT(A2172,3),A2172)</f>
        <v>35, 40, TENTACRUEL</v>
      </c>
      <c r="C2172" s="2" t="s">
        <v>3231</v>
      </c>
    </row>
    <row r="2173" customFormat="false" ht="12.75" hidden="false" customHeight="true" outlineLevel="0" collapsed="false">
      <c r="A2173" s="3" t="s">
        <v>2925</v>
      </c>
      <c r="B2173" s="3" t="str">
        <f aca="false">IF(ISNUMBER(SEARCH("%", A2173)),RIGHT(A2173,3),A2173)</f>
        <v>20, old rod:</v>
      </c>
      <c r="C2173" s="2" t="s">
        <v>2925</v>
      </c>
    </row>
    <row r="2174" customFormat="false" ht="12.75" hidden="false" customHeight="true" outlineLevel="0" collapsed="false">
      <c r="A2174" s="3" t="s">
        <v>1266</v>
      </c>
      <c r="B2174" s="3" t="str">
        <f aca="false">IF(ISNUMBER(SEARCH("%", A2174)),RIGHT(A2174,3),A2174)</f>
        <v>5, 5, MAGIKARP</v>
      </c>
      <c r="C2174" s="2" t="s">
        <v>1266</v>
      </c>
    </row>
    <row r="2175" customFormat="false" ht="12.75" hidden="false" customHeight="true" outlineLevel="0" collapsed="false">
      <c r="A2175" s="3" t="s">
        <v>1266</v>
      </c>
      <c r="B2175" s="3" t="str">
        <f aca="false">IF(ISNUMBER(SEARCH("%", A2175)),RIGHT(A2175,3),A2175)</f>
        <v>5, 5, MAGIKARP</v>
      </c>
      <c r="C2175" s="2" t="s">
        <v>1266</v>
      </c>
    </row>
    <row r="2176" customFormat="false" ht="12.75" hidden="false" customHeight="true" outlineLevel="0" collapsed="false">
      <c r="A2176" s="3"/>
      <c r="B2176" s="3" t="n">
        <f aca="false">IF(ISNUMBER(SEARCH("%", A2176)),RIGHT(A2176,3),A2176)</f>
        <v>0</v>
      </c>
      <c r="C2176" s="2"/>
    </row>
    <row r="2177" customFormat="false" ht="12.75" hidden="false" customHeight="true" outlineLevel="0" collapsed="false">
      <c r="A2177" s="3" t="s">
        <v>2846</v>
      </c>
      <c r="B2177" s="3" t="str">
        <f aca="false">IF(ISNUMBER(SEARCH("%", A2177)),RIGHT(A2177,3),A2177)</f>
        <v>good rod:</v>
      </c>
      <c r="C2177" s="2" t="s">
        <v>2846</v>
      </c>
    </row>
    <row r="2178" customFormat="false" ht="12.75" hidden="false" customHeight="true" outlineLevel="0" collapsed="false">
      <c r="A2178" s="3" t="s">
        <v>2847</v>
      </c>
      <c r="B2178" s="3" t="str">
        <f aca="false">IF(ISNUMBER(SEARCH("%", A2178)),RIGHT(A2178,3),A2178)</f>
        <v>5, 15, KRABBY</v>
      </c>
      <c r="C2178" s="2" t="s">
        <v>2847</v>
      </c>
    </row>
    <row r="2179" customFormat="false" ht="12.75" hidden="false" customHeight="true" outlineLevel="0" collapsed="false">
      <c r="A2179" s="3" t="s">
        <v>2848</v>
      </c>
      <c r="B2179" s="3" t="str">
        <f aca="false">IF(ISNUMBER(SEARCH("%", A2179)),RIGHT(A2179,3),A2179)</f>
        <v>5, 15, MAGIKARP</v>
      </c>
      <c r="C2179" s="2" t="s">
        <v>2848</v>
      </c>
    </row>
    <row r="2180" customFormat="false" ht="12.75" hidden="false" customHeight="true" outlineLevel="0" collapsed="false">
      <c r="A2180" s="3" t="s">
        <v>2847</v>
      </c>
      <c r="B2180" s="3" t="str">
        <f aca="false">IF(ISNUMBER(SEARCH("%", A2180)),RIGHT(A2180,3),A2180)</f>
        <v>5, 15, KRABBY</v>
      </c>
      <c r="C2180" s="2" t="s">
        <v>2847</v>
      </c>
    </row>
    <row r="2181" customFormat="false" ht="12.75" hidden="false" customHeight="true" outlineLevel="0" collapsed="false">
      <c r="A2181" s="3"/>
      <c r="B2181" s="3" t="n">
        <f aca="false">IF(ISNUMBER(SEARCH("%", A2181)),RIGHT(A2181,3),A2181)</f>
        <v>0</v>
      </c>
      <c r="C2181" s="2"/>
    </row>
    <row r="2182" customFormat="false" ht="12.75" hidden="false" customHeight="true" outlineLevel="0" collapsed="false">
      <c r="A2182" s="3" t="s">
        <v>2850</v>
      </c>
      <c r="B2182" s="3" t="str">
        <f aca="false">IF(ISNUMBER(SEARCH("%", A2182)),RIGHT(A2182,3),A2182)</f>
        <v>super rod:</v>
      </c>
      <c r="C2182" s="2" t="s">
        <v>2850</v>
      </c>
    </row>
    <row r="2183" customFormat="false" ht="12.75" hidden="false" customHeight="true" outlineLevel="0" collapsed="false">
      <c r="A2183" s="3" t="s">
        <v>2851</v>
      </c>
      <c r="B2183" s="3" t="str">
        <f aca="false">IF(ISNUMBER(SEARCH("%", A2183)),RIGHT(A2183,3),A2183)</f>
        <v>15, 25, KRABBY</v>
      </c>
      <c r="C2183" s="2" t="s">
        <v>2851</v>
      </c>
    </row>
    <row r="2184" customFormat="false" ht="12.75" hidden="false" customHeight="true" outlineLevel="0" collapsed="false">
      <c r="A2184" s="3" t="s">
        <v>3258</v>
      </c>
      <c r="B2184" s="3" t="str">
        <f aca="false">IF(ISNUMBER(SEARCH("%", A2184)),RIGHT(A2184,3),A2184)</f>
        <v>15, 25, REMORAID</v>
      </c>
      <c r="C2184" s="2" t="s">
        <v>3258</v>
      </c>
    </row>
    <row r="2185" customFormat="false" ht="12.75" hidden="false" customHeight="true" outlineLevel="0" collapsed="false">
      <c r="A2185" s="3" t="s">
        <v>2853</v>
      </c>
      <c r="B2185" s="3" t="str">
        <f aca="false">IF(ISNUMBER(SEARCH("%", A2185)),RIGHT(A2185,3),A2185)</f>
        <v>15, 25, GYARADOS</v>
      </c>
      <c r="C2185" s="2" t="s">
        <v>2853</v>
      </c>
    </row>
    <row r="2186" customFormat="false" ht="12.75" hidden="false" customHeight="true" outlineLevel="0" collapsed="false">
      <c r="A2186" s="3" t="s">
        <v>3177</v>
      </c>
      <c r="B2186" s="3" t="str">
        <f aca="false">IF(ISNUMBER(SEARCH("%", A2186)),RIGHT(A2186,3),A2186)</f>
        <v>25, 35, KINGLER</v>
      </c>
      <c r="C2186" s="2" t="s">
        <v>3177</v>
      </c>
    </row>
    <row r="2187" customFormat="false" ht="12.75" hidden="false" customHeight="true" outlineLevel="0" collapsed="false">
      <c r="A2187" s="3" t="s">
        <v>2855</v>
      </c>
      <c r="B2187" s="3" t="str">
        <f aca="false">IF(ISNUMBER(SEARCH("%", A2187)),RIGHT(A2187,3),A2187)</f>
        <v>25, 35, SLOWPOKE</v>
      </c>
      <c r="C2187" s="2" t="s">
        <v>2855</v>
      </c>
    </row>
    <row r="2188" customFormat="false" ht="12.75" hidden="false" customHeight="true" outlineLevel="0" collapsed="false">
      <c r="A2188" s="3" t="s">
        <v>2536</v>
      </c>
      <c r="B2188" s="3" t="str">
        <f aca="false">IF(ISNUMBER(SEARCH("%", A2188)),RIGHT(A2188,3),A2188)</f>
        <v>NEW ROUTE</v>
      </c>
      <c r="C2188" s="2" t="s">
        <v>2536</v>
      </c>
    </row>
    <row r="2189" customFormat="false" ht="12.75" hidden="false" customHeight="true" outlineLevel="0" collapsed="false">
      <c r="A2189" s="3" t="s">
        <v>3282</v>
      </c>
      <c r="B2189" s="3" t="str">
        <f aca="false">IF(ISNUMBER(SEARCH("%", A2189)),RIGHT(A2189,3),A2189)</f>
        <v>3, 61, 0,</v>
      </c>
      <c r="C2189" s="2" t="s">
        <v>3282</v>
      </c>
    </row>
    <row r="2190" customFormat="false" ht="12.75" hidden="false" customHeight="true" outlineLevel="0" collapsed="false">
      <c r="A2190" s="3" t="s">
        <v>2908</v>
      </c>
      <c r="B2190" s="3" t="str">
        <f aca="false">IF(ISNUMBER(SEARCH("%", A2190)),RIGHT(A2190,3),A2190)</f>
        <v>20%</v>
      </c>
      <c r="C2190" s="2" t="s">
        <v>2799</v>
      </c>
    </row>
    <row r="2191" customFormat="false" ht="12.75" hidden="false" customHeight="true" outlineLevel="0" collapsed="false">
      <c r="A2191" s="3" t="s">
        <v>1743</v>
      </c>
      <c r="B2191" s="3" t="str">
        <f aca="false">IF(ISNUMBER(SEARCH("%", A2191)),RIGHT(A2191,3),A2191)</f>
        <v>15, 15, NATU</v>
      </c>
      <c r="C2191" s="2" t="s">
        <v>1743</v>
      </c>
    </row>
    <row r="2192" customFormat="false" ht="12.75" hidden="false" customHeight="true" outlineLevel="0" collapsed="false">
      <c r="A2192" s="3" t="s">
        <v>1736</v>
      </c>
      <c r="B2192" s="3" t="str">
        <f aca="false">IF(ISNUMBER(SEARCH("%", A2192)),RIGHT(A2192,3),A2192)</f>
        <v>44, 44, SPEAROW</v>
      </c>
      <c r="C2192" s="2" t="s">
        <v>1736</v>
      </c>
    </row>
    <row r="2193" customFormat="false" ht="12.75" hidden="false" customHeight="true" outlineLevel="0" collapsed="false">
      <c r="A2193" s="3"/>
      <c r="B2193" s="3" t="n">
        <f aca="false">IF(ISNUMBER(SEARCH("%", A2193)),RIGHT(A2193,3),A2193)</f>
        <v>0</v>
      </c>
      <c r="C2193" s="2"/>
    </row>
    <row r="2194" customFormat="false" ht="12.75" hidden="false" customHeight="true" outlineLevel="0" collapsed="false">
      <c r="A2194" s="3" t="s">
        <v>2801</v>
      </c>
      <c r="B2194" s="3" t="str">
        <f aca="false">IF(ISNUMBER(SEARCH("%", A2194)),RIGHT(A2194,3),A2194)</f>
        <v>0.1</v>
      </c>
      <c r="C2194" s="2" t="s">
        <v>2801</v>
      </c>
    </row>
    <row r="2195" customFormat="false" ht="12.75" hidden="false" customHeight="true" outlineLevel="0" collapsed="false">
      <c r="A2195" s="3" t="s">
        <v>3283</v>
      </c>
      <c r="B2195" s="3" t="str">
        <f aca="false">IF(ISNUMBER(SEARCH("%", A2195)),RIGHT(A2195,3),A2195)</f>
        <v>18, 18, YANMA</v>
      </c>
      <c r="C2195" s="2" t="s">
        <v>3283</v>
      </c>
    </row>
    <row r="2196" customFormat="false" ht="12.75" hidden="false" customHeight="true" outlineLevel="0" collapsed="false">
      <c r="A2196" s="3" t="s">
        <v>3284</v>
      </c>
      <c r="B2196" s="3" t="str">
        <f aca="false">IF(ISNUMBER(SEARCH("%", A2196)),RIGHT(A2196,3),A2196)</f>
        <v>15, 15, MARILL</v>
      </c>
      <c r="C2196" s="2" t="s">
        <v>3284</v>
      </c>
    </row>
    <row r="2197" customFormat="false" ht="12.75" hidden="false" customHeight="true" outlineLevel="0" collapsed="false">
      <c r="A2197" s="3" t="s">
        <v>3285</v>
      </c>
      <c r="B2197" s="3" t="str">
        <f aca="false">IF(ISNUMBER(SEARCH("%", A2197)),RIGHT(A2197,3),A2197)</f>
        <v>49, 49, FEAROW</v>
      </c>
      <c r="C2197" s="2" t="s">
        <v>3285</v>
      </c>
    </row>
    <row r="2198" customFormat="false" ht="12.75" hidden="false" customHeight="true" outlineLevel="0" collapsed="false">
      <c r="A2198" s="3" t="s">
        <v>3286</v>
      </c>
      <c r="B2198" s="3" t="str">
        <f aca="false">IF(ISNUMBER(SEARCH("%", A2198)),RIGHT(A2198,3),A2198)</f>
        <v>43, 43, MEOWTH</v>
      </c>
      <c r="C2198" s="2" t="s">
        <v>3286</v>
      </c>
    </row>
    <row r="2199" customFormat="false" ht="12.75" hidden="false" customHeight="true" outlineLevel="0" collapsed="false">
      <c r="A2199" s="3"/>
      <c r="B2199" s="3" t="n">
        <f aca="false">IF(ISNUMBER(SEARCH("%", A2199)),RIGHT(A2199,3),A2199)</f>
        <v>0</v>
      </c>
      <c r="C2199" s="2"/>
    </row>
    <row r="2200" customFormat="false" ht="12.75" hidden="false" customHeight="true" outlineLevel="0" collapsed="false">
      <c r="A2200" s="3" t="s">
        <v>2806</v>
      </c>
      <c r="B2200" s="3" t="str">
        <f aca="false">IF(ISNUMBER(SEARCH("%", A2200)),RIGHT(A2200,3),A2200)</f>
        <v>0.05</v>
      </c>
      <c r="C2200" s="2" t="s">
        <v>2806</v>
      </c>
    </row>
    <row r="2201" customFormat="false" ht="12.75" hidden="false" customHeight="true" outlineLevel="0" collapsed="false">
      <c r="A2201" s="3" t="s">
        <v>3287</v>
      </c>
      <c r="B2201" s="3" t="str">
        <f aca="false">IF(ISNUMBER(SEARCH("%", A2201)),RIGHT(A2201,3),A2201)</f>
        <v>25, 25, WOBBUFFET</v>
      </c>
      <c r="C2201" s="2" t="s">
        <v>3287</v>
      </c>
    </row>
    <row r="2202" customFormat="false" ht="12.75" hidden="false" customHeight="true" outlineLevel="0" collapsed="false">
      <c r="A2202" s="3" t="s">
        <v>3154</v>
      </c>
      <c r="B2202" s="3" t="str">
        <f aca="false">IF(ISNUMBER(SEARCH("%", A2202)),RIGHT(A2202,3),A2202)</f>
        <v>41, 41, SLOWPOKE</v>
      </c>
      <c r="C2202" s="2" t="s">
        <v>3154</v>
      </c>
    </row>
    <row r="2203" customFormat="false" ht="12.75" hidden="false" customHeight="true" outlineLevel="0" collapsed="false">
      <c r="A2203" s="3"/>
      <c r="B2203" s="3" t="n">
        <f aca="false">IF(ISNUMBER(SEARCH("%", A2203)),RIGHT(A2203,3),A2203)</f>
        <v>0</v>
      </c>
      <c r="C2203" s="2"/>
    </row>
    <row r="2204" customFormat="false" ht="12.75" hidden="false" customHeight="true" outlineLevel="0" collapsed="false">
      <c r="A2204" s="3" t="s">
        <v>2809</v>
      </c>
      <c r="B2204" s="3" t="str">
        <f aca="false">IF(ISNUMBER(SEARCH("%", A2204)),RIGHT(A2204,3),A2204)</f>
        <v>0.04</v>
      </c>
      <c r="C2204" s="2" t="s">
        <v>2809</v>
      </c>
    </row>
    <row r="2205" customFormat="false" ht="12.75" hidden="false" customHeight="true" outlineLevel="0" collapsed="false">
      <c r="A2205" s="3" t="s">
        <v>3288</v>
      </c>
      <c r="B2205" s="3" t="str">
        <f aca="false">IF(ISNUMBER(SEARCH("%", A2205)),RIGHT(A2205,3),A2205)</f>
        <v>20, 20, NATU</v>
      </c>
      <c r="C2205" s="2" t="s">
        <v>3288</v>
      </c>
    </row>
    <row r="2206" customFormat="false" ht="12.75" hidden="false" customHeight="true" outlineLevel="0" collapsed="false">
      <c r="A2206" s="3" t="s">
        <v>3289</v>
      </c>
      <c r="B2206" s="3" t="str">
        <f aca="false">IF(ISNUMBER(SEARCH("%", A2206)),RIGHT(A2206,3),A2206)</f>
        <v>49, 49, PERSIAN</v>
      </c>
      <c r="C2206" s="2" t="s">
        <v>3289</v>
      </c>
    </row>
    <row r="2207" customFormat="false" ht="12.75" hidden="false" customHeight="true" outlineLevel="0" collapsed="false">
      <c r="A2207" s="3"/>
      <c r="B2207" s="3" t="n">
        <f aca="false">IF(ISNUMBER(SEARCH("%", A2207)),RIGHT(A2207,3),A2207)</f>
        <v>0</v>
      </c>
      <c r="C2207" s="2"/>
    </row>
    <row r="2208" customFormat="false" ht="12.75" hidden="false" customHeight="true" outlineLevel="0" collapsed="false">
      <c r="A2208" s="3" t="s">
        <v>2812</v>
      </c>
      <c r="B2208" s="3" t="str">
        <f aca="false">IF(ISNUMBER(SEARCH("%", A2208)),RIGHT(A2208,3),A2208)</f>
        <v>0.01</v>
      </c>
      <c r="C2208" s="2" t="s">
        <v>2812</v>
      </c>
    </row>
    <row r="2209" customFormat="false" ht="12.75" hidden="false" customHeight="true" outlineLevel="0" collapsed="false">
      <c r="A2209" s="3" t="s">
        <v>3288</v>
      </c>
      <c r="B2209" s="3" t="str">
        <f aca="false">IF(ISNUMBER(SEARCH("%", A2209)),RIGHT(A2209,3),A2209)</f>
        <v>20, 20, NATU</v>
      </c>
      <c r="C2209" s="2" t="s">
        <v>3288</v>
      </c>
    </row>
    <row r="2210" customFormat="false" ht="12.75" hidden="false" customHeight="true" outlineLevel="0" collapsed="false">
      <c r="A2210" s="3" t="s">
        <v>3290</v>
      </c>
      <c r="B2210" s="3" t="str">
        <f aca="false">IF(ISNUMBER(SEARCH("%", A2210)),RIGHT(A2210,3),A2210)</f>
        <v>52, 52, PERSIAN</v>
      </c>
      <c r="C2210" s="2" t="s">
        <v>3290</v>
      </c>
    </row>
    <row r="2211" customFormat="false" ht="12.75" hidden="false" customHeight="true" outlineLevel="0" collapsed="false">
      <c r="A2211" s="3" t="s">
        <v>3291</v>
      </c>
      <c r="B2211" s="3" t="str">
        <f aca="false">IF(ISNUMBER(SEARCH("%", A2211)),RIGHT(A2211,3),A2211)</f>
        <v>2, 5, 20, MARILL</v>
      </c>
      <c r="C2211" s="2" t="s">
        <v>3291</v>
      </c>
    </row>
    <row r="2212" customFormat="false" ht="12.75" hidden="false" customHeight="true" outlineLevel="0" collapsed="false">
      <c r="A2212" s="3" t="s">
        <v>3292</v>
      </c>
      <c r="B2212" s="3" t="str">
        <f aca="false">IF(ISNUMBER(SEARCH("%", A2212)),RIGHT(A2212,3),A2212)</f>
        <v>10, 20, MARILL</v>
      </c>
      <c r="C2212" s="2" t="s">
        <v>3292</v>
      </c>
    </row>
    <row r="2213" customFormat="false" ht="12.75" hidden="false" customHeight="true" outlineLevel="0" collapsed="false">
      <c r="A2213" s="3" t="s">
        <v>3293</v>
      </c>
      <c r="B2213" s="3" t="str">
        <f aca="false">IF(ISNUMBER(SEARCH("%", A2213)),RIGHT(A2213,3),A2213)</f>
        <v>15, 25, MARILL</v>
      </c>
      <c r="C2213" s="2" t="s">
        <v>3293</v>
      </c>
    </row>
    <row r="2214" customFormat="false" ht="12.75" hidden="false" customHeight="true" outlineLevel="0" collapsed="false">
      <c r="A2214" s="3" t="s">
        <v>3294</v>
      </c>
      <c r="B2214" s="3" t="str">
        <f aca="false">IF(ISNUMBER(SEARCH("%", A2214)),RIGHT(A2214,3),A2214)</f>
        <v>20, 25, MARILL</v>
      </c>
      <c r="C2214" s="2" t="s">
        <v>3294</v>
      </c>
    </row>
    <row r="2215" customFormat="false" ht="12.75" hidden="false" customHeight="true" outlineLevel="0" collapsed="false">
      <c r="A2215" s="3" t="s">
        <v>3294</v>
      </c>
      <c r="B2215" s="3" t="str">
        <f aca="false">IF(ISNUMBER(SEARCH("%", A2215)),RIGHT(A2215,3),A2215)</f>
        <v>20, 25, MARILL</v>
      </c>
      <c r="C2215" s="2" t="s">
        <v>3294</v>
      </c>
    </row>
    <row r="2216" customFormat="false" ht="12.75" hidden="false" customHeight="true" outlineLevel="0" collapsed="false">
      <c r="A2216" s="3" t="s">
        <v>2925</v>
      </c>
      <c r="B2216" s="3" t="str">
        <f aca="false">IF(ISNUMBER(SEARCH("%", A2216)),RIGHT(A2216,3),A2216)</f>
        <v>20, old rod:</v>
      </c>
      <c r="C2216" s="2" t="s">
        <v>2925</v>
      </c>
    </row>
    <row r="2217" customFormat="false" ht="12.75" hidden="false" customHeight="true" outlineLevel="0" collapsed="false">
      <c r="A2217" s="3" t="s">
        <v>1266</v>
      </c>
      <c r="B2217" s="3" t="str">
        <f aca="false">IF(ISNUMBER(SEARCH("%", A2217)),RIGHT(A2217,3),A2217)</f>
        <v>5, 5, MAGIKARP</v>
      </c>
      <c r="C2217" s="2" t="s">
        <v>1266</v>
      </c>
    </row>
    <row r="2218" customFormat="false" ht="12.75" hidden="false" customHeight="true" outlineLevel="0" collapsed="false">
      <c r="A2218" s="3" t="s">
        <v>1266</v>
      </c>
      <c r="B2218" s="3" t="str">
        <f aca="false">IF(ISNUMBER(SEARCH("%", A2218)),RIGHT(A2218,3),A2218)</f>
        <v>5, 5, MAGIKARP</v>
      </c>
      <c r="C2218" s="2" t="s">
        <v>1266</v>
      </c>
    </row>
    <row r="2219" customFormat="false" ht="12.75" hidden="false" customHeight="true" outlineLevel="0" collapsed="false">
      <c r="A2219" s="3"/>
      <c r="B2219" s="3" t="n">
        <f aca="false">IF(ISNUMBER(SEARCH("%", A2219)),RIGHT(A2219,3),A2219)</f>
        <v>0</v>
      </c>
      <c r="C2219" s="2"/>
    </row>
    <row r="2220" customFormat="false" ht="12.75" hidden="false" customHeight="true" outlineLevel="0" collapsed="false">
      <c r="A2220" s="3" t="s">
        <v>2846</v>
      </c>
      <c r="B2220" s="3" t="str">
        <f aca="false">IF(ISNUMBER(SEARCH("%", A2220)),RIGHT(A2220,3),A2220)</f>
        <v>good rod:</v>
      </c>
      <c r="C2220" s="2" t="s">
        <v>2846</v>
      </c>
    </row>
    <row r="2221" customFormat="false" ht="12.75" hidden="false" customHeight="true" outlineLevel="0" collapsed="false">
      <c r="A2221" s="3" t="s">
        <v>3143</v>
      </c>
      <c r="B2221" s="3" t="str">
        <f aca="false">IF(ISNUMBER(SEARCH("%", A2221)),RIGHT(A2221,3),A2221)</f>
        <v>5, 15, POLIWAG</v>
      </c>
      <c r="C2221" s="2" t="s">
        <v>3143</v>
      </c>
    </row>
    <row r="2222" customFormat="false" ht="12.75" hidden="false" customHeight="true" outlineLevel="0" collapsed="false">
      <c r="A2222" s="3" t="s">
        <v>2848</v>
      </c>
      <c r="B2222" s="3" t="str">
        <f aca="false">IF(ISNUMBER(SEARCH("%", A2222)),RIGHT(A2222,3),A2222)</f>
        <v>5, 15, MAGIKARP</v>
      </c>
      <c r="C2222" s="2" t="s">
        <v>2848</v>
      </c>
    </row>
    <row r="2223" customFormat="false" ht="12.75" hidden="false" customHeight="true" outlineLevel="0" collapsed="false">
      <c r="A2223" s="3" t="s">
        <v>3142</v>
      </c>
      <c r="B2223" s="3" t="str">
        <f aca="false">IF(ISNUMBER(SEARCH("%", A2223)),RIGHT(A2223,3),A2223)</f>
        <v>5, 15, GOLDEEN</v>
      </c>
      <c r="C2223" s="2" t="s">
        <v>3142</v>
      </c>
    </row>
    <row r="2224" customFormat="false" ht="12.75" hidden="false" customHeight="true" outlineLevel="0" collapsed="false">
      <c r="A2224" s="3"/>
      <c r="B2224" s="3" t="n">
        <f aca="false">IF(ISNUMBER(SEARCH("%", A2224)),RIGHT(A2224,3),A2224)</f>
        <v>0</v>
      </c>
      <c r="C2224" s="2"/>
    </row>
    <row r="2225" customFormat="false" ht="12.75" hidden="false" customHeight="true" outlineLevel="0" collapsed="false">
      <c r="A2225" s="3" t="s">
        <v>2850</v>
      </c>
      <c r="B2225" s="3" t="str">
        <f aca="false">IF(ISNUMBER(SEARCH("%", A2225)),RIGHT(A2225,3),A2225)</f>
        <v>super rod:</v>
      </c>
      <c r="C2225" s="2" t="s">
        <v>2850</v>
      </c>
    </row>
    <row r="2226" customFormat="false" ht="12.75" hidden="false" customHeight="true" outlineLevel="0" collapsed="false">
      <c r="A2226" s="3" t="s">
        <v>3161</v>
      </c>
      <c r="B2226" s="3" t="str">
        <f aca="false">IF(ISNUMBER(SEARCH("%", A2226)),RIGHT(A2226,3),A2226)</f>
        <v>15, 25, POLIWAG</v>
      </c>
      <c r="C2226" s="2" t="s">
        <v>3161</v>
      </c>
    </row>
    <row r="2227" customFormat="false" ht="12.75" hidden="false" customHeight="true" outlineLevel="0" collapsed="false">
      <c r="A2227" s="3" t="s">
        <v>3162</v>
      </c>
      <c r="B2227" s="3" t="str">
        <f aca="false">IF(ISNUMBER(SEARCH("%", A2227)),RIGHT(A2227,3),A2227)</f>
        <v>20, 30, POLIWHIRL</v>
      </c>
      <c r="C2227" s="2" t="s">
        <v>3162</v>
      </c>
    </row>
    <row r="2228" customFormat="false" ht="12.75" hidden="false" customHeight="true" outlineLevel="0" collapsed="false">
      <c r="A2228" s="3" t="s">
        <v>2853</v>
      </c>
      <c r="B2228" s="3" t="str">
        <f aca="false">IF(ISNUMBER(SEARCH("%", A2228)),RIGHT(A2228,3),A2228)</f>
        <v>15, 25, GYARADOS</v>
      </c>
      <c r="C2228" s="2" t="s">
        <v>2853</v>
      </c>
    </row>
    <row r="2229" customFormat="false" ht="12.75" hidden="false" customHeight="true" outlineLevel="0" collapsed="false">
      <c r="A2229" s="3" t="s">
        <v>3146</v>
      </c>
      <c r="B2229" s="3" t="str">
        <f aca="false">IF(ISNUMBER(SEARCH("%", A2229)),RIGHT(A2229,3),A2229)</f>
        <v>15, 25, SLOWPOKE</v>
      </c>
      <c r="C2229" s="2" t="s">
        <v>3146</v>
      </c>
    </row>
    <row r="2230" customFormat="false" ht="12.75" hidden="false" customHeight="true" outlineLevel="0" collapsed="false">
      <c r="A2230" s="3" t="s">
        <v>2855</v>
      </c>
      <c r="B2230" s="3" t="str">
        <f aca="false">IF(ISNUMBER(SEARCH("%", A2230)),RIGHT(A2230,3),A2230)</f>
        <v>25, 35, SLOWPOKE</v>
      </c>
      <c r="C2230" s="2" t="s">
        <v>2855</v>
      </c>
    </row>
    <row r="2231" customFormat="false" ht="12.75" hidden="false" customHeight="true" outlineLevel="0" collapsed="false">
      <c r="A2231" s="3" t="s">
        <v>2536</v>
      </c>
      <c r="B2231" s="3" t="str">
        <f aca="false">IF(ISNUMBER(SEARCH("%", A2231)),RIGHT(A2231,3),A2231)</f>
        <v>NEW ROUTE</v>
      </c>
      <c r="C2231" s="2" t="s">
        <v>2536</v>
      </c>
    </row>
    <row r="2232" customFormat="false" ht="12.75" hidden="false" customHeight="true" outlineLevel="0" collapsed="false">
      <c r="A2232" s="3" t="s">
        <v>3295</v>
      </c>
      <c r="B2232" s="3" t="str">
        <f aca="false">IF(ISNUMBER(SEARCH("%", A2232)),RIGHT(A2232,3),A2232)</f>
        <v>3, 62, 0, &lt;null&gt;,</v>
      </c>
      <c r="C2232" s="2" t="s">
        <v>3295</v>
      </c>
    </row>
    <row r="2233" customFormat="false" ht="12.75" hidden="false" customHeight="true" outlineLevel="0" collapsed="false">
      <c r="A2233" s="3"/>
      <c r="B2233" s="3" t="n">
        <f aca="false">IF(ISNUMBER(SEARCH("%", A2233)),RIGHT(A2233,3),A2233)</f>
        <v>0</v>
      </c>
      <c r="C2233" s="2"/>
    </row>
    <row r="2234" customFormat="false" ht="12.75" hidden="false" customHeight="true" outlineLevel="0" collapsed="false">
      <c r="A2234" s="3" t="s">
        <v>3172</v>
      </c>
      <c r="B2234" s="3" t="str">
        <f aca="false">IF(ISNUMBER(SEARCH("%", A2234)),RIGHT(A2234,3),A2234)</f>
        <v>2, 5, 20, TENTACOOL</v>
      </c>
      <c r="C2234" s="2" t="s">
        <v>3172</v>
      </c>
    </row>
    <row r="2235" customFormat="false" ht="12.75" hidden="false" customHeight="true" outlineLevel="0" collapsed="false">
      <c r="A2235" s="3" t="s">
        <v>3173</v>
      </c>
      <c r="B2235" s="3" t="str">
        <f aca="false">IF(ISNUMBER(SEARCH("%", A2235)),RIGHT(A2235,3),A2235)</f>
        <v>20, 35, TENTACOOL</v>
      </c>
      <c r="C2235" s="2" t="s">
        <v>3173</v>
      </c>
    </row>
    <row r="2236" customFormat="false" ht="12.75" hidden="false" customHeight="true" outlineLevel="0" collapsed="false">
      <c r="A2236" s="3" t="s">
        <v>3296</v>
      </c>
      <c r="B2236" s="3" t="str">
        <f aca="false">IF(ISNUMBER(SEARCH("%", A2236)),RIGHT(A2236,3),A2236)</f>
        <v>35, 40, MANTINE</v>
      </c>
      <c r="C2236" s="2" t="s">
        <v>3296</v>
      </c>
    </row>
    <row r="2237" customFormat="false" ht="12.75" hidden="false" customHeight="true" outlineLevel="0" collapsed="false">
      <c r="A2237" s="3" t="s">
        <v>3231</v>
      </c>
      <c r="B2237" s="3" t="str">
        <f aca="false">IF(ISNUMBER(SEARCH("%", A2237)),RIGHT(A2237,3),A2237)</f>
        <v>35, 40, TENTACRUEL</v>
      </c>
      <c r="C2237" s="2" t="s">
        <v>3231</v>
      </c>
    </row>
    <row r="2238" customFormat="false" ht="12.75" hidden="false" customHeight="true" outlineLevel="0" collapsed="false">
      <c r="A2238" s="3" t="s">
        <v>3231</v>
      </c>
      <c r="B2238" s="3" t="str">
        <f aca="false">IF(ISNUMBER(SEARCH("%", A2238)),RIGHT(A2238,3),A2238)</f>
        <v>35, 40, TENTACRUEL</v>
      </c>
      <c r="C2238" s="2" t="s">
        <v>3231</v>
      </c>
    </row>
    <row r="2239" customFormat="false" ht="12.75" hidden="false" customHeight="true" outlineLevel="0" collapsed="false">
      <c r="A2239" s="3" t="s">
        <v>2925</v>
      </c>
      <c r="B2239" s="3" t="str">
        <f aca="false">IF(ISNUMBER(SEARCH("%", A2239)),RIGHT(A2239,3),A2239)</f>
        <v>20, old rod:</v>
      </c>
      <c r="C2239" s="2" t="s">
        <v>2925</v>
      </c>
    </row>
    <row r="2240" customFormat="false" ht="12.75" hidden="false" customHeight="true" outlineLevel="0" collapsed="false">
      <c r="A2240" s="3" t="s">
        <v>1266</v>
      </c>
      <c r="B2240" s="3" t="str">
        <f aca="false">IF(ISNUMBER(SEARCH("%", A2240)),RIGHT(A2240,3),A2240)</f>
        <v>5, 5, MAGIKARP</v>
      </c>
      <c r="C2240" s="2" t="s">
        <v>1266</v>
      </c>
    </row>
    <row r="2241" customFormat="false" ht="12.75" hidden="false" customHeight="true" outlineLevel="0" collapsed="false">
      <c r="A2241" s="3" t="s">
        <v>1266</v>
      </c>
      <c r="B2241" s="3" t="str">
        <f aca="false">IF(ISNUMBER(SEARCH("%", A2241)),RIGHT(A2241,3),A2241)</f>
        <v>5, 5, MAGIKARP</v>
      </c>
      <c r="C2241" s="2" t="s">
        <v>1266</v>
      </c>
    </row>
    <row r="2242" customFormat="false" ht="12.75" hidden="false" customHeight="true" outlineLevel="0" collapsed="false">
      <c r="A2242" s="3"/>
      <c r="B2242" s="3" t="n">
        <f aca="false">IF(ISNUMBER(SEARCH("%", A2242)),RIGHT(A2242,3),A2242)</f>
        <v>0</v>
      </c>
      <c r="C2242" s="2"/>
    </row>
    <row r="2243" customFormat="false" ht="12.75" hidden="false" customHeight="true" outlineLevel="0" collapsed="false">
      <c r="A2243" s="3" t="s">
        <v>2846</v>
      </c>
      <c r="B2243" s="3" t="str">
        <f aca="false">IF(ISNUMBER(SEARCH("%", A2243)),RIGHT(A2243,3),A2243)</f>
        <v>good rod:</v>
      </c>
      <c r="C2243" s="2" t="s">
        <v>2846</v>
      </c>
    </row>
    <row r="2244" customFormat="false" ht="12.75" hidden="false" customHeight="true" outlineLevel="0" collapsed="false">
      <c r="A2244" s="3" t="s">
        <v>2847</v>
      </c>
      <c r="B2244" s="3" t="str">
        <f aca="false">IF(ISNUMBER(SEARCH("%", A2244)),RIGHT(A2244,3),A2244)</f>
        <v>5, 15, KRABBY</v>
      </c>
      <c r="C2244" s="2" t="s">
        <v>2847</v>
      </c>
    </row>
    <row r="2245" customFormat="false" ht="12.75" hidden="false" customHeight="true" outlineLevel="0" collapsed="false">
      <c r="A2245" s="3" t="s">
        <v>2848</v>
      </c>
      <c r="B2245" s="3" t="str">
        <f aca="false">IF(ISNUMBER(SEARCH("%", A2245)),RIGHT(A2245,3),A2245)</f>
        <v>5, 15, MAGIKARP</v>
      </c>
      <c r="C2245" s="2" t="s">
        <v>2848</v>
      </c>
    </row>
    <row r="2246" customFormat="false" ht="12.75" hidden="false" customHeight="true" outlineLevel="0" collapsed="false">
      <c r="A2246" s="3" t="s">
        <v>2847</v>
      </c>
      <c r="B2246" s="3" t="str">
        <f aca="false">IF(ISNUMBER(SEARCH("%", A2246)),RIGHT(A2246,3),A2246)</f>
        <v>5, 15, KRABBY</v>
      </c>
      <c r="C2246" s="2" t="s">
        <v>2847</v>
      </c>
    </row>
    <row r="2247" customFormat="false" ht="12.75" hidden="false" customHeight="true" outlineLevel="0" collapsed="false">
      <c r="A2247" s="3"/>
      <c r="B2247" s="3" t="n">
        <f aca="false">IF(ISNUMBER(SEARCH("%", A2247)),RIGHT(A2247,3),A2247)</f>
        <v>0</v>
      </c>
      <c r="C2247" s="2"/>
    </row>
    <row r="2248" customFormat="false" ht="12.75" hidden="false" customHeight="true" outlineLevel="0" collapsed="false">
      <c r="A2248" s="3" t="s">
        <v>2850</v>
      </c>
      <c r="B2248" s="3" t="str">
        <f aca="false">IF(ISNUMBER(SEARCH("%", A2248)),RIGHT(A2248,3),A2248)</f>
        <v>super rod:</v>
      </c>
      <c r="C2248" s="2" t="s">
        <v>2850</v>
      </c>
    </row>
    <row r="2249" customFormat="false" ht="12.75" hidden="false" customHeight="true" outlineLevel="0" collapsed="false">
      <c r="A2249" s="3" t="s">
        <v>2851</v>
      </c>
      <c r="B2249" s="3" t="str">
        <f aca="false">IF(ISNUMBER(SEARCH("%", A2249)),RIGHT(A2249,3),A2249)</f>
        <v>15, 25, KRABBY</v>
      </c>
      <c r="C2249" s="2" t="s">
        <v>2851</v>
      </c>
    </row>
    <row r="2250" customFormat="false" ht="12.75" hidden="false" customHeight="true" outlineLevel="0" collapsed="false">
      <c r="A2250" s="3" t="s">
        <v>3258</v>
      </c>
      <c r="B2250" s="3" t="str">
        <f aca="false">IF(ISNUMBER(SEARCH("%", A2250)),RIGHT(A2250,3),A2250)</f>
        <v>15, 25, REMORAID</v>
      </c>
      <c r="C2250" s="2" t="s">
        <v>3258</v>
      </c>
    </row>
    <row r="2251" customFormat="false" ht="12.75" hidden="false" customHeight="true" outlineLevel="0" collapsed="false">
      <c r="A2251" s="3" t="s">
        <v>2853</v>
      </c>
      <c r="B2251" s="3" t="str">
        <f aca="false">IF(ISNUMBER(SEARCH("%", A2251)),RIGHT(A2251,3),A2251)</f>
        <v>15, 25, GYARADOS</v>
      </c>
      <c r="C2251" s="2" t="s">
        <v>2853</v>
      </c>
    </row>
    <row r="2252" customFormat="false" ht="12.75" hidden="false" customHeight="true" outlineLevel="0" collapsed="false">
      <c r="A2252" s="3" t="s">
        <v>3177</v>
      </c>
      <c r="B2252" s="3" t="str">
        <f aca="false">IF(ISNUMBER(SEARCH("%", A2252)),RIGHT(A2252,3),A2252)</f>
        <v>25, 35, KINGLER</v>
      </c>
      <c r="C2252" s="2" t="s">
        <v>3177</v>
      </c>
    </row>
    <row r="2253" customFormat="false" ht="12.75" hidden="false" customHeight="true" outlineLevel="0" collapsed="false">
      <c r="A2253" s="3" t="s">
        <v>2855</v>
      </c>
      <c r="B2253" s="3" t="str">
        <f aca="false">IF(ISNUMBER(SEARCH("%", A2253)),RIGHT(A2253,3),A2253)</f>
        <v>25, 35, SLOWPOKE</v>
      </c>
      <c r="C2253" s="2" t="s">
        <v>2855</v>
      </c>
    </row>
    <row r="2254" customFormat="false" ht="12.75" hidden="false" customHeight="true" outlineLevel="0" collapsed="false">
      <c r="A2254" s="3" t="s">
        <v>2536</v>
      </c>
      <c r="B2254" s="3" t="str">
        <f aca="false">IF(ISNUMBER(SEARCH("%", A2254)),RIGHT(A2254,3),A2254)</f>
        <v>NEW ROUTE</v>
      </c>
      <c r="C2254" s="2" t="s">
        <v>2536</v>
      </c>
    </row>
    <row r="2255" customFormat="false" ht="12.75" hidden="false" customHeight="true" outlineLevel="0" collapsed="false">
      <c r="A2255" s="3" t="s">
        <v>3297</v>
      </c>
      <c r="B2255" s="3" t="str">
        <f aca="false">IF(ISNUMBER(SEARCH("%", A2255)),RIGHT(A2255,3),A2255)</f>
        <v>3, 63, 0,</v>
      </c>
      <c r="C2255" s="2" t="s">
        <v>3297</v>
      </c>
    </row>
    <row r="2256" customFormat="false" ht="12.75" hidden="false" customHeight="true" outlineLevel="0" collapsed="false">
      <c r="A2256" s="3" t="s">
        <v>2908</v>
      </c>
      <c r="B2256" s="3" t="str">
        <f aca="false">IF(ISNUMBER(SEARCH("%", A2256)),RIGHT(A2256,3),A2256)</f>
        <v>20%</v>
      </c>
      <c r="C2256" s="2" t="s">
        <v>2799</v>
      </c>
    </row>
    <row r="2257" customFormat="false" ht="12.75" hidden="false" customHeight="true" outlineLevel="0" collapsed="false">
      <c r="A2257" s="3" t="s">
        <v>1736</v>
      </c>
      <c r="B2257" s="3" t="str">
        <f aca="false">IF(ISNUMBER(SEARCH("%", A2257)),RIGHT(A2257,3),A2257)</f>
        <v>44, 44, SPEAROW</v>
      </c>
      <c r="C2257" s="2" t="s">
        <v>1736</v>
      </c>
    </row>
    <row r="2258" customFormat="false" ht="12.75" hidden="false" customHeight="true" outlineLevel="0" collapsed="false">
      <c r="A2258" s="3" t="s">
        <v>3261</v>
      </c>
      <c r="B2258" s="3" t="str">
        <f aca="false">IF(ISNUMBER(SEARCH("%", A2258)),RIGHT(A2258,3),A2258)</f>
        <v>10, 10, SENTRET</v>
      </c>
      <c r="C2258" s="2" t="s">
        <v>3261</v>
      </c>
    </row>
    <row r="2259" customFormat="false" ht="12.75" hidden="false" customHeight="true" outlineLevel="0" collapsed="false">
      <c r="A2259" s="3"/>
      <c r="B2259" s="3" t="n">
        <f aca="false">IF(ISNUMBER(SEARCH("%", A2259)),RIGHT(A2259,3),A2259)</f>
        <v>0</v>
      </c>
      <c r="C2259" s="2"/>
    </row>
    <row r="2260" customFormat="false" ht="12.75" hidden="false" customHeight="true" outlineLevel="0" collapsed="false">
      <c r="A2260" s="3" t="s">
        <v>2801</v>
      </c>
      <c r="B2260" s="3" t="str">
        <f aca="false">IF(ISNUMBER(SEARCH("%", A2260)),RIGHT(A2260,3),A2260)</f>
        <v>0.1</v>
      </c>
      <c r="C2260" s="2" t="s">
        <v>2801</v>
      </c>
    </row>
    <row r="2261" customFormat="false" ht="12.75" hidden="false" customHeight="true" outlineLevel="0" collapsed="false">
      <c r="A2261" s="3" t="s">
        <v>3298</v>
      </c>
      <c r="B2261" s="3" t="str">
        <f aca="false">IF(ISNUMBER(SEARCH("%", A2261)),RIGHT(A2261,3),A2261)</f>
        <v>10, 10, PHANPY</v>
      </c>
      <c r="C2261" s="2" t="s">
        <v>3298</v>
      </c>
    </row>
    <row r="2262" customFormat="false" ht="12.75" hidden="false" customHeight="true" outlineLevel="0" collapsed="false">
      <c r="A2262" s="3" t="s">
        <v>3279</v>
      </c>
      <c r="B2262" s="3" t="str">
        <f aca="false">IF(ISNUMBER(SEARCH("%", A2262)),RIGHT(A2262,3),A2262)</f>
        <v>48, 48, FEAROW</v>
      </c>
      <c r="C2262" s="2" t="s">
        <v>3279</v>
      </c>
    </row>
    <row r="2263" customFormat="false" ht="12.75" hidden="false" customHeight="true" outlineLevel="0" collapsed="false">
      <c r="A2263" s="3" t="s">
        <v>3263</v>
      </c>
      <c r="B2263" s="3" t="str">
        <f aca="false">IF(ISNUMBER(SEARCH("%", A2263)),RIGHT(A2263,3),A2263)</f>
        <v>15, 15, SENTRET</v>
      </c>
      <c r="C2263" s="2" t="s">
        <v>3263</v>
      </c>
    </row>
    <row r="2264" customFormat="false" ht="12.75" hidden="false" customHeight="true" outlineLevel="0" collapsed="false">
      <c r="A2264" s="3" t="s">
        <v>3264</v>
      </c>
      <c r="B2264" s="3" t="str">
        <f aca="false">IF(ISNUMBER(SEARCH("%", A2264)),RIGHT(A2264,3),A2264)</f>
        <v>41, 41, MEOWTH</v>
      </c>
      <c r="C2264" s="2" t="s">
        <v>3264</v>
      </c>
    </row>
    <row r="2265" customFormat="false" ht="12.75" hidden="false" customHeight="true" outlineLevel="0" collapsed="false">
      <c r="A2265" s="3"/>
      <c r="B2265" s="3" t="n">
        <f aca="false">IF(ISNUMBER(SEARCH("%", A2265)),RIGHT(A2265,3),A2265)</f>
        <v>0</v>
      </c>
      <c r="C2265" s="2"/>
    </row>
    <row r="2266" customFormat="false" ht="12.75" hidden="false" customHeight="true" outlineLevel="0" collapsed="false">
      <c r="A2266" s="3" t="s">
        <v>2806</v>
      </c>
      <c r="B2266" s="3" t="str">
        <f aca="false">IF(ISNUMBER(SEARCH("%", A2266)),RIGHT(A2266,3),A2266)</f>
        <v>0.05</v>
      </c>
      <c r="C2266" s="2" t="s">
        <v>2806</v>
      </c>
    </row>
    <row r="2267" customFormat="false" ht="12.75" hidden="false" customHeight="true" outlineLevel="0" collapsed="false">
      <c r="A2267" s="3" t="s">
        <v>3281</v>
      </c>
      <c r="B2267" s="3" t="str">
        <f aca="false">IF(ISNUMBER(SEARCH("%", A2267)),RIGHT(A2267,3),A2267)</f>
        <v>50, 50, FEAROW</v>
      </c>
      <c r="C2267" s="2" t="s">
        <v>3281</v>
      </c>
    </row>
    <row r="2268" customFormat="false" ht="12.75" hidden="false" customHeight="true" outlineLevel="0" collapsed="false">
      <c r="A2268" s="3" t="s">
        <v>3154</v>
      </c>
      <c r="B2268" s="3" t="str">
        <f aca="false">IF(ISNUMBER(SEARCH("%", A2268)),RIGHT(A2268,3),A2268)</f>
        <v>41, 41, SLOWPOKE</v>
      </c>
      <c r="C2268" s="2" t="s">
        <v>3154</v>
      </c>
    </row>
    <row r="2269" customFormat="false" ht="12.75" hidden="false" customHeight="true" outlineLevel="0" collapsed="false">
      <c r="A2269" s="3"/>
      <c r="B2269" s="3" t="n">
        <f aca="false">IF(ISNUMBER(SEARCH("%", A2269)),RIGHT(A2269,3),A2269)</f>
        <v>0</v>
      </c>
      <c r="C2269" s="2"/>
    </row>
    <row r="2270" customFormat="false" ht="12.75" hidden="false" customHeight="true" outlineLevel="0" collapsed="false">
      <c r="A2270" s="3" t="s">
        <v>2809</v>
      </c>
      <c r="B2270" s="3" t="str">
        <f aca="false">IF(ISNUMBER(SEARCH("%", A2270)),RIGHT(A2270,3),A2270)</f>
        <v>0.04</v>
      </c>
      <c r="C2270" s="2" t="s">
        <v>2809</v>
      </c>
    </row>
    <row r="2271" customFormat="false" ht="12.75" hidden="false" customHeight="true" outlineLevel="0" collapsed="false">
      <c r="A2271" s="3" t="s">
        <v>3299</v>
      </c>
      <c r="B2271" s="3" t="str">
        <f aca="false">IF(ISNUMBER(SEARCH("%", A2271)),RIGHT(A2271,3),A2271)</f>
        <v>15, 15, PHANPY</v>
      </c>
      <c r="C2271" s="2" t="s">
        <v>3299</v>
      </c>
    </row>
    <row r="2272" customFormat="false" ht="12.75" hidden="false" customHeight="true" outlineLevel="0" collapsed="false">
      <c r="A2272" s="3" t="s">
        <v>3267</v>
      </c>
      <c r="B2272" s="3" t="str">
        <f aca="false">IF(ISNUMBER(SEARCH("%", A2272)),RIGHT(A2272,3),A2272)</f>
        <v>47, 47, PERSIAN</v>
      </c>
      <c r="C2272" s="2" t="s">
        <v>3267</v>
      </c>
    </row>
    <row r="2273" customFormat="false" ht="12.75" hidden="false" customHeight="true" outlineLevel="0" collapsed="false">
      <c r="A2273" s="3"/>
      <c r="B2273" s="3" t="n">
        <f aca="false">IF(ISNUMBER(SEARCH("%", A2273)),RIGHT(A2273,3),A2273)</f>
        <v>0</v>
      </c>
      <c r="C2273" s="2"/>
    </row>
    <row r="2274" customFormat="false" ht="12.75" hidden="false" customHeight="true" outlineLevel="0" collapsed="false">
      <c r="A2274" s="3" t="s">
        <v>2812</v>
      </c>
      <c r="B2274" s="3" t="str">
        <f aca="false">IF(ISNUMBER(SEARCH("%", A2274)),RIGHT(A2274,3),A2274)</f>
        <v>0.01</v>
      </c>
      <c r="C2274" s="2" t="s">
        <v>2812</v>
      </c>
    </row>
    <row r="2275" customFormat="false" ht="12.75" hidden="false" customHeight="true" outlineLevel="0" collapsed="false">
      <c r="A2275" s="3" t="s">
        <v>3299</v>
      </c>
      <c r="B2275" s="3" t="str">
        <f aca="false">IF(ISNUMBER(SEARCH("%", A2275)),RIGHT(A2275,3),A2275)</f>
        <v>15, 15, PHANPY</v>
      </c>
      <c r="C2275" s="2" t="s">
        <v>3299</v>
      </c>
    </row>
    <row r="2276" customFormat="false" ht="12.75" hidden="false" customHeight="true" outlineLevel="0" collapsed="false">
      <c r="A2276" s="3" t="s">
        <v>3300</v>
      </c>
      <c r="B2276" s="3" t="str">
        <f aca="false">IF(ISNUMBER(SEARCH("%", A2276)),RIGHT(A2276,3),A2276)</f>
        <v>50, 50, PERSIAN , &lt;null&gt;, &lt;null&gt;, &lt;null&gt;</v>
      </c>
      <c r="C2276" s="2" t="s">
        <v>3300</v>
      </c>
    </row>
    <row r="2277" customFormat="false" ht="12.75" hidden="false" customHeight="true" outlineLevel="0" collapsed="false">
      <c r="A2277" s="3"/>
      <c r="B2277" s="3" t="n">
        <f aca="false">IF(ISNUMBER(SEARCH("%", A2277)),RIGHT(A2277,3),A2277)</f>
        <v>0</v>
      </c>
      <c r="C2277" s="2"/>
    </row>
    <row r="2278" customFormat="false" ht="12.75" hidden="false" customHeight="true" outlineLevel="0" collapsed="false">
      <c r="A2278" s="3" t="s">
        <v>2536</v>
      </c>
      <c r="B2278" s="3" t="str">
        <f aca="false">IF(ISNUMBER(SEARCH("%", A2278)),RIGHT(A2278,3),A2278)</f>
        <v>NEW ROUTE</v>
      </c>
      <c r="C2278" s="2" t="s">
        <v>2536</v>
      </c>
    </row>
    <row r="2279" customFormat="false" ht="12.75" hidden="false" customHeight="true" outlineLevel="0" collapsed="false">
      <c r="A2279" s="3" t="s">
        <v>3301</v>
      </c>
      <c r="B2279" s="3" t="str">
        <f aca="false">IF(ISNUMBER(SEARCH("%", A2279)),RIGHT(A2279,3),A2279)</f>
        <v>3, 64, 0,</v>
      </c>
      <c r="C2279" s="2" t="s">
        <v>3301</v>
      </c>
    </row>
    <row r="2280" customFormat="false" ht="12.75" hidden="false" customHeight="true" outlineLevel="0" collapsed="false">
      <c r="A2280" s="3" t="s">
        <v>2908</v>
      </c>
      <c r="B2280" s="3" t="str">
        <f aca="false">IF(ISNUMBER(SEARCH("%", A2280)),RIGHT(A2280,3),A2280)</f>
        <v>20%</v>
      </c>
      <c r="C2280" s="2" t="s">
        <v>2799</v>
      </c>
    </row>
    <row r="2281" customFormat="false" ht="12.75" hidden="false" customHeight="true" outlineLevel="0" collapsed="false">
      <c r="A2281" s="3" t="s">
        <v>1764</v>
      </c>
      <c r="B2281" s="3" t="str">
        <f aca="false">IF(ISNUMBER(SEARCH("%", A2281)),RIGHT(A2281,3),A2281)</f>
        <v>46, 46, GEODUDE</v>
      </c>
      <c r="C2281" s="2" t="s">
        <v>1764</v>
      </c>
    </row>
    <row r="2282" customFormat="false" ht="12.75" hidden="false" customHeight="true" outlineLevel="0" collapsed="false">
      <c r="A2282" s="3" t="s">
        <v>3299</v>
      </c>
      <c r="B2282" s="3" t="str">
        <f aca="false">IF(ISNUMBER(SEARCH("%", A2282)),RIGHT(A2282,3),A2282)</f>
        <v>15, 15, PHANPY</v>
      </c>
      <c r="C2282" s="2" t="s">
        <v>3299</v>
      </c>
    </row>
    <row r="2283" customFormat="false" ht="12.75" hidden="false" customHeight="true" outlineLevel="0" collapsed="false">
      <c r="A2283" s="3"/>
      <c r="B2283" s="3" t="n">
        <f aca="false">IF(ISNUMBER(SEARCH("%", A2283)),RIGHT(A2283,3),A2283)</f>
        <v>0</v>
      </c>
      <c r="C2283" s="2"/>
    </row>
    <row r="2284" customFormat="false" ht="12.75" hidden="false" customHeight="true" outlineLevel="0" collapsed="false">
      <c r="A2284" s="3" t="s">
        <v>2801</v>
      </c>
      <c r="B2284" s="3" t="str">
        <f aca="false">IF(ISNUMBER(SEARCH("%", A2284)),RIGHT(A2284,3),A2284)</f>
        <v>0.1</v>
      </c>
      <c r="C2284" s="2" t="s">
        <v>2801</v>
      </c>
    </row>
    <row r="2285" customFormat="false" ht="12.75" hidden="false" customHeight="true" outlineLevel="0" collapsed="false">
      <c r="A2285" s="3" t="s">
        <v>3302</v>
      </c>
      <c r="B2285" s="3" t="str">
        <f aca="false">IF(ISNUMBER(SEARCH("%", A2285)),RIGHT(A2285,3),A2285)</f>
        <v>46, 46, CUBONE</v>
      </c>
      <c r="C2285" s="2" t="s">
        <v>3302</v>
      </c>
    </row>
    <row r="2286" customFormat="false" ht="12.75" hidden="false" customHeight="true" outlineLevel="0" collapsed="false">
      <c r="A2286" s="3" t="s">
        <v>3281</v>
      </c>
      <c r="B2286" s="3" t="str">
        <f aca="false">IF(ISNUMBER(SEARCH("%", A2286)),RIGHT(A2286,3),A2286)</f>
        <v>50, 50, FEAROW</v>
      </c>
      <c r="C2286" s="2" t="s">
        <v>3281</v>
      </c>
    </row>
    <row r="2287" customFormat="false" ht="12.75" hidden="false" customHeight="true" outlineLevel="0" collapsed="false">
      <c r="A2287" s="3" t="s">
        <v>3303</v>
      </c>
      <c r="B2287" s="3" t="str">
        <f aca="false">IF(ISNUMBER(SEARCH("%", A2287)),RIGHT(A2287,3),A2287)</f>
        <v>52, 52, MAROWAK</v>
      </c>
      <c r="C2287" s="2" t="s">
        <v>3303</v>
      </c>
    </row>
    <row r="2288" customFormat="false" ht="12.75" hidden="false" customHeight="true" outlineLevel="0" collapsed="false">
      <c r="A2288" s="3" t="s">
        <v>3286</v>
      </c>
      <c r="B2288" s="3" t="str">
        <f aca="false">IF(ISNUMBER(SEARCH("%", A2288)),RIGHT(A2288,3),A2288)</f>
        <v>43, 43, MEOWTH</v>
      </c>
      <c r="C2288" s="2" t="s">
        <v>3286</v>
      </c>
    </row>
    <row r="2289" customFormat="false" ht="12.75" hidden="false" customHeight="true" outlineLevel="0" collapsed="false">
      <c r="A2289" s="3"/>
      <c r="B2289" s="3" t="n">
        <f aca="false">IF(ISNUMBER(SEARCH("%", A2289)),RIGHT(A2289,3),A2289)</f>
        <v>0</v>
      </c>
      <c r="C2289" s="2"/>
    </row>
    <row r="2290" customFormat="false" ht="12.75" hidden="false" customHeight="true" outlineLevel="0" collapsed="false">
      <c r="A2290" s="3" t="s">
        <v>2806</v>
      </c>
      <c r="B2290" s="3" t="str">
        <f aca="false">IF(ISNUMBER(SEARCH("%", A2290)),RIGHT(A2290,3),A2290)</f>
        <v>0.05</v>
      </c>
      <c r="C2290" s="2" t="s">
        <v>2806</v>
      </c>
    </row>
    <row r="2291" customFormat="false" ht="12.75" hidden="false" customHeight="true" outlineLevel="0" collapsed="false">
      <c r="A2291" s="3" t="s">
        <v>3304</v>
      </c>
      <c r="B2291" s="3" t="str">
        <f aca="false">IF(ISNUMBER(SEARCH("%", A2291)),RIGHT(A2291,3),A2291)</f>
        <v>54, 54, ONIX</v>
      </c>
      <c r="C2291" s="2" t="s">
        <v>3304</v>
      </c>
    </row>
    <row r="2292" customFormat="false" ht="12.75" hidden="false" customHeight="true" outlineLevel="0" collapsed="false">
      <c r="A2292" s="3" t="s">
        <v>3281</v>
      </c>
      <c r="B2292" s="3" t="str">
        <f aca="false">IF(ISNUMBER(SEARCH("%", A2292)),RIGHT(A2292,3),A2292)</f>
        <v>50, 50, FEAROW</v>
      </c>
      <c r="C2292" s="2" t="s">
        <v>3281</v>
      </c>
    </row>
    <row r="2293" customFormat="false" ht="12.75" hidden="false" customHeight="true" outlineLevel="0" collapsed="false">
      <c r="A2293" s="3"/>
      <c r="B2293" s="3" t="n">
        <f aca="false">IF(ISNUMBER(SEARCH("%", A2293)),RIGHT(A2293,3),A2293)</f>
        <v>0</v>
      </c>
      <c r="C2293" s="2"/>
    </row>
    <row r="2294" customFormat="false" ht="12.75" hidden="false" customHeight="true" outlineLevel="0" collapsed="false">
      <c r="A2294" s="3" t="s">
        <v>2809</v>
      </c>
      <c r="B2294" s="3" t="str">
        <f aca="false">IF(ISNUMBER(SEARCH("%", A2294)),RIGHT(A2294,3),A2294)</f>
        <v>0.04</v>
      </c>
      <c r="C2294" s="2" t="s">
        <v>2809</v>
      </c>
    </row>
    <row r="2295" customFormat="false" ht="12.75" hidden="false" customHeight="true" outlineLevel="0" collapsed="false">
      <c r="A2295" s="3" t="s">
        <v>3305</v>
      </c>
      <c r="B2295" s="3" t="str">
        <f aca="false">IF(ISNUMBER(SEARCH("%", A2295)),RIGHT(A2295,3),A2295)</f>
        <v>15, 15, LARVITAR</v>
      </c>
      <c r="C2295" s="2" t="s">
        <v>3305</v>
      </c>
    </row>
    <row r="2296" customFormat="false" ht="12.75" hidden="false" customHeight="true" outlineLevel="0" collapsed="false">
      <c r="A2296" s="3" t="s">
        <v>3289</v>
      </c>
      <c r="B2296" s="3" t="str">
        <f aca="false">IF(ISNUMBER(SEARCH("%", A2296)),RIGHT(A2296,3),A2296)</f>
        <v>49, 49, PERSIAN</v>
      </c>
      <c r="C2296" s="2" t="s">
        <v>3289</v>
      </c>
    </row>
    <row r="2297" customFormat="false" ht="12.75" hidden="false" customHeight="true" outlineLevel="0" collapsed="false">
      <c r="A2297" s="3"/>
      <c r="B2297" s="3" t="n">
        <f aca="false">IF(ISNUMBER(SEARCH("%", A2297)),RIGHT(A2297,3),A2297)</f>
        <v>0</v>
      </c>
      <c r="C2297" s="2"/>
    </row>
    <row r="2298" customFormat="false" ht="12.75" hidden="false" customHeight="true" outlineLevel="0" collapsed="false">
      <c r="A2298" s="3" t="s">
        <v>2812</v>
      </c>
      <c r="B2298" s="3" t="str">
        <f aca="false">IF(ISNUMBER(SEARCH("%", A2298)),RIGHT(A2298,3),A2298)</f>
        <v>0.01</v>
      </c>
      <c r="C2298" s="2" t="s">
        <v>2812</v>
      </c>
    </row>
    <row r="2299" customFormat="false" ht="12.75" hidden="false" customHeight="true" outlineLevel="0" collapsed="false">
      <c r="A2299" s="3" t="s">
        <v>3306</v>
      </c>
      <c r="B2299" s="3" t="str">
        <f aca="false">IF(ISNUMBER(SEARCH("%", A2299)),RIGHT(A2299,3),A2299)</f>
        <v>20, 20, LARVITAR</v>
      </c>
      <c r="C2299" s="2" t="s">
        <v>3306</v>
      </c>
    </row>
    <row r="2300" customFormat="false" ht="12.75" hidden="false" customHeight="true" outlineLevel="0" collapsed="false">
      <c r="A2300" s="3" t="s">
        <v>3290</v>
      </c>
      <c r="B2300" s="3" t="str">
        <f aca="false">IF(ISNUMBER(SEARCH("%", A2300)),RIGHT(A2300,3),A2300)</f>
        <v>52, 52, PERSIAN</v>
      </c>
      <c r="C2300" s="2" t="s">
        <v>3290</v>
      </c>
    </row>
    <row r="2301" customFormat="false" ht="12.75" hidden="false" customHeight="true" outlineLevel="0" collapsed="false">
      <c r="A2301" s="3" t="s">
        <v>3307</v>
      </c>
      <c r="B2301" s="3" t="str">
        <f aca="false">IF(ISNUMBER(SEARCH("%", A2301)),RIGHT(A2301,3),A2301)</f>
        <v>25, 25, 35, GEODUDE</v>
      </c>
      <c r="C2301" s="2" t="s">
        <v>3307</v>
      </c>
    </row>
    <row r="2302" customFormat="false" ht="12.75" hidden="false" customHeight="true" outlineLevel="0" collapsed="false">
      <c r="A2302" s="3" t="s">
        <v>3102</v>
      </c>
      <c r="B2302" s="3" t="str">
        <f aca="false">IF(ISNUMBER(SEARCH("%", A2302)),RIGHT(A2302,3),A2302)</f>
        <v>30, 45, GRAVELER</v>
      </c>
      <c r="C2302" s="2" t="s">
        <v>3102</v>
      </c>
    </row>
    <row r="2303" customFormat="false" ht="12.75" hidden="false" customHeight="true" outlineLevel="0" collapsed="false">
      <c r="A2303" s="3" t="s">
        <v>3103</v>
      </c>
      <c r="B2303" s="3" t="str">
        <f aca="false">IF(ISNUMBER(SEARCH("%", A2303)),RIGHT(A2303,3),A2303)</f>
        <v>35, 50, GRAVELER</v>
      </c>
      <c r="C2303" s="2" t="s">
        <v>3103</v>
      </c>
    </row>
    <row r="2304" customFormat="false" ht="12.75" hidden="false" customHeight="true" outlineLevel="0" collapsed="false">
      <c r="A2304" s="3" t="s">
        <v>3104</v>
      </c>
      <c r="B2304" s="3" t="str">
        <f aca="false">IF(ISNUMBER(SEARCH("%", A2304)),RIGHT(A2304,3),A2304)</f>
        <v>30, 40, GEODUDE</v>
      </c>
      <c r="C2304" s="2" t="s">
        <v>3104</v>
      </c>
    </row>
    <row r="2305" customFormat="false" ht="12.75" hidden="false" customHeight="true" outlineLevel="0" collapsed="false">
      <c r="A2305" s="3" t="s">
        <v>3105</v>
      </c>
      <c r="B2305" s="3" t="str">
        <f aca="false">IF(ISNUMBER(SEARCH("%", A2305)),RIGHT(A2305,3),A2305)</f>
        <v>30, 40, GEODUDE , &lt;null&gt;</v>
      </c>
      <c r="C2305" s="2" t="s">
        <v>3105</v>
      </c>
    </row>
    <row r="2306" customFormat="false" ht="12.75" hidden="false" customHeight="true" outlineLevel="0" collapsed="false">
      <c r="A2306" s="3"/>
      <c r="B2306" s="3" t="n">
        <f aca="false">IF(ISNUMBER(SEARCH("%", A2306)),RIGHT(A2306,3),A2306)</f>
        <v>0</v>
      </c>
      <c r="C2306" s="2"/>
    </row>
    <row r="2307" customFormat="false" ht="12.75" hidden="false" customHeight="true" outlineLevel="0" collapsed="false">
      <c r="A2307" s="3" t="s">
        <v>2536</v>
      </c>
      <c r="B2307" s="3" t="str">
        <f aca="false">IF(ISNUMBER(SEARCH("%", A2307)),RIGHT(A2307,3),A2307)</f>
        <v>NEW ROUTE</v>
      </c>
      <c r="C2307" s="2" t="s">
        <v>2536</v>
      </c>
    </row>
    <row r="2308" customFormat="false" ht="12.75" hidden="false" customHeight="true" outlineLevel="0" collapsed="false">
      <c r="A2308" s="3" t="s">
        <v>3308</v>
      </c>
      <c r="B2308" s="3" t="str">
        <f aca="false">IF(ISNUMBER(SEARCH("%", A2308)),RIGHT(A2308,3),A2308)</f>
        <v>3, 65, 0, &lt;null&gt;,</v>
      </c>
      <c r="C2308" s="2" t="s">
        <v>3308</v>
      </c>
    </row>
    <row r="2309" customFormat="false" ht="12.75" hidden="false" customHeight="true" outlineLevel="0" collapsed="false">
      <c r="A2309" s="3"/>
      <c r="B2309" s="3" t="n">
        <f aca="false">IF(ISNUMBER(SEARCH("%", A2309)),RIGHT(A2309,3),A2309)</f>
        <v>0</v>
      </c>
      <c r="C2309" s="2"/>
    </row>
    <row r="2310" customFormat="false" ht="12.75" hidden="false" customHeight="true" outlineLevel="0" collapsed="false">
      <c r="A2310" s="3" t="s">
        <v>3172</v>
      </c>
      <c r="B2310" s="3" t="str">
        <f aca="false">IF(ISNUMBER(SEARCH("%", A2310)),RIGHT(A2310,3),A2310)</f>
        <v>2, 5, 20, TENTACOOL</v>
      </c>
      <c r="C2310" s="2" t="s">
        <v>3172</v>
      </c>
    </row>
    <row r="2311" customFormat="false" ht="12.75" hidden="false" customHeight="true" outlineLevel="0" collapsed="false">
      <c r="A2311" s="3" t="s">
        <v>3173</v>
      </c>
      <c r="B2311" s="3" t="str">
        <f aca="false">IF(ISNUMBER(SEARCH("%", A2311)),RIGHT(A2311,3),A2311)</f>
        <v>20, 35, TENTACOOL</v>
      </c>
      <c r="C2311" s="2" t="s">
        <v>3173</v>
      </c>
    </row>
    <row r="2312" customFormat="false" ht="12.75" hidden="false" customHeight="true" outlineLevel="0" collapsed="false">
      <c r="A2312" s="3" t="s">
        <v>3296</v>
      </c>
      <c r="B2312" s="3" t="str">
        <f aca="false">IF(ISNUMBER(SEARCH("%", A2312)),RIGHT(A2312,3),A2312)</f>
        <v>35, 40, MANTINE</v>
      </c>
      <c r="C2312" s="2" t="s">
        <v>3296</v>
      </c>
    </row>
    <row r="2313" customFormat="false" ht="12.75" hidden="false" customHeight="true" outlineLevel="0" collapsed="false">
      <c r="A2313" s="3" t="s">
        <v>3231</v>
      </c>
      <c r="B2313" s="3" t="str">
        <f aca="false">IF(ISNUMBER(SEARCH("%", A2313)),RIGHT(A2313,3),A2313)</f>
        <v>35, 40, TENTACRUEL</v>
      </c>
      <c r="C2313" s="2" t="s">
        <v>3231</v>
      </c>
    </row>
    <row r="2314" customFormat="false" ht="12.75" hidden="false" customHeight="true" outlineLevel="0" collapsed="false">
      <c r="A2314" s="3" t="s">
        <v>3231</v>
      </c>
      <c r="B2314" s="3" t="str">
        <f aca="false">IF(ISNUMBER(SEARCH("%", A2314)),RIGHT(A2314,3),A2314)</f>
        <v>35, 40, TENTACRUEL</v>
      </c>
      <c r="C2314" s="2" t="s">
        <v>3231</v>
      </c>
    </row>
    <row r="2315" customFormat="false" ht="12.75" hidden="false" customHeight="true" outlineLevel="0" collapsed="false">
      <c r="A2315" s="3" t="s">
        <v>2925</v>
      </c>
      <c r="B2315" s="3" t="str">
        <f aca="false">IF(ISNUMBER(SEARCH("%", A2315)),RIGHT(A2315,3),A2315)</f>
        <v>20, old rod:</v>
      </c>
      <c r="C2315" s="2" t="s">
        <v>2925</v>
      </c>
    </row>
    <row r="2316" customFormat="false" ht="12.75" hidden="false" customHeight="true" outlineLevel="0" collapsed="false">
      <c r="A2316" s="3" t="s">
        <v>1266</v>
      </c>
      <c r="B2316" s="3" t="str">
        <f aca="false">IF(ISNUMBER(SEARCH("%", A2316)),RIGHT(A2316,3),A2316)</f>
        <v>5, 5, MAGIKARP</v>
      </c>
      <c r="C2316" s="2" t="s">
        <v>1266</v>
      </c>
    </row>
    <row r="2317" customFormat="false" ht="12.75" hidden="false" customHeight="true" outlineLevel="0" collapsed="false">
      <c r="A2317" s="3" t="s">
        <v>1266</v>
      </c>
      <c r="B2317" s="3" t="str">
        <f aca="false">IF(ISNUMBER(SEARCH("%", A2317)),RIGHT(A2317,3),A2317)</f>
        <v>5, 5, MAGIKARP</v>
      </c>
      <c r="C2317" s="2" t="s">
        <v>1266</v>
      </c>
    </row>
    <row r="2318" customFormat="false" ht="12.75" hidden="false" customHeight="true" outlineLevel="0" collapsed="false">
      <c r="A2318" s="3"/>
      <c r="B2318" s="3" t="n">
        <f aca="false">IF(ISNUMBER(SEARCH("%", A2318)),RIGHT(A2318,3),A2318)</f>
        <v>0</v>
      </c>
      <c r="C2318" s="2"/>
    </row>
    <row r="2319" customFormat="false" ht="12.75" hidden="false" customHeight="true" outlineLevel="0" collapsed="false">
      <c r="A2319" s="3" t="s">
        <v>2846</v>
      </c>
      <c r="B2319" s="3" t="str">
        <f aca="false">IF(ISNUMBER(SEARCH("%", A2319)),RIGHT(A2319,3),A2319)</f>
        <v>good rod:</v>
      </c>
      <c r="C2319" s="2" t="s">
        <v>2846</v>
      </c>
    </row>
    <row r="2320" customFormat="false" ht="12.75" hidden="false" customHeight="true" outlineLevel="0" collapsed="false">
      <c r="A2320" s="3" t="s">
        <v>2847</v>
      </c>
      <c r="B2320" s="3" t="str">
        <f aca="false">IF(ISNUMBER(SEARCH("%", A2320)),RIGHT(A2320,3),A2320)</f>
        <v>5, 15, KRABBY</v>
      </c>
      <c r="C2320" s="2" t="s">
        <v>2847</v>
      </c>
    </row>
    <row r="2321" customFormat="false" ht="12.75" hidden="false" customHeight="true" outlineLevel="0" collapsed="false">
      <c r="A2321" s="3" t="s">
        <v>2848</v>
      </c>
      <c r="B2321" s="3" t="str">
        <f aca="false">IF(ISNUMBER(SEARCH("%", A2321)),RIGHT(A2321,3),A2321)</f>
        <v>5, 15, MAGIKARP</v>
      </c>
      <c r="C2321" s="2" t="s">
        <v>2848</v>
      </c>
    </row>
    <row r="2322" customFormat="false" ht="12.75" hidden="false" customHeight="true" outlineLevel="0" collapsed="false">
      <c r="A2322" s="3" t="s">
        <v>2847</v>
      </c>
      <c r="B2322" s="3" t="str">
        <f aca="false">IF(ISNUMBER(SEARCH("%", A2322)),RIGHT(A2322,3),A2322)</f>
        <v>5, 15, KRABBY</v>
      </c>
      <c r="C2322" s="2" t="s">
        <v>2847</v>
      </c>
    </row>
    <row r="2323" customFormat="false" ht="12.75" hidden="false" customHeight="true" outlineLevel="0" collapsed="false">
      <c r="A2323" s="3"/>
      <c r="B2323" s="3" t="n">
        <f aca="false">IF(ISNUMBER(SEARCH("%", A2323)),RIGHT(A2323,3),A2323)</f>
        <v>0</v>
      </c>
      <c r="C2323" s="2"/>
    </row>
    <row r="2324" customFormat="false" ht="12.75" hidden="false" customHeight="true" outlineLevel="0" collapsed="false">
      <c r="A2324" s="3" t="s">
        <v>2850</v>
      </c>
      <c r="B2324" s="3" t="str">
        <f aca="false">IF(ISNUMBER(SEARCH("%", A2324)),RIGHT(A2324,3),A2324)</f>
        <v>super rod:</v>
      </c>
      <c r="C2324" s="2" t="s">
        <v>2850</v>
      </c>
    </row>
    <row r="2325" customFormat="false" ht="12.75" hidden="false" customHeight="true" outlineLevel="0" collapsed="false">
      <c r="A2325" s="3" t="s">
        <v>2851</v>
      </c>
      <c r="B2325" s="3" t="str">
        <f aca="false">IF(ISNUMBER(SEARCH("%", A2325)),RIGHT(A2325,3),A2325)</f>
        <v>15, 25, KRABBY</v>
      </c>
      <c r="C2325" s="2" t="s">
        <v>2851</v>
      </c>
    </row>
    <row r="2326" customFormat="false" ht="12.75" hidden="false" customHeight="true" outlineLevel="0" collapsed="false">
      <c r="A2326" s="3" t="s">
        <v>3258</v>
      </c>
      <c r="B2326" s="3" t="str">
        <f aca="false">IF(ISNUMBER(SEARCH("%", A2326)),RIGHT(A2326,3),A2326)</f>
        <v>15, 25, REMORAID</v>
      </c>
      <c r="C2326" s="2" t="s">
        <v>3258</v>
      </c>
    </row>
    <row r="2327" customFormat="false" ht="12.75" hidden="false" customHeight="true" outlineLevel="0" collapsed="false">
      <c r="A2327" s="3" t="s">
        <v>2853</v>
      </c>
      <c r="B2327" s="3" t="str">
        <f aca="false">IF(ISNUMBER(SEARCH("%", A2327)),RIGHT(A2327,3),A2327)</f>
        <v>15, 25, GYARADOS</v>
      </c>
      <c r="C2327" s="2" t="s">
        <v>2853</v>
      </c>
    </row>
    <row r="2328" customFormat="false" ht="12.75" hidden="false" customHeight="true" outlineLevel="0" collapsed="false">
      <c r="A2328" s="3" t="s">
        <v>3177</v>
      </c>
      <c r="B2328" s="3" t="str">
        <f aca="false">IF(ISNUMBER(SEARCH("%", A2328)),RIGHT(A2328,3),A2328)</f>
        <v>25, 35, KINGLER</v>
      </c>
      <c r="C2328" s="2" t="s">
        <v>3177</v>
      </c>
    </row>
    <row r="2329" customFormat="false" ht="12.75" hidden="false" customHeight="true" outlineLevel="0" collapsed="false">
      <c r="A2329" s="3" t="s">
        <v>2855</v>
      </c>
      <c r="B2329" s="3" t="str">
        <f aca="false">IF(ISNUMBER(SEARCH("%", A2329)),RIGHT(A2329,3),A2329)</f>
        <v>25, 35, SLOWPOKE</v>
      </c>
      <c r="C2329" s="2" t="s">
        <v>2855</v>
      </c>
    </row>
    <row r="2330" customFormat="false" ht="12.75" hidden="false" customHeight="true" outlineLevel="0" collapsed="false">
      <c r="A2330" s="3" t="s">
        <v>2536</v>
      </c>
      <c r="B2330" s="3" t="str">
        <f aca="false">IF(ISNUMBER(SEARCH("%", A2330)),RIGHT(A2330,3),A2330)</f>
        <v>NEW ROUTE</v>
      </c>
      <c r="C2330" s="2" t="s">
        <v>2536</v>
      </c>
    </row>
    <row r="2331" customFormat="false" ht="12.75" hidden="false" customHeight="true" outlineLevel="0" collapsed="false">
      <c r="A2331" s="3" t="s">
        <v>3309</v>
      </c>
      <c r="B2331" s="3" t="str">
        <f aca="false">IF(ISNUMBER(SEARCH("%", A2331)),RIGHT(A2331,3),A2331)</f>
        <v>3, 19, 0,</v>
      </c>
      <c r="C2331" s="2" t="s">
        <v>3309</v>
      </c>
    </row>
    <row r="2332" customFormat="false" ht="12.75" hidden="false" customHeight="true" outlineLevel="0" collapsed="false">
      <c r="A2332" s="3" t="s">
        <v>2908</v>
      </c>
      <c r="B2332" s="3" t="str">
        <f aca="false">IF(ISNUMBER(SEARCH("%", A2332)),RIGHT(A2332,3),A2332)</f>
        <v>20%</v>
      </c>
      <c r="C2332" s="2" t="s">
        <v>2799</v>
      </c>
    </row>
    <row r="2333" customFormat="false" ht="12.75" hidden="false" customHeight="true" outlineLevel="0" collapsed="false">
      <c r="A2333" s="3" t="s">
        <v>1773</v>
      </c>
      <c r="B2333" s="3" t="str">
        <f aca="false">IF(ISNUMBER(SEARCH("%", A2333)),RIGHT(A2333,3),A2333)</f>
        <v>2, 5, PIDGEY</v>
      </c>
      <c r="C2333" s="2" t="s">
        <v>1773</v>
      </c>
    </row>
    <row r="2334" customFormat="false" ht="12.75" hidden="false" customHeight="true" outlineLevel="0" collapsed="false">
      <c r="A2334" s="3" t="s">
        <v>1773</v>
      </c>
      <c r="B2334" s="3" t="str">
        <f aca="false">IF(ISNUMBER(SEARCH("%", A2334)),RIGHT(A2334,3),A2334)</f>
        <v>2, 5, PIDGEY</v>
      </c>
      <c r="C2334" s="2" t="s">
        <v>1773</v>
      </c>
    </row>
    <row r="2335" customFormat="false" ht="12.75" hidden="false" customHeight="true" outlineLevel="0" collapsed="false">
      <c r="A2335" s="3"/>
      <c r="B2335" s="3" t="n">
        <f aca="false">IF(ISNUMBER(SEARCH("%", A2335)),RIGHT(A2335,3),A2335)</f>
        <v>0</v>
      </c>
      <c r="C2335" s="2"/>
    </row>
    <row r="2336" customFormat="false" ht="12.75" hidden="false" customHeight="true" outlineLevel="0" collapsed="false">
      <c r="A2336" s="3" t="s">
        <v>2801</v>
      </c>
      <c r="B2336" s="3" t="str">
        <f aca="false">IF(ISNUMBER(SEARCH("%", A2336)),RIGHT(A2336,3),A2336)</f>
        <v>0.1</v>
      </c>
      <c r="C2336" s="2" t="s">
        <v>2801</v>
      </c>
    </row>
    <row r="2337" customFormat="false" ht="12.75" hidden="false" customHeight="true" outlineLevel="0" collapsed="false">
      <c r="A2337" s="3" t="s">
        <v>3310</v>
      </c>
      <c r="B2337" s="3" t="str">
        <f aca="false">IF(ISNUMBER(SEARCH("%", A2337)),RIGHT(A2337,3),A2337)</f>
        <v>2, 4, RATTATA</v>
      </c>
      <c r="C2337" s="2" t="s">
        <v>3310</v>
      </c>
    </row>
    <row r="2338" customFormat="false" ht="12.75" hidden="false" customHeight="true" outlineLevel="0" collapsed="false">
      <c r="A2338" s="3" t="s">
        <v>3310</v>
      </c>
      <c r="B2338" s="3" t="str">
        <f aca="false">IF(ISNUMBER(SEARCH("%", A2338)),RIGHT(A2338,3),A2338)</f>
        <v>2, 4, RATTATA</v>
      </c>
      <c r="C2338" s="2" t="s">
        <v>3310</v>
      </c>
    </row>
    <row r="2339" customFormat="false" ht="12.75" hidden="false" customHeight="true" outlineLevel="0" collapsed="false">
      <c r="A2339" s="3" t="s">
        <v>3311</v>
      </c>
      <c r="B2339" s="3" t="str">
        <f aca="false">IF(ISNUMBER(SEARCH("%", A2339)),RIGHT(A2339,3),A2339)</f>
        <v>2, 4, BELLSPROUT</v>
      </c>
      <c r="C2339" s="2" t="s">
        <v>3311</v>
      </c>
    </row>
    <row r="2340" customFormat="false" ht="12.75" hidden="false" customHeight="true" outlineLevel="0" collapsed="false">
      <c r="A2340" s="3" t="s">
        <v>3311</v>
      </c>
      <c r="B2340" s="3" t="str">
        <f aca="false">IF(ISNUMBER(SEARCH("%", A2340)),RIGHT(A2340,3),A2340)</f>
        <v>2, 4, BELLSPROUT</v>
      </c>
      <c r="C2340" s="2" t="s">
        <v>3311</v>
      </c>
    </row>
    <row r="2341" customFormat="false" ht="12.75" hidden="false" customHeight="true" outlineLevel="0" collapsed="false">
      <c r="A2341" s="3"/>
      <c r="B2341" s="3" t="n">
        <f aca="false">IF(ISNUMBER(SEARCH("%", A2341)),RIGHT(A2341,3),A2341)</f>
        <v>0</v>
      </c>
      <c r="C2341" s="2"/>
    </row>
    <row r="2342" customFormat="false" ht="12.75" hidden="false" customHeight="true" outlineLevel="0" collapsed="false">
      <c r="A2342" s="3" t="s">
        <v>2806</v>
      </c>
      <c r="B2342" s="3" t="str">
        <f aca="false">IF(ISNUMBER(SEARCH("%", A2342)),RIGHT(A2342,3),A2342)</f>
        <v>0.05</v>
      </c>
      <c r="C2342" s="2" t="s">
        <v>2806</v>
      </c>
    </row>
    <row r="2343" customFormat="false" ht="12.75" hidden="false" customHeight="true" outlineLevel="0" collapsed="false">
      <c r="A2343" s="3" t="s">
        <v>3312</v>
      </c>
      <c r="B2343" s="3" t="str">
        <f aca="false">IF(ISNUMBER(SEARCH("%", A2343)),RIGHT(A2343,3),A2343)</f>
        <v>2, 4, ODDISH</v>
      </c>
      <c r="C2343" s="2" t="s">
        <v>3312</v>
      </c>
    </row>
    <row r="2344" customFormat="false" ht="12.75" hidden="false" customHeight="true" outlineLevel="0" collapsed="false">
      <c r="A2344" s="3" t="s">
        <v>3312</v>
      </c>
      <c r="B2344" s="3" t="str">
        <f aca="false">IF(ISNUMBER(SEARCH("%", A2344)),RIGHT(A2344,3),A2344)</f>
        <v>2, 4, ODDISH</v>
      </c>
      <c r="C2344" s="2" t="s">
        <v>3312</v>
      </c>
    </row>
    <row r="2345" customFormat="false" ht="12.75" hidden="false" customHeight="true" outlineLevel="0" collapsed="false">
      <c r="A2345" s="3"/>
      <c r="B2345" s="3" t="n">
        <f aca="false">IF(ISNUMBER(SEARCH("%", A2345)),RIGHT(A2345,3),A2345)</f>
        <v>0</v>
      </c>
      <c r="C2345" s="2"/>
    </row>
    <row r="2346" customFormat="false" ht="12.75" hidden="false" customHeight="true" outlineLevel="0" collapsed="false">
      <c r="A2346" s="3" t="s">
        <v>2809</v>
      </c>
      <c r="B2346" s="3" t="str">
        <f aca="false">IF(ISNUMBER(SEARCH("%", A2346)),RIGHT(A2346,3),A2346)</f>
        <v>0.04</v>
      </c>
      <c r="C2346" s="2" t="s">
        <v>2809</v>
      </c>
    </row>
    <row r="2347" customFormat="false" ht="12.75" hidden="false" customHeight="true" outlineLevel="0" collapsed="false">
      <c r="A2347" s="3" t="s">
        <v>3313</v>
      </c>
      <c r="B2347" s="3" t="str">
        <f aca="false">IF(ISNUMBER(SEARCH("%", A2347)),RIGHT(A2347,3),A2347)</f>
        <v>2, 4, VENONAT</v>
      </c>
      <c r="C2347" s="2" t="s">
        <v>3313</v>
      </c>
    </row>
    <row r="2348" customFormat="false" ht="12.75" hidden="false" customHeight="true" outlineLevel="0" collapsed="false">
      <c r="A2348" s="3" t="s">
        <v>3313</v>
      </c>
      <c r="B2348" s="3" t="str">
        <f aca="false">IF(ISNUMBER(SEARCH("%", A2348)),RIGHT(A2348,3),A2348)</f>
        <v>2, 4, VENONAT</v>
      </c>
      <c r="C2348" s="2" t="s">
        <v>3313</v>
      </c>
    </row>
    <row r="2349" customFormat="false" ht="12.75" hidden="false" customHeight="true" outlineLevel="0" collapsed="false">
      <c r="A2349" s="3"/>
      <c r="B2349" s="3" t="n">
        <f aca="false">IF(ISNUMBER(SEARCH("%", A2349)),RIGHT(A2349,3),A2349)</f>
        <v>0</v>
      </c>
      <c r="C2349" s="2"/>
    </row>
    <row r="2350" customFormat="false" ht="12.75" hidden="false" customHeight="true" outlineLevel="0" collapsed="false">
      <c r="A2350" s="3" t="s">
        <v>2812</v>
      </c>
      <c r="B2350" s="3" t="str">
        <f aca="false">IF(ISNUMBER(SEARCH("%", A2350)),RIGHT(A2350,3),A2350)</f>
        <v>0.01</v>
      </c>
      <c r="C2350" s="2" t="s">
        <v>2812</v>
      </c>
    </row>
    <row r="2351" customFormat="false" ht="12.75" hidden="false" customHeight="true" outlineLevel="0" collapsed="false">
      <c r="A2351" s="3" t="s">
        <v>3314</v>
      </c>
      <c r="B2351" s="3" t="str">
        <f aca="false">IF(ISNUMBER(SEARCH("%", A2351)),RIGHT(A2351,3),A2351)</f>
        <v>3, 3, EEVEE</v>
      </c>
      <c r="C2351" s="2" t="s">
        <v>3314</v>
      </c>
    </row>
    <row r="2352" customFormat="false" ht="12.75" hidden="false" customHeight="true" outlineLevel="0" collapsed="false">
      <c r="A2352" s="3" t="s">
        <v>3315</v>
      </c>
      <c r="B2352" s="3" t="str">
        <f aca="false">IF(ISNUMBER(SEARCH("%", A2352)),RIGHT(A2352,3),A2352)</f>
        <v>3, 3, EEVEE , &lt;null&gt;, &lt;null&gt;, &lt;null&gt;</v>
      </c>
      <c r="C2352" s="2" t="s">
        <v>3315</v>
      </c>
    </row>
    <row r="2353" customFormat="false" ht="12.75" hidden="false" customHeight="true" outlineLevel="0" collapsed="false">
      <c r="A2353" s="3"/>
      <c r="B2353" s="3" t="n">
        <f aca="false">IF(ISNUMBER(SEARCH("%", A2353)),RIGHT(A2353,3),A2353)</f>
        <v>0</v>
      </c>
      <c r="C2353" s="2"/>
    </row>
    <row r="2354" customFormat="false" ht="12.75" hidden="false" customHeight="true" outlineLevel="0" collapsed="false">
      <c r="A2354" s="3" t="s">
        <v>2536</v>
      </c>
      <c r="B2354" s="3" t="str">
        <f aca="false">IF(ISNUMBER(SEARCH("%", A2354)),RIGHT(A2354,3),A2354)</f>
        <v>NEW ROUTE</v>
      </c>
      <c r="C2354" s="2" t="s">
        <v>2536</v>
      </c>
    </row>
    <row r="2355" customFormat="false" ht="12.75" hidden="false" customHeight="true" outlineLevel="0" collapsed="false">
      <c r="A2355" s="3" t="s">
        <v>3316</v>
      </c>
      <c r="B2355" s="3" t="str">
        <f aca="false">IF(ISNUMBER(SEARCH("%", A2355)),RIGHT(A2355,3),A2355)</f>
        <v>3, 20, 0,</v>
      </c>
      <c r="C2355" s="2" t="s">
        <v>3316</v>
      </c>
    </row>
    <row r="2356" customFormat="false" ht="12.75" hidden="false" customHeight="true" outlineLevel="0" collapsed="false">
      <c r="A2356" s="3" t="s">
        <v>2908</v>
      </c>
      <c r="B2356" s="3" t="str">
        <f aca="false">IF(ISNUMBER(SEARCH("%", A2356)),RIGHT(A2356,3),A2356)</f>
        <v>20%</v>
      </c>
      <c r="C2356" s="2" t="s">
        <v>2799</v>
      </c>
    </row>
    <row r="2357" customFormat="false" ht="12.75" hidden="false" customHeight="true" outlineLevel="0" collapsed="false">
      <c r="A2357" s="3" t="s">
        <v>1782</v>
      </c>
      <c r="B2357" s="3" t="str">
        <f aca="false">IF(ISNUMBER(SEARCH("%", A2357)),RIGHT(A2357,3),A2357)</f>
        <v>3, 5, CATERPIE</v>
      </c>
      <c r="C2357" s="2" t="s">
        <v>1782</v>
      </c>
    </row>
    <row r="2358" customFormat="false" ht="12.75" hidden="false" customHeight="true" outlineLevel="0" collapsed="false">
      <c r="A2358" s="3" t="s">
        <v>3317</v>
      </c>
      <c r="B2358" s="3" t="str">
        <f aca="false">IF(ISNUMBER(SEARCH("%", A2358)),RIGHT(A2358,3),A2358)</f>
        <v>3, 5, WEEDLE</v>
      </c>
      <c r="C2358" s="2" t="s">
        <v>3317</v>
      </c>
    </row>
    <row r="2359" customFormat="false" ht="12.75" hidden="false" customHeight="true" outlineLevel="0" collapsed="false">
      <c r="A2359" s="3"/>
      <c r="B2359" s="3" t="n">
        <f aca="false">IF(ISNUMBER(SEARCH("%", A2359)),RIGHT(A2359,3),A2359)</f>
        <v>0</v>
      </c>
      <c r="C2359" s="2"/>
    </row>
    <row r="2360" customFormat="false" ht="12.75" hidden="false" customHeight="true" outlineLevel="0" collapsed="false">
      <c r="A2360" s="3" t="s">
        <v>2801</v>
      </c>
      <c r="B2360" s="3" t="str">
        <f aca="false">IF(ISNUMBER(SEARCH("%", A2360)),RIGHT(A2360,3),A2360)</f>
        <v>0.1</v>
      </c>
      <c r="C2360" s="2" t="s">
        <v>2801</v>
      </c>
    </row>
    <row r="2361" customFormat="false" ht="12.75" hidden="false" customHeight="true" outlineLevel="0" collapsed="false">
      <c r="A2361" s="3" t="s">
        <v>3318</v>
      </c>
      <c r="B2361" s="3" t="str">
        <f aca="false">IF(ISNUMBER(SEARCH("%", A2361)),RIGHT(A2361,3),A2361)</f>
        <v>4, 6, PIDGEY</v>
      </c>
      <c r="C2361" s="2" t="s">
        <v>3318</v>
      </c>
    </row>
    <row r="2362" customFormat="false" ht="12.75" hidden="false" customHeight="true" outlineLevel="0" collapsed="false">
      <c r="A2362" s="3" t="s">
        <v>3319</v>
      </c>
      <c r="B2362" s="3" t="str">
        <f aca="false">IF(ISNUMBER(SEARCH("%", A2362)),RIGHT(A2362,3),A2362)</f>
        <v>4, 6, RATTATA</v>
      </c>
      <c r="C2362" s="2" t="s">
        <v>3319</v>
      </c>
    </row>
    <row r="2363" customFormat="false" ht="12.75" hidden="false" customHeight="true" outlineLevel="0" collapsed="false">
      <c r="A2363" s="3" t="s">
        <v>3319</v>
      </c>
      <c r="B2363" s="3" t="str">
        <f aca="false">IF(ISNUMBER(SEARCH("%", A2363)),RIGHT(A2363,3),A2363)</f>
        <v>4, 6, RATTATA</v>
      </c>
      <c r="C2363" s="2" t="s">
        <v>3319</v>
      </c>
    </row>
    <row r="2364" customFormat="false" ht="12.75" hidden="false" customHeight="true" outlineLevel="0" collapsed="false">
      <c r="A2364" s="3" t="s">
        <v>3318</v>
      </c>
      <c r="B2364" s="3" t="str">
        <f aca="false">IF(ISNUMBER(SEARCH("%", A2364)),RIGHT(A2364,3),A2364)</f>
        <v>4, 6, PIDGEY</v>
      </c>
      <c r="C2364" s="2" t="s">
        <v>3318</v>
      </c>
    </row>
    <row r="2365" customFormat="false" ht="12.75" hidden="false" customHeight="true" outlineLevel="0" collapsed="false">
      <c r="A2365" s="3"/>
      <c r="B2365" s="3" t="n">
        <f aca="false">IF(ISNUMBER(SEARCH("%", A2365)),RIGHT(A2365,3),A2365)</f>
        <v>0</v>
      </c>
      <c r="C2365" s="2"/>
    </row>
    <row r="2366" customFormat="false" ht="12.75" hidden="false" customHeight="true" outlineLevel="0" collapsed="false">
      <c r="A2366" s="3" t="s">
        <v>2806</v>
      </c>
      <c r="B2366" s="3" t="str">
        <f aca="false">IF(ISNUMBER(SEARCH("%", A2366)),RIGHT(A2366,3),A2366)</f>
        <v>0.05</v>
      </c>
      <c r="C2366" s="2" t="s">
        <v>2806</v>
      </c>
    </row>
    <row r="2367" customFormat="false" ht="12.75" hidden="false" customHeight="true" outlineLevel="0" collapsed="false">
      <c r="A2367" s="3" t="s">
        <v>3320</v>
      </c>
      <c r="B2367" s="3" t="str">
        <f aca="false">IF(ISNUMBER(SEARCH("%", A2367)),RIGHT(A2367,3),A2367)</f>
        <v>5, 8, MEOWTH</v>
      </c>
      <c r="C2367" s="2" t="s">
        <v>3320</v>
      </c>
    </row>
    <row r="2368" customFormat="false" ht="12.75" hidden="false" customHeight="true" outlineLevel="0" collapsed="false">
      <c r="A2368" s="3" t="s">
        <v>3321</v>
      </c>
      <c r="B2368" s="3" t="str">
        <f aca="false">IF(ISNUMBER(SEARCH("%", A2368)),RIGHT(A2368,3),A2368)</f>
        <v>5, 8, FARFETCH'D</v>
      </c>
      <c r="C2368" s="2" t="s">
        <v>3321</v>
      </c>
    </row>
    <row r="2369" customFormat="false" ht="12.75" hidden="false" customHeight="true" outlineLevel="0" collapsed="false">
      <c r="A2369" s="3"/>
      <c r="B2369" s="3" t="n">
        <f aca="false">IF(ISNUMBER(SEARCH("%", A2369)),RIGHT(A2369,3),A2369)</f>
        <v>0</v>
      </c>
      <c r="C2369" s="2"/>
    </row>
    <row r="2370" customFormat="false" ht="12.75" hidden="false" customHeight="true" outlineLevel="0" collapsed="false">
      <c r="A2370" s="3" t="s">
        <v>2809</v>
      </c>
      <c r="B2370" s="3" t="str">
        <f aca="false">IF(ISNUMBER(SEARCH("%", A2370)),RIGHT(A2370,3),A2370)</f>
        <v>0.04</v>
      </c>
      <c r="C2370" s="2" t="s">
        <v>2809</v>
      </c>
    </row>
    <row r="2371" customFormat="false" ht="12.75" hidden="false" customHeight="true" outlineLevel="0" collapsed="false">
      <c r="A2371" s="3" t="s">
        <v>3322</v>
      </c>
      <c r="B2371" s="3" t="str">
        <f aca="false">IF(ISNUMBER(SEARCH("%", A2371)),RIGHT(A2371,3),A2371)</f>
        <v>5, 8, MAGNEMITE</v>
      </c>
      <c r="C2371" s="2" t="s">
        <v>3322</v>
      </c>
    </row>
    <row r="2372" customFormat="false" ht="12.75" hidden="false" customHeight="true" outlineLevel="0" collapsed="false">
      <c r="A2372" s="3" t="s">
        <v>3323</v>
      </c>
      <c r="B2372" s="3" t="str">
        <f aca="false">IF(ISNUMBER(SEARCH("%", A2372)),RIGHT(A2372,3),A2372)</f>
        <v>5, 8, GROWLITHE</v>
      </c>
      <c r="C2372" s="2" t="s">
        <v>3323</v>
      </c>
    </row>
    <row r="2373" customFormat="false" ht="12.75" hidden="false" customHeight="true" outlineLevel="0" collapsed="false">
      <c r="A2373" s="3"/>
      <c r="B2373" s="3" t="n">
        <f aca="false">IF(ISNUMBER(SEARCH("%", A2373)),RIGHT(A2373,3),A2373)</f>
        <v>0</v>
      </c>
      <c r="C2373" s="2"/>
    </row>
    <row r="2374" customFormat="false" ht="12.75" hidden="false" customHeight="true" outlineLevel="0" collapsed="false">
      <c r="A2374" s="3" t="s">
        <v>2812</v>
      </c>
      <c r="B2374" s="3" t="str">
        <f aca="false">IF(ISNUMBER(SEARCH("%", A2374)),RIGHT(A2374,3),A2374)</f>
        <v>0.01</v>
      </c>
      <c r="C2374" s="2" t="s">
        <v>2812</v>
      </c>
    </row>
    <row r="2375" customFormat="false" ht="12.75" hidden="false" customHeight="true" outlineLevel="0" collapsed="false">
      <c r="A2375" s="3" t="s">
        <v>3324</v>
      </c>
      <c r="B2375" s="3" t="str">
        <f aca="false">IF(ISNUMBER(SEARCH("%", A2375)),RIGHT(A2375,3),A2375)</f>
        <v>7, 7, MAGNEMITE</v>
      </c>
      <c r="C2375" s="2" t="s">
        <v>3324</v>
      </c>
    </row>
    <row r="2376" customFormat="false" ht="12.75" hidden="false" customHeight="true" outlineLevel="0" collapsed="false">
      <c r="A2376" s="3" t="s">
        <v>3325</v>
      </c>
      <c r="B2376" s="3" t="str">
        <f aca="false">IF(ISNUMBER(SEARCH("%", A2376)),RIGHT(A2376,3),A2376)</f>
        <v>7, 7, GROWLITHE , &lt;null&gt;, &lt;null&gt;, &lt;null&gt;</v>
      </c>
      <c r="C2376" s="2" t="s">
        <v>3325</v>
      </c>
    </row>
    <row r="2377" customFormat="false" ht="12.75" hidden="false" customHeight="true" outlineLevel="0" collapsed="false">
      <c r="A2377" s="3"/>
      <c r="B2377" s="3" t="n">
        <f aca="false">IF(ISNUMBER(SEARCH("%", A2377)),RIGHT(A2377,3),A2377)</f>
        <v>0</v>
      </c>
      <c r="C2377" s="2"/>
    </row>
    <row r="2378" customFormat="false" ht="12.75" hidden="false" customHeight="true" outlineLevel="0" collapsed="false">
      <c r="A2378" s="3" t="s">
        <v>2536</v>
      </c>
      <c r="B2378" s="3" t="str">
        <f aca="false">IF(ISNUMBER(SEARCH("%", A2378)),RIGHT(A2378,3),A2378)</f>
        <v>NEW ROUTE</v>
      </c>
      <c r="C2378" s="2" t="s">
        <v>2536</v>
      </c>
    </row>
    <row r="2379" customFormat="false" ht="12.75" hidden="false" customHeight="true" outlineLevel="0" collapsed="false">
      <c r="A2379" s="3" t="s">
        <v>3326</v>
      </c>
      <c r="B2379" s="3" t="str">
        <f aca="false">IF(ISNUMBER(SEARCH("%", A2379)),RIGHT(A2379,3),A2379)</f>
        <v>3, 21, 0,</v>
      </c>
      <c r="C2379" s="2" t="s">
        <v>3326</v>
      </c>
    </row>
    <row r="2380" customFormat="false" ht="12.75" hidden="false" customHeight="true" outlineLevel="0" collapsed="false">
      <c r="A2380" s="3" t="s">
        <v>2908</v>
      </c>
      <c r="B2380" s="3" t="str">
        <f aca="false">IF(ISNUMBER(SEARCH("%", A2380)),RIGHT(A2380,3),A2380)</f>
        <v>20%</v>
      </c>
      <c r="C2380" s="2" t="s">
        <v>2799</v>
      </c>
    </row>
    <row r="2381" customFormat="false" ht="12.75" hidden="false" customHeight="true" outlineLevel="0" collapsed="false">
      <c r="A2381" s="3" t="s">
        <v>1793</v>
      </c>
      <c r="B2381" s="3" t="str">
        <f aca="false">IF(ISNUMBER(SEARCH("%", A2381)),RIGHT(A2381,3),A2381)</f>
        <v>7, 9, SPEAROW</v>
      </c>
      <c r="C2381" s="2" t="s">
        <v>1793</v>
      </c>
    </row>
    <row r="2382" customFormat="false" ht="12.75" hidden="false" customHeight="true" outlineLevel="0" collapsed="false">
      <c r="A2382" s="3" t="s">
        <v>3327</v>
      </c>
      <c r="B2382" s="3" t="str">
        <f aca="false">IF(ISNUMBER(SEARCH("%", A2382)),RIGHT(A2382,3),A2382)</f>
        <v>7, 9, PIDGEY</v>
      </c>
      <c r="C2382" s="2" t="s">
        <v>3327</v>
      </c>
    </row>
    <row r="2383" customFormat="false" ht="12.75" hidden="false" customHeight="true" outlineLevel="0" collapsed="false">
      <c r="A2383" s="3"/>
      <c r="B2383" s="3" t="n">
        <f aca="false">IF(ISNUMBER(SEARCH("%", A2383)),RIGHT(A2383,3),A2383)</f>
        <v>0</v>
      </c>
      <c r="C2383" s="2"/>
    </row>
    <row r="2384" customFormat="false" ht="12.75" hidden="false" customHeight="true" outlineLevel="0" collapsed="false">
      <c r="A2384" s="3" t="s">
        <v>2801</v>
      </c>
      <c r="B2384" s="3" t="str">
        <f aca="false">IF(ISNUMBER(SEARCH("%", A2384)),RIGHT(A2384,3),A2384)</f>
        <v>0.1</v>
      </c>
      <c r="C2384" s="2" t="s">
        <v>2801</v>
      </c>
    </row>
    <row r="2385" customFormat="false" ht="12.75" hidden="false" customHeight="true" outlineLevel="0" collapsed="false">
      <c r="A2385" s="3" t="s">
        <v>3328</v>
      </c>
      <c r="B2385" s="3" t="str">
        <f aca="false">IF(ISNUMBER(SEARCH("%", A2385)),RIGHT(A2385,3),A2385)</f>
        <v>8, 10, NIDORAN\sf</v>
      </c>
      <c r="C2385" s="2" t="s">
        <v>3328</v>
      </c>
    </row>
    <row r="2386" customFormat="false" ht="12.75" hidden="false" customHeight="true" outlineLevel="0" collapsed="false">
      <c r="A2386" s="3" t="s">
        <v>3329</v>
      </c>
      <c r="B2386" s="3" t="str">
        <f aca="false">IF(ISNUMBER(SEARCH("%", A2386)),RIGHT(A2386,3),A2386)</f>
        <v>8, 10, NIDORAN\sm</v>
      </c>
      <c r="C2386" s="2" t="s">
        <v>3329</v>
      </c>
    </row>
    <row r="2387" customFormat="false" ht="12.75" hidden="false" customHeight="true" outlineLevel="0" collapsed="false">
      <c r="A2387" s="3" t="s">
        <v>3330</v>
      </c>
      <c r="B2387" s="3" t="str">
        <f aca="false">IF(ISNUMBER(SEARCH("%", A2387)),RIGHT(A2387,3),A2387)</f>
        <v>8, 10, EKANS</v>
      </c>
      <c r="C2387" s="2" t="s">
        <v>3330</v>
      </c>
    </row>
    <row r="2388" customFormat="false" ht="12.75" hidden="false" customHeight="true" outlineLevel="0" collapsed="false">
      <c r="A2388" s="3" t="s">
        <v>3331</v>
      </c>
      <c r="B2388" s="3" t="str">
        <f aca="false">IF(ISNUMBER(SEARCH("%", A2388)),RIGHT(A2388,3),A2388)</f>
        <v>8, 10, SANDSHREW</v>
      </c>
      <c r="C2388" s="2" t="s">
        <v>3331</v>
      </c>
    </row>
    <row r="2389" customFormat="false" ht="12.75" hidden="false" customHeight="true" outlineLevel="0" collapsed="false">
      <c r="A2389" s="3"/>
      <c r="B2389" s="3" t="n">
        <f aca="false">IF(ISNUMBER(SEARCH("%", A2389)),RIGHT(A2389,3),A2389)</f>
        <v>0</v>
      </c>
      <c r="C2389" s="2"/>
    </row>
    <row r="2390" customFormat="false" ht="12.75" hidden="false" customHeight="true" outlineLevel="0" collapsed="false">
      <c r="A2390" s="3" t="s">
        <v>2806</v>
      </c>
      <c r="B2390" s="3" t="str">
        <f aca="false">IF(ISNUMBER(SEARCH("%", A2390)),RIGHT(A2390,3),A2390)</f>
        <v>0.05</v>
      </c>
      <c r="C2390" s="2" t="s">
        <v>2806</v>
      </c>
    </row>
    <row r="2391" customFormat="false" ht="12.75" hidden="false" customHeight="true" outlineLevel="0" collapsed="false">
      <c r="A2391" s="3" t="s">
        <v>3332</v>
      </c>
      <c r="B2391" s="3" t="str">
        <f aca="false">IF(ISNUMBER(SEARCH("%", A2391)),RIGHT(A2391,3),A2391)</f>
        <v>9, 10, JIGGLYPUFF</v>
      </c>
      <c r="C2391" s="2" t="s">
        <v>3332</v>
      </c>
    </row>
    <row r="2392" customFormat="false" ht="12.75" hidden="false" customHeight="true" outlineLevel="0" collapsed="false">
      <c r="A2392" s="3" t="s">
        <v>3333</v>
      </c>
      <c r="B2392" s="3" t="str">
        <f aca="false">IF(ISNUMBER(SEARCH("%", A2392)),RIGHT(A2392,3),A2392)</f>
        <v>9, 10, CLEFAIRY</v>
      </c>
      <c r="C2392" s="2" t="s">
        <v>3333</v>
      </c>
    </row>
    <row r="2393" customFormat="false" ht="12.75" hidden="false" customHeight="true" outlineLevel="0" collapsed="false">
      <c r="A2393" s="3"/>
      <c r="B2393" s="3" t="n">
        <f aca="false">IF(ISNUMBER(SEARCH("%", A2393)),RIGHT(A2393,3),A2393)</f>
        <v>0</v>
      </c>
      <c r="C2393" s="2"/>
    </row>
    <row r="2394" customFormat="false" ht="12.75" hidden="false" customHeight="true" outlineLevel="0" collapsed="false">
      <c r="A2394" s="3" t="s">
        <v>2809</v>
      </c>
      <c r="B2394" s="3" t="str">
        <f aca="false">IF(ISNUMBER(SEARCH("%", A2394)),RIGHT(A2394,3),A2394)</f>
        <v>0.04</v>
      </c>
      <c r="C2394" s="2" t="s">
        <v>2809</v>
      </c>
    </row>
    <row r="2395" customFormat="false" ht="12.75" hidden="false" customHeight="true" outlineLevel="0" collapsed="false">
      <c r="A2395" s="3" t="s">
        <v>3334</v>
      </c>
      <c r="B2395" s="3" t="str">
        <f aca="false">IF(ISNUMBER(SEARCH("%", A2395)),RIGHT(A2395,3),A2395)</f>
        <v>9, 11, MACHOP</v>
      </c>
      <c r="C2395" s="2" t="s">
        <v>3334</v>
      </c>
    </row>
    <row r="2396" customFormat="false" ht="12.75" hidden="false" customHeight="true" outlineLevel="0" collapsed="false">
      <c r="A2396" s="3" t="s">
        <v>3334</v>
      </c>
      <c r="B2396" s="3" t="str">
        <f aca="false">IF(ISNUMBER(SEARCH("%", A2396)),RIGHT(A2396,3),A2396)</f>
        <v>9, 11, MACHOP</v>
      </c>
      <c r="C2396" s="2" t="s">
        <v>3334</v>
      </c>
    </row>
    <row r="2397" customFormat="false" ht="12.75" hidden="false" customHeight="true" outlineLevel="0" collapsed="false">
      <c r="A2397" s="3"/>
      <c r="B2397" s="3" t="n">
        <f aca="false">IF(ISNUMBER(SEARCH("%", A2397)),RIGHT(A2397,3),A2397)</f>
        <v>0</v>
      </c>
      <c r="C2397" s="2"/>
    </row>
    <row r="2398" customFormat="false" ht="12.75" hidden="false" customHeight="true" outlineLevel="0" collapsed="false">
      <c r="A2398" s="3" t="s">
        <v>2812</v>
      </c>
      <c r="B2398" s="3" t="str">
        <f aca="false">IF(ISNUMBER(SEARCH("%", A2398)),RIGHT(A2398,3),A2398)</f>
        <v>0.01</v>
      </c>
      <c r="C2398" s="2" t="s">
        <v>2812</v>
      </c>
    </row>
    <row r="2399" customFormat="false" ht="12.75" hidden="false" customHeight="true" outlineLevel="0" collapsed="false">
      <c r="A2399" s="3" t="s">
        <v>3335</v>
      </c>
      <c r="B2399" s="3" t="str">
        <f aca="false">IF(ISNUMBER(SEARCH("%", A2399)),RIGHT(A2399,3),A2399)</f>
        <v>10, 13, NIDORAN\sf</v>
      </c>
      <c r="C2399" s="2" t="s">
        <v>3335</v>
      </c>
    </row>
    <row r="2400" customFormat="false" ht="12.75" hidden="false" customHeight="true" outlineLevel="0" collapsed="false">
      <c r="A2400" s="3" t="s">
        <v>3336</v>
      </c>
      <c r="B2400" s="3" t="str">
        <f aca="false">IF(ISNUMBER(SEARCH("%", A2400)),RIGHT(A2400,3),A2400)</f>
        <v>10, 13, NIDORAN\sm , &lt;null&gt;, &lt;null&gt;, &lt;null&gt;</v>
      </c>
      <c r="C2400" s="2" t="s">
        <v>3336</v>
      </c>
    </row>
    <row r="2401" customFormat="false" ht="12.75" hidden="false" customHeight="true" outlineLevel="0" collapsed="false">
      <c r="A2401" s="3"/>
      <c r="B2401" s="3" t="n">
        <f aca="false">IF(ISNUMBER(SEARCH("%", A2401)),RIGHT(A2401,3),A2401)</f>
        <v>0</v>
      </c>
      <c r="C2401" s="2"/>
    </row>
    <row r="2402" customFormat="false" ht="12.75" hidden="false" customHeight="true" outlineLevel="0" collapsed="false">
      <c r="A2402" s="3" t="s">
        <v>2536</v>
      </c>
      <c r="B2402" s="3" t="str">
        <f aca="false">IF(ISNUMBER(SEARCH("%", A2402)),RIGHT(A2402,3),A2402)</f>
        <v>NEW ROUTE</v>
      </c>
      <c r="C2402" s="2" t="s">
        <v>2536</v>
      </c>
    </row>
    <row r="2403" customFormat="false" ht="12.75" hidden="false" customHeight="true" outlineLevel="0" collapsed="false">
      <c r="A2403" s="3" t="s">
        <v>3337</v>
      </c>
      <c r="B2403" s="3" t="str">
        <f aca="false">IF(ISNUMBER(SEARCH("%", A2403)),RIGHT(A2403,3),A2403)</f>
        <v>3, 22, 0,</v>
      </c>
      <c r="C2403" s="2" t="s">
        <v>3337</v>
      </c>
    </row>
    <row r="2404" customFormat="false" ht="12.75" hidden="false" customHeight="true" outlineLevel="0" collapsed="false">
      <c r="A2404" s="3" t="s">
        <v>2908</v>
      </c>
      <c r="B2404" s="3" t="str">
        <f aca="false">IF(ISNUMBER(SEARCH("%", A2404)),RIGHT(A2404,3),A2404)</f>
        <v>20%</v>
      </c>
      <c r="C2404" s="2" t="s">
        <v>2799</v>
      </c>
    </row>
    <row r="2405" customFormat="false" ht="12.75" hidden="false" customHeight="true" outlineLevel="0" collapsed="false">
      <c r="A2405" s="3" t="s">
        <v>1805</v>
      </c>
      <c r="B2405" s="3" t="str">
        <f aca="false">IF(ISNUMBER(SEARCH("%", A2405)),RIGHT(A2405,3),A2405)</f>
        <v>13, 16, RATTATA</v>
      </c>
      <c r="C2405" s="2" t="s">
        <v>1805</v>
      </c>
    </row>
    <row r="2406" customFormat="false" ht="12.75" hidden="false" customHeight="true" outlineLevel="0" collapsed="false">
      <c r="A2406" s="3" t="s">
        <v>3338</v>
      </c>
      <c r="B2406" s="3" t="str">
        <f aca="false">IF(ISNUMBER(SEARCH("%", A2406)),RIGHT(A2406,3),A2406)</f>
        <v>13, 16, SPEAROW</v>
      </c>
      <c r="C2406" s="2" t="s">
        <v>3338</v>
      </c>
    </row>
    <row r="2407" customFormat="false" ht="12.75" hidden="false" customHeight="true" outlineLevel="0" collapsed="false">
      <c r="A2407" s="3"/>
      <c r="B2407" s="3" t="n">
        <f aca="false">IF(ISNUMBER(SEARCH("%", A2407)),RIGHT(A2407,3),A2407)</f>
        <v>0</v>
      </c>
      <c r="C2407" s="2"/>
    </row>
    <row r="2408" customFormat="false" ht="12.75" hidden="false" customHeight="true" outlineLevel="0" collapsed="false">
      <c r="A2408" s="3" t="s">
        <v>2801</v>
      </c>
      <c r="B2408" s="3" t="str">
        <f aca="false">IF(ISNUMBER(SEARCH("%", A2408)),RIGHT(A2408,3),A2408)</f>
        <v>0.1</v>
      </c>
      <c r="C2408" s="2" t="s">
        <v>2801</v>
      </c>
    </row>
    <row r="2409" customFormat="false" ht="12.75" hidden="false" customHeight="true" outlineLevel="0" collapsed="false">
      <c r="A2409" s="3" t="s">
        <v>3339</v>
      </c>
      <c r="B2409" s="3" t="str">
        <f aca="false">IF(ISNUMBER(SEARCH("%", A2409)),RIGHT(A2409,3),A2409)</f>
        <v>14, 16, PSYDUCK</v>
      </c>
      <c r="C2409" s="2" t="s">
        <v>3339</v>
      </c>
    </row>
    <row r="2410" customFormat="false" ht="12.75" hidden="false" customHeight="true" outlineLevel="0" collapsed="false">
      <c r="A2410" s="3" t="s">
        <v>3340</v>
      </c>
      <c r="B2410" s="3" t="str">
        <f aca="false">IF(ISNUMBER(SEARCH("%", A2410)),RIGHT(A2410,3),A2410)</f>
        <v>14, 16, NIDORAN\sm</v>
      </c>
      <c r="C2410" s="2" t="s">
        <v>3340</v>
      </c>
    </row>
    <row r="2411" customFormat="false" ht="12.75" hidden="false" customHeight="true" outlineLevel="0" collapsed="false">
      <c r="A2411" s="3" t="s">
        <v>3341</v>
      </c>
      <c r="B2411" s="3" t="str">
        <f aca="false">IF(ISNUMBER(SEARCH("%", A2411)),RIGHT(A2411,3),A2411)</f>
        <v>14, 16, NIDORAN\sf</v>
      </c>
      <c r="C2411" s="2" t="s">
        <v>3341</v>
      </c>
    </row>
    <row r="2412" customFormat="false" ht="12.75" hidden="false" customHeight="true" outlineLevel="0" collapsed="false">
      <c r="A2412" s="3" t="s">
        <v>3342</v>
      </c>
      <c r="B2412" s="3" t="str">
        <f aca="false">IF(ISNUMBER(SEARCH("%", A2412)),RIGHT(A2412,3),A2412)</f>
        <v>14, 16, EKANS</v>
      </c>
      <c r="C2412" s="2" t="s">
        <v>3342</v>
      </c>
    </row>
    <row r="2413" customFormat="false" ht="12.75" hidden="false" customHeight="true" outlineLevel="0" collapsed="false">
      <c r="A2413" s="3"/>
      <c r="B2413" s="3" t="n">
        <f aca="false">IF(ISNUMBER(SEARCH("%", A2413)),RIGHT(A2413,3),A2413)</f>
        <v>0</v>
      </c>
      <c r="C2413" s="2"/>
    </row>
    <row r="2414" customFormat="false" ht="12.75" hidden="false" customHeight="true" outlineLevel="0" collapsed="false">
      <c r="A2414" s="3" t="s">
        <v>2806</v>
      </c>
      <c r="B2414" s="3" t="str">
        <f aca="false">IF(ISNUMBER(SEARCH("%", A2414)),RIGHT(A2414,3),A2414)</f>
        <v>0.05</v>
      </c>
      <c r="C2414" s="2" t="s">
        <v>2806</v>
      </c>
    </row>
    <row r="2415" customFormat="false" ht="12.75" hidden="false" customHeight="true" outlineLevel="0" collapsed="false">
      <c r="A2415" s="3" t="s">
        <v>3343</v>
      </c>
      <c r="B2415" s="3" t="str">
        <f aca="false">IF(ISNUMBER(SEARCH("%", A2415)),RIGHT(A2415,3),A2415)</f>
        <v>15, 15, JIGGLYPUFF</v>
      </c>
      <c r="C2415" s="2" t="s">
        <v>3343</v>
      </c>
    </row>
    <row r="2416" customFormat="false" ht="12.75" hidden="false" customHeight="true" outlineLevel="0" collapsed="false">
      <c r="A2416" s="3" t="s">
        <v>3344</v>
      </c>
      <c r="B2416" s="3" t="str">
        <f aca="false">IF(ISNUMBER(SEARCH("%", A2416)),RIGHT(A2416,3),A2416)</f>
        <v>15, 15, CLEFAIRY</v>
      </c>
      <c r="C2416" s="2" t="s">
        <v>3344</v>
      </c>
    </row>
    <row r="2417" customFormat="false" ht="12.75" hidden="false" customHeight="true" outlineLevel="0" collapsed="false">
      <c r="A2417" s="3"/>
      <c r="B2417" s="3" t="n">
        <f aca="false">IF(ISNUMBER(SEARCH("%", A2417)),RIGHT(A2417,3),A2417)</f>
        <v>0</v>
      </c>
      <c r="C2417" s="2"/>
    </row>
    <row r="2418" customFormat="false" ht="12.75" hidden="false" customHeight="true" outlineLevel="0" collapsed="false">
      <c r="A2418" s="3" t="s">
        <v>2809</v>
      </c>
      <c r="B2418" s="3" t="str">
        <f aca="false">IF(ISNUMBER(SEARCH("%", A2418)),RIGHT(A2418,3),A2418)</f>
        <v>0.04</v>
      </c>
      <c r="C2418" s="2" t="s">
        <v>2809</v>
      </c>
    </row>
    <row r="2419" customFormat="false" ht="12.75" hidden="false" customHeight="true" outlineLevel="0" collapsed="false">
      <c r="A2419" s="3" t="s">
        <v>3345</v>
      </c>
      <c r="B2419" s="3" t="str">
        <f aca="false">IF(ISNUMBER(SEARCH("%", A2419)),RIGHT(A2419,3),A2419)</f>
        <v>13, 18, MANKEY</v>
      </c>
      <c r="C2419" s="2" t="s">
        <v>3345</v>
      </c>
    </row>
    <row r="2420" customFormat="false" ht="12.75" hidden="false" customHeight="true" outlineLevel="0" collapsed="false">
      <c r="A2420" s="3" t="s">
        <v>3346</v>
      </c>
      <c r="B2420" s="3" t="str">
        <f aca="false">IF(ISNUMBER(SEARCH("%", A2420)),RIGHT(A2420,3),A2420)</f>
        <v>13, 18, MACHOP</v>
      </c>
      <c r="C2420" s="2" t="s">
        <v>3346</v>
      </c>
    </row>
    <row r="2421" customFormat="false" ht="12.75" hidden="false" customHeight="true" outlineLevel="0" collapsed="false">
      <c r="A2421" s="3"/>
      <c r="B2421" s="3" t="n">
        <f aca="false">IF(ISNUMBER(SEARCH("%", A2421)),RIGHT(A2421,3),A2421)</f>
        <v>0</v>
      </c>
      <c r="C2421" s="2"/>
    </row>
    <row r="2422" customFormat="false" ht="12.75" hidden="false" customHeight="true" outlineLevel="0" collapsed="false">
      <c r="A2422" s="3" t="s">
        <v>2812</v>
      </c>
      <c r="B2422" s="3" t="str">
        <f aca="false">IF(ISNUMBER(SEARCH("%", A2422)),RIGHT(A2422,3),A2422)</f>
        <v>0.01</v>
      </c>
      <c r="C2422" s="2" t="s">
        <v>2812</v>
      </c>
    </row>
    <row r="2423" customFormat="false" ht="12.75" hidden="false" customHeight="true" outlineLevel="0" collapsed="false">
      <c r="A2423" s="3" t="s">
        <v>3347</v>
      </c>
      <c r="B2423" s="3" t="str">
        <f aca="false">IF(ISNUMBER(SEARCH("%", A2423)),RIGHT(A2423,3),A2423)</f>
        <v>16, 16, NIDORINO</v>
      </c>
      <c r="C2423" s="2" t="s">
        <v>3347</v>
      </c>
    </row>
    <row r="2424" customFormat="false" ht="12.75" hidden="false" customHeight="true" outlineLevel="0" collapsed="false">
      <c r="A2424" s="3" t="s">
        <v>3348</v>
      </c>
      <c r="B2424" s="3" t="str">
        <f aca="false">IF(ISNUMBER(SEARCH("%", A2424)),RIGHT(A2424,3),A2424)</f>
        <v>16, 16, NIDORINA</v>
      </c>
      <c r="C2424" s="2" t="s">
        <v>3348</v>
      </c>
    </row>
    <row r="2425" customFormat="false" ht="12.75" hidden="false" customHeight="true" outlineLevel="0" collapsed="false">
      <c r="A2425" s="3" t="s">
        <v>3349</v>
      </c>
      <c r="B2425" s="3" t="str">
        <f aca="false">IF(ISNUMBER(SEARCH("%", A2425)),RIGHT(A2425,3),A2425)</f>
        <v>2, 38, 42, TENTACOOL</v>
      </c>
      <c r="C2425" s="2" t="s">
        <v>3349</v>
      </c>
    </row>
    <row r="2426" customFormat="false" ht="12.75" hidden="false" customHeight="true" outlineLevel="0" collapsed="false">
      <c r="A2426" s="3" t="s">
        <v>3350</v>
      </c>
      <c r="B2426" s="3" t="str">
        <f aca="false">IF(ISNUMBER(SEARCH("%", A2426)),RIGHT(A2426,3),A2426)</f>
        <v>40, 44, PSYDUCK</v>
      </c>
      <c r="C2426" s="2" t="s">
        <v>3350</v>
      </c>
    </row>
    <row r="2427" customFormat="false" ht="12.75" hidden="false" customHeight="true" outlineLevel="0" collapsed="false">
      <c r="A2427" s="3" t="s">
        <v>3351</v>
      </c>
      <c r="B2427" s="3" t="str">
        <f aca="false">IF(ISNUMBER(SEARCH("%", A2427)),RIGHT(A2427,3),A2427)</f>
        <v>42, 46, TENTACRUEL</v>
      </c>
      <c r="C2427" s="2" t="s">
        <v>3351</v>
      </c>
    </row>
    <row r="2428" customFormat="false" ht="12.75" hidden="false" customHeight="true" outlineLevel="0" collapsed="false">
      <c r="A2428" s="3" t="s">
        <v>2923</v>
      </c>
      <c r="B2428" s="3" t="str">
        <f aca="false">IF(ISNUMBER(SEARCH("%", A2428)),RIGHT(A2428,3),A2428)</f>
        <v>42, 46, GOLDUCK</v>
      </c>
      <c r="C2428" s="2" t="s">
        <v>2923</v>
      </c>
    </row>
    <row r="2429" customFormat="false" ht="12.75" hidden="false" customHeight="true" outlineLevel="0" collapsed="false">
      <c r="A2429" s="3" t="s">
        <v>2924</v>
      </c>
      <c r="B2429" s="3" t="str">
        <f aca="false">IF(ISNUMBER(SEARCH("%", A2429)),RIGHT(A2429,3),A2429)</f>
        <v>44, 48, VAPOREON</v>
      </c>
      <c r="C2429" s="2" t="s">
        <v>2924</v>
      </c>
    </row>
    <row r="2430" customFormat="false" ht="12.75" hidden="false" customHeight="true" outlineLevel="0" collapsed="false">
      <c r="A2430" s="3" t="s">
        <v>2925</v>
      </c>
      <c r="B2430" s="3" t="str">
        <f aca="false">IF(ISNUMBER(SEARCH("%", A2430)),RIGHT(A2430,3),A2430)</f>
        <v>20, old rod:</v>
      </c>
      <c r="C2430" s="2" t="s">
        <v>2925</v>
      </c>
    </row>
    <row r="2431" customFormat="false" ht="12.75" hidden="false" customHeight="true" outlineLevel="0" collapsed="false">
      <c r="A2431" s="3" t="s">
        <v>1349</v>
      </c>
      <c r="B2431" s="3" t="str">
        <f aca="false">IF(ISNUMBER(SEARCH("%", A2431)),RIGHT(A2431,3),A2431)</f>
        <v>19, 26, MAGIKARP</v>
      </c>
      <c r="C2431" s="2" t="s">
        <v>1349</v>
      </c>
    </row>
    <row r="2432" customFormat="false" ht="12.75" hidden="false" customHeight="true" outlineLevel="0" collapsed="false">
      <c r="A2432" s="3" t="s">
        <v>3352</v>
      </c>
      <c r="B2432" s="3" t="str">
        <f aca="false">IF(ISNUMBER(SEARCH("%", A2432)),RIGHT(A2432,3),A2432)</f>
        <v>19, 26, GYARADOS</v>
      </c>
      <c r="C2432" s="2" t="s">
        <v>3352</v>
      </c>
    </row>
    <row r="2433" customFormat="false" ht="12.75" hidden="false" customHeight="true" outlineLevel="0" collapsed="false">
      <c r="A2433" s="3"/>
      <c r="B2433" s="3" t="n">
        <f aca="false">IF(ISNUMBER(SEARCH("%", A2433)),RIGHT(A2433,3),A2433)</f>
        <v>0</v>
      </c>
      <c r="C2433" s="2"/>
    </row>
    <row r="2434" customFormat="false" ht="12.75" hidden="false" customHeight="true" outlineLevel="0" collapsed="false">
      <c r="A2434" s="3" t="s">
        <v>2846</v>
      </c>
      <c r="B2434" s="3" t="str">
        <f aca="false">IF(ISNUMBER(SEARCH("%", A2434)),RIGHT(A2434,3),A2434)</f>
        <v>good rod:</v>
      </c>
      <c r="C2434" s="2" t="s">
        <v>2846</v>
      </c>
    </row>
    <row r="2435" customFormat="false" ht="12.75" hidden="false" customHeight="true" outlineLevel="0" collapsed="false">
      <c r="A2435" s="3" t="s">
        <v>3353</v>
      </c>
      <c r="B2435" s="3" t="str">
        <f aca="false">IF(ISNUMBER(SEARCH("%", A2435)),RIGHT(A2435,3),A2435)</f>
        <v>29, 33, SLOWPOKE</v>
      </c>
      <c r="C2435" s="2" t="s">
        <v>3353</v>
      </c>
    </row>
    <row r="2436" customFormat="false" ht="12.75" hidden="false" customHeight="true" outlineLevel="0" collapsed="false">
      <c r="A2436" s="3" t="s">
        <v>3027</v>
      </c>
      <c r="B2436" s="3" t="str">
        <f aca="false">IF(ISNUMBER(SEARCH("%", A2436)),RIGHT(A2436,3),A2436)</f>
        <v>30, 35, KRABBY</v>
      </c>
      <c r="C2436" s="2" t="s">
        <v>3027</v>
      </c>
    </row>
    <row r="2437" customFormat="false" ht="12.75" hidden="false" customHeight="true" outlineLevel="0" collapsed="false">
      <c r="A2437" s="3" t="s">
        <v>3354</v>
      </c>
      <c r="B2437" s="3" t="str">
        <f aca="false">IF(ISNUMBER(SEARCH("%", A2437)),RIGHT(A2437,3),A2437)</f>
        <v>30, 35, PSYDUCK</v>
      </c>
      <c r="C2437" s="2" t="s">
        <v>3354</v>
      </c>
    </row>
    <row r="2438" customFormat="false" ht="12.75" hidden="false" customHeight="true" outlineLevel="0" collapsed="false">
      <c r="A2438" s="3"/>
      <c r="B2438" s="3" t="n">
        <f aca="false">IF(ISNUMBER(SEARCH("%", A2438)),RIGHT(A2438,3),A2438)</f>
        <v>0</v>
      </c>
      <c r="C2438" s="2"/>
    </row>
    <row r="2439" customFormat="false" ht="12.75" hidden="false" customHeight="true" outlineLevel="0" collapsed="false">
      <c r="A2439" s="3" t="s">
        <v>2850</v>
      </c>
      <c r="B2439" s="3" t="str">
        <f aca="false">IF(ISNUMBER(SEARCH("%", A2439)),RIGHT(A2439,3),A2439)</f>
        <v>super rod:</v>
      </c>
      <c r="C2439" s="2" t="s">
        <v>2850</v>
      </c>
    </row>
    <row r="2440" customFormat="false" ht="12.75" hidden="false" customHeight="true" outlineLevel="0" collapsed="false">
      <c r="A2440" s="3" t="s">
        <v>3355</v>
      </c>
      <c r="B2440" s="3" t="str">
        <f aca="false">IF(ISNUMBER(SEARCH("%", A2440)),RIGHT(A2440,3),A2440)</f>
        <v>36, 40, SLOWBRO</v>
      </c>
      <c r="C2440" s="2" t="s">
        <v>3355</v>
      </c>
    </row>
    <row r="2441" customFormat="false" ht="12.75" hidden="false" customHeight="true" outlineLevel="0" collapsed="false">
      <c r="A2441" s="3" t="s">
        <v>3356</v>
      </c>
      <c r="B2441" s="3" t="str">
        <f aca="false">IF(ISNUMBER(SEARCH("%", A2441)),RIGHT(A2441,3),A2441)</f>
        <v>36, 40, GYARADOS</v>
      </c>
      <c r="C2441" s="2" t="s">
        <v>3356</v>
      </c>
    </row>
    <row r="2442" customFormat="false" ht="12.75" hidden="false" customHeight="true" outlineLevel="0" collapsed="false">
      <c r="A2442" s="3" t="s">
        <v>3357</v>
      </c>
      <c r="B2442" s="3" t="str">
        <f aca="false">IF(ISNUMBER(SEARCH("%", A2442)),RIGHT(A2442,3),A2442)</f>
        <v>38, 42, GOLDUCK</v>
      </c>
      <c r="C2442" s="2" t="s">
        <v>3357</v>
      </c>
    </row>
    <row r="2443" customFormat="false" ht="12.75" hidden="false" customHeight="true" outlineLevel="0" collapsed="false">
      <c r="A2443" s="3" t="s">
        <v>3358</v>
      </c>
      <c r="B2443" s="3" t="str">
        <f aca="false">IF(ISNUMBER(SEARCH("%", A2443)),RIGHT(A2443,3),A2443)</f>
        <v>38, 42, KINGLER</v>
      </c>
      <c r="C2443" s="2" t="s">
        <v>3358</v>
      </c>
    </row>
    <row r="2444" customFormat="false" ht="12.75" hidden="false" customHeight="true" outlineLevel="0" collapsed="false">
      <c r="A2444" s="3" t="s">
        <v>3359</v>
      </c>
      <c r="B2444" s="3" t="str">
        <f aca="false">IF(ISNUMBER(SEARCH("%", A2444)),RIGHT(A2444,3),A2444)</f>
        <v>40, 44, SLOWMATE</v>
      </c>
      <c r="C2444" s="2" t="s">
        <v>3359</v>
      </c>
    </row>
    <row r="2445" customFormat="false" ht="12.75" hidden="false" customHeight="true" outlineLevel="0" collapsed="false">
      <c r="A2445" s="3" t="s">
        <v>2536</v>
      </c>
      <c r="B2445" s="3" t="str">
        <f aca="false">IF(ISNUMBER(SEARCH("%", A2445)),RIGHT(A2445,3),A2445)</f>
        <v>NEW ROUTE</v>
      </c>
      <c r="C2445" s="2" t="s">
        <v>2536</v>
      </c>
    </row>
    <row r="2446" customFormat="false" ht="12.75" hidden="false" customHeight="true" outlineLevel="0" collapsed="false">
      <c r="A2446" s="3" t="s">
        <v>3360</v>
      </c>
      <c r="B2446" s="3" t="str">
        <f aca="false">IF(ISNUMBER(SEARCH("%", A2446)),RIGHT(A2446,3),A2446)</f>
        <v>3, 23, 0,</v>
      </c>
      <c r="C2446" s="2" t="s">
        <v>3360</v>
      </c>
    </row>
    <row r="2447" customFormat="false" ht="12.75" hidden="false" customHeight="true" outlineLevel="0" collapsed="false">
      <c r="A2447" s="3" t="s">
        <v>2908</v>
      </c>
      <c r="B2447" s="3" t="str">
        <f aca="false">IF(ISNUMBER(SEARCH("%", A2447)),RIGHT(A2447,3),A2447)</f>
        <v>20%</v>
      </c>
      <c r="C2447" s="2" t="s">
        <v>2799</v>
      </c>
    </row>
    <row r="2448" customFormat="false" ht="12.75" hidden="false" customHeight="true" outlineLevel="0" collapsed="false">
      <c r="A2448" s="3" t="s">
        <v>1828</v>
      </c>
      <c r="B2448" s="3" t="str">
        <f aca="false">IF(ISNUMBER(SEARCH("%", A2448)),RIGHT(A2448,3),A2448)</f>
        <v>15, 17, PIDGEY</v>
      </c>
      <c r="C2448" s="2" t="s">
        <v>1828</v>
      </c>
    </row>
    <row r="2449" customFormat="false" ht="12.75" hidden="false" customHeight="true" outlineLevel="0" collapsed="false">
      <c r="A2449" s="3" t="s">
        <v>3361</v>
      </c>
      <c r="B2449" s="3" t="str">
        <f aca="false">IF(ISNUMBER(SEARCH("%", A2449)),RIGHT(A2449,3),A2449)</f>
        <v>15, 17, MEOWTH</v>
      </c>
      <c r="C2449" s="2" t="s">
        <v>3361</v>
      </c>
    </row>
    <row r="2450" customFormat="false" ht="12.75" hidden="false" customHeight="true" outlineLevel="0" collapsed="false">
      <c r="A2450" s="3"/>
      <c r="B2450" s="3" t="n">
        <f aca="false">IF(ISNUMBER(SEARCH("%", A2450)),RIGHT(A2450,3),A2450)</f>
        <v>0</v>
      </c>
      <c r="C2450" s="2"/>
    </row>
    <row r="2451" customFormat="false" ht="12.75" hidden="false" customHeight="true" outlineLevel="0" collapsed="false">
      <c r="A2451" s="3" t="s">
        <v>2801</v>
      </c>
      <c r="B2451" s="3" t="str">
        <f aca="false">IF(ISNUMBER(SEARCH("%", A2451)),RIGHT(A2451,3),A2451)</f>
        <v>0.1</v>
      </c>
      <c r="C2451" s="2" t="s">
        <v>2801</v>
      </c>
    </row>
    <row r="2452" customFormat="false" ht="12.75" hidden="false" customHeight="true" outlineLevel="0" collapsed="false">
      <c r="A2452" s="3" t="s">
        <v>3362</v>
      </c>
      <c r="B2452" s="3" t="str">
        <f aca="false">IF(ISNUMBER(SEARCH("%", A2452)),RIGHT(A2452,3),A2452)</f>
        <v>16, 19, ODDISH</v>
      </c>
      <c r="C2452" s="2" t="s">
        <v>3362</v>
      </c>
    </row>
    <row r="2453" customFormat="false" ht="12.75" hidden="false" customHeight="true" outlineLevel="0" collapsed="false">
      <c r="A2453" s="3" t="s">
        <v>3363</v>
      </c>
      <c r="B2453" s="3" t="str">
        <f aca="false">IF(ISNUMBER(SEARCH("%", A2453)),RIGHT(A2453,3),A2453)</f>
        <v>16, 19, BELLSPROUT</v>
      </c>
      <c r="C2453" s="2" t="s">
        <v>3363</v>
      </c>
    </row>
    <row r="2454" customFormat="false" ht="12.75" hidden="false" customHeight="true" outlineLevel="0" collapsed="false">
      <c r="A2454" s="3" t="s">
        <v>3364</v>
      </c>
      <c r="B2454" s="3" t="str">
        <f aca="false">IF(ISNUMBER(SEARCH("%", A2454)),RIGHT(A2454,3),A2454)</f>
        <v>16, 19, EKANS</v>
      </c>
      <c r="C2454" s="2" t="s">
        <v>3364</v>
      </c>
    </row>
    <row r="2455" customFormat="false" ht="12.75" hidden="false" customHeight="true" outlineLevel="0" collapsed="false">
      <c r="A2455" s="3" t="s">
        <v>3365</v>
      </c>
      <c r="B2455" s="3" t="str">
        <f aca="false">IF(ISNUMBER(SEARCH("%", A2455)),RIGHT(A2455,3),A2455)</f>
        <v>16, 19, PARAS</v>
      </c>
      <c r="C2455" s="2" t="s">
        <v>3365</v>
      </c>
    </row>
    <row r="2456" customFormat="false" ht="12.75" hidden="false" customHeight="true" outlineLevel="0" collapsed="false">
      <c r="A2456" s="3"/>
      <c r="B2456" s="3" t="n">
        <f aca="false">IF(ISNUMBER(SEARCH("%", A2456)),RIGHT(A2456,3),A2456)</f>
        <v>0</v>
      </c>
      <c r="C2456" s="2"/>
    </row>
    <row r="2457" customFormat="false" ht="12.75" hidden="false" customHeight="true" outlineLevel="0" collapsed="false">
      <c r="A2457" s="3" t="s">
        <v>2806</v>
      </c>
      <c r="B2457" s="3" t="str">
        <f aca="false">IF(ISNUMBER(SEARCH("%", A2457)),RIGHT(A2457,3),A2457)</f>
        <v>0.05</v>
      </c>
      <c r="C2457" s="2" t="s">
        <v>2806</v>
      </c>
    </row>
    <row r="2458" customFormat="false" ht="12.75" hidden="false" customHeight="true" outlineLevel="0" collapsed="false">
      <c r="A2458" s="3" t="s">
        <v>3366</v>
      </c>
      <c r="B2458" s="3" t="str">
        <f aca="false">IF(ISNUMBER(SEARCH("%", A2458)),RIGHT(A2458,3),A2458)</f>
        <v>17, 17, VULPIX</v>
      </c>
      <c r="C2458" s="2" t="s">
        <v>3366</v>
      </c>
    </row>
    <row r="2459" customFormat="false" ht="12.75" hidden="false" customHeight="true" outlineLevel="0" collapsed="false">
      <c r="A2459" s="3" t="s">
        <v>3367</v>
      </c>
      <c r="B2459" s="3" t="str">
        <f aca="false">IF(ISNUMBER(SEARCH("%", A2459)),RIGHT(A2459,3),A2459)</f>
        <v>17, 17, GROWLITHE</v>
      </c>
      <c r="C2459" s="2" t="s">
        <v>3367</v>
      </c>
    </row>
    <row r="2460" customFormat="false" ht="12.75" hidden="false" customHeight="true" outlineLevel="0" collapsed="false">
      <c r="A2460" s="3"/>
      <c r="B2460" s="3" t="n">
        <f aca="false">IF(ISNUMBER(SEARCH("%", A2460)),RIGHT(A2460,3),A2460)</f>
        <v>0</v>
      </c>
      <c r="C2460" s="2"/>
    </row>
    <row r="2461" customFormat="false" ht="12.75" hidden="false" customHeight="true" outlineLevel="0" collapsed="false">
      <c r="A2461" s="3" t="s">
        <v>2809</v>
      </c>
      <c r="B2461" s="3" t="str">
        <f aca="false">IF(ISNUMBER(SEARCH("%", A2461)),RIGHT(A2461,3),A2461)</f>
        <v>0.04</v>
      </c>
      <c r="C2461" s="2" t="s">
        <v>2809</v>
      </c>
    </row>
    <row r="2462" customFormat="false" ht="12.75" hidden="false" customHeight="true" outlineLevel="0" collapsed="false">
      <c r="A2462" s="3" t="s">
        <v>3368</v>
      </c>
      <c r="B2462" s="3" t="str">
        <f aca="false">IF(ISNUMBER(SEARCH("%", A2462)),RIGHT(A2462,3),A2462)</f>
        <v>16, 18, PIKACHU</v>
      </c>
      <c r="C2462" s="2" t="s">
        <v>3368</v>
      </c>
    </row>
    <row r="2463" customFormat="false" ht="12.75" hidden="false" customHeight="true" outlineLevel="0" collapsed="false">
      <c r="A2463" s="3" t="s">
        <v>3369</v>
      </c>
      <c r="B2463" s="3" t="str">
        <f aca="false">IF(ISNUMBER(SEARCH("%", A2463)),RIGHT(A2463,3),A2463)</f>
        <v>16, 18, EEVEE</v>
      </c>
      <c r="C2463" s="2" t="s">
        <v>3369</v>
      </c>
    </row>
    <row r="2464" customFormat="false" ht="12.75" hidden="false" customHeight="true" outlineLevel="0" collapsed="false">
      <c r="A2464" s="3"/>
      <c r="B2464" s="3" t="n">
        <f aca="false">IF(ISNUMBER(SEARCH("%", A2464)),RIGHT(A2464,3),A2464)</f>
        <v>0</v>
      </c>
      <c r="C2464" s="2"/>
    </row>
    <row r="2465" customFormat="false" ht="12.75" hidden="false" customHeight="true" outlineLevel="0" collapsed="false">
      <c r="A2465" s="3" t="s">
        <v>2812</v>
      </c>
      <c r="B2465" s="3" t="str">
        <f aca="false">IF(ISNUMBER(SEARCH("%", A2465)),RIGHT(A2465,3),A2465)</f>
        <v>0.01</v>
      </c>
      <c r="C2465" s="2" t="s">
        <v>2812</v>
      </c>
    </row>
    <row r="2466" customFormat="false" ht="12.75" hidden="false" customHeight="true" outlineLevel="0" collapsed="false">
      <c r="A2466" s="3" t="s">
        <v>3370</v>
      </c>
      <c r="B2466" s="3" t="str">
        <f aca="false">IF(ISNUMBER(SEARCH("%", A2466)),RIGHT(A2466,3),A2466)</f>
        <v>20, 20, FEAROW</v>
      </c>
      <c r="C2466" s="2" t="s">
        <v>3370</v>
      </c>
    </row>
    <row r="2467" customFormat="false" ht="12.75" hidden="false" customHeight="true" outlineLevel="0" collapsed="false">
      <c r="A2467" s="3" t="s">
        <v>3371</v>
      </c>
      <c r="B2467" s="3" t="str">
        <f aca="false">IF(ISNUMBER(SEARCH("%", A2467)),RIGHT(A2467,3),A2467)</f>
        <v>20, 20, WEEPINBELL , &lt;null&gt;, &lt;null&gt;, &lt;null&gt;</v>
      </c>
      <c r="C2467" s="2" t="s">
        <v>3371</v>
      </c>
    </row>
    <row r="2468" customFormat="false" ht="12.75" hidden="false" customHeight="true" outlineLevel="0" collapsed="false">
      <c r="A2468" s="3"/>
      <c r="B2468" s="3" t="n">
        <f aca="false">IF(ISNUMBER(SEARCH("%", A2468)),RIGHT(A2468,3),A2468)</f>
        <v>0</v>
      </c>
      <c r="C2468" s="2"/>
    </row>
    <row r="2469" customFormat="false" ht="12.75" hidden="false" customHeight="true" outlineLevel="0" collapsed="false">
      <c r="A2469" s="3" t="s">
        <v>2536</v>
      </c>
      <c r="B2469" s="3" t="str">
        <f aca="false">IF(ISNUMBER(SEARCH("%", A2469)),RIGHT(A2469,3),A2469)</f>
        <v>NEW ROUTE</v>
      </c>
      <c r="C2469" s="2" t="s">
        <v>2536</v>
      </c>
    </row>
    <row r="2470" customFormat="false" ht="12.75" hidden="false" customHeight="true" outlineLevel="0" collapsed="false">
      <c r="A2470" s="3" t="s">
        <v>3372</v>
      </c>
      <c r="B2470" s="3" t="str">
        <f aca="false">IF(ISNUMBER(SEARCH("%", A2470)),RIGHT(A2470,3),A2470)</f>
        <v>3, 24, 0,</v>
      </c>
      <c r="C2470" s="2" t="s">
        <v>3372</v>
      </c>
    </row>
    <row r="2471" customFormat="false" ht="12.75" hidden="false" customHeight="true" outlineLevel="0" collapsed="false">
      <c r="A2471" s="3" t="s">
        <v>2908</v>
      </c>
      <c r="B2471" s="3" t="str">
        <f aca="false">IF(ISNUMBER(SEARCH("%", A2471)),RIGHT(A2471,3),A2471)</f>
        <v>20%</v>
      </c>
      <c r="C2471" s="2" t="s">
        <v>2799</v>
      </c>
    </row>
    <row r="2472" customFormat="false" ht="12.75" hidden="false" customHeight="true" outlineLevel="0" collapsed="false">
      <c r="A2472" s="3" t="s">
        <v>1828</v>
      </c>
      <c r="B2472" s="3" t="str">
        <f aca="false">IF(ISNUMBER(SEARCH("%", A2472)),RIGHT(A2472,3),A2472)</f>
        <v>15, 17, PIDGEY</v>
      </c>
      <c r="C2472" s="2" t="s">
        <v>1828</v>
      </c>
    </row>
    <row r="2473" customFormat="false" ht="12.75" hidden="false" customHeight="true" outlineLevel="0" collapsed="false">
      <c r="A2473" s="3" t="s">
        <v>3361</v>
      </c>
      <c r="B2473" s="3" t="str">
        <f aca="false">IF(ISNUMBER(SEARCH("%", A2473)),RIGHT(A2473,3),A2473)</f>
        <v>15, 17, MEOWTH</v>
      </c>
      <c r="C2473" s="2" t="s">
        <v>3361</v>
      </c>
    </row>
    <row r="2474" customFormat="false" ht="12.75" hidden="false" customHeight="true" outlineLevel="0" collapsed="false">
      <c r="A2474" s="3"/>
      <c r="B2474" s="3" t="n">
        <f aca="false">IF(ISNUMBER(SEARCH("%", A2474)),RIGHT(A2474,3),A2474)</f>
        <v>0</v>
      </c>
      <c r="C2474" s="2"/>
    </row>
    <row r="2475" customFormat="false" ht="12.75" hidden="false" customHeight="true" outlineLevel="0" collapsed="false">
      <c r="A2475" s="3" t="s">
        <v>2801</v>
      </c>
      <c r="B2475" s="3" t="str">
        <f aca="false">IF(ISNUMBER(SEARCH("%", A2475)),RIGHT(A2475,3),A2475)</f>
        <v>0.1</v>
      </c>
      <c r="C2475" s="2" t="s">
        <v>2801</v>
      </c>
    </row>
    <row r="2476" customFormat="false" ht="12.75" hidden="false" customHeight="true" outlineLevel="0" collapsed="false">
      <c r="A2476" s="3" t="s">
        <v>3362</v>
      </c>
      <c r="B2476" s="3" t="str">
        <f aca="false">IF(ISNUMBER(SEARCH("%", A2476)),RIGHT(A2476,3),A2476)</f>
        <v>16, 19, ODDISH</v>
      </c>
      <c r="C2476" s="2" t="s">
        <v>3362</v>
      </c>
    </row>
    <row r="2477" customFormat="false" ht="12.75" hidden="false" customHeight="true" outlineLevel="0" collapsed="false">
      <c r="A2477" s="3" t="s">
        <v>3363</v>
      </c>
      <c r="B2477" s="3" t="str">
        <f aca="false">IF(ISNUMBER(SEARCH("%", A2477)),RIGHT(A2477,3),A2477)</f>
        <v>16, 19, BELLSPROUT</v>
      </c>
      <c r="C2477" s="2" t="s">
        <v>3363</v>
      </c>
    </row>
    <row r="2478" customFormat="false" ht="12.75" hidden="false" customHeight="true" outlineLevel="0" collapsed="false">
      <c r="A2478" s="3" t="s">
        <v>3364</v>
      </c>
      <c r="B2478" s="3" t="str">
        <f aca="false">IF(ISNUMBER(SEARCH("%", A2478)),RIGHT(A2478,3),A2478)</f>
        <v>16, 19, EKANS</v>
      </c>
      <c r="C2478" s="2" t="s">
        <v>3364</v>
      </c>
    </row>
    <row r="2479" customFormat="false" ht="12.75" hidden="false" customHeight="true" outlineLevel="0" collapsed="false">
      <c r="A2479" s="3" t="s">
        <v>3365</v>
      </c>
      <c r="B2479" s="3" t="str">
        <f aca="false">IF(ISNUMBER(SEARCH("%", A2479)),RIGHT(A2479,3),A2479)</f>
        <v>16, 19, PARAS</v>
      </c>
      <c r="C2479" s="2" t="s">
        <v>3365</v>
      </c>
    </row>
    <row r="2480" customFormat="false" ht="12.75" hidden="false" customHeight="true" outlineLevel="0" collapsed="false">
      <c r="A2480" s="3"/>
      <c r="B2480" s="3" t="n">
        <f aca="false">IF(ISNUMBER(SEARCH("%", A2480)),RIGHT(A2480,3),A2480)</f>
        <v>0</v>
      </c>
      <c r="C2480" s="2"/>
    </row>
    <row r="2481" customFormat="false" ht="12.75" hidden="false" customHeight="true" outlineLevel="0" collapsed="false">
      <c r="A2481" s="3" t="s">
        <v>2806</v>
      </c>
      <c r="B2481" s="3" t="str">
        <f aca="false">IF(ISNUMBER(SEARCH("%", A2481)),RIGHT(A2481,3),A2481)</f>
        <v>0.05</v>
      </c>
      <c r="C2481" s="2" t="s">
        <v>2806</v>
      </c>
    </row>
    <row r="2482" customFormat="false" ht="12.75" hidden="false" customHeight="true" outlineLevel="0" collapsed="false">
      <c r="A2482" s="3" t="s">
        <v>3366</v>
      </c>
      <c r="B2482" s="3" t="str">
        <f aca="false">IF(ISNUMBER(SEARCH("%", A2482)),RIGHT(A2482,3),A2482)</f>
        <v>17, 17, VULPIX</v>
      </c>
      <c r="C2482" s="2" t="s">
        <v>3366</v>
      </c>
    </row>
    <row r="2483" customFormat="false" ht="12.75" hidden="false" customHeight="true" outlineLevel="0" collapsed="false">
      <c r="A2483" s="3" t="s">
        <v>3367</v>
      </c>
      <c r="B2483" s="3" t="str">
        <f aca="false">IF(ISNUMBER(SEARCH("%", A2483)),RIGHT(A2483,3),A2483)</f>
        <v>17, 17, GROWLITHE</v>
      </c>
      <c r="C2483" s="2" t="s">
        <v>3367</v>
      </c>
    </row>
    <row r="2484" customFormat="false" ht="12.75" hidden="false" customHeight="true" outlineLevel="0" collapsed="false">
      <c r="A2484" s="3"/>
      <c r="B2484" s="3" t="n">
        <f aca="false">IF(ISNUMBER(SEARCH("%", A2484)),RIGHT(A2484,3),A2484)</f>
        <v>0</v>
      </c>
      <c r="C2484" s="2"/>
    </row>
    <row r="2485" customFormat="false" ht="12.75" hidden="false" customHeight="true" outlineLevel="0" collapsed="false">
      <c r="A2485" s="3" t="s">
        <v>2809</v>
      </c>
      <c r="B2485" s="3" t="str">
        <f aca="false">IF(ISNUMBER(SEARCH("%", A2485)),RIGHT(A2485,3),A2485)</f>
        <v>0.04</v>
      </c>
      <c r="C2485" s="2" t="s">
        <v>2809</v>
      </c>
    </row>
    <row r="2486" customFormat="false" ht="12.75" hidden="false" customHeight="true" outlineLevel="0" collapsed="false">
      <c r="A2486" s="3" t="s">
        <v>3368</v>
      </c>
      <c r="B2486" s="3" t="str">
        <f aca="false">IF(ISNUMBER(SEARCH("%", A2486)),RIGHT(A2486,3),A2486)</f>
        <v>16, 18, PIKACHU</v>
      </c>
      <c r="C2486" s="2" t="s">
        <v>3368</v>
      </c>
    </row>
    <row r="2487" customFormat="false" ht="12.75" hidden="false" customHeight="true" outlineLevel="0" collapsed="false">
      <c r="A2487" s="3" t="s">
        <v>3369</v>
      </c>
      <c r="B2487" s="3" t="str">
        <f aca="false">IF(ISNUMBER(SEARCH("%", A2487)),RIGHT(A2487,3),A2487)</f>
        <v>16, 18, EEVEE</v>
      </c>
      <c r="C2487" s="2" t="s">
        <v>3369</v>
      </c>
    </row>
    <row r="2488" customFormat="false" ht="12.75" hidden="false" customHeight="true" outlineLevel="0" collapsed="false">
      <c r="A2488" s="3"/>
      <c r="B2488" s="3" t="n">
        <f aca="false">IF(ISNUMBER(SEARCH("%", A2488)),RIGHT(A2488,3),A2488)</f>
        <v>0</v>
      </c>
      <c r="C2488" s="2"/>
    </row>
    <row r="2489" customFormat="false" ht="12.75" hidden="false" customHeight="true" outlineLevel="0" collapsed="false">
      <c r="A2489" s="3" t="s">
        <v>2812</v>
      </c>
      <c r="B2489" s="3" t="str">
        <f aca="false">IF(ISNUMBER(SEARCH("%", A2489)),RIGHT(A2489,3),A2489)</f>
        <v>0.01</v>
      </c>
      <c r="C2489" s="2" t="s">
        <v>2812</v>
      </c>
    </row>
    <row r="2490" customFormat="false" ht="12.75" hidden="false" customHeight="true" outlineLevel="0" collapsed="false">
      <c r="A2490" s="3" t="s">
        <v>3370</v>
      </c>
      <c r="B2490" s="3" t="str">
        <f aca="false">IF(ISNUMBER(SEARCH("%", A2490)),RIGHT(A2490,3),A2490)</f>
        <v>20, 20, FEAROW</v>
      </c>
      <c r="C2490" s="2" t="s">
        <v>3370</v>
      </c>
    </row>
    <row r="2491" customFormat="false" ht="12.75" hidden="false" customHeight="true" outlineLevel="0" collapsed="false">
      <c r="A2491" s="3" t="s">
        <v>3373</v>
      </c>
      <c r="B2491" s="3" t="str">
        <f aca="false">IF(ISNUMBER(SEARCH("%", A2491)),RIGHT(A2491,3),A2491)</f>
        <v>20, 20, WEEPINBELL</v>
      </c>
      <c r="C2491" s="2" t="s">
        <v>3373</v>
      </c>
    </row>
    <row r="2492" customFormat="false" ht="12.75" hidden="false" customHeight="true" outlineLevel="0" collapsed="false">
      <c r="A2492" s="3" t="s">
        <v>3349</v>
      </c>
      <c r="B2492" s="3" t="str">
        <f aca="false">IF(ISNUMBER(SEARCH("%", A2492)),RIGHT(A2492,3),A2492)</f>
        <v>2, 38, 42, TENTACOOL</v>
      </c>
      <c r="C2492" s="2" t="s">
        <v>3349</v>
      </c>
    </row>
    <row r="2493" customFormat="false" ht="12.75" hidden="false" customHeight="true" outlineLevel="0" collapsed="false">
      <c r="A2493" s="3" t="s">
        <v>3374</v>
      </c>
      <c r="B2493" s="3" t="str">
        <f aca="false">IF(ISNUMBER(SEARCH("%", A2493)),RIGHT(A2493,3),A2493)</f>
        <v>40, 44, SLOWPOKE</v>
      </c>
      <c r="C2493" s="2" t="s">
        <v>3374</v>
      </c>
    </row>
    <row r="2494" customFormat="false" ht="12.75" hidden="false" customHeight="true" outlineLevel="0" collapsed="false">
      <c r="A2494" s="3" t="s">
        <v>3351</v>
      </c>
      <c r="B2494" s="3" t="str">
        <f aca="false">IF(ISNUMBER(SEARCH("%", A2494)),RIGHT(A2494,3),A2494)</f>
        <v>42, 46, TENTACRUEL</v>
      </c>
      <c r="C2494" s="2" t="s">
        <v>3351</v>
      </c>
    </row>
    <row r="2495" customFormat="false" ht="12.75" hidden="false" customHeight="true" outlineLevel="0" collapsed="false">
      <c r="A2495" s="3" t="s">
        <v>2923</v>
      </c>
      <c r="B2495" s="3" t="str">
        <f aca="false">IF(ISNUMBER(SEARCH("%", A2495)),RIGHT(A2495,3),A2495)</f>
        <v>42, 46, GOLDUCK</v>
      </c>
      <c r="C2495" s="2" t="s">
        <v>2923</v>
      </c>
    </row>
    <row r="2496" customFormat="false" ht="12.75" hidden="false" customHeight="true" outlineLevel="0" collapsed="false">
      <c r="A2496" s="3" t="s">
        <v>3375</v>
      </c>
      <c r="B2496" s="3" t="str">
        <f aca="false">IF(ISNUMBER(SEARCH("%", A2496)),RIGHT(A2496,3),A2496)</f>
        <v>44, 48, SLOWBRO</v>
      </c>
      <c r="C2496" s="2" t="s">
        <v>3375</v>
      </c>
    </row>
    <row r="2497" customFormat="false" ht="12.75" hidden="false" customHeight="true" outlineLevel="0" collapsed="false">
      <c r="A2497" s="3" t="s">
        <v>2925</v>
      </c>
      <c r="B2497" s="3" t="str">
        <f aca="false">IF(ISNUMBER(SEARCH("%", A2497)),RIGHT(A2497,3),A2497)</f>
        <v>20, old rod:</v>
      </c>
      <c r="C2497" s="2" t="s">
        <v>2925</v>
      </c>
    </row>
    <row r="2498" customFormat="false" ht="12.75" hidden="false" customHeight="true" outlineLevel="0" collapsed="false">
      <c r="A2498" s="3" t="s">
        <v>1349</v>
      </c>
      <c r="B2498" s="3" t="str">
        <f aca="false">IF(ISNUMBER(SEARCH("%", A2498)),RIGHT(A2498,3),A2498)</f>
        <v>19, 26, MAGIKARP</v>
      </c>
      <c r="C2498" s="2" t="s">
        <v>1349</v>
      </c>
    </row>
    <row r="2499" customFormat="false" ht="12.75" hidden="false" customHeight="true" outlineLevel="0" collapsed="false">
      <c r="A2499" s="3" t="s">
        <v>3352</v>
      </c>
      <c r="B2499" s="3" t="str">
        <f aca="false">IF(ISNUMBER(SEARCH("%", A2499)),RIGHT(A2499,3),A2499)</f>
        <v>19, 26, GYARADOS</v>
      </c>
      <c r="C2499" s="2" t="s">
        <v>3352</v>
      </c>
    </row>
    <row r="2500" customFormat="false" ht="12.75" hidden="false" customHeight="true" outlineLevel="0" collapsed="false">
      <c r="A2500" s="3"/>
      <c r="B2500" s="3" t="n">
        <f aca="false">IF(ISNUMBER(SEARCH("%", A2500)),RIGHT(A2500,3),A2500)</f>
        <v>0</v>
      </c>
      <c r="C2500" s="2"/>
    </row>
    <row r="2501" customFormat="false" ht="12.75" hidden="false" customHeight="true" outlineLevel="0" collapsed="false">
      <c r="A2501" s="3" t="s">
        <v>2846</v>
      </c>
      <c r="B2501" s="3" t="str">
        <f aca="false">IF(ISNUMBER(SEARCH("%", A2501)),RIGHT(A2501,3),A2501)</f>
        <v>good rod:</v>
      </c>
      <c r="C2501" s="2" t="s">
        <v>2846</v>
      </c>
    </row>
    <row r="2502" customFormat="false" ht="12.75" hidden="false" customHeight="true" outlineLevel="0" collapsed="false">
      <c r="A2502" s="3" t="s">
        <v>3376</v>
      </c>
      <c r="B2502" s="3" t="str">
        <f aca="false">IF(ISNUMBER(SEARCH("%", A2502)),RIGHT(A2502,3),A2502)</f>
        <v>29, 33, POLIWAG</v>
      </c>
      <c r="C2502" s="2" t="s">
        <v>3376</v>
      </c>
    </row>
    <row r="2503" customFormat="false" ht="12.75" hidden="false" customHeight="true" outlineLevel="0" collapsed="false">
      <c r="A2503" s="3" t="s">
        <v>2929</v>
      </c>
      <c r="B2503" s="3" t="str">
        <f aca="false">IF(ISNUMBER(SEARCH("%", A2503)),RIGHT(A2503,3),A2503)</f>
        <v>30, 35, GOLDEEN</v>
      </c>
      <c r="C2503" s="2" t="s">
        <v>2929</v>
      </c>
    </row>
    <row r="2504" customFormat="false" ht="12.75" hidden="false" customHeight="true" outlineLevel="0" collapsed="false">
      <c r="A2504" s="3" t="s">
        <v>3354</v>
      </c>
      <c r="B2504" s="3" t="str">
        <f aca="false">IF(ISNUMBER(SEARCH("%", A2504)),RIGHT(A2504,3),A2504)</f>
        <v>30, 35, PSYDUCK</v>
      </c>
      <c r="C2504" s="2" t="s">
        <v>3354</v>
      </c>
    </row>
    <row r="2505" customFormat="false" ht="12.75" hidden="false" customHeight="true" outlineLevel="0" collapsed="false">
      <c r="A2505" s="3"/>
      <c r="B2505" s="3" t="n">
        <f aca="false">IF(ISNUMBER(SEARCH("%", A2505)),RIGHT(A2505,3),A2505)</f>
        <v>0</v>
      </c>
      <c r="C2505" s="2"/>
    </row>
    <row r="2506" customFormat="false" ht="12.75" hidden="false" customHeight="true" outlineLevel="0" collapsed="false">
      <c r="A2506" s="3" t="s">
        <v>2850</v>
      </c>
      <c r="B2506" s="3" t="str">
        <f aca="false">IF(ISNUMBER(SEARCH("%", A2506)),RIGHT(A2506,3),A2506)</f>
        <v>super rod:</v>
      </c>
      <c r="C2506" s="2" t="s">
        <v>2850</v>
      </c>
    </row>
    <row r="2507" customFormat="false" ht="12.75" hidden="false" customHeight="true" outlineLevel="0" collapsed="false">
      <c r="A2507" s="3" t="s">
        <v>2930</v>
      </c>
      <c r="B2507" s="3" t="str">
        <f aca="false">IF(ISNUMBER(SEARCH("%", A2507)),RIGHT(A2507,3),A2507)</f>
        <v>36, 40, POLIWHIRL</v>
      </c>
      <c r="C2507" s="2" t="s">
        <v>2930</v>
      </c>
    </row>
    <row r="2508" customFormat="false" ht="12.75" hidden="false" customHeight="true" outlineLevel="0" collapsed="false">
      <c r="A2508" s="3" t="s">
        <v>2931</v>
      </c>
      <c r="B2508" s="3" t="str">
        <f aca="false">IF(ISNUMBER(SEARCH("%", A2508)),RIGHT(A2508,3),A2508)</f>
        <v>36, 40, SEAKING</v>
      </c>
      <c r="C2508" s="2" t="s">
        <v>2931</v>
      </c>
    </row>
    <row r="2509" customFormat="false" ht="12.75" hidden="false" customHeight="true" outlineLevel="0" collapsed="false">
      <c r="A2509" s="3" t="s">
        <v>3377</v>
      </c>
      <c r="B2509" s="3" t="str">
        <f aca="false">IF(ISNUMBER(SEARCH("%", A2509)),RIGHT(A2509,3),A2509)</f>
        <v>38, 42, GYARADOS</v>
      </c>
      <c r="C2509" s="2" t="s">
        <v>3377</v>
      </c>
    </row>
    <row r="2510" customFormat="false" ht="12.75" hidden="false" customHeight="true" outlineLevel="0" collapsed="false">
      <c r="A2510" s="3" t="s">
        <v>3378</v>
      </c>
      <c r="B2510" s="3" t="str">
        <f aca="false">IF(ISNUMBER(SEARCH("%", A2510)),RIGHT(A2510,3),A2510)</f>
        <v>38, 42, POLIWRATH</v>
      </c>
      <c r="C2510" s="2" t="s">
        <v>3378</v>
      </c>
    </row>
    <row r="2511" customFormat="false" ht="12.75" hidden="false" customHeight="true" outlineLevel="0" collapsed="false">
      <c r="A2511" s="3" t="s">
        <v>3379</v>
      </c>
      <c r="B2511" s="3" t="str">
        <f aca="false">IF(ISNUMBER(SEARCH("%", A2511)),RIGHT(A2511,3),A2511)</f>
        <v>40, 44, POLITOES</v>
      </c>
      <c r="C2511" s="2" t="s">
        <v>3379</v>
      </c>
    </row>
    <row r="2512" customFormat="false" ht="12.75" hidden="false" customHeight="true" outlineLevel="0" collapsed="false">
      <c r="A2512" s="3" t="s">
        <v>2536</v>
      </c>
      <c r="B2512" s="3" t="str">
        <f aca="false">IF(ISNUMBER(SEARCH("%", A2512)),RIGHT(A2512,3),A2512)</f>
        <v>NEW ROUTE</v>
      </c>
      <c r="C2512" s="2" t="s">
        <v>2536</v>
      </c>
    </row>
    <row r="2513" customFormat="false" ht="12.75" hidden="false" customHeight="true" outlineLevel="0" collapsed="false">
      <c r="A2513" s="3" t="s">
        <v>3380</v>
      </c>
      <c r="B2513" s="3" t="str">
        <f aca="false">IF(ISNUMBER(SEARCH("%", A2513)),RIGHT(A2513,3),A2513)</f>
        <v>3, 25, 0,</v>
      </c>
      <c r="C2513" s="2" t="s">
        <v>3380</v>
      </c>
    </row>
    <row r="2514" customFormat="false" ht="12.75" hidden="false" customHeight="true" outlineLevel="0" collapsed="false">
      <c r="A2514" s="3" t="s">
        <v>2908</v>
      </c>
      <c r="B2514" s="3" t="str">
        <f aca="false">IF(ISNUMBER(SEARCH("%", A2514)),RIGHT(A2514,3),A2514)</f>
        <v>20%</v>
      </c>
      <c r="C2514" s="2" t="s">
        <v>2799</v>
      </c>
    </row>
    <row r="2515" customFormat="false" ht="12.75" hidden="false" customHeight="true" outlineLevel="0" collapsed="false">
      <c r="A2515" s="3" t="s">
        <v>1849</v>
      </c>
      <c r="B2515" s="3" t="str">
        <f aca="false">IF(ISNUMBER(SEARCH("%", A2515)),RIGHT(A2515,3),A2515)</f>
        <v>24, 26, PONYTA</v>
      </c>
      <c r="C2515" s="2" t="s">
        <v>1849</v>
      </c>
    </row>
    <row r="2516" customFormat="false" ht="12.75" hidden="false" customHeight="true" outlineLevel="0" collapsed="false">
      <c r="A2516" s="3" t="s">
        <v>3381</v>
      </c>
      <c r="B2516" s="3" t="str">
        <f aca="false">IF(ISNUMBER(SEARCH("%", A2516)),RIGHT(A2516,3),A2516)</f>
        <v>24, 26, KOFFING</v>
      </c>
      <c r="C2516" s="2" t="s">
        <v>3381</v>
      </c>
    </row>
    <row r="2517" customFormat="false" ht="12.75" hidden="false" customHeight="true" outlineLevel="0" collapsed="false">
      <c r="A2517" s="3"/>
      <c r="B2517" s="3" t="n">
        <f aca="false">IF(ISNUMBER(SEARCH("%", A2517)),RIGHT(A2517,3),A2517)</f>
        <v>0</v>
      </c>
      <c r="C2517" s="2"/>
    </row>
    <row r="2518" customFormat="false" ht="12.75" hidden="false" customHeight="true" outlineLevel="0" collapsed="false">
      <c r="A2518" s="3" t="s">
        <v>2801</v>
      </c>
      <c r="B2518" s="3" t="str">
        <f aca="false">IF(ISNUMBER(SEARCH("%", A2518)),RIGHT(A2518,3),A2518)</f>
        <v>0.1</v>
      </c>
      <c r="C2518" s="2" t="s">
        <v>2801</v>
      </c>
    </row>
    <row r="2519" customFormat="false" ht="12.75" hidden="false" customHeight="true" outlineLevel="0" collapsed="false">
      <c r="A2519" s="3" t="s">
        <v>3382</v>
      </c>
      <c r="B2519" s="3" t="str">
        <f aca="false">IF(ISNUMBER(SEARCH("%", A2519)),RIGHT(A2519,3),A2519)</f>
        <v>25, 27, SANDSHREW</v>
      </c>
      <c r="C2519" s="2" t="s">
        <v>3382</v>
      </c>
    </row>
    <row r="2520" customFormat="false" ht="12.75" hidden="false" customHeight="true" outlineLevel="0" collapsed="false">
      <c r="A2520" s="3" t="s">
        <v>3383</v>
      </c>
      <c r="B2520" s="3" t="str">
        <f aca="false">IF(ISNUMBER(SEARCH("%", A2520)),RIGHT(A2520,3),A2520)</f>
        <v>25, 27, MEOWTH</v>
      </c>
      <c r="C2520" s="2" t="s">
        <v>3383</v>
      </c>
    </row>
    <row r="2521" customFormat="false" ht="12.75" hidden="false" customHeight="true" outlineLevel="0" collapsed="false">
      <c r="A2521" s="3" t="s">
        <v>3384</v>
      </c>
      <c r="B2521" s="3" t="str">
        <f aca="false">IF(ISNUMBER(SEARCH("%", A2521)),RIGHT(A2521,3),A2521)</f>
        <v>25, 27, PARAS</v>
      </c>
      <c r="C2521" s="2" t="s">
        <v>3384</v>
      </c>
    </row>
    <row r="2522" customFormat="false" ht="12.75" hidden="false" customHeight="true" outlineLevel="0" collapsed="false">
      <c r="A2522" s="3" t="s">
        <v>3385</v>
      </c>
      <c r="B2522" s="3" t="str">
        <f aca="false">IF(ISNUMBER(SEARCH("%", A2522)),RIGHT(A2522,3),A2522)</f>
        <v>25, 27, VULPIX</v>
      </c>
      <c r="C2522" s="2" t="s">
        <v>3385</v>
      </c>
    </row>
    <row r="2523" customFormat="false" ht="12.75" hidden="false" customHeight="true" outlineLevel="0" collapsed="false">
      <c r="A2523" s="3"/>
      <c r="B2523" s="3" t="n">
        <f aca="false">IF(ISNUMBER(SEARCH("%", A2523)),RIGHT(A2523,3),A2523)</f>
        <v>0</v>
      </c>
      <c r="C2523" s="2"/>
    </row>
    <row r="2524" customFormat="false" ht="12.75" hidden="false" customHeight="true" outlineLevel="0" collapsed="false">
      <c r="A2524" s="3" t="s">
        <v>2806</v>
      </c>
      <c r="B2524" s="3" t="str">
        <f aca="false">IF(ISNUMBER(SEARCH("%", A2524)),RIGHT(A2524,3),A2524)</f>
        <v>0.05</v>
      </c>
      <c r="C2524" s="2" t="s">
        <v>2806</v>
      </c>
    </row>
    <row r="2525" customFormat="false" ht="12.75" hidden="false" customHeight="true" outlineLevel="0" collapsed="false">
      <c r="A2525" s="3" t="s">
        <v>3386</v>
      </c>
      <c r="B2525" s="3" t="str">
        <f aca="false">IF(ISNUMBER(SEARCH("%", A2525)),RIGHT(A2525,3),A2525)</f>
        <v>24, 28, WEEZING</v>
      </c>
      <c r="C2525" s="2" t="s">
        <v>3386</v>
      </c>
    </row>
    <row r="2526" customFormat="false" ht="12.75" hidden="false" customHeight="true" outlineLevel="0" collapsed="false">
      <c r="A2526" s="3" t="s">
        <v>3387</v>
      </c>
      <c r="B2526" s="3" t="str">
        <f aca="false">IF(ISNUMBER(SEARCH("%", A2526)),RIGHT(A2526,3),A2526)</f>
        <v>24, 28, LICKITUNG</v>
      </c>
      <c r="C2526" s="2" t="s">
        <v>3387</v>
      </c>
    </row>
    <row r="2527" customFormat="false" ht="12.75" hidden="false" customHeight="true" outlineLevel="0" collapsed="false">
      <c r="A2527" s="3"/>
      <c r="B2527" s="3" t="n">
        <f aca="false">IF(ISNUMBER(SEARCH("%", A2527)),RIGHT(A2527,3),A2527)</f>
        <v>0</v>
      </c>
      <c r="C2527" s="2"/>
    </row>
    <row r="2528" customFormat="false" ht="12.75" hidden="false" customHeight="true" outlineLevel="0" collapsed="false">
      <c r="A2528" s="3" t="s">
        <v>2809</v>
      </c>
      <c r="B2528" s="3" t="str">
        <f aca="false">IF(ISNUMBER(SEARCH("%", A2528)),RIGHT(A2528,3),A2528)</f>
        <v>0.04</v>
      </c>
      <c r="C2528" s="2" t="s">
        <v>2809</v>
      </c>
    </row>
    <row r="2529" customFormat="false" ht="12.75" hidden="false" customHeight="true" outlineLevel="0" collapsed="false">
      <c r="A2529" s="3" t="s">
        <v>3388</v>
      </c>
      <c r="B2529" s="3" t="str">
        <f aca="false">IF(ISNUMBER(SEARCH("%", A2529)),RIGHT(A2529,3),A2529)</f>
        <v>26, 26, PERSIAN</v>
      </c>
      <c r="C2529" s="2" t="s">
        <v>3388</v>
      </c>
    </row>
    <row r="2530" customFormat="false" ht="12.75" hidden="false" customHeight="true" outlineLevel="0" collapsed="false">
      <c r="A2530" s="3" t="s">
        <v>3389</v>
      </c>
      <c r="B2530" s="3" t="str">
        <f aca="false">IF(ISNUMBER(SEARCH("%", A2530)),RIGHT(A2530,3),A2530)</f>
        <v>21, 26, EEVEE</v>
      </c>
      <c r="C2530" s="2" t="s">
        <v>3389</v>
      </c>
    </row>
    <row r="2531" customFormat="false" ht="12.75" hidden="false" customHeight="true" outlineLevel="0" collapsed="false">
      <c r="A2531" s="3"/>
      <c r="B2531" s="3" t="n">
        <f aca="false">IF(ISNUMBER(SEARCH("%", A2531)),RIGHT(A2531,3),A2531)</f>
        <v>0</v>
      </c>
      <c r="C2531" s="2"/>
    </row>
    <row r="2532" customFormat="false" ht="12.75" hidden="false" customHeight="true" outlineLevel="0" collapsed="false">
      <c r="A2532" s="3" t="s">
        <v>2812</v>
      </c>
      <c r="B2532" s="3" t="str">
        <f aca="false">IF(ISNUMBER(SEARCH("%", A2532)),RIGHT(A2532,3),A2532)</f>
        <v>0.01</v>
      </c>
      <c r="C2532" s="2" t="s">
        <v>2812</v>
      </c>
    </row>
    <row r="2533" customFormat="false" ht="12.75" hidden="false" customHeight="true" outlineLevel="0" collapsed="false">
      <c r="A2533" s="3" t="s">
        <v>3390</v>
      </c>
      <c r="B2533" s="3" t="str">
        <f aca="false">IF(ISNUMBER(SEARCH("%", A2533)),RIGHT(A2533,3),A2533)</f>
        <v>24, 28, SANDSLASH</v>
      </c>
      <c r="C2533" s="2" t="s">
        <v>3390</v>
      </c>
    </row>
    <row r="2534" customFormat="false" ht="12.75" hidden="false" customHeight="true" outlineLevel="0" collapsed="false">
      <c r="A2534" s="3" t="s">
        <v>3391</v>
      </c>
      <c r="B2534" s="3" t="str">
        <f aca="false">IF(ISNUMBER(SEARCH("%", A2534)),RIGHT(A2534,3),A2534)</f>
        <v>24, 28, PARASECT , &lt;null&gt;, &lt;null&gt;, &lt;null&gt;</v>
      </c>
      <c r="C2534" s="2" t="s">
        <v>3391</v>
      </c>
    </row>
    <row r="2535" customFormat="false" ht="12.75" hidden="false" customHeight="true" outlineLevel="0" collapsed="false">
      <c r="A2535" s="3"/>
      <c r="B2535" s="3" t="n">
        <f aca="false">IF(ISNUMBER(SEARCH("%", A2535)),RIGHT(A2535,3),A2535)</f>
        <v>0</v>
      </c>
      <c r="C2535" s="2"/>
    </row>
    <row r="2536" customFormat="false" ht="12.75" hidden="false" customHeight="true" outlineLevel="0" collapsed="false">
      <c r="A2536" s="3" t="s">
        <v>2536</v>
      </c>
      <c r="B2536" s="3" t="str">
        <f aca="false">IF(ISNUMBER(SEARCH("%", A2536)),RIGHT(A2536,3),A2536)</f>
        <v>NEW ROUTE</v>
      </c>
      <c r="C2536" s="2" t="s">
        <v>2536</v>
      </c>
    </row>
    <row r="2537" customFormat="false" ht="12.75" hidden="false" customHeight="true" outlineLevel="0" collapsed="false">
      <c r="A2537" s="3" t="s">
        <v>3392</v>
      </c>
      <c r="B2537" s="3" t="str">
        <f aca="false">IF(ISNUMBER(SEARCH("%", A2537)),RIGHT(A2537,3),A2537)</f>
        <v>3, 26, 0,</v>
      </c>
      <c r="C2537" s="2" t="s">
        <v>3392</v>
      </c>
    </row>
    <row r="2538" customFormat="false" ht="12.75" hidden="false" customHeight="true" outlineLevel="0" collapsed="false">
      <c r="A2538" s="3" t="s">
        <v>2908</v>
      </c>
      <c r="B2538" s="3" t="str">
        <f aca="false">IF(ISNUMBER(SEARCH("%", A2538)),RIGHT(A2538,3),A2538)</f>
        <v>20%</v>
      </c>
      <c r="C2538" s="2" t="s">
        <v>2799</v>
      </c>
    </row>
    <row r="2539" customFormat="false" ht="12.75" hidden="false" customHeight="true" outlineLevel="0" collapsed="false">
      <c r="A2539" s="3" t="s">
        <v>1862</v>
      </c>
      <c r="B2539" s="3" t="str">
        <f aca="false">IF(ISNUMBER(SEARCH("%", A2539)),RIGHT(A2539,3),A2539)</f>
        <v>23, 25, PONYTA</v>
      </c>
      <c r="C2539" s="2" t="s">
        <v>1862</v>
      </c>
    </row>
    <row r="2540" customFormat="false" ht="12.75" hidden="false" customHeight="true" outlineLevel="0" collapsed="false">
      <c r="A2540" s="3" t="s">
        <v>3393</v>
      </c>
      <c r="B2540" s="3" t="str">
        <f aca="false">IF(ISNUMBER(SEARCH("%", A2540)),RIGHT(A2540,3),A2540)</f>
        <v>23, 25, EKANS</v>
      </c>
      <c r="C2540" s="2" t="s">
        <v>3393</v>
      </c>
    </row>
    <row r="2541" customFormat="false" ht="12.75" hidden="false" customHeight="true" outlineLevel="0" collapsed="false">
      <c r="A2541" s="3"/>
      <c r="B2541" s="3" t="n">
        <f aca="false">IF(ISNUMBER(SEARCH("%", A2541)),RIGHT(A2541,3),A2541)</f>
        <v>0</v>
      </c>
      <c r="C2541" s="2"/>
    </row>
    <row r="2542" customFormat="false" ht="12.75" hidden="false" customHeight="true" outlineLevel="0" collapsed="false">
      <c r="A2542" s="3" t="s">
        <v>2801</v>
      </c>
      <c r="B2542" s="3" t="str">
        <f aca="false">IF(ISNUMBER(SEARCH("%", A2542)),RIGHT(A2542,3),A2542)</f>
        <v>0.1</v>
      </c>
      <c r="C2542" s="2" t="s">
        <v>2801</v>
      </c>
    </row>
    <row r="2543" customFormat="false" ht="12.75" hidden="false" customHeight="true" outlineLevel="0" collapsed="false">
      <c r="A2543" s="3" t="s">
        <v>3394</v>
      </c>
      <c r="B2543" s="3" t="str">
        <f aca="false">IF(ISNUMBER(SEARCH("%", A2543)),RIGHT(A2543,3),A2543)</f>
        <v>24, 26, SANDSHREW</v>
      </c>
      <c r="C2543" s="2" t="s">
        <v>3394</v>
      </c>
    </row>
    <row r="2544" customFormat="false" ht="12.75" hidden="false" customHeight="true" outlineLevel="0" collapsed="false">
      <c r="A2544" s="3" t="s">
        <v>3395</v>
      </c>
      <c r="B2544" s="3" t="str">
        <f aca="false">IF(ISNUMBER(SEARCH("%", A2544)),RIGHT(A2544,3),A2544)</f>
        <v>24, 26, MEOWTH</v>
      </c>
      <c r="C2544" s="2" t="s">
        <v>3395</v>
      </c>
    </row>
    <row r="2545" customFormat="false" ht="12.75" hidden="false" customHeight="true" outlineLevel="0" collapsed="false">
      <c r="A2545" s="3" t="s">
        <v>3396</v>
      </c>
      <c r="B2545" s="3" t="str">
        <f aca="false">IF(ISNUMBER(SEARCH("%", A2545)),RIGHT(A2545,3),A2545)</f>
        <v>24, 26, VENONAT</v>
      </c>
      <c r="C2545" s="2" t="s">
        <v>3396</v>
      </c>
    </row>
    <row r="2546" customFormat="false" ht="12.75" hidden="false" customHeight="true" outlineLevel="0" collapsed="false">
      <c r="A2546" s="3" t="s">
        <v>3397</v>
      </c>
      <c r="B2546" s="3" t="str">
        <f aca="false">IF(ISNUMBER(SEARCH("%", A2546)),RIGHT(A2546,3),A2546)</f>
        <v>24, 26, GROWLITHE</v>
      </c>
      <c r="C2546" s="2" t="s">
        <v>3397</v>
      </c>
    </row>
    <row r="2547" customFormat="false" ht="12.75" hidden="false" customHeight="true" outlineLevel="0" collapsed="false">
      <c r="A2547" s="3"/>
      <c r="B2547" s="3" t="n">
        <f aca="false">IF(ISNUMBER(SEARCH("%", A2547)),RIGHT(A2547,3),A2547)</f>
        <v>0</v>
      </c>
      <c r="C2547" s="2"/>
    </row>
    <row r="2548" customFormat="false" ht="12.75" hidden="false" customHeight="true" outlineLevel="0" collapsed="false">
      <c r="A2548" s="3" t="s">
        <v>2806</v>
      </c>
      <c r="B2548" s="3" t="str">
        <f aca="false">IF(ISNUMBER(SEARCH("%", A2548)),RIGHT(A2548,3),A2548)</f>
        <v>0.05</v>
      </c>
      <c r="C2548" s="2" t="s">
        <v>2806</v>
      </c>
    </row>
    <row r="2549" customFormat="false" ht="12.75" hidden="false" customHeight="true" outlineLevel="0" collapsed="false">
      <c r="A2549" s="3" t="s">
        <v>3398</v>
      </c>
      <c r="B2549" s="3" t="str">
        <f aca="false">IF(ISNUMBER(SEARCH("%", A2549)),RIGHT(A2549,3),A2549)</f>
        <v>23, 27, ARBOK</v>
      </c>
      <c r="C2549" s="2" t="s">
        <v>3398</v>
      </c>
    </row>
    <row r="2550" customFormat="false" ht="12.75" hidden="false" customHeight="true" outlineLevel="0" collapsed="false">
      <c r="A2550" s="3" t="s">
        <v>3399</v>
      </c>
      <c r="B2550" s="3" t="str">
        <f aca="false">IF(ISNUMBER(SEARCH("%", A2550)),RIGHT(A2550,3),A2550)</f>
        <v>23, 27, LICKITUNG</v>
      </c>
      <c r="C2550" s="2" t="s">
        <v>3399</v>
      </c>
    </row>
    <row r="2551" customFormat="false" ht="12.75" hidden="false" customHeight="true" outlineLevel="0" collapsed="false">
      <c r="A2551" s="3"/>
      <c r="B2551" s="3" t="n">
        <f aca="false">IF(ISNUMBER(SEARCH("%", A2551)),RIGHT(A2551,3),A2551)</f>
        <v>0</v>
      </c>
      <c r="C2551" s="2"/>
    </row>
    <row r="2552" customFormat="false" ht="12.75" hidden="false" customHeight="true" outlineLevel="0" collapsed="false">
      <c r="A2552" s="3" t="s">
        <v>2809</v>
      </c>
      <c r="B2552" s="3" t="str">
        <f aca="false">IF(ISNUMBER(SEARCH("%", A2552)),RIGHT(A2552,3),A2552)</f>
        <v>0.04</v>
      </c>
      <c r="C2552" s="2" t="s">
        <v>2809</v>
      </c>
    </row>
    <row r="2553" customFormat="false" ht="12.75" hidden="false" customHeight="true" outlineLevel="0" collapsed="false">
      <c r="A2553" s="3" t="s">
        <v>3400</v>
      </c>
      <c r="B2553" s="3" t="str">
        <f aca="false">IF(ISNUMBER(SEARCH("%", A2553)),RIGHT(A2553,3),A2553)</f>
        <v>25, 25, PERSIAN</v>
      </c>
      <c r="C2553" s="2" t="s">
        <v>3400</v>
      </c>
    </row>
    <row r="2554" customFormat="false" ht="12.75" hidden="false" customHeight="true" outlineLevel="0" collapsed="false">
      <c r="A2554" s="3" t="s">
        <v>3401</v>
      </c>
      <c r="B2554" s="3" t="str">
        <f aca="false">IF(ISNUMBER(SEARCH("%", A2554)),RIGHT(A2554,3),A2554)</f>
        <v>20, 25, EEVEE</v>
      </c>
      <c r="C2554" s="2" t="s">
        <v>3401</v>
      </c>
    </row>
    <row r="2555" customFormat="false" ht="12.75" hidden="false" customHeight="true" outlineLevel="0" collapsed="false">
      <c r="A2555" s="3"/>
      <c r="B2555" s="3" t="n">
        <f aca="false">IF(ISNUMBER(SEARCH("%", A2555)),RIGHT(A2555,3),A2555)</f>
        <v>0</v>
      </c>
      <c r="C2555" s="2"/>
    </row>
    <row r="2556" customFormat="false" ht="12.75" hidden="false" customHeight="true" outlineLevel="0" collapsed="false">
      <c r="A2556" s="3" t="s">
        <v>2812</v>
      </c>
      <c r="B2556" s="3" t="str">
        <f aca="false">IF(ISNUMBER(SEARCH("%", A2556)),RIGHT(A2556,3),A2556)</f>
        <v>0.01</v>
      </c>
      <c r="C2556" s="2" t="s">
        <v>2812</v>
      </c>
    </row>
    <row r="2557" customFormat="false" ht="12.75" hidden="false" customHeight="true" outlineLevel="0" collapsed="false">
      <c r="A2557" s="3" t="s">
        <v>3402</v>
      </c>
      <c r="B2557" s="3" t="str">
        <f aca="false">IF(ISNUMBER(SEARCH("%", A2557)),RIGHT(A2557,3),A2557)</f>
        <v>23, 27, SANDSLASH</v>
      </c>
      <c r="C2557" s="2" t="s">
        <v>3402</v>
      </c>
    </row>
    <row r="2558" customFormat="false" ht="12.75" hidden="false" customHeight="true" outlineLevel="0" collapsed="false">
      <c r="A2558" s="3" t="s">
        <v>3403</v>
      </c>
      <c r="B2558" s="3" t="str">
        <f aca="false">IF(ISNUMBER(SEARCH("%", A2558)),RIGHT(A2558,3),A2558)</f>
        <v>23, 27, VENOMOTH , &lt;null&gt;, &lt;null&gt;, &lt;null&gt;</v>
      </c>
      <c r="C2558" s="2" t="s">
        <v>3403</v>
      </c>
    </row>
    <row r="2559" customFormat="false" ht="12.75" hidden="false" customHeight="true" outlineLevel="0" collapsed="false">
      <c r="A2559" s="3"/>
      <c r="B2559" s="3" t="n">
        <f aca="false">IF(ISNUMBER(SEARCH("%", A2559)),RIGHT(A2559,3),A2559)</f>
        <v>0</v>
      </c>
      <c r="C2559" s="2"/>
    </row>
    <row r="2560" customFormat="false" ht="12.75" hidden="false" customHeight="true" outlineLevel="0" collapsed="false">
      <c r="A2560" s="3" t="s">
        <v>2536</v>
      </c>
      <c r="B2560" s="3" t="str">
        <f aca="false">IF(ISNUMBER(SEARCH("%", A2560)),RIGHT(A2560,3),A2560)</f>
        <v>NEW ROUTE</v>
      </c>
      <c r="C2560" s="2" t="s">
        <v>2536</v>
      </c>
    </row>
    <row r="2561" customFormat="false" ht="12.75" hidden="false" customHeight="true" outlineLevel="0" collapsed="false">
      <c r="A2561" s="3" t="s">
        <v>3404</v>
      </c>
      <c r="B2561" s="3" t="str">
        <f aca="false">IF(ISNUMBER(SEARCH("%", A2561)),RIGHT(A2561,3),A2561)</f>
        <v>3, 27, 0,</v>
      </c>
      <c r="C2561" s="2" t="s">
        <v>3404</v>
      </c>
    </row>
    <row r="2562" customFormat="false" ht="12.75" hidden="false" customHeight="true" outlineLevel="0" collapsed="false">
      <c r="A2562" s="3" t="s">
        <v>2908</v>
      </c>
      <c r="B2562" s="3" t="str">
        <f aca="false">IF(ISNUMBER(SEARCH("%", A2562)),RIGHT(A2562,3),A2562)</f>
        <v>20%</v>
      </c>
      <c r="C2562" s="2" t="s">
        <v>2799</v>
      </c>
    </row>
    <row r="2563" customFormat="false" ht="12.75" hidden="false" customHeight="true" outlineLevel="0" collapsed="false">
      <c r="A2563" s="3" t="s">
        <v>1875</v>
      </c>
      <c r="B2563" s="3" t="str">
        <f aca="false">IF(ISNUMBER(SEARCH("%", A2563)),RIGHT(A2563,3),A2563)</f>
        <v>17, 22, NIDORINA</v>
      </c>
      <c r="C2563" s="2" t="s">
        <v>1875</v>
      </c>
    </row>
    <row r="2564" customFormat="false" ht="12.75" hidden="false" customHeight="true" outlineLevel="0" collapsed="false">
      <c r="A2564" s="3" t="s">
        <v>3405</v>
      </c>
      <c r="B2564" s="3" t="str">
        <f aca="false">IF(ISNUMBER(SEARCH("%", A2564)),RIGHT(A2564,3),A2564)</f>
        <v>17, 22, NIDORINO</v>
      </c>
      <c r="C2564" s="2" t="s">
        <v>3405</v>
      </c>
    </row>
    <row r="2565" customFormat="false" ht="12.75" hidden="false" customHeight="true" outlineLevel="0" collapsed="false">
      <c r="A2565" s="3"/>
      <c r="B2565" s="3" t="n">
        <f aca="false">IF(ISNUMBER(SEARCH("%", A2565)),RIGHT(A2565,3),A2565)</f>
        <v>0</v>
      </c>
      <c r="C2565" s="2"/>
    </row>
    <row r="2566" customFormat="false" ht="12.75" hidden="false" customHeight="true" outlineLevel="0" collapsed="false">
      <c r="A2566" s="3" t="s">
        <v>2801</v>
      </c>
      <c r="B2566" s="3" t="str">
        <f aca="false">IF(ISNUMBER(SEARCH("%", A2566)),RIGHT(A2566,3),A2566)</f>
        <v>0.1</v>
      </c>
      <c r="C2566" s="2" t="s">
        <v>2801</v>
      </c>
    </row>
    <row r="2567" customFormat="false" ht="12.75" hidden="false" customHeight="true" outlineLevel="0" collapsed="false">
      <c r="A2567" s="3" t="s">
        <v>3406</v>
      </c>
      <c r="B2567" s="3" t="str">
        <f aca="false">IF(ISNUMBER(SEARCH("%", A2567)),RIGHT(A2567,3),A2567)</f>
        <v>16, 19, SPEAROW</v>
      </c>
      <c r="C2567" s="2" t="s">
        <v>3406</v>
      </c>
    </row>
    <row r="2568" customFormat="false" ht="12.75" hidden="false" customHeight="true" outlineLevel="0" collapsed="false">
      <c r="A2568" s="3" t="s">
        <v>3407</v>
      </c>
      <c r="B2568" s="3" t="str">
        <f aca="false">IF(ISNUMBER(SEARCH("%", A2568)),RIGHT(A2568,3),A2568)</f>
        <v>16, 19, CUBONE</v>
      </c>
      <c r="C2568" s="2" t="s">
        <v>3407</v>
      </c>
    </row>
    <row r="2569" customFormat="false" ht="12.75" hidden="false" customHeight="true" outlineLevel="0" collapsed="false">
      <c r="A2569" s="3" t="s">
        <v>3408</v>
      </c>
      <c r="B2569" s="3" t="str">
        <f aca="false">IF(ISNUMBER(SEARCH("%", A2569)),RIGHT(A2569,3),A2569)</f>
        <v>16, 19, MACHOP</v>
      </c>
      <c r="C2569" s="2" t="s">
        <v>3408</v>
      </c>
    </row>
    <row r="2570" customFormat="false" ht="12.75" hidden="false" customHeight="true" outlineLevel="0" collapsed="false">
      <c r="A2570" s="3" t="s">
        <v>3409</v>
      </c>
      <c r="B2570" s="3" t="str">
        <f aca="false">IF(ISNUMBER(SEARCH("%", A2570)),RIGHT(A2570,3),A2570)</f>
        <v>16, 19, SANDSHREW</v>
      </c>
      <c r="C2570" s="2" t="s">
        <v>3409</v>
      </c>
    </row>
    <row r="2571" customFormat="false" ht="12.75" hidden="false" customHeight="true" outlineLevel="0" collapsed="false">
      <c r="A2571" s="3"/>
      <c r="B2571" s="3" t="n">
        <f aca="false">IF(ISNUMBER(SEARCH("%", A2571)),RIGHT(A2571,3),A2571)</f>
        <v>0</v>
      </c>
      <c r="C2571" s="2"/>
    </row>
    <row r="2572" customFormat="false" ht="12.75" hidden="false" customHeight="true" outlineLevel="0" collapsed="false">
      <c r="A2572" s="3" t="s">
        <v>2806</v>
      </c>
      <c r="B2572" s="3" t="str">
        <f aca="false">IF(ISNUMBER(SEARCH("%", A2572)),RIGHT(A2572,3),A2572)</f>
        <v>0.05</v>
      </c>
      <c r="C2572" s="2" t="s">
        <v>2806</v>
      </c>
    </row>
    <row r="2573" customFormat="false" ht="12.75" hidden="false" customHeight="true" outlineLevel="0" collapsed="false">
      <c r="A2573" s="3" t="s">
        <v>3410</v>
      </c>
      <c r="B2573" s="3" t="str">
        <f aca="false">IF(ISNUMBER(SEARCH("%", A2573)),RIGHT(A2573,3),A2573)</f>
        <v>17, 18, DODUO</v>
      </c>
      <c r="C2573" s="2" t="s">
        <v>3410</v>
      </c>
    </row>
    <row r="2574" customFormat="false" ht="12.75" hidden="false" customHeight="true" outlineLevel="0" collapsed="false">
      <c r="A2574" s="3" t="s">
        <v>3411</v>
      </c>
      <c r="B2574" s="3" t="str">
        <f aca="false">IF(ISNUMBER(SEARCH("%", A2574)),RIGHT(A2574,3),A2574)</f>
        <v>17, 18, DROWZEE</v>
      </c>
      <c r="C2574" s="2" t="s">
        <v>3411</v>
      </c>
    </row>
    <row r="2575" customFormat="false" ht="12.75" hidden="false" customHeight="true" outlineLevel="0" collapsed="false">
      <c r="A2575" s="3"/>
      <c r="B2575" s="3" t="n">
        <f aca="false">IF(ISNUMBER(SEARCH("%", A2575)),RIGHT(A2575,3),A2575)</f>
        <v>0</v>
      </c>
      <c r="C2575" s="2"/>
    </row>
    <row r="2576" customFormat="false" ht="12.75" hidden="false" customHeight="true" outlineLevel="0" collapsed="false">
      <c r="A2576" s="3" t="s">
        <v>2809</v>
      </c>
      <c r="B2576" s="3" t="str">
        <f aca="false">IF(ISNUMBER(SEARCH("%", A2576)),RIGHT(A2576,3),A2576)</f>
        <v>0.04</v>
      </c>
      <c r="C2576" s="2" t="s">
        <v>2809</v>
      </c>
    </row>
    <row r="2577" customFormat="false" ht="12.75" hidden="false" customHeight="true" outlineLevel="0" collapsed="false">
      <c r="A2577" s="3" t="s">
        <v>3412</v>
      </c>
      <c r="B2577" s="3" t="str">
        <f aca="false">IF(ISNUMBER(SEARCH("%", A2577)),RIGHT(A2577,3),A2577)</f>
        <v>16, 25, FEAROW</v>
      </c>
      <c r="C2577" s="2" t="s">
        <v>3412</v>
      </c>
    </row>
    <row r="2578" customFormat="false" ht="12.75" hidden="false" customHeight="true" outlineLevel="0" collapsed="false">
      <c r="A2578" s="3" t="s">
        <v>3413</v>
      </c>
      <c r="B2578" s="3" t="str">
        <f aca="false">IF(ISNUMBER(SEARCH("%", A2578)),RIGHT(A2578,3),A2578)</f>
        <v>22, 22, SANDSLASH</v>
      </c>
      <c r="C2578" s="2" t="s">
        <v>3413</v>
      </c>
    </row>
    <row r="2579" customFormat="false" ht="12.75" hidden="false" customHeight="true" outlineLevel="0" collapsed="false">
      <c r="A2579" s="3"/>
      <c r="B2579" s="3" t="n">
        <f aca="false">IF(ISNUMBER(SEARCH("%", A2579)),RIGHT(A2579,3),A2579)</f>
        <v>0</v>
      </c>
      <c r="C2579" s="2"/>
    </row>
    <row r="2580" customFormat="false" ht="12.75" hidden="false" customHeight="true" outlineLevel="0" collapsed="false">
      <c r="A2580" s="3" t="s">
        <v>2812</v>
      </c>
      <c r="B2580" s="3" t="str">
        <f aca="false">IF(ISNUMBER(SEARCH("%", A2580)),RIGHT(A2580,3),A2580)</f>
        <v>0.01</v>
      </c>
      <c r="C2580" s="2" t="s">
        <v>2812</v>
      </c>
    </row>
    <row r="2581" customFormat="false" ht="12.75" hidden="false" customHeight="true" outlineLevel="0" collapsed="false">
      <c r="A2581" s="3" t="s">
        <v>3414</v>
      </c>
      <c r="B2581" s="3" t="str">
        <f aca="false">IF(ISNUMBER(SEARCH("%", A2581)),RIGHT(A2581,3),A2581)</f>
        <v>14, 17, KANGAKID</v>
      </c>
      <c r="C2581" s="2" t="s">
        <v>3414</v>
      </c>
    </row>
    <row r="2582" customFormat="false" ht="12.75" hidden="false" customHeight="true" outlineLevel="0" collapsed="false">
      <c r="A2582" s="3" t="s">
        <v>3415</v>
      </c>
      <c r="B2582" s="3" t="str">
        <f aca="false">IF(ISNUMBER(SEARCH("%", A2582)),RIGHT(A2582,3),A2582)</f>
        <v>18, 18, KANGAKID , &lt;null&gt;, &lt;null&gt;, &lt;null&gt;</v>
      </c>
      <c r="C2582" s="2" t="s">
        <v>3415</v>
      </c>
    </row>
    <row r="2583" customFormat="false" ht="12.75" hidden="false" customHeight="true" outlineLevel="0" collapsed="false">
      <c r="A2583" s="3"/>
      <c r="B2583" s="3" t="n">
        <f aca="false">IF(ISNUMBER(SEARCH("%", A2583)),RIGHT(A2583,3),A2583)</f>
        <v>0</v>
      </c>
      <c r="C2583" s="2"/>
    </row>
    <row r="2584" customFormat="false" ht="12.75" hidden="false" customHeight="true" outlineLevel="0" collapsed="false">
      <c r="A2584" s="3" t="s">
        <v>2536</v>
      </c>
      <c r="B2584" s="3" t="str">
        <f aca="false">IF(ISNUMBER(SEARCH("%", A2584)),RIGHT(A2584,3),A2584)</f>
        <v>NEW ROUTE</v>
      </c>
      <c r="C2584" s="2" t="s">
        <v>2536</v>
      </c>
    </row>
    <row r="2585" customFormat="false" ht="12.75" hidden="false" customHeight="true" outlineLevel="0" collapsed="false">
      <c r="A2585" s="3" t="s">
        <v>3416</v>
      </c>
      <c r="B2585" s="3" t="str">
        <f aca="false">IF(ISNUMBER(SEARCH("%", A2585)),RIGHT(A2585,3),A2585)</f>
        <v>3, 28, 0,</v>
      </c>
      <c r="C2585" s="2" t="s">
        <v>3416</v>
      </c>
    </row>
    <row r="2586" customFormat="false" ht="12.75" hidden="false" customHeight="true" outlineLevel="0" collapsed="false">
      <c r="A2586" s="3" t="s">
        <v>2908</v>
      </c>
      <c r="B2586" s="3" t="str">
        <f aca="false">IF(ISNUMBER(SEARCH("%", A2586)),RIGHT(A2586,3),A2586)</f>
        <v>20%</v>
      </c>
      <c r="C2586" s="2" t="s">
        <v>2799</v>
      </c>
    </row>
    <row r="2587" customFormat="false" ht="12.75" hidden="false" customHeight="true" outlineLevel="0" collapsed="false">
      <c r="A2587" s="3" t="s">
        <v>1888</v>
      </c>
      <c r="B2587" s="3" t="str">
        <f aca="false">IF(ISNUMBER(SEARCH("%", A2587)),RIGHT(A2587,3),A2587)</f>
        <v>19, 23, NIDORINA</v>
      </c>
      <c r="C2587" s="2" t="s">
        <v>1888</v>
      </c>
    </row>
    <row r="2588" customFormat="false" ht="12.75" hidden="false" customHeight="true" outlineLevel="0" collapsed="false">
      <c r="A2588" s="3" t="s">
        <v>3417</v>
      </c>
      <c r="B2588" s="3" t="str">
        <f aca="false">IF(ISNUMBER(SEARCH("%", A2588)),RIGHT(A2588,3),A2588)</f>
        <v>19, 23, NIDORINO</v>
      </c>
      <c r="C2588" s="2" t="s">
        <v>3417</v>
      </c>
    </row>
    <row r="2589" customFormat="false" ht="12.75" hidden="false" customHeight="true" outlineLevel="0" collapsed="false">
      <c r="A2589" s="3"/>
      <c r="B2589" s="3" t="n">
        <f aca="false">IF(ISNUMBER(SEARCH("%", A2589)),RIGHT(A2589,3),A2589)</f>
        <v>0</v>
      </c>
      <c r="C2589" s="2"/>
    </row>
    <row r="2590" customFormat="false" ht="12.75" hidden="false" customHeight="true" outlineLevel="0" collapsed="false">
      <c r="A2590" s="3" t="s">
        <v>2801</v>
      </c>
      <c r="B2590" s="3" t="str">
        <f aca="false">IF(ISNUMBER(SEARCH("%", A2590)),RIGHT(A2590,3),A2590)</f>
        <v>0.1</v>
      </c>
      <c r="C2590" s="2" t="s">
        <v>2801</v>
      </c>
    </row>
    <row r="2591" customFormat="false" ht="12.75" hidden="false" customHeight="true" outlineLevel="0" collapsed="false">
      <c r="A2591" s="3" t="s">
        <v>3418</v>
      </c>
      <c r="B2591" s="3" t="str">
        <f aca="false">IF(ISNUMBER(SEARCH("%", A2591)),RIGHT(A2591,3),A2591)</f>
        <v>18, 20, SPEAROW</v>
      </c>
      <c r="C2591" s="2" t="s">
        <v>3418</v>
      </c>
    </row>
    <row r="2592" customFormat="false" ht="12.75" hidden="false" customHeight="true" outlineLevel="0" collapsed="false">
      <c r="A2592" s="3" t="s">
        <v>3419</v>
      </c>
      <c r="B2592" s="3" t="str">
        <f aca="false">IF(ISNUMBER(SEARCH("%", A2592)),RIGHT(A2592,3),A2592)</f>
        <v>18, 20, CUBONE</v>
      </c>
      <c r="C2592" s="2" t="s">
        <v>3419</v>
      </c>
    </row>
    <row r="2593" customFormat="false" ht="12.75" hidden="false" customHeight="true" outlineLevel="0" collapsed="false">
      <c r="A2593" s="3" t="s">
        <v>3420</v>
      </c>
      <c r="B2593" s="3" t="str">
        <f aca="false">IF(ISNUMBER(SEARCH("%", A2593)),RIGHT(A2593,3),A2593)</f>
        <v>18, 20, MAGNEMITE</v>
      </c>
      <c r="C2593" s="2" t="s">
        <v>3420</v>
      </c>
    </row>
    <row r="2594" customFormat="false" ht="12.75" hidden="false" customHeight="true" outlineLevel="0" collapsed="false">
      <c r="A2594" s="3" t="s">
        <v>3421</v>
      </c>
      <c r="B2594" s="3" t="str">
        <f aca="false">IF(ISNUMBER(SEARCH("%", A2594)),RIGHT(A2594,3),A2594)</f>
        <v>18, 20, POLIWAG</v>
      </c>
      <c r="C2594" s="2" t="s">
        <v>3421</v>
      </c>
    </row>
    <row r="2595" customFormat="false" ht="12.75" hidden="false" customHeight="true" outlineLevel="0" collapsed="false">
      <c r="A2595" s="3"/>
      <c r="B2595" s="3" t="n">
        <f aca="false">IF(ISNUMBER(SEARCH("%", A2595)),RIGHT(A2595,3),A2595)</f>
        <v>0</v>
      </c>
      <c r="C2595" s="2"/>
    </row>
    <row r="2596" customFormat="false" ht="12.75" hidden="false" customHeight="true" outlineLevel="0" collapsed="false">
      <c r="A2596" s="3" t="s">
        <v>2806</v>
      </c>
      <c r="B2596" s="3" t="str">
        <f aca="false">IF(ISNUMBER(SEARCH("%", A2596)),RIGHT(A2596,3),A2596)</f>
        <v>0.05</v>
      </c>
      <c r="C2596" s="2" t="s">
        <v>2806</v>
      </c>
    </row>
    <row r="2597" customFormat="false" ht="12.75" hidden="false" customHeight="true" outlineLevel="0" collapsed="false">
      <c r="A2597" s="3" t="s">
        <v>3422</v>
      </c>
      <c r="B2597" s="3" t="str">
        <f aca="false">IF(ISNUMBER(SEARCH("%", A2597)),RIGHT(A2597,3),A2597)</f>
        <v>19, 19, DODUO</v>
      </c>
      <c r="C2597" s="2" t="s">
        <v>3422</v>
      </c>
    </row>
    <row r="2598" customFormat="false" ht="12.75" hidden="false" customHeight="true" outlineLevel="0" collapsed="false">
      <c r="A2598" s="3" t="s">
        <v>3423</v>
      </c>
      <c r="B2598" s="3" t="str">
        <f aca="false">IF(ISNUMBER(SEARCH("%", A2598)),RIGHT(A2598,3),A2598)</f>
        <v>19, 19, VOLTORB</v>
      </c>
      <c r="C2598" s="2" t="s">
        <v>3423</v>
      </c>
    </row>
    <row r="2599" customFormat="false" ht="12.75" hidden="false" customHeight="true" outlineLevel="0" collapsed="false">
      <c r="A2599" s="3"/>
      <c r="B2599" s="3" t="n">
        <f aca="false">IF(ISNUMBER(SEARCH("%", A2599)),RIGHT(A2599,3),A2599)</f>
        <v>0</v>
      </c>
      <c r="C2599" s="2"/>
    </row>
    <row r="2600" customFormat="false" ht="12.75" hidden="false" customHeight="true" outlineLevel="0" collapsed="false">
      <c r="A2600" s="3" t="s">
        <v>2809</v>
      </c>
      <c r="B2600" s="3" t="str">
        <f aca="false">IF(ISNUMBER(SEARCH("%", A2600)),RIGHT(A2600,3),A2600)</f>
        <v>0.04</v>
      </c>
      <c r="C2600" s="2" t="s">
        <v>2809</v>
      </c>
    </row>
    <row r="2601" customFormat="false" ht="12.75" hidden="false" customHeight="true" outlineLevel="0" collapsed="false">
      <c r="A2601" s="3" t="s">
        <v>3424</v>
      </c>
      <c r="B2601" s="3" t="str">
        <f aca="false">IF(ISNUMBER(SEARCH("%", A2601)),RIGHT(A2601,3),A2601)</f>
        <v>20, 25, FEAROW</v>
      </c>
      <c r="C2601" s="2" t="s">
        <v>3424</v>
      </c>
    </row>
    <row r="2602" customFormat="false" ht="12.75" hidden="false" customHeight="true" outlineLevel="0" collapsed="false">
      <c r="A2602" s="3" t="s">
        <v>3425</v>
      </c>
      <c r="B2602" s="3" t="str">
        <f aca="false">IF(ISNUMBER(SEARCH("%", A2602)),RIGHT(A2602,3),A2602)</f>
        <v>22, 22, POLIWHIRL</v>
      </c>
      <c r="C2602" s="2" t="s">
        <v>3425</v>
      </c>
    </row>
    <row r="2603" customFormat="false" ht="12.75" hidden="false" customHeight="true" outlineLevel="0" collapsed="false">
      <c r="A2603" s="3"/>
      <c r="B2603" s="3" t="n">
        <f aca="false">IF(ISNUMBER(SEARCH("%", A2603)),RIGHT(A2603,3),A2603)</f>
        <v>0</v>
      </c>
      <c r="C2603" s="2"/>
    </row>
    <row r="2604" customFormat="false" ht="12.75" hidden="false" customHeight="true" outlineLevel="0" collapsed="false">
      <c r="A2604" s="3" t="s">
        <v>2812</v>
      </c>
      <c r="B2604" s="3" t="str">
        <f aca="false">IF(ISNUMBER(SEARCH("%", A2604)),RIGHT(A2604,3),A2604)</f>
        <v>0.01</v>
      </c>
      <c r="C2604" s="2" t="s">
        <v>2812</v>
      </c>
    </row>
    <row r="2605" customFormat="false" ht="12.75" hidden="false" customHeight="true" outlineLevel="0" collapsed="false">
      <c r="A2605" s="3" t="s">
        <v>3426</v>
      </c>
      <c r="B2605" s="3" t="str">
        <f aca="false">IF(ISNUMBER(SEARCH("%", A2605)),RIGHT(A2605,3),A2605)</f>
        <v>19, 21, TANGELA</v>
      </c>
      <c r="C2605" s="2" t="s">
        <v>3426</v>
      </c>
    </row>
    <row r="2606" customFormat="false" ht="12.75" hidden="false" customHeight="true" outlineLevel="0" collapsed="false">
      <c r="A2606" s="3" t="s">
        <v>3427</v>
      </c>
      <c r="B2606" s="3" t="str">
        <f aca="false">IF(ISNUMBER(SEARCH("%", A2606)),RIGHT(A2606,3),A2606)</f>
        <v>19, 21, PONYTA</v>
      </c>
      <c r="C2606" s="2" t="s">
        <v>3427</v>
      </c>
    </row>
    <row r="2607" customFormat="false" ht="12.75" hidden="false" customHeight="true" outlineLevel="0" collapsed="false">
      <c r="A2607" s="3" t="s">
        <v>3349</v>
      </c>
      <c r="B2607" s="3" t="str">
        <f aca="false">IF(ISNUMBER(SEARCH("%", A2607)),RIGHT(A2607,3),A2607)</f>
        <v>2, 38, 42, TENTACOOL</v>
      </c>
      <c r="C2607" s="2" t="s">
        <v>3349</v>
      </c>
    </row>
    <row r="2608" customFormat="false" ht="12.75" hidden="false" customHeight="true" outlineLevel="0" collapsed="false">
      <c r="A2608" s="3" t="s">
        <v>3428</v>
      </c>
      <c r="B2608" s="3" t="str">
        <f aca="false">IF(ISNUMBER(SEARCH("%", A2608)),RIGHT(A2608,3),A2608)</f>
        <v>40, 44, TENTACRUEL</v>
      </c>
      <c r="C2608" s="2" t="s">
        <v>3428</v>
      </c>
    </row>
    <row r="2609" customFormat="false" ht="12.75" hidden="false" customHeight="true" outlineLevel="0" collapsed="false">
      <c r="A2609" s="3" t="s">
        <v>3024</v>
      </c>
      <c r="B2609" s="3" t="str">
        <f aca="false">IF(ISNUMBER(SEARCH("%", A2609)),RIGHT(A2609,3),A2609)</f>
        <v>42, 46, LAPRAS</v>
      </c>
      <c r="C2609" s="2" t="s">
        <v>3024</v>
      </c>
    </row>
    <row r="2610" customFormat="false" ht="12.75" hidden="false" customHeight="true" outlineLevel="0" collapsed="false">
      <c r="A2610" s="3" t="s">
        <v>3429</v>
      </c>
      <c r="B2610" s="3" t="str">
        <f aca="false">IF(ISNUMBER(SEARCH("%", A2610)),RIGHT(A2610,3),A2610)</f>
        <v>42, 46, TENTACATE</v>
      </c>
      <c r="C2610" s="2" t="s">
        <v>3429</v>
      </c>
    </row>
    <row r="2611" customFormat="false" ht="12.75" hidden="false" customHeight="true" outlineLevel="0" collapsed="false">
      <c r="A2611" s="3" t="s">
        <v>2924</v>
      </c>
      <c r="B2611" s="3" t="str">
        <f aca="false">IF(ISNUMBER(SEARCH("%", A2611)),RIGHT(A2611,3),A2611)</f>
        <v>44, 48, VAPOREON</v>
      </c>
      <c r="C2611" s="2" t="s">
        <v>2924</v>
      </c>
    </row>
    <row r="2612" customFormat="false" ht="12.75" hidden="false" customHeight="true" outlineLevel="0" collapsed="false">
      <c r="A2612" s="3" t="s">
        <v>2925</v>
      </c>
      <c r="B2612" s="3" t="str">
        <f aca="false">IF(ISNUMBER(SEARCH("%", A2612)),RIGHT(A2612,3),A2612)</f>
        <v>20, old rod:</v>
      </c>
      <c r="C2612" s="2" t="s">
        <v>2925</v>
      </c>
    </row>
    <row r="2613" customFormat="false" ht="12.75" hidden="false" customHeight="true" outlineLevel="0" collapsed="false">
      <c r="A2613" s="3" t="s">
        <v>1451</v>
      </c>
      <c r="B2613" s="3" t="str">
        <f aca="false">IF(ISNUMBER(SEARCH("%", A2613)),RIGHT(A2613,3),A2613)</f>
        <v>19, 26, HORSEA</v>
      </c>
      <c r="C2613" s="2" t="s">
        <v>1451</v>
      </c>
    </row>
    <row r="2614" customFormat="false" ht="12.75" hidden="false" customHeight="true" outlineLevel="0" collapsed="false">
      <c r="A2614" s="3" t="s">
        <v>2008</v>
      </c>
      <c r="B2614" s="3" t="str">
        <f aca="false">IF(ISNUMBER(SEARCH("%", A2614)),RIGHT(A2614,3),A2614)</f>
        <v>19, 26, PSYDUCK</v>
      </c>
      <c r="C2614" s="2" t="s">
        <v>2008</v>
      </c>
    </row>
    <row r="2615" customFormat="false" ht="12.75" hidden="false" customHeight="true" outlineLevel="0" collapsed="false">
      <c r="A2615" s="3"/>
      <c r="B2615" s="3" t="n">
        <f aca="false">IF(ISNUMBER(SEARCH("%", A2615)),RIGHT(A2615,3),A2615)</f>
        <v>0</v>
      </c>
      <c r="C2615" s="2"/>
    </row>
    <row r="2616" customFormat="false" ht="12.75" hidden="false" customHeight="true" outlineLevel="0" collapsed="false">
      <c r="A2616" s="3" t="s">
        <v>2846</v>
      </c>
      <c r="B2616" s="3" t="str">
        <f aca="false">IF(ISNUMBER(SEARCH("%", A2616)),RIGHT(A2616,3),A2616)</f>
        <v>good rod:</v>
      </c>
      <c r="C2616" s="2" t="s">
        <v>2846</v>
      </c>
    </row>
    <row r="2617" customFormat="false" ht="12.75" hidden="false" customHeight="true" outlineLevel="0" collapsed="false">
      <c r="A2617" s="3" t="s">
        <v>3430</v>
      </c>
      <c r="B2617" s="3" t="str">
        <f aca="false">IF(ISNUMBER(SEARCH("%", A2617)),RIGHT(A2617,3),A2617)</f>
        <v>29, 33, HORSEA</v>
      </c>
      <c r="C2617" s="2" t="s">
        <v>3430</v>
      </c>
    </row>
    <row r="2618" customFormat="false" ht="12.75" hidden="false" customHeight="true" outlineLevel="0" collapsed="false">
      <c r="A2618" s="3" t="s">
        <v>3431</v>
      </c>
      <c r="B2618" s="3" t="str">
        <f aca="false">IF(ISNUMBER(SEARCH("%", A2618)),RIGHT(A2618,3),A2618)</f>
        <v>30, 35, SLOWPOKE</v>
      </c>
      <c r="C2618" s="2" t="s">
        <v>3431</v>
      </c>
    </row>
    <row r="2619" customFormat="false" ht="12.75" hidden="false" customHeight="true" outlineLevel="0" collapsed="false">
      <c r="A2619" s="3" t="s">
        <v>3354</v>
      </c>
      <c r="B2619" s="3" t="str">
        <f aca="false">IF(ISNUMBER(SEARCH("%", A2619)),RIGHT(A2619,3),A2619)</f>
        <v>30, 35, PSYDUCK</v>
      </c>
      <c r="C2619" s="2" t="s">
        <v>3354</v>
      </c>
    </row>
    <row r="2620" customFormat="false" ht="12.75" hidden="false" customHeight="true" outlineLevel="0" collapsed="false">
      <c r="A2620" s="3"/>
      <c r="B2620" s="3" t="n">
        <f aca="false">IF(ISNUMBER(SEARCH("%", A2620)),RIGHT(A2620,3),A2620)</f>
        <v>0</v>
      </c>
      <c r="C2620" s="2"/>
    </row>
    <row r="2621" customFormat="false" ht="12.75" hidden="false" customHeight="true" outlineLevel="0" collapsed="false">
      <c r="A2621" s="3" t="s">
        <v>2850</v>
      </c>
      <c r="B2621" s="3" t="str">
        <f aca="false">IF(ISNUMBER(SEARCH("%", A2621)),RIGHT(A2621,3),A2621)</f>
        <v>super rod:</v>
      </c>
      <c r="C2621" s="2" t="s">
        <v>2850</v>
      </c>
    </row>
    <row r="2622" customFormat="false" ht="12.75" hidden="false" customHeight="true" outlineLevel="0" collapsed="false">
      <c r="A2622" s="3" t="s">
        <v>3432</v>
      </c>
      <c r="B2622" s="3" t="str">
        <f aca="false">IF(ISNUMBER(SEARCH("%", A2622)),RIGHT(A2622,3),A2622)</f>
        <v>36, 40, SEADRA</v>
      </c>
      <c r="C2622" s="2" t="s">
        <v>3432</v>
      </c>
    </row>
    <row r="2623" customFormat="false" ht="12.75" hidden="false" customHeight="true" outlineLevel="0" collapsed="false">
      <c r="A2623" s="3" t="s">
        <v>3433</v>
      </c>
      <c r="B2623" s="3" t="str">
        <f aca="false">IF(ISNUMBER(SEARCH("%", A2623)),RIGHT(A2623,3),A2623)</f>
        <v>36, 40, GOLDUCK</v>
      </c>
      <c r="C2623" s="2" t="s">
        <v>3433</v>
      </c>
    </row>
    <row r="2624" customFormat="false" ht="12.75" hidden="false" customHeight="true" outlineLevel="0" collapsed="false">
      <c r="A2624" s="3" t="s">
        <v>3434</v>
      </c>
      <c r="B2624" s="3" t="str">
        <f aca="false">IF(ISNUMBER(SEARCH("%", A2624)),RIGHT(A2624,3),A2624)</f>
        <v>38, 42, SLOWBRO</v>
      </c>
      <c r="C2624" s="2" t="s">
        <v>3434</v>
      </c>
    </row>
    <row r="2625" customFormat="false" ht="12.75" hidden="false" customHeight="true" outlineLevel="0" collapsed="false">
      <c r="A2625" s="3" t="s">
        <v>3435</v>
      </c>
      <c r="B2625" s="3" t="str">
        <f aca="false">IF(ISNUMBER(SEARCH("%", A2625)),RIGHT(A2625,3),A2625)</f>
        <v>38, 42, KINGDRA</v>
      </c>
      <c r="C2625" s="2" t="s">
        <v>3435</v>
      </c>
    </row>
    <row r="2626" customFormat="false" ht="12.75" hidden="false" customHeight="true" outlineLevel="0" collapsed="false">
      <c r="A2626" s="3" t="s">
        <v>3436</v>
      </c>
      <c r="B2626" s="3" t="str">
        <f aca="false">IF(ISNUMBER(SEARCH("%", A2626)),RIGHT(A2626,3),A2626)</f>
        <v>40, 44, GILDUCK</v>
      </c>
      <c r="C2626" s="2" t="s">
        <v>3436</v>
      </c>
    </row>
    <row r="2627" customFormat="false" ht="12.75" hidden="false" customHeight="true" outlineLevel="0" collapsed="false">
      <c r="A2627" s="3" t="s">
        <v>2536</v>
      </c>
      <c r="B2627" s="3" t="str">
        <f aca="false">IF(ISNUMBER(SEARCH("%", A2627)),RIGHT(A2627,3),A2627)</f>
        <v>NEW ROUTE</v>
      </c>
      <c r="C2627" s="2" t="s">
        <v>2536</v>
      </c>
    </row>
    <row r="2628" customFormat="false" ht="12.75" hidden="false" customHeight="true" outlineLevel="0" collapsed="false">
      <c r="A2628" s="3" t="s">
        <v>3437</v>
      </c>
      <c r="B2628" s="3" t="str">
        <f aca="false">IF(ISNUMBER(SEARCH("%", A2628)),RIGHT(A2628,3),A2628)</f>
        <v>3, 29, 0,</v>
      </c>
      <c r="C2628" s="2" t="s">
        <v>3437</v>
      </c>
    </row>
    <row r="2629" customFormat="false" ht="12.75" hidden="false" customHeight="true" outlineLevel="0" collapsed="false">
      <c r="A2629" s="3" t="s">
        <v>2908</v>
      </c>
      <c r="B2629" s="3" t="str">
        <f aca="false">IF(ISNUMBER(SEARCH("%", A2629)),RIGHT(A2629,3),A2629)</f>
        <v>20%</v>
      </c>
      <c r="C2629" s="2" t="s">
        <v>2799</v>
      </c>
    </row>
    <row r="2630" customFormat="false" ht="12.75" hidden="false" customHeight="true" outlineLevel="0" collapsed="false">
      <c r="A2630" s="3" t="s">
        <v>1911</v>
      </c>
      <c r="B2630" s="3" t="str">
        <f aca="false">IF(ISNUMBER(SEARCH("%", A2630)),RIGHT(A2630,3),A2630)</f>
        <v>16, 18, EKANS</v>
      </c>
      <c r="C2630" s="2" t="s">
        <v>1911</v>
      </c>
    </row>
    <row r="2631" customFormat="false" ht="12.75" hidden="false" customHeight="true" outlineLevel="0" collapsed="false">
      <c r="A2631" s="3" t="s">
        <v>3438</v>
      </c>
      <c r="B2631" s="3" t="str">
        <f aca="false">IF(ISNUMBER(SEARCH("%", A2631)),RIGHT(A2631,3),A2631)</f>
        <v>16, 18, SPEAROW</v>
      </c>
      <c r="C2631" s="2" t="s">
        <v>3438</v>
      </c>
    </row>
    <row r="2632" customFormat="false" ht="12.75" hidden="false" customHeight="true" outlineLevel="0" collapsed="false">
      <c r="A2632" s="3"/>
      <c r="B2632" s="3" t="n">
        <f aca="false">IF(ISNUMBER(SEARCH("%", A2632)),RIGHT(A2632,3),A2632)</f>
        <v>0</v>
      </c>
      <c r="C2632" s="2"/>
    </row>
    <row r="2633" customFormat="false" ht="12.75" hidden="false" customHeight="true" outlineLevel="0" collapsed="false">
      <c r="A2633" s="3" t="s">
        <v>2801</v>
      </c>
      <c r="B2633" s="3" t="str">
        <f aca="false">IF(ISNUMBER(SEARCH("%", A2633)),RIGHT(A2633,3),A2633)</f>
        <v>0.1</v>
      </c>
      <c r="C2633" s="2" t="s">
        <v>2801</v>
      </c>
    </row>
    <row r="2634" customFormat="false" ht="12.75" hidden="false" customHeight="true" outlineLevel="0" collapsed="false">
      <c r="A2634" s="3" t="s">
        <v>3439</v>
      </c>
      <c r="B2634" s="3" t="str">
        <f aca="false">IF(ISNUMBER(SEARCH("%", A2634)),RIGHT(A2634,3),A2634)</f>
        <v>17, 20, SANDSHREW</v>
      </c>
      <c r="C2634" s="2" t="s">
        <v>3439</v>
      </c>
    </row>
    <row r="2635" customFormat="false" ht="12.75" hidden="false" customHeight="true" outlineLevel="0" collapsed="false">
      <c r="A2635" s="3" t="s">
        <v>3440</v>
      </c>
      <c r="B2635" s="3" t="str">
        <f aca="false">IF(ISNUMBER(SEARCH("%", A2635)),RIGHT(A2635,3),A2635)</f>
        <v>17, 20, DROWZEE</v>
      </c>
      <c r="C2635" s="2" t="s">
        <v>3440</v>
      </c>
    </row>
    <row r="2636" customFormat="false" ht="12.75" hidden="false" customHeight="true" outlineLevel="0" collapsed="false">
      <c r="A2636" s="3" t="s">
        <v>3441</v>
      </c>
      <c r="B2636" s="3" t="str">
        <f aca="false">IF(ISNUMBER(SEARCH("%", A2636)),RIGHT(A2636,3),A2636)</f>
        <v>17, 20, MAGNEMITE</v>
      </c>
      <c r="C2636" s="2" t="s">
        <v>3441</v>
      </c>
    </row>
    <row r="2637" customFormat="false" ht="12.75" hidden="false" customHeight="true" outlineLevel="0" collapsed="false">
      <c r="A2637" s="3" t="s">
        <v>3442</v>
      </c>
      <c r="B2637" s="3" t="str">
        <f aca="false">IF(ISNUMBER(SEARCH("%", A2637)),RIGHT(A2637,3),A2637)</f>
        <v>17, 20, VOLTORB</v>
      </c>
      <c r="C2637" s="2" t="s">
        <v>3442</v>
      </c>
    </row>
    <row r="2638" customFormat="false" ht="12.75" hidden="false" customHeight="true" outlineLevel="0" collapsed="false">
      <c r="A2638" s="3"/>
      <c r="B2638" s="3" t="n">
        <f aca="false">IF(ISNUMBER(SEARCH("%", A2638)),RIGHT(A2638,3),A2638)</f>
        <v>0</v>
      </c>
      <c r="C2638" s="2"/>
    </row>
    <row r="2639" customFormat="false" ht="12.75" hidden="false" customHeight="true" outlineLevel="0" collapsed="false">
      <c r="A2639" s="3" t="s">
        <v>2806</v>
      </c>
      <c r="B2639" s="3" t="str">
        <f aca="false">IF(ISNUMBER(SEARCH("%", A2639)),RIGHT(A2639,3),A2639)</f>
        <v>0.05</v>
      </c>
      <c r="C2639" s="2" t="s">
        <v>2806</v>
      </c>
    </row>
    <row r="2640" customFormat="false" ht="12.75" hidden="false" customHeight="true" outlineLevel="0" collapsed="false">
      <c r="A2640" s="3" t="s">
        <v>3443</v>
      </c>
      <c r="B2640" s="3" t="str">
        <f aca="false">IF(ISNUMBER(SEARCH("%", A2640)),RIGHT(A2640,3),A2640)</f>
        <v>18, 18, FARFETCH'D</v>
      </c>
      <c r="C2640" s="2" t="s">
        <v>3443</v>
      </c>
    </row>
    <row r="2641" customFormat="false" ht="12.75" hidden="false" customHeight="true" outlineLevel="0" collapsed="false">
      <c r="A2641" s="3" t="s">
        <v>3444</v>
      </c>
      <c r="B2641" s="3" t="str">
        <f aca="false">IF(ISNUMBER(SEARCH("%", A2641)),RIGHT(A2641,3),A2641)</f>
        <v>18, 18, ABRA</v>
      </c>
      <c r="C2641" s="2" t="s">
        <v>3444</v>
      </c>
    </row>
    <row r="2642" customFormat="false" ht="12.75" hidden="false" customHeight="true" outlineLevel="0" collapsed="false">
      <c r="A2642" s="3"/>
      <c r="B2642" s="3" t="n">
        <f aca="false">IF(ISNUMBER(SEARCH("%", A2642)),RIGHT(A2642,3),A2642)</f>
        <v>0</v>
      </c>
      <c r="C2642" s="2"/>
    </row>
    <row r="2643" customFormat="false" ht="12.75" hidden="false" customHeight="true" outlineLevel="0" collapsed="false">
      <c r="A2643" s="3" t="s">
        <v>2809</v>
      </c>
      <c r="B2643" s="3" t="str">
        <f aca="false">IF(ISNUMBER(SEARCH("%", A2643)),RIGHT(A2643,3),A2643)</f>
        <v>0.04</v>
      </c>
      <c r="C2643" s="2" t="s">
        <v>2809</v>
      </c>
    </row>
    <row r="2644" customFormat="false" ht="12.75" hidden="false" customHeight="true" outlineLevel="0" collapsed="false">
      <c r="A2644" s="3" t="s">
        <v>3445</v>
      </c>
      <c r="B2644" s="3" t="str">
        <f aca="false">IF(ISNUMBER(SEARCH("%", A2644)),RIGHT(A2644,3),A2644)</f>
        <v>15, 19, PIKACHU</v>
      </c>
      <c r="C2644" s="2" t="s">
        <v>3445</v>
      </c>
    </row>
    <row r="2645" customFormat="false" ht="12.75" hidden="false" customHeight="true" outlineLevel="0" collapsed="false">
      <c r="A2645" s="3" t="s">
        <v>3446</v>
      </c>
      <c r="B2645" s="3" t="str">
        <f aca="false">IF(ISNUMBER(SEARCH("%", A2645)),RIGHT(A2645,3),A2645)</f>
        <v>15, 19, KADABRA</v>
      </c>
      <c r="C2645" s="2" t="s">
        <v>3446</v>
      </c>
    </row>
    <row r="2646" customFormat="false" ht="12.75" hidden="false" customHeight="true" outlineLevel="0" collapsed="false">
      <c r="A2646" s="3"/>
      <c r="B2646" s="3" t="n">
        <f aca="false">IF(ISNUMBER(SEARCH("%", A2646)),RIGHT(A2646,3),A2646)</f>
        <v>0</v>
      </c>
      <c r="C2646" s="2"/>
    </row>
    <row r="2647" customFormat="false" ht="12.75" hidden="false" customHeight="true" outlineLevel="0" collapsed="false">
      <c r="A2647" s="3" t="s">
        <v>2812</v>
      </c>
      <c r="B2647" s="3" t="str">
        <f aca="false">IF(ISNUMBER(SEARCH("%", A2647)),RIGHT(A2647,3),A2647)</f>
        <v>0.01</v>
      </c>
      <c r="C2647" s="2" t="s">
        <v>2812</v>
      </c>
    </row>
    <row r="2648" customFormat="false" ht="12.75" hidden="false" customHeight="true" outlineLevel="0" collapsed="false">
      <c r="A2648" s="3" t="s">
        <v>3447</v>
      </c>
      <c r="B2648" s="3" t="str">
        <f aca="false">IF(ISNUMBER(SEARCH("%", A2648)),RIGHT(A2648,3),A2648)</f>
        <v>22, 22, ARBOK</v>
      </c>
      <c r="C2648" s="2" t="s">
        <v>3447</v>
      </c>
    </row>
    <row r="2649" customFormat="false" ht="12.75" hidden="false" customHeight="true" outlineLevel="0" collapsed="false">
      <c r="A2649" s="3" t="s">
        <v>3448</v>
      </c>
      <c r="B2649" s="3" t="str">
        <f aca="false">IF(ISNUMBER(SEARCH("%", A2649)),RIGHT(A2649,3),A2649)</f>
        <v>22, 22, LICKITUNG</v>
      </c>
      <c r="C2649" s="2" t="s">
        <v>3448</v>
      </c>
    </row>
    <row r="2650" customFormat="false" ht="12.75" hidden="false" customHeight="true" outlineLevel="0" collapsed="false">
      <c r="A2650" s="3" t="s">
        <v>3349</v>
      </c>
      <c r="B2650" s="3" t="str">
        <f aca="false">IF(ISNUMBER(SEARCH("%", A2650)),RIGHT(A2650,3),A2650)</f>
        <v>2, 38, 42, TENTACOOL</v>
      </c>
      <c r="C2650" s="2" t="s">
        <v>3349</v>
      </c>
    </row>
    <row r="2651" customFormat="false" ht="12.75" hidden="false" customHeight="true" outlineLevel="0" collapsed="false">
      <c r="A2651" s="3" t="s">
        <v>3428</v>
      </c>
      <c r="B2651" s="3" t="str">
        <f aca="false">IF(ISNUMBER(SEARCH("%", A2651)),RIGHT(A2651,3),A2651)</f>
        <v>40, 44, TENTACRUEL</v>
      </c>
      <c r="C2651" s="2" t="s">
        <v>3428</v>
      </c>
    </row>
    <row r="2652" customFormat="false" ht="12.75" hidden="false" customHeight="true" outlineLevel="0" collapsed="false">
      <c r="A2652" s="3" t="s">
        <v>3024</v>
      </c>
      <c r="B2652" s="3" t="str">
        <f aca="false">IF(ISNUMBER(SEARCH("%", A2652)),RIGHT(A2652,3),A2652)</f>
        <v>42, 46, LAPRAS</v>
      </c>
      <c r="C2652" s="2" t="s">
        <v>3024</v>
      </c>
    </row>
    <row r="2653" customFormat="false" ht="12.75" hidden="false" customHeight="true" outlineLevel="0" collapsed="false">
      <c r="A2653" s="3" t="s">
        <v>3429</v>
      </c>
      <c r="B2653" s="3" t="str">
        <f aca="false">IF(ISNUMBER(SEARCH("%", A2653)),RIGHT(A2653,3),A2653)</f>
        <v>42, 46, TENTACATE</v>
      </c>
      <c r="C2653" s="2" t="s">
        <v>3429</v>
      </c>
    </row>
    <row r="2654" customFormat="false" ht="12.75" hidden="false" customHeight="true" outlineLevel="0" collapsed="false">
      <c r="A2654" s="3" t="s">
        <v>3449</v>
      </c>
      <c r="B2654" s="3" t="str">
        <f aca="false">IF(ISNUMBER(SEARCH("%", A2654)),RIGHT(A2654,3),A2654)</f>
        <v>44, 48, LOCHLASS</v>
      </c>
      <c r="C2654" s="2" t="s">
        <v>3449</v>
      </c>
    </row>
    <row r="2655" customFormat="false" ht="12.75" hidden="false" customHeight="true" outlineLevel="0" collapsed="false">
      <c r="A2655" s="3" t="s">
        <v>2925</v>
      </c>
      <c r="B2655" s="3" t="str">
        <f aca="false">IF(ISNUMBER(SEARCH("%", A2655)),RIGHT(A2655,3),A2655)</f>
        <v>20, old rod:</v>
      </c>
      <c r="C2655" s="2" t="s">
        <v>2925</v>
      </c>
    </row>
    <row r="2656" customFormat="false" ht="12.75" hidden="false" customHeight="true" outlineLevel="0" collapsed="false">
      <c r="A2656" s="3" t="s">
        <v>1349</v>
      </c>
      <c r="B2656" s="3" t="str">
        <f aca="false">IF(ISNUMBER(SEARCH("%", A2656)),RIGHT(A2656,3),A2656)</f>
        <v>19, 26, MAGIKARP</v>
      </c>
      <c r="C2656" s="2" t="s">
        <v>1349</v>
      </c>
    </row>
    <row r="2657" customFormat="false" ht="12.75" hidden="false" customHeight="true" outlineLevel="0" collapsed="false">
      <c r="A2657" s="3" t="s">
        <v>3352</v>
      </c>
      <c r="B2657" s="3" t="str">
        <f aca="false">IF(ISNUMBER(SEARCH("%", A2657)),RIGHT(A2657,3),A2657)</f>
        <v>19, 26, GYARADOS</v>
      </c>
      <c r="C2657" s="2" t="s">
        <v>3352</v>
      </c>
    </row>
    <row r="2658" customFormat="false" ht="12.75" hidden="false" customHeight="true" outlineLevel="0" collapsed="false">
      <c r="A2658" s="3"/>
      <c r="B2658" s="3" t="n">
        <f aca="false">IF(ISNUMBER(SEARCH("%", A2658)),RIGHT(A2658,3),A2658)</f>
        <v>0</v>
      </c>
      <c r="C2658" s="2"/>
    </row>
    <row r="2659" customFormat="false" ht="12.75" hidden="false" customHeight="true" outlineLevel="0" collapsed="false">
      <c r="A2659" s="3" t="s">
        <v>2846</v>
      </c>
      <c r="B2659" s="3" t="str">
        <f aca="false">IF(ISNUMBER(SEARCH("%", A2659)),RIGHT(A2659,3),A2659)</f>
        <v>good rod:</v>
      </c>
      <c r="C2659" s="2" t="s">
        <v>2846</v>
      </c>
    </row>
    <row r="2660" customFormat="false" ht="12.75" hidden="false" customHeight="true" outlineLevel="0" collapsed="false">
      <c r="A2660" s="3" t="s">
        <v>3430</v>
      </c>
      <c r="B2660" s="3" t="str">
        <f aca="false">IF(ISNUMBER(SEARCH("%", A2660)),RIGHT(A2660,3),A2660)</f>
        <v>29, 33, HORSEA</v>
      </c>
      <c r="C2660" s="2" t="s">
        <v>3430</v>
      </c>
    </row>
    <row r="2661" customFormat="false" ht="12.75" hidden="false" customHeight="true" outlineLevel="0" collapsed="false">
      <c r="A2661" s="3" t="s">
        <v>3450</v>
      </c>
      <c r="B2661" s="3" t="str">
        <f aca="false">IF(ISNUMBER(SEARCH("%", A2661)),RIGHT(A2661,3),A2661)</f>
        <v>30, 35, SHELLDER</v>
      </c>
      <c r="C2661" s="2" t="s">
        <v>3450</v>
      </c>
    </row>
    <row r="2662" customFormat="false" ht="12.75" hidden="false" customHeight="true" outlineLevel="0" collapsed="false">
      <c r="A2662" s="3" t="s">
        <v>3451</v>
      </c>
      <c r="B2662" s="3" t="str">
        <f aca="false">IF(ISNUMBER(SEARCH("%", A2662)),RIGHT(A2662,3),A2662)</f>
        <v>30, 35, STARYU</v>
      </c>
      <c r="C2662" s="2" t="s">
        <v>3451</v>
      </c>
    </row>
    <row r="2663" customFormat="false" ht="12.75" hidden="false" customHeight="true" outlineLevel="0" collapsed="false">
      <c r="A2663" s="3"/>
      <c r="B2663" s="3" t="n">
        <f aca="false">IF(ISNUMBER(SEARCH("%", A2663)),RIGHT(A2663,3),A2663)</f>
        <v>0</v>
      </c>
      <c r="C2663" s="2"/>
    </row>
    <row r="2664" customFormat="false" ht="12.75" hidden="false" customHeight="true" outlineLevel="0" collapsed="false">
      <c r="A2664" s="3" t="s">
        <v>2850</v>
      </c>
      <c r="B2664" s="3" t="str">
        <f aca="false">IF(ISNUMBER(SEARCH("%", A2664)),RIGHT(A2664,3),A2664)</f>
        <v>super rod:</v>
      </c>
      <c r="C2664" s="2" t="s">
        <v>2850</v>
      </c>
    </row>
    <row r="2665" customFormat="false" ht="12.75" hidden="false" customHeight="true" outlineLevel="0" collapsed="false">
      <c r="A2665" s="3" t="s">
        <v>3026</v>
      </c>
      <c r="B2665" s="3" t="str">
        <f aca="false">IF(ISNUMBER(SEARCH("%", A2665)),RIGHT(A2665,3),A2665)</f>
        <v>29, 33, SEADRA</v>
      </c>
      <c r="C2665" s="2" t="s">
        <v>3026</v>
      </c>
    </row>
    <row r="2666" customFormat="false" ht="12.75" hidden="false" customHeight="true" outlineLevel="0" collapsed="false">
      <c r="A2666" s="3" t="s">
        <v>3356</v>
      </c>
      <c r="B2666" s="3" t="str">
        <f aca="false">IF(ISNUMBER(SEARCH("%", A2666)),RIGHT(A2666,3),A2666)</f>
        <v>36, 40, GYARADOS</v>
      </c>
      <c r="C2666" s="2" t="s">
        <v>3356</v>
      </c>
    </row>
    <row r="2667" customFormat="false" ht="12.75" hidden="false" customHeight="true" outlineLevel="0" collapsed="false">
      <c r="A2667" s="3" t="s">
        <v>3452</v>
      </c>
      <c r="B2667" s="3" t="str">
        <f aca="false">IF(ISNUMBER(SEARCH("%", A2667)),RIGHT(A2667,3),A2667)</f>
        <v>38, 42, STARMIE</v>
      </c>
      <c r="C2667" s="2" t="s">
        <v>3452</v>
      </c>
    </row>
    <row r="2668" customFormat="false" ht="12.75" hidden="false" customHeight="true" outlineLevel="0" collapsed="false">
      <c r="A2668" s="3" t="s">
        <v>3453</v>
      </c>
      <c r="B2668" s="3" t="str">
        <f aca="false">IF(ISNUMBER(SEARCH("%", A2668)),RIGHT(A2668,3),A2668)</f>
        <v>38, 42, CLOYSTER</v>
      </c>
      <c r="C2668" s="2" t="s">
        <v>3453</v>
      </c>
    </row>
    <row r="2669" customFormat="false" ht="12.75" hidden="false" customHeight="true" outlineLevel="0" collapsed="false">
      <c r="A2669" s="3" t="s">
        <v>3454</v>
      </c>
      <c r="B2669" s="3" t="str">
        <f aca="false">IF(ISNUMBER(SEARCH("%", A2669)),RIGHT(A2669,3),A2669)</f>
        <v>38, 42, STARUS</v>
      </c>
      <c r="C2669" s="2" t="s">
        <v>3454</v>
      </c>
    </row>
    <row r="2670" customFormat="false" ht="12.75" hidden="false" customHeight="true" outlineLevel="0" collapsed="false">
      <c r="A2670" s="3" t="s">
        <v>2536</v>
      </c>
      <c r="B2670" s="3" t="str">
        <f aca="false">IF(ISNUMBER(SEARCH("%", A2670)),RIGHT(A2670,3),A2670)</f>
        <v>NEW ROUTE</v>
      </c>
      <c r="C2670" s="2" t="s">
        <v>2536</v>
      </c>
    </row>
    <row r="2671" customFormat="false" ht="12.75" hidden="false" customHeight="true" outlineLevel="0" collapsed="false">
      <c r="A2671" s="3" t="s">
        <v>3455</v>
      </c>
      <c r="B2671" s="3" t="str">
        <f aca="false">IF(ISNUMBER(SEARCH("%", A2671)),RIGHT(A2671,3),A2671)</f>
        <v>3, 30, 0,</v>
      </c>
      <c r="C2671" s="2" t="s">
        <v>3455</v>
      </c>
    </row>
    <row r="2672" customFormat="false" ht="12.75" hidden="false" customHeight="true" outlineLevel="0" collapsed="false">
      <c r="A2672" s="3" t="s">
        <v>2908</v>
      </c>
      <c r="B2672" s="3" t="str">
        <f aca="false">IF(ISNUMBER(SEARCH("%", A2672)),RIGHT(A2672,3),A2672)</f>
        <v>20%</v>
      </c>
      <c r="C2672" s="2" t="s">
        <v>2799</v>
      </c>
    </row>
    <row r="2673" customFormat="false" ht="12.75" hidden="false" customHeight="true" outlineLevel="0" collapsed="false">
      <c r="A2673" s="3" t="s">
        <v>1930</v>
      </c>
      <c r="B2673" s="3" t="str">
        <f aca="false">IF(ISNUMBER(SEARCH("%", A2673)),RIGHT(A2673,3),A2673)</f>
        <v>29, 34, BELLSPROUT</v>
      </c>
      <c r="C2673" s="2" t="s">
        <v>1930</v>
      </c>
    </row>
    <row r="2674" customFormat="false" ht="12.75" hidden="false" customHeight="true" outlineLevel="0" collapsed="false">
      <c r="A2674" s="3" t="s">
        <v>3456</v>
      </c>
      <c r="B2674" s="3" t="str">
        <f aca="false">IF(ISNUMBER(SEARCH("%", A2674)),RIGHT(A2674,3),A2674)</f>
        <v>29, 34, PIDGEOTTO</v>
      </c>
      <c r="C2674" s="2" t="s">
        <v>3456</v>
      </c>
    </row>
    <row r="2675" customFormat="false" ht="12.75" hidden="false" customHeight="true" outlineLevel="0" collapsed="false">
      <c r="A2675" s="3"/>
      <c r="B2675" s="3" t="n">
        <f aca="false">IF(ISNUMBER(SEARCH("%", A2675)),RIGHT(A2675,3),A2675)</f>
        <v>0</v>
      </c>
      <c r="C2675" s="2"/>
    </row>
    <row r="2676" customFormat="false" ht="12.75" hidden="false" customHeight="true" outlineLevel="0" collapsed="false">
      <c r="A2676" s="3" t="s">
        <v>2801</v>
      </c>
      <c r="B2676" s="3" t="str">
        <f aca="false">IF(ISNUMBER(SEARCH("%", A2676)),RIGHT(A2676,3),A2676)</f>
        <v>0.1</v>
      </c>
      <c r="C2676" s="2" t="s">
        <v>2801</v>
      </c>
    </row>
    <row r="2677" customFormat="false" ht="12.75" hidden="false" customHeight="true" outlineLevel="0" collapsed="false">
      <c r="A2677" s="3" t="s">
        <v>3457</v>
      </c>
      <c r="B2677" s="3" t="str">
        <f aca="false">IF(ISNUMBER(SEARCH("%", A2677)),RIGHT(A2677,3),A2677)</f>
        <v>29, 31, WEEPINBELL</v>
      </c>
      <c r="C2677" s="2" t="s">
        <v>3457</v>
      </c>
    </row>
    <row r="2678" customFormat="false" ht="12.75" hidden="false" customHeight="true" outlineLevel="0" collapsed="false">
      <c r="A2678" s="3" t="s">
        <v>3458</v>
      </c>
      <c r="B2678" s="3" t="str">
        <f aca="false">IF(ISNUMBER(SEARCH("%", A2678)),RIGHT(A2678,3),A2678)</f>
        <v>29, 31, DODUO</v>
      </c>
      <c r="C2678" s="2" t="s">
        <v>3458</v>
      </c>
    </row>
    <row r="2679" customFormat="false" ht="12.75" hidden="false" customHeight="true" outlineLevel="0" collapsed="false">
      <c r="A2679" s="3" t="s">
        <v>3459</v>
      </c>
      <c r="B2679" s="3" t="str">
        <f aca="false">IF(ISNUMBER(SEARCH("%", A2679)),RIGHT(A2679,3),A2679)</f>
        <v>31, 31, PIDGEOT</v>
      </c>
      <c r="C2679" s="2" t="s">
        <v>3459</v>
      </c>
    </row>
    <row r="2680" customFormat="false" ht="12.75" hidden="false" customHeight="true" outlineLevel="0" collapsed="false">
      <c r="A2680" s="3" t="s">
        <v>3460</v>
      </c>
      <c r="B2680" s="3" t="str">
        <f aca="false">IF(ISNUMBER(SEARCH("%", A2680)),RIGHT(A2680,3),A2680)</f>
        <v>29, 31, EXEGGCUTE</v>
      </c>
      <c r="C2680" s="2" t="s">
        <v>3460</v>
      </c>
    </row>
    <row r="2681" customFormat="false" ht="12.75" hidden="false" customHeight="true" outlineLevel="0" collapsed="false">
      <c r="A2681" s="3"/>
      <c r="B2681" s="3" t="n">
        <f aca="false">IF(ISNUMBER(SEARCH("%", A2681)),RIGHT(A2681,3),A2681)</f>
        <v>0</v>
      </c>
      <c r="C2681" s="2"/>
    </row>
    <row r="2682" customFormat="false" ht="12.75" hidden="false" customHeight="true" outlineLevel="0" collapsed="false">
      <c r="A2682" s="3" t="s">
        <v>2806</v>
      </c>
      <c r="B2682" s="3" t="str">
        <f aca="false">IF(ISNUMBER(SEARCH("%", A2682)),RIGHT(A2682,3),A2682)</f>
        <v>0.05</v>
      </c>
      <c r="C2682" s="2" t="s">
        <v>2806</v>
      </c>
    </row>
    <row r="2683" customFormat="false" ht="12.75" hidden="false" customHeight="true" outlineLevel="0" collapsed="false">
      <c r="A2683" s="3" t="s">
        <v>3461</v>
      </c>
      <c r="B2683" s="3" t="str">
        <f aca="false">IF(ISNUMBER(SEARCH("%", A2683)),RIGHT(A2683,3),A2683)</f>
        <v>30, 34, SCYTHER</v>
      </c>
      <c r="C2683" s="2" t="s">
        <v>3461</v>
      </c>
    </row>
    <row r="2684" customFormat="false" ht="12.75" hidden="false" customHeight="true" outlineLevel="0" collapsed="false">
      <c r="A2684" s="3" t="s">
        <v>3462</v>
      </c>
      <c r="B2684" s="3" t="str">
        <f aca="false">IF(ISNUMBER(SEARCH("%", A2684)),RIGHT(A2684,3),A2684)</f>
        <v>30, 34, JYNX</v>
      </c>
      <c r="C2684" s="2" t="s">
        <v>3462</v>
      </c>
    </row>
    <row r="2685" customFormat="false" ht="12.75" hidden="false" customHeight="true" outlineLevel="0" collapsed="false">
      <c r="A2685" s="3"/>
      <c r="B2685" s="3" t="n">
        <f aca="false">IF(ISNUMBER(SEARCH("%", A2685)),RIGHT(A2685,3),A2685)</f>
        <v>0</v>
      </c>
      <c r="C2685" s="2"/>
    </row>
    <row r="2686" customFormat="false" ht="12.75" hidden="false" customHeight="true" outlineLevel="0" collapsed="false">
      <c r="A2686" s="3" t="s">
        <v>2809</v>
      </c>
      <c r="B2686" s="3" t="str">
        <f aca="false">IF(ISNUMBER(SEARCH("%", A2686)),RIGHT(A2686,3),A2686)</f>
        <v>0.04</v>
      </c>
      <c r="C2686" s="2" t="s">
        <v>2809</v>
      </c>
    </row>
    <row r="2687" customFormat="false" ht="12.75" hidden="false" customHeight="true" outlineLevel="0" collapsed="false">
      <c r="A2687" s="3" t="s">
        <v>3463</v>
      </c>
      <c r="B2687" s="3" t="str">
        <f aca="false">IF(ISNUMBER(SEARCH("%", A2687)),RIGHT(A2687,3),A2687)</f>
        <v>31, 31, DODRIO</v>
      </c>
      <c r="C2687" s="2" t="s">
        <v>3463</v>
      </c>
    </row>
    <row r="2688" customFormat="false" ht="12.75" hidden="false" customHeight="true" outlineLevel="0" collapsed="false">
      <c r="A2688" s="3" t="s">
        <v>3464</v>
      </c>
      <c r="B2688" s="3" t="str">
        <f aca="false">IF(ISNUMBER(SEARCH("%", A2688)),RIGHT(A2688,3),A2688)</f>
        <v>31, 31, EXEGGUTOR</v>
      </c>
      <c r="C2688" s="2" t="s">
        <v>3464</v>
      </c>
    </row>
    <row r="2689" customFormat="false" ht="12.75" hidden="false" customHeight="true" outlineLevel="0" collapsed="false">
      <c r="A2689" s="3"/>
      <c r="B2689" s="3" t="n">
        <f aca="false">IF(ISNUMBER(SEARCH("%", A2689)),RIGHT(A2689,3),A2689)</f>
        <v>0</v>
      </c>
      <c r="C2689" s="2"/>
    </row>
    <row r="2690" customFormat="false" ht="12.75" hidden="false" customHeight="true" outlineLevel="0" collapsed="false">
      <c r="A2690" s="3" t="s">
        <v>2812</v>
      </c>
      <c r="B2690" s="3" t="str">
        <f aca="false">IF(ISNUMBER(SEARCH("%", A2690)),RIGHT(A2690,3),A2690)</f>
        <v>0.01</v>
      </c>
      <c r="C2690" s="2" t="s">
        <v>2812</v>
      </c>
    </row>
    <row r="2691" customFormat="false" ht="12.75" hidden="false" customHeight="true" outlineLevel="0" collapsed="false">
      <c r="A2691" s="3" t="s">
        <v>3465</v>
      </c>
      <c r="B2691" s="3" t="str">
        <f aca="false">IF(ISNUMBER(SEARCH("%", A2691)),RIGHT(A2691,3),A2691)</f>
        <v>29, 34, VICTREEBEL</v>
      </c>
      <c r="C2691" s="2" t="s">
        <v>3465</v>
      </c>
    </row>
    <row r="2692" customFormat="false" ht="12.75" hidden="false" customHeight="true" outlineLevel="0" collapsed="false">
      <c r="A2692" s="3" t="s">
        <v>3466</v>
      </c>
      <c r="B2692" s="3" t="str">
        <f aca="false">IF(ISNUMBER(SEARCH("%", A2692)),RIGHT(A2692,3),A2692)</f>
        <v>20, 25, SQUIRTLE</v>
      </c>
      <c r="C2692" s="2" t="s">
        <v>3466</v>
      </c>
    </row>
    <row r="2693" customFormat="false" ht="12.75" hidden="false" customHeight="true" outlineLevel="0" collapsed="false">
      <c r="A2693" s="3" t="s">
        <v>3349</v>
      </c>
      <c r="B2693" s="3" t="str">
        <f aca="false">IF(ISNUMBER(SEARCH("%", A2693)),RIGHT(A2693,3),A2693)</f>
        <v>2, 38, 42, TENTACOOL</v>
      </c>
      <c r="C2693" s="2" t="s">
        <v>3349</v>
      </c>
    </row>
    <row r="2694" customFormat="false" ht="12.75" hidden="false" customHeight="true" outlineLevel="0" collapsed="false">
      <c r="A2694" s="3" t="s">
        <v>3428</v>
      </c>
      <c r="B2694" s="3" t="str">
        <f aca="false">IF(ISNUMBER(SEARCH("%", A2694)),RIGHT(A2694,3),A2694)</f>
        <v>40, 44, TENTACRUEL</v>
      </c>
      <c r="C2694" s="2" t="s">
        <v>3428</v>
      </c>
    </row>
    <row r="2695" customFormat="false" ht="12.75" hidden="false" customHeight="true" outlineLevel="0" collapsed="false">
      <c r="A2695" s="3" t="s">
        <v>3024</v>
      </c>
      <c r="B2695" s="3" t="str">
        <f aca="false">IF(ISNUMBER(SEARCH("%", A2695)),RIGHT(A2695,3),A2695)</f>
        <v>42, 46, LAPRAS</v>
      </c>
      <c r="C2695" s="2" t="s">
        <v>3024</v>
      </c>
    </row>
    <row r="2696" customFormat="false" ht="12.75" hidden="false" customHeight="true" outlineLevel="0" collapsed="false">
      <c r="A2696" s="3" t="s">
        <v>3429</v>
      </c>
      <c r="B2696" s="3" t="str">
        <f aca="false">IF(ISNUMBER(SEARCH("%", A2696)),RIGHT(A2696,3),A2696)</f>
        <v>42, 46, TENTACATE</v>
      </c>
      <c r="C2696" s="2" t="s">
        <v>3429</v>
      </c>
    </row>
    <row r="2697" customFormat="false" ht="12.75" hidden="false" customHeight="true" outlineLevel="0" collapsed="false">
      <c r="A2697" s="3" t="s">
        <v>3449</v>
      </c>
      <c r="B2697" s="3" t="str">
        <f aca="false">IF(ISNUMBER(SEARCH("%", A2697)),RIGHT(A2697,3),A2697)</f>
        <v>44, 48, LOCHLASS</v>
      </c>
      <c r="C2697" s="2" t="s">
        <v>3449</v>
      </c>
    </row>
    <row r="2698" customFormat="false" ht="12.75" hidden="false" customHeight="true" outlineLevel="0" collapsed="false">
      <c r="A2698" s="3" t="s">
        <v>3467</v>
      </c>
      <c r="B2698" s="3" t="str">
        <f aca="false">IF(ISNUMBER(SEARCH("%", A2698)),RIGHT(A2698,3),A2698)</f>
        <v>60, old rod:</v>
      </c>
      <c r="C2698" s="2" t="s">
        <v>3467</v>
      </c>
    </row>
    <row r="2699" customFormat="false" ht="12.75" hidden="false" customHeight="true" outlineLevel="0" collapsed="false">
      <c r="A2699" s="3" t="s">
        <v>1349</v>
      </c>
      <c r="B2699" s="3" t="str">
        <f aca="false">IF(ISNUMBER(SEARCH("%", A2699)),RIGHT(A2699,3),A2699)</f>
        <v>19, 26, MAGIKARP</v>
      </c>
      <c r="C2699" s="2" t="s">
        <v>1349</v>
      </c>
    </row>
    <row r="2700" customFormat="false" ht="12.75" hidden="false" customHeight="true" outlineLevel="0" collapsed="false">
      <c r="A2700" s="3" t="s">
        <v>3352</v>
      </c>
      <c r="B2700" s="3" t="str">
        <f aca="false">IF(ISNUMBER(SEARCH("%", A2700)),RIGHT(A2700,3),A2700)</f>
        <v>19, 26, GYARADOS</v>
      </c>
      <c r="C2700" s="2" t="s">
        <v>3352</v>
      </c>
    </row>
    <row r="2701" customFormat="false" ht="12.75" hidden="false" customHeight="true" outlineLevel="0" collapsed="false">
      <c r="A2701" s="3"/>
      <c r="B2701" s="3" t="n">
        <f aca="false">IF(ISNUMBER(SEARCH("%", A2701)),RIGHT(A2701,3),A2701)</f>
        <v>0</v>
      </c>
      <c r="C2701" s="2"/>
    </row>
    <row r="2702" customFormat="false" ht="12.75" hidden="false" customHeight="true" outlineLevel="0" collapsed="false">
      <c r="A2702" s="3" t="s">
        <v>2846</v>
      </c>
      <c r="B2702" s="3" t="str">
        <f aca="false">IF(ISNUMBER(SEARCH("%", A2702)),RIGHT(A2702,3),A2702)</f>
        <v>good rod:</v>
      </c>
      <c r="C2702" s="2" t="s">
        <v>2846</v>
      </c>
    </row>
    <row r="2703" customFormat="false" ht="12.75" hidden="false" customHeight="true" outlineLevel="0" collapsed="false">
      <c r="A2703" s="3" t="s">
        <v>3430</v>
      </c>
      <c r="B2703" s="3" t="str">
        <f aca="false">IF(ISNUMBER(SEARCH("%", A2703)),RIGHT(A2703,3),A2703)</f>
        <v>29, 33, HORSEA</v>
      </c>
      <c r="C2703" s="2" t="s">
        <v>3430</v>
      </c>
    </row>
    <row r="2704" customFormat="false" ht="12.75" hidden="false" customHeight="true" outlineLevel="0" collapsed="false">
      <c r="A2704" s="3" t="s">
        <v>3027</v>
      </c>
      <c r="B2704" s="3" t="str">
        <f aca="false">IF(ISNUMBER(SEARCH("%", A2704)),RIGHT(A2704,3),A2704)</f>
        <v>30, 35, KRABBY</v>
      </c>
      <c r="C2704" s="2" t="s">
        <v>3027</v>
      </c>
    </row>
    <row r="2705" customFormat="false" ht="12.75" hidden="false" customHeight="true" outlineLevel="0" collapsed="false">
      <c r="A2705" s="3" t="s">
        <v>3354</v>
      </c>
      <c r="B2705" s="3" t="str">
        <f aca="false">IF(ISNUMBER(SEARCH("%", A2705)),RIGHT(A2705,3),A2705)</f>
        <v>30, 35, PSYDUCK</v>
      </c>
      <c r="C2705" s="2" t="s">
        <v>3354</v>
      </c>
    </row>
    <row r="2706" customFormat="false" ht="12.75" hidden="false" customHeight="true" outlineLevel="0" collapsed="false">
      <c r="A2706" s="3"/>
      <c r="B2706" s="3" t="n">
        <f aca="false">IF(ISNUMBER(SEARCH("%", A2706)),RIGHT(A2706,3),A2706)</f>
        <v>0</v>
      </c>
      <c r="C2706" s="2"/>
    </row>
    <row r="2707" customFormat="false" ht="12.75" hidden="false" customHeight="true" outlineLevel="0" collapsed="false">
      <c r="A2707" s="3" t="s">
        <v>2850</v>
      </c>
      <c r="B2707" s="3" t="str">
        <f aca="false">IF(ISNUMBER(SEARCH("%", A2707)),RIGHT(A2707,3),A2707)</f>
        <v>super rod:</v>
      </c>
      <c r="C2707" s="2" t="s">
        <v>2850</v>
      </c>
    </row>
    <row r="2708" customFormat="false" ht="12.75" hidden="false" customHeight="true" outlineLevel="0" collapsed="false">
      <c r="A2708" s="3" t="s">
        <v>3432</v>
      </c>
      <c r="B2708" s="3" t="str">
        <f aca="false">IF(ISNUMBER(SEARCH("%", A2708)),RIGHT(A2708,3),A2708)</f>
        <v>36, 40, SEADRA</v>
      </c>
      <c r="C2708" s="2" t="s">
        <v>3432</v>
      </c>
    </row>
    <row r="2709" customFormat="false" ht="12.75" hidden="false" customHeight="true" outlineLevel="0" collapsed="false">
      <c r="A2709" s="3" t="s">
        <v>3356</v>
      </c>
      <c r="B2709" s="3" t="str">
        <f aca="false">IF(ISNUMBER(SEARCH("%", A2709)),RIGHT(A2709,3),A2709)</f>
        <v>36, 40, GYARADOS</v>
      </c>
      <c r="C2709" s="2" t="s">
        <v>3356</v>
      </c>
    </row>
    <row r="2710" customFormat="false" ht="12.75" hidden="false" customHeight="true" outlineLevel="0" collapsed="false">
      <c r="A2710" s="3" t="s">
        <v>3357</v>
      </c>
      <c r="B2710" s="3" t="str">
        <f aca="false">IF(ISNUMBER(SEARCH("%", A2710)),RIGHT(A2710,3),A2710)</f>
        <v>38, 42, GOLDUCK</v>
      </c>
      <c r="C2710" s="2" t="s">
        <v>3357</v>
      </c>
    </row>
    <row r="2711" customFormat="false" ht="12.75" hidden="false" customHeight="true" outlineLevel="0" collapsed="false">
      <c r="A2711" s="3" t="s">
        <v>3358</v>
      </c>
      <c r="B2711" s="3" t="str">
        <f aca="false">IF(ISNUMBER(SEARCH("%", A2711)),RIGHT(A2711,3),A2711)</f>
        <v>38, 42, KINGLER</v>
      </c>
      <c r="C2711" s="2" t="s">
        <v>3358</v>
      </c>
    </row>
    <row r="2712" customFormat="false" ht="12.75" hidden="false" customHeight="true" outlineLevel="0" collapsed="false">
      <c r="A2712" s="3" t="s">
        <v>3436</v>
      </c>
      <c r="B2712" s="3" t="str">
        <f aca="false">IF(ISNUMBER(SEARCH("%", A2712)),RIGHT(A2712,3),A2712)</f>
        <v>40, 44, GILDUCK</v>
      </c>
      <c r="C2712" s="2" t="s">
        <v>3436</v>
      </c>
    </row>
    <row r="2713" customFormat="false" ht="12.75" hidden="false" customHeight="true" outlineLevel="0" collapsed="false">
      <c r="A2713" s="3" t="s">
        <v>2536</v>
      </c>
      <c r="B2713" s="3" t="str">
        <f aca="false">IF(ISNUMBER(SEARCH("%", A2713)),RIGHT(A2713,3),A2713)</f>
        <v>NEW ROUTE</v>
      </c>
      <c r="C2713" s="2" t="s">
        <v>2536</v>
      </c>
    </row>
    <row r="2714" customFormat="false" ht="12.75" hidden="false" customHeight="true" outlineLevel="0" collapsed="false">
      <c r="A2714" s="3" t="s">
        <v>3468</v>
      </c>
      <c r="B2714" s="3" t="str">
        <f aca="false">IF(ISNUMBER(SEARCH("%", A2714)),RIGHT(A2714,3),A2714)</f>
        <v>3, 31, 0,</v>
      </c>
      <c r="C2714" s="2" t="s">
        <v>3468</v>
      </c>
    </row>
    <row r="2715" customFormat="false" ht="12.75" hidden="false" customHeight="true" outlineLevel="0" collapsed="false">
      <c r="A2715" s="3" t="s">
        <v>2908</v>
      </c>
      <c r="B2715" s="3" t="str">
        <f aca="false">IF(ISNUMBER(SEARCH("%", A2715)),RIGHT(A2715,3),A2715)</f>
        <v>20%</v>
      </c>
      <c r="C2715" s="2" t="s">
        <v>2799</v>
      </c>
    </row>
    <row r="2716" customFormat="false" ht="12.75" hidden="false" customHeight="true" outlineLevel="0" collapsed="false">
      <c r="A2716" s="3" t="s">
        <v>1944</v>
      </c>
      <c r="B2716" s="3" t="str">
        <f aca="false">IF(ISNUMBER(SEARCH("%", A2716)),RIGHT(A2716,3),A2716)</f>
        <v>30, 35, BELLSPROUT</v>
      </c>
      <c r="C2716" s="2" t="s">
        <v>1944</v>
      </c>
    </row>
    <row r="2717" customFormat="false" ht="12.75" hidden="false" customHeight="true" outlineLevel="0" collapsed="false">
      <c r="A2717" s="3" t="s">
        <v>3469</v>
      </c>
      <c r="B2717" s="3" t="str">
        <f aca="false">IF(ISNUMBER(SEARCH("%", A2717)),RIGHT(A2717,3),A2717)</f>
        <v>30, 35, PIDGEOTTO</v>
      </c>
      <c r="C2717" s="2" t="s">
        <v>3469</v>
      </c>
    </row>
    <row r="2718" customFormat="false" ht="12.75" hidden="false" customHeight="true" outlineLevel="0" collapsed="false">
      <c r="A2718" s="3"/>
      <c r="B2718" s="3" t="n">
        <f aca="false">IF(ISNUMBER(SEARCH("%", A2718)),RIGHT(A2718,3),A2718)</f>
        <v>0</v>
      </c>
      <c r="C2718" s="2"/>
    </row>
    <row r="2719" customFormat="false" ht="12.75" hidden="false" customHeight="true" outlineLevel="0" collapsed="false">
      <c r="A2719" s="3" t="s">
        <v>2801</v>
      </c>
      <c r="B2719" s="3" t="str">
        <f aca="false">IF(ISNUMBER(SEARCH("%", A2719)),RIGHT(A2719,3),A2719)</f>
        <v>0.1</v>
      </c>
      <c r="C2719" s="2" t="s">
        <v>2801</v>
      </c>
    </row>
    <row r="2720" customFormat="false" ht="12.75" hidden="false" customHeight="true" outlineLevel="0" collapsed="false">
      <c r="A2720" s="3" t="s">
        <v>3470</v>
      </c>
      <c r="B2720" s="3" t="str">
        <f aca="false">IF(ISNUMBER(SEARCH("%", A2720)),RIGHT(A2720,3),A2720)</f>
        <v>30, 32, WEEPINBELL</v>
      </c>
      <c r="C2720" s="2" t="s">
        <v>3470</v>
      </c>
    </row>
    <row r="2721" customFormat="false" ht="12.75" hidden="false" customHeight="true" outlineLevel="0" collapsed="false">
      <c r="A2721" s="3" t="s">
        <v>3471</v>
      </c>
      <c r="B2721" s="3" t="str">
        <f aca="false">IF(ISNUMBER(SEARCH("%", A2721)),RIGHT(A2721,3),A2721)</f>
        <v>30, 32, DODUO</v>
      </c>
      <c r="C2721" s="2" t="s">
        <v>3471</v>
      </c>
    </row>
    <row r="2722" customFormat="false" ht="12.75" hidden="false" customHeight="true" outlineLevel="0" collapsed="false">
      <c r="A2722" s="3" t="s">
        <v>3472</v>
      </c>
      <c r="B2722" s="3" t="str">
        <f aca="false">IF(ISNUMBER(SEARCH("%", A2722)),RIGHT(A2722,3),A2722)</f>
        <v>32, 32, PIDGEOT</v>
      </c>
      <c r="C2722" s="2" t="s">
        <v>3472</v>
      </c>
    </row>
    <row r="2723" customFormat="false" ht="12.75" hidden="false" customHeight="true" outlineLevel="0" collapsed="false">
      <c r="A2723" s="3" t="s">
        <v>3473</v>
      </c>
      <c r="B2723" s="3" t="str">
        <f aca="false">IF(ISNUMBER(SEARCH("%", A2723)),RIGHT(A2723,3),A2723)</f>
        <v>30, 32, EXEGGCUTE</v>
      </c>
      <c r="C2723" s="2" t="s">
        <v>3473</v>
      </c>
    </row>
    <row r="2724" customFormat="false" ht="12.75" hidden="false" customHeight="true" outlineLevel="0" collapsed="false">
      <c r="A2724" s="3"/>
      <c r="B2724" s="3" t="n">
        <f aca="false">IF(ISNUMBER(SEARCH("%", A2724)),RIGHT(A2724,3),A2724)</f>
        <v>0</v>
      </c>
      <c r="C2724" s="2"/>
    </row>
    <row r="2725" customFormat="false" ht="12.75" hidden="false" customHeight="true" outlineLevel="0" collapsed="false">
      <c r="A2725" s="3" t="s">
        <v>2806</v>
      </c>
      <c r="B2725" s="3" t="str">
        <f aca="false">IF(ISNUMBER(SEARCH("%", A2725)),RIGHT(A2725,3),A2725)</f>
        <v>0.05</v>
      </c>
      <c r="C2725" s="2" t="s">
        <v>2806</v>
      </c>
    </row>
    <row r="2726" customFormat="false" ht="12.75" hidden="false" customHeight="true" outlineLevel="0" collapsed="false">
      <c r="A2726" s="3" t="s">
        <v>3474</v>
      </c>
      <c r="B2726" s="3" t="str">
        <f aca="false">IF(ISNUMBER(SEARCH("%", A2726)),RIGHT(A2726,3),A2726)</f>
        <v>31, 35, SCYTHER</v>
      </c>
      <c r="C2726" s="2" t="s">
        <v>3474</v>
      </c>
    </row>
    <row r="2727" customFormat="false" ht="12.75" hidden="false" customHeight="true" outlineLevel="0" collapsed="false">
      <c r="A2727" s="3" t="s">
        <v>3475</v>
      </c>
      <c r="B2727" s="3" t="str">
        <f aca="false">IF(ISNUMBER(SEARCH("%", A2727)),RIGHT(A2727,3),A2727)</f>
        <v>31, 35, JYNX</v>
      </c>
      <c r="C2727" s="2" t="s">
        <v>3475</v>
      </c>
    </row>
    <row r="2728" customFormat="false" ht="12.75" hidden="false" customHeight="true" outlineLevel="0" collapsed="false">
      <c r="A2728" s="3"/>
      <c r="B2728" s="3" t="n">
        <f aca="false">IF(ISNUMBER(SEARCH("%", A2728)),RIGHT(A2728,3),A2728)</f>
        <v>0</v>
      </c>
      <c r="C2728" s="2"/>
    </row>
    <row r="2729" customFormat="false" ht="12.75" hidden="false" customHeight="true" outlineLevel="0" collapsed="false">
      <c r="A2729" s="3" t="s">
        <v>2809</v>
      </c>
      <c r="B2729" s="3" t="str">
        <f aca="false">IF(ISNUMBER(SEARCH("%", A2729)),RIGHT(A2729,3),A2729)</f>
        <v>0.04</v>
      </c>
      <c r="C2729" s="2" t="s">
        <v>2809</v>
      </c>
    </row>
    <row r="2730" customFormat="false" ht="12.75" hidden="false" customHeight="true" outlineLevel="0" collapsed="false">
      <c r="A2730" s="3" t="s">
        <v>3476</v>
      </c>
      <c r="B2730" s="3" t="str">
        <f aca="false">IF(ISNUMBER(SEARCH("%", A2730)),RIGHT(A2730,3),A2730)</f>
        <v>32, 32, DODRIO</v>
      </c>
      <c r="C2730" s="2" t="s">
        <v>3476</v>
      </c>
    </row>
    <row r="2731" customFormat="false" ht="12.75" hidden="false" customHeight="true" outlineLevel="0" collapsed="false">
      <c r="A2731" s="3" t="s">
        <v>3477</v>
      </c>
      <c r="B2731" s="3" t="str">
        <f aca="false">IF(ISNUMBER(SEARCH("%", A2731)),RIGHT(A2731,3),A2731)</f>
        <v>32, 32, EXEGGUTOR</v>
      </c>
      <c r="C2731" s="2" t="s">
        <v>3477</v>
      </c>
    </row>
    <row r="2732" customFormat="false" ht="12.75" hidden="false" customHeight="true" outlineLevel="0" collapsed="false">
      <c r="A2732" s="3"/>
      <c r="B2732" s="3" t="n">
        <f aca="false">IF(ISNUMBER(SEARCH("%", A2732)),RIGHT(A2732,3),A2732)</f>
        <v>0</v>
      </c>
      <c r="C2732" s="2"/>
    </row>
    <row r="2733" customFormat="false" ht="12.75" hidden="false" customHeight="true" outlineLevel="0" collapsed="false">
      <c r="A2733" s="3" t="s">
        <v>2812</v>
      </c>
      <c r="B2733" s="3" t="str">
        <f aca="false">IF(ISNUMBER(SEARCH("%", A2733)),RIGHT(A2733,3),A2733)</f>
        <v>0.01</v>
      </c>
      <c r="C2733" s="2" t="s">
        <v>2812</v>
      </c>
    </row>
    <row r="2734" customFormat="false" ht="12.75" hidden="false" customHeight="true" outlineLevel="0" collapsed="false">
      <c r="A2734" s="3" t="s">
        <v>3478</v>
      </c>
      <c r="B2734" s="3" t="str">
        <f aca="false">IF(ISNUMBER(SEARCH("%", A2734)),RIGHT(A2734,3),A2734)</f>
        <v>30, 35, VICTREEBEL</v>
      </c>
      <c r="C2734" s="2" t="s">
        <v>3478</v>
      </c>
    </row>
    <row r="2735" customFormat="false" ht="12.75" hidden="false" customHeight="true" outlineLevel="0" collapsed="false">
      <c r="A2735" s="3" t="s">
        <v>3466</v>
      </c>
      <c r="B2735" s="3" t="str">
        <f aca="false">IF(ISNUMBER(SEARCH("%", A2735)),RIGHT(A2735,3),A2735)</f>
        <v>20, 25, SQUIRTLE</v>
      </c>
      <c r="C2735" s="2" t="s">
        <v>3466</v>
      </c>
    </row>
    <row r="2736" customFormat="false" ht="12.75" hidden="false" customHeight="true" outlineLevel="0" collapsed="false">
      <c r="A2736" s="3" t="s">
        <v>3349</v>
      </c>
      <c r="B2736" s="3" t="str">
        <f aca="false">IF(ISNUMBER(SEARCH("%", A2736)),RIGHT(A2736,3),A2736)</f>
        <v>2, 38, 42, TENTACOOL</v>
      </c>
      <c r="C2736" s="2" t="s">
        <v>3349</v>
      </c>
    </row>
    <row r="2737" customFormat="false" ht="12.75" hidden="false" customHeight="true" outlineLevel="0" collapsed="false">
      <c r="A2737" s="3" t="s">
        <v>3428</v>
      </c>
      <c r="B2737" s="3" t="str">
        <f aca="false">IF(ISNUMBER(SEARCH("%", A2737)),RIGHT(A2737,3),A2737)</f>
        <v>40, 44, TENTACRUEL</v>
      </c>
      <c r="C2737" s="2" t="s">
        <v>3428</v>
      </c>
    </row>
    <row r="2738" customFormat="false" ht="12.75" hidden="false" customHeight="true" outlineLevel="0" collapsed="false">
      <c r="A2738" s="3" t="s">
        <v>3024</v>
      </c>
      <c r="B2738" s="3" t="str">
        <f aca="false">IF(ISNUMBER(SEARCH("%", A2738)),RIGHT(A2738,3),A2738)</f>
        <v>42, 46, LAPRAS</v>
      </c>
      <c r="C2738" s="2" t="s">
        <v>3024</v>
      </c>
    </row>
    <row r="2739" customFormat="false" ht="12.75" hidden="false" customHeight="true" outlineLevel="0" collapsed="false">
      <c r="A2739" s="3" t="s">
        <v>3429</v>
      </c>
      <c r="B2739" s="3" t="str">
        <f aca="false">IF(ISNUMBER(SEARCH("%", A2739)),RIGHT(A2739,3),A2739)</f>
        <v>42, 46, TENTACATE</v>
      </c>
      <c r="C2739" s="2" t="s">
        <v>3429</v>
      </c>
    </row>
    <row r="2740" customFormat="false" ht="12.75" hidden="false" customHeight="true" outlineLevel="0" collapsed="false">
      <c r="A2740" s="3" t="s">
        <v>3449</v>
      </c>
      <c r="B2740" s="3" t="str">
        <f aca="false">IF(ISNUMBER(SEARCH("%", A2740)),RIGHT(A2740,3),A2740)</f>
        <v>44, 48, LOCHLASS</v>
      </c>
      <c r="C2740" s="2" t="s">
        <v>3449</v>
      </c>
    </row>
    <row r="2741" customFormat="false" ht="12.75" hidden="false" customHeight="true" outlineLevel="0" collapsed="false">
      <c r="A2741" s="3" t="s">
        <v>2925</v>
      </c>
      <c r="B2741" s="3" t="str">
        <f aca="false">IF(ISNUMBER(SEARCH("%", A2741)),RIGHT(A2741,3),A2741)</f>
        <v>20, old rod:</v>
      </c>
      <c r="C2741" s="2" t="s">
        <v>2925</v>
      </c>
    </row>
    <row r="2742" customFormat="false" ht="12.75" hidden="false" customHeight="true" outlineLevel="0" collapsed="false">
      <c r="A2742" s="3" t="s">
        <v>1349</v>
      </c>
      <c r="B2742" s="3" t="str">
        <f aca="false">IF(ISNUMBER(SEARCH("%", A2742)),RIGHT(A2742,3),A2742)</f>
        <v>19, 26, MAGIKARP</v>
      </c>
      <c r="C2742" s="2" t="s">
        <v>1349</v>
      </c>
    </row>
    <row r="2743" customFormat="false" ht="12.75" hidden="false" customHeight="true" outlineLevel="0" collapsed="false">
      <c r="A2743" s="3" t="s">
        <v>3352</v>
      </c>
      <c r="B2743" s="3" t="str">
        <f aca="false">IF(ISNUMBER(SEARCH("%", A2743)),RIGHT(A2743,3),A2743)</f>
        <v>19, 26, GYARADOS</v>
      </c>
      <c r="C2743" s="2" t="s">
        <v>3352</v>
      </c>
    </row>
    <row r="2744" customFormat="false" ht="12.75" hidden="false" customHeight="true" outlineLevel="0" collapsed="false">
      <c r="A2744" s="3"/>
      <c r="B2744" s="3" t="n">
        <f aca="false">IF(ISNUMBER(SEARCH("%", A2744)),RIGHT(A2744,3),A2744)</f>
        <v>0</v>
      </c>
      <c r="C2744" s="2"/>
    </row>
    <row r="2745" customFormat="false" ht="12.75" hidden="false" customHeight="true" outlineLevel="0" collapsed="false">
      <c r="A2745" s="3" t="s">
        <v>2846</v>
      </c>
      <c r="B2745" s="3" t="str">
        <f aca="false">IF(ISNUMBER(SEARCH("%", A2745)),RIGHT(A2745,3),A2745)</f>
        <v>good rod:</v>
      </c>
      <c r="C2745" s="2" t="s">
        <v>2846</v>
      </c>
    </row>
    <row r="2746" customFormat="false" ht="12.75" hidden="false" customHeight="true" outlineLevel="0" collapsed="false">
      <c r="A2746" s="3" t="s">
        <v>3430</v>
      </c>
      <c r="B2746" s="3" t="str">
        <f aca="false">IF(ISNUMBER(SEARCH("%", A2746)),RIGHT(A2746,3),A2746)</f>
        <v>29, 33, HORSEA</v>
      </c>
      <c r="C2746" s="2" t="s">
        <v>3430</v>
      </c>
    </row>
    <row r="2747" customFormat="false" ht="12.75" hidden="false" customHeight="true" outlineLevel="0" collapsed="false">
      <c r="A2747" s="3" t="s">
        <v>3027</v>
      </c>
      <c r="B2747" s="3" t="str">
        <f aca="false">IF(ISNUMBER(SEARCH("%", A2747)),RIGHT(A2747,3),A2747)</f>
        <v>30, 35, KRABBY</v>
      </c>
      <c r="C2747" s="2" t="s">
        <v>3027</v>
      </c>
    </row>
    <row r="2748" customFormat="false" ht="12.75" hidden="false" customHeight="true" outlineLevel="0" collapsed="false">
      <c r="A2748" s="3" t="s">
        <v>3354</v>
      </c>
      <c r="B2748" s="3" t="str">
        <f aca="false">IF(ISNUMBER(SEARCH("%", A2748)),RIGHT(A2748,3),A2748)</f>
        <v>30, 35, PSYDUCK</v>
      </c>
      <c r="C2748" s="2" t="s">
        <v>3354</v>
      </c>
    </row>
    <row r="2749" customFormat="false" ht="12.75" hidden="false" customHeight="true" outlineLevel="0" collapsed="false">
      <c r="A2749" s="3"/>
      <c r="B2749" s="3" t="n">
        <f aca="false">IF(ISNUMBER(SEARCH("%", A2749)),RIGHT(A2749,3),A2749)</f>
        <v>0</v>
      </c>
      <c r="C2749" s="2"/>
    </row>
    <row r="2750" customFormat="false" ht="12.75" hidden="false" customHeight="true" outlineLevel="0" collapsed="false">
      <c r="A2750" s="3" t="s">
        <v>2850</v>
      </c>
      <c r="B2750" s="3" t="str">
        <f aca="false">IF(ISNUMBER(SEARCH("%", A2750)),RIGHT(A2750,3),A2750)</f>
        <v>super rod:</v>
      </c>
      <c r="C2750" s="2" t="s">
        <v>2850</v>
      </c>
    </row>
    <row r="2751" customFormat="false" ht="12.75" hidden="false" customHeight="true" outlineLevel="0" collapsed="false">
      <c r="A2751" s="3" t="s">
        <v>3432</v>
      </c>
      <c r="B2751" s="3" t="str">
        <f aca="false">IF(ISNUMBER(SEARCH("%", A2751)),RIGHT(A2751,3),A2751)</f>
        <v>36, 40, SEADRA</v>
      </c>
      <c r="C2751" s="2" t="s">
        <v>3432</v>
      </c>
    </row>
    <row r="2752" customFormat="false" ht="12.75" hidden="false" customHeight="true" outlineLevel="0" collapsed="false">
      <c r="A2752" s="3" t="s">
        <v>3356</v>
      </c>
      <c r="B2752" s="3" t="str">
        <f aca="false">IF(ISNUMBER(SEARCH("%", A2752)),RIGHT(A2752,3),A2752)</f>
        <v>36, 40, GYARADOS</v>
      </c>
      <c r="C2752" s="2" t="s">
        <v>3356</v>
      </c>
    </row>
    <row r="2753" customFormat="false" ht="12.75" hidden="false" customHeight="true" outlineLevel="0" collapsed="false">
      <c r="A2753" s="3" t="s">
        <v>3357</v>
      </c>
      <c r="B2753" s="3" t="str">
        <f aca="false">IF(ISNUMBER(SEARCH("%", A2753)),RIGHT(A2753,3),A2753)</f>
        <v>38, 42, GOLDUCK</v>
      </c>
      <c r="C2753" s="2" t="s">
        <v>3357</v>
      </c>
    </row>
    <row r="2754" customFormat="false" ht="12.75" hidden="false" customHeight="true" outlineLevel="0" collapsed="false">
      <c r="A2754" s="3" t="s">
        <v>3358</v>
      </c>
      <c r="B2754" s="3" t="str">
        <f aca="false">IF(ISNUMBER(SEARCH("%", A2754)),RIGHT(A2754,3),A2754)</f>
        <v>38, 42, KINGLER</v>
      </c>
      <c r="C2754" s="2" t="s">
        <v>3358</v>
      </c>
    </row>
    <row r="2755" customFormat="false" ht="12.75" hidden="false" customHeight="true" outlineLevel="0" collapsed="false">
      <c r="A2755" s="3" t="s">
        <v>3436</v>
      </c>
      <c r="B2755" s="3" t="str">
        <f aca="false">IF(ISNUMBER(SEARCH("%", A2755)),RIGHT(A2755,3),A2755)</f>
        <v>40, 44, GILDUCK</v>
      </c>
      <c r="C2755" s="2" t="s">
        <v>3436</v>
      </c>
    </row>
    <row r="2756" customFormat="false" ht="12.75" hidden="false" customHeight="true" outlineLevel="0" collapsed="false">
      <c r="A2756" s="3" t="s">
        <v>2536</v>
      </c>
      <c r="B2756" s="3" t="str">
        <f aca="false">IF(ISNUMBER(SEARCH("%", A2756)),RIGHT(A2756,3),A2756)</f>
        <v>NEW ROUTE</v>
      </c>
      <c r="C2756" s="2" t="s">
        <v>2536</v>
      </c>
    </row>
    <row r="2757" customFormat="false" ht="12.75" hidden="false" customHeight="true" outlineLevel="0" collapsed="false">
      <c r="A2757" s="3" t="s">
        <v>3479</v>
      </c>
      <c r="B2757" s="3" t="str">
        <f aca="false">IF(ISNUMBER(SEARCH("%", A2757)),RIGHT(A2757,3),A2757)</f>
        <v>3, 32, 0,</v>
      </c>
      <c r="C2757" s="2" t="s">
        <v>3479</v>
      </c>
    </row>
    <row r="2758" customFormat="false" ht="12.75" hidden="false" customHeight="true" outlineLevel="0" collapsed="false">
      <c r="A2758" s="3" t="s">
        <v>2908</v>
      </c>
      <c r="B2758" s="3" t="str">
        <f aca="false">IF(ISNUMBER(SEARCH("%", A2758)),RIGHT(A2758,3),A2758)</f>
        <v>20%</v>
      </c>
      <c r="C2758" s="2" t="s">
        <v>2799</v>
      </c>
    </row>
    <row r="2759" customFormat="false" ht="12.75" hidden="false" customHeight="true" outlineLevel="0" collapsed="false">
      <c r="A2759" s="3" t="s">
        <v>1956</v>
      </c>
      <c r="B2759" s="3" t="str">
        <f aca="false">IF(ISNUMBER(SEARCH("%", A2759)),RIGHT(A2759,3),A2759)</f>
        <v>32, 36, BELLSPROUT</v>
      </c>
      <c r="C2759" s="2" t="s">
        <v>1956</v>
      </c>
    </row>
    <row r="2760" customFormat="false" ht="12.75" hidden="false" customHeight="true" outlineLevel="0" collapsed="false">
      <c r="A2760" s="3" t="s">
        <v>3480</v>
      </c>
      <c r="B2760" s="3" t="str">
        <f aca="false">IF(ISNUMBER(SEARCH("%", A2760)),RIGHT(A2760,3),A2760)</f>
        <v>32, 36, PIDGEOTTO</v>
      </c>
      <c r="C2760" s="2" t="s">
        <v>3480</v>
      </c>
    </row>
    <row r="2761" customFormat="false" ht="12.75" hidden="false" customHeight="true" outlineLevel="0" collapsed="false">
      <c r="A2761" s="3"/>
      <c r="B2761" s="3" t="n">
        <f aca="false">IF(ISNUMBER(SEARCH("%", A2761)),RIGHT(A2761,3),A2761)</f>
        <v>0</v>
      </c>
      <c r="C2761" s="2"/>
    </row>
    <row r="2762" customFormat="false" ht="12.75" hidden="false" customHeight="true" outlineLevel="0" collapsed="false">
      <c r="A2762" s="3" t="s">
        <v>2801</v>
      </c>
      <c r="B2762" s="3" t="str">
        <f aca="false">IF(ISNUMBER(SEARCH("%", A2762)),RIGHT(A2762,3),A2762)</f>
        <v>0.1</v>
      </c>
      <c r="C2762" s="2" t="s">
        <v>2801</v>
      </c>
    </row>
    <row r="2763" customFormat="false" ht="12.75" hidden="false" customHeight="true" outlineLevel="0" collapsed="false">
      <c r="A2763" s="3" t="s">
        <v>3481</v>
      </c>
      <c r="B2763" s="3" t="str">
        <f aca="false">IF(ISNUMBER(SEARCH("%", A2763)),RIGHT(A2763,3),A2763)</f>
        <v>31, 33, WEEPINBELL</v>
      </c>
      <c r="C2763" s="2" t="s">
        <v>3481</v>
      </c>
    </row>
    <row r="2764" customFormat="false" ht="12.75" hidden="false" customHeight="true" outlineLevel="0" collapsed="false">
      <c r="A2764" s="3" t="s">
        <v>3482</v>
      </c>
      <c r="B2764" s="3" t="str">
        <f aca="false">IF(ISNUMBER(SEARCH("%", A2764)),RIGHT(A2764,3),A2764)</f>
        <v>31, 33, DODUO</v>
      </c>
      <c r="C2764" s="2" t="s">
        <v>3482</v>
      </c>
    </row>
    <row r="2765" customFormat="false" ht="12.75" hidden="false" customHeight="true" outlineLevel="0" collapsed="false">
      <c r="A2765" s="3" t="s">
        <v>3483</v>
      </c>
      <c r="B2765" s="3" t="str">
        <f aca="false">IF(ISNUMBER(SEARCH("%", A2765)),RIGHT(A2765,3),A2765)</f>
        <v>33, 33, PIDGEOT</v>
      </c>
      <c r="C2765" s="2" t="s">
        <v>3483</v>
      </c>
    </row>
    <row r="2766" customFormat="false" ht="12.75" hidden="false" customHeight="true" outlineLevel="0" collapsed="false">
      <c r="A2766" s="3" t="s">
        <v>3484</v>
      </c>
      <c r="B2766" s="3" t="str">
        <f aca="false">IF(ISNUMBER(SEARCH("%", A2766)),RIGHT(A2766,3),A2766)</f>
        <v>31, 33, EXEGGCUTE</v>
      </c>
      <c r="C2766" s="2" t="s">
        <v>3484</v>
      </c>
    </row>
    <row r="2767" customFormat="false" ht="12.75" hidden="false" customHeight="true" outlineLevel="0" collapsed="false">
      <c r="A2767" s="3"/>
      <c r="B2767" s="3" t="n">
        <f aca="false">IF(ISNUMBER(SEARCH("%", A2767)),RIGHT(A2767,3),A2767)</f>
        <v>0</v>
      </c>
      <c r="C2767" s="2"/>
    </row>
    <row r="2768" customFormat="false" ht="12.75" hidden="false" customHeight="true" outlineLevel="0" collapsed="false">
      <c r="A2768" s="3" t="s">
        <v>2806</v>
      </c>
      <c r="B2768" s="3" t="str">
        <f aca="false">IF(ISNUMBER(SEARCH("%", A2768)),RIGHT(A2768,3),A2768)</f>
        <v>0.05</v>
      </c>
      <c r="C2768" s="2" t="s">
        <v>2806</v>
      </c>
    </row>
    <row r="2769" customFormat="false" ht="12.75" hidden="false" customHeight="true" outlineLevel="0" collapsed="false">
      <c r="A2769" s="3" t="s">
        <v>3485</v>
      </c>
      <c r="B2769" s="3" t="str">
        <f aca="false">IF(ISNUMBER(SEARCH("%", A2769)),RIGHT(A2769,3),A2769)</f>
        <v>32, 36, SCYTHER</v>
      </c>
      <c r="C2769" s="2" t="s">
        <v>3485</v>
      </c>
    </row>
    <row r="2770" customFormat="false" ht="12.75" hidden="false" customHeight="true" outlineLevel="0" collapsed="false">
      <c r="A2770" s="3" t="s">
        <v>3486</v>
      </c>
      <c r="B2770" s="3" t="str">
        <f aca="false">IF(ISNUMBER(SEARCH("%", A2770)),RIGHT(A2770,3),A2770)</f>
        <v>32, 36, JYNX</v>
      </c>
      <c r="C2770" s="2" t="s">
        <v>3486</v>
      </c>
    </row>
    <row r="2771" customFormat="false" ht="12.75" hidden="false" customHeight="true" outlineLevel="0" collapsed="false">
      <c r="A2771" s="3"/>
      <c r="B2771" s="3" t="n">
        <f aca="false">IF(ISNUMBER(SEARCH("%", A2771)),RIGHT(A2771,3),A2771)</f>
        <v>0</v>
      </c>
      <c r="C2771" s="2"/>
    </row>
    <row r="2772" customFormat="false" ht="12.75" hidden="false" customHeight="true" outlineLevel="0" collapsed="false">
      <c r="A2772" s="3" t="s">
        <v>2809</v>
      </c>
      <c r="B2772" s="3" t="str">
        <f aca="false">IF(ISNUMBER(SEARCH("%", A2772)),RIGHT(A2772,3),A2772)</f>
        <v>0.04</v>
      </c>
      <c r="C2772" s="2" t="s">
        <v>2809</v>
      </c>
    </row>
    <row r="2773" customFormat="false" ht="12.75" hidden="false" customHeight="true" outlineLevel="0" collapsed="false">
      <c r="A2773" s="3" t="s">
        <v>3487</v>
      </c>
      <c r="B2773" s="3" t="str">
        <f aca="false">IF(ISNUMBER(SEARCH("%", A2773)),RIGHT(A2773,3),A2773)</f>
        <v>33, 33, DODRIO</v>
      </c>
      <c r="C2773" s="2" t="s">
        <v>3487</v>
      </c>
    </row>
    <row r="2774" customFormat="false" ht="12.75" hidden="false" customHeight="true" outlineLevel="0" collapsed="false">
      <c r="A2774" s="3" t="s">
        <v>3488</v>
      </c>
      <c r="B2774" s="3" t="str">
        <f aca="false">IF(ISNUMBER(SEARCH("%", A2774)),RIGHT(A2774,3),A2774)</f>
        <v>33, 33, EXEGGUTOR</v>
      </c>
      <c r="C2774" s="2" t="s">
        <v>3488</v>
      </c>
    </row>
    <row r="2775" customFormat="false" ht="12.75" hidden="false" customHeight="true" outlineLevel="0" collapsed="false">
      <c r="A2775" s="3"/>
      <c r="B2775" s="3" t="n">
        <f aca="false">IF(ISNUMBER(SEARCH("%", A2775)),RIGHT(A2775,3),A2775)</f>
        <v>0</v>
      </c>
      <c r="C2775" s="2"/>
    </row>
    <row r="2776" customFormat="false" ht="12.75" hidden="false" customHeight="true" outlineLevel="0" collapsed="false">
      <c r="A2776" s="3" t="s">
        <v>2812</v>
      </c>
      <c r="B2776" s="3" t="str">
        <f aca="false">IF(ISNUMBER(SEARCH("%", A2776)),RIGHT(A2776,3),A2776)</f>
        <v>0.01</v>
      </c>
      <c r="C2776" s="2" t="s">
        <v>2812</v>
      </c>
    </row>
    <row r="2777" customFormat="false" ht="12.75" hidden="false" customHeight="true" outlineLevel="0" collapsed="false">
      <c r="A2777" s="3" t="s">
        <v>3489</v>
      </c>
      <c r="B2777" s="3" t="str">
        <f aca="false">IF(ISNUMBER(SEARCH("%", A2777)),RIGHT(A2777,3),A2777)</f>
        <v>31, 36, VICTREEBEL</v>
      </c>
      <c r="C2777" s="2" t="s">
        <v>3489</v>
      </c>
    </row>
    <row r="2778" customFormat="false" ht="12.75" hidden="false" customHeight="true" outlineLevel="0" collapsed="false">
      <c r="A2778" s="3" t="s">
        <v>3490</v>
      </c>
      <c r="B2778" s="3" t="str">
        <f aca="false">IF(ISNUMBER(SEARCH("%", A2778)),RIGHT(A2778,3),A2778)</f>
        <v>20, 25, SQUIRTLE , &lt;null&gt;, &lt;null&gt;, &lt;null&gt;</v>
      </c>
      <c r="C2778" s="2" t="s">
        <v>3490</v>
      </c>
    </row>
    <row r="2779" customFormat="false" ht="12.75" hidden="false" customHeight="true" outlineLevel="0" collapsed="false">
      <c r="A2779" s="3"/>
      <c r="B2779" s="3" t="n">
        <f aca="false">IF(ISNUMBER(SEARCH("%", A2779)),RIGHT(A2779,3),A2779)</f>
        <v>0</v>
      </c>
      <c r="C2779" s="2"/>
    </row>
    <row r="2780" customFormat="false" ht="12.75" hidden="false" customHeight="true" outlineLevel="0" collapsed="false">
      <c r="A2780" s="3" t="s">
        <v>2536</v>
      </c>
      <c r="B2780" s="3" t="str">
        <f aca="false">IF(ISNUMBER(SEARCH("%", A2780)),RIGHT(A2780,3),A2780)</f>
        <v>NEW ROUTE</v>
      </c>
      <c r="C2780" s="2" t="s">
        <v>2536</v>
      </c>
    </row>
    <row r="2781" customFormat="false" ht="12.75" hidden="false" customHeight="true" outlineLevel="0" collapsed="false">
      <c r="A2781" s="3" t="s">
        <v>3491</v>
      </c>
      <c r="B2781" s="3" t="str">
        <f aca="false">IF(ISNUMBER(SEARCH("%", A2781)),RIGHT(A2781,3),A2781)</f>
        <v>3, 33, 0,</v>
      </c>
      <c r="C2781" s="2" t="s">
        <v>3491</v>
      </c>
    </row>
    <row r="2782" customFormat="false" ht="12.75" hidden="false" customHeight="true" outlineLevel="0" collapsed="false">
      <c r="A2782" s="3" t="s">
        <v>2908</v>
      </c>
      <c r="B2782" s="3" t="str">
        <f aca="false">IF(ISNUMBER(SEARCH("%", A2782)),RIGHT(A2782,3),A2782)</f>
        <v>20%</v>
      </c>
      <c r="C2782" s="2" t="s">
        <v>2799</v>
      </c>
    </row>
    <row r="2783" customFormat="false" ht="12.75" hidden="false" customHeight="true" outlineLevel="0" collapsed="false">
      <c r="A2783" s="3" t="s">
        <v>1969</v>
      </c>
      <c r="B2783" s="3" t="str">
        <f aca="false">IF(ISNUMBER(SEARCH("%", A2783)),RIGHT(A2783,3),A2783)</f>
        <v>33, 37, BELLSPROUT</v>
      </c>
      <c r="C2783" s="2" t="s">
        <v>1969</v>
      </c>
    </row>
    <row r="2784" customFormat="false" ht="12.75" hidden="false" customHeight="true" outlineLevel="0" collapsed="false">
      <c r="A2784" s="3" t="s">
        <v>3492</v>
      </c>
      <c r="B2784" s="3" t="str">
        <f aca="false">IF(ISNUMBER(SEARCH("%", A2784)),RIGHT(A2784,3),A2784)</f>
        <v>33, 37, PIDGEOTTO</v>
      </c>
      <c r="C2784" s="2" t="s">
        <v>3492</v>
      </c>
    </row>
    <row r="2785" customFormat="false" ht="12.75" hidden="false" customHeight="true" outlineLevel="0" collapsed="false">
      <c r="A2785" s="3"/>
      <c r="B2785" s="3" t="n">
        <f aca="false">IF(ISNUMBER(SEARCH("%", A2785)),RIGHT(A2785,3),A2785)</f>
        <v>0</v>
      </c>
      <c r="C2785" s="2"/>
    </row>
    <row r="2786" customFormat="false" ht="12.75" hidden="false" customHeight="true" outlineLevel="0" collapsed="false">
      <c r="A2786" s="3" t="s">
        <v>2801</v>
      </c>
      <c r="B2786" s="3" t="str">
        <f aca="false">IF(ISNUMBER(SEARCH("%", A2786)),RIGHT(A2786,3),A2786)</f>
        <v>0.1</v>
      </c>
      <c r="C2786" s="2" t="s">
        <v>2801</v>
      </c>
    </row>
    <row r="2787" customFormat="false" ht="12.75" hidden="false" customHeight="true" outlineLevel="0" collapsed="false">
      <c r="A2787" s="3" t="s">
        <v>3493</v>
      </c>
      <c r="B2787" s="3" t="str">
        <f aca="false">IF(ISNUMBER(SEARCH("%", A2787)),RIGHT(A2787,3),A2787)</f>
        <v>32, 34, WEEPINBELL</v>
      </c>
      <c r="C2787" s="2" t="s">
        <v>3493</v>
      </c>
    </row>
    <row r="2788" customFormat="false" ht="12.75" hidden="false" customHeight="true" outlineLevel="0" collapsed="false">
      <c r="A2788" s="3" t="s">
        <v>3494</v>
      </c>
      <c r="B2788" s="3" t="str">
        <f aca="false">IF(ISNUMBER(SEARCH("%", A2788)),RIGHT(A2788,3),A2788)</f>
        <v>32, 34, DODUO</v>
      </c>
      <c r="C2788" s="2" t="s">
        <v>3494</v>
      </c>
    </row>
    <row r="2789" customFormat="false" ht="12.75" hidden="false" customHeight="true" outlineLevel="0" collapsed="false">
      <c r="A2789" s="3" t="s">
        <v>3495</v>
      </c>
      <c r="B2789" s="3" t="str">
        <f aca="false">IF(ISNUMBER(SEARCH("%", A2789)),RIGHT(A2789,3),A2789)</f>
        <v>34, 34, PIDGEOT</v>
      </c>
      <c r="C2789" s="2" t="s">
        <v>3495</v>
      </c>
    </row>
    <row r="2790" customFormat="false" ht="12.75" hidden="false" customHeight="true" outlineLevel="0" collapsed="false">
      <c r="A2790" s="3" t="s">
        <v>3496</v>
      </c>
      <c r="B2790" s="3" t="str">
        <f aca="false">IF(ISNUMBER(SEARCH("%", A2790)),RIGHT(A2790,3),A2790)</f>
        <v>32, 34, EXEGGCUTE</v>
      </c>
      <c r="C2790" s="2" t="s">
        <v>3496</v>
      </c>
    </row>
    <row r="2791" customFormat="false" ht="12.75" hidden="false" customHeight="true" outlineLevel="0" collapsed="false">
      <c r="A2791" s="3"/>
      <c r="B2791" s="3" t="n">
        <f aca="false">IF(ISNUMBER(SEARCH("%", A2791)),RIGHT(A2791,3),A2791)</f>
        <v>0</v>
      </c>
      <c r="C2791" s="2"/>
    </row>
    <row r="2792" customFormat="false" ht="12.75" hidden="false" customHeight="true" outlineLevel="0" collapsed="false">
      <c r="A2792" s="3" t="s">
        <v>2806</v>
      </c>
      <c r="B2792" s="3" t="str">
        <f aca="false">IF(ISNUMBER(SEARCH("%", A2792)),RIGHT(A2792,3),A2792)</f>
        <v>0.05</v>
      </c>
      <c r="C2792" s="2" t="s">
        <v>2806</v>
      </c>
    </row>
    <row r="2793" customFormat="false" ht="12.75" hidden="false" customHeight="true" outlineLevel="0" collapsed="false">
      <c r="A2793" s="3" t="s">
        <v>3497</v>
      </c>
      <c r="B2793" s="3" t="str">
        <f aca="false">IF(ISNUMBER(SEARCH("%", A2793)),RIGHT(A2793,3),A2793)</f>
        <v>33, 37, SCYTHER</v>
      </c>
      <c r="C2793" s="2" t="s">
        <v>3497</v>
      </c>
    </row>
    <row r="2794" customFormat="false" ht="12.75" hidden="false" customHeight="true" outlineLevel="0" collapsed="false">
      <c r="A2794" s="3" t="s">
        <v>3498</v>
      </c>
      <c r="B2794" s="3" t="str">
        <f aca="false">IF(ISNUMBER(SEARCH("%", A2794)),RIGHT(A2794,3),A2794)</f>
        <v>33, 37, JYNX</v>
      </c>
      <c r="C2794" s="2" t="s">
        <v>3498</v>
      </c>
    </row>
    <row r="2795" customFormat="false" ht="12.75" hidden="false" customHeight="true" outlineLevel="0" collapsed="false">
      <c r="A2795" s="3"/>
      <c r="B2795" s="3" t="n">
        <f aca="false">IF(ISNUMBER(SEARCH("%", A2795)),RIGHT(A2795,3),A2795)</f>
        <v>0</v>
      </c>
      <c r="C2795" s="2"/>
    </row>
    <row r="2796" customFormat="false" ht="12.75" hidden="false" customHeight="true" outlineLevel="0" collapsed="false">
      <c r="A2796" s="3" t="s">
        <v>2809</v>
      </c>
      <c r="B2796" s="3" t="str">
        <f aca="false">IF(ISNUMBER(SEARCH("%", A2796)),RIGHT(A2796,3),A2796)</f>
        <v>0.04</v>
      </c>
      <c r="C2796" s="2" t="s">
        <v>2809</v>
      </c>
    </row>
    <row r="2797" customFormat="false" ht="12.75" hidden="false" customHeight="true" outlineLevel="0" collapsed="false">
      <c r="A2797" s="3" t="s">
        <v>3499</v>
      </c>
      <c r="B2797" s="3" t="str">
        <f aca="false">IF(ISNUMBER(SEARCH("%", A2797)),RIGHT(A2797,3),A2797)</f>
        <v>34, 34, DODRIO</v>
      </c>
      <c r="C2797" s="2" t="s">
        <v>3499</v>
      </c>
    </row>
    <row r="2798" customFormat="false" ht="12.75" hidden="false" customHeight="true" outlineLevel="0" collapsed="false">
      <c r="A2798" s="3" t="s">
        <v>3500</v>
      </c>
      <c r="B2798" s="3" t="str">
        <f aca="false">IF(ISNUMBER(SEARCH("%", A2798)),RIGHT(A2798,3),A2798)</f>
        <v>34, 34, EXEGGUTOR</v>
      </c>
      <c r="C2798" s="2" t="s">
        <v>3500</v>
      </c>
    </row>
    <row r="2799" customFormat="false" ht="12.75" hidden="false" customHeight="true" outlineLevel="0" collapsed="false">
      <c r="A2799" s="3"/>
      <c r="B2799" s="3" t="n">
        <f aca="false">IF(ISNUMBER(SEARCH("%", A2799)),RIGHT(A2799,3),A2799)</f>
        <v>0</v>
      </c>
      <c r="C2799" s="2"/>
    </row>
    <row r="2800" customFormat="false" ht="12.75" hidden="false" customHeight="true" outlineLevel="0" collapsed="false">
      <c r="A2800" s="3" t="s">
        <v>2812</v>
      </c>
      <c r="B2800" s="3" t="str">
        <f aca="false">IF(ISNUMBER(SEARCH("%", A2800)),RIGHT(A2800,3),A2800)</f>
        <v>0.01</v>
      </c>
      <c r="C2800" s="2" t="s">
        <v>2812</v>
      </c>
    </row>
    <row r="2801" customFormat="false" ht="12.75" hidden="false" customHeight="true" outlineLevel="0" collapsed="false">
      <c r="A2801" s="3" t="s">
        <v>3501</v>
      </c>
      <c r="B2801" s="3" t="str">
        <f aca="false">IF(ISNUMBER(SEARCH("%", A2801)),RIGHT(A2801,3),A2801)</f>
        <v>32, 37, VICTREEBEL</v>
      </c>
      <c r="C2801" s="2" t="s">
        <v>3501</v>
      </c>
    </row>
    <row r="2802" customFormat="false" ht="12.75" hidden="false" customHeight="true" outlineLevel="0" collapsed="false">
      <c r="A2802" s="3" t="s">
        <v>3490</v>
      </c>
      <c r="B2802" s="3" t="str">
        <f aca="false">IF(ISNUMBER(SEARCH("%", A2802)),RIGHT(A2802,3),A2802)</f>
        <v>20, 25, SQUIRTLE , &lt;null&gt;, &lt;null&gt;, &lt;null&gt;</v>
      </c>
      <c r="C2802" s="2" t="s">
        <v>3490</v>
      </c>
    </row>
    <row r="2803" customFormat="false" ht="12.75" hidden="false" customHeight="true" outlineLevel="0" collapsed="false">
      <c r="A2803" s="3"/>
      <c r="B2803" s="3" t="n">
        <f aca="false">IF(ISNUMBER(SEARCH("%", A2803)),RIGHT(A2803,3),A2803)</f>
        <v>0</v>
      </c>
      <c r="C2803" s="2"/>
    </row>
    <row r="2804" customFormat="false" ht="12.75" hidden="false" customHeight="true" outlineLevel="0" collapsed="false">
      <c r="A2804" s="3" t="s">
        <v>2536</v>
      </c>
      <c r="B2804" s="3" t="str">
        <f aca="false">IF(ISNUMBER(SEARCH("%", A2804)),RIGHT(A2804,3),A2804)</f>
        <v>NEW ROUTE</v>
      </c>
      <c r="C2804" s="2" t="s">
        <v>2536</v>
      </c>
    </row>
    <row r="2805" customFormat="false" ht="12.75" hidden="false" customHeight="true" outlineLevel="0" collapsed="false">
      <c r="A2805" s="3" t="s">
        <v>3502</v>
      </c>
      <c r="B2805" s="3" t="str">
        <f aca="false">IF(ISNUMBER(SEARCH("%", A2805)),RIGHT(A2805,3),A2805)</f>
        <v>3, 34, 0,</v>
      </c>
      <c r="C2805" s="2" t="s">
        <v>3502</v>
      </c>
    </row>
    <row r="2806" customFormat="false" ht="12.75" hidden="false" customHeight="true" outlineLevel="0" collapsed="false">
      <c r="A2806" s="3" t="s">
        <v>2908</v>
      </c>
      <c r="B2806" s="3" t="str">
        <f aca="false">IF(ISNUMBER(SEARCH("%", A2806)),RIGHT(A2806,3),A2806)</f>
        <v>20%</v>
      </c>
      <c r="C2806" s="2" t="s">
        <v>2799</v>
      </c>
    </row>
    <row r="2807" customFormat="false" ht="12.75" hidden="false" customHeight="true" outlineLevel="0" collapsed="false">
      <c r="A2807" s="3" t="s">
        <v>1981</v>
      </c>
      <c r="B2807" s="3" t="str">
        <f aca="false">IF(ISNUMBER(SEARCH("%", A2807)),RIGHT(A2807,3),A2807)</f>
        <v>29, 34, ODDISH</v>
      </c>
      <c r="C2807" s="2" t="s">
        <v>1981</v>
      </c>
    </row>
    <row r="2808" customFormat="false" ht="12.75" hidden="false" customHeight="true" outlineLevel="0" collapsed="false">
      <c r="A2808" s="3" t="s">
        <v>3456</v>
      </c>
      <c r="B2808" s="3" t="str">
        <f aca="false">IF(ISNUMBER(SEARCH("%", A2808)),RIGHT(A2808,3),A2808)</f>
        <v>29, 34, PIDGEOTTO</v>
      </c>
      <c r="C2808" s="2" t="s">
        <v>3456</v>
      </c>
    </row>
    <row r="2809" customFormat="false" ht="12.75" hidden="false" customHeight="true" outlineLevel="0" collapsed="false">
      <c r="A2809" s="3"/>
      <c r="B2809" s="3" t="n">
        <f aca="false">IF(ISNUMBER(SEARCH("%", A2809)),RIGHT(A2809,3),A2809)</f>
        <v>0</v>
      </c>
      <c r="C2809" s="2"/>
    </row>
    <row r="2810" customFormat="false" ht="12.75" hidden="false" customHeight="true" outlineLevel="0" collapsed="false">
      <c r="A2810" s="3" t="s">
        <v>2801</v>
      </c>
      <c r="B2810" s="3" t="str">
        <f aca="false">IF(ISNUMBER(SEARCH("%", A2810)),RIGHT(A2810,3),A2810)</f>
        <v>0.1</v>
      </c>
      <c r="C2810" s="2" t="s">
        <v>2801</v>
      </c>
    </row>
    <row r="2811" customFormat="false" ht="12.75" hidden="false" customHeight="true" outlineLevel="0" collapsed="false">
      <c r="A2811" s="3" t="s">
        <v>3503</v>
      </c>
      <c r="B2811" s="3" t="str">
        <f aca="false">IF(ISNUMBER(SEARCH("%", A2811)),RIGHT(A2811,3),A2811)</f>
        <v>29, 31, GLOOM</v>
      </c>
      <c r="C2811" s="2" t="s">
        <v>3503</v>
      </c>
    </row>
    <row r="2812" customFormat="false" ht="12.75" hidden="false" customHeight="true" outlineLevel="0" collapsed="false">
      <c r="A2812" s="3" t="s">
        <v>3458</v>
      </c>
      <c r="B2812" s="3" t="str">
        <f aca="false">IF(ISNUMBER(SEARCH("%", A2812)),RIGHT(A2812,3),A2812)</f>
        <v>29, 31, DODUO</v>
      </c>
      <c r="C2812" s="2" t="s">
        <v>3458</v>
      </c>
    </row>
    <row r="2813" customFormat="false" ht="12.75" hidden="false" customHeight="true" outlineLevel="0" collapsed="false">
      <c r="A2813" s="3" t="s">
        <v>3459</v>
      </c>
      <c r="B2813" s="3" t="str">
        <f aca="false">IF(ISNUMBER(SEARCH("%", A2813)),RIGHT(A2813,3),A2813)</f>
        <v>31, 31, PIDGEOT</v>
      </c>
      <c r="C2813" s="2" t="s">
        <v>3459</v>
      </c>
    </row>
    <row r="2814" customFormat="false" ht="12.75" hidden="false" customHeight="true" outlineLevel="0" collapsed="false">
      <c r="A2814" s="3" t="s">
        <v>3504</v>
      </c>
      <c r="B2814" s="3" t="str">
        <f aca="false">IF(ISNUMBER(SEARCH("%", A2814)),RIGHT(A2814,3),A2814)</f>
        <v>29, 31, LICKITUNG</v>
      </c>
      <c r="C2814" s="2" t="s">
        <v>3504</v>
      </c>
    </row>
    <row r="2815" customFormat="false" ht="12.75" hidden="false" customHeight="true" outlineLevel="0" collapsed="false">
      <c r="A2815" s="3"/>
      <c r="B2815" s="3" t="n">
        <f aca="false">IF(ISNUMBER(SEARCH("%", A2815)),RIGHT(A2815,3),A2815)</f>
        <v>0</v>
      </c>
      <c r="C2815" s="2"/>
    </row>
    <row r="2816" customFormat="false" ht="12.75" hidden="false" customHeight="true" outlineLevel="0" collapsed="false">
      <c r="A2816" s="3" t="s">
        <v>2806</v>
      </c>
      <c r="B2816" s="3" t="str">
        <f aca="false">IF(ISNUMBER(SEARCH("%", A2816)),RIGHT(A2816,3),A2816)</f>
        <v>0.05</v>
      </c>
      <c r="C2816" s="2" t="s">
        <v>2806</v>
      </c>
    </row>
    <row r="2817" customFormat="false" ht="12.75" hidden="false" customHeight="true" outlineLevel="0" collapsed="false">
      <c r="A2817" s="3" t="s">
        <v>3505</v>
      </c>
      <c r="B2817" s="3" t="str">
        <f aca="false">IF(ISNUMBER(SEARCH("%", A2817)),RIGHT(A2817,3),A2817)</f>
        <v>30, 34, TAUROS</v>
      </c>
      <c r="C2817" s="2" t="s">
        <v>3505</v>
      </c>
    </row>
    <row r="2818" customFormat="false" ht="12.75" hidden="false" customHeight="true" outlineLevel="0" collapsed="false">
      <c r="A2818" s="3" t="s">
        <v>3506</v>
      </c>
      <c r="B2818" s="3" t="str">
        <f aca="false">IF(ISNUMBER(SEARCH("%", A2818)),RIGHT(A2818,3),A2818)</f>
        <v>30, 34, "MR. MIME"</v>
      </c>
      <c r="C2818" s="2" t="s">
        <v>3506</v>
      </c>
    </row>
    <row r="2819" customFormat="false" ht="12.75" hidden="false" customHeight="true" outlineLevel="0" collapsed="false">
      <c r="A2819" s="3"/>
      <c r="B2819" s="3" t="n">
        <f aca="false">IF(ISNUMBER(SEARCH("%", A2819)),RIGHT(A2819,3),A2819)</f>
        <v>0</v>
      </c>
      <c r="C2819" s="2"/>
    </row>
    <row r="2820" customFormat="false" ht="12.75" hidden="false" customHeight="true" outlineLevel="0" collapsed="false">
      <c r="A2820" s="3" t="s">
        <v>2809</v>
      </c>
      <c r="B2820" s="3" t="str">
        <f aca="false">IF(ISNUMBER(SEARCH("%", A2820)),RIGHT(A2820,3),A2820)</f>
        <v>0.04</v>
      </c>
      <c r="C2820" s="2" t="s">
        <v>2809</v>
      </c>
    </row>
    <row r="2821" customFormat="false" ht="12.75" hidden="false" customHeight="true" outlineLevel="0" collapsed="false">
      <c r="A2821" s="3" t="s">
        <v>3463</v>
      </c>
      <c r="B2821" s="3" t="str">
        <f aca="false">IF(ISNUMBER(SEARCH("%", A2821)),RIGHT(A2821,3),A2821)</f>
        <v>31, 31, DODRIO</v>
      </c>
      <c r="C2821" s="2" t="s">
        <v>3463</v>
      </c>
    </row>
    <row r="2822" customFormat="false" ht="12.75" hidden="false" customHeight="true" outlineLevel="0" collapsed="false">
      <c r="A2822" s="3" t="s">
        <v>3507</v>
      </c>
      <c r="B2822" s="3" t="str">
        <f aca="false">IF(ISNUMBER(SEARCH("%", A2822)),RIGHT(A2822,3),A2822)</f>
        <v>31, 31, LICKILICKY</v>
      </c>
      <c r="C2822" s="2" t="s">
        <v>3507</v>
      </c>
    </row>
    <row r="2823" customFormat="false" ht="12.75" hidden="false" customHeight="true" outlineLevel="0" collapsed="false">
      <c r="A2823" s="3"/>
      <c r="B2823" s="3" t="n">
        <f aca="false">IF(ISNUMBER(SEARCH("%", A2823)),RIGHT(A2823,3),A2823)</f>
        <v>0</v>
      </c>
      <c r="C2823" s="2"/>
    </row>
    <row r="2824" customFormat="false" ht="12.75" hidden="false" customHeight="true" outlineLevel="0" collapsed="false">
      <c r="A2824" s="3" t="s">
        <v>2812</v>
      </c>
      <c r="B2824" s="3" t="str">
        <f aca="false">IF(ISNUMBER(SEARCH("%", A2824)),RIGHT(A2824,3),A2824)</f>
        <v>0.01</v>
      </c>
      <c r="C2824" s="2" t="s">
        <v>2812</v>
      </c>
    </row>
    <row r="2825" customFormat="false" ht="12.75" hidden="false" customHeight="true" outlineLevel="0" collapsed="false">
      <c r="A2825" s="3" t="s">
        <v>3508</v>
      </c>
      <c r="B2825" s="3" t="str">
        <f aca="false">IF(ISNUMBER(SEARCH("%", A2825)),RIGHT(A2825,3),A2825)</f>
        <v>29, 34, VILEPLUME</v>
      </c>
      <c r="C2825" s="2" t="s">
        <v>3508</v>
      </c>
    </row>
    <row r="2826" customFormat="false" ht="12.75" hidden="false" customHeight="true" outlineLevel="0" collapsed="false">
      <c r="A2826" s="3" t="s">
        <v>3509</v>
      </c>
      <c r="B2826" s="3" t="str">
        <f aca="false">IF(ISNUMBER(SEARCH("%", A2826)),RIGHT(A2826,3),A2826)</f>
        <v>20, 25, BULBASAUR , &lt;null&gt;, &lt;null&gt;, &lt;null&gt;</v>
      </c>
      <c r="C2826" s="2" t="s">
        <v>3509</v>
      </c>
    </row>
    <row r="2827" customFormat="false" ht="12.75" hidden="false" customHeight="true" outlineLevel="0" collapsed="false">
      <c r="A2827" s="3"/>
      <c r="B2827" s="3" t="n">
        <f aca="false">IF(ISNUMBER(SEARCH("%", A2827)),RIGHT(A2827,3),A2827)</f>
        <v>0</v>
      </c>
      <c r="C2827" s="2"/>
    </row>
    <row r="2828" customFormat="false" ht="12.75" hidden="false" customHeight="true" outlineLevel="0" collapsed="false">
      <c r="A2828" s="3" t="s">
        <v>2536</v>
      </c>
      <c r="B2828" s="3" t="str">
        <f aca="false">IF(ISNUMBER(SEARCH("%", A2828)),RIGHT(A2828,3),A2828)</f>
        <v>NEW ROUTE</v>
      </c>
      <c r="C2828" s="2" t="s">
        <v>2536</v>
      </c>
    </row>
    <row r="2829" customFormat="false" ht="12.75" hidden="false" customHeight="true" outlineLevel="0" collapsed="false">
      <c r="A2829" s="3" t="s">
        <v>3510</v>
      </c>
      <c r="B2829" s="3" t="str">
        <f aca="false">IF(ISNUMBER(SEARCH("%", A2829)),RIGHT(A2829,3),A2829)</f>
        <v>3, 35, 0,</v>
      </c>
      <c r="C2829" s="2" t="s">
        <v>3510</v>
      </c>
    </row>
    <row r="2830" customFormat="false" ht="12.75" hidden="false" customHeight="true" outlineLevel="0" collapsed="false">
      <c r="A2830" s="3" t="s">
        <v>2908</v>
      </c>
      <c r="B2830" s="3" t="str">
        <f aca="false">IF(ISNUMBER(SEARCH("%", A2830)),RIGHT(A2830,3),A2830)</f>
        <v>20%</v>
      </c>
      <c r="C2830" s="2" t="s">
        <v>2799</v>
      </c>
    </row>
    <row r="2831" customFormat="false" ht="12.75" hidden="false" customHeight="true" outlineLevel="0" collapsed="false">
      <c r="A2831" s="3" t="s">
        <v>1990</v>
      </c>
      <c r="B2831" s="3" t="str">
        <f aca="false">IF(ISNUMBER(SEARCH("%", A2831)),RIGHT(A2831,3),A2831)</f>
        <v>30, 35, ODDISH</v>
      </c>
      <c r="C2831" s="2" t="s">
        <v>1990</v>
      </c>
    </row>
    <row r="2832" customFormat="false" ht="12.75" hidden="false" customHeight="true" outlineLevel="0" collapsed="false">
      <c r="A2832" s="3" t="s">
        <v>3469</v>
      </c>
      <c r="B2832" s="3" t="str">
        <f aca="false">IF(ISNUMBER(SEARCH("%", A2832)),RIGHT(A2832,3),A2832)</f>
        <v>30, 35, PIDGEOTTO</v>
      </c>
      <c r="C2832" s="2" t="s">
        <v>3469</v>
      </c>
    </row>
    <row r="2833" customFormat="false" ht="12.75" hidden="false" customHeight="true" outlineLevel="0" collapsed="false">
      <c r="A2833" s="3"/>
      <c r="B2833" s="3" t="n">
        <f aca="false">IF(ISNUMBER(SEARCH("%", A2833)),RIGHT(A2833,3),A2833)</f>
        <v>0</v>
      </c>
      <c r="C2833" s="2"/>
    </row>
    <row r="2834" customFormat="false" ht="12.75" hidden="false" customHeight="true" outlineLevel="0" collapsed="false">
      <c r="A2834" s="3" t="s">
        <v>2801</v>
      </c>
      <c r="B2834" s="3" t="str">
        <f aca="false">IF(ISNUMBER(SEARCH("%", A2834)),RIGHT(A2834,3),A2834)</f>
        <v>0.1</v>
      </c>
      <c r="C2834" s="2" t="s">
        <v>2801</v>
      </c>
    </row>
    <row r="2835" customFormat="false" ht="12.75" hidden="false" customHeight="true" outlineLevel="0" collapsed="false">
      <c r="A2835" s="3" t="s">
        <v>3511</v>
      </c>
      <c r="B2835" s="3" t="str">
        <f aca="false">IF(ISNUMBER(SEARCH("%", A2835)),RIGHT(A2835,3),A2835)</f>
        <v>30, 35, GLOOM</v>
      </c>
      <c r="C2835" s="2" t="s">
        <v>3511</v>
      </c>
    </row>
    <row r="2836" customFormat="false" ht="12.75" hidden="false" customHeight="true" outlineLevel="0" collapsed="false">
      <c r="A2836" s="3" t="s">
        <v>3512</v>
      </c>
      <c r="B2836" s="3" t="str">
        <f aca="false">IF(ISNUMBER(SEARCH("%", A2836)),RIGHT(A2836,3),A2836)</f>
        <v>30, 35, DODUO</v>
      </c>
      <c r="C2836" s="2" t="s">
        <v>3512</v>
      </c>
    </row>
    <row r="2837" customFormat="false" ht="12.75" hidden="false" customHeight="true" outlineLevel="0" collapsed="false">
      <c r="A2837" s="3" t="s">
        <v>3472</v>
      </c>
      <c r="B2837" s="3" t="str">
        <f aca="false">IF(ISNUMBER(SEARCH("%", A2837)),RIGHT(A2837,3),A2837)</f>
        <v>32, 32, PIDGEOT</v>
      </c>
      <c r="C2837" s="2" t="s">
        <v>3472</v>
      </c>
    </row>
    <row r="2838" customFormat="false" ht="12.75" hidden="false" customHeight="true" outlineLevel="0" collapsed="false">
      <c r="A2838" s="3" t="s">
        <v>3513</v>
      </c>
      <c r="B2838" s="3" t="str">
        <f aca="false">IF(ISNUMBER(SEARCH("%", A2838)),RIGHT(A2838,3),A2838)</f>
        <v>30, 32, LICKITUNG</v>
      </c>
      <c r="C2838" s="2" t="s">
        <v>3513</v>
      </c>
    </row>
    <row r="2839" customFormat="false" ht="12.75" hidden="false" customHeight="true" outlineLevel="0" collapsed="false">
      <c r="A2839" s="3"/>
      <c r="B2839" s="3" t="n">
        <f aca="false">IF(ISNUMBER(SEARCH("%", A2839)),RIGHT(A2839,3),A2839)</f>
        <v>0</v>
      </c>
      <c r="C2839" s="2"/>
    </row>
    <row r="2840" customFormat="false" ht="12.75" hidden="false" customHeight="true" outlineLevel="0" collapsed="false">
      <c r="A2840" s="3" t="s">
        <v>2806</v>
      </c>
      <c r="B2840" s="3" t="str">
        <f aca="false">IF(ISNUMBER(SEARCH("%", A2840)),RIGHT(A2840,3),A2840)</f>
        <v>0.05</v>
      </c>
      <c r="C2840" s="2" t="s">
        <v>2806</v>
      </c>
    </row>
    <row r="2841" customFormat="false" ht="12.75" hidden="false" customHeight="true" outlineLevel="0" collapsed="false">
      <c r="A2841" s="3" t="s">
        <v>3514</v>
      </c>
      <c r="B2841" s="3" t="str">
        <f aca="false">IF(ISNUMBER(SEARCH("%", A2841)),RIGHT(A2841,3),A2841)</f>
        <v>31, 35, TAUROS</v>
      </c>
      <c r="C2841" s="2" t="s">
        <v>3514</v>
      </c>
    </row>
    <row r="2842" customFormat="false" ht="12.75" hidden="false" customHeight="true" outlineLevel="0" collapsed="false">
      <c r="A2842" s="3" t="s">
        <v>3515</v>
      </c>
      <c r="B2842" s="3" t="str">
        <f aca="false">IF(ISNUMBER(SEARCH("%", A2842)),RIGHT(A2842,3),A2842)</f>
        <v>31, 35, "MR. MIME"</v>
      </c>
      <c r="C2842" s="2" t="s">
        <v>3515</v>
      </c>
    </row>
    <row r="2843" customFormat="false" ht="12.75" hidden="false" customHeight="true" outlineLevel="0" collapsed="false">
      <c r="A2843" s="3"/>
      <c r="B2843" s="3" t="n">
        <f aca="false">IF(ISNUMBER(SEARCH("%", A2843)),RIGHT(A2843,3),A2843)</f>
        <v>0</v>
      </c>
      <c r="C2843" s="2"/>
    </row>
    <row r="2844" customFormat="false" ht="12.75" hidden="false" customHeight="true" outlineLevel="0" collapsed="false">
      <c r="A2844" s="3" t="s">
        <v>2809</v>
      </c>
      <c r="B2844" s="3" t="str">
        <f aca="false">IF(ISNUMBER(SEARCH("%", A2844)),RIGHT(A2844,3),A2844)</f>
        <v>0.04</v>
      </c>
      <c r="C2844" s="2" t="s">
        <v>2809</v>
      </c>
    </row>
    <row r="2845" customFormat="false" ht="12.75" hidden="false" customHeight="true" outlineLevel="0" collapsed="false">
      <c r="A2845" s="3" t="s">
        <v>3476</v>
      </c>
      <c r="B2845" s="3" t="str">
        <f aca="false">IF(ISNUMBER(SEARCH("%", A2845)),RIGHT(A2845,3),A2845)</f>
        <v>32, 32, DODRIO</v>
      </c>
      <c r="C2845" s="2" t="s">
        <v>3476</v>
      </c>
    </row>
    <row r="2846" customFormat="false" ht="12.75" hidden="false" customHeight="true" outlineLevel="0" collapsed="false">
      <c r="A2846" s="3" t="s">
        <v>3516</v>
      </c>
      <c r="B2846" s="3" t="str">
        <f aca="false">IF(ISNUMBER(SEARCH("%", A2846)),RIGHT(A2846,3),A2846)</f>
        <v>32, 32, LICKILICKY</v>
      </c>
      <c r="C2846" s="2" t="s">
        <v>3516</v>
      </c>
    </row>
    <row r="2847" customFormat="false" ht="12.75" hidden="false" customHeight="true" outlineLevel="0" collapsed="false">
      <c r="A2847" s="3"/>
      <c r="B2847" s="3" t="n">
        <f aca="false">IF(ISNUMBER(SEARCH("%", A2847)),RIGHT(A2847,3),A2847)</f>
        <v>0</v>
      </c>
      <c r="C2847" s="2"/>
    </row>
    <row r="2848" customFormat="false" ht="12.75" hidden="false" customHeight="true" outlineLevel="0" collapsed="false">
      <c r="A2848" s="3" t="s">
        <v>2812</v>
      </c>
      <c r="B2848" s="3" t="str">
        <f aca="false">IF(ISNUMBER(SEARCH("%", A2848)),RIGHT(A2848,3),A2848)</f>
        <v>0.01</v>
      </c>
      <c r="C2848" s="2" t="s">
        <v>2812</v>
      </c>
    </row>
    <row r="2849" customFormat="false" ht="12.75" hidden="false" customHeight="true" outlineLevel="0" collapsed="false">
      <c r="A2849" s="3" t="s">
        <v>3517</v>
      </c>
      <c r="B2849" s="3" t="str">
        <f aca="false">IF(ISNUMBER(SEARCH("%", A2849)),RIGHT(A2849,3),A2849)</f>
        <v>30, 35, VILEPLUME</v>
      </c>
      <c r="C2849" s="2" t="s">
        <v>3517</v>
      </c>
    </row>
    <row r="2850" customFormat="false" ht="12.75" hidden="false" customHeight="true" outlineLevel="0" collapsed="false">
      <c r="A2850" s="3" t="s">
        <v>3509</v>
      </c>
      <c r="B2850" s="3" t="str">
        <f aca="false">IF(ISNUMBER(SEARCH("%", A2850)),RIGHT(A2850,3),A2850)</f>
        <v>20, 25, BULBASAUR , &lt;null&gt;, &lt;null&gt;, &lt;null&gt;</v>
      </c>
      <c r="C2850" s="2" t="s">
        <v>3509</v>
      </c>
    </row>
    <row r="2851" customFormat="false" ht="12.75" hidden="false" customHeight="true" outlineLevel="0" collapsed="false">
      <c r="A2851" s="3"/>
      <c r="B2851" s="3" t="n">
        <f aca="false">IF(ISNUMBER(SEARCH("%", A2851)),RIGHT(A2851,3),A2851)</f>
        <v>0</v>
      </c>
      <c r="C2851" s="2"/>
    </row>
    <row r="2852" customFormat="false" ht="12.75" hidden="false" customHeight="true" outlineLevel="0" collapsed="false">
      <c r="A2852" s="3" t="s">
        <v>2536</v>
      </c>
      <c r="B2852" s="3" t="str">
        <f aca="false">IF(ISNUMBER(SEARCH("%", A2852)),RIGHT(A2852,3),A2852)</f>
        <v>NEW ROUTE</v>
      </c>
      <c r="C2852" s="2" t="s">
        <v>2536</v>
      </c>
    </row>
    <row r="2853" customFormat="false" ht="12.75" hidden="false" customHeight="true" outlineLevel="0" collapsed="false">
      <c r="A2853" s="3" t="s">
        <v>3518</v>
      </c>
      <c r="B2853" s="3" t="str">
        <f aca="false">IF(ISNUMBER(SEARCH("%", A2853)),RIGHT(A2853,3),A2853)</f>
        <v>3, 36, 0,</v>
      </c>
      <c r="C2853" s="2" t="s">
        <v>3518</v>
      </c>
    </row>
    <row r="2854" customFormat="false" ht="12.75" hidden="false" customHeight="true" outlineLevel="0" collapsed="false">
      <c r="A2854" s="3" t="s">
        <v>2908</v>
      </c>
      <c r="B2854" s="3" t="str">
        <f aca="false">IF(ISNUMBER(SEARCH("%", A2854)),RIGHT(A2854,3),A2854)</f>
        <v>20%</v>
      </c>
      <c r="C2854" s="2" t="s">
        <v>2799</v>
      </c>
    </row>
    <row r="2855" customFormat="false" ht="12.75" hidden="false" customHeight="true" outlineLevel="0" collapsed="false">
      <c r="A2855" s="3" t="s">
        <v>1999</v>
      </c>
      <c r="B2855" s="3" t="str">
        <f aca="false">IF(ISNUMBER(SEARCH("%", A2855)),RIGHT(A2855,3),A2855)</f>
        <v>32, 36, ODDISH</v>
      </c>
      <c r="C2855" s="2" t="s">
        <v>1999</v>
      </c>
    </row>
    <row r="2856" customFormat="false" ht="12.75" hidden="false" customHeight="true" outlineLevel="0" collapsed="false">
      <c r="A2856" s="3" t="s">
        <v>3480</v>
      </c>
      <c r="B2856" s="3" t="str">
        <f aca="false">IF(ISNUMBER(SEARCH("%", A2856)),RIGHT(A2856,3),A2856)</f>
        <v>32, 36, PIDGEOTTO</v>
      </c>
      <c r="C2856" s="2" t="s">
        <v>3480</v>
      </c>
    </row>
    <row r="2857" customFormat="false" ht="12.75" hidden="false" customHeight="true" outlineLevel="0" collapsed="false">
      <c r="A2857" s="3"/>
      <c r="B2857" s="3" t="n">
        <f aca="false">IF(ISNUMBER(SEARCH("%", A2857)),RIGHT(A2857,3),A2857)</f>
        <v>0</v>
      </c>
      <c r="C2857" s="2"/>
    </row>
    <row r="2858" customFormat="false" ht="12.75" hidden="false" customHeight="true" outlineLevel="0" collapsed="false">
      <c r="A2858" s="3" t="s">
        <v>2801</v>
      </c>
      <c r="B2858" s="3" t="str">
        <f aca="false">IF(ISNUMBER(SEARCH("%", A2858)),RIGHT(A2858,3),A2858)</f>
        <v>0.1</v>
      </c>
      <c r="C2858" s="2" t="s">
        <v>2801</v>
      </c>
    </row>
    <row r="2859" customFormat="false" ht="12.75" hidden="false" customHeight="true" outlineLevel="0" collapsed="false">
      <c r="A2859" s="3" t="s">
        <v>3519</v>
      </c>
      <c r="B2859" s="3" t="str">
        <f aca="false">IF(ISNUMBER(SEARCH("%", A2859)),RIGHT(A2859,3),A2859)</f>
        <v>31, 33, GLOOM</v>
      </c>
      <c r="C2859" s="2" t="s">
        <v>3519</v>
      </c>
    </row>
    <row r="2860" customFormat="false" ht="12.75" hidden="false" customHeight="true" outlineLevel="0" collapsed="false">
      <c r="A2860" s="3" t="s">
        <v>3482</v>
      </c>
      <c r="B2860" s="3" t="str">
        <f aca="false">IF(ISNUMBER(SEARCH("%", A2860)),RIGHT(A2860,3),A2860)</f>
        <v>31, 33, DODUO</v>
      </c>
      <c r="C2860" s="2" t="s">
        <v>3482</v>
      </c>
    </row>
    <row r="2861" customFormat="false" ht="12.75" hidden="false" customHeight="true" outlineLevel="0" collapsed="false">
      <c r="A2861" s="3" t="s">
        <v>3483</v>
      </c>
      <c r="B2861" s="3" t="str">
        <f aca="false">IF(ISNUMBER(SEARCH("%", A2861)),RIGHT(A2861,3),A2861)</f>
        <v>33, 33, PIDGEOT</v>
      </c>
      <c r="C2861" s="2" t="s">
        <v>3483</v>
      </c>
    </row>
    <row r="2862" customFormat="false" ht="12.75" hidden="false" customHeight="true" outlineLevel="0" collapsed="false">
      <c r="A2862" s="3" t="s">
        <v>3520</v>
      </c>
      <c r="B2862" s="3" t="str">
        <f aca="false">IF(ISNUMBER(SEARCH("%", A2862)),RIGHT(A2862,3),A2862)</f>
        <v>31, 33, LICKITUNG</v>
      </c>
      <c r="C2862" s="2" t="s">
        <v>3520</v>
      </c>
    </row>
    <row r="2863" customFormat="false" ht="12.75" hidden="false" customHeight="true" outlineLevel="0" collapsed="false">
      <c r="A2863" s="3"/>
      <c r="B2863" s="3" t="n">
        <f aca="false">IF(ISNUMBER(SEARCH("%", A2863)),RIGHT(A2863,3),A2863)</f>
        <v>0</v>
      </c>
      <c r="C2863" s="2"/>
    </row>
    <row r="2864" customFormat="false" ht="12.75" hidden="false" customHeight="true" outlineLevel="0" collapsed="false">
      <c r="A2864" s="3" t="s">
        <v>2806</v>
      </c>
      <c r="B2864" s="3" t="str">
        <f aca="false">IF(ISNUMBER(SEARCH("%", A2864)),RIGHT(A2864,3),A2864)</f>
        <v>0.05</v>
      </c>
      <c r="C2864" s="2" t="s">
        <v>2806</v>
      </c>
    </row>
    <row r="2865" customFormat="false" ht="12.75" hidden="false" customHeight="true" outlineLevel="0" collapsed="false">
      <c r="A2865" s="3" t="s">
        <v>3521</v>
      </c>
      <c r="B2865" s="3" t="str">
        <f aca="false">IF(ISNUMBER(SEARCH("%", A2865)),RIGHT(A2865,3),A2865)</f>
        <v>32, 36, TAUROS</v>
      </c>
      <c r="C2865" s="2" t="s">
        <v>3521</v>
      </c>
    </row>
    <row r="2866" customFormat="false" ht="12.75" hidden="false" customHeight="true" outlineLevel="0" collapsed="false">
      <c r="A2866" s="3" t="s">
        <v>3522</v>
      </c>
      <c r="B2866" s="3" t="str">
        <f aca="false">IF(ISNUMBER(SEARCH("%", A2866)),RIGHT(A2866,3),A2866)</f>
        <v>32, 36, "MR. MIME"</v>
      </c>
      <c r="C2866" s="2" t="s">
        <v>3522</v>
      </c>
    </row>
    <row r="2867" customFormat="false" ht="12.75" hidden="false" customHeight="true" outlineLevel="0" collapsed="false">
      <c r="A2867" s="3"/>
      <c r="B2867" s="3" t="n">
        <f aca="false">IF(ISNUMBER(SEARCH("%", A2867)),RIGHT(A2867,3),A2867)</f>
        <v>0</v>
      </c>
      <c r="C2867" s="2"/>
    </row>
    <row r="2868" customFormat="false" ht="12.75" hidden="false" customHeight="true" outlineLevel="0" collapsed="false">
      <c r="A2868" s="3" t="s">
        <v>2809</v>
      </c>
      <c r="B2868" s="3" t="str">
        <f aca="false">IF(ISNUMBER(SEARCH("%", A2868)),RIGHT(A2868,3),A2868)</f>
        <v>0.04</v>
      </c>
      <c r="C2868" s="2" t="s">
        <v>2809</v>
      </c>
    </row>
    <row r="2869" customFormat="false" ht="12.75" hidden="false" customHeight="true" outlineLevel="0" collapsed="false">
      <c r="A2869" s="3" t="s">
        <v>3523</v>
      </c>
      <c r="B2869" s="3" t="str">
        <f aca="false">IF(ISNUMBER(SEARCH("%", A2869)),RIGHT(A2869,3),A2869)</f>
        <v>34, 36, DODRIO</v>
      </c>
      <c r="C2869" s="2" t="s">
        <v>3523</v>
      </c>
    </row>
    <row r="2870" customFormat="false" ht="12.75" hidden="false" customHeight="true" outlineLevel="0" collapsed="false">
      <c r="A2870" s="3" t="s">
        <v>3524</v>
      </c>
      <c r="B2870" s="3" t="str">
        <f aca="false">IF(ISNUMBER(SEARCH("%", A2870)),RIGHT(A2870,3),A2870)</f>
        <v>33, 33, LICKILICKY</v>
      </c>
      <c r="C2870" s="2" t="s">
        <v>3524</v>
      </c>
    </row>
    <row r="2871" customFormat="false" ht="12.75" hidden="false" customHeight="true" outlineLevel="0" collapsed="false">
      <c r="A2871" s="3"/>
      <c r="B2871" s="3" t="n">
        <f aca="false">IF(ISNUMBER(SEARCH("%", A2871)),RIGHT(A2871,3),A2871)</f>
        <v>0</v>
      </c>
      <c r="C2871" s="2"/>
    </row>
    <row r="2872" customFormat="false" ht="12.75" hidden="false" customHeight="true" outlineLevel="0" collapsed="false">
      <c r="A2872" s="3" t="s">
        <v>2812</v>
      </c>
      <c r="B2872" s="3" t="str">
        <f aca="false">IF(ISNUMBER(SEARCH("%", A2872)),RIGHT(A2872,3),A2872)</f>
        <v>0.01</v>
      </c>
      <c r="C2872" s="2" t="s">
        <v>2812</v>
      </c>
    </row>
    <row r="2873" customFormat="false" ht="12.75" hidden="false" customHeight="true" outlineLevel="0" collapsed="false">
      <c r="A2873" s="3" t="s">
        <v>3525</v>
      </c>
      <c r="B2873" s="3" t="str">
        <f aca="false">IF(ISNUMBER(SEARCH("%", A2873)),RIGHT(A2873,3),A2873)</f>
        <v>31, 36, VILEPLUME</v>
      </c>
      <c r="C2873" s="2" t="s">
        <v>3525</v>
      </c>
    </row>
    <row r="2874" customFormat="false" ht="12.75" hidden="false" customHeight="true" outlineLevel="0" collapsed="false">
      <c r="A2874" s="3" t="s">
        <v>3509</v>
      </c>
      <c r="B2874" s="3" t="str">
        <f aca="false">IF(ISNUMBER(SEARCH("%", A2874)),RIGHT(A2874,3),A2874)</f>
        <v>20, 25, BULBASAUR , &lt;null&gt;, &lt;null&gt;, &lt;null&gt;</v>
      </c>
      <c r="C2874" s="2" t="s">
        <v>3509</v>
      </c>
    </row>
    <row r="2875" customFormat="false" ht="12.75" hidden="false" customHeight="true" outlineLevel="0" collapsed="false">
      <c r="A2875" s="3"/>
      <c r="B2875" s="3" t="n">
        <f aca="false">IF(ISNUMBER(SEARCH("%", A2875)),RIGHT(A2875,3),A2875)</f>
        <v>0</v>
      </c>
      <c r="C2875" s="2"/>
    </row>
    <row r="2876" customFormat="false" ht="12.75" hidden="false" customHeight="true" outlineLevel="0" collapsed="false">
      <c r="A2876" s="3" t="s">
        <v>2536</v>
      </c>
      <c r="B2876" s="3" t="str">
        <f aca="false">IF(ISNUMBER(SEARCH("%", A2876)),RIGHT(A2876,3),A2876)</f>
        <v>NEW ROUTE</v>
      </c>
      <c r="C2876" s="2" t="s">
        <v>2536</v>
      </c>
    </row>
    <row r="2877" customFormat="false" ht="12.75" hidden="false" customHeight="true" outlineLevel="0" collapsed="false">
      <c r="A2877" s="3" t="s">
        <v>3526</v>
      </c>
      <c r="B2877" s="3" t="str">
        <f aca="false">IF(ISNUMBER(SEARCH("%", A2877)),RIGHT(A2877,3),A2877)</f>
        <v>3, 37, 0, &lt;null&gt;,</v>
      </c>
      <c r="C2877" s="2" t="s">
        <v>3526</v>
      </c>
    </row>
    <row r="2878" customFormat="false" ht="12.75" hidden="false" customHeight="true" outlineLevel="0" collapsed="false">
      <c r="A2878" s="3"/>
      <c r="B2878" s="3" t="n">
        <f aca="false">IF(ISNUMBER(SEARCH("%", A2878)),RIGHT(A2878,3),A2878)</f>
        <v>0</v>
      </c>
      <c r="C2878" s="2"/>
    </row>
    <row r="2879" customFormat="false" ht="12.75" hidden="false" customHeight="true" outlineLevel="0" collapsed="false">
      <c r="A2879" s="3" t="s">
        <v>3349</v>
      </c>
      <c r="B2879" s="3" t="str">
        <f aca="false">IF(ISNUMBER(SEARCH("%", A2879)),RIGHT(A2879,3),A2879)</f>
        <v>2, 38, 42, TENTACOOL</v>
      </c>
      <c r="C2879" s="2" t="s">
        <v>3349</v>
      </c>
    </row>
    <row r="2880" customFormat="false" ht="12.75" hidden="false" customHeight="true" outlineLevel="0" collapsed="false">
      <c r="A2880" s="3" t="s">
        <v>3428</v>
      </c>
      <c r="B2880" s="3" t="str">
        <f aca="false">IF(ISNUMBER(SEARCH("%", A2880)),RIGHT(A2880,3),A2880)</f>
        <v>40, 44, TENTACRUEL</v>
      </c>
      <c r="C2880" s="2" t="s">
        <v>3428</v>
      </c>
    </row>
    <row r="2881" customFormat="false" ht="12.75" hidden="false" customHeight="true" outlineLevel="0" collapsed="false">
      <c r="A2881" s="3" t="s">
        <v>3429</v>
      </c>
      <c r="B2881" s="3" t="str">
        <f aca="false">IF(ISNUMBER(SEARCH("%", A2881)),RIGHT(A2881,3),A2881)</f>
        <v>42, 46, TENTACATE</v>
      </c>
      <c r="C2881" s="2" t="s">
        <v>3429</v>
      </c>
    </row>
    <row r="2882" customFormat="false" ht="12.75" hidden="false" customHeight="true" outlineLevel="0" collapsed="false">
      <c r="A2882" s="3" t="s">
        <v>3024</v>
      </c>
      <c r="B2882" s="3" t="str">
        <f aca="false">IF(ISNUMBER(SEARCH("%", A2882)),RIGHT(A2882,3),A2882)</f>
        <v>42, 46, LAPRAS</v>
      </c>
      <c r="C2882" s="2" t="s">
        <v>3024</v>
      </c>
    </row>
    <row r="2883" customFormat="false" ht="12.75" hidden="false" customHeight="true" outlineLevel="0" collapsed="false">
      <c r="A2883" s="3" t="s">
        <v>3449</v>
      </c>
      <c r="B2883" s="3" t="str">
        <f aca="false">IF(ISNUMBER(SEARCH("%", A2883)),RIGHT(A2883,3),A2883)</f>
        <v>44, 48, LOCHLASS</v>
      </c>
      <c r="C2883" s="2" t="s">
        <v>3449</v>
      </c>
    </row>
    <row r="2884" customFormat="false" ht="12.75" hidden="false" customHeight="true" outlineLevel="0" collapsed="false">
      <c r="A2884" s="3" t="s">
        <v>2925</v>
      </c>
      <c r="B2884" s="3" t="str">
        <f aca="false">IF(ISNUMBER(SEARCH("%", A2884)),RIGHT(A2884,3),A2884)</f>
        <v>20, old rod:</v>
      </c>
      <c r="C2884" s="2" t="s">
        <v>2925</v>
      </c>
    </row>
    <row r="2885" customFormat="false" ht="12.75" hidden="false" customHeight="true" outlineLevel="0" collapsed="false">
      <c r="A2885" s="3" t="s">
        <v>2008</v>
      </c>
      <c r="B2885" s="3" t="str">
        <f aca="false">IF(ISNUMBER(SEARCH("%", A2885)),RIGHT(A2885,3),A2885)</f>
        <v>19, 26, PSYDUCK</v>
      </c>
      <c r="C2885" s="2" t="s">
        <v>2008</v>
      </c>
    </row>
    <row r="2886" customFormat="false" ht="12.75" hidden="false" customHeight="true" outlineLevel="0" collapsed="false">
      <c r="A2886" s="3" t="s">
        <v>1451</v>
      </c>
      <c r="B2886" s="3" t="str">
        <f aca="false">IF(ISNUMBER(SEARCH("%", A2886)),RIGHT(A2886,3),A2886)</f>
        <v>19, 26, HORSEA</v>
      </c>
      <c r="C2886" s="2" t="s">
        <v>1451</v>
      </c>
    </row>
    <row r="2887" customFormat="false" ht="12.75" hidden="false" customHeight="true" outlineLevel="0" collapsed="false">
      <c r="A2887" s="3"/>
      <c r="B2887" s="3" t="n">
        <f aca="false">IF(ISNUMBER(SEARCH("%", A2887)),RIGHT(A2887,3),A2887)</f>
        <v>0</v>
      </c>
      <c r="C2887" s="2"/>
    </row>
    <row r="2888" customFormat="false" ht="12.75" hidden="false" customHeight="true" outlineLevel="0" collapsed="false">
      <c r="A2888" s="3" t="s">
        <v>2846</v>
      </c>
      <c r="B2888" s="3" t="str">
        <f aca="false">IF(ISNUMBER(SEARCH("%", A2888)),RIGHT(A2888,3),A2888)</f>
        <v>good rod:</v>
      </c>
      <c r="C2888" s="2" t="s">
        <v>2846</v>
      </c>
    </row>
    <row r="2889" customFormat="false" ht="12.75" hidden="false" customHeight="true" outlineLevel="0" collapsed="false">
      <c r="A2889" s="3" t="s">
        <v>3026</v>
      </c>
      <c r="B2889" s="3" t="str">
        <f aca="false">IF(ISNUMBER(SEARCH("%", A2889)),RIGHT(A2889,3),A2889)</f>
        <v>29, 33, SEADRA</v>
      </c>
      <c r="C2889" s="2" t="s">
        <v>3026</v>
      </c>
    </row>
    <row r="2890" customFormat="false" ht="12.75" hidden="false" customHeight="true" outlineLevel="0" collapsed="false">
      <c r="A2890" s="3" t="s">
        <v>3027</v>
      </c>
      <c r="B2890" s="3" t="str">
        <f aca="false">IF(ISNUMBER(SEARCH("%", A2890)),RIGHT(A2890,3),A2890)</f>
        <v>30, 35, KRABBY</v>
      </c>
      <c r="C2890" s="2" t="s">
        <v>3027</v>
      </c>
    </row>
    <row r="2891" customFormat="false" ht="12.75" hidden="false" customHeight="true" outlineLevel="0" collapsed="false">
      <c r="A2891" s="3" t="s">
        <v>3028</v>
      </c>
      <c r="B2891" s="3" t="str">
        <f aca="false">IF(ISNUMBER(SEARCH("%", A2891)),RIGHT(A2891,3),A2891)</f>
        <v>30, 35, GOLDUCK</v>
      </c>
      <c r="C2891" s="2" t="s">
        <v>3028</v>
      </c>
    </row>
    <row r="2892" customFormat="false" ht="12.75" hidden="false" customHeight="true" outlineLevel="0" collapsed="false">
      <c r="A2892" s="3"/>
      <c r="B2892" s="3" t="n">
        <f aca="false">IF(ISNUMBER(SEARCH("%", A2892)),RIGHT(A2892,3),A2892)</f>
        <v>0</v>
      </c>
      <c r="C2892" s="2"/>
    </row>
    <row r="2893" customFormat="false" ht="12.75" hidden="false" customHeight="true" outlineLevel="0" collapsed="false">
      <c r="A2893" s="3" t="s">
        <v>2850</v>
      </c>
      <c r="B2893" s="3" t="str">
        <f aca="false">IF(ISNUMBER(SEARCH("%", A2893)),RIGHT(A2893,3),A2893)</f>
        <v>super rod:</v>
      </c>
      <c r="C2893" s="2" t="s">
        <v>2850</v>
      </c>
    </row>
    <row r="2894" customFormat="false" ht="12.75" hidden="false" customHeight="true" outlineLevel="0" collapsed="false">
      <c r="A2894" s="3" t="s">
        <v>3029</v>
      </c>
      <c r="B2894" s="3" t="str">
        <f aca="false">IF(ISNUMBER(SEARCH("%", A2894)),RIGHT(A2894,3),A2894)</f>
        <v>36, 40, KINGDRA</v>
      </c>
      <c r="C2894" s="2" t="s">
        <v>3029</v>
      </c>
    </row>
    <row r="2895" customFormat="false" ht="12.75" hidden="false" customHeight="true" outlineLevel="0" collapsed="false">
      <c r="A2895" s="3" t="s">
        <v>3527</v>
      </c>
      <c r="B2895" s="3" t="str">
        <f aca="false">IF(ISNUMBER(SEARCH("%", A2895)),RIGHT(A2895,3),A2895)</f>
        <v>36, 40, KINGLER</v>
      </c>
      <c r="C2895" s="2" t="s">
        <v>3527</v>
      </c>
    </row>
    <row r="2896" customFormat="false" ht="12.75" hidden="false" customHeight="true" outlineLevel="0" collapsed="false">
      <c r="A2896" s="3" t="s">
        <v>3031</v>
      </c>
      <c r="B2896" s="3" t="str">
        <f aca="false">IF(ISNUMBER(SEARCH("%", A2896)),RIGHT(A2896,3),A2896)</f>
        <v>38, 42, GILDUCK</v>
      </c>
      <c r="C2896" s="2" t="s">
        <v>3031</v>
      </c>
    </row>
    <row r="2897" customFormat="false" ht="12.75" hidden="false" customHeight="true" outlineLevel="0" collapsed="false">
      <c r="A2897" s="3" t="s">
        <v>3032</v>
      </c>
      <c r="B2897" s="3" t="str">
        <f aca="false">IF(ISNUMBER(SEARCH("%", A2897)),RIGHT(A2897,3),A2897)</f>
        <v>38, 42, KRAKLAW</v>
      </c>
      <c r="C2897" s="2" t="s">
        <v>3032</v>
      </c>
    </row>
    <row r="2898" customFormat="false" ht="12.75" hidden="false" customHeight="true" outlineLevel="0" collapsed="false">
      <c r="A2898" s="3" t="s">
        <v>3033</v>
      </c>
      <c r="B2898" s="3" t="str">
        <f aca="false">IF(ISNUMBER(SEARCH("%", A2898)),RIGHT(A2898,3),A2898)</f>
        <v>40, 44, LORDRA</v>
      </c>
      <c r="C2898" s="2" t="s">
        <v>3033</v>
      </c>
    </row>
    <row r="2899" customFormat="false" ht="12.75" hidden="false" customHeight="true" outlineLevel="0" collapsed="false">
      <c r="A2899" s="3" t="s">
        <v>2536</v>
      </c>
      <c r="B2899" s="3" t="str">
        <f aca="false">IF(ISNUMBER(SEARCH("%", A2899)),RIGHT(A2899,3),A2899)</f>
        <v>NEW ROUTE</v>
      </c>
      <c r="C2899" s="2" t="s">
        <v>2536</v>
      </c>
    </row>
    <row r="2900" customFormat="false" ht="12.75" hidden="false" customHeight="true" outlineLevel="0" collapsed="false">
      <c r="A2900" s="3" t="s">
        <v>3528</v>
      </c>
      <c r="B2900" s="3" t="str">
        <f aca="false">IF(ISNUMBER(SEARCH("%", A2900)),RIGHT(A2900,3),A2900)</f>
        <v>3, 38, 0, &lt;null&gt;,</v>
      </c>
      <c r="C2900" s="2" t="s">
        <v>3528</v>
      </c>
    </row>
    <row r="2901" customFormat="false" ht="12.75" hidden="false" customHeight="true" outlineLevel="0" collapsed="false">
      <c r="A2901" s="3"/>
      <c r="B2901" s="3" t="n">
        <f aca="false">IF(ISNUMBER(SEARCH("%", A2901)),RIGHT(A2901,3),A2901)</f>
        <v>0</v>
      </c>
      <c r="C2901" s="2"/>
    </row>
    <row r="2902" customFormat="false" ht="12.75" hidden="false" customHeight="true" outlineLevel="0" collapsed="false">
      <c r="A2902" s="3" t="s">
        <v>3349</v>
      </c>
      <c r="B2902" s="3" t="str">
        <f aca="false">IF(ISNUMBER(SEARCH("%", A2902)),RIGHT(A2902,3),A2902)</f>
        <v>2, 38, 42, TENTACOOL</v>
      </c>
      <c r="C2902" s="2" t="s">
        <v>3349</v>
      </c>
    </row>
    <row r="2903" customFormat="false" ht="12.75" hidden="false" customHeight="true" outlineLevel="0" collapsed="false">
      <c r="A2903" s="3" t="s">
        <v>3428</v>
      </c>
      <c r="B2903" s="3" t="str">
        <f aca="false">IF(ISNUMBER(SEARCH("%", A2903)),RIGHT(A2903,3),A2903)</f>
        <v>40, 44, TENTACRUEL</v>
      </c>
      <c r="C2903" s="2" t="s">
        <v>3428</v>
      </c>
    </row>
    <row r="2904" customFormat="false" ht="12.75" hidden="false" customHeight="true" outlineLevel="0" collapsed="false">
      <c r="A2904" s="3" t="s">
        <v>3429</v>
      </c>
      <c r="B2904" s="3" t="str">
        <f aca="false">IF(ISNUMBER(SEARCH("%", A2904)),RIGHT(A2904,3),A2904)</f>
        <v>42, 46, TENTACATE</v>
      </c>
      <c r="C2904" s="2" t="s">
        <v>3429</v>
      </c>
    </row>
    <row r="2905" customFormat="false" ht="12.75" hidden="false" customHeight="true" outlineLevel="0" collapsed="false">
      <c r="A2905" s="3" t="s">
        <v>3024</v>
      </c>
      <c r="B2905" s="3" t="str">
        <f aca="false">IF(ISNUMBER(SEARCH("%", A2905)),RIGHT(A2905,3),A2905)</f>
        <v>42, 46, LAPRAS</v>
      </c>
      <c r="C2905" s="2" t="s">
        <v>3024</v>
      </c>
    </row>
    <row r="2906" customFormat="false" ht="12.75" hidden="false" customHeight="true" outlineLevel="0" collapsed="false">
      <c r="A2906" s="3" t="s">
        <v>3449</v>
      </c>
      <c r="B2906" s="3" t="str">
        <f aca="false">IF(ISNUMBER(SEARCH("%", A2906)),RIGHT(A2906,3),A2906)</f>
        <v>44, 48, LOCHLASS</v>
      </c>
      <c r="C2906" s="2" t="s">
        <v>3449</v>
      </c>
    </row>
    <row r="2907" customFormat="false" ht="12.75" hidden="false" customHeight="true" outlineLevel="0" collapsed="false">
      <c r="A2907" s="3" t="s">
        <v>2925</v>
      </c>
      <c r="B2907" s="3" t="str">
        <f aca="false">IF(ISNUMBER(SEARCH("%", A2907)),RIGHT(A2907,3),A2907)</f>
        <v>20, old rod:</v>
      </c>
      <c r="C2907" s="2" t="s">
        <v>2925</v>
      </c>
    </row>
    <row r="2908" customFormat="false" ht="12.75" hidden="false" customHeight="true" outlineLevel="0" collapsed="false">
      <c r="A2908" s="3" t="s">
        <v>2008</v>
      </c>
      <c r="B2908" s="3" t="str">
        <f aca="false">IF(ISNUMBER(SEARCH("%", A2908)),RIGHT(A2908,3),A2908)</f>
        <v>19, 26, PSYDUCK</v>
      </c>
      <c r="C2908" s="2" t="s">
        <v>2008</v>
      </c>
    </row>
    <row r="2909" customFormat="false" ht="12.75" hidden="false" customHeight="true" outlineLevel="0" collapsed="false">
      <c r="A2909" s="3" t="s">
        <v>1451</v>
      </c>
      <c r="B2909" s="3" t="str">
        <f aca="false">IF(ISNUMBER(SEARCH("%", A2909)),RIGHT(A2909,3),A2909)</f>
        <v>19, 26, HORSEA</v>
      </c>
      <c r="C2909" s="2" t="s">
        <v>1451</v>
      </c>
    </row>
    <row r="2910" customFormat="false" ht="12.75" hidden="false" customHeight="true" outlineLevel="0" collapsed="false">
      <c r="A2910" s="3"/>
      <c r="B2910" s="3" t="n">
        <f aca="false">IF(ISNUMBER(SEARCH("%", A2910)),RIGHT(A2910,3),A2910)</f>
        <v>0</v>
      </c>
      <c r="C2910" s="2"/>
    </row>
    <row r="2911" customFormat="false" ht="12.75" hidden="false" customHeight="true" outlineLevel="0" collapsed="false">
      <c r="A2911" s="3" t="s">
        <v>2846</v>
      </c>
      <c r="B2911" s="3" t="str">
        <f aca="false">IF(ISNUMBER(SEARCH("%", A2911)),RIGHT(A2911,3),A2911)</f>
        <v>good rod:</v>
      </c>
      <c r="C2911" s="2" t="s">
        <v>2846</v>
      </c>
    </row>
    <row r="2912" customFormat="false" ht="12.75" hidden="false" customHeight="true" outlineLevel="0" collapsed="false">
      <c r="A2912" s="3" t="s">
        <v>3026</v>
      </c>
      <c r="B2912" s="3" t="str">
        <f aca="false">IF(ISNUMBER(SEARCH("%", A2912)),RIGHT(A2912,3),A2912)</f>
        <v>29, 33, SEADRA</v>
      </c>
      <c r="C2912" s="2" t="s">
        <v>3026</v>
      </c>
    </row>
    <row r="2913" customFormat="false" ht="12.75" hidden="false" customHeight="true" outlineLevel="0" collapsed="false">
      <c r="A2913" s="3" t="s">
        <v>3027</v>
      </c>
      <c r="B2913" s="3" t="str">
        <f aca="false">IF(ISNUMBER(SEARCH("%", A2913)),RIGHT(A2913,3),A2913)</f>
        <v>30, 35, KRABBY</v>
      </c>
      <c r="C2913" s="2" t="s">
        <v>3027</v>
      </c>
    </row>
    <row r="2914" customFormat="false" ht="12.75" hidden="false" customHeight="true" outlineLevel="0" collapsed="false">
      <c r="A2914" s="3" t="s">
        <v>3028</v>
      </c>
      <c r="B2914" s="3" t="str">
        <f aca="false">IF(ISNUMBER(SEARCH("%", A2914)),RIGHT(A2914,3),A2914)</f>
        <v>30, 35, GOLDUCK</v>
      </c>
      <c r="C2914" s="2" t="s">
        <v>3028</v>
      </c>
    </row>
    <row r="2915" customFormat="false" ht="12.75" hidden="false" customHeight="true" outlineLevel="0" collapsed="false">
      <c r="A2915" s="3"/>
      <c r="B2915" s="3" t="n">
        <f aca="false">IF(ISNUMBER(SEARCH("%", A2915)),RIGHT(A2915,3),A2915)</f>
        <v>0</v>
      </c>
      <c r="C2915" s="2"/>
    </row>
    <row r="2916" customFormat="false" ht="12.75" hidden="false" customHeight="true" outlineLevel="0" collapsed="false">
      <c r="A2916" s="3" t="s">
        <v>2850</v>
      </c>
      <c r="B2916" s="3" t="str">
        <f aca="false">IF(ISNUMBER(SEARCH("%", A2916)),RIGHT(A2916,3),A2916)</f>
        <v>super rod:</v>
      </c>
      <c r="C2916" s="2" t="s">
        <v>2850</v>
      </c>
    </row>
    <row r="2917" customFormat="false" ht="12.75" hidden="false" customHeight="true" outlineLevel="0" collapsed="false">
      <c r="A2917" s="3" t="s">
        <v>3029</v>
      </c>
      <c r="B2917" s="3" t="str">
        <f aca="false">IF(ISNUMBER(SEARCH("%", A2917)),RIGHT(A2917,3),A2917)</f>
        <v>36, 40, KINGDRA</v>
      </c>
      <c r="C2917" s="2" t="s">
        <v>3029</v>
      </c>
    </row>
    <row r="2918" customFormat="false" ht="12.75" hidden="false" customHeight="true" outlineLevel="0" collapsed="false">
      <c r="A2918" s="3" t="s">
        <v>3527</v>
      </c>
      <c r="B2918" s="3" t="str">
        <f aca="false">IF(ISNUMBER(SEARCH("%", A2918)),RIGHT(A2918,3),A2918)</f>
        <v>36, 40, KINGLER</v>
      </c>
      <c r="C2918" s="2" t="s">
        <v>3527</v>
      </c>
    </row>
    <row r="2919" customFormat="false" ht="12.75" hidden="false" customHeight="true" outlineLevel="0" collapsed="false">
      <c r="A2919" s="3" t="s">
        <v>3031</v>
      </c>
      <c r="B2919" s="3" t="str">
        <f aca="false">IF(ISNUMBER(SEARCH("%", A2919)),RIGHT(A2919,3),A2919)</f>
        <v>38, 42, GILDUCK</v>
      </c>
      <c r="C2919" s="2" t="s">
        <v>3031</v>
      </c>
    </row>
    <row r="2920" customFormat="false" ht="12.75" hidden="false" customHeight="true" outlineLevel="0" collapsed="false">
      <c r="A2920" s="3" t="s">
        <v>3032</v>
      </c>
      <c r="B2920" s="3" t="str">
        <f aca="false">IF(ISNUMBER(SEARCH("%", A2920)),RIGHT(A2920,3),A2920)</f>
        <v>38, 42, KRAKLAW</v>
      </c>
      <c r="C2920" s="2" t="s">
        <v>3032</v>
      </c>
    </row>
    <row r="2921" customFormat="false" ht="12.75" hidden="false" customHeight="true" outlineLevel="0" collapsed="false">
      <c r="A2921" s="3" t="s">
        <v>3033</v>
      </c>
      <c r="B2921" s="3" t="str">
        <f aca="false">IF(ISNUMBER(SEARCH("%", A2921)),RIGHT(A2921,3),A2921)</f>
        <v>40, 44, LORDRA</v>
      </c>
      <c r="C2921" s="2" t="s">
        <v>3033</v>
      </c>
    </row>
    <row r="2922" customFormat="false" ht="12.75" hidden="false" customHeight="true" outlineLevel="0" collapsed="false">
      <c r="A2922" s="3" t="s">
        <v>2536</v>
      </c>
      <c r="B2922" s="3" t="str">
        <f aca="false">IF(ISNUMBER(SEARCH("%", A2922)),RIGHT(A2922,3),A2922)</f>
        <v>NEW ROUTE</v>
      </c>
      <c r="C2922" s="2" t="s">
        <v>2536</v>
      </c>
    </row>
    <row r="2923" customFormat="false" ht="12.75" hidden="false" customHeight="true" outlineLevel="0" collapsed="false">
      <c r="A2923" s="3" t="s">
        <v>3529</v>
      </c>
      <c r="B2923" s="3" t="str">
        <f aca="false">IF(ISNUMBER(SEARCH("%", A2923)),RIGHT(A2923,3),A2923)</f>
        <v>3, 39, 0,</v>
      </c>
      <c r="C2923" s="2" t="s">
        <v>3529</v>
      </c>
    </row>
    <row r="2924" customFormat="false" ht="12.75" hidden="false" customHeight="true" outlineLevel="0" collapsed="false">
      <c r="A2924" s="3" t="s">
        <v>2798</v>
      </c>
      <c r="B2924" s="3" t="str">
        <f aca="false">IF(ISNUMBER(SEARCH("%", A2924)),RIGHT(A2924,3),A2924)</f>
        <v>20%</v>
      </c>
      <c r="C2924" s="2" t="s">
        <v>2799</v>
      </c>
    </row>
    <row r="2925" customFormat="false" ht="12.75" hidden="false" customHeight="true" outlineLevel="0" collapsed="false">
      <c r="A2925" s="3" t="s">
        <v>2013</v>
      </c>
      <c r="B2925" s="3" t="str">
        <f aca="false">IF(ISNUMBER(SEARCH("%", A2925)),RIGHT(A2925,3),A2925)</f>
        <v>39, 46, TANGROWTH</v>
      </c>
      <c r="C2925" s="2" t="s">
        <v>2013</v>
      </c>
    </row>
    <row r="2926" customFormat="false" ht="12.75" hidden="false" customHeight="true" outlineLevel="0" collapsed="false">
      <c r="A2926" s="3" t="s">
        <v>3530</v>
      </c>
      <c r="B2926" s="3" t="str">
        <f aca="false">IF(ISNUMBER(SEARCH("%", A2926)),RIGHT(A2926,3),A2926)</f>
        <v>39, 46, EXEGGUTOR</v>
      </c>
      <c r="C2926" s="2" t="s">
        <v>3530</v>
      </c>
    </row>
    <row r="2927" customFormat="false" ht="12.75" hidden="false" customHeight="true" outlineLevel="0" collapsed="false">
      <c r="A2927" s="3"/>
      <c r="B2927" s="3" t="n">
        <f aca="false">IF(ISNUMBER(SEARCH("%", A2927)),RIGHT(A2927,3),A2927)</f>
        <v>0</v>
      </c>
      <c r="C2927" s="2"/>
    </row>
    <row r="2928" customFormat="false" ht="12.75" hidden="false" customHeight="true" outlineLevel="0" collapsed="false">
      <c r="A2928" s="3" t="s">
        <v>2801</v>
      </c>
      <c r="B2928" s="3" t="str">
        <f aca="false">IF(ISNUMBER(SEARCH("%", A2928)),RIGHT(A2928,3),A2928)</f>
        <v>0.1</v>
      </c>
      <c r="C2928" s="2" t="s">
        <v>2801</v>
      </c>
    </row>
    <row r="2929" customFormat="false" ht="12.75" hidden="false" customHeight="true" outlineLevel="0" collapsed="false">
      <c r="A2929" s="3" t="s">
        <v>3531</v>
      </c>
      <c r="B2929" s="3" t="str">
        <f aca="false">IF(ISNUMBER(SEARCH("%", A2929)),RIGHT(A2929,3),A2929)</f>
        <v>39, 42, DODRIO</v>
      </c>
      <c r="C2929" s="2" t="s">
        <v>3531</v>
      </c>
    </row>
    <row r="2930" customFormat="false" ht="12.75" hidden="false" customHeight="true" outlineLevel="0" collapsed="false">
      <c r="A2930" s="3" t="s">
        <v>3532</v>
      </c>
      <c r="B2930" s="3" t="str">
        <f aca="false">IF(ISNUMBER(SEARCH("%", A2930)),RIGHT(A2930,3),A2930)</f>
        <v>39, 42, GOLDUCK</v>
      </c>
      <c r="C2930" s="2" t="s">
        <v>3532</v>
      </c>
    </row>
    <row r="2931" customFormat="false" ht="12.75" hidden="false" customHeight="true" outlineLevel="0" collapsed="false">
      <c r="A2931" s="3" t="s">
        <v>3533</v>
      </c>
      <c r="B2931" s="3" t="str">
        <f aca="false">IF(ISNUMBER(SEARCH("%", A2931)),RIGHT(A2931,3),A2931)</f>
        <v>43, 46, DODRIO</v>
      </c>
      <c r="C2931" s="2" t="s">
        <v>3533</v>
      </c>
    </row>
    <row r="2932" customFormat="false" ht="12.75" hidden="false" customHeight="true" outlineLevel="0" collapsed="false">
      <c r="A2932" s="3" t="s">
        <v>3534</v>
      </c>
      <c r="B2932" s="3" t="str">
        <f aca="false">IF(ISNUMBER(SEARCH("%", A2932)),RIGHT(A2932,3),A2932)</f>
        <v>43, 46, GOLDUCK</v>
      </c>
      <c r="C2932" s="2" t="s">
        <v>3534</v>
      </c>
    </row>
    <row r="2933" customFormat="false" ht="12.75" hidden="false" customHeight="true" outlineLevel="0" collapsed="false">
      <c r="A2933" s="3"/>
      <c r="B2933" s="3" t="n">
        <f aca="false">IF(ISNUMBER(SEARCH("%", A2933)),RIGHT(A2933,3),A2933)</f>
        <v>0</v>
      </c>
      <c r="C2933" s="2"/>
    </row>
    <row r="2934" customFormat="false" ht="12.75" hidden="false" customHeight="true" outlineLevel="0" collapsed="false">
      <c r="A2934" s="3" t="s">
        <v>2806</v>
      </c>
      <c r="B2934" s="3" t="str">
        <f aca="false">IF(ISNUMBER(SEARCH("%", A2934)),RIGHT(A2934,3),A2934)</f>
        <v>0.05</v>
      </c>
      <c r="C2934" s="2" t="s">
        <v>2806</v>
      </c>
    </row>
    <row r="2935" customFormat="false" ht="12.75" hidden="false" customHeight="true" outlineLevel="0" collapsed="false">
      <c r="A2935" s="3" t="s">
        <v>3535</v>
      </c>
      <c r="B2935" s="3" t="str">
        <f aca="false">IF(ISNUMBER(SEARCH("%", A2935)),RIGHT(A2935,3),A2935)</f>
        <v>43, 50, TANGATHER</v>
      </c>
      <c r="C2935" s="2" t="s">
        <v>3535</v>
      </c>
    </row>
    <row r="2936" customFormat="false" ht="12.75" hidden="false" customHeight="true" outlineLevel="0" collapsed="false">
      <c r="A2936" s="3" t="s">
        <v>3536</v>
      </c>
      <c r="B2936" s="3" t="str">
        <f aca="false">IF(ISNUMBER(SEARCH("%", A2936)),RIGHT(A2936,3),A2936)</f>
        <v>43, 50, EXEGGITY</v>
      </c>
      <c r="C2936" s="2" t="s">
        <v>3536</v>
      </c>
    </row>
    <row r="2937" customFormat="false" ht="12.75" hidden="false" customHeight="true" outlineLevel="0" collapsed="false">
      <c r="A2937" s="3"/>
      <c r="B2937" s="3" t="n">
        <f aca="false">IF(ISNUMBER(SEARCH("%", A2937)),RIGHT(A2937,3),A2937)</f>
        <v>0</v>
      </c>
      <c r="C2937" s="2"/>
    </row>
    <row r="2938" customFormat="false" ht="12.75" hidden="false" customHeight="true" outlineLevel="0" collapsed="false">
      <c r="A2938" s="3" t="s">
        <v>2809</v>
      </c>
      <c r="B2938" s="3" t="str">
        <f aca="false">IF(ISNUMBER(SEARCH("%", A2938)),RIGHT(A2938,3),A2938)</f>
        <v>0.04</v>
      </c>
      <c r="C2938" s="2" t="s">
        <v>2809</v>
      </c>
    </row>
    <row r="2939" customFormat="false" ht="12.75" hidden="false" customHeight="true" outlineLevel="0" collapsed="false">
      <c r="A2939" s="3" t="s">
        <v>3537</v>
      </c>
      <c r="B2939" s="3" t="str">
        <f aca="false">IF(ISNUMBER(SEARCH("%", A2939)),RIGHT(A2939,3),A2939)</f>
        <v>43, 50, GILDUCK</v>
      </c>
      <c r="C2939" s="2" t="s">
        <v>3537</v>
      </c>
    </row>
    <row r="2940" customFormat="false" ht="12.75" hidden="false" customHeight="true" outlineLevel="0" collapsed="false">
      <c r="A2940" s="3" t="s">
        <v>3538</v>
      </c>
      <c r="B2940" s="3" t="str">
        <f aca="false">IF(ISNUMBER(SEARCH("%", A2940)),RIGHT(A2940,3),A2940)</f>
        <v>43, 50, QUADODO</v>
      </c>
      <c r="C2940" s="2" t="s">
        <v>3538</v>
      </c>
    </row>
    <row r="2941" customFormat="false" ht="12.75" hidden="false" customHeight="true" outlineLevel="0" collapsed="false">
      <c r="A2941" s="3"/>
      <c r="B2941" s="3" t="n">
        <f aca="false">IF(ISNUMBER(SEARCH("%", A2941)),RIGHT(A2941,3),A2941)</f>
        <v>0</v>
      </c>
      <c r="C2941" s="2"/>
    </row>
    <row r="2942" customFormat="false" ht="12.75" hidden="false" customHeight="true" outlineLevel="0" collapsed="false">
      <c r="A2942" s="3" t="s">
        <v>2812</v>
      </c>
      <c r="B2942" s="3" t="str">
        <f aca="false">IF(ISNUMBER(SEARCH("%", A2942)),RIGHT(A2942,3),A2942)</f>
        <v>0.01</v>
      </c>
      <c r="C2942" s="2" t="s">
        <v>2812</v>
      </c>
    </row>
    <row r="2943" customFormat="false" ht="12.75" hidden="false" customHeight="true" outlineLevel="0" collapsed="false">
      <c r="A2943" s="3" t="s">
        <v>3539</v>
      </c>
      <c r="B2943" s="3" t="str">
        <f aca="false">IF(ISNUMBER(SEARCH("%", A2943)),RIGHT(A2943,3),A2943)</f>
        <v>45, 52, TANGOLIATH</v>
      </c>
      <c r="C2943" s="2" t="s">
        <v>3539</v>
      </c>
    </row>
    <row r="2944" customFormat="false" ht="12.75" hidden="false" customHeight="true" outlineLevel="0" collapsed="false">
      <c r="A2944" s="3" t="s">
        <v>3540</v>
      </c>
      <c r="B2944" s="3" t="str">
        <f aca="false">IF(ISNUMBER(SEARCH("%", A2944)),RIGHT(A2944,3),A2944)</f>
        <v>44, 44, TANGOLIATH</v>
      </c>
      <c r="C2944" s="2" t="s">
        <v>3540</v>
      </c>
    </row>
    <row r="2945" customFormat="false" ht="12.75" hidden="false" customHeight="true" outlineLevel="0" collapsed="false">
      <c r="A2945" s="3" t="s">
        <v>3349</v>
      </c>
      <c r="B2945" s="3" t="str">
        <f aca="false">IF(ISNUMBER(SEARCH("%", A2945)),RIGHT(A2945,3),A2945)</f>
        <v>2, 38, 42, TENTACOOL</v>
      </c>
      <c r="C2945" s="2" t="s">
        <v>3349</v>
      </c>
    </row>
    <row r="2946" customFormat="false" ht="12.75" hidden="false" customHeight="true" outlineLevel="0" collapsed="false">
      <c r="A2946" s="3" t="s">
        <v>3428</v>
      </c>
      <c r="B2946" s="3" t="str">
        <f aca="false">IF(ISNUMBER(SEARCH("%", A2946)),RIGHT(A2946,3),A2946)</f>
        <v>40, 44, TENTACRUEL</v>
      </c>
      <c r="C2946" s="2" t="s">
        <v>3428</v>
      </c>
    </row>
    <row r="2947" customFormat="false" ht="12.75" hidden="false" customHeight="true" outlineLevel="0" collapsed="false">
      <c r="A2947" s="3" t="s">
        <v>3429</v>
      </c>
      <c r="B2947" s="3" t="str">
        <f aca="false">IF(ISNUMBER(SEARCH("%", A2947)),RIGHT(A2947,3),A2947)</f>
        <v>42, 46, TENTACATE</v>
      </c>
      <c r="C2947" s="2" t="s">
        <v>3429</v>
      </c>
    </row>
    <row r="2948" customFormat="false" ht="12.75" hidden="false" customHeight="true" outlineLevel="0" collapsed="false">
      <c r="A2948" s="3" t="s">
        <v>3024</v>
      </c>
      <c r="B2948" s="3" t="str">
        <f aca="false">IF(ISNUMBER(SEARCH("%", A2948)),RIGHT(A2948,3),A2948)</f>
        <v>42, 46, LAPRAS</v>
      </c>
      <c r="C2948" s="2" t="s">
        <v>3024</v>
      </c>
    </row>
    <row r="2949" customFormat="false" ht="12.75" hidden="false" customHeight="true" outlineLevel="0" collapsed="false">
      <c r="A2949" s="3" t="s">
        <v>3449</v>
      </c>
      <c r="B2949" s="3" t="str">
        <f aca="false">IF(ISNUMBER(SEARCH("%", A2949)),RIGHT(A2949,3),A2949)</f>
        <v>44, 48, LOCHLASS</v>
      </c>
      <c r="C2949" s="2" t="s">
        <v>3449</v>
      </c>
    </row>
    <row r="2950" customFormat="false" ht="12.75" hidden="false" customHeight="true" outlineLevel="0" collapsed="false">
      <c r="A2950" s="3" t="s">
        <v>2925</v>
      </c>
      <c r="B2950" s="3" t="str">
        <f aca="false">IF(ISNUMBER(SEARCH("%", A2950)),RIGHT(A2950,3),A2950)</f>
        <v>20, old rod:</v>
      </c>
      <c r="C2950" s="2" t="s">
        <v>2925</v>
      </c>
    </row>
    <row r="2951" customFormat="false" ht="12.75" hidden="false" customHeight="true" outlineLevel="0" collapsed="false">
      <c r="A2951" s="3" t="s">
        <v>2008</v>
      </c>
      <c r="B2951" s="3" t="str">
        <f aca="false">IF(ISNUMBER(SEARCH("%", A2951)),RIGHT(A2951,3),A2951)</f>
        <v>19, 26, PSYDUCK</v>
      </c>
      <c r="C2951" s="2" t="s">
        <v>2008</v>
      </c>
    </row>
    <row r="2952" customFormat="false" ht="12.75" hidden="false" customHeight="true" outlineLevel="0" collapsed="false">
      <c r="A2952" s="3" t="s">
        <v>1451</v>
      </c>
      <c r="B2952" s="3" t="str">
        <f aca="false">IF(ISNUMBER(SEARCH("%", A2952)),RIGHT(A2952,3),A2952)</f>
        <v>19, 26, HORSEA</v>
      </c>
      <c r="C2952" s="2" t="s">
        <v>1451</v>
      </c>
    </row>
    <row r="2953" customFormat="false" ht="12.75" hidden="false" customHeight="true" outlineLevel="0" collapsed="false">
      <c r="A2953" s="3"/>
      <c r="B2953" s="3" t="n">
        <f aca="false">IF(ISNUMBER(SEARCH("%", A2953)),RIGHT(A2953,3),A2953)</f>
        <v>0</v>
      </c>
      <c r="C2953" s="2"/>
    </row>
    <row r="2954" customFormat="false" ht="12.75" hidden="false" customHeight="true" outlineLevel="0" collapsed="false">
      <c r="A2954" s="3" t="s">
        <v>2846</v>
      </c>
      <c r="B2954" s="3" t="str">
        <f aca="false">IF(ISNUMBER(SEARCH("%", A2954)),RIGHT(A2954,3),A2954)</f>
        <v>good rod:</v>
      </c>
      <c r="C2954" s="2" t="s">
        <v>2846</v>
      </c>
    </row>
    <row r="2955" customFormat="false" ht="12.75" hidden="false" customHeight="true" outlineLevel="0" collapsed="false">
      <c r="A2955" s="3" t="s">
        <v>3026</v>
      </c>
      <c r="B2955" s="3" t="str">
        <f aca="false">IF(ISNUMBER(SEARCH("%", A2955)),RIGHT(A2955,3),A2955)</f>
        <v>29, 33, SEADRA</v>
      </c>
      <c r="C2955" s="2" t="s">
        <v>3026</v>
      </c>
    </row>
    <row r="2956" customFormat="false" ht="12.75" hidden="false" customHeight="true" outlineLevel="0" collapsed="false">
      <c r="A2956" s="3" t="s">
        <v>3027</v>
      </c>
      <c r="B2956" s="3" t="str">
        <f aca="false">IF(ISNUMBER(SEARCH("%", A2956)),RIGHT(A2956,3),A2956)</f>
        <v>30, 35, KRABBY</v>
      </c>
      <c r="C2956" s="2" t="s">
        <v>3027</v>
      </c>
    </row>
    <row r="2957" customFormat="false" ht="12.75" hidden="false" customHeight="true" outlineLevel="0" collapsed="false">
      <c r="A2957" s="3" t="s">
        <v>3028</v>
      </c>
      <c r="B2957" s="3" t="str">
        <f aca="false">IF(ISNUMBER(SEARCH("%", A2957)),RIGHT(A2957,3),A2957)</f>
        <v>30, 35, GOLDUCK</v>
      </c>
      <c r="C2957" s="2" t="s">
        <v>3028</v>
      </c>
    </row>
    <row r="2958" customFormat="false" ht="12.75" hidden="false" customHeight="true" outlineLevel="0" collapsed="false">
      <c r="A2958" s="3"/>
      <c r="B2958" s="3" t="n">
        <f aca="false">IF(ISNUMBER(SEARCH("%", A2958)),RIGHT(A2958,3),A2958)</f>
        <v>0</v>
      </c>
      <c r="C2958" s="2"/>
    </row>
    <row r="2959" customFormat="false" ht="12.75" hidden="false" customHeight="true" outlineLevel="0" collapsed="false">
      <c r="A2959" s="3" t="s">
        <v>2850</v>
      </c>
      <c r="B2959" s="3" t="str">
        <f aca="false">IF(ISNUMBER(SEARCH("%", A2959)),RIGHT(A2959,3),A2959)</f>
        <v>super rod:</v>
      </c>
      <c r="C2959" s="2" t="s">
        <v>2850</v>
      </c>
    </row>
    <row r="2960" customFormat="false" ht="12.75" hidden="false" customHeight="true" outlineLevel="0" collapsed="false">
      <c r="A2960" s="3" t="s">
        <v>3029</v>
      </c>
      <c r="B2960" s="3" t="str">
        <f aca="false">IF(ISNUMBER(SEARCH("%", A2960)),RIGHT(A2960,3),A2960)</f>
        <v>36, 40, KINGDRA</v>
      </c>
      <c r="C2960" s="2" t="s">
        <v>3029</v>
      </c>
    </row>
    <row r="2961" customFormat="false" ht="12.75" hidden="false" customHeight="true" outlineLevel="0" collapsed="false">
      <c r="A2961" s="3" t="s">
        <v>3527</v>
      </c>
      <c r="B2961" s="3" t="str">
        <f aca="false">IF(ISNUMBER(SEARCH("%", A2961)),RIGHT(A2961,3),A2961)</f>
        <v>36, 40, KINGLER</v>
      </c>
      <c r="C2961" s="2" t="s">
        <v>3527</v>
      </c>
    </row>
    <row r="2962" customFormat="false" ht="12.75" hidden="false" customHeight="true" outlineLevel="0" collapsed="false">
      <c r="A2962" s="3" t="s">
        <v>3031</v>
      </c>
      <c r="B2962" s="3" t="str">
        <f aca="false">IF(ISNUMBER(SEARCH("%", A2962)),RIGHT(A2962,3),A2962)</f>
        <v>38, 42, GILDUCK</v>
      </c>
      <c r="C2962" s="2" t="s">
        <v>3031</v>
      </c>
    </row>
    <row r="2963" customFormat="false" ht="12.75" hidden="false" customHeight="true" outlineLevel="0" collapsed="false">
      <c r="A2963" s="3" t="s">
        <v>3032</v>
      </c>
      <c r="B2963" s="3" t="str">
        <f aca="false">IF(ISNUMBER(SEARCH("%", A2963)),RIGHT(A2963,3),A2963)</f>
        <v>38, 42, KRAKLAW</v>
      </c>
      <c r="C2963" s="2" t="s">
        <v>3032</v>
      </c>
    </row>
    <row r="2964" customFormat="false" ht="12.75" hidden="false" customHeight="true" outlineLevel="0" collapsed="false">
      <c r="A2964" s="3" t="s">
        <v>3033</v>
      </c>
      <c r="B2964" s="3" t="str">
        <f aca="false">IF(ISNUMBER(SEARCH("%", A2964)),RIGHT(A2964,3),A2964)</f>
        <v>40, 44, LORDRA</v>
      </c>
      <c r="C2964" s="2" t="s">
        <v>3033</v>
      </c>
    </row>
    <row r="2965" customFormat="false" ht="12.75" hidden="false" customHeight="true" outlineLevel="0" collapsed="false">
      <c r="A2965" s="3" t="s">
        <v>2536</v>
      </c>
      <c r="B2965" s="3" t="str">
        <f aca="false">IF(ISNUMBER(SEARCH("%", A2965)),RIGHT(A2965,3),A2965)</f>
        <v>NEW ROUTE</v>
      </c>
      <c r="C2965" s="2" t="s">
        <v>2536</v>
      </c>
    </row>
    <row r="2966" customFormat="false" ht="12.75" hidden="false" customHeight="true" outlineLevel="0" collapsed="false">
      <c r="A2966" s="3" t="s">
        <v>3541</v>
      </c>
      <c r="B2966" s="3" t="str">
        <f aca="false">IF(ISNUMBER(SEARCH("%", A2966)),RIGHT(A2966,3),A2966)</f>
        <v>3, 40, 0,</v>
      </c>
      <c r="C2966" s="2" t="s">
        <v>3541</v>
      </c>
    </row>
    <row r="2967" customFormat="false" ht="12.75" hidden="false" customHeight="true" outlineLevel="0" collapsed="false">
      <c r="A2967" s="3" t="s">
        <v>2798</v>
      </c>
      <c r="B2967" s="3" t="str">
        <f aca="false">IF(ISNUMBER(SEARCH("%", A2967)),RIGHT(A2967,3),A2967)</f>
        <v>20%</v>
      </c>
      <c r="C2967" s="2" t="s">
        <v>2799</v>
      </c>
    </row>
    <row r="2968" customFormat="false" ht="12.75" hidden="false" customHeight="true" outlineLevel="0" collapsed="false">
      <c r="A2968" s="3" t="s">
        <v>2013</v>
      </c>
      <c r="B2968" s="3" t="str">
        <f aca="false">IF(ISNUMBER(SEARCH("%", A2968)),RIGHT(A2968,3),A2968)</f>
        <v>39, 46, TANGROWTH</v>
      </c>
      <c r="C2968" s="2" t="s">
        <v>2013</v>
      </c>
    </row>
    <row r="2969" customFormat="false" ht="12.75" hidden="false" customHeight="true" outlineLevel="0" collapsed="false">
      <c r="A2969" s="3" t="s">
        <v>3530</v>
      </c>
      <c r="B2969" s="3" t="str">
        <f aca="false">IF(ISNUMBER(SEARCH("%", A2969)),RIGHT(A2969,3),A2969)</f>
        <v>39, 46, EXEGGUTOR</v>
      </c>
      <c r="C2969" s="2" t="s">
        <v>3530</v>
      </c>
    </row>
    <row r="2970" customFormat="false" ht="12.75" hidden="false" customHeight="true" outlineLevel="0" collapsed="false">
      <c r="A2970" s="3"/>
      <c r="B2970" s="3" t="n">
        <f aca="false">IF(ISNUMBER(SEARCH("%", A2970)),RIGHT(A2970,3),A2970)</f>
        <v>0</v>
      </c>
      <c r="C2970" s="2"/>
    </row>
    <row r="2971" customFormat="false" ht="12.75" hidden="false" customHeight="true" outlineLevel="0" collapsed="false">
      <c r="A2971" s="3" t="s">
        <v>2801</v>
      </c>
      <c r="B2971" s="3" t="str">
        <f aca="false">IF(ISNUMBER(SEARCH("%", A2971)),RIGHT(A2971,3),A2971)</f>
        <v>0.1</v>
      </c>
      <c r="C2971" s="2" t="s">
        <v>2801</v>
      </c>
    </row>
    <row r="2972" customFormat="false" ht="12.75" hidden="false" customHeight="true" outlineLevel="0" collapsed="false">
      <c r="A2972" s="3" t="s">
        <v>3531</v>
      </c>
      <c r="B2972" s="3" t="str">
        <f aca="false">IF(ISNUMBER(SEARCH("%", A2972)),RIGHT(A2972,3),A2972)</f>
        <v>39, 42, DODRIO</v>
      </c>
      <c r="C2972" s="2" t="s">
        <v>3531</v>
      </c>
    </row>
    <row r="2973" customFormat="false" ht="12.75" hidden="false" customHeight="true" outlineLevel="0" collapsed="false">
      <c r="A2973" s="3" t="s">
        <v>3532</v>
      </c>
      <c r="B2973" s="3" t="str">
        <f aca="false">IF(ISNUMBER(SEARCH("%", A2973)),RIGHT(A2973,3),A2973)</f>
        <v>39, 42, GOLDUCK</v>
      </c>
      <c r="C2973" s="2" t="s">
        <v>3532</v>
      </c>
    </row>
    <row r="2974" customFormat="false" ht="12.75" hidden="false" customHeight="true" outlineLevel="0" collapsed="false">
      <c r="A2974" s="3" t="s">
        <v>3533</v>
      </c>
      <c r="B2974" s="3" t="str">
        <f aca="false">IF(ISNUMBER(SEARCH("%", A2974)),RIGHT(A2974,3),A2974)</f>
        <v>43, 46, DODRIO</v>
      </c>
      <c r="C2974" s="2" t="s">
        <v>3533</v>
      </c>
    </row>
    <row r="2975" customFormat="false" ht="12.75" hidden="false" customHeight="true" outlineLevel="0" collapsed="false">
      <c r="A2975" s="3" t="s">
        <v>3534</v>
      </c>
      <c r="B2975" s="3" t="str">
        <f aca="false">IF(ISNUMBER(SEARCH("%", A2975)),RIGHT(A2975,3),A2975)</f>
        <v>43, 46, GOLDUCK</v>
      </c>
      <c r="C2975" s="2" t="s">
        <v>3534</v>
      </c>
    </row>
    <row r="2976" customFormat="false" ht="12.75" hidden="false" customHeight="true" outlineLevel="0" collapsed="false">
      <c r="A2976" s="3"/>
      <c r="B2976" s="3" t="n">
        <f aca="false">IF(ISNUMBER(SEARCH("%", A2976)),RIGHT(A2976,3),A2976)</f>
        <v>0</v>
      </c>
      <c r="C2976" s="2"/>
    </row>
    <row r="2977" customFormat="false" ht="12.75" hidden="false" customHeight="true" outlineLevel="0" collapsed="false">
      <c r="A2977" s="3" t="s">
        <v>2806</v>
      </c>
      <c r="B2977" s="3" t="str">
        <f aca="false">IF(ISNUMBER(SEARCH("%", A2977)),RIGHT(A2977,3),A2977)</f>
        <v>0.05</v>
      </c>
      <c r="C2977" s="2" t="s">
        <v>2806</v>
      </c>
    </row>
    <row r="2978" customFormat="false" ht="12.75" hidden="false" customHeight="true" outlineLevel="0" collapsed="false">
      <c r="A2978" s="3" t="s">
        <v>3535</v>
      </c>
      <c r="B2978" s="3" t="str">
        <f aca="false">IF(ISNUMBER(SEARCH("%", A2978)),RIGHT(A2978,3),A2978)</f>
        <v>43, 50, TANGATHER</v>
      </c>
      <c r="C2978" s="2" t="s">
        <v>3535</v>
      </c>
    </row>
    <row r="2979" customFormat="false" ht="12.75" hidden="false" customHeight="true" outlineLevel="0" collapsed="false">
      <c r="A2979" s="3" t="s">
        <v>3536</v>
      </c>
      <c r="B2979" s="3" t="str">
        <f aca="false">IF(ISNUMBER(SEARCH("%", A2979)),RIGHT(A2979,3),A2979)</f>
        <v>43, 50, EXEGGITY</v>
      </c>
      <c r="C2979" s="2" t="s">
        <v>3536</v>
      </c>
    </row>
    <row r="2980" customFormat="false" ht="12.75" hidden="false" customHeight="true" outlineLevel="0" collapsed="false">
      <c r="A2980" s="3"/>
      <c r="B2980" s="3" t="n">
        <f aca="false">IF(ISNUMBER(SEARCH("%", A2980)),RIGHT(A2980,3),A2980)</f>
        <v>0</v>
      </c>
      <c r="C2980" s="2"/>
    </row>
    <row r="2981" customFormat="false" ht="12.75" hidden="false" customHeight="true" outlineLevel="0" collapsed="false">
      <c r="A2981" s="3" t="s">
        <v>2809</v>
      </c>
      <c r="B2981" s="3" t="str">
        <f aca="false">IF(ISNUMBER(SEARCH("%", A2981)),RIGHT(A2981,3),A2981)</f>
        <v>0.04</v>
      </c>
      <c r="C2981" s="2" t="s">
        <v>2809</v>
      </c>
    </row>
    <row r="2982" customFormat="false" ht="12.75" hidden="false" customHeight="true" outlineLevel="0" collapsed="false">
      <c r="A2982" s="3" t="s">
        <v>3537</v>
      </c>
      <c r="B2982" s="3" t="str">
        <f aca="false">IF(ISNUMBER(SEARCH("%", A2982)),RIGHT(A2982,3),A2982)</f>
        <v>43, 50, GILDUCK</v>
      </c>
      <c r="C2982" s="2" t="s">
        <v>3537</v>
      </c>
    </row>
    <row r="2983" customFormat="false" ht="12.75" hidden="false" customHeight="true" outlineLevel="0" collapsed="false">
      <c r="A2983" s="3" t="s">
        <v>3538</v>
      </c>
      <c r="B2983" s="3" t="str">
        <f aca="false">IF(ISNUMBER(SEARCH("%", A2983)),RIGHT(A2983,3),A2983)</f>
        <v>43, 50, QUADODO</v>
      </c>
      <c r="C2983" s="2" t="s">
        <v>3538</v>
      </c>
    </row>
    <row r="2984" customFormat="false" ht="12.75" hidden="false" customHeight="true" outlineLevel="0" collapsed="false">
      <c r="A2984" s="3"/>
      <c r="B2984" s="3" t="n">
        <f aca="false">IF(ISNUMBER(SEARCH("%", A2984)),RIGHT(A2984,3),A2984)</f>
        <v>0</v>
      </c>
      <c r="C2984" s="2"/>
    </row>
    <row r="2985" customFormat="false" ht="12.75" hidden="false" customHeight="true" outlineLevel="0" collapsed="false">
      <c r="A2985" s="3" t="s">
        <v>2812</v>
      </c>
      <c r="B2985" s="3" t="str">
        <f aca="false">IF(ISNUMBER(SEARCH("%", A2985)),RIGHT(A2985,3),A2985)</f>
        <v>0.01</v>
      </c>
      <c r="C2985" s="2" t="s">
        <v>2812</v>
      </c>
    </row>
    <row r="2986" customFormat="false" ht="12.75" hidden="false" customHeight="true" outlineLevel="0" collapsed="false">
      <c r="A2986" s="3" t="s">
        <v>3539</v>
      </c>
      <c r="B2986" s="3" t="str">
        <f aca="false">IF(ISNUMBER(SEARCH("%", A2986)),RIGHT(A2986,3),A2986)</f>
        <v>45, 52, TANGOLIATH</v>
      </c>
      <c r="C2986" s="2" t="s">
        <v>3539</v>
      </c>
    </row>
    <row r="2987" customFormat="false" ht="12.75" hidden="false" customHeight="true" outlineLevel="0" collapsed="false">
      <c r="A2987" s="3" t="s">
        <v>3540</v>
      </c>
      <c r="B2987" s="3" t="str">
        <f aca="false">IF(ISNUMBER(SEARCH("%", A2987)),RIGHT(A2987,3),A2987)</f>
        <v>44, 44, TANGOLIATH</v>
      </c>
      <c r="C2987" s="2" t="s">
        <v>3540</v>
      </c>
    </row>
    <row r="2988" customFormat="false" ht="12.75" hidden="false" customHeight="true" outlineLevel="0" collapsed="false">
      <c r="A2988" s="3" t="s">
        <v>3349</v>
      </c>
      <c r="B2988" s="3" t="str">
        <f aca="false">IF(ISNUMBER(SEARCH("%", A2988)),RIGHT(A2988,3),A2988)</f>
        <v>2, 38, 42, TENTACOOL</v>
      </c>
      <c r="C2988" s="2" t="s">
        <v>3349</v>
      </c>
    </row>
    <row r="2989" customFormat="false" ht="12.75" hidden="false" customHeight="true" outlineLevel="0" collapsed="false">
      <c r="A2989" s="3" t="s">
        <v>3428</v>
      </c>
      <c r="B2989" s="3" t="str">
        <f aca="false">IF(ISNUMBER(SEARCH("%", A2989)),RIGHT(A2989,3),A2989)</f>
        <v>40, 44, TENTACRUEL</v>
      </c>
      <c r="C2989" s="2" t="s">
        <v>3428</v>
      </c>
    </row>
    <row r="2990" customFormat="false" ht="12.75" hidden="false" customHeight="true" outlineLevel="0" collapsed="false">
      <c r="A2990" s="3" t="s">
        <v>3429</v>
      </c>
      <c r="B2990" s="3" t="str">
        <f aca="false">IF(ISNUMBER(SEARCH("%", A2990)),RIGHT(A2990,3),A2990)</f>
        <v>42, 46, TENTACATE</v>
      </c>
      <c r="C2990" s="2" t="s">
        <v>3429</v>
      </c>
    </row>
    <row r="2991" customFormat="false" ht="12.75" hidden="false" customHeight="true" outlineLevel="0" collapsed="false">
      <c r="A2991" s="3" t="s">
        <v>3024</v>
      </c>
      <c r="B2991" s="3" t="str">
        <f aca="false">IF(ISNUMBER(SEARCH("%", A2991)),RIGHT(A2991,3),A2991)</f>
        <v>42, 46, LAPRAS</v>
      </c>
      <c r="C2991" s="2" t="s">
        <v>3024</v>
      </c>
    </row>
    <row r="2992" customFormat="false" ht="12.75" hidden="false" customHeight="true" outlineLevel="0" collapsed="false">
      <c r="A2992" s="3" t="s">
        <v>3449</v>
      </c>
      <c r="B2992" s="3" t="str">
        <f aca="false">IF(ISNUMBER(SEARCH("%", A2992)),RIGHT(A2992,3),A2992)</f>
        <v>44, 48, LOCHLASS</v>
      </c>
      <c r="C2992" s="2" t="s">
        <v>3449</v>
      </c>
    </row>
    <row r="2993" customFormat="false" ht="12.75" hidden="false" customHeight="true" outlineLevel="0" collapsed="false">
      <c r="A2993" s="3" t="s">
        <v>2925</v>
      </c>
      <c r="B2993" s="3" t="str">
        <f aca="false">IF(ISNUMBER(SEARCH("%", A2993)),RIGHT(A2993,3),A2993)</f>
        <v>20, old rod:</v>
      </c>
      <c r="C2993" s="2" t="s">
        <v>2925</v>
      </c>
    </row>
    <row r="2994" customFormat="false" ht="12.75" hidden="false" customHeight="true" outlineLevel="0" collapsed="false">
      <c r="A2994" s="3" t="s">
        <v>2008</v>
      </c>
      <c r="B2994" s="3" t="str">
        <f aca="false">IF(ISNUMBER(SEARCH("%", A2994)),RIGHT(A2994,3),A2994)</f>
        <v>19, 26, PSYDUCK</v>
      </c>
      <c r="C2994" s="2" t="s">
        <v>2008</v>
      </c>
    </row>
    <row r="2995" customFormat="false" ht="12.75" hidden="false" customHeight="true" outlineLevel="0" collapsed="false">
      <c r="A2995" s="3" t="s">
        <v>1451</v>
      </c>
      <c r="B2995" s="3" t="str">
        <f aca="false">IF(ISNUMBER(SEARCH("%", A2995)),RIGHT(A2995,3),A2995)</f>
        <v>19, 26, HORSEA</v>
      </c>
      <c r="C2995" s="2" t="s">
        <v>1451</v>
      </c>
    </row>
    <row r="2996" customFormat="false" ht="12.75" hidden="false" customHeight="true" outlineLevel="0" collapsed="false">
      <c r="A2996" s="3"/>
      <c r="B2996" s="3" t="n">
        <f aca="false">IF(ISNUMBER(SEARCH("%", A2996)),RIGHT(A2996,3),A2996)</f>
        <v>0</v>
      </c>
      <c r="C2996" s="2"/>
    </row>
    <row r="2997" customFormat="false" ht="12.75" hidden="false" customHeight="true" outlineLevel="0" collapsed="false">
      <c r="A2997" s="3" t="s">
        <v>2846</v>
      </c>
      <c r="B2997" s="3" t="str">
        <f aca="false">IF(ISNUMBER(SEARCH("%", A2997)),RIGHT(A2997,3),A2997)</f>
        <v>good rod:</v>
      </c>
      <c r="C2997" s="2" t="s">
        <v>2846</v>
      </c>
    </row>
    <row r="2998" customFormat="false" ht="12.75" hidden="false" customHeight="true" outlineLevel="0" collapsed="false">
      <c r="A2998" s="3" t="s">
        <v>3026</v>
      </c>
      <c r="B2998" s="3" t="str">
        <f aca="false">IF(ISNUMBER(SEARCH("%", A2998)),RIGHT(A2998,3),A2998)</f>
        <v>29, 33, SEADRA</v>
      </c>
      <c r="C2998" s="2" t="s">
        <v>3026</v>
      </c>
    </row>
    <row r="2999" customFormat="false" ht="12.75" hidden="false" customHeight="true" outlineLevel="0" collapsed="false">
      <c r="A2999" s="3" t="s">
        <v>3027</v>
      </c>
      <c r="B2999" s="3" t="str">
        <f aca="false">IF(ISNUMBER(SEARCH("%", A2999)),RIGHT(A2999,3),A2999)</f>
        <v>30, 35, KRABBY</v>
      </c>
      <c r="C2999" s="2" t="s">
        <v>3027</v>
      </c>
    </row>
    <row r="3000" customFormat="false" ht="12.75" hidden="false" customHeight="true" outlineLevel="0" collapsed="false">
      <c r="A3000" s="3" t="s">
        <v>3028</v>
      </c>
      <c r="B3000" s="3" t="str">
        <f aca="false">IF(ISNUMBER(SEARCH("%", A3000)),RIGHT(A3000,3),A3000)</f>
        <v>30, 35, GOLDUCK</v>
      </c>
      <c r="C3000" s="2" t="s">
        <v>3028</v>
      </c>
    </row>
    <row r="3001" customFormat="false" ht="12.75" hidden="false" customHeight="true" outlineLevel="0" collapsed="false">
      <c r="A3001" s="3"/>
      <c r="B3001" s="3" t="n">
        <f aca="false">IF(ISNUMBER(SEARCH("%", A3001)),RIGHT(A3001,3),A3001)</f>
        <v>0</v>
      </c>
      <c r="C3001" s="2"/>
    </row>
    <row r="3002" customFormat="false" ht="12.75" hidden="false" customHeight="true" outlineLevel="0" collapsed="false">
      <c r="A3002" s="3" t="s">
        <v>2850</v>
      </c>
      <c r="B3002" s="3" t="str">
        <f aca="false">IF(ISNUMBER(SEARCH("%", A3002)),RIGHT(A3002,3),A3002)</f>
        <v>super rod:</v>
      </c>
      <c r="C3002" s="2" t="s">
        <v>2850</v>
      </c>
    </row>
    <row r="3003" customFormat="false" ht="12.75" hidden="false" customHeight="true" outlineLevel="0" collapsed="false">
      <c r="A3003" s="3" t="s">
        <v>3029</v>
      </c>
      <c r="B3003" s="3" t="str">
        <f aca="false">IF(ISNUMBER(SEARCH("%", A3003)),RIGHT(A3003,3),A3003)</f>
        <v>36, 40, KINGDRA</v>
      </c>
      <c r="C3003" s="2" t="s">
        <v>3029</v>
      </c>
    </row>
    <row r="3004" customFormat="false" ht="12.75" hidden="false" customHeight="true" outlineLevel="0" collapsed="false">
      <c r="A3004" s="3" t="s">
        <v>3527</v>
      </c>
      <c r="B3004" s="3" t="str">
        <f aca="false">IF(ISNUMBER(SEARCH("%", A3004)),RIGHT(A3004,3),A3004)</f>
        <v>36, 40, KINGLER</v>
      </c>
      <c r="C3004" s="2" t="s">
        <v>3527</v>
      </c>
    </row>
    <row r="3005" customFormat="false" ht="12.75" hidden="false" customHeight="true" outlineLevel="0" collapsed="false">
      <c r="A3005" s="3" t="s">
        <v>3031</v>
      </c>
      <c r="B3005" s="3" t="str">
        <f aca="false">IF(ISNUMBER(SEARCH("%", A3005)),RIGHT(A3005,3),A3005)</f>
        <v>38, 42, GILDUCK</v>
      </c>
      <c r="C3005" s="2" t="s">
        <v>3031</v>
      </c>
    </row>
    <row r="3006" customFormat="false" ht="12.75" hidden="false" customHeight="true" outlineLevel="0" collapsed="false">
      <c r="A3006" s="3" t="s">
        <v>3032</v>
      </c>
      <c r="B3006" s="3" t="str">
        <f aca="false">IF(ISNUMBER(SEARCH("%", A3006)),RIGHT(A3006,3),A3006)</f>
        <v>38, 42, KRAKLAW</v>
      </c>
      <c r="C3006" s="2" t="s">
        <v>3032</v>
      </c>
    </row>
    <row r="3007" customFormat="false" ht="12.75" hidden="false" customHeight="true" outlineLevel="0" collapsed="false">
      <c r="A3007" s="3" t="s">
        <v>3033</v>
      </c>
      <c r="B3007" s="3" t="str">
        <f aca="false">IF(ISNUMBER(SEARCH("%", A3007)),RIGHT(A3007,3),A3007)</f>
        <v>40, 44, LORDRA</v>
      </c>
      <c r="C3007" s="2" t="s">
        <v>3033</v>
      </c>
    </row>
    <row r="3008" customFormat="false" ht="12.75" hidden="false" customHeight="true" outlineLevel="0" collapsed="false">
      <c r="A3008" s="3" t="s">
        <v>2536</v>
      </c>
      <c r="B3008" s="3" t="str">
        <f aca="false">IF(ISNUMBER(SEARCH("%", A3008)),RIGHT(A3008,3),A3008)</f>
        <v>NEW ROUTE</v>
      </c>
      <c r="C3008" s="2" t="s">
        <v>2536</v>
      </c>
    </row>
    <row r="3009" customFormat="false" ht="12.75" hidden="false" customHeight="true" outlineLevel="0" collapsed="false">
      <c r="A3009" s="3" t="s">
        <v>3542</v>
      </c>
      <c r="B3009" s="3" t="str">
        <f aca="false">IF(ISNUMBER(SEARCH("%", A3009)),RIGHT(A3009,3),A3009)</f>
        <v>3, 41, 0,</v>
      </c>
      <c r="C3009" s="2" t="s">
        <v>3542</v>
      </c>
    </row>
    <row r="3010" customFormat="false" ht="12.75" hidden="false" customHeight="true" outlineLevel="0" collapsed="false">
      <c r="A3010" s="3" t="s">
        <v>2908</v>
      </c>
      <c r="B3010" s="3" t="str">
        <f aca="false">IF(ISNUMBER(SEARCH("%", A3010)),RIGHT(A3010,3),A3010)</f>
        <v>20%</v>
      </c>
      <c r="C3010" s="2" t="s">
        <v>2799</v>
      </c>
    </row>
    <row r="3011" customFormat="false" ht="12.75" hidden="false" customHeight="true" outlineLevel="0" collapsed="false">
      <c r="A3011" s="3" t="s">
        <v>2027</v>
      </c>
      <c r="B3011" s="3" t="str">
        <f aca="false">IF(ISNUMBER(SEARCH("%", A3011)),RIGHT(A3011,3),A3011)</f>
        <v>2, 3, RATTATA</v>
      </c>
      <c r="C3011" s="2" t="s">
        <v>2027</v>
      </c>
    </row>
    <row r="3012" customFormat="false" ht="12.75" hidden="false" customHeight="true" outlineLevel="0" collapsed="false">
      <c r="A3012" s="3" t="s">
        <v>3543</v>
      </c>
      <c r="B3012" s="3" t="str">
        <f aca="false">IF(ISNUMBER(SEARCH("%", A3012)),RIGHT(A3012,3),A3012)</f>
        <v>4, 5, RATTATA</v>
      </c>
      <c r="C3012" s="2" t="s">
        <v>3543</v>
      </c>
    </row>
    <row r="3013" customFormat="false" ht="12.75" hidden="false" customHeight="true" outlineLevel="0" collapsed="false">
      <c r="A3013" s="3"/>
      <c r="B3013" s="3" t="n">
        <f aca="false">IF(ISNUMBER(SEARCH("%", A3013)),RIGHT(A3013,3),A3013)</f>
        <v>0</v>
      </c>
      <c r="C3013" s="2"/>
    </row>
    <row r="3014" customFormat="false" ht="12.75" hidden="false" customHeight="true" outlineLevel="0" collapsed="false">
      <c r="A3014" s="3" t="s">
        <v>2801</v>
      </c>
      <c r="B3014" s="3" t="str">
        <f aca="false">IF(ISNUMBER(SEARCH("%", A3014)),RIGHT(A3014,3),A3014)</f>
        <v>0.1</v>
      </c>
      <c r="C3014" s="2" t="s">
        <v>2801</v>
      </c>
    </row>
    <row r="3015" customFormat="false" ht="12.75" hidden="false" customHeight="true" outlineLevel="0" collapsed="false">
      <c r="A3015" s="3" t="s">
        <v>3544</v>
      </c>
      <c r="B3015" s="3" t="str">
        <f aca="false">IF(ISNUMBER(SEARCH("%", A3015)),RIGHT(A3015,3),A3015)</f>
        <v>2, 3, MEOWTH</v>
      </c>
      <c r="C3015" s="2" t="s">
        <v>3544</v>
      </c>
    </row>
    <row r="3016" customFormat="false" ht="12.75" hidden="false" customHeight="true" outlineLevel="0" collapsed="false">
      <c r="A3016" s="3" t="s">
        <v>3545</v>
      </c>
      <c r="B3016" s="3" t="str">
        <f aca="false">IF(ISNUMBER(SEARCH("%", A3016)),RIGHT(A3016,3),A3016)</f>
        <v>4, 5, MEOWTH</v>
      </c>
      <c r="C3016" s="2" t="s">
        <v>3545</v>
      </c>
    </row>
    <row r="3017" customFormat="false" ht="12.75" hidden="false" customHeight="true" outlineLevel="0" collapsed="false">
      <c r="A3017" s="3" t="s">
        <v>3546</v>
      </c>
      <c r="B3017" s="3" t="str">
        <f aca="false">IF(ISNUMBER(SEARCH("%", A3017)),RIGHT(A3017,3),A3017)</f>
        <v>2, 3, SPEAROW</v>
      </c>
      <c r="C3017" s="2" t="s">
        <v>3546</v>
      </c>
    </row>
    <row r="3018" customFormat="false" ht="12.75" hidden="false" customHeight="true" outlineLevel="0" collapsed="false">
      <c r="A3018" s="3" t="s">
        <v>3547</v>
      </c>
      <c r="B3018" s="3" t="str">
        <f aca="false">IF(ISNUMBER(SEARCH("%", A3018)),RIGHT(A3018,3),A3018)</f>
        <v>4, 5, SPEAROW</v>
      </c>
      <c r="C3018" s="2" t="s">
        <v>3547</v>
      </c>
    </row>
    <row r="3019" customFormat="false" ht="12.75" hidden="false" customHeight="true" outlineLevel="0" collapsed="false">
      <c r="A3019" s="3"/>
      <c r="B3019" s="3" t="n">
        <f aca="false">IF(ISNUMBER(SEARCH("%", A3019)),RIGHT(A3019,3),A3019)</f>
        <v>0</v>
      </c>
      <c r="C3019" s="2"/>
    </row>
    <row r="3020" customFormat="false" ht="12.75" hidden="false" customHeight="true" outlineLevel="0" collapsed="false">
      <c r="A3020" s="3" t="s">
        <v>2806</v>
      </c>
      <c r="B3020" s="3" t="str">
        <f aca="false">IF(ISNUMBER(SEARCH("%", A3020)),RIGHT(A3020,3),A3020)</f>
        <v>0.05</v>
      </c>
      <c r="C3020" s="2" t="s">
        <v>2806</v>
      </c>
    </row>
    <row r="3021" customFormat="false" ht="12.75" hidden="false" customHeight="true" outlineLevel="0" collapsed="false">
      <c r="A3021" s="3" t="s">
        <v>3548</v>
      </c>
      <c r="B3021" s="3" t="str">
        <f aca="false">IF(ISNUMBER(SEARCH("%", A3021)),RIGHT(A3021,3),A3021)</f>
        <v>2, 3, GROWLITHE</v>
      </c>
      <c r="C3021" s="2" t="s">
        <v>3548</v>
      </c>
    </row>
    <row r="3022" customFormat="false" ht="12.75" hidden="false" customHeight="true" outlineLevel="0" collapsed="false">
      <c r="A3022" s="3" t="s">
        <v>3549</v>
      </c>
      <c r="B3022" s="3" t="str">
        <f aca="false">IF(ISNUMBER(SEARCH("%", A3022)),RIGHT(A3022,3),A3022)</f>
        <v>4, 5, GROWLITHE</v>
      </c>
      <c r="C3022" s="2" t="s">
        <v>3549</v>
      </c>
    </row>
    <row r="3023" customFormat="false" ht="12.75" hidden="false" customHeight="true" outlineLevel="0" collapsed="false">
      <c r="A3023" s="3"/>
      <c r="B3023" s="3" t="n">
        <f aca="false">IF(ISNUMBER(SEARCH("%", A3023)),RIGHT(A3023,3),A3023)</f>
        <v>0</v>
      </c>
      <c r="C3023" s="2"/>
    </row>
    <row r="3024" customFormat="false" ht="12.75" hidden="false" customHeight="true" outlineLevel="0" collapsed="false">
      <c r="A3024" s="3" t="s">
        <v>2809</v>
      </c>
      <c r="B3024" s="3" t="str">
        <f aca="false">IF(ISNUMBER(SEARCH("%", A3024)),RIGHT(A3024,3),A3024)</f>
        <v>0.04</v>
      </c>
      <c r="C3024" s="2" t="s">
        <v>2809</v>
      </c>
    </row>
    <row r="3025" customFormat="false" ht="12.75" hidden="false" customHeight="true" outlineLevel="0" collapsed="false">
      <c r="A3025" s="3" t="s">
        <v>3550</v>
      </c>
      <c r="B3025" s="3" t="str">
        <f aca="false">IF(ISNUMBER(SEARCH("%", A3025)),RIGHT(A3025,3),A3025)</f>
        <v>2, 5, ABRA</v>
      </c>
      <c r="C3025" s="2" t="s">
        <v>3550</v>
      </c>
    </row>
    <row r="3026" customFormat="false" ht="12.75" hidden="false" customHeight="true" outlineLevel="0" collapsed="false">
      <c r="A3026" s="3" t="s">
        <v>3551</v>
      </c>
      <c r="B3026" s="3" t="str">
        <f aca="false">IF(ISNUMBER(SEARCH("%", A3026)),RIGHT(A3026,3),A3026)</f>
        <v>2, 5, KANGAKID</v>
      </c>
      <c r="C3026" s="2" t="s">
        <v>3551</v>
      </c>
    </row>
    <row r="3027" customFormat="false" ht="12.75" hidden="false" customHeight="true" outlineLevel="0" collapsed="false">
      <c r="A3027" s="3"/>
      <c r="B3027" s="3" t="n">
        <f aca="false">IF(ISNUMBER(SEARCH("%", A3027)),RIGHT(A3027,3),A3027)</f>
        <v>0</v>
      </c>
      <c r="C3027" s="2"/>
    </row>
    <row r="3028" customFormat="false" ht="12.75" hidden="false" customHeight="true" outlineLevel="0" collapsed="false">
      <c r="A3028" s="3" t="s">
        <v>2812</v>
      </c>
      <c r="B3028" s="3" t="str">
        <f aca="false">IF(ISNUMBER(SEARCH("%", A3028)),RIGHT(A3028,3),A3028)</f>
        <v>0.01</v>
      </c>
      <c r="C3028" s="2" t="s">
        <v>2812</v>
      </c>
    </row>
    <row r="3029" customFormat="false" ht="12.75" hidden="false" customHeight="true" outlineLevel="0" collapsed="false">
      <c r="A3029" s="3" t="s">
        <v>3552</v>
      </c>
      <c r="B3029" s="3" t="str">
        <f aca="false">IF(ISNUMBER(SEARCH("%", A3029)),RIGHT(A3029,3),A3029)</f>
        <v>2, 5, EEVEE</v>
      </c>
      <c r="C3029" s="2" t="s">
        <v>3552</v>
      </c>
    </row>
    <row r="3030" customFormat="false" ht="12.75" hidden="false" customHeight="true" outlineLevel="0" collapsed="false">
      <c r="A3030" s="3" t="s">
        <v>3553</v>
      </c>
      <c r="B3030" s="3" t="str">
        <f aca="false">IF(ISNUMBER(SEARCH("%", A3030)),RIGHT(A3030,3),A3030)</f>
        <v>2, 5, SCYTHER</v>
      </c>
      <c r="C3030" s="2" t="s">
        <v>3553</v>
      </c>
    </row>
    <row r="3031" customFormat="false" ht="12.75" hidden="false" customHeight="true" outlineLevel="0" collapsed="false">
      <c r="A3031" s="3" t="s">
        <v>3554</v>
      </c>
      <c r="B3031" s="3" t="str">
        <f aca="false">IF(ISNUMBER(SEARCH("%", A3031)),RIGHT(A3031,3),A3031)</f>
        <v>2, 40, 44, PSYDUCK</v>
      </c>
      <c r="C3031" s="2" t="s">
        <v>3554</v>
      </c>
    </row>
    <row r="3032" customFormat="false" ht="12.75" hidden="false" customHeight="true" outlineLevel="0" collapsed="false">
      <c r="A3032" s="3" t="s">
        <v>3555</v>
      </c>
      <c r="B3032" s="3" t="str">
        <f aca="false">IF(ISNUMBER(SEARCH("%", A3032)),RIGHT(A3032,3),A3032)</f>
        <v>42, 46, SLOWPOKE</v>
      </c>
      <c r="C3032" s="2" t="s">
        <v>3555</v>
      </c>
    </row>
    <row r="3033" customFormat="false" ht="12.75" hidden="false" customHeight="true" outlineLevel="0" collapsed="false">
      <c r="A3033" s="3" t="s">
        <v>3556</v>
      </c>
      <c r="B3033" s="3" t="str">
        <f aca="false">IF(ISNUMBER(SEARCH("%", A3033)),RIGHT(A3033,3),A3033)</f>
        <v>44, 47, GOLDUCK</v>
      </c>
      <c r="C3033" s="2" t="s">
        <v>3556</v>
      </c>
    </row>
    <row r="3034" customFormat="false" ht="12.75" hidden="false" customHeight="true" outlineLevel="0" collapsed="false">
      <c r="A3034" s="3" t="s">
        <v>3557</v>
      </c>
      <c r="B3034" s="3" t="str">
        <f aca="false">IF(ISNUMBER(SEARCH("%", A3034)),RIGHT(A3034,3),A3034)</f>
        <v>44, 47, SLOWBRO</v>
      </c>
      <c r="C3034" s="2" t="s">
        <v>3557</v>
      </c>
    </row>
    <row r="3035" customFormat="false" ht="12.75" hidden="false" customHeight="true" outlineLevel="0" collapsed="false">
      <c r="A3035" s="3" t="s">
        <v>3558</v>
      </c>
      <c r="B3035" s="3" t="str">
        <f aca="false">IF(ISNUMBER(SEARCH("%", A3035)),RIGHT(A3035,3),A3035)</f>
        <v>45, 50, GILDUCK</v>
      </c>
      <c r="C3035" s="2" t="s">
        <v>3558</v>
      </c>
    </row>
    <row r="3036" customFormat="false" ht="12.75" hidden="false" customHeight="true" outlineLevel="0" collapsed="false">
      <c r="A3036" s="3" t="s">
        <v>2925</v>
      </c>
      <c r="B3036" s="3" t="str">
        <f aca="false">IF(ISNUMBER(SEARCH("%", A3036)),RIGHT(A3036,3),A3036)</f>
        <v>20, old rod:</v>
      </c>
      <c r="C3036" s="2" t="s">
        <v>2925</v>
      </c>
    </row>
    <row r="3037" customFormat="false" ht="12.75" hidden="false" customHeight="true" outlineLevel="0" collapsed="false">
      <c r="A3037" s="3" t="s">
        <v>1349</v>
      </c>
      <c r="B3037" s="3" t="str">
        <f aca="false">IF(ISNUMBER(SEARCH("%", A3037)),RIGHT(A3037,3),A3037)</f>
        <v>19, 26, MAGIKARP</v>
      </c>
      <c r="C3037" s="2" t="s">
        <v>1349</v>
      </c>
    </row>
    <row r="3038" customFormat="false" ht="12.75" hidden="false" customHeight="true" outlineLevel="0" collapsed="false">
      <c r="A3038" s="3" t="s">
        <v>2926</v>
      </c>
      <c r="B3038" s="3" t="str">
        <f aca="false">IF(ISNUMBER(SEARCH("%", A3038)),RIGHT(A3038,3),A3038)</f>
        <v>19, 26, POLIWAG</v>
      </c>
      <c r="C3038" s="2" t="s">
        <v>2926</v>
      </c>
    </row>
    <row r="3039" customFormat="false" ht="12.75" hidden="false" customHeight="true" outlineLevel="0" collapsed="false">
      <c r="A3039" s="3"/>
      <c r="B3039" s="3" t="n">
        <f aca="false">IF(ISNUMBER(SEARCH("%", A3039)),RIGHT(A3039,3),A3039)</f>
        <v>0</v>
      </c>
      <c r="C3039" s="2"/>
    </row>
    <row r="3040" customFormat="false" ht="12.75" hidden="false" customHeight="true" outlineLevel="0" collapsed="false">
      <c r="A3040" s="3" t="s">
        <v>2846</v>
      </c>
      <c r="B3040" s="3" t="str">
        <f aca="false">IF(ISNUMBER(SEARCH("%", A3040)),RIGHT(A3040,3),A3040)</f>
        <v>good rod:</v>
      </c>
      <c r="C3040" s="2" t="s">
        <v>2846</v>
      </c>
    </row>
    <row r="3041" customFormat="false" ht="12.75" hidden="false" customHeight="true" outlineLevel="0" collapsed="false">
      <c r="A3041" s="3" t="s">
        <v>3559</v>
      </c>
      <c r="B3041" s="3" t="str">
        <f aca="false">IF(ISNUMBER(SEARCH("%", A3041)),RIGHT(A3041,3),A3041)</f>
        <v>29, 33, MAGIKARP</v>
      </c>
      <c r="C3041" s="2" t="s">
        <v>3559</v>
      </c>
    </row>
    <row r="3042" customFormat="false" ht="12.75" hidden="false" customHeight="true" outlineLevel="0" collapsed="false">
      <c r="A3042" s="3" t="s">
        <v>3560</v>
      </c>
      <c r="B3042" s="3" t="str">
        <f aca="false">IF(ISNUMBER(SEARCH("%", A3042)),RIGHT(A3042,3),A3042)</f>
        <v>30, 35, GYARADOS</v>
      </c>
      <c r="C3042" s="2" t="s">
        <v>3560</v>
      </c>
    </row>
    <row r="3043" customFormat="false" ht="12.75" hidden="false" customHeight="true" outlineLevel="0" collapsed="false">
      <c r="A3043" s="3" t="s">
        <v>3561</v>
      </c>
      <c r="B3043" s="3" t="str">
        <f aca="false">IF(ISNUMBER(SEARCH("%", A3043)),RIGHT(A3043,3),A3043)</f>
        <v>30, 35, POLIWHIRL</v>
      </c>
      <c r="C3043" s="2" t="s">
        <v>3561</v>
      </c>
    </row>
    <row r="3044" customFormat="false" ht="12.75" hidden="false" customHeight="true" outlineLevel="0" collapsed="false">
      <c r="A3044" s="3"/>
      <c r="B3044" s="3" t="n">
        <f aca="false">IF(ISNUMBER(SEARCH("%", A3044)),RIGHT(A3044,3),A3044)</f>
        <v>0</v>
      </c>
      <c r="C3044" s="2"/>
    </row>
    <row r="3045" customFormat="false" ht="12.75" hidden="false" customHeight="true" outlineLevel="0" collapsed="false">
      <c r="A3045" s="3" t="s">
        <v>2850</v>
      </c>
      <c r="B3045" s="3" t="str">
        <f aca="false">IF(ISNUMBER(SEARCH("%", A3045)),RIGHT(A3045,3),A3045)</f>
        <v>super rod:</v>
      </c>
      <c r="C3045" s="2" t="s">
        <v>2850</v>
      </c>
    </row>
    <row r="3046" customFormat="false" ht="12.75" hidden="false" customHeight="true" outlineLevel="0" collapsed="false">
      <c r="A3046" s="3" t="s">
        <v>3562</v>
      </c>
      <c r="B3046" s="3" t="str">
        <f aca="false">IF(ISNUMBER(SEARCH("%", A3046)),RIGHT(A3046,3),A3046)</f>
        <v>36, 40, MAGIKARP</v>
      </c>
      <c r="C3046" s="2" t="s">
        <v>3562</v>
      </c>
    </row>
    <row r="3047" customFormat="false" ht="12.75" hidden="false" customHeight="true" outlineLevel="0" collapsed="false">
      <c r="A3047" s="3" t="s">
        <v>3356</v>
      </c>
      <c r="B3047" s="3" t="str">
        <f aca="false">IF(ISNUMBER(SEARCH("%", A3047)),RIGHT(A3047,3),A3047)</f>
        <v>36, 40, GYARADOS</v>
      </c>
      <c r="C3047" s="2" t="s">
        <v>3356</v>
      </c>
    </row>
    <row r="3048" customFormat="false" ht="12.75" hidden="false" customHeight="true" outlineLevel="0" collapsed="false">
      <c r="A3048" s="3" t="s">
        <v>3563</v>
      </c>
      <c r="B3048" s="3" t="str">
        <f aca="false">IF(ISNUMBER(SEARCH("%", A3048)),RIGHT(A3048,3),A3048)</f>
        <v>38, 42, POLIWHIRL</v>
      </c>
      <c r="C3048" s="2" t="s">
        <v>3563</v>
      </c>
    </row>
    <row r="3049" customFormat="false" ht="12.75" hidden="false" customHeight="true" outlineLevel="0" collapsed="false">
      <c r="A3049" s="3" t="s">
        <v>3378</v>
      </c>
      <c r="B3049" s="3" t="str">
        <f aca="false">IF(ISNUMBER(SEARCH("%", A3049)),RIGHT(A3049,3),A3049)</f>
        <v>38, 42, POLIWRATH</v>
      </c>
      <c r="C3049" s="2" t="s">
        <v>3378</v>
      </c>
    </row>
    <row r="3050" customFormat="false" ht="12.75" hidden="false" customHeight="true" outlineLevel="0" collapsed="false">
      <c r="A3050" s="3" t="s">
        <v>3379</v>
      </c>
      <c r="B3050" s="3" t="str">
        <f aca="false">IF(ISNUMBER(SEARCH("%", A3050)),RIGHT(A3050,3),A3050)</f>
        <v>40, 44, POLITOES</v>
      </c>
      <c r="C3050" s="2" t="s">
        <v>3379</v>
      </c>
    </row>
    <row r="3051" customFormat="false" ht="12.75" hidden="false" customHeight="true" outlineLevel="0" collapsed="false">
      <c r="A3051" s="3" t="s">
        <v>2536</v>
      </c>
      <c r="B3051" s="3" t="str">
        <f aca="false">IF(ISNUMBER(SEARCH("%", A3051)),RIGHT(A3051,3),A3051)</f>
        <v>NEW ROUTE</v>
      </c>
      <c r="C3051" s="2" t="s">
        <v>2536</v>
      </c>
    </row>
    <row r="3052" customFormat="false" ht="12.75" hidden="false" customHeight="true" outlineLevel="0" collapsed="false">
      <c r="A3052" s="3" t="s">
        <v>3564</v>
      </c>
      <c r="B3052" s="3" t="str">
        <f aca="false">IF(ISNUMBER(SEARCH("%", A3052)),RIGHT(A3052,3),A3052)</f>
        <v>3, 42, 0,</v>
      </c>
      <c r="C3052" s="2" t="s">
        <v>3564</v>
      </c>
    </row>
    <row r="3053" customFormat="false" ht="12.75" hidden="false" customHeight="true" outlineLevel="0" collapsed="false">
      <c r="A3053" s="3" t="s">
        <v>2908</v>
      </c>
      <c r="B3053" s="3" t="str">
        <f aca="false">IF(ISNUMBER(SEARCH("%", A3053)),RIGHT(A3053,3),A3053)</f>
        <v>20%</v>
      </c>
      <c r="C3053" s="2" t="s">
        <v>2799</v>
      </c>
    </row>
    <row r="3054" customFormat="false" ht="12.75" hidden="false" customHeight="true" outlineLevel="0" collapsed="false">
      <c r="A3054" s="3" t="s">
        <v>2049</v>
      </c>
      <c r="B3054" s="3" t="str">
        <f aca="false">IF(ISNUMBER(SEARCH("%", A3054)),RIGHT(A3054,3),A3054)</f>
        <v>51, 56, PRIMEAPE</v>
      </c>
      <c r="C3054" s="2" t="s">
        <v>2049</v>
      </c>
    </row>
    <row r="3055" customFormat="false" ht="12.75" hidden="false" customHeight="true" outlineLevel="0" collapsed="false">
      <c r="A3055" s="3" t="s">
        <v>3565</v>
      </c>
      <c r="B3055" s="3" t="str">
        <f aca="false">IF(ISNUMBER(SEARCH("%", A3055)),RIGHT(A3055,3),A3055)</f>
        <v>51, 56, SNEEROW</v>
      </c>
      <c r="C3055" s="2" t="s">
        <v>3565</v>
      </c>
    </row>
    <row r="3056" customFormat="false" ht="12.75" hidden="false" customHeight="true" outlineLevel="0" collapsed="false">
      <c r="A3056" s="3"/>
      <c r="B3056" s="3" t="n">
        <f aca="false">IF(ISNUMBER(SEARCH("%", A3056)),RIGHT(A3056,3),A3056)</f>
        <v>0</v>
      </c>
      <c r="C3056" s="2"/>
    </row>
    <row r="3057" customFormat="false" ht="12.75" hidden="false" customHeight="true" outlineLevel="0" collapsed="false">
      <c r="A3057" s="3" t="s">
        <v>2801</v>
      </c>
      <c r="B3057" s="3" t="str">
        <f aca="false">IF(ISNUMBER(SEARCH("%", A3057)),RIGHT(A3057,3),A3057)</f>
        <v>0.1</v>
      </c>
      <c r="C3057" s="2" t="s">
        <v>2801</v>
      </c>
    </row>
    <row r="3058" customFormat="false" ht="12.75" hidden="false" customHeight="true" outlineLevel="0" collapsed="false">
      <c r="A3058" s="3" t="s">
        <v>3566</v>
      </c>
      <c r="B3058" s="3" t="str">
        <f aca="false">IF(ISNUMBER(SEARCH("%", A3058)),RIGHT(A3058,3),A3058)</f>
        <v>53, 57, GORILLASH</v>
      </c>
      <c r="C3058" s="2" t="s">
        <v>3566</v>
      </c>
    </row>
    <row r="3059" customFormat="false" ht="12.75" hidden="false" customHeight="true" outlineLevel="0" collapsed="false">
      <c r="A3059" s="3" t="s">
        <v>3567</v>
      </c>
      <c r="B3059" s="3" t="str">
        <f aca="false">IF(ISNUMBER(SEARCH("%", A3059)),RIGHT(A3059,3),A3059)</f>
        <v>53, 57, ORNITHOW</v>
      </c>
      <c r="C3059" s="2" t="s">
        <v>3567</v>
      </c>
    </row>
    <row r="3060" customFormat="false" ht="12.75" hidden="false" customHeight="true" outlineLevel="0" collapsed="false">
      <c r="A3060" s="3" t="s">
        <v>2872</v>
      </c>
      <c r="B3060" s="3" t="str">
        <f aca="false">IF(ISNUMBER(SEARCH("%", A3060)),RIGHT(A3060,3),A3060)</f>
        <v>53, 57, ADNOKANA</v>
      </c>
      <c r="C3060" s="2" t="s">
        <v>2872</v>
      </c>
    </row>
    <row r="3061" customFormat="false" ht="12.75" hidden="false" customHeight="true" outlineLevel="0" collapsed="false">
      <c r="A3061" s="3" t="s">
        <v>3568</v>
      </c>
      <c r="B3061" s="3" t="str">
        <f aca="false">IF(ISNUMBER(SEARCH("%", A3061)),RIGHT(A3061,3),A3061)</f>
        <v>53, 57, SANDSLAM</v>
      </c>
      <c r="C3061" s="2" t="s">
        <v>3568</v>
      </c>
    </row>
    <row r="3062" customFormat="false" ht="12.75" hidden="false" customHeight="true" outlineLevel="0" collapsed="false">
      <c r="A3062" s="3"/>
      <c r="B3062" s="3" t="n">
        <f aca="false">IF(ISNUMBER(SEARCH("%", A3062)),RIGHT(A3062,3),A3062)</f>
        <v>0</v>
      </c>
      <c r="C3062" s="2"/>
    </row>
    <row r="3063" customFormat="false" ht="12.75" hidden="false" customHeight="true" outlineLevel="0" collapsed="false">
      <c r="A3063" s="3" t="s">
        <v>2806</v>
      </c>
      <c r="B3063" s="3" t="str">
        <f aca="false">IF(ISNUMBER(SEARCH("%", A3063)),RIGHT(A3063,3),A3063)</f>
        <v>0.05</v>
      </c>
      <c r="C3063" s="2" t="s">
        <v>2806</v>
      </c>
    </row>
    <row r="3064" customFormat="false" ht="12.75" hidden="false" customHeight="true" outlineLevel="0" collapsed="false">
      <c r="A3064" s="3" t="s">
        <v>3569</v>
      </c>
      <c r="B3064" s="3" t="str">
        <f aca="false">IF(ISNUMBER(SEARCH("%", A3064)),RIGHT(A3064,3),A3064)</f>
        <v>54, 56, "MR. JEST"</v>
      </c>
      <c r="C3064" s="2" t="s">
        <v>3569</v>
      </c>
    </row>
    <row r="3065" customFormat="false" ht="12.75" hidden="false" customHeight="true" outlineLevel="0" collapsed="false">
      <c r="A3065" s="3" t="s">
        <v>3570</v>
      </c>
      <c r="B3065" s="3" t="str">
        <f aca="false">IF(ISNUMBER(SEARCH("%", A3065)),RIGHT(A3065,3),A3065)</f>
        <v>54, 56, ELECTIVINE</v>
      </c>
      <c r="C3065" s="2" t="s">
        <v>3570</v>
      </c>
    </row>
    <row r="3066" customFormat="false" ht="12.75" hidden="false" customHeight="true" outlineLevel="0" collapsed="false">
      <c r="A3066" s="3"/>
      <c r="B3066" s="3" t="n">
        <f aca="false">IF(ISNUMBER(SEARCH("%", A3066)),RIGHT(A3066,3),A3066)</f>
        <v>0</v>
      </c>
      <c r="C3066" s="2"/>
    </row>
    <row r="3067" customFormat="false" ht="12.75" hidden="false" customHeight="true" outlineLevel="0" collapsed="false">
      <c r="A3067" s="3" t="s">
        <v>2809</v>
      </c>
      <c r="B3067" s="3" t="str">
        <f aca="false">IF(ISNUMBER(SEARCH("%", A3067)),RIGHT(A3067,3),A3067)</f>
        <v>0.04</v>
      </c>
      <c r="C3067" s="2" t="s">
        <v>2809</v>
      </c>
    </row>
    <row r="3068" customFormat="false" ht="12.75" hidden="false" customHeight="true" outlineLevel="0" collapsed="false">
      <c r="A3068" s="3" t="s">
        <v>3571</v>
      </c>
      <c r="B3068" s="3" t="str">
        <f aca="false">IF(ISNUMBER(SEARCH("%", A3068)),RIGHT(A3068,3),A3068)</f>
        <v>54, 55, FELANKH</v>
      </c>
      <c r="C3068" s="2" t="s">
        <v>3571</v>
      </c>
    </row>
    <row r="3069" customFormat="false" ht="12.75" hidden="false" customHeight="true" outlineLevel="0" collapsed="false">
      <c r="A3069" s="3" t="s">
        <v>3572</v>
      </c>
      <c r="B3069" s="3" t="str">
        <f aca="false">IF(ISNUMBER(SEARCH("%", A3069)),RIGHT(A3069,3),A3069)</f>
        <v>56, 57, FELANKH</v>
      </c>
      <c r="C3069" s="2" t="s">
        <v>3572</v>
      </c>
    </row>
    <row r="3070" customFormat="false" ht="12.75" hidden="false" customHeight="true" outlineLevel="0" collapsed="false">
      <c r="A3070" s="3"/>
      <c r="B3070" s="3" t="n">
        <f aca="false">IF(ISNUMBER(SEARCH("%", A3070)),RIGHT(A3070,3),A3070)</f>
        <v>0</v>
      </c>
      <c r="C3070" s="2"/>
    </row>
    <row r="3071" customFormat="false" ht="12.75" hidden="false" customHeight="true" outlineLevel="0" collapsed="false">
      <c r="A3071" s="3" t="s">
        <v>2812</v>
      </c>
      <c r="B3071" s="3" t="str">
        <f aca="false">IF(ISNUMBER(SEARCH("%", A3071)),RIGHT(A3071,3),A3071)</f>
        <v>0.01</v>
      </c>
      <c r="C3071" s="2" t="s">
        <v>2812</v>
      </c>
    </row>
    <row r="3072" customFormat="false" ht="12.75" hidden="false" customHeight="true" outlineLevel="0" collapsed="false">
      <c r="A3072" s="3" t="s">
        <v>3573</v>
      </c>
      <c r="B3072" s="3" t="str">
        <f aca="false">IF(ISNUMBER(SEARCH("%", A3072)),RIGHT(A3072,3),A3072)</f>
        <v>40, 50, AERODACTYL</v>
      </c>
      <c r="C3072" s="2" t="s">
        <v>3573</v>
      </c>
    </row>
    <row r="3073" customFormat="false" ht="12.75" hidden="false" customHeight="true" outlineLevel="0" collapsed="false">
      <c r="A3073" s="3" t="s">
        <v>3574</v>
      </c>
      <c r="B3073" s="3" t="str">
        <f aca="false">IF(ISNUMBER(SEARCH("%", A3073)),RIGHT(A3073,3),A3073)</f>
        <v>57, 59, LUKKEY</v>
      </c>
      <c r="C3073" s="2" t="s">
        <v>3574</v>
      </c>
    </row>
    <row r="3074" customFormat="false" ht="12.75" hidden="false" customHeight="true" outlineLevel="0" collapsed="false">
      <c r="A3074" s="3" t="s">
        <v>3575</v>
      </c>
      <c r="B3074" s="3" t="str">
        <f aca="false">IF(ISNUMBER(SEARCH("%", A3074)),RIGHT(A3074,3),A3074)</f>
        <v>2, 50, 55, GILDUCK</v>
      </c>
      <c r="C3074" s="2" t="s">
        <v>3575</v>
      </c>
    </row>
    <row r="3075" customFormat="false" ht="12.75" hidden="false" customHeight="true" outlineLevel="0" collapsed="false">
      <c r="A3075" s="3" t="s">
        <v>3576</v>
      </c>
      <c r="B3075" s="3" t="str">
        <f aca="false">IF(ISNUMBER(SEARCH("%", A3075)),RIGHT(A3075,3),A3075)</f>
        <v>50, 55, POLITOES</v>
      </c>
      <c r="C3075" s="2" t="s">
        <v>3576</v>
      </c>
    </row>
    <row r="3076" customFormat="false" ht="12.75" hidden="false" customHeight="true" outlineLevel="0" collapsed="false">
      <c r="A3076" s="3" t="s">
        <v>3577</v>
      </c>
      <c r="B3076" s="3" t="str">
        <f aca="false">IF(ISNUMBER(SEARCH("%", A3076)),RIGHT(A3076,3),A3076)</f>
        <v>52, 57, SLOWMATE</v>
      </c>
      <c r="C3076" s="2" t="s">
        <v>3577</v>
      </c>
    </row>
    <row r="3077" customFormat="false" ht="12.75" hidden="false" customHeight="true" outlineLevel="0" collapsed="false">
      <c r="A3077" s="3" t="s">
        <v>2970</v>
      </c>
      <c r="B3077" s="3" t="str">
        <f aca="false">IF(ISNUMBER(SEARCH("%", A3077)),RIGHT(A3077,3),A3077)</f>
        <v>52, 57, POLIWISE</v>
      </c>
      <c r="C3077" s="2" t="s">
        <v>2970</v>
      </c>
    </row>
    <row r="3078" customFormat="false" ht="12.75" hidden="false" customHeight="true" outlineLevel="0" collapsed="false">
      <c r="A3078" s="3" t="s">
        <v>3578</v>
      </c>
      <c r="B3078" s="3" t="str">
        <f aca="false">IF(ISNUMBER(SEARCH("%", A3078)),RIGHT(A3078,3),A3078)</f>
        <v>53, 58, PLATINUPUS</v>
      </c>
      <c r="C3078" s="2" t="s">
        <v>3578</v>
      </c>
    </row>
    <row r="3079" customFormat="false" ht="12.75" hidden="false" customHeight="true" outlineLevel="0" collapsed="false">
      <c r="A3079" s="3" t="s">
        <v>2925</v>
      </c>
      <c r="B3079" s="3" t="str">
        <f aca="false">IF(ISNUMBER(SEARCH("%", A3079)),RIGHT(A3079,3),A3079)</f>
        <v>20, old rod:</v>
      </c>
      <c r="C3079" s="2" t="s">
        <v>2925</v>
      </c>
    </row>
    <row r="3080" customFormat="false" ht="12.75" hidden="false" customHeight="true" outlineLevel="0" collapsed="false">
      <c r="A3080" s="3" t="s">
        <v>2063</v>
      </c>
      <c r="B3080" s="3" t="str">
        <f aca="false">IF(ISNUMBER(SEARCH("%", A3080)),RIGHT(A3080,3),A3080)</f>
        <v>24, 36, GOLDEEN</v>
      </c>
      <c r="C3080" s="2" t="s">
        <v>2063</v>
      </c>
    </row>
    <row r="3081" customFormat="false" ht="12.75" hidden="false" customHeight="true" outlineLevel="0" collapsed="false">
      <c r="A3081" s="3" t="s">
        <v>3579</v>
      </c>
      <c r="B3081" s="3" t="str">
        <f aca="false">IF(ISNUMBER(SEARCH("%", A3081)),RIGHT(A3081,3),A3081)</f>
        <v>23, 36, KRABBY</v>
      </c>
      <c r="C3081" s="2" t="s">
        <v>3579</v>
      </c>
    </row>
    <row r="3082" customFormat="false" ht="12.75" hidden="false" customHeight="true" outlineLevel="0" collapsed="false">
      <c r="A3082" s="3"/>
      <c r="B3082" s="3" t="n">
        <f aca="false">IF(ISNUMBER(SEARCH("%", A3082)),RIGHT(A3082,3),A3082)</f>
        <v>0</v>
      </c>
      <c r="C3082" s="2"/>
    </row>
    <row r="3083" customFormat="false" ht="12.75" hidden="false" customHeight="true" outlineLevel="0" collapsed="false">
      <c r="A3083" s="3" t="s">
        <v>2846</v>
      </c>
      <c r="B3083" s="3" t="str">
        <f aca="false">IF(ISNUMBER(SEARCH("%", A3083)),RIGHT(A3083,3),A3083)</f>
        <v>good rod:</v>
      </c>
      <c r="C3083" s="2" t="s">
        <v>2846</v>
      </c>
    </row>
    <row r="3084" customFormat="false" ht="12.75" hidden="false" customHeight="true" outlineLevel="0" collapsed="false">
      <c r="A3084" s="3" t="s">
        <v>3580</v>
      </c>
      <c r="B3084" s="3" t="str">
        <f aca="false">IF(ISNUMBER(SEARCH("%", A3084)),RIGHT(A3084,3),A3084)</f>
        <v>30, 38, SEAKING</v>
      </c>
      <c r="C3084" s="2" t="s">
        <v>3580</v>
      </c>
    </row>
    <row r="3085" customFormat="false" ht="12.75" hidden="false" customHeight="true" outlineLevel="0" collapsed="false">
      <c r="A3085" s="3" t="s">
        <v>3581</v>
      </c>
      <c r="B3085" s="3" t="str">
        <f aca="false">IF(ISNUMBER(SEARCH("%", A3085)),RIGHT(A3085,3),A3085)</f>
        <v>32, 40, KINGLER</v>
      </c>
      <c r="C3085" s="2" t="s">
        <v>3581</v>
      </c>
    </row>
    <row r="3086" customFormat="false" ht="12.75" hidden="false" customHeight="true" outlineLevel="0" collapsed="false">
      <c r="A3086" s="3" t="s">
        <v>3582</v>
      </c>
      <c r="B3086" s="3" t="str">
        <f aca="false">IF(ISNUMBER(SEARCH("%", A3086)),RIGHT(A3086,3),A3086)</f>
        <v>32, 40, DRAGONAIR</v>
      </c>
      <c r="C3086" s="2" t="s">
        <v>3582</v>
      </c>
    </row>
    <row r="3087" customFormat="false" ht="12.75" hidden="false" customHeight="true" outlineLevel="0" collapsed="false">
      <c r="A3087" s="3"/>
      <c r="B3087" s="3" t="n">
        <f aca="false">IF(ISNUMBER(SEARCH("%", A3087)),RIGHT(A3087,3),A3087)</f>
        <v>0</v>
      </c>
      <c r="C3087" s="2"/>
    </row>
    <row r="3088" customFormat="false" ht="12.75" hidden="false" customHeight="true" outlineLevel="0" collapsed="false">
      <c r="A3088" s="3" t="s">
        <v>2850</v>
      </c>
      <c r="B3088" s="3" t="str">
        <f aca="false">IF(ISNUMBER(SEARCH("%", A3088)),RIGHT(A3088,3),A3088)</f>
        <v>super rod:</v>
      </c>
      <c r="C3088" s="2" t="s">
        <v>2850</v>
      </c>
    </row>
    <row r="3089" customFormat="false" ht="12.75" hidden="false" customHeight="true" outlineLevel="0" collapsed="false">
      <c r="A3089" s="3" t="s">
        <v>3583</v>
      </c>
      <c r="B3089" s="3" t="str">
        <f aca="false">IF(ISNUMBER(SEARCH("%", A3089)),RIGHT(A3089,3),A3089)</f>
        <v>50, 55, SEAREX</v>
      </c>
      <c r="C3089" s="2" t="s">
        <v>3583</v>
      </c>
    </row>
    <row r="3090" customFormat="false" ht="12.75" hidden="false" customHeight="true" outlineLevel="0" collapsed="false">
      <c r="A3090" s="3" t="s">
        <v>2969</v>
      </c>
      <c r="B3090" s="3" t="str">
        <f aca="false">IF(ISNUMBER(SEARCH("%", A3090)),RIGHT(A3090,3),A3090)</f>
        <v>50, 55, DRAGONITE</v>
      </c>
      <c r="C3090" s="2" t="s">
        <v>2969</v>
      </c>
    </row>
    <row r="3091" customFormat="false" ht="12.75" hidden="false" customHeight="true" outlineLevel="0" collapsed="false">
      <c r="A3091" s="3" t="s">
        <v>3584</v>
      </c>
      <c r="B3091" s="3" t="str">
        <f aca="false">IF(ISNUMBER(SEARCH("%", A3091)),RIGHT(A3091,3),A3091)</f>
        <v>52, 57, KRAKLAW</v>
      </c>
      <c r="C3091" s="2" t="s">
        <v>3584</v>
      </c>
    </row>
    <row r="3092" customFormat="false" ht="12.75" hidden="false" customHeight="true" outlineLevel="0" collapsed="false">
      <c r="A3092" s="3" t="s">
        <v>3585</v>
      </c>
      <c r="B3092" s="3" t="str">
        <f aca="false">IF(ISNUMBER(SEARCH("%", A3092)),RIGHT(A3092,3),A3092)</f>
        <v>52, 57, CAPRISEA</v>
      </c>
      <c r="C3092" s="2" t="s">
        <v>3585</v>
      </c>
    </row>
    <row r="3093" customFormat="false" ht="12.75" hidden="false" customHeight="true" outlineLevel="0" collapsed="false">
      <c r="A3093" s="3" t="s">
        <v>3586</v>
      </c>
      <c r="B3093" s="3" t="str">
        <f aca="false">IF(ISNUMBER(SEARCH("%", A3093)),RIGHT(A3093,3),A3093)</f>
        <v>53, 58, DRAGONIER</v>
      </c>
      <c r="C3093" s="2" t="s">
        <v>3586</v>
      </c>
    </row>
    <row r="3094" customFormat="false" ht="12.75" hidden="false" customHeight="true" outlineLevel="0" collapsed="false">
      <c r="A3094" s="3" t="s">
        <v>2536</v>
      </c>
      <c r="B3094" s="3" t="str">
        <f aca="false">IF(ISNUMBER(SEARCH("%", A3094)),RIGHT(A3094,3),A3094)</f>
        <v>NEW ROUTE</v>
      </c>
      <c r="C3094" s="2" t="s">
        <v>2536</v>
      </c>
    </row>
    <row r="3095" customFormat="false" ht="12.75" hidden="false" customHeight="true" outlineLevel="0" collapsed="false">
      <c r="A3095" s="3" t="s">
        <v>3587</v>
      </c>
      <c r="B3095" s="3" t="str">
        <f aca="false">IF(ISNUMBER(SEARCH("%", A3095)),RIGHT(A3095,3),A3095)</f>
        <v>3, 43, 0,</v>
      </c>
      <c r="C3095" s="2" t="s">
        <v>3587</v>
      </c>
    </row>
    <row r="3096" customFormat="false" ht="12.75" hidden="false" customHeight="true" outlineLevel="0" collapsed="false">
      <c r="A3096" s="3" t="s">
        <v>2908</v>
      </c>
      <c r="B3096" s="3" t="str">
        <f aca="false">IF(ISNUMBER(SEARCH("%", A3096)),RIGHT(A3096,3),A3096)</f>
        <v>20%</v>
      </c>
      <c r="C3096" s="2" t="s">
        <v>2799</v>
      </c>
    </row>
    <row r="3097" customFormat="false" ht="12.75" hidden="false" customHeight="true" outlineLevel="0" collapsed="false">
      <c r="A3097" s="3" t="s">
        <v>2073</v>
      </c>
      <c r="B3097" s="3" t="str">
        <f aca="false">IF(ISNUMBER(SEARCH("%", A3097)),RIGHT(A3097,3),A3097)</f>
        <v>13, 17, PIDGEY</v>
      </c>
      <c r="C3097" s="2" t="s">
        <v>2073</v>
      </c>
    </row>
    <row r="3098" customFormat="false" ht="12.75" hidden="false" customHeight="true" outlineLevel="0" collapsed="false">
      <c r="A3098" s="3" t="s">
        <v>3588</v>
      </c>
      <c r="B3098" s="3" t="str">
        <f aca="false">IF(ISNUMBER(SEARCH("%", A3098)),RIGHT(A3098,3),A3098)</f>
        <v>13, 17, ODDISH</v>
      </c>
      <c r="C3098" s="2" t="s">
        <v>3588</v>
      </c>
    </row>
    <row r="3099" customFormat="false" ht="12.75" hidden="false" customHeight="true" outlineLevel="0" collapsed="false">
      <c r="A3099" s="3"/>
      <c r="B3099" s="3" t="n">
        <f aca="false">IF(ISNUMBER(SEARCH("%", A3099)),RIGHT(A3099,3),A3099)</f>
        <v>0</v>
      </c>
      <c r="C3099" s="2"/>
    </row>
    <row r="3100" customFormat="false" ht="12.75" hidden="false" customHeight="true" outlineLevel="0" collapsed="false">
      <c r="A3100" s="3" t="s">
        <v>2801</v>
      </c>
      <c r="B3100" s="3" t="str">
        <f aca="false">IF(ISNUMBER(SEARCH("%", A3100)),RIGHT(A3100,3),A3100)</f>
        <v>0.1</v>
      </c>
      <c r="C3100" s="2" t="s">
        <v>2801</v>
      </c>
    </row>
    <row r="3101" customFormat="false" ht="12.75" hidden="false" customHeight="true" outlineLevel="0" collapsed="false">
      <c r="A3101" s="3" t="s">
        <v>3589</v>
      </c>
      <c r="B3101" s="3" t="str">
        <f aca="false">IF(ISNUMBER(SEARCH("%", A3101)),RIGHT(A3101,3),A3101)</f>
        <v>14, 17, BELLSPROUT</v>
      </c>
      <c r="C3101" s="2" t="s">
        <v>3589</v>
      </c>
    </row>
    <row r="3102" customFormat="false" ht="12.75" hidden="false" customHeight="true" outlineLevel="0" collapsed="false">
      <c r="A3102" s="3" t="s">
        <v>3590</v>
      </c>
      <c r="B3102" s="3" t="str">
        <f aca="false">IF(ISNUMBER(SEARCH("%", A3102)),RIGHT(A3102,3),A3102)</f>
        <v>14, 17, MEOWTH</v>
      </c>
      <c r="C3102" s="2" t="s">
        <v>3590</v>
      </c>
    </row>
    <row r="3103" customFormat="false" ht="12.75" hidden="false" customHeight="true" outlineLevel="0" collapsed="false">
      <c r="A3103" s="3" t="s">
        <v>3591</v>
      </c>
      <c r="B3103" s="3" t="str">
        <f aca="false">IF(ISNUMBER(SEARCH("%", A3103)),RIGHT(A3103,3),A3103)</f>
        <v>14, 17, PSYDUCK</v>
      </c>
      <c r="C3103" s="2" t="s">
        <v>3591</v>
      </c>
    </row>
    <row r="3104" customFormat="false" ht="12.75" hidden="false" customHeight="true" outlineLevel="0" collapsed="false">
      <c r="A3104" s="3" t="s">
        <v>3592</v>
      </c>
      <c r="B3104" s="3" t="str">
        <f aca="false">IF(ISNUMBER(SEARCH("%", A3104)),RIGHT(A3104,3),A3104)</f>
        <v>14, 17, PIDGEOTTO</v>
      </c>
      <c r="C3104" s="2" t="s">
        <v>3592</v>
      </c>
    </row>
    <row r="3105" customFormat="false" ht="12.75" hidden="false" customHeight="true" outlineLevel="0" collapsed="false">
      <c r="A3105" s="3"/>
      <c r="B3105" s="3" t="n">
        <f aca="false">IF(ISNUMBER(SEARCH("%", A3105)),RIGHT(A3105,3),A3105)</f>
        <v>0</v>
      </c>
      <c r="C3105" s="2"/>
    </row>
    <row r="3106" customFormat="false" ht="12.75" hidden="false" customHeight="true" outlineLevel="0" collapsed="false">
      <c r="A3106" s="3" t="s">
        <v>2806</v>
      </c>
      <c r="B3106" s="3" t="str">
        <f aca="false">IF(ISNUMBER(SEARCH("%", A3106)),RIGHT(A3106,3),A3106)</f>
        <v>0.05</v>
      </c>
      <c r="C3106" s="2" t="s">
        <v>2806</v>
      </c>
    </row>
    <row r="3107" customFormat="false" ht="12.75" hidden="false" customHeight="true" outlineLevel="0" collapsed="false">
      <c r="A3107" s="3" t="s">
        <v>3593</v>
      </c>
      <c r="B3107" s="3" t="str">
        <f aca="false">IF(ISNUMBER(SEARCH("%", A3107)),RIGHT(A3107,3),A3107)</f>
        <v>16, 16, PIKACHU</v>
      </c>
      <c r="C3107" s="2" t="s">
        <v>3593</v>
      </c>
    </row>
    <row r="3108" customFormat="false" ht="12.75" hidden="false" customHeight="true" outlineLevel="0" collapsed="false">
      <c r="A3108" s="3" t="s">
        <v>3594</v>
      </c>
      <c r="B3108" s="3" t="str">
        <f aca="false">IF(ISNUMBER(SEARCH("%", A3108)),RIGHT(A3108,3),A3108)</f>
        <v>16, 16, ABRA</v>
      </c>
      <c r="C3108" s="2" t="s">
        <v>3594</v>
      </c>
    </row>
    <row r="3109" customFormat="false" ht="12.75" hidden="false" customHeight="true" outlineLevel="0" collapsed="false">
      <c r="A3109" s="3"/>
      <c r="B3109" s="3" t="n">
        <f aca="false">IF(ISNUMBER(SEARCH("%", A3109)),RIGHT(A3109,3),A3109)</f>
        <v>0</v>
      </c>
      <c r="C3109" s="2"/>
    </row>
    <row r="3110" customFormat="false" ht="12.75" hidden="false" customHeight="true" outlineLevel="0" collapsed="false">
      <c r="A3110" s="3" t="s">
        <v>2809</v>
      </c>
      <c r="B3110" s="3" t="str">
        <f aca="false">IF(ISNUMBER(SEARCH("%", A3110)),RIGHT(A3110,3),A3110)</f>
        <v>0.04</v>
      </c>
      <c r="C3110" s="2" t="s">
        <v>2809</v>
      </c>
    </row>
    <row r="3111" customFormat="false" ht="12.75" hidden="false" customHeight="true" outlineLevel="0" collapsed="false">
      <c r="A3111" s="3" t="s">
        <v>3595</v>
      </c>
      <c r="B3111" s="3" t="str">
        <f aca="false">IF(ISNUMBER(SEARCH("%", A3111)),RIGHT(A3111,3),A3111)</f>
        <v>15, 18, VENONAT</v>
      </c>
      <c r="C3111" s="2" t="s">
        <v>3595</v>
      </c>
    </row>
    <row r="3112" customFormat="false" ht="12.75" hidden="false" customHeight="true" outlineLevel="0" collapsed="false">
      <c r="A3112" s="3" t="s">
        <v>3596</v>
      </c>
      <c r="B3112" s="3" t="str">
        <f aca="false">IF(ISNUMBER(SEARCH("%", A3112)),RIGHT(A3112,3),A3112)</f>
        <v>15, 18, GLOOM</v>
      </c>
      <c r="C3112" s="2" t="s">
        <v>3596</v>
      </c>
    </row>
    <row r="3113" customFormat="false" ht="12.75" hidden="false" customHeight="true" outlineLevel="0" collapsed="false">
      <c r="A3113" s="3"/>
      <c r="B3113" s="3" t="n">
        <f aca="false">IF(ISNUMBER(SEARCH("%", A3113)),RIGHT(A3113,3),A3113)</f>
        <v>0</v>
      </c>
      <c r="C3113" s="2"/>
    </row>
    <row r="3114" customFormat="false" ht="12.75" hidden="false" customHeight="true" outlineLevel="0" collapsed="false">
      <c r="A3114" s="3" t="s">
        <v>2812</v>
      </c>
      <c r="B3114" s="3" t="str">
        <f aca="false">IF(ISNUMBER(SEARCH("%", A3114)),RIGHT(A3114,3),A3114)</f>
        <v>0.01</v>
      </c>
      <c r="C3114" s="2" t="s">
        <v>2812</v>
      </c>
    </row>
    <row r="3115" customFormat="false" ht="12.75" hidden="false" customHeight="true" outlineLevel="0" collapsed="false">
      <c r="A3115" s="3" t="s">
        <v>3597</v>
      </c>
      <c r="B3115" s="3" t="str">
        <f aca="false">IF(ISNUMBER(SEARCH("%", A3115)),RIGHT(A3115,3),A3115)</f>
        <v>17, 17, KADABRA</v>
      </c>
      <c r="C3115" s="2" t="s">
        <v>3597</v>
      </c>
    </row>
    <row r="3116" customFormat="false" ht="12.75" hidden="false" customHeight="true" outlineLevel="0" collapsed="false">
      <c r="A3116" s="3" t="s">
        <v>3597</v>
      </c>
      <c r="B3116" s="3" t="str">
        <f aca="false">IF(ISNUMBER(SEARCH("%", A3116)),RIGHT(A3116,3),A3116)</f>
        <v>17, 17, KADABRA</v>
      </c>
      <c r="C3116" s="2" t="s">
        <v>3597</v>
      </c>
    </row>
    <row r="3117" customFormat="false" ht="12.75" hidden="false" customHeight="true" outlineLevel="0" collapsed="false">
      <c r="A3117" s="3" t="s">
        <v>3598</v>
      </c>
      <c r="B3117" s="3" t="str">
        <f aca="false">IF(ISNUMBER(SEARCH("%", A3117)),RIGHT(A3117,3),A3117)</f>
        <v>2, 34, 40, TENTACOOL</v>
      </c>
      <c r="C3117" s="2" t="s">
        <v>3598</v>
      </c>
    </row>
    <row r="3118" customFormat="false" ht="12.75" hidden="false" customHeight="true" outlineLevel="0" collapsed="false">
      <c r="A3118" s="3" t="s">
        <v>3599</v>
      </c>
      <c r="B3118" s="3" t="str">
        <f aca="false">IF(ISNUMBER(SEARCH("%", A3118)),RIGHT(A3118,3),A3118)</f>
        <v>34, 40, PSYDUCK</v>
      </c>
      <c r="C3118" s="2" t="s">
        <v>3599</v>
      </c>
    </row>
    <row r="3119" customFormat="false" ht="12.75" hidden="false" customHeight="true" outlineLevel="0" collapsed="false">
      <c r="A3119" s="3" t="s">
        <v>3600</v>
      </c>
      <c r="B3119" s="3" t="str">
        <f aca="false">IF(ISNUMBER(SEARCH("%", A3119)),RIGHT(A3119,3),A3119)</f>
        <v>36, 42, TENTACRUEL</v>
      </c>
      <c r="C3119" s="2" t="s">
        <v>3600</v>
      </c>
    </row>
    <row r="3120" customFormat="false" ht="12.75" hidden="false" customHeight="true" outlineLevel="0" collapsed="false">
      <c r="A3120" s="3" t="s">
        <v>3532</v>
      </c>
      <c r="B3120" s="3" t="str">
        <f aca="false">IF(ISNUMBER(SEARCH("%", A3120)),RIGHT(A3120,3),A3120)</f>
        <v>39, 42, GOLDUCK</v>
      </c>
      <c r="C3120" s="2" t="s">
        <v>3532</v>
      </c>
    </row>
    <row r="3121" customFormat="false" ht="12.75" hidden="false" customHeight="true" outlineLevel="0" collapsed="false">
      <c r="A3121" s="3" t="s">
        <v>3601</v>
      </c>
      <c r="B3121" s="3" t="str">
        <f aca="false">IF(ISNUMBER(SEARCH("%", A3121)),RIGHT(A3121,3),A3121)</f>
        <v>39, 42, VAPOREON</v>
      </c>
      <c r="C3121" s="2" t="s">
        <v>3601</v>
      </c>
    </row>
    <row r="3122" customFormat="false" ht="12.75" hidden="false" customHeight="true" outlineLevel="0" collapsed="false">
      <c r="A3122" s="3" t="s">
        <v>2925</v>
      </c>
      <c r="B3122" s="3" t="str">
        <f aca="false">IF(ISNUMBER(SEARCH("%", A3122)),RIGHT(A3122,3),A3122)</f>
        <v>20, old rod:</v>
      </c>
      <c r="C3122" s="2" t="s">
        <v>2925</v>
      </c>
    </row>
    <row r="3123" customFormat="false" ht="12.75" hidden="false" customHeight="true" outlineLevel="0" collapsed="false">
      <c r="A3123" s="3" t="s">
        <v>1349</v>
      </c>
      <c r="B3123" s="3" t="str">
        <f aca="false">IF(ISNUMBER(SEARCH("%", A3123)),RIGHT(A3123,3),A3123)</f>
        <v>19, 26, MAGIKARP</v>
      </c>
      <c r="C3123" s="2" t="s">
        <v>1349</v>
      </c>
    </row>
    <row r="3124" customFormat="false" ht="12.75" hidden="false" customHeight="true" outlineLevel="0" collapsed="false">
      <c r="A3124" s="3" t="s">
        <v>3352</v>
      </c>
      <c r="B3124" s="3" t="str">
        <f aca="false">IF(ISNUMBER(SEARCH("%", A3124)),RIGHT(A3124,3),A3124)</f>
        <v>19, 26, GYARADOS</v>
      </c>
      <c r="C3124" s="2" t="s">
        <v>3352</v>
      </c>
    </row>
    <row r="3125" customFormat="false" ht="12.75" hidden="false" customHeight="true" outlineLevel="0" collapsed="false">
      <c r="A3125" s="3"/>
      <c r="B3125" s="3" t="n">
        <f aca="false">IF(ISNUMBER(SEARCH("%", A3125)),RIGHT(A3125,3),A3125)</f>
        <v>0</v>
      </c>
      <c r="C3125" s="2"/>
    </row>
    <row r="3126" customFormat="false" ht="12.75" hidden="false" customHeight="true" outlineLevel="0" collapsed="false">
      <c r="A3126" s="3" t="s">
        <v>2846</v>
      </c>
      <c r="B3126" s="3" t="str">
        <f aca="false">IF(ISNUMBER(SEARCH("%", A3126)),RIGHT(A3126,3),A3126)</f>
        <v>good rod:</v>
      </c>
      <c r="C3126" s="2" t="s">
        <v>2846</v>
      </c>
    </row>
    <row r="3127" customFormat="false" ht="12.75" hidden="false" customHeight="true" outlineLevel="0" collapsed="false">
      <c r="A3127" s="3" t="s">
        <v>3353</v>
      </c>
      <c r="B3127" s="3" t="str">
        <f aca="false">IF(ISNUMBER(SEARCH("%", A3127)),RIGHT(A3127,3),A3127)</f>
        <v>29, 33, SLOWPOKE</v>
      </c>
      <c r="C3127" s="2" t="s">
        <v>3353</v>
      </c>
    </row>
    <row r="3128" customFormat="false" ht="12.75" hidden="false" customHeight="true" outlineLevel="0" collapsed="false">
      <c r="A3128" s="3" t="s">
        <v>3027</v>
      </c>
      <c r="B3128" s="3" t="str">
        <f aca="false">IF(ISNUMBER(SEARCH("%", A3128)),RIGHT(A3128,3),A3128)</f>
        <v>30, 35, KRABBY</v>
      </c>
      <c r="C3128" s="2" t="s">
        <v>3027</v>
      </c>
    </row>
    <row r="3129" customFormat="false" ht="12.75" hidden="false" customHeight="true" outlineLevel="0" collapsed="false">
      <c r="A3129" s="3" t="s">
        <v>3354</v>
      </c>
      <c r="B3129" s="3" t="str">
        <f aca="false">IF(ISNUMBER(SEARCH("%", A3129)),RIGHT(A3129,3),A3129)</f>
        <v>30, 35, PSYDUCK</v>
      </c>
      <c r="C3129" s="2" t="s">
        <v>3354</v>
      </c>
    </row>
    <row r="3130" customFormat="false" ht="12.75" hidden="false" customHeight="true" outlineLevel="0" collapsed="false">
      <c r="A3130" s="3"/>
      <c r="B3130" s="3" t="n">
        <f aca="false">IF(ISNUMBER(SEARCH("%", A3130)),RIGHT(A3130,3),A3130)</f>
        <v>0</v>
      </c>
      <c r="C3130" s="2"/>
    </row>
    <row r="3131" customFormat="false" ht="12.75" hidden="false" customHeight="true" outlineLevel="0" collapsed="false">
      <c r="A3131" s="3" t="s">
        <v>2850</v>
      </c>
      <c r="B3131" s="3" t="str">
        <f aca="false">IF(ISNUMBER(SEARCH("%", A3131)),RIGHT(A3131,3),A3131)</f>
        <v>super rod:</v>
      </c>
      <c r="C3131" s="2" t="s">
        <v>2850</v>
      </c>
    </row>
    <row r="3132" customFormat="false" ht="12.75" hidden="false" customHeight="true" outlineLevel="0" collapsed="false">
      <c r="A3132" s="3" t="s">
        <v>3355</v>
      </c>
      <c r="B3132" s="3" t="str">
        <f aca="false">IF(ISNUMBER(SEARCH("%", A3132)),RIGHT(A3132,3),A3132)</f>
        <v>36, 40, SLOWBRO</v>
      </c>
      <c r="C3132" s="2" t="s">
        <v>3355</v>
      </c>
    </row>
    <row r="3133" customFormat="false" ht="12.75" hidden="false" customHeight="true" outlineLevel="0" collapsed="false">
      <c r="A3133" s="3" t="s">
        <v>3356</v>
      </c>
      <c r="B3133" s="3" t="str">
        <f aca="false">IF(ISNUMBER(SEARCH("%", A3133)),RIGHT(A3133,3),A3133)</f>
        <v>36, 40, GYARADOS</v>
      </c>
      <c r="C3133" s="2" t="s">
        <v>3356</v>
      </c>
    </row>
    <row r="3134" customFormat="false" ht="12.75" hidden="false" customHeight="true" outlineLevel="0" collapsed="false">
      <c r="A3134" s="3" t="s">
        <v>3357</v>
      </c>
      <c r="B3134" s="3" t="str">
        <f aca="false">IF(ISNUMBER(SEARCH("%", A3134)),RIGHT(A3134,3),A3134)</f>
        <v>38, 42, GOLDUCK</v>
      </c>
      <c r="C3134" s="2" t="s">
        <v>3357</v>
      </c>
    </row>
    <row r="3135" customFormat="false" ht="12.75" hidden="false" customHeight="true" outlineLevel="0" collapsed="false">
      <c r="A3135" s="3" t="s">
        <v>3358</v>
      </c>
      <c r="B3135" s="3" t="str">
        <f aca="false">IF(ISNUMBER(SEARCH("%", A3135)),RIGHT(A3135,3),A3135)</f>
        <v>38, 42, KINGLER</v>
      </c>
      <c r="C3135" s="2" t="s">
        <v>3358</v>
      </c>
    </row>
    <row r="3136" customFormat="false" ht="12.75" hidden="false" customHeight="true" outlineLevel="0" collapsed="false">
      <c r="A3136" s="3" t="s">
        <v>3359</v>
      </c>
      <c r="B3136" s="3" t="str">
        <f aca="false">IF(ISNUMBER(SEARCH("%", A3136)),RIGHT(A3136,3),A3136)</f>
        <v>40, 44, SLOWMATE</v>
      </c>
      <c r="C3136" s="2" t="s">
        <v>3359</v>
      </c>
    </row>
    <row r="3137" customFormat="false" ht="12.75" hidden="false" customHeight="true" outlineLevel="0" collapsed="false">
      <c r="A3137" s="3" t="s">
        <v>2536</v>
      </c>
      <c r="B3137" s="3" t="str">
        <f aca="false">IF(ISNUMBER(SEARCH("%", A3137)),RIGHT(A3137,3),A3137)</f>
        <v>NEW ROUTE</v>
      </c>
      <c r="C3137" s="2" t="s">
        <v>2536</v>
      </c>
    </row>
    <row r="3138" customFormat="false" ht="12.75" hidden="false" customHeight="true" outlineLevel="0" collapsed="false">
      <c r="A3138" s="3" t="s">
        <v>3602</v>
      </c>
      <c r="B3138" s="3" t="str">
        <f aca="false">IF(ISNUMBER(SEARCH("%", A3138)),RIGHT(A3138,3),A3138)</f>
        <v>3, 44, 0,</v>
      </c>
      <c r="C3138" s="2" t="s">
        <v>3602</v>
      </c>
    </row>
    <row r="3139" customFormat="false" ht="12.75" hidden="false" customHeight="true" outlineLevel="0" collapsed="false">
      <c r="A3139" s="3" t="s">
        <v>2908</v>
      </c>
      <c r="B3139" s="3" t="str">
        <f aca="false">IF(ISNUMBER(SEARCH("%", A3139)),RIGHT(A3139,3),A3139)</f>
        <v>20%</v>
      </c>
      <c r="C3139" s="2" t="s">
        <v>2799</v>
      </c>
    </row>
    <row r="3140" customFormat="false" ht="12.75" hidden="false" customHeight="true" outlineLevel="0" collapsed="false">
      <c r="A3140" s="3" t="s">
        <v>2089</v>
      </c>
      <c r="B3140" s="3" t="str">
        <f aca="false">IF(ISNUMBER(SEARCH("%", A3140)),RIGHT(A3140,3),A3140)</f>
        <v>14, 17, PIDGEY</v>
      </c>
      <c r="C3140" s="2" t="s">
        <v>2089</v>
      </c>
    </row>
    <row r="3141" customFormat="false" ht="12.75" hidden="false" customHeight="true" outlineLevel="0" collapsed="false">
      <c r="A3141" s="3" t="s">
        <v>3603</v>
      </c>
      <c r="B3141" s="3" t="str">
        <f aca="false">IF(ISNUMBER(SEARCH("%", A3141)),RIGHT(A3141,3),A3141)</f>
        <v>14, 17, ODDISH</v>
      </c>
      <c r="C3141" s="2" t="s">
        <v>3603</v>
      </c>
    </row>
    <row r="3142" customFormat="false" ht="12.75" hidden="false" customHeight="true" outlineLevel="0" collapsed="false">
      <c r="A3142" s="3"/>
      <c r="B3142" s="3" t="n">
        <f aca="false">IF(ISNUMBER(SEARCH("%", A3142)),RIGHT(A3142,3),A3142)</f>
        <v>0</v>
      </c>
      <c r="C3142" s="2"/>
    </row>
    <row r="3143" customFormat="false" ht="12.75" hidden="false" customHeight="true" outlineLevel="0" collapsed="false">
      <c r="A3143" s="3" t="s">
        <v>2801</v>
      </c>
      <c r="B3143" s="3" t="str">
        <f aca="false">IF(ISNUMBER(SEARCH("%", A3143)),RIGHT(A3143,3),A3143)</f>
        <v>0.1</v>
      </c>
      <c r="C3143" s="2" t="s">
        <v>2801</v>
      </c>
    </row>
    <row r="3144" customFormat="false" ht="12.75" hidden="false" customHeight="true" outlineLevel="0" collapsed="false">
      <c r="A3144" s="3" t="s">
        <v>3604</v>
      </c>
      <c r="B3144" s="3" t="str">
        <f aca="false">IF(ISNUMBER(SEARCH("%", A3144)),RIGHT(A3144,3),A3144)</f>
        <v>15, 17, BELLSPROUT</v>
      </c>
      <c r="C3144" s="2" t="s">
        <v>3604</v>
      </c>
    </row>
    <row r="3145" customFormat="false" ht="12.75" hidden="false" customHeight="true" outlineLevel="0" collapsed="false">
      <c r="A3145" s="3" t="s">
        <v>3361</v>
      </c>
      <c r="B3145" s="3" t="str">
        <f aca="false">IF(ISNUMBER(SEARCH("%", A3145)),RIGHT(A3145,3),A3145)</f>
        <v>15, 17, MEOWTH</v>
      </c>
      <c r="C3145" s="2" t="s">
        <v>3361</v>
      </c>
    </row>
    <row r="3146" customFormat="false" ht="12.75" hidden="false" customHeight="true" outlineLevel="0" collapsed="false">
      <c r="A3146" s="3" t="s">
        <v>3605</v>
      </c>
      <c r="B3146" s="3" t="str">
        <f aca="false">IF(ISNUMBER(SEARCH("%", A3146)),RIGHT(A3146,3),A3146)</f>
        <v>15, 17, PSYDUCK</v>
      </c>
      <c r="C3146" s="2" t="s">
        <v>3605</v>
      </c>
    </row>
    <row r="3147" customFormat="false" ht="12.75" hidden="false" customHeight="true" outlineLevel="0" collapsed="false">
      <c r="A3147" s="3" t="s">
        <v>3606</v>
      </c>
      <c r="B3147" s="3" t="str">
        <f aca="false">IF(ISNUMBER(SEARCH("%", A3147)),RIGHT(A3147,3),A3147)</f>
        <v>15, 17, PIDGEOTTO</v>
      </c>
      <c r="C3147" s="2" t="s">
        <v>3606</v>
      </c>
    </row>
    <row r="3148" customFormat="false" ht="12.75" hidden="false" customHeight="true" outlineLevel="0" collapsed="false">
      <c r="A3148" s="3"/>
      <c r="B3148" s="3" t="n">
        <f aca="false">IF(ISNUMBER(SEARCH("%", A3148)),RIGHT(A3148,3),A3148)</f>
        <v>0</v>
      </c>
      <c r="C3148" s="2"/>
    </row>
    <row r="3149" customFormat="false" ht="12.75" hidden="false" customHeight="true" outlineLevel="0" collapsed="false">
      <c r="A3149" s="3" t="s">
        <v>2806</v>
      </c>
      <c r="B3149" s="3" t="str">
        <f aca="false">IF(ISNUMBER(SEARCH("%", A3149)),RIGHT(A3149,3),A3149)</f>
        <v>0.05</v>
      </c>
      <c r="C3149" s="2" t="s">
        <v>2806</v>
      </c>
    </row>
    <row r="3150" customFormat="false" ht="12.75" hidden="false" customHeight="true" outlineLevel="0" collapsed="false">
      <c r="A3150" s="3" t="s">
        <v>3593</v>
      </c>
      <c r="B3150" s="3" t="str">
        <f aca="false">IF(ISNUMBER(SEARCH("%", A3150)),RIGHT(A3150,3),A3150)</f>
        <v>16, 16, PIKACHU</v>
      </c>
      <c r="C3150" s="2" t="s">
        <v>3593</v>
      </c>
    </row>
    <row r="3151" customFormat="false" ht="12.75" hidden="false" customHeight="true" outlineLevel="0" collapsed="false">
      <c r="A3151" s="3" t="s">
        <v>3594</v>
      </c>
      <c r="B3151" s="3" t="str">
        <f aca="false">IF(ISNUMBER(SEARCH("%", A3151)),RIGHT(A3151,3),A3151)</f>
        <v>16, 16, ABRA</v>
      </c>
      <c r="C3151" s="2" t="s">
        <v>3594</v>
      </c>
    </row>
    <row r="3152" customFormat="false" ht="12.75" hidden="false" customHeight="true" outlineLevel="0" collapsed="false">
      <c r="A3152" s="3"/>
      <c r="B3152" s="3" t="n">
        <f aca="false">IF(ISNUMBER(SEARCH("%", A3152)),RIGHT(A3152,3),A3152)</f>
        <v>0</v>
      </c>
      <c r="C3152" s="2"/>
    </row>
    <row r="3153" customFormat="false" ht="12.75" hidden="false" customHeight="true" outlineLevel="0" collapsed="false">
      <c r="A3153" s="3" t="s">
        <v>2809</v>
      </c>
      <c r="B3153" s="3" t="str">
        <f aca="false">IF(ISNUMBER(SEARCH("%", A3153)),RIGHT(A3153,3),A3153)</f>
        <v>0.04</v>
      </c>
      <c r="C3153" s="2" t="s">
        <v>2809</v>
      </c>
    </row>
    <row r="3154" customFormat="false" ht="12.75" hidden="false" customHeight="true" outlineLevel="0" collapsed="false">
      <c r="A3154" s="3" t="s">
        <v>3595</v>
      </c>
      <c r="B3154" s="3" t="str">
        <f aca="false">IF(ISNUMBER(SEARCH("%", A3154)),RIGHT(A3154,3),A3154)</f>
        <v>15, 18, VENONAT</v>
      </c>
      <c r="C3154" s="2" t="s">
        <v>3595</v>
      </c>
    </row>
    <row r="3155" customFormat="false" ht="12.75" hidden="false" customHeight="true" outlineLevel="0" collapsed="false">
      <c r="A3155" s="3" t="s">
        <v>3596</v>
      </c>
      <c r="B3155" s="3" t="str">
        <f aca="false">IF(ISNUMBER(SEARCH("%", A3155)),RIGHT(A3155,3),A3155)</f>
        <v>15, 18, GLOOM</v>
      </c>
      <c r="C3155" s="2" t="s">
        <v>3596</v>
      </c>
    </row>
    <row r="3156" customFormat="false" ht="12.75" hidden="false" customHeight="true" outlineLevel="0" collapsed="false">
      <c r="A3156" s="3"/>
      <c r="B3156" s="3" t="n">
        <f aca="false">IF(ISNUMBER(SEARCH("%", A3156)),RIGHT(A3156,3),A3156)</f>
        <v>0</v>
      </c>
      <c r="C3156" s="2"/>
    </row>
    <row r="3157" customFormat="false" ht="12.75" hidden="false" customHeight="true" outlineLevel="0" collapsed="false">
      <c r="A3157" s="3" t="s">
        <v>2812</v>
      </c>
      <c r="B3157" s="3" t="str">
        <f aca="false">IF(ISNUMBER(SEARCH("%", A3157)),RIGHT(A3157,3),A3157)</f>
        <v>0.01</v>
      </c>
      <c r="C3157" s="2" t="s">
        <v>2812</v>
      </c>
    </row>
    <row r="3158" customFormat="false" ht="12.75" hidden="false" customHeight="true" outlineLevel="0" collapsed="false">
      <c r="A3158" s="3" t="s">
        <v>3607</v>
      </c>
      <c r="B3158" s="3" t="str">
        <f aca="false">IF(ISNUMBER(SEARCH("%", A3158)),RIGHT(A3158,3),A3158)</f>
        <v>18, 18, KADABRA</v>
      </c>
      <c r="C3158" s="2" t="s">
        <v>3607</v>
      </c>
    </row>
    <row r="3159" customFormat="false" ht="12.75" hidden="false" customHeight="true" outlineLevel="0" collapsed="false">
      <c r="A3159" s="3" t="s">
        <v>3607</v>
      </c>
      <c r="B3159" s="3" t="str">
        <f aca="false">IF(ISNUMBER(SEARCH("%", A3159)),RIGHT(A3159,3),A3159)</f>
        <v>18, 18, KADABRA</v>
      </c>
      <c r="C3159" s="2" t="s">
        <v>3607</v>
      </c>
    </row>
    <row r="3160" customFormat="false" ht="12.75" hidden="false" customHeight="true" outlineLevel="0" collapsed="false">
      <c r="A3160" s="3" t="s">
        <v>3598</v>
      </c>
      <c r="B3160" s="3" t="str">
        <f aca="false">IF(ISNUMBER(SEARCH("%", A3160)),RIGHT(A3160,3),A3160)</f>
        <v>2, 34, 40, TENTACOOL</v>
      </c>
      <c r="C3160" s="2" t="s">
        <v>3598</v>
      </c>
    </row>
    <row r="3161" customFormat="false" ht="12.75" hidden="false" customHeight="true" outlineLevel="0" collapsed="false">
      <c r="A3161" s="3" t="s">
        <v>3599</v>
      </c>
      <c r="B3161" s="3" t="str">
        <f aca="false">IF(ISNUMBER(SEARCH("%", A3161)),RIGHT(A3161,3),A3161)</f>
        <v>34, 40, PSYDUCK</v>
      </c>
      <c r="C3161" s="2" t="s">
        <v>3599</v>
      </c>
    </row>
    <row r="3162" customFormat="false" ht="12.75" hidden="false" customHeight="true" outlineLevel="0" collapsed="false">
      <c r="A3162" s="3" t="s">
        <v>3600</v>
      </c>
      <c r="B3162" s="3" t="str">
        <f aca="false">IF(ISNUMBER(SEARCH("%", A3162)),RIGHT(A3162,3),A3162)</f>
        <v>36, 42, TENTACRUEL</v>
      </c>
      <c r="C3162" s="2" t="s">
        <v>3600</v>
      </c>
    </row>
    <row r="3163" customFormat="false" ht="12.75" hidden="false" customHeight="true" outlineLevel="0" collapsed="false">
      <c r="A3163" s="3" t="s">
        <v>3532</v>
      </c>
      <c r="B3163" s="3" t="str">
        <f aca="false">IF(ISNUMBER(SEARCH("%", A3163)),RIGHT(A3163,3),A3163)</f>
        <v>39, 42, GOLDUCK</v>
      </c>
      <c r="C3163" s="2" t="s">
        <v>3532</v>
      </c>
    </row>
    <row r="3164" customFormat="false" ht="12.75" hidden="false" customHeight="true" outlineLevel="0" collapsed="false">
      <c r="A3164" s="3" t="s">
        <v>3601</v>
      </c>
      <c r="B3164" s="3" t="str">
        <f aca="false">IF(ISNUMBER(SEARCH("%", A3164)),RIGHT(A3164,3),A3164)</f>
        <v>39, 42, VAPOREON</v>
      </c>
      <c r="C3164" s="2" t="s">
        <v>3601</v>
      </c>
    </row>
    <row r="3165" customFormat="false" ht="12.75" hidden="false" customHeight="true" outlineLevel="0" collapsed="false">
      <c r="A3165" s="3" t="s">
        <v>2925</v>
      </c>
      <c r="B3165" s="3" t="str">
        <f aca="false">IF(ISNUMBER(SEARCH("%", A3165)),RIGHT(A3165,3),A3165)</f>
        <v>20, old rod:</v>
      </c>
      <c r="C3165" s="2" t="s">
        <v>2925</v>
      </c>
    </row>
    <row r="3166" customFormat="false" ht="12.75" hidden="false" customHeight="true" outlineLevel="0" collapsed="false">
      <c r="A3166" s="3" t="s">
        <v>1349</v>
      </c>
      <c r="B3166" s="3" t="str">
        <f aca="false">IF(ISNUMBER(SEARCH("%", A3166)),RIGHT(A3166,3),A3166)</f>
        <v>19, 26, MAGIKARP</v>
      </c>
      <c r="C3166" s="2" t="s">
        <v>1349</v>
      </c>
    </row>
    <row r="3167" customFormat="false" ht="12.75" hidden="false" customHeight="true" outlineLevel="0" collapsed="false">
      <c r="A3167" s="3" t="s">
        <v>3352</v>
      </c>
      <c r="B3167" s="3" t="str">
        <f aca="false">IF(ISNUMBER(SEARCH("%", A3167)),RIGHT(A3167,3),A3167)</f>
        <v>19, 26, GYARADOS</v>
      </c>
      <c r="C3167" s="2" t="s">
        <v>3352</v>
      </c>
    </row>
    <row r="3168" customFormat="false" ht="12.75" hidden="false" customHeight="true" outlineLevel="0" collapsed="false">
      <c r="A3168" s="3"/>
      <c r="B3168" s="3" t="n">
        <f aca="false">IF(ISNUMBER(SEARCH("%", A3168)),RIGHT(A3168,3),A3168)</f>
        <v>0</v>
      </c>
      <c r="C3168" s="2"/>
    </row>
    <row r="3169" customFormat="false" ht="12.75" hidden="false" customHeight="true" outlineLevel="0" collapsed="false">
      <c r="A3169" s="3" t="s">
        <v>2846</v>
      </c>
      <c r="B3169" s="3" t="str">
        <f aca="false">IF(ISNUMBER(SEARCH("%", A3169)),RIGHT(A3169,3),A3169)</f>
        <v>good rod:</v>
      </c>
      <c r="C3169" s="2" t="s">
        <v>2846</v>
      </c>
    </row>
    <row r="3170" customFormat="false" ht="12.75" hidden="false" customHeight="true" outlineLevel="0" collapsed="false">
      <c r="A3170" s="3" t="s">
        <v>3353</v>
      </c>
      <c r="B3170" s="3" t="str">
        <f aca="false">IF(ISNUMBER(SEARCH("%", A3170)),RIGHT(A3170,3),A3170)</f>
        <v>29, 33, SLOWPOKE</v>
      </c>
      <c r="C3170" s="2" t="s">
        <v>3353</v>
      </c>
    </row>
    <row r="3171" customFormat="false" ht="12.75" hidden="false" customHeight="true" outlineLevel="0" collapsed="false">
      <c r="A3171" s="3" t="s">
        <v>3027</v>
      </c>
      <c r="B3171" s="3" t="str">
        <f aca="false">IF(ISNUMBER(SEARCH("%", A3171)),RIGHT(A3171,3),A3171)</f>
        <v>30, 35, KRABBY</v>
      </c>
      <c r="C3171" s="2" t="s">
        <v>3027</v>
      </c>
    </row>
    <row r="3172" customFormat="false" ht="12.75" hidden="false" customHeight="true" outlineLevel="0" collapsed="false">
      <c r="A3172" s="3" t="s">
        <v>3354</v>
      </c>
      <c r="B3172" s="3" t="str">
        <f aca="false">IF(ISNUMBER(SEARCH("%", A3172)),RIGHT(A3172,3),A3172)</f>
        <v>30, 35, PSYDUCK</v>
      </c>
      <c r="C3172" s="2" t="s">
        <v>3354</v>
      </c>
    </row>
    <row r="3173" customFormat="false" ht="12.75" hidden="false" customHeight="true" outlineLevel="0" collapsed="false">
      <c r="A3173" s="3"/>
      <c r="B3173" s="3" t="n">
        <f aca="false">IF(ISNUMBER(SEARCH("%", A3173)),RIGHT(A3173,3),A3173)</f>
        <v>0</v>
      </c>
      <c r="C3173" s="2"/>
    </row>
    <row r="3174" customFormat="false" ht="12.75" hidden="false" customHeight="true" outlineLevel="0" collapsed="false">
      <c r="A3174" s="3" t="s">
        <v>2850</v>
      </c>
      <c r="B3174" s="3" t="str">
        <f aca="false">IF(ISNUMBER(SEARCH("%", A3174)),RIGHT(A3174,3),A3174)</f>
        <v>super rod:</v>
      </c>
      <c r="C3174" s="2" t="s">
        <v>2850</v>
      </c>
    </row>
    <row r="3175" customFormat="false" ht="12.75" hidden="false" customHeight="true" outlineLevel="0" collapsed="false">
      <c r="A3175" s="3" t="s">
        <v>3355</v>
      </c>
      <c r="B3175" s="3" t="str">
        <f aca="false">IF(ISNUMBER(SEARCH("%", A3175)),RIGHT(A3175,3),A3175)</f>
        <v>36, 40, SLOWBRO</v>
      </c>
      <c r="C3175" s="2" t="s">
        <v>3355</v>
      </c>
    </row>
    <row r="3176" customFormat="false" ht="12.75" hidden="false" customHeight="true" outlineLevel="0" collapsed="false">
      <c r="A3176" s="3" t="s">
        <v>3356</v>
      </c>
      <c r="B3176" s="3" t="str">
        <f aca="false">IF(ISNUMBER(SEARCH("%", A3176)),RIGHT(A3176,3),A3176)</f>
        <v>36, 40, GYARADOS</v>
      </c>
      <c r="C3176" s="2" t="s">
        <v>3356</v>
      </c>
    </row>
    <row r="3177" customFormat="false" ht="12.75" hidden="false" customHeight="true" outlineLevel="0" collapsed="false">
      <c r="A3177" s="3" t="s">
        <v>3357</v>
      </c>
      <c r="B3177" s="3" t="str">
        <f aca="false">IF(ISNUMBER(SEARCH("%", A3177)),RIGHT(A3177,3),A3177)</f>
        <v>38, 42, GOLDUCK</v>
      </c>
      <c r="C3177" s="2" t="s">
        <v>3357</v>
      </c>
    </row>
    <row r="3178" customFormat="false" ht="12.75" hidden="false" customHeight="true" outlineLevel="0" collapsed="false">
      <c r="A3178" s="3" t="s">
        <v>3358</v>
      </c>
      <c r="B3178" s="3" t="str">
        <f aca="false">IF(ISNUMBER(SEARCH("%", A3178)),RIGHT(A3178,3),A3178)</f>
        <v>38, 42, KINGLER</v>
      </c>
      <c r="C3178" s="2" t="s">
        <v>3358</v>
      </c>
    </row>
    <row r="3179" customFormat="false" ht="12.75" hidden="false" customHeight="true" outlineLevel="0" collapsed="false">
      <c r="A3179" s="3" t="s">
        <v>3359</v>
      </c>
      <c r="B3179" s="3" t="str">
        <f aca="false">IF(ISNUMBER(SEARCH("%", A3179)),RIGHT(A3179,3),A3179)</f>
        <v>40, 44, SLOWMATE</v>
      </c>
      <c r="C3179" s="2" t="s">
        <v>3359</v>
      </c>
    </row>
    <row r="3180" customFormat="false" ht="12.75" hidden="false" customHeight="true" outlineLevel="0" collapsed="false">
      <c r="A3180" s="3" t="s">
        <v>2536</v>
      </c>
      <c r="B3180" s="3" t="str">
        <f aca="false">IF(ISNUMBER(SEARCH("%", A3180)),RIGHT(A3180,3),A3180)</f>
        <v>NEW ROUTE</v>
      </c>
      <c r="C3180" s="2" t="s">
        <v>2536</v>
      </c>
    </row>
    <row r="3181" customFormat="false" ht="12.75" hidden="false" customHeight="true" outlineLevel="0" collapsed="false">
      <c r="A3181" s="3" t="s">
        <v>3608</v>
      </c>
      <c r="B3181" s="3" t="str">
        <f aca="false">IF(ISNUMBER(SEARCH("%", A3181)),RIGHT(A3181,3),A3181)</f>
        <v>3, 0, 0, &lt;null&gt;,</v>
      </c>
      <c r="C3181" s="2" t="s">
        <v>3608</v>
      </c>
    </row>
    <row r="3182" customFormat="false" ht="12.75" hidden="false" customHeight="true" outlineLevel="0" collapsed="false">
      <c r="A3182" s="3"/>
      <c r="B3182" s="3" t="n">
        <f aca="false">IF(ISNUMBER(SEARCH("%", A3182)),RIGHT(A3182,3),A3182)</f>
        <v>0</v>
      </c>
      <c r="C3182" s="2"/>
    </row>
    <row r="3183" customFormat="false" ht="12.75" hidden="false" customHeight="true" outlineLevel="0" collapsed="false">
      <c r="A3183" s="3" t="s">
        <v>3609</v>
      </c>
      <c r="B3183" s="3" t="str">
        <f aca="false">IF(ISNUMBER(SEARCH("%", A3183)),RIGHT(A3183,3),A3183)</f>
        <v>1, 38, 42, TENTACOOL</v>
      </c>
      <c r="C3183" s="2" t="s">
        <v>3609</v>
      </c>
    </row>
    <row r="3184" customFormat="false" ht="12.75" hidden="false" customHeight="true" outlineLevel="0" collapsed="false">
      <c r="A3184" s="3" t="s">
        <v>3428</v>
      </c>
      <c r="B3184" s="3" t="str">
        <f aca="false">IF(ISNUMBER(SEARCH("%", A3184)),RIGHT(A3184,3),A3184)</f>
        <v>40, 44, TENTACRUEL</v>
      </c>
      <c r="C3184" s="2" t="s">
        <v>3428</v>
      </c>
    </row>
    <row r="3185" customFormat="false" ht="12.75" hidden="false" customHeight="true" outlineLevel="0" collapsed="false">
      <c r="A3185" s="3" t="s">
        <v>3024</v>
      </c>
      <c r="B3185" s="3" t="str">
        <f aca="false">IF(ISNUMBER(SEARCH("%", A3185)),RIGHT(A3185,3),A3185)</f>
        <v>42, 46, LAPRAS</v>
      </c>
      <c r="C3185" s="2" t="s">
        <v>3024</v>
      </c>
    </row>
    <row r="3186" customFormat="false" ht="12.75" hidden="false" customHeight="true" outlineLevel="0" collapsed="false">
      <c r="A3186" s="3" t="s">
        <v>3429</v>
      </c>
      <c r="B3186" s="3" t="str">
        <f aca="false">IF(ISNUMBER(SEARCH("%", A3186)),RIGHT(A3186,3),A3186)</f>
        <v>42, 46, TENTACATE</v>
      </c>
      <c r="C3186" s="2" t="s">
        <v>3429</v>
      </c>
    </row>
    <row r="3187" customFormat="false" ht="12.75" hidden="false" customHeight="true" outlineLevel="0" collapsed="false">
      <c r="A3187" s="3" t="s">
        <v>3449</v>
      </c>
      <c r="B3187" s="3" t="str">
        <f aca="false">IF(ISNUMBER(SEARCH("%", A3187)),RIGHT(A3187,3),A3187)</f>
        <v>44, 48, LOCHLASS</v>
      </c>
      <c r="C3187" s="2" t="s">
        <v>3449</v>
      </c>
    </row>
    <row r="3188" customFormat="false" ht="12.75" hidden="false" customHeight="true" outlineLevel="0" collapsed="false">
      <c r="A3188" s="3" t="s">
        <v>2845</v>
      </c>
      <c r="B3188" s="3" t="str">
        <f aca="false">IF(ISNUMBER(SEARCH("%", A3188)),RIGHT(A3188,3),A3188)</f>
        <v>10, old rod:</v>
      </c>
      <c r="C3188" s="2" t="s">
        <v>2845</v>
      </c>
    </row>
    <row r="3189" customFormat="false" ht="12.75" hidden="false" customHeight="true" outlineLevel="0" collapsed="false">
      <c r="A3189" s="3" t="s">
        <v>1349</v>
      </c>
      <c r="B3189" s="3" t="str">
        <f aca="false">IF(ISNUMBER(SEARCH("%", A3189)),RIGHT(A3189,3),A3189)</f>
        <v>19, 26, MAGIKARP</v>
      </c>
      <c r="C3189" s="2" t="s">
        <v>1349</v>
      </c>
    </row>
    <row r="3190" customFormat="false" ht="12.75" hidden="false" customHeight="true" outlineLevel="0" collapsed="false">
      <c r="A3190" s="3" t="s">
        <v>3352</v>
      </c>
      <c r="B3190" s="3" t="str">
        <f aca="false">IF(ISNUMBER(SEARCH("%", A3190)),RIGHT(A3190,3),A3190)</f>
        <v>19, 26, GYARADOS</v>
      </c>
      <c r="C3190" s="2" t="s">
        <v>3352</v>
      </c>
    </row>
    <row r="3191" customFormat="false" ht="12.75" hidden="false" customHeight="true" outlineLevel="0" collapsed="false">
      <c r="A3191" s="3"/>
      <c r="B3191" s="3" t="n">
        <f aca="false">IF(ISNUMBER(SEARCH("%", A3191)),RIGHT(A3191,3),A3191)</f>
        <v>0</v>
      </c>
      <c r="C3191" s="2"/>
    </row>
    <row r="3192" customFormat="false" ht="12.75" hidden="false" customHeight="true" outlineLevel="0" collapsed="false">
      <c r="A3192" s="3" t="s">
        <v>2846</v>
      </c>
      <c r="B3192" s="3" t="str">
        <f aca="false">IF(ISNUMBER(SEARCH("%", A3192)),RIGHT(A3192,3),A3192)</f>
        <v>good rod:</v>
      </c>
      <c r="C3192" s="2" t="s">
        <v>2846</v>
      </c>
    </row>
    <row r="3193" customFormat="false" ht="12.75" hidden="false" customHeight="true" outlineLevel="0" collapsed="false">
      <c r="A3193" s="3" t="s">
        <v>3430</v>
      </c>
      <c r="B3193" s="3" t="str">
        <f aca="false">IF(ISNUMBER(SEARCH("%", A3193)),RIGHT(A3193,3),A3193)</f>
        <v>29, 33, HORSEA</v>
      </c>
      <c r="C3193" s="2" t="s">
        <v>3430</v>
      </c>
    </row>
    <row r="3194" customFormat="false" ht="12.75" hidden="false" customHeight="true" outlineLevel="0" collapsed="false">
      <c r="A3194" s="3" t="s">
        <v>3027</v>
      </c>
      <c r="B3194" s="3" t="str">
        <f aca="false">IF(ISNUMBER(SEARCH("%", A3194)),RIGHT(A3194,3),A3194)</f>
        <v>30, 35, KRABBY</v>
      </c>
      <c r="C3194" s="2" t="s">
        <v>3027</v>
      </c>
    </row>
    <row r="3195" customFormat="false" ht="12.75" hidden="false" customHeight="true" outlineLevel="0" collapsed="false">
      <c r="A3195" s="3" t="s">
        <v>3451</v>
      </c>
      <c r="B3195" s="3" t="str">
        <f aca="false">IF(ISNUMBER(SEARCH("%", A3195)),RIGHT(A3195,3),A3195)</f>
        <v>30, 35, STARYU</v>
      </c>
      <c r="C3195" s="2" t="s">
        <v>3451</v>
      </c>
    </row>
    <row r="3196" customFormat="false" ht="12.75" hidden="false" customHeight="true" outlineLevel="0" collapsed="false">
      <c r="A3196" s="3"/>
      <c r="B3196" s="3" t="n">
        <f aca="false">IF(ISNUMBER(SEARCH("%", A3196)),RIGHT(A3196,3),A3196)</f>
        <v>0</v>
      </c>
      <c r="C3196" s="2"/>
    </row>
    <row r="3197" customFormat="false" ht="12.75" hidden="false" customHeight="true" outlineLevel="0" collapsed="false">
      <c r="A3197" s="3" t="s">
        <v>2850</v>
      </c>
      <c r="B3197" s="3" t="str">
        <f aca="false">IF(ISNUMBER(SEARCH("%", A3197)),RIGHT(A3197,3),A3197)</f>
        <v>super rod:</v>
      </c>
      <c r="C3197" s="2" t="s">
        <v>2850</v>
      </c>
    </row>
    <row r="3198" customFormat="false" ht="12.75" hidden="false" customHeight="true" outlineLevel="0" collapsed="false">
      <c r="A3198" s="3" t="s">
        <v>3432</v>
      </c>
      <c r="B3198" s="3" t="str">
        <f aca="false">IF(ISNUMBER(SEARCH("%", A3198)),RIGHT(A3198,3),A3198)</f>
        <v>36, 40, SEADRA</v>
      </c>
      <c r="C3198" s="2" t="s">
        <v>3432</v>
      </c>
    </row>
    <row r="3199" customFormat="false" ht="12.75" hidden="false" customHeight="true" outlineLevel="0" collapsed="false">
      <c r="A3199" s="3" t="s">
        <v>3356</v>
      </c>
      <c r="B3199" s="3" t="str">
        <f aca="false">IF(ISNUMBER(SEARCH("%", A3199)),RIGHT(A3199,3),A3199)</f>
        <v>36, 40, GYARADOS</v>
      </c>
      <c r="C3199" s="2" t="s">
        <v>3356</v>
      </c>
    </row>
    <row r="3200" customFormat="false" ht="12.75" hidden="false" customHeight="true" outlineLevel="0" collapsed="false">
      <c r="A3200" s="3" t="s">
        <v>3452</v>
      </c>
      <c r="B3200" s="3" t="str">
        <f aca="false">IF(ISNUMBER(SEARCH("%", A3200)),RIGHT(A3200,3),A3200)</f>
        <v>38, 42, STARMIE</v>
      </c>
      <c r="C3200" s="2" t="s">
        <v>3452</v>
      </c>
    </row>
    <row r="3201" customFormat="false" ht="12.75" hidden="false" customHeight="true" outlineLevel="0" collapsed="false">
      <c r="A3201" s="3" t="s">
        <v>3358</v>
      </c>
      <c r="B3201" s="3" t="str">
        <f aca="false">IF(ISNUMBER(SEARCH("%", A3201)),RIGHT(A3201,3),A3201)</f>
        <v>38, 42, KINGLER</v>
      </c>
      <c r="C3201" s="2" t="s">
        <v>3358</v>
      </c>
    </row>
    <row r="3202" customFormat="false" ht="12.75" hidden="false" customHeight="true" outlineLevel="0" collapsed="false">
      <c r="A3202" s="3" t="s">
        <v>3610</v>
      </c>
      <c r="B3202" s="3" t="str">
        <f aca="false">IF(ISNUMBER(SEARCH("%", A3202)),RIGHT(A3202,3),A3202)</f>
        <v>40, 44, STARUS</v>
      </c>
      <c r="C3202" s="2" t="s">
        <v>3610</v>
      </c>
    </row>
    <row r="3203" customFormat="false" ht="12.75" hidden="false" customHeight="true" outlineLevel="0" collapsed="false">
      <c r="A3203" s="3" t="s">
        <v>2536</v>
      </c>
      <c r="B3203" s="3" t="str">
        <f aca="false">IF(ISNUMBER(SEARCH("%", A3203)),RIGHT(A3203,3),A3203)</f>
        <v>NEW ROUTE</v>
      </c>
      <c r="C3203" s="2" t="s">
        <v>2536</v>
      </c>
    </row>
    <row r="3204" customFormat="false" ht="12.75" hidden="false" customHeight="true" outlineLevel="0" collapsed="false">
      <c r="A3204" s="3" t="s">
        <v>3611</v>
      </c>
      <c r="B3204" s="3" t="str">
        <f aca="false">IF(ISNUMBER(SEARCH("%", A3204)),RIGHT(A3204,3),A3204)</f>
        <v>3, 1, 0, &lt;null&gt;,</v>
      </c>
      <c r="C3204" s="2" t="s">
        <v>3611</v>
      </c>
    </row>
    <row r="3205" customFormat="false" ht="12.75" hidden="false" customHeight="true" outlineLevel="0" collapsed="false">
      <c r="A3205" s="3"/>
      <c r="B3205" s="3" t="n">
        <f aca="false">IF(ISNUMBER(SEARCH("%", A3205)),RIGHT(A3205,3),A3205)</f>
        <v>0</v>
      </c>
      <c r="C3205" s="2"/>
    </row>
    <row r="3206" customFormat="false" ht="12.75" hidden="false" customHeight="true" outlineLevel="0" collapsed="false">
      <c r="A3206" s="3" t="s">
        <v>3612</v>
      </c>
      <c r="B3206" s="3" t="str">
        <f aca="false">IF(ISNUMBER(SEARCH("%", A3206)),RIGHT(A3206,3),A3206)</f>
        <v>1, 38, 42, PSYDUCK</v>
      </c>
      <c r="C3206" s="2" t="s">
        <v>3612</v>
      </c>
    </row>
    <row r="3207" customFormat="false" ht="12.75" hidden="false" customHeight="true" outlineLevel="0" collapsed="false">
      <c r="A3207" s="3" t="s">
        <v>3374</v>
      </c>
      <c r="B3207" s="3" t="str">
        <f aca="false">IF(ISNUMBER(SEARCH("%", A3207)),RIGHT(A3207,3),A3207)</f>
        <v>40, 44, SLOWPOKE</v>
      </c>
      <c r="C3207" s="2" t="s">
        <v>3374</v>
      </c>
    </row>
    <row r="3208" customFormat="false" ht="12.75" hidden="false" customHeight="true" outlineLevel="0" collapsed="false">
      <c r="A3208" s="3" t="s">
        <v>2923</v>
      </c>
      <c r="B3208" s="3" t="str">
        <f aca="false">IF(ISNUMBER(SEARCH("%", A3208)),RIGHT(A3208,3),A3208)</f>
        <v>42, 46, GOLDUCK</v>
      </c>
      <c r="C3208" s="2" t="s">
        <v>2923</v>
      </c>
    </row>
    <row r="3209" customFormat="false" ht="12.75" hidden="false" customHeight="true" outlineLevel="0" collapsed="false">
      <c r="A3209" s="3" t="s">
        <v>2922</v>
      </c>
      <c r="B3209" s="3" t="str">
        <f aca="false">IF(ISNUMBER(SEARCH("%", A3209)),RIGHT(A3209,3),A3209)</f>
        <v>42, 46, SLOWBRO</v>
      </c>
      <c r="C3209" s="2" t="s">
        <v>2922</v>
      </c>
    </row>
    <row r="3210" customFormat="false" ht="12.75" hidden="false" customHeight="true" outlineLevel="0" collapsed="false">
      <c r="A3210" s="3" t="s">
        <v>3613</v>
      </c>
      <c r="B3210" s="3" t="str">
        <f aca="false">IF(ISNUMBER(SEARCH("%", A3210)),RIGHT(A3210,3),A3210)</f>
        <v>44, 48, GILDUCK</v>
      </c>
      <c r="C3210" s="2" t="s">
        <v>3613</v>
      </c>
    </row>
    <row r="3211" customFormat="false" ht="12.75" hidden="false" customHeight="true" outlineLevel="0" collapsed="false">
      <c r="A3211" s="3" t="s">
        <v>2845</v>
      </c>
      <c r="B3211" s="3" t="str">
        <f aca="false">IF(ISNUMBER(SEARCH("%", A3211)),RIGHT(A3211,3),A3211)</f>
        <v>10, old rod:</v>
      </c>
      <c r="C3211" s="2" t="s">
        <v>2845</v>
      </c>
    </row>
    <row r="3212" customFormat="false" ht="12.75" hidden="false" customHeight="true" outlineLevel="0" collapsed="false">
      <c r="A3212" s="3" t="s">
        <v>1349</v>
      </c>
      <c r="B3212" s="3" t="str">
        <f aca="false">IF(ISNUMBER(SEARCH("%", A3212)),RIGHT(A3212,3),A3212)</f>
        <v>19, 26, MAGIKARP</v>
      </c>
      <c r="C3212" s="2" t="s">
        <v>1349</v>
      </c>
    </row>
    <row r="3213" customFormat="false" ht="12.75" hidden="false" customHeight="true" outlineLevel="0" collapsed="false">
      <c r="A3213" s="3" t="s">
        <v>2926</v>
      </c>
      <c r="B3213" s="3" t="str">
        <f aca="false">IF(ISNUMBER(SEARCH("%", A3213)),RIGHT(A3213,3),A3213)</f>
        <v>19, 26, POLIWAG</v>
      </c>
      <c r="C3213" s="2" t="s">
        <v>2926</v>
      </c>
    </row>
    <row r="3214" customFormat="false" ht="12.75" hidden="false" customHeight="true" outlineLevel="0" collapsed="false">
      <c r="A3214" s="3"/>
      <c r="B3214" s="3" t="n">
        <f aca="false">IF(ISNUMBER(SEARCH("%", A3214)),RIGHT(A3214,3),A3214)</f>
        <v>0</v>
      </c>
      <c r="C3214" s="2"/>
    </row>
    <row r="3215" customFormat="false" ht="12.75" hidden="false" customHeight="true" outlineLevel="0" collapsed="false">
      <c r="A3215" s="3" t="s">
        <v>2846</v>
      </c>
      <c r="B3215" s="3" t="str">
        <f aca="false">IF(ISNUMBER(SEARCH("%", A3215)),RIGHT(A3215,3),A3215)</f>
        <v>good rod:</v>
      </c>
      <c r="C3215" s="2" t="s">
        <v>2846</v>
      </c>
    </row>
    <row r="3216" customFormat="false" ht="12.75" hidden="false" customHeight="true" outlineLevel="0" collapsed="false">
      <c r="A3216" s="3" t="s">
        <v>3559</v>
      </c>
      <c r="B3216" s="3" t="str">
        <f aca="false">IF(ISNUMBER(SEARCH("%", A3216)),RIGHT(A3216,3),A3216)</f>
        <v>29, 33, MAGIKARP</v>
      </c>
      <c r="C3216" s="2" t="s">
        <v>3559</v>
      </c>
    </row>
    <row r="3217" customFormat="false" ht="12.75" hidden="false" customHeight="true" outlineLevel="0" collapsed="false">
      <c r="A3217" s="3" t="s">
        <v>3560</v>
      </c>
      <c r="B3217" s="3" t="str">
        <f aca="false">IF(ISNUMBER(SEARCH("%", A3217)),RIGHT(A3217,3),A3217)</f>
        <v>30, 35, GYARADOS</v>
      </c>
      <c r="C3217" s="2" t="s">
        <v>3560</v>
      </c>
    </row>
    <row r="3218" customFormat="false" ht="12.75" hidden="false" customHeight="true" outlineLevel="0" collapsed="false">
      <c r="A3218" s="3" t="s">
        <v>3561</v>
      </c>
      <c r="B3218" s="3" t="str">
        <f aca="false">IF(ISNUMBER(SEARCH("%", A3218)),RIGHT(A3218,3),A3218)</f>
        <v>30, 35, POLIWHIRL</v>
      </c>
      <c r="C3218" s="2" t="s">
        <v>3561</v>
      </c>
    </row>
    <row r="3219" customFormat="false" ht="12.75" hidden="false" customHeight="true" outlineLevel="0" collapsed="false">
      <c r="A3219" s="3"/>
      <c r="B3219" s="3" t="n">
        <f aca="false">IF(ISNUMBER(SEARCH("%", A3219)),RIGHT(A3219,3),A3219)</f>
        <v>0</v>
      </c>
      <c r="C3219" s="2"/>
    </row>
    <row r="3220" customFormat="false" ht="12.75" hidden="false" customHeight="true" outlineLevel="0" collapsed="false">
      <c r="A3220" s="3" t="s">
        <v>2850</v>
      </c>
      <c r="B3220" s="3" t="str">
        <f aca="false">IF(ISNUMBER(SEARCH("%", A3220)),RIGHT(A3220,3),A3220)</f>
        <v>super rod:</v>
      </c>
      <c r="C3220" s="2" t="s">
        <v>2850</v>
      </c>
    </row>
    <row r="3221" customFormat="false" ht="12.75" hidden="false" customHeight="true" outlineLevel="0" collapsed="false">
      <c r="A3221" s="3" t="s">
        <v>3562</v>
      </c>
      <c r="B3221" s="3" t="str">
        <f aca="false">IF(ISNUMBER(SEARCH("%", A3221)),RIGHT(A3221,3),A3221)</f>
        <v>36, 40, MAGIKARP</v>
      </c>
      <c r="C3221" s="2" t="s">
        <v>3562</v>
      </c>
    </row>
    <row r="3222" customFormat="false" ht="12.75" hidden="false" customHeight="true" outlineLevel="0" collapsed="false">
      <c r="A3222" s="3" t="s">
        <v>3356</v>
      </c>
      <c r="B3222" s="3" t="str">
        <f aca="false">IF(ISNUMBER(SEARCH("%", A3222)),RIGHT(A3222,3),A3222)</f>
        <v>36, 40, GYARADOS</v>
      </c>
      <c r="C3222" s="2" t="s">
        <v>3356</v>
      </c>
    </row>
    <row r="3223" customFormat="false" ht="12.75" hidden="false" customHeight="true" outlineLevel="0" collapsed="false">
      <c r="A3223" s="3" t="s">
        <v>3563</v>
      </c>
      <c r="B3223" s="3" t="str">
        <f aca="false">IF(ISNUMBER(SEARCH("%", A3223)),RIGHT(A3223,3),A3223)</f>
        <v>38, 42, POLIWHIRL</v>
      </c>
      <c r="C3223" s="2" t="s">
        <v>3563</v>
      </c>
    </row>
    <row r="3224" customFormat="false" ht="12.75" hidden="false" customHeight="true" outlineLevel="0" collapsed="false">
      <c r="A3224" s="3" t="s">
        <v>3378</v>
      </c>
      <c r="B3224" s="3" t="str">
        <f aca="false">IF(ISNUMBER(SEARCH("%", A3224)),RIGHT(A3224,3),A3224)</f>
        <v>38, 42, POLIWRATH</v>
      </c>
      <c r="C3224" s="2" t="s">
        <v>3378</v>
      </c>
    </row>
    <row r="3225" customFormat="false" ht="12.75" hidden="false" customHeight="true" outlineLevel="0" collapsed="false">
      <c r="A3225" s="3" t="s">
        <v>3379</v>
      </c>
      <c r="B3225" s="3" t="str">
        <f aca="false">IF(ISNUMBER(SEARCH("%", A3225)),RIGHT(A3225,3),A3225)</f>
        <v>40, 44, POLITOES</v>
      </c>
      <c r="C3225" s="2" t="s">
        <v>3379</v>
      </c>
    </row>
    <row r="3226" customFormat="false" ht="12.75" hidden="false" customHeight="true" outlineLevel="0" collapsed="false">
      <c r="A3226" s="3" t="s">
        <v>2536</v>
      </c>
      <c r="B3226" s="3" t="str">
        <f aca="false">IF(ISNUMBER(SEARCH("%", A3226)),RIGHT(A3226,3),A3226)</f>
        <v>NEW ROUTE</v>
      </c>
      <c r="C3226" s="2" t="s">
        <v>2536</v>
      </c>
    </row>
    <row r="3227" customFormat="false" ht="12.75" hidden="false" customHeight="true" outlineLevel="0" collapsed="false">
      <c r="A3227" s="3" t="s">
        <v>3614</v>
      </c>
      <c r="B3227" s="3" t="str">
        <f aca="false">IF(ISNUMBER(SEARCH("%", A3227)),RIGHT(A3227,3),A3227)</f>
        <v>3, 3, 0, &lt;null&gt;,</v>
      </c>
      <c r="C3227" s="2" t="s">
        <v>3614</v>
      </c>
    </row>
    <row r="3228" customFormat="false" ht="12.75" hidden="false" customHeight="true" outlineLevel="0" collapsed="false">
      <c r="A3228" s="3"/>
      <c r="B3228" s="3" t="n">
        <f aca="false">IF(ISNUMBER(SEARCH("%", A3228)),RIGHT(A3228,3),A3228)</f>
        <v>0</v>
      </c>
      <c r="C3228" s="2"/>
    </row>
    <row r="3229" customFormat="false" ht="12.75" hidden="false" customHeight="true" outlineLevel="0" collapsed="false">
      <c r="A3229" s="3" t="s">
        <v>3609</v>
      </c>
      <c r="B3229" s="3" t="str">
        <f aca="false">IF(ISNUMBER(SEARCH("%", A3229)),RIGHT(A3229,3),A3229)</f>
        <v>1, 38, 42, TENTACOOL</v>
      </c>
      <c r="C3229" s="2" t="s">
        <v>3609</v>
      </c>
    </row>
    <row r="3230" customFormat="false" ht="12.75" hidden="false" customHeight="true" outlineLevel="0" collapsed="false">
      <c r="A3230" s="3" t="s">
        <v>3350</v>
      </c>
      <c r="B3230" s="3" t="str">
        <f aca="false">IF(ISNUMBER(SEARCH("%", A3230)),RIGHT(A3230,3),A3230)</f>
        <v>40, 44, PSYDUCK</v>
      </c>
      <c r="C3230" s="2" t="s">
        <v>3350</v>
      </c>
    </row>
    <row r="3231" customFormat="false" ht="12.75" hidden="false" customHeight="true" outlineLevel="0" collapsed="false">
      <c r="A3231" s="3" t="s">
        <v>3351</v>
      </c>
      <c r="B3231" s="3" t="str">
        <f aca="false">IF(ISNUMBER(SEARCH("%", A3231)),RIGHT(A3231,3),A3231)</f>
        <v>42, 46, TENTACRUEL</v>
      </c>
      <c r="C3231" s="2" t="s">
        <v>3351</v>
      </c>
    </row>
    <row r="3232" customFormat="false" ht="12.75" hidden="false" customHeight="true" outlineLevel="0" collapsed="false">
      <c r="A3232" s="3" t="s">
        <v>2923</v>
      </c>
      <c r="B3232" s="3" t="str">
        <f aca="false">IF(ISNUMBER(SEARCH("%", A3232)),RIGHT(A3232,3),A3232)</f>
        <v>42, 46, GOLDUCK</v>
      </c>
      <c r="C3232" s="2" t="s">
        <v>2923</v>
      </c>
    </row>
    <row r="3233" customFormat="false" ht="12.75" hidden="false" customHeight="true" outlineLevel="0" collapsed="false">
      <c r="A3233" s="3" t="s">
        <v>2924</v>
      </c>
      <c r="B3233" s="3" t="str">
        <f aca="false">IF(ISNUMBER(SEARCH("%", A3233)),RIGHT(A3233,3),A3233)</f>
        <v>44, 48, VAPOREON</v>
      </c>
      <c r="C3233" s="2" t="s">
        <v>2924</v>
      </c>
    </row>
    <row r="3234" customFormat="false" ht="12.75" hidden="false" customHeight="true" outlineLevel="0" collapsed="false">
      <c r="A3234" s="3" t="s">
        <v>2845</v>
      </c>
      <c r="B3234" s="3" t="str">
        <f aca="false">IF(ISNUMBER(SEARCH("%", A3234)),RIGHT(A3234,3),A3234)</f>
        <v>10, old rod:</v>
      </c>
      <c r="C3234" s="2" t="s">
        <v>2845</v>
      </c>
    </row>
    <row r="3235" customFormat="false" ht="12.75" hidden="false" customHeight="true" outlineLevel="0" collapsed="false">
      <c r="A3235" s="3" t="s">
        <v>1349</v>
      </c>
      <c r="B3235" s="3" t="str">
        <f aca="false">IF(ISNUMBER(SEARCH("%", A3235)),RIGHT(A3235,3),A3235)</f>
        <v>19, 26, MAGIKARP</v>
      </c>
      <c r="C3235" s="2" t="s">
        <v>1349</v>
      </c>
    </row>
    <row r="3236" customFormat="false" ht="12.75" hidden="false" customHeight="true" outlineLevel="0" collapsed="false">
      <c r="A3236" s="3" t="s">
        <v>3352</v>
      </c>
      <c r="B3236" s="3" t="str">
        <f aca="false">IF(ISNUMBER(SEARCH("%", A3236)),RIGHT(A3236,3),A3236)</f>
        <v>19, 26, GYARADOS</v>
      </c>
      <c r="C3236" s="2" t="s">
        <v>3352</v>
      </c>
    </row>
    <row r="3237" customFormat="false" ht="12.75" hidden="false" customHeight="true" outlineLevel="0" collapsed="false">
      <c r="A3237" s="3"/>
      <c r="B3237" s="3" t="n">
        <f aca="false">IF(ISNUMBER(SEARCH("%", A3237)),RIGHT(A3237,3),A3237)</f>
        <v>0</v>
      </c>
      <c r="C3237" s="2"/>
    </row>
    <row r="3238" customFormat="false" ht="12.75" hidden="false" customHeight="true" outlineLevel="0" collapsed="false">
      <c r="A3238" s="3" t="s">
        <v>2846</v>
      </c>
      <c r="B3238" s="3" t="str">
        <f aca="false">IF(ISNUMBER(SEARCH("%", A3238)),RIGHT(A3238,3),A3238)</f>
        <v>good rod:</v>
      </c>
      <c r="C3238" s="2" t="s">
        <v>2846</v>
      </c>
    </row>
    <row r="3239" customFormat="false" ht="12.75" hidden="false" customHeight="true" outlineLevel="0" collapsed="false">
      <c r="A3239" s="3" t="s">
        <v>3353</v>
      </c>
      <c r="B3239" s="3" t="str">
        <f aca="false">IF(ISNUMBER(SEARCH("%", A3239)),RIGHT(A3239,3),A3239)</f>
        <v>29, 33, SLOWPOKE</v>
      </c>
      <c r="C3239" s="2" t="s">
        <v>3353</v>
      </c>
    </row>
    <row r="3240" customFormat="false" ht="12.75" hidden="false" customHeight="true" outlineLevel="0" collapsed="false">
      <c r="A3240" s="3" t="s">
        <v>3027</v>
      </c>
      <c r="B3240" s="3" t="str">
        <f aca="false">IF(ISNUMBER(SEARCH("%", A3240)),RIGHT(A3240,3),A3240)</f>
        <v>30, 35, KRABBY</v>
      </c>
      <c r="C3240" s="2" t="s">
        <v>3027</v>
      </c>
    </row>
    <row r="3241" customFormat="false" ht="12.75" hidden="false" customHeight="true" outlineLevel="0" collapsed="false">
      <c r="A3241" s="3" t="s">
        <v>3354</v>
      </c>
      <c r="B3241" s="3" t="str">
        <f aca="false">IF(ISNUMBER(SEARCH("%", A3241)),RIGHT(A3241,3),A3241)</f>
        <v>30, 35, PSYDUCK</v>
      </c>
      <c r="C3241" s="2" t="s">
        <v>3354</v>
      </c>
    </row>
    <row r="3242" customFormat="false" ht="12.75" hidden="false" customHeight="true" outlineLevel="0" collapsed="false">
      <c r="A3242" s="3"/>
      <c r="B3242" s="3" t="n">
        <f aca="false">IF(ISNUMBER(SEARCH("%", A3242)),RIGHT(A3242,3),A3242)</f>
        <v>0</v>
      </c>
      <c r="C3242" s="2"/>
    </row>
    <row r="3243" customFormat="false" ht="12.75" hidden="false" customHeight="true" outlineLevel="0" collapsed="false">
      <c r="A3243" s="3" t="s">
        <v>2850</v>
      </c>
      <c r="B3243" s="3" t="str">
        <f aca="false">IF(ISNUMBER(SEARCH("%", A3243)),RIGHT(A3243,3),A3243)</f>
        <v>super rod:</v>
      </c>
      <c r="C3243" s="2" t="s">
        <v>2850</v>
      </c>
    </row>
    <row r="3244" customFormat="false" ht="12.75" hidden="false" customHeight="true" outlineLevel="0" collapsed="false">
      <c r="A3244" s="3" t="s">
        <v>3355</v>
      </c>
      <c r="B3244" s="3" t="str">
        <f aca="false">IF(ISNUMBER(SEARCH("%", A3244)),RIGHT(A3244,3),A3244)</f>
        <v>36, 40, SLOWBRO</v>
      </c>
      <c r="C3244" s="2" t="s">
        <v>3355</v>
      </c>
    </row>
    <row r="3245" customFormat="false" ht="12.75" hidden="false" customHeight="true" outlineLevel="0" collapsed="false">
      <c r="A3245" s="3" t="s">
        <v>3356</v>
      </c>
      <c r="B3245" s="3" t="str">
        <f aca="false">IF(ISNUMBER(SEARCH("%", A3245)),RIGHT(A3245,3),A3245)</f>
        <v>36, 40, GYARADOS</v>
      </c>
      <c r="C3245" s="2" t="s">
        <v>3356</v>
      </c>
    </row>
    <row r="3246" customFormat="false" ht="12.75" hidden="false" customHeight="true" outlineLevel="0" collapsed="false">
      <c r="A3246" s="3" t="s">
        <v>3357</v>
      </c>
      <c r="B3246" s="3" t="str">
        <f aca="false">IF(ISNUMBER(SEARCH("%", A3246)),RIGHT(A3246,3),A3246)</f>
        <v>38, 42, GOLDUCK</v>
      </c>
      <c r="C3246" s="2" t="s">
        <v>3357</v>
      </c>
    </row>
    <row r="3247" customFormat="false" ht="12.75" hidden="false" customHeight="true" outlineLevel="0" collapsed="false">
      <c r="A3247" s="3" t="s">
        <v>3358</v>
      </c>
      <c r="B3247" s="3" t="str">
        <f aca="false">IF(ISNUMBER(SEARCH("%", A3247)),RIGHT(A3247,3),A3247)</f>
        <v>38, 42, KINGLER</v>
      </c>
      <c r="C3247" s="2" t="s">
        <v>3358</v>
      </c>
    </row>
    <row r="3248" customFormat="false" ht="12.75" hidden="false" customHeight="true" outlineLevel="0" collapsed="false">
      <c r="A3248" s="3" t="s">
        <v>3359</v>
      </c>
      <c r="B3248" s="3" t="str">
        <f aca="false">IF(ISNUMBER(SEARCH("%", A3248)),RIGHT(A3248,3),A3248)</f>
        <v>40, 44, SLOWMATE</v>
      </c>
      <c r="C3248" s="2" t="s">
        <v>3359</v>
      </c>
    </row>
    <row r="3249" customFormat="false" ht="12.75" hidden="false" customHeight="true" outlineLevel="0" collapsed="false">
      <c r="A3249" s="3" t="s">
        <v>2536</v>
      </c>
      <c r="B3249" s="3" t="str">
        <f aca="false">IF(ISNUMBER(SEARCH("%", A3249)),RIGHT(A3249,3),A3249)</f>
        <v>NEW ROUTE</v>
      </c>
      <c r="C3249" s="2" t="s">
        <v>2536</v>
      </c>
    </row>
    <row r="3250" customFormat="false" ht="12.75" hidden="false" customHeight="true" outlineLevel="0" collapsed="false">
      <c r="A3250" s="3" t="s">
        <v>3615</v>
      </c>
      <c r="B3250" s="3" t="str">
        <f aca="false">IF(ISNUMBER(SEARCH("%", A3250)),RIGHT(A3250,3),A3250)</f>
        <v>3, 5, 0, &lt;null&gt;,</v>
      </c>
      <c r="C3250" s="2" t="s">
        <v>3615</v>
      </c>
    </row>
    <row r="3251" customFormat="false" ht="12.75" hidden="false" customHeight="true" outlineLevel="0" collapsed="false">
      <c r="A3251" s="3"/>
      <c r="B3251" s="3" t="n">
        <f aca="false">IF(ISNUMBER(SEARCH("%", A3251)),RIGHT(A3251,3),A3251)</f>
        <v>0</v>
      </c>
      <c r="C3251" s="2"/>
    </row>
    <row r="3252" customFormat="false" ht="12.75" hidden="false" customHeight="true" outlineLevel="0" collapsed="false">
      <c r="A3252" s="3" t="s">
        <v>3609</v>
      </c>
      <c r="B3252" s="3" t="str">
        <f aca="false">IF(ISNUMBER(SEARCH("%", A3252)),RIGHT(A3252,3),A3252)</f>
        <v>1, 38, 42, TENTACOOL</v>
      </c>
      <c r="C3252" s="2" t="s">
        <v>3609</v>
      </c>
    </row>
    <row r="3253" customFormat="false" ht="12.75" hidden="false" customHeight="true" outlineLevel="0" collapsed="false">
      <c r="A3253" s="3" t="s">
        <v>3428</v>
      </c>
      <c r="B3253" s="3" t="str">
        <f aca="false">IF(ISNUMBER(SEARCH("%", A3253)),RIGHT(A3253,3),A3253)</f>
        <v>40, 44, TENTACRUEL</v>
      </c>
      <c r="C3253" s="2" t="s">
        <v>3428</v>
      </c>
    </row>
    <row r="3254" customFormat="false" ht="12.75" hidden="false" customHeight="true" outlineLevel="0" collapsed="false">
      <c r="A3254" s="3" t="s">
        <v>3024</v>
      </c>
      <c r="B3254" s="3" t="str">
        <f aca="false">IF(ISNUMBER(SEARCH("%", A3254)),RIGHT(A3254,3),A3254)</f>
        <v>42, 46, LAPRAS</v>
      </c>
      <c r="C3254" s="2" t="s">
        <v>3024</v>
      </c>
    </row>
    <row r="3255" customFormat="false" ht="12.75" hidden="false" customHeight="true" outlineLevel="0" collapsed="false">
      <c r="A3255" s="3" t="s">
        <v>3429</v>
      </c>
      <c r="B3255" s="3" t="str">
        <f aca="false">IF(ISNUMBER(SEARCH("%", A3255)),RIGHT(A3255,3),A3255)</f>
        <v>42, 46, TENTACATE</v>
      </c>
      <c r="C3255" s="2" t="s">
        <v>3429</v>
      </c>
    </row>
    <row r="3256" customFormat="false" ht="12.75" hidden="false" customHeight="true" outlineLevel="0" collapsed="false">
      <c r="A3256" s="3" t="s">
        <v>3449</v>
      </c>
      <c r="B3256" s="3" t="str">
        <f aca="false">IF(ISNUMBER(SEARCH("%", A3256)),RIGHT(A3256,3),A3256)</f>
        <v>44, 48, LOCHLASS</v>
      </c>
      <c r="C3256" s="2" t="s">
        <v>3449</v>
      </c>
    </row>
    <row r="3257" customFormat="false" ht="12.75" hidden="false" customHeight="true" outlineLevel="0" collapsed="false">
      <c r="A3257" s="3" t="s">
        <v>2845</v>
      </c>
      <c r="B3257" s="3" t="str">
        <f aca="false">IF(ISNUMBER(SEARCH("%", A3257)),RIGHT(A3257,3),A3257)</f>
        <v>10, old rod:</v>
      </c>
      <c r="C3257" s="2" t="s">
        <v>2845</v>
      </c>
    </row>
    <row r="3258" customFormat="false" ht="12.75" hidden="false" customHeight="true" outlineLevel="0" collapsed="false">
      <c r="A3258" s="3" t="s">
        <v>1349</v>
      </c>
      <c r="B3258" s="3" t="str">
        <f aca="false">IF(ISNUMBER(SEARCH("%", A3258)),RIGHT(A3258,3),A3258)</f>
        <v>19, 26, MAGIKARP</v>
      </c>
      <c r="C3258" s="2" t="s">
        <v>1349</v>
      </c>
    </row>
    <row r="3259" customFormat="false" ht="12.75" hidden="false" customHeight="true" outlineLevel="0" collapsed="false">
      <c r="A3259" s="3" t="s">
        <v>3352</v>
      </c>
      <c r="B3259" s="3" t="str">
        <f aca="false">IF(ISNUMBER(SEARCH("%", A3259)),RIGHT(A3259,3),A3259)</f>
        <v>19, 26, GYARADOS</v>
      </c>
      <c r="C3259" s="2" t="s">
        <v>3352</v>
      </c>
    </row>
    <row r="3260" customFormat="false" ht="12.75" hidden="false" customHeight="true" outlineLevel="0" collapsed="false">
      <c r="A3260" s="3"/>
      <c r="B3260" s="3" t="n">
        <f aca="false">IF(ISNUMBER(SEARCH("%", A3260)),RIGHT(A3260,3),A3260)</f>
        <v>0</v>
      </c>
      <c r="C3260" s="2"/>
    </row>
    <row r="3261" customFormat="false" ht="12.75" hidden="false" customHeight="true" outlineLevel="0" collapsed="false">
      <c r="A3261" s="3" t="s">
        <v>2846</v>
      </c>
      <c r="B3261" s="3" t="str">
        <f aca="false">IF(ISNUMBER(SEARCH("%", A3261)),RIGHT(A3261,3),A3261)</f>
        <v>good rod:</v>
      </c>
      <c r="C3261" s="2" t="s">
        <v>2846</v>
      </c>
    </row>
    <row r="3262" customFormat="false" ht="12.75" hidden="false" customHeight="true" outlineLevel="0" collapsed="false">
      <c r="A3262" s="3" t="s">
        <v>3430</v>
      </c>
      <c r="B3262" s="3" t="str">
        <f aca="false">IF(ISNUMBER(SEARCH("%", A3262)),RIGHT(A3262,3),A3262)</f>
        <v>29, 33, HORSEA</v>
      </c>
      <c r="C3262" s="2" t="s">
        <v>3430</v>
      </c>
    </row>
    <row r="3263" customFormat="false" ht="12.75" hidden="false" customHeight="true" outlineLevel="0" collapsed="false">
      <c r="A3263" s="3" t="s">
        <v>3450</v>
      </c>
      <c r="B3263" s="3" t="str">
        <f aca="false">IF(ISNUMBER(SEARCH("%", A3263)),RIGHT(A3263,3),A3263)</f>
        <v>30, 35, SHELLDER</v>
      </c>
      <c r="C3263" s="2" t="s">
        <v>3450</v>
      </c>
    </row>
    <row r="3264" customFormat="false" ht="12.75" hidden="false" customHeight="true" outlineLevel="0" collapsed="false">
      <c r="A3264" s="3" t="s">
        <v>3451</v>
      </c>
      <c r="B3264" s="3" t="str">
        <f aca="false">IF(ISNUMBER(SEARCH("%", A3264)),RIGHT(A3264,3),A3264)</f>
        <v>30, 35, STARYU</v>
      </c>
      <c r="C3264" s="2" t="s">
        <v>3451</v>
      </c>
    </row>
    <row r="3265" customFormat="false" ht="12.75" hidden="false" customHeight="true" outlineLevel="0" collapsed="false">
      <c r="A3265" s="3"/>
      <c r="B3265" s="3" t="n">
        <f aca="false">IF(ISNUMBER(SEARCH("%", A3265)),RIGHT(A3265,3),A3265)</f>
        <v>0</v>
      </c>
      <c r="C3265" s="2"/>
    </row>
    <row r="3266" customFormat="false" ht="12.75" hidden="false" customHeight="true" outlineLevel="0" collapsed="false">
      <c r="A3266" s="3" t="s">
        <v>2850</v>
      </c>
      <c r="B3266" s="3" t="str">
        <f aca="false">IF(ISNUMBER(SEARCH("%", A3266)),RIGHT(A3266,3),A3266)</f>
        <v>super rod:</v>
      </c>
      <c r="C3266" s="2" t="s">
        <v>2850</v>
      </c>
    </row>
    <row r="3267" customFormat="false" ht="12.75" hidden="false" customHeight="true" outlineLevel="0" collapsed="false">
      <c r="A3267" s="3" t="s">
        <v>3026</v>
      </c>
      <c r="B3267" s="3" t="str">
        <f aca="false">IF(ISNUMBER(SEARCH("%", A3267)),RIGHT(A3267,3),A3267)</f>
        <v>29, 33, SEADRA</v>
      </c>
      <c r="C3267" s="2" t="s">
        <v>3026</v>
      </c>
    </row>
    <row r="3268" customFormat="false" ht="12.75" hidden="false" customHeight="true" outlineLevel="0" collapsed="false">
      <c r="A3268" s="3" t="s">
        <v>3356</v>
      </c>
      <c r="B3268" s="3" t="str">
        <f aca="false">IF(ISNUMBER(SEARCH("%", A3268)),RIGHT(A3268,3),A3268)</f>
        <v>36, 40, GYARADOS</v>
      </c>
      <c r="C3268" s="2" t="s">
        <v>3356</v>
      </c>
    </row>
    <row r="3269" customFormat="false" ht="12.75" hidden="false" customHeight="true" outlineLevel="0" collapsed="false">
      <c r="A3269" s="3" t="s">
        <v>3452</v>
      </c>
      <c r="B3269" s="3" t="str">
        <f aca="false">IF(ISNUMBER(SEARCH("%", A3269)),RIGHT(A3269,3),A3269)</f>
        <v>38, 42, STARMIE</v>
      </c>
      <c r="C3269" s="2" t="s">
        <v>3452</v>
      </c>
    </row>
    <row r="3270" customFormat="false" ht="12.75" hidden="false" customHeight="true" outlineLevel="0" collapsed="false">
      <c r="A3270" s="3" t="s">
        <v>3453</v>
      </c>
      <c r="B3270" s="3" t="str">
        <f aca="false">IF(ISNUMBER(SEARCH("%", A3270)),RIGHT(A3270,3),A3270)</f>
        <v>38, 42, CLOYSTER</v>
      </c>
      <c r="C3270" s="2" t="s">
        <v>3453</v>
      </c>
    </row>
    <row r="3271" customFormat="false" ht="12.75" hidden="false" customHeight="true" outlineLevel="0" collapsed="false">
      <c r="A3271" s="3" t="s">
        <v>3454</v>
      </c>
      <c r="B3271" s="3" t="str">
        <f aca="false">IF(ISNUMBER(SEARCH("%", A3271)),RIGHT(A3271,3),A3271)</f>
        <v>38, 42, STARUS</v>
      </c>
      <c r="C3271" s="2" t="s">
        <v>3454</v>
      </c>
    </row>
    <row r="3272" customFormat="false" ht="12.75" hidden="false" customHeight="true" outlineLevel="0" collapsed="false">
      <c r="A3272" s="3" t="s">
        <v>2536</v>
      </c>
      <c r="B3272" s="3" t="str">
        <f aca="false">IF(ISNUMBER(SEARCH("%", A3272)),RIGHT(A3272,3),A3272)</f>
        <v>NEW ROUTE</v>
      </c>
      <c r="C3272" s="2" t="s">
        <v>2536</v>
      </c>
    </row>
    <row r="3273" customFormat="false" ht="12.75" hidden="false" customHeight="true" outlineLevel="0" collapsed="false">
      <c r="A3273" s="3" t="s">
        <v>3616</v>
      </c>
      <c r="B3273" s="3" t="str">
        <f aca="false">IF(ISNUMBER(SEARCH("%", A3273)),RIGHT(A3273,3),A3273)</f>
        <v>3, 6, 0, &lt;null&gt;,</v>
      </c>
      <c r="C3273" s="2" t="s">
        <v>3616</v>
      </c>
    </row>
    <row r="3274" customFormat="false" ht="12.75" hidden="false" customHeight="true" outlineLevel="0" collapsed="false">
      <c r="A3274" s="3"/>
      <c r="B3274" s="3" t="n">
        <f aca="false">IF(ISNUMBER(SEARCH("%", A3274)),RIGHT(A3274,3),A3274)</f>
        <v>0</v>
      </c>
      <c r="C3274" s="2"/>
    </row>
    <row r="3275" customFormat="false" ht="12.75" hidden="false" customHeight="true" outlineLevel="0" collapsed="false">
      <c r="A3275" s="3" t="s">
        <v>3612</v>
      </c>
      <c r="B3275" s="3" t="str">
        <f aca="false">IF(ISNUMBER(SEARCH("%", A3275)),RIGHT(A3275,3),A3275)</f>
        <v>1, 38, 42, PSYDUCK</v>
      </c>
      <c r="C3275" s="2" t="s">
        <v>3612</v>
      </c>
    </row>
    <row r="3276" customFormat="false" ht="12.75" hidden="false" customHeight="true" outlineLevel="0" collapsed="false">
      <c r="A3276" s="3" t="s">
        <v>3374</v>
      </c>
      <c r="B3276" s="3" t="str">
        <f aca="false">IF(ISNUMBER(SEARCH("%", A3276)),RIGHT(A3276,3),A3276)</f>
        <v>40, 44, SLOWPOKE</v>
      </c>
      <c r="C3276" s="2" t="s">
        <v>3374</v>
      </c>
    </row>
    <row r="3277" customFormat="false" ht="12.75" hidden="false" customHeight="true" outlineLevel="0" collapsed="false">
      <c r="A3277" s="3" t="s">
        <v>3617</v>
      </c>
      <c r="B3277" s="3" t="str">
        <f aca="false">IF(ISNUMBER(SEARCH("%", A3277)),RIGHT(A3277,3),A3277)</f>
        <v>42, 46, KOFFING</v>
      </c>
      <c r="C3277" s="2" t="s">
        <v>3617</v>
      </c>
    </row>
    <row r="3278" customFormat="false" ht="12.75" hidden="false" customHeight="true" outlineLevel="0" collapsed="false">
      <c r="A3278" s="3" t="s">
        <v>2923</v>
      </c>
      <c r="B3278" s="3" t="str">
        <f aca="false">IF(ISNUMBER(SEARCH("%", A3278)),RIGHT(A3278,3),A3278)</f>
        <v>42, 46, GOLDUCK</v>
      </c>
      <c r="C3278" s="2" t="s">
        <v>2923</v>
      </c>
    </row>
    <row r="3279" customFormat="false" ht="12.75" hidden="false" customHeight="true" outlineLevel="0" collapsed="false">
      <c r="A3279" s="3" t="s">
        <v>3618</v>
      </c>
      <c r="B3279" s="3" t="str">
        <f aca="false">IF(ISNUMBER(SEARCH("%", A3279)),RIGHT(A3279,3),A3279)</f>
        <v>44, 48, WEEZING</v>
      </c>
      <c r="C3279" s="2" t="s">
        <v>3618</v>
      </c>
    </row>
    <row r="3280" customFormat="false" ht="12.75" hidden="false" customHeight="true" outlineLevel="0" collapsed="false">
      <c r="A3280" s="3" t="s">
        <v>2845</v>
      </c>
      <c r="B3280" s="3" t="str">
        <f aca="false">IF(ISNUMBER(SEARCH("%", A3280)),RIGHT(A3280,3),A3280)</f>
        <v>10, old rod:</v>
      </c>
      <c r="C3280" s="2" t="s">
        <v>2845</v>
      </c>
    </row>
    <row r="3281" customFormat="false" ht="12.75" hidden="false" customHeight="true" outlineLevel="0" collapsed="false">
      <c r="A3281" s="3" t="s">
        <v>1349</v>
      </c>
      <c r="B3281" s="3" t="str">
        <f aca="false">IF(ISNUMBER(SEARCH("%", A3281)),RIGHT(A3281,3),A3281)</f>
        <v>19, 26, MAGIKARP</v>
      </c>
      <c r="C3281" s="2" t="s">
        <v>1349</v>
      </c>
    </row>
    <row r="3282" customFormat="false" ht="12.75" hidden="false" customHeight="true" outlineLevel="0" collapsed="false">
      <c r="A3282" s="3" t="s">
        <v>3619</v>
      </c>
      <c r="B3282" s="3" t="str">
        <f aca="false">IF(ISNUMBER(SEARCH("%", A3282)),RIGHT(A3282,3),A3282)</f>
        <v>19, 26, GRIMER</v>
      </c>
      <c r="C3282" s="2" t="s">
        <v>3619</v>
      </c>
    </row>
    <row r="3283" customFormat="false" ht="12.75" hidden="false" customHeight="true" outlineLevel="0" collapsed="false">
      <c r="A3283" s="3"/>
      <c r="B3283" s="3" t="n">
        <f aca="false">IF(ISNUMBER(SEARCH("%", A3283)),RIGHT(A3283,3),A3283)</f>
        <v>0</v>
      </c>
      <c r="C3283" s="2"/>
    </row>
    <row r="3284" customFormat="false" ht="12.75" hidden="false" customHeight="true" outlineLevel="0" collapsed="false">
      <c r="A3284" s="3" t="s">
        <v>2846</v>
      </c>
      <c r="B3284" s="3" t="str">
        <f aca="false">IF(ISNUMBER(SEARCH("%", A3284)),RIGHT(A3284,3),A3284)</f>
        <v>good rod:</v>
      </c>
      <c r="C3284" s="2" t="s">
        <v>2846</v>
      </c>
    </row>
    <row r="3285" customFormat="false" ht="12.75" hidden="false" customHeight="true" outlineLevel="0" collapsed="false">
      <c r="A3285" s="3" t="s">
        <v>3559</v>
      </c>
      <c r="B3285" s="3" t="str">
        <f aca="false">IF(ISNUMBER(SEARCH("%", A3285)),RIGHT(A3285,3),A3285)</f>
        <v>29, 33, MAGIKARP</v>
      </c>
      <c r="C3285" s="2" t="s">
        <v>3559</v>
      </c>
    </row>
    <row r="3286" customFormat="false" ht="12.75" hidden="false" customHeight="true" outlineLevel="0" collapsed="false">
      <c r="A3286" s="3" t="s">
        <v>3560</v>
      </c>
      <c r="B3286" s="3" t="str">
        <f aca="false">IF(ISNUMBER(SEARCH("%", A3286)),RIGHT(A3286,3),A3286)</f>
        <v>30, 35, GYARADOS</v>
      </c>
      <c r="C3286" s="2" t="s">
        <v>3560</v>
      </c>
    </row>
    <row r="3287" customFormat="false" ht="12.75" hidden="false" customHeight="true" outlineLevel="0" collapsed="false">
      <c r="A3287" s="3" t="s">
        <v>3620</v>
      </c>
      <c r="B3287" s="3" t="str">
        <f aca="false">IF(ISNUMBER(SEARCH("%", A3287)),RIGHT(A3287,3),A3287)</f>
        <v>30, 35, MUK</v>
      </c>
      <c r="C3287" s="2" t="s">
        <v>3620</v>
      </c>
    </row>
    <row r="3288" customFormat="false" ht="12.75" hidden="false" customHeight="true" outlineLevel="0" collapsed="false">
      <c r="A3288" s="3"/>
      <c r="B3288" s="3" t="n">
        <f aca="false">IF(ISNUMBER(SEARCH("%", A3288)),RIGHT(A3288,3),A3288)</f>
        <v>0</v>
      </c>
      <c r="C3288" s="2"/>
    </row>
    <row r="3289" customFormat="false" ht="12.75" hidden="false" customHeight="true" outlineLevel="0" collapsed="false">
      <c r="A3289" s="3" t="s">
        <v>2850</v>
      </c>
      <c r="B3289" s="3" t="str">
        <f aca="false">IF(ISNUMBER(SEARCH("%", A3289)),RIGHT(A3289,3),A3289)</f>
        <v>super rod:</v>
      </c>
      <c r="C3289" s="2" t="s">
        <v>2850</v>
      </c>
    </row>
    <row r="3290" customFormat="false" ht="12.75" hidden="false" customHeight="true" outlineLevel="0" collapsed="false">
      <c r="A3290" s="3" t="s">
        <v>3356</v>
      </c>
      <c r="B3290" s="3" t="str">
        <f aca="false">IF(ISNUMBER(SEARCH("%", A3290)),RIGHT(A3290,3),A3290)</f>
        <v>36, 40, GYARADOS</v>
      </c>
      <c r="C3290" s="2" t="s">
        <v>3356</v>
      </c>
    </row>
    <row r="3291" customFormat="false" ht="12.75" hidden="false" customHeight="true" outlineLevel="0" collapsed="false">
      <c r="A3291" s="3" t="s">
        <v>3621</v>
      </c>
      <c r="B3291" s="3" t="str">
        <f aca="false">IF(ISNUMBER(SEARCH("%", A3291)),RIGHT(A3291,3),A3291)</f>
        <v>36, 40, MUK</v>
      </c>
      <c r="C3291" s="2" t="s">
        <v>3621</v>
      </c>
    </row>
    <row r="3292" customFormat="false" ht="12.75" hidden="false" customHeight="true" outlineLevel="0" collapsed="false">
      <c r="A3292" s="3" t="s">
        <v>3622</v>
      </c>
      <c r="B3292" s="3" t="str">
        <f aca="false">IF(ISNUMBER(SEARCH("%", A3292)),RIGHT(A3292,3),A3292)</f>
        <v>41, 41, GYARADOS</v>
      </c>
      <c r="C3292" s="2" t="s">
        <v>3622</v>
      </c>
    </row>
    <row r="3293" customFormat="false" ht="12.75" hidden="false" customHeight="true" outlineLevel="0" collapsed="false">
      <c r="A3293" s="3" t="s">
        <v>3623</v>
      </c>
      <c r="B3293" s="3" t="str">
        <f aca="false">IF(ISNUMBER(SEARCH("%", A3293)),RIGHT(A3293,3),A3293)</f>
        <v>38, 42, HYDRADOS</v>
      </c>
      <c r="C3293" s="2" t="s">
        <v>3623</v>
      </c>
    </row>
    <row r="3294" customFormat="false" ht="12.75" hidden="false" customHeight="true" outlineLevel="0" collapsed="false">
      <c r="A3294" s="3" t="s">
        <v>3624</v>
      </c>
      <c r="B3294" s="3" t="str">
        <f aca="false">IF(ISNUMBER(SEARCH("%", A3294)),RIGHT(A3294,3),A3294)</f>
        <v>40, 44, GUNK</v>
      </c>
      <c r="C3294" s="2" t="s">
        <v>3624</v>
      </c>
    </row>
    <row r="3295" customFormat="false" ht="12.75" hidden="false" customHeight="true" outlineLevel="0" collapsed="false">
      <c r="A3295" s="3" t="s">
        <v>2536</v>
      </c>
      <c r="B3295" s="3" t="str">
        <f aca="false">IF(ISNUMBER(SEARCH("%", A3295)),RIGHT(A3295,3),A3295)</f>
        <v>NEW ROUTE</v>
      </c>
      <c r="C3295" s="2" t="s">
        <v>2536</v>
      </c>
    </row>
    <row r="3296" customFormat="false" ht="12.75" hidden="false" customHeight="true" outlineLevel="0" collapsed="false">
      <c r="A3296" s="3" t="s">
        <v>3625</v>
      </c>
      <c r="B3296" s="3" t="str">
        <f aca="false">IF(ISNUMBER(SEARCH("%", A3296)),RIGHT(A3296,3),A3296)</f>
        <v>3, 7, 0, &lt;null&gt;,</v>
      </c>
      <c r="C3296" s="2" t="s">
        <v>3625</v>
      </c>
    </row>
    <row r="3297" customFormat="false" ht="12.75" hidden="false" customHeight="true" outlineLevel="0" collapsed="false">
      <c r="A3297" s="3"/>
      <c r="B3297" s="3" t="n">
        <f aca="false">IF(ISNUMBER(SEARCH("%", A3297)),RIGHT(A3297,3),A3297)</f>
        <v>0</v>
      </c>
      <c r="C3297" s="2"/>
    </row>
    <row r="3298" customFormat="false" ht="12.75" hidden="false" customHeight="true" outlineLevel="0" collapsed="false">
      <c r="A3298" s="3" t="s">
        <v>3609</v>
      </c>
      <c r="B3298" s="3" t="str">
        <f aca="false">IF(ISNUMBER(SEARCH("%", A3298)),RIGHT(A3298,3),A3298)</f>
        <v>1, 38, 42, TENTACOOL</v>
      </c>
      <c r="C3298" s="2" t="s">
        <v>3609</v>
      </c>
    </row>
    <row r="3299" customFormat="false" ht="12.75" hidden="false" customHeight="true" outlineLevel="0" collapsed="false">
      <c r="A3299" s="3" t="s">
        <v>3350</v>
      </c>
      <c r="B3299" s="3" t="str">
        <f aca="false">IF(ISNUMBER(SEARCH("%", A3299)),RIGHT(A3299,3),A3299)</f>
        <v>40, 44, PSYDUCK</v>
      </c>
      <c r="C3299" s="2" t="s">
        <v>3350</v>
      </c>
    </row>
    <row r="3300" customFormat="false" ht="12.75" hidden="false" customHeight="true" outlineLevel="0" collapsed="false">
      <c r="A3300" s="3" t="s">
        <v>3351</v>
      </c>
      <c r="B3300" s="3" t="str">
        <f aca="false">IF(ISNUMBER(SEARCH("%", A3300)),RIGHT(A3300,3),A3300)</f>
        <v>42, 46, TENTACRUEL</v>
      </c>
      <c r="C3300" s="2" t="s">
        <v>3351</v>
      </c>
    </row>
    <row r="3301" customFormat="false" ht="12.75" hidden="false" customHeight="true" outlineLevel="0" collapsed="false">
      <c r="A3301" s="3" t="s">
        <v>2923</v>
      </c>
      <c r="B3301" s="3" t="str">
        <f aca="false">IF(ISNUMBER(SEARCH("%", A3301)),RIGHT(A3301,3),A3301)</f>
        <v>42, 46, GOLDUCK</v>
      </c>
      <c r="C3301" s="2" t="s">
        <v>2923</v>
      </c>
    </row>
    <row r="3302" customFormat="false" ht="12.75" hidden="false" customHeight="true" outlineLevel="0" collapsed="false">
      <c r="A3302" s="3" t="s">
        <v>2924</v>
      </c>
      <c r="B3302" s="3" t="str">
        <f aca="false">IF(ISNUMBER(SEARCH("%", A3302)),RIGHT(A3302,3),A3302)</f>
        <v>44, 48, VAPOREON</v>
      </c>
      <c r="C3302" s="2" t="s">
        <v>2924</v>
      </c>
    </row>
    <row r="3303" customFormat="false" ht="12.75" hidden="false" customHeight="true" outlineLevel="0" collapsed="false">
      <c r="A3303" s="3" t="s">
        <v>2845</v>
      </c>
      <c r="B3303" s="3" t="str">
        <f aca="false">IF(ISNUMBER(SEARCH("%", A3303)),RIGHT(A3303,3),A3303)</f>
        <v>10, old rod:</v>
      </c>
      <c r="C3303" s="2" t="s">
        <v>2845</v>
      </c>
    </row>
    <row r="3304" customFormat="false" ht="12.75" hidden="false" customHeight="true" outlineLevel="0" collapsed="false">
      <c r="A3304" s="3" t="s">
        <v>2114</v>
      </c>
      <c r="B3304" s="3" t="str">
        <f aca="false">IF(ISNUMBER(SEARCH("%", A3304)),RIGHT(A3304,3),A3304)</f>
        <v>19, 26, SEEL</v>
      </c>
      <c r="C3304" s="2" t="s">
        <v>2114</v>
      </c>
    </row>
    <row r="3305" customFormat="false" ht="12.75" hidden="false" customHeight="true" outlineLevel="0" collapsed="false">
      <c r="A3305" s="3" t="s">
        <v>2926</v>
      </c>
      <c r="B3305" s="3" t="str">
        <f aca="false">IF(ISNUMBER(SEARCH("%", A3305)),RIGHT(A3305,3),A3305)</f>
        <v>19, 26, POLIWAG</v>
      </c>
      <c r="C3305" s="2" t="s">
        <v>2926</v>
      </c>
    </row>
    <row r="3306" customFormat="false" ht="12.75" hidden="false" customHeight="true" outlineLevel="0" collapsed="false">
      <c r="A3306" s="3"/>
      <c r="B3306" s="3" t="n">
        <f aca="false">IF(ISNUMBER(SEARCH("%", A3306)),RIGHT(A3306,3),A3306)</f>
        <v>0</v>
      </c>
      <c r="C3306" s="2"/>
    </row>
    <row r="3307" customFormat="false" ht="12.75" hidden="false" customHeight="true" outlineLevel="0" collapsed="false">
      <c r="A3307" s="3" t="s">
        <v>2846</v>
      </c>
      <c r="B3307" s="3" t="str">
        <f aca="false">IF(ISNUMBER(SEARCH("%", A3307)),RIGHT(A3307,3),A3307)</f>
        <v>good rod:</v>
      </c>
      <c r="C3307" s="2" t="s">
        <v>2846</v>
      </c>
    </row>
    <row r="3308" customFormat="false" ht="12.75" hidden="false" customHeight="true" outlineLevel="0" collapsed="false">
      <c r="A3308" s="3" t="s">
        <v>3626</v>
      </c>
      <c r="B3308" s="3" t="str">
        <f aca="false">IF(ISNUMBER(SEARCH("%", A3308)),RIGHT(A3308,3),A3308)</f>
        <v>29, 33, SEEL</v>
      </c>
      <c r="C3308" s="2" t="s">
        <v>3626</v>
      </c>
    </row>
    <row r="3309" customFormat="false" ht="12.75" hidden="false" customHeight="true" outlineLevel="0" collapsed="false">
      <c r="A3309" s="3" t="s">
        <v>2928</v>
      </c>
      <c r="B3309" s="3" t="str">
        <f aca="false">IF(ISNUMBER(SEARCH("%", A3309)),RIGHT(A3309,3),A3309)</f>
        <v>30, 35, POLIWAG</v>
      </c>
      <c r="C3309" s="2" t="s">
        <v>2928</v>
      </c>
    </row>
    <row r="3310" customFormat="false" ht="12.75" hidden="false" customHeight="true" outlineLevel="0" collapsed="false">
      <c r="A3310" s="3" t="s">
        <v>2929</v>
      </c>
      <c r="B3310" s="3" t="str">
        <f aca="false">IF(ISNUMBER(SEARCH("%", A3310)),RIGHT(A3310,3),A3310)</f>
        <v>30, 35, GOLDEEN</v>
      </c>
      <c r="C3310" s="2" t="s">
        <v>2929</v>
      </c>
    </row>
    <row r="3311" customFormat="false" ht="12.75" hidden="false" customHeight="true" outlineLevel="0" collapsed="false">
      <c r="A3311" s="3"/>
      <c r="B3311" s="3" t="n">
        <f aca="false">IF(ISNUMBER(SEARCH("%", A3311)),RIGHT(A3311,3),A3311)</f>
        <v>0</v>
      </c>
      <c r="C3311" s="2"/>
    </row>
    <row r="3312" customFormat="false" ht="12.75" hidden="false" customHeight="true" outlineLevel="0" collapsed="false">
      <c r="A3312" s="3" t="s">
        <v>2850</v>
      </c>
      <c r="B3312" s="3" t="str">
        <f aca="false">IF(ISNUMBER(SEARCH("%", A3312)),RIGHT(A3312,3),A3312)</f>
        <v>super rod:</v>
      </c>
      <c r="C3312" s="2" t="s">
        <v>2850</v>
      </c>
    </row>
    <row r="3313" customFormat="false" ht="12.75" hidden="false" customHeight="true" outlineLevel="0" collapsed="false">
      <c r="A3313" s="3" t="s">
        <v>2930</v>
      </c>
      <c r="B3313" s="3" t="str">
        <f aca="false">IF(ISNUMBER(SEARCH("%", A3313)),RIGHT(A3313,3),A3313)</f>
        <v>36, 40, POLIWHIRL</v>
      </c>
      <c r="C3313" s="2" t="s">
        <v>2930</v>
      </c>
    </row>
    <row r="3314" customFormat="false" ht="12.75" hidden="false" customHeight="true" outlineLevel="0" collapsed="false">
      <c r="A3314" s="3" t="s">
        <v>3627</v>
      </c>
      <c r="B3314" s="3" t="str">
        <f aca="false">IF(ISNUMBER(SEARCH("%", A3314)),RIGHT(A3314,3),A3314)</f>
        <v>36, 40, DEWGONG</v>
      </c>
      <c r="C3314" s="2" t="s">
        <v>3627</v>
      </c>
    </row>
    <row r="3315" customFormat="false" ht="12.75" hidden="false" customHeight="true" outlineLevel="0" collapsed="false">
      <c r="A3315" s="3" t="s">
        <v>3628</v>
      </c>
      <c r="B3315" s="3" t="str">
        <f aca="false">IF(ISNUMBER(SEARCH("%", A3315)),RIGHT(A3315,3),A3315)</f>
        <v>38, 42, SEAKING</v>
      </c>
      <c r="C3315" s="2" t="s">
        <v>3628</v>
      </c>
    </row>
    <row r="3316" customFormat="false" ht="12.75" hidden="false" customHeight="true" outlineLevel="0" collapsed="false">
      <c r="A3316" s="3" t="s">
        <v>3378</v>
      </c>
      <c r="B3316" s="3" t="str">
        <f aca="false">IF(ISNUMBER(SEARCH("%", A3316)),RIGHT(A3316,3),A3316)</f>
        <v>38, 42, POLIWRATH</v>
      </c>
      <c r="C3316" s="2" t="s">
        <v>3378</v>
      </c>
    </row>
    <row r="3317" customFormat="false" ht="12.75" hidden="false" customHeight="true" outlineLevel="0" collapsed="false">
      <c r="A3317" s="3" t="s">
        <v>3629</v>
      </c>
      <c r="B3317" s="3" t="str">
        <f aca="false">IF(ISNUMBER(SEARCH("%", A3317)),RIGHT(A3317,3),A3317)</f>
        <v>40, 44, SEAREX</v>
      </c>
      <c r="C3317" s="2" t="s">
        <v>3629</v>
      </c>
    </row>
    <row r="3318" customFormat="false" ht="12.75" hidden="false" customHeight="true" outlineLevel="0" collapsed="false">
      <c r="A3318" s="3" t="s">
        <v>2536</v>
      </c>
      <c r="B3318" s="3" t="str">
        <f aca="false">IF(ISNUMBER(SEARCH("%", A3318)),RIGHT(A3318,3),A3318)</f>
        <v>NEW ROUTE</v>
      </c>
      <c r="C3318" s="2" t="s">
        <v>2536</v>
      </c>
    </row>
    <row r="3319" customFormat="false" ht="12.75" hidden="false" customHeight="true" outlineLevel="0" collapsed="false">
      <c r="A3319" s="3" t="s">
        <v>3630</v>
      </c>
      <c r="B3319" s="3" t="str">
        <f aca="false">IF(ISNUMBER(SEARCH("%", A3319)),RIGHT(A3319,3),A3319)</f>
        <v>3, 8, 0, &lt;null&gt;,</v>
      </c>
      <c r="C3319" s="2" t="s">
        <v>3630</v>
      </c>
    </row>
    <row r="3320" customFormat="false" ht="12.75" hidden="false" customHeight="true" outlineLevel="0" collapsed="false">
      <c r="A3320" s="3"/>
      <c r="B3320" s="3" t="n">
        <f aca="false">IF(ISNUMBER(SEARCH("%", A3320)),RIGHT(A3320,3),A3320)</f>
        <v>0</v>
      </c>
      <c r="C3320" s="2"/>
    </row>
    <row r="3321" customFormat="false" ht="12.75" hidden="false" customHeight="true" outlineLevel="0" collapsed="false">
      <c r="A3321" s="3" t="s">
        <v>3631</v>
      </c>
      <c r="B3321" s="3" t="str">
        <f aca="false">IF(ISNUMBER(SEARCH("%", A3321)),RIGHT(A3321,3),A3321)</f>
        <v>1, 40, 44, DEWGONG</v>
      </c>
      <c r="C3321" s="2" t="s">
        <v>3631</v>
      </c>
    </row>
    <row r="3322" customFormat="false" ht="12.75" hidden="false" customHeight="true" outlineLevel="0" collapsed="false">
      <c r="A3322" s="3" t="s">
        <v>3024</v>
      </c>
      <c r="B3322" s="3" t="str">
        <f aca="false">IF(ISNUMBER(SEARCH("%", A3322)),RIGHT(A3322,3),A3322)</f>
        <v>42, 46, LAPRAS</v>
      </c>
      <c r="C3322" s="2" t="s">
        <v>3024</v>
      </c>
    </row>
    <row r="3323" customFormat="false" ht="12.75" hidden="false" customHeight="true" outlineLevel="0" collapsed="false">
      <c r="A3323" s="3" t="s">
        <v>3013</v>
      </c>
      <c r="B3323" s="3" t="str">
        <f aca="false">IF(ISNUMBER(SEARCH("%", A3323)),RIGHT(A3323,3),A3323)</f>
        <v>44, 47, PRECIPED</v>
      </c>
      <c r="C3323" s="2" t="s">
        <v>3013</v>
      </c>
    </row>
    <row r="3324" customFormat="false" ht="12.75" hidden="false" customHeight="true" outlineLevel="0" collapsed="false">
      <c r="A3324" s="3" t="s">
        <v>3632</v>
      </c>
      <c r="B3324" s="3" t="str">
        <f aca="false">IF(ISNUMBER(SEARCH("%", A3324)),RIGHT(A3324,3),A3324)</f>
        <v>44, 47, TENTACATE</v>
      </c>
      <c r="C3324" s="2" t="s">
        <v>3632</v>
      </c>
    </row>
    <row r="3325" customFormat="false" ht="12.75" hidden="false" customHeight="true" outlineLevel="0" collapsed="false">
      <c r="A3325" s="3" t="s">
        <v>3633</v>
      </c>
      <c r="B3325" s="3" t="str">
        <f aca="false">IF(ISNUMBER(SEARCH("%", A3325)),RIGHT(A3325,3),A3325)</f>
        <v>45, 50, LOCHLASS</v>
      </c>
      <c r="C3325" s="2" t="s">
        <v>3633</v>
      </c>
    </row>
    <row r="3326" customFormat="false" ht="12.75" hidden="false" customHeight="true" outlineLevel="0" collapsed="false">
      <c r="A3326" s="3" t="s">
        <v>2845</v>
      </c>
      <c r="B3326" s="3" t="str">
        <f aca="false">IF(ISNUMBER(SEARCH("%", A3326)),RIGHT(A3326,3),A3326)</f>
        <v>10, old rod:</v>
      </c>
      <c r="C3326" s="2" t="s">
        <v>2845</v>
      </c>
    </row>
    <row r="3327" customFormat="false" ht="12.75" hidden="false" customHeight="true" outlineLevel="0" collapsed="false">
      <c r="A3327" s="3" t="s">
        <v>2122</v>
      </c>
      <c r="B3327" s="3" t="str">
        <f aca="false">IF(ISNUMBER(SEARCH("%", A3327)),RIGHT(A3327,3),A3327)</f>
        <v>24, 30, HORSEA</v>
      </c>
      <c r="C3327" s="2" t="s">
        <v>2122</v>
      </c>
    </row>
    <row r="3328" customFormat="false" ht="12.75" hidden="false" customHeight="true" outlineLevel="0" collapsed="false">
      <c r="A3328" s="3" t="s">
        <v>3634</v>
      </c>
      <c r="B3328" s="3" t="str">
        <f aca="false">IF(ISNUMBER(SEARCH("%", A3328)),RIGHT(A3328,3),A3328)</f>
        <v>24, 30, SHELLDER</v>
      </c>
      <c r="C3328" s="2" t="s">
        <v>3634</v>
      </c>
    </row>
    <row r="3329" customFormat="false" ht="12.75" hidden="false" customHeight="true" outlineLevel="0" collapsed="false">
      <c r="A3329" s="3"/>
      <c r="B3329" s="3" t="n">
        <f aca="false">IF(ISNUMBER(SEARCH("%", A3329)),RIGHT(A3329,3),A3329)</f>
        <v>0</v>
      </c>
      <c r="C3329" s="2"/>
    </row>
    <row r="3330" customFormat="false" ht="12.75" hidden="false" customHeight="true" outlineLevel="0" collapsed="false">
      <c r="A3330" s="3" t="s">
        <v>2846</v>
      </c>
      <c r="B3330" s="3" t="str">
        <f aca="false">IF(ISNUMBER(SEARCH("%", A3330)),RIGHT(A3330,3),A3330)</f>
        <v>good rod:</v>
      </c>
      <c r="C3330" s="2" t="s">
        <v>2846</v>
      </c>
    </row>
    <row r="3331" customFormat="false" ht="12.75" hidden="false" customHeight="true" outlineLevel="0" collapsed="false">
      <c r="A3331" s="3" t="s">
        <v>3635</v>
      </c>
      <c r="B3331" s="3" t="str">
        <f aca="false">IF(ISNUMBER(SEARCH("%", A3331)),RIGHT(A3331,3),A3331)</f>
        <v>35, 40, SEADRA</v>
      </c>
      <c r="C3331" s="2" t="s">
        <v>3635</v>
      </c>
    </row>
    <row r="3332" customFormat="false" ht="12.75" hidden="false" customHeight="true" outlineLevel="0" collapsed="false">
      <c r="A3332" s="3" t="s">
        <v>3636</v>
      </c>
      <c r="B3332" s="3" t="str">
        <f aca="false">IF(ISNUMBER(SEARCH("%", A3332)),RIGHT(A3332,3),A3332)</f>
        <v>37, 42, KRABBY</v>
      </c>
      <c r="C3332" s="2" t="s">
        <v>3636</v>
      </c>
    </row>
    <row r="3333" customFormat="false" ht="12.75" hidden="false" customHeight="true" outlineLevel="0" collapsed="false">
      <c r="A3333" s="3" t="s">
        <v>3637</v>
      </c>
      <c r="B3333" s="3" t="str">
        <f aca="false">IF(ISNUMBER(SEARCH("%", A3333)),RIGHT(A3333,3),A3333)</f>
        <v>37, 42, CLOYSTER</v>
      </c>
      <c r="C3333" s="2" t="s">
        <v>3637</v>
      </c>
    </row>
    <row r="3334" customFormat="false" ht="12.75" hidden="false" customHeight="true" outlineLevel="0" collapsed="false">
      <c r="A3334" s="3"/>
      <c r="B3334" s="3" t="n">
        <f aca="false">IF(ISNUMBER(SEARCH("%", A3334)),RIGHT(A3334,3),A3334)</f>
        <v>0</v>
      </c>
      <c r="C3334" s="2"/>
    </row>
    <row r="3335" customFormat="false" ht="12.75" hidden="false" customHeight="true" outlineLevel="0" collapsed="false">
      <c r="A3335" s="3" t="s">
        <v>2850</v>
      </c>
      <c r="B3335" s="3" t="str">
        <f aca="false">IF(ISNUMBER(SEARCH("%", A3335)),RIGHT(A3335,3),A3335)</f>
        <v>super rod:</v>
      </c>
      <c r="C3335" s="2" t="s">
        <v>2850</v>
      </c>
    </row>
    <row r="3336" customFormat="false" ht="12.75" hidden="false" customHeight="true" outlineLevel="0" collapsed="false">
      <c r="A3336" s="3" t="s">
        <v>3638</v>
      </c>
      <c r="B3336" s="3" t="str">
        <f aca="false">IF(ISNUMBER(SEARCH("%", A3336)),RIGHT(A3336,3),A3336)</f>
        <v>39, 45, KINGDRA</v>
      </c>
      <c r="C3336" s="2" t="s">
        <v>3638</v>
      </c>
    </row>
    <row r="3337" customFormat="false" ht="12.75" hidden="false" customHeight="true" outlineLevel="0" collapsed="false">
      <c r="A3337" s="3" t="s">
        <v>3639</v>
      </c>
      <c r="B3337" s="3" t="str">
        <f aca="false">IF(ISNUMBER(SEARCH("%", A3337)),RIGHT(A3337,3),A3337)</f>
        <v>39, 45, KINGLER</v>
      </c>
      <c r="C3337" s="2" t="s">
        <v>3639</v>
      </c>
    </row>
    <row r="3338" customFormat="false" ht="12.75" hidden="false" customHeight="true" outlineLevel="0" collapsed="false">
      <c r="A3338" s="3" t="s">
        <v>3640</v>
      </c>
      <c r="B3338" s="3" t="str">
        <f aca="false">IF(ISNUMBER(SEARCH("%", A3338)),RIGHT(A3338,3),A3338)</f>
        <v>43, 46, AN'ENEMY</v>
      </c>
      <c r="C3338" s="2" t="s">
        <v>3640</v>
      </c>
    </row>
    <row r="3339" customFormat="false" ht="12.75" hidden="false" customHeight="true" outlineLevel="0" collapsed="false">
      <c r="A3339" s="3" t="s">
        <v>3641</v>
      </c>
      <c r="B3339" s="3" t="str">
        <f aca="false">IF(ISNUMBER(SEARCH("%", A3339)),RIGHT(A3339,3),A3339)</f>
        <v>43, 46, KRAKLAW</v>
      </c>
      <c r="C3339" s="2" t="s">
        <v>3641</v>
      </c>
    </row>
    <row r="3340" customFormat="false" ht="12.75" hidden="false" customHeight="true" outlineLevel="0" collapsed="false">
      <c r="A3340" s="3" t="s">
        <v>3642</v>
      </c>
      <c r="B3340" s="3" t="str">
        <f aca="false">IF(ISNUMBER(SEARCH("%", A3340)),RIGHT(A3340,3),A3340)</f>
        <v>45, 52, LORDRA</v>
      </c>
      <c r="C3340" s="2" t="s">
        <v>3642</v>
      </c>
    </row>
    <row r="3341" customFormat="false" ht="12.75" hidden="false" customHeight="true" outlineLevel="0" collapsed="false">
      <c r="A3341" s="3" t="s">
        <v>2536</v>
      </c>
      <c r="B3341" s="3" t="str">
        <f aca="false">IF(ISNUMBER(SEARCH("%", A3341)),RIGHT(A3341,3),A3341)</f>
        <v>NEW ROUTE</v>
      </c>
      <c r="C3341" s="2" t="s">
        <v>2536</v>
      </c>
    </row>
    <row r="3342" customFormat="false" ht="12.75" hidden="false" customHeight="true" outlineLevel="0" collapsed="false">
      <c r="A3342" s="3" t="s">
        <v>3643</v>
      </c>
      <c r="B3342" s="3" t="str">
        <f aca="false">IF(ISNUMBER(SEARCH("%", A3342)),RIGHT(A3342,3),A3342)</f>
        <v>3, 12, 0, &lt;null&gt;,</v>
      </c>
      <c r="C3342" s="2" t="s">
        <v>3643</v>
      </c>
    </row>
    <row r="3343" customFormat="false" ht="12.75" hidden="false" customHeight="true" outlineLevel="0" collapsed="false">
      <c r="A3343" s="3"/>
      <c r="B3343" s="3" t="n">
        <f aca="false">IF(ISNUMBER(SEARCH("%", A3343)),RIGHT(A3343,3),A3343)</f>
        <v>0</v>
      </c>
      <c r="C3343" s="2"/>
    </row>
    <row r="3344" customFormat="false" ht="12.75" hidden="false" customHeight="true" outlineLevel="0" collapsed="false">
      <c r="A3344" s="3" t="s">
        <v>3644</v>
      </c>
      <c r="B3344" s="3" t="str">
        <f aca="false">IF(ISNUMBER(SEARCH("%", A3344)),RIGHT(A3344,3),A3344)</f>
        <v>1, 5, 20, TENTACOOL</v>
      </c>
      <c r="C3344" s="2" t="s">
        <v>3644</v>
      </c>
    </row>
    <row r="3345" customFormat="false" ht="12.75" hidden="false" customHeight="true" outlineLevel="0" collapsed="false">
      <c r="A3345" s="3" t="s">
        <v>3173</v>
      </c>
      <c r="B3345" s="3" t="str">
        <f aca="false">IF(ISNUMBER(SEARCH("%", A3345)),RIGHT(A3345,3),A3345)</f>
        <v>20, 35, TENTACOOL</v>
      </c>
      <c r="C3345" s="2" t="s">
        <v>3173</v>
      </c>
    </row>
    <row r="3346" customFormat="false" ht="12.75" hidden="false" customHeight="true" outlineLevel="0" collapsed="false">
      <c r="A3346" s="3" t="s">
        <v>2844</v>
      </c>
      <c r="B3346" s="3" t="str">
        <f aca="false">IF(ISNUMBER(SEARCH("%", A3346)),RIGHT(A3346,3),A3346)</f>
        <v>35, 40, TENTACOOL</v>
      </c>
      <c r="C3346" s="2" t="s">
        <v>2844</v>
      </c>
    </row>
    <row r="3347" customFormat="false" ht="12.75" hidden="false" customHeight="true" outlineLevel="0" collapsed="false">
      <c r="A3347" s="3" t="s">
        <v>3231</v>
      </c>
      <c r="B3347" s="3" t="str">
        <f aca="false">IF(ISNUMBER(SEARCH("%", A3347)),RIGHT(A3347,3),A3347)</f>
        <v>35, 40, TENTACRUEL</v>
      </c>
      <c r="C3347" s="2" t="s">
        <v>3231</v>
      </c>
    </row>
    <row r="3348" customFormat="false" ht="12.75" hidden="false" customHeight="true" outlineLevel="0" collapsed="false">
      <c r="A3348" s="3" t="s">
        <v>3231</v>
      </c>
      <c r="B3348" s="3" t="str">
        <f aca="false">IF(ISNUMBER(SEARCH("%", A3348)),RIGHT(A3348,3),A3348)</f>
        <v>35, 40, TENTACRUEL</v>
      </c>
      <c r="C3348" s="2" t="s">
        <v>3231</v>
      </c>
    </row>
    <row r="3349" customFormat="false" ht="12.75" hidden="false" customHeight="true" outlineLevel="0" collapsed="false">
      <c r="A3349" s="3" t="s">
        <v>2845</v>
      </c>
      <c r="B3349" s="3" t="str">
        <f aca="false">IF(ISNUMBER(SEARCH("%", A3349)),RIGHT(A3349,3),A3349)</f>
        <v>10, old rod:</v>
      </c>
      <c r="C3349" s="2" t="s">
        <v>2845</v>
      </c>
    </row>
    <row r="3350" customFormat="false" ht="12.75" hidden="false" customHeight="true" outlineLevel="0" collapsed="false">
      <c r="A3350" s="3" t="s">
        <v>1266</v>
      </c>
      <c r="B3350" s="3" t="str">
        <f aca="false">IF(ISNUMBER(SEARCH("%", A3350)),RIGHT(A3350,3),A3350)</f>
        <v>5, 5, MAGIKARP</v>
      </c>
      <c r="C3350" s="2" t="s">
        <v>1266</v>
      </c>
    </row>
    <row r="3351" customFormat="false" ht="12.75" hidden="false" customHeight="true" outlineLevel="0" collapsed="false">
      <c r="A3351" s="3" t="s">
        <v>1266</v>
      </c>
      <c r="B3351" s="3" t="str">
        <f aca="false">IF(ISNUMBER(SEARCH("%", A3351)),RIGHT(A3351,3),A3351)</f>
        <v>5, 5, MAGIKARP</v>
      </c>
      <c r="C3351" s="2" t="s">
        <v>1266</v>
      </c>
    </row>
    <row r="3352" customFormat="false" ht="12.75" hidden="false" customHeight="true" outlineLevel="0" collapsed="false">
      <c r="A3352" s="3"/>
      <c r="B3352" s="3" t="n">
        <f aca="false">IF(ISNUMBER(SEARCH("%", A3352)),RIGHT(A3352,3),A3352)</f>
        <v>0</v>
      </c>
      <c r="C3352" s="2"/>
    </row>
    <row r="3353" customFormat="false" ht="12.75" hidden="false" customHeight="true" outlineLevel="0" collapsed="false">
      <c r="A3353" s="3" t="s">
        <v>2846</v>
      </c>
      <c r="B3353" s="3" t="str">
        <f aca="false">IF(ISNUMBER(SEARCH("%", A3353)),RIGHT(A3353,3),A3353)</f>
        <v>good rod:</v>
      </c>
      <c r="C3353" s="2" t="s">
        <v>2846</v>
      </c>
    </row>
    <row r="3354" customFormat="false" ht="12.75" hidden="false" customHeight="true" outlineLevel="0" collapsed="false">
      <c r="A3354" s="3" t="s">
        <v>2847</v>
      </c>
      <c r="B3354" s="3" t="str">
        <f aca="false">IF(ISNUMBER(SEARCH("%", A3354)),RIGHT(A3354,3),A3354)</f>
        <v>5, 15, KRABBY</v>
      </c>
      <c r="C3354" s="2" t="s">
        <v>2847</v>
      </c>
    </row>
    <row r="3355" customFormat="false" ht="12.75" hidden="false" customHeight="true" outlineLevel="0" collapsed="false">
      <c r="A3355" s="3" t="s">
        <v>2848</v>
      </c>
      <c r="B3355" s="3" t="str">
        <f aca="false">IF(ISNUMBER(SEARCH("%", A3355)),RIGHT(A3355,3),A3355)</f>
        <v>5, 15, MAGIKARP</v>
      </c>
      <c r="C3355" s="2" t="s">
        <v>2848</v>
      </c>
    </row>
    <row r="3356" customFormat="false" ht="12.75" hidden="false" customHeight="true" outlineLevel="0" collapsed="false">
      <c r="A3356" s="3" t="s">
        <v>2847</v>
      </c>
      <c r="B3356" s="3" t="str">
        <f aca="false">IF(ISNUMBER(SEARCH("%", A3356)),RIGHT(A3356,3),A3356)</f>
        <v>5, 15, KRABBY</v>
      </c>
      <c r="C3356" s="2" t="s">
        <v>2847</v>
      </c>
    </row>
    <row r="3357" customFormat="false" ht="12.75" hidden="false" customHeight="true" outlineLevel="0" collapsed="false">
      <c r="A3357" s="3"/>
      <c r="B3357" s="3" t="n">
        <f aca="false">IF(ISNUMBER(SEARCH("%", A3357)),RIGHT(A3357,3),A3357)</f>
        <v>0</v>
      </c>
      <c r="C3357" s="2"/>
    </row>
    <row r="3358" customFormat="false" ht="12.75" hidden="false" customHeight="true" outlineLevel="0" collapsed="false">
      <c r="A3358" s="3" t="s">
        <v>2850</v>
      </c>
      <c r="B3358" s="3" t="str">
        <f aca="false">IF(ISNUMBER(SEARCH("%", A3358)),RIGHT(A3358,3),A3358)</f>
        <v>super rod:</v>
      </c>
      <c r="C3358" s="2" t="s">
        <v>2850</v>
      </c>
    </row>
    <row r="3359" customFormat="false" ht="12.75" hidden="false" customHeight="true" outlineLevel="0" collapsed="false">
      <c r="A3359" s="3" t="s">
        <v>2851</v>
      </c>
      <c r="B3359" s="3" t="str">
        <f aca="false">IF(ISNUMBER(SEARCH("%", A3359)),RIGHT(A3359,3),A3359)</f>
        <v>15, 25, KRABBY</v>
      </c>
      <c r="C3359" s="2" t="s">
        <v>2851</v>
      </c>
    </row>
    <row r="3360" customFormat="false" ht="12.75" hidden="false" customHeight="true" outlineLevel="0" collapsed="false">
      <c r="A3360" s="3" t="s">
        <v>2852</v>
      </c>
      <c r="B3360" s="3" t="str">
        <f aca="false">IF(ISNUMBER(SEARCH("%", A3360)),RIGHT(A3360,3),A3360)</f>
        <v>15, 25, STARYU</v>
      </c>
      <c r="C3360" s="2" t="s">
        <v>2852</v>
      </c>
    </row>
    <row r="3361" customFormat="false" ht="12.75" hidden="false" customHeight="true" outlineLevel="0" collapsed="false">
      <c r="A3361" s="3" t="s">
        <v>2853</v>
      </c>
      <c r="B3361" s="3" t="str">
        <f aca="false">IF(ISNUMBER(SEARCH("%", A3361)),RIGHT(A3361,3),A3361)</f>
        <v>15, 25, GYARADOS</v>
      </c>
      <c r="C3361" s="2" t="s">
        <v>2853</v>
      </c>
    </row>
    <row r="3362" customFormat="false" ht="12.75" hidden="false" customHeight="true" outlineLevel="0" collapsed="false">
      <c r="A3362" s="3" t="s">
        <v>3177</v>
      </c>
      <c r="B3362" s="3" t="str">
        <f aca="false">IF(ISNUMBER(SEARCH("%", A3362)),RIGHT(A3362,3),A3362)</f>
        <v>25, 35, KINGLER</v>
      </c>
      <c r="C3362" s="2" t="s">
        <v>3177</v>
      </c>
    </row>
    <row r="3363" customFormat="false" ht="12.75" hidden="false" customHeight="true" outlineLevel="0" collapsed="false">
      <c r="A3363" s="3" t="s">
        <v>2855</v>
      </c>
      <c r="B3363" s="3" t="str">
        <f aca="false">IF(ISNUMBER(SEARCH("%", A3363)),RIGHT(A3363,3),A3363)</f>
        <v>25, 35, SLOWPOKE</v>
      </c>
      <c r="C3363" s="2" t="s">
        <v>2855</v>
      </c>
    </row>
    <row r="3364" customFormat="false" ht="12.75" hidden="false" customHeight="true" outlineLevel="0" collapsed="false">
      <c r="A3364" s="3" t="s">
        <v>2536</v>
      </c>
      <c r="B3364" s="3" t="str">
        <f aca="false">IF(ISNUMBER(SEARCH("%", A3364)),RIGHT(A3364,3),A3364)</f>
        <v>NEW ROUTE</v>
      </c>
      <c r="C3364" s="2" t="s">
        <v>2536</v>
      </c>
    </row>
    <row r="3365" customFormat="false" ht="12.75" hidden="false" customHeight="true" outlineLevel="0" collapsed="false">
      <c r="A3365" s="3" t="s">
        <v>3645</v>
      </c>
      <c r="B3365" s="3" t="str">
        <f aca="false">IF(ISNUMBER(SEARCH("%", A3365)),RIGHT(A3365,3),A3365)</f>
        <v>3, 15, 0, &lt;null&gt;,</v>
      </c>
      <c r="C3365" s="2" t="s">
        <v>3645</v>
      </c>
    </row>
    <row r="3366" customFormat="false" ht="12.75" hidden="false" customHeight="true" outlineLevel="0" collapsed="false">
      <c r="A3366" s="3"/>
      <c r="B3366" s="3" t="n">
        <f aca="false">IF(ISNUMBER(SEARCH("%", A3366)),RIGHT(A3366,3),A3366)</f>
        <v>0</v>
      </c>
      <c r="C3366" s="2"/>
    </row>
    <row r="3367" customFormat="false" ht="12.75" hidden="false" customHeight="true" outlineLevel="0" collapsed="false">
      <c r="A3367" s="3" t="s">
        <v>3646</v>
      </c>
      <c r="B3367" s="3" t="str">
        <f aca="false">IF(ISNUMBER(SEARCH("%", A3367)),RIGHT(A3367,3),A3367)</f>
        <v>2, 5, 15, MARILL</v>
      </c>
      <c r="C3367" s="2" t="s">
        <v>3646</v>
      </c>
    </row>
    <row r="3368" customFormat="false" ht="12.75" hidden="false" customHeight="true" outlineLevel="0" collapsed="false">
      <c r="A3368" s="3" t="s">
        <v>3158</v>
      </c>
      <c r="B3368" s="3" t="str">
        <f aca="false">IF(ISNUMBER(SEARCH("%", A3368)),RIGHT(A3368,3),A3368)</f>
        <v>5, 35, SLOWPOKE</v>
      </c>
      <c r="C3368" s="2" t="s">
        <v>3158</v>
      </c>
    </row>
    <row r="3369" customFormat="false" ht="12.75" hidden="false" customHeight="true" outlineLevel="0" collapsed="false">
      <c r="A3369" s="3" t="s">
        <v>3293</v>
      </c>
      <c r="B3369" s="3" t="str">
        <f aca="false">IF(ISNUMBER(SEARCH("%", A3369)),RIGHT(A3369,3),A3369)</f>
        <v>15, 25, MARILL</v>
      </c>
      <c r="C3369" s="2" t="s">
        <v>3293</v>
      </c>
    </row>
    <row r="3370" customFormat="false" ht="12.75" hidden="false" customHeight="true" outlineLevel="0" collapsed="false">
      <c r="A3370" s="3" t="s">
        <v>3293</v>
      </c>
      <c r="B3370" s="3" t="str">
        <f aca="false">IF(ISNUMBER(SEARCH("%", A3370)),RIGHT(A3370,3),A3370)</f>
        <v>15, 25, MARILL</v>
      </c>
      <c r="C3370" s="2" t="s">
        <v>3293</v>
      </c>
    </row>
    <row r="3371" customFormat="false" ht="12.75" hidden="false" customHeight="true" outlineLevel="0" collapsed="false">
      <c r="A3371" s="3" t="s">
        <v>3293</v>
      </c>
      <c r="B3371" s="3" t="str">
        <f aca="false">IF(ISNUMBER(SEARCH("%", A3371)),RIGHT(A3371,3),A3371)</f>
        <v>15, 25, MARILL</v>
      </c>
      <c r="C3371" s="2" t="s">
        <v>3293</v>
      </c>
    </row>
    <row r="3372" customFormat="false" ht="12.75" hidden="false" customHeight="true" outlineLevel="0" collapsed="false">
      <c r="A3372" s="3" t="s">
        <v>2925</v>
      </c>
      <c r="B3372" s="3" t="str">
        <f aca="false">IF(ISNUMBER(SEARCH("%", A3372)),RIGHT(A3372,3),A3372)</f>
        <v>20, old rod:</v>
      </c>
      <c r="C3372" s="2" t="s">
        <v>2925</v>
      </c>
    </row>
    <row r="3373" customFormat="false" ht="12.75" hidden="false" customHeight="true" outlineLevel="0" collapsed="false">
      <c r="A3373" s="3" t="s">
        <v>1266</v>
      </c>
      <c r="B3373" s="3" t="str">
        <f aca="false">IF(ISNUMBER(SEARCH("%", A3373)),RIGHT(A3373,3),A3373)</f>
        <v>5, 5, MAGIKARP</v>
      </c>
      <c r="C3373" s="2" t="s">
        <v>1266</v>
      </c>
    </row>
    <row r="3374" customFormat="false" ht="12.75" hidden="false" customHeight="true" outlineLevel="0" collapsed="false">
      <c r="A3374" s="3" t="s">
        <v>1266</v>
      </c>
      <c r="B3374" s="3" t="str">
        <f aca="false">IF(ISNUMBER(SEARCH("%", A3374)),RIGHT(A3374,3),A3374)</f>
        <v>5, 5, MAGIKARP</v>
      </c>
      <c r="C3374" s="2" t="s">
        <v>1266</v>
      </c>
    </row>
    <row r="3375" customFormat="false" ht="12.75" hidden="false" customHeight="true" outlineLevel="0" collapsed="false">
      <c r="A3375" s="3"/>
      <c r="B3375" s="3" t="n">
        <f aca="false">IF(ISNUMBER(SEARCH("%", A3375)),RIGHT(A3375,3),A3375)</f>
        <v>0</v>
      </c>
      <c r="C3375" s="2"/>
    </row>
    <row r="3376" customFormat="false" ht="12.75" hidden="false" customHeight="true" outlineLevel="0" collapsed="false">
      <c r="A3376" s="3" t="s">
        <v>2846</v>
      </c>
      <c r="B3376" s="3" t="str">
        <f aca="false">IF(ISNUMBER(SEARCH("%", A3376)),RIGHT(A3376,3),A3376)</f>
        <v>good rod:</v>
      </c>
      <c r="C3376" s="2" t="s">
        <v>2846</v>
      </c>
    </row>
    <row r="3377" customFormat="false" ht="12.75" hidden="false" customHeight="true" outlineLevel="0" collapsed="false">
      <c r="A3377" s="3" t="s">
        <v>3143</v>
      </c>
      <c r="B3377" s="3" t="str">
        <f aca="false">IF(ISNUMBER(SEARCH("%", A3377)),RIGHT(A3377,3),A3377)</f>
        <v>5, 15, POLIWAG</v>
      </c>
      <c r="C3377" s="2" t="s">
        <v>3143</v>
      </c>
    </row>
    <row r="3378" customFormat="false" ht="12.75" hidden="false" customHeight="true" outlineLevel="0" collapsed="false">
      <c r="A3378" s="3" t="s">
        <v>2848</v>
      </c>
      <c r="B3378" s="3" t="str">
        <f aca="false">IF(ISNUMBER(SEARCH("%", A3378)),RIGHT(A3378,3),A3378)</f>
        <v>5, 15, MAGIKARP</v>
      </c>
      <c r="C3378" s="2" t="s">
        <v>2848</v>
      </c>
    </row>
    <row r="3379" customFormat="false" ht="12.75" hidden="false" customHeight="true" outlineLevel="0" collapsed="false">
      <c r="A3379" s="3" t="s">
        <v>3142</v>
      </c>
      <c r="B3379" s="3" t="str">
        <f aca="false">IF(ISNUMBER(SEARCH("%", A3379)),RIGHT(A3379,3),A3379)</f>
        <v>5, 15, GOLDEEN</v>
      </c>
      <c r="C3379" s="2" t="s">
        <v>3142</v>
      </c>
    </row>
    <row r="3380" customFormat="false" ht="12.75" hidden="false" customHeight="true" outlineLevel="0" collapsed="false">
      <c r="A3380" s="3"/>
      <c r="B3380" s="3" t="n">
        <f aca="false">IF(ISNUMBER(SEARCH("%", A3380)),RIGHT(A3380,3),A3380)</f>
        <v>0</v>
      </c>
      <c r="C3380" s="2"/>
    </row>
    <row r="3381" customFormat="false" ht="12.75" hidden="false" customHeight="true" outlineLevel="0" collapsed="false">
      <c r="A3381" s="3" t="s">
        <v>2850</v>
      </c>
      <c r="B3381" s="3" t="str">
        <f aca="false">IF(ISNUMBER(SEARCH("%", A3381)),RIGHT(A3381,3),A3381)</f>
        <v>super rod:</v>
      </c>
      <c r="C3381" s="2" t="s">
        <v>2850</v>
      </c>
    </row>
    <row r="3382" customFormat="false" ht="12.75" hidden="false" customHeight="true" outlineLevel="0" collapsed="false">
      <c r="A3382" s="3" t="s">
        <v>3161</v>
      </c>
      <c r="B3382" s="3" t="str">
        <f aca="false">IF(ISNUMBER(SEARCH("%", A3382)),RIGHT(A3382,3),A3382)</f>
        <v>15, 25, POLIWAG</v>
      </c>
      <c r="C3382" s="2" t="s">
        <v>3161</v>
      </c>
    </row>
    <row r="3383" customFormat="false" ht="12.75" hidden="false" customHeight="true" outlineLevel="0" collapsed="false">
      <c r="A3383" s="3" t="s">
        <v>3162</v>
      </c>
      <c r="B3383" s="3" t="str">
        <f aca="false">IF(ISNUMBER(SEARCH("%", A3383)),RIGHT(A3383,3),A3383)</f>
        <v>20, 30, POLIWHIRL</v>
      </c>
      <c r="C3383" s="2" t="s">
        <v>3162</v>
      </c>
    </row>
    <row r="3384" customFormat="false" ht="12.75" hidden="false" customHeight="true" outlineLevel="0" collapsed="false">
      <c r="A3384" s="3" t="s">
        <v>2853</v>
      </c>
      <c r="B3384" s="3" t="str">
        <f aca="false">IF(ISNUMBER(SEARCH("%", A3384)),RIGHT(A3384,3),A3384)</f>
        <v>15, 25, GYARADOS</v>
      </c>
      <c r="C3384" s="2" t="s">
        <v>2853</v>
      </c>
    </row>
    <row r="3385" customFormat="false" ht="12.75" hidden="false" customHeight="true" outlineLevel="0" collapsed="false">
      <c r="A3385" s="3" t="s">
        <v>3146</v>
      </c>
      <c r="B3385" s="3" t="str">
        <f aca="false">IF(ISNUMBER(SEARCH("%", A3385)),RIGHT(A3385,3),A3385)</f>
        <v>15, 25, SLOWPOKE</v>
      </c>
      <c r="C3385" s="2" t="s">
        <v>3146</v>
      </c>
    </row>
    <row r="3386" customFormat="false" ht="12.75" hidden="false" customHeight="true" outlineLevel="0" collapsed="false">
      <c r="A3386" s="3" t="s">
        <v>2855</v>
      </c>
      <c r="B3386" s="3" t="str">
        <f aca="false">IF(ISNUMBER(SEARCH("%", A3386)),RIGHT(A3386,3),A3386)</f>
        <v>25, 35, SLOWPOKE</v>
      </c>
      <c r="C3386" s="2" t="s">
        <v>2855</v>
      </c>
    </row>
    <row r="3387" customFormat="false" ht="12.75" hidden="false" customHeight="true" outlineLevel="0" collapsed="false">
      <c r="A3387" s="3" t="s">
        <v>2536</v>
      </c>
      <c r="B3387" s="3" t="str">
        <f aca="false">IF(ISNUMBER(SEARCH("%", A3387)),RIGHT(A3387,3),A3387)</f>
        <v>NEW ROUTE</v>
      </c>
      <c r="C3387" s="2" t="s">
        <v>2536</v>
      </c>
    </row>
    <row r="3388" customFormat="false" ht="12.75" hidden="false" customHeight="true" outlineLevel="0" collapsed="false">
      <c r="A3388" s="3" t="s">
        <v>3647</v>
      </c>
      <c r="B3388" s="3" t="str">
        <f aca="false">IF(ISNUMBER(SEARCH("%", A3388)),RIGHT(A3388,3),A3388)</f>
        <v>3, 16, 0, &lt;null&gt;,</v>
      </c>
      <c r="C3388" s="2" t="s">
        <v>3647</v>
      </c>
    </row>
    <row r="3389" customFormat="false" ht="12.75" hidden="false" customHeight="true" outlineLevel="0" collapsed="false">
      <c r="A3389" s="3"/>
      <c r="B3389" s="3" t="n">
        <f aca="false">IF(ISNUMBER(SEARCH("%", A3389)),RIGHT(A3389,3),A3389)</f>
        <v>0</v>
      </c>
      <c r="C3389" s="2"/>
    </row>
    <row r="3390" customFormat="false" ht="12.75" hidden="false" customHeight="true" outlineLevel="0" collapsed="false">
      <c r="A3390" s="3" t="s">
        <v>3648</v>
      </c>
      <c r="B3390" s="3" t="str">
        <f aca="false">IF(ISNUMBER(SEARCH("%", A3390)),RIGHT(A3390,3),A3390)</f>
        <v>1, 5, 35, TENTACOOL</v>
      </c>
      <c r="C3390" s="2" t="s">
        <v>3648</v>
      </c>
    </row>
    <row r="3391" customFormat="false" ht="12.75" hidden="false" customHeight="true" outlineLevel="0" collapsed="false">
      <c r="A3391" s="3" t="s">
        <v>3257</v>
      </c>
      <c r="B3391" s="3" t="str">
        <f aca="false">IF(ISNUMBER(SEARCH("%", A3391)),RIGHT(A3391,3),A3391)</f>
        <v>5, 15, HOPPIP</v>
      </c>
      <c r="C3391" s="2" t="s">
        <v>3257</v>
      </c>
    </row>
    <row r="3392" customFormat="false" ht="12.75" hidden="false" customHeight="true" outlineLevel="0" collapsed="false">
      <c r="A3392" s="3" t="s">
        <v>2844</v>
      </c>
      <c r="B3392" s="3" t="str">
        <f aca="false">IF(ISNUMBER(SEARCH("%", A3392)),RIGHT(A3392,3),A3392)</f>
        <v>35, 40, TENTACOOL</v>
      </c>
      <c r="C3392" s="2" t="s">
        <v>2844</v>
      </c>
    </row>
    <row r="3393" customFormat="false" ht="12.75" hidden="false" customHeight="true" outlineLevel="0" collapsed="false">
      <c r="A3393" s="3" t="s">
        <v>3231</v>
      </c>
      <c r="B3393" s="3" t="str">
        <f aca="false">IF(ISNUMBER(SEARCH("%", A3393)),RIGHT(A3393,3),A3393)</f>
        <v>35, 40, TENTACRUEL</v>
      </c>
      <c r="C3393" s="2" t="s">
        <v>3231</v>
      </c>
    </row>
    <row r="3394" customFormat="false" ht="12.75" hidden="false" customHeight="true" outlineLevel="0" collapsed="false">
      <c r="A3394" s="3" t="s">
        <v>3231</v>
      </c>
      <c r="B3394" s="3" t="str">
        <f aca="false">IF(ISNUMBER(SEARCH("%", A3394)),RIGHT(A3394,3),A3394)</f>
        <v>35, 40, TENTACRUEL</v>
      </c>
      <c r="C3394" s="2" t="s">
        <v>3231</v>
      </c>
    </row>
    <row r="3395" customFormat="false" ht="12.75" hidden="false" customHeight="true" outlineLevel="0" collapsed="false">
      <c r="A3395" s="3" t="s">
        <v>2845</v>
      </c>
      <c r="B3395" s="3" t="str">
        <f aca="false">IF(ISNUMBER(SEARCH("%", A3395)),RIGHT(A3395,3),A3395)</f>
        <v>10, old rod:</v>
      </c>
      <c r="C3395" s="2" t="s">
        <v>2845</v>
      </c>
    </row>
    <row r="3396" customFormat="false" ht="12.75" hidden="false" customHeight="true" outlineLevel="0" collapsed="false">
      <c r="A3396" s="3" t="s">
        <v>1266</v>
      </c>
      <c r="B3396" s="3" t="str">
        <f aca="false">IF(ISNUMBER(SEARCH("%", A3396)),RIGHT(A3396,3),A3396)</f>
        <v>5, 5, MAGIKARP</v>
      </c>
      <c r="C3396" s="2" t="s">
        <v>1266</v>
      </c>
    </row>
    <row r="3397" customFormat="false" ht="12.75" hidden="false" customHeight="true" outlineLevel="0" collapsed="false">
      <c r="A3397" s="3" t="s">
        <v>1266</v>
      </c>
      <c r="B3397" s="3" t="str">
        <f aca="false">IF(ISNUMBER(SEARCH("%", A3397)),RIGHT(A3397,3),A3397)</f>
        <v>5, 5, MAGIKARP</v>
      </c>
      <c r="C3397" s="2" t="s">
        <v>1266</v>
      </c>
    </row>
    <row r="3398" customFormat="false" ht="12.75" hidden="false" customHeight="true" outlineLevel="0" collapsed="false">
      <c r="A3398" s="3"/>
      <c r="B3398" s="3" t="n">
        <f aca="false">IF(ISNUMBER(SEARCH("%", A3398)),RIGHT(A3398,3),A3398)</f>
        <v>0</v>
      </c>
      <c r="C3398" s="2"/>
    </row>
    <row r="3399" customFormat="false" ht="12.75" hidden="false" customHeight="true" outlineLevel="0" collapsed="false">
      <c r="A3399" s="3" t="s">
        <v>2846</v>
      </c>
      <c r="B3399" s="3" t="str">
        <f aca="false">IF(ISNUMBER(SEARCH("%", A3399)),RIGHT(A3399,3),A3399)</f>
        <v>good rod:</v>
      </c>
      <c r="C3399" s="2" t="s">
        <v>2846</v>
      </c>
    </row>
    <row r="3400" customFormat="false" ht="12.75" hidden="false" customHeight="true" outlineLevel="0" collapsed="false">
      <c r="A3400" s="3" t="s">
        <v>2847</v>
      </c>
      <c r="B3400" s="3" t="str">
        <f aca="false">IF(ISNUMBER(SEARCH("%", A3400)),RIGHT(A3400,3),A3400)</f>
        <v>5, 15, KRABBY</v>
      </c>
      <c r="C3400" s="2" t="s">
        <v>2847</v>
      </c>
    </row>
    <row r="3401" customFormat="false" ht="12.75" hidden="false" customHeight="true" outlineLevel="0" collapsed="false">
      <c r="A3401" s="3" t="s">
        <v>2848</v>
      </c>
      <c r="B3401" s="3" t="str">
        <f aca="false">IF(ISNUMBER(SEARCH("%", A3401)),RIGHT(A3401,3),A3401)</f>
        <v>5, 15, MAGIKARP</v>
      </c>
      <c r="C3401" s="2" t="s">
        <v>2848</v>
      </c>
    </row>
    <row r="3402" customFormat="false" ht="12.75" hidden="false" customHeight="true" outlineLevel="0" collapsed="false">
      <c r="A3402" s="3" t="s">
        <v>2847</v>
      </c>
      <c r="B3402" s="3" t="str">
        <f aca="false">IF(ISNUMBER(SEARCH("%", A3402)),RIGHT(A3402,3),A3402)</f>
        <v>5, 15, KRABBY</v>
      </c>
      <c r="C3402" s="2" t="s">
        <v>2847</v>
      </c>
    </row>
    <row r="3403" customFormat="false" ht="12.75" hidden="false" customHeight="true" outlineLevel="0" collapsed="false">
      <c r="A3403" s="3"/>
      <c r="B3403" s="3" t="n">
        <f aca="false">IF(ISNUMBER(SEARCH("%", A3403)),RIGHT(A3403,3),A3403)</f>
        <v>0</v>
      </c>
      <c r="C3403" s="2"/>
    </row>
    <row r="3404" customFormat="false" ht="12.75" hidden="false" customHeight="true" outlineLevel="0" collapsed="false">
      <c r="A3404" s="3" t="s">
        <v>2850</v>
      </c>
      <c r="B3404" s="3" t="str">
        <f aca="false">IF(ISNUMBER(SEARCH("%", A3404)),RIGHT(A3404,3),A3404)</f>
        <v>super rod:</v>
      </c>
      <c r="C3404" s="2" t="s">
        <v>2850</v>
      </c>
    </row>
    <row r="3405" customFormat="false" ht="12.75" hidden="false" customHeight="true" outlineLevel="0" collapsed="false">
      <c r="A3405" s="3" t="s">
        <v>2851</v>
      </c>
      <c r="B3405" s="3" t="str">
        <f aca="false">IF(ISNUMBER(SEARCH("%", A3405)),RIGHT(A3405,3),A3405)</f>
        <v>15, 25, KRABBY</v>
      </c>
      <c r="C3405" s="2" t="s">
        <v>2851</v>
      </c>
    </row>
    <row r="3406" customFormat="false" ht="12.75" hidden="false" customHeight="true" outlineLevel="0" collapsed="false">
      <c r="A3406" s="3" t="s">
        <v>2852</v>
      </c>
      <c r="B3406" s="3" t="str">
        <f aca="false">IF(ISNUMBER(SEARCH("%", A3406)),RIGHT(A3406,3),A3406)</f>
        <v>15, 25, STARYU</v>
      </c>
      <c r="C3406" s="2" t="s">
        <v>2852</v>
      </c>
    </row>
    <row r="3407" customFormat="false" ht="12.75" hidden="false" customHeight="true" outlineLevel="0" collapsed="false">
      <c r="A3407" s="3" t="s">
        <v>2853</v>
      </c>
      <c r="B3407" s="3" t="str">
        <f aca="false">IF(ISNUMBER(SEARCH("%", A3407)),RIGHT(A3407,3),A3407)</f>
        <v>15, 25, GYARADOS</v>
      </c>
      <c r="C3407" s="2" t="s">
        <v>2853</v>
      </c>
    </row>
    <row r="3408" customFormat="false" ht="12.75" hidden="false" customHeight="true" outlineLevel="0" collapsed="false">
      <c r="A3408" s="3" t="s">
        <v>3177</v>
      </c>
      <c r="B3408" s="3" t="str">
        <f aca="false">IF(ISNUMBER(SEARCH("%", A3408)),RIGHT(A3408,3),A3408)</f>
        <v>25, 35, KINGLER</v>
      </c>
      <c r="C3408" s="2" t="s">
        <v>3177</v>
      </c>
    </row>
    <row r="3409" customFormat="false" ht="12.75" hidden="false" customHeight="true" outlineLevel="0" collapsed="false">
      <c r="A3409" s="3" t="s">
        <v>2855</v>
      </c>
      <c r="B3409" s="3" t="str">
        <f aca="false">IF(ISNUMBER(SEARCH("%", A3409)),RIGHT(A3409,3),A3409)</f>
        <v>25, 35, SLOWPOKE</v>
      </c>
      <c r="C3409" s="2" t="s">
        <v>2855</v>
      </c>
    </row>
    <row r="3410" customFormat="false" ht="12.75" hidden="false" customHeight="true" outlineLevel="0" collapsed="false">
      <c r="A3410" s="3" t="s">
        <v>2536</v>
      </c>
      <c r="B3410" s="3" t="str">
        <f aca="false">IF(ISNUMBER(SEARCH("%", A3410)),RIGHT(A3410,3),A3410)</f>
        <v>NEW ROUTE</v>
      </c>
      <c r="C3410" s="2" t="s">
        <v>2536</v>
      </c>
    </row>
    <row r="3411" customFormat="false" ht="12.75" hidden="false" customHeight="true" outlineLevel="0" collapsed="false">
      <c r="A3411" s="3" t="s">
        <v>3649</v>
      </c>
      <c r="B3411" s="3" t="str">
        <f aca="false">IF(ISNUMBER(SEARCH("%", A3411)),RIGHT(A3411,3),A3411)</f>
        <v>1, 122, 0,</v>
      </c>
      <c r="C3411" s="2" t="s">
        <v>3649</v>
      </c>
    </row>
    <row r="3412" customFormat="false" ht="12.75" hidden="false" customHeight="true" outlineLevel="0" collapsed="false">
      <c r="A3412" s="3" t="s">
        <v>2816</v>
      </c>
      <c r="B3412" s="3" t="str">
        <f aca="false">IF(ISNUMBER(SEARCH("%", A3412)),RIGHT(A3412,3),A3412)</f>
        <v>20%</v>
      </c>
      <c r="C3412" s="2" t="s">
        <v>2799</v>
      </c>
    </row>
    <row r="3413" customFormat="false" ht="12.75" hidden="false" customHeight="true" outlineLevel="0" collapsed="false">
      <c r="A3413" s="3" t="s">
        <v>2138</v>
      </c>
      <c r="B3413" s="3" t="str">
        <f aca="false">IF(ISNUMBER(SEARCH("%", A3413)),RIGHT(A3413,3),A3413)</f>
        <v>10, 10, ZUBAT</v>
      </c>
      <c r="C3413" s="2" t="s">
        <v>2138</v>
      </c>
    </row>
    <row r="3414" customFormat="false" ht="12.75" hidden="false" customHeight="true" outlineLevel="0" collapsed="false">
      <c r="A3414" s="3" t="s">
        <v>3650</v>
      </c>
      <c r="B3414" s="3" t="str">
        <f aca="false">IF(ISNUMBER(SEARCH("%", A3414)),RIGHT(A3414,3),A3414)</f>
        <v>12, 12, ZUBAT</v>
      </c>
      <c r="C3414" s="2" t="s">
        <v>3650</v>
      </c>
    </row>
    <row r="3415" customFormat="false" ht="12.75" hidden="false" customHeight="true" outlineLevel="0" collapsed="false">
      <c r="A3415" s="3"/>
      <c r="B3415" s="3" t="n">
        <f aca="false">IF(ISNUMBER(SEARCH("%", A3415)),RIGHT(A3415,3),A3415)</f>
        <v>0</v>
      </c>
      <c r="C3415" s="2"/>
    </row>
    <row r="3416" customFormat="false" ht="12.75" hidden="false" customHeight="true" outlineLevel="0" collapsed="false">
      <c r="A3416" s="3" t="s">
        <v>2801</v>
      </c>
      <c r="B3416" s="3" t="str">
        <f aca="false">IF(ISNUMBER(SEARCH("%", A3416)),RIGHT(A3416,3),A3416)</f>
        <v>0.1</v>
      </c>
      <c r="C3416" s="2" t="s">
        <v>2801</v>
      </c>
    </row>
    <row r="3417" customFormat="false" ht="12.75" hidden="false" customHeight="true" outlineLevel="0" collapsed="false">
      <c r="A3417" s="3" t="s">
        <v>3651</v>
      </c>
      <c r="B3417" s="3" t="str">
        <f aca="false">IF(ISNUMBER(SEARCH("%", A3417)),RIGHT(A3417,3),A3417)</f>
        <v>8, 8, ZUBAT</v>
      </c>
      <c r="C3417" s="2" t="s">
        <v>3651</v>
      </c>
    </row>
    <row r="3418" customFormat="false" ht="12.75" hidden="false" customHeight="true" outlineLevel="0" collapsed="false">
      <c r="A3418" s="3" t="s">
        <v>3652</v>
      </c>
      <c r="B3418" s="3" t="str">
        <f aca="false">IF(ISNUMBER(SEARCH("%", A3418)),RIGHT(A3418,3),A3418)</f>
        <v>14, 14, ZUBAT</v>
      </c>
      <c r="C3418" s="2" t="s">
        <v>3652</v>
      </c>
    </row>
    <row r="3419" customFormat="false" ht="12.75" hidden="false" customHeight="true" outlineLevel="0" collapsed="false">
      <c r="A3419" s="3" t="s">
        <v>2138</v>
      </c>
      <c r="B3419" s="3" t="str">
        <f aca="false">IF(ISNUMBER(SEARCH("%", A3419)),RIGHT(A3419,3),A3419)</f>
        <v>10, 10, ZUBAT</v>
      </c>
      <c r="C3419" s="2" t="s">
        <v>2138</v>
      </c>
    </row>
    <row r="3420" customFormat="false" ht="12.75" hidden="false" customHeight="true" outlineLevel="0" collapsed="false">
      <c r="A3420" s="3" t="s">
        <v>3650</v>
      </c>
      <c r="B3420" s="3" t="str">
        <f aca="false">IF(ISNUMBER(SEARCH("%", A3420)),RIGHT(A3420,3),A3420)</f>
        <v>12, 12, ZUBAT</v>
      </c>
      <c r="C3420" s="2" t="s">
        <v>3650</v>
      </c>
    </row>
    <row r="3421" customFormat="false" ht="12.75" hidden="false" customHeight="true" outlineLevel="0" collapsed="false">
      <c r="A3421" s="3"/>
      <c r="B3421" s="3" t="n">
        <f aca="false">IF(ISNUMBER(SEARCH("%", A3421)),RIGHT(A3421,3),A3421)</f>
        <v>0</v>
      </c>
      <c r="C3421" s="2"/>
    </row>
    <row r="3422" customFormat="false" ht="12.75" hidden="false" customHeight="true" outlineLevel="0" collapsed="false">
      <c r="A3422" s="3" t="s">
        <v>2806</v>
      </c>
      <c r="B3422" s="3" t="str">
        <f aca="false">IF(ISNUMBER(SEARCH("%", A3422)),RIGHT(A3422,3),A3422)</f>
        <v>0.05</v>
      </c>
      <c r="C3422" s="2" t="s">
        <v>2806</v>
      </c>
    </row>
    <row r="3423" customFormat="false" ht="12.75" hidden="false" customHeight="true" outlineLevel="0" collapsed="false">
      <c r="A3423" s="3" t="s">
        <v>3653</v>
      </c>
      <c r="B3423" s="3" t="str">
        <f aca="false">IF(ISNUMBER(SEARCH("%", A3423)),RIGHT(A3423,3),A3423)</f>
        <v>16, 16, ZUBAT</v>
      </c>
      <c r="C3423" s="2" t="s">
        <v>3653</v>
      </c>
    </row>
    <row r="3424" customFormat="false" ht="12.75" hidden="false" customHeight="true" outlineLevel="0" collapsed="false">
      <c r="A3424" s="3" t="s">
        <v>3654</v>
      </c>
      <c r="B3424" s="3" t="str">
        <f aca="false">IF(ISNUMBER(SEARCH("%", A3424)),RIGHT(A3424,3),A3424)</f>
        <v>6, 6, ZUBAT</v>
      </c>
      <c r="C3424" s="2" t="s">
        <v>3654</v>
      </c>
    </row>
    <row r="3425" customFormat="false" ht="12.75" hidden="false" customHeight="true" outlineLevel="0" collapsed="false">
      <c r="A3425" s="3"/>
      <c r="B3425" s="3" t="n">
        <f aca="false">IF(ISNUMBER(SEARCH("%", A3425)),RIGHT(A3425,3),A3425)</f>
        <v>0</v>
      </c>
      <c r="C3425" s="2"/>
    </row>
    <row r="3426" customFormat="false" ht="12.75" hidden="false" customHeight="true" outlineLevel="0" collapsed="false">
      <c r="A3426" s="3" t="s">
        <v>2809</v>
      </c>
      <c r="B3426" s="3" t="str">
        <f aca="false">IF(ISNUMBER(SEARCH("%", A3426)),RIGHT(A3426,3),A3426)</f>
        <v>0.04</v>
      </c>
      <c r="C3426" s="2" t="s">
        <v>2809</v>
      </c>
    </row>
    <row r="3427" customFormat="false" ht="12.75" hidden="false" customHeight="true" outlineLevel="0" collapsed="false">
      <c r="A3427" s="3" t="s">
        <v>3651</v>
      </c>
      <c r="B3427" s="3" t="str">
        <f aca="false">IF(ISNUMBER(SEARCH("%", A3427)),RIGHT(A3427,3),A3427)</f>
        <v>8, 8, ZUBAT</v>
      </c>
      <c r="C3427" s="2" t="s">
        <v>3651</v>
      </c>
    </row>
    <row r="3428" customFormat="false" ht="12.75" hidden="false" customHeight="true" outlineLevel="0" collapsed="false">
      <c r="A3428" s="3" t="s">
        <v>3652</v>
      </c>
      <c r="B3428" s="3" t="str">
        <f aca="false">IF(ISNUMBER(SEARCH("%", A3428)),RIGHT(A3428,3),A3428)</f>
        <v>14, 14, ZUBAT</v>
      </c>
      <c r="C3428" s="2" t="s">
        <v>3652</v>
      </c>
    </row>
    <row r="3429" customFormat="false" ht="12.75" hidden="false" customHeight="true" outlineLevel="0" collapsed="false">
      <c r="A3429" s="3"/>
      <c r="B3429" s="3" t="n">
        <f aca="false">IF(ISNUMBER(SEARCH("%", A3429)),RIGHT(A3429,3),A3429)</f>
        <v>0</v>
      </c>
      <c r="C3429" s="2"/>
    </row>
    <row r="3430" customFormat="false" ht="12.75" hidden="false" customHeight="true" outlineLevel="0" collapsed="false">
      <c r="A3430" s="3" t="s">
        <v>2812</v>
      </c>
      <c r="B3430" s="3" t="str">
        <f aca="false">IF(ISNUMBER(SEARCH("%", A3430)),RIGHT(A3430,3),A3430)</f>
        <v>0.01</v>
      </c>
      <c r="C3430" s="2" t="s">
        <v>2812</v>
      </c>
    </row>
    <row r="3431" customFormat="false" ht="12.75" hidden="false" customHeight="true" outlineLevel="0" collapsed="false">
      <c r="A3431" s="3" t="s">
        <v>3651</v>
      </c>
      <c r="B3431" s="3" t="str">
        <f aca="false">IF(ISNUMBER(SEARCH("%", A3431)),RIGHT(A3431,3),A3431)</f>
        <v>8, 8, ZUBAT</v>
      </c>
      <c r="C3431" s="2" t="s">
        <v>3651</v>
      </c>
    </row>
    <row r="3432" customFormat="false" ht="12.75" hidden="false" customHeight="true" outlineLevel="0" collapsed="false">
      <c r="A3432" s="3" t="s">
        <v>3655</v>
      </c>
      <c r="B3432" s="3" t="str">
        <f aca="false">IF(ISNUMBER(SEARCH("%", A3432)),RIGHT(A3432,3),A3432)</f>
        <v>14, 14, ZUBAT , &lt;null&gt;, &lt;null&gt;, &lt;null&gt;</v>
      </c>
      <c r="C3432" s="2" t="s">
        <v>3655</v>
      </c>
    </row>
    <row r="3433" customFormat="false" ht="12.75" hidden="false" customHeight="true" outlineLevel="0" collapsed="false">
      <c r="A3433" s="3"/>
      <c r="B3433" s="3" t="n">
        <f aca="false">IF(ISNUMBER(SEARCH("%", A3433)),RIGHT(A3433,3),A3433)</f>
        <v>0</v>
      </c>
      <c r="C3433" s="2"/>
    </row>
    <row r="3434" customFormat="false" ht="12.75" hidden="false" customHeight="true" outlineLevel="0" collapsed="false">
      <c r="A3434" s="3" t="s">
        <v>2536</v>
      </c>
      <c r="B3434" s="3" t="str">
        <f aca="false">IF(ISNUMBER(SEARCH("%", A3434)),RIGHT(A3434,3),A3434)</f>
        <v>NEW ROUTE</v>
      </c>
      <c r="C3434" s="2" t="s">
        <v>2536</v>
      </c>
    </row>
    <row r="3435" customFormat="false" ht="12.75" hidden="false" customHeight="true" outlineLevel="0" collapsed="false">
      <c r="A3435" s="3" t="s">
        <v>3649</v>
      </c>
      <c r="B3435" s="3" t="str">
        <f aca="false">IF(ISNUMBER(SEARCH("%", A3435)),RIGHT(A3435,3),A3435)</f>
        <v>1, 122, 0,</v>
      </c>
      <c r="C3435" s="2" t="s">
        <v>3649</v>
      </c>
    </row>
    <row r="3436" customFormat="false" ht="12.75" hidden="false" customHeight="true" outlineLevel="0" collapsed="false">
      <c r="A3436" s="3" t="s">
        <v>2816</v>
      </c>
      <c r="B3436" s="3" t="str">
        <f aca="false">IF(ISNUMBER(SEARCH("%", A3436)),RIGHT(A3436,3),A3436)</f>
        <v>20%</v>
      </c>
      <c r="C3436" s="2" t="s">
        <v>2799</v>
      </c>
    </row>
    <row r="3437" customFormat="false" ht="12.75" hidden="false" customHeight="true" outlineLevel="0" collapsed="false">
      <c r="A3437" s="3" t="s">
        <v>2146</v>
      </c>
      <c r="B3437" s="3" t="str">
        <f aca="false">IF(ISNUMBER(SEARCH("%", A3437)),RIGHT(A3437,3),A3437)</f>
        <v>7, 7, MAREEP</v>
      </c>
      <c r="C3437" s="2" t="s">
        <v>2146</v>
      </c>
    </row>
    <row r="3438" customFormat="false" ht="12.75" hidden="false" customHeight="true" outlineLevel="0" collapsed="false">
      <c r="A3438" s="3" t="s">
        <v>3656</v>
      </c>
      <c r="B3438" s="3" t="str">
        <f aca="false">IF(ISNUMBER(SEARCH("%", A3438)),RIGHT(A3438,3),A3438)</f>
        <v>9, 9, MAREEP</v>
      </c>
      <c r="C3438" s="2" t="s">
        <v>3656</v>
      </c>
    </row>
    <row r="3439" customFormat="false" ht="12.75" hidden="false" customHeight="true" outlineLevel="0" collapsed="false">
      <c r="A3439" s="3"/>
      <c r="B3439" s="3" t="n">
        <f aca="false">IF(ISNUMBER(SEARCH("%", A3439)),RIGHT(A3439,3),A3439)</f>
        <v>0</v>
      </c>
      <c r="C3439" s="2"/>
    </row>
    <row r="3440" customFormat="false" ht="12.75" hidden="false" customHeight="true" outlineLevel="0" collapsed="false">
      <c r="A3440" s="3" t="s">
        <v>2801</v>
      </c>
      <c r="B3440" s="3" t="str">
        <f aca="false">IF(ISNUMBER(SEARCH("%", A3440)),RIGHT(A3440,3),A3440)</f>
        <v>0.1</v>
      </c>
      <c r="C3440" s="2" t="s">
        <v>2801</v>
      </c>
    </row>
    <row r="3441" customFormat="false" ht="12.75" hidden="false" customHeight="true" outlineLevel="0" collapsed="false">
      <c r="A3441" s="3" t="s">
        <v>3657</v>
      </c>
      <c r="B3441" s="3" t="str">
        <f aca="false">IF(ISNUMBER(SEARCH("%", A3441)),RIGHT(A3441,3),A3441)</f>
        <v>5, 5, MAREEP</v>
      </c>
      <c r="C3441" s="2" t="s">
        <v>3657</v>
      </c>
    </row>
    <row r="3442" customFormat="false" ht="12.75" hidden="false" customHeight="true" outlineLevel="0" collapsed="false">
      <c r="A3442" s="3" t="s">
        <v>3658</v>
      </c>
      <c r="B3442" s="3" t="str">
        <f aca="false">IF(ISNUMBER(SEARCH("%", A3442)),RIGHT(A3442,3),A3442)</f>
        <v>11, 11, MAREEP</v>
      </c>
      <c r="C3442" s="2" t="s">
        <v>3658</v>
      </c>
    </row>
    <row r="3443" customFormat="false" ht="12.75" hidden="false" customHeight="true" outlineLevel="0" collapsed="false">
      <c r="A3443" s="3" t="s">
        <v>2146</v>
      </c>
      <c r="B3443" s="3" t="str">
        <f aca="false">IF(ISNUMBER(SEARCH("%", A3443)),RIGHT(A3443,3),A3443)</f>
        <v>7, 7, MAREEP</v>
      </c>
      <c r="C3443" s="2" t="s">
        <v>2146</v>
      </c>
    </row>
    <row r="3444" customFormat="false" ht="12.75" hidden="false" customHeight="true" outlineLevel="0" collapsed="false">
      <c r="A3444" s="3" t="s">
        <v>3656</v>
      </c>
      <c r="B3444" s="3" t="str">
        <f aca="false">IF(ISNUMBER(SEARCH("%", A3444)),RIGHT(A3444,3),A3444)</f>
        <v>9, 9, MAREEP</v>
      </c>
      <c r="C3444" s="2" t="s">
        <v>3656</v>
      </c>
    </row>
    <row r="3445" customFormat="false" ht="12.75" hidden="false" customHeight="true" outlineLevel="0" collapsed="false">
      <c r="A3445" s="3"/>
      <c r="B3445" s="3" t="n">
        <f aca="false">IF(ISNUMBER(SEARCH("%", A3445)),RIGHT(A3445,3),A3445)</f>
        <v>0</v>
      </c>
      <c r="C3445" s="2"/>
    </row>
    <row r="3446" customFormat="false" ht="12.75" hidden="false" customHeight="true" outlineLevel="0" collapsed="false">
      <c r="A3446" s="3" t="s">
        <v>2806</v>
      </c>
      <c r="B3446" s="3" t="str">
        <f aca="false">IF(ISNUMBER(SEARCH("%", A3446)),RIGHT(A3446,3),A3446)</f>
        <v>0.05</v>
      </c>
      <c r="C3446" s="2" t="s">
        <v>2806</v>
      </c>
    </row>
    <row r="3447" customFormat="false" ht="12.75" hidden="false" customHeight="true" outlineLevel="0" collapsed="false">
      <c r="A3447" s="3" t="s">
        <v>3659</v>
      </c>
      <c r="B3447" s="3" t="str">
        <f aca="false">IF(ISNUMBER(SEARCH("%", A3447)),RIGHT(A3447,3),A3447)</f>
        <v>13, 13, MAREEP</v>
      </c>
      <c r="C3447" s="2" t="s">
        <v>3659</v>
      </c>
    </row>
    <row r="3448" customFormat="false" ht="12.75" hidden="false" customHeight="true" outlineLevel="0" collapsed="false">
      <c r="A3448" s="3" t="s">
        <v>3660</v>
      </c>
      <c r="B3448" s="3" t="str">
        <f aca="false">IF(ISNUMBER(SEARCH("%", A3448)),RIGHT(A3448,3),A3448)</f>
        <v>3, 3, MAREEP</v>
      </c>
      <c r="C3448" s="2" t="s">
        <v>3660</v>
      </c>
    </row>
    <row r="3449" customFormat="false" ht="12.75" hidden="false" customHeight="true" outlineLevel="0" collapsed="false">
      <c r="A3449" s="3"/>
      <c r="B3449" s="3" t="n">
        <f aca="false">IF(ISNUMBER(SEARCH("%", A3449)),RIGHT(A3449,3),A3449)</f>
        <v>0</v>
      </c>
      <c r="C3449" s="2"/>
    </row>
    <row r="3450" customFormat="false" ht="12.75" hidden="false" customHeight="true" outlineLevel="0" collapsed="false">
      <c r="A3450" s="3" t="s">
        <v>2809</v>
      </c>
      <c r="B3450" s="3" t="str">
        <f aca="false">IF(ISNUMBER(SEARCH("%", A3450)),RIGHT(A3450,3),A3450)</f>
        <v>0.04</v>
      </c>
      <c r="C3450" s="2" t="s">
        <v>2809</v>
      </c>
    </row>
    <row r="3451" customFormat="false" ht="12.75" hidden="false" customHeight="true" outlineLevel="0" collapsed="false">
      <c r="A3451" s="3" t="s">
        <v>3657</v>
      </c>
      <c r="B3451" s="3" t="str">
        <f aca="false">IF(ISNUMBER(SEARCH("%", A3451)),RIGHT(A3451,3),A3451)</f>
        <v>5, 5, MAREEP</v>
      </c>
      <c r="C3451" s="2" t="s">
        <v>3657</v>
      </c>
    </row>
    <row r="3452" customFormat="false" ht="12.75" hidden="false" customHeight="true" outlineLevel="0" collapsed="false">
      <c r="A3452" s="3" t="s">
        <v>3658</v>
      </c>
      <c r="B3452" s="3" t="str">
        <f aca="false">IF(ISNUMBER(SEARCH("%", A3452)),RIGHT(A3452,3),A3452)</f>
        <v>11, 11, MAREEP</v>
      </c>
      <c r="C3452" s="2" t="s">
        <v>3658</v>
      </c>
    </row>
    <row r="3453" customFormat="false" ht="12.75" hidden="false" customHeight="true" outlineLevel="0" collapsed="false">
      <c r="A3453" s="3"/>
      <c r="B3453" s="3" t="n">
        <f aca="false">IF(ISNUMBER(SEARCH("%", A3453)),RIGHT(A3453,3),A3453)</f>
        <v>0</v>
      </c>
      <c r="C3453" s="2"/>
    </row>
    <row r="3454" customFormat="false" ht="12.75" hidden="false" customHeight="true" outlineLevel="0" collapsed="false">
      <c r="A3454" s="3" t="s">
        <v>2812</v>
      </c>
      <c r="B3454" s="3" t="str">
        <f aca="false">IF(ISNUMBER(SEARCH("%", A3454)),RIGHT(A3454,3),A3454)</f>
        <v>0.01</v>
      </c>
      <c r="C3454" s="2" t="s">
        <v>2812</v>
      </c>
    </row>
    <row r="3455" customFormat="false" ht="12.75" hidden="false" customHeight="true" outlineLevel="0" collapsed="false">
      <c r="A3455" s="3" t="s">
        <v>3657</v>
      </c>
      <c r="B3455" s="3" t="str">
        <f aca="false">IF(ISNUMBER(SEARCH("%", A3455)),RIGHT(A3455,3),A3455)</f>
        <v>5, 5, MAREEP</v>
      </c>
      <c r="C3455" s="2" t="s">
        <v>3657</v>
      </c>
    </row>
    <row r="3456" customFormat="false" ht="12.75" hidden="false" customHeight="true" outlineLevel="0" collapsed="false">
      <c r="A3456" s="3" t="s">
        <v>3661</v>
      </c>
      <c r="B3456" s="3" t="str">
        <f aca="false">IF(ISNUMBER(SEARCH("%", A3456)),RIGHT(A3456,3),A3456)</f>
        <v>11, 11, MAREEP , &lt;null&gt;, &lt;null&gt;, &lt;null&gt;</v>
      </c>
      <c r="C3456" s="2" t="s">
        <v>3661</v>
      </c>
    </row>
    <row r="3457" customFormat="false" ht="12.75" hidden="false" customHeight="true" outlineLevel="0" collapsed="false">
      <c r="A3457" s="3"/>
      <c r="B3457" s="3" t="n">
        <f aca="false">IF(ISNUMBER(SEARCH("%", A3457)),RIGHT(A3457,3),A3457)</f>
        <v>0</v>
      </c>
      <c r="C3457" s="2"/>
    </row>
    <row r="3458" customFormat="false" ht="12.75" hidden="false" customHeight="true" outlineLevel="0" collapsed="false">
      <c r="A3458" s="3" t="s">
        <v>2536</v>
      </c>
      <c r="B3458" s="3" t="str">
        <f aca="false">IF(ISNUMBER(SEARCH("%", A3458)),RIGHT(A3458,3),A3458)</f>
        <v>NEW ROUTE</v>
      </c>
      <c r="C3458" s="2" t="s">
        <v>2536</v>
      </c>
    </row>
    <row r="3459" customFormat="false" ht="12.75" hidden="false" customHeight="true" outlineLevel="0" collapsed="false">
      <c r="A3459" s="3" t="s">
        <v>3649</v>
      </c>
      <c r="B3459" s="3" t="str">
        <f aca="false">IF(ISNUMBER(SEARCH("%", A3459)),RIGHT(A3459,3),A3459)</f>
        <v>1, 122, 0,</v>
      </c>
      <c r="C3459" s="2" t="s">
        <v>3649</v>
      </c>
    </row>
    <row r="3460" customFormat="false" ht="12.75" hidden="false" customHeight="true" outlineLevel="0" collapsed="false">
      <c r="A3460" s="3" t="s">
        <v>2816</v>
      </c>
      <c r="B3460" s="3" t="str">
        <f aca="false">IF(ISNUMBER(SEARCH("%", A3460)),RIGHT(A3460,3),A3460)</f>
        <v>20%</v>
      </c>
      <c r="C3460" s="2" t="s">
        <v>2799</v>
      </c>
    </row>
    <row r="3461" customFormat="false" ht="12.75" hidden="false" customHeight="true" outlineLevel="0" collapsed="false">
      <c r="A3461" s="3" t="s">
        <v>2154</v>
      </c>
      <c r="B3461" s="3" t="str">
        <f aca="false">IF(ISNUMBER(SEARCH("%", A3461)),RIGHT(A3461,3),A3461)</f>
        <v>23, 23, PINECO</v>
      </c>
      <c r="C3461" s="2" t="s">
        <v>2154</v>
      </c>
    </row>
    <row r="3462" customFormat="false" ht="12.75" hidden="false" customHeight="true" outlineLevel="0" collapsed="false">
      <c r="A3462" s="3" t="s">
        <v>3662</v>
      </c>
      <c r="B3462" s="3" t="str">
        <f aca="false">IF(ISNUMBER(SEARCH("%", A3462)),RIGHT(A3462,3),A3462)</f>
        <v>25, 25, PINECO</v>
      </c>
      <c r="C3462" s="2" t="s">
        <v>3662</v>
      </c>
    </row>
    <row r="3463" customFormat="false" ht="12.75" hidden="false" customHeight="true" outlineLevel="0" collapsed="false">
      <c r="A3463" s="3"/>
      <c r="B3463" s="3" t="n">
        <f aca="false">IF(ISNUMBER(SEARCH("%", A3463)),RIGHT(A3463,3),A3463)</f>
        <v>0</v>
      </c>
      <c r="C3463" s="2"/>
    </row>
    <row r="3464" customFormat="false" ht="12.75" hidden="false" customHeight="true" outlineLevel="0" collapsed="false">
      <c r="A3464" s="3" t="s">
        <v>2801</v>
      </c>
      <c r="B3464" s="3" t="str">
        <f aca="false">IF(ISNUMBER(SEARCH("%", A3464)),RIGHT(A3464,3),A3464)</f>
        <v>0.1</v>
      </c>
      <c r="C3464" s="2" t="s">
        <v>2801</v>
      </c>
    </row>
    <row r="3465" customFormat="false" ht="12.75" hidden="false" customHeight="true" outlineLevel="0" collapsed="false">
      <c r="A3465" s="3" t="s">
        <v>3663</v>
      </c>
      <c r="B3465" s="3" t="str">
        <f aca="false">IF(ISNUMBER(SEARCH("%", A3465)),RIGHT(A3465,3),A3465)</f>
        <v>22, 22, PINECO</v>
      </c>
      <c r="C3465" s="2" t="s">
        <v>3663</v>
      </c>
    </row>
    <row r="3466" customFormat="false" ht="12.75" hidden="false" customHeight="true" outlineLevel="0" collapsed="false">
      <c r="A3466" s="3" t="s">
        <v>3664</v>
      </c>
      <c r="B3466" s="3" t="str">
        <f aca="false">IF(ISNUMBER(SEARCH("%", A3466)),RIGHT(A3466,3),A3466)</f>
        <v>27, 27, PINECO</v>
      </c>
      <c r="C3466" s="2" t="s">
        <v>3664</v>
      </c>
    </row>
    <row r="3467" customFormat="false" ht="12.75" hidden="false" customHeight="true" outlineLevel="0" collapsed="false">
      <c r="A3467" s="3" t="s">
        <v>2154</v>
      </c>
      <c r="B3467" s="3" t="str">
        <f aca="false">IF(ISNUMBER(SEARCH("%", A3467)),RIGHT(A3467,3),A3467)</f>
        <v>23, 23, PINECO</v>
      </c>
      <c r="C3467" s="2" t="s">
        <v>2154</v>
      </c>
    </row>
    <row r="3468" customFormat="false" ht="12.75" hidden="false" customHeight="true" outlineLevel="0" collapsed="false">
      <c r="A3468" s="3" t="s">
        <v>3662</v>
      </c>
      <c r="B3468" s="3" t="str">
        <f aca="false">IF(ISNUMBER(SEARCH("%", A3468)),RIGHT(A3468,3),A3468)</f>
        <v>25, 25, PINECO</v>
      </c>
      <c r="C3468" s="2" t="s">
        <v>3662</v>
      </c>
    </row>
    <row r="3469" customFormat="false" ht="12.75" hidden="false" customHeight="true" outlineLevel="0" collapsed="false">
      <c r="A3469" s="3"/>
      <c r="B3469" s="3" t="n">
        <f aca="false">IF(ISNUMBER(SEARCH("%", A3469)),RIGHT(A3469,3),A3469)</f>
        <v>0</v>
      </c>
      <c r="C3469" s="2"/>
    </row>
    <row r="3470" customFormat="false" ht="12.75" hidden="false" customHeight="true" outlineLevel="0" collapsed="false">
      <c r="A3470" s="3" t="s">
        <v>2806</v>
      </c>
      <c r="B3470" s="3" t="str">
        <f aca="false">IF(ISNUMBER(SEARCH("%", A3470)),RIGHT(A3470,3),A3470)</f>
        <v>0.05</v>
      </c>
      <c r="C3470" s="2" t="s">
        <v>2806</v>
      </c>
    </row>
    <row r="3471" customFormat="false" ht="12.75" hidden="false" customHeight="true" outlineLevel="0" collapsed="false">
      <c r="A3471" s="3" t="s">
        <v>3665</v>
      </c>
      <c r="B3471" s="3" t="str">
        <f aca="false">IF(ISNUMBER(SEARCH("%", A3471)),RIGHT(A3471,3),A3471)</f>
        <v>29, 29, PINECO</v>
      </c>
      <c r="C3471" s="2" t="s">
        <v>3665</v>
      </c>
    </row>
    <row r="3472" customFormat="false" ht="12.75" hidden="false" customHeight="true" outlineLevel="0" collapsed="false">
      <c r="A3472" s="3" t="s">
        <v>3666</v>
      </c>
      <c r="B3472" s="3" t="str">
        <f aca="false">IF(ISNUMBER(SEARCH("%", A3472)),RIGHT(A3472,3),A3472)</f>
        <v>19, 19, PINECO</v>
      </c>
      <c r="C3472" s="2" t="s">
        <v>3666</v>
      </c>
    </row>
    <row r="3473" customFormat="false" ht="12.75" hidden="false" customHeight="true" outlineLevel="0" collapsed="false">
      <c r="A3473" s="3"/>
      <c r="B3473" s="3" t="n">
        <f aca="false">IF(ISNUMBER(SEARCH("%", A3473)),RIGHT(A3473,3),A3473)</f>
        <v>0</v>
      </c>
      <c r="C3473" s="2"/>
    </row>
    <row r="3474" customFormat="false" ht="12.75" hidden="false" customHeight="true" outlineLevel="0" collapsed="false">
      <c r="A3474" s="3" t="s">
        <v>2809</v>
      </c>
      <c r="B3474" s="3" t="str">
        <f aca="false">IF(ISNUMBER(SEARCH("%", A3474)),RIGHT(A3474,3),A3474)</f>
        <v>0.04</v>
      </c>
      <c r="C3474" s="2" t="s">
        <v>2809</v>
      </c>
    </row>
    <row r="3475" customFormat="false" ht="12.75" hidden="false" customHeight="true" outlineLevel="0" collapsed="false">
      <c r="A3475" s="3" t="s">
        <v>3667</v>
      </c>
      <c r="B3475" s="3" t="str">
        <f aca="false">IF(ISNUMBER(SEARCH("%", A3475)),RIGHT(A3475,3),A3475)</f>
        <v>21, 21, PINECO</v>
      </c>
      <c r="C3475" s="2" t="s">
        <v>3667</v>
      </c>
    </row>
    <row r="3476" customFormat="false" ht="12.75" hidden="false" customHeight="true" outlineLevel="0" collapsed="false">
      <c r="A3476" s="3" t="s">
        <v>3664</v>
      </c>
      <c r="B3476" s="3" t="str">
        <f aca="false">IF(ISNUMBER(SEARCH("%", A3476)),RIGHT(A3476,3),A3476)</f>
        <v>27, 27, PINECO</v>
      </c>
      <c r="C3476" s="2" t="s">
        <v>3664</v>
      </c>
    </row>
    <row r="3477" customFormat="false" ht="12.75" hidden="false" customHeight="true" outlineLevel="0" collapsed="false">
      <c r="A3477" s="3"/>
      <c r="B3477" s="3" t="n">
        <f aca="false">IF(ISNUMBER(SEARCH("%", A3477)),RIGHT(A3477,3),A3477)</f>
        <v>0</v>
      </c>
      <c r="C3477" s="2"/>
    </row>
    <row r="3478" customFormat="false" ht="12.75" hidden="false" customHeight="true" outlineLevel="0" collapsed="false">
      <c r="A3478" s="3" t="s">
        <v>2812</v>
      </c>
      <c r="B3478" s="3" t="str">
        <f aca="false">IF(ISNUMBER(SEARCH("%", A3478)),RIGHT(A3478,3),A3478)</f>
        <v>0.01</v>
      </c>
      <c r="C3478" s="2" t="s">
        <v>2812</v>
      </c>
    </row>
    <row r="3479" customFormat="false" ht="12.75" hidden="false" customHeight="true" outlineLevel="0" collapsed="false">
      <c r="A3479" s="3" t="s">
        <v>3667</v>
      </c>
      <c r="B3479" s="3" t="str">
        <f aca="false">IF(ISNUMBER(SEARCH("%", A3479)),RIGHT(A3479,3),A3479)</f>
        <v>21, 21, PINECO</v>
      </c>
      <c r="C3479" s="2" t="s">
        <v>3667</v>
      </c>
    </row>
    <row r="3480" customFormat="false" ht="12.75" hidden="false" customHeight="true" outlineLevel="0" collapsed="false">
      <c r="A3480" s="3" t="s">
        <v>3668</v>
      </c>
      <c r="B3480" s="3" t="str">
        <f aca="false">IF(ISNUMBER(SEARCH("%", A3480)),RIGHT(A3480,3),A3480)</f>
        <v>27, 27, PINECO , &lt;null&gt;, &lt;null&gt;, &lt;null&gt;</v>
      </c>
      <c r="C3480" s="2" t="s">
        <v>3668</v>
      </c>
    </row>
    <row r="3481" customFormat="false" ht="12.75" hidden="false" customHeight="true" outlineLevel="0" collapsed="false">
      <c r="A3481" s="3"/>
      <c r="B3481" s="3" t="n">
        <f aca="false">IF(ISNUMBER(SEARCH("%", A3481)),RIGHT(A3481,3),A3481)</f>
        <v>0</v>
      </c>
      <c r="C3481" s="2"/>
    </row>
    <row r="3482" customFormat="false" ht="12.75" hidden="false" customHeight="true" outlineLevel="0" collapsed="false">
      <c r="A3482" s="3" t="s">
        <v>2536</v>
      </c>
      <c r="B3482" s="3" t="str">
        <f aca="false">IF(ISNUMBER(SEARCH("%", A3482)),RIGHT(A3482,3),A3482)</f>
        <v>NEW ROUTE</v>
      </c>
      <c r="C3482" s="2" t="s">
        <v>2536</v>
      </c>
    </row>
    <row r="3483" customFormat="false" ht="12.75" hidden="false" customHeight="true" outlineLevel="0" collapsed="false">
      <c r="A3483" s="3" t="s">
        <v>3649</v>
      </c>
      <c r="B3483" s="3" t="str">
        <f aca="false">IF(ISNUMBER(SEARCH("%", A3483)),RIGHT(A3483,3),A3483)</f>
        <v>1, 122, 0,</v>
      </c>
      <c r="C3483" s="2" t="s">
        <v>3649</v>
      </c>
    </row>
    <row r="3484" customFormat="false" ht="12.75" hidden="false" customHeight="true" outlineLevel="0" collapsed="false">
      <c r="A3484" s="3" t="s">
        <v>2816</v>
      </c>
      <c r="B3484" s="3" t="str">
        <f aca="false">IF(ISNUMBER(SEARCH("%", A3484)),RIGHT(A3484,3),A3484)</f>
        <v>20%</v>
      </c>
      <c r="C3484" s="2" t="s">
        <v>2799</v>
      </c>
    </row>
    <row r="3485" customFormat="false" ht="12.75" hidden="false" customHeight="true" outlineLevel="0" collapsed="false">
      <c r="A3485" s="3" t="s">
        <v>2163</v>
      </c>
      <c r="B3485" s="3" t="str">
        <f aca="false">IF(ISNUMBER(SEARCH("%", A3485)),RIGHT(A3485,3),A3485)</f>
        <v>16, 16, HOUNDOUR</v>
      </c>
      <c r="C3485" s="2" t="s">
        <v>2163</v>
      </c>
    </row>
    <row r="3486" customFormat="false" ht="12.75" hidden="false" customHeight="true" outlineLevel="0" collapsed="false">
      <c r="A3486" s="3" t="s">
        <v>3669</v>
      </c>
      <c r="B3486" s="3" t="str">
        <f aca="false">IF(ISNUMBER(SEARCH("%", A3486)),RIGHT(A3486,3),A3486)</f>
        <v>18, 18, HOUNDOUR</v>
      </c>
      <c r="C3486" s="2" t="s">
        <v>3669</v>
      </c>
    </row>
    <row r="3487" customFormat="false" ht="12.75" hidden="false" customHeight="true" outlineLevel="0" collapsed="false">
      <c r="A3487" s="3"/>
      <c r="B3487" s="3" t="n">
        <f aca="false">IF(ISNUMBER(SEARCH("%", A3487)),RIGHT(A3487,3),A3487)</f>
        <v>0</v>
      </c>
      <c r="C3487" s="2"/>
    </row>
    <row r="3488" customFormat="false" ht="12.75" hidden="false" customHeight="true" outlineLevel="0" collapsed="false">
      <c r="A3488" s="3" t="s">
        <v>2801</v>
      </c>
      <c r="B3488" s="3" t="str">
        <f aca="false">IF(ISNUMBER(SEARCH("%", A3488)),RIGHT(A3488,3),A3488)</f>
        <v>0.1</v>
      </c>
      <c r="C3488" s="2" t="s">
        <v>2801</v>
      </c>
    </row>
    <row r="3489" customFormat="false" ht="12.75" hidden="false" customHeight="true" outlineLevel="0" collapsed="false">
      <c r="A3489" s="3" t="s">
        <v>3670</v>
      </c>
      <c r="B3489" s="3" t="str">
        <f aca="false">IF(ISNUMBER(SEARCH("%", A3489)),RIGHT(A3489,3),A3489)</f>
        <v>14, 14, HOUNDOUR</v>
      </c>
      <c r="C3489" s="2" t="s">
        <v>3670</v>
      </c>
    </row>
    <row r="3490" customFormat="false" ht="12.75" hidden="false" customHeight="true" outlineLevel="0" collapsed="false">
      <c r="A3490" s="3" t="s">
        <v>3671</v>
      </c>
      <c r="B3490" s="3" t="str">
        <f aca="false">IF(ISNUMBER(SEARCH("%", A3490)),RIGHT(A3490,3),A3490)</f>
        <v>20, 20, HOUNDOUR</v>
      </c>
      <c r="C3490" s="2" t="s">
        <v>3671</v>
      </c>
    </row>
    <row r="3491" customFormat="false" ht="12.75" hidden="false" customHeight="true" outlineLevel="0" collapsed="false">
      <c r="A3491" s="3" t="s">
        <v>2163</v>
      </c>
      <c r="B3491" s="3" t="str">
        <f aca="false">IF(ISNUMBER(SEARCH("%", A3491)),RIGHT(A3491,3),A3491)</f>
        <v>16, 16, HOUNDOUR</v>
      </c>
      <c r="C3491" s="2" t="s">
        <v>2163</v>
      </c>
    </row>
    <row r="3492" customFormat="false" ht="12.75" hidden="false" customHeight="true" outlineLevel="0" collapsed="false">
      <c r="A3492" s="3" t="s">
        <v>3669</v>
      </c>
      <c r="B3492" s="3" t="str">
        <f aca="false">IF(ISNUMBER(SEARCH("%", A3492)),RIGHT(A3492,3),A3492)</f>
        <v>18, 18, HOUNDOUR</v>
      </c>
      <c r="C3492" s="2" t="s">
        <v>3669</v>
      </c>
    </row>
    <row r="3493" customFormat="false" ht="12.75" hidden="false" customHeight="true" outlineLevel="0" collapsed="false">
      <c r="A3493" s="3"/>
      <c r="B3493" s="3" t="n">
        <f aca="false">IF(ISNUMBER(SEARCH("%", A3493)),RIGHT(A3493,3),A3493)</f>
        <v>0</v>
      </c>
      <c r="C3493" s="2"/>
    </row>
    <row r="3494" customFormat="false" ht="12.75" hidden="false" customHeight="true" outlineLevel="0" collapsed="false">
      <c r="A3494" s="3" t="s">
        <v>2806</v>
      </c>
      <c r="B3494" s="3" t="str">
        <f aca="false">IF(ISNUMBER(SEARCH("%", A3494)),RIGHT(A3494,3),A3494)</f>
        <v>0.05</v>
      </c>
      <c r="C3494" s="2" t="s">
        <v>2806</v>
      </c>
    </row>
    <row r="3495" customFormat="false" ht="12.75" hidden="false" customHeight="true" outlineLevel="0" collapsed="false">
      <c r="A3495" s="3" t="s">
        <v>3672</v>
      </c>
      <c r="B3495" s="3" t="str">
        <f aca="false">IF(ISNUMBER(SEARCH("%", A3495)),RIGHT(A3495,3),A3495)</f>
        <v>22, 22, HOUNDOUR</v>
      </c>
      <c r="C3495" s="2" t="s">
        <v>3672</v>
      </c>
    </row>
    <row r="3496" customFormat="false" ht="12.75" hidden="false" customHeight="true" outlineLevel="0" collapsed="false">
      <c r="A3496" s="3" t="s">
        <v>3673</v>
      </c>
      <c r="B3496" s="3" t="str">
        <f aca="false">IF(ISNUMBER(SEARCH("%", A3496)),RIGHT(A3496,3),A3496)</f>
        <v>12, 12, HOUNDOUR</v>
      </c>
      <c r="C3496" s="2" t="s">
        <v>3673</v>
      </c>
    </row>
    <row r="3497" customFormat="false" ht="12.75" hidden="false" customHeight="true" outlineLevel="0" collapsed="false">
      <c r="A3497" s="3"/>
      <c r="B3497" s="3" t="n">
        <f aca="false">IF(ISNUMBER(SEARCH("%", A3497)),RIGHT(A3497,3),A3497)</f>
        <v>0</v>
      </c>
      <c r="C3497" s="2"/>
    </row>
    <row r="3498" customFormat="false" ht="12.75" hidden="false" customHeight="true" outlineLevel="0" collapsed="false">
      <c r="A3498" s="3" t="s">
        <v>2809</v>
      </c>
      <c r="B3498" s="3" t="str">
        <f aca="false">IF(ISNUMBER(SEARCH("%", A3498)),RIGHT(A3498,3),A3498)</f>
        <v>0.04</v>
      </c>
      <c r="C3498" s="2" t="s">
        <v>2809</v>
      </c>
    </row>
    <row r="3499" customFormat="false" ht="12.75" hidden="false" customHeight="true" outlineLevel="0" collapsed="false">
      <c r="A3499" s="3" t="s">
        <v>3670</v>
      </c>
      <c r="B3499" s="3" t="str">
        <f aca="false">IF(ISNUMBER(SEARCH("%", A3499)),RIGHT(A3499,3),A3499)</f>
        <v>14, 14, HOUNDOUR</v>
      </c>
      <c r="C3499" s="2" t="s">
        <v>3670</v>
      </c>
    </row>
    <row r="3500" customFormat="false" ht="12.75" hidden="false" customHeight="true" outlineLevel="0" collapsed="false">
      <c r="A3500" s="3" t="s">
        <v>3671</v>
      </c>
      <c r="B3500" s="3" t="str">
        <f aca="false">IF(ISNUMBER(SEARCH("%", A3500)),RIGHT(A3500,3),A3500)</f>
        <v>20, 20, HOUNDOUR</v>
      </c>
      <c r="C3500" s="2" t="s">
        <v>3671</v>
      </c>
    </row>
    <row r="3501" customFormat="false" ht="12.75" hidden="false" customHeight="true" outlineLevel="0" collapsed="false">
      <c r="A3501" s="3"/>
      <c r="B3501" s="3" t="n">
        <f aca="false">IF(ISNUMBER(SEARCH("%", A3501)),RIGHT(A3501,3),A3501)</f>
        <v>0</v>
      </c>
      <c r="C3501" s="2"/>
    </row>
    <row r="3502" customFormat="false" ht="12.75" hidden="false" customHeight="true" outlineLevel="0" collapsed="false">
      <c r="A3502" s="3" t="s">
        <v>2812</v>
      </c>
      <c r="B3502" s="3" t="str">
        <f aca="false">IF(ISNUMBER(SEARCH("%", A3502)),RIGHT(A3502,3),A3502)</f>
        <v>0.01</v>
      </c>
      <c r="C3502" s="2" t="s">
        <v>2812</v>
      </c>
    </row>
    <row r="3503" customFormat="false" ht="12.75" hidden="false" customHeight="true" outlineLevel="0" collapsed="false">
      <c r="A3503" s="3" t="s">
        <v>3670</v>
      </c>
      <c r="B3503" s="3" t="str">
        <f aca="false">IF(ISNUMBER(SEARCH("%", A3503)),RIGHT(A3503,3),A3503)</f>
        <v>14, 14, HOUNDOUR</v>
      </c>
      <c r="C3503" s="2" t="s">
        <v>3670</v>
      </c>
    </row>
    <row r="3504" customFormat="false" ht="12.75" hidden="false" customHeight="true" outlineLevel="0" collapsed="false">
      <c r="A3504" s="3" t="s">
        <v>3674</v>
      </c>
      <c r="B3504" s="3" t="str">
        <f aca="false">IF(ISNUMBER(SEARCH("%", A3504)),RIGHT(A3504,3),A3504)</f>
        <v>20, 20, HOUNDOUR , &lt;null&gt;, &lt;null&gt;, &lt;null&gt;</v>
      </c>
      <c r="C3504" s="2" t="s">
        <v>3674</v>
      </c>
    </row>
    <row r="3505" customFormat="false" ht="12.75" hidden="false" customHeight="true" outlineLevel="0" collapsed="false">
      <c r="A3505" s="3"/>
      <c r="B3505" s="3" t="n">
        <f aca="false">IF(ISNUMBER(SEARCH("%", A3505)),RIGHT(A3505,3),A3505)</f>
        <v>0</v>
      </c>
      <c r="C3505" s="2"/>
    </row>
    <row r="3506" customFormat="false" ht="12.75" hidden="false" customHeight="true" outlineLevel="0" collapsed="false">
      <c r="A3506" s="3" t="s">
        <v>2536</v>
      </c>
      <c r="B3506" s="3" t="str">
        <f aca="false">IF(ISNUMBER(SEARCH("%", A3506)),RIGHT(A3506,3),A3506)</f>
        <v>NEW ROUTE</v>
      </c>
      <c r="C3506" s="2" t="s">
        <v>2536</v>
      </c>
    </row>
    <row r="3507" customFormat="false" ht="12.75" hidden="false" customHeight="true" outlineLevel="0" collapsed="false">
      <c r="A3507" s="3" t="s">
        <v>3649</v>
      </c>
      <c r="B3507" s="3" t="str">
        <f aca="false">IF(ISNUMBER(SEARCH("%", A3507)),RIGHT(A3507,3),A3507)</f>
        <v>1, 122, 0,</v>
      </c>
      <c r="C3507" s="2" t="s">
        <v>3649</v>
      </c>
    </row>
    <row r="3508" customFormat="false" ht="12.75" hidden="false" customHeight="true" outlineLevel="0" collapsed="false">
      <c r="A3508" s="3" t="s">
        <v>2816</v>
      </c>
      <c r="B3508" s="3" t="str">
        <f aca="false">IF(ISNUMBER(SEARCH("%", A3508)),RIGHT(A3508,3),A3508)</f>
        <v>20%</v>
      </c>
      <c r="C3508" s="2" t="s">
        <v>2799</v>
      </c>
    </row>
    <row r="3509" customFormat="false" ht="12.75" hidden="false" customHeight="true" outlineLevel="0" collapsed="false">
      <c r="A3509" s="3" t="s">
        <v>2171</v>
      </c>
      <c r="B3509" s="3" t="str">
        <f aca="false">IF(ISNUMBER(SEARCH("%", A3509)),RIGHT(A3509,3),A3509)</f>
        <v>22, 22, TEDDIURSA</v>
      </c>
      <c r="C3509" s="2" t="s">
        <v>2171</v>
      </c>
    </row>
    <row r="3510" customFormat="false" ht="12.75" hidden="false" customHeight="true" outlineLevel="0" collapsed="false">
      <c r="A3510" s="3" t="s">
        <v>3675</v>
      </c>
      <c r="B3510" s="3" t="str">
        <f aca="false">IF(ISNUMBER(SEARCH("%", A3510)),RIGHT(A3510,3),A3510)</f>
        <v>24, 24, TEDDIURSA</v>
      </c>
      <c r="C3510" s="2" t="s">
        <v>3675</v>
      </c>
    </row>
    <row r="3511" customFormat="false" ht="12.75" hidden="false" customHeight="true" outlineLevel="0" collapsed="false">
      <c r="A3511" s="3"/>
      <c r="B3511" s="3" t="n">
        <f aca="false">IF(ISNUMBER(SEARCH("%", A3511)),RIGHT(A3511,3),A3511)</f>
        <v>0</v>
      </c>
      <c r="C3511" s="2"/>
    </row>
    <row r="3512" customFormat="false" ht="12.75" hidden="false" customHeight="true" outlineLevel="0" collapsed="false">
      <c r="A3512" s="3" t="s">
        <v>2801</v>
      </c>
      <c r="B3512" s="3" t="str">
        <f aca="false">IF(ISNUMBER(SEARCH("%", A3512)),RIGHT(A3512,3),A3512)</f>
        <v>0.1</v>
      </c>
      <c r="C3512" s="2" t="s">
        <v>2801</v>
      </c>
    </row>
    <row r="3513" customFormat="false" ht="12.75" hidden="false" customHeight="true" outlineLevel="0" collapsed="false">
      <c r="A3513" s="3" t="s">
        <v>3676</v>
      </c>
      <c r="B3513" s="3" t="str">
        <f aca="false">IF(ISNUMBER(SEARCH("%", A3513)),RIGHT(A3513,3),A3513)</f>
        <v>20, 20, TEDDIURSA</v>
      </c>
      <c r="C3513" s="2" t="s">
        <v>3676</v>
      </c>
    </row>
    <row r="3514" customFormat="false" ht="12.75" hidden="false" customHeight="true" outlineLevel="0" collapsed="false">
      <c r="A3514" s="3" t="s">
        <v>3677</v>
      </c>
      <c r="B3514" s="3" t="str">
        <f aca="false">IF(ISNUMBER(SEARCH("%", A3514)),RIGHT(A3514,3),A3514)</f>
        <v>26, 26, TEDDIURSA</v>
      </c>
      <c r="C3514" s="2" t="s">
        <v>3677</v>
      </c>
    </row>
    <row r="3515" customFormat="false" ht="12.75" hidden="false" customHeight="true" outlineLevel="0" collapsed="false">
      <c r="A3515" s="3" t="s">
        <v>2171</v>
      </c>
      <c r="B3515" s="3" t="str">
        <f aca="false">IF(ISNUMBER(SEARCH("%", A3515)),RIGHT(A3515,3),A3515)</f>
        <v>22, 22, TEDDIURSA</v>
      </c>
      <c r="C3515" s="2" t="s">
        <v>2171</v>
      </c>
    </row>
    <row r="3516" customFormat="false" ht="12.75" hidden="false" customHeight="true" outlineLevel="0" collapsed="false">
      <c r="A3516" s="3" t="s">
        <v>3675</v>
      </c>
      <c r="B3516" s="3" t="str">
        <f aca="false">IF(ISNUMBER(SEARCH("%", A3516)),RIGHT(A3516,3),A3516)</f>
        <v>24, 24, TEDDIURSA</v>
      </c>
      <c r="C3516" s="2" t="s">
        <v>3675</v>
      </c>
    </row>
    <row r="3517" customFormat="false" ht="12.75" hidden="false" customHeight="true" outlineLevel="0" collapsed="false">
      <c r="A3517" s="3"/>
      <c r="B3517" s="3" t="n">
        <f aca="false">IF(ISNUMBER(SEARCH("%", A3517)),RIGHT(A3517,3),A3517)</f>
        <v>0</v>
      </c>
      <c r="C3517" s="2"/>
    </row>
    <row r="3518" customFormat="false" ht="12.75" hidden="false" customHeight="true" outlineLevel="0" collapsed="false">
      <c r="A3518" s="3" t="s">
        <v>2806</v>
      </c>
      <c r="B3518" s="3" t="str">
        <f aca="false">IF(ISNUMBER(SEARCH("%", A3518)),RIGHT(A3518,3),A3518)</f>
        <v>0.05</v>
      </c>
      <c r="C3518" s="2" t="s">
        <v>2806</v>
      </c>
    </row>
    <row r="3519" customFormat="false" ht="12.75" hidden="false" customHeight="true" outlineLevel="0" collapsed="false">
      <c r="A3519" s="3" t="s">
        <v>3678</v>
      </c>
      <c r="B3519" s="3" t="str">
        <f aca="false">IF(ISNUMBER(SEARCH("%", A3519)),RIGHT(A3519,3),A3519)</f>
        <v>28, 28, TEDDIURSA</v>
      </c>
      <c r="C3519" s="2" t="s">
        <v>3678</v>
      </c>
    </row>
    <row r="3520" customFormat="false" ht="12.75" hidden="false" customHeight="true" outlineLevel="0" collapsed="false">
      <c r="A3520" s="3" t="s">
        <v>3679</v>
      </c>
      <c r="B3520" s="3" t="str">
        <f aca="false">IF(ISNUMBER(SEARCH("%", A3520)),RIGHT(A3520,3),A3520)</f>
        <v>18, 18, TEDDIURSA</v>
      </c>
      <c r="C3520" s="2" t="s">
        <v>3679</v>
      </c>
    </row>
    <row r="3521" customFormat="false" ht="12.75" hidden="false" customHeight="true" outlineLevel="0" collapsed="false">
      <c r="A3521" s="3"/>
      <c r="B3521" s="3" t="n">
        <f aca="false">IF(ISNUMBER(SEARCH("%", A3521)),RIGHT(A3521,3),A3521)</f>
        <v>0</v>
      </c>
      <c r="C3521" s="2"/>
    </row>
    <row r="3522" customFormat="false" ht="12.75" hidden="false" customHeight="true" outlineLevel="0" collapsed="false">
      <c r="A3522" s="3" t="s">
        <v>2809</v>
      </c>
      <c r="B3522" s="3" t="str">
        <f aca="false">IF(ISNUMBER(SEARCH("%", A3522)),RIGHT(A3522,3),A3522)</f>
        <v>0.04</v>
      </c>
      <c r="C3522" s="2" t="s">
        <v>2809</v>
      </c>
    </row>
    <row r="3523" customFormat="false" ht="12.75" hidden="false" customHeight="true" outlineLevel="0" collapsed="false">
      <c r="A3523" s="3" t="s">
        <v>3676</v>
      </c>
      <c r="B3523" s="3" t="str">
        <f aca="false">IF(ISNUMBER(SEARCH("%", A3523)),RIGHT(A3523,3),A3523)</f>
        <v>20, 20, TEDDIURSA</v>
      </c>
      <c r="C3523" s="2" t="s">
        <v>3676</v>
      </c>
    </row>
    <row r="3524" customFormat="false" ht="12.75" hidden="false" customHeight="true" outlineLevel="0" collapsed="false">
      <c r="A3524" s="3" t="s">
        <v>3677</v>
      </c>
      <c r="B3524" s="3" t="str">
        <f aca="false">IF(ISNUMBER(SEARCH("%", A3524)),RIGHT(A3524,3),A3524)</f>
        <v>26, 26, TEDDIURSA</v>
      </c>
      <c r="C3524" s="2" t="s">
        <v>3677</v>
      </c>
    </row>
    <row r="3525" customFormat="false" ht="12.75" hidden="false" customHeight="true" outlineLevel="0" collapsed="false">
      <c r="A3525" s="3"/>
      <c r="B3525" s="3" t="n">
        <f aca="false">IF(ISNUMBER(SEARCH("%", A3525)),RIGHT(A3525,3),A3525)</f>
        <v>0</v>
      </c>
      <c r="C3525" s="2"/>
    </row>
    <row r="3526" customFormat="false" ht="12.75" hidden="false" customHeight="true" outlineLevel="0" collapsed="false">
      <c r="A3526" s="3" t="s">
        <v>2812</v>
      </c>
      <c r="B3526" s="3" t="str">
        <f aca="false">IF(ISNUMBER(SEARCH("%", A3526)),RIGHT(A3526,3),A3526)</f>
        <v>0.01</v>
      </c>
      <c r="C3526" s="2" t="s">
        <v>2812</v>
      </c>
    </row>
    <row r="3527" customFormat="false" ht="12.75" hidden="false" customHeight="true" outlineLevel="0" collapsed="false">
      <c r="A3527" s="3" t="s">
        <v>3676</v>
      </c>
      <c r="B3527" s="3" t="str">
        <f aca="false">IF(ISNUMBER(SEARCH("%", A3527)),RIGHT(A3527,3),A3527)</f>
        <v>20, 20, TEDDIURSA</v>
      </c>
      <c r="C3527" s="2" t="s">
        <v>3676</v>
      </c>
    </row>
    <row r="3528" customFormat="false" ht="12.75" hidden="false" customHeight="true" outlineLevel="0" collapsed="false">
      <c r="A3528" s="3" t="s">
        <v>3680</v>
      </c>
      <c r="B3528" s="3" t="str">
        <f aca="false">IF(ISNUMBER(SEARCH("%", A3528)),RIGHT(A3528,3),A3528)</f>
        <v>26, 26, TEDDIURSA , &lt;null&gt;, &lt;null&gt;, &lt;null&gt;</v>
      </c>
      <c r="C3528" s="2" t="s">
        <v>3680</v>
      </c>
    </row>
    <row r="3529" customFormat="false" ht="12.75" hidden="false" customHeight="true" outlineLevel="0" collapsed="false">
      <c r="A3529" s="3"/>
      <c r="B3529" s="3" t="n">
        <f aca="false">IF(ISNUMBER(SEARCH("%", A3529)),RIGHT(A3529,3),A3529)</f>
        <v>0</v>
      </c>
      <c r="C3529" s="2"/>
    </row>
    <row r="3530" customFormat="false" ht="12.75" hidden="false" customHeight="true" outlineLevel="0" collapsed="false">
      <c r="A3530" s="3" t="s">
        <v>2536</v>
      </c>
      <c r="B3530" s="3" t="str">
        <f aca="false">IF(ISNUMBER(SEARCH("%", A3530)),RIGHT(A3530,3),A3530)</f>
        <v>NEW ROUTE</v>
      </c>
      <c r="C3530" s="2" t="s">
        <v>2536</v>
      </c>
    </row>
    <row r="3531" customFormat="false" ht="12.75" hidden="false" customHeight="true" outlineLevel="0" collapsed="false">
      <c r="A3531" s="3" t="s">
        <v>3649</v>
      </c>
      <c r="B3531" s="3" t="str">
        <f aca="false">IF(ISNUMBER(SEARCH("%", A3531)),RIGHT(A3531,3),A3531)</f>
        <v>1, 122, 0,</v>
      </c>
      <c r="C3531" s="2" t="s">
        <v>3649</v>
      </c>
    </row>
    <row r="3532" customFormat="false" ht="12.75" hidden="false" customHeight="true" outlineLevel="0" collapsed="false">
      <c r="A3532" s="3" t="s">
        <v>2816</v>
      </c>
      <c r="B3532" s="3" t="str">
        <f aca="false">IF(ISNUMBER(SEARCH("%", A3532)),RIGHT(A3532,3),A3532)</f>
        <v>20%</v>
      </c>
      <c r="C3532" s="2" t="s">
        <v>2799</v>
      </c>
    </row>
    <row r="3533" customFormat="false" ht="12.75" hidden="false" customHeight="true" outlineLevel="0" collapsed="false">
      <c r="A3533" s="3" t="s">
        <v>2179</v>
      </c>
      <c r="B3533" s="3" t="str">
        <f aca="false">IF(ISNUMBER(SEARCH("%", A3533)),RIGHT(A3533,3),A3533)</f>
        <v>22, 22, AIPOM</v>
      </c>
      <c r="C3533" s="2" t="s">
        <v>2179</v>
      </c>
    </row>
    <row r="3534" customFormat="false" ht="12.75" hidden="false" customHeight="true" outlineLevel="0" collapsed="false">
      <c r="A3534" s="3" t="s">
        <v>3681</v>
      </c>
      <c r="B3534" s="3" t="str">
        <f aca="false">IF(ISNUMBER(SEARCH("%", A3534)),RIGHT(A3534,3),A3534)</f>
        <v>24, 24, AIPOM</v>
      </c>
      <c r="C3534" s="2" t="s">
        <v>3681</v>
      </c>
    </row>
    <row r="3535" customFormat="false" ht="12.75" hidden="false" customHeight="true" outlineLevel="0" collapsed="false">
      <c r="A3535" s="3"/>
      <c r="B3535" s="3" t="n">
        <f aca="false">IF(ISNUMBER(SEARCH("%", A3535)),RIGHT(A3535,3),A3535)</f>
        <v>0</v>
      </c>
      <c r="C3535" s="2"/>
    </row>
    <row r="3536" customFormat="false" ht="12.75" hidden="false" customHeight="true" outlineLevel="0" collapsed="false">
      <c r="A3536" s="3" t="s">
        <v>2801</v>
      </c>
      <c r="B3536" s="3" t="str">
        <f aca="false">IF(ISNUMBER(SEARCH("%", A3536)),RIGHT(A3536,3),A3536)</f>
        <v>0.1</v>
      </c>
      <c r="C3536" s="2" t="s">
        <v>2801</v>
      </c>
    </row>
    <row r="3537" customFormat="false" ht="12.75" hidden="false" customHeight="true" outlineLevel="0" collapsed="false">
      <c r="A3537" s="3" t="s">
        <v>3682</v>
      </c>
      <c r="B3537" s="3" t="str">
        <f aca="false">IF(ISNUMBER(SEARCH("%", A3537)),RIGHT(A3537,3),A3537)</f>
        <v>20, 20, AIPOM</v>
      </c>
      <c r="C3537" s="2" t="s">
        <v>3682</v>
      </c>
    </row>
    <row r="3538" customFormat="false" ht="12.75" hidden="false" customHeight="true" outlineLevel="0" collapsed="false">
      <c r="A3538" s="3" t="s">
        <v>3683</v>
      </c>
      <c r="B3538" s="3" t="str">
        <f aca="false">IF(ISNUMBER(SEARCH("%", A3538)),RIGHT(A3538,3),A3538)</f>
        <v>26, 26, AIPOM</v>
      </c>
      <c r="C3538" s="2" t="s">
        <v>3683</v>
      </c>
    </row>
    <row r="3539" customFormat="false" ht="12.75" hidden="false" customHeight="true" outlineLevel="0" collapsed="false">
      <c r="A3539" s="3" t="s">
        <v>2179</v>
      </c>
      <c r="B3539" s="3" t="str">
        <f aca="false">IF(ISNUMBER(SEARCH("%", A3539)),RIGHT(A3539,3),A3539)</f>
        <v>22, 22, AIPOM</v>
      </c>
      <c r="C3539" s="2" t="s">
        <v>2179</v>
      </c>
    </row>
    <row r="3540" customFormat="false" ht="12.75" hidden="false" customHeight="true" outlineLevel="0" collapsed="false">
      <c r="A3540" s="3" t="s">
        <v>3681</v>
      </c>
      <c r="B3540" s="3" t="str">
        <f aca="false">IF(ISNUMBER(SEARCH("%", A3540)),RIGHT(A3540,3),A3540)</f>
        <v>24, 24, AIPOM</v>
      </c>
      <c r="C3540" s="2" t="s">
        <v>3681</v>
      </c>
    </row>
    <row r="3541" customFormat="false" ht="12.75" hidden="false" customHeight="true" outlineLevel="0" collapsed="false">
      <c r="A3541" s="3"/>
      <c r="B3541" s="3" t="n">
        <f aca="false">IF(ISNUMBER(SEARCH("%", A3541)),RIGHT(A3541,3),A3541)</f>
        <v>0</v>
      </c>
      <c r="C3541" s="2"/>
    </row>
    <row r="3542" customFormat="false" ht="12.75" hidden="false" customHeight="true" outlineLevel="0" collapsed="false">
      <c r="A3542" s="3" t="s">
        <v>2806</v>
      </c>
      <c r="B3542" s="3" t="str">
        <f aca="false">IF(ISNUMBER(SEARCH("%", A3542)),RIGHT(A3542,3),A3542)</f>
        <v>0.05</v>
      </c>
      <c r="C3542" s="2" t="s">
        <v>2806</v>
      </c>
    </row>
    <row r="3543" customFormat="false" ht="12.75" hidden="false" customHeight="true" outlineLevel="0" collapsed="false">
      <c r="A3543" s="3" t="s">
        <v>3684</v>
      </c>
      <c r="B3543" s="3" t="str">
        <f aca="false">IF(ISNUMBER(SEARCH("%", A3543)),RIGHT(A3543,3),A3543)</f>
        <v>28, 28, AIPOM</v>
      </c>
      <c r="C3543" s="2" t="s">
        <v>3684</v>
      </c>
    </row>
    <row r="3544" customFormat="false" ht="12.75" hidden="false" customHeight="true" outlineLevel="0" collapsed="false">
      <c r="A3544" s="3" t="s">
        <v>3685</v>
      </c>
      <c r="B3544" s="3" t="str">
        <f aca="false">IF(ISNUMBER(SEARCH("%", A3544)),RIGHT(A3544,3),A3544)</f>
        <v>18, 18, AIPOM</v>
      </c>
      <c r="C3544" s="2" t="s">
        <v>3685</v>
      </c>
    </row>
    <row r="3545" customFormat="false" ht="12.75" hidden="false" customHeight="true" outlineLevel="0" collapsed="false">
      <c r="A3545" s="3"/>
      <c r="B3545" s="3" t="n">
        <f aca="false">IF(ISNUMBER(SEARCH("%", A3545)),RIGHT(A3545,3),A3545)</f>
        <v>0</v>
      </c>
      <c r="C3545" s="2"/>
    </row>
    <row r="3546" customFormat="false" ht="12.75" hidden="false" customHeight="true" outlineLevel="0" collapsed="false">
      <c r="A3546" s="3" t="s">
        <v>2809</v>
      </c>
      <c r="B3546" s="3" t="str">
        <f aca="false">IF(ISNUMBER(SEARCH("%", A3546)),RIGHT(A3546,3),A3546)</f>
        <v>0.04</v>
      </c>
      <c r="C3546" s="2" t="s">
        <v>2809</v>
      </c>
    </row>
    <row r="3547" customFormat="false" ht="12.75" hidden="false" customHeight="true" outlineLevel="0" collapsed="false">
      <c r="A3547" s="3" t="s">
        <v>3682</v>
      </c>
      <c r="B3547" s="3" t="str">
        <f aca="false">IF(ISNUMBER(SEARCH("%", A3547)),RIGHT(A3547,3),A3547)</f>
        <v>20, 20, AIPOM</v>
      </c>
      <c r="C3547" s="2" t="s">
        <v>3682</v>
      </c>
    </row>
    <row r="3548" customFormat="false" ht="12.75" hidden="false" customHeight="true" outlineLevel="0" collapsed="false">
      <c r="A3548" s="3" t="s">
        <v>3683</v>
      </c>
      <c r="B3548" s="3" t="str">
        <f aca="false">IF(ISNUMBER(SEARCH("%", A3548)),RIGHT(A3548,3),A3548)</f>
        <v>26, 26, AIPOM</v>
      </c>
      <c r="C3548" s="2" t="s">
        <v>3683</v>
      </c>
    </row>
    <row r="3549" customFormat="false" ht="12.75" hidden="false" customHeight="true" outlineLevel="0" collapsed="false">
      <c r="A3549" s="3"/>
      <c r="B3549" s="3" t="n">
        <f aca="false">IF(ISNUMBER(SEARCH("%", A3549)),RIGHT(A3549,3),A3549)</f>
        <v>0</v>
      </c>
      <c r="C3549" s="2"/>
    </row>
    <row r="3550" customFormat="false" ht="12.75" hidden="false" customHeight="true" outlineLevel="0" collapsed="false">
      <c r="A3550" s="3" t="s">
        <v>2812</v>
      </c>
      <c r="B3550" s="3" t="str">
        <f aca="false">IF(ISNUMBER(SEARCH("%", A3550)),RIGHT(A3550,3),A3550)</f>
        <v>0.01</v>
      </c>
      <c r="C3550" s="2" t="s">
        <v>2812</v>
      </c>
    </row>
    <row r="3551" customFormat="false" ht="12.75" hidden="false" customHeight="true" outlineLevel="0" collapsed="false">
      <c r="A3551" s="3" t="s">
        <v>3682</v>
      </c>
      <c r="B3551" s="3" t="str">
        <f aca="false">IF(ISNUMBER(SEARCH("%", A3551)),RIGHT(A3551,3),A3551)</f>
        <v>20, 20, AIPOM</v>
      </c>
      <c r="C3551" s="2" t="s">
        <v>3682</v>
      </c>
    </row>
    <row r="3552" customFormat="false" ht="12.75" hidden="false" customHeight="true" outlineLevel="0" collapsed="false">
      <c r="A3552" s="3" t="s">
        <v>3686</v>
      </c>
      <c r="B3552" s="3" t="str">
        <f aca="false">IF(ISNUMBER(SEARCH("%", A3552)),RIGHT(A3552,3),A3552)</f>
        <v>26, 26, AIPOM , &lt;null&gt;, &lt;null&gt;, &lt;null&gt;</v>
      </c>
      <c r="C3552" s="2" t="s">
        <v>3686</v>
      </c>
    </row>
    <row r="3553" customFormat="false" ht="12.75" hidden="false" customHeight="true" outlineLevel="0" collapsed="false">
      <c r="A3553" s="3"/>
      <c r="B3553" s="3" t="n">
        <f aca="false">IF(ISNUMBER(SEARCH("%", A3553)),RIGHT(A3553,3),A3553)</f>
        <v>0</v>
      </c>
      <c r="C3553" s="2"/>
    </row>
    <row r="3554" customFormat="false" ht="12.75" hidden="false" customHeight="true" outlineLevel="0" collapsed="false">
      <c r="A3554" s="3" t="s">
        <v>2536</v>
      </c>
      <c r="B3554" s="3" t="str">
        <f aca="false">IF(ISNUMBER(SEARCH("%", A3554)),RIGHT(A3554,3),A3554)</f>
        <v>NEW ROUTE</v>
      </c>
      <c r="C3554" s="2" t="s">
        <v>2536</v>
      </c>
    </row>
    <row r="3555" customFormat="false" ht="12.75" hidden="false" customHeight="true" outlineLevel="0" collapsed="false">
      <c r="A3555" s="3" t="s">
        <v>3649</v>
      </c>
      <c r="B3555" s="3" t="str">
        <f aca="false">IF(ISNUMBER(SEARCH("%", A3555)),RIGHT(A3555,3),A3555)</f>
        <v>1, 122, 0,</v>
      </c>
      <c r="C3555" s="2" t="s">
        <v>3649</v>
      </c>
    </row>
    <row r="3556" customFormat="false" ht="12.75" hidden="false" customHeight="true" outlineLevel="0" collapsed="false">
      <c r="A3556" s="3" t="s">
        <v>2816</v>
      </c>
      <c r="B3556" s="3" t="str">
        <f aca="false">IF(ISNUMBER(SEARCH("%", A3556)),RIGHT(A3556,3),A3556)</f>
        <v>20%</v>
      </c>
      <c r="C3556" s="2" t="s">
        <v>2799</v>
      </c>
    </row>
    <row r="3557" customFormat="false" ht="12.75" hidden="false" customHeight="true" outlineLevel="0" collapsed="false">
      <c r="A3557" s="3" t="s">
        <v>2187</v>
      </c>
      <c r="B3557" s="3" t="str">
        <f aca="false">IF(ISNUMBER(SEARCH("%", A3557)),RIGHT(A3557,3),A3557)</f>
        <v>22, 22, SHUCKLE</v>
      </c>
      <c r="C3557" s="2" t="s">
        <v>2187</v>
      </c>
    </row>
    <row r="3558" customFormat="false" ht="12.75" hidden="false" customHeight="true" outlineLevel="0" collapsed="false">
      <c r="A3558" s="3" t="s">
        <v>3687</v>
      </c>
      <c r="B3558" s="3" t="str">
        <f aca="false">IF(ISNUMBER(SEARCH("%", A3558)),RIGHT(A3558,3),A3558)</f>
        <v>24, 24, SHUCKLE</v>
      </c>
      <c r="C3558" s="2" t="s">
        <v>3687</v>
      </c>
    </row>
    <row r="3559" customFormat="false" ht="12.75" hidden="false" customHeight="true" outlineLevel="0" collapsed="false">
      <c r="A3559" s="3"/>
      <c r="B3559" s="3" t="n">
        <f aca="false">IF(ISNUMBER(SEARCH("%", A3559)),RIGHT(A3559,3),A3559)</f>
        <v>0</v>
      </c>
      <c r="C3559" s="2"/>
    </row>
    <row r="3560" customFormat="false" ht="12.75" hidden="false" customHeight="true" outlineLevel="0" collapsed="false">
      <c r="A3560" s="3" t="s">
        <v>2801</v>
      </c>
      <c r="B3560" s="3" t="str">
        <f aca="false">IF(ISNUMBER(SEARCH("%", A3560)),RIGHT(A3560,3),A3560)</f>
        <v>0.1</v>
      </c>
      <c r="C3560" s="2" t="s">
        <v>2801</v>
      </c>
    </row>
    <row r="3561" customFormat="false" ht="12.75" hidden="false" customHeight="true" outlineLevel="0" collapsed="false">
      <c r="A3561" s="3" t="s">
        <v>3688</v>
      </c>
      <c r="B3561" s="3" t="str">
        <f aca="false">IF(ISNUMBER(SEARCH("%", A3561)),RIGHT(A3561,3),A3561)</f>
        <v>20, 20, SHUCKLE</v>
      </c>
      <c r="C3561" s="2" t="s">
        <v>3688</v>
      </c>
    </row>
    <row r="3562" customFormat="false" ht="12.75" hidden="false" customHeight="true" outlineLevel="0" collapsed="false">
      <c r="A3562" s="3" t="s">
        <v>3689</v>
      </c>
      <c r="B3562" s="3" t="str">
        <f aca="false">IF(ISNUMBER(SEARCH("%", A3562)),RIGHT(A3562,3),A3562)</f>
        <v>26, 26, SHUCKLE</v>
      </c>
      <c r="C3562" s="2" t="s">
        <v>3689</v>
      </c>
    </row>
    <row r="3563" customFormat="false" ht="12.75" hidden="false" customHeight="true" outlineLevel="0" collapsed="false">
      <c r="A3563" s="3" t="s">
        <v>2187</v>
      </c>
      <c r="B3563" s="3" t="str">
        <f aca="false">IF(ISNUMBER(SEARCH("%", A3563)),RIGHT(A3563,3),A3563)</f>
        <v>22, 22, SHUCKLE</v>
      </c>
      <c r="C3563" s="2" t="s">
        <v>2187</v>
      </c>
    </row>
    <row r="3564" customFormat="false" ht="12.75" hidden="false" customHeight="true" outlineLevel="0" collapsed="false">
      <c r="A3564" s="3" t="s">
        <v>3687</v>
      </c>
      <c r="B3564" s="3" t="str">
        <f aca="false">IF(ISNUMBER(SEARCH("%", A3564)),RIGHT(A3564,3),A3564)</f>
        <v>24, 24, SHUCKLE</v>
      </c>
      <c r="C3564" s="2" t="s">
        <v>3687</v>
      </c>
    </row>
    <row r="3565" customFormat="false" ht="12.75" hidden="false" customHeight="true" outlineLevel="0" collapsed="false">
      <c r="A3565" s="3"/>
      <c r="B3565" s="3" t="n">
        <f aca="false">IF(ISNUMBER(SEARCH("%", A3565)),RIGHT(A3565,3),A3565)</f>
        <v>0</v>
      </c>
      <c r="C3565" s="2"/>
    </row>
    <row r="3566" customFormat="false" ht="12.75" hidden="false" customHeight="true" outlineLevel="0" collapsed="false">
      <c r="A3566" s="3" t="s">
        <v>2806</v>
      </c>
      <c r="B3566" s="3" t="str">
        <f aca="false">IF(ISNUMBER(SEARCH("%", A3566)),RIGHT(A3566,3),A3566)</f>
        <v>0.05</v>
      </c>
      <c r="C3566" s="2" t="s">
        <v>2806</v>
      </c>
    </row>
    <row r="3567" customFormat="false" ht="12.75" hidden="false" customHeight="true" outlineLevel="0" collapsed="false">
      <c r="A3567" s="3" t="s">
        <v>3690</v>
      </c>
      <c r="B3567" s="3" t="str">
        <f aca="false">IF(ISNUMBER(SEARCH("%", A3567)),RIGHT(A3567,3),A3567)</f>
        <v>28, 28, SHUCKLE</v>
      </c>
      <c r="C3567" s="2" t="s">
        <v>3690</v>
      </c>
    </row>
    <row r="3568" customFormat="false" ht="12.75" hidden="false" customHeight="true" outlineLevel="0" collapsed="false">
      <c r="A3568" s="3" t="s">
        <v>3691</v>
      </c>
      <c r="B3568" s="3" t="str">
        <f aca="false">IF(ISNUMBER(SEARCH("%", A3568)),RIGHT(A3568,3),A3568)</f>
        <v>18, 18, SHUCKLE</v>
      </c>
      <c r="C3568" s="2" t="s">
        <v>3691</v>
      </c>
    </row>
    <row r="3569" customFormat="false" ht="12.75" hidden="false" customHeight="true" outlineLevel="0" collapsed="false">
      <c r="A3569" s="3"/>
      <c r="B3569" s="3" t="n">
        <f aca="false">IF(ISNUMBER(SEARCH("%", A3569)),RIGHT(A3569,3),A3569)</f>
        <v>0</v>
      </c>
      <c r="C3569" s="2"/>
    </row>
    <row r="3570" customFormat="false" ht="12.75" hidden="false" customHeight="true" outlineLevel="0" collapsed="false">
      <c r="A3570" s="3" t="s">
        <v>2809</v>
      </c>
      <c r="B3570" s="3" t="str">
        <f aca="false">IF(ISNUMBER(SEARCH("%", A3570)),RIGHT(A3570,3),A3570)</f>
        <v>0.04</v>
      </c>
      <c r="C3570" s="2" t="s">
        <v>2809</v>
      </c>
    </row>
    <row r="3571" customFormat="false" ht="12.75" hidden="false" customHeight="true" outlineLevel="0" collapsed="false">
      <c r="A3571" s="3" t="s">
        <v>3688</v>
      </c>
      <c r="B3571" s="3" t="str">
        <f aca="false">IF(ISNUMBER(SEARCH("%", A3571)),RIGHT(A3571,3),A3571)</f>
        <v>20, 20, SHUCKLE</v>
      </c>
      <c r="C3571" s="2" t="s">
        <v>3688</v>
      </c>
    </row>
    <row r="3572" customFormat="false" ht="12.75" hidden="false" customHeight="true" outlineLevel="0" collapsed="false">
      <c r="A3572" s="3" t="s">
        <v>3689</v>
      </c>
      <c r="B3572" s="3" t="str">
        <f aca="false">IF(ISNUMBER(SEARCH("%", A3572)),RIGHT(A3572,3),A3572)</f>
        <v>26, 26, SHUCKLE</v>
      </c>
      <c r="C3572" s="2" t="s">
        <v>3689</v>
      </c>
    </row>
    <row r="3573" customFormat="false" ht="12.75" hidden="false" customHeight="true" outlineLevel="0" collapsed="false">
      <c r="A3573" s="3"/>
      <c r="B3573" s="3" t="n">
        <f aca="false">IF(ISNUMBER(SEARCH("%", A3573)),RIGHT(A3573,3),A3573)</f>
        <v>0</v>
      </c>
      <c r="C3573" s="2"/>
    </row>
    <row r="3574" customFormat="false" ht="12.75" hidden="false" customHeight="true" outlineLevel="0" collapsed="false">
      <c r="A3574" s="3" t="s">
        <v>2812</v>
      </c>
      <c r="B3574" s="3" t="str">
        <f aca="false">IF(ISNUMBER(SEARCH("%", A3574)),RIGHT(A3574,3),A3574)</f>
        <v>0.01</v>
      </c>
      <c r="C3574" s="2" t="s">
        <v>2812</v>
      </c>
    </row>
    <row r="3575" customFormat="false" ht="12.75" hidden="false" customHeight="true" outlineLevel="0" collapsed="false">
      <c r="A3575" s="3" t="s">
        <v>3688</v>
      </c>
      <c r="B3575" s="3" t="str">
        <f aca="false">IF(ISNUMBER(SEARCH("%", A3575)),RIGHT(A3575,3),A3575)</f>
        <v>20, 20, SHUCKLE</v>
      </c>
      <c r="C3575" s="2" t="s">
        <v>3688</v>
      </c>
    </row>
    <row r="3576" customFormat="false" ht="12.75" hidden="false" customHeight="true" outlineLevel="0" collapsed="false">
      <c r="A3576" s="3" t="s">
        <v>3692</v>
      </c>
      <c r="B3576" s="3" t="str">
        <f aca="false">IF(ISNUMBER(SEARCH("%", A3576)),RIGHT(A3576,3),A3576)</f>
        <v>26, 26, SHUCKLE , &lt;null&gt;, &lt;null&gt;, &lt;null&gt;</v>
      </c>
      <c r="C3576" s="2" t="s">
        <v>3692</v>
      </c>
    </row>
    <row r="3577" customFormat="false" ht="12.75" hidden="false" customHeight="true" outlineLevel="0" collapsed="false">
      <c r="A3577" s="3"/>
      <c r="B3577" s="3" t="n">
        <f aca="false">IF(ISNUMBER(SEARCH("%", A3577)),RIGHT(A3577,3),A3577)</f>
        <v>0</v>
      </c>
      <c r="C3577" s="2"/>
    </row>
    <row r="3578" customFormat="false" ht="12.75" hidden="false" customHeight="true" outlineLevel="0" collapsed="false">
      <c r="A3578" s="3" t="s">
        <v>2536</v>
      </c>
      <c r="B3578" s="3" t="str">
        <f aca="false">IF(ISNUMBER(SEARCH("%", A3578)),RIGHT(A3578,3),A3578)</f>
        <v>NEW ROUTE</v>
      </c>
      <c r="C3578" s="2" t="s">
        <v>2536</v>
      </c>
    </row>
    <row r="3579" customFormat="false" ht="12.75" hidden="false" customHeight="true" outlineLevel="0" collapsed="false">
      <c r="A3579" s="3" t="s">
        <v>3649</v>
      </c>
      <c r="B3579" s="3" t="str">
        <f aca="false">IF(ISNUMBER(SEARCH("%", A3579)),RIGHT(A3579,3),A3579)</f>
        <v>1, 122, 0,</v>
      </c>
      <c r="C3579" s="2" t="s">
        <v>3649</v>
      </c>
    </row>
    <row r="3580" customFormat="false" ht="12.75" hidden="false" customHeight="true" outlineLevel="0" collapsed="false">
      <c r="A3580" s="3" t="s">
        <v>2816</v>
      </c>
      <c r="B3580" s="3" t="str">
        <f aca="false">IF(ISNUMBER(SEARCH("%", A3580)),RIGHT(A3580,3),A3580)</f>
        <v>20%</v>
      </c>
      <c r="C3580" s="2" t="s">
        <v>2799</v>
      </c>
    </row>
    <row r="3581" customFormat="false" ht="12.75" hidden="false" customHeight="true" outlineLevel="0" collapsed="false">
      <c r="A3581" s="3" t="s">
        <v>2195</v>
      </c>
      <c r="B3581" s="3" t="str">
        <f aca="false">IF(ISNUMBER(SEARCH("%", A3581)),RIGHT(A3581,3),A3581)</f>
        <v>22, 22, STANTLER</v>
      </c>
      <c r="C3581" s="2" t="s">
        <v>2195</v>
      </c>
    </row>
    <row r="3582" customFormat="false" ht="12.75" hidden="false" customHeight="true" outlineLevel="0" collapsed="false">
      <c r="A3582" s="3" t="s">
        <v>3693</v>
      </c>
      <c r="B3582" s="3" t="str">
        <f aca="false">IF(ISNUMBER(SEARCH("%", A3582)),RIGHT(A3582,3),A3582)</f>
        <v>24, 24, STANTLER</v>
      </c>
      <c r="C3582" s="2" t="s">
        <v>3693</v>
      </c>
    </row>
    <row r="3583" customFormat="false" ht="12.75" hidden="false" customHeight="true" outlineLevel="0" collapsed="false">
      <c r="A3583" s="3"/>
      <c r="B3583" s="3" t="n">
        <f aca="false">IF(ISNUMBER(SEARCH("%", A3583)),RIGHT(A3583,3),A3583)</f>
        <v>0</v>
      </c>
      <c r="C3583" s="2"/>
    </row>
    <row r="3584" customFormat="false" ht="12.75" hidden="false" customHeight="true" outlineLevel="0" collapsed="false">
      <c r="A3584" s="3" t="s">
        <v>2801</v>
      </c>
      <c r="B3584" s="3" t="str">
        <f aca="false">IF(ISNUMBER(SEARCH("%", A3584)),RIGHT(A3584,3),A3584)</f>
        <v>0.1</v>
      </c>
      <c r="C3584" s="2" t="s">
        <v>2801</v>
      </c>
    </row>
    <row r="3585" customFormat="false" ht="12.75" hidden="false" customHeight="true" outlineLevel="0" collapsed="false">
      <c r="A3585" s="3" t="s">
        <v>3694</v>
      </c>
      <c r="B3585" s="3" t="str">
        <f aca="false">IF(ISNUMBER(SEARCH("%", A3585)),RIGHT(A3585,3),A3585)</f>
        <v>20, 20, STANTLER</v>
      </c>
      <c r="C3585" s="2" t="s">
        <v>3694</v>
      </c>
    </row>
    <row r="3586" customFormat="false" ht="12.75" hidden="false" customHeight="true" outlineLevel="0" collapsed="false">
      <c r="A3586" s="3" t="s">
        <v>3695</v>
      </c>
      <c r="B3586" s="3" t="str">
        <f aca="false">IF(ISNUMBER(SEARCH("%", A3586)),RIGHT(A3586,3),A3586)</f>
        <v>26, 26, STANTLER</v>
      </c>
      <c r="C3586" s="2" t="s">
        <v>3695</v>
      </c>
    </row>
    <row r="3587" customFormat="false" ht="12.75" hidden="false" customHeight="true" outlineLevel="0" collapsed="false">
      <c r="A3587" s="3" t="s">
        <v>2195</v>
      </c>
      <c r="B3587" s="3" t="str">
        <f aca="false">IF(ISNUMBER(SEARCH("%", A3587)),RIGHT(A3587,3),A3587)</f>
        <v>22, 22, STANTLER</v>
      </c>
      <c r="C3587" s="2" t="s">
        <v>2195</v>
      </c>
    </row>
    <row r="3588" customFormat="false" ht="12.75" hidden="false" customHeight="true" outlineLevel="0" collapsed="false">
      <c r="A3588" s="3" t="s">
        <v>3693</v>
      </c>
      <c r="B3588" s="3" t="str">
        <f aca="false">IF(ISNUMBER(SEARCH("%", A3588)),RIGHT(A3588,3),A3588)</f>
        <v>24, 24, STANTLER</v>
      </c>
      <c r="C3588" s="2" t="s">
        <v>3693</v>
      </c>
    </row>
    <row r="3589" customFormat="false" ht="12.75" hidden="false" customHeight="true" outlineLevel="0" collapsed="false">
      <c r="A3589" s="3"/>
      <c r="B3589" s="3" t="n">
        <f aca="false">IF(ISNUMBER(SEARCH("%", A3589)),RIGHT(A3589,3),A3589)</f>
        <v>0</v>
      </c>
      <c r="C3589" s="2"/>
    </row>
    <row r="3590" customFormat="false" ht="12.75" hidden="false" customHeight="true" outlineLevel="0" collapsed="false">
      <c r="A3590" s="3" t="s">
        <v>2806</v>
      </c>
      <c r="B3590" s="3" t="str">
        <f aca="false">IF(ISNUMBER(SEARCH("%", A3590)),RIGHT(A3590,3),A3590)</f>
        <v>0.05</v>
      </c>
      <c r="C3590" s="2" t="s">
        <v>2806</v>
      </c>
    </row>
    <row r="3591" customFormat="false" ht="12.75" hidden="false" customHeight="true" outlineLevel="0" collapsed="false">
      <c r="A3591" s="3" t="s">
        <v>3696</v>
      </c>
      <c r="B3591" s="3" t="str">
        <f aca="false">IF(ISNUMBER(SEARCH("%", A3591)),RIGHT(A3591,3),A3591)</f>
        <v>28, 28, STANTLER</v>
      </c>
      <c r="C3591" s="2" t="s">
        <v>3696</v>
      </c>
    </row>
    <row r="3592" customFormat="false" ht="12.75" hidden="false" customHeight="true" outlineLevel="0" collapsed="false">
      <c r="A3592" s="3" t="s">
        <v>3697</v>
      </c>
      <c r="B3592" s="3" t="str">
        <f aca="false">IF(ISNUMBER(SEARCH("%", A3592)),RIGHT(A3592,3),A3592)</f>
        <v>18, 18, STANTLER</v>
      </c>
      <c r="C3592" s="2" t="s">
        <v>3697</v>
      </c>
    </row>
    <row r="3593" customFormat="false" ht="12.75" hidden="false" customHeight="true" outlineLevel="0" collapsed="false">
      <c r="A3593" s="3"/>
      <c r="B3593" s="3" t="n">
        <f aca="false">IF(ISNUMBER(SEARCH("%", A3593)),RIGHT(A3593,3),A3593)</f>
        <v>0</v>
      </c>
      <c r="C3593" s="2"/>
    </row>
    <row r="3594" customFormat="false" ht="12.75" hidden="false" customHeight="true" outlineLevel="0" collapsed="false">
      <c r="A3594" s="3" t="s">
        <v>2809</v>
      </c>
      <c r="B3594" s="3" t="str">
        <f aca="false">IF(ISNUMBER(SEARCH("%", A3594)),RIGHT(A3594,3),A3594)</f>
        <v>0.04</v>
      </c>
      <c r="C3594" s="2" t="s">
        <v>2809</v>
      </c>
    </row>
    <row r="3595" customFormat="false" ht="12.75" hidden="false" customHeight="true" outlineLevel="0" collapsed="false">
      <c r="A3595" s="3" t="s">
        <v>3694</v>
      </c>
      <c r="B3595" s="3" t="str">
        <f aca="false">IF(ISNUMBER(SEARCH("%", A3595)),RIGHT(A3595,3),A3595)</f>
        <v>20, 20, STANTLER</v>
      </c>
      <c r="C3595" s="2" t="s">
        <v>3694</v>
      </c>
    </row>
    <row r="3596" customFormat="false" ht="12.75" hidden="false" customHeight="true" outlineLevel="0" collapsed="false">
      <c r="A3596" s="3" t="s">
        <v>3695</v>
      </c>
      <c r="B3596" s="3" t="str">
        <f aca="false">IF(ISNUMBER(SEARCH("%", A3596)),RIGHT(A3596,3),A3596)</f>
        <v>26, 26, STANTLER</v>
      </c>
      <c r="C3596" s="2" t="s">
        <v>3695</v>
      </c>
    </row>
    <row r="3597" customFormat="false" ht="12.75" hidden="false" customHeight="true" outlineLevel="0" collapsed="false">
      <c r="A3597" s="3"/>
      <c r="B3597" s="3" t="n">
        <f aca="false">IF(ISNUMBER(SEARCH("%", A3597)),RIGHT(A3597,3),A3597)</f>
        <v>0</v>
      </c>
      <c r="C3597" s="2"/>
    </row>
    <row r="3598" customFormat="false" ht="12.75" hidden="false" customHeight="true" outlineLevel="0" collapsed="false">
      <c r="A3598" s="3" t="s">
        <v>2812</v>
      </c>
      <c r="B3598" s="3" t="str">
        <f aca="false">IF(ISNUMBER(SEARCH("%", A3598)),RIGHT(A3598,3),A3598)</f>
        <v>0.01</v>
      </c>
      <c r="C3598" s="2" t="s">
        <v>2812</v>
      </c>
    </row>
    <row r="3599" customFormat="false" ht="12.75" hidden="false" customHeight="true" outlineLevel="0" collapsed="false">
      <c r="A3599" s="3" t="s">
        <v>3694</v>
      </c>
      <c r="B3599" s="3" t="str">
        <f aca="false">IF(ISNUMBER(SEARCH("%", A3599)),RIGHT(A3599,3),A3599)</f>
        <v>20, 20, STANTLER</v>
      </c>
      <c r="C3599" s="2" t="s">
        <v>3694</v>
      </c>
    </row>
    <row r="3600" customFormat="false" ht="12.75" hidden="false" customHeight="true" outlineLevel="0" collapsed="false">
      <c r="A3600" s="3" t="s">
        <v>3698</v>
      </c>
      <c r="B3600" s="3" t="str">
        <f aca="false">IF(ISNUMBER(SEARCH("%", A3600)),RIGHT(A3600,3),A3600)</f>
        <v>26, 26, STANTLER , &lt;null&gt;, &lt;null&gt;, &lt;null&gt;</v>
      </c>
      <c r="C3600" s="2" t="s">
        <v>3698</v>
      </c>
    </row>
    <row r="3601" customFormat="false" ht="12.75" hidden="false" customHeight="true" outlineLevel="0" collapsed="false">
      <c r="A3601" s="3"/>
      <c r="B3601" s="3" t="n">
        <f aca="false">IF(ISNUMBER(SEARCH("%", A3601)),RIGHT(A3601,3),A3601)</f>
        <v>0</v>
      </c>
      <c r="C3601" s="2"/>
    </row>
    <row r="3602" customFormat="false" ht="12.75" hidden="false" customHeight="true" outlineLevel="0" collapsed="false">
      <c r="A3602" s="3" t="s">
        <v>2536</v>
      </c>
      <c r="B3602" s="3" t="str">
        <f aca="false">IF(ISNUMBER(SEARCH("%", A3602)),RIGHT(A3602,3),A3602)</f>
        <v>NEW ROUTE</v>
      </c>
      <c r="C3602" s="2" t="s">
        <v>2536</v>
      </c>
    </row>
    <row r="3603" customFormat="false" ht="12.75" hidden="false" customHeight="true" outlineLevel="0" collapsed="false">
      <c r="A3603" s="3" t="s">
        <v>3649</v>
      </c>
      <c r="B3603" s="3" t="str">
        <f aca="false">IF(ISNUMBER(SEARCH("%", A3603)),RIGHT(A3603,3),A3603)</f>
        <v>1, 122, 0,</v>
      </c>
      <c r="C3603" s="2" t="s">
        <v>3649</v>
      </c>
    </row>
    <row r="3604" customFormat="false" ht="12.75" hidden="false" customHeight="true" outlineLevel="0" collapsed="false">
      <c r="A3604" s="3" t="s">
        <v>2816</v>
      </c>
      <c r="B3604" s="3" t="str">
        <f aca="false">IF(ISNUMBER(SEARCH("%", A3604)),RIGHT(A3604,3),A3604)</f>
        <v>20%</v>
      </c>
      <c r="C3604" s="2" t="s">
        <v>2799</v>
      </c>
    </row>
    <row r="3605" customFormat="false" ht="12.75" hidden="false" customHeight="true" outlineLevel="0" collapsed="false">
      <c r="A3605" s="3" t="s">
        <v>2203</v>
      </c>
      <c r="B3605" s="3" t="str">
        <f aca="false">IF(ISNUMBER(SEARCH("%", A3605)),RIGHT(A3605,3),A3605)</f>
        <v>22, 22, SMEARGLE</v>
      </c>
      <c r="C3605" s="2" t="s">
        <v>2203</v>
      </c>
    </row>
    <row r="3606" customFormat="false" ht="12.75" hidden="false" customHeight="true" outlineLevel="0" collapsed="false">
      <c r="A3606" s="3" t="s">
        <v>3699</v>
      </c>
      <c r="B3606" s="3" t="str">
        <f aca="false">IF(ISNUMBER(SEARCH("%", A3606)),RIGHT(A3606,3),A3606)</f>
        <v>24, 24, SMEARGLE</v>
      </c>
      <c r="C3606" s="2" t="s">
        <v>3699</v>
      </c>
    </row>
    <row r="3607" customFormat="false" ht="12.75" hidden="false" customHeight="true" outlineLevel="0" collapsed="false">
      <c r="A3607" s="3"/>
      <c r="B3607" s="3" t="n">
        <f aca="false">IF(ISNUMBER(SEARCH("%", A3607)),RIGHT(A3607,3),A3607)</f>
        <v>0</v>
      </c>
      <c r="C3607" s="2"/>
    </row>
    <row r="3608" customFormat="false" ht="12.75" hidden="false" customHeight="true" outlineLevel="0" collapsed="false">
      <c r="A3608" s="3" t="s">
        <v>2801</v>
      </c>
      <c r="B3608" s="3" t="str">
        <f aca="false">IF(ISNUMBER(SEARCH("%", A3608)),RIGHT(A3608,3),A3608)</f>
        <v>0.1</v>
      </c>
      <c r="C3608" s="2" t="s">
        <v>2801</v>
      </c>
    </row>
    <row r="3609" customFormat="false" ht="12.75" hidden="false" customHeight="true" outlineLevel="0" collapsed="false">
      <c r="A3609" s="3" t="s">
        <v>3700</v>
      </c>
      <c r="B3609" s="3" t="str">
        <f aca="false">IF(ISNUMBER(SEARCH("%", A3609)),RIGHT(A3609,3),A3609)</f>
        <v>20, 20, SMEARGLE</v>
      </c>
      <c r="C3609" s="2" t="s">
        <v>3700</v>
      </c>
    </row>
    <row r="3610" customFormat="false" ht="12.75" hidden="false" customHeight="true" outlineLevel="0" collapsed="false">
      <c r="A3610" s="3" t="s">
        <v>3701</v>
      </c>
      <c r="B3610" s="3" t="str">
        <f aca="false">IF(ISNUMBER(SEARCH("%", A3610)),RIGHT(A3610,3),A3610)</f>
        <v>26, 26, SMEARGLE</v>
      </c>
      <c r="C3610" s="2" t="s">
        <v>3701</v>
      </c>
    </row>
    <row r="3611" customFormat="false" ht="12.75" hidden="false" customHeight="true" outlineLevel="0" collapsed="false">
      <c r="A3611" s="3" t="s">
        <v>2203</v>
      </c>
      <c r="B3611" s="3" t="str">
        <f aca="false">IF(ISNUMBER(SEARCH("%", A3611)),RIGHT(A3611,3),A3611)</f>
        <v>22, 22, SMEARGLE</v>
      </c>
      <c r="C3611" s="2" t="s">
        <v>2203</v>
      </c>
    </row>
    <row r="3612" customFormat="false" ht="12.75" hidden="false" customHeight="true" outlineLevel="0" collapsed="false">
      <c r="A3612" s="3" t="s">
        <v>3699</v>
      </c>
      <c r="B3612" s="3" t="str">
        <f aca="false">IF(ISNUMBER(SEARCH("%", A3612)),RIGHT(A3612,3),A3612)</f>
        <v>24, 24, SMEARGLE</v>
      </c>
      <c r="C3612" s="2" t="s">
        <v>3699</v>
      </c>
    </row>
    <row r="3613" customFormat="false" ht="12.75" hidden="false" customHeight="true" outlineLevel="0" collapsed="false">
      <c r="A3613" s="3"/>
      <c r="B3613" s="3" t="n">
        <f aca="false">IF(ISNUMBER(SEARCH("%", A3613)),RIGHT(A3613,3),A3613)</f>
        <v>0</v>
      </c>
      <c r="C3613" s="2"/>
    </row>
    <row r="3614" customFormat="false" ht="12.75" hidden="false" customHeight="true" outlineLevel="0" collapsed="false">
      <c r="A3614" s="3" t="s">
        <v>2806</v>
      </c>
      <c r="B3614" s="3" t="str">
        <f aca="false">IF(ISNUMBER(SEARCH("%", A3614)),RIGHT(A3614,3),A3614)</f>
        <v>0.05</v>
      </c>
      <c r="C3614" s="2" t="s">
        <v>2806</v>
      </c>
    </row>
    <row r="3615" customFormat="false" ht="12.75" hidden="false" customHeight="true" outlineLevel="0" collapsed="false">
      <c r="A3615" s="3" t="s">
        <v>3702</v>
      </c>
      <c r="B3615" s="3" t="str">
        <f aca="false">IF(ISNUMBER(SEARCH("%", A3615)),RIGHT(A3615,3),A3615)</f>
        <v>28, 28, SMEARGLE</v>
      </c>
      <c r="C3615" s="2" t="s">
        <v>3702</v>
      </c>
    </row>
    <row r="3616" customFormat="false" ht="12.75" hidden="false" customHeight="true" outlineLevel="0" collapsed="false">
      <c r="A3616" s="3" t="s">
        <v>3703</v>
      </c>
      <c r="B3616" s="3" t="str">
        <f aca="false">IF(ISNUMBER(SEARCH("%", A3616)),RIGHT(A3616,3),A3616)</f>
        <v>18, 18, SMEARGLE</v>
      </c>
      <c r="C3616" s="2" t="s">
        <v>3703</v>
      </c>
    </row>
    <row r="3617" customFormat="false" ht="12.75" hidden="false" customHeight="true" outlineLevel="0" collapsed="false">
      <c r="A3617" s="3"/>
      <c r="B3617" s="3" t="n">
        <f aca="false">IF(ISNUMBER(SEARCH("%", A3617)),RIGHT(A3617,3),A3617)</f>
        <v>0</v>
      </c>
      <c r="C3617" s="2"/>
    </row>
    <row r="3618" customFormat="false" ht="12.75" hidden="false" customHeight="true" outlineLevel="0" collapsed="false">
      <c r="A3618" s="3" t="s">
        <v>2809</v>
      </c>
      <c r="B3618" s="3" t="str">
        <f aca="false">IF(ISNUMBER(SEARCH("%", A3618)),RIGHT(A3618,3),A3618)</f>
        <v>0.04</v>
      </c>
      <c r="C3618" s="2" t="s">
        <v>2809</v>
      </c>
    </row>
    <row r="3619" customFormat="false" ht="12.75" hidden="false" customHeight="true" outlineLevel="0" collapsed="false">
      <c r="A3619" s="3" t="s">
        <v>3700</v>
      </c>
      <c r="B3619" s="3" t="str">
        <f aca="false">IF(ISNUMBER(SEARCH("%", A3619)),RIGHT(A3619,3),A3619)</f>
        <v>20, 20, SMEARGLE</v>
      </c>
      <c r="C3619" s="2" t="s">
        <v>3700</v>
      </c>
    </row>
    <row r="3620" customFormat="false" ht="12.75" hidden="false" customHeight="true" outlineLevel="0" collapsed="false">
      <c r="A3620" s="3" t="s">
        <v>3701</v>
      </c>
      <c r="B3620" s="3" t="str">
        <f aca="false">IF(ISNUMBER(SEARCH("%", A3620)),RIGHT(A3620,3),A3620)</f>
        <v>26, 26, SMEARGLE</v>
      </c>
      <c r="C3620" s="2" t="s">
        <v>3701</v>
      </c>
    </row>
    <row r="3621" customFormat="false" ht="12.75" hidden="false" customHeight="true" outlineLevel="0" collapsed="false">
      <c r="A3621" s="3"/>
      <c r="B3621" s="3" t="n">
        <f aca="false">IF(ISNUMBER(SEARCH("%", A3621)),RIGHT(A3621,3),A3621)</f>
        <v>0</v>
      </c>
      <c r="C3621" s="2"/>
    </row>
    <row r="3622" customFormat="false" ht="12.75" hidden="false" customHeight="true" outlineLevel="0" collapsed="false">
      <c r="A3622" s="3" t="s">
        <v>2812</v>
      </c>
      <c r="B3622" s="3" t="str">
        <f aca="false">IF(ISNUMBER(SEARCH("%", A3622)),RIGHT(A3622,3),A3622)</f>
        <v>0.01</v>
      </c>
      <c r="C3622" s="2" t="s">
        <v>2812</v>
      </c>
    </row>
    <row r="3623" customFormat="false" ht="12.75" hidden="false" customHeight="true" outlineLevel="0" collapsed="false">
      <c r="A3623" s="3" t="s">
        <v>3700</v>
      </c>
      <c r="B3623" s="3" t="str">
        <f aca="false">IF(ISNUMBER(SEARCH("%", A3623)),RIGHT(A3623,3),A3623)</f>
        <v>20, 20, SMEARGLE</v>
      </c>
      <c r="C3623" s="2" t="s">
        <v>3700</v>
      </c>
    </row>
    <row r="3624" customFormat="false" ht="12.75" hidden="false" customHeight="true" outlineLevel="0" collapsed="false">
      <c r="A3624" s="3" t="s">
        <v>3704</v>
      </c>
      <c r="B3624" s="3" t="str">
        <f aca="false">IF(ISNUMBER(SEARCH("%", A3624)),RIGHT(A3624,3),A3624)</f>
        <v>26, 26, SMEARGLE , &lt;null&gt;, &lt;null&gt;, &lt;null&gt;</v>
      </c>
      <c r="C3624" s="2" t="s">
        <v>3704</v>
      </c>
    </row>
    <row r="3625" customFormat="false" ht="12.75" hidden="false" customHeight="true" outlineLevel="0" collapsed="false">
      <c r="A3625" s="3"/>
      <c r="B3625" s="3" t="n">
        <f aca="false">IF(ISNUMBER(SEARCH("%", A3625)),RIGHT(A3625,3),A3625)</f>
        <v>0</v>
      </c>
      <c r="C3625" s="2"/>
    </row>
    <row r="3626" customFormat="false" ht="12.75" hidden="false" customHeight="true" outlineLevel="0" collapsed="false">
      <c r="A3626" s="3" t="s">
        <v>2536</v>
      </c>
      <c r="B3626" s="3" t="str">
        <f aca="false">IF(ISNUMBER(SEARCH("%", A3626)),RIGHT(A3626,3),A3626)</f>
        <v>NEW ROUTE</v>
      </c>
      <c r="C3626" s="2" t="s">
        <v>2536</v>
      </c>
    </row>
    <row r="3627" customFormat="false" ht="12.75" hidden="false" customHeight="true" outlineLevel="0" collapsed="false">
      <c r="A3627" s="3" t="s">
        <v>3693</v>
      </c>
      <c r="B3627" s="3" t="str">
        <f aca="false">IF(ISNUMBER(SEARCH("%", A3627)),RIGHT(A3627,3),A3627)</f>
        <v>24, 24, STANTLER</v>
      </c>
      <c r="C3627" s="2" t="s">
        <v>3693</v>
      </c>
    </row>
    <row r="3628" customFormat="false" ht="12.75" hidden="false" customHeight="true" outlineLevel="0" collapsed="false">
      <c r="A3628" s="3"/>
      <c r="B3628" s="3" t="n">
        <f aca="false">IF(ISNUMBER(SEARCH("%", A3628)),RIGHT(A3628,3),A3628)</f>
        <v>0</v>
      </c>
      <c r="C3628" s="2"/>
    </row>
    <row r="3629" customFormat="false" ht="12.75" hidden="false" customHeight="true" outlineLevel="0" collapsed="false">
      <c r="A3629" s="3" t="s">
        <v>2806</v>
      </c>
      <c r="B3629" s="3" t="str">
        <f aca="false">IF(ISNUMBER(SEARCH("%", A3629)),RIGHT(A3629,3),A3629)</f>
        <v>0.05</v>
      </c>
      <c r="C3629" s="2" t="s">
        <v>2806</v>
      </c>
    </row>
    <row r="3630" customFormat="false" ht="12.75" hidden="false" customHeight="true" outlineLevel="0" collapsed="false">
      <c r="A3630" s="3" t="s">
        <v>3696</v>
      </c>
      <c r="B3630" s="3" t="str">
        <f aca="false">IF(ISNUMBER(SEARCH("%", A3630)),RIGHT(A3630,3),A3630)</f>
        <v>28, 28, STANTLER</v>
      </c>
      <c r="C3630" s="2" t="s">
        <v>3696</v>
      </c>
    </row>
    <row r="3631" customFormat="false" ht="12.75" hidden="false" customHeight="true" outlineLevel="0" collapsed="false">
      <c r="A3631" s="3" t="s">
        <v>3697</v>
      </c>
      <c r="B3631" s="3" t="str">
        <f aca="false">IF(ISNUMBER(SEARCH("%", A3631)),RIGHT(A3631,3),A3631)</f>
        <v>18, 18, STANTLER</v>
      </c>
      <c r="C3631" s="2" t="s">
        <v>3697</v>
      </c>
    </row>
    <row r="3632" customFormat="false" ht="12.75" hidden="false" customHeight="true" outlineLevel="0" collapsed="false">
      <c r="A3632" s="3"/>
      <c r="B3632" s="3" t="n">
        <f aca="false">IF(ISNUMBER(SEARCH("%", A3632)),RIGHT(A3632,3),A3632)</f>
        <v>0</v>
      </c>
      <c r="C3632" s="2"/>
    </row>
    <row r="3633" customFormat="false" ht="12.75" hidden="false" customHeight="true" outlineLevel="0" collapsed="false">
      <c r="A3633" s="3" t="s">
        <v>2809</v>
      </c>
      <c r="B3633" s="3" t="str">
        <f aca="false">IF(ISNUMBER(SEARCH("%", A3633)),RIGHT(A3633,3),A3633)</f>
        <v>0.04</v>
      </c>
      <c r="C3633" s="2" t="s">
        <v>2809</v>
      </c>
    </row>
    <row r="3634" customFormat="false" ht="12.75" hidden="false" customHeight="true" outlineLevel="0" collapsed="false">
      <c r="A3634" s="3" t="s">
        <v>3694</v>
      </c>
      <c r="B3634" s="3" t="str">
        <f aca="false">IF(ISNUMBER(SEARCH("%", A3634)),RIGHT(A3634,3),A3634)</f>
        <v>20, 20, STANTLER</v>
      </c>
      <c r="C3634" s="2" t="s">
        <v>3694</v>
      </c>
    </row>
    <row r="3635" customFormat="false" ht="12.75" hidden="false" customHeight="true" outlineLevel="0" collapsed="false">
      <c r="A3635" s="3" t="s">
        <v>3695</v>
      </c>
      <c r="B3635" s="3" t="str">
        <f aca="false">IF(ISNUMBER(SEARCH("%", A3635)),RIGHT(A3635,3),A3635)</f>
        <v>26, 26, STANTLER</v>
      </c>
      <c r="C3635" s="2" t="s">
        <v>3695</v>
      </c>
    </row>
    <row r="3636" customFormat="false" ht="12.75" hidden="false" customHeight="true" outlineLevel="0" collapsed="false">
      <c r="A3636" s="3"/>
      <c r="B3636" s="3" t="n">
        <f aca="false">IF(ISNUMBER(SEARCH("%", A3636)),RIGHT(A3636,3),A3636)</f>
        <v>0</v>
      </c>
      <c r="C3636" s="2"/>
    </row>
    <row r="3637" customFormat="false" ht="12.75" hidden="false" customHeight="true" outlineLevel="0" collapsed="false">
      <c r="A3637" s="3" t="s">
        <v>2812</v>
      </c>
      <c r="B3637" s="3" t="str">
        <f aca="false">IF(ISNUMBER(SEARCH("%", A3637)),RIGHT(A3637,3),A3637)</f>
        <v>0.01</v>
      </c>
      <c r="C3637" s="2" t="s">
        <v>2812</v>
      </c>
    </row>
    <row r="3638" customFormat="false" ht="12.75" hidden="false" customHeight="true" outlineLevel="0" collapsed="false">
      <c r="A3638" s="3" t="s">
        <v>3694</v>
      </c>
      <c r="B3638" s="3" t="str">
        <f aca="false">IF(ISNUMBER(SEARCH("%", A3638)),RIGHT(A3638,3),A3638)</f>
        <v>20, 20, STANTLER</v>
      </c>
      <c r="C3638" s="2" t="s">
        <v>3694</v>
      </c>
    </row>
    <row r="3639" customFormat="false" ht="12.75" hidden="false" customHeight="true" outlineLevel="0" collapsed="false">
      <c r="A3639" s="3" t="s">
        <v>3698</v>
      </c>
      <c r="B3639" s="3" t="str">
        <f aca="false">IF(ISNUMBER(SEARCH("%", A3639)),RIGHT(A3639,3),A3639)</f>
        <v>26, 26, STANTLER , &lt;null&gt;, &lt;null&gt;, &lt;null&gt;</v>
      </c>
      <c r="C3639" s="2" t="s">
        <v>3698</v>
      </c>
    </row>
    <row r="3640" customFormat="false" ht="12.75" hidden="false" customHeight="true" outlineLevel="0" collapsed="false">
      <c r="A3640" s="3"/>
      <c r="B3640" s="3" t="n">
        <f aca="false">IF(ISNUMBER(SEARCH("%", A3640)),RIGHT(A3640,3),A3640)</f>
        <v>0</v>
      </c>
      <c r="C3640" s="2"/>
    </row>
    <row r="3641" customFormat="false" ht="12.75" hidden="false" customHeight="true" outlineLevel="0" collapsed="false">
      <c r="A3641" s="3" t="s">
        <v>2536</v>
      </c>
      <c r="B3641" s="3" t="str">
        <f aca="false">IF(ISNUMBER(SEARCH("%", A3641)),RIGHT(A3641,3),A3641)</f>
        <v>NEW ROUTE</v>
      </c>
      <c r="C3641" s="2" t="s">
        <v>2536</v>
      </c>
    </row>
    <row r="3642" customFormat="false" ht="12.75" hidden="false" customHeight="true" outlineLevel="0" collapsed="false">
      <c r="A3642" s="3" t="s">
        <v>3649</v>
      </c>
      <c r="B3642" s="3" t="str">
        <f aca="false">IF(ISNUMBER(SEARCH("%", A3642)),RIGHT(A3642,3),A3642)</f>
        <v>1, 122, 0,</v>
      </c>
      <c r="C3642" s="2" t="s">
        <v>3649</v>
      </c>
    </row>
    <row r="3643" customFormat="false" ht="12.75" hidden="false" customHeight="true" outlineLevel="0" collapsed="false">
      <c r="A3643" s="3" t="s">
        <v>2816</v>
      </c>
      <c r="B3643" s="3" t="str">
        <f aca="false">IF(ISNUMBER(SEARCH("%", A3643)),RIGHT(A3643,3),A3643)</f>
        <v>20%</v>
      </c>
      <c r="C3643" s="2" t="s">
        <v>2799</v>
      </c>
    </row>
    <row r="3644" customFormat="false" ht="12.75" hidden="false" customHeight="true" outlineLevel="0" collapsed="false">
      <c r="A3644" s="3" t="s">
        <v>2203</v>
      </c>
      <c r="B3644" s="3" t="str">
        <f aca="false">IF(ISNUMBER(SEARCH("%", A3644)),RIGHT(A3644,3),A3644)</f>
        <v>22, 22, SMEARGLE</v>
      </c>
      <c r="C3644" s="2" t="s">
        <v>2203</v>
      </c>
    </row>
    <row r="3645" customFormat="false" ht="12.75" hidden="false" customHeight="true" outlineLevel="0" collapsed="false">
      <c r="A3645" s="3" t="s">
        <v>3699</v>
      </c>
      <c r="B3645" s="3" t="str">
        <f aca="false">IF(ISNUMBER(SEARCH("%", A3645)),RIGHT(A3645,3),A3645)</f>
        <v>24, 24, SMEARGLE</v>
      </c>
      <c r="C3645" s="2" t="s">
        <v>3699</v>
      </c>
    </row>
    <row r="3646" customFormat="false" ht="12.75" hidden="false" customHeight="true" outlineLevel="0" collapsed="false">
      <c r="A3646" s="3"/>
      <c r="B3646" s="3" t="n">
        <f aca="false">IF(ISNUMBER(SEARCH("%", A3646)),RIGHT(A3646,3),A3646)</f>
        <v>0</v>
      </c>
      <c r="C3646" s="2"/>
    </row>
    <row r="3647" customFormat="false" ht="12.75" hidden="false" customHeight="true" outlineLevel="0" collapsed="false">
      <c r="A3647" s="3" t="s">
        <v>2801</v>
      </c>
      <c r="B3647" s="3" t="str">
        <f aca="false">IF(ISNUMBER(SEARCH("%", A3647)),RIGHT(A3647,3),A3647)</f>
        <v>0.1</v>
      </c>
      <c r="C3647" s="2" t="s">
        <v>2801</v>
      </c>
    </row>
    <row r="3648" customFormat="false" ht="12.75" hidden="false" customHeight="true" outlineLevel="0" collapsed="false">
      <c r="A3648" s="3" t="s">
        <v>3700</v>
      </c>
      <c r="B3648" s="3" t="str">
        <f aca="false">IF(ISNUMBER(SEARCH("%", A3648)),RIGHT(A3648,3),A3648)</f>
        <v>20, 20, SMEARGLE</v>
      </c>
      <c r="C3648" s="2" t="s">
        <v>3700</v>
      </c>
    </row>
    <row r="3649" customFormat="false" ht="12.75" hidden="false" customHeight="true" outlineLevel="0" collapsed="false">
      <c r="A3649" s="3" t="s">
        <v>3701</v>
      </c>
      <c r="B3649" s="3" t="str">
        <f aca="false">IF(ISNUMBER(SEARCH("%", A3649)),RIGHT(A3649,3),A3649)</f>
        <v>26, 26, SMEARGLE</v>
      </c>
      <c r="C3649" s="2" t="s">
        <v>3701</v>
      </c>
    </row>
    <row r="3650" customFormat="false" ht="12.75" hidden="false" customHeight="true" outlineLevel="0" collapsed="false">
      <c r="A3650" s="3" t="s">
        <v>2203</v>
      </c>
      <c r="B3650" s="3" t="str">
        <f aca="false">IF(ISNUMBER(SEARCH("%", A3650)),RIGHT(A3650,3),A3650)</f>
        <v>22, 22, SMEARGLE</v>
      </c>
      <c r="C3650" s="2" t="s">
        <v>2203</v>
      </c>
    </row>
    <row r="3651" customFormat="false" ht="12.75" hidden="false" customHeight="true" outlineLevel="0" collapsed="false">
      <c r="A3651" s="3" t="s">
        <v>3699</v>
      </c>
      <c r="B3651" s="3" t="str">
        <f aca="false">IF(ISNUMBER(SEARCH("%", A3651)),RIGHT(A3651,3),A3651)</f>
        <v>24, 24, SMEARGLE</v>
      </c>
      <c r="C3651" s="2" t="s">
        <v>3699</v>
      </c>
    </row>
    <row r="3652" customFormat="false" ht="12.75" hidden="false" customHeight="true" outlineLevel="0" collapsed="false">
      <c r="A3652" s="3"/>
      <c r="B3652" s="3" t="n">
        <f aca="false">IF(ISNUMBER(SEARCH("%", A3652)),RIGHT(A3652,3),A3652)</f>
        <v>0</v>
      </c>
      <c r="C3652" s="2"/>
    </row>
    <row r="3653" customFormat="false" ht="12.75" hidden="false" customHeight="true" outlineLevel="0" collapsed="false">
      <c r="A3653" s="3" t="s">
        <v>2806</v>
      </c>
      <c r="B3653" s="3" t="str">
        <f aca="false">IF(ISNUMBER(SEARCH("%", A3653)),RIGHT(A3653,3),A3653)</f>
        <v>0.05</v>
      </c>
      <c r="C3653" s="2" t="s">
        <v>2806</v>
      </c>
    </row>
    <row r="3654" customFormat="false" ht="12.75" hidden="false" customHeight="true" outlineLevel="0" collapsed="false">
      <c r="A3654" s="3" t="s">
        <v>3702</v>
      </c>
      <c r="B3654" s="3" t="str">
        <f aca="false">IF(ISNUMBER(SEARCH("%", A3654)),RIGHT(A3654,3),A3654)</f>
        <v>28, 28, SMEARGLE</v>
      </c>
      <c r="C3654" s="2" t="s">
        <v>3702</v>
      </c>
    </row>
    <row r="3655" customFormat="false" ht="12.75" hidden="false" customHeight="true" outlineLevel="0" collapsed="false">
      <c r="A3655" s="3" t="s">
        <v>3703</v>
      </c>
      <c r="B3655" s="3" t="str">
        <f aca="false">IF(ISNUMBER(SEARCH("%", A3655)),RIGHT(A3655,3),A3655)</f>
        <v>18, 18, SMEARGLE</v>
      </c>
      <c r="C3655" s="2" t="s">
        <v>3703</v>
      </c>
    </row>
    <row r="3656" customFormat="false" ht="12.75" hidden="false" customHeight="true" outlineLevel="0" collapsed="false">
      <c r="A3656" s="3"/>
      <c r="B3656" s="3" t="n">
        <f aca="false">IF(ISNUMBER(SEARCH("%", A3656)),RIGHT(A3656,3),A3656)</f>
        <v>0</v>
      </c>
      <c r="C3656" s="2"/>
    </row>
    <row r="3657" customFormat="false" ht="12.75" hidden="false" customHeight="true" outlineLevel="0" collapsed="false">
      <c r="A3657" s="3" t="s">
        <v>2809</v>
      </c>
      <c r="B3657" s="3" t="str">
        <f aca="false">IF(ISNUMBER(SEARCH("%", A3657)),RIGHT(A3657,3),A3657)</f>
        <v>0.04</v>
      </c>
      <c r="C3657" s="2" t="s">
        <v>2809</v>
      </c>
    </row>
    <row r="3658" customFormat="false" ht="12.75" hidden="false" customHeight="true" outlineLevel="0" collapsed="false">
      <c r="A3658" s="3" t="s">
        <v>3700</v>
      </c>
      <c r="B3658" s="3" t="str">
        <f aca="false">IF(ISNUMBER(SEARCH("%", A3658)),RIGHT(A3658,3),A3658)</f>
        <v>20, 20, SMEARGLE</v>
      </c>
      <c r="C3658" s="2" t="s">
        <v>3700</v>
      </c>
    </row>
    <row r="3659" customFormat="false" ht="12.75" hidden="false" customHeight="true" outlineLevel="0" collapsed="false">
      <c r="A3659" s="3" t="s">
        <v>3701</v>
      </c>
      <c r="B3659" s="3" t="str">
        <f aca="false">IF(ISNUMBER(SEARCH("%", A3659)),RIGHT(A3659,3),A3659)</f>
        <v>26, 26, SMEARGLE</v>
      </c>
      <c r="C3659" s="2" t="s">
        <v>3701</v>
      </c>
    </row>
    <row r="3660" customFormat="false" ht="12.75" hidden="false" customHeight="true" outlineLevel="0" collapsed="false">
      <c r="A3660" s="3"/>
      <c r="B3660" s="3" t="n">
        <f aca="false">IF(ISNUMBER(SEARCH("%", A3660)),RIGHT(A3660,3),A3660)</f>
        <v>0</v>
      </c>
      <c r="C3660" s="2"/>
    </row>
    <row r="3661" customFormat="false" ht="12.75" hidden="false" customHeight="true" outlineLevel="0" collapsed="false">
      <c r="A3661" s="3" t="s">
        <v>2812</v>
      </c>
      <c r="B3661" s="3" t="str">
        <f aca="false">IF(ISNUMBER(SEARCH("%", A3661)),RIGHT(A3661,3),A3661)</f>
        <v>0.01</v>
      </c>
      <c r="C3661" s="2" t="s">
        <v>2812</v>
      </c>
    </row>
    <row r="3662" customFormat="false" ht="12.75" hidden="false" customHeight="true" outlineLevel="0" collapsed="false">
      <c r="A3662" s="3" t="s">
        <v>3700</v>
      </c>
      <c r="B3662" s="3" t="str">
        <f aca="false">IF(ISNUMBER(SEARCH("%", A3662)),RIGHT(A3662,3),A3662)</f>
        <v>20, 20, SMEARGLE</v>
      </c>
      <c r="C3662" s="2" t="s">
        <v>3700</v>
      </c>
    </row>
    <row r="3663" customFormat="false" ht="12.75" hidden="false" customHeight="true" outlineLevel="0" collapsed="false">
      <c r="A3663" s="3" t="s">
        <v>3704</v>
      </c>
      <c r="B3663" s="3" t="str">
        <f aca="false">IF(ISNUMBER(SEARCH("%", A3663)),RIGHT(A3663,3),A3663)</f>
        <v>26, 26, SMEARGLE , &lt;null&gt;, &lt;null&gt;, &lt;null&gt;</v>
      </c>
      <c r="C3663" s="2" t="s">
        <v>3704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0" width="44.38"/>
    <col collapsed="false" customWidth="true" hidden="false" outlineLevel="0" max="11" min="3" style="0" width="8.63"/>
    <col collapsed="false" customWidth="true" hidden="false" outlineLevel="0" max="13" min="12" style="0" width="44.38"/>
  </cols>
  <sheetData>
    <row r="1" customFormat="false" ht="12.75" hidden="false" customHeight="true" outlineLevel="0" collapsed="false">
      <c r="A1" s="3" t="s">
        <v>2536</v>
      </c>
      <c r="B1" s="3" t="str">
        <f aca="false">IF(ISNUMBER(SEARCH("%", A1)),RIGHT(A1,3),A1)</f>
        <v>NEW ROUTE</v>
      </c>
      <c r="J1" s="1" t="str">
        <f aca="false">IF(H1&lt;&gt;"","0x"&amp;I1&amp;H1,"")</f>
        <v/>
      </c>
      <c r="L1" s="1" t="s">
        <v>2536</v>
      </c>
      <c r="M1" s="1" t="str">
        <f aca="false">IF(J1&lt;&gt;"",J1,L1)</f>
        <v>NEW ROUTE</v>
      </c>
    </row>
    <row r="2" customFormat="false" ht="12.75" hidden="false" customHeight="true" outlineLevel="0" collapsed="false">
      <c r="A2" s="3" t="s">
        <v>2797</v>
      </c>
      <c r="B2" s="3" t="str">
        <f aca="false">IF(ISNUMBER(SEARCH("%", A2)),RIGHT(A2,3),A2)</f>
        <v>1, 0, 0,</v>
      </c>
      <c r="C2" s="1" t="e">
        <f aca="false" t="array" ref="C2:C2">IF(B1="NEW ROUTE",textsplit(B2,","),"")</f>
        <v>#NAME?</v>
      </c>
      <c r="H2" s="1" t="e">
        <f aca="false">IF(C2&lt;&gt;"",DEC2HEX(C2,2),"")</f>
        <v>#NAME?</v>
      </c>
      <c r="I2" s="1" t="str">
        <f aca="false">IF(D2&lt;&gt;"",DEC2HEX(D2,2),"")</f>
        <v/>
      </c>
      <c r="J2" s="1" t="e">
        <f aca="false">IF(H2&lt;&gt;"","0x"&amp;I2&amp;H2,"")</f>
        <v>#NAME?</v>
      </c>
      <c r="L2" s="1" t="s">
        <v>2797</v>
      </c>
      <c r="M2" s="1" t="e">
        <f aca="false">IF(J2&lt;&gt;"",J2,L2)</f>
        <v>#NAME?</v>
      </c>
    </row>
    <row r="3" customFormat="false" ht="12.75" hidden="false" customHeight="true" outlineLevel="0" collapsed="false">
      <c r="A3" s="3" t="s">
        <v>2798</v>
      </c>
      <c r="B3" s="3" t="str">
        <f aca="false">IF(ISNUMBER(SEARCH("%", A3)),RIGHT(A3,3),A3)</f>
        <v>20%</v>
      </c>
      <c r="C3" s="1" t="str">
        <f aca="false" t="array" ref="C3:C3">IF(B2="NEW ROUTE",textsplit(B3,","),"")</f>
        <v/>
      </c>
      <c r="H3" s="1" t="str">
        <f aca="false">IF(C3&lt;&gt;"",DEC2HEX(C3,2),"")</f>
        <v/>
      </c>
      <c r="I3" s="1" t="str">
        <f aca="false">IF(D3&lt;&gt;"",DEC2HEX(D3,2),"")</f>
        <v/>
      </c>
      <c r="J3" s="1" t="str">
        <f aca="false">IF(H3&lt;&gt;"","0x"&amp;I3&amp;H3,"")</f>
        <v/>
      </c>
      <c r="L3" s="1" t="s">
        <v>2799</v>
      </c>
      <c r="M3" s="1" t="str">
        <f aca="false">IF(J3&lt;&gt;"",J3,L3)</f>
        <v>20%</v>
      </c>
    </row>
    <row r="4" customFormat="false" ht="12.75" hidden="false" customHeight="true" outlineLevel="0" collapsed="false">
      <c r="A4" s="3" t="s">
        <v>1221</v>
      </c>
      <c r="B4" s="3" t="str">
        <f aca="false">IF(ISNUMBER(SEARCH("%", A4)),RIGHT(A4,3),A4)</f>
        <v>4, 6, CATERPIE</v>
      </c>
      <c r="C4" s="1" t="str">
        <f aca="false" t="array" ref="C4:C4">IF(B3="NEW ROUTE",textsplit(B4,","),"")</f>
        <v/>
      </c>
      <c r="H4" s="1" t="str">
        <f aca="false">IF(C4&lt;&gt;"",DEC2HEX(C4,2),"")</f>
        <v/>
      </c>
      <c r="I4" s="1" t="str">
        <f aca="false">IF(D4&lt;&gt;"",DEC2HEX(D4,2),"")</f>
        <v/>
      </c>
      <c r="J4" s="1" t="str">
        <f aca="false">IF(H4&lt;&gt;"","0x"&amp;I4&amp;H4,"")</f>
        <v/>
      </c>
      <c r="L4" s="1" t="s">
        <v>1221</v>
      </c>
      <c r="M4" s="1" t="str">
        <f aca="false">IF(J4&lt;&gt;"",J4,L4)</f>
        <v>4, 6, CATERPIE</v>
      </c>
    </row>
    <row r="5" customFormat="false" ht="12.75" hidden="false" customHeight="true" outlineLevel="0" collapsed="false">
      <c r="A5" s="3" t="s">
        <v>2800</v>
      </c>
      <c r="B5" s="3" t="str">
        <f aca="false">IF(ISNUMBER(SEARCH("%", A5)),RIGHT(A5,3),A5)</f>
        <v>4, 6, WEEDLE</v>
      </c>
      <c r="C5" s="1" t="str">
        <f aca="false" t="array" ref="C5:C5">IF(B4="NEW ROUTE",textsplit(B5,","),"")</f>
        <v/>
      </c>
      <c r="H5" s="1" t="str">
        <f aca="false">IF(C5&lt;&gt;"",DEC2HEX(C5,2),"")</f>
        <v/>
      </c>
      <c r="I5" s="1" t="str">
        <f aca="false">IF(D5&lt;&gt;"",DEC2HEX(D5,2),"")</f>
        <v/>
      </c>
      <c r="J5" s="1" t="str">
        <f aca="false">IF(H5&lt;&gt;"","0x"&amp;I5&amp;H5,"")</f>
        <v/>
      </c>
      <c r="L5" s="1" t="s">
        <v>2800</v>
      </c>
      <c r="M5" s="1" t="str">
        <f aca="false">IF(J5&lt;&gt;"",J5,L5)</f>
        <v>4, 6, WEEDLE</v>
      </c>
    </row>
    <row r="6" customFormat="false" ht="12.75" hidden="false" customHeight="true" outlineLevel="0" collapsed="false">
      <c r="A6" s="3" t="s">
        <v>2801</v>
      </c>
      <c r="B6" s="3" t="str">
        <f aca="false">IF(ISNUMBER(SEARCH("%", A6)),RIGHT(A6,3),A6)</f>
        <v>0.1</v>
      </c>
      <c r="C6" s="1" t="str">
        <f aca="false" t="array" ref="C6:C6">IF(B5="NEW ROUTE",textsplit(B6,","),"")</f>
        <v/>
      </c>
      <c r="H6" s="1" t="str">
        <f aca="false">IF(C6&lt;&gt;"",DEC2HEX(C6,2),"")</f>
        <v/>
      </c>
      <c r="I6" s="1" t="str">
        <f aca="false">IF(D6&lt;&gt;"",DEC2HEX(D6,2),"")</f>
        <v/>
      </c>
      <c r="J6" s="1" t="str">
        <f aca="false">IF(H6&lt;&gt;"","0x"&amp;I6&amp;H6,"")</f>
        <v/>
      </c>
      <c r="L6" s="1" t="s">
        <v>2801</v>
      </c>
      <c r="M6" s="1" t="str">
        <f aca="false">IF(J6&lt;&gt;"",J6,L6)</f>
        <v>0.1</v>
      </c>
    </row>
    <row r="7" customFormat="false" ht="12.75" hidden="false" customHeight="true" outlineLevel="0" collapsed="false">
      <c r="A7" s="3" t="s">
        <v>2802</v>
      </c>
      <c r="B7" s="3" t="str">
        <f aca="false">IF(ISNUMBER(SEARCH("%", A7)),RIGHT(A7,3),A7)</f>
        <v>5, 7, ODDISH</v>
      </c>
      <c r="C7" s="1" t="str">
        <f aca="false" t="array" ref="C7:C7">IF(B6="NEW ROUTE",textsplit(B7,","),"")</f>
        <v/>
      </c>
      <c r="H7" s="1" t="str">
        <f aca="false">IF(C7&lt;&gt;"",DEC2HEX(C7,2),"")</f>
        <v/>
      </c>
      <c r="I7" s="1" t="str">
        <f aca="false">IF(D7&lt;&gt;"",DEC2HEX(D7,2),"")</f>
        <v/>
      </c>
      <c r="J7" s="1" t="str">
        <f aca="false">IF(H7&lt;&gt;"","0x"&amp;I7&amp;H7,"")</f>
        <v/>
      </c>
      <c r="L7" s="1" t="s">
        <v>2802</v>
      </c>
      <c r="M7" s="1" t="str">
        <f aca="false">IF(J7&lt;&gt;"",J7,L7)</f>
        <v>5, 7, ODDISH</v>
      </c>
    </row>
    <row r="8" customFormat="false" ht="12.75" hidden="false" customHeight="true" outlineLevel="0" collapsed="false">
      <c r="A8" s="3" t="s">
        <v>2803</v>
      </c>
      <c r="B8" s="3" t="str">
        <f aca="false">IF(ISNUMBER(SEARCH("%", A8)),RIGHT(A8,3),A8)</f>
        <v>7, 9, METAPOD</v>
      </c>
      <c r="C8" s="1" t="str">
        <f aca="false" t="array" ref="C8:C8">IF(B7="NEW ROUTE",textsplit(B8,","),"")</f>
        <v/>
      </c>
      <c r="H8" s="1" t="str">
        <f aca="false">IF(C8&lt;&gt;"",DEC2HEX(C8,2),"")</f>
        <v/>
      </c>
      <c r="I8" s="1" t="str">
        <f aca="false">IF(D8&lt;&gt;"",DEC2HEX(D8,2),"")</f>
        <v/>
      </c>
      <c r="J8" s="1" t="str">
        <f aca="false">IF(H8&lt;&gt;"","0x"&amp;I8&amp;H8,"")</f>
        <v/>
      </c>
      <c r="L8" s="1" t="s">
        <v>2803</v>
      </c>
      <c r="M8" s="1" t="str">
        <f aca="false">IF(J8&lt;&gt;"",J8,L8)</f>
        <v>7, 9, METAPOD</v>
      </c>
    </row>
    <row r="9" customFormat="false" ht="12.75" hidden="false" customHeight="true" outlineLevel="0" collapsed="false">
      <c r="A9" s="3" t="s">
        <v>2804</v>
      </c>
      <c r="B9" s="3" t="str">
        <f aca="false">IF(ISNUMBER(SEARCH("%", A9)),RIGHT(A9,3),A9)</f>
        <v>7, 9, KAKUNA</v>
      </c>
      <c r="C9" s="1" t="str">
        <f aca="false" t="array" ref="C9:C9">IF(B8="NEW ROUTE",textsplit(B9,","),"")</f>
        <v/>
      </c>
      <c r="H9" s="1" t="str">
        <f aca="false">IF(C9&lt;&gt;"",DEC2HEX(C9,2),"")</f>
        <v/>
      </c>
      <c r="I9" s="1" t="str">
        <f aca="false">IF(D9&lt;&gt;"",DEC2HEX(D9,2),"")</f>
        <v/>
      </c>
      <c r="J9" s="1" t="str">
        <f aca="false">IF(H9&lt;&gt;"","0x"&amp;I9&amp;H9,"")</f>
        <v/>
      </c>
      <c r="L9" s="1" t="s">
        <v>2804</v>
      </c>
      <c r="M9" s="1" t="str">
        <f aca="false">IF(J9&lt;&gt;"",J9,L9)</f>
        <v>7, 9, KAKUNA</v>
      </c>
    </row>
    <row r="10" customFormat="false" ht="12.75" hidden="false" customHeight="true" outlineLevel="0" collapsed="false">
      <c r="A10" s="3" t="s">
        <v>2805</v>
      </c>
      <c r="B10" s="3" t="str">
        <f aca="false">IF(ISNUMBER(SEARCH("%", A10)),RIGHT(A10,3),A10)</f>
        <v>5, 7, PIKACHU</v>
      </c>
      <c r="C10" s="1" t="str">
        <f aca="false" t="array" ref="C10:C10">IF(B9="NEW ROUTE",textsplit(B10,","),"")</f>
        <v/>
      </c>
      <c r="H10" s="1" t="str">
        <f aca="false">IF(C10&lt;&gt;"",DEC2HEX(C10,2),"")</f>
        <v/>
      </c>
      <c r="I10" s="1" t="str">
        <f aca="false">IF(D10&lt;&gt;"",DEC2HEX(D10,2),"")</f>
        <v/>
      </c>
      <c r="J10" s="1" t="str">
        <f aca="false">IF(H10&lt;&gt;"","0x"&amp;I10&amp;H10,"")</f>
        <v/>
      </c>
      <c r="L10" s="1" t="s">
        <v>2805</v>
      </c>
      <c r="M10" s="1" t="str">
        <f aca="false">IF(J10&lt;&gt;"",J10,L10)</f>
        <v>5, 7, PIKACHU</v>
      </c>
    </row>
    <row r="11" customFormat="false" ht="12.75" hidden="false" customHeight="true" outlineLevel="0" collapsed="false">
      <c r="A11" s="3" t="s">
        <v>2806</v>
      </c>
      <c r="B11" s="3" t="str">
        <f aca="false">IF(ISNUMBER(SEARCH("%", A11)),RIGHT(A11,3),A11)</f>
        <v>0.05</v>
      </c>
      <c r="C11" s="1" t="str">
        <f aca="false" t="array" ref="C11:C11">IF(B10="NEW ROUTE",textsplit(B11,","),"")</f>
        <v/>
      </c>
      <c r="H11" s="1" t="str">
        <f aca="false">IF(C11&lt;&gt;"",DEC2HEX(C11,2),"")</f>
        <v/>
      </c>
      <c r="I11" s="1" t="str">
        <f aca="false">IF(D11&lt;&gt;"",DEC2HEX(D11,2),"")</f>
        <v/>
      </c>
      <c r="J11" s="1" t="str">
        <f aca="false">IF(H11&lt;&gt;"","0x"&amp;I11&amp;H11,"")</f>
        <v/>
      </c>
      <c r="L11" s="1" t="s">
        <v>2806</v>
      </c>
      <c r="M11" s="1" t="str">
        <f aca="false">IF(J11&lt;&gt;"",J11,L11)</f>
        <v>0.05</v>
      </c>
    </row>
    <row r="12" customFormat="false" ht="12.75" hidden="false" customHeight="true" outlineLevel="0" collapsed="false">
      <c r="A12" s="3" t="s">
        <v>2807</v>
      </c>
      <c r="B12" s="3" t="str">
        <f aca="false">IF(ISNUMBER(SEARCH("%", A12)),RIGHT(A12,3),A12)</f>
        <v>5, 7, MANKEY</v>
      </c>
      <c r="C12" s="1" t="str">
        <f aca="false" t="array" ref="C12:C12">IF(B11="NEW ROUTE",textsplit(B12,","),"")</f>
        <v/>
      </c>
      <c r="H12" s="1" t="str">
        <f aca="false">IF(C12&lt;&gt;"",DEC2HEX(C12,2),"")</f>
        <v/>
      </c>
      <c r="I12" s="1" t="str">
        <f aca="false">IF(D12&lt;&gt;"",DEC2HEX(D12,2),"")</f>
        <v/>
      </c>
      <c r="J12" s="1" t="str">
        <f aca="false">IF(H12&lt;&gt;"","0x"&amp;I12&amp;H12,"")</f>
        <v/>
      </c>
      <c r="L12" s="1" t="s">
        <v>2807</v>
      </c>
      <c r="M12" s="1" t="str">
        <f aca="false">IF(J12&lt;&gt;"",J12,L12)</f>
        <v>5, 7, MANKEY</v>
      </c>
    </row>
    <row r="13" customFormat="false" ht="12.75" hidden="false" customHeight="true" outlineLevel="0" collapsed="false">
      <c r="A13" s="3" t="s">
        <v>2808</v>
      </c>
      <c r="B13" s="3" t="str">
        <f aca="false">IF(ISNUMBER(SEARCH("%", A13)),RIGHT(A13,3),A13)</f>
        <v>9, 10, BUTTERFREE</v>
      </c>
      <c r="C13" s="1" t="str">
        <f aca="false" t="array" ref="C13:C13">IF(B12="NEW ROUTE",textsplit(B13,","),"")</f>
        <v/>
      </c>
      <c r="H13" s="1" t="str">
        <f aca="false">IF(C13&lt;&gt;"",DEC2HEX(C13,2),"")</f>
        <v/>
      </c>
      <c r="I13" s="1" t="str">
        <f aca="false">IF(D13&lt;&gt;"",DEC2HEX(D13,2),"")</f>
        <v/>
      </c>
      <c r="J13" s="1" t="str">
        <f aca="false">IF(H13&lt;&gt;"","0x"&amp;I13&amp;H13,"")</f>
        <v/>
      </c>
      <c r="L13" s="1" t="s">
        <v>2808</v>
      </c>
      <c r="M13" s="1" t="str">
        <f aca="false">IF(J13&lt;&gt;"",J13,L13)</f>
        <v>9, 10, BUTTERFREE</v>
      </c>
    </row>
    <row r="14" customFormat="false" ht="12.75" hidden="false" customHeight="true" outlineLevel="0" collapsed="false">
      <c r="A14" s="3" t="s">
        <v>2809</v>
      </c>
      <c r="B14" s="3" t="str">
        <f aca="false">IF(ISNUMBER(SEARCH("%", A14)),RIGHT(A14,3),A14)</f>
        <v>0.04</v>
      </c>
      <c r="C14" s="1" t="str">
        <f aca="false" t="array" ref="C14:C14">IF(B13="NEW ROUTE",textsplit(B14,","),"")</f>
        <v/>
      </c>
      <c r="H14" s="1" t="str">
        <f aca="false">IF(C14&lt;&gt;"",DEC2HEX(C14,2),"")</f>
        <v/>
      </c>
      <c r="I14" s="1" t="str">
        <f aca="false">IF(D14&lt;&gt;"",DEC2HEX(D14,2),"")</f>
        <v/>
      </c>
      <c r="J14" s="1" t="str">
        <f aca="false">IF(H14&lt;&gt;"","0x"&amp;I14&amp;H14,"")</f>
        <v/>
      </c>
      <c r="L14" s="1" t="s">
        <v>2809</v>
      </c>
      <c r="M14" s="1" t="str">
        <f aca="false">IF(J14&lt;&gt;"",J14,L14)</f>
        <v>0.04</v>
      </c>
    </row>
    <row r="15" customFormat="false" ht="12.75" hidden="false" customHeight="true" outlineLevel="0" collapsed="false">
      <c r="A15" s="3" t="s">
        <v>2810</v>
      </c>
      <c r="B15" s="3" t="str">
        <f aca="false">IF(ISNUMBER(SEARCH("%", A15)),RIGHT(A15,3),A15)</f>
        <v>9, 10, BEEDRILL</v>
      </c>
      <c r="C15" s="1" t="str">
        <f aca="false" t="array" ref="C15:C15">IF(B14="NEW ROUTE",textsplit(B15,","),"")</f>
        <v/>
      </c>
      <c r="H15" s="1" t="str">
        <f aca="false">IF(C15&lt;&gt;"",DEC2HEX(C15,2),"")</f>
        <v/>
      </c>
      <c r="I15" s="1" t="str">
        <f aca="false">IF(D15&lt;&gt;"",DEC2HEX(D15,2),"")</f>
        <v/>
      </c>
      <c r="J15" s="1" t="str">
        <f aca="false">IF(H15&lt;&gt;"","0x"&amp;I15&amp;H15,"")</f>
        <v/>
      </c>
      <c r="L15" s="1" t="s">
        <v>2810</v>
      </c>
      <c r="M15" s="1" t="str">
        <f aca="false">IF(J15&lt;&gt;"",J15,L15)</f>
        <v>9, 10, BEEDRILL</v>
      </c>
    </row>
    <row r="16" customFormat="false" ht="12.75" hidden="false" customHeight="true" outlineLevel="0" collapsed="false">
      <c r="A16" s="3" t="s">
        <v>2811</v>
      </c>
      <c r="B16" s="3" t="str">
        <f aca="false">IF(ISNUMBER(SEARCH("%", A16)),RIGHT(A16,3),A16)</f>
        <v>6, 9, TANGELA</v>
      </c>
      <c r="C16" s="1" t="str">
        <f aca="false" t="array" ref="C16:C16">IF(B15="NEW ROUTE",textsplit(B16,","),"")</f>
        <v/>
      </c>
      <c r="H16" s="1" t="str">
        <f aca="false">IF(C16&lt;&gt;"",DEC2HEX(C16,2),"")</f>
        <v/>
      </c>
      <c r="I16" s="1" t="str">
        <f aca="false">IF(D16&lt;&gt;"",DEC2HEX(D16,2),"")</f>
        <v/>
      </c>
      <c r="J16" s="1" t="str">
        <f aca="false">IF(H16&lt;&gt;"","0x"&amp;I16&amp;H16,"")</f>
        <v/>
      </c>
      <c r="L16" s="1" t="s">
        <v>2811</v>
      </c>
      <c r="M16" s="1" t="str">
        <f aca="false">IF(J16&lt;&gt;"",J16,L16)</f>
        <v>6, 9, TANGELA</v>
      </c>
    </row>
    <row r="17" customFormat="false" ht="12.75" hidden="false" customHeight="true" outlineLevel="0" collapsed="false">
      <c r="A17" s="3" t="s">
        <v>2812</v>
      </c>
      <c r="B17" s="3" t="str">
        <f aca="false">IF(ISNUMBER(SEARCH("%", A17)),RIGHT(A17,3),A17)</f>
        <v>0.01</v>
      </c>
      <c r="C17" s="1" t="str">
        <f aca="false" t="array" ref="C17:C17">IF(B16="NEW ROUTE",textsplit(B17,","),"")</f>
        <v/>
      </c>
      <c r="H17" s="1" t="str">
        <f aca="false">IF(C17&lt;&gt;"",DEC2HEX(C17,2),"")</f>
        <v/>
      </c>
      <c r="I17" s="1" t="str">
        <f aca="false">IF(D17&lt;&gt;"",DEC2HEX(D17,2),"")</f>
        <v/>
      </c>
      <c r="J17" s="1" t="str">
        <f aca="false">IF(H17&lt;&gt;"","0x"&amp;I17&amp;H17,"")</f>
        <v/>
      </c>
      <c r="L17" s="1" t="s">
        <v>2812</v>
      </c>
      <c r="M17" s="1" t="str">
        <f aca="false">IF(J17&lt;&gt;"",J17,L17)</f>
        <v>0.01</v>
      </c>
    </row>
    <row r="18" customFormat="false" ht="12.75" hidden="false" customHeight="true" outlineLevel="0" collapsed="false">
      <c r="A18" s="3" t="s">
        <v>2813</v>
      </c>
      <c r="B18" s="3" t="str">
        <f aca="false">IF(ISNUMBER(SEARCH("%", A18)),RIGHT(A18,3),A18)</f>
        <v>11, 11, BEEDRILL</v>
      </c>
      <c r="C18" s="1" t="str">
        <f aca="false" t="array" ref="C18:C18">IF(B17="NEW ROUTE",textsplit(B18,","),"")</f>
        <v/>
      </c>
      <c r="H18" s="1" t="str">
        <f aca="false">IF(C18&lt;&gt;"",DEC2HEX(C18,2),"")</f>
        <v/>
      </c>
      <c r="I18" s="1" t="str">
        <f aca="false">IF(D18&lt;&gt;"",DEC2HEX(D18,2),"")</f>
        <v/>
      </c>
      <c r="J18" s="1" t="str">
        <f aca="false">IF(H18&lt;&gt;"","0x"&amp;I18&amp;H18,"")</f>
        <v/>
      </c>
      <c r="L18" s="1" t="s">
        <v>2813</v>
      </c>
      <c r="M18" s="1" t="str">
        <f aca="false">IF(J18&lt;&gt;"",J18,L18)</f>
        <v>11, 11, BEEDRILL</v>
      </c>
    </row>
    <row r="19" customFormat="false" ht="12.75" hidden="false" customHeight="true" outlineLevel="0" collapsed="false">
      <c r="A19" s="3" t="s">
        <v>2814</v>
      </c>
      <c r="B19" s="3" t="str">
        <f aca="false">IF(ISNUMBER(SEARCH("%", A19)),RIGHT(A19,3),A19)</f>
        <v>10, 10, TANGELA , &lt;null&gt;, &lt;null&gt;, &lt;null&gt;</v>
      </c>
      <c r="C19" s="1" t="str">
        <f aca="false" t="array" ref="C19:C19">IF(B18="NEW ROUTE",textsplit(B19,","),"")</f>
        <v/>
      </c>
      <c r="H19" s="1" t="str">
        <f aca="false">IF(C19&lt;&gt;"",DEC2HEX(C19,2),"")</f>
        <v/>
      </c>
      <c r="I19" s="1" t="str">
        <f aca="false">IF(D19&lt;&gt;"",DEC2HEX(D19,2),"")</f>
        <v/>
      </c>
      <c r="J19" s="1" t="str">
        <f aca="false">IF(H19&lt;&gt;"","0x"&amp;I19&amp;H19,"")</f>
        <v/>
      </c>
      <c r="L19" s="1" t="s">
        <v>2814</v>
      </c>
      <c r="M19" s="1" t="str">
        <f aca="false">IF(J19&lt;&gt;"",J19,L19)</f>
        <v>10, 10, TANGELA , &lt;null&gt;, &lt;null&gt;, &lt;null&gt;</v>
      </c>
    </row>
    <row r="20" customFormat="false" ht="12.75" hidden="false" customHeight="true" outlineLevel="0" collapsed="false">
      <c r="A20" s="3" t="s">
        <v>2536</v>
      </c>
      <c r="B20" s="3" t="str">
        <f aca="false">IF(ISNUMBER(SEARCH("%", A20)),RIGHT(A20,3),A20)</f>
        <v>NEW ROUTE</v>
      </c>
      <c r="C20" s="1" t="str">
        <f aca="false" t="array" ref="C20:C20">IF(B19="NEW ROUTE",textsplit(B20,","),"")</f>
        <v/>
      </c>
      <c r="H20" s="1" t="str">
        <f aca="false">IF(C20&lt;&gt;"",DEC2HEX(C20,2),"")</f>
        <v/>
      </c>
      <c r="I20" s="1" t="str">
        <f aca="false">IF(D20&lt;&gt;"",DEC2HEX(D20,2),"")</f>
        <v/>
      </c>
      <c r="J20" s="1" t="str">
        <f aca="false">IF(H20&lt;&gt;"","0x"&amp;I20&amp;H20,"")</f>
        <v/>
      </c>
      <c r="L20" s="1" t="s">
        <v>2536</v>
      </c>
      <c r="M20" s="1" t="str">
        <f aca="false">IF(J20&lt;&gt;"",J20,L20)</f>
        <v>NEW ROUTE</v>
      </c>
    </row>
    <row r="21" customFormat="false" ht="12.75" hidden="false" customHeight="true" outlineLevel="0" collapsed="false">
      <c r="A21" s="3" t="s">
        <v>2815</v>
      </c>
      <c r="B21" s="3" t="str">
        <f aca="false">IF(ISNUMBER(SEARCH("%", A21)),RIGHT(A21,3),A21)</f>
        <v>1, 1, 0,</v>
      </c>
      <c r="C21" s="1" t="e">
        <f aca="false" t="array" ref="C21:C21">IF(B20="NEW ROUTE",textsplit(B21,","),"")</f>
        <v>#NAME?</v>
      </c>
      <c r="H21" s="1" t="e">
        <f aca="false">IF(C21&lt;&gt;"",DEC2HEX(C21,2),"")</f>
        <v>#NAME?</v>
      </c>
      <c r="I21" s="1" t="str">
        <f aca="false">IF(D21&lt;&gt;"",DEC2HEX(D21,2),"")</f>
        <v/>
      </c>
      <c r="J21" s="1" t="e">
        <f aca="false">IF(H21&lt;&gt;"","0x"&amp;I21&amp;H21,"")</f>
        <v>#NAME?</v>
      </c>
      <c r="L21" s="1" t="s">
        <v>2815</v>
      </c>
      <c r="M21" s="1" t="e">
        <f aca="false">IF(J21&lt;&gt;"",J21,L21)</f>
        <v>#NAME?</v>
      </c>
    </row>
    <row r="22" customFormat="false" ht="12.75" hidden="false" customHeight="true" outlineLevel="0" collapsed="false">
      <c r="A22" s="3" t="s">
        <v>2816</v>
      </c>
      <c r="B22" s="3" t="str">
        <f aca="false">IF(ISNUMBER(SEARCH("%", A22)),RIGHT(A22,3),A22)</f>
        <v>20%</v>
      </c>
      <c r="C22" s="1" t="str">
        <f aca="false" t="array" ref="C22:C22">IF(B21="NEW ROUTE",textsplit(B22,","),"")</f>
        <v/>
      </c>
      <c r="H22" s="1" t="str">
        <f aca="false">IF(C22&lt;&gt;"",DEC2HEX(C22,2),"")</f>
        <v/>
      </c>
      <c r="I22" s="1" t="str">
        <f aca="false">IF(D22&lt;&gt;"",DEC2HEX(D22,2),"")</f>
        <v/>
      </c>
      <c r="J22" s="1" t="str">
        <f aca="false">IF(H22&lt;&gt;"","0x"&amp;I22&amp;H22,"")</f>
        <v/>
      </c>
      <c r="L22" s="1" t="s">
        <v>2799</v>
      </c>
      <c r="M22" s="1" t="str">
        <f aca="false">IF(J22&lt;&gt;"",J22,L22)</f>
        <v>20%</v>
      </c>
    </row>
    <row r="23" customFormat="false" ht="12.75" hidden="false" customHeight="true" outlineLevel="0" collapsed="false">
      <c r="A23" s="3" t="s">
        <v>1234</v>
      </c>
      <c r="B23" s="3" t="str">
        <f aca="false">IF(ISNUMBER(SEARCH("%", A23)),RIGHT(A23,3),A23)</f>
        <v>9, 11, ZUBAT</v>
      </c>
      <c r="C23" s="1" t="str">
        <f aca="false" t="array" ref="C23:C23">IF(B22="NEW ROUTE",textsplit(B23,","),"")</f>
        <v/>
      </c>
      <c r="H23" s="1" t="str">
        <f aca="false">IF(C23&lt;&gt;"",DEC2HEX(C23,2),"")</f>
        <v/>
      </c>
      <c r="I23" s="1" t="str">
        <f aca="false">IF(D23&lt;&gt;"",DEC2HEX(D23,2),"")</f>
        <v/>
      </c>
      <c r="J23" s="1" t="str">
        <f aca="false">IF(H23&lt;&gt;"","0x"&amp;I23&amp;H23,"")</f>
        <v/>
      </c>
      <c r="L23" s="1" t="s">
        <v>1234</v>
      </c>
      <c r="M23" s="1" t="str">
        <f aca="false">IF(J23&lt;&gt;"",J23,L23)</f>
        <v>9, 11, ZUBAT</v>
      </c>
    </row>
    <row r="24" customFormat="false" ht="12.75" hidden="false" customHeight="true" outlineLevel="0" collapsed="false">
      <c r="A24" s="3" t="s">
        <v>1234</v>
      </c>
      <c r="B24" s="3" t="str">
        <f aca="false">IF(ISNUMBER(SEARCH("%", A24)),RIGHT(A24,3),A24)</f>
        <v>9, 11, ZUBAT</v>
      </c>
      <c r="C24" s="1" t="str">
        <f aca="false" t="array" ref="C24:C24">IF(B23="NEW ROUTE",textsplit(B24,","),"")</f>
        <v/>
      </c>
      <c r="H24" s="1" t="str">
        <f aca="false">IF(C24&lt;&gt;"",DEC2HEX(C24,2),"")</f>
        <v/>
      </c>
      <c r="I24" s="1" t="str">
        <f aca="false">IF(D24&lt;&gt;"",DEC2HEX(D24,2),"")</f>
        <v/>
      </c>
      <c r="J24" s="1" t="str">
        <f aca="false">IF(H24&lt;&gt;"","0x"&amp;I24&amp;H24,"")</f>
        <v/>
      </c>
      <c r="L24" s="1" t="s">
        <v>1234</v>
      </c>
      <c r="M24" s="1" t="str">
        <f aca="false">IF(J24&lt;&gt;"",J24,L24)</f>
        <v>9, 11, ZUBAT</v>
      </c>
    </row>
    <row r="25" customFormat="false" ht="12.75" hidden="false" customHeight="true" outlineLevel="0" collapsed="false">
      <c r="A25" s="3" t="s">
        <v>2801</v>
      </c>
      <c r="B25" s="3" t="str">
        <f aca="false">IF(ISNUMBER(SEARCH("%", A25)),RIGHT(A25,3),A25)</f>
        <v>0.1</v>
      </c>
      <c r="C25" s="1" t="str">
        <f aca="false" t="array" ref="C25:C25">IF(B24="NEW ROUTE",textsplit(B25,","),"")</f>
        <v/>
      </c>
      <c r="H25" s="1" t="str">
        <f aca="false">IF(C25&lt;&gt;"",DEC2HEX(C25,2),"")</f>
        <v/>
      </c>
      <c r="I25" s="1" t="str">
        <f aca="false">IF(D25&lt;&gt;"",DEC2HEX(D25,2),"")</f>
        <v/>
      </c>
      <c r="J25" s="1" t="str">
        <f aca="false">IF(H25&lt;&gt;"","0x"&amp;I25&amp;H25,"")</f>
        <v/>
      </c>
      <c r="L25" s="1" t="s">
        <v>2801</v>
      </c>
      <c r="M25" s="1" t="str">
        <f aca="false">IF(J25&lt;&gt;"",J25,L25)</f>
        <v>0.1</v>
      </c>
    </row>
    <row r="26" customFormat="false" ht="12.75" hidden="false" customHeight="true" outlineLevel="0" collapsed="false">
      <c r="A26" s="3" t="s">
        <v>1243</v>
      </c>
      <c r="B26" s="3" t="str">
        <f aca="false">IF(ISNUMBER(SEARCH("%", A26)),RIGHT(A26,3),A26)</f>
        <v>10, 12, ZUBAT</v>
      </c>
      <c r="C26" s="1" t="str">
        <f aca="false" t="array" ref="C26:C26">IF(B25="NEW ROUTE",textsplit(B26,","),"")</f>
        <v/>
      </c>
      <c r="H26" s="1" t="str">
        <f aca="false">IF(C26&lt;&gt;"",DEC2HEX(C26,2),"")</f>
        <v/>
      </c>
      <c r="I26" s="1" t="str">
        <f aca="false">IF(D26&lt;&gt;"",DEC2HEX(D26,2),"")</f>
        <v/>
      </c>
      <c r="J26" s="1" t="str">
        <f aca="false">IF(H26&lt;&gt;"","0x"&amp;I26&amp;H26,"")</f>
        <v/>
      </c>
      <c r="L26" s="1" t="s">
        <v>1243</v>
      </c>
      <c r="M26" s="1" t="str">
        <f aca="false">IF(J26&lt;&gt;"",J26,L26)</f>
        <v>10, 12, ZUBAT</v>
      </c>
    </row>
    <row r="27" customFormat="false" ht="12.75" hidden="false" customHeight="true" outlineLevel="0" collapsed="false">
      <c r="A27" s="3" t="s">
        <v>1243</v>
      </c>
      <c r="B27" s="3" t="str">
        <f aca="false">IF(ISNUMBER(SEARCH("%", A27)),RIGHT(A27,3),A27)</f>
        <v>10, 12, ZUBAT</v>
      </c>
      <c r="C27" s="1" t="str">
        <f aca="false" t="array" ref="C27:C27">IF(B26="NEW ROUTE",textsplit(B27,","),"")</f>
        <v/>
      </c>
      <c r="H27" s="1" t="str">
        <f aca="false">IF(C27&lt;&gt;"",DEC2HEX(C27,2),"")</f>
        <v/>
      </c>
      <c r="I27" s="1" t="str">
        <f aca="false">IF(D27&lt;&gt;"",DEC2HEX(D27,2),"")</f>
        <v/>
      </c>
      <c r="J27" s="1" t="str">
        <f aca="false">IF(H27&lt;&gt;"","0x"&amp;I27&amp;H27,"")</f>
        <v/>
      </c>
      <c r="L27" s="1" t="s">
        <v>1243</v>
      </c>
      <c r="M27" s="1" t="str">
        <f aca="false">IF(J27&lt;&gt;"",J27,L27)</f>
        <v>10, 12, ZUBAT</v>
      </c>
    </row>
    <row r="28" customFormat="false" ht="12.75" hidden="false" customHeight="true" outlineLevel="0" collapsed="false">
      <c r="A28" s="3" t="s">
        <v>2817</v>
      </c>
      <c r="B28" s="3" t="str">
        <f aca="false">IF(ISNUMBER(SEARCH("%", A28)),RIGHT(A28,3),A28)</f>
        <v>10, 12, GEODUDE</v>
      </c>
      <c r="C28" s="1" t="str">
        <f aca="false" t="array" ref="C28:C28">IF(B27="NEW ROUTE",textsplit(B28,","),"")</f>
        <v/>
      </c>
      <c r="H28" s="1" t="str">
        <f aca="false">IF(C28&lt;&gt;"",DEC2HEX(C28,2),"")</f>
        <v/>
      </c>
      <c r="I28" s="1" t="str">
        <f aca="false">IF(D28&lt;&gt;"",DEC2HEX(D28,2),"")</f>
        <v/>
      </c>
      <c r="J28" s="1" t="str">
        <f aca="false">IF(H28&lt;&gt;"","0x"&amp;I28&amp;H28,"")</f>
        <v/>
      </c>
      <c r="L28" s="1" t="s">
        <v>2817</v>
      </c>
      <c r="M28" s="1" t="str">
        <f aca="false">IF(J28&lt;&gt;"",J28,L28)</f>
        <v>10, 12, GEODUDE</v>
      </c>
    </row>
    <row r="29" customFormat="false" ht="12.75" hidden="false" customHeight="true" outlineLevel="0" collapsed="false">
      <c r="A29" s="3" t="s">
        <v>2817</v>
      </c>
      <c r="B29" s="3" t="str">
        <f aca="false">IF(ISNUMBER(SEARCH("%", A29)),RIGHT(A29,3),A29)</f>
        <v>10, 12, GEODUDE</v>
      </c>
      <c r="C29" s="1" t="str">
        <f aca="false" t="array" ref="C29:C29">IF(B28="NEW ROUTE",textsplit(B29,","),"")</f>
        <v/>
      </c>
      <c r="H29" s="1" t="str">
        <f aca="false">IF(C29&lt;&gt;"",DEC2HEX(C29,2),"")</f>
        <v/>
      </c>
      <c r="I29" s="1" t="str">
        <f aca="false">IF(D29&lt;&gt;"",DEC2HEX(D29,2),"")</f>
        <v/>
      </c>
      <c r="J29" s="1" t="str">
        <f aca="false">IF(H29&lt;&gt;"","0x"&amp;I29&amp;H29,"")</f>
        <v/>
      </c>
      <c r="L29" s="1" t="s">
        <v>2817</v>
      </c>
      <c r="M29" s="1" t="str">
        <f aca="false">IF(J29&lt;&gt;"",J29,L29)</f>
        <v>10, 12, GEODUDE</v>
      </c>
    </row>
    <row r="30" customFormat="false" ht="12.75" hidden="false" customHeight="true" outlineLevel="0" collapsed="false">
      <c r="A30" s="3" t="s">
        <v>2806</v>
      </c>
      <c r="B30" s="3" t="str">
        <f aca="false">IF(ISNUMBER(SEARCH("%", A30)),RIGHT(A30,3),A30)</f>
        <v>0.05</v>
      </c>
      <c r="C30" s="1" t="str">
        <f aca="false" t="array" ref="C30:C30">IF(B29="NEW ROUTE",textsplit(B30,","),"")</f>
        <v/>
      </c>
      <c r="H30" s="1" t="str">
        <f aca="false">IF(C30&lt;&gt;"",DEC2HEX(C30,2),"")</f>
        <v/>
      </c>
      <c r="I30" s="1" t="str">
        <f aca="false">IF(D30&lt;&gt;"",DEC2HEX(D30,2),"")</f>
        <v/>
      </c>
      <c r="J30" s="1" t="str">
        <f aca="false">IF(H30&lt;&gt;"","0x"&amp;I30&amp;H30,"")</f>
        <v/>
      </c>
      <c r="L30" s="1" t="s">
        <v>2806</v>
      </c>
      <c r="M30" s="1" t="str">
        <f aca="false">IF(J30&lt;&gt;"",J30,L30)</f>
        <v>0.05</v>
      </c>
    </row>
    <row r="31" customFormat="false" ht="12.75" hidden="false" customHeight="true" outlineLevel="0" collapsed="false">
      <c r="A31" s="3" t="s">
        <v>2818</v>
      </c>
      <c r="B31" s="3" t="str">
        <f aca="false">IF(ISNUMBER(SEARCH("%", A31)),RIGHT(A31,3),A31)</f>
        <v>11, 11, SANDSHREW</v>
      </c>
      <c r="C31" s="1" t="str">
        <f aca="false" t="array" ref="C31:C31">IF(B30="NEW ROUTE",textsplit(B31,","),"")</f>
        <v/>
      </c>
      <c r="H31" s="1" t="str">
        <f aca="false">IF(C31&lt;&gt;"",DEC2HEX(C31,2),"")</f>
        <v/>
      </c>
      <c r="I31" s="1" t="str">
        <f aca="false">IF(D31&lt;&gt;"",DEC2HEX(D31,2),"")</f>
        <v/>
      </c>
      <c r="J31" s="1" t="str">
        <f aca="false">IF(H31&lt;&gt;"","0x"&amp;I31&amp;H31,"")</f>
        <v/>
      </c>
      <c r="L31" s="1" t="s">
        <v>2818</v>
      </c>
      <c r="M31" s="1" t="str">
        <f aca="false">IF(J31&lt;&gt;"",J31,L31)</f>
        <v>11, 11, SANDSHREW</v>
      </c>
    </row>
    <row r="32" customFormat="false" ht="12.75" hidden="false" customHeight="true" outlineLevel="0" collapsed="false">
      <c r="A32" s="3" t="s">
        <v>2818</v>
      </c>
      <c r="B32" s="3" t="str">
        <f aca="false">IF(ISNUMBER(SEARCH("%", A32)),RIGHT(A32,3),A32)</f>
        <v>11, 11, SANDSHREW</v>
      </c>
      <c r="C32" s="1" t="str">
        <f aca="false" t="array" ref="C32:C32">IF(B31="NEW ROUTE",textsplit(B32,","),"")</f>
        <v/>
      </c>
      <c r="H32" s="1" t="str">
        <f aca="false">IF(C32&lt;&gt;"",DEC2HEX(C32,2),"")</f>
        <v/>
      </c>
      <c r="I32" s="1" t="str">
        <f aca="false">IF(D32&lt;&gt;"",DEC2HEX(D32,2),"")</f>
        <v/>
      </c>
      <c r="J32" s="1" t="str">
        <f aca="false">IF(H32&lt;&gt;"","0x"&amp;I32&amp;H32,"")</f>
        <v/>
      </c>
      <c r="L32" s="1" t="s">
        <v>2818</v>
      </c>
      <c r="M32" s="1" t="str">
        <f aca="false">IF(J32&lt;&gt;"",J32,L32)</f>
        <v>11, 11, SANDSHREW</v>
      </c>
    </row>
    <row r="33" customFormat="false" ht="12.75" hidden="false" customHeight="true" outlineLevel="0" collapsed="false">
      <c r="A33" s="3" t="s">
        <v>2809</v>
      </c>
      <c r="B33" s="3" t="str">
        <f aca="false">IF(ISNUMBER(SEARCH("%", A33)),RIGHT(A33,3),A33)</f>
        <v>0.04</v>
      </c>
      <c r="C33" s="1" t="str">
        <f aca="false" t="array" ref="C33:C33">IF(B32="NEW ROUTE",textsplit(B33,","),"")</f>
        <v/>
      </c>
      <c r="H33" s="1" t="str">
        <f aca="false">IF(C33&lt;&gt;"",DEC2HEX(C33,2),"")</f>
        <v/>
      </c>
      <c r="I33" s="1" t="str">
        <f aca="false">IF(D33&lt;&gt;"",DEC2HEX(D33,2),"")</f>
        <v/>
      </c>
      <c r="J33" s="1" t="str">
        <f aca="false">IF(H33&lt;&gt;"","0x"&amp;I33&amp;H33,"")</f>
        <v/>
      </c>
      <c r="L33" s="1" t="s">
        <v>2809</v>
      </c>
      <c r="M33" s="1" t="str">
        <f aca="false">IF(J33&lt;&gt;"",J33,L33)</f>
        <v>0.04</v>
      </c>
    </row>
    <row r="34" customFormat="false" ht="12.75" hidden="false" customHeight="true" outlineLevel="0" collapsed="false">
      <c r="A34" s="3" t="s">
        <v>2819</v>
      </c>
      <c r="B34" s="3" t="str">
        <f aca="false">IF(ISNUMBER(SEARCH("%", A34)),RIGHT(A34,3),A34)</f>
        <v>11, 11, PARAS</v>
      </c>
      <c r="C34" s="1" t="str">
        <f aca="false" t="array" ref="C34:C34">IF(B33="NEW ROUTE",textsplit(B34,","),"")</f>
        <v/>
      </c>
      <c r="H34" s="1" t="str">
        <f aca="false">IF(C34&lt;&gt;"",DEC2HEX(C34,2),"")</f>
        <v/>
      </c>
      <c r="I34" s="1" t="str">
        <f aca="false">IF(D34&lt;&gt;"",DEC2HEX(D34,2),"")</f>
        <v/>
      </c>
      <c r="J34" s="1" t="str">
        <f aca="false">IF(H34&lt;&gt;"","0x"&amp;I34&amp;H34,"")</f>
        <v/>
      </c>
      <c r="L34" s="1" t="s">
        <v>2819</v>
      </c>
      <c r="M34" s="1" t="str">
        <f aca="false">IF(J34&lt;&gt;"",J34,L34)</f>
        <v>11, 11, PARAS</v>
      </c>
    </row>
    <row r="35" customFormat="false" ht="12.75" hidden="false" customHeight="true" outlineLevel="0" collapsed="false">
      <c r="A35" s="3" t="s">
        <v>2819</v>
      </c>
      <c r="B35" s="3" t="str">
        <f aca="false">IF(ISNUMBER(SEARCH("%", A35)),RIGHT(A35,3),A35)</f>
        <v>11, 11, PARAS</v>
      </c>
      <c r="C35" s="1" t="str">
        <f aca="false" t="array" ref="C35:C35">IF(B34="NEW ROUTE",textsplit(B35,","),"")</f>
        <v/>
      </c>
      <c r="H35" s="1" t="str">
        <f aca="false">IF(C35&lt;&gt;"",DEC2HEX(C35,2),"")</f>
        <v/>
      </c>
      <c r="I35" s="1" t="str">
        <f aca="false">IF(D35&lt;&gt;"",DEC2HEX(D35,2),"")</f>
        <v/>
      </c>
      <c r="J35" s="1" t="str">
        <f aca="false">IF(H35&lt;&gt;"","0x"&amp;I35&amp;H35,"")</f>
        <v/>
      </c>
      <c r="L35" s="1" t="s">
        <v>2819</v>
      </c>
      <c r="M35" s="1" t="str">
        <f aca="false">IF(J35&lt;&gt;"",J35,L35)</f>
        <v>11, 11, PARAS</v>
      </c>
    </row>
    <row r="36" customFormat="false" ht="12.75" hidden="false" customHeight="true" outlineLevel="0" collapsed="false">
      <c r="A36" s="3" t="s">
        <v>2812</v>
      </c>
      <c r="B36" s="3" t="str">
        <f aca="false">IF(ISNUMBER(SEARCH("%", A36)),RIGHT(A36,3),A36)</f>
        <v>0.01</v>
      </c>
      <c r="C36" s="1" t="str">
        <f aca="false" t="array" ref="C36:C36">IF(B35="NEW ROUTE",textsplit(B36,","),"")</f>
        <v/>
      </c>
      <c r="H36" s="1" t="str">
        <f aca="false">IF(C36&lt;&gt;"",DEC2HEX(C36,2),"")</f>
        <v/>
      </c>
      <c r="I36" s="1" t="str">
        <f aca="false">IF(D36&lt;&gt;"",DEC2HEX(D36,2),"")</f>
        <v/>
      </c>
      <c r="J36" s="1" t="str">
        <f aca="false">IF(H36&lt;&gt;"","0x"&amp;I36&amp;H36,"")</f>
        <v/>
      </c>
      <c r="L36" s="1" t="s">
        <v>2812</v>
      </c>
      <c r="M36" s="1" t="str">
        <f aca="false">IF(J36&lt;&gt;"",J36,L36)</f>
        <v>0.01</v>
      </c>
    </row>
    <row r="37" customFormat="false" ht="12.75" hidden="false" customHeight="true" outlineLevel="0" collapsed="false">
      <c r="A37" s="3" t="s">
        <v>2820</v>
      </c>
      <c r="B37" s="3" t="str">
        <f aca="false">IF(ISNUMBER(SEARCH("%", A37)),RIGHT(A37,3),A37)</f>
        <v>11, 14, ONIX</v>
      </c>
      <c r="C37" s="1" t="str">
        <f aca="false" t="array" ref="C37:C37">IF(B36="NEW ROUTE",textsplit(B37,","),"")</f>
        <v/>
      </c>
      <c r="H37" s="1" t="str">
        <f aca="false">IF(C37&lt;&gt;"",DEC2HEX(C37,2),"")</f>
        <v/>
      </c>
      <c r="I37" s="1" t="str">
        <f aca="false">IF(D37&lt;&gt;"",DEC2HEX(D37,2),"")</f>
        <v/>
      </c>
      <c r="J37" s="1" t="str">
        <f aca="false">IF(H37&lt;&gt;"","0x"&amp;I37&amp;H37,"")</f>
        <v/>
      </c>
      <c r="L37" s="1" t="s">
        <v>2820</v>
      </c>
      <c r="M37" s="1" t="str">
        <f aca="false">IF(J37&lt;&gt;"",J37,L37)</f>
        <v>11, 14, ONIX</v>
      </c>
    </row>
    <row r="38" customFormat="false" ht="12.75" hidden="false" customHeight="true" outlineLevel="0" collapsed="false">
      <c r="A38" s="3" t="s">
        <v>2821</v>
      </c>
      <c r="B38" s="3" t="str">
        <f aca="false">IF(ISNUMBER(SEARCH("%", A38)),RIGHT(A38,3),A38)</f>
        <v>11, 14, CLEFAIRY , &lt;null&gt;, &lt;null&gt;, &lt;null&gt;</v>
      </c>
      <c r="C38" s="1" t="str">
        <f aca="false" t="array" ref="C38:C38">IF(B37="NEW ROUTE",textsplit(B38,","),"")</f>
        <v/>
      </c>
      <c r="H38" s="1" t="str">
        <f aca="false">IF(C38&lt;&gt;"",DEC2HEX(C38,2),"")</f>
        <v/>
      </c>
      <c r="I38" s="1" t="str">
        <f aca="false">IF(D38&lt;&gt;"",DEC2HEX(D38,2),"")</f>
        <v/>
      </c>
      <c r="J38" s="1" t="str">
        <f aca="false">IF(H38&lt;&gt;"","0x"&amp;I38&amp;H38,"")</f>
        <v/>
      </c>
      <c r="L38" s="1" t="s">
        <v>2821</v>
      </c>
      <c r="M38" s="1" t="str">
        <f aca="false">IF(J38&lt;&gt;"",J38,L38)</f>
        <v>11, 14, CLEFAIRY , &lt;null&gt;, &lt;null&gt;, &lt;null&gt;</v>
      </c>
    </row>
    <row r="39" customFormat="false" ht="12.75" hidden="false" customHeight="true" outlineLevel="0" collapsed="false">
      <c r="A39" s="3" t="s">
        <v>2536</v>
      </c>
      <c r="B39" s="3" t="str">
        <f aca="false">IF(ISNUMBER(SEARCH("%", A39)),RIGHT(A39,3),A39)</f>
        <v>NEW ROUTE</v>
      </c>
      <c r="C39" s="1" t="str">
        <f aca="false" t="array" ref="C39:C39">IF(B38="NEW ROUTE",textsplit(B39,","),"")</f>
        <v/>
      </c>
      <c r="H39" s="1" t="str">
        <f aca="false">IF(C39&lt;&gt;"",DEC2HEX(C39,2),"")</f>
        <v/>
      </c>
      <c r="I39" s="1" t="str">
        <f aca="false">IF(D39&lt;&gt;"",DEC2HEX(D39,2),"")</f>
        <v/>
      </c>
      <c r="J39" s="1" t="str">
        <f aca="false">IF(H39&lt;&gt;"","0x"&amp;I39&amp;H39,"")</f>
        <v/>
      </c>
      <c r="L39" s="1" t="s">
        <v>2536</v>
      </c>
      <c r="M39" s="1" t="str">
        <f aca="false">IF(J39&lt;&gt;"",J39,L39)</f>
        <v>NEW ROUTE</v>
      </c>
    </row>
    <row r="40" customFormat="false" ht="12.75" hidden="false" customHeight="true" outlineLevel="0" collapsed="false">
      <c r="A40" s="3" t="s">
        <v>2822</v>
      </c>
      <c r="B40" s="3" t="str">
        <f aca="false">IF(ISNUMBER(SEARCH("%", A40)),RIGHT(A40,3),A40)</f>
        <v>1, 2, 0,</v>
      </c>
      <c r="C40" s="1" t="e">
        <f aca="false" t="array" ref="C40:C40">IF(B39="NEW ROUTE",textsplit(B40,","),"")</f>
        <v>#NAME?</v>
      </c>
      <c r="H40" s="1" t="e">
        <f aca="false">IF(C40&lt;&gt;"",DEC2HEX(C40,2),"")</f>
        <v>#NAME?</v>
      </c>
      <c r="I40" s="1" t="str">
        <f aca="false">IF(D40&lt;&gt;"",DEC2HEX(D40,2),"")</f>
        <v/>
      </c>
      <c r="J40" s="1" t="e">
        <f aca="false">IF(H40&lt;&gt;"","0x"&amp;I40&amp;H40,"")</f>
        <v>#NAME?</v>
      </c>
      <c r="L40" s="1" t="s">
        <v>2822</v>
      </c>
      <c r="M40" s="1" t="e">
        <f aca="false">IF(J40&lt;&gt;"",J40,L40)</f>
        <v>#NAME?</v>
      </c>
    </row>
    <row r="41" customFormat="false" ht="12.75" hidden="false" customHeight="true" outlineLevel="0" collapsed="false">
      <c r="A41" s="3" t="s">
        <v>2823</v>
      </c>
      <c r="B41" s="3" t="str">
        <f aca="false">IF(ISNUMBER(SEARCH("%", A41)),RIGHT(A41,3),A41)</f>
        <v>20%</v>
      </c>
      <c r="C41" s="1" t="str">
        <f aca="false" t="array" ref="C41:C41">IF(B40="NEW ROUTE",textsplit(B41,","),"")</f>
        <v/>
      </c>
      <c r="H41" s="1" t="str">
        <f aca="false">IF(C41&lt;&gt;"",DEC2HEX(C41,2),"")</f>
        <v/>
      </c>
      <c r="I41" s="1" t="str">
        <f aca="false">IF(D41&lt;&gt;"",DEC2HEX(D41,2),"")</f>
        <v/>
      </c>
      <c r="J41" s="1" t="str">
        <f aca="false">IF(H41&lt;&gt;"","0x"&amp;I41&amp;H41,"")</f>
        <v/>
      </c>
      <c r="L41" s="1" t="s">
        <v>2799</v>
      </c>
      <c r="M41" s="1" t="str">
        <f aca="false">IF(J41&lt;&gt;"",J41,L41)</f>
        <v>20%</v>
      </c>
    </row>
    <row r="42" customFormat="false" ht="12.75" hidden="false" customHeight="true" outlineLevel="0" collapsed="false">
      <c r="A42" s="3" t="s">
        <v>1243</v>
      </c>
      <c r="B42" s="3" t="str">
        <f aca="false">IF(ISNUMBER(SEARCH("%", A42)),RIGHT(A42,3),A42)</f>
        <v>10, 12, ZUBAT</v>
      </c>
      <c r="C42" s="1" t="str">
        <f aca="false" t="array" ref="C42:C42">IF(B41="NEW ROUTE",textsplit(B42,","),"")</f>
        <v/>
      </c>
      <c r="H42" s="1" t="str">
        <f aca="false">IF(C42&lt;&gt;"",DEC2HEX(C42,2),"")</f>
        <v/>
      </c>
      <c r="I42" s="1" t="str">
        <f aca="false">IF(D42&lt;&gt;"",DEC2HEX(D42,2),"")</f>
        <v/>
      </c>
      <c r="J42" s="1" t="str">
        <f aca="false">IF(H42&lt;&gt;"","0x"&amp;I42&amp;H42,"")</f>
        <v/>
      </c>
      <c r="L42" s="1" t="s">
        <v>1243</v>
      </c>
      <c r="M42" s="1" t="str">
        <f aca="false">IF(J42&lt;&gt;"",J42,L42)</f>
        <v>10, 12, ZUBAT</v>
      </c>
    </row>
    <row r="43" customFormat="false" ht="12.75" hidden="false" customHeight="true" outlineLevel="0" collapsed="false">
      <c r="A43" s="3" t="s">
        <v>1243</v>
      </c>
      <c r="B43" s="3" t="str">
        <f aca="false">IF(ISNUMBER(SEARCH("%", A43)),RIGHT(A43,3),A43)</f>
        <v>10, 12, ZUBAT</v>
      </c>
      <c r="C43" s="1" t="str">
        <f aca="false" t="array" ref="C43:C43">IF(B42="NEW ROUTE",textsplit(B43,","),"")</f>
        <v/>
      </c>
      <c r="H43" s="1" t="str">
        <f aca="false">IF(C43&lt;&gt;"",DEC2HEX(C43,2),"")</f>
        <v/>
      </c>
      <c r="I43" s="1" t="str">
        <f aca="false">IF(D43&lt;&gt;"",DEC2HEX(D43,2),"")</f>
        <v/>
      </c>
      <c r="J43" s="1" t="str">
        <f aca="false">IF(H43&lt;&gt;"","0x"&amp;I43&amp;H43,"")</f>
        <v/>
      </c>
      <c r="L43" s="1" t="s">
        <v>1243</v>
      </c>
      <c r="M43" s="1" t="str">
        <f aca="false">IF(J43&lt;&gt;"",J43,L43)</f>
        <v>10, 12, ZUBAT</v>
      </c>
    </row>
    <row r="44" customFormat="false" ht="12.75" hidden="false" customHeight="true" outlineLevel="0" collapsed="false">
      <c r="A44" s="3" t="s">
        <v>2801</v>
      </c>
      <c r="B44" s="3" t="str">
        <f aca="false">IF(ISNUMBER(SEARCH("%", A44)),RIGHT(A44,3),A44)</f>
        <v>0.1</v>
      </c>
      <c r="C44" s="1" t="str">
        <f aca="false" t="array" ref="C44:C44">IF(B43="NEW ROUTE",textsplit(B44,","),"")</f>
        <v/>
      </c>
      <c r="H44" s="1" t="str">
        <f aca="false">IF(C44&lt;&gt;"",DEC2HEX(C44,2),"")</f>
        <v/>
      </c>
      <c r="I44" s="1" t="str">
        <f aca="false">IF(D44&lt;&gt;"",DEC2HEX(D44,2),"")</f>
        <v/>
      </c>
      <c r="J44" s="1" t="str">
        <f aca="false">IF(H44&lt;&gt;"","0x"&amp;I44&amp;H44,"")</f>
        <v/>
      </c>
      <c r="L44" s="1" t="s">
        <v>2801</v>
      </c>
      <c r="M44" s="1" t="str">
        <f aca="false">IF(J44&lt;&gt;"",J44,L44)</f>
        <v>0.1</v>
      </c>
    </row>
    <row r="45" customFormat="false" ht="12.75" hidden="false" customHeight="true" outlineLevel="0" collapsed="false">
      <c r="A45" s="3" t="s">
        <v>2824</v>
      </c>
      <c r="B45" s="3" t="str">
        <f aca="false">IF(ISNUMBER(SEARCH("%", A45)),RIGHT(A45,3),A45)</f>
        <v>11, 13, ZUBAT</v>
      </c>
      <c r="C45" s="1" t="str">
        <f aca="false" t="array" ref="C45:C45">IF(B44="NEW ROUTE",textsplit(B45,","),"")</f>
        <v/>
      </c>
      <c r="H45" s="1" t="str">
        <f aca="false">IF(C45&lt;&gt;"",DEC2HEX(C45,2),"")</f>
        <v/>
      </c>
      <c r="I45" s="1" t="str">
        <f aca="false">IF(D45&lt;&gt;"",DEC2HEX(D45,2),"")</f>
        <v/>
      </c>
      <c r="J45" s="1" t="str">
        <f aca="false">IF(H45&lt;&gt;"","0x"&amp;I45&amp;H45,"")</f>
        <v/>
      </c>
      <c r="L45" s="1" t="s">
        <v>2824</v>
      </c>
      <c r="M45" s="1" t="str">
        <f aca="false">IF(J45&lt;&gt;"",J45,L45)</f>
        <v>11, 13, ZUBAT</v>
      </c>
    </row>
    <row r="46" customFormat="false" ht="12.75" hidden="false" customHeight="true" outlineLevel="0" collapsed="false">
      <c r="A46" s="3" t="s">
        <v>2824</v>
      </c>
      <c r="B46" s="3" t="str">
        <f aca="false">IF(ISNUMBER(SEARCH("%", A46)),RIGHT(A46,3),A46)</f>
        <v>11, 13, ZUBAT</v>
      </c>
      <c r="C46" s="1" t="str">
        <f aca="false" t="array" ref="C46:C46">IF(B45="NEW ROUTE",textsplit(B46,","),"")</f>
        <v/>
      </c>
      <c r="H46" s="1" t="str">
        <f aca="false">IF(C46&lt;&gt;"",DEC2HEX(C46,2),"")</f>
        <v/>
      </c>
      <c r="I46" s="1" t="str">
        <f aca="false">IF(D46&lt;&gt;"",DEC2HEX(D46,2),"")</f>
        <v/>
      </c>
      <c r="J46" s="1" t="str">
        <f aca="false">IF(H46&lt;&gt;"","0x"&amp;I46&amp;H46,"")</f>
        <v/>
      </c>
      <c r="L46" s="1" t="s">
        <v>2824</v>
      </c>
      <c r="M46" s="1" t="str">
        <f aca="false">IF(J46&lt;&gt;"",J46,L46)</f>
        <v>11, 13, ZUBAT</v>
      </c>
    </row>
    <row r="47" customFormat="false" ht="12.75" hidden="false" customHeight="true" outlineLevel="0" collapsed="false">
      <c r="A47" s="3" t="s">
        <v>2825</v>
      </c>
      <c r="B47" s="3" t="str">
        <f aca="false">IF(ISNUMBER(SEARCH("%", A47)),RIGHT(A47,3),A47)</f>
        <v>11, 13, GEODUDE</v>
      </c>
      <c r="C47" s="1" t="str">
        <f aca="false" t="array" ref="C47:C47">IF(B46="NEW ROUTE",textsplit(B47,","),"")</f>
        <v/>
      </c>
      <c r="H47" s="1" t="str">
        <f aca="false">IF(C47&lt;&gt;"",DEC2HEX(C47,2),"")</f>
        <v/>
      </c>
      <c r="I47" s="1" t="str">
        <f aca="false">IF(D47&lt;&gt;"",DEC2HEX(D47,2),"")</f>
        <v/>
      </c>
      <c r="J47" s="1" t="str">
        <f aca="false">IF(H47&lt;&gt;"","0x"&amp;I47&amp;H47,"")</f>
        <v/>
      </c>
      <c r="L47" s="1" t="s">
        <v>2825</v>
      </c>
      <c r="M47" s="1" t="str">
        <f aca="false">IF(J47&lt;&gt;"",J47,L47)</f>
        <v>11, 13, GEODUDE</v>
      </c>
    </row>
    <row r="48" customFormat="false" ht="12.75" hidden="false" customHeight="true" outlineLevel="0" collapsed="false">
      <c r="A48" s="3" t="s">
        <v>2825</v>
      </c>
      <c r="B48" s="3" t="str">
        <f aca="false">IF(ISNUMBER(SEARCH("%", A48)),RIGHT(A48,3),A48)</f>
        <v>11, 13, GEODUDE</v>
      </c>
      <c r="C48" s="1" t="str">
        <f aca="false" t="array" ref="C48:C48">IF(B47="NEW ROUTE",textsplit(B48,","),"")</f>
        <v/>
      </c>
      <c r="H48" s="1" t="str">
        <f aca="false">IF(C48&lt;&gt;"",DEC2HEX(C48,2),"")</f>
        <v/>
      </c>
      <c r="I48" s="1" t="str">
        <f aca="false">IF(D48&lt;&gt;"",DEC2HEX(D48,2),"")</f>
        <v/>
      </c>
      <c r="J48" s="1" t="str">
        <f aca="false">IF(H48&lt;&gt;"","0x"&amp;I48&amp;H48,"")</f>
        <v/>
      </c>
      <c r="L48" s="1" t="s">
        <v>2825</v>
      </c>
      <c r="M48" s="1" t="str">
        <f aca="false">IF(J48&lt;&gt;"",J48,L48)</f>
        <v>11, 13, GEODUDE</v>
      </c>
    </row>
    <row r="49" customFormat="false" ht="12.75" hidden="false" customHeight="true" outlineLevel="0" collapsed="false">
      <c r="A49" s="3" t="s">
        <v>2806</v>
      </c>
      <c r="B49" s="3" t="str">
        <f aca="false">IF(ISNUMBER(SEARCH("%", A49)),RIGHT(A49,3),A49)</f>
        <v>0.05</v>
      </c>
      <c r="C49" s="1" t="str">
        <f aca="false" t="array" ref="C49:C49">IF(B48="NEW ROUTE",textsplit(B49,","),"")</f>
        <v/>
      </c>
      <c r="H49" s="1" t="str">
        <f aca="false">IF(C49&lt;&gt;"",DEC2HEX(C49,2),"")</f>
        <v/>
      </c>
      <c r="I49" s="1" t="str">
        <f aca="false">IF(D49&lt;&gt;"",DEC2HEX(D49,2),"")</f>
        <v/>
      </c>
      <c r="J49" s="1" t="str">
        <f aca="false">IF(H49&lt;&gt;"","0x"&amp;I49&amp;H49,"")</f>
        <v/>
      </c>
      <c r="L49" s="1" t="s">
        <v>2806</v>
      </c>
      <c r="M49" s="1" t="str">
        <f aca="false">IF(J49&lt;&gt;"",J49,L49)</f>
        <v>0.05</v>
      </c>
    </row>
    <row r="50" customFormat="false" ht="12.75" hidden="false" customHeight="true" outlineLevel="0" collapsed="false">
      <c r="A50" s="3" t="s">
        <v>2826</v>
      </c>
      <c r="B50" s="3" t="str">
        <f aca="false">IF(ISNUMBER(SEARCH("%", A50)),RIGHT(A50,3),A50)</f>
        <v>12, 12, SANDSHREW</v>
      </c>
      <c r="C50" s="1" t="str">
        <f aca="false" t="array" ref="C50:C50">IF(B49="NEW ROUTE",textsplit(B50,","),"")</f>
        <v/>
      </c>
      <c r="H50" s="1" t="str">
        <f aca="false">IF(C50&lt;&gt;"",DEC2HEX(C50,2),"")</f>
        <v/>
      </c>
      <c r="I50" s="1" t="str">
        <f aca="false">IF(D50&lt;&gt;"",DEC2HEX(D50,2),"")</f>
        <v/>
      </c>
      <c r="J50" s="1" t="str">
        <f aca="false">IF(H50&lt;&gt;"","0x"&amp;I50&amp;H50,"")</f>
        <v/>
      </c>
      <c r="L50" s="1" t="s">
        <v>2826</v>
      </c>
      <c r="M50" s="1" t="str">
        <f aca="false">IF(J50&lt;&gt;"",J50,L50)</f>
        <v>12, 12, SANDSHREW</v>
      </c>
    </row>
    <row r="51" customFormat="false" ht="12.75" hidden="false" customHeight="true" outlineLevel="0" collapsed="false">
      <c r="A51" s="3" t="s">
        <v>2826</v>
      </c>
      <c r="B51" s="3" t="str">
        <f aca="false">IF(ISNUMBER(SEARCH("%", A51)),RIGHT(A51,3),A51)</f>
        <v>12, 12, SANDSHREW</v>
      </c>
      <c r="C51" s="1" t="str">
        <f aca="false" t="array" ref="C51:C51">IF(B50="NEW ROUTE",textsplit(B51,","),"")</f>
        <v/>
      </c>
      <c r="H51" s="1" t="str">
        <f aca="false">IF(C51&lt;&gt;"",DEC2HEX(C51,2),"")</f>
        <v/>
      </c>
      <c r="I51" s="1" t="str">
        <f aca="false">IF(D51&lt;&gt;"",DEC2HEX(D51,2),"")</f>
        <v/>
      </c>
      <c r="J51" s="1" t="str">
        <f aca="false">IF(H51&lt;&gt;"","0x"&amp;I51&amp;H51,"")</f>
        <v/>
      </c>
      <c r="L51" s="1" t="s">
        <v>2826</v>
      </c>
      <c r="M51" s="1" t="str">
        <f aca="false">IF(J51&lt;&gt;"",J51,L51)</f>
        <v>12, 12, SANDSHREW</v>
      </c>
    </row>
    <row r="52" customFormat="false" ht="12.75" hidden="false" customHeight="true" outlineLevel="0" collapsed="false">
      <c r="A52" s="3" t="s">
        <v>2809</v>
      </c>
      <c r="B52" s="3" t="str">
        <f aca="false">IF(ISNUMBER(SEARCH("%", A52)),RIGHT(A52,3),A52)</f>
        <v>0.04</v>
      </c>
      <c r="C52" s="1" t="str">
        <f aca="false" t="array" ref="C52:C52">IF(B51="NEW ROUTE",textsplit(B52,","),"")</f>
        <v/>
      </c>
      <c r="H52" s="1" t="str">
        <f aca="false">IF(C52&lt;&gt;"",DEC2HEX(C52,2),"")</f>
        <v/>
      </c>
      <c r="I52" s="1" t="str">
        <f aca="false">IF(D52&lt;&gt;"",DEC2HEX(D52,2),"")</f>
        <v/>
      </c>
      <c r="J52" s="1" t="str">
        <f aca="false">IF(H52&lt;&gt;"","0x"&amp;I52&amp;H52,"")</f>
        <v/>
      </c>
      <c r="L52" s="1" t="s">
        <v>2809</v>
      </c>
      <c r="M52" s="1" t="str">
        <f aca="false">IF(J52&lt;&gt;"",J52,L52)</f>
        <v>0.04</v>
      </c>
    </row>
    <row r="53" customFormat="false" ht="12.75" hidden="false" customHeight="true" outlineLevel="0" collapsed="false">
      <c r="A53" s="3" t="s">
        <v>2827</v>
      </c>
      <c r="B53" s="3" t="str">
        <f aca="false">IF(ISNUMBER(SEARCH("%", A53)),RIGHT(A53,3),A53)</f>
        <v>12, 12, PARAS</v>
      </c>
      <c r="C53" s="1" t="str">
        <f aca="false" t="array" ref="C53:C53">IF(B52="NEW ROUTE",textsplit(B53,","),"")</f>
        <v/>
      </c>
      <c r="H53" s="1" t="str">
        <f aca="false">IF(C53&lt;&gt;"",DEC2HEX(C53,2),"")</f>
        <v/>
      </c>
      <c r="I53" s="1" t="str">
        <f aca="false">IF(D53&lt;&gt;"",DEC2HEX(D53,2),"")</f>
        <v/>
      </c>
      <c r="J53" s="1" t="str">
        <f aca="false">IF(H53&lt;&gt;"","0x"&amp;I53&amp;H53,"")</f>
        <v/>
      </c>
      <c r="L53" s="1" t="s">
        <v>2827</v>
      </c>
      <c r="M53" s="1" t="str">
        <f aca="false">IF(J53&lt;&gt;"",J53,L53)</f>
        <v>12, 12, PARAS</v>
      </c>
    </row>
    <row r="54" customFormat="false" ht="12.75" hidden="false" customHeight="true" outlineLevel="0" collapsed="false">
      <c r="A54" s="3" t="s">
        <v>2827</v>
      </c>
      <c r="B54" s="3" t="str">
        <f aca="false">IF(ISNUMBER(SEARCH("%", A54)),RIGHT(A54,3),A54)</f>
        <v>12, 12, PARAS</v>
      </c>
      <c r="C54" s="1" t="str">
        <f aca="false" t="array" ref="C54:C54">IF(B53="NEW ROUTE",textsplit(B54,","),"")</f>
        <v/>
      </c>
      <c r="H54" s="1" t="str">
        <f aca="false">IF(C54&lt;&gt;"",DEC2HEX(C54,2),"")</f>
        <v/>
      </c>
      <c r="I54" s="1" t="str">
        <f aca="false">IF(D54&lt;&gt;"",DEC2HEX(D54,2),"")</f>
        <v/>
      </c>
      <c r="J54" s="1" t="str">
        <f aca="false">IF(H54&lt;&gt;"","0x"&amp;I54&amp;H54,"")</f>
        <v/>
      </c>
      <c r="L54" s="1" t="s">
        <v>2827</v>
      </c>
      <c r="M54" s="1" t="str">
        <f aca="false">IF(J54&lt;&gt;"",J54,L54)</f>
        <v>12, 12, PARAS</v>
      </c>
    </row>
    <row r="55" customFormat="false" ht="12.75" hidden="false" customHeight="true" outlineLevel="0" collapsed="false">
      <c r="A55" s="3" t="s">
        <v>2812</v>
      </c>
      <c r="B55" s="3" t="str">
        <f aca="false">IF(ISNUMBER(SEARCH("%", A55)),RIGHT(A55,3),A55)</f>
        <v>0.01</v>
      </c>
      <c r="C55" s="1" t="str">
        <f aca="false" t="array" ref="C55:C55">IF(B54="NEW ROUTE",textsplit(B55,","),"")</f>
        <v/>
      </c>
      <c r="H55" s="1" t="str">
        <f aca="false">IF(C55&lt;&gt;"",DEC2HEX(C55,2),"")</f>
        <v/>
      </c>
      <c r="I55" s="1" t="str">
        <f aca="false">IF(D55&lt;&gt;"",DEC2HEX(D55,2),"")</f>
        <v/>
      </c>
      <c r="J55" s="1" t="str">
        <f aca="false">IF(H55&lt;&gt;"","0x"&amp;I55&amp;H55,"")</f>
        <v/>
      </c>
      <c r="L55" s="1" t="s">
        <v>2812</v>
      </c>
      <c r="M55" s="1" t="str">
        <f aca="false">IF(J55&lt;&gt;"",J55,L55)</f>
        <v>0.01</v>
      </c>
    </row>
    <row r="56" customFormat="false" ht="12.75" hidden="false" customHeight="true" outlineLevel="0" collapsed="false">
      <c r="A56" s="3" t="s">
        <v>2828</v>
      </c>
      <c r="B56" s="3" t="str">
        <f aca="false">IF(ISNUMBER(SEARCH("%", A56)),RIGHT(A56,3),A56)</f>
        <v>12, 15, ONIX</v>
      </c>
      <c r="C56" s="1" t="str">
        <f aca="false" t="array" ref="C56:C56">IF(B55="NEW ROUTE",textsplit(B56,","),"")</f>
        <v/>
      </c>
      <c r="H56" s="1" t="str">
        <f aca="false">IF(C56&lt;&gt;"",DEC2HEX(C56,2),"")</f>
        <v/>
      </c>
      <c r="I56" s="1" t="str">
        <f aca="false">IF(D56&lt;&gt;"",DEC2HEX(D56,2),"")</f>
        <v/>
      </c>
      <c r="J56" s="1" t="str">
        <f aca="false">IF(H56&lt;&gt;"","0x"&amp;I56&amp;H56,"")</f>
        <v/>
      </c>
      <c r="L56" s="1" t="s">
        <v>2828</v>
      </c>
      <c r="M56" s="1" t="str">
        <f aca="false">IF(J56&lt;&gt;"",J56,L56)</f>
        <v>12, 15, ONIX</v>
      </c>
    </row>
    <row r="57" customFormat="false" ht="12.75" hidden="false" customHeight="true" outlineLevel="0" collapsed="false">
      <c r="A57" s="3" t="s">
        <v>2829</v>
      </c>
      <c r="B57" s="3" t="str">
        <f aca="false">IF(ISNUMBER(SEARCH("%", A57)),RIGHT(A57,3),A57)</f>
        <v>12, 15, CLEFAIRY , &lt;null&gt;, &lt;null&gt;, &lt;null&gt;</v>
      </c>
      <c r="C57" s="1" t="str">
        <f aca="false" t="array" ref="C57:C57">IF(B56="NEW ROUTE",textsplit(B57,","),"")</f>
        <v/>
      </c>
      <c r="H57" s="1" t="str">
        <f aca="false">IF(C57&lt;&gt;"",DEC2HEX(C57,2),"")</f>
        <v/>
      </c>
      <c r="I57" s="1" t="str">
        <f aca="false">IF(D57&lt;&gt;"",DEC2HEX(D57,2),"")</f>
        <v/>
      </c>
      <c r="J57" s="1" t="str">
        <f aca="false">IF(H57&lt;&gt;"","0x"&amp;I57&amp;H57,"")</f>
        <v/>
      </c>
      <c r="L57" s="1" t="s">
        <v>2829</v>
      </c>
      <c r="M57" s="1" t="str">
        <f aca="false">IF(J57&lt;&gt;"",J57,L57)</f>
        <v>12, 15, CLEFAIRY , &lt;null&gt;, &lt;null&gt;, &lt;null&gt;</v>
      </c>
    </row>
    <row r="58" customFormat="false" ht="12.75" hidden="false" customHeight="true" outlineLevel="0" collapsed="false">
      <c r="A58" s="3" t="s">
        <v>2536</v>
      </c>
      <c r="B58" s="3" t="str">
        <f aca="false">IF(ISNUMBER(SEARCH("%", A58)),RIGHT(A58,3),A58)</f>
        <v>NEW ROUTE</v>
      </c>
      <c r="C58" s="1" t="str">
        <f aca="false" t="array" ref="C58:C58">IF(B57="NEW ROUTE",textsplit(B58,","),"")</f>
        <v/>
      </c>
      <c r="H58" s="1" t="str">
        <f aca="false">IF(C58&lt;&gt;"",DEC2HEX(C58,2),"")</f>
        <v/>
      </c>
      <c r="I58" s="1" t="str">
        <f aca="false">IF(D58&lt;&gt;"",DEC2HEX(D58,2),"")</f>
        <v/>
      </c>
      <c r="J58" s="1" t="str">
        <f aca="false">IF(H58&lt;&gt;"","0x"&amp;I58&amp;H58,"")</f>
        <v/>
      </c>
      <c r="L58" s="1" t="s">
        <v>2536</v>
      </c>
      <c r="M58" s="1" t="str">
        <f aca="false">IF(J58&lt;&gt;"",J58,L58)</f>
        <v>NEW ROUTE</v>
      </c>
    </row>
    <row r="59" customFormat="false" ht="12.75" hidden="false" customHeight="true" outlineLevel="0" collapsed="false">
      <c r="A59" s="3" t="s">
        <v>2830</v>
      </c>
      <c r="B59" s="3" t="str">
        <f aca="false">IF(ISNUMBER(SEARCH("%", A59)),RIGHT(A59,3),A59)</f>
        <v>1, 3, 0,</v>
      </c>
      <c r="C59" s="1" t="e">
        <f aca="false" t="array" ref="C59:C59">IF(B58="NEW ROUTE",textsplit(B59,","),"")</f>
        <v>#NAME?</v>
      </c>
      <c r="H59" s="1" t="e">
        <f aca="false">IF(C59&lt;&gt;"",DEC2HEX(C59,2),"")</f>
        <v>#NAME?</v>
      </c>
      <c r="I59" s="1" t="str">
        <f aca="false">IF(D59&lt;&gt;"",DEC2HEX(D59,2),"")</f>
        <v/>
      </c>
      <c r="J59" s="1" t="e">
        <f aca="false">IF(H59&lt;&gt;"","0x"&amp;I59&amp;H59,"")</f>
        <v>#NAME?</v>
      </c>
      <c r="L59" s="1" t="s">
        <v>2830</v>
      </c>
      <c r="M59" s="1" t="e">
        <f aca="false">IF(J59&lt;&gt;"",J59,L59)</f>
        <v>#NAME?</v>
      </c>
    </row>
    <row r="60" customFormat="false" ht="12.75" hidden="false" customHeight="true" outlineLevel="0" collapsed="false">
      <c r="A60" s="3" t="s">
        <v>2816</v>
      </c>
      <c r="B60" s="3" t="str">
        <f aca="false">IF(ISNUMBER(SEARCH("%", A60)),RIGHT(A60,3),A60)</f>
        <v>20%</v>
      </c>
      <c r="C60" s="1" t="str">
        <f aca="false" t="array" ref="C60:C60">IF(B59="NEW ROUTE",textsplit(B60,","),"")</f>
        <v/>
      </c>
      <c r="H60" s="1" t="str">
        <f aca="false">IF(C60&lt;&gt;"",DEC2HEX(C60,2),"")</f>
        <v/>
      </c>
      <c r="I60" s="1" t="str">
        <f aca="false">IF(D60&lt;&gt;"",DEC2HEX(D60,2),"")</f>
        <v/>
      </c>
      <c r="J60" s="1" t="str">
        <f aca="false">IF(H60&lt;&gt;"","0x"&amp;I60&amp;H60,"")</f>
        <v/>
      </c>
      <c r="L60" s="1" t="s">
        <v>2799</v>
      </c>
      <c r="M60" s="1" t="str">
        <f aca="false">IF(J60&lt;&gt;"",J60,L60)</f>
        <v>20%</v>
      </c>
    </row>
    <row r="61" customFormat="false" ht="12.75" hidden="false" customHeight="true" outlineLevel="0" collapsed="false">
      <c r="A61" s="3" t="s">
        <v>1251</v>
      </c>
      <c r="B61" s="3" t="str">
        <f aca="false">IF(ISNUMBER(SEARCH("%", A61)),RIGHT(A61,3),A61)</f>
        <v>10, 13, ZUBAT</v>
      </c>
      <c r="C61" s="1" t="str">
        <f aca="false" t="array" ref="C61:C61">IF(B60="NEW ROUTE",textsplit(B61,","),"")</f>
        <v/>
      </c>
      <c r="H61" s="1" t="str">
        <f aca="false">IF(C61&lt;&gt;"",DEC2HEX(C61,2),"")</f>
        <v/>
      </c>
      <c r="I61" s="1" t="str">
        <f aca="false">IF(D61&lt;&gt;"",DEC2HEX(D61,2),"")</f>
        <v/>
      </c>
      <c r="J61" s="1" t="str">
        <f aca="false">IF(H61&lt;&gt;"","0x"&amp;I61&amp;H61,"")</f>
        <v/>
      </c>
      <c r="L61" s="1" t="s">
        <v>1251</v>
      </c>
      <c r="M61" s="1" t="str">
        <f aca="false">IF(J61&lt;&gt;"",J61,L61)</f>
        <v>10, 13, ZUBAT</v>
      </c>
    </row>
    <row r="62" customFormat="false" ht="12.75" hidden="false" customHeight="true" outlineLevel="0" collapsed="false">
      <c r="A62" s="3" t="s">
        <v>1251</v>
      </c>
      <c r="B62" s="3" t="str">
        <f aca="false">IF(ISNUMBER(SEARCH("%", A62)),RIGHT(A62,3),A62)</f>
        <v>10, 13, ZUBAT</v>
      </c>
      <c r="C62" s="1" t="str">
        <f aca="false" t="array" ref="C62:C62">IF(B61="NEW ROUTE",textsplit(B62,","),"")</f>
        <v/>
      </c>
      <c r="H62" s="1" t="str">
        <f aca="false">IF(C62&lt;&gt;"",DEC2HEX(C62,2),"")</f>
        <v/>
      </c>
      <c r="I62" s="1" t="str">
        <f aca="false">IF(D62&lt;&gt;"",DEC2HEX(D62,2),"")</f>
        <v/>
      </c>
      <c r="J62" s="1" t="str">
        <f aca="false">IF(H62&lt;&gt;"","0x"&amp;I62&amp;H62,"")</f>
        <v/>
      </c>
      <c r="L62" s="1" t="s">
        <v>1251</v>
      </c>
      <c r="M62" s="1" t="str">
        <f aca="false">IF(J62&lt;&gt;"",J62,L62)</f>
        <v>10, 13, ZUBAT</v>
      </c>
    </row>
    <row r="63" customFormat="false" ht="12.75" hidden="false" customHeight="true" outlineLevel="0" collapsed="false">
      <c r="A63" s="3" t="s">
        <v>2801</v>
      </c>
      <c r="B63" s="3" t="str">
        <f aca="false">IF(ISNUMBER(SEARCH("%", A63)),RIGHT(A63,3),A63)</f>
        <v>0.1</v>
      </c>
      <c r="C63" s="1" t="str">
        <f aca="false" t="array" ref="C63:C63">IF(B62="NEW ROUTE",textsplit(B63,","),"")</f>
        <v/>
      </c>
      <c r="H63" s="1" t="str">
        <f aca="false">IF(C63&lt;&gt;"",DEC2HEX(C63,2),"")</f>
        <v/>
      </c>
      <c r="I63" s="1" t="str">
        <f aca="false">IF(D63&lt;&gt;"",DEC2HEX(D63,2),"")</f>
        <v/>
      </c>
      <c r="J63" s="1" t="str">
        <f aca="false">IF(H63&lt;&gt;"","0x"&amp;I63&amp;H63,"")</f>
        <v/>
      </c>
      <c r="L63" s="1" t="s">
        <v>2801</v>
      </c>
      <c r="M63" s="1" t="str">
        <f aca="false">IF(J63&lt;&gt;"",J63,L63)</f>
        <v>0.1</v>
      </c>
    </row>
    <row r="64" customFormat="false" ht="12.75" hidden="false" customHeight="true" outlineLevel="0" collapsed="false">
      <c r="A64" s="3" t="s">
        <v>2831</v>
      </c>
      <c r="B64" s="3" t="str">
        <f aca="false">IF(ISNUMBER(SEARCH("%", A64)),RIGHT(A64,3),A64)</f>
        <v>11, 14, ZUBAT</v>
      </c>
      <c r="C64" s="1" t="str">
        <f aca="false" t="array" ref="C64:C64">IF(B63="NEW ROUTE",textsplit(B64,","),"")</f>
        <v/>
      </c>
      <c r="H64" s="1" t="str">
        <f aca="false">IF(C64&lt;&gt;"",DEC2HEX(C64,2),"")</f>
        <v/>
      </c>
      <c r="I64" s="1" t="str">
        <f aca="false">IF(D64&lt;&gt;"",DEC2HEX(D64,2),"")</f>
        <v/>
      </c>
      <c r="J64" s="1" t="str">
        <f aca="false">IF(H64&lt;&gt;"","0x"&amp;I64&amp;H64,"")</f>
        <v/>
      </c>
      <c r="L64" s="1" t="s">
        <v>2831</v>
      </c>
      <c r="M64" s="1" t="str">
        <f aca="false">IF(J64&lt;&gt;"",J64,L64)</f>
        <v>11, 14, ZUBAT</v>
      </c>
    </row>
    <row r="65" customFormat="false" ht="12.75" hidden="false" customHeight="true" outlineLevel="0" collapsed="false">
      <c r="A65" s="3" t="s">
        <v>2832</v>
      </c>
      <c r="B65" s="3" t="str">
        <f aca="false">IF(ISNUMBER(SEARCH("%", A65)),RIGHT(A65,3),A65)</f>
        <v>11, 14, GEODUDE</v>
      </c>
      <c r="C65" s="1" t="str">
        <f aca="false" t="array" ref="C65:C65">IF(B64="NEW ROUTE",textsplit(B65,","),"")</f>
        <v/>
      </c>
      <c r="H65" s="1" t="str">
        <f aca="false">IF(C65&lt;&gt;"",DEC2HEX(C65,2),"")</f>
        <v/>
      </c>
      <c r="I65" s="1" t="str">
        <f aca="false">IF(D65&lt;&gt;"",DEC2HEX(D65,2),"")</f>
        <v/>
      </c>
      <c r="J65" s="1" t="str">
        <f aca="false">IF(H65&lt;&gt;"","0x"&amp;I65&amp;H65,"")</f>
        <v/>
      </c>
      <c r="L65" s="1" t="s">
        <v>2832</v>
      </c>
      <c r="M65" s="1" t="str">
        <f aca="false">IF(J65&lt;&gt;"",J65,L65)</f>
        <v>11, 14, GEODUDE</v>
      </c>
    </row>
    <row r="66" customFormat="false" ht="12.75" hidden="false" customHeight="true" outlineLevel="0" collapsed="false">
      <c r="A66" s="3" t="s">
        <v>2832</v>
      </c>
      <c r="B66" s="3" t="str">
        <f aca="false">IF(ISNUMBER(SEARCH("%", A66)),RIGHT(A66,3),A66)</f>
        <v>11, 14, GEODUDE</v>
      </c>
      <c r="C66" s="1" t="str">
        <f aca="false" t="array" ref="C66:C66">IF(B65="NEW ROUTE",textsplit(B66,","),"")</f>
        <v/>
      </c>
      <c r="H66" s="1" t="str">
        <f aca="false">IF(C66&lt;&gt;"",DEC2HEX(C66,2),"")</f>
        <v/>
      </c>
      <c r="I66" s="1" t="str">
        <f aca="false">IF(D66&lt;&gt;"",DEC2HEX(D66,2),"")</f>
        <v/>
      </c>
      <c r="J66" s="1" t="str">
        <f aca="false">IF(H66&lt;&gt;"","0x"&amp;I66&amp;H66,"")</f>
        <v/>
      </c>
      <c r="L66" s="1" t="s">
        <v>2832</v>
      </c>
      <c r="M66" s="1" t="str">
        <f aca="false">IF(J66&lt;&gt;"",J66,L66)</f>
        <v>11, 14, GEODUDE</v>
      </c>
    </row>
    <row r="67" customFormat="false" ht="12.75" hidden="false" customHeight="true" outlineLevel="0" collapsed="false">
      <c r="A67" s="3" t="s">
        <v>2833</v>
      </c>
      <c r="B67" s="3" t="str">
        <f aca="false">IF(ISNUMBER(SEARCH("%", A67)),RIGHT(A67,3),A67)</f>
        <v>11, 14, SANDSHREW</v>
      </c>
      <c r="C67" s="1" t="str">
        <f aca="false" t="array" ref="C67:C67">IF(B66="NEW ROUTE",textsplit(B67,","),"")</f>
        <v/>
      </c>
      <c r="H67" s="1" t="str">
        <f aca="false">IF(C67&lt;&gt;"",DEC2HEX(C67,2),"")</f>
        <v/>
      </c>
      <c r="I67" s="1" t="str">
        <f aca="false">IF(D67&lt;&gt;"",DEC2HEX(D67,2),"")</f>
        <v/>
      </c>
      <c r="J67" s="1" t="str">
        <f aca="false">IF(H67&lt;&gt;"","0x"&amp;I67&amp;H67,"")</f>
        <v/>
      </c>
      <c r="L67" s="1" t="s">
        <v>2833</v>
      </c>
      <c r="M67" s="1" t="str">
        <f aca="false">IF(J67&lt;&gt;"",J67,L67)</f>
        <v>11, 14, SANDSHREW</v>
      </c>
    </row>
    <row r="68" customFormat="false" ht="12.75" hidden="false" customHeight="true" outlineLevel="0" collapsed="false">
      <c r="A68" s="3" t="s">
        <v>2806</v>
      </c>
      <c r="B68" s="3" t="str">
        <f aca="false">IF(ISNUMBER(SEARCH("%", A68)),RIGHT(A68,3),A68)</f>
        <v>0.05</v>
      </c>
      <c r="C68" s="1" t="str">
        <f aca="false" t="array" ref="C68:C68">IF(B67="NEW ROUTE",textsplit(B68,","),"")</f>
        <v/>
      </c>
      <c r="H68" s="1" t="str">
        <f aca="false">IF(C68&lt;&gt;"",DEC2HEX(C68,2),"")</f>
        <v/>
      </c>
      <c r="I68" s="1" t="str">
        <f aca="false">IF(D68&lt;&gt;"",DEC2HEX(D68,2),"")</f>
        <v/>
      </c>
      <c r="J68" s="1" t="str">
        <f aca="false">IF(H68&lt;&gt;"","0x"&amp;I68&amp;H68,"")</f>
        <v/>
      </c>
      <c r="L68" s="1" t="s">
        <v>2806</v>
      </c>
      <c r="M68" s="1" t="str">
        <f aca="false">IF(J68&lt;&gt;"",J68,L68)</f>
        <v>0.05</v>
      </c>
    </row>
    <row r="69" customFormat="false" ht="12.75" hidden="false" customHeight="true" outlineLevel="0" collapsed="false">
      <c r="A69" s="3" t="s">
        <v>2834</v>
      </c>
      <c r="B69" s="3" t="str">
        <f aca="false">IF(ISNUMBER(SEARCH("%", A69)),RIGHT(A69,3),A69)</f>
        <v>13, 13, PARAS</v>
      </c>
      <c r="C69" s="1" t="str">
        <f aca="false" t="array" ref="C69:C69">IF(B68="NEW ROUTE",textsplit(B69,","),"")</f>
        <v/>
      </c>
      <c r="H69" s="1" t="str">
        <f aca="false">IF(C69&lt;&gt;"",DEC2HEX(C69,2),"")</f>
        <v/>
      </c>
      <c r="I69" s="1" t="str">
        <f aca="false">IF(D69&lt;&gt;"",DEC2HEX(D69,2),"")</f>
        <v/>
      </c>
      <c r="J69" s="1" t="str">
        <f aca="false">IF(H69&lt;&gt;"","0x"&amp;I69&amp;H69,"")</f>
        <v/>
      </c>
      <c r="L69" s="1" t="s">
        <v>2834</v>
      </c>
      <c r="M69" s="1" t="str">
        <f aca="false">IF(J69&lt;&gt;"",J69,L69)</f>
        <v>13, 13, PARAS</v>
      </c>
    </row>
    <row r="70" customFormat="false" ht="12.75" hidden="false" customHeight="true" outlineLevel="0" collapsed="false">
      <c r="A70" s="3" t="s">
        <v>2834</v>
      </c>
      <c r="B70" s="3" t="str">
        <f aca="false">IF(ISNUMBER(SEARCH("%", A70)),RIGHT(A70,3),A70)</f>
        <v>13, 13, PARAS</v>
      </c>
      <c r="C70" s="1" t="str">
        <f aca="false" t="array" ref="C70:C70">IF(B69="NEW ROUTE",textsplit(B70,","),"")</f>
        <v/>
      </c>
      <c r="H70" s="1" t="str">
        <f aca="false">IF(C70&lt;&gt;"",DEC2HEX(C70,2),"")</f>
        <v/>
      </c>
      <c r="I70" s="1" t="str">
        <f aca="false">IF(D70&lt;&gt;"",DEC2HEX(D70,2),"")</f>
        <v/>
      </c>
      <c r="J70" s="1" t="str">
        <f aca="false">IF(H70&lt;&gt;"","0x"&amp;I70&amp;H70,"")</f>
        <v/>
      </c>
      <c r="L70" s="1" t="s">
        <v>2834</v>
      </c>
      <c r="M70" s="1" t="str">
        <f aca="false">IF(J70&lt;&gt;"",J70,L70)</f>
        <v>13, 13, PARAS</v>
      </c>
    </row>
    <row r="71" customFormat="false" ht="12.75" hidden="false" customHeight="true" outlineLevel="0" collapsed="false">
      <c r="A71" s="3" t="s">
        <v>2809</v>
      </c>
      <c r="B71" s="3" t="str">
        <f aca="false">IF(ISNUMBER(SEARCH("%", A71)),RIGHT(A71,3),A71)</f>
        <v>0.04</v>
      </c>
      <c r="C71" s="1" t="str">
        <f aca="false" t="array" ref="C71:C71">IF(B70="NEW ROUTE",textsplit(B71,","),"")</f>
        <v/>
      </c>
      <c r="H71" s="1" t="str">
        <f aca="false">IF(C71&lt;&gt;"",DEC2HEX(C71,2),"")</f>
        <v/>
      </c>
      <c r="I71" s="1" t="str">
        <f aca="false">IF(D71&lt;&gt;"",DEC2HEX(D71,2),"")</f>
        <v/>
      </c>
      <c r="J71" s="1" t="str">
        <f aca="false">IF(H71&lt;&gt;"","0x"&amp;I71&amp;H71,"")</f>
        <v/>
      </c>
      <c r="L71" s="1" t="s">
        <v>2809</v>
      </c>
      <c r="M71" s="1" t="str">
        <f aca="false">IF(J71&lt;&gt;"",J71,L71)</f>
        <v>0.04</v>
      </c>
    </row>
    <row r="72" customFormat="false" ht="12.75" hidden="false" customHeight="true" outlineLevel="0" collapsed="false">
      <c r="A72" s="3" t="s">
        <v>2835</v>
      </c>
      <c r="B72" s="3" t="str">
        <f aca="false">IF(ISNUMBER(SEARCH("%", A72)),RIGHT(A72,3),A72)</f>
        <v>13, 13, ONIX</v>
      </c>
      <c r="C72" s="1" t="str">
        <f aca="false" t="array" ref="C72:C72">IF(B71="NEW ROUTE",textsplit(B72,","),"")</f>
        <v/>
      </c>
      <c r="H72" s="1" t="str">
        <f aca="false">IF(C72&lt;&gt;"",DEC2HEX(C72,2),"")</f>
        <v/>
      </c>
      <c r="I72" s="1" t="str">
        <f aca="false">IF(D72&lt;&gt;"",DEC2HEX(D72,2),"")</f>
        <v/>
      </c>
      <c r="J72" s="1" t="str">
        <f aca="false">IF(H72&lt;&gt;"","0x"&amp;I72&amp;H72,"")</f>
        <v/>
      </c>
      <c r="L72" s="1" t="s">
        <v>2835</v>
      </c>
      <c r="M72" s="1" t="str">
        <f aca="false">IF(J72&lt;&gt;"",J72,L72)</f>
        <v>13, 13, ONIX</v>
      </c>
    </row>
    <row r="73" customFormat="false" ht="12.75" hidden="false" customHeight="true" outlineLevel="0" collapsed="false">
      <c r="A73" s="3" t="s">
        <v>2836</v>
      </c>
      <c r="B73" s="3" t="str">
        <f aca="false">IF(ISNUMBER(SEARCH("%", A73)),RIGHT(A73,3),A73)</f>
        <v>13, 13, CLEFAIRY</v>
      </c>
      <c r="C73" s="1" t="str">
        <f aca="false" t="array" ref="C73:C73">IF(B72="NEW ROUTE",textsplit(B73,","),"")</f>
        <v/>
      </c>
      <c r="H73" s="1" t="str">
        <f aca="false">IF(C73&lt;&gt;"",DEC2HEX(C73,2),"")</f>
        <v/>
      </c>
      <c r="I73" s="1" t="str">
        <f aca="false">IF(D73&lt;&gt;"",DEC2HEX(D73,2),"")</f>
        <v/>
      </c>
      <c r="J73" s="1" t="str">
        <f aca="false">IF(H73&lt;&gt;"","0x"&amp;I73&amp;H73,"")</f>
        <v/>
      </c>
      <c r="L73" s="1" t="s">
        <v>2836</v>
      </c>
      <c r="M73" s="1" t="str">
        <f aca="false">IF(J73&lt;&gt;"",J73,L73)</f>
        <v>13, 13, CLEFAIRY</v>
      </c>
    </row>
    <row r="74" customFormat="false" ht="12.75" hidden="false" customHeight="true" outlineLevel="0" collapsed="false">
      <c r="A74" s="3" t="s">
        <v>2812</v>
      </c>
      <c r="B74" s="3" t="str">
        <f aca="false">IF(ISNUMBER(SEARCH("%", A74)),RIGHT(A74,3),A74)</f>
        <v>0.01</v>
      </c>
      <c r="C74" s="1" t="str">
        <f aca="false" t="array" ref="C74:C74">IF(B73="NEW ROUTE",textsplit(B74,","),"")</f>
        <v/>
      </c>
      <c r="H74" s="1" t="str">
        <f aca="false">IF(C74&lt;&gt;"",DEC2HEX(C74,2),"")</f>
        <v/>
      </c>
      <c r="I74" s="1" t="str">
        <f aca="false">IF(D74&lt;&gt;"",DEC2HEX(D74,2),"")</f>
        <v/>
      </c>
      <c r="J74" s="1" t="str">
        <f aca="false">IF(H74&lt;&gt;"","0x"&amp;I74&amp;H74,"")</f>
        <v/>
      </c>
      <c r="L74" s="1" t="s">
        <v>2812</v>
      </c>
      <c r="M74" s="1" t="str">
        <f aca="false">IF(J74&lt;&gt;"",J74,L74)</f>
        <v>0.01</v>
      </c>
    </row>
    <row r="75" customFormat="false" ht="12.75" hidden="false" customHeight="true" outlineLevel="0" collapsed="false">
      <c r="A75" s="3" t="s">
        <v>2837</v>
      </c>
      <c r="B75" s="3" t="str">
        <f aca="false">IF(ISNUMBER(SEARCH("%", A75)),RIGHT(A75,3),A75)</f>
        <v>13, 16, GOLBAT</v>
      </c>
      <c r="C75" s="1" t="str">
        <f aca="false" t="array" ref="C75:C75">IF(B74="NEW ROUTE",textsplit(B75,","),"")</f>
        <v/>
      </c>
      <c r="H75" s="1" t="str">
        <f aca="false">IF(C75&lt;&gt;"",DEC2HEX(C75,2),"")</f>
        <v/>
      </c>
      <c r="I75" s="1" t="str">
        <f aca="false">IF(D75&lt;&gt;"",DEC2HEX(D75,2),"")</f>
        <v/>
      </c>
      <c r="J75" s="1" t="str">
        <f aca="false">IF(H75&lt;&gt;"","0x"&amp;I75&amp;H75,"")</f>
        <v/>
      </c>
      <c r="L75" s="1" t="s">
        <v>2837</v>
      </c>
      <c r="M75" s="1" t="str">
        <f aca="false">IF(J75&lt;&gt;"",J75,L75)</f>
        <v>13, 16, GOLBAT</v>
      </c>
    </row>
    <row r="76" customFormat="false" ht="12.75" hidden="false" customHeight="true" outlineLevel="0" collapsed="false">
      <c r="A76" s="3" t="s">
        <v>2838</v>
      </c>
      <c r="B76" s="3" t="str">
        <f aca="false">IF(ISNUMBER(SEARCH("%", A76)),RIGHT(A76,3),A76)</f>
        <v>13, 16, GRAVELER , &lt;null&gt;, &lt;null&gt;, &lt;null&gt;</v>
      </c>
      <c r="C76" s="1" t="str">
        <f aca="false" t="array" ref="C76:C76">IF(B75="NEW ROUTE",textsplit(B76,","),"")</f>
        <v/>
      </c>
      <c r="H76" s="1" t="str">
        <f aca="false">IF(C76&lt;&gt;"",DEC2HEX(C76,2),"")</f>
        <v/>
      </c>
      <c r="I76" s="1" t="str">
        <f aca="false">IF(D76&lt;&gt;"",DEC2HEX(D76,2),"")</f>
        <v/>
      </c>
      <c r="J76" s="1" t="str">
        <f aca="false">IF(H76&lt;&gt;"","0x"&amp;I76&amp;H76,"")</f>
        <v/>
      </c>
      <c r="L76" s="1" t="s">
        <v>2838</v>
      </c>
      <c r="M76" s="1" t="str">
        <f aca="false">IF(J76&lt;&gt;"",J76,L76)</f>
        <v>13, 16, GRAVELER , &lt;null&gt;, &lt;null&gt;, &lt;null&gt;</v>
      </c>
    </row>
    <row r="77" customFormat="false" ht="12.75" hidden="false" customHeight="true" outlineLevel="0" collapsed="false">
      <c r="A77" s="3" t="s">
        <v>2536</v>
      </c>
      <c r="B77" s="3" t="str">
        <f aca="false">IF(ISNUMBER(SEARCH("%", A77)),RIGHT(A77,3),A77)</f>
        <v>NEW ROUTE</v>
      </c>
      <c r="C77" s="1" t="str">
        <f aca="false" t="array" ref="C77:C77">IF(B76="NEW ROUTE",textsplit(B77,","),"")</f>
        <v/>
      </c>
      <c r="H77" s="1" t="str">
        <f aca="false">IF(C77&lt;&gt;"",DEC2HEX(C77,2),"")</f>
        <v/>
      </c>
      <c r="I77" s="1" t="str">
        <f aca="false">IF(D77&lt;&gt;"",DEC2HEX(D77,2),"")</f>
        <v/>
      </c>
      <c r="J77" s="1" t="str">
        <f aca="false">IF(H77&lt;&gt;"","0x"&amp;I77&amp;H77,"")</f>
        <v/>
      </c>
      <c r="L77" s="1" t="s">
        <v>2536</v>
      </c>
      <c r="M77" s="1" t="str">
        <f aca="false">IF(J77&lt;&gt;"",J77,L77)</f>
        <v>NEW ROUTE</v>
      </c>
    </row>
    <row r="78" customFormat="false" ht="12.75" hidden="false" customHeight="true" outlineLevel="0" collapsed="false">
      <c r="A78" s="3" t="s">
        <v>2839</v>
      </c>
      <c r="B78" s="3" t="str">
        <f aca="false">IF(ISNUMBER(SEARCH("%", A78)),RIGHT(A78,3),A78)</f>
        <v>1, 4, 0, &lt;null&gt;,</v>
      </c>
      <c r="C78" s="1" t="e">
        <f aca="false" t="array" ref="C78:C78">IF(B77="NEW ROUTE",textsplit(B78,","),"")</f>
        <v>#NAME?</v>
      </c>
      <c r="H78" s="1" t="e">
        <f aca="false">IF(C78&lt;&gt;"",DEC2HEX(C78,2),"")</f>
        <v>#NAME?</v>
      </c>
      <c r="I78" s="1" t="str">
        <f aca="false">IF(D78&lt;&gt;"",DEC2HEX(D78,2),"")</f>
        <v/>
      </c>
      <c r="J78" s="1" t="e">
        <f aca="false">IF(H78&lt;&gt;"","0x"&amp;I78&amp;H78,"")</f>
        <v>#NAME?</v>
      </c>
      <c r="L78" s="1" t="s">
        <v>2839</v>
      </c>
      <c r="M78" s="1" t="e">
        <f aca="false">IF(J78&lt;&gt;"",J78,L78)</f>
        <v>#NAME?</v>
      </c>
    </row>
    <row r="79" customFormat="false" ht="12.75" hidden="false" customHeight="true" outlineLevel="0" collapsed="false">
      <c r="A79" s="3" t="s">
        <v>2840</v>
      </c>
      <c r="B79" s="3" t="str">
        <f aca="false">IF(ISNUMBER(SEARCH("%", A79)),RIGHT(A79,3),A79)</f>
        <v>1, 5, 10, TENTACOOL</v>
      </c>
      <c r="C79" s="1" t="str">
        <f aca="false" t="array" ref="C79:C79">IF(B78="NEW ROUTE",textsplit(B79,","),"")</f>
        <v/>
      </c>
      <c r="H79" s="1" t="str">
        <f aca="false">IF(C79&lt;&gt;"",DEC2HEX(C79,2),"")</f>
        <v/>
      </c>
      <c r="I79" s="1" t="str">
        <f aca="false">IF(D79&lt;&gt;"",DEC2HEX(D79,2),"")</f>
        <v/>
      </c>
      <c r="J79" s="1" t="str">
        <f aca="false">IF(H79&lt;&gt;"","0x"&amp;I79&amp;H79,"")</f>
        <v/>
      </c>
      <c r="L79" s="1" t="s">
        <v>2840</v>
      </c>
      <c r="M79" s="1" t="str">
        <f aca="false">IF(J79&lt;&gt;"",J79,L79)</f>
        <v>1, 5, 10, TENTACOOL</v>
      </c>
    </row>
    <row r="80" customFormat="false" ht="12.75" hidden="false" customHeight="true" outlineLevel="0" collapsed="false">
      <c r="A80" s="3" t="s">
        <v>2841</v>
      </c>
      <c r="B80" s="3" t="str">
        <f aca="false">IF(ISNUMBER(SEARCH("%", A80)),RIGHT(A80,3),A80)</f>
        <v>10, 20, TENTACOOL</v>
      </c>
      <c r="C80" s="1" t="str">
        <f aca="false" t="array" ref="C80:C80">IF(B79="NEW ROUTE",textsplit(B80,","),"")</f>
        <v/>
      </c>
      <c r="H80" s="1" t="str">
        <f aca="false">IF(C80&lt;&gt;"",DEC2HEX(C80,2),"")</f>
        <v/>
      </c>
      <c r="I80" s="1" t="str">
        <f aca="false">IF(D80&lt;&gt;"",DEC2HEX(D80,2),"")</f>
        <v/>
      </c>
      <c r="J80" s="1" t="str">
        <f aca="false">IF(H80&lt;&gt;"","0x"&amp;I80&amp;H80,"")</f>
        <v/>
      </c>
      <c r="L80" s="1" t="s">
        <v>2841</v>
      </c>
      <c r="M80" s="1" t="str">
        <f aca="false">IF(J80&lt;&gt;"",J80,L80)</f>
        <v>10, 20, TENTACOOL</v>
      </c>
    </row>
    <row r="81" customFormat="false" ht="12.75" hidden="false" customHeight="true" outlineLevel="0" collapsed="false">
      <c r="A81" s="3" t="s">
        <v>2842</v>
      </c>
      <c r="B81" s="3" t="str">
        <f aca="false">IF(ISNUMBER(SEARCH("%", A81)),RIGHT(A81,3),A81)</f>
        <v>20, 30, TENTACOOL</v>
      </c>
      <c r="C81" s="1" t="str">
        <f aca="false" t="array" ref="C81:C81">IF(B80="NEW ROUTE",textsplit(B81,","),"")</f>
        <v/>
      </c>
      <c r="H81" s="1" t="str">
        <f aca="false">IF(C81&lt;&gt;"",DEC2HEX(C81,2),"")</f>
        <v/>
      </c>
      <c r="I81" s="1" t="str">
        <f aca="false">IF(D81&lt;&gt;"",DEC2HEX(D81,2),"")</f>
        <v/>
      </c>
      <c r="J81" s="1" t="str">
        <f aca="false">IF(H81&lt;&gt;"","0x"&amp;I81&amp;H81,"")</f>
        <v/>
      </c>
      <c r="L81" s="1" t="s">
        <v>2842</v>
      </c>
      <c r="M81" s="1" t="str">
        <f aca="false">IF(J81&lt;&gt;"",J81,L81)</f>
        <v>20, 30, TENTACOOL</v>
      </c>
    </row>
    <row r="82" customFormat="false" ht="12.75" hidden="false" customHeight="true" outlineLevel="0" collapsed="false">
      <c r="A82" s="3" t="s">
        <v>2843</v>
      </c>
      <c r="B82" s="3" t="str">
        <f aca="false">IF(ISNUMBER(SEARCH("%", A82)),RIGHT(A82,3),A82)</f>
        <v>30, 35, TENTACOOL</v>
      </c>
      <c r="C82" s="1" t="str">
        <f aca="false" t="array" ref="C82:C82">IF(B81="NEW ROUTE",textsplit(B82,","),"")</f>
        <v/>
      </c>
      <c r="H82" s="1" t="str">
        <f aca="false">IF(C82&lt;&gt;"",DEC2HEX(C82,2),"")</f>
        <v/>
      </c>
      <c r="I82" s="1" t="str">
        <f aca="false">IF(D82&lt;&gt;"",DEC2HEX(D82,2),"")</f>
        <v/>
      </c>
      <c r="J82" s="1" t="str">
        <f aca="false">IF(H82&lt;&gt;"","0x"&amp;I82&amp;H82,"")</f>
        <v/>
      </c>
      <c r="L82" s="1" t="s">
        <v>2843</v>
      </c>
      <c r="M82" s="1" t="str">
        <f aca="false">IF(J82&lt;&gt;"",J82,L82)</f>
        <v>30, 35, TENTACOOL</v>
      </c>
    </row>
    <row r="83" customFormat="false" ht="12.75" hidden="false" customHeight="true" outlineLevel="0" collapsed="false">
      <c r="A83" s="3" t="s">
        <v>2844</v>
      </c>
      <c r="B83" s="3" t="str">
        <f aca="false">IF(ISNUMBER(SEARCH("%", A83)),RIGHT(A83,3),A83)</f>
        <v>35, 40, TENTACOOL</v>
      </c>
      <c r="C83" s="1" t="str">
        <f aca="false" t="array" ref="C83:C83">IF(B82="NEW ROUTE",textsplit(B83,","),"")</f>
        <v/>
      </c>
      <c r="H83" s="1" t="str">
        <f aca="false">IF(C83&lt;&gt;"",DEC2HEX(C83,2),"")</f>
        <v/>
      </c>
      <c r="I83" s="1" t="str">
        <f aca="false">IF(D83&lt;&gt;"",DEC2HEX(D83,2),"")</f>
        <v/>
      </c>
      <c r="J83" s="1" t="str">
        <f aca="false">IF(H83&lt;&gt;"","0x"&amp;I83&amp;H83,"")</f>
        <v/>
      </c>
      <c r="L83" s="1" t="s">
        <v>2844</v>
      </c>
      <c r="M83" s="1" t="str">
        <f aca="false">IF(J83&lt;&gt;"",J83,L83)</f>
        <v>35, 40, TENTACOOL</v>
      </c>
    </row>
    <row r="84" customFormat="false" ht="12.75" hidden="false" customHeight="true" outlineLevel="0" collapsed="false">
      <c r="A84" s="3" t="s">
        <v>2845</v>
      </c>
      <c r="B84" s="3" t="str">
        <f aca="false">IF(ISNUMBER(SEARCH("%", A84)),RIGHT(A84,3),A84)</f>
        <v>10, old rod:</v>
      </c>
      <c r="C84" s="1" t="str">
        <f aca="false" t="array" ref="C84:C84">IF(B83="NEW ROUTE",textsplit(B84,","),"")</f>
        <v/>
      </c>
      <c r="H84" s="1" t="str">
        <f aca="false">IF(C84&lt;&gt;"",DEC2HEX(C84,2),"")</f>
        <v/>
      </c>
      <c r="I84" s="1" t="str">
        <f aca="false">IF(D84&lt;&gt;"",DEC2HEX(D84,2),"")</f>
        <v/>
      </c>
      <c r="J84" s="1" t="str">
        <f aca="false">IF(H84&lt;&gt;"","0x"&amp;I84&amp;H84,"")</f>
        <v/>
      </c>
      <c r="L84" s="1" t="s">
        <v>2845</v>
      </c>
      <c r="M84" s="1" t="str">
        <f aca="false">IF(J84&lt;&gt;"",J84,L84)</f>
        <v>10, old rod:</v>
      </c>
    </row>
    <row r="85" customFormat="false" ht="12.75" hidden="false" customHeight="true" outlineLevel="0" collapsed="false">
      <c r="A85" s="3" t="s">
        <v>1266</v>
      </c>
      <c r="B85" s="3" t="str">
        <f aca="false">IF(ISNUMBER(SEARCH("%", A85)),RIGHT(A85,3),A85)</f>
        <v>5, 5, MAGIKARP</v>
      </c>
      <c r="C85" s="1" t="str">
        <f aca="false" t="array" ref="C85:C85">IF(B84="NEW ROUTE",textsplit(B85,","),"")</f>
        <v/>
      </c>
      <c r="H85" s="1" t="str">
        <f aca="false">IF(C85&lt;&gt;"",DEC2HEX(C85,2),"")</f>
        <v/>
      </c>
      <c r="I85" s="1" t="str">
        <f aca="false">IF(D85&lt;&gt;"",DEC2HEX(D85,2),"")</f>
        <v/>
      </c>
      <c r="J85" s="1" t="str">
        <f aca="false">IF(H85&lt;&gt;"","0x"&amp;I85&amp;H85,"")</f>
        <v/>
      </c>
      <c r="L85" s="1" t="s">
        <v>1266</v>
      </c>
      <c r="M85" s="1" t="str">
        <f aca="false">IF(J85&lt;&gt;"",J85,L85)</f>
        <v>5, 5, MAGIKARP</v>
      </c>
    </row>
    <row r="86" customFormat="false" ht="12.75" hidden="false" customHeight="true" outlineLevel="0" collapsed="false">
      <c r="A86" s="3" t="s">
        <v>1266</v>
      </c>
      <c r="B86" s="3" t="str">
        <f aca="false">IF(ISNUMBER(SEARCH("%", A86)),RIGHT(A86,3),A86)</f>
        <v>5, 5, MAGIKARP</v>
      </c>
      <c r="C86" s="1" t="str">
        <f aca="false" t="array" ref="C86:C86">IF(B85="NEW ROUTE",textsplit(B86,","),"")</f>
        <v/>
      </c>
      <c r="H86" s="1" t="str">
        <f aca="false">IF(C86&lt;&gt;"",DEC2HEX(C86,2),"")</f>
        <v/>
      </c>
      <c r="I86" s="1" t="str">
        <f aca="false">IF(D86&lt;&gt;"",DEC2HEX(D86,2),"")</f>
        <v/>
      </c>
      <c r="J86" s="1" t="str">
        <f aca="false">IF(H86&lt;&gt;"","0x"&amp;I86&amp;H86,"")</f>
        <v/>
      </c>
      <c r="L86" s="1" t="s">
        <v>1266</v>
      </c>
      <c r="M86" s="1" t="str">
        <f aca="false">IF(J86&lt;&gt;"",J86,L86)</f>
        <v>5, 5, MAGIKARP</v>
      </c>
    </row>
    <row r="87" customFormat="false" ht="12.75" hidden="false" customHeight="true" outlineLevel="0" collapsed="false">
      <c r="A87" s="3" t="s">
        <v>2846</v>
      </c>
      <c r="B87" s="3" t="str">
        <f aca="false">IF(ISNUMBER(SEARCH("%", A87)),RIGHT(A87,3),A87)</f>
        <v>good rod:</v>
      </c>
      <c r="C87" s="1" t="str">
        <f aca="false" t="array" ref="C87:C87">IF(B86="NEW ROUTE",textsplit(B87,","),"")</f>
        <v/>
      </c>
      <c r="H87" s="1" t="str">
        <f aca="false">IF(C87&lt;&gt;"",DEC2HEX(C87,2),"")</f>
        <v/>
      </c>
      <c r="I87" s="1" t="str">
        <f aca="false">IF(D87&lt;&gt;"",DEC2HEX(D87,2),"")</f>
        <v/>
      </c>
      <c r="J87" s="1" t="str">
        <f aca="false">IF(H87&lt;&gt;"","0x"&amp;I87&amp;H87,"")</f>
        <v/>
      </c>
      <c r="L87" s="1" t="s">
        <v>2846</v>
      </c>
      <c r="M87" s="1" t="str">
        <f aca="false">IF(J87&lt;&gt;"",J87,L87)</f>
        <v>good rod:</v>
      </c>
    </row>
    <row r="88" customFormat="false" ht="12.75" hidden="false" customHeight="true" outlineLevel="0" collapsed="false">
      <c r="A88" s="3" t="s">
        <v>2847</v>
      </c>
      <c r="B88" s="3" t="str">
        <f aca="false">IF(ISNUMBER(SEARCH("%", A88)),RIGHT(A88,3),A88)</f>
        <v>5, 15, KRABBY</v>
      </c>
      <c r="C88" s="1" t="str">
        <f aca="false" t="array" ref="C88:C88">IF(B87="NEW ROUTE",textsplit(B88,","),"")</f>
        <v/>
      </c>
      <c r="H88" s="1" t="str">
        <f aca="false">IF(C88&lt;&gt;"",DEC2HEX(C88,2),"")</f>
        <v/>
      </c>
      <c r="I88" s="1" t="str">
        <f aca="false">IF(D88&lt;&gt;"",DEC2HEX(D88,2),"")</f>
        <v/>
      </c>
      <c r="J88" s="1" t="str">
        <f aca="false">IF(H88&lt;&gt;"","0x"&amp;I88&amp;H88,"")</f>
        <v/>
      </c>
      <c r="L88" s="1" t="s">
        <v>2847</v>
      </c>
      <c r="M88" s="1" t="str">
        <f aca="false">IF(J88&lt;&gt;"",J88,L88)</f>
        <v>5, 15, KRABBY</v>
      </c>
    </row>
    <row r="89" customFormat="false" ht="12.75" hidden="false" customHeight="true" outlineLevel="0" collapsed="false">
      <c r="A89" s="3" t="s">
        <v>2848</v>
      </c>
      <c r="B89" s="3" t="str">
        <f aca="false">IF(ISNUMBER(SEARCH("%", A89)),RIGHT(A89,3),A89)</f>
        <v>5, 15, MAGIKARP</v>
      </c>
      <c r="C89" s="1" t="str">
        <f aca="false" t="array" ref="C89:C89">IF(B88="NEW ROUTE",textsplit(B89,","),"")</f>
        <v/>
      </c>
      <c r="H89" s="1" t="str">
        <f aca="false">IF(C89&lt;&gt;"",DEC2HEX(C89,2),"")</f>
        <v/>
      </c>
      <c r="I89" s="1" t="str">
        <f aca="false">IF(D89&lt;&gt;"",DEC2HEX(D89,2),"")</f>
        <v/>
      </c>
      <c r="J89" s="1" t="str">
        <f aca="false">IF(H89&lt;&gt;"","0x"&amp;I89&amp;H89,"")</f>
        <v/>
      </c>
      <c r="L89" s="1" t="s">
        <v>2848</v>
      </c>
      <c r="M89" s="1" t="str">
        <f aca="false">IF(J89&lt;&gt;"",J89,L89)</f>
        <v>5, 15, MAGIKARP</v>
      </c>
    </row>
    <row r="90" customFormat="false" ht="12.75" hidden="false" customHeight="true" outlineLevel="0" collapsed="false">
      <c r="A90" s="3" t="s">
        <v>2849</v>
      </c>
      <c r="B90" s="3" t="str">
        <f aca="false">IF(ISNUMBER(SEARCH("%", A90)),RIGHT(A90,3),A90)</f>
        <v>5, 15, HORSEA</v>
      </c>
      <c r="C90" s="1" t="str">
        <f aca="false" t="array" ref="C90:C90">IF(B89="NEW ROUTE",textsplit(B90,","),"")</f>
        <v/>
      </c>
      <c r="H90" s="1" t="str">
        <f aca="false">IF(C90&lt;&gt;"",DEC2HEX(C90,2),"")</f>
        <v/>
      </c>
      <c r="I90" s="1" t="str">
        <f aca="false">IF(D90&lt;&gt;"",DEC2HEX(D90,2),"")</f>
        <v/>
      </c>
      <c r="J90" s="1" t="str">
        <f aca="false">IF(H90&lt;&gt;"","0x"&amp;I90&amp;H90,"")</f>
        <v/>
      </c>
      <c r="L90" s="1" t="s">
        <v>2849</v>
      </c>
      <c r="M90" s="1" t="str">
        <f aca="false">IF(J90&lt;&gt;"",J90,L90)</f>
        <v>5, 15, HORSEA</v>
      </c>
    </row>
    <row r="91" customFormat="false" ht="12.75" hidden="false" customHeight="true" outlineLevel="0" collapsed="false">
      <c r="A91" s="3" t="s">
        <v>2850</v>
      </c>
      <c r="B91" s="3" t="str">
        <f aca="false">IF(ISNUMBER(SEARCH("%", A91)),RIGHT(A91,3),A91)</f>
        <v>super rod:</v>
      </c>
      <c r="C91" s="1" t="str">
        <f aca="false" t="array" ref="C91:C91">IF(B90="NEW ROUTE",textsplit(B91,","),"")</f>
        <v/>
      </c>
      <c r="H91" s="1" t="str">
        <f aca="false">IF(C91&lt;&gt;"",DEC2HEX(C91,2),"")</f>
        <v/>
      </c>
      <c r="I91" s="1" t="str">
        <f aca="false">IF(D91&lt;&gt;"",DEC2HEX(D91,2),"")</f>
        <v/>
      </c>
      <c r="J91" s="1" t="str">
        <f aca="false">IF(H91&lt;&gt;"","0x"&amp;I91&amp;H91,"")</f>
        <v/>
      </c>
      <c r="L91" s="1" t="s">
        <v>2850</v>
      </c>
      <c r="M91" s="1" t="str">
        <f aca="false">IF(J91&lt;&gt;"",J91,L91)</f>
        <v>super rod:</v>
      </c>
    </row>
    <row r="92" customFormat="false" ht="12.75" hidden="false" customHeight="true" outlineLevel="0" collapsed="false">
      <c r="A92" s="3" t="s">
        <v>2851</v>
      </c>
      <c r="B92" s="3" t="str">
        <f aca="false">IF(ISNUMBER(SEARCH("%", A92)),RIGHT(A92,3),A92)</f>
        <v>15, 25, KRABBY</v>
      </c>
      <c r="C92" s="1" t="str">
        <f aca="false" t="array" ref="C92:C92">IF(B91="NEW ROUTE",textsplit(B92,","),"")</f>
        <v/>
      </c>
      <c r="H92" s="1" t="str">
        <f aca="false">IF(C92&lt;&gt;"",DEC2HEX(C92,2),"")</f>
        <v/>
      </c>
      <c r="I92" s="1" t="str">
        <f aca="false">IF(D92&lt;&gt;"",DEC2HEX(D92,2),"")</f>
        <v/>
      </c>
      <c r="J92" s="1" t="str">
        <f aca="false">IF(H92&lt;&gt;"","0x"&amp;I92&amp;H92,"")</f>
        <v/>
      </c>
      <c r="L92" s="1" t="s">
        <v>2851</v>
      </c>
      <c r="M92" s="1" t="str">
        <f aca="false">IF(J92&lt;&gt;"",J92,L92)</f>
        <v>15, 25, KRABBY</v>
      </c>
    </row>
    <row r="93" customFormat="false" ht="12.75" hidden="false" customHeight="true" outlineLevel="0" collapsed="false">
      <c r="A93" s="3" t="s">
        <v>2852</v>
      </c>
      <c r="B93" s="3" t="str">
        <f aca="false">IF(ISNUMBER(SEARCH("%", A93)),RIGHT(A93,3),A93)</f>
        <v>15, 25, STARYU</v>
      </c>
      <c r="C93" s="1" t="str">
        <f aca="false" t="array" ref="C93:C93">IF(B92="NEW ROUTE",textsplit(B93,","),"")</f>
        <v/>
      </c>
      <c r="H93" s="1" t="str">
        <f aca="false">IF(C93&lt;&gt;"",DEC2HEX(C93,2),"")</f>
        <v/>
      </c>
      <c r="I93" s="1" t="str">
        <f aca="false">IF(D93&lt;&gt;"",DEC2HEX(D93,2),"")</f>
        <v/>
      </c>
      <c r="J93" s="1" t="str">
        <f aca="false">IF(H93&lt;&gt;"","0x"&amp;I93&amp;H93,"")</f>
        <v/>
      </c>
      <c r="L93" s="1" t="s">
        <v>2852</v>
      </c>
      <c r="M93" s="1" t="str">
        <f aca="false">IF(J93&lt;&gt;"",J93,L93)</f>
        <v>15, 25, STARYU</v>
      </c>
    </row>
    <row r="94" customFormat="false" ht="12.75" hidden="false" customHeight="true" outlineLevel="0" collapsed="false">
      <c r="A94" s="3" t="s">
        <v>2853</v>
      </c>
      <c r="B94" s="3" t="str">
        <f aca="false">IF(ISNUMBER(SEARCH("%", A94)),RIGHT(A94,3),A94)</f>
        <v>15, 25, GYARADOS</v>
      </c>
      <c r="C94" s="1" t="str">
        <f aca="false" t="array" ref="C94:C94">IF(B93="NEW ROUTE",textsplit(B94,","),"")</f>
        <v/>
      </c>
      <c r="H94" s="1" t="str">
        <f aca="false">IF(C94&lt;&gt;"",DEC2HEX(C94,2),"")</f>
        <v/>
      </c>
      <c r="I94" s="1" t="str">
        <f aca="false">IF(D94&lt;&gt;"",DEC2HEX(D94,2),"")</f>
        <v/>
      </c>
      <c r="J94" s="1" t="str">
        <f aca="false">IF(H94&lt;&gt;"","0x"&amp;I94&amp;H94,"")</f>
        <v/>
      </c>
      <c r="L94" s="1" t="s">
        <v>2853</v>
      </c>
      <c r="M94" s="1" t="str">
        <f aca="false">IF(J94&lt;&gt;"",J94,L94)</f>
        <v>15, 25, GYARADOS</v>
      </c>
    </row>
    <row r="95" customFormat="false" ht="12.75" hidden="false" customHeight="true" outlineLevel="0" collapsed="false">
      <c r="A95" s="3" t="s">
        <v>2854</v>
      </c>
      <c r="B95" s="3" t="str">
        <f aca="false">IF(ISNUMBER(SEARCH("%", A95)),RIGHT(A95,3),A95)</f>
        <v>25, 35, KRABBY</v>
      </c>
      <c r="C95" s="1" t="str">
        <f aca="false" t="array" ref="C95:C95">IF(B94="NEW ROUTE",textsplit(B95,","),"")</f>
        <v/>
      </c>
      <c r="H95" s="1" t="str">
        <f aca="false">IF(C95&lt;&gt;"",DEC2HEX(C95,2),"")</f>
        <v/>
      </c>
      <c r="I95" s="1" t="str">
        <f aca="false">IF(D95&lt;&gt;"",DEC2HEX(D95,2),"")</f>
        <v/>
      </c>
      <c r="J95" s="1" t="str">
        <f aca="false">IF(H95&lt;&gt;"","0x"&amp;I95&amp;H95,"")</f>
        <v/>
      </c>
      <c r="L95" s="1" t="s">
        <v>2854</v>
      </c>
      <c r="M95" s="1" t="str">
        <f aca="false">IF(J95&lt;&gt;"",J95,L95)</f>
        <v>25, 35, KRABBY</v>
      </c>
    </row>
    <row r="96" customFormat="false" ht="12.75" hidden="false" customHeight="true" outlineLevel="0" collapsed="false">
      <c r="A96" s="3" t="s">
        <v>2855</v>
      </c>
      <c r="B96" s="3" t="str">
        <f aca="false">IF(ISNUMBER(SEARCH("%", A96)),RIGHT(A96,3),A96)</f>
        <v>25, 35, SLOWPOKE</v>
      </c>
      <c r="C96" s="1" t="str">
        <f aca="false" t="array" ref="C96:C96">IF(B95="NEW ROUTE",textsplit(B96,","),"")</f>
        <v/>
      </c>
      <c r="H96" s="1" t="str">
        <f aca="false">IF(C96&lt;&gt;"",DEC2HEX(C96,2),"")</f>
        <v/>
      </c>
      <c r="I96" s="1" t="str">
        <f aca="false">IF(D96&lt;&gt;"",DEC2HEX(D96,2),"")</f>
        <v/>
      </c>
      <c r="J96" s="1" t="str">
        <f aca="false">IF(H96&lt;&gt;"","0x"&amp;I96&amp;H96,"")</f>
        <v/>
      </c>
      <c r="L96" s="1" t="s">
        <v>2855</v>
      </c>
      <c r="M96" s="1" t="str">
        <f aca="false">IF(J96&lt;&gt;"",J96,L96)</f>
        <v>25, 35, SLOWPOKE</v>
      </c>
    </row>
    <row r="97" customFormat="false" ht="12.75" hidden="false" customHeight="true" outlineLevel="0" collapsed="false">
      <c r="A97" s="3" t="s">
        <v>2536</v>
      </c>
      <c r="B97" s="3" t="str">
        <f aca="false">IF(ISNUMBER(SEARCH("%", A97)),RIGHT(A97,3),A97)</f>
        <v>NEW ROUTE</v>
      </c>
      <c r="C97" s="1" t="str">
        <f aca="false" t="array" ref="C97:C97">IF(B96="NEW ROUTE",textsplit(B97,","),"")</f>
        <v/>
      </c>
      <c r="H97" s="1" t="str">
        <f aca="false">IF(C97&lt;&gt;"",DEC2HEX(C97,2),"")</f>
        <v/>
      </c>
      <c r="I97" s="1" t="str">
        <f aca="false">IF(D97&lt;&gt;"",DEC2HEX(D97,2),"")</f>
        <v/>
      </c>
      <c r="J97" s="1" t="str">
        <f aca="false">IF(H97&lt;&gt;"","0x"&amp;I97&amp;H97,"")</f>
        <v/>
      </c>
      <c r="L97" s="1" t="s">
        <v>2536</v>
      </c>
      <c r="M97" s="1" t="str">
        <f aca="false">IF(J97&lt;&gt;"",J97,L97)</f>
        <v>NEW ROUTE</v>
      </c>
    </row>
    <row r="98" customFormat="false" ht="12.75" hidden="false" customHeight="true" outlineLevel="0" collapsed="false">
      <c r="A98" s="3" t="s">
        <v>2856</v>
      </c>
      <c r="B98" s="3" t="str">
        <f aca="false">IF(ISNUMBER(SEARCH("%", A98)),RIGHT(A98,3),A98)</f>
        <v>1, 37, 0,</v>
      </c>
      <c r="C98" s="1" t="e">
        <f aca="false" t="array" ref="C98:C98">IF(B97="NEW ROUTE",textsplit(B98,","),"")</f>
        <v>#NAME?</v>
      </c>
      <c r="H98" s="1" t="e">
        <f aca="false">IF(C98&lt;&gt;"",DEC2HEX(C98,2),"")</f>
        <v>#NAME?</v>
      </c>
      <c r="I98" s="1" t="str">
        <f aca="false">IF(D98&lt;&gt;"",DEC2HEX(D98,2),"")</f>
        <v/>
      </c>
      <c r="J98" s="1" t="e">
        <f aca="false">IF(H98&lt;&gt;"","0x"&amp;I98&amp;H98,"")</f>
        <v>#NAME?</v>
      </c>
      <c r="L98" s="1" t="s">
        <v>2856</v>
      </c>
      <c r="M98" s="1" t="e">
        <f aca="false">IF(J98&lt;&gt;"",J98,L98)</f>
        <v>#NAME?</v>
      </c>
    </row>
    <row r="99" customFormat="false" ht="12.75" hidden="false" customHeight="true" outlineLevel="0" collapsed="false">
      <c r="A99" s="3" t="s">
        <v>2823</v>
      </c>
      <c r="B99" s="3" t="str">
        <f aca="false">IF(ISNUMBER(SEARCH("%", A99)),RIGHT(A99,3),A99)</f>
        <v>20%</v>
      </c>
      <c r="C99" s="1" t="str">
        <f aca="false" t="array" ref="C99:C99">IF(B98="NEW ROUTE",textsplit(B99,","),"")</f>
        <v/>
      </c>
      <c r="H99" s="1" t="str">
        <f aca="false">IF(C99&lt;&gt;"",DEC2HEX(C99,2),"")</f>
        <v/>
      </c>
      <c r="I99" s="1" t="str">
        <f aca="false">IF(D99&lt;&gt;"",DEC2HEX(D99,2),"")</f>
        <v/>
      </c>
      <c r="J99" s="1" t="str">
        <f aca="false">IF(H99&lt;&gt;"","0x"&amp;I99&amp;H99,"")</f>
        <v/>
      </c>
      <c r="L99" s="1" t="s">
        <v>2799</v>
      </c>
      <c r="M99" s="1" t="str">
        <f aca="false">IF(J99&lt;&gt;"",J99,L99)</f>
        <v>20%</v>
      </c>
    </row>
    <row r="100" customFormat="false" ht="12.75" hidden="false" customHeight="true" outlineLevel="0" collapsed="false">
      <c r="A100" s="3" t="s">
        <v>1279</v>
      </c>
      <c r="B100" s="3" t="str">
        <f aca="false">IF(ISNUMBER(SEARCH("%", A100)),RIGHT(A100,3),A100)</f>
        <v>18, 18, DIGLETT</v>
      </c>
      <c r="C100" s="1" t="str">
        <f aca="false" t="array" ref="C100:C100">IF(B99="NEW ROUTE",textsplit(B100,","),"")</f>
        <v/>
      </c>
      <c r="H100" s="1" t="str">
        <f aca="false">IF(C100&lt;&gt;"",DEC2HEX(C100,2),"")</f>
        <v/>
      </c>
      <c r="I100" s="1" t="str">
        <f aca="false">IF(D100&lt;&gt;"",DEC2HEX(D100,2),"")</f>
        <v/>
      </c>
      <c r="J100" s="1" t="str">
        <f aca="false">IF(H100&lt;&gt;"","0x"&amp;I100&amp;H100,"")</f>
        <v/>
      </c>
      <c r="L100" s="1" t="s">
        <v>1279</v>
      </c>
      <c r="M100" s="1" t="str">
        <f aca="false">IF(J100&lt;&gt;"",J100,L100)</f>
        <v>18, 18, DIGLETT</v>
      </c>
    </row>
    <row r="101" customFormat="false" ht="12.75" hidden="false" customHeight="true" outlineLevel="0" collapsed="false">
      <c r="A101" s="3" t="s">
        <v>2857</v>
      </c>
      <c r="B101" s="3" t="str">
        <f aca="false">IF(ISNUMBER(SEARCH("%", A101)),RIGHT(A101,3),A101)</f>
        <v>19, 19, DIGLETT</v>
      </c>
      <c r="C101" s="1" t="str">
        <f aca="false" t="array" ref="C101:C101">IF(B100="NEW ROUTE",textsplit(B101,","),"")</f>
        <v/>
      </c>
      <c r="H101" s="1" t="str">
        <f aca="false">IF(C101&lt;&gt;"",DEC2HEX(C101,2),"")</f>
        <v/>
      </c>
      <c r="I101" s="1" t="str">
        <f aca="false">IF(D101&lt;&gt;"",DEC2HEX(D101,2),"")</f>
        <v/>
      </c>
      <c r="J101" s="1" t="str">
        <f aca="false">IF(H101&lt;&gt;"","0x"&amp;I101&amp;H101,"")</f>
        <v/>
      </c>
      <c r="L101" s="1" t="s">
        <v>2857</v>
      </c>
      <c r="M101" s="1" t="str">
        <f aca="false">IF(J101&lt;&gt;"",J101,L101)</f>
        <v>19, 19, DIGLETT</v>
      </c>
    </row>
    <row r="102" customFormat="false" ht="12.75" hidden="false" customHeight="true" outlineLevel="0" collapsed="false">
      <c r="A102" s="3" t="s">
        <v>2801</v>
      </c>
      <c r="B102" s="3" t="str">
        <f aca="false">IF(ISNUMBER(SEARCH("%", A102)),RIGHT(A102,3),A102)</f>
        <v>0.1</v>
      </c>
      <c r="C102" s="1" t="str">
        <f aca="false" t="array" ref="C102:C102">IF(B101="NEW ROUTE",textsplit(B102,","),"")</f>
        <v/>
      </c>
      <c r="H102" s="1" t="str">
        <f aca="false">IF(C102&lt;&gt;"",DEC2HEX(C102,2),"")</f>
        <v/>
      </c>
      <c r="I102" s="1" t="str">
        <f aca="false">IF(D102&lt;&gt;"",DEC2HEX(D102,2),"")</f>
        <v/>
      </c>
      <c r="J102" s="1" t="str">
        <f aca="false">IF(H102&lt;&gt;"","0x"&amp;I102&amp;H102,"")</f>
        <v/>
      </c>
      <c r="L102" s="1" t="s">
        <v>2801</v>
      </c>
      <c r="M102" s="1" t="str">
        <f aca="false">IF(J102&lt;&gt;"",J102,L102)</f>
        <v>0.1</v>
      </c>
    </row>
    <row r="103" customFormat="false" ht="12.75" hidden="false" customHeight="true" outlineLevel="0" collapsed="false">
      <c r="A103" s="3" t="s">
        <v>2858</v>
      </c>
      <c r="B103" s="3" t="str">
        <f aca="false">IF(ISNUMBER(SEARCH("%", A103)),RIGHT(A103,3),A103)</f>
        <v>20, 20, DIGLETT</v>
      </c>
      <c r="C103" s="1" t="str">
        <f aca="false" t="array" ref="C103:C103">IF(B102="NEW ROUTE",textsplit(B103,","),"")</f>
        <v/>
      </c>
      <c r="H103" s="1" t="str">
        <f aca="false">IF(C103&lt;&gt;"",DEC2HEX(C103,2),"")</f>
        <v/>
      </c>
      <c r="I103" s="1" t="str">
        <f aca="false">IF(D103&lt;&gt;"",DEC2HEX(D103,2),"")</f>
        <v/>
      </c>
      <c r="J103" s="1" t="str">
        <f aca="false">IF(H103&lt;&gt;"","0x"&amp;I103&amp;H103,"")</f>
        <v/>
      </c>
      <c r="L103" s="1" t="s">
        <v>2858</v>
      </c>
      <c r="M103" s="1" t="str">
        <f aca="false">IF(J103&lt;&gt;"",J103,L103)</f>
        <v>20, 20, DIGLETT</v>
      </c>
    </row>
    <row r="104" customFormat="false" ht="12.75" hidden="false" customHeight="true" outlineLevel="0" collapsed="false">
      <c r="A104" s="3" t="s">
        <v>2859</v>
      </c>
      <c r="B104" s="3" t="str">
        <f aca="false">IF(ISNUMBER(SEARCH("%", A104)),RIGHT(A104,3),A104)</f>
        <v>21, 21, DIGLETT</v>
      </c>
      <c r="C104" s="1" t="str">
        <f aca="false" t="array" ref="C104:C104">IF(B103="NEW ROUTE",textsplit(B104,","),"")</f>
        <v/>
      </c>
      <c r="H104" s="1" t="str">
        <f aca="false">IF(C104&lt;&gt;"",DEC2HEX(C104,2),"")</f>
        <v/>
      </c>
      <c r="I104" s="1" t="str">
        <f aca="false">IF(D104&lt;&gt;"",DEC2HEX(D104,2),"")</f>
        <v/>
      </c>
      <c r="J104" s="1" t="str">
        <f aca="false">IF(H104&lt;&gt;"","0x"&amp;I104&amp;H104,"")</f>
        <v/>
      </c>
      <c r="L104" s="1" t="s">
        <v>2859</v>
      </c>
      <c r="M104" s="1" t="str">
        <f aca="false">IF(J104&lt;&gt;"",J104,L104)</f>
        <v>21, 21, DIGLETT</v>
      </c>
    </row>
    <row r="105" customFormat="false" ht="12.75" hidden="false" customHeight="true" outlineLevel="0" collapsed="false">
      <c r="A105" s="3" t="s">
        <v>2860</v>
      </c>
      <c r="B105" s="3" t="str">
        <f aca="false">IF(ISNUMBER(SEARCH("%", A105)),RIGHT(A105,3),A105)</f>
        <v>22, 22, DIGLETT</v>
      </c>
      <c r="C105" s="1" t="str">
        <f aca="false" t="array" ref="C105:C105">IF(B104="NEW ROUTE",textsplit(B105,","),"")</f>
        <v/>
      </c>
      <c r="H105" s="1" t="str">
        <f aca="false">IF(C105&lt;&gt;"",DEC2HEX(C105,2),"")</f>
        <v/>
      </c>
      <c r="I105" s="1" t="str">
        <f aca="false">IF(D105&lt;&gt;"",DEC2HEX(D105,2),"")</f>
        <v/>
      </c>
      <c r="J105" s="1" t="str">
        <f aca="false">IF(H105&lt;&gt;"","0x"&amp;I105&amp;H105,"")</f>
        <v/>
      </c>
      <c r="L105" s="1" t="s">
        <v>2860</v>
      </c>
      <c r="M105" s="1" t="str">
        <f aca="false">IF(J105&lt;&gt;"",J105,L105)</f>
        <v>22, 22, DIGLETT</v>
      </c>
    </row>
    <row r="106" customFormat="false" ht="12.75" hidden="false" customHeight="true" outlineLevel="0" collapsed="false">
      <c r="A106" s="3" t="s">
        <v>2861</v>
      </c>
      <c r="B106" s="3" t="str">
        <f aca="false">IF(ISNUMBER(SEARCH("%", A106)),RIGHT(A106,3),A106)</f>
        <v>19, 19, DUGTRIO</v>
      </c>
      <c r="C106" s="1" t="str">
        <f aca="false" t="array" ref="C106:C106">IF(B105="NEW ROUTE",textsplit(B106,","),"")</f>
        <v/>
      </c>
      <c r="H106" s="1" t="str">
        <f aca="false">IF(C106&lt;&gt;"",DEC2HEX(C106,2),"")</f>
        <v/>
      </c>
      <c r="I106" s="1" t="str">
        <f aca="false">IF(D106&lt;&gt;"",DEC2HEX(D106,2),"")</f>
        <v/>
      </c>
      <c r="J106" s="1" t="str">
        <f aca="false">IF(H106&lt;&gt;"","0x"&amp;I106&amp;H106,"")</f>
        <v/>
      </c>
      <c r="L106" s="1" t="s">
        <v>2861</v>
      </c>
      <c r="M106" s="1" t="str">
        <f aca="false">IF(J106&lt;&gt;"",J106,L106)</f>
        <v>19, 19, DUGTRIO</v>
      </c>
    </row>
    <row r="107" customFormat="false" ht="12.75" hidden="false" customHeight="true" outlineLevel="0" collapsed="false">
      <c r="A107" s="3" t="s">
        <v>2806</v>
      </c>
      <c r="B107" s="3" t="str">
        <f aca="false">IF(ISNUMBER(SEARCH("%", A107)),RIGHT(A107,3),A107)</f>
        <v>0.05</v>
      </c>
      <c r="C107" s="1" t="str">
        <f aca="false" t="array" ref="C107:C107">IF(B106="NEW ROUTE",textsplit(B107,","),"")</f>
        <v/>
      </c>
      <c r="H107" s="1" t="str">
        <f aca="false">IF(C107&lt;&gt;"",DEC2HEX(C107,2),"")</f>
        <v/>
      </c>
      <c r="I107" s="1" t="str">
        <f aca="false">IF(D107&lt;&gt;"",DEC2HEX(D107,2),"")</f>
        <v/>
      </c>
      <c r="J107" s="1" t="str">
        <f aca="false">IF(H107&lt;&gt;"","0x"&amp;I107&amp;H107,"")</f>
        <v/>
      </c>
      <c r="L107" s="1" t="s">
        <v>2806</v>
      </c>
      <c r="M107" s="1" t="str">
        <f aca="false">IF(J107&lt;&gt;"",J107,L107)</f>
        <v>0.05</v>
      </c>
    </row>
    <row r="108" customFormat="false" ht="12.75" hidden="false" customHeight="true" outlineLevel="0" collapsed="false">
      <c r="A108" s="3" t="s">
        <v>2862</v>
      </c>
      <c r="B108" s="3" t="str">
        <f aca="false">IF(ISNUMBER(SEARCH("%", A108)),RIGHT(A108,3),A108)</f>
        <v>23, 23, DIGLETT</v>
      </c>
      <c r="C108" s="1" t="str">
        <f aca="false" t="array" ref="C108:C108">IF(B107="NEW ROUTE",textsplit(B108,","),"")</f>
        <v/>
      </c>
      <c r="H108" s="1" t="str">
        <f aca="false">IF(C108&lt;&gt;"",DEC2HEX(C108,2),"")</f>
        <v/>
      </c>
      <c r="I108" s="1" t="str">
        <f aca="false">IF(D108&lt;&gt;"",DEC2HEX(D108,2),"")</f>
        <v/>
      </c>
      <c r="J108" s="1" t="str">
        <f aca="false">IF(H108&lt;&gt;"","0x"&amp;I108&amp;H108,"")</f>
        <v/>
      </c>
      <c r="L108" s="1" t="s">
        <v>2862</v>
      </c>
      <c r="M108" s="1" t="str">
        <f aca="false">IF(J108&lt;&gt;"",J108,L108)</f>
        <v>23, 23, DIGLETT</v>
      </c>
    </row>
    <row r="109" customFormat="false" ht="12.75" hidden="false" customHeight="true" outlineLevel="0" collapsed="false">
      <c r="A109" s="3" t="s">
        <v>2863</v>
      </c>
      <c r="B109" s="3" t="str">
        <f aca="false">IF(ISNUMBER(SEARCH("%", A109)),RIGHT(A109,3),A109)</f>
        <v>24, 24, DIGLETT</v>
      </c>
      <c r="C109" s="1" t="str">
        <f aca="false" t="array" ref="C109:C109">IF(B108="NEW ROUTE",textsplit(B109,","),"")</f>
        <v/>
      </c>
      <c r="H109" s="1" t="str">
        <f aca="false">IF(C109&lt;&gt;"",DEC2HEX(C109,2),"")</f>
        <v/>
      </c>
      <c r="I109" s="1" t="str">
        <f aca="false">IF(D109&lt;&gt;"",DEC2HEX(D109,2),"")</f>
        <v/>
      </c>
      <c r="J109" s="1" t="str">
        <f aca="false">IF(H109&lt;&gt;"","0x"&amp;I109&amp;H109,"")</f>
        <v/>
      </c>
      <c r="L109" s="1" t="s">
        <v>2863</v>
      </c>
      <c r="M109" s="1" t="str">
        <f aca="false">IF(J109&lt;&gt;"",J109,L109)</f>
        <v>24, 24, DIGLETT</v>
      </c>
    </row>
    <row r="110" customFormat="false" ht="12.75" hidden="false" customHeight="true" outlineLevel="0" collapsed="false">
      <c r="A110" s="3" t="s">
        <v>2809</v>
      </c>
      <c r="B110" s="3" t="str">
        <f aca="false">IF(ISNUMBER(SEARCH("%", A110)),RIGHT(A110,3),A110)</f>
        <v>0.04</v>
      </c>
      <c r="C110" s="1" t="str">
        <f aca="false" t="array" ref="C110:C110">IF(B109="NEW ROUTE",textsplit(B110,","),"")</f>
        <v/>
      </c>
      <c r="H110" s="1" t="str">
        <f aca="false">IF(C110&lt;&gt;"",DEC2HEX(C110,2),"")</f>
        <v/>
      </c>
      <c r="I110" s="1" t="str">
        <f aca="false">IF(D110&lt;&gt;"",DEC2HEX(D110,2),"")</f>
        <v/>
      </c>
      <c r="J110" s="1" t="str">
        <f aca="false">IF(H110&lt;&gt;"","0x"&amp;I110&amp;H110,"")</f>
        <v/>
      </c>
      <c r="L110" s="1" t="s">
        <v>2809</v>
      </c>
      <c r="M110" s="1" t="str">
        <f aca="false">IF(J110&lt;&gt;"",J110,L110)</f>
        <v>0.04</v>
      </c>
    </row>
    <row r="111" customFormat="false" ht="12.75" hidden="false" customHeight="true" outlineLevel="0" collapsed="false">
      <c r="A111" s="3" t="s">
        <v>2864</v>
      </c>
      <c r="B111" s="3" t="str">
        <f aca="false">IF(ISNUMBER(SEARCH("%", A111)),RIGHT(A111,3),A111)</f>
        <v>20, 23, DUGTRIO</v>
      </c>
      <c r="C111" s="1" t="str">
        <f aca="false" t="array" ref="C111:C111">IF(B110="NEW ROUTE",textsplit(B111,","),"")</f>
        <v/>
      </c>
      <c r="H111" s="1" t="str">
        <f aca="false">IF(C111&lt;&gt;"",DEC2HEX(C111,2),"")</f>
        <v/>
      </c>
      <c r="I111" s="1" t="str">
        <f aca="false">IF(D111&lt;&gt;"",DEC2HEX(D111,2),"")</f>
        <v/>
      </c>
      <c r="J111" s="1" t="str">
        <f aca="false">IF(H111&lt;&gt;"","0x"&amp;I111&amp;H111,"")</f>
        <v/>
      </c>
      <c r="L111" s="1" t="s">
        <v>2864</v>
      </c>
      <c r="M111" s="1" t="str">
        <f aca="false">IF(J111&lt;&gt;"",J111,L111)</f>
        <v>20, 23, DUGTRIO</v>
      </c>
    </row>
    <row r="112" customFormat="false" ht="12.75" hidden="false" customHeight="true" outlineLevel="0" collapsed="false">
      <c r="A112" s="3" t="s">
        <v>2865</v>
      </c>
      <c r="B112" s="3" t="str">
        <f aca="false">IF(ISNUMBER(SEARCH("%", A112)),RIGHT(A112,3),A112)</f>
        <v>24, 26, DUGTRIO</v>
      </c>
      <c r="C112" s="1" t="str">
        <f aca="false" t="array" ref="C112:C112">IF(B111="NEW ROUTE",textsplit(B112,","),"")</f>
        <v/>
      </c>
      <c r="H112" s="1" t="str">
        <f aca="false">IF(C112&lt;&gt;"",DEC2HEX(C112,2),"")</f>
        <v/>
      </c>
      <c r="I112" s="1" t="str">
        <f aca="false">IF(D112&lt;&gt;"",DEC2HEX(D112,2),"")</f>
        <v/>
      </c>
      <c r="J112" s="1" t="str">
        <f aca="false">IF(H112&lt;&gt;"","0x"&amp;I112&amp;H112,"")</f>
        <v/>
      </c>
      <c r="L112" s="1" t="s">
        <v>2865</v>
      </c>
      <c r="M112" s="1" t="str">
        <f aca="false">IF(J112&lt;&gt;"",J112,L112)</f>
        <v>24, 26, DUGTRIO</v>
      </c>
    </row>
    <row r="113" customFormat="false" ht="12.75" hidden="false" customHeight="true" outlineLevel="0" collapsed="false">
      <c r="A113" s="3" t="s">
        <v>2812</v>
      </c>
      <c r="B113" s="3" t="str">
        <f aca="false">IF(ISNUMBER(SEARCH("%", A113)),RIGHT(A113,3),A113)</f>
        <v>0.01</v>
      </c>
      <c r="C113" s="1" t="str">
        <f aca="false" t="array" ref="C113:C113">IF(B112="NEW ROUTE",textsplit(B113,","),"")</f>
        <v/>
      </c>
      <c r="H113" s="1" t="str">
        <f aca="false">IF(C113&lt;&gt;"",DEC2HEX(C113,2),"")</f>
        <v/>
      </c>
      <c r="I113" s="1" t="str">
        <f aca="false">IF(D113&lt;&gt;"",DEC2HEX(D113,2),"")</f>
        <v/>
      </c>
      <c r="J113" s="1" t="str">
        <f aca="false">IF(H113&lt;&gt;"","0x"&amp;I113&amp;H113,"")</f>
        <v/>
      </c>
      <c r="L113" s="1" t="s">
        <v>2812</v>
      </c>
      <c r="M113" s="1" t="str">
        <f aca="false">IF(J113&lt;&gt;"",J113,L113)</f>
        <v>0.01</v>
      </c>
    </row>
    <row r="114" customFormat="false" ht="12.75" hidden="false" customHeight="true" outlineLevel="0" collapsed="false">
      <c r="A114" s="3" t="s">
        <v>2866</v>
      </c>
      <c r="B114" s="3" t="str">
        <f aca="false">IF(ISNUMBER(SEARCH("%", A114)),RIGHT(A114,3),A114)</f>
        <v>27, 28, DUGTRIO</v>
      </c>
      <c r="C114" s="1" t="str">
        <f aca="false" t="array" ref="C114:C114">IF(B113="NEW ROUTE",textsplit(B114,","),"")</f>
        <v/>
      </c>
      <c r="H114" s="1" t="str">
        <f aca="false">IF(C114&lt;&gt;"",DEC2HEX(C114,2),"")</f>
        <v/>
      </c>
      <c r="I114" s="1" t="str">
        <f aca="false">IF(D114&lt;&gt;"",DEC2HEX(D114,2),"")</f>
        <v/>
      </c>
      <c r="J114" s="1" t="str">
        <f aca="false">IF(H114&lt;&gt;"","0x"&amp;I114&amp;H114,"")</f>
        <v/>
      </c>
      <c r="L114" s="1" t="s">
        <v>2866</v>
      </c>
      <c r="M114" s="1" t="str">
        <f aca="false">IF(J114&lt;&gt;"",J114,L114)</f>
        <v>27, 28, DUGTRIO</v>
      </c>
    </row>
    <row r="115" customFormat="false" ht="12.75" hidden="false" customHeight="true" outlineLevel="0" collapsed="false">
      <c r="A115" s="3" t="s">
        <v>2867</v>
      </c>
      <c r="B115" s="3" t="str">
        <f aca="false">IF(ISNUMBER(SEARCH("%", A115)),RIGHT(A115,3),A115)</f>
        <v>30, 30, DUGROUPLE , &lt;null&gt;, &lt;null&gt;, &lt;null&gt;</v>
      </c>
      <c r="C115" s="1" t="str">
        <f aca="false" t="array" ref="C115:C115">IF(B114="NEW ROUTE",textsplit(B115,","),"")</f>
        <v/>
      </c>
      <c r="H115" s="1" t="str">
        <f aca="false">IF(C115&lt;&gt;"",DEC2HEX(C115,2),"")</f>
        <v/>
      </c>
      <c r="I115" s="1" t="str">
        <f aca="false">IF(D115&lt;&gt;"",DEC2HEX(D115,2),"")</f>
        <v/>
      </c>
      <c r="J115" s="1" t="str">
        <f aca="false">IF(H115&lt;&gt;"","0x"&amp;I115&amp;H115,"")</f>
        <v/>
      </c>
      <c r="L115" s="1" t="s">
        <v>2867</v>
      </c>
      <c r="M115" s="1" t="str">
        <f aca="false">IF(J115&lt;&gt;"",J115,L115)</f>
        <v>30, 30, DUGROUPLE , &lt;null&gt;, &lt;null&gt;, &lt;null&gt;</v>
      </c>
    </row>
    <row r="116" customFormat="false" ht="12.75" hidden="false" customHeight="true" outlineLevel="0" collapsed="false">
      <c r="A116" s="3" t="s">
        <v>2536</v>
      </c>
      <c r="B116" s="3" t="str">
        <f aca="false">IF(ISNUMBER(SEARCH("%", A116)),RIGHT(A116,3),A116)</f>
        <v>NEW ROUTE</v>
      </c>
      <c r="C116" s="1" t="str">
        <f aca="false" t="array" ref="C116:C116">IF(B115="NEW ROUTE",textsplit(B116,","),"")</f>
        <v/>
      </c>
      <c r="H116" s="1" t="str">
        <f aca="false">IF(C116&lt;&gt;"",DEC2HEX(C116,2),"")</f>
        <v/>
      </c>
      <c r="I116" s="1" t="str">
        <f aca="false">IF(D116&lt;&gt;"",DEC2HEX(D116,2),"")</f>
        <v/>
      </c>
      <c r="J116" s="1" t="str">
        <f aca="false">IF(H116&lt;&gt;"","0x"&amp;I116&amp;H116,"")</f>
        <v/>
      </c>
      <c r="L116" s="1" t="s">
        <v>2536</v>
      </c>
      <c r="M116" s="1" t="str">
        <f aca="false">IF(J116&lt;&gt;"",J116,L116)</f>
        <v>NEW ROUTE</v>
      </c>
    </row>
    <row r="117" customFormat="false" ht="12.75" hidden="false" customHeight="true" outlineLevel="0" collapsed="false">
      <c r="A117" s="3" t="s">
        <v>2868</v>
      </c>
      <c r="B117" s="3" t="str">
        <f aca="false">IF(ISNUMBER(SEARCH("%", A117)),RIGHT(A117,3),A117)</f>
        <v>1, 39, 0,</v>
      </c>
      <c r="C117" s="1" t="e">
        <f aca="false" t="array" ref="C117:C117">IF(B116="NEW ROUTE",textsplit(B117,","),"")</f>
        <v>#NAME?</v>
      </c>
      <c r="H117" s="1" t="e">
        <f aca="false">IF(C117&lt;&gt;"",DEC2HEX(C117,2),"")</f>
        <v>#NAME?</v>
      </c>
      <c r="I117" s="1" t="str">
        <f aca="false">IF(D117&lt;&gt;"",DEC2HEX(D117,2),"")</f>
        <v/>
      </c>
      <c r="J117" s="1" t="e">
        <f aca="false">IF(H117&lt;&gt;"","0x"&amp;I117&amp;H117,"")</f>
        <v>#NAME?</v>
      </c>
      <c r="L117" s="1" t="s">
        <v>2868</v>
      </c>
      <c r="M117" s="1" t="e">
        <f aca="false">IF(J117&lt;&gt;"",J117,L117)</f>
        <v>#NAME?</v>
      </c>
    </row>
    <row r="118" customFormat="false" ht="12.75" hidden="false" customHeight="true" outlineLevel="0" collapsed="false">
      <c r="A118" s="3" t="s">
        <v>2816</v>
      </c>
      <c r="B118" s="3" t="str">
        <f aca="false">IF(ISNUMBER(SEARCH("%", A118)),RIGHT(A118,3),A118)</f>
        <v>20%</v>
      </c>
      <c r="C118" s="1" t="str">
        <f aca="false" t="array" ref="C118:C118">IF(B117="NEW ROUTE",textsplit(B118,","),"")</f>
        <v/>
      </c>
      <c r="H118" s="1" t="str">
        <f aca="false">IF(C118&lt;&gt;"",DEC2HEX(C118,2),"")</f>
        <v/>
      </c>
      <c r="I118" s="1" t="str">
        <f aca="false">IF(D118&lt;&gt;"",DEC2HEX(D118,2),"")</f>
        <v/>
      </c>
      <c r="J118" s="1" t="str">
        <f aca="false">IF(H118&lt;&gt;"","0x"&amp;I118&amp;H118,"")</f>
        <v/>
      </c>
      <c r="L118" s="1" t="s">
        <v>2799</v>
      </c>
      <c r="M118" s="1" t="str">
        <f aca="false">IF(J118&lt;&gt;"",J118,L118)</f>
        <v>20%</v>
      </c>
    </row>
    <row r="119" customFormat="false" ht="12.75" hidden="false" customHeight="true" outlineLevel="0" collapsed="false">
      <c r="A119" s="3" t="s">
        <v>1292</v>
      </c>
      <c r="B119" s="3" t="str">
        <f aca="false">IF(ISNUMBER(SEARCH("%", A119)),RIGHT(A119,3),A119)</f>
        <v>51, 56, NOHTYP</v>
      </c>
      <c r="C119" s="1" t="str">
        <f aca="false" t="array" ref="C119:C119">IF(B118="NEW ROUTE",textsplit(B119,","),"")</f>
        <v/>
      </c>
      <c r="H119" s="1" t="str">
        <f aca="false">IF(C119&lt;&gt;"",DEC2HEX(C119,2),"")</f>
        <v/>
      </c>
      <c r="I119" s="1" t="str">
        <f aca="false">IF(D119&lt;&gt;"",DEC2HEX(D119,2),"")</f>
        <v/>
      </c>
      <c r="J119" s="1" t="str">
        <f aca="false">IF(H119&lt;&gt;"","0x"&amp;I119&amp;H119,"")</f>
        <v/>
      </c>
      <c r="L119" s="1" t="s">
        <v>1292</v>
      </c>
      <c r="M119" s="1" t="str">
        <f aca="false">IF(J119&lt;&gt;"",J119,L119)</f>
        <v>51, 56, NOHTYP</v>
      </c>
    </row>
    <row r="120" customFormat="false" ht="12.75" hidden="false" customHeight="true" outlineLevel="0" collapsed="false">
      <c r="A120" s="3" t="s">
        <v>2869</v>
      </c>
      <c r="B120" s="3" t="str">
        <f aca="false">IF(ISNUMBER(SEARCH("%", A120)),RIGHT(A120,3),A120)</f>
        <v>51, 56, CROBAT</v>
      </c>
      <c r="C120" s="1" t="str">
        <f aca="false" t="array" ref="C120:C120">IF(B119="NEW ROUTE",textsplit(B120,","),"")</f>
        <v/>
      </c>
      <c r="H120" s="1" t="str">
        <f aca="false">IF(C120&lt;&gt;"",DEC2HEX(C120,2),"")</f>
        <v/>
      </c>
      <c r="I120" s="1" t="str">
        <f aca="false">IF(D120&lt;&gt;"",DEC2HEX(D120,2),"")</f>
        <v/>
      </c>
      <c r="J120" s="1" t="str">
        <f aca="false">IF(H120&lt;&gt;"","0x"&amp;I120&amp;H120,"")</f>
        <v/>
      </c>
      <c r="L120" s="1" t="s">
        <v>2869</v>
      </c>
      <c r="M120" s="1" t="str">
        <f aca="false">IF(J120&lt;&gt;"",J120,L120)</f>
        <v>51, 56, CROBAT</v>
      </c>
    </row>
    <row r="121" customFormat="false" ht="12.75" hidden="false" customHeight="true" outlineLevel="0" collapsed="false">
      <c r="A121" s="3" t="s">
        <v>2801</v>
      </c>
      <c r="B121" s="3" t="str">
        <f aca="false">IF(ISNUMBER(SEARCH("%", A121)),RIGHT(A121,3),A121)</f>
        <v>0.1</v>
      </c>
      <c r="C121" s="1" t="str">
        <f aca="false" t="array" ref="C121:C121">IF(B120="NEW ROUTE",textsplit(B121,","),"")</f>
        <v/>
      </c>
      <c r="H121" s="1" t="str">
        <f aca="false">IF(C121&lt;&gt;"",DEC2HEX(C121,2),"")</f>
        <v/>
      </c>
      <c r="I121" s="1" t="str">
        <f aca="false">IF(D121&lt;&gt;"",DEC2HEX(D121,2),"")</f>
        <v/>
      </c>
      <c r="J121" s="1" t="str">
        <f aca="false">IF(H121&lt;&gt;"","0x"&amp;I121&amp;H121,"")</f>
        <v/>
      </c>
      <c r="L121" s="1" t="s">
        <v>2801</v>
      </c>
      <c r="M121" s="1" t="str">
        <f aca="false">IF(J121&lt;&gt;"",J121,L121)</f>
        <v>0.1</v>
      </c>
    </row>
    <row r="122" customFormat="false" ht="12.75" hidden="false" customHeight="true" outlineLevel="0" collapsed="false">
      <c r="A122" s="3" t="s">
        <v>2870</v>
      </c>
      <c r="B122" s="3" t="str">
        <f aca="false">IF(ISNUMBER(SEARCH("%", A122)),RIGHT(A122,3),A122)</f>
        <v>51, 56, MACHAMP</v>
      </c>
      <c r="C122" s="1" t="str">
        <f aca="false" t="array" ref="C122:C122">IF(B121="NEW ROUTE",textsplit(B122,","),"")</f>
        <v/>
      </c>
      <c r="H122" s="1" t="str">
        <f aca="false">IF(C122&lt;&gt;"",DEC2HEX(C122,2),"")</f>
        <v/>
      </c>
      <c r="I122" s="1" t="str">
        <f aca="false">IF(D122&lt;&gt;"",DEC2HEX(D122,2),"")</f>
        <v/>
      </c>
      <c r="J122" s="1" t="str">
        <f aca="false">IF(H122&lt;&gt;"","0x"&amp;I122&amp;H122,"")</f>
        <v/>
      </c>
      <c r="L122" s="1" t="s">
        <v>2870</v>
      </c>
      <c r="M122" s="1" t="str">
        <f aca="false">IF(J122&lt;&gt;"",J122,L122)</f>
        <v>51, 56, MACHAMP</v>
      </c>
    </row>
    <row r="123" customFormat="false" ht="12.75" hidden="false" customHeight="true" outlineLevel="0" collapsed="false">
      <c r="A123" s="3" t="s">
        <v>2871</v>
      </c>
      <c r="B123" s="3" t="str">
        <f aca="false">IF(ISNUMBER(SEARCH("%", A123)),RIGHT(A123,3),A123)</f>
        <v>51, 56, GOLEM</v>
      </c>
      <c r="C123" s="1" t="str">
        <f aca="false" t="array" ref="C123:C123">IF(B122="NEW ROUTE",textsplit(B123,","),"")</f>
        <v/>
      </c>
      <c r="H123" s="1" t="str">
        <f aca="false">IF(C123&lt;&gt;"",DEC2HEX(C123,2),"")</f>
        <v/>
      </c>
      <c r="I123" s="1" t="str">
        <f aca="false">IF(D123&lt;&gt;"",DEC2HEX(D123,2),"")</f>
        <v/>
      </c>
      <c r="J123" s="1" t="str">
        <f aca="false">IF(H123&lt;&gt;"","0x"&amp;I123&amp;H123,"")</f>
        <v/>
      </c>
      <c r="L123" s="1" t="s">
        <v>2871</v>
      </c>
      <c r="M123" s="1" t="str">
        <f aca="false">IF(J123&lt;&gt;"",J123,L123)</f>
        <v>51, 56, GOLEM</v>
      </c>
    </row>
    <row r="124" customFormat="false" ht="12.75" hidden="false" customHeight="true" outlineLevel="0" collapsed="false">
      <c r="A124" s="3" t="s">
        <v>2872</v>
      </c>
      <c r="B124" s="3" t="str">
        <f aca="false">IF(ISNUMBER(SEARCH("%", A124)),RIGHT(A124,3),A124)</f>
        <v>53, 57, ADNOKANA</v>
      </c>
      <c r="C124" s="1" t="str">
        <f aca="false" t="array" ref="C124:C124">IF(B123="NEW ROUTE",textsplit(B124,","),"")</f>
        <v/>
      </c>
      <c r="H124" s="1" t="str">
        <f aca="false">IF(C124&lt;&gt;"",DEC2HEX(C124,2),"")</f>
        <v/>
      </c>
      <c r="I124" s="1" t="str">
        <f aca="false">IF(D124&lt;&gt;"",DEC2HEX(D124,2),"")</f>
        <v/>
      </c>
      <c r="J124" s="1" t="str">
        <f aca="false">IF(H124&lt;&gt;"","0x"&amp;I124&amp;H124,"")</f>
        <v/>
      </c>
      <c r="L124" s="1" t="s">
        <v>2872</v>
      </c>
      <c r="M124" s="1" t="str">
        <f aca="false">IF(J124&lt;&gt;"",J124,L124)</f>
        <v>53, 57, ADNOKANA</v>
      </c>
    </row>
    <row r="125" customFormat="false" ht="12.75" hidden="false" customHeight="true" outlineLevel="0" collapsed="false">
      <c r="A125" s="3" t="s">
        <v>2873</v>
      </c>
      <c r="B125" s="3" t="str">
        <f aca="false">IF(ISNUMBER(SEARCH("%", A125)),RIGHT(A125,3),A125)</f>
        <v>53, 57, POLABAT</v>
      </c>
      <c r="C125" s="1" t="str">
        <f aca="false" t="array" ref="C125:C125">IF(B124="NEW ROUTE",textsplit(B125,","),"")</f>
        <v/>
      </c>
      <c r="H125" s="1" t="str">
        <f aca="false">IF(C125&lt;&gt;"",DEC2HEX(C125,2),"")</f>
        <v/>
      </c>
      <c r="I125" s="1" t="str">
        <f aca="false">IF(D125&lt;&gt;"",DEC2HEX(D125,2),"")</f>
        <v/>
      </c>
      <c r="J125" s="1" t="str">
        <f aca="false">IF(H125&lt;&gt;"","0x"&amp;I125&amp;H125,"")</f>
        <v/>
      </c>
      <c r="L125" s="1" t="s">
        <v>2873</v>
      </c>
      <c r="M125" s="1" t="str">
        <f aca="false">IF(J125&lt;&gt;"",J125,L125)</f>
        <v>53, 57, POLABAT</v>
      </c>
    </row>
    <row r="126" customFormat="false" ht="12.75" hidden="false" customHeight="true" outlineLevel="0" collapsed="false">
      <c r="A126" s="3" t="s">
        <v>2806</v>
      </c>
      <c r="B126" s="3" t="str">
        <f aca="false">IF(ISNUMBER(SEARCH("%", A126)),RIGHT(A126,3),A126)</f>
        <v>0.05</v>
      </c>
      <c r="C126" s="1" t="str">
        <f aca="false" t="array" ref="C126:C126">IF(B125="NEW ROUTE",textsplit(B126,","),"")</f>
        <v/>
      </c>
      <c r="H126" s="1" t="str">
        <f aca="false">IF(C126&lt;&gt;"",DEC2HEX(C126,2),"")</f>
        <v/>
      </c>
      <c r="I126" s="1" t="str">
        <f aca="false">IF(D126&lt;&gt;"",DEC2HEX(D126,2),"")</f>
        <v/>
      </c>
      <c r="J126" s="1" t="str">
        <f aca="false">IF(H126&lt;&gt;"","0x"&amp;I126&amp;H126,"")</f>
        <v/>
      </c>
      <c r="L126" s="1" t="s">
        <v>2806</v>
      </c>
      <c r="M126" s="1" t="str">
        <f aca="false">IF(J126&lt;&gt;"",J126,L126)</f>
        <v>0.05</v>
      </c>
    </row>
    <row r="127" customFormat="false" ht="12.75" hidden="false" customHeight="true" outlineLevel="0" collapsed="false">
      <c r="A127" s="3" t="s">
        <v>2874</v>
      </c>
      <c r="B127" s="3" t="str">
        <f aca="false">IF(ISNUMBER(SEARCH("%", A127)),RIGHT(A127,3),A127)</f>
        <v>53, 57, MACHULK</v>
      </c>
      <c r="C127" s="1" t="str">
        <f aca="false" t="array" ref="C127:C127">IF(B126="NEW ROUTE",textsplit(B127,","),"")</f>
        <v/>
      </c>
      <c r="H127" s="1" t="str">
        <f aca="false">IF(C127&lt;&gt;"",DEC2HEX(C127,2),"")</f>
        <v/>
      </c>
      <c r="I127" s="1" t="str">
        <f aca="false">IF(D127&lt;&gt;"",DEC2HEX(D127,2),"")</f>
        <v/>
      </c>
      <c r="J127" s="1" t="str">
        <f aca="false">IF(H127&lt;&gt;"","0x"&amp;I127&amp;H127,"")</f>
        <v/>
      </c>
      <c r="L127" s="1" t="s">
        <v>2874</v>
      </c>
      <c r="M127" s="1" t="str">
        <f aca="false">IF(J127&lt;&gt;"",J127,L127)</f>
        <v>53, 57, MACHULK</v>
      </c>
    </row>
    <row r="128" customFormat="false" ht="12.75" hidden="false" customHeight="true" outlineLevel="0" collapsed="false">
      <c r="A128" s="3" t="s">
        <v>2875</v>
      </c>
      <c r="B128" s="3" t="str">
        <f aca="false">IF(ISNUMBER(SEARCH("%", A128)),RIGHT(A128,3),A128)</f>
        <v>53, 57, RHYMARKABL</v>
      </c>
      <c r="C128" s="1" t="str">
        <f aca="false" t="array" ref="C128:C128">IF(B127="NEW ROUTE",textsplit(B128,","),"")</f>
        <v/>
      </c>
      <c r="H128" s="1" t="str">
        <f aca="false">IF(C128&lt;&gt;"",DEC2HEX(C128,2),"")</f>
        <v/>
      </c>
      <c r="I128" s="1" t="str">
        <f aca="false">IF(D128&lt;&gt;"",DEC2HEX(D128,2),"")</f>
        <v/>
      </c>
      <c r="J128" s="1" t="str">
        <f aca="false">IF(H128&lt;&gt;"","0x"&amp;I128&amp;H128,"")</f>
        <v/>
      </c>
      <c r="L128" s="1" t="s">
        <v>2875</v>
      </c>
      <c r="M128" s="1" t="str">
        <f aca="false">IF(J128&lt;&gt;"",J128,L128)</f>
        <v>53, 57, RHYMARKABL</v>
      </c>
    </row>
    <row r="129" customFormat="false" ht="12.75" hidden="false" customHeight="true" outlineLevel="0" collapsed="false">
      <c r="A129" s="3" t="s">
        <v>2809</v>
      </c>
      <c r="B129" s="3" t="str">
        <f aca="false">IF(ISNUMBER(SEARCH("%", A129)),RIGHT(A129,3),A129)</f>
        <v>0.04</v>
      </c>
      <c r="C129" s="1" t="str">
        <f aca="false" t="array" ref="C129:C129">IF(B128="NEW ROUTE",textsplit(B129,","),"")</f>
        <v/>
      </c>
      <c r="H129" s="1" t="str">
        <f aca="false">IF(C129&lt;&gt;"",DEC2HEX(C129,2),"")</f>
        <v/>
      </c>
      <c r="I129" s="1" t="str">
        <f aca="false">IF(D129&lt;&gt;"",DEC2HEX(D129,2),"")</f>
        <v/>
      </c>
      <c r="J129" s="1" t="str">
        <f aca="false">IF(H129&lt;&gt;"","0x"&amp;I129&amp;H129,"")</f>
        <v/>
      </c>
      <c r="L129" s="1" t="s">
        <v>2809</v>
      </c>
      <c r="M129" s="1" t="str">
        <f aca="false">IF(J129&lt;&gt;"",J129,L129)</f>
        <v>0.04</v>
      </c>
    </row>
    <row r="130" customFormat="false" ht="12.75" hidden="false" customHeight="true" outlineLevel="0" collapsed="false">
      <c r="A130" s="3" t="s">
        <v>2876</v>
      </c>
      <c r="B130" s="3" t="str">
        <f aca="false">IF(ISNUMBER(SEARCH("%", A130)),RIGHT(A130,3),A130)</f>
        <v>55, 57, PLATNIX</v>
      </c>
      <c r="C130" s="1" t="str">
        <f aca="false" t="array" ref="C130:C130">IF(B129="NEW ROUTE",textsplit(B130,","),"")</f>
        <v/>
      </c>
      <c r="H130" s="1" t="str">
        <f aca="false">IF(C130&lt;&gt;"",DEC2HEX(C130,2),"")</f>
        <v/>
      </c>
      <c r="I130" s="1" t="str">
        <f aca="false">IF(D130&lt;&gt;"",DEC2HEX(D130,2),"")</f>
        <v/>
      </c>
      <c r="J130" s="1" t="str">
        <f aca="false">IF(H130&lt;&gt;"","0x"&amp;I130&amp;H130,"")</f>
        <v/>
      </c>
      <c r="L130" s="1" t="s">
        <v>2876</v>
      </c>
      <c r="M130" s="1" t="str">
        <f aca="false">IF(J130&lt;&gt;"",J130,L130)</f>
        <v>55, 57, PLATNIX</v>
      </c>
    </row>
    <row r="131" customFormat="false" ht="12.75" hidden="false" customHeight="true" outlineLevel="0" collapsed="false">
      <c r="A131" s="3" t="s">
        <v>2877</v>
      </c>
      <c r="B131" s="3" t="str">
        <f aca="false">IF(ISNUMBER(SEARCH("%", A131)),RIGHT(A131,3),A131)</f>
        <v>55, 57, SLAGOLEM</v>
      </c>
      <c r="C131" s="1" t="str">
        <f aca="false" t="array" ref="C131:C131">IF(B130="NEW ROUTE",textsplit(B131,","),"")</f>
        <v/>
      </c>
      <c r="H131" s="1" t="str">
        <f aca="false">IF(C131&lt;&gt;"",DEC2HEX(C131,2),"")</f>
        <v/>
      </c>
      <c r="I131" s="1" t="str">
        <f aca="false">IF(D131&lt;&gt;"",DEC2HEX(D131,2),"")</f>
        <v/>
      </c>
      <c r="J131" s="1" t="str">
        <f aca="false">IF(H131&lt;&gt;"","0x"&amp;I131&amp;H131,"")</f>
        <v/>
      </c>
      <c r="L131" s="1" t="s">
        <v>2877</v>
      </c>
      <c r="M131" s="1" t="str">
        <f aca="false">IF(J131&lt;&gt;"",J131,L131)</f>
        <v>55, 57, SLAGOLEM</v>
      </c>
    </row>
    <row r="132" customFormat="false" ht="12.75" hidden="false" customHeight="true" outlineLevel="0" collapsed="false">
      <c r="A132" s="3" t="s">
        <v>2812</v>
      </c>
      <c r="B132" s="3" t="str">
        <f aca="false">IF(ISNUMBER(SEARCH("%", A132)),RIGHT(A132,3),A132)</f>
        <v>0.01</v>
      </c>
      <c r="C132" s="1" t="str">
        <f aca="false" t="array" ref="C132:C132">IF(B131="NEW ROUTE",textsplit(B132,","),"")</f>
        <v/>
      </c>
      <c r="H132" s="1" t="str">
        <f aca="false">IF(C132&lt;&gt;"",DEC2HEX(C132,2),"")</f>
        <v/>
      </c>
      <c r="I132" s="1" t="str">
        <f aca="false">IF(D132&lt;&gt;"",DEC2HEX(D132,2),"")</f>
        <v/>
      </c>
      <c r="J132" s="1" t="str">
        <f aca="false">IF(H132&lt;&gt;"","0x"&amp;I132&amp;H132,"")</f>
        <v/>
      </c>
      <c r="L132" s="1" t="s">
        <v>2812</v>
      </c>
      <c r="M132" s="1" t="str">
        <f aca="false">IF(J132&lt;&gt;"",J132,L132)</f>
        <v>0.01</v>
      </c>
    </row>
    <row r="133" customFormat="false" ht="12.75" hidden="false" customHeight="true" outlineLevel="0" collapsed="false">
      <c r="A133" s="3" t="s">
        <v>2878</v>
      </c>
      <c r="B133" s="3" t="str">
        <f aca="false">IF(ISNUMBER(SEARCH("%", A133)),RIGHT(A133,3),A133)</f>
        <v>58, 60, MOLTREM</v>
      </c>
      <c r="C133" s="1" t="str">
        <f aca="false" t="array" ref="C133:C133">IF(B132="NEW ROUTE",textsplit(B133,","),"")</f>
        <v/>
      </c>
      <c r="H133" s="1" t="str">
        <f aca="false">IF(C133&lt;&gt;"",DEC2HEX(C133,2),"")</f>
        <v/>
      </c>
      <c r="I133" s="1" t="str">
        <f aca="false">IF(D133&lt;&gt;"",DEC2HEX(D133,2),"")</f>
        <v/>
      </c>
      <c r="J133" s="1" t="str">
        <f aca="false">IF(H133&lt;&gt;"","0x"&amp;I133&amp;H133,"")</f>
        <v/>
      </c>
      <c r="L133" s="1" t="s">
        <v>2878</v>
      </c>
      <c r="M133" s="1" t="str">
        <f aca="false">IF(J133&lt;&gt;"",J133,L133)</f>
        <v>58, 60, MOLTREM</v>
      </c>
    </row>
    <row r="134" customFormat="false" ht="12.75" hidden="false" customHeight="true" outlineLevel="0" collapsed="false">
      <c r="A134" s="3" t="s">
        <v>2879</v>
      </c>
      <c r="B134" s="3" t="str">
        <f aca="false">IF(ISNUMBER(SEARCH("%", A134)),RIGHT(A134,3),A134)</f>
        <v>58, 60, WRAIWRATH , &lt;null&gt;, &lt;null&gt;, &lt;null&gt;</v>
      </c>
      <c r="C134" s="1" t="str">
        <f aca="false" t="array" ref="C134:C134">IF(B133="NEW ROUTE",textsplit(B134,","),"")</f>
        <v/>
      </c>
      <c r="H134" s="1" t="str">
        <f aca="false">IF(C134&lt;&gt;"",DEC2HEX(C134,2),"")</f>
        <v/>
      </c>
      <c r="I134" s="1" t="str">
        <f aca="false">IF(D134&lt;&gt;"",DEC2HEX(D134,2),"")</f>
        <v/>
      </c>
      <c r="J134" s="1" t="str">
        <f aca="false">IF(H134&lt;&gt;"","0x"&amp;I134&amp;H134,"")</f>
        <v/>
      </c>
      <c r="L134" s="1" t="s">
        <v>2879</v>
      </c>
      <c r="M134" s="1" t="str">
        <f aca="false">IF(J134&lt;&gt;"",J134,L134)</f>
        <v>58, 60, WRAIWRATH , &lt;null&gt;, &lt;null&gt;, &lt;null&gt;</v>
      </c>
    </row>
    <row r="135" customFormat="false" ht="12.75" hidden="false" customHeight="true" outlineLevel="0" collapsed="false">
      <c r="A135" s="3" t="s">
        <v>2536</v>
      </c>
      <c r="B135" s="3" t="str">
        <f aca="false">IF(ISNUMBER(SEARCH("%", A135)),RIGHT(A135,3),A135)</f>
        <v>NEW ROUTE</v>
      </c>
      <c r="C135" s="1" t="str">
        <f aca="false" t="array" ref="C135:C135">IF(B134="NEW ROUTE",textsplit(B135,","),"")</f>
        <v/>
      </c>
      <c r="H135" s="1" t="str">
        <f aca="false">IF(C135&lt;&gt;"",DEC2HEX(C135,2),"")</f>
        <v/>
      </c>
      <c r="I135" s="1" t="str">
        <f aca="false">IF(D135&lt;&gt;"",DEC2HEX(D135,2),"")</f>
        <v/>
      </c>
      <c r="J135" s="1" t="str">
        <f aca="false">IF(H135&lt;&gt;"","0x"&amp;I135&amp;H135,"")</f>
        <v/>
      </c>
      <c r="L135" s="1" t="s">
        <v>2536</v>
      </c>
      <c r="M135" s="1" t="str">
        <f aca="false">IF(J135&lt;&gt;"",J135,L135)</f>
        <v>NEW ROUTE</v>
      </c>
    </row>
    <row r="136" customFormat="false" ht="12.75" hidden="false" customHeight="true" outlineLevel="0" collapsed="false">
      <c r="A136" s="3" t="s">
        <v>2880</v>
      </c>
      <c r="B136" s="3" t="str">
        <f aca="false">IF(ISNUMBER(SEARCH("%", A136)),RIGHT(A136,3),A136)</f>
        <v>1, 40, 0,</v>
      </c>
      <c r="C136" s="1" t="e">
        <f aca="false" t="array" ref="C136:C136">IF(B135="NEW ROUTE",textsplit(B136,","),"")</f>
        <v>#NAME?</v>
      </c>
      <c r="H136" s="1" t="e">
        <f aca="false">IF(C136&lt;&gt;"",DEC2HEX(C136,2),"")</f>
        <v>#NAME?</v>
      </c>
      <c r="I136" s="1" t="str">
        <f aca="false">IF(D136&lt;&gt;"",DEC2HEX(D136,2),"")</f>
        <v/>
      </c>
      <c r="J136" s="1" t="e">
        <f aca="false">IF(H136&lt;&gt;"","0x"&amp;I136&amp;H136,"")</f>
        <v>#NAME?</v>
      </c>
      <c r="L136" s="1" t="s">
        <v>2880</v>
      </c>
      <c r="M136" s="1" t="e">
        <f aca="false">IF(J136&lt;&gt;"",J136,L136)</f>
        <v>#NAME?</v>
      </c>
    </row>
    <row r="137" customFormat="false" ht="12.75" hidden="false" customHeight="true" outlineLevel="0" collapsed="false">
      <c r="A137" s="3" t="s">
        <v>2816</v>
      </c>
      <c r="B137" s="3" t="str">
        <f aca="false">IF(ISNUMBER(SEARCH("%", A137)),RIGHT(A137,3),A137)</f>
        <v>20%</v>
      </c>
      <c r="C137" s="1" t="str">
        <f aca="false" t="array" ref="C137:C137">IF(B136="NEW ROUTE",textsplit(B137,","),"")</f>
        <v/>
      </c>
      <c r="H137" s="1" t="str">
        <f aca="false">IF(C137&lt;&gt;"",DEC2HEX(C137,2),"")</f>
        <v/>
      </c>
      <c r="I137" s="1" t="str">
        <f aca="false">IF(D137&lt;&gt;"",DEC2HEX(D137,2),"")</f>
        <v/>
      </c>
      <c r="J137" s="1" t="str">
        <f aca="false">IF(H137&lt;&gt;"","0x"&amp;I137&amp;H137,"")</f>
        <v/>
      </c>
      <c r="L137" s="1" t="s">
        <v>2799</v>
      </c>
      <c r="M137" s="1" t="str">
        <f aca="false">IF(J137&lt;&gt;"",J137,L137)</f>
        <v>20%</v>
      </c>
    </row>
    <row r="138" customFormat="false" ht="12.75" hidden="false" customHeight="true" outlineLevel="0" collapsed="false">
      <c r="A138" s="3" t="s">
        <v>1292</v>
      </c>
      <c r="B138" s="3" t="str">
        <f aca="false">IF(ISNUMBER(SEARCH("%", A138)),RIGHT(A138,3),A138)</f>
        <v>51, 56, NOHTYP</v>
      </c>
      <c r="C138" s="1" t="str">
        <f aca="false" t="array" ref="C138:C138">IF(B137="NEW ROUTE",textsplit(B138,","),"")</f>
        <v/>
      </c>
      <c r="H138" s="1" t="str">
        <f aca="false">IF(C138&lt;&gt;"",DEC2HEX(C138,2),"")</f>
        <v/>
      </c>
      <c r="I138" s="1" t="str">
        <f aca="false">IF(D138&lt;&gt;"",DEC2HEX(D138,2),"")</f>
        <v/>
      </c>
      <c r="J138" s="1" t="str">
        <f aca="false">IF(H138&lt;&gt;"","0x"&amp;I138&amp;H138,"")</f>
        <v/>
      </c>
      <c r="L138" s="1" t="s">
        <v>1292</v>
      </c>
      <c r="M138" s="1" t="str">
        <f aca="false">IF(J138&lt;&gt;"",J138,L138)</f>
        <v>51, 56, NOHTYP</v>
      </c>
    </row>
    <row r="139" customFormat="false" ht="12.75" hidden="false" customHeight="true" outlineLevel="0" collapsed="false">
      <c r="A139" s="3" t="s">
        <v>2869</v>
      </c>
      <c r="B139" s="3" t="str">
        <f aca="false">IF(ISNUMBER(SEARCH("%", A139)),RIGHT(A139,3),A139)</f>
        <v>51, 56, CROBAT</v>
      </c>
      <c r="C139" s="1" t="str">
        <f aca="false" t="array" ref="C139:C139">IF(B138="NEW ROUTE",textsplit(B139,","),"")</f>
        <v/>
      </c>
      <c r="H139" s="1" t="str">
        <f aca="false">IF(C139&lt;&gt;"",DEC2HEX(C139,2),"")</f>
        <v/>
      </c>
      <c r="I139" s="1" t="str">
        <f aca="false">IF(D139&lt;&gt;"",DEC2HEX(D139,2),"")</f>
        <v/>
      </c>
      <c r="J139" s="1" t="str">
        <f aca="false">IF(H139&lt;&gt;"","0x"&amp;I139&amp;H139,"")</f>
        <v/>
      </c>
      <c r="L139" s="1" t="s">
        <v>2869</v>
      </c>
      <c r="M139" s="1" t="str">
        <f aca="false">IF(J139&lt;&gt;"",J139,L139)</f>
        <v>51, 56, CROBAT</v>
      </c>
    </row>
    <row r="140" customFormat="false" ht="12.75" hidden="false" customHeight="true" outlineLevel="0" collapsed="false">
      <c r="A140" s="3" t="s">
        <v>2801</v>
      </c>
      <c r="B140" s="3" t="str">
        <f aca="false">IF(ISNUMBER(SEARCH("%", A140)),RIGHT(A140,3),A140)</f>
        <v>0.1</v>
      </c>
      <c r="C140" s="1" t="str">
        <f aca="false" t="array" ref="C140:C140">IF(B139="NEW ROUTE",textsplit(B140,","),"")</f>
        <v/>
      </c>
      <c r="H140" s="1" t="str">
        <f aca="false">IF(C140&lt;&gt;"",DEC2HEX(C140,2),"")</f>
        <v/>
      </c>
      <c r="I140" s="1" t="str">
        <f aca="false">IF(D140&lt;&gt;"",DEC2HEX(D140,2),"")</f>
        <v/>
      </c>
      <c r="J140" s="1" t="str">
        <f aca="false">IF(H140&lt;&gt;"","0x"&amp;I140&amp;H140,"")</f>
        <v/>
      </c>
      <c r="L140" s="1" t="s">
        <v>2801</v>
      </c>
      <c r="M140" s="1" t="str">
        <f aca="false">IF(J140&lt;&gt;"",J140,L140)</f>
        <v>0.1</v>
      </c>
    </row>
    <row r="141" customFormat="false" ht="12.75" hidden="false" customHeight="true" outlineLevel="0" collapsed="false">
      <c r="A141" s="3" t="s">
        <v>2870</v>
      </c>
      <c r="B141" s="3" t="str">
        <f aca="false">IF(ISNUMBER(SEARCH("%", A141)),RIGHT(A141,3),A141)</f>
        <v>51, 56, MACHAMP</v>
      </c>
      <c r="C141" s="1" t="str">
        <f aca="false" t="array" ref="C141:C141">IF(B140="NEW ROUTE",textsplit(B141,","),"")</f>
        <v/>
      </c>
      <c r="H141" s="1" t="str">
        <f aca="false">IF(C141&lt;&gt;"",DEC2HEX(C141,2),"")</f>
        <v/>
      </c>
      <c r="I141" s="1" t="str">
        <f aca="false">IF(D141&lt;&gt;"",DEC2HEX(D141,2),"")</f>
        <v/>
      </c>
      <c r="J141" s="1" t="str">
        <f aca="false">IF(H141&lt;&gt;"","0x"&amp;I141&amp;H141,"")</f>
        <v/>
      </c>
      <c r="L141" s="1" t="s">
        <v>2870</v>
      </c>
      <c r="M141" s="1" t="str">
        <f aca="false">IF(J141&lt;&gt;"",J141,L141)</f>
        <v>51, 56, MACHAMP</v>
      </c>
    </row>
    <row r="142" customFormat="false" ht="12.75" hidden="false" customHeight="true" outlineLevel="0" collapsed="false">
      <c r="A142" s="3" t="s">
        <v>2871</v>
      </c>
      <c r="B142" s="3" t="str">
        <f aca="false">IF(ISNUMBER(SEARCH("%", A142)),RIGHT(A142,3),A142)</f>
        <v>51, 56, GOLEM</v>
      </c>
      <c r="C142" s="1" t="str">
        <f aca="false" t="array" ref="C142:C142">IF(B141="NEW ROUTE",textsplit(B142,","),"")</f>
        <v/>
      </c>
      <c r="H142" s="1" t="str">
        <f aca="false">IF(C142&lt;&gt;"",DEC2HEX(C142,2),"")</f>
        <v/>
      </c>
      <c r="I142" s="1" t="str">
        <f aca="false">IF(D142&lt;&gt;"",DEC2HEX(D142,2),"")</f>
        <v/>
      </c>
      <c r="J142" s="1" t="str">
        <f aca="false">IF(H142&lt;&gt;"","0x"&amp;I142&amp;H142,"")</f>
        <v/>
      </c>
      <c r="L142" s="1" t="s">
        <v>2871</v>
      </c>
      <c r="M142" s="1" t="str">
        <f aca="false">IF(J142&lt;&gt;"",J142,L142)</f>
        <v>51, 56, GOLEM</v>
      </c>
    </row>
    <row r="143" customFormat="false" ht="12.75" hidden="false" customHeight="true" outlineLevel="0" collapsed="false">
      <c r="A143" s="3" t="s">
        <v>2872</v>
      </c>
      <c r="B143" s="3" t="str">
        <f aca="false">IF(ISNUMBER(SEARCH("%", A143)),RIGHT(A143,3),A143)</f>
        <v>53, 57, ADNOKANA</v>
      </c>
      <c r="C143" s="1" t="str">
        <f aca="false" t="array" ref="C143:C143">IF(B142="NEW ROUTE",textsplit(B143,","),"")</f>
        <v/>
      </c>
      <c r="H143" s="1" t="str">
        <f aca="false">IF(C143&lt;&gt;"",DEC2HEX(C143,2),"")</f>
        <v/>
      </c>
      <c r="I143" s="1" t="str">
        <f aca="false">IF(D143&lt;&gt;"",DEC2HEX(D143,2),"")</f>
        <v/>
      </c>
      <c r="J143" s="1" t="str">
        <f aca="false">IF(H143&lt;&gt;"","0x"&amp;I143&amp;H143,"")</f>
        <v/>
      </c>
      <c r="L143" s="1" t="s">
        <v>2872</v>
      </c>
      <c r="M143" s="1" t="str">
        <f aca="false">IF(J143&lt;&gt;"",J143,L143)</f>
        <v>53, 57, ADNOKANA</v>
      </c>
    </row>
    <row r="144" customFormat="false" ht="12.75" hidden="false" customHeight="true" outlineLevel="0" collapsed="false">
      <c r="A144" s="3" t="s">
        <v>2873</v>
      </c>
      <c r="B144" s="3" t="str">
        <f aca="false">IF(ISNUMBER(SEARCH("%", A144)),RIGHT(A144,3),A144)</f>
        <v>53, 57, POLABAT</v>
      </c>
      <c r="C144" s="1" t="str">
        <f aca="false" t="array" ref="C144:C144">IF(B143="NEW ROUTE",textsplit(B144,","),"")</f>
        <v/>
      </c>
      <c r="H144" s="1" t="str">
        <f aca="false">IF(C144&lt;&gt;"",DEC2HEX(C144,2),"")</f>
        <v/>
      </c>
      <c r="I144" s="1" t="str">
        <f aca="false">IF(D144&lt;&gt;"",DEC2HEX(D144,2),"")</f>
        <v/>
      </c>
      <c r="J144" s="1" t="str">
        <f aca="false">IF(H144&lt;&gt;"","0x"&amp;I144&amp;H144,"")</f>
        <v/>
      </c>
      <c r="L144" s="1" t="s">
        <v>2873</v>
      </c>
      <c r="M144" s="1" t="str">
        <f aca="false">IF(J144&lt;&gt;"",J144,L144)</f>
        <v>53, 57, POLABAT</v>
      </c>
    </row>
    <row r="145" customFormat="false" ht="12.75" hidden="false" customHeight="true" outlineLevel="0" collapsed="false">
      <c r="A145" s="3" t="s">
        <v>2806</v>
      </c>
      <c r="B145" s="3" t="str">
        <f aca="false">IF(ISNUMBER(SEARCH("%", A145)),RIGHT(A145,3),A145)</f>
        <v>0.05</v>
      </c>
      <c r="C145" s="1" t="str">
        <f aca="false" t="array" ref="C145:C145">IF(B144="NEW ROUTE",textsplit(B145,","),"")</f>
        <v/>
      </c>
      <c r="H145" s="1" t="str">
        <f aca="false">IF(C145&lt;&gt;"",DEC2HEX(C145,2),"")</f>
        <v/>
      </c>
      <c r="I145" s="1" t="str">
        <f aca="false">IF(D145&lt;&gt;"",DEC2HEX(D145,2),"")</f>
        <v/>
      </c>
      <c r="J145" s="1" t="str">
        <f aca="false">IF(H145&lt;&gt;"","0x"&amp;I145&amp;H145,"")</f>
        <v/>
      </c>
      <c r="L145" s="1" t="s">
        <v>2806</v>
      </c>
      <c r="M145" s="1" t="str">
        <f aca="false">IF(J145&lt;&gt;"",J145,L145)</f>
        <v>0.05</v>
      </c>
    </row>
    <row r="146" customFormat="false" ht="12.75" hidden="false" customHeight="true" outlineLevel="0" collapsed="false">
      <c r="A146" s="3" t="s">
        <v>2874</v>
      </c>
      <c r="B146" s="3" t="str">
        <f aca="false">IF(ISNUMBER(SEARCH("%", A146)),RIGHT(A146,3),A146)</f>
        <v>53, 57, MACHULK</v>
      </c>
      <c r="C146" s="1" t="str">
        <f aca="false" t="array" ref="C146:C146">IF(B145="NEW ROUTE",textsplit(B146,","),"")</f>
        <v/>
      </c>
      <c r="H146" s="1" t="str">
        <f aca="false">IF(C146&lt;&gt;"",DEC2HEX(C146,2),"")</f>
        <v/>
      </c>
      <c r="I146" s="1" t="str">
        <f aca="false">IF(D146&lt;&gt;"",DEC2HEX(D146,2),"")</f>
        <v/>
      </c>
      <c r="J146" s="1" t="str">
        <f aca="false">IF(H146&lt;&gt;"","0x"&amp;I146&amp;H146,"")</f>
        <v/>
      </c>
      <c r="L146" s="1" t="s">
        <v>2874</v>
      </c>
      <c r="M146" s="1" t="str">
        <f aca="false">IF(J146&lt;&gt;"",J146,L146)</f>
        <v>53, 57, MACHULK</v>
      </c>
    </row>
    <row r="147" customFormat="false" ht="12.75" hidden="false" customHeight="true" outlineLevel="0" collapsed="false">
      <c r="A147" s="3" t="s">
        <v>2875</v>
      </c>
      <c r="B147" s="3" t="str">
        <f aca="false">IF(ISNUMBER(SEARCH("%", A147)),RIGHT(A147,3),A147)</f>
        <v>53, 57, RHYMARKABL</v>
      </c>
      <c r="C147" s="1" t="str">
        <f aca="false" t="array" ref="C147:C147">IF(B146="NEW ROUTE",textsplit(B147,","),"")</f>
        <v/>
      </c>
      <c r="H147" s="1" t="str">
        <f aca="false">IF(C147&lt;&gt;"",DEC2HEX(C147,2),"")</f>
        <v/>
      </c>
      <c r="I147" s="1" t="str">
        <f aca="false">IF(D147&lt;&gt;"",DEC2HEX(D147,2),"")</f>
        <v/>
      </c>
      <c r="J147" s="1" t="str">
        <f aca="false">IF(H147&lt;&gt;"","0x"&amp;I147&amp;H147,"")</f>
        <v/>
      </c>
      <c r="L147" s="1" t="s">
        <v>2875</v>
      </c>
      <c r="M147" s="1" t="str">
        <f aca="false">IF(J147&lt;&gt;"",J147,L147)</f>
        <v>53, 57, RHYMARKABL</v>
      </c>
    </row>
    <row r="148" customFormat="false" ht="12.75" hidden="false" customHeight="true" outlineLevel="0" collapsed="false">
      <c r="A148" s="3" t="s">
        <v>2809</v>
      </c>
      <c r="B148" s="3" t="str">
        <f aca="false">IF(ISNUMBER(SEARCH("%", A148)),RIGHT(A148,3),A148)</f>
        <v>0.04</v>
      </c>
      <c r="C148" s="1" t="str">
        <f aca="false" t="array" ref="C148:C148">IF(B147="NEW ROUTE",textsplit(B148,","),"")</f>
        <v/>
      </c>
      <c r="H148" s="1" t="str">
        <f aca="false">IF(C148&lt;&gt;"",DEC2HEX(C148,2),"")</f>
        <v/>
      </c>
      <c r="I148" s="1" t="str">
        <f aca="false">IF(D148&lt;&gt;"",DEC2HEX(D148,2),"")</f>
        <v/>
      </c>
      <c r="J148" s="1" t="str">
        <f aca="false">IF(H148&lt;&gt;"","0x"&amp;I148&amp;H148,"")</f>
        <v/>
      </c>
      <c r="L148" s="1" t="s">
        <v>2809</v>
      </c>
      <c r="M148" s="1" t="str">
        <f aca="false">IF(J148&lt;&gt;"",J148,L148)</f>
        <v>0.04</v>
      </c>
    </row>
    <row r="149" customFormat="false" ht="12.75" hidden="false" customHeight="true" outlineLevel="0" collapsed="false">
      <c r="A149" s="3" t="s">
        <v>2876</v>
      </c>
      <c r="B149" s="3" t="str">
        <f aca="false">IF(ISNUMBER(SEARCH("%", A149)),RIGHT(A149,3),A149)</f>
        <v>55, 57, PLATNIX</v>
      </c>
      <c r="C149" s="1" t="str">
        <f aca="false" t="array" ref="C149:C149">IF(B148="NEW ROUTE",textsplit(B149,","),"")</f>
        <v/>
      </c>
      <c r="H149" s="1" t="str">
        <f aca="false">IF(C149&lt;&gt;"",DEC2HEX(C149,2),"")</f>
        <v/>
      </c>
      <c r="I149" s="1" t="str">
        <f aca="false">IF(D149&lt;&gt;"",DEC2HEX(D149,2),"")</f>
        <v/>
      </c>
      <c r="J149" s="1" t="str">
        <f aca="false">IF(H149&lt;&gt;"","0x"&amp;I149&amp;H149,"")</f>
        <v/>
      </c>
      <c r="L149" s="1" t="s">
        <v>2876</v>
      </c>
      <c r="M149" s="1" t="str">
        <f aca="false">IF(J149&lt;&gt;"",J149,L149)</f>
        <v>55, 57, PLATNIX</v>
      </c>
    </row>
    <row r="150" customFormat="false" ht="12.75" hidden="false" customHeight="true" outlineLevel="0" collapsed="false">
      <c r="A150" s="3" t="s">
        <v>2877</v>
      </c>
      <c r="B150" s="3" t="str">
        <f aca="false">IF(ISNUMBER(SEARCH("%", A150)),RIGHT(A150,3),A150)</f>
        <v>55, 57, SLAGOLEM</v>
      </c>
      <c r="C150" s="1" t="str">
        <f aca="false" t="array" ref="C150:C150">IF(B149="NEW ROUTE",textsplit(B150,","),"")</f>
        <v/>
      </c>
      <c r="H150" s="1" t="str">
        <f aca="false">IF(C150&lt;&gt;"",DEC2HEX(C150,2),"")</f>
        <v/>
      </c>
      <c r="I150" s="1" t="str">
        <f aca="false">IF(D150&lt;&gt;"",DEC2HEX(D150,2),"")</f>
        <v/>
      </c>
      <c r="J150" s="1" t="str">
        <f aca="false">IF(H150&lt;&gt;"","0x"&amp;I150&amp;H150,"")</f>
        <v/>
      </c>
      <c r="L150" s="1" t="s">
        <v>2877</v>
      </c>
      <c r="M150" s="1" t="str">
        <f aca="false">IF(J150&lt;&gt;"",J150,L150)</f>
        <v>55, 57, SLAGOLEM</v>
      </c>
    </row>
    <row r="151" customFormat="false" ht="12.75" hidden="false" customHeight="true" outlineLevel="0" collapsed="false">
      <c r="A151" s="3" t="s">
        <v>2812</v>
      </c>
      <c r="B151" s="3" t="str">
        <f aca="false">IF(ISNUMBER(SEARCH("%", A151)),RIGHT(A151,3),A151)</f>
        <v>0.01</v>
      </c>
      <c r="C151" s="1" t="str">
        <f aca="false" t="array" ref="C151:C151">IF(B150="NEW ROUTE",textsplit(B151,","),"")</f>
        <v/>
      </c>
      <c r="H151" s="1" t="str">
        <f aca="false">IF(C151&lt;&gt;"",DEC2HEX(C151,2),"")</f>
        <v/>
      </c>
      <c r="I151" s="1" t="str">
        <f aca="false">IF(D151&lt;&gt;"",DEC2HEX(D151,2),"")</f>
        <v/>
      </c>
      <c r="J151" s="1" t="str">
        <f aca="false">IF(H151&lt;&gt;"","0x"&amp;I151&amp;H151,"")</f>
        <v/>
      </c>
      <c r="L151" s="1" t="s">
        <v>2812</v>
      </c>
      <c r="M151" s="1" t="str">
        <f aca="false">IF(J151&lt;&gt;"",J151,L151)</f>
        <v>0.01</v>
      </c>
    </row>
    <row r="152" customFormat="false" ht="12.75" hidden="false" customHeight="true" outlineLevel="0" collapsed="false">
      <c r="A152" s="3" t="s">
        <v>2881</v>
      </c>
      <c r="B152" s="3" t="str">
        <f aca="false">IF(ISNUMBER(SEARCH("%", A152)),RIGHT(A152,3),A152)</f>
        <v>59, 61, MOLTREM</v>
      </c>
      <c r="C152" s="1" t="str">
        <f aca="false" t="array" ref="C152:C152">IF(B151="NEW ROUTE",textsplit(B152,","),"")</f>
        <v/>
      </c>
      <c r="H152" s="1" t="str">
        <f aca="false">IF(C152&lt;&gt;"",DEC2HEX(C152,2),"")</f>
        <v/>
      </c>
      <c r="I152" s="1" t="str">
        <f aca="false">IF(D152&lt;&gt;"",DEC2HEX(D152,2),"")</f>
        <v/>
      </c>
      <c r="J152" s="1" t="str">
        <f aca="false">IF(H152&lt;&gt;"","0x"&amp;I152&amp;H152,"")</f>
        <v/>
      </c>
      <c r="L152" s="1" t="s">
        <v>2881</v>
      </c>
      <c r="M152" s="1" t="str">
        <f aca="false">IF(J152&lt;&gt;"",J152,L152)</f>
        <v>59, 61, MOLTREM</v>
      </c>
    </row>
    <row r="153" customFormat="false" ht="12.75" hidden="false" customHeight="true" outlineLevel="0" collapsed="false">
      <c r="A153" s="3" t="s">
        <v>2882</v>
      </c>
      <c r="B153" s="3" t="str">
        <f aca="false">IF(ISNUMBER(SEARCH("%", A153)),RIGHT(A153,3),A153)</f>
        <v>59, 61, FERODILLO , &lt;null&gt;, &lt;null&gt;, &lt;null&gt;</v>
      </c>
      <c r="C153" s="1" t="str">
        <f aca="false" t="array" ref="C153:C153">IF(B152="NEW ROUTE",textsplit(B153,","),"")</f>
        <v/>
      </c>
      <c r="H153" s="1" t="str">
        <f aca="false">IF(C153&lt;&gt;"",DEC2HEX(C153,2),"")</f>
        <v/>
      </c>
      <c r="I153" s="1" t="str">
        <f aca="false">IF(D153&lt;&gt;"",DEC2HEX(D153,2),"")</f>
        <v/>
      </c>
      <c r="J153" s="1" t="str">
        <f aca="false">IF(H153&lt;&gt;"","0x"&amp;I153&amp;H153,"")</f>
        <v/>
      </c>
      <c r="L153" s="1" t="s">
        <v>2882</v>
      </c>
      <c r="M153" s="1" t="str">
        <f aca="false">IF(J153&lt;&gt;"",J153,L153)</f>
        <v>59, 61, FERODILLO , &lt;null&gt;, &lt;null&gt;, &lt;null&gt;</v>
      </c>
    </row>
    <row r="154" customFormat="false" ht="12.75" hidden="false" customHeight="true" outlineLevel="0" collapsed="false">
      <c r="A154" s="3" t="s">
        <v>2536</v>
      </c>
      <c r="B154" s="3" t="str">
        <f aca="false">IF(ISNUMBER(SEARCH("%", A154)),RIGHT(A154,3),A154)</f>
        <v>NEW ROUTE</v>
      </c>
      <c r="C154" s="1" t="str">
        <f aca="false" t="array" ref="C154:C154">IF(B153="NEW ROUTE",textsplit(B154,","),"")</f>
        <v/>
      </c>
      <c r="H154" s="1" t="str">
        <f aca="false">IF(C154&lt;&gt;"",DEC2HEX(C154,2),"")</f>
        <v/>
      </c>
      <c r="I154" s="1" t="str">
        <f aca="false">IF(D154&lt;&gt;"",DEC2HEX(D154,2),"")</f>
        <v/>
      </c>
      <c r="J154" s="1" t="str">
        <f aca="false">IF(H154&lt;&gt;"","0x"&amp;I154&amp;H154,"")</f>
        <v/>
      </c>
      <c r="L154" s="1" t="s">
        <v>2536</v>
      </c>
      <c r="M154" s="1" t="str">
        <f aca="false">IF(J154&lt;&gt;"",J154,L154)</f>
        <v>NEW ROUTE</v>
      </c>
    </row>
    <row r="155" customFormat="false" ht="12.75" hidden="false" customHeight="true" outlineLevel="0" collapsed="false">
      <c r="A155" s="3" t="s">
        <v>2883</v>
      </c>
      <c r="B155" s="3" t="str">
        <f aca="false">IF(ISNUMBER(SEARCH("%", A155)),RIGHT(A155,3),A155)</f>
        <v>1, 41, 0,</v>
      </c>
      <c r="C155" s="1" t="e">
        <f aca="false" t="array" ref="C155:C155">IF(B154="NEW ROUTE",textsplit(B155,","),"")</f>
        <v>#NAME?</v>
      </c>
      <c r="H155" s="1" t="e">
        <f aca="false">IF(C155&lt;&gt;"",DEC2HEX(C155,2),"")</f>
        <v>#NAME?</v>
      </c>
      <c r="I155" s="1" t="str">
        <f aca="false">IF(D155&lt;&gt;"",DEC2HEX(D155,2),"")</f>
        <v/>
      </c>
      <c r="J155" s="1" t="e">
        <f aca="false">IF(H155&lt;&gt;"","0x"&amp;I155&amp;H155,"")</f>
        <v>#NAME?</v>
      </c>
      <c r="L155" s="1" t="s">
        <v>2883</v>
      </c>
      <c r="M155" s="1" t="e">
        <f aca="false">IF(J155&lt;&gt;"",J155,L155)</f>
        <v>#NAME?</v>
      </c>
    </row>
    <row r="156" customFormat="false" ht="12.75" hidden="false" customHeight="true" outlineLevel="0" collapsed="false">
      <c r="A156" s="3" t="s">
        <v>2816</v>
      </c>
      <c r="B156" s="3" t="str">
        <f aca="false">IF(ISNUMBER(SEARCH("%", A156)),RIGHT(A156,3),A156)</f>
        <v>20%</v>
      </c>
      <c r="C156" s="1" t="str">
        <f aca="false" t="array" ref="C156:C156">IF(B155="NEW ROUTE",textsplit(B156,","),"")</f>
        <v/>
      </c>
      <c r="H156" s="1" t="str">
        <f aca="false">IF(C156&lt;&gt;"",DEC2HEX(C156,2),"")</f>
        <v/>
      </c>
      <c r="I156" s="1" t="str">
        <f aca="false">IF(D156&lt;&gt;"",DEC2HEX(D156,2),"")</f>
        <v/>
      </c>
      <c r="J156" s="1" t="str">
        <f aca="false">IF(H156&lt;&gt;"","0x"&amp;I156&amp;H156,"")</f>
        <v/>
      </c>
      <c r="L156" s="1" t="s">
        <v>2799</v>
      </c>
      <c r="M156" s="1" t="str">
        <f aca="false">IF(J156&lt;&gt;"",J156,L156)</f>
        <v>20%</v>
      </c>
    </row>
    <row r="157" customFormat="false" ht="12.75" hidden="false" customHeight="true" outlineLevel="0" collapsed="false">
      <c r="A157" s="3" t="s">
        <v>1292</v>
      </c>
      <c r="B157" s="3" t="str">
        <f aca="false">IF(ISNUMBER(SEARCH("%", A157)),RIGHT(A157,3),A157)</f>
        <v>51, 56, NOHTYP</v>
      </c>
      <c r="C157" s="1" t="str">
        <f aca="false" t="array" ref="C157:C157">IF(B156="NEW ROUTE",textsplit(B157,","),"")</f>
        <v/>
      </c>
      <c r="H157" s="1" t="str">
        <f aca="false">IF(C157&lt;&gt;"",DEC2HEX(C157,2),"")</f>
        <v/>
      </c>
      <c r="I157" s="1" t="str">
        <f aca="false">IF(D157&lt;&gt;"",DEC2HEX(D157,2),"")</f>
        <v/>
      </c>
      <c r="J157" s="1" t="str">
        <f aca="false">IF(H157&lt;&gt;"","0x"&amp;I157&amp;H157,"")</f>
        <v/>
      </c>
      <c r="L157" s="1" t="s">
        <v>1292</v>
      </c>
      <c r="M157" s="1" t="str">
        <f aca="false">IF(J157&lt;&gt;"",J157,L157)</f>
        <v>51, 56, NOHTYP</v>
      </c>
    </row>
    <row r="158" customFormat="false" ht="12.75" hidden="false" customHeight="true" outlineLevel="0" collapsed="false">
      <c r="A158" s="3" t="s">
        <v>2869</v>
      </c>
      <c r="B158" s="3" t="str">
        <f aca="false">IF(ISNUMBER(SEARCH("%", A158)),RIGHT(A158,3),A158)</f>
        <v>51, 56, CROBAT</v>
      </c>
      <c r="C158" s="1" t="str">
        <f aca="false" t="array" ref="C158:C158">IF(B157="NEW ROUTE",textsplit(B158,","),"")</f>
        <v/>
      </c>
      <c r="H158" s="1" t="str">
        <f aca="false">IF(C158&lt;&gt;"",DEC2HEX(C158,2),"")</f>
        <v/>
      </c>
      <c r="I158" s="1" t="str">
        <f aca="false">IF(D158&lt;&gt;"",DEC2HEX(D158,2),"")</f>
        <v/>
      </c>
      <c r="J158" s="1" t="str">
        <f aca="false">IF(H158&lt;&gt;"","0x"&amp;I158&amp;H158,"")</f>
        <v/>
      </c>
      <c r="L158" s="1" t="s">
        <v>2869</v>
      </c>
      <c r="M158" s="1" t="str">
        <f aca="false">IF(J158&lt;&gt;"",J158,L158)</f>
        <v>51, 56, CROBAT</v>
      </c>
    </row>
    <row r="159" customFormat="false" ht="12.75" hidden="false" customHeight="true" outlineLevel="0" collapsed="false">
      <c r="A159" s="3" t="s">
        <v>2801</v>
      </c>
      <c r="B159" s="3" t="str">
        <f aca="false">IF(ISNUMBER(SEARCH("%", A159)),RIGHT(A159,3),A159)</f>
        <v>0.1</v>
      </c>
      <c r="C159" s="1" t="str">
        <f aca="false" t="array" ref="C159:C159">IF(B158="NEW ROUTE",textsplit(B159,","),"")</f>
        <v/>
      </c>
      <c r="H159" s="1" t="str">
        <f aca="false">IF(C159&lt;&gt;"",DEC2HEX(C159,2),"")</f>
        <v/>
      </c>
      <c r="I159" s="1" t="str">
        <f aca="false">IF(D159&lt;&gt;"",DEC2HEX(D159,2),"")</f>
        <v/>
      </c>
      <c r="J159" s="1" t="str">
        <f aca="false">IF(H159&lt;&gt;"","0x"&amp;I159&amp;H159,"")</f>
        <v/>
      </c>
      <c r="L159" s="1" t="s">
        <v>2801</v>
      </c>
      <c r="M159" s="1" t="str">
        <f aca="false">IF(J159&lt;&gt;"",J159,L159)</f>
        <v>0.1</v>
      </c>
    </row>
    <row r="160" customFormat="false" ht="12.75" hidden="false" customHeight="true" outlineLevel="0" collapsed="false">
      <c r="A160" s="3" t="s">
        <v>2870</v>
      </c>
      <c r="B160" s="3" t="str">
        <f aca="false">IF(ISNUMBER(SEARCH("%", A160)),RIGHT(A160,3),A160)</f>
        <v>51, 56, MACHAMP</v>
      </c>
      <c r="C160" s="1" t="str">
        <f aca="false" t="array" ref="C160:C160">IF(B159="NEW ROUTE",textsplit(B160,","),"")</f>
        <v/>
      </c>
      <c r="H160" s="1" t="str">
        <f aca="false">IF(C160&lt;&gt;"",DEC2HEX(C160,2),"")</f>
        <v/>
      </c>
      <c r="I160" s="1" t="str">
        <f aca="false">IF(D160&lt;&gt;"",DEC2HEX(D160,2),"")</f>
        <v/>
      </c>
      <c r="J160" s="1" t="str">
        <f aca="false">IF(H160&lt;&gt;"","0x"&amp;I160&amp;H160,"")</f>
        <v/>
      </c>
      <c r="L160" s="1" t="s">
        <v>2870</v>
      </c>
      <c r="M160" s="1" t="str">
        <f aca="false">IF(J160&lt;&gt;"",J160,L160)</f>
        <v>51, 56, MACHAMP</v>
      </c>
    </row>
    <row r="161" customFormat="false" ht="12.75" hidden="false" customHeight="true" outlineLevel="0" collapsed="false">
      <c r="A161" s="3" t="s">
        <v>2871</v>
      </c>
      <c r="B161" s="3" t="str">
        <f aca="false">IF(ISNUMBER(SEARCH("%", A161)),RIGHT(A161,3),A161)</f>
        <v>51, 56, GOLEM</v>
      </c>
      <c r="C161" s="1" t="str">
        <f aca="false" t="array" ref="C161:C161">IF(B160="NEW ROUTE",textsplit(B161,","),"")</f>
        <v/>
      </c>
      <c r="H161" s="1" t="str">
        <f aca="false">IF(C161&lt;&gt;"",DEC2HEX(C161,2),"")</f>
        <v/>
      </c>
      <c r="I161" s="1" t="str">
        <f aca="false">IF(D161&lt;&gt;"",DEC2HEX(D161,2),"")</f>
        <v/>
      </c>
      <c r="J161" s="1" t="str">
        <f aca="false">IF(H161&lt;&gt;"","0x"&amp;I161&amp;H161,"")</f>
        <v/>
      </c>
      <c r="L161" s="1" t="s">
        <v>2871</v>
      </c>
      <c r="M161" s="1" t="str">
        <f aca="false">IF(J161&lt;&gt;"",J161,L161)</f>
        <v>51, 56, GOLEM</v>
      </c>
    </row>
    <row r="162" customFormat="false" ht="12.75" hidden="false" customHeight="true" outlineLevel="0" collapsed="false">
      <c r="A162" s="3" t="s">
        <v>2872</v>
      </c>
      <c r="B162" s="3" t="str">
        <f aca="false">IF(ISNUMBER(SEARCH("%", A162)),RIGHT(A162,3),A162)</f>
        <v>53, 57, ADNOKANA</v>
      </c>
      <c r="C162" s="1" t="str">
        <f aca="false" t="array" ref="C162:C162">IF(B161="NEW ROUTE",textsplit(B162,","),"")</f>
        <v/>
      </c>
      <c r="H162" s="1" t="str">
        <f aca="false">IF(C162&lt;&gt;"",DEC2HEX(C162,2),"")</f>
        <v/>
      </c>
      <c r="I162" s="1" t="str">
        <f aca="false">IF(D162&lt;&gt;"",DEC2HEX(D162,2),"")</f>
        <v/>
      </c>
      <c r="J162" s="1" t="str">
        <f aca="false">IF(H162&lt;&gt;"","0x"&amp;I162&amp;H162,"")</f>
        <v/>
      </c>
      <c r="L162" s="1" t="s">
        <v>2872</v>
      </c>
      <c r="M162" s="1" t="str">
        <f aca="false">IF(J162&lt;&gt;"",J162,L162)</f>
        <v>53, 57, ADNOKANA</v>
      </c>
    </row>
    <row r="163" customFormat="false" ht="12.75" hidden="false" customHeight="true" outlineLevel="0" collapsed="false">
      <c r="A163" s="3" t="s">
        <v>2873</v>
      </c>
      <c r="B163" s="3" t="str">
        <f aca="false">IF(ISNUMBER(SEARCH("%", A163)),RIGHT(A163,3),A163)</f>
        <v>53, 57, POLABAT</v>
      </c>
      <c r="C163" s="1" t="str">
        <f aca="false" t="array" ref="C163:C163">IF(B162="NEW ROUTE",textsplit(B163,","),"")</f>
        <v/>
      </c>
      <c r="H163" s="1" t="str">
        <f aca="false">IF(C163&lt;&gt;"",DEC2HEX(C163,2),"")</f>
        <v/>
      </c>
      <c r="I163" s="1" t="str">
        <f aca="false">IF(D163&lt;&gt;"",DEC2HEX(D163,2),"")</f>
        <v/>
      </c>
      <c r="J163" s="1" t="str">
        <f aca="false">IF(H163&lt;&gt;"","0x"&amp;I163&amp;H163,"")</f>
        <v/>
      </c>
      <c r="L163" s="1" t="s">
        <v>2873</v>
      </c>
      <c r="M163" s="1" t="str">
        <f aca="false">IF(J163&lt;&gt;"",J163,L163)</f>
        <v>53, 57, POLABAT</v>
      </c>
    </row>
    <row r="164" customFormat="false" ht="12.75" hidden="false" customHeight="true" outlineLevel="0" collapsed="false">
      <c r="A164" s="3" t="s">
        <v>2806</v>
      </c>
      <c r="B164" s="3" t="str">
        <f aca="false">IF(ISNUMBER(SEARCH("%", A164)),RIGHT(A164,3),A164)</f>
        <v>0.05</v>
      </c>
      <c r="C164" s="1" t="str">
        <f aca="false" t="array" ref="C164:C164">IF(B163="NEW ROUTE",textsplit(B164,","),"")</f>
        <v/>
      </c>
      <c r="H164" s="1" t="str">
        <f aca="false">IF(C164&lt;&gt;"",DEC2HEX(C164,2),"")</f>
        <v/>
      </c>
      <c r="I164" s="1" t="str">
        <f aca="false">IF(D164&lt;&gt;"",DEC2HEX(D164,2),"")</f>
        <v/>
      </c>
      <c r="J164" s="1" t="str">
        <f aca="false">IF(H164&lt;&gt;"","0x"&amp;I164&amp;H164,"")</f>
        <v/>
      </c>
      <c r="L164" s="1" t="s">
        <v>2806</v>
      </c>
      <c r="M164" s="1" t="str">
        <f aca="false">IF(J164&lt;&gt;"",J164,L164)</f>
        <v>0.05</v>
      </c>
    </row>
    <row r="165" customFormat="false" ht="12.75" hidden="false" customHeight="true" outlineLevel="0" collapsed="false">
      <c r="A165" s="3" t="s">
        <v>2874</v>
      </c>
      <c r="B165" s="3" t="str">
        <f aca="false">IF(ISNUMBER(SEARCH("%", A165)),RIGHT(A165,3),A165)</f>
        <v>53, 57, MACHULK</v>
      </c>
      <c r="C165" s="1" t="str">
        <f aca="false" t="array" ref="C165:C165">IF(B164="NEW ROUTE",textsplit(B165,","),"")</f>
        <v/>
      </c>
      <c r="H165" s="1" t="str">
        <f aca="false">IF(C165&lt;&gt;"",DEC2HEX(C165,2),"")</f>
        <v/>
      </c>
      <c r="I165" s="1" t="str">
        <f aca="false">IF(D165&lt;&gt;"",DEC2HEX(D165,2),"")</f>
        <v/>
      </c>
      <c r="J165" s="1" t="str">
        <f aca="false">IF(H165&lt;&gt;"","0x"&amp;I165&amp;H165,"")</f>
        <v/>
      </c>
      <c r="L165" s="1" t="s">
        <v>2874</v>
      </c>
      <c r="M165" s="1" t="str">
        <f aca="false">IF(J165&lt;&gt;"",J165,L165)</f>
        <v>53, 57, MACHULK</v>
      </c>
    </row>
    <row r="166" customFormat="false" ht="12.75" hidden="false" customHeight="true" outlineLevel="0" collapsed="false">
      <c r="A166" s="3" t="s">
        <v>2875</v>
      </c>
      <c r="B166" s="3" t="str">
        <f aca="false">IF(ISNUMBER(SEARCH("%", A166)),RIGHT(A166,3),A166)</f>
        <v>53, 57, RHYMARKABL</v>
      </c>
      <c r="C166" s="1" t="str">
        <f aca="false" t="array" ref="C166:C166">IF(B165="NEW ROUTE",textsplit(B166,","),"")</f>
        <v/>
      </c>
      <c r="H166" s="1" t="str">
        <f aca="false">IF(C166&lt;&gt;"",DEC2HEX(C166,2),"")</f>
        <v/>
      </c>
      <c r="I166" s="1" t="str">
        <f aca="false">IF(D166&lt;&gt;"",DEC2HEX(D166,2),"")</f>
        <v/>
      </c>
      <c r="J166" s="1" t="str">
        <f aca="false">IF(H166&lt;&gt;"","0x"&amp;I166&amp;H166,"")</f>
        <v/>
      </c>
      <c r="L166" s="1" t="s">
        <v>2875</v>
      </c>
      <c r="M166" s="1" t="str">
        <f aca="false">IF(J166&lt;&gt;"",J166,L166)</f>
        <v>53, 57, RHYMARKABL</v>
      </c>
    </row>
    <row r="167" customFormat="false" ht="12.75" hidden="false" customHeight="true" outlineLevel="0" collapsed="false">
      <c r="A167" s="3" t="s">
        <v>2809</v>
      </c>
      <c r="B167" s="3" t="str">
        <f aca="false">IF(ISNUMBER(SEARCH("%", A167)),RIGHT(A167,3),A167)</f>
        <v>0.04</v>
      </c>
      <c r="C167" s="1" t="str">
        <f aca="false" t="array" ref="C167:C167">IF(B166="NEW ROUTE",textsplit(B167,","),"")</f>
        <v/>
      </c>
      <c r="H167" s="1" t="str">
        <f aca="false">IF(C167&lt;&gt;"",DEC2HEX(C167,2),"")</f>
        <v/>
      </c>
      <c r="I167" s="1" t="str">
        <f aca="false">IF(D167&lt;&gt;"",DEC2HEX(D167,2),"")</f>
        <v/>
      </c>
      <c r="J167" s="1" t="str">
        <f aca="false">IF(H167&lt;&gt;"","0x"&amp;I167&amp;H167,"")</f>
        <v/>
      </c>
      <c r="L167" s="1" t="s">
        <v>2809</v>
      </c>
      <c r="M167" s="1" t="str">
        <f aca="false">IF(J167&lt;&gt;"",J167,L167)</f>
        <v>0.04</v>
      </c>
    </row>
    <row r="168" customFormat="false" ht="12.75" hidden="false" customHeight="true" outlineLevel="0" collapsed="false">
      <c r="A168" s="3" t="s">
        <v>2876</v>
      </c>
      <c r="B168" s="3" t="str">
        <f aca="false">IF(ISNUMBER(SEARCH("%", A168)),RIGHT(A168,3),A168)</f>
        <v>55, 57, PLATNIX</v>
      </c>
      <c r="C168" s="1" t="str">
        <f aca="false" t="array" ref="C168:C168">IF(B167="NEW ROUTE",textsplit(B168,","),"")</f>
        <v/>
      </c>
      <c r="H168" s="1" t="str">
        <f aca="false">IF(C168&lt;&gt;"",DEC2HEX(C168,2),"")</f>
        <v/>
      </c>
      <c r="I168" s="1" t="str">
        <f aca="false">IF(D168&lt;&gt;"",DEC2HEX(D168,2),"")</f>
        <v/>
      </c>
      <c r="J168" s="1" t="str">
        <f aca="false">IF(H168&lt;&gt;"","0x"&amp;I168&amp;H168,"")</f>
        <v/>
      </c>
      <c r="L168" s="1" t="s">
        <v>2876</v>
      </c>
      <c r="M168" s="1" t="str">
        <f aca="false">IF(J168&lt;&gt;"",J168,L168)</f>
        <v>55, 57, PLATNIX</v>
      </c>
    </row>
    <row r="169" customFormat="false" ht="12.75" hidden="false" customHeight="true" outlineLevel="0" collapsed="false">
      <c r="A169" s="3" t="s">
        <v>2877</v>
      </c>
      <c r="B169" s="3" t="str">
        <f aca="false">IF(ISNUMBER(SEARCH("%", A169)),RIGHT(A169,3),A169)</f>
        <v>55, 57, SLAGOLEM</v>
      </c>
      <c r="C169" s="1" t="str">
        <f aca="false" t="array" ref="C169:C169">IF(B168="NEW ROUTE",textsplit(B169,","),"")</f>
        <v/>
      </c>
      <c r="H169" s="1" t="str">
        <f aca="false">IF(C169&lt;&gt;"",DEC2HEX(C169,2),"")</f>
        <v/>
      </c>
      <c r="I169" s="1" t="str">
        <f aca="false">IF(D169&lt;&gt;"",DEC2HEX(D169,2),"")</f>
        <v/>
      </c>
      <c r="J169" s="1" t="str">
        <f aca="false">IF(H169&lt;&gt;"","0x"&amp;I169&amp;H169,"")</f>
        <v/>
      </c>
      <c r="L169" s="1" t="s">
        <v>2877</v>
      </c>
      <c r="M169" s="1" t="str">
        <f aca="false">IF(J169&lt;&gt;"",J169,L169)</f>
        <v>55, 57, SLAGOLEM</v>
      </c>
    </row>
    <row r="170" customFormat="false" ht="12.75" hidden="false" customHeight="true" outlineLevel="0" collapsed="false">
      <c r="A170" s="3" t="s">
        <v>2812</v>
      </c>
      <c r="B170" s="3" t="str">
        <f aca="false">IF(ISNUMBER(SEARCH("%", A170)),RIGHT(A170,3),A170)</f>
        <v>0.01</v>
      </c>
      <c r="C170" s="1" t="str">
        <f aca="false" t="array" ref="C170:C170">IF(B169="NEW ROUTE",textsplit(B170,","),"")</f>
        <v/>
      </c>
      <c r="H170" s="1" t="str">
        <f aca="false">IF(C170&lt;&gt;"",DEC2HEX(C170,2),"")</f>
        <v/>
      </c>
      <c r="I170" s="1" t="str">
        <f aca="false">IF(D170&lt;&gt;"",DEC2HEX(D170,2),"")</f>
        <v/>
      </c>
      <c r="J170" s="1" t="str">
        <f aca="false">IF(H170&lt;&gt;"","0x"&amp;I170&amp;H170,"")</f>
        <v/>
      </c>
      <c r="L170" s="1" t="s">
        <v>2812</v>
      </c>
      <c r="M170" s="1" t="str">
        <f aca="false">IF(J170&lt;&gt;"",J170,L170)</f>
        <v>0.01</v>
      </c>
    </row>
    <row r="171" customFormat="false" ht="12.75" hidden="false" customHeight="true" outlineLevel="0" collapsed="false">
      <c r="A171" s="3" t="s">
        <v>2884</v>
      </c>
      <c r="B171" s="3" t="str">
        <f aca="false">IF(ISNUMBER(SEARCH("%", A171)),RIGHT(A171,3),A171)</f>
        <v>60, 62, MOLTREM</v>
      </c>
      <c r="C171" s="1" t="str">
        <f aca="false" t="array" ref="C171:C171">IF(B170="NEW ROUTE",textsplit(B171,","),"")</f>
        <v/>
      </c>
      <c r="H171" s="1" t="str">
        <f aca="false">IF(C171&lt;&gt;"",DEC2HEX(C171,2),"")</f>
        <v/>
      </c>
      <c r="I171" s="1" t="str">
        <f aca="false">IF(D171&lt;&gt;"",DEC2HEX(D171,2),"")</f>
        <v/>
      </c>
      <c r="J171" s="1" t="str">
        <f aca="false">IF(H171&lt;&gt;"","0x"&amp;I171&amp;H171,"")</f>
        <v/>
      </c>
      <c r="L171" s="1" t="s">
        <v>2884</v>
      </c>
      <c r="M171" s="1" t="str">
        <f aca="false">IF(J171&lt;&gt;"",J171,L171)</f>
        <v>60, 62, MOLTREM</v>
      </c>
    </row>
    <row r="172" customFormat="false" ht="12.75" hidden="false" customHeight="true" outlineLevel="0" collapsed="false">
      <c r="A172" s="3" t="s">
        <v>2885</v>
      </c>
      <c r="B172" s="3" t="str">
        <f aca="false">IF(ISNUMBER(SEARCH("%", A172)),RIGHT(A172,3),A172)</f>
        <v>60, 62, CLAYMOR , &lt;null&gt;, &lt;null&gt;, &lt;null&gt;</v>
      </c>
      <c r="C172" s="1" t="str">
        <f aca="false" t="array" ref="C172:C172">IF(B171="NEW ROUTE",textsplit(B172,","),"")</f>
        <v/>
      </c>
      <c r="H172" s="1" t="str">
        <f aca="false">IF(C172&lt;&gt;"",DEC2HEX(C172,2),"")</f>
        <v/>
      </c>
      <c r="I172" s="1" t="str">
        <f aca="false">IF(D172&lt;&gt;"",DEC2HEX(D172,2),"")</f>
        <v/>
      </c>
      <c r="J172" s="1" t="str">
        <f aca="false">IF(H172&lt;&gt;"","0x"&amp;I172&amp;H172,"")</f>
        <v/>
      </c>
      <c r="L172" s="1" t="s">
        <v>2885</v>
      </c>
      <c r="M172" s="1" t="str">
        <f aca="false">IF(J172&lt;&gt;"",J172,L172)</f>
        <v>60, 62, CLAYMOR , &lt;null&gt;, &lt;null&gt;, &lt;null&gt;</v>
      </c>
    </row>
    <row r="173" customFormat="false" ht="12.75" hidden="false" customHeight="true" outlineLevel="0" collapsed="false">
      <c r="A173" s="3" t="s">
        <v>2536</v>
      </c>
      <c r="B173" s="3" t="str">
        <f aca="false">IF(ISNUMBER(SEARCH("%", A173)),RIGHT(A173,3),A173)</f>
        <v>NEW ROUTE</v>
      </c>
      <c r="C173" s="1" t="str">
        <f aca="false" t="array" ref="C173:C173">IF(B172="NEW ROUTE",textsplit(B173,","),"")</f>
        <v/>
      </c>
      <c r="H173" s="1" t="str">
        <f aca="false">IF(C173&lt;&gt;"",DEC2HEX(C173,2),"")</f>
        <v/>
      </c>
      <c r="I173" s="1" t="str">
        <f aca="false">IF(D173&lt;&gt;"",DEC2HEX(D173,2),"")</f>
        <v/>
      </c>
      <c r="J173" s="1" t="str">
        <f aca="false">IF(H173&lt;&gt;"","0x"&amp;I173&amp;H173,"")</f>
        <v/>
      </c>
      <c r="L173" s="1" t="s">
        <v>2536</v>
      </c>
      <c r="M173" s="1" t="str">
        <f aca="false">IF(J173&lt;&gt;"",J173,L173)</f>
        <v>NEW ROUTE</v>
      </c>
    </row>
    <row r="174" customFormat="false" ht="12.75" hidden="false" customHeight="true" outlineLevel="0" collapsed="false">
      <c r="A174" s="3" t="s">
        <v>2886</v>
      </c>
      <c r="B174" s="3" t="str">
        <f aca="false">IF(ISNUMBER(SEARCH("%", A174)),RIGHT(A174,3),A174)</f>
        <v>1, 59, 0,</v>
      </c>
      <c r="C174" s="1" t="e">
        <f aca="false" t="array" ref="C174:C174">IF(B173="NEW ROUTE",textsplit(B174,","),"")</f>
        <v>#NAME?</v>
      </c>
      <c r="H174" s="1" t="e">
        <f aca="false">IF(C174&lt;&gt;"",DEC2HEX(C174,2),"")</f>
        <v>#NAME?</v>
      </c>
      <c r="I174" s="1" t="str">
        <f aca="false">IF(D174&lt;&gt;"",DEC2HEX(D174,2),"")</f>
        <v/>
      </c>
      <c r="J174" s="1" t="e">
        <f aca="false">IF(H174&lt;&gt;"","0x"&amp;I174&amp;H174,"")</f>
        <v>#NAME?</v>
      </c>
      <c r="L174" s="1" t="s">
        <v>2886</v>
      </c>
      <c r="M174" s="1" t="e">
        <f aca="false">IF(J174&lt;&gt;"",J174,L174)</f>
        <v>#NAME?</v>
      </c>
    </row>
    <row r="175" customFormat="false" ht="12.75" hidden="false" customHeight="true" outlineLevel="0" collapsed="false">
      <c r="A175" s="3" t="s">
        <v>2816</v>
      </c>
      <c r="B175" s="3" t="str">
        <f aca="false">IF(ISNUMBER(SEARCH("%", A175)),RIGHT(A175,3),A175)</f>
        <v>20%</v>
      </c>
      <c r="C175" s="1" t="str">
        <f aca="false" t="array" ref="C175:C175">IF(B174="NEW ROUTE",textsplit(B175,","),"")</f>
        <v/>
      </c>
      <c r="H175" s="1" t="str">
        <f aca="false">IF(C175&lt;&gt;"",DEC2HEX(C175,2),"")</f>
        <v/>
      </c>
      <c r="I175" s="1" t="str">
        <f aca="false">IF(D175&lt;&gt;"",DEC2HEX(D175,2),"")</f>
        <v/>
      </c>
      <c r="J175" s="1" t="str">
        <f aca="false">IF(H175&lt;&gt;"","0x"&amp;I175&amp;H175,"")</f>
        <v/>
      </c>
      <c r="L175" s="1" t="s">
        <v>2799</v>
      </c>
      <c r="M175" s="1" t="str">
        <f aca="false">IF(J175&lt;&gt;"",J175,L175)</f>
        <v>20%</v>
      </c>
    </row>
    <row r="176" customFormat="false" ht="12.75" hidden="false" customHeight="true" outlineLevel="0" collapsed="false">
      <c r="A176" s="3" t="s">
        <v>1311</v>
      </c>
      <c r="B176" s="3" t="str">
        <f aca="false">IF(ISNUMBER(SEARCH("%", A176)),RIGHT(A176,3),A176)</f>
        <v>40, 44, RATTCHET</v>
      </c>
      <c r="C176" s="1" t="str">
        <f aca="false" t="array" ref="C176:C176">IF(B175="NEW ROUTE",textsplit(B176,","),"")</f>
        <v/>
      </c>
      <c r="H176" s="1" t="str">
        <f aca="false">IF(C176&lt;&gt;"",DEC2HEX(C176,2),"")</f>
        <v/>
      </c>
      <c r="I176" s="1" t="str">
        <f aca="false">IF(D176&lt;&gt;"",DEC2HEX(D176,2),"")</f>
        <v/>
      </c>
      <c r="J176" s="1" t="str">
        <f aca="false">IF(H176&lt;&gt;"","0x"&amp;I176&amp;H176,"")</f>
        <v/>
      </c>
      <c r="L176" s="1" t="s">
        <v>1311</v>
      </c>
      <c r="M176" s="1" t="str">
        <f aca="false">IF(J176&lt;&gt;"",J176,L176)</f>
        <v>40, 44, RATTCHET</v>
      </c>
    </row>
    <row r="177" customFormat="false" ht="12.75" hidden="false" customHeight="true" outlineLevel="0" collapsed="false">
      <c r="A177" s="3" t="s">
        <v>2887</v>
      </c>
      <c r="B177" s="3" t="str">
        <f aca="false">IF(ISNUMBER(SEARCH("%", A177)),RIGHT(A177,3),A177)</f>
        <v>40, 44, NINETALES</v>
      </c>
      <c r="C177" s="1" t="str">
        <f aca="false" t="array" ref="C177:C177">IF(B176="NEW ROUTE",textsplit(B177,","),"")</f>
        <v/>
      </c>
      <c r="H177" s="1" t="str">
        <f aca="false">IF(C177&lt;&gt;"",DEC2HEX(C177,2),"")</f>
        <v/>
      </c>
      <c r="I177" s="1" t="str">
        <f aca="false">IF(D177&lt;&gt;"",DEC2HEX(D177,2),"")</f>
        <v/>
      </c>
      <c r="J177" s="1" t="str">
        <f aca="false">IF(H177&lt;&gt;"","0x"&amp;I177&amp;H177,"")</f>
        <v/>
      </c>
      <c r="L177" s="1" t="s">
        <v>2887</v>
      </c>
      <c r="M177" s="1" t="str">
        <f aca="false">IF(J177&lt;&gt;"",J177,L177)</f>
        <v>40, 44, NINETALES</v>
      </c>
    </row>
    <row r="178" customFormat="false" ht="12.75" hidden="false" customHeight="true" outlineLevel="0" collapsed="false">
      <c r="A178" s="3" t="s">
        <v>2801</v>
      </c>
      <c r="B178" s="3" t="str">
        <f aca="false">IF(ISNUMBER(SEARCH("%", A178)),RIGHT(A178,3),A178)</f>
        <v>0.1</v>
      </c>
      <c r="C178" s="1" t="str">
        <f aca="false" t="array" ref="C178:C178">IF(B177="NEW ROUTE",textsplit(B178,","),"")</f>
        <v/>
      </c>
      <c r="H178" s="1" t="str">
        <f aca="false">IF(C178&lt;&gt;"",DEC2HEX(C178,2),"")</f>
        <v/>
      </c>
      <c r="I178" s="1" t="str">
        <f aca="false">IF(D178&lt;&gt;"",DEC2HEX(D178,2),"")</f>
        <v/>
      </c>
      <c r="J178" s="1" t="str">
        <f aca="false">IF(H178&lt;&gt;"","0x"&amp;I178&amp;H178,"")</f>
        <v/>
      </c>
      <c r="L178" s="1" t="s">
        <v>2801</v>
      </c>
      <c r="M178" s="1" t="str">
        <f aca="false">IF(J178&lt;&gt;"",J178,L178)</f>
        <v>0.1</v>
      </c>
    </row>
    <row r="179" customFormat="false" ht="12.75" hidden="false" customHeight="true" outlineLevel="0" collapsed="false">
      <c r="A179" s="3" t="s">
        <v>2888</v>
      </c>
      <c r="B179" s="3" t="str">
        <f aca="false">IF(ISNUMBER(SEARCH("%", A179)),RIGHT(A179,3),A179)</f>
        <v>41, 42, ARCANINE</v>
      </c>
      <c r="C179" s="1" t="str">
        <f aca="false" t="array" ref="C179:C179">IF(B178="NEW ROUTE",textsplit(B179,","),"")</f>
        <v/>
      </c>
      <c r="H179" s="1" t="str">
        <f aca="false">IF(C179&lt;&gt;"",DEC2HEX(C179,2),"")</f>
        <v/>
      </c>
      <c r="I179" s="1" t="str">
        <f aca="false">IF(D179&lt;&gt;"",DEC2HEX(D179,2),"")</f>
        <v/>
      </c>
      <c r="J179" s="1" t="str">
        <f aca="false">IF(H179&lt;&gt;"","0x"&amp;I179&amp;H179,"")</f>
        <v/>
      </c>
      <c r="L179" s="1" t="s">
        <v>2888</v>
      </c>
      <c r="M179" s="1" t="str">
        <f aca="false">IF(J179&lt;&gt;"",J179,L179)</f>
        <v>41, 42, ARCANINE</v>
      </c>
    </row>
    <row r="180" customFormat="false" ht="12.75" hidden="false" customHeight="true" outlineLevel="0" collapsed="false">
      <c r="A180" s="3" t="s">
        <v>2889</v>
      </c>
      <c r="B180" s="3" t="str">
        <f aca="false">IF(ISNUMBER(SEARCH("%", A180)),RIGHT(A180,3),A180)</f>
        <v>43, 44, ARCANINE</v>
      </c>
      <c r="C180" s="1" t="str">
        <f aca="false" t="array" ref="C180:C180">IF(B179="NEW ROUTE",textsplit(B180,","),"")</f>
        <v/>
      </c>
      <c r="H180" s="1" t="str">
        <f aca="false">IF(C180&lt;&gt;"",DEC2HEX(C180,2),"")</f>
        <v/>
      </c>
      <c r="I180" s="1" t="str">
        <f aca="false">IF(D180&lt;&gt;"",DEC2HEX(D180,2),"")</f>
        <v/>
      </c>
      <c r="J180" s="1" t="str">
        <f aca="false">IF(H180&lt;&gt;"","0x"&amp;I180&amp;H180,"")</f>
        <v/>
      </c>
      <c r="L180" s="1" t="s">
        <v>2889</v>
      </c>
      <c r="M180" s="1" t="str">
        <f aca="false">IF(J180&lt;&gt;"",J180,L180)</f>
        <v>43, 44, ARCANINE</v>
      </c>
    </row>
    <row r="181" customFormat="false" ht="12.75" hidden="false" customHeight="true" outlineLevel="0" collapsed="false">
      <c r="A181" s="3" t="s">
        <v>2890</v>
      </c>
      <c r="B181" s="3" t="str">
        <f aca="false">IF(ISNUMBER(SEARCH("%", A181)),RIGHT(A181,3),A181)</f>
        <v>42, 44, WEEZING</v>
      </c>
      <c r="C181" s="1" t="str">
        <f aca="false" t="array" ref="C181:C181">IF(B180="NEW ROUTE",textsplit(B181,","),"")</f>
        <v/>
      </c>
      <c r="H181" s="1" t="str">
        <f aca="false">IF(C181&lt;&gt;"",DEC2HEX(C181,2),"")</f>
        <v/>
      </c>
      <c r="I181" s="1" t="str">
        <f aca="false">IF(D181&lt;&gt;"",DEC2HEX(D181,2),"")</f>
        <v/>
      </c>
      <c r="J181" s="1" t="str">
        <f aca="false">IF(H181&lt;&gt;"","0x"&amp;I181&amp;H181,"")</f>
        <v/>
      </c>
      <c r="L181" s="1" t="s">
        <v>2890</v>
      </c>
      <c r="M181" s="1" t="str">
        <f aca="false">IF(J181&lt;&gt;"",J181,L181)</f>
        <v>42, 44, WEEZING</v>
      </c>
    </row>
    <row r="182" customFormat="false" ht="12.75" hidden="false" customHeight="true" outlineLevel="0" collapsed="false">
      <c r="A182" s="3" t="s">
        <v>2891</v>
      </c>
      <c r="B182" s="3" t="str">
        <f aca="false">IF(ISNUMBER(SEARCH("%", A182)),RIGHT(A182,3),A182)</f>
        <v>42, 44, MUK</v>
      </c>
      <c r="C182" s="1" t="str">
        <f aca="false" t="array" ref="C182:C182">IF(B181="NEW ROUTE",textsplit(B182,","),"")</f>
        <v/>
      </c>
      <c r="H182" s="1" t="str">
        <f aca="false">IF(C182&lt;&gt;"",DEC2HEX(C182,2),"")</f>
        <v/>
      </c>
      <c r="I182" s="1" t="str">
        <f aca="false">IF(D182&lt;&gt;"",DEC2HEX(D182,2),"")</f>
        <v/>
      </c>
      <c r="J182" s="1" t="str">
        <f aca="false">IF(H182&lt;&gt;"","0x"&amp;I182&amp;H182,"")</f>
        <v/>
      </c>
      <c r="L182" s="1" t="s">
        <v>2891</v>
      </c>
      <c r="M182" s="1" t="str">
        <f aca="false">IF(J182&lt;&gt;"",J182,L182)</f>
        <v>42, 44, MUK</v>
      </c>
    </row>
    <row r="183" customFormat="false" ht="12.75" hidden="false" customHeight="true" outlineLevel="0" collapsed="false">
      <c r="A183" s="3" t="s">
        <v>2806</v>
      </c>
      <c r="B183" s="3" t="str">
        <f aca="false">IF(ISNUMBER(SEARCH("%", A183)),RIGHT(A183,3),A183)</f>
        <v>0.05</v>
      </c>
      <c r="C183" s="1" t="str">
        <f aca="false" t="array" ref="C183:C183">IF(B182="NEW ROUTE",textsplit(B183,","),"")</f>
        <v/>
      </c>
      <c r="H183" s="1" t="str">
        <f aca="false">IF(C183&lt;&gt;"",DEC2HEX(C183,2),"")</f>
        <v/>
      </c>
      <c r="I183" s="1" t="str">
        <f aca="false">IF(D183&lt;&gt;"",DEC2HEX(D183,2),"")</f>
        <v/>
      </c>
      <c r="J183" s="1" t="str">
        <f aca="false">IF(H183&lt;&gt;"","0x"&amp;I183&amp;H183,"")</f>
        <v/>
      </c>
      <c r="L183" s="1" t="s">
        <v>2806</v>
      </c>
      <c r="M183" s="1" t="str">
        <f aca="false">IF(J183&lt;&gt;"",J183,L183)</f>
        <v>0.05</v>
      </c>
    </row>
    <row r="184" customFormat="false" ht="12.75" hidden="false" customHeight="true" outlineLevel="0" collapsed="false">
      <c r="A184" s="3" t="s">
        <v>2892</v>
      </c>
      <c r="B184" s="3" t="str">
        <f aca="false">IF(ISNUMBER(SEARCH("%", A184)),RIGHT(A184,3),A184)</f>
        <v>43, 45, SINGESHA</v>
      </c>
      <c r="C184" s="1" t="str">
        <f aca="false" t="array" ref="C184:C184">IF(B183="NEW ROUTE",textsplit(B184,","),"")</f>
        <v/>
      </c>
      <c r="H184" s="1" t="str">
        <f aca="false">IF(C184&lt;&gt;"",DEC2HEX(C184,2),"")</f>
        <v/>
      </c>
      <c r="I184" s="1" t="str">
        <f aca="false">IF(D184&lt;&gt;"",DEC2HEX(D184,2),"")</f>
        <v/>
      </c>
      <c r="J184" s="1" t="str">
        <f aca="false">IF(H184&lt;&gt;"","0x"&amp;I184&amp;H184,"")</f>
        <v/>
      </c>
      <c r="L184" s="1" t="s">
        <v>2892</v>
      </c>
      <c r="M184" s="1" t="str">
        <f aca="false">IF(J184&lt;&gt;"",J184,L184)</f>
        <v>43, 45, SINGESHA</v>
      </c>
    </row>
    <row r="185" customFormat="false" ht="12.75" hidden="false" customHeight="true" outlineLevel="0" collapsed="false">
      <c r="A185" s="3" t="s">
        <v>2893</v>
      </c>
      <c r="B185" s="3" t="str">
        <f aca="false">IF(ISNUMBER(SEARCH("%", A185)),RIGHT(A185,3),A185)</f>
        <v>43, 45, SPIRITALES</v>
      </c>
      <c r="C185" s="1" t="str">
        <f aca="false" t="array" ref="C185:C185">IF(B184="NEW ROUTE",textsplit(B185,","),"")</f>
        <v/>
      </c>
      <c r="H185" s="1" t="str">
        <f aca="false">IF(C185&lt;&gt;"",DEC2HEX(C185,2),"")</f>
        <v/>
      </c>
      <c r="I185" s="1" t="str">
        <f aca="false">IF(D185&lt;&gt;"",DEC2HEX(D185,2),"")</f>
        <v/>
      </c>
      <c r="J185" s="1" t="str">
        <f aca="false">IF(H185&lt;&gt;"","0x"&amp;I185&amp;H185,"")</f>
        <v/>
      </c>
      <c r="L185" s="1" t="s">
        <v>2893</v>
      </c>
      <c r="M185" s="1" t="str">
        <f aca="false">IF(J185&lt;&gt;"",J185,L185)</f>
        <v>43, 45, SPIRITALES</v>
      </c>
    </row>
    <row r="186" customFormat="false" ht="12.75" hidden="false" customHeight="true" outlineLevel="0" collapsed="false">
      <c r="A186" s="3" t="s">
        <v>2809</v>
      </c>
      <c r="B186" s="3" t="str">
        <f aca="false">IF(ISNUMBER(SEARCH("%", A186)),RIGHT(A186,3),A186)</f>
        <v>0.04</v>
      </c>
      <c r="C186" s="1" t="str">
        <f aca="false" t="array" ref="C186:C186">IF(B185="NEW ROUTE",textsplit(B186,","),"")</f>
        <v/>
      </c>
      <c r="H186" s="1" t="str">
        <f aca="false">IF(C186&lt;&gt;"",DEC2HEX(C186,2),"")</f>
        <v/>
      </c>
      <c r="I186" s="1" t="str">
        <f aca="false">IF(D186&lt;&gt;"",DEC2HEX(D186,2),"")</f>
        <v/>
      </c>
      <c r="J186" s="1" t="str">
        <f aca="false">IF(H186&lt;&gt;"","0x"&amp;I186&amp;H186,"")</f>
        <v/>
      </c>
      <c r="L186" s="1" t="s">
        <v>2809</v>
      </c>
      <c r="M186" s="1" t="str">
        <f aca="false">IF(J186&lt;&gt;"",J186,L186)</f>
        <v>0.04</v>
      </c>
    </row>
    <row r="187" customFormat="false" ht="12.75" hidden="false" customHeight="true" outlineLevel="0" collapsed="false">
      <c r="A187" s="3" t="s">
        <v>2894</v>
      </c>
      <c r="B187" s="3" t="str">
        <f aca="false">IF(ISNUMBER(SEARCH("%", A187)),RIGHT(A187,3),A187)</f>
        <v>45, 46, GUNK</v>
      </c>
      <c r="C187" s="1" t="str">
        <f aca="false" t="array" ref="C187:C187">IF(B186="NEW ROUTE",textsplit(B187,","),"")</f>
        <v/>
      </c>
      <c r="H187" s="1" t="str">
        <f aca="false">IF(C187&lt;&gt;"",DEC2HEX(C187,2),"")</f>
        <v/>
      </c>
      <c r="I187" s="1" t="str">
        <f aca="false">IF(D187&lt;&gt;"",DEC2HEX(D187,2),"")</f>
        <v/>
      </c>
      <c r="J187" s="1" t="str">
        <f aca="false">IF(H187&lt;&gt;"","0x"&amp;I187&amp;H187,"")</f>
        <v/>
      </c>
      <c r="L187" s="1" t="s">
        <v>2894</v>
      </c>
      <c r="M187" s="1" t="str">
        <f aca="false">IF(J187&lt;&gt;"",J187,L187)</f>
        <v>45, 46, GUNK</v>
      </c>
    </row>
    <row r="188" customFormat="false" ht="12.75" hidden="false" customHeight="true" outlineLevel="0" collapsed="false">
      <c r="A188" s="3" t="s">
        <v>2895</v>
      </c>
      <c r="B188" s="3" t="str">
        <f aca="false">IF(ISNUMBER(SEARCH("%", A188)),RIGHT(A188,3),A188)</f>
        <v>45, 46, HEEVING</v>
      </c>
      <c r="C188" s="1" t="str">
        <f aca="false" t="array" ref="C188:C188">IF(B187="NEW ROUTE",textsplit(B188,","),"")</f>
        <v/>
      </c>
      <c r="H188" s="1" t="str">
        <f aca="false">IF(C188&lt;&gt;"",DEC2HEX(C188,2),"")</f>
        <v/>
      </c>
      <c r="I188" s="1" t="str">
        <f aca="false">IF(D188&lt;&gt;"",DEC2HEX(D188,2),"")</f>
        <v/>
      </c>
      <c r="J188" s="1" t="str">
        <f aca="false">IF(H188&lt;&gt;"","0x"&amp;I188&amp;H188,"")</f>
        <v/>
      </c>
      <c r="L188" s="1" t="s">
        <v>2895</v>
      </c>
      <c r="M188" s="1" t="str">
        <f aca="false">IF(J188&lt;&gt;"",J188,L188)</f>
        <v>45, 46, HEEVING</v>
      </c>
    </row>
    <row r="189" customFormat="false" ht="12.75" hidden="false" customHeight="true" outlineLevel="0" collapsed="false">
      <c r="A189" s="3" t="s">
        <v>2812</v>
      </c>
      <c r="B189" s="3" t="str">
        <f aca="false">IF(ISNUMBER(SEARCH("%", A189)),RIGHT(A189,3),A189)</f>
        <v>0.01</v>
      </c>
      <c r="C189" s="1" t="str">
        <f aca="false" t="array" ref="C189:C189">IF(B188="NEW ROUTE",textsplit(B189,","),"")</f>
        <v/>
      </c>
      <c r="H189" s="1" t="str">
        <f aca="false">IF(C189&lt;&gt;"",DEC2HEX(C189,2),"")</f>
        <v/>
      </c>
      <c r="I189" s="1" t="str">
        <f aca="false">IF(D189&lt;&gt;"",DEC2HEX(D189,2),"")</f>
        <v/>
      </c>
      <c r="J189" s="1" t="str">
        <f aca="false">IF(H189&lt;&gt;"","0x"&amp;I189&amp;H189,"")</f>
        <v/>
      </c>
      <c r="L189" s="1" t="s">
        <v>2812</v>
      </c>
      <c r="M189" s="1" t="str">
        <f aca="false">IF(J189&lt;&gt;"",J189,L189)</f>
        <v>0.01</v>
      </c>
    </row>
    <row r="190" customFormat="false" ht="12.75" hidden="false" customHeight="true" outlineLevel="0" collapsed="false">
      <c r="A190" s="3" t="s">
        <v>2896</v>
      </c>
      <c r="B190" s="3" t="str">
        <f aca="false">IF(ISNUMBER(SEARCH("%", A190)),RIGHT(A190,3),A190)</f>
        <v>44, 47, RATTARULE</v>
      </c>
      <c r="C190" s="1" t="str">
        <f aca="false" t="array" ref="C190:C190">IF(B189="NEW ROUTE",textsplit(B190,","),"")</f>
        <v/>
      </c>
      <c r="H190" s="1" t="str">
        <f aca="false">IF(C190&lt;&gt;"",DEC2HEX(C190,2),"")</f>
        <v/>
      </c>
      <c r="I190" s="1" t="str">
        <f aca="false">IF(D190&lt;&gt;"",DEC2HEX(D190,2),"")</f>
        <v/>
      </c>
      <c r="J190" s="1" t="str">
        <f aca="false">IF(H190&lt;&gt;"","0x"&amp;I190&amp;H190,"")</f>
        <v/>
      </c>
      <c r="L190" s="1" t="s">
        <v>2896</v>
      </c>
      <c r="M190" s="1" t="str">
        <f aca="false">IF(J190&lt;&gt;"",J190,L190)</f>
        <v>44, 47, RATTARULE</v>
      </c>
    </row>
    <row r="191" customFormat="false" ht="12.75" hidden="false" customHeight="true" outlineLevel="0" collapsed="false">
      <c r="A191" s="3" t="s">
        <v>2897</v>
      </c>
      <c r="B191" s="3" t="str">
        <f aca="false">IF(ISNUMBER(SEARCH("%", A191)),RIGHT(A191,3),A191)</f>
        <v>20, 25, CHARMANDER , &lt;null&gt;, &lt;null&gt;, &lt;null&gt;</v>
      </c>
      <c r="C191" s="1" t="str">
        <f aca="false" t="array" ref="C191:C191">IF(B190="NEW ROUTE",textsplit(B191,","),"")</f>
        <v/>
      </c>
      <c r="H191" s="1" t="str">
        <f aca="false">IF(C191&lt;&gt;"",DEC2HEX(C191,2),"")</f>
        <v/>
      </c>
      <c r="I191" s="1" t="str">
        <f aca="false">IF(D191&lt;&gt;"",DEC2HEX(D191,2),"")</f>
        <v/>
      </c>
      <c r="J191" s="1" t="str">
        <f aca="false">IF(H191&lt;&gt;"","0x"&amp;I191&amp;H191,"")</f>
        <v/>
      </c>
      <c r="L191" s="1" t="s">
        <v>2897</v>
      </c>
      <c r="M191" s="1" t="str">
        <f aca="false">IF(J191&lt;&gt;"",J191,L191)</f>
        <v>20, 25, CHARMANDER , &lt;null&gt;, &lt;null&gt;, &lt;null&gt;</v>
      </c>
    </row>
    <row r="192" customFormat="false" ht="12.75" hidden="false" customHeight="true" outlineLevel="0" collapsed="false">
      <c r="A192" s="3" t="s">
        <v>2536</v>
      </c>
      <c r="B192" s="3" t="str">
        <f aca="false">IF(ISNUMBER(SEARCH("%", A192)),RIGHT(A192,3),A192)</f>
        <v>NEW ROUTE</v>
      </c>
      <c r="C192" s="1" t="str">
        <f aca="false" t="array" ref="C192:C192">IF(B191="NEW ROUTE",textsplit(B192,","),"")</f>
        <v/>
      </c>
      <c r="H192" s="1" t="str">
        <f aca="false">IF(C192&lt;&gt;"",DEC2HEX(C192,2),"")</f>
        <v/>
      </c>
      <c r="I192" s="1" t="str">
        <f aca="false">IF(D192&lt;&gt;"",DEC2HEX(D192,2),"")</f>
        <v/>
      </c>
      <c r="J192" s="1" t="str">
        <f aca="false">IF(H192&lt;&gt;"","0x"&amp;I192&amp;H192,"")</f>
        <v/>
      </c>
      <c r="L192" s="1" t="s">
        <v>2536</v>
      </c>
      <c r="M192" s="1" t="str">
        <f aca="false">IF(J192&lt;&gt;"",J192,L192)</f>
        <v>NEW ROUTE</v>
      </c>
    </row>
    <row r="193" customFormat="false" ht="12.75" hidden="false" customHeight="true" outlineLevel="0" collapsed="false">
      <c r="A193" s="3" t="s">
        <v>2898</v>
      </c>
      <c r="B193" s="3" t="str">
        <f aca="false">IF(ISNUMBER(SEARCH("%", A193)),RIGHT(A193,3),A193)</f>
        <v>1, 60, 0,</v>
      </c>
      <c r="C193" s="1" t="e">
        <f aca="false" t="array" ref="C193:C193">IF(B192="NEW ROUTE",textsplit(B193,","),"")</f>
        <v>#NAME?</v>
      </c>
      <c r="H193" s="1" t="e">
        <f aca="false">IF(C193&lt;&gt;"",DEC2HEX(C193,2),"")</f>
        <v>#NAME?</v>
      </c>
      <c r="I193" s="1" t="str">
        <f aca="false">IF(D193&lt;&gt;"",DEC2HEX(D193,2),"")</f>
        <v/>
      </c>
      <c r="J193" s="1" t="e">
        <f aca="false">IF(H193&lt;&gt;"","0x"&amp;I193&amp;H193,"")</f>
        <v>#NAME?</v>
      </c>
      <c r="L193" s="1" t="s">
        <v>2898</v>
      </c>
      <c r="M193" s="1" t="e">
        <f aca="false">IF(J193&lt;&gt;"",J193,L193)</f>
        <v>#NAME?</v>
      </c>
    </row>
    <row r="194" customFormat="false" ht="12.75" hidden="false" customHeight="true" outlineLevel="0" collapsed="false">
      <c r="A194" s="3" t="s">
        <v>2816</v>
      </c>
      <c r="B194" s="3" t="str">
        <f aca="false">IF(ISNUMBER(SEARCH("%", A194)),RIGHT(A194,3),A194)</f>
        <v>20%</v>
      </c>
      <c r="C194" s="1" t="str">
        <f aca="false" t="array" ref="C194:C194">IF(B193="NEW ROUTE",textsplit(B194,","),"")</f>
        <v/>
      </c>
      <c r="H194" s="1" t="str">
        <f aca="false">IF(C194&lt;&gt;"",DEC2HEX(C194,2),"")</f>
        <v/>
      </c>
      <c r="I194" s="1" t="str">
        <f aca="false">IF(D194&lt;&gt;"",DEC2HEX(D194,2),"")</f>
        <v/>
      </c>
      <c r="J194" s="1" t="str">
        <f aca="false">IF(H194&lt;&gt;"","0x"&amp;I194&amp;H194,"")</f>
        <v/>
      </c>
      <c r="L194" s="1" t="s">
        <v>2799</v>
      </c>
      <c r="M194" s="1" t="str">
        <f aca="false">IF(J194&lt;&gt;"",J194,L194)</f>
        <v>20%</v>
      </c>
    </row>
    <row r="195" customFormat="false" ht="12.75" hidden="false" customHeight="true" outlineLevel="0" collapsed="false">
      <c r="A195" s="3" t="s">
        <v>1311</v>
      </c>
      <c r="B195" s="3" t="str">
        <f aca="false">IF(ISNUMBER(SEARCH("%", A195)),RIGHT(A195,3),A195)</f>
        <v>40, 44, RATTCHET</v>
      </c>
      <c r="C195" s="1" t="str">
        <f aca="false" t="array" ref="C195:C195">IF(B194="NEW ROUTE",textsplit(B195,","),"")</f>
        <v/>
      </c>
      <c r="H195" s="1" t="str">
        <f aca="false">IF(C195&lt;&gt;"",DEC2HEX(C195,2),"")</f>
        <v/>
      </c>
      <c r="I195" s="1" t="str">
        <f aca="false">IF(D195&lt;&gt;"",DEC2HEX(D195,2),"")</f>
        <v/>
      </c>
      <c r="J195" s="1" t="str">
        <f aca="false">IF(H195&lt;&gt;"","0x"&amp;I195&amp;H195,"")</f>
        <v/>
      </c>
      <c r="L195" s="1" t="s">
        <v>1311</v>
      </c>
      <c r="M195" s="1" t="str">
        <f aca="false">IF(J195&lt;&gt;"",J195,L195)</f>
        <v>40, 44, RATTCHET</v>
      </c>
    </row>
    <row r="196" customFormat="false" ht="12.75" hidden="false" customHeight="true" outlineLevel="0" collapsed="false">
      <c r="A196" s="3" t="s">
        <v>2887</v>
      </c>
      <c r="B196" s="3" t="str">
        <f aca="false">IF(ISNUMBER(SEARCH("%", A196)),RIGHT(A196,3),A196)</f>
        <v>40, 44, NINETALES</v>
      </c>
      <c r="C196" s="1" t="str">
        <f aca="false" t="array" ref="C196:C196">IF(B195="NEW ROUTE",textsplit(B196,","),"")</f>
        <v/>
      </c>
      <c r="H196" s="1" t="str">
        <f aca="false">IF(C196&lt;&gt;"",DEC2HEX(C196,2),"")</f>
        <v/>
      </c>
      <c r="I196" s="1" t="str">
        <f aca="false">IF(D196&lt;&gt;"",DEC2HEX(D196,2),"")</f>
        <v/>
      </c>
      <c r="J196" s="1" t="str">
        <f aca="false">IF(H196&lt;&gt;"","0x"&amp;I196&amp;H196,"")</f>
        <v/>
      </c>
      <c r="L196" s="1" t="s">
        <v>2887</v>
      </c>
      <c r="M196" s="1" t="str">
        <f aca="false">IF(J196&lt;&gt;"",J196,L196)</f>
        <v>40, 44, NINETALES</v>
      </c>
    </row>
    <row r="197" customFormat="false" ht="12.75" hidden="false" customHeight="true" outlineLevel="0" collapsed="false">
      <c r="A197" s="3" t="s">
        <v>2801</v>
      </c>
      <c r="B197" s="3" t="str">
        <f aca="false">IF(ISNUMBER(SEARCH("%", A197)),RIGHT(A197,3),A197)</f>
        <v>0.1</v>
      </c>
      <c r="C197" s="1" t="str">
        <f aca="false" t="array" ref="C197:C197">IF(B196="NEW ROUTE",textsplit(B197,","),"")</f>
        <v/>
      </c>
      <c r="H197" s="1" t="str">
        <f aca="false">IF(C197&lt;&gt;"",DEC2HEX(C197,2),"")</f>
        <v/>
      </c>
      <c r="I197" s="1" t="str">
        <f aca="false">IF(D197&lt;&gt;"",DEC2HEX(D197,2),"")</f>
        <v/>
      </c>
      <c r="J197" s="1" t="str">
        <f aca="false">IF(H197&lt;&gt;"","0x"&amp;I197&amp;H197,"")</f>
        <v/>
      </c>
      <c r="L197" s="1" t="s">
        <v>2801</v>
      </c>
      <c r="M197" s="1" t="str">
        <f aca="false">IF(J197&lt;&gt;"",J197,L197)</f>
        <v>0.1</v>
      </c>
    </row>
    <row r="198" customFormat="false" ht="12.75" hidden="false" customHeight="true" outlineLevel="0" collapsed="false">
      <c r="A198" s="3" t="s">
        <v>2888</v>
      </c>
      <c r="B198" s="3" t="str">
        <f aca="false">IF(ISNUMBER(SEARCH("%", A198)),RIGHT(A198,3),A198)</f>
        <v>41, 42, ARCANINE</v>
      </c>
      <c r="C198" s="1" t="str">
        <f aca="false" t="array" ref="C198:C198">IF(B197="NEW ROUTE",textsplit(B198,","),"")</f>
        <v/>
      </c>
      <c r="H198" s="1" t="str">
        <f aca="false">IF(C198&lt;&gt;"",DEC2HEX(C198,2),"")</f>
        <v/>
      </c>
      <c r="I198" s="1" t="str">
        <f aca="false">IF(D198&lt;&gt;"",DEC2HEX(D198,2),"")</f>
        <v/>
      </c>
      <c r="J198" s="1" t="str">
        <f aca="false">IF(H198&lt;&gt;"","0x"&amp;I198&amp;H198,"")</f>
        <v/>
      </c>
      <c r="L198" s="1" t="s">
        <v>2888</v>
      </c>
      <c r="M198" s="1" t="str">
        <f aca="false">IF(J198&lt;&gt;"",J198,L198)</f>
        <v>41, 42, ARCANINE</v>
      </c>
    </row>
    <row r="199" customFormat="false" ht="12.75" hidden="false" customHeight="true" outlineLevel="0" collapsed="false">
      <c r="A199" s="3" t="s">
        <v>2889</v>
      </c>
      <c r="B199" s="3" t="str">
        <f aca="false">IF(ISNUMBER(SEARCH("%", A199)),RIGHT(A199,3),A199)</f>
        <v>43, 44, ARCANINE</v>
      </c>
      <c r="C199" s="1" t="str">
        <f aca="false" t="array" ref="C199:C199">IF(B198="NEW ROUTE",textsplit(B199,","),"")</f>
        <v/>
      </c>
      <c r="H199" s="1" t="str">
        <f aca="false">IF(C199&lt;&gt;"",DEC2HEX(C199,2),"")</f>
        <v/>
      </c>
      <c r="I199" s="1" t="str">
        <f aca="false">IF(D199&lt;&gt;"",DEC2HEX(D199,2),"")</f>
        <v/>
      </c>
      <c r="J199" s="1" t="str">
        <f aca="false">IF(H199&lt;&gt;"","0x"&amp;I199&amp;H199,"")</f>
        <v/>
      </c>
      <c r="L199" s="1" t="s">
        <v>2889</v>
      </c>
      <c r="M199" s="1" t="str">
        <f aca="false">IF(J199&lt;&gt;"",J199,L199)</f>
        <v>43, 44, ARCANINE</v>
      </c>
    </row>
    <row r="200" customFormat="false" ht="12.75" hidden="false" customHeight="true" outlineLevel="0" collapsed="false">
      <c r="A200" s="3" t="s">
        <v>2890</v>
      </c>
      <c r="B200" s="3" t="str">
        <f aca="false">IF(ISNUMBER(SEARCH("%", A200)),RIGHT(A200,3),A200)</f>
        <v>42, 44, WEEZING</v>
      </c>
      <c r="C200" s="1" t="str">
        <f aca="false" t="array" ref="C200:C200">IF(B199="NEW ROUTE",textsplit(B200,","),"")</f>
        <v/>
      </c>
      <c r="H200" s="1" t="str">
        <f aca="false">IF(C200&lt;&gt;"",DEC2HEX(C200,2),"")</f>
        <v/>
      </c>
      <c r="I200" s="1" t="str">
        <f aca="false">IF(D200&lt;&gt;"",DEC2HEX(D200,2),"")</f>
        <v/>
      </c>
      <c r="J200" s="1" t="str">
        <f aca="false">IF(H200&lt;&gt;"","0x"&amp;I200&amp;H200,"")</f>
        <v/>
      </c>
      <c r="L200" s="1" t="s">
        <v>2890</v>
      </c>
      <c r="M200" s="1" t="str">
        <f aca="false">IF(J200&lt;&gt;"",J200,L200)</f>
        <v>42, 44, WEEZING</v>
      </c>
    </row>
    <row r="201" customFormat="false" ht="12.75" hidden="false" customHeight="true" outlineLevel="0" collapsed="false">
      <c r="A201" s="3" t="s">
        <v>2891</v>
      </c>
      <c r="B201" s="3" t="str">
        <f aca="false">IF(ISNUMBER(SEARCH("%", A201)),RIGHT(A201,3),A201)</f>
        <v>42, 44, MUK</v>
      </c>
      <c r="C201" s="1" t="str">
        <f aca="false" t="array" ref="C201:C201">IF(B200="NEW ROUTE",textsplit(B201,","),"")</f>
        <v/>
      </c>
      <c r="H201" s="1" t="str">
        <f aca="false">IF(C201&lt;&gt;"",DEC2HEX(C201,2),"")</f>
        <v/>
      </c>
      <c r="I201" s="1" t="str">
        <f aca="false">IF(D201&lt;&gt;"",DEC2HEX(D201,2),"")</f>
        <v/>
      </c>
      <c r="J201" s="1" t="str">
        <f aca="false">IF(H201&lt;&gt;"","0x"&amp;I201&amp;H201,"")</f>
        <v/>
      </c>
      <c r="L201" s="1" t="s">
        <v>2891</v>
      </c>
      <c r="M201" s="1" t="str">
        <f aca="false">IF(J201&lt;&gt;"",J201,L201)</f>
        <v>42, 44, MUK</v>
      </c>
    </row>
    <row r="202" customFormat="false" ht="12.75" hidden="false" customHeight="true" outlineLevel="0" collapsed="false">
      <c r="A202" s="3" t="s">
        <v>2806</v>
      </c>
      <c r="B202" s="3" t="str">
        <f aca="false">IF(ISNUMBER(SEARCH("%", A202)),RIGHT(A202,3),A202)</f>
        <v>0.05</v>
      </c>
      <c r="C202" s="1" t="str">
        <f aca="false" t="array" ref="C202:C202">IF(B201="NEW ROUTE",textsplit(B202,","),"")</f>
        <v/>
      </c>
      <c r="H202" s="1" t="str">
        <f aca="false">IF(C202&lt;&gt;"",DEC2HEX(C202,2),"")</f>
        <v/>
      </c>
      <c r="I202" s="1" t="str">
        <f aca="false">IF(D202&lt;&gt;"",DEC2HEX(D202,2),"")</f>
        <v/>
      </c>
      <c r="J202" s="1" t="str">
        <f aca="false">IF(H202&lt;&gt;"","0x"&amp;I202&amp;H202,"")</f>
        <v/>
      </c>
      <c r="L202" s="1" t="s">
        <v>2806</v>
      </c>
      <c r="M202" s="1" t="str">
        <f aca="false">IF(J202&lt;&gt;"",J202,L202)</f>
        <v>0.05</v>
      </c>
    </row>
    <row r="203" customFormat="false" ht="12.75" hidden="false" customHeight="true" outlineLevel="0" collapsed="false">
      <c r="A203" s="3" t="s">
        <v>2892</v>
      </c>
      <c r="B203" s="3" t="str">
        <f aca="false">IF(ISNUMBER(SEARCH("%", A203)),RIGHT(A203,3),A203)</f>
        <v>43, 45, SINGESHA</v>
      </c>
      <c r="C203" s="1" t="str">
        <f aca="false" t="array" ref="C203:C203">IF(B202="NEW ROUTE",textsplit(B203,","),"")</f>
        <v/>
      </c>
      <c r="H203" s="1" t="str">
        <f aca="false">IF(C203&lt;&gt;"",DEC2HEX(C203,2),"")</f>
        <v/>
      </c>
      <c r="I203" s="1" t="str">
        <f aca="false">IF(D203&lt;&gt;"",DEC2HEX(D203,2),"")</f>
        <v/>
      </c>
      <c r="J203" s="1" t="str">
        <f aca="false">IF(H203&lt;&gt;"","0x"&amp;I203&amp;H203,"")</f>
        <v/>
      </c>
      <c r="L203" s="1" t="s">
        <v>2892</v>
      </c>
      <c r="M203" s="1" t="str">
        <f aca="false">IF(J203&lt;&gt;"",J203,L203)</f>
        <v>43, 45, SINGESHA</v>
      </c>
    </row>
    <row r="204" customFormat="false" ht="12.75" hidden="false" customHeight="true" outlineLevel="0" collapsed="false">
      <c r="A204" s="3" t="s">
        <v>2893</v>
      </c>
      <c r="B204" s="3" t="str">
        <f aca="false">IF(ISNUMBER(SEARCH("%", A204)),RIGHT(A204,3),A204)</f>
        <v>43, 45, SPIRITALES</v>
      </c>
      <c r="C204" s="1" t="str">
        <f aca="false" t="array" ref="C204:C204">IF(B203="NEW ROUTE",textsplit(B204,","),"")</f>
        <v/>
      </c>
      <c r="H204" s="1" t="str">
        <f aca="false">IF(C204&lt;&gt;"",DEC2HEX(C204,2),"")</f>
        <v/>
      </c>
      <c r="I204" s="1" t="str">
        <f aca="false">IF(D204&lt;&gt;"",DEC2HEX(D204,2),"")</f>
        <v/>
      </c>
      <c r="J204" s="1" t="str">
        <f aca="false">IF(H204&lt;&gt;"","0x"&amp;I204&amp;H204,"")</f>
        <v/>
      </c>
      <c r="L204" s="1" t="s">
        <v>2893</v>
      </c>
      <c r="M204" s="1" t="str">
        <f aca="false">IF(J204&lt;&gt;"",J204,L204)</f>
        <v>43, 45, SPIRITALES</v>
      </c>
    </row>
    <row r="205" customFormat="false" ht="12.75" hidden="false" customHeight="true" outlineLevel="0" collapsed="false">
      <c r="A205" s="3" t="s">
        <v>2809</v>
      </c>
      <c r="B205" s="3" t="str">
        <f aca="false">IF(ISNUMBER(SEARCH("%", A205)),RIGHT(A205,3),A205)</f>
        <v>0.04</v>
      </c>
      <c r="C205" s="1" t="str">
        <f aca="false" t="array" ref="C205:C205">IF(B204="NEW ROUTE",textsplit(B205,","),"")</f>
        <v/>
      </c>
      <c r="H205" s="1" t="str">
        <f aca="false">IF(C205&lt;&gt;"",DEC2HEX(C205,2),"")</f>
        <v/>
      </c>
      <c r="I205" s="1" t="str">
        <f aca="false">IF(D205&lt;&gt;"",DEC2HEX(D205,2),"")</f>
        <v/>
      </c>
      <c r="J205" s="1" t="str">
        <f aca="false">IF(H205&lt;&gt;"","0x"&amp;I205&amp;H205,"")</f>
        <v/>
      </c>
      <c r="L205" s="1" t="s">
        <v>2809</v>
      </c>
      <c r="M205" s="1" t="str">
        <f aca="false">IF(J205&lt;&gt;"",J205,L205)</f>
        <v>0.04</v>
      </c>
    </row>
    <row r="206" customFormat="false" ht="12.75" hidden="false" customHeight="true" outlineLevel="0" collapsed="false">
      <c r="A206" s="3" t="s">
        <v>2894</v>
      </c>
      <c r="B206" s="3" t="str">
        <f aca="false">IF(ISNUMBER(SEARCH("%", A206)),RIGHT(A206,3),A206)</f>
        <v>45, 46, GUNK</v>
      </c>
      <c r="C206" s="1" t="str">
        <f aca="false" t="array" ref="C206:C206">IF(B205="NEW ROUTE",textsplit(B206,","),"")</f>
        <v/>
      </c>
      <c r="H206" s="1" t="str">
        <f aca="false">IF(C206&lt;&gt;"",DEC2HEX(C206,2),"")</f>
        <v/>
      </c>
      <c r="I206" s="1" t="str">
        <f aca="false">IF(D206&lt;&gt;"",DEC2HEX(D206,2),"")</f>
        <v/>
      </c>
      <c r="J206" s="1" t="str">
        <f aca="false">IF(H206&lt;&gt;"","0x"&amp;I206&amp;H206,"")</f>
        <v/>
      </c>
      <c r="L206" s="1" t="s">
        <v>2894</v>
      </c>
      <c r="M206" s="1" t="str">
        <f aca="false">IF(J206&lt;&gt;"",J206,L206)</f>
        <v>45, 46, GUNK</v>
      </c>
    </row>
    <row r="207" customFormat="false" ht="12.75" hidden="false" customHeight="true" outlineLevel="0" collapsed="false">
      <c r="A207" s="3" t="s">
        <v>2895</v>
      </c>
      <c r="B207" s="3" t="str">
        <f aca="false">IF(ISNUMBER(SEARCH("%", A207)),RIGHT(A207,3),A207)</f>
        <v>45, 46, HEEVING</v>
      </c>
      <c r="C207" s="1" t="str">
        <f aca="false" t="array" ref="C207:C207">IF(B206="NEW ROUTE",textsplit(B207,","),"")</f>
        <v/>
      </c>
      <c r="H207" s="1" t="str">
        <f aca="false">IF(C207&lt;&gt;"",DEC2HEX(C207,2),"")</f>
        <v/>
      </c>
      <c r="I207" s="1" t="str">
        <f aca="false">IF(D207&lt;&gt;"",DEC2HEX(D207,2),"")</f>
        <v/>
      </c>
      <c r="J207" s="1" t="str">
        <f aca="false">IF(H207&lt;&gt;"","0x"&amp;I207&amp;H207,"")</f>
        <v/>
      </c>
      <c r="L207" s="1" t="s">
        <v>2895</v>
      </c>
      <c r="M207" s="1" t="str">
        <f aca="false">IF(J207&lt;&gt;"",J207,L207)</f>
        <v>45, 46, HEEVING</v>
      </c>
    </row>
    <row r="208" customFormat="false" ht="12.75" hidden="false" customHeight="true" outlineLevel="0" collapsed="false">
      <c r="A208" s="3" t="s">
        <v>2812</v>
      </c>
      <c r="B208" s="3" t="str">
        <f aca="false">IF(ISNUMBER(SEARCH("%", A208)),RIGHT(A208,3),A208)</f>
        <v>0.01</v>
      </c>
      <c r="C208" s="1" t="str">
        <f aca="false" t="array" ref="C208:C208">IF(B207="NEW ROUTE",textsplit(B208,","),"")</f>
        <v/>
      </c>
      <c r="H208" s="1" t="str">
        <f aca="false">IF(C208&lt;&gt;"",DEC2HEX(C208,2),"")</f>
        <v/>
      </c>
      <c r="I208" s="1" t="str">
        <f aca="false">IF(D208&lt;&gt;"",DEC2HEX(D208,2),"")</f>
        <v/>
      </c>
      <c r="J208" s="1" t="str">
        <f aca="false">IF(H208&lt;&gt;"","0x"&amp;I208&amp;H208,"")</f>
        <v/>
      </c>
      <c r="L208" s="1" t="s">
        <v>2812</v>
      </c>
      <c r="M208" s="1" t="str">
        <f aca="false">IF(J208&lt;&gt;"",J208,L208)</f>
        <v>0.01</v>
      </c>
    </row>
    <row r="209" customFormat="false" ht="12.75" hidden="false" customHeight="true" outlineLevel="0" collapsed="false">
      <c r="A209" s="3" t="s">
        <v>2896</v>
      </c>
      <c r="B209" s="3" t="str">
        <f aca="false">IF(ISNUMBER(SEARCH("%", A209)),RIGHT(A209,3),A209)</f>
        <v>44, 47, RATTARULE</v>
      </c>
      <c r="C209" s="1" t="str">
        <f aca="false" t="array" ref="C209:C209">IF(B208="NEW ROUTE",textsplit(B209,","),"")</f>
        <v/>
      </c>
      <c r="H209" s="1" t="str">
        <f aca="false">IF(C209&lt;&gt;"",DEC2HEX(C209,2),"")</f>
        <v/>
      </c>
      <c r="I209" s="1" t="str">
        <f aca="false">IF(D209&lt;&gt;"",DEC2HEX(D209,2),"")</f>
        <v/>
      </c>
      <c r="J209" s="1" t="str">
        <f aca="false">IF(H209&lt;&gt;"","0x"&amp;I209&amp;H209,"")</f>
        <v/>
      </c>
      <c r="L209" s="1" t="s">
        <v>2896</v>
      </c>
      <c r="M209" s="1" t="str">
        <f aca="false">IF(J209&lt;&gt;"",J209,L209)</f>
        <v>44, 47, RATTARULE</v>
      </c>
    </row>
    <row r="210" customFormat="false" ht="12.75" hidden="false" customHeight="true" outlineLevel="0" collapsed="false">
      <c r="A210" s="3" t="s">
        <v>2897</v>
      </c>
      <c r="B210" s="3" t="str">
        <f aca="false">IF(ISNUMBER(SEARCH("%", A210)),RIGHT(A210,3),A210)</f>
        <v>20, 25, CHARMANDER , &lt;null&gt;, &lt;null&gt;, &lt;null&gt;</v>
      </c>
      <c r="C210" s="1" t="str">
        <f aca="false" t="array" ref="C210:C210">IF(B209="NEW ROUTE",textsplit(B210,","),"")</f>
        <v/>
      </c>
      <c r="H210" s="1" t="str">
        <f aca="false">IF(C210&lt;&gt;"",DEC2HEX(C210,2),"")</f>
        <v/>
      </c>
      <c r="I210" s="1" t="str">
        <f aca="false">IF(D210&lt;&gt;"",DEC2HEX(D210,2),"")</f>
        <v/>
      </c>
      <c r="J210" s="1" t="str">
        <f aca="false">IF(H210&lt;&gt;"","0x"&amp;I210&amp;H210,"")</f>
        <v/>
      </c>
      <c r="L210" s="1" t="s">
        <v>2897</v>
      </c>
      <c r="M210" s="1" t="str">
        <f aca="false">IF(J210&lt;&gt;"",J210,L210)</f>
        <v>20, 25, CHARMANDER , &lt;null&gt;, &lt;null&gt;, &lt;null&gt;</v>
      </c>
    </row>
    <row r="211" customFormat="false" ht="12.75" hidden="false" customHeight="true" outlineLevel="0" collapsed="false">
      <c r="A211" s="3" t="s">
        <v>2536</v>
      </c>
      <c r="B211" s="3" t="str">
        <f aca="false">IF(ISNUMBER(SEARCH("%", A211)),RIGHT(A211,3),A211)</f>
        <v>NEW ROUTE</v>
      </c>
      <c r="C211" s="1" t="str">
        <f aca="false" t="array" ref="C211:C211">IF(B210="NEW ROUTE",textsplit(B211,","),"")</f>
        <v/>
      </c>
      <c r="H211" s="1" t="str">
        <f aca="false">IF(C211&lt;&gt;"",DEC2HEX(C211,2),"")</f>
        <v/>
      </c>
      <c r="I211" s="1" t="str">
        <f aca="false">IF(D211&lt;&gt;"",DEC2HEX(D211,2),"")</f>
        <v/>
      </c>
      <c r="J211" s="1" t="str">
        <f aca="false">IF(H211&lt;&gt;"","0x"&amp;I211&amp;H211,"")</f>
        <v/>
      </c>
      <c r="L211" s="1" t="s">
        <v>2536</v>
      </c>
      <c r="M211" s="1" t="str">
        <f aca="false">IF(J211&lt;&gt;"",J211,L211)</f>
        <v>NEW ROUTE</v>
      </c>
    </row>
    <row r="212" customFormat="false" ht="12.75" hidden="false" customHeight="true" outlineLevel="0" collapsed="false">
      <c r="A212" s="3" t="s">
        <v>2899</v>
      </c>
      <c r="B212" s="3" t="str">
        <f aca="false">IF(ISNUMBER(SEARCH("%", A212)),RIGHT(A212,3),A212)</f>
        <v>1, 61, 0,</v>
      </c>
      <c r="C212" s="1" t="e">
        <f aca="false" t="array" ref="C212:C212">IF(B211="NEW ROUTE",textsplit(B212,","),"")</f>
        <v>#NAME?</v>
      </c>
      <c r="H212" s="1" t="e">
        <f aca="false">IF(C212&lt;&gt;"",DEC2HEX(C212,2),"")</f>
        <v>#NAME?</v>
      </c>
      <c r="I212" s="1" t="str">
        <f aca="false">IF(D212&lt;&gt;"",DEC2HEX(D212,2),"")</f>
        <v/>
      </c>
      <c r="J212" s="1" t="e">
        <f aca="false">IF(H212&lt;&gt;"","0x"&amp;I212&amp;H212,"")</f>
        <v>#NAME?</v>
      </c>
      <c r="L212" s="1" t="s">
        <v>2899</v>
      </c>
      <c r="M212" s="1" t="e">
        <f aca="false">IF(J212&lt;&gt;"",J212,L212)</f>
        <v>#NAME?</v>
      </c>
    </row>
    <row r="213" customFormat="false" ht="12.75" hidden="false" customHeight="true" outlineLevel="0" collapsed="false">
      <c r="A213" s="3" t="s">
        <v>2816</v>
      </c>
      <c r="B213" s="3" t="str">
        <f aca="false">IF(ISNUMBER(SEARCH("%", A213)),RIGHT(A213,3),A213)</f>
        <v>20%</v>
      </c>
      <c r="C213" s="1" t="str">
        <f aca="false" t="array" ref="C213:C213">IF(B212="NEW ROUTE",textsplit(B213,","),"")</f>
        <v/>
      </c>
      <c r="H213" s="1" t="str">
        <f aca="false">IF(C213&lt;&gt;"",DEC2HEX(C213,2),"")</f>
        <v/>
      </c>
      <c r="I213" s="1" t="str">
        <f aca="false">IF(D213&lt;&gt;"",DEC2HEX(D213,2),"")</f>
        <v/>
      </c>
      <c r="J213" s="1" t="str">
        <f aca="false">IF(H213&lt;&gt;"","0x"&amp;I213&amp;H213,"")</f>
        <v/>
      </c>
      <c r="L213" s="1" t="s">
        <v>2799</v>
      </c>
      <c r="M213" s="1" t="str">
        <f aca="false">IF(J213&lt;&gt;"",J213,L213)</f>
        <v>20%</v>
      </c>
    </row>
    <row r="214" customFormat="false" ht="12.75" hidden="false" customHeight="true" outlineLevel="0" collapsed="false">
      <c r="A214" s="3" t="s">
        <v>1311</v>
      </c>
      <c r="B214" s="3" t="str">
        <f aca="false">IF(ISNUMBER(SEARCH("%", A214)),RIGHT(A214,3),A214)</f>
        <v>40, 44, RATTCHET</v>
      </c>
      <c r="C214" s="1" t="str">
        <f aca="false" t="array" ref="C214:C214">IF(B213="NEW ROUTE",textsplit(B214,","),"")</f>
        <v/>
      </c>
      <c r="H214" s="1" t="str">
        <f aca="false">IF(C214&lt;&gt;"",DEC2HEX(C214,2),"")</f>
        <v/>
      </c>
      <c r="I214" s="1" t="str">
        <f aca="false">IF(D214&lt;&gt;"",DEC2HEX(D214,2),"")</f>
        <v/>
      </c>
      <c r="J214" s="1" t="str">
        <f aca="false">IF(H214&lt;&gt;"","0x"&amp;I214&amp;H214,"")</f>
        <v/>
      </c>
      <c r="L214" s="1" t="s">
        <v>1311</v>
      </c>
      <c r="M214" s="1" t="str">
        <f aca="false">IF(J214&lt;&gt;"",J214,L214)</f>
        <v>40, 44, RATTCHET</v>
      </c>
    </row>
    <row r="215" customFormat="false" ht="12.75" hidden="false" customHeight="true" outlineLevel="0" collapsed="false">
      <c r="A215" s="3" t="s">
        <v>2887</v>
      </c>
      <c r="B215" s="3" t="str">
        <f aca="false">IF(ISNUMBER(SEARCH("%", A215)),RIGHT(A215,3),A215)</f>
        <v>40, 44, NINETALES</v>
      </c>
      <c r="C215" s="1" t="str">
        <f aca="false" t="array" ref="C215:C215">IF(B214="NEW ROUTE",textsplit(B215,","),"")</f>
        <v/>
      </c>
      <c r="H215" s="1" t="str">
        <f aca="false">IF(C215&lt;&gt;"",DEC2HEX(C215,2),"")</f>
        <v/>
      </c>
      <c r="I215" s="1" t="str">
        <f aca="false">IF(D215&lt;&gt;"",DEC2HEX(D215,2),"")</f>
        <v/>
      </c>
      <c r="J215" s="1" t="str">
        <f aca="false">IF(H215&lt;&gt;"","0x"&amp;I215&amp;H215,"")</f>
        <v/>
      </c>
      <c r="L215" s="1" t="s">
        <v>2887</v>
      </c>
      <c r="M215" s="1" t="str">
        <f aca="false">IF(J215&lt;&gt;"",J215,L215)</f>
        <v>40, 44, NINETALES</v>
      </c>
    </row>
    <row r="216" customFormat="false" ht="12.75" hidden="false" customHeight="true" outlineLevel="0" collapsed="false">
      <c r="A216" s="3" t="s">
        <v>2801</v>
      </c>
      <c r="B216" s="3" t="str">
        <f aca="false">IF(ISNUMBER(SEARCH("%", A216)),RIGHT(A216,3),A216)</f>
        <v>0.1</v>
      </c>
      <c r="C216" s="1" t="str">
        <f aca="false" t="array" ref="C216:C216">IF(B215="NEW ROUTE",textsplit(B216,","),"")</f>
        <v/>
      </c>
      <c r="H216" s="1" t="str">
        <f aca="false">IF(C216&lt;&gt;"",DEC2HEX(C216,2),"")</f>
        <v/>
      </c>
      <c r="I216" s="1" t="str">
        <f aca="false">IF(D216&lt;&gt;"",DEC2HEX(D216,2),"")</f>
        <v/>
      </c>
      <c r="J216" s="1" t="str">
        <f aca="false">IF(H216&lt;&gt;"","0x"&amp;I216&amp;H216,"")</f>
        <v/>
      </c>
      <c r="L216" s="1" t="s">
        <v>2801</v>
      </c>
      <c r="M216" s="1" t="str">
        <f aca="false">IF(J216&lt;&gt;"",J216,L216)</f>
        <v>0.1</v>
      </c>
    </row>
    <row r="217" customFormat="false" ht="12.75" hidden="false" customHeight="true" outlineLevel="0" collapsed="false">
      <c r="A217" s="3" t="s">
        <v>2888</v>
      </c>
      <c r="B217" s="3" t="str">
        <f aca="false">IF(ISNUMBER(SEARCH("%", A217)),RIGHT(A217,3),A217)</f>
        <v>41, 42, ARCANINE</v>
      </c>
      <c r="C217" s="1" t="str">
        <f aca="false" t="array" ref="C217:C217">IF(B216="NEW ROUTE",textsplit(B217,","),"")</f>
        <v/>
      </c>
      <c r="H217" s="1" t="str">
        <f aca="false">IF(C217&lt;&gt;"",DEC2HEX(C217,2),"")</f>
        <v/>
      </c>
      <c r="I217" s="1" t="str">
        <f aca="false">IF(D217&lt;&gt;"",DEC2HEX(D217,2),"")</f>
        <v/>
      </c>
      <c r="J217" s="1" t="str">
        <f aca="false">IF(H217&lt;&gt;"","0x"&amp;I217&amp;H217,"")</f>
        <v/>
      </c>
      <c r="L217" s="1" t="s">
        <v>2888</v>
      </c>
      <c r="M217" s="1" t="str">
        <f aca="false">IF(J217&lt;&gt;"",J217,L217)</f>
        <v>41, 42, ARCANINE</v>
      </c>
    </row>
    <row r="218" customFormat="false" ht="12.75" hidden="false" customHeight="true" outlineLevel="0" collapsed="false">
      <c r="A218" s="3" t="s">
        <v>2889</v>
      </c>
      <c r="B218" s="3" t="str">
        <f aca="false">IF(ISNUMBER(SEARCH("%", A218)),RIGHT(A218,3),A218)</f>
        <v>43, 44, ARCANINE</v>
      </c>
      <c r="C218" s="1" t="str">
        <f aca="false" t="array" ref="C218:C218">IF(B217="NEW ROUTE",textsplit(B218,","),"")</f>
        <v/>
      </c>
      <c r="H218" s="1" t="str">
        <f aca="false">IF(C218&lt;&gt;"",DEC2HEX(C218,2),"")</f>
        <v/>
      </c>
      <c r="I218" s="1" t="str">
        <f aca="false">IF(D218&lt;&gt;"",DEC2HEX(D218,2),"")</f>
        <v/>
      </c>
      <c r="J218" s="1" t="str">
        <f aca="false">IF(H218&lt;&gt;"","0x"&amp;I218&amp;H218,"")</f>
        <v/>
      </c>
      <c r="L218" s="1" t="s">
        <v>2889</v>
      </c>
      <c r="M218" s="1" t="str">
        <f aca="false">IF(J218&lt;&gt;"",J218,L218)</f>
        <v>43, 44, ARCANINE</v>
      </c>
    </row>
    <row r="219" customFormat="false" ht="12.75" hidden="false" customHeight="true" outlineLevel="0" collapsed="false">
      <c r="A219" s="3" t="s">
        <v>2890</v>
      </c>
      <c r="B219" s="3" t="str">
        <f aca="false">IF(ISNUMBER(SEARCH("%", A219)),RIGHT(A219,3),A219)</f>
        <v>42, 44, WEEZING</v>
      </c>
      <c r="C219" s="1" t="str">
        <f aca="false" t="array" ref="C219:C219">IF(B218="NEW ROUTE",textsplit(B219,","),"")</f>
        <v/>
      </c>
      <c r="H219" s="1" t="str">
        <f aca="false">IF(C219&lt;&gt;"",DEC2HEX(C219,2),"")</f>
        <v/>
      </c>
      <c r="I219" s="1" t="str">
        <f aca="false">IF(D219&lt;&gt;"",DEC2HEX(D219,2),"")</f>
        <v/>
      </c>
      <c r="J219" s="1" t="str">
        <f aca="false">IF(H219&lt;&gt;"","0x"&amp;I219&amp;H219,"")</f>
        <v/>
      </c>
      <c r="L219" s="1" t="s">
        <v>2890</v>
      </c>
      <c r="M219" s="1" t="str">
        <f aca="false">IF(J219&lt;&gt;"",J219,L219)</f>
        <v>42, 44, WEEZING</v>
      </c>
    </row>
    <row r="220" customFormat="false" ht="12.75" hidden="false" customHeight="true" outlineLevel="0" collapsed="false">
      <c r="A220" s="3" t="s">
        <v>2891</v>
      </c>
      <c r="B220" s="3" t="str">
        <f aca="false">IF(ISNUMBER(SEARCH("%", A220)),RIGHT(A220,3),A220)</f>
        <v>42, 44, MUK</v>
      </c>
      <c r="C220" s="1" t="str">
        <f aca="false" t="array" ref="C220:C220">IF(B219="NEW ROUTE",textsplit(B220,","),"")</f>
        <v/>
      </c>
      <c r="H220" s="1" t="str">
        <f aca="false">IF(C220&lt;&gt;"",DEC2HEX(C220,2),"")</f>
        <v/>
      </c>
      <c r="I220" s="1" t="str">
        <f aca="false">IF(D220&lt;&gt;"",DEC2HEX(D220,2),"")</f>
        <v/>
      </c>
      <c r="J220" s="1" t="str">
        <f aca="false">IF(H220&lt;&gt;"","0x"&amp;I220&amp;H220,"")</f>
        <v/>
      </c>
      <c r="L220" s="1" t="s">
        <v>2891</v>
      </c>
      <c r="M220" s="1" t="str">
        <f aca="false">IF(J220&lt;&gt;"",J220,L220)</f>
        <v>42, 44, MUK</v>
      </c>
    </row>
    <row r="221" customFormat="false" ht="12.75" hidden="false" customHeight="true" outlineLevel="0" collapsed="false">
      <c r="A221" s="3" t="s">
        <v>2806</v>
      </c>
      <c r="B221" s="3" t="str">
        <f aca="false">IF(ISNUMBER(SEARCH("%", A221)),RIGHT(A221,3),A221)</f>
        <v>0.05</v>
      </c>
      <c r="C221" s="1" t="str">
        <f aca="false" t="array" ref="C221:C221">IF(B220="NEW ROUTE",textsplit(B221,","),"")</f>
        <v/>
      </c>
      <c r="H221" s="1" t="str">
        <f aca="false">IF(C221&lt;&gt;"",DEC2HEX(C221,2),"")</f>
        <v/>
      </c>
      <c r="I221" s="1" t="str">
        <f aca="false">IF(D221&lt;&gt;"",DEC2HEX(D221,2),"")</f>
        <v/>
      </c>
      <c r="J221" s="1" t="str">
        <f aca="false">IF(H221&lt;&gt;"","0x"&amp;I221&amp;H221,"")</f>
        <v/>
      </c>
      <c r="L221" s="1" t="s">
        <v>2806</v>
      </c>
      <c r="M221" s="1" t="str">
        <f aca="false">IF(J221&lt;&gt;"",J221,L221)</f>
        <v>0.05</v>
      </c>
    </row>
    <row r="222" customFormat="false" ht="12.75" hidden="false" customHeight="true" outlineLevel="0" collapsed="false">
      <c r="A222" s="3" t="s">
        <v>2892</v>
      </c>
      <c r="B222" s="3" t="str">
        <f aca="false">IF(ISNUMBER(SEARCH("%", A222)),RIGHT(A222,3),A222)</f>
        <v>43, 45, SINGESHA</v>
      </c>
      <c r="C222" s="1" t="str">
        <f aca="false" t="array" ref="C222:C222">IF(B221="NEW ROUTE",textsplit(B222,","),"")</f>
        <v/>
      </c>
      <c r="H222" s="1" t="str">
        <f aca="false">IF(C222&lt;&gt;"",DEC2HEX(C222,2),"")</f>
        <v/>
      </c>
      <c r="I222" s="1" t="str">
        <f aca="false">IF(D222&lt;&gt;"",DEC2HEX(D222,2),"")</f>
        <v/>
      </c>
      <c r="J222" s="1" t="str">
        <f aca="false">IF(H222&lt;&gt;"","0x"&amp;I222&amp;H222,"")</f>
        <v/>
      </c>
      <c r="L222" s="1" t="s">
        <v>2892</v>
      </c>
      <c r="M222" s="1" t="str">
        <f aca="false">IF(J222&lt;&gt;"",J222,L222)</f>
        <v>43, 45, SINGESHA</v>
      </c>
    </row>
    <row r="223" customFormat="false" ht="12.75" hidden="false" customHeight="true" outlineLevel="0" collapsed="false">
      <c r="A223" s="3" t="s">
        <v>2893</v>
      </c>
      <c r="B223" s="3" t="str">
        <f aca="false">IF(ISNUMBER(SEARCH("%", A223)),RIGHT(A223,3),A223)</f>
        <v>43, 45, SPIRITALES</v>
      </c>
      <c r="C223" s="1" t="str">
        <f aca="false" t="array" ref="C223:C223">IF(B222="NEW ROUTE",textsplit(B223,","),"")</f>
        <v/>
      </c>
      <c r="H223" s="1" t="str">
        <f aca="false">IF(C223&lt;&gt;"",DEC2HEX(C223,2),"")</f>
        <v/>
      </c>
      <c r="I223" s="1" t="str">
        <f aca="false">IF(D223&lt;&gt;"",DEC2HEX(D223,2),"")</f>
        <v/>
      </c>
      <c r="J223" s="1" t="str">
        <f aca="false">IF(H223&lt;&gt;"","0x"&amp;I223&amp;H223,"")</f>
        <v/>
      </c>
      <c r="L223" s="1" t="s">
        <v>2893</v>
      </c>
      <c r="M223" s="1" t="str">
        <f aca="false">IF(J223&lt;&gt;"",J223,L223)</f>
        <v>43, 45, SPIRITALES</v>
      </c>
    </row>
    <row r="224" customFormat="false" ht="12.75" hidden="false" customHeight="true" outlineLevel="0" collapsed="false">
      <c r="A224" s="3" t="s">
        <v>2809</v>
      </c>
      <c r="B224" s="3" t="str">
        <f aca="false">IF(ISNUMBER(SEARCH("%", A224)),RIGHT(A224,3),A224)</f>
        <v>0.04</v>
      </c>
      <c r="C224" s="1" t="str">
        <f aca="false" t="array" ref="C224:C224">IF(B223="NEW ROUTE",textsplit(B224,","),"")</f>
        <v/>
      </c>
      <c r="H224" s="1" t="str">
        <f aca="false">IF(C224&lt;&gt;"",DEC2HEX(C224,2),"")</f>
        <v/>
      </c>
      <c r="I224" s="1" t="str">
        <f aca="false">IF(D224&lt;&gt;"",DEC2HEX(D224,2),"")</f>
        <v/>
      </c>
      <c r="J224" s="1" t="str">
        <f aca="false">IF(H224&lt;&gt;"","0x"&amp;I224&amp;H224,"")</f>
        <v/>
      </c>
      <c r="L224" s="1" t="s">
        <v>2809</v>
      </c>
      <c r="M224" s="1" t="str">
        <f aca="false">IF(J224&lt;&gt;"",J224,L224)</f>
        <v>0.04</v>
      </c>
    </row>
    <row r="225" customFormat="false" ht="12.75" hidden="false" customHeight="true" outlineLevel="0" collapsed="false">
      <c r="A225" s="3" t="s">
        <v>2894</v>
      </c>
      <c r="B225" s="3" t="str">
        <f aca="false">IF(ISNUMBER(SEARCH("%", A225)),RIGHT(A225,3),A225)</f>
        <v>45, 46, GUNK</v>
      </c>
      <c r="C225" s="1" t="str">
        <f aca="false" t="array" ref="C225:C225">IF(B224="NEW ROUTE",textsplit(B225,","),"")</f>
        <v/>
      </c>
      <c r="H225" s="1" t="str">
        <f aca="false">IF(C225&lt;&gt;"",DEC2HEX(C225,2),"")</f>
        <v/>
      </c>
      <c r="I225" s="1" t="str">
        <f aca="false">IF(D225&lt;&gt;"",DEC2HEX(D225,2),"")</f>
        <v/>
      </c>
      <c r="J225" s="1" t="str">
        <f aca="false">IF(H225&lt;&gt;"","0x"&amp;I225&amp;H225,"")</f>
        <v/>
      </c>
      <c r="L225" s="1" t="s">
        <v>2894</v>
      </c>
      <c r="M225" s="1" t="str">
        <f aca="false">IF(J225&lt;&gt;"",J225,L225)</f>
        <v>45, 46, GUNK</v>
      </c>
    </row>
    <row r="226" customFormat="false" ht="12.75" hidden="false" customHeight="true" outlineLevel="0" collapsed="false">
      <c r="A226" s="3" t="s">
        <v>2895</v>
      </c>
      <c r="B226" s="3" t="str">
        <f aca="false">IF(ISNUMBER(SEARCH("%", A226)),RIGHT(A226,3),A226)</f>
        <v>45, 46, HEEVING</v>
      </c>
      <c r="C226" s="1" t="str">
        <f aca="false" t="array" ref="C226:C226">IF(B225="NEW ROUTE",textsplit(B226,","),"")</f>
        <v/>
      </c>
      <c r="H226" s="1" t="str">
        <f aca="false">IF(C226&lt;&gt;"",DEC2HEX(C226,2),"")</f>
        <v/>
      </c>
      <c r="I226" s="1" t="str">
        <f aca="false">IF(D226&lt;&gt;"",DEC2HEX(D226,2),"")</f>
        <v/>
      </c>
      <c r="J226" s="1" t="str">
        <f aca="false">IF(H226&lt;&gt;"","0x"&amp;I226&amp;H226,"")</f>
        <v/>
      </c>
      <c r="L226" s="1" t="s">
        <v>2895</v>
      </c>
      <c r="M226" s="1" t="str">
        <f aca="false">IF(J226&lt;&gt;"",J226,L226)</f>
        <v>45, 46, HEEVING</v>
      </c>
    </row>
    <row r="227" customFormat="false" ht="12.75" hidden="false" customHeight="true" outlineLevel="0" collapsed="false">
      <c r="A227" s="3" t="s">
        <v>2812</v>
      </c>
      <c r="B227" s="3" t="str">
        <f aca="false">IF(ISNUMBER(SEARCH("%", A227)),RIGHT(A227,3),A227)</f>
        <v>0.01</v>
      </c>
      <c r="C227" s="1" t="str">
        <f aca="false" t="array" ref="C227:C227">IF(B226="NEW ROUTE",textsplit(B227,","),"")</f>
        <v/>
      </c>
      <c r="H227" s="1" t="str">
        <f aca="false">IF(C227&lt;&gt;"",DEC2HEX(C227,2),"")</f>
        <v/>
      </c>
      <c r="I227" s="1" t="str">
        <f aca="false">IF(D227&lt;&gt;"",DEC2HEX(D227,2),"")</f>
        <v/>
      </c>
      <c r="J227" s="1" t="str">
        <f aca="false">IF(H227&lt;&gt;"","0x"&amp;I227&amp;H227,"")</f>
        <v/>
      </c>
      <c r="L227" s="1" t="s">
        <v>2812</v>
      </c>
      <c r="M227" s="1" t="str">
        <f aca="false">IF(J227&lt;&gt;"",J227,L227)</f>
        <v>0.01</v>
      </c>
    </row>
    <row r="228" customFormat="false" ht="12.75" hidden="false" customHeight="true" outlineLevel="0" collapsed="false">
      <c r="A228" s="3" t="s">
        <v>2896</v>
      </c>
      <c r="B228" s="3" t="str">
        <f aca="false">IF(ISNUMBER(SEARCH("%", A228)),RIGHT(A228,3),A228)</f>
        <v>44, 47, RATTARULE</v>
      </c>
      <c r="C228" s="1" t="str">
        <f aca="false" t="array" ref="C228:C228">IF(B227="NEW ROUTE",textsplit(B228,","),"")</f>
        <v/>
      </c>
      <c r="H228" s="1" t="str">
        <f aca="false">IF(C228&lt;&gt;"",DEC2HEX(C228,2),"")</f>
        <v/>
      </c>
      <c r="I228" s="1" t="str">
        <f aca="false">IF(D228&lt;&gt;"",DEC2HEX(D228,2),"")</f>
        <v/>
      </c>
      <c r="J228" s="1" t="str">
        <f aca="false">IF(H228&lt;&gt;"","0x"&amp;I228&amp;H228,"")</f>
        <v/>
      </c>
      <c r="L228" s="1" t="s">
        <v>2896</v>
      </c>
      <c r="M228" s="1" t="str">
        <f aca="false">IF(J228&lt;&gt;"",J228,L228)</f>
        <v>44, 47, RATTARULE</v>
      </c>
    </row>
    <row r="229" customFormat="false" ht="12.75" hidden="false" customHeight="true" outlineLevel="0" collapsed="false">
      <c r="A229" s="3" t="s">
        <v>2897</v>
      </c>
      <c r="B229" s="3" t="str">
        <f aca="false">IF(ISNUMBER(SEARCH("%", A229)),RIGHT(A229,3),A229)</f>
        <v>20, 25, CHARMANDER , &lt;null&gt;, &lt;null&gt;, &lt;null&gt;</v>
      </c>
      <c r="C229" s="1" t="str">
        <f aca="false" t="array" ref="C229:C229">IF(B228="NEW ROUTE",textsplit(B229,","),"")</f>
        <v/>
      </c>
      <c r="H229" s="1" t="str">
        <f aca="false">IF(C229&lt;&gt;"",DEC2HEX(C229,2),"")</f>
        <v/>
      </c>
      <c r="I229" s="1" t="str">
        <f aca="false">IF(D229&lt;&gt;"",DEC2HEX(D229,2),"")</f>
        <v/>
      </c>
      <c r="J229" s="1" t="str">
        <f aca="false">IF(H229&lt;&gt;"","0x"&amp;I229&amp;H229,"")</f>
        <v/>
      </c>
      <c r="L229" s="1" t="s">
        <v>2897</v>
      </c>
      <c r="M229" s="1" t="str">
        <f aca="false">IF(J229&lt;&gt;"",J229,L229)</f>
        <v>20, 25, CHARMANDER , &lt;null&gt;, &lt;null&gt;, &lt;null&gt;</v>
      </c>
    </row>
    <row r="230" customFormat="false" ht="12.75" hidden="false" customHeight="true" outlineLevel="0" collapsed="false">
      <c r="A230" s="3" t="s">
        <v>2536</v>
      </c>
      <c r="B230" s="3" t="str">
        <f aca="false">IF(ISNUMBER(SEARCH("%", A230)),RIGHT(A230,3),A230)</f>
        <v>NEW ROUTE</v>
      </c>
      <c r="C230" s="1" t="str">
        <f aca="false" t="array" ref="C230:C230">IF(B229="NEW ROUTE",textsplit(B230,","),"")</f>
        <v/>
      </c>
      <c r="H230" s="1" t="str">
        <f aca="false">IF(C230&lt;&gt;"",DEC2HEX(C230,2),"")</f>
        <v/>
      </c>
      <c r="I230" s="1" t="str">
        <f aca="false">IF(D230&lt;&gt;"",DEC2HEX(D230,2),"")</f>
        <v/>
      </c>
      <c r="J230" s="1" t="str">
        <f aca="false">IF(H230&lt;&gt;"","0x"&amp;I230&amp;H230,"")</f>
        <v/>
      </c>
      <c r="L230" s="1" t="s">
        <v>2536</v>
      </c>
      <c r="M230" s="1" t="str">
        <f aca="false">IF(J230&lt;&gt;"",J230,L230)</f>
        <v>NEW ROUTE</v>
      </c>
    </row>
    <row r="231" customFormat="false" ht="12.75" hidden="false" customHeight="true" outlineLevel="0" collapsed="false">
      <c r="A231" s="3" t="s">
        <v>2900</v>
      </c>
      <c r="B231" s="3" t="str">
        <f aca="false">IF(ISNUMBER(SEARCH("%", A231)),RIGHT(A231,3),A231)</f>
        <v>1, 62, 0,</v>
      </c>
      <c r="C231" s="1" t="e">
        <f aca="false" t="array" ref="C231:C231">IF(B230="NEW ROUTE",textsplit(B231,","),"")</f>
        <v>#NAME?</v>
      </c>
      <c r="H231" s="1" t="e">
        <f aca="false">IF(C231&lt;&gt;"",DEC2HEX(C231,2),"")</f>
        <v>#NAME?</v>
      </c>
      <c r="I231" s="1" t="str">
        <f aca="false">IF(D231&lt;&gt;"",DEC2HEX(D231,2),"")</f>
        <v/>
      </c>
      <c r="J231" s="1" t="e">
        <f aca="false">IF(H231&lt;&gt;"","0x"&amp;I231&amp;H231,"")</f>
        <v>#NAME?</v>
      </c>
      <c r="L231" s="1" t="s">
        <v>2900</v>
      </c>
      <c r="M231" s="1" t="e">
        <f aca="false">IF(J231&lt;&gt;"",J231,L231)</f>
        <v>#NAME?</v>
      </c>
    </row>
    <row r="232" customFormat="false" ht="12.75" hidden="false" customHeight="true" outlineLevel="0" collapsed="false">
      <c r="A232" s="3" t="s">
        <v>2823</v>
      </c>
      <c r="B232" s="3" t="str">
        <f aca="false">IF(ISNUMBER(SEARCH("%", A232)),RIGHT(A232,3),A232)</f>
        <v>20%</v>
      </c>
      <c r="C232" s="1" t="str">
        <f aca="false" t="array" ref="C232:C232">IF(B231="NEW ROUTE",textsplit(B232,","),"")</f>
        <v/>
      </c>
      <c r="H232" s="1" t="str">
        <f aca="false">IF(C232&lt;&gt;"",DEC2HEX(C232,2),"")</f>
        <v/>
      </c>
      <c r="I232" s="1" t="str">
        <f aca="false">IF(D232&lt;&gt;"",DEC2HEX(D232,2),"")</f>
        <v/>
      </c>
      <c r="J232" s="1" t="str">
        <f aca="false">IF(H232&lt;&gt;"","0x"&amp;I232&amp;H232,"")</f>
        <v/>
      </c>
      <c r="L232" s="1" t="s">
        <v>2799</v>
      </c>
      <c r="M232" s="1" t="str">
        <f aca="false">IF(J232&lt;&gt;"",J232,L232)</f>
        <v>20%</v>
      </c>
    </row>
    <row r="233" customFormat="false" ht="12.75" hidden="false" customHeight="true" outlineLevel="0" collapsed="false">
      <c r="A233" s="3" t="s">
        <v>1311</v>
      </c>
      <c r="B233" s="3" t="str">
        <f aca="false">IF(ISNUMBER(SEARCH("%", A233)),RIGHT(A233,3),A233)</f>
        <v>40, 44, RATTCHET</v>
      </c>
      <c r="C233" s="1" t="str">
        <f aca="false" t="array" ref="C233:C233">IF(B232="NEW ROUTE",textsplit(B233,","),"")</f>
        <v/>
      </c>
      <c r="H233" s="1" t="str">
        <f aca="false">IF(C233&lt;&gt;"",DEC2HEX(C233,2),"")</f>
        <v/>
      </c>
      <c r="I233" s="1" t="str">
        <f aca="false">IF(D233&lt;&gt;"",DEC2HEX(D233,2),"")</f>
        <v/>
      </c>
      <c r="J233" s="1" t="str">
        <f aca="false">IF(H233&lt;&gt;"","0x"&amp;I233&amp;H233,"")</f>
        <v/>
      </c>
      <c r="L233" s="1" t="s">
        <v>1311</v>
      </c>
      <c r="M233" s="1" t="str">
        <f aca="false">IF(J233&lt;&gt;"",J233,L233)</f>
        <v>40, 44, RATTCHET</v>
      </c>
    </row>
    <row r="234" customFormat="false" ht="12.75" hidden="false" customHeight="true" outlineLevel="0" collapsed="false">
      <c r="A234" s="3" t="s">
        <v>2887</v>
      </c>
      <c r="B234" s="3" t="str">
        <f aca="false">IF(ISNUMBER(SEARCH("%", A234)),RIGHT(A234,3),A234)</f>
        <v>40, 44, NINETALES</v>
      </c>
      <c r="C234" s="1" t="str">
        <f aca="false" t="array" ref="C234:C234">IF(B233="NEW ROUTE",textsplit(B234,","),"")</f>
        <v/>
      </c>
      <c r="H234" s="1" t="str">
        <f aca="false">IF(C234&lt;&gt;"",DEC2HEX(C234,2),"")</f>
        <v/>
      </c>
      <c r="I234" s="1" t="str">
        <f aca="false">IF(D234&lt;&gt;"",DEC2HEX(D234,2),"")</f>
        <v/>
      </c>
      <c r="J234" s="1" t="str">
        <f aca="false">IF(H234&lt;&gt;"","0x"&amp;I234&amp;H234,"")</f>
        <v/>
      </c>
      <c r="L234" s="1" t="s">
        <v>2887</v>
      </c>
      <c r="M234" s="1" t="str">
        <f aca="false">IF(J234&lt;&gt;"",J234,L234)</f>
        <v>40, 44, NINETALES</v>
      </c>
    </row>
    <row r="235" customFormat="false" ht="12.75" hidden="false" customHeight="true" outlineLevel="0" collapsed="false">
      <c r="A235" s="3" t="s">
        <v>2801</v>
      </c>
      <c r="B235" s="3" t="str">
        <f aca="false">IF(ISNUMBER(SEARCH("%", A235)),RIGHT(A235,3),A235)</f>
        <v>0.1</v>
      </c>
      <c r="C235" s="1" t="str">
        <f aca="false" t="array" ref="C235:C235">IF(B234="NEW ROUTE",textsplit(B235,","),"")</f>
        <v/>
      </c>
      <c r="H235" s="1" t="str">
        <f aca="false">IF(C235&lt;&gt;"",DEC2HEX(C235,2),"")</f>
        <v/>
      </c>
      <c r="I235" s="1" t="str">
        <f aca="false">IF(D235&lt;&gt;"",DEC2HEX(D235,2),"")</f>
        <v/>
      </c>
      <c r="J235" s="1" t="str">
        <f aca="false">IF(H235&lt;&gt;"","0x"&amp;I235&amp;H235,"")</f>
        <v/>
      </c>
      <c r="L235" s="1" t="s">
        <v>2801</v>
      </c>
      <c r="M235" s="1" t="str">
        <f aca="false">IF(J235&lt;&gt;"",J235,L235)</f>
        <v>0.1</v>
      </c>
    </row>
    <row r="236" customFormat="false" ht="12.75" hidden="false" customHeight="true" outlineLevel="0" collapsed="false">
      <c r="A236" s="3" t="s">
        <v>2888</v>
      </c>
      <c r="B236" s="3" t="str">
        <f aca="false">IF(ISNUMBER(SEARCH("%", A236)),RIGHT(A236,3),A236)</f>
        <v>41, 42, ARCANINE</v>
      </c>
      <c r="C236" s="1" t="str">
        <f aca="false" t="array" ref="C236:C236">IF(B235="NEW ROUTE",textsplit(B236,","),"")</f>
        <v/>
      </c>
      <c r="H236" s="1" t="str">
        <f aca="false">IF(C236&lt;&gt;"",DEC2HEX(C236,2),"")</f>
        <v/>
      </c>
      <c r="I236" s="1" t="str">
        <f aca="false">IF(D236&lt;&gt;"",DEC2HEX(D236,2),"")</f>
        <v/>
      </c>
      <c r="J236" s="1" t="str">
        <f aca="false">IF(H236&lt;&gt;"","0x"&amp;I236&amp;H236,"")</f>
        <v/>
      </c>
      <c r="L236" s="1" t="s">
        <v>2888</v>
      </c>
      <c r="M236" s="1" t="str">
        <f aca="false">IF(J236&lt;&gt;"",J236,L236)</f>
        <v>41, 42, ARCANINE</v>
      </c>
    </row>
    <row r="237" customFormat="false" ht="12.75" hidden="false" customHeight="true" outlineLevel="0" collapsed="false">
      <c r="A237" s="3" t="s">
        <v>2889</v>
      </c>
      <c r="B237" s="3" t="str">
        <f aca="false">IF(ISNUMBER(SEARCH("%", A237)),RIGHT(A237,3),A237)</f>
        <v>43, 44, ARCANINE</v>
      </c>
      <c r="C237" s="1" t="str">
        <f aca="false" t="array" ref="C237:C237">IF(B236="NEW ROUTE",textsplit(B237,","),"")</f>
        <v/>
      </c>
      <c r="H237" s="1" t="str">
        <f aca="false">IF(C237&lt;&gt;"",DEC2HEX(C237,2),"")</f>
        <v/>
      </c>
      <c r="I237" s="1" t="str">
        <f aca="false">IF(D237&lt;&gt;"",DEC2HEX(D237,2),"")</f>
        <v/>
      </c>
      <c r="J237" s="1" t="str">
        <f aca="false">IF(H237&lt;&gt;"","0x"&amp;I237&amp;H237,"")</f>
        <v/>
      </c>
      <c r="L237" s="1" t="s">
        <v>2889</v>
      </c>
      <c r="M237" s="1" t="str">
        <f aca="false">IF(J237&lt;&gt;"",J237,L237)</f>
        <v>43, 44, ARCANINE</v>
      </c>
    </row>
    <row r="238" customFormat="false" ht="12.75" hidden="false" customHeight="true" outlineLevel="0" collapsed="false">
      <c r="A238" s="3" t="s">
        <v>2890</v>
      </c>
      <c r="B238" s="3" t="str">
        <f aca="false">IF(ISNUMBER(SEARCH("%", A238)),RIGHT(A238,3),A238)</f>
        <v>42, 44, WEEZING</v>
      </c>
      <c r="C238" s="1" t="str">
        <f aca="false" t="array" ref="C238:C238">IF(B237="NEW ROUTE",textsplit(B238,","),"")</f>
        <v/>
      </c>
      <c r="H238" s="1" t="str">
        <f aca="false">IF(C238&lt;&gt;"",DEC2HEX(C238,2),"")</f>
        <v/>
      </c>
      <c r="I238" s="1" t="str">
        <f aca="false">IF(D238&lt;&gt;"",DEC2HEX(D238,2),"")</f>
        <v/>
      </c>
      <c r="J238" s="1" t="str">
        <f aca="false">IF(H238&lt;&gt;"","0x"&amp;I238&amp;H238,"")</f>
        <v/>
      </c>
      <c r="L238" s="1" t="s">
        <v>2890</v>
      </c>
      <c r="M238" s="1" t="str">
        <f aca="false">IF(J238&lt;&gt;"",J238,L238)</f>
        <v>42, 44, WEEZING</v>
      </c>
    </row>
    <row r="239" customFormat="false" ht="12.75" hidden="false" customHeight="true" outlineLevel="0" collapsed="false">
      <c r="A239" s="3" t="s">
        <v>2891</v>
      </c>
      <c r="B239" s="3" t="str">
        <f aca="false">IF(ISNUMBER(SEARCH("%", A239)),RIGHT(A239,3),A239)</f>
        <v>42, 44, MUK</v>
      </c>
      <c r="C239" s="1" t="str">
        <f aca="false" t="array" ref="C239:C239">IF(B238="NEW ROUTE",textsplit(B239,","),"")</f>
        <v/>
      </c>
      <c r="H239" s="1" t="str">
        <f aca="false">IF(C239&lt;&gt;"",DEC2HEX(C239,2),"")</f>
        <v/>
      </c>
      <c r="I239" s="1" t="str">
        <f aca="false">IF(D239&lt;&gt;"",DEC2HEX(D239,2),"")</f>
        <v/>
      </c>
      <c r="J239" s="1" t="str">
        <f aca="false">IF(H239&lt;&gt;"","0x"&amp;I239&amp;H239,"")</f>
        <v/>
      </c>
      <c r="L239" s="1" t="s">
        <v>2891</v>
      </c>
      <c r="M239" s="1" t="str">
        <f aca="false">IF(J239&lt;&gt;"",J239,L239)</f>
        <v>42, 44, MUK</v>
      </c>
    </row>
    <row r="240" customFormat="false" ht="12.75" hidden="false" customHeight="true" outlineLevel="0" collapsed="false">
      <c r="A240" s="3" t="s">
        <v>2806</v>
      </c>
      <c r="B240" s="3" t="str">
        <f aca="false">IF(ISNUMBER(SEARCH("%", A240)),RIGHT(A240,3),A240)</f>
        <v>0.05</v>
      </c>
      <c r="C240" s="1" t="str">
        <f aca="false" t="array" ref="C240:C240">IF(B239="NEW ROUTE",textsplit(B240,","),"")</f>
        <v/>
      </c>
      <c r="H240" s="1" t="str">
        <f aca="false">IF(C240&lt;&gt;"",DEC2HEX(C240,2),"")</f>
        <v/>
      </c>
      <c r="I240" s="1" t="str">
        <f aca="false">IF(D240&lt;&gt;"",DEC2HEX(D240,2),"")</f>
        <v/>
      </c>
      <c r="J240" s="1" t="str">
        <f aca="false">IF(H240&lt;&gt;"","0x"&amp;I240&amp;H240,"")</f>
        <v/>
      </c>
      <c r="L240" s="1" t="s">
        <v>2806</v>
      </c>
      <c r="M240" s="1" t="str">
        <f aca="false">IF(J240&lt;&gt;"",J240,L240)</f>
        <v>0.05</v>
      </c>
    </row>
    <row r="241" customFormat="false" ht="12.75" hidden="false" customHeight="true" outlineLevel="0" collapsed="false">
      <c r="A241" s="3" t="s">
        <v>2901</v>
      </c>
      <c r="B241" s="3" t="str">
        <f aca="false">IF(ISNUMBER(SEARCH("%", A241)),RIGHT(A241,3),A241)</f>
        <v>43, 45, GUNK</v>
      </c>
      <c r="C241" s="1" t="str">
        <f aca="false" t="array" ref="C241:C241">IF(B240="NEW ROUTE",textsplit(B241,","),"")</f>
        <v/>
      </c>
      <c r="H241" s="1" t="str">
        <f aca="false">IF(C241&lt;&gt;"",DEC2HEX(C241,2),"")</f>
        <v/>
      </c>
      <c r="I241" s="1" t="str">
        <f aca="false">IF(D241&lt;&gt;"",DEC2HEX(D241,2),"")</f>
        <v/>
      </c>
      <c r="J241" s="1" t="str">
        <f aca="false">IF(H241&lt;&gt;"","0x"&amp;I241&amp;H241,"")</f>
        <v/>
      </c>
      <c r="L241" s="1" t="s">
        <v>2901</v>
      </c>
      <c r="M241" s="1" t="str">
        <f aca="false">IF(J241&lt;&gt;"",J241,L241)</f>
        <v>43, 45, GUNK</v>
      </c>
    </row>
    <row r="242" customFormat="false" ht="12.75" hidden="false" customHeight="true" outlineLevel="0" collapsed="false">
      <c r="A242" s="3" t="s">
        <v>2902</v>
      </c>
      <c r="B242" s="3" t="str">
        <f aca="false">IF(ISNUMBER(SEARCH("%", A242)),RIGHT(A242,3),A242)</f>
        <v>43, 45, HEEVING</v>
      </c>
      <c r="C242" s="1" t="str">
        <f aca="false" t="array" ref="C242:C242">IF(B241="NEW ROUTE",textsplit(B242,","),"")</f>
        <v/>
      </c>
      <c r="H242" s="1" t="str">
        <f aca="false">IF(C242&lt;&gt;"",DEC2HEX(C242,2),"")</f>
        <v/>
      </c>
      <c r="I242" s="1" t="str">
        <f aca="false">IF(D242&lt;&gt;"",DEC2HEX(D242,2),"")</f>
        <v/>
      </c>
      <c r="J242" s="1" t="str">
        <f aca="false">IF(H242&lt;&gt;"","0x"&amp;I242&amp;H242,"")</f>
        <v/>
      </c>
      <c r="L242" s="1" t="s">
        <v>2902</v>
      </c>
      <c r="M242" s="1" t="str">
        <f aca="false">IF(J242&lt;&gt;"",J242,L242)</f>
        <v>43, 45, HEEVING</v>
      </c>
    </row>
    <row r="243" customFormat="false" ht="12.75" hidden="false" customHeight="true" outlineLevel="0" collapsed="false">
      <c r="A243" s="3" t="s">
        <v>2809</v>
      </c>
      <c r="B243" s="3" t="str">
        <f aca="false">IF(ISNUMBER(SEARCH("%", A243)),RIGHT(A243,3),A243)</f>
        <v>0.04</v>
      </c>
      <c r="C243" s="1" t="str">
        <f aca="false" t="array" ref="C243:C243">IF(B242="NEW ROUTE",textsplit(B243,","),"")</f>
        <v/>
      </c>
      <c r="H243" s="1" t="str">
        <f aca="false">IF(C243&lt;&gt;"",DEC2HEX(C243,2),"")</f>
        <v/>
      </c>
      <c r="I243" s="1" t="str">
        <f aca="false">IF(D243&lt;&gt;"",DEC2HEX(D243,2),"")</f>
        <v/>
      </c>
      <c r="J243" s="1" t="str">
        <f aca="false">IF(H243&lt;&gt;"","0x"&amp;I243&amp;H243,"")</f>
        <v/>
      </c>
      <c r="L243" s="1" t="s">
        <v>2809</v>
      </c>
      <c r="M243" s="1" t="str">
        <f aca="false">IF(J243&lt;&gt;"",J243,L243)</f>
        <v>0.04</v>
      </c>
    </row>
    <row r="244" customFormat="false" ht="12.75" hidden="false" customHeight="true" outlineLevel="0" collapsed="false">
      <c r="A244" s="3" t="s">
        <v>2903</v>
      </c>
      <c r="B244" s="3" t="str">
        <f aca="false">IF(ISNUMBER(SEARCH("%", A244)),RIGHT(A244,3),A244)</f>
        <v>45, 46, RATTARULE</v>
      </c>
      <c r="C244" s="1" t="str">
        <f aca="false" t="array" ref="C244:C244">IF(B243="NEW ROUTE",textsplit(B244,","),"")</f>
        <v/>
      </c>
      <c r="H244" s="1" t="str">
        <f aca="false">IF(C244&lt;&gt;"",DEC2HEX(C244,2),"")</f>
        <v/>
      </c>
      <c r="I244" s="1" t="str">
        <f aca="false">IF(D244&lt;&gt;"",DEC2HEX(D244,2),"")</f>
        <v/>
      </c>
      <c r="J244" s="1" t="str">
        <f aca="false">IF(H244&lt;&gt;"","0x"&amp;I244&amp;H244,"")</f>
        <v/>
      </c>
      <c r="L244" s="1" t="s">
        <v>2903</v>
      </c>
      <c r="M244" s="1" t="str">
        <f aca="false">IF(J244&lt;&gt;"",J244,L244)</f>
        <v>45, 46, RATTARULE</v>
      </c>
    </row>
    <row r="245" customFormat="false" ht="12.75" hidden="false" customHeight="true" outlineLevel="0" collapsed="false">
      <c r="A245" s="3" t="s">
        <v>2904</v>
      </c>
      <c r="B245" s="3" t="str">
        <f aca="false">IF(ISNUMBER(SEARCH("%", A245)),RIGHT(A245,3),A245)</f>
        <v>45, 46, DITTO</v>
      </c>
      <c r="C245" s="1" t="str">
        <f aca="false" t="array" ref="C245:C245">IF(B244="NEW ROUTE",textsplit(B245,","),"")</f>
        <v/>
      </c>
      <c r="H245" s="1" t="str">
        <f aca="false">IF(C245&lt;&gt;"",DEC2HEX(C245,2),"")</f>
        <v/>
      </c>
      <c r="I245" s="1" t="str">
        <f aca="false">IF(D245&lt;&gt;"",DEC2HEX(D245,2),"")</f>
        <v/>
      </c>
      <c r="J245" s="1" t="str">
        <f aca="false">IF(H245&lt;&gt;"","0x"&amp;I245&amp;H245,"")</f>
        <v/>
      </c>
      <c r="L245" s="1" t="s">
        <v>2904</v>
      </c>
      <c r="M245" s="1" t="str">
        <f aca="false">IF(J245&lt;&gt;"",J245,L245)</f>
        <v>45, 46, DITTO</v>
      </c>
    </row>
    <row r="246" customFormat="false" ht="12.75" hidden="false" customHeight="true" outlineLevel="0" collapsed="false">
      <c r="A246" s="3" t="s">
        <v>2812</v>
      </c>
      <c r="B246" s="3" t="str">
        <f aca="false">IF(ISNUMBER(SEARCH("%", A246)),RIGHT(A246,3),A246)</f>
        <v>0.01</v>
      </c>
      <c r="C246" s="1" t="str">
        <f aca="false" t="array" ref="C246:C246">IF(B245="NEW ROUTE",textsplit(B246,","),"")</f>
        <v/>
      </c>
      <c r="H246" s="1" t="str">
        <f aca="false">IF(C246&lt;&gt;"",DEC2HEX(C246,2),"")</f>
        <v/>
      </c>
      <c r="I246" s="1" t="str">
        <f aca="false">IF(D246&lt;&gt;"",DEC2HEX(D246,2),"")</f>
        <v/>
      </c>
      <c r="J246" s="1" t="str">
        <f aca="false">IF(H246&lt;&gt;"","0x"&amp;I246&amp;H246,"")</f>
        <v/>
      </c>
      <c r="L246" s="1" t="s">
        <v>2812</v>
      </c>
      <c r="M246" s="1" t="str">
        <f aca="false">IF(J246&lt;&gt;"",J246,L246)</f>
        <v>0.01</v>
      </c>
    </row>
    <row r="247" customFormat="false" ht="12.75" hidden="false" customHeight="true" outlineLevel="0" collapsed="false">
      <c r="A247" s="3" t="s">
        <v>2905</v>
      </c>
      <c r="B247" s="3" t="str">
        <f aca="false">IF(ISNUMBER(SEARCH("%", A247)),RIGHT(A247,3),A247)</f>
        <v>20, 25, KABUTO</v>
      </c>
      <c r="C247" s="1" t="str">
        <f aca="false" t="array" ref="C247:C247">IF(B246="NEW ROUTE",textsplit(B247,","),"")</f>
        <v/>
      </c>
      <c r="H247" s="1" t="str">
        <f aca="false">IF(C247&lt;&gt;"",DEC2HEX(C247,2),"")</f>
        <v/>
      </c>
      <c r="I247" s="1" t="str">
        <f aca="false">IF(D247&lt;&gt;"",DEC2HEX(D247,2),"")</f>
        <v/>
      </c>
      <c r="J247" s="1" t="str">
        <f aca="false">IF(H247&lt;&gt;"","0x"&amp;I247&amp;H247,"")</f>
        <v/>
      </c>
      <c r="L247" s="1" t="s">
        <v>2905</v>
      </c>
      <c r="M247" s="1" t="str">
        <f aca="false">IF(J247&lt;&gt;"",J247,L247)</f>
        <v>20, 25, KABUTO</v>
      </c>
    </row>
    <row r="248" customFormat="false" ht="12.75" hidden="false" customHeight="true" outlineLevel="0" collapsed="false">
      <c r="A248" s="3" t="s">
        <v>2906</v>
      </c>
      <c r="B248" s="3" t="str">
        <f aca="false">IF(ISNUMBER(SEARCH("%", A248)),RIGHT(A248,3),A248)</f>
        <v>20, 25, OMANYTE , &lt;null&gt;, &lt;null&gt;, &lt;null&gt;</v>
      </c>
      <c r="C248" s="1" t="str">
        <f aca="false" t="array" ref="C248:C248">IF(B247="NEW ROUTE",textsplit(B248,","),"")</f>
        <v/>
      </c>
      <c r="H248" s="1" t="str">
        <f aca="false">IF(C248&lt;&gt;"",DEC2HEX(C248,2),"")</f>
        <v/>
      </c>
      <c r="I248" s="1" t="str">
        <f aca="false">IF(D248&lt;&gt;"",DEC2HEX(D248,2),"")</f>
        <v/>
      </c>
      <c r="J248" s="1" t="str">
        <f aca="false">IF(H248&lt;&gt;"","0x"&amp;I248&amp;H248,"")</f>
        <v/>
      </c>
      <c r="L248" s="1" t="s">
        <v>2906</v>
      </c>
      <c r="M248" s="1" t="str">
        <f aca="false">IF(J248&lt;&gt;"",J248,L248)</f>
        <v>20, 25, OMANYTE , &lt;null&gt;, &lt;null&gt;, &lt;null&gt;</v>
      </c>
    </row>
    <row r="249" customFormat="false" ht="12.75" hidden="false" customHeight="true" outlineLevel="0" collapsed="false">
      <c r="A249" s="3" t="s">
        <v>2536</v>
      </c>
      <c r="B249" s="3" t="str">
        <f aca="false">IF(ISNUMBER(SEARCH("%", A249)),RIGHT(A249,3),A249)</f>
        <v>NEW ROUTE</v>
      </c>
      <c r="C249" s="1" t="str">
        <f aca="false" t="array" ref="C249:C249">IF(B248="NEW ROUTE",textsplit(B249,","),"")</f>
        <v/>
      </c>
      <c r="H249" s="1" t="str">
        <f aca="false">IF(C249&lt;&gt;"",DEC2HEX(C249,2),"")</f>
        <v/>
      </c>
      <c r="I249" s="1" t="str">
        <f aca="false">IF(D249&lt;&gt;"",DEC2HEX(D249,2),"")</f>
        <v/>
      </c>
      <c r="J249" s="1" t="str">
        <f aca="false">IF(H249&lt;&gt;"","0x"&amp;I249&amp;H249,"")</f>
        <v/>
      </c>
      <c r="L249" s="1" t="s">
        <v>2536</v>
      </c>
      <c r="M249" s="1" t="str">
        <f aca="false">IF(J249&lt;&gt;"",J249,L249)</f>
        <v>NEW ROUTE</v>
      </c>
    </row>
    <row r="250" customFormat="false" ht="12.75" hidden="false" customHeight="true" outlineLevel="0" collapsed="false">
      <c r="A250" s="3" t="s">
        <v>2907</v>
      </c>
      <c r="B250" s="3" t="str">
        <f aca="false">IF(ISNUMBER(SEARCH("%", A250)),RIGHT(A250,3),A250)</f>
        <v>1, 63, 0,</v>
      </c>
      <c r="C250" s="1" t="e">
        <f aca="false" t="array" ref="C250:C250">IF(B249="NEW ROUTE",textsplit(B250,","),"")</f>
        <v>#NAME?</v>
      </c>
      <c r="H250" s="1" t="e">
        <f aca="false">IF(C250&lt;&gt;"",DEC2HEX(C250,2),"")</f>
        <v>#NAME?</v>
      </c>
      <c r="I250" s="1" t="str">
        <f aca="false">IF(D250&lt;&gt;"",DEC2HEX(D250,2),"")</f>
        <v/>
      </c>
      <c r="J250" s="1" t="e">
        <f aca="false">IF(H250&lt;&gt;"","0x"&amp;I250&amp;H250,"")</f>
        <v>#NAME?</v>
      </c>
      <c r="L250" s="1" t="s">
        <v>2907</v>
      </c>
      <c r="M250" s="1" t="e">
        <f aca="false">IF(J250&lt;&gt;"",J250,L250)</f>
        <v>#NAME?</v>
      </c>
    </row>
    <row r="251" customFormat="false" ht="12.75" hidden="false" customHeight="true" outlineLevel="0" collapsed="false">
      <c r="A251" s="3" t="s">
        <v>2908</v>
      </c>
      <c r="B251" s="3" t="str">
        <f aca="false">IF(ISNUMBER(SEARCH("%", A251)),RIGHT(A251,3),A251)</f>
        <v>20%</v>
      </c>
      <c r="C251" s="1" t="str">
        <f aca="false" t="array" ref="C251:C251">IF(B250="NEW ROUTE",textsplit(B251,","),"")</f>
        <v/>
      </c>
      <c r="H251" s="1" t="str">
        <f aca="false">IF(C251&lt;&gt;"",DEC2HEX(C251,2),"")</f>
        <v/>
      </c>
      <c r="I251" s="1" t="str">
        <f aca="false">IF(D251&lt;&gt;"",DEC2HEX(D251,2),"")</f>
        <v/>
      </c>
      <c r="J251" s="1" t="str">
        <f aca="false">IF(H251&lt;&gt;"","0x"&amp;I251&amp;H251,"")</f>
        <v/>
      </c>
      <c r="L251" s="1" t="s">
        <v>2799</v>
      </c>
      <c r="M251" s="1" t="str">
        <f aca="false">IF(J251&lt;&gt;"",J251,L251)</f>
        <v>20%</v>
      </c>
    </row>
    <row r="252" customFormat="false" ht="12.75" hidden="false" customHeight="true" outlineLevel="0" collapsed="false">
      <c r="A252" s="3" t="s">
        <v>1333</v>
      </c>
      <c r="B252" s="3" t="str">
        <f aca="false">IF(ISNUMBER(SEARCH("%", A252)),RIGHT(A252,3),A252)</f>
        <v>35, 40, NIDOKING</v>
      </c>
      <c r="C252" s="1" t="str">
        <f aca="false" t="array" ref="C252:C252">IF(B251="NEW ROUTE",textsplit(B252,","),"")</f>
        <v/>
      </c>
      <c r="H252" s="1" t="str">
        <f aca="false">IF(C252&lt;&gt;"",DEC2HEX(C252,2),"")</f>
        <v/>
      </c>
      <c r="I252" s="1" t="str">
        <f aca="false">IF(D252&lt;&gt;"",DEC2HEX(D252,2),"")</f>
        <v/>
      </c>
      <c r="J252" s="1" t="str">
        <f aca="false">IF(H252&lt;&gt;"","0x"&amp;I252&amp;H252,"")</f>
        <v/>
      </c>
      <c r="L252" s="1" t="s">
        <v>1333</v>
      </c>
      <c r="M252" s="1" t="str">
        <f aca="false">IF(J252&lt;&gt;"",J252,L252)</f>
        <v>35, 40, NIDOKING</v>
      </c>
    </row>
    <row r="253" customFormat="false" ht="12.75" hidden="false" customHeight="true" outlineLevel="0" collapsed="false">
      <c r="A253" s="3" t="s">
        <v>2909</v>
      </c>
      <c r="B253" s="3" t="str">
        <f aca="false">IF(ISNUMBER(SEARCH("%", A253)),RIGHT(A253,3),A253)</f>
        <v>35, 40, NIDOQUEEN</v>
      </c>
      <c r="C253" s="1" t="str">
        <f aca="false" t="array" ref="C253:C253">IF(B252="NEW ROUTE",textsplit(B253,","),"")</f>
        <v/>
      </c>
      <c r="H253" s="1" t="str">
        <f aca="false">IF(C253&lt;&gt;"",DEC2HEX(C253,2),"")</f>
        <v/>
      </c>
      <c r="I253" s="1" t="str">
        <f aca="false">IF(D253&lt;&gt;"",DEC2HEX(D253,2),"")</f>
        <v/>
      </c>
      <c r="J253" s="1" t="str">
        <f aca="false">IF(H253&lt;&gt;"","0x"&amp;I253&amp;H253,"")</f>
        <v/>
      </c>
      <c r="L253" s="1" t="s">
        <v>2909</v>
      </c>
      <c r="M253" s="1" t="str">
        <f aca="false">IF(J253&lt;&gt;"",J253,L253)</f>
        <v>35, 40, NIDOQUEEN</v>
      </c>
    </row>
    <row r="254" customFormat="false" ht="12.75" hidden="false" customHeight="true" outlineLevel="0" collapsed="false">
      <c r="A254" s="3" t="s">
        <v>2801</v>
      </c>
      <c r="B254" s="3" t="str">
        <f aca="false">IF(ISNUMBER(SEARCH("%", A254)),RIGHT(A254,3),A254)</f>
        <v>0.1</v>
      </c>
      <c r="C254" s="1" t="str">
        <f aca="false" t="array" ref="C254:C254">IF(B253="NEW ROUTE",textsplit(B254,","),"")</f>
        <v/>
      </c>
      <c r="H254" s="1" t="str">
        <f aca="false">IF(C254&lt;&gt;"",DEC2HEX(C254,2),"")</f>
        <v/>
      </c>
      <c r="I254" s="1" t="str">
        <f aca="false">IF(D254&lt;&gt;"",DEC2HEX(D254,2),"")</f>
        <v/>
      </c>
      <c r="J254" s="1" t="str">
        <f aca="false">IF(H254&lt;&gt;"","0x"&amp;I254&amp;H254,"")</f>
        <v/>
      </c>
      <c r="L254" s="1" t="s">
        <v>2801</v>
      </c>
      <c r="M254" s="1" t="str">
        <f aca="false">IF(J254&lt;&gt;"",J254,L254)</f>
        <v>0.1</v>
      </c>
    </row>
    <row r="255" customFormat="false" ht="12.75" hidden="false" customHeight="true" outlineLevel="0" collapsed="false">
      <c r="A255" s="3" t="s">
        <v>2910</v>
      </c>
      <c r="B255" s="3" t="str">
        <f aca="false">IF(ISNUMBER(SEARCH("%", A255)),RIGHT(A255,3),A255)</f>
        <v>36, 41, PARASECT</v>
      </c>
      <c r="C255" s="1" t="str">
        <f aca="false" t="array" ref="C255:C255">IF(B254="NEW ROUTE",textsplit(B255,","),"")</f>
        <v/>
      </c>
      <c r="H255" s="1" t="str">
        <f aca="false">IF(C255&lt;&gt;"",DEC2HEX(C255,2),"")</f>
        <v/>
      </c>
      <c r="I255" s="1" t="str">
        <f aca="false">IF(D255&lt;&gt;"",DEC2HEX(D255,2),"")</f>
        <v/>
      </c>
      <c r="J255" s="1" t="str">
        <f aca="false">IF(H255&lt;&gt;"","0x"&amp;I255&amp;H255,"")</f>
        <v/>
      </c>
      <c r="L255" s="1" t="s">
        <v>2910</v>
      </c>
      <c r="M255" s="1" t="str">
        <f aca="false">IF(J255&lt;&gt;"",J255,L255)</f>
        <v>36, 41, PARASECT</v>
      </c>
    </row>
    <row r="256" customFormat="false" ht="12.75" hidden="false" customHeight="true" outlineLevel="0" collapsed="false">
      <c r="A256" s="3" t="s">
        <v>2911</v>
      </c>
      <c r="B256" s="3" t="str">
        <f aca="false">IF(ISNUMBER(SEARCH("%", A256)),RIGHT(A256,3),A256)</f>
        <v>36, 41, VENOMOTH</v>
      </c>
      <c r="C256" s="1" t="str">
        <f aca="false" t="array" ref="C256:C256">IF(B255="NEW ROUTE",textsplit(B256,","),"")</f>
        <v/>
      </c>
      <c r="H256" s="1" t="str">
        <f aca="false">IF(C256&lt;&gt;"",DEC2HEX(C256,2),"")</f>
        <v/>
      </c>
      <c r="I256" s="1" t="str">
        <f aca="false">IF(D256&lt;&gt;"",DEC2HEX(D256,2),"")</f>
        <v/>
      </c>
      <c r="J256" s="1" t="str">
        <f aca="false">IF(H256&lt;&gt;"","0x"&amp;I256&amp;H256,"")</f>
        <v/>
      </c>
      <c r="L256" s="1" t="s">
        <v>2911</v>
      </c>
      <c r="M256" s="1" t="str">
        <f aca="false">IF(J256&lt;&gt;"",J256,L256)</f>
        <v>36, 41, VENOMOTH</v>
      </c>
    </row>
    <row r="257" customFormat="false" ht="12.75" hidden="false" customHeight="true" outlineLevel="0" collapsed="false">
      <c r="A257" s="3" t="s">
        <v>2912</v>
      </c>
      <c r="B257" s="3" t="str">
        <f aca="false">IF(ISNUMBER(SEARCH("%", A257)),RIGHT(A257,3),A257)</f>
        <v>36, 41, EXEGGUTOR</v>
      </c>
      <c r="C257" s="1" t="str">
        <f aca="false" t="array" ref="C257:C257">IF(B256="NEW ROUTE",textsplit(B257,","),"")</f>
        <v/>
      </c>
      <c r="H257" s="1" t="str">
        <f aca="false">IF(C257&lt;&gt;"",DEC2HEX(C257,2),"")</f>
        <v/>
      </c>
      <c r="I257" s="1" t="str">
        <f aca="false">IF(D257&lt;&gt;"",DEC2HEX(D257,2),"")</f>
        <v/>
      </c>
      <c r="J257" s="1" t="str">
        <f aca="false">IF(H257&lt;&gt;"","0x"&amp;I257&amp;H257,"")</f>
        <v/>
      </c>
      <c r="L257" s="1" t="s">
        <v>2912</v>
      </c>
      <c r="M257" s="1" t="str">
        <f aca="false">IF(J257&lt;&gt;"",J257,L257)</f>
        <v>36, 41, EXEGGUTOR</v>
      </c>
    </row>
    <row r="258" customFormat="false" ht="12.75" hidden="false" customHeight="true" outlineLevel="0" collapsed="false">
      <c r="A258" s="3" t="s">
        <v>2913</v>
      </c>
      <c r="B258" s="3" t="str">
        <f aca="false">IF(ISNUMBER(SEARCH("%", A258)),RIGHT(A258,3),A258)</f>
        <v>36, 41, RHYDON</v>
      </c>
      <c r="C258" s="1" t="str">
        <f aca="false" t="array" ref="C258:C258">IF(B257="NEW ROUTE",textsplit(B258,","),"")</f>
        <v/>
      </c>
      <c r="H258" s="1" t="str">
        <f aca="false">IF(C258&lt;&gt;"",DEC2HEX(C258,2),"")</f>
        <v/>
      </c>
      <c r="I258" s="1" t="str">
        <f aca="false">IF(D258&lt;&gt;"",DEC2HEX(D258,2),"")</f>
        <v/>
      </c>
      <c r="J258" s="1" t="str">
        <f aca="false">IF(H258&lt;&gt;"","0x"&amp;I258&amp;H258,"")</f>
        <v/>
      </c>
      <c r="L258" s="1" t="s">
        <v>2913</v>
      </c>
      <c r="M258" s="1" t="str">
        <f aca="false">IF(J258&lt;&gt;"",J258,L258)</f>
        <v>36, 41, RHYDON</v>
      </c>
    </row>
    <row r="259" customFormat="false" ht="12.75" hidden="false" customHeight="true" outlineLevel="0" collapsed="false">
      <c r="A259" s="3" t="s">
        <v>2806</v>
      </c>
      <c r="B259" s="3" t="str">
        <f aca="false">IF(ISNUMBER(SEARCH("%", A259)),RIGHT(A259,3),A259)</f>
        <v>0.05</v>
      </c>
      <c r="C259" s="1" t="str">
        <f aca="false" t="array" ref="C259:C259">IF(B258="NEW ROUTE",textsplit(B259,","),"")</f>
        <v/>
      </c>
      <c r="H259" s="1" t="str">
        <f aca="false">IF(C259&lt;&gt;"",DEC2HEX(C259,2),"")</f>
        <v/>
      </c>
      <c r="I259" s="1" t="str">
        <f aca="false">IF(D259&lt;&gt;"",DEC2HEX(D259,2),"")</f>
        <v/>
      </c>
      <c r="J259" s="1" t="str">
        <f aca="false">IF(H259&lt;&gt;"","0x"&amp;I259&amp;H259,"")</f>
        <v/>
      </c>
      <c r="L259" s="1" t="s">
        <v>2806</v>
      </c>
      <c r="M259" s="1" t="str">
        <f aca="false">IF(J259&lt;&gt;"",J259,L259)</f>
        <v>0.05</v>
      </c>
    </row>
    <row r="260" customFormat="false" ht="12.75" hidden="false" customHeight="true" outlineLevel="0" collapsed="false">
      <c r="A260" s="3" t="s">
        <v>2914</v>
      </c>
      <c r="B260" s="3" t="str">
        <f aca="false">IF(ISNUMBER(SEARCH("%", A260)),RIGHT(A260,3),A260)</f>
        <v>37, 39, SCIZOR</v>
      </c>
      <c r="C260" s="1" t="str">
        <f aca="false" t="array" ref="C260:C260">IF(B259="NEW ROUTE",textsplit(B260,","),"")</f>
        <v/>
      </c>
      <c r="H260" s="1" t="str">
        <f aca="false">IF(C260&lt;&gt;"",DEC2HEX(C260,2),"")</f>
        <v/>
      </c>
      <c r="I260" s="1" t="str">
        <f aca="false">IF(D260&lt;&gt;"",DEC2HEX(D260,2),"")</f>
        <v/>
      </c>
      <c r="J260" s="1" t="str">
        <f aca="false">IF(H260&lt;&gt;"","0x"&amp;I260&amp;H260,"")</f>
        <v/>
      </c>
      <c r="L260" s="1" t="s">
        <v>2914</v>
      </c>
      <c r="M260" s="1" t="str">
        <f aca="false">IF(J260&lt;&gt;"",J260,L260)</f>
        <v>37, 39, SCIZOR</v>
      </c>
    </row>
    <row r="261" customFormat="false" ht="12.75" hidden="false" customHeight="true" outlineLevel="0" collapsed="false">
      <c r="A261" s="3" t="s">
        <v>2915</v>
      </c>
      <c r="B261" s="3" t="str">
        <f aca="false">IF(ISNUMBER(SEARCH("%", A261)),RIGHT(A261,3),A261)</f>
        <v>37, 39, PINSIRIOR</v>
      </c>
      <c r="C261" s="1" t="str">
        <f aca="false" t="array" ref="C261:C261">IF(B260="NEW ROUTE",textsplit(B261,","),"")</f>
        <v/>
      </c>
      <c r="H261" s="1" t="str">
        <f aca="false">IF(C261&lt;&gt;"",DEC2HEX(C261,2),"")</f>
        <v/>
      </c>
      <c r="I261" s="1" t="str">
        <f aca="false">IF(D261&lt;&gt;"",DEC2HEX(D261,2),"")</f>
        <v/>
      </c>
      <c r="J261" s="1" t="str">
        <f aca="false">IF(H261&lt;&gt;"","0x"&amp;I261&amp;H261,"")</f>
        <v/>
      </c>
      <c r="L261" s="1" t="s">
        <v>2915</v>
      </c>
      <c r="M261" s="1" t="str">
        <f aca="false">IF(J261&lt;&gt;"",J261,L261)</f>
        <v>37, 39, PINSIRIOR</v>
      </c>
    </row>
    <row r="262" customFormat="false" ht="12.75" hidden="false" customHeight="true" outlineLevel="0" collapsed="false">
      <c r="A262" s="3" t="s">
        <v>2809</v>
      </c>
      <c r="B262" s="3" t="str">
        <f aca="false">IF(ISNUMBER(SEARCH("%", A262)),RIGHT(A262,3),A262)</f>
        <v>0.04</v>
      </c>
      <c r="C262" s="1" t="str">
        <f aca="false" t="array" ref="C262:C262">IF(B261="NEW ROUTE",textsplit(B262,","),"")</f>
        <v/>
      </c>
      <c r="H262" s="1" t="str">
        <f aca="false">IF(C262&lt;&gt;"",DEC2HEX(C262,2),"")</f>
        <v/>
      </c>
      <c r="I262" s="1" t="str">
        <f aca="false">IF(D262&lt;&gt;"",DEC2HEX(D262,2),"")</f>
        <v/>
      </c>
      <c r="J262" s="1" t="str">
        <f aca="false">IF(H262&lt;&gt;"","0x"&amp;I262&amp;H262,"")</f>
        <v/>
      </c>
      <c r="L262" s="1" t="s">
        <v>2809</v>
      </c>
      <c r="M262" s="1" t="str">
        <f aca="false">IF(J262&lt;&gt;"",J262,L262)</f>
        <v>0.04</v>
      </c>
    </row>
    <row r="263" customFormat="false" ht="12.75" hidden="false" customHeight="true" outlineLevel="0" collapsed="false">
      <c r="A263" s="3" t="s">
        <v>2916</v>
      </c>
      <c r="B263" s="3" t="str">
        <f aca="false">IF(ISNUMBER(SEARCH("%", A263)),RIGHT(A263,3),A263)</f>
        <v>38, 42, CHANSEY</v>
      </c>
      <c r="C263" s="1" t="str">
        <f aca="false" t="array" ref="C263:C263">IF(B262="NEW ROUTE",textsplit(B263,","),"")</f>
        <v/>
      </c>
      <c r="H263" s="1" t="str">
        <f aca="false">IF(C263&lt;&gt;"",DEC2HEX(C263,2),"")</f>
        <v/>
      </c>
      <c r="I263" s="1" t="str">
        <f aca="false">IF(D263&lt;&gt;"",DEC2HEX(D263,2),"")</f>
        <v/>
      </c>
      <c r="J263" s="1" t="str">
        <f aca="false">IF(H263&lt;&gt;"","0x"&amp;I263&amp;H263,"")</f>
        <v/>
      </c>
      <c r="L263" s="1" t="s">
        <v>2916</v>
      </c>
      <c r="M263" s="1" t="str">
        <f aca="false">IF(J263&lt;&gt;"",J263,L263)</f>
        <v>38, 42, CHANSEY</v>
      </c>
    </row>
    <row r="264" customFormat="false" ht="12.75" hidden="false" customHeight="true" outlineLevel="0" collapsed="false">
      <c r="A264" s="3" t="s">
        <v>2917</v>
      </c>
      <c r="B264" s="3" t="str">
        <f aca="false">IF(ISNUMBER(SEARCH("%", A264)),RIGHT(A264,3),A264)</f>
        <v>38, 42, JOLTEON</v>
      </c>
      <c r="C264" s="1" t="str">
        <f aca="false" t="array" ref="C264:C264">IF(B263="NEW ROUTE",textsplit(B264,","),"")</f>
        <v/>
      </c>
      <c r="H264" s="1" t="str">
        <f aca="false">IF(C264&lt;&gt;"",DEC2HEX(C264,2),"")</f>
        <v/>
      </c>
      <c r="I264" s="1" t="str">
        <f aca="false">IF(D264&lt;&gt;"",DEC2HEX(D264,2),"")</f>
        <v/>
      </c>
      <c r="J264" s="1" t="str">
        <f aca="false">IF(H264&lt;&gt;"","0x"&amp;I264&amp;H264,"")</f>
        <v/>
      </c>
      <c r="L264" s="1" t="s">
        <v>2917</v>
      </c>
      <c r="M264" s="1" t="str">
        <f aca="false">IF(J264&lt;&gt;"",J264,L264)</f>
        <v>38, 42, JOLTEON</v>
      </c>
    </row>
    <row r="265" customFormat="false" ht="12.75" hidden="false" customHeight="true" outlineLevel="0" collapsed="false">
      <c r="A265" s="3" t="s">
        <v>2812</v>
      </c>
      <c r="B265" s="3" t="str">
        <f aca="false">IF(ISNUMBER(SEARCH("%", A265)),RIGHT(A265,3),A265)</f>
        <v>0.01</v>
      </c>
      <c r="C265" s="1" t="str">
        <f aca="false" t="array" ref="C265:C265">IF(B264="NEW ROUTE",textsplit(B265,","),"")</f>
        <v/>
      </c>
      <c r="H265" s="1" t="str">
        <f aca="false">IF(C265&lt;&gt;"",DEC2HEX(C265,2),"")</f>
        <v/>
      </c>
      <c r="I265" s="1" t="str">
        <f aca="false">IF(D265&lt;&gt;"",DEC2HEX(D265,2),"")</f>
        <v/>
      </c>
      <c r="J265" s="1" t="str">
        <f aca="false">IF(H265&lt;&gt;"","0x"&amp;I265&amp;H265,"")</f>
        <v/>
      </c>
      <c r="L265" s="1" t="s">
        <v>2812</v>
      </c>
      <c r="M265" s="1" t="str">
        <f aca="false">IF(J265&lt;&gt;"",J265,L265)</f>
        <v>0.01</v>
      </c>
    </row>
    <row r="266" customFormat="false" ht="12.75" hidden="false" customHeight="true" outlineLevel="0" collapsed="false">
      <c r="A266" s="3" t="s">
        <v>2918</v>
      </c>
      <c r="B266" s="3" t="str">
        <f aca="false">IF(ISNUMBER(SEARCH("%", A266)),RIGHT(A266,3),A266)</f>
        <v>40, 40, BLISSEY</v>
      </c>
      <c r="C266" s="1" t="str">
        <f aca="false" t="array" ref="C266:C266">IF(B265="NEW ROUTE",textsplit(B266,","),"")</f>
        <v/>
      </c>
      <c r="H266" s="1" t="str">
        <f aca="false">IF(C266&lt;&gt;"",DEC2HEX(C266,2),"")</f>
        <v/>
      </c>
      <c r="I266" s="1" t="str">
        <f aca="false">IF(D266&lt;&gt;"",DEC2HEX(D266,2),"")</f>
        <v/>
      </c>
      <c r="J266" s="1" t="str">
        <f aca="false">IF(H266&lt;&gt;"","0x"&amp;I266&amp;H266,"")</f>
        <v/>
      </c>
      <c r="L266" s="1" t="s">
        <v>2918</v>
      </c>
      <c r="M266" s="1" t="str">
        <f aca="false">IF(J266&lt;&gt;"",J266,L266)</f>
        <v>40, 40, BLISSEY</v>
      </c>
    </row>
    <row r="267" customFormat="false" ht="12.75" hidden="false" customHeight="true" outlineLevel="0" collapsed="false">
      <c r="A267" s="3" t="s">
        <v>2919</v>
      </c>
      <c r="B267" s="3" t="str">
        <f aca="false">IF(ISNUMBER(SEARCH("%", A267)),RIGHT(A267,3),A267)</f>
        <v>40, 40, RHYPERIOR</v>
      </c>
      <c r="C267" s="1" t="str">
        <f aca="false" t="array" ref="C267:C267">IF(B266="NEW ROUTE",textsplit(B267,","),"")</f>
        <v/>
      </c>
      <c r="H267" s="1" t="str">
        <f aca="false">IF(C267&lt;&gt;"",DEC2HEX(C267,2),"")</f>
        <v/>
      </c>
      <c r="I267" s="1" t="str">
        <f aca="false">IF(D267&lt;&gt;"",DEC2HEX(D267,2),"")</f>
        <v/>
      </c>
      <c r="J267" s="1" t="str">
        <f aca="false">IF(H267&lt;&gt;"","0x"&amp;I267&amp;H267,"")</f>
        <v/>
      </c>
      <c r="L267" s="1" t="s">
        <v>2919</v>
      </c>
      <c r="M267" s="1" t="str">
        <f aca="false">IF(J267&lt;&gt;"",J267,L267)</f>
        <v>40, 40, RHYPERIOR</v>
      </c>
    </row>
    <row r="268" customFormat="false" ht="12.75" hidden="false" customHeight="true" outlineLevel="0" collapsed="false">
      <c r="A268" s="3" t="s">
        <v>2920</v>
      </c>
      <c r="B268" s="3" t="str">
        <f aca="false">IF(ISNUMBER(SEARCH("%", A268)),RIGHT(A268,3),A268)</f>
        <v>2, 38, 42, SLOWPOKE</v>
      </c>
      <c r="C268" s="1" t="str">
        <f aca="false" t="array" ref="C268:C268">IF(B267="NEW ROUTE",textsplit(B268,","),"")</f>
        <v/>
      </c>
      <c r="H268" s="1" t="str">
        <f aca="false">IF(C268&lt;&gt;"",DEC2HEX(C268,2),"")</f>
        <v/>
      </c>
      <c r="I268" s="1" t="str">
        <f aca="false">IF(D268&lt;&gt;"",DEC2HEX(D268,2),"")</f>
        <v/>
      </c>
      <c r="J268" s="1" t="str">
        <f aca="false">IF(H268&lt;&gt;"","0x"&amp;I268&amp;H268,"")</f>
        <v/>
      </c>
      <c r="L268" s="1" t="s">
        <v>2920</v>
      </c>
      <c r="M268" s="1" t="str">
        <f aca="false">IF(J268&lt;&gt;"",J268,L268)</f>
        <v>2, 38, 42, SLOWPOKE</v>
      </c>
    </row>
    <row r="269" customFormat="false" ht="12.75" hidden="false" customHeight="true" outlineLevel="0" collapsed="false">
      <c r="A269" s="3" t="s">
        <v>2921</v>
      </c>
      <c r="B269" s="3" t="str">
        <f aca="false">IF(ISNUMBER(SEARCH("%", A269)),RIGHT(A269,3),A269)</f>
        <v>40, 42, PSYDUCK</v>
      </c>
      <c r="C269" s="1" t="str">
        <f aca="false" t="array" ref="C269:C269">IF(B268="NEW ROUTE",textsplit(B269,","),"")</f>
        <v/>
      </c>
      <c r="H269" s="1" t="str">
        <f aca="false">IF(C269&lt;&gt;"",DEC2HEX(C269,2),"")</f>
        <v/>
      </c>
      <c r="I269" s="1" t="str">
        <f aca="false">IF(D269&lt;&gt;"",DEC2HEX(D269,2),"")</f>
        <v/>
      </c>
      <c r="J269" s="1" t="str">
        <f aca="false">IF(H269&lt;&gt;"","0x"&amp;I269&amp;H269,"")</f>
        <v/>
      </c>
      <c r="L269" s="1" t="s">
        <v>2921</v>
      </c>
      <c r="M269" s="1" t="str">
        <f aca="false">IF(J269&lt;&gt;"",J269,L269)</f>
        <v>40, 42, PSYDUCK</v>
      </c>
    </row>
    <row r="270" customFormat="false" ht="12.75" hidden="false" customHeight="true" outlineLevel="0" collapsed="false">
      <c r="A270" s="3" t="s">
        <v>2922</v>
      </c>
      <c r="B270" s="3" t="str">
        <f aca="false">IF(ISNUMBER(SEARCH("%", A270)),RIGHT(A270,3),A270)</f>
        <v>42, 46, SLOWBRO</v>
      </c>
      <c r="C270" s="1" t="str">
        <f aca="false" t="array" ref="C270:C270">IF(B269="NEW ROUTE",textsplit(B270,","),"")</f>
        <v/>
      </c>
      <c r="H270" s="1" t="str">
        <f aca="false">IF(C270&lt;&gt;"",DEC2HEX(C270,2),"")</f>
        <v/>
      </c>
      <c r="I270" s="1" t="str">
        <f aca="false">IF(D270&lt;&gt;"",DEC2HEX(D270,2),"")</f>
        <v/>
      </c>
      <c r="J270" s="1" t="str">
        <f aca="false">IF(H270&lt;&gt;"","0x"&amp;I270&amp;H270,"")</f>
        <v/>
      </c>
      <c r="L270" s="1" t="s">
        <v>2922</v>
      </c>
      <c r="M270" s="1" t="str">
        <f aca="false">IF(J270&lt;&gt;"",J270,L270)</f>
        <v>42, 46, SLOWBRO</v>
      </c>
    </row>
    <row r="271" customFormat="false" ht="12.75" hidden="false" customHeight="true" outlineLevel="0" collapsed="false">
      <c r="A271" s="3" t="s">
        <v>2923</v>
      </c>
      <c r="B271" s="3" t="str">
        <f aca="false">IF(ISNUMBER(SEARCH("%", A271)),RIGHT(A271,3),A271)</f>
        <v>42, 46, GOLDUCK</v>
      </c>
      <c r="C271" s="1" t="str">
        <f aca="false" t="array" ref="C271:C271">IF(B270="NEW ROUTE",textsplit(B271,","),"")</f>
        <v/>
      </c>
      <c r="H271" s="1" t="str">
        <f aca="false">IF(C271&lt;&gt;"",DEC2HEX(C271,2),"")</f>
        <v/>
      </c>
      <c r="I271" s="1" t="str">
        <f aca="false">IF(D271&lt;&gt;"",DEC2HEX(D271,2),"")</f>
        <v/>
      </c>
      <c r="J271" s="1" t="str">
        <f aca="false">IF(H271&lt;&gt;"","0x"&amp;I271&amp;H271,"")</f>
        <v/>
      </c>
      <c r="L271" s="1" t="s">
        <v>2923</v>
      </c>
      <c r="M271" s="1" t="str">
        <f aca="false">IF(J271&lt;&gt;"",J271,L271)</f>
        <v>42, 46, GOLDUCK</v>
      </c>
    </row>
    <row r="272" customFormat="false" ht="12.75" hidden="false" customHeight="true" outlineLevel="0" collapsed="false">
      <c r="A272" s="3" t="s">
        <v>2924</v>
      </c>
      <c r="B272" s="3" t="str">
        <f aca="false">IF(ISNUMBER(SEARCH("%", A272)),RIGHT(A272,3),A272)</f>
        <v>44, 48, VAPOREON</v>
      </c>
      <c r="C272" s="1" t="str">
        <f aca="false" t="array" ref="C272:C272">IF(B271="NEW ROUTE",textsplit(B272,","),"")</f>
        <v/>
      </c>
      <c r="H272" s="1" t="str">
        <f aca="false">IF(C272&lt;&gt;"",DEC2HEX(C272,2),"")</f>
        <v/>
      </c>
      <c r="I272" s="1" t="str">
        <f aca="false">IF(D272&lt;&gt;"",DEC2HEX(D272,2),"")</f>
        <v/>
      </c>
      <c r="J272" s="1" t="str">
        <f aca="false">IF(H272&lt;&gt;"","0x"&amp;I272&amp;H272,"")</f>
        <v/>
      </c>
      <c r="L272" s="1" t="s">
        <v>2924</v>
      </c>
      <c r="M272" s="1" t="str">
        <f aca="false">IF(J272&lt;&gt;"",J272,L272)</f>
        <v>44, 48, VAPOREON</v>
      </c>
    </row>
    <row r="273" customFormat="false" ht="12.75" hidden="false" customHeight="true" outlineLevel="0" collapsed="false">
      <c r="A273" s="3" t="s">
        <v>2925</v>
      </c>
      <c r="B273" s="3" t="str">
        <f aca="false">IF(ISNUMBER(SEARCH("%", A273)),RIGHT(A273,3),A273)</f>
        <v>20, old rod:</v>
      </c>
      <c r="C273" s="1" t="str">
        <f aca="false" t="array" ref="C273:C273">IF(B272="NEW ROUTE",textsplit(B273,","),"")</f>
        <v/>
      </c>
      <c r="H273" s="1" t="str">
        <f aca="false">IF(C273&lt;&gt;"",DEC2HEX(C273,2),"")</f>
        <v/>
      </c>
      <c r="I273" s="1" t="str">
        <f aca="false">IF(D273&lt;&gt;"",DEC2HEX(D273,2),"")</f>
        <v/>
      </c>
      <c r="J273" s="1" t="str">
        <f aca="false">IF(H273&lt;&gt;"","0x"&amp;I273&amp;H273,"")</f>
        <v/>
      </c>
      <c r="L273" s="1" t="s">
        <v>2925</v>
      </c>
      <c r="M273" s="1" t="str">
        <f aca="false">IF(J273&lt;&gt;"",J273,L273)</f>
        <v>20, old rod:</v>
      </c>
    </row>
    <row r="274" customFormat="false" ht="12.75" hidden="false" customHeight="true" outlineLevel="0" collapsed="false">
      <c r="A274" s="3" t="s">
        <v>1349</v>
      </c>
      <c r="B274" s="3" t="str">
        <f aca="false">IF(ISNUMBER(SEARCH("%", A274)),RIGHT(A274,3),A274)</f>
        <v>19, 26, MAGIKARP</v>
      </c>
      <c r="C274" s="1" t="str">
        <f aca="false" t="array" ref="C274:C274">IF(B273="NEW ROUTE",textsplit(B274,","),"")</f>
        <v/>
      </c>
      <c r="H274" s="1" t="str">
        <f aca="false">IF(C274&lt;&gt;"",DEC2HEX(C274,2),"")</f>
        <v/>
      </c>
      <c r="I274" s="1" t="str">
        <f aca="false">IF(D274&lt;&gt;"",DEC2HEX(D274,2),"")</f>
        <v/>
      </c>
      <c r="J274" s="1" t="str">
        <f aca="false">IF(H274&lt;&gt;"","0x"&amp;I274&amp;H274,"")</f>
        <v/>
      </c>
      <c r="L274" s="1" t="s">
        <v>1349</v>
      </c>
      <c r="M274" s="1" t="str">
        <f aca="false">IF(J274&lt;&gt;"",J274,L274)</f>
        <v>19, 26, MAGIKARP</v>
      </c>
    </row>
    <row r="275" customFormat="false" ht="12.75" hidden="false" customHeight="true" outlineLevel="0" collapsed="false">
      <c r="A275" s="3" t="s">
        <v>2926</v>
      </c>
      <c r="B275" s="3" t="str">
        <f aca="false">IF(ISNUMBER(SEARCH("%", A275)),RIGHT(A275,3),A275)</f>
        <v>19, 26, POLIWAG</v>
      </c>
      <c r="C275" s="1" t="str">
        <f aca="false" t="array" ref="C275:C275">IF(B274="NEW ROUTE",textsplit(B275,","),"")</f>
        <v/>
      </c>
      <c r="H275" s="1" t="str">
        <f aca="false">IF(C275&lt;&gt;"",DEC2HEX(C275,2),"")</f>
        <v/>
      </c>
      <c r="I275" s="1" t="str">
        <f aca="false">IF(D275&lt;&gt;"",DEC2HEX(D275,2),"")</f>
        <v/>
      </c>
      <c r="J275" s="1" t="str">
        <f aca="false">IF(H275&lt;&gt;"","0x"&amp;I275&amp;H275,"")</f>
        <v/>
      </c>
      <c r="L275" s="1" t="s">
        <v>2926</v>
      </c>
      <c r="M275" s="1" t="str">
        <f aca="false">IF(J275&lt;&gt;"",J275,L275)</f>
        <v>19, 26, POLIWAG</v>
      </c>
    </row>
    <row r="276" customFormat="false" ht="12.75" hidden="false" customHeight="true" outlineLevel="0" collapsed="false">
      <c r="A276" s="3" t="s">
        <v>2846</v>
      </c>
      <c r="B276" s="3" t="str">
        <f aca="false">IF(ISNUMBER(SEARCH("%", A276)),RIGHT(A276,3),A276)</f>
        <v>good rod:</v>
      </c>
      <c r="C276" s="1" t="str">
        <f aca="false" t="array" ref="C276:C276">IF(B275="NEW ROUTE",textsplit(B276,","),"")</f>
        <v/>
      </c>
      <c r="H276" s="1" t="str">
        <f aca="false">IF(C276&lt;&gt;"",DEC2HEX(C276,2),"")</f>
        <v/>
      </c>
      <c r="I276" s="1" t="str">
        <f aca="false">IF(D276&lt;&gt;"",DEC2HEX(D276,2),"")</f>
        <v/>
      </c>
      <c r="J276" s="1" t="str">
        <f aca="false">IF(H276&lt;&gt;"","0x"&amp;I276&amp;H276,"")</f>
        <v/>
      </c>
      <c r="L276" s="1" t="s">
        <v>2846</v>
      </c>
      <c r="M276" s="1" t="str">
        <f aca="false">IF(J276&lt;&gt;"",J276,L276)</f>
        <v>good rod:</v>
      </c>
    </row>
    <row r="277" customFormat="false" ht="12.75" hidden="false" customHeight="true" outlineLevel="0" collapsed="false">
      <c r="A277" s="3" t="s">
        <v>2927</v>
      </c>
      <c r="B277" s="3" t="str">
        <f aca="false">IF(ISNUMBER(SEARCH("%", A277)),RIGHT(A277,3),A277)</f>
        <v>29, 33, GYARADOS</v>
      </c>
      <c r="C277" s="1" t="str">
        <f aca="false" t="array" ref="C277:C277">IF(B276="NEW ROUTE",textsplit(B277,","),"")</f>
        <v/>
      </c>
      <c r="H277" s="1" t="str">
        <f aca="false">IF(C277&lt;&gt;"",DEC2HEX(C277,2),"")</f>
        <v/>
      </c>
      <c r="I277" s="1" t="str">
        <f aca="false">IF(D277&lt;&gt;"",DEC2HEX(D277,2),"")</f>
        <v/>
      </c>
      <c r="J277" s="1" t="str">
        <f aca="false">IF(H277&lt;&gt;"","0x"&amp;I277&amp;H277,"")</f>
        <v/>
      </c>
      <c r="L277" s="1" t="s">
        <v>2927</v>
      </c>
      <c r="M277" s="1" t="str">
        <f aca="false">IF(J277&lt;&gt;"",J277,L277)</f>
        <v>29, 33, GYARADOS</v>
      </c>
    </row>
    <row r="278" customFormat="false" ht="12.75" hidden="false" customHeight="true" outlineLevel="0" collapsed="false">
      <c r="A278" s="3" t="s">
        <v>2928</v>
      </c>
      <c r="B278" s="3" t="str">
        <f aca="false">IF(ISNUMBER(SEARCH("%", A278)),RIGHT(A278,3),A278)</f>
        <v>30, 35, POLIWAG</v>
      </c>
      <c r="C278" s="1" t="str">
        <f aca="false" t="array" ref="C278:C278">IF(B277="NEW ROUTE",textsplit(B278,","),"")</f>
        <v/>
      </c>
      <c r="H278" s="1" t="str">
        <f aca="false">IF(C278&lt;&gt;"",DEC2HEX(C278,2),"")</f>
        <v/>
      </c>
      <c r="I278" s="1" t="str">
        <f aca="false">IF(D278&lt;&gt;"",DEC2HEX(D278,2),"")</f>
        <v/>
      </c>
      <c r="J278" s="1" t="str">
        <f aca="false">IF(H278&lt;&gt;"","0x"&amp;I278&amp;H278,"")</f>
        <v/>
      </c>
      <c r="L278" s="1" t="s">
        <v>2928</v>
      </c>
      <c r="M278" s="1" t="str">
        <f aca="false">IF(J278&lt;&gt;"",J278,L278)</f>
        <v>30, 35, POLIWAG</v>
      </c>
    </row>
    <row r="279" customFormat="false" ht="12.75" hidden="false" customHeight="true" outlineLevel="0" collapsed="false">
      <c r="A279" s="3" t="s">
        <v>2929</v>
      </c>
      <c r="B279" s="3" t="str">
        <f aca="false">IF(ISNUMBER(SEARCH("%", A279)),RIGHT(A279,3),A279)</f>
        <v>30, 35, GOLDEEN</v>
      </c>
      <c r="C279" s="1" t="str">
        <f aca="false" t="array" ref="C279:C279">IF(B278="NEW ROUTE",textsplit(B279,","),"")</f>
        <v/>
      </c>
      <c r="H279" s="1" t="str">
        <f aca="false">IF(C279&lt;&gt;"",DEC2HEX(C279,2),"")</f>
        <v/>
      </c>
      <c r="I279" s="1" t="str">
        <f aca="false">IF(D279&lt;&gt;"",DEC2HEX(D279,2),"")</f>
        <v/>
      </c>
      <c r="J279" s="1" t="str">
        <f aca="false">IF(H279&lt;&gt;"","0x"&amp;I279&amp;H279,"")</f>
        <v/>
      </c>
      <c r="L279" s="1" t="s">
        <v>2929</v>
      </c>
      <c r="M279" s="1" t="str">
        <f aca="false">IF(J279&lt;&gt;"",J279,L279)</f>
        <v>30, 35, GOLDEEN</v>
      </c>
    </row>
    <row r="280" customFormat="false" ht="12.75" hidden="false" customHeight="true" outlineLevel="0" collapsed="false">
      <c r="A280" s="3" t="s">
        <v>2850</v>
      </c>
      <c r="B280" s="3" t="str">
        <f aca="false">IF(ISNUMBER(SEARCH("%", A280)),RIGHT(A280,3),A280)</f>
        <v>super rod:</v>
      </c>
      <c r="C280" s="1" t="str">
        <f aca="false" t="array" ref="C280:C280">IF(B279="NEW ROUTE",textsplit(B280,","),"")</f>
        <v/>
      </c>
      <c r="H280" s="1" t="str">
        <f aca="false">IF(C280&lt;&gt;"",DEC2HEX(C280,2),"")</f>
        <v/>
      </c>
      <c r="I280" s="1" t="str">
        <f aca="false">IF(D280&lt;&gt;"",DEC2HEX(D280,2),"")</f>
        <v/>
      </c>
      <c r="J280" s="1" t="str">
        <f aca="false">IF(H280&lt;&gt;"","0x"&amp;I280&amp;H280,"")</f>
        <v/>
      </c>
      <c r="L280" s="1" t="s">
        <v>2850</v>
      </c>
      <c r="M280" s="1" t="str">
        <f aca="false">IF(J280&lt;&gt;"",J280,L280)</f>
        <v>super rod:</v>
      </c>
    </row>
    <row r="281" customFormat="false" ht="12.75" hidden="false" customHeight="true" outlineLevel="0" collapsed="false">
      <c r="A281" s="3" t="s">
        <v>2930</v>
      </c>
      <c r="B281" s="3" t="str">
        <f aca="false">IF(ISNUMBER(SEARCH("%", A281)),RIGHT(A281,3),A281)</f>
        <v>36, 40, POLIWHIRL</v>
      </c>
      <c r="C281" s="1" t="str">
        <f aca="false" t="array" ref="C281:C281">IF(B280="NEW ROUTE",textsplit(B281,","),"")</f>
        <v/>
      </c>
      <c r="H281" s="1" t="str">
        <f aca="false">IF(C281&lt;&gt;"",DEC2HEX(C281,2),"")</f>
        <v/>
      </c>
      <c r="I281" s="1" t="str">
        <f aca="false">IF(D281&lt;&gt;"",DEC2HEX(D281,2),"")</f>
        <v/>
      </c>
      <c r="J281" s="1" t="str">
        <f aca="false">IF(H281&lt;&gt;"","0x"&amp;I281&amp;H281,"")</f>
        <v/>
      </c>
      <c r="L281" s="1" t="s">
        <v>2930</v>
      </c>
      <c r="M281" s="1" t="str">
        <f aca="false">IF(J281&lt;&gt;"",J281,L281)</f>
        <v>36, 40, POLIWHIRL</v>
      </c>
    </row>
    <row r="282" customFormat="false" ht="12.75" hidden="false" customHeight="true" outlineLevel="0" collapsed="false">
      <c r="A282" s="3" t="s">
        <v>2931</v>
      </c>
      <c r="B282" s="3" t="str">
        <f aca="false">IF(ISNUMBER(SEARCH("%", A282)),RIGHT(A282,3),A282)</f>
        <v>36, 40, SEAKING</v>
      </c>
      <c r="C282" s="1" t="str">
        <f aca="false" t="array" ref="C282:C282">IF(B281="NEW ROUTE",textsplit(B282,","),"")</f>
        <v/>
      </c>
      <c r="H282" s="1" t="str">
        <f aca="false">IF(C282&lt;&gt;"",DEC2HEX(C282,2),"")</f>
        <v/>
      </c>
      <c r="I282" s="1" t="str">
        <f aca="false">IF(D282&lt;&gt;"",DEC2HEX(D282,2),"")</f>
        <v/>
      </c>
      <c r="J282" s="1" t="str">
        <f aca="false">IF(H282&lt;&gt;"","0x"&amp;I282&amp;H282,"")</f>
        <v/>
      </c>
      <c r="L282" s="1" t="s">
        <v>2931</v>
      </c>
      <c r="M282" s="1" t="str">
        <f aca="false">IF(J282&lt;&gt;"",J282,L282)</f>
        <v>36, 40, SEAKING</v>
      </c>
    </row>
    <row r="283" customFormat="false" ht="12.75" hidden="false" customHeight="true" outlineLevel="0" collapsed="false">
      <c r="A283" s="3" t="s">
        <v>2932</v>
      </c>
      <c r="B283" s="3" t="str">
        <f aca="false">IF(ISNUMBER(SEARCH("%", A283)),RIGHT(A283,3),A283)</f>
        <v>38, 42, DRATINI</v>
      </c>
      <c r="C283" s="1" t="str">
        <f aca="false" t="array" ref="C283:C283">IF(B282="NEW ROUTE",textsplit(B283,","),"")</f>
        <v/>
      </c>
      <c r="H283" s="1" t="str">
        <f aca="false">IF(C283&lt;&gt;"",DEC2HEX(C283,2),"")</f>
        <v/>
      </c>
      <c r="I283" s="1" t="str">
        <f aca="false">IF(D283&lt;&gt;"",DEC2HEX(D283,2),"")</f>
        <v/>
      </c>
      <c r="J283" s="1" t="str">
        <f aca="false">IF(H283&lt;&gt;"","0x"&amp;I283&amp;H283,"")</f>
        <v/>
      </c>
      <c r="L283" s="1" t="s">
        <v>2932</v>
      </c>
      <c r="M283" s="1" t="str">
        <f aca="false">IF(J283&lt;&gt;"",J283,L283)</f>
        <v>38, 42, DRATINI</v>
      </c>
    </row>
    <row r="284" customFormat="false" ht="12.75" hidden="false" customHeight="true" outlineLevel="0" collapsed="false">
      <c r="A284" s="3" t="s">
        <v>2933</v>
      </c>
      <c r="B284" s="3" t="str">
        <f aca="false">IF(ISNUMBER(SEARCH("%", A284)),RIGHT(A284,3),A284)</f>
        <v>38, 42, DRAGONAIR</v>
      </c>
      <c r="C284" s="1" t="str">
        <f aca="false" t="array" ref="C284:C284">IF(B283="NEW ROUTE",textsplit(B284,","),"")</f>
        <v/>
      </c>
      <c r="H284" s="1" t="str">
        <f aca="false">IF(C284&lt;&gt;"",DEC2HEX(C284,2),"")</f>
        <v/>
      </c>
      <c r="I284" s="1" t="str">
        <f aca="false">IF(D284&lt;&gt;"",DEC2HEX(D284,2),"")</f>
        <v/>
      </c>
      <c r="J284" s="1" t="str">
        <f aca="false">IF(H284&lt;&gt;"","0x"&amp;I284&amp;H284,"")</f>
        <v/>
      </c>
      <c r="L284" s="1" t="s">
        <v>2933</v>
      </c>
      <c r="M284" s="1" t="str">
        <f aca="false">IF(J284&lt;&gt;"",J284,L284)</f>
        <v>38, 42, DRAGONAIR</v>
      </c>
    </row>
    <row r="285" customFormat="false" ht="12.75" hidden="false" customHeight="true" outlineLevel="0" collapsed="false">
      <c r="A285" s="3" t="s">
        <v>2934</v>
      </c>
      <c r="B285" s="3" t="str">
        <f aca="false">IF(ISNUMBER(SEARCH("%", A285)),RIGHT(A285,3),A285)</f>
        <v>40, 44, DRAGONITE</v>
      </c>
      <c r="C285" s="1" t="str">
        <f aca="false" t="array" ref="C285:C285">IF(B284="NEW ROUTE",textsplit(B285,","),"")</f>
        <v/>
      </c>
      <c r="H285" s="1" t="str">
        <f aca="false">IF(C285&lt;&gt;"",DEC2HEX(C285,2),"")</f>
        <v/>
      </c>
      <c r="I285" s="1" t="str">
        <f aca="false">IF(D285&lt;&gt;"",DEC2HEX(D285,2),"")</f>
        <v/>
      </c>
      <c r="J285" s="1" t="str">
        <f aca="false">IF(H285&lt;&gt;"","0x"&amp;I285&amp;H285,"")</f>
        <v/>
      </c>
      <c r="L285" s="1" t="s">
        <v>2934</v>
      </c>
      <c r="M285" s="1" t="str">
        <f aca="false">IF(J285&lt;&gt;"",J285,L285)</f>
        <v>40, 44, DRAGONITE</v>
      </c>
    </row>
    <row r="286" customFormat="false" ht="12.75" hidden="false" customHeight="true" outlineLevel="0" collapsed="false">
      <c r="A286" s="3" t="s">
        <v>2536</v>
      </c>
      <c r="B286" s="3" t="str">
        <f aca="false">IF(ISNUMBER(SEARCH("%", A286)),RIGHT(A286,3),A286)</f>
        <v>NEW ROUTE</v>
      </c>
      <c r="C286" s="1" t="str">
        <f aca="false" t="array" ref="C286:C286">IF(B285="NEW ROUTE",textsplit(B286,","),"")</f>
        <v/>
      </c>
      <c r="H286" s="1" t="str">
        <f aca="false">IF(C286&lt;&gt;"",DEC2HEX(C286,2),"")</f>
        <v/>
      </c>
      <c r="I286" s="1" t="str">
        <f aca="false">IF(D286&lt;&gt;"",DEC2HEX(D286,2),"")</f>
        <v/>
      </c>
      <c r="J286" s="1" t="str">
        <f aca="false">IF(H286&lt;&gt;"","0x"&amp;I286&amp;H286,"")</f>
        <v/>
      </c>
      <c r="L286" s="1" t="s">
        <v>2536</v>
      </c>
      <c r="M286" s="1" t="str">
        <f aca="false">IF(J286&lt;&gt;"",J286,L286)</f>
        <v>NEW ROUTE</v>
      </c>
    </row>
    <row r="287" customFormat="false" ht="12.75" hidden="false" customHeight="true" outlineLevel="0" collapsed="false">
      <c r="A287" s="3" t="s">
        <v>2935</v>
      </c>
      <c r="B287" s="3" t="str">
        <f aca="false">IF(ISNUMBER(SEARCH("%", A287)),RIGHT(A287,3),A287)</f>
        <v>1, 64, 0,</v>
      </c>
      <c r="C287" s="1" t="e">
        <f aca="false" t="array" ref="C287:C287">IF(B286="NEW ROUTE",textsplit(B287,","),"")</f>
        <v>#NAME?</v>
      </c>
      <c r="H287" s="1" t="e">
        <f aca="false">IF(C287&lt;&gt;"",DEC2HEX(C287,2),"")</f>
        <v>#NAME?</v>
      </c>
      <c r="I287" s="1" t="str">
        <f aca="false">IF(D287&lt;&gt;"",DEC2HEX(D287,2),"")</f>
        <v/>
      </c>
      <c r="J287" s="1" t="e">
        <f aca="false">IF(H287&lt;&gt;"","0x"&amp;I287&amp;H287,"")</f>
        <v>#NAME?</v>
      </c>
      <c r="L287" s="1" t="s">
        <v>2935</v>
      </c>
      <c r="M287" s="1" t="e">
        <f aca="false">IF(J287&lt;&gt;"",J287,L287)</f>
        <v>#NAME?</v>
      </c>
    </row>
    <row r="288" customFormat="false" ht="12.75" hidden="false" customHeight="true" outlineLevel="0" collapsed="false">
      <c r="A288" s="3" t="s">
        <v>2908</v>
      </c>
      <c r="B288" s="3" t="str">
        <f aca="false">IF(ISNUMBER(SEARCH("%", A288)),RIGHT(A288,3),A288)</f>
        <v>20%</v>
      </c>
      <c r="C288" s="1" t="str">
        <f aca="false" t="array" ref="C288:C288">IF(B287="NEW ROUTE",textsplit(B288,","),"")</f>
        <v/>
      </c>
      <c r="H288" s="1" t="str">
        <f aca="false">IF(C288&lt;&gt;"",DEC2HEX(C288,2),"")</f>
        <v/>
      </c>
      <c r="I288" s="1" t="str">
        <f aca="false">IF(D288&lt;&gt;"",DEC2HEX(D288,2),"")</f>
        <v/>
      </c>
      <c r="J288" s="1" t="str">
        <f aca="false">IF(H288&lt;&gt;"","0x"&amp;I288&amp;H288,"")</f>
        <v/>
      </c>
      <c r="L288" s="1" t="s">
        <v>2799</v>
      </c>
      <c r="M288" s="1" t="str">
        <f aca="false">IF(J288&lt;&gt;"",J288,L288)</f>
        <v>20%</v>
      </c>
    </row>
    <row r="289" customFormat="false" ht="12.75" hidden="false" customHeight="true" outlineLevel="0" collapsed="false">
      <c r="A289" s="3" t="s">
        <v>1333</v>
      </c>
      <c r="B289" s="3" t="str">
        <f aca="false">IF(ISNUMBER(SEARCH("%", A289)),RIGHT(A289,3),A289)</f>
        <v>35, 40, NIDOKING</v>
      </c>
      <c r="C289" s="1" t="str">
        <f aca="false" t="array" ref="C289:C289">IF(B288="NEW ROUTE",textsplit(B289,","),"")</f>
        <v/>
      </c>
      <c r="H289" s="1" t="str">
        <f aca="false">IF(C289&lt;&gt;"",DEC2HEX(C289,2),"")</f>
        <v/>
      </c>
      <c r="I289" s="1" t="str">
        <f aca="false">IF(D289&lt;&gt;"",DEC2HEX(D289,2),"")</f>
        <v/>
      </c>
      <c r="J289" s="1" t="str">
        <f aca="false">IF(H289&lt;&gt;"","0x"&amp;I289&amp;H289,"")</f>
        <v/>
      </c>
      <c r="L289" s="1" t="s">
        <v>1333</v>
      </c>
      <c r="M289" s="1" t="str">
        <f aca="false">IF(J289&lt;&gt;"",J289,L289)</f>
        <v>35, 40, NIDOKING</v>
      </c>
    </row>
    <row r="290" customFormat="false" ht="12.75" hidden="false" customHeight="true" outlineLevel="0" collapsed="false">
      <c r="A290" s="3" t="s">
        <v>2909</v>
      </c>
      <c r="B290" s="3" t="str">
        <f aca="false">IF(ISNUMBER(SEARCH("%", A290)),RIGHT(A290,3),A290)</f>
        <v>35, 40, NIDOQUEEN</v>
      </c>
      <c r="C290" s="1" t="str">
        <f aca="false" t="array" ref="C290:C290">IF(B289="NEW ROUTE",textsplit(B290,","),"")</f>
        <v/>
      </c>
      <c r="H290" s="1" t="str">
        <f aca="false">IF(C290&lt;&gt;"",DEC2HEX(C290,2),"")</f>
        <v/>
      </c>
      <c r="I290" s="1" t="str">
        <f aca="false">IF(D290&lt;&gt;"",DEC2HEX(D290,2),"")</f>
        <v/>
      </c>
      <c r="J290" s="1" t="str">
        <f aca="false">IF(H290&lt;&gt;"","0x"&amp;I290&amp;H290,"")</f>
        <v/>
      </c>
      <c r="L290" s="1" t="s">
        <v>2909</v>
      </c>
      <c r="M290" s="1" t="str">
        <f aca="false">IF(J290&lt;&gt;"",J290,L290)</f>
        <v>35, 40, NIDOQUEEN</v>
      </c>
    </row>
    <row r="291" customFormat="false" ht="12.75" hidden="false" customHeight="true" outlineLevel="0" collapsed="false">
      <c r="A291" s="3" t="s">
        <v>2801</v>
      </c>
      <c r="B291" s="3" t="str">
        <f aca="false">IF(ISNUMBER(SEARCH("%", A291)),RIGHT(A291,3),A291)</f>
        <v>0.1</v>
      </c>
      <c r="C291" s="1" t="str">
        <f aca="false" t="array" ref="C291:C291">IF(B290="NEW ROUTE",textsplit(B291,","),"")</f>
        <v/>
      </c>
      <c r="H291" s="1" t="str">
        <f aca="false">IF(C291&lt;&gt;"",DEC2HEX(C291,2),"")</f>
        <v/>
      </c>
      <c r="I291" s="1" t="str">
        <f aca="false">IF(D291&lt;&gt;"",DEC2HEX(D291,2),"")</f>
        <v/>
      </c>
      <c r="J291" s="1" t="str">
        <f aca="false">IF(H291&lt;&gt;"","0x"&amp;I291&amp;H291,"")</f>
        <v/>
      </c>
      <c r="L291" s="1" t="s">
        <v>2801</v>
      </c>
      <c r="M291" s="1" t="str">
        <f aca="false">IF(J291&lt;&gt;"",J291,L291)</f>
        <v>0.1</v>
      </c>
    </row>
    <row r="292" customFormat="false" ht="12.75" hidden="false" customHeight="true" outlineLevel="0" collapsed="false">
      <c r="A292" s="3" t="s">
        <v>2910</v>
      </c>
      <c r="B292" s="3" t="str">
        <f aca="false">IF(ISNUMBER(SEARCH("%", A292)),RIGHT(A292,3),A292)</f>
        <v>36, 41, PARASECT</v>
      </c>
      <c r="C292" s="1" t="str">
        <f aca="false" t="array" ref="C292:C292">IF(B291="NEW ROUTE",textsplit(B292,","),"")</f>
        <v/>
      </c>
      <c r="H292" s="1" t="str">
        <f aca="false">IF(C292&lt;&gt;"",DEC2HEX(C292,2),"")</f>
        <v/>
      </c>
      <c r="I292" s="1" t="str">
        <f aca="false">IF(D292&lt;&gt;"",DEC2HEX(D292,2),"")</f>
        <v/>
      </c>
      <c r="J292" s="1" t="str">
        <f aca="false">IF(H292&lt;&gt;"","0x"&amp;I292&amp;H292,"")</f>
        <v/>
      </c>
      <c r="L292" s="1" t="s">
        <v>2910</v>
      </c>
      <c r="M292" s="1" t="str">
        <f aca="false">IF(J292&lt;&gt;"",J292,L292)</f>
        <v>36, 41, PARASECT</v>
      </c>
    </row>
    <row r="293" customFormat="false" ht="12.75" hidden="false" customHeight="true" outlineLevel="0" collapsed="false">
      <c r="A293" s="3" t="s">
        <v>2911</v>
      </c>
      <c r="B293" s="3" t="str">
        <f aca="false">IF(ISNUMBER(SEARCH("%", A293)),RIGHT(A293,3),A293)</f>
        <v>36, 41, VENOMOTH</v>
      </c>
      <c r="C293" s="1" t="str">
        <f aca="false" t="array" ref="C293:C293">IF(B292="NEW ROUTE",textsplit(B293,","),"")</f>
        <v/>
      </c>
      <c r="H293" s="1" t="str">
        <f aca="false">IF(C293&lt;&gt;"",DEC2HEX(C293,2),"")</f>
        <v/>
      </c>
      <c r="I293" s="1" t="str">
        <f aca="false">IF(D293&lt;&gt;"",DEC2HEX(D293,2),"")</f>
        <v/>
      </c>
      <c r="J293" s="1" t="str">
        <f aca="false">IF(H293&lt;&gt;"","0x"&amp;I293&amp;H293,"")</f>
        <v/>
      </c>
      <c r="L293" s="1" t="s">
        <v>2911</v>
      </c>
      <c r="M293" s="1" t="str">
        <f aca="false">IF(J293&lt;&gt;"",J293,L293)</f>
        <v>36, 41, VENOMOTH</v>
      </c>
    </row>
    <row r="294" customFormat="false" ht="12.75" hidden="false" customHeight="true" outlineLevel="0" collapsed="false">
      <c r="A294" s="3" t="s">
        <v>2936</v>
      </c>
      <c r="B294" s="3" t="str">
        <f aca="false">IF(ISNUMBER(SEARCH("%", A294)),RIGHT(A294,3),A294)</f>
        <v>36, 41, DODRIO</v>
      </c>
      <c r="C294" s="1" t="str">
        <f aca="false" t="array" ref="C294:C294">IF(B293="NEW ROUTE",textsplit(B294,","),"")</f>
        <v/>
      </c>
      <c r="H294" s="1" t="str">
        <f aca="false">IF(C294&lt;&gt;"",DEC2HEX(C294,2),"")</f>
        <v/>
      </c>
      <c r="I294" s="1" t="str">
        <f aca="false">IF(D294&lt;&gt;"",DEC2HEX(D294,2),"")</f>
        <v/>
      </c>
      <c r="J294" s="1" t="str">
        <f aca="false">IF(H294&lt;&gt;"","0x"&amp;I294&amp;H294,"")</f>
        <v/>
      </c>
      <c r="L294" s="1" t="s">
        <v>2936</v>
      </c>
      <c r="M294" s="1" t="str">
        <f aca="false">IF(J294&lt;&gt;"",J294,L294)</f>
        <v>36, 41, DODRIO</v>
      </c>
    </row>
    <row r="295" customFormat="false" ht="12.75" hidden="false" customHeight="true" outlineLevel="0" collapsed="false">
      <c r="A295" s="3" t="s">
        <v>2937</v>
      </c>
      <c r="B295" s="3" t="str">
        <f aca="false">IF(ISNUMBER(SEARCH("%", A295)),RIGHT(A295,3),A295)</f>
        <v>36, 41, MAGMAR</v>
      </c>
      <c r="C295" s="1" t="str">
        <f aca="false" t="array" ref="C295:C295">IF(B294="NEW ROUTE",textsplit(B295,","),"")</f>
        <v/>
      </c>
      <c r="H295" s="1" t="str">
        <f aca="false">IF(C295&lt;&gt;"",DEC2HEX(C295,2),"")</f>
        <v/>
      </c>
      <c r="I295" s="1" t="str">
        <f aca="false">IF(D295&lt;&gt;"",DEC2HEX(D295,2),"")</f>
        <v/>
      </c>
      <c r="J295" s="1" t="str">
        <f aca="false">IF(H295&lt;&gt;"","0x"&amp;I295&amp;H295,"")</f>
        <v/>
      </c>
      <c r="L295" s="1" t="s">
        <v>2937</v>
      </c>
      <c r="M295" s="1" t="str">
        <f aca="false">IF(J295&lt;&gt;"",J295,L295)</f>
        <v>36, 41, MAGMAR</v>
      </c>
    </row>
    <row r="296" customFormat="false" ht="12.75" hidden="false" customHeight="true" outlineLevel="0" collapsed="false">
      <c r="A296" s="3" t="s">
        <v>2806</v>
      </c>
      <c r="B296" s="3" t="str">
        <f aca="false">IF(ISNUMBER(SEARCH("%", A296)),RIGHT(A296,3),A296)</f>
        <v>0.05</v>
      </c>
      <c r="C296" s="1" t="str">
        <f aca="false" t="array" ref="C296:C296">IF(B295="NEW ROUTE",textsplit(B296,","),"")</f>
        <v/>
      </c>
      <c r="H296" s="1" t="str">
        <f aca="false">IF(C296&lt;&gt;"",DEC2HEX(C296,2),"")</f>
        <v/>
      </c>
      <c r="I296" s="1" t="str">
        <f aca="false">IF(D296&lt;&gt;"",DEC2HEX(D296,2),"")</f>
        <v/>
      </c>
      <c r="J296" s="1" t="str">
        <f aca="false">IF(H296&lt;&gt;"","0x"&amp;I296&amp;H296,"")</f>
        <v/>
      </c>
      <c r="L296" s="1" t="s">
        <v>2806</v>
      </c>
      <c r="M296" s="1" t="str">
        <f aca="false">IF(J296&lt;&gt;"",J296,L296)</f>
        <v>0.05</v>
      </c>
    </row>
    <row r="297" customFormat="false" ht="12.75" hidden="false" customHeight="true" outlineLevel="0" collapsed="false">
      <c r="A297" s="3" t="s">
        <v>2914</v>
      </c>
      <c r="B297" s="3" t="str">
        <f aca="false">IF(ISNUMBER(SEARCH("%", A297)),RIGHT(A297,3),A297)</f>
        <v>37, 39, SCIZOR</v>
      </c>
      <c r="C297" s="1" t="str">
        <f aca="false" t="array" ref="C297:C297">IF(B296="NEW ROUTE",textsplit(B297,","),"")</f>
        <v/>
      </c>
      <c r="H297" s="1" t="str">
        <f aca="false">IF(C297&lt;&gt;"",DEC2HEX(C297,2),"")</f>
        <v/>
      </c>
      <c r="I297" s="1" t="str">
        <f aca="false">IF(D297&lt;&gt;"",DEC2HEX(D297,2),"")</f>
        <v/>
      </c>
      <c r="J297" s="1" t="str">
        <f aca="false">IF(H297&lt;&gt;"","0x"&amp;I297&amp;H297,"")</f>
        <v/>
      </c>
      <c r="L297" s="1" t="s">
        <v>2914</v>
      </c>
      <c r="M297" s="1" t="str">
        <f aca="false">IF(J297&lt;&gt;"",J297,L297)</f>
        <v>37, 39, SCIZOR</v>
      </c>
    </row>
    <row r="298" customFormat="false" ht="12.75" hidden="false" customHeight="true" outlineLevel="0" collapsed="false">
      <c r="A298" s="3" t="s">
        <v>2915</v>
      </c>
      <c r="B298" s="3" t="str">
        <f aca="false">IF(ISNUMBER(SEARCH("%", A298)),RIGHT(A298,3),A298)</f>
        <v>37, 39, PINSIRIOR</v>
      </c>
      <c r="C298" s="1" t="str">
        <f aca="false" t="array" ref="C298:C298">IF(B297="NEW ROUTE",textsplit(B298,","),"")</f>
        <v/>
      </c>
      <c r="H298" s="1" t="str">
        <f aca="false">IF(C298&lt;&gt;"",DEC2HEX(C298,2),"")</f>
        <v/>
      </c>
      <c r="I298" s="1" t="str">
        <f aca="false">IF(D298&lt;&gt;"",DEC2HEX(D298,2),"")</f>
        <v/>
      </c>
      <c r="J298" s="1" t="str">
        <f aca="false">IF(H298&lt;&gt;"","0x"&amp;I298&amp;H298,"")</f>
        <v/>
      </c>
      <c r="L298" s="1" t="s">
        <v>2915</v>
      </c>
      <c r="M298" s="1" t="str">
        <f aca="false">IF(J298&lt;&gt;"",J298,L298)</f>
        <v>37, 39, PINSIRIOR</v>
      </c>
    </row>
    <row r="299" customFormat="false" ht="12.75" hidden="false" customHeight="true" outlineLevel="0" collapsed="false">
      <c r="A299" s="3" t="s">
        <v>2809</v>
      </c>
      <c r="B299" s="3" t="str">
        <f aca="false">IF(ISNUMBER(SEARCH("%", A299)),RIGHT(A299,3),A299)</f>
        <v>0.04</v>
      </c>
      <c r="C299" s="1" t="str">
        <f aca="false" t="array" ref="C299:C299">IF(B298="NEW ROUTE",textsplit(B299,","),"")</f>
        <v/>
      </c>
      <c r="H299" s="1" t="str">
        <f aca="false">IF(C299&lt;&gt;"",DEC2HEX(C299,2),"")</f>
        <v/>
      </c>
      <c r="I299" s="1" t="str">
        <f aca="false">IF(D299&lt;&gt;"",DEC2HEX(D299,2),"")</f>
        <v/>
      </c>
      <c r="J299" s="1" t="str">
        <f aca="false">IF(H299&lt;&gt;"","0x"&amp;I299&amp;H299,"")</f>
        <v/>
      </c>
      <c r="L299" s="1" t="s">
        <v>2809</v>
      </c>
      <c r="M299" s="1" t="str">
        <f aca="false">IF(J299&lt;&gt;"",J299,L299)</f>
        <v>0.04</v>
      </c>
    </row>
    <row r="300" customFormat="false" ht="12.75" hidden="false" customHeight="true" outlineLevel="0" collapsed="false">
      <c r="A300" s="3" t="s">
        <v>2938</v>
      </c>
      <c r="B300" s="3" t="str">
        <f aca="false">IF(ISNUMBER(SEARCH("%", A300)),RIGHT(A300,3),A300)</f>
        <v>38, 42, KANGASKHAN</v>
      </c>
      <c r="C300" s="1" t="str">
        <f aca="false" t="array" ref="C300:C300">IF(B299="NEW ROUTE",textsplit(B300,","),"")</f>
        <v/>
      </c>
      <c r="H300" s="1" t="str">
        <f aca="false">IF(C300&lt;&gt;"",DEC2HEX(C300,2),"")</f>
        <v/>
      </c>
      <c r="I300" s="1" t="str">
        <f aca="false">IF(D300&lt;&gt;"",DEC2HEX(D300,2),"")</f>
        <v/>
      </c>
      <c r="J300" s="1" t="str">
        <f aca="false">IF(H300&lt;&gt;"","0x"&amp;I300&amp;H300,"")</f>
        <v/>
      </c>
      <c r="L300" s="1" t="s">
        <v>2938</v>
      </c>
      <c r="M300" s="1" t="str">
        <f aca="false">IF(J300&lt;&gt;"",J300,L300)</f>
        <v>38, 42, KANGASKHAN</v>
      </c>
    </row>
    <row r="301" customFormat="false" ht="12.75" hidden="false" customHeight="true" outlineLevel="0" collapsed="false">
      <c r="A301" s="3" t="s">
        <v>2939</v>
      </c>
      <c r="B301" s="3" t="str">
        <f aca="false">IF(ISNUMBER(SEARCH("%", A301)),RIGHT(A301,3),A301)</f>
        <v>38, 42, HITMONCHAN</v>
      </c>
      <c r="C301" s="1" t="str">
        <f aca="false" t="array" ref="C301:C301">IF(B300="NEW ROUTE",textsplit(B301,","),"")</f>
        <v/>
      </c>
      <c r="H301" s="1" t="str">
        <f aca="false">IF(C301&lt;&gt;"",DEC2HEX(C301,2),"")</f>
        <v/>
      </c>
      <c r="I301" s="1" t="str">
        <f aca="false">IF(D301&lt;&gt;"",DEC2HEX(D301,2),"")</f>
        <v/>
      </c>
      <c r="J301" s="1" t="str">
        <f aca="false">IF(H301&lt;&gt;"","0x"&amp;I301&amp;H301,"")</f>
        <v/>
      </c>
      <c r="L301" s="1" t="s">
        <v>2939</v>
      </c>
      <c r="M301" s="1" t="str">
        <f aca="false">IF(J301&lt;&gt;"",J301,L301)</f>
        <v>38, 42, HITMONCHAN</v>
      </c>
    </row>
    <row r="302" customFormat="false" ht="12.75" hidden="false" customHeight="true" outlineLevel="0" collapsed="false">
      <c r="A302" s="3" t="s">
        <v>2812</v>
      </c>
      <c r="B302" s="3" t="str">
        <f aca="false">IF(ISNUMBER(SEARCH("%", A302)),RIGHT(A302,3),A302)</f>
        <v>0.01</v>
      </c>
      <c r="C302" s="1" t="str">
        <f aca="false" t="array" ref="C302:C302">IF(B301="NEW ROUTE",textsplit(B302,","),"")</f>
        <v/>
      </c>
      <c r="H302" s="1" t="str">
        <f aca="false">IF(C302&lt;&gt;"",DEC2HEX(C302,2),"")</f>
        <v/>
      </c>
      <c r="I302" s="1" t="str">
        <f aca="false">IF(D302&lt;&gt;"",DEC2HEX(D302,2),"")</f>
        <v/>
      </c>
      <c r="J302" s="1" t="str">
        <f aca="false">IF(H302&lt;&gt;"","0x"&amp;I302&amp;H302,"")</f>
        <v/>
      </c>
      <c r="L302" s="1" t="s">
        <v>2812</v>
      </c>
      <c r="M302" s="1" t="str">
        <f aca="false">IF(J302&lt;&gt;"",J302,L302)</f>
        <v>0.01</v>
      </c>
    </row>
    <row r="303" customFormat="false" ht="12.75" hidden="false" customHeight="true" outlineLevel="0" collapsed="false">
      <c r="A303" s="3" t="s">
        <v>2940</v>
      </c>
      <c r="B303" s="3" t="str">
        <f aca="false">IF(ISNUMBER(SEARCH("%", A303)),RIGHT(A303,3),A303)</f>
        <v>40, 40, KANGALLOUS</v>
      </c>
      <c r="C303" s="1" t="str">
        <f aca="false" t="array" ref="C303:C303">IF(B302="NEW ROUTE",textsplit(B303,","),"")</f>
        <v/>
      </c>
      <c r="H303" s="1" t="str">
        <f aca="false">IF(C303&lt;&gt;"",DEC2HEX(C303,2),"")</f>
        <v/>
      </c>
      <c r="I303" s="1" t="str">
        <f aca="false">IF(D303&lt;&gt;"",DEC2HEX(D303,2),"")</f>
        <v/>
      </c>
      <c r="J303" s="1" t="str">
        <f aca="false">IF(H303&lt;&gt;"","0x"&amp;I303&amp;H303,"")</f>
        <v/>
      </c>
      <c r="L303" s="1" t="s">
        <v>2940</v>
      </c>
      <c r="M303" s="1" t="str">
        <f aca="false">IF(J303&lt;&gt;"",J303,L303)</f>
        <v>40, 40, KANGALLOUS</v>
      </c>
    </row>
    <row r="304" customFormat="false" ht="12.75" hidden="false" customHeight="true" outlineLevel="0" collapsed="false">
      <c r="A304" s="3" t="s">
        <v>2941</v>
      </c>
      <c r="B304" s="3" t="str">
        <f aca="false">IF(ISNUMBER(SEARCH("%", A304)),RIGHT(A304,3),A304)</f>
        <v>40, 40, MAGMORTAR</v>
      </c>
      <c r="C304" s="1" t="str">
        <f aca="false" t="array" ref="C304:C304">IF(B303="NEW ROUTE",textsplit(B304,","),"")</f>
        <v/>
      </c>
      <c r="H304" s="1" t="str">
        <f aca="false">IF(C304&lt;&gt;"",DEC2HEX(C304,2),"")</f>
        <v/>
      </c>
      <c r="I304" s="1" t="str">
        <f aca="false">IF(D304&lt;&gt;"",DEC2HEX(D304,2),"")</f>
        <v/>
      </c>
      <c r="J304" s="1" t="str">
        <f aca="false">IF(H304&lt;&gt;"","0x"&amp;I304&amp;H304,"")</f>
        <v/>
      </c>
      <c r="L304" s="1" t="s">
        <v>2941</v>
      </c>
      <c r="M304" s="1" t="str">
        <f aca="false">IF(J304&lt;&gt;"",J304,L304)</f>
        <v>40, 40, MAGMORTAR</v>
      </c>
    </row>
    <row r="305" customFormat="false" ht="12.75" hidden="false" customHeight="true" outlineLevel="0" collapsed="false">
      <c r="A305" s="3" t="s">
        <v>2920</v>
      </c>
      <c r="B305" s="3" t="str">
        <f aca="false">IF(ISNUMBER(SEARCH("%", A305)),RIGHT(A305,3),A305)</f>
        <v>2, 38, 42, SLOWPOKE</v>
      </c>
      <c r="C305" s="1" t="str">
        <f aca="false" t="array" ref="C305:C305">IF(B304="NEW ROUTE",textsplit(B305,","),"")</f>
        <v/>
      </c>
      <c r="H305" s="1" t="str">
        <f aca="false">IF(C305&lt;&gt;"",DEC2HEX(C305,2),"")</f>
        <v/>
      </c>
      <c r="I305" s="1" t="str">
        <f aca="false">IF(D305&lt;&gt;"",DEC2HEX(D305,2),"")</f>
        <v/>
      </c>
      <c r="J305" s="1" t="str">
        <f aca="false">IF(H305&lt;&gt;"","0x"&amp;I305&amp;H305,"")</f>
        <v/>
      </c>
      <c r="L305" s="1" t="s">
        <v>2920</v>
      </c>
      <c r="M305" s="1" t="str">
        <f aca="false">IF(J305&lt;&gt;"",J305,L305)</f>
        <v>2, 38, 42, SLOWPOKE</v>
      </c>
    </row>
    <row r="306" customFormat="false" ht="12.75" hidden="false" customHeight="true" outlineLevel="0" collapsed="false">
      <c r="A306" s="3" t="s">
        <v>2921</v>
      </c>
      <c r="B306" s="3" t="str">
        <f aca="false">IF(ISNUMBER(SEARCH("%", A306)),RIGHT(A306,3),A306)</f>
        <v>40, 42, PSYDUCK</v>
      </c>
      <c r="C306" s="1" t="str">
        <f aca="false" t="array" ref="C306:C306">IF(B305="NEW ROUTE",textsplit(B306,","),"")</f>
        <v/>
      </c>
      <c r="H306" s="1" t="str">
        <f aca="false">IF(C306&lt;&gt;"",DEC2HEX(C306,2),"")</f>
        <v/>
      </c>
      <c r="I306" s="1" t="str">
        <f aca="false">IF(D306&lt;&gt;"",DEC2HEX(D306,2),"")</f>
        <v/>
      </c>
      <c r="J306" s="1" t="str">
        <f aca="false">IF(H306&lt;&gt;"","0x"&amp;I306&amp;H306,"")</f>
        <v/>
      </c>
      <c r="L306" s="1" t="s">
        <v>2921</v>
      </c>
      <c r="M306" s="1" t="str">
        <f aca="false">IF(J306&lt;&gt;"",J306,L306)</f>
        <v>40, 42, PSYDUCK</v>
      </c>
    </row>
    <row r="307" customFormat="false" ht="12.75" hidden="false" customHeight="true" outlineLevel="0" collapsed="false">
      <c r="A307" s="3" t="s">
        <v>2922</v>
      </c>
      <c r="B307" s="3" t="str">
        <f aca="false">IF(ISNUMBER(SEARCH("%", A307)),RIGHT(A307,3),A307)</f>
        <v>42, 46, SLOWBRO</v>
      </c>
      <c r="C307" s="1" t="str">
        <f aca="false" t="array" ref="C307:C307">IF(B306="NEW ROUTE",textsplit(B307,","),"")</f>
        <v/>
      </c>
      <c r="H307" s="1" t="str">
        <f aca="false">IF(C307&lt;&gt;"",DEC2HEX(C307,2),"")</f>
        <v/>
      </c>
      <c r="I307" s="1" t="str">
        <f aca="false">IF(D307&lt;&gt;"",DEC2HEX(D307,2),"")</f>
        <v/>
      </c>
      <c r="J307" s="1" t="str">
        <f aca="false">IF(H307&lt;&gt;"","0x"&amp;I307&amp;H307,"")</f>
        <v/>
      </c>
      <c r="L307" s="1" t="s">
        <v>2922</v>
      </c>
      <c r="M307" s="1" t="str">
        <f aca="false">IF(J307&lt;&gt;"",J307,L307)</f>
        <v>42, 46, SLOWBRO</v>
      </c>
    </row>
    <row r="308" customFormat="false" ht="12.75" hidden="false" customHeight="true" outlineLevel="0" collapsed="false">
      <c r="A308" s="3" t="s">
        <v>2923</v>
      </c>
      <c r="B308" s="3" t="str">
        <f aca="false">IF(ISNUMBER(SEARCH("%", A308)),RIGHT(A308,3),A308)</f>
        <v>42, 46, GOLDUCK</v>
      </c>
      <c r="C308" s="1" t="str">
        <f aca="false" t="array" ref="C308:C308">IF(B307="NEW ROUTE",textsplit(B308,","),"")</f>
        <v/>
      </c>
      <c r="H308" s="1" t="str">
        <f aca="false">IF(C308&lt;&gt;"",DEC2HEX(C308,2),"")</f>
        <v/>
      </c>
      <c r="I308" s="1" t="str">
        <f aca="false">IF(D308&lt;&gt;"",DEC2HEX(D308,2),"")</f>
        <v/>
      </c>
      <c r="J308" s="1" t="str">
        <f aca="false">IF(H308&lt;&gt;"","0x"&amp;I308&amp;H308,"")</f>
        <v/>
      </c>
      <c r="L308" s="1" t="s">
        <v>2923</v>
      </c>
      <c r="M308" s="1" t="str">
        <f aca="false">IF(J308&lt;&gt;"",J308,L308)</f>
        <v>42, 46, GOLDUCK</v>
      </c>
    </row>
    <row r="309" customFormat="false" ht="12.75" hidden="false" customHeight="true" outlineLevel="0" collapsed="false">
      <c r="A309" s="3" t="s">
        <v>2924</v>
      </c>
      <c r="B309" s="3" t="str">
        <f aca="false">IF(ISNUMBER(SEARCH("%", A309)),RIGHT(A309,3),A309)</f>
        <v>44, 48, VAPOREON</v>
      </c>
      <c r="C309" s="1" t="str">
        <f aca="false" t="array" ref="C309:C309">IF(B308="NEW ROUTE",textsplit(B309,","),"")</f>
        <v/>
      </c>
      <c r="H309" s="1" t="str">
        <f aca="false">IF(C309&lt;&gt;"",DEC2HEX(C309,2),"")</f>
        <v/>
      </c>
      <c r="I309" s="1" t="str">
        <f aca="false">IF(D309&lt;&gt;"",DEC2HEX(D309,2),"")</f>
        <v/>
      </c>
      <c r="J309" s="1" t="str">
        <f aca="false">IF(H309&lt;&gt;"","0x"&amp;I309&amp;H309,"")</f>
        <v/>
      </c>
      <c r="L309" s="1" t="s">
        <v>2924</v>
      </c>
      <c r="M309" s="1" t="str">
        <f aca="false">IF(J309&lt;&gt;"",J309,L309)</f>
        <v>44, 48, VAPOREON</v>
      </c>
    </row>
    <row r="310" customFormat="false" ht="12.75" hidden="false" customHeight="true" outlineLevel="0" collapsed="false">
      <c r="A310" s="3" t="s">
        <v>2925</v>
      </c>
      <c r="B310" s="3" t="str">
        <f aca="false">IF(ISNUMBER(SEARCH("%", A310)),RIGHT(A310,3),A310)</f>
        <v>20, old rod:</v>
      </c>
      <c r="C310" s="1" t="str">
        <f aca="false" t="array" ref="C310:C310">IF(B309="NEW ROUTE",textsplit(B310,","),"")</f>
        <v/>
      </c>
      <c r="H310" s="1" t="str">
        <f aca="false">IF(C310&lt;&gt;"",DEC2HEX(C310,2),"")</f>
        <v/>
      </c>
      <c r="I310" s="1" t="str">
        <f aca="false">IF(D310&lt;&gt;"",DEC2HEX(D310,2),"")</f>
        <v/>
      </c>
      <c r="J310" s="1" t="str">
        <f aca="false">IF(H310&lt;&gt;"","0x"&amp;I310&amp;H310,"")</f>
        <v/>
      </c>
      <c r="L310" s="1" t="s">
        <v>2925</v>
      </c>
      <c r="M310" s="1" t="str">
        <f aca="false">IF(J310&lt;&gt;"",J310,L310)</f>
        <v>20, old rod:</v>
      </c>
    </row>
    <row r="311" customFormat="false" ht="12.75" hidden="false" customHeight="true" outlineLevel="0" collapsed="false">
      <c r="A311" s="3" t="s">
        <v>1349</v>
      </c>
      <c r="B311" s="3" t="str">
        <f aca="false">IF(ISNUMBER(SEARCH("%", A311)),RIGHT(A311,3),A311)</f>
        <v>19, 26, MAGIKARP</v>
      </c>
      <c r="C311" s="1" t="str">
        <f aca="false" t="array" ref="C311:C311">IF(B310="NEW ROUTE",textsplit(B311,","),"")</f>
        <v/>
      </c>
      <c r="H311" s="1" t="str">
        <f aca="false">IF(C311&lt;&gt;"",DEC2HEX(C311,2),"")</f>
        <v/>
      </c>
      <c r="I311" s="1" t="str">
        <f aca="false">IF(D311&lt;&gt;"",DEC2HEX(D311,2),"")</f>
        <v/>
      </c>
      <c r="J311" s="1" t="str">
        <f aca="false">IF(H311&lt;&gt;"","0x"&amp;I311&amp;H311,"")</f>
        <v/>
      </c>
      <c r="L311" s="1" t="s">
        <v>1349</v>
      </c>
      <c r="M311" s="1" t="str">
        <f aca="false">IF(J311&lt;&gt;"",J311,L311)</f>
        <v>19, 26, MAGIKARP</v>
      </c>
    </row>
    <row r="312" customFormat="false" ht="12.75" hidden="false" customHeight="true" outlineLevel="0" collapsed="false">
      <c r="A312" s="3" t="s">
        <v>2926</v>
      </c>
      <c r="B312" s="3" t="str">
        <f aca="false">IF(ISNUMBER(SEARCH("%", A312)),RIGHT(A312,3),A312)</f>
        <v>19, 26, POLIWAG</v>
      </c>
      <c r="C312" s="1" t="str">
        <f aca="false" t="array" ref="C312:C312">IF(B311="NEW ROUTE",textsplit(B312,","),"")</f>
        <v/>
      </c>
      <c r="H312" s="1" t="str">
        <f aca="false">IF(C312&lt;&gt;"",DEC2HEX(C312,2),"")</f>
        <v/>
      </c>
      <c r="I312" s="1" t="str">
        <f aca="false">IF(D312&lt;&gt;"",DEC2HEX(D312,2),"")</f>
        <v/>
      </c>
      <c r="J312" s="1" t="str">
        <f aca="false">IF(H312&lt;&gt;"","0x"&amp;I312&amp;H312,"")</f>
        <v/>
      </c>
      <c r="L312" s="1" t="s">
        <v>2926</v>
      </c>
      <c r="M312" s="1" t="str">
        <f aca="false">IF(J312&lt;&gt;"",J312,L312)</f>
        <v>19, 26, POLIWAG</v>
      </c>
    </row>
    <row r="313" customFormat="false" ht="12.75" hidden="false" customHeight="true" outlineLevel="0" collapsed="false">
      <c r="A313" s="3" t="s">
        <v>2846</v>
      </c>
      <c r="B313" s="3" t="str">
        <f aca="false">IF(ISNUMBER(SEARCH("%", A313)),RIGHT(A313,3),A313)</f>
        <v>good rod:</v>
      </c>
      <c r="C313" s="1" t="str">
        <f aca="false" t="array" ref="C313:C313">IF(B312="NEW ROUTE",textsplit(B313,","),"")</f>
        <v/>
      </c>
      <c r="H313" s="1" t="str">
        <f aca="false">IF(C313&lt;&gt;"",DEC2HEX(C313,2),"")</f>
        <v/>
      </c>
      <c r="I313" s="1" t="str">
        <f aca="false">IF(D313&lt;&gt;"",DEC2HEX(D313,2),"")</f>
        <v/>
      </c>
      <c r="J313" s="1" t="str">
        <f aca="false">IF(H313&lt;&gt;"","0x"&amp;I313&amp;H313,"")</f>
        <v/>
      </c>
      <c r="L313" s="1" t="s">
        <v>2846</v>
      </c>
      <c r="M313" s="1" t="str">
        <f aca="false">IF(J313&lt;&gt;"",J313,L313)</f>
        <v>good rod:</v>
      </c>
    </row>
    <row r="314" customFormat="false" ht="12.75" hidden="false" customHeight="true" outlineLevel="0" collapsed="false">
      <c r="A314" s="3" t="s">
        <v>2927</v>
      </c>
      <c r="B314" s="3" t="str">
        <f aca="false">IF(ISNUMBER(SEARCH("%", A314)),RIGHT(A314,3),A314)</f>
        <v>29, 33, GYARADOS</v>
      </c>
      <c r="C314" s="1" t="str">
        <f aca="false" t="array" ref="C314:C314">IF(B313="NEW ROUTE",textsplit(B314,","),"")</f>
        <v/>
      </c>
      <c r="H314" s="1" t="str">
        <f aca="false">IF(C314&lt;&gt;"",DEC2HEX(C314,2),"")</f>
        <v/>
      </c>
      <c r="I314" s="1" t="str">
        <f aca="false">IF(D314&lt;&gt;"",DEC2HEX(D314,2),"")</f>
        <v/>
      </c>
      <c r="J314" s="1" t="str">
        <f aca="false">IF(H314&lt;&gt;"","0x"&amp;I314&amp;H314,"")</f>
        <v/>
      </c>
      <c r="L314" s="1" t="s">
        <v>2927</v>
      </c>
      <c r="M314" s="1" t="str">
        <f aca="false">IF(J314&lt;&gt;"",J314,L314)</f>
        <v>29, 33, GYARADOS</v>
      </c>
    </row>
    <row r="315" customFormat="false" ht="12.75" hidden="false" customHeight="true" outlineLevel="0" collapsed="false">
      <c r="A315" s="3" t="s">
        <v>2928</v>
      </c>
      <c r="B315" s="3" t="str">
        <f aca="false">IF(ISNUMBER(SEARCH("%", A315)),RIGHT(A315,3),A315)</f>
        <v>30, 35, POLIWAG</v>
      </c>
      <c r="C315" s="1" t="str">
        <f aca="false" t="array" ref="C315:C315">IF(B314="NEW ROUTE",textsplit(B315,","),"")</f>
        <v/>
      </c>
      <c r="H315" s="1" t="str">
        <f aca="false">IF(C315&lt;&gt;"",DEC2HEX(C315,2),"")</f>
        <v/>
      </c>
      <c r="I315" s="1" t="str">
        <f aca="false">IF(D315&lt;&gt;"",DEC2HEX(D315,2),"")</f>
        <v/>
      </c>
      <c r="J315" s="1" t="str">
        <f aca="false">IF(H315&lt;&gt;"","0x"&amp;I315&amp;H315,"")</f>
        <v/>
      </c>
      <c r="L315" s="1" t="s">
        <v>2928</v>
      </c>
      <c r="M315" s="1" t="str">
        <f aca="false">IF(J315&lt;&gt;"",J315,L315)</f>
        <v>30, 35, POLIWAG</v>
      </c>
    </row>
    <row r="316" customFormat="false" ht="12.75" hidden="false" customHeight="true" outlineLevel="0" collapsed="false">
      <c r="A316" s="3" t="s">
        <v>2929</v>
      </c>
      <c r="B316" s="3" t="str">
        <f aca="false">IF(ISNUMBER(SEARCH("%", A316)),RIGHT(A316,3),A316)</f>
        <v>30, 35, GOLDEEN</v>
      </c>
      <c r="C316" s="1" t="str">
        <f aca="false" t="array" ref="C316:C316">IF(B315="NEW ROUTE",textsplit(B316,","),"")</f>
        <v/>
      </c>
      <c r="H316" s="1" t="str">
        <f aca="false">IF(C316&lt;&gt;"",DEC2HEX(C316,2),"")</f>
        <v/>
      </c>
      <c r="I316" s="1" t="str">
        <f aca="false">IF(D316&lt;&gt;"",DEC2HEX(D316,2),"")</f>
        <v/>
      </c>
      <c r="J316" s="1" t="str">
        <f aca="false">IF(H316&lt;&gt;"","0x"&amp;I316&amp;H316,"")</f>
        <v/>
      </c>
      <c r="L316" s="1" t="s">
        <v>2929</v>
      </c>
      <c r="M316" s="1" t="str">
        <f aca="false">IF(J316&lt;&gt;"",J316,L316)</f>
        <v>30, 35, GOLDEEN</v>
      </c>
    </row>
    <row r="317" customFormat="false" ht="12.75" hidden="false" customHeight="true" outlineLevel="0" collapsed="false">
      <c r="A317" s="3" t="s">
        <v>2850</v>
      </c>
      <c r="B317" s="3" t="str">
        <f aca="false">IF(ISNUMBER(SEARCH("%", A317)),RIGHT(A317,3),A317)</f>
        <v>super rod:</v>
      </c>
      <c r="C317" s="1" t="str">
        <f aca="false" t="array" ref="C317:C317">IF(B316="NEW ROUTE",textsplit(B317,","),"")</f>
        <v/>
      </c>
      <c r="H317" s="1" t="str">
        <f aca="false">IF(C317&lt;&gt;"",DEC2HEX(C317,2),"")</f>
        <v/>
      </c>
      <c r="I317" s="1" t="str">
        <f aca="false">IF(D317&lt;&gt;"",DEC2HEX(D317,2),"")</f>
        <v/>
      </c>
      <c r="J317" s="1" t="str">
        <f aca="false">IF(H317&lt;&gt;"","0x"&amp;I317&amp;H317,"")</f>
        <v/>
      </c>
      <c r="L317" s="1" t="s">
        <v>2850</v>
      </c>
      <c r="M317" s="1" t="str">
        <f aca="false">IF(J317&lt;&gt;"",J317,L317)</f>
        <v>super rod:</v>
      </c>
    </row>
    <row r="318" customFormat="false" ht="12.75" hidden="false" customHeight="true" outlineLevel="0" collapsed="false">
      <c r="A318" s="3" t="s">
        <v>2930</v>
      </c>
      <c r="B318" s="3" t="str">
        <f aca="false">IF(ISNUMBER(SEARCH("%", A318)),RIGHT(A318,3),A318)</f>
        <v>36, 40, POLIWHIRL</v>
      </c>
      <c r="C318" s="1" t="str">
        <f aca="false" t="array" ref="C318:C318">IF(B317="NEW ROUTE",textsplit(B318,","),"")</f>
        <v/>
      </c>
      <c r="H318" s="1" t="str">
        <f aca="false">IF(C318&lt;&gt;"",DEC2HEX(C318,2),"")</f>
        <v/>
      </c>
      <c r="I318" s="1" t="str">
        <f aca="false">IF(D318&lt;&gt;"",DEC2HEX(D318,2),"")</f>
        <v/>
      </c>
      <c r="J318" s="1" t="str">
        <f aca="false">IF(H318&lt;&gt;"","0x"&amp;I318&amp;H318,"")</f>
        <v/>
      </c>
      <c r="L318" s="1" t="s">
        <v>2930</v>
      </c>
      <c r="M318" s="1" t="str">
        <f aca="false">IF(J318&lt;&gt;"",J318,L318)</f>
        <v>36, 40, POLIWHIRL</v>
      </c>
    </row>
    <row r="319" customFormat="false" ht="12.75" hidden="false" customHeight="true" outlineLevel="0" collapsed="false">
      <c r="A319" s="3" t="s">
        <v>2931</v>
      </c>
      <c r="B319" s="3" t="str">
        <f aca="false">IF(ISNUMBER(SEARCH("%", A319)),RIGHT(A319,3),A319)</f>
        <v>36, 40, SEAKING</v>
      </c>
      <c r="C319" s="1" t="str">
        <f aca="false" t="array" ref="C319:C319">IF(B318="NEW ROUTE",textsplit(B319,","),"")</f>
        <v/>
      </c>
      <c r="H319" s="1" t="str">
        <f aca="false">IF(C319&lt;&gt;"",DEC2HEX(C319,2),"")</f>
        <v/>
      </c>
      <c r="I319" s="1" t="str">
        <f aca="false">IF(D319&lt;&gt;"",DEC2HEX(D319,2),"")</f>
        <v/>
      </c>
      <c r="J319" s="1" t="str">
        <f aca="false">IF(H319&lt;&gt;"","0x"&amp;I319&amp;H319,"")</f>
        <v/>
      </c>
      <c r="L319" s="1" t="s">
        <v>2931</v>
      </c>
      <c r="M319" s="1" t="str">
        <f aca="false">IF(J319&lt;&gt;"",J319,L319)</f>
        <v>36, 40, SEAKING</v>
      </c>
    </row>
    <row r="320" customFormat="false" ht="12.75" hidden="false" customHeight="true" outlineLevel="0" collapsed="false">
      <c r="A320" s="3" t="s">
        <v>2932</v>
      </c>
      <c r="B320" s="3" t="str">
        <f aca="false">IF(ISNUMBER(SEARCH("%", A320)),RIGHT(A320,3),A320)</f>
        <v>38, 42, DRATINI</v>
      </c>
      <c r="C320" s="1" t="str">
        <f aca="false" t="array" ref="C320:C320">IF(B319="NEW ROUTE",textsplit(B320,","),"")</f>
        <v/>
      </c>
      <c r="H320" s="1" t="str">
        <f aca="false">IF(C320&lt;&gt;"",DEC2HEX(C320,2),"")</f>
        <v/>
      </c>
      <c r="I320" s="1" t="str">
        <f aca="false">IF(D320&lt;&gt;"",DEC2HEX(D320,2),"")</f>
        <v/>
      </c>
      <c r="J320" s="1" t="str">
        <f aca="false">IF(H320&lt;&gt;"","0x"&amp;I320&amp;H320,"")</f>
        <v/>
      </c>
      <c r="L320" s="1" t="s">
        <v>2932</v>
      </c>
      <c r="M320" s="1" t="str">
        <f aca="false">IF(J320&lt;&gt;"",J320,L320)</f>
        <v>38, 42, DRATINI</v>
      </c>
    </row>
    <row r="321" customFormat="false" ht="12.75" hidden="false" customHeight="true" outlineLevel="0" collapsed="false">
      <c r="A321" s="3" t="s">
        <v>2933</v>
      </c>
      <c r="B321" s="3" t="str">
        <f aca="false">IF(ISNUMBER(SEARCH("%", A321)),RIGHT(A321,3),A321)</f>
        <v>38, 42, DRAGONAIR</v>
      </c>
      <c r="C321" s="1" t="str">
        <f aca="false" t="array" ref="C321:C321">IF(B320="NEW ROUTE",textsplit(B321,","),"")</f>
        <v/>
      </c>
      <c r="H321" s="1" t="str">
        <f aca="false">IF(C321&lt;&gt;"",DEC2HEX(C321,2),"")</f>
        <v/>
      </c>
      <c r="I321" s="1" t="str">
        <f aca="false">IF(D321&lt;&gt;"",DEC2HEX(D321,2),"")</f>
        <v/>
      </c>
      <c r="J321" s="1" t="str">
        <f aca="false">IF(H321&lt;&gt;"","0x"&amp;I321&amp;H321,"")</f>
        <v/>
      </c>
      <c r="L321" s="1" t="s">
        <v>2933</v>
      </c>
      <c r="M321" s="1" t="str">
        <f aca="false">IF(J321&lt;&gt;"",J321,L321)</f>
        <v>38, 42, DRAGONAIR</v>
      </c>
    </row>
    <row r="322" customFormat="false" ht="12.75" hidden="false" customHeight="true" outlineLevel="0" collapsed="false">
      <c r="A322" s="3" t="s">
        <v>2934</v>
      </c>
      <c r="B322" s="3" t="str">
        <f aca="false">IF(ISNUMBER(SEARCH("%", A322)),RIGHT(A322,3),A322)</f>
        <v>40, 44, DRAGONITE</v>
      </c>
      <c r="C322" s="1" t="str">
        <f aca="false" t="array" ref="C322:C322">IF(B321="NEW ROUTE",textsplit(B322,","),"")</f>
        <v/>
      </c>
      <c r="H322" s="1" t="str">
        <f aca="false">IF(C322&lt;&gt;"",DEC2HEX(C322,2),"")</f>
        <v/>
      </c>
      <c r="I322" s="1" t="str">
        <f aca="false">IF(D322&lt;&gt;"",DEC2HEX(D322,2),"")</f>
        <v/>
      </c>
      <c r="J322" s="1" t="str">
        <f aca="false">IF(H322&lt;&gt;"","0x"&amp;I322&amp;H322,"")</f>
        <v/>
      </c>
      <c r="L322" s="1" t="s">
        <v>2934</v>
      </c>
      <c r="M322" s="1" t="str">
        <f aca="false">IF(J322&lt;&gt;"",J322,L322)</f>
        <v>40, 44, DRAGONITE</v>
      </c>
    </row>
    <row r="323" customFormat="false" ht="12.75" hidden="false" customHeight="true" outlineLevel="0" collapsed="false">
      <c r="A323" s="3" t="s">
        <v>2536</v>
      </c>
      <c r="B323" s="3" t="str">
        <f aca="false">IF(ISNUMBER(SEARCH("%", A323)),RIGHT(A323,3),A323)</f>
        <v>NEW ROUTE</v>
      </c>
      <c r="C323" s="1" t="str">
        <f aca="false" t="array" ref="C323:C323">IF(B322="NEW ROUTE",textsplit(B323,","),"")</f>
        <v/>
      </c>
      <c r="H323" s="1" t="str">
        <f aca="false">IF(C323&lt;&gt;"",DEC2HEX(C323,2),"")</f>
        <v/>
      </c>
      <c r="I323" s="1" t="str">
        <f aca="false">IF(D323&lt;&gt;"",DEC2HEX(D323,2),"")</f>
        <v/>
      </c>
      <c r="J323" s="1" t="str">
        <f aca="false">IF(H323&lt;&gt;"","0x"&amp;I323&amp;H323,"")</f>
        <v/>
      </c>
      <c r="L323" s="1" t="s">
        <v>2536</v>
      </c>
      <c r="M323" s="1" t="str">
        <f aca="false">IF(J323&lt;&gt;"",J323,L323)</f>
        <v>NEW ROUTE</v>
      </c>
    </row>
    <row r="324" customFormat="false" ht="12.75" hidden="false" customHeight="true" outlineLevel="0" collapsed="false">
      <c r="A324" s="3" t="s">
        <v>2942</v>
      </c>
      <c r="B324" s="3" t="str">
        <f aca="false">IF(ISNUMBER(SEARCH("%", A324)),RIGHT(A324,3),A324)</f>
        <v>1, 65, 0,</v>
      </c>
      <c r="C324" s="1" t="e">
        <f aca="false" t="array" ref="C324:C324">IF(B323="NEW ROUTE",textsplit(B324,","),"")</f>
        <v>#NAME?</v>
      </c>
      <c r="H324" s="1" t="e">
        <f aca="false">IF(C324&lt;&gt;"",DEC2HEX(C324,2),"")</f>
        <v>#NAME?</v>
      </c>
      <c r="I324" s="1" t="str">
        <f aca="false">IF(D324&lt;&gt;"",DEC2HEX(D324,2),"")</f>
        <v/>
      </c>
      <c r="J324" s="1" t="e">
        <f aca="false">IF(H324&lt;&gt;"","0x"&amp;I324&amp;H324,"")</f>
        <v>#NAME?</v>
      </c>
      <c r="L324" s="1" t="s">
        <v>2942</v>
      </c>
      <c r="M324" s="1" t="e">
        <f aca="false">IF(J324&lt;&gt;"",J324,L324)</f>
        <v>#NAME?</v>
      </c>
    </row>
    <row r="325" customFormat="false" ht="12.75" hidden="false" customHeight="true" outlineLevel="0" collapsed="false">
      <c r="A325" s="3" t="s">
        <v>2908</v>
      </c>
      <c r="B325" s="3" t="str">
        <f aca="false">IF(ISNUMBER(SEARCH("%", A325)),RIGHT(A325,3),A325)</f>
        <v>20%</v>
      </c>
      <c r="C325" s="1" t="str">
        <f aca="false" t="array" ref="C325:C325">IF(B324="NEW ROUTE",textsplit(B325,","),"")</f>
        <v/>
      </c>
      <c r="H325" s="1" t="str">
        <f aca="false">IF(C325&lt;&gt;"",DEC2HEX(C325,2),"")</f>
        <v/>
      </c>
      <c r="I325" s="1" t="str">
        <f aca="false">IF(D325&lt;&gt;"",DEC2HEX(D325,2),"")</f>
        <v/>
      </c>
      <c r="J325" s="1" t="str">
        <f aca="false">IF(H325&lt;&gt;"","0x"&amp;I325&amp;H325,"")</f>
        <v/>
      </c>
      <c r="L325" s="1" t="s">
        <v>2799</v>
      </c>
      <c r="M325" s="1" t="str">
        <f aca="false">IF(J325&lt;&gt;"",J325,L325)</f>
        <v>20%</v>
      </c>
    </row>
    <row r="326" customFormat="false" ht="12.75" hidden="false" customHeight="true" outlineLevel="0" collapsed="false">
      <c r="A326" s="3" t="s">
        <v>1333</v>
      </c>
      <c r="B326" s="3" t="str">
        <f aca="false">IF(ISNUMBER(SEARCH("%", A326)),RIGHT(A326,3),A326)</f>
        <v>35, 40, NIDOKING</v>
      </c>
      <c r="C326" s="1" t="str">
        <f aca="false" t="array" ref="C326:C326">IF(B325="NEW ROUTE",textsplit(B326,","),"")</f>
        <v/>
      </c>
      <c r="H326" s="1" t="str">
        <f aca="false">IF(C326&lt;&gt;"",DEC2HEX(C326,2),"")</f>
        <v/>
      </c>
      <c r="I326" s="1" t="str">
        <f aca="false">IF(D326&lt;&gt;"",DEC2HEX(D326,2),"")</f>
        <v/>
      </c>
      <c r="J326" s="1" t="str">
        <f aca="false">IF(H326&lt;&gt;"","0x"&amp;I326&amp;H326,"")</f>
        <v/>
      </c>
      <c r="L326" s="1" t="s">
        <v>1333</v>
      </c>
      <c r="M326" s="1" t="str">
        <f aca="false">IF(J326&lt;&gt;"",J326,L326)</f>
        <v>35, 40, NIDOKING</v>
      </c>
    </row>
    <row r="327" customFormat="false" ht="12.75" hidden="false" customHeight="true" outlineLevel="0" collapsed="false">
      <c r="A327" s="3" t="s">
        <v>2909</v>
      </c>
      <c r="B327" s="3" t="str">
        <f aca="false">IF(ISNUMBER(SEARCH("%", A327)),RIGHT(A327,3),A327)</f>
        <v>35, 40, NIDOQUEEN</v>
      </c>
      <c r="C327" s="1" t="str">
        <f aca="false" t="array" ref="C327:C327">IF(B326="NEW ROUTE",textsplit(B327,","),"")</f>
        <v/>
      </c>
      <c r="H327" s="1" t="str">
        <f aca="false">IF(C327&lt;&gt;"",DEC2HEX(C327,2),"")</f>
        <v/>
      </c>
      <c r="I327" s="1" t="str">
        <f aca="false">IF(D327&lt;&gt;"",DEC2HEX(D327,2),"")</f>
        <v/>
      </c>
      <c r="J327" s="1" t="str">
        <f aca="false">IF(H327&lt;&gt;"","0x"&amp;I327&amp;H327,"")</f>
        <v/>
      </c>
      <c r="L327" s="1" t="s">
        <v>2909</v>
      </c>
      <c r="M327" s="1" t="str">
        <f aca="false">IF(J327&lt;&gt;"",J327,L327)</f>
        <v>35, 40, NIDOQUEEN</v>
      </c>
    </row>
    <row r="328" customFormat="false" ht="12.75" hidden="false" customHeight="true" outlineLevel="0" collapsed="false">
      <c r="A328" s="3" t="s">
        <v>2801</v>
      </c>
      <c r="B328" s="3" t="str">
        <f aca="false">IF(ISNUMBER(SEARCH("%", A328)),RIGHT(A328,3),A328)</f>
        <v>0.1</v>
      </c>
      <c r="C328" s="1" t="str">
        <f aca="false" t="array" ref="C328:C328">IF(B327="NEW ROUTE",textsplit(B328,","),"")</f>
        <v/>
      </c>
      <c r="H328" s="1" t="str">
        <f aca="false">IF(C328&lt;&gt;"",DEC2HEX(C328,2),"")</f>
        <v/>
      </c>
      <c r="I328" s="1" t="str">
        <f aca="false">IF(D328&lt;&gt;"",DEC2HEX(D328,2),"")</f>
        <v/>
      </c>
      <c r="J328" s="1" t="str">
        <f aca="false">IF(H328&lt;&gt;"","0x"&amp;I328&amp;H328,"")</f>
        <v/>
      </c>
      <c r="L328" s="1" t="s">
        <v>2801</v>
      </c>
      <c r="M328" s="1" t="str">
        <f aca="false">IF(J328&lt;&gt;"",J328,L328)</f>
        <v>0.1</v>
      </c>
    </row>
    <row r="329" customFormat="false" ht="12.75" hidden="false" customHeight="true" outlineLevel="0" collapsed="false">
      <c r="A329" s="3" t="s">
        <v>2910</v>
      </c>
      <c r="B329" s="3" t="str">
        <f aca="false">IF(ISNUMBER(SEARCH("%", A329)),RIGHT(A329,3),A329)</f>
        <v>36, 41, PARASECT</v>
      </c>
      <c r="C329" s="1" t="str">
        <f aca="false" t="array" ref="C329:C329">IF(B328="NEW ROUTE",textsplit(B329,","),"")</f>
        <v/>
      </c>
      <c r="H329" s="1" t="str">
        <f aca="false">IF(C329&lt;&gt;"",DEC2HEX(C329,2),"")</f>
        <v/>
      </c>
      <c r="I329" s="1" t="str">
        <f aca="false">IF(D329&lt;&gt;"",DEC2HEX(D329,2),"")</f>
        <v/>
      </c>
      <c r="J329" s="1" t="str">
        <f aca="false">IF(H329&lt;&gt;"","0x"&amp;I329&amp;H329,"")</f>
        <v/>
      </c>
      <c r="L329" s="1" t="s">
        <v>2910</v>
      </c>
      <c r="M329" s="1" t="str">
        <f aca="false">IF(J329&lt;&gt;"",J329,L329)</f>
        <v>36, 41, PARASECT</v>
      </c>
    </row>
    <row r="330" customFormat="false" ht="12.75" hidden="false" customHeight="true" outlineLevel="0" collapsed="false">
      <c r="A330" s="3" t="s">
        <v>2911</v>
      </c>
      <c r="B330" s="3" t="str">
        <f aca="false">IF(ISNUMBER(SEARCH("%", A330)),RIGHT(A330,3),A330)</f>
        <v>36, 41, VENOMOTH</v>
      </c>
      <c r="C330" s="1" t="str">
        <f aca="false" t="array" ref="C330:C330">IF(B329="NEW ROUTE",textsplit(B330,","),"")</f>
        <v/>
      </c>
      <c r="H330" s="1" t="str">
        <f aca="false">IF(C330&lt;&gt;"",DEC2HEX(C330,2),"")</f>
        <v/>
      </c>
      <c r="I330" s="1" t="str">
        <f aca="false">IF(D330&lt;&gt;"",DEC2HEX(D330,2),"")</f>
        <v/>
      </c>
      <c r="J330" s="1" t="str">
        <f aca="false">IF(H330&lt;&gt;"","0x"&amp;I330&amp;H330,"")</f>
        <v/>
      </c>
      <c r="L330" s="1" t="s">
        <v>2911</v>
      </c>
      <c r="M330" s="1" t="str">
        <f aca="false">IF(J330&lt;&gt;"",J330,L330)</f>
        <v>36, 41, VENOMOTH</v>
      </c>
    </row>
    <row r="331" customFormat="false" ht="12.75" hidden="false" customHeight="true" outlineLevel="0" collapsed="false">
      <c r="A331" s="3" t="s">
        <v>2943</v>
      </c>
      <c r="B331" s="3" t="str">
        <f aca="false">IF(ISNUMBER(SEARCH("%", A331)),RIGHT(A331,3),A331)</f>
        <v>36, 41, CLEFABLE</v>
      </c>
      <c r="C331" s="1" t="str">
        <f aca="false" t="array" ref="C331:C331">IF(B330="NEW ROUTE",textsplit(B331,","),"")</f>
        <v/>
      </c>
      <c r="H331" s="1" t="str">
        <f aca="false">IF(C331&lt;&gt;"",DEC2HEX(C331,2),"")</f>
        <v/>
      </c>
      <c r="I331" s="1" t="str">
        <f aca="false">IF(D331&lt;&gt;"",DEC2HEX(D331,2),"")</f>
        <v/>
      </c>
      <c r="J331" s="1" t="str">
        <f aca="false">IF(H331&lt;&gt;"","0x"&amp;I331&amp;H331,"")</f>
        <v/>
      </c>
      <c r="L331" s="1" t="s">
        <v>2943</v>
      </c>
      <c r="M331" s="1" t="str">
        <f aca="false">IF(J331&lt;&gt;"",J331,L331)</f>
        <v>36, 41, CLEFABLE</v>
      </c>
    </row>
    <row r="332" customFormat="false" ht="12.75" hidden="false" customHeight="true" outlineLevel="0" collapsed="false">
      <c r="A332" s="3" t="s">
        <v>2944</v>
      </c>
      <c r="B332" s="3" t="str">
        <f aca="false">IF(ISNUMBER(SEARCH("%", A332)),RIGHT(A332,3),A332)</f>
        <v>36, 41, ELECTABUZZ</v>
      </c>
      <c r="C332" s="1" t="str">
        <f aca="false" t="array" ref="C332:C332">IF(B331="NEW ROUTE",textsplit(B332,","),"")</f>
        <v/>
      </c>
      <c r="H332" s="1" t="str">
        <f aca="false">IF(C332&lt;&gt;"",DEC2HEX(C332,2),"")</f>
        <v/>
      </c>
      <c r="I332" s="1" t="str">
        <f aca="false">IF(D332&lt;&gt;"",DEC2HEX(D332,2),"")</f>
        <v/>
      </c>
      <c r="J332" s="1" t="str">
        <f aca="false">IF(H332&lt;&gt;"","0x"&amp;I332&amp;H332,"")</f>
        <v/>
      </c>
      <c r="L332" s="1" t="s">
        <v>2944</v>
      </c>
      <c r="M332" s="1" t="str">
        <f aca="false">IF(J332&lt;&gt;"",J332,L332)</f>
        <v>36, 41, ELECTABUZZ</v>
      </c>
    </row>
    <row r="333" customFormat="false" ht="12.75" hidden="false" customHeight="true" outlineLevel="0" collapsed="false">
      <c r="A333" s="3" t="s">
        <v>2806</v>
      </c>
      <c r="B333" s="3" t="str">
        <f aca="false">IF(ISNUMBER(SEARCH("%", A333)),RIGHT(A333,3),A333)</f>
        <v>0.05</v>
      </c>
      <c r="C333" s="1" t="str">
        <f aca="false" t="array" ref="C333:C333">IF(B332="NEW ROUTE",textsplit(B333,","),"")</f>
        <v/>
      </c>
      <c r="H333" s="1" t="str">
        <f aca="false">IF(C333&lt;&gt;"",DEC2HEX(C333,2),"")</f>
        <v/>
      </c>
      <c r="I333" s="1" t="str">
        <f aca="false">IF(D333&lt;&gt;"",DEC2HEX(D333,2),"")</f>
        <v/>
      </c>
      <c r="J333" s="1" t="str">
        <f aca="false">IF(H333&lt;&gt;"","0x"&amp;I333&amp;H333,"")</f>
        <v/>
      </c>
      <c r="L333" s="1" t="s">
        <v>2806</v>
      </c>
      <c r="M333" s="1" t="str">
        <f aca="false">IF(J333&lt;&gt;"",J333,L333)</f>
        <v>0.05</v>
      </c>
    </row>
    <row r="334" customFormat="false" ht="12.75" hidden="false" customHeight="true" outlineLevel="0" collapsed="false">
      <c r="A334" s="3" t="s">
        <v>2914</v>
      </c>
      <c r="B334" s="3" t="str">
        <f aca="false">IF(ISNUMBER(SEARCH("%", A334)),RIGHT(A334,3),A334)</f>
        <v>37, 39, SCIZOR</v>
      </c>
      <c r="C334" s="1" t="str">
        <f aca="false" t="array" ref="C334:C334">IF(B333="NEW ROUTE",textsplit(B334,","),"")</f>
        <v/>
      </c>
      <c r="H334" s="1" t="str">
        <f aca="false">IF(C334&lt;&gt;"",DEC2HEX(C334,2),"")</f>
        <v/>
      </c>
      <c r="I334" s="1" t="str">
        <f aca="false">IF(D334&lt;&gt;"",DEC2HEX(D334,2),"")</f>
        <v/>
      </c>
      <c r="J334" s="1" t="str">
        <f aca="false">IF(H334&lt;&gt;"","0x"&amp;I334&amp;H334,"")</f>
        <v/>
      </c>
      <c r="L334" s="1" t="s">
        <v>2914</v>
      </c>
      <c r="M334" s="1" t="str">
        <f aca="false">IF(J334&lt;&gt;"",J334,L334)</f>
        <v>37, 39, SCIZOR</v>
      </c>
    </row>
    <row r="335" customFormat="false" ht="12.75" hidden="false" customHeight="true" outlineLevel="0" collapsed="false">
      <c r="A335" s="3" t="s">
        <v>2915</v>
      </c>
      <c r="B335" s="3" t="str">
        <f aca="false">IF(ISNUMBER(SEARCH("%", A335)),RIGHT(A335,3),A335)</f>
        <v>37, 39, PINSIRIOR</v>
      </c>
      <c r="C335" s="1" t="str">
        <f aca="false" t="array" ref="C335:C335">IF(B334="NEW ROUTE",textsplit(B335,","),"")</f>
        <v/>
      </c>
      <c r="H335" s="1" t="str">
        <f aca="false">IF(C335&lt;&gt;"",DEC2HEX(C335,2),"")</f>
        <v/>
      </c>
      <c r="I335" s="1" t="str">
        <f aca="false">IF(D335&lt;&gt;"",DEC2HEX(D335,2),"")</f>
        <v/>
      </c>
      <c r="J335" s="1" t="str">
        <f aca="false">IF(H335&lt;&gt;"","0x"&amp;I335&amp;H335,"")</f>
        <v/>
      </c>
      <c r="L335" s="1" t="s">
        <v>2915</v>
      </c>
      <c r="M335" s="1" t="str">
        <f aca="false">IF(J335&lt;&gt;"",J335,L335)</f>
        <v>37, 39, PINSIRIOR</v>
      </c>
    </row>
    <row r="336" customFormat="false" ht="12.75" hidden="false" customHeight="true" outlineLevel="0" collapsed="false">
      <c r="A336" s="3" t="s">
        <v>2809</v>
      </c>
      <c r="B336" s="3" t="str">
        <f aca="false">IF(ISNUMBER(SEARCH("%", A336)),RIGHT(A336,3),A336)</f>
        <v>0.04</v>
      </c>
      <c r="C336" s="1" t="str">
        <f aca="false" t="array" ref="C336:C336">IF(B335="NEW ROUTE",textsplit(B336,","),"")</f>
        <v/>
      </c>
      <c r="H336" s="1" t="str">
        <f aca="false">IF(C336&lt;&gt;"",DEC2HEX(C336,2),"")</f>
        <v/>
      </c>
      <c r="I336" s="1" t="str">
        <f aca="false">IF(D336&lt;&gt;"",DEC2HEX(D336,2),"")</f>
        <v/>
      </c>
      <c r="J336" s="1" t="str">
        <f aca="false">IF(H336&lt;&gt;"","0x"&amp;I336&amp;H336,"")</f>
        <v/>
      </c>
      <c r="L336" s="1" t="s">
        <v>2809</v>
      </c>
      <c r="M336" s="1" t="str">
        <f aca="false">IF(J336&lt;&gt;"",J336,L336)</f>
        <v>0.04</v>
      </c>
    </row>
    <row r="337" customFormat="false" ht="12.75" hidden="false" customHeight="true" outlineLevel="0" collapsed="false">
      <c r="A337" s="3" t="s">
        <v>2945</v>
      </c>
      <c r="B337" s="3" t="str">
        <f aca="false">IF(ISNUMBER(SEARCH("%", A337)),RIGHT(A337,3),A337)</f>
        <v>38, 42, TAUROS</v>
      </c>
      <c r="C337" s="1" t="str">
        <f aca="false" t="array" ref="C337:C337">IF(B336="NEW ROUTE",textsplit(B337,","),"")</f>
        <v/>
      </c>
      <c r="H337" s="1" t="str">
        <f aca="false">IF(C337&lt;&gt;"",DEC2HEX(C337,2),"")</f>
        <v/>
      </c>
      <c r="I337" s="1" t="str">
        <f aca="false">IF(D337&lt;&gt;"",DEC2HEX(D337,2),"")</f>
        <v/>
      </c>
      <c r="J337" s="1" t="str">
        <f aca="false">IF(H337&lt;&gt;"","0x"&amp;I337&amp;H337,"")</f>
        <v/>
      </c>
      <c r="L337" s="1" t="s">
        <v>2945</v>
      </c>
      <c r="M337" s="1" t="str">
        <f aca="false">IF(J337&lt;&gt;"",J337,L337)</f>
        <v>38, 42, TAUROS</v>
      </c>
    </row>
    <row r="338" customFormat="false" ht="12.75" hidden="false" customHeight="true" outlineLevel="0" collapsed="false">
      <c r="A338" s="3" t="s">
        <v>2946</v>
      </c>
      <c r="B338" s="3" t="str">
        <f aca="false">IF(ISNUMBER(SEARCH("%", A338)),RIGHT(A338,3),A338)</f>
        <v>38, 42, FLAREON</v>
      </c>
      <c r="C338" s="1" t="str">
        <f aca="false" t="array" ref="C338:C338">IF(B337="NEW ROUTE",textsplit(B338,","),"")</f>
        <v/>
      </c>
      <c r="H338" s="1" t="str">
        <f aca="false">IF(C338&lt;&gt;"",DEC2HEX(C338,2),"")</f>
        <v/>
      </c>
      <c r="I338" s="1" t="str">
        <f aca="false">IF(D338&lt;&gt;"",DEC2HEX(D338,2),"")</f>
        <v/>
      </c>
      <c r="J338" s="1" t="str">
        <f aca="false">IF(H338&lt;&gt;"","0x"&amp;I338&amp;H338,"")</f>
        <v/>
      </c>
      <c r="L338" s="1" t="s">
        <v>2946</v>
      </c>
      <c r="M338" s="1" t="str">
        <f aca="false">IF(J338&lt;&gt;"",J338,L338)</f>
        <v>38, 42, FLAREON</v>
      </c>
    </row>
    <row r="339" customFormat="false" ht="12.75" hidden="false" customHeight="true" outlineLevel="0" collapsed="false">
      <c r="A339" s="3" t="s">
        <v>2812</v>
      </c>
      <c r="B339" s="3" t="str">
        <f aca="false">IF(ISNUMBER(SEARCH("%", A339)),RIGHT(A339,3),A339)</f>
        <v>0.01</v>
      </c>
      <c r="C339" s="1" t="str">
        <f aca="false" t="array" ref="C339:C339">IF(B338="NEW ROUTE",textsplit(B339,","),"")</f>
        <v/>
      </c>
      <c r="H339" s="1" t="str">
        <f aca="false">IF(C339&lt;&gt;"",DEC2HEX(C339,2),"")</f>
        <v/>
      </c>
      <c r="I339" s="1" t="str">
        <f aca="false">IF(D339&lt;&gt;"",DEC2HEX(D339,2),"")</f>
        <v/>
      </c>
      <c r="J339" s="1" t="str">
        <f aca="false">IF(H339&lt;&gt;"","0x"&amp;I339&amp;H339,"")</f>
        <v/>
      </c>
      <c r="L339" s="1" t="s">
        <v>2812</v>
      </c>
      <c r="M339" s="1" t="str">
        <f aca="false">IF(J339&lt;&gt;"",J339,L339)</f>
        <v>0.01</v>
      </c>
    </row>
    <row r="340" customFormat="false" ht="12.75" hidden="false" customHeight="true" outlineLevel="0" collapsed="false">
      <c r="A340" s="3" t="s">
        <v>2947</v>
      </c>
      <c r="B340" s="3" t="str">
        <f aca="false">IF(ISNUMBER(SEARCH("%", A340)),RIGHT(A340,3),A340)</f>
        <v>40, 40, TAUROX</v>
      </c>
      <c r="C340" s="1" t="str">
        <f aca="false" t="array" ref="C340:C340">IF(B339="NEW ROUTE",textsplit(B340,","),"")</f>
        <v/>
      </c>
      <c r="H340" s="1" t="str">
        <f aca="false">IF(C340&lt;&gt;"",DEC2HEX(C340,2),"")</f>
        <v/>
      </c>
      <c r="I340" s="1" t="str">
        <f aca="false">IF(D340&lt;&gt;"",DEC2HEX(D340,2),"")</f>
        <v/>
      </c>
      <c r="J340" s="1" t="str">
        <f aca="false">IF(H340&lt;&gt;"","0x"&amp;I340&amp;H340,"")</f>
        <v/>
      </c>
      <c r="L340" s="1" t="s">
        <v>2947</v>
      </c>
      <c r="M340" s="1" t="str">
        <f aca="false">IF(J340&lt;&gt;"",J340,L340)</f>
        <v>40, 40, TAUROX</v>
      </c>
    </row>
    <row r="341" customFormat="false" ht="12.75" hidden="false" customHeight="true" outlineLevel="0" collapsed="false">
      <c r="A341" s="3" t="s">
        <v>2948</v>
      </c>
      <c r="B341" s="3" t="str">
        <f aca="false">IF(ISNUMBER(SEARCH("%", A341)),RIGHT(A341,3),A341)</f>
        <v>40, 40, ELECTIVIRE</v>
      </c>
      <c r="C341" s="1" t="str">
        <f aca="false" t="array" ref="C341:C341">IF(B340="NEW ROUTE",textsplit(B341,","),"")</f>
        <v/>
      </c>
      <c r="H341" s="1" t="str">
        <f aca="false">IF(C341&lt;&gt;"",DEC2HEX(C341,2),"")</f>
        <v/>
      </c>
      <c r="I341" s="1" t="str">
        <f aca="false">IF(D341&lt;&gt;"",DEC2HEX(D341,2),"")</f>
        <v/>
      </c>
      <c r="J341" s="1" t="str">
        <f aca="false">IF(H341&lt;&gt;"","0x"&amp;I341&amp;H341,"")</f>
        <v/>
      </c>
      <c r="L341" s="1" t="s">
        <v>2948</v>
      </c>
      <c r="M341" s="1" t="str">
        <f aca="false">IF(J341&lt;&gt;"",J341,L341)</f>
        <v>40, 40, ELECTIVIRE</v>
      </c>
    </row>
    <row r="342" customFormat="false" ht="12.75" hidden="false" customHeight="true" outlineLevel="0" collapsed="false">
      <c r="A342" s="3" t="s">
        <v>2920</v>
      </c>
      <c r="B342" s="3" t="str">
        <f aca="false">IF(ISNUMBER(SEARCH("%", A342)),RIGHT(A342,3),A342)</f>
        <v>2, 38, 42, SLOWPOKE</v>
      </c>
      <c r="C342" s="1" t="str">
        <f aca="false" t="array" ref="C342:C342">IF(B341="NEW ROUTE",textsplit(B342,","),"")</f>
        <v/>
      </c>
      <c r="H342" s="1" t="str">
        <f aca="false">IF(C342&lt;&gt;"",DEC2HEX(C342,2),"")</f>
        <v/>
      </c>
      <c r="I342" s="1" t="str">
        <f aca="false">IF(D342&lt;&gt;"",DEC2HEX(D342,2),"")</f>
        <v/>
      </c>
      <c r="J342" s="1" t="str">
        <f aca="false">IF(H342&lt;&gt;"","0x"&amp;I342&amp;H342,"")</f>
        <v/>
      </c>
      <c r="L342" s="1" t="s">
        <v>2920</v>
      </c>
      <c r="M342" s="1" t="str">
        <f aca="false">IF(J342&lt;&gt;"",J342,L342)</f>
        <v>2, 38, 42, SLOWPOKE</v>
      </c>
    </row>
    <row r="343" customFormat="false" ht="12.75" hidden="false" customHeight="true" outlineLevel="0" collapsed="false">
      <c r="A343" s="3" t="s">
        <v>2921</v>
      </c>
      <c r="B343" s="3" t="str">
        <f aca="false">IF(ISNUMBER(SEARCH("%", A343)),RIGHT(A343,3),A343)</f>
        <v>40, 42, PSYDUCK</v>
      </c>
      <c r="C343" s="1" t="str">
        <f aca="false" t="array" ref="C343:C343">IF(B342="NEW ROUTE",textsplit(B343,","),"")</f>
        <v/>
      </c>
      <c r="H343" s="1" t="str">
        <f aca="false">IF(C343&lt;&gt;"",DEC2HEX(C343,2),"")</f>
        <v/>
      </c>
      <c r="I343" s="1" t="str">
        <f aca="false">IF(D343&lt;&gt;"",DEC2HEX(D343,2),"")</f>
        <v/>
      </c>
      <c r="J343" s="1" t="str">
        <f aca="false">IF(H343&lt;&gt;"","0x"&amp;I343&amp;H343,"")</f>
        <v/>
      </c>
      <c r="L343" s="1" t="s">
        <v>2921</v>
      </c>
      <c r="M343" s="1" t="str">
        <f aca="false">IF(J343&lt;&gt;"",J343,L343)</f>
        <v>40, 42, PSYDUCK</v>
      </c>
    </row>
    <row r="344" customFormat="false" ht="12.75" hidden="false" customHeight="true" outlineLevel="0" collapsed="false">
      <c r="A344" s="3" t="s">
        <v>2922</v>
      </c>
      <c r="B344" s="3" t="str">
        <f aca="false">IF(ISNUMBER(SEARCH("%", A344)),RIGHT(A344,3),A344)</f>
        <v>42, 46, SLOWBRO</v>
      </c>
      <c r="C344" s="1" t="str">
        <f aca="false" t="array" ref="C344:C344">IF(B343="NEW ROUTE",textsplit(B344,","),"")</f>
        <v/>
      </c>
      <c r="H344" s="1" t="str">
        <f aca="false">IF(C344&lt;&gt;"",DEC2HEX(C344,2),"")</f>
        <v/>
      </c>
      <c r="I344" s="1" t="str">
        <f aca="false">IF(D344&lt;&gt;"",DEC2HEX(D344,2),"")</f>
        <v/>
      </c>
      <c r="J344" s="1" t="str">
        <f aca="false">IF(H344&lt;&gt;"","0x"&amp;I344&amp;H344,"")</f>
        <v/>
      </c>
      <c r="L344" s="1" t="s">
        <v>2922</v>
      </c>
      <c r="M344" s="1" t="str">
        <f aca="false">IF(J344&lt;&gt;"",J344,L344)</f>
        <v>42, 46, SLOWBRO</v>
      </c>
    </row>
    <row r="345" customFormat="false" ht="12.75" hidden="false" customHeight="true" outlineLevel="0" collapsed="false">
      <c r="A345" s="3" t="s">
        <v>2923</v>
      </c>
      <c r="B345" s="3" t="str">
        <f aca="false">IF(ISNUMBER(SEARCH("%", A345)),RIGHT(A345,3),A345)</f>
        <v>42, 46, GOLDUCK</v>
      </c>
      <c r="C345" s="1" t="str">
        <f aca="false" t="array" ref="C345:C345">IF(B344="NEW ROUTE",textsplit(B345,","),"")</f>
        <v/>
      </c>
      <c r="H345" s="1" t="str">
        <f aca="false">IF(C345&lt;&gt;"",DEC2HEX(C345,2),"")</f>
        <v/>
      </c>
      <c r="I345" s="1" t="str">
        <f aca="false">IF(D345&lt;&gt;"",DEC2HEX(D345,2),"")</f>
        <v/>
      </c>
      <c r="J345" s="1" t="str">
        <f aca="false">IF(H345&lt;&gt;"","0x"&amp;I345&amp;H345,"")</f>
        <v/>
      </c>
      <c r="L345" s="1" t="s">
        <v>2923</v>
      </c>
      <c r="M345" s="1" t="str">
        <f aca="false">IF(J345&lt;&gt;"",J345,L345)</f>
        <v>42, 46, GOLDUCK</v>
      </c>
    </row>
    <row r="346" customFormat="false" ht="12.75" hidden="false" customHeight="true" outlineLevel="0" collapsed="false">
      <c r="A346" s="3" t="s">
        <v>2924</v>
      </c>
      <c r="B346" s="3" t="str">
        <f aca="false">IF(ISNUMBER(SEARCH("%", A346)),RIGHT(A346,3),A346)</f>
        <v>44, 48, VAPOREON</v>
      </c>
      <c r="C346" s="1" t="str">
        <f aca="false" t="array" ref="C346:C346">IF(B345="NEW ROUTE",textsplit(B346,","),"")</f>
        <v/>
      </c>
      <c r="H346" s="1" t="str">
        <f aca="false">IF(C346&lt;&gt;"",DEC2HEX(C346,2),"")</f>
        <v/>
      </c>
      <c r="I346" s="1" t="str">
        <f aca="false">IF(D346&lt;&gt;"",DEC2HEX(D346,2),"")</f>
        <v/>
      </c>
      <c r="J346" s="1" t="str">
        <f aca="false">IF(H346&lt;&gt;"","0x"&amp;I346&amp;H346,"")</f>
        <v/>
      </c>
      <c r="L346" s="1" t="s">
        <v>2924</v>
      </c>
      <c r="M346" s="1" t="str">
        <f aca="false">IF(J346&lt;&gt;"",J346,L346)</f>
        <v>44, 48, VAPOREON</v>
      </c>
    </row>
    <row r="347" customFormat="false" ht="12.75" hidden="false" customHeight="true" outlineLevel="0" collapsed="false">
      <c r="A347" s="3" t="s">
        <v>2925</v>
      </c>
      <c r="B347" s="3" t="str">
        <f aca="false">IF(ISNUMBER(SEARCH("%", A347)),RIGHT(A347,3),A347)</f>
        <v>20, old rod:</v>
      </c>
      <c r="C347" s="1" t="str">
        <f aca="false" t="array" ref="C347:C347">IF(B346="NEW ROUTE",textsplit(B347,","),"")</f>
        <v/>
      </c>
      <c r="H347" s="1" t="str">
        <f aca="false">IF(C347&lt;&gt;"",DEC2HEX(C347,2),"")</f>
        <v/>
      </c>
      <c r="I347" s="1" t="str">
        <f aca="false">IF(D347&lt;&gt;"",DEC2HEX(D347,2),"")</f>
        <v/>
      </c>
      <c r="J347" s="1" t="str">
        <f aca="false">IF(H347&lt;&gt;"","0x"&amp;I347&amp;H347,"")</f>
        <v/>
      </c>
      <c r="L347" s="1" t="s">
        <v>2925</v>
      </c>
      <c r="M347" s="1" t="str">
        <f aca="false">IF(J347&lt;&gt;"",J347,L347)</f>
        <v>20, old rod:</v>
      </c>
    </row>
    <row r="348" customFormat="false" ht="12.75" hidden="false" customHeight="true" outlineLevel="0" collapsed="false">
      <c r="A348" s="3" t="s">
        <v>1349</v>
      </c>
      <c r="B348" s="3" t="str">
        <f aca="false">IF(ISNUMBER(SEARCH("%", A348)),RIGHT(A348,3),A348)</f>
        <v>19, 26, MAGIKARP</v>
      </c>
      <c r="C348" s="1" t="str">
        <f aca="false" t="array" ref="C348:C348">IF(B347="NEW ROUTE",textsplit(B348,","),"")</f>
        <v/>
      </c>
      <c r="H348" s="1" t="str">
        <f aca="false">IF(C348&lt;&gt;"",DEC2HEX(C348,2),"")</f>
        <v/>
      </c>
      <c r="I348" s="1" t="str">
        <f aca="false">IF(D348&lt;&gt;"",DEC2HEX(D348,2),"")</f>
        <v/>
      </c>
      <c r="J348" s="1" t="str">
        <f aca="false">IF(H348&lt;&gt;"","0x"&amp;I348&amp;H348,"")</f>
        <v/>
      </c>
      <c r="L348" s="1" t="s">
        <v>1349</v>
      </c>
      <c r="M348" s="1" t="str">
        <f aca="false">IF(J348&lt;&gt;"",J348,L348)</f>
        <v>19, 26, MAGIKARP</v>
      </c>
    </row>
    <row r="349" customFormat="false" ht="12.75" hidden="false" customHeight="true" outlineLevel="0" collapsed="false">
      <c r="A349" s="3" t="s">
        <v>2926</v>
      </c>
      <c r="B349" s="3" t="str">
        <f aca="false">IF(ISNUMBER(SEARCH("%", A349)),RIGHT(A349,3),A349)</f>
        <v>19, 26, POLIWAG</v>
      </c>
      <c r="C349" s="1" t="str">
        <f aca="false" t="array" ref="C349:C349">IF(B348="NEW ROUTE",textsplit(B349,","),"")</f>
        <v/>
      </c>
      <c r="H349" s="1" t="str">
        <f aca="false">IF(C349&lt;&gt;"",DEC2HEX(C349,2),"")</f>
        <v/>
      </c>
      <c r="I349" s="1" t="str">
        <f aca="false">IF(D349&lt;&gt;"",DEC2HEX(D349,2),"")</f>
        <v/>
      </c>
      <c r="J349" s="1" t="str">
        <f aca="false">IF(H349&lt;&gt;"","0x"&amp;I349&amp;H349,"")</f>
        <v/>
      </c>
      <c r="L349" s="1" t="s">
        <v>2926</v>
      </c>
      <c r="M349" s="1" t="str">
        <f aca="false">IF(J349&lt;&gt;"",J349,L349)</f>
        <v>19, 26, POLIWAG</v>
      </c>
    </row>
    <row r="350" customFormat="false" ht="12.75" hidden="false" customHeight="true" outlineLevel="0" collapsed="false">
      <c r="A350" s="3" t="s">
        <v>2846</v>
      </c>
      <c r="B350" s="3" t="str">
        <f aca="false">IF(ISNUMBER(SEARCH("%", A350)),RIGHT(A350,3),A350)</f>
        <v>good rod:</v>
      </c>
      <c r="C350" s="1" t="str">
        <f aca="false" t="array" ref="C350:C350">IF(B349="NEW ROUTE",textsplit(B350,","),"")</f>
        <v/>
      </c>
      <c r="H350" s="1" t="str">
        <f aca="false">IF(C350&lt;&gt;"",DEC2HEX(C350,2),"")</f>
        <v/>
      </c>
      <c r="I350" s="1" t="str">
        <f aca="false">IF(D350&lt;&gt;"",DEC2HEX(D350,2),"")</f>
        <v/>
      </c>
      <c r="J350" s="1" t="str">
        <f aca="false">IF(H350&lt;&gt;"","0x"&amp;I350&amp;H350,"")</f>
        <v/>
      </c>
      <c r="L350" s="1" t="s">
        <v>2846</v>
      </c>
      <c r="M350" s="1" t="str">
        <f aca="false">IF(J350&lt;&gt;"",J350,L350)</f>
        <v>good rod:</v>
      </c>
    </row>
    <row r="351" customFormat="false" ht="12.75" hidden="false" customHeight="true" outlineLevel="0" collapsed="false">
      <c r="A351" s="3" t="s">
        <v>2927</v>
      </c>
      <c r="B351" s="3" t="str">
        <f aca="false">IF(ISNUMBER(SEARCH("%", A351)),RIGHT(A351,3),A351)</f>
        <v>29, 33, GYARADOS</v>
      </c>
      <c r="C351" s="1" t="str">
        <f aca="false" t="array" ref="C351:C351">IF(B350="NEW ROUTE",textsplit(B351,","),"")</f>
        <v/>
      </c>
      <c r="H351" s="1" t="str">
        <f aca="false">IF(C351&lt;&gt;"",DEC2HEX(C351,2),"")</f>
        <v/>
      </c>
      <c r="I351" s="1" t="str">
        <f aca="false">IF(D351&lt;&gt;"",DEC2HEX(D351,2),"")</f>
        <v/>
      </c>
      <c r="J351" s="1" t="str">
        <f aca="false">IF(H351&lt;&gt;"","0x"&amp;I351&amp;H351,"")</f>
        <v/>
      </c>
      <c r="L351" s="1" t="s">
        <v>2927</v>
      </c>
      <c r="M351" s="1" t="str">
        <f aca="false">IF(J351&lt;&gt;"",J351,L351)</f>
        <v>29, 33, GYARADOS</v>
      </c>
    </row>
    <row r="352" customFormat="false" ht="12.75" hidden="false" customHeight="true" outlineLevel="0" collapsed="false">
      <c r="A352" s="3" t="s">
        <v>2928</v>
      </c>
      <c r="B352" s="3" t="str">
        <f aca="false">IF(ISNUMBER(SEARCH("%", A352)),RIGHT(A352,3),A352)</f>
        <v>30, 35, POLIWAG</v>
      </c>
      <c r="C352" s="1" t="str">
        <f aca="false" t="array" ref="C352:C352">IF(B351="NEW ROUTE",textsplit(B352,","),"")</f>
        <v/>
      </c>
      <c r="H352" s="1" t="str">
        <f aca="false">IF(C352&lt;&gt;"",DEC2HEX(C352,2),"")</f>
        <v/>
      </c>
      <c r="I352" s="1" t="str">
        <f aca="false">IF(D352&lt;&gt;"",DEC2HEX(D352,2),"")</f>
        <v/>
      </c>
      <c r="J352" s="1" t="str">
        <f aca="false">IF(H352&lt;&gt;"","0x"&amp;I352&amp;H352,"")</f>
        <v/>
      </c>
      <c r="L352" s="1" t="s">
        <v>2928</v>
      </c>
      <c r="M352" s="1" t="str">
        <f aca="false">IF(J352&lt;&gt;"",J352,L352)</f>
        <v>30, 35, POLIWAG</v>
      </c>
    </row>
    <row r="353" customFormat="false" ht="12.75" hidden="false" customHeight="true" outlineLevel="0" collapsed="false">
      <c r="A353" s="3" t="s">
        <v>2929</v>
      </c>
      <c r="B353" s="3" t="str">
        <f aca="false">IF(ISNUMBER(SEARCH("%", A353)),RIGHT(A353,3),A353)</f>
        <v>30, 35, GOLDEEN</v>
      </c>
      <c r="C353" s="1" t="str">
        <f aca="false" t="array" ref="C353:C353">IF(B352="NEW ROUTE",textsplit(B353,","),"")</f>
        <v/>
      </c>
      <c r="H353" s="1" t="str">
        <f aca="false">IF(C353&lt;&gt;"",DEC2HEX(C353,2),"")</f>
        <v/>
      </c>
      <c r="I353" s="1" t="str">
        <f aca="false">IF(D353&lt;&gt;"",DEC2HEX(D353,2),"")</f>
        <v/>
      </c>
      <c r="J353" s="1" t="str">
        <f aca="false">IF(H353&lt;&gt;"","0x"&amp;I353&amp;H353,"")</f>
        <v/>
      </c>
      <c r="L353" s="1" t="s">
        <v>2929</v>
      </c>
      <c r="M353" s="1" t="str">
        <f aca="false">IF(J353&lt;&gt;"",J353,L353)</f>
        <v>30, 35, GOLDEEN</v>
      </c>
    </row>
    <row r="354" customFormat="false" ht="12.75" hidden="false" customHeight="true" outlineLevel="0" collapsed="false">
      <c r="A354" s="3" t="s">
        <v>2850</v>
      </c>
      <c r="B354" s="3" t="str">
        <f aca="false">IF(ISNUMBER(SEARCH("%", A354)),RIGHT(A354,3),A354)</f>
        <v>super rod:</v>
      </c>
      <c r="C354" s="1" t="str">
        <f aca="false" t="array" ref="C354:C354">IF(B353="NEW ROUTE",textsplit(B354,","),"")</f>
        <v/>
      </c>
      <c r="H354" s="1" t="str">
        <f aca="false">IF(C354&lt;&gt;"",DEC2HEX(C354,2),"")</f>
        <v/>
      </c>
      <c r="I354" s="1" t="str">
        <f aca="false">IF(D354&lt;&gt;"",DEC2HEX(D354,2),"")</f>
        <v/>
      </c>
      <c r="J354" s="1" t="str">
        <f aca="false">IF(H354&lt;&gt;"","0x"&amp;I354&amp;H354,"")</f>
        <v/>
      </c>
      <c r="L354" s="1" t="s">
        <v>2850</v>
      </c>
      <c r="M354" s="1" t="str">
        <f aca="false">IF(J354&lt;&gt;"",J354,L354)</f>
        <v>super rod:</v>
      </c>
    </row>
    <row r="355" customFormat="false" ht="12.75" hidden="false" customHeight="true" outlineLevel="0" collapsed="false">
      <c r="A355" s="3" t="s">
        <v>2930</v>
      </c>
      <c r="B355" s="3" t="str">
        <f aca="false">IF(ISNUMBER(SEARCH("%", A355)),RIGHT(A355,3),A355)</f>
        <v>36, 40, POLIWHIRL</v>
      </c>
      <c r="C355" s="1" t="str">
        <f aca="false" t="array" ref="C355:C355">IF(B354="NEW ROUTE",textsplit(B355,","),"")</f>
        <v/>
      </c>
      <c r="H355" s="1" t="str">
        <f aca="false">IF(C355&lt;&gt;"",DEC2HEX(C355,2),"")</f>
        <v/>
      </c>
      <c r="I355" s="1" t="str">
        <f aca="false">IF(D355&lt;&gt;"",DEC2HEX(D355,2),"")</f>
        <v/>
      </c>
      <c r="J355" s="1" t="str">
        <f aca="false">IF(H355&lt;&gt;"","0x"&amp;I355&amp;H355,"")</f>
        <v/>
      </c>
      <c r="L355" s="1" t="s">
        <v>2930</v>
      </c>
      <c r="M355" s="1" t="str">
        <f aca="false">IF(J355&lt;&gt;"",J355,L355)</f>
        <v>36, 40, POLIWHIRL</v>
      </c>
    </row>
    <row r="356" customFormat="false" ht="12.75" hidden="false" customHeight="true" outlineLevel="0" collapsed="false">
      <c r="A356" s="3" t="s">
        <v>2931</v>
      </c>
      <c r="B356" s="3" t="str">
        <f aca="false">IF(ISNUMBER(SEARCH("%", A356)),RIGHT(A356,3),A356)</f>
        <v>36, 40, SEAKING</v>
      </c>
      <c r="C356" s="1" t="str">
        <f aca="false" t="array" ref="C356:C356">IF(B355="NEW ROUTE",textsplit(B356,","),"")</f>
        <v/>
      </c>
      <c r="H356" s="1" t="str">
        <f aca="false">IF(C356&lt;&gt;"",DEC2HEX(C356,2),"")</f>
        <v/>
      </c>
      <c r="I356" s="1" t="str">
        <f aca="false">IF(D356&lt;&gt;"",DEC2HEX(D356,2),"")</f>
        <v/>
      </c>
      <c r="J356" s="1" t="str">
        <f aca="false">IF(H356&lt;&gt;"","0x"&amp;I356&amp;H356,"")</f>
        <v/>
      </c>
      <c r="L356" s="1" t="s">
        <v>2931</v>
      </c>
      <c r="M356" s="1" t="str">
        <f aca="false">IF(J356&lt;&gt;"",J356,L356)</f>
        <v>36, 40, SEAKING</v>
      </c>
    </row>
    <row r="357" customFormat="false" ht="12.75" hidden="false" customHeight="true" outlineLevel="0" collapsed="false">
      <c r="A357" s="3" t="s">
        <v>2932</v>
      </c>
      <c r="B357" s="3" t="str">
        <f aca="false">IF(ISNUMBER(SEARCH("%", A357)),RIGHT(A357,3),A357)</f>
        <v>38, 42, DRATINI</v>
      </c>
      <c r="C357" s="1" t="str">
        <f aca="false" t="array" ref="C357:C357">IF(B356="NEW ROUTE",textsplit(B357,","),"")</f>
        <v/>
      </c>
      <c r="H357" s="1" t="str">
        <f aca="false">IF(C357&lt;&gt;"",DEC2HEX(C357,2),"")</f>
        <v/>
      </c>
      <c r="I357" s="1" t="str">
        <f aca="false">IF(D357&lt;&gt;"",DEC2HEX(D357,2),"")</f>
        <v/>
      </c>
      <c r="J357" s="1" t="str">
        <f aca="false">IF(H357&lt;&gt;"","0x"&amp;I357&amp;H357,"")</f>
        <v/>
      </c>
      <c r="L357" s="1" t="s">
        <v>2932</v>
      </c>
      <c r="M357" s="1" t="str">
        <f aca="false">IF(J357&lt;&gt;"",J357,L357)</f>
        <v>38, 42, DRATINI</v>
      </c>
    </row>
    <row r="358" customFormat="false" ht="12.75" hidden="false" customHeight="true" outlineLevel="0" collapsed="false">
      <c r="A358" s="3" t="s">
        <v>2933</v>
      </c>
      <c r="B358" s="3" t="str">
        <f aca="false">IF(ISNUMBER(SEARCH("%", A358)),RIGHT(A358,3),A358)</f>
        <v>38, 42, DRAGONAIR</v>
      </c>
      <c r="C358" s="1" t="str">
        <f aca="false" t="array" ref="C358:C358">IF(B357="NEW ROUTE",textsplit(B358,","),"")</f>
        <v/>
      </c>
      <c r="H358" s="1" t="str">
        <f aca="false">IF(C358&lt;&gt;"",DEC2HEX(C358,2),"")</f>
        <v/>
      </c>
      <c r="I358" s="1" t="str">
        <f aca="false">IF(D358&lt;&gt;"",DEC2HEX(D358,2),"")</f>
        <v/>
      </c>
      <c r="J358" s="1" t="str">
        <f aca="false">IF(H358&lt;&gt;"","0x"&amp;I358&amp;H358,"")</f>
        <v/>
      </c>
      <c r="L358" s="1" t="s">
        <v>2933</v>
      </c>
      <c r="M358" s="1" t="str">
        <f aca="false">IF(J358&lt;&gt;"",J358,L358)</f>
        <v>38, 42, DRAGONAIR</v>
      </c>
    </row>
    <row r="359" customFormat="false" ht="12.75" hidden="false" customHeight="true" outlineLevel="0" collapsed="false">
      <c r="A359" s="3" t="s">
        <v>2934</v>
      </c>
      <c r="B359" s="3" t="str">
        <f aca="false">IF(ISNUMBER(SEARCH("%", A359)),RIGHT(A359,3),A359)</f>
        <v>40, 44, DRAGONITE</v>
      </c>
      <c r="C359" s="1" t="str">
        <f aca="false" t="array" ref="C359:C359">IF(B358="NEW ROUTE",textsplit(B359,","),"")</f>
        <v/>
      </c>
      <c r="H359" s="1" t="str">
        <f aca="false">IF(C359&lt;&gt;"",DEC2HEX(C359,2),"")</f>
        <v/>
      </c>
      <c r="I359" s="1" t="str">
        <f aca="false">IF(D359&lt;&gt;"",DEC2HEX(D359,2),"")</f>
        <v/>
      </c>
      <c r="J359" s="1" t="str">
        <f aca="false">IF(H359&lt;&gt;"","0x"&amp;I359&amp;H359,"")</f>
        <v/>
      </c>
      <c r="L359" s="1" t="s">
        <v>2934</v>
      </c>
      <c r="M359" s="1" t="str">
        <f aca="false">IF(J359&lt;&gt;"",J359,L359)</f>
        <v>40, 44, DRAGONITE</v>
      </c>
    </row>
    <row r="360" customFormat="false" ht="12.75" hidden="false" customHeight="true" outlineLevel="0" collapsed="false">
      <c r="A360" s="3" t="s">
        <v>2536</v>
      </c>
      <c r="B360" s="3" t="str">
        <f aca="false">IF(ISNUMBER(SEARCH("%", A360)),RIGHT(A360,3),A360)</f>
        <v>NEW ROUTE</v>
      </c>
      <c r="C360" s="1" t="str">
        <f aca="false" t="array" ref="C360:C360">IF(B359="NEW ROUTE",textsplit(B360,","),"")</f>
        <v/>
      </c>
      <c r="H360" s="1" t="str">
        <f aca="false">IF(C360&lt;&gt;"",DEC2HEX(C360,2),"")</f>
        <v/>
      </c>
      <c r="I360" s="1" t="str">
        <f aca="false">IF(D360&lt;&gt;"",DEC2HEX(D360,2),"")</f>
        <v/>
      </c>
      <c r="J360" s="1" t="str">
        <f aca="false">IF(H360&lt;&gt;"","0x"&amp;I360&amp;H360,"")</f>
        <v/>
      </c>
      <c r="L360" s="1" t="s">
        <v>2536</v>
      </c>
      <c r="M360" s="1" t="str">
        <f aca="false">IF(J360&lt;&gt;"",J360,L360)</f>
        <v>NEW ROUTE</v>
      </c>
    </row>
    <row r="361" customFormat="false" ht="12.75" hidden="false" customHeight="true" outlineLevel="0" collapsed="false">
      <c r="A361" s="3" t="s">
        <v>2949</v>
      </c>
      <c r="B361" s="3" t="str">
        <f aca="false">IF(ISNUMBER(SEARCH("%", A361)),RIGHT(A361,3),A361)</f>
        <v>1, 66, 0,</v>
      </c>
      <c r="C361" s="1" t="e">
        <f aca="false" t="array" ref="C361:C361">IF(B360="NEW ROUTE",textsplit(B361,","),"")</f>
        <v>#NAME?</v>
      </c>
      <c r="H361" s="1" t="e">
        <f aca="false">IF(C361&lt;&gt;"",DEC2HEX(C361,2),"")</f>
        <v>#NAME?</v>
      </c>
      <c r="I361" s="1" t="str">
        <f aca="false">IF(D361&lt;&gt;"",DEC2HEX(D361,2),"")</f>
        <v/>
      </c>
      <c r="J361" s="1" t="e">
        <f aca="false">IF(H361&lt;&gt;"","0x"&amp;I361&amp;H361,"")</f>
        <v>#NAME?</v>
      </c>
      <c r="L361" s="1" t="s">
        <v>2949</v>
      </c>
      <c r="M361" s="1" t="e">
        <f aca="false">IF(J361&lt;&gt;"",J361,L361)</f>
        <v>#NAME?</v>
      </c>
    </row>
    <row r="362" customFormat="false" ht="12.75" hidden="false" customHeight="true" outlineLevel="0" collapsed="false">
      <c r="A362" s="3" t="s">
        <v>2908</v>
      </c>
      <c r="B362" s="3" t="str">
        <f aca="false">IF(ISNUMBER(SEARCH("%", A362)),RIGHT(A362,3),A362)</f>
        <v>20%</v>
      </c>
      <c r="C362" s="1" t="str">
        <f aca="false" t="array" ref="C362:C362">IF(B361="NEW ROUTE",textsplit(B362,","),"")</f>
        <v/>
      </c>
      <c r="H362" s="1" t="str">
        <f aca="false">IF(C362&lt;&gt;"",DEC2HEX(C362,2),"")</f>
        <v/>
      </c>
      <c r="I362" s="1" t="str">
        <f aca="false">IF(D362&lt;&gt;"",DEC2HEX(D362,2),"")</f>
        <v/>
      </c>
      <c r="J362" s="1" t="str">
        <f aca="false">IF(H362&lt;&gt;"","0x"&amp;I362&amp;H362,"")</f>
        <v/>
      </c>
      <c r="L362" s="1" t="s">
        <v>2799</v>
      </c>
      <c r="M362" s="1" t="str">
        <f aca="false">IF(J362&lt;&gt;"",J362,L362)</f>
        <v>20%</v>
      </c>
    </row>
    <row r="363" customFormat="false" ht="12.75" hidden="false" customHeight="true" outlineLevel="0" collapsed="false">
      <c r="A363" s="3" t="s">
        <v>1333</v>
      </c>
      <c r="B363" s="3" t="str">
        <f aca="false">IF(ISNUMBER(SEARCH("%", A363)),RIGHT(A363,3),A363)</f>
        <v>35, 40, NIDOKING</v>
      </c>
      <c r="C363" s="1" t="str">
        <f aca="false" t="array" ref="C363:C363">IF(B362="NEW ROUTE",textsplit(B363,","),"")</f>
        <v/>
      </c>
      <c r="H363" s="1" t="str">
        <f aca="false">IF(C363&lt;&gt;"",DEC2HEX(C363,2),"")</f>
        <v/>
      </c>
      <c r="I363" s="1" t="str">
        <f aca="false">IF(D363&lt;&gt;"",DEC2HEX(D363,2),"")</f>
        <v/>
      </c>
      <c r="J363" s="1" t="str">
        <f aca="false">IF(H363&lt;&gt;"","0x"&amp;I363&amp;H363,"")</f>
        <v/>
      </c>
      <c r="L363" s="1" t="s">
        <v>1333</v>
      </c>
      <c r="M363" s="1" t="str">
        <f aca="false">IF(J363&lt;&gt;"",J363,L363)</f>
        <v>35, 40, NIDOKING</v>
      </c>
    </row>
    <row r="364" customFormat="false" ht="12.75" hidden="false" customHeight="true" outlineLevel="0" collapsed="false">
      <c r="A364" s="3" t="s">
        <v>2909</v>
      </c>
      <c r="B364" s="3" t="str">
        <f aca="false">IF(ISNUMBER(SEARCH("%", A364)),RIGHT(A364,3),A364)</f>
        <v>35, 40, NIDOQUEEN</v>
      </c>
      <c r="C364" s="1" t="str">
        <f aca="false" t="array" ref="C364:C364">IF(B363="NEW ROUTE",textsplit(B364,","),"")</f>
        <v/>
      </c>
      <c r="H364" s="1" t="str">
        <f aca="false">IF(C364&lt;&gt;"",DEC2HEX(C364,2),"")</f>
        <v/>
      </c>
      <c r="I364" s="1" t="str">
        <f aca="false">IF(D364&lt;&gt;"",DEC2HEX(D364,2),"")</f>
        <v/>
      </c>
      <c r="J364" s="1" t="str">
        <f aca="false">IF(H364&lt;&gt;"","0x"&amp;I364&amp;H364,"")</f>
        <v/>
      </c>
      <c r="L364" s="1" t="s">
        <v>2909</v>
      </c>
      <c r="M364" s="1" t="str">
        <f aca="false">IF(J364&lt;&gt;"",J364,L364)</f>
        <v>35, 40, NIDOQUEEN</v>
      </c>
    </row>
    <row r="365" customFormat="false" ht="12.75" hidden="false" customHeight="true" outlineLevel="0" collapsed="false">
      <c r="A365" s="3" t="s">
        <v>2801</v>
      </c>
      <c r="B365" s="3" t="str">
        <f aca="false">IF(ISNUMBER(SEARCH("%", A365)),RIGHT(A365,3),A365)</f>
        <v>0.1</v>
      </c>
      <c r="C365" s="1" t="str">
        <f aca="false" t="array" ref="C365:C365">IF(B364="NEW ROUTE",textsplit(B365,","),"")</f>
        <v/>
      </c>
      <c r="H365" s="1" t="str">
        <f aca="false">IF(C365&lt;&gt;"",DEC2HEX(C365,2),"")</f>
        <v/>
      </c>
      <c r="I365" s="1" t="str">
        <f aca="false">IF(D365&lt;&gt;"",DEC2HEX(D365,2),"")</f>
        <v/>
      </c>
      <c r="J365" s="1" t="str">
        <f aca="false">IF(H365&lt;&gt;"","0x"&amp;I365&amp;H365,"")</f>
        <v/>
      </c>
      <c r="L365" s="1" t="s">
        <v>2801</v>
      </c>
      <c r="M365" s="1" t="str">
        <f aca="false">IF(J365&lt;&gt;"",J365,L365)</f>
        <v>0.1</v>
      </c>
    </row>
    <row r="366" customFormat="false" ht="12.75" hidden="false" customHeight="true" outlineLevel="0" collapsed="false">
      <c r="A366" s="3" t="s">
        <v>2910</v>
      </c>
      <c r="B366" s="3" t="str">
        <f aca="false">IF(ISNUMBER(SEARCH("%", A366)),RIGHT(A366,3),A366)</f>
        <v>36, 41, PARASECT</v>
      </c>
      <c r="C366" s="1" t="str">
        <f aca="false" t="array" ref="C366:C366">IF(B365="NEW ROUTE",textsplit(B366,","),"")</f>
        <v/>
      </c>
      <c r="H366" s="1" t="str">
        <f aca="false">IF(C366&lt;&gt;"",DEC2HEX(C366,2),"")</f>
        <v/>
      </c>
      <c r="I366" s="1" t="str">
        <f aca="false">IF(D366&lt;&gt;"",DEC2HEX(D366,2),"")</f>
        <v/>
      </c>
      <c r="J366" s="1" t="str">
        <f aca="false">IF(H366&lt;&gt;"","0x"&amp;I366&amp;H366,"")</f>
        <v/>
      </c>
      <c r="L366" s="1" t="s">
        <v>2910</v>
      </c>
      <c r="M366" s="1" t="str">
        <f aca="false">IF(J366&lt;&gt;"",J366,L366)</f>
        <v>36, 41, PARASECT</v>
      </c>
    </row>
    <row r="367" customFormat="false" ht="12.75" hidden="false" customHeight="true" outlineLevel="0" collapsed="false">
      <c r="A367" s="3" t="s">
        <v>2911</v>
      </c>
      <c r="B367" s="3" t="str">
        <f aca="false">IF(ISNUMBER(SEARCH("%", A367)),RIGHT(A367,3),A367)</f>
        <v>36, 41, VENOMOTH</v>
      </c>
      <c r="C367" s="1" t="str">
        <f aca="false" t="array" ref="C367:C367">IF(B366="NEW ROUTE",textsplit(B367,","),"")</f>
        <v/>
      </c>
      <c r="H367" s="1" t="str">
        <f aca="false">IF(C367&lt;&gt;"",DEC2HEX(C367,2),"")</f>
        <v/>
      </c>
      <c r="I367" s="1" t="str">
        <f aca="false">IF(D367&lt;&gt;"",DEC2HEX(D367,2),"")</f>
        <v/>
      </c>
      <c r="J367" s="1" t="str">
        <f aca="false">IF(H367&lt;&gt;"","0x"&amp;I367&amp;H367,"")</f>
        <v/>
      </c>
      <c r="L367" s="1" t="s">
        <v>2911</v>
      </c>
      <c r="M367" s="1" t="str">
        <f aca="false">IF(J367&lt;&gt;"",J367,L367)</f>
        <v>36, 41, VENOMOTH</v>
      </c>
    </row>
    <row r="368" customFormat="false" ht="12.75" hidden="false" customHeight="true" outlineLevel="0" collapsed="false">
      <c r="A368" s="3" t="s">
        <v>2950</v>
      </c>
      <c r="B368" s="3" t="str">
        <f aca="false">IF(ISNUMBER(SEARCH("%", A368)),RIGHT(A368,3),A368)</f>
        <v>36, 41, RAPIDASH</v>
      </c>
      <c r="C368" s="1" t="str">
        <f aca="false" t="array" ref="C368:C368">IF(B367="NEW ROUTE",textsplit(B368,","),"")</f>
        <v/>
      </c>
      <c r="H368" s="1" t="str">
        <f aca="false">IF(C368&lt;&gt;"",DEC2HEX(C368,2),"")</f>
        <v/>
      </c>
      <c r="I368" s="1" t="str">
        <f aca="false">IF(D368&lt;&gt;"",DEC2HEX(D368,2),"")</f>
        <v/>
      </c>
      <c r="J368" s="1" t="str">
        <f aca="false">IF(H368&lt;&gt;"","0x"&amp;I368&amp;H368,"")</f>
        <v/>
      </c>
      <c r="L368" s="1" t="s">
        <v>2950</v>
      </c>
      <c r="M368" s="1" t="str">
        <f aca="false">IF(J368&lt;&gt;"",J368,L368)</f>
        <v>36, 41, RAPIDASH</v>
      </c>
    </row>
    <row r="369" customFormat="false" ht="12.75" hidden="false" customHeight="true" outlineLevel="0" collapsed="false">
      <c r="A369" s="3" t="s">
        <v>2951</v>
      </c>
      <c r="B369" s="3" t="str">
        <f aca="false">IF(ISNUMBER(SEARCH("%", A369)),RIGHT(A369,3),A369)</f>
        <v>36, 41, TANGELA</v>
      </c>
      <c r="C369" s="1" t="str">
        <f aca="false" t="array" ref="C369:C369">IF(B368="NEW ROUTE",textsplit(B369,","),"")</f>
        <v/>
      </c>
      <c r="H369" s="1" t="str">
        <f aca="false">IF(C369&lt;&gt;"",DEC2HEX(C369,2),"")</f>
        <v/>
      </c>
      <c r="I369" s="1" t="str">
        <f aca="false">IF(D369&lt;&gt;"",DEC2HEX(D369,2),"")</f>
        <v/>
      </c>
      <c r="J369" s="1" t="str">
        <f aca="false">IF(H369&lt;&gt;"","0x"&amp;I369&amp;H369,"")</f>
        <v/>
      </c>
      <c r="L369" s="1" t="s">
        <v>2951</v>
      </c>
      <c r="M369" s="1" t="str">
        <f aca="false">IF(J369&lt;&gt;"",J369,L369)</f>
        <v>36, 41, TANGELA</v>
      </c>
    </row>
    <row r="370" customFormat="false" ht="12.75" hidden="false" customHeight="true" outlineLevel="0" collapsed="false">
      <c r="A370" s="3" t="s">
        <v>2806</v>
      </c>
      <c r="B370" s="3" t="str">
        <f aca="false">IF(ISNUMBER(SEARCH("%", A370)),RIGHT(A370,3),A370)</f>
        <v>0.05</v>
      </c>
      <c r="C370" s="1" t="str">
        <f aca="false" t="array" ref="C370:C370">IF(B369="NEW ROUTE",textsplit(B370,","),"")</f>
        <v/>
      </c>
      <c r="H370" s="1" t="str">
        <f aca="false">IF(C370&lt;&gt;"",DEC2HEX(C370,2),"")</f>
        <v/>
      </c>
      <c r="I370" s="1" t="str">
        <f aca="false">IF(D370&lt;&gt;"",DEC2HEX(D370,2),"")</f>
        <v/>
      </c>
      <c r="J370" s="1" t="str">
        <f aca="false">IF(H370&lt;&gt;"","0x"&amp;I370&amp;H370,"")</f>
        <v/>
      </c>
      <c r="L370" s="1" t="s">
        <v>2806</v>
      </c>
      <c r="M370" s="1" t="str">
        <f aca="false">IF(J370&lt;&gt;"",J370,L370)</f>
        <v>0.05</v>
      </c>
    </row>
    <row r="371" customFormat="false" ht="12.75" hidden="false" customHeight="true" outlineLevel="0" collapsed="false">
      <c r="A371" s="3" t="s">
        <v>2914</v>
      </c>
      <c r="B371" s="3" t="str">
        <f aca="false">IF(ISNUMBER(SEARCH("%", A371)),RIGHT(A371,3),A371)</f>
        <v>37, 39, SCIZOR</v>
      </c>
      <c r="C371" s="1" t="str">
        <f aca="false" t="array" ref="C371:C371">IF(B370="NEW ROUTE",textsplit(B371,","),"")</f>
        <v/>
      </c>
      <c r="H371" s="1" t="str">
        <f aca="false">IF(C371&lt;&gt;"",DEC2HEX(C371,2),"")</f>
        <v/>
      </c>
      <c r="I371" s="1" t="str">
        <f aca="false">IF(D371&lt;&gt;"",DEC2HEX(D371,2),"")</f>
        <v/>
      </c>
      <c r="J371" s="1" t="str">
        <f aca="false">IF(H371&lt;&gt;"","0x"&amp;I371&amp;H371,"")</f>
        <v/>
      </c>
      <c r="L371" s="1" t="s">
        <v>2914</v>
      </c>
      <c r="M371" s="1" t="str">
        <f aca="false">IF(J371&lt;&gt;"",J371,L371)</f>
        <v>37, 39, SCIZOR</v>
      </c>
    </row>
    <row r="372" customFormat="false" ht="12.75" hidden="false" customHeight="true" outlineLevel="0" collapsed="false">
      <c r="A372" s="3" t="s">
        <v>2915</v>
      </c>
      <c r="B372" s="3" t="str">
        <f aca="false">IF(ISNUMBER(SEARCH("%", A372)),RIGHT(A372,3),A372)</f>
        <v>37, 39, PINSIRIOR</v>
      </c>
      <c r="C372" s="1" t="str">
        <f aca="false" t="array" ref="C372:C372">IF(B371="NEW ROUTE",textsplit(B372,","),"")</f>
        <v/>
      </c>
      <c r="H372" s="1" t="str">
        <f aca="false">IF(C372&lt;&gt;"",DEC2HEX(C372,2),"")</f>
        <v/>
      </c>
      <c r="I372" s="1" t="str">
        <f aca="false">IF(D372&lt;&gt;"",DEC2HEX(D372,2),"")</f>
        <v/>
      </c>
      <c r="J372" s="1" t="str">
        <f aca="false">IF(H372&lt;&gt;"","0x"&amp;I372&amp;H372,"")</f>
        <v/>
      </c>
      <c r="L372" s="1" t="s">
        <v>2915</v>
      </c>
      <c r="M372" s="1" t="str">
        <f aca="false">IF(J372&lt;&gt;"",J372,L372)</f>
        <v>37, 39, PINSIRIOR</v>
      </c>
    </row>
    <row r="373" customFormat="false" ht="12.75" hidden="false" customHeight="true" outlineLevel="0" collapsed="false">
      <c r="A373" s="3" t="s">
        <v>2809</v>
      </c>
      <c r="B373" s="3" t="str">
        <f aca="false">IF(ISNUMBER(SEARCH("%", A373)),RIGHT(A373,3),A373)</f>
        <v>0.04</v>
      </c>
      <c r="C373" s="1" t="str">
        <f aca="false" t="array" ref="C373:C373">IF(B372="NEW ROUTE",textsplit(B373,","),"")</f>
        <v/>
      </c>
      <c r="H373" s="1" t="str">
        <f aca="false">IF(C373&lt;&gt;"",DEC2HEX(C373,2),"")</f>
        <v/>
      </c>
      <c r="I373" s="1" t="str">
        <f aca="false">IF(D373&lt;&gt;"",DEC2HEX(D373,2),"")</f>
        <v/>
      </c>
      <c r="J373" s="1" t="str">
        <f aca="false">IF(H373&lt;&gt;"","0x"&amp;I373&amp;H373,"")</f>
        <v/>
      </c>
      <c r="L373" s="1" t="s">
        <v>2809</v>
      </c>
      <c r="M373" s="1" t="str">
        <f aca="false">IF(J373&lt;&gt;"",J373,L373)</f>
        <v>0.04</v>
      </c>
    </row>
    <row r="374" customFormat="false" ht="12.75" hidden="false" customHeight="true" outlineLevel="0" collapsed="false">
      <c r="A374" s="3" t="s">
        <v>2952</v>
      </c>
      <c r="B374" s="3" t="str">
        <f aca="false">IF(ISNUMBER(SEARCH("%", A374)),RIGHT(A374,3),A374)</f>
        <v>38, 42, SNORLAX</v>
      </c>
      <c r="C374" s="1" t="str">
        <f aca="false" t="array" ref="C374:C374">IF(B373="NEW ROUTE",textsplit(B374,","),"")</f>
        <v/>
      </c>
      <c r="H374" s="1" t="str">
        <f aca="false">IF(C374&lt;&gt;"",DEC2HEX(C374,2),"")</f>
        <v/>
      </c>
      <c r="I374" s="1" t="str">
        <f aca="false">IF(D374&lt;&gt;"",DEC2HEX(D374,2),"")</f>
        <v/>
      </c>
      <c r="J374" s="1" t="str">
        <f aca="false">IF(H374&lt;&gt;"","0x"&amp;I374&amp;H374,"")</f>
        <v/>
      </c>
      <c r="L374" s="1" t="s">
        <v>2952</v>
      </c>
      <c r="M374" s="1" t="str">
        <f aca="false">IF(J374&lt;&gt;"",J374,L374)</f>
        <v>38, 42, SNORLAX</v>
      </c>
    </row>
    <row r="375" customFormat="false" ht="12.75" hidden="false" customHeight="true" outlineLevel="0" collapsed="false">
      <c r="A375" s="3" t="s">
        <v>2953</v>
      </c>
      <c r="B375" s="3" t="str">
        <f aca="false">IF(ISNUMBER(SEARCH("%", A375)),RIGHT(A375,3),A375)</f>
        <v>38, 42, HITMONLEE</v>
      </c>
      <c r="C375" s="1" t="str">
        <f aca="false" t="array" ref="C375:C375">IF(B374="NEW ROUTE",textsplit(B375,","),"")</f>
        <v/>
      </c>
      <c r="H375" s="1" t="str">
        <f aca="false">IF(C375&lt;&gt;"",DEC2HEX(C375,2),"")</f>
        <v/>
      </c>
      <c r="I375" s="1" t="str">
        <f aca="false">IF(D375&lt;&gt;"",DEC2HEX(D375,2),"")</f>
        <v/>
      </c>
      <c r="J375" s="1" t="str">
        <f aca="false">IF(H375&lt;&gt;"","0x"&amp;I375&amp;H375,"")</f>
        <v/>
      </c>
      <c r="L375" s="1" t="s">
        <v>2953</v>
      </c>
      <c r="M375" s="1" t="str">
        <f aca="false">IF(J375&lt;&gt;"",J375,L375)</f>
        <v>38, 42, HITMONLEE</v>
      </c>
    </row>
    <row r="376" customFormat="false" ht="12.75" hidden="false" customHeight="true" outlineLevel="0" collapsed="false">
      <c r="A376" s="3" t="s">
        <v>2812</v>
      </c>
      <c r="B376" s="3" t="str">
        <f aca="false">IF(ISNUMBER(SEARCH("%", A376)),RIGHT(A376,3),A376)</f>
        <v>0.01</v>
      </c>
      <c r="C376" s="1" t="str">
        <f aca="false" t="array" ref="C376:C376">IF(B375="NEW ROUTE",textsplit(B376,","),"")</f>
        <v/>
      </c>
      <c r="H376" s="1" t="str">
        <f aca="false">IF(C376&lt;&gt;"",DEC2HEX(C376,2),"")</f>
        <v/>
      </c>
      <c r="I376" s="1" t="str">
        <f aca="false">IF(D376&lt;&gt;"",DEC2HEX(D376,2),"")</f>
        <v/>
      </c>
      <c r="J376" s="1" t="str">
        <f aca="false">IF(H376&lt;&gt;"","0x"&amp;I376&amp;H376,"")</f>
        <v/>
      </c>
      <c r="L376" s="1" t="s">
        <v>2812</v>
      </c>
      <c r="M376" s="1" t="str">
        <f aca="false">IF(J376&lt;&gt;"",J376,L376)</f>
        <v>0.01</v>
      </c>
    </row>
    <row r="377" customFormat="false" ht="12.75" hidden="false" customHeight="true" outlineLevel="0" collapsed="false">
      <c r="A377" s="3" t="s">
        <v>2954</v>
      </c>
      <c r="B377" s="3" t="str">
        <f aca="false">IF(ISNUMBER(SEARCH("%", A377)),RIGHT(A377,3),A377)</f>
        <v>40, 40, ACTLAX</v>
      </c>
      <c r="C377" s="1" t="str">
        <f aca="false" t="array" ref="C377:C377">IF(B376="NEW ROUTE",textsplit(B377,","),"")</f>
        <v/>
      </c>
      <c r="H377" s="1" t="str">
        <f aca="false">IF(C377&lt;&gt;"",DEC2HEX(C377,2),"")</f>
        <v/>
      </c>
      <c r="I377" s="1" t="str">
        <f aca="false">IF(D377&lt;&gt;"",DEC2HEX(D377,2),"")</f>
        <v/>
      </c>
      <c r="J377" s="1" t="str">
        <f aca="false">IF(H377&lt;&gt;"","0x"&amp;I377&amp;H377,"")</f>
        <v/>
      </c>
      <c r="L377" s="1" t="s">
        <v>2954</v>
      </c>
      <c r="M377" s="1" t="str">
        <f aca="false">IF(J377&lt;&gt;"",J377,L377)</f>
        <v>40, 40, ACTLAX</v>
      </c>
    </row>
    <row r="378" customFormat="false" ht="12.75" hidden="false" customHeight="true" outlineLevel="0" collapsed="false">
      <c r="A378" s="3" t="s">
        <v>2955</v>
      </c>
      <c r="B378" s="3" t="str">
        <f aca="false">IF(ISNUMBER(SEARCH("%", A378)),RIGHT(A378,3),A378)</f>
        <v>40, 40, TANGROWTH</v>
      </c>
      <c r="C378" s="1" t="str">
        <f aca="false" t="array" ref="C378:C378">IF(B377="NEW ROUTE",textsplit(B378,","),"")</f>
        <v/>
      </c>
      <c r="H378" s="1" t="str">
        <f aca="false">IF(C378&lt;&gt;"",DEC2HEX(C378,2),"")</f>
        <v/>
      </c>
      <c r="I378" s="1" t="str">
        <f aca="false">IF(D378&lt;&gt;"",DEC2HEX(D378,2),"")</f>
        <v/>
      </c>
      <c r="J378" s="1" t="str">
        <f aca="false">IF(H378&lt;&gt;"","0x"&amp;I378&amp;H378,"")</f>
        <v/>
      </c>
      <c r="L378" s="1" t="s">
        <v>2955</v>
      </c>
      <c r="M378" s="1" t="str">
        <f aca="false">IF(J378&lt;&gt;"",J378,L378)</f>
        <v>40, 40, TANGROWTH</v>
      </c>
    </row>
    <row r="379" customFormat="false" ht="12.75" hidden="false" customHeight="true" outlineLevel="0" collapsed="false">
      <c r="A379" s="3" t="s">
        <v>2920</v>
      </c>
      <c r="B379" s="3" t="str">
        <f aca="false">IF(ISNUMBER(SEARCH("%", A379)),RIGHT(A379,3),A379)</f>
        <v>2, 38, 42, SLOWPOKE</v>
      </c>
      <c r="C379" s="1" t="str">
        <f aca="false" t="array" ref="C379:C379">IF(B378="NEW ROUTE",textsplit(B379,","),"")</f>
        <v/>
      </c>
      <c r="H379" s="1" t="str">
        <f aca="false">IF(C379&lt;&gt;"",DEC2HEX(C379,2),"")</f>
        <v/>
      </c>
      <c r="I379" s="1" t="str">
        <f aca="false">IF(D379&lt;&gt;"",DEC2HEX(D379,2),"")</f>
        <v/>
      </c>
      <c r="J379" s="1" t="str">
        <f aca="false">IF(H379&lt;&gt;"","0x"&amp;I379&amp;H379,"")</f>
        <v/>
      </c>
      <c r="L379" s="1" t="s">
        <v>2920</v>
      </c>
      <c r="M379" s="1" t="str">
        <f aca="false">IF(J379&lt;&gt;"",J379,L379)</f>
        <v>2, 38, 42, SLOWPOKE</v>
      </c>
    </row>
    <row r="380" customFormat="false" ht="12.75" hidden="false" customHeight="true" outlineLevel="0" collapsed="false">
      <c r="A380" s="3" t="s">
        <v>2921</v>
      </c>
      <c r="B380" s="3" t="str">
        <f aca="false">IF(ISNUMBER(SEARCH("%", A380)),RIGHT(A380,3),A380)</f>
        <v>40, 42, PSYDUCK</v>
      </c>
      <c r="C380" s="1" t="str">
        <f aca="false" t="array" ref="C380:C380">IF(B379="NEW ROUTE",textsplit(B380,","),"")</f>
        <v/>
      </c>
      <c r="H380" s="1" t="str">
        <f aca="false">IF(C380&lt;&gt;"",DEC2HEX(C380,2),"")</f>
        <v/>
      </c>
      <c r="I380" s="1" t="str">
        <f aca="false">IF(D380&lt;&gt;"",DEC2HEX(D380,2),"")</f>
        <v/>
      </c>
      <c r="J380" s="1" t="str">
        <f aca="false">IF(H380&lt;&gt;"","0x"&amp;I380&amp;H380,"")</f>
        <v/>
      </c>
      <c r="L380" s="1" t="s">
        <v>2921</v>
      </c>
      <c r="M380" s="1" t="str">
        <f aca="false">IF(J380&lt;&gt;"",J380,L380)</f>
        <v>40, 42, PSYDUCK</v>
      </c>
    </row>
    <row r="381" customFormat="false" ht="12.75" hidden="false" customHeight="true" outlineLevel="0" collapsed="false">
      <c r="A381" s="3" t="s">
        <v>2922</v>
      </c>
      <c r="B381" s="3" t="str">
        <f aca="false">IF(ISNUMBER(SEARCH("%", A381)),RIGHT(A381,3),A381)</f>
        <v>42, 46, SLOWBRO</v>
      </c>
      <c r="C381" s="1" t="str">
        <f aca="false" t="array" ref="C381:C381">IF(B380="NEW ROUTE",textsplit(B381,","),"")</f>
        <v/>
      </c>
      <c r="H381" s="1" t="str">
        <f aca="false">IF(C381&lt;&gt;"",DEC2HEX(C381,2),"")</f>
        <v/>
      </c>
      <c r="I381" s="1" t="str">
        <f aca="false">IF(D381&lt;&gt;"",DEC2HEX(D381,2),"")</f>
        <v/>
      </c>
      <c r="J381" s="1" t="str">
        <f aca="false">IF(H381&lt;&gt;"","0x"&amp;I381&amp;H381,"")</f>
        <v/>
      </c>
      <c r="L381" s="1" t="s">
        <v>2922</v>
      </c>
      <c r="M381" s="1" t="str">
        <f aca="false">IF(J381&lt;&gt;"",J381,L381)</f>
        <v>42, 46, SLOWBRO</v>
      </c>
    </row>
    <row r="382" customFormat="false" ht="12.75" hidden="false" customHeight="true" outlineLevel="0" collapsed="false">
      <c r="A382" s="3" t="s">
        <v>2923</v>
      </c>
      <c r="B382" s="3" t="str">
        <f aca="false">IF(ISNUMBER(SEARCH("%", A382)),RIGHT(A382,3),A382)</f>
        <v>42, 46, GOLDUCK</v>
      </c>
      <c r="C382" s="1" t="str">
        <f aca="false" t="array" ref="C382:C382">IF(B381="NEW ROUTE",textsplit(B382,","),"")</f>
        <v/>
      </c>
      <c r="H382" s="1" t="str">
        <f aca="false">IF(C382&lt;&gt;"",DEC2HEX(C382,2),"")</f>
        <v/>
      </c>
      <c r="I382" s="1" t="str">
        <f aca="false">IF(D382&lt;&gt;"",DEC2HEX(D382,2),"")</f>
        <v/>
      </c>
      <c r="J382" s="1" t="str">
        <f aca="false">IF(H382&lt;&gt;"","0x"&amp;I382&amp;H382,"")</f>
        <v/>
      </c>
      <c r="L382" s="1" t="s">
        <v>2923</v>
      </c>
      <c r="M382" s="1" t="str">
        <f aca="false">IF(J382&lt;&gt;"",J382,L382)</f>
        <v>42, 46, GOLDUCK</v>
      </c>
    </row>
    <row r="383" customFormat="false" ht="12.75" hidden="false" customHeight="true" outlineLevel="0" collapsed="false">
      <c r="A383" s="3" t="s">
        <v>2924</v>
      </c>
      <c r="B383" s="3" t="str">
        <f aca="false">IF(ISNUMBER(SEARCH("%", A383)),RIGHT(A383,3),A383)</f>
        <v>44, 48, VAPOREON</v>
      </c>
      <c r="C383" s="1" t="str">
        <f aca="false" t="array" ref="C383:C383">IF(B382="NEW ROUTE",textsplit(B383,","),"")</f>
        <v/>
      </c>
      <c r="H383" s="1" t="str">
        <f aca="false">IF(C383&lt;&gt;"",DEC2HEX(C383,2),"")</f>
        <v/>
      </c>
      <c r="I383" s="1" t="str">
        <f aca="false">IF(D383&lt;&gt;"",DEC2HEX(D383,2),"")</f>
        <v/>
      </c>
      <c r="J383" s="1" t="str">
        <f aca="false">IF(H383&lt;&gt;"","0x"&amp;I383&amp;H383,"")</f>
        <v/>
      </c>
      <c r="L383" s="1" t="s">
        <v>2924</v>
      </c>
      <c r="M383" s="1" t="str">
        <f aca="false">IF(J383&lt;&gt;"",J383,L383)</f>
        <v>44, 48, VAPOREON</v>
      </c>
    </row>
    <row r="384" customFormat="false" ht="12.75" hidden="false" customHeight="true" outlineLevel="0" collapsed="false">
      <c r="A384" s="3" t="s">
        <v>2925</v>
      </c>
      <c r="B384" s="3" t="str">
        <f aca="false">IF(ISNUMBER(SEARCH("%", A384)),RIGHT(A384,3),A384)</f>
        <v>20, old rod:</v>
      </c>
      <c r="C384" s="1" t="str">
        <f aca="false" t="array" ref="C384:C384">IF(B383="NEW ROUTE",textsplit(B384,","),"")</f>
        <v/>
      </c>
      <c r="H384" s="1" t="str">
        <f aca="false">IF(C384&lt;&gt;"",DEC2HEX(C384,2),"")</f>
        <v/>
      </c>
      <c r="I384" s="1" t="str">
        <f aca="false">IF(D384&lt;&gt;"",DEC2HEX(D384,2),"")</f>
        <v/>
      </c>
      <c r="J384" s="1" t="str">
        <f aca="false">IF(H384&lt;&gt;"","0x"&amp;I384&amp;H384,"")</f>
        <v/>
      </c>
      <c r="L384" s="1" t="s">
        <v>2925</v>
      </c>
      <c r="M384" s="1" t="str">
        <f aca="false">IF(J384&lt;&gt;"",J384,L384)</f>
        <v>20, old rod:</v>
      </c>
    </row>
    <row r="385" customFormat="false" ht="12.75" hidden="false" customHeight="true" outlineLevel="0" collapsed="false">
      <c r="A385" s="3" t="s">
        <v>1349</v>
      </c>
      <c r="B385" s="3" t="str">
        <f aca="false">IF(ISNUMBER(SEARCH("%", A385)),RIGHT(A385,3),A385)</f>
        <v>19, 26, MAGIKARP</v>
      </c>
      <c r="C385" s="1" t="str">
        <f aca="false" t="array" ref="C385:C385">IF(B384="NEW ROUTE",textsplit(B385,","),"")</f>
        <v/>
      </c>
      <c r="H385" s="1" t="str">
        <f aca="false">IF(C385&lt;&gt;"",DEC2HEX(C385,2),"")</f>
        <v/>
      </c>
      <c r="I385" s="1" t="str">
        <f aca="false">IF(D385&lt;&gt;"",DEC2HEX(D385,2),"")</f>
        <v/>
      </c>
      <c r="J385" s="1" t="str">
        <f aca="false">IF(H385&lt;&gt;"","0x"&amp;I385&amp;H385,"")</f>
        <v/>
      </c>
      <c r="L385" s="1" t="s">
        <v>1349</v>
      </c>
      <c r="M385" s="1" t="str">
        <f aca="false">IF(J385&lt;&gt;"",J385,L385)</f>
        <v>19, 26, MAGIKARP</v>
      </c>
    </row>
    <row r="386" customFormat="false" ht="12.75" hidden="false" customHeight="true" outlineLevel="0" collapsed="false">
      <c r="A386" s="3" t="s">
        <v>2926</v>
      </c>
      <c r="B386" s="3" t="str">
        <f aca="false">IF(ISNUMBER(SEARCH("%", A386)),RIGHT(A386,3),A386)</f>
        <v>19, 26, POLIWAG</v>
      </c>
      <c r="C386" s="1" t="str">
        <f aca="false" t="array" ref="C386:C386">IF(B385="NEW ROUTE",textsplit(B386,","),"")</f>
        <v/>
      </c>
      <c r="H386" s="1" t="str">
        <f aca="false">IF(C386&lt;&gt;"",DEC2HEX(C386,2),"")</f>
        <v/>
      </c>
      <c r="I386" s="1" t="str">
        <f aca="false">IF(D386&lt;&gt;"",DEC2HEX(D386,2),"")</f>
        <v/>
      </c>
      <c r="J386" s="1" t="str">
        <f aca="false">IF(H386&lt;&gt;"","0x"&amp;I386&amp;H386,"")</f>
        <v/>
      </c>
      <c r="L386" s="1" t="s">
        <v>2926</v>
      </c>
      <c r="M386" s="1" t="str">
        <f aca="false">IF(J386&lt;&gt;"",J386,L386)</f>
        <v>19, 26, POLIWAG</v>
      </c>
    </row>
    <row r="387" customFormat="false" ht="12.75" hidden="false" customHeight="true" outlineLevel="0" collapsed="false">
      <c r="A387" s="3" t="s">
        <v>2846</v>
      </c>
      <c r="B387" s="3" t="str">
        <f aca="false">IF(ISNUMBER(SEARCH("%", A387)),RIGHT(A387,3),A387)</f>
        <v>good rod:</v>
      </c>
      <c r="C387" s="1" t="str">
        <f aca="false" t="array" ref="C387:C387">IF(B386="NEW ROUTE",textsplit(B387,","),"")</f>
        <v/>
      </c>
      <c r="H387" s="1" t="str">
        <f aca="false">IF(C387&lt;&gt;"",DEC2HEX(C387,2),"")</f>
        <v/>
      </c>
      <c r="I387" s="1" t="str">
        <f aca="false">IF(D387&lt;&gt;"",DEC2HEX(D387,2),"")</f>
        <v/>
      </c>
      <c r="J387" s="1" t="str">
        <f aca="false">IF(H387&lt;&gt;"","0x"&amp;I387&amp;H387,"")</f>
        <v/>
      </c>
      <c r="L387" s="1" t="s">
        <v>2846</v>
      </c>
      <c r="M387" s="1" t="str">
        <f aca="false">IF(J387&lt;&gt;"",J387,L387)</f>
        <v>good rod:</v>
      </c>
    </row>
    <row r="388" customFormat="false" ht="12.75" hidden="false" customHeight="true" outlineLevel="0" collapsed="false">
      <c r="A388" s="3" t="s">
        <v>2927</v>
      </c>
      <c r="B388" s="3" t="str">
        <f aca="false">IF(ISNUMBER(SEARCH("%", A388)),RIGHT(A388,3),A388)</f>
        <v>29, 33, GYARADOS</v>
      </c>
      <c r="C388" s="1" t="str">
        <f aca="false" t="array" ref="C388:C388">IF(B387="NEW ROUTE",textsplit(B388,","),"")</f>
        <v/>
      </c>
      <c r="H388" s="1" t="str">
        <f aca="false">IF(C388&lt;&gt;"",DEC2HEX(C388,2),"")</f>
        <v/>
      </c>
      <c r="I388" s="1" t="str">
        <f aca="false">IF(D388&lt;&gt;"",DEC2HEX(D388,2),"")</f>
        <v/>
      </c>
      <c r="J388" s="1" t="str">
        <f aca="false">IF(H388&lt;&gt;"","0x"&amp;I388&amp;H388,"")</f>
        <v/>
      </c>
      <c r="L388" s="1" t="s">
        <v>2927</v>
      </c>
      <c r="M388" s="1" t="str">
        <f aca="false">IF(J388&lt;&gt;"",J388,L388)</f>
        <v>29, 33, GYARADOS</v>
      </c>
    </row>
    <row r="389" customFormat="false" ht="12.75" hidden="false" customHeight="true" outlineLevel="0" collapsed="false">
      <c r="A389" s="3" t="s">
        <v>2928</v>
      </c>
      <c r="B389" s="3" t="str">
        <f aca="false">IF(ISNUMBER(SEARCH("%", A389)),RIGHT(A389,3),A389)</f>
        <v>30, 35, POLIWAG</v>
      </c>
      <c r="C389" s="1" t="str">
        <f aca="false" t="array" ref="C389:C389">IF(B388="NEW ROUTE",textsplit(B389,","),"")</f>
        <v/>
      </c>
      <c r="H389" s="1" t="str">
        <f aca="false">IF(C389&lt;&gt;"",DEC2HEX(C389,2),"")</f>
        <v/>
      </c>
      <c r="I389" s="1" t="str">
        <f aca="false">IF(D389&lt;&gt;"",DEC2HEX(D389,2),"")</f>
        <v/>
      </c>
      <c r="J389" s="1" t="str">
        <f aca="false">IF(H389&lt;&gt;"","0x"&amp;I389&amp;H389,"")</f>
        <v/>
      </c>
      <c r="L389" s="1" t="s">
        <v>2928</v>
      </c>
      <c r="M389" s="1" t="str">
        <f aca="false">IF(J389&lt;&gt;"",J389,L389)</f>
        <v>30, 35, POLIWAG</v>
      </c>
    </row>
    <row r="390" customFormat="false" ht="12.75" hidden="false" customHeight="true" outlineLevel="0" collapsed="false">
      <c r="A390" s="3" t="s">
        <v>2929</v>
      </c>
      <c r="B390" s="3" t="str">
        <f aca="false">IF(ISNUMBER(SEARCH("%", A390)),RIGHT(A390,3),A390)</f>
        <v>30, 35, GOLDEEN</v>
      </c>
      <c r="C390" s="1" t="str">
        <f aca="false" t="array" ref="C390:C390">IF(B389="NEW ROUTE",textsplit(B390,","),"")</f>
        <v/>
      </c>
      <c r="H390" s="1" t="str">
        <f aca="false">IF(C390&lt;&gt;"",DEC2HEX(C390,2),"")</f>
        <v/>
      </c>
      <c r="I390" s="1" t="str">
        <f aca="false">IF(D390&lt;&gt;"",DEC2HEX(D390,2),"")</f>
        <v/>
      </c>
      <c r="J390" s="1" t="str">
        <f aca="false">IF(H390&lt;&gt;"","0x"&amp;I390&amp;H390,"")</f>
        <v/>
      </c>
      <c r="L390" s="1" t="s">
        <v>2929</v>
      </c>
      <c r="M390" s="1" t="str">
        <f aca="false">IF(J390&lt;&gt;"",J390,L390)</f>
        <v>30, 35, GOLDEEN</v>
      </c>
    </row>
    <row r="391" customFormat="false" ht="12.75" hidden="false" customHeight="true" outlineLevel="0" collapsed="false">
      <c r="A391" s="3" t="s">
        <v>2850</v>
      </c>
      <c r="B391" s="3" t="str">
        <f aca="false">IF(ISNUMBER(SEARCH("%", A391)),RIGHT(A391,3),A391)</f>
        <v>super rod:</v>
      </c>
      <c r="C391" s="1" t="str">
        <f aca="false" t="array" ref="C391:C391">IF(B390="NEW ROUTE",textsplit(B391,","),"")</f>
        <v/>
      </c>
      <c r="H391" s="1" t="str">
        <f aca="false">IF(C391&lt;&gt;"",DEC2HEX(C391,2),"")</f>
        <v/>
      </c>
      <c r="I391" s="1" t="str">
        <f aca="false">IF(D391&lt;&gt;"",DEC2HEX(D391,2),"")</f>
        <v/>
      </c>
      <c r="J391" s="1" t="str">
        <f aca="false">IF(H391&lt;&gt;"","0x"&amp;I391&amp;H391,"")</f>
        <v/>
      </c>
      <c r="L391" s="1" t="s">
        <v>2850</v>
      </c>
      <c r="M391" s="1" t="str">
        <f aca="false">IF(J391&lt;&gt;"",J391,L391)</f>
        <v>super rod:</v>
      </c>
    </row>
    <row r="392" customFormat="false" ht="12.75" hidden="false" customHeight="true" outlineLevel="0" collapsed="false">
      <c r="A392" s="3" t="s">
        <v>2930</v>
      </c>
      <c r="B392" s="3" t="str">
        <f aca="false">IF(ISNUMBER(SEARCH("%", A392)),RIGHT(A392,3),A392)</f>
        <v>36, 40, POLIWHIRL</v>
      </c>
      <c r="C392" s="1" t="str">
        <f aca="false" t="array" ref="C392:C392">IF(B391="NEW ROUTE",textsplit(B392,","),"")</f>
        <v/>
      </c>
      <c r="H392" s="1" t="str">
        <f aca="false">IF(C392&lt;&gt;"",DEC2HEX(C392,2),"")</f>
        <v/>
      </c>
      <c r="I392" s="1" t="str">
        <f aca="false">IF(D392&lt;&gt;"",DEC2HEX(D392,2),"")</f>
        <v/>
      </c>
      <c r="J392" s="1" t="str">
        <f aca="false">IF(H392&lt;&gt;"","0x"&amp;I392&amp;H392,"")</f>
        <v/>
      </c>
      <c r="L392" s="1" t="s">
        <v>2930</v>
      </c>
      <c r="M392" s="1" t="str">
        <f aca="false">IF(J392&lt;&gt;"",J392,L392)</f>
        <v>36, 40, POLIWHIRL</v>
      </c>
    </row>
    <row r="393" customFormat="false" ht="12.75" hidden="false" customHeight="true" outlineLevel="0" collapsed="false">
      <c r="A393" s="3" t="s">
        <v>2931</v>
      </c>
      <c r="B393" s="3" t="str">
        <f aca="false">IF(ISNUMBER(SEARCH("%", A393)),RIGHT(A393,3),A393)</f>
        <v>36, 40, SEAKING</v>
      </c>
      <c r="C393" s="1" t="str">
        <f aca="false" t="array" ref="C393:C393">IF(B392="NEW ROUTE",textsplit(B393,","),"")</f>
        <v/>
      </c>
      <c r="H393" s="1" t="str">
        <f aca="false">IF(C393&lt;&gt;"",DEC2HEX(C393,2),"")</f>
        <v/>
      </c>
      <c r="I393" s="1" t="str">
        <f aca="false">IF(D393&lt;&gt;"",DEC2HEX(D393,2),"")</f>
        <v/>
      </c>
      <c r="J393" s="1" t="str">
        <f aca="false">IF(H393&lt;&gt;"","0x"&amp;I393&amp;H393,"")</f>
        <v/>
      </c>
      <c r="L393" s="1" t="s">
        <v>2931</v>
      </c>
      <c r="M393" s="1" t="str">
        <f aca="false">IF(J393&lt;&gt;"",J393,L393)</f>
        <v>36, 40, SEAKING</v>
      </c>
    </row>
    <row r="394" customFormat="false" ht="12.75" hidden="false" customHeight="true" outlineLevel="0" collapsed="false">
      <c r="A394" s="3" t="s">
        <v>2932</v>
      </c>
      <c r="B394" s="3" t="str">
        <f aca="false">IF(ISNUMBER(SEARCH("%", A394)),RIGHT(A394,3),A394)</f>
        <v>38, 42, DRATINI</v>
      </c>
      <c r="C394" s="1" t="str">
        <f aca="false" t="array" ref="C394:C394">IF(B393="NEW ROUTE",textsplit(B394,","),"")</f>
        <v/>
      </c>
      <c r="H394" s="1" t="str">
        <f aca="false">IF(C394&lt;&gt;"",DEC2HEX(C394,2),"")</f>
        <v/>
      </c>
      <c r="I394" s="1" t="str">
        <f aca="false">IF(D394&lt;&gt;"",DEC2HEX(D394,2),"")</f>
        <v/>
      </c>
      <c r="J394" s="1" t="str">
        <f aca="false">IF(H394&lt;&gt;"","0x"&amp;I394&amp;H394,"")</f>
        <v/>
      </c>
      <c r="L394" s="1" t="s">
        <v>2932</v>
      </c>
      <c r="M394" s="1" t="str">
        <f aca="false">IF(J394&lt;&gt;"",J394,L394)</f>
        <v>38, 42, DRATINI</v>
      </c>
    </row>
    <row r="395" customFormat="false" ht="12.75" hidden="false" customHeight="true" outlineLevel="0" collapsed="false">
      <c r="A395" s="3" t="s">
        <v>2933</v>
      </c>
      <c r="B395" s="3" t="str">
        <f aca="false">IF(ISNUMBER(SEARCH("%", A395)),RIGHT(A395,3),A395)</f>
        <v>38, 42, DRAGONAIR</v>
      </c>
      <c r="C395" s="1" t="str">
        <f aca="false" t="array" ref="C395:C395">IF(B394="NEW ROUTE",textsplit(B395,","),"")</f>
        <v/>
      </c>
      <c r="H395" s="1" t="str">
        <f aca="false">IF(C395&lt;&gt;"",DEC2HEX(C395,2),"")</f>
        <v/>
      </c>
      <c r="I395" s="1" t="str">
        <f aca="false">IF(D395&lt;&gt;"",DEC2HEX(D395,2),"")</f>
        <v/>
      </c>
      <c r="J395" s="1" t="str">
        <f aca="false">IF(H395&lt;&gt;"","0x"&amp;I395&amp;H395,"")</f>
        <v/>
      </c>
      <c r="L395" s="1" t="s">
        <v>2933</v>
      </c>
      <c r="M395" s="1" t="str">
        <f aca="false">IF(J395&lt;&gt;"",J395,L395)</f>
        <v>38, 42, DRAGONAIR</v>
      </c>
    </row>
    <row r="396" customFormat="false" ht="12.75" hidden="false" customHeight="true" outlineLevel="0" collapsed="false">
      <c r="A396" s="3" t="s">
        <v>2934</v>
      </c>
      <c r="B396" s="3" t="str">
        <f aca="false">IF(ISNUMBER(SEARCH("%", A396)),RIGHT(A396,3),A396)</f>
        <v>40, 44, DRAGONITE</v>
      </c>
      <c r="C396" s="1" t="str">
        <f aca="false" t="array" ref="C396:C396">IF(B395="NEW ROUTE",textsplit(B396,","),"")</f>
        <v/>
      </c>
      <c r="H396" s="1" t="str">
        <f aca="false">IF(C396&lt;&gt;"",DEC2HEX(C396,2),"")</f>
        <v/>
      </c>
      <c r="I396" s="1" t="str">
        <f aca="false">IF(D396&lt;&gt;"",DEC2HEX(D396,2),"")</f>
        <v/>
      </c>
      <c r="J396" s="1" t="str">
        <f aca="false">IF(H396&lt;&gt;"","0x"&amp;I396&amp;H396,"")</f>
        <v/>
      </c>
      <c r="L396" s="1" t="s">
        <v>2934</v>
      </c>
      <c r="M396" s="1" t="str">
        <f aca="false">IF(J396&lt;&gt;"",J396,L396)</f>
        <v>40, 44, DRAGONITE</v>
      </c>
    </row>
    <row r="397" customFormat="false" ht="12.75" hidden="false" customHeight="true" outlineLevel="0" collapsed="false">
      <c r="A397" s="3" t="s">
        <v>2536</v>
      </c>
      <c r="B397" s="3" t="str">
        <f aca="false">IF(ISNUMBER(SEARCH("%", A397)),RIGHT(A397,3),A397)</f>
        <v>NEW ROUTE</v>
      </c>
      <c r="C397" s="1" t="str">
        <f aca="false" t="array" ref="C397:C397">IF(B396="NEW ROUTE",textsplit(B397,","),"")</f>
        <v/>
      </c>
      <c r="H397" s="1" t="str">
        <f aca="false">IF(C397&lt;&gt;"",DEC2HEX(C397,2),"")</f>
        <v/>
      </c>
      <c r="I397" s="1" t="str">
        <f aca="false">IF(D397&lt;&gt;"",DEC2HEX(D397,2),"")</f>
        <v/>
      </c>
      <c r="J397" s="1" t="str">
        <f aca="false">IF(H397&lt;&gt;"","0x"&amp;I397&amp;H397,"")</f>
        <v/>
      </c>
      <c r="L397" s="1" t="s">
        <v>2536</v>
      </c>
      <c r="M397" s="1" t="str">
        <f aca="false">IF(J397&lt;&gt;"",J397,L397)</f>
        <v>NEW ROUTE</v>
      </c>
    </row>
    <row r="398" customFormat="false" ht="12.75" hidden="false" customHeight="true" outlineLevel="0" collapsed="false">
      <c r="A398" s="3" t="s">
        <v>2956</v>
      </c>
      <c r="B398" s="3" t="str">
        <f aca="false">IF(ISNUMBER(SEARCH("%", A398)),RIGHT(A398,3),A398)</f>
        <v>1, 72, 0,</v>
      </c>
      <c r="C398" s="1" t="e">
        <f aca="false" t="array" ref="C398:C398">IF(B397="NEW ROUTE",textsplit(B398,","),"")</f>
        <v>#NAME?</v>
      </c>
      <c r="H398" s="1" t="e">
        <f aca="false">IF(C398&lt;&gt;"",DEC2HEX(C398,2),"")</f>
        <v>#NAME?</v>
      </c>
      <c r="I398" s="1" t="str">
        <f aca="false">IF(D398&lt;&gt;"",DEC2HEX(D398,2),"")</f>
        <v/>
      </c>
      <c r="J398" s="1" t="e">
        <f aca="false">IF(H398&lt;&gt;"","0x"&amp;I398&amp;H398,"")</f>
        <v>#NAME?</v>
      </c>
      <c r="L398" s="1" t="s">
        <v>2956</v>
      </c>
      <c r="M398" s="1" t="e">
        <f aca="false">IF(J398&lt;&gt;"",J398,L398)</f>
        <v>#NAME?</v>
      </c>
    </row>
    <row r="399" customFormat="false" ht="12.75" hidden="false" customHeight="true" outlineLevel="0" collapsed="false">
      <c r="A399" s="3" t="s">
        <v>2816</v>
      </c>
      <c r="B399" s="3" t="str">
        <f aca="false">IF(ISNUMBER(SEARCH("%", A399)),RIGHT(A399,3),A399)</f>
        <v>20%</v>
      </c>
      <c r="C399" s="1" t="str">
        <f aca="false" t="array" ref="C399:C399">IF(B398="NEW ROUTE",textsplit(B399,","),"")</f>
        <v/>
      </c>
      <c r="H399" s="1" t="str">
        <f aca="false">IF(C399&lt;&gt;"",DEC2HEX(C399,2),"")</f>
        <v/>
      </c>
      <c r="I399" s="1" t="str">
        <f aca="false">IF(D399&lt;&gt;"",DEC2HEX(D399,2),"")</f>
        <v/>
      </c>
      <c r="J399" s="1" t="str">
        <f aca="false">IF(H399&lt;&gt;"","0x"&amp;I399&amp;H399,"")</f>
        <v/>
      </c>
      <c r="L399" s="1" t="s">
        <v>2799</v>
      </c>
      <c r="M399" s="1" t="str">
        <f aca="false">IF(J399&lt;&gt;"",J399,L399)</f>
        <v>20%</v>
      </c>
    </row>
    <row r="400" customFormat="false" ht="12.75" hidden="false" customHeight="true" outlineLevel="0" collapsed="false">
      <c r="A400" s="3" t="s">
        <v>1381</v>
      </c>
      <c r="B400" s="3" t="str">
        <f aca="false">IF(ISNUMBER(SEARCH("%", A400)),RIGHT(A400,3),A400)</f>
        <v>50, 55, DUGROUPLE</v>
      </c>
      <c r="C400" s="1" t="str">
        <f aca="false" t="array" ref="C400:C400">IF(B399="NEW ROUTE",textsplit(B400,","),"")</f>
        <v/>
      </c>
      <c r="H400" s="1" t="str">
        <f aca="false">IF(C400&lt;&gt;"",DEC2HEX(C400,2),"")</f>
        <v/>
      </c>
      <c r="I400" s="1" t="str">
        <f aca="false">IF(D400&lt;&gt;"",DEC2HEX(D400,2),"")</f>
        <v/>
      </c>
      <c r="J400" s="1" t="str">
        <f aca="false">IF(H400&lt;&gt;"","0x"&amp;I400&amp;H400,"")</f>
        <v/>
      </c>
      <c r="L400" s="1" t="s">
        <v>1381</v>
      </c>
      <c r="M400" s="1" t="str">
        <f aca="false">IF(J400&lt;&gt;"",J400,L400)</f>
        <v>50, 55, DUGROUPLE</v>
      </c>
    </row>
    <row r="401" customFormat="false" ht="12.75" hidden="false" customHeight="true" outlineLevel="0" collapsed="false">
      <c r="A401" s="3" t="s">
        <v>2957</v>
      </c>
      <c r="B401" s="3" t="str">
        <f aca="false">IF(ISNUMBER(SEARCH("%", A401)),RIGHT(A401,3),A401)</f>
        <v>50, 55, POLABAT</v>
      </c>
      <c r="C401" s="1" t="str">
        <f aca="false" t="array" ref="C401:C401">IF(B400="NEW ROUTE",textsplit(B401,","),"")</f>
        <v/>
      </c>
      <c r="H401" s="1" t="str">
        <f aca="false">IF(C401&lt;&gt;"",DEC2HEX(C401,2),"")</f>
        <v/>
      </c>
      <c r="I401" s="1" t="str">
        <f aca="false">IF(D401&lt;&gt;"",DEC2HEX(D401,2),"")</f>
        <v/>
      </c>
      <c r="J401" s="1" t="str">
        <f aca="false">IF(H401&lt;&gt;"","0x"&amp;I401&amp;H401,"")</f>
        <v/>
      </c>
      <c r="L401" s="1" t="s">
        <v>2957</v>
      </c>
      <c r="M401" s="1" t="str">
        <f aca="false">IF(J401&lt;&gt;"",J401,L401)</f>
        <v>50, 55, POLABAT</v>
      </c>
    </row>
    <row r="402" customFormat="false" ht="12.75" hidden="false" customHeight="true" outlineLevel="0" collapsed="false">
      <c r="A402" s="3" t="s">
        <v>2801</v>
      </c>
      <c r="B402" s="3" t="str">
        <f aca="false">IF(ISNUMBER(SEARCH("%", A402)),RIGHT(A402,3),A402)</f>
        <v>0.1</v>
      </c>
      <c r="C402" s="1" t="str">
        <f aca="false" t="array" ref="C402:C402">IF(B401="NEW ROUTE",textsplit(B402,","),"")</f>
        <v/>
      </c>
      <c r="H402" s="1" t="str">
        <f aca="false">IF(C402&lt;&gt;"",DEC2HEX(C402,2),"")</f>
        <v/>
      </c>
      <c r="I402" s="1" t="str">
        <f aca="false">IF(D402&lt;&gt;"",DEC2HEX(D402,2),"")</f>
        <v/>
      </c>
      <c r="J402" s="1" t="str">
        <f aca="false">IF(H402&lt;&gt;"","0x"&amp;I402&amp;H402,"")</f>
        <v/>
      </c>
      <c r="L402" s="1" t="s">
        <v>2801</v>
      </c>
      <c r="M402" s="1" t="str">
        <f aca="false">IF(J402&lt;&gt;"",J402,L402)</f>
        <v>0.1</v>
      </c>
    </row>
    <row r="403" customFormat="false" ht="12.75" hidden="false" customHeight="true" outlineLevel="0" collapsed="false">
      <c r="A403" s="3" t="s">
        <v>2958</v>
      </c>
      <c r="B403" s="3" t="str">
        <f aca="false">IF(ISNUMBER(SEARCH("%", A403)),RIGHT(A403,3),A403)</f>
        <v>52, 55, VENOMENON</v>
      </c>
      <c r="C403" s="1" t="str">
        <f aca="false" t="array" ref="C403:C403">IF(B402="NEW ROUTE",textsplit(B403,","),"")</f>
        <v/>
      </c>
      <c r="H403" s="1" t="str">
        <f aca="false">IF(C403&lt;&gt;"",DEC2HEX(C403,2),"")</f>
        <v/>
      </c>
      <c r="I403" s="1" t="str">
        <f aca="false">IF(D403&lt;&gt;"",DEC2HEX(D403,2),"")</f>
        <v/>
      </c>
      <c r="J403" s="1" t="str">
        <f aca="false">IF(H403&lt;&gt;"","0x"&amp;I403&amp;H403,"")</f>
        <v/>
      </c>
      <c r="L403" s="1" t="s">
        <v>2958</v>
      </c>
      <c r="M403" s="1" t="str">
        <f aca="false">IF(J403&lt;&gt;"",J403,L403)</f>
        <v>52, 55, VENOMENON</v>
      </c>
    </row>
    <row r="404" customFormat="false" ht="12.75" hidden="false" customHeight="true" outlineLevel="0" collapsed="false">
      <c r="A404" s="3" t="s">
        <v>2959</v>
      </c>
      <c r="B404" s="3" t="str">
        <f aca="false">IF(ISNUMBER(SEARCH("%", A404)),RIGHT(A404,3),A404)</f>
        <v>52, 55, "MR. JEST"</v>
      </c>
      <c r="C404" s="1" t="str">
        <f aca="false" t="array" ref="C404:C404">IF(B403="NEW ROUTE",textsplit(B404,","),"")</f>
        <v/>
      </c>
      <c r="H404" s="1" t="str">
        <f aca="false">IF(C404&lt;&gt;"",DEC2HEX(C404,2),"")</f>
        <v/>
      </c>
      <c r="I404" s="1" t="str">
        <f aca="false">IF(D404&lt;&gt;"",DEC2HEX(D404,2),"")</f>
        <v/>
      </c>
      <c r="J404" s="1" t="str">
        <f aca="false">IF(H404&lt;&gt;"","0x"&amp;I404&amp;H404,"")</f>
        <v/>
      </c>
      <c r="L404" s="1" t="s">
        <v>2959</v>
      </c>
      <c r="M404" s="1" t="str">
        <f aca="false">IF(J404&lt;&gt;"",J404,L404)</f>
        <v>52, 55, "MR. JEST"</v>
      </c>
    </row>
    <row r="405" customFormat="false" ht="12.75" hidden="false" customHeight="true" outlineLevel="0" collapsed="false">
      <c r="A405" s="3" t="s">
        <v>2960</v>
      </c>
      <c r="B405" s="3" t="str">
        <f aca="false">IF(ISNUMBER(SEARCH("%", A405)),RIGHT(A405,3),A405)</f>
        <v>52, 55, NIDORULY</v>
      </c>
      <c r="C405" s="1" t="str">
        <f aca="false" t="array" ref="C405:C405">IF(B404="NEW ROUTE",textsplit(B405,","),"")</f>
        <v/>
      </c>
      <c r="H405" s="1" t="str">
        <f aca="false">IF(C405&lt;&gt;"",DEC2HEX(C405,2),"")</f>
        <v/>
      </c>
      <c r="I405" s="1" t="str">
        <f aca="false">IF(D405&lt;&gt;"",DEC2HEX(D405,2),"")</f>
        <v/>
      </c>
      <c r="J405" s="1" t="str">
        <f aca="false">IF(H405&lt;&gt;"","0x"&amp;I405&amp;H405,"")</f>
        <v/>
      </c>
      <c r="L405" s="1" t="s">
        <v>2960</v>
      </c>
      <c r="M405" s="1" t="str">
        <f aca="false">IF(J405&lt;&gt;"",J405,L405)</f>
        <v>52, 55, NIDORULY</v>
      </c>
    </row>
    <row r="406" customFormat="false" ht="12.75" hidden="false" customHeight="true" outlineLevel="0" collapsed="false">
      <c r="A406" s="3" t="s">
        <v>2961</v>
      </c>
      <c r="B406" s="3" t="str">
        <f aca="false">IF(ISNUMBER(SEARCH("%", A406)),RIGHT(A406,3),A406)</f>
        <v>52, 55, NIDOREGAL</v>
      </c>
      <c r="C406" s="1" t="str">
        <f aca="false" t="array" ref="C406:C406">IF(B405="NEW ROUTE",textsplit(B406,","),"")</f>
        <v/>
      </c>
      <c r="H406" s="1" t="str">
        <f aca="false">IF(C406&lt;&gt;"",DEC2HEX(C406,2),"")</f>
        <v/>
      </c>
      <c r="I406" s="1" t="str">
        <f aca="false">IF(D406&lt;&gt;"",DEC2HEX(D406,2),"")</f>
        <v/>
      </c>
      <c r="J406" s="1" t="str">
        <f aca="false">IF(H406&lt;&gt;"","0x"&amp;I406&amp;H406,"")</f>
        <v/>
      </c>
      <c r="L406" s="1" t="s">
        <v>2961</v>
      </c>
      <c r="M406" s="1" t="str">
        <f aca="false">IF(J406&lt;&gt;"",J406,L406)</f>
        <v>52, 55, NIDOREGAL</v>
      </c>
    </row>
    <row r="407" customFormat="false" ht="12.75" hidden="false" customHeight="true" outlineLevel="0" collapsed="false">
      <c r="A407" s="3" t="s">
        <v>2806</v>
      </c>
      <c r="B407" s="3" t="str">
        <f aca="false">IF(ISNUMBER(SEARCH("%", A407)),RIGHT(A407,3),A407)</f>
        <v>0.05</v>
      </c>
      <c r="C407" s="1" t="str">
        <f aca="false" t="array" ref="C407:C407">IF(B406="NEW ROUTE",textsplit(B407,","),"")</f>
        <v/>
      </c>
      <c r="H407" s="1" t="str">
        <f aca="false">IF(C407&lt;&gt;"",DEC2HEX(C407,2),"")</f>
        <v/>
      </c>
      <c r="I407" s="1" t="str">
        <f aca="false">IF(D407&lt;&gt;"",DEC2HEX(D407,2),"")</f>
        <v/>
      </c>
      <c r="J407" s="1" t="str">
        <f aca="false">IF(H407&lt;&gt;"","0x"&amp;I407&amp;H407,"")</f>
        <v/>
      </c>
      <c r="L407" s="1" t="s">
        <v>2806</v>
      </c>
      <c r="M407" s="1" t="str">
        <f aca="false">IF(J407&lt;&gt;"",J407,L407)</f>
        <v>0.05</v>
      </c>
    </row>
    <row r="408" customFormat="false" ht="12.75" hidden="false" customHeight="true" outlineLevel="0" collapsed="false">
      <c r="A408" s="3" t="s">
        <v>2962</v>
      </c>
      <c r="B408" s="3" t="str">
        <f aca="false">IF(ISNUMBER(SEARCH("%", A408)),RIGHT(A408,3),A408)</f>
        <v>54, 56, MORPHO</v>
      </c>
      <c r="C408" s="1" t="str">
        <f aca="false" t="array" ref="C408:C408">IF(B407="NEW ROUTE",textsplit(B408,","),"")</f>
        <v/>
      </c>
      <c r="H408" s="1" t="str">
        <f aca="false">IF(C408&lt;&gt;"",DEC2HEX(C408,2),"")</f>
        <v/>
      </c>
      <c r="I408" s="1" t="str">
        <f aca="false">IF(D408&lt;&gt;"",DEC2HEX(D408,2),"")</f>
        <v/>
      </c>
      <c r="J408" s="1" t="str">
        <f aca="false">IF(H408&lt;&gt;"","0x"&amp;I408&amp;H408,"")</f>
        <v/>
      </c>
      <c r="L408" s="1" t="s">
        <v>2962</v>
      </c>
      <c r="M408" s="1" t="str">
        <f aca="false">IF(J408&lt;&gt;"",J408,L408)</f>
        <v>54, 56, MORPHO</v>
      </c>
    </row>
    <row r="409" customFormat="false" ht="12.75" hidden="false" customHeight="true" outlineLevel="0" collapsed="false">
      <c r="A409" s="3" t="s">
        <v>2963</v>
      </c>
      <c r="B409" s="3" t="str">
        <f aca="false">IF(ISNUMBER(SEARCH("%", A409)),RIGHT(A409,3),A409)</f>
        <v>54, 56, MAGNEMELD</v>
      </c>
      <c r="C409" s="1" t="str">
        <f aca="false" t="array" ref="C409:C409">IF(B408="NEW ROUTE",textsplit(B409,","),"")</f>
        <v/>
      </c>
      <c r="H409" s="1" t="str">
        <f aca="false">IF(C409&lt;&gt;"",DEC2HEX(C409,2),"")</f>
        <v/>
      </c>
      <c r="I409" s="1" t="str">
        <f aca="false">IF(D409&lt;&gt;"",DEC2HEX(D409,2),"")</f>
        <v/>
      </c>
      <c r="J409" s="1" t="str">
        <f aca="false">IF(H409&lt;&gt;"","0x"&amp;I409&amp;H409,"")</f>
        <v/>
      </c>
      <c r="L409" s="1" t="s">
        <v>2963</v>
      </c>
      <c r="M409" s="1" t="str">
        <f aca="false">IF(J409&lt;&gt;"",J409,L409)</f>
        <v>54, 56, MAGNEMELD</v>
      </c>
    </row>
    <row r="410" customFormat="false" ht="12.75" hidden="false" customHeight="true" outlineLevel="0" collapsed="false">
      <c r="A410" s="3" t="s">
        <v>2809</v>
      </c>
      <c r="B410" s="3" t="str">
        <f aca="false">IF(ISNUMBER(SEARCH("%", A410)),RIGHT(A410,3),A410)</f>
        <v>0.04</v>
      </c>
      <c r="C410" s="1" t="str">
        <f aca="false" t="array" ref="C410:C410">IF(B409="NEW ROUTE",textsplit(B410,","),"")</f>
        <v/>
      </c>
      <c r="H410" s="1" t="str">
        <f aca="false">IF(C410&lt;&gt;"",DEC2HEX(C410,2),"")</f>
        <v/>
      </c>
      <c r="I410" s="1" t="str">
        <f aca="false">IF(D410&lt;&gt;"",DEC2HEX(D410,2),"")</f>
        <v/>
      </c>
      <c r="J410" s="1" t="str">
        <f aca="false">IF(H410&lt;&gt;"","0x"&amp;I410&amp;H410,"")</f>
        <v/>
      </c>
      <c r="L410" s="1" t="s">
        <v>2809</v>
      </c>
      <c r="M410" s="1" t="str">
        <f aca="false">IF(J410&lt;&gt;"",J410,L410)</f>
        <v>0.04</v>
      </c>
    </row>
    <row r="411" customFormat="false" ht="12.75" hidden="false" customHeight="true" outlineLevel="0" collapsed="false">
      <c r="A411" s="3" t="s">
        <v>2964</v>
      </c>
      <c r="B411" s="3" t="str">
        <f aca="false">IF(ISNUMBER(SEARCH("%", A411)),RIGHT(A411,3),A411)</f>
        <v>54, 56, VOHOO-DU</v>
      </c>
      <c r="C411" s="1" t="str">
        <f aca="false" t="array" ref="C411:C411">IF(B410="NEW ROUTE",textsplit(B411,","),"")</f>
        <v/>
      </c>
      <c r="H411" s="1" t="str">
        <f aca="false">IF(C411&lt;&gt;"",DEC2HEX(C411,2),"")</f>
        <v/>
      </c>
      <c r="I411" s="1" t="str">
        <f aca="false">IF(D411&lt;&gt;"",DEC2HEX(D411,2),"")</f>
        <v/>
      </c>
      <c r="J411" s="1" t="str">
        <f aca="false">IF(H411&lt;&gt;"","0x"&amp;I411&amp;H411,"")</f>
        <v/>
      </c>
      <c r="L411" s="1" t="s">
        <v>2964</v>
      </c>
      <c r="M411" s="1" t="str">
        <f aca="false">IF(J411&lt;&gt;"",J411,L411)</f>
        <v>54, 56, VOHOO-DU</v>
      </c>
    </row>
    <row r="412" customFormat="false" ht="12.75" hidden="false" customHeight="true" outlineLevel="0" collapsed="false">
      <c r="A412" s="3" t="s">
        <v>2965</v>
      </c>
      <c r="B412" s="3" t="str">
        <f aca="false">IF(ISNUMBER(SEARCH("%", A412)),RIGHT(A412,3),A412)</f>
        <v>54, 56, CLEFAEFAE</v>
      </c>
      <c r="C412" s="1" t="str">
        <f aca="false" t="array" ref="C412:C412">IF(B411="NEW ROUTE",textsplit(B412,","),"")</f>
        <v/>
      </c>
      <c r="H412" s="1" t="str">
        <f aca="false">IF(C412&lt;&gt;"",DEC2HEX(C412,2),"")</f>
        <v/>
      </c>
      <c r="I412" s="1" t="str">
        <f aca="false">IF(D412&lt;&gt;"",DEC2HEX(D412,2),"")</f>
        <v/>
      </c>
      <c r="J412" s="1" t="str">
        <f aca="false">IF(H412&lt;&gt;"","0x"&amp;I412&amp;H412,"")</f>
        <v/>
      </c>
      <c r="L412" s="1" t="s">
        <v>2965</v>
      </c>
      <c r="M412" s="1" t="str">
        <f aca="false">IF(J412&lt;&gt;"",J412,L412)</f>
        <v>54, 56, CLEFAEFAE</v>
      </c>
    </row>
    <row r="413" customFormat="false" ht="12.75" hidden="false" customHeight="true" outlineLevel="0" collapsed="false">
      <c r="A413" s="3" t="s">
        <v>2812</v>
      </c>
      <c r="B413" s="3" t="str">
        <f aca="false">IF(ISNUMBER(SEARCH("%", A413)),RIGHT(A413,3),A413)</f>
        <v>0.01</v>
      </c>
      <c r="C413" s="1" t="str">
        <f aca="false" t="array" ref="C413:C413">IF(B412="NEW ROUTE",textsplit(B413,","),"")</f>
        <v/>
      </c>
      <c r="H413" s="1" t="str">
        <f aca="false">IF(C413&lt;&gt;"",DEC2HEX(C413,2),"")</f>
        <v/>
      </c>
      <c r="I413" s="1" t="str">
        <f aca="false">IF(D413&lt;&gt;"",DEC2HEX(D413,2),"")</f>
        <v/>
      </c>
      <c r="J413" s="1" t="str">
        <f aca="false">IF(H413&lt;&gt;"","0x"&amp;I413&amp;H413,"")</f>
        <v/>
      </c>
      <c r="L413" s="1" t="s">
        <v>2812</v>
      </c>
      <c r="M413" s="1" t="str">
        <f aca="false">IF(J413&lt;&gt;"",J413,L413)</f>
        <v>0.01</v>
      </c>
    </row>
    <row r="414" customFormat="false" ht="12.75" hidden="false" customHeight="true" outlineLevel="0" collapsed="false">
      <c r="A414" s="3" t="s">
        <v>2966</v>
      </c>
      <c r="B414" s="3" t="str">
        <f aca="false">IF(ISNUMBER(SEARCH("%", A414)),RIGHT(A414,3),A414)</f>
        <v>55, 56, KABUTAK</v>
      </c>
      <c r="C414" s="1" t="str">
        <f aca="false" t="array" ref="C414:C414">IF(B413="NEW ROUTE",textsplit(B414,","),"")</f>
        <v/>
      </c>
      <c r="H414" s="1" t="str">
        <f aca="false">IF(C414&lt;&gt;"",DEC2HEX(C414,2),"")</f>
        <v/>
      </c>
      <c r="I414" s="1" t="str">
        <f aca="false">IF(D414&lt;&gt;"",DEC2HEX(D414,2),"")</f>
        <v/>
      </c>
      <c r="J414" s="1" t="str">
        <f aca="false">IF(H414&lt;&gt;"","0x"&amp;I414&amp;H414,"")</f>
        <v/>
      </c>
      <c r="L414" s="1" t="s">
        <v>2966</v>
      </c>
      <c r="M414" s="1" t="str">
        <f aca="false">IF(J414&lt;&gt;"",J414,L414)</f>
        <v>55, 56, KABUTAK</v>
      </c>
    </row>
    <row r="415" customFormat="false" ht="12.75" hidden="false" customHeight="true" outlineLevel="0" collapsed="false">
      <c r="A415" s="3" t="s">
        <v>2967</v>
      </c>
      <c r="B415" s="3" t="str">
        <f aca="false">IF(ISNUMBER(SEARCH("%", A415)),RIGHT(A415,3),A415)</f>
        <v>55, 56, OMAPAL</v>
      </c>
      <c r="C415" s="1" t="str">
        <f aca="false" t="array" ref="C415:C415">IF(B414="NEW ROUTE",textsplit(B415,","),"")</f>
        <v/>
      </c>
      <c r="H415" s="1" t="str">
        <f aca="false">IF(C415&lt;&gt;"",DEC2HEX(C415,2),"")</f>
        <v/>
      </c>
      <c r="I415" s="1" t="str">
        <f aca="false">IF(D415&lt;&gt;"",DEC2HEX(D415,2),"")</f>
        <v/>
      </c>
      <c r="J415" s="1" t="str">
        <f aca="false">IF(H415&lt;&gt;"","0x"&amp;I415&amp;H415,"")</f>
        <v/>
      </c>
      <c r="L415" s="1" t="s">
        <v>2967</v>
      </c>
      <c r="M415" s="1" t="str">
        <f aca="false">IF(J415&lt;&gt;"",J415,L415)</f>
        <v>55, 56, OMAPAL</v>
      </c>
    </row>
    <row r="416" customFormat="false" ht="12.75" hidden="false" customHeight="true" outlineLevel="0" collapsed="false">
      <c r="A416" s="3" t="s">
        <v>2968</v>
      </c>
      <c r="B416" s="3" t="str">
        <f aca="false">IF(ISNUMBER(SEARCH("%", A416)),RIGHT(A416,3),A416)</f>
        <v>2, 50, 55, POLITOES</v>
      </c>
      <c r="C416" s="1" t="str">
        <f aca="false" t="array" ref="C416:C416">IF(B415="NEW ROUTE",textsplit(B416,","),"")</f>
        <v/>
      </c>
      <c r="H416" s="1" t="str">
        <f aca="false">IF(C416&lt;&gt;"",DEC2HEX(C416,2),"")</f>
        <v/>
      </c>
      <c r="I416" s="1" t="str">
        <f aca="false">IF(D416&lt;&gt;"",DEC2HEX(D416,2),"")</f>
        <v/>
      </c>
      <c r="J416" s="1" t="str">
        <f aca="false">IF(H416&lt;&gt;"","0x"&amp;I416&amp;H416,"")</f>
        <v/>
      </c>
      <c r="L416" s="1" t="s">
        <v>2968</v>
      </c>
      <c r="M416" s="1" t="str">
        <f aca="false">IF(J416&lt;&gt;"",J416,L416)</f>
        <v>2, 50, 55, POLITOES</v>
      </c>
    </row>
    <row r="417" customFormat="false" ht="12.75" hidden="false" customHeight="true" outlineLevel="0" collapsed="false">
      <c r="A417" s="3" t="s">
        <v>2969</v>
      </c>
      <c r="B417" s="3" t="str">
        <f aca="false">IF(ISNUMBER(SEARCH("%", A417)),RIGHT(A417,3),A417)</f>
        <v>50, 55, DRAGONITE</v>
      </c>
      <c r="C417" s="1" t="str">
        <f aca="false" t="array" ref="C417:C417">IF(B416="NEW ROUTE",textsplit(B417,","),"")</f>
        <v/>
      </c>
      <c r="H417" s="1" t="str">
        <f aca="false">IF(C417&lt;&gt;"",DEC2HEX(C417,2),"")</f>
        <v/>
      </c>
      <c r="I417" s="1" t="str">
        <f aca="false">IF(D417&lt;&gt;"",DEC2HEX(D417,2),"")</f>
        <v/>
      </c>
      <c r="J417" s="1" t="str">
        <f aca="false">IF(H417&lt;&gt;"","0x"&amp;I417&amp;H417,"")</f>
        <v/>
      </c>
      <c r="L417" s="1" t="s">
        <v>2969</v>
      </c>
      <c r="M417" s="1" t="str">
        <f aca="false">IF(J417&lt;&gt;"",J417,L417)</f>
        <v>50, 55, DRAGONITE</v>
      </c>
    </row>
    <row r="418" customFormat="false" ht="12.75" hidden="false" customHeight="true" outlineLevel="0" collapsed="false">
      <c r="A418" s="3" t="s">
        <v>2970</v>
      </c>
      <c r="B418" s="3" t="str">
        <f aca="false">IF(ISNUMBER(SEARCH("%", A418)),RIGHT(A418,3),A418)</f>
        <v>52, 57, POLIWISE</v>
      </c>
      <c r="C418" s="1" t="str">
        <f aca="false" t="array" ref="C418:C418">IF(B417="NEW ROUTE",textsplit(B418,","),"")</f>
        <v/>
      </c>
      <c r="H418" s="1" t="str">
        <f aca="false">IF(C418&lt;&gt;"",DEC2HEX(C418,2),"")</f>
        <v/>
      </c>
      <c r="I418" s="1" t="str">
        <f aca="false">IF(D418&lt;&gt;"",DEC2HEX(D418,2),"")</f>
        <v/>
      </c>
      <c r="J418" s="1" t="str">
        <f aca="false">IF(H418&lt;&gt;"","0x"&amp;I418&amp;H418,"")</f>
        <v/>
      </c>
      <c r="L418" s="1" t="s">
        <v>2970</v>
      </c>
      <c r="M418" s="1" t="str">
        <f aca="false">IF(J418&lt;&gt;"",J418,L418)</f>
        <v>52, 57, POLIWISE</v>
      </c>
    </row>
    <row r="419" customFormat="false" ht="12.75" hidden="false" customHeight="true" outlineLevel="0" collapsed="false">
      <c r="A419" s="3" t="s">
        <v>2971</v>
      </c>
      <c r="B419" s="3" t="str">
        <f aca="false">IF(ISNUMBER(SEARCH("%", A419)),RIGHT(A419,3),A419)</f>
        <v>52, 57, DRAGONIER</v>
      </c>
      <c r="C419" s="1" t="str">
        <f aca="false" t="array" ref="C419:C419">IF(B418="NEW ROUTE",textsplit(B419,","),"")</f>
        <v/>
      </c>
      <c r="H419" s="1" t="str">
        <f aca="false">IF(C419&lt;&gt;"",DEC2HEX(C419,2),"")</f>
        <v/>
      </c>
      <c r="I419" s="1" t="str">
        <f aca="false">IF(D419&lt;&gt;"",DEC2HEX(D419,2),"")</f>
        <v/>
      </c>
      <c r="J419" s="1" t="str">
        <f aca="false">IF(H419&lt;&gt;"","0x"&amp;I419&amp;H419,"")</f>
        <v/>
      </c>
      <c r="L419" s="1" t="s">
        <v>2971</v>
      </c>
      <c r="M419" s="1" t="str">
        <f aca="false">IF(J419&lt;&gt;"",J419,L419)</f>
        <v>52, 57, DRAGONIER</v>
      </c>
    </row>
    <row r="420" customFormat="false" ht="12.75" hidden="false" customHeight="true" outlineLevel="0" collapsed="false">
      <c r="A420" s="3" t="s">
        <v>2972</v>
      </c>
      <c r="B420" s="3" t="str">
        <f aca="false">IF(ISNUMBER(SEARCH("%", A420)),RIGHT(A420,3),A420)</f>
        <v>53, 58, NESSEA</v>
      </c>
      <c r="C420" s="1" t="str">
        <f aca="false" t="array" ref="C420:C420">IF(B419="NEW ROUTE",textsplit(B420,","),"")</f>
        <v/>
      </c>
      <c r="H420" s="1" t="str">
        <f aca="false">IF(C420&lt;&gt;"",DEC2HEX(C420,2),"")</f>
        <v/>
      </c>
      <c r="I420" s="1" t="str">
        <f aca="false">IF(D420&lt;&gt;"",DEC2HEX(D420,2),"")</f>
        <v/>
      </c>
      <c r="J420" s="1" t="str">
        <f aca="false">IF(H420&lt;&gt;"","0x"&amp;I420&amp;H420,"")</f>
        <v/>
      </c>
      <c r="L420" s="1" t="s">
        <v>2972</v>
      </c>
      <c r="M420" s="1" t="str">
        <f aca="false">IF(J420&lt;&gt;"",J420,L420)</f>
        <v>53, 58, NESSEA</v>
      </c>
    </row>
    <row r="421" customFormat="false" ht="12.75" hidden="false" customHeight="true" outlineLevel="0" collapsed="false">
      <c r="A421" s="3" t="s">
        <v>2925</v>
      </c>
      <c r="B421" s="3" t="str">
        <f aca="false">IF(ISNUMBER(SEARCH("%", A421)),RIGHT(A421,3),A421)</f>
        <v>20, old rod:</v>
      </c>
      <c r="C421" s="1" t="str">
        <f aca="false" t="array" ref="C421:C421">IF(B420="NEW ROUTE",textsplit(B421,","),"")</f>
        <v/>
      </c>
      <c r="H421" s="1" t="str">
        <f aca="false">IF(C421&lt;&gt;"",DEC2HEX(C421,2),"")</f>
        <v/>
      </c>
      <c r="I421" s="1" t="str">
        <f aca="false">IF(D421&lt;&gt;"",DEC2HEX(D421,2),"")</f>
        <v/>
      </c>
      <c r="J421" s="1" t="str">
        <f aca="false">IF(H421&lt;&gt;"","0x"&amp;I421&amp;H421,"")</f>
        <v/>
      </c>
      <c r="L421" s="1" t="s">
        <v>2925</v>
      </c>
      <c r="M421" s="1" t="str">
        <f aca="false">IF(J421&lt;&gt;"",J421,L421)</f>
        <v>20, old rod:</v>
      </c>
    </row>
    <row r="422" customFormat="false" ht="12.75" hidden="false" customHeight="true" outlineLevel="0" collapsed="false">
      <c r="A422" s="3" t="s">
        <v>1397</v>
      </c>
      <c r="B422" s="3" t="str">
        <f aca="false">IF(ISNUMBER(SEARCH("%", A422)),RIGHT(A422,3),A422)</f>
        <v>23, 36, CLOYSTER</v>
      </c>
      <c r="C422" s="1" t="str">
        <f aca="false" t="array" ref="C422:C422">IF(B421="NEW ROUTE",textsplit(B422,","),"")</f>
        <v/>
      </c>
      <c r="H422" s="1" t="str">
        <f aca="false">IF(C422&lt;&gt;"",DEC2HEX(C422,2),"")</f>
        <v/>
      </c>
      <c r="I422" s="1" t="str">
        <f aca="false">IF(D422&lt;&gt;"",DEC2HEX(D422,2),"")</f>
        <v/>
      </c>
      <c r="J422" s="1" t="str">
        <f aca="false">IF(H422&lt;&gt;"","0x"&amp;I422&amp;H422,"")</f>
        <v/>
      </c>
      <c r="L422" s="1" t="s">
        <v>1397</v>
      </c>
      <c r="M422" s="1" t="str">
        <f aca="false">IF(J422&lt;&gt;"",J422,L422)</f>
        <v>23, 36, CLOYSTER</v>
      </c>
    </row>
    <row r="423" customFormat="false" ht="12.75" hidden="false" customHeight="true" outlineLevel="0" collapsed="false">
      <c r="A423" s="3" t="s">
        <v>2973</v>
      </c>
      <c r="B423" s="3" t="str">
        <f aca="false">IF(ISNUMBER(SEARCH("%", A423)),RIGHT(A423,3),A423)</f>
        <v>23, 36, GYARADOS</v>
      </c>
      <c r="C423" s="1" t="str">
        <f aca="false" t="array" ref="C423:C423">IF(B422="NEW ROUTE",textsplit(B423,","),"")</f>
        <v/>
      </c>
      <c r="H423" s="1" t="str">
        <f aca="false">IF(C423&lt;&gt;"",DEC2HEX(C423,2),"")</f>
        <v/>
      </c>
      <c r="I423" s="1" t="str">
        <f aca="false">IF(D423&lt;&gt;"",DEC2HEX(D423,2),"")</f>
        <v/>
      </c>
      <c r="J423" s="1" t="str">
        <f aca="false">IF(H423&lt;&gt;"","0x"&amp;I423&amp;H423,"")</f>
        <v/>
      </c>
      <c r="L423" s="1" t="s">
        <v>2973</v>
      </c>
      <c r="M423" s="1" t="str">
        <f aca="false">IF(J423&lt;&gt;"",J423,L423)</f>
        <v>23, 36, GYARADOS</v>
      </c>
    </row>
    <row r="424" customFormat="false" ht="12.75" hidden="false" customHeight="true" outlineLevel="0" collapsed="false">
      <c r="A424" s="3" t="s">
        <v>2846</v>
      </c>
      <c r="B424" s="3" t="str">
        <f aca="false">IF(ISNUMBER(SEARCH("%", A424)),RIGHT(A424,3),A424)</f>
        <v>good rod:</v>
      </c>
      <c r="C424" s="1" t="str">
        <f aca="false" t="array" ref="C424:C424">IF(B423="NEW ROUTE",textsplit(B424,","),"")</f>
        <v/>
      </c>
      <c r="H424" s="1" t="str">
        <f aca="false">IF(C424&lt;&gt;"",DEC2HEX(C424,2),"")</f>
        <v/>
      </c>
      <c r="I424" s="1" t="str">
        <f aca="false">IF(D424&lt;&gt;"",DEC2HEX(D424,2),"")</f>
        <v/>
      </c>
      <c r="J424" s="1" t="str">
        <f aca="false">IF(H424&lt;&gt;"","0x"&amp;I424&amp;H424,"")</f>
        <v/>
      </c>
      <c r="L424" s="1" t="s">
        <v>2846</v>
      </c>
      <c r="M424" s="1" t="str">
        <f aca="false">IF(J424&lt;&gt;"",J424,L424)</f>
        <v>good rod:</v>
      </c>
    </row>
    <row r="425" customFormat="false" ht="12.75" hidden="false" customHeight="true" outlineLevel="0" collapsed="false">
      <c r="A425" s="3" t="s">
        <v>2974</v>
      </c>
      <c r="B425" s="3" t="str">
        <f aca="false">IF(ISNUMBER(SEARCH("%", A425)),RIGHT(A425,3),A425)</f>
        <v>30, 38, CLOYSTER</v>
      </c>
      <c r="C425" s="1" t="str">
        <f aca="false" t="array" ref="C425:C425">IF(B424="NEW ROUTE",textsplit(B425,","),"")</f>
        <v/>
      </c>
      <c r="H425" s="1" t="str">
        <f aca="false">IF(C425&lt;&gt;"",DEC2HEX(C425,2),"")</f>
        <v/>
      </c>
      <c r="I425" s="1" t="str">
        <f aca="false">IF(D425&lt;&gt;"",DEC2HEX(D425,2),"")</f>
        <v/>
      </c>
      <c r="J425" s="1" t="str">
        <f aca="false">IF(H425&lt;&gt;"","0x"&amp;I425&amp;H425,"")</f>
        <v/>
      </c>
      <c r="L425" s="1" t="s">
        <v>2974</v>
      </c>
      <c r="M425" s="1" t="str">
        <f aca="false">IF(J425&lt;&gt;"",J425,L425)</f>
        <v>30, 38, CLOYSTER</v>
      </c>
    </row>
    <row r="426" customFormat="false" ht="12.75" hidden="false" customHeight="true" outlineLevel="0" collapsed="false">
      <c r="A426" s="3" t="s">
        <v>2975</v>
      </c>
      <c r="B426" s="3" t="str">
        <f aca="false">IF(ISNUMBER(SEARCH("%", A426)),RIGHT(A426,3),A426)</f>
        <v>32, 40, KINGDRA</v>
      </c>
      <c r="C426" s="1" t="str">
        <f aca="false" t="array" ref="C426:C426">IF(B425="NEW ROUTE",textsplit(B426,","),"")</f>
        <v/>
      </c>
      <c r="H426" s="1" t="str">
        <f aca="false">IF(C426&lt;&gt;"",DEC2HEX(C426,2),"")</f>
        <v/>
      </c>
      <c r="I426" s="1" t="str">
        <f aca="false">IF(D426&lt;&gt;"",DEC2HEX(D426,2),"")</f>
        <v/>
      </c>
      <c r="J426" s="1" t="str">
        <f aca="false">IF(H426&lt;&gt;"","0x"&amp;I426&amp;H426,"")</f>
        <v/>
      </c>
      <c r="L426" s="1" t="s">
        <v>2975</v>
      </c>
      <c r="M426" s="1" t="str">
        <f aca="false">IF(J426&lt;&gt;"",J426,L426)</f>
        <v>32, 40, KINGDRA</v>
      </c>
    </row>
    <row r="427" customFormat="false" ht="12.75" hidden="false" customHeight="true" outlineLevel="0" collapsed="false">
      <c r="A427" s="3" t="s">
        <v>2976</v>
      </c>
      <c r="B427" s="3" t="str">
        <f aca="false">IF(ISNUMBER(SEARCH("%", A427)),RIGHT(A427,3),A427)</f>
        <v>32, 40, HYDRADOS</v>
      </c>
      <c r="C427" s="1" t="str">
        <f aca="false" t="array" ref="C427:C427">IF(B426="NEW ROUTE",textsplit(B427,","),"")</f>
        <v/>
      </c>
      <c r="H427" s="1" t="str">
        <f aca="false">IF(C427&lt;&gt;"",DEC2HEX(C427,2),"")</f>
        <v/>
      </c>
      <c r="I427" s="1" t="str">
        <f aca="false">IF(D427&lt;&gt;"",DEC2HEX(D427,2),"")</f>
        <v/>
      </c>
      <c r="J427" s="1" t="str">
        <f aca="false">IF(H427&lt;&gt;"","0x"&amp;I427&amp;H427,"")</f>
        <v/>
      </c>
      <c r="L427" s="1" t="s">
        <v>2976</v>
      </c>
      <c r="M427" s="1" t="str">
        <f aca="false">IF(J427&lt;&gt;"",J427,L427)</f>
        <v>32, 40, HYDRADOS</v>
      </c>
    </row>
    <row r="428" customFormat="false" ht="12.75" hidden="false" customHeight="true" outlineLevel="0" collapsed="false">
      <c r="A428" s="3" t="s">
        <v>2850</v>
      </c>
      <c r="B428" s="3" t="str">
        <f aca="false">IF(ISNUMBER(SEARCH("%", A428)),RIGHT(A428,3),A428)</f>
        <v>super rod:</v>
      </c>
      <c r="C428" s="1" t="str">
        <f aca="false" t="array" ref="C428:C428">IF(B427="NEW ROUTE",textsplit(B428,","),"")</f>
        <v/>
      </c>
      <c r="H428" s="1" t="str">
        <f aca="false">IF(C428&lt;&gt;"",DEC2HEX(C428,2),"")</f>
        <v/>
      </c>
      <c r="I428" s="1" t="str">
        <f aca="false">IF(D428&lt;&gt;"",DEC2HEX(D428,2),"")</f>
        <v/>
      </c>
      <c r="J428" s="1" t="str">
        <f aca="false">IF(H428&lt;&gt;"","0x"&amp;I428&amp;H428,"")</f>
        <v/>
      </c>
      <c r="L428" s="1" t="s">
        <v>2850</v>
      </c>
      <c r="M428" s="1" t="str">
        <f aca="false">IF(J428&lt;&gt;"",J428,L428)</f>
        <v>super rod:</v>
      </c>
    </row>
    <row r="429" customFormat="false" ht="12.75" hidden="false" customHeight="true" outlineLevel="0" collapsed="false">
      <c r="A429" s="3" t="s">
        <v>2977</v>
      </c>
      <c r="B429" s="3" t="str">
        <f aca="false">IF(ISNUMBER(SEARCH("%", A429)),RIGHT(A429,3),A429)</f>
        <v>50, 55, LORDRA</v>
      </c>
      <c r="C429" s="1" t="str">
        <f aca="false" t="array" ref="C429:C429">IF(B428="NEW ROUTE",textsplit(B429,","),"")</f>
        <v/>
      </c>
      <c r="H429" s="1" t="str">
        <f aca="false">IF(C429&lt;&gt;"",DEC2HEX(C429,2),"")</f>
        <v/>
      </c>
      <c r="I429" s="1" t="str">
        <f aca="false">IF(D429&lt;&gt;"",DEC2HEX(D429,2),"")</f>
        <v/>
      </c>
      <c r="J429" s="1" t="str">
        <f aca="false">IF(H429&lt;&gt;"","0x"&amp;I429&amp;H429,"")</f>
        <v/>
      </c>
      <c r="L429" s="1" t="s">
        <v>2977</v>
      </c>
      <c r="M429" s="1" t="str">
        <f aca="false">IF(J429&lt;&gt;"",J429,L429)</f>
        <v>50, 55, LORDRA</v>
      </c>
    </row>
    <row r="430" customFormat="false" ht="12.75" hidden="false" customHeight="true" outlineLevel="0" collapsed="false">
      <c r="A430" s="3" t="s">
        <v>2978</v>
      </c>
      <c r="B430" s="3" t="str">
        <f aca="false">IF(ISNUMBER(SEARCH("%", A430)),RIGHT(A430,3),A430)</f>
        <v>50, 55, AN'ENEMY</v>
      </c>
      <c r="C430" s="1" t="str">
        <f aca="false" t="array" ref="C430:C430">IF(B429="NEW ROUTE",textsplit(B430,","),"")</f>
        <v/>
      </c>
      <c r="H430" s="1" t="str">
        <f aca="false">IF(C430&lt;&gt;"",DEC2HEX(C430,2),"")</f>
        <v/>
      </c>
      <c r="I430" s="1" t="str">
        <f aca="false">IF(D430&lt;&gt;"",DEC2HEX(D430,2),"")</f>
        <v/>
      </c>
      <c r="J430" s="1" t="str">
        <f aca="false">IF(H430&lt;&gt;"","0x"&amp;I430&amp;H430,"")</f>
        <v/>
      </c>
      <c r="L430" s="1" t="s">
        <v>2978</v>
      </c>
      <c r="M430" s="1" t="str">
        <f aca="false">IF(J430&lt;&gt;"",J430,L430)</f>
        <v>50, 55, AN'ENEMY</v>
      </c>
    </row>
    <row r="431" customFormat="false" ht="12.75" hidden="false" customHeight="true" outlineLevel="0" collapsed="false">
      <c r="A431" s="3" t="s">
        <v>2979</v>
      </c>
      <c r="B431" s="3" t="str">
        <f aca="false">IF(ISNUMBER(SEARCH("%", A431)),RIGHT(A431,3),A431)</f>
        <v>52, 57, DRACOSMIC</v>
      </c>
      <c r="C431" s="1" t="str">
        <f aca="false" t="array" ref="C431:C431">IF(B430="NEW ROUTE",textsplit(B431,","),"")</f>
        <v/>
      </c>
      <c r="H431" s="1" t="str">
        <f aca="false">IF(C431&lt;&gt;"",DEC2HEX(C431,2),"")</f>
        <v/>
      </c>
      <c r="I431" s="1" t="str">
        <f aca="false">IF(D431&lt;&gt;"",DEC2HEX(D431,2),"")</f>
        <v/>
      </c>
      <c r="J431" s="1" t="str">
        <f aca="false">IF(H431&lt;&gt;"","0x"&amp;I431&amp;H431,"")</f>
        <v/>
      </c>
      <c r="L431" s="1" t="s">
        <v>2979</v>
      </c>
      <c r="M431" s="1" t="str">
        <f aca="false">IF(J431&lt;&gt;"",J431,L431)</f>
        <v>52, 57, DRACOSMIC</v>
      </c>
    </row>
    <row r="432" customFormat="false" ht="12.75" hidden="false" customHeight="true" outlineLevel="0" collapsed="false">
      <c r="A432" s="3" t="s">
        <v>2980</v>
      </c>
      <c r="B432" s="3" t="str">
        <f aca="false">IF(ISNUMBER(SEARCH("%", A432)),RIGHT(A432,3),A432)</f>
        <v>52, 57, GLAISHELL</v>
      </c>
      <c r="C432" s="1" t="str">
        <f aca="false" t="array" ref="C432:C432">IF(B431="NEW ROUTE",textsplit(B432,","),"")</f>
        <v/>
      </c>
      <c r="H432" s="1" t="str">
        <f aca="false">IF(C432&lt;&gt;"",DEC2HEX(C432,2),"")</f>
        <v/>
      </c>
      <c r="I432" s="1" t="str">
        <f aca="false">IF(D432&lt;&gt;"",DEC2HEX(D432,2),"")</f>
        <v/>
      </c>
      <c r="J432" s="1" t="str">
        <f aca="false">IF(H432&lt;&gt;"","0x"&amp;I432&amp;H432,"")</f>
        <v/>
      </c>
      <c r="L432" s="1" t="s">
        <v>2980</v>
      </c>
      <c r="M432" s="1" t="str">
        <f aca="false">IF(J432&lt;&gt;"",J432,L432)</f>
        <v>52, 57, GLAISHELL</v>
      </c>
    </row>
    <row r="433" customFormat="false" ht="12.75" hidden="false" customHeight="true" outlineLevel="0" collapsed="false">
      <c r="A433" s="3" t="s">
        <v>2981</v>
      </c>
      <c r="B433" s="3" t="str">
        <f aca="false">IF(ISNUMBER(SEARCH("%", A433)),RIGHT(A433,3),A433)</f>
        <v>53, 58, STARWE</v>
      </c>
      <c r="C433" s="1" t="str">
        <f aca="false" t="array" ref="C433:C433">IF(B432="NEW ROUTE",textsplit(B433,","),"")</f>
        <v/>
      </c>
      <c r="H433" s="1" t="str">
        <f aca="false">IF(C433&lt;&gt;"",DEC2HEX(C433,2),"")</f>
        <v/>
      </c>
      <c r="I433" s="1" t="str">
        <f aca="false">IF(D433&lt;&gt;"",DEC2HEX(D433,2),"")</f>
        <v/>
      </c>
      <c r="J433" s="1" t="str">
        <f aca="false">IF(H433&lt;&gt;"","0x"&amp;I433&amp;H433,"")</f>
        <v/>
      </c>
      <c r="L433" s="1" t="s">
        <v>2981</v>
      </c>
      <c r="M433" s="1" t="str">
        <f aca="false">IF(J433&lt;&gt;"",J433,L433)</f>
        <v>53, 58, STARWE</v>
      </c>
    </row>
    <row r="434" customFormat="false" ht="12.75" hidden="false" customHeight="true" outlineLevel="0" collapsed="false">
      <c r="A434" s="3" t="s">
        <v>2536</v>
      </c>
      <c r="B434" s="3" t="str">
        <f aca="false">IF(ISNUMBER(SEARCH("%", A434)),RIGHT(A434,3),A434)</f>
        <v>NEW ROUTE</v>
      </c>
      <c r="C434" s="1" t="str">
        <f aca="false" t="array" ref="C434:C434">IF(B433="NEW ROUTE",textsplit(B434,","),"")</f>
        <v/>
      </c>
      <c r="H434" s="1" t="str">
        <f aca="false">IF(C434&lt;&gt;"",DEC2HEX(C434,2),"")</f>
        <v/>
      </c>
      <c r="I434" s="1" t="str">
        <f aca="false">IF(D434&lt;&gt;"",DEC2HEX(D434,2),"")</f>
        <v/>
      </c>
      <c r="J434" s="1" t="str">
        <f aca="false">IF(H434&lt;&gt;"","0x"&amp;I434&amp;H434,"")</f>
        <v/>
      </c>
      <c r="L434" s="1" t="s">
        <v>2536</v>
      </c>
      <c r="M434" s="1" t="str">
        <f aca="false">IF(J434&lt;&gt;"",J434,L434)</f>
        <v>NEW ROUTE</v>
      </c>
    </row>
    <row r="435" customFormat="false" ht="12.75" hidden="false" customHeight="true" outlineLevel="0" collapsed="false">
      <c r="A435" s="3" t="s">
        <v>2982</v>
      </c>
      <c r="B435" s="3" t="str">
        <f aca="false">IF(ISNUMBER(SEARCH("%", A435)),RIGHT(A435,3),A435)</f>
        <v>1, 73, 0,</v>
      </c>
      <c r="C435" s="1" t="e">
        <f aca="false" t="array" ref="C435:C435">IF(B434="NEW ROUTE",textsplit(B435,","),"")</f>
        <v>#NAME?</v>
      </c>
      <c r="H435" s="1" t="e">
        <f aca="false">IF(C435&lt;&gt;"",DEC2HEX(C435,2),"")</f>
        <v>#NAME?</v>
      </c>
      <c r="I435" s="1" t="str">
        <f aca="false">IF(D435&lt;&gt;"",DEC2HEX(D435,2),"")</f>
        <v/>
      </c>
      <c r="J435" s="1" t="e">
        <f aca="false">IF(H435&lt;&gt;"","0x"&amp;I435&amp;H435,"")</f>
        <v>#NAME?</v>
      </c>
      <c r="L435" s="1" t="s">
        <v>2982</v>
      </c>
      <c r="M435" s="1" t="e">
        <f aca="false">IF(J435&lt;&gt;"",J435,L435)</f>
        <v>#NAME?</v>
      </c>
    </row>
    <row r="436" customFormat="false" ht="12.75" hidden="false" customHeight="true" outlineLevel="0" collapsed="false">
      <c r="A436" s="3" t="s">
        <v>2816</v>
      </c>
      <c r="B436" s="3" t="str">
        <f aca="false">IF(ISNUMBER(SEARCH("%", A436)),RIGHT(A436,3),A436)</f>
        <v>20%</v>
      </c>
      <c r="C436" s="1" t="str">
        <f aca="false" t="array" ref="C436:C436">IF(B435="NEW ROUTE",textsplit(B436,","),"")</f>
        <v/>
      </c>
      <c r="H436" s="1" t="str">
        <f aca="false">IF(C436&lt;&gt;"",DEC2HEX(C436,2),"")</f>
        <v/>
      </c>
      <c r="I436" s="1" t="str">
        <f aca="false">IF(D436&lt;&gt;"",DEC2HEX(D436,2),"")</f>
        <v/>
      </c>
      <c r="J436" s="1" t="str">
        <f aca="false">IF(H436&lt;&gt;"","0x"&amp;I436&amp;H436,"")</f>
        <v/>
      </c>
      <c r="L436" s="1" t="s">
        <v>2799</v>
      </c>
      <c r="M436" s="1" t="str">
        <f aca="false">IF(J436&lt;&gt;"",J436,L436)</f>
        <v>20%</v>
      </c>
    </row>
    <row r="437" customFormat="false" ht="12.75" hidden="false" customHeight="true" outlineLevel="0" collapsed="false">
      <c r="A437" s="3" t="s">
        <v>1381</v>
      </c>
      <c r="B437" s="3" t="str">
        <f aca="false">IF(ISNUMBER(SEARCH("%", A437)),RIGHT(A437,3),A437)</f>
        <v>50, 55, DUGROUPLE</v>
      </c>
      <c r="C437" s="1" t="str">
        <f aca="false" t="array" ref="C437:C437">IF(B436="NEW ROUTE",textsplit(B437,","),"")</f>
        <v/>
      </c>
      <c r="H437" s="1" t="str">
        <f aca="false">IF(C437&lt;&gt;"",DEC2HEX(C437,2),"")</f>
        <v/>
      </c>
      <c r="I437" s="1" t="str">
        <f aca="false">IF(D437&lt;&gt;"",DEC2HEX(D437,2),"")</f>
        <v/>
      </c>
      <c r="J437" s="1" t="str">
        <f aca="false">IF(H437&lt;&gt;"","0x"&amp;I437&amp;H437,"")</f>
        <v/>
      </c>
      <c r="L437" s="1" t="s">
        <v>1381</v>
      </c>
      <c r="M437" s="1" t="str">
        <f aca="false">IF(J437&lt;&gt;"",J437,L437)</f>
        <v>50, 55, DUGROUPLE</v>
      </c>
    </row>
    <row r="438" customFormat="false" ht="12.75" hidden="false" customHeight="true" outlineLevel="0" collapsed="false">
      <c r="A438" s="3" t="s">
        <v>2957</v>
      </c>
      <c r="B438" s="3" t="str">
        <f aca="false">IF(ISNUMBER(SEARCH("%", A438)),RIGHT(A438,3),A438)</f>
        <v>50, 55, POLABAT</v>
      </c>
      <c r="C438" s="1" t="str">
        <f aca="false" t="array" ref="C438:C438">IF(B437="NEW ROUTE",textsplit(B438,","),"")</f>
        <v/>
      </c>
      <c r="H438" s="1" t="str">
        <f aca="false">IF(C438&lt;&gt;"",DEC2HEX(C438,2),"")</f>
        <v/>
      </c>
      <c r="I438" s="1" t="str">
        <f aca="false">IF(D438&lt;&gt;"",DEC2HEX(D438,2),"")</f>
        <v/>
      </c>
      <c r="J438" s="1" t="str">
        <f aca="false">IF(H438&lt;&gt;"","0x"&amp;I438&amp;H438,"")</f>
        <v/>
      </c>
      <c r="L438" s="1" t="s">
        <v>2957</v>
      </c>
      <c r="M438" s="1" t="str">
        <f aca="false">IF(J438&lt;&gt;"",J438,L438)</f>
        <v>50, 55, POLABAT</v>
      </c>
    </row>
    <row r="439" customFormat="false" ht="12.75" hidden="false" customHeight="true" outlineLevel="0" collapsed="false">
      <c r="A439" s="3" t="s">
        <v>2801</v>
      </c>
      <c r="B439" s="3" t="str">
        <f aca="false">IF(ISNUMBER(SEARCH("%", A439)),RIGHT(A439,3),A439)</f>
        <v>0.1</v>
      </c>
      <c r="C439" s="1" t="str">
        <f aca="false" t="array" ref="C439:C439">IF(B438="NEW ROUTE",textsplit(B439,","),"")</f>
        <v/>
      </c>
      <c r="H439" s="1" t="str">
        <f aca="false">IF(C439&lt;&gt;"",DEC2HEX(C439,2),"")</f>
        <v/>
      </c>
      <c r="I439" s="1" t="str">
        <f aca="false">IF(D439&lt;&gt;"",DEC2HEX(D439,2),"")</f>
        <v/>
      </c>
      <c r="J439" s="1" t="str">
        <f aca="false">IF(H439&lt;&gt;"","0x"&amp;I439&amp;H439,"")</f>
        <v/>
      </c>
      <c r="L439" s="1" t="s">
        <v>2801</v>
      </c>
      <c r="M439" s="1" t="str">
        <f aca="false">IF(J439&lt;&gt;"",J439,L439)</f>
        <v>0.1</v>
      </c>
    </row>
    <row r="440" customFormat="false" ht="12.75" hidden="false" customHeight="true" outlineLevel="0" collapsed="false">
      <c r="A440" s="3" t="s">
        <v>2958</v>
      </c>
      <c r="B440" s="3" t="str">
        <f aca="false">IF(ISNUMBER(SEARCH("%", A440)),RIGHT(A440,3),A440)</f>
        <v>52, 55, VENOMENON</v>
      </c>
      <c r="C440" s="1" t="str">
        <f aca="false" t="array" ref="C440:C440">IF(B439="NEW ROUTE",textsplit(B440,","),"")</f>
        <v/>
      </c>
      <c r="H440" s="1" t="str">
        <f aca="false">IF(C440&lt;&gt;"",DEC2HEX(C440,2),"")</f>
        <v/>
      </c>
      <c r="I440" s="1" t="str">
        <f aca="false">IF(D440&lt;&gt;"",DEC2HEX(D440,2),"")</f>
        <v/>
      </c>
      <c r="J440" s="1" t="str">
        <f aca="false">IF(H440&lt;&gt;"","0x"&amp;I440&amp;H440,"")</f>
        <v/>
      </c>
      <c r="L440" s="1" t="s">
        <v>2958</v>
      </c>
      <c r="M440" s="1" t="str">
        <f aca="false">IF(J440&lt;&gt;"",J440,L440)</f>
        <v>52, 55, VENOMENON</v>
      </c>
    </row>
    <row r="441" customFormat="false" ht="12.75" hidden="false" customHeight="true" outlineLevel="0" collapsed="false">
      <c r="A441" s="3" t="s">
        <v>2959</v>
      </c>
      <c r="B441" s="3" t="str">
        <f aca="false">IF(ISNUMBER(SEARCH("%", A441)),RIGHT(A441,3),A441)</f>
        <v>52, 55, "MR. JEST"</v>
      </c>
      <c r="C441" s="1" t="str">
        <f aca="false" t="array" ref="C441:C441">IF(B440="NEW ROUTE",textsplit(B441,","),"")</f>
        <v/>
      </c>
      <c r="H441" s="1" t="str">
        <f aca="false">IF(C441&lt;&gt;"",DEC2HEX(C441,2),"")</f>
        <v/>
      </c>
      <c r="I441" s="1" t="str">
        <f aca="false">IF(D441&lt;&gt;"",DEC2HEX(D441,2),"")</f>
        <v/>
      </c>
      <c r="J441" s="1" t="str">
        <f aca="false">IF(H441&lt;&gt;"","0x"&amp;I441&amp;H441,"")</f>
        <v/>
      </c>
      <c r="L441" s="1" t="s">
        <v>2959</v>
      </c>
      <c r="M441" s="1" t="str">
        <f aca="false">IF(J441&lt;&gt;"",J441,L441)</f>
        <v>52, 55, "MR. JEST"</v>
      </c>
    </row>
    <row r="442" customFormat="false" ht="12.75" hidden="false" customHeight="true" outlineLevel="0" collapsed="false">
      <c r="A442" s="3" t="s">
        <v>2960</v>
      </c>
      <c r="B442" s="3" t="str">
        <f aca="false">IF(ISNUMBER(SEARCH("%", A442)),RIGHT(A442,3),A442)</f>
        <v>52, 55, NIDORULY</v>
      </c>
      <c r="C442" s="1" t="str">
        <f aca="false" t="array" ref="C442:C442">IF(B441="NEW ROUTE",textsplit(B442,","),"")</f>
        <v/>
      </c>
      <c r="H442" s="1" t="str">
        <f aca="false">IF(C442&lt;&gt;"",DEC2HEX(C442,2),"")</f>
        <v/>
      </c>
      <c r="I442" s="1" t="str">
        <f aca="false">IF(D442&lt;&gt;"",DEC2HEX(D442,2),"")</f>
        <v/>
      </c>
      <c r="J442" s="1" t="str">
        <f aca="false">IF(H442&lt;&gt;"","0x"&amp;I442&amp;H442,"")</f>
        <v/>
      </c>
      <c r="L442" s="1" t="s">
        <v>2960</v>
      </c>
      <c r="M442" s="1" t="str">
        <f aca="false">IF(J442&lt;&gt;"",J442,L442)</f>
        <v>52, 55, NIDORULY</v>
      </c>
    </row>
    <row r="443" customFormat="false" ht="12.75" hidden="false" customHeight="true" outlineLevel="0" collapsed="false">
      <c r="A443" s="3" t="s">
        <v>2961</v>
      </c>
      <c r="B443" s="3" t="str">
        <f aca="false">IF(ISNUMBER(SEARCH("%", A443)),RIGHT(A443,3),A443)</f>
        <v>52, 55, NIDOREGAL</v>
      </c>
      <c r="C443" s="1" t="str">
        <f aca="false" t="array" ref="C443:C443">IF(B442="NEW ROUTE",textsplit(B443,","),"")</f>
        <v/>
      </c>
      <c r="H443" s="1" t="str">
        <f aca="false">IF(C443&lt;&gt;"",DEC2HEX(C443,2),"")</f>
        <v/>
      </c>
      <c r="I443" s="1" t="str">
        <f aca="false">IF(D443&lt;&gt;"",DEC2HEX(D443,2),"")</f>
        <v/>
      </c>
      <c r="J443" s="1" t="str">
        <f aca="false">IF(H443&lt;&gt;"","0x"&amp;I443&amp;H443,"")</f>
        <v/>
      </c>
      <c r="L443" s="1" t="s">
        <v>2961</v>
      </c>
      <c r="M443" s="1" t="str">
        <f aca="false">IF(J443&lt;&gt;"",J443,L443)</f>
        <v>52, 55, NIDOREGAL</v>
      </c>
    </row>
    <row r="444" customFormat="false" ht="12.75" hidden="false" customHeight="true" outlineLevel="0" collapsed="false">
      <c r="A444" s="3" t="s">
        <v>2806</v>
      </c>
      <c r="B444" s="3" t="str">
        <f aca="false">IF(ISNUMBER(SEARCH("%", A444)),RIGHT(A444,3),A444)</f>
        <v>0.05</v>
      </c>
      <c r="C444" s="1" t="str">
        <f aca="false" t="array" ref="C444:C444">IF(B443="NEW ROUTE",textsplit(B444,","),"")</f>
        <v/>
      </c>
      <c r="H444" s="1" t="str">
        <f aca="false">IF(C444&lt;&gt;"",DEC2HEX(C444,2),"")</f>
        <v/>
      </c>
      <c r="I444" s="1" t="str">
        <f aca="false">IF(D444&lt;&gt;"",DEC2HEX(D444,2),"")</f>
        <v/>
      </c>
      <c r="J444" s="1" t="str">
        <f aca="false">IF(H444&lt;&gt;"","0x"&amp;I444&amp;H444,"")</f>
        <v/>
      </c>
      <c r="L444" s="1" t="s">
        <v>2806</v>
      </c>
      <c r="M444" s="1" t="str">
        <f aca="false">IF(J444&lt;&gt;"",J444,L444)</f>
        <v>0.05</v>
      </c>
    </row>
    <row r="445" customFormat="false" ht="12.75" hidden="false" customHeight="true" outlineLevel="0" collapsed="false">
      <c r="A445" s="3" t="s">
        <v>2962</v>
      </c>
      <c r="B445" s="3" t="str">
        <f aca="false">IF(ISNUMBER(SEARCH("%", A445)),RIGHT(A445,3),A445)</f>
        <v>54, 56, MORPHO</v>
      </c>
      <c r="C445" s="1" t="str">
        <f aca="false" t="array" ref="C445:C445">IF(B444="NEW ROUTE",textsplit(B445,","),"")</f>
        <v/>
      </c>
      <c r="H445" s="1" t="str">
        <f aca="false">IF(C445&lt;&gt;"",DEC2HEX(C445,2),"")</f>
        <v/>
      </c>
      <c r="I445" s="1" t="str">
        <f aca="false">IF(D445&lt;&gt;"",DEC2HEX(D445,2),"")</f>
        <v/>
      </c>
      <c r="J445" s="1" t="str">
        <f aca="false">IF(H445&lt;&gt;"","0x"&amp;I445&amp;H445,"")</f>
        <v/>
      </c>
      <c r="L445" s="1" t="s">
        <v>2962</v>
      </c>
      <c r="M445" s="1" t="str">
        <f aca="false">IF(J445&lt;&gt;"",J445,L445)</f>
        <v>54, 56, MORPHO</v>
      </c>
    </row>
    <row r="446" customFormat="false" ht="12.75" hidden="false" customHeight="true" outlineLevel="0" collapsed="false">
      <c r="A446" s="3" t="s">
        <v>2963</v>
      </c>
      <c r="B446" s="3" t="str">
        <f aca="false">IF(ISNUMBER(SEARCH("%", A446)),RIGHT(A446,3),A446)</f>
        <v>54, 56, MAGNEMELD</v>
      </c>
      <c r="C446" s="1" t="str">
        <f aca="false" t="array" ref="C446:C446">IF(B445="NEW ROUTE",textsplit(B446,","),"")</f>
        <v/>
      </c>
      <c r="H446" s="1" t="str">
        <f aca="false">IF(C446&lt;&gt;"",DEC2HEX(C446,2),"")</f>
        <v/>
      </c>
      <c r="I446" s="1" t="str">
        <f aca="false">IF(D446&lt;&gt;"",DEC2HEX(D446,2),"")</f>
        <v/>
      </c>
      <c r="J446" s="1" t="str">
        <f aca="false">IF(H446&lt;&gt;"","0x"&amp;I446&amp;H446,"")</f>
        <v/>
      </c>
      <c r="L446" s="1" t="s">
        <v>2963</v>
      </c>
      <c r="M446" s="1" t="str">
        <f aca="false">IF(J446&lt;&gt;"",J446,L446)</f>
        <v>54, 56, MAGNEMELD</v>
      </c>
    </row>
    <row r="447" customFormat="false" ht="12.75" hidden="false" customHeight="true" outlineLevel="0" collapsed="false">
      <c r="A447" s="3" t="s">
        <v>2809</v>
      </c>
      <c r="B447" s="3" t="str">
        <f aca="false">IF(ISNUMBER(SEARCH("%", A447)),RIGHT(A447,3),A447)</f>
        <v>0.04</v>
      </c>
      <c r="C447" s="1" t="str">
        <f aca="false" t="array" ref="C447:C447">IF(B446="NEW ROUTE",textsplit(B447,","),"")</f>
        <v/>
      </c>
      <c r="H447" s="1" t="str">
        <f aca="false">IF(C447&lt;&gt;"",DEC2HEX(C447,2),"")</f>
        <v/>
      </c>
      <c r="I447" s="1" t="str">
        <f aca="false">IF(D447&lt;&gt;"",DEC2HEX(D447,2),"")</f>
        <v/>
      </c>
      <c r="J447" s="1" t="str">
        <f aca="false">IF(H447&lt;&gt;"","0x"&amp;I447&amp;H447,"")</f>
        <v/>
      </c>
      <c r="L447" s="1" t="s">
        <v>2809</v>
      </c>
      <c r="M447" s="1" t="str">
        <f aca="false">IF(J447&lt;&gt;"",J447,L447)</f>
        <v>0.04</v>
      </c>
    </row>
    <row r="448" customFormat="false" ht="12.75" hidden="false" customHeight="true" outlineLevel="0" collapsed="false">
      <c r="A448" s="3" t="s">
        <v>2964</v>
      </c>
      <c r="B448" s="3" t="str">
        <f aca="false">IF(ISNUMBER(SEARCH("%", A448)),RIGHT(A448,3),A448)</f>
        <v>54, 56, VOHOO-DU</v>
      </c>
      <c r="C448" s="1" t="str">
        <f aca="false" t="array" ref="C448:C448">IF(B447="NEW ROUTE",textsplit(B448,","),"")</f>
        <v/>
      </c>
      <c r="H448" s="1" t="str">
        <f aca="false">IF(C448&lt;&gt;"",DEC2HEX(C448,2),"")</f>
        <v/>
      </c>
      <c r="I448" s="1" t="str">
        <f aca="false">IF(D448&lt;&gt;"",DEC2HEX(D448,2),"")</f>
        <v/>
      </c>
      <c r="J448" s="1" t="str">
        <f aca="false">IF(H448&lt;&gt;"","0x"&amp;I448&amp;H448,"")</f>
        <v/>
      </c>
      <c r="L448" s="1" t="s">
        <v>2964</v>
      </c>
      <c r="M448" s="1" t="str">
        <f aca="false">IF(J448&lt;&gt;"",J448,L448)</f>
        <v>54, 56, VOHOO-DU</v>
      </c>
    </row>
    <row r="449" customFormat="false" ht="12.75" hidden="false" customHeight="true" outlineLevel="0" collapsed="false">
      <c r="A449" s="3" t="s">
        <v>2965</v>
      </c>
      <c r="B449" s="3" t="str">
        <f aca="false">IF(ISNUMBER(SEARCH("%", A449)),RIGHT(A449,3),A449)</f>
        <v>54, 56, CLEFAEFAE</v>
      </c>
      <c r="C449" s="1" t="str">
        <f aca="false" t="array" ref="C449:C449">IF(B448="NEW ROUTE",textsplit(B449,","),"")</f>
        <v/>
      </c>
      <c r="H449" s="1" t="str">
        <f aca="false">IF(C449&lt;&gt;"",DEC2HEX(C449,2),"")</f>
        <v/>
      </c>
      <c r="I449" s="1" t="str">
        <f aca="false">IF(D449&lt;&gt;"",DEC2HEX(D449,2),"")</f>
        <v/>
      </c>
      <c r="J449" s="1" t="str">
        <f aca="false">IF(H449&lt;&gt;"","0x"&amp;I449&amp;H449,"")</f>
        <v/>
      </c>
      <c r="L449" s="1" t="s">
        <v>2965</v>
      </c>
      <c r="M449" s="1" t="str">
        <f aca="false">IF(J449&lt;&gt;"",J449,L449)</f>
        <v>54, 56, CLEFAEFAE</v>
      </c>
    </row>
    <row r="450" customFormat="false" ht="12.75" hidden="false" customHeight="true" outlineLevel="0" collapsed="false">
      <c r="A450" s="3" t="s">
        <v>2812</v>
      </c>
      <c r="B450" s="3" t="str">
        <f aca="false">IF(ISNUMBER(SEARCH("%", A450)),RIGHT(A450,3),A450)</f>
        <v>0.01</v>
      </c>
      <c r="C450" s="1" t="str">
        <f aca="false" t="array" ref="C450:C450">IF(B449="NEW ROUTE",textsplit(B450,","),"")</f>
        <v/>
      </c>
      <c r="H450" s="1" t="str">
        <f aca="false">IF(C450&lt;&gt;"",DEC2HEX(C450,2),"")</f>
        <v/>
      </c>
      <c r="I450" s="1" t="str">
        <f aca="false">IF(D450&lt;&gt;"",DEC2HEX(D450,2),"")</f>
        <v/>
      </c>
      <c r="J450" s="1" t="str">
        <f aca="false">IF(H450&lt;&gt;"","0x"&amp;I450&amp;H450,"")</f>
        <v/>
      </c>
      <c r="L450" s="1" t="s">
        <v>2812</v>
      </c>
      <c r="M450" s="1" t="str">
        <f aca="false">IF(J450&lt;&gt;"",J450,L450)</f>
        <v>0.01</v>
      </c>
    </row>
    <row r="451" customFormat="false" ht="12.75" hidden="false" customHeight="true" outlineLevel="0" collapsed="false">
      <c r="A451" s="3" t="s">
        <v>2966</v>
      </c>
      <c r="B451" s="3" t="str">
        <f aca="false">IF(ISNUMBER(SEARCH("%", A451)),RIGHT(A451,3),A451)</f>
        <v>55, 56, KABUTAK</v>
      </c>
      <c r="C451" s="1" t="str">
        <f aca="false" t="array" ref="C451:C451">IF(B450="NEW ROUTE",textsplit(B451,","),"")</f>
        <v/>
      </c>
      <c r="H451" s="1" t="str">
        <f aca="false">IF(C451&lt;&gt;"",DEC2HEX(C451,2),"")</f>
        <v/>
      </c>
      <c r="I451" s="1" t="str">
        <f aca="false">IF(D451&lt;&gt;"",DEC2HEX(D451,2),"")</f>
        <v/>
      </c>
      <c r="J451" s="1" t="str">
        <f aca="false">IF(H451&lt;&gt;"","0x"&amp;I451&amp;H451,"")</f>
        <v/>
      </c>
      <c r="L451" s="1" t="s">
        <v>2966</v>
      </c>
      <c r="M451" s="1" t="str">
        <f aca="false">IF(J451&lt;&gt;"",J451,L451)</f>
        <v>55, 56, KABUTAK</v>
      </c>
    </row>
    <row r="452" customFormat="false" ht="12.75" hidden="false" customHeight="true" outlineLevel="0" collapsed="false">
      <c r="A452" s="3" t="s">
        <v>2983</v>
      </c>
      <c r="B452" s="3" t="str">
        <f aca="false">IF(ISNUMBER(SEARCH("%", A452)),RIGHT(A452,3),A452)</f>
        <v>55, 56, OMAPAL , &lt;null&gt;, &lt;null&gt;, &lt;null&gt;</v>
      </c>
      <c r="C452" s="1" t="str">
        <f aca="false" t="array" ref="C452:C452">IF(B451="NEW ROUTE",textsplit(B452,","),"")</f>
        <v/>
      </c>
      <c r="H452" s="1" t="str">
        <f aca="false">IF(C452&lt;&gt;"",DEC2HEX(C452,2),"")</f>
        <v/>
      </c>
      <c r="I452" s="1" t="str">
        <f aca="false">IF(D452&lt;&gt;"",DEC2HEX(D452,2),"")</f>
        <v/>
      </c>
      <c r="J452" s="1" t="str">
        <f aca="false">IF(H452&lt;&gt;"","0x"&amp;I452&amp;H452,"")</f>
        <v/>
      </c>
      <c r="L452" s="1" t="s">
        <v>2983</v>
      </c>
      <c r="M452" s="1" t="str">
        <f aca="false">IF(J452&lt;&gt;"",J452,L452)</f>
        <v>55, 56, OMAPAL , &lt;null&gt;, &lt;null&gt;, &lt;null&gt;</v>
      </c>
    </row>
    <row r="453" customFormat="false" ht="12.75" hidden="false" customHeight="true" outlineLevel="0" collapsed="false">
      <c r="A453" s="3" t="s">
        <v>2536</v>
      </c>
      <c r="B453" s="3" t="str">
        <f aca="false">IF(ISNUMBER(SEARCH("%", A453)),RIGHT(A453,3),A453)</f>
        <v>NEW ROUTE</v>
      </c>
      <c r="C453" s="1" t="str">
        <f aca="false" t="array" ref="C453:C453">IF(B452="NEW ROUTE",textsplit(B453,","),"")</f>
        <v/>
      </c>
      <c r="H453" s="1" t="str">
        <f aca="false">IF(C453&lt;&gt;"",DEC2HEX(C453,2),"")</f>
        <v/>
      </c>
      <c r="I453" s="1" t="str">
        <f aca="false">IF(D453&lt;&gt;"",DEC2HEX(D453,2),"")</f>
        <v/>
      </c>
      <c r="J453" s="1" t="str">
        <f aca="false">IF(H453&lt;&gt;"","0x"&amp;I453&amp;H453,"")</f>
        <v/>
      </c>
      <c r="L453" s="1" t="s">
        <v>2536</v>
      </c>
      <c r="M453" s="1" t="str">
        <f aca="false">IF(J453&lt;&gt;"",J453,L453)</f>
        <v>NEW ROUTE</v>
      </c>
    </row>
    <row r="454" customFormat="false" ht="12.75" hidden="false" customHeight="true" outlineLevel="0" collapsed="false">
      <c r="A454" s="3" t="s">
        <v>2984</v>
      </c>
      <c r="B454" s="3" t="str">
        <f aca="false">IF(ISNUMBER(SEARCH("%", A454)),RIGHT(A454,3),A454)</f>
        <v>1, 74, 0,</v>
      </c>
      <c r="C454" s="1" t="e">
        <f aca="false" t="array" ref="C454:C454">IF(B453="NEW ROUTE",textsplit(B454,","),"")</f>
        <v>#NAME?</v>
      </c>
      <c r="H454" s="1" t="e">
        <f aca="false">IF(C454&lt;&gt;"",DEC2HEX(C454,2),"")</f>
        <v>#NAME?</v>
      </c>
      <c r="I454" s="1" t="str">
        <f aca="false">IF(D454&lt;&gt;"",DEC2HEX(D454,2),"")</f>
        <v/>
      </c>
      <c r="J454" s="1" t="e">
        <f aca="false">IF(H454&lt;&gt;"","0x"&amp;I454&amp;H454,"")</f>
        <v>#NAME?</v>
      </c>
      <c r="L454" s="1" t="s">
        <v>2984</v>
      </c>
      <c r="M454" s="1" t="e">
        <f aca="false">IF(J454&lt;&gt;"",J454,L454)</f>
        <v>#NAME?</v>
      </c>
    </row>
    <row r="455" customFormat="false" ht="12.75" hidden="false" customHeight="true" outlineLevel="0" collapsed="false">
      <c r="A455" s="3" t="s">
        <v>2816</v>
      </c>
      <c r="B455" s="3" t="str">
        <f aca="false">IF(ISNUMBER(SEARCH("%", A455)),RIGHT(A455,3),A455)</f>
        <v>20%</v>
      </c>
      <c r="C455" s="1" t="str">
        <f aca="false" t="array" ref="C455:C455">IF(B454="NEW ROUTE",textsplit(B455,","),"")</f>
        <v/>
      </c>
      <c r="H455" s="1" t="str">
        <f aca="false">IF(C455&lt;&gt;"",DEC2HEX(C455,2),"")</f>
        <v/>
      </c>
      <c r="I455" s="1" t="str">
        <f aca="false">IF(D455&lt;&gt;"",DEC2HEX(D455,2),"")</f>
        <v/>
      </c>
      <c r="J455" s="1" t="str">
        <f aca="false">IF(H455&lt;&gt;"","0x"&amp;I455&amp;H455,"")</f>
        <v/>
      </c>
      <c r="L455" s="1" t="s">
        <v>2799</v>
      </c>
      <c r="M455" s="1" t="str">
        <f aca="false">IF(J455&lt;&gt;"",J455,L455)</f>
        <v>20%</v>
      </c>
    </row>
    <row r="456" customFormat="false" ht="12.75" hidden="false" customHeight="true" outlineLevel="0" collapsed="false">
      <c r="A456" s="3" t="s">
        <v>1381</v>
      </c>
      <c r="B456" s="3" t="str">
        <f aca="false">IF(ISNUMBER(SEARCH("%", A456)),RIGHT(A456,3),A456)</f>
        <v>50, 55, DUGROUPLE</v>
      </c>
      <c r="C456" s="1" t="str">
        <f aca="false" t="array" ref="C456:C456">IF(B455="NEW ROUTE",textsplit(B456,","),"")</f>
        <v/>
      </c>
      <c r="H456" s="1" t="str">
        <f aca="false">IF(C456&lt;&gt;"",DEC2HEX(C456,2),"")</f>
        <v/>
      </c>
      <c r="I456" s="1" t="str">
        <f aca="false">IF(D456&lt;&gt;"",DEC2HEX(D456,2),"")</f>
        <v/>
      </c>
      <c r="J456" s="1" t="str">
        <f aca="false">IF(H456&lt;&gt;"","0x"&amp;I456&amp;H456,"")</f>
        <v/>
      </c>
      <c r="L456" s="1" t="s">
        <v>1381</v>
      </c>
      <c r="M456" s="1" t="str">
        <f aca="false">IF(J456&lt;&gt;"",J456,L456)</f>
        <v>50, 55, DUGROUPLE</v>
      </c>
    </row>
    <row r="457" customFormat="false" ht="12.75" hidden="false" customHeight="true" outlineLevel="0" collapsed="false">
      <c r="A457" s="3" t="s">
        <v>2957</v>
      </c>
      <c r="B457" s="3" t="str">
        <f aca="false">IF(ISNUMBER(SEARCH("%", A457)),RIGHT(A457,3),A457)</f>
        <v>50, 55, POLABAT</v>
      </c>
      <c r="C457" s="1" t="str">
        <f aca="false" t="array" ref="C457:C457">IF(B456="NEW ROUTE",textsplit(B457,","),"")</f>
        <v/>
      </c>
      <c r="H457" s="1" t="str">
        <f aca="false">IF(C457&lt;&gt;"",DEC2HEX(C457,2),"")</f>
        <v/>
      </c>
      <c r="I457" s="1" t="str">
        <f aca="false">IF(D457&lt;&gt;"",DEC2HEX(D457,2),"")</f>
        <v/>
      </c>
      <c r="J457" s="1" t="str">
        <f aca="false">IF(H457&lt;&gt;"","0x"&amp;I457&amp;H457,"")</f>
        <v/>
      </c>
      <c r="L457" s="1" t="s">
        <v>2957</v>
      </c>
      <c r="M457" s="1" t="str">
        <f aca="false">IF(J457&lt;&gt;"",J457,L457)</f>
        <v>50, 55, POLABAT</v>
      </c>
    </row>
    <row r="458" customFormat="false" ht="12.75" hidden="false" customHeight="true" outlineLevel="0" collapsed="false">
      <c r="A458" s="3" t="s">
        <v>2801</v>
      </c>
      <c r="B458" s="3" t="str">
        <f aca="false">IF(ISNUMBER(SEARCH("%", A458)),RIGHT(A458,3),A458)</f>
        <v>0.1</v>
      </c>
      <c r="C458" s="1" t="str">
        <f aca="false" t="array" ref="C458:C458">IF(B457="NEW ROUTE",textsplit(B458,","),"")</f>
        <v/>
      </c>
      <c r="H458" s="1" t="str">
        <f aca="false">IF(C458&lt;&gt;"",DEC2HEX(C458,2),"")</f>
        <v/>
      </c>
      <c r="I458" s="1" t="str">
        <f aca="false">IF(D458&lt;&gt;"",DEC2HEX(D458,2),"")</f>
        <v/>
      </c>
      <c r="J458" s="1" t="str">
        <f aca="false">IF(H458&lt;&gt;"","0x"&amp;I458&amp;H458,"")</f>
        <v/>
      </c>
      <c r="L458" s="1" t="s">
        <v>2801</v>
      </c>
      <c r="M458" s="1" t="str">
        <f aca="false">IF(J458&lt;&gt;"",J458,L458)</f>
        <v>0.1</v>
      </c>
    </row>
    <row r="459" customFormat="false" ht="12.75" hidden="false" customHeight="true" outlineLevel="0" collapsed="false">
      <c r="A459" s="3" t="s">
        <v>2958</v>
      </c>
      <c r="B459" s="3" t="str">
        <f aca="false">IF(ISNUMBER(SEARCH("%", A459)),RIGHT(A459,3),A459)</f>
        <v>52, 55, VENOMENON</v>
      </c>
      <c r="C459" s="1" t="str">
        <f aca="false" t="array" ref="C459:C459">IF(B458="NEW ROUTE",textsplit(B459,","),"")</f>
        <v/>
      </c>
      <c r="H459" s="1" t="str">
        <f aca="false">IF(C459&lt;&gt;"",DEC2HEX(C459,2),"")</f>
        <v/>
      </c>
      <c r="I459" s="1" t="str">
        <f aca="false">IF(D459&lt;&gt;"",DEC2HEX(D459,2),"")</f>
        <v/>
      </c>
      <c r="J459" s="1" t="str">
        <f aca="false">IF(H459&lt;&gt;"","0x"&amp;I459&amp;H459,"")</f>
        <v/>
      </c>
      <c r="L459" s="1" t="s">
        <v>2958</v>
      </c>
      <c r="M459" s="1" t="str">
        <f aca="false">IF(J459&lt;&gt;"",J459,L459)</f>
        <v>52, 55, VENOMENON</v>
      </c>
    </row>
    <row r="460" customFormat="false" ht="12.75" hidden="false" customHeight="true" outlineLevel="0" collapsed="false">
      <c r="A460" s="3" t="s">
        <v>2959</v>
      </c>
      <c r="B460" s="3" t="str">
        <f aca="false">IF(ISNUMBER(SEARCH("%", A460)),RIGHT(A460,3),A460)</f>
        <v>52, 55, "MR. JEST"</v>
      </c>
      <c r="C460" s="1" t="str">
        <f aca="false" t="array" ref="C460:C460">IF(B459="NEW ROUTE",textsplit(B460,","),"")</f>
        <v/>
      </c>
      <c r="H460" s="1" t="str">
        <f aca="false">IF(C460&lt;&gt;"",DEC2HEX(C460,2),"")</f>
        <v/>
      </c>
      <c r="I460" s="1" t="str">
        <f aca="false">IF(D460&lt;&gt;"",DEC2HEX(D460,2),"")</f>
        <v/>
      </c>
      <c r="J460" s="1" t="str">
        <f aca="false">IF(H460&lt;&gt;"","0x"&amp;I460&amp;H460,"")</f>
        <v/>
      </c>
      <c r="L460" s="1" t="s">
        <v>2959</v>
      </c>
      <c r="M460" s="1" t="str">
        <f aca="false">IF(J460&lt;&gt;"",J460,L460)</f>
        <v>52, 55, "MR. JEST"</v>
      </c>
    </row>
    <row r="461" customFormat="false" ht="12.75" hidden="false" customHeight="true" outlineLevel="0" collapsed="false">
      <c r="A461" s="3" t="s">
        <v>2960</v>
      </c>
      <c r="B461" s="3" t="str">
        <f aca="false">IF(ISNUMBER(SEARCH("%", A461)),RIGHT(A461,3),A461)</f>
        <v>52, 55, NIDORULY</v>
      </c>
      <c r="C461" s="1" t="str">
        <f aca="false" t="array" ref="C461:C461">IF(B460="NEW ROUTE",textsplit(B461,","),"")</f>
        <v/>
      </c>
      <c r="H461" s="1" t="str">
        <f aca="false">IF(C461&lt;&gt;"",DEC2HEX(C461,2),"")</f>
        <v/>
      </c>
      <c r="I461" s="1" t="str">
        <f aca="false">IF(D461&lt;&gt;"",DEC2HEX(D461,2),"")</f>
        <v/>
      </c>
      <c r="J461" s="1" t="str">
        <f aca="false">IF(H461&lt;&gt;"","0x"&amp;I461&amp;H461,"")</f>
        <v/>
      </c>
      <c r="L461" s="1" t="s">
        <v>2960</v>
      </c>
      <c r="M461" s="1" t="str">
        <f aca="false">IF(J461&lt;&gt;"",J461,L461)</f>
        <v>52, 55, NIDORULY</v>
      </c>
    </row>
    <row r="462" customFormat="false" ht="12.75" hidden="false" customHeight="true" outlineLevel="0" collapsed="false">
      <c r="A462" s="3" t="s">
        <v>2961</v>
      </c>
      <c r="B462" s="3" t="str">
        <f aca="false">IF(ISNUMBER(SEARCH("%", A462)),RIGHT(A462,3),A462)</f>
        <v>52, 55, NIDOREGAL</v>
      </c>
      <c r="C462" s="1" t="str">
        <f aca="false" t="array" ref="C462:C462">IF(B461="NEW ROUTE",textsplit(B462,","),"")</f>
        <v/>
      </c>
      <c r="H462" s="1" t="str">
        <f aca="false">IF(C462&lt;&gt;"",DEC2HEX(C462,2),"")</f>
        <v/>
      </c>
      <c r="I462" s="1" t="str">
        <f aca="false">IF(D462&lt;&gt;"",DEC2HEX(D462,2),"")</f>
        <v/>
      </c>
      <c r="J462" s="1" t="str">
        <f aca="false">IF(H462&lt;&gt;"","0x"&amp;I462&amp;H462,"")</f>
        <v/>
      </c>
      <c r="L462" s="1" t="s">
        <v>2961</v>
      </c>
      <c r="M462" s="1" t="str">
        <f aca="false">IF(J462&lt;&gt;"",J462,L462)</f>
        <v>52, 55, NIDOREGAL</v>
      </c>
    </row>
    <row r="463" customFormat="false" ht="12.75" hidden="false" customHeight="true" outlineLevel="0" collapsed="false">
      <c r="A463" s="3" t="s">
        <v>2806</v>
      </c>
      <c r="B463" s="3" t="str">
        <f aca="false">IF(ISNUMBER(SEARCH("%", A463)),RIGHT(A463,3),A463)</f>
        <v>0.05</v>
      </c>
      <c r="C463" s="1" t="str">
        <f aca="false" t="array" ref="C463:C463">IF(B462="NEW ROUTE",textsplit(B463,","),"")</f>
        <v/>
      </c>
      <c r="H463" s="1" t="str">
        <f aca="false">IF(C463&lt;&gt;"",DEC2HEX(C463,2),"")</f>
        <v/>
      </c>
      <c r="I463" s="1" t="str">
        <f aca="false">IF(D463&lt;&gt;"",DEC2HEX(D463,2),"")</f>
        <v/>
      </c>
      <c r="J463" s="1" t="str">
        <f aca="false">IF(H463&lt;&gt;"","0x"&amp;I463&amp;H463,"")</f>
        <v/>
      </c>
      <c r="L463" s="1" t="s">
        <v>2806</v>
      </c>
      <c r="M463" s="1" t="str">
        <f aca="false">IF(J463&lt;&gt;"",J463,L463)</f>
        <v>0.05</v>
      </c>
    </row>
    <row r="464" customFormat="false" ht="12.75" hidden="false" customHeight="true" outlineLevel="0" collapsed="false">
      <c r="A464" s="3" t="s">
        <v>2962</v>
      </c>
      <c r="B464" s="3" t="str">
        <f aca="false">IF(ISNUMBER(SEARCH("%", A464)),RIGHT(A464,3),A464)</f>
        <v>54, 56, MORPHO</v>
      </c>
      <c r="C464" s="1" t="str">
        <f aca="false" t="array" ref="C464:C464">IF(B463="NEW ROUTE",textsplit(B464,","),"")</f>
        <v/>
      </c>
      <c r="H464" s="1" t="str">
        <f aca="false">IF(C464&lt;&gt;"",DEC2HEX(C464,2),"")</f>
        <v/>
      </c>
      <c r="I464" s="1" t="str">
        <f aca="false">IF(D464&lt;&gt;"",DEC2HEX(D464,2),"")</f>
        <v/>
      </c>
      <c r="J464" s="1" t="str">
        <f aca="false">IF(H464&lt;&gt;"","0x"&amp;I464&amp;H464,"")</f>
        <v/>
      </c>
      <c r="L464" s="1" t="s">
        <v>2962</v>
      </c>
      <c r="M464" s="1" t="str">
        <f aca="false">IF(J464&lt;&gt;"",J464,L464)</f>
        <v>54, 56, MORPHO</v>
      </c>
    </row>
    <row r="465" customFormat="false" ht="12.75" hidden="false" customHeight="true" outlineLevel="0" collapsed="false">
      <c r="A465" s="3" t="s">
        <v>2963</v>
      </c>
      <c r="B465" s="3" t="str">
        <f aca="false">IF(ISNUMBER(SEARCH("%", A465)),RIGHT(A465,3),A465)</f>
        <v>54, 56, MAGNEMELD</v>
      </c>
      <c r="C465" s="1" t="str">
        <f aca="false" t="array" ref="C465:C465">IF(B464="NEW ROUTE",textsplit(B465,","),"")</f>
        <v/>
      </c>
      <c r="H465" s="1" t="str">
        <f aca="false">IF(C465&lt;&gt;"",DEC2HEX(C465,2),"")</f>
        <v/>
      </c>
      <c r="I465" s="1" t="str">
        <f aca="false">IF(D465&lt;&gt;"",DEC2HEX(D465,2),"")</f>
        <v/>
      </c>
      <c r="J465" s="1" t="str">
        <f aca="false">IF(H465&lt;&gt;"","0x"&amp;I465&amp;H465,"")</f>
        <v/>
      </c>
      <c r="L465" s="1" t="s">
        <v>2963</v>
      </c>
      <c r="M465" s="1" t="str">
        <f aca="false">IF(J465&lt;&gt;"",J465,L465)</f>
        <v>54, 56, MAGNEMELD</v>
      </c>
    </row>
    <row r="466" customFormat="false" ht="12.75" hidden="false" customHeight="true" outlineLevel="0" collapsed="false">
      <c r="A466" s="3" t="s">
        <v>2809</v>
      </c>
      <c r="B466" s="3" t="str">
        <f aca="false">IF(ISNUMBER(SEARCH("%", A466)),RIGHT(A466,3),A466)</f>
        <v>0.04</v>
      </c>
      <c r="C466" s="1" t="str">
        <f aca="false" t="array" ref="C466:C466">IF(B465="NEW ROUTE",textsplit(B466,","),"")</f>
        <v/>
      </c>
      <c r="H466" s="1" t="str">
        <f aca="false">IF(C466&lt;&gt;"",DEC2HEX(C466,2),"")</f>
        <v/>
      </c>
      <c r="I466" s="1" t="str">
        <f aca="false">IF(D466&lt;&gt;"",DEC2HEX(D466,2),"")</f>
        <v/>
      </c>
      <c r="J466" s="1" t="str">
        <f aca="false">IF(H466&lt;&gt;"","0x"&amp;I466&amp;H466,"")</f>
        <v/>
      </c>
      <c r="L466" s="1" t="s">
        <v>2809</v>
      </c>
      <c r="M466" s="1" t="str">
        <f aca="false">IF(J466&lt;&gt;"",J466,L466)</f>
        <v>0.04</v>
      </c>
    </row>
    <row r="467" customFormat="false" ht="12.75" hidden="false" customHeight="true" outlineLevel="0" collapsed="false">
      <c r="A467" s="3" t="s">
        <v>2964</v>
      </c>
      <c r="B467" s="3" t="str">
        <f aca="false">IF(ISNUMBER(SEARCH("%", A467)),RIGHT(A467,3),A467)</f>
        <v>54, 56, VOHOO-DU</v>
      </c>
      <c r="C467" s="1" t="str">
        <f aca="false" t="array" ref="C467:C467">IF(B466="NEW ROUTE",textsplit(B467,","),"")</f>
        <v/>
      </c>
      <c r="H467" s="1" t="str">
        <f aca="false">IF(C467&lt;&gt;"",DEC2HEX(C467,2),"")</f>
        <v/>
      </c>
      <c r="I467" s="1" t="str">
        <f aca="false">IF(D467&lt;&gt;"",DEC2HEX(D467,2),"")</f>
        <v/>
      </c>
      <c r="J467" s="1" t="str">
        <f aca="false">IF(H467&lt;&gt;"","0x"&amp;I467&amp;H467,"")</f>
        <v/>
      </c>
      <c r="L467" s="1" t="s">
        <v>2964</v>
      </c>
      <c r="M467" s="1" t="str">
        <f aca="false">IF(J467&lt;&gt;"",J467,L467)</f>
        <v>54, 56, VOHOO-DU</v>
      </c>
    </row>
    <row r="468" customFormat="false" ht="12.75" hidden="false" customHeight="true" outlineLevel="0" collapsed="false">
      <c r="A468" s="3" t="s">
        <v>2965</v>
      </c>
      <c r="B468" s="3" t="str">
        <f aca="false">IF(ISNUMBER(SEARCH("%", A468)),RIGHT(A468,3),A468)</f>
        <v>54, 56, CLEFAEFAE</v>
      </c>
      <c r="C468" s="1" t="str">
        <f aca="false" t="array" ref="C468:C468">IF(B467="NEW ROUTE",textsplit(B468,","),"")</f>
        <v/>
      </c>
      <c r="H468" s="1" t="str">
        <f aca="false">IF(C468&lt;&gt;"",DEC2HEX(C468,2),"")</f>
        <v/>
      </c>
      <c r="I468" s="1" t="str">
        <f aca="false">IF(D468&lt;&gt;"",DEC2HEX(D468,2),"")</f>
        <v/>
      </c>
      <c r="J468" s="1" t="str">
        <f aca="false">IF(H468&lt;&gt;"","0x"&amp;I468&amp;H468,"")</f>
        <v/>
      </c>
      <c r="L468" s="1" t="s">
        <v>2965</v>
      </c>
      <c r="M468" s="1" t="str">
        <f aca="false">IF(J468&lt;&gt;"",J468,L468)</f>
        <v>54, 56, CLEFAEFAE</v>
      </c>
    </row>
    <row r="469" customFormat="false" ht="12.75" hidden="false" customHeight="true" outlineLevel="0" collapsed="false">
      <c r="A469" s="3" t="s">
        <v>2812</v>
      </c>
      <c r="B469" s="3" t="str">
        <f aca="false">IF(ISNUMBER(SEARCH("%", A469)),RIGHT(A469,3),A469)</f>
        <v>0.01</v>
      </c>
      <c r="C469" s="1" t="str">
        <f aca="false" t="array" ref="C469:C469">IF(B468="NEW ROUTE",textsplit(B469,","),"")</f>
        <v/>
      </c>
      <c r="H469" s="1" t="str">
        <f aca="false">IF(C469&lt;&gt;"",DEC2HEX(C469,2),"")</f>
        <v/>
      </c>
      <c r="I469" s="1" t="str">
        <f aca="false">IF(D469&lt;&gt;"",DEC2HEX(D469,2),"")</f>
        <v/>
      </c>
      <c r="J469" s="1" t="str">
        <f aca="false">IF(H469&lt;&gt;"","0x"&amp;I469&amp;H469,"")</f>
        <v/>
      </c>
      <c r="L469" s="1" t="s">
        <v>2812</v>
      </c>
      <c r="M469" s="1" t="str">
        <f aca="false">IF(J469&lt;&gt;"",J469,L469)</f>
        <v>0.01</v>
      </c>
    </row>
    <row r="470" customFormat="false" ht="12.75" hidden="false" customHeight="true" outlineLevel="0" collapsed="false">
      <c r="A470" s="3" t="s">
        <v>2966</v>
      </c>
      <c r="B470" s="3" t="str">
        <f aca="false">IF(ISNUMBER(SEARCH("%", A470)),RIGHT(A470,3),A470)</f>
        <v>55, 56, KABUTAK</v>
      </c>
      <c r="C470" s="1" t="str">
        <f aca="false" t="array" ref="C470:C470">IF(B469="NEW ROUTE",textsplit(B470,","),"")</f>
        <v/>
      </c>
      <c r="H470" s="1" t="str">
        <f aca="false">IF(C470&lt;&gt;"",DEC2HEX(C470,2),"")</f>
        <v/>
      </c>
      <c r="I470" s="1" t="str">
        <f aca="false">IF(D470&lt;&gt;"",DEC2HEX(D470,2),"")</f>
        <v/>
      </c>
      <c r="J470" s="1" t="str">
        <f aca="false">IF(H470&lt;&gt;"","0x"&amp;I470&amp;H470,"")</f>
        <v/>
      </c>
      <c r="L470" s="1" t="s">
        <v>2966</v>
      </c>
      <c r="M470" s="1" t="str">
        <f aca="false">IF(J470&lt;&gt;"",J470,L470)</f>
        <v>55, 56, KABUTAK</v>
      </c>
    </row>
    <row r="471" customFormat="false" ht="12.75" hidden="false" customHeight="true" outlineLevel="0" collapsed="false">
      <c r="A471" s="3" t="s">
        <v>2967</v>
      </c>
      <c r="B471" s="3" t="str">
        <f aca="false">IF(ISNUMBER(SEARCH("%", A471)),RIGHT(A471,3),A471)</f>
        <v>55, 56, OMAPAL</v>
      </c>
      <c r="C471" s="1" t="str">
        <f aca="false" t="array" ref="C471:C471">IF(B470="NEW ROUTE",textsplit(B471,","),"")</f>
        <v/>
      </c>
      <c r="H471" s="1" t="str">
        <f aca="false">IF(C471&lt;&gt;"",DEC2HEX(C471,2),"")</f>
        <v/>
      </c>
      <c r="I471" s="1" t="str">
        <f aca="false">IF(D471&lt;&gt;"",DEC2HEX(D471,2),"")</f>
        <v/>
      </c>
      <c r="J471" s="1" t="str">
        <f aca="false">IF(H471&lt;&gt;"","0x"&amp;I471&amp;H471,"")</f>
        <v/>
      </c>
      <c r="L471" s="1" t="s">
        <v>2967</v>
      </c>
      <c r="M471" s="1" t="str">
        <f aca="false">IF(J471&lt;&gt;"",J471,L471)</f>
        <v>55, 56, OMAPAL</v>
      </c>
    </row>
    <row r="472" customFormat="false" ht="12.75" hidden="false" customHeight="true" outlineLevel="0" collapsed="false">
      <c r="A472" s="3" t="s">
        <v>2968</v>
      </c>
      <c r="B472" s="3" t="str">
        <f aca="false">IF(ISNUMBER(SEARCH("%", A472)),RIGHT(A472,3),A472)</f>
        <v>2, 50, 55, POLITOES</v>
      </c>
      <c r="C472" s="1" t="str">
        <f aca="false" t="array" ref="C472:C472">IF(B471="NEW ROUTE",textsplit(B472,","),"")</f>
        <v/>
      </c>
      <c r="H472" s="1" t="str">
        <f aca="false">IF(C472&lt;&gt;"",DEC2HEX(C472,2),"")</f>
        <v/>
      </c>
      <c r="I472" s="1" t="str">
        <f aca="false">IF(D472&lt;&gt;"",DEC2HEX(D472,2),"")</f>
        <v/>
      </c>
      <c r="J472" s="1" t="str">
        <f aca="false">IF(H472&lt;&gt;"","0x"&amp;I472&amp;H472,"")</f>
        <v/>
      </c>
      <c r="L472" s="1" t="s">
        <v>2968</v>
      </c>
      <c r="M472" s="1" t="str">
        <f aca="false">IF(J472&lt;&gt;"",J472,L472)</f>
        <v>2, 50, 55, POLITOES</v>
      </c>
    </row>
    <row r="473" customFormat="false" ht="12.75" hidden="false" customHeight="true" outlineLevel="0" collapsed="false">
      <c r="A473" s="3" t="s">
        <v>2969</v>
      </c>
      <c r="B473" s="3" t="str">
        <f aca="false">IF(ISNUMBER(SEARCH("%", A473)),RIGHT(A473,3),A473)</f>
        <v>50, 55, DRAGONITE</v>
      </c>
      <c r="C473" s="1" t="str">
        <f aca="false" t="array" ref="C473:C473">IF(B472="NEW ROUTE",textsplit(B473,","),"")</f>
        <v/>
      </c>
      <c r="H473" s="1" t="str">
        <f aca="false">IF(C473&lt;&gt;"",DEC2HEX(C473,2),"")</f>
        <v/>
      </c>
      <c r="I473" s="1" t="str">
        <f aca="false">IF(D473&lt;&gt;"",DEC2HEX(D473,2),"")</f>
        <v/>
      </c>
      <c r="J473" s="1" t="str">
        <f aca="false">IF(H473&lt;&gt;"","0x"&amp;I473&amp;H473,"")</f>
        <v/>
      </c>
      <c r="L473" s="1" t="s">
        <v>2969</v>
      </c>
      <c r="M473" s="1" t="str">
        <f aca="false">IF(J473&lt;&gt;"",J473,L473)</f>
        <v>50, 55, DRAGONITE</v>
      </c>
    </row>
    <row r="474" customFormat="false" ht="12.75" hidden="false" customHeight="true" outlineLevel="0" collapsed="false">
      <c r="A474" s="3" t="s">
        <v>2970</v>
      </c>
      <c r="B474" s="3" t="str">
        <f aca="false">IF(ISNUMBER(SEARCH("%", A474)),RIGHT(A474,3),A474)</f>
        <v>52, 57, POLIWISE</v>
      </c>
      <c r="C474" s="1" t="str">
        <f aca="false" t="array" ref="C474:C474">IF(B473="NEW ROUTE",textsplit(B474,","),"")</f>
        <v/>
      </c>
      <c r="H474" s="1" t="str">
        <f aca="false">IF(C474&lt;&gt;"",DEC2HEX(C474,2),"")</f>
        <v/>
      </c>
      <c r="I474" s="1" t="str">
        <f aca="false">IF(D474&lt;&gt;"",DEC2HEX(D474,2),"")</f>
        <v/>
      </c>
      <c r="J474" s="1" t="str">
        <f aca="false">IF(H474&lt;&gt;"","0x"&amp;I474&amp;H474,"")</f>
        <v/>
      </c>
      <c r="L474" s="1" t="s">
        <v>2970</v>
      </c>
      <c r="M474" s="1" t="str">
        <f aca="false">IF(J474&lt;&gt;"",J474,L474)</f>
        <v>52, 57, POLIWISE</v>
      </c>
    </row>
    <row r="475" customFormat="false" ht="12.75" hidden="false" customHeight="true" outlineLevel="0" collapsed="false">
      <c r="A475" s="3" t="s">
        <v>2971</v>
      </c>
      <c r="B475" s="3" t="str">
        <f aca="false">IF(ISNUMBER(SEARCH("%", A475)),RIGHT(A475,3),A475)</f>
        <v>52, 57, DRAGONIER</v>
      </c>
      <c r="C475" s="1" t="str">
        <f aca="false" t="array" ref="C475:C475">IF(B474="NEW ROUTE",textsplit(B475,","),"")</f>
        <v/>
      </c>
      <c r="H475" s="1" t="str">
        <f aca="false">IF(C475&lt;&gt;"",DEC2HEX(C475,2),"")</f>
        <v/>
      </c>
      <c r="I475" s="1" t="str">
        <f aca="false">IF(D475&lt;&gt;"",DEC2HEX(D475,2),"")</f>
        <v/>
      </c>
      <c r="J475" s="1" t="str">
        <f aca="false">IF(H475&lt;&gt;"","0x"&amp;I475&amp;H475,"")</f>
        <v/>
      </c>
      <c r="L475" s="1" t="s">
        <v>2971</v>
      </c>
      <c r="M475" s="1" t="str">
        <f aca="false">IF(J475&lt;&gt;"",J475,L475)</f>
        <v>52, 57, DRAGONIER</v>
      </c>
    </row>
    <row r="476" customFormat="false" ht="12.75" hidden="false" customHeight="true" outlineLevel="0" collapsed="false">
      <c r="A476" s="3" t="s">
        <v>2972</v>
      </c>
      <c r="B476" s="3" t="str">
        <f aca="false">IF(ISNUMBER(SEARCH("%", A476)),RIGHT(A476,3),A476)</f>
        <v>53, 58, NESSEA</v>
      </c>
      <c r="C476" s="1" t="str">
        <f aca="false" t="array" ref="C476:C476">IF(B475="NEW ROUTE",textsplit(B476,","),"")</f>
        <v/>
      </c>
      <c r="H476" s="1" t="str">
        <f aca="false">IF(C476&lt;&gt;"",DEC2HEX(C476,2),"")</f>
        <v/>
      </c>
      <c r="I476" s="1" t="str">
        <f aca="false">IF(D476&lt;&gt;"",DEC2HEX(D476,2),"")</f>
        <v/>
      </c>
      <c r="J476" s="1" t="str">
        <f aca="false">IF(H476&lt;&gt;"","0x"&amp;I476&amp;H476,"")</f>
        <v/>
      </c>
      <c r="L476" s="1" t="s">
        <v>2972</v>
      </c>
      <c r="M476" s="1" t="str">
        <f aca="false">IF(J476&lt;&gt;"",J476,L476)</f>
        <v>53, 58, NESSEA</v>
      </c>
    </row>
    <row r="477" customFormat="false" ht="12.75" hidden="false" customHeight="true" outlineLevel="0" collapsed="false">
      <c r="A477" s="3" t="s">
        <v>2925</v>
      </c>
      <c r="B477" s="3" t="str">
        <f aca="false">IF(ISNUMBER(SEARCH("%", A477)),RIGHT(A477,3),A477)</f>
        <v>20, old rod:</v>
      </c>
      <c r="C477" s="1" t="str">
        <f aca="false" t="array" ref="C477:C477">IF(B476="NEW ROUTE",textsplit(B477,","),"")</f>
        <v/>
      </c>
      <c r="H477" s="1" t="str">
        <f aca="false">IF(C477&lt;&gt;"",DEC2HEX(C477,2),"")</f>
        <v/>
      </c>
      <c r="I477" s="1" t="str">
        <f aca="false">IF(D477&lt;&gt;"",DEC2HEX(D477,2),"")</f>
        <v/>
      </c>
      <c r="J477" s="1" t="str">
        <f aca="false">IF(H477&lt;&gt;"","0x"&amp;I477&amp;H477,"")</f>
        <v/>
      </c>
      <c r="L477" s="1" t="s">
        <v>2925</v>
      </c>
      <c r="M477" s="1" t="str">
        <f aca="false">IF(J477&lt;&gt;"",J477,L477)</f>
        <v>20, old rod:</v>
      </c>
    </row>
    <row r="478" customFormat="false" ht="12.75" hidden="false" customHeight="true" outlineLevel="0" collapsed="false">
      <c r="A478" s="3" t="s">
        <v>1397</v>
      </c>
      <c r="B478" s="3" t="str">
        <f aca="false">IF(ISNUMBER(SEARCH("%", A478)),RIGHT(A478,3),A478)</f>
        <v>23, 36, CLOYSTER</v>
      </c>
      <c r="C478" s="1" t="str">
        <f aca="false" t="array" ref="C478:C478">IF(B477="NEW ROUTE",textsplit(B478,","),"")</f>
        <v/>
      </c>
      <c r="H478" s="1" t="str">
        <f aca="false">IF(C478&lt;&gt;"",DEC2HEX(C478,2),"")</f>
        <v/>
      </c>
      <c r="I478" s="1" t="str">
        <f aca="false">IF(D478&lt;&gt;"",DEC2HEX(D478,2),"")</f>
        <v/>
      </c>
      <c r="J478" s="1" t="str">
        <f aca="false">IF(H478&lt;&gt;"","0x"&amp;I478&amp;H478,"")</f>
        <v/>
      </c>
      <c r="L478" s="1" t="s">
        <v>1397</v>
      </c>
      <c r="M478" s="1" t="str">
        <f aca="false">IF(J478&lt;&gt;"",J478,L478)</f>
        <v>23, 36, CLOYSTER</v>
      </c>
    </row>
    <row r="479" customFormat="false" ht="12.75" hidden="false" customHeight="true" outlineLevel="0" collapsed="false">
      <c r="A479" s="3" t="s">
        <v>2973</v>
      </c>
      <c r="B479" s="3" t="str">
        <f aca="false">IF(ISNUMBER(SEARCH("%", A479)),RIGHT(A479,3),A479)</f>
        <v>23, 36, GYARADOS</v>
      </c>
      <c r="C479" s="1" t="str">
        <f aca="false" t="array" ref="C479:C479">IF(B478="NEW ROUTE",textsplit(B479,","),"")</f>
        <v/>
      </c>
      <c r="H479" s="1" t="str">
        <f aca="false">IF(C479&lt;&gt;"",DEC2HEX(C479,2),"")</f>
        <v/>
      </c>
      <c r="I479" s="1" t="str">
        <f aca="false">IF(D479&lt;&gt;"",DEC2HEX(D479,2),"")</f>
        <v/>
      </c>
      <c r="J479" s="1" t="str">
        <f aca="false">IF(H479&lt;&gt;"","0x"&amp;I479&amp;H479,"")</f>
        <v/>
      </c>
      <c r="L479" s="1" t="s">
        <v>2973</v>
      </c>
      <c r="M479" s="1" t="str">
        <f aca="false">IF(J479&lt;&gt;"",J479,L479)</f>
        <v>23, 36, GYARADOS</v>
      </c>
    </row>
    <row r="480" customFormat="false" ht="12.75" hidden="false" customHeight="true" outlineLevel="0" collapsed="false">
      <c r="A480" s="3" t="s">
        <v>2846</v>
      </c>
      <c r="B480" s="3" t="str">
        <f aca="false">IF(ISNUMBER(SEARCH("%", A480)),RIGHT(A480,3),A480)</f>
        <v>good rod:</v>
      </c>
      <c r="C480" s="1" t="str">
        <f aca="false" t="array" ref="C480:C480">IF(B479="NEW ROUTE",textsplit(B480,","),"")</f>
        <v/>
      </c>
      <c r="H480" s="1" t="str">
        <f aca="false">IF(C480&lt;&gt;"",DEC2HEX(C480,2),"")</f>
        <v/>
      </c>
      <c r="I480" s="1" t="str">
        <f aca="false">IF(D480&lt;&gt;"",DEC2HEX(D480,2),"")</f>
        <v/>
      </c>
      <c r="J480" s="1" t="str">
        <f aca="false">IF(H480&lt;&gt;"","0x"&amp;I480&amp;H480,"")</f>
        <v/>
      </c>
      <c r="L480" s="1" t="s">
        <v>2846</v>
      </c>
      <c r="M480" s="1" t="str">
        <f aca="false">IF(J480&lt;&gt;"",J480,L480)</f>
        <v>good rod:</v>
      </c>
    </row>
    <row r="481" customFormat="false" ht="12.75" hidden="false" customHeight="true" outlineLevel="0" collapsed="false">
      <c r="A481" s="3" t="s">
        <v>2974</v>
      </c>
      <c r="B481" s="3" t="str">
        <f aca="false">IF(ISNUMBER(SEARCH("%", A481)),RIGHT(A481,3),A481)</f>
        <v>30, 38, CLOYSTER</v>
      </c>
      <c r="C481" s="1" t="str">
        <f aca="false" t="array" ref="C481:C481">IF(B480="NEW ROUTE",textsplit(B481,","),"")</f>
        <v/>
      </c>
      <c r="H481" s="1" t="str">
        <f aca="false">IF(C481&lt;&gt;"",DEC2HEX(C481,2),"")</f>
        <v/>
      </c>
      <c r="I481" s="1" t="str">
        <f aca="false">IF(D481&lt;&gt;"",DEC2HEX(D481,2),"")</f>
        <v/>
      </c>
      <c r="J481" s="1" t="str">
        <f aca="false">IF(H481&lt;&gt;"","0x"&amp;I481&amp;H481,"")</f>
        <v/>
      </c>
      <c r="L481" s="1" t="s">
        <v>2974</v>
      </c>
      <c r="M481" s="1" t="str">
        <f aca="false">IF(J481&lt;&gt;"",J481,L481)</f>
        <v>30, 38, CLOYSTER</v>
      </c>
    </row>
    <row r="482" customFormat="false" ht="12.75" hidden="false" customHeight="true" outlineLevel="0" collapsed="false">
      <c r="A482" s="3" t="s">
        <v>2975</v>
      </c>
      <c r="B482" s="3" t="str">
        <f aca="false">IF(ISNUMBER(SEARCH("%", A482)),RIGHT(A482,3),A482)</f>
        <v>32, 40, KINGDRA</v>
      </c>
      <c r="C482" s="1" t="str">
        <f aca="false" t="array" ref="C482:C482">IF(B481="NEW ROUTE",textsplit(B482,","),"")</f>
        <v/>
      </c>
      <c r="H482" s="1" t="str">
        <f aca="false">IF(C482&lt;&gt;"",DEC2HEX(C482,2),"")</f>
        <v/>
      </c>
      <c r="I482" s="1" t="str">
        <f aca="false">IF(D482&lt;&gt;"",DEC2HEX(D482,2),"")</f>
        <v/>
      </c>
      <c r="J482" s="1" t="str">
        <f aca="false">IF(H482&lt;&gt;"","0x"&amp;I482&amp;H482,"")</f>
        <v/>
      </c>
      <c r="L482" s="1" t="s">
        <v>2975</v>
      </c>
      <c r="M482" s="1" t="str">
        <f aca="false">IF(J482&lt;&gt;"",J482,L482)</f>
        <v>32, 40, KINGDRA</v>
      </c>
    </row>
    <row r="483" customFormat="false" ht="12.75" hidden="false" customHeight="true" outlineLevel="0" collapsed="false">
      <c r="A483" s="3" t="s">
        <v>2976</v>
      </c>
      <c r="B483" s="3" t="str">
        <f aca="false">IF(ISNUMBER(SEARCH("%", A483)),RIGHT(A483,3),A483)</f>
        <v>32, 40, HYDRADOS</v>
      </c>
      <c r="C483" s="1" t="str">
        <f aca="false" t="array" ref="C483:C483">IF(B482="NEW ROUTE",textsplit(B483,","),"")</f>
        <v/>
      </c>
      <c r="H483" s="1" t="str">
        <f aca="false">IF(C483&lt;&gt;"",DEC2HEX(C483,2),"")</f>
        <v/>
      </c>
      <c r="I483" s="1" t="str">
        <f aca="false">IF(D483&lt;&gt;"",DEC2HEX(D483,2),"")</f>
        <v/>
      </c>
      <c r="J483" s="1" t="str">
        <f aca="false">IF(H483&lt;&gt;"","0x"&amp;I483&amp;H483,"")</f>
        <v/>
      </c>
      <c r="L483" s="1" t="s">
        <v>2976</v>
      </c>
      <c r="M483" s="1" t="str">
        <f aca="false">IF(J483&lt;&gt;"",J483,L483)</f>
        <v>32, 40, HYDRADOS</v>
      </c>
    </row>
    <row r="484" customFormat="false" ht="12.75" hidden="false" customHeight="true" outlineLevel="0" collapsed="false">
      <c r="A484" s="3" t="s">
        <v>2850</v>
      </c>
      <c r="B484" s="3" t="str">
        <f aca="false">IF(ISNUMBER(SEARCH("%", A484)),RIGHT(A484,3),A484)</f>
        <v>super rod:</v>
      </c>
      <c r="C484" s="1" t="str">
        <f aca="false" t="array" ref="C484:C484">IF(B483="NEW ROUTE",textsplit(B484,","),"")</f>
        <v/>
      </c>
      <c r="H484" s="1" t="str">
        <f aca="false">IF(C484&lt;&gt;"",DEC2HEX(C484,2),"")</f>
        <v/>
      </c>
      <c r="I484" s="1" t="str">
        <f aca="false">IF(D484&lt;&gt;"",DEC2HEX(D484,2),"")</f>
        <v/>
      </c>
      <c r="J484" s="1" t="str">
        <f aca="false">IF(H484&lt;&gt;"","0x"&amp;I484&amp;H484,"")</f>
        <v/>
      </c>
      <c r="L484" s="1" t="s">
        <v>2850</v>
      </c>
      <c r="M484" s="1" t="str">
        <f aca="false">IF(J484&lt;&gt;"",J484,L484)</f>
        <v>super rod:</v>
      </c>
    </row>
    <row r="485" customFormat="false" ht="12.75" hidden="false" customHeight="true" outlineLevel="0" collapsed="false">
      <c r="A485" s="3" t="s">
        <v>2977</v>
      </c>
      <c r="B485" s="3" t="str">
        <f aca="false">IF(ISNUMBER(SEARCH("%", A485)),RIGHT(A485,3),A485)</f>
        <v>50, 55, LORDRA</v>
      </c>
      <c r="C485" s="1" t="str">
        <f aca="false" t="array" ref="C485:C485">IF(B484="NEW ROUTE",textsplit(B485,","),"")</f>
        <v/>
      </c>
      <c r="H485" s="1" t="str">
        <f aca="false">IF(C485&lt;&gt;"",DEC2HEX(C485,2),"")</f>
        <v/>
      </c>
      <c r="I485" s="1" t="str">
        <f aca="false">IF(D485&lt;&gt;"",DEC2HEX(D485,2),"")</f>
        <v/>
      </c>
      <c r="J485" s="1" t="str">
        <f aca="false">IF(H485&lt;&gt;"","0x"&amp;I485&amp;H485,"")</f>
        <v/>
      </c>
      <c r="L485" s="1" t="s">
        <v>2977</v>
      </c>
      <c r="M485" s="1" t="str">
        <f aca="false">IF(J485&lt;&gt;"",J485,L485)</f>
        <v>50, 55, LORDRA</v>
      </c>
    </row>
    <row r="486" customFormat="false" ht="12.75" hidden="false" customHeight="true" outlineLevel="0" collapsed="false">
      <c r="A486" s="3" t="s">
        <v>2978</v>
      </c>
      <c r="B486" s="3" t="str">
        <f aca="false">IF(ISNUMBER(SEARCH("%", A486)),RIGHT(A486,3),A486)</f>
        <v>50, 55, AN'ENEMY</v>
      </c>
      <c r="C486" s="1" t="str">
        <f aca="false" t="array" ref="C486:C486">IF(B485="NEW ROUTE",textsplit(B486,","),"")</f>
        <v/>
      </c>
      <c r="H486" s="1" t="str">
        <f aca="false">IF(C486&lt;&gt;"",DEC2HEX(C486,2),"")</f>
        <v/>
      </c>
      <c r="I486" s="1" t="str">
        <f aca="false">IF(D486&lt;&gt;"",DEC2HEX(D486,2),"")</f>
        <v/>
      </c>
      <c r="J486" s="1" t="str">
        <f aca="false">IF(H486&lt;&gt;"","0x"&amp;I486&amp;H486,"")</f>
        <v/>
      </c>
      <c r="L486" s="1" t="s">
        <v>2978</v>
      </c>
      <c r="M486" s="1" t="str">
        <f aca="false">IF(J486&lt;&gt;"",J486,L486)</f>
        <v>50, 55, AN'ENEMY</v>
      </c>
    </row>
    <row r="487" customFormat="false" ht="12.75" hidden="false" customHeight="true" outlineLevel="0" collapsed="false">
      <c r="A487" s="3" t="s">
        <v>2979</v>
      </c>
      <c r="B487" s="3" t="str">
        <f aca="false">IF(ISNUMBER(SEARCH("%", A487)),RIGHT(A487,3),A487)</f>
        <v>52, 57, DRACOSMIC</v>
      </c>
      <c r="C487" s="1" t="str">
        <f aca="false" t="array" ref="C487:C487">IF(B486="NEW ROUTE",textsplit(B487,","),"")</f>
        <v/>
      </c>
      <c r="H487" s="1" t="str">
        <f aca="false">IF(C487&lt;&gt;"",DEC2HEX(C487,2),"")</f>
        <v/>
      </c>
      <c r="I487" s="1" t="str">
        <f aca="false">IF(D487&lt;&gt;"",DEC2HEX(D487,2),"")</f>
        <v/>
      </c>
      <c r="J487" s="1" t="str">
        <f aca="false">IF(H487&lt;&gt;"","0x"&amp;I487&amp;H487,"")</f>
        <v/>
      </c>
      <c r="L487" s="1" t="s">
        <v>2979</v>
      </c>
      <c r="M487" s="1" t="str">
        <f aca="false">IF(J487&lt;&gt;"",J487,L487)</f>
        <v>52, 57, DRACOSMIC</v>
      </c>
    </row>
    <row r="488" customFormat="false" ht="12.75" hidden="false" customHeight="true" outlineLevel="0" collapsed="false">
      <c r="A488" s="3" t="s">
        <v>2980</v>
      </c>
      <c r="B488" s="3" t="str">
        <f aca="false">IF(ISNUMBER(SEARCH("%", A488)),RIGHT(A488,3),A488)</f>
        <v>52, 57, GLAISHELL</v>
      </c>
      <c r="C488" s="1" t="str">
        <f aca="false" t="array" ref="C488:C488">IF(B487="NEW ROUTE",textsplit(B488,","),"")</f>
        <v/>
      </c>
      <c r="H488" s="1" t="str">
        <f aca="false">IF(C488&lt;&gt;"",DEC2HEX(C488,2),"")</f>
        <v/>
      </c>
      <c r="I488" s="1" t="str">
        <f aca="false">IF(D488&lt;&gt;"",DEC2HEX(D488,2),"")</f>
        <v/>
      </c>
      <c r="J488" s="1" t="str">
        <f aca="false">IF(H488&lt;&gt;"","0x"&amp;I488&amp;H488,"")</f>
        <v/>
      </c>
      <c r="L488" s="1" t="s">
        <v>2980</v>
      </c>
      <c r="M488" s="1" t="str">
        <f aca="false">IF(J488&lt;&gt;"",J488,L488)</f>
        <v>52, 57, GLAISHELL</v>
      </c>
    </row>
    <row r="489" customFormat="false" ht="12.75" hidden="false" customHeight="true" outlineLevel="0" collapsed="false">
      <c r="A489" s="3" t="s">
        <v>2981</v>
      </c>
      <c r="B489" s="3" t="str">
        <f aca="false">IF(ISNUMBER(SEARCH("%", A489)),RIGHT(A489,3),A489)</f>
        <v>53, 58, STARWE</v>
      </c>
      <c r="C489" s="1" t="str">
        <f aca="false" t="array" ref="C489:C489">IF(B488="NEW ROUTE",textsplit(B489,","),"")</f>
        <v/>
      </c>
      <c r="H489" s="1" t="str">
        <f aca="false">IF(C489&lt;&gt;"",DEC2HEX(C489,2),"")</f>
        <v/>
      </c>
      <c r="I489" s="1" t="str">
        <f aca="false">IF(D489&lt;&gt;"",DEC2HEX(D489,2),"")</f>
        <v/>
      </c>
      <c r="J489" s="1" t="str">
        <f aca="false">IF(H489&lt;&gt;"","0x"&amp;I489&amp;H489,"")</f>
        <v/>
      </c>
      <c r="L489" s="1" t="s">
        <v>2981</v>
      </c>
      <c r="M489" s="1" t="str">
        <f aca="false">IF(J489&lt;&gt;"",J489,L489)</f>
        <v>53, 58, STARWE</v>
      </c>
    </row>
    <row r="490" customFormat="false" ht="12.75" hidden="false" customHeight="true" outlineLevel="0" collapsed="false">
      <c r="A490" s="3" t="s">
        <v>2536</v>
      </c>
      <c r="B490" s="3" t="str">
        <f aca="false">IF(ISNUMBER(SEARCH("%", A490)),RIGHT(A490,3),A490)</f>
        <v>NEW ROUTE</v>
      </c>
      <c r="C490" s="1" t="str">
        <f aca="false" t="array" ref="C490:C490">IF(B489="NEW ROUTE",textsplit(B490,","),"")</f>
        <v/>
      </c>
      <c r="H490" s="1" t="str">
        <f aca="false">IF(C490&lt;&gt;"",DEC2HEX(C490,2),"")</f>
        <v/>
      </c>
      <c r="I490" s="1" t="str">
        <f aca="false">IF(D490&lt;&gt;"",DEC2HEX(D490,2),"")</f>
        <v/>
      </c>
      <c r="J490" s="1" t="str">
        <f aca="false">IF(H490&lt;&gt;"","0x"&amp;I490&amp;H490,"")</f>
        <v/>
      </c>
      <c r="L490" s="1" t="s">
        <v>2536</v>
      </c>
      <c r="M490" s="1" t="str">
        <f aca="false">IF(J490&lt;&gt;"",J490,L490)</f>
        <v>NEW ROUTE</v>
      </c>
    </row>
    <row r="491" customFormat="false" ht="12.75" hidden="false" customHeight="true" outlineLevel="0" collapsed="false">
      <c r="A491" s="3" t="s">
        <v>2985</v>
      </c>
      <c r="B491" s="3" t="str">
        <f aca="false">IF(ISNUMBER(SEARCH("%", A491)),RIGHT(A491,3),A491)</f>
        <v>1, 81, 0,</v>
      </c>
      <c r="C491" s="1" t="e">
        <f aca="false" t="array" ref="C491:C491">IF(B490="NEW ROUTE",textsplit(B491,","),"")</f>
        <v>#NAME?</v>
      </c>
      <c r="H491" s="1" t="e">
        <f aca="false">IF(C491&lt;&gt;"",DEC2HEX(C491,2),"")</f>
        <v>#NAME?</v>
      </c>
      <c r="I491" s="1" t="str">
        <f aca="false">IF(D491&lt;&gt;"",DEC2HEX(D491,2),"")</f>
        <v/>
      </c>
      <c r="J491" s="1" t="e">
        <f aca="false">IF(H491&lt;&gt;"","0x"&amp;I491&amp;H491,"")</f>
        <v>#NAME?</v>
      </c>
      <c r="L491" s="1" t="s">
        <v>2985</v>
      </c>
      <c r="M491" s="1" t="e">
        <f aca="false">IF(J491&lt;&gt;"",J491,L491)</f>
        <v>#NAME?</v>
      </c>
    </row>
    <row r="492" customFormat="false" ht="12.75" hidden="false" customHeight="true" outlineLevel="0" collapsed="false">
      <c r="A492" s="3" t="s">
        <v>2816</v>
      </c>
      <c r="B492" s="3" t="str">
        <f aca="false">IF(ISNUMBER(SEARCH("%", A492)),RIGHT(A492,3),A492)</f>
        <v>20%</v>
      </c>
      <c r="C492" s="1" t="str">
        <f aca="false" t="array" ref="C492:C492">IF(B491="NEW ROUTE",textsplit(B492,","),"")</f>
        <v/>
      </c>
      <c r="H492" s="1" t="str">
        <f aca="false">IF(C492&lt;&gt;"",DEC2HEX(C492,2),"")</f>
        <v/>
      </c>
      <c r="I492" s="1" t="str">
        <f aca="false">IF(D492&lt;&gt;"",DEC2HEX(D492,2),"")</f>
        <v/>
      </c>
      <c r="J492" s="1" t="str">
        <f aca="false">IF(H492&lt;&gt;"","0x"&amp;I492&amp;H492,"")</f>
        <v/>
      </c>
      <c r="L492" s="1" t="s">
        <v>2799</v>
      </c>
      <c r="M492" s="1" t="str">
        <f aca="false">IF(J492&lt;&gt;"",J492,L492)</f>
        <v>20%</v>
      </c>
    </row>
    <row r="493" customFormat="false" ht="12.75" hidden="false" customHeight="true" outlineLevel="0" collapsed="false">
      <c r="A493" s="3" t="s">
        <v>1411</v>
      </c>
      <c r="B493" s="3" t="str">
        <f aca="false">IF(ISNUMBER(SEARCH("%", A493)),RIGHT(A493,3),A493)</f>
        <v>20, 23, RHYHORN</v>
      </c>
      <c r="C493" s="1" t="str">
        <f aca="false" t="array" ref="C493:C493">IF(B492="NEW ROUTE",textsplit(B493,","),"")</f>
        <v/>
      </c>
      <c r="H493" s="1" t="str">
        <f aca="false">IF(C493&lt;&gt;"",DEC2HEX(C493,2),"")</f>
        <v/>
      </c>
      <c r="I493" s="1" t="str">
        <f aca="false">IF(D493&lt;&gt;"",DEC2HEX(D493,2),"")</f>
        <v/>
      </c>
      <c r="J493" s="1" t="str">
        <f aca="false">IF(H493&lt;&gt;"","0x"&amp;I493&amp;H493,"")</f>
        <v/>
      </c>
      <c r="L493" s="1" t="s">
        <v>1411</v>
      </c>
      <c r="M493" s="1" t="str">
        <f aca="false">IF(J493&lt;&gt;"",J493,L493)</f>
        <v>20, 23, RHYHORN</v>
      </c>
    </row>
    <row r="494" customFormat="false" ht="12.75" hidden="false" customHeight="true" outlineLevel="0" collapsed="false">
      <c r="A494" s="3" t="s">
        <v>2986</v>
      </c>
      <c r="B494" s="3" t="str">
        <f aca="false">IF(ISNUMBER(SEARCH("%", A494)),RIGHT(A494,3),A494)</f>
        <v>20, 23, GEODUDE</v>
      </c>
      <c r="C494" s="1" t="str">
        <f aca="false" t="array" ref="C494:C494">IF(B493="NEW ROUTE",textsplit(B494,","),"")</f>
        <v/>
      </c>
      <c r="H494" s="1" t="str">
        <f aca="false">IF(C494&lt;&gt;"",DEC2HEX(C494,2),"")</f>
        <v/>
      </c>
      <c r="I494" s="1" t="str">
        <f aca="false">IF(D494&lt;&gt;"",DEC2HEX(D494,2),"")</f>
        <v/>
      </c>
      <c r="J494" s="1" t="str">
        <f aca="false">IF(H494&lt;&gt;"","0x"&amp;I494&amp;H494,"")</f>
        <v/>
      </c>
      <c r="L494" s="1" t="s">
        <v>2986</v>
      </c>
      <c r="M494" s="1" t="str">
        <f aca="false">IF(J494&lt;&gt;"",J494,L494)</f>
        <v>20, 23, GEODUDE</v>
      </c>
    </row>
    <row r="495" customFormat="false" ht="12.75" hidden="false" customHeight="true" outlineLevel="0" collapsed="false">
      <c r="A495" s="3" t="s">
        <v>2801</v>
      </c>
      <c r="B495" s="3" t="str">
        <f aca="false">IF(ISNUMBER(SEARCH("%", A495)),RIGHT(A495,3),A495)</f>
        <v>0.1</v>
      </c>
      <c r="C495" s="1" t="str">
        <f aca="false" t="array" ref="C495:C495">IF(B494="NEW ROUTE",textsplit(B495,","),"")</f>
        <v/>
      </c>
      <c r="H495" s="1" t="str">
        <f aca="false">IF(C495&lt;&gt;"",DEC2HEX(C495,2),"")</f>
        <v/>
      </c>
      <c r="I495" s="1" t="str">
        <f aca="false">IF(D495&lt;&gt;"",DEC2HEX(D495,2),"")</f>
        <v/>
      </c>
      <c r="J495" s="1" t="str">
        <f aca="false">IF(H495&lt;&gt;"","0x"&amp;I495&amp;H495,"")</f>
        <v/>
      </c>
      <c r="L495" s="1" t="s">
        <v>2801</v>
      </c>
      <c r="M495" s="1" t="str">
        <f aca="false">IF(J495&lt;&gt;"",J495,L495)</f>
        <v>0.1</v>
      </c>
    </row>
    <row r="496" customFormat="false" ht="12.75" hidden="false" customHeight="true" outlineLevel="0" collapsed="false">
      <c r="A496" s="3" t="s">
        <v>2987</v>
      </c>
      <c r="B496" s="3" t="str">
        <f aca="false">IF(ISNUMBER(SEARCH("%", A496)),RIGHT(A496,3),A496)</f>
        <v>20, 24, ONIX</v>
      </c>
      <c r="C496" s="1" t="str">
        <f aca="false" t="array" ref="C496:C496">IF(B495="NEW ROUTE",textsplit(B496,","),"")</f>
        <v/>
      </c>
      <c r="H496" s="1" t="str">
        <f aca="false">IF(C496&lt;&gt;"",DEC2HEX(C496,2),"")</f>
        <v/>
      </c>
      <c r="I496" s="1" t="str">
        <f aca="false">IF(D496&lt;&gt;"",DEC2HEX(D496,2),"")</f>
        <v/>
      </c>
      <c r="J496" s="1" t="str">
        <f aca="false">IF(H496&lt;&gt;"","0x"&amp;I496&amp;H496,"")</f>
        <v/>
      </c>
      <c r="L496" s="1" t="s">
        <v>2987</v>
      </c>
      <c r="M496" s="1" t="str">
        <f aca="false">IF(J496&lt;&gt;"",J496,L496)</f>
        <v>20, 24, ONIX</v>
      </c>
    </row>
    <row r="497" customFormat="false" ht="12.75" hidden="false" customHeight="true" outlineLevel="0" collapsed="false">
      <c r="A497" s="3" t="s">
        <v>2988</v>
      </c>
      <c r="B497" s="3" t="str">
        <f aca="false">IF(ISNUMBER(SEARCH("%", A497)),RIGHT(A497,3),A497)</f>
        <v>19, 23, MANKEY</v>
      </c>
      <c r="C497" s="1" t="str">
        <f aca="false" t="array" ref="C497:C497">IF(B496="NEW ROUTE",textsplit(B497,","),"")</f>
        <v/>
      </c>
      <c r="H497" s="1" t="str">
        <f aca="false">IF(C497&lt;&gt;"",DEC2HEX(C497,2),"")</f>
        <v/>
      </c>
      <c r="I497" s="1" t="str">
        <f aca="false">IF(D497&lt;&gt;"",DEC2HEX(D497,2),"")</f>
        <v/>
      </c>
      <c r="J497" s="1" t="str">
        <f aca="false">IF(H497&lt;&gt;"","0x"&amp;I497&amp;H497,"")</f>
        <v/>
      </c>
      <c r="L497" s="1" t="s">
        <v>2988</v>
      </c>
      <c r="M497" s="1" t="str">
        <f aca="false">IF(J497&lt;&gt;"",J497,L497)</f>
        <v>19, 23, MANKEY</v>
      </c>
    </row>
    <row r="498" customFormat="false" ht="12.75" hidden="false" customHeight="true" outlineLevel="0" collapsed="false">
      <c r="A498" s="3" t="s">
        <v>2989</v>
      </c>
      <c r="B498" s="3" t="str">
        <f aca="false">IF(ISNUMBER(SEARCH("%", A498)),RIGHT(A498,3),A498)</f>
        <v>19, 23, MACHOP</v>
      </c>
      <c r="C498" s="1" t="str">
        <f aca="false" t="array" ref="C498:C498">IF(B497="NEW ROUTE",textsplit(B498,","),"")</f>
        <v/>
      </c>
      <c r="H498" s="1" t="str">
        <f aca="false">IF(C498&lt;&gt;"",DEC2HEX(C498,2),"")</f>
        <v/>
      </c>
      <c r="I498" s="1" t="str">
        <f aca="false">IF(D498&lt;&gt;"",DEC2HEX(D498,2),"")</f>
        <v/>
      </c>
      <c r="J498" s="1" t="str">
        <f aca="false">IF(H498&lt;&gt;"","0x"&amp;I498&amp;H498,"")</f>
        <v/>
      </c>
      <c r="L498" s="1" t="s">
        <v>2989</v>
      </c>
      <c r="M498" s="1" t="str">
        <f aca="false">IF(J498&lt;&gt;"",J498,L498)</f>
        <v>19, 23, MACHOP</v>
      </c>
    </row>
    <row r="499" customFormat="false" ht="12.75" hidden="false" customHeight="true" outlineLevel="0" collapsed="false">
      <c r="A499" s="3" t="s">
        <v>2990</v>
      </c>
      <c r="B499" s="3" t="str">
        <f aca="false">IF(ISNUMBER(SEARCH("%", A499)),RIGHT(A499,3),A499)</f>
        <v>22, 24, GOLBAT</v>
      </c>
      <c r="C499" s="1" t="str">
        <f aca="false" t="array" ref="C499:C499">IF(B498="NEW ROUTE",textsplit(B499,","),"")</f>
        <v/>
      </c>
      <c r="H499" s="1" t="str">
        <f aca="false">IF(C499&lt;&gt;"",DEC2HEX(C499,2),"")</f>
        <v/>
      </c>
      <c r="I499" s="1" t="str">
        <f aca="false">IF(D499&lt;&gt;"",DEC2HEX(D499,2),"")</f>
        <v/>
      </c>
      <c r="J499" s="1" t="str">
        <f aca="false">IF(H499&lt;&gt;"","0x"&amp;I499&amp;H499,"")</f>
        <v/>
      </c>
      <c r="L499" s="1" t="s">
        <v>2990</v>
      </c>
      <c r="M499" s="1" t="str">
        <f aca="false">IF(J499&lt;&gt;"",J499,L499)</f>
        <v>22, 24, GOLBAT</v>
      </c>
    </row>
    <row r="500" customFormat="false" ht="12.75" hidden="false" customHeight="true" outlineLevel="0" collapsed="false">
      <c r="A500" s="3" t="s">
        <v>2806</v>
      </c>
      <c r="B500" s="3" t="str">
        <f aca="false">IF(ISNUMBER(SEARCH("%", A500)),RIGHT(A500,3),A500)</f>
        <v>0.05</v>
      </c>
      <c r="C500" s="1" t="str">
        <f aca="false" t="array" ref="C500:C500">IF(B499="NEW ROUTE",textsplit(B500,","),"")</f>
        <v/>
      </c>
      <c r="H500" s="1" t="str">
        <f aca="false">IF(C500&lt;&gt;"",DEC2HEX(C500,2),"")</f>
        <v/>
      </c>
      <c r="I500" s="1" t="str">
        <f aca="false">IF(D500&lt;&gt;"",DEC2HEX(D500,2),"")</f>
        <v/>
      </c>
      <c r="J500" s="1" t="str">
        <f aca="false">IF(H500&lt;&gt;"","0x"&amp;I500&amp;H500,"")</f>
        <v/>
      </c>
      <c r="L500" s="1" t="s">
        <v>2806</v>
      </c>
      <c r="M500" s="1" t="str">
        <f aca="false">IF(J500&lt;&gt;"",J500,L500)</f>
        <v>0.05</v>
      </c>
    </row>
    <row r="501" customFormat="false" ht="12.75" hidden="false" customHeight="true" outlineLevel="0" collapsed="false">
      <c r="A501" s="3" t="s">
        <v>2991</v>
      </c>
      <c r="B501" s="3" t="str">
        <f aca="false">IF(ISNUMBER(SEARCH("%", A501)),RIGHT(A501,3),A501)</f>
        <v>24, 24, RHYHORN</v>
      </c>
      <c r="C501" s="1" t="str">
        <f aca="false" t="array" ref="C501:C501">IF(B500="NEW ROUTE",textsplit(B501,","),"")</f>
        <v/>
      </c>
      <c r="H501" s="1" t="str">
        <f aca="false">IF(C501&lt;&gt;"",DEC2HEX(C501,2),"")</f>
        <v/>
      </c>
      <c r="I501" s="1" t="str">
        <f aca="false">IF(D501&lt;&gt;"",DEC2HEX(D501,2),"")</f>
        <v/>
      </c>
      <c r="J501" s="1" t="str">
        <f aca="false">IF(H501&lt;&gt;"","0x"&amp;I501&amp;H501,"")</f>
        <v/>
      </c>
      <c r="L501" s="1" t="s">
        <v>2991</v>
      </c>
      <c r="M501" s="1" t="str">
        <f aca="false">IF(J501&lt;&gt;"",J501,L501)</f>
        <v>24, 24, RHYHORN</v>
      </c>
    </row>
    <row r="502" customFormat="false" ht="12.75" hidden="false" customHeight="true" outlineLevel="0" collapsed="false">
      <c r="A502" s="3" t="s">
        <v>2992</v>
      </c>
      <c r="B502" s="3" t="str">
        <f aca="false">IF(ISNUMBER(SEARCH("%", A502)),RIGHT(A502,3),A502)</f>
        <v>24, 24, GEODUDE</v>
      </c>
      <c r="C502" s="1" t="str">
        <f aca="false" t="array" ref="C502:C502">IF(B501="NEW ROUTE",textsplit(B502,","),"")</f>
        <v/>
      </c>
      <c r="H502" s="1" t="str">
        <f aca="false">IF(C502&lt;&gt;"",DEC2HEX(C502,2),"")</f>
        <v/>
      </c>
      <c r="I502" s="1" t="str">
        <f aca="false">IF(D502&lt;&gt;"",DEC2HEX(D502,2),"")</f>
        <v/>
      </c>
      <c r="J502" s="1" t="str">
        <f aca="false">IF(H502&lt;&gt;"","0x"&amp;I502&amp;H502,"")</f>
        <v/>
      </c>
      <c r="L502" s="1" t="s">
        <v>2992</v>
      </c>
      <c r="M502" s="1" t="str">
        <f aca="false">IF(J502&lt;&gt;"",J502,L502)</f>
        <v>24, 24, GEODUDE</v>
      </c>
    </row>
    <row r="503" customFormat="false" ht="12.75" hidden="false" customHeight="true" outlineLevel="0" collapsed="false">
      <c r="A503" s="3" t="s">
        <v>2809</v>
      </c>
      <c r="B503" s="3" t="str">
        <f aca="false">IF(ISNUMBER(SEARCH("%", A503)),RIGHT(A503,3),A503)</f>
        <v>0.04</v>
      </c>
      <c r="C503" s="1" t="str">
        <f aca="false" t="array" ref="C503:C503">IF(B502="NEW ROUTE",textsplit(B503,","),"")</f>
        <v/>
      </c>
      <c r="H503" s="1" t="str">
        <f aca="false">IF(C503&lt;&gt;"",DEC2HEX(C503,2),"")</f>
        <v/>
      </c>
      <c r="I503" s="1" t="str">
        <f aca="false">IF(D503&lt;&gt;"",DEC2HEX(D503,2),"")</f>
        <v/>
      </c>
      <c r="J503" s="1" t="str">
        <f aca="false">IF(H503&lt;&gt;"","0x"&amp;I503&amp;H503,"")</f>
        <v/>
      </c>
      <c r="L503" s="1" t="s">
        <v>2809</v>
      </c>
      <c r="M503" s="1" t="str">
        <f aca="false">IF(J503&lt;&gt;"",J503,L503)</f>
        <v>0.04</v>
      </c>
    </row>
    <row r="504" customFormat="false" ht="12.75" hidden="false" customHeight="true" outlineLevel="0" collapsed="false">
      <c r="A504" s="3" t="s">
        <v>2993</v>
      </c>
      <c r="B504" s="3" t="str">
        <f aca="false">IF(ISNUMBER(SEARCH("%", A504)),RIGHT(A504,3),A504)</f>
        <v>20, 25, GRAVELER</v>
      </c>
      <c r="C504" s="1" t="str">
        <f aca="false" t="array" ref="C504:C504">IF(B503="NEW ROUTE",textsplit(B504,","),"")</f>
        <v/>
      </c>
      <c r="H504" s="1" t="str">
        <f aca="false">IF(C504&lt;&gt;"",DEC2HEX(C504,2),"")</f>
        <v/>
      </c>
      <c r="I504" s="1" t="str">
        <f aca="false">IF(D504&lt;&gt;"",DEC2HEX(D504,2),"")</f>
        <v/>
      </c>
      <c r="J504" s="1" t="str">
        <f aca="false">IF(H504&lt;&gt;"","0x"&amp;I504&amp;H504,"")</f>
        <v/>
      </c>
      <c r="L504" s="1" t="s">
        <v>2993</v>
      </c>
      <c r="M504" s="1" t="str">
        <f aca="false">IF(J504&lt;&gt;"",J504,L504)</f>
        <v>20, 25, GRAVELER</v>
      </c>
    </row>
    <row r="505" customFormat="false" ht="12.75" hidden="false" customHeight="true" outlineLevel="0" collapsed="false">
      <c r="A505" s="3" t="s">
        <v>2994</v>
      </c>
      <c r="B505" s="3" t="str">
        <f aca="false">IF(ISNUMBER(SEARCH("%", A505)),RIGHT(A505,3),A505)</f>
        <v>25, 25, GOLBAT</v>
      </c>
      <c r="C505" s="1" t="str">
        <f aca="false" t="array" ref="C505:C505">IF(B504="NEW ROUTE",textsplit(B505,","),"")</f>
        <v/>
      </c>
      <c r="H505" s="1" t="str">
        <f aca="false">IF(C505&lt;&gt;"",DEC2HEX(C505,2),"")</f>
        <v/>
      </c>
      <c r="I505" s="1" t="str">
        <f aca="false">IF(D505&lt;&gt;"",DEC2HEX(D505,2),"")</f>
        <v/>
      </c>
      <c r="J505" s="1" t="str">
        <f aca="false">IF(H505&lt;&gt;"","0x"&amp;I505&amp;H505,"")</f>
        <v/>
      </c>
      <c r="L505" s="1" t="s">
        <v>2994</v>
      </c>
      <c r="M505" s="1" t="str">
        <f aca="false">IF(J505&lt;&gt;"",J505,L505)</f>
        <v>25, 25, GOLBAT</v>
      </c>
    </row>
    <row r="506" customFormat="false" ht="12.75" hidden="false" customHeight="true" outlineLevel="0" collapsed="false">
      <c r="A506" s="3" t="s">
        <v>2812</v>
      </c>
      <c r="B506" s="3" t="str">
        <f aca="false">IF(ISNUMBER(SEARCH("%", A506)),RIGHT(A506,3),A506)</f>
        <v>0.01</v>
      </c>
      <c r="C506" s="1" t="str">
        <f aca="false" t="array" ref="C506:C506">IF(B505="NEW ROUTE",textsplit(B506,","),"")</f>
        <v/>
      </c>
      <c r="H506" s="1" t="str">
        <f aca="false">IF(C506&lt;&gt;"",DEC2HEX(C506,2),"")</f>
        <v/>
      </c>
      <c r="I506" s="1" t="str">
        <f aca="false">IF(D506&lt;&gt;"",DEC2HEX(D506,2),"")</f>
        <v/>
      </c>
      <c r="J506" s="1" t="str">
        <f aca="false">IF(H506&lt;&gt;"","0x"&amp;I506&amp;H506,"")</f>
        <v/>
      </c>
      <c r="L506" s="1" t="s">
        <v>2812</v>
      </c>
      <c r="M506" s="1" t="str">
        <f aca="false">IF(J506&lt;&gt;"",J506,L506)</f>
        <v>0.01</v>
      </c>
    </row>
    <row r="507" customFormat="false" ht="12.75" hidden="false" customHeight="true" outlineLevel="0" collapsed="false">
      <c r="A507" s="3" t="s">
        <v>2995</v>
      </c>
      <c r="B507" s="3" t="str">
        <f aca="false">IF(ISNUMBER(SEARCH("%", A507)),RIGHT(A507,3),A507)</f>
        <v>20, 25, PINSIR</v>
      </c>
      <c r="C507" s="1" t="str">
        <f aca="false" t="array" ref="C507:C507">IF(B506="NEW ROUTE",textsplit(B507,","),"")</f>
        <v/>
      </c>
      <c r="H507" s="1" t="str">
        <f aca="false">IF(C507&lt;&gt;"",DEC2HEX(C507,2),"")</f>
        <v/>
      </c>
      <c r="I507" s="1" t="str">
        <f aca="false">IF(D507&lt;&gt;"",DEC2HEX(D507,2),"")</f>
        <v/>
      </c>
      <c r="J507" s="1" t="str">
        <f aca="false">IF(H507&lt;&gt;"","0x"&amp;I507&amp;H507,"")</f>
        <v/>
      </c>
      <c r="L507" s="1" t="s">
        <v>2995</v>
      </c>
      <c r="M507" s="1" t="str">
        <f aca="false">IF(J507&lt;&gt;"",J507,L507)</f>
        <v>20, 25, PINSIR</v>
      </c>
    </row>
    <row r="508" customFormat="false" ht="12.75" hidden="false" customHeight="true" outlineLevel="0" collapsed="false">
      <c r="A508" s="3" t="s">
        <v>2996</v>
      </c>
      <c r="B508" s="3" t="str">
        <f aca="false">IF(ISNUMBER(SEARCH("%", A508)),RIGHT(A508,3),A508)</f>
        <v>20, 23, KANGASKHAN , &lt;null&gt;, &lt;null&gt;, &lt;null&gt;</v>
      </c>
      <c r="C508" s="1" t="str">
        <f aca="false" t="array" ref="C508:C508">IF(B507="NEW ROUTE",textsplit(B508,","),"")</f>
        <v/>
      </c>
      <c r="H508" s="1" t="str">
        <f aca="false">IF(C508&lt;&gt;"",DEC2HEX(C508,2),"")</f>
        <v/>
      </c>
      <c r="I508" s="1" t="str">
        <f aca="false">IF(D508&lt;&gt;"",DEC2HEX(D508,2),"")</f>
        <v/>
      </c>
      <c r="J508" s="1" t="str">
        <f aca="false">IF(H508&lt;&gt;"","0x"&amp;I508&amp;H508,"")</f>
        <v/>
      </c>
      <c r="L508" s="1" t="s">
        <v>2996</v>
      </c>
      <c r="M508" s="1" t="str">
        <f aca="false">IF(J508&lt;&gt;"",J508,L508)</f>
        <v>20, 23, KANGASKHAN , &lt;null&gt;, &lt;null&gt;, &lt;null&gt;</v>
      </c>
    </row>
    <row r="509" customFormat="false" ht="12.75" hidden="false" customHeight="true" outlineLevel="0" collapsed="false">
      <c r="A509" s="3" t="s">
        <v>2536</v>
      </c>
      <c r="B509" s="3" t="str">
        <f aca="false">IF(ISNUMBER(SEARCH("%", A509)),RIGHT(A509,3),A509)</f>
        <v>NEW ROUTE</v>
      </c>
      <c r="C509" s="1" t="str">
        <f aca="false" t="array" ref="C509:C509">IF(B508="NEW ROUTE",textsplit(B509,","),"")</f>
        <v/>
      </c>
      <c r="H509" s="1" t="str">
        <f aca="false">IF(C509&lt;&gt;"",DEC2HEX(C509,2),"")</f>
        <v/>
      </c>
      <c r="I509" s="1" t="str">
        <f aca="false">IF(D509&lt;&gt;"",DEC2HEX(D509,2),"")</f>
        <v/>
      </c>
      <c r="J509" s="1" t="str">
        <f aca="false">IF(H509&lt;&gt;"","0x"&amp;I509&amp;H509,"")</f>
        <v/>
      </c>
      <c r="L509" s="1" t="s">
        <v>2536</v>
      </c>
      <c r="M509" s="1" t="str">
        <f aca="false">IF(J509&lt;&gt;"",J509,L509)</f>
        <v>NEW ROUTE</v>
      </c>
    </row>
    <row r="510" customFormat="false" ht="12.75" hidden="false" customHeight="true" outlineLevel="0" collapsed="false">
      <c r="A510" s="3" t="s">
        <v>2997</v>
      </c>
      <c r="B510" s="3" t="str">
        <f aca="false">IF(ISNUMBER(SEARCH("%", A510)),RIGHT(A510,3),A510)</f>
        <v>1, 82, 0,</v>
      </c>
      <c r="C510" s="1" t="e">
        <f aca="false" t="array" ref="C510:C510">IF(B509="NEW ROUTE",textsplit(B510,","),"")</f>
        <v>#NAME?</v>
      </c>
      <c r="H510" s="1" t="e">
        <f aca="false">IF(C510&lt;&gt;"",DEC2HEX(C510,2),"")</f>
        <v>#NAME?</v>
      </c>
      <c r="I510" s="1" t="str">
        <f aca="false">IF(D510&lt;&gt;"",DEC2HEX(D510,2),"")</f>
        <v/>
      </c>
      <c r="J510" s="1" t="e">
        <f aca="false">IF(H510&lt;&gt;"","0x"&amp;I510&amp;H510,"")</f>
        <v>#NAME?</v>
      </c>
      <c r="L510" s="1" t="s">
        <v>2997</v>
      </c>
      <c r="M510" s="1" t="e">
        <f aca="false">IF(J510&lt;&gt;"",J510,L510)</f>
        <v>#NAME?</v>
      </c>
    </row>
    <row r="511" customFormat="false" ht="12.75" hidden="false" customHeight="true" outlineLevel="0" collapsed="false">
      <c r="A511" s="3" t="s">
        <v>2816</v>
      </c>
      <c r="B511" s="3" t="str">
        <f aca="false">IF(ISNUMBER(SEARCH("%", A511)),RIGHT(A511,3),A511)</f>
        <v>20%</v>
      </c>
      <c r="C511" s="1" t="str">
        <f aca="false" t="array" ref="C511:C511">IF(B510="NEW ROUTE",textsplit(B511,","),"")</f>
        <v/>
      </c>
      <c r="H511" s="1" t="str">
        <f aca="false">IF(C511&lt;&gt;"",DEC2HEX(C511,2),"")</f>
        <v/>
      </c>
      <c r="I511" s="1" t="str">
        <f aca="false">IF(D511&lt;&gt;"",DEC2HEX(D511,2),"")</f>
        <v/>
      </c>
      <c r="J511" s="1" t="str">
        <f aca="false">IF(H511&lt;&gt;"","0x"&amp;I511&amp;H511,"")</f>
        <v/>
      </c>
      <c r="L511" s="1" t="s">
        <v>2799</v>
      </c>
      <c r="M511" s="1" t="str">
        <f aca="false">IF(J511&lt;&gt;"",J511,L511)</f>
        <v>20%</v>
      </c>
    </row>
    <row r="512" customFormat="false" ht="12.75" hidden="false" customHeight="true" outlineLevel="0" collapsed="false">
      <c r="A512" s="3" t="s">
        <v>1411</v>
      </c>
      <c r="B512" s="3" t="str">
        <f aca="false">IF(ISNUMBER(SEARCH("%", A512)),RIGHT(A512,3),A512)</f>
        <v>20, 23, RHYHORN</v>
      </c>
      <c r="C512" s="1" t="str">
        <f aca="false" t="array" ref="C512:C512">IF(B511="NEW ROUTE",textsplit(B512,","),"")</f>
        <v/>
      </c>
      <c r="H512" s="1" t="str">
        <f aca="false">IF(C512&lt;&gt;"",DEC2HEX(C512,2),"")</f>
        <v/>
      </c>
      <c r="I512" s="1" t="str">
        <f aca="false">IF(D512&lt;&gt;"",DEC2HEX(D512,2),"")</f>
        <v/>
      </c>
      <c r="J512" s="1" t="str">
        <f aca="false">IF(H512&lt;&gt;"","0x"&amp;I512&amp;H512,"")</f>
        <v/>
      </c>
      <c r="L512" s="1" t="s">
        <v>1411</v>
      </c>
      <c r="M512" s="1" t="str">
        <f aca="false">IF(J512&lt;&gt;"",J512,L512)</f>
        <v>20, 23, RHYHORN</v>
      </c>
    </row>
    <row r="513" customFormat="false" ht="12.75" hidden="false" customHeight="true" outlineLevel="0" collapsed="false">
      <c r="A513" s="3" t="s">
        <v>2986</v>
      </c>
      <c r="B513" s="3" t="str">
        <f aca="false">IF(ISNUMBER(SEARCH("%", A513)),RIGHT(A513,3),A513)</f>
        <v>20, 23, GEODUDE</v>
      </c>
      <c r="C513" s="1" t="str">
        <f aca="false" t="array" ref="C513:C513">IF(B512="NEW ROUTE",textsplit(B513,","),"")</f>
        <v/>
      </c>
      <c r="H513" s="1" t="str">
        <f aca="false">IF(C513&lt;&gt;"",DEC2HEX(C513,2),"")</f>
        <v/>
      </c>
      <c r="I513" s="1" t="str">
        <f aca="false">IF(D513&lt;&gt;"",DEC2HEX(D513,2),"")</f>
        <v/>
      </c>
      <c r="J513" s="1" t="str">
        <f aca="false">IF(H513&lt;&gt;"","0x"&amp;I513&amp;H513,"")</f>
        <v/>
      </c>
      <c r="L513" s="1" t="s">
        <v>2986</v>
      </c>
      <c r="M513" s="1" t="str">
        <f aca="false">IF(J513&lt;&gt;"",J513,L513)</f>
        <v>20, 23, GEODUDE</v>
      </c>
    </row>
    <row r="514" customFormat="false" ht="12.75" hidden="false" customHeight="true" outlineLevel="0" collapsed="false">
      <c r="A514" s="3" t="s">
        <v>2801</v>
      </c>
      <c r="B514" s="3" t="str">
        <f aca="false">IF(ISNUMBER(SEARCH("%", A514)),RIGHT(A514,3),A514)</f>
        <v>0.1</v>
      </c>
      <c r="C514" s="1" t="str">
        <f aca="false" t="array" ref="C514:C514">IF(B513="NEW ROUTE",textsplit(B514,","),"")</f>
        <v/>
      </c>
      <c r="H514" s="1" t="str">
        <f aca="false">IF(C514&lt;&gt;"",DEC2HEX(C514,2),"")</f>
        <v/>
      </c>
      <c r="I514" s="1" t="str">
        <f aca="false">IF(D514&lt;&gt;"",DEC2HEX(D514,2),"")</f>
        <v/>
      </c>
      <c r="J514" s="1" t="str">
        <f aca="false">IF(H514&lt;&gt;"","0x"&amp;I514&amp;H514,"")</f>
        <v/>
      </c>
      <c r="L514" s="1" t="s">
        <v>2801</v>
      </c>
      <c r="M514" s="1" t="str">
        <f aca="false">IF(J514&lt;&gt;"",J514,L514)</f>
        <v>0.1</v>
      </c>
    </row>
    <row r="515" customFormat="false" ht="12.75" hidden="false" customHeight="true" outlineLevel="0" collapsed="false">
      <c r="A515" s="3" t="s">
        <v>2987</v>
      </c>
      <c r="B515" s="3" t="str">
        <f aca="false">IF(ISNUMBER(SEARCH("%", A515)),RIGHT(A515,3),A515)</f>
        <v>20, 24, ONIX</v>
      </c>
      <c r="C515" s="1" t="str">
        <f aca="false" t="array" ref="C515:C515">IF(B514="NEW ROUTE",textsplit(B515,","),"")</f>
        <v/>
      </c>
      <c r="H515" s="1" t="str">
        <f aca="false">IF(C515&lt;&gt;"",DEC2HEX(C515,2),"")</f>
        <v/>
      </c>
      <c r="I515" s="1" t="str">
        <f aca="false">IF(D515&lt;&gt;"",DEC2HEX(D515,2),"")</f>
        <v/>
      </c>
      <c r="J515" s="1" t="str">
        <f aca="false">IF(H515&lt;&gt;"","0x"&amp;I515&amp;H515,"")</f>
        <v/>
      </c>
      <c r="L515" s="1" t="s">
        <v>2987</v>
      </c>
      <c r="M515" s="1" t="str">
        <f aca="false">IF(J515&lt;&gt;"",J515,L515)</f>
        <v>20, 24, ONIX</v>
      </c>
    </row>
    <row r="516" customFormat="false" ht="12.75" hidden="false" customHeight="true" outlineLevel="0" collapsed="false">
      <c r="A516" s="3" t="s">
        <v>2988</v>
      </c>
      <c r="B516" s="3" t="str">
        <f aca="false">IF(ISNUMBER(SEARCH("%", A516)),RIGHT(A516,3),A516)</f>
        <v>19, 23, MANKEY</v>
      </c>
      <c r="C516" s="1" t="str">
        <f aca="false" t="array" ref="C516:C516">IF(B515="NEW ROUTE",textsplit(B516,","),"")</f>
        <v/>
      </c>
      <c r="H516" s="1" t="str">
        <f aca="false">IF(C516&lt;&gt;"",DEC2HEX(C516,2),"")</f>
        <v/>
      </c>
      <c r="I516" s="1" t="str">
        <f aca="false">IF(D516&lt;&gt;"",DEC2HEX(D516,2),"")</f>
        <v/>
      </c>
      <c r="J516" s="1" t="str">
        <f aca="false">IF(H516&lt;&gt;"","0x"&amp;I516&amp;H516,"")</f>
        <v/>
      </c>
      <c r="L516" s="1" t="s">
        <v>2988</v>
      </c>
      <c r="M516" s="1" t="str">
        <f aca="false">IF(J516&lt;&gt;"",J516,L516)</f>
        <v>19, 23, MANKEY</v>
      </c>
    </row>
    <row r="517" customFormat="false" ht="12.75" hidden="false" customHeight="true" outlineLevel="0" collapsed="false">
      <c r="A517" s="3" t="s">
        <v>2989</v>
      </c>
      <c r="B517" s="3" t="str">
        <f aca="false">IF(ISNUMBER(SEARCH("%", A517)),RIGHT(A517,3),A517)</f>
        <v>19, 23, MACHOP</v>
      </c>
      <c r="C517" s="1" t="str">
        <f aca="false" t="array" ref="C517:C517">IF(B516="NEW ROUTE",textsplit(B517,","),"")</f>
        <v/>
      </c>
      <c r="H517" s="1" t="str">
        <f aca="false">IF(C517&lt;&gt;"",DEC2HEX(C517,2),"")</f>
        <v/>
      </c>
      <c r="I517" s="1" t="str">
        <f aca="false">IF(D517&lt;&gt;"",DEC2HEX(D517,2),"")</f>
        <v/>
      </c>
      <c r="J517" s="1" t="str">
        <f aca="false">IF(H517&lt;&gt;"","0x"&amp;I517&amp;H517,"")</f>
        <v/>
      </c>
      <c r="L517" s="1" t="s">
        <v>2989</v>
      </c>
      <c r="M517" s="1" t="str">
        <f aca="false">IF(J517&lt;&gt;"",J517,L517)</f>
        <v>19, 23, MACHOP</v>
      </c>
    </row>
    <row r="518" customFormat="false" ht="12.75" hidden="false" customHeight="true" outlineLevel="0" collapsed="false">
      <c r="A518" s="3" t="s">
        <v>2990</v>
      </c>
      <c r="B518" s="3" t="str">
        <f aca="false">IF(ISNUMBER(SEARCH("%", A518)),RIGHT(A518,3),A518)</f>
        <v>22, 24, GOLBAT</v>
      </c>
      <c r="C518" s="1" t="str">
        <f aca="false" t="array" ref="C518:C518">IF(B517="NEW ROUTE",textsplit(B518,","),"")</f>
        <v/>
      </c>
      <c r="H518" s="1" t="str">
        <f aca="false">IF(C518&lt;&gt;"",DEC2HEX(C518,2),"")</f>
        <v/>
      </c>
      <c r="I518" s="1" t="str">
        <f aca="false">IF(D518&lt;&gt;"",DEC2HEX(D518,2),"")</f>
        <v/>
      </c>
      <c r="J518" s="1" t="str">
        <f aca="false">IF(H518&lt;&gt;"","0x"&amp;I518&amp;H518,"")</f>
        <v/>
      </c>
      <c r="L518" s="1" t="s">
        <v>2990</v>
      </c>
      <c r="M518" s="1" t="str">
        <f aca="false">IF(J518&lt;&gt;"",J518,L518)</f>
        <v>22, 24, GOLBAT</v>
      </c>
    </row>
    <row r="519" customFormat="false" ht="12.75" hidden="false" customHeight="true" outlineLevel="0" collapsed="false">
      <c r="A519" s="3" t="s">
        <v>2806</v>
      </c>
      <c r="B519" s="3" t="str">
        <f aca="false">IF(ISNUMBER(SEARCH("%", A519)),RIGHT(A519,3),A519)</f>
        <v>0.05</v>
      </c>
      <c r="C519" s="1" t="str">
        <f aca="false" t="array" ref="C519:C519">IF(B518="NEW ROUTE",textsplit(B519,","),"")</f>
        <v/>
      </c>
      <c r="H519" s="1" t="str">
        <f aca="false">IF(C519&lt;&gt;"",DEC2HEX(C519,2),"")</f>
        <v/>
      </c>
      <c r="I519" s="1" t="str">
        <f aca="false">IF(D519&lt;&gt;"",DEC2HEX(D519,2),"")</f>
        <v/>
      </c>
      <c r="J519" s="1" t="str">
        <f aca="false">IF(H519&lt;&gt;"","0x"&amp;I519&amp;H519,"")</f>
        <v/>
      </c>
      <c r="L519" s="1" t="s">
        <v>2806</v>
      </c>
      <c r="M519" s="1" t="str">
        <f aca="false">IF(J519&lt;&gt;"",J519,L519)</f>
        <v>0.05</v>
      </c>
    </row>
    <row r="520" customFormat="false" ht="12.75" hidden="false" customHeight="true" outlineLevel="0" collapsed="false">
      <c r="A520" s="3" t="s">
        <v>2991</v>
      </c>
      <c r="B520" s="3" t="str">
        <f aca="false">IF(ISNUMBER(SEARCH("%", A520)),RIGHT(A520,3),A520)</f>
        <v>24, 24, RHYHORN</v>
      </c>
      <c r="C520" s="1" t="str">
        <f aca="false" t="array" ref="C520:C520">IF(B519="NEW ROUTE",textsplit(B520,","),"")</f>
        <v/>
      </c>
      <c r="H520" s="1" t="str">
        <f aca="false">IF(C520&lt;&gt;"",DEC2HEX(C520,2),"")</f>
        <v/>
      </c>
      <c r="I520" s="1" t="str">
        <f aca="false">IF(D520&lt;&gt;"",DEC2HEX(D520,2),"")</f>
        <v/>
      </c>
      <c r="J520" s="1" t="str">
        <f aca="false">IF(H520&lt;&gt;"","0x"&amp;I520&amp;H520,"")</f>
        <v/>
      </c>
      <c r="L520" s="1" t="s">
        <v>2991</v>
      </c>
      <c r="M520" s="1" t="str">
        <f aca="false">IF(J520&lt;&gt;"",J520,L520)</f>
        <v>24, 24, RHYHORN</v>
      </c>
    </row>
    <row r="521" customFormat="false" ht="12.75" hidden="false" customHeight="true" outlineLevel="0" collapsed="false">
      <c r="A521" s="3" t="s">
        <v>2992</v>
      </c>
      <c r="B521" s="3" t="str">
        <f aca="false">IF(ISNUMBER(SEARCH("%", A521)),RIGHT(A521,3),A521)</f>
        <v>24, 24, GEODUDE</v>
      </c>
      <c r="C521" s="1" t="str">
        <f aca="false" t="array" ref="C521:C521">IF(B520="NEW ROUTE",textsplit(B521,","),"")</f>
        <v/>
      </c>
      <c r="H521" s="1" t="str">
        <f aca="false">IF(C521&lt;&gt;"",DEC2HEX(C521,2),"")</f>
        <v/>
      </c>
      <c r="I521" s="1" t="str">
        <f aca="false">IF(D521&lt;&gt;"",DEC2HEX(D521,2),"")</f>
        <v/>
      </c>
      <c r="J521" s="1" t="str">
        <f aca="false">IF(H521&lt;&gt;"","0x"&amp;I521&amp;H521,"")</f>
        <v/>
      </c>
      <c r="L521" s="1" t="s">
        <v>2992</v>
      </c>
      <c r="M521" s="1" t="str">
        <f aca="false">IF(J521&lt;&gt;"",J521,L521)</f>
        <v>24, 24, GEODUDE</v>
      </c>
    </row>
    <row r="522" customFormat="false" ht="12.75" hidden="false" customHeight="true" outlineLevel="0" collapsed="false">
      <c r="A522" s="3" t="s">
        <v>2809</v>
      </c>
      <c r="B522" s="3" t="str">
        <f aca="false">IF(ISNUMBER(SEARCH("%", A522)),RIGHT(A522,3),A522)</f>
        <v>0.04</v>
      </c>
      <c r="C522" s="1" t="str">
        <f aca="false" t="array" ref="C522:C522">IF(B521="NEW ROUTE",textsplit(B522,","),"")</f>
        <v/>
      </c>
      <c r="H522" s="1" t="str">
        <f aca="false">IF(C522&lt;&gt;"",DEC2HEX(C522,2),"")</f>
        <v/>
      </c>
      <c r="I522" s="1" t="str">
        <f aca="false">IF(D522&lt;&gt;"",DEC2HEX(D522,2),"")</f>
        <v/>
      </c>
      <c r="J522" s="1" t="str">
        <f aca="false">IF(H522&lt;&gt;"","0x"&amp;I522&amp;H522,"")</f>
        <v/>
      </c>
      <c r="L522" s="1" t="s">
        <v>2809</v>
      </c>
      <c r="M522" s="1" t="str">
        <f aca="false">IF(J522&lt;&gt;"",J522,L522)</f>
        <v>0.04</v>
      </c>
    </row>
    <row r="523" customFormat="false" ht="12.75" hidden="false" customHeight="true" outlineLevel="0" collapsed="false">
      <c r="A523" s="3" t="s">
        <v>2993</v>
      </c>
      <c r="B523" s="3" t="str">
        <f aca="false">IF(ISNUMBER(SEARCH("%", A523)),RIGHT(A523,3),A523)</f>
        <v>20, 25, GRAVELER</v>
      </c>
      <c r="C523" s="1" t="str">
        <f aca="false" t="array" ref="C523:C523">IF(B522="NEW ROUTE",textsplit(B523,","),"")</f>
        <v/>
      </c>
      <c r="H523" s="1" t="str">
        <f aca="false">IF(C523&lt;&gt;"",DEC2HEX(C523,2),"")</f>
        <v/>
      </c>
      <c r="I523" s="1" t="str">
        <f aca="false">IF(D523&lt;&gt;"",DEC2HEX(D523,2),"")</f>
        <v/>
      </c>
      <c r="J523" s="1" t="str">
        <f aca="false">IF(H523&lt;&gt;"","0x"&amp;I523&amp;H523,"")</f>
        <v/>
      </c>
      <c r="L523" s="1" t="s">
        <v>2993</v>
      </c>
      <c r="M523" s="1" t="str">
        <f aca="false">IF(J523&lt;&gt;"",J523,L523)</f>
        <v>20, 25, GRAVELER</v>
      </c>
    </row>
    <row r="524" customFormat="false" ht="12.75" hidden="false" customHeight="true" outlineLevel="0" collapsed="false">
      <c r="A524" s="3" t="s">
        <v>2994</v>
      </c>
      <c r="B524" s="3" t="str">
        <f aca="false">IF(ISNUMBER(SEARCH("%", A524)),RIGHT(A524,3),A524)</f>
        <v>25, 25, GOLBAT</v>
      </c>
      <c r="C524" s="1" t="str">
        <f aca="false" t="array" ref="C524:C524">IF(B523="NEW ROUTE",textsplit(B524,","),"")</f>
        <v/>
      </c>
      <c r="H524" s="1" t="str">
        <f aca="false">IF(C524&lt;&gt;"",DEC2HEX(C524,2),"")</f>
        <v/>
      </c>
      <c r="I524" s="1" t="str">
        <f aca="false">IF(D524&lt;&gt;"",DEC2HEX(D524,2),"")</f>
        <v/>
      </c>
      <c r="J524" s="1" t="str">
        <f aca="false">IF(H524&lt;&gt;"","0x"&amp;I524&amp;H524,"")</f>
        <v/>
      </c>
      <c r="L524" s="1" t="s">
        <v>2994</v>
      </c>
      <c r="M524" s="1" t="str">
        <f aca="false">IF(J524&lt;&gt;"",J524,L524)</f>
        <v>25, 25, GOLBAT</v>
      </c>
    </row>
    <row r="525" customFormat="false" ht="12.75" hidden="false" customHeight="true" outlineLevel="0" collapsed="false">
      <c r="A525" s="3" t="s">
        <v>2812</v>
      </c>
      <c r="B525" s="3" t="str">
        <f aca="false">IF(ISNUMBER(SEARCH("%", A525)),RIGHT(A525,3),A525)</f>
        <v>0.01</v>
      </c>
      <c r="C525" s="1" t="str">
        <f aca="false" t="array" ref="C525:C525">IF(B524="NEW ROUTE",textsplit(B525,","),"")</f>
        <v/>
      </c>
      <c r="H525" s="1" t="str">
        <f aca="false">IF(C525&lt;&gt;"",DEC2HEX(C525,2),"")</f>
        <v/>
      </c>
      <c r="I525" s="1" t="str">
        <f aca="false">IF(D525&lt;&gt;"",DEC2HEX(D525,2),"")</f>
        <v/>
      </c>
      <c r="J525" s="1" t="str">
        <f aca="false">IF(H525&lt;&gt;"","0x"&amp;I525&amp;H525,"")</f>
        <v/>
      </c>
      <c r="L525" s="1" t="s">
        <v>2812</v>
      </c>
      <c r="M525" s="1" t="str">
        <f aca="false">IF(J525&lt;&gt;"",J525,L525)</f>
        <v>0.01</v>
      </c>
    </row>
    <row r="526" customFormat="false" ht="12.75" hidden="false" customHeight="true" outlineLevel="0" collapsed="false">
      <c r="A526" s="3" t="s">
        <v>2995</v>
      </c>
      <c r="B526" s="3" t="str">
        <f aca="false">IF(ISNUMBER(SEARCH("%", A526)),RIGHT(A526,3),A526)</f>
        <v>20, 25, PINSIR</v>
      </c>
      <c r="C526" s="1" t="str">
        <f aca="false" t="array" ref="C526:C526">IF(B525="NEW ROUTE",textsplit(B526,","),"")</f>
        <v/>
      </c>
      <c r="H526" s="1" t="str">
        <f aca="false">IF(C526&lt;&gt;"",DEC2HEX(C526,2),"")</f>
        <v/>
      </c>
      <c r="I526" s="1" t="str">
        <f aca="false">IF(D526&lt;&gt;"",DEC2HEX(D526,2),"")</f>
        <v/>
      </c>
      <c r="J526" s="1" t="str">
        <f aca="false">IF(H526&lt;&gt;"","0x"&amp;I526&amp;H526,"")</f>
        <v/>
      </c>
      <c r="L526" s="1" t="s">
        <v>2995</v>
      </c>
      <c r="M526" s="1" t="str">
        <f aca="false">IF(J526&lt;&gt;"",J526,L526)</f>
        <v>20, 25, PINSIR</v>
      </c>
    </row>
    <row r="527" customFormat="false" ht="12.75" hidden="false" customHeight="true" outlineLevel="0" collapsed="false">
      <c r="A527" s="3" t="s">
        <v>2998</v>
      </c>
      <c r="B527" s="3" t="str">
        <f aca="false">IF(ISNUMBER(SEARCH("%", A527)),RIGHT(A527,3),A527)</f>
        <v>21, 24, KANGASKHAN</v>
      </c>
      <c r="C527" s="1" t="str">
        <f aca="false" t="array" ref="C527:C527">IF(B526="NEW ROUTE",textsplit(B527,","),"")</f>
        <v/>
      </c>
      <c r="H527" s="1" t="str">
        <f aca="false">IF(C527&lt;&gt;"",DEC2HEX(C527,2),"")</f>
        <v/>
      </c>
      <c r="I527" s="1" t="str">
        <f aca="false">IF(D527&lt;&gt;"",DEC2HEX(D527,2),"")</f>
        <v/>
      </c>
      <c r="J527" s="1" t="str">
        <f aca="false">IF(H527&lt;&gt;"","0x"&amp;I527&amp;H527,"")</f>
        <v/>
      </c>
      <c r="L527" s="1" t="s">
        <v>2998</v>
      </c>
      <c r="M527" s="1" t="str">
        <f aca="false">IF(J527&lt;&gt;"",J527,L527)</f>
        <v>21, 24, KANGASKHAN</v>
      </c>
    </row>
    <row r="528" customFormat="false" ht="12.75" hidden="false" customHeight="true" outlineLevel="0" collapsed="false">
      <c r="A528" s="3" t="s">
        <v>2999</v>
      </c>
      <c r="B528" s="3" t="str">
        <f aca="false">IF(ISNUMBER(SEARCH("%", A528)),RIGHT(A528,3),A528)</f>
        <v>50, 5, 20, GEODUDE</v>
      </c>
      <c r="C528" s="1" t="str">
        <f aca="false" t="array" ref="C528:C528">IF(B527="NEW ROUTE",textsplit(B528,","),"")</f>
        <v/>
      </c>
      <c r="H528" s="1" t="str">
        <f aca="false">IF(C528&lt;&gt;"",DEC2HEX(C528,2),"")</f>
        <v/>
      </c>
      <c r="I528" s="1" t="str">
        <f aca="false">IF(D528&lt;&gt;"",DEC2HEX(D528,2),"")</f>
        <v/>
      </c>
      <c r="J528" s="1" t="str">
        <f aca="false">IF(H528&lt;&gt;"","0x"&amp;I528&amp;H528,"")</f>
        <v/>
      </c>
      <c r="L528" s="1" t="s">
        <v>2999</v>
      </c>
      <c r="M528" s="1" t="str">
        <f aca="false">IF(J528&lt;&gt;"",J528,L528)</f>
        <v>50, 5, 20, GEODUDE</v>
      </c>
    </row>
    <row r="529" customFormat="false" ht="12.75" hidden="false" customHeight="true" outlineLevel="0" collapsed="false">
      <c r="A529" s="3" t="s">
        <v>3000</v>
      </c>
      <c r="B529" s="3" t="str">
        <f aca="false">IF(ISNUMBER(SEARCH("%", A529)),RIGHT(A529,3),A529)</f>
        <v>10, 20, GEODUDE</v>
      </c>
      <c r="C529" s="1" t="str">
        <f aca="false" t="array" ref="C529:C529">IF(B528="NEW ROUTE",textsplit(B529,","),"")</f>
        <v/>
      </c>
      <c r="H529" s="1" t="str">
        <f aca="false">IF(C529&lt;&gt;"",DEC2HEX(C529,2),"")</f>
        <v/>
      </c>
      <c r="I529" s="1" t="str">
        <f aca="false">IF(D529&lt;&gt;"",DEC2HEX(D529,2),"")</f>
        <v/>
      </c>
      <c r="J529" s="1" t="str">
        <f aca="false">IF(H529&lt;&gt;"","0x"&amp;I529&amp;H529,"")</f>
        <v/>
      </c>
      <c r="L529" s="1" t="s">
        <v>3000</v>
      </c>
      <c r="M529" s="1" t="str">
        <f aca="false">IF(J529&lt;&gt;"",J529,L529)</f>
        <v>10, 20, GEODUDE</v>
      </c>
    </row>
    <row r="530" customFormat="false" ht="12.75" hidden="false" customHeight="true" outlineLevel="0" collapsed="false">
      <c r="A530" s="3" t="s">
        <v>3001</v>
      </c>
      <c r="B530" s="3" t="str">
        <f aca="false">IF(ISNUMBER(SEARCH("%", A530)),RIGHT(A530,3),A530)</f>
        <v>15, 30, GEODUDE</v>
      </c>
      <c r="C530" s="1" t="str">
        <f aca="false" t="array" ref="C530:C530">IF(B529="NEW ROUTE",textsplit(B530,","),"")</f>
        <v/>
      </c>
      <c r="H530" s="1" t="str">
        <f aca="false">IF(C530&lt;&gt;"",DEC2HEX(C530,2),"")</f>
        <v/>
      </c>
      <c r="I530" s="1" t="str">
        <f aca="false">IF(D530&lt;&gt;"",DEC2HEX(D530,2),"")</f>
        <v/>
      </c>
      <c r="J530" s="1" t="str">
        <f aca="false">IF(H530&lt;&gt;"","0x"&amp;I530&amp;H530,"")</f>
        <v/>
      </c>
      <c r="L530" s="1" t="s">
        <v>3001</v>
      </c>
      <c r="M530" s="1" t="str">
        <f aca="false">IF(J530&lt;&gt;"",J530,L530)</f>
        <v>15, 30, GEODUDE</v>
      </c>
    </row>
    <row r="531" customFormat="false" ht="12.75" hidden="false" customHeight="true" outlineLevel="0" collapsed="false">
      <c r="A531" s="3" t="s">
        <v>3002</v>
      </c>
      <c r="B531" s="3" t="str">
        <f aca="false">IF(ISNUMBER(SEARCH("%", A531)),RIGHT(A531,3),A531)</f>
        <v>25, 40, GRAVELER</v>
      </c>
      <c r="C531" s="1" t="str">
        <f aca="false" t="array" ref="C531:C531">IF(B530="NEW ROUTE",textsplit(B531,","),"")</f>
        <v/>
      </c>
      <c r="H531" s="1" t="str">
        <f aca="false">IF(C531&lt;&gt;"",DEC2HEX(C531,2),"")</f>
        <v/>
      </c>
      <c r="I531" s="1" t="str">
        <f aca="false">IF(D531&lt;&gt;"",DEC2HEX(D531,2),"")</f>
        <v/>
      </c>
      <c r="J531" s="1" t="str">
        <f aca="false">IF(H531&lt;&gt;"","0x"&amp;I531&amp;H531,"")</f>
        <v/>
      </c>
      <c r="L531" s="1" t="s">
        <v>3002</v>
      </c>
      <c r="M531" s="1" t="str">
        <f aca="false">IF(J531&lt;&gt;"",J531,L531)</f>
        <v>25, 40, GRAVELER</v>
      </c>
    </row>
    <row r="532" customFormat="false" ht="12.75" hidden="false" customHeight="true" outlineLevel="0" collapsed="false">
      <c r="A532" s="3" t="s">
        <v>3003</v>
      </c>
      <c r="B532" s="3" t="str">
        <f aca="false">IF(ISNUMBER(SEARCH("%", A532)),RIGHT(A532,3),A532)</f>
        <v>30, 40, GRAVELER , &lt;null&gt;</v>
      </c>
      <c r="C532" s="1" t="str">
        <f aca="false" t="array" ref="C532:C532">IF(B531="NEW ROUTE",textsplit(B532,","),"")</f>
        <v/>
      </c>
      <c r="H532" s="1" t="str">
        <f aca="false">IF(C532&lt;&gt;"",DEC2HEX(C532,2),"")</f>
        <v/>
      </c>
      <c r="I532" s="1" t="str">
        <f aca="false">IF(D532&lt;&gt;"",DEC2HEX(D532,2),"")</f>
        <v/>
      </c>
      <c r="J532" s="1" t="str">
        <f aca="false">IF(H532&lt;&gt;"","0x"&amp;I532&amp;H532,"")</f>
        <v/>
      </c>
      <c r="L532" s="1" t="s">
        <v>3003</v>
      </c>
      <c r="M532" s="1" t="str">
        <f aca="false">IF(J532&lt;&gt;"",J532,L532)</f>
        <v>30, 40, GRAVELER , &lt;null&gt;</v>
      </c>
    </row>
    <row r="533" customFormat="false" ht="12.75" hidden="false" customHeight="true" outlineLevel="0" collapsed="false">
      <c r="A533" s="3" t="s">
        <v>2536</v>
      </c>
      <c r="B533" s="3" t="str">
        <f aca="false">IF(ISNUMBER(SEARCH("%", A533)),RIGHT(A533,3),A533)</f>
        <v>NEW ROUTE</v>
      </c>
      <c r="C533" s="1" t="str">
        <f aca="false" t="array" ref="C533:C533">IF(B532="NEW ROUTE",textsplit(B533,","),"")</f>
        <v/>
      </c>
      <c r="H533" s="1" t="str">
        <f aca="false">IF(C533&lt;&gt;"",DEC2HEX(C533,2),"")</f>
        <v/>
      </c>
      <c r="I533" s="1" t="str">
        <f aca="false">IF(D533&lt;&gt;"",DEC2HEX(D533,2),"")</f>
        <v/>
      </c>
      <c r="J533" s="1" t="str">
        <f aca="false">IF(H533&lt;&gt;"","0x"&amp;I533&amp;H533,"")</f>
        <v/>
      </c>
      <c r="L533" s="1" t="s">
        <v>2536</v>
      </c>
      <c r="M533" s="1" t="str">
        <f aca="false">IF(J533&lt;&gt;"",J533,L533)</f>
        <v>NEW ROUTE</v>
      </c>
    </row>
    <row r="534" customFormat="false" ht="12.75" hidden="false" customHeight="true" outlineLevel="0" collapsed="false">
      <c r="A534" s="3" t="s">
        <v>3004</v>
      </c>
      <c r="B534" s="3" t="str">
        <f aca="false">IF(ISNUMBER(SEARCH("%", A534)),RIGHT(A534,3),A534)</f>
        <v>1, 83, 0,</v>
      </c>
      <c r="C534" s="1" t="e">
        <f aca="false" t="array" ref="C534:C534">IF(B533="NEW ROUTE",textsplit(B534,","),"")</f>
        <v>#NAME?</v>
      </c>
      <c r="H534" s="1" t="e">
        <f aca="false">IF(C534&lt;&gt;"",DEC2HEX(C534,2),"")</f>
        <v>#NAME?</v>
      </c>
      <c r="I534" s="1" t="str">
        <f aca="false">IF(D534&lt;&gt;"",DEC2HEX(D534,2),"")</f>
        <v/>
      </c>
      <c r="J534" s="1" t="e">
        <f aca="false">IF(H534&lt;&gt;"","0x"&amp;I534&amp;H534,"")</f>
        <v>#NAME?</v>
      </c>
      <c r="L534" s="1" t="s">
        <v>3004</v>
      </c>
      <c r="M534" s="1" t="e">
        <f aca="false">IF(J534&lt;&gt;"",J534,L534)</f>
        <v>#NAME?</v>
      </c>
    </row>
    <row r="535" customFormat="false" ht="12.75" hidden="false" customHeight="true" outlineLevel="0" collapsed="false">
      <c r="A535" s="3" t="s">
        <v>2816</v>
      </c>
      <c r="B535" s="3" t="str">
        <f aca="false">IF(ISNUMBER(SEARCH("%", A535)),RIGHT(A535,3),A535)</f>
        <v>20%</v>
      </c>
      <c r="C535" s="1" t="str">
        <f aca="false" t="array" ref="C535:C535">IF(B534="NEW ROUTE",textsplit(B535,","),"")</f>
        <v/>
      </c>
      <c r="H535" s="1" t="str">
        <f aca="false">IF(C535&lt;&gt;"",DEC2HEX(C535,2),"")</f>
        <v/>
      </c>
      <c r="I535" s="1" t="str">
        <f aca="false">IF(D535&lt;&gt;"",DEC2HEX(D535,2),"")</f>
        <v/>
      </c>
      <c r="J535" s="1" t="str">
        <f aca="false">IF(H535&lt;&gt;"","0x"&amp;I535&amp;H535,"")</f>
        <v/>
      </c>
      <c r="L535" s="1" t="s">
        <v>2799</v>
      </c>
      <c r="M535" s="1" t="str">
        <f aca="false">IF(J535&lt;&gt;"",J535,L535)</f>
        <v>20%</v>
      </c>
    </row>
    <row r="536" customFormat="false" ht="12.75" hidden="false" customHeight="true" outlineLevel="0" collapsed="false">
      <c r="A536" s="3" t="s">
        <v>1430</v>
      </c>
      <c r="B536" s="3" t="str">
        <f aca="false">IF(ISNUMBER(SEARCH("%", A536)),RIGHT(A536,3),A536)</f>
        <v>40, 44, GOLBAT</v>
      </c>
      <c r="C536" s="1" t="str">
        <f aca="false" t="array" ref="C536:C536">IF(B535="NEW ROUTE",textsplit(B536,","),"")</f>
        <v/>
      </c>
      <c r="H536" s="1" t="str">
        <f aca="false">IF(C536&lt;&gt;"",DEC2HEX(C536,2),"")</f>
        <v/>
      </c>
      <c r="I536" s="1" t="str">
        <f aca="false">IF(D536&lt;&gt;"",DEC2HEX(D536,2),"")</f>
        <v/>
      </c>
      <c r="J536" s="1" t="str">
        <f aca="false">IF(H536&lt;&gt;"","0x"&amp;I536&amp;H536,"")</f>
        <v/>
      </c>
      <c r="L536" s="1" t="s">
        <v>1430</v>
      </c>
      <c r="M536" s="1" t="str">
        <f aca="false">IF(J536&lt;&gt;"",J536,L536)</f>
        <v>40, 44, GOLBAT</v>
      </c>
    </row>
    <row r="537" customFormat="false" ht="12.75" hidden="false" customHeight="true" outlineLevel="0" collapsed="false">
      <c r="A537" s="3" t="s">
        <v>3005</v>
      </c>
      <c r="B537" s="3" t="str">
        <f aca="false">IF(ISNUMBER(SEARCH("%", A537)),RIGHT(A537,3),A537)</f>
        <v>40, 44, GOLDUCK</v>
      </c>
      <c r="C537" s="1" t="str">
        <f aca="false" t="array" ref="C537:C537">IF(B536="NEW ROUTE",textsplit(B537,","),"")</f>
        <v/>
      </c>
      <c r="H537" s="1" t="str">
        <f aca="false">IF(C537&lt;&gt;"",DEC2HEX(C537,2),"")</f>
        <v/>
      </c>
      <c r="I537" s="1" t="str">
        <f aca="false">IF(D537&lt;&gt;"",DEC2HEX(D537,2),"")</f>
        <v/>
      </c>
      <c r="J537" s="1" t="str">
        <f aca="false">IF(H537&lt;&gt;"","0x"&amp;I537&amp;H537,"")</f>
        <v/>
      </c>
      <c r="L537" s="1" t="s">
        <v>3005</v>
      </c>
      <c r="M537" s="1" t="str">
        <f aca="false">IF(J537&lt;&gt;"",J537,L537)</f>
        <v>40, 44, GOLDUCK</v>
      </c>
    </row>
    <row r="538" customFormat="false" ht="12.75" hidden="false" customHeight="true" outlineLevel="0" collapsed="false">
      <c r="A538" s="3" t="s">
        <v>2801</v>
      </c>
      <c r="B538" s="3" t="str">
        <f aca="false">IF(ISNUMBER(SEARCH("%", A538)),RIGHT(A538,3),A538)</f>
        <v>0.1</v>
      </c>
      <c r="C538" s="1" t="str">
        <f aca="false" t="array" ref="C538:C538">IF(B537="NEW ROUTE",textsplit(B538,","),"")</f>
        <v/>
      </c>
      <c r="H538" s="1" t="str">
        <f aca="false">IF(C538&lt;&gt;"",DEC2HEX(C538,2),"")</f>
        <v/>
      </c>
      <c r="I538" s="1" t="str">
        <f aca="false">IF(D538&lt;&gt;"",DEC2HEX(D538,2),"")</f>
        <v/>
      </c>
      <c r="J538" s="1" t="str">
        <f aca="false">IF(H538&lt;&gt;"","0x"&amp;I538&amp;H538,"")</f>
        <v/>
      </c>
      <c r="L538" s="1" t="s">
        <v>2801</v>
      </c>
      <c r="M538" s="1" t="str">
        <f aca="false">IF(J538&lt;&gt;"",J538,L538)</f>
        <v>0.1</v>
      </c>
    </row>
    <row r="539" customFormat="false" ht="12.75" hidden="false" customHeight="true" outlineLevel="0" collapsed="false">
      <c r="A539" s="3" t="s">
        <v>3006</v>
      </c>
      <c r="B539" s="3" t="str">
        <f aca="false">IF(ISNUMBER(SEARCH("%", A539)),RIGHT(A539,3),A539)</f>
        <v>40, 44, SLOWBRO</v>
      </c>
      <c r="C539" s="1" t="str">
        <f aca="false" t="array" ref="C539:C539">IF(B538="NEW ROUTE",textsplit(B539,","),"")</f>
        <v/>
      </c>
      <c r="H539" s="1" t="str">
        <f aca="false">IF(C539&lt;&gt;"",DEC2HEX(C539,2),"")</f>
        <v/>
      </c>
      <c r="I539" s="1" t="str">
        <f aca="false">IF(D539&lt;&gt;"",DEC2HEX(D539,2),"")</f>
        <v/>
      </c>
      <c r="J539" s="1" t="str">
        <f aca="false">IF(H539&lt;&gt;"","0x"&amp;I539&amp;H539,"")</f>
        <v/>
      </c>
      <c r="L539" s="1" t="s">
        <v>3006</v>
      </c>
      <c r="M539" s="1" t="str">
        <f aca="false">IF(J539&lt;&gt;"",J539,L539)</f>
        <v>40, 44, SLOWBRO</v>
      </c>
    </row>
    <row r="540" customFormat="false" ht="12.75" hidden="false" customHeight="true" outlineLevel="0" collapsed="false">
      <c r="A540" s="3" t="s">
        <v>3007</v>
      </c>
      <c r="B540" s="3" t="str">
        <f aca="false">IF(ISNUMBER(SEARCH("%", A540)),RIGHT(A540,3),A540)</f>
        <v>40, 44, CROBAT</v>
      </c>
      <c r="C540" s="1" t="str">
        <f aca="false" t="array" ref="C540:C540">IF(B539="NEW ROUTE",textsplit(B540,","),"")</f>
        <v/>
      </c>
      <c r="H540" s="1" t="str">
        <f aca="false">IF(C540&lt;&gt;"",DEC2HEX(C540,2),"")</f>
        <v/>
      </c>
      <c r="I540" s="1" t="str">
        <f aca="false">IF(D540&lt;&gt;"",DEC2HEX(D540,2),"")</f>
        <v/>
      </c>
      <c r="J540" s="1" t="str">
        <f aca="false">IF(H540&lt;&gt;"","0x"&amp;I540&amp;H540,"")</f>
        <v/>
      </c>
      <c r="L540" s="1" t="s">
        <v>3007</v>
      </c>
      <c r="M540" s="1" t="str">
        <f aca="false">IF(J540&lt;&gt;"",J540,L540)</f>
        <v>40, 44, CROBAT</v>
      </c>
    </row>
    <row r="541" customFormat="false" ht="12.75" hidden="false" customHeight="true" outlineLevel="0" collapsed="false">
      <c r="A541" s="3" t="s">
        <v>3008</v>
      </c>
      <c r="B541" s="3" t="str">
        <f aca="false">IF(ISNUMBER(SEARCH("%", A541)),RIGHT(A541,3),A541)</f>
        <v>40, 44, DEWGONG</v>
      </c>
      <c r="C541" s="1" t="str">
        <f aca="false" t="array" ref="C541:C541">IF(B540="NEW ROUTE",textsplit(B541,","),"")</f>
        <v/>
      </c>
      <c r="H541" s="1" t="str">
        <f aca="false">IF(C541&lt;&gt;"",DEC2HEX(C541,2),"")</f>
        <v/>
      </c>
      <c r="I541" s="1" t="str">
        <f aca="false">IF(D541&lt;&gt;"",DEC2HEX(D541,2),"")</f>
        <v/>
      </c>
      <c r="J541" s="1" t="str">
        <f aca="false">IF(H541&lt;&gt;"","0x"&amp;I541&amp;H541,"")</f>
        <v/>
      </c>
      <c r="L541" s="1" t="s">
        <v>3008</v>
      </c>
      <c r="M541" s="1" t="str">
        <f aca="false">IF(J541&lt;&gt;"",J541,L541)</f>
        <v>40, 44, DEWGONG</v>
      </c>
    </row>
    <row r="542" customFormat="false" ht="12.75" hidden="false" customHeight="true" outlineLevel="0" collapsed="false">
      <c r="A542" s="3" t="s">
        <v>3009</v>
      </c>
      <c r="B542" s="3" t="str">
        <f aca="false">IF(ISNUMBER(SEARCH("%", A542)),RIGHT(A542,3),A542)</f>
        <v>40, 44, LICKILICKY</v>
      </c>
      <c r="C542" s="1" t="str">
        <f aca="false" t="array" ref="C542:C542">IF(B541="NEW ROUTE",textsplit(B542,","),"")</f>
        <v/>
      </c>
      <c r="H542" s="1" t="str">
        <f aca="false">IF(C542&lt;&gt;"",DEC2HEX(C542,2),"")</f>
        <v/>
      </c>
      <c r="I542" s="1" t="str">
        <f aca="false">IF(D542&lt;&gt;"",DEC2HEX(D542,2),"")</f>
        <v/>
      </c>
      <c r="J542" s="1" t="str">
        <f aca="false">IF(H542&lt;&gt;"","0x"&amp;I542&amp;H542,"")</f>
        <v/>
      </c>
      <c r="L542" s="1" t="s">
        <v>3009</v>
      </c>
      <c r="M542" s="1" t="str">
        <f aca="false">IF(J542&lt;&gt;"",J542,L542)</f>
        <v>40, 44, LICKILICKY</v>
      </c>
    </row>
    <row r="543" customFormat="false" ht="12.75" hidden="false" customHeight="true" outlineLevel="0" collapsed="false">
      <c r="A543" s="3" t="s">
        <v>2806</v>
      </c>
      <c r="B543" s="3" t="str">
        <f aca="false">IF(ISNUMBER(SEARCH("%", A543)),RIGHT(A543,3),A543)</f>
        <v>0.05</v>
      </c>
      <c r="C543" s="1" t="str">
        <f aca="false" t="array" ref="C543:C543">IF(B542="NEW ROUTE",textsplit(B543,","),"")</f>
        <v/>
      </c>
      <c r="H543" s="1" t="str">
        <f aca="false">IF(C543&lt;&gt;"",DEC2HEX(C543,2),"")</f>
        <v/>
      </c>
      <c r="I543" s="1" t="str">
        <f aca="false">IF(D543&lt;&gt;"",DEC2HEX(D543,2),"")</f>
        <v/>
      </c>
      <c r="J543" s="1" t="str">
        <f aca="false">IF(H543&lt;&gt;"","0x"&amp;I543&amp;H543,"")</f>
        <v/>
      </c>
      <c r="L543" s="1" t="s">
        <v>2806</v>
      </c>
      <c r="M543" s="1" t="str">
        <f aca="false">IF(J543&lt;&gt;"",J543,L543)</f>
        <v>0.05</v>
      </c>
    </row>
    <row r="544" customFormat="false" ht="12.75" hidden="false" customHeight="true" outlineLevel="0" collapsed="false">
      <c r="A544" s="3" t="s">
        <v>3010</v>
      </c>
      <c r="B544" s="3" t="str">
        <f aca="false">IF(ISNUMBER(SEARCH("%", A544)),RIGHT(A544,3),A544)</f>
        <v>42, 46, POLABAT</v>
      </c>
      <c r="C544" s="1" t="str">
        <f aca="false" t="array" ref="C544:C544">IF(B543="NEW ROUTE",textsplit(B544,","),"")</f>
        <v/>
      </c>
      <c r="H544" s="1" t="str">
        <f aca="false">IF(C544&lt;&gt;"",DEC2HEX(C544,2),"")</f>
        <v/>
      </c>
      <c r="I544" s="1" t="str">
        <f aca="false">IF(D544&lt;&gt;"",DEC2HEX(D544,2),"")</f>
        <v/>
      </c>
      <c r="J544" s="1" t="str">
        <f aca="false">IF(H544&lt;&gt;"","0x"&amp;I544&amp;H544,"")</f>
        <v/>
      </c>
      <c r="L544" s="1" t="s">
        <v>3010</v>
      </c>
      <c r="M544" s="1" t="str">
        <f aca="false">IF(J544&lt;&gt;"",J544,L544)</f>
        <v>42, 46, POLABAT</v>
      </c>
    </row>
    <row r="545" customFormat="false" ht="12.75" hidden="false" customHeight="true" outlineLevel="0" collapsed="false">
      <c r="A545" s="3" t="s">
        <v>3011</v>
      </c>
      <c r="B545" s="3" t="str">
        <f aca="false">IF(ISNUMBER(SEARCH("%", A545)),RIGHT(A545,3),A545)</f>
        <v>42, 46, GILDUCK</v>
      </c>
      <c r="C545" s="1" t="str">
        <f aca="false" t="array" ref="C545:C545">IF(B544="NEW ROUTE",textsplit(B545,","),"")</f>
        <v/>
      </c>
      <c r="H545" s="1" t="str">
        <f aca="false">IF(C545&lt;&gt;"",DEC2HEX(C545,2),"")</f>
        <v/>
      </c>
      <c r="I545" s="1" t="str">
        <f aca="false">IF(D545&lt;&gt;"",DEC2HEX(D545,2),"")</f>
        <v/>
      </c>
      <c r="J545" s="1" t="str">
        <f aca="false">IF(H545&lt;&gt;"","0x"&amp;I545&amp;H545,"")</f>
        <v/>
      </c>
      <c r="L545" s="1" t="s">
        <v>3011</v>
      </c>
      <c r="M545" s="1" t="str">
        <f aca="false">IF(J545&lt;&gt;"",J545,L545)</f>
        <v>42, 46, GILDUCK</v>
      </c>
    </row>
    <row r="546" customFormat="false" ht="12.75" hidden="false" customHeight="true" outlineLevel="0" collapsed="false">
      <c r="A546" s="3" t="s">
        <v>2809</v>
      </c>
      <c r="B546" s="3" t="str">
        <f aca="false">IF(ISNUMBER(SEARCH("%", A546)),RIGHT(A546,3),A546)</f>
        <v>0.04</v>
      </c>
      <c r="C546" s="1" t="str">
        <f aca="false" t="array" ref="C546:C546">IF(B545="NEW ROUTE",textsplit(B546,","),"")</f>
        <v/>
      </c>
      <c r="H546" s="1" t="str">
        <f aca="false">IF(C546&lt;&gt;"",DEC2HEX(C546,2),"")</f>
        <v/>
      </c>
      <c r="I546" s="1" t="str">
        <f aca="false">IF(D546&lt;&gt;"",DEC2HEX(D546,2),"")</f>
        <v/>
      </c>
      <c r="J546" s="1" t="str">
        <f aca="false">IF(H546&lt;&gt;"","0x"&amp;I546&amp;H546,"")</f>
        <v/>
      </c>
      <c r="L546" s="1" t="s">
        <v>2809</v>
      </c>
      <c r="M546" s="1" t="str">
        <f aca="false">IF(J546&lt;&gt;"",J546,L546)</f>
        <v>0.04</v>
      </c>
    </row>
    <row r="547" customFormat="false" ht="12.75" hidden="false" customHeight="true" outlineLevel="0" collapsed="false">
      <c r="A547" s="3" t="s">
        <v>3012</v>
      </c>
      <c r="B547" s="3" t="str">
        <f aca="false">IF(ISNUMBER(SEARCH("%", A547)),RIGHT(A547,3),A547)</f>
        <v>44, 47, SLOWMATE</v>
      </c>
      <c r="C547" s="1" t="str">
        <f aca="false" t="array" ref="C547:C547">IF(B546="NEW ROUTE",textsplit(B547,","),"")</f>
        <v/>
      </c>
      <c r="H547" s="1" t="str">
        <f aca="false">IF(C547&lt;&gt;"",DEC2HEX(C547,2),"")</f>
        <v/>
      </c>
      <c r="I547" s="1" t="str">
        <f aca="false">IF(D547&lt;&gt;"",DEC2HEX(D547,2),"")</f>
        <v/>
      </c>
      <c r="J547" s="1" t="str">
        <f aca="false">IF(H547&lt;&gt;"","0x"&amp;I547&amp;H547,"")</f>
        <v/>
      </c>
      <c r="L547" s="1" t="s">
        <v>3012</v>
      </c>
      <c r="M547" s="1" t="str">
        <f aca="false">IF(J547&lt;&gt;"",J547,L547)</f>
        <v>44, 47, SLOWMATE</v>
      </c>
    </row>
    <row r="548" customFormat="false" ht="12.75" hidden="false" customHeight="true" outlineLevel="0" collapsed="false">
      <c r="A548" s="3" t="s">
        <v>3013</v>
      </c>
      <c r="B548" s="3" t="str">
        <f aca="false">IF(ISNUMBER(SEARCH("%", A548)),RIGHT(A548,3),A548)</f>
        <v>44, 47, PRECIPED</v>
      </c>
      <c r="C548" s="1" t="str">
        <f aca="false" t="array" ref="C548:C548">IF(B547="NEW ROUTE",textsplit(B548,","),"")</f>
        <v/>
      </c>
      <c r="H548" s="1" t="str">
        <f aca="false">IF(C548&lt;&gt;"",DEC2HEX(C548,2),"")</f>
        <v/>
      </c>
      <c r="I548" s="1" t="str">
        <f aca="false">IF(D548&lt;&gt;"",DEC2HEX(D548,2),"")</f>
        <v/>
      </c>
      <c r="J548" s="1" t="str">
        <f aca="false">IF(H548&lt;&gt;"","0x"&amp;I548&amp;H548,"")</f>
        <v/>
      </c>
      <c r="L548" s="1" t="s">
        <v>3013</v>
      </c>
      <c r="M548" s="1" t="str">
        <f aca="false">IF(J548&lt;&gt;"",J548,L548)</f>
        <v>44, 47, PRECIPED</v>
      </c>
    </row>
    <row r="549" customFormat="false" ht="12.75" hidden="false" customHeight="true" outlineLevel="0" collapsed="false">
      <c r="A549" s="3" t="s">
        <v>2812</v>
      </c>
      <c r="B549" s="3" t="str">
        <f aca="false">IF(ISNUMBER(SEARCH("%", A549)),RIGHT(A549,3),A549)</f>
        <v>0.01</v>
      </c>
      <c r="C549" s="1" t="str">
        <f aca="false" t="array" ref="C549:C549">IF(B548="NEW ROUTE",textsplit(B549,","),"")</f>
        <v/>
      </c>
      <c r="H549" s="1" t="str">
        <f aca="false">IF(C549&lt;&gt;"",DEC2HEX(C549,2),"")</f>
        <v/>
      </c>
      <c r="I549" s="1" t="str">
        <f aca="false">IF(D549&lt;&gt;"",DEC2HEX(D549,2),"")</f>
        <v/>
      </c>
      <c r="J549" s="1" t="str">
        <f aca="false">IF(H549&lt;&gt;"","0x"&amp;I549&amp;H549,"")</f>
        <v/>
      </c>
      <c r="L549" s="1" t="s">
        <v>2812</v>
      </c>
      <c r="M549" s="1" t="str">
        <f aca="false">IF(J549&lt;&gt;"",J549,L549)</f>
        <v>0.01</v>
      </c>
    </row>
    <row r="550" customFormat="false" ht="12.75" hidden="false" customHeight="true" outlineLevel="0" collapsed="false">
      <c r="A550" s="3" t="s">
        <v>3014</v>
      </c>
      <c r="B550" s="3" t="str">
        <f aca="false">IF(ISNUMBER(SEARCH("%", A550)),RIGHT(A550,3),A550)</f>
        <v>45, 50, DRAGONITE</v>
      </c>
      <c r="C550" s="1" t="str">
        <f aca="false" t="array" ref="C550:C550">IF(B549="NEW ROUTE",textsplit(B550,","),"")</f>
        <v/>
      </c>
      <c r="H550" s="1" t="str">
        <f aca="false">IF(C550&lt;&gt;"",DEC2HEX(C550,2),"")</f>
        <v/>
      </c>
      <c r="I550" s="1" t="str">
        <f aca="false">IF(D550&lt;&gt;"",DEC2HEX(D550,2),"")</f>
        <v/>
      </c>
      <c r="J550" s="1" t="str">
        <f aca="false">IF(H550&lt;&gt;"","0x"&amp;I550&amp;H550,"")</f>
        <v/>
      </c>
      <c r="L550" s="1" t="s">
        <v>3014</v>
      </c>
      <c r="M550" s="1" t="str">
        <f aca="false">IF(J550&lt;&gt;"",J550,L550)</f>
        <v>45, 50, DRAGONITE</v>
      </c>
    </row>
    <row r="551" customFormat="false" ht="12.75" hidden="false" customHeight="true" outlineLevel="0" collapsed="false">
      <c r="A551" s="3" t="s">
        <v>3015</v>
      </c>
      <c r="B551" s="3" t="str">
        <f aca="false">IF(ISNUMBER(SEARCH("%", A551)),RIGHT(A551,3),A551)</f>
        <v>45, 50, LICKILICKY , &lt;null&gt;, &lt;null&gt;, &lt;null&gt;</v>
      </c>
      <c r="C551" s="1" t="str">
        <f aca="false" t="array" ref="C551:C551">IF(B550="NEW ROUTE",textsplit(B551,","),"")</f>
        <v/>
      </c>
      <c r="H551" s="1" t="str">
        <f aca="false">IF(C551&lt;&gt;"",DEC2HEX(C551,2),"")</f>
        <v/>
      </c>
      <c r="I551" s="1" t="str">
        <f aca="false">IF(D551&lt;&gt;"",DEC2HEX(D551,2),"")</f>
        <v/>
      </c>
      <c r="J551" s="1" t="str">
        <f aca="false">IF(H551&lt;&gt;"","0x"&amp;I551&amp;H551,"")</f>
        <v/>
      </c>
      <c r="L551" s="1" t="s">
        <v>3015</v>
      </c>
      <c r="M551" s="1" t="str">
        <f aca="false">IF(J551&lt;&gt;"",J551,L551)</f>
        <v>45, 50, LICKILICKY , &lt;null&gt;, &lt;null&gt;, &lt;null&gt;</v>
      </c>
    </row>
    <row r="552" customFormat="false" ht="12.75" hidden="false" customHeight="true" outlineLevel="0" collapsed="false">
      <c r="A552" s="3" t="s">
        <v>2536</v>
      </c>
      <c r="B552" s="3" t="str">
        <f aca="false">IF(ISNUMBER(SEARCH("%", A552)),RIGHT(A552,3),A552)</f>
        <v>NEW ROUTE</v>
      </c>
      <c r="C552" s="1" t="str">
        <f aca="false" t="array" ref="C552:C552">IF(B551="NEW ROUTE",textsplit(B552,","),"")</f>
        <v/>
      </c>
      <c r="H552" s="1" t="str">
        <f aca="false">IF(C552&lt;&gt;"",DEC2HEX(C552,2),"")</f>
        <v/>
      </c>
      <c r="I552" s="1" t="str">
        <f aca="false">IF(D552&lt;&gt;"",DEC2HEX(D552,2),"")</f>
        <v/>
      </c>
      <c r="J552" s="1" t="str">
        <f aca="false">IF(H552&lt;&gt;"","0x"&amp;I552&amp;H552,"")</f>
        <v/>
      </c>
      <c r="L552" s="1" t="s">
        <v>2536</v>
      </c>
      <c r="M552" s="1" t="str">
        <f aca="false">IF(J552&lt;&gt;"",J552,L552)</f>
        <v>NEW ROUTE</v>
      </c>
    </row>
    <row r="553" customFormat="false" ht="12.75" hidden="false" customHeight="true" outlineLevel="0" collapsed="false">
      <c r="A553" s="3" t="s">
        <v>3016</v>
      </c>
      <c r="B553" s="3" t="str">
        <f aca="false">IF(ISNUMBER(SEARCH("%", A553)),RIGHT(A553,3),A553)</f>
        <v>1, 84, 0,</v>
      </c>
      <c r="C553" s="1" t="e">
        <f aca="false" t="array" ref="C553:C553">IF(B552="NEW ROUTE",textsplit(B553,","),"")</f>
        <v>#NAME?</v>
      </c>
      <c r="H553" s="1" t="e">
        <f aca="false">IF(C553&lt;&gt;"",DEC2HEX(C553,2),"")</f>
        <v>#NAME?</v>
      </c>
      <c r="I553" s="1" t="str">
        <f aca="false">IF(D553&lt;&gt;"",DEC2HEX(D553,2),"")</f>
        <v/>
      </c>
      <c r="J553" s="1" t="e">
        <f aca="false">IF(H553&lt;&gt;"","0x"&amp;I553&amp;H553,"")</f>
        <v>#NAME?</v>
      </c>
      <c r="L553" s="1" t="s">
        <v>3016</v>
      </c>
      <c r="M553" s="1" t="e">
        <f aca="false">IF(J553&lt;&gt;"",J553,L553)</f>
        <v>#NAME?</v>
      </c>
    </row>
    <row r="554" customFormat="false" ht="12.75" hidden="false" customHeight="true" outlineLevel="0" collapsed="false">
      <c r="A554" s="3" t="s">
        <v>2816</v>
      </c>
      <c r="B554" s="3" t="str">
        <f aca="false">IF(ISNUMBER(SEARCH("%", A554)),RIGHT(A554,3),A554)</f>
        <v>20%</v>
      </c>
      <c r="C554" s="1" t="str">
        <f aca="false" t="array" ref="C554:C554">IF(B553="NEW ROUTE",textsplit(B554,","),"")</f>
        <v/>
      </c>
      <c r="H554" s="1" t="str">
        <f aca="false">IF(C554&lt;&gt;"",DEC2HEX(C554,2),"")</f>
        <v/>
      </c>
      <c r="I554" s="1" t="str">
        <f aca="false">IF(D554&lt;&gt;"",DEC2HEX(D554,2),"")</f>
        <v/>
      </c>
      <c r="J554" s="1" t="str">
        <f aca="false">IF(H554&lt;&gt;"","0x"&amp;I554&amp;H554,"")</f>
        <v/>
      </c>
      <c r="L554" s="1" t="s">
        <v>2799</v>
      </c>
      <c r="M554" s="1" t="str">
        <f aca="false">IF(J554&lt;&gt;"",J554,L554)</f>
        <v>20%</v>
      </c>
    </row>
    <row r="555" customFormat="false" ht="12.75" hidden="false" customHeight="true" outlineLevel="0" collapsed="false">
      <c r="A555" s="3" t="s">
        <v>1430</v>
      </c>
      <c r="B555" s="3" t="str">
        <f aca="false">IF(ISNUMBER(SEARCH("%", A555)),RIGHT(A555,3),A555)</f>
        <v>40, 44, GOLBAT</v>
      </c>
      <c r="C555" s="1" t="str">
        <f aca="false" t="array" ref="C555:C555">IF(B554="NEW ROUTE",textsplit(B555,","),"")</f>
        <v/>
      </c>
      <c r="H555" s="1" t="str">
        <f aca="false">IF(C555&lt;&gt;"",DEC2HEX(C555,2),"")</f>
        <v/>
      </c>
      <c r="I555" s="1" t="str">
        <f aca="false">IF(D555&lt;&gt;"",DEC2HEX(D555,2),"")</f>
        <v/>
      </c>
      <c r="J555" s="1" t="str">
        <f aca="false">IF(H555&lt;&gt;"","0x"&amp;I555&amp;H555,"")</f>
        <v/>
      </c>
      <c r="L555" s="1" t="s">
        <v>1430</v>
      </c>
      <c r="M555" s="1" t="str">
        <f aca="false">IF(J555&lt;&gt;"",J555,L555)</f>
        <v>40, 44, GOLBAT</v>
      </c>
    </row>
    <row r="556" customFormat="false" ht="12.75" hidden="false" customHeight="true" outlineLevel="0" collapsed="false">
      <c r="A556" s="3" t="s">
        <v>3005</v>
      </c>
      <c r="B556" s="3" t="str">
        <f aca="false">IF(ISNUMBER(SEARCH("%", A556)),RIGHT(A556,3),A556)</f>
        <v>40, 44, GOLDUCK</v>
      </c>
      <c r="C556" s="1" t="str">
        <f aca="false" t="array" ref="C556:C556">IF(B555="NEW ROUTE",textsplit(B556,","),"")</f>
        <v/>
      </c>
      <c r="H556" s="1" t="str">
        <f aca="false">IF(C556&lt;&gt;"",DEC2HEX(C556,2),"")</f>
        <v/>
      </c>
      <c r="I556" s="1" t="str">
        <f aca="false">IF(D556&lt;&gt;"",DEC2HEX(D556,2),"")</f>
        <v/>
      </c>
      <c r="J556" s="1" t="str">
        <f aca="false">IF(H556&lt;&gt;"","0x"&amp;I556&amp;H556,"")</f>
        <v/>
      </c>
      <c r="L556" s="1" t="s">
        <v>3005</v>
      </c>
      <c r="M556" s="1" t="str">
        <f aca="false">IF(J556&lt;&gt;"",J556,L556)</f>
        <v>40, 44, GOLDUCK</v>
      </c>
    </row>
    <row r="557" customFormat="false" ht="12.75" hidden="false" customHeight="true" outlineLevel="0" collapsed="false">
      <c r="A557" s="3" t="s">
        <v>2801</v>
      </c>
      <c r="B557" s="3" t="str">
        <f aca="false">IF(ISNUMBER(SEARCH("%", A557)),RIGHT(A557,3),A557)</f>
        <v>0.1</v>
      </c>
      <c r="C557" s="1" t="str">
        <f aca="false" t="array" ref="C557:C557">IF(B556="NEW ROUTE",textsplit(B557,","),"")</f>
        <v/>
      </c>
      <c r="H557" s="1" t="str">
        <f aca="false">IF(C557&lt;&gt;"",DEC2HEX(C557,2),"")</f>
        <v/>
      </c>
      <c r="I557" s="1" t="str">
        <f aca="false">IF(D557&lt;&gt;"",DEC2HEX(D557,2),"")</f>
        <v/>
      </c>
      <c r="J557" s="1" t="str">
        <f aca="false">IF(H557&lt;&gt;"","0x"&amp;I557&amp;H557,"")</f>
        <v/>
      </c>
      <c r="L557" s="1" t="s">
        <v>2801</v>
      </c>
      <c r="M557" s="1" t="str">
        <f aca="false">IF(J557&lt;&gt;"",J557,L557)</f>
        <v>0.1</v>
      </c>
    </row>
    <row r="558" customFormat="false" ht="12.75" hidden="false" customHeight="true" outlineLevel="0" collapsed="false">
      <c r="A558" s="3" t="s">
        <v>3006</v>
      </c>
      <c r="B558" s="3" t="str">
        <f aca="false">IF(ISNUMBER(SEARCH("%", A558)),RIGHT(A558,3),A558)</f>
        <v>40, 44, SLOWBRO</v>
      </c>
      <c r="C558" s="1" t="str">
        <f aca="false" t="array" ref="C558:C558">IF(B557="NEW ROUTE",textsplit(B558,","),"")</f>
        <v/>
      </c>
      <c r="H558" s="1" t="str">
        <f aca="false">IF(C558&lt;&gt;"",DEC2HEX(C558,2),"")</f>
        <v/>
      </c>
      <c r="I558" s="1" t="str">
        <f aca="false">IF(D558&lt;&gt;"",DEC2HEX(D558,2),"")</f>
        <v/>
      </c>
      <c r="J558" s="1" t="str">
        <f aca="false">IF(H558&lt;&gt;"","0x"&amp;I558&amp;H558,"")</f>
        <v/>
      </c>
      <c r="L558" s="1" t="s">
        <v>3006</v>
      </c>
      <c r="M558" s="1" t="str">
        <f aca="false">IF(J558&lt;&gt;"",J558,L558)</f>
        <v>40, 44, SLOWBRO</v>
      </c>
    </row>
    <row r="559" customFormat="false" ht="12.75" hidden="false" customHeight="true" outlineLevel="0" collapsed="false">
      <c r="A559" s="3" t="s">
        <v>3007</v>
      </c>
      <c r="B559" s="3" t="str">
        <f aca="false">IF(ISNUMBER(SEARCH("%", A559)),RIGHT(A559,3),A559)</f>
        <v>40, 44, CROBAT</v>
      </c>
      <c r="C559" s="1" t="str">
        <f aca="false" t="array" ref="C559:C559">IF(B558="NEW ROUTE",textsplit(B559,","),"")</f>
        <v/>
      </c>
      <c r="H559" s="1" t="str">
        <f aca="false">IF(C559&lt;&gt;"",DEC2HEX(C559,2),"")</f>
        <v/>
      </c>
      <c r="I559" s="1" t="str">
        <f aca="false">IF(D559&lt;&gt;"",DEC2HEX(D559,2),"")</f>
        <v/>
      </c>
      <c r="J559" s="1" t="str">
        <f aca="false">IF(H559&lt;&gt;"","0x"&amp;I559&amp;H559,"")</f>
        <v/>
      </c>
      <c r="L559" s="1" t="s">
        <v>3007</v>
      </c>
      <c r="M559" s="1" t="str">
        <f aca="false">IF(J559&lt;&gt;"",J559,L559)</f>
        <v>40, 44, CROBAT</v>
      </c>
    </row>
    <row r="560" customFormat="false" ht="12.75" hidden="false" customHeight="true" outlineLevel="0" collapsed="false">
      <c r="A560" s="3" t="s">
        <v>3008</v>
      </c>
      <c r="B560" s="3" t="str">
        <f aca="false">IF(ISNUMBER(SEARCH("%", A560)),RIGHT(A560,3),A560)</f>
        <v>40, 44, DEWGONG</v>
      </c>
      <c r="C560" s="1" t="str">
        <f aca="false" t="array" ref="C560:C560">IF(B559="NEW ROUTE",textsplit(B560,","),"")</f>
        <v/>
      </c>
      <c r="H560" s="1" t="str">
        <f aca="false">IF(C560&lt;&gt;"",DEC2HEX(C560,2),"")</f>
        <v/>
      </c>
      <c r="I560" s="1" t="str">
        <f aca="false">IF(D560&lt;&gt;"",DEC2HEX(D560,2),"")</f>
        <v/>
      </c>
      <c r="J560" s="1" t="str">
        <f aca="false">IF(H560&lt;&gt;"","0x"&amp;I560&amp;H560,"")</f>
        <v/>
      </c>
      <c r="L560" s="1" t="s">
        <v>3008</v>
      </c>
      <c r="M560" s="1" t="str">
        <f aca="false">IF(J560&lt;&gt;"",J560,L560)</f>
        <v>40, 44, DEWGONG</v>
      </c>
    </row>
    <row r="561" customFormat="false" ht="12.75" hidden="false" customHeight="true" outlineLevel="0" collapsed="false">
      <c r="A561" s="3" t="s">
        <v>3009</v>
      </c>
      <c r="B561" s="3" t="str">
        <f aca="false">IF(ISNUMBER(SEARCH("%", A561)),RIGHT(A561,3),A561)</f>
        <v>40, 44, LICKILICKY</v>
      </c>
      <c r="C561" s="1" t="str">
        <f aca="false" t="array" ref="C561:C561">IF(B560="NEW ROUTE",textsplit(B561,","),"")</f>
        <v/>
      </c>
      <c r="H561" s="1" t="str">
        <f aca="false">IF(C561&lt;&gt;"",DEC2HEX(C561,2),"")</f>
        <v/>
      </c>
      <c r="I561" s="1" t="str">
        <f aca="false">IF(D561&lt;&gt;"",DEC2HEX(D561,2),"")</f>
        <v/>
      </c>
      <c r="J561" s="1" t="str">
        <f aca="false">IF(H561&lt;&gt;"","0x"&amp;I561&amp;H561,"")</f>
        <v/>
      </c>
      <c r="L561" s="1" t="s">
        <v>3009</v>
      </c>
      <c r="M561" s="1" t="str">
        <f aca="false">IF(J561&lt;&gt;"",J561,L561)</f>
        <v>40, 44, LICKILICKY</v>
      </c>
    </row>
    <row r="562" customFormat="false" ht="12.75" hidden="false" customHeight="true" outlineLevel="0" collapsed="false">
      <c r="A562" s="3" t="s">
        <v>2806</v>
      </c>
      <c r="B562" s="3" t="str">
        <f aca="false">IF(ISNUMBER(SEARCH("%", A562)),RIGHT(A562,3),A562)</f>
        <v>0.05</v>
      </c>
      <c r="C562" s="1" t="str">
        <f aca="false" t="array" ref="C562:C562">IF(B561="NEW ROUTE",textsplit(B562,","),"")</f>
        <v/>
      </c>
      <c r="H562" s="1" t="str">
        <f aca="false">IF(C562&lt;&gt;"",DEC2HEX(C562,2),"")</f>
        <v/>
      </c>
      <c r="I562" s="1" t="str">
        <f aca="false">IF(D562&lt;&gt;"",DEC2HEX(D562,2),"")</f>
        <v/>
      </c>
      <c r="J562" s="1" t="str">
        <f aca="false">IF(H562&lt;&gt;"","0x"&amp;I562&amp;H562,"")</f>
        <v/>
      </c>
      <c r="L562" s="1" t="s">
        <v>2806</v>
      </c>
      <c r="M562" s="1" t="str">
        <f aca="false">IF(J562&lt;&gt;"",J562,L562)</f>
        <v>0.05</v>
      </c>
    </row>
    <row r="563" customFormat="false" ht="12.75" hidden="false" customHeight="true" outlineLevel="0" collapsed="false">
      <c r="A563" s="3" t="s">
        <v>3010</v>
      </c>
      <c r="B563" s="3" t="str">
        <f aca="false">IF(ISNUMBER(SEARCH("%", A563)),RIGHT(A563,3),A563)</f>
        <v>42, 46, POLABAT</v>
      </c>
      <c r="C563" s="1" t="str">
        <f aca="false" t="array" ref="C563:C563">IF(B562="NEW ROUTE",textsplit(B563,","),"")</f>
        <v/>
      </c>
      <c r="H563" s="1" t="str">
        <f aca="false">IF(C563&lt;&gt;"",DEC2HEX(C563,2),"")</f>
        <v/>
      </c>
      <c r="I563" s="1" t="str">
        <f aca="false">IF(D563&lt;&gt;"",DEC2HEX(D563,2),"")</f>
        <v/>
      </c>
      <c r="J563" s="1" t="str">
        <f aca="false">IF(H563&lt;&gt;"","0x"&amp;I563&amp;H563,"")</f>
        <v/>
      </c>
      <c r="L563" s="1" t="s">
        <v>3010</v>
      </c>
      <c r="M563" s="1" t="str">
        <f aca="false">IF(J563&lt;&gt;"",J563,L563)</f>
        <v>42, 46, POLABAT</v>
      </c>
    </row>
    <row r="564" customFormat="false" ht="12.75" hidden="false" customHeight="true" outlineLevel="0" collapsed="false">
      <c r="A564" s="3" t="s">
        <v>3011</v>
      </c>
      <c r="B564" s="3" t="str">
        <f aca="false">IF(ISNUMBER(SEARCH("%", A564)),RIGHT(A564,3),A564)</f>
        <v>42, 46, GILDUCK</v>
      </c>
      <c r="C564" s="1" t="str">
        <f aca="false" t="array" ref="C564:C564">IF(B563="NEW ROUTE",textsplit(B564,","),"")</f>
        <v/>
      </c>
      <c r="H564" s="1" t="str">
        <f aca="false">IF(C564&lt;&gt;"",DEC2HEX(C564,2),"")</f>
        <v/>
      </c>
      <c r="I564" s="1" t="str">
        <f aca="false">IF(D564&lt;&gt;"",DEC2HEX(D564,2),"")</f>
        <v/>
      </c>
      <c r="J564" s="1" t="str">
        <f aca="false">IF(H564&lt;&gt;"","0x"&amp;I564&amp;H564,"")</f>
        <v/>
      </c>
      <c r="L564" s="1" t="s">
        <v>3011</v>
      </c>
      <c r="M564" s="1" t="str">
        <f aca="false">IF(J564&lt;&gt;"",J564,L564)</f>
        <v>42, 46, GILDUCK</v>
      </c>
    </row>
    <row r="565" customFormat="false" ht="12.75" hidden="false" customHeight="true" outlineLevel="0" collapsed="false">
      <c r="A565" s="3" t="s">
        <v>2809</v>
      </c>
      <c r="B565" s="3" t="str">
        <f aca="false">IF(ISNUMBER(SEARCH("%", A565)),RIGHT(A565,3),A565)</f>
        <v>0.04</v>
      </c>
      <c r="C565" s="1" t="str">
        <f aca="false" t="array" ref="C565:C565">IF(B564="NEW ROUTE",textsplit(B565,","),"")</f>
        <v/>
      </c>
      <c r="H565" s="1" t="str">
        <f aca="false">IF(C565&lt;&gt;"",DEC2HEX(C565,2),"")</f>
        <v/>
      </c>
      <c r="I565" s="1" t="str">
        <f aca="false">IF(D565&lt;&gt;"",DEC2HEX(D565,2),"")</f>
        <v/>
      </c>
      <c r="J565" s="1" t="str">
        <f aca="false">IF(H565&lt;&gt;"","0x"&amp;I565&amp;H565,"")</f>
        <v/>
      </c>
      <c r="L565" s="1" t="s">
        <v>2809</v>
      </c>
      <c r="M565" s="1" t="str">
        <f aca="false">IF(J565&lt;&gt;"",J565,L565)</f>
        <v>0.04</v>
      </c>
    </row>
    <row r="566" customFormat="false" ht="12.75" hidden="false" customHeight="true" outlineLevel="0" collapsed="false">
      <c r="A566" s="3" t="s">
        <v>3012</v>
      </c>
      <c r="B566" s="3" t="str">
        <f aca="false">IF(ISNUMBER(SEARCH("%", A566)),RIGHT(A566,3),A566)</f>
        <v>44, 47, SLOWMATE</v>
      </c>
      <c r="C566" s="1" t="str">
        <f aca="false" t="array" ref="C566:C566">IF(B565="NEW ROUTE",textsplit(B566,","),"")</f>
        <v/>
      </c>
      <c r="H566" s="1" t="str">
        <f aca="false">IF(C566&lt;&gt;"",DEC2HEX(C566,2),"")</f>
        <v/>
      </c>
      <c r="I566" s="1" t="str">
        <f aca="false">IF(D566&lt;&gt;"",DEC2HEX(D566,2),"")</f>
        <v/>
      </c>
      <c r="J566" s="1" t="str">
        <f aca="false">IF(H566&lt;&gt;"","0x"&amp;I566&amp;H566,"")</f>
        <v/>
      </c>
      <c r="L566" s="1" t="s">
        <v>3012</v>
      </c>
      <c r="M566" s="1" t="str">
        <f aca="false">IF(J566&lt;&gt;"",J566,L566)</f>
        <v>44, 47, SLOWMATE</v>
      </c>
    </row>
    <row r="567" customFormat="false" ht="12.75" hidden="false" customHeight="true" outlineLevel="0" collapsed="false">
      <c r="A567" s="3" t="s">
        <v>3013</v>
      </c>
      <c r="B567" s="3" t="str">
        <f aca="false">IF(ISNUMBER(SEARCH("%", A567)),RIGHT(A567,3),A567)</f>
        <v>44, 47, PRECIPED</v>
      </c>
      <c r="C567" s="1" t="str">
        <f aca="false" t="array" ref="C567:C567">IF(B566="NEW ROUTE",textsplit(B567,","),"")</f>
        <v/>
      </c>
      <c r="H567" s="1" t="str">
        <f aca="false">IF(C567&lt;&gt;"",DEC2HEX(C567,2),"")</f>
        <v/>
      </c>
      <c r="I567" s="1" t="str">
        <f aca="false">IF(D567&lt;&gt;"",DEC2HEX(D567,2),"")</f>
        <v/>
      </c>
      <c r="J567" s="1" t="str">
        <f aca="false">IF(H567&lt;&gt;"","0x"&amp;I567&amp;H567,"")</f>
        <v/>
      </c>
      <c r="L567" s="1" t="s">
        <v>3013</v>
      </c>
      <c r="M567" s="1" t="str">
        <f aca="false">IF(J567&lt;&gt;"",J567,L567)</f>
        <v>44, 47, PRECIPED</v>
      </c>
    </row>
    <row r="568" customFormat="false" ht="12.75" hidden="false" customHeight="true" outlineLevel="0" collapsed="false">
      <c r="A568" s="3" t="s">
        <v>2812</v>
      </c>
      <c r="B568" s="3" t="str">
        <f aca="false">IF(ISNUMBER(SEARCH("%", A568)),RIGHT(A568,3),A568)</f>
        <v>0.01</v>
      </c>
      <c r="C568" s="1" t="str">
        <f aca="false" t="array" ref="C568:C568">IF(B567="NEW ROUTE",textsplit(B568,","),"")</f>
        <v/>
      </c>
      <c r="H568" s="1" t="str">
        <f aca="false">IF(C568&lt;&gt;"",DEC2HEX(C568,2),"")</f>
        <v/>
      </c>
      <c r="I568" s="1" t="str">
        <f aca="false">IF(D568&lt;&gt;"",DEC2HEX(D568,2),"")</f>
        <v/>
      </c>
      <c r="J568" s="1" t="str">
        <f aca="false">IF(H568&lt;&gt;"","0x"&amp;I568&amp;H568,"")</f>
        <v/>
      </c>
      <c r="L568" s="1" t="s">
        <v>2812</v>
      </c>
      <c r="M568" s="1" t="str">
        <f aca="false">IF(J568&lt;&gt;"",J568,L568)</f>
        <v>0.01</v>
      </c>
    </row>
    <row r="569" customFormat="false" ht="12.75" hidden="false" customHeight="true" outlineLevel="0" collapsed="false">
      <c r="A569" s="3" t="s">
        <v>3014</v>
      </c>
      <c r="B569" s="3" t="str">
        <f aca="false">IF(ISNUMBER(SEARCH("%", A569)),RIGHT(A569,3),A569)</f>
        <v>45, 50, DRAGONITE</v>
      </c>
      <c r="C569" s="1" t="str">
        <f aca="false" t="array" ref="C569:C569">IF(B568="NEW ROUTE",textsplit(B569,","),"")</f>
        <v/>
      </c>
      <c r="H569" s="1" t="str">
        <f aca="false">IF(C569&lt;&gt;"",DEC2HEX(C569,2),"")</f>
        <v/>
      </c>
      <c r="I569" s="1" t="str">
        <f aca="false">IF(D569&lt;&gt;"",DEC2HEX(D569,2),"")</f>
        <v/>
      </c>
      <c r="J569" s="1" t="str">
        <f aca="false">IF(H569&lt;&gt;"","0x"&amp;I569&amp;H569,"")</f>
        <v/>
      </c>
      <c r="L569" s="1" t="s">
        <v>3014</v>
      </c>
      <c r="M569" s="1" t="str">
        <f aca="false">IF(J569&lt;&gt;"",J569,L569)</f>
        <v>45, 50, DRAGONITE</v>
      </c>
    </row>
    <row r="570" customFormat="false" ht="12.75" hidden="false" customHeight="true" outlineLevel="0" collapsed="false">
      <c r="A570" s="3" t="s">
        <v>3017</v>
      </c>
      <c r="B570" s="3" t="str">
        <f aca="false">IF(ISNUMBER(SEARCH("%", A570)),RIGHT(A570,3),A570)</f>
        <v>45, 50, LICKILOLLY , &lt;null&gt;, &lt;null&gt;, &lt;null&gt;</v>
      </c>
      <c r="C570" s="1" t="str">
        <f aca="false" t="array" ref="C570:C570">IF(B569="NEW ROUTE",textsplit(B570,","),"")</f>
        <v/>
      </c>
      <c r="H570" s="1" t="str">
        <f aca="false">IF(C570&lt;&gt;"",DEC2HEX(C570,2),"")</f>
        <v/>
      </c>
      <c r="I570" s="1" t="str">
        <f aca="false">IF(D570&lt;&gt;"",DEC2HEX(D570,2),"")</f>
        <v/>
      </c>
      <c r="J570" s="1" t="str">
        <f aca="false">IF(H570&lt;&gt;"","0x"&amp;I570&amp;H570,"")</f>
        <v/>
      </c>
      <c r="L570" s="1" t="s">
        <v>3017</v>
      </c>
      <c r="M570" s="1" t="str">
        <f aca="false">IF(J570&lt;&gt;"",J570,L570)</f>
        <v>45, 50, LICKILOLLY , &lt;null&gt;, &lt;null&gt;, &lt;null&gt;</v>
      </c>
    </row>
    <row r="571" customFormat="false" ht="12.75" hidden="false" customHeight="true" outlineLevel="0" collapsed="false">
      <c r="A571" s="3" t="s">
        <v>2536</v>
      </c>
      <c r="B571" s="3" t="str">
        <f aca="false">IF(ISNUMBER(SEARCH("%", A571)),RIGHT(A571,3),A571)</f>
        <v>NEW ROUTE</v>
      </c>
      <c r="C571" s="1" t="str">
        <f aca="false" t="array" ref="C571:C571">IF(B570="NEW ROUTE",textsplit(B571,","),"")</f>
        <v/>
      </c>
      <c r="H571" s="1" t="str">
        <f aca="false">IF(C571&lt;&gt;"",DEC2HEX(C571,2),"")</f>
        <v/>
      </c>
      <c r="I571" s="1" t="str">
        <f aca="false">IF(D571&lt;&gt;"",DEC2HEX(D571,2),"")</f>
        <v/>
      </c>
      <c r="J571" s="1" t="str">
        <f aca="false">IF(H571&lt;&gt;"","0x"&amp;I571&amp;H571,"")</f>
        <v/>
      </c>
      <c r="L571" s="1" t="s">
        <v>2536</v>
      </c>
      <c r="M571" s="1" t="str">
        <f aca="false">IF(J571&lt;&gt;"",J571,L571)</f>
        <v>NEW ROUTE</v>
      </c>
    </row>
    <row r="572" customFormat="false" ht="12.75" hidden="false" customHeight="true" outlineLevel="0" collapsed="false">
      <c r="A572" s="3" t="s">
        <v>3018</v>
      </c>
      <c r="B572" s="3" t="str">
        <f aca="false">IF(ISNUMBER(SEARCH("%", A572)),RIGHT(A572,3),A572)</f>
        <v>1, 85, 0,</v>
      </c>
      <c r="C572" s="1" t="e">
        <f aca="false" t="array" ref="C572:C572">IF(B571="NEW ROUTE",textsplit(B572,","),"")</f>
        <v>#NAME?</v>
      </c>
      <c r="H572" s="1" t="e">
        <f aca="false">IF(C572&lt;&gt;"",DEC2HEX(C572,2),"")</f>
        <v>#NAME?</v>
      </c>
      <c r="I572" s="1" t="str">
        <f aca="false">IF(D572&lt;&gt;"",DEC2HEX(D572,2),"")</f>
        <v/>
      </c>
      <c r="J572" s="1" t="e">
        <f aca="false">IF(H572&lt;&gt;"","0x"&amp;I572&amp;H572,"")</f>
        <v>#NAME?</v>
      </c>
      <c r="L572" s="1" t="s">
        <v>3018</v>
      </c>
      <c r="M572" s="1" t="e">
        <f aca="false">IF(J572&lt;&gt;"",J572,L572)</f>
        <v>#NAME?</v>
      </c>
    </row>
    <row r="573" customFormat="false" ht="12.75" hidden="false" customHeight="true" outlineLevel="0" collapsed="false">
      <c r="A573" s="3" t="s">
        <v>2816</v>
      </c>
      <c r="B573" s="3" t="str">
        <f aca="false">IF(ISNUMBER(SEARCH("%", A573)),RIGHT(A573,3),A573)</f>
        <v>20%</v>
      </c>
      <c r="C573" s="1" t="str">
        <f aca="false" t="array" ref="C573:C573">IF(B572="NEW ROUTE",textsplit(B573,","),"")</f>
        <v/>
      </c>
      <c r="H573" s="1" t="str">
        <f aca="false">IF(C573&lt;&gt;"",DEC2HEX(C573,2),"")</f>
        <v/>
      </c>
      <c r="I573" s="1" t="str">
        <f aca="false">IF(D573&lt;&gt;"",DEC2HEX(D573,2),"")</f>
        <v/>
      </c>
      <c r="J573" s="1" t="str">
        <f aca="false">IF(H573&lt;&gt;"","0x"&amp;I573&amp;H573,"")</f>
        <v/>
      </c>
      <c r="L573" s="1" t="s">
        <v>2799</v>
      </c>
      <c r="M573" s="1" t="str">
        <f aca="false">IF(J573&lt;&gt;"",J573,L573)</f>
        <v>20%</v>
      </c>
    </row>
    <row r="574" customFormat="false" ht="12.75" hidden="false" customHeight="true" outlineLevel="0" collapsed="false">
      <c r="A574" s="3" t="s">
        <v>1430</v>
      </c>
      <c r="B574" s="3" t="str">
        <f aca="false">IF(ISNUMBER(SEARCH("%", A574)),RIGHT(A574,3),A574)</f>
        <v>40, 44, GOLBAT</v>
      </c>
      <c r="C574" s="1" t="str">
        <f aca="false" t="array" ref="C574:C574">IF(B573="NEW ROUTE",textsplit(B574,","),"")</f>
        <v/>
      </c>
      <c r="H574" s="1" t="str">
        <f aca="false">IF(C574&lt;&gt;"",DEC2HEX(C574,2),"")</f>
        <v/>
      </c>
      <c r="I574" s="1" t="str">
        <f aca="false">IF(D574&lt;&gt;"",DEC2HEX(D574,2),"")</f>
        <v/>
      </c>
      <c r="J574" s="1" t="str">
        <f aca="false">IF(H574&lt;&gt;"","0x"&amp;I574&amp;H574,"")</f>
        <v/>
      </c>
      <c r="L574" s="1" t="s">
        <v>1430</v>
      </c>
      <c r="M574" s="1" t="str">
        <f aca="false">IF(J574&lt;&gt;"",J574,L574)</f>
        <v>40, 44, GOLBAT</v>
      </c>
    </row>
    <row r="575" customFormat="false" ht="12.75" hidden="false" customHeight="true" outlineLevel="0" collapsed="false">
      <c r="A575" s="3" t="s">
        <v>3005</v>
      </c>
      <c r="B575" s="3" t="str">
        <f aca="false">IF(ISNUMBER(SEARCH("%", A575)),RIGHT(A575,3),A575)</f>
        <v>40, 44, GOLDUCK</v>
      </c>
      <c r="C575" s="1" t="str">
        <f aca="false" t="array" ref="C575:C575">IF(B574="NEW ROUTE",textsplit(B575,","),"")</f>
        <v/>
      </c>
      <c r="H575" s="1" t="str">
        <f aca="false">IF(C575&lt;&gt;"",DEC2HEX(C575,2),"")</f>
        <v/>
      </c>
      <c r="I575" s="1" t="str">
        <f aca="false">IF(D575&lt;&gt;"",DEC2HEX(D575,2),"")</f>
        <v/>
      </c>
      <c r="J575" s="1" t="str">
        <f aca="false">IF(H575&lt;&gt;"","0x"&amp;I575&amp;H575,"")</f>
        <v/>
      </c>
      <c r="L575" s="1" t="s">
        <v>3005</v>
      </c>
      <c r="M575" s="1" t="str">
        <f aca="false">IF(J575&lt;&gt;"",J575,L575)</f>
        <v>40, 44, GOLDUCK</v>
      </c>
    </row>
    <row r="576" customFormat="false" ht="12.75" hidden="false" customHeight="true" outlineLevel="0" collapsed="false">
      <c r="A576" s="3" t="s">
        <v>2801</v>
      </c>
      <c r="B576" s="3" t="str">
        <f aca="false">IF(ISNUMBER(SEARCH("%", A576)),RIGHT(A576,3),A576)</f>
        <v>0.1</v>
      </c>
      <c r="C576" s="1" t="str">
        <f aca="false" t="array" ref="C576:C576">IF(B575="NEW ROUTE",textsplit(B576,","),"")</f>
        <v/>
      </c>
      <c r="H576" s="1" t="str">
        <f aca="false">IF(C576&lt;&gt;"",DEC2HEX(C576,2),"")</f>
        <v/>
      </c>
      <c r="I576" s="1" t="str">
        <f aca="false">IF(D576&lt;&gt;"",DEC2HEX(D576,2),"")</f>
        <v/>
      </c>
      <c r="J576" s="1" t="str">
        <f aca="false">IF(H576&lt;&gt;"","0x"&amp;I576&amp;H576,"")</f>
        <v/>
      </c>
      <c r="L576" s="1" t="s">
        <v>2801</v>
      </c>
      <c r="M576" s="1" t="str">
        <f aca="false">IF(J576&lt;&gt;"",J576,L576)</f>
        <v>0.1</v>
      </c>
    </row>
    <row r="577" customFormat="false" ht="12.75" hidden="false" customHeight="true" outlineLevel="0" collapsed="false">
      <c r="A577" s="3" t="s">
        <v>3006</v>
      </c>
      <c r="B577" s="3" t="str">
        <f aca="false">IF(ISNUMBER(SEARCH("%", A577)),RIGHT(A577,3),A577)</f>
        <v>40, 44, SLOWBRO</v>
      </c>
      <c r="C577" s="1" t="str">
        <f aca="false" t="array" ref="C577:C577">IF(B576="NEW ROUTE",textsplit(B577,","),"")</f>
        <v/>
      </c>
      <c r="H577" s="1" t="str">
        <f aca="false">IF(C577&lt;&gt;"",DEC2HEX(C577,2),"")</f>
        <v/>
      </c>
      <c r="I577" s="1" t="str">
        <f aca="false">IF(D577&lt;&gt;"",DEC2HEX(D577,2),"")</f>
        <v/>
      </c>
      <c r="J577" s="1" t="str">
        <f aca="false">IF(H577&lt;&gt;"","0x"&amp;I577&amp;H577,"")</f>
        <v/>
      </c>
      <c r="L577" s="1" t="s">
        <v>3006</v>
      </c>
      <c r="M577" s="1" t="str">
        <f aca="false">IF(J577&lt;&gt;"",J577,L577)</f>
        <v>40, 44, SLOWBRO</v>
      </c>
    </row>
    <row r="578" customFormat="false" ht="12.75" hidden="false" customHeight="true" outlineLevel="0" collapsed="false">
      <c r="A578" s="3" t="s">
        <v>3007</v>
      </c>
      <c r="B578" s="3" t="str">
        <f aca="false">IF(ISNUMBER(SEARCH("%", A578)),RIGHT(A578,3),A578)</f>
        <v>40, 44, CROBAT</v>
      </c>
      <c r="C578" s="1" t="str">
        <f aca="false" t="array" ref="C578:C578">IF(B577="NEW ROUTE",textsplit(B578,","),"")</f>
        <v/>
      </c>
      <c r="H578" s="1" t="str">
        <f aca="false">IF(C578&lt;&gt;"",DEC2HEX(C578,2),"")</f>
        <v/>
      </c>
      <c r="I578" s="1" t="str">
        <f aca="false">IF(D578&lt;&gt;"",DEC2HEX(D578,2),"")</f>
        <v/>
      </c>
      <c r="J578" s="1" t="str">
        <f aca="false">IF(H578&lt;&gt;"","0x"&amp;I578&amp;H578,"")</f>
        <v/>
      </c>
      <c r="L578" s="1" t="s">
        <v>3007</v>
      </c>
      <c r="M578" s="1" t="str">
        <f aca="false">IF(J578&lt;&gt;"",J578,L578)</f>
        <v>40, 44, CROBAT</v>
      </c>
    </row>
    <row r="579" customFormat="false" ht="12.75" hidden="false" customHeight="true" outlineLevel="0" collapsed="false">
      <c r="A579" s="3" t="s">
        <v>3008</v>
      </c>
      <c r="B579" s="3" t="str">
        <f aca="false">IF(ISNUMBER(SEARCH("%", A579)),RIGHT(A579,3),A579)</f>
        <v>40, 44, DEWGONG</v>
      </c>
      <c r="C579" s="1" t="str">
        <f aca="false" t="array" ref="C579:C579">IF(B578="NEW ROUTE",textsplit(B579,","),"")</f>
        <v/>
      </c>
      <c r="H579" s="1" t="str">
        <f aca="false">IF(C579&lt;&gt;"",DEC2HEX(C579,2),"")</f>
        <v/>
      </c>
      <c r="I579" s="1" t="str">
        <f aca="false">IF(D579&lt;&gt;"",DEC2HEX(D579,2),"")</f>
        <v/>
      </c>
      <c r="J579" s="1" t="str">
        <f aca="false">IF(H579&lt;&gt;"","0x"&amp;I579&amp;H579,"")</f>
        <v/>
      </c>
      <c r="L579" s="1" t="s">
        <v>3008</v>
      </c>
      <c r="M579" s="1" t="str">
        <f aca="false">IF(J579&lt;&gt;"",J579,L579)</f>
        <v>40, 44, DEWGONG</v>
      </c>
    </row>
    <row r="580" customFormat="false" ht="12.75" hidden="false" customHeight="true" outlineLevel="0" collapsed="false">
      <c r="A580" s="3" t="s">
        <v>3009</v>
      </c>
      <c r="B580" s="3" t="str">
        <f aca="false">IF(ISNUMBER(SEARCH("%", A580)),RIGHT(A580,3),A580)</f>
        <v>40, 44, LICKILICKY</v>
      </c>
      <c r="C580" s="1" t="str">
        <f aca="false" t="array" ref="C580:C580">IF(B579="NEW ROUTE",textsplit(B580,","),"")</f>
        <v/>
      </c>
      <c r="H580" s="1" t="str">
        <f aca="false">IF(C580&lt;&gt;"",DEC2HEX(C580,2),"")</f>
        <v/>
      </c>
      <c r="I580" s="1" t="str">
        <f aca="false">IF(D580&lt;&gt;"",DEC2HEX(D580,2),"")</f>
        <v/>
      </c>
      <c r="J580" s="1" t="str">
        <f aca="false">IF(H580&lt;&gt;"","0x"&amp;I580&amp;H580,"")</f>
        <v/>
      </c>
      <c r="L580" s="1" t="s">
        <v>3009</v>
      </c>
      <c r="M580" s="1" t="str">
        <f aca="false">IF(J580&lt;&gt;"",J580,L580)</f>
        <v>40, 44, LICKILICKY</v>
      </c>
    </row>
    <row r="581" customFormat="false" ht="12.75" hidden="false" customHeight="true" outlineLevel="0" collapsed="false">
      <c r="A581" s="3" t="s">
        <v>2806</v>
      </c>
      <c r="B581" s="3" t="str">
        <f aca="false">IF(ISNUMBER(SEARCH("%", A581)),RIGHT(A581,3),A581)</f>
        <v>0.05</v>
      </c>
      <c r="C581" s="1" t="str">
        <f aca="false" t="array" ref="C581:C581">IF(B580="NEW ROUTE",textsplit(B581,","),"")</f>
        <v/>
      </c>
      <c r="H581" s="1" t="str">
        <f aca="false">IF(C581&lt;&gt;"",DEC2HEX(C581,2),"")</f>
        <v/>
      </c>
      <c r="I581" s="1" t="str">
        <f aca="false">IF(D581&lt;&gt;"",DEC2HEX(D581,2),"")</f>
        <v/>
      </c>
      <c r="J581" s="1" t="str">
        <f aca="false">IF(H581&lt;&gt;"","0x"&amp;I581&amp;H581,"")</f>
        <v/>
      </c>
      <c r="L581" s="1" t="s">
        <v>2806</v>
      </c>
      <c r="M581" s="1" t="str">
        <f aca="false">IF(J581&lt;&gt;"",J581,L581)</f>
        <v>0.05</v>
      </c>
    </row>
    <row r="582" customFormat="false" ht="12.75" hidden="false" customHeight="true" outlineLevel="0" collapsed="false">
      <c r="A582" s="3" t="s">
        <v>3010</v>
      </c>
      <c r="B582" s="3" t="str">
        <f aca="false">IF(ISNUMBER(SEARCH("%", A582)),RIGHT(A582,3),A582)</f>
        <v>42, 46, POLABAT</v>
      </c>
      <c r="C582" s="1" t="str">
        <f aca="false" t="array" ref="C582:C582">IF(B581="NEW ROUTE",textsplit(B582,","),"")</f>
        <v/>
      </c>
      <c r="H582" s="1" t="str">
        <f aca="false">IF(C582&lt;&gt;"",DEC2HEX(C582,2),"")</f>
        <v/>
      </c>
      <c r="I582" s="1" t="str">
        <f aca="false">IF(D582&lt;&gt;"",DEC2HEX(D582,2),"")</f>
        <v/>
      </c>
      <c r="J582" s="1" t="str">
        <f aca="false">IF(H582&lt;&gt;"","0x"&amp;I582&amp;H582,"")</f>
        <v/>
      </c>
      <c r="L582" s="1" t="s">
        <v>3010</v>
      </c>
      <c r="M582" s="1" t="str">
        <f aca="false">IF(J582&lt;&gt;"",J582,L582)</f>
        <v>42, 46, POLABAT</v>
      </c>
    </row>
    <row r="583" customFormat="false" ht="12.75" hidden="false" customHeight="true" outlineLevel="0" collapsed="false">
      <c r="A583" s="3" t="s">
        <v>3011</v>
      </c>
      <c r="B583" s="3" t="str">
        <f aca="false">IF(ISNUMBER(SEARCH("%", A583)),RIGHT(A583,3),A583)</f>
        <v>42, 46, GILDUCK</v>
      </c>
      <c r="C583" s="1" t="str">
        <f aca="false" t="array" ref="C583:C583">IF(B582="NEW ROUTE",textsplit(B583,","),"")</f>
        <v/>
      </c>
      <c r="H583" s="1" t="str">
        <f aca="false">IF(C583&lt;&gt;"",DEC2HEX(C583,2),"")</f>
        <v/>
      </c>
      <c r="I583" s="1" t="str">
        <f aca="false">IF(D583&lt;&gt;"",DEC2HEX(D583,2),"")</f>
        <v/>
      </c>
      <c r="J583" s="1" t="str">
        <f aca="false">IF(H583&lt;&gt;"","0x"&amp;I583&amp;H583,"")</f>
        <v/>
      </c>
      <c r="L583" s="1" t="s">
        <v>3011</v>
      </c>
      <c r="M583" s="1" t="str">
        <f aca="false">IF(J583&lt;&gt;"",J583,L583)</f>
        <v>42, 46, GILDUCK</v>
      </c>
    </row>
    <row r="584" customFormat="false" ht="12.75" hidden="false" customHeight="true" outlineLevel="0" collapsed="false">
      <c r="A584" s="3" t="s">
        <v>2809</v>
      </c>
      <c r="B584" s="3" t="str">
        <f aca="false">IF(ISNUMBER(SEARCH("%", A584)),RIGHT(A584,3),A584)</f>
        <v>0.04</v>
      </c>
      <c r="C584" s="1" t="str">
        <f aca="false" t="array" ref="C584:C584">IF(B583="NEW ROUTE",textsplit(B584,","),"")</f>
        <v/>
      </c>
      <c r="H584" s="1" t="str">
        <f aca="false">IF(C584&lt;&gt;"",DEC2HEX(C584,2),"")</f>
        <v/>
      </c>
      <c r="I584" s="1" t="str">
        <f aca="false">IF(D584&lt;&gt;"",DEC2HEX(D584,2),"")</f>
        <v/>
      </c>
      <c r="J584" s="1" t="str">
        <f aca="false">IF(H584&lt;&gt;"","0x"&amp;I584&amp;H584,"")</f>
        <v/>
      </c>
      <c r="L584" s="1" t="s">
        <v>2809</v>
      </c>
      <c r="M584" s="1" t="str">
        <f aca="false">IF(J584&lt;&gt;"",J584,L584)</f>
        <v>0.04</v>
      </c>
    </row>
    <row r="585" customFormat="false" ht="12.75" hidden="false" customHeight="true" outlineLevel="0" collapsed="false">
      <c r="A585" s="3" t="s">
        <v>3012</v>
      </c>
      <c r="B585" s="3" t="str">
        <f aca="false">IF(ISNUMBER(SEARCH("%", A585)),RIGHT(A585,3),A585)</f>
        <v>44, 47, SLOWMATE</v>
      </c>
      <c r="C585" s="1" t="str">
        <f aca="false" t="array" ref="C585:C585">IF(B584="NEW ROUTE",textsplit(B585,","),"")</f>
        <v/>
      </c>
      <c r="H585" s="1" t="str">
        <f aca="false">IF(C585&lt;&gt;"",DEC2HEX(C585,2),"")</f>
        <v/>
      </c>
      <c r="I585" s="1" t="str">
        <f aca="false">IF(D585&lt;&gt;"",DEC2HEX(D585,2),"")</f>
        <v/>
      </c>
      <c r="J585" s="1" t="str">
        <f aca="false">IF(H585&lt;&gt;"","0x"&amp;I585&amp;H585,"")</f>
        <v/>
      </c>
      <c r="L585" s="1" t="s">
        <v>3012</v>
      </c>
      <c r="M585" s="1" t="str">
        <f aca="false">IF(J585&lt;&gt;"",J585,L585)</f>
        <v>44, 47, SLOWMATE</v>
      </c>
    </row>
    <row r="586" customFormat="false" ht="12.75" hidden="false" customHeight="true" outlineLevel="0" collapsed="false">
      <c r="A586" s="3" t="s">
        <v>3013</v>
      </c>
      <c r="B586" s="3" t="str">
        <f aca="false">IF(ISNUMBER(SEARCH("%", A586)),RIGHT(A586,3),A586)</f>
        <v>44, 47, PRECIPED</v>
      </c>
      <c r="C586" s="1" t="str">
        <f aca="false" t="array" ref="C586:C586">IF(B585="NEW ROUTE",textsplit(B586,","),"")</f>
        <v/>
      </c>
      <c r="H586" s="1" t="str">
        <f aca="false">IF(C586&lt;&gt;"",DEC2HEX(C586,2),"")</f>
        <v/>
      </c>
      <c r="I586" s="1" t="str">
        <f aca="false">IF(D586&lt;&gt;"",DEC2HEX(D586,2),"")</f>
        <v/>
      </c>
      <c r="J586" s="1" t="str">
        <f aca="false">IF(H586&lt;&gt;"","0x"&amp;I586&amp;H586,"")</f>
        <v/>
      </c>
      <c r="L586" s="1" t="s">
        <v>3013</v>
      </c>
      <c r="M586" s="1" t="str">
        <f aca="false">IF(J586&lt;&gt;"",J586,L586)</f>
        <v>44, 47, PRECIPED</v>
      </c>
    </row>
    <row r="587" customFormat="false" ht="12.75" hidden="false" customHeight="true" outlineLevel="0" collapsed="false">
      <c r="A587" s="3" t="s">
        <v>2812</v>
      </c>
      <c r="B587" s="3" t="str">
        <f aca="false">IF(ISNUMBER(SEARCH("%", A587)),RIGHT(A587,3),A587)</f>
        <v>0.01</v>
      </c>
      <c r="C587" s="1" t="str">
        <f aca="false" t="array" ref="C587:C587">IF(B586="NEW ROUTE",textsplit(B587,","),"")</f>
        <v/>
      </c>
      <c r="H587" s="1" t="str">
        <f aca="false">IF(C587&lt;&gt;"",DEC2HEX(C587,2),"")</f>
        <v/>
      </c>
      <c r="I587" s="1" t="str">
        <f aca="false">IF(D587&lt;&gt;"",DEC2HEX(D587,2),"")</f>
        <v/>
      </c>
      <c r="J587" s="1" t="str">
        <f aca="false">IF(H587&lt;&gt;"","0x"&amp;I587&amp;H587,"")</f>
        <v/>
      </c>
      <c r="L587" s="1" t="s">
        <v>2812</v>
      </c>
      <c r="M587" s="1" t="str">
        <f aca="false">IF(J587&lt;&gt;"",J587,L587)</f>
        <v>0.01</v>
      </c>
    </row>
    <row r="588" customFormat="false" ht="12.75" hidden="false" customHeight="true" outlineLevel="0" collapsed="false">
      <c r="A588" s="3" t="s">
        <v>3014</v>
      </c>
      <c r="B588" s="3" t="str">
        <f aca="false">IF(ISNUMBER(SEARCH("%", A588)),RIGHT(A588,3),A588)</f>
        <v>45, 50, DRAGONITE</v>
      </c>
      <c r="C588" s="1" t="str">
        <f aca="false" t="array" ref="C588:C588">IF(B587="NEW ROUTE",textsplit(B588,","),"")</f>
        <v/>
      </c>
      <c r="H588" s="1" t="str">
        <f aca="false">IF(C588&lt;&gt;"",DEC2HEX(C588,2),"")</f>
        <v/>
      </c>
      <c r="I588" s="1" t="str">
        <f aca="false">IF(D588&lt;&gt;"",DEC2HEX(D588,2),"")</f>
        <v/>
      </c>
      <c r="J588" s="1" t="str">
        <f aca="false">IF(H588&lt;&gt;"","0x"&amp;I588&amp;H588,"")</f>
        <v/>
      </c>
      <c r="L588" s="1" t="s">
        <v>3014</v>
      </c>
      <c r="M588" s="1" t="str">
        <f aca="false">IF(J588&lt;&gt;"",J588,L588)</f>
        <v>45, 50, DRAGONITE</v>
      </c>
    </row>
    <row r="589" customFormat="false" ht="12.75" hidden="false" customHeight="true" outlineLevel="0" collapsed="false">
      <c r="A589" s="3" t="s">
        <v>3017</v>
      </c>
      <c r="B589" s="3" t="str">
        <f aca="false">IF(ISNUMBER(SEARCH("%", A589)),RIGHT(A589,3),A589)</f>
        <v>45, 50, LICKILOLLY , &lt;null&gt;, &lt;null&gt;, &lt;null&gt;</v>
      </c>
      <c r="C589" s="1" t="str">
        <f aca="false" t="array" ref="C589:C589">IF(B588="NEW ROUTE",textsplit(B589,","),"")</f>
        <v/>
      </c>
      <c r="H589" s="1" t="str">
        <f aca="false">IF(C589&lt;&gt;"",DEC2HEX(C589,2),"")</f>
        <v/>
      </c>
      <c r="I589" s="1" t="str">
        <f aca="false">IF(D589&lt;&gt;"",DEC2HEX(D589,2),"")</f>
        <v/>
      </c>
      <c r="J589" s="1" t="str">
        <f aca="false">IF(H589&lt;&gt;"","0x"&amp;I589&amp;H589,"")</f>
        <v/>
      </c>
      <c r="L589" s="1" t="s">
        <v>3017</v>
      </c>
      <c r="M589" s="1" t="str">
        <f aca="false">IF(J589&lt;&gt;"",J589,L589)</f>
        <v>45, 50, LICKILOLLY , &lt;null&gt;, &lt;null&gt;, &lt;null&gt;</v>
      </c>
    </row>
    <row r="590" customFormat="false" ht="12.75" hidden="false" customHeight="true" outlineLevel="0" collapsed="false">
      <c r="A590" s="3" t="s">
        <v>2536</v>
      </c>
      <c r="B590" s="3" t="str">
        <f aca="false">IF(ISNUMBER(SEARCH("%", A590)),RIGHT(A590,3),A590)</f>
        <v>NEW ROUTE</v>
      </c>
      <c r="C590" s="1" t="str">
        <f aca="false" t="array" ref="C590:C590">IF(B589="NEW ROUTE",textsplit(B590,","),"")</f>
        <v/>
      </c>
      <c r="H590" s="1" t="str">
        <f aca="false">IF(C590&lt;&gt;"",DEC2HEX(C590,2),"")</f>
        <v/>
      </c>
      <c r="I590" s="1" t="str">
        <f aca="false">IF(D590&lt;&gt;"",DEC2HEX(D590,2),"")</f>
        <v/>
      </c>
      <c r="J590" s="1" t="str">
        <f aca="false">IF(H590&lt;&gt;"","0x"&amp;I590&amp;H590,"")</f>
        <v/>
      </c>
      <c r="L590" s="1" t="s">
        <v>2536</v>
      </c>
      <c r="M590" s="1" t="str">
        <f aca="false">IF(J590&lt;&gt;"",J590,L590)</f>
        <v>NEW ROUTE</v>
      </c>
    </row>
    <row r="591" customFormat="false" ht="12.75" hidden="false" customHeight="true" outlineLevel="0" collapsed="false">
      <c r="A591" s="3" t="s">
        <v>3019</v>
      </c>
      <c r="B591" s="3" t="str">
        <f aca="false">IF(ISNUMBER(SEARCH("%", A591)),RIGHT(A591,3),A591)</f>
        <v>1, 86, 0,</v>
      </c>
      <c r="C591" s="1" t="e">
        <f aca="false" t="array" ref="C591:C591">IF(B590="NEW ROUTE",textsplit(B591,","),"")</f>
        <v>#NAME?</v>
      </c>
      <c r="H591" s="1" t="e">
        <f aca="false">IF(C591&lt;&gt;"",DEC2HEX(C591,2),"")</f>
        <v>#NAME?</v>
      </c>
      <c r="I591" s="1" t="str">
        <f aca="false">IF(D591&lt;&gt;"",DEC2HEX(D591,2),"")</f>
        <v/>
      </c>
      <c r="J591" s="1" t="e">
        <f aca="false">IF(H591&lt;&gt;"","0x"&amp;I591&amp;H591,"")</f>
        <v>#NAME?</v>
      </c>
      <c r="L591" s="1" t="s">
        <v>3019</v>
      </c>
      <c r="M591" s="1" t="e">
        <f aca="false">IF(J591&lt;&gt;"",J591,L591)</f>
        <v>#NAME?</v>
      </c>
    </row>
    <row r="592" customFormat="false" ht="12.75" hidden="false" customHeight="true" outlineLevel="0" collapsed="false">
      <c r="A592" s="3" t="s">
        <v>2816</v>
      </c>
      <c r="B592" s="3" t="str">
        <f aca="false">IF(ISNUMBER(SEARCH("%", A592)),RIGHT(A592,3),A592)</f>
        <v>20%</v>
      </c>
      <c r="C592" s="1" t="str">
        <f aca="false" t="array" ref="C592:C592">IF(B591="NEW ROUTE",textsplit(B592,","),"")</f>
        <v/>
      </c>
      <c r="H592" s="1" t="str">
        <f aca="false">IF(C592&lt;&gt;"",DEC2HEX(C592,2),"")</f>
        <v/>
      </c>
      <c r="I592" s="1" t="str">
        <f aca="false">IF(D592&lt;&gt;"",DEC2HEX(D592,2),"")</f>
        <v/>
      </c>
      <c r="J592" s="1" t="str">
        <f aca="false">IF(H592&lt;&gt;"","0x"&amp;I592&amp;H592,"")</f>
        <v/>
      </c>
      <c r="L592" s="1" t="s">
        <v>2799</v>
      </c>
      <c r="M592" s="1" t="str">
        <f aca="false">IF(J592&lt;&gt;"",J592,L592)</f>
        <v>20%</v>
      </c>
    </row>
    <row r="593" customFormat="false" ht="12.75" hidden="false" customHeight="true" outlineLevel="0" collapsed="false">
      <c r="A593" s="3" t="s">
        <v>1430</v>
      </c>
      <c r="B593" s="3" t="str">
        <f aca="false">IF(ISNUMBER(SEARCH("%", A593)),RIGHT(A593,3),A593)</f>
        <v>40, 44, GOLBAT</v>
      </c>
      <c r="C593" s="1" t="str">
        <f aca="false" t="array" ref="C593:C593">IF(B592="NEW ROUTE",textsplit(B593,","),"")</f>
        <v/>
      </c>
      <c r="H593" s="1" t="str">
        <f aca="false">IF(C593&lt;&gt;"",DEC2HEX(C593,2),"")</f>
        <v/>
      </c>
      <c r="I593" s="1" t="str">
        <f aca="false">IF(D593&lt;&gt;"",DEC2HEX(D593,2),"")</f>
        <v/>
      </c>
      <c r="J593" s="1" t="str">
        <f aca="false">IF(H593&lt;&gt;"","0x"&amp;I593&amp;H593,"")</f>
        <v/>
      </c>
      <c r="L593" s="1" t="s">
        <v>1430</v>
      </c>
      <c r="M593" s="1" t="str">
        <f aca="false">IF(J593&lt;&gt;"",J593,L593)</f>
        <v>40, 44, GOLBAT</v>
      </c>
    </row>
    <row r="594" customFormat="false" ht="12.75" hidden="false" customHeight="true" outlineLevel="0" collapsed="false">
      <c r="A594" s="3" t="s">
        <v>3005</v>
      </c>
      <c r="B594" s="3" t="str">
        <f aca="false">IF(ISNUMBER(SEARCH("%", A594)),RIGHT(A594,3),A594)</f>
        <v>40, 44, GOLDUCK</v>
      </c>
      <c r="C594" s="1" t="str">
        <f aca="false" t="array" ref="C594:C594">IF(B593="NEW ROUTE",textsplit(B594,","),"")</f>
        <v/>
      </c>
      <c r="H594" s="1" t="str">
        <f aca="false">IF(C594&lt;&gt;"",DEC2HEX(C594,2),"")</f>
        <v/>
      </c>
      <c r="I594" s="1" t="str">
        <f aca="false">IF(D594&lt;&gt;"",DEC2HEX(D594,2),"")</f>
        <v/>
      </c>
      <c r="J594" s="1" t="str">
        <f aca="false">IF(H594&lt;&gt;"","0x"&amp;I594&amp;H594,"")</f>
        <v/>
      </c>
      <c r="L594" s="1" t="s">
        <v>3005</v>
      </c>
      <c r="M594" s="1" t="str">
        <f aca="false">IF(J594&lt;&gt;"",J594,L594)</f>
        <v>40, 44, GOLDUCK</v>
      </c>
    </row>
    <row r="595" customFormat="false" ht="12.75" hidden="false" customHeight="true" outlineLevel="0" collapsed="false">
      <c r="A595" s="3" t="s">
        <v>2801</v>
      </c>
      <c r="B595" s="3" t="str">
        <f aca="false">IF(ISNUMBER(SEARCH("%", A595)),RIGHT(A595,3),A595)</f>
        <v>0.1</v>
      </c>
      <c r="C595" s="1" t="str">
        <f aca="false" t="array" ref="C595:C595">IF(B594="NEW ROUTE",textsplit(B595,","),"")</f>
        <v/>
      </c>
      <c r="H595" s="1" t="str">
        <f aca="false">IF(C595&lt;&gt;"",DEC2HEX(C595,2),"")</f>
        <v/>
      </c>
      <c r="I595" s="1" t="str">
        <f aca="false">IF(D595&lt;&gt;"",DEC2HEX(D595,2),"")</f>
        <v/>
      </c>
      <c r="J595" s="1" t="str">
        <f aca="false">IF(H595&lt;&gt;"","0x"&amp;I595&amp;H595,"")</f>
        <v/>
      </c>
      <c r="L595" s="1" t="s">
        <v>2801</v>
      </c>
      <c r="M595" s="1" t="str">
        <f aca="false">IF(J595&lt;&gt;"",J595,L595)</f>
        <v>0.1</v>
      </c>
    </row>
    <row r="596" customFormat="false" ht="12.75" hidden="false" customHeight="true" outlineLevel="0" collapsed="false">
      <c r="A596" s="3" t="s">
        <v>3006</v>
      </c>
      <c r="B596" s="3" t="str">
        <f aca="false">IF(ISNUMBER(SEARCH("%", A596)),RIGHT(A596,3),A596)</f>
        <v>40, 44, SLOWBRO</v>
      </c>
      <c r="C596" s="1" t="str">
        <f aca="false" t="array" ref="C596:C596">IF(B595="NEW ROUTE",textsplit(B596,","),"")</f>
        <v/>
      </c>
      <c r="H596" s="1" t="str">
        <f aca="false">IF(C596&lt;&gt;"",DEC2HEX(C596,2),"")</f>
        <v/>
      </c>
      <c r="I596" s="1" t="str">
        <f aca="false">IF(D596&lt;&gt;"",DEC2HEX(D596,2),"")</f>
        <v/>
      </c>
      <c r="J596" s="1" t="str">
        <f aca="false">IF(H596&lt;&gt;"","0x"&amp;I596&amp;H596,"")</f>
        <v/>
      </c>
      <c r="L596" s="1" t="s">
        <v>3006</v>
      </c>
      <c r="M596" s="1" t="str">
        <f aca="false">IF(J596&lt;&gt;"",J596,L596)</f>
        <v>40, 44, SLOWBRO</v>
      </c>
    </row>
    <row r="597" customFormat="false" ht="12.75" hidden="false" customHeight="true" outlineLevel="0" collapsed="false">
      <c r="A597" s="3" t="s">
        <v>3007</v>
      </c>
      <c r="B597" s="3" t="str">
        <f aca="false">IF(ISNUMBER(SEARCH("%", A597)),RIGHT(A597,3),A597)</f>
        <v>40, 44, CROBAT</v>
      </c>
      <c r="C597" s="1" t="str">
        <f aca="false" t="array" ref="C597:C597">IF(B596="NEW ROUTE",textsplit(B597,","),"")</f>
        <v/>
      </c>
      <c r="H597" s="1" t="str">
        <f aca="false">IF(C597&lt;&gt;"",DEC2HEX(C597,2),"")</f>
        <v/>
      </c>
      <c r="I597" s="1" t="str">
        <f aca="false">IF(D597&lt;&gt;"",DEC2HEX(D597,2),"")</f>
        <v/>
      </c>
      <c r="J597" s="1" t="str">
        <f aca="false">IF(H597&lt;&gt;"","0x"&amp;I597&amp;H597,"")</f>
        <v/>
      </c>
      <c r="L597" s="1" t="s">
        <v>3007</v>
      </c>
      <c r="M597" s="1" t="str">
        <f aca="false">IF(J597&lt;&gt;"",J597,L597)</f>
        <v>40, 44, CROBAT</v>
      </c>
    </row>
    <row r="598" customFormat="false" ht="12.75" hidden="false" customHeight="true" outlineLevel="0" collapsed="false">
      <c r="A598" s="3" t="s">
        <v>3008</v>
      </c>
      <c r="B598" s="3" t="str">
        <f aca="false">IF(ISNUMBER(SEARCH("%", A598)),RIGHT(A598,3),A598)</f>
        <v>40, 44, DEWGONG</v>
      </c>
      <c r="C598" s="1" t="str">
        <f aca="false" t="array" ref="C598:C598">IF(B597="NEW ROUTE",textsplit(B598,","),"")</f>
        <v/>
      </c>
      <c r="H598" s="1" t="str">
        <f aca="false">IF(C598&lt;&gt;"",DEC2HEX(C598,2),"")</f>
        <v/>
      </c>
      <c r="I598" s="1" t="str">
        <f aca="false">IF(D598&lt;&gt;"",DEC2HEX(D598,2),"")</f>
        <v/>
      </c>
      <c r="J598" s="1" t="str">
        <f aca="false">IF(H598&lt;&gt;"","0x"&amp;I598&amp;H598,"")</f>
        <v/>
      </c>
      <c r="L598" s="1" t="s">
        <v>3008</v>
      </c>
      <c r="M598" s="1" t="str">
        <f aca="false">IF(J598&lt;&gt;"",J598,L598)</f>
        <v>40, 44, DEWGONG</v>
      </c>
    </row>
    <row r="599" customFormat="false" ht="12.75" hidden="false" customHeight="true" outlineLevel="0" collapsed="false">
      <c r="A599" s="3" t="s">
        <v>3009</v>
      </c>
      <c r="B599" s="3" t="str">
        <f aca="false">IF(ISNUMBER(SEARCH("%", A599)),RIGHT(A599,3),A599)</f>
        <v>40, 44, LICKILICKY</v>
      </c>
      <c r="C599" s="1" t="str">
        <f aca="false" t="array" ref="C599:C599">IF(B598="NEW ROUTE",textsplit(B599,","),"")</f>
        <v/>
      </c>
      <c r="H599" s="1" t="str">
        <f aca="false">IF(C599&lt;&gt;"",DEC2HEX(C599,2),"")</f>
        <v/>
      </c>
      <c r="I599" s="1" t="str">
        <f aca="false">IF(D599&lt;&gt;"",DEC2HEX(D599,2),"")</f>
        <v/>
      </c>
      <c r="J599" s="1" t="str">
        <f aca="false">IF(H599&lt;&gt;"","0x"&amp;I599&amp;H599,"")</f>
        <v/>
      </c>
      <c r="L599" s="1" t="s">
        <v>3009</v>
      </c>
      <c r="M599" s="1" t="str">
        <f aca="false">IF(J599&lt;&gt;"",J599,L599)</f>
        <v>40, 44, LICKILICKY</v>
      </c>
    </row>
    <row r="600" customFormat="false" ht="12.75" hidden="false" customHeight="true" outlineLevel="0" collapsed="false">
      <c r="A600" s="3" t="s">
        <v>2806</v>
      </c>
      <c r="B600" s="3" t="str">
        <f aca="false">IF(ISNUMBER(SEARCH("%", A600)),RIGHT(A600,3),A600)</f>
        <v>0.05</v>
      </c>
      <c r="C600" s="1" t="str">
        <f aca="false" t="array" ref="C600:C600">IF(B599="NEW ROUTE",textsplit(B600,","),"")</f>
        <v/>
      </c>
      <c r="H600" s="1" t="str">
        <f aca="false">IF(C600&lt;&gt;"",DEC2HEX(C600,2),"")</f>
        <v/>
      </c>
      <c r="I600" s="1" t="str">
        <f aca="false">IF(D600&lt;&gt;"",DEC2HEX(D600,2),"")</f>
        <v/>
      </c>
      <c r="J600" s="1" t="str">
        <f aca="false">IF(H600&lt;&gt;"","0x"&amp;I600&amp;H600,"")</f>
        <v/>
      </c>
      <c r="L600" s="1" t="s">
        <v>2806</v>
      </c>
      <c r="M600" s="1" t="str">
        <f aca="false">IF(J600&lt;&gt;"",J600,L600)</f>
        <v>0.05</v>
      </c>
    </row>
    <row r="601" customFormat="false" ht="12.75" hidden="false" customHeight="true" outlineLevel="0" collapsed="false">
      <c r="A601" s="3" t="s">
        <v>3010</v>
      </c>
      <c r="B601" s="3" t="str">
        <f aca="false">IF(ISNUMBER(SEARCH("%", A601)),RIGHT(A601,3),A601)</f>
        <v>42, 46, POLABAT</v>
      </c>
      <c r="C601" s="1" t="str">
        <f aca="false" t="array" ref="C601:C601">IF(B600="NEW ROUTE",textsplit(B601,","),"")</f>
        <v/>
      </c>
      <c r="H601" s="1" t="str">
        <f aca="false">IF(C601&lt;&gt;"",DEC2HEX(C601,2),"")</f>
        <v/>
      </c>
      <c r="I601" s="1" t="str">
        <f aca="false">IF(D601&lt;&gt;"",DEC2HEX(D601,2),"")</f>
        <v/>
      </c>
      <c r="J601" s="1" t="str">
        <f aca="false">IF(H601&lt;&gt;"","0x"&amp;I601&amp;H601,"")</f>
        <v/>
      </c>
      <c r="L601" s="1" t="s">
        <v>3010</v>
      </c>
      <c r="M601" s="1" t="str">
        <f aca="false">IF(J601&lt;&gt;"",J601,L601)</f>
        <v>42, 46, POLABAT</v>
      </c>
    </row>
    <row r="602" customFormat="false" ht="12.75" hidden="false" customHeight="true" outlineLevel="0" collapsed="false">
      <c r="A602" s="3" t="s">
        <v>3011</v>
      </c>
      <c r="B602" s="3" t="str">
        <f aca="false">IF(ISNUMBER(SEARCH("%", A602)),RIGHT(A602,3),A602)</f>
        <v>42, 46, GILDUCK</v>
      </c>
      <c r="C602" s="1" t="str">
        <f aca="false" t="array" ref="C602:C602">IF(B601="NEW ROUTE",textsplit(B602,","),"")</f>
        <v/>
      </c>
      <c r="H602" s="1" t="str">
        <f aca="false">IF(C602&lt;&gt;"",DEC2HEX(C602,2),"")</f>
        <v/>
      </c>
      <c r="I602" s="1" t="str">
        <f aca="false">IF(D602&lt;&gt;"",DEC2HEX(D602,2),"")</f>
        <v/>
      </c>
      <c r="J602" s="1" t="str">
        <f aca="false">IF(H602&lt;&gt;"","0x"&amp;I602&amp;H602,"")</f>
        <v/>
      </c>
      <c r="L602" s="1" t="s">
        <v>3011</v>
      </c>
      <c r="M602" s="1" t="str">
        <f aca="false">IF(J602&lt;&gt;"",J602,L602)</f>
        <v>42, 46, GILDUCK</v>
      </c>
    </row>
    <row r="603" customFormat="false" ht="12.75" hidden="false" customHeight="true" outlineLevel="0" collapsed="false">
      <c r="A603" s="3" t="s">
        <v>2809</v>
      </c>
      <c r="B603" s="3" t="str">
        <f aca="false">IF(ISNUMBER(SEARCH("%", A603)),RIGHT(A603,3),A603)</f>
        <v>0.04</v>
      </c>
      <c r="C603" s="1" t="str">
        <f aca="false" t="array" ref="C603:C603">IF(B602="NEW ROUTE",textsplit(B603,","),"")</f>
        <v/>
      </c>
      <c r="H603" s="1" t="str">
        <f aca="false">IF(C603&lt;&gt;"",DEC2HEX(C603,2),"")</f>
        <v/>
      </c>
      <c r="I603" s="1" t="str">
        <f aca="false">IF(D603&lt;&gt;"",DEC2HEX(D603,2),"")</f>
        <v/>
      </c>
      <c r="J603" s="1" t="str">
        <f aca="false">IF(H603&lt;&gt;"","0x"&amp;I603&amp;H603,"")</f>
        <v/>
      </c>
      <c r="L603" s="1" t="s">
        <v>2809</v>
      </c>
      <c r="M603" s="1" t="str">
        <f aca="false">IF(J603&lt;&gt;"",J603,L603)</f>
        <v>0.04</v>
      </c>
    </row>
    <row r="604" customFormat="false" ht="12.75" hidden="false" customHeight="true" outlineLevel="0" collapsed="false">
      <c r="A604" s="3" t="s">
        <v>3012</v>
      </c>
      <c r="B604" s="3" t="str">
        <f aca="false">IF(ISNUMBER(SEARCH("%", A604)),RIGHT(A604,3),A604)</f>
        <v>44, 47, SLOWMATE</v>
      </c>
      <c r="C604" s="1" t="str">
        <f aca="false" t="array" ref="C604:C604">IF(B603="NEW ROUTE",textsplit(B604,","),"")</f>
        <v/>
      </c>
      <c r="H604" s="1" t="str">
        <f aca="false">IF(C604&lt;&gt;"",DEC2HEX(C604,2),"")</f>
        <v/>
      </c>
      <c r="I604" s="1" t="str">
        <f aca="false">IF(D604&lt;&gt;"",DEC2HEX(D604,2),"")</f>
        <v/>
      </c>
      <c r="J604" s="1" t="str">
        <f aca="false">IF(H604&lt;&gt;"","0x"&amp;I604&amp;H604,"")</f>
        <v/>
      </c>
      <c r="L604" s="1" t="s">
        <v>3012</v>
      </c>
      <c r="M604" s="1" t="str">
        <f aca="false">IF(J604&lt;&gt;"",J604,L604)</f>
        <v>44, 47, SLOWMATE</v>
      </c>
    </row>
    <row r="605" customFormat="false" ht="12.75" hidden="false" customHeight="true" outlineLevel="0" collapsed="false">
      <c r="A605" s="3" t="s">
        <v>3013</v>
      </c>
      <c r="B605" s="3" t="str">
        <f aca="false">IF(ISNUMBER(SEARCH("%", A605)),RIGHT(A605,3),A605)</f>
        <v>44, 47, PRECIPED</v>
      </c>
      <c r="C605" s="1" t="str">
        <f aca="false" t="array" ref="C605:C605">IF(B604="NEW ROUTE",textsplit(B605,","),"")</f>
        <v/>
      </c>
      <c r="H605" s="1" t="str">
        <f aca="false">IF(C605&lt;&gt;"",DEC2HEX(C605,2),"")</f>
        <v/>
      </c>
      <c r="I605" s="1" t="str">
        <f aca="false">IF(D605&lt;&gt;"",DEC2HEX(D605,2),"")</f>
        <v/>
      </c>
      <c r="J605" s="1" t="str">
        <f aca="false">IF(H605&lt;&gt;"","0x"&amp;I605&amp;H605,"")</f>
        <v/>
      </c>
      <c r="L605" s="1" t="s">
        <v>3013</v>
      </c>
      <c r="M605" s="1" t="str">
        <f aca="false">IF(J605&lt;&gt;"",J605,L605)</f>
        <v>44, 47, PRECIPED</v>
      </c>
    </row>
    <row r="606" customFormat="false" ht="12.75" hidden="false" customHeight="true" outlineLevel="0" collapsed="false">
      <c r="A606" s="3" t="s">
        <v>2812</v>
      </c>
      <c r="B606" s="3" t="str">
        <f aca="false">IF(ISNUMBER(SEARCH("%", A606)),RIGHT(A606,3),A606)</f>
        <v>0.01</v>
      </c>
      <c r="C606" s="1" t="str">
        <f aca="false" t="array" ref="C606:C606">IF(B605="NEW ROUTE",textsplit(B606,","),"")</f>
        <v/>
      </c>
      <c r="H606" s="1" t="str">
        <f aca="false">IF(C606&lt;&gt;"",DEC2HEX(C606,2),"")</f>
        <v/>
      </c>
      <c r="I606" s="1" t="str">
        <f aca="false">IF(D606&lt;&gt;"",DEC2HEX(D606,2),"")</f>
        <v/>
      </c>
      <c r="J606" s="1" t="str">
        <f aca="false">IF(H606&lt;&gt;"","0x"&amp;I606&amp;H606,"")</f>
        <v/>
      </c>
      <c r="L606" s="1" t="s">
        <v>2812</v>
      </c>
      <c r="M606" s="1" t="str">
        <f aca="false">IF(J606&lt;&gt;"",J606,L606)</f>
        <v>0.01</v>
      </c>
    </row>
    <row r="607" customFormat="false" ht="12.75" hidden="false" customHeight="true" outlineLevel="0" collapsed="false">
      <c r="A607" s="3" t="s">
        <v>3014</v>
      </c>
      <c r="B607" s="3" t="str">
        <f aca="false">IF(ISNUMBER(SEARCH("%", A607)),RIGHT(A607,3),A607)</f>
        <v>45, 50, DRAGONITE</v>
      </c>
      <c r="C607" s="1" t="str">
        <f aca="false" t="array" ref="C607:C607">IF(B606="NEW ROUTE",textsplit(B607,","),"")</f>
        <v/>
      </c>
      <c r="H607" s="1" t="str">
        <f aca="false">IF(C607&lt;&gt;"",DEC2HEX(C607,2),"")</f>
        <v/>
      </c>
      <c r="I607" s="1" t="str">
        <f aca="false">IF(D607&lt;&gt;"",DEC2HEX(D607,2),"")</f>
        <v/>
      </c>
      <c r="J607" s="1" t="str">
        <f aca="false">IF(H607&lt;&gt;"","0x"&amp;I607&amp;H607,"")</f>
        <v/>
      </c>
      <c r="L607" s="1" t="s">
        <v>3014</v>
      </c>
      <c r="M607" s="1" t="str">
        <f aca="false">IF(J607&lt;&gt;"",J607,L607)</f>
        <v>45, 50, DRAGONITE</v>
      </c>
    </row>
    <row r="608" customFormat="false" ht="12.75" hidden="false" customHeight="true" outlineLevel="0" collapsed="false">
      <c r="A608" s="3" t="s">
        <v>3020</v>
      </c>
      <c r="B608" s="3" t="str">
        <f aca="false">IF(ISNUMBER(SEARCH("%", A608)),RIGHT(A608,3),A608)</f>
        <v>45, 50, LICKILOLLY</v>
      </c>
      <c r="C608" s="1" t="str">
        <f aca="false" t="array" ref="C608:C608">IF(B607="NEW ROUTE",textsplit(B608,","),"")</f>
        <v/>
      </c>
      <c r="H608" s="1" t="str">
        <f aca="false">IF(C608&lt;&gt;"",DEC2HEX(C608,2),"")</f>
        <v/>
      </c>
      <c r="I608" s="1" t="str">
        <f aca="false">IF(D608&lt;&gt;"",DEC2HEX(D608,2),"")</f>
        <v/>
      </c>
      <c r="J608" s="1" t="str">
        <f aca="false">IF(H608&lt;&gt;"","0x"&amp;I608&amp;H608,"")</f>
        <v/>
      </c>
      <c r="L608" s="1" t="s">
        <v>3020</v>
      </c>
      <c r="M608" s="1" t="str">
        <f aca="false">IF(J608&lt;&gt;"",J608,L608)</f>
        <v>45, 50, LICKILOLLY</v>
      </c>
    </row>
    <row r="609" customFormat="false" ht="12.75" hidden="false" customHeight="true" outlineLevel="0" collapsed="false">
      <c r="A609" s="3" t="s">
        <v>3021</v>
      </c>
      <c r="B609" s="3" t="str">
        <f aca="false">IF(ISNUMBER(SEARCH("%", A609)),RIGHT(A609,3),A609)</f>
        <v>2, 38, 44, DEWGONG</v>
      </c>
      <c r="C609" s="1" t="str">
        <f aca="false" t="array" ref="C609:C609">IF(B608="NEW ROUTE",textsplit(B609,","),"")</f>
        <v/>
      </c>
      <c r="H609" s="1" t="str">
        <f aca="false">IF(C609&lt;&gt;"",DEC2HEX(C609,2),"")</f>
        <v/>
      </c>
      <c r="I609" s="1" t="str">
        <f aca="false">IF(D609&lt;&gt;"",DEC2HEX(D609,2),"")</f>
        <v/>
      </c>
      <c r="J609" s="1" t="str">
        <f aca="false">IF(H609&lt;&gt;"","0x"&amp;I609&amp;H609,"")</f>
        <v/>
      </c>
      <c r="L609" s="1" t="s">
        <v>3021</v>
      </c>
      <c r="M609" s="1" t="str">
        <f aca="false">IF(J609&lt;&gt;"",J609,L609)</f>
        <v>2, 38, 44, DEWGONG</v>
      </c>
    </row>
    <row r="610" customFormat="false" ht="12.75" hidden="false" customHeight="true" outlineLevel="0" collapsed="false">
      <c r="A610" s="3" t="s">
        <v>3022</v>
      </c>
      <c r="B610" s="3" t="str">
        <f aca="false">IF(ISNUMBER(SEARCH("%", A610)),RIGHT(A610,3),A610)</f>
        <v>40, 44, SEADRA</v>
      </c>
      <c r="C610" s="1" t="str">
        <f aca="false" t="array" ref="C610:C610">IF(B609="NEW ROUTE",textsplit(B610,","),"")</f>
        <v/>
      </c>
      <c r="H610" s="1" t="str">
        <f aca="false">IF(C610&lt;&gt;"",DEC2HEX(C610,2),"")</f>
        <v/>
      </c>
      <c r="I610" s="1" t="str">
        <f aca="false">IF(D610&lt;&gt;"",DEC2HEX(D610,2),"")</f>
        <v/>
      </c>
      <c r="J610" s="1" t="str">
        <f aca="false">IF(H610&lt;&gt;"","0x"&amp;I610&amp;H610,"")</f>
        <v/>
      </c>
      <c r="L610" s="1" t="s">
        <v>3022</v>
      </c>
      <c r="M610" s="1" t="str">
        <f aca="false">IF(J610&lt;&gt;"",J610,L610)</f>
        <v>40, 44, SEADRA</v>
      </c>
    </row>
    <row r="611" customFormat="false" ht="12.75" hidden="false" customHeight="true" outlineLevel="0" collapsed="false">
      <c r="A611" s="3" t="s">
        <v>3023</v>
      </c>
      <c r="B611" s="3" t="str">
        <f aca="false">IF(ISNUMBER(SEARCH("%", A611)),RIGHT(A611,3),A611)</f>
        <v>42, 46, KINGLER</v>
      </c>
      <c r="C611" s="1" t="str">
        <f aca="false" t="array" ref="C611:C611">IF(B610="NEW ROUTE",textsplit(B611,","),"")</f>
        <v/>
      </c>
      <c r="H611" s="1" t="str">
        <f aca="false">IF(C611&lt;&gt;"",DEC2HEX(C611,2),"")</f>
        <v/>
      </c>
      <c r="I611" s="1" t="str">
        <f aca="false">IF(D611&lt;&gt;"",DEC2HEX(D611,2),"")</f>
        <v/>
      </c>
      <c r="J611" s="1" t="str">
        <f aca="false">IF(H611&lt;&gt;"","0x"&amp;I611&amp;H611,"")</f>
        <v/>
      </c>
      <c r="L611" s="1" t="s">
        <v>3023</v>
      </c>
      <c r="M611" s="1" t="str">
        <f aca="false">IF(J611&lt;&gt;"",J611,L611)</f>
        <v>42, 46, KINGLER</v>
      </c>
    </row>
    <row r="612" customFormat="false" ht="12.75" hidden="false" customHeight="true" outlineLevel="0" collapsed="false">
      <c r="A612" s="3" t="s">
        <v>3024</v>
      </c>
      <c r="B612" s="3" t="str">
        <f aca="false">IF(ISNUMBER(SEARCH("%", A612)),RIGHT(A612,3),A612)</f>
        <v>42, 46, LAPRAS</v>
      </c>
      <c r="C612" s="1" t="str">
        <f aca="false" t="array" ref="C612:C612">IF(B611="NEW ROUTE",textsplit(B612,","),"")</f>
        <v/>
      </c>
      <c r="H612" s="1" t="str">
        <f aca="false">IF(C612&lt;&gt;"",DEC2HEX(C612,2),"")</f>
        <v/>
      </c>
      <c r="I612" s="1" t="str">
        <f aca="false">IF(D612&lt;&gt;"",DEC2HEX(D612,2),"")</f>
        <v/>
      </c>
      <c r="J612" s="1" t="str">
        <f aca="false">IF(H612&lt;&gt;"","0x"&amp;I612&amp;H612,"")</f>
        <v/>
      </c>
      <c r="L612" s="1" t="s">
        <v>3024</v>
      </c>
      <c r="M612" s="1" t="str">
        <f aca="false">IF(J612&lt;&gt;"",J612,L612)</f>
        <v>42, 46, LAPRAS</v>
      </c>
    </row>
    <row r="613" customFormat="false" ht="12.75" hidden="false" customHeight="true" outlineLevel="0" collapsed="false">
      <c r="A613" s="3" t="s">
        <v>2922</v>
      </c>
      <c r="B613" s="3" t="str">
        <f aca="false">IF(ISNUMBER(SEARCH("%", A613)),RIGHT(A613,3),A613)</f>
        <v>42, 46, SLOWBRO</v>
      </c>
      <c r="C613" s="1" t="str">
        <f aca="false" t="array" ref="C613:C613">IF(B612="NEW ROUTE",textsplit(B613,","),"")</f>
        <v/>
      </c>
      <c r="H613" s="1" t="str">
        <f aca="false">IF(C613&lt;&gt;"",DEC2HEX(C613,2),"")</f>
        <v/>
      </c>
      <c r="I613" s="1" t="str">
        <f aca="false">IF(D613&lt;&gt;"",DEC2HEX(D613,2),"")</f>
        <v/>
      </c>
      <c r="J613" s="1" t="str">
        <f aca="false">IF(H613&lt;&gt;"","0x"&amp;I613&amp;H613,"")</f>
        <v/>
      </c>
      <c r="L613" s="1" t="s">
        <v>2922</v>
      </c>
      <c r="M613" s="1" t="str">
        <f aca="false">IF(J613&lt;&gt;"",J613,L613)</f>
        <v>42, 46, SLOWBRO</v>
      </c>
    </row>
    <row r="614" customFormat="false" ht="12.75" hidden="false" customHeight="true" outlineLevel="0" collapsed="false">
      <c r="A614" s="3" t="s">
        <v>2925</v>
      </c>
      <c r="B614" s="3" t="str">
        <f aca="false">IF(ISNUMBER(SEARCH("%", A614)),RIGHT(A614,3),A614)</f>
        <v>20, old rod:</v>
      </c>
      <c r="C614" s="1" t="str">
        <f aca="false" t="array" ref="C614:C614">IF(B613="NEW ROUTE",textsplit(B614,","),"")</f>
        <v/>
      </c>
      <c r="H614" s="1" t="str">
        <f aca="false">IF(C614&lt;&gt;"",DEC2HEX(C614,2),"")</f>
        <v/>
      </c>
      <c r="I614" s="1" t="str">
        <f aca="false">IF(D614&lt;&gt;"",DEC2HEX(D614,2),"")</f>
        <v/>
      </c>
      <c r="J614" s="1" t="str">
        <f aca="false">IF(H614&lt;&gt;"","0x"&amp;I614&amp;H614,"")</f>
        <v/>
      </c>
      <c r="L614" s="1" t="s">
        <v>2925</v>
      </c>
      <c r="M614" s="1" t="str">
        <f aca="false">IF(J614&lt;&gt;"",J614,L614)</f>
        <v>20, old rod:</v>
      </c>
    </row>
    <row r="615" customFormat="false" ht="12.75" hidden="false" customHeight="true" outlineLevel="0" collapsed="false">
      <c r="A615" s="3" t="s">
        <v>1451</v>
      </c>
      <c r="B615" s="3" t="str">
        <f aca="false">IF(ISNUMBER(SEARCH("%", A615)),RIGHT(A615,3),A615)</f>
        <v>19, 26, HORSEA</v>
      </c>
      <c r="C615" s="1" t="str">
        <f aca="false" t="array" ref="C615:C615">IF(B614="NEW ROUTE",textsplit(B615,","),"")</f>
        <v/>
      </c>
      <c r="H615" s="1" t="str">
        <f aca="false">IF(C615&lt;&gt;"",DEC2HEX(C615,2),"")</f>
        <v/>
      </c>
      <c r="I615" s="1" t="str">
        <f aca="false">IF(D615&lt;&gt;"",DEC2HEX(D615,2),"")</f>
        <v/>
      </c>
      <c r="J615" s="1" t="str">
        <f aca="false">IF(H615&lt;&gt;"","0x"&amp;I615&amp;H615,"")</f>
        <v/>
      </c>
      <c r="L615" s="1" t="s">
        <v>1451</v>
      </c>
      <c r="M615" s="1" t="str">
        <f aca="false">IF(J615&lt;&gt;"",J615,L615)</f>
        <v>19, 26, HORSEA</v>
      </c>
    </row>
    <row r="616" customFormat="false" ht="12.75" hidden="false" customHeight="true" outlineLevel="0" collapsed="false">
      <c r="A616" s="3" t="s">
        <v>3025</v>
      </c>
      <c r="B616" s="3" t="str">
        <f aca="false">IF(ISNUMBER(SEARCH("%", A616)),RIGHT(A616,3),A616)</f>
        <v>19, 26, SHELLDER</v>
      </c>
      <c r="C616" s="1" t="str">
        <f aca="false" t="array" ref="C616:C616">IF(B615="NEW ROUTE",textsplit(B616,","),"")</f>
        <v/>
      </c>
      <c r="H616" s="1" t="str">
        <f aca="false">IF(C616&lt;&gt;"",DEC2HEX(C616,2),"")</f>
        <v/>
      </c>
      <c r="I616" s="1" t="str">
        <f aca="false">IF(D616&lt;&gt;"",DEC2HEX(D616,2),"")</f>
        <v/>
      </c>
      <c r="J616" s="1" t="str">
        <f aca="false">IF(H616&lt;&gt;"","0x"&amp;I616&amp;H616,"")</f>
        <v/>
      </c>
      <c r="L616" s="1" t="s">
        <v>3025</v>
      </c>
      <c r="M616" s="1" t="str">
        <f aca="false">IF(J616&lt;&gt;"",J616,L616)</f>
        <v>19, 26, SHELLDER</v>
      </c>
    </row>
    <row r="617" customFormat="false" ht="12.75" hidden="false" customHeight="true" outlineLevel="0" collapsed="false">
      <c r="A617" s="3" t="s">
        <v>2846</v>
      </c>
      <c r="B617" s="3" t="str">
        <f aca="false">IF(ISNUMBER(SEARCH("%", A617)),RIGHT(A617,3),A617)</f>
        <v>good rod:</v>
      </c>
      <c r="C617" s="1" t="str">
        <f aca="false" t="array" ref="C617:C617">IF(B616="NEW ROUTE",textsplit(B617,","),"")</f>
        <v/>
      </c>
      <c r="H617" s="1" t="str">
        <f aca="false">IF(C617&lt;&gt;"",DEC2HEX(C617,2),"")</f>
        <v/>
      </c>
      <c r="I617" s="1" t="str">
        <f aca="false">IF(D617&lt;&gt;"",DEC2HEX(D617,2),"")</f>
        <v/>
      </c>
      <c r="J617" s="1" t="str">
        <f aca="false">IF(H617&lt;&gt;"","0x"&amp;I617&amp;H617,"")</f>
        <v/>
      </c>
      <c r="L617" s="1" t="s">
        <v>2846</v>
      </c>
      <c r="M617" s="1" t="str">
        <f aca="false">IF(J617&lt;&gt;"",J617,L617)</f>
        <v>good rod:</v>
      </c>
    </row>
    <row r="618" customFormat="false" ht="12.75" hidden="false" customHeight="true" outlineLevel="0" collapsed="false">
      <c r="A618" s="3" t="s">
        <v>3026</v>
      </c>
      <c r="B618" s="3" t="str">
        <f aca="false">IF(ISNUMBER(SEARCH("%", A618)),RIGHT(A618,3),A618)</f>
        <v>29, 33, SEADRA</v>
      </c>
      <c r="C618" s="1" t="str">
        <f aca="false" t="array" ref="C618:C618">IF(B617="NEW ROUTE",textsplit(B618,","),"")</f>
        <v/>
      </c>
      <c r="H618" s="1" t="str">
        <f aca="false">IF(C618&lt;&gt;"",DEC2HEX(C618,2),"")</f>
        <v/>
      </c>
      <c r="I618" s="1" t="str">
        <f aca="false">IF(D618&lt;&gt;"",DEC2HEX(D618,2),"")</f>
        <v/>
      </c>
      <c r="J618" s="1" t="str">
        <f aca="false">IF(H618&lt;&gt;"","0x"&amp;I618&amp;H618,"")</f>
        <v/>
      </c>
      <c r="L618" s="1" t="s">
        <v>3026</v>
      </c>
      <c r="M618" s="1" t="str">
        <f aca="false">IF(J618&lt;&gt;"",J618,L618)</f>
        <v>29, 33, SEADRA</v>
      </c>
    </row>
    <row r="619" customFormat="false" ht="12.75" hidden="false" customHeight="true" outlineLevel="0" collapsed="false">
      <c r="A619" s="3" t="s">
        <v>3027</v>
      </c>
      <c r="B619" s="3" t="str">
        <f aca="false">IF(ISNUMBER(SEARCH("%", A619)),RIGHT(A619,3),A619)</f>
        <v>30, 35, KRABBY</v>
      </c>
      <c r="C619" s="1" t="str">
        <f aca="false" t="array" ref="C619:C619">IF(B618="NEW ROUTE",textsplit(B619,","),"")</f>
        <v/>
      </c>
      <c r="H619" s="1" t="str">
        <f aca="false">IF(C619&lt;&gt;"",DEC2HEX(C619,2),"")</f>
        <v/>
      </c>
      <c r="I619" s="1" t="str">
        <f aca="false">IF(D619&lt;&gt;"",DEC2HEX(D619,2),"")</f>
        <v/>
      </c>
      <c r="J619" s="1" t="str">
        <f aca="false">IF(H619&lt;&gt;"","0x"&amp;I619&amp;H619,"")</f>
        <v/>
      </c>
      <c r="L619" s="1" t="s">
        <v>3027</v>
      </c>
      <c r="M619" s="1" t="str">
        <f aca="false">IF(J619&lt;&gt;"",J619,L619)</f>
        <v>30, 35, KRABBY</v>
      </c>
    </row>
    <row r="620" customFormat="false" ht="12.75" hidden="false" customHeight="true" outlineLevel="0" collapsed="false">
      <c r="A620" s="3" t="s">
        <v>3028</v>
      </c>
      <c r="B620" s="3" t="str">
        <f aca="false">IF(ISNUMBER(SEARCH("%", A620)),RIGHT(A620,3),A620)</f>
        <v>30, 35, GOLDUCK</v>
      </c>
      <c r="C620" s="1" t="str">
        <f aca="false" t="array" ref="C620:C620">IF(B619="NEW ROUTE",textsplit(B620,","),"")</f>
        <v/>
      </c>
      <c r="H620" s="1" t="str">
        <f aca="false">IF(C620&lt;&gt;"",DEC2HEX(C620,2),"")</f>
        <v/>
      </c>
      <c r="I620" s="1" t="str">
        <f aca="false">IF(D620&lt;&gt;"",DEC2HEX(D620,2),"")</f>
        <v/>
      </c>
      <c r="J620" s="1" t="str">
        <f aca="false">IF(H620&lt;&gt;"","0x"&amp;I620&amp;H620,"")</f>
        <v/>
      </c>
      <c r="L620" s="1" t="s">
        <v>3028</v>
      </c>
      <c r="M620" s="1" t="str">
        <f aca="false">IF(J620&lt;&gt;"",J620,L620)</f>
        <v>30, 35, GOLDUCK</v>
      </c>
    </row>
    <row r="621" customFormat="false" ht="12.75" hidden="false" customHeight="true" outlineLevel="0" collapsed="false">
      <c r="A621" s="3" t="s">
        <v>2850</v>
      </c>
      <c r="B621" s="3" t="str">
        <f aca="false">IF(ISNUMBER(SEARCH("%", A621)),RIGHT(A621,3),A621)</f>
        <v>super rod:</v>
      </c>
      <c r="C621" s="1" t="str">
        <f aca="false" t="array" ref="C621:C621">IF(B620="NEW ROUTE",textsplit(B621,","),"")</f>
        <v/>
      </c>
      <c r="H621" s="1" t="str">
        <f aca="false">IF(C621&lt;&gt;"",DEC2HEX(C621,2),"")</f>
        <v/>
      </c>
      <c r="I621" s="1" t="str">
        <f aca="false">IF(D621&lt;&gt;"",DEC2HEX(D621,2),"")</f>
        <v/>
      </c>
      <c r="J621" s="1" t="str">
        <f aca="false">IF(H621&lt;&gt;"","0x"&amp;I621&amp;H621,"")</f>
        <v/>
      </c>
      <c r="L621" s="1" t="s">
        <v>2850</v>
      </c>
      <c r="M621" s="1" t="str">
        <f aca="false">IF(J621&lt;&gt;"",J621,L621)</f>
        <v>super rod:</v>
      </c>
    </row>
    <row r="622" customFormat="false" ht="12.75" hidden="false" customHeight="true" outlineLevel="0" collapsed="false">
      <c r="A622" s="3" t="s">
        <v>3029</v>
      </c>
      <c r="B622" s="3" t="str">
        <f aca="false">IF(ISNUMBER(SEARCH("%", A622)),RIGHT(A622,3),A622)</f>
        <v>36, 40, KINGDRA</v>
      </c>
      <c r="C622" s="1" t="str">
        <f aca="false" t="array" ref="C622:C622">IF(B621="NEW ROUTE",textsplit(B622,","),"")</f>
        <v/>
      </c>
      <c r="H622" s="1" t="str">
        <f aca="false">IF(C622&lt;&gt;"",DEC2HEX(C622,2),"")</f>
        <v/>
      </c>
      <c r="I622" s="1" t="str">
        <f aca="false">IF(D622&lt;&gt;"",DEC2HEX(D622,2),"")</f>
        <v/>
      </c>
      <c r="J622" s="1" t="str">
        <f aca="false">IF(H622&lt;&gt;"","0x"&amp;I622&amp;H622,"")</f>
        <v/>
      </c>
      <c r="L622" s="1" t="s">
        <v>3029</v>
      </c>
      <c r="M622" s="1" t="str">
        <f aca="false">IF(J622&lt;&gt;"",J622,L622)</f>
        <v>36, 40, KINGDRA</v>
      </c>
    </row>
    <row r="623" customFormat="false" ht="12.75" hidden="false" customHeight="true" outlineLevel="0" collapsed="false">
      <c r="A623" s="3" t="s">
        <v>3030</v>
      </c>
      <c r="B623" s="3" t="str">
        <f aca="false">IF(ISNUMBER(SEARCH("%", A623)),RIGHT(A623,3),A623)</f>
        <v>36, 40, CLOYSTER</v>
      </c>
      <c r="C623" s="1" t="str">
        <f aca="false" t="array" ref="C623:C623">IF(B622="NEW ROUTE",textsplit(B623,","),"")</f>
        <v/>
      </c>
      <c r="H623" s="1" t="str">
        <f aca="false">IF(C623&lt;&gt;"",DEC2HEX(C623,2),"")</f>
        <v/>
      </c>
      <c r="I623" s="1" t="str">
        <f aca="false">IF(D623&lt;&gt;"",DEC2HEX(D623,2),"")</f>
        <v/>
      </c>
      <c r="J623" s="1" t="str">
        <f aca="false">IF(H623&lt;&gt;"","0x"&amp;I623&amp;H623,"")</f>
        <v/>
      </c>
      <c r="L623" s="1" t="s">
        <v>3030</v>
      </c>
      <c r="M623" s="1" t="str">
        <f aca="false">IF(J623&lt;&gt;"",J623,L623)</f>
        <v>36, 40, CLOYSTER</v>
      </c>
    </row>
    <row r="624" customFormat="false" ht="12.75" hidden="false" customHeight="true" outlineLevel="0" collapsed="false">
      <c r="A624" s="3" t="s">
        <v>3031</v>
      </c>
      <c r="B624" s="3" t="str">
        <f aca="false">IF(ISNUMBER(SEARCH("%", A624)),RIGHT(A624,3),A624)</f>
        <v>38, 42, GILDUCK</v>
      </c>
      <c r="C624" s="1" t="str">
        <f aca="false" t="array" ref="C624:C624">IF(B623="NEW ROUTE",textsplit(B624,","),"")</f>
        <v/>
      </c>
      <c r="H624" s="1" t="str">
        <f aca="false">IF(C624&lt;&gt;"",DEC2HEX(C624,2),"")</f>
        <v/>
      </c>
      <c r="I624" s="1" t="str">
        <f aca="false">IF(D624&lt;&gt;"",DEC2HEX(D624,2),"")</f>
        <v/>
      </c>
      <c r="J624" s="1" t="str">
        <f aca="false">IF(H624&lt;&gt;"","0x"&amp;I624&amp;H624,"")</f>
        <v/>
      </c>
      <c r="L624" s="1" t="s">
        <v>3031</v>
      </c>
      <c r="M624" s="1" t="str">
        <f aca="false">IF(J624&lt;&gt;"",J624,L624)</f>
        <v>38, 42, GILDUCK</v>
      </c>
    </row>
    <row r="625" customFormat="false" ht="12.75" hidden="false" customHeight="true" outlineLevel="0" collapsed="false">
      <c r="A625" s="3" t="s">
        <v>3032</v>
      </c>
      <c r="B625" s="3" t="str">
        <f aca="false">IF(ISNUMBER(SEARCH("%", A625)),RIGHT(A625,3),A625)</f>
        <v>38, 42, KRAKLAW</v>
      </c>
      <c r="C625" s="1" t="str">
        <f aca="false" t="array" ref="C625:C625">IF(B624="NEW ROUTE",textsplit(B625,","),"")</f>
        <v/>
      </c>
      <c r="H625" s="1" t="str">
        <f aca="false">IF(C625&lt;&gt;"",DEC2HEX(C625,2),"")</f>
        <v/>
      </c>
      <c r="I625" s="1" t="str">
        <f aca="false">IF(D625&lt;&gt;"",DEC2HEX(D625,2),"")</f>
        <v/>
      </c>
      <c r="J625" s="1" t="str">
        <f aca="false">IF(H625&lt;&gt;"","0x"&amp;I625&amp;H625,"")</f>
        <v/>
      </c>
      <c r="L625" s="1" t="s">
        <v>3032</v>
      </c>
      <c r="M625" s="1" t="str">
        <f aca="false">IF(J625&lt;&gt;"",J625,L625)</f>
        <v>38, 42, KRAKLAW</v>
      </c>
    </row>
    <row r="626" customFormat="false" ht="12.75" hidden="false" customHeight="true" outlineLevel="0" collapsed="false">
      <c r="A626" s="3" t="s">
        <v>3033</v>
      </c>
      <c r="B626" s="3" t="str">
        <f aca="false">IF(ISNUMBER(SEARCH("%", A626)),RIGHT(A626,3),A626)</f>
        <v>40, 44, LORDRA</v>
      </c>
      <c r="C626" s="1" t="str">
        <f aca="false" t="array" ref="C626:C626">IF(B625="NEW ROUTE",textsplit(B626,","),"")</f>
        <v/>
      </c>
      <c r="H626" s="1" t="str">
        <f aca="false">IF(C626&lt;&gt;"",DEC2HEX(C626,2),"")</f>
        <v/>
      </c>
      <c r="I626" s="1" t="str">
        <f aca="false">IF(D626&lt;&gt;"",DEC2HEX(D626,2),"")</f>
        <v/>
      </c>
      <c r="J626" s="1" t="str">
        <f aca="false">IF(H626&lt;&gt;"","0x"&amp;I626&amp;H626,"")</f>
        <v/>
      </c>
      <c r="L626" s="1" t="s">
        <v>3033</v>
      </c>
      <c r="M626" s="1" t="str">
        <f aca="false">IF(J626&lt;&gt;"",J626,L626)</f>
        <v>40, 44, LORDRA</v>
      </c>
    </row>
    <row r="627" customFormat="false" ht="12.75" hidden="false" customHeight="true" outlineLevel="0" collapsed="false">
      <c r="A627" s="3" t="s">
        <v>2536</v>
      </c>
      <c r="B627" s="3" t="str">
        <f aca="false">IF(ISNUMBER(SEARCH("%", A627)),RIGHT(A627,3),A627)</f>
        <v>NEW ROUTE</v>
      </c>
      <c r="C627" s="1" t="str">
        <f aca="false" t="array" ref="C627:C627">IF(B626="NEW ROUTE",textsplit(B627,","),"")</f>
        <v/>
      </c>
      <c r="H627" s="1" t="str">
        <f aca="false">IF(C627&lt;&gt;"",DEC2HEX(C627,2),"")</f>
        <v/>
      </c>
      <c r="I627" s="1" t="str">
        <f aca="false">IF(D627&lt;&gt;"",DEC2HEX(D627,2),"")</f>
        <v/>
      </c>
      <c r="J627" s="1" t="str">
        <f aca="false">IF(H627&lt;&gt;"","0x"&amp;I627&amp;H627,"")</f>
        <v/>
      </c>
      <c r="L627" s="1" t="s">
        <v>2536</v>
      </c>
      <c r="M627" s="1" t="str">
        <f aca="false">IF(J627&lt;&gt;"",J627,L627)</f>
        <v>NEW ROUTE</v>
      </c>
    </row>
    <row r="628" customFormat="false" ht="12.75" hidden="false" customHeight="true" outlineLevel="0" collapsed="false">
      <c r="A628" s="3" t="s">
        <v>3034</v>
      </c>
      <c r="B628" s="3" t="str">
        <f aca="false">IF(ISNUMBER(SEARCH("%", A628)),RIGHT(A628,3),A628)</f>
        <v>1, 87, 0,</v>
      </c>
      <c r="C628" s="1" t="e">
        <f aca="false" t="array" ref="C628:C628">IF(B627="NEW ROUTE",textsplit(B628,","),"")</f>
        <v>#NAME?</v>
      </c>
      <c r="H628" s="1" t="e">
        <f aca="false">IF(C628&lt;&gt;"",DEC2HEX(C628,2),"")</f>
        <v>#NAME?</v>
      </c>
      <c r="I628" s="1" t="str">
        <f aca="false">IF(D628&lt;&gt;"",DEC2HEX(D628,2),"")</f>
        <v/>
      </c>
      <c r="J628" s="1" t="e">
        <f aca="false">IF(H628&lt;&gt;"","0x"&amp;I628&amp;H628,"")</f>
        <v>#NAME?</v>
      </c>
      <c r="L628" s="1" t="s">
        <v>3034</v>
      </c>
      <c r="M628" s="1" t="e">
        <f aca="false">IF(J628&lt;&gt;"",J628,L628)</f>
        <v>#NAME?</v>
      </c>
    </row>
    <row r="629" customFormat="false" ht="12.75" hidden="false" customHeight="true" outlineLevel="0" collapsed="false">
      <c r="A629" s="3" t="s">
        <v>2816</v>
      </c>
      <c r="B629" s="3" t="str">
        <f aca="false">IF(ISNUMBER(SEARCH("%", A629)),RIGHT(A629,3),A629)</f>
        <v>20%</v>
      </c>
      <c r="C629" s="1" t="str">
        <f aca="false" t="array" ref="C629:C629">IF(B628="NEW ROUTE",textsplit(B629,","),"")</f>
        <v/>
      </c>
      <c r="H629" s="1" t="str">
        <f aca="false">IF(C629&lt;&gt;"",DEC2HEX(C629,2),"")</f>
        <v/>
      </c>
      <c r="I629" s="1" t="str">
        <f aca="false">IF(D629&lt;&gt;"",DEC2HEX(D629,2),"")</f>
        <v/>
      </c>
      <c r="J629" s="1" t="str">
        <f aca="false">IF(H629&lt;&gt;"","0x"&amp;I629&amp;H629,"")</f>
        <v/>
      </c>
      <c r="L629" s="1" t="s">
        <v>2799</v>
      </c>
      <c r="M629" s="1" t="str">
        <f aca="false">IF(J629&lt;&gt;"",J629,L629)</f>
        <v>20%</v>
      </c>
    </row>
    <row r="630" customFormat="false" ht="12.75" hidden="false" customHeight="true" outlineLevel="0" collapsed="false">
      <c r="A630" s="3" t="s">
        <v>1430</v>
      </c>
      <c r="B630" s="3" t="str">
        <f aca="false">IF(ISNUMBER(SEARCH("%", A630)),RIGHT(A630,3),A630)</f>
        <v>40, 44, GOLBAT</v>
      </c>
      <c r="C630" s="1" t="str">
        <f aca="false" t="array" ref="C630:C630">IF(B629="NEW ROUTE",textsplit(B630,","),"")</f>
        <v/>
      </c>
      <c r="H630" s="1" t="str">
        <f aca="false">IF(C630&lt;&gt;"",DEC2HEX(C630,2),"")</f>
        <v/>
      </c>
      <c r="I630" s="1" t="str">
        <f aca="false">IF(D630&lt;&gt;"",DEC2HEX(D630,2),"")</f>
        <v/>
      </c>
      <c r="J630" s="1" t="str">
        <f aca="false">IF(H630&lt;&gt;"","0x"&amp;I630&amp;H630,"")</f>
        <v/>
      </c>
      <c r="L630" s="1" t="s">
        <v>1430</v>
      </c>
      <c r="M630" s="1" t="str">
        <f aca="false">IF(J630&lt;&gt;"",J630,L630)</f>
        <v>40, 44, GOLBAT</v>
      </c>
    </row>
    <row r="631" customFormat="false" ht="12.75" hidden="false" customHeight="true" outlineLevel="0" collapsed="false">
      <c r="A631" s="3" t="s">
        <v>3005</v>
      </c>
      <c r="B631" s="3" t="str">
        <f aca="false">IF(ISNUMBER(SEARCH("%", A631)),RIGHT(A631,3),A631)</f>
        <v>40, 44, GOLDUCK</v>
      </c>
      <c r="C631" s="1" t="str">
        <f aca="false" t="array" ref="C631:C631">IF(B630="NEW ROUTE",textsplit(B631,","),"")</f>
        <v/>
      </c>
      <c r="H631" s="1" t="str">
        <f aca="false">IF(C631&lt;&gt;"",DEC2HEX(C631,2),"")</f>
        <v/>
      </c>
      <c r="I631" s="1" t="str">
        <f aca="false">IF(D631&lt;&gt;"",DEC2HEX(D631,2),"")</f>
        <v/>
      </c>
      <c r="J631" s="1" t="str">
        <f aca="false">IF(H631&lt;&gt;"","0x"&amp;I631&amp;H631,"")</f>
        <v/>
      </c>
      <c r="L631" s="1" t="s">
        <v>3005</v>
      </c>
      <c r="M631" s="1" t="str">
        <f aca="false">IF(J631&lt;&gt;"",J631,L631)</f>
        <v>40, 44, GOLDUCK</v>
      </c>
    </row>
    <row r="632" customFormat="false" ht="12.75" hidden="false" customHeight="true" outlineLevel="0" collapsed="false">
      <c r="A632" s="3" t="s">
        <v>2801</v>
      </c>
      <c r="B632" s="3" t="str">
        <f aca="false">IF(ISNUMBER(SEARCH("%", A632)),RIGHT(A632,3),A632)</f>
        <v>0.1</v>
      </c>
      <c r="C632" s="1" t="str">
        <f aca="false" t="array" ref="C632:C632">IF(B631="NEW ROUTE",textsplit(B632,","),"")</f>
        <v/>
      </c>
      <c r="H632" s="1" t="str">
        <f aca="false">IF(C632&lt;&gt;"",DEC2HEX(C632,2),"")</f>
        <v/>
      </c>
      <c r="I632" s="1" t="str">
        <f aca="false">IF(D632&lt;&gt;"",DEC2HEX(D632,2),"")</f>
        <v/>
      </c>
      <c r="J632" s="1" t="str">
        <f aca="false">IF(H632&lt;&gt;"","0x"&amp;I632&amp;H632,"")</f>
        <v/>
      </c>
      <c r="L632" s="1" t="s">
        <v>2801</v>
      </c>
      <c r="M632" s="1" t="str">
        <f aca="false">IF(J632&lt;&gt;"",J632,L632)</f>
        <v>0.1</v>
      </c>
    </row>
    <row r="633" customFormat="false" ht="12.75" hidden="false" customHeight="true" outlineLevel="0" collapsed="false">
      <c r="A633" s="3" t="s">
        <v>3006</v>
      </c>
      <c r="B633" s="3" t="str">
        <f aca="false">IF(ISNUMBER(SEARCH("%", A633)),RIGHT(A633,3),A633)</f>
        <v>40, 44, SLOWBRO</v>
      </c>
      <c r="C633" s="1" t="str">
        <f aca="false" t="array" ref="C633:C633">IF(B632="NEW ROUTE",textsplit(B633,","),"")</f>
        <v/>
      </c>
      <c r="H633" s="1" t="str">
        <f aca="false">IF(C633&lt;&gt;"",DEC2HEX(C633,2),"")</f>
        <v/>
      </c>
      <c r="I633" s="1" t="str">
        <f aca="false">IF(D633&lt;&gt;"",DEC2HEX(D633,2),"")</f>
        <v/>
      </c>
      <c r="J633" s="1" t="str">
        <f aca="false">IF(H633&lt;&gt;"","0x"&amp;I633&amp;H633,"")</f>
        <v/>
      </c>
      <c r="L633" s="1" t="s">
        <v>3006</v>
      </c>
      <c r="M633" s="1" t="str">
        <f aca="false">IF(J633&lt;&gt;"",J633,L633)</f>
        <v>40, 44, SLOWBRO</v>
      </c>
    </row>
    <row r="634" customFormat="false" ht="12.75" hidden="false" customHeight="true" outlineLevel="0" collapsed="false">
      <c r="A634" s="3" t="s">
        <v>3007</v>
      </c>
      <c r="B634" s="3" t="str">
        <f aca="false">IF(ISNUMBER(SEARCH("%", A634)),RIGHT(A634,3),A634)</f>
        <v>40, 44, CROBAT</v>
      </c>
      <c r="C634" s="1" t="str">
        <f aca="false" t="array" ref="C634:C634">IF(B633="NEW ROUTE",textsplit(B634,","),"")</f>
        <v/>
      </c>
      <c r="H634" s="1" t="str">
        <f aca="false">IF(C634&lt;&gt;"",DEC2HEX(C634,2),"")</f>
        <v/>
      </c>
      <c r="I634" s="1" t="str">
        <f aca="false">IF(D634&lt;&gt;"",DEC2HEX(D634,2),"")</f>
        <v/>
      </c>
      <c r="J634" s="1" t="str">
        <f aca="false">IF(H634&lt;&gt;"","0x"&amp;I634&amp;H634,"")</f>
        <v/>
      </c>
      <c r="L634" s="1" t="s">
        <v>3007</v>
      </c>
      <c r="M634" s="1" t="str">
        <f aca="false">IF(J634&lt;&gt;"",J634,L634)</f>
        <v>40, 44, CROBAT</v>
      </c>
    </row>
    <row r="635" customFormat="false" ht="12.75" hidden="false" customHeight="true" outlineLevel="0" collapsed="false">
      <c r="A635" s="3" t="s">
        <v>3008</v>
      </c>
      <c r="B635" s="3" t="str">
        <f aca="false">IF(ISNUMBER(SEARCH("%", A635)),RIGHT(A635,3),A635)</f>
        <v>40, 44, DEWGONG</v>
      </c>
      <c r="C635" s="1" t="str">
        <f aca="false" t="array" ref="C635:C635">IF(B634="NEW ROUTE",textsplit(B635,","),"")</f>
        <v/>
      </c>
      <c r="H635" s="1" t="str">
        <f aca="false">IF(C635&lt;&gt;"",DEC2HEX(C635,2),"")</f>
        <v/>
      </c>
      <c r="I635" s="1" t="str">
        <f aca="false">IF(D635&lt;&gt;"",DEC2HEX(D635,2),"")</f>
        <v/>
      </c>
      <c r="J635" s="1" t="str">
        <f aca="false">IF(H635&lt;&gt;"","0x"&amp;I635&amp;H635,"")</f>
        <v/>
      </c>
      <c r="L635" s="1" t="s">
        <v>3008</v>
      </c>
      <c r="M635" s="1" t="str">
        <f aca="false">IF(J635&lt;&gt;"",J635,L635)</f>
        <v>40, 44, DEWGONG</v>
      </c>
    </row>
    <row r="636" customFormat="false" ht="12.75" hidden="false" customHeight="true" outlineLevel="0" collapsed="false">
      <c r="A636" s="3" t="s">
        <v>3009</v>
      </c>
      <c r="B636" s="3" t="str">
        <f aca="false">IF(ISNUMBER(SEARCH("%", A636)),RIGHT(A636,3),A636)</f>
        <v>40, 44, LICKILICKY</v>
      </c>
      <c r="C636" s="1" t="str">
        <f aca="false" t="array" ref="C636:C636">IF(B635="NEW ROUTE",textsplit(B636,","),"")</f>
        <v/>
      </c>
      <c r="H636" s="1" t="str">
        <f aca="false">IF(C636&lt;&gt;"",DEC2HEX(C636,2),"")</f>
        <v/>
      </c>
      <c r="I636" s="1" t="str">
        <f aca="false">IF(D636&lt;&gt;"",DEC2HEX(D636,2),"")</f>
        <v/>
      </c>
      <c r="J636" s="1" t="str">
        <f aca="false">IF(H636&lt;&gt;"","0x"&amp;I636&amp;H636,"")</f>
        <v/>
      </c>
      <c r="L636" s="1" t="s">
        <v>3009</v>
      </c>
      <c r="M636" s="1" t="str">
        <f aca="false">IF(J636&lt;&gt;"",J636,L636)</f>
        <v>40, 44, LICKILICKY</v>
      </c>
    </row>
    <row r="637" customFormat="false" ht="12.75" hidden="false" customHeight="true" outlineLevel="0" collapsed="false">
      <c r="A637" s="3" t="s">
        <v>2806</v>
      </c>
      <c r="B637" s="3" t="str">
        <f aca="false">IF(ISNUMBER(SEARCH("%", A637)),RIGHT(A637,3),A637)</f>
        <v>0.05</v>
      </c>
      <c r="C637" s="1" t="str">
        <f aca="false" t="array" ref="C637:C637">IF(B636="NEW ROUTE",textsplit(B637,","),"")</f>
        <v/>
      </c>
      <c r="H637" s="1" t="str">
        <f aca="false">IF(C637&lt;&gt;"",DEC2HEX(C637,2),"")</f>
        <v/>
      </c>
      <c r="I637" s="1" t="str">
        <f aca="false">IF(D637&lt;&gt;"",DEC2HEX(D637,2),"")</f>
        <v/>
      </c>
      <c r="J637" s="1" t="str">
        <f aca="false">IF(H637&lt;&gt;"","0x"&amp;I637&amp;H637,"")</f>
        <v/>
      </c>
      <c r="L637" s="1" t="s">
        <v>2806</v>
      </c>
      <c r="M637" s="1" t="str">
        <f aca="false">IF(J637&lt;&gt;"",J637,L637)</f>
        <v>0.05</v>
      </c>
    </row>
    <row r="638" customFormat="false" ht="12.75" hidden="false" customHeight="true" outlineLevel="0" collapsed="false">
      <c r="A638" s="3" t="s">
        <v>3010</v>
      </c>
      <c r="B638" s="3" t="str">
        <f aca="false">IF(ISNUMBER(SEARCH("%", A638)),RIGHT(A638,3),A638)</f>
        <v>42, 46, POLABAT</v>
      </c>
      <c r="C638" s="1" t="str">
        <f aca="false" t="array" ref="C638:C638">IF(B637="NEW ROUTE",textsplit(B638,","),"")</f>
        <v/>
      </c>
      <c r="H638" s="1" t="str">
        <f aca="false">IF(C638&lt;&gt;"",DEC2HEX(C638,2),"")</f>
        <v/>
      </c>
      <c r="I638" s="1" t="str">
        <f aca="false">IF(D638&lt;&gt;"",DEC2HEX(D638,2),"")</f>
        <v/>
      </c>
      <c r="J638" s="1" t="str">
        <f aca="false">IF(H638&lt;&gt;"","0x"&amp;I638&amp;H638,"")</f>
        <v/>
      </c>
      <c r="L638" s="1" t="s">
        <v>3010</v>
      </c>
      <c r="M638" s="1" t="str">
        <f aca="false">IF(J638&lt;&gt;"",J638,L638)</f>
        <v>42, 46, POLABAT</v>
      </c>
    </row>
    <row r="639" customFormat="false" ht="12.75" hidden="false" customHeight="true" outlineLevel="0" collapsed="false">
      <c r="A639" s="3" t="s">
        <v>3011</v>
      </c>
      <c r="B639" s="3" t="str">
        <f aca="false">IF(ISNUMBER(SEARCH("%", A639)),RIGHT(A639,3),A639)</f>
        <v>42, 46, GILDUCK</v>
      </c>
      <c r="C639" s="1" t="str">
        <f aca="false" t="array" ref="C639:C639">IF(B638="NEW ROUTE",textsplit(B639,","),"")</f>
        <v/>
      </c>
      <c r="H639" s="1" t="str">
        <f aca="false">IF(C639&lt;&gt;"",DEC2HEX(C639,2),"")</f>
        <v/>
      </c>
      <c r="I639" s="1" t="str">
        <f aca="false">IF(D639&lt;&gt;"",DEC2HEX(D639,2),"")</f>
        <v/>
      </c>
      <c r="J639" s="1" t="str">
        <f aca="false">IF(H639&lt;&gt;"","0x"&amp;I639&amp;H639,"")</f>
        <v/>
      </c>
      <c r="L639" s="1" t="s">
        <v>3011</v>
      </c>
      <c r="M639" s="1" t="str">
        <f aca="false">IF(J639&lt;&gt;"",J639,L639)</f>
        <v>42, 46, GILDUCK</v>
      </c>
    </row>
    <row r="640" customFormat="false" ht="12.75" hidden="false" customHeight="true" outlineLevel="0" collapsed="false">
      <c r="A640" s="3" t="s">
        <v>2809</v>
      </c>
      <c r="B640" s="3" t="str">
        <f aca="false">IF(ISNUMBER(SEARCH("%", A640)),RIGHT(A640,3),A640)</f>
        <v>0.04</v>
      </c>
      <c r="C640" s="1" t="str">
        <f aca="false" t="array" ref="C640:C640">IF(B639="NEW ROUTE",textsplit(B640,","),"")</f>
        <v/>
      </c>
      <c r="H640" s="1" t="str">
        <f aca="false">IF(C640&lt;&gt;"",DEC2HEX(C640,2),"")</f>
        <v/>
      </c>
      <c r="I640" s="1" t="str">
        <f aca="false">IF(D640&lt;&gt;"",DEC2HEX(D640,2),"")</f>
        <v/>
      </c>
      <c r="J640" s="1" t="str">
        <f aca="false">IF(H640&lt;&gt;"","0x"&amp;I640&amp;H640,"")</f>
        <v/>
      </c>
      <c r="L640" s="1" t="s">
        <v>2809</v>
      </c>
      <c r="M640" s="1" t="str">
        <f aca="false">IF(J640&lt;&gt;"",J640,L640)</f>
        <v>0.04</v>
      </c>
    </row>
    <row r="641" customFormat="false" ht="12.75" hidden="false" customHeight="true" outlineLevel="0" collapsed="false">
      <c r="A641" s="3" t="s">
        <v>3012</v>
      </c>
      <c r="B641" s="3" t="str">
        <f aca="false">IF(ISNUMBER(SEARCH("%", A641)),RIGHT(A641,3),A641)</f>
        <v>44, 47, SLOWMATE</v>
      </c>
      <c r="C641" s="1" t="str">
        <f aca="false" t="array" ref="C641:C641">IF(B640="NEW ROUTE",textsplit(B641,","),"")</f>
        <v/>
      </c>
      <c r="H641" s="1" t="str">
        <f aca="false">IF(C641&lt;&gt;"",DEC2HEX(C641,2),"")</f>
        <v/>
      </c>
      <c r="I641" s="1" t="str">
        <f aca="false">IF(D641&lt;&gt;"",DEC2HEX(D641,2),"")</f>
        <v/>
      </c>
      <c r="J641" s="1" t="str">
        <f aca="false">IF(H641&lt;&gt;"","0x"&amp;I641&amp;H641,"")</f>
        <v/>
      </c>
      <c r="L641" s="1" t="s">
        <v>3012</v>
      </c>
      <c r="M641" s="1" t="str">
        <f aca="false">IF(J641&lt;&gt;"",J641,L641)</f>
        <v>44, 47, SLOWMATE</v>
      </c>
    </row>
    <row r="642" customFormat="false" ht="12.75" hidden="false" customHeight="true" outlineLevel="0" collapsed="false">
      <c r="A642" s="3" t="s">
        <v>3013</v>
      </c>
      <c r="B642" s="3" t="str">
        <f aca="false">IF(ISNUMBER(SEARCH("%", A642)),RIGHT(A642,3),A642)</f>
        <v>44, 47, PRECIPED</v>
      </c>
      <c r="C642" s="1" t="str">
        <f aca="false" t="array" ref="C642:C642">IF(B641="NEW ROUTE",textsplit(B642,","),"")</f>
        <v/>
      </c>
      <c r="H642" s="1" t="str">
        <f aca="false">IF(C642&lt;&gt;"",DEC2HEX(C642,2),"")</f>
        <v/>
      </c>
      <c r="I642" s="1" t="str">
        <f aca="false">IF(D642&lt;&gt;"",DEC2HEX(D642,2),"")</f>
        <v/>
      </c>
      <c r="J642" s="1" t="str">
        <f aca="false">IF(H642&lt;&gt;"","0x"&amp;I642&amp;H642,"")</f>
        <v/>
      </c>
      <c r="L642" s="1" t="s">
        <v>3013</v>
      </c>
      <c r="M642" s="1" t="str">
        <f aca="false">IF(J642&lt;&gt;"",J642,L642)</f>
        <v>44, 47, PRECIPED</v>
      </c>
    </row>
    <row r="643" customFormat="false" ht="12.75" hidden="false" customHeight="true" outlineLevel="0" collapsed="false">
      <c r="A643" s="3" t="s">
        <v>2812</v>
      </c>
      <c r="B643" s="3" t="str">
        <f aca="false">IF(ISNUMBER(SEARCH("%", A643)),RIGHT(A643,3),A643)</f>
        <v>0.01</v>
      </c>
      <c r="C643" s="1" t="str">
        <f aca="false" t="array" ref="C643:C643">IF(B642="NEW ROUTE",textsplit(B643,","),"")</f>
        <v/>
      </c>
      <c r="H643" s="1" t="str">
        <f aca="false">IF(C643&lt;&gt;"",DEC2HEX(C643,2),"")</f>
        <v/>
      </c>
      <c r="I643" s="1" t="str">
        <f aca="false">IF(D643&lt;&gt;"",DEC2HEX(D643,2),"")</f>
        <v/>
      </c>
      <c r="J643" s="1" t="str">
        <f aca="false">IF(H643&lt;&gt;"","0x"&amp;I643&amp;H643,"")</f>
        <v/>
      </c>
      <c r="L643" s="1" t="s">
        <v>2812</v>
      </c>
      <c r="M643" s="1" t="str">
        <f aca="false">IF(J643&lt;&gt;"",J643,L643)</f>
        <v>0.01</v>
      </c>
    </row>
    <row r="644" customFormat="false" ht="12.75" hidden="false" customHeight="true" outlineLevel="0" collapsed="false">
      <c r="A644" s="3" t="s">
        <v>3014</v>
      </c>
      <c r="B644" s="3" t="str">
        <f aca="false">IF(ISNUMBER(SEARCH("%", A644)),RIGHT(A644,3),A644)</f>
        <v>45, 50, DRAGONITE</v>
      </c>
      <c r="C644" s="1" t="str">
        <f aca="false" t="array" ref="C644:C644">IF(B643="NEW ROUTE",textsplit(B644,","),"")</f>
        <v/>
      </c>
      <c r="H644" s="1" t="str">
        <f aca="false">IF(C644&lt;&gt;"",DEC2HEX(C644,2),"")</f>
        <v/>
      </c>
      <c r="I644" s="1" t="str">
        <f aca="false">IF(D644&lt;&gt;"",DEC2HEX(D644,2),"")</f>
        <v/>
      </c>
      <c r="J644" s="1" t="str">
        <f aca="false">IF(H644&lt;&gt;"","0x"&amp;I644&amp;H644,"")</f>
        <v/>
      </c>
      <c r="L644" s="1" t="s">
        <v>3014</v>
      </c>
      <c r="M644" s="1" t="str">
        <f aca="false">IF(J644&lt;&gt;"",J644,L644)</f>
        <v>45, 50, DRAGONITE</v>
      </c>
    </row>
    <row r="645" customFormat="false" ht="12.75" hidden="false" customHeight="true" outlineLevel="0" collapsed="false">
      <c r="A645" s="3" t="s">
        <v>3020</v>
      </c>
      <c r="B645" s="3" t="str">
        <f aca="false">IF(ISNUMBER(SEARCH("%", A645)),RIGHT(A645,3),A645)</f>
        <v>45, 50, LICKILOLLY</v>
      </c>
      <c r="C645" s="1" t="str">
        <f aca="false" t="array" ref="C645:C645">IF(B644="NEW ROUTE",textsplit(B645,","),"")</f>
        <v/>
      </c>
      <c r="H645" s="1" t="str">
        <f aca="false">IF(C645&lt;&gt;"",DEC2HEX(C645,2),"")</f>
        <v/>
      </c>
      <c r="I645" s="1" t="str">
        <f aca="false">IF(D645&lt;&gt;"",DEC2HEX(D645,2),"")</f>
        <v/>
      </c>
      <c r="J645" s="1" t="str">
        <f aca="false">IF(H645&lt;&gt;"","0x"&amp;I645&amp;H645,"")</f>
        <v/>
      </c>
      <c r="L645" s="1" t="s">
        <v>3020</v>
      </c>
      <c r="M645" s="1" t="str">
        <f aca="false">IF(J645&lt;&gt;"",J645,L645)</f>
        <v>45, 50, LICKILOLLY</v>
      </c>
    </row>
    <row r="646" customFormat="false" ht="12.75" hidden="false" customHeight="true" outlineLevel="0" collapsed="false">
      <c r="A646" s="3" t="s">
        <v>3021</v>
      </c>
      <c r="B646" s="3" t="str">
        <f aca="false">IF(ISNUMBER(SEARCH("%", A646)),RIGHT(A646,3),A646)</f>
        <v>2, 38, 44, DEWGONG</v>
      </c>
      <c r="C646" s="1" t="str">
        <f aca="false" t="array" ref="C646:C646">IF(B645="NEW ROUTE",textsplit(B646,","),"")</f>
        <v/>
      </c>
      <c r="H646" s="1" t="str">
        <f aca="false">IF(C646&lt;&gt;"",DEC2HEX(C646,2),"")</f>
        <v/>
      </c>
      <c r="I646" s="1" t="str">
        <f aca="false">IF(D646&lt;&gt;"",DEC2HEX(D646,2),"")</f>
        <v/>
      </c>
      <c r="J646" s="1" t="str">
        <f aca="false">IF(H646&lt;&gt;"","0x"&amp;I646&amp;H646,"")</f>
        <v/>
      </c>
      <c r="L646" s="1" t="s">
        <v>3021</v>
      </c>
      <c r="M646" s="1" t="str">
        <f aca="false">IF(J646&lt;&gt;"",J646,L646)</f>
        <v>2, 38, 44, DEWGONG</v>
      </c>
    </row>
    <row r="647" customFormat="false" ht="12.75" hidden="false" customHeight="true" outlineLevel="0" collapsed="false">
      <c r="A647" s="3" t="s">
        <v>3022</v>
      </c>
      <c r="B647" s="3" t="str">
        <f aca="false">IF(ISNUMBER(SEARCH("%", A647)),RIGHT(A647,3),A647)</f>
        <v>40, 44, SEADRA</v>
      </c>
      <c r="C647" s="1" t="str">
        <f aca="false" t="array" ref="C647:C647">IF(B646="NEW ROUTE",textsplit(B647,","),"")</f>
        <v/>
      </c>
      <c r="H647" s="1" t="str">
        <f aca="false">IF(C647&lt;&gt;"",DEC2HEX(C647,2),"")</f>
        <v/>
      </c>
      <c r="I647" s="1" t="str">
        <f aca="false">IF(D647&lt;&gt;"",DEC2HEX(D647,2),"")</f>
        <v/>
      </c>
      <c r="J647" s="1" t="str">
        <f aca="false">IF(H647&lt;&gt;"","0x"&amp;I647&amp;H647,"")</f>
        <v/>
      </c>
      <c r="L647" s="1" t="s">
        <v>3022</v>
      </c>
      <c r="M647" s="1" t="str">
        <f aca="false">IF(J647&lt;&gt;"",J647,L647)</f>
        <v>40, 44, SEADRA</v>
      </c>
    </row>
    <row r="648" customFormat="false" ht="12.75" hidden="false" customHeight="true" outlineLevel="0" collapsed="false">
      <c r="A648" s="3" t="s">
        <v>3023</v>
      </c>
      <c r="B648" s="3" t="str">
        <f aca="false">IF(ISNUMBER(SEARCH("%", A648)),RIGHT(A648,3),A648)</f>
        <v>42, 46, KINGLER</v>
      </c>
      <c r="C648" s="1" t="str">
        <f aca="false" t="array" ref="C648:C648">IF(B647="NEW ROUTE",textsplit(B648,","),"")</f>
        <v/>
      </c>
      <c r="H648" s="1" t="str">
        <f aca="false">IF(C648&lt;&gt;"",DEC2HEX(C648,2),"")</f>
        <v/>
      </c>
      <c r="I648" s="1" t="str">
        <f aca="false">IF(D648&lt;&gt;"",DEC2HEX(D648,2),"")</f>
        <v/>
      </c>
      <c r="J648" s="1" t="str">
        <f aca="false">IF(H648&lt;&gt;"","0x"&amp;I648&amp;H648,"")</f>
        <v/>
      </c>
      <c r="L648" s="1" t="s">
        <v>3023</v>
      </c>
      <c r="M648" s="1" t="str">
        <f aca="false">IF(J648&lt;&gt;"",J648,L648)</f>
        <v>42, 46, KINGLER</v>
      </c>
    </row>
    <row r="649" customFormat="false" ht="12.75" hidden="false" customHeight="true" outlineLevel="0" collapsed="false">
      <c r="A649" s="3" t="s">
        <v>3024</v>
      </c>
      <c r="B649" s="3" t="str">
        <f aca="false">IF(ISNUMBER(SEARCH("%", A649)),RIGHT(A649,3),A649)</f>
        <v>42, 46, LAPRAS</v>
      </c>
      <c r="C649" s="1" t="str">
        <f aca="false" t="array" ref="C649:C649">IF(B648="NEW ROUTE",textsplit(B649,","),"")</f>
        <v/>
      </c>
      <c r="H649" s="1" t="str">
        <f aca="false">IF(C649&lt;&gt;"",DEC2HEX(C649,2),"")</f>
        <v/>
      </c>
      <c r="I649" s="1" t="str">
        <f aca="false">IF(D649&lt;&gt;"",DEC2HEX(D649,2),"")</f>
        <v/>
      </c>
      <c r="J649" s="1" t="str">
        <f aca="false">IF(H649&lt;&gt;"","0x"&amp;I649&amp;H649,"")</f>
        <v/>
      </c>
      <c r="L649" s="1" t="s">
        <v>3024</v>
      </c>
      <c r="M649" s="1" t="str">
        <f aca="false">IF(J649&lt;&gt;"",J649,L649)</f>
        <v>42, 46, LAPRAS</v>
      </c>
    </row>
    <row r="650" customFormat="false" ht="12.75" hidden="false" customHeight="true" outlineLevel="0" collapsed="false">
      <c r="A650" s="3" t="s">
        <v>2922</v>
      </c>
      <c r="B650" s="3" t="str">
        <f aca="false">IF(ISNUMBER(SEARCH("%", A650)),RIGHT(A650,3),A650)</f>
        <v>42, 46, SLOWBRO</v>
      </c>
      <c r="C650" s="1" t="str">
        <f aca="false" t="array" ref="C650:C650">IF(B649="NEW ROUTE",textsplit(B650,","),"")</f>
        <v/>
      </c>
      <c r="H650" s="1" t="str">
        <f aca="false">IF(C650&lt;&gt;"",DEC2HEX(C650,2),"")</f>
        <v/>
      </c>
      <c r="I650" s="1" t="str">
        <f aca="false">IF(D650&lt;&gt;"",DEC2HEX(D650,2),"")</f>
        <v/>
      </c>
      <c r="J650" s="1" t="str">
        <f aca="false">IF(H650&lt;&gt;"","0x"&amp;I650&amp;H650,"")</f>
        <v/>
      </c>
      <c r="L650" s="1" t="s">
        <v>2922</v>
      </c>
      <c r="M650" s="1" t="str">
        <f aca="false">IF(J650&lt;&gt;"",J650,L650)</f>
        <v>42, 46, SLOWBRO</v>
      </c>
    </row>
    <row r="651" customFormat="false" ht="12.75" hidden="false" customHeight="true" outlineLevel="0" collapsed="false">
      <c r="A651" s="3" t="s">
        <v>2925</v>
      </c>
      <c r="B651" s="3" t="str">
        <f aca="false">IF(ISNUMBER(SEARCH("%", A651)),RIGHT(A651,3),A651)</f>
        <v>20, old rod:</v>
      </c>
      <c r="C651" s="1" t="str">
        <f aca="false" t="array" ref="C651:C651">IF(B650="NEW ROUTE",textsplit(B651,","),"")</f>
        <v/>
      </c>
      <c r="H651" s="1" t="str">
        <f aca="false">IF(C651&lt;&gt;"",DEC2HEX(C651,2),"")</f>
        <v/>
      </c>
      <c r="I651" s="1" t="str">
        <f aca="false">IF(D651&lt;&gt;"",DEC2HEX(D651,2),"")</f>
        <v/>
      </c>
      <c r="J651" s="1" t="str">
        <f aca="false">IF(H651&lt;&gt;"","0x"&amp;I651&amp;H651,"")</f>
        <v/>
      </c>
      <c r="L651" s="1" t="s">
        <v>2925</v>
      </c>
      <c r="M651" s="1" t="str">
        <f aca="false">IF(J651&lt;&gt;"",J651,L651)</f>
        <v>20, old rod:</v>
      </c>
    </row>
    <row r="652" customFormat="false" ht="12.75" hidden="false" customHeight="true" outlineLevel="0" collapsed="false">
      <c r="A652" s="3" t="s">
        <v>1451</v>
      </c>
      <c r="B652" s="3" t="str">
        <f aca="false">IF(ISNUMBER(SEARCH("%", A652)),RIGHT(A652,3),A652)</f>
        <v>19, 26, HORSEA</v>
      </c>
      <c r="C652" s="1" t="str">
        <f aca="false" t="array" ref="C652:C652">IF(B651="NEW ROUTE",textsplit(B652,","),"")</f>
        <v/>
      </c>
      <c r="H652" s="1" t="str">
        <f aca="false">IF(C652&lt;&gt;"",DEC2HEX(C652,2),"")</f>
        <v/>
      </c>
      <c r="I652" s="1" t="str">
        <f aca="false">IF(D652&lt;&gt;"",DEC2HEX(D652,2),"")</f>
        <v/>
      </c>
      <c r="J652" s="1" t="str">
        <f aca="false">IF(H652&lt;&gt;"","0x"&amp;I652&amp;H652,"")</f>
        <v/>
      </c>
      <c r="L652" s="1" t="s">
        <v>1451</v>
      </c>
      <c r="M652" s="1" t="str">
        <f aca="false">IF(J652&lt;&gt;"",J652,L652)</f>
        <v>19, 26, HORSEA</v>
      </c>
    </row>
    <row r="653" customFormat="false" ht="12.75" hidden="false" customHeight="true" outlineLevel="0" collapsed="false">
      <c r="A653" s="3" t="s">
        <v>3025</v>
      </c>
      <c r="B653" s="3" t="str">
        <f aca="false">IF(ISNUMBER(SEARCH("%", A653)),RIGHT(A653,3),A653)</f>
        <v>19, 26, SHELLDER</v>
      </c>
      <c r="C653" s="1" t="str">
        <f aca="false" t="array" ref="C653:C653">IF(B652="NEW ROUTE",textsplit(B653,","),"")</f>
        <v/>
      </c>
      <c r="H653" s="1" t="str">
        <f aca="false">IF(C653&lt;&gt;"",DEC2HEX(C653,2),"")</f>
        <v/>
      </c>
      <c r="I653" s="1" t="str">
        <f aca="false">IF(D653&lt;&gt;"",DEC2HEX(D653,2),"")</f>
        <v/>
      </c>
      <c r="J653" s="1" t="str">
        <f aca="false">IF(H653&lt;&gt;"","0x"&amp;I653&amp;H653,"")</f>
        <v/>
      </c>
      <c r="L653" s="1" t="s">
        <v>3025</v>
      </c>
      <c r="M653" s="1" t="str">
        <f aca="false">IF(J653&lt;&gt;"",J653,L653)</f>
        <v>19, 26, SHELLDER</v>
      </c>
    </row>
    <row r="654" customFormat="false" ht="12.75" hidden="false" customHeight="true" outlineLevel="0" collapsed="false">
      <c r="A654" s="3" t="s">
        <v>2846</v>
      </c>
      <c r="B654" s="3" t="str">
        <f aca="false">IF(ISNUMBER(SEARCH("%", A654)),RIGHT(A654,3),A654)</f>
        <v>good rod:</v>
      </c>
      <c r="C654" s="1" t="str">
        <f aca="false" t="array" ref="C654:C654">IF(B653="NEW ROUTE",textsplit(B654,","),"")</f>
        <v/>
      </c>
      <c r="H654" s="1" t="str">
        <f aca="false">IF(C654&lt;&gt;"",DEC2HEX(C654,2),"")</f>
        <v/>
      </c>
      <c r="I654" s="1" t="str">
        <f aca="false">IF(D654&lt;&gt;"",DEC2HEX(D654,2),"")</f>
        <v/>
      </c>
      <c r="J654" s="1" t="str">
        <f aca="false">IF(H654&lt;&gt;"","0x"&amp;I654&amp;H654,"")</f>
        <v/>
      </c>
      <c r="L654" s="1" t="s">
        <v>2846</v>
      </c>
      <c r="M654" s="1" t="str">
        <f aca="false">IF(J654&lt;&gt;"",J654,L654)</f>
        <v>good rod:</v>
      </c>
    </row>
    <row r="655" customFormat="false" ht="12.75" hidden="false" customHeight="true" outlineLevel="0" collapsed="false">
      <c r="A655" s="3" t="s">
        <v>3026</v>
      </c>
      <c r="B655" s="3" t="str">
        <f aca="false">IF(ISNUMBER(SEARCH("%", A655)),RIGHT(A655,3),A655)</f>
        <v>29, 33, SEADRA</v>
      </c>
      <c r="C655" s="1" t="str">
        <f aca="false" t="array" ref="C655:C655">IF(B654="NEW ROUTE",textsplit(B655,","),"")</f>
        <v/>
      </c>
      <c r="H655" s="1" t="str">
        <f aca="false">IF(C655&lt;&gt;"",DEC2HEX(C655,2),"")</f>
        <v/>
      </c>
      <c r="I655" s="1" t="str">
        <f aca="false">IF(D655&lt;&gt;"",DEC2HEX(D655,2),"")</f>
        <v/>
      </c>
      <c r="J655" s="1" t="str">
        <f aca="false">IF(H655&lt;&gt;"","0x"&amp;I655&amp;H655,"")</f>
        <v/>
      </c>
      <c r="L655" s="1" t="s">
        <v>3026</v>
      </c>
      <c r="M655" s="1" t="str">
        <f aca="false">IF(J655&lt;&gt;"",J655,L655)</f>
        <v>29, 33, SEADRA</v>
      </c>
    </row>
    <row r="656" customFormat="false" ht="12.75" hidden="false" customHeight="true" outlineLevel="0" collapsed="false">
      <c r="A656" s="3" t="s">
        <v>3027</v>
      </c>
      <c r="B656" s="3" t="str">
        <f aca="false">IF(ISNUMBER(SEARCH("%", A656)),RIGHT(A656,3),A656)</f>
        <v>30, 35, KRABBY</v>
      </c>
      <c r="C656" s="1" t="str">
        <f aca="false" t="array" ref="C656:C656">IF(B655="NEW ROUTE",textsplit(B656,","),"")</f>
        <v/>
      </c>
      <c r="H656" s="1" t="str">
        <f aca="false">IF(C656&lt;&gt;"",DEC2HEX(C656,2),"")</f>
        <v/>
      </c>
      <c r="I656" s="1" t="str">
        <f aca="false">IF(D656&lt;&gt;"",DEC2HEX(D656,2),"")</f>
        <v/>
      </c>
      <c r="J656" s="1" t="str">
        <f aca="false">IF(H656&lt;&gt;"","0x"&amp;I656&amp;H656,"")</f>
        <v/>
      </c>
      <c r="L656" s="1" t="s">
        <v>3027</v>
      </c>
      <c r="M656" s="1" t="str">
        <f aca="false">IF(J656&lt;&gt;"",J656,L656)</f>
        <v>30, 35, KRABBY</v>
      </c>
    </row>
    <row r="657" customFormat="false" ht="12.75" hidden="false" customHeight="true" outlineLevel="0" collapsed="false">
      <c r="A657" s="3" t="s">
        <v>3028</v>
      </c>
      <c r="B657" s="3" t="str">
        <f aca="false">IF(ISNUMBER(SEARCH("%", A657)),RIGHT(A657,3),A657)</f>
        <v>30, 35, GOLDUCK</v>
      </c>
      <c r="C657" s="1" t="str">
        <f aca="false" t="array" ref="C657:C657">IF(B656="NEW ROUTE",textsplit(B657,","),"")</f>
        <v/>
      </c>
      <c r="H657" s="1" t="str">
        <f aca="false">IF(C657&lt;&gt;"",DEC2HEX(C657,2),"")</f>
        <v/>
      </c>
      <c r="I657" s="1" t="str">
        <f aca="false">IF(D657&lt;&gt;"",DEC2HEX(D657,2),"")</f>
        <v/>
      </c>
      <c r="J657" s="1" t="str">
        <f aca="false">IF(H657&lt;&gt;"","0x"&amp;I657&amp;H657,"")</f>
        <v/>
      </c>
      <c r="L657" s="1" t="s">
        <v>3028</v>
      </c>
      <c r="M657" s="1" t="str">
        <f aca="false">IF(J657&lt;&gt;"",J657,L657)</f>
        <v>30, 35, GOLDUCK</v>
      </c>
    </row>
    <row r="658" customFormat="false" ht="12.75" hidden="false" customHeight="true" outlineLevel="0" collapsed="false">
      <c r="A658" s="3" t="s">
        <v>2850</v>
      </c>
      <c r="B658" s="3" t="str">
        <f aca="false">IF(ISNUMBER(SEARCH("%", A658)),RIGHT(A658,3),A658)</f>
        <v>super rod:</v>
      </c>
      <c r="C658" s="1" t="str">
        <f aca="false" t="array" ref="C658:C658">IF(B657="NEW ROUTE",textsplit(B658,","),"")</f>
        <v/>
      </c>
      <c r="H658" s="1" t="str">
        <f aca="false">IF(C658&lt;&gt;"",DEC2HEX(C658,2),"")</f>
        <v/>
      </c>
      <c r="I658" s="1" t="str">
        <f aca="false">IF(D658&lt;&gt;"",DEC2HEX(D658,2),"")</f>
        <v/>
      </c>
      <c r="J658" s="1" t="str">
        <f aca="false">IF(H658&lt;&gt;"","0x"&amp;I658&amp;H658,"")</f>
        <v/>
      </c>
      <c r="L658" s="1" t="s">
        <v>2850</v>
      </c>
      <c r="M658" s="1" t="str">
        <f aca="false">IF(J658&lt;&gt;"",J658,L658)</f>
        <v>super rod:</v>
      </c>
    </row>
    <row r="659" customFormat="false" ht="12.75" hidden="false" customHeight="true" outlineLevel="0" collapsed="false">
      <c r="A659" s="3" t="s">
        <v>3029</v>
      </c>
      <c r="B659" s="3" t="str">
        <f aca="false">IF(ISNUMBER(SEARCH("%", A659)),RIGHT(A659,3),A659)</f>
        <v>36, 40, KINGDRA</v>
      </c>
      <c r="C659" s="1" t="str">
        <f aca="false" t="array" ref="C659:C659">IF(B658="NEW ROUTE",textsplit(B659,","),"")</f>
        <v/>
      </c>
      <c r="H659" s="1" t="str">
        <f aca="false">IF(C659&lt;&gt;"",DEC2HEX(C659,2),"")</f>
        <v/>
      </c>
      <c r="I659" s="1" t="str">
        <f aca="false">IF(D659&lt;&gt;"",DEC2HEX(D659,2),"")</f>
        <v/>
      </c>
      <c r="J659" s="1" t="str">
        <f aca="false">IF(H659&lt;&gt;"","0x"&amp;I659&amp;H659,"")</f>
        <v/>
      </c>
      <c r="L659" s="1" t="s">
        <v>3029</v>
      </c>
      <c r="M659" s="1" t="str">
        <f aca="false">IF(J659&lt;&gt;"",J659,L659)</f>
        <v>36, 40, KINGDRA</v>
      </c>
    </row>
    <row r="660" customFormat="false" ht="12.75" hidden="false" customHeight="true" outlineLevel="0" collapsed="false">
      <c r="A660" s="3" t="s">
        <v>3030</v>
      </c>
      <c r="B660" s="3" t="str">
        <f aca="false">IF(ISNUMBER(SEARCH("%", A660)),RIGHT(A660,3),A660)</f>
        <v>36, 40, CLOYSTER</v>
      </c>
      <c r="C660" s="1" t="str">
        <f aca="false" t="array" ref="C660:C660">IF(B659="NEW ROUTE",textsplit(B660,","),"")</f>
        <v/>
      </c>
      <c r="H660" s="1" t="str">
        <f aca="false">IF(C660&lt;&gt;"",DEC2HEX(C660,2),"")</f>
        <v/>
      </c>
      <c r="I660" s="1" t="str">
        <f aca="false">IF(D660&lt;&gt;"",DEC2HEX(D660,2),"")</f>
        <v/>
      </c>
      <c r="J660" s="1" t="str">
        <f aca="false">IF(H660&lt;&gt;"","0x"&amp;I660&amp;H660,"")</f>
        <v/>
      </c>
      <c r="L660" s="1" t="s">
        <v>3030</v>
      </c>
      <c r="M660" s="1" t="str">
        <f aca="false">IF(J660&lt;&gt;"",J660,L660)</f>
        <v>36, 40, CLOYSTER</v>
      </c>
    </row>
    <row r="661" customFormat="false" ht="12.75" hidden="false" customHeight="true" outlineLevel="0" collapsed="false">
      <c r="A661" s="3" t="s">
        <v>3031</v>
      </c>
      <c r="B661" s="3" t="str">
        <f aca="false">IF(ISNUMBER(SEARCH("%", A661)),RIGHT(A661,3),A661)</f>
        <v>38, 42, GILDUCK</v>
      </c>
      <c r="C661" s="1" t="str">
        <f aca="false" t="array" ref="C661:C661">IF(B660="NEW ROUTE",textsplit(B661,","),"")</f>
        <v/>
      </c>
      <c r="H661" s="1" t="str">
        <f aca="false">IF(C661&lt;&gt;"",DEC2HEX(C661,2),"")</f>
        <v/>
      </c>
      <c r="I661" s="1" t="str">
        <f aca="false">IF(D661&lt;&gt;"",DEC2HEX(D661,2),"")</f>
        <v/>
      </c>
      <c r="J661" s="1" t="str">
        <f aca="false">IF(H661&lt;&gt;"","0x"&amp;I661&amp;H661,"")</f>
        <v/>
      </c>
      <c r="L661" s="1" t="s">
        <v>3031</v>
      </c>
      <c r="M661" s="1" t="str">
        <f aca="false">IF(J661&lt;&gt;"",J661,L661)</f>
        <v>38, 42, GILDUCK</v>
      </c>
    </row>
    <row r="662" customFormat="false" ht="12.75" hidden="false" customHeight="true" outlineLevel="0" collapsed="false">
      <c r="A662" s="3" t="s">
        <v>3032</v>
      </c>
      <c r="B662" s="3" t="str">
        <f aca="false">IF(ISNUMBER(SEARCH("%", A662)),RIGHT(A662,3),A662)</f>
        <v>38, 42, KRAKLAW</v>
      </c>
      <c r="C662" s="1" t="str">
        <f aca="false" t="array" ref="C662:C662">IF(B661="NEW ROUTE",textsplit(B662,","),"")</f>
        <v/>
      </c>
      <c r="H662" s="1" t="str">
        <f aca="false">IF(C662&lt;&gt;"",DEC2HEX(C662,2),"")</f>
        <v/>
      </c>
      <c r="I662" s="1" t="str">
        <f aca="false">IF(D662&lt;&gt;"",DEC2HEX(D662,2),"")</f>
        <v/>
      </c>
      <c r="J662" s="1" t="str">
        <f aca="false">IF(H662&lt;&gt;"","0x"&amp;I662&amp;H662,"")</f>
        <v/>
      </c>
      <c r="L662" s="1" t="s">
        <v>3032</v>
      </c>
      <c r="M662" s="1" t="str">
        <f aca="false">IF(J662&lt;&gt;"",J662,L662)</f>
        <v>38, 42, KRAKLAW</v>
      </c>
    </row>
    <row r="663" customFormat="false" ht="12.75" hidden="false" customHeight="true" outlineLevel="0" collapsed="false">
      <c r="A663" s="3" t="s">
        <v>3033</v>
      </c>
      <c r="B663" s="3" t="str">
        <f aca="false">IF(ISNUMBER(SEARCH("%", A663)),RIGHT(A663,3),A663)</f>
        <v>40, 44, LORDRA</v>
      </c>
      <c r="C663" s="1" t="str">
        <f aca="false" t="array" ref="C663:C663">IF(B662="NEW ROUTE",textsplit(B663,","),"")</f>
        <v/>
      </c>
      <c r="H663" s="1" t="str">
        <f aca="false">IF(C663&lt;&gt;"",DEC2HEX(C663,2),"")</f>
        <v/>
      </c>
      <c r="I663" s="1" t="str">
        <f aca="false">IF(D663&lt;&gt;"",DEC2HEX(D663,2),"")</f>
        <v/>
      </c>
      <c r="J663" s="1" t="str">
        <f aca="false">IF(H663&lt;&gt;"","0x"&amp;I663&amp;H663,"")</f>
        <v/>
      </c>
      <c r="L663" s="1" t="s">
        <v>3033</v>
      </c>
      <c r="M663" s="1" t="str">
        <f aca="false">IF(J663&lt;&gt;"",J663,L663)</f>
        <v>40, 44, LORDRA</v>
      </c>
    </row>
    <row r="664" customFormat="false" ht="12.75" hidden="false" customHeight="true" outlineLevel="0" collapsed="false">
      <c r="A664" s="3" t="s">
        <v>2536</v>
      </c>
      <c r="B664" s="3" t="str">
        <f aca="false">IF(ISNUMBER(SEARCH("%", A664)),RIGHT(A664,3),A664)</f>
        <v>NEW ROUTE</v>
      </c>
      <c r="C664" s="1" t="str">
        <f aca="false" t="array" ref="C664:C664">IF(B663="NEW ROUTE",textsplit(B664,","),"")</f>
        <v/>
      </c>
      <c r="H664" s="1" t="str">
        <f aca="false">IF(C664&lt;&gt;"",DEC2HEX(C664,2),"")</f>
        <v/>
      </c>
      <c r="I664" s="1" t="str">
        <f aca="false">IF(D664&lt;&gt;"",DEC2HEX(D664,2),"")</f>
        <v/>
      </c>
      <c r="J664" s="1" t="str">
        <f aca="false">IF(H664&lt;&gt;"","0x"&amp;I664&amp;H664,"")</f>
        <v/>
      </c>
      <c r="L664" s="1" t="s">
        <v>2536</v>
      </c>
      <c r="M664" s="1" t="str">
        <f aca="false">IF(J664&lt;&gt;"",J664,L664)</f>
        <v>NEW ROUTE</v>
      </c>
    </row>
    <row r="665" customFormat="false" ht="12.75" hidden="false" customHeight="true" outlineLevel="0" collapsed="false">
      <c r="A665" s="3" t="s">
        <v>3035</v>
      </c>
      <c r="B665" s="3" t="str">
        <f aca="false">IF(ISNUMBER(SEARCH("%", A665)),RIGHT(A665,3),A665)</f>
        <v>1, 90, 0,</v>
      </c>
      <c r="C665" s="1" t="e">
        <f aca="false" t="array" ref="C665:C665">IF(B664="NEW ROUTE",textsplit(B665,","),"")</f>
        <v>#NAME?</v>
      </c>
      <c r="H665" s="1" t="e">
        <f aca="false">IF(C665&lt;&gt;"",DEC2HEX(C665,2),"")</f>
        <v>#NAME?</v>
      </c>
      <c r="I665" s="1" t="str">
        <f aca="false">IF(D665&lt;&gt;"",DEC2HEX(D665,2),"")</f>
        <v/>
      </c>
      <c r="J665" s="1" t="e">
        <f aca="false">IF(H665&lt;&gt;"","0x"&amp;I665&amp;H665,"")</f>
        <v>#NAME?</v>
      </c>
      <c r="L665" s="1" t="s">
        <v>3035</v>
      </c>
      <c r="M665" s="1" t="e">
        <f aca="false">IF(J665&lt;&gt;"",J665,L665)</f>
        <v>#NAME?</v>
      </c>
    </row>
    <row r="666" customFormat="false" ht="12.75" hidden="false" customHeight="true" outlineLevel="0" collapsed="false">
      <c r="A666" s="3" t="s">
        <v>3036</v>
      </c>
      <c r="B666" s="3" t="str">
        <f aca="false">IF(ISNUMBER(SEARCH("%", A666)),RIGHT(A666,3),A666)</f>
        <v>20%</v>
      </c>
      <c r="C666" s="1" t="str">
        <f aca="false" t="array" ref="C666:C666">IF(B665="NEW ROUTE",textsplit(B666,","),"")</f>
        <v/>
      </c>
      <c r="H666" s="1" t="str">
        <f aca="false">IF(C666&lt;&gt;"",DEC2HEX(C666,2),"")</f>
        <v/>
      </c>
      <c r="I666" s="1" t="str">
        <f aca="false">IF(D666&lt;&gt;"",DEC2HEX(D666,2),"")</f>
        <v/>
      </c>
      <c r="J666" s="1" t="str">
        <f aca="false">IF(H666&lt;&gt;"","0x"&amp;I666&amp;H666,"")</f>
        <v/>
      </c>
      <c r="L666" s="1" t="s">
        <v>2799</v>
      </c>
      <c r="M666" s="1" t="str">
        <f aca="false">IF(J666&lt;&gt;"",J666,L666)</f>
        <v>20%</v>
      </c>
    </row>
    <row r="667" customFormat="false" ht="12.75" hidden="false" customHeight="true" outlineLevel="0" collapsed="false">
      <c r="A667" s="3" t="s">
        <v>1463</v>
      </c>
      <c r="B667" s="3" t="str">
        <f aca="false">IF(ISNUMBER(SEARCH("%", A667)),RIGHT(A667,3),A667)</f>
        <v>28, 31, GASTLY</v>
      </c>
      <c r="C667" s="1" t="str">
        <f aca="false" t="array" ref="C667:C667">IF(B666="NEW ROUTE",textsplit(B667,","),"")</f>
        <v/>
      </c>
      <c r="H667" s="1" t="str">
        <f aca="false">IF(C667&lt;&gt;"",DEC2HEX(C667,2),"")</f>
        <v/>
      </c>
      <c r="I667" s="1" t="str">
        <f aca="false">IF(D667&lt;&gt;"",DEC2HEX(D667,2),"")</f>
        <v/>
      </c>
      <c r="J667" s="1" t="str">
        <f aca="false">IF(H667&lt;&gt;"","0x"&amp;I667&amp;H667,"")</f>
        <v/>
      </c>
      <c r="L667" s="1" t="s">
        <v>1463</v>
      </c>
      <c r="M667" s="1" t="str">
        <f aca="false">IF(J667&lt;&gt;"",J667,L667)</f>
        <v>28, 31, GASTLY</v>
      </c>
    </row>
    <row r="668" customFormat="false" ht="12.75" hidden="false" customHeight="true" outlineLevel="0" collapsed="false">
      <c r="A668" s="3" t="s">
        <v>3037</v>
      </c>
      <c r="B668" s="3" t="str">
        <f aca="false">IF(ISNUMBER(SEARCH("%", A668)),RIGHT(A668,3),A668)</f>
        <v>29, 32, RATTATA</v>
      </c>
      <c r="C668" s="1" t="str">
        <f aca="false" t="array" ref="C668:C668">IF(B667="NEW ROUTE",textsplit(B668,","),"")</f>
        <v/>
      </c>
      <c r="H668" s="1" t="str">
        <f aca="false">IF(C668&lt;&gt;"",DEC2HEX(C668,2),"")</f>
        <v/>
      </c>
      <c r="I668" s="1" t="str">
        <f aca="false">IF(D668&lt;&gt;"",DEC2HEX(D668,2),"")</f>
        <v/>
      </c>
      <c r="J668" s="1" t="str">
        <f aca="false">IF(H668&lt;&gt;"","0x"&amp;I668&amp;H668,"")</f>
        <v/>
      </c>
      <c r="L668" s="1" t="s">
        <v>3037</v>
      </c>
      <c r="M668" s="1" t="str">
        <f aca="false">IF(J668&lt;&gt;"",J668,L668)</f>
        <v>29, 32, RATTATA</v>
      </c>
    </row>
    <row r="669" customFormat="false" ht="12.75" hidden="false" customHeight="true" outlineLevel="0" collapsed="false">
      <c r="A669" s="3" t="s">
        <v>2801</v>
      </c>
      <c r="B669" s="3" t="str">
        <f aca="false">IF(ISNUMBER(SEARCH("%", A669)),RIGHT(A669,3),A669)</f>
        <v>0.1</v>
      </c>
      <c r="C669" s="1" t="str">
        <f aca="false" t="array" ref="C669:C669">IF(B668="NEW ROUTE",textsplit(B669,","),"")</f>
        <v/>
      </c>
      <c r="H669" s="1" t="str">
        <f aca="false">IF(C669&lt;&gt;"",DEC2HEX(C669,2),"")</f>
        <v/>
      </c>
      <c r="I669" s="1" t="str">
        <f aca="false">IF(D669&lt;&gt;"",DEC2HEX(D669,2),"")</f>
        <v/>
      </c>
      <c r="J669" s="1" t="str">
        <f aca="false">IF(H669&lt;&gt;"","0x"&amp;I669&amp;H669,"")</f>
        <v/>
      </c>
      <c r="L669" s="1" t="s">
        <v>2801</v>
      </c>
      <c r="M669" s="1" t="str">
        <f aca="false">IF(J669&lt;&gt;"",J669,L669)</f>
        <v>0.1</v>
      </c>
    </row>
    <row r="670" customFormat="false" ht="12.75" hidden="false" customHeight="true" outlineLevel="0" collapsed="false">
      <c r="A670" s="3" t="s">
        <v>3038</v>
      </c>
      <c r="B670" s="3" t="str">
        <f aca="false">IF(ISNUMBER(SEARCH("%", A670)),RIGHT(A670,3),A670)</f>
        <v>27, 31, CUBONE</v>
      </c>
      <c r="C670" s="1" t="str">
        <f aca="false" t="array" ref="C670:C670">IF(B669="NEW ROUTE",textsplit(B670,","),"")</f>
        <v/>
      </c>
      <c r="H670" s="1" t="str">
        <f aca="false">IF(C670&lt;&gt;"",DEC2HEX(C670,2),"")</f>
        <v/>
      </c>
      <c r="I670" s="1" t="str">
        <f aca="false">IF(D670&lt;&gt;"",DEC2HEX(D670,2),"")</f>
        <v/>
      </c>
      <c r="J670" s="1" t="str">
        <f aca="false">IF(H670&lt;&gt;"","0x"&amp;I670&amp;H670,"")</f>
        <v/>
      </c>
      <c r="L670" s="1" t="s">
        <v>3038</v>
      </c>
      <c r="M670" s="1" t="str">
        <f aca="false">IF(J670&lt;&gt;"",J670,L670)</f>
        <v>27, 31, CUBONE</v>
      </c>
    </row>
    <row r="671" customFormat="false" ht="12.75" hidden="false" customHeight="true" outlineLevel="0" collapsed="false">
      <c r="A671" s="3" t="s">
        <v>3039</v>
      </c>
      <c r="B671" s="3" t="str">
        <f aca="false">IF(ISNUMBER(SEARCH("%", A671)),RIGHT(A671,3),A671)</f>
        <v>29, 32, HAUNTER</v>
      </c>
      <c r="C671" s="1" t="str">
        <f aca="false" t="array" ref="C671:C671">IF(B670="NEW ROUTE",textsplit(B671,","),"")</f>
        <v/>
      </c>
      <c r="H671" s="1" t="str">
        <f aca="false">IF(C671&lt;&gt;"",DEC2HEX(C671,2),"")</f>
        <v/>
      </c>
      <c r="I671" s="1" t="str">
        <f aca="false">IF(D671&lt;&gt;"",DEC2HEX(D671,2),"")</f>
        <v/>
      </c>
      <c r="J671" s="1" t="str">
        <f aca="false">IF(H671&lt;&gt;"","0x"&amp;I671&amp;H671,"")</f>
        <v/>
      </c>
      <c r="L671" s="1" t="s">
        <v>3039</v>
      </c>
      <c r="M671" s="1" t="str">
        <f aca="false">IF(J671&lt;&gt;"",J671,L671)</f>
        <v>29, 32, HAUNTER</v>
      </c>
    </row>
    <row r="672" customFormat="false" ht="12.75" hidden="false" customHeight="true" outlineLevel="0" collapsed="false">
      <c r="A672" s="3" t="s">
        <v>3040</v>
      </c>
      <c r="B672" s="3" t="str">
        <f aca="false">IF(ISNUMBER(SEARCH("%", A672)),RIGHT(A672,3),A672)</f>
        <v>28, 31, DROWZEE</v>
      </c>
      <c r="C672" s="1" t="str">
        <f aca="false" t="array" ref="C672:C672">IF(B671="NEW ROUTE",textsplit(B672,","),"")</f>
        <v/>
      </c>
      <c r="H672" s="1" t="str">
        <f aca="false">IF(C672&lt;&gt;"",DEC2HEX(C672,2),"")</f>
        <v/>
      </c>
      <c r="I672" s="1" t="str">
        <f aca="false">IF(D672&lt;&gt;"",DEC2HEX(D672,2),"")</f>
        <v/>
      </c>
      <c r="J672" s="1" t="str">
        <f aca="false">IF(H672&lt;&gt;"","0x"&amp;I672&amp;H672,"")</f>
        <v/>
      </c>
      <c r="L672" s="1" t="s">
        <v>3040</v>
      </c>
      <c r="M672" s="1" t="str">
        <f aca="false">IF(J672&lt;&gt;"",J672,L672)</f>
        <v>28, 31, DROWZEE</v>
      </c>
    </row>
    <row r="673" customFormat="false" ht="12.75" hidden="false" customHeight="true" outlineLevel="0" collapsed="false">
      <c r="A673" s="3" t="s">
        <v>3041</v>
      </c>
      <c r="B673" s="3" t="str">
        <f aca="false">IF(ISNUMBER(SEARCH("%", A673)),RIGHT(A673,3),A673)</f>
        <v>28, 31, VULPIX</v>
      </c>
      <c r="C673" s="1" t="str">
        <f aca="false" t="array" ref="C673:C673">IF(B672="NEW ROUTE",textsplit(B673,","),"")</f>
        <v/>
      </c>
      <c r="H673" s="1" t="str">
        <f aca="false">IF(C673&lt;&gt;"",DEC2HEX(C673,2),"")</f>
        <v/>
      </c>
      <c r="I673" s="1" t="str">
        <f aca="false">IF(D673&lt;&gt;"",DEC2HEX(D673,2),"")</f>
        <v/>
      </c>
      <c r="J673" s="1" t="str">
        <f aca="false">IF(H673&lt;&gt;"","0x"&amp;I673&amp;H673,"")</f>
        <v/>
      </c>
      <c r="L673" s="1" t="s">
        <v>3041</v>
      </c>
      <c r="M673" s="1" t="str">
        <f aca="false">IF(J673&lt;&gt;"",J673,L673)</f>
        <v>28, 31, VULPIX</v>
      </c>
    </row>
    <row r="674" customFormat="false" ht="12.75" hidden="false" customHeight="true" outlineLevel="0" collapsed="false">
      <c r="A674" s="3" t="s">
        <v>2806</v>
      </c>
      <c r="B674" s="3" t="str">
        <f aca="false">IF(ISNUMBER(SEARCH("%", A674)),RIGHT(A674,3),A674)</f>
        <v>0.05</v>
      </c>
      <c r="C674" s="1" t="str">
        <f aca="false" t="array" ref="C674:C674">IF(B673="NEW ROUTE",textsplit(B674,","),"")</f>
        <v/>
      </c>
      <c r="H674" s="1" t="str">
        <f aca="false">IF(C674&lt;&gt;"",DEC2HEX(C674,2),"")</f>
        <v/>
      </c>
      <c r="I674" s="1" t="str">
        <f aca="false">IF(D674&lt;&gt;"",DEC2HEX(D674,2),"")</f>
        <v/>
      </c>
      <c r="J674" s="1" t="str">
        <f aca="false">IF(H674&lt;&gt;"","0x"&amp;I674&amp;H674,"")</f>
        <v/>
      </c>
      <c r="L674" s="1" t="s">
        <v>2806</v>
      </c>
      <c r="M674" s="1" t="str">
        <f aca="false">IF(J674&lt;&gt;"",J674,L674)</f>
        <v>0.05</v>
      </c>
    </row>
    <row r="675" customFormat="false" ht="12.75" hidden="false" customHeight="true" outlineLevel="0" collapsed="false">
      <c r="A675" s="3" t="s">
        <v>3042</v>
      </c>
      <c r="B675" s="3" t="str">
        <f aca="false">IF(ISNUMBER(SEARCH("%", A675)),RIGHT(A675,3),A675)</f>
        <v>29, 32, HYPNO</v>
      </c>
      <c r="C675" s="1" t="str">
        <f aca="false" t="array" ref="C675:C675">IF(B674="NEW ROUTE",textsplit(B675,","),"")</f>
        <v/>
      </c>
      <c r="H675" s="1" t="str">
        <f aca="false">IF(C675&lt;&gt;"",DEC2HEX(C675,2),"")</f>
        <v/>
      </c>
      <c r="I675" s="1" t="str">
        <f aca="false">IF(D675&lt;&gt;"",DEC2HEX(D675,2),"")</f>
        <v/>
      </c>
      <c r="J675" s="1" t="str">
        <f aca="false">IF(H675&lt;&gt;"","0x"&amp;I675&amp;H675,"")</f>
        <v/>
      </c>
      <c r="L675" s="1" t="s">
        <v>3042</v>
      </c>
      <c r="M675" s="1" t="str">
        <f aca="false">IF(J675&lt;&gt;"",J675,L675)</f>
        <v>29, 32, HYPNO</v>
      </c>
    </row>
    <row r="676" customFormat="false" ht="12.75" hidden="false" customHeight="true" outlineLevel="0" collapsed="false">
      <c r="A676" s="3" t="s">
        <v>3043</v>
      </c>
      <c r="B676" s="3" t="str">
        <f aca="false">IF(ISNUMBER(SEARCH("%", A676)),RIGHT(A676,3),A676)</f>
        <v>28, 31, RATICATE</v>
      </c>
      <c r="C676" s="1" t="str">
        <f aca="false" t="array" ref="C676:C676">IF(B675="NEW ROUTE",textsplit(B676,","),"")</f>
        <v/>
      </c>
      <c r="H676" s="1" t="str">
        <f aca="false">IF(C676&lt;&gt;"",DEC2HEX(C676,2),"")</f>
        <v/>
      </c>
      <c r="I676" s="1" t="str">
        <f aca="false">IF(D676&lt;&gt;"",DEC2HEX(D676,2),"")</f>
        <v/>
      </c>
      <c r="J676" s="1" t="str">
        <f aca="false">IF(H676&lt;&gt;"","0x"&amp;I676&amp;H676,"")</f>
        <v/>
      </c>
      <c r="L676" s="1" t="s">
        <v>3043</v>
      </c>
      <c r="M676" s="1" t="str">
        <f aca="false">IF(J676&lt;&gt;"",J676,L676)</f>
        <v>28, 31, RATICATE</v>
      </c>
    </row>
    <row r="677" customFormat="false" ht="12.75" hidden="false" customHeight="true" outlineLevel="0" collapsed="false">
      <c r="A677" s="3" t="s">
        <v>2809</v>
      </c>
      <c r="B677" s="3" t="str">
        <f aca="false">IF(ISNUMBER(SEARCH("%", A677)),RIGHT(A677,3),A677)</f>
        <v>0.04</v>
      </c>
      <c r="C677" s="1" t="str">
        <f aca="false" t="array" ref="C677:C677">IF(B676="NEW ROUTE",textsplit(B677,","),"")</f>
        <v/>
      </c>
      <c r="H677" s="1" t="str">
        <f aca="false">IF(C677&lt;&gt;"",DEC2HEX(C677,2),"")</f>
        <v/>
      </c>
      <c r="I677" s="1" t="str">
        <f aca="false">IF(D677&lt;&gt;"",DEC2HEX(D677,2),"")</f>
        <v/>
      </c>
      <c r="J677" s="1" t="str">
        <f aca="false">IF(H677&lt;&gt;"","0x"&amp;I677&amp;H677,"")</f>
        <v/>
      </c>
      <c r="L677" s="1" t="s">
        <v>2809</v>
      </c>
      <c r="M677" s="1" t="str">
        <f aca="false">IF(J677&lt;&gt;"",J677,L677)</f>
        <v>0.04</v>
      </c>
    </row>
    <row r="678" customFormat="false" ht="12.75" hidden="false" customHeight="true" outlineLevel="0" collapsed="false">
      <c r="A678" s="3" t="s">
        <v>3044</v>
      </c>
      <c r="B678" s="3" t="str">
        <f aca="false">IF(ISNUMBER(SEARCH("%", A678)),RIGHT(A678,3),A678)</f>
        <v>29, 32, MAROWAK</v>
      </c>
      <c r="C678" s="1" t="str">
        <f aca="false" t="array" ref="C678:C678">IF(B677="NEW ROUTE",textsplit(B678,","),"")</f>
        <v/>
      </c>
      <c r="H678" s="1" t="str">
        <f aca="false">IF(C678&lt;&gt;"",DEC2HEX(C678,2),"")</f>
        <v/>
      </c>
      <c r="I678" s="1" t="str">
        <f aca="false">IF(D678&lt;&gt;"",DEC2HEX(D678,2),"")</f>
        <v/>
      </c>
      <c r="J678" s="1" t="str">
        <f aca="false">IF(H678&lt;&gt;"","0x"&amp;I678&amp;H678,"")</f>
        <v/>
      </c>
      <c r="L678" s="1" t="s">
        <v>3044</v>
      </c>
      <c r="M678" s="1" t="str">
        <f aca="false">IF(J678&lt;&gt;"",J678,L678)</f>
        <v>29, 32, MAROWAK</v>
      </c>
    </row>
    <row r="679" customFormat="false" ht="12.75" hidden="false" customHeight="true" outlineLevel="0" collapsed="false">
      <c r="A679" s="3" t="s">
        <v>3045</v>
      </c>
      <c r="B679" s="3" t="str">
        <f aca="false">IF(ISNUMBER(SEARCH("%", A679)),RIGHT(A679,3),A679)</f>
        <v>28, 31, RATTCHET</v>
      </c>
      <c r="C679" s="1" t="str">
        <f aca="false" t="array" ref="C679:C679">IF(B678="NEW ROUTE",textsplit(B679,","),"")</f>
        <v/>
      </c>
      <c r="H679" s="1" t="str">
        <f aca="false">IF(C679&lt;&gt;"",DEC2HEX(C679,2),"")</f>
        <v/>
      </c>
      <c r="I679" s="1" t="str">
        <f aca="false">IF(D679&lt;&gt;"",DEC2HEX(D679,2),"")</f>
        <v/>
      </c>
      <c r="J679" s="1" t="str">
        <f aca="false">IF(H679&lt;&gt;"","0x"&amp;I679&amp;H679,"")</f>
        <v/>
      </c>
      <c r="L679" s="1" t="s">
        <v>3045</v>
      </c>
      <c r="M679" s="1" t="str">
        <f aca="false">IF(J679&lt;&gt;"",J679,L679)</f>
        <v>28, 31, RATTCHET</v>
      </c>
    </row>
    <row r="680" customFormat="false" ht="12.75" hidden="false" customHeight="true" outlineLevel="0" collapsed="false">
      <c r="A680" s="3" t="s">
        <v>2812</v>
      </c>
      <c r="B680" s="3" t="str">
        <f aca="false">IF(ISNUMBER(SEARCH("%", A680)),RIGHT(A680,3),A680)</f>
        <v>0.01</v>
      </c>
      <c r="C680" s="1" t="str">
        <f aca="false" t="array" ref="C680:C680">IF(B679="NEW ROUTE",textsplit(B680,","),"")</f>
        <v/>
      </c>
      <c r="H680" s="1" t="str">
        <f aca="false">IF(C680&lt;&gt;"",DEC2HEX(C680,2),"")</f>
        <v/>
      </c>
      <c r="I680" s="1" t="str">
        <f aca="false">IF(D680&lt;&gt;"",DEC2HEX(D680,2),"")</f>
        <v/>
      </c>
      <c r="J680" s="1" t="str">
        <f aca="false">IF(H680&lt;&gt;"","0x"&amp;I680&amp;H680,"")</f>
        <v/>
      </c>
      <c r="L680" s="1" t="s">
        <v>2812</v>
      </c>
      <c r="M680" s="1" t="str">
        <f aca="false">IF(J680&lt;&gt;"",J680,L680)</f>
        <v>0.01</v>
      </c>
    </row>
    <row r="681" customFormat="false" ht="12.75" hidden="false" customHeight="true" outlineLevel="0" collapsed="false">
      <c r="A681" s="3" t="s">
        <v>3046</v>
      </c>
      <c r="B681" s="3" t="str">
        <f aca="false">IF(ISNUMBER(SEARCH("%", A681)),RIGHT(A681,3),A681)</f>
        <v>33, 33, HAUNTER</v>
      </c>
      <c r="C681" s="1" t="str">
        <f aca="false" t="array" ref="C681:C681">IF(B680="NEW ROUTE",textsplit(B681,","),"")</f>
        <v/>
      </c>
      <c r="H681" s="1" t="str">
        <f aca="false">IF(C681&lt;&gt;"",DEC2HEX(C681,2),"")</f>
        <v/>
      </c>
      <c r="I681" s="1" t="str">
        <f aca="false">IF(D681&lt;&gt;"",DEC2HEX(D681,2),"")</f>
        <v/>
      </c>
      <c r="J681" s="1" t="str">
        <f aca="false">IF(H681&lt;&gt;"","0x"&amp;I681&amp;H681,"")</f>
        <v/>
      </c>
      <c r="L681" s="1" t="s">
        <v>3046</v>
      </c>
      <c r="M681" s="1" t="str">
        <f aca="false">IF(J681&lt;&gt;"",J681,L681)</f>
        <v>33, 33, HAUNTER</v>
      </c>
    </row>
    <row r="682" customFormat="false" ht="12.75" hidden="false" customHeight="true" outlineLevel="0" collapsed="false">
      <c r="A682" s="3" t="s">
        <v>3047</v>
      </c>
      <c r="B682" s="3" t="str">
        <f aca="false">IF(ISNUMBER(SEARCH("%", A682)),RIGHT(A682,3),A682)</f>
        <v>32, 33, NINETALES , &lt;null&gt;, &lt;null&gt;, &lt;null&gt;</v>
      </c>
      <c r="C682" s="1" t="str">
        <f aca="false" t="array" ref="C682:C682">IF(B681="NEW ROUTE",textsplit(B682,","),"")</f>
        <v/>
      </c>
      <c r="H682" s="1" t="str">
        <f aca="false">IF(C682&lt;&gt;"",DEC2HEX(C682,2),"")</f>
        <v/>
      </c>
      <c r="I682" s="1" t="str">
        <f aca="false">IF(D682&lt;&gt;"",DEC2HEX(D682,2),"")</f>
        <v/>
      </c>
      <c r="J682" s="1" t="str">
        <f aca="false">IF(H682&lt;&gt;"","0x"&amp;I682&amp;H682,"")</f>
        <v/>
      </c>
      <c r="L682" s="1" t="s">
        <v>3047</v>
      </c>
      <c r="M682" s="1" t="str">
        <f aca="false">IF(J682&lt;&gt;"",J682,L682)</f>
        <v>32, 33, NINETALES , &lt;null&gt;, &lt;null&gt;, &lt;null&gt;</v>
      </c>
    </row>
    <row r="683" customFormat="false" ht="12.75" hidden="false" customHeight="true" outlineLevel="0" collapsed="false">
      <c r="A683" s="3" t="s">
        <v>2536</v>
      </c>
      <c r="B683" s="3" t="str">
        <f aca="false">IF(ISNUMBER(SEARCH("%", A683)),RIGHT(A683,3),A683)</f>
        <v>NEW ROUTE</v>
      </c>
      <c r="C683" s="1" t="str">
        <f aca="false" t="array" ref="C683:C683">IF(B682="NEW ROUTE",textsplit(B683,","),"")</f>
        <v/>
      </c>
      <c r="H683" s="1" t="str">
        <f aca="false">IF(C683&lt;&gt;"",DEC2HEX(C683,2),"")</f>
        <v/>
      </c>
      <c r="I683" s="1" t="str">
        <f aca="false">IF(D683&lt;&gt;"",DEC2HEX(D683,2),"")</f>
        <v/>
      </c>
      <c r="J683" s="1" t="str">
        <f aca="false">IF(H683&lt;&gt;"","0x"&amp;I683&amp;H683,"")</f>
        <v/>
      </c>
      <c r="L683" s="1" t="s">
        <v>2536</v>
      </c>
      <c r="M683" s="1" t="str">
        <f aca="false">IF(J683&lt;&gt;"",J683,L683)</f>
        <v>NEW ROUTE</v>
      </c>
    </row>
    <row r="684" customFormat="false" ht="12.75" hidden="false" customHeight="true" outlineLevel="0" collapsed="false">
      <c r="A684" s="3" t="s">
        <v>3048</v>
      </c>
      <c r="B684" s="3" t="str">
        <f aca="false">IF(ISNUMBER(SEARCH("%", A684)),RIGHT(A684,3),A684)</f>
        <v>1, 91, 0,</v>
      </c>
      <c r="C684" s="1" t="e">
        <f aca="false" t="array" ref="C684:C684">IF(B683="NEW ROUTE",textsplit(B684,","),"")</f>
        <v>#NAME?</v>
      </c>
      <c r="H684" s="1" t="e">
        <f aca="false">IF(C684&lt;&gt;"",DEC2HEX(C684,2),"")</f>
        <v>#NAME?</v>
      </c>
      <c r="I684" s="1" t="str">
        <f aca="false">IF(D684&lt;&gt;"",DEC2HEX(D684,2),"")</f>
        <v/>
      </c>
      <c r="J684" s="1" t="e">
        <f aca="false">IF(H684&lt;&gt;"","0x"&amp;I684&amp;H684,"")</f>
        <v>#NAME?</v>
      </c>
      <c r="L684" s="1" t="s">
        <v>3048</v>
      </c>
      <c r="M684" s="1" t="e">
        <f aca="false">IF(J684&lt;&gt;"",J684,L684)</f>
        <v>#NAME?</v>
      </c>
    </row>
    <row r="685" customFormat="false" ht="12.75" hidden="false" customHeight="true" outlineLevel="0" collapsed="false">
      <c r="A685" s="3" t="s">
        <v>3049</v>
      </c>
      <c r="B685" s="3" t="str">
        <f aca="false">IF(ISNUMBER(SEARCH("%", A685)),RIGHT(A685,3),A685)</f>
        <v>20%</v>
      </c>
      <c r="C685" s="1" t="str">
        <f aca="false" t="array" ref="C685:C685">IF(B684="NEW ROUTE",textsplit(B685,","),"")</f>
        <v/>
      </c>
      <c r="H685" s="1" t="str">
        <f aca="false">IF(C685&lt;&gt;"",DEC2HEX(C685,2),"")</f>
        <v/>
      </c>
      <c r="I685" s="1" t="str">
        <f aca="false">IF(D685&lt;&gt;"",DEC2HEX(D685,2),"")</f>
        <v/>
      </c>
      <c r="J685" s="1" t="str">
        <f aca="false">IF(H685&lt;&gt;"","0x"&amp;I685&amp;H685,"")</f>
        <v/>
      </c>
      <c r="L685" s="1" t="s">
        <v>2799</v>
      </c>
      <c r="M685" s="1" t="str">
        <f aca="false">IF(J685&lt;&gt;"",J685,L685)</f>
        <v>20%</v>
      </c>
    </row>
    <row r="686" customFormat="false" ht="12.75" hidden="false" customHeight="true" outlineLevel="0" collapsed="false">
      <c r="A686" s="3" t="s">
        <v>1463</v>
      </c>
      <c r="B686" s="3" t="str">
        <f aca="false">IF(ISNUMBER(SEARCH("%", A686)),RIGHT(A686,3),A686)</f>
        <v>28, 31, GASTLY</v>
      </c>
      <c r="C686" s="1" t="str">
        <f aca="false" t="array" ref="C686:C686">IF(B685="NEW ROUTE",textsplit(B686,","),"")</f>
        <v/>
      </c>
      <c r="H686" s="1" t="str">
        <f aca="false">IF(C686&lt;&gt;"",DEC2HEX(C686,2),"")</f>
        <v/>
      </c>
      <c r="I686" s="1" t="str">
        <f aca="false">IF(D686&lt;&gt;"",DEC2HEX(D686,2),"")</f>
        <v/>
      </c>
      <c r="J686" s="1" t="str">
        <f aca="false">IF(H686&lt;&gt;"","0x"&amp;I686&amp;H686,"")</f>
        <v/>
      </c>
      <c r="L686" s="1" t="s">
        <v>1463</v>
      </c>
      <c r="M686" s="1" t="str">
        <f aca="false">IF(J686&lt;&gt;"",J686,L686)</f>
        <v>28, 31, GASTLY</v>
      </c>
    </row>
    <row r="687" customFormat="false" ht="12.75" hidden="false" customHeight="true" outlineLevel="0" collapsed="false">
      <c r="A687" s="3" t="s">
        <v>3037</v>
      </c>
      <c r="B687" s="3" t="str">
        <f aca="false">IF(ISNUMBER(SEARCH("%", A687)),RIGHT(A687,3),A687)</f>
        <v>29, 32, RATTATA</v>
      </c>
      <c r="C687" s="1" t="str">
        <f aca="false" t="array" ref="C687:C687">IF(B686="NEW ROUTE",textsplit(B687,","),"")</f>
        <v/>
      </c>
      <c r="H687" s="1" t="str">
        <f aca="false">IF(C687&lt;&gt;"",DEC2HEX(C687,2),"")</f>
        <v/>
      </c>
      <c r="I687" s="1" t="str">
        <f aca="false">IF(D687&lt;&gt;"",DEC2HEX(D687,2),"")</f>
        <v/>
      </c>
      <c r="J687" s="1" t="str">
        <f aca="false">IF(H687&lt;&gt;"","0x"&amp;I687&amp;H687,"")</f>
        <v/>
      </c>
      <c r="L687" s="1" t="s">
        <v>3037</v>
      </c>
      <c r="M687" s="1" t="str">
        <f aca="false">IF(J687&lt;&gt;"",J687,L687)</f>
        <v>29, 32, RATTATA</v>
      </c>
    </row>
    <row r="688" customFormat="false" ht="12.75" hidden="false" customHeight="true" outlineLevel="0" collapsed="false">
      <c r="A688" s="3" t="s">
        <v>2801</v>
      </c>
      <c r="B688" s="3" t="str">
        <f aca="false">IF(ISNUMBER(SEARCH("%", A688)),RIGHT(A688,3),A688)</f>
        <v>0.1</v>
      </c>
      <c r="C688" s="1" t="str">
        <f aca="false" t="array" ref="C688:C688">IF(B687="NEW ROUTE",textsplit(B688,","),"")</f>
        <v/>
      </c>
      <c r="H688" s="1" t="str">
        <f aca="false">IF(C688&lt;&gt;"",DEC2HEX(C688,2),"")</f>
        <v/>
      </c>
      <c r="I688" s="1" t="str">
        <f aca="false">IF(D688&lt;&gt;"",DEC2HEX(D688,2),"")</f>
        <v/>
      </c>
      <c r="J688" s="1" t="str">
        <f aca="false">IF(H688&lt;&gt;"","0x"&amp;I688&amp;H688,"")</f>
        <v/>
      </c>
      <c r="L688" s="1" t="s">
        <v>2801</v>
      </c>
      <c r="M688" s="1" t="str">
        <f aca="false">IF(J688&lt;&gt;"",J688,L688)</f>
        <v>0.1</v>
      </c>
    </row>
    <row r="689" customFormat="false" ht="12.75" hidden="false" customHeight="true" outlineLevel="0" collapsed="false">
      <c r="A689" s="3" t="s">
        <v>3038</v>
      </c>
      <c r="B689" s="3" t="str">
        <f aca="false">IF(ISNUMBER(SEARCH("%", A689)),RIGHT(A689,3),A689)</f>
        <v>27, 31, CUBONE</v>
      </c>
      <c r="C689" s="1" t="str">
        <f aca="false" t="array" ref="C689:C689">IF(B688="NEW ROUTE",textsplit(B689,","),"")</f>
        <v/>
      </c>
      <c r="H689" s="1" t="str">
        <f aca="false">IF(C689&lt;&gt;"",DEC2HEX(C689,2),"")</f>
        <v/>
      </c>
      <c r="I689" s="1" t="str">
        <f aca="false">IF(D689&lt;&gt;"",DEC2HEX(D689,2),"")</f>
        <v/>
      </c>
      <c r="J689" s="1" t="str">
        <f aca="false">IF(H689&lt;&gt;"","0x"&amp;I689&amp;H689,"")</f>
        <v/>
      </c>
      <c r="L689" s="1" t="s">
        <v>3038</v>
      </c>
      <c r="M689" s="1" t="str">
        <f aca="false">IF(J689&lt;&gt;"",J689,L689)</f>
        <v>27, 31, CUBONE</v>
      </c>
    </row>
    <row r="690" customFormat="false" ht="12.75" hidden="false" customHeight="true" outlineLevel="0" collapsed="false">
      <c r="A690" s="3" t="s">
        <v>3039</v>
      </c>
      <c r="B690" s="3" t="str">
        <f aca="false">IF(ISNUMBER(SEARCH("%", A690)),RIGHT(A690,3),A690)</f>
        <v>29, 32, HAUNTER</v>
      </c>
      <c r="C690" s="1" t="str">
        <f aca="false" t="array" ref="C690:C690">IF(B689="NEW ROUTE",textsplit(B690,","),"")</f>
        <v/>
      </c>
      <c r="H690" s="1" t="str">
        <f aca="false">IF(C690&lt;&gt;"",DEC2HEX(C690,2),"")</f>
        <v/>
      </c>
      <c r="I690" s="1" t="str">
        <f aca="false">IF(D690&lt;&gt;"",DEC2HEX(D690,2),"")</f>
        <v/>
      </c>
      <c r="J690" s="1" t="str">
        <f aca="false">IF(H690&lt;&gt;"","0x"&amp;I690&amp;H690,"")</f>
        <v/>
      </c>
      <c r="L690" s="1" t="s">
        <v>3039</v>
      </c>
      <c r="M690" s="1" t="str">
        <f aca="false">IF(J690&lt;&gt;"",J690,L690)</f>
        <v>29, 32, HAUNTER</v>
      </c>
    </row>
    <row r="691" customFormat="false" ht="12.75" hidden="false" customHeight="true" outlineLevel="0" collapsed="false">
      <c r="A691" s="3" t="s">
        <v>3040</v>
      </c>
      <c r="B691" s="3" t="str">
        <f aca="false">IF(ISNUMBER(SEARCH("%", A691)),RIGHT(A691,3),A691)</f>
        <v>28, 31, DROWZEE</v>
      </c>
      <c r="C691" s="1" t="str">
        <f aca="false" t="array" ref="C691:C691">IF(B690="NEW ROUTE",textsplit(B691,","),"")</f>
        <v/>
      </c>
      <c r="H691" s="1" t="str">
        <f aca="false">IF(C691&lt;&gt;"",DEC2HEX(C691,2),"")</f>
        <v/>
      </c>
      <c r="I691" s="1" t="str">
        <f aca="false">IF(D691&lt;&gt;"",DEC2HEX(D691,2),"")</f>
        <v/>
      </c>
      <c r="J691" s="1" t="str">
        <f aca="false">IF(H691&lt;&gt;"","0x"&amp;I691&amp;H691,"")</f>
        <v/>
      </c>
      <c r="L691" s="1" t="s">
        <v>3040</v>
      </c>
      <c r="M691" s="1" t="str">
        <f aca="false">IF(J691&lt;&gt;"",J691,L691)</f>
        <v>28, 31, DROWZEE</v>
      </c>
    </row>
    <row r="692" customFormat="false" ht="12.75" hidden="false" customHeight="true" outlineLevel="0" collapsed="false">
      <c r="A692" s="3" t="s">
        <v>3041</v>
      </c>
      <c r="B692" s="3" t="str">
        <f aca="false">IF(ISNUMBER(SEARCH("%", A692)),RIGHT(A692,3),A692)</f>
        <v>28, 31, VULPIX</v>
      </c>
      <c r="C692" s="1" t="str">
        <f aca="false" t="array" ref="C692:C692">IF(B691="NEW ROUTE",textsplit(B692,","),"")</f>
        <v/>
      </c>
      <c r="H692" s="1" t="str">
        <f aca="false">IF(C692&lt;&gt;"",DEC2HEX(C692,2),"")</f>
        <v/>
      </c>
      <c r="I692" s="1" t="str">
        <f aca="false">IF(D692&lt;&gt;"",DEC2HEX(D692,2),"")</f>
        <v/>
      </c>
      <c r="J692" s="1" t="str">
        <f aca="false">IF(H692&lt;&gt;"","0x"&amp;I692&amp;H692,"")</f>
        <v/>
      </c>
      <c r="L692" s="1" t="s">
        <v>3041</v>
      </c>
      <c r="M692" s="1" t="str">
        <f aca="false">IF(J692&lt;&gt;"",J692,L692)</f>
        <v>28, 31, VULPIX</v>
      </c>
    </row>
    <row r="693" customFormat="false" ht="12.75" hidden="false" customHeight="true" outlineLevel="0" collapsed="false">
      <c r="A693" s="3" t="s">
        <v>2806</v>
      </c>
      <c r="B693" s="3" t="str">
        <f aca="false">IF(ISNUMBER(SEARCH("%", A693)),RIGHT(A693,3),A693)</f>
        <v>0.05</v>
      </c>
      <c r="C693" s="1" t="str">
        <f aca="false" t="array" ref="C693:C693">IF(B692="NEW ROUTE",textsplit(B693,","),"")</f>
        <v/>
      </c>
      <c r="H693" s="1" t="str">
        <f aca="false">IF(C693&lt;&gt;"",DEC2HEX(C693,2),"")</f>
        <v/>
      </c>
      <c r="I693" s="1" t="str">
        <f aca="false">IF(D693&lt;&gt;"",DEC2HEX(D693,2),"")</f>
        <v/>
      </c>
      <c r="J693" s="1" t="str">
        <f aca="false">IF(H693&lt;&gt;"","0x"&amp;I693&amp;H693,"")</f>
        <v/>
      </c>
      <c r="L693" s="1" t="s">
        <v>2806</v>
      </c>
      <c r="M693" s="1" t="str">
        <f aca="false">IF(J693&lt;&gt;"",J693,L693)</f>
        <v>0.05</v>
      </c>
    </row>
    <row r="694" customFormat="false" ht="12.75" hidden="false" customHeight="true" outlineLevel="0" collapsed="false">
      <c r="A694" s="3" t="s">
        <v>3042</v>
      </c>
      <c r="B694" s="3" t="str">
        <f aca="false">IF(ISNUMBER(SEARCH("%", A694)),RIGHT(A694,3),A694)</f>
        <v>29, 32, HYPNO</v>
      </c>
      <c r="C694" s="1" t="str">
        <f aca="false" t="array" ref="C694:C694">IF(B693="NEW ROUTE",textsplit(B694,","),"")</f>
        <v/>
      </c>
      <c r="H694" s="1" t="str">
        <f aca="false">IF(C694&lt;&gt;"",DEC2HEX(C694,2),"")</f>
        <v/>
      </c>
      <c r="I694" s="1" t="str">
        <f aca="false">IF(D694&lt;&gt;"",DEC2HEX(D694,2),"")</f>
        <v/>
      </c>
      <c r="J694" s="1" t="str">
        <f aca="false">IF(H694&lt;&gt;"","0x"&amp;I694&amp;H694,"")</f>
        <v/>
      </c>
      <c r="L694" s="1" t="s">
        <v>3042</v>
      </c>
      <c r="M694" s="1" t="str">
        <f aca="false">IF(J694&lt;&gt;"",J694,L694)</f>
        <v>29, 32, HYPNO</v>
      </c>
    </row>
    <row r="695" customFormat="false" ht="12.75" hidden="false" customHeight="true" outlineLevel="0" collapsed="false">
      <c r="A695" s="3" t="s">
        <v>3043</v>
      </c>
      <c r="B695" s="3" t="str">
        <f aca="false">IF(ISNUMBER(SEARCH("%", A695)),RIGHT(A695,3),A695)</f>
        <v>28, 31, RATICATE</v>
      </c>
      <c r="C695" s="1" t="str">
        <f aca="false" t="array" ref="C695:C695">IF(B694="NEW ROUTE",textsplit(B695,","),"")</f>
        <v/>
      </c>
      <c r="H695" s="1" t="str">
        <f aca="false">IF(C695&lt;&gt;"",DEC2HEX(C695,2),"")</f>
        <v/>
      </c>
      <c r="I695" s="1" t="str">
        <f aca="false">IF(D695&lt;&gt;"",DEC2HEX(D695,2),"")</f>
        <v/>
      </c>
      <c r="J695" s="1" t="str">
        <f aca="false">IF(H695&lt;&gt;"","0x"&amp;I695&amp;H695,"")</f>
        <v/>
      </c>
      <c r="L695" s="1" t="s">
        <v>3043</v>
      </c>
      <c r="M695" s="1" t="str">
        <f aca="false">IF(J695&lt;&gt;"",J695,L695)</f>
        <v>28, 31, RATICATE</v>
      </c>
    </row>
    <row r="696" customFormat="false" ht="12.75" hidden="false" customHeight="true" outlineLevel="0" collapsed="false">
      <c r="A696" s="3" t="s">
        <v>2809</v>
      </c>
      <c r="B696" s="3" t="str">
        <f aca="false">IF(ISNUMBER(SEARCH("%", A696)),RIGHT(A696,3),A696)</f>
        <v>0.04</v>
      </c>
      <c r="C696" s="1" t="str">
        <f aca="false" t="array" ref="C696:C696">IF(B695="NEW ROUTE",textsplit(B696,","),"")</f>
        <v/>
      </c>
      <c r="H696" s="1" t="str">
        <f aca="false">IF(C696&lt;&gt;"",DEC2HEX(C696,2),"")</f>
        <v/>
      </c>
      <c r="I696" s="1" t="str">
        <f aca="false">IF(D696&lt;&gt;"",DEC2HEX(D696,2),"")</f>
        <v/>
      </c>
      <c r="J696" s="1" t="str">
        <f aca="false">IF(H696&lt;&gt;"","0x"&amp;I696&amp;H696,"")</f>
        <v/>
      </c>
      <c r="L696" s="1" t="s">
        <v>2809</v>
      </c>
      <c r="M696" s="1" t="str">
        <f aca="false">IF(J696&lt;&gt;"",J696,L696)</f>
        <v>0.04</v>
      </c>
    </row>
    <row r="697" customFormat="false" ht="12.75" hidden="false" customHeight="true" outlineLevel="0" collapsed="false">
      <c r="A697" s="3" t="s">
        <v>3044</v>
      </c>
      <c r="B697" s="3" t="str">
        <f aca="false">IF(ISNUMBER(SEARCH("%", A697)),RIGHT(A697,3),A697)</f>
        <v>29, 32, MAROWAK</v>
      </c>
      <c r="C697" s="1" t="str">
        <f aca="false" t="array" ref="C697:C697">IF(B696="NEW ROUTE",textsplit(B697,","),"")</f>
        <v/>
      </c>
      <c r="H697" s="1" t="str">
        <f aca="false">IF(C697&lt;&gt;"",DEC2HEX(C697,2),"")</f>
        <v/>
      </c>
      <c r="I697" s="1" t="str">
        <f aca="false">IF(D697&lt;&gt;"",DEC2HEX(D697,2),"")</f>
        <v/>
      </c>
      <c r="J697" s="1" t="str">
        <f aca="false">IF(H697&lt;&gt;"","0x"&amp;I697&amp;H697,"")</f>
        <v/>
      </c>
      <c r="L697" s="1" t="s">
        <v>3044</v>
      </c>
      <c r="M697" s="1" t="str">
        <f aca="false">IF(J697&lt;&gt;"",J697,L697)</f>
        <v>29, 32, MAROWAK</v>
      </c>
    </row>
    <row r="698" customFormat="false" ht="12.75" hidden="false" customHeight="true" outlineLevel="0" collapsed="false">
      <c r="A698" s="3" t="s">
        <v>3045</v>
      </c>
      <c r="B698" s="3" t="str">
        <f aca="false">IF(ISNUMBER(SEARCH("%", A698)),RIGHT(A698,3),A698)</f>
        <v>28, 31, RATTCHET</v>
      </c>
      <c r="C698" s="1" t="str">
        <f aca="false" t="array" ref="C698:C698">IF(B697="NEW ROUTE",textsplit(B698,","),"")</f>
        <v/>
      </c>
      <c r="H698" s="1" t="str">
        <f aca="false">IF(C698&lt;&gt;"",DEC2HEX(C698,2),"")</f>
        <v/>
      </c>
      <c r="I698" s="1" t="str">
        <f aca="false">IF(D698&lt;&gt;"",DEC2HEX(D698,2),"")</f>
        <v/>
      </c>
      <c r="J698" s="1" t="str">
        <f aca="false">IF(H698&lt;&gt;"","0x"&amp;I698&amp;H698,"")</f>
        <v/>
      </c>
      <c r="L698" s="1" t="s">
        <v>3045</v>
      </c>
      <c r="M698" s="1" t="str">
        <f aca="false">IF(J698&lt;&gt;"",J698,L698)</f>
        <v>28, 31, RATTCHET</v>
      </c>
    </row>
    <row r="699" customFormat="false" ht="12.75" hidden="false" customHeight="true" outlineLevel="0" collapsed="false">
      <c r="A699" s="3" t="s">
        <v>2812</v>
      </c>
      <c r="B699" s="3" t="str">
        <f aca="false">IF(ISNUMBER(SEARCH("%", A699)),RIGHT(A699,3),A699)</f>
        <v>0.01</v>
      </c>
      <c r="C699" s="1" t="str">
        <f aca="false" t="array" ref="C699:C699">IF(B698="NEW ROUTE",textsplit(B699,","),"")</f>
        <v/>
      </c>
      <c r="H699" s="1" t="str">
        <f aca="false">IF(C699&lt;&gt;"",DEC2HEX(C699,2),"")</f>
        <v/>
      </c>
      <c r="I699" s="1" t="str">
        <f aca="false">IF(D699&lt;&gt;"",DEC2HEX(D699,2),"")</f>
        <v/>
      </c>
      <c r="J699" s="1" t="str">
        <f aca="false">IF(H699&lt;&gt;"","0x"&amp;I699&amp;H699,"")</f>
        <v/>
      </c>
      <c r="L699" s="1" t="s">
        <v>2812</v>
      </c>
      <c r="M699" s="1" t="str">
        <f aca="false">IF(J699&lt;&gt;"",J699,L699)</f>
        <v>0.01</v>
      </c>
    </row>
    <row r="700" customFormat="false" ht="12.75" hidden="false" customHeight="true" outlineLevel="0" collapsed="false">
      <c r="A700" s="3" t="s">
        <v>3046</v>
      </c>
      <c r="B700" s="3" t="str">
        <f aca="false">IF(ISNUMBER(SEARCH("%", A700)),RIGHT(A700,3),A700)</f>
        <v>33, 33, HAUNTER</v>
      </c>
      <c r="C700" s="1" t="str">
        <f aca="false" t="array" ref="C700:C700">IF(B699="NEW ROUTE",textsplit(B700,","),"")</f>
        <v/>
      </c>
      <c r="H700" s="1" t="str">
        <f aca="false">IF(C700&lt;&gt;"",DEC2HEX(C700,2),"")</f>
        <v/>
      </c>
      <c r="I700" s="1" t="str">
        <f aca="false">IF(D700&lt;&gt;"",DEC2HEX(D700,2),"")</f>
        <v/>
      </c>
      <c r="J700" s="1" t="str">
        <f aca="false">IF(H700&lt;&gt;"","0x"&amp;I700&amp;H700,"")</f>
        <v/>
      </c>
      <c r="L700" s="1" t="s">
        <v>3046</v>
      </c>
      <c r="M700" s="1" t="str">
        <f aca="false">IF(J700&lt;&gt;"",J700,L700)</f>
        <v>33, 33, HAUNTER</v>
      </c>
    </row>
    <row r="701" customFormat="false" ht="12.75" hidden="false" customHeight="true" outlineLevel="0" collapsed="false">
      <c r="A701" s="3" t="s">
        <v>3047</v>
      </c>
      <c r="B701" s="3" t="str">
        <f aca="false">IF(ISNUMBER(SEARCH("%", A701)),RIGHT(A701,3),A701)</f>
        <v>32, 33, NINETALES , &lt;null&gt;, &lt;null&gt;, &lt;null&gt;</v>
      </c>
      <c r="C701" s="1" t="str">
        <f aca="false" t="array" ref="C701:C701">IF(B700="NEW ROUTE",textsplit(B701,","),"")</f>
        <v/>
      </c>
      <c r="H701" s="1" t="str">
        <f aca="false">IF(C701&lt;&gt;"",DEC2HEX(C701,2),"")</f>
        <v/>
      </c>
      <c r="I701" s="1" t="str">
        <f aca="false">IF(D701&lt;&gt;"",DEC2HEX(D701,2),"")</f>
        <v/>
      </c>
      <c r="J701" s="1" t="str">
        <f aca="false">IF(H701&lt;&gt;"","0x"&amp;I701&amp;H701,"")</f>
        <v/>
      </c>
      <c r="L701" s="1" t="s">
        <v>3047</v>
      </c>
      <c r="M701" s="1" t="str">
        <f aca="false">IF(J701&lt;&gt;"",J701,L701)</f>
        <v>32, 33, NINETALES , &lt;null&gt;, &lt;null&gt;, &lt;null&gt;</v>
      </c>
    </row>
    <row r="702" customFormat="false" ht="12.75" hidden="false" customHeight="true" outlineLevel="0" collapsed="false">
      <c r="A702" s="3" t="s">
        <v>2536</v>
      </c>
      <c r="B702" s="3" t="str">
        <f aca="false">IF(ISNUMBER(SEARCH("%", A702)),RIGHT(A702,3),A702)</f>
        <v>NEW ROUTE</v>
      </c>
      <c r="C702" s="1" t="str">
        <f aca="false" t="array" ref="C702:C702">IF(B701="NEW ROUTE",textsplit(B702,","),"")</f>
        <v/>
      </c>
      <c r="H702" s="1" t="str">
        <f aca="false">IF(C702&lt;&gt;"",DEC2HEX(C702,2),"")</f>
        <v/>
      </c>
      <c r="I702" s="1" t="str">
        <f aca="false">IF(D702&lt;&gt;"",DEC2HEX(D702,2),"")</f>
        <v/>
      </c>
      <c r="J702" s="1" t="str">
        <f aca="false">IF(H702&lt;&gt;"","0x"&amp;I702&amp;H702,"")</f>
        <v/>
      </c>
      <c r="L702" s="1" t="s">
        <v>2536</v>
      </c>
      <c r="M702" s="1" t="str">
        <f aca="false">IF(J702&lt;&gt;"",J702,L702)</f>
        <v>NEW ROUTE</v>
      </c>
    </row>
    <row r="703" customFormat="false" ht="12.75" hidden="false" customHeight="true" outlineLevel="0" collapsed="false">
      <c r="A703" s="3" t="s">
        <v>3050</v>
      </c>
      <c r="B703" s="3" t="str">
        <f aca="false">IF(ISNUMBER(SEARCH("%", A703)),RIGHT(A703,3),A703)</f>
        <v>1, 92, 0,</v>
      </c>
      <c r="C703" s="1" t="e">
        <f aca="false" t="array" ref="C703:C703">IF(B702="NEW ROUTE",textsplit(B703,","),"")</f>
        <v>#NAME?</v>
      </c>
      <c r="H703" s="1" t="e">
        <f aca="false">IF(C703&lt;&gt;"",DEC2HEX(C703,2),"")</f>
        <v>#NAME?</v>
      </c>
      <c r="I703" s="1" t="str">
        <f aca="false">IF(D703&lt;&gt;"",DEC2HEX(D703,2),"")</f>
        <v/>
      </c>
      <c r="J703" s="1" t="e">
        <f aca="false">IF(H703&lt;&gt;"","0x"&amp;I703&amp;H703,"")</f>
        <v>#NAME?</v>
      </c>
      <c r="L703" s="1" t="s">
        <v>3050</v>
      </c>
      <c r="M703" s="1" t="e">
        <f aca="false">IF(J703&lt;&gt;"",J703,L703)</f>
        <v>#NAME?</v>
      </c>
    </row>
    <row r="704" customFormat="false" ht="12.75" hidden="false" customHeight="true" outlineLevel="0" collapsed="false">
      <c r="A704" s="3" t="s">
        <v>3051</v>
      </c>
      <c r="B704" s="3" t="str">
        <f aca="false">IF(ISNUMBER(SEARCH("%", A704)),RIGHT(A704,3),A704)</f>
        <v>20%</v>
      </c>
      <c r="C704" s="1" t="str">
        <f aca="false" t="array" ref="C704:C704">IF(B703="NEW ROUTE",textsplit(B704,","),"")</f>
        <v/>
      </c>
      <c r="H704" s="1" t="str">
        <f aca="false">IF(C704&lt;&gt;"",DEC2HEX(C704,2),"")</f>
        <v/>
      </c>
      <c r="I704" s="1" t="str">
        <f aca="false">IF(D704&lt;&gt;"",DEC2HEX(D704,2),"")</f>
        <v/>
      </c>
      <c r="J704" s="1" t="str">
        <f aca="false">IF(H704&lt;&gt;"","0x"&amp;I704&amp;H704,"")</f>
        <v/>
      </c>
      <c r="L704" s="1" t="s">
        <v>2799</v>
      </c>
      <c r="M704" s="1" t="str">
        <f aca="false">IF(J704&lt;&gt;"",J704,L704)</f>
        <v>20%</v>
      </c>
    </row>
    <row r="705" customFormat="false" ht="12.75" hidden="false" customHeight="true" outlineLevel="0" collapsed="false">
      <c r="A705" s="3" t="s">
        <v>1463</v>
      </c>
      <c r="B705" s="3" t="str">
        <f aca="false">IF(ISNUMBER(SEARCH("%", A705)),RIGHT(A705,3),A705)</f>
        <v>28, 31, GASTLY</v>
      </c>
      <c r="C705" s="1" t="str">
        <f aca="false" t="array" ref="C705:C705">IF(B704="NEW ROUTE",textsplit(B705,","),"")</f>
        <v/>
      </c>
      <c r="H705" s="1" t="str">
        <f aca="false">IF(C705&lt;&gt;"",DEC2HEX(C705,2),"")</f>
        <v/>
      </c>
      <c r="I705" s="1" t="str">
        <f aca="false">IF(D705&lt;&gt;"",DEC2HEX(D705,2),"")</f>
        <v/>
      </c>
      <c r="J705" s="1" t="str">
        <f aca="false">IF(H705&lt;&gt;"","0x"&amp;I705&amp;H705,"")</f>
        <v/>
      </c>
      <c r="L705" s="1" t="s">
        <v>1463</v>
      </c>
      <c r="M705" s="1" t="str">
        <f aca="false">IF(J705&lt;&gt;"",J705,L705)</f>
        <v>28, 31, GASTLY</v>
      </c>
    </row>
    <row r="706" customFormat="false" ht="12.75" hidden="false" customHeight="true" outlineLevel="0" collapsed="false">
      <c r="A706" s="3" t="s">
        <v>3037</v>
      </c>
      <c r="B706" s="3" t="str">
        <f aca="false">IF(ISNUMBER(SEARCH("%", A706)),RIGHT(A706,3),A706)</f>
        <v>29, 32, RATTATA</v>
      </c>
      <c r="C706" s="1" t="str">
        <f aca="false" t="array" ref="C706:C706">IF(B705="NEW ROUTE",textsplit(B706,","),"")</f>
        <v/>
      </c>
      <c r="H706" s="1" t="str">
        <f aca="false">IF(C706&lt;&gt;"",DEC2HEX(C706,2),"")</f>
        <v/>
      </c>
      <c r="I706" s="1" t="str">
        <f aca="false">IF(D706&lt;&gt;"",DEC2HEX(D706,2),"")</f>
        <v/>
      </c>
      <c r="J706" s="1" t="str">
        <f aca="false">IF(H706&lt;&gt;"","0x"&amp;I706&amp;H706,"")</f>
        <v/>
      </c>
      <c r="L706" s="1" t="s">
        <v>3037</v>
      </c>
      <c r="M706" s="1" t="str">
        <f aca="false">IF(J706&lt;&gt;"",J706,L706)</f>
        <v>29, 32, RATTATA</v>
      </c>
    </row>
    <row r="707" customFormat="false" ht="12.75" hidden="false" customHeight="true" outlineLevel="0" collapsed="false">
      <c r="A707" s="3" t="s">
        <v>2801</v>
      </c>
      <c r="B707" s="3" t="str">
        <f aca="false">IF(ISNUMBER(SEARCH("%", A707)),RIGHT(A707,3),A707)</f>
        <v>0.1</v>
      </c>
      <c r="C707" s="1" t="str">
        <f aca="false" t="array" ref="C707:C707">IF(B706="NEW ROUTE",textsplit(B707,","),"")</f>
        <v/>
      </c>
      <c r="H707" s="1" t="str">
        <f aca="false">IF(C707&lt;&gt;"",DEC2HEX(C707,2),"")</f>
        <v/>
      </c>
      <c r="I707" s="1" t="str">
        <f aca="false">IF(D707&lt;&gt;"",DEC2HEX(D707,2),"")</f>
        <v/>
      </c>
      <c r="J707" s="1" t="str">
        <f aca="false">IF(H707&lt;&gt;"","0x"&amp;I707&amp;H707,"")</f>
        <v/>
      </c>
      <c r="L707" s="1" t="s">
        <v>2801</v>
      </c>
      <c r="M707" s="1" t="str">
        <f aca="false">IF(J707&lt;&gt;"",J707,L707)</f>
        <v>0.1</v>
      </c>
    </row>
    <row r="708" customFormat="false" ht="12.75" hidden="false" customHeight="true" outlineLevel="0" collapsed="false">
      <c r="A708" s="3" t="s">
        <v>3038</v>
      </c>
      <c r="B708" s="3" t="str">
        <f aca="false">IF(ISNUMBER(SEARCH("%", A708)),RIGHT(A708,3),A708)</f>
        <v>27, 31, CUBONE</v>
      </c>
      <c r="C708" s="1" t="str">
        <f aca="false" t="array" ref="C708:C708">IF(B707="NEW ROUTE",textsplit(B708,","),"")</f>
        <v/>
      </c>
      <c r="H708" s="1" t="str">
        <f aca="false">IF(C708&lt;&gt;"",DEC2HEX(C708,2),"")</f>
        <v/>
      </c>
      <c r="I708" s="1" t="str">
        <f aca="false">IF(D708&lt;&gt;"",DEC2HEX(D708,2),"")</f>
        <v/>
      </c>
      <c r="J708" s="1" t="str">
        <f aca="false">IF(H708&lt;&gt;"","0x"&amp;I708&amp;H708,"")</f>
        <v/>
      </c>
      <c r="L708" s="1" t="s">
        <v>3038</v>
      </c>
      <c r="M708" s="1" t="str">
        <f aca="false">IF(J708&lt;&gt;"",J708,L708)</f>
        <v>27, 31, CUBONE</v>
      </c>
    </row>
    <row r="709" customFormat="false" ht="12.75" hidden="false" customHeight="true" outlineLevel="0" collapsed="false">
      <c r="A709" s="3" t="s">
        <v>3039</v>
      </c>
      <c r="B709" s="3" t="str">
        <f aca="false">IF(ISNUMBER(SEARCH("%", A709)),RIGHT(A709,3),A709)</f>
        <v>29, 32, HAUNTER</v>
      </c>
      <c r="C709" s="1" t="str">
        <f aca="false" t="array" ref="C709:C709">IF(B708="NEW ROUTE",textsplit(B709,","),"")</f>
        <v/>
      </c>
      <c r="H709" s="1" t="str">
        <f aca="false">IF(C709&lt;&gt;"",DEC2HEX(C709,2),"")</f>
        <v/>
      </c>
      <c r="I709" s="1" t="str">
        <f aca="false">IF(D709&lt;&gt;"",DEC2HEX(D709,2),"")</f>
        <v/>
      </c>
      <c r="J709" s="1" t="str">
        <f aca="false">IF(H709&lt;&gt;"","0x"&amp;I709&amp;H709,"")</f>
        <v/>
      </c>
      <c r="L709" s="1" t="s">
        <v>3039</v>
      </c>
      <c r="M709" s="1" t="str">
        <f aca="false">IF(J709&lt;&gt;"",J709,L709)</f>
        <v>29, 32, HAUNTER</v>
      </c>
    </row>
    <row r="710" customFormat="false" ht="12.75" hidden="false" customHeight="true" outlineLevel="0" collapsed="false">
      <c r="A710" s="3" t="s">
        <v>3040</v>
      </c>
      <c r="B710" s="3" t="str">
        <f aca="false">IF(ISNUMBER(SEARCH("%", A710)),RIGHT(A710,3),A710)</f>
        <v>28, 31, DROWZEE</v>
      </c>
      <c r="C710" s="1" t="str">
        <f aca="false" t="array" ref="C710:C710">IF(B709="NEW ROUTE",textsplit(B710,","),"")</f>
        <v/>
      </c>
      <c r="H710" s="1" t="str">
        <f aca="false">IF(C710&lt;&gt;"",DEC2HEX(C710,2),"")</f>
        <v/>
      </c>
      <c r="I710" s="1" t="str">
        <f aca="false">IF(D710&lt;&gt;"",DEC2HEX(D710,2),"")</f>
        <v/>
      </c>
      <c r="J710" s="1" t="str">
        <f aca="false">IF(H710&lt;&gt;"","0x"&amp;I710&amp;H710,"")</f>
        <v/>
      </c>
      <c r="L710" s="1" t="s">
        <v>3040</v>
      </c>
      <c r="M710" s="1" t="str">
        <f aca="false">IF(J710&lt;&gt;"",J710,L710)</f>
        <v>28, 31, DROWZEE</v>
      </c>
    </row>
    <row r="711" customFormat="false" ht="12.75" hidden="false" customHeight="true" outlineLevel="0" collapsed="false">
      <c r="A711" s="3" t="s">
        <v>3041</v>
      </c>
      <c r="B711" s="3" t="str">
        <f aca="false">IF(ISNUMBER(SEARCH("%", A711)),RIGHT(A711,3),A711)</f>
        <v>28, 31, VULPIX</v>
      </c>
      <c r="C711" s="1" t="str">
        <f aca="false" t="array" ref="C711:C711">IF(B710="NEW ROUTE",textsplit(B711,","),"")</f>
        <v/>
      </c>
      <c r="H711" s="1" t="str">
        <f aca="false">IF(C711&lt;&gt;"",DEC2HEX(C711,2),"")</f>
        <v/>
      </c>
      <c r="I711" s="1" t="str">
        <f aca="false">IF(D711&lt;&gt;"",DEC2HEX(D711,2),"")</f>
        <v/>
      </c>
      <c r="J711" s="1" t="str">
        <f aca="false">IF(H711&lt;&gt;"","0x"&amp;I711&amp;H711,"")</f>
        <v/>
      </c>
      <c r="L711" s="1" t="s">
        <v>3041</v>
      </c>
      <c r="M711" s="1" t="str">
        <f aca="false">IF(J711&lt;&gt;"",J711,L711)</f>
        <v>28, 31, VULPIX</v>
      </c>
    </row>
    <row r="712" customFormat="false" ht="12.75" hidden="false" customHeight="true" outlineLevel="0" collapsed="false">
      <c r="A712" s="3" t="s">
        <v>2806</v>
      </c>
      <c r="B712" s="3" t="str">
        <f aca="false">IF(ISNUMBER(SEARCH("%", A712)),RIGHT(A712,3),A712)</f>
        <v>0.05</v>
      </c>
      <c r="C712" s="1" t="str">
        <f aca="false" t="array" ref="C712:C712">IF(B711="NEW ROUTE",textsplit(B712,","),"")</f>
        <v/>
      </c>
      <c r="H712" s="1" t="str">
        <f aca="false">IF(C712&lt;&gt;"",DEC2HEX(C712,2),"")</f>
        <v/>
      </c>
      <c r="I712" s="1" t="str">
        <f aca="false">IF(D712&lt;&gt;"",DEC2HEX(D712,2),"")</f>
        <v/>
      </c>
      <c r="J712" s="1" t="str">
        <f aca="false">IF(H712&lt;&gt;"","0x"&amp;I712&amp;H712,"")</f>
        <v/>
      </c>
      <c r="L712" s="1" t="s">
        <v>2806</v>
      </c>
      <c r="M712" s="1" t="str">
        <f aca="false">IF(J712&lt;&gt;"",J712,L712)</f>
        <v>0.05</v>
      </c>
    </row>
    <row r="713" customFormat="false" ht="12.75" hidden="false" customHeight="true" outlineLevel="0" collapsed="false">
      <c r="A713" s="3" t="s">
        <v>3042</v>
      </c>
      <c r="B713" s="3" t="str">
        <f aca="false">IF(ISNUMBER(SEARCH("%", A713)),RIGHT(A713,3),A713)</f>
        <v>29, 32, HYPNO</v>
      </c>
      <c r="C713" s="1" t="str">
        <f aca="false" t="array" ref="C713:C713">IF(B712="NEW ROUTE",textsplit(B713,","),"")</f>
        <v/>
      </c>
      <c r="H713" s="1" t="str">
        <f aca="false">IF(C713&lt;&gt;"",DEC2HEX(C713,2),"")</f>
        <v/>
      </c>
      <c r="I713" s="1" t="str">
        <f aca="false">IF(D713&lt;&gt;"",DEC2HEX(D713,2),"")</f>
        <v/>
      </c>
      <c r="J713" s="1" t="str">
        <f aca="false">IF(H713&lt;&gt;"","0x"&amp;I713&amp;H713,"")</f>
        <v/>
      </c>
      <c r="L713" s="1" t="s">
        <v>3042</v>
      </c>
      <c r="M713" s="1" t="str">
        <f aca="false">IF(J713&lt;&gt;"",J713,L713)</f>
        <v>29, 32, HYPNO</v>
      </c>
    </row>
    <row r="714" customFormat="false" ht="12.75" hidden="false" customHeight="true" outlineLevel="0" collapsed="false">
      <c r="A714" s="3" t="s">
        <v>3043</v>
      </c>
      <c r="B714" s="3" t="str">
        <f aca="false">IF(ISNUMBER(SEARCH("%", A714)),RIGHT(A714,3),A714)</f>
        <v>28, 31, RATICATE</v>
      </c>
      <c r="C714" s="1" t="str">
        <f aca="false" t="array" ref="C714:C714">IF(B713="NEW ROUTE",textsplit(B714,","),"")</f>
        <v/>
      </c>
      <c r="H714" s="1" t="str">
        <f aca="false">IF(C714&lt;&gt;"",DEC2HEX(C714,2),"")</f>
        <v/>
      </c>
      <c r="I714" s="1" t="str">
        <f aca="false">IF(D714&lt;&gt;"",DEC2HEX(D714,2),"")</f>
        <v/>
      </c>
      <c r="J714" s="1" t="str">
        <f aca="false">IF(H714&lt;&gt;"","0x"&amp;I714&amp;H714,"")</f>
        <v/>
      </c>
      <c r="L714" s="1" t="s">
        <v>3043</v>
      </c>
      <c r="M714" s="1" t="str">
        <f aca="false">IF(J714&lt;&gt;"",J714,L714)</f>
        <v>28, 31, RATICATE</v>
      </c>
    </row>
    <row r="715" customFormat="false" ht="12.75" hidden="false" customHeight="true" outlineLevel="0" collapsed="false">
      <c r="A715" s="3" t="s">
        <v>2809</v>
      </c>
      <c r="B715" s="3" t="str">
        <f aca="false">IF(ISNUMBER(SEARCH("%", A715)),RIGHT(A715,3),A715)</f>
        <v>0.04</v>
      </c>
      <c r="C715" s="1" t="str">
        <f aca="false" t="array" ref="C715:C715">IF(B714="NEW ROUTE",textsplit(B715,","),"")</f>
        <v/>
      </c>
      <c r="H715" s="1" t="str">
        <f aca="false">IF(C715&lt;&gt;"",DEC2HEX(C715,2),"")</f>
        <v/>
      </c>
      <c r="I715" s="1" t="str">
        <f aca="false">IF(D715&lt;&gt;"",DEC2HEX(D715,2),"")</f>
        <v/>
      </c>
      <c r="J715" s="1" t="str">
        <f aca="false">IF(H715&lt;&gt;"","0x"&amp;I715&amp;H715,"")</f>
        <v/>
      </c>
      <c r="L715" s="1" t="s">
        <v>2809</v>
      </c>
      <c r="M715" s="1" t="str">
        <f aca="false">IF(J715&lt;&gt;"",J715,L715)</f>
        <v>0.04</v>
      </c>
    </row>
    <row r="716" customFormat="false" ht="12.75" hidden="false" customHeight="true" outlineLevel="0" collapsed="false">
      <c r="A716" s="3" t="s">
        <v>3044</v>
      </c>
      <c r="B716" s="3" t="str">
        <f aca="false">IF(ISNUMBER(SEARCH("%", A716)),RIGHT(A716,3),A716)</f>
        <v>29, 32, MAROWAK</v>
      </c>
      <c r="C716" s="1" t="str">
        <f aca="false" t="array" ref="C716:C716">IF(B715="NEW ROUTE",textsplit(B716,","),"")</f>
        <v/>
      </c>
      <c r="H716" s="1" t="str">
        <f aca="false">IF(C716&lt;&gt;"",DEC2HEX(C716,2),"")</f>
        <v/>
      </c>
      <c r="I716" s="1" t="str">
        <f aca="false">IF(D716&lt;&gt;"",DEC2HEX(D716,2),"")</f>
        <v/>
      </c>
      <c r="J716" s="1" t="str">
        <f aca="false">IF(H716&lt;&gt;"","0x"&amp;I716&amp;H716,"")</f>
        <v/>
      </c>
      <c r="L716" s="1" t="s">
        <v>3044</v>
      </c>
      <c r="M716" s="1" t="str">
        <f aca="false">IF(J716&lt;&gt;"",J716,L716)</f>
        <v>29, 32, MAROWAK</v>
      </c>
    </row>
    <row r="717" customFormat="false" ht="12.75" hidden="false" customHeight="true" outlineLevel="0" collapsed="false">
      <c r="A717" s="3" t="s">
        <v>3045</v>
      </c>
      <c r="B717" s="3" t="str">
        <f aca="false">IF(ISNUMBER(SEARCH("%", A717)),RIGHT(A717,3),A717)</f>
        <v>28, 31, RATTCHET</v>
      </c>
      <c r="C717" s="1" t="str">
        <f aca="false" t="array" ref="C717:C717">IF(B716="NEW ROUTE",textsplit(B717,","),"")</f>
        <v/>
      </c>
      <c r="H717" s="1" t="str">
        <f aca="false">IF(C717&lt;&gt;"",DEC2HEX(C717,2),"")</f>
        <v/>
      </c>
      <c r="I717" s="1" t="str">
        <f aca="false">IF(D717&lt;&gt;"",DEC2HEX(D717,2),"")</f>
        <v/>
      </c>
      <c r="J717" s="1" t="str">
        <f aca="false">IF(H717&lt;&gt;"","0x"&amp;I717&amp;H717,"")</f>
        <v/>
      </c>
      <c r="L717" s="1" t="s">
        <v>3045</v>
      </c>
      <c r="M717" s="1" t="str">
        <f aca="false">IF(J717&lt;&gt;"",J717,L717)</f>
        <v>28, 31, RATTCHET</v>
      </c>
    </row>
    <row r="718" customFormat="false" ht="12.75" hidden="false" customHeight="true" outlineLevel="0" collapsed="false">
      <c r="A718" s="3" t="s">
        <v>2812</v>
      </c>
      <c r="B718" s="3" t="str">
        <f aca="false">IF(ISNUMBER(SEARCH("%", A718)),RIGHT(A718,3),A718)</f>
        <v>0.01</v>
      </c>
      <c r="C718" s="1" t="str">
        <f aca="false" t="array" ref="C718:C718">IF(B717="NEW ROUTE",textsplit(B718,","),"")</f>
        <v/>
      </c>
      <c r="H718" s="1" t="str">
        <f aca="false">IF(C718&lt;&gt;"",DEC2HEX(C718,2),"")</f>
        <v/>
      </c>
      <c r="I718" s="1" t="str">
        <f aca="false">IF(D718&lt;&gt;"",DEC2HEX(D718,2),"")</f>
        <v/>
      </c>
      <c r="J718" s="1" t="str">
        <f aca="false">IF(H718&lt;&gt;"","0x"&amp;I718&amp;H718,"")</f>
        <v/>
      </c>
      <c r="L718" s="1" t="s">
        <v>2812</v>
      </c>
      <c r="M718" s="1" t="str">
        <f aca="false">IF(J718&lt;&gt;"",J718,L718)</f>
        <v>0.01</v>
      </c>
    </row>
    <row r="719" customFormat="false" ht="12.75" hidden="false" customHeight="true" outlineLevel="0" collapsed="false">
      <c r="A719" s="3" t="s">
        <v>3046</v>
      </c>
      <c r="B719" s="3" t="str">
        <f aca="false">IF(ISNUMBER(SEARCH("%", A719)),RIGHT(A719,3),A719)</f>
        <v>33, 33, HAUNTER</v>
      </c>
      <c r="C719" s="1" t="str">
        <f aca="false" t="array" ref="C719:C719">IF(B718="NEW ROUTE",textsplit(B719,","),"")</f>
        <v/>
      </c>
      <c r="H719" s="1" t="str">
        <f aca="false">IF(C719&lt;&gt;"",DEC2HEX(C719,2),"")</f>
        <v/>
      </c>
      <c r="I719" s="1" t="str">
        <f aca="false">IF(D719&lt;&gt;"",DEC2HEX(D719,2),"")</f>
        <v/>
      </c>
      <c r="J719" s="1" t="str">
        <f aca="false">IF(H719&lt;&gt;"","0x"&amp;I719&amp;H719,"")</f>
        <v/>
      </c>
      <c r="L719" s="1" t="s">
        <v>3046</v>
      </c>
      <c r="M719" s="1" t="str">
        <f aca="false">IF(J719&lt;&gt;"",J719,L719)</f>
        <v>33, 33, HAUNTER</v>
      </c>
    </row>
    <row r="720" customFormat="false" ht="12.75" hidden="false" customHeight="true" outlineLevel="0" collapsed="false">
      <c r="A720" s="3" t="s">
        <v>3047</v>
      </c>
      <c r="B720" s="3" t="str">
        <f aca="false">IF(ISNUMBER(SEARCH("%", A720)),RIGHT(A720,3),A720)</f>
        <v>32, 33, NINETALES , &lt;null&gt;, &lt;null&gt;, &lt;null&gt;</v>
      </c>
      <c r="C720" s="1" t="str">
        <f aca="false" t="array" ref="C720:C720">IF(B719="NEW ROUTE",textsplit(B720,","),"")</f>
        <v/>
      </c>
      <c r="H720" s="1" t="str">
        <f aca="false">IF(C720&lt;&gt;"",DEC2HEX(C720,2),"")</f>
        <v/>
      </c>
      <c r="I720" s="1" t="str">
        <f aca="false">IF(D720&lt;&gt;"",DEC2HEX(D720,2),"")</f>
        <v/>
      </c>
      <c r="J720" s="1" t="str">
        <f aca="false">IF(H720&lt;&gt;"","0x"&amp;I720&amp;H720,"")</f>
        <v/>
      </c>
      <c r="L720" s="1" t="s">
        <v>3047</v>
      </c>
      <c r="M720" s="1" t="str">
        <f aca="false">IF(J720&lt;&gt;"",J720,L720)</f>
        <v>32, 33, NINETALES , &lt;null&gt;, &lt;null&gt;, &lt;null&gt;</v>
      </c>
    </row>
    <row r="721" customFormat="false" ht="12.75" hidden="false" customHeight="true" outlineLevel="0" collapsed="false">
      <c r="A721" s="3" t="s">
        <v>2536</v>
      </c>
      <c r="B721" s="3" t="str">
        <f aca="false">IF(ISNUMBER(SEARCH("%", A721)),RIGHT(A721,3),A721)</f>
        <v>NEW ROUTE</v>
      </c>
      <c r="C721" s="1" t="str">
        <f aca="false" t="array" ref="C721:C721">IF(B720="NEW ROUTE",textsplit(B721,","),"")</f>
        <v/>
      </c>
      <c r="H721" s="1" t="str">
        <f aca="false">IF(C721&lt;&gt;"",DEC2HEX(C721,2),"")</f>
        <v/>
      </c>
      <c r="I721" s="1" t="str">
        <f aca="false">IF(D721&lt;&gt;"",DEC2HEX(D721,2),"")</f>
        <v/>
      </c>
      <c r="J721" s="1" t="str">
        <f aca="false">IF(H721&lt;&gt;"","0x"&amp;I721&amp;H721,"")</f>
        <v/>
      </c>
      <c r="L721" s="1" t="s">
        <v>2536</v>
      </c>
      <c r="M721" s="1" t="str">
        <f aca="false">IF(J721&lt;&gt;"",J721,L721)</f>
        <v>NEW ROUTE</v>
      </c>
    </row>
    <row r="722" customFormat="false" ht="12.75" hidden="false" customHeight="true" outlineLevel="0" collapsed="false">
      <c r="A722" s="3" t="s">
        <v>3052</v>
      </c>
      <c r="B722" s="3" t="str">
        <f aca="false">IF(ISNUMBER(SEARCH("%", A722)),RIGHT(A722,3),A722)</f>
        <v>1, 93, 0,</v>
      </c>
      <c r="C722" s="1" t="e">
        <f aca="false" t="array" ref="C722:C722">IF(B721="NEW ROUTE",textsplit(B722,","),"")</f>
        <v>#NAME?</v>
      </c>
      <c r="H722" s="1" t="e">
        <f aca="false">IF(C722&lt;&gt;"",DEC2HEX(C722,2),"")</f>
        <v>#NAME?</v>
      </c>
      <c r="I722" s="1" t="str">
        <f aca="false">IF(D722&lt;&gt;"",DEC2HEX(D722,2),"")</f>
        <v/>
      </c>
      <c r="J722" s="1" t="e">
        <f aca="false">IF(H722&lt;&gt;"","0x"&amp;I722&amp;H722,"")</f>
        <v>#NAME?</v>
      </c>
      <c r="L722" s="1" t="s">
        <v>3052</v>
      </c>
      <c r="M722" s="1" t="e">
        <f aca="false">IF(J722&lt;&gt;"",J722,L722)</f>
        <v>#NAME?</v>
      </c>
    </row>
    <row r="723" customFormat="false" ht="12.75" hidden="false" customHeight="true" outlineLevel="0" collapsed="false">
      <c r="A723" s="3" t="s">
        <v>3053</v>
      </c>
      <c r="B723" s="3" t="str">
        <f aca="false">IF(ISNUMBER(SEARCH("%", A723)),RIGHT(A723,3),A723)</f>
        <v>20%</v>
      </c>
      <c r="C723" s="1" t="str">
        <f aca="false" t="array" ref="C723:C723">IF(B722="NEW ROUTE",textsplit(B723,","),"")</f>
        <v/>
      </c>
      <c r="H723" s="1" t="str">
        <f aca="false">IF(C723&lt;&gt;"",DEC2HEX(C723,2),"")</f>
        <v/>
      </c>
      <c r="I723" s="1" t="str">
        <f aca="false">IF(D723&lt;&gt;"",DEC2HEX(D723,2),"")</f>
        <v/>
      </c>
      <c r="J723" s="1" t="str">
        <f aca="false">IF(H723&lt;&gt;"","0x"&amp;I723&amp;H723,"")</f>
        <v/>
      </c>
      <c r="L723" s="1" t="s">
        <v>2799</v>
      </c>
      <c r="M723" s="1" t="str">
        <f aca="false">IF(J723&lt;&gt;"",J723,L723)</f>
        <v>20%</v>
      </c>
    </row>
    <row r="724" customFormat="false" ht="12.75" hidden="false" customHeight="true" outlineLevel="0" collapsed="false">
      <c r="A724" s="3" t="s">
        <v>1463</v>
      </c>
      <c r="B724" s="3" t="str">
        <f aca="false">IF(ISNUMBER(SEARCH("%", A724)),RIGHT(A724,3),A724)</f>
        <v>28, 31, GASTLY</v>
      </c>
      <c r="C724" s="1" t="str">
        <f aca="false" t="array" ref="C724:C724">IF(B723="NEW ROUTE",textsplit(B724,","),"")</f>
        <v/>
      </c>
      <c r="H724" s="1" t="str">
        <f aca="false">IF(C724&lt;&gt;"",DEC2HEX(C724,2),"")</f>
        <v/>
      </c>
      <c r="I724" s="1" t="str">
        <f aca="false">IF(D724&lt;&gt;"",DEC2HEX(D724,2),"")</f>
        <v/>
      </c>
      <c r="J724" s="1" t="str">
        <f aca="false">IF(H724&lt;&gt;"","0x"&amp;I724&amp;H724,"")</f>
        <v/>
      </c>
      <c r="L724" s="1" t="s">
        <v>1463</v>
      </c>
      <c r="M724" s="1" t="str">
        <f aca="false">IF(J724&lt;&gt;"",J724,L724)</f>
        <v>28, 31, GASTLY</v>
      </c>
    </row>
    <row r="725" customFormat="false" ht="12.75" hidden="false" customHeight="true" outlineLevel="0" collapsed="false">
      <c r="A725" s="3" t="s">
        <v>3037</v>
      </c>
      <c r="B725" s="3" t="str">
        <f aca="false">IF(ISNUMBER(SEARCH("%", A725)),RIGHT(A725,3),A725)</f>
        <v>29, 32, RATTATA</v>
      </c>
      <c r="C725" s="1" t="str">
        <f aca="false" t="array" ref="C725:C725">IF(B724="NEW ROUTE",textsplit(B725,","),"")</f>
        <v/>
      </c>
      <c r="H725" s="1" t="str">
        <f aca="false">IF(C725&lt;&gt;"",DEC2HEX(C725,2),"")</f>
        <v/>
      </c>
      <c r="I725" s="1" t="str">
        <f aca="false">IF(D725&lt;&gt;"",DEC2HEX(D725,2),"")</f>
        <v/>
      </c>
      <c r="J725" s="1" t="str">
        <f aca="false">IF(H725&lt;&gt;"","0x"&amp;I725&amp;H725,"")</f>
        <v/>
      </c>
      <c r="L725" s="1" t="s">
        <v>3037</v>
      </c>
      <c r="M725" s="1" t="str">
        <f aca="false">IF(J725&lt;&gt;"",J725,L725)</f>
        <v>29, 32, RATTATA</v>
      </c>
    </row>
    <row r="726" customFormat="false" ht="12.75" hidden="false" customHeight="true" outlineLevel="0" collapsed="false">
      <c r="A726" s="3" t="s">
        <v>2801</v>
      </c>
      <c r="B726" s="3" t="str">
        <f aca="false">IF(ISNUMBER(SEARCH("%", A726)),RIGHT(A726,3),A726)</f>
        <v>0.1</v>
      </c>
      <c r="C726" s="1" t="str">
        <f aca="false" t="array" ref="C726:C726">IF(B725="NEW ROUTE",textsplit(B726,","),"")</f>
        <v/>
      </c>
      <c r="H726" s="1" t="str">
        <f aca="false">IF(C726&lt;&gt;"",DEC2HEX(C726,2),"")</f>
        <v/>
      </c>
      <c r="I726" s="1" t="str">
        <f aca="false">IF(D726&lt;&gt;"",DEC2HEX(D726,2),"")</f>
        <v/>
      </c>
      <c r="J726" s="1" t="str">
        <f aca="false">IF(H726&lt;&gt;"","0x"&amp;I726&amp;H726,"")</f>
        <v/>
      </c>
      <c r="L726" s="1" t="s">
        <v>2801</v>
      </c>
      <c r="M726" s="1" t="str">
        <f aca="false">IF(J726&lt;&gt;"",J726,L726)</f>
        <v>0.1</v>
      </c>
    </row>
    <row r="727" customFormat="false" ht="12.75" hidden="false" customHeight="true" outlineLevel="0" collapsed="false">
      <c r="A727" s="3" t="s">
        <v>3038</v>
      </c>
      <c r="B727" s="3" t="str">
        <f aca="false">IF(ISNUMBER(SEARCH("%", A727)),RIGHT(A727,3),A727)</f>
        <v>27, 31, CUBONE</v>
      </c>
      <c r="C727" s="1" t="str">
        <f aca="false" t="array" ref="C727:C727">IF(B726="NEW ROUTE",textsplit(B727,","),"")</f>
        <v/>
      </c>
      <c r="H727" s="1" t="str">
        <f aca="false">IF(C727&lt;&gt;"",DEC2HEX(C727,2),"")</f>
        <v/>
      </c>
      <c r="I727" s="1" t="str">
        <f aca="false">IF(D727&lt;&gt;"",DEC2HEX(D727,2),"")</f>
        <v/>
      </c>
      <c r="J727" s="1" t="str">
        <f aca="false">IF(H727&lt;&gt;"","0x"&amp;I727&amp;H727,"")</f>
        <v/>
      </c>
      <c r="L727" s="1" t="s">
        <v>3038</v>
      </c>
      <c r="M727" s="1" t="str">
        <f aca="false">IF(J727&lt;&gt;"",J727,L727)</f>
        <v>27, 31, CUBONE</v>
      </c>
    </row>
    <row r="728" customFormat="false" ht="12.75" hidden="false" customHeight="true" outlineLevel="0" collapsed="false">
      <c r="A728" s="3" t="s">
        <v>3039</v>
      </c>
      <c r="B728" s="3" t="str">
        <f aca="false">IF(ISNUMBER(SEARCH("%", A728)),RIGHT(A728,3),A728)</f>
        <v>29, 32, HAUNTER</v>
      </c>
      <c r="C728" s="1" t="str">
        <f aca="false" t="array" ref="C728:C728">IF(B727="NEW ROUTE",textsplit(B728,","),"")</f>
        <v/>
      </c>
      <c r="H728" s="1" t="str">
        <f aca="false">IF(C728&lt;&gt;"",DEC2HEX(C728,2),"")</f>
        <v/>
      </c>
      <c r="I728" s="1" t="str">
        <f aca="false">IF(D728&lt;&gt;"",DEC2HEX(D728,2),"")</f>
        <v/>
      </c>
      <c r="J728" s="1" t="str">
        <f aca="false">IF(H728&lt;&gt;"","0x"&amp;I728&amp;H728,"")</f>
        <v/>
      </c>
      <c r="L728" s="1" t="s">
        <v>3039</v>
      </c>
      <c r="M728" s="1" t="str">
        <f aca="false">IF(J728&lt;&gt;"",J728,L728)</f>
        <v>29, 32, HAUNTER</v>
      </c>
    </row>
    <row r="729" customFormat="false" ht="12.75" hidden="false" customHeight="true" outlineLevel="0" collapsed="false">
      <c r="A729" s="3" t="s">
        <v>3040</v>
      </c>
      <c r="B729" s="3" t="str">
        <f aca="false">IF(ISNUMBER(SEARCH("%", A729)),RIGHT(A729,3),A729)</f>
        <v>28, 31, DROWZEE</v>
      </c>
      <c r="C729" s="1" t="str">
        <f aca="false" t="array" ref="C729:C729">IF(B728="NEW ROUTE",textsplit(B729,","),"")</f>
        <v/>
      </c>
      <c r="H729" s="1" t="str">
        <f aca="false">IF(C729&lt;&gt;"",DEC2HEX(C729,2),"")</f>
        <v/>
      </c>
      <c r="I729" s="1" t="str">
        <f aca="false">IF(D729&lt;&gt;"",DEC2HEX(D729,2),"")</f>
        <v/>
      </c>
      <c r="J729" s="1" t="str">
        <f aca="false">IF(H729&lt;&gt;"","0x"&amp;I729&amp;H729,"")</f>
        <v/>
      </c>
      <c r="L729" s="1" t="s">
        <v>3040</v>
      </c>
      <c r="M729" s="1" t="str">
        <f aca="false">IF(J729&lt;&gt;"",J729,L729)</f>
        <v>28, 31, DROWZEE</v>
      </c>
    </row>
    <row r="730" customFormat="false" ht="12.75" hidden="false" customHeight="true" outlineLevel="0" collapsed="false">
      <c r="A730" s="3" t="s">
        <v>3041</v>
      </c>
      <c r="B730" s="3" t="str">
        <f aca="false">IF(ISNUMBER(SEARCH("%", A730)),RIGHT(A730,3),A730)</f>
        <v>28, 31, VULPIX</v>
      </c>
      <c r="C730" s="1" t="str">
        <f aca="false" t="array" ref="C730:C730">IF(B729="NEW ROUTE",textsplit(B730,","),"")</f>
        <v/>
      </c>
      <c r="H730" s="1" t="str">
        <f aca="false">IF(C730&lt;&gt;"",DEC2HEX(C730,2),"")</f>
        <v/>
      </c>
      <c r="I730" s="1" t="str">
        <f aca="false">IF(D730&lt;&gt;"",DEC2HEX(D730,2),"")</f>
        <v/>
      </c>
      <c r="J730" s="1" t="str">
        <f aca="false">IF(H730&lt;&gt;"","0x"&amp;I730&amp;H730,"")</f>
        <v/>
      </c>
      <c r="L730" s="1" t="s">
        <v>3041</v>
      </c>
      <c r="M730" s="1" t="str">
        <f aca="false">IF(J730&lt;&gt;"",J730,L730)</f>
        <v>28, 31, VULPIX</v>
      </c>
    </row>
    <row r="731" customFormat="false" ht="12.75" hidden="false" customHeight="true" outlineLevel="0" collapsed="false">
      <c r="A731" s="3" t="s">
        <v>2806</v>
      </c>
      <c r="B731" s="3" t="str">
        <f aca="false">IF(ISNUMBER(SEARCH("%", A731)),RIGHT(A731,3),A731)</f>
        <v>0.05</v>
      </c>
      <c r="C731" s="1" t="str">
        <f aca="false" t="array" ref="C731:C731">IF(B730="NEW ROUTE",textsplit(B731,","),"")</f>
        <v/>
      </c>
      <c r="H731" s="1" t="str">
        <f aca="false">IF(C731&lt;&gt;"",DEC2HEX(C731,2),"")</f>
        <v/>
      </c>
      <c r="I731" s="1" t="str">
        <f aca="false">IF(D731&lt;&gt;"",DEC2HEX(D731,2),"")</f>
        <v/>
      </c>
      <c r="J731" s="1" t="str">
        <f aca="false">IF(H731&lt;&gt;"","0x"&amp;I731&amp;H731,"")</f>
        <v/>
      </c>
      <c r="L731" s="1" t="s">
        <v>2806</v>
      </c>
      <c r="M731" s="1" t="str">
        <f aca="false">IF(J731&lt;&gt;"",J731,L731)</f>
        <v>0.05</v>
      </c>
    </row>
    <row r="732" customFormat="false" ht="12.75" hidden="false" customHeight="true" outlineLevel="0" collapsed="false">
      <c r="A732" s="3" t="s">
        <v>3042</v>
      </c>
      <c r="B732" s="3" t="str">
        <f aca="false">IF(ISNUMBER(SEARCH("%", A732)),RIGHT(A732,3),A732)</f>
        <v>29, 32, HYPNO</v>
      </c>
      <c r="C732" s="1" t="str">
        <f aca="false" t="array" ref="C732:C732">IF(B731="NEW ROUTE",textsplit(B732,","),"")</f>
        <v/>
      </c>
      <c r="H732" s="1" t="str">
        <f aca="false">IF(C732&lt;&gt;"",DEC2HEX(C732,2),"")</f>
        <v/>
      </c>
      <c r="I732" s="1" t="str">
        <f aca="false">IF(D732&lt;&gt;"",DEC2HEX(D732,2),"")</f>
        <v/>
      </c>
      <c r="J732" s="1" t="str">
        <f aca="false">IF(H732&lt;&gt;"","0x"&amp;I732&amp;H732,"")</f>
        <v/>
      </c>
      <c r="L732" s="1" t="s">
        <v>3042</v>
      </c>
      <c r="M732" s="1" t="str">
        <f aca="false">IF(J732&lt;&gt;"",J732,L732)</f>
        <v>29, 32, HYPNO</v>
      </c>
    </row>
    <row r="733" customFormat="false" ht="12.75" hidden="false" customHeight="true" outlineLevel="0" collapsed="false">
      <c r="A733" s="3" t="s">
        <v>3043</v>
      </c>
      <c r="B733" s="3" t="str">
        <f aca="false">IF(ISNUMBER(SEARCH("%", A733)),RIGHT(A733,3),A733)</f>
        <v>28, 31, RATICATE</v>
      </c>
      <c r="C733" s="1" t="str">
        <f aca="false" t="array" ref="C733:C733">IF(B732="NEW ROUTE",textsplit(B733,","),"")</f>
        <v/>
      </c>
      <c r="H733" s="1" t="str">
        <f aca="false">IF(C733&lt;&gt;"",DEC2HEX(C733,2),"")</f>
        <v/>
      </c>
      <c r="I733" s="1" t="str">
        <f aca="false">IF(D733&lt;&gt;"",DEC2HEX(D733,2),"")</f>
        <v/>
      </c>
      <c r="J733" s="1" t="str">
        <f aca="false">IF(H733&lt;&gt;"","0x"&amp;I733&amp;H733,"")</f>
        <v/>
      </c>
      <c r="L733" s="1" t="s">
        <v>3043</v>
      </c>
      <c r="M733" s="1" t="str">
        <f aca="false">IF(J733&lt;&gt;"",J733,L733)</f>
        <v>28, 31, RATICATE</v>
      </c>
    </row>
    <row r="734" customFormat="false" ht="12.75" hidden="false" customHeight="true" outlineLevel="0" collapsed="false">
      <c r="A734" s="3" t="s">
        <v>2809</v>
      </c>
      <c r="B734" s="3" t="str">
        <f aca="false">IF(ISNUMBER(SEARCH("%", A734)),RIGHT(A734,3),A734)</f>
        <v>0.04</v>
      </c>
      <c r="C734" s="1" t="str">
        <f aca="false" t="array" ref="C734:C734">IF(B733="NEW ROUTE",textsplit(B734,","),"")</f>
        <v/>
      </c>
      <c r="H734" s="1" t="str">
        <f aca="false">IF(C734&lt;&gt;"",DEC2HEX(C734,2),"")</f>
        <v/>
      </c>
      <c r="I734" s="1" t="str">
        <f aca="false">IF(D734&lt;&gt;"",DEC2HEX(D734,2),"")</f>
        <v/>
      </c>
      <c r="J734" s="1" t="str">
        <f aca="false">IF(H734&lt;&gt;"","0x"&amp;I734&amp;H734,"")</f>
        <v/>
      </c>
      <c r="L734" s="1" t="s">
        <v>2809</v>
      </c>
      <c r="M734" s="1" t="str">
        <f aca="false">IF(J734&lt;&gt;"",J734,L734)</f>
        <v>0.04</v>
      </c>
    </row>
    <row r="735" customFormat="false" ht="12.75" hidden="false" customHeight="true" outlineLevel="0" collapsed="false">
      <c r="A735" s="3" t="s">
        <v>3044</v>
      </c>
      <c r="B735" s="3" t="str">
        <f aca="false">IF(ISNUMBER(SEARCH("%", A735)),RIGHT(A735,3),A735)</f>
        <v>29, 32, MAROWAK</v>
      </c>
      <c r="C735" s="1" t="str">
        <f aca="false" t="array" ref="C735:C735">IF(B734="NEW ROUTE",textsplit(B735,","),"")</f>
        <v/>
      </c>
      <c r="H735" s="1" t="str">
        <f aca="false">IF(C735&lt;&gt;"",DEC2HEX(C735,2),"")</f>
        <v/>
      </c>
      <c r="I735" s="1" t="str">
        <f aca="false">IF(D735&lt;&gt;"",DEC2HEX(D735,2),"")</f>
        <v/>
      </c>
      <c r="J735" s="1" t="str">
        <f aca="false">IF(H735&lt;&gt;"","0x"&amp;I735&amp;H735,"")</f>
        <v/>
      </c>
      <c r="L735" s="1" t="s">
        <v>3044</v>
      </c>
      <c r="M735" s="1" t="str">
        <f aca="false">IF(J735&lt;&gt;"",J735,L735)</f>
        <v>29, 32, MAROWAK</v>
      </c>
    </row>
    <row r="736" customFormat="false" ht="12.75" hidden="false" customHeight="true" outlineLevel="0" collapsed="false">
      <c r="A736" s="3" t="s">
        <v>3045</v>
      </c>
      <c r="B736" s="3" t="str">
        <f aca="false">IF(ISNUMBER(SEARCH("%", A736)),RIGHT(A736,3),A736)</f>
        <v>28, 31, RATTCHET</v>
      </c>
      <c r="C736" s="1" t="str">
        <f aca="false" t="array" ref="C736:C736">IF(B735="NEW ROUTE",textsplit(B736,","),"")</f>
        <v/>
      </c>
      <c r="H736" s="1" t="str">
        <f aca="false">IF(C736&lt;&gt;"",DEC2HEX(C736,2),"")</f>
        <v/>
      </c>
      <c r="I736" s="1" t="str">
        <f aca="false">IF(D736&lt;&gt;"",DEC2HEX(D736,2),"")</f>
        <v/>
      </c>
      <c r="J736" s="1" t="str">
        <f aca="false">IF(H736&lt;&gt;"","0x"&amp;I736&amp;H736,"")</f>
        <v/>
      </c>
      <c r="L736" s="1" t="s">
        <v>3045</v>
      </c>
      <c r="M736" s="1" t="str">
        <f aca="false">IF(J736&lt;&gt;"",J736,L736)</f>
        <v>28, 31, RATTCHET</v>
      </c>
    </row>
    <row r="737" customFormat="false" ht="12.75" hidden="false" customHeight="true" outlineLevel="0" collapsed="false">
      <c r="A737" s="3" t="s">
        <v>2812</v>
      </c>
      <c r="B737" s="3" t="str">
        <f aca="false">IF(ISNUMBER(SEARCH("%", A737)),RIGHT(A737,3),A737)</f>
        <v>0.01</v>
      </c>
      <c r="C737" s="1" t="str">
        <f aca="false" t="array" ref="C737:C737">IF(B736="NEW ROUTE",textsplit(B737,","),"")</f>
        <v/>
      </c>
      <c r="H737" s="1" t="str">
        <f aca="false">IF(C737&lt;&gt;"",DEC2HEX(C737,2),"")</f>
        <v/>
      </c>
      <c r="I737" s="1" t="str">
        <f aca="false">IF(D737&lt;&gt;"",DEC2HEX(D737,2),"")</f>
        <v/>
      </c>
      <c r="J737" s="1" t="str">
        <f aca="false">IF(H737&lt;&gt;"","0x"&amp;I737&amp;H737,"")</f>
        <v/>
      </c>
      <c r="L737" s="1" t="s">
        <v>2812</v>
      </c>
      <c r="M737" s="1" t="str">
        <f aca="false">IF(J737&lt;&gt;"",J737,L737)</f>
        <v>0.01</v>
      </c>
    </row>
    <row r="738" customFormat="false" ht="12.75" hidden="false" customHeight="true" outlineLevel="0" collapsed="false">
      <c r="A738" s="3" t="s">
        <v>3046</v>
      </c>
      <c r="B738" s="3" t="str">
        <f aca="false">IF(ISNUMBER(SEARCH("%", A738)),RIGHT(A738,3),A738)</f>
        <v>33, 33, HAUNTER</v>
      </c>
      <c r="C738" s="1" t="str">
        <f aca="false" t="array" ref="C738:C738">IF(B737="NEW ROUTE",textsplit(B738,","),"")</f>
        <v/>
      </c>
      <c r="H738" s="1" t="str">
        <f aca="false">IF(C738&lt;&gt;"",DEC2HEX(C738,2),"")</f>
        <v/>
      </c>
      <c r="I738" s="1" t="str">
        <f aca="false">IF(D738&lt;&gt;"",DEC2HEX(D738,2),"")</f>
        <v/>
      </c>
      <c r="J738" s="1" t="str">
        <f aca="false">IF(H738&lt;&gt;"","0x"&amp;I738&amp;H738,"")</f>
        <v/>
      </c>
      <c r="L738" s="1" t="s">
        <v>3046</v>
      </c>
      <c r="M738" s="1" t="str">
        <f aca="false">IF(J738&lt;&gt;"",J738,L738)</f>
        <v>33, 33, HAUNTER</v>
      </c>
    </row>
    <row r="739" customFormat="false" ht="12.75" hidden="false" customHeight="true" outlineLevel="0" collapsed="false">
      <c r="A739" s="3" t="s">
        <v>3047</v>
      </c>
      <c r="B739" s="3" t="str">
        <f aca="false">IF(ISNUMBER(SEARCH("%", A739)),RIGHT(A739,3),A739)</f>
        <v>32, 33, NINETALES , &lt;null&gt;, &lt;null&gt;, &lt;null&gt;</v>
      </c>
      <c r="C739" s="1" t="str">
        <f aca="false" t="array" ref="C739:C739">IF(B738="NEW ROUTE",textsplit(B739,","),"")</f>
        <v/>
      </c>
      <c r="H739" s="1" t="str">
        <f aca="false">IF(C739&lt;&gt;"",DEC2HEX(C739,2),"")</f>
        <v/>
      </c>
      <c r="I739" s="1" t="str">
        <f aca="false">IF(D739&lt;&gt;"",DEC2HEX(D739,2),"")</f>
        <v/>
      </c>
      <c r="J739" s="1" t="str">
        <f aca="false">IF(H739&lt;&gt;"","0x"&amp;I739&amp;H739,"")</f>
        <v/>
      </c>
      <c r="L739" s="1" t="s">
        <v>3047</v>
      </c>
      <c r="M739" s="1" t="str">
        <f aca="false">IF(J739&lt;&gt;"",J739,L739)</f>
        <v>32, 33, NINETALES , &lt;null&gt;, &lt;null&gt;, &lt;null&gt;</v>
      </c>
    </row>
    <row r="740" customFormat="false" ht="12.75" hidden="false" customHeight="true" outlineLevel="0" collapsed="false">
      <c r="A740" s="3" t="s">
        <v>2536</v>
      </c>
      <c r="B740" s="3" t="str">
        <f aca="false">IF(ISNUMBER(SEARCH("%", A740)),RIGHT(A740,3),A740)</f>
        <v>NEW ROUTE</v>
      </c>
      <c r="C740" s="1" t="str">
        <f aca="false" t="array" ref="C740:C740">IF(B739="NEW ROUTE",textsplit(B740,","),"")</f>
        <v/>
      </c>
      <c r="H740" s="1" t="str">
        <f aca="false">IF(C740&lt;&gt;"",DEC2HEX(C740,2),"")</f>
        <v/>
      </c>
      <c r="I740" s="1" t="str">
        <f aca="false">IF(D740&lt;&gt;"",DEC2HEX(D740,2),"")</f>
        <v/>
      </c>
      <c r="J740" s="1" t="str">
        <f aca="false">IF(H740&lt;&gt;"","0x"&amp;I740&amp;H740,"")</f>
        <v/>
      </c>
      <c r="L740" s="1" t="s">
        <v>2536</v>
      </c>
      <c r="M740" s="1" t="str">
        <f aca="false">IF(J740&lt;&gt;"",J740,L740)</f>
        <v>NEW ROUTE</v>
      </c>
    </row>
    <row r="741" customFormat="false" ht="12.75" hidden="false" customHeight="true" outlineLevel="0" collapsed="false">
      <c r="A741" s="3" t="s">
        <v>3054</v>
      </c>
      <c r="B741" s="3" t="str">
        <f aca="false">IF(ISNUMBER(SEARCH("%", A741)),RIGHT(A741,3),A741)</f>
        <v>1, 94, 0,</v>
      </c>
      <c r="C741" s="1" t="e">
        <f aca="false" t="array" ref="C741:C741">IF(B740="NEW ROUTE",textsplit(B741,","),"")</f>
        <v>#NAME?</v>
      </c>
      <c r="H741" s="1" t="e">
        <f aca="false">IF(C741&lt;&gt;"",DEC2HEX(C741,2),"")</f>
        <v>#NAME?</v>
      </c>
      <c r="I741" s="1" t="str">
        <f aca="false">IF(D741&lt;&gt;"",DEC2HEX(D741,2),"")</f>
        <v/>
      </c>
      <c r="J741" s="1" t="e">
        <f aca="false">IF(H741&lt;&gt;"","0x"&amp;I741&amp;H741,"")</f>
        <v>#NAME?</v>
      </c>
      <c r="L741" s="1" t="s">
        <v>3054</v>
      </c>
      <c r="M741" s="1" t="e">
        <f aca="false">IF(J741&lt;&gt;"",J741,L741)</f>
        <v>#NAME?</v>
      </c>
    </row>
    <row r="742" customFormat="false" ht="12.75" hidden="false" customHeight="true" outlineLevel="0" collapsed="false">
      <c r="A742" s="3" t="s">
        <v>3055</v>
      </c>
      <c r="B742" s="3" t="str">
        <f aca="false">IF(ISNUMBER(SEARCH("%", A742)),RIGHT(A742,3),A742)</f>
        <v>20%</v>
      </c>
      <c r="C742" s="1" t="str">
        <f aca="false" t="array" ref="C742:C742">IF(B741="NEW ROUTE",textsplit(B742,","),"")</f>
        <v/>
      </c>
      <c r="H742" s="1" t="str">
        <f aca="false">IF(C742&lt;&gt;"",DEC2HEX(C742,2),"")</f>
        <v/>
      </c>
      <c r="I742" s="1" t="str">
        <f aca="false">IF(D742&lt;&gt;"",DEC2HEX(D742,2),"")</f>
        <v/>
      </c>
      <c r="J742" s="1" t="str">
        <f aca="false">IF(H742&lt;&gt;"","0x"&amp;I742&amp;H742,"")</f>
        <v/>
      </c>
      <c r="L742" s="1" t="s">
        <v>2799</v>
      </c>
      <c r="M742" s="1" t="str">
        <f aca="false">IF(J742&lt;&gt;"",J742,L742)</f>
        <v>20%</v>
      </c>
    </row>
    <row r="743" customFormat="false" ht="12.75" hidden="false" customHeight="true" outlineLevel="0" collapsed="false">
      <c r="A743" s="3" t="s">
        <v>1463</v>
      </c>
      <c r="B743" s="3" t="str">
        <f aca="false">IF(ISNUMBER(SEARCH("%", A743)),RIGHT(A743,3),A743)</f>
        <v>28, 31, GASTLY</v>
      </c>
      <c r="C743" s="1" t="str">
        <f aca="false" t="array" ref="C743:C743">IF(B742="NEW ROUTE",textsplit(B743,","),"")</f>
        <v/>
      </c>
      <c r="H743" s="1" t="str">
        <f aca="false">IF(C743&lt;&gt;"",DEC2HEX(C743,2),"")</f>
        <v/>
      </c>
      <c r="I743" s="1" t="str">
        <f aca="false">IF(D743&lt;&gt;"",DEC2HEX(D743,2),"")</f>
        <v/>
      </c>
      <c r="J743" s="1" t="str">
        <f aca="false">IF(H743&lt;&gt;"","0x"&amp;I743&amp;H743,"")</f>
        <v/>
      </c>
      <c r="L743" s="1" t="s">
        <v>1463</v>
      </c>
      <c r="M743" s="1" t="str">
        <f aca="false">IF(J743&lt;&gt;"",J743,L743)</f>
        <v>28, 31, GASTLY</v>
      </c>
    </row>
    <row r="744" customFormat="false" ht="12.75" hidden="false" customHeight="true" outlineLevel="0" collapsed="false">
      <c r="A744" s="3" t="s">
        <v>3037</v>
      </c>
      <c r="B744" s="3" t="str">
        <f aca="false">IF(ISNUMBER(SEARCH("%", A744)),RIGHT(A744,3),A744)</f>
        <v>29, 32, RATTATA</v>
      </c>
      <c r="C744" s="1" t="str">
        <f aca="false" t="array" ref="C744:C744">IF(B743="NEW ROUTE",textsplit(B744,","),"")</f>
        <v/>
      </c>
      <c r="H744" s="1" t="str">
        <f aca="false">IF(C744&lt;&gt;"",DEC2HEX(C744,2),"")</f>
        <v/>
      </c>
      <c r="I744" s="1" t="str">
        <f aca="false">IF(D744&lt;&gt;"",DEC2HEX(D744,2),"")</f>
        <v/>
      </c>
      <c r="J744" s="1" t="str">
        <f aca="false">IF(H744&lt;&gt;"","0x"&amp;I744&amp;H744,"")</f>
        <v/>
      </c>
      <c r="L744" s="1" t="s">
        <v>3037</v>
      </c>
      <c r="M744" s="1" t="str">
        <f aca="false">IF(J744&lt;&gt;"",J744,L744)</f>
        <v>29, 32, RATTATA</v>
      </c>
    </row>
    <row r="745" customFormat="false" ht="12.75" hidden="false" customHeight="true" outlineLevel="0" collapsed="false">
      <c r="A745" s="3" t="s">
        <v>2801</v>
      </c>
      <c r="B745" s="3" t="str">
        <f aca="false">IF(ISNUMBER(SEARCH("%", A745)),RIGHT(A745,3),A745)</f>
        <v>0.1</v>
      </c>
      <c r="C745" s="1" t="str">
        <f aca="false" t="array" ref="C745:C745">IF(B744="NEW ROUTE",textsplit(B745,","),"")</f>
        <v/>
      </c>
      <c r="H745" s="1" t="str">
        <f aca="false">IF(C745&lt;&gt;"",DEC2HEX(C745,2),"")</f>
        <v/>
      </c>
      <c r="I745" s="1" t="str">
        <f aca="false">IF(D745&lt;&gt;"",DEC2HEX(D745,2),"")</f>
        <v/>
      </c>
      <c r="J745" s="1" t="str">
        <f aca="false">IF(H745&lt;&gt;"","0x"&amp;I745&amp;H745,"")</f>
        <v/>
      </c>
      <c r="L745" s="1" t="s">
        <v>2801</v>
      </c>
      <c r="M745" s="1" t="str">
        <f aca="false">IF(J745&lt;&gt;"",J745,L745)</f>
        <v>0.1</v>
      </c>
    </row>
    <row r="746" customFormat="false" ht="12.75" hidden="false" customHeight="true" outlineLevel="0" collapsed="false">
      <c r="A746" s="3" t="s">
        <v>3038</v>
      </c>
      <c r="B746" s="3" t="str">
        <f aca="false">IF(ISNUMBER(SEARCH("%", A746)),RIGHT(A746,3),A746)</f>
        <v>27, 31, CUBONE</v>
      </c>
      <c r="C746" s="1" t="str">
        <f aca="false" t="array" ref="C746:C746">IF(B745="NEW ROUTE",textsplit(B746,","),"")</f>
        <v/>
      </c>
      <c r="H746" s="1" t="str">
        <f aca="false">IF(C746&lt;&gt;"",DEC2HEX(C746,2),"")</f>
        <v/>
      </c>
      <c r="I746" s="1" t="str">
        <f aca="false">IF(D746&lt;&gt;"",DEC2HEX(D746,2),"")</f>
        <v/>
      </c>
      <c r="J746" s="1" t="str">
        <f aca="false">IF(H746&lt;&gt;"","0x"&amp;I746&amp;H746,"")</f>
        <v/>
      </c>
      <c r="L746" s="1" t="s">
        <v>3038</v>
      </c>
      <c r="M746" s="1" t="str">
        <f aca="false">IF(J746&lt;&gt;"",J746,L746)</f>
        <v>27, 31, CUBONE</v>
      </c>
    </row>
    <row r="747" customFormat="false" ht="12.75" hidden="false" customHeight="true" outlineLevel="0" collapsed="false">
      <c r="A747" s="3" t="s">
        <v>3039</v>
      </c>
      <c r="B747" s="3" t="str">
        <f aca="false">IF(ISNUMBER(SEARCH("%", A747)),RIGHT(A747,3),A747)</f>
        <v>29, 32, HAUNTER</v>
      </c>
      <c r="C747" s="1" t="str">
        <f aca="false" t="array" ref="C747:C747">IF(B746="NEW ROUTE",textsplit(B747,","),"")</f>
        <v/>
      </c>
      <c r="H747" s="1" t="str">
        <f aca="false">IF(C747&lt;&gt;"",DEC2HEX(C747,2),"")</f>
        <v/>
      </c>
      <c r="I747" s="1" t="str">
        <f aca="false">IF(D747&lt;&gt;"",DEC2HEX(D747,2),"")</f>
        <v/>
      </c>
      <c r="J747" s="1" t="str">
        <f aca="false">IF(H747&lt;&gt;"","0x"&amp;I747&amp;H747,"")</f>
        <v/>
      </c>
      <c r="L747" s="1" t="s">
        <v>3039</v>
      </c>
      <c r="M747" s="1" t="str">
        <f aca="false">IF(J747&lt;&gt;"",J747,L747)</f>
        <v>29, 32, HAUNTER</v>
      </c>
    </row>
    <row r="748" customFormat="false" ht="12.75" hidden="false" customHeight="true" outlineLevel="0" collapsed="false">
      <c r="A748" s="3" t="s">
        <v>3040</v>
      </c>
      <c r="B748" s="3" t="str">
        <f aca="false">IF(ISNUMBER(SEARCH("%", A748)),RIGHT(A748,3),A748)</f>
        <v>28, 31, DROWZEE</v>
      </c>
      <c r="C748" s="1" t="str">
        <f aca="false" t="array" ref="C748:C748">IF(B747="NEW ROUTE",textsplit(B748,","),"")</f>
        <v/>
      </c>
      <c r="H748" s="1" t="str">
        <f aca="false">IF(C748&lt;&gt;"",DEC2HEX(C748,2),"")</f>
        <v/>
      </c>
      <c r="I748" s="1" t="str">
        <f aca="false">IF(D748&lt;&gt;"",DEC2HEX(D748,2),"")</f>
        <v/>
      </c>
      <c r="J748" s="1" t="str">
        <f aca="false">IF(H748&lt;&gt;"","0x"&amp;I748&amp;H748,"")</f>
        <v/>
      </c>
      <c r="L748" s="1" t="s">
        <v>3040</v>
      </c>
      <c r="M748" s="1" t="str">
        <f aca="false">IF(J748&lt;&gt;"",J748,L748)</f>
        <v>28, 31, DROWZEE</v>
      </c>
    </row>
    <row r="749" customFormat="false" ht="12.75" hidden="false" customHeight="true" outlineLevel="0" collapsed="false">
      <c r="A749" s="3" t="s">
        <v>3041</v>
      </c>
      <c r="B749" s="3" t="str">
        <f aca="false">IF(ISNUMBER(SEARCH("%", A749)),RIGHT(A749,3),A749)</f>
        <v>28, 31, VULPIX</v>
      </c>
      <c r="C749" s="1" t="str">
        <f aca="false" t="array" ref="C749:C749">IF(B748="NEW ROUTE",textsplit(B749,","),"")</f>
        <v/>
      </c>
      <c r="H749" s="1" t="str">
        <f aca="false">IF(C749&lt;&gt;"",DEC2HEX(C749,2),"")</f>
        <v/>
      </c>
      <c r="I749" s="1" t="str">
        <f aca="false">IF(D749&lt;&gt;"",DEC2HEX(D749,2),"")</f>
        <v/>
      </c>
      <c r="J749" s="1" t="str">
        <f aca="false">IF(H749&lt;&gt;"","0x"&amp;I749&amp;H749,"")</f>
        <v/>
      </c>
      <c r="L749" s="1" t="s">
        <v>3041</v>
      </c>
      <c r="M749" s="1" t="str">
        <f aca="false">IF(J749&lt;&gt;"",J749,L749)</f>
        <v>28, 31, VULPIX</v>
      </c>
    </row>
    <row r="750" customFormat="false" ht="12.75" hidden="false" customHeight="true" outlineLevel="0" collapsed="false">
      <c r="A750" s="3" t="s">
        <v>2806</v>
      </c>
      <c r="B750" s="3" t="str">
        <f aca="false">IF(ISNUMBER(SEARCH("%", A750)),RIGHT(A750,3),A750)</f>
        <v>0.05</v>
      </c>
      <c r="C750" s="1" t="str">
        <f aca="false" t="array" ref="C750:C750">IF(B749="NEW ROUTE",textsplit(B750,","),"")</f>
        <v/>
      </c>
      <c r="H750" s="1" t="str">
        <f aca="false">IF(C750&lt;&gt;"",DEC2HEX(C750,2),"")</f>
        <v/>
      </c>
      <c r="I750" s="1" t="str">
        <f aca="false">IF(D750&lt;&gt;"",DEC2HEX(D750,2),"")</f>
        <v/>
      </c>
      <c r="J750" s="1" t="str">
        <f aca="false">IF(H750&lt;&gt;"","0x"&amp;I750&amp;H750,"")</f>
        <v/>
      </c>
      <c r="L750" s="1" t="s">
        <v>2806</v>
      </c>
      <c r="M750" s="1" t="str">
        <f aca="false">IF(J750&lt;&gt;"",J750,L750)</f>
        <v>0.05</v>
      </c>
    </row>
    <row r="751" customFormat="false" ht="12.75" hidden="false" customHeight="true" outlineLevel="0" collapsed="false">
      <c r="A751" s="3" t="s">
        <v>3042</v>
      </c>
      <c r="B751" s="3" t="str">
        <f aca="false">IF(ISNUMBER(SEARCH("%", A751)),RIGHT(A751,3),A751)</f>
        <v>29, 32, HYPNO</v>
      </c>
      <c r="C751" s="1" t="str">
        <f aca="false" t="array" ref="C751:C751">IF(B750="NEW ROUTE",textsplit(B751,","),"")</f>
        <v/>
      </c>
      <c r="H751" s="1" t="str">
        <f aca="false">IF(C751&lt;&gt;"",DEC2HEX(C751,2),"")</f>
        <v/>
      </c>
      <c r="I751" s="1" t="str">
        <f aca="false">IF(D751&lt;&gt;"",DEC2HEX(D751,2),"")</f>
        <v/>
      </c>
      <c r="J751" s="1" t="str">
        <f aca="false">IF(H751&lt;&gt;"","0x"&amp;I751&amp;H751,"")</f>
        <v/>
      </c>
      <c r="L751" s="1" t="s">
        <v>3042</v>
      </c>
      <c r="M751" s="1" t="str">
        <f aca="false">IF(J751&lt;&gt;"",J751,L751)</f>
        <v>29, 32, HYPNO</v>
      </c>
    </row>
    <row r="752" customFormat="false" ht="12.75" hidden="false" customHeight="true" outlineLevel="0" collapsed="false">
      <c r="A752" s="3" t="s">
        <v>3043</v>
      </c>
      <c r="B752" s="3" t="str">
        <f aca="false">IF(ISNUMBER(SEARCH("%", A752)),RIGHT(A752,3),A752)</f>
        <v>28, 31, RATICATE</v>
      </c>
      <c r="C752" s="1" t="str">
        <f aca="false" t="array" ref="C752:C752">IF(B751="NEW ROUTE",textsplit(B752,","),"")</f>
        <v/>
      </c>
      <c r="H752" s="1" t="str">
        <f aca="false">IF(C752&lt;&gt;"",DEC2HEX(C752,2),"")</f>
        <v/>
      </c>
      <c r="I752" s="1" t="str">
        <f aca="false">IF(D752&lt;&gt;"",DEC2HEX(D752,2),"")</f>
        <v/>
      </c>
      <c r="J752" s="1" t="str">
        <f aca="false">IF(H752&lt;&gt;"","0x"&amp;I752&amp;H752,"")</f>
        <v/>
      </c>
      <c r="L752" s="1" t="s">
        <v>3043</v>
      </c>
      <c r="M752" s="1" t="str">
        <f aca="false">IF(J752&lt;&gt;"",J752,L752)</f>
        <v>28, 31, RATICATE</v>
      </c>
    </row>
    <row r="753" customFormat="false" ht="12.75" hidden="false" customHeight="true" outlineLevel="0" collapsed="false">
      <c r="A753" s="3" t="s">
        <v>2809</v>
      </c>
      <c r="B753" s="3" t="str">
        <f aca="false">IF(ISNUMBER(SEARCH("%", A753)),RIGHT(A753,3),A753)</f>
        <v>0.04</v>
      </c>
      <c r="C753" s="1" t="str">
        <f aca="false" t="array" ref="C753:C753">IF(B752="NEW ROUTE",textsplit(B753,","),"")</f>
        <v/>
      </c>
      <c r="H753" s="1" t="str">
        <f aca="false">IF(C753&lt;&gt;"",DEC2HEX(C753,2),"")</f>
        <v/>
      </c>
      <c r="I753" s="1" t="str">
        <f aca="false">IF(D753&lt;&gt;"",DEC2HEX(D753,2),"")</f>
        <v/>
      </c>
      <c r="J753" s="1" t="str">
        <f aca="false">IF(H753&lt;&gt;"","0x"&amp;I753&amp;H753,"")</f>
        <v/>
      </c>
      <c r="L753" s="1" t="s">
        <v>2809</v>
      </c>
      <c r="M753" s="1" t="str">
        <f aca="false">IF(J753&lt;&gt;"",J753,L753)</f>
        <v>0.04</v>
      </c>
    </row>
    <row r="754" customFormat="false" ht="12.75" hidden="false" customHeight="true" outlineLevel="0" collapsed="false">
      <c r="A754" s="3" t="s">
        <v>3044</v>
      </c>
      <c r="B754" s="3" t="str">
        <f aca="false">IF(ISNUMBER(SEARCH("%", A754)),RIGHT(A754,3),A754)</f>
        <v>29, 32, MAROWAK</v>
      </c>
      <c r="C754" s="1" t="str">
        <f aca="false" t="array" ref="C754:C754">IF(B753="NEW ROUTE",textsplit(B754,","),"")</f>
        <v/>
      </c>
      <c r="H754" s="1" t="str">
        <f aca="false">IF(C754&lt;&gt;"",DEC2HEX(C754,2),"")</f>
        <v/>
      </c>
      <c r="I754" s="1" t="str">
        <f aca="false">IF(D754&lt;&gt;"",DEC2HEX(D754,2),"")</f>
        <v/>
      </c>
      <c r="J754" s="1" t="str">
        <f aca="false">IF(H754&lt;&gt;"","0x"&amp;I754&amp;H754,"")</f>
        <v/>
      </c>
      <c r="L754" s="1" t="s">
        <v>3044</v>
      </c>
      <c r="M754" s="1" t="str">
        <f aca="false">IF(J754&lt;&gt;"",J754,L754)</f>
        <v>29, 32, MAROWAK</v>
      </c>
    </row>
    <row r="755" customFormat="false" ht="12.75" hidden="false" customHeight="true" outlineLevel="0" collapsed="false">
      <c r="A755" s="3" t="s">
        <v>3045</v>
      </c>
      <c r="B755" s="3" t="str">
        <f aca="false">IF(ISNUMBER(SEARCH("%", A755)),RIGHT(A755,3),A755)</f>
        <v>28, 31, RATTCHET</v>
      </c>
      <c r="C755" s="1" t="str">
        <f aca="false" t="array" ref="C755:C755">IF(B754="NEW ROUTE",textsplit(B755,","),"")</f>
        <v/>
      </c>
      <c r="H755" s="1" t="str">
        <f aca="false">IF(C755&lt;&gt;"",DEC2HEX(C755,2),"")</f>
        <v/>
      </c>
      <c r="I755" s="1" t="str">
        <f aca="false">IF(D755&lt;&gt;"",DEC2HEX(D755,2),"")</f>
        <v/>
      </c>
      <c r="J755" s="1" t="str">
        <f aca="false">IF(H755&lt;&gt;"","0x"&amp;I755&amp;H755,"")</f>
        <v/>
      </c>
      <c r="L755" s="1" t="s">
        <v>3045</v>
      </c>
      <c r="M755" s="1" t="str">
        <f aca="false">IF(J755&lt;&gt;"",J755,L755)</f>
        <v>28, 31, RATTCHET</v>
      </c>
    </row>
    <row r="756" customFormat="false" ht="12.75" hidden="false" customHeight="true" outlineLevel="0" collapsed="false">
      <c r="A756" s="3" t="s">
        <v>2812</v>
      </c>
      <c r="B756" s="3" t="str">
        <f aca="false">IF(ISNUMBER(SEARCH("%", A756)),RIGHT(A756,3),A756)</f>
        <v>0.01</v>
      </c>
      <c r="C756" s="1" t="str">
        <f aca="false" t="array" ref="C756:C756">IF(B755="NEW ROUTE",textsplit(B756,","),"")</f>
        <v/>
      </c>
      <c r="H756" s="1" t="str">
        <f aca="false">IF(C756&lt;&gt;"",DEC2HEX(C756,2),"")</f>
        <v/>
      </c>
      <c r="I756" s="1" t="str">
        <f aca="false">IF(D756&lt;&gt;"",DEC2HEX(D756,2),"")</f>
        <v/>
      </c>
      <c r="J756" s="1" t="str">
        <f aca="false">IF(H756&lt;&gt;"","0x"&amp;I756&amp;H756,"")</f>
        <v/>
      </c>
      <c r="L756" s="1" t="s">
        <v>2812</v>
      </c>
      <c r="M756" s="1" t="str">
        <f aca="false">IF(J756&lt;&gt;"",J756,L756)</f>
        <v>0.01</v>
      </c>
    </row>
    <row r="757" customFormat="false" ht="12.75" hidden="false" customHeight="true" outlineLevel="0" collapsed="false">
      <c r="A757" s="3" t="s">
        <v>3056</v>
      </c>
      <c r="B757" s="3" t="str">
        <f aca="false">IF(ISNUMBER(SEARCH("%", A757)),RIGHT(A757,3),A757)</f>
        <v>32, 33, GENGAR</v>
      </c>
      <c r="C757" s="1" t="str">
        <f aca="false" t="array" ref="C757:C757">IF(B756="NEW ROUTE",textsplit(B757,","),"")</f>
        <v/>
      </c>
      <c r="H757" s="1" t="str">
        <f aca="false">IF(C757&lt;&gt;"",DEC2HEX(C757,2),"")</f>
        <v/>
      </c>
      <c r="I757" s="1" t="str">
        <f aca="false">IF(D757&lt;&gt;"",DEC2HEX(D757,2),"")</f>
        <v/>
      </c>
      <c r="J757" s="1" t="str">
        <f aca="false">IF(H757&lt;&gt;"","0x"&amp;I757&amp;H757,"")</f>
        <v/>
      </c>
      <c r="L757" s="1" t="s">
        <v>3056</v>
      </c>
      <c r="M757" s="1" t="str">
        <f aca="false">IF(J757&lt;&gt;"",J757,L757)</f>
        <v>32, 33, GENGAR</v>
      </c>
    </row>
    <row r="758" customFormat="false" ht="12.75" hidden="false" customHeight="true" outlineLevel="0" collapsed="false">
      <c r="A758" s="3" t="s">
        <v>3047</v>
      </c>
      <c r="B758" s="3" t="str">
        <f aca="false">IF(ISNUMBER(SEARCH("%", A758)),RIGHT(A758,3),A758)</f>
        <v>32, 33, NINETALES , &lt;null&gt;, &lt;null&gt;, &lt;null&gt;</v>
      </c>
      <c r="C758" s="1" t="str">
        <f aca="false" t="array" ref="C758:C758">IF(B757="NEW ROUTE",textsplit(B758,","),"")</f>
        <v/>
      </c>
      <c r="H758" s="1" t="str">
        <f aca="false">IF(C758&lt;&gt;"",DEC2HEX(C758,2),"")</f>
        <v/>
      </c>
      <c r="I758" s="1" t="str">
        <f aca="false">IF(D758&lt;&gt;"",DEC2HEX(D758,2),"")</f>
        <v/>
      </c>
      <c r="J758" s="1" t="str">
        <f aca="false">IF(H758&lt;&gt;"","0x"&amp;I758&amp;H758,"")</f>
        <v/>
      </c>
      <c r="L758" s="1" t="s">
        <v>3047</v>
      </c>
      <c r="M758" s="1" t="str">
        <f aca="false">IF(J758&lt;&gt;"",J758,L758)</f>
        <v>32, 33, NINETALES , &lt;null&gt;, &lt;null&gt;, &lt;null&gt;</v>
      </c>
    </row>
    <row r="759" customFormat="false" ht="12.75" hidden="false" customHeight="true" outlineLevel="0" collapsed="false">
      <c r="A759" s="3" t="s">
        <v>2536</v>
      </c>
      <c r="B759" s="3" t="str">
        <f aca="false">IF(ISNUMBER(SEARCH("%", A759)),RIGHT(A759,3),A759)</f>
        <v>NEW ROUTE</v>
      </c>
      <c r="C759" s="1" t="str">
        <f aca="false" t="array" ref="C759:C759">IF(B758="NEW ROUTE",textsplit(B759,","),"")</f>
        <v/>
      </c>
      <c r="H759" s="1" t="str">
        <f aca="false">IF(C759&lt;&gt;"",DEC2HEX(C759,2),"")</f>
        <v/>
      </c>
      <c r="I759" s="1" t="str">
        <f aca="false">IF(D759&lt;&gt;"",DEC2HEX(D759,2),"")</f>
        <v/>
      </c>
      <c r="J759" s="1" t="str">
        <f aca="false">IF(H759&lt;&gt;"","0x"&amp;I759&amp;H759,"")</f>
        <v/>
      </c>
      <c r="L759" s="1" t="s">
        <v>2536</v>
      </c>
      <c r="M759" s="1" t="str">
        <f aca="false">IF(J759&lt;&gt;"",J759,L759)</f>
        <v>NEW ROUTE</v>
      </c>
    </row>
    <row r="760" customFormat="false" ht="12.75" hidden="false" customHeight="true" outlineLevel="0" collapsed="false">
      <c r="A760" s="3" t="s">
        <v>3057</v>
      </c>
      <c r="B760" s="3" t="str">
        <f aca="false">IF(ISNUMBER(SEARCH("%", A760)),RIGHT(A760,3),A760)</f>
        <v>1, 95, 0,</v>
      </c>
      <c r="C760" s="1" t="e">
        <f aca="false" t="array" ref="C760:C760">IF(B759="NEW ROUTE",textsplit(B760,","),"")</f>
        <v>#NAME?</v>
      </c>
      <c r="H760" s="1" t="e">
        <f aca="false">IF(C760&lt;&gt;"",DEC2HEX(C760,2),"")</f>
        <v>#NAME?</v>
      </c>
      <c r="I760" s="1" t="str">
        <f aca="false">IF(D760&lt;&gt;"",DEC2HEX(D760,2),"")</f>
        <v/>
      </c>
      <c r="J760" s="1" t="e">
        <f aca="false">IF(H760&lt;&gt;"","0x"&amp;I760&amp;H760,"")</f>
        <v>#NAME?</v>
      </c>
      <c r="L760" s="1" t="s">
        <v>3057</v>
      </c>
      <c r="M760" s="1" t="e">
        <f aca="false">IF(J760&lt;&gt;"",J760,L760)</f>
        <v>#NAME?</v>
      </c>
    </row>
    <row r="761" customFormat="false" ht="12.75" hidden="false" customHeight="true" outlineLevel="0" collapsed="false">
      <c r="A761" s="3" t="s">
        <v>2816</v>
      </c>
      <c r="B761" s="3" t="str">
        <f aca="false">IF(ISNUMBER(SEARCH("%", A761)),RIGHT(A761,3),A761)</f>
        <v>20%</v>
      </c>
      <c r="C761" s="1" t="str">
        <f aca="false" t="array" ref="C761:C761">IF(B760="NEW ROUTE",textsplit(B761,","),"")</f>
        <v/>
      </c>
      <c r="H761" s="1" t="str">
        <f aca="false">IF(C761&lt;&gt;"",DEC2HEX(C761,2),"")</f>
        <v/>
      </c>
      <c r="I761" s="1" t="str">
        <f aca="false">IF(D761&lt;&gt;"",DEC2HEX(D761,2),"")</f>
        <v/>
      </c>
      <c r="J761" s="1" t="str">
        <f aca="false">IF(H761&lt;&gt;"","0x"&amp;I761&amp;H761,"")</f>
        <v/>
      </c>
      <c r="L761" s="1" t="s">
        <v>2799</v>
      </c>
      <c r="M761" s="1" t="str">
        <f aca="false">IF(J761&lt;&gt;"",J761,L761)</f>
        <v>20%</v>
      </c>
    </row>
    <row r="762" customFormat="false" ht="12.75" hidden="false" customHeight="true" outlineLevel="0" collapsed="false">
      <c r="A762" s="3" t="s">
        <v>1481</v>
      </c>
      <c r="B762" s="3" t="str">
        <f aca="false">IF(ISNUMBER(SEARCH("%", A762)),RIGHT(A762,3),A762)</f>
        <v>39, 46, MAGNEMITE</v>
      </c>
      <c r="C762" s="1" t="str">
        <f aca="false" t="array" ref="C762:C762">IF(B761="NEW ROUTE",textsplit(B762,","),"")</f>
        <v/>
      </c>
      <c r="H762" s="1" t="str">
        <f aca="false">IF(C762&lt;&gt;"",DEC2HEX(C762,2),"")</f>
        <v/>
      </c>
      <c r="I762" s="1" t="str">
        <f aca="false">IF(D762&lt;&gt;"",DEC2HEX(D762,2),"")</f>
        <v/>
      </c>
      <c r="J762" s="1" t="str">
        <f aca="false">IF(H762&lt;&gt;"","0x"&amp;I762&amp;H762,"")</f>
        <v/>
      </c>
      <c r="L762" s="1" t="s">
        <v>1481</v>
      </c>
      <c r="M762" s="1" t="str">
        <f aca="false">IF(J762&lt;&gt;"",J762,L762)</f>
        <v>39, 46, MAGNEMITE</v>
      </c>
    </row>
    <row r="763" customFormat="false" ht="12.75" hidden="false" customHeight="true" outlineLevel="0" collapsed="false">
      <c r="A763" s="3" t="s">
        <v>3058</v>
      </c>
      <c r="B763" s="3" t="str">
        <f aca="false">IF(ISNUMBER(SEARCH("%", A763)),RIGHT(A763,3),A763)</f>
        <v>39, 46, PIKACHU</v>
      </c>
      <c r="C763" s="1" t="str">
        <f aca="false" t="array" ref="C763:C763">IF(B762="NEW ROUTE",textsplit(B763,","),"")</f>
        <v/>
      </c>
      <c r="H763" s="1" t="str">
        <f aca="false">IF(C763&lt;&gt;"",DEC2HEX(C763,2),"")</f>
        <v/>
      </c>
      <c r="I763" s="1" t="str">
        <f aca="false">IF(D763&lt;&gt;"",DEC2HEX(D763,2),"")</f>
        <v/>
      </c>
      <c r="J763" s="1" t="str">
        <f aca="false">IF(H763&lt;&gt;"","0x"&amp;I763&amp;H763,"")</f>
        <v/>
      </c>
      <c r="L763" s="1" t="s">
        <v>3058</v>
      </c>
      <c r="M763" s="1" t="str">
        <f aca="false">IF(J763&lt;&gt;"",J763,L763)</f>
        <v>39, 46, PIKACHU</v>
      </c>
    </row>
    <row r="764" customFormat="false" ht="12.75" hidden="false" customHeight="true" outlineLevel="0" collapsed="false">
      <c r="A764" s="3" t="s">
        <v>2801</v>
      </c>
      <c r="B764" s="3" t="str">
        <f aca="false">IF(ISNUMBER(SEARCH("%", A764)),RIGHT(A764,3),A764)</f>
        <v>0.1</v>
      </c>
      <c r="C764" s="1" t="str">
        <f aca="false" t="array" ref="C764:C764">IF(B763="NEW ROUTE",textsplit(B764,","),"")</f>
        <v/>
      </c>
      <c r="H764" s="1" t="str">
        <f aca="false">IF(C764&lt;&gt;"",DEC2HEX(C764,2),"")</f>
        <v/>
      </c>
      <c r="I764" s="1" t="str">
        <f aca="false">IF(D764&lt;&gt;"",DEC2HEX(D764,2),"")</f>
        <v/>
      </c>
      <c r="J764" s="1" t="str">
        <f aca="false">IF(H764&lt;&gt;"","0x"&amp;I764&amp;H764,"")</f>
        <v/>
      </c>
      <c r="L764" s="1" t="s">
        <v>2801</v>
      </c>
      <c r="M764" s="1" t="str">
        <f aca="false">IF(J764&lt;&gt;"",J764,L764)</f>
        <v>0.1</v>
      </c>
    </row>
    <row r="765" customFormat="false" ht="12.75" hidden="false" customHeight="true" outlineLevel="0" collapsed="false">
      <c r="A765" s="3" t="s">
        <v>3059</v>
      </c>
      <c r="B765" s="3" t="str">
        <f aca="false">IF(ISNUMBER(SEARCH("%", A765)),RIGHT(A765,3),A765)</f>
        <v>41, 48, VOLTORB</v>
      </c>
      <c r="C765" s="1" t="str">
        <f aca="false" t="array" ref="C765:C765">IF(B764="NEW ROUTE",textsplit(B765,","),"")</f>
        <v/>
      </c>
      <c r="H765" s="1" t="str">
        <f aca="false">IF(C765&lt;&gt;"",DEC2HEX(C765,2),"")</f>
        <v/>
      </c>
      <c r="I765" s="1" t="str">
        <f aca="false">IF(D765&lt;&gt;"",DEC2HEX(D765,2),"")</f>
        <v/>
      </c>
      <c r="J765" s="1" t="str">
        <f aca="false">IF(H765&lt;&gt;"","0x"&amp;I765&amp;H765,"")</f>
        <v/>
      </c>
      <c r="L765" s="1" t="s">
        <v>3059</v>
      </c>
      <c r="M765" s="1" t="str">
        <f aca="false">IF(J765&lt;&gt;"",J765,L765)</f>
        <v>41, 48, VOLTORB</v>
      </c>
    </row>
    <row r="766" customFormat="false" ht="12.75" hidden="false" customHeight="true" outlineLevel="0" collapsed="false">
      <c r="A766" s="3" t="s">
        <v>3060</v>
      </c>
      <c r="B766" s="3" t="str">
        <f aca="false">IF(ISNUMBER(SEARCH("%", A766)),RIGHT(A766,3),A766)</f>
        <v>41, 46, ELECTABUZZ</v>
      </c>
      <c r="C766" s="1" t="str">
        <f aca="false" t="array" ref="C766:C766">IF(B765="NEW ROUTE",textsplit(B766,","),"")</f>
        <v/>
      </c>
      <c r="H766" s="1" t="str">
        <f aca="false">IF(C766&lt;&gt;"",DEC2HEX(C766,2),"")</f>
        <v/>
      </c>
      <c r="I766" s="1" t="str">
        <f aca="false">IF(D766&lt;&gt;"",DEC2HEX(D766,2),"")</f>
        <v/>
      </c>
      <c r="J766" s="1" t="str">
        <f aca="false">IF(H766&lt;&gt;"","0x"&amp;I766&amp;H766,"")</f>
        <v/>
      </c>
      <c r="L766" s="1" t="s">
        <v>3060</v>
      </c>
      <c r="M766" s="1" t="str">
        <f aca="false">IF(J766&lt;&gt;"",J766,L766)</f>
        <v>41, 46, ELECTABUZZ</v>
      </c>
    </row>
    <row r="767" customFormat="false" ht="12.75" hidden="false" customHeight="true" outlineLevel="0" collapsed="false">
      <c r="A767" s="3" t="s">
        <v>3061</v>
      </c>
      <c r="B767" s="3" t="str">
        <f aca="false">IF(ISNUMBER(SEARCH("%", A767)),RIGHT(A767,3),A767)</f>
        <v>41, 48, PORYGON</v>
      </c>
      <c r="C767" s="1" t="str">
        <f aca="false" t="array" ref="C767:C767">IF(B766="NEW ROUTE",textsplit(B767,","),"")</f>
        <v/>
      </c>
      <c r="H767" s="1" t="str">
        <f aca="false">IF(C767&lt;&gt;"",DEC2HEX(C767,2),"")</f>
        <v/>
      </c>
      <c r="I767" s="1" t="str">
        <f aca="false">IF(D767&lt;&gt;"",DEC2HEX(D767,2),"")</f>
        <v/>
      </c>
      <c r="J767" s="1" t="str">
        <f aca="false">IF(H767&lt;&gt;"","0x"&amp;I767&amp;H767,"")</f>
        <v/>
      </c>
      <c r="L767" s="1" t="s">
        <v>3061</v>
      </c>
      <c r="M767" s="1" t="str">
        <f aca="false">IF(J767&lt;&gt;"",J767,L767)</f>
        <v>41, 48, PORYGON</v>
      </c>
    </row>
    <row r="768" customFormat="false" ht="12.75" hidden="false" customHeight="true" outlineLevel="0" collapsed="false">
      <c r="A768" s="3" t="s">
        <v>3062</v>
      </c>
      <c r="B768" s="3" t="str">
        <f aca="false">IF(ISNUMBER(SEARCH("%", A768)),RIGHT(A768,3),A768)</f>
        <v>41, 48, MAGNETON</v>
      </c>
      <c r="C768" s="1" t="str">
        <f aca="false" t="array" ref="C768:C768">IF(B767="NEW ROUTE",textsplit(B768,","),"")</f>
        <v/>
      </c>
      <c r="H768" s="1" t="str">
        <f aca="false">IF(C768&lt;&gt;"",DEC2HEX(C768,2),"")</f>
        <v/>
      </c>
      <c r="I768" s="1" t="str">
        <f aca="false">IF(D768&lt;&gt;"",DEC2HEX(D768,2),"")</f>
        <v/>
      </c>
      <c r="J768" s="1" t="str">
        <f aca="false">IF(H768&lt;&gt;"","0x"&amp;I768&amp;H768,"")</f>
        <v/>
      </c>
      <c r="L768" s="1" t="s">
        <v>3062</v>
      </c>
      <c r="M768" s="1" t="str">
        <f aca="false">IF(J768&lt;&gt;"",J768,L768)</f>
        <v>41, 48, MAGNETON</v>
      </c>
    </row>
    <row r="769" customFormat="false" ht="12.75" hidden="false" customHeight="true" outlineLevel="0" collapsed="false">
      <c r="A769" s="3" t="s">
        <v>2806</v>
      </c>
      <c r="B769" s="3" t="str">
        <f aca="false">IF(ISNUMBER(SEARCH("%", A769)),RIGHT(A769,3),A769)</f>
        <v>0.05</v>
      </c>
      <c r="C769" s="1" t="str">
        <f aca="false" t="array" ref="C769:C769">IF(B768="NEW ROUTE",textsplit(B769,","),"")</f>
        <v/>
      </c>
      <c r="H769" s="1" t="str">
        <f aca="false">IF(C769&lt;&gt;"",DEC2HEX(C769,2),"")</f>
        <v/>
      </c>
      <c r="I769" s="1" t="str">
        <f aca="false">IF(D769&lt;&gt;"",DEC2HEX(D769,2),"")</f>
        <v/>
      </c>
      <c r="J769" s="1" t="str">
        <f aca="false">IF(H769&lt;&gt;"","0x"&amp;I769&amp;H769,"")</f>
        <v/>
      </c>
      <c r="L769" s="1" t="s">
        <v>2806</v>
      </c>
      <c r="M769" s="1" t="str">
        <f aca="false">IF(J769&lt;&gt;"",J769,L769)</f>
        <v>0.05</v>
      </c>
    </row>
    <row r="770" customFormat="false" ht="12.75" hidden="false" customHeight="true" outlineLevel="0" collapsed="false">
      <c r="A770" s="3" t="s">
        <v>3063</v>
      </c>
      <c r="B770" s="3" t="str">
        <f aca="false">IF(ISNUMBER(SEARCH("%", A770)),RIGHT(A770,3),A770)</f>
        <v>43, 50, PORYGON2</v>
      </c>
      <c r="C770" s="1" t="str">
        <f aca="false" t="array" ref="C770:C770">IF(B769="NEW ROUTE",textsplit(B770,","),"")</f>
        <v/>
      </c>
      <c r="H770" s="1" t="str">
        <f aca="false">IF(C770&lt;&gt;"",DEC2HEX(C770,2),"")</f>
        <v/>
      </c>
      <c r="I770" s="1" t="str">
        <f aca="false">IF(D770&lt;&gt;"",DEC2HEX(D770,2),"")</f>
        <v/>
      </c>
      <c r="J770" s="1" t="str">
        <f aca="false">IF(H770&lt;&gt;"","0x"&amp;I770&amp;H770,"")</f>
        <v/>
      </c>
      <c r="L770" s="1" t="s">
        <v>3063</v>
      </c>
      <c r="M770" s="1" t="str">
        <f aca="false">IF(J770&lt;&gt;"",J770,L770)</f>
        <v>43, 50, PORYGON2</v>
      </c>
    </row>
    <row r="771" customFormat="false" ht="12.75" hidden="false" customHeight="true" outlineLevel="0" collapsed="false">
      <c r="A771" s="3" t="s">
        <v>3064</v>
      </c>
      <c r="B771" s="3" t="str">
        <f aca="false">IF(ISNUMBER(SEARCH("%", A771)),RIGHT(A771,3),A771)</f>
        <v>43, 50, ELECTRODE</v>
      </c>
      <c r="C771" s="1" t="str">
        <f aca="false" t="array" ref="C771:C771">IF(B770="NEW ROUTE",textsplit(B771,","),"")</f>
        <v/>
      </c>
      <c r="H771" s="1" t="str">
        <f aca="false">IF(C771&lt;&gt;"",DEC2HEX(C771,2),"")</f>
        <v/>
      </c>
      <c r="I771" s="1" t="str">
        <f aca="false">IF(D771&lt;&gt;"",DEC2HEX(D771,2),"")</f>
        <v/>
      </c>
      <c r="J771" s="1" t="str">
        <f aca="false">IF(H771&lt;&gt;"","0x"&amp;I771&amp;H771,"")</f>
        <v/>
      </c>
      <c r="L771" s="1" t="s">
        <v>3064</v>
      </c>
      <c r="M771" s="1" t="str">
        <f aca="false">IF(J771&lt;&gt;"",J771,L771)</f>
        <v>43, 50, ELECTRODE</v>
      </c>
    </row>
    <row r="772" customFormat="false" ht="12.75" hidden="false" customHeight="true" outlineLevel="0" collapsed="false">
      <c r="A772" s="3" t="s">
        <v>2809</v>
      </c>
      <c r="B772" s="3" t="str">
        <f aca="false">IF(ISNUMBER(SEARCH("%", A772)),RIGHT(A772,3),A772)</f>
        <v>0.04</v>
      </c>
      <c r="C772" s="1" t="str">
        <f aca="false" t="array" ref="C772:C772">IF(B771="NEW ROUTE",textsplit(B772,","),"")</f>
        <v/>
      </c>
      <c r="H772" s="1" t="str">
        <f aca="false">IF(C772&lt;&gt;"",DEC2HEX(C772,2),"")</f>
        <v/>
      </c>
      <c r="I772" s="1" t="str">
        <f aca="false">IF(D772&lt;&gt;"",DEC2HEX(D772,2),"")</f>
        <v/>
      </c>
      <c r="J772" s="1" t="str">
        <f aca="false">IF(H772&lt;&gt;"","0x"&amp;I772&amp;H772,"")</f>
        <v/>
      </c>
      <c r="L772" s="1" t="s">
        <v>2809</v>
      </c>
      <c r="M772" s="1" t="str">
        <f aca="false">IF(J772&lt;&gt;"",J772,L772)</f>
        <v>0.04</v>
      </c>
    </row>
    <row r="773" customFormat="false" ht="12.75" hidden="false" customHeight="true" outlineLevel="0" collapsed="false">
      <c r="A773" s="3" t="s">
        <v>3065</v>
      </c>
      <c r="B773" s="3" t="str">
        <f aca="false">IF(ISNUMBER(SEARCH("%", A773)),RIGHT(A773,3),A773)</f>
        <v>43, 50, JOLTEON</v>
      </c>
      <c r="C773" s="1" t="str">
        <f aca="false" t="array" ref="C773:C773">IF(B772="NEW ROUTE",textsplit(B773,","),"")</f>
        <v/>
      </c>
      <c r="H773" s="1" t="str">
        <f aca="false">IF(C773&lt;&gt;"",DEC2HEX(C773,2),"")</f>
        <v/>
      </c>
      <c r="I773" s="1" t="str">
        <f aca="false">IF(D773&lt;&gt;"",DEC2HEX(D773,2),"")</f>
        <v/>
      </c>
      <c r="J773" s="1" t="str">
        <f aca="false">IF(H773&lt;&gt;"","0x"&amp;I773&amp;H773,"")</f>
        <v/>
      </c>
      <c r="L773" s="1" t="s">
        <v>3065</v>
      </c>
      <c r="M773" s="1" t="str">
        <f aca="false">IF(J773&lt;&gt;"",J773,L773)</f>
        <v>43, 50, JOLTEON</v>
      </c>
    </row>
    <row r="774" customFormat="false" ht="12.75" hidden="false" customHeight="true" outlineLevel="0" collapsed="false">
      <c r="A774" s="3" t="s">
        <v>3066</v>
      </c>
      <c r="B774" s="3" t="str">
        <f aca="false">IF(ISNUMBER(SEARCH("%", A774)),RIGHT(A774,3),A774)</f>
        <v>43, 50, RAICHU</v>
      </c>
      <c r="C774" s="1" t="str">
        <f aca="false" t="array" ref="C774:C774">IF(B773="NEW ROUTE",textsplit(B774,","),"")</f>
        <v/>
      </c>
      <c r="H774" s="1" t="str">
        <f aca="false">IF(C774&lt;&gt;"",DEC2HEX(C774,2),"")</f>
        <v/>
      </c>
      <c r="I774" s="1" t="str">
        <f aca="false">IF(D774&lt;&gt;"",DEC2HEX(D774,2),"")</f>
        <v/>
      </c>
      <c r="J774" s="1" t="str">
        <f aca="false">IF(H774&lt;&gt;"","0x"&amp;I774&amp;H774,"")</f>
        <v/>
      </c>
      <c r="L774" s="1" t="s">
        <v>3066</v>
      </c>
      <c r="M774" s="1" t="str">
        <f aca="false">IF(J774&lt;&gt;"",J774,L774)</f>
        <v>43, 50, RAICHU</v>
      </c>
    </row>
    <row r="775" customFormat="false" ht="12.75" hidden="false" customHeight="true" outlineLevel="0" collapsed="false">
      <c r="A775" s="3" t="s">
        <v>2812</v>
      </c>
      <c r="B775" s="3" t="str">
        <f aca="false">IF(ISNUMBER(SEARCH("%", A775)),RIGHT(A775,3),A775)</f>
        <v>0.01</v>
      </c>
      <c r="C775" s="1" t="str">
        <f aca="false" t="array" ref="C775:C775">IF(B774="NEW ROUTE",textsplit(B775,","),"")</f>
        <v/>
      </c>
      <c r="H775" s="1" t="str">
        <f aca="false">IF(C775&lt;&gt;"",DEC2HEX(C775,2),"")</f>
        <v/>
      </c>
      <c r="I775" s="1" t="str">
        <f aca="false">IF(D775&lt;&gt;"",DEC2HEX(D775,2),"")</f>
        <v/>
      </c>
      <c r="J775" s="1" t="str">
        <f aca="false">IF(H775&lt;&gt;"","0x"&amp;I775&amp;H775,"")</f>
        <v/>
      </c>
      <c r="L775" s="1" t="s">
        <v>2812</v>
      </c>
      <c r="M775" s="1" t="str">
        <f aca="false">IF(J775&lt;&gt;"",J775,L775)</f>
        <v>0.01</v>
      </c>
    </row>
    <row r="776" customFormat="false" ht="12.75" hidden="false" customHeight="true" outlineLevel="0" collapsed="false">
      <c r="A776" s="3" t="s">
        <v>3067</v>
      </c>
      <c r="B776" s="3" t="str">
        <f aca="false">IF(ISNUMBER(SEARCH("%", A776)),RIGHT(A776,3),A776)</f>
        <v>45, 52, ELECTIVIRE</v>
      </c>
      <c r="C776" s="1" t="str">
        <f aca="false" t="array" ref="C776:C776">IF(B775="NEW ROUTE",textsplit(B776,","),"")</f>
        <v/>
      </c>
      <c r="H776" s="1" t="str">
        <f aca="false">IF(C776&lt;&gt;"",DEC2HEX(C776,2),"")</f>
        <v/>
      </c>
      <c r="I776" s="1" t="str">
        <f aca="false">IF(D776&lt;&gt;"",DEC2HEX(D776,2),"")</f>
        <v/>
      </c>
      <c r="J776" s="1" t="str">
        <f aca="false">IF(H776&lt;&gt;"","0x"&amp;I776&amp;H776,"")</f>
        <v/>
      </c>
      <c r="L776" s="1" t="s">
        <v>3067</v>
      </c>
      <c r="M776" s="1" t="str">
        <f aca="false">IF(J776&lt;&gt;"",J776,L776)</f>
        <v>45, 52, ELECTIVIRE</v>
      </c>
    </row>
    <row r="777" customFormat="false" ht="12.75" hidden="false" customHeight="true" outlineLevel="0" collapsed="false">
      <c r="A777" s="3" t="s">
        <v>3068</v>
      </c>
      <c r="B777" s="3" t="str">
        <f aca="false">IF(ISNUMBER(SEARCH("%", A777)),RIGHT(A777,3),A777)</f>
        <v>45, 50, MAGNEZONE , &lt;null&gt;, &lt;null&gt;, &lt;null&gt;</v>
      </c>
      <c r="C777" s="1" t="str">
        <f aca="false" t="array" ref="C777:C777">IF(B776="NEW ROUTE",textsplit(B777,","),"")</f>
        <v/>
      </c>
      <c r="H777" s="1" t="str">
        <f aca="false">IF(C777&lt;&gt;"",DEC2HEX(C777,2),"")</f>
        <v/>
      </c>
      <c r="I777" s="1" t="str">
        <f aca="false">IF(D777&lt;&gt;"",DEC2HEX(D777,2),"")</f>
        <v/>
      </c>
      <c r="J777" s="1" t="str">
        <f aca="false">IF(H777&lt;&gt;"","0x"&amp;I777&amp;H777,"")</f>
        <v/>
      </c>
      <c r="L777" s="1" t="s">
        <v>3068</v>
      </c>
      <c r="M777" s="1" t="str">
        <f aca="false">IF(J777&lt;&gt;"",J777,L777)</f>
        <v>45, 50, MAGNEZONE , &lt;null&gt;, &lt;null&gt;, &lt;null&gt;</v>
      </c>
    </row>
    <row r="778" customFormat="false" ht="12.75" hidden="false" customHeight="true" outlineLevel="0" collapsed="false">
      <c r="A778" s="3" t="s">
        <v>2536</v>
      </c>
      <c r="B778" s="3" t="str">
        <f aca="false">IF(ISNUMBER(SEARCH("%", A778)),RIGHT(A778,3),A778)</f>
        <v>NEW ROUTE</v>
      </c>
      <c r="C778" s="1" t="str">
        <f aca="false" t="array" ref="C778:C778">IF(B777="NEW ROUTE",textsplit(B778,","),"")</f>
        <v/>
      </c>
      <c r="H778" s="1" t="str">
        <f aca="false">IF(C778&lt;&gt;"",DEC2HEX(C778,2),"")</f>
        <v/>
      </c>
      <c r="I778" s="1" t="str">
        <f aca="false">IF(D778&lt;&gt;"",DEC2HEX(D778,2),"")</f>
        <v/>
      </c>
      <c r="J778" s="1" t="str">
        <f aca="false">IF(H778&lt;&gt;"","0x"&amp;I778&amp;H778,"")</f>
        <v/>
      </c>
      <c r="L778" s="1" t="s">
        <v>2536</v>
      </c>
      <c r="M778" s="1" t="str">
        <f aca="false">IF(J778&lt;&gt;"",J778,L778)</f>
        <v>NEW ROUTE</v>
      </c>
    </row>
    <row r="779" customFormat="false" ht="12.75" hidden="false" customHeight="true" outlineLevel="0" collapsed="false">
      <c r="A779" s="3" t="s">
        <v>3069</v>
      </c>
      <c r="B779" s="3" t="str">
        <f aca="false">IF(ISNUMBER(SEARCH("%", A779)),RIGHT(A779,3),A779)</f>
        <v>1, 97, 0,</v>
      </c>
      <c r="C779" s="1" t="e">
        <f aca="false" t="array" ref="C779:C779">IF(B778="NEW ROUTE",textsplit(B779,","),"")</f>
        <v>#NAME?</v>
      </c>
      <c r="H779" s="1" t="e">
        <f aca="false">IF(C779&lt;&gt;"",DEC2HEX(C779,2),"")</f>
        <v>#NAME?</v>
      </c>
      <c r="I779" s="1" t="str">
        <f aca="false">IF(D779&lt;&gt;"",DEC2HEX(D779,2),"")</f>
        <v/>
      </c>
      <c r="J779" s="1" t="e">
        <f aca="false">IF(H779&lt;&gt;"","0x"&amp;I779&amp;H779,"")</f>
        <v>#NAME?</v>
      </c>
      <c r="L779" s="1" t="s">
        <v>3069</v>
      </c>
      <c r="M779" s="1" t="e">
        <f aca="false">IF(J779&lt;&gt;"",J779,L779)</f>
        <v>#NAME?</v>
      </c>
    </row>
    <row r="780" customFormat="false" ht="12.75" hidden="false" customHeight="true" outlineLevel="0" collapsed="false">
      <c r="A780" s="3" t="s">
        <v>2908</v>
      </c>
      <c r="B780" s="3" t="str">
        <f aca="false">IF(ISNUMBER(SEARCH("%", A780)),RIGHT(A780,3),A780)</f>
        <v>20%</v>
      </c>
      <c r="C780" s="1" t="str">
        <f aca="false" t="array" ref="C780:C780">IF(B779="NEW ROUTE",textsplit(B780,","),"")</f>
        <v/>
      </c>
      <c r="H780" s="1" t="str">
        <f aca="false">IF(C780&lt;&gt;"",DEC2HEX(C780,2),"")</f>
        <v/>
      </c>
      <c r="I780" s="1" t="str">
        <f aca="false">IF(D780&lt;&gt;"",DEC2HEX(D780,2),"")</f>
        <v/>
      </c>
      <c r="J780" s="1" t="str">
        <f aca="false">IF(H780&lt;&gt;"","0x"&amp;I780&amp;H780,"")</f>
        <v/>
      </c>
      <c r="L780" s="1" t="s">
        <v>2799</v>
      </c>
      <c r="M780" s="1" t="str">
        <f aca="false">IF(J780&lt;&gt;"",J780,L780)</f>
        <v>20%</v>
      </c>
    </row>
    <row r="781" customFormat="false" ht="12.75" hidden="false" customHeight="true" outlineLevel="0" collapsed="false">
      <c r="A781" s="3" t="s">
        <v>1494</v>
      </c>
      <c r="B781" s="3" t="str">
        <f aca="false">IF(ISNUMBER(SEARCH("%", A781)),RIGHT(A781,3),A781)</f>
        <v>30, 30, PONYTA</v>
      </c>
      <c r="C781" s="1" t="str">
        <f aca="false" t="array" ref="C781:C781">IF(B780="NEW ROUTE",textsplit(B781,","),"")</f>
        <v/>
      </c>
      <c r="H781" s="1" t="str">
        <f aca="false">IF(C781&lt;&gt;"",DEC2HEX(C781,2),"")</f>
        <v/>
      </c>
      <c r="I781" s="1" t="str">
        <f aca="false">IF(D781&lt;&gt;"",DEC2HEX(D781,2),"")</f>
        <v/>
      </c>
      <c r="J781" s="1" t="str">
        <f aca="false">IF(H781&lt;&gt;"","0x"&amp;I781&amp;H781,"")</f>
        <v/>
      </c>
      <c r="L781" s="1" t="s">
        <v>1494</v>
      </c>
      <c r="M781" s="1" t="str">
        <f aca="false">IF(J781&lt;&gt;"",J781,L781)</f>
        <v>30, 30, PONYTA</v>
      </c>
    </row>
    <row r="782" customFormat="false" ht="12.75" hidden="false" customHeight="true" outlineLevel="0" collapsed="false">
      <c r="A782" s="3" t="s">
        <v>3070</v>
      </c>
      <c r="B782" s="3" t="str">
        <f aca="false">IF(ISNUMBER(SEARCH("%", A782)),RIGHT(A782,3),A782)</f>
        <v>38, 38, FEAROW</v>
      </c>
      <c r="C782" s="1" t="str">
        <f aca="false" t="array" ref="C782:C782">IF(B781="NEW ROUTE",textsplit(B782,","),"")</f>
        <v/>
      </c>
      <c r="H782" s="1" t="str">
        <f aca="false">IF(C782&lt;&gt;"",DEC2HEX(C782,2),"")</f>
        <v/>
      </c>
      <c r="I782" s="1" t="str">
        <f aca="false">IF(D782&lt;&gt;"",DEC2HEX(D782,2),"")</f>
        <v/>
      </c>
      <c r="J782" s="1" t="str">
        <f aca="false">IF(H782&lt;&gt;"","0x"&amp;I782&amp;H782,"")</f>
        <v/>
      </c>
      <c r="L782" s="1" t="s">
        <v>3070</v>
      </c>
      <c r="M782" s="1" t="str">
        <f aca="false">IF(J782&lt;&gt;"",J782,L782)</f>
        <v>38, 38, FEAROW</v>
      </c>
    </row>
    <row r="783" customFormat="false" ht="12.75" hidden="false" customHeight="true" outlineLevel="0" collapsed="false">
      <c r="A783" s="3" t="s">
        <v>2801</v>
      </c>
      <c r="B783" s="3" t="str">
        <f aca="false">IF(ISNUMBER(SEARCH("%", A783)),RIGHT(A783,3),A783)</f>
        <v>0.1</v>
      </c>
      <c r="C783" s="1" t="str">
        <f aca="false" t="array" ref="C783:C783">IF(B782="NEW ROUTE",textsplit(B783,","),"")</f>
        <v/>
      </c>
      <c r="H783" s="1" t="str">
        <f aca="false">IF(C783&lt;&gt;"",DEC2HEX(C783,2),"")</f>
        <v/>
      </c>
      <c r="I783" s="1" t="str">
        <f aca="false">IF(D783&lt;&gt;"",DEC2HEX(D783,2),"")</f>
        <v/>
      </c>
      <c r="J783" s="1" t="str">
        <f aca="false">IF(H783&lt;&gt;"","0x"&amp;I783&amp;H783,"")</f>
        <v/>
      </c>
      <c r="L783" s="1" t="s">
        <v>2801</v>
      </c>
      <c r="M783" s="1" t="str">
        <f aca="false">IF(J783&lt;&gt;"",J783,L783)</f>
        <v>0.1</v>
      </c>
    </row>
    <row r="784" customFormat="false" ht="12.75" hidden="false" customHeight="true" outlineLevel="0" collapsed="false">
      <c r="A784" s="3" t="s">
        <v>3071</v>
      </c>
      <c r="B784" s="3" t="str">
        <f aca="false">IF(ISNUMBER(SEARCH("%", A784)),RIGHT(A784,3),A784)</f>
        <v>33, 33, PONYTA</v>
      </c>
      <c r="C784" s="1" t="str">
        <f aca="false" t="array" ref="C784:C784">IF(B783="NEW ROUTE",textsplit(B784,","),"")</f>
        <v/>
      </c>
      <c r="H784" s="1" t="str">
        <f aca="false">IF(C784&lt;&gt;"",DEC2HEX(C784,2),"")</f>
        <v/>
      </c>
      <c r="I784" s="1" t="str">
        <f aca="false">IF(D784&lt;&gt;"",DEC2HEX(D784,2),"")</f>
        <v/>
      </c>
      <c r="J784" s="1" t="str">
        <f aca="false">IF(H784&lt;&gt;"","0x"&amp;I784&amp;H784,"")</f>
        <v/>
      </c>
      <c r="L784" s="1" t="s">
        <v>3071</v>
      </c>
      <c r="M784" s="1" t="str">
        <f aca="false">IF(J784&lt;&gt;"",J784,L784)</f>
        <v>33, 33, PONYTA</v>
      </c>
    </row>
    <row r="785" customFormat="false" ht="12.75" hidden="false" customHeight="true" outlineLevel="0" collapsed="false">
      <c r="A785" s="3" t="s">
        <v>1666</v>
      </c>
      <c r="B785" s="3" t="str">
        <f aca="false">IF(ISNUMBER(SEARCH("%", A785)),RIGHT(A785,3),A785)</f>
        <v>32, 32, SPEAROW</v>
      </c>
      <c r="C785" s="1" t="str">
        <f aca="false" t="array" ref="C785:C785">IF(B784="NEW ROUTE",textsplit(B785,","),"")</f>
        <v/>
      </c>
      <c r="H785" s="1" t="str">
        <f aca="false">IF(C785&lt;&gt;"",DEC2HEX(C785,2),"")</f>
        <v/>
      </c>
      <c r="I785" s="1" t="str">
        <f aca="false">IF(D785&lt;&gt;"",DEC2HEX(D785,2),"")</f>
        <v/>
      </c>
      <c r="J785" s="1" t="str">
        <f aca="false">IF(H785&lt;&gt;"","0x"&amp;I785&amp;H785,"")</f>
        <v/>
      </c>
      <c r="L785" s="1" t="s">
        <v>1666</v>
      </c>
      <c r="M785" s="1" t="str">
        <f aca="false">IF(J785&lt;&gt;"",J785,L785)</f>
        <v>32, 32, SPEAROW</v>
      </c>
    </row>
    <row r="786" customFormat="false" ht="12.75" hidden="false" customHeight="true" outlineLevel="0" collapsed="false">
      <c r="A786" s="3" t="s">
        <v>3072</v>
      </c>
      <c r="B786" s="3" t="str">
        <f aca="false">IF(ISNUMBER(SEARCH("%", A786)),RIGHT(A786,3),A786)</f>
        <v>35, 35, MACHOP</v>
      </c>
      <c r="C786" s="1" t="str">
        <f aca="false" t="array" ref="C786:C786">IF(B785="NEW ROUTE",textsplit(B786,","),"")</f>
        <v/>
      </c>
      <c r="H786" s="1" t="str">
        <f aca="false">IF(C786&lt;&gt;"",DEC2HEX(C786,2),"")</f>
        <v/>
      </c>
      <c r="I786" s="1" t="str">
        <f aca="false">IF(D786&lt;&gt;"",DEC2HEX(D786,2),"")</f>
        <v/>
      </c>
      <c r="J786" s="1" t="str">
        <f aca="false">IF(H786&lt;&gt;"","0x"&amp;I786&amp;H786,"")</f>
        <v/>
      </c>
      <c r="L786" s="1" t="s">
        <v>3072</v>
      </c>
      <c r="M786" s="1" t="str">
        <f aca="false">IF(J786&lt;&gt;"",J786,L786)</f>
        <v>35, 35, MACHOP</v>
      </c>
    </row>
    <row r="787" customFormat="false" ht="12.75" hidden="false" customHeight="true" outlineLevel="0" collapsed="false">
      <c r="A787" s="3" t="s">
        <v>1507</v>
      </c>
      <c r="B787" s="3" t="str">
        <f aca="false">IF(ISNUMBER(SEARCH("%", A787)),RIGHT(A787,3),A787)</f>
        <v>33, 33, GEODUDE</v>
      </c>
      <c r="C787" s="1" t="str">
        <f aca="false" t="array" ref="C787:C787">IF(B786="NEW ROUTE",textsplit(B787,","),"")</f>
        <v/>
      </c>
      <c r="H787" s="1" t="str">
        <f aca="false">IF(C787&lt;&gt;"",DEC2HEX(C787,2),"")</f>
        <v/>
      </c>
      <c r="I787" s="1" t="str">
        <f aca="false">IF(D787&lt;&gt;"",DEC2HEX(D787,2),"")</f>
        <v/>
      </c>
      <c r="J787" s="1" t="str">
        <f aca="false">IF(H787&lt;&gt;"","0x"&amp;I787&amp;H787,"")</f>
        <v/>
      </c>
      <c r="L787" s="1" t="s">
        <v>1507</v>
      </c>
      <c r="M787" s="1" t="str">
        <f aca="false">IF(J787&lt;&gt;"",J787,L787)</f>
        <v>33, 33, GEODUDE</v>
      </c>
    </row>
    <row r="788" customFormat="false" ht="12.75" hidden="false" customHeight="true" outlineLevel="0" collapsed="false">
      <c r="A788" s="3" t="s">
        <v>2806</v>
      </c>
      <c r="B788" s="3" t="str">
        <f aca="false">IF(ISNUMBER(SEARCH("%", A788)),RIGHT(A788,3),A788)</f>
        <v>0.05</v>
      </c>
      <c r="C788" s="1" t="str">
        <f aca="false" t="array" ref="C788:C788">IF(B787="NEW ROUTE",textsplit(B788,","),"")</f>
        <v/>
      </c>
      <c r="H788" s="1" t="str">
        <f aca="false">IF(C788&lt;&gt;"",DEC2HEX(C788,2),"")</f>
        <v/>
      </c>
      <c r="I788" s="1" t="str">
        <f aca="false">IF(D788&lt;&gt;"",DEC2HEX(D788,2),"")</f>
        <v/>
      </c>
      <c r="J788" s="1" t="str">
        <f aca="false">IF(H788&lt;&gt;"","0x"&amp;I788&amp;H788,"")</f>
        <v/>
      </c>
      <c r="L788" s="1" t="s">
        <v>2806</v>
      </c>
      <c r="M788" s="1" t="str">
        <f aca="false">IF(J788&lt;&gt;"",J788,L788)</f>
        <v>0.05</v>
      </c>
    </row>
    <row r="789" customFormat="false" ht="12.75" hidden="false" customHeight="true" outlineLevel="0" collapsed="false">
      <c r="A789" s="3" t="s">
        <v>3073</v>
      </c>
      <c r="B789" s="3" t="str">
        <f aca="false">IF(ISNUMBER(SEARCH("%", A789)),RIGHT(A789,3),A789)</f>
        <v>36, 36, PONYTA</v>
      </c>
      <c r="C789" s="1" t="str">
        <f aca="false" t="array" ref="C789:C789">IF(B788="NEW ROUTE",textsplit(B789,","),"")</f>
        <v/>
      </c>
      <c r="H789" s="1" t="str">
        <f aca="false">IF(C789&lt;&gt;"",DEC2HEX(C789,2),"")</f>
        <v/>
      </c>
      <c r="I789" s="1" t="str">
        <f aca="false">IF(D789&lt;&gt;"",DEC2HEX(D789,2),"")</f>
        <v/>
      </c>
      <c r="J789" s="1" t="str">
        <f aca="false">IF(H789&lt;&gt;"","0x"&amp;I789&amp;H789,"")</f>
        <v/>
      </c>
      <c r="L789" s="1" t="s">
        <v>3073</v>
      </c>
      <c r="M789" s="1" t="str">
        <f aca="false">IF(J789&lt;&gt;"",J789,L789)</f>
        <v>36, 36, PONYTA</v>
      </c>
    </row>
    <row r="790" customFormat="false" ht="12.75" hidden="false" customHeight="true" outlineLevel="0" collapsed="false">
      <c r="A790" s="3" t="s">
        <v>3074</v>
      </c>
      <c r="B790" s="3" t="str">
        <f aca="false">IF(ISNUMBER(SEARCH("%", A790)),RIGHT(A790,3),A790)</f>
        <v>40, 40, FEAROW</v>
      </c>
      <c r="C790" s="1" t="str">
        <f aca="false" t="array" ref="C790:C790">IF(B789="NEW ROUTE",textsplit(B790,","),"")</f>
        <v/>
      </c>
      <c r="H790" s="1" t="str">
        <f aca="false">IF(C790&lt;&gt;"",DEC2HEX(C790,2),"")</f>
        <v/>
      </c>
      <c r="I790" s="1" t="str">
        <f aca="false">IF(D790&lt;&gt;"",DEC2HEX(D790,2),"")</f>
        <v/>
      </c>
      <c r="J790" s="1" t="str">
        <f aca="false">IF(H790&lt;&gt;"","0x"&amp;I790&amp;H790,"")</f>
        <v/>
      </c>
      <c r="L790" s="1" t="s">
        <v>3074</v>
      </c>
      <c r="M790" s="1" t="str">
        <f aca="false">IF(J790&lt;&gt;"",J790,L790)</f>
        <v>40, 40, FEAROW</v>
      </c>
    </row>
    <row r="791" customFormat="false" ht="12.75" hidden="false" customHeight="true" outlineLevel="0" collapsed="false">
      <c r="A791" s="3" t="s">
        <v>2809</v>
      </c>
      <c r="B791" s="3" t="str">
        <f aca="false">IF(ISNUMBER(SEARCH("%", A791)),RIGHT(A791,3),A791)</f>
        <v>0.04</v>
      </c>
      <c r="C791" s="1" t="str">
        <f aca="false" t="array" ref="C791:C791">IF(B790="NEW ROUTE",textsplit(B791,","),"")</f>
        <v/>
      </c>
      <c r="H791" s="1" t="str">
        <f aca="false">IF(C791&lt;&gt;"",DEC2HEX(C791,2),"")</f>
        <v/>
      </c>
      <c r="I791" s="1" t="str">
        <f aca="false">IF(D791&lt;&gt;"",DEC2HEX(D791,2),"")</f>
        <v/>
      </c>
      <c r="J791" s="1" t="str">
        <f aca="false">IF(H791&lt;&gt;"","0x"&amp;I791&amp;H791,"")</f>
        <v/>
      </c>
      <c r="L791" s="1" t="s">
        <v>2809</v>
      </c>
      <c r="M791" s="1" t="str">
        <f aca="false">IF(J791&lt;&gt;"",J791,L791)</f>
        <v>0.04</v>
      </c>
    </row>
    <row r="792" customFormat="false" ht="12.75" hidden="false" customHeight="true" outlineLevel="0" collapsed="false">
      <c r="A792" s="3" t="s">
        <v>3075</v>
      </c>
      <c r="B792" s="3" t="str">
        <f aca="false">IF(ISNUMBER(SEARCH("%", A792)),RIGHT(A792,3),A792)</f>
        <v>38, 38, MAGMAR</v>
      </c>
      <c r="C792" s="1" t="str">
        <f aca="false" t="array" ref="C792:C792">IF(B791="NEW ROUTE",textsplit(B792,","),"")</f>
        <v/>
      </c>
      <c r="H792" s="1" t="str">
        <f aca="false">IF(C792&lt;&gt;"",DEC2HEX(C792,2),"")</f>
        <v/>
      </c>
      <c r="I792" s="1" t="str">
        <f aca="false">IF(D792&lt;&gt;"",DEC2HEX(D792,2),"")</f>
        <v/>
      </c>
      <c r="J792" s="1" t="str">
        <f aca="false">IF(H792&lt;&gt;"","0x"&amp;I792&amp;H792,"")</f>
        <v/>
      </c>
      <c r="L792" s="1" t="s">
        <v>3075</v>
      </c>
      <c r="M792" s="1" t="str">
        <f aca="false">IF(J792&lt;&gt;"",J792,L792)</f>
        <v>38, 38, MAGMAR</v>
      </c>
    </row>
    <row r="793" customFormat="false" ht="12.75" hidden="false" customHeight="true" outlineLevel="0" collapsed="false">
      <c r="A793" s="3" t="s">
        <v>3076</v>
      </c>
      <c r="B793" s="3" t="str">
        <f aca="false">IF(ISNUMBER(SEARCH("%", A793)),RIGHT(A793,3),A793)</f>
        <v>39, 39, RAPIDASH</v>
      </c>
      <c r="C793" s="1" t="str">
        <f aca="false" t="array" ref="C793:C793">IF(B792="NEW ROUTE",textsplit(B793,","),"")</f>
        <v/>
      </c>
      <c r="H793" s="1" t="str">
        <f aca="false">IF(C793&lt;&gt;"",DEC2HEX(C793,2),"")</f>
        <v/>
      </c>
      <c r="I793" s="1" t="str">
        <f aca="false">IF(D793&lt;&gt;"",DEC2HEX(D793,2),"")</f>
        <v/>
      </c>
      <c r="J793" s="1" t="str">
        <f aca="false">IF(H793&lt;&gt;"","0x"&amp;I793&amp;H793,"")</f>
        <v/>
      </c>
      <c r="L793" s="1" t="s">
        <v>3076</v>
      </c>
      <c r="M793" s="1" t="str">
        <f aca="false">IF(J793&lt;&gt;"",J793,L793)</f>
        <v>39, 39, RAPIDASH</v>
      </c>
    </row>
    <row r="794" customFormat="false" ht="12.75" hidden="false" customHeight="true" outlineLevel="0" collapsed="false">
      <c r="A794" s="3" t="s">
        <v>2812</v>
      </c>
      <c r="B794" s="3" t="str">
        <f aca="false">IF(ISNUMBER(SEARCH("%", A794)),RIGHT(A794,3),A794)</f>
        <v>0.01</v>
      </c>
      <c r="C794" s="1" t="str">
        <f aca="false" t="array" ref="C794:C794">IF(B793="NEW ROUTE",textsplit(B794,","),"")</f>
        <v/>
      </c>
      <c r="H794" s="1" t="str">
        <f aca="false">IF(C794&lt;&gt;"",DEC2HEX(C794,2),"")</f>
        <v/>
      </c>
      <c r="I794" s="1" t="str">
        <f aca="false">IF(D794&lt;&gt;"",DEC2HEX(D794,2),"")</f>
        <v/>
      </c>
      <c r="J794" s="1" t="str">
        <f aca="false">IF(H794&lt;&gt;"","0x"&amp;I794&amp;H794,"")</f>
        <v/>
      </c>
      <c r="L794" s="1" t="s">
        <v>2812</v>
      </c>
      <c r="M794" s="1" t="str">
        <f aca="false">IF(J794&lt;&gt;"",J794,L794)</f>
        <v>0.01</v>
      </c>
    </row>
    <row r="795" customFormat="false" ht="12.75" hidden="false" customHeight="true" outlineLevel="0" collapsed="false">
      <c r="A795" s="3" t="s">
        <v>3077</v>
      </c>
      <c r="B795" s="3" t="str">
        <f aca="false">IF(ISNUMBER(SEARCH("%", A795)),RIGHT(A795,3),A795)</f>
        <v>40, 40, MAGMAR</v>
      </c>
      <c r="C795" s="1" t="str">
        <f aca="false" t="array" ref="C795:C795">IF(B794="NEW ROUTE",textsplit(B795,","),"")</f>
        <v/>
      </c>
      <c r="H795" s="1" t="str">
        <f aca="false">IF(C795&lt;&gt;"",DEC2HEX(C795,2),"")</f>
        <v/>
      </c>
      <c r="I795" s="1" t="str">
        <f aca="false">IF(D795&lt;&gt;"",DEC2HEX(D795,2),"")</f>
        <v/>
      </c>
      <c r="J795" s="1" t="str">
        <f aca="false">IF(H795&lt;&gt;"","0x"&amp;I795&amp;H795,"")</f>
        <v/>
      </c>
      <c r="L795" s="1" t="s">
        <v>3077</v>
      </c>
      <c r="M795" s="1" t="str">
        <f aca="false">IF(J795&lt;&gt;"",J795,L795)</f>
        <v>40, 40, MAGMAR</v>
      </c>
    </row>
    <row r="796" customFormat="false" ht="12.75" hidden="false" customHeight="true" outlineLevel="0" collapsed="false">
      <c r="A796" s="3" t="s">
        <v>3078</v>
      </c>
      <c r="B796" s="3" t="str">
        <f aca="false">IF(ISNUMBER(SEARCH("%", A796)),RIGHT(A796,3),A796)</f>
        <v>42, 42, RAPIDASH</v>
      </c>
      <c r="C796" s="1" t="str">
        <f aca="false" t="array" ref="C796:C796">IF(B795="NEW ROUTE",textsplit(B796,","),"")</f>
        <v/>
      </c>
      <c r="H796" s="1" t="str">
        <f aca="false">IF(C796&lt;&gt;"",DEC2HEX(C796,2),"")</f>
        <v/>
      </c>
      <c r="I796" s="1" t="str">
        <f aca="false">IF(D796&lt;&gt;"",DEC2HEX(D796,2),"")</f>
        <v/>
      </c>
      <c r="J796" s="1" t="str">
        <f aca="false">IF(H796&lt;&gt;"","0x"&amp;I796&amp;H796,"")</f>
        <v/>
      </c>
      <c r="L796" s="1" t="s">
        <v>3078</v>
      </c>
      <c r="M796" s="1" t="str">
        <f aca="false">IF(J796&lt;&gt;"",J796,L796)</f>
        <v>42, 42, RAPIDASH</v>
      </c>
    </row>
    <row r="797" customFormat="false" ht="12.75" hidden="false" customHeight="true" outlineLevel="0" collapsed="false">
      <c r="A797" s="3" t="s">
        <v>2999</v>
      </c>
      <c r="B797" s="3" t="str">
        <f aca="false">IF(ISNUMBER(SEARCH("%", A797)),RIGHT(A797,3),A797)</f>
        <v>50, 5, 20, GEODUDE</v>
      </c>
      <c r="C797" s="1" t="str">
        <f aca="false" t="array" ref="C797:C797">IF(B796="NEW ROUTE",textsplit(B797,","),"")</f>
        <v/>
      </c>
      <c r="H797" s="1" t="str">
        <f aca="false">IF(C797&lt;&gt;"",DEC2HEX(C797,2),"")</f>
        <v/>
      </c>
      <c r="I797" s="1" t="str">
        <f aca="false">IF(D797&lt;&gt;"",DEC2HEX(D797,2),"")</f>
        <v/>
      </c>
      <c r="J797" s="1" t="str">
        <f aca="false">IF(H797&lt;&gt;"","0x"&amp;I797&amp;H797,"")</f>
        <v/>
      </c>
      <c r="L797" s="1" t="s">
        <v>2999</v>
      </c>
      <c r="M797" s="1" t="str">
        <f aca="false">IF(J797&lt;&gt;"",J797,L797)</f>
        <v>50, 5, 20, GEODUDE</v>
      </c>
    </row>
    <row r="798" customFormat="false" ht="12.75" hidden="false" customHeight="true" outlineLevel="0" collapsed="false">
      <c r="A798" s="3" t="s">
        <v>3000</v>
      </c>
      <c r="B798" s="3" t="str">
        <f aca="false">IF(ISNUMBER(SEARCH("%", A798)),RIGHT(A798,3),A798)</f>
        <v>10, 20, GEODUDE</v>
      </c>
      <c r="C798" s="1" t="str">
        <f aca="false" t="array" ref="C798:C798">IF(B797="NEW ROUTE",textsplit(B798,","),"")</f>
        <v/>
      </c>
      <c r="H798" s="1" t="str">
        <f aca="false">IF(C798&lt;&gt;"",DEC2HEX(C798,2),"")</f>
        <v/>
      </c>
      <c r="I798" s="1" t="str">
        <f aca="false">IF(D798&lt;&gt;"",DEC2HEX(D798,2),"")</f>
        <v/>
      </c>
      <c r="J798" s="1" t="str">
        <f aca="false">IF(H798&lt;&gt;"","0x"&amp;I798&amp;H798,"")</f>
        <v/>
      </c>
      <c r="L798" s="1" t="s">
        <v>3000</v>
      </c>
      <c r="M798" s="1" t="str">
        <f aca="false">IF(J798&lt;&gt;"",J798,L798)</f>
        <v>10, 20, GEODUDE</v>
      </c>
    </row>
    <row r="799" customFormat="false" ht="12.75" hidden="false" customHeight="true" outlineLevel="0" collapsed="false">
      <c r="A799" s="3" t="s">
        <v>3001</v>
      </c>
      <c r="B799" s="3" t="str">
        <f aca="false">IF(ISNUMBER(SEARCH("%", A799)),RIGHT(A799,3),A799)</f>
        <v>15, 30, GEODUDE</v>
      </c>
      <c r="C799" s="1" t="str">
        <f aca="false" t="array" ref="C799:C799">IF(B798="NEW ROUTE",textsplit(B799,","),"")</f>
        <v/>
      </c>
      <c r="H799" s="1" t="str">
        <f aca="false">IF(C799&lt;&gt;"",DEC2HEX(C799,2),"")</f>
        <v/>
      </c>
      <c r="I799" s="1" t="str">
        <f aca="false">IF(D799&lt;&gt;"",DEC2HEX(D799,2),"")</f>
        <v/>
      </c>
      <c r="J799" s="1" t="str">
        <f aca="false">IF(H799&lt;&gt;"","0x"&amp;I799&amp;H799,"")</f>
        <v/>
      </c>
      <c r="L799" s="1" t="s">
        <v>3001</v>
      </c>
      <c r="M799" s="1" t="str">
        <f aca="false">IF(J799&lt;&gt;"",J799,L799)</f>
        <v>15, 30, GEODUDE</v>
      </c>
    </row>
    <row r="800" customFormat="false" ht="12.75" hidden="false" customHeight="true" outlineLevel="0" collapsed="false">
      <c r="A800" s="3" t="s">
        <v>3002</v>
      </c>
      <c r="B800" s="3" t="str">
        <f aca="false">IF(ISNUMBER(SEARCH("%", A800)),RIGHT(A800,3),A800)</f>
        <v>25, 40, GRAVELER</v>
      </c>
      <c r="C800" s="1" t="str">
        <f aca="false" t="array" ref="C800:C800">IF(B799="NEW ROUTE",textsplit(B800,","),"")</f>
        <v/>
      </c>
      <c r="H800" s="1" t="str">
        <f aca="false">IF(C800&lt;&gt;"",DEC2HEX(C800,2),"")</f>
        <v/>
      </c>
      <c r="I800" s="1" t="str">
        <f aca="false">IF(D800&lt;&gt;"",DEC2HEX(D800,2),"")</f>
        <v/>
      </c>
      <c r="J800" s="1" t="str">
        <f aca="false">IF(H800&lt;&gt;"","0x"&amp;I800&amp;H800,"")</f>
        <v/>
      </c>
      <c r="L800" s="1" t="s">
        <v>3002</v>
      </c>
      <c r="M800" s="1" t="str">
        <f aca="false">IF(J800&lt;&gt;"",J800,L800)</f>
        <v>25, 40, GRAVELER</v>
      </c>
    </row>
    <row r="801" customFormat="false" ht="12.75" hidden="false" customHeight="true" outlineLevel="0" collapsed="false">
      <c r="A801" s="3" t="s">
        <v>3003</v>
      </c>
      <c r="B801" s="3" t="str">
        <f aca="false">IF(ISNUMBER(SEARCH("%", A801)),RIGHT(A801,3),A801)</f>
        <v>30, 40, GRAVELER , &lt;null&gt;</v>
      </c>
      <c r="C801" s="1" t="str">
        <f aca="false" t="array" ref="C801:C801">IF(B800="NEW ROUTE",textsplit(B801,","),"")</f>
        <v/>
      </c>
      <c r="H801" s="1" t="str">
        <f aca="false">IF(C801&lt;&gt;"",DEC2HEX(C801,2),"")</f>
        <v/>
      </c>
      <c r="I801" s="1" t="str">
        <f aca="false">IF(D801&lt;&gt;"",DEC2HEX(D801,2),"")</f>
        <v/>
      </c>
      <c r="J801" s="1" t="str">
        <f aca="false">IF(H801&lt;&gt;"","0x"&amp;I801&amp;H801,"")</f>
        <v/>
      </c>
      <c r="L801" s="1" t="s">
        <v>3003</v>
      </c>
      <c r="M801" s="1" t="str">
        <f aca="false">IF(J801&lt;&gt;"",J801,L801)</f>
        <v>30, 40, GRAVELER , &lt;null&gt;</v>
      </c>
    </row>
    <row r="802" customFormat="false" ht="12.75" hidden="false" customHeight="true" outlineLevel="0" collapsed="false">
      <c r="A802" s="3" t="s">
        <v>2536</v>
      </c>
      <c r="B802" s="3" t="str">
        <f aca="false">IF(ISNUMBER(SEARCH("%", A802)),RIGHT(A802,3),A802)</f>
        <v>NEW ROUTE</v>
      </c>
      <c r="C802" s="1" t="str">
        <f aca="false" t="array" ref="C802:C802">IF(B801="NEW ROUTE",textsplit(B802,","),"")</f>
        <v/>
      </c>
      <c r="H802" s="1" t="str">
        <f aca="false">IF(C802&lt;&gt;"",DEC2HEX(C802,2),"")</f>
        <v/>
      </c>
      <c r="I802" s="1" t="str">
        <f aca="false">IF(D802&lt;&gt;"",DEC2HEX(D802,2),"")</f>
        <v/>
      </c>
      <c r="J802" s="1" t="str">
        <f aca="false">IF(H802&lt;&gt;"","0x"&amp;I802&amp;H802,"")</f>
        <v/>
      </c>
      <c r="L802" s="1" t="s">
        <v>2536</v>
      </c>
      <c r="M802" s="1" t="str">
        <f aca="false">IF(J802&lt;&gt;"",J802,L802)</f>
        <v>NEW ROUTE</v>
      </c>
    </row>
    <row r="803" customFormat="false" ht="12.75" hidden="false" customHeight="true" outlineLevel="0" collapsed="false">
      <c r="A803" s="3" t="s">
        <v>3079</v>
      </c>
      <c r="B803" s="3" t="str">
        <f aca="false">IF(ISNUMBER(SEARCH("%", A803)),RIGHT(A803,3),A803)</f>
        <v>1, 98, 0,</v>
      </c>
      <c r="C803" s="1" t="e">
        <f aca="false" t="array" ref="C803:C803">IF(B802="NEW ROUTE",textsplit(B803,","),"")</f>
        <v>#NAME?</v>
      </c>
      <c r="H803" s="1" t="e">
        <f aca="false">IF(C803&lt;&gt;"",DEC2HEX(C803,2),"")</f>
        <v>#NAME?</v>
      </c>
      <c r="I803" s="1" t="str">
        <f aca="false">IF(D803&lt;&gt;"",DEC2HEX(D803,2),"")</f>
        <v/>
      </c>
      <c r="J803" s="1" t="e">
        <f aca="false">IF(H803&lt;&gt;"","0x"&amp;I803&amp;H803,"")</f>
        <v>#NAME?</v>
      </c>
      <c r="L803" s="1" t="s">
        <v>3079</v>
      </c>
      <c r="M803" s="1" t="e">
        <f aca="false">IF(J803&lt;&gt;"",J803,L803)</f>
        <v>#NAME?</v>
      </c>
    </row>
    <row r="804" customFormat="false" ht="12.75" hidden="false" customHeight="true" outlineLevel="0" collapsed="false">
      <c r="A804" s="3" t="s">
        <v>2816</v>
      </c>
      <c r="B804" s="3" t="str">
        <f aca="false">IF(ISNUMBER(SEARCH("%", A804)),RIGHT(A804,3),A804)</f>
        <v>20%</v>
      </c>
      <c r="C804" s="1" t="str">
        <f aca="false" t="array" ref="C804:C804">IF(B803="NEW ROUTE",textsplit(B804,","),"")</f>
        <v/>
      </c>
      <c r="H804" s="1" t="str">
        <f aca="false">IF(C804&lt;&gt;"",DEC2HEX(C804,2),"")</f>
        <v/>
      </c>
      <c r="I804" s="1" t="str">
        <f aca="false">IF(D804&lt;&gt;"",DEC2HEX(D804,2),"")</f>
        <v/>
      </c>
      <c r="J804" s="1" t="str">
        <f aca="false">IF(H804&lt;&gt;"","0x"&amp;I804&amp;H804,"")</f>
        <v/>
      </c>
      <c r="L804" s="1" t="s">
        <v>2799</v>
      </c>
      <c r="M804" s="1" t="str">
        <f aca="false">IF(J804&lt;&gt;"",J804,L804)</f>
        <v>20%</v>
      </c>
    </row>
    <row r="805" customFormat="false" ht="12.75" hidden="false" customHeight="true" outlineLevel="0" collapsed="false">
      <c r="A805" s="3" t="s">
        <v>1507</v>
      </c>
      <c r="B805" s="3" t="str">
        <f aca="false">IF(ISNUMBER(SEARCH("%", A805)),RIGHT(A805,3),A805)</f>
        <v>33, 33, GEODUDE</v>
      </c>
      <c r="C805" s="1" t="str">
        <f aca="false" t="array" ref="C805:C805">IF(B804="NEW ROUTE",textsplit(B805,","),"")</f>
        <v/>
      </c>
      <c r="H805" s="1" t="str">
        <f aca="false">IF(C805&lt;&gt;"",DEC2HEX(C805,2),"")</f>
        <v/>
      </c>
      <c r="I805" s="1" t="str">
        <f aca="false">IF(D805&lt;&gt;"",DEC2HEX(D805,2),"")</f>
        <v/>
      </c>
      <c r="J805" s="1" t="str">
        <f aca="false">IF(H805&lt;&gt;"","0x"&amp;I805&amp;H805,"")</f>
        <v/>
      </c>
      <c r="L805" s="1" t="s">
        <v>1507</v>
      </c>
      <c r="M805" s="1" t="str">
        <f aca="false">IF(J805&lt;&gt;"",J805,L805)</f>
        <v>33, 33, GEODUDE</v>
      </c>
    </row>
    <row r="806" customFormat="false" ht="12.75" hidden="false" customHeight="true" outlineLevel="0" collapsed="false">
      <c r="A806" s="3" t="s">
        <v>3072</v>
      </c>
      <c r="B806" s="3" t="str">
        <f aca="false">IF(ISNUMBER(SEARCH("%", A806)),RIGHT(A806,3),A806)</f>
        <v>35, 35, MACHOP</v>
      </c>
      <c r="C806" s="1" t="str">
        <f aca="false" t="array" ref="C806:C806">IF(B805="NEW ROUTE",textsplit(B806,","),"")</f>
        <v/>
      </c>
      <c r="H806" s="1" t="str">
        <f aca="false">IF(C806&lt;&gt;"",DEC2HEX(C806,2),"")</f>
        <v/>
      </c>
      <c r="I806" s="1" t="str">
        <f aca="false">IF(D806&lt;&gt;"",DEC2HEX(D806,2),"")</f>
        <v/>
      </c>
      <c r="J806" s="1" t="str">
        <f aca="false">IF(H806&lt;&gt;"","0x"&amp;I806&amp;H806,"")</f>
        <v/>
      </c>
      <c r="L806" s="1" t="s">
        <v>3072</v>
      </c>
      <c r="M806" s="1" t="str">
        <f aca="false">IF(J806&lt;&gt;"",J806,L806)</f>
        <v>35, 35, MACHOP</v>
      </c>
    </row>
    <row r="807" customFormat="false" ht="12.75" hidden="false" customHeight="true" outlineLevel="0" collapsed="false">
      <c r="A807" s="3" t="s">
        <v>2801</v>
      </c>
      <c r="B807" s="3" t="str">
        <f aca="false">IF(ISNUMBER(SEARCH("%", A807)),RIGHT(A807,3),A807)</f>
        <v>0.1</v>
      </c>
      <c r="C807" s="1" t="str">
        <f aca="false" t="array" ref="C807:C807">IF(B806="NEW ROUTE",textsplit(B807,","),"")</f>
        <v/>
      </c>
      <c r="H807" s="1" t="str">
        <f aca="false">IF(C807&lt;&gt;"",DEC2HEX(C807,2),"")</f>
        <v/>
      </c>
      <c r="I807" s="1" t="str">
        <f aca="false">IF(D807&lt;&gt;"",DEC2HEX(D807,2),"")</f>
        <v/>
      </c>
      <c r="J807" s="1" t="str">
        <f aca="false">IF(H807&lt;&gt;"","0x"&amp;I807&amp;H807,"")</f>
        <v/>
      </c>
      <c r="L807" s="1" t="s">
        <v>2801</v>
      </c>
      <c r="M807" s="1" t="str">
        <f aca="false">IF(J807&lt;&gt;"",J807,L807)</f>
        <v>0.1</v>
      </c>
    </row>
    <row r="808" customFormat="false" ht="12.75" hidden="false" customHeight="true" outlineLevel="0" collapsed="false">
      <c r="A808" s="3" t="s">
        <v>3080</v>
      </c>
      <c r="B808" s="3" t="str">
        <f aca="false">IF(ISNUMBER(SEARCH("%", A808)),RIGHT(A808,3),A808)</f>
        <v>29, 29, GEODUDE</v>
      </c>
      <c r="C808" s="1" t="str">
        <f aca="false" t="array" ref="C808:C808">IF(B807="NEW ROUTE",textsplit(B808,","),"")</f>
        <v/>
      </c>
      <c r="H808" s="1" t="str">
        <f aca="false">IF(C808&lt;&gt;"",DEC2HEX(C808,2),"")</f>
        <v/>
      </c>
      <c r="I808" s="1" t="str">
        <f aca="false">IF(D808&lt;&gt;"",DEC2HEX(D808,2),"")</f>
        <v/>
      </c>
      <c r="J808" s="1" t="str">
        <f aca="false">IF(H808&lt;&gt;"","0x"&amp;I808&amp;H808,"")</f>
        <v/>
      </c>
      <c r="L808" s="1" t="s">
        <v>3080</v>
      </c>
      <c r="M808" s="1" t="str">
        <f aca="false">IF(J808&lt;&gt;"",J808,L808)</f>
        <v>29, 29, GEODUDE</v>
      </c>
    </row>
    <row r="809" customFormat="false" ht="12.75" hidden="false" customHeight="true" outlineLevel="0" collapsed="false">
      <c r="A809" s="3" t="s">
        <v>3081</v>
      </c>
      <c r="B809" s="3" t="str">
        <f aca="false">IF(ISNUMBER(SEARCH("%", A809)),RIGHT(A809,3),A809)</f>
        <v>31, 31, GEODUDE</v>
      </c>
      <c r="C809" s="1" t="str">
        <f aca="false" t="array" ref="C809:C809">IF(B808="NEW ROUTE",textsplit(B809,","),"")</f>
        <v/>
      </c>
      <c r="H809" s="1" t="str">
        <f aca="false">IF(C809&lt;&gt;"",DEC2HEX(C809,2),"")</f>
        <v/>
      </c>
      <c r="I809" s="1" t="str">
        <f aca="false">IF(D809&lt;&gt;"",DEC2HEX(D809,2),"")</f>
        <v/>
      </c>
      <c r="J809" s="1" t="str">
        <f aca="false">IF(H809&lt;&gt;"","0x"&amp;I809&amp;H809,"")</f>
        <v/>
      </c>
      <c r="L809" s="1" t="s">
        <v>3081</v>
      </c>
      <c r="M809" s="1" t="str">
        <f aca="false">IF(J809&lt;&gt;"",J809,L809)</f>
        <v>31, 31, GEODUDE</v>
      </c>
    </row>
    <row r="810" customFormat="false" ht="12.75" hidden="false" customHeight="true" outlineLevel="0" collapsed="false">
      <c r="A810" s="3" t="s">
        <v>3082</v>
      </c>
      <c r="B810" s="3" t="str">
        <f aca="false">IF(ISNUMBER(SEARCH("%", A810)),RIGHT(A810,3),A810)</f>
        <v>31, 31, MACHOP</v>
      </c>
      <c r="C810" s="1" t="str">
        <f aca="false" t="array" ref="C810:C810">IF(B809="NEW ROUTE",textsplit(B810,","),"")</f>
        <v/>
      </c>
      <c r="H810" s="1" t="str">
        <f aca="false">IF(C810&lt;&gt;"",DEC2HEX(C810,2),"")</f>
        <v/>
      </c>
      <c r="I810" s="1" t="str">
        <f aca="false">IF(D810&lt;&gt;"",DEC2HEX(D810,2),"")</f>
        <v/>
      </c>
      <c r="J810" s="1" t="str">
        <f aca="false">IF(H810&lt;&gt;"","0x"&amp;I810&amp;H810,"")</f>
        <v/>
      </c>
      <c r="L810" s="1" t="s">
        <v>3082</v>
      </c>
      <c r="M810" s="1" t="str">
        <f aca="false">IF(J810&lt;&gt;"",J810,L810)</f>
        <v>31, 31, MACHOP</v>
      </c>
    </row>
    <row r="811" customFormat="false" ht="12.75" hidden="false" customHeight="true" outlineLevel="0" collapsed="false">
      <c r="A811" s="3" t="s">
        <v>3083</v>
      </c>
      <c r="B811" s="3" t="str">
        <f aca="false">IF(ISNUMBER(SEARCH("%", A811)),RIGHT(A811,3),A811)</f>
        <v>33, 33, MACHOP</v>
      </c>
      <c r="C811" s="1" t="str">
        <f aca="false" t="array" ref="C811:C811">IF(B810="NEW ROUTE",textsplit(B811,","),"")</f>
        <v/>
      </c>
      <c r="H811" s="1" t="str">
        <f aca="false">IF(C811&lt;&gt;"",DEC2HEX(C811,2),"")</f>
        <v/>
      </c>
      <c r="I811" s="1" t="str">
        <f aca="false">IF(D811&lt;&gt;"",DEC2HEX(D811,2),"")</f>
        <v/>
      </c>
      <c r="J811" s="1" t="str">
        <f aca="false">IF(H811&lt;&gt;"","0x"&amp;I811&amp;H811,"")</f>
        <v/>
      </c>
      <c r="L811" s="1" t="s">
        <v>3083</v>
      </c>
      <c r="M811" s="1" t="str">
        <f aca="false">IF(J811&lt;&gt;"",J811,L811)</f>
        <v>33, 33, MACHOP</v>
      </c>
    </row>
    <row r="812" customFormat="false" ht="12.75" hidden="false" customHeight="true" outlineLevel="0" collapsed="false">
      <c r="A812" s="3" t="s">
        <v>2806</v>
      </c>
      <c r="B812" s="3" t="str">
        <f aca="false">IF(ISNUMBER(SEARCH("%", A812)),RIGHT(A812,3),A812)</f>
        <v>0.05</v>
      </c>
      <c r="C812" s="1" t="str">
        <f aca="false" t="array" ref="C812:C812">IF(B811="NEW ROUTE",textsplit(B812,","),"")</f>
        <v/>
      </c>
      <c r="H812" s="1" t="str">
        <f aca="false">IF(C812&lt;&gt;"",DEC2HEX(C812,2),"")</f>
        <v/>
      </c>
      <c r="I812" s="1" t="str">
        <f aca="false">IF(D812&lt;&gt;"",DEC2HEX(D812,2),"")</f>
        <v/>
      </c>
      <c r="J812" s="1" t="str">
        <f aca="false">IF(H812&lt;&gt;"","0x"&amp;I812&amp;H812,"")</f>
        <v/>
      </c>
      <c r="L812" s="1" t="s">
        <v>2806</v>
      </c>
      <c r="M812" s="1" t="str">
        <f aca="false">IF(J812&lt;&gt;"",J812,L812)</f>
        <v>0.05</v>
      </c>
    </row>
    <row r="813" customFormat="false" ht="12.75" hidden="false" customHeight="true" outlineLevel="0" collapsed="false">
      <c r="A813" s="3" t="s">
        <v>3084</v>
      </c>
      <c r="B813" s="3" t="str">
        <f aca="false">IF(ISNUMBER(SEARCH("%", A813)),RIGHT(A813,3),A813)</f>
        <v>35, 35, GEODUDE</v>
      </c>
      <c r="C813" s="1" t="str">
        <f aca="false" t="array" ref="C813:C813">IF(B812="NEW ROUTE",textsplit(B813,","),"")</f>
        <v/>
      </c>
      <c r="H813" s="1" t="str">
        <f aca="false">IF(C813&lt;&gt;"",DEC2HEX(C813,2),"")</f>
        <v/>
      </c>
      <c r="I813" s="1" t="str">
        <f aca="false">IF(D813&lt;&gt;"",DEC2HEX(D813,2),"")</f>
        <v/>
      </c>
      <c r="J813" s="1" t="str">
        <f aca="false">IF(H813&lt;&gt;"","0x"&amp;I813&amp;H813,"")</f>
        <v/>
      </c>
      <c r="L813" s="1" t="s">
        <v>3084</v>
      </c>
      <c r="M813" s="1" t="str">
        <f aca="false">IF(J813&lt;&gt;"",J813,L813)</f>
        <v>35, 35, GEODUDE</v>
      </c>
    </row>
    <row r="814" customFormat="false" ht="12.75" hidden="false" customHeight="true" outlineLevel="0" collapsed="false">
      <c r="A814" s="3" t="s">
        <v>3085</v>
      </c>
      <c r="B814" s="3" t="str">
        <f aca="false">IF(ISNUMBER(SEARCH("%", A814)),RIGHT(A814,3),A814)</f>
        <v>37, 37, MACHOP</v>
      </c>
      <c r="C814" s="1" t="str">
        <f aca="false" t="array" ref="C814:C814">IF(B813="NEW ROUTE",textsplit(B814,","),"")</f>
        <v/>
      </c>
      <c r="H814" s="1" t="str">
        <f aca="false">IF(C814&lt;&gt;"",DEC2HEX(C814,2),"")</f>
        <v/>
      </c>
      <c r="I814" s="1" t="str">
        <f aca="false">IF(D814&lt;&gt;"",DEC2HEX(D814,2),"")</f>
        <v/>
      </c>
      <c r="J814" s="1" t="str">
        <f aca="false">IF(H814&lt;&gt;"","0x"&amp;I814&amp;H814,"")</f>
        <v/>
      </c>
      <c r="L814" s="1" t="s">
        <v>3085</v>
      </c>
      <c r="M814" s="1" t="str">
        <f aca="false">IF(J814&lt;&gt;"",J814,L814)</f>
        <v>37, 37, MACHOP</v>
      </c>
    </row>
    <row r="815" customFormat="false" ht="12.75" hidden="false" customHeight="true" outlineLevel="0" collapsed="false">
      <c r="A815" s="3" t="s">
        <v>2809</v>
      </c>
      <c r="B815" s="3" t="str">
        <f aca="false">IF(ISNUMBER(SEARCH("%", A815)),RIGHT(A815,3),A815)</f>
        <v>0.04</v>
      </c>
      <c r="C815" s="1" t="str">
        <f aca="false" t="array" ref="C815:C815">IF(B814="NEW ROUTE",textsplit(B815,","),"")</f>
        <v/>
      </c>
      <c r="H815" s="1" t="str">
        <f aca="false">IF(C815&lt;&gt;"",DEC2HEX(C815,2),"")</f>
        <v/>
      </c>
      <c r="I815" s="1" t="str">
        <f aca="false">IF(D815&lt;&gt;"",DEC2HEX(D815,2),"")</f>
        <v/>
      </c>
      <c r="J815" s="1" t="str">
        <f aca="false">IF(H815&lt;&gt;"","0x"&amp;I815&amp;H815,"")</f>
        <v/>
      </c>
      <c r="L815" s="1" t="s">
        <v>2809</v>
      </c>
      <c r="M815" s="1" t="str">
        <f aca="false">IF(J815&lt;&gt;"",J815,L815)</f>
        <v>0.04</v>
      </c>
    </row>
    <row r="816" customFormat="false" ht="12.75" hidden="false" customHeight="true" outlineLevel="0" collapsed="false">
      <c r="A816" s="3" t="s">
        <v>3086</v>
      </c>
      <c r="B816" s="3" t="str">
        <f aca="false">IF(ISNUMBER(SEARCH("%", A816)),RIGHT(A816,3),A816)</f>
        <v>37, 37, GEODUDE</v>
      </c>
      <c r="C816" s="1" t="str">
        <f aca="false" t="array" ref="C816:C816">IF(B815="NEW ROUTE",textsplit(B816,","),"")</f>
        <v/>
      </c>
      <c r="H816" s="1" t="str">
        <f aca="false">IF(C816&lt;&gt;"",DEC2HEX(C816,2),"")</f>
        <v/>
      </c>
      <c r="I816" s="1" t="str">
        <f aca="false">IF(D816&lt;&gt;"",DEC2HEX(D816,2),"")</f>
        <v/>
      </c>
      <c r="J816" s="1" t="str">
        <f aca="false">IF(H816&lt;&gt;"","0x"&amp;I816&amp;H816,"")</f>
        <v/>
      </c>
      <c r="L816" s="1" t="s">
        <v>3086</v>
      </c>
      <c r="M816" s="1" t="str">
        <f aca="false">IF(J816&lt;&gt;"",J816,L816)</f>
        <v>37, 37, GEODUDE</v>
      </c>
    </row>
    <row r="817" customFormat="false" ht="12.75" hidden="false" customHeight="true" outlineLevel="0" collapsed="false">
      <c r="A817" s="3" t="s">
        <v>3087</v>
      </c>
      <c r="B817" s="3" t="str">
        <f aca="false">IF(ISNUMBER(SEARCH("%", A817)),RIGHT(A817,3),A817)</f>
        <v>39, 39, MACHOP</v>
      </c>
      <c r="C817" s="1" t="str">
        <f aca="false" t="array" ref="C817:C817">IF(B816="NEW ROUTE",textsplit(B817,","),"")</f>
        <v/>
      </c>
      <c r="H817" s="1" t="str">
        <f aca="false">IF(C817&lt;&gt;"",DEC2HEX(C817,2),"")</f>
        <v/>
      </c>
      <c r="I817" s="1" t="str">
        <f aca="false">IF(D817&lt;&gt;"",DEC2HEX(D817,2),"")</f>
        <v/>
      </c>
      <c r="J817" s="1" t="str">
        <f aca="false">IF(H817&lt;&gt;"","0x"&amp;I817&amp;H817,"")</f>
        <v/>
      </c>
      <c r="L817" s="1" t="s">
        <v>3087</v>
      </c>
      <c r="M817" s="1" t="str">
        <f aca="false">IF(J817&lt;&gt;"",J817,L817)</f>
        <v>39, 39, MACHOP</v>
      </c>
    </row>
    <row r="818" customFormat="false" ht="12.75" hidden="false" customHeight="true" outlineLevel="0" collapsed="false">
      <c r="A818" s="3" t="s">
        <v>2812</v>
      </c>
      <c r="B818" s="3" t="str">
        <f aca="false">IF(ISNUMBER(SEARCH("%", A818)),RIGHT(A818,3),A818)</f>
        <v>0.01</v>
      </c>
      <c r="C818" s="1" t="str">
        <f aca="false" t="array" ref="C818:C818">IF(B817="NEW ROUTE",textsplit(B818,","),"")</f>
        <v/>
      </c>
      <c r="H818" s="1" t="str">
        <f aca="false">IF(C818&lt;&gt;"",DEC2HEX(C818,2),"")</f>
        <v/>
      </c>
      <c r="I818" s="1" t="str">
        <f aca="false">IF(D818&lt;&gt;"",DEC2HEX(D818,2),"")</f>
        <v/>
      </c>
      <c r="J818" s="1" t="str">
        <f aca="false">IF(H818&lt;&gt;"","0x"&amp;I818&amp;H818,"")</f>
        <v/>
      </c>
      <c r="L818" s="1" t="s">
        <v>2812</v>
      </c>
      <c r="M818" s="1" t="str">
        <f aca="false">IF(J818&lt;&gt;"",J818,L818)</f>
        <v>0.01</v>
      </c>
    </row>
    <row r="819" customFormat="false" ht="12.75" hidden="false" customHeight="true" outlineLevel="0" collapsed="false">
      <c r="A819" s="3" t="s">
        <v>3086</v>
      </c>
      <c r="B819" s="3" t="str">
        <f aca="false">IF(ISNUMBER(SEARCH("%", A819)),RIGHT(A819,3),A819)</f>
        <v>37, 37, GEODUDE</v>
      </c>
      <c r="C819" s="1" t="str">
        <f aca="false" t="array" ref="C819:C819">IF(B818="NEW ROUTE",textsplit(B819,","),"")</f>
        <v/>
      </c>
      <c r="H819" s="1" t="str">
        <f aca="false">IF(C819&lt;&gt;"",DEC2HEX(C819,2),"")</f>
        <v/>
      </c>
      <c r="I819" s="1" t="str">
        <f aca="false">IF(D819&lt;&gt;"",DEC2HEX(D819,2),"")</f>
        <v/>
      </c>
      <c r="J819" s="1" t="str">
        <f aca="false">IF(H819&lt;&gt;"","0x"&amp;I819&amp;H819,"")</f>
        <v/>
      </c>
      <c r="L819" s="1" t="s">
        <v>3086</v>
      </c>
      <c r="M819" s="1" t="str">
        <f aca="false">IF(J819&lt;&gt;"",J819,L819)</f>
        <v>37, 37, GEODUDE</v>
      </c>
    </row>
    <row r="820" customFormat="false" ht="12.75" hidden="false" customHeight="true" outlineLevel="0" collapsed="false">
      <c r="A820" s="3" t="s">
        <v>3088</v>
      </c>
      <c r="B820" s="3" t="str">
        <f aca="false">IF(ISNUMBER(SEARCH("%", A820)),RIGHT(A820,3),A820)</f>
        <v>39, 39, MACHOP , &lt;null&gt;, &lt;null&gt;, &lt;null&gt;</v>
      </c>
      <c r="C820" s="1" t="str">
        <f aca="false" t="array" ref="C820:C820">IF(B819="NEW ROUTE",textsplit(B820,","),"")</f>
        <v/>
      </c>
      <c r="H820" s="1" t="str">
        <f aca="false">IF(C820&lt;&gt;"",DEC2HEX(C820,2),"")</f>
        <v/>
      </c>
      <c r="I820" s="1" t="str">
        <f aca="false">IF(D820&lt;&gt;"",DEC2HEX(D820,2),"")</f>
        <v/>
      </c>
      <c r="J820" s="1" t="str">
        <f aca="false">IF(H820&lt;&gt;"","0x"&amp;I820&amp;H820,"")</f>
        <v/>
      </c>
      <c r="L820" s="1" t="s">
        <v>3088</v>
      </c>
      <c r="M820" s="1" t="str">
        <f aca="false">IF(J820&lt;&gt;"",J820,L820)</f>
        <v>39, 39, MACHOP , &lt;null&gt;, &lt;null&gt;, &lt;null&gt;</v>
      </c>
    </row>
    <row r="821" customFormat="false" ht="12.75" hidden="false" customHeight="true" outlineLevel="0" collapsed="false">
      <c r="A821" s="3" t="s">
        <v>2536</v>
      </c>
      <c r="B821" s="3" t="str">
        <f aca="false">IF(ISNUMBER(SEARCH("%", A821)),RIGHT(A821,3),A821)</f>
        <v>NEW ROUTE</v>
      </c>
      <c r="C821" s="1" t="str">
        <f aca="false" t="array" ref="C821:C821">IF(B820="NEW ROUTE",textsplit(B821,","),"")</f>
        <v/>
      </c>
      <c r="H821" s="1" t="str">
        <f aca="false">IF(C821&lt;&gt;"",DEC2HEX(C821,2),"")</f>
        <v/>
      </c>
      <c r="I821" s="1" t="str">
        <f aca="false">IF(D821&lt;&gt;"",DEC2HEX(D821,2),"")</f>
        <v/>
      </c>
      <c r="J821" s="1" t="str">
        <f aca="false">IF(H821&lt;&gt;"","0x"&amp;I821&amp;H821,"")</f>
        <v/>
      </c>
      <c r="L821" s="1" t="s">
        <v>2536</v>
      </c>
      <c r="M821" s="1" t="str">
        <f aca="false">IF(J821&lt;&gt;"",J821,L821)</f>
        <v>NEW ROUTE</v>
      </c>
    </row>
    <row r="822" customFormat="false" ht="12.75" hidden="false" customHeight="true" outlineLevel="0" collapsed="false">
      <c r="A822" s="3" t="s">
        <v>3089</v>
      </c>
      <c r="B822" s="3" t="str">
        <f aca="false">IF(ISNUMBER(SEARCH("%", A822)),RIGHT(A822,3),A822)</f>
        <v>1, 99, 0,</v>
      </c>
      <c r="C822" s="1" t="e">
        <f aca="false" t="array" ref="C822:C822">IF(B821="NEW ROUTE",textsplit(B822,","),"")</f>
        <v>#NAME?</v>
      </c>
      <c r="H822" s="1" t="e">
        <f aca="false">IF(C822&lt;&gt;"",DEC2HEX(C822,2),"")</f>
        <v>#NAME?</v>
      </c>
      <c r="I822" s="1" t="str">
        <f aca="false">IF(D822&lt;&gt;"",DEC2HEX(D822,2),"")</f>
        <v/>
      </c>
      <c r="J822" s="1" t="e">
        <f aca="false">IF(H822&lt;&gt;"","0x"&amp;I822&amp;H822,"")</f>
        <v>#NAME?</v>
      </c>
      <c r="L822" s="1" t="s">
        <v>3089</v>
      </c>
      <c r="M822" s="1" t="e">
        <f aca="false">IF(J822&lt;&gt;"",J822,L822)</f>
        <v>#NAME?</v>
      </c>
    </row>
    <row r="823" customFormat="false" ht="12.75" hidden="false" customHeight="true" outlineLevel="0" collapsed="false">
      <c r="A823" s="3" t="s">
        <v>2816</v>
      </c>
      <c r="B823" s="3" t="str">
        <f aca="false">IF(ISNUMBER(SEARCH("%", A823)),RIGHT(A823,3),A823)</f>
        <v>20%</v>
      </c>
      <c r="C823" s="1" t="str">
        <f aca="false" t="array" ref="C823:C823">IF(B822="NEW ROUTE",textsplit(B823,","),"")</f>
        <v/>
      </c>
      <c r="H823" s="1" t="str">
        <f aca="false">IF(C823&lt;&gt;"",DEC2HEX(C823,2),"")</f>
        <v/>
      </c>
      <c r="I823" s="1" t="str">
        <f aca="false">IF(D823&lt;&gt;"",DEC2HEX(D823,2),"")</f>
        <v/>
      </c>
      <c r="J823" s="1" t="str">
        <f aca="false">IF(H823&lt;&gt;"","0x"&amp;I823&amp;H823,"")</f>
        <v/>
      </c>
      <c r="L823" s="1" t="s">
        <v>2799</v>
      </c>
      <c r="M823" s="1" t="str">
        <f aca="false">IF(J823&lt;&gt;"",J823,L823)</f>
        <v>20%</v>
      </c>
    </row>
    <row r="824" customFormat="false" ht="12.75" hidden="false" customHeight="true" outlineLevel="0" collapsed="false">
      <c r="A824" s="3" t="s">
        <v>1518</v>
      </c>
      <c r="B824" s="3" t="str">
        <f aca="false">IF(ISNUMBER(SEARCH("%", A824)),RIGHT(A824,3),A824)</f>
        <v>34, 34, GEODUDE</v>
      </c>
      <c r="C824" s="1" t="str">
        <f aca="false" t="array" ref="C824:C824">IF(B823="NEW ROUTE",textsplit(B824,","),"")</f>
        <v/>
      </c>
      <c r="H824" s="1" t="str">
        <f aca="false">IF(C824&lt;&gt;"",DEC2HEX(C824,2),"")</f>
        <v/>
      </c>
      <c r="I824" s="1" t="str">
        <f aca="false">IF(D824&lt;&gt;"",DEC2HEX(D824,2),"")</f>
        <v/>
      </c>
      <c r="J824" s="1" t="str">
        <f aca="false">IF(H824&lt;&gt;"","0x"&amp;I824&amp;H824,"")</f>
        <v/>
      </c>
      <c r="L824" s="1" t="s">
        <v>1518</v>
      </c>
      <c r="M824" s="1" t="str">
        <f aca="false">IF(J824&lt;&gt;"",J824,L824)</f>
        <v>34, 34, GEODUDE</v>
      </c>
    </row>
    <row r="825" customFormat="false" ht="12.75" hidden="false" customHeight="true" outlineLevel="0" collapsed="false">
      <c r="A825" s="3" t="s">
        <v>3090</v>
      </c>
      <c r="B825" s="3" t="str">
        <f aca="false">IF(ISNUMBER(SEARCH("%", A825)),RIGHT(A825,3),A825)</f>
        <v>36, 36, MACHOP</v>
      </c>
      <c r="C825" s="1" t="str">
        <f aca="false" t="array" ref="C825:C825">IF(B824="NEW ROUTE",textsplit(B825,","),"")</f>
        <v/>
      </c>
      <c r="H825" s="1" t="str">
        <f aca="false">IF(C825&lt;&gt;"",DEC2HEX(C825,2),"")</f>
        <v/>
      </c>
      <c r="I825" s="1" t="str">
        <f aca="false">IF(D825&lt;&gt;"",DEC2HEX(D825,2),"")</f>
        <v/>
      </c>
      <c r="J825" s="1" t="str">
        <f aca="false">IF(H825&lt;&gt;"","0x"&amp;I825&amp;H825,"")</f>
        <v/>
      </c>
      <c r="L825" s="1" t="s">
        <v>3090</v>
      </c>
      <c r="M825" s="1" t="str">
        <f aca="false">IF(J825&lt;&gt;"",J825,L825)</f>
        <v>36, 36, MACHOP</v>
      </c>
    </row>
    <row r="826" customFormat="false" ht="12.75" hidden="false" customHeight="true" outlineLevel="0" collapsed="false">
      <c r="A826" s="3" t="s">
        <v>2801</v>
      </c>
      <c r="B826" s="3" t="str">
        <f aca="false">IF(ISNUMBER(SEARCH("%", A826)),RIGHT(A826,3),A826)</f>
        <v>0.1</v>
      </c>
      <c r="C826" s="1" t="str">
        <f aca="false" t="array" ref="C826:C826">IF(B825="NEW ROUTE",textsplit(B826,","),"")</f>
        <v/>
      </c>
      <c r="H826" s="1" t="str">
        <f aca="false">IF(C826&lt;&gt;"",DEC2HEX(C826,2),"")</f>
        <v/>
      </c>
      <c r="I826" s="1" t="str">
        <f aca="false">IF(D826&lt;&gt;"",DEC2HEX(D826,2),"")</f>
        <v/>
      </c>
      <c r="J826" s="1" t="str">
        <f aca="false">IF(H826&lt;&gt;"","0x"&amp;I826&amp;H826,"")</f>
        <v/>
      </c>
      <c r="L826" s="1" t="s">
        <v>2801</v>
      </c>
      <c r="M826" s="1" t="str">
        <f aca="false">IF(J826&lt;&gt;"",J826,L826)</f>
        <v>0.1</v>
      </c>
    </row>
    <row r="827" customFormat="false" ht="12.75" hidden="false" customHeight="true" outlineLevel="0" collapsed="false">
      <c r="A827" s="3" t="s">
        <v>3091</v>
      </c>
      <c r="B827" s="3" t="str">
        <f aca="false">IF(ISNUMBER(SEARCH("%", A827)),RIGHT(A827,3),A827)</f>
        <v>30, 30, GEODUDE</v>
      </c>
      <c r="C827" s="1" t="str">
        <f aca="false" t="array" ref="C827:C827">IF(B826="NEW ROUTE",textsplit(B827,","),"")</f>
        <v/>
      </c>
      <c r="H827" s="1" t="str">
        <f aca="false">IF(C827&lt;&gt;"",DEC2HEX(C827,2),"")</f>
        <v/>
      </c>
      <c r="I827" s="1" t="str">
        <f aca="false">IF(D827&lt;&gt;"",DEC2HEX(D827,2),"")</f>
        <v/>
      </c>
      <c r="J827" s="1" t="str">
        <f aca="false">IF(H827&lt;&gt;"","0x"&amp;I827&amp;H827,"")</f>
        <v/>
      </c>
      <c r="L827" s="1" t="s">
        <v>3091</v>
      </c>
      <c r="M827" s="1" t="str">
        <f aca="false">IF(J827&lt;&gt;"",J827,L827)</f>
        <v>30, 30, GEODUDE</v>
      </c>
    </row>
    <row r="828" customFormat="false" ht="12.75" hidden="false" customHeight="true" outlineLevel="0" collapsed="false">
      <c r="A828" s="3" t="s">
        <v>3092</v>
      </c>
      <c r="B828" s="3" t="str">
        <f aca="false">IF(ISNUMBER(SEARCH("%", A828)),RIGHT(A828,3),A828)</f>
        <v>32, 32, GEODUDE</v>
      </c>
      <c r="C828" s="1" t="str">
        <f aca="false" t="array" ref="C828:C828">IF(B827="NEW ROUTE",textsplit(B828,","),"")</f>
        <v/>
      </c>
      <c r="H828" s="1" t="str">
        <f aca="false">IF(C828&lt;&gt;"",DEC2HEX(C828,2),"")</f>
        <v/>
      </c>
      <c r="I828" s="1" t="str">
        <f aca="false">IF(D828&lt;&gt;"",DEC2HEX(D828,2),"")</f>
        <v/>
      </c>
      <c r="J828" s="1" t="str">
        <f aca="false">IF(H828&lt;&gt;"","0x"&amp;I828&amp;H828,"")</f>
        <v/>
      </c>
      <c r="L828" s="1" t="s">
        <v>3092</v>
      </c>
      <c r="M828" s="1" t="str">
        <f aca="false">IF(J828&lt;&gt;"",J828,L828)</f>
        <v>32, 32, GEODUDE</v>
      </c>
    </row>
    <row r="829" customFormat="false" ht="12.75" hidden="false" customHeight="true" outlineLevel="0" collapsed="false">
      <c r="A829" s="3" t="s">
        <v>3093</v>
      </c>
      <c r="B829" s="3" t="str">
        <f aca="false">IF(ISNUMBER(SEARCH("%", A829)),RIGHT(A829,3),A829)</f>
        <v>32, 32, MACHOP</v>
      </c>
      <c r="C829" s="1" t="str">
        <f aca="false" t="array" ref="C829:C829">IF(B828="NEW ROUTE",textsplit(B829,","),"")</f>
        <v/>
      </c>
      <c r="H829" s="1" t="str">
        <f aca="false">IF(C829&lt;&gt;"",DEC2HEX(C829,2),"")</f>
        <v/>
      </c>
      <c r="I829" s="1" t="str">
        <f aca="false">IF(D829&lt;&gt;"",DEC2HEX(D829,2),"")</f>
        <v/>
      </c>
      <c r="J829" s="1" t="str">
        <f aca="false">IF(H829&lt;&gt;"","0x"&amp;I829&amp;H829,"")</f>
        <v/>
      </c>
      <c r="L829" s="1" t="s">
        <v>3093</v>
      </c>
      <c r="M829" s="1" t="str">
        <f aca="false">IF(J829&lt;&gt;"",J829,L829)</f>
        <v>32, 32, MACHOP</v>
      </c>
    </row>
    <row r="830" customFormat="false" ht="12.75" hidden="false" customHeight="true" outlineLevel="0" collapsed="false">
      <c r="A830" s="3" t="s">
        <v>3094</v>
      </c>
      <c r="B830" s="3" t="str">
        <f aca="false">IF(ISNUMBER(SEARCH("%", A830)),RIGHT(A830,3),A830)</f>
        <v>34, 34, MACHOP</v>
      </c>
      <c r="C830" s="1" t="str">
        <f aca="false" t="array" ref="C830:C830">IF(B829="NEW ROUTE",textsplit(B830,","),"")</f>
        <v/>
      </c>
      <c r="H830" s="1" t="str">
        <f aca="false">IF(C830&lt;&gt;"",DEC2HEX(C830,2),"")</f>
        <v/>
      </c>
      <c r="I830" s="1" t="str">
        <f aca="false">IF(D830&lt;&gt;"",DEC2HEX(D830,2),"")</f>
        <v/>
      </c>
      <c r="J830" s="1" t="str">
        <f aca="false">IF(H830&lt;&gt;"","0x"&amp;I830&amp;H830,"")</f>
        <v/>
      </c>
      <c r="L830" s="1" t="s">
        <v>3094</v>
      </c>
      <c r="M830" s="1" t="str">
        <f aca="false">IF(J830&lt;&gt;"",J830,L830)</f>
        <v>34, 34, MACHOP</v>
      </c>
    </row>
    <row r="831" customFormat="false" ht="12.75" hidden="false" customHeight="true" outlineLevel="0" collapsed="false">
      <c r="A831" s="3" t="s">
        <v>2806</v>
      </c>
      <c r="B831" s="3" t="str">
        <f aca="false">IF(ISNUMBER(SEARCH("%", A831)),RIGHT(A831,3),A831)</f>
        <v>0.05</v>
      </c>
      <c r="C831" s="1" t="str">
        <f aca="false" t="array" ref="C831:C831">IF(B830="NEW ROUTE",textsplit(B831,","),"")</f>
        <v/>
      </c>
      <c r="H831" s="1" t="str">
        <f aca="false">IF(C831&lt;&gt;"",DEC2HEX(C831,2),"")</f>
        <v/>
      </c>
      <c r="I831" s="1" t="str">
        <f aca="false">IF(D831&lt;&gt;"",DEC2HEX(D831,2),"")</f>
        <v/>
      </c>
      <c r="J831" s="1" t="str">
        <f aca="false">IF(H831&lt;&gt;"","0x"&amp;I831&amp;H831,"")</f>
        <v/>
      </c>
      <c r="L831" s="1" t="s">
        <v>2806</v>
      </c>
      <c r="M831" s="1" t="str">
        <f aca="false">IF(J831&lt;&gt;"",J831,L831)</f>
        <v>0.05</v>
      </c>
    </row>
    <row r="832" customFormat="false" ht="12.75" hidden="false" customHeight="true" outlineLevel="0" collapsed="false">
      <c r="A832" s="3" t="s">
        <v>3095</v>
      </c>
      <c r="B832" s="3" t="str">
        <f aca="false">IF(ISNUMBER(SEARCH("%", A832)),RIGHT(A832,3),A832)</f>
        <v>38, 38, MACHOKE</v>
      </c>
      <c r="C832" s="1" t="str">
        <f aca="false" t="array" ref="C832:C832">IF(B831="NEW ROUTE",textsplit(B832,","),"")</f>
        <v/>
      </c>
      <c r="H832" s="1" t="str">
        <f aca="false">IF(C832&lt;&gt;"",DEC2HEX(C832,2),"")</f>
        <v/>
      </c>
      <c r="I832" s="1" t="str">
        <f aca="false">IF(D832&lt;&gt;"",DEC2HEX(D832,2),"")</f>
        <v/>
      </c>
      <c r="J832" s="1" t="str">
        <f aca="false">IF(H832&lt;&gt;"","0x"&amp;I832&amp;H832,"")</f>
        <v/>
      </c>
      <c r="L832" s="1" t="s">
        <v>3095</v>
      </c>
      <c r="M832" s="1" t="str">
        <f aca="false">IF(J832&lt;&gt;"",J832,L832)</f>
        <v>38, 38, MACHOKE</v>
      </c>
    </row>
    <row r="833" customFormat="false" ht="12.75" hidden="false" customHeight="true" outlineLevel="0" collapsed="false">
      <c r="A833" s="3" t="s">
        <v>3095</v>
      </c>
      <c r="B833" s="3" t="str">
        <f aca="false">IF(ISNUMBER(SEARCH("%", A833)),RIGHT(A833,3),A833)</f>
        <v>38, 38, MACHOKE</v>
      </c>
      <c r="C833" s="1" t="str">
        <f aca="false" t="array" ref="C833:C833">IF(B832="NEW ROUTE",textsplit(B833,","),"")</f>
        <v/>
      </c>
      <c r="H833" s="1" t="str">
        <f aca="false">IF(C833&lt;&gt;"",DEC2HEX(C833,2),"")</f>
        <v/>
      </c>
      <c r="I833" s="1" t="str">
        <f aca="false">IF(D833&lt;&gt;"",DEC2HEX(D833,2),"")</f>
        <v/>
      </c>
      <c r="J833" s="1" t="str">
        <f aca="false">IF(H833&lt;&gt;"","0x"&amp;I833&amp;H833,"")</f>
        <v/>
      </c>
      <c r="L833" s="1" t="s">
        <v>3095</v>
      </c>
      <c r="M833" s="1" t="str">
        <f aca="false">IF(J833&lt;&gt;"",J833,L833)</f>
        <v>38, 38, MACHOKE</v>
      </c>
    </row>
    <row r="834" customFormat="false" ht="12.75" hidden="false" customHeight="true" outlineLevel="0" collapsed="false">
      <c r="A834" s="3" t="s">
        <v>2809</v>
      </c>
      <c r="B834" s="3" t="str">
        <f aca="false">IF(ISNUMBER(SEARCH("%", A834)),RIGHT(A834,3),A834)</f>
        <v>0.04</v>
      </c>
      <c r="C834" s="1" t="str">
        <f aca="false" t="array" ref="C834:C834">IF(B833="NEW ROUTE",textsplit(B834,","),"")</f>
        <v/>
      </c>
      <c r="H834" s="1" t="str">
        <f aca="false">IF(C834&lt;&gt;"",DEC2HEX(C834,2),"")</f>
        <v/>
      </c>
      <c r="I834" s="1" t="str">
        <f aca="false">IF(D834&lt;&gt;"",DEC2HEX(D834,2),"")</f>
        <v/>
      </c>
      <c r="J834" s="1" t="str">
        <f aca="false">IF(H834&lt;&gt;"","0x"&amp;I834&amp;H834,"")</f>
        <v/>
      </c>
      <c r="L834" s="1" t="s">
        <v>2809</v>
      </c>
      <c r="M834" s="1" t="str">
        <f aca="false">IF(J834&lt;&gt;"",J834,L834)</f>
        <v>0.04</v>
      </c>
    </row>
    <row r="835" customFormat="false" ht="12.75" hidden="false" customHeight="true" outlineLevel="0" collapsed="false">
      <c r="A835" s="3" t="s">
        <v>3096</v>
      </c>
      <c r="B835" s="3" t="str">
        <f aca="false">IF(ISNUMBER(SEARCH("%", A835)),RIGHT(A835,3),A835)</f>
        <v>40, 40, MACHOKE</v>
      </c>
      <c r="C835" s="1" t="str">
        <f aca="false" t="array" ref="C835:C835">IF(B834="NEW ROUTE",textsplit(B835,","),"")</f>
        <v/>
      </c>
      <c r="H835" s="1" t="str">
        <f aca="false">IF(C835&lt;&gt;"",DEC2HEX(C835,2),"")</f>
        <v/>
      </c>
      <c r="I835" s="1" t="str">
        <f aca="false">IF(D835&lt;&gt;"",DEC2HEX(D835,2),"")</f>
        <v/>
      </c>
      <c r="J835" s="1" t="str">
        <f aca="false">IF(H835&lt;&gt;"","0x"&amp;I835&amp;H835,"")</f>
        <v/>
      </c>
      <c r="L835" s="1" t="s">
        <v>3096</v>
      </c>
      <c r="M835" s="1" t="str">
        <f aca="false">IF(J835&lt;&gt;"",J835,L835)</f>
        <v>40, 40, MACHOKE</v>
      </c>
    </row>
    <row r="836" customFormat="false" ht="12.75" hidden="false" customHeight="true" outlineLevel="0" collapsed="false">
      <c r="A836" s="3" t="s">
        <v>3096</v>
      </c>
      <c r="B836" s="3" t="str">
        <f aca="false">IF(ISNUMBER(SEARCH("%", A836)),RIGHT(A836,3),A836)</f>
        <v>40, 40, MACHOKE</v>
      </c>
      <c r="C836" s="1" t="str">
        <f aca="false" t="array" ref="C836:C836">IF(B835="NEW ROUTE",textsplit(B836,","),"")</f>
        <v/>
      </c>
      <c r="H836" s="1" t="str">
        <f aca="false">IF(C836&lt;&gt;"",DEC2HEX(C836,2),"")</f>
        <v/>
      </c>
      <c r="I836" s="1" t="str">
        <f aca="false">IF(D836&lt;&gt;"",DEC2HEX(D836,2),"")</f>
        <v/>
      </c>
      <c r="J836" s="1" t="str">
        <f aca="false">IF(H836&lt;&gt;"","0x"&amp;I836&amp;H836,"")</f>
        <v/>
      </c>
      <c r="L836" s="1" t="s">
        <v>3096</v>
      </c>
      <c r="M836" s="1" t="str">
        <f aca="false">IF(J836&lt;&gt;"",J836,L836)</f>
        <v>40, 40, MACHOKE</v>
      </c>
    </row>
    <row r="837" customFormat="false" ht="12.75" hidden="false" customHeight="true" outlineLevel="0" collapsed="false">
      <c r="A837" s="3" t="s">
        <v>2812</v>
      </c>
      <c r="B837" s="3" t="str">
        <f aca="false">IF(ISNUMBER(SEARCH("%", A837)),RIGHT(A837,3),A837)</f>
        <v>0.01</v>
      </c>
      <c r="C837" s="1" t="str">
        <f aca="false" t="array" ref="C837:C837">IF(B836="NEW ROUTE",textsplit(B837,","),"")</f>
        <v/>
      </c>
      <c r="H837" s="1" t="str">
        <f aca="false">IF(C837&lt;&gt;"",DEC2HEX(C837,2),"")</f>
        <v/>
      </c>
      <c r="I837" s="1" t="str">
        <f aca="false">IF(D837&lt;&gt;"",DEC2HEX(D837,2),"")</f>
        <v/>
      </c>
      <c r="J837" s="1" t="str">
        <f aca="false">IF(H837&lt;&gt;"","0x"&amp;I837&amp;H837,"")</f>
        <v/>
      </c>
      <c r="L837" s="1" t="s">
        <v>2812</v>
      </c>
      <c r="M837" s="1" t="str">
        <f aca="false">IF(J837&lt;&gt;"",J837,L837)</f>
        <v>0.01</v>
      </c>
    </row>
    <row r="838" customFormat="false" ht="12.75" hidden="false" customHeight="true" outlineLevel="0" collapsed="false">
      <c r="A838" s="3" t="s">
        <v>3096</v>
      </c>
      <c r="B838" s="3" t="str">
        <f aca="false">IF(ISNUMBER(SEARCH("%", A838)),RIGHT(A838,3),A838)</f>
        <v>40, 40, MACHOKE</v>
      </c>
      <c r="C838" s="1" t="str">
        <f aca="false" t="array" ref="C838:C838">IF(B837="NEW ROUTE",textsplit(B838,","),"")</f>
        <v/>
      </c>
      <c r="H838" s="1" t="str">
        <f aca="false">IF(C838&lt;&gt;"",DEC2HEX(C838,2),"")</f>
        <v/>
      </c>
      <c r="I838" s="1" t="str">
        <f aca="false">IF(D838&lt;&gt;"",DEC2HEX(D838,2),"")</f>
        <v/>
      </c>
      <c r="J838" s="1" t="str">
        <f aca="false">IF(H838&lt;&gt;"","0x"&amp;I838&amp;H838,"")</f>
        <v/>
      </c>
      <c r="L838" s="1" t="s">
        <v>3096</v>
      </c>
      <c r="M838" s="1" t="str">
        <f aca="false">IF(J838&lt;&gt;"",J838,L838)</f>
        <v>40, 40, MACHOKE</v>
      </c>
    </row>
    <row r="839" customFormat="false" ht="12.75" hidden="false" customHeight="true" outlineLevel="0" collapsed="false">
      <c r="A839" s="3" t="s">
        <v>3096</v>
      </c>
      <c r="B839" s="3" t="str">
        <f aca="false">IF(ISNUMBER(SEARCH("%", A839)),RIGHT(A839,3),A839)</f>
        <v>40, 40, MACHOKE</v>
      </c>
      <c r="C839" s="1" t="str">
        <f aca="false" t="array" ref="C839:C839">IF(B838="NEW ROUTE",textsplit(B839,","),"")</f>
        <v/>
      </c>
      <c r="H839" s="1" t="str">
        <f aca="false">IF(C839&lt;&gt;"",DEC2HEX(C839,2),"")</f>
        <v/>
      </c>
      <c r="I839" s="1" t="str">
        <f aca="false">IF(D839&lt;&gt;"",DEC2HEX(D839,2),"")</f>
        <v/>
      </c>
      <c r="J839" s="1" t="str">
        <f aca="false">IF(H839&lt;&gt;"","0x"&amp;I839&amp;H839,"")</f>
        <v/>
      </c>
      <c r="L839" s="1" t="s">
        <v>3096</v>
      </c>
      <c r="M839" s="1" t="str">
        <f aca="false">IF(J839&lt;&gt;"",J839,L839)</f>
        <v>40, 40, MACHOKE</v>
      </c>
    </row>
    <row r="840" customFormat="false" ht="12.75" hidden="false" customHeight="true" outlineLevel="0" collapsed="false">
      <c r="A840" s="3" t="s">
        <v>2999</v>
      </c>
      <c r="B840" s="3" t="str">
        <f aca="false">IF(ISNUMBER(SEARCH("%", A840)),RIGHT(A840,3),A840)</f>
        <v>50, 5, 20, GEODUDE</v>
      </c>
      <c r="C840" s="1" t="str">
        <f aca="false" t="array" ref="C840:C840">IF(B839="NEW ROUTE",textsplit(B840,","),"")</f>
        <v/>
      </c>
      <c r="H840" s="1" t="str">
        <f aca="false">IF(C840&lt;&gt;"",DEC2HEX(C840,2),"")</f>
        <v/>
      </c>
      <c r="I840" s="1" t="str">
        <f aca="false">IF(D840&lt;&gt;"",DEC2HEX(D840,2),"")</f>
        <v/>
      </c>
      <c r="J840" s="1" t="str">
        <f aca="false">IF(H840&lt;&gt;"","0x"&amp;I840&amp;H840,"")</f>
        <v/>
      </c>
      <c r="L840" s="1" t="s">
        <v>2999</v>
      </c>
      <c r="M840" s="1" t="str">
        <f aca="false">IF(J840&lt;&gt;"",J840,L840)</f>
        <v>50, 5, 20, GEODUDE</v>
      </c>
    </row>
    <row r="841" customFormat="false" ht="12.75" hidden="false" customHeight="true" outlineLevel="0" collapsed="false">
      <c r="A841" s="3" t="s">
        <v>3000</v>
      </c>
      <c r="B841" s="3" t="str">
        <f aca="false">IF(ISNUMBER(SEARCH("%", A841)),RIGHT(A841,3),A841)</f>
        <v>10, 20, GEODUDE</v>
      </c>
      <c r="C841" s="1" t="str">
        <f aca="false" t="array" ref="C841:C841">IF(B840="NEW ROUTE",textsplit(B841,","),"")</f>
        <v/>
      </c>
      <c r="H841" s="1" t="str">
        <f aca="false">IF(C841&lt;&gt;"",DEC2HEX(C841,2),"")</f>
        <v/>
      </c>
      <c r="I841" s="1" t="str">
        <f aca="false">IF(D841&lt;&gt;"",DEC2HEX(D841,2),"")</f>
        <v/>
      </c>
      <c r="J841" s="1" t="str">
        <f aca="false">IF(H841&lt;&gt;"","0x"&amp;I841&amp;H841,"")</f>
        <v/>
      </c>
      <c r="L841" s="1" t="s">
        <v>3000</v>
      </c>
      <c r="M841" s="1" t="str">
        <f aca="false">IF(J841&lt;&gt;"",J841,L841)</f>
        <v>10, 20, GEODUDE</v>
      </c>
    </row>
    <row r="842" customFormat="false" ht="12.75" hidden="false" customHeight="true" outlineLevel="0" collapsed="false">
      <c r="A842" s="3" t="s">
        <v>3001</v>
      </c>
      <c r="B842" s="3" t="str">
        <f aca="false">IF(ISNUMBER(SEARCH("%", A842)),RIGHT(A842,3),A842)</f>
        <v>15, 30, GEODUDE</v>
      </c>
      <c r="C842" s="1" t="str">
        <f aca="false" t="array" ref="C842:C842">IF(B841="NEW ROUTE",textsplit(B842,","),"")</f>
        <v/>
      </c>
      <c r="H842" s="1" t="str">
        <f aca="false">IF(C842&lt;&gt;"",DEC2HEX(C842,2),"")</f>
        <v/>
      </c>
      <c r="I842" s="1" t="str">
        <f aca="false">IF(D842&lt;&gt;"",DEC2HEX(D842,2),"")</f>
        <v/>
      </c>
      <c r="J842" s="1" t="str">
        <f aca="false">IF(H842&lt;&gt;"","0x"&amp;I842&amp;H842,"")</f>
        <v/>
      </c>
      <c r="L842" s="1" t="s">
        <v>3001</v>
      </c>
      <c r="M842" s="1" t="str">
        <f aca="false">IF(J842&lt;&gt;"",J842,L842)</f>
        <v>15, 30, GEODUDE</v>
      </c>
    </row>
    <row r="843" customFormat="false" ht="12.75" hidden="false" customHeight="true" outlineLevel="0" collapsed="false">
      <c r="A843" s="3" t="s">
        <v>3002</v>
      </c>
      <c r="B843" s="3" t="str">
        <f aca="false">IF(ISNUMBER(SEARCH("%", A843)),RIGHT(A843,3),A843)</f>
        <v>25, 40, GRAVELER</v>
      </c>
      <c r="C843" s="1" t="str">
        <f aca="false" t="array" ref="C843:C843">IF(B842="NEW ROUTE",textsplit(B843,","),"")</f>
        <v/>
      </c>
      <c r="H843" s="1" t="str">
        <f aca="false">IF(C843&lt;&gt;"",DEC2HEX(C843,2),"")</f>
        <v/>
      </c>
      <c r="I843" s="1" t="str">
        <f aca="false">IF(D843&lt;&gt;"",DEC2HEX(D843,2),"")</f>
        <v/>
      </c>
      <c r="J843" s="1" t="str">
        <f aca="false">IF(H843&lt;&gt;"","0x"&amp;I843&amp;H843,"")</f>
        <v/>
      </c>
      <c r="L843" s="1" t="s">
        <v>3002</v>
      </c>
      <c r="M843" s="1" t="str">
        <f aca="false">IF(J843&lt;&gt;"",J843,L843)</f>
        <v>25, 40, GRAVELER</v>
      </c>
    </row>
    <row r="844" customFormat="false" ht="12.75" hidden="false" customHeight="true" outlineLevel="0" collapsed="false">
      <c r="A844" s="3" t="s">
        <v>3003</v>
      </c>
      <c r="B844" s="3" t="str">
        <f aca="false">IF(ISNUMBER(SEARCH("%", A844)),RIGHT(A844,3),A844)</f>
        <v>30, 40, GRAVELER , &lt;null&gt;</v>
      </c>
      <c r="C844" s="1" t="str">
        <f aca="false" t="array" ref="C844:C844">IF(B843="NEW ROUTE",textsplit(B844,","),"")</f>
        <v/>
      </c>
      <c r="H844" s="1" t="str">
        <f aca="false">IF(C844&lt;&gt;"",DEC2HEX(C844,2),"")</f>
        <v/>
      </c>
      <c r="I844" s="1" t="str">
        <f aca="false">IF(D844&lt;&gt;"",DEC2HEX(D844,2),"")</f>
        <v/>
      </c>
      <c r="J844" s="1" t="str">
        <f aca="false">IF(H844&lt;&gt;"","0x"&amp;I844&amp;H844,"")</f>
        <v/>
      </c>
      <c r="L844" s="1" t="s">
        <v>3003</v>
      </c>
      <c r="M844" s="1" t="str">
        <f aca="false">IF(J844&lt;&gt;"",J844,L844)</f>
        <v>30, 40, GRAVELER , &lt;null&gt;</v>
      </c>
    </row>
    <row r="845" customFormat="false" ht="12.75" hidden="false" customHeight="true" outlineLevel="0" collapsed="false">
      <c r="A845" s="3" t="s">
        <v>2536</v>
      </c>
      <c r="B845" s="3" t="str">
        <f aca="false">IF(ISNUMBER(SEARCH("%", A845)),RIGHT(A845,3),A845)</f>
        <v>NEW ROUTE</v>
      </c>
      <c r="C845" s="1" t="str">
        <f aca="false" t="array" ref="C845:C845">IF(B844="NEW ROUTE",textsplit(B845,","),"")</f>
        <v/>
      </c>
      <c r="H845" s="1" t="str">
        <f aca="false">IF(C845&lt;&gt;"",DEC2HEX(C845,2),"")</f>
        <v/>
      </c>
      <c r="I845" s="1" t="str">
        <f aca="false">IF(D845&lt;&gt;"",DEC2HEX(D845,2),"")</f>
        <v/>
      </c>
      <c r="J845" s="1" t="str">
        <f aca="false">IF(H845&lt;&gt;"","0x"&amp;I845&amp;H845,"")</f>
        <v/>
      </c>
      <c r="L845" s="1" t="s">
        <v>2536</v>
      </c>
      <c r="M845" s="1" t="str">
        <f aca="false">IF(J845&lt;&gt;"",J845,L845)</f>
        <v>NEW ROUTE</v>
      </c>
    </row>
    <row r="846" customFormat="false" ht="12.75" hidden="false" customHeight="true" outlineLevel="0" collapsed="false">
      <c r="A846" s="3" t="s">
        <v>3097</v>
      </c>
      <c r="B846" s="3" t="str">
        <f aca="false">IF(ISNUMBER(SEARCH("%", A846)),RIGHT(A846,3),A846)</f>
        <v>1, 100, 0,</v>
      </c>
      <c r="C846" s="1" t="e">
        <f aca="false" t="array" ref="C846:C846">IF(B845="NEW ROUTE",textsplit(B846,","),"")</f>
        <v>#NAME?</v>
      </c>
      <c r="H846" s="1" t="e">
        <f aca="false">IF(C846&lt;&gt;"",DEC2HEX(C846,2),"")</f>
        <v>#NAME?</v>
      </c>
      <c r="I846" s="1" t="str">
        <f aca="false">IF(D846&lt;&gt;"",DEC2HEX(D846,2),"")</f>
        <v/>
      </c>
      <c r="J846" s="1" t="e">
        <f aca="false">IF(H846&lt;&gt;"","0x"&amp;I846&amp;H846,"")</f>
        <v>#NAME?</v>
      </c>
      <c r="L846" s="1" t="s">
        <v>3097</v>
      </c>
      <c r="M846" s="1" t="e">
        <f aca="false">IF(J846&lt;&gt;"",J846,L846)</f>
        <v>#NAME?</v>
      </c>
    </row>
    <row r="847" customFormat="false" ht="12.75" hidden="false" customHeight="true" outlineLevel="0" collapsed="false">
      <c r="A847" s="3" t="s">
        <v>2816</v>
      </c>
      <c r="B847" s="3" t="str">
        <f aca="false">IF(ISNUMBER(SEARCH("%", A847)),RIGHT(A847,3),A847)</f>
        <v>20%</v>
      </c>
      <c r="C847" s="1" t="str">
        <f aca="false" t="array" ref="C847:C847">IF(B846="NEW ROUTE",textsplit(B847,","),"")</f>
        <v/>
      </c>
      <c r="H847" s="1" t="str">
        <f aca="false">IF(C847&lt;&gt;"",DEC2HEX(C847,2),"")</f>
        <v/>
      </c>
      <c r="I847" s="1" t="str">
        <f aca="false">IF(D847&lt;&gt;"",DEC2HEX(D847,2),"")</f>
        <v/>
      </c>
      <c r="J847" s="1" t="str">
        <f aca="false">IF(H847&lt;&gt;"","0x"&amp;I847&amp;H847,"")</f>
        <v/>
      </c>
      <c r="L847" s="1" t="s">
        <v>2799</v>
      </c>
      <c r="M847" s="1" t="str">
        <f aca="false">IF(J847&lt;&gt;"",J847,L847)</f>
        <v>20%</v>
      </c>
    </row>
    <row r="848" customFormat="false" ht="12.75" hidden="false" customHeight="true" outlineLevel="0" collapsed="false">
      <c r="A848" s="3" t="s">
        <v>1507</v>
      </c>
      <c r="B848" s="3" t="str">
        <f aca="false">IF(ISNUMBER(SEARCH("%", A848)),RIGHT(A848,3),A848)</f>
        <v>33, 33, GEODUDE</v>
      </c>
      <c r="C848" s="1" t="str">
        <f aca="false" t="array" ref="C848:C848">IF(B847="NEW ROUTE",textsplit(B848,","),"")</f>
        <v/>
      </c>
      <c r="H848" s="1" t="str">
        <f aca="false">IF(C848&lt;&gt;"",DEC2HEX(C848,2),"")</f>
        <v/>
      </c>
      <c r="I848" s="1" t="str">
        <f aca="false">IF(D848&lt;&gt;"",DEC2HEX(D848,2),"")</f>
        <v/>
      </c>
      <c r="J848" s="1" t="str">
        <f aca="false">IF(H848&lt;&gt;"","0x"&amp;I848&amp;H848,"")</f>
        <v/>
      </c>
      <c r="L848" s="1" t="s">
        <v>1507</v>
      </c>
      <c r="M848" s="1" t="str">
        <f aca="false">IF(J848&lt;&gt;"",J848,L848)</f>
        <v>33, 33, GEODUDE</v>
      </c>
    </row>
    <row r="849" customFormat="false" ht="12.75" hidden="false" customHeight="true" outlineLevel="0" collapsed="false">
      <c r="A849" s="3" t="s">
        <v>3072</v>
      </c>
      <c r="B849" s="3" t="str">
        <f aca="false">IF(ISNUMBER(SEARCH("%", A849)),RIGHT(A849,3),A849)</f>
        <v>35, 35, MACHOP</v>
      </c>
      <c r="C849" s="1" t="str">
        <f aca="false" t="array" ref="C849:C849">IF(B848="NEW ROUTE",textsplit(B849,","),"")</f>
        <v/>
      </c>
      <c r="H849" s="1" t="str">
        <f aca="false">IF(C849&lt;&gt;"",DEC2HEX(C849,2),"")</f>
        <v/>
      </c>
      <c r="I849" s="1" t="str">
        <f aca="false">IF(D849&lt;&gt;"",DEC2HEX(D849,2),"")</f>
        <v/>
      </c>
      <c r="J849" s="1" t="str">
        <f aca="false">IF(H849&lt;&gt;"","0x"&amp;I849&amp;H849,"")</f>
        <v/>
      </c>
      <c r="L849" s="1" t="s">
        <v>3072</v>
      </c>
      <c r="M849" s="1" t="str">
        <f aca="false">IF(J849&lt;&gt;"",J849,L849)</f>
        <v>35, 35, MACHOP</v>
      </c>
    </row>
    <row r="850" customFormat="false" ht="12.75" hidden="false" customHeight="true" outlineLevel="0" collapsed="false">
      <c r="A850" s="3" t="s">
        <v>2801</v>
      </c>
      <c r="B850" s="3" t="str">
        <f aca="false">IF(ISNUMBER(SEARCH("%", A850)),RIGHT(A850,3),A850)</f>
        <v>0.1</v>
      </c>
      <c r="C850" s="1" t="str">
        <f aca="false" t="array" ref="C850:C850">IF(B849="NEW ROUTE",textsplit(B850,","),"")</f>
        <v/>
      </c>
      <c r="H850" s="1" t="str">
        <f aca="false">IF(C850&lt;&gt;"",DEC2HEX(C850,2),"")</f>
        <v/>
      </c>
      <c r="I850" s="1" t="str">
        <f aca="false">IF(D850&lt;&gt;"",DEC2HEX(D850,2),"")</f>
        <v/>
      </c>
      <c r="J850" s="1" t="str">
        <f aca="false">IF(H850&lt;&gt;"","0x"&amp;I850&amp;H850,"")</f>
        <v/>
      </c>
      <c r="L850" s="1" t="s">
        <v>2801</v>
      </c>
      <c r="M850" s="1" t="str">
        <f aca="false">IF(J850&lt;&gt;"",J850,L850)</f>
        <v>0.1</v>
      </c>
    </row>
    <row r="851" customFormat="false" ht="12.75" hidden="false" customHeight="true" outlineLevel="0" collapsed="false">
      <c r="A851" s="3" t="s">
        <v>3080</v>
      </c>
      <c r="B851" s="3" t="str">
        <f aca="false">IF(ISNUMBER(SEARCH("%", A851)),RIGHT(A851,3),A851)</f>
        <v>29, 29, GEODUDE</v>
      </c>
      <c r="C851" s="1" t="str">
        <f aca="false" t="array" ref="C851:C851">IF(B850="NEW ROUTE",textsplit(B851,","),"")</f>
        <v/>
      </c>
      <c r="H851" s="1" t="str">
        <f aca="false">IF(C851&lt;&gt;"",DEC2HEX(C851,2),"")</f>
        <v/>
      </c>
      <c r="I851" s="1" t="str">
        <f aca="false">IF(D851&lt;&gt;"",DEC2HEX(D851,2),"")</f>
        <v/>
      </c>
      <c r="J851" s="1" t="str">
        <f aca="false">IF(H851&lt;&gt;"","0x"&amp;I851&amp;H851,"")</f>
        <v/>
      </c>
      <c r="L851" s="1" t="s">
        <v>3080</v>
      </c>
      <c r="M851" s="1" t="str">
        <f aca="false">IF(J851&lt;&gt;"",J851,L851)</f>
        <v>29, 29, GEODUDE</v>
      </c>
    </row>
    <row r="852" customFormat="false" ht="12.75" hidden="false" customHeight="true" outlineLevel="0" collapsed="false">
      <c r="A852" s="3" t="s">
        <v>3081</v>
      </c>
      <c r="B852" s="3" t="str">
        <f aca="false">IF(ISNUMBER(SEARCH("%", A852)),RIGHT(A852,3),A852)</f>
        <v>31, 31, GEODUDE</v>
      </c>
      <c r="C852" s="1" t="str">
        <f aca="false" t="array" ref="C852:C852">IF(B851="NEW ROUTE",textsplit(B852,","),"")</f>
        <v/>
      </c>
      <c r="H852" s="1" t="str">
        <f aca="false">IF(C852&lt;&gt;"",DEC2HEX(C852,2),"")</f>
        <v/>
      </c>
      <c r="I852" s="1" t="str">
        <f aca="false">IF(D852&lt;&gt;"",DEC2HEX(D852,2),"")</f>
        <v/>
      </c>
      <c r="J852" s="1" t="str">
        <f aca="false">IF(H852&lt;&gt;"","0x"&amp;I852&amp;H852,"")</f>
        <v/>
      </c>
      <c r="L852" s="1" t="s">
        <v>3081</v>
      </c>
      <c r="M852" s="1" t="str">
        <f aca="false">IF(J852&lt;&gt;"",J852,L852)</f>
        <v>31, 31, GEODUDE</v>
      </c>
    </row>
    <row r="853" customFormat="false" ht="12.75" hidden="false" customHeight="true" outlineLevel="0" collapsed="false">
      <c r="A853" s="3" t="s">
        <v>3082</v>
      </c>
      <c r="B853" s="3" t="str">
        <f aca="false">IF(ISNUMBER(SEARCH("%", A853)),RIGHT(A853,3),A853)</f>
        <v>31, 31, MACHOP</v>
      </c>
      <c r="C853" s="1" t="str">
        <f aca="false" t="array" ref="C853:C853">IF(B852="NEW ROUTE",textsplit(B853,","),"")</f>
        <v/>
      </c>
      <c r="H853" s="1" t="str">
        <f aca="false">IF(C853&lt;&gt;"",DEC2HEX(C853,2),"")</f>
        <v/>
      </c>
      <c r="I853" s="1" t="str">
        <f aca="false">IF(D853&lt;&gt;"",DEC2HEX(D853,2),"")</f>
        <v/>
      </c>
      <c r="J853" s="1" t="str">
        <f aca="false">IF(H853&lt;&gt;"","0x"&amp;I853&amp;H853,"")</f>
        <v/>
      </c>
      <c r="L853" s="1" t="s">
        <v>3082</v>
      </c>
      <c r="M853" s="1" t="str">
        <f aca="false">IF(J853&lt;&gt;"",J853,L853)</f>
        <v>31, 31, MACHOP</v>
      </c>
    </row>
    <row r="854" customFormat="false" ht="12.75" hidden="false" customHeight="true" outlineLevel="0" collapsed="false">
      <c r="A854" s="3" t="s">
        <v>3083</v>
      </c>
      <c r="B854" s="3" t="str">
        <f aca="false">IF(ISNUMBER(SEARCH("%", A854)),RIGHT(A854,3),A854)</f>
        <v>33, 33, MACHOP</v>
      </c>
      <c r="C854" s="1" t="str">
        <f aca="false" t="array" ref="C854:C854">IF(B853="NEW ROUTE",textsplit(B854,","),"")</f>
        <v/>
      </c>
      <c r="H854" s="1" t="str">
        <f aca="false">IF(C854&lt;&gt;"",DEC2HEX(C854,2),"")</f>
        <v/>
      </c>
      <c r="I854" s="1" t="str">
        <f aca="false">IF(D854&lt;&gt;"",DEC2HEX(D854,2),"")</f>
        <v/>
      </c>
      <c r="J854" s="1" t="str">
        <f aca="false">IF(H854&lt;&gt;"","0x"&amp;I854&amp;H854,"")</f>
        <v/>
      </c>
      <c r="L854" s="1" t="s">
        <v>3083</v>
      </c>
      <c r="M854" s="1" t="str">
        <f aca="false">IF(J854&lt;&gt;"",J854,L854)</f>
        <v>33, 33, MACHOP</v>
      </c>
    </row>
    <row r="855" customFormat="false" ht="12.75" hidden="false" customHeight="true" outlineLevel="0" collapsed="false">
      <c r="A855" s="3" t="s">
        <v>2806</v>
      </c>
      <c r="B855" s="3" t="str">
        <f aca="false">IF(ISNUMBER(SEARCH("%", A855)),RIGHT(A855,3),A855)</f>
        <v>0.05</v>
      </c>
      <c r="C855" s="1" t="str">
        <f aca="false" t="array" ref="C855:C855">IF(B854="NEW ROUTE",textsplit(B855,","),"")</f>
        <v/>
      </c>
      <c r="H855" s="1" t="str">
        <f aca="false">IF(C855&lt;&gt;"",DEC2HEX(C855,2),"")</f>
        <v/>
      </c>
      <c r="I855" s="1" t="str">
        <f aca="false">IF(D855&lt;&gt;"",DEC2HEX(D855,2),"")</f>
        <v/>
      </c>
      <c r="J855" s="1" t="str">
        <f aca="false">IF(H855&lt;&gt;"","0x"&amp;I855&amp;H855,"")</f>
        <v/>
      </c>
      <c r="L855" s="1" t="s">
        <v>2806</v>
      </c>
      <c r="M855" s="1" t="str">
        <f aca="false">IF(J855&lt;&gt;"",J855,L855)</f>
        <v>0.05</v>
      </c>
    </row>
    <row r="856" customFormat="false" ht="12.75" hidden="false" customHeight="true" outlineLevel="0" collapsed="false">
      <c r="A856" s="3" t="s">
        <v>3084</v>
      </c>
      <c r="B856" s="3" t="str">
        <f aca="false">IF(ISNUMBER(SEARCH("%", A856)),RIGHT(A856,3),A856)</f>
        <v>35, 35, GEODUDE</v>
      </c>
      <c r="C856" s="1" t="str">
        <f aca="false" t="array" ref="C856:C856">IF(B855="NEW ROUTE",textsplit(B856,","),"")</f>
        <v/>
      </c>
      <c r="H856" s="1" t="str">
        <f aca="false">IF(C856&lt;&gt;"",DEC2HEX(C856,2),"")</f>
        <v/>
      </c>
      <c r="I856" s="1" t="str">
        <f aca="false">IF(D856&lt;&gt;"",DEC2HEX(D856,2),"")</f>
        <v/>
      </c>
      <c r="J856" s="1" t="str">
        <f aca="false">IF(H856&lt;&gt;"","0x"&amp;I856&amp;H856,"")</f>
        <v/>
      </c>
      <c r="L856" s="1" t="s">
        <v>3084</v>
      </c>
      <c r="M856" s="1" t="str">
        <f aca="false">IF(J856&lt;&gt;"",J856,L856)</f>
        <v>35, 35, GEODUDE</v>
      </c>
    </row>
    <row r="857" customFormat="false" ht="12.75" hidden="false" customHeight="true" outlineLevel="0" collapsed="false">
      <c r="A857" s="3" t="s">
        <v>3085</v>
      </c>
      <c r="B857" s="3" t="str">
        <f aca="false">IF(ISNUMBER(SEARCH("%", A857)),RIGHT(A857,3),A857)</f>
        <v>37, 37, MACHOP</v>
      </c>
      <c r="C857" s="1" t="str">
        <f aca="false" t="array" ref="C857:C857">IF(B856="NEW ROUTE",textsplit(B857,","),"")</f>
        <v/>
      </c>
      <c r="H857" s="1" t="str">
        <f aca="false">IF(C857&lt;&gt;"",DEC2HEX(C857,2),"")</f>
        <v/>
      </c>
      <c r="I857" s="1" t="str">
        <f aca="false">IF(D857&lt;&gt;"",DEC2HEX(D857,2),"")</f>
        <v/>
      </c>
      <c r="J857" s="1" t="str">
        <f aca="false">IF(H857&lt;&gt;"","0x"&amp;I857&amp;H857,"")</f>
        <v/>
      </c>
      <c r="L857" s="1" t="s">
        <v>3085</v>
      </c>
      <c r="M857" s="1" t="str">
        <f aca="false">IF(J857&lt;&gt;"",J857,L857)</f>
        <v>37, 37, MACHOP</v>
      </c>
    </row>
    <row r="858" customFormat="false" ht="12.75" hidden="false" customHeight="true" outlineLevel="0" collapsed="false">
      <c r="A858" s="3" t="s">
        <v>2809</v>
      </c>
      <c r="B858" s="3" t="str">
        <f aca="false">IF(ISNUMBER(SEARCH("%", A858)),RIGHT(A858,3),A858)</f>
        <v>0.04</v>
      </c>
      <c r="C858" s="1" t="str">
        <f aca="false" t="array" ref="C858:C858">IF(B857="NEW ROUTE",textsplit(B858,","),"")</f>
        <v/>
      </c>
      <c r="H858" s="1" t="str">
        <f aca="false">IF(C858&lt;&gt;"",DEC2HEX(C858,2),"")</f>
        <v/>
      </c>
      <c r="I858" s="1" t="str">
        <f aca="false">IF(D858&lt;&gt;"",DEC2HEX(D858,2),"")</f>
        <v/>
      </c>
      <c r="J858" s="1" t="str">
        <f aca="false">IF(H858&lt;&gt;"","0x"&amp;I858&amp;H858,"")</f>
        <v/>
      </c>
      <c r="L858" s="1" t="s">
        <v>2809</v>
      </c>
      <c r="M858" s="1" t="str">
        <f aca="false">IF(J858&lt;&gt;"",J858,L858)</f>
        <v>0.04</v>
      </c>
    </row>
    <row r="859" customFormat="false" ht="12.75" hidden="false" customHeight="true" outlineLevel="0" collapsed="false">
      <c r="A859" s="3" t="s">
        <v>3086</v>
      </c>
      <c r="B859" s="3" t="str">
        <f aca="false">IF(ISNUMBER(SEARCH("%", A859)),RIGHT(A859,3),A859)</f>
        <v>37, 37, GEODUDE</v>
      </c>
      <c r="C859" s="1" t="str">
        <f aca="false" t="array" ref="C859:C859">IF(B858="NEW ROUTE",textsplit(B859,","),"")</f>
        <v/>
      </c>
      <c r="H859" s="1" t="str">
        <f aca="false">IF(C859&lt;&gt;"",DEC2HEX(C859,2),"")</f>
        <v/>
      </c>
      <c r="I859" s="1" t="str">
        <f aca="false">IF(D859&lt;&gt;"",DEC2HEX(D859,2),"")</f>
        <v/>
      </c>
      <c r="J859" s="1" t="str">
        <f aca="false">IF(H859&lt;&gt;"","0x"&amp;I859&amp;H859,"")</f>
        <v/>
      </c>
      <c r="L859" s="1" t="s">
        <v>3086</v>
      </c>
      <c r="M859" s="1" t="str">
        <f aca="false">IF(J859&lt;&gt;"",J859,L859)</f>
        <v>37, 37, GEODUDE</v>
      </c>
    </row>
    <row r="860" customFormat="false" ht="12.75" hidden="false" customHeight="true" outlineLevel="0" collapsed="false">
      <c r="A860" s="3" t="s">
        <v>3087</v>
      </c>
      <c r="B860" s="3" t="str">
        <f aca="false">IF(ISNUMBER(SEARCH("%", A860)),RIGHT(A860,3),A860)</f>
        <v>39, 39, MACHOP</v>
      </c>
      <c r="C860" s="1" t="str">
        <f aca="false" t="array" ref="C860:C860">IF(B859="NEW ROUTE",textsplit(B860,","),"")</f>
        <v/>
      </c>
      <c r="H860" s="1" t="str">
        <f aca="false">IF(C860&lt;&gt;"",DEC2HEX(C860,2),"")</f>
        <v/>
      </c>
      <c r="I860" s="1" t="str">
        <f aca="false">IF(D860&lt;&gt;"",DEC2HEX(D860,2),"")</f>
        <v/>
      </c>
      <c r="J860" s="1" t="str">
        <f aca="false">IF(H860&lt;&gt;"","0x"&amp;I860&amp;H860,"")</f>
        <v/>
      </c>
      <c r="L860" s="1" t="s">
        <v>3087</v>
      </c>
      <c r="M860" s="1" t="str">
        <f aca="false">IF(J860&lt;&gt;"",J860,L860)</f>
        <v>39, 39, MACHOP</v>
      </c>
    </row>
    <row r="861" customFormat="false" ht="12.75" hidden="false" customHeight="true" outlineLevel="0" collapsed="false">
      <c r="A861" s="3" t="s">
        <v>2812</v>
      </c>
      <c r="B861" s="3" t="str">
        <f aca="false">IF(ISNUMBER(SEARCH("%", A861)),RIGHT(A861,3),A861)</f>
        <v>0.01</v>
      </c>
      <c r="C861" s="1" t="str">
        <f aca="false" t="array" ref="C861:C861">IF(B860="NEW ROUTE",textsplit(B861,","),"")</f>
        <v/>
      </c>
      <c r="H861" s="1" t="str">
        <f aca="false">IF(C861&lt;&gt;"",DEC2HEX(C861,2),"")</f>
        <v/>
      </c>
      <c r="I861" s="1" t="str">
        <f aca="false">IF(D861&lt;&gt;"",DEC2HEX(D861,2),"")</f>
        <v/>
      </c>
      <c r="J861" s="1" t="str">
        <f aca="false">IF(H861&lt;&gt;"","0x"&amp;I861&amp;H861,"")</f>
        <v/>
      </c>
      <c r="L861" s="1" t="s">
        <v>2812</v>
      </c>
      <c r="M861" s="1" t="str">
        <f aca="false">IF(J861&lt;&gt;"",J861,L861)</f>
        <v>0.01</v>
      </c>
    </row>
    <row r="862" customFormat="false" ht="12.75" hidden="false" customHeight="true" outlineLevel="0" collapsed="false">
      <c r="A862" s="3" t="s">
        <v>3086</v>
      </c>
      <c r="B862" s="3" t="str">
        <f aca="false">IF(ISNUMBER(SEARCH("%", A862)),RIGHT(A862,3),A862)</f>
        <v>37, 37, GEODUDE</v>
      </c>
      <c r="C862" s="1" t="str">
        <f aca="false" t="array" ref="C862:C862">IF(B861="NEW ROUTE",textsplit(B862,","),"")</f>
        <v/>
      </c>
      <c r="H862" s="1" t="str">
        <f aca="false">IF(C862&lt;&gt;"",DEC2HEX(C862,2),"")</f>
        <v/>
      </c>
      <c r="I862" s="1" t="str">
        <f aca="false">IF(D862&lt;&gt;"",DEC2HEX(D862,2),"")</f>
        <v/>
      </c>
      <c r="J862" s="1" t="str">
        <f aca="false">IF(H862&lt;&gt;"","0x"&amp;I862&amp;H862,"")</f>
        <v/>
      </c>
      <c r="L862" s="1" t="s">
        <v>3086</v>
      </c>
      <c r="M862" s="1" t="str">
        <f aca="false">IF(J862&lt;&gt;"",J862,L862)</f>
        <v>37, 37, GEODUDE</v>
      </c>
    </row>
    <row r="863" customFormat="false" ht="12.75" hidden="false" customHeight="true" outlineLevel="0" collapsed="false">
      <c r="A863" s="3" t="s">
        <v>3088</v>
      </c>
      <c r="B863" s="3" t="str">
        <f aca="false">IF(ISNUMBER(SEARCH("%", A863)),RIGHT(A863,3),A863)</f>
        <v>39, 39, MACHOP , &lt;null&gt;, &lt;null&gt;, &lt;null&gt;</v>
      </c>
      <c r="C863" s="1" t="str">
        <f aca="false" t="array" ref="C863:C863">IF(B862="NEW ROUTE",textsplit(B863,","),"")</f>
        <v/>
      </c>
      <c r="H863" s="1" t="str">
        <f aca="false">IF(C863&lt;&gt;"",DEC2HEX(C863,2),"")</f>
        <v/>
      </c>
      <c r="I863" s="1" t="str">
        <f aca="false">IF(D863&lt;&gt;"",DEC2HEX(D863,2),"")</f>
        <v/>
      </c>
      <c r="J863" s="1" t="str">
        <f aca="false">IF(H863&lt;&gt;"","0x"&amp;I863&amp;H863,"")</f>
        <v/>
      </c>
      <c r="L863" s="1" t="s">
        <v>3088</v>
      </c>
      <c r="M863" s="1" t="str">
        <f aca="false">IF(J863&lt;&gt;"",J863,L863)</f>
        <v>39, 39, MACHOP , &lt;null&gt;, &lt;null&gt;, &lt;null&gt;</v>
      </c>
    </row>
    <row r="864" customFormat="false" ht="12.75" hidden="false" customHeight="true" outlineLevel="0" collapsed="false">
      <c r="A864" s="3" t="s">
        <v>2536</v>
      </c>
      <c r="B864" s="3" t="str">
        <f aca="false">IF(ISNUMBER(SEARCH("%", A864)),RIGHT(A864,3),A864)</f>
        <v>NEW ROUTE</v>
      </c>
      <c r="C864" s="1" t="str">
        <f aca="false" t="array" ref="C864:C864">IF(B863="NEW ROUTE",textsplit(B864,","),"")</f>
        <v/>
      </c>
      <c r="H864" s="1" t="str">
        <f aca="false">IF(C864&lt;&gt;"",DEC2HEX(C864,2),"")</f>
        <v/>
      </c>
      <c r="I864" s="1" t="str">
        <f aca="false">IF(D864&lt;&gt;"",DEC2HEX(D864,2),"")</f>
        <v/>
      </c>
      <c r="J864" s="1" t="str">
        <f aca="false">IF(H864&lt;&gt;"","0x"&amp;I864&amp;H864,"")</f>
        <v/>
      </c>
      <c r="L864" s="1" t="s">
        <v>2536</v>
      </c>
      <c r="M864" s="1" t="str">
        <f aca="false">IF(J864&lt;&gt;"",J864,L864)</f>
        <v>NEW ROUTE</v>
      </c>
    </row>
    <row r="865" customFormat="false" ht="12.75" hidden="false" customHeight="true" outlineLevel="0" collapsed="false">
      <c r="A865" s="3" t="s">
        <v>3098</v>
      </c>
      <c r="B865" s="3" t="str">
        <f aca="false">IF(ISNUMBER(SEARCH("%", A865)),RIGHT(A865,3),A865)</f>
        <v>1, 103, 0,</v>
      </c>
      <c r="C865" s="1" t="e">
        <f aca="false" t="array" ref="C865:C865">IF(B864="NEW ROUTE",textsplit(B865,","),"")</f>
        <v>#NAME?</v>
      </c>
      <c r="H865" s="1" t="e">
        <f aca="false">IF(C865&lt;&gt;"",DEC2HEX(C865,2),"")</f>
        <v>#NAME?</v>
      </c>
      <c r="I865" s="1" t="str">
        <f aca="false">IF(D865&lt;&gt;"",DEC2HEX(D865,2),"")</f>
        <v/>
      </c>
      <c r="J865" s="1" t="e">
        <f aca="false">IF(H865&lt;&gt;"","0x"&amp;I865&amp;H865,"")</f>
        <v>#NAME?</v>
      </c>
      <c r="L865" s="1" t="s">
        <v>3098</v>
      </c>
      <c r="M865" s="1" t="e">
        <f aca="false">IF(J865&lt;&gt;"",J865,L865)</f>
        <v>#NAME?</v>
      </c>
    </row>
    <row r="866" customFormat="false" ht="12.75" hidden="false" customHeight="true" outlineLevel="0" collapsed="false">
      <c r="A866" s="3" t="s">
        <v>2816</v>
      </c>
      <c r="B866" s="3" t="str">
        <f aca="false">IF(ISNUMBER(SEARCH("%", A866)),RIGHT(A866,3),A866)</f>
        <v>20%</v>
      </c>
      <c r="C866" s="1" t="str">
        <f aca="false" t="array" ref="C866:C866">IF(B865="NEW ROUTE",textsplit(B866,","),"")</f>
        <v/>
      </c>
      <c r="H866" s="1" t="str">
        <f aca="false">IF(C866&lt;&gt;"",DEC2HEX(C866,2),"")</f>
        <v/>
      </c>
      <c r="I866" s="1" t="str">
        <f aca="false">IF(D866&lt;&gt;"",DEC2HEX(D866,2),"")</f>
        <v/>
      </c>
      <c r="J866" s="1" t="str">
        <f aca="false">IF(H866&lt;&gt;"","0x"&amp;I866&amp;H866,"")</f>
        <v/>
      </c>
      <c r="L866" s="1" t="s">
        <v>2799</v>
      </c>
      <c r="M866" s="1" t="str">
        <f aca="false">IF(J866&lt;&gt;"",J866,L866)</f>
        <v>20%</v>
      </c>
    </row>
    <row r="867" customFormat="false" ht="12.75" hidden="false" customHeight="true" outlineLevel="0" collapsed="false">
      <c r="A867" s="3" t="s">
        <v>1529</v>
      </c>
      <c r="B867" s="3" t="str">
        <f aca="false">IF(ISNUMBER(SEARCH("%", A867)),RIGHT(A867,3),A867)</f>
        <v>36, 36, GEODUDE</v>
      </c>
      <c r="C867" s="1" t="str">
        <f aca="false" t="array" ref="C867:C867">IF(B866="NEW ROUTE",textsplit(B867,","),"")</f>
        <v/>
      </c>
      <c r="H867" s="1" t="str">
        <f aca="false">IF(C867&lt;&gt;"",DEC2HEX(C867,2),"")</f>
        <v/>
      </c>
      <c r="I867" s="1" t="str">
        <f aca="false">IF(D867&lt;&gt;"",DEC2HEX(D867,2),"")</f>
        <v/>
      </c>
      <c r="J867" s="1" t="str">
        <f aca="false">IF(H867&lt;&gt;"","0x"&amp;I867&amp;H867,"")</f>
        <v/>
      </c>
      <c r="L867" s="1" t="s">
        <v>1529</v>
      </c>
      <c r="M867" s="1" t="str">
        <f aca="false">IF(J867&lt;&gt;"",J867,L867)</f>
        <v>36, 36, GEODUDE</v>
      </c>
    </row>
    <row r="868" customFormat="false" ht="12.75" hidden="false" customHeight="true" outlineLevel="0" collapsed="false">
      <c r="A868" s="3" t="s">
        <v>3099</v>
      </c>
      <c r="B868" s="3" t="str">
        <f aca="false">IF(ISNUMBER(SEARCH("%", A868)),RIGHT(A868,3),A868)</f>
        <v>38, 38, MACHOP</v>
      </c>
      <c r="C868" s="1" t="str">
        <f aca="false" t="array" ref="C868:C868">IF(B867="NEW ROUTE",textsplit(B868,","),"")</f>
        <v/>
      </c>
      <c r="H868" s="1" t="str">
        <f aca="false">IF(C868&lt;&gt;"",DEC2HEX(C868,2),"")</f>
        <v/>
      </c>
      <c r="I868" s="1" t="str">
        <f aca="false">IF(D868&lt;&gt;"",DEC2HEX(D868,2),"")</f>
        <v/>
      </c>
      <c r="J868" s="1" t="str">
        <f aca="false">IF(H868&lt;&gt;"","0x"&amp;I868&amp;H868,"")</f>
        <v/>
      </c>
      <c r="L868" s="1" t="s">
        <v>3099</v>
      </c>
      <c r="M868" s="1" t="str">
        <f aca="false">IF(J868&lt;&gt;"",J868,L868)</f>
        <v>38, 38, MACHOP</v>
      </c>
    </row>
    <row r="869" customFormat="false" ht="12.75" hidden="false" customHeight="true" outlineLevel="0" collapsed="false">
      <c r="A869" s="3" t="s">
        <v>2801</v>
      </c>
      <c r="B869" s="3" t="str">
        <f aca="false">IF(ISNUMBER(SEARCH("%", A869)),RIGHT(A869,3),A869)</f>
        <v>0.1</v>
      </c>
      <c r="C869" s="1" t="str">
        <f aca="false" t="array" ref="C869:C869">IF(B868="NEW ROUTE",textsplit(B869,","),"")</f>
        <v/>
      </c>
      <c r="H869" s="1" t="str">
        <f aca="false">IF(C869&lt;&gt;"",DEC2HEX(C869,2),"")</f>
        <v/>
      </c>
      <c r="I869" s="1" t="str">
        <f aca="false">IF(D869&lt;&gt;"",DEC2HEX(D869,2),"")</f>
        <v/>
      </c>
      <c r="J869" s="1" t="str">
        <f aca="false">IF(H869&lt;&gt;"","0x"&amp;I869&amp;H869,"")</f>
        <v/>
      </c>
      <c r="L869" s="1" t="s">
        <v>2801</v>
      </c>
      <c r="M869" s="1" t="str">
        <f aca="false">IF(J869&lt;&gt;"",J869,L869)</f>
        <v>0.1</v>
      </c>
    </row>
    <row r="870" customFormat="false" ht="12.75" hidden="false" customHeight="true" outlineLevel="0" collapsed="false">
      <c r="A870" s="3" t="s">
        <v>3092</v>
      </c>
      <c r="B870" s="3" t="str">
        <f aca="false">IF(ISNUMBER(SEARCH("%", A870)),RIGHT(A870,3),A870)</f>
        <v>32, 32, GEODUDE</v>
      </c>
      <c r="C870" s="1" t="str">
        <f aca="false" t="array" ref="C870:C870">IF(B869="NEW ROUTE",textsplit(B870,","),"")</f>
        <v/>
      </c>
      <c r="H870" s="1" t="str">
        <f aca="false">IF(C870&lt;&gt;"",DEC2HEX(C870,2),"")</f>
        <v/>
      </c>
      <c r="I870" s="1" t="str">
        <f aca="false">IF(D870&lt;&gt;"",DEC2HEX(D870,2),"")</f>
        <v/>
      </c>
      <c r="J870" s="1" t="str">
        <f aca="false">IF(H870&lt;&gt;"","0x"&amp;I870&amp;H870,"")</f>
        <v/>
      </c>
      <c r="L870" s="1" t="s">
        <v>3092</v>
      </c>
      <c r="M870" s="1" t="str">
        <f aca="false">IF(J870&lt;&gt;"",J870,L870)</f>
        <v>32, 32, GEODUDE</v>
      </c>
    </row>
    <row r="871" customFormat="false" ht="12.75" hidden="false" customHeight="true" outlineLevel="0" collapsed="false">
      <c r="A871" s="3" t="s">
        <v>1518</v>
      </c>
      <c r="B871" s="3" t="str">
        <f aca="false">IF(ISNUMBER(SEARCH("%", A871)),RIGHT(A871,3),A871)</f>
        <v>34, 34, GEODUDE</v>
      </c>
      <c r="C871" s="1" t="str">
        <f aca="false" t="array" ref="C871:C871">IF(B870="NEW ROUTE",textsplit(B871,","),"")</f>
        <v/>
      </c>
      <c r="H871" s="1" t="str">
        <f aca="false">IF(C871&lt;&gt;"",DEC2HEX(C871,2),"")</f>
        <v/>
      </c>
      <c r="I871" s="1" t="str">
        <f aca="false">IF(D871&lt;&gt;"",DEC2HEX(D871,2),"")</f>
        <v/>
      </c>
      <c r="J871" s="1" t="str">
        <f aca="false">IF(H871&lt;&gt;"","0x"&amp;I871&amp;H871,"")</f>
        <v/>
      </c>
      <c r="L871" s="1" t="s">
        <v>1518</v>
      </c>
      <c r="M871" s="1" t="str">
        <f aca="false">IF(J871&lt;&gt;"",J871,L871)</f>
        <v>34, 34, GEODUDE</v>
      </c>
    </row>
    <row r="872" customFormat="false" ht="12.75" hidden="false" customHeight="true" outlineLevel="0" collapsed="false">
      <c r="A872" s="3" t="s">
        <v>3094</v>
      </c>
      <c r="B872" s="3" t="str">
        <f aca="false">IF(ISNUMBER(SEARCH("%", A872)),RIGHT(A872,3),A872)</f>
        <v>34, 34, MACHOP</v>
      </c>
      <c r="C872" s="1" t="str">
        <f aca="false" t="array" ref="C872:C872">IF(B871="NEW ROUTE",textsplit(B872,","),"")</f>
        <v/>
      </c>
      <c r="H872" s="1" t="str">
        <f aca="false">IF(C872&lt;&gt;"",DEC2HEX(C872,2),"")</f>
        <v/>
      </c>
      <c r="I872" s="1" t="str">
        <f aca="false">IF(D872&lt;&gt;"",DEC2HEX(D872,2),"")</f>
        <v/>
      </c>
      <c r="J872" s="1" t="str">
        <f aca="false">IF(H872&lt;&gt;"","0x"&amp;I872&amp;H872,"")</f>
        <v/>
      </c>
      <c r="L872" s="1" t="s">
        <v>3094</v>
      </c>
      <c r="M872" s="1" t="str">
        <f aca="false">IF(J872&lt;&gt;"",J872,L872)</f>
        <v>34, 34, MACHOP</v>
      </c>
    </row>
    <row r="873" customFormat="false" ht="12.75" hidden="false" customHeight="true" outlineLevel="0" collapsed="false">
      <c r="A873" s="3" t="s">
        <v>3090</v>
      </c>
      <c r="B873" s="3" t="str">
        <f aca="false">IF(ISNUMBER(SEARCH("%", A873)),RIGHT(A873,3),A873)</f>
        <v>36, 36, MACHOP</v>
      </c>
      <c r="C873" s="1" t="str">
        <f aca="false" t="array" ref="C873:C873">IF(B872="NEW ROUTE",textsplit(B873,","),"")</f>
        <v/>
      </c>
      <c r="H873" s="1" t="str">
        <f aca="false">IF(C873&lt;&gt;"",DEC2HEX(C873,2),"")</f>
        <v/>
      </c>
      <c r="I873" s="1" t="str">
        <f aca="false">IF(D873&lt;&gt;"",DEC2HEX(D873,2),"")</f>
        <v/>
      </c>
      <c r="J873" s="1" t="str">
        <f aca="false">IF(H873&lt;&gt;"","0x"&amp;I873&amp;H873,"")</f>
        <v/>
      </c>
      <c r="L873" s="1" t="s">
        <v>3090</v>
      </c>
      <c r="M873" s="1" t="str">
        <f aca="false">IF(J873&lt;&gt;"",J873,L873)</f>
        <v>36, 36, MACHOP</v>
      </c>
    </row>
    <row r="874" customFormat="false" ht="12.75" hidden="false" customHeight="true" outlineLevel="0" collapsed="false">
      <c r="A874" s="3" t="s">
        <v>2806</v>
      </c>
      <c r="B874" s="3" t="str">
        <f aca="false">IF(ISNUMBER(SEARCH("%", A874)),RIGHT(A874,3),A874)</f>
        <v>0.05</v>
      </c>
      <c r="C874" s="1" t="str">
        <f aca="false" t="array" ref="C874:C874">IF(B873="NEW ROUTE",textsplit(B874,","),"")</f>
        <v/>
      </c>
      <c r="H874" s="1" t="str">
        <f aca="false">IF(C874&lt;&gt;"",DEC2HEX(C874,2),"")</f>
        <v/>
      </c>
      <c r="I874" s="1" t="str">
        <f aca="false">IF(D874&lt;&gt;"",DEC2HEX(D874,2),"")</f>
        <v/>
      </c>
      <c r="J874" s="1" t="str">
        <f aca="false">IF(H874&lt;&gt;"","0x"&amp;I874&amp;H874,"")</f>
        <v/>
      </c>
      <c r="L874" s="1" t="s">
        <v>2806</v>
      </c>
      <c r="M874" s="1" t="str">
        <f aca="false">IF(J874&lt;&gt;"",J874,L874)</f>
        <v>0.05</v>
      </c>
    </row>
    <row r="875" customFormat="false" ht="12.75" hidden="false" customHeight="true" outlineLevel="0" collapsed="false">
      <c r="A875" s="3" t="s">
        <v>1541</v>
      </c>
      <c r="B875" s="3" t="str">
        <f aca="false">IF(ISNUMBER(SEARCH("%", A875)),RIGHT(A875,3),A875)</f>
        <v>38, 38, GEODUDE</v>
      </c>
      <c r="C875" s="1" t="str">
        <f aca="false" t="array" ref="C875:C875">IF(B874="NEW ROUTE",textsplit(B875,","),"")</f>
        <v/>
      </c>
      <c r="H875" s="1" t="str">
        <f aca="false">IF(C875&lt;&gt;"",DEC2HEX(C875,2),"")</f>
        <v/>
      </c>
      <c r="I875" s="1" t="str">
        <f aca="false">IF(D875&lt;&gt;"",DEC2HEX(D875,2),"")</f>
        <v/>
      </c>
      <c r="J875" s="1" t="str">
        <f aca="false">IF(H875&lt;&gt;"","0x"&amp;I875&amp;H875,"")</f>
        <v/>
      </c>
      <c r="L875" s="1" t="s">
        <v>1541</v>
      </c>
      <c r="M875" s="1" t="str">
        <f aca="false">IF(J875&lt;&gt;"",J875,L875)</f>
        <v>38, 38, GEODUDE</v>
      </c>
    </row>
    <row r="876" customFormat="false" ht="12.75" hidden="false" customHeight="true" outlineLevel="0" collapsed="false">
      <c r="A876" s="3" t="s">
        <v>3096</v>
      </c>
      <c r="B876" s="3" t="str">
        <f aca="false">IF(ISNUMBER(SEARCH("%", A876)),RIGHT(A876,3),A876)</f>
        <v>40, 40, MACHOKE</v>
      </c>
      <c r="C876" s="1" t="str">
        <f aca="false" t="array" ref="C876:C876">IF(B875="NEW ROUTE",textsplit(B876,","),"")</f>
        <v/>
      </c>
      <c r="H876" s="1" t="str">
        <f aca="false">IF(C876&lt;&gt;"",DEC2HEX(C876,2),"")</f>
        <v/>
      </c>
      <c r="I876" s="1" t="str">
        <f aca="false">IF(D876&lt;&gt;"",DEC2HEX(D876,2),"")</f>
        <v/>
      </c>
      <c r="J876" s="1" t="str">
        <f aca="false">IF(H876&lt;&gt;"","0x"&amp;I876&amp;H876,"")</f>
        <v/>
      </c>
      <c r="L876" s="1" t="s">
        <v>3096</v>
      </c>
      <c r="M876" s="1" t="str">
        <f aca="false">IF(J876&lt;&gt;"",J876,L876)</f>
        <v>40, 40, MACHOKE</v>
      </c>
    </row>
    <row r="877" customFormat="false" ht="12.75" hidden="false" customHeight="true" outlineLevel="0" collapsed="false">
      <c r="A877" s="3" t="s">
        <v>2809</v>
      </c>
      <c r="B877" s="3" t="str">
        <f aca="false">IF(ISNUMBER(SEARCH("%", A877)),RIGHT(A877,3),A877)</f>
        <v>0.04</v>
      </c>
      <c r="C877" s="1" t="str">
        <f aca="false" t="array" ref="C877:C877">IF(B876="NEW ROUTE",textsplit(B877,","),"")</f>
        <v/>
      </c>
      <c r="H877" s="1" t="str">
        <f aca="false">IF(C877&lt;&gt;"",DEC2HEX(C877,2),"")</f>
        <v/>
      </c>
      <c r="I877" s="1" t="str">
        <f aca="false">IF(D877&lt;&gt;"",DEC2HEX(D877,2),"")</f>
        <v/>
      </c>
      <c r="J877" s="1" t="str">
        <f aca="false">IF(H877&lt;&gt;"","0x"&amp;I877&amp;H877,"")</f>
        <v/>
      </c>
      <c r="L877" s="1" t="s">
        <v>2809</v>
      </c>
      <c r="M877" s="1" t="str">
        <f aca="false">IF(J877&lt;&gt;"",J877,L877)</f>
        <v>0.04</v>
      </c>
    </row>
    <row r="878" customFormat="false" ht="12.75" hidden="false" customHeight="true" outlineLevel="0" collapsed="false">
      <c r="A878" s="3" t="s">
        <v>1550</v>
      </c>
      <c r="B878" s="3" t="str">
        <f aca="false">IF(ISNUMBER(SEARCH("%", A878)),RIGHT(A878,3),A878)</f>
        <v>40, 40, GEODUDE</v>
      </c>
      <c r="C878" s="1" t="str">
        <f aca="false" t="array" ref="C878:C878">IF(B877="NEW ROUTE",textsplit(B878,","),"")</f>
        <v/>
      </c>
      <c r="H878" s="1" t="str">
        <f aca="false">IF(C878&lt;&gt;"",DEC2HEX(C878,2),"")</f>
        <v/>
      </c>
      <c r="I878" s="1" t="str">
        <f aca="false">IF(D878&lt;&gt;"",DEC2HEX(D878,2),"")</f>
        <v/>
      </c>
      <c r="J878" s="1" t="str">
        <f aca="false">IF(H878&lt;&gt;"","0x"&amp;I878&amp;H878,"")</f>
        <v/>
      </c>
      <c r="L878" s="1" t="s">
        <v>1550</v>
      </c>
      <c r="M878" s="1" t="str">
        <f aca="false">IF(J878&lt;&gt;"",J878,L878)</f>
        <v>40, 40, GEODUDE</v>
      </c>
    </row>
    <row r="879" customFormat="false" ht="12.75" hidden="false" customHeight="true" outlineLevel="0" collapsed="false">
      <c r="A879" s="3" t="s">
        <v>3100</v>
      </c>
      <c r="B879" s="3" t="str">
        <f aca="false">IF(ISNUMBER(SEARCH("%", A879)),RIGHT(A879,3),A879)</f>
        <v>42, 42, MACHOKE</v>
      </c>
      <c r="C879" s="1" t="str">
        <f aca="false" t="array" ref="C879:C879">IF(B878="NEW ROUTE",textsplit(B879,","),"")</f>
        <v/>
      </c>
      <c r="H879" s="1" t="str">
        <f aca="false">IF(C879&lt;&gt;"",DEC2HEX(C879,2),"")</f>
        <v/>
      </c>
      <c r="I879" s="1" t="str">
        <f aca="false">IF(D879&lt;&gt;"",DEC2HEX(D879,2),"")</f>
        <v/>
      </c>
      <c r="J879" s="1" t="str">
        <f aca="false">IF(H879&lt;&gt;"","0x"&amp;I879&amp;H879,"")</f>
        <v/>
      </c>
      <c r="L879" s="1" t="s">
        <v>3100</v>
      </c>
      <c r="M879" s="1" t="str">
        <f aca="false">IF(J879&lt;&gt;"",J879,L879)</f>
        <v>42, 42, MACHOKE</v>
      </c>
    </row>
    <row r="880" customFormat="false" ht="12.75" hidden="false" customHeight="true" outlineLevel="0" collapsed="false">
      <c r="A880" s="3" t="s">
        <v>2812</v>
      </c>
      <c r="B880" s="3" t="str">
        <f aca="false">IF(ISNUMBER(SEARCH("%", A880)),RIGHT(A880,3),A880)</f>
        <v>0.01</v>
      </c>
      <c r="C880" s="1" t="str">
        <f aca="false" t="array" ref="C880:C880">IF(B879="NEW ROUTE",textsplit(B880,","),"")</f>
        <v/>
      </c>
      <c r="H880" s="1" t="str">
        <f aca="false">IF(C880&lt;&gt;"",DEC2HEX(C880,2),"")</f>
        <v/>
      </c>
      <c r="I880" s="1" t="str">
        <f aca="false">IF(D880&lt;&gt;"",DEC2HEX(D880,2),"")</f>
        <v/>
      </c>
      <c r="J880" s="1" t="str">
        <f aca="false">IF(H880&lt;&gt;"","0x"&amp;I880&amp;H880,"")</f>
        <v/>
      </c>
      <c r="L880" s="1" t="s">
        <v>2812</v>
      </c>
      <c r="M880" s="1" t="str">
        <f aca="false">IF(J880&lt;&gt;"",J880,L880)</f>
        <v>0.01</v>
      </c>
    </row>
    <row r="881" customFormat="false" ht="12.75" hidden="false" customHeight="true" outlineLevel="0" collapsed="false">
      <c r="A881" s="3" t="s">
        <v>1550</v>
      </c>
      <c r="B881" s="3" t="str">
        <f aca="false">IF(ISNUMBER(SEARCH("%", A881)),RIGHT(A881,3),A881)</f>
        <v>40, 40, GEODUDE</v>
      </c>
      <c r="C881" s="1" t="str">
        <f aca="false" t="array" ref="C881:C881">IF(B880="NEW ROUTE",textsplit(B881,","),"")</f>
        <v/>
      </c>
      <c r="H881" s="1" t="str">
        <f aca="false">IF(C881&lt;&gt;"",DEC2HEX(C881,2),"")</f>
        <v/>
      </c>
      <c r="I881" s="1" t="str">
        <f aca="false">IF(D881&lt;&gt;"",DEC2HEX(D881,2),"")</f>
        <v/>
      </c>
      <c r="J881" s="1" t="str">
        <f aca="false">IF(H881&lt;&gt;"","0x"&amp;I881&amp;H881,"")</f>
        <v/>
      </c>
      <c r="L881" s="1" t="s">
        <v>1550</v>
      </c>
      <c r="M881" s="1" t="str">
        <f aca="false">IF(J881&lt;&gt;"",J881,L881)</f>
        <v>40, 40, GEODUDE</v>
      </c>
    </row>
    <row r="882" customFormat="false" ht="12.75" hidden="false" customHeight="true" outlineLevel="0" collapsed="false">
      <c r="A882" s="3" t="s">
        <v>3100</v>
      </c>
      <c r="B882" s="3" t="str">
        <f aca="false">IF(ISNUMBER(SEARCH("%", A882)),RIGHT(A882,3),A882)</f>
        <v>42, 42, MACHOKE</v>
      </c>
      <c r="C882" s="1" t="str">
        <f aca="false" t="array" ref="C882:C882">IF(B881="NEW ROUTE",textsplit(B882,","),"")</f>
        <v/>
      </c>
      <c r="H882" s="1" t="str">
        <f aca="false">IF(C882&lt;&gt;"",DEC2HEX(C882,2),"")</f>
        <v/>
      </c>
      <c r="I882" s="1" t="str">
        <f aca="false">IF(D882&lt;&gt;"",DEC2HEX(D882,2),"")</f>
        <v/>
      </c>
      <c r="J882" s="1" t="str">
        <f aca="false">IF(H882&lt;&gt;"","0x"&amp;I882&amp;H882,"")</f>
        <v/>
      </c>
      <c r="L882" s="1" t="s">
        <v>3100</v>
      </c>
      <c r="M882" s="1" t="str">
        <f aca="false">IF(J882&lt;&gt;"",J882,L882)</f>
        <v>42, 42, MACHOKE</v>
      </c>
    </row>
    <row r="883" customFormat="false" ht="12.75" hidden="false" customHeight="true" outlineLevel="0" collapsed="false">
      <c r="A883" s="3" t="s">
        <v>3101</v>
      </c>
      <c r="B883" s="3" t="str">
        <f aca="false">IF(ISNUMBER(SEARCH("%", A883)),RIGHT(A883,3),A883)</f>
        <v>50, 25, 35, GEODUDE</v>
      </c>
      <c r="C883" s="1" t="str">
        <f aca="false" t="array" ref="C883:C883">IF(B882="NEW ROUTE",textsplit(B883,","),"")</f>
        <v/>
      </c>
      <c r="H883" s="1" t="str">
        <f aca="false">IF(C883&lt;&gt;"",DEC2HEX(C883,2),"")</f>
        <v/>
      </c>
      <c r="I883" s="1" t="str">
        <f aca="false">IF(D883&lt;&gt;"",DEC2HEX(D883,2),"")</f>
        <v/>
      </c>
      <c r="J883" s="1" t="str">
        <f aca="false">IF(H883&lt;&gt;"","0x"&amp;I883&amp;H883,"")</f>
        <v/>
      </c>
      <c r="L883" s="1" t="s">
        <v>3101</v>
      </c>
      <c r="M883" s="1" t="str">
        <f aca="false">IF(J883&lt;&gt;"",J883,L883)</f>
        <v>50, 25, 35, GEODUDE</v>
      </c>
    </row>
    <row r="884" customFormat="false" ht="12.75" hidden="false" customHeight="true" outlineLevel="0" collapsed="false">
      <c r="A884" s="3" t="s">
        <v>3102</v>
      </c>
      <c r="B884" s="3" t="str">
        <f aca="false">IF(ISNUMBER(SEARCH("%", A884)),RIGHT(A884,3),A884)</f>
        <v>30, 45, GRAVELER</v>
      </c>
      <c r="C884" s="1" t="str">
        <f aca="false" t="array" ref="C884:C884">IF(B883="NEW ROUTE",textsplit(B884,","),"")</f>
        <v/>
      </c>
      <c r="H884" s="1" t="str">
        <f aca="false">IF(C884&lt;&gt;"",DEC2HEX(C884,2),"")</f>
        <v/>
      </c>
      <c r="I884" s="1" t="str">
        <f aca="false">IF(D884&lt;&gt;"",DEC2HEX(D884,2),"")</f>
        <v/>
      </c>
      <c r="J884" s="1" t="str">
        <f aca="false">IF(H884&lt;&gt;"","0x"&amp;I884&amp;H884,"")</f>
        <v/>
      </c>
      <c r="L884" s="1" t="s">
        <v>3102</v>
      </c>
      <c r="M884" s="1" t="str">
        <f aca="false">IF(J884&lt;&gt;"",J884,L884)</f>
        <v>30, 45, GRAVELER</v>
      </c>
    </row>
    <row r="885" customFormat="false" ht="12.75" hidden="false" customHeight="true" outlineLevel="0" collapsed="false">
      <c r="A885" s="3" t="s">
        <v>3103</v>
      </c>
      <c r="B885" s="3" t="str">
        <f aca="false">IF(ISNUMBER(SEARCH("%", A885)),RIGHT(A885,3),A885)</f>
        <v>35, 50, GRAVELER</v>
      </c>
      <c r="C885" s="1" t="str">
        <f aca="false" t="array" ref="C885:C885">IF(B884="NEW ROUTE",textsplit(B885,","),"")</f>
        <v/>
      </c>
      <c r="H885" s="1" t="str">
        <f aca="false">IF(C885&lt;&gt;"",DEC2HEX(C885,2),"")</f>
        <v/>
      </c>
      <c r="I885" s="1" t="str">
        <f aca="false">IF(D885&lt;&gt;"",DEC2HEX(D885,2),"")</f>
        <v/>
      </c>
      <c r="J885" s="1" t="str">
        <f aca="false">IF(H885&lt;&gt;"","0x"&amp;I885&amp;H885,"")</f>
        <v/>
      </c>
      <c r="L885" s="1" t="s">
        <v>3103</v>
      </c>
      <c r="M885" s="1" t="str">
        <f aca="false">IF(J885&lt;&gt;"",J885,L885)</f>
        <v>35, 50, GRAVELER</v>
      </c>
    </row>
    <row r="886" customFormat="false" ht="12.75" hidden="false" customHeight="true" outlineLevel="0" collapsed="false">
      <c r="A886" s="3" t="s">
        <v>3104</v>
      </c>
      <c r="B886" s="3" t="str">
        <f aca="false">IF(ISNUMBER(SEARCH("%", A886)),RIGHT(A886,3),A886)</f>
        <v>30, 40, GEODUDE</v>
      </c>
      <c r="C886" s="1" t="str">
        <f aca="false" t="array" ref="C886:C886">IF(B885="NEW ROUTE",textsplit(B886,","),"")</f>
        <v/>
      </c>
      <c r="H886" s="1" t="str">
        <f aca="false">IF(C886&lt;&gt;"",DEC2HEX(C886,2),"")</f>
        <v/>
      </c>
      <c r="I886" s="1" t="str">
        <f aca="false">IF(D886&lt;&gt;"",DEC2HEX(D886,2),"")</f>
        <v/>
      </c>
      <c r="J886" s="1" t="str">
        <f aca="false">IF(H886&lt;&gt;"","0x"&amp;I886&amp;H886,"")</f>
        <v/>
      </c>
      <c r="L886" s="1" t="s">
        <v>3104</v>
      </c>
      <c r="M886" s="1" t="str">
        <f aca="false">IF(J886&lt;&gt;"",J886,L886)</f>
        <v>30, 40, GEODUDE</v>
      </c>
    </row>
    <row r="887" customFormat="false" ht="12.75" hidden="false" customHeight="true" outlineLevel="0" collapsed="false">
      <c r="A887" s="3" t="s">
        <v>3105</v>
      </c>
      <c r="B887" s="3" t="str">
        <f aca="false">IF(ISNUMBER(SEARCH("%", A887)),RIGHT(A887,3),A887)</f>
        <v>30, 40, GEODUDE , &lt;null&gt;</v>
      </c>
      <c r="C887" s="1" t="str">
        <f aca="false" t="array" ref="C887:C887">IF(B886="NEW ROUTE",textsplit(B887,","),"")</f>
        <v/>
      </c>
      <c r="H887" s="1" t="str">
        <f aca="false">IF(C887&lt;&gt;"",DEC2HEX(C887,2),"")</f>
        <v/>
      </c>
      <c r="I887" s="1" t="str">
        <f aca="false">IF(D887&lt;&gt;"",DEC2HEX(D887,2),"")</f>
        <v/>
      </c>
      <c r="J887" s="1" t="str">
        <f aca="false">IF(H887&lt;&gt;"","0x"&amp;I887&amp;H887,"")</f>
        <v/>
      </c>
      <c r="L887" s="1" t="s">
        <v>3105</v>
      </c>
      <c r="M887" s="1" t="str">
        <f aca="false">IF(J887&lt;&gt;"",J887,L887)</f>
        <v>30, 40, GEODUDE , &lt;null&gt;</v>
      </c>
    </row>
    <row r="888" customFormat="false" ht="12.75" hidden="false" customHeight="true" outlineLevel="0" collapsed="false">
      <c r="A888" s="3" t="s">
        <v>2536</v>
      </c>
      <c r="B888" s="3" t="str">
        <f aca="false">IF(ISNUMBER(SEARCH("%", A888)),RIGHT(A888,3),A888)</f>
        <v>NEW ROUTE</v>
      </c>
      <c r="C888" s="1" t="str">
        <f aca="false" t="array" ref="C888:C888">IF(B887="NEW ROUTE",textsplit(B888,","),"")</f>
        <v/>
      </c>
      <c r="H888" s="1" t="str">
        <f aca="false">IF(C888&lt;&gt;"",DEC2HEX(C888,2),"")</f>
        <v/>
      </c>
      <c r="I888" s="1" t="str">
        <f aca="false">IF(D888&lt;&gt;"",DEC2HEX(D888,2),"")</f>
        <v/>
      </c>
      <c r="J888" s="1" t="str">
        <f aca="false">IF(H888&lt;&gt;"","0x"&amp;I888&amp;H888,"")</f>
        <v/>
      </c>
      <c r="L888" s="1" t="s">
        <v>2536</v>
      </c>
      <c r="M888" s="1" t="str">
        <f aca="false">IF(J888&lt;&gt;"",J888,L888)</f>
        <v>NEW ROUTE</v>
      </c>
    </row>
    <row r="889" customFormat="false" ht="12.75" hidden="false" customHeight="true" outlineLevel="0" collapsed="false">
      <c r="A889" s="3" t="s">
        <v>3106</v>
      </c>
      <c r="B889" s="3" t="str">
        <f aca="false">IF(ISNUMBER(SEARCH("%", A889)),RIGHT(A889,3),A889)</f>
        <v>1, 104, 0,</v>
      </c>
      <c r="C889" s="1" t="e">
        <f aca="false" t="array" ref="C889:C889">IF(B888="NEW ROUTE",textsplit(B889,","),"")</f>
        <v>#NAME?</v>
      </c>
      <c r="H889" s="1" t="e">
        <f aca="false">IF(C889&lt;&gt;"",DEC2HEX(C889,2),"")</f>
        <v>#NAME?</v>
      </c>
      <c r="I889" s="1" t="str">
        <f aca="false">IF(D889&lt;&gt;"",DEC2HEX(D889,2),"")</f>
        <v/>
      </c>
      <c r="J889" s="1" t="e">
        <f aca="false">IF(H889&lt;&gt;"","0x"&amp;I889&amp;H889,"")</f>
        <v>#NAME?</v>
      </c>
      <c r="L889" s="1" t="s">
        <v>3106</v>
      </c>
      <c r="M889" s="1" t="e">
        <f aca="false">IF(J889&lt;&gt;"",J889,L889)</f>
        <v>#NAME?</v>
      </c>
    </row>
    <row r="890" customFormat="false" ht="12.75" hidden="false" customHeight="true" outlineLevel="0" collapsed="false">
      <c r="A890" s="3" t="s">
        <v>2816</v>
      </c>
      <c r="B890" s="3" t="str">
        <f aca="false">IF(ISNUMBER(SEARCH("%", A890)),RIGHT(A890,3),A890)</f>
        <v>20%</v>
      </c>
      <c r="C890" s="1" t="str">
        <f aca="false" t="array" ref="C890:C890">IF(B889="NEW ROUTE",textsplit(B890,","),"")</f>
        <v/>
      </c>
      <c r="H890" s="1" t="str">
        <f aca="false">IF(C890&lt;&gt;"",DEC2HEX(C890,2),"")</f>
        <v/>
      </c>
      <c r="I890" s="1" t="str">
        <f aca="false">IF(D890&lt;&gt;"",DEC2HEX(D890,2),"")</f>
        <v/>
      </c>
      <c r="J890" s="1" t="str">
        <f aca="false">IF(H890&lt;&gt;"","0x"&amp;I890&amp;H890,"")</f>
        <v/>
      </c>
      <c r="L890" s="1" t="s">
        <v>2799</v>
      </c>
      <c r="M890" s="1" t="str">
        <f aca="false">IF(J890&lt;&gt;"",J890,L890)</f>
        <v>20%</v>
      </c>
    </row>
    <row r="891" customFormat="false" ht="12.75" hidden="false" customHeight="true" outlineLevel="0" collapsed="false">
      <c r="A891" s="3" t="s">
        <v>1541</v>
      </c>
      <c r="B891" s="3" t="str">
        <f aca="false">IF(ISNUMBER(SEARCH("%", A891)),RIGHT(A891,3),A891)</f>
        <v>38, 38, GEODUDE</v>
      </c>
      <c r="C891" s="1" t="str">
        <f aca="false" t="array" ref="C891:C891">IF(B890="NEW ROUTE",textsplit(B891,","),"")</f>
        <v/>
      </c>
      <c r="H891" s="1" t="str">
        <f aca="false">IF(C891&lt;&gt;"",DEC2HEX(C891,2),"")</f>
        <v/>
      </c>
      <c r="I891" s="1" t="str">
        <f aca="false">IF(D891&lt;&gt;"",DEC2HEX(D891,2),"")</f>
        <v/>
      </c>
      <c r="J891" s="1" t="str">
        <f aca="false">IF(H891&lt;&gt;"","0x"&amp;I891&amp;H891,"")</f>
        <v/>
      </c>
      <c r="L891" s="1" t="s">
        <v>1541</v>
      </c>
      <c r="M891" s="1" t="str">
        <f aca="false">IF(J891&lt;&gt;"",J891,L891)</f>
        <v>38, 38, GEODUDE</v>
      </c>
    </row>
    <row r="892" customFormat="false" ht="12.75" hidden="false" customHeight="true" outlineLevel="0" collapsed="false">
      <c r="A892" s="3" t="s">
        <v>1529</v>
      </c>
      <c r="B892" s="3" t="str">
        <f aca="false">IF(ISNUMBER(SEARCH("%", A892)),RIGHT(A892,3),A892)</f>
        <v>36, 36, GEODUDE</v>
      </c>
      <c r="C892" s="1" t="str">
        <f aca="false" t="array" ref="C892:C892">IF(B891="NEW ROUTE",textsplit(B892,","),"")</f>
        <v/>
      </c>
      <c r="H892" s="1" t="str">
        <f aca="false">IF(C892&lt;&gt;"",DEC2HEX(C892,2),"")</f>
        <v/>
      </c>
      <c r="I892" s="1" t="str">
        <f aca="false">IF(D892&lt;&gt;"",DEC2HEX(D892,2),"")</f>
        <v/>
      </c>
      <c r="J892" s="1" t="str">
        <f aca="false">IF(H892&lt;&gt;"","0x"&amp;I892&amp;H892,"")</f>
        <v/>
      </c>
      <c r="L892" s="1" t="s">
        <v>1529</v>
      </c>
      <c r="M892" s="1" t="str">
        <f aca="false">IF(J892&lt;&gt;"",J892,L892)</f>
        <v>36, 36, GEODUDE</v>
      </c>
    </row>
    <row r="893" customFormat="false" ht="12.75" hidden="false" customHeight="true" outlineLevel="0" collapsed="false">
      <c r="A893" s="3" t="s">
        <v>2801</v>
      </c>
      <c r="B893" s="3" t="str">
        <f aca="false">IF(ISNUMBER(SEARCH("%", A893)),RIGHT(A893,3),A893)</f>
        <v>0.1</v>
      </c>
      <c r="C893" s="1" t="str">
        <f aca="false" t="array" ref="C893:C893">IF(B892="NEW ROUTE",textsplit(B893,","),"")</f>
        <v/>
      </c>
      <c r="H893" s="1" t="str">
        <f aca="false">IF(C893&lt;&gt;"",DEC2HEX(C893,2),"")</f>
        <v/>
      </c>
      <c r="I893" s="1" t="str">
        <f aca="false">IF(D893&lt;&gt;"",DEC2HEX(D893,2),"")</f>
        <v/>
      </c>
      <c r="J893" s="1" t="str">
        <f aca="false">IF(H893&lt;&gt;"","0x"&amp;I893&amp;H893,"")</f>
        <v/>
      </c>
      <c r="L893" s="1" t="s">
        <v>2801</v>
      </c>
      <c r="M893" s="1" t="str">
        <f aca="false">IF(J893&lt;&gt;"",J893,L893)</f>
        <v>0.1</v>
      </c>
    </row>
    <row r="894" customFormat="false" ht="12.75" hidden="false" customHeight="true" outlineLevel="0" collapsed="false">
      <c r="A894" s="3" t="s">
        <v>1518</v>
      </c>
      <c r="B894" s="3" t="str">
        <f aca="false">IF(ISNUMBER(SEARCH("%", A894)),RIGHT(A894,3),A894)</f>
        <v>34, 34, GEODUDE</v>
      </c>
      <c r="C894" s="1" t="str">
        <f aca="false" t="array" ref="C894:C894">IF(B893="NEW ROUTE",textsplit(B894,","),"")</f>
        <v/>
      </c>
      <c r="H894" s="1" t="str">
        <f aca="false">IF(C894&lt;&gt;"",DEC2HEX(C894,2),"")</f>
        <v/>
      </c>
      <c r="I894" s="1" t="str">
        <f aca="false">IF(D894&lt;&gt;"",DEC2HEX(D894,2),"")</f>
        <v/>
      </c>
      <c r="J894" s="1" t="str">
        <f aca="false">IF(H894&lt;&gt;"","0x"&amp;I894&amp;H894,"")</f>
        <v/>
      </c>
      <c r="L894" s="1" t="s">
        <v>1518</v>
      </c>
      <c r="M894" s="1" t="str">
        <f aca="false">IF(J894&lt;&gt;"",J894,L894)</f>
        <v>34, 34, GEODUDE</v>
      </c>
    </row>
    <row r="895" customFormat="false" ht="12.75" hidden="false" customHeight="true" outlineLevel="0" collapsed="false">
      <c r="A895" s="3" t="s">
        <v>1550</v>
      </c>
      <c r="B895" s="3" t="str">
        <f aca="false">IF(ISNUMBER(SEARCH("%", A895)),RIGHT(A895,3),A895)</f>
        <v>40, 40, GEODUDE</v>
      </c>
      <c r="C895" s="1" t="str">
        <f aca="false" t="array" ref="C895:C895">IF(B894="NEW ROUTE",textsplit(B895,","),"")</f>
        <v/>
      </c>
      <c r="H895" s="1" t="str">
        <f aca="false">IF(C895&lt;&gt;"",DEC2HEX(C895,2),"")</f>
        <v/>
      </c>
      <c r="I895" s="1" t="str">
        <f aca="false">IF(D895&lt;&gt;"",DEC2HEX(D895,2),"")</f>
        <v/>
      </c>
      <c r="J895" s="1" t="str">
        <f aca="false">IF(H895&lt;&gt;"","0x"&amp;I895&amp;H895,"")</f>
        <v/>
      </c>
      <c r="L895" s="1" t="s">
        <v>1550</v>
      </c>
      <c r="M895" s="1" t="str">
        <f aca="false">IF(J895&lt;&gt;"",J895,L895)</f>
        <v>40, 40, GEODUDE</v>
      </c>
    </row>
    <row r="896" customFormat="false" ht="12.75" hidden="false" customHeight="true" outlineLevel="0" collapsed="false">
      <c r="A896" s="3" t="s">
        <v>3107</v>
      </c>
      <c r="B896" s="3" t="str">
        <f aca="false">IF(ISNUMBER(SEARCH("%", A896)),RIGHT(A896,3),A896)</f>
        <v>24, 24, SLUGMA</v>
      </c>
      <c r="C896" s="1" t="str">
        <f aca="false" t="array" ref="C896:C896">IF(B895="NEW ROUTE",textsplit(B896,","),"")</f>
        <v/>
      </c>
      <c r="H896" s="1" t="str">
        <f aca="false">IF(C896&lt;&gt;"",DEC2HEX(C896,2),"")</f>
        <v/>
      </c>
      <c r="I896" s="1" t="str">
        <f aca="false">IF(D896&lt;&gt;"",DEC2HEX(D896,2),"")</f>
        <v/>
      </c>
      <c r="J896" s="1" t="str">
        <f aca="false">IF(H896&lt;&gt;"","0x"&amp;I896&amp;H896,"")</f>
        <v/>
      </c>
      <c r="L896" s="1" t="s">
        <v>3107</v>
      </c>
      <c r="M896" s="1" t="str">
        <f aca="false">IF(J896&lt;&gt;"",J896,L896)</f>
        <v>24, 24, SLUGMA</v>
      </c>
    </row>
    <row r="897" customFormat="false" ht="12.75" hidden="false" customHeight="true" outlineLevel="0" collapsed="false">
      <c r="A897" s="3" t="s">
        <v>1556</v>
      </c>
      <c r="B897" s="3" t="str">
        <f aca="false">IF(ISNUMBER(SEARCH("%", A897)),RIGHT(A897,3),A897)</f>
        <v>26, 26, SLUGMA</v>
      </c>
      <c r="C897" s="1" t="str">
        <f aca="false" t="array" ref="C897:C897">IF(B896="NEW ROUTE",textsplit(B897,","),"")</f>
        <v/>
      </c>
      <c r="H897" s="1" t="str">
        <f aca="false">IF(C897&lt;&gt;"",DEC2HEX(C897,2),"")</f>
        <v/>
      </c>
      <c r="I897" s="1" t="str">
        <f aca="false">IF(D897&lt;&gt;"",DEC2HEX(D897,2),"")</f>
        <v/>
      </c>
      <c r="J897" s="1" t="str">
        <f aca="false">IF(H897&lt;&gt;"","0x"&amp;I897&amp;H897,"")</f>
        <v/>
      </c>
      <c r="L897" s="1" t="s">
        <v>1556</v>
      </c>
      <c r="M897" s="1" t="str">
        <f aca="false">IF(J897&lt;&gt;"",J897,L897)</f>
        <v>26, 26, SLUGMA</v>
      </c>
    </row>
    <row r="898" customFormat="false" ht="12.75" hidden="false" customHeight="true" outlineLevel="0" collapsed="false">
      <c r="A898" s="3" t="s">
        <v>2806</v>
      </c>
      <c r="B898" s="3" t="str">
        <f aca="false">IF(ISNUMBER(SEARCH("%", A898)),RIGHT(A898,3),A898)</f>
        <v>0.05</v>
      </c>
      <c r="C898" s="1" t="str">
        <f aca="false" t="array" ref="C898:C898">IF(B897="NEW ROUTE",textsplit(B898,","),"")</f>
        <v/>
      </c>
      <c r="H898" s="1" t="str">
        <f aca="false">IF(C898&lt;&gt;"",DEC2HEX(C898,2),"")</f>
        <v/>
      </c>
      <c r="I898" s="1" t="str">
        <f aca="false">IF(D898&lt;&gt;"",DEC2HEX(D898,2),"")</f>
        <v/>
      </c>
      <c r="J898" s="1" t="str">
        <f aca="false">IF(H898&lt;&gt;"","0x"&amp;I898&amp;H898,"")</f>
        <v/>
      </c>
      <c r="L898" s="1" t="s">
        <v>2806</v>
      </c>
      <c r="M898" s="1" t="str">
        <f aca="false">IF(J898&lt;&gt;"",J898,L898)</f>
        <v>0.05</v>
      </c>
    </row>
    <row r="899" customFormat="false" ht="12.75" hidden="false" customHeight="true" outlineLevel="0" collapsed="false">
      <c r="A899" s="3" t="s">
        <v>3108</v>
      </c>
      <c r="B899" s="3" t="str">
        <f aca="false">IF(ISNUMBER(SEARCH("%", A899)),RIGHT(A899,3),A899)</f>
        <v>42, 42, GEODUDE</v>
      </c>
      <c r="C899" s="1" t="str">
        <f aca="false" t="array" ref="C899:C899">IF(B898="NEW ROUTE",textsplit(B899,","),"")</f>
        <v/>
      </c>
      <c r="H899" s="1" t="str">
        <f aca="false">IF(C899&lt;&gt;"",DEC2HEX(C899,2),"")</f>
        <v/>
      </c>
      <c r="I899" s="1" t="str">
        <f aca="false">IF(D899&lt;&gt;"",DEC2HEX(D899,2),"")</f>
        <v/>
      </c>
      <c r="J899" s="1" t="str">
        <f aca="false">IF(H899&lt;&gt;"","0x"&amp;I899&amp;H899,"")</f>
        <v/>
      </c>
      <c r="L899" s="1" t="s">
        <v>3108</v>
      </c>
      <c r="M899" s="1" t="str">
        <f aca="false">IF(J899&lt;&gt;"",J899,L899)</f>
        <v>42, 42, GEODUDE</v>
      </c>
    </row>
    <row r="900" customFormat="false" ht="12.75" hidden="false" customHeight="true" outlineLevel="0" collapsed="false">
      <c r="A900" s="3" t="s">
        <v>3109</v>
      </c>
      <c r="B900" s="3" t="str">
        <f aca="false">IF(ISNUMBER(SEARCH("%", A900)),RIGHT(A900,3),A900)</f>
        <v>28, 28, SLUGMA</v>
      </c>
      <c r="C900" s="1" t="str">
        <f aca="false" t="array" ref="C900:C900">IF(B899="NEW ROUTE",textsplit(B900,","),"")</f>
        <v/>
      </c>
      <c r="H900" s="1" t="str">
        <f aca="false">IF(C900&lt;&gt;"",DEC2HEX(C900,2),"")</f>
        <v/>
      </c>
      <c r="I900" s="1" t="str">
        <f aca="false">IF(D900&lt;&gt;"",DEC2HEX(D900,2),"")</f>
        <v/>
      </c>
      <c r="J900" s="1" t="str">
        <f aca="false">IF(H900&lt;&gt;"","0x"&amp;I900&amp;H900,"")</f>
        <v/>
      </c>
      <c r="L900" s="1" t="s">
        <v>3109</v>
      </c>
      <c r="M900" s="1" t="str">
        <f aca="false">IF(J900&lt;&gt;"",J900,L900)</f>
        <v>28, 28, SLUGMA</v>
      </c>
    </row>
    <row r="901" customFormat="false" ht="12.75" hidden="false" customHeight="true" outlineLevel="0" collapsed="false">
      <c r="A901" s="3" t="s">
        <v>2809</v>
      </c>
      <c r="B901" s="3" t="str">
        <f aca="false">IF(ISNUMBER(SEARCH("%", A901)),RIGHT(A901,3),A901)</f>
        <v>0.04</v>
      </c>
      <c r="C901" s="1" t="str">
        <f aca="false" t="array" ref="C901:C901">IF(B900="NEW ROUTE",textsplit(B901,","),"")</f>
        <v/>
      </c>
      <c r="H901" s="1" t="str">
        <f aca="false">IF(C901&lt;&gt;"",DEC2HEX(C901,2),"")</f>
        <v/>
      </c>
      <c r="I901" s="1" t="str">
        <f aca="false">IF(D901&lt;&gt;"",DEC2HEX(D901,2),"")</f>
        <v/>
      </c>
      <c r="J901" s="1" t="str">
        <f aca="false">IF(H901&lt;&gt;"","0x"&amp;I901&amp;H901,"")</f>
        <v/>
      </c>
      <c r="L901" s="1" t="s">
        <v>2809</v>
      </c>
      <c r="M901" s="1" t="str">
        <f aca="false">IF(J901&lt;&gt;"",J901,L901)</f>
        <v>0.04</v>
      </c>
    </row>
    <row r="902" customFormat="false" ht="12.75" hidden="false" customHeight="true" outlineLevel="0" collapsed="false">
      <c r="A902" s="3" t="s">
        <v>3108</v>
      </c>
      <c r="B902" s="3" t="str">
        <f aca="false">IF(ISNUMBER(SEARCH("%", A902)),RIGHT(A902,3),A902)</f>
        <v>42, 42, GEODUDE</v>
      </c>
      <c r="C902" s="1" t="str">
        <f aca="false" t="array" ref="C902:C902">IF(B901="NEW ROUTE",textsplit(B902,","),"")</f>
        <v/>
      </c>
      <c r="H902" s="1" t="str">
        <f aca="false">IF(C902&lt;&gt;"",DEC2HEX(C902,2),"")</f>
        <v/>
      </c>
      <c r="I902" s="1" t="str">
        <f aca="false">IF(D902&lt;&gt;"",DEC2HEX(D902,2),"")</f>
        <v/>
      </c>
      <c r="J902" s="1" t="str">
        <f aca="false">IF(H902&lt;&gt;"","0x"&amp;I902&amp;H902,"")</f>
        <v/>
      </c>
      <c r="L902" s="1" t="s">
        <v>3108</v>
      </c>
      <c r="M902" s="1" t="str">
        <f aca="false">IF(J902&lt;&gt;"",J902,L902)</f>
        <v>42, 42, GEODUDE</v>
      </c>
    </row>
    <row r="903" customFormat="false" ht="12.75" hidden="false" customHeight="true" outlineLevel="0" collapsed="false">
      <c r="A903" s="3" t="s">
        <v>3110</v>
      </c>
      <c r="B903" s="3" t="str">
        <f aca="false">IF(ISNUMBER(SEARCH("%", A903)),RIGHT(A903,3),A903)</f>
        <v>30, 30, SLUGMA</v>
      </c>
      <c r="C903" s="1" t="str">
        <f aca="false" t="array" ref="C903:C903">IF(B902="NEW ROUTE",textsplit(B903,","),"")</f>
        <v/>
      </c>
      <c r="H903" s="1" t="str">
        <f aca="false">IF(C903&lt;&gt;"",DEC2HEX(C903,2),"")</f>
        <v/>
      </c>
      <c r="I903" s="1" t="str">
        <f aca="false">IF(D903&lt;&gt;"",DEC2HEX(D903,2),"")</f>
        <v/>
      </c>
      <c r="J903" s="1" t="str">
        <f aca="false">IF(H903&lt;&gt;"","0x"&amp;I903&amp;H903,"")</f>
        <v/>
      </c>
      <c r="L903" s="1" t="s">
        <v>3110</v>
      </c>
      <c r="M903" s="1" t="str">
        <f aca="false">IF(J903&lt;&gt;"",J903,L903)</f>
        <v>30, 30, SLUGMA</v>
      </c>
    </row>
    <row r="904" customFormat="false" ht="12.75" hidden="false" customHeight="true" outlineLevel="0" collapsed="false">
      <c r="A904" s="3" t="s">
        <v>2812</v>
      </c>
      <c r="B904" s="3" t="str">
        <f aca="false">IF(ISNUMBER(SEARCH("%", A904)),RIGHT(A904,3),A904)</f>
        <v>0.01</v>
      </c>
      <c r="C904" s="1" t="str">
        <f aca="false" t="array" ref="C904:C904">IF(B903="NEW ROUTE",textsplit(B904,","),"")</f>
        <v/>
      </c>
      <c r="H904" s="1" t="str">
        <f aca="false">IF(C904&lt;&gt;"",DEC2HEX(C904,2),"")</f>
        <v/>
      </c>
      <c r="I904" s="1" t="str">
        <f aca="false">IF(D904&lt;&gt;"",DEC2HEX(D904,2),"")</f>
        <v/>
      </c>
      <c r="J904" s="1" t="str">
        <f aca="false">IF(H904&lt;&gt;"","0x"&amp;I904&amp;H904,"")</f>
        <v/>
      </c>
      <c r="L904" s="1" t="s">
        <v>2812</v>
      </c>
      <c r="M904" s="1" t="str">
        <f aca="false">IF(J904&lt;&gt;"",J904,L904)</f>
        <v>0.01</v>
      </c>
    </row>
    <row r="905" customFormat="false" ht="12.75" hidden="false" customHeight="true" outlineLevel="0" collapsed="false">
      <c r="A905" s="3" t="s">
        <v>3108</v>
      </c>
      <c r="B905" s="3" t="str">
        <f aca="false">IF(ISNUMBER(SEARCH("%", A905)),RIGHT(A905,3),A905)</f>
        <v>42, 42, GEODUDE</v>
      </c>
      <c r="C905" s="1" t="str">
        <f aca="false" t="array" ref="C905:C905">IF(B904="NEW ROUTE",textsplit(B905,","),"")</f>
        <v/>
      </c>
      <c r="H905" s="1" t="str">
        <f aca="false">IF(C905&lt;&gt;"",DEC2HEX(C905,2),"")</f>
        <v/>
      </c>
      <c r="I905" s="1" t="str">
        <f aca="false">IF(D905&lt;&gt;"",DEC2HEX(D905,2),"")</f>
        <v/>
      </c>
      <c r="J905" s="1" t="str">
        <f aca="false">IF(H905&lt;&gt;"","0x"&amp;I905&amp;H905,"")</f>
        <v/>
      </c>
      <c r="L905" s="1" t="s">
        <v>3108</v>
      </c>
      <c r="M905" s="1" t="str">
        <f aca="false">IF(J905&lt;&gt;"",J905,L905)</f>
        <v>42, 42, GEODUDE</v>
      </c>
    </row>
    <row r="906" customFormat="false" ht="12.75" hidden="false" customHeight="true" outlineLevel="0" collapsed="false">
      <c r="A906" s="3" t="s">
        <v>3110</v>
      </c>
      <c r="B906" s="3" t="str">
        <f aca="false">IF(ISNUMBER(SEARCH("%", A906)),RIGHT(A906,3),A906)</f>
        <v>30, 30, SLUGMA</v>
      </c>
      <c r="C906" s="1" t="str">
        <f aca="false" t="array" ref="C906:C906">IF(B905="NEW ROUTE",textsplit(B906,","),"")</f>
        <v/>
      </c>
      <c r="H906" s="1" t="str">
        <f aca="false">IF(C906&lt;&gt;"",DEC2HEX(C906,2),"")</f>
        <v/>
      </c>
      <c r="I906" s="1" t="str">
        <f aca="false">IF(D906&lt;&gt;"",DEC2HEX(D906,2),"")</f>
        <v/>
      </c>
      <c r="J906" s="1" t="str">
        <f aca="false">IF(H906&lt;&gt;"","0x"&amp;I906&amp;H906,"")</f>
        <v/>
      </c>
      <c r="L906" s="1" t="s">
        <v>3110</v>
      </c>
      <c r="M906" s="1" t="str">
        <f aca="false">IF(J906&lt;&gt;"",J906,L906)</f>
        <v>30, 30, SLUGMA</v>
      </c>
    </row>
    <row r="907" customFormat="false" ht="12.75" hidden="false" customHeight="true" outlineLevel="0" collapsed="false">
      <c r="A907" s="3" t="s">
        <v>3101</v>
      </c>
      <c r="B907" s="3" t="str">
        <f aca="false">IF(ISNUMBER(SEARCH("%", A907)),RIGHT(A907,3),A907)</f>
        <v>50, 25, 35, GEODUDE</v>
      </c>
      <c r="C907" s="1" t="str">
        <f aca="false" t="array" ref="C907:C907">IF(B906="NEW ROUTE",textsplit(B907,","),"")</f>
        <v/>
      </c>
      <c r="H907" s="1" t="str">
        <f aca="false">IF(C907&lt;&gt;"",DEC2HEX(C907,2),"")</f>
        <v/>
      </c>
      <c r="I907" s="1" t="str">
        <f aca="false">IF(D907&lt;&gt;"",DEC2HEX(D907,2),"")</f>
        <v/>
      </c>
      <c r="J907" s="1" t="str">
        <f aca="false">IF(H907&lt;&gt;"","0x"&amp;I907&amp;H907,"")</f>
        <v/>
      </c>
      <c r="L907" s="1" t="s">
        <v>3101</v>
      </c>
      <c r="M907" s="1" t="str">
        <f aca="false">IF(J907&lt;&gt;"",J907,L907)</f>
        <v>50, 25, 35, GEODUDE</v>
      </c>
    </row>
    <row r="908" customFormat="false" ht="12.75" hidden="false" customHeight="true" outlineLevel="0" collapsed="false">
      <c r="A908" s="3" t="s">
        <v>3102</v>
      </c>
      <c r="B908" s="3" t="str">
        <f aca="false">IF(ISNUMBER(SEARCH("%", A908)),RIGHT(A908,3),A908)</f>
        <v>30, 45, GRAVELER</v>
      </c>
      <c r="C908" s="1" t="str">
        <f aca="false" t="array" ref="C908:C908">IF(B907="NEW ROUTE",textsplit(B908,","),"")</f>
        <v/>
      </c>
      <c r="H908" s="1" t="str">
        <f aca="false">IF(C908&lt;&gt;"",DEC2HEX(C908,2),"")</f>
        <v/>
      </c>
      <c r="I908" s="1" t="str">
        <f aca="false">IF(D908&lt;&gt;"",DEC2HEX(D908,2),"")</f>
        <v/>
      </c>
      <c r="J908" s="1" t="str">
        <f aca="false">IF(H908&lt;&gt;"","0x"&amp;I908&amp;H908,"")</f>
        <v/>
      </c>
      <c r="L908" s="1" t="s">
        <v>3102</v>
      </c>
      <c r="M908" s="1" t="str">
        <f aca="false">IF(J908&lt;&gt;"",J908,L908)</f>
        <v>30, 45, GRAVELER</v>
      </c>
    </row>
    <row r="909" customFormat="false" ht="12.75" hidden="false" customHeight="true" outlineLevel="0" collapsed="false">
      <c r="A909" s="3" t="s">
        <v>3103</v>
      </c>
      <c r="B909" s="3" t="str">
        <f aca="false">IF(ISNUMBER(SEARCH("%", A909)),RIGHT(A909,3),A909)</f>
        <v>35, 50, GRAVELER</v>
      </c>
      <c r="C909" s="1" t="str">
        <f aca="false" t="array" ref="C909:C909">IF(B908="NEW ROUTE",textsplit(B909,","),"")</f>
        <v/>
      </c>
      <c r="H909" s="1" t="str">
        <f aca="false">IF(C909&lt;&gt;"",DEC2HEX(C909,2),"")</f>
        <v/>
      </c>
      <c r="I909" s="1" t="str">
        <f aca="false">IF(D909&lt;&gt;"",DEC2HEX(D909,2),"")</f>
        <v/>
      </c>
      <c r="J909" s="1" t="str">
        <f aca="false">IF(H909&lt;&gt;"","0x"&amp;I909&amp;H909,"")</f>
        <v/>
      </c>
      <c r="L909" s="1" t="s">
        <v>3103</v>
      </c>
      <c r="M909" s="1" t="str">
        <f aca="false">IF(J909&lt;&gt;"",J909,L909)</f>
        <v>35, 50, GRAVELER</v>
      </c>
    </row>
    <row r="910" customFormat="false" ht="12.75" hidden="false" customHeight="true" outlineLevel="0" collapsed="false">
      <c r="A910" s="3" t="s">
        <v>3104</v>
      </c>
      <c r="B910" s="3" t="str">
        <f aca="false">IF(ISNUMBER(SEARCH("%", A910)),RIGHT(A910,3),A910)</f>
        <v>30, 40, GEODUDE</v>
      </c>
      <c r="C910" s="1" t="str">
        <f aca="false" t="array" ref="C910:C910">IF(B909="NEW ROUTE",textsplit(B910,","),"")</f>
        <v/>
      </c>
      <c r="H910" s="1" t="str">
        <f aca="false">IF(C910&lt;&gt;"",DEC2HEX(C910,2),"")</f>
        <v/>
      </c>
      <c r="I910" s="1" t="str">
        <f aca="false">IF(D910&lt;&gt;"",DEC2HEX(D910,2),"")</f>
        <v/>
      </c>
      <c r="J910" s="1" t="str">
        <f aca="false">IF(H910&lt;&gt;"","0x"&amp;I910&amp;H910,"")</f>
        <v/>
      </c>
      <c r="L910" s="1" t="s">
        <v>3104</v>
      </c>
      <c r="M910" s="1" t="str">
        <f aca="false">IF(J910&lt;&gt;"",J910,L910)</f>
        <v>30, 40, GEODUDE</v>
      </c>
    </row>
    <row r="911" customFormat="false" ht="12.75" hidden="false" customHeight="true" outlineLevel="0" collapsed="false">
      <c r="A911" s="3" t="s">
        <v>3105</v>
      </c>
      <c r="B911" s="3" t="str">
        <f aca="false">IF(ISNUMBER(SEARCH("%", A911)),RIGHT(A911,3),A911)</f>
        <v>30, 40, GEODUDE , &lt;null&gt;</v>
      </c>
      <c r="C911" s="1" t="str">
        <f aca="false" t="array" ref="C911:C911">IF(B910="NEW ROUTE",textsplit(B911,","),"")</f>
        <v/>
      </c>
      <c r="H911" s="1" t="str">
        <f aca="false">IF(C911&lt;&gt;"",DEC2HEX(C911,2),"")</f>
        <v/>
      </c>
      <c r="I911" s="1" t="str">
        <f aca="false">IF(D911&lt;&gt;"",DEC2HEX(D911,2),"")</f>
        <v/>
      </c>
      <c r="J911" s="1" t="str">
        <f aca="false">IF(H911&lt;&gt;"","0x"&amp;I911&amp;H911,"")</f>
        <v/>
      </c>
      <c r="L911" s="1" t="s">
        <v>3105</v>
      </c>
      <c r="M911" s="1" t="str">
        <f aca="false">IF(J911&lt;&gt;"",J911,L911)</f>
        <v>30, 40, GEODUDE , &lt;null&gt;</v>
      </c>
    </row>
    <row r="912" customFormat="false" ht="12.75" hidden="false" customHeight="true" outlineLevel="0" collapsed="false">
      <c r="A912" s="3" t="s">
        <v>2536</v>
      </c>
      <c r="B912" s="3" t="str">
        <f aca="false">IF(ISNUMBER(SEARCH("%", A912)),RIGHT(A912,3),A912)</f>
        <v>NEW ROUTE</v>
      </c>
      <c r="C912" s="1" t="str">
        <f aca="false" t="array" ref="C912:C912">IF(B911="NEW ROUTE",textsplit(B912,","),"")</f>
        <v/>
      </c>
      <c r="H912" s="1" t="str">
        <f aca="false">IF(C912&lt;&gt;"",DEC2HEX(C912,2),"")</f>
        <v/>
      </c>
      <c r="I912" s="1" t="str">
        <f aca="false">IF(D912&lt;&gt;"",DEC2HEX(D912,2),"")</f>
        <v/>
      </c>
      <c r="J912" s="1" t="str">
        <f aca="false">IF(H912&lt;&gt;"","0x"&amp;I912&amp;H912,"")</f>
        <v/>
      </c>
      <c r="L912" s="1" t="s">
        <v>2536</v>
      </c>
      <c r="M912" s="1" t="str">
        <f aca="false">IF(J912&lt;&gt;"",J912,L912)</f>
        <v>NEW ROUTE</v>
      </c>
    </row>
    <row r="913" customFormat="false" ht="12.75" hidden="false" customHeight="true" outlineLevel="0" collapsed="false">
      <c r="A913" s="3" t="s">
        <v>3111</v>
      </c>
      <c r="B913" s="3" t="str">
        <f aca="false">IF(ISNUMBER(SEARCH("%", A913)),RIGHT(A913,3),A913)</f>
        <v>1, 105, 0,</v>
      </c>
      <c r="C913" s="1" t="e">
        <f aca="false" t="array" ref="C913:C913">IF(B912="NEW ROUTE",textsplit(B913,","),"")</f>
        <v>#NAME?</v>
      </c>
      <c r="H913" s="1" t="e">
        <f aca="false">IF(C913&lt;&gt;"",DEC2HEX(C913,2),"")</f>
        <v>#NAME?</v>
      </c>
      <c r="I913" s="1" t="str">
        <f aca="false">IF(D913&lt;&gt;"",DEC2HEX(D913,2),"")</f>
        <v/>
      </c>
      <c r="J913" s="1" t="e">
        <f aca="false">IF(H913&lt;&gt;"","0x"&amp;I913&amp;H913,"")</f>
        <v>#NAME?</v>
      </c>
      <c r="L913" s="1" t="s">
        <v>3111</v>
      </c>
      <c r="M913" s="1" t="e">
        <f aca="false">IF(J913&lt;&gt;"",J913,L913)</f>
        <v>#NAME?</v>
      </c>
    </row>
    <row r="914" customFormat="false" ht="12.75" hidden="false" customHeight="true" outlineLevel="0" collapsed="false">
      <c r="A914" s="3" t="s">
        <v>2816</v>
      </c>
      <c r="B914" s="3" t="str">
        <f aca="false">IF(ISNUMBER(SEARCH("%", A914)),RIGHT(A914,3),A914)</f>
        <v>20%</v>
      </c>
      <c r="C914" s="1" t="str">
        <f aca="false" t="array" ref="C914:C914">IF(B913="NEW ROUTE",textsplit(B914,","),"")</f>
        <v/>
      </c>
      <c r="H914" s="1" t="str">
        <f aca="false">IF(C914&lt;&gt;"",DEC2HEX(C914,2),"")</f>
        <v/>
      </c>
      <c r="I914" s="1" t="str">
        <f aca="false">IF(D914&lt;&gt;"",DEC2HEX(D914,2),"")</f>
        <v/>
      </c>
      <c r="J914" s="1" t="str">
        <f aca="false">IF(H914&lt;&gt;"","0x"&amp;I914&amp;H914,"")</f>
        <v/>
      </c>
      <c r="L914" s="1" t="s">
        <v>2799</v>
      </c>
      <c r="M914" s="1" t="str">
        <f aca="false">IF(J914&lt;&gt;"",J914,L914)</f>
        <v>20%</v>
      </c>
    </row>
    <row r="915" customFormat="false" ht="12.75" hidden="false" customHeight="true" outlineLevel="0" collapsed="false">
      <c r="A915" s="3" t="s">
        <v>1550</v>
      </c>
      <c r="B915" s="3" t="str">
        <f aca="false">IF(ISNUMBER(SEARCH("%", A915)),RIGHT(A915,3),A915)</f>
        <v>40, 40, GEODUDE</v>
      </c>
      <c r="C915" s="1" t="str">
        <f aca="false" t="array" ref="C915:C915">IF(B914="NEW ROUTE",textsplit(B915,","),"")</f>
        <v/>
      </c>
      <c r="H915" s="1" t="str">
        <f aca="false">IF(C915&lt;&gt;"",DEC2HEX(C915,2),"")</f>
        <v/>
      </c>
      <c r="I915" s="1" t="str">
        <f aca="false">IF(D915&lt;&gt;"",DEC2HEX(D915,2),"")</f>
        <v/>
      </c>
      <c r="J915" s="1" t="str">
        <f aca="false">IF(H915&lt;&gt;"","0x"&amp;I915&amp;H915,"")</f>
        <v/>
      </c>
      <c r="L915" s="1" t="s">
        <v>1550</v>
      </c>
      <c r="M915" s="1" t="str">
        <f aca="false">IF(J915&lt;&gt;"",J915,L915)</f>
        <v>40, 40, GEODUDE</v>
      </c>
    </row>
    <row r="916" customFormat="false" ht="12.75" hidden="false" customHeight="true" outlineLevel="0" collapsed="false">
      <c r="A916" s="3" t="s">
        <v>1556</v>
      </c>
      <c r="B916" s="3" t="str">
        <f aca="false">IF(ISNUMBER(SEARCH("%", A916)),RIGHT(A916,3),A916)</f>
        <v>26, 26, SLUGMA</v>
      </c>
      <c r="C916" s="1" t="str">
        <f aca="false" t="array" ref="C916:C916">IF(B915="NEW ROUTE",textsplit(B916,","),"")</f>
        <v/>
      </c>
      <c r="H916" s="1" t="str">
        <f aca="false">IF(C916&lt;&gt;"",DEC2HEX(C916,2),"")</f>
        <v/>
      </c>
      <c r="I916" s="1" t="str">
        <f aca="false">IF(D916&lt;&gt;"",DEC2HEX(D916,2),"")</f>
        <v/>
      </c>
      <c r="J916" s="1" t="str">
        <f aca="false">IF(H916&lt;&gt;"","0x"&amp;I916&amp;H916,"")</f>
        <v/>
      </c>
      <c r="L916" s="1" t="s">
        <v>1556</v>
      </c>
      <c r="M916" s="1" t="str">
        <f aca="false">IF(J916&lt;&gt;"",J916,L916)</f>
        <v>26, 26, SLUGMA</v>
      </c>
    </row>
    <row r="917" customFormat="false" ht="12.75" hidden="false" customHeight="true" outlineLevel="0" collapsed="false">
      <c r="A917" s="3" t="s">
        <v>2801</v>
      </c>
      <c r="B917" s="3" t="str">
        <f aca="false">IF(ISNUMBER(SEARCH("%", A917)),RIGHT(A917,3),A917)</f>
        <v>0.1</v>
      </c>
      <c r="C917" s="1" t="str">
        <f aca="false" t="array" ref="C917:C917">IF(B916="NEW ROUTE",textsplit(B917,","),"")</f>
        <v/>
      </c>
      <c r="H917" s="1" t="str">
        <f aca="false">IF(C917&lt;&gt;"",DEC2HEX(C917,2),"")</f>
        <v/>
      </c>
      <c r="I917" s="1" t="str">
        <f aca="false">IF(D917&lt;&gt;"",DEC2HEX(D917,2),"")</f>
        <v/>
      </c>
      <c r="J917" s="1" t="str">
        <f aca="false">IF(H917&lt;&gt;"","0x"&amp;I917&amp;H917,"")</f>
        <v/>
      </c>
      <c r="L917" s="1" t="s">
        <v>2801</v>
      </c>
      <c r="M917" s="1" t="str">
        <f aca="false">IF(J917&lt;&gt;"",J917,L917)</f>
        <v>0.1</v>
      </c>
    </row>
    <row r="918" customFormat="false" ht="12.75" hidden="false" customHeight="true" outlineLevel="0" collapsed="false">
      <c r="A918" s="3" t="s">
        <v>3108</v>
      </c>
      <c r="B918" s="3" t="str">
        <f aca="false">IF(ISNUMBER(SEARCH("%", A918)),RIGHT(A918,3),A918)</f>
        <v>42, 42, GEODUDE</v>
      </c>
      <c r="C918" s="1" t="str">
        <f aca="false" t="array" ref="C918:C918">IF(B917="NEW ROUTE",textsplit(B918,","),"")</f>
        <v/>
      </c>
      <c r="H918" s="1" t="str">
        <f aca="false">IF(C918&lt;&gt;"",DEC2HEX(C918,2),"")</f>
        <v/>
      </c>
      <c r="I918" s="1" t="str">
        <f aca="false">IF(D918&lt;&gt;"",DEC2HEX(D918,2),"")</f>
        <v/>
      </c>
      <c r="J918" s="1" t="str">
        <f aca="false">IF(H918&lt;&gt;"","0x"&amp;I918&amp;H918,"")</f>
        <v/>
      </c>
      <c r="L918" s="1" t="s">
        <v>3108</v>
      </c>
      <c r="M918" s="1" t="str">
        <f aca="false">IF(J918&lt;&gt;"",J918,L918)</f>
        <v>42, 42, GEODUDE</v>
      </c>
    </row>
    <row r="919" customFormat="false" ht="12.75" hidden="false" customHeight="true" outlineLevel="0" collapsed="false">
      <c r="A919" s="3" t="s">
        <v>3107</v>
      </c>
      <c r="B919" s="3" t="str">
        <f aca="false">IF(ISNUMBER(SEARCH("%", A919)),RIGHT(A919,3),A919)</f>
        <v>24, 24, SLUGMA</v>
      </c>
      <c r="C919" s="1" t="str">
        <f aca="false" t="array" ref="C919:C919">IF(B918="NEW ROUTE",textsplit(B919,","),"")</f>
        <v/>
      </c>
      <c r="H919" s="1" t="str">
        <f aca="false">IF(C919&lt;&gt;"",DEC2HEX(C919,2),"")</f>
        <v/>
      </c>
      <c r="I919" s="1" t="str">
        <f aca="false">IF(D919&lt;&gt;"",DEC2HEX(D919,2),"")</f>
        <v/>
      </c>
      <c r="J919" s="1" t="str">
        <f aca="false">IF(H919&lt;&gt;"","0x"&amp;I919&amp;H919,"")</f>
        <v/>
      </c>
      <c r="L919" s="1" t="s">
        <v>3107</v>
      </c>
      <c r="M919" s="1" t="str">
        <f aca="false">IF(J919&lt;&gt;"",J919,L919)</f>
        <v>24, 24, SLUGMA</v>
      </c>
    </row>
    <row r="920" customFormat="false" ht="12.75" hidden="false" customHeight="true" outlineLevel="0" collapsed="false">
      <c r="A920" s="3" t="s">
        <v>3109</v>
      </c>
      <c r="B920" s="3" t="str">
        <f aca="false">IF(ISNUMBER(SEARCH("%", A920)),RIGHT(A920,3),A920)</f>
        <v>28, 28, SLUGMA</v>
      </c>
      <c r="C920" s="1" t="str">
        <f aca="false" t="array" ref="C920:C920">IF(B919="NEW ROUTE",textsplit(B920,","),"")</f>
        <v/>
      </c>
      <c r="H920" s="1" t="str">
        <f aca="false">IF(C920&lt;&gt;"",DEC2HEX(C920,2),"")</f>
        <v/>
      </c>
      <c r="I920" s="1" t="str">
        <f aca="false">IF(D920&lt;&gt;"",DEC2HEX(D920,2),"")</f>
        <v/>
      </c>
      <c r="J920" s="1" t="str">
        <f aca="false">IF(H920&lt;&gt;"","0x"&amp;I920&amp;H920,"")</f>
        <v/>
      </c>
      <c r="L920" s="1" t="s">
        <v>3109</v>
      </c>
      <c r="M920" s="1" t="str">
        <f aca="false">IF(J920&lt;&gt;"",J920,L920)</f>
        <v>28, 28, SLUGMA</v>
      </c>
    </row>
    <row r="921" customFormat="false" ht="12.75" hidden="false" customHeight="true" outlineLevel="0" collapsed="false">
      <c r="A921" s="3" t="s">
        <v>3110</v>
      </c>
      <c r="B921" s="3" t="str">
        <f aca="false">IF(ISNUMBER(SEARCH("%", A921)),RIGHT(A921,3),A921)</f>
        <v>30, 30, SLUGMA</v>
      </c>
      <c r="C921" s="1" t="str">
        <f aca="false" t="array" ref="C921:C921">IF(B920="NEW ROUTE",textsplit(B921,","),"")</f>
        <v/>
      </c>
      <c r="H921" s="1" t="str">
        <f aca="false">IF(C921&lt;&gt;"",DEC2HEX(C921,2),"")</f>
        <v/>
      </c>
      <c r="I921" s="1" t="str">
        <f aca="false">IF(D921&lt;&gt;"",DEC2HEX(D921,2),"")</f>
        <v/>
      </c>
      <c r="J921" s="1" t="str">
        <f aca="false">IF(H921&lt;&gt;"","0x"&amp;I921&amp;H921,"")</f>
        <v/>
      </c>
      <c r="L921" s="1" t="s">
        <v>3110</v>
      </c>
      <c r="M921" s="1" t="str">
        <f aca="false">IF(J921&lt;&gt;"",J921,L921)</f>
        <v>30, 30, SLUGMA</v>
      </c>
    </row>
    <row r="922" customFormat="false" ht="12.75" hidden="false" customHeight="true" outlineLevel="0" collapsed="false">
      <c r="A922" s="3" t="s">
        <v>2806</v>
      </c>
      <c r="B922" s="3" t="str">
        <f aca="false">IF(ISNUMBER(SEARCH("%", A922)),RIGHT(A922,3),A922)</f>
        <v>0.05</v>
      </c>
      <c r="C922" s="1" t="str">
        <f aca="false" t="array" ref="C922:C922">IF(B921="NEW ROUTE",textsplit(B922,","),"")</f>
        <v/>
      </c>
      <c r="H922" s="1" t="str">
        <f aca="false">IF(C922&lt;&gt;"",DEC2HEX(C922,2),"")</f>
        <v/>
      </c>
      <c r="I922" s="1" t="str">
        <f aca="false">IF(D922&lt;&gt;"",DEC2HEX(D922,2),"")</f>
        <v/>
      </c>
      <c r="J922" s="1" t="str">
        <f aca="false">IF(H922&lt;&gt;"","0x"&amp;I922&amp;H922,"")</f>
        <v/>
      </c>
      <c r="L922" s="1" t="s">
        <v>2806</v>
      </c>
      <c r="M922" s="1" t="str">
        <f aca="false">IF(J922&lt;&gt;"",J922,L922)</f>
        <v>0.05</v>
      </c>
    </row>
    <row r="923" customFormat="false" ht="12.75" hidden="false" customHeight="true" outlineLevel="0" collapsed="false">
      <c r="A923" s="3" t="s">
        <v>3112</v>
      </c>
      <c r="B923" s="3" t="str">
        <f aca="false">IF(ISNUMBER(SEARCH("%", A923)),RIGHT(A923,3),A923)</f>
        <v>44, 44, GEODUDE</v>
      </c>
      <c r="C923" s="1" t="str">
        <f aca="false" t="array" ref="C923:C923">IF(B922="NEW ROUTE",textsplit(B923,","),"")</f>
        <v/>
      </c>
      <c r="H923" s="1" t="str">
        <f aca="false">IF(C923&lt;&gt;"",DEC2HEX(C923,2),"")</f>
        <v/>
      </c>
      <c r="I923" s="1" t="str">
        <f aca="false">IF(D923&lt;&gt;"",DEC2HEX(D923,2),"")</f>
        <v/>
      </c>
      <c r="J923" s="1" t="str">
        <f aca="false">IF(H923&lt;&gt;"","0x"&amp;I923&amp;H923,"")</f>
        <v/>
      </c>
      <c r="L923" s="1" t="s">
        <v>3112</v>
      </c>
      <c r="M923" s="1" t="str">
        <f aca="false">IF(J923&lt;&gt;"",J923,L923)</f>
        <v>44, 44, GEODUDE</v>
      </c>
    </row>
    <row r="924" customFormat="false" ht="12.75" hidden="false" customHeight="true" outlineLevel="0" collapsed="false">
      <c r="A924" s="3" t="s">
        <v>3113</v>
      </c>
      <c r="B924" s="3" t="str">
        <f aca="false">IF(ISNUMBER(SEARCH("%", A924)),RIGHT(A924,3),A924)</f>
        <v>32, 32, SLUGMA</v>
      </c>
      <c r="C924" s="1" t="str">
        <f aca="false" t="array" ref="C924:C924">IF(B923="NEW ROUTE",textsplit(B924,","),"")</f>
        <v/>
      </c>
      <c r="H924" s="1" t="str">
        <f aca="false">IF(C924&lt;&gt;"",DEC2HEX(C924,2),"")</f>
        <v/>
      </c>
      <c r="I924" s="1" t="str">
        <f aca="false">IF(D924&lt;&gt;"",DEC2HEX(D924,2),"")</f>
        <v/>
      </c>
      <c r="J924" s="1" t="str">
        <f aca="false">IF(H924&lt;&gt;"","0x"&amp;I924&amp;H924,"")</f>
        <v/>
      </c>
      <c r="L924" s="1" t="s">
        <v>3113</v>
      </c>
      <c r="M924" s="1" t="str">
        <f aca="false">IF(J924&lt;&gt;"",J924,L924)</f>
        <v>32, 32, SLUGMA</v>
      </c>
    </row>
    <row r="925" customFormat="false" ht="12.75" hidden="false" customHeight="true" outlineLevel="0" collapsed="false">
      <c r="A925" s="3" t="s">
        <v>2809</v>
      </c>
      <c r="B925" s="3" t="str">
        <f aca="false">IF(ISNUMBER(SEARCH("%", A925)),RIGHT(A925,3),A925)</f>
        <v>0.04</v>
      </c>
      <c r="C925" s="1" t="str">
        <f aca="false" t="array" ref="C925:C925">IF(B924="NEW ROUTE",textsplit(B925,","),"")</f>
        <v/>
      </c>
      <c r="H925" s="1" t="str">
        <f aca="false">IF(C925&lt;&gt;"",DEC2HEX(C925,2),"")</f>
        <v/>
      </c>
      <c r="I925" s="1" t="str">
        <f aca="false">IF(D925&lt;&gt;"",DEC2HEX(D925,2),"")</f>
        <v/>
      </c>
      <c r="J925" s="1" t="str">
        <f aca="false">IF(H925&lt;&gt;"","0x"&amp;I925&amp;H925,"")</f>
        <v/>
      </c>
      <c r="L925" s="1" t="s">
        <v>2809</v>
      </c>
      <c r="M925" s="1" t="str">
        <f aca="false">IF(J925&lt;&gt;"",J925,L925)</f>
        <v>0.04</v>
      </c>
    </row>
    <row r="926" customFormat="false" ht="12.75" hidden="false" customHeight="true" outlineLevel="0" collapsed="false">
      <c r="A926" s="3" t="s">
        <v>3112</v>
      </c>
      <c r="B926" s="3" t="str">
        <f aca="false">IF(ISNUMBER(SEARCH("%", A926)),RIGHT(A926,3),A926)</f>
        <v>44, 44, GEODUDE</v>
      </c>
      <c r="C926" s="1" t="str">
        <f aca="false" t="array" ref="C926:C926">IF(B925="NEW ROUTE",textsplit(B926,","),"")</f>
        <v/>
      </c>
      <c r="H926" s="1" t="str">
        <f aca="false">IF(C926&lt;&gt;"",DEC2HEX(C926,2),"")</f>
        <v/>
      </c>
      <c r="I926" s="1" t="str">
        <f aca="false">IF(D926&lt;&gt;"",DEC2HEX(D926,2),"")</f>
        <v/>
      </c>
      <c r="J926" s="1" t="str">
        <f aca="false">IF(H926&lt;&gt;"","0x"&amp;I926&amp;H926,"")</f>
        <v/>
      </c>
      <c r="L926" s="1" t="s">
        <v>3112</v>
      </c>
      <c r="M926" s="1" t="str">
        <f aca="false">IF(J926&lt;&gt;"",J926,L926)</f>
        <v>44, 44, GEODUDE</v>
      </c>
    </row>
    <row r="927" customFormat="false" ht="12.75" hidden="false" customHeight="true" outlineLevel="0" collapsed="false">
      <c r="A927" s="3" t="s">
        <v>3114</v>
      </c>
      <c r="B927" s="3" t="str">
        <f aca="false">IF(ISNUMBER(SEARCH("%", A927)),RIGHT(A927,3),A927)</f>
        <v>22, 22, SLUGMA</v>
      </c>
      <c r="C927" s="1" t="str">
        <f aca="false" t="array" ref="C927:C927">IF(B926="NEW ROUTE",textsplit(B927,","),"")</f>
        <v/>
      </c>
      <c r="H927" s="1" t="str">
        <f aca="false">IF(C927&lt;&gt;"",DEC2HEX(C927,2),"")</f>
        <v/>
      </c>
      <c r="I927" s="1" t="str">
        <f aca="false">IF(D927&lt;&gt;"",DEC2HEX(D927,2),"")</f>
        <v/>
      </c>
      <c r="J927" s="1" t="str">
        <f aca="false">IF(H927&lt;&gt;"","0x"&amp;I927&amp;H927,"")</f>
        <v/>
      </c>
      <c r="L927" s="1" t="s">
        <v>3114</v>
      </c>
      <c r="M927" s="1" t="str">
        <f aca="false">IF(J927&lt;&gt;"",J927,L927)</f>
        <v>22, 22, SLUGMA</v>
      </c>
    </row>
    <row r="928" customFormat="false" ht="12.75" hidden="false" customHeight="true" outlineLevel="0" collapsed="false">
      <c r="A928" s="3" t="s">
        <v>2812</v>
      </c>
      <c r="B928" s="3" t="str">
        <f aca="false">IF(ISNUMBER(SEARCH("%", A928)),RIGHT(A928,3),A928)</f>
        <v>0.01</v>
      </c>
      <c r="C928" s="1" t="str">
        <f aca="false" t="array" ref="C928:C928">IF(B927="NEW ROUTE",textsplit(B928,","),"")</f>
        <v/>
      </c>
      <c r="H928" s="1" t="str">
        <f aca="false">IF(C928&lt;&gt;"",DEC2HEX(C928,2),"")</f>
        <v/>
      </c>
      <c r="I928" s="1" t="str">
        <f aca="false">IF(D928&lt;&gt;"",DEC2HEX(D928,2),"")</f>
        <v/>
      </c>
      <c r="J928" s="1" t="str">
        <f aca="false">IF(H928&lt;&gt;"","0x"&amp;I928&amp;H928,"")</f>
        <v/>
      </c>
      <c r="L928" s="1" t="s">
        <v>2812</v>
      </c>
      <c r="M928" s="1" t="str">
        <f aca="false">IF(J928&lt;&gt;"",J928,L928)</f>
        <v>0.01</v>
      </c>
    </row>
    <row r="929" customFormat="false" ht="12.75" hidden="false" customHeight="true" outlineLevel="0" collapsed="false">
      <c r="A929" s="3" t="s">
        <v>3112</v>
      </c>
      <c r="B929" s="3" t="str">
        <f aca="false">IF(ISNUMBER(SEARCH("%", A929)),RIGHT(A929,3),A929)</f>
        <v>44, 44, GEODUDE</v>
      </c>
      <c r="C929" s="1" t="str">
        <f aca="false" t="array" ref="C929:C929">IF(B928="NEW ROUTE",textsplit(B929,","),"")</f>
        <v/>
      </c>
      <c r="H929" s="1" t="str">
        <f aca="false">IF(C929&lt;&gt;"",DEC2HEX(C929,2),"")</f>
        <v/>
      </c>
      <c r="I929" s="1" t="str">
        <f aca="false">IF(D929&lt;&gt;"",DEC2HEX(D929,2),"")</f>
        <v/>
      </c>
      <c r="J929" s="1" t="str">
        <f aca="false">IF(H929&lt;&gt;"","0x"&amp;I929&amp;H929,"")</f>
        <v/>
      </c>
      <c r="L929" s="1" t="s">
        <v>3112</v>
      </c>
      <c r="M929" s="1" t="str">
        <f aca="false">IF(J929&lt;&gt;"",J929,L929)</f>
        <v>44, 44, GEODUDE</v>
      </c>
    </row>
    <row r="930" customFormat="false" ht="12.75" hidden="false" customHeight="true" outlineLevel="0" collapsed="false">
      <c r="A930" s="3" t="s">
        <v>3114</v>
      </c>
      <c r="B930" s="3" t="str">
        <f aca="false">IF(ISNUMBER(SEARCH("%", A930)),RIGHT(A930,3),A930)</f>
        <v>22, 22, SLUGMA</v>
      </c>
      <c r="C930" s="1" t="str">
        <f aca="false" t="array" ref="C930:C930">IF(B929="NEW ROUTE",textsplit(B930,","),"")</f>
        <v/>
      </c>
      <c r="H930" s="1" t="str">
        <f aca="false">IF(C930&lt;&gt;"",DEC2HEX(C930,2),"")</f>
        <v/>
      </c>
      <c r="I930" s="1" t="str">
        <f aca="false">IF(D930&lt;&gt;"",DEC2HEX(D930,2),"")</f>
        <v/>
      </c>
      <c r="J930" s="1" t="str">
        <f aca="false">IF(H930&lt;&gt;"","0x"&amp;I930&amp;H930,"")</f>
        <v/>
      </c>
      <c r="L930" s="1" t="s">
        <v>3114</v>
      </c>
      <c r="M930" s="1" t="str">
        <f aca="false">IF(J930&lt;&gt;"",J930,L930)</f>
        <v>22, 22, SLUGMA</v>
      </c>
    </row>
    <row r="931" customFormat="false" ht="12.75" hidden="false" customHeight="true" outlineLevel="0" collapsed="false">
      <c r="A931" s="3" t="s">
        <v>3101</v>
      </c>
      <c r="B931" s="3" t="str">
        <f aca="false">IF(ISNUMBER(SEARCH("%", A931)),RIGHT(A931,3),A931)</f>
        <v>50, 25, 35, GEODUDE</v>
      </c>
      <c r="C931" s="1" t="str">
        <f aca="false" t="array" ref="C931:C931">IF(B930="NEW ROUTE",textsplit(B931,","),"")</f>
        <v/>
      </c>
      <c r="H931" s="1" t="str">
        <f aca="false">IF(C931&lt;&gt;"",DEC2HEX(C931,2),"")</f>
        <v/>
      </c>
      <c r="I931" s="1" t="str">
        <f aca="false">IF(D931&lt;&gt;"",DEC2HEX(D931,2),"")</f>
        <v/>
      </c>
      <c r="J931" s="1" t="str">
        <f aca="false">IF(H931&lt;&gt;"","0x"&amp;I931&amp;H931,"")</f>
        <v/>
      </c>
      <c r="L931" s="1" t="s">
        <v>3101</v>
      </c>
      <c r="M931" s="1" t="str">
        <f aca="false">IF(J931&lt;&gt;"",J931,L931)</f>
        <v>50, 25, 35, GEODUDE</v>
      </c>
    </row>
    <row r="932" customFormat="false" ht="12.75" hidden="false" customHeight="true" outlineLevel="0" collapsed="false">
      <c r="A932" s="3" t="s">
        <v>3102</v>
      </c>
      <c r="B932" s="3" t="str">
        <f aca="false">IF(ISNUMBER(SEARCH("%", A932)),RIGHT(A932,3),A932)</f>
        <v>30, 45, GRAVELER</v>
      </c>
      <c r="C932" s="1" t="str">
        <f aca="false" t="array" ref="C932:C932">IF(B931="NEW ROUTE",textsplit(B932,","),"")</f>
        <v/>
      </c>
      <c r="H932" s="1" t="str">
        <f aca="false">IF(C932&lt;&gt;"",DEC2HEX(C932,2),"")</f>
        <v/>
      </c>
      <c r="I932" s="1" t="str">
        <f aca="false">IF(D932&lt;&gt;"",DEC2HEX(D932,2),"")</f>
        <v/>
      </c>
      <c r="J932" s="1" t="str">
        <f aca="false">IF(H932&lt;&gt;"","0x"&amp;I932&amp;H932,"")</f>
        <v/>
      </c>
      <c r="L932" s="1" t="s">
        <v>3102</v>
      </c>
      <c r="M932" s="1" t="str">
        <f aca="false">IF(J932&lt;&gt;"",J932,L932)</f>
        <v>30, 45, GRAVELER</v>
      </c>
    </row>
    <row r="933" customFormat="false" ht="12.75" hidden="false" customHeight="true" outlineLevel="0" collapsed="false">
      <c r="A933" s="3" t="s">
        <v>3103</v>
      </c>
      <c r="B933" s="3" t="str">
        <f aca="false">IF(ISNUMBER(SEARCH("%", A933)),RIGHT(A933,3),A933)</f>
        <v>35, 50, GRAVELER</v>
      </c>
      <c r="C933" s="1" t="str">
        <f aca="false" t="array" ref="C933:C933">IF(B932="NEW ROUTE",textsplit(B933,","),"")</f>
        <v/>
      </c>
      <c r="H933" s="1" t="str">
        <f aca="false">IF(C933&lt;&gt;"",DEC2HEX(C933,2),"")</f>
        <v/>
      </c>
      <c r="I933" s="1" t="str">
        <f aca="false">IF(D933&lt;&gt;"",DEC2HEX(D933,2),"")</f>
        <v/>
      </c>
      <c r="J933" s="1" t="str">
        <f aca="false">IF(H933&lt;&gt;"","0x"&amp;I933&amp;H933,"")</f>
        <v/>
      </c>
      <c r="L933" s="1" t="s">
        <v>3103</v>
      </c>
      <c r="M933" s="1" t="str">
        <f aca="false">IF(J933&lt;&gt;"",J933,L933)</f>
        <v>35, 50, GRAVELER</v>
      </c>
    </row>
    <row r="934" customFormat="false" ht="12.75" hidden="false" customHeight="true" outlineLevel="0" collapsed="false">
      <c r="A934" s="3" t="s">
        <v>3104</v>
      </c>
      <c r="B934" s="3" t="str">
        <f aca="false">IF(ISNUMBER(SEARCH("%", A934)),RIGHT(A934,3),A934)</f>
        <v>30, 40, GEODUDE</v>
      </c>
      <c r="C934" s="1" t="str">
        <f aca="false" t="array" ref="C934:C934">IF(B933="NEW ROUTE",textsplit(B934,","),"")</f>
        <v/>
      </c>
      <c r="H934" s="1" t="str">
        <f aca="false">IF(C934&lt;&gt;"",DEC2HEX(C934,2),"")</f>
        <v/>
      </c>
      <c r="I934" s="1" t="str">
        <f aca="false">IF(D934&lt;&gt;"",DEC2HEX(D934,2),"")</f>
        <v/>
      </c>
      <c r="J934" s="1" t="str">
        <f aca="false">IF(H934&lt;&gt;"","0x"&amp;I934&amp;H934,"")</f>
        <v/>
      </c>
      <c r="L934" s="1" t="s">
        <v>3104</v>
      </c>
      <c r="M934" s="1" t="str">
        <f aca="false">IF(J934&lt;&gt;"",J934,L934)</f>
        <v>30, 40, GEODUDE</v>
      </c>
    </row>
    <row r="935" customFormat="false" ht="12.75" hidden="false" customHeight="true" outlineLevel="0" collapsed="false">
      <c r="A935" s="3" t="s">
        <v>3105</v>
      </c>
      <c r="B935" s="3" t="str">
        <f aca="false">IF(ISNUMBER(SEARCH("%", A935)),RIGHT(A935,3),A935)</f>
        <v>30, 40, GEODUDE , &lt;null&gt;</v>
      </c>
      <c r="C935" s="1" t="str">
        <f aca="false" t="array" ref="C935:C935">IF(B934="NEW ROUTE",textsplit(B935,","),"")</f>
        <v/>
      </c>
      <c r="H935" s="1" t="str">
        <f aca="false">IF(C935&lt;&gt;"",DEC2HEX(C935,2),"")</f>
        <v/>
      </c>
      <c r="I935" s="1" t="str">
        <f aca="false">IF(D935&lt;&gt;"",DEC2HEX(D935,2),"")</f>
        <v/>
      </c>
      <c r="J935" s="1" t="str">
        <f aca="false">IF(H935&lt;&gt;"","0x"&amp;I935&amp;H935,"")</f>
        <v/>
      </c>
      <c r="L935" s="1" t="s">
        <v>3105</v>
      </c>
      <c r="M935" s="1" t="str">
        <f aca="false">IF(J935&lt;&gt;"",J935,L935)</f>
        <v>30, 40, GEODUDE , &lt;null&gt;</v>
      </c>
    </row>
    <row r="936" customFormat="false" ht="12.75" hidden="false" customHeight="true" outlineLevel="0" collapsed="false">
      <c r="A936" s="3" t="s">
        <v>2536</v>
      </c>
      <c r="B936" s="3" t="str">
        <f aca="false">IF(ISNUMBER(SEARCH("%", A936)),RIGHT(A936,3),A936)</f>
        <v>NEW ROUTE</v>
      </c>
      <c r="C936" s="1" t="str">
        <f aca="false" t="array" ref="C936:C936">IF(B935="NEW ROUTE",textsplit(B936,","),"")</f>
        <v/>
      </c>
      <c r="H936" s="1" t="str">
        <f aca="false">IF(C936&lt;&gt;"",DEC2HEX(C936,2),"")</f>
        <v/>
      </c>
      <c r="I936" s="1" t="str">
        <f aca="false">IF(D936&lt;&gt;"",DEC2HEX(D936,2),"")</f>
        <v/>
      </c>
      <c r="J936" s="1" t="str">
        <f aca="false">IF(H936&lt;&gt;"","0x"&amp;I936&amp;H936,"")</f>
        <v/>
      </c>
      <c r="L936" s="1" t="s">
        <v>2536</v>
      </c>
      <c r="M936" s="1" t="str">
        <f aca="false">IF(J936&lt;&gt;"",J936,L936)</f>
        <v>NEW ROUTE</v>
      </c>
    </row>
    <row r="937" customFormat="false" ht="12.75" hidden="false" customHeight="true" outlineLevel="0" collapsed="false">
      <c r="A937" s="3" t="s">
        <v>3115</v>
      </c>
      <c r="B937" s="3" t="str">
        <f aca="false">IF(ISNUMBER(SEARCH("%", A937)),RIGHT(A937,3),A937)</f>
        <v>1, 106, 0,</v>
      </c>
      <c r="C937" s="1" t="e">
        <f aca="false" t="array" ref="C937:C937">IF(B936="NEW ROUTE",textsplit(B937,","),"")</f>
        <v>#NAME?</v>
      </c>
      <c r="H937" s="1" t="e">
        <f aca="false">IF(C937&lt;&gt;"",DEC2HEX(C937,2),"")</f>
        <v>#NAME?</v>
      </c>
      <c r="I937" s="1" t="str">
        <f aca="false">IF(D937&lt;&gt;"",DEC2HEX(D937,2),"")</f>
        <v/>
      </c>
      <c r="J937" s="1" t="e">
        <f aca="false">IF(H937&lt;&gt;"","0x"&amp;I937&amp;H937,"")</f>
        <v>#NAME?</v>
      </c>
      <c r="L937" s="1" t="s">
        <v>3115</v>
      </c>
      <c r="M937" s="1" t="e">
        <f aca="false">IF(J937&lt;&gt;"",J937,L937)</f>
        <v>#NAME?</v>
      </c>
    </row>
    <row r="938" customFormat="false" ht="12.75" hidden="false" customHeight="true" outlineLevel="0" collapsed="false">
      <c r="A938" s="3" t="s">
        <v>2816</v>
      </c>
      <c r="B938" s="3" t="str">
        <f aca="false">IF(ISNUMBER(SEARCH("%", A938)),RIGHT(A938,3),A938)</f>
        <v>20%</v>
      </c>
      <c r="C938" s="1" t="str">
        <f aca="false" t="array" ref="C938:C938">IF(B937="NEW ROUTE",textsplit(B938,","),"")</f>
        <v/>
      </c>
      <c r="H938" s="1" t="str">
        <f aca="false">IF(C938&lt;&gt;"",DEC2HEX(C938,2),"")</f>
        <v/>
      </c>
      <c r="I938" s="1" t="str">
        <f aca="false">IF(D938&lt;&gt;"",DEC2HEX(D938,2),"")</f>
        <v/>
      </c>
      <c r="J938" s="1" t="str">
        <f aca="false">IF(H938&lt;&gt;"","0x"&amp;I938&amp;H938,"")</f>
        <v/>
      </c>
      <c r="L938" s="1" t="s">
        <v>2799</v>
      </c>
      <c r="M938" s="1" t="str">
        <f aca="false">IF(J938&lt;&gt;"",J938,L938)</f>
        <v>20%</v>
      </c>
    </row>
    <row r="939" customFormat="false" ht="12.75" hidden="false" customHeight="true" outlineLevel="0" collapsed="false">
      <c r="A939" s="3" t="s">
        <v>1556</v>
      </c>
      <c r="B939" s="3" t="str">
        <f aca="false">IF(ISNUMBER(SEARCH("%", A939)),RIGHT(A939,3),A939)</f>
        <v>26, 26, SLUGMA</v>
      </c>
      <c r="C939" s="1" t="str">
        <f aca="false" t="array" ref="C939:C939">IF(B938="NEW ROUTE",textsplit(B939,","),"")</f>
        <v/>
      </c>
      <c r="H939" s="1" t="str">
        <f aca="false">IF(C939&lt;&gt;"",DEC2HEX(C939,2),"")</f>
        <v/>
      </c>
      <c r="I939" s="1" t="str">
        <f aca="false">IF(D939&lt;&gt;"",DEC2HEX(D939,2),"")</f>
        <v/>
      </c>
      <c r="J939" s="1" t="str">
        <f aca="false">IF(H939&lt;&gt;"","0x"&amp;I939&amp;H939,"")</f>
        <v/>
      </c>
      <c r="L939" s="1" t="s">
        <v>1556</v>
      </c>
      <c r="M939" s="1" t="str">
        <f aca="false">IF(J939&lt;&gt;"",J939,L939)</f>
        <v>26, 26, SLUGMA</v>
      </c>
    </row>
    <row r="940" customFormat="false" ht="12.75" hidden="false" customHeight="true" outlineLevel="0" collapsed="false">
      <c r="A940" s="3" t="s">
        <v>3109</v>
      </c>
      <c r="B940" s="3" t="str">
        <f aca="false">IF(ISNUMBER(SEARCH("%", A940)),RIGHT(A940,3),A940)</f>
        <v>28, 28, SLUGMA</v>
      </c>
      <c r="C940" s="1" t="str">
        <f aca="false" t="array" ref="C940:C940">IF(B939="NEW ROUTE",textsplit(B940,","),"")</f>
        <v/>
      </c>
      <c r="H940" s="1" t="str">
        <f aca="false">IF(C940&lt;&gt;"",DEC2HEX(C940,2),"")</f>
        <v/>
      </c>
      <c r="I940" s="1" t="str">
        <f aca="false">IF(D940&lt;&gt;"",DEC2HEX(D940,2),"")</f>
        <v/>
      </c>
      <c r="J940" s="1" t="str">
        <f aca="false">IF(H940&lt;&gt;"","0x"&amp;I940&amp;H940,"")</f>
        <v/>
      </c>
      <c r="L940" s="1" t="s">
        <v>3109</v>
      </c>
      <c r="M940" s="1" t="str">
        <f aca="false">IF(J940&lt;&gt;"",J940,L940)</f>
        <v>28, 28, SLUGMA</v>
      </c>
    </row>
    <row r="941" customFormat="false" ht="12.75" hidden="false" customHeight="true" outlineLevel="0" collapsed="false">
      <c r="A941" s="3" t="s">
        <v>2801</v>
      </c>
      <c r="B941" s="3" t="str">
        <f aca="false">IF(ISNUMBER(SEARCH("%", A941)),RIGHT(A941,3),A941)</f>
        <v>0.1</v>
      </c>
      <c r="C941" s="1" t="str">
        <f aca="false" t="array" ref="C941:C941">IF(B940="NEW ROUTE",textsplit(B941,","),"")</f>
        <v/>
      </c>
      <c r="H941" s="1" t="str">
        <f aca="false">IF(C941&lt;&gt;"",DEC2HEX(C941,2),"")</f>
        <v/>
      </c>
      <c r="I941" s="1" t="str">
        <f aca="false">IF(D941&lt;&gt;"",DEC2HEX(D941,2),"")</f>
        <v/>
      </c>
      <c r="J941" s="1" t="str">
        <f aca="false">IF(H941&lt;&gt;"","0x"&amp;I941&amp;H941,"")</f>
        <v/>
      </c>
      <c r="L941" s="1" t="s">
        <v>2801</v>
      </c>
      <c r="M941" s="1" t="str">
        <f aca="false">IF(J941&lt;&gt;"",J941,L941)</f>
        <v>0.1</v>
      </c>
    </row>
    <row r="942" customFormat="false" ht="12.75" hidden="false" customHeight="true" outlineLevel="0" collapsed="false">
      <c r="A942" s="3" t="s">
        <v>3110</v>
      </c>
      <c r="B942" s="3" t="str">
        <f aca="false">IF(ISNUMBER(SEARCH("%", A942)),RIGHT(A942,3),A942)</f>
        <v>30, 30, SLUGMA</v>
      </c>
      <c r="C942" s="1" t="str">
        <f aca="false" t="array" ref="C942:C942">IF(B941="NEW ROUTE",textsplit(B942,","),"")</f>
        <v/>
      </c>
      <c r="H942" s="1" t="str">
        <f aca="false">IF(C942&lt;&gt;"",DEC2HEX(C942,2),"")</f>
        <v/>
      </c>
      <c r="I942" s="1" t="str">
        <f aca="false">IF(D942&lt;&gt;"",DEC2HEX(D942,2),"")</f>
        <v/>
      </c>
      <c r="J942" s="1" t="str">
        <f aca="false">IF(H942&lt;&gt;"","0x"&amp;I942&amp;H942,"")</f>
        <v/>
      </c>
      <c r="L942" s="1" t="s">
        <v>3110</v>
      </c>
      <c r="M942" s="1" t="str">
        <f aca="false">IF(J942&lt;&gt;"",J942,L942)</f>
        <v>30, 30, SLUGMA</v>
      </c>
    </row>
    <row r="943" customFormat="false" ht="12.75" hidden="false" customHeight="true" outlineLevel="0" collapsed="false">
      <c r="A943" s="3" t="s">
        <v>3113</v>
      </c>
      <c r="B943" s="3" t="str">
        <f aca="false">IF(ISNUMBER(SEARCH("%", A943)),RIGHT(A943,3),A943)</f>
        <v>32, 32, SLUGMA</v>
      </c>
      <c r="C943" s="1" t="str">
        <f aca="false" t="array" ref="C943:C943">IF(B942="NEW ROUTE",textsplit(B943,","),"")</f>
        <v/>
      </c>
      <c r="H943" s="1" t="str">
        <f aca="false">IF(C943&lt;&gt;"",DEC2HEX(C943,2),"")</f>
        <v/>
      </c>
      <c r="I943" s="1" t="str">
        <f aca="false">IF(D943&lt;&gt;"",DEC2HEX(D943,2),"")</f>
        <v/>
      </c>
      <c r="J943" s="1" t="str">
        <f aca="false">IF(H943&lt;&gt;"","0x"&amp;I943&amp;H943,"")</f>
        <v/>
      </c>
      <c r="L943" s="1" t="s">
        <v>3113</v>
      </c>
      <c r="M943" s="1" t="str">
        <f aca="false">IF(J943&lt;&gt;"",J943,L943)</f>
        <v>32, 32, SLUGMA</v>
      </c>
    </row>
    <row r="944" customFormat="false" ht="12.75" hidden="false" customHeight="true" outlineLevel="0" collapsed="false">
      <c r="A944" s="3" t="s">
        <v>3107</v>
      </c>
      <c r="B944" s="3" t="str">
        <f aca="false">IF(ISNUMBER(SEARCH("%", A944)),RIGHT(A944,3),A944)</f>
        <v>24, 24, SLUGMA</v>
      </c>
      <c r="C944" s="1" t="str">
        <f aca="false" t="array" ref="C944:C944">IF(B943="NEW ROUTE",textsplit(B944,","),"")</f>
        <v/>
      </c>
      <c r="H944" s="1" t="str">
        <f aca="false">IF(C944&lt;&gt;"",DEC2HEX(C944,2),"")</f>
        <v/>
      </c>
      <c r="I944" s="1" t="str">
        <f aca="false">IF(D944&lt;&gt;"",DEC2HEX(D944,2),"")</f>
        <v/>
      </c>
      <c r="J944" s="1" t="str">
        <f aca="false">IF(H944&lt;&gt;"","0x"&amp;I944&amp;H944,"")</f>
        <v/>
      </c>
      <c r="L944" s="1" t="s">
        <v>3107</v>
      </c>
      <c r="M944" s="1" t="str">
        <f aca="false">IF(J944&lt;&gt;"",J944,L944)</f>
        <v>24, 24, SLUGMA</v>
      </c>
    </row>
    <row r="945" customFormat="false" ht="12.75" hidden="false" customHeight="true" outlineLevel="0" collapsed="false">
      <c r="A945" s="3" t="s">
        <v>3114</v>
      </c>
      <c r="B945" s="3" t="str">
        <f aca="false">IF(ISNUMBER(SEARCH("%", A945)),RIGHT(A945,3),A945)</f>
        <v>22, 22, SLUGMA</v>
      </c>
      <c r="C945" s="1" t="str">
        <f aca="false" t="array" ref="C945:C945">IF(B944="NEW ROUTE",textsplit(B945,","),"")</f>
        <v/>
      </c>
      <c r="H945" s="1" t="str">
        <f aca="false">IF(C945&lt;&gt;"",DEC2HEX(C945,2),"")</f>
        <v/>
      </c>
      <c r="I945" s="1" t="str">
        <f aca="false">IF(D945&lt;&gt;"",DEC2HEX(D945,2),"")</f>
        <v/>
      </c>
      <c r="J945" s="1" t="str">
        <f aca="false">IF(H945&lt;&gt;"","0x"&amp;I945&amp;H945,"")</f>
        <v/>
      </c>
      <c r="L945" s="1" t="s">
        <v>3114</v>
      </c>
      <c r="M945" s="1" t="str">
        <f aca="false">IF(J945&lt;&gt;"",J945,L945)</f>
        <v>22, 22, SLUGMA</v>
      </c>
    </row>
    <row r="946" customFormat="false" ht="12.75" hidden="false" customHeight="true" outlineLevel="0" collapsed="false">
      <c r="A946" s="3" t="s">
        <v>2806</v>
      </c>
      <c r="B946" s="3" t="str">
        <f aca="false">IF(ISNUMBER(SEARCH("%", A946)),RIGHT(A946,3),A946)</f>
        <v>0.05</v>
      </c>
      <c r="C946" s="1" t="str">
        <f aca="false" t="array" ref="C946:C946">IF(B945="NEW ROUTE",textsplit(B946,","),"")</f>
        <v/>
      </c>
      <c r="H946" s="1" t="str">
        <f aca="false">IF(C946&lt;&gt;"",DEC2HEX(C946,2),"")</f>
        <v/>
      </c>
      <c r="I946" s="1" t="str">
        <f aca="false">IF(D946&lt;&gt;"",DEC2HEX(D946,2),"")</f>
        <v/>
      </c>
      <c r="J946" s="1" t="str">
        <f aca="false">IF(H946&lt;&gt;"","0x"&amp;I946&amp;H946,"")</f>
        <v/>
      </c>
      <c r="L946" s="1" t="s">
        <v>2806</v>
      </c>
      <c r="M946" s="1" t="str">
        <f aca="false">IF(J946&lt;&gt;"",J946,L946)</f>
        <v>0.05</v>
      </c>
    </row>
    <row r="947" customFormat="false" ht="12.75" hidden="false" customHeight="true" outlineLevel="0" collapsed="false">
      <c r="A947" s="3" t="s">
        <v>3116</v>
      </c>
      <c r="B947" s="3" t="str">
        <f aca="false">IF(ISNUMBER(SEARCH("%", A947)),RIGHT(A947,3),A947)</f>
        <v>20, 20, SLUGMA</v>
      </c>
      <c r="C947" s="1" t="str">
        <f aca="false" t="array" ref="C947:C947">IF(B946="NEW ROUTE",textsplit(B947,","),"")</f>
        <v/>
      </c>
      <c r="H947" s="1" t="str">
        <f aca="false">IF(C947&lt;&gt;"",DEC2HEX(C947,2),"")</f>
        <v/>
      </c>
      <c r="I947" s="1" t="str">
        <f aca="false">IF(D947&lt;&gt;"",DEC2HEX(D947,2),"")</f>
        <v/>
      </c>
      <c r="J947" s="1" t="str">
        <f aca="false">IF(H947&lt;&gt;"","0x"&amp;I947&amp;H947,"")</f>
        <v/>
      </c>
      <c r="L947" s="1" t="s">
        <v>3116</v>
      </c>
      <c r="M947" s="1" t="str">
        <f aca="false">IF(J947&lt;&gt;"",J947,L947)</f>
        <v>20, 20, SLUGMA</v>
      </c>
    </row>
    <row r="948" customFormat="false" ht="12.75" hidden="false" customHeight="true" outlineLevel="0" collapsed="false">
      <c r="A948" s="3" t="s">
        <v>3117</v>
      </c>
      <c r="B948" s="3" t="str">
        <f aca="false">IF(ISNUMBER(SEARCH("%", A948)),RIGHT(A948,3),A948)</f>
        <v>34, 34, SLUGMA</v>
      </c>
      <c r="C948" s="1" t="str">
        <f aca="false" t="array" ref="C948:C948">IF(B947="NEW ROUTE",textsplit(B948,","),"")</f>
        <v/>
      </c>
      <c r="H948" s="1" t="str">
        <f aca="false">IF(C948&lt;&gt;"",DEC2HEX(C948,2),"")</f>
        <v/>
      </c>
      <c r="I948" s="1" t="str">
        <f aca="false">IF(D948&lt;&gt;"",DEC2HEX(D948,2),"")</f>
        <v/>
      </c>
      <c r="J948" s="1" t="str">
        <f aca="false">IF(H948&lt;&gt;"","0x"&amp;I948&amp;H948,"")</f>
        <v/>
      </c>
      <c r="L948" s="1" t="s">
        <v>3117</v>
      </c>
      <c r="M948" s="1" t="str">
        <f aca="false">IF(J948&lt;&gt;"",J948,L948)</f>
        <v>34, 34, SLUGMA</v>
      </c>
    </row>
    <row r="949" customFormat="false" ht="12.75" hidden="false" customHeight="true" outlineLevel="0" collapsed="false">
      <c r="A949" s="3" t="s">
        <v>2809</v>
      </c>
      <c r="B949" s="3" t="str">
        <f aca="false">IF(ISNUMBER(SEARCH("%", A949)),RIGHT(A949,3),A949)</f>
        <v>0.04</v>
      </c>
      <c r="C949" s="1" t="str">
        <f aca="false" t="array" ref="C949:C949">IF(B948="NEW ROUTE",textsplit(B949,","),"")</f>
        <v/>
      </c>
      <c r="H949" s="1" t="str">
        <f aca="false">IF(C949&lt;&gt;"",DEC2HEX(C949,2),"")</f>
        <v/>
      </c>
      <c r="I949" s="1" t="str">
        <f aca="false">IF(D949&lt;&gt;"",DEC2HEX(D949,2),"")</f>
        <v/>
      </c>
      <c r="J949" s="1" t="str">
        <f aca="false">IF(H949&lt;&gt;"","0x"&amp;I949&amp;H949,"")</f>
        <v/>
      </c>
      <c r="L949" s="1" t="s">
        <v>2809</v>
      </c>
      <c r="M949" s="1" t="str">
        <f aca="false">IF(J949&lt;&gt;"",J949,L949)</f>
        <v>0.04</v>
      </c>
    </row>
    <row r="950" customFormat="false" ht="12.75" hidden="false" customHeight="true" outlineLevel="0" collapsed="false">
      <c r="A950" s="3" t="s">
        <v>3118</v>
      </c>
      <c r="B950" s="3" t="str">
        <f aca="false">IF(ISNUMBER(SEARCH("%", A950)),RIGHT(A950,3),A950)</f>
        <v>36, 36, SLUGMA</v>
      </c>
      <c r="C950" s="1" t="str">
        <f aca="false" t="array" ref="C950:C950">IF(B949="NEW ROUTE",textsplit(B950,","),"")</f>
        <v/>
      </c>
      <c r="H950" s="1" t="str">
        <f aca="false">IF(C950&lt;&gt;"",DEC2HEX(C950,2),"")</f>
        <v/>
      </c>
      <c r="I950" s="1" t="str">
        <f aca="false">IF(D950&lt;&gt;"",DEC2HEX(D950,2),"")</f>
        <v/>
      </c>
      <c r="J950" s="1" t="str">
        <f aca="false">IF(H950&lt;&gt;"","0x"&amp;I950&amp;H950,"")</f>
        <v/>
      </c>
      <c r="L950" s="1" t="s">
        <v>3118</v>
      </c>
      <c r="M950" s="1" t="str">
        <f aca="false">IF(J950&lt;&gt;"",J950,L950)</f>
        <v>36, 36, SLUGMA</v>
      </c>
    </row>
    <row r="951" customFormat="false" ht="12.75" hidden="false" customHeight="true" outlineLevel="0" collapsed="false">
      <c r="A951" s="3" t="s">
        <v>3119</v>
      </c>
      <c r="B951" s="3" t="str">
        <f aca="false">IF(ISNUMBER(SEARCH("%", A951)),RIGHT(A951,3),A951)</f>
        <v>18, 18, SLUGMA</v>
      </c>
      <c r="C951" s="1" t="str">
        <f aca="false" t="array" ref="C951:C951">IF(B950="NEW ROUTE",textsplit(B951,","),"")</f>
        <v/>
      </c>
      <c r="H951" s="1" t="str">
        <f aca="false">IF(C951&lt;&gt;"",DEC2HEX(C951,2),"")</f>
        <v/>
      </c>
      <c r="I951" s="1" t="str">
        <f aca="false">IF(D951&lt;&gt;"",DEC2HEX(D951,2),"")</f>
        <v/>
      </c>
      <c r="J951" s="1" t="str">
        <f aca="false">IF(H951&lt;&gt;"","0x"&amp;I951&amp;H951,"")</f>
        <v/>
      </c>
      <c r="L951" s="1" t="s">
        <v>3119</v>
      </c>
      <c r="M951" s="1" t="str">
        <f aca="false">IF(J951&lt;&gt;"",J951,L951)</f>
        <v>18, 18, SLUGMA</v>
      </c>
    </row>
    <row r="952" customFormat="false" ht="12.75" hidden="false" customHeight="true" outlineLevel="0" collapsed="false">
      <c r="A952" s="3" t="s">
        <v>2812</v>
      </c>
      <c r="B952" s="3" t="str">
        <f aca="false">IF(ISNUMBER(SEARCH("%", A952)),RIGHT(A952,3),A952)</f>
        <v>0.01</v>
      </c>
      <c r="C952" s="1" t="str">
        <f aca="false" t="array" ref="C952:C952">IF(B951="NEW ROUTE",textsplit(B952,","),"")</f>
        <v/>
      </c>
      <c r="H952" s="1" t="str">
        <f aca="false">IF(C952&lt;&gt;"",DEC2HEX(C952,2),"")</f>
        <v/>
      </c>
      <c r="I952" s="1" t="str">
        <f aca="false">IF(D952&lt;&gt;"",DEC2HEX(D952,2),"")</f>
        <v/>
      </c>
      <c r="J952" s="1" t="str">
        <f aca="false">IF(H952&lt;&gt;"","0x"&amp;I952&amp;H952,"")</f>
        <v/>
      </c>
      <c r="L952" s="1" t="s">
        <v>2812</v>
      </c>
      <c r="M952" s="1" t="str">
        <f aca="false">IF(J952&lt;&gt;"",J952,L952)</f>
        <v>0.01</v>
      </c>
    </row>
    <row r="953" customFormat="false" ht="12.75" hidden="false" customHeight="true" outlineLevel="0" collapsed="false">
      <c r="A953" s="3" t="s">
        <v>3118</v>
      </c>
      <c r="B953" s="3" t="str">
        <f aca="false">IF(ISNUMBER(SEARCH("%", A953)),RIGHT(A953,3),A953)</f>
        <v>36, 36, SLUGMA</v>
      </c>
      <c r="C953" s="1" t="str">
        <f aca="false" t="array" ref="C953:C953">IF(B952="NEW ROUTE",textsplit(B953,","),"")</f>
        <v/>
      </c>
      <c r="H953" s="1" t="str">
        <f aca="false">IF(C953&lt;&gt;"",DEC2HEX(C953,2),"")</f>
        <v/>
      </c>
      <c r="I953" s="1" t="str">
        <f aca="false">IF(D953&lt;&gt;"",DEC2HEX(D953,2),"")</f>
        <v/>
      </c>
      <c r="J953" s="1" t="str">
        <f aca="false">IF(H953&lt;&gt;"","0x"&amp;I953&amp;H953,"")</f>
        <v/>
      </c>
      <c r="L953" s="1" t="s">
        <v>3118</v>
      </c>
      <c r="M953" s="1" t="str">
        <f aca="false">IF(J953&lt;&gt;"",J953,L953)</f>
        <v>36, 36, SLUGMA</v>
      </c>
    </row>
    <row r="954" customFormat="false" ht="12.75" hidden="false" customHeight="true" outlineLevel="0" collapsed="false">
      <c r="A954" s="3" t="s">
        <v>3119</v>
      </c>
      <c r="B954" s="3" t="str">
        <f aca="false">IF(ISNUMBER(SEARCH("%", A954)),RIGHT(A954,3),A954)</f>
        <v>18, 18, SLUGMA</v>
      </c>
      <c r="C954" s="1" t="str">
        <f aca="false" t="array" ref="C954:C954">IF(B953="NEW ROUTE",textsplit(B954,","),"")</f>
        <v/>
      </c>
      <c r="H954" s="1" t="str">
        <f aca="false">IF(C954&lt;&gt;"",DEC2HEX(C954,2),"")</f>
        <v/>
      </c>
      <c r="I954" s="1" t="str">
        <f aca="false">IF(D954&lt;&gt;"",DEC2HEX(D954,2),"")</f>
        <v/>
      </c>
      <c r="J954" s="1" t="str">
        <f aca="false">IF(H954&lt;&gt;"","0x"&amp;I954&amp;H954,"")</f>
        <v/>
      </c>
      <c r="L954" s="1" t="s">
        <v>3119</v>
      </c>
      <c r="M954" s="1" t="str">
        <f aca="false">IF(J954&lt;&gt;"",J954,L954)</f>
        <v>18, 18, SLUGMA</v>
      </c>
    </row>
    <row r="955" customFormat="false" ht="12.75" hidden="false" customHeight="true" outlineLevel="0" collapsed="false">
      <c r="A955" s="3" t="s">
        <v>3120</v>
      </c>
      <c r="B955" s="3" t="str">
        <f aca="false">IF(ISNUMBER(SEARCH("%", A955)),RIGHT(A955,3),A955)</f>
        <v>50, 15, 25, SLUGMA</v>
      </c>
      <c r="C955" s="1" t="str">
        <f aca="false" t="array" ref="C955:C955">IF(B954="NEW ROUTE",textsplit(B955,","),"")</f>
        <v/>
      </c>
      <c r="H955" s="1" t="str">
        <f aca="false">IF(C955&lt;&gt;"",DEC2HEX(C955,2),"")</f>
        <v/>
      </c>
      <c r="I955" s="1" t="str">
        <f aca="false">IF(D955&lt;&gt;"",DEC2HEX(D955,2),"")</f>
        <v/>
      </c>
      <c r="J955" s="1" t="str">
        <f aca="false">IF(H955&lt;&gt;"","0x"&amp;I955&amp;H955,"")</f>
        <v/>
      </c>
      <c r="L955" s="1" t="s">
        <v>3120</v>
      </c>
      <c r="M955" s="1" t="str">
        <f aca="false">IF(J955&lt;&gt;"",J955,L955)</f>
        <v>50, 15, 25, SLUGMA</v>
      </c>
    </row>
    <row r="956" customFormat="false" ht="12.75" hidden="false" customHeight="true" outlineLevel="0" collapsed="false">
      <c r="A956" s="3" t="s">
        <v>3121</v>
      </c>
      <c r="B956" s="3" t="str">
        <f aca="false">IF(ISNUMBER(SEARCH("%", A956)),RIGHT(A956,3),A956)</f>
        <v>25, 35, SLUGMA</v>
      </c>
      <c r="C956" s="1" t="str">
        <f aca="false" t="array" ref="C956:C956">IF(B955="NEW ROUTE",textsplit(B956,","),"")</f>
        <v/>
      </c>
      <c r="H956" s="1" t="str">
        <f aca="false">IF(C956&lt;&gt;"",DEC2HEX(C956,2),"")</f>
        <v/>
      </c>
      <c r="I956" s="1" t="str">
        <f aca="false">IF(D956&lt;&gt;"",DEC2HEX(D956,2),"")</f>
        <v/>
      </c>
      <c r="J956" s="1" t="str">
        <f aca="false">IF(H956&lt;&gt;"","0x"&amp;I956&amp;H956,"")</f>
        <v/>
      </c>
      <c r="L956" s="1" t="s">
        <v>3121</v>
      </c>
      <c r="M956" s="1" t="str">
        <f aca="false">IF(J956&lt;&gt;"",J956,L956)</f>
        <v>25, 35, SLUGMA</v>
      </c>
    </row>
    <row r="957" customFormat="false" ht="12.75" hidden="false" customHeight="true" outlineLevel="0" collapsed="false">
      <c r="A957" s="3" t="s">
        <v>3122</v>
      </c>
      <c r="B957" s="3" t="str">
        <f aca="false">IF(ISNUMBER(SEARCH("%", A957)),RIGHT(A957,3),A957)</f>
        <v>40, 45, MAGCARGO</v>
      </c>
      <c r="C957" s="1" t="str">
        <f aca="false" t="array" ref="C957:C957">IF(B956="NEW ROUTE",textsplit(B957,","),"")</f>
        <v/>
      </c>
      <c r="H957" s="1" t="str">
        <f aca="false">IF(C957&lt;&gt;"",DEC2HEX(C957,2),"")</f>
        <v/>
      </c>
      <c r="I957" s="1" t="str">
        <f aca="false">IF(D957&lt;&gt;"",DEC2HEX(D957,2),"")</f>
        <v/>
      </c>
      <c r="J957" s="1" t="str">
        <f aca="false">IF(H957&lt;&gt;"","0x"&amp;I957&amp;H957,"")</f>
        <v/>
      </c>
      <c r="L957" s="1" t="s">
        <v>3122</v>
      </c>
      <c r="M957" s="1" t="str">
        <f aca="false">IF(J957&lt;&gt;"",J957,L957)</f>
        <v>40, 45, MAGCARGO</v>
      </c>
    </row>
    <row r="958" customFormat="false" ht="12.75" hidden="false" customHeight="true" outlineLevel="0" collapsed="false">
      <c r="A958" s="3" t="s">
        <v>3123</v>
      </c>
      <c r="B958" s="3" t="str">
        <f aca="false">IF(ISNUMBER(SEARCH("%", A958)),RIGHT(A958,3),A958)</f>
        <v>35, 45, MAGCARGO</v>
      </c>
      <c r="C958" s="1" t="str">
        <f aca="false" t="array" ref="C958:C958">IF(B957="NEW ROUTE",textsplit(B958,","),"")</f>
        <v/>
      </c>
      <c r="H958" s="1" t="str">
        <f aca="false">IF(C958&lt;&gt;"",DEC2HEX(C958,2),"")</f>
        <v/>
      </c>
      <c r="I958" s="1" t="str">
        <f aca="false">IF(D958&lt;&gt;"",DEC2HEX(D958,2),"")</f>
        <v/>
      </c>
      <c r="J958" s="1" t="str">
        <f aca="false">IF(H958&lt;&gt;"","0x"&amp;I958&amp;H958,"")</f>
        <v/>
      </c>
      <c r="L958" s="1" t="s">
        <v>3123</v>
      </c>
      <c r="M958" s="1" t="str">
        <f aca="false">IF(J958&lt;&gt;"",J958,L958)</f>
        <v>35, 45, MAGCARGO</v>
      </c>
    </row>
    <row r="959" customFormat="false" ht="12.75" hidden="false" customHeight="true" outlineLevel="0" collapsed="false">
      <c r="A959" s="3" t="s">
        <v>3124</v>
      </c>
      <c r="B959" s="3" t="str">
        <f aca="false">IF(ISNUMBER(SEARCH("%", A959)),RIGHT(A959,3),A959)</f>
        <v>25, 35, MAGCARGO , &lt;null&gt;</v>
      </c>
      <c r="C959" s="1" t="str">
        <f aca="false" t="array" ref="C959:C959">IF(B958="NEW ROUTE",textsplit(B959,","),"")</f>
        <v/>
      </c>
      <c r="H959" s="1" t="str">
        <f aca="false">IF(C959&lt;&gt;"",DEC2HEX(C959,2),"")</f>
        <v/>
      </c>
      <c r="I959" s="1" t="str">
        <f aca="false">IF(D959&lt;&gt;"",DEC2HEX(D959,2),"")</f>
        <v/>
      </c>
      <c r="J959" s="1" t="str">
        <f aca="false">IF(H959&lt;&gt;"","0x"&amp;I959&amp;H959,"")</f>
        <v/>
      </c>
      <c r="L959" s="1" t="s">
        <v>3124</v>
      </c>
      <c r="M959" s="1" t="str">
        <f aca="false">IF(J959&lt;&gt;"",J959,L959)</f>
        <v>25, 35, MAGCARGO , &lt;null&gt;</v>
      </c>
    </row>
    <row r="960" customFormat="false" ht="12.75" hidden="false" customHeight="true" outlineLevel="0" collapsed="false">
      <c r="A960" s="3" t="s">
        <v>2536</v>
      </c>
      <c r="B960" s="3" t="str">
        <f aca="false">IF(ISNUMBER(SEARCH("%", A960)),RIGHT(A960,3),A960)</f>
        <v>NEW ROUTE</v>
      </c>
      <c r="C960" s="1" t="str">
        <f aca="false" t="array" ref="C960:C960">IF(B959="NEW ROUTE",textsplit(B960,","),"")</f>
        <v/>
      </c>
      <c r="H960" s="1" t="str">
        <f aca="false">IF(C960&lt;&gt;"",DEC2HEX(C960,2),"")</f>
        <v/>
      </c>
      <c r="I960" s="1" t="str">
        <f aca="false">IF(D960&lt;&gt;"",DEC2HEX(D960,2),"")</f>
        <v/>
      </c>
      <c r="J960" s="1" t="str">
        <f aca="false">IF(H960&lt;&gt;"","0x"&amp;I960&amp;H960,"")</f>
        <v/>
      </c>
      <c r="L960" s="1" t="s">
        <v>2536</v>
      </c>
      <c r="M960" s="1" t="str">
        <f aca="false">IF(J960&lt;&gt;"",J960,L960)</f>
        <v>NEW ROUTE</v>
      </c>
    </row>
    <row r="961" customFormat="false" ht="12.75" hidden="false" customHeight="true" outlineLevel="0" collapsed="false">
      <c r="A961" s="3" t="s">
        <v>3125</v>
      </c>
      <c r="B961" s="3" t="str">
        <f aca="false">IF(ISNUMBER(SEARCH("%", A961)),RIGHT(A961,3),A961)</f>
        <v>1, 107, 0,</v>
      </c>
      <c r="C961" s="1" t="e">
        <f aca="false" t="array" ref="C961:C961">IF(B960="NEW ROUTE",textsplit(B961,","),"")</f>
        <v>#NAME?</v>
      </c>
      <c r="H961" s="1" t="e">
        <f aca="false">IF(C961&lt;&gt;"",DEC2HEX(C961,2),"")</f>
        <v>#NAME?</v>
      </c>
      <c r="I961" s="1" t="str">
        <f aca="false">IF(D961&lt;&gt;"",DEC2HEX(D961,2),"")</f>
        <v/>
      </c>
      <c r="J961" s="1" t="e">
        <f aca="false">IF(H961&lt;&gt;"","0x"&amp;I961&amp;H961,"")</f>
        <v>#NAME?</v>
      </c>
      <c r="L961" s="1" t="s">
        <v>3125</v>
      </c>
      <c r="M961" s="1" t="e">
        <f aca="false">IF(J961&lt;&gt;"",J961,L961)</f>
        <v>#NAME?</v>
      </c>
    </row>
    <row r="962" customFormat="false" ht="12.75" hidden="false" customHeight="true" outlineLevel="0" collapsed="false">
      <c r="A962" s="3" t="s">
        <v>2816</v>
      </c>
      <c r="B962" s="3" t="str">
        <f aca="false">IF(ISNUMBER(SEARCH("%", A962)),RIGHT(A962,3),A962)</f>
        <v>20%</v>
      </c>
      <c r="C962" s="1" t="str">
        <f aca="false" t="array" ref="C962:C962">IF(B961="NEW ROUTE",textsplit(B962,","),"")</f>
        <v/>
      </c>
      <c r="H962" s="1" t="str">
        <f aca="false">IF(C962&lt;&gt;"",DEC2HEX(C962,2),"")</f>
        <v/>
      </c>
      <c r="I962" s="1" t="str">
        <f aca="false">IF(D962&lt;&gt;"",DEC2HEX(D962,2),"")</f>
        <v/>
      </c>
      <c r="J962" s="1" t="str">
        <f aca="false">IF(H962&lt;&gt;"","0x"&amp;I962&amp;H962,"")</f>
        <v/>
      </c>
      <c r="L962" s="1" t="s">
        <v>2799</v>
      </c>
      <c r="M962" s="1" t="str">
        <f aca="false">IF(J962&lt;&gt;"",J962,L962)</f>
        <v>20%</v>
      </c>
    </row>
    <row r="963" customFormat="false" ht="12.75" hidden="false" customHeight="true" outlineLevel="0" collapsed="false">
      <c r="A963" s="3" t="s">
        <v>1550</v>
      </c>
      <c r="B963" s="3" t="str">
        <f aca="false">IF(ISNUMBER(SEARCH("%", A963)),RIGHT(A963,3),A963)</f>
        <v>40, 40, GEODUDE</v>
      </c>
      <c r="C963" s="1" t="str">
        <f aca="false" t="array" ref="C963:C963">IF(B962="NEW ROUTE",textsplit(B963,","),"")</f>
        <v/>
      </c>
      <c r="H963" s="1" t="str">
        <f aca="false">IF(C963&lt;&gt;"",DEC2HEX(C963,2),"")</f>
        <v/>
      </c>
      <c r="I963" s="1" t="str">
        <f aca="false">IF(D963&lt;&gt;"",DEC2HEX(D963,2),"")</f>
        <v/>
      </c>
      <c r="J963" s="1" t="str">
        <f aca="false">IF(H963&lt;&gt;"","0x"&amp;I963&amp;H963,"")</f>
        <v/>
      </c>
      <c r="L963" s="1" t="s">
        <v>1550</v>
      </c>
      <c r="M963" s="1" t="str">
        <f aca="false">IF(J963&lt;&gt;"",J963,L963)</f>
        <v>40, 40, GEODUDE</v>
      </c>
    </row>
    <row r="964" customFormat="false" ht="12.75" hidden="false" customHeight="true" outlineLevel="0" collapsed="false">
      <c r="A964" s="3" t="s">
        <v>1556</v>
      </c>
      <c r="B964" s="3" t="str">
        <f aca="false">IF(ISNUMBER(SEARCH("%", A964)),RIGHT(A964,3),A964)</f>
        <v>26, 26, SLUGMA</v>
      </c>
      <c r="C964" s="1" t="str">
        <f aca="false" t="array" ref="C964:C964">IF(B963="NEW ROUTE",textsplit(B964,","),"")</f>
        <v/>
      </c>
      <c r="H964" s="1" t="str">
        <f aca="false">IF(C964&lt;&gt;"",DEC2HEX(C964,2),"")</f>
        <v/>
      </c>
      <c r="I964" s="1" t="str">
        <f aca="false">IF(D964&lt;&gt;"",DEC2HEX(D964,2),"")</f>
        <v/>
      </c>
      <c r="J964" s="1" t="str">
        <f aca="false">IF(H964&lt;&gt;"","0x"&amp;I964&amp;H964,"")</f>
        <v/>
      </c>
      <c r="L964" s="1" t="s">
        <v>1556</v>
      </c>
      <c r="M964" s="1" t="str">
        <f aca="false">IF(J964&lt;&gt;"",J964,L964)</f>
        <v>26, 26, SLUGMA</v>
      </c>
    </row>
    <row r="965" customFormat="false" ht="12.75" hidden="false" customHeight="true" outlineLevel="0" collapsed="false">
      <c r="A965" s="3" t="s">
        <v>2801</v>
      </c>
      <c r="B965" s="3" t="str">
        <f aca="false">IF(ISNUMBER(SEARCH("%", A965)),RIGHT(A965,3),A965)</f>
        <v>0.1</v>
      </c>
      <c r="C965" s="1" t="str">
        <f aca="false" t="array" ref="C965:C965">IF(B964="NEW ROUTE",textsplit(B965,","),"")</f>
        <v/>
      </c>
      <c r="H965" s="1" t="str">
        <f aca="false">IF(C965&lt;&gt;"",DEC2HEX(C965,2),"")</f>
        <v/>
      </c>
      <c r="I965" s="1" t="str">
        <f aca="false">IF(D965&lt;&gt;"",DEC2HEX(D965,2),"")</f>
        <v/>
      </c>
      <c r="J965" s="1" t="str">
        <f aca="false">IF(H965&lt;&gt;"","0x"&amp;I965&amp;H965,"")</f>
        <v/>
      </c>
      <c r="L965" s="1" t="s">
        <v>2801</v>
      </c>
      <c r="M965" s="1" t="str">
        <f aca="false">IF(J965&lt;&gt;"",J965,L965)</f>
        <v>0.1</v>
      </c>
    </row>
    <row r="966" customFormat="false" ht="12.75" hidden="false" customHeight="true" outlineLevel="0" collapsed="false">
      <c r="A966" s="3" t="s">
        <v>3108</v>
      </c>
      <c r="B966" s="3" t="str">
        <f aca="false">IF(ISNUMBER(SEARCH("%", A966)),RIGHT(A966,3),A966)</f>
        <v>42, 42, GEODUDE</v>
      </c>
      <c r="C966" s="1" t="str">
        <f aca="false" t="array" ref="C966:C966">IF(B965="NEW ROUTE",textsplit(B966,","),"")</f>
        <v/>
      </c>
      <c r="H966" s="1" t="str">
        <f aca="false">IF(C966&lt;&gt;"",DEC2HEX(C966,2),"")</f>
        <v/>
      </c>
      <c r="I966" s="1" t="str">
        <f aca="false">IF(D966&lt;&gt;"",DEC2HEX(D966,2),"")</f>
        <v/>
      </c>
      <c r="J966" s="1" t="str">
        <f aca="false">IF(H966&lt;&gt;"","0x"&amp;I966&amp;H966,"")</f>
        <v/>
      </c>
      <c r="L966" s="1" t="s">
        <v>3108</v>
      </c>
      <c r="M966" s="1" t="str">
        <f aca="false">IF(J966&lt;&gt;"",J966,L966)</f>
        <v>42, 42, GEODUDE</v>
      </c>
    </row>
    <row r="967" customFormat="false" ht="12.75" hidden="false" customHeight="true" outlineLevel="0" collapsed="false">
      <c r="A967" s="3" t="s">
        <v>3107</v>
      </c>
      <c r="B967" s="3" t="str">
        <f aca="false">IF(ISNUMBER(SEARCH("%", A967)),RIGHT(A967,3),A967)</f>
        <v>24, 24, SLUGMA</v>
      </c>
      <c r="C967" s="1" t="str">
        <f aca="false" t="array" ref="C967:C967">IF(B966="NEW ROUTE",textsplit(B967,","),"")</f>
        <v/>
      </c>
      <c r="H967" s="1" t="str">
        <f aca="false">IF(C967&lt;&gt;"",DEC2HEX(C967,2),"")</f>
        <v/>
      </c>
      <c r="I967" s="1" t="str">
        <f aca="false">IF(D967&lt;&gt;"",DEC2HEX(D967,2),"")</f>
        <v/>
      </c>
      <c r="J967" s="1" t="str">
        <f aca="false">IF(H967&lt;&gt;"","0x"&amp;I967&amp;H967,"")</f>
        <v/>
      </c>
      <c r="L967" s="1" t="s">
        <v>3107</v>
      </c>
      <c r="M967" s="1" t="str">
        <f aca="false">IF(J967&lt;&gt;"",J967,L967)</f>
        <v>24, 24, SLUGMA</v>
      </c>
    </row>
    <row r="968" customFormat="false" ht="12.75" hidden="false" customHeight="true" outlineLevel="0" collapsed="false">
      <c r="A968" s="3" t="s">
        <v>3109</v>
      </c>
      <c r="B968" s="3" t="str">
        <f aca="false">IF(ISNUMBER(SEARCH("%", A968)),RIGHT(A968,3),A968)</f>
        <v>28, 28, SLUGMA</v>
      </c>
      <c r="C968" s="1" t="str">
        <f aca="false" t="array" ref="C968:C968">IF(B967="NEW ROUTE",textsplit(B968,","),"")</f>
        <v/>
      </c>
      <c r="H968" s="1" t="str">
        <f aca="false">IF(C968&lt;&gt;"",DEC2HEX(C968,2),"")</f>
        <v/>
      </c>
      <c r="I968" s="1" t="str">
        <f aca="false">IF(D968&lt;&gt;"",DEC2HEX(D968,2),"")</f>
        <v/>
      </c>
      <c r="J968" s="1" t="str">
        <f aca="false">IF(H968&lt;&gt;"","0x"&amp;I968&amp;H968,"")</f>
        <v/>
      </c>
      <c r="L968" s="1" t="s">
        <v>3109</v>
      </c>
      <c r="M968" s="1" t="str">
        <f aca="false">IF(J968&lt;&gt;"",J968,L968)</f>
        <v>28, 28, SLUGMA</v>
      </c>
    </row>
    <row r="969" customFormat="false" ht="12.75" hidden="false" customHeight="true" outlineLevel="0" collapsed="false">
      <c r="A969" s="3" t="s">
        <v>3110</v>
      </c>
      <c r="B969" s="3" t="str">
        <f aca="false">IF(ISNUMBER(SEARCH("%", A969)),RIGHT(A969,3),A969)</f>
        <v>30, 30, SLUGMA</v>
      </c>
      <c r="C969" s="1" t="str">
        <f aca="false" t="array" ref="C969:C969">IF(B968="NEW ROUTE",textsplit(B969,","),"")</f>
        <v/>
      </c>
      <c r="H969" s="1" t="str">
        <f aca="false">IF(C969&lt;&gt;"",DEC2HEX(C969,2),"")</f>
        <v/>
      </c>
      <c r="I969" s="1" t="str">
        <f aca="false">IF(D969&lt;&gt;"",DEC2HEX(D969,2),"")</f>
        <v/>
      </c>
      <c r="J969" s="1" t="str">
        <f aca="false">IF(H969&lt;&gt;"","0x"&amp;I969&amp;H969,"")</f>
        <v/>
      </c>
      <c r="L969" s="1" t="s">
        <v>3110</v>
      </c>
      <c r="M969" s="1" t="str">
        <f aca="false">IF(J969&lt;&gt;"",J969,L969)</f>
        <v>30, 30, SLUGMA</v>
      </c>
    </row>
    <row r="970" customFormat="false" ht="12.75" hidden="false" customHeight="true" outlineLevel="0" collapsed="false">
      <c r="A970" s="3" t="s">
        <v>2806</v>
      </c>
      <c r="B970" s="3" t="str">
        <f aca="false">IF(ISNUMBER(SEARCH("%", A970)),RIGHT(A970,3),A970)</f>
        <v>0.05</v>
      </c>
      <c r="C970" s="1" t="str">
        <f aca="false" t="array" ref="C970:C970">IF(B969="NEW ROUTE",textsplit(B970,","),"")</f>
        <v/>
      </c>
      <c r="H970" s="1" t="str">
        <f aca="false">IF(C970&lt;&gt;"",DEC2HEX(C970,2),"")</f>
        <v/>
      </c>
      <c r="I970" s="1" t="str">
        <f aca="false">IF(D970&lt;&gt;"",DEC2HEX(D970,2),"")</f>
        <v/>
      </c>
      <c r="J970" s="1" t="str">
        <f aca="false">IF(H970&lt;&gt;"","0x"&amp;I970&amp;H970,"")</f>
        <v/>
      </c>
      <c r="L970" s="1" t="s">
        <v>2806</v>
      </c>
      <c r="M970" s="1" t="str">
        <f aca="false">IF(J970&lt;&gt;"",J970,L970)</f>
        <v>0.05</v>
      </c>
    </row>
    <row r="971" customFormat="false" ht="12.75" hidden="false" customHeight="true" outlineLevel="0" collapsed="false">
      <c r="A971" s="3" t="s">
        <v>3112</v>
      </c>
      <c r="B971" s="3" t="str">
        <f aca="false">IF(ISNUMBER(SEARCH("%", A971)),RIGHT(A971,3),A971)</f>
        <v>44, 44, GEODUDE</v>
      </c>
      <c r="C971" s="1" t="str">
        <f aca="false" t="array" ref="C971:C971">IF(B970="NEW ROUTE",textsplit(B971,","),"")</f>
        <v/>
      </c>
      <c r="H971" s="1" t="str">
        <f aca="false">IF(C971&lt;&gt;"",DEC2HEX(C971,2),"")</f>
        <v/>
      </c>
      <c r="I971" s="1" t="str">
        <f aca="false">IF(D971&lt;&gt;"",DEC2HEX(D971,2),"")</f>
        <v/>
      </c>
      <c r="J971" s="1" t="str">
        <f aca="false">IF(H971&lt;&gt;"","0x"&amp;I971&amp;H971,"")</f>
        <v/>
      </c>
      <c r="L971" s="1" t="s">
        <v>3112</v>
      </c>
      <c r="M971" s="1" t="str">
        <f aca="false">IF(J971&lt;&gt;"",J971,L971)</f>
        <v>44, 44, GEODUDE</v>
      </c>
    </row>
    <row r="972" customFormat="false" ht="12.75" hidden="false" customHeight="true" outlineLevel="0" collapsed="false">
      <c r="A972" s="3" t="s">
        <v>3113</v>
      </c>
      <c r="B972" s="3" t="str">
        <f aca="false">IF(ISNUMBER(SEARCH("%", A972)),RIGHT(A972,3),A972)</f>
        <v>32, 32, SLUGMA</v>
      </c>
      <c r="C972" s="1" t="str">
        <f aca="false" t="array" ref="C972:C972">IF(B971="NEW ROUTE",textsplit(B972,","),"")</f>
        <v/>
      </c>
      <c r="H972" s="1" t="str">
        <f aca="false">IF(C972&lt;&gt;"",DEC2HEX(C972,2),"")</f>
        <v/>
      </c>
      <c r="I972" s="1" t="str">
        <f aca="false">IF(D972&lt;&gt;"",DEC2HEX(D972,2),"")</f>
        <v/>
      </c>
      <c r="J972" s="1" t="str">
        <f aca="false">IF(H972&lt;&gt;"","0x"&amp;I972&amp;H972,"")</f>
        <v/>
      </c>
      <c r="L972" s="1" t="s">
        <v>3113</v>
      </c>
      <c r="M972" s="1" t="str">
        <f aca="false">IF(J972&lt;&gt;"",J972,L972)</f>
        <v>32, 32, SLUGMA</v>
      </c>
    </row>
    <row r="973" customFormat="false" ht="12.75" hidden="false" customHeight="true" outlineLevel="0" collapsed="false">
      <c r="A973" s="3" t="s">
        <v>2809</v>
      </c>
      <c r="B973" s="3" t="str">
        <f aca="false">IF(ISNUMBER(SEARCH("%", A973)),RIGHT(A973,3),A973)</f>
        <v>0.04</v>
      </c>
      <c r="C973" s="1" t="str">
        <f aca="false" t="array" ref="C973:C973">IF(B972="NEW ROUTE",textsplit(B973,","),"")</f>
        <v/>
      </c>
      <c r="H973" s="1" t="str">
        <f aca="false">IF(C973&lt;&gt;"",DEC2HEX(C973,2),"")</f>
        <v/>
      </c>
      <c r="I973" s="1" t="str">
        <f aca="false">IF(D973&lt;&gt;"",DEC2HEX(D973,2),"")</f>
        <v/>
      </c>
      <c r="J973" s="1" t="str">
        <f aca="false">IF(H973&lt;&gt;"","0x"&amp;I973&amp;H973,"")</f>
        <v/>
      </c>
      <c r="L973" s="1" t="s">
        <v>2809</v>
      </c>
      <c r="M973" s="1" t="str">
        <f aca="false">IF(J973&lt;&gt;"",J973,L973)</f>
        <v>0.04</v>
      </c>
    </row>
    <row r="974" customFormat="false" ht="12.75" hidden="false" customHeight="true" outlineLevel="0" collapsed="false">
      <c r="A974" s="3" t="s">
        <v>3112</v>
      </c>
      <c r="B974" s="3" t="str">
        <f aca="false">IF(ISNUMBER(SEARCH("%", A974)),RIGHT(A974,3),A974)</f>
        <v>44, 44, GEODUDE</v>
      </c>
      <c r="C974" s="1" t="str">
        <f aca="false" t="array" ref="C974:C974">IF(B973="NEW ROUTE",textsplit(B974,","),"")</f>
        <v/>
      </c>
      <c r="H974" s="1" t="str">
        <f aca="false">IF(C974&lt;&gt;"",DEC2HEX(C974,2),"")</f>
        <v/>
      </c>
      <c r="I974" s="1" t="str">
        <f aca="false">IF(D974&lt;&gt;"",DEC2HEX(D974,2),"")</f>
        <v/>
      </c>
      <c r="J974" s="1" t="str">
        <f aca="false">IF(H974&lt;&gt;"","0x"&amp;I974&amp;H974,"")</f>
        <v/>
      </c>
      <c r="L974" s="1" t="s">
        <v>3112</v>
      </c>
      <c r="M974" s="1" t="str">
        <f aca="false">IF(J974&lt;&gt;"",J974,L974)</f>
        <v>44, 44, GEODUDE</v>
      </c>
    </row>
    <row r="975" customFormat="false" ht="12.75" hidden="false" customHeight="true" outlineLevel="0" collapsed="false">
      <c r="A975" s="3" t="s">
        <v>3114</v>
      </c>
      <c r="B975" s="3" t="str">
        <f aca="false">IF(ISNUMBER(SEARCH("%", A975)),RIGHT(A975,3),A975)</f>
        <v>22, 22, SLUGMA</v>
      </c>
      <c r="C975" s="1" t="str">
        <f aca="false" t="array" ref="C975:C975">IF(B974="NEW ROUTE",textsplit(B975,","),"")</f>
        <v/>
      </c>
      <c r="H975" s="1" t="str">
        <f aca="false">IF(C975&lt;&gt;"",DEC2HEX(C975,2),"")</f>
        <v/>
      </c>
      <c r="I975" s="1" t="str">
        <f aca="false">IF(D975&lt;&gt;"",DEC2HEX(D975,2),"")</f>
        <v/>
      </c>
      <c r="J975" s="1" t="str">
        <f aca="false">IF(H975&lt;&gt;"","0x"&amp;I975&amp;H975,"")</f>
        <v/>
      </c>
      <c r="L975" s="1" t="s">
        <v>3114</v>
      </c>
      <c r="M975" s="1" t="str">
        <f aca="false">IF(J975&lt;&gt;"",J975,L975)</f>
        <v>22, 22, SLUGMA</v>
      </c>
    </row>
    <row r="976" customFormat="false" ht="12.75" hidden="false" customHeight="true" outlineLevel="0" collapsed="false">
      <c r="A976" s="3" t="s">
        <v>2812</v>
      </c>
      <c r="B976" s="3" t="str">
        <f aca="false">IF(ISNUMBER(SEARCH("%", A976)),RIGHT(A976,3),A976)</f>
        <v>0.01</v>
      </c>
      <c r="C976" s="1" t="str">
        <f aca="false" t="array" ref="C976:C976">IF(B975="NEW ROUTE",textsplit(B976,","),"")</f>
        <v/>
      </c>
      <c r="H976" s="1" t="str">
        <f aca="false">IF(C976&lt;&gt;"",DEC2HEX(C976,2),"")</f>
        <v/>
      </c>
      <c r="I976" s="1" t="str">
        <f aca="false">IF(D976&lt;&gt;"",DEC2HEX(D976,2),"")</f>
        <v/>
      </c>
      <c r="J976" s="1" t="str">
        <f aca="false">IF(H976&lt;&gt;"","0x"&amp;I976&amp;H976,"")</f>
        <v/>
      </c>
      <c r="L976" s="1" t="s">
        <v>2812</v>
      </c>
      <c r="M976" s="1" t="str">
        <f aca="false">IF(J976&lt;&gt;"",J976,L976)</f>
        <v>0.01</v>
      </c>
    </row>
    <row r="977" customFormat="false" ht="12.75" hidden="false" customHeight="true" outlineLevel="0" collapsed="false">
      <c r="A977" s="3" t="s">
        <v>3112</v>
      </c>
      <c r="B977" s="3" t="str">
        <f aca="false">IF(ISNUMBER(SEARCH("%", A977)),RIGHT(A977,3),A977)</f>
        <v>44, 44, GEODUDE</v>
      </c>
      <c r="C977" s="1" t="str">
        <f aca="false" t="array" ref="C977:C977">IF(B976="NEW ROUTE",textsplit(B977,","),"")</f>
        <v/>
      </c>
      <c r="H977" s="1" t="str">
        <f aca="false">IF(C977&lt;&gt;"",DEC2HEX(C977,2),"")</f>
        <v/>
      </c>
      <c r="I977" s="1" t="str">
        <f aca="false">IF(D977&lt;&gt;"",DEC2HEX(D977,2),"")</f>
        <v/>
      </c>
      <c r="J977" s="1" t="str">
        <f aca="false">IF(H977&lt;&gt;"","0x"&amp;I977&amp;H977,"")</f>
        <v/>
      </c>
      <c r="L977" s="1" t="s">
        <v>3112</v>
      </c>
      <c r="M977" s="1" t="str">
        <f aca="false">IF(J977&lt;&gt;"",J977,L977)</f>
        <v>44, 44, GEODUDE</v>
      </c>
    </row>
    <row r="978" customFormat="false" ht="12.75" hidden="false" customHeight="true" outlineLevel="0" collapsed="false">
      <c r="A978" s="3" t="s">
        <v>3114</v>
      </c>
      <c r="B978" s="3" t="str">
        <f aca="false">IF(ISNUMBER(SEARCH("%", A978)),RIGHT(A978,3),A978)</f>
        <v>22, 22, SLUGMA</v>
      </c>
      <c r="C978" s="1" t="str">
        <f aca="false" t="array" ref="C978:C978">IF(B977="NEW ROUTE",textsplit(B978,","),"")</f>
        <v/>
      </c>
      <c r="H978" s="1" t="str">
        <f aca="false">IF(C978&lt;&gt;"",DEC2HEX(C978,2),"")</f>
        <v/>
      </c>
      <c r="I978" s="1" t="str">
        <f aca="false">IF(D978&lt;&gt;"",DEC2HEX(D978,2),"")</f>
        <v/>
      </c>
      <c r="J978" s="1" t="str">
        <f aca="false">IF(H978&lt;&gt;"","0x"&amp;I978&amp;H978,"")</f>
        <v/>
      </c>
      <c r="L978" s="1" t="s">
        <v>3114</v>
      </c>
      <c r="M978" s="1" t="str">
        <f aca="false">IF(J978&lt;&gt;"",J978,L978)</f>
        <v>22, 22, SLUGMA</v>
      </c>
    </row>
    <row r="979" customFormat="false" ht="12.75" hidden="false" customHeight="true" outlineLevel="0" collapsed="false">
      <c r="A979" s="3" t="s">
        <v>3101</v>
      </c>
      <c r="B979" s="3" t="str">
        <f aca="false">IF(ISNUMBER(SEARCH("%", A979)),RIGHT(A979,3),A979)</f>
        <v>50, 25, 35, GEODUDE</v>
      </c>
      <c r="C979" s="1" t="str">
        <f aca="false" t="array" ref="C979:C979">IF(B978="NEW ROUTE",textsplit(B979,","),"")</f>
        <v/>
      </c>
      <c r="H979" s="1" t="str">
        <f aca="false">IF(C979&lt;&gt;"",DEC2HEX(C979,2),"")</f>
        <v/>
      </c>
      <c r="I979" s="1" t="str">
        <f aca="false">IF(D979&lt;&gt;"",DEC2HEX(D979,2),"")</f>
        <v/>
      </c>
      <c r="J979" s="1" t="str">
        <f aca="false">IF(H979&lt;&gt;"","0x"&amp;I979&amp;H979,"")</f>
        <v/>
      </c>
      <c r="L979" s="1" t="s">
        <v>3101</v>
      </c>
      <c r="M979" s="1" t="str">
        <f aca="false">IF(J979&lt;&gt;"",J979,L979)</f>
        <v>50, 25, 35, GEODUDE</v>
      </c>
    </row>
    <row r="980" customFormat="false" ht="12.75" hidden="false" customHeight="true" outlineLevel="0" collapsed="false">
      <c r="A980" s="3" t="s">
        <v>3102</v>
      </c>
      <c r="B980" s="3" t="str">
        <f aca="false">IF(ISNUMBER(SEARCH("%", A980)),RIGHT(A980,3),A980)</f>
        <v>30, 45, GRAVELER</v>
      </c>
      <c r="C980" s="1" t="str">
        <f aca="false" t="array" ref="C980:C980">IF(B979="NEW ROUTE",textsplit(B980,","),"")</f>
        <v/>
      </c>
      <c r="H980" s="1" t="str">
        <f aca="false">IF(C980&lt;&gt;"",DEC2HEX(C980,2),"")</f>
        <v/>
      </c>
      <c r="I980" s="1" t="str">
        <f aca="false">IF(D980&lt;&gt;"",DEC2HEX(D980,2),"")</f>
        <v/>
      </c>
      <c r="J980" s="1" t="str">
        <f aca="false">IF(H980&lt;&gt;"","0x"&amp;I980&amp;H980,"")</f>
        <v/>
      </c>
      <c r="L980" s="1" t="s">
        <v>3102</v>
      </c>
      <c r="M980" s="1" t="str">
        <f aca="false">IF(J980&lt;&gt;"",J980,L980)</f>
        <v>30, 45, GRAVELER</v>
      </c>
    </row>
    <row r="981" customFormat="false" ht="12.75" hidden="false" customHeight="true" outlineLevel="0" collapsed="false">
      <c r="A981" s="3" t="s">
        <v>3103</v>
      </c>
      <c r="B981" s="3" t="str">
        <f aca="false">IF(ISNUMBER(SEARCH("%", A981)),RIGHT(A981,3),A981)</f>
        <v>35, 50, GRAVELER</v>
      </c>
      <c r="C981" s="1" t="str">
        <f aca="false" t="array" ref="C981:C981">IF(B980="NEW ROUTE",textsplit(B981,","),"")</f>
        <v/>
      </c>
      <c r="H981" s="1" t="str">
        <f aca="false">IF(C981&lt;&gt;"",DEC2HEX(C981,2),"")</f>
        <v/>
      </c>
      <c r="I981" s="1" t="str">
        <f aca="false">IF(D981&lt;&gt;"",DEC2HEX(D981,2),"")</f>
        <v/>
      </c>
      <c r="J981" s="1" t="str">
        <f aca="false">IF(H981&lt;&gt;"","0x"&amp;I981&amp;H981,"")</f>
        <v/>
      </c>
      <c r="L981" s="1" t="s">
        <v>3103</v>
      </c>
      <c r="M981" s="1" t="str">
        <f aca="false">IF(J981&lt;&gt;"",J981,L981)</f>
        <v>35, 50, GRAVELER</v>
      </c>
    </row>
    <row r="982" customFormat="false" ht="12.75" hidden="false" customHeight="true" outlineLevel="0" collapsed="false">
      <c r="A982" s="3" t="s">
        <v>3104</v>
      </c>
      <c r="B982" s="3" t="str">
        <f aca="false">IF(ISNUMBER(SEARCH("%", A982)),RIGHT(A982,3),A982)</f>
        <v>30, 40, GEODUDE</v>
      </c>
      <c r="C982" s="1" t="str">
        <f aca="false" t="array" ref="C982:C982">IF(B981="NEW ROUTE",textsplit(B982,","),"")</f>
        <v/>
      </c>
      <c r="H982" s="1" t="str">
        <f aca="false">IF(C982&lt;&gt;"",DEC2HEX(C982,2),"")</f>
        <v/>
      </c>
      <c r="I982" s="1" t="str">
        <f aca="false">IF(D982&lt;&gt;"",DEC2HEX(D982,2),"")</f>
        <v/>
      </c>
      <c r="J982" s="1" t="str">
        <f aca="false">IF(H982&lt;&gt;"","0x"&amp;I982&amp;H982,"")</f>
        <v/>
      </c>
      <c r="L982" s="1" t="s">
        <v>3104</v>
      </c>
      <c r="M982" s="1" t="str">
        <f aca="false">IF(J982&lt;&gt;"",J982,L982)</f>
        <v>30, 40, GEODUDE</v>
      </c>
    </row>
    <row r="983" customFormat="false" ht="12.75" hidden="false" customHeight="true" outlineLevel="0" collapsed="false">
      <c r="A983" s="3" t="s">
        <v>3105</v>
      </c>
      <c r="B983" s="3" t="str">
        <f aca="false">IF(ISNUMBER(SEARCH("%", A983)),RIGHT(A983,3),A983)</f>
        <v>30, 40, GEODUDE , &lt;null&gt;</v>
      </c>
      <c r="C983" s="1" t="str">
        <f aca="false" t="array" ref="C983:C983">IF(B982="NEW ROUTE",textsplit(B983,","),"")</f>
        <v/>
      </c>
      <c r="H983" s="1" t="str">
        <f aca="false">IF(C983&lt;&gt;"",DEC2HEX(C983,2),"")</f>
        <v/>
      </c>
      <c r="I983" s="1" t="str">
        <f aca="false">IF(D983&lt;&gt;"",DEC2HEX(D983,2),"")</f>
        <v/>
      </c>
      <c r="J983" s="1" t="str">
        <f aca="false">IF(H983&lt;&gt;"","0x"&amp;I983&amp;H983,"")</f>
        <v/>
      </c>
      <c r="L983" s="1" t="s">
        <v>3105</v>
      </c>
      <c r="M983" s="1" t="str">
        <f aca="false">IF(J983&lt;&gt;"",J983,L983)</f>
        <v>30, 40, GEODUDE , &lt;null&gt;</v>
      </c>
    </row>
    <row r="984" customFormat="false" ht="12.75" hidden="false" customHeight="true" outlineLevel="0" collapsed="false">
      <c r="A984" s="3" t="s">
        <v>2536</v>
      </c>
      <c r="B984" s="3" t="str">
        <f aca="false">IF(ISNUMBER(SEARCH("%", A984)),RIGHT(A984,3),A984)</f>
        <v>NEW ROUTE</v>
      </c>
      <c r="C984" s="1" t="str">
        <f aca="false" t="array" ref="C984:C984">IF(B983="NEW ROUTE",textsplit(B984,","),"")</f>
        <v/>
      </c>
      <c r="H984" s="1" t="str">
        <f aca="false">IF(C984&lt;&gt;"",DEC2HEX(C984,2),"")</f>
        <v/>
      </c>
      <c r="I984" s="1" t="str">
        <f aca="false">IF(D984&lt;&gt;"",DEC2HEX(D984,2),"")</f>
        <v/>
      </c>
      <c r="J984" s="1" t="str">
        <f aca="false">IF(H984&lt;&gt;"","0x"&amp;I984&amp;H984,"")</f>
        <v/>
      </c>
      <c r="L984" s="1" t="s">
        <v>2536</v>
      </c>
      <c r="M984" s="1" t="str">
        <f aca="false">IF(J984&lt;&gt;"",J984,L984)</f>
        <v>NEW ROUTE</v>
      </c>
    </row>
    <row r="985" customFormat="false" ht="12.75" hidden="false" customHeight="true" outlineLevel="0" collapsed="false">
      <c r="A985" s="3" t="s">
        <v>3126</v>
      </c>
      <c r="B985" s="3" t="str">
        <f aca="false">IF(ISNUMBER(SEARCH("%", A985)),RIGHT(A985,3),A985)</f>
        <v>1, 108, 0,</v>
      </c>
      <c r="C985" s="1" t="e">
        <f aca="false" t="array" ref="C985:C985">IF(B984="NEW ROUTE",textsplit(B985,","),"")</f>
        <v>#NAME?</v>
      </c>
      <c r="H985" s="1" t="e">
        <f aca="false">IF(C985&lt;&gt;"",DEC2HEX(C985,2),"")</f>
        <v>#NAME?</v>
      </c>
      <c r="I985" s="1" t="str">
        <f aca="false">IF(D985&lt;&gt;"",DEC2HEX(D985,2),"")</f>
        <v/>
      </c>
      <c r="J985" s="1" t="e">
        <f aca="false">IF(H985&lt;&gt;"","0x"&amp;I985&amp;H985,"")</f>
        <v>#NAME?</v>
      </c>
      <c r="L985" s="1" t="s">
        <v>3126</v>
      </c>
      <c r="M985" s="1" t="e">
        <f aca="false">IF(J985&lt;&gt;"",J985,L985)</f>
        <v>#NAME?</v>
      </c>
    </row>
    <row r="986" customFormat="false" ht="12.75" hidden="false" customHeight="true" outlineLevel="0" collapsed="false">
      <c r="A986" s="3" t="s">
        <v>2816</v>
      </c>
      <c r="B986" s="3" t="str">
        <f aca="false">IF(ISNUMBER(SEARCH("%", A986)),RIGHT(A986,3),A986)</f>
        <v>20%</v>
      </c>
      <c r="C986" s="1" t="str">
        <f aca="false" t="array" ref="C986:C986">IF(B985="NEW ROUTE",textsplit(B986,","),"")</f>
        <v/>
      </c>
      <c r="H986" s="1" t="str">
        <f aca="false">IF(C986&lt;&gt;"",DEC2HEX(C986,2),"")</f>
        <v/>
      </c>
      <c r="I986" s="1" t="str">
        <f aca="false">IF(D986&lt;&gt;"",DEC2HEX(D986,2),"")</f>
        <v/>
      </c>
      <c r="J986" s="1" t="str">
        <f aca="false">IF(H986&lt;&gt;"","0x"&amp;I986&amp;H986,"")</f>
        <v/>
      </c>
      <c r="L986" s="1" t="s">
        <v>2799</v>
      </c>
      <c r="M986" s="1" t="str">
        <f aca="false">IF(J986&lt;&gt;"",J986,L986)</f>
        <v>20%</v>
      </c>
    </row>
    <row r="987" customFormat="false" ht="12.75" hidden="false" customHeight="true" outlineLevel="0" collapsed="false">
      <c r="A987" s="3" t="s">
        <v>1541</v>
      </c>
      <c r="B987" s="3" t="str">
        <f aca="false">IF(ISNUMBER(SEARCH("%", A987)),RIGHT(A987,3),A987)</f>
        <v>38, 38, GEODUDE</v>
      </c>
      <c r="C987" s="1" t="str">
        <f aca="false" t="array" ref="C987:C987">IF(B986="NEW ROUTE",textsplit(B987,","),"")</f>
        <v/>
      </c>
      <c r="H987" s="1" t="str">
        <f aca="false">IF(C987&lt;&gt;"",DEC2HEX(C987,2),"")</f>
        <v/>
      </c>
      <c r="I987" s="1" t="str">
        <f aca="false">IF(D987&lt;&gt;"",DEC2HEX(D987,2),"")</f>
        <v/>
      </c>
      <c r="J987" s="1" t="str">
        <f aca="false">IF(H987&lt;&gt;"","0x"&amp;I987&amp;H987,"")</f>
        <v/>
      </c>
      <c r="L987" s="1" t="s">
        <v>1541</v>
      </c>
      <c r="M987" s="1" t="str">
        <f aca="false">IF(J987&lt;&gt;"",J987,L987)</f>
        <v>38, 38, GEODUDE</v>
      </c>
    </row>
    <row r="988" customFormat="false" ht="12.75" hidden="false" customHeight="true" outlineLevel="0" collapsed="false">
      <c r="A988" s="3" t="s">
        <v>1529</v>
      </c>
      <c r="B988" s="3" t="str">
        <f aca="false">IF(ISNUMBER(SEARCH("%", A988)),RIGHT(A988,3),A988)</f>
        <v>36, 36, GEODUDE</v>
      </c>
      <c r="C988" s="1" t="str">
        <f aca="false" t="array" ref="C988:C988">IF(B987="NEW ROUTE",textsplit(B988,","),"")</f>
        <v/>
      </c>
      <c r="H988" s="1" t="str">
        <f aca="false">IF(C988&lt;&gt;"",DEC2HEX(C988,2),"")</f>
        <v/>
      </c>
      <c r="I988" s="1" t="str">
        <f aca="false">IF(D988&lt;&gt;"",DEC2HEX(D988,2),"")</f>
        <v/>
      </c>
      <c r="J988" s="1" t="str">
        <f aca="false">IF(H988&lt;&gt;"","0x"&amp;I988&amp;H988,"")</f>
        <v/>
      </c>
      <c r="L988" s="1" t="s">
        <v>1529</v>
      </c>
      <c r="M988" s="1" t="str">
        <f aca="false">IF(J988&lt;&gt;"",J988,L988)</f>
        <v>36, 36, GEODUDE</v>
      </c>
    </row>
    <row r="989" customFormat="false" ht="12.75" hidden="false" customHeight="true" outlineLevel="0" collapsed="false">
      <c r="A989" s="3" t="s">
        <v>2801</v>
      </c>
      <c r="B989" s="3" t="str">
        <f aca="false">IF(ISNUMBER(SEARCH("%", A989)),RIGHT(A989,3),A989)</f>
        <v>0.1</v>
      </c>
      <c r="C989" s="1" t="str">
        <f aca="false" t="array" ref="C989:C989">IF(B988="NEW ROUTE",textsplit(B989,","),"")</f>
        <v/>
      </c>
      <c r="H989" s="1" t="str">
        <f aca="false">IF(C989&lt;&gt;"",DEC2HEX(C989,2),"")</f>
        <v/>
      </c>
      <c r="I989" s="1" t="str">
        <f aca="false">IF(D989&lt;&gt;"",DEC2HEX(D989,2),"")</f>
        <v/>
      </c>
      <c r="J989" s="1" t="str">
        <f aca="false">IF(H989&lt;&gt;"","0x"&amp;I989&amp;H989,"")</f>
        <v/>
      </c>
      <c r="L989" s="1" t="s">
        <v>2801</v>
      </c>
      <c r="M989" s="1" t="str">
        <f aca="false">IF(J989&lt;&gt;"",J989,L989)</f>
        <v>0.1</v>
      </c>
    </row>
    <row r="990" customFormat="false" ht="12.75" hidden="false" customHeight="true" outlineLevel="0" collapsed="false">
      <c r="A990" s="3" t="s">
        <v>1518</v>
      </c>
      <c r="B990" s="3" t="str">
        <f aca="false">IF(ISNUMBER(SEARCH("%", A990)),RIGHT(A990,3),A990)</f>
        <v>34, 34, GEODUDE</v>
      </c>
      <c r="C990" s="1" t="str">
        <f aca="false" t="array" ref="C990:C990">IF(B989="NEW ROUTE",textsplit(B990,","),"")</f>
        <v/>
      </c>
      <c r="H990" s="1" t="str">
        <f aca="false">IF(C990&lt;&gt;"",DEC2HEX(C990,2),"")</f>
        <v/>
      </c>
      <c r="I990" s="1" t="str">
        <f aca="false">IF(D990&lt;&gt;"",DEC2HEX(D990,2),"")</f>
        <v/>
      </c>
      <c r="J990" s="1" t="str">
        <f aca="false">IF(H990&lt;&gt;"","0x"&amp;I990&amp;H990,"")</f>
        <v/>
      </c>
      <c r="L990" s="1" t="s">
        <v>1518</v>
      </c>
      <c r="M990" s="1" t="str">
        <f aca="false">IF(J990&lt;&gt;"",J990,L990)</f>
        <v>34, 34, GEODUDE</v>
      </c>
    </row>
    <row r="991" customFormat="false" ht="12.75" hidden="false" customHeight="true" outlineLevel="0" collapsed="false">
      <c r="A991" s="3" t="s">
        <v>1550</v>
      </c>
      <c r="B991" s="3" t="str">
        <f aca="false">IF(ISNUMBER(SEARCH("%", A991)),RIGHT(A991,3),A991)</f>
        <v>40, 40, GEODUDE</v>
      </c>
      <c r="C991" s="1" t="str">
        <f aca="false" t="array" ref="C991:C991">IF(B990="NEW ROUTE",textsplit(B991,","),"")</f>
        <v/>
      </c>
      <c r="H991" s="1" t="str">
        <f aca="false">IF(C991&lt;&gt;"",DEC2HEX(C991,2),"")</f>
        <v/>
      </c>
      <c r="I991" s="1" t="str">
        <f aca="false">IF(D991&lt;&gt;"",DEC2HEX(D991,2),"")</f>
        <v/>
      </c>
      <c r="J991" s="1" t="str">
        <f aca="false">IF(H991&lt;&gt;"","0x"&amp;I991&amp;H991,"")</f>
        <v/>
      </c>
      <c r="L991" s="1" t="s">
        <v>1550</v>
      </c>
      <c r="M991" s="1" t="str">
        <f aca="false">IF(J991&lt;&gt;"",J991,L991)</f>
        <v>40, 40, GEODUDE</v>
      </c>
    </row>
    <row r="992" customFormat="false" ht="12.75" hidden="false" customHeight="true" outlineLevel="0" collapsed="false">
      <c r="A992" s="3" t="s">
        <v>3107</v>
      </c>
      <c r="B992" s="3" t="str">
        <f aca="false">IF(ISNUMBER(SEARCH("%", A992)),RIGHT(A992,3),A992)</f>
        <v>24, 24, SLUGMA</v>
      </c>
      <c r="C992" s="1" t="str">
        <f aca="false" t="array" ref="C992:C992">IF(B991="NEW ROUTE",textsplit(B992,","),"")</f>
        <v/>
      </c>
      <c r="H992" s="1" t="str">
        <f aca="false">IF(C992&lt;&gt;"",DEC2HEX(C992,2),"")</f>
        <v/>
      </c>
      <c r="I992" s="1" t="str">
        <f aca="false">IF(D992&lt;&gt;"",DEC2HEX(D992,2),"")</f>
        <v/>
      </c>
      <c r="J992" s="1" t="str">
        <f aca="false">IF(H992&lt;&gt;"","0x"&amp;I992&amp;H992,"")</f>
        <v/>
      </c>
      <c r="L992" s="1" t="s">
        <v>3107</v>
      </c>
      <c r="M992" s="1" t="str">
        <f aca="false">IF(J992&lt;&gt;"",J992,L992)</f>
        <v>24, 24, SLUGMA</v>
      </c>
    </row>
    <row r="993" customFormat="false" ht="12.75" hidden="false" customHeight="true" outlineLevel="0" collapsed="false">
      <c r="A993" s="3" t="s">
        <v>1556</v>
      </c>
      <c r="B993" s="3" t="str">
        <f aca="false">IF(ISNUMBER(SEARCH("%", A993)),RIGHT(A993,3),A993)</f>
        <v>26, 26, SLUGMA</v>
      </c>
      <c r="C993" s="1" t="str">
        <f aca="false" t="array" ref="C993:C993">IF(B992="NEW ROUTE",textsplit(B993,","),"")</f>
        <v/>
      </c>
      <c r="H993" s="1" t="str">
        <f aca="false">IF(C993&lt;&gt;"",DEC2HEX(C993,2),"")</f>
        <v/>
      </c>
      <c r="I993" s="1" t="str">
        <f aca="false">IF(D993&lt;&gt;"",DEC2HEX(D993,2),"")</f>
        <v/>
      </c>
      <c r="J993" s="1" t="str">
        <f aca="false">IF(H993&lt;&gt;"","0x"&amp;I993&amp;H993,"")</f>
        <v/>
      </c>
      <c r="L993" s="1" t="s">
        <v>1556</v>
      </c>
      <c r="M993" s="1" t="str">
        <f aca="false">IF(J993&lt;&gt;"",J993,L993)</f>
        <v>26, 26, SLUGMA</v>
      </c>
    </row>
    <row r="994" customFormat="false" ht="12.75" hidden="false" customHeight="true" outlineLevel="0" collapsed="false">
      <c r="A994" s="3" t="s">
        <v>2806</v>
      </c>
      <c r="B994" s="3" t="str">
        <f aca="false">IF(ISNUMBER(SEARCH("%", A994)),RIGHT(A994,3),A994)</f>
        <v>0.05</v>
      </c>
      <c r="C994" s="1" t="str">
        <f aca="false" t="array" ref="C994:C994">IF(B993="NEW ROUTE",textsplit(B994,","),"")</f>
        <v/>
      </c>
      <c r="H994" s="1" t="str">
        <f aca="false">IF(C994&lt;&gt;"",DEC2HEX(C994,2),"")</f>
        <v/>
      </c>
      <c r="I994" s="1" t="str">
        <f aca="false">IF(D994&lt;&gt;"",DEC2HEX(D994,2),"")</f>
        <v/>
      </c>
      <c r="J994" s="1" t="str">
        <f aca="false">IF(H994&lt;&gt;"","0x"&amp;I994&amp;H994,"")</f>
        <v/>
      </c>
      <c r="L994" s="1" t="s">
        <v>2806</v>
      </c>
      <c r="M994" s="1" t="str">
        <f aca="false">IF(J994&lt;&gt;"",J994,L994)</f>
        <v>0.05</v>
      </c>
    </row>
    <row r="995" customFormat="false" ht="12.75" hidden="false" customHeight="true" outlineLevel="0" collapsed="false">
      <c r="A995" s="3" t="s">
        <v>3108</v>
      </c>
      <c r="B995" s="3" t="str">
        <f aca="false">IF(ISNUMBER(SEARCH("%", A995)),RIGHT(A995,3),A995)</f>
        <v>42, 42, GEODUDE</v>
      </c>
      <c r="C995" s="1" t="str">
        <f aca="false" t="array" ref="C995:C995">IF(B994="NEW ROUTE",textsplit(B995,","),"")</f>
        <v/>
      </c>
      <c r="H995" s="1" t="str">
        <f aca="false">IF(C995&lt;&gt;"",DEC2HEX(C995,2),"")</f>
        <v/>
      </c>
      <c r="I995" s="1" t="str">
        <f aca="false">IF(D995&lt;&gt;"",DEC2HEX(D995,2),"")</f>
        <v/>
      </c>
      <c r="J995" s="1" t="str">
        <f aca="false">IF(H995&lt;&gt;"","0x"&amp;I995&amp;H995,"")</f>
        <v/>
      </c>
      <c r="L995" s="1" t="s">
        <v>3108</v>
      </c>
      <c r="M995" s="1" t="str">
        <f aca="false">IF(J995&lt;&gt;"",J995,L995)</f>
        <v>42, 42, GEODUDE</v>
      </c>
    </row>
    <row r="996" customFormat="false" ht="12.75" hidden="false" customHeight="true" outlineLevel="0" collapsed="false">
      <c r="A996" s="3" t="s">
        <v>3109</v>
      </c>
      <c r="B996" s="3" t="str">
        <f aca="false">IF(ISNUMBER(SEARCH("%", A996)),RIGHT(A996,3),A996)</f>
        <v>28, 28, SLUGMA</v>
      </c>
      <c r="C996" s="1" t="str">
        <f aca="false" t="array" ref="C996:C996">IF(B995="NEW ROUTE",textsplit(B996,","),"")</f>
        <v/>
      </c>
      <c r="H996" s="1" t="str">
        <f aca="false">IF(C996&lt;&gt;"",DEC2HEX(C996,2),"")</f>
        <v/>
      </c>
      <c r="I996" s="1" t="str">
        <f aca="false">IF(D996&lt;&gt;"",DEC2HEX(D996,2),"")</f>
        <v/>
      </c>
      <c r="J996" s="1" t="str">
        <f aca="false">IF(H996&lt;&gt;"","0x"&amp;I996&amp;H996,"")</f>
        <v/>
      </c>
      <c r="L996" s="1" t="s">
        <v>3109</v>
      </c>
      <c r="M996" s="1" t="str">
        <f aca="false">IF(J996&lt;&gt;"",J996,L996)</f>
        <v>28, 28, SLUGMA</v>
      </c>
    </row>
    <row r="997" customFormat="false" ht="12.75" hidden="false" customHeight="true" outlineLevel="0" collapsed="false">
      <c r="A997" s="3" t="s">
        <v>2809</v>
      </c>
      <c r="B997" s="3" t="str">
        <f aca="false">IF(ISNUMBER(SEARCH("%", A997)),RIGHT(A997,3),A997)</f>
        <v>0.04</v>
      </c>
      <c r="C997" s="1" t="str">
        <f aca="false" t="array" ref="C997:C997">IF(B996="NEW ROUTE",textsplit(B997,","),"")</f>
        <v/>
      </c>
      <c r="H997" s="1" t="str">
        <f aca="false">IF(C997&lt;&gt;"",DEC2HEX(C997,2),"")</f>
        <v/>
      </c>
      <c r="I997" s="1" t="str">
        <f aca="false">IF(D997&lt;&gt;"",DEC2HEX(D997,2),"")</f>
        <v/>
      </c>
      <c r="J997" s="1" t="str">
        <f aca="false">IF(H997&lt;&gt;"","0x"&amp;I997&amp;H997,"")</f>
        <v/>
      </c>
      <c r="L997" s="1" t="s">
        <v>2809</v>
      </c>
      <c r="M997" s="1" t="str">
        <f aca="false">IF(J997&lt;&gt;"",J997,L997)</f>
        <v>0.04</v>
      </c>
    </row>
    <row r="998" customFormat="false" ht="12.75" hidden="false" customHeight="true" outlineLevel="0" collapsed="false">
      <c r="A998" s="3" t="s">
        <v>3108</v>
      </c>
      <c r="B998" s="3" t="str">
        <f aca="false">IF(ISNUMBER(SEARCH("%", A998)),RIGHT(A998,3),A998)</f>
        <v>42, 42, GEODUDE</v>
      </c>
      <c r="C998" s="1" t="str">
        <f aca="false" t="array" ref="C998:C998">IF(B997="NEW ROUTE",textsplit(B998,","),"")</f>
        <v/>
      </c>
      <c r="H998" s="1" t="str">
        <f aca="false">IF(C998&lt;&gt;"",DEC2HEX(C998,2),"")</f>
        <v/>
      </c>
      <c r="I998" s="1" t="str">
        <f aca="false">IF(D998&lt;&gt;"",DEC2HEX(D998,2),"")</f>
        <v/>
      </c>
      <c r="J998" s="1" t="str">
        <f aca="false">IF(H998&lt;&gt;"","0x"&amp;I998&amp;H998,"")</f>
        <v/>
      </c>
      <c r="L998" s="1" t="s">
        <v>3108</v>
      </c>
      <c r="M998" s="1" t="str">
        <f aca="false">IF(J998&lt;&gt;"",J998,L998)</f>
        <v>42, 42, GEODUDE</v>
      </c>
    </row>
    <row r="999" customFormat="false" ht="12.75" hidden="false" customHeight="true" outlineLevel="0" collapsed="false">
      <c r="A999" s="3" t="s">
        <v>3110</v>
      </c>
      <c r="B999" s="3" t="str">
        <f aca="false">IF(ISNUMBER(SEARCH("%", A999)),RIGHT(A999,3),A999)</f>
        <v>30, 30, SLUGMA</v>
      </c>
      <c r="C999" s="1" t="str">
        <f aca="false" t="array" ref="C999:C999">IF(B998="NEW ROUTE",textsplit(B999,","),"")</f>
        <v/>
      </c>
      <c r="H999" s="1" t="str">
        <f aca="false">IF(C999&lt;&gt;"",DEC2HEX(C999,2),"")</f>
        <v/>
      </c>
      <c r="I999" s="1" t="str">
        <f aca="false">IF(D999&lt;&gt;"",DEC2HEX(D999,2),"")</f>
        <v/>
      </c>
      <c r="J999" s="1" t="str">
        <f aca="false">IF(H999&lt;&gt;"","0x"&amp;I999&amp;H999,"")</f>
        <v/>
      </c>
      <c r="L999" s="1" t="s">
        <v>3110</v>
      </c>
      <c r="M999" s="1" t="str">
        <f aca="false">IF(J999&lt;&gt;"",J999,L999)</f>
        <v>30, 30, SLUGMA</v>
      </c>
    </row>
    <row r="1000" customFormat="false" ht="12.75" hidden="false" customHeight="true" outlineLevel="0" collapsed="false">
      <c r="A1000" s="3" t="s">
        <v>2812</v>
      </c>
      <c r="B1000" s="3" t="str">
        <f aca="false">IF(ISNUMBER(SEARCH("%", A1000)),RIGHT(A1000,3),A1000)</f>
        <v>0.01</v>
      </c>
      <c r="C1000" s="1" t="str">
        <f aca="false" t="array" ref="C1000:C1000">IF(B999="NEW ROUTE",textsplit(B1000,","),"")</f>
        <v/>
      </c>
      <c r="H1000" s="1" t="str">
        <f aca="false">IF(C1000&lt;&gt;"",DEC2HEX(C1000,2),"")</f>
        <v/>
      </c>
      <c r="I1000" s="1" t="str">
        <f aca="false">IF(D1000&lt;&gt;"",DEC2HEX(D1000,2),"")</f>
        <v/>
      </c>
      <c r="J1000" s="1" t="str">
        <f aca="false">IF(H1000&lt;&gt;"","0x"&amp;I1000&amp;H1000,"")</f>
        <v/>
      </c>
      <c r="L1000" s="1" t="s">
        <v>2812</v>
      </c>
      <c r="M1000" s="1" t="str">
        <f aca="false">IF(J1000&lt;&gt;"",J1000,L1000)</f>
        <v>0.01</v>
      </c>
    </row>
    <row r="1001" customFormat="false" ht="12.75" hidden="false" customHeight="true" outlineLevel="0" collapsed="false">
      <c r="A1001" s="3" t="s">
        <v>3108</v>
      </c>
      <c r="B1001" s="3" t="str">
        <f aca="false">IF(ISNUMBER(SEARCH("%", A1001)),RIGHT(A1001,3),A1001)</f>
        <v>42, 42, GEODUDE</v>
      </c>
      <c r="C1001" s="1" t="str">
        <f aca="false" t="array" ref="C1001:C1001">IF(B1000="NEW ROUTE",textsplit(B1001,","),"")</f>
        <v/>
      </c>
      <c r="H1001" s="1" t="str">
        <f aca="false">IF(C1001&lt;&gt;"",DEC2HEX(C1001,2),"")</f>
        <v/>
      </c>
      <c r="I1001" s="1" t="str">
        <f aca="false">IF(D1001&lt;&gt;"",DEC2HEX(D1001,2),"")</f>
        <v/>
      </c>
      <c r="J1001" s="1" t="str">
        <f aca="false">IF(H1001&lt;&gt;"","0x"&amp;I1001&amp;H1001,"")</f>
        <v/>
      </c>
      <c r="L1001" s="1" t="s">
        <v>3108</v>
      </c>
      <c r="M1001" s="1" t="str">
        <f aca="false">IF(J1001&lt;&gt;"",J1001,L1001)</f>
        <v>42, 42, GEODUDE</v>
      </c>
    </row>
    <row r="1002" customFormat="false" ht="12.75" hidden="false" customHeight="true" outlineLevel="0" collapsed="false">
      <c r="A1002" s="3" t="s">
        <v>3110</v>
      </c>
      <c r="B1002" s="3" t="str">
        <f aca="false">IF(ISNUMBER(SEARCH("%", A1002)),RIGHT(A1002,3),A1002)</f>
        <v>30, 30, SLUGMA</v>
      </c>
      <c r="C1002" s="1" t="str">
        <f aca="false" t="array" ref="C1002:C1002">IF(B1001="NEW ROUTE",textsplit(B1002,","),"")</f>
        <v/>
      </c>
      <c r="H1002" s="1" t="str">
        <f aca="false">IF(C1002&lt;&gt;"",DEC2HEX(C1002,2),"")</f>
        <v/>
      </c>
      <c r="I1002" s="1" t="str">
        <f aca="false">IF(D1002&lt;&gt;"",DEC2HEX(D1002,2),"")</f>
        <v/>
      </c>
      <c r="J1002" s="1" t="str">
        <f aca="false">IF(H1002&lt;&gt;"","0x"&amp;I1002&amp;H1002,"")</f>
        <v/>
      </c>
      <c r="L1002" s="1" t="s">
        <v>3110</v>
      </c>
      <c r="M1002" s="1" t="str">
        <f aca="false">IF(J1002&lt;&gt;"",J1002,L1002)</f>
        <v>30, 30, SLUGMA</v>
      </c>
    </row>
    <row r="1003" customFormat="false" ht="12.75" hidden="false" customHeight="true" outlineLevel="0" collapsed="false">
      <c r="A1003" s="3" t="s">
        <v>3101</v>
      </c>
      <c r="B1003" s="3" t="str">
        <f aca="false">IF(ISNUMBER(SEARCH("%", A1003)),RIGHT(A1003,3),A1003)</f>
        <v>50, 25, 35, GEODUDE</v>
      </c>
      <c r="C1003" s="1" t="str">
        <f aca="false" t="array" ref="C1003:C1003">IF(B1002="NEW ROUTE",textsplit(B1003,","),"")</f>
        <v/>
      </c>
      <c r="H1003" s="1" t="str">
        <f aca="false">IF(C1003&lt;&gt;"",DEC2HEX(C1003,2),"")</f>
        <v/>
      </c>
      <c r="I1003" s="1" t="str">
        <f aca="false">IF(D1003&lt;&gt;"",DEC2HEX(D1003,2),"")</f>
        <v/>
      </c>
      <c r="J1003" s="1" t="str">
        <f aca="false">IF(H1003&lt;&gt;"","0x"&amp;I1003&amp;H1003,"")</f>
        <v/>
      </c>
      <c r="L1003" s="1" t="s">
        <v>3101</v>
      </c>
      <c r="M1003" s="1" t="str">
        <f aca="false">IF(J1003&lt;&gt;"",J1003,L1003)</f>
        <v>50, 25, 35, GEODUDE</v>
      </c>
    </row>
    <row r="1004" customFormat="false" ht="12.75" hidden="false" customHeight="true" outlineLevel="0" collapsed="false">
      <c r="A1004" s="3" t="s">
        <v>3102</v>
      </c>
      <c r="B1004" s="3" t="str">
        <f aca="false">IF(ISNUMBER(SEARCH("%", A1004)),RIGHT(A1004,3),A1004)</f>
        <v>30, 45, GRAVELER</v>
      </c>
      <c r="C1004" s="1" t="str">
        <f aca="false" t="array" ref="C1004:C1004">IF(B1003="NEW ROUTE",textsplit(B1004,","),"")</f>
        <v/>
      </c>
      <c r="H1004" s="1" t="str">
        <f aca="false">IF(C1004&lt;&gt;"",DEC2HEX(C1004,2),"")</f>
        <v/>
      </c>
      <c r="I1004" s="1" t="str">
        <f aca="false">IF(D1004&lt;&gt;"",DEC2HEX(D1004,2),"")</f>
        <v/>
      </c>
      <c r="J1004" s="1" t="str">
        <f aca="false">IF(H1004&lt;&gt;"","0x"&amp;I1004&amp;H1004,"")</f>
        <v/>
      </c>
      <c r="L1004" s="1" t="s">
        <v>3102</v>
      </c>
      <c r="M1004" s="1" t="str">
        <f aca="false">IF(J1004&lt;&gt;"",J1004,L1004)</f>
        <v>30, 45, GRAVELER</v>
      </c>
    </row>
    <row r="1005" customFormat="false" ht="12.75" hidden="false" customHeight="true" outlineLevel="0" collapsed="false">
      <c r="A1005" s="3" t="s">
        <v>3103</v>
      </c>
      <c r="B1005" s="3" t="str">
        <f aca="false">IF(ISNUMBER(SEARCH("%", A1005)),RIGHT(A1005,3),A1005)</f>
        <v>35, 50, GRAVELER</v>
      </c>
      <c r="C1005" s="1" t="str">
        <f aca="false" t="array" ref="C1005:C1005">IF(B1004="NEW ROUTE",textsplit(B1005,","),"")</f>
        <v/>
      </c>
      <c r="H1005" s="1" t="str">
        <f aca="false">IF(C1005&lt;&gt;"",DEC2HEX(C1005,2),"")</f>
        <v/>
      </c>
      <c r="I1005" s="1" t="str">
        <f aca="false">IF(D1005&lt;&gt;"",DEC2HEX(D1005,2),"")</f>
        <v/>
      </c>
      <c r="J1005" s="1" t="str">
        <f aca="false">IF(H1005&lt;&gt;"","0x"&amp;I1005&amp;H1005,"")</f>
        <v/>
      </c>
      <c r="L1005" s="1" t="s">
        <v>3103</v>
      </c>
      <c r="M1005" s="1" t="str">
        <f aca="false">IF(J1005&lt;&gt;"",J1005,L1005)</f>
        <v>35, 50, GRAVELER</v>
      </c>
    </row>
    <row r="1006" customFormat="false" ht="12.75" hidden="false" customHeight="true" outlineLevel="0" collapsed="false">
      <c r="A1006" s="3" t="s">
        <v>3104</v>
      </c>
      <c r="B1006" s="3" t="str">
        <f aca="false">IF(ISNUMBER(SEARCH("%", A1006)),RIGHT(A1006,3),A1006)</f>
        <v>30, 40, GEODUDE</v>
      </c>
      <c r="C1006" s="1" t="str">
        <f aca="false" t="array" ref="C1006:C1006">IF(B1005="NEW ROUTE",textsplit(B1006,","),"")</f>
        <v/>
      </c>
      <c r="H1006" s="1" t="str">
        <f aca="false">IF(C1006&lt;&gt;"",DEC2HEX(C1006,2),"")</f>
        <v/>
      </c>
      <c r="I1006" s="1" t="str">
        <f aca="false">IF(D1006&lt;&gt;"",DEC2HEX(D1006,2),"")</f>
        <v/>
      </c>
      <c r="J1006" s="1" t="str">
        <f aca="false">IF(H1006&lt;&gt;"","0x"&amp;I1006&amp;H1006,"")</f>
        <v/>
      </c>
      <c r="L1006" s="1" t="s">
        <v>3104</v>
      </c>
      <c r="M1006" s="1" t="str">
        <f aca="false">IF(J1006&lt;&gt;"",J1006,L1006)</f>
        <v>30, 40, GEODUDE</v>
      </c>
    </row>
    <row r="1007" customFormat="false" ht="12.75" hidden="false" customHeight="true" outlineLevel="0" collapsed="false">
      <c r="A1007" s="3" t="s">
        <v>3105</v>
      </c>
      <c r="B1007" s="3" t="str">
        <f aca="false">IF(ISNUMBER(SEARCH("%", A1007)),RIGHT(A1007,3),A1007)</f>
        <v>30, 40, GEODUDE , &lt;null&gt;</v>
      </c>
      <c r="C1007" s="1" t="str">
        <f aca="false" t="array" ref="C1007:C1007">IF(B1006="NEW ROUTE",textsplit(B1007,","),"")</f>
        <v/>
      </c>
      <c r="H1007" s="1" t="str">
        <f aca="false">IF(C1007&lt;&gt;"",DEC2HEX(C1007,2),"")</f>
        <v/>
      </c>
      <c r="I1007" s="1" t="str">
        <f aca="false">IF(D1007&lt;&gt;"",DEC2HEX(D1007,2),"")</f>
        <v/>
      </c>
      <c r="J1007" s="1" t="str">
        <f aca="false">IF(H1007&lt;&gt;"","0x"&amp;I1007&amp;H1007,"")</f>
        <v/>
      </c>
      <c r="L1007" s="1" t="s">
        <v>3105</v>
      </c>
      <c r="M1007" s="1" t="str">
        <f aca="false">IF(J1007&lt;&gt;"",J1007,L1007)</f>
        <v>30, 40, GEODUDE , &lt;null&gt;</v>
      </c>
    </row>
    <row r="1008" customFormat="false" ht="12.75" hidden="false" customHeight="true" outlineLevel="0" collapsed="false">
      <c r="A1008" s="3" t="s">
        <v>2536</v>
      </c>
      <c r="B1008" s="3" t="str">
        <f aca="false">IF(ISNUMBER(SEARCH("%", A1008)),RIGHT(A1008,3),A1008)</f>
        <v>NEW ROUTE</v>
      </c>
      <c r="C1008" s="1" t="str">
        <f aca="false" t="array" ref="C1008:C1008">IF(B1007="NEW ROUTE",textsplit(B1008,","),"")</f>
        <v/>
      </c>
      <c r="H1008" s="1" t="str">
        <f aca="false">IF(C1008&lt;&gt;"",DEC2HEX(C1008,2),"")</f>
        <v/>
      </c>
      <c r="I1008" s="1" t="str">
        <f aca="false">IF(D1008&lt;&gt;"",DEC2HEX(D1008,2),"")</f>
        <v/>
      </c>
      <c r="J1008" s="1" t="str">
        <f aca="false">IF(H1008&lt;&gt;"","0x"&amp;I1008&amp;H1008,"")</f>
        <v/>
      </c>
      <c r="L1008" s="1" t="s">
        <v>2536</v>
      </c>
      <c r="M1008" s="1" t="str">
        <f aca="false">IF(J1008&lt;&gt;"",J1008,L1008)</f>
        <v>NEW ROUTE</v>
      </c>
    </row>
    <row r="1009" customFormat="false" ht="12.75" hidden="false" customHeight="true" outlineLevel="0" collapsed="false">
      <c r="A1009" s="3" t="s">
        <v>3127</v>
      </c>
      <c r="B1009" s="3" t="str">
        <f aca="false">IF(ISNUMBER(SEARCH("%", A1009)),RIGHT(A1009,3),A1009)</f>
        <v>1, 109, 0,</v>
      </c>
      <c r="C1009" s="1" t="e">
        <f aca="false" t="array" ref="C1009:C1009">IF(B1008="NEW ROUTE",textsplit(B1009,","),"")</f>
        <v>#NAME?</v>
      </c>
      <c r="H1009" s="1" t="e">
        <f aca="false">IF(C1009&lt;&gt;"",DEC2HEX(C1009,2),"")</f>
        <v>#NAME?</v>
      </c>
      <c r="I1009" s="1" t="str">
        <f aca="false">IF(D1009&lt;&gt;"",DEC2HEX(D1009,2),"")</f>
        <v/>
      </c>
      <c r="J1009" s="1" t="e">
        <f aca="false">IF(H1009&lt;&gt;"","0x"&amp;I1009&amp;H1009,"")</f>
        <v>#NAME?</v>
      </c>
      <c r="L1009" s="1" t="s">
        <v>3127</v>
      </c>
      <c r="M1009" s="1" t="e">
        <f aca="false">IF(J1009&lt;&gt;"",J1009,L1009)</f>
        <v>#NAME?</v>
      </c>
    </row>
    <row r="1010" customFormat="false" ht="12.75" hidden="false" customHeight="true" outlineLevel="0" collapsed="false">
      <c r="A1010" s="3" t="s">
        <v>2908</v>
      </c>
      <c r="B1010" s="3" t="str">
        <f aca="false">IF(ISNUMBER(SEARCH("%", A1010)),RIGHT(A1010,3),A1010)</f>
        <v>20%</v>
      </c>
      <c r="C1010" s="1" t="str">
        <f aca="false" t="array" ref="C1010:C1010">IF(B1009="NEW ROUTE",textsplit(B1010,","),"")</f>
        <v/>
      </c>
      <c r="H1010" s="1" t="str">
        <f aca="false">IF(C1010&lt;&gt;"",DEC2HEX(C1010,2),"")</f>
        <v/>
      </c>
      <c r="I1010" s="1" t="str">
        <f aca="false">IF(D1010&lt;&gt;"",DEC2HEX(D1010,2),"")</f>
        <v/>
      </c>
      <c r="J1010" s="1" t="str">
        <f aca="false">IF(H1010&lt;&gt;"","0x"&amp;I1010&amp;H1010,"")</f>
        <v/>
      </c>
      <c r="L1010" s="1" t="s">
        <v>2799</v>
      </c>
      <c r="M1010" s="1" t="str">
        <f aca="false">IF(J1010&lt;&gt;"",J1010,L1010)</f>
        <v>20%</v>
      </c>
    </row>
    <row r="1011" customFormat="false" ht="12.75" hidden="false" customHeight="true" outlineLevel="0" collapsed="false">
      <c r="A1011" s="3" t="s">
        <v>1569</v>
      </c>
      <c r="B1011" s="3" t="str">
        <f aca="false">IF(ISNUMBER(SEARCH("%", A1011)),RIGHT(A1011,3),A1011)</f>
        <v>37, 37, PIDGEOTTO</v>
      </c>
      <c r="C1011" s="1" t="str">
        <f aca="false" t="array" ref="C1011:C1011">IF(B1010="NEW ROUTE",textsplit(B1011,","),"")</f>
        <v/>
      </c>
      <c r="H1011" s="1" t="str">
        <f aca="false">IF(C1011&lt;&gt;"",DEC2HEX(C1011,2),"")</f>
        <v/>
      </c>
      <c r="I1011" s="1" t="str">
        <f aca="false">IF(D1011&lt;&gt;"",DEC2HEX(D1011,2),"")</f>
        <v/>
      </c>
      <c r="J1011" s="1" t="str">
        <f aca="false">IF(H1011&lt;&gt;"","0x"&amp;I1011&amp;H1011,"")</f>
        <v/>
      </c>
      <c r="L1011" s="1" t="s">
        <v>1569</v>
      </c>
      <c r="M1011" s="1" t="str">
        <f aca="false">IF(J1011&lt;&gt;"",J1011,L1011)</f>
        <v>37, 37, PIDGEOTTO</v>
      </c>
    </row>
    <row r="1012" customFormat="false" ht="12.75" hidden="false" customHeight="true" outlineLevel="0" collapsed="false">
      <c r="A1012" s="3" t="s">
        <v>3128</v>
      </c>
      <c r="B1012" s="3" t="str">
        <f aca="false">IF(ISNUMBER(SEARCH("%", A1012)),RIGHT(A1012,3),A1012)</f>
        <v>35, 35, WEEPINBELL</v>
      </c>
      <c r="C1012" s="1" t="str">
        <f aca="false" t="array" ref="C1012:C1012">IF(B1011="NEW ROUTE",textsplit(B1012,","),"")</f>
        <v/>
      </c>
      <c r="H1012" s="1" t="str">
        <f aca="false">IF(C1012&lt;&gt;"",DEC2HEX(C1012,2),"")</f>
        <v/>
      </c>
      <c r="I1012" s="1" t="str">
        <f aca="false">IF(D1012&lt;&gt;"",DEC2HEX(D1012,2),"")</f>
        <v/>
      </c>
      <c r="J1012" s="1" t="str">
        <f aca="false">IF(H1012&lt;&gt;"","0x"&amp;I1012&amp;H1012,"")</f>
        <v/>
      </c>
      <c r="L1012" s="1" t="s">
        <v>3128</v>
      </c>
      <c r="M1012" s="1" t="str">
        <f aca="false">IF(J1012&lt;&gt;"",J1012,L1012)</f>
        <v>35, 35, WEEPINBELL</v>
      </c>
    </row>
    <row r="1013" customFormat="false" ht="12.75" hidden="false" customHeight="true" outlineLevel="0" collapsed="false">
      <c r="A1013" s="3" t="s">
        <v>2801</v>
      </c>
      <c r="B1013" s="3" t="str">
        <f aca="false">IF(ISNUMBER(SEARCH("%", A1013)),RIGHT(A1013,3),A1013)</f>
        <v>0.1</v>
      </c>
      <c r="C1013" s="1" t="str">
        <f aca="false" t="array" ref="C1013:C1013">IF(B1012="NEW ROUTE",textsplit(B1013,","),"")</f>
        <v/>
      </c>
      <c r="H1013" s="1" t="str">
        <f aca="false">IF(C1013&lt;&gt;"",DEC2HEX(C1013,2),"")</f>
        <v/>
      </c>
      <c r="I1013" s="1" t="str">
        <f aca="false">IF(D1013&lt;&gt;"",DEC2HEX(D1013,2),"")</f>
        <v/>
      </c>
      <c r="J1013" s="1" t="str">
        <f aca="false">IF(H1013&lt;&gt;"","0x"&amp;I1013&amp;H1013,"")</f>
        <v/>
      </c>
      <c r="L1013" s="1" t="s">
        <v>2801</v>
      </c>
      <c r="M1013" s="1" t="str">
        <f aca="false">IF(J1013&lt;&gt;"",J1013,L1013)</f>
        <v>0.1</v>
      </c>
    </row>
    <row r="1014" customFormat="false" ht="12.75" hidden="false" customHeight="true" outlineLevel="0" collapsed="false">
      <c r="A1014" s="3" t="s">
        <v>1695</v>
      </c>
      <c r="B1014" s="3" t="str">
        <f aca="false">IF(ISNUMBER(SEARCH("%", A1014)),RIGHT(A1014,3),A1014)</f>
        <v>32, 32, PIDGEY</v>
      </c>
      <c r="C1014" s="1" t="str">
        <f aca="false" t="array" ref="C1014:C1014">IF(B1013="NEW ROUTE",textsplit(B1014,","),"")</f>
        <v/>
      </c>
      <c r="H1014" s="1" t="str">
        <f aca="false">IF(C1014&lt;&gt;"",DEC2HEX(C1014,2),"")</f>
        <v/>
      </c>
      <c r="I1014" s="1" t="str">
        <f aca="false">IF(D1014&lt;&gt;"",DEC2HEX(D1014,2),"")</f>
        <v/>
      </c>
      <c r="J1014" s="1" t="str">
        <f aca="false">IF(H1014&lt;&gt;"","0x"&amp;I1014&amp;H1014,"")</f>
        <v/>
      </c>
      <c r="L1014" s="1" t="s">
        <v>1695</v>
      </c>
      <c r="M1014" s="1" t="str">
        <f aca="false">IF(J1014&lt;&gt;"",J1014,L1014)</f>
        <v>32, 32, PIDGEY</v>
      </c>
    </row>
    <row r="1015" customFormat="false" ht="12.75" hidden="false" customHeight="true" outlineLevel="0" collapsed="false">
      <c r="A1015" s="3" t="s">
        <v>3129</v>
      </c>
      <c r="B1015" s="3" t="str">
        <f aca="false">IF(ISNUMBER(SEARCH("%", A1015)),RIGHT(A1015,3),A1015)</f>
        <v>30, 30, BELLSPROUT</v>
      </c>
      <c r="C1015" s="1" t="str">
        <f aca="false" t="array" ref="C1015:C1015">IF(B1014="NEW ROUTE",textsplit(B1015,","),"")</f>
        <v/>
      </c>
      <c r="H1015" s="1" t="str">
        <f aca="false">IF(C1015&lt;&gt;"",DEC2HEX(C1015,2),"")</f>
        <v/>
      </c>
      <c r="I1015" s="1" t="str">
        <f aca="false">IF(D1015&lt;&gt;"",DEC2HEX(D1015,2),"")</f>
        <v/>
      </c>
      <c r="J1015" s="1" t="str">
        <f aca="false">IF(H1015&lt;&gt;"","0x"&amp;I1015&amp;H1015,"")</f>
        <v/>
      </c>
      <c r="L1015" s="1" t="s">
        <v>3129</v>
      </c>
      <c r="M1015" s="1" t="str">
        <f aca="false">IF(J1015&lt;&gt;"",J1015,L1015)</f>
        <v>30, 30, BELLSPROUT</v>
      </c>
    </row>
    <row r="1016" customFormat="false" ht="12.75" hidden="false" customHeight="true" outlineLevel="0" collapsed="false">
      <c r="A1016" s="3" t="s">
        <v>3130</v>
      </c>
      <c r="B1016" s="3" t="str">
        <f aca="false">IF(ISNUMBER(SEARCH("%", A1016)),RIGHT(A1016,3),A1016)</f>
        <v>34, 34, VENONAT</v>
      </c>
      <c r="C1016" s="1" t="str">
        <f aca="false" t="array" ref="C1016:C1016">IF(B1015="NEW ROUTE",textsplit(B1016,","),"")</f>
        <v/>
      </c>
      <c r="H1016" s="1" t="str">
        <f aca="false">IF(C1016&lt;&gt;"",DEC2HEX(C1016,2),"")</f>
        <v/>
      </c>
      <c r="I1016" s="1" t="str">
        <f aca="false">IF(D1016&lt;&gt;"",DEC2HEX(D1016,2),"")</f>
        <v/>
      </c>
      <c r="J1016" s="1" t="str">
        <f aca="false">IF(H1016&lt;&gt;"","0x"&amp;I1016&amp;H1016,"")</f>
        <v/>
      </c>
      <c r="L1016" s="1" t="s">
        <v>3130</v>
      </c>
      <c r="M1016" s="1" t="str">
        <f aca="false">IF(J1016&lt;&gt;"",J1016,L1016)</f>
        <v>34, 34, VENONAT</v>
      </c>
    </row>
    <row r="1017" customFormat="false" ht="12.75" hidden="false" customHeight="true" outlineLevel="0" collapsed="false">
      <c r="A1017" s="3" t="s">
        <v>3131</v>
      </c>
      <c r="B1017" s="3" t="str">
        <f aca="false">IF(ISNUMBER(SEARCH("%", A1017)),RIGHT(A1017,3),A1017)</f>
        <v>34, 34, DROWZEE</v>
      </c>
      <c r="C1017" s="1" t="str">
        <f aca="false" t="array" ref="C1017:C1017">IF(B1016="NEW ROUTE",textsplit(B1017,","),"")</f>
        <v/>
      </c>
      <c r="H1017" s="1" t="str">
        <f aca="false">IF(C1017&lt;&gt;"",DEC2HEX(C1017,2),"")</f>
        <v/>
      </c>
      <c r="I1017" s="1" t="str">
        <f aca="false">IF(D1017&lt;&gt;"",DEC2HEX(D1017,2),"")</f>
        <v/>
      </c>
      <c r="J1017" s="1" t="str">
        <f aca="false">IF(H1017&lt;&gt;"","0x"&amp;I1017&amp;H1017,"")</f>
        <v/>
      </c>
      <c r="L1017" s="1" t="s">
        <v>3131</v>
      </c>
      <c r="M1017" s="1" t="str">
        <f aca="false">IF(J1017&lt;&gt;"",J1017,L1017)</f>
        <v>34, 34, DROWZEE</v>
      </c>
    </row>
    <row r="1018" customFormat="false" ht="12.75" hidden="false" customHeight="true" outlineLevel="0" collapsed="false">
      <c r="A1018" s="3" t="s">
        <v>2806</v>
      </c>
      <c r="B1018" s="3" t="str">
        <f aca="false">IF(ISNUMBER(SEARCH("%", A1018)),RIGHT(A1018,3),A1018)</f>
        <v>0.05</v>
      </c>
      <c r="C1018" s="1" t="str">
        <f aca="false" t="array" ref="C1018:C1018">IF(B1017="NEW ROUTE",textsplit(B1018,","),"")</f>
        <v/>
      </c>
      <c r="H1018" s="1" t="str">
        <f aca="false">IF(C1018&lt;&gt;"",DEC2HEX(C1018,2),"")</f>
        <v/>
      </c>
      <c r="I1018" s="1" t="str">
        <f aca="false">IF(D1018&lt;&gt;"",DEC2HEX(D1018,2),"")</f>
        <v/>
      </c>
      <c r="J1018" s="1" t="str">
        <f aca="false">IF(H1018&lt;&gt;"","0x"&amp;I1018&amp;H1018,"")</f>
        <v/>
      </c>
      <c r="L1018" s="1" t="s">
        <v>2806</v>
      </c>
      <c r="M1018" s="1" t="str">
        <f aca="false">IF(J1018&lt;&gt;"",J1018,L1018)</f>
        <v>0.05</v>
      </c>
    </row>
    <row r="1019" customFormat="false" ht="12.75" hidden="false" customHeight="true" outlineLevel="0" collapsed="false">
      <c r="A1019" s="3" t="s">
        <v>3132</v>
      </c>
      <c r="B1019" s="3" t="str">
        <f aca="false">IF(ISNUMBER(SEARCH("%", A1019)),RIGHT(A1019,3),A1019)</f>
        <v>35, 35, EXEGGCUTE</v>
      </c>
      <c r="C1019" s="1" t="str">
        <f aca="false" t="array" ref="C1019:C1019">IF(B1018="NEW ROUTE",textsplit(B1019,","),"")</f>
        <v/>
      </c>
      <c r="H1019" s="1" t="str">
        <f aca="false">IF(C1019&lt;&gt;"",DEC2HEX(C1019,2),"")</f>
        <v/>
      </c>
      <c r="I1019" s="1" t="str">
        <f aca="false">IF(D1019&lt;&gt;"",DEC2HEX(D1019,2),"")</f>
        <v/>
      </c>
      <c r="J1019" s="1" t="str">
        <f aca="false">IF(H1019&lt;&gt;"","0x"&amp;I1019&amp;H1019,"")</f>
        <v/>
      </c>
      <c r="L1019" s="1" t="s">
        <v>3132</v>
      </c>
      <c r="M1019" s="1" t="str">
        <f aca="false">IF(J1019&lt;&gt;"",J1019,L1019)</f>
        <v>35, 35, EXEGGCUTE</v>
      </c>
    </row>
    <row r="1020" customFormat="false" ht="12.75" hidden="false" customHeight="true" outlineLevel="0" collapsed="false">
      <c r="A1020" s="3" t="s">
        <v>3133</v>
      </c>
      <c r="B1020" s="3" t="str">
        <f aca="false">IF(ISNUMBER(SEARCH("%", A1020)),RIGHT(A1020,3),A1020)</f>
        <v>31, 31, SLOWPOKE</v>
      </c>
      <c r="C1020" s="1" t="str">
        <f aca="false" t="array" ref="C1020:C1020">IF(B1019="NEW ROUTE",textsplit(B1020,","),"")</f>
        <v/>
      </c>
      <c r="H1020" s="1" t="str">
        <f aca="false">IF(C1020&lt;&gt;"",DEC2HEX(C1020,2),"")</f>
        <v/>
      </c>
      <c r="I1020" s="1" t="str">
        <f aca="false">IF(D1020&lt;&gt;"",DEC2HEX(D1020,2),"")</f>
        <v/>
      </c>
      <c r="J1020" s="1" t="str">
        <f aca="false">IF(H1020&lt;&gt;"","0x"&amp;I1020&amp;H1020,"")</f>
        <v/>
      </c>
      <c r="L1020" s="1" t="s">
        <v>3133</v>
      </c>
      <c r="M1020" s="1" t="str">
        <f aca="false">IF(J1020&lt;&gt;"",J1020,L1020)</f>
        <v>31, 31, SLOWPOKE</v>
      </c>
    </row>
    <row r="1021" customFormat="false" ht="12.75" hidden="false" customHeight="true" outlineLevel="0" collapsed="false">
      <c r="A1021" s="3" t="s">
        <v>2809</v>
      </c>
      <c r="B1021" s="3" t="str">
        <f aca="false">IF(ISNUMBER(SEARCH("%", A1021)),RIGHT(A1021,3),A1021)</f>
        <v>0.04</v>
      </c>
      <c r="C1021" s="1" t="str">
        <f aca="false" t="array" ref="C1021:C1021">IF(B1020="NEW ROUTE",textsplit(B1021,","),"")</f>
        <v/>
      </c>
      <c r="H1021" s="1" t="str">
        <f aca="false">IF(C1021&lt;&gt;"",DEC2HEX(C1021,2),"")</f>
        <v/>
      </c>
      <c r="I1021" s="1" t="str">
        <f aca="false">IF(D1021&lt;&gt;"",DEC2HEX(D1021,2),"")</f>
        <v/>
      </c>
      <c r="J1021" s="1" t="str">
        <f aca="false">IF(H1021&lt;&gt;"","0x"&amp;I1021&amp;H1021,"")</f>
        <v/>
      </c>
      <c r="L1021" s="1" t="s">
        <v>2809</v>
      </c>
      <c r="M1021" s="1" t="str">
        <f aca="false">IF(J1021&lt;&gt;"",J1021,L1021)</f>
        <v>0.04</v>
      </c>
    </row>
    <row r="1022" customFormat="false" ht="12.75" hidden="false" customHeight="true" outlineLevel="0" collapsed="false">
      <c r="A1022" s="3" t="s">
        <v>3134</v>
      </c>
      <c r="B1022" s="3" t="str">
        <f aca="false">IF(ISNUMBER(SEARCH("%", A1022)),RIGHT(A1022,3),A1022)</f>
        <v>37, 37, VENOMOTH</v>
      </c>
      <c r="C1022" s="1" t="str">
        <f aca="false" t="array" ref="C1022:C1022">IF(B1021="NEW ROUTE",textsplit(B1022,","),"")</f>
        <v/>
      </c>
      <c r="H1022" s="1" t="str">
        <f aca="false">IF(C1022&lt;&gt;"",DEC2HEX(C1022,2),"")</f>
        <v/>
      </c>
      <c r="I1022" s="1" t="str">
        <f aca="false">IF(D1022&lt;&gt;"",DEC2HEX(D1022,2),"")</f>
        <v/>
      </c>
      <c r="J1022" s="1" t="str">
        <f aca="false">IF(H1022&lt;&gt;"","0x"&amp;I1022&amp;H1022,"")</f>
        <v/>
      </c>
      <c r="L1022" s="1" t="s">
        <v>3134</v>
      </c>
      <c r="M1022" s="1" t="str">
        <f aca="false">IF(J1022&lt;&gt;"",J1022,L1022)</f>
        <v>37, 37, VENOMOTH</v>
      </c>
    </row>
    <row r="1023" customFormat="false" ht="12.75" hidden="false" customHeight="true" outlineLevel="0" collapsed="false">
      <c r="A1023" s="3" t="s">
        <v>3135</v>
      </c>
      <c r="B1023" s="3" t="str">
        <f aca="false">IF(ISNUMBER(SEARCH("%", A1023)),RIGHT(A1023,3),A1023)</f>
        <v>37, 37, HYPNO</v>
      </c>
      <c r="C1023" s="1" t="str">
        <f aca="false" t="array" ref="C1023:C1023">IF(B1022="NEW ROUTE",textsplit(B1023,","),"")</f>
        <v/>
      </c>
      <c r="H1023" s="1" t="str">
        <f aca="false">IF(C1023&lt;&gt;"",DEC2HEX(C1023,2),"")</f>
        <v/>
      </c>
      <c r="I1023" s="1" t="str">
        <f aca="false">IF(D1023&lt;&gt;"",DEC2HEX(D1023,2),"")</f>
        <v/>
      </c>
      <c r="J1023" s="1" t="str">
        <f aca="false">IF(H1023&lt;&gt;"","0x"&amp;I1023&amp;H1023,"")</f>
        <v/>
      </c>
      <c r="L1023" s="1" t="s">
        <v>3135</v>
      </c>
      <c r="M1023" s="1" t="str">
        <f aca="false">IF(J1023&lt;&gt;"",J1023,L1023)</f>
        <v>37, 37, HYPNO</v>
      </c>
    </row>
    <row r="1024" customFormat="false" ht="12.75" hidden="false" customHeight="true" outlineLevel="0" collapsed="false">
      <c r="A1024" s="3" t="s">
        <v>2812</v>
      </c>
      <c r="B1024" s="3" t="str">
        <f aca="false">IF(ISNUMBER(SEARCH("%", A1024)),RIGHT(A1024,3),A1024)</f>
        <v>0.01</v>
      </c>
      <c r="C1024" s="1" t="str">
        <f aca="false" t="array" ref="C1024:C1024">IF(B1023="NEW ROUTE",textsplit(B1024,","),"")</f>
        <v/>
      </c>
      <c r="H1024" s="1" t="str">
        <f aca="false">IF(C1024&lt;&gt;"",DEC2HEX(C1024,2),"")</f>
        <v/>
      </c>
      <c r="I1024" s="1" t="str">
        <f aca="false">IF(D1024&lt;&gt;"",DEC2HEX(D1024,2),"")</f>
        <v/>
      </c>
      <c r="J1024" s="1" t="str">
        <f aca="false">IF(H1024&lt;&gt;"","0x"&amp;I1024&amp;H1024,"")</f>
        <v/>
      </c>
      <c r="L1024" s="1" t="s">
        <v>2812</v>
      </c>
      <c r="M1024" s="1" t="str">
        <f aca="false">IF(J1024&lt;&gt;"",J1024,L1024)</f>
        <v>0.01</v>
      </c>
    </row>
    <row r="1025" customFormat="false" ht="12.75" hidden="false" customHeight="true" outlineLevel="0" collapsed="false">
      <c r="A1025" s="3" t="s">
        <v>3136</v>
      </c>
      <c r="B1025" s="3" t="str">
        <f aca="false">IF(ISNUMBER(SEARCH("%", A1025)),RIGHT(A1025,3),A1025)</f>
        <v>40, 40, VENOMOTH</v>
      </c>
      <c r="C1025" s="1" t="str">
        <f aca="false" t="array" ref="C1025:C1025">IF(B1024="NEW ROUTE",textsplit(B1025,","),"")</f>
        <v/>
      </c>
      <c r="H1025" s="1" t="str">
        <f aca="false">IF(C1025&lt;&gt;"",DEC2HEX(C1025,2),"")</f>
        <v/>
      </c>
      <c r="I1025" s="1" t="str">
        <f aca="false">IF(D1025&lt;&gt;"",DEC2HEX(D1025,2),"")</f>
        <v/>
      </c>
      <c r="J1025" s="1" t="str">
        <f aca="false">IF(H1025&lt;&gt;"","0x"&amp;I1025&amp;H1025,"")</f>
        <v/>
      </c>
      <c r="L1025" s="1" t="s">
        <v>3136</v>
      </c>
      <c r="M1025" s="1" t="str">
        <f aca="false">IF(J1025&lt;&gt;"",J1025,L1025)</f>
        <v>40, 40, VENOMOTH</v>
      </c>
    </row>
    <row r="1026" customFormat="false" ht="12.75" hidden="false" customHeight="true" outlineLevel="0" collapsed="false">
      <c r="A1026" s="3" t="s">
        <v>3137</v>
      </c>
      <c r="B1026" s="3" t="str">
        <f aca="false">IF(ISNUMBER(SEARCH("%", A1026)),RIGHT(A1026,3),A1026)</f>
        <v>40, 40, HYPNO</v>
      </c>
      <c r="C1026" s="1" t="str">
        <f aca="false" t="array" ref="C1026:C1026">IF(B1025="NEW ROUTE",textsplit(B1026,","),"")</f>
        <v/>
      </c>
      <c r="H1026" s="1" t="str">
        <f aca="false">IF(C1026&lt;&gt;"",DEC2HEX(C1026,2),"")</f>
        <v/>
      </c>
      <c r="I1026" s="1" t="str">
        <f aca="false">IF(D1026&lt;&gt;"",DEC2HEX(D1026,2),"")</f>
        <v/>
      </c>
      <c r="J1026" s="1" t="str">
        <f aca="false">IF(H1026&lt;&gt;"","0x"&amp;I1026&amp;H1026,"")</f>
        <v/>
      </c>
      <c r="L1026" s="1" t="s">
        <v>3137</v>
      </c>
      <c r="M1026" s="1" t="str">
        <f aca="false">IF(J1026&lt;&gt;"",J1026,L1026)</f>
        <v>40, 40, HYPNO</v>
      </c>
    </row>
    <row r="1027" customFormat="false" ht="12.75" hidden="false" customHeight="true" outlineLevel="0" collapsed="false">
      <c r="A1027" s="3" t="s">
        <v>3138</v>
      </c>
      <c r="B1027" s="3" t="str">
        <f aca="false">IF(ISNUMBER(SEARCH("%", A1027)),RIGHT(A1027,3),A1027)</f>
        <v>2, 5, 20, SLOWPOKE</v>
      </c>
      <c r="C1027" s="1" t="str">
        <f aca="false" t="array" ref="C1027:C1027">IF(B1026="NEW ROUTE",textsplit(B1027,","),"")</f>
        <v/>
      </c>
      <c r="H1027" s="1" t="str">
        <f aca="false">IF(C1027&lt;&gt;"",DEC2HEX(C1027,2),"")</f>
        <v/>
      </c>
      <c r="I1027" s="1" t="str">
        <f aca="false">IF(D1027&lt;&gt;"",DEC2HEX(D1027,2),"")</f>
        <v/>
      </c>
      <c r="J1027" s="1" t="str">
        <f aca="false">IF(H1027&lt;&gt;"","0x"&amp;I1027&amp;H1027,"")</f>
        <v/>
      </c>
      <c r="L1027" s="1" t="s">
        <v>3138</v>
      </c>
      <c r="M1027" s="1" t="str">
        <f aca="false">IF(J1027&lt;&gt;"",J1027,L1027)</f>
        <v>2, 5, 20, SLOWPOKE</v>
      </c>
    </row>
    <row r="1028" customFormat="false" ht="12.75" hidden="false" customHeight="true" outlineLevel="0" collapsed="false">
      <c r="A1028" s="3" t="s">
        <v>3139</v>
      </c>
      <c r="B1028" s="3" t="str">
        <f aca="false">IF(ISNUMBER(SEARCH("%", A1028)),RIGHT(A1028,3),A1028)</f>
        <v>20, 35, SLOWPOKE</v>
      </c>
      <c r="C1028" s="1" t="str">
        <f aca="false" t="array" ref="C1028:C1028">IF(B1027="NEW ROUTE",textsplit(B1028,","),"")</f>
        <v/>
      </c>
      <c r="H1028" s="1" t="str">
        <f aca="false">IF(C1028&lt;&gt;"",DEC2HEX(C1028,2),"")</f>
        <v/>
      </c>
      <c r="I1028" s="1" t="str">
        <f aca="false">IF(D1028&lt;&gt;"",DEC2HEX(D1028,2),"")</f>
        <v/>
      </c>
      <c r="J1028" s="1" t="str">
        <f aca="false">IF(H1028&lt;&gt;"","0x"&amp;I1028&amp;H1028,"")</f>
        <v/>
      </c>
      <c r="L1028" s="1" t="s">
        <v>3139</v>
      </c>
      <c r="M1028" s="1" t="str">
        <f aca="false">IF(J1028&lt;&gt;"",J1028,L1028)</f>
        <v>20, 35, SLOWPOKE</v>
      </c>
    </row>
    <row r="1029" customFormat="false" ht="12.75" hidden="false" customHeight="true" outlineLevel="0" collapsed="false">
      <c r="A1029" s="3" t="s">
        <v>3140</v>
      </c>
      <c r="B1029" s="3" t="str">
        <f aca="false">IF(ISNUMBER(SEARCH("%", A1029)),RIGHT(A1029,3),A1029)</f>
        <v>35, 40, SLOWPOKE</v>
      </c>
      <c r="C1029" s="1" t="str">
        <f aca="false" t="array" ref="C1029:C1029">IF(B1028="NEW ROUTE",textsplit(B1029,","),"")</f>
        <v/>
      </c>
      <c r="H1029" s="1" t="str">
        <f aca="false">IF(C1029&lt;&gt;"",DEC2HEX(C1029,2),"")</f>
        <v/>
      </c>
      <c r="I1029" s="1" t="str">
        <f aca="false">IF(D1029&lt;&gt;"",DEC2HEX(D1029,2),"")</f>
        <v/>
      </c>
      <c r="J1029" s="1" t="str">
        <f aca="false">IF(H1029&lt;&gt;"","0x"&amp;I1029&amp;H1029,"")</f>
        <v/>
      </c>
      <c r="L1029" s="1" t="s">
        <v>3140</v>
      </c>
      <c r="M1029" s="1" t="str">
        <f aca="false">IF(J1029&lt;&gt;"",J1029,L1029)</f>
        <v>35, 40, SLOWPOKE</v>
      </c>
    </row>
    <row r="1030" customFormat="false" ht="12.75" hidden="false" customHeight="true" outlineLevel="0" collapsed="false">
      <c r="A1030" s="3" t="s">
        <v>3141</v>
      </c>
      <c r="B1030" s="3" t="str">
        <f aca="false">IF(ISNUMBER(SEARCH("%", A1030)),RIGHT(A1030,3),A1030)</f>
        <v>35, 40, SLOWBRO</v>
      </c>
      <c r="C1030" s="1" t="str">
        <f aca="false" t="array" ref="C1030:C1030">IF(B1029="NEW ROUTE",textsplit(B1030,","),"")</f>
        <v/>
      </c>
      <c r="H1030" s="1" t="str">
        <f aca="false">IF(C1030&lt;&gt;"",DEC2HEX(C1030,2),"")</f>
        <v/>
      </c>
      <c r="I1030" s="1" t="str">
        <f aca="false">IF(D1030&lt;&gt;"",DEC2HEX(D1030,2),"")</f>
        <v/>
      </c>
      <c r="J1030" s="1" t="str">
        <f aca="false">IF(H1030&lt;&gt;"","0x"&amp;I1030&amp;H1030,"")</f>
        <v/>
      </c>
      <c r="L1030" s="1" t="s">
        <v>3141</v>
      </c>
      <c r="M1030" s="1" t="str">
        <f aca="false">IF(J1030&lt;&gt;"",J1030,L1030)</f>
        <v>35, 40, SLOWBRO</v>
      </c>
    </row>
    <row r="1031" customFormat="false" ht="12.75" hidden="false" customHeight="true" outlineLevel="0" collapsed="false">
      <c r="A1031" s="3" t="s">
        <v>3141</v>
      </c>
      <c r="B1031" s="3" t="str">
        <f aca="false">IF(ISNUMBER(SEARCH("%", A1031)),RIGHT(A1031,3),A1031)</f>
        <v>35, 40, SLOWBRO</v>
      </c>
      <c r="C1031" s="1" t="str">
        <f aca="false" t="array" ref="C1031:C1031">IF(B1030="NEW ROUTE",textsplit(B1031,","),"")</f>
        <v/>
      </c>
      <c r="H1031" s="1" t="str">
        <f aca="false">IF(C1031&lt;&gt;"",DEC2HEX(C1031,2),"")</f>
        <v/>
      </c>
      <c r="I1031" s="1" t="str">
        <f aca="false">IF(D1031&lt;&gt;"",DEC2HEX(D1031,2),"")</f>
        <v/>
      </c>
      <c r="J1031" s="1" t="str">
        <f aca="false">IF(H1031&lt;&gt;"","0x"&amp;I1031&amp;H1031,"")</f>
        <v/>
      </c>
      <c r="L1031" s="1" t="s">
        <v>3141</v>
      </c>
      <c r="M1031" s="1" t="str">
        <f aca="false">IF(J1031&lt;&gt;"",J1031,L1031)</f>
        <v>35, 40, SLOWBRO</v>
      </c>
    </row>
    <row r="1032" customFormat="false" ht="12.75" hidden="false" customHeight="true" outlineLevel="0" collapsed="false">
      <c r="A1032" s="3" t="s">
        <v>2925</v>
      </c>
      <c r="B1032" s="3" t="str">
        <f aca="false">IF(ISNUMBER(SEARCH("%", A1032)),RIGHT(A1032,3),A1032)</f>
        <v>20, old rod:</v>
      </c>
      <c r="C1032" s="1" t="str">
        <f aca="false" t="array" ref="C1032:C1032">IF(B1031="NEW ROUTE",textsplit(B1032,","),"")</f>
        <v/>
      </c>
      <c r="H1032" s="1" t="str">
        <f aca="false">IF(C1032&lt;&gt;"",DEC2HEX(C1032,2),"")</f>
        <v/>
      </c>
      <c r="I1032" s="1" t="str">
        <f aca="false">IF(D1032&lt;&gt;"",DEC2HEX(D1032,2),"")</f>
        <v/>
      </c>
      <c r="J1032" s="1" t="str">
        <f aca="false">IF(H1032&lt;&gt;"","0x"&amp;I1032&amp;H1032,"")</f>
        <v/>
      </c>
      <c r="L1032" s="1" t="s">
        <v>2925</v>
      </c>
      <c r="M1032" s="1" t="str">
        <f aca="false">IF(J1032&lt;&gt;"",J1032,L1032)</f>
        <v>20, old rod:</v>
      </c>
    </row>
    <row r="1033" customFormat="false" ht="12.75" hidden="false" customHeight="true" outlineLevel="0" collapsed="false">
      <c r="A1033" s="3" t="s">
        <v>1266</v>
      </c>
      <c r="B1033" s="3" t="str">
        <f aca="false">IF(ISNUMBER(SEARCH("%", A1033)),RIGHT(A1033,3),A1033)</f>
        <v>5, 5, MAGIKARP</v>
      </c>
      <c r="C1033" s="1" t="str">
        <f aca="false" t="array" ref="C1033:C1033">IF(B1032="NEW ROUTE",textsplit(B1033,","),"")</f>
        <v/>
      </c>
      <c r="H1033" s="1" t="str">
        <f aca="false">IF(C1033&lt;&gt;"",DEC2HEX(C1033,2),"")</f>
        <v/>
      </c>
      <c r="I1033" s="1" t="str">
        <f aca="false">IF(D1033&lt;&gt;"",DEC2HEX(D1033,2),"")</f>
        <v/>
      </c>
      <c r="J1033" s="1" t="str">
        <f aca="false">IF(H1033&lt;&gt;"","0x"&amp;I1033&amp;H1033,"")</f>
        <v/>
      </c>
      <c r="L1033" s="1" t="s">
        <v>1266</v>
      </c>
      <c r="M1033" s="1" t="str">
        <f aca="false">IF(J1033&lt;&gt;"",J1033,L1033)</f>
        <v>5, 5, MAGIKARP</v>
      </c>
    </row>
    <row r="1034" customFormat="false" ht="12.75" hidden="false" customHeight="true" outlineLevel="0" collapsed="false">
      <c r="A1034" s="3" t="s">
        <v>1266</v>
      </c>
      <c r="B1034" s="3" t="str">
        <f aca="false">IF(ISNUMBER(SEARCH("%", A1034)),RIGHT(A1034,3),A1034)</f>
        <v>5, 5, MAGIKARP</v>
      </c>
      <c r="C1034" s="1" t="str">
        <f aca="false" t="array" ref="C1034:C1034">IF(B1033="NEW ROUTE",textsplit(B1034,","),"")</f>
        <v/>
      </c>
      <c r="H1034" s="1" t="str">
        <f aca="false">IF(C1034&lt;&gt;"",DEC2HEX(C1034,2),"")</f>
        <v/>
      </c>
      <c r="I1034" s="1" t="str">
        <f aca="false">IF(D1034&lt;&gt;"",DEC2HEX(D1034,2),"")</f>
        <v/>
      </c>
      <c r="J1034" s="1" t="str">
        <f aca="false">IF(H1034&lt;&gt;"","0x"&amp;I1034&amp;H1034,"")</f>
        <v/>
      </c>
      <c r="L1034" s="1" t="s">
        <v>1266</v>
      </c>
      <c r="M1034" s="1" t="str">
        <f aca="false">IF(J1034&lt;&gt;"",J1034,L1034)</f>
        <v>5, 5, MAGIKARP</v>
      </c>
    </row>
    <row r="1035" customFormat="false" ht="12.75" hidden="false" customHeight="true" outlineLevel="0" collapsed="false">
      <c r="A1035" s="3" t="s">
        <v>2846</v>
      </c>
      <c r="B1035" s="3" t="str">
        <f aca="false">IF(ISNUMBER(SEARCH("%", A1035)),RIGHT(A1035,3),A1035)</f>
        <v>good rod:</v>
      </c>
      <c r="C1035" s="1" t="str">
        <f aca="false" t="array" ref="C1035:C1035">IF(B1034="NEW ROUTE",textsplit(B1035,","),"")</f>
        <v/>
      </c>
      <c r="H1035" s="1" t="str">
        <f aca="false">IF(C1035&lt;&gt;"",DEC2HEX(C1035,2),"")</f>
        <v/>
      </c>
      <c r="I1035" s="1" t="str">
        <f aca="false">IF(D1035&lt;&gt;"",DEC2HEX(D1035,2),"")</f>
        <v/>
      </c>
      <c r="J1035" s="1" t="str">
        <f aca="false">IF(H1035&lt;&gt;"","0x"&amp;I1035&amp;H1035,"")</f>
        <v/>
      </c>
      <c r="L1035" s="1" t="s">
        <v>2846</v>
      </c>
      <c r="M1035" s="1" t="str">
        <f aca="false">IF(J1035&lt;&gt;"",J1035,L1035)</f>
        <v>good rod:</v>
      </c>
    </row>
    <row r="1036" customFormat="false" ht="12.75" hidden="false" customHeight="true" outlineLevel="0" collapsed="false">
      <c r="A1036" s="3" t="s">
        <v>3142</v>
      </c>
      <c r="B1036" s="3" t="str">
        <f aca="false">IF(ISNUMBER(SEARCH("%", A1036)),RIGHT(A1036,3),A1036)</f>
        <v>5, 15, GOLDEEN</v>
      </c>
      <c r="C1036" s="1" t="str">
        <f aca="false" t="array" ref="C1036:C1036">IF(B1035="NEW ROUTE",textsplit(B1036,","),"")</f>
        <v/>
      </c>
      <c r="H1036" s="1" t="str">
        <f aca="false">IF(C1036&lt;&gt;"",DEC2HEX(C1036,2),"")</f>
        <v/>
      </c>
      <c r="I1036" s="1" t="str">
        <f aca="false">IF(D1036&lt;&gt;"",DEC2HEX(D1036,2),"")</f>
        <v/>
      </c>
      <c r="J1036" s="1" t="str">
        <f aca="false">IF(H1036&lt;&gt;"","0x"&amp;I1036&amp;H1036,"")</f>
        <v/>
      </c>
      <c r="L1036" s="1" t="s">
        <v>3142</v>
      </c>
      <c r="M1036" s="1" t="str">
        <f aca="false">IF(J1036&lt;&gt;"",J1036,L1036)</f>
        <v>5, 15, GOLDEEN</v>
      </c>
    </row>
    <row r="1037" customFormat="false" ht="12.75" hidden="false" customHeight="true" outlineLevel="0" collapsed="false">
      <c r="A1037" s="3" t="s">
        <v>2848</v>
      </c>
      <c r="B1037" s="3" t="str">
        <f aca="false">IF(ISNUMBER(SEARCH("%", A1037)),RIGHT(A1037,3),A1037)</f>
        <v>5, 15, MAGIKARP</v>
      </c>
      <c r="C1037" s="1" t="str">
        <f aca="false" t="array" ref="C1037:C1037">IF(B1036="NEW ROUTE",textsplit(B1037,","),"")</f>
        <v/>
      </c>
      <c r="H1037" s="1" t="str">
        <f aca="false">IF(C1037&lt;&gt;"",DEC2HEX(C1037,2),"")</f>
        <v/>
      </c>
      <c r="I1037" s="1" t="str">
        <f aca="false">IF(D1037&lt;&gt;"",DEC2HEX(D1037,2),"")</f>
        <v/>
      </c>
      <c r="J1037" s="1" t="str">
        <f aca="false">IF(H1037&lt;&gt;"","0x"&amp;I1037&amp;H1037,"")</f>
        <v/>
      </c>
      <c r="L1037" s="1" t="s">
        <v>2848</v>
      </c>
      <c r="M1037" s="1" t="str">
        <f aca="false">IF(J1037&lt;&gt;"",J1037,L1037)</f>
        <v>5, 15, MAGIKARP</v>
      </c>
    </row>
    <row r="1038" customFormat="false" ht="12.75" hidden="false" customHeight="true" outlineLevel="0" collapsed="false">
      <c r="A1038" s="3" t="s">
        <v>3143</v>
      </c>
      <c r="B1038" s="3" t="str">
        <f aca="false">IF(ISNUMBER(SEARCH("%", A1038)),RIGHT(A1038,3),A1038)</f>
        <v>5, 15, POLIWAG</v>
      </c>
      <c r="C1038" s="1" t="str">
        <f aca="false" t="array" ref="C1038:C1038">IF(B1037="NEW ROUTE",textsplit(B1038,","),"")</f>
        <v/>
      </c>
      <c r="H1038" s="1" t="str">
        <f aca="false">IF(C1038&lt;&gt;"",DEC2HEX(C1038,2),"")</f>
        <v/>
      </c>
      <c r="I1038" s="1" t="str">
        <f aca="false">IF(D1038&lt;&gt;"",DEC2HEX(D1038,2),"")</f>
        <v/>
      </c>
      <c r="J1038" s="1" t="str">
        <f aca="false">IF(H1038&lt;&gt;"","0x"&amp;I1038&amp;H1038,"")</f>
        <v/>
      </c>
      <c r="L1038" s="1" t="s">
        <v>3143</v>
      </c>
      <c r="M1038" s="1" t="str">
        <f aca="false">IF(J1038&lt;&gt;"",J1038,L1038)</f>
        <v>5, 15, POLIWAG</v>
      </c>
    </row>
    <row r="1039" customFormat="false" ht="12.75" hidden="false" customHeight="true" outlineLevel="0" collapsed="false">
      <c r="A1039" s="3" t="s">
        <v>2850</v>
      </c>
      <c r="B1039" s="3" t="str">
        <f aca="false">IF(ISNUMBER(SEARCH("%", A1039)),RIGHT(A1039,3),A1039)</f>
        <v>super rod:</v>
      </c>
      <c r="C1039" s="1" t="str">
        <f aca="false" t="array" ref="C1039:C1039">IF(B1038="NEW ROUTE",textsplit(B1039,","),"")</f>
        <v/>
      </c>
      <c r="H1039" s="1" t="str">
        <f aca="false">IF(C1039&lt;&gt;"",DEC2HEX(C1039,2),"")</f>
        <v/>
      </c>
      <c r="I1039" s="1" t="str">
        <f aca="false">IF(D1039&lt;&gt;"",DEC2HEX(D1039,2),"")</f>
        <v/>
      </c>
      <c r="J1039" s="1" t="str">
        <f aca="false">IF(H1039&lt;&gt;"","0x"&amp;I1039&amp;H1039,"")</f>
        <v/>
      </c>
      <c r="L1039" s="1" t="s">
        <v>2850</v>
      </c>
      <c r="M1039" s="1" t="str">
        <f aca="false">IF(J1039&lt;&gt;"",J1039,L1039)</f>
        <v>super rod:</v>
      </c>
    </row>
    <row r="1040" customFormat="false" ht="12.75" hidden="false" customHeight="true" outlineLevel="0" collapsed="false">
      <c r="A1040" s="3" t="s">
        <v>3144</v>
      </c>
      <c r="B1040" s="3" t="str">
        <f aca="false">IF(ISNUMBER(SEARCH("%", A1040)),RIGHT(A1040,3),A1040)</f>
        <v>15, 25, GOLDEEN</v>
      </c>
      <c r="C1040" s="1" t="str">
        <f aca="false" t="array" ref="C1040:C1040">IF(B1039="NEW ROUTE",textsplit(B1040,","),"")</f>
        <v/>
      </c>
      <c r="H1040" s="1" t="str">
        <f aca="false">IF(C1040&lt;&gt;"",DEC2HEX(C1040,2),"")</f>
        <v/>
      </c>
      <c r="I1040" s="1" t="str">
        <f aca="false">IF(D1040&lt;&gt;"",DEC2HEX(D1040,2),"")</f>
        <v/>
      </c>
      <c r="J1040" s="1" t="str">
        <f aca="false">IF(H1040&lt;&gt;"","0x"&amp;I1040&amp;H1040,"")</f>
        <v/>
      </c>
      <c r="L1040" s="1" t="s">
        <v>3144</v>
      </c>
      <c r="M1040" s="1" t="str">
        <f aca="false">IF(J1040&lt;&gt;"",J1040,L1040)</f>
        <v>15, 25, GOLDEEN</v>
      </c>
    </row>
    <row r="1041" customFormat="false" ht="12.75" hidden="false" customHeight="true" outlineLevel="0" collapsed="false">
      <c r="A1041" s="3" t="s">
        <v>3145</v>
      </c>
      <c r="B1041" s="3" t="str">
        <f aca="false">IF(ISNUMBER(SEARCH("%", A1041)),RIGHT(A1041,3),A1041)</f>
        <v>20, 30, SEAKING</v>
      </c>
      <c r="C1041" s="1" t="str">
        <f aca="false" t="array" ref="C1041:C1041">IF(B1040="NEW ROUTE",textsplit(B1041,","),"")</f>
        <v/>
      </c>
      <c r="H1041" s="1" t="str">
        <f aca="false">IF(C1041&lt;&gt;"",DEC2HEX(C1041,2),"")</f>
        <v/>
      </c>
      <c r="I1041" s="1" t="str">
        <f aca="false">IF(D1041&lt;&gt;"",DEC2HEX(D1041,2),"")</f>
        <v/>
      </c>
      <c r="J1041" s="1" t="str">
        <f aca="false">IF(H1041&lt;&gt;"","0x"&amp;I1041&amp;H1041,"")</f>
        <v/>
      </c>
      <c r="L1041" s="1" t="s">
        <v>3145</v>
      </c>
      <c r="M1041" s="1" t="str">
        <f aca="false">IF(J1041&lt;&gt;"",J1041,L1041)</f>
        <v>20, 30, SEAKING</v>
      </c>
    </row>
    <row r="1042" customFormat="false" ht="12.75" hidden="false" customHeight="true" outlineLevel="0" collapsed="false">
      <c r="A1042" s="3" t="s">
        <v>2853</v>
      </c>
      <c r="B1042" s="3" t="str">
        <f aca="false">IF(ISNUMBER(SEARCH("%", A1042)),RIGHT(A1042,3),A1042)</f>
        <v>15, 25, GYARADOS</v>
      </c>
      <c r="C1042" s="1" t="str">
        <f aca="false" t="array" ref="C1042:C1042">IF(B1041="NEW ROUTE",textsplit(B1042,","),"")</f>
        <v/>
      </c>
      <c r="H1042" s="1" t="str">
        <f aca="false">IF(C1042&lt;&gt;"",DEC2HEX(C1042,2),"")</f>
        <v/>
      </c>
      <c r="I1042" s="1" t="str">
        <f aca="false">IF(D1042&lt;&gt;"",DEC2HEX(D1042,2),"")</f>
        <v/>
      </c>
      <c r="J1042" s="1" t="str">
        <f aca="false">IF(H1042&lt;&gt;"","0x"&amp;I1042&amp;H1042,"")</f>
        <v/>
      </c>
      <c r="L1042" s="1" t="s">
        <v>2853</v>
      </c>
      <c r="M1042" s="1" t="str">
        <f aca="false">IF(J1042&lt;&gt;"",J1042,L1042)</f>
        <v>15, 25, GYARADOS</v>
      </c>
    </row>
    <row r="1043" customFormat="false" ht="12.75" hidden="false" customHeight="true" outlineLevel="0" collapsed="false">
      <c r="A1043" s="3" t="s">
        <v>3146</v>
      </c>
      <c r="B1043" s="3" t="str">
        <f aca="false">IF(ISNUMBER(SEARCH("%", A1043)),RIGHT(A1043,3),A1043)</f>
        <v>15, 25, SLOWPOKE</v>
      </c>
      <c r="C1043" s="1" t="str">
        <f aca="false" t="array" ref="C1043:C1043">IF(B1042="NEW ROUTE",textsplit(B1043,","),"")</f>
        <v/>
      </c>
      <c r="H1043" s="1" t="str">
        <f aca="false">IF(C1043&lt;&gt;"",DEC2HEX(C1043,2),"")</f>
        <v/>
      </c>
      <c r="I1043" s="1" t="str">
        <f aca="false">IF(D1043&lt;&gt;"",DEC2HEX(D1043,2),"")</f>
        <v/>
      </c>
      <c r="J1043" s="1" t="str">
        <f aca="false">IF(H1043&lt;&gt;"","0x"&amp;I1043&amp;H1043,"")</f>
        <v/>
      </c>
      <c r="L1043" s="1" t="s">
        <v>3146</v>
      </c>
      <c r="M1043" s="1" t="str">
        <f aca="false">IF(J1043&lt;&gt;"",J1043,L1043)</f>
        <v>15, 25, SLOWPOKE</v>
      </c>
    </row>
    <row r="1044" customFormat="false" ht="12.75" hidden="false" customHeight="true" outlineLevel="0" collapsed="false">
      <c r="A1044" s="3" t="s">
        <v>2855</v>
      </c>
      <c r="B1044" s="3" t="str">
        <f aca="false">IF(ISNUMBER(SEARCH("%", A1044)),RIGHT(A1044,3),A1044)</f>
        <v>25, 35, SLOWPOKE</v>
      </c>
      <c r="C1044" s="1" t="str">
        <f aca="false" t="array" ref="C1044:C1044">IF(B1043="NEW ROUTE",textsplit(B1044,","),"")</f>
        <v/>
      </c>
      <c r="H1044" s="1" t="str">
        <f aca="false">IF(C1044&lt;&gt;"",DEC2HEX(C1044,2),"")</f>
        <v/>
      </c>
      <c r="I1044" s="1" t="str">
        <f aca="false">IF(D1044&lt;&gt;"",DEC2HEX(D1044,2),"")</f>
        <v/>
      </c>
      <c r="J1044" s="1" t="str">
        <f aca="false">IF(H1044&lt;&gt;"","0x"&amp;I1044&amp;H1044,"")</f>
        <v/>
      </c>
      <c r="L1044" s="1" t="s">
        <v>2855</v>
      </c>
      <c r="M1044" s="1" t="str">
        <f aca="false">IF(J1044&lt;&gt;"",J1044,L1044)</f>
        <v>25, 35, SLOWPOKE</v>
      </c>
    </row>
    <row r="1045" customFormat="false" ht="12.75" hidden="false" customHeight="true" outlineLevel="0" collapsed="false">
      <c r="A1045" s="3" t="s">
        <v>2536</v>
      </c>
      <c r="B1045" s="3" t="str">
        <f aca="false">IF(ISNUMBER(SEARCH("%", A1045)),RIGHT(A1045,3),A1045)</f>
        <v>NEW ROUTE</v>
      </c>
      <c r="C1045" s="1" t="str">
        <f aca="false" t="array" ref="C1045:C1045">IF(B1044="NEW ROUTE",textsplit(B1045,","),"")</f>
        <v/>
      </c>
      <c r="H1045" s="1" t="str">
        <f aca="false">IF(C1045&lt;&gt;"",DEC2HEX(C1045,2),"")</f>
        <v/>
      </c>
      <c r="I1045" s="1" t="str">
        <f aca="false">IF(D1045&lt;&gt;"",DEC2HEX(D1045,2),"")</f>
        <v/>
      </c>
      <c r="J1045" s="1" t="str">
        <f aca="false">IF(H1045&lt;&gt;"","0x"&amp;I1045&amp;H1045,"")</f>
        <v/>
      </c>
      <c r="L1045" s="1" t="s">
        <v>2536</v>
      </c>
      <c r="M1045" s="1" t="str">
        <f aca="false">IF(J1045&lt;&gt;"",J1045,L1045)</f>
        <v>NEW ROUTE</v>
      </c>
    </row>
    <row r="1046" customFormat="false" ht="12.75" hidden="false" customHeight="true" outlineLevel="0" collapsed="false">
      <c r="A1046" s="3" t="s">
        <v>3147</v>
      </c>
      <c r="B1046" s="3" t="str">
        <f aca="false">IF(ISNUMBER(SEARCH("%", A1046)),RIGHT(A1046,3),A1046)</f>
        <v>1, 110, 0,</v>
      </c>
      <c r="C1046" s="1" t="e">
        <f aca="false" t="array" ref="C1046:C1046">IF(B1045="NEW ROUTE",textsplit(B1046,","),"")</f>
        <v>#NAME?</v>
      </c>
      <c r="H1046" s="1" t="e">
        <f aca="false">IF(C1046&lt;&gt;"",DEC2HEX(C1046,2),"")</f>
        <v>#NAME?</v>
      </c>
      <c r="I1046" s="1" t="str">
        <f aca="false">IF(D1046&lt;&gt;"",DEC2HEX(D1046,2),"")</f>
        <v/>
      </c>
      <c r="J1046" s="1" t="e">
        <f aca="false">IF(H1046&lt;&gt;"","0x"&amp;I1046&amp;H1046,"")</f>
        <v>#NAME?</v>
      </c>
      <c r="L1046" s="1" t="s">
        <v>3147</v>
      </c>
      <c r="M1046" s="1" t="e">
        <f aca="false">IF(J1046&lt;&gt;"",J1046,L1046)</f>
        <v>#NAME?</v>
      </c>
    </row>
    <row r="1047" customFormat="false" ht="12.75" hidden="false" customHeight="true" outlineLevel="0" collapsed="false">
      <c r="A1047" s="3" t="s">
        <v>2816</v>
      </c>
      <c r="B1047" s="3" t="str">
        <f aca="false">IF(ISNUMBER(SEARCH("%", A1047)),RIGHT(A1047,3),A1047)</f>
        <v>20%</v>
      </c>
      <c r="C1047" s="1" t="str">
        <f aca="false" t="array" ref="C1047:C1047">IF(B1046="NEW ROUTE",textsplit(B1047,","),"")</f>
        <v/>
      </c>
      <c r="H1047" s="1" t="str">
        <f aca="false">IF(C1047&lt;&gt;"",DEC2HEX(C1047,2),"")</f>
        <v/>
      </c>
      <c r="I1047" s="1" t="str">
        <f aca="false">IF(D1047&lt;&gt;"",DEC2HEX(D1047,2),"")</f>
        <v/>
      </c>
      <c r="J1047" s="1" t="str">
        <f aca="false">IF(H1047&lt;&gt;"","0x"&amp;I1047&amp;H1047,"")</f>
        <v/>
      </c>
      <c r="L1047" s="1" t="s">
        <v>2799</v>
      </c>
      <c r="M1047" s="1" t="str">
        <f aca="false">IF(J1047&lt;&gt;"",J1047,L1047)</f>
        <v>20%</v>
      </c>
    </row>
    <row r="1048" customFormat="false" ht="12.75" hidden="false" customHeight="true" outlineLevel="0" collapsed="false">
      <c r="A1048" s="3" t="s">
        <v>1591</v>
      </c>
      <c r="B1048" s="3" t="str">
        <f aca="false">IF(ISNUMBER(SEARCH("%", A1048)),RIGHT(A1048,3),A1048)</f>
        <v>43, 43, SEEL</v>
      </c>
      <c r="C1048" s="1" t="str">
        <f aca="false" t="array" ref="C1048:C1048">IF(B1047="NEW ROUTE",textsplit(B1048,","),"")</f>
        <v/>
      </c>
      <c r="H1048" s="1" t="str">
        <f aca="false">IF(C1048&lt;&gt;"",DEC2HEX(C1048,2),"")</f>
        <v/>
      </c>
      <c r="I1048" s="1" t="str">
        <f aca="false">IF(D1048&lt;&gt;"",DEC2HEX(D1048,2),"")</f>
        <v/>
      </c>
      <c r="J1048" s="1" t="str">
        <f aca="false">IF(H1048&lt;&gt;"","0x"&amp;I1048&amp;H1048,"")</f>
        <v/>
      </c>
      <c r="L1048" s="1" t="s">
        <v>1591</v>
      </c>
      <c r="M1048" s="1" t="str">
        <f aca="false">IF(J1048&lt;&gt;"",J1048,L1048)</f>
        <v>43, 43, SEEL</v>
      </c>
    </row>
    <row r="1049" customFormat="false" ht="12.75" hidden="false" customHeight="true" outlineLevel="0" collapsed="false">
      <c r="A1049" s="3" t="s">
        <v>3148</v>
      </c>
      <c r="B1049" s="3" t="str">
        <f aca="false">IF(ISNUMBER(SEARCH("%", A1049)),RIGHT(A1049,3),A1049)</f>
        <v>45, 45, GOLBAT</v>
      </c>
      <c r="C1049" s="1" t="str">
        <f aca="false" t="array" ref="C1049:C1049">IF(B1048="NEW ROUTE",textsplit(B1049,","),"")</f>
        <v/>
      </c>
      <c r="H1049" s="1" t="str">
        <f aca="false">IF(C1049&lt;&gt;"",DEC2HEX(C1049,2),"")</f>
        <v/>
      </c>
      <c r="I1049" s="1" t="str">
        <f aca="false">IF(D1049&lt;&gt;"",DEC2HEX(D1049,2),"")</f>
        <v/>
      </c>
      <c r="J1049" s="1" t="str">
        <f aca="false">IF(H1049&lt;&gt;"","0x"&amp;I1049&amp;H1049,"")</f>
        <v/>
      </c>
      <c r="L1049" s="1" t="s">
        <v>3148</v>
      </c>
      <c r="M1049" s="1" t="str">
        <f aca="false">IF(J1049&lt;&gt;"",J1049,L1049)</f>
        <v>45, 45, GOLBAT</v>
      </c>
    </row>
    <row r="1050" customFormat="false" ht="12.75" hidden="false" customHeight="true" outlineLevel="0" collapsed="false">
      <c r="A1050" s="3" t="s">
        <v>2801</v>
      </c>
      <c r="B1050" s="3" t="str">
        <f aca="false">IF(ISNUMBER(SEARCH("%", A1050)),RIGHT(A1050,3),A1050)</f>
        <v>0.1</v>
      </c>
      <c r="C1050" s="1" t="str">
        <f aca="false" t="array" ref="C1050:C1050">IF(B1049="NEW ROUTE",textsplit(B1050,","),"")</f>
        <v/>
      </c>
      <c r="H1050" s="1" t="str">
        <f aca="false">IF(C1050&lt;&gt;"",DEC2HEX(C1050,2),"")</f>
        <v/>
      </c>
      <c r="I1050" s="1" t="str">
        <f aca="false">IF(D1050&lt;&gt;"",DEC2HEX(D1050,2),"")</f>
        <v/>
      </c>
      <c r="J1050" s="1" t="str">
        <f aca="false">IF(H1050&lt;&gt;"","0x"&amp;I1050&amp;H1050,"")</f>
        <v/>
      </c>
      <c r="L1050" s="1" t="s">
        <v>2801</v>
      </c>
      <c r="M1050" s="1" t="str">
        <f aca="false">IF(J1050&lt;&gt;"",J1050,L1050)</f>
        <v>0.1</v>
      </c>
    </row>
    <row r="1051" customFormat="false" ht="12.75" hidden="false" customHeight="true" outlineLevel="0" collapsed="false">
      <c r="A1051" s="3" t="s">
        <v>3149</v>
      </c>
      <c r="B1051" s="3" t="str">
        <f aca="false">IF(ISNUMBER(SEARCH("%", A1051)),RIGHT(A1051,3),A1051)</f>
        <v>45, 45, SEEL</v>
      </c>
      <c r="C1051" s="1" t="str">
        <f aca="false" t="array" ref="C1051:C1051">IF(B1050="NEW ROUTE",textsplit(B1051,","),"")</f>
        <v/>
      </c>
      <c r="H1051" s="1" t="str">
        <f aca="false">IF(C1051&lt;&gt;"",DEC2HEX(C1051,2),"")</f>
        <v/>
      </c>
      <c r="I1051" s="1" t="str">
        <f aca="false">IF(D1051&lt;&gt;"",DEC2HEX(D1051,2),"")</f>
        <v/>
      </c>
      <c r="J1051" s="1" t="str">
        <f aca="false">IF(H1051&lt;&gt;"","0x"&amp;I1051&amp;H1051,"")</f>
        <v/>
      </c>
      <c r="L1051" s="1" t="s">
        <v>3149</v>
      </c>
      <c r="M1051" s="1" t="str">
        <f aca="false">IF(J1051&lt;&gt;"",J1051,L1051)</f>
        <v>45, 45, SEEL</v>
      </c>
    </row>
    <row r="1052" customFormat="false" ht="12.75" hidden="false" customHeight="true" outlineLevel="0" collapsed="false">
      <c r="A1052" s="3" t="s">
        <v>3150</v>
      </c>
      <c r="B1052" s="3" t="str">
        <f aca="false">IF(ISNUMBER(SEARCH("%", A1052)),RIGHT(A1052,3),A1052)</f>
        <v>47, 47, SEEL</v>
      </c>
      <c r="C1052" s="1" t="str">
        <f aca="false" t="array" ref="C1052:C1052">IF(B1051="NEW ROUTE",textsplit(B1052,","),"")</f>
        <v/>
      </c>
      <c r="H1052" s="1" t="str">
        <f aca="false">IF(C1052&lt;&gt;"",DEC2HEX(C1052,2),"")</f>
        <v/>
      </c>
      <c r="I1052" s="1" t="str">
        <f aca="false">IF(D1052&lt;&gt;"",DEC2HEX(D1052,2),"")</f>
        <v/>
      </c>
      <c r="J1052" s="1" t="str">
        <f aca="false">IF(H1052&lt;&gt;"","0x"&amp;I1052&amp;H1052,"")</f>
        <v/>
      </c>
      <c r="L1052" s="1" t="s">
        <v>3150</v>
      </c>
      <c r="M1052" s="1" t="str">
        <f aca="false">IF(J1052&lt;&gt;"",J1052,L1052)</f>
        <v>47, 47, SEEL</v>
      </c>
    </row>
    <row r="1053" customFormat="false" ht="12.75" hidden="false" customHeight="true" outlineLevel="0" collapsed="false">
      <c r="A1053" s="3" t="s">
        <v>3151</v>
      </c>
      <c r="B1053" s="3" t="str">
        <f aca="false">IF(ISNUMBER(SEARCH("%", A1053)),RIGHT(A1053,3),A1053)</f>
        <v>40, 40, ZUBAT</v>
      </c>
      <c r="C1053" s="1" t="str">
        <f aca="false" t="array" ref="C1053:C1053">IF(B1052="NEW ROUTE",textsplit(B1053,","),"")</f>
        <v/>
      </c>
      <c r="H1053" s="1" t="str">
        <f aca="false">IF(C1053&lt;&gt;"",DEC2HEX(C1053,2),"")</f>
        <v/>
      </c>
      <c r="I1053" s="1" t="str">
        <f aca="false">IF(D1053&lt;&gt;"",DEC2HEX(D1053,2),"")</f>
        <v/>
      </c>
      <c r="J1053" s="1" t="str">
        <f aca="false">IF(H1053&lt;&gt;"","0x"&amp;I1053&amp;H1053,"")</f>
        <v/>
      </c>
      <c r="L1053" s="1" t="s">
        <v>3151</v>
      </c>
      <c r="M1053" s="1" t="str">
        <f aca="false">IF(J1053&lt;&gt;"",J1053,L1053)</f>
        <v>40, 40, ZUBAT</v>
      </c>
    </row>
    <row r="1054" customFormat="false" ht="12.75" hidden="false" customHeight="true" outlineLevel="0" collapsed="false">
      <c r="A1054" s="3" t="s">
        <v>3152</v>
      </c>
      <c r="B1054" s="3" t="str">
        <f aca="false">IF(ISNUMBER(SEARCH("%", A1054)),RIGHT(A1054,3),A1054)</f>
        <v>49, 49, DEWGONG</v>
      </c>
      <c r="C1054" s="1" t="str">
        <f aca="false" t="array" ref="C1054:C1054">IF(B1053="NEW ROUTE",textsplit(B1054,","),"")</f>
        <v/>
      </c>
      <c r="H1054" s="1" t="str">
        <f aca="false">IF(C1054&lt;&gt;"",DEC2HEX(C1054,2),"")</f>
        <v/>
      </c>
      <c r="I1054" s="1" t="str">
        <f aca="false">IF(D1054&lt;&gt;"",DEC2HEX(D1054,2),"")</f>
        <v/>
      </c>
      <c r="J1054" s="1" t="str">
        <f aca="false">IF(H1054&lt;&gt;"","0x"&amp;I1054&amp;H1054,"")</f>
        <v/>
      </c>
      <c r="L1054" s="1" t="s">
        <v>3152</v>
      </c>
      <c r="M1054" s="1" t="str">
        <f aca="false">IF(J1054&lt;&gt;"",J1054,L1054)</f>
        <v>49, 49, DEWGONG</v>
      </c>
    </row>
    <row r="1055" customFormat="false" ht="12.75" hidden="false" customHeight="true" outlineLevel="0" collapsed="false">
      <c r="A1055" s="3" t="s">
        <v>2806</v>
      </c>
      <c r="B1055" s="3" t="str">
        <f aca="false">IF(ISNUMBER(SEARCH("%", A1055)),RIGHT(A1055,3),A1055)</f>
        <v>0.05</v>
      </c>
      <c r="C1055" s="1" t="str">
        <f aca="false" t="array" ref="C1055:C1055">IF(B1054="NEW ROUTE",textsplit(B1055,","),"")</f>
        <v/>
      </c>
      <c r="H1055" s="1" t="str">
        <f aca="false">IF(C1055&lt;&gt;"",DEC2HEX(C1055,2),"")</f>
        <v/>
      </c>
      <c r="I1055" s="1" t="str">
        <f aca="false">IF(D1055&lt;&gt;"",DEC2HEX(D1055,2),"")</f>
        <v/>
      </c>
      <c r="J1055" s="1" t="str">
        <f aca="false">IF(H1055&lt;&gt;"","0x"&amp;I1055&amp;H1055,"")</f>
        <v/>
      </c>
      <c r="L1055" s="1" t="s">
        <v>2806</v>
      </c>
      <c r="M1055" s="1" t="str">
        <f aca="false">IF(J1055&lt;&gt;"",J1055,L1055)</f>
        <v>0.05</v>
      </c>
    </row>
    <row r="1056" customFormat="false" ht="12.75" hidden="false" customHeight="true" outlineLevel="0" collapsed="false">
      <c r="A1056" s="3" t="s">
        <v>3153</v>
      </c>
      <c r="B1056" s="3" t="str">
        <f aca="false">IF(ISNUMBER(SEARCH("%", A1056)),RIGHT(A1056,3),A1056)</f>
        <v>51, 51, DEWGONG</v>
      </c>
      <c r="C1056" s="1" t="str">
        <f aca="false" t="array" ref="C1056:C1056">IF(B1055="NEW ROUTE",textsplit(B1056,","),"")</f>
        <v/>
      </c>
      <c r="H1056" s="1" t="str">
        <f aca="false">IF(C1056&lt;&gt;"",DEC2HEX(C1056,2),"")</f>
        <v/>
      </c>
      <c r="I1056" s="1" t="str">
        <f aca="false">IF(D1056&lt;&gt;"",DEC2HEX(D1056,2),"")</f>
        <v/>
      </c>
      <c r="J1056" s="1" t="str">
        <f aca="false">IF(H1056&lt;&gt;"","0x"&amp;I1056&amp;H1056,"")</f>
        <v/>
      </c>
      <c r="L1056" s="1" t="s">
        <v>3153</v>
      </c>
      <c r="M1056" s="1" t="str">
        <f aca="false">IF(J1056&lt;&gt;"",J1056,L1056)</f>
        <v>51, 51, DEWGONG</v>
      </c>
    </row>
    <row r="1057" customFormat="false" ht="12.75" hidden="false" customHeight="true" outlineLevel="0" collapsed="false">
      <c r="A1057" s="3" t="s">
        <v>3154</v>
      </c>
      <c r="B1057" s="3" t="str">
        <f aca="false">IF(ISNUMBER(SEARCH("%", A1057)),RIGHT(A1057,3),A1057)</f>
        <v>41, 41, SLOWPOKE</v>
      </c>
      <c r="C1057" s="1" t="str">
        <f aca="false" t="array" ref="C1057:C1057">IF(B1056="NEW ROUTE",textsplit(B1057,","),"")</f>
        <v/>
      </c>
      <c r="H1057" s="1" t="str">
        <f aca="false">IF(C1057&lt;&gt;"",DEC2HEX(C1057,2),"")</f>
        <v/>
      </c>
      <c r="I1057" s="1" t="str">
        <f aca="false">IF(D1057&lt;&gt;"",DEC2HEX(D1057,2),"")</f>
        <v/>
      </c>
      <c r="J1057" s="1" t="str">
        <f aca="false">IF(H1057&lt;&gt;"","0x"&amp;I1057&amp;H1057,"")</f>
        <v/>
      </c>
      <c r="L1057" s="1" t="s">
        <v>3154</v>
      </c>
      <c r="M1057" s="1" t="str">
        <f aca="false">IF(J1057&lt;&gt;"",J1057,L1057)</f>
        <v>41, 41, SLOWPOKE</v>
      </c>
    </row>
    <row r="1058" customFormat="false" ht="12.75" hidden="false" customHeight="true" outlineLevel="0" collapsed="false">
      <c r="A1058" s="3" t="s">
        <v>2809</v>
      </c>
      <c r="B1058" s="3" t="str">
        <f aca="false">IF(ISNUMBER(SEARCH("%", A1058)),RIGHT(A1058,3),A1058)</f>
        <v>0.04</v>
      </c>
      <c r="C1058" s="1" t="str">
        <f aca="false" t="array" ref="C1058:C1058">IF(B1057="NEW ROUTE",textsplit(B1058,","),"")</f>
        <v/>
      </c>
      <c r="H1058" s="1" t="str">
        <f aca="false">IF(C1058&lt;&gt;"",DEC2HEX(C1058,2),"")</f>
        <v/>
      </c>
      <c r="I1058" s="1" t="str">
        <f aca="false">IF(D1058&lt;&gt;"",DEC2HEX(D1058,2),"")</f>
        <v/>
      </c>
      <c r="J1058" s="1" t="str">
        <f aca="false">IF(H1058&lt;&gt;"","0x"&amp;I1058&amp;H1058,"")</f>
        <v/>
      </c>
      <c r="L1058" s="1" t="s">
        <v>2809</v>
      </c>
      <c r="M1058" s="1" t="str">
        <f aca="false">IF(J1058&lt;&gt;"",J1058,L1058)</f>
        <v>0.04</v>
      </c>
    </row>
    <row r="1059" customFormat="false" ht="12.75" hidden="false" customHeight="true" outlineLevel="0" collapsed="false">
      <c r="A1059" s="3" t="s">
        <v>3155</v>
      </c>
      <c r="B1059" s="3" t="str">
        <f aca="false">IF(ISNUMBER(SEARCH("%", A1059)),RIGHT(A1059,3),A1059)</f>
        <v>48, 48, GOLBAT</v>
      </c>
      <c r="C1059" s="1" t="str">
        <f aca="false" t="array" ref="C1059:C1059">IF(B1058="NEW ROUTE",textsplit(B1059,","),"")</f>
        <v/>
      </c>
      <c r="H1059" s="1" t="str">
        <f aca="false">IF(C1059&lt;&gt;"",DEC2HEX(C1059,2),"")</f>
        <v/>
      </c>
      <c r="I1059" s="1" t="str">
        <f aca="false">IF(D1059&lt;&gt;"",DEC2HEX(D1059,2),"")</f>
        <v/>
      </c>
      <c r="J1059" s="1" t="str">
        <f aca="false">IF(H1059&lt;&gt;"","0x"&amp;I1059&amp;H1059,"")</f>
        <v/>
      </c>
      <c r="L1059" s="1" t="s">
        <v>3155</v>
      </c>
      <c r="M1059" s="1" t="str">
        <f aca="false">IF(J1059&lt;&gt;"",J1059,L1059)</f>
        <v>48, 48, GOLBAT</v>
      </c>
    </row>
    <row r="1060" customFormat="false" ht="12.75" hidden="false" customHeight="true" outlineLevel="0" collapsed="false">
      <c r="A1060" s="3" t="s">
        <v>3156</v>
      </c>
      <c r="B1060" s="3" t="str">
        <f aca="false">IF(ISNUMBER(SEARCH("%", A1060)),RIGHT(A1060,3),A1060)</f>
        <v>53, 53, DEWGONG</v>
      </c>
      <c r="C1060" s="1" t="str">
        <f aca="false" t="array" ref="C1060:C1060">IF(B1059="NEW ROUTE",textsplit(B1060,","),"")</f>
        <v/>
      </c>
      <c r="H1060" s="1" t="str">
        <f aca="false">IF(C1060&lt;&gt;"",DEC2HEX(C1060,2),"")</f>
        <v/>
      </c>
      <c r="I1060" s="1" t="str">
        <f aca="false">IF(D1060&lt;&gt;"",DEC2HEX(D1060,2),"")</f>
        <v/>
      </c>
      <c r="J1060" s="1" t="str">
        <f aca="false">IF(H1060&lt;&gt;"","0x"&amp;I1060&amp;H1060,"")</f>
        <v/>
      </c>
      <c r="L1060" s="1" t="s">
        <v>3156</v>
      </c>
      <c r="M1060" s="1" t="str">
        <f aca="false">IF(J1060&lt;&gt;"",J1060,L1060)</f>
        <v>53, 53, DEWGONG</v>
      </c>
    </row>
    <row r="1061" customFormat="false" ht="12.75" hidden="false" customHeight="true" outlineLevel="0" collapsed="false">
      <c r="A1061" s="3" t="s">
        <v>2812</v>
      </c>
      <c r="B1061" s="3" t="str">
        <f aca="false">IF(ISNUMBER(SEARCH("%", A1061)),RIGHT(A1061,3),A1061)</f>
        <v>0.01</v>
      </c>
      <c r="C1061" s="1" t="str">
        <f aca="false" t="array" ref="C1061:C1061">IF(B1060="NEW ROUTE",textsplit(B1061,","),"")</f>
        <v/>
      </c>
      <c r="H1061" s="1" t="str">
        <f aca="false">IF(C1061&lt;&gt;"",DEC2HEX(C1061,2),"")</f>
        <v/>
      </c>
      <c r="I1061" s="1" t="str">
        <f aca="false">IF(D1061&lt;&gt;"",DEC2HEX(D1061,2),"")</f>
        <v/>
      </c>
      <c r="J1061" s="1" t="str">
        <f aca="false">IF(H1061&lt;&gt;"","0x"&amp;I1061&amp;H1061,"")</f>
        <v/>
      </c>
      <c r="L1061" s="1" t="s">
        <v>2812</v>
      </c>
      <c r="M1061" s="1" t="str">
        <f aca="false">IF(J1061&lt;&gt;"",J1061,L1061)</f>
        <v>0.01</v>
      </c>
    </row>
    <row r="1062" customFormat="false" ht="12.75" hidden="false" customHeight="true" outlineLevel="0" collapsed="false">
      <c r="A1062" s="3" t="s">
        <v>3155</v>
      </c>
      <c r="B1062" s="3" t="str">
        <f aca="false">IF(ISNUMBER(SEARCH("%", A1062)),RIGHT(A1062,3),A1062)</f>
        <v>48, 48, GOLBAT</v>
      </c>
      <c r="C1062" s="1" t="str">
        <f aca="false" t="array" ref="C1062:C1062">IF(B1061="NEW ROUTE",textsplit(B1062,","),"")</f>
        <v/>
      </c>
      <c r="H1062" s="1" t="str">
        <f aca="false">IF(C1062&lt;&gt;"",DEC2HEX(C1062,2),"")</f>
        <v/>
      </c>
      <c r="I1062" s="1" t="str">
        <f aca="false">IF(D1062&lt;&gt;"",DEC2HEX(D1062,2),"")</f>
        <v/>
      </c>
      <c r="J1062" s="1" t="str">
        <f aca="false">IF(H1062&lt;&gt;"","0x"&amp;I1062&amp;H1062,"")</f>
        <v/>
      </c>
      <c r="L1062" s="1" t="s">
        <v>3155</v>
      </c>
      <c r="M1062" s="1" t="str">
        <f aca="false">IF(J1062&lt;&gt;"",J1062,L1062)</f>
        <v>48, 48, GOLBAT</v>
      </c>
    </row>
    <row r="1063" customFormat="false" ht="12.75" hidden="false" customHeight="true" outlineLevel="0" collapsed="false">
      <c r="A1063" s="3" t="s">
        <v>3156</v>
      </c>
      <c r="B1063" s="3" t="str">
        <f aca="false">IF(ISNUMBER(SEARCH("%", A1063)),RIGHT(A1063,3),A1063)</f>
        <v>53, 53, DEWGONG</v>
      </c>
      <c r="C1063" s="1" t="str">
        <f aca="false" t="array" ref="C1063:C1063">IF(B1062="NEW ROUTE",textsplit(B1063,","),"")</f>
        <v/>
      </c>
      <c r="H1063" s="1" t="str">
        <f aca="false">IF(C1063&lt;&gt;"",DEC2HEX(C1063,2),"")</f>
        <v/>
      </c>
      <c r="I1063" s="1" t="str">
        <f aca="false">IF(D1063&lt;&gt;"",DEC2HEX(D1063,2),"")</f>
        <v/>
      </c>
      <c r="J1063" s="1" t="str">
        <f aca="false">IF(H1063&lt;&gt;"","0x"&amp;I1063&amp;H1063,"")</f>
        <v/>
      </c>
      <c r="L1063" s="1" t="s">
        <v>3156</v>
      </c>
      <c r="M1063" s="1" t="str">
        <f aca="false">IF(J1063&lt;&gt;"",J1063,L1063)</f>
        <v>53, 53, DEWGONG</v>
      </c>
    </row>
    <row r="1064" customFormat="false" ht="12.75" hidden="false" customHeight="true" outlineLevel="0" collapsed="false">
      <c r="A1064" s="3" t="s">
        <v>3157</v>
      </c>
      <c r="B1064" s="3" t="str">
        <f aca="false">IF(ISNUMBER(SEARCH("%", A1064)),RIGHT(A1064,3),A1064)</f>
        <v>2, 5, 35, SEEL</v>
      </c>
      <c r="C1064" s="1" t="str">
        <f aca="false" t="array" ref="C1064:C1064">IF(B1063="NEW ROUTE",textsplit(B1064,","),"")</f>
        <v/>
      </c>
      <c r="H1064" s="1" t="str">
        <f aca="false">IF(C1064&lt;&gt;"",DEC2HEX(C1064,2),"")</f>
        <v/>
      </c>
      <c r="I1064" s="1" t="str">
        <f aca="false">IF(D1064&lt;&gt;"",DEC2HEX(D1064,2),"")</f>
        <v/>
      </c>
      <c r="J1064" s="1" t="str">
        <f aca="false">IF(H1064&lt;&gt;"","0x"&amp;I1064&amp;H1064,"")</f>
        <v/>
      </c>
      <c r="L1064" s="1" t="s">
        <v>3157</v>
      </c>
      <c r="M1064" s="1" t="str">
        <f aca="false">IF(J1064&lt;&gt;"",J1064,L1064)</f>
        <v>2, 5, 35, SEEL</v>
      </c>
    </row>
    <row r="1065" customFormat="false" ht="12.75" hidden="false" customHeight="true" outlineLevel="0" collapsed="false">
      <c r="A1065" s="3" t="s">
        <v>3158</v>
      </c>
      <c r="B1065" s="3" t="str">
        <f aca="false">IF(ISNUMBER(SEARCH("%", A1065)),RIGHT(A1065,3),A1065)</f>
        <v>5, 35, SLOWPOKE</v>
      </c>
      <c r="C1065" s="1" t="str">
        <f aca="false" t="array" ref="C1065:C1065">IF(B1064="NEW ROUTE",textsplit(B1065,","),"")</f>
        <v/>
      </c>
      <c r="H1065" s="1" t="str">
        <f aca="false">IF(C1065&lt;&gt;"",DEC2HEX(C1065,2),"")</f>
        <v/>
      </c>
      <c r="I1065" s="1" t="str">
        <f aca="false">IF(D1065&lt;&gt;"",DEC2HEX(D1065,2),"")</f>
        <v/>
      </c>
      <c r="J1065" s="1" t="str">
        <f aca="false">IF(H1065&lt;&gt;"","0x"&amp;I1065&amp;H1065,"")</f>
        <v/>
      </c>
      <c r="L1065" s="1" t="s">
        <v>3158</v>
      </c>
      <c r="M1065" s="1" t="str">
        <f aca="false">IF(J1065&lt;&gt;"",J1065,L1065)</f>
        <v>5, 35, SLOWPOKE</v>
      </c>
    </row>
    <row r="1066" customFormat="false" ht="12.75" hidden="false" customHeight="true" outlineLevel="0" collapsed="false">
      <c r="A1066" s="3" t="s">
        <v>3159</v>
      </c>
      <c r="B1066" s="3" t="str">
        <f aca="false">IF(ISNUMBER(SEARCH("%", A1066)),RIGHT(A1066,3),A1066)</f>
        <v>35, 40, DEWGONG</v>
      </c>
      <c r="C1066" s="1" t="str">
        <f aca="false" t="array" ref="C1066:C1066">IF(B1065="NEW ROUTE",textsplit(B1066,","),"")</f>
        <v/>
      </c>
      <c r="H1066" s="1" t="str">
        <f aca="false">IF(C1066&lt;&gt;"",DEC2HEX(C1066,2),"")</f>
        <v/>
      </c>
      <c r="I1066" s="1" t="str">
        <f aca="false">IF(D1066&lt;&gt;"",DEC2HEX(D1066,2),"")</f>
        <v/>
      </c>
      <c r="J1066" s="1" t="str">
        <f aca="false">IF(H1066&lt;&gt;"","0x"&amp;I1066&amp;H1066,"")</f>
        <v/>
      </c>
      <c r="L1066" s="1" t="s">
        <v>3159</v>
      </c>
      <c r="M1066" s="1" t="str">
        <f aca="false">IF(J1066&lt;&gt;"",J1066,L1066)</f>
        <v>35, 40, DEWGONG</v>
      </c>
    </row>
    <row r="1067" customFormat="false" ht="12.75" hidden="false" customHeight="true" outlineLevel="0" collapsed="false">
      <c r="A1067" s="3" t="s">
        <v>3160</v>
      </c>
      <c r="B1067" s="3" t="str">
        <f aca="false">IF(ISNUMBER(SEARCH("%", A1067)),RIGHT(A1067,3),A1067)</f>
        <v>5, 15, MARILL</v>
      </c>
      <c r="C1067" s="1" t="str">
        <f aca="false" t="array" ref="C1067:C1067">IF(B1066="NEW ROUTE",textsplit(B1067,","),"")</f>
        <v/>
      </c>
      <c r="H1067" s="1" t="str">
        <f aca="false">IF(C1067&lt;&gt;"",DEC2HEX(C1067,2),"")</f>
        <v/>
      </c>
      <c r="I1067" s="1" t="str">
        <f aca="false">IF(D1067&lt;&gt;"",DEC2HEX(D1067,2),"")</f>
        <v/>
      </c>
      <c r="J1067" s="1" t="str">
        <f aca="false">IF(H1067&lt;&gt;"","0x"&amp;I1067&amp;H1067,"")</f>
        <v/>
      </c>
      <c r="L1067" s="1" t="s">
        <v>3160</v>
      </c>
      <c r="M1067" s="1" t="str">
        <f aca="false">IF(J1067&lt;&gt;"",J1067,L1067)</f>
        <v>5, 15, MARILL</v>
      </c>
    </row>
    <row r="1068" customFormat="false" ht="12.75" hidden="false" customHeight="true" outlineLevel="0" collapsed="false">
      <c r="A1068" s="3" t="s">
        <v>3160</v>
      </c>
      <c r="B1068" s="3" t="str">
        <f aca="false">IF(ISNUMBER(SEARCH("%", A1068)),RIGHT(A1068,3),A1068)</f>
        <v>5, 15, MARILL</v>
      </c>
      <c r="C1068" s="1" t="str">
        <f aca="false" t="array" ref="C1068:C1068">IF(B1067="NEW ROUTE",textsplit(B1068,","),"")</f>
        <v/>
      </c>
      <c r="H1068" s="1" t="str">
        <f aca="false">IF(C1068&lt;&gt;"",DEC2HEX(C1068,2),"")</f>
        <v/>
      </c>
      <c r="I1068" s="1" t="str">
        <f aca="false">IF(D1068&lt;&gt;"",DEC2HEX(D1068,2),"")</f>
        <v/>
      </c>
      <c r="J1068" s="1" t="str">
        <f aca="false">IF(H1068&lt;&gt;"","0x"&amp;I1068&amp;H1068,"")</f>
        <v/>
      </c>
      <c r="L1068" s="1" t="s">
        <v>3160</v>
      </c>
      <c r="M1068" s="1" t="str">
        <f aca="false">IF(J1068&lt;&gt;"",J1068,L1068)</f>
        <v>5, 15, MARILL</v>
      </c>
    </row>
    <row r="1069" customFormat="false" ht="12.75" hidden="false" customHeight="true" outlineLevel="0" collapsed="false">
      <c r="A1069" s="3" t="s">
        <v>2925</v>
      </c>
      <c r="B1069" s="3" t="str">
        <f aca="false">IF(ISNUMBER(SEARCH("%", A1069)),RIGHT(A1069,3),A1069)</f>
        <v>20, old rod:</v>
      </c>
      <c r="C1069" s="1" t="str">
        <f aca="false" t="array" ref="C1069:C1069">IF(B1068="NEW ROUTE",textsplit(B1069,","),"")</f>
        <v/>
      </c>
      <c r="H1069" s="1" t="str">
        <f aca="false">IF(C1069&lt;&gt;"",DEC2HEX(C1069,2),"")</f>
        <v/>
      </c>
      <c r="I1069" s="1" t="str">
        <f aca="false">IF(D1069&lt;&gt;"",DEC2HEX(D1069,2),"")</f>
        <v/>
      </c>
      <c r="J1069" s="1" t="str">
        <f aca="false">IF(H1069&lt;&gt;"","0x"&amp;I1069&amp;H1069,"")</f>
        <v/>
      </c>
      <c r="L1069" s="1" t="s">
        <v>2925</v>
      </c>
      <c r="M1069" s="1" t="str">
        <f aca="false">IF(J1069&lt;&gt;"",J1069,L1069)</f>
        <v>20, old rod:</v>
      </c>
    </row>
    <row r="1070" customFormat="false" ht="12.75" hidden="false" customHeight="true" outlineLevel="0" collapsed="false">
      <c r="A1070" s="3" t="s">
        <v>1266</v>
      </c>
      <c r="B1070" s="3" t="str">
        <f aca="false">IF(ISNUMBER(SEARCH("%", A1070)),RIGHT(A1070,3),A1070)</f>
        <v>5, 5, MAGIKARP</v>
      </c>
      <c r="C1070" s="1" t="str">
        <f aca="false" t="array" ref="C1070:C1070">IF(B1069="NEW ROUTE",textsplit(B1070,","),"")</f>
        <v/>
      </c>
      <c r="H1070" s="1" t="str">
        <f aca="false">IF(C1070&lt;&gt;"",DEC2HEX(C1070,2),"")</f>
        <v/>
      </c>
      <c r="I1070" s="1" t="str">
        <f aca="false">IF(D1070&lt;&gt;"",DEC2HEX(D1070,2),"")</f>
        <v/>
      </c>
      <c r="J1070" s="1" t="str">
        <f aca="false">IF(H1070&lt;&gt;"","0x"&amp;I1070&amp;H1070,"")</f>
        <v/>
      </c>
      <c r="L1070" s="1" t="s">
        <v>1266</v>
      </c>
      <c r="M1070" s="1" t="str">
        <f aca="false">IF(J1070&lt;&gt;"",J1070,L1070)</f>
        <v>5, 5, MAGIKARP</v>
      </c>
    </row>
    <row r="1071" customFormat="false" ht="12.75" hidden="false" customHeight="true" outlineLevel="0" collapsed="false">
      <c r="A1071" s="3" t="s">
        <v>1266</v>
      </c>
      <c r="B1071" s="3" t="str">
        <f aca="false">IF(ISNUMBER(SEARCH("%", A1071)),RIGHT(A1071,3),A1071)</f>
        <v>5, 5, MAGIKARP</v>
      </c>
      <c r="C1071" s="1" t="str">
        <f aca="false" t="array" ref="C1071:C1071">IF(B1070="NEW ROUTE",textsplit(B1071,","),"")</f>
        <v/>
      </c>
      <c r="H1071" s="1" t="str">
        <f aca="false">IF(C1071&lt;&gt;"",DEC2HEX(C1071,2),"")</f>
        <v/>
      </c>
      <c r="I1071" s="1" t="str">
        <f aca="false">IF(D1071&lt;&gt;"",DEC2HEX(D1071,2),"")</f>
        <v/>
      </c>
      <c r="J1071" s="1" t="str">
        <f aca="false">IF(H1071&lt;&gt;"","0x"&amp;I1071&amp;H1071,"")</f>
        <v/>
      </c>
      <c r="L1071" s="1" t="s">
        <v>1266</v>
      </c>
      <c r="M1071" s="1" t="str">
        <f aca="false">IF(J1071&lt;&gt;"",J1071,L1071)</f>
        <v>5, 5, MAGIKARP</v>
      </c>
    </row>
    <row r="1072" customFormat="false" ht="12.75" hidden="false" customHeight="true" outlineLevel="0" collapsed="false">
      <c r="A1072" s="3" t="s">
        <v>2846</v>
      </c>
      <c r="B1072" s="3" t="str">
        <f aca="false">IF(ISNUMBER(SEARCH("%", A1072)),RIGHT(A1072,3),A1072)</f>
        <v>good rod:</v>
      </c>
      <c r="C1072" s="1" t="str">
        <f aca="false" t="array" ref="C1072:C1072">IF(B1071="NEW ROUTE",textsplit(B1072,","),"")</f>
        <v/>
      </c>
      <c r="H1072" s="1" t="str">
        <f aca="false">IF(C1072&lt;&gt;"",DEC2HEX(C1072,2),"")</f>
        <v/>
      </c>
      <c r="I1072" s="1" t="str">
        <f aca="false">IF(D1072&lt;&gt;"",DEC2HEX(D1072,2),"")</f>
        <v/>
      </c>
      <c r="J1072" s="1" t="str">
        <f aca="false">IF(H1072&lt;&gt;"","0x"&amp;I1072&amp;H1072,"")</f>
        <v/>
      </c>
      <c r="L1072" s="1" t="s">
        <v>2846</v>
      </c>
      <c r="M1072" s="1" t="str">
        <f aca="false">IF(J1072&lt;&gt;"",J1072,L1072)</f>
        <v>good rod:</v>
      </c>
    </row>
    <row r="1073" customFormat="false" ht="12.75" hidden="false" customHeight="true" outlineLevel="0" collapsed="false">
      <c r="A1073" s="3" t="s">
        <v>3143</v>
      </c>
      <c r="B1073" s="3" t="str">
        <f aca="false">IF(ISNUMBER(SEARCH("%", A1073)),RIGHT(A1073,3),A1073)</f>
        <v>5, 15, POLIWAG</v>
      </c>
      <c r="C1073" s="1" t="str">
        <f aca="false" t="array" ref="C1073:C1073">IF(B1072="NEW ROUTE",textsplit(B1073,","),"")</f>
        <v/>
      </c>
      <c r="H1073" s="1" t="str">
        <f aca="false">IF(C1073&lt;&gt;"",DEC2HEX(C1073,2),"")</f>
        <v/>
      </c>
      <c r="I1073" s="1" t="str">
        <f aca="false">IF(D1073&lt;&gt;"",DEC2HEX(D1073,2),"")</f>
        <v/>
      </c>
      <c r="J1073" s="1" t="str">
        <f aca="false">IF(H1073&lt;&gt;"","0x"&amp;I1073&amp;H1073,"")</f>
        <v/>
      </c>
      <c r="L1073" s="1" t="s">
        <v>3143</v>
      </c>
      <c r="M1073" s="1" t="str">
        <f aca="false">IF(J1073&lt;&gt;"",J1073,L1073)</f>
        <v>5, 15, POLIWAG</v>
      </c>
    </row>
    <row r="1074" customFormat="false" ht="12.75" hidden="false" customHeight="true" outlineLevel="0" collapsed="false">
      <c r="A1074" s="3" t="s">
        <v>2848</v>
      </c>
      <c r="B1074" s="3" t="str">
        <f aca="false">IF(ISNUMBER(SEARCH("%", A1074)),RIGHT(A1074,3),A1074)</f>
        <v>5, 15, MAGIKARP</v>
      </c>
      <c r="C1074" s="1" t="str">
        <f aca="false" t="array" ref="C1074:C1074">IF(B1073="NEW ROUTE",textsplit(B1074,","),"")</f>
        <v/>
      </c>
      <c r="H1074" s="1" t="str">
        <f aca="false">IF(C1074&lt;&gt;"",DEC2HEX(C1074,2),"")</f>
        <v/>
      </c>
      <c r="I1074" s="1" t="str">
        <f aca="false">IF(D1074&lt;&gt;"",DEC2HEX(D1074,2),"")</f>
        <v/>
      </c>
      <c r="J1074" s="1" t="str">
        <f aca="false">IF(H1074&lt;&gt;"","0x"&amp;I1074&amp;H1074,"")</f>
        <v/>
      </c>
      <c r="L1074" s="1" t="s">
        <v>2848</v>
      </c>
      <c r="M1074" s="1" t="str">
        <f aca="false">IF(J1074&lt;&gt;"",J1074,L1074)</f>
        <v>5, 15, MAGIKARP</v>
      </c>
    </row>
    <row r="1075" customFormat="false" ht="12.75" hidden="false" customHeight="true" outlineLevel="0" collapsed="false">
      <c r="A1075" s="3" t="s">
        <v>3142</v>
      </c>
      <c r="B1075" s="3" t="str">
        <f aca="false">IF(ISNUMBER(SEARCH("%", A1075)),RIGHT(A1075,3),A1075)</f>
        <v>5, 15, GOLDEEN</v>
      </c>
      <c r="C1075" s="1" t="str">
        <f aca="false" t="array" ref="C1075:C1075">IF(B1074="NEW ROUTE",textsplit(B1075,","),"")</f>
        <v/>
      </c>
      <c r="H1075" s="1" t="str">
        <f aca="false">IF(C1075&lt;&gt;"",DEC2HEX(C1075,2),"")</f>
        <v/>
      </c>
      <c r="I1075" s="1" t="str">
        <f aca="false">IF(D1075&lt;&gt;"",DEC2HEX(D1075,2),"")</f>
        <v/>
      </c>
      <c r="J1075" s="1" t="str">
        <f aca="false">IF(H1075&lt;&gt;"","0x"&amp;I1075&amp;H1075,"")</f>
        <v/>
      </c>
      <c r="L1075" s="1" t="s">
        <v>3142</v>
      </c>
      <c r="M1075" s="1" t="str">
        <f aca="false">IF(J1075&lt;&gt;"",J1075,L1075)</f>
        <v>5, 15, GOLDEEN</v>
      </c>
    </row>
    <row r="1076" customFormat="false" ht="12.75" hidden="false" customHeight="true" outlineLevel="0" collapsed="false">
      <c r="A1076" s="3" t="s">
        <v>2850</v>
      </c>
      <c r="B1076" s="3" t="str">
        <f aca="false">IF(ISNUMBER(SEARCH("%", A1076)),RIGHT(A1076,3),A1076)</f>
        <v>super rod:</v>
      </c>
      <c r="C1076" s="1" t="str">
        <f aca="false" t="array" ref="C1076:C1076">IF(B1075="NEW ROUTE",textsplit(B1076,","),"")</f>
        <v/>
      </c>
      <c r="H1076" s="1" t="str">
        <f aca="false">IF(C1076&lt;&gt;"",DEC2HEX(C1076,2),"")</f>
        <v/>
      </c>
      <c r="I1076" s="1" t="str">
        <f aca="false">IF(D1076&lt;&gt;"",DEC2HEX(D1076,2),"")</f>
        <v/>
      </c>
      <c r="J1076" s="1" t="str">
        <f aca="false">IF(H1076&lt;&gt;"","0x"&amp;I1076&amp;H1076,"")</f>
        <v/>
      </c>
      <c r="L1076" s="1" t="s">
        <v>2850</v>
      </c>
      <c r="M1076" s="1" t="str">
        <f aca="false">IF(J1076&lt;&gt;"",J1076,L1076)</f>
        <v>super rod:</v>
      </c>
    </row>
    <row r="1077" customFormat="false" ht="12.75" hidden="false" customHeight="true" outlineLevel="0" collapsed="false">
      <c r="A1077" s="3" t="s">
        <v>3161</v>
      </c>
      <c r="B1077" s="3" t="str">
        <f aca="false">IF(ISNUMBER(SEARCH("%", A1077)),RIGHT(A1077,3),A1077)</f>
        <v>15, 25, POLIWAG</v>
      </c>
      <c r="C1077" s="1" t="str">
        <f aca="false" t="array" ref="C1077:C1077">IF(B1076="NEW ROUTE",textsplit(B1077,","),"")</f>
        <v/>
      </c>
      <c r="H1077" s="1" t="str">
        <f aca="false">IF(C1077&lt;&gt;"",DEC2HEX(C1077,2),"")</f>
        <v/>
      </c>
      <c r="I1077" s="1" t="str">
        <f aca="false">IF(D1077&lt;&gt;"",DEC2HEX(D1077,2),"")</f>
        <v/>
      </c>
      <c r="J1077" s="1" t="str">
        <f aca="false">IF(H1077&lt;&gt;"","0x"&amp;I1077&amp;H1077,"")</f>
        <v/>
      </c>
      <c r="L1077" s="1" t="s">
        <v>3161</v>
      </c>
      <c r="M1077" s="1" t="str">
        <f aca="false">IF(J1077&lt;&gt;"",J1077,L1077)</f>
        <v>15, 25, POLIWAG</v>
      </c>
    </row>
    <row r="1078" customFormat="false" ht="12.75" hidden="false" customHeight="true" outlineLevel="0" collapsed="false">
      <c r="A1078" s="3" t="s">
        <v>3162</v>
      </c>
      <c r="B1078" s="3" t="str">
        <f aca="false">IF(ISNUMBER(SEARCH("%", A1078)),RIGHT(A1078,3),A1078)</f>
        <v>20, 30, POLIWHIRL</v>
      </c>
      <c r="C1078" s="1" t="str">
        <f aca="false" t="array" ref="C1078:C1078">IF(B1077="NEW ROUTE",textsplit(B1078,","),"")</f>
        <v/>
      </c>
      <c r="H1078" s="1" t="str">
        <f aca="false">IF(C1078&lt;&gt;"",DEC2HEX(C1078,2),"")</f>
        <v/>
      </c>
      <c r="I1078" s="1" t="str">
        <f aca="false">IF(D1078&lt;&gt;"",DEC2HEX(D1078,2),"")</f>
        <v/>
      </c>
      <c r="J1078" s="1" t="str">
        <f aca="false">IF(H1078&lt;&gt;"","0x"&amp;I1078&amp;H1078,"")</f>
        <v/>
      </c>
      <c r="L1078" s="1" t="s">
        <v>3162</v>
      </c>
      <c r="M1078" s="1" t="str">
        <f aca="false">IF(J1078&lt;&gt;"",J1078,L1078)</f>
        <v>20, 30, POLIWHIRL</v>
      </c>
    </row>
    <row r="1079" customFormat="false" ht="12.75" hidden="false" customHeight="true" outlineLevel="0" collapsed="false">
      <c r="A1079" s="3" t="s">
        <v>2853</v>
      </c>
      <c r="B1079" s="3" t="str">
        <f aca="false">IF(ISNUMBER(SEARCH("%", A1079)),RIGHT(A1079,3),A1079)</f>
        <v>15, 25, GYARADOS</v>
      </c>
      <c r="C1079" s="1" t="str">
        <f aca="false" t="array" ref="C1079:C1079">IF(B1078="NEW ROUTE",textsplit(B1079,","),"")</f>
        <v/>
      </c>
      <c r="H1079" s="1" t="str">
        <f aca="false">IF(C1079&lt;&gt;"",DEC2HEX(C1079,2),"")</f>
        <v/>
      </c>
      <c r="I1079" s="1" t="str">
        <f aca="false">IF(D1079&lt;&gt;"",DEC2HEX(D1079,2),"")</f>
        <v/>
      </c>
      <c r="J1079" s="1" t="str">
        <f aca="false">IF(H1079&lt;&gt;"","0x"&amp;I1079&amp;H1079,"")</f>
        <v/>
      </c>
      <c r="L1079" s="1" t="s">
        <v>2853</v>
      </c>
      <c r="M1079" s="1" t="str">
        <f aca="false">IF(J1079&lt;&gt;"",J1079,L1079)</f>
        <v>15, 25, GYARADOS</v>
      </c>
    </row>
    <row r="1080" customFormat="false" ht="12.75" hidden="false" customHeight="true" outlineLevel="0" collapsed="false">
      <c r="A1080" s="3" t="s">
        <v>3146</v>
      </c>
      <c r="B1080" s="3" t="str">
        <f aca="false">IF(ISNUMBER(SEARCH("%", A1080)),RIGHT(A1080,3),A1080)</f>
        <v>15, 25, SLOWPOKE</v>
      </c>
      <c r="C1080" s="1" t="str">
        <f aca="false" t="array" ref="C1080:C1080">IF(B1079="NEW ROUTE",textsplit(B1080,","),"")</f>
        <v/>
      </c>
      <c r="H1080" s="1" t="str">
        <f aca="false">IF(C1080&lt;&gt;"",DEC2HEX(C1080,2),"")</f>
        <v/>
      </c>
      <c r="I1080" s="1" t="str">
        <f aca="false">IF(D1080&lt;&gt;"",DEC2HEX(D1080,2),"")</f>
        <v/>
      </c>
      <c r="J1080" s="1" t="str">
        <f aca="false">IF(H1080&lt;&gt;"","0x"&amp;I1080&amp;H1080,"")</f>
        <v/>
      </c>
      <c r="L1080" s="1" t="s">
        <v>3146</v>
      </c>
      <c r="M1080" s="1" t="str">
        <f aca="false">IF(J1080&lt;&gt;"",J1080,L1080)</f>
        <v>15, 25, SLOWPOKE</v>
      </c>
    </row>
    <row r="1081" customFormat="false" ht="12.75" hidden="false" customHeight="true" outlineLevel="0" collapsed="false">
      <c r="A1081" s="3" t="s">
        <v>2855</v>
      </c>
      <c r="B1081" s="3" t="str">
        <f aca="false">IF(ISNUMBER(SEARCH("%", A1081)),RIGHT(A1081,3),A1081)</f>
        <v>25, 35, SLOWPOKE</v>
      </c>
      <c r="C1081" s="1" t="str">
        <f aca="false" t="array" ref="C1081:C1081">IF(B1080="NEW ROUTE",textsplit(B1081,","),"")</f>
        <v/>
      </c>
      <c r="H1081" s="1" t="str">
        <f aca="false">IF(C1081&lt;&gt;"",DEC2HEX(C1081,2),"")</f>
        <v/>
      </c>
      <c r="I1081" s="1" t="str">
        <f aca="false">IF(D1081&lt;&gt;"",DEC2HEX(D1081,2),"")</f>
        <v/>
      </c>
      <c r="J1081" s="1" t="str">
        <f aca="false">IF(H1081&lt;&gt;"","0x"&amp;I1081&amp;H1081,"")</f>
        <v/>
      </c>
      <c r="L1081" s="1" t="s">
        <v>2855</v>
      </c>
      <c r="M1081" s="1" t="str">
        <f aca="false">IF(J1081&lt;&gt;"",J1081,L1081)</f>
        <v>25, 35, SLOWPOKE</v>
      </c>
    </row>
    <row r="1082" customFormat="false" ht="12.75" hidden="false" customHeight="true" outlineLevel="0" collapsed="false">
      <c r="A1082" s="3" t="s">
        <v>2536</v>
      </c>
      <c r="B1082" s="3" t="str">
        <f aca="false">IF(ISNUMBER(SEARCH("%", A1082)),RIGHT(A1082,3),A1082)</f>
        <v>NEW ROUTE</v>
      </c>
      <c r="C1082" s="1" t="str">
        <f aca="false" t="array" ref="C1082:C1082">IF(B1081="NEW ROUTE",textsplit(B1082,","),"")</f>
        <v/>
      </c>
      <c r="H1082" s="1" t="str">
        <f aca="false">IF(C1082&lt;&gt;"",DEC2HEX(C1082,2),"")</f>
        <v/>
      </c>
      <c r="I1082" s="1" t="str">
        <f aca="false">IF(D1082&lt;&gt;"",DEC2HEX(D1082,2),"")</f>
        <v/>
      </c>
      <c r="J1082" s="1" t="str">
        <f aca="false">IF(H1082&lt;&gt;"","0x"&amp;I1082&amp;H1082,"")</f>
        <v/>
      </c>
      <c r="L1082" s="1" t="s">
        <v>2536</v>
      </c>
      <c r="M1082" s="1" t="str">
        <f aca="false">IF(J1082&lt;&gt;"",J1082,L1082)</f>
        <v>NEW ROUTE</v>
      </c>
    </row>
    <row r="1083" customFormat="false" ht="12.75" hidden="false" customHeight="true" outlineLevel="0" collapsed="false">
      <c r="A1083" s="3" t="s">
        <v>3163</v>
      </c>
      <c r="B1083" s="3" t="str">
        <f aca="false">IF(ISNUMBER(SEARCH("%", A1083)),RIGHT(A1083,3),A1083)</f>
        <v>1, 111, 0,</v>
      </c>
      <c r="C1083" s="1" t="e">
        <f aca="false" t="array" ref="C1083:C1083">IF(B1082="NEW ROUTE",textsplit(B1083,","),"")</f>
        <v>#NAME?</v>
      </c>
      <c r="H1083" s="1" t="e">
        <f aca="false">IF(C1083&lt;&gt;"",DEC2HEX(C1083,2),"")</f>
        <v>#NAME?</v>
      </c>
      <c r="I1083" s="1" t="str">
        <f aca="false">IF(D1083&lt;&gt;"",DEC2HEX(D1083,2),"")</f>
        <v/>
      </c>
      <c r="J1083" s="1" t="e">
        <f aca="false">IF(H1083&lt;&gt;"","0x"&amp;I1083&amp;H1083,"")</f>
        <v>#NAME?</v>
      </c>
      <c r="L1083" s="1" t="s">
        <v>3163</v>
      </c>
      <c r="M1083" s="1" t="e">
        <f aca="false">IF(J1083&lt;&gt;"",J1083,L1083)</f>
        <v>#NAME?</v>
      </c>
    </row>
    <row r="1084" customFormat="false" ht="12.75" hidden="false" customHeight="true" outlineLevel="0" collapsed="false">
      <c r="A1084" s="3" t="s">
        <v>2816</v>
      </c>
      <c r="B1084" s="3" t="str">
        <f aca="false">IF(ISNUMBER(SEARCH("%", A1084)),RIGHT(A1084,3),A1084)</f>
        <v>20%</v>
      </c>
      <c r="C1084" s="1" t="str">
        <f aca="false" t="array" ref="C1084:C1084">IF(B1083="NEW ROUTE",textsplit(B1084,","),"")</f>
        <v/>
      </c>
      <c r="H1084" s="1" t="str">
        <f aca="false">IF(C1084&lt;&gt;"",DEC2HEX(C1084,2),"")</f>
        <v/>
      </c>
      <c r="I1084" s="1" t="str">
        <f aca="false">IF(D1084&lt;&gt;"",DEC2HEX(D1084,2),"")</f>
        <v/>
      </c>
      <c r="J1084" s="1" t="str">
        <f aca="false">IF(H1084&lt;&gt;"","0x"&amp;I1084&amp;H1084,"")</f>
        <v/>
      </c>
      <c r="L1084" s="1" t="s">
        <v>2799</v>
      </c>
      <c r="M1084" s="1" t="str">
        <f aca="false">IF(J1084&lt;&gt;"",J1084,L1084)</f>
        <v>20%</v>
      </c>
    </row>
    <row r="1085" customFormat="false" ht="12.75" hidden="false" customHeight="true" outlineLevel="0" collapsed="false">
      <c r="A1085" s="3" t="s">
        <v>1609</v>
      </c>
      <c r="B1085" s="3" t="str">
        <f aca="false">IF(ISNUMBER(SEARCH("%", A1085)),RIGHT(A1085,3),A1085)</f>
        <v>25, 25, SWINUB</v>
      </c>
      <c r="C1085" s="1" t="str">
        <f aca="false" t="array" ref="C1085:C1085">IF(B1084="NEW ROUTE",textsplit(B1085,","),"")</f>
        <v/>
      </c>
      <c r="H1085" s="1" t="str">
        <f aca="false">IF(C1085&lt;&gt;"",DEC2HEX(C1085,2),"")</f>
        <v/>
      </c>
      <c r="I1085" s="1" t="str">
        <f aca="false">IF(D1085&lt;&gt;"",DEC2HEX(D1085,2),"")</f>
        <v/>
      </c>
      <c r="J1085" s="1" t="str">
        <f aca="false">IF(H1085&lt;&gt;"","0x"&amp;I1085&amp;H1085,"")</f>
        <v/>
      </c>
      <c r="L1085" s="1" t="s">
        <v>1609</v>
      </c>
      <c r="M1085" s="1" t="str">
        <f aca="false">IF(J1085&lt;&gt;"",J1085,L1085)</f>
        <v>25, 25, SWINUB</v>
      </c>
    </row>
    <row r="1086" customFormat="false" ht="12.75" hidden="false" customHeight="true" outlineLevel="0" collapsed="false">
      <c r="A1086" s="3" t="s">
        <v>3148</v>
      </c>
      <c r="B1086" s="3" t="str">
        <f aca="false">IF(ISNUMBER(SEARCH("%", A1086)),RIGHT(A1086,3),A1086)</f>
        <v>45, 45, GOLBAT</v>
      </c>
      <c r="C1086" s="1" t="str">
        <f aca="false" t="array" ref="C1086:C1086">IF(B1085="NEW ROUTE",textsplit(B1086,","),"")</f>
        <v/>
      </c>
      <c r="H1086" s="1" t="str">
        <f aca="false">IF(C1086&lt;&gt;"",DEC2HEX(C1086,2),"")</f>
        <v/>
      </c>
      <c r="I1086" s="1" t="str">
        <f aca="false">IF(D1086&lt;&gt;"",DEC2HEX(D1086,2),"")</f>
        <v/>
      </c>
      <c r="J1086" s="1" t="str">
        <f aca="false">IF(H1086&lt;&gt;"","0x"&amp;I1086&amp;H1086,"")</f>
        <v/>
      </c>
      <c r="L1086" s="1" t="s">
        <v>3148</v>
      </c>
      <c r="M1086" s="1" t="str">
        <f aca="false">IF(J1086&lt;&gt;"",J1086,L1086)</f>
        <v>45, 45, GOLBAT</v>
      </c>
    </row>
    <row r="1087" customFormat="false" ht="12.75" hidden="false" customHeight="true" outlineLevel="0" collapsed="false">
      <c r="A1087" s="3" t="s">
        <v>2801</v>
      </c>
      <c r="B1087" s="3" t="str">
        <f aca="false">IF(ISNUMBER(SEARCH("%", A1087)),RIGHT(A1087,3),A1087)</f>
        <v>0.1</v>
      </c>
      <c r="C1087" s="1" t="str">
        <f aca="false" t="array" ref="C1087:C1087">IF(B1086="NEW ROUTE",textsplit(B1087,","),"")</f>
        <v/>
      </c>
      <c r="H1087" s="1" t="str">
        <f aca="false">IF(C1087&lt;&gt;"",DEC2HEX(C1087,2),"")</f>
        <v/>
      </c>
      <c r="I1087" s="1" t="str">
        <f aca="false">IF(D1087&lt;&gt;"",DEC2HEX(D1087,2),"")</f>
        <v/>
      </c>
      <c r="J1087" s="1" t="str">
        <f aca="false">IF(H1087&lt;&gt;"","0x"&amp;I1087&amp;H1087,"")</f>
        <v/>
      </c>
      <c r="L1087" s="1" t="s">
        <v>2801</v>
      </c>
      <c r="M1087" s="1" t="str">
        <f aca="false">IF(J1087&lt;&gt;"",J1087,L1087)</f>
        <v>0.1</v>
      </c>
    </row>
    <row r="1088" customFormat="false" ht="12.75" hidden="false" customHeight="true" outlineLevel="0" collapsed="false">
      <c r="A1088" s="3" t="s">
        <v>3149</v>
      </c>
      <c r="B1088" s="3" t="str">
        <f aca="false">IF(ISNUMBER(SEARCH("%", A1088)),RIGHT(A1088,3),A1088)</f>
        <v>45, 45, SEEL</v>
      </c>
      <c r="C1088" s="1" t="str">
        <f aca="false" t="array" ref="C1088:C1088">IF(B1087="NEW ROUTE",textsplit(B1088,","),"")</f>
        <v/>
      </c>
      <c r="H1088" s="1" t="str">
        <f aca="false">IF(C1088&lt;&gt;"",DEC2HEX(C1088,2),"")</f>
        <v/>
      </c>
      <c r="I1088" s="1" t="str">
        <f aca="false">IF(D1088&lt;&gt;"",DEC2HEX(D1088,2),"")</f>
        <v/>
      </c>
      <c r="J1088" s="1" t="str">
        <f aca="false">IF(H1088&lt;&gt;"","0x"&amp;I1088&amp;H1088,"")</f>
        <v/>
      </c>
      <c r="L1088" s="1" t="s">
        <v>3149</v>
      </c>
      <c r="M1088" s="1" t="str">
        <f aca="false">IF(J1088&lt;&gt;"",J1088,L1088)</f>
        <v>45, 45, SEEL</v>
      </c>
    </row>
    <row r="1089" customFormat="false" ht="12.75" hidden="false" customHeight="true" outlineLevel="0" collapsed="false">
      <c r="A1089" s="3" t="s">
        <v>3164</v>
      </c>
      <c r="B1089" s="3" t="str">
        <f aca="false">IF(ISNUMBER(SEARCH("%", A1089)),RIGHT(A1089,3),A1089)</f>
        <v>27, 27, SWINUB</v>
      </c>
      <c r="C1089" s="1" t="str">
        <f aca="false" t="array" ref="C1089:C1089">IF(B1088="NEW ROUTE",textsplit(B1089,","),"")</f>
        <v/>
      </c>
      <c r="H1089" s="1" t="str">
        <f aca="false">IF(C1089&lt;&gt;"",DEC2HEX(C1089,2),"")</f>
        <v/>
      </c>
      <c r="I1089" s="1" t="str">
        <f aca="false">IF(D1089&lt;&gt;"",DEC2HEX(D1089,2),"")</f>
        <v/>
      </c>
      <c r="J1089" s="1" t="str">
        <f aca="false">IF(H1089&lt;&gt;"","0x"&amp;I1089&amp;H1089,"")</f>
        <v/>
      </c>
      <c r="L1089" s="1" t="s">
        <v>3164</v>
      </c>
      <c r="M1089" s="1" t="str">
        <f aca="false">IF(J1089&lt;&gt;"",J1089,L1089)</f>
        <v>27, 27, SWINUB</v>
      </c>
    </row>
    <row r="1090" customFormat="false" ht="12.75" hidden="false" customHeight="true" outlineLevel="0" collapsed="false">
      <c r="A1090" s="3" t="s">
        <v>3151</v>
      </c>
      <c r="B1090" s="3" t="str">
        <f aca="false">IF(ISNUMBER(SEARCH("%", A1090)),RIGHT(A1090,3),A1090)</f>
        <v>40, 40, ZUBAT</v>
      </c>
      <c r="C1090" s="1" t="str">
        <f aca="false" t="array" ref="C1090:C1090">IF(B1089="NEW ROUTE",textsplit(B1090,","),"")</f>
        <v/>
      </c>
      <c r="H1090" s="1" t="str">
        <f aca="false">IF(C1090&lt;&gt;"",DEC2HEX(C1090,2),"")</f>
        <v/>
      </c>
      <c r="I1090" s="1" t="str">
        <f aca="false">IF(D1090&lt;&gt;"",DEC2HEX(D1090,2),"")</f>
        <v/>
      </c>
      <c r="J1090" s="1" t="str">
        <f aca="false">IF(H1090&lt;&gt;"","0x"&amp;I1090&amp;H1090,"")</f>
        <v/>
      </c>
      <c r="L1090" s="1" t="s">
        <v>3151</v>
      </c>
      <c r="M1090" s="1" t="str">
        <f aca="false">IF(J1090&lt;&gt;"",J1090,L1090)</f>
        <v>40, 40, ZUBAT</v>
      </c>
    </row>
    <row r="1091" customFormat="false" ht="12.75" hidden="false" customHeight="true" outlineLevel="0" collapsed="false">
      <c r="A1091" s="3" t="s">
        <v>3165</v>
      </c>
      <c r="B1091" s="3" t="str">
        <f aca="false">IF(ISNUMBER(SEARCH("%", A1091)),RIGHT(A1091,3),A1091)</f>
        <v>29, 29, SWINUB</v>
      </c>
      <c r="C1091" s="1" t="str">
        <f aca="false" t="array" ref="C1091:C1091">IF(B1090="NEW ROUTE",textsplit(B1091,","),"")</f>
        <v/>
      </c>
      <c r="H1091" s="1" t="str">
        <f aca="false">IF(C1091&lt;&gt;"",DEC2HEX(C1091,2),"")</f>
        <v/>
      </c>
      <c r="I1091" s="1" t="str">
        <f aca="false">IF(D1091&lt;&gt;"",DEC2HEX(D1091,2),"")</f>
        <v/>
      </c>
      <c r="J1091" s="1" t="str">
        <f aca="false">IF(H1091&lt;&gt;"","0x"&amp;I1091&amp;H1091,"")</f>
        <v/>
      </c>
      <c r="L1091" s="1" t="s">
        <v>3165</v>
      </c>
      <c r="M1091" s="1" t="str">
        <f aca="false">IF(J1091&lt;&gt;"",J1091,L1091)</f>
        <v>29, 29, SWINUB</v>
      </c>
    </row>
    <row r="1092" customFormat="false" ht="12.75" hidden="false" customHeight="true" outlineLevel="0" collapsed="false">
      <c r="A1092" s="3" t="s">
        <v>2806</v>
      </c>
      <c r="B1092" s="3" t="str">
        <f aca="false">IF(ISNUMBER(SEARCH("%", A1092)),RIGHT(A1092,3),A1092)</f>
        <v>0.05</v>
      </c>
      <c r="C1092" s="1" t="str">
        <f aca="false" t="array" ref="C1092:C1092">IF(B1091="NEW ROUTE",textsplit(B1092,","),"")</f>
        <v/>
      </c>
      <c r="H1092" s="1" t="str">
        <f aca="false">IF(C1092&lt;&gt;"",DEC2HEX(C1092,2),"")</f>
        <v/>
      </c>
      <c r="I1092" s="1" t="str">
        <f aca="false">IF(D1092&lt;&gt;"",DEC2HEX(D1092,2),"")</f>
        <v/>
      </c>
      <c r="J1092" s="1" t="str">
        <f aca="false">IF(H1092&lt;&gt;"","0x"&amp;I1092&amp;H1092,"")</f>
        <v/>
      </c>
      <c r="L1092" s="1" t="s">
        <v>2806</v>
      </c>
      <c r="M1092" s="1" t="str">
        <f aca="false">IF(J1092&lt;&gt;"",J1092,L1092)</f>
        <v>0.05</v>
      </c>
    </row>
    <row r="1093" customFormat="false" ht="12.75" hidden="false" customHeight="true" outlineLevel="0" collapsed="false">
      <c r="A1093" s="3" t="s">
        <v>3166</v>
      </c>
      <c r="B1093" s="3" t="str">
        <f aca="false">IF(ISNUMBER(SEARCH("%", A1093)),RIGHT(A1093,3),A1093)</f>
        <v>30, 30, SNEASEL</v>
      </c>
      <c r="C1093" s="1" t="str">
        <f aca="false" t="array" ref="C1093:C1093">IF(B1092="NEW ROUTE",textsplit(B1093,","),"")</f>
        <v/>
      </c>
      <c r="H1093" s="1" t="str">
        <f aca="false">IF(C1093&lt;&gt;"",DEC2HEX(C1093,2),"")</f>
        <v/>
      </c>
      <c r="I1093" s="1" t="str">
        <f aca="false">IF(D1093&lt;&gt;"",DEC2HEX(D1093,2),"")</f>
        <v/>
      </c>
      <c r="J1093" s="1" t="str">
        <f aca="false">IF(H1093&lt;&gt;"","0x"&amp;I1093&amp;H1093,"")</f>
        <v/>
      </c>
      <c r="L1093" s="1" t="s">
        <v>3166</v>
      </c>
      <c r="M1093" s="1" t="str">
        <f aca="false">IF(J1093&lt;&gt;"",J1093,L1093)</f>
        <v>30, 30, SNEASEL</v>
      </c>
    </row>
    <row r="1094" customFormat="false" ht="12.75" hidden="false" customHeight="true" outlineLevel="0" collapsed="false">
      <c r="A1094" s="3" t="s">
        <v>3167</v>
      </c>
      <c r="B1094" s="3" t="str">
        <f aca="false">IF(ISNUMBER(SEARCH("%", A1094)),RIGHT(A1094,3),A1094)</f>
        <v>31, 31, SWINUB</v>
      </c>
      <c r="C1094" s="1" t="str">
        <f aca="false" t="array" ref="C1094:C1094">IF(B1093="NEW ROUTE",textsplit(B1094,","),"")</f>
        <v/>
      </c>
      <c r="H1094" s="1" t="str">
        <f aca="false">IF(C1094&lt;&gt;"",DEC2HEX(C1094,2),"")</f>
        <v/>
      </c>
      <c r="I1094" s="1" t="str">
        <f aca="false">IF(D1094&lt;&gt;"",DEC2HEX(D1094,2),"")</f>
        <v/>
      </c>
      <c r="J1094" s="1" t="str">
        <f aca="false">IF(H1094&lt;&gt;"","0x"&amp;I1094&amp;H1094,"")</f>
        <v/>
      </c>
      <c r="L1094" s="1" t="s">
        <v>3167</v>
      </c>
      <c r="M1094" s="1" t="str">
        <f aca="false">IF(J1094&lt;&gt;"",J1094,L1094)</f>
        <v>31, 31, SWINUB</v>
      </c>
    </row>
    <row r="1095" customFormat="false" ht="12.75" hidden="false" customHeight="true" outlineLevel="0" collapsed="false">
      <c r="A1095" s="3" t="s">
        <v>2809</v>
      </c>
      <c r="B1095" s="3" t="str">
        <f aca="false">IF(ISNUMBER(SEARCH("%", A1095)),RIGHT(A1095,3),A1095)</f>
        <v>0.04</v>
      </c>
      <c r="C1095" s="1" t="str">
        <f aca="false" t="array" ref="C1095:C1095">IF(B1094="NEW ROUTE",textsplit(B1095,","),"")</f>
        <v/>
      </c>
      <c r="H1095" s="1" t="str">
        <f aca="false">IF(C1095&lt;&gt;"",DEC2HEX(C1095,2),"")</f>
        <v/>
      </c>
      <c r="I1095" s="1" t="str">
        <f aca="false">IF(D1095&lt;&gt;"",DEC2HEX(D1095,2),"")</f>
        <v/>
      </c>
      <c r="J1095" s="1" t="str">
        <f aca="false">IF(H1095&lt;&gt;"","0x"&amp;I1095&amp;H1095,"")</f>
        <v/>
      </c>
      <c r="L1095" s="1" t="s">
        <v>2809</v>
      </c>
      <c r="M1095" s="1" t="str">
        <f aca="false">IF(J1095&lt;&gt;"",J1095,L1095)</f>
        <v>0.04</v>
      </c>
    </row>
    <row r="1096" customFormat="false" ht="12.75" hidden="false" customHeight="true" outlineLevel="0" collapsed="false">
      <c r="A1096" s="3" t="s">
        <v>3155</v>
      </c>
      <c r="B1096" s="3" t="str">
        <f aca="false">IF(ISNUMBER(SEARCH("%", A1096)),RIGHT(A1096,3),A1096)</f>
        <v>48, 48, GOLBAT</v>
      </c>
      <c r="C1096" s="1" t="str">
        <f aca="false" t="array" ref="C1096:C1096">IF(B1095="NEW ROUTE",textsplit(B1096,","),"")</f>
        <v/>
      </c>
      <c r="H1096" s="1" t="str">
        <f aca="false">IF(C1096&lt;&gt;"",DEC2HEX(C1096,2),"")</f>
        <v/>
      </c>
      <c r="I1096" s="1" t="str">
        <f aca="false">IF(D1096&lt;&gt;"",DEC2HEX(D1096,2),"")</f>
        <v/>
      </c>
      <c r="J1096" s="1" t="str">
        <f aca="false">IF(H1096&lt;&gt;"","0x"&amp;I1096&amp;H1096,"")</f>
        <v/>
      </c>
      <c r="L1096" s="1" t="s">
        <v>3155</v>
      </c>
      <c r="M1096" s="1" t="str">
        <f aca="false">IF(J1096&lt;&gt;"",J1096,L1096)</f>
        <v>48, 48, GOLBAT</v>
      </c>
    </row>
    <row r="1097" customFormat="false" ht="12.75" hidden="false" customHeight="true" outlineLevel="0" collapsed="false">
      <c r="A1097" s="3" t="s">
        <v>3168</v>
      </c>
      <c r="B1097" s="3" t="str">
        <f aca="false">IF(ISNUMBER(SEARCH("%", A1097)),RIGHT(A1097,3),A1097)</f>
        <v>23, 23, SWINUB</v>
      </c>
      <c r="C1097" s="1" t="str">
        <f aca="false" t="array" ref="C1097:C1097">IF(B1096="NEW ROUTE",textsplit(B1097,","),"")</f>
        <v/>
      </c>
      <c r="H1097" s="1" t="str">
        <f aca="false">IF(C1097&lt;&gt;"",DEC2HEX(C1097,2),"")</f>
        <v/>
      </c>
      <c r="I1097" s="1" t="str">
        <f aca="false">IF(D1097&lt;&gt;"",DEC2HEX(D1097,2),"")</f>
        <v/>
      </c>
      <c r="J1097" s="1" t="str">
        <f aca="false">IF(H1097&lt;&gt;"","0x"&amp;I1097&amp;H1097,"")</f>
        <v/>
      </c>
      <c r="L1097" s="1" t="s">
        <v>3168</v>
      </c>
      <c r="M1097" s="1" t="str">
        <f aca="false">IF(J1097&lt;&gt;"",J1097,L1097)</f>
        <v>23, 23, SWINUB</v>
      </c>
    </row>
    <row r="1098" customFormat="false" ht="12.75" hidden="false" customHeight="true" outlineLevel="0" collapsed="false">
      <c r="A1098" s="3" t="s">
        <v>2812</v>
      </c>
      <c r="B1098" s="3" t="str">
        <f aca="false">IF(ISNUMBER(SEARCH("%", A1098)),RIGHT(A1098,3),A1098)</f>
        <v>0.01</v>
      </c>
      <c r="C1098" s="1" t="str">
        <f aca="false" t="array" ref="C1098:C1098">IF(B1097="NEW ROUTE",textsplit(B1098,","),"")</f>
        <v/>
      </c>
      <c r="H1098" s="1" t="str">
        <f aca="false">IF(C1098&lt;&gt;"",DEC2HEX(C1098,2),"")</f>
        <v/>
      </c>
      <c r="I1098" s="1" t="str">
        <f aca="false">IF(D1098&lt;&gt;"",DEC2HEX(D1098,2),"")</f>
        <v/>
      </c>
      <c r="J1098" s="1" t="str">
        <f aca="false">IF(H1098&lt;&gt;"","0x"&amp;I1098&amp;H1098,"")</f>
        <v/>
      </c>
      <c r="L1098" s="1" t="s">
        <v>2812</v>
      </c>
      <c r="M1098" s="1" t="str">
        <f aca="false">IF(J1098&lt;&gt;"",J1098,L1098)</f>
        <v>0.01</v>
      </c>
    </row>
    <row r="1099" customFormat="false" ht="12.75" hidden="false" customHeight="true" outlineLevel="0" collapsed="false">
      <c r="A1099" s="3" t="s">
        <v>3155</v>
      </c>
      <c r="B1099" s="3" t="str">
        <f aca="false">IF(ISNUMBER(SEARCH("%", A1099)),RIGHT(A1099,3),A1099)</f>
        <v>48, 48, GOLBAT</v>
      </c>
      <c r="C1099" s="1" t="str">
        <f aca="false" t="array" ref="C1099:C1099">IF(B1098="NEW ROUTE",textsplit(B1099,","),"")</f>
        <v/>
      </c>
      <c r="H1099" s="1" t="str">
        <f aca="false">IF(C1099&lt;&gt;"",DEC2HEX(C1099,2),"")</f>
        <v/>
      </c>
      <c r="I1099" s="1" t="str">
        <f aca="false">IF(D1099&lt;&gt;"",DEC2HEX(D1099,2),"")</f>
        <v/>
      </c>
      <c r="J1099" s="1" t="str">
        <f aca="false">IF(H1099&lt;&gt;"","0x"&amp;I1099&amp;H1099,"")</f>
        <v/>
      </c>
      <c r="L1099" s="1" t="s">
        <v>3155</v>
      </c>
      <c r="M1099" s="1" t="str">
        <f aca="false">IF(J1099&lt;&gt;"",J1099,L1099)</f>
        <v>48, 48, GOLBAT</v>
      </c>
    </row>
    <row r="1100" customFormat="false" ht="12.75" hidden="false" customHeight="true" outlineLevel="0" collapsed="false">
      <c r="A1100" s="3" t="s">
        <v>3169</v>
      </c>
      <c r="B1100" s="3" t="str">
        <f aca="false">IF(ISNUMBER(SEARCH("%", A1100)),RIGHT(A1100,3),A1100)</f>
        <v>23, 23, SWINUB , &lt;null&gt;, &lt;null&gt;, &lt;null&gt;</v>
      </c>
      <c r="C1100" s="1" t="str">
        <f aca="false" t="array" ref="C1100:C1100">IF(B1099="NEW ROUTE",textsplit(B1100,","),"")</f>
        <v/>
      </c>
      <c r="H1100" s="1" t="str">
        <f aca="false">IF(C1100&lt;&gt;"",DEC2HEX(C1100,2),"")</f>
        <v/>
      </c>
      <c r="I1100" s="1" t="str">
        <f aca="false">IF(D1100&lt;&gt;"",DEC2HEX(D1100,2),"")</f>
        <v/>
      </c>
      <c r="J1100" s="1" t="str">
        <f aca="false">IF(H1100&lt;&gt;"","0x"&amp;I1100&amp;H1100,"")</f>
        <v/>
      </c>
      <c r="L1100" s="1" t="s">
        <v>3169</v>
      </c>
      <c r="M1100" s="1" t="str">
        <f aca="false">IF(J1100&lt;&gt;"",J1100,L1100)</f>
        <v>23, 23, SWINUB , &lt;null&gt;, &lt;null&gt;, &lt;null&gt;</v>
      </c>
    </row>
    <row r="1101" customFormat="false" ht="12.75" hidden="false" customHeight="true" outlineLevel="0" collapsed="false">
      <c r="A1101" s="3" t="s">
        <v>2536</v>
      </c>
      <c r="B1101" s="3" t="str">
        <f aca="false">IF(ISNUMBER(SEARCH("%", A1101)),RIGHT(A1101,3),A1101)</f>
        <v>NEW ROUTE</v>
      </c>
      <c r="C1101" s="1" t="str">
        <f aca="false" t="array" ref="C1101:C1101">IF(B1100="NEW ROUTE",textsplit(B1101,","),"")</f>
        <v/>
      </c>
      <c r="H1101" s="1" t="str">
        <f aca="false">IF(C1101&lt;&gt;"",DEC2HEX(C1101,2),"")</f>
        <v/>
      </c>
      <c r="I1101" s="1" t="str">
        <f aca="false">IF(D1101&lt;&gt;"",DEC2HEX(D1101,2),"")</f>
        <v/>
      </c>
      <c r="J1101" s="1" t="str">
        <f aca="false">IF(H1101&lt;&gt;"","0x"&amp;I1101&amp;H1101,"")</f>
        <v/>
      </c>
      <c r="L1101" s="1" t="s">
        <v>2536</v>
      </c>
      <c r="M1101" s="1" t="str">
        <f aca="false">IF(J1101&lt;&gt;"",J1101,L1101)</f>
        <v>NEW ROUTE</v>
      </c>
    </row>
    <row r="1102" customFormat="false" ht="12.75" hidden="false" customHeight="true" outlineLevel="0" collapsed="false">
      <c r="A1102" s="3" t="s">
        <v>3170</v>
      </c>
      <c r="B1102" s="3" t="str">
        <f aca="false">IF(ISNUMBER(SEARCH("%", A1102)),RIGHT(A1102,3),A1102)</f>
        <v>1, 112, 0,</v>
      </c>
      <c r="C1102" s="1" t="e">
        <f aca="false" t="array" ref="C1102:C1102">IF(B1101="NEW ROUTE",textsplit(B1102,","),"")</f>
        <v>#NAME?</v>
      </c>
      <c r="H1102" s="1" t="e">
        <f aca="false">IF(C1102&lt;&gt;"",DEC2HEX(C1102,2),"")</f>
        <v>#NAME?</v>
      </c>
      <c r="I1102" s="1" t="str">
        <f aca="false">IF(D1102&lt;&gt;"",DEC2HEX(D1102,2),"")</f>
        <v/>
      </c>
      <c r="J1102" s="1" t="e">
        <f aca="false">IF(H1102&lt;&gt;"","0x"&amp;I1102&amp;H1102,"")</f>
        <v>#NAME?</v>
      </c>
      <c r="L1102" s="1" t="s">
        <v>3170</v>
      </c>
      <c r="M1102" s="1" t="e">
        <f aca="false">IF(J1102&lt;&gt;"",J1102,L1102)</f>
        <v>#NAME?</v>
      </c>
    </row>
    <row r="1103" customFormat="false" ht="12.75" hidden="false" customHeight="true" outlineLevel="0" collapsed="false">
      <c r="A1103" s="3" t="s">
        <v>2816</v>
      </c>
      <c r="B1103" s="3" t="str">
        <f aca="false">IF(ISNUMBER(SEARCH("%", A1103)),RIGHT(A1103,3),A1103)</f>
        <v>20%</v>
      </c>
      <c r="C1103" s="1" t="str">
        <f aca="false" t="array" ref="C1103:C1103">IF(B1102="NEW ROUTE",textsplit(B1103,","),"")</f>
        <v/>
      </c>
      <c r="H1103" s="1" t="str">
        <f aca="false">IF(C1103&lt;&gt;"",DEC2HEX(C1103,2),"")</f>
        <v/>
      </c>
      <c r="I1103" s="1" t="str">
        <f aca="false">IF(D1103&lt;&gt;"",DEC2HEX(D1103,2),"")</f>
        <v/>
      </c>
      <c r="J1103" s="1" t="str">
        <f aca="false">IF(H1103&lt;&gt;"","0x"&amp;I1103&amp;H1103,"")</f>
        <v/>
      </c>
      <c r="L1103" s="1" t="s">
        <v>2799</v>
      </c>
      <c r="M1103" s="1" t="str">
        <f aca="false">IF(J1103&lt;&gt;"",J1103,L1103)</f>
        <v>20%</v>
      </c>
    </row>
    <row r="1104" customFormat="false" ht="12.75" hidden="false" customHeight="true" outlineLevel="0" collapsed="false">
      <c r="A1104" s="3" t="s">
        <v>1609</v>
      </c>
      <c r="B1104" s="3" t="str">
        <f aca="false">IF(ISNUMBER(SEARCH("%", A1104)),RIGHT(A1104,3),A1104)</f>
        <v>25, 25, SWINUB</v>
      </c>
      <c r="C1104" s="1" t="str">
        <f aca="false" t="array" ref="C1104:C1104">IF(B1103="NEW ROUTE",textsplit(B1104,","),"")</f>
        <v/>
      </c>
      <c r="H1104" s="1" t="str">
        <f aca="false">IF(C1104&lt;&gt;"",DEC2HEX(C1104,2),"")</f>
        <v/>
      </c>
      <c r="I1104" s="1" t="str">
        <f aca="false">IF(D1104&lt;&gt;"",DEC2HEX(D1104,2),"")</f>
        <v/>
      </c>
      <c r="J1104" s="1" t="str">
        <f aca="false">IF(H1104&lt;&gt;"","0x"&amp;I1104&amp;H1104,"")</f>
        <v/>
      </c>
      <c r="L1104" s="1" t="s">
        <v>1609</v>
      </c>
      <c r="M1104" s="1" t="str">
        <f aca="false">IF(J1104&lt;&gt;"",J1104,L1104)</f>
        <v>25, 25, SWINUB</v>
      </c>
    </row>
    <row r="1105" customFormat="false" ht="12.75" hidden="false" customHeight="true" outlineLevel="0" collapsed="false">
      <c r="A1105" s="3" t="s">
        <v>3148</v>
      </c>
      <c r="B1105" s="3" t="str">
        <f aca="false">IF(ISNUMBER(SEARCH("%", A1105)),RIGHT(A1105,3),A1105)</f>
        <v>45, 45, GOLBAT</v>
      </c>
      <c r="C1105" s="1" t="str">
        <f aca="false" t="array" ref="C1105:C1105">IF(B1104="NEW ROUTE",textsplit(B1105,","),"")</f>
        <v/>
      </c>
      <c r="H1105" s="1" t="str">
        <f aca="false">IF(C1105&lt;&gt;"",DEC2HEX(C1105,2),"")</f>
        <v/>
      </c>
      <c r="I1105" s="1" t="str">
        <f aca="false">IF(D1105&lt;&gt;"",DEC2HEX(D1105,2),"")</f>
        <v/>
      </c>
      <c r="J1105" s="1" t="str">
        <f aca="false">IF(H1105&lt;&gt;"","0x"&amp;I1105&amp;H1105,"")</f>
        <v/>
      </c>
      <c r="L1105" s="1" t="s">
        <v>3148</v>
      </c>
      <c r="M1105" s="1" t="str">
        <f aca="false">IF(J1105&lt;&gt;"",J1105,L1105)</f>
        <v>45, 45, GOLBAT</v>
      </c>
    </row>
    <row r="1106" customFormat="false" ht="12.75" hidden="false" customHeight="true" outlineLevel="0" collapsed="false">
      <c r="A1106" s="3" t="s">
        <v>2801</v>
      </c>
      <c r="B1106" s="3" t="str">
        <f aca="false">IF(ISNUMBER(SEARCH("%", A1106)),RIGHT(A1106,3),A1106)</f>
        <v>0.1</v>
      </c>
      <c r="C1106" s="1" t="str">
        <f aca="false" t="array" ref="C1106:C1106">IF(B1105="NEW ROUTE",textsplit(B1106,","),"")</f>
        <v/>
      </c>
      <c r="H1106" s="1" t="str">
        <f aca="false">IF(C1106&lt;&gt;"",DEC2HEX(C1106,2),"")</f>
        <v/>
      </c>
      <c r="I1106" s="1" t="str">
        <f aca="false">IF(D1106&lt;&gt;"",DEC2HEX(D1106,2),"")</f>
        <v/>
      </c>
      <c r="J1106" s="1" t="str">
        <f aca="false">IF(H1106&lt;&gt;"","0x"&amp;I1106&amp;H1106,"")</f>
        <v/>
      </c>
      <c r="L1106" s="1" t="s">
        <v>2801</v>
      </c>
      <c r="M1106" s="1" t="str">
        <f aca="false">IF(J1106&lt;&gt;"",J1106,L1106)</f>
        <v>0.1</v>
      </c>
    </row>
    <row r="1107" customFormat="false" ht="12.75" hidden="false" customHeight="true" outlineLevel="0" collapsed="false">
      <c r="A1107" s="3" t="s">
        <v>3149</v>
      </c>
      <c r="B1107" s="3" t="str">
        <f aca="false">IF(ISNUMBER(SEARCH("%", A1107)),RIGHT(A1107,3),A1107)</f>
        <v>45, 45, SEEL</v>
      </c>
      <c r="C1107" s="1" t="str">
        <f aca="false" t="array" ref="C1107:C1107">IF(B1106="NEW ROUTE",textsplit(B1107,","),"")</f>
        <v/>
      </c>
      <c r="H1107" s="1" t="str">
        <f aca="false">IF(C1107&lt;&gt;"",DEC2HEX(C1107,2),"")</f>
        <v/>
      </c>
      <c r="I1107" s="1" t="str">
        <f aca="false">IF(D1107&lt;&gt;"",DEC2HEX(D1107,2),"")</f>
        <v/>
      </c>
      <c r="J1107" s="1" t="str">
        <f aca="false">IF(H1107&lt;&gt;"","0x"&amp;I1107&amp;H1107,"")</f>
        <v/>
      </c>
      <c r="L1107" s="1" t="s">
        <v>3149</v>
      </c>
      <c r="M1107" s="1" t="str">
        <f aca="false">IF(J1107&lt;&gt;"",J1107,L1107)</f>
        <v>45, 45, SEEL</v>
      </c>
    </row>
    <row r="1108" customFormat="false" ht="12.75" hidden="false" customHeight="true" outlineLevel="0" collapsed="false">
      <c r="A1108" s="3" t="s">
        <v>3164</v>
      </c>
      <c r="B1108" s="3" t="str">
        <f aca="false">IF(ISNUMBER(SEARCH("%", A1108)),RIGHT(A1108,3),A1108)</f>
        <v>27, 27, SWINUB</v>
      </c>
      <c r="C1108" s="1" t="str">
        <f aca="false" t="array" ref="C1108:C1108">IF(B1107="NEW ROUTE",textsplit(B1108,","),"")</f>
        <v/>
      </c>
      <c r="H1108" s="1" t="str">
        <f aca="false">IF(C1108&lt;&gt;"",DEC2HEX(C1108,2),"")</f>
        <v/>
      </c>
      <c r="I1108" s="1" t="str">
        <f aca="false">IF(D1108&lt;&gt;"",DEC2HEX(D1108,2),"")</f>
        <v/>
      </c>
      <c r="J1108" s="1" t="str">
        <f aca="false">IF(H1108&lt;&gt;"","0x"&amp;I1108&amp;H1108,"")</f>
        <v/>
      </c>
      <c r="L1108" s="1" t="s">
        <v>3164</v>
      </c>
      <c r="M1108" s="1" t="str">
        <f aca="false">IF(J1108&lt;&gt;"",J1108,L1108)</f>
        <v>27, 27, SWINUB</v>
      </c>
    </row>
    <row r="1109" customFormat="false" ht="12.75" hidden="false" customHeight="true" outlineLevel="0" collapsed="false">
      <c r="A1109" s="3" t="s">
        <v>3151</v>
      </c>
      <c r="B1109" s="3" t="str">
        <f aca="false">IF(ISNUMBER(SEARCH("%", A1109)),RIGHT(A1109,3),A1109)</f>
        <v>40, 40, ZUBAT</v>
      </c>
      <c r="C1109" s="1" t="str">
        <f aca="false" t="array" ref="C1109:C1109">IF(B1108="NEW ROUTE",textsplit(B1109,","),"")</f>
        <v/>
      </c>
      <c r="H1109" s="1" t="str">
        <f aca="false">IF(C1109&lt;&gt;"",DEC2HEX(C1109,2),"")</f>
        <v/>
      </c>
      <c r="I1109" s="1" t="str">
        <f aca="false">IF(D1109&lt;&gt;"",DEC2HEX(D1109,2),"")</f>
        <v/>
      </c>
      <c r="J1109" s="1" t="str">
        <f aca="false">IF(H1109&lt;&gt;"","0x"&amp;I1109&amp;H1109,"")</f>
        <v/>
      </c>
      <c r="L1109" s="1" t="s">
        <v>3151</v>
      </c>
      <c r="M1109" s="1" t="str">
        <f aca="false">IF(J1109&lt;&gt;"",J1109,L1109)</f>
        <v>40, 40, ZUBAT</v>
      </c>
    </row>
    <row r="1110" customFormat="false" ht="12.75" hidden="false" customHeight="true" outlineLevel="0" collapsed="false">
      <c r="A1110" s="3" t="s">
        <v>3165</v>
      </c>
      <c r="B1110" s="3" t="str">
        <f aca="false">IF(ISNUMBER(SEARCH("%", A1110)),RIGHT(A1110,3),A1110)</f>
        <v>29, 29, SWINUB</v>
      </c>
      <c r="C1110" s="1" t="str">
        <f aca="false" t="array" ref="C1110:C1110">IF(B1109="NEW ROUTE",textsplit(B1110,","),"")</f>
        <v/>
      </c>
      <c r="H1110" s="1" t="str">
        <f aca="false">IF(C1110&lt;&gt;"",DEC2HEX(C1110,2),"")</f>
        <v/>
      </c>
      <c r="I1110" s="1" t="str">
        <f aca="false">IF(D1110&lt;&gt;"",DEC2HEX(D1110,2),"")</f>
        <v/>
      </c>
      <c r="J1110" s="1" t="str">
        <f aca="false">IF(H1110&lt;&gt;"","0x"&amp;I1110&amp;H1110,"")</f>
        <v/>
      </c>
      <c r="L1110" s="1" t="s">
        <v>3165</v>
      </c>
      <c r="M1110" s="1" t="str">
        <f aca="false">IF(J1110&lt;&gt;"",J1110,L1110)</f>
        <v>29, 29, SWINUB</v>
      </c>
    </row>
    <row r="1111" customFormat="false" ht="12.75" hidden="false" customHeight="true" outlineLevel="0" collapsed="false">
      <c r="A1111" s="3" t="s">
        <v>2806</v>
      </c>
      <c r="B1111" s="3" t="str">
        <f aca="false">IF(ISNUMBER(SEARCH("%", A1111)),RIGHT(A1111,3),A1111)</f>
        <v>0.05</v>
      </c>
      <c r="C1111" s="1" t="str">
        <f aca="false" t="array" ref="C1111:C1111">IF(B1110="NEW ROUTE",textsplit(B1111,","),"")</f>
        <v/>
      </c>
      <c r="H1111" s="1" t="str">
        <f aca="false">IF(C1111&lt;&gt;"",DEC2HEX(C1111,2),"")</f>
        <v/>
      </c>
      <c r="I1111" s="1" t="str">
        <f aca="false">IF(D1111&lt;&gt;"",DEC2HEX(D1111,2),"")</f>
        <v/>
      </c>
      <c r="J1111" s="1" t="str">
        <f aca="false">IF(H1111&lt;&gt;"","0x"&amp;I1111&amp;H1111,"")</f>
        <v/>
      </c>
      <c r="L1111" s="1" t="s">
        <v>2806</v>
      </c>
      <c r="M1111" s="1" t="str">
        <f aca="false">IF(J1111&lt;&gt;"",J1111,L1111)</f>
        <v>0.05</v>
      </c>
    </row>
    <row r="1112" customFormat="false" ht="12.75" hidden="false" customHeight="true" outlineLevel="0" collapsed="false">
      <c r="A1112" s="3" t="s">
        <v>3166</v>
      </c>
      <c r="B1112" s="3" t="str">
        <f aca="false">IF(ISNUMBER(SEARCH("%", A1112)),RIGHT(A1112,3),A1112)</f>
        <v>30, 30, SNEASEL</v>
      </c>
      <c r="C1112" s="1" t="str">
        <f aca="false" t="array" ref="C1112:C1112">IF(B1111="NEW ROUTE",textsplit(B1112,","),"")</f>
        <v/>
      </c>
      <c r="H1112" s="1" t="str">
        <f aca="false">IF(C1112&lt;&gt;"",DEC2HEX(C1112,2),"")</f>
        <v/>
      </c>
      <c r="I1112" s="1" t="str">
        <f aca="false">IF(D1112&lt;&gt;"",DEC2HEX(D1112,2),"")</f>
        <v/>
      </c>
      <c r="J1112" s="1" t="str">
        <f aca="false">IF(H1112&lt;&gt;"","0x"&amp;I1112&amp;H1112,"")</f>
        <v/>
      </c>
      <c r="L1112" s="1" t="s">
        <v>3166</v>
      </c>
      <c r="M1112" s="1" t="str">
        <f aca="false">IF(J1112&lt;&gt;"",J1112,L1112)</f>
        <v>30, 30, SNEASEL</v>
      </c>
    </row>
    <row r="1113" customFormat="false" ht="12.75" hidden="false" customHeight="true" outlineLevel="0" collapsed="false">
      <c r="A1113" s="3" t="s">
        <v>3167</v>
      </c>
      <c r="B1113" s="3" t="str">
        <f aca="false">IF(ISNUMBER(SEARCH("%", A1113)),RIGHT(A1113,3),A1113)</f>
        <v>31, 31, SWINUB</v>
      </c>
      <c r="C1113" s="1" t="str">
        <f aca="false" t="array" ref="C1113:C1113">IF(B1112="NEW ROUTE",textsplit(B1113,","),"")</f>
        <v/>
      </c>
      <c r="H1113" s="1" t="str">
        <f aca="false">IF(C1113&lt;&gt;"",DEC2HEX(C1113,2),"")</f>
        <v/>
      </c>
      <c r="I1113" s="1" t="str">
        <f aca="false">IF(D1113&lt;&gt;"",DEC2HEX(D1113,2),"")</f>
        <v/>
      </c>
      <c r="J1113" s="1" t="str">
        <f aca="false">IF(H1113&lt;&gt;"","0x"&amp;I1113&amp;H1113,"")</f>
        <v/>
      </c>
      <c r="L1113" s="1" t="s">
        <v>3167</v>
      </c>
      <c r="M1113" s="1" t="str">
        <f aca="false">IF(J1113&lt;&gt;"",J1113,L1113)</f>
        <v>31, 31, SWINUB</v>
      </c>
    </row>
    <row r="1114" customFormat="false" ht="12.75" hidden="false" customHeight="true" outlineLevel="0" collapsed="false">
      <c r="A1114" s="3" t="s">
        <v>2809</v>
      </c>
      <c r="B1114" s="3" t="str">
        <f aca="false">IF(ISNUMBER(SEARCH("%", A1114)),RIGHT(A1114,3),A1114)</f>
        <v>0.04</v>
      </c>
      <c r="C1114" s="1" t="str">
        <f aca="false" t="array" ref="C1114:C1114">IF(B1113="NEW ROUTE",textsplit(B1114,","),"")</f>
        <v/>
      </c>
      <c r="H1114" s="1" t="str">
        <f aca="false">IF(C1114&lt;&gt;"",DEC2HEX(C1114,2),"")</f>
        <v/>
      </c>
      <c r="I1114" s="1" t="str">
        <f aca="false">IF(D1114&lt;&gt;"",DEC2HEX(D1114,2),"")</f>
        <v/>
      </c>
      <c r="J1114" s="1" t="str">
        <f aca="false">IF(H1114&lt;&gt;"","0x"&amp;I1114&amp;H1114,"")</f>
        <v/>
      </c>
      <c r="L1114" s="1" t="s">
        <v>2809</v>
      </c>
      <c r="M1114" s="1" t="str">
        <f aca="false">IF(J1114&lt;&gt;"",J1114,L1114)</f>
        <v>0.04</v>
      </c>
    </row>
    <row r="1115" customFormat="false" ht="12.75" hidden="false" customHeight="true" outlineLevel="0" collapsed="false">
      <c r="A1115" s="3" t="s">
        <v>3155</v>
      </c>
      <c r="B1115" s="3" t="str">
        <f aca="false">IF(ISNUMBER(SEARCH("%", A1115)),RIGHT(A1115,3),A1115)</f>
        <v>48, 48, GOLBAT</v>
      </c>
      <c r="C1115" s="1" t="str">
        <f aca="false" t="array" ref="C1115:C1115">IF(B1114="NEW ROUTE",textsplit(B1115,","),"")</f>
        <v/>
      </c>
      <c r="H1115" s="1" t="str">
        <f aca="false">IF(C1115&lt;&gt;"",DEC2HEX(C1115,2),"")</f>
        <v/>
      </c>
      <c r="I1115" s="1" t="str">
        <f aca="false">IF(D1115&lt;&gt;"",DEC2HEX(D1115,2),"")</f>
        <v/>
      </c>
      <c r="J1115" s="1" t="str">
        <f aca="false">IF(H1115&lt;&gt;"","0x"&amp;I1115&amp;H1115,"")</f>
        <v/>
      </c>
      <c r="L1115" s="1" t="s">
        <v>3155</v>
      </c>
      <c r="M1115" s="1" t="str">
        <f aca="false">IF(J1115&lt;&gt;"",J1115,L1115)</f>
        <v>48, 48, GOLBAT</v>
      </c>
    </row>
    <row r="1116" customFormat="false" ht="12.75" hidden="false" customHeight="true" outlineLevel="0" collapsed="false">
      <c r="A1116" s="3" t="s">
        <v>3168</v>
      </c>
      <c r="B1116" s="3" t="str">
        <f aca="false">IF(ISNUMBER(SEARCH("%", A1116)),RIGHT(A1116,3),A1116)</f>
        <v>23, 23, SWINUB</v>
      </c>
      <c r="C1116" s="1" t="str">
        <f aca="false" t="array" ref="C1116:C1116">IF(B1115="NEW ROUTE",textsplit(B1116,","),"")</f>
        <v/>
      </c>
      <c r="H1116" s="1" t="str">
        <f aca="false">IF(C1116&lt;&gt;"",DEC2HEX(C1116,2),"")</f>
        <v/>
      </c>
      <c r="I1116" s="1" t="str">
        <f aca="false">IF(D1116&lt;&gt;"",DEC2HEX(D1116,2),"")</f>
        <v/>
      </c>
      <c r="J1116" s="1" t="str">
        <f aca="false">IF(H1116&lt;&gt;"","0x"&amp;I1116&amp;H1116,"")</f>
        <v/>
      </c>
      <c r="L1116" s="1" t="s">
        <v>3168</v>
      </c>
      <c r="M1116" s="1" t="str">
        <f aca="false">IF(J1116&lt;&gt;"",J1116,L1116)</f>
        <v>23, 23, SWINUB</v>
      </c>
    </row>
    <row r="1117" customFormat="false" ht="12.75" hidden="false" customHeight="true" outlineLevel="0" collapsed="false">
      <c r="A1117" s="3" t="s">
        <v>2812</v>
      </c>
      <c r="B1117" s="3" t="str">
        <f aca="false">IF(ISNUMBER(SEARCH("%", A1117)),RIGHT(A1117,3),A1117)</f>
        <v>0.01</v>
      </c>
      <c r="C1117" s="1" t="str">
        <f aca="false" t="array" ref="C1117:C1117">IF(B1116="NEW ROUTE",textsplit(B1117,","),"")</f>
        <v/>
      </c>
      <c r="H1117" s="1" t="str">
        <f aca="false">IF(C1117&lt;&gt;"",DEC2HEX(C1117,2),"")</f>
        <v/>
      </c>
      <c r="I1117" s="1" t="str">
        <f aca="false">IF(D1117&lt;&gt;"",DEC2HEX(D1117,2),"")</f>
        <v/>
      </c>
      <c r="J1117" s="1" t="str">
        <f aca="false">IF(H1117&lt;&gt;"","0x"&amp;I1117&amp;H1117,"")</f>
        <v/>
      </c>
      <c r="L1117" s="1" t="s">
        <v>2812</v>
      </c>
      <c r="M1117" s="1" t="str">
        <f aca="false">IF(J1117&lt;&gt;"",J1117,L1117)</f>
        <v>0.01</v>
      </c>
    </row>
    <row r="1118" customFormat="false" ht="12.75" hidden="false" customHeight="true" outlineLevel="0" collapsed="false">
      <c r="A1118" s="3" t="s">
        <v>3155</v>
      </c>
      <c r="B1118" s="3" t="str">
        <f aca="false">IF(ISNUMBER(SEARCH("%", A1118)),RIGHT(A1118,3),A1118)</f>
        <v>48, 48, GOLBAT</v>
      </c>
      <c r="C1118" s="1" t="str">
        <f aca="false" t="array" ref="C1118:C1118">IF(B1117="NEW ROUTE",textsplit(B1118,","),"")</f>
        <v/>
      </c>
      <c r="H1118" s="1" t="str">
        <f aca="false">IF(C1118&lt;&gt;"",DEC2HEX(C1118,2),"")</f>
        <v/>
      </c>
      <c r="I1118" s="1" t="str">
        <f aca="false">IF(D1118&lt;&gt;"",DEC2HEX(D1118,2),"")</f>
        <v/>
      </c>
      <c r="J1118" s="1" t="str">
        <f aca="false">IF(H1118&lt;&gt;"","0x"&amp;I1118&amp;H1118,"")</f>
        <v/>
      </c>
      <c r="L1118" s="1" t="s">
        <v>3155</v>
      </c>
      <c r="M1118" s="1" t="str">
        <f aca="false">IF(J1118&lt;&gt;"",J1118,L1118)</f>
        <v>48, 48, GOLBAT</v>
      </c>
    </row>
    <row r="1119" customFormat="false" ht="12.75" hidden="false" customHeight="true" outlineLevel="0" collapsed="false">
      <c r="A1119" s="3" t="s">
        <v>3169</v>
      </c>
      <c r="B1119" s="3" t="str">
        <f aca="false">IF(ISNUMBER(SEARCH("%", A1119)),RIGHT(A1119,3),A1119)</f>
        <v>23, 23, SWINUB , &lt;null&gt;, &lt;null&gt;, &lt;null&gt;</v>
      </c>
      <c r="C1119" s="1" t="str">
        <f aca="false" t="array" ref="C1119:C1119">IF(B1118="NEW ROUTE",textsplit(B1119,","),"")</f>
        <v/>
      </c>
      <c r="H1119" s="1" t="str">
        <f aca="false">IF(C1119&lt;&gt;"",DEC2HEX(C1119,2),"")</f>
        <v/>
      </c>
      <c r="I1119" s="1" t="str">
        <f aca="false">IF(D1119&lt;&gt;"",DEC2HEX(D1119,2),"")</f>
        <v/>
      </c>
      <c r="J1119" s="1" t="str">
        <f aca="false">IF(H1119&lt;&gt;"","0x"&amp;I1119&amp;H1119,"")</f>
        <v/>
      </c>
      <c r="L1119" s="1" t="s">
        <v>3169</v>
      </c>
      <c r="M1119" s="1" t="str">
        <f aca="false">IF(J1119&lt;&gt;"",J1119,L1119)</f>
        <v>23, 23, SWINUB , &lt;null&gt;, &lt;null&gt;, &lt;null&gt;</v>
      </c>
    </row>
    <row r="1120" customFormat="false" ht="12.75" hidden="false" customHeight="true" outlineLevel="0" collapsed="false">
      <c r="A1120" s="3" t="s">
        <v>2536</v>
      </c>
      <c r="B1120" s="3" t="str">
        <f aca="false">IF(ISNUMBER(SEARCH("%", A1120)),RIGHT(A1120,3),A1120)</f>
        <v>NEW ROUTE</v>
      </c>
      <c r="C1120" s="1" t="str">
        <f aca="false" t="array" ref="C1120:C1120">IF(B1119="NEW ROUTE",textsplit(B1120,","),"")</f>
        <v/>
      </c>
      <c r="H1120" s="1" t="str">
        <f aca="false">IF(C1120&lt;&gt;"",DEC2HEX(C1120,2),"")</f>
        <v/>
      </c>
      <c r="I1120" s="1" t="str">
        <f aca="false">IF(D1120&lt;&gt;"",DEC2HEX(D1120,2),"")</f>
        <v/>
      </c>
      <c r="J1120" s="1" t="str">
        <f aca="false">IF(H1120&lt;&gt;"","0x"&amp;I1120&amp;H1120,"")</f>
        <v/>
      </c>
      <c r="L1120" s="1" t="s">
        <v>2536</v>
      </c>
      <c r="M1120" s="1" t="str">
        <f aca="false">IF(J1120&lt;&gt;"",J1120,L1120)</f>
        <v>NEW ROUTE</v>
      </c>
    </row>
    <row r="1121" customFormat="false" ht="12.75" hidden="false" customHeight="true" outlineLevel="0" collapsed="false">
      <c r="A1121" s="3" t="s">
        <v>3171</v>
      </c>
      <c r="B1121" s="3" t="str">
        <f aca="false">IF(ISNUMBER(SEARCH("%", A1121)),RIGHT(A1121,3),A1121)</f>
        <v>1, 113, 0,</v>
      </c>
      <c r="C1121" s="1" t="e">
        <f aca="false" t="array" ref="C1121:C1121">IF(B1120="NEW ROUTE",textsplit(B1121,","),"")</f>
        <v>#NAME?</v>
      </c>
      <c r="H1121" s="1" t="e">
        <f aca="false">IF(C1121&lt;&gt;"",DEC2HEX(C1121,2),"")</f>
        <v>#NAME?</v>
      </c>
      <c r="I1121" s="1" t="str">
        <f aca="false">IF(D1121&lt;&gt;"",DEC2HEX(D1121,2),"")</f>
        <v/>
      </c>
      <c r="J1121" s="1" t="e">
        <f aca="false">IF(H1121&lt;&gt;"","0x"&amp;I1121&amp;H1121,"")</f>
        <v>#NAME?</v>
      </c>
      <c r="L1121" s="1" t="s">
        <v>3171</v>
      </c>
      <c r="M1121" s="1" t="e">
        <f aca="false">IF(J1121&lt;&gt;"",J1121,L1121)</f>
        <v>#NAME?</v>
      </c>
    </row>
    <row r="1122" customFormat="false" ht="12.75" hidden="false" customHeight="true" outlineLevel="0" collapsed="false">
      <c r="A1122" s="3" t="s">
        <v>2816</v>
      </c>
      <c r="B1122" s="3" t="str">
        <f aca="false">IF(ISNUMBER(SEARCH("%", A1122)),RIGHT(A1122,3),A1122)</f>
        <v>20%</v>
      </c>
      <c r="C1122" s="1" t="str">
        <f aca="false" t="array" ref="C1122:C1122">IF(B1121="NEW ROUTE",textsplit(B1122,","),"")</f>
        <v/>
      </c>
      <c r="H1122" s="1" t="str">
        <f aca="false">IF(C1122&lt;&gt;"",DEC2HEX(C1122,2),"")</f>
        <v/>
      </c>
      <c r="I1122" s="1" t="str">
        <f aca="false">IF(D1122&lt;&gt;"",DEC2HEX(D1122,2),"")</f>
        <v/>
      </c>
      <c r="J1122" s="1" t="str">
        <f aca="false">IF(H1122&lt;&gt;"","0x"&amp;I1122&amp;H1122,"")</f>
        <v/>
      </c>
      <c r="L1122" s="1" t="s">
        <v>2799</v>
      </c>
      <c r="M1122" s="1" t="str">
        <f aca="false">IF(J1122&lt;&gt;"",J1122,L1122)</f>
        <v>20%</v>
      </c>
    </row>
    <row r="1123" customFormat="false" ht="12.75" hidden="false" customHeight="true" outlineLevel="0" collapsed="false">
      <c r="A1123" s="3" t="s">
        <v>1591</v>
      </c>
      <c r="B1123" s="3" t="str">
        <f aca="false">IF(ISNUMBER(SEARCH("%", A1123)),RIGHT(A1123,3),A1123)</f>
        <v>43, 43, SEEL</v>
      </c>
      <c r="C1123" s="1" t="str">
        <f aca="false" t="array" ref="C1123:C1123">IF(B1122="NEW ROUTE",textsplit(B1123,","),"")</f>
        <v/>
      </c>
      <c r="H1123" s="1" t="str">
        <f aca="false">IF(C1123&lt;&gt;"",DEC2HEX(C1123,2),"")</f>
        <v/>
      </c>
      <c r="I1123" s="1" t="str">
        <f aca="false">IF(D1123&lt;&gt;"",DEC2HEX(D1123,2),"")</f>
        <v/>
      </c>
      <c r="J1123" s="1" t="str">
        <f aca="false">IF(H1123&lt;&gt;"","0x"&amp;I1123&amp;H1123,"")</f>
        <v/>
      </c>
      <c r="L1123" s="1" t="s">
        <v>1591</v>
      </c>
      <c r="M1123" s="1" t="str">
        <f aca="false">IF(J1123&lt;&gt;"",J1123,L1123)</f>
        <v>43, 43, SEEL</v>
      </c>
    </row>
    <row r="1124" customFormat="false" ht="12.75" hidden="false" customHeight="true" outlineLevel="0" collapsed="false">
      <c r="A1124" s="3" t="s">
        <v>3148</v>
      </c>
      <c r="B1124" s="3" t="str">
        <f aca="false">IF(ISNUMBER(SEARCH("%", A1124)),RIGHT(A1124,3),A1124)</f>
        <v>45, 45, GOLBAT</v>
      </c>
      <c r="C1124" s="1" t="str">
        <f aca="false" t="array" ref="C1124:C1124">IF(B1123="NEW ROUTE",textsplit(B1124,","),"")</f>
        <v/>
      </c>
      <c r="H1124" s="1" t="str">
        <f aca="false">IF(C1124&lt;&gt;"",DEC2HEX(C1124,2),"")</f>
        <v/>
      </c>
      <c r="I1124" s="1" t="str">
        <f aca="false">IF(D1124&lt;&gt;"",DEC2HEX(D1124,2),"")</f>
        <v/>
      </c>
      <c r="J1124" s="1" t="str">
        <f aca="false">IF(H1124&lt;&gt;"","0x"&amp;I1124&amp;H1124,"")</f>
        <v/>
      </c>
      <c r="L1124" s="1" t="s">
        <v>3148</v>
      </c>
      <c r="M1124" s="1" t="str">
        <f aca="false">IF(J1124&lt;&gt;"",J1124,L1124)</f>
        <v>45, 45, GOLBAT</v>
      </c>
    </row>
    <row r="1125" customFormat="false" ht="12.75" hidden="false" customHeight="true" outlineLevel="0" collapsed="false">
      <c r="A1125" s="3" t="s">
        <v>2801</v>
      </c>
      <c r="B1125" s="3" t="str">
        <f aca="false">IF(ISNUMBER(SEARCH("%", A1125)),RIGHT(A1125,3),A1125)</f>
        <v>0.1</v>
      </c>
      <c r="C1125" s="1" t="str">
        <f aca="false" t="array" ref="C1125:C1125">IF(B1124="NEW ROUTE",textsplit(B1125,","),"")</f>
        <v/>
      </c>
      <c r="H1125" s="1" t="str">
        <f aca="false">IF(C1125&lt;&gt;"",DEC2HEX(C1125,2),"")</f>
        <v/>
      </c>
      <c r="I1125" s="1" t="str">
        <f aca="false">IF(D1125&lt;&gt;"",DEC2HEX(D1125,2),"")</f>
        <v/>
      </c>
      <c r="J1125" s="1" t="str">
        <f aca="false">IF(H1125&lt;&gt;"","0x"&amp;I1125&amp;H1125,"")</f>
        <v/>
      </c>
      <c r="L1125" s="1" t="s">
        <v>2801</v>
      </c>
      <c r="M1125" s="1" t="str">
        <f aca="false">IF(J1125&lt;&gt;"",J1125,L1125)</f>
        <v>0.1</v>
      </c>
    </row>
    <row r="1126" customFormat="false" ht="12.75" hidden="false" customHeight="true" outlineLevel="0" collapsed="false">
      <c r="A1126" s="3" t="s">
        <v>3149</v>
      </c>
      <c r="B1126" s="3" t="str">
        <f aca="false">IF(ISNUMBER(SEARCH("%", A1126)),RIGHT(A1126,3),A1126)</f>
        <v>45, 45, SEEL</v>
      </c>
      <c r="C1126" s="1" t="str">
        <f aca="false" t="array" ref="C1126:C1126">IF(B1125="NEW ROUTE",textsplit(B1126,","),"")</f>
        <v/>
      </c>
      <c r="H1126" s="1" t="str">
        <f aca="false">IF(C1126&lt;&gt;"",DEC2HEX(C1126,2),"")</f>
        <v/>
      </c>
      <c r="I1126" s="1" t="str">
        <f aca="false">IF(D1126&lt;&gt;"",DEC2HEX(D1126,2),"")</f>
        <v/>
      </c>
      <c r="J1126" s="1" t="str">
        <f aca="false">IF(H1126&lt;&gt;"","0x"&amp;I1126&amp;H1126,"")</f>
        <v/>
      </c>
      <c r="L1126" s="1" t="s">
        <v>3149</v>
      </c>
      <c r="M1126" s="1" t="str">
        <f aca="false">IF(J1126&lt;&gt;"",J1126,L1126)</f>
        <v>45, 45, SEEL</v>
      </c>
    </row>
    <row r="1127" customFormat="false" ht="12.75" hidden="false" customHeight="true" outlineLevel="0" collapsed="false">
      <c r="A1127" s="3" t="s">
        <v>3150</v>
      </c>
      <c r="B1127" s="3" t="str">
        <f aca="false">IF(ISNUMBER(SEARCH("%", A1127)),RIGHT(A1127,3),A1127)</f>
        <v>47, 47, SEEL</v>
      </c>
      <c r="C1127" s="1" t="str">
        <f aca="false" t="array" ref="C1127:C1127">IF(B1126="NEW ROUTE",textsplit(B1127,","),"")</f>
        <v/>
      </c>
      <c r="H1127" s="1" t="str">
        <f aca="false">IF(C1127&lt;&gt;"",DEC2HEX(C1127,2),"")</f>
        <v/>
      </c>
      <c r="I1127" s="1" t="str">
        <f aca="false">IF(D1127&lt;&gt;"",DEC2HEX(D1127,2),"")</f>
        <v/>
      </c>
      <c r="J1127" s="1" t="str">
        <f aca="false">IF(H1127&lt;&gt;"","0x"&amp;I1127&amp;H1127,"")</f>
        <v/>
      </c>
      <c r="L1127" s="1" t="s">
        <v>3150</v>
      </c>
      <c r="M1127" s="1" t="str">
        <f aca="false">IF(J1127&lt;&gt;"",J1127,L1127)</f>
        <v>47, 47, SEEL</v>
      </c>
    </row>
    <row r="1128" customFormat="false" ht="12.75" hidden="false" customHeight="true" outlineLevel="0" collapsed="false">
      <c r="A1128" s="3" t="s">
        <v>3151</v>
      </c>
      <c r="B1128" s="3" t="str">
        <f aca="false">IF(ISNUMBER(SEARCH("%", A1128)),RIGHT(A1128,3),A1128)</f>
        <v>40, 40, ZUBAT</v>
      </c>
      <c r="C1128" s="1" t="str">
        <f aca="false" t="array" ref="C1128:C1128">IF(B1127="NEW ROUTE",textsplit(B1128,","),"")</f>
        <v/>
      </c>
      <c r="H1128" s="1" t="str">
        <f aca="false">IF(C1128&lt;&gt;"",DEC2HEX(C1128,2),"")</f>
        <v/>
      </c>
      <c r="I1128" s="1" t="str">
        <f aca="false">IF(D1128&lt;&gt;"",DEC2HEX(D1128,2),"")</f>
        <v/>
      </c>
      <c r="J1128" s="1" t="str">
        <f aca="false">IF(H1128&lt;&gt;"","0x"&amp;I1128&amp;H1128,"")</f>
        <v/>
      </c>
      <c r="L1128" s="1" t="s">
        <v>3151</v>
      </c>
      <c r="M1128" s="1" t="str">
        <f aca="false">IF(J1128&lt;&gt;"",J1128,L1128)</f>
        <v>40, 40, ZUBAT</v>
      </c>
    </row>
    <row r="1129" customFormat="false" ht="12.75" hidden="false" customHeight="true" outlineLevel="0" collapsed="false">
      <c r="A1129" s="3" t="s">
        <v>3152</v>
      </c>
      <c r="B1129" s="3" t="str">
        <f aca="false">IF(ISNUMBER(SEARCH("%", A1129)),RIGHT(A1129,3),A1129)</f>
        <v>49, 49, DEWGONG</v>
      </c>
      <c r="C1129" s="1" t="str">
        <f aca="false" t="array" ref="C1129:C1129">IF(B1128="NEW ROUTE",textsplit(B1129,","),"")</f>
        <v/>
      </c>
      <c r="H1129" s="1" t="str">
        <f aca="false">IF(C1129&lt;&gt;"",DEC2HEX(C1129,2),"")</f>
        <v/>
      </c>
      <c r="I1129" s="1" t="str">
        <f aca="false">IF(D1129&lt;&gt;"",DEC2HEX(D1129,2),"")</f>
        <v/>
      </c>
      <c r="J1129" s="1" t="str">
        <f aca="false">IF(H1129&lt;&gt;"","0x"&amp;I1129&amp;H1129,"")</f>
        <v/>
      </c>
      <c r="L1129" s="1" t="s">
        <v>3152</v>
      </c>
      <c r="M1129" s="1" t="str">
        <f aca="false">IF(J1129&lt;&gt;"",J1129,L1129)</f>
        <v>49, 49, DEWGONG</v>
      </c>
    </row>
    <row r="1130" customFormat="false" ht="12.75" hidden="false" customHeight="true" outlineLevel="0" collapsed="false">
      <c r="A1130" s="3" t="s">
        <v>2806</v>
      </c>
      <c r="B1130" s="3" t="str">
        <f aca="false">IF(ISNUMBER(SEARCH("%", A1130)),RIGHT(A1130,3),A1130)</f>
        <v>0.05</v>
      </c>
      <c r="C1130" s="1" t="str">
        <f aca="false" t="array" ref="C1130:C1130">IF(B1129="NEW ROUTE",textsplit(B1130,","),"")</f>
        <v/>
      </c>
      <c r="H1130" s="1" t="str">
        <f aca="false">IF(C1130&lt;&gt;"",DEC2HEX(C1130,2),"")</f>
        <v/>
      </c>
      <c r="I1130" s="1" t="str">
        <f aca="false">IF(D1130&lt;&gt;"",DEC2HEX(D1130,2),"")</f>
        <v/>
      </c>
      <c r="J1130" s="1" t="str">
        <f aca="false">IF(H1130&lt;&gt;"","0x"&amp;I1130&amp;H1130,"")</f>
        <v/>
      </c>
      <c r="L1130" s="1" t="s">
        <v>2806</v>
      </c>
      <c r="M1130" s="1" t="str">
        <f aca="false">IF(J1130&lt;&gt;"",J1130,L1130)</f>
        <v>0.05</v>
      </c>
    </row>
    <row r="1131" customFormat="false" ht="12.75" hidden="false" customHeight="true" outlineLevel="0" collapsed="false">
      <c r="A1131" s="3" t="s">
        <v>3153</v>
      </c>
      <c r="B1131" s="3" t="str">
        <f aca="false">IF(ISNUMBER(SEARCH("%", A1131)),RIGHT(A1131,3),A1131)</f>
        <v>51, 51, DEWGONG</v>
      </c>
      <c r="C1131" s="1" t="str">
        <f aca="false" t="array" ref="C1131:C1131">IF(B1130="NEW ROUTE",textsplit(B1131,","),"")</f>
        <v/>
      </c>
      <c r="H1131" s="1" t="str">
        <f aca="false">IF(C1131&lt;&gt;"",DEC2HEX(C1131,2),"")</f>
        <v/>
      </c>
      <c r="I1131" s="1" t="str">
        <f aca="false">IF(D1131&lt;&gt;"",DEC2HEX(D1131,2),"")</f>
        <v/>
      </c>
      <c r="J1131" s="1" t="str">
        <f aca="false">IF(H1131&lt;&gt;"","0x"&amp;I1131&amp;H1131,"")</f>
        <v/>
      </c>
      <c r="L1131" s="1" t="s">
        <v>3153</v>
      </c>
      <c r="M1131" s="1" t="str">
        <f aca="false">IF(J1131&lt;&gt;"",J1131,L1131)</f>
        <v>51, 51, DEWGONG</v>
      </c>
    </row>
    <row r="1132" customFormat="false" ht="12.75" hidden="false" customHeight="true" outlineLevel="0" collapsed="false">
      <c r="A1132" s="3" t="s">
        <v>3154</v>
      </c>
      <c r="B1132" s="3" t="str">
        <f aca="false">IF(ISNUMBER(SEARCH("%", A1132)),RIGHT(A1132,3),A1132)</f>
        <v>41, 41, SLOWPOKE</v>
      </c>
      <c r="C1132" s="1" t="str">
        <f aca="false" t="array" ref="C1132:C1132">IF(B1131="NEW ROUTE",textsplit(B1132,","),"")</f>
        <v/>
      </c>
      <c r="H1132" s="1" t="str">
        <f aca="false">IF(C1132&lt;&gt;"",DEC2HEX(C1132,2),"")</f>
        <v/>
      </c>
      <c r="I1132" s="1" t="str">
        <f aca="false">IF(D1132&lt;&gt;"",DEC2HEX(D1132,2),"")</f>
        <v/>
      </c>
      <c r="J1132" s="1" t="str">
        <f aca="false">IF(H1132&lt;&gt;"","0x"&amp;I1132&amp;H1132,"")</f>
        <v/>
      </c>
      <c r="L1132" s="1" t="s">
        <v>3154</v>
      </c>
      <c r="M1132" s="1" t="str">
        <f aca="false">IF(J1132&lt;&gt;"",J1132,L1132)</f>
        <v>41, 41, SLOWPOKE</v>
      </c>
    </row>
    <row r="1133" customFormat="false" ht="12.75" hidden="false" customHeight="true" outlineLevel="0" collapsed="false">
      <c r="A1133" s="3" t="s">
        <v>2809</v>
      </c>
      <c r="B1133" s="3" t="str">
        <f aca="false">IF(ISNUMBER(SEARCH("%", A1133)),RIGHT(A1133,3),A1133)</f>
        <v>0.04</v>
      </c>
      <c r="C1133" s="1" t="str">
        <f aca="false" t="array" ref="C1133:C1133">IF(B1132="NEW ROUTE",textsplit(B1133,","),"")</f>
        <v/>
      </c>
      <c r="H1133" s="1" t="str">
        <f aca="false">IF(C1133&lt;&gt;"",DEC2HEX(C1133,2),"")</f>
        <v/>
      </c>
      <c r="I1133" s="1" t="str">
        <f aca="false">IF(D1133&lt;&gt;"",DEC2HEX(D1133,2),"")</f>
        <v/>
      </c>
      <c r="J1133" s="1" t="str">
        <f aca="false">IF(H1133&lt;&gt;"","0x"&amp;I1133&amp;H1133,"")</f>
        <v/>
      </c>
      <c r="L1133" s="1" t="s">
        <v>2809</v>
      </c>
      <c r="M1133" s="1" t="str">
        <f aca="false">IF(J1133&lt;&gt;"",J1133,L1133)</f>
        <v>0.04</v>
      </c>
    </row>
    <row r="1134" customFormat="false" ht="12.75" hidden="false" customHeight="true" outlineLevel="0" collapsed="false">
      <c r="A1134" s="3" t="s">
        <v>3155</v>
      </c>
      <c r="B1134" s="3" t="str">
        <f aca="false">IF(ISNUMBER(SEARCH("%", A1134)),RIGHT(A1134,3),A1134)</f>
        <v>48, 48, GOLBAT</v>
      </c>
      <c r="C1134" s="1" t="str">
        <f aca="false" t="array" ref="C1134:C1134">IF(B1133="NEW ROUTE",textsplit(B1134,","),"")</f>
        <v/>
      </c>
      <c r="H1134" s="1" t="str">
        <f aca="false">IF(C1134&lt;&gt;"",DEC2HEX(C1134,2),"")</f>
        <v/>
      </c>
      <c r="I1134" s="1" t="str">
        <f aca="false">IF(D1134&lt;&gt;"",DEC2HEX(D1134,2),"")</f>
        <v/>
      </c>
      <c r="J1134" s="1" t="str">
        <f aca="false">IF(H1134&lt;&gt;"","0x"&amp;I1134&amp;H1134,"")</f>
        <v/>
      </c>
      <c r="L1134" s="1" t="s">
        <v>3155</v>
      </c>
      <c r="M1134" s="1" t="str">
        <f aca="false">IF(J1134&lt;&gt;"",J1134,L1134)</f>
        <v>48, 48, GOLBAT</v>
      </c>
    </row>
    <row r="1135" customFormat="false" ht="12.75" hidden="false" customHeight="true" outlineLevel="0" collapsed="false">
      <c r="A1135" s="3" t="s">
        <v>3156</v>
      </c>
      <c r="B1135" s="3" t="str">
        <f aca="false">IF(ISNUMBER(SEARCH("%", A1135)),RIGHT(A1135,3),A1135)</f>
        <v>53, 53, DEWGONG</v>
      </c>
      <c r="C1135" s="1" t="str">
        <f aca="false" t="array" ref="C1135:C1135">IF(B1134="NEW ROUTE",textsplit(B1135,","),"")</f>
        <v/>
      </c>
      <c r="H1135" s="1" t="str">
        <f aca="false">IF(C1135&lt;&gt;"",DEC2HEX(C1135,2),"")</f>
        <v/>
      </c>
      <c r="I1135" s="1" t="str">
        <f aca="false">IF(D1135&lt;&gt;"",DEC2HEX(D1135,2),"")</f>
        <v/>
      </c>
      <c r="J1135" s="1" t="str">
        <f aca="false">IF(H1135&lt;&gt;"","0x"&amp;I1135&amp;H1135,"")</f>
        <v/>
      </c>
      <c r="L1135" s="1" t="s">
        <v>3156</v>
      </c>
      <c r="M1135" s="1" t="str">
        <f aca="false">IF(J1135&lt;&gt;"",J1135,L1135)</f>
        <v>53, 53, DEWGONG</v>
      </c>
    </row>
    <row r="1136" customFormat="false" ht="12.75" hidden="false" customHeight="true" outlineLevel="0" collapsed="false">
      <c r="A1136" s="3" t="s">
        <v>2812</v>
      </c>
      <c r="B1136" s="3" t="str">
        <f aca="false">IF(ISNUMBER(SEARCH("%", A1136)),RIGHT(A1136,3),A1136)</f>
        <v>0.01</v>
      </c>
      <c r="C1136" s="1" t="str">
        <f aca="false" t="array" ref="C1136:C1136">IF(B1135="NEW ROUTE",textsplit(B1136,","),"")</f>
        <v/>
      </c>
      <c r="H1136" s="1" t="str">
        <f aca="false">IF(C1136&lt;&gt;"",DEC2HEX(C1136,2),"")</f>
        <v/>
      </c>
      <c r="I1136" s="1" t="str">
        <f aca="false">IF(D1136&lt;&gt;"",DEC2HEX(D1136,2),"")</f>
        <v/>
      </c>
      <c r="J1136" s="1" t="str">
        <f aca="false">IF(H1136&lt;&gt;"","0x"&amp;I1136&amp;H1136,"")</f>
        <v/>
      </c>
      <c r="L1136" s="1" t="s">
        <v>2812</v>
      </c>
      <c r="M1136" s="1" t="str">
        <f aca="false">IF(J1136&lt;&gt;"",J1136,L1136)</f>
        <v>0.01</v>
      </c>
    </row>
    <row r="1137" customFormat="false" ht="12.75" hidden="false" customHeight="true" outlineLevel="0" collapsed="false">
      <c r="A1137" s="3" t="s">
        <v>3155</v>
      </c>
      <c r="B1137" s="3" t="str">
        <f aca="false">IF(ISNUMBER(SEARCH("%", A1137)),RIGHT(A1137,3),A1137)</f>
        <v>48, 48, GOLBAT</v>
      </c>
      <c r="C1137" s="1" t="str">
        <f aca="false" t="array" ref="C1137:C1137">IF(B1136="NEW ROUTE",textsplit(B1137,","),"")</f>
        <v/>
      </c>
      <c r="H1137" s="1" t="str">
        <f aca="false">IF(C1137&lt;&gt;"",DEC2HEX(C1137,2),"")</f>
        <v/>
      </c>
      <c r="I1137" s="1" t="str">
        <f aca="false">IF(D1137&lt;&gt;"",DEC2HEX(D1137,2),"")</f>
        <v/>
      </c>
      <c r="J1137" s="1" t="str">
        <f aca="false">IF(H1137&lt;&gt;"","0x"&amp;I1137&amp;H1137,"")</f>
        <v/>
      </c>
      <c r="L1137" s="1" t="s">
        <v>3155</v>
      </c>
      <c r="M1137" s="1" t="str">
        <f aca="false">IF(J1137&lt;&gt;"",J1137,L1137)</f>
        <v>48, 48, GOLBAT</v>
      </c>
    </row>
    <row r="1138" customFormat="false" ht="12.75" hidden="false" customHeight="true" outlineLevel="0" collapsed="false">
      <c r="A1138" s="3" t="s">
        <v>3156</v>
      </c>
      <c r="B1138" s="3" t="str">
        <f aca="false">IF(ISNUMBER(SEARCH("%", A1138)),RIGHT(A1138,3),A1138)</f>
        <v>53, 53, DEWGONG</v>
      </c>
      <c r="C1138" s="1" t="str">
        <f aca="false" t="array" ref="C1138:C1138">IF(B1137="NEW ROUTE",textsplit(B1138,","),"")</f>
        <v/>
      </c>
      <c r="H1138" s="1" t="str">
        <f aca="false">IF(C1138&lt;&gt;"",DEC2HEX(C1138,2),"")</f>
        <v/>
      </c>
      <c r="I1138" s="1" t="str">
        <f aca="false">IF(D1138&lt;&gt;"",DEC2HEX(D1138,2),"")</f>
        <v/>
      </c>
      <c r="J1138" s="1" t="str">
        <f aca="false">IF(H1138&lt;&gt;"","0x"&amp;I1138&amp;H1138,"")</f>
        <v/>
      </c>
      <c r="L1138" s="1" t="s">
        <v>3156</v>
      </c>
      <c r="M1138" s="1" t="str">
        <f aca="false">IF(J1138&lt;&gt;"",J1138,L1138)</f>
        <v>53, 53, DEWGONG</v>
      </c>
    </row>
    <row r="1139" customFormat="false" ht="12.75" hidden="false" customHeight="true" outlineLevel="0" collapsed="false">
      <c r="A1139" s="3" t="s">
        <v>3172</v>
      </c>
      <c r="B1139" s="3" t="str">
        <f aca="false">IF(ISNUMBER(SEARCH("%", A1139)),RIGHT(A1139,3),A1139)</f>
        <v>2, 5, 20, TENTACOOL</v>
      </c>
      <c r="C1139" s="1" t="str">
        <f aca="false" t="array" ref="C1139:C1139">IF(B1138="NEW ROUTE",textsplit(B1139,","),"")</f>
        <v/>
      </c>
      <c r="H1139" s="1" t="str">
        <f aca="false">IF(C1139&lt;&gt;"",DEC2HEX(C1139,2),"")</f>
        <v/>
      </c>
      <c r="I1139" s="1" t="str">
        <f aca="false">IF(D1139&lt;&gt;"",DEC2HEX(D1139,2),"")</f>
        <v/>
      </c>
      <c r="J1139" s="1" t="str">
        <f aca="false">IF(H1139&lt;&gt;"","0x"&amp;I1139&amp;H1139,"")</f>
        <v/>
      </c>
      <c r="L1139" s="1" t="s">
        <v>3172</v>
      </c>
      <c r="M1139" s="1" t="str">
        <f aca="false">IF(J1139&lt;&gt;"",J1139,L1139)</f>
        <v>2, 5, 20, TENTACOOL</v>
      </c>
    </row>
    <row r="1140" customFormat="false" ht="12.75" hidden="false" customHeight="true" outlineLevel="0" collapsed="false">
      <c r="A1140" s="3" t="s">
        <v>3173</v>
      </c>
      <c r="B1140" s="3" t="str">
        <f aca="false">IF(ISNUMBER(SEARCH("%", A1140)),RIGHT(A1140,3),A1140)</f>
        <v>20, 35, TENTACOOL</v>
      </c>
      <c r="C1140" s="1" t="str">
        <f aca="false" t="array" ref="C1140:C1140">IF(B1139="NEW ROUTE",textsplit(B1140,","),"")</f>
        <v/>
      </c>
      <c r="H1140" s="1" t="str">
        <f aca="false">IF(C1140&lt;&gt;"",DEC2HEX(C1140,2),"")</f>
        <v/>
      </c>
      <c r="I1140" s="1" t="str">
        <f aca="false">IF(D1140&lt;&gt;"",DEC2HEX(D1140,2),"")</f>
        <v/>
      </c>
      <c r="J1140" s="1" t="str">
        <f aca="false">IF(H1140&lt;&gt;"","0x"&amp;I1140&amp;H1140,"")</f>
        <v/>
      </c>
      <c r="L1140" s="1" t="s">
        <v>3173</v>
      </c>
      <c r="M1140" s="1" t="str">
        <f aca="false">IF(J1140&lt;&gt;"",J1140,L1140)</f>
        <v>20, 35, TENTACOOL</v>
      </c>
    </row>
    <row r="1141" customFormat="false" ht="12.75" hidden="false" customHeight="true" outlineLevel="0" collapsed="false">
      <c r="A1141" s="3" t="s">
        <v>3174</v>
      </c>
      <c r="B1141" s="3" t="str">
        <f aca="false">IF(ISNUMBER(SEARCH("%", A1141)),RIGHT(A1141,3),A1141)</f>
        <v>35, 45, TENTACOOL</v>
      </c>
      <c r="C1141" s="1" t="str">
        <f aca="false" t="array" ref="C1141:C1141">IF(B1140="NEW ROUTE",textsplit(B1141,","),"")</f>
        <v/>
      </c>
      <c r="H1141" s="1" t="str">
        <f aca="false">IF(C1141&lt;&gt;"",DEC2HEX(C1141,2),"")</f>
        <v/>
      </c>
      <c r="I1141" s="1" t="str">
        <f aca="false">IF(D1141&lt;&gt;"",DEC2HEX(D1141,2),"")</f>
        <v/>
      </c>
      <c r="J1141" s="1" t="str">
        <f aca="false">IF(H1141&lt;&gt;"","0x"&amp;I1141&amp;H1141,"")</f>
        <v/>
      </c>
      <c r="L1141" s="1" t="s">
        <v>3174</v>
      </c>
      <c r="M1141" s="1" t="str">
        <f aca="false">IF(J1141&lt;&gt;"",J1141,L1141)</f>
        <v>35, 45, TENTACOOL</v>
      </c>
    </row>
    <row r="1142" customFormat="false" ht="12.75" hidden="false" customHeight="true" outlineLevel="0" collapsed="false">
      <c r="A1142" s="3" t="s">
        <v>3175</v>
      </c>
      <c r="B1142" s="3" t="str">
        <f aca="false">IF(ISNUMBER(SEARCH("%", A1142)),RIGHT(A1142,3),A1142)</f>
        <v>35, 45, TENTACRUEL</v>
      </c>
      <c r="C1142" s="1" t="str">
        <f aca="false" t="array" ref="C1142:C1142">IF(B1141="NEW ROUTE",textsplit(B1142,","),"")</f>
        <v/>
      </c>
      <c r="H1142" s="1" t="str">
        <f aca="false">IF(C1142&lt;&gt;"",DEC2HEX(C1142,2),"")</f>
        <v/>
      </c>
      <c r="I1142" s="1" t="str">
        <f aca="false">IF(D1142&lt;&gt;"",DEC2HEX(D1142,2),"")</f>
        <v/>
      </c>
      <c r="J1142" s="1" t="str">
        <f aca="false">IF(H1142&lt;&gt;"","0x"&amp;I1142&amp;H1142,"")</f>
        <v/>
      </c>
      <c r="L1142" s="1" t="s">
        <v>3175</v>
      </c>
      <c r="M1142" s="1" t="str">
        <f aca="false">IF(J1142&lt;&gt;"",J1142,L1142)</f>
        <v>35, 45, TENTACRUEL</v>
      </c>
    </row>
    <row r="1143" customFormat="false" ht="12.75" hidden="false" customHeight="true" outlineLevel="0" collapsed="false">
      <c r="A1143" s="3" t="s">
        <v>3176</v>
      </c>
      <c r="B1143" s="3" t="str">
        <f aca="false">IF(ISNUMBER(SEARCH("%", A1143)),RIGHT(A1143,3),A1143)</f>
        <v>30, 45, LAPRAS</v>
      </c>
      <c r="C1143" s="1" t="str">
        <f aca="false" t="array" ref="C1143:C1143">IF(B1142="NEW ROUTE",textsplit(B1143,","),"")</f>
        <v/>
      </c>
      <c r="H1143" s="1" t="str">
        <f aca="false">IF(C1143&lt;&gt;"",DEC2HEX(C1143,2),"")</f>
        <v/>
      </c>
      <c r="I1143" s="1" t="str">
        <f aca="false">IF(D1143&lt;&gt;"",DEC2HEX(D1143,2),"")</f>
        <v/>
      </c>
      <c r="J1143" s="1" t="str">
        <f aca="false">IF(H1143&lt;&gt;"","0x"&amp;I1143&amp;H1143,"")</f>
        <v/>
      </c>
      <c r="L1143" s="1" t="s">
        <v>3176</v>
      </c>
      <c r="M1143" s="1" t="str">
        <f aca="false">IF(J1143&lt;&gt;"",J1143,L1143)</f>
        <v>30, 45, LAPRAS</v>
      </c>
    </row>
    <row r="1144" customFormat="false" ht="12.75" hidden="false" customHeight="true" outlineLevel="0" collapsed="false">
      <c r="A1144" s="3" t="s">
        <v>2925</v>
      </c>
      <c r="B1144" s="3" t="str">
        <f aca="false">IF(ISNUMBER(SEARCH("%", A1144)),RIGHT(A1144,3),A1144)</f>
        <v>20, old rod:</v>
      </c>
      <c r="C1144" s="1" t="str">
        <f aca="false" t="array" ref="C1144:C1144">IF(B1143="NEW ROUTE",textsplit(B1144,","),"")</f>
        <v/>
      </c>
      <c r="H1144" s="1" t="str">
        <f aca="false">IF(C1144&lt;&gt;"",DEC2HEX(C1144,2),"")</f>
        <v/>
      </c>
      <c r="I1144" s="1" t="str">
        <f aca="false">IF(D1144&lt;&gt;"",DEC2HEX(D1144,2),"")</f>
        <v/>
      </c>
      <c r="J1144" s="1" t="str">
        <f aca="false">IF(H1144&lt;&gt;"","0x"&amp;I1144&amp;H1144,"")</f>
        <v/>
      </c>
      <c r="L1144" s="1" t="s">
        <v>2925</v>
      </c>
      <c r="M1144" s="1" t="str">
        <f aca="false">IF(J1144&lt;&gt;"",J1144,L1144)</f>
        <v>20, old rod:</v>
      </c>
    </row>
    <row r="1145" customFormat="false" ht="12.75" hidden="false" customHeight="true" outlineLevel="0" collapsed="false">
      <c r="A1145" s="3" t="s">
        <v>1266</v>
      </c>
      <c r="B1145" s="3" t="str">
        <f aca="false">IF(ISNUMBER(SEARCH("%", A1145)),RIGHT(A1145,3),A1145)</f>
        <v>5, 5, MAGIKARP</v>
      </c>
      <c r="C1145" s="1" t="str">
        <f aca="false" t="array" ref="C1145:C1145">IF(B1144="NEW ROUTE",textsplit(B1145,","),"")</f>
        <v/>
      </c>
      <c r="H1145" s="1" t="str">
        <f aca="false">IF(C1145&lt;&gt;"",DEC2HEX(C1145,2),"")</f>
        <v/>
      </c>
      <c r="I1145" s="1" t="str">
        <f aca="false">IF(D1145&lt;&gt;"",DEC2HEX(D1145,2),"")</f>
        <v/>
      </c>
      <c r="J1145" s="1" t="str">
        <f aca="false">IF(H1145&lt;&gt;"","0x"&amp;I1145&amp;H1145,"")</f>
        <v/>
      </c>
      <c r="L1145" s="1" t="s">
        <v>1266</v>
      </c>
      <c r="M1145" s="1" t="str">
        <f aca="false">IF(J1145&lt;&gt;"",J1145,L1145)</f>
        <v>5, 5, MAGIKARP</v>
      </c>
    </row>
    <row r="1146" customFormat="false" ht="12.75" hidden="false" customHeight="true" outlineLevel="0" collapsed="false">
      <c r="A1146" s="3" t="s">
        <v>1266</v>
      </c>
      <c r="B1146" s="3" t="str">
        <f aca="false">IF(ISNUMBER(SEARCH("%", A1146)),RIGHT(A1146,3),A1146)</f>
        <v>5, 5, MAGIKARP</v>
      </c>
      <c r="C1146" s="1" t="str">
        <f aca="false" t="array" ref="C1146:C1146">IF(B1145="NEW ROUTE",textsplit(B1146,","),"")</f>
        <v/>
      </c>
      <c r="H1146" s="1" t="str">
        <f aca="false">IF(C1146&lt;&gt;"",DEC2HEX(C1146,2),"")</f>
        <v/>
      </c>
      <c r="I1146" s="1" t="str">
        <f aca="false">IF(D1146&lt;&gt;"",DEC2HEX(D1146,2),"")</f>
        <v/>
      </c>
      <c r="J1146" s="1" t="str">
        <f aca="false">IF(H1146&lt;&gt;"","0x"&amp;I1146&amp;H1146,"")</f>
        <v/>
      </c>
      <c r="L1146" s="1" t="s">
        <v>1266</v>
      </c>
      <c r="M1146" s="1" t="str">
        <f aca="false">IF(J1146&lt;&gt;"",J1146,L1146)</f>
        <v>5, 5, MAGIKARP</v>
      </c>
    </row>
    <row r="1147" customFormat="false" ht="12.75" hidden="false" customHeight="true" outlineLevel="0" collapsed="false">
      <c r="A1147" s="3" t="s">
        <v>2846</v>
      </c>
      <c r="B1147" s="3" t="str">
        <f aca="false">IF(ISNUMBER(SEARCH("%", A1147)),RIGHT(A1147,3),A1147)</f>
        <v>good rod:</v>
      </c>
      <c r="C1147" s="1" t="str">
        <f aca="false" t="array" ref="C1147:C1147">IF(B1146="NEW ROUTE",textsplit(B1147,","),"")</f>
        <v/>
      </c>
      <c r="H1147" s="1" t="str">
        <f aca="false">IF(C1147&lt;&gt;"",DEC2HEX(C1147,2),"")</f>
        <v/>
      </c>
      <c r="I1147" s="1" t="str">
        <f aca="false">IF(D1147&lt;&gt;"",DEC2HEX(D1147,2),"")</f>
        <v/>
      </c>
      <c r="J1147" s="1" t="str">
        <f aca="false">IF(H1147&lt;&gt;"","0x"&amp;I1147&amp;H1147,"")</f>
        <v/>
      </c>
      <c r="L1147" s="1" t="s">
        <v>2846</v>
      </c>
      <c r="M1147" s="1" t="str">
        <f aca="false">IF(J1147&lt;&gt;"",J1147,L1147)</f>
        <v>good rod:</v>
      </c>
    </row>
    <row r="1148" customFormat="false" ht="12.75" hidden="false" customHeight="true" outlineLevel="0" collapsed="false">
      <c r="A1148" s="3" t="s">
        <v>2847</v>
      </c>
      <c r="B1148" s="3" t="str">
        <f aca="false">IF(ISNUMBER(SEARCH("%", A1148)),RIGHT(A1148,3),A1148)</f>
        <v>5, 15, KRABBY</v>
      </c>
      <c r="C1148" s="1" t="str">
        <f aca="false" t="array" ref="C1148:C1148">IF(B1147="NEW ROUTE",textsplit(B1148,","),"")</f>
        <v/>
      </c>
      <c r="H1148" s="1" t="str">
        <f aca="false">IF(C1148&lt;&gt;"",DEC2HEX(C1148,2),"")</f>
        <v/>
      </c>
      <c r="I1148" s="1" t="str">
        <f aca="false">IF(D1148&lt;&gt;"",DEC2HEX(D1148,2),"")</f>
        <v/>
      </c>
      <c r="J1148" s="1" t="str">
        <f aca="false">IF(H1148&lt;&gt;"","0x"&amp;I1148&amp;H1148,"")</f>
        <v/>
      </c>
      <c r="L1148" s="1" t="s">
        <v>2847</v>
      </c>
      <c r="M1148" s="1" t="str">
        <f aca="false">IF(J1148&lt;&gt;"",J1148,L1148)</f>
        <v>5, 15, KRABBY</v>
      </c>
    </row>
    <row r="1149" customFormat="false" ht="12.75" hidden="false" customHeight="true" outlineLevel="0" collapsed="false">
      <c r="A1149" s="3" t="s">
        <v>2848</v>
      </c>
      <c r="B1149" s="3" t="str">
        <f aca="false">IF(ISNUMBER(SEARCH("%", A1149)),RIGHT(A1149,3),A1149)</f>
        <v>5, 15, MAGIKARP</v>
      </c>
      <c r="C1149" s="1" t="str">
        <f aca="false" t="array" ref="C1149:C1149">IF(B1148="NEW ROUTE",textsplit(B1149,","),"")</f>
        <v/>
      </c>
      <c r="H1149" s="1" t="str">
        <f aca="false">IF(C1149&lt;&gt;"",DEC2HEX(C1149,2),"")</f>
        <v/>
      </c>
      <c r="I1149" s="1" t="str">
        <f aca="false">IF(D1149&lt;&gt;"",DEC2HEX(D1149,2),"")</f>
        <v/>
      </c>
      <c r="J1149" s="1" t="str">
        <f aca="false">IF(H1149&lt;&gt;"","0x"&amp;I1149&amp;H1149,"")</f>
        <v/>
      </c>
      <c r="L1149" s="1" t="s">
        <v>2848</v>
      </c>
      <c r="M1149" s="1" t="str">
        <f aca="false">IF(J1149&lt;&gt;"",J1149,L1149)</f>
        <v>5, 15, MAGIKARP</v>
      </c>
    </row>
    <row r="1150" customFormat="false" ht="12.75" hidden="false" customHeight="true" outlineLevel="0" collapsed="false">
      <c r="A1150" s="3" t="s">
        <v>2847</v>
      </c>
      <c r="B1150" s="3" t="str">
        <f aca="false">IF(ISNUMBER(SEARCH("%", A1150)),RIGHT(A1150,3),A1150)</f>
        <v>5, 15, KRABBY</v>
      </c>
      <c r="C1150" s="1" t="str">
        <f aca="false" t="array" ref="C1150:C1150">IF(B1149="NEW ROUTE",textsplit(B1150,","),"")</f>
        <v/>
      </c>
      <c r="H1150" s="1" t="str">
        <f aca="false">IF(C1150&lt;&gt;"",DEC2HEX(C1150,2),"")</f>
        <v/>
      </c>
      <c r="I1150" s="1" t="str">
        <f aca="false">IF(D1150&lt;&gt;"",DEC2HEX(D1150,2),"")</f>
        <v/>
      </c>
      <c r="J1150" s="1" t="str">
        <f aca="false">IF(H1150&lt;&gt;"","0x"&amp;I1150&amp;H1150,"")</f>
        <v/>
      </c>
      <c r="L1150" s="1" t="s">
        <v>2847</v>
      </c>
      <c r="M1150" s="1" t="str">
        <f aca="false">IF(J1150&lt;&gt;"",J1150,L1150)</f>
        <v>5, 15, KRABBY</v>
      </c>
    </row>
    <row r="1151" customFormat="false" ht="12.75" hidden="false" customHeight="true" outlineLevel="0" collapsed="false">
      <c r="A1151" s="3" t="s">
        <v>2850</v>
      </c>
      <c r="B1151" s="3" t="str">
        <f aca="false">IF(ISNUMBER(SEARCH("%", A1151)),RIGHT(A1151,3),A1151)</f>
        <v>super rod:</v>
      </c>
      <c r="C1151" s="1" t="str">
        <f aca="false" t="array" ref="C1151:C1151">IF(B1150="NEW ROUTE",textsplit(B1151,","),"")</f>
        <v/>
      </c>
      <c r="H1151" s="1" t="str">
        <f aca="false">IF(C1151&lt;&gt;"",DEC2HEX(C1151,2),"")</f>
        <v/>
      </c>
      <c r="I1151" s="1" t="str">
        <f aca="false">IF(D1151&lt;&gt;"",DEC2HEX(D1151,2),"")</f>
        <v/>
      </c>
      <c r="J1151" s="1" t="str">
        <f aca="false">IF(H1151&lt;&gt;"","0x"&amp;I1151&amp;H1151,"")</f>
        <v/>
      </c>
      <c r="L1151" s="1" t="s">
        <v>2850</v>
      </c>
      <c r="M1151" s="1" t="str">
        <f aca="false">IF(J1151&lt;&gt;"",J1151,L1151)</f>
        <v>super rod:</v>
      </c>
    </row>
    <row r="1152" customFormat="false" ht="12.75" hidden="false" customHeight="true" outlineLevel="0" collapsed="false">
      <c r="A1152" s="3" t="s">
        <v>2851</v>
      </c>
      <c r="B1152" s="3" t="str">
        <f aca="false">IF(ISNUMBER(SEARCH("%", A1152)),RIGHT(A1152,3),A1152)</f>
        <v>15, 25, KRABBY</v>
      </c>
      <c r="C1152" s="1" t="str">
        <f aca="false" t="array" ref="C1152:C1152">IF(B1151="NEW ROUTE",textsplit(B1152,","),"")</f>
        <v/>
      </c>
      <c r="H1152" s="1" t="str">
        <f aca="false">IF(C1152&lt;&gt;"",DEC2HEX(C1152,2),"")</f>
        <v/>
      </c>
      <c r="I1152" s="1" t="str">
        <f aca="false">IF(D1152&lt;&gt;"",DEC2HEX(D1152,2),"")</f>
        <v/>
      </c>
      <c r="J1152" s="1" t="str">
        <f aca="false">IF(H1152&lt;&gt;"","0x"&amp;I1152&amp;H1152,"")</f>
        <v/>
      </c>
      <c r="L1152" s="1" t="s">
        <v>2851</v>
      </c>
      <c r="M1152" s="1" t="str">
        <f aca="false">IF(J1152&lt;&gt;"",J1152,L1152)</f>
        <v>15, 25, KRABBY</v>
      </c>
    </row>
    <row r="1153" customFormat="false" ht="12.75" hidden="false" customHeight="true" outlineLevel="0" collapsed="false">
      <c r="A1153" s="3" t="s">
        <v>2852</v>
      </c>
      <c r="B1153" s="3" t="str">
        <f aca="false">IF(ISNUMBER(SEARCH("%", A1153)),RIGHT(A1153,3),A1153)</f>
        <v>15, 25, STARYU</v>
      </c>
      <c r="C1153" s="1" t="str">
        <f aca="false" t="array" ref="C1153:C1153">IF(B1152="NEW ROUTE",textsplit(B1153,","),"")</f>
        <v/>
      </c>
      <c r="H1153" s="1" t="str">
        <f aca="false">IF(C1153&lt;&gt;"",DEC2HEX(C1153,2),"")</f>
        <v/>
      </c>
      <c r="I1153" s="1" t="str">
        <f aca="false">IF(D1153&lt;&gt;"",DEC2HEX(D1153,2),"")</f>
        <v/>
      </c>
      <c r="J1153" s="1" t="str">
        <f aca="false">IF(H1153&lt;&gt;"","0x"&amp;I1153&amp;H1153,"")</f>
        <v/>
      </c>
      <c r="L1153" s="1" t="s">
        <v>2852</v>
      </c>
      <c r="M1153" s="1" t="str">
        <f aca="false">IF(J1153&lt;&gt;"",J1153,L1153)</f>
        <v>15, 25, STARYU</v>
      </c>
    </row>
    <row r="1154" customFormat="false" ht="12.75" hidden="false" customHeight="true" outlineLevel="0" collapsed="false">
      <c r="A1154" s="3" t="s">
        <v>2853</v>
      </c>
      <c r="B1154" s="3" t="str">
        <f aca="false">IF(ISNUMBER(SEARCH("%", A1154)),RIGHT(A1154,3),A1154)</f>
        <v>15, 25, GYARADOS</v>
      </c>
      <c r="C1154" s="1" t="str">
        <f aca="false" t="array" ref="C1154:C1154">IF(B1153="NEW ROUTE",textsplit(B1154,","),"")</f>
        <v/>
      </c>
      <c r="H1154" s="1" t="str">
        <f aca="false">IF(C1154&lt;&gt;"",DEC2HEX(C1154,2),"")</f>
        <v/>
      </c>
      <c r="I1154" s="1" t="str">
        <f aca="false">IF(D1154&lt;&gt;"",DEC2HEX(D1154,2),"")</f>
        <v/>
      </c>
      <c r="J1154" s="1" t="str">
        <f aca="false">IF(H1154&lt;&gt;"","0x"&amp;I1154&amp;H1154,"")</f>
        <v/>
      </c>
      <c r="L1154" s="1" t="s">
        <v>2853</v>
      </c>
      <c r="M1154" s="1" t="str">
        <f aca="false">IF(J1154&lt;&gt;"",J1154,L1154)</f>
        <v>15, 25, GYARADOS</v>
      </c>
    </row>
    <row r="1155" customFormat="false" ht="12.75" hidden="false" customHeight="true" outlineLevel="0" collapsed="false">
      <c r="A1155" s="3" t="s">
        <v>3177</v>
      </c>
      <c r="B1155" s="3" t="str">
        <f aca="false">IF(ISNUMBER(SEARCH("%", A1155)),RIGHT(A1155,3),A1155)</f>
        <v>25, 35, KINGLER</v>
      </c>
      <c r="C1155" s="1" t="str">
        <f aca="false" t="array" ref="C1155:C1155">IF(B1154="NEW ROUTE",textsplit(B1155,","),"")</f>
        <v/>
      </c>
      <c r="H1155" s="1" t="str">
        <f aca="false">IF(C1155&lt;&gt;"",DEC2HEX(C1155,2),"")</f>
        <v/>
      </c>
      <c r="I1155" s="1" t="str">
        <f aca="false">IF(D1155&lt;&gt;"",DEC2HEX(D1155,2),"")</f>
        <v/>
      </c>
      <c r="J1155" s="1" t="str">
        <f aca="false">IF(H1155&lt;&gt;"","0x"&amp;I1155&amp;H1155,"")</f>
        <v/>
      </c>
      <c r="L1155" s="1" t="s">
        <v>3177</v>
      </c>
      <c r="M1155" s="1" t="str">
        <f aca="false">IF(J1155&lt;&gt;"",J1155,L1155)</f>
        <v>25, 35, KINGLER</v>
      </c>
    </row>
    <row r="1156" customFormat="false" ht="12.75" hidden="false" customHeight="true" outlineLevel="0" collapsed="false">
      <c r="A1156" s="3" t="s">
        <v>2855</v>
      </c>
      <c r="B1156" s="3" t="str">
        <f aca="false">IF(ISNUMBER(SEARCH("%", A1156)),RIGHT(A1156,3),A1156)</f>
        <v>25, 35, SLOWPOKE</v>
      </c>
      <c r="C1156" s="1" t="str">
        <f aca="false" t="array" ref="C1156:C1156">IF(B1155="NEW ROUTE",textsplit(B1156,","),"")</f>
        <v/>
      </c>
      <c r="H1156" s="1" t="str">
        <f aca="false">IF(C1156&lt;&gt;"",DEC2HEX(C1156,2),"")</f>
        <v/>
      </c>
      <c r="I1156" s="1" t="str">
        <f aca="false">IF(D1156&lt;&gt;"",DEC2HEX(D1156,2),"")</f>
        <v/>
      </c>
      <c r="J1156" s="1" t="str">
        <f aca="false">IF(H1156&lt;&gt;"","0x"&amp;I1156&amp;H1156,"")</f>
        <v/>
      </c>
      <c r="L1156" s="1" t="s">
        <v>2855</v>
      </c>
      <c r="M1156" s="1" t="str">
        <f aca="false">IF(J1156&lt;&gt;"",J1156,L1156)</f>
        <v>25, 35, SLOWPOKE</v>
      </c>
    </row>
    <row r="1157" customFormat="false" ht="12.75" hidden="false" customHeight="true" outlineLevel="0" collapsed="false">
      <c r="A1157" s="3" t="s">
        <v>2536</v>
      </c>
      <c r="B1157" s="3" t="str">
        <f aca="false">IF(ISNUMBER(SEARCH("%", A1157)),RIGHT(A1157,3),A1157)</f>
        <v>NEW ROUTE</v>
      </c>
      <c r="C1157" s="1" t="str">
        <f aca="false" t="array" ref="C1157:C1157">IF(B1156="NEW ROUTE",textsplit(B1157,","),"")</f>
        <v/>
      </c>
      <c r="H1157" s="1" t="str">
        <f aca="false">IF(C1157&lt;&gt;"",DEC2HEX(C1157,2),"")</f>
        <v/>
      </c>
      <c r="I1157" s="1" t="str">
        <f aca="false">IF(D1157&lt;&gt;"",DEC2HEX(D1157,2),"")</f>
        <v/>
      </c>
      <c r="J1157" s="1" t="str">
        <f aca="false">IF(H1157&lt;&gt;"","0x"&amp;I1157&amp;H1157,"")</f>
        <v/>
      </c>
      <c r="L1157" s="1" t="s">
        <v>2536</v>
      </c>
      <c r="M1157" s="1" t="str">
        <f aca="false">IF(J1157&lt;&gt;"",J1157,L1157)</f>
        <v>NEW ROUTE</v>
      </c>
    </row>
    <row r="1158" customFormat="false" ht="12.75" hidden="false" customHeight="true" outlineLevel="0" collapsed="false">
      <c r="A1158" s="3" t="s">
        <v>3178</v>
      </c>
      <c r="B1158" s="3" t="str">
        <f aca="false">IF(ISNUMBER(SEARCH("%", A1158)),RIGHT(A1158,3),A1158)</f>
        <v>1, 121, 0,</v>
      </c>
      <c r="C1158" s="1" t="e">
        <f aca="false" t="array" ref="C1158:C1158">IF(B1157="NEW ROUTE",textsplit(B1158,","),"")</f>
        <v>#NAME?</v>
      </c>
      <c r="H1158" s="1" t="e">
        <f aca="false">IF(C1158&lt;&gt;"",DEC2HEX(C1158,2),"")</f>
        <v>#NAME?</v>
      </c>
      <c r="I1158" s="1" t="str">
        <f aca="false">IF(D1158&lt;&gt;"",DEC2HEX(D1158,2),"")</f>
        <v/>
      </c>
      <c r="J1158" s="1" t="e">
        <f aca="false">IF(H1158&lt;&gt;"","0x"&amp;I1158&amp;H1158,"")</f>
        <v>#NAME?</v>
      </c>
      <c r="L1158" s="1" t="s">
        <v>3178</v>
      </c>
      <c r="M1158" s="1" t="e">
        <f aca="false">IF(J1158&lt;&gt;"",J1158,L1158)</f>
        <v>#NAME?</v>
      </c>
    </row>
    <row r="1159" customFormat="false" ht="12.75" hidden="false" customHeight="true" outlineLevel="0" collapsed="false">
      <c r="A1159" s="3" t="s">
        <v>2908</v>
      </c>
      <c r="B1159" s="3" t="str">
        <f aca="false">IF(ISNUMBER(SEARCH("%", A1159)),RIGHT(A1159,3),A1159)</f>
        <v>20%</v>
      </c>
      <c r="C1159" s="1" t="str">
        <f aca="false" t="array" ref="C1159:C1159">IF(B1158="NEW ROUTE",textsplit(B1159,","),"")</f>
        <v/>
      </c>
      <c r="H1159" s="1" t="str">
        <f aca="false">IF(C1159&lt;&gt;"",DEC2HEX(C1159,2),"")</f>
        <v/>
      </c>
      <c r="I1159" s="1" t="str">
        <f aca="false">IF(D1159&lt;&gt;"",DEC2HEX(D1159,2),"")</f>
        <v/>
      </c>
      <c r="J1159" s="1" t="str">
        <f aca="false">IF(H1159&lt;&gt;"","0x"&amp;I1159&amp;H1159,"")</f>
        <v/>
      </c>
      <c r="L1159" s="1" t="s">
        <v>2799</v>
      </c>
      <c r="M1159" s="1" t="str">
        <f aca="false">IF(J1159&lt;&gt;"",J1159,L1159)</f>
        <v>20%</v>
      </c>
    </row>
    <row r="1160" customFormat="false" ht="12.75" hidden="false" customHeight="true" outlineLevel="0" collapsed="false">
      <c r="A1160" s="3" t="s">
        <v>1625</v>
      </c>
      <c r="B1160" s="3" t="str">
        <f aca="false">IF(ISNUMBER(SEARCH("%", A1160)),RIGHT(A1160,3),A1160)</f>
        <v>9, 9, LEDYBA</v>
      </c>
      <c r="C1160" s="1" t="str">
        <f aca="false" t="array" ref="C1160:C1160">IF(B1159="NEW ROUTE",textsplit(B1160,","),"")</f>
        <v/>
      </c>
      <c r="H1160" s="1" t="str">
        <f aca="false">IF(C1160&lt;&gt;"",DEC2HEX(C1160,2),"")</f>
        <v/>
      </c>
      <c r="I1160" s="1" t="str">
        <f aca="false">IF(D1160&lt;&gt;"",DEC2HEX(D1160,2),"")</f>
        <v/>
      </c>
      <c r="J1160" s="1" t="str">
        <f aca="false">IF(H1160&lt;&gt;"","0x"&amp;I1160&amp;H1160,"")</f>
        <v/>
      </c>
      <c r="L1160" s="1" t="s">
        <v>1625</v>
      </c>
      <c r="M1160" s="1" t="str">
        <f aca="false">IF(J1160&lt;&gt;"",J1160,L1160)</f>
        <v>9, 9, LEDYBA</v>
      </c>
    </row>
    <row r="1161" customFormat="false" ht="12.75" hidden="false" customHeight="true" outlineLevel="0" collapsed="false">
      <c r="A1161" s="3" t="s">
        <v>3179</v>
      </c>
      <c r="B1161" s="3" t="str">
        <f aca="false">IF(ISNUMBER(SEARCH("%", A1161)),RIGHT(A1161,3),A1161)</f>
        <v>9, 9, KAKUNA</v>
      </c>
      <c r="C1161" s="1" t="str">
        <f aca="false" t="array" ref="C1161:C1161">IF(B1160="NEW ROUTE",textsplit(B1161,","),"")</f>
        <v/>
      </c>
      <c r="H1161" s="1" t="str">
        <f aca="false">IF(C1161&lt;&gt;"",DEC2HEX(C1161,2),"")</f>
        <v/>
      </c>
      <c r="I1161" s="1" t="str">
        <f aca="false">IF(D1161&lt;&gt;"",DEC2HEX(D1161,2),"")</f>
        <v/>
      </c>
      <c r="J1161" s="1" t="str">
        <f aca="false">IF(H1161&lt;&gt;"","0x"&amp;I1161&amp;H1161,"")</f>
        <v/>
      </c>
      <c r="L1161" s="1" t="s">
        <v>3179</v>
      </c>
      <c r="M1161" s="1" t="str">
        <f aca="false">IF(J1161&lt;&gt;"",J1161,L1161)</f>
        <v>9, 9, KAKUNA</v>
      </c>
    </row>
    <row r="1162" customFormat="false" ht="12.75" hidden="false" customHeight="true" outlineLevel="0" collapsed="false">
      <c r="A1162" s="3" t="s">
        <v>2801</v>
      </c>
      <c r="B1162" s="3" t="str">
        <f aca="false">IF(ISNUMBER(SEARCH("%", A1162)),RIGHT(A1162,3),A1162)</f>
        <v>0.1</v>
      </c>
      <c r="C1162" s="1" t="str">
        <f aca="false" t="array" ref="C1162:C1162">IF(B1161="NEW ROUTE",textsplit(B1162,","),"")</f>
        <v/>
      </c>
      <c r="H1162" s="1" t="str">
        <f aca="false">IF(C1162&lt;&gt;"",DEC2HEX(C1162,2),"")</f>
        <v/>
      </c>
      <c r="I1162" s="1" t="str">
        <f aca="false">IF(D1162&lt;&gt;"",DEC2HEX(D1162,2),"")</f>
        <v/>
      </c>
      <c r="J1162" s="1" t="str">
        <f aca="false">IF(H1162&lt;&gt;"","0x"&amp;I1162&amp;H1162,"")</f>
        <v/>
      </c>
      <c r="L1162" s="1" t="s">
        <v>2801</v>
      </c>
      <c r="M1162" s="1" t="str">
        <f aca="false">IF(J1162&lt;&gt;"",J1162,L1162)</f>
        <v>0.1</v>
      </c>
    </row>
    <row r="1163" customFormat="false" ht="12.75" hidden="false" customHeight="true" outlineLevel="0" collapsed="false">
      <c r="A1163" s="3" t="s">
        <v>3180</v>
      </c>
      <c r="B1163" s="3" t="str">
        <f aca="false">IF(ISNUMBER(SEARCH("%", A1163)),RIGHT(A1163,3),A1163)</f>
        <v>14, 14, LEDYBA</v>
      </c>
      <c r="C1163" s="1" t="str">
        <f aca="false" t="array" ref="C1163:C1163">IF(B1162="NEW ROUTE",textsplit(B1163,","),"")</f>
        <v/>
      </c>
      <c r="H1163" s="1" t="str">
        <f aca="false">IF(C1163&lt;&gt;"",DEC2HEX(C1163,2),"")</f>
        <v/>
      </c>
      <c r="I1163" s="1" t="str">
        <f aca="false">IF(D1163&lt;&gt;"",DEC2HEX(D1163,2),"")</f>
        <v/>
      </c>
      <c r="J1163" s="1" t="str">
        <f aca="false">IF(H1163&lt;&gt;"","0x"&amp;I1163&amp;H1163,"")</f>
        <v/>
      </c>
      <c r="L1163" s="1" t="s">
        <v>3180</v>
      </c>
      <c r="M1163" s="1" t="str">
        <f aca="false">IF(J1163&lt;&gt;"",J1163,L1163)</f>
        <v>14, 14, LEDYBA</v>
      </c>
    </row>
    <row r="1164" customFormat="false" ht="12.75" hidden="false" customHeight="true" outlineLevel="0" collapsed="false">
      <c r="A1164" s="3" t="s">
        <v>3181</v>
      </c>
      <c r="B1164" s="3" t="str">
        <f aca="false">IF(ISNUMBER(SEARCH("%", A1164)),RIGHT(A1164,3),A1164)</f>
        <v>6, 6, CATERPIE</v>
      </c>
      <c r="C1164" s="1" t="str">
        <f aca="false" t="array" ref="C1164:C1164">IF(B1163="NEW ROUTE",textsplit(B1164,","),"")</f>
        <v/>
      </c>
      <c r="H1164" s="1" t="str">
        <f aca="false">IF(C1164&lt;&gt;"",DEC2HEX(C1164,2),"")</f>
        <v/>
      </c>
      <c r="I1164" s="1" t="str">
        <f aca="false">IF(D1164&lt;&gt;"",DEC2HEX(D1164,2),"")</f>
        <v/>
      </c>
      <c r="J1164" s="1" t="str">
        <f aca="false">IF(H1164&lt;&gt;"","0x"&amp;I1164&amp;H1164,"")</f>
        <v/>
      </c>
      <c r="L1164" s="1" t="s">
        <v>3181</v>
      </c>
      <c r="M1164" s="1" t="str">
        <f aca="false">IF(J1164&lt;&gt;"",J1164,L1164)</f>
        <v>6, 6, CATERPIE</v>
      </c>
    </row>
    <row r="1165" customFormat="false" ht="12.75" hidden="false" customHeight="true" outlineLevel="0" collapsed="false">
      <c r="A1165" s="3" t="s">
        <v>3182</v>
      </c>
      <c r="B1165" s="3" t="str">
        <f aca="false">IF(ISNUMBER(SEARCH("%", A1165)),RIGHT(A1165,3),A1165)</f>
        <v>6, 6, WEEDLE</v>
      </c>
      <c r="C1165" s="1" t="str">
        <f aca="false" t="array" ref="C1165:C1165">IF(B1164="NEW ROUTE",textsplit(B1165,","),"")</f>
        <v/>
      </c>
      <c r="H1165" s="1" t="str">
        <f aca="false">IF(C1165&lt;&gt;"",DEC2HEX(C1165,2),"")</f>
        <v/>
      </c>
      <c r="I1165" s="1" t="str">
        <f aca="false">IF(D1165&lt;&gt;"",DEC2HEX(D1165,2),"")</f>
        <v/>
      </c>
      <c r="J1165" s="1" t="str">
        <f aca="false">IF(H1165&lt;&gt;"","0x"&amp;I1165&amp;H1165,"")</f>
        <v/>
      </c>
      <c r="L1165" s="1" t="s">
        <v>3182</v>
      </c>
      <c r="M1165" s="1" t="str">
        <f aca="false">IF(J1165&lt;&gt;"",J1165,L1165)</f>
        <v>6, 6, WEEDLE</v>
      </c>
    </row>
    <row r="1166" customFormat="false" ht="12.75" hidden="false" customHeight="true" outlineLevel="0" collapsed="false">
      <c r="A1166" s="3" t="s">
        <v>3183</v>
      </c>
      <c r="B1166" s="3" t="str">
        <f aca="false">IF(ISNUMBER(SEARCH("%", A1166)),RIGHT(A1166,3),A1166)</f>
        <v>15, 15, HERACROSS</v>
      </c>
      <c r="C1166" s="1" t="str">
        <f aca="false" t="array" ref="C1166:C1166">IF(B1165="NEW ROUTE",textsplit(B1166,","),"")</f>
        <v/>
      </c>
      <c r="H1166" s="1" t="str">
        <f aca="false">IF(C1166&lt;&gt;"",DEC2HEX(C1166,2),"")</f>
        <v/>
      </c>
      <c r="I1166" s="1" t="str">
        <f aca="false">IF(D1166&lt;&gt;"",DEC2HEX(D1166,2),"")</f>
        <v/>
      </c>
      <c r="J1166" s="1" t="str">
        <f aca="false">IF(H1166&lt;&gt;"","0x"&amp;I1166&amp;H1166,"")</f>
        <v/>
      </c>
      <c r="L1166" s="1" t="s">
        <v>3183</v>
      </c>
      <c r="M1166" s="1" t="str">
        <f aca="false">IF(J1166&lt;&gt;"",J1166,L1166)</f>
        <v>15, 15, HERACROSS</v>
      </c>
    </row>
    <row r="1167" customFormat="false" ht="12.75" hidden="false" customHeight="true" outlineLevel="0" collapsed="false">
      <c r="A1167" s="3" t="s">
        <v>2806</v>
      </c>
      <c r="B1167" s="3" t="str">
        <f aca="false">IF(ISNUMBER(SEARCH("%", A1167)),RIGHT(A1167,3),A1167)</f>
        <v>0.05</v>
      </c>
      <c r="C1167" s="1" t="str">
        <f aca="false" t="array" ref="C1167:C1167">IF(B1166="NEW ROUTE",textsplit(B1167,","),"")</f>
        <v/>
      </c>
      <c r="H1167" s="1" t="str">
        <f aca="false">IF(C1167&lt;&gt;"",DEC2HEX(C1167,2),"")</f>
        <v/>
      </c>
      <c r="I1167" s="1" t="str">
        <f aca="false">IF(D1167&lt;&gt;"",DEC2HEX(D1167,2),"")</f>
        <v/>
      </c>
      <c r="J1167" s="1" t="str">
        <f aca="false">IF(H1167&lt;&gt;"","0x"&amp;I1167&amp;H1167,"")</f>
        <v/>
      </c>
      <c r="L1167" s="1" t="s">
        <v>2806</v>
      </c>
      <c r="M1167" s="1" t="str">
        <f aca="false">IF(J1167&lt;&gt;"",J1167,L1167)</f>
        <v>0.05</v>
      </c>
    </row>
    <row r="1168" customFormat="false" ht="12.75" hidden="false" customHeight="true" outlineLevel="0" collapsed="false">
      <c r="A1168" s="3" t="s">
        <v>3184</v>
      </c>
      <c r="B1168" s="3" t="str">
        <f aca="false">IF(ISNUMBER(SEARCH("%", A1168)),RIGHT(A1168,3),A1168)</f>
        <v>9, 9, METAPOD</v>
      </c>
      <c r="C1168" s="1" t="str">
        <f aca="false" t="array" ref="C1168:C1168">IF(B1167="NEW ROUTE",textsplit(B1168,","),"")</f>
        <v/>
      </c>
      <c r="H1168" s="1" t="str">
        <f aca="false">IF(C1168&lt;&gt;"",DEC2HEX(C1168,2),"")</f>
        <v/>
      </c>
      <c r="I1168" s="1" t="str">
        <f aca="false">IF(D1168&lt;&gt;"",DEC2HEX(D1168,2),"")</f>
        <v/>
      </c>
      <c r="J1168" s="1" t="str">
        <f aca="false">IF(H1168&lt;&gt;"","0x"&amp;I1168&amp;H1168,"")</f>
        <v/>
      </c>
      <c r="L1168" s="1" t="s">
        <v>3184</v>
      </c>
      <c r="M1168" s="1" t="str">
        <f aca="false">IF(J1168&lt;&gt;"",J1168,L1168)</f>
        <v>9, 9, METAPOD</v>
      </c>
    </row>
    <row r="1169" customFormat="false" ht="12.75" hidden="false" customHeight="true" outlineLevel="0" collapsed="false">
      <c r="A1169" s="3" t="s">
        <v>3185</v>
      </c>
      <c r="B1169" s="3" t="str">
        <f aca="false">IF(ISNUMBER(SEARCH("%", A1169)),RIGHT(A1169,3),A1169)</f>
        <v>20, 20, HERACROSS</v>
      </c>
      <c r="C1169" s="1" t="str">
        <f aca="false" t="array" ref="C1169:C1169">IF(B1168="NEW ROUTE",textsplit(B1169,","),"")</f>
        <v/>
      </c>
      <c r="H1169" s="1" t="str">
        <f aca="false">IF(C1169&lt;&gt;"",DEC2HEX(C1169,2),"")</f>
        <v/>
      </c>
      <c r="I1169" s="1" t="str">
        <f aca="false">IF(D1169&lt;&gt;"",DEC2HEX(D1169,2),"")</f>
        <v/>
      </c>
      <c r="J1169" s="1" t="str">
        <f aca="false">IF(H1169&lt;&gt;"","0x"&amp;I1169&amp;H1169,"")</f>
        <v/>
      </c>
      <c r="L1169" s="1" t="s">
        <v>3185</v>
      </c>
      <c r="M1169" s="1" t="str">
        <f aca="false">IF(J1169&lt;&gt;"",J1169,L1169)</f>
        <v>20, 20, HERACROSS</v>
      </c>
    </row>
    <row r="1170" customFormat="false" ht="12.75" hidden="false" customHeight="true" outlineLevel="0" collapsed="false">
      <c r="A1170" s="3" t="s">
        <v>2809</v>
      </c>
      <c r="B1170" s="3" t="str">
        <f aca="false">IF(ISNUMBER(SEARCH("%", A1170)),RIGHT(A1170,3),A1170)</f>
        <v>0.04</v>
      </c>
      <c r="C1170" s="1" t="str">
        <f aca="false" t="array" ref="C1170:C1170">IF(B1169="NEW ROUTE",textsplit(B1170,","),"")</f>
        <v/>
      </c>
      <c r="H1170" s="1" t="str">
        <f aca="false">IF(C1170&lt;&gt;"",DEC2HEX(C1170,2),"")</f>
        <v/>
      </c>
      <c r="I1170" s="1" t="str">
        <f aca="false">IF(D1170&lt;&gt;"",DEC2HEX(D1170,2),"")</f>
        <v/>
      </c>
      <c r="J1170" s="1" t="str">
        <f aca="false">IF(H1170&lt;&gt;"","0x"&amp;I1170&amp;H1170,"")</f>
        <v/>
      </c>
      <c r="L1170" s="1" t="s">
        <v>2809</v>
      </c>
      <c r="M1170" s="1" t="str">
        <f aca="false">IF(J1170&lt;&gt;"",J1170,L1170)</f>
        <v>0.04</v>
      </c>
    </row>
    <row r="1171" customFormat="false" ht="12.75" hidden="false" customHeight="true" outlineLevel="0" collapsed="false">
      <c r="A1171" s="3" t="s">
        <v>3186</v>
      </c>
      <c r="B1171" s="3" t="str">
        <f aca="false">IF(ISNUMBER(SEARCH("%", A1171)),RIGHT(A1171,3),A1171)</f>
        <v>9, 9, SPINARAK</v>
      </c>
      <c r="C1171" s="1" t="str">
        <f aca="false" t="array" ref="C1171:C1171">IF(B1170="NEW ROUTE",textsplit(B1171,","),"")</f>
        <v/>
      </c>
      <c r="H1171" s="1" t="str">
        <f aca="false">IF(C1171&lt;&gt;"",DEC2HEX(C1171,2),"")</f>
        <v/>
      </c>
      <c r="I1171" s="1" t="str">
        <f aca="false">IF(D1171&lt;&gt;"",DEC2HEX(D1171,2),"")</f>
        <v/>
      </c>
      <c r="J1171" s="1" t="str">
        <f aca="false">IF(H1171&lt;&gt;"","0x"&amp;I1171&amp;H1171,"")</f>
        <v/>
      </c>
      <c r="L1171" s="1" t="s">
        <v>3186</v>
      </c>
      <c r="M1171" s="1" t="str">
        <f aca="false">IF(J1171&lt;&gt;"",J1171,L1171)</f>
        <v>9, 9, SPINARAK</v>
      </c>
    </row>
    <row r="1172" customFormat="false" ht="12.75" hidden="false" customHeight="true" outlineLevel="0" collapsed="false">
      <c r="A1172" s="3" t="s">
        <v>3187</v>
      </c>
      <c r="B1172" s="3" t="str">
        <f aca="false">IF(ISNUMBER(SEARCH("%", A1172)),RIGHT(A1172,3),A1172)</f>
        <v>25, 25, HERACROSS</v>
      </c>
      <c r="C1172" s="1" t="str">
        <f aca="false" t="array" ref="C1172:C1172">IF(B1171="NEW ROUTE",textsplit(B1172,","),"")</f>
        <v/>
      </c>
      <c r="H1172" s="1" t="str">
        <f aca="false">IF(C1172&lt;&gt;"",DEC2HEX(C1172,2),"")</f>
        <v/>
      </c>
      <c r="I1172" s="1" t="str">
        <f aca="false">IF(D1172&lt;&gt;"",DEC2HEX(D1172,2),"")</f>
        <v/>
      </c>
      <c r="J1172" s="1" t="str">
        <f aca="false">IF(H1172&lt;&gt;"","0x"&amp;I1172&amp;H1172,"")</f>
        <v/>
      </c>
      <c r="L1172" s="1" t="s">
        <v>3187</v>
      </c>
      <c r="M1172" s="1" t="str">
        <f aca="false">IF(J1172&lt;&gt;"",J1172,L1172)</f>
        <v>25, 25, HERACROSS</v>
      </c>
    </row>
    <row r="1173" customFormat="false" ht="12.75" hidden="false" customHeight="true" outlineLevel="0" collapsed="false">
      <c r="A1173" s="3" t="s">
        <v>2812</v>
      </c>
      <c r="B1173" s="3" t="str">
        <f aca="false">IF(ISNUMBER(SEARCH("%", A1173)),RIGHT(A1173,3),A1173)</f>
        <v>0.01</v>
      </c>
      <c r="C1173" s="1" t="str">
        <f aca="false" t="array" ref="C1173:C1173">IF(B1172="NEW ROUTE",textsplit(B1173,","),"")</f>
        <v/>
      </c>
      <c r="H1173" s="1" t="str">
        <f aca="false">IF(C1173&lt;&gt;"",DEC2HEX(C1173,2),"")</f>
        <v/>
      </c>
      <c r="I1173" s="1" t="str">
        <f aca="false">IF(D1173&lt;&gt;"",DEC2HEX(D1173,2),"")</f>
        <v/>
      </c>
      <c r="J1173" s="1" t="str">
        <f aca="false">IF(H1173&lt;&gt;"","0x"&amp;I1173&amp;H1173,"")</f>
        <v/>
      </c>
      <c r="L1173" s="1" t="s">
        <v>2812</v>
      </c>
      <c r="M1173" s="1" t="str">
        <f aca="false">IF(J1173&lt;&gt;"",J1173,L1173)</f>
        <v>0.01</v>
      </c>
    </row>
    <row r="1174" customFormat="false" ht="12.75" hidden="false" customHeight="true" outlineLevel="0" collapsed="false">
      <c r="A1174" s="3" t="s">
        <v>3188</v>
      </c>
      <c r="B1174" s="3" t="str">
        <f aca="false">IF(ISNUMBER(SEARCH("%", A1174)),RIGHT(A1174,3),A1174)</f>
        <v>14, 14, SPINARAK</v>
      </c>
      <c r="C1174" s="1" t="str">
        <f aca="false" t="array" ref="C1174:C1174">IF(B1173="NEW ROUTE",textsplit(B1174,","),"")</f>
        <v/>
      </c>
      <c r="H1174" s="1" t="str">
        <f aca="false">IF(C1174&lt;&gt;"",DEC2HEX(C1174,2),"")</f>
        <v/>
      </c>
      <c r="I1174" s="1" t="str">
        <f aca="false">IF(D1174&lt;&gt;"",DEC2HEX(D1174,2),"")</f>
        <v/>
      </c>
      <c r="J1174" s="1" t="str">
        <f aca="false">IF(H1174&lt;&gt;"","0x"&amp;I1174&amp;H1174,"")</f>
        <v/>
      </c>
      <c r="L1174" s="1" t="s">
        <v>3188</v>
      </c>
      <c r="M1174" s="1" t="str">
        <f aca="false">IF(J1174&lt;&gt;"",J1174,L1174)</f>
        <v>14, 14, SPINARAK</v>
      </c>
    </row>
    <row r="1175" customFormat="false" ht="12.75" hidden="false" customHeight="true" outlineLevel="0" collapsed="false">
      <c r="A1175" s="3" t="s">
        <v>3189</v>
      </c>
      <c r="B1175" s="3" t="str">
        <f aca="false">IF(ISNUMBER(SEARCH("%", A1175)),RIGHT(A1175,3),A1175)</f>
        <v>30, 30, HERACROSS , &lt;null&gt;, &lt;null&gt;, &lt;null&gt;</v>
      </c>
      <c r="C1175" s="1" t="str">
        <f aca="false" t="array" ref="C1175:C1175">IF(B1174="NEW ROUTE",textsplit(B1175,","),"")</f>
        <v/>
      </c>
      <c r="H1175" s="1" t="str">
        <f aca="false">IF(C1175&lt;&gt;"",DEC2HEX(C1175,2),"")</f>
        <v/>
      </c>
      <c r="I1175" s="1" t="str">
        <f aca="false">IF(D1175&lt;&gt;"",DEC2HEX(D1175,2),"")</f>
        <v/>
      </c>
      <c r="J1175" s="1" t="str">
        <f aca="false">IF(H1175&lt;&gt;"","0x"&amp;I1175&amp;H1175,"")</f>
        <v/>
      </c>
      <c r="L1175" s="1" t="s">
        <v>3189</v>
      </c>
      <c r="M1175" s="1" t="str">
        <f aca="false">IF(J1175&lt;&gt;"",J1175,L1175)</f>
        <v>30, 30, HERACROSS , &lt;null&gt;, &lt;null&gt;, &lt;null&gt;</v>
      </c>
    </row>
    <row r="1176" customFormat="false" ht="12.75" hidden="false" customHeight="true" outlineLevel="0" collapsed="false">
      <c r="A1176" s="3" t="s">
        <v>2536</v>
      </c>
      <c r="B1176" s="3" t="str">
        <f aca="false">IF(ISNUMBER(SEARCH("%", A1176)),RIGHT(A1176,3),A1176)</f>
        <v>NEW ROUTE</v>
      </c>
      <c r="C1176" s="1" t="str">
        <f aca="false" t="array" ref="C1176:C1176">IF(B1175="NEW ROUTE",textsplit(B1176,","),"")</f>
        <v/>
      </c>
      <c r="H1176" s="1" t="str">
        <f aca="false">IF(C1176&lt;&gt;"",DEC2HEX(C1176,2),"")</f>
        <v/>
      </c>
      <c r="I1176" s="1" t="str">
        <f aca="false">IF(D1176&lt;&gt;"",DEC2HEX(D1176,2),"")</f>
        <v/>
      </c>
      <c r="J1176" s="1" t="str">
        <f aca="false">IF(H1176&lt;&gt;"","0x"&amp;I1176&amp;H1176,"")</f>
        <v/>
      </c>
      <c r="L1176" s="1" t="s">
        <v>2536</v>
      </c>
      <c r="M1176" s="1" t="str">
        <f aca="false">IF(J1176&lt;&gt;"",J1176,L1176)</f>
        <v>NEW ROUTE</v>
      </c>
    </row>
    <row r="1177" customFormat="false" ht="12.75" hidden="false" customHeight="true" outlineLevel="0" collapsed="false">
      <c r="A1177" s="3" t="s">
        <v>3190</v>
      </c>
      <c r="B1177" s="3" t="str">
        <f aca="false">IF(ISNUMBER(SEARCH("%", A1177)),RIGHT(A1177,3),A1177)</f>
        <v>2, 13, 0,</v>
      </c>
      <c r="C1177" s="1" t="e">
        <f aca="false" t="array" ref="C1177:C1177">IF(B1176="NEW ROUTE",textsplit(B1177,","),"")</f>
        <v>#NAME?</v>
      </c>
      <c r="H1177" s="1" t="e">
        <f aca="false">IF(C1177&lt;&gt;"",DEC2HEX(C1177,2),"")</f>
        <v>#NAME?</v>
      </c>
      <c r="I1177" s="1" t="str">
        <f aca="false">IF(D1177&lt;&gt;"",DEC2HEX(D1177,2),"")</f>
        <v/>
      </c>
      <c r="J1177" s="1" t="e">
        <f aca="false">IF(H1177&lt;&gt;"","0x"&amp;I1177&amp;H1177,"")</f>
        <v>#NAME?</v>
      </c>
      <c r="L1177" s="1" t="s">
        <v>3190</v>
      </c>
      <c r="M1177" s="1" t="e">
        <f aca="false">IF(J1177&lt;&gt;"",J1177,L1177)</f>
        <v>#NAME?</v>
      </c>
    </row>
    <row r="1178" customFormat="false" ht="12.75" hidden="false" customHeight="true" outlineLevel="0" collapsed="false">
      <c r="A1178" s="3" t="s">
        <v>3191</v>
      </c>
      <c r="B1178" s="3" t="str">
        <f aca="false">IF(ISNUMBER(SEARCH("%", A1178)),RIGHT(A1178,3),A1178)</f>
        <v>20%</v>
      </c>
      <c r="C1178" s="1" t="str">
        <f aca="false" t="array" ref="C1178:C1178">IF(B1177="NEW ROUTE",textsplit(B1178,","),"")</f>
        <v/>
      </c>
      <c r="H1178" s="1" t="str">
        <f aca="false">IF(C1178&lt;&gt;"",DEC2HEX(C1178,2),"")</f>
        <v/>
      </c>
      <c r="I1178" s="1" t="str">
        <f aca="false">IF(D1178&lt;&gt;"",DEC2HEX(D1178,2),"")</f>
        <v/>
      </c>
      <c r="J1178" s="1" t="str">
        <f aca="false">IF(H1178&lt;&gt;"","0x"&amp;I1178&amp;H1178,"")</f>
        <v/>
      </c>
      <c r="L1178" s="1" t="s">
        <v>2799</v>
      </c>
      <c r="M1178" s="1" t="str">
        <f aca="false">IF(J1178&lt;&gt;"",J1178,L1178)</f>
        <v>20%</v>
      </c>
    </row>
    <row r="1179" customFormat="false" ht="12.75" hidden="false" customHeight="true" outlineLevel="0" collapsed="false">
      <c r="A1179" s="3" t="s">
        <v>1638</v>
      </c>
      <c r="B1179" s="3" t="str">
        <f aca="false">IF(ISNUMBER(SEARCH("%", A1179)),RIGHT(A1179,3),A1179)</f>
        <v>40, 40, GASTLY</v>
      </c>
      <c r="C1179" s="1" t="str">
        <f aca="false" t="array" ref="C1179:C1179">IF(B1178="NEW ROUTE",textsplit(B1179,","),"")</f>
        <v/>
      </c>
      <c r="H1179" s="1" t="str">
        <f aca="false">IF(C1179&lt;&gt;"",DEC2HEX(C1179,2),"")</f>
        <v/>
      </c>
      <c r="I1179" s="1" t="str">
        <f aca="false">IF(D1179&lt;&gt;"",DEC2HEX(D1179,2),"")</f>
        <v/>
      </c>
      <c r="J1179" s="1" t="str">
        <f aca="false">IF(H1179&lt;&gt;"","0x"&amp;I1179&amp;H1179,"")</f>
        <v/>
      </c>
      <c r="L1179" s="1" t="s">
        <v>1638</v>
      </c>
      <c r="M1179" s="1" t="str">
        <f aca="false">IF(J1179&lt;&gt;"",J1179,L1179)</f>
        <v>40, 40, GASTLY</v>
      </c>
    </row>
    <row r="1180" customFormat="false" ht="12.75" hidden="false" customHeight="true" outlineLevel="0" collapsed="false">
      <c r="A1180" s="3" t="s">
        <v>3192</v>
      </c>
      <c r="B1180" s="3" t="str">
        <f aca="false">IF(ISNUMBER(SEARCH("%", A1180)),RIGHT(A1180,3),A1180)</f>
        <v>37, 37, ZUBAT</v>
      </c>
      <c r="C1180" s="1" t="str">
        <f aca="false" t="array" ref="C1180:C1180">IF(B1179="NEW ROUTE",textsplit(B1180,","),"")</f>
        <v/>
      </c>
      <c r="H1180" s="1" t="str">
        <f aca="false">IF(C1180&lt;&gt;"",DEC2HEX(C1180,2),"")</f>
        <v/>
      </c>
      <c r="I1180" s="1" t="str">
        <f aca="false">IF(D1180&lt;&gt;"",DEC2HEX(D1180,2),"")</f>
        <v/>
      </c>
      <c r="J1180" s="1" t="str">
        <f aca="false">IF(H1180&lt;&gt;"","0x"&amp;I1180&amp;H1180,"")</f>
        <v/>
      </c>
      <c r="L1180" s="1" t="s">
        <v>3192</v>
      </c>
      <c r="M1180" s="1" t="str">
        <f aca="false">IF(J1180&lt;&gt;"",J1180,L1180)</f>
        <v>37, 37, ZUBAT</v>
      </c>
    </row>
    <row r="1181" customFormat="false" ht="12.75" hidden="false" customHeight="true" outlineLevel="0" collapsed="false">
      <c r="A1181" s="3" t="s">
        <v>2801</v>
      </c>
      <c r="B1181" s="3" t="str">
        <f aca="false">IF(ISNUMBER(SEARCH("%", A1181)),RIGHT(A1181,3),A1181)</f>
        <v>0.1</v>
      </c>
      <c r="C1181" s="1" t="str">
        <f aca="false" t="array" ref="C1181:C1181">IF(B1180="NEW ROUTE",textsplit(B1181,","),"")</f>
        <v/>
      </c>
      <c r="H1181" s="1" t="str">
        <f aca="false">IF(C1181&lt;&gt;"",DEC2HEX(C1181,2),"")</f>
        <v/>
      </c>
      <c r="I1181" s="1" t="str">
        <f aca="false">IF(D1181&lt;&gt;"",DEC2HEX(D1181,2),"")</f>
        <v/>
      </c>
      <c r="J1181" s="1" t="str">
        <f aca="false">IF(H1181&lt;&gt;"","0x"&amp;I1181&amp;H1181,"")</f>
        <v/>
      </c>
      <c r="L1181" s="1" t="s">
        <v>2801</v>
      </c>
      <c r="M1181" s="1" t="str">
        <f aca="false">IF(J1181&lt;&gt;"",J1181,L1181)</f>
        <v>0.1</v>
      </c>
    </row>
    <row r="1182" customFormat="false" ht="12.75" hidden="false" customHeight="true" outlineLevel="0" collapsed="false">
      <c r="A1182" s="3" t="s">
        <v>3193</v>
      </c>
      <c r="B1182" s="3" t="str">
        <f aca="false">IF(ISNUMBER(SEARCH("%", A1182)),RIGHT(A1182,3),A1182)</f>
        <v>44, 44, HAUNTER</v>
      </c>
      <c r="C1182" s="1" t="str">
        <f aca="false" t="array" ref="C1182:C1182">IF(B1181="NEW ROUTE",textsplit(B1182,","),"")</f>
        <v/>
      </c>
      <c r="H1182" s="1" t="str">
        <f aca="false">IF(C1182&lt;&gt;"",DEC2HEX(C1182,2),"")</f>
        <v/>
      </c>
      <c r="I1182" s="1" t="str">
        <f aca="false">IF(D1182&lt;&gt;"",DEC2HEX(D1182,2),"")</f>
        <v/>
      </c>
      <c r="J1182" s="1" t="str">
        <f aca="false">IF(H1182&lt;&gt;"","0x"&amp;I1182&amp;H1182,"")</f>
        <v/>
      </c>
      <c r="L1182" s="1" t="s">
        <v>3193</v>
      </c>
      <c r="M1182" s="1" t="str">
        <f aca="false">IF(J1182&lt;&gt;"",J1182,L1182)</f>
        <v>44, 44, HAUNTER</v>
      </c>
    </row>
    <row r="1183" customFormat="false" ht="12.75" hidden="false" customHeight="true" outlineLevel="0" collapsed="false">
      <c r="A1183" s="3" t="s">
        <v>3194</v>
      </c>
      <c r="B1183" s="3" t="str">
        <f aca="false">IF(ISNUMBER(SEARCH("%", A1183)),RIGHT(A1183,3),A1183)</f>
        <v>46, 46, HAUNTER</v>
      </c>
      <c r="C1183" s="1" t="str">
        <f aca="false" t="array" ref="C1183:C1183">IF(B1182="NEW ROUTE",textsplit(B1183,","),"")</f>
        <v/>
      </c>
      <c r="H1183" s="1" t="str">
        <f aca="false">IF(C1183&lt;&gt;"",DEC2HEX(C1183,2),"")</f>
        <v/>
      </c>
      <c r="I1183" s="1" t="str">
        <f aca="false">IF(D1183&lt;&gt;"",DEC2HEX(D1183,2),"")</f>
        <v/>
      </c>
      <c r="J1183" s="1" t="str">
        <f aca="false">IF(H1183&lt;&gt;"","0x"&amp;I1183&amp;H1183,"")</f>
        <v/>
      </c>
      <c r="L1183" s="1" t="s">
        <v>3194</v>
      </c>
      <c r="M1183" s="1" t="str">
        <f aca="false">IF(J1183&lt;&gt;"",J1183,L1183)</f>
        <v>46, 46, HAUNTER</v>
      </c>
    </row>
    <row r="1184" customFormat="false" ht="12.75" hidden="false" customHeight="true" outlineLevel="0" collapsed="false">
      <c r="A1184" s="3" t="s">
        <v>3195</v>
      </c>
      <c r="B1184" s="3" t="str">
        <f aca="false">IF(ISNUMBER(SEARCH("%", A1184)),RIGHT(A1184,3),A1184)</f>
        <v>41, 41, GOLBAT</v>
      </c>
      <c r="C1184" s="1" t="str">
        <f aca="false" t="array" ref="C1184:C1184">IF(B1183="NEW ROUTE",textsplit(B1184,","),"")</f>
        <v/>
      </c>
      <c r="H1184" s="1" t="str">
        <f aca="false">IF(C1184&lt;&gt;"",DEC2HEX(C1184,2),"")</f>
        <v/>
      </c>
      <c r="I1184" s="1" t="str">
        <f aca="false">IF(D1184&lt;&gt;"",DEC2HEX(D1184,2),"")</f>
        <v/>
      </c>
      <c r="J1184" s="1" t="str">
        <f aca="false">IF(H1184&lt;&gt;"","0x"&amp;I1184&amp;H1184,"")</f>
        <v/>
      </c>
      <c r="L1184" s="1" t="s">
        <v>3195</v>
      </c>
      <c r="M1184" s="1" t="str">
        <f aca="false">IF(J1184&lt;&gt;"",J1184,L1184)</f>
        <v>41, 41, GOLBAT</v>
      </c>
    </row>
    <row r="1185" customFormat="false" ht="12.75" hidden="false" customHeight="true" outlineLevel="0" collapsed="false">
      <c r="A1185" s="3" t="s">
        <v>3196</v>
      </c>
      <c r="B1185" s="3" t="str">
        <f aca="false">IF(ISNUMBER(SEARCH("%", A1185)),RIGHT(A1185,3),A1185)</f>
        <v>43, 43, GOLBAT</v>
      </c>
      <c r="C1185" s="1" t="str">
        <f aca="false" t="array" ref="C1185:C1185">IF(B1184="NEW ROUTE",textsplit(B1185,","),"")</f>
        <v/>
      </c>
      <c r="H1185" s="1" t="str">
        <f aca="false">IF(C1185&lt;&gt;"",DEC2HEX(C1185,2),"")</f>
        <v/>
      </c>
      <c r="I1185" s="1" t="str">
        <f aca="false">IF(D1185&lt;&gt;"",DEC2HEX(D1185,2),"")</f>
        <v/>
      </c>
      <c r="J1185" s="1" t="str">
        <f aca="false">IF(H1185&lt;&gt;"","0x"&amp;I1185&amp;H1185,"")</f>
        <v/>
      </c>
      <c r="L1185" s="1" t="s">
        <v>3196</v>
      </c>
      <c r="M1185" s="1" t="str">
        <f aca="false">IF(J1185&lt;&gt;"",J1185,L1185)</f>
        <v>43, 43, GOLBAT</v>
      </c>
    </row>
    <row r="1186" customFormat="false" ht="12.75" hidden="false" customHeight="true" outlineLevel="0" collapsed="false">
      <c r="A1186" s="3" t="s">
        <v>2806</v>
      </c>
      <c r="B1186" s="3" t="str">
        <f aca="false">IF(ISNUMBER(SEARCH("%", A1186)),RIGHT(A1186,3),A1186)</f>
        <v>0.05</v>
      </c>
      <c r="C1186" s="1" t="str">
        <f aca="false" t="array" ref="C1186:C1186">IF(B1185="NEW ROUTE",textsplit(B1186,","),"")</f>
        <v/>
      </c>
      <c r="H1186" s="1" t="str">
        <f aca="false">IF(C1186&lt;&gt;"",DEC2HEX(C1186,2),"")</f>
        <v/>
      </c>
      <c r="I1186" s="1" t="str">
        <f aca="false">IF(D1186&lt;&gt;"",DEC2HEX(D1186,2),"")</f>
        <v/>
      </c>
      <c r="J1186" s="1" t="str">
        <f aca="false">IF(H1186&lt;&gt;"","0x"&amp;I1186&amp;H1186,"")</f>
        <v/>
      </c>
      <c r="L1186" s="1" t="s">
        <v>2806</v>
      </c>
      <c r="M1186" s="1" t="str">
        <f aca="false">IF(J1186&lt;&gt;"",J1186,L1186)</f>
        <v>0.05</v>
      </c>
    </row>
    <row r="1187" customFormat="false" ht="12.75" hidden="false" customHeight="true" outlineLevel="0" collapsed="false">
      <c r="A1187" s="3" t="s">
        <v>3197</v>
      </c>
      <c r="B1187" s="3" t="str">
        <f aca="false">IF(ISNUMBER(SEARCH("%", A1187)),RIGHT(A1187,3),A1187)</f>
        <v>38, 38, GASTLY</v>
      </c>
      <c r="C1187" s="1" t="str">
        <f aca="false" t="array" ref="C1187:C1187">IF(B1186="NEW ROUTE",textsplit(B1187,","),"")</f>
        <v/>
      </c>
      <c r="H1187" s="1" t="str">
        <f aca="false">IF(C1187&lt;&gt;"",DEC2HEX(C1187,2),"")</f>
        <v/>
      </c>
      <c r="I1187" s="1" t="str">
        <f aca="false">IF(D1187&lt;&gt;"",DEC2HEX(D1187,2),"")</f>
        <v/>
      </c>
      <c r="J1187" s="1" t="str">
        <f aca="false">IF(H1187&lt;&gt;"","0x"&amp;I1187&amp;H1187,"")</f>
        <v/>
      </c>
      <c r="L1187" s="1" t="s">
        <v>3197</v>
      </c>
      <c r="M1187" s="1" t="str">
        <f aca="false">IF(J1187&lt;&gt;"",J1187,L1187)</f>
        <v>38, 38, GASTLY</v>
      </c>
    </row>
    <row r="1188" customFormat="false" ht="12.75" hidden="false" customHeight="true" outlineLevel="0" collapsed="false">
      <c r="A1188" s="3" t="s">
        <v>3198</v>
      </c>
      <c r="B1188" s="3" t="str">
        <f aca="false">IF(ISNUMBER(SEARCH("%", A1188)),RIGHT(A1188,3),A1188)</f>
        <v>48, 48, HAUNTER</v>
      </c>
      <c r="C1188" s="1" t="str">
        <f aca="false" t="array" ref="C1188:C1188">IF(B1187="NEW ROUTE",textsplit(B1188,","),"")</f>
        <v/>
      </c>
      <c r="H1188" s="1" t="str">
        <f aca="false">IF(C1188&lt;&gt;"",DEC2HEX(C1188,2),"")</f>
        <v/>
      </c>
      <c r="I1188" s="1" t="str">
        <f aca="false">IF(D1188&lt;&gt;"",DEC2HEX(D1188,2),"")</f>
        <v/>
      </c>
      <c r="J1188" s="1" t="str">
        <f aca="false">IF(H1188&lt;&gt;"","0x"&amp;I1188&amp;H1188,"")</f>
        <v/>
      </c>
      <c r="L1188" s="1" t="s">
        <v>3198</v>
      </c>
      <c r="M1188" s="1" t="str">
        <f aca="false">IF(J1188&lt;&gt;"",J1188,L1188)</f>
        <v>48, 48, HAUNTER</v>
      </c>
    </row>
    <row r="1189" customFormat="false" ht="12.75" hidden="false" customHeight="true" outlineLevel="0" collapsed="false">
      <c r="A1189" s="3" t="s">
        <v>2809</v>
      </c>
      <c r="B1189" s="3" t="str">
        <f aca="false">IF(ISNUMBER(SEARCH("%", A1189)),RIGHT(A1189,3),A1189)</f>
        <v>0.04</v>
      </c>
      <c r="C1189" s="1" t="str">
        <f aca="false" t="array" ref="C1189:C1189">IF(B1188="NEW ROUTE",textsplit(B1189,","),"")</f>
        <v/>
      </c>
      <c r="H1189" s="1" t="str">
        <f aca="false">IF(C1189&lt;&gt;"",DEC2HEX(C1189,2),"")</f>
        <v/>
      </c>
      <c r="I1189" s="1" t="str">
        <f aca="false">IF(D1189&lt;&gt;"",DEC2HEX(D1189,2),"")</f>
        <v/>
      </c>
      <c r="J1189" s="1" t="str">
        <f aca="false">IF(H1189&lt;&gt;"","0x"&amp;I1189&amp;H1189,"")</f>
        <v/>
      </c>
      <c r="L1189" s="1" t="s">
        <v>2809</v>
      </c>
      <c r="M1189" s="1" t="str">
        <f aca="false">IF(J1189&lt;&gt;"",J1189,L1189)</f>
        <v>0.04</v>
      </c>
    </row>
    <row r="1190" customFormat="false" ht="12.75" hidden="false" customHeight="true" outlineLevel="0" collapsed="false">
      <c r="A1190" s="3" t="s">
        <v>3199</v>
      </c>
      <c r="B1190" s="3" t="str">
        <f aca="false">IF(ISNUMBER(SEARCH("%", A1190)),RIGHT(A1190,3),A1190)</f>
        <v>50, 50, HAUNTER</v>
      </c>
      <c r="C1190" s="1" t="str">
        <f aca="false" t="array" ref="C1190:C1190">IF(B1189="NEW ROUTE",textsplit(B1190,","),"")</f>
        <v/>
      </c>
      <c r="H1190" s="1" t="str">
        <f aca="false">IF(C1190&lt;&gt;"",DEC2HEX(C1190,2),"")</f>
        <v/>
      </c>
      <c r="I1190" s="1" t="str">
        <f aca="false">IF(D1190&lt;&gt;"",DEC2HEX(D1190,2),"")</f>
        <v/>
      </c>
      <c r="J1190" s="1" t="str">
        <f aca="false">IF(H1190&lt;&gt;"","0x"&amp;I1190&amp;H1190,"")</f>
        <v/>
      </c>
      <c r="L1190" s="1" t="s">
        <v>3199</v>
      </c>
      <c r="M1190" s="1" t="str">
        <f aca="false">IF(J1190&lt;&gt;"",J1190,L1190)</f>
        <v>50, 50, HAUNTER</v>
      </c>
    </row>
    <row r="1191" customFormat="false" ht="12.75" hidden="false" customHeight="true" outlineLevel="0" collapsed="false">
      <c r="A1191" s="3" t="s">
        <v>3200</v>
      </c>
      <c r="B1191" s="3" t="str">
        <f aca="false">IF(ISNUMBER(SEARCH("%", A1191)),RIGHT(A1191,3),A1191)</f>
        <v>22, 22, MISDREAVUS</v>
      </c>
      <c r="C1191" s="1" t="str">
        <f aca="false" t="array" ref="C1191:C1191">IF(B1190="NEW ROUTE",textsplit(B1191,","),"")</f>
        <v/>
      </c>
      <c r="H1191" s="1" t="str">
        <f aca="false">IF(C1191&lt;&gt;"",DEC2HEX(C1191,2),"")</f>
        <v/>
      </c>
      <c r="I1191" s="1" t="str">
        <f aca="false">IF(D1191&lt;&gt;"",DEC2HEX(D1191,2),"")</f>
        <v/>
      </c>
      <c r="J1191" s="1" t="str">
        <f aca="false">IF(H1191&lt;&gt;"","0x"&amp;I1191&amp;H1191,"")</f>
        <v/>
      </c>
      <c r="L1191" s="1" t="s">
        <v>3200</v>
      </c>
      <c r="M1191" s="1" t="str">
        <f aca="false">IF(J1191&lt;&gt;"",J1191,L1191)</f>
        <v>22, 22, MISDREAVUS</v>
      </c>
    </row>
    <row r="1192" customFormat="false" ht="12.75" hidden="false" customHeight="true" outlineLevel="0" collapsed="false">
      <c r="A1192" s="3" t="s">
        <v>2812</v>
      </c>
      <c r="B1192" s="3" t="str">
        <f aca="false">IF(ISNUMBER(SEARCH("%", A1192)),RIGHT(A1192,3),A1192)</f>
        <v>0.01</v>
      </c>
      <c r="C1192" s="1" t="str">
        <f aca="false" t="array" ref="C1192:C1192">IF(B1191="NEW ROUTE",textsplit(B1192,","),"")</f>
        <v/>
      </c>
      <c r="H1192" s="1" t="str">
        <f aca="false">IF(C1192&lt;&gt;"",DEC2HEX(C1192,2),"")</f>
        <v/>
      </c>
      <c r="I1192" s="1" t="str">
        <f aca="false">IF(D1192&lt;&gt;"",DEC2HEX(D1192,2),"")</f>
        <v/>
      </c>
      <c r="J1192" s="1" t="str">
        <f aca="false">IF(H1192&lt;&gt;"","0x"&amp;I1192&amp;H1192,"")</f>
        <v/>
      </c>
      <c r="L1192" s="1" t="s">
        <v>2812</v>
      </c>
      <c r="M1192" s="1" t="str">
        <f aca="false">IF(J1192&lt;&gt;"",J1192,L1192)</f>
        <v>0.01</v>
      </c>
    </row>
    <row r="1193" customFormat="false" ht="12.75" hidden="false" customHeight="true" outlineLevel="0" collapsed="false">
      <c r="A1193" s="3" t="s">
        <v>3201</v>
      </c>
      <c r="B1193" s="3" t="str">
        <f aca="false">IF(ISNUMBER(SEARCH("%", A1193)),RIGHT(A1193,3),A1193)</f>
        <v>52, 52, HAUNTER</v>
      </c>
      <c r="C1193" s="1" t="str">
        <f aca="false" t="array" ref="C1193:C1193">IF(B1192="NEW ROUTE",textsplit(B1193,","),"")</f>
        <v/>
      </c>
      <c r="H1193" s="1" t="str">
        <f aca="false">IF(C1193&lt;&gt;"",DEC2HEX(C1193,2),"")</f>
        <v/>
      </c>
      <c r="I1193" s="1" t="str">
        <f aca="false">IF(D1193&lt;&gt;"",DEC2HEX(D1193,2),"")</f>
        <v/>
      </c>
      <c r="J1193" s="1" t="str">
        <f aca="false">IF(H1193&lt;&gt;"","0x"&amp;I1193&amp;H1193,"")</f>
        <v/>
      </c>
      <c r="L1193" s="1" t="s">
        <v>3201</v>
      </c>
      <c r="M1193" s="1" t="str">
        <f aca="false">IF(J1193&lt;&gt;"",J1193,L1193)</f>
        <v>52, 52, HAUNTER</v>
      </c>
    </row>
    <row r="1194" customFormat="false" ht="12.75" hidden="false" customHeight="true" outlineLevel="0" collapsed="false">
      <c r="A1194" s="3" t="s">
        <v>3202</v>
      </c>
      <c r="B1194" s="3" t="str">
        <f aca="false">IF(ISNUMBER(SEARCH("%", A1194)),RIGHT(A1194,3),A1194)</f>
        <v>22, 22, MISDREAVUS , &lt;null&gt;, &lt;null&gt;, &lt;null&gt;</v>
      </c>
      <c r="C1194" s="1" t="str">
        <f aca="false" t="array" ref="C1194:C1194">IF(B1193="NEW ROUTE",textsplit(B1194,","),"")</f>
        <v/>
      </c>
      <c r="H1194" s="1" t="str">
        <f aca="false">IF(C1194&lt;&gt;"",DEC2HEX(C1194,2),"")</f>
        <v/>
      </c>
      <c r="I1194" s="1" t="str">
        <f aca="false">IF(D1194&lt;&gt;"",DEC2HEX(D1194,2),"")</f>
        <v/>
      </c>
      <c r="J1194" s="1" t="str">
        <f aca="false">IF(H1194&lt;&gt;"","0x"&amp;I1194&amp;H1194,"")</f>
        <v/>
      </c>
      <c r="L1194" s="1" t="s">
        <v>3202</v>
      </c>
      <c r="M1194" s="1" t="str">
        <f aca="false">IF(J1194&lt;&gt;"",J1194,L1194)</f>
        <v>22, 22, MISDREAVUS , &lt;null&gt;, &lt;null&gt;, &lt;null&gt;</v>
      </c>
    </row>
    <row r="1195" customFormat="false" ht="12.75" hidden="false" customHeight="true" outlineLevel="0" collapsed="false">
      <c r="A1195" s="3" t="s">
        <v>2536</v>
      </c>
      <c r="B1195" s="3" t="str">
        <f aca="false">IF(ISNUMBER(SEARCH("%", A1195)),RIGHT(A1195,3),A1195)</f>
        <v>NEW ROUTE</v>
      </c>
      <c r="C1195" s="1" t="str">
        <f aca="false" t="array" ref="C1195:C1195">IF(B1194="NEW ROUTE",textsplit(B1195,","),"")</f>
        <v/>
      </c>
      <c r="H1195" s="1" t="str">
        <f aca="false">IF(C1195&lt;&gt;"",DEC2HEX(C1195,2),"")</f>
        <v/>
      </c>
      <c r="I1195" s="1" t="str">
        <f aca="false">IF(D1195&lt;&gt;"",DEC2HEX(D1195,2),"")</f>
        <v/>
      </c>
      <c r="J1195" s="1" t="str">
        <f aca="false">IF(H1195&lt;&gt;"","0x"&amp;I1195&amp;H1195,"")</f>
        <v/>
      </c>
      <c r="L1195" s="1" t="s">
        <v>2536</v>
      </c>
      <c r="M1195" s="1" t="str">
        <f aca="false">IF(J1195&lt;&gt;"",J1195,L1195)</f>
        <v>NEW ROUTE</v>
      </c>
    </row>
    <row r="1196" customFormat="false" ht="12.75" hidden="false" customHeight="true" outlineLevel="0" collapsed="false">
      <c r="A1196" s="3" t="s">
        <v>3203</v>
      </c>
      <c r="B1196" s="3" t="str">
        <f aca="false">IF(ISNUMBER(SEARCH("%", A1196)),RIGHT(A1196,3),A1196)</f>
        <v>2, 14, 0,</v>
      </c>
      <c r="C1196" s="1" t="e">
        <f aca="false" t="array" ref="C1196:C1196">IF(B1195="NEW ROUTE",textsplit(B1196,","),"")</f>
        <v>#NAME?</v>
      </c>
      <c r="H1196" s="1" t="e">
        <f aca="false">IF(C1196&lt;&gt;"",DEC2HEX(C1196,2),"")</f>
        <v>#NAME?</v>
      </c>
      <c r="I1196" s="1" t="str">
        <f aca="false">IF(D1196&lt;&gt;"",DEC2HEX(D1196,2),"")</f>
        <v/>
      </c>
      <c r="J1196" s="1" t="e">
        <f aca="false">IF(H1196&lt;&gt;"","0x"&amp;I1196&amp;H1196,"")</f>
        <v>#NAME?</v>
      </c>
      <c r="L1196" s="1" t="s">
        <v>3203</v>
      </c>
      <c r="M1196" s="1" t="e">
        <f aca="false">IF(J1196&lt;&gt;"",J1196,L1196)</f>
        <v>#NAME?</v>
      </c>
    </row>
    <row r="1197" customFormat="false" ht="12.75" hidden="false" customHeight="true" outlineLevel="0" collapsed="false">
      <c r="A1197" s="3" t="s">
        <v>3036</v>
      </c>
      <c r="B1197" s="3" t="str">
        <f aca="false">IF(ISNUMBER(SEARCH("%", A1197)),RIGHT(A1197,3),A1197)</f>
        <v>20%</v>
      </c>
      <c r="C1197" s="1" t="str">
        <f aca="false" t="array" ref="C1197:C1197">IF(B1196="NEW ROUTE",textsplit(B1197,","),"")</f>
        <v/>
      </c>
      <c r="H1197" s="1" t="str">
        <f aca="false">IF(C1197&lt;&gt;"",DEC2HEX(C1197,2),"")</f>
        <v/>
      </c>
      <c r="I1197" s="1" t="str">
        <f aca="false">IF(D1197&lt;&gt;"",DEC2HEX(D1197,2),"")</f>
        <v/>
      </c>
      <c r="J1197" s="1" t="str">
        <f aca="false">IF(H1197&lt;&gt;"","0x"&amp;I1197&amp;H1197,"")</f>
        <v/>
      </c>
      <c r="L1197" s="1" t="s">
        <v>2799</v>
      </c>
      <c r="M1197" s="1" t="str">
        <f aca="false">IF(J1197&lt;&gt;"",J1197,L1197)</f>
        <v>20%</v>
      </c>
    </row>
    <row r="1198" customFormat="false" ht="12.75" hidden="false" customHeight="true" outlineLevel="0" collapsed="false">
      <c r="A1198" s="3" t="s">
        <v>1638</v>
      </c>
      <c r="B1198" s="3" t="str">
        <f aca="false">IF(ISNUMBER(SEARCH("%", A1198)),RIGHT(A1198,3),A1198)</f>
        <v>40, 40, GASTLY</v>
      </c>
      <c r="C1198" s="1" t="str">
        <f aca="false" t="array" ref="C1198:C1198">IF(B1197="NEW ROUTE",textsplit(B1198,","),"")</f>
        <v/>
      </c>
      <c r="H1198" s="1" t="str">
        <f aca="false">IF(C1198&lt;&gt;"",DEC2HEX(C1198,2),"")</f>
        <v/>
      </c>
      <c r="I1198" s="1" t="str">
        <f aca="false">IF(D1198&lt;&gt;"",DEC2HEX(D1198,2),"")</f>
        <v/>
      </c>
      <c r="J1198" s="1" t="str">
        <f aca="false">IF(H1198&lt;&gt;"","0x"&amp;I1198&amp;H1198,"")</f>
        <v/>
      </c>
      <c r="L1198" s="1" t="s">
        <v>1638</v>
      </c>
      <c r="M1198" s="1" t="str">
        <f aca="false">IF(J1198&lt;&gt;"",J1198,L1198)</f>
        <v>40, 40, GASTLY</v>
      </c>
    </row>
    <row r="1199" customFormat="false" ht="12.75" hidden="false" customHeight="true" outlineLevel="0" collapsed="false">
      <c r="A1199" s="3" t="s">
        <v>3192</v>
      </c>
      <c r="B1199" s="3" t="str">
        <f aca="false">IF(ISNUMBER(SEARCH("%", A1199)),RIGHT(A1199,3),A1199)</f>
        <v>37, 37, ZUBAT</v>
      </c>
      <c r="C1199" s="1" t="str">
        <f aca="false" t="array" ref="C1199:C1199">IF(B1198="NEW ROUTE",textsplit(B1199,","),"")</f>
        <v/>
      </c>
      <c r="H1199" s="1" t="str">
        <f aca="false">IF(C1199&lt;&gt;"",DEC2HEX(C1199,2),"")</f>
        <v/>
      </c>
      <c r="I1199" s="1" t="str">
        <f aca="false">IF(D1199&lt;&gt;"",DEC2HEX(D1199,2),"")</f>
        <v/>
      </c>
      <c r="J1199" s="1" t="str">
        <f aca="false">IF(H1199&lt;&gt;"","0x"&amp;I1199&amp;H1199,"")</f>
        <v/>
      </c>
      <c r="L1199" s="1" t="s">
        <v>3192</v>
      </c>
      <c r="M1199" s="1" t="str">
        <f aca="false">IF(J1199&lt;&gt;"",J1199,L1199)</f>
        <v>37, 37, ZUBAT</v>
      </c>
    </row>
    <row r="1200" customFormat="false" ht="12.75" hidden="false" customHeight="true" outlineLevel="0" collapsed="false">
      <c r="A1200" s="3" t="s">
        <v>2801</v>
      </c>
      <c r="B1200" s="3" t="str">
        <f aca="false">IF(ISNUMBER(SEARCH("%", A1200)),RIGHT(A1200,3),A1200)</f>
        <v>0.1</v>
      </c>
      <c r="C1200" s="1" t="str">
        <f aca="false" t="array" ref="C1200:C1200">IF(B1199="NEW ROUTE",textsplit(B1200,","),"")</f>
        <v/>
      </c>
      <c r="H1200" s="1" t="str">
        <f aca="false">IF(C1200&lt;&gt;"",DEC2HEX(C1200,2),"")</f>
        <v/>
      </c>
      <c r="I1200" s="1" t="str">
        <f aca="false">IF(D1200&lt;&gt;"",DEC2HEX(D1200,2),"")</f>
        <v/>
      </c>
      <c r="J1200" s="1" t="str">
        <f aca="false">IF(H1200&lt;&gt;"","0x"&amp;I1200&amp;H1200,"")</f>
        <v/>
      </c>
      <c r="L1200" s="1" t="s">
        <v>2801</v>
      </c>
      <c r="M1200" s="1" t="str">
        <f aca="false">IF(J1200&lt;&gt;"",J1200,L1200)</f>
        <v>0.1</v>
      </c>
    </row>
    <row r="1201" customFormat="false" ht="12.75" hidden="false" customHeight="true" outlineLevel="0" collapsed="false">
      <c r="A1201" s="3" t="s">
        <v>3193</v>
      </c>
      <c r="B1201" s="3" t="str">
        <f aca="false">IF(ISNUMBER(SEARCH("%", A1201)),RIGHT(A1201,3),A1201)</f>
        <v>44, 44, HAUNTER</v>
      </c>
      <c r="C1201" s="1" t="str">
        <f aca="false" t="array" ref="C1201:C1201">IF(B1200="NEW ROUTE",textsplit(B1201,","),"")</f>
        <v/>
      </c>
      <c r="H1201" s="1" t="str">
        <f aca="false">IF(C1201&lt;&gt;"",DEC2HEX(C1201,2),"")</f>
        <v/>
      </c>
      <c r="I1201" s="1" t="str">
        <f aca="false">IF(D1201&lt;&gt;"",DEC2HEX(D1201,2),"")</f>
        <v/>
      </c>
      <c r="J1201" s="1" t="str">
        <f aca="false">IF(H1201&lt;&gt;"","0x"&amp;I1201&amp;H1201,"")</f>
        <v/>
      </c>
      <c r="L1201" s="1" t="s">
        <v>3193</v>
      </c>
      <c r="M1201" s="1" t="str">
        <f aca="false">IF(J1201&lt;&gt;"",J1201,L1201)</f>
        <v>44, 44, HAUNTER</v>
      </c>
    </row>
    <row r="1202" customFormat="false" ht="12.75" hidden="false" customHeight="true" outlineLevel="0" collapsed="false">
      <c r="A1202" s="3" t="s">
        <v>3194</v>
      </c>
      <c r="B1202" s="3" t="str">
        <f aca="false">IF(ISNUMBER(SEARCH("%", A1202)),RIGHT(A1202,3),A1202)</f>
        <v>46, 46, HAUNTER</v>
      </c>
      <c r="C1202" s="1" t="str">
        <f aca="false" t="array" ref="C1202:C1202">IF(B1201="NEW ROUTE",textsplit(B1202,","),"")</f>
        <v/>
      </c>
      <c r="H1202" s="1" t="str">
        <f aca="false">IF(C1202&lt;&gt;"",DEC2HEX(C1202,2),"")</f>
        <v/>
      </c>
      <c r="I1202" s="1" t="str">
        <f aca="false">IF(D1202&lt;&gt;"",DEC2HEX(D1202,2),"")</f>
        <v/>
      </c>
      <c r="J1202" s="1" t="str">
        <f aca="false">IF(H1202&lt;&gt;"","0x"&amp;I1202&amp;H1202,"")</f>
        <v/>
      </c>
      <c r="L1202" s="1" t="s">
        <v>3194</v>
      </c>
      <c r="M1202" s="1" t="str">
        <f aca="false">IF(J1202&lt;&gt;"",J1202,L1202)</f>
        <v>46, 46, HAUNTER</v>
      </c>
    </row>
    <row r="1203" customFormat="false" ht="12.75" hidden="false" customHeight="true" outlineLevel="0" collapsed="false">
      <c r="A1203" s="3" t="s">
        <v>3195</v>
      </c>
      <c r="B1203" s="3" t="str">
        <f aca="false">IF(ISNUMBER(SEARCH("%", A1203)),RIGHT(A1203,3),A1203)</f>
        <v>41, 41, GOLBAT</v>
      </c>
      <c r="C1203" s="1" t="str">
        <f aca="false" t="array" ref="C1203:C1203">IF(B1202="NEW ROUTE",textsplit(B1203,","),"")</f>
        <v/>
      </c>
      <c r="H1203" s="1" t="str">
        <f aca="false">IF(C1203&lt;&gt;"",DEC2HEX(C1203,2),"")</f>
        <v/>
      </c>
      <c r="I1203" s="1" t="str">
        <f aca="false">IF(D1203&lt;&gt;"",DEC2HEX(D1203,2),"")</f>
        <v/>
      </c>
      <c r="J1203" s="1" t="str">
        <f aca="false">IF(H1203&lt;&gt;"","0x"&amp;I1203&amp;H1203,"")</f>
        <v/>
      </c>
      <c r="L1203" s="1" t="s">
        <v>3195</v>
      </c>
      <c r="M1203" s="1" t="str">
        <f aca="false">IF(J1203&lt;&gt;"",J1203,L1203)</f>
        <v>41, 41, GOLBAT</v>
      </c>
    </row>
    <row r="1204" customFormat="false" ht="12.75" hidden="false" customHeight="true" outlineLevel="0" collapsed="false">
      <c r="A1204" s="3" t="s">
        <v>3196</v>
      </c>
      <c r="B1204" s="3" t="str">
        <f aca="false">IF(ISNUMBER(SEARCH("%", A1204)),RIGHT(A1204,3),A1204)</f>
        <v>43, 43, GOLBAT</v>
      </c>
      <c r="C1204" s="1" t="str">
        <f aca="false" t="array" ref="C1204:C1204">IF(B1203="NEW ROUTE",textsplit(B1204,","),"")</f>
        <v/>
      </c>
      <c r="H1204" s="1" t="str">
        <f aca="false">IF(C1204&lt;&gt;"",DEC2HEX(C1204,2),"")</f>
        <v/>
      </c>
      <c r="I1204" s="1" t="str">
        <f aca="false">IF(D1204&lt;&gt;"",DEC2HEX(D1204,2),"")</f>
        <v/>
      </c>
      <c r="J1204" s="1" t="str">
        <f aca="false">IF(H1204&lt;&gt;"","0x"&amp;I1204&amp;H1204,"")</f>
        <v/>
      </c>
      <c r="L1204" s="1" t="s">
        <v>3196</v>
      </c>
      <c r="M1204" s="1" t="str">
        <f aca="false">IF(J1204&lt;&gt;"",J1204,L1204)</f>
        <v>43, 43, GOLBAT</v>
      </c>
    </row>
    <row r="1205" customFormat="false" ht="12.75" hidden="false" customHeight="true" outlineLevel="0" collapsed="false">
      <c r="A1205" s="3" t="s">
        <v>2806</v>
      </c>
      <c r="B1205" s="3" t="str">
        <f aca="false">IF(ISNUMBER(SEARCH("%", A1205)),RIGHT(A1205,3),A1205)</f>
        <v>0.05</v>
      </c>
      <c r="C1205" s="1" t="str">
        <f aca="false" t="array" ref="C1205:C1205">IF(B1204="NEW ROUTE",textsplit(B1205,","),"")</f>
        <v/>
      </c>
      <c r="H1205" s="1" t="str">
        <f aca="false">IF(C1205&lt;&gt;"",DEC2HEX(C1205,2),"")</f>
        <v/>
      </c>
      <c r="I1205" s="1" t="str">
        <f aca="false">IF(D1205&lt;&gt;"",DEC2HEX(D1205,2),"")</f>
        <v/>
      </c>
      <c r="J1205" s="1" t="str">
        <f aca="false">IF(H1205&lt;&gt;"","0x"&amp;I1205&amp;H1205,"")</f>
        <v/>
      </c>
      <c r="L1205" s="1" t="s">
        <v>2806</v>
      </c>
      <c r="M1205" s="1" t="str">
        <f aca="false">IF(J1205&lt;&gt;"",J1205,L1205)</f>
        <v>0.05</v>
      </c>
    </row>
    <row r="1206" customFormat="false" ht="12.75" hidden="false" customHeight="true" outlineLevel="0" collapsed="false">
      <c r="A1206" s="3" t="s">
        <v>3197</v>
      </c>
      <c r="B1206" s="3" t="str">
        <f aca="false">IF(ISNUMBER(SEARCH("%", A1206)),RIGHT(A1206,3),A1206)</f>
        <v>38, 38, GASTLY</v>
      </c>
      <c r="C1206" s="1" t="str">
        <f aca="false" t="array" ref="C1206:C1206">IF(B1205="NEW ROUTE",textsplit(B1206,","),"")</f>
        <v/>
      </c>
      <c r="H1206" s="1" t="str">
        <f aca="false">IF(C1206&lt;&gt;"",DEC2HEX(C1206,2),"")</f>
        <v/>
      </c>
      <c r="I1206" s="1" t="str">
        <f aca="false">IF(D1206&lt;&gt;"",DEC2HEX(D1206,2),"")</f>
        <v/>
      </c>
      <c r="J1206" s="1" t="str">
        <f aca="false">IF(H1206&lt;&gt;"","0x"&amp;I1206&amp;H1206,"")</f>
        <v/>
      </c>
      <c r="L1206" s="1" t="s">
        <v>3197</v>
      </c>
      <c r="M1206" s="1" t="str">
        <f aca="false">IF(J1206&lt;&gt;"",J1206,L1206)</f>
        <v>38, 38, GASTLY</v>
      </c>
    </row>
    <row r="1207" customFormat="false" ht="12.75" hidden="false" customHeight="true" outlineLevel="0" collapsed="false">
      <c r="A1207" s="3" t="s">
        <v>3198</v>
      </c>
      <c r="B1207" s="3" t="str">
        <f aca="false">IF(ISNUMBER(SEARCH("%", A1207)),RIGHT(A1207,3),A1207)</f>
        <v>48, 48, HAUNTER</v>
      </c>
      <c r="C1207" s="1" t="str">
        <f aca="false" t="array" ref="C1207:C1207">IF(B1206="NEW ROUTE",textsplit(B1207,","),"")</f>
        <v/>
      </c>
      <c r="H1207" s="1" t="str">
        <f aca="false">IF(C1207&lt;&gt;"",DEC2HEX(C1207,2),"")</f>
        <v/>
      </c>
      <c r="I1207" s="1" t="str">
        <f aca="false">IF(D1207&lt;&gt;"",DEC2HEX(D1207,2),"")</f>
        <v/>
      </c>
      <c r="J1207" s="1" t="str">
        <f aca="false">IF(H1207&lt;&gt;"","0x"&amp;I1207&amp;H1207,"")</f>
        <v/>
      </c>
      <c r="L1207" s="1" t="s">
        <v>3198</v>
      </c>
      <c r="M1207" s="1" t="str">
        <f aca="false">IF(J1207&lt;&gt;"",J1207,L1207)</f>
        <v>48, 48, HAUNTER</v>
      </c>
    </row>
    <row r="1208" customFormat="false" ht="12.75" hidden="false" customHeight="true" outlineLevel="0" collapsed="false">
      <c r="A1208" s="3" t="s">
        <v>2809</v>
      </c>
      <c r="B1208" s="3" t="str">
        <f aca="false">IF(ISNUMBER(SEARCH("%", A1208)),RIGHT(A1208,3),A1208)</f>
        <v>0.04</v>
      </c>
      <c r="C1208" s="1" t="str">
        <f aca="false" t="array" ref="C1208:C1208">IF(B1207="NEW ROUTE",textsplit(B1208,","),"")</f>
        <v/>
      </c>
      <c r="H1208" s="1" t="str">
        <f aca="false">IF(C1208&lt;&gt;"",DEC2HEX(C1208,2),"")</f>
        <v/>
      </c>
      <c r="I1208" s="1" t="str">
        <f aca="false">IF(D1208&lt;&gt;"",DEC2HEX(D1208,2),"")</f>
        <v/>
      </c>
      <c r="J1208" s="1" t="str">
        <f aca="false">IF(H1208&lt;&gt;"","0x"&amp;I1208&amp;H1208,"")</f>
        <v/>
      </c>
      <c r="L1208" s="1" t="s">
        <v>2809</v>
      </c>
      <c r="M1208" s="1" t="str">
        <f aca="false">IF(J1208&lt;&gt;"",J1208,L1208)</f>
        <v>0.04</v>
      </c>
    </row>
    <row r="1209" customFormat="false" ht="12.75" hidden="false" customHeight="true" outlineLevel="0" collapsed="false">
      <c r="A1209" s="3" t="s">
        <v>3199</v>
      </c>
      <c r="B1209" s="3" t="str">
        <f aca="false">IF(ISNUMBER(SEARCH("%", A1209)),RIGHT(A1209,3),A1209)</f>
        <v>50, 50, HAUNTER</v>
      </c>
      <c r="C1209" s="1" t="str">
        <f aca="false" t="array" ref="C1209:C1209">IF(B1208="NEW ROUTE",textsplit(B1209,","),"")</f>
        <v/>
      </c>
      <c r="H1209" s="1" t="str">
        <f aca="false">IF(C1209&lt;&gt;"",DEC2HEX(C1209,2),"")</f>
        <v/>
      </c>
      <c r="I1209" s="1" t="str">
        <f aca="false">IF(D1209&lt;&gt;"",DEC2HEX(D1209,2),"")</f>
        <v/>
      </c>
      <c r="J1209" s="1" t="str">
        <f aca="false">IF(H1209&lt;&gt;"","0x"&amp;I1209&amp;H1209,"")</f>
        <v/>
      </c>
      <c r="L1209" s="1" t="s">
        <v>3199</v>
      </c>
      <c r="M1209" s="1" t="str">
        <f aca="false">IF(J1209&lt;&gt;"",J1209,L1209)</f>
        <v>50, 50, HAUNTER</v>
      </c>
    </row>
    <row r="1210" customFormat="false" ht="12.75" hidden="false" customHeight="true" outlineLevel="0" collapsed="false">
      <c r="A1210" s="3" t="s">
        <v>3200</v>
      </c>
      <c r="B1210" s="3" t="str">
        <f aca="false">IF(ISNUMBER(SEARCH("%", A1210)),RIGHT(A1210,3),A1210)</f>
        <v>22, 22, MISDREAVUS</v>
      </c>
      <c r="C1210" s="1" t="str">
        <f aca="false" t="array" ref="C1210:C1210">IF(B1209="NEW ROUTE",textsplit(B1210,","),"")</f>
        <v/>
      </c>
      <c r="H1210" s="1" t="str">
        <f aca="false">IF(C1210&lt;&gt;"",DEC2HEX(C1210,2),"")</f>
        <v/>
      </c>
      <c r="I1210" s="1" t="str">
        <f aca="false">IF(D1210&lt;&gt;"",DEC2HEX(D1210,2),"")</f>
        <v/>
      </c>
      <c r="J1210" s="1" t="str">
        <f aca="false">IF(H1210&lt;&gt;"","0x"&amp;I1210&amp;H1210,"")</f>
        <v/>
      </c>
      <c r="L1210" s="1" t="s">
        <v>3200</v>
      </c>
      <c r="M1210" s="1" t="str">
        <f aca="false">IF(J1210&lt;&gt;"",J1210,L1210)</f>
        <v>22, 22, MISDREAVUS</v>
      </c>
    </row>
    <row r="1211" customFormat="false" ht="12.75" hidden="false" customHeight="true" outlineLevel="0" collapsed="false">
      <c r="A1211" s="3" t="s">
        <v>2812</v>
      </c>
      <c r="B1211" s="3" t="str">
        <f aca="false">IF(ISNUMBER(SEARCH("%", A1211)),RIGHT(A1211,3),A1211)</f>
        <v>0.01</v>
      </c>
      <c r="C1211" s="1" t="str">
        <f aca="false" t="array" ref="C1211:C1211">IF(B1210="NEW ROUTE",textsplit(B1211,","),"")</f>
        <v/>
      </c>
      <c r="H1211" s="1" t="str">
        <f aca="false">IF(C1211&lt;&gt;"",DEC2HEX(C1211,2),"")</f>
        <v/>
      </c>
      <c r="I1211" s="1" t="str">
        <f aca="false">IF(D1211&lt;&gt;"",DEC2HEX(D1211,2),"")</f>
        <v/>
      </c>
      <c r="J1211" s="1" t="str">
        <f aca="false">IF(H1211&lt;&gt;"","0x"&amp;I1211&amp;H1211,"")</f>
        <v/>
      </c>
      <c r="L1211" s="1" t="s">
        <v>2812</v>
      </c>
      <c r="M1211" s="1" t="str">
        <f aca="false">IF(J1211&lt;&gt;"",J1211,L1211)</f>
        <v>0.01</v>
      </c>
    </row>
    <row r="1212" customFormat="false" ht="12.75" hidden="false" customHeight="true" outlineLevel="0" collapsed="false">
      <c r="A1212" s="3" t="s">
        <v>3201</v>
      </c>
      <c r="B1212" s="3" t="str">
        <f aca="false">IF(ISNUMBER(SEARCH("%", A1212)),RIGHT(A1212,3),A1212)</f>
        <v>52, 52, HAUNTER</v>
      </c>
      <c r="C1212" s="1" t="str">
        <f aca="false" t="array" ref="C1212:C1212">IF(B1211="NEW ROUTE",textsplit(B1212,","),"")</f>
        <v/>
      </c>
      <c r="H1212" s="1" t="str">
        <f aca="false">IF(C1212&lt;&gt;"",DEC2HEX(C1212,2),"")</f>
        <v/>
      </c>
      <c r="I1212" s="1" t="str">
        <f aca="false">IF(D1212&lt;&gt;"",DEC2HEX(D1212,2),"")</f>
        <v/>
      </c>
      <c r="J1212" s="1" t="str">
        <f aca="false">IF(H1212&lt;&gt;"","0x"&amp;I1212&amp;H1212,"")</f>
        <v/>
      </c>
      <c r="L1212" s="1" t="s">
        <v>3201</v>
      </c>
      <c r="M1212" s="1" t="str">
        <f aca="false">IF(J1212&lt;&gt;"",J1212,L1212)</f>
        <v>52, 52, HAUNTER</v>
      </c>
    </row>
    <row r="1213" customFormat="false" ht="12.75" hidden="false" customHeight="true" outlineLevel="0" collapsed="false">
      <c r="A1213" s="3" t="s">
        <v>3202</v>
      </c>
      <c r="B1213" s="3" t="str">
        <f aca="false">IF(ISNUMBER(SEARCH("%", A1213)),RIGHT(A1213,3),A1213)</f>
        <v>22, 22, MISDREAVUS , &lt;null&gt;, &lt;null&gt;, &lt;null&gt;</v>
      </c>
      <c r="C1213" s="1" t="str">
        <f aca="false" t="array" ref="C1213:C1213">IF(B1212="NEW ROUTE",textsplit(B1213,","),"")</f>
        <v/>
      </c>
      <c r="H1213" s="1" t="str">
        <f aca="false">IF(C1213&lt;&gt;"",DEC2HEX(C1213,2),"")</f>
        <v/>
      </c>
      <c r="I1213" s="1" t="str">
        <f aca="false">IF(D1213&lt;&gt;"",DEC2HEX(D1213,2),"")</f>
        <v/>
      </c>
      <c r="J1213" s="1" t="str">
        <f aca="false">IF(H1213&lt;&gt;"","0x"&amp;I1213&amp;H1213,"")</f>
        <v/>
      </c>
      <c r="L1213" s="1" t="s">
        <v>3202</v>
      </c>
      <c r="M1213" s="1" t="str">
        <f aca="false">IF(J1213&lt;&gt;"",J1213,L1213)</f>
        <v>22, 22, MISDREAVUS , &lt;null&gt;, &lt;null&gt;, &lt;null&gt;</v>
      </c>
    </row>
    <row r="1214" customFormat="false" ht="12.75" hidden="false" customHeight="true" outlineLevel="0" collapsed="false">
      <c r="A1214" s="3" t="s">
        <v>2536</v>
      </c>
      <c r="B1214" s="3" t="str">
        <f aca="false">IF(ISNUMBER(SEARCH("%", A1214)),RIGHT(A1214,3),A1214)</f>
        <v>NEW ROUTE</v>
      </c>
      <c r="C1214" s="1" t="str">
        <f aca="false" t="array" ref="C1214:C1214">IF(B1213="NEW ROUTE",textsplit(B1214,","),"")</f>
        <v/>
      </c>
      <c r="H1214" s="1" t="str">
        <f aca="false">IF(C1214&lt;&gt;"",DEC2HEX(C1214,2),"")</f>
        <v/>
      </c>
      <c r="I1214" s="1" t="str">
        <f aca="false">IF(D1214&lt;&gt;"",DEC2HEX(D1214,2),"")</f>
        <v/>
      </c>
      <c r="J1214" s="1" t="str">
        <f aca="false">IF(H1214&lt;&gt;"","0x"&amp;I1214&amp;H1214,"")</f>
        <v/>
      </c>
      <c r="L1214" s="1" t="s">
        <v>2536</v>
      </c>
      <c r="M1214" s="1" t="str">
        <f aca="false">IF(J1214&lt;&gt;"",J1214,L1214)</f>
        <v>NEW ROUTE</v>
      </c>
    </row>
    <row r="1215" customFormat="false" ht="12.75" hidden="false" customHeight="true" outlineLevel="0" collapsed="false">
      <c r="A1215" s="3" t="s">
        <v>3204</v>
      </c>
      <c r="B1215" s="3" t="str">
        <f aca="false">IF(ISNUMBER(SEARCH("%", A1215)),RIGHT(A1215,3),A1215)</f>
        <v>2, 15, 0,</v>
      </c>
      <c r="C1215" s="1" t="e">
        <f aca="false" t="array" ref="C1215:C1215">IF(B1214="NEW ROUTE",textsplit(B1215,","),"")</f>
        <v>#NAME?</v>
      </c>
      <c r="H1215" s="1" t="e">
        <f aca="false">IF(C1215&lt;&gt;"",DEC2HEX(C1215,2),"")</f>
        <v>#NAME?</v>
      </c>
      <c r="I1215" s="1" t="str">
        <f aca="false">IF(D1215&lt;&gt;"",DEC2HEX(D1215,2),"")</f>
        <v/>
      </c>
      <c r="J1215" s="1" t="e">
        <f aca="false">IF(H1215&lt;&gt;"","0x"&amp;I1215&amp;H1215,"")</f>
        <v>#NAME?</v>
      </c>
      <c r="L1215" s="1" t="s">
        <v>3204</v>
      </c>
      <c r="M1215" s="1" t="e">
        <f aca="false">IF(J1215&lt;&gt;"",J1215,L1215)</f>
        <v>#NAME?</v>
      </c>
    </row>
    <row r="1216" customFormat="false" ht="12.75" hidden="false" customHeight="true" outlineLevel="0" collapsed="false">
      <c r="A1216" s="3" t="s">
        <v>3205</v>
      </c>
      <c r="B1216" s="3" t="str">
        <f aca="false">IF(ISNUMBER(SEARCH("%", A1216)),RIGHT(A1216,3),A1216)</f>
        <v>20%</v>
      </c>
      <c r="C1216" s="1" t="str">
        <f aca="false" t="array" ref="C1216:C1216">IF(B1215="NEW ROUTE",textsplit(B1216,","),"")</f>
        <v/>
      </c>
      <c r="H1216" s="1" t="str">
        <f aca="false">IF(C1216&lt;&gt;"",DEC2HEX(C1216,2),"")</f>
        <v/>
      </c>
      <c r="I1216" s="1" t="str">
        <f aca="false">IF(D1216&lt;&gt;"",DEC2HEX(D1216,2),"")</f>
        <v/>
      </c>
      <c r="J1216" s="1" t="str">
        <f aca="false">IF(H1216&lt;&gt;"","0x"&amp;I1216&amp;H1216,"")</f>
        <v/>
      </c>
      <c r="L1216" s="1" t="s">
        <v>2799</v>
      </c>
      <c r="M1216" s="1" t="str">
        <f aca="false">IF(J1216&lt;&gt;"",J1216,L1216)</f>
        <v>20%</v>
      </c>
    </row>
    <row r="1217" customFormat="false" ht="12.75" hidden="false" customHeight="true" outlineLevel="0" collapsed="false">
      <c r="A1217" s="3" t="s">
        <v>1638</v>
      </c>
      <c r="B1217" s="3" t="str">
        <f aca="false">IF(ISNUMBER(SEARCH("%", A1217)),RIGHT(A1217,3),A1217)</f>
        <v>40, 40, GASTLY</v>
      </c>
      <c r="C1217" s="1" t="str">
        <f aca="false" t="array" ref="C1217:C1217">IF(B1216="NEW ROUTE",textsplit(B1217,","),"")</f>
        <v/>
      </c>
      <c r="H1217" s="1" t="str">
        <f aca="false">IF(C1217&lt;&gt;"",DEC2HEX(C1217,2),"")</f>
        <v/>
      </c>
      <c r="I1217" s="1" t="str">
        <f aca="false">IF(D1217&lt;&gt;"",DEC2HEX(D1217,2),"")</f>
        <v/>
      </c>
      <c r="J1217" s="1" t="str">
        <f aca="false">IF(H1217&lt;&gt;"","0x"&amp;I1217&amp;H1217,"")</f>
        <v/>
      </c>
      <c r="L1217" s="1" t="s">
        <v>1638</v>
      </c>
      <c r="M1217" s="1" t="str">
        <f aca="false">IF(J1217&lt;&gt;"",J1217,L1217)</f>
        <v>40, 40, GASTLY</v>
      </c>
    </row>
    <row r="1218" customFormat="false" ht="12.75" hidden="false" customHeight="true" outlineLevel="0" collapsed="false">
      <c r="A1218" s="3" t="s">
        <v>3192</v>
      </c>
      <c r="B1218" s="3" t="str">
        <f aca="false">IF(ISNUMBER(SEARCH("%", A1218)),RIGHT(A1218,3),A1218)</f>
        <v>37, 37, ZUBAT</v>
      </c>
      <c r="C1218" s="1" t="str">
        <f aca="false" t="array" ref="C1218:C1218">IF(B1217="NEW ROUTE",textsplit(B1218,","),"")</f>
        <v/>
      </c>
      <c r="H1218" s="1" t="str">
        <f aca="false">IF(C1218&lt;&gt;"",DEC2HEX(C1218,2),"")</f>
        <v/>
      </c>
      <c r="I1218" s="1" t="str">
        <f aca="false">IF(D1218&lt;&gt;"",DEC2HEX(D1218,2),"")</f>
        <v/>
      </c>
      <c r="J1218" s="1" t="str">
        <f aca="false">IF(H1218&lt;&gt;"","0x"&amp;I1218&amp;H1218,"")</f>
        <v/>
      </c>
      <c r="L1218" s="1" t="s">
        <v>3192</v>
      </c>
      <c r="M1218" s="1" t="str">
        <f aca="false">IF(J1218&lt;&gt;"",J1218,L1218)</f>
        <v>37, 37, ZUBAT</v>
      </c>
    </row>
    <row r="1219" customFormat="false" ht="12.75" hidden="false" customHeight="true" outlineLevel="0" collapsed="false">
      <c r="A1219" s="3" t="s">
        <v>2801</v>
      </c>
      <c r="B1219" s="3" t="str">
        <f aca="false">IF(ISNUMBER(SEARCH("%", A1219)),RIGHT(A1219,3),A1219)</f>
        <v>0.1</v>
      </c>
      <c r="C1219" s="1" t="str">
        <f aca="false" t="array" ref="C1219:C1219">IF(B1218="NEW ROUTE",textsplit(B1219,","),"")</f>
        <v/>
      </c>
      <c r="H1219" s="1" t="str">
        <f aca="false">IF(C1219&lt;&gt;"",DEC2HEX(C1219,2),"")</f>
        <v/>
      </c>
      <c r="I1219" s="1" t="str">
        <f aca="false">IF(D1219&lt;&gt;"",DEC2HEX(D1219,2),"")</f>
        <v/>
      </c>
      <c r="J1219" s="1" t="str">
        <f aca="false">IF(H1219&lt;&gt;"","0x"&amp;I1219&amp;H1219,"")</f>
        <v/>
      </c>
      <c r="L1219" s="1" t="s">
        <v>2801</v>
      </c>
      <c r="M1219" s="1" t="str">
        <f aca="false">IF(J1219&lt;&gt;"",J1219,L1219)</f>
        <v>0.1</v>
      </c>
    </row>
    <row r="1220" customFormat="false" ht="12.75" hidden="false" customHeight="true" outlineLevel="0" collapsed="false">
      <c r="A1220" s="3" t="s">
        <v>3193</v>
      </c>
      <c r="B1220" s="3" t="str">
        <f aca="false">IF(ISNUMBER(SEARCH("%", A1220)),RIGHT(A1220,3),A1220)</f>
        <v>44, 44, HAUNTER</v>
      </c>
      <c r="C1220" s="1" t="str">
        <f aca="false" t="array" ref="C1220:C1220">IF(B1219="NEW ROUTE",textsplit(B1220,","),"")</f>
        <v/>
      </c>
      <c r="H1220" s="1" t="str">
        <f aca="false">IF(C1220&lt;&gt;"",DEC2HEX(C1220,2),"")</f>
        <v/>
      </c>
      <c r="I1220" s="1" t="str">
        <f aca="false">IF(D1220&lt;&gt;"",DEC2HEX(D1220,2),"")</f>
        <v/>
      </c>
      <c r="J1220" s="1" t="str">
        <f aca="false">IF(H1220&lt;&gt;"","0x"&amp;I1220&amp;H1220,"")</f>
        <v/>
      </c>
      <c r="L1220" s="1" t="s">
        <v>3193</v>
      </c>
      <c r="M1220" s="1" t="str">
        <f aca="false">IF(J1220&lt;&gt;"",J1220,L1220)</f>
        <v>44, 44, HAUNTER</v>
      </c>
    </row>
    <row r="1221" customFormat="false" ht="12.75" hidden="false" customHeight="true" outlineLevel="0" collapsed="false">
      <c r="A1221" s="3" t="s">
        <v>3194</v>
      </c>
      <c r="B1221" s="3" t="str">
        <f aca="false">IF(ISNUMBER(SEARCH("%", A1221)),RIGHT(A1221,3),A1221)</f>
        <v>46, 46, HAUNTER</v>
      </c>
      <c r="C1221" s="1" t="str">
        <f aca="false" t="array" ref="C1221:C1221">IF(B1220="NEW ROUTE",textsplit(B1221,","),"")</f>
        <v/>
      </c>
      <c r="H1221" s="1" t="str">
        <f aca="false">IF(C1221&lt;&gt;"",DEC2HEX(C1221,2),"")</f>
        <v/>
      </c>
      <c r="I1221" s="1" t="str">
        <f aca="false">IF(D1221&lt;&gt;"",DEC2HEX(D1221,2),"")</f>
        <v/>
      </c>
      <c r="J1221" s="1" t="str">
        <f aca="false">IF(H1221&lt;&gt;"","0x"&amp;I1221&amp;H1221,"")</f>
        <v/>
      </c>
      <c r="L1221" s="1" t="s">
        <v>3194</v>
      </c>
      <c r="M1221" s="1" t="str">
        <f aca="false">IF(J1221&lt;&gt;"",J1221,L1221)</f>
        <v>46, 46, HAUNTER</v>
      </c>
    </row>
    <row r="1222" customFormat="false" ht="12.75" hidden="false" customHeight="true" outlineLevel="0" collapsed="false">
      <c r="A1222" s="3" t="s">
        <v>3195</v>
      </c>
      <c r="B1222" s="3" t="str">
        <f aca="false">IF(ISNUMBER(SEARCH("%", A1222)),RIGHT(A1222,3),A1222)</f>
        <v>41, 41, GOLBAT</v>
      </c>
      <c r="C1222" s="1" t="str">
        <f aca="false" t="array" ref="C1222:C1222">IF(B1221="NEW ROUTE",textsplit(B1222,","),"")</f>
        <v/>
      </c>
      <c r="H1222" s="1" t="str">
        <f aca="false">IF(C1222&lt;&gt;"",DEC2HEX(C1222,2),"")</f>
        <v/>
      </c>
      <c r="I1222" s="1" t="str">
        <f aca="false">IF(D1222&lt;&gt;"",DEC2HEX(D1222,2),"")</f>
        <v/>
      </c>
      <c r="J1222" s="1" t="str">
        <f aca="false">IF(H1222&lt;&gt;"","0x"&amp;I1222&amp;H1222,"")</f>
        <v/>
      </c>
      <c r="L1222" s="1" t="s">
        <v>3195</v>
      </c>
      <c r="M1222" s="1" t="str">
        <f aca="false">IF(J1222&lt;&gt;"",J1222,L1222)</f>
        <v>41, 41, GOLBAT</v>
      </c>
    </row>
    <row r="1223" customFormat="false" ht="12.75" hidden="false" customHeight="true" outlineLevel="0" collapsed="false">
      <c r="A1223" s="3" t="s">
        <v>3196</v>
      </c>
      <c r="B1223" s="3" t="str">
        <f aca="false">IF(ISNUMBER(SEARCH("%", A1223)),RIGHT(A1223,3),A1223)</f>
        <v>43, 43, GOLBAT</v>
      </c>
      <c r="C1223" s="1" t="str">
        <f aca="false" t="array" ref="C1223:C1223">IF(B1222="NEW ROUTE",textsplit(B1223,","),"")</f>
        <v/>
      </c>
      <c r="H1223" s="1" t="str">
        <f aca="false">IF(C1223&lt;&gt;"",DEC2HEX(C1223,2),"")</f>
        <v/>
      </c>
      <c r="I1223" s="1" t="str">
        <f aca="false">IF(D1223&lt;&gt;"",DEC2HEX(D1223,2),"")</f>
        <v/>
      </c>
      <c r="J1223" s="1" t="str">
        <f aca="false">IF(H1223&lt;&gt;"","0x"&amp;I1223&amp;H1223,"")</f>
        <v/>
      </c>
      <c r="L1223" s="1" t="s">
        <v>3196</v>
      </c>
      <c r="M1223" s="1" t="str">
        <f aca="false">IF(J1223&lt;&gt;"",J1223,L1223)</f>
        <v>43, 43, GOLBAT</v>
      </c>
    </row>
    <row r="1224" customFormat="false" ht="12.75" hidden="false" customHeight="true" outlineLevel="0" collapsed="false">
      <c r="A1224" s="3" t="s">
        <v>2806</v>
      </c>
      <c r="B1224" s="3" t="str">
        <f aca="false">IF(ISNUMBER(SEARCH("%", A1224)),RIGHT(A1224,3),A1224)</f>
        <v>0.05</v>
      </c>
      <c r="C1224" s="1" t="str">
        <f aca="false" t="array" ref="C1224:C1224">IF(B1223="NEW ROUTE",textsplit(B1224,","),"")</f>
        <v/>
      </c>
      <c r="H1224" s="1" t="str">
        <f aca="false">IF(C1224&lt;&gt;"",DEC2HEX(C1224,2),"")</f>
        <v/>
      </c>
      <c r="I1224" s="1" t="str">
        <f aca="false">IF(D1224&lt;&gt;"",DEC2HEX(D1224,2),"")</f>
        <v/>
      </c>
      <c r="J1224" s="1" t="str">
        <f aca="false">IF(H1224&lt;&gt;"","0x"&amp;I1224&amp;H1224,"")</f>
        <v/>
      </c>
      <c r="L1224" s="1" t="s">
        <v>2806</v>
      </c>
      <c r="M1224" s="1" t="str">
        <f aca="false">IF(J1224&lt;&gt;"",J1224,L1224)</f>
        <v>0.05</v>
      </c>
    </row>
    <row r="1225" customFormat="false" ht="12.75" hidden="false" customHeight="true" outlineLevel="0" collapsed="false">
      <c r="A1225" s="3" t="s">
        <v>3197</v>
      </c>
      <c r="B1225" s="3" t="str">
        <f aca="false">IF(ISNUMBER(SEARCH("%", A1225)),RIGHT(A1225,3),A1225)</f>
        <v>38, 38, GASTLY</v>
      </c>
      <c r="C1225" s="1" t="str">
        <f aca="false" t="array" ref="C1225:C1225">IF(B1224="NEW ROUTE",textsplit(B1225,","),"")</f>
        <v/>
      </c>
      <c r="H1225" s="1" t="str">
        <f aca="false">IF(C1225&lt;&gt;"",DEC2HEX(C1225,2),"")</f>
        <v/>
      </c>
      <c r="I1225" s="1" t="str">
        <f aca="false">IF(D1225&lt;&gt;"",DEC2HEX(D1225,2),"")</f>
        <v/>
      </c>
      <c r="J1225" s="1" t="str">
        <f aca="false">IF(H1225&lt;&gt;"","0x"&amp;I1225&amp;H1225,"")</f>
        <v/>
      </c>
      <c r="L1225" s="1" t="s">
        <v>3197</v>
      </c>
      <c r="M1225" s="1" t="str">
        <f aca="false">IF(J1225&lt;&gt;"",J1225,L1225)</f>
        <v>38, 38, GASTLY</v>
      </c>
    </row>
    <row r="1226" customFormat="false" ht="12.75" hidden="false" customHeight="true" outlineLevel="0" collapsed="false">
      <c r="A1226" s="3" t="s">
        <v>3198</v>
      </c>
      <c r="B1226" s="3" t="str">
        <f aca="false">IF(ISNUMBER(SEARCH("%", A1226)),RIGHT(A1226,3),A1226)</f>
        <v>48, 48, HAUNTER</v>
      </c>
      <c r="C1226" s="1" t="str">
        <f aca="false" t="array" ref="C1226:C1226">IF(B1225="NEW ROUTE",textsplit(B1226,","),"")</f>
        <v/>
      </c>
      <c r="H1226" s="1" t="str">
        <f aca="false">IF(C1226&lt;&gt;"",DEC2HEX(C1226,2),"")</f>
        <v/>
      </c>
      <c r="I1226" s="1" t="str">
        <f aca="false">IF(D1226&lt;&gt;"",DEC2HEX(D1226,2),"")</f>
        <v/>
      </c>
      <c r="J1226" s="1" t="str">
        <f aca="false">IF(H1226&lt;&gt;"","0x"&amp;I1226&amp;H1226,"")</f>
        <v/>
      </c>
      <c r="L1226" s="1" t="s">
        <v>3198</v>
      </c>
      <c r="M1226" s="1" t="str">
        <f aca="false">IF(J1226&lt;&gt;"",J1226,L1226)</f>
        <v>48, 48, HAUNTER</v>
      </c>
    </row>
    <row r="1227" customFormat="false" ht="12.75" hidden="false" customHeight="true" outlineLevel="0" collapsed="false">
      <c r="A1227" s="3" t="s">
        <v>2809</v>
      </c>
      <c r="B1227" s="3" t="str">
        <f aca="false">IF(ISNUMBER(SEARCH("%", A1227)),RIGHT(A1227,3),A1227)</f>
        <v>0.04</v>
      </c>
      <c r="C1227" s="1" t="str">
        <f aca="false" t="array" ref="C1227:C1227">IF(B1226="NEW ROUTE",textsplit(B1227,","),"")</f>
        <v/>
      </c>
      <c r="H1227" s="1" t="str">
        <f aca="false">IF(C1227&lt;&gt;"",DEC2HEX(C1227,2),"")</f>
        <v/>
      </c>
      <c r="I1227" s="1" t="str">
        <f aca="false">IF(D1227&lt;&gt;"",DEC2HEX(D1227,2),"")</f>
        <v/>
      </c>
      <c r="J1227" s="1" t="str">
        <f aca="false">IF(H1227&lt;&gt;"","0x"&amp;I1227&amp;H1227,"")</f>
        <v/>
      </c>
      <c r="L1227" s="1" t="s">
        <v>2809</v>
      </c>
      <c r="M1227" s="1" t="str">
        <f aca="false">IF(J1227&lt;&gt;"",J1227,L1227)</f>
        <v>0.04</v>
      </c>
    </row>
    <row r="1228" customFormat="false" ht="12.75" hidden="false" customHeight="true" outlineLevel="0" collapsed="false">
      <c r="A1228" s="3" t="s">
        <v>3199</v>
      </c>
      <c r="B1228" s="3" t="str">
        <f aca="false">IF(ISNUMBER(SEARCH("%", A1228)),RIGHT(A1228,3),A1228)</f>
        <v>50, 50, HAUNTER</v>
      </c>
      <c r="C1228" s="1" t="str">
        <f aca="false" t="array" ref="C1228:C1228">IF(B1227="NEW ROUTE",textsplit(B1228,","),"")</f>
        <v/>
      </c>
      <c r="H1228" s="1" t="str">
        <f aca="false">IF(C1228&lt;&gt;"",DEC2HEX(C1228,2),"")</f>
        <v/>
      </c>
      <c r="I1228" s="1" t="str">
        <f aca="false">IF(D1228&lt;&gt;"",DEC2HEX(D1228,2),"")</f>
        <v/>
      </c>
      <c r="J1228" s="1" t="str">
        <f aca="false">IF(H1228&lt;&gt;"","0x"&amp;I1228&amp;H1228,"")</f>
        <v/>
      </c>
      <c r="L1228" s="1" t="s">
        <v>3199</v>
      </c>
      <c r="M1228" s="1" t="str">
        <f aca="false">IF(J1228&lt;&gt;"",J1228,L1228)</f>
        <v>50, 50, HAUNTER</v>
      </c>
    </row>
    <row r="1229" customFormat="false" ht="12.75" hidden="false" customHeight="true" outlineLevel="0" collapsed="false">
      <c r="A1229" s="3" t="s">
        <v>3200</v>
      </c>
      <c r="B1229" s="3" t="str">
        <f aca="false">IF(ISNUMBER(SEARCH("%", A1229)),RIGHT(A1229,3),A1229)</f>
        <v>22, 22, MISDREAVUS</v>
      </c>
      <c r="C1229" s="1" t="str">
        <f aca="false" t="array" ref="C1229:C1229">IF(B1228="NEW ROUTE",textsplit(B1229,","),"")</f>
        <v/>
      </c>
      <c r="H1229" s="1" t="str">
        <f aca="false">IF(C1229&lt;&gt;"",DEC2HEX(C1229,2),"")</f>
        <v/>
      </c>
      <c r="I1229" s="1" t="str">
        <f aca="false">IF(D1229&lt;&gt;"",DEC2HEX(D1229,2),"")</f>
        <v/>
      </c>
      <c r="J1229" s="1" t="str">
        <f aca="false">IF(H1229&lt;&gt;"","0x"&amp;I1229&amp;H1229,"")</f>
        <v/>
      </c>
      <c r="L1229" s="1" t="s">
        <v>3200</v>
      </c>
      <c r="M1229" s="1" t="str">
        <f aca="false">IF(J1229&lt;&gt;"",J1229,L1229)</f>
        <v>22, 22, MISDREAVUS</v>
      </c>
    </row>
    <row r="1230" customFormat="false" ht="12.75" hidden="false" customHeight="true" outlineLevel="0" collapsed="false">
      <c r="A1230" s="3" t="s">
        <v>2812</v>
      </c>
      <c r="B1230" s="3" t="str">
        <f aca="false">IF(ISNUMBER(SEARCH("%", A1230)),RIGHT(A1230,3),A1230)</f>
        <v>0.01</v>
      </c>
      <c r="C1230" s="1" t="str">
        <f aca="false" t="array" ref="C1230:C1230">IF(B1229="NEW ROUTE",textsplit(B1230,","),"")</f>
        <v/>
      </c>
      <c r="H1230" s="1" t="str">
        <f aca="false">IF(C1230&lt;&gt;"",DEC2HEX(C1230,2),"")</f>
        <v/>
      </c>
      <c r="I1230" s="1" t="str">
        <f aca="false">IF(D1230&lt;&gt;"",DEC2HEX(D1230,2),"")</f>
        <v/>
      </c>
      <c r="J1230" s="1" t="str">
        <f aca="false">IF(H1230&lt;&gt;"","0x"&amp;I1230&amp;H1230,"")</f>
        <v/>
      </c>
      <c r="L1230" s="1" t="s">
        <v>2812</v>
      </c>
      <c r="M1230" s="1" t="str">
        <f aca="false">IF(J1230&lt;&gt;"",J1230,L1230)</f>
        <v>0.01</v>
      </c>
    </row>
    <row r="1231" customFormat="false" ht="12.75" hidden="false" customHeight="true" outlineLevel="0" collapsed="false">
      <c r="A1231" s="3" t="s">
        <v>3201</v>
      </c>
      <c r="B1231" s="3" t="str">
        <f aca="false">IF(ISNUMBER(SEARCH("%", A1231)),RIGHT(A1231,3),A1231)</f>
        <v>52, 52, HAUNTER</v>
      </c>
      <c r="C1231" s="1" t="str">
        <f aca="false" t="array" ref="C1231:C1231">IF(B1230="NEW ROUTE",textsplit(B1231,","),"")</f>
        <v/>
      </c>
      <c r="H1231" s="1" t="str">
        <f aca="false">IF(C1231&lt;&gt;"",DEC2HEX(C1231,2),"")</f>
        <v/>
      </c>
      <c r="I1231" s="1" t="str">
        <f aca="false">IF(D1231&lt;&gt;"",DEC2HEX(D1231,2),"")</f>
        <v/>
      </c>
      <c r="J1231" s="1" t="str">
        <f aca="false">IF(H1231&lt;&gt;"","0x"&amp;I1231&amp;H1231,"")</f>
        <v/>
      </c>
      <c r="L1231" s="1" t="s">
        <v>3201</v>
      </c>
      <c r="M1231" s="1" t="str">
        <f aca="false">IF(J1231&lt;&gt;"",J1231,L1231)</f>
        <v>52, 52, HAUNTER</v>
      </c>
    </row>
    <row r="1232" customFormat="false" ht="12.75" hidden="false" customHeight="true" outlineLevel="0" collapsed="false">
      <c r="A1232" s="3" t="s">
        <v>3202</v>
      </c>
      <c r="B1232" s="3" t="str">
        <f aca="false">IF(ISNUMBER(SEARCH("%", A1232)),RIGHT(A1232,3),A1232)</f>
        <v>22, 22, MISDREAVUS , &lt;null&gt;, &lt;null&gt;, &lt;null&gt;</v>
      </c>
      <c r="C1232" s="1" t="str">
        <f aca="false" t="array" ref="C1232:C1232">IF(B1231="NEW ROUTE",textsplit(B1232,","),"")</f>
        <v/>
      </c>
      <c r="H1232" s="1" t="str">
        <f aca="false">IF(C1232&lt;&gt;"",DEC2HEX(C1232,2),"")</f>
        <v/>
      </c>
      <c r="I1232" s="1" t="str">
        <f aca="false">IF(D1232&lt;&gt;"",DEC2HEX(D1232,2),"")</f>
        <v/>
      </c>
      <c r="J1232" s="1" t="str">
        <f aca="false">IF(H1232&lt;&gt;"","0x"&amp;I1232&amp;H1232,"")</f>
        <v/>
      </c>
      <c r="L1232" s="1" t="s">
        <v>3202</v>
      </c>
      <c r="M1232" s="1" t="str">
        <f aca="false">IF(J1232&lt;&gt;"",J1232,L1232)</f>
        <v>22, 22, MISDREAVUS , &lt;null&gt;, &lt;null&gt;, &lt;null&gt;</v>
      </c>
    </row>
    <row r="1233" customFormat="false" ht="12.75" hidden="false" customHeight="true" outlineLevel="0" collapsed="false">
      <c r="A1233" s="3" t="s">
        <v>2536</v>
      </c>
      <c r="B1233" s="3" t="str">
        <f aca="false">IF(ISNUMBER(SEARCH("%", A1233)),RIGHT(A1233,3),A1233)</f>
        <v>NEW ROUTE</v>
      </c>
      <c r="C1233" s="1" t="str">
        <f aca="false" t="array" ref="C1233:C1233">IF(B1232="NEW ROUTE",textsplit(B1233,","),"")</f>
        <v/>
      </c>
      <c r="H1233" s="1" t="str">
        <f aca="false">IF(C1233&lt;&gt;"",DEC2HEX(C1233,2),"")</f>
        <v/>
      </c>
      <c r="I1233" s="1" t="str">
        <f aca="false">IF(D1233&lt;&gt;"",DEC2HEX(D1233,2),"")</f>
        <v/>
      </c>
      <c r="J1233" s="1" t="str">
        <f aca="false">IF(H1233&lt;&gt;"","0x"&amp;I1233&amp;H1233,"")</f>
        <v/>
      </c>
      <c r="L1233" s="1" t="s">
        <v>2536</v>
      </c>
      <c r="M1233" s="1" t="str">
        <f aca="false">IF(J1233&lt;&gt;"",J1233,L1233)</f>
        <v>NEW ROUTE</v>
      </c>
    </row>
    <row r="1234" customFormat="false" ht="12.75" hidden="false" customHeight="true" outlineLevel="0" collapsed="false">
      <c r="A1234" s="3" t="s">
        <v>3206</v>
      </c>
      <c r="B1234" s="3" t="str">
        <f aca="false">IF(ISNUMBER(SEARCH("%", A1234)),RIGHT(A1234,3),A1234)</f>
        <v>2, 16, 0,</v>
      </c>
      <c r="C1234" s="1" t="e">
        <f aca="false" t="array" ref="C1234:C1234">IF(B1233="NEW ROUTE",textsplit(B1234,","),"")</f>
        <v>#NAME?</v>
      </c>
      <c r="H1234" s="1" t="e">
        <f aca="false">IF(C1234&lt;&gt;"",DEC2HEX(C1234,2),"")</f>
        <v>#NAME?</v>
      </c>
      <c r="I1234" s="1" t="str">
        <f aca="false">IF(D1234&lt;&gt;"",DEC2HEX(D1234,2),"")</f>
        <v/>
      </c>
      <c r="J1234" s="1" t="e">
        <f aca="false">IF(H1234&lt;&gt;"","0x"&amp;I1234&amp;H1234,"")</f>
        <v>#NAME?</v>
      </c>
      <c r="L1234" s="1" t="s">
        <v>3206</v>
      </c>
      <c r="M1234" s="1" t="e">
        <f aca="false">IF(J1234&lt;&gt;"",J1234,L1234)</f>
        <v>#NAME?</v>
      </c>
    </row>
    <row r="1235" customFormat="false" ht="12.75" hidden="false" customHeight="true" outlineLevel="0" collapsed="false">
      <c r="A1235" s="3" t="s">
        <v>3049</v>
      </c>
      <c r="B1235" s="3" t="str">
        <f aca="false">IF(ISNUMBER(SEARCH("%", A1235)),RIGHT(A1235,3),A1235)</f>
        <v>20%</v>
      </c>
      <c r="C1235" s="1" t="str">
        <f aca="false" t="array" ref="C1235:C1235">IF(B1234="NEW ROUTE",textsplit(B1235,","),"")</f>
        <v/>
      </c>
      <c r="H1235" s="1" t="str">
        <f aca="false">IF(C1235&lt;&gt;"",DEC2HEX(C1235,2),"")</f>
        <v/>
      </c>
      <c r="I1235" s="1" t="str">
        <f aca="false">IF(D1235&lt;&gt;"",DEC2HEX(D1235,2),"")</f>
        <v/>
      </c>
      <c r="J1235" s="1" t="str">
        <f aca="false">IF(H1235&lt;&gt;"","0x"&amp;I1235&amp;H1235,"")</f>
        <v/>
      </c>
      <c r="L1235" s="1" t="s">
        <v>2799</v>
      </c>
      <c r="M1235" s="1" t="str">
        <f aca="false">IF(J1235&lt;&gt;"",J1235,L1235)</f>
        <v>20%</v>
      </c>
    </row>
    <row r="1236" customFormat="false" ht="12.75" hidden="false" customHeight="true" outlineLevel="0" collapsed="false">
      <c r="A1236" s="3" t="s">
        <v>1638</v>
      </c>
      <c r="B1236" s="3" t="str">
        <f aca="false">IF(ISNUMBER(SEARCH("%", A1236)),RIGHT(A1236,3),A1236)</f>
        <v>40, 40, GASTLY</v>
      </c>
      <c r="C1236" s="1" t="str">
        <f aca="false" t="array" ref="C1236:C1236">IF(B1235="NEW ROUTE",textsplit(B1236,","),"")</f>
        <v/>
      </c>
      <c r="H1236" s="1" t="str">
        <f aca="false">IF(C1236&lt;&gt;"",DEC2HEX(C1236,2),"")</f>
        <v/>
      </c>
      <c r="I1236" s="1" t="str">
        <f aca="false">IF(D1236&lt;&gt;"",DEC2HEX(D1236,2),"")</f>
        <v/>
      </c>
      <c r="J1236" s="1" t="str">
        <f aca="false">IF(H1236&lt;&gt;"","0x"&amp;I1236&amp;H1236,"")</f>
        <v/>
      </c>
      <c r="L1236" s="1" t="s">
        <v>1638</v>
      </c>
      <c r="M1236" s="1" t="str">
        <f aca="false">IF(J1236&lt;&gt;"",J1236,L1236)</f>
        <v>40, 40, GASTLY</v>
      </c>
    </row>
    <row r="1237" customFormat="false" ht="12.75" hidden="false" customHeight="true" outlineLevel="0" collapsed="false">
      <c r="A1237" s="3" t="s">
        <v>3192</v>
      </c>
      <c r="B1237" s="3" t="str">
        <f aca="false">IF(ISNUMBER(SEARCH("%", A1237)),RIGHT(A1237,3),A1237)</f>
        <v>37, 37, ZUBAT</v>
      </c>
      <c r="C1237" s="1" t="str">
        <f aca="false" t="array" ref="C1237:C1237">IF(B1236="NEW ROUTE",textsplit(B1237,","),"")</f>
        <v/>
      </c>
      <c r="H1237" s="1" t="str">
        <f aca="false">IF(C1237&lt;&gt;"",DEC2HEX(C1237,2),"")</f>
        <v/>
      </c>
      <c r="I1237" s="1" t="str">
        <f aca="false">IF(D1237&lt;&gt;"",DEC2HEX(D1237,2),"")</f>
        <v/>
      </c>
      <c r="J1237" s="1" t="str">
        <f aca="false">IF(H1237&lt;&gt;"","0x"&amp;I1237&amp;H1237,"")</f>
        <v/>
      </c>
      <c r="L1237" s="1" t="s">
        <v>3192</v>
      </c>
      <c r="M1237" s="1" t="str">
        <f aca="false">IF(J1237&lt;&gt;"",J1237,L1237)</f>
        <v>37, 37, ZUBAT</v>
      </c>
    </row>
    <row r="1238" customFormat="false" ht="12.75" hidden="false" customHeight="true" outlineLevel="0" collapsed="false">
      <c r="A1238" s="3" t="s">
        <v>2801</v>
      </c>
      <c r="B1238" s="3" t="str">
        <f aca="false">IF(ISNUMBER(SEARCH("%", A1238)),RIGHT(A1238,3),A1238)</f>
        <v>0.1</v>
      </c>
      <c r="C1238" s="1" t="str">
        <f aca="false" t="array" ref="C1238:C1238">IF(B1237="NEW ROUTE",textsplit(B1238,","),"")</f>
        <v/>
      </c>
      <c r="H1238" s="1" t="str">
        <f aca="false">IF(C1238&lt;&gt;"",DEC2HEX(C1238,2),"")</f>
        <v/>
      </c>
      <c r="I1238" s="1" t="str">
        <f aca="false">IF(D1238&lt;&gt;"",DEC2HEX(D1238,2),"")</f>
        <v/>
      </c>
      <c r="J1238" s="1" t="str">
        <f aca="false">IF(H1238&lt;&gt;"","0x"&amp;I1238&amp;H1238,"")</f>
        <v/>
      </c>
      <c r="L1238" s="1" t="s">
        <v>2801</v>
      </c>
      <c r="M1238" s="1" t="str">
        <f aca="false">IF(J1238&lt;&gt;"",J1238,L1238)</f>
        <v>0.1</v>
      </c>
    </row>
    <row r="1239" customFormat="false" ht="12.75" hidden="false" customHeight="true" outlineLevel="0" collapsed="false">
      <c r="A1239" s="3" t="s">
        <v>3193</v>
      </c>
      <c r="B1239" s="3" t="str">
        <f aca="false">IF(ISNUMBER(SEARCH("%", A1239)),RIGHT(A1239,3),A1239)</f>
        <v>44, 44, HAUNTER</v>
      </c>
      <c r="C1239" s="1" t="str">
        <f aca="false" t="array" ref="C1239:C1239">IF(B1238="NEW ROUTE",textsplit(B1239,","),"")</f>
        <v/>
      </c>
      <c r="H1239" s="1" t="str">
        <f aca="false">IF(C1239&lt;&gt;"",DEC2HEX(C1239,2),"")</f>
        <v/>
      </c>
      <c r="I1239" s="1" t="str">
        <f aca="false">IF(D1239&lt;&gt;"",DEC2HEX(D1239,2),"")</f>
        <v/>
      </c>
      <c r="J1239" s="1" t="str">
        <f aca="false">IF(H1239&lt;&gt;"","0x"&amp;I1239&amp;H1239,"")</f>
        <v/>
      </c>
      <c r="L1239" s="1" t="s">
        <v>3193</v>
      </c>
      <c r="M1239" s="1" t="str">
        <f aca="false">IF(J1239&lt;&gt;"",J1239,L1239)</f>
        <v>44, 44, HAUNTER</v>
      </c>
    </row>
    <row r="1240" customFormat="false" ht="12.75" hidden="false" customHeight="true" outlineLevel="0" collapsed="false">
      <c r="A1240" s="3" t="s">
        <v>3194</v>
      </c>
      <c r="B1240" s="3" t="str">
        <f aca="false">IF(ISNUMBER(SEARCH("%", A1240)),RIGHT(A1240,3),A1240)</f>
        <v>46, 46, HAUNTER</v>
      </c>
      <c r="C1240" s="1" t="str">
        <f aca="false" t="array" ref="C1240:C1240">IF(B1239="NEW ROUTE",textsplit(B1240,","),"")</f>
        <v/>
      </c>
      <c r="H1240" s="1" t="str">
        <f aca="false">IF(C1240&lt;&gt;"",DEC2HEX(C1240,2),"")</f>
        <v/>
      </c>
      <c r="I1240" s="1" t="str">
        <f aca="false">IF(D1240&lt;&gt;"",DEC2HEX(D1240,2),"")</f>
        <v/>
      </c>
      <c r="J1240" s="1" t="str">
        <f aca="false">IF(H1240&lt;&gt;"","0x"&amp;I1240&amp;H1240,"")</f>
        <v/>
      </c>
      <c r="L1240" s="1" t="s">
        <v>3194</v>
      </c>
      <c r="M1240" s="1" t="str">
        <f aca="false">IF(J1240&lt;&gt;"",J1240,L1240)</f>
        <v>46, 46, HAUNTER</v>
      </c>
    </row>
    <row r="1241" customFormat="false" ht="12.75" hidden="false" customHeight="true" outlineLevel="0" collapsed="false">
      <c r="A1241" s="3" t="s">
        <v>3195</v>
      </c>
      <c r="B1241" s="3" t="str">
        <f aca="false">IF(ISNUMBER(SEARCH("%", A1241)),RIGHT(A1241,3),A1241)</f>
        <v>41, 41, GOLBAT</v>
      </c>
      <c r="C1241" s="1" t="str">
        <f aca="false" t="array" ref="C1241:C1241">IF(B1240="NEW ROUTE",textsplit(B1241,","),"")</f>
        <v/>
      </c>
      <c r="H1241" s="1" t="str">
        <f aca="false">IF(C1241&lt;&gt;"",DEC2HEX(C1241,2),"")</f>
        <v/>
      </c>
      <c r="I1241" s="1" t="str">
        <f aca="false">IF(D1241&lt;&gt;"",DEC2HEX(D1241,2),"")</f>
        <v/>
      </c>
      <c r="J1241" s="1" t="str">
        <f aca="false">IF(H1241&lt;&gt;"","0x"&amp;I1241&amp;H1241,"")</f>
        <v/>
      </c>
      <c r="L1241" s="1" t="s">
        <v>3195</v>
      </c>
      <c r="M1241" s="1" t="str">
        <f aca="false">IF(J1241&lt;&gt;"",J1241,L1241)</f>
        <v>41, 41, GOLBAT</v>
      </c>
    </row>
    <row r="1242" customFormat="false" ht="12.75" hidden="false" customHeight="true" outlineLevel="0" collapsed="false">
      <c r="A1242" s="3" t="s">
        <v>3196</v>
      </c>
      <c r="B1242" s="3" t="str">
        <f aca="false">IF(ISNUMBER(SEARCH("%", A1242)),RIGHT(A1242,3),A1242)</f>
        <v>43, 43, GOLBAT</v>
      </c>
      <c r="C1242" s="1" t="str">
        <f aca="false" t="array" ref="C1242:C1242">IF(B1241="NEW ROUTE",textsplit(B1242,","),"")</f>
        <v/>
      </c>
      <c r="H1242" s="1" t="str">
        <f aca="false">IF(C1242&lt;&gt;"",DEC2HEX(C1242,2),"")</f>
        <v/>
      </c>
      <c r="I1242" s="1" t="str">
        <f aca="false">IF(D1242&lt;&gt;"",DEC2HEX(D1242,2),"")</f>
        <v/>
      </c>
      <c r="J1242" s="1" t="str">
        <f aca="false">IF(H1242&lt;&gt;"","0x"&amp;I1242&amp;H1242,"")</f>
        <v/>
      </c>
      <c r="L1242" s="1" t="s">
        <v>3196</v>
      </c>
      <c r="M1242" s="1" t="str">
        <f aca="false">IF(J1242&lt;&gt;"",J1242,L1242)</f>
        <v>43, 43, GOLBAT</v>
      </c>
    </row>
    <row r="1243" customFormat="false" ht="12.75" hidden="false" customHeight="true" outlineLevel="0" collapsed="false">
      <c r="A1243" s="3" t="s">
        <v>2806</v>
      </c>
      <c r="B1243" s="3" t="str">
        <f aca="false">IF(ISNUMBER(SEARCH("%", A1243)),RIGHT(A1243,3),A1243)</f>
        <v>0.05</v>
      </c>
      <c r="C1243" s="1" t="str">
        <f aca="false" t="array" ref="C1243:C1243">IF(B1242="NEW ROUTE",textsplit(B1243,","),"")</f>
        <v/>
      </c>
      <c r="H1243" s="1" t="str">
        <f aca="false">IF(C1243&lt;&gt;"",DEC2HEX(C1243,2),"")</f>
        <v/>
      </c>
      <c r="I1243" s="1" t="str">
        <f aca="false">IF(D1243&lt;&gt;"",DEC2HEX(D1243,2),"")</f>
        <v/>
      </c>
      <c r="J1243" s="1" t="str">
        <f aca="false">IF(H1243&lt;&gt;"","0x"&amp;I1243&amp;H1243,"")</f>
        <v/>
      </c>
      <c r="L1243" s="1" t="s">
        <v>2806</v>
      </c>
      <c r="M1243" s="1" t="str">
        <f aca="false">IF(J1243&lt;&gt;"",J1243,L1243)</f>
        <v>0.05</v>
      </c>
    </row>
    <row r="1244" customFormat="false" ht="12.75" hidden="false" customHeight="true" outlineLevel="0" collapsed="false">
      <c r="A1244" s="3" t="s">
        <v>3197</v>
      </c>
      <c r="B1244" s="3" t="str">
        <f aca="false">IF(ISNUMBER(SEARCH("%", A1244)),RIGHT(A1244,3),A1244)</f>
        <v>38, 38, GASTLY</v>
      </c>
      <c r="C1244" s="1" t="str">
        <f aca="false" t="array" ref="C1244:C1244">IF(B1243="NEW ROUTE",textsplit(B1244,","),"")</f>
        <v/>
      </c>
      <c r="H1244" s="1" t="str">
        <f aca="false">IF(C1244&lt;&gt;"",DEC2HEX(C1244,2),"")</f>
        <v/>
      </c>
      <c r="I1244" s="1" t="str">
        <f aca="false">IF(D1244&lt;&gt;"",DEC2HEX(D1244,2),"")</f>
        <v/>
      </c>
      <c r="J1244" s="1" t="str">
        <f aca="false">IF(H1244&lt;&gt;"","0x"&amp;I1244&amp;H1244,"")</f>
        <v/>
      </c>
      <c r="L1244" s="1" t="s">
        <v>3197</v>
      </c>
      <c r="M1244" s="1" t="str">
        <f aca="false">IF(J1244&lt;&gt;"",J1244,L1244)</f>
        <v>38, 38, GASTLY</v>
      </c>
    </row>
    <row r="1245" customFormat="false" ht="12.75" hidden="false" customHeight="true" outlineLevel="0" collapsed="false">
      <c r="A1245" s="3" t="s">
        <v>3198</v>
      </c>
      <c r="B1245" s="3" t="str">
        <f aca="false">IF(ISNUMBER(SEARCH("%", A1245)),RIGHT(A1245,3),A1245)</f>
        <v>48, 48, HAUNTER</v>
      </c>
      <c r="C1245" s="1" t="str">
        <f aca="false" t="array" ref="C1245:C1245">IF(B1244="NEW ROUTE",textsplit(B1245,","),"")</f>
        <v/>
      </c>
      <c r="H1245" s="1" t="str">
        <f aca="false">IF(C1245&lt;&gt;"",DEC2HEX(C1245,2),"")</f>
        <v/>
      </c>
      <c r="I1245" s="1" t="str">
        <f aca="false">IF(D1245&lt;&gt;"",DEC2HEX(D1245,2),"")</f>
        <v/>
      </c>
      <c r="J1245" s="1" t="str">
        <f aca="false">IF(H1245&lt;&gt;"","0x"&amp;I1245&amp;H1245,"")</f>
        <v/>
      </c>
      <c r="L1245" s="1" t="s">
        <v>3198</v>
      </c>
      <c r="M1245" s="1" t="str">
        <f aca="false">IF(J1245&lt;&gt;"",J1245,L1245)</f>
        <v>48, 48, HAUNTER</v>
      </c>
    </row>
    <row r="1246" customFormat="false" ht="12.75" hidden="false" customHeight="true" outlineLevel="0" collapsed="false">
      <c r="A1246" s="3" t="s">
        <v>2809</v>
      </c>
      <c r="B1246" s="3" t="str">
        <f aca="false">IF(ISNUMBER(SEARCH("%", A1246)),RIGHT(A1246,3),A1246)</f>
        <v>0.04</v>
      </c>
      <c r="C1246" s="1" t="str">
        <f aca="false" t="array" ref="C1246:C1246">IF(B1245="NEW ROUTE",textsplit(B1246,","),"")</f>
        <v/>
      </c>
      <c r="H1246" s="1" t="str">
        <f aca="false">IF(C1246&lt;&gt;"",DEC2HEX(C1246,2),"")</f>
        <v/>
      </c>
      <c r="I1246" s="1" t="str">
        <f aca="false">IF(D1246&lt;&gt;"",DEC2HEX(D1246,2),"")</f>
        <v/>
      </c>
      <c r="J1246" s="1" t="str">
        <f aca="false">IF(H1246&lt;&gt;"","0x"&amp;I1246&amp;H1246,"")</f>
        <v/>
      </c>
      <c r="L1246" s="1" t="s">
        <v>2809</v>
      </c>
      <c r="M1246" s="1" t="str">
        <f aca="false">IF(J1246&lt;&gt;"",J1246,L1246)</f>
        <v>0.04</v>
      </c>
    </row>
    <row r="1247" customFormat="false" ht="12.75" hidden="false" customHeight="true" outlineLevel="0" collapsed="false">
      <c r="A1247" s="3" t="s">
        <v>3199</v>
      </c>
      <c r="B1247" s="3" t="str">
        <f aca="false">IF(ISNUMBER(SEARCH("%", A1247)),RIGHT(A1247,3),A1247)</f>
        <v>50, 50, HAUNTER</v>
      </c>
      <c r="C1247" s="1" t="str">
        <f aca="false" t="array" ref="C1247:C1247">IF(B1246="NEW ROUTE",textsplit(B1247,","),"")</f>
        <v/>
      </c>
      <c r="H1247" s="1" t="str">
        <f aca="false">IF(C1247&lt;&gt;"",DEC2HEX(C1247,2),"")</f>
        <v/>
      </c>
      <c r="I1247" s="1" t="str">
        <f aca="false">IF(D1247&lt;&gt;"",DEC2HEX(D1247,2),"")</f>
        <v/>
      </c>
      <c r="J1247" s="1" t="str">
        <f aca="false">IF(H1247&lt;&gt;"","0x"&amp;I1247&amp;H1247,"")</f>
        <v/>
      </c>
      <c r="L1247" s="1" t="s">
        <v>3199</v>
      </c>
      <c r="M1247" s="1" t="str">
        <f aca="false">IF(J1247&lt;&gt;"",J1247,L1247)</f>
        <v>50, 50, HAUNTER</v>
      </c>
    </row>
    <row r="1248" customFormat="false" ht="12.75" hidden="false" customHeight="true" outlineLevel="0" collapsed="false">
      <c r="A1248" s="3" t="s">
        <v>3200</v>
      </c>
      <c r="B1248" s="3" t="str">
        <f aca="false">IF(ISNUMBER(SEARCH("%", A1248)),RIGHT(A1248,3),A1248)</f>
        <v>22, 22, MISDREAVUS</v>
      </c>
      <c r="C1248" s="1" t="str">
        <f aca="false" t="array" ref="C1248:C1248">IF(B1247="NEW ROUTE",textsplit(B1248,","),"")</f>
        <v/>
      </c>
      <c r="H1248" s="1" t="str">
        <f aca="false">IF(C1248&lt;&gt;"",DEC2HEX(C1248,2),"")</f>
        <v/>
      </c>
      <c r="I1248" s="1" t="str">
        <f aca="false">IF(D1248&lt;&gt;"",DEC2HEX(D1248,2),"")</f>
        <v/>
      </c>
      <c r="J1248" s="1" t="str">
        <f aca="false">IF(H1248&lt;&gt;"","0x"&amp;I1248&amp;H1248,"")</f>
        <v/>
      </c>
      <c r="L1248" s="1" t="s">
        <v>3200</v>
      </c>
      <c r="M1248" s="1" t="str">
        <f aca="false">IF(J1248&lt;&gt;"",J1248,L1248)</f>
        <v>22, 22, MISDREAVUS</v>
      </c>
    </row>
    <row r="1249" customFormat="false" ht="12.75" hidden="false" customHeight="true" outlineLevel="0" collapsed="false">
      <c r="A1249" s="3" t="s">
        <v>2812</v>
      </c>
      <c r="B1249" s="3" t="str">
        <f aca="false">IF(ISNUMBER(SEARCH("%", A1249)),RIGHT(A1249,3),A1249)</f>
        <v>0.01</v>
      </c>
      <c r="C1249" s="1" t="str">
        <f aca="false" t="array" ref="C1249:C1249">IF(B1248="NEW ROUTE",textsplit(B1249,","),"")</f>
        <v/>
      </c>
      <c r="H1249" s="1" t="str">
        <f aca="false">IF(C1249&lt;&gt;"",DEC2HEX(C1249,2),"")</f>
        <v/>
      </c>
      <c r="I1249" s="1" t="str">
        <f aca="false">IF(D1249&lt;&gt;"",DEC2HEX(D1249,2),"")</f>
        <v/>
      </c>
      <c r="J1249" s="1" t="str">
        <f aca="false">IF(H1249&lt;&gt;"","0x"&amp;I1249&amp;H1249,"")</f>
        <v/>
      </c>
      <c r="L1249" s="1" t="s">
        <v>2812</v>
      </c>
      <c r="M1249" s="1" t="str">
        <f aca="false">IF(J1249&lt;&gt;"",J1249,L1249)</f>
        <v>0.01</v>
      </c>
    </row>
    <row r="1250" customFormat="false" ht="12.75" hidden="false" customHeight="true" outlineLevel="0" collapsed="false">
      <c r="A1250" s="3" t="s">
        <v>3201</v>
      </c>
      <c r="B1250" s="3" t="str">
        <f aca="false">IF(ISNUMBER(SEARCH("%", A1250)),RIGHT(A1250,3),A1250)</f>
        <v>52, 52, HAUNTER</v>
      </c>
      <c r="C1250" s="1" t="str">
        <f aca="false" t="array" ref="C1250:C1250">IF(B1249="NEW ROUTE",textsplit(B1250,","),"")</f>
        <v/>
      </c>
      <c r="H1250" s="1" t="str">
        <f aca="false">IF(C1250&lt;&gt;"",DEC2HEX(C1250,2),"")</f>
        <v/>
      </c>
      <c r="I1250" s="1" t="str">
        <f aca="false">IF(D1250&lt;&gt;"",DEC2HEX(D1250,2),"")</f>
        <v/>
      </c>
      <c r="J1250" s="1" t="str">
        <f aca="false">IF(H1250&lt;&gt;"","0x"&amp;I1250&amp;H1250,"")</f>
        <v/>
      </c>
      <c r="L1250" s="1" t="s">
        <v>3201</v>
      </c>
      <c r="M1250" s="1" t="str">
        <f aca="false">IF(J1250&lt;&gt;"",J1250,L1250)</f>
        <v>52, 52, HAUNTER</v>
      </c>
    </row>
    <row r="1251" customFormat="false" ht="12.75" hidden="false" customHeight="true" outlineLevel="0" collapsed="false">
      <c r="A1251" s="3" t="s">
        <v>3202</v>
      </c>
      <c r="B1251" s="3" t="str">
        <f aca="false">IF(ISNUMBER(SEARCH("%", A1251)),RIGHT(A1251,3),A1251)</f>
        <v>22, 22, MISDREAVUS , &lt;null&gt;, &lt;null&gt;, &lt;null&gt;</v>
      </c>
      <c r="C1251" s="1" t="str">
        <f aca="false" t="array" ref="C1251:C1251">IF(B1250="NEW ROUTE",textsplit(B1251,","),"")</f>
        <v/>
      </c>
      <c r="H1251" s="1" t="str">
        <f aca="false">IF(C1251&lt;&gt;"",DEC2HEX(C1251,2),"")</f>
        <v/>
      </c>
      <c r="I1251" s="1" t="str">
        <f aca="false">IF(D1251&lt;&gt;"",DEC2HEX(D1251,2),"")</f>
        <v/>
      </c>
      <c r="J1251" s="1" t="str">
        <f aca="false">IF(H1251&lt;&gt;"","0x"&amp;I1251&amp;H1251,"")</f>
        <v/>
      </c>
      <c r="L1251" s="1" t="s">
        <v>3202</v>
      </c>
      <c r="M1251" s="1" t="str">
        <f aca="false">IF(J1251&lt;&gt;"",J1251,L1251)</f>
        <v>22, 22, MISDREAVUS , &lt;null&gt;, &lt;null&gt;, &lt;null&gt;</v>
      </c>
    </row>
    <row r="1252" customFormat="false" ht="12.75" hidden="false" customHeight="true" outlineLevel="0" collapsed="false">
      <c r="A1252" s="3" t="s">
        <v>2536</v>
      </c>
      <c r="B1252" s="3" t="str">
        <f aca="false">IF(ISNUMBER(SEARCH("%", A1252)),RIGHT(A1252,3),A1252)</f>
        <v>NEW ROUTE</v>
      </c>
      <c r="C1252" s="1" t="str">
        <f aca="false" t="array" ref="C1252:C1252">IF(B1251="NEW ROUTE",textsplit(B1252,","),"")</f>
        <v/>
      </c>
      <c r="H1252" s="1" t="str">
        <f aca="false">IF(C1252&lt;&gt;"",DEC2HEX(C1252,2),"")</f>
        <v/>
      </c>
      <c r="I1252" s="1" t="str">
        <f aca="false">IF(D1252&lt;&gt;"",DEC2HEX(D1252,2),"")</f>
        <v/>
      </c>
      <c r="J1252" s="1" t="str">
        <f aca="false">IF(H1252&lt;&gt;"","0x"&amp;I1252&amp;H1252,"")</f>
        <v/>
      </c>
      <c r="L1252" s="1" t="s">
        <v>2536</v>
      </c>
      <c r="M1252" s="1" t="str">
        <f aca="false">IF(J1252&lt;&gt;"",J1252,L1252)</f>
        <v>NEW ROUTE</v>
      </c>
    </row>
    <row r="1253" customFormat="false" ht="12.75" hidden="false" customHeight="true" outlineLevel="0" collapsed="false">
      <c r="A1253" s="3" t="s">
        <v>3207</v>
      </c>
      <c r="B1253" s="3" t="str">
        <f aca="false">IF(ISNUMBER(SEARCH("%", A1253)),RIGHT(A1253,3),A1253)</f>
        <v>2, 17, 0,</v>
      </c>
      <c r="C1253" s="1" t="e">
        <f aca="false" t="array" ref="C1253:C1253">IF(B1252="NEW ROUTE",textsplit(B1253,","),"")</f>
        <v>#NAME?</v>
      </c>
      <c r="H1253" s="1" t="e">
        <f aca="false">IF(C1253&lt;&gt;"",DEC2HEX(C1253,2),"")</f>
        <v>#NAME?</v>
      </c>
      <c r="I1253" s="1" t="str">
        <f aca="false">IF(D1253&lt;&gt;"",DEC2HEX(D1253,2),"")</f>
        <v/>
      </c>
      <c r="J1253" s="1" t="e">
        <f aca="false">IF(H1253&lt;&gt;"","0x"&amp;I1253&amp;H1253,"")</f>
        <v>#NAME?</v>
      </c>
      <c r="L1253" s="1" t="s">
        <v>3207</v>
      </c>
      <c r="M1253" s="1" t="e">
        <f aca="false">IF(J1253&lt;&gt;"",J1253,L1253)</f>
        <v>#NAME?</v>
      </c>
    </row>
    <row r="1254" customFormat="false" ht="12.75" hidden="false" customHeight="true" outlineLevel="0" collapsed="false">
      <c r="A1254" s="3" t="s">
        <v>2823</v>
      </c>
      <c r="B1254" s="3" t="str">
        <f aca="false">IF(ISNUMBER(SEARCH("%", A1254)),RIGHT(A1254,3),A1254)</f>
        <v>20%</v>
      </c>
      <c r="C1254" s="1" t="str">
        <f aca="false" t="array" ref="C1254:C1254">IF(B1253="NEW ROUTE",textsplit(B1254,","),"")</f>
        <v/>
      </c>
      <c r="H1254" s="1" t="str">
        <f aca="false">IF(C1254&lt;&gt;"",DEC2HEX(C1254,2),"")</f>
        <v/>
      </c>
      <c r="I1254" s="1" t="str">
        <f aca="false">IF(D1254&lt;&gt;"",DEC2HEX(D1254,2),"")</f>
        <v/>
      </c>
      <c r="J1254" s="1" t="str">
        <f aca="false">IF(H1254&lt;&gt;"","0x"&amp;I1254&amp;H1254,"")</f>
        <v/>
      </c>
      <c r="L1254" s="1" t="s">
        <v>2799</v>
      </c>
      <c r="M1254" s="1" t="str">
        <f aca="false">IF(J1254&lt;&gt;"",J1254,L1254)</f>
        <v>20%</v>
      </c>
    </row>
    <row r="1255" customFormat="false" ht="12.75" hidden="false" customHeight="true" outlineLevel="0" collapsed="false">
      <c r="A1255" s="3" t="s">
        <v>1638</v>
      </c>
      <c r="B1255" s="3" t="str">
        <f aca="false">IF(ISNUMBER(SEARCH("%", A1255)),RIGHT(A1255,3),A1255)</f>
        <v>40, 40, GASTLY</v>
      </c>
      <c r="C1255" s="1" t="str">
        <f aca="false" t="array" ref="C1255:C1255">IF(B1254="NEW ROUTE",textsplit(B1255,","),"")</f>
        <v/>
      </c>
      <c r="H1255" s="1" t="str">
        <f aca="false">IF(C1255&lt;&gt;"",DEC2HEX(C1255,2),"")</f>
        <v/>
      </c>
      <c r="I1255" s="1" t="str">
        <f aca="false">IF(D1255&lt;&gt;"",DEC2HEX(D1255,2),"")</f>
        <v/>
      </c>
      <c r="J1255" s="1" t="str">
        <f aca="false">IF(H1255&lt;&gt;"","0x"&amp;I1255&amp;H1255,"")</f>
        <v/>
      </c>
      <c r="L1255" s="1" t="s">
        <v>1638</v>
      </c>
      <c r="M1255" s="1" t="str">
        <f aca="false">IF(J1255&lt;&gt;"",J1255,L1255)</f>
        <v>40, 40, GASTLY</v>
      </c>
    </row>
    <row r="1256" customFormat="false" ht="12.75" hidden="false" customHeight="true" outlineLevel="0" collapsed="false">
      <c r="A1256" s="3" t="s">
        <v>3192</v>
      </c>
      <c r="B1256" s="3" t="str">
        <f aca="false">IF(ISNUMBER(SEARCH("%", A1256)),RIGHT(A1256,3),A1256)</f>
        <v>37, 37, ZUBAT</v>
      </c>
      <c r="C1256" s="1" t="str">
        <f aca="false" t="array" ref="C1256:C1256">IF(B1255="NEW ROUTE",textsplit(B1256,","),"")</f>
        <v/>
      </c>
      <c r="H1256" s="1" t="str">
        <f aca="false">IF(C1256&lt;&gt;"",DEC2HEX(C1256,2),"")</f>
        <v/>
      </c>
      <c r="I1256" s="1" t="str">
        <f aca="false">IF(D1256&lt;&gt;"",DEC2HEX(D1256,2),"")</f>
        <v/>
      </c>
      <c r="J1256" s="1" t="str">
        <f aca="false">IF(H1256&lt;&gt;"","0x"&amp;I1256&amp;H1256,"")</f>
        <v/>
      </c>
      <c r="L1256" s="1" t="s">
        <v>3192</v>
      </c>
      <c r="M1256" s="1" t="str">
        <f aca="false">IF(J1256&lt;&gt;"",J1256,L1256)</f>
        <v>37, 37, ZUBAT</v>
      </c>
    </row>
    <row r="1257" customFormat="false" ht="12.75" hidden="false" customHeight="true" outlineLevel="0" collapsed="false">
      <c r="A1257" s="3" t="s">
        <v>2801</v>
      </c>
      <c r="B1257" s="3" t="str">
        <f aca="false">IF(ISNUMBER(SEARCH("%", A1257)),RIGHT(A1257,3),A1257)</f>
        <v>0.1</v>
      </c>
      <c r="C1257" s="1" t="str">
        <f aca="false" t="array" ref="C1257:C1257">IF(B1256="NEW ROUTE",textsplit(B1257,","),"")</f>
        <v/>
      </c>
      <c r="H1257" s="1" t="str">
        <f aca="false">IF(C1257&lt;&gt;"",DEC2HEX(C1257,2),"")</f>
        <v/>
      </c>
      <c r="I1257" s="1" t="str">
        <f aca="false">IF(D1257&lt;&gt;"",DEC2HEX(D1257,2),"")</f>
        <v/>
      </c>
      <c r="J1257" s="1" t="str">
        <f aca="false">IF(H1257&lt;&gt;"","0x"&amp;I1257&amp;H1257,"")</f>
        <v/>
      </c>
      <c r="L1257" s="1" t="s">
        <v>2801</v>
      </c>
      <c r="M1257" s="1" t="str">
        <f aca="false">IF(J1257&lt;&gt;"",J1257,L1257)</f>
        <v>0.1</v>
      </c>
    </row>
    <row r="1258" customFormat="false" ht="12.75" hidden="false" customHeight="true" outlineLevel="0" collapsed="false">
      <c r="A1258" s="3" t="s">
        <v>3193</v>
      </c>
      <c r="B1258" s="3" t="str">
        <f aca="false">IF(ISNUMBER(SEARCH("%", A1258)),RIGHT(A1258,3),A1258)</f>
        <v>44, 44, HAUNTER</v>
      </c>
      <c r="C1258" s="1" t="str">
        <f aca="false" t="array" ref="C1258:C1258">IF(B1257="NEW ROUTE",textsplit(B1258,","),"")</f>
        <v/>
      </c>
      <c r="H1258" s="1" t="str">
        <f aca="false">IF(C1258&lt;&gt;"",DEC2HEX(C1258,2),"")</f>
        <v/>
      </c>
      <c r="I1258" s="1" t="str">
        <f aca="false">IF(D1258&lt;&gt;"",DEC2HEX(D1258,2),"")</f>
        <v/>
      </c>
      <c r="J1258" s="1" t="str">
        <f aca="false">IF(H1258&lt;&gt;"","0x"&amp;I1258&amp;H1258,"")</f>
        <v/>
      </c>
      <c r="L1258" s="1" t="s">
        <v>3193</v>
      </c>
      <c r="M1258" s="1" t="str">
        <f aca="false">IF(J1258&lt;&gt;"",J1258,L1258)</f>
        <v>44, 44, HAUNTER</v>
      </c>
    </row>
    <row r="1259" customFormat="false" ht="12.75" hidden="false" customHeight="true" outlineLevel="0" collapsed="false">
      <c r="A1259" s="3" t="s">
        <v>3194</v>
      </c>
      <c r="B1259" s="3" t="str">
        <f aca="false">IF(ISNUMBER(SEARCH("%", A1259)),RIGHT(A1259,3),A1259)</f>
        <v>46, 46, HAUNTER</v>
      </c>
      <c r="C1259" s="1" t="str">
        <f aca="false" t="array" ref="C1259:C1259">IF(B1258="NEW ROUTE",textsplit(B1259,","),"")</f>
        <v/>
      </c>
      <c r="H1259" s="1" t="str">
        <f aca="false">IF(C1259&lt;&gt;"",DEC2HEX(C1259,2),"")</f>
        <v/>
      </c>
      <c r="I1259" s="1" t="str">
        <f aca="false">IF(D1259&lt;&gt;"",DEC2HEX(D1259,2),"")</f>
        <v/>
      </c>
      <c r="J1259" s="1" t="str">
        <f aca="false">IF(H1259&lt;&gt;"","0x"&amp;I1259&amp;H1259,"")</f>
        <v/>
      </c>
      <c r="L1259" s="1" t="s">
        <v>3194</v>
      </c>
      <c r="M1259" s="1" t="str">
        <f aca="false">IF(J1259&lt;&gt;"",J1259,L1259)</f>
        <v>46, 46, HAUNTER</v>
      </c>
    </row>
    <row r="1260" customFormat="false" ht="12.75" hidden="false" customHeight="true" outlineLevel="0" collapsed="false">
      <c r="A1260" s="3" t="s">
        <v>3195</v>
      </c>
      <c r="B1260" s="3" t="str">
        <f aca="false">IF(ISNUMBER(SEARCH("%", A1260)),RIGHT(A1260,3),A1260)</f>
        <v>41, 41, GOLBAT</v>
      </c>
      <c r="C1260" s="1" t="str">
        <f aca="false" t="array" ref="C1260:C1260">IF(B1259="NEW ROUTE",textsplit(B1260,","),"")</f>
        <v/>
      </c>
      <c r="H1260" s="1" t="str">
        <f aca="false">IF(C1260&lt;&gt;"",DEC2HEX(C1260,2),"")</f>
        <v/>
      </c>
      <c r="I1260" s="1" t="str">
        <f aca="false">IF(D1260&lt;&gt;"",DEC2HEX(D1260,2),"")</f>
        <v/>
      </c>
      <c r="J1260" s="1" t="str">
        <f aca="false">IF(H1260&lt;&gt;"","0x"&amp;I1260&amp;H1260,"")</f>
        <v/>
      </c>
      <c r="L1260" s="1" t="s">
        <v>3195</v>
      </c>
      <c r="M1260" s="1" t="str">
        <f aca="false">IF(J1260&lt;&gt;"",J1260,L1260)</f>
        <v>41, 41, GOLBAT</v>
      </c>
    </row>
    <row r="1261" customFormat="false" ht="12.75" hidden="false" customHeight="true" outlineLevel="0" collapsed="false">
      <c r="A1261" s="3" t="s">
        <v>3196</v>
      </c>
      <c r="B1261" s="3" t="str">
        <f aca="false">IF(ISNUMBER(SEARCH("%", A1261)),RIGHT(A1261,3),A1261)</f>
        <v>43, 43, GOLBAT</v>
      </c>
      <c r="C1261" s="1" t="str">
        <f aca="false" t="array" ref="C1261:C1261">IF(B1260="NEW ROUTE",textsplit(B1261,","),"")</f>
        <v/>
      </c>
      <c r="H1261" s="1" t="str">
        <f aca="false">IF(C1261&lt;&gt;"",DEC2HEX(C1261,2),"")</f>
        <v/>
      </c>
      <c r="I1261" s="1" t="str">
        <f aca="false">IF(D1261&lt;&gt;"",DEC2HEX(D1261,2),"")</f>
        <v/>
      </c>
      <c r="J1261" s="1" t="str">
        <f aca="false">IF(H1261&lt;&gt;"","0x"&amp;I1261&amp;H1261,"")</f>
        <v/>
      </c>
      <c r="L1261" s="1" t="s">
        <v>3196</v>
      </c>
      <c r="M1261" s="1" t="str">
        <f aca="false">IF(J1261&lt;&gt;"",J1261,L1261)</f>
        <v>43, 43, GOLBAT</v>
      </c>
    </row>
    <row r="1262" customFormat="false" ht="12.75" hidden="false" customHeight="true" outlineLevel="0" collapsed="false">
      <c r="A1262" s="3" t="s">
        <v>2806</v>
      </c>
      <c r="B1262" s="3" t="str">
        <f aca="false">IF(ISNUMBER(SEARCH("%", A1262)),RIGHT(A1262,3),A1262)</f>
        <v>0.05</v>
      </c>
      <c r="C1262" s="1" t="str">
        <f aca="false" t="array" ref="C1262:C1262">IF(B1261="NEW ROUTE",textsplit(B1262,","),"")</f>
        <v/>
      </c>
      <c r="H1262" s="1" t="str">
        <f aca="false">IF(C1262&lt;&gt;"",DEC2HEX(C1262,2),"")</f>
        <v/>
      </c>
      <c r="I1262" s="1" t="str">
        <f aca="false">IF(D1262&lt;&gt;"",DEC2HEX(D1262,2),"")</f>
        <v/>
      </c>
      <c r="J1262" s="1" t="str">
        <f aca="false">IF(H1262&lt;&gt;"","0x"&amp;I1262&amp;H1262,"")</f>
        <v/>
      </c>
      <c r="L1262" s="1" t="s">
        <v>2806</v>
      </c>
      <c r="M1262" s="1" t="str">
        <f aca="false">IF(J1262&lt;&gt;"",J1262,L1262)</f>
        <v>0.05</v>
      </c>
    </row>
    <row r="1263" customFormat="false" ht="12.75" hidden="false" customHeight="true" outlineLevel="0" collapsed="false">
      <c r="A1263" s="3" t="s">
        <v>3197</v>
      </c>
      <c r="B1263" s="3" t="str">
        <f aca="false">IF(ISNUMBER(SEARCH("%", A1263)),RIGHT(A1263,3),A1263)</f>
        <v>38, 38, GASTLY</v>
      </c>
      <c r="C1263" s="1" t="str">
        <f aca="false" t="array" ref="C1263:C1263">IF(B1262="NEW ROUTE",textsplit(B1263,","),"")</f>
        <v/>
      </c>
      <c r="H1263" s="1" t="str">
        <f aca="false">IF(C1263&lt;&gt;"",DEC2HEX(C1263,2),"")</f>
        <v/>
      </c>
      <c r="I1263" s="1" t="str">
        <f aca="false">IF(D1263&lt;&gt;"",DEC2HEX(D1263,2),"")</f>
        <v/>
      </c>
      <c r="J1263" s="1" t="str">
        <f aca="false">IF(H1263&lt;&gt;"","0x"&amp;I1263&amp;H1263,"")</f>
        <v/>
      </c>
      <c r="L1263" s="1" t="s">
        <v>3197</v>
      </c>
      <c r="M1263" s="1" t="str">
        <f aca="false">IF(J1263&lt;&gt;"",J1263,L1263)</f>
        <v>38, 38, GASTLY</v>
      </c>
    </row>
    <row r="1264" customFormat="false" ht="12.75" hidden="false" customHeight="true" outlineLevel="0" collapsed="false">
      <c r="A1264" s="3" t="s">
        <v>3198</v>
      </c>
      <c r="B1264" s="3" t="str">
        <f aca="false">IF(ISNUMBER(SEARCH("%", A1264)),RIGHT(A1264,3),A1264)</f>
        <v>48, 48, HAUNTER</v>
      </c>
      <c r="C1264" s="1" t="str">
        <f aca="false" t="array" ref="C1264:C1264">IF(B1263="NEW ROUTE",textsplit(B1264,","),"")</f>
        <v/>
      </c>
      <c r="H1264" s="1" t="str">
        <f aca="false">IF(C1264&lt;&gt;"",DEC2HEX(C1264,2),"")</f>
        <v/>
      </c>
      <c r="I1264" s="1" t="str">
        <f aca="false">IF(D1264&lt;&gt;"",DEC2HEX(D1264,2),"")</f>
        <v/>
      </c>
      <c r="J1264" s="1" t="str">
        <f aca="false">IF(H1264&lt;&gt;"","0x"&amp;I1264&amp;H1264,"")</f>
        <v/>
      </c>
      <c r="L1264" s="1" t="s">
        <v>3198</v>
      </c>
      <c r="M1264" s="1" t="str">
        <f aca="false">IF(J1264&lt;&gt;"",J1264,L1264)</f>
        <v>48, 48, HAUNTER</v>
      </c>
    </row>
    <row r="1265" customFormat="false" ht="12.75" hidden="false" customHeight="true" outlineLevel="0" collapsed="false">
      <c r="A1265" s="3" t="s">
        <v>2809</v>
      </c>
      <c r="B1265" s="3" t="str">
        <f aca="false">IF(ISNUMBER(SEARCH("%", A1265)),RIGHT(A1265,3),A1265)</f>
        <v>0.04</v>
      </c>
      <c r="C1265" s="1" t="str">
        <f aca="false" t="array" ref="C1265:C1265">IF(B1264="NEW ROUTE",textsplit(B1265,","),"")</f>
        <v/>
      </c>
      <c r="H1265" s="1" t="str">
        <f aca="false">IF(C1265&lt;&gt;"",DEC2HEX(C1265,2),"")</f>
        <v/>
      </c>
      <c r="I1265" s="1" t="str">
        <f aca="false">IF(D1265&lt;&gt;"",DEC2HEX(D1265,2),"")</f>
        <v/>
      </c>
      <c r="J1265" s="1" t="str">
        <f aca="false">IF(H1265&lt;&gt;"","0x"&amp;I1265&amp;H1265,"")</f>
        <v/>
      </c>
      <c r="L1265" s="1" t="s">
        <v>2809</v>
      </c>
      <c r="M1265" s="1" t="str">
        <f aca="false">IF(J1265&lt;&gt;"",J1265,L1265)</f>
        <v>0.04</v>
      </c>
    </row>
    <row r="1266" customFormat="false" ht="12.75" hidden="false" customHeight="true" outlineLevel="0" collapsed="false">
      <c r="A1266" s="3" t="s">
        <v>3199</v>
      </c>
      <c r="B1266" s="3" t="str">
        <f aca="false">IF(ISNUMBER(SEARCH("%", A1266)),RIGHT(A1266,3),A1266)</f>
        <v>50, 50, HAUNTER</v>
      </c>
      <c r="C1266" s="1" t="str">
        <f aca="false" t="array" ref="C1266:C1266">IF(B1265="NEW ROUTE",textsplit(B1266,","),"")</f>
        <v/>
      </c>
      <c r="H1266" s="1" t="str">
        <f aca="false">IF(C1266&lt;&gt;"",DEC2HEX(C1266,2),"")</f>
        <v/>
      </c>
      <c r="I1266" s="1" t="str">
        <f aca="false">IF(D1266&lt;&gt;"",DEC2HEX(D1266,2),"")</f>
        <v/>
      </c>
      <c r="J1266" s="1" t="str">
        <f aca="false">IF(H1266&lt;&gt;"","0x"&amp;I1266&amp;H1266,"")</f>
        <v/>
      </c>
      <c r="L1266" s="1" t="s">
        <v>3199</v>
      </c>
      <c r="M1266" s="1" t="str">
        <f aca="false">IF(J1266&lt;&gt;"",J1266,L1266)</f>
        <v>50, 50, HAUNTER</v>
      </c>
    </row>
    <row r="1267" customFormat="false" ht="12.75" hidden="false" customHeight="true" outlineLevel="0" collapsed="false">
      <c r="A1267" s="3" t="s">
        <v>3200</v>
      </c>
      <c r="B1267" s="3" t="str">
        <f aca="false">IF(ISNUMBER(SEARCH("%", A1267)),RIGHT(A1267,3),A1267)</f>
        <v>22, 22, MISDREAVUS</v>
      </c>
      <c r="C1267" s="1" t="str">
        <f aca="false" t="array" ref="C1267:C1267">IF(B1266="NEW ROUTE",textsplit(B1267,","),"")</f>
        <v/>
      </c>
      <c r="H1267" s="1" t="str">
        <f aca="false">IF(C1267&lt;&gt;"",DEC2HEX(C1267,2),"")</f>
        <v/>
      </c>
      <c r="I1267" s="1" t="str">
        <f aca="false">IF(D1267&lt;&gt;"",DEC2HEX(D1267,2),"")</f>
        <v/>
      </c>
      <c r="J1267" s="1" t="str">
        <f aca="false">IF(H1267&lt;&gt;"","0x"&amp;I1267&amp;H1267,"")</f>
        <v/>
      </c>
      <c r="L1267" s="1" t="s">
        <v>3200</v>
      </c>
      <c r="M1267" s="1" t="str">
        <f aca="false">IF(J1267&lt;&gt;"",J1267,L1267)</f>
        <v>22, 22, MISDREAVUS</v>
      </c>
    </row>
    <row r="1268" customFormat="false" ht="12.75" hidden="false" customHeight="true" outlineLevel="0" collapsed="false">
      <c r="A1268" s="3" t="s">
        <v>2812</v>
      </c>
      <c r="B1268" s="3" t="str">
        <f aca="false">IF(ISNUMBER(SEARCH("%", A1268)),RIGHT(A1268,3),A1268)</f>
        <v>0.01</v>
      </c>
      <c r="C1268" s="1" t="str">
        <f aca="false" t="array" ref="C1268:C1268">IF(B1267="NEW ROUTE",textsplit(B1268,","),"")</f>
        <v/>
      </c>
      <c r="H1268" s="1" t="str">
        <f aca="false">IF(C1268&lt;&gt;"",DEC2HEX(C1268,2),"")</f>
        <v/>
      </c>
      <c r="I1268" s="1" t="str">
        <f aca="false">IF(D1268&lt;&gt;"",DEC2HEX(D1268,2),"")</f>
        <v/>
      </c>
      <c r="J1268" s="1" t="str">
        <f aca="false">IF(H1268&lt;&gt;"","0x"&amp;I1268&amp;H1268,"")</f>
        <v/>
      </c>
      <c r="L1268" s="1" t="s">
        <v>2812</v>
      </c>
      <c r="M1268" s="1" t="str">
        <f aca="false">IF(J1268&lt;&gt;"",J1268,L1268)</f>
        <v>0.01</v>
      </c>
    </row>
    <row r="1269" customFormat="false" ht="12.75" hidden="false" customHeight="true" outlineLevel="0" collapsed="false">
      <c r="A1269" s="3" t="s">
        <v>3201</v>
      </c>
      <c r="B1269" s="3" t="str">
        <f aca="false">IF(ISNUMBER(SEARCH("%", A1269)),RIGHT(A1269,3),A1269)</f>
        <v>52, 52, HAUNTER</v>
      </c>
      <c r="C1269" s="1" t="str">
        <f aca="false" t="array" ref="C1269:C1269">IF(B1268="NEW ROUTE",textsplit(B1269,","),"")</f>
        <v/>
      </c>
      <c r="H1269" s="1" t="str">
        <f aca="false">IF(C1269&lt;&gt;"",DEC2HEX(C1269,2),"")</f>
        <v/>
      </c>
      <c r="I1269" s="1" t="str">
        <f aca="false">IF(D1269&lt;&gt;"",DEC2HEX(D1269,2),"")</f>
        <v/>
      </c>
      <c r="J1269" s="1" t="str">
        <f aca="false">IF(H1269&lt;&gt;"","0x"&amp;I1269&amp;H1269,"")</f>
        <v/>
      </c>
      <c r="L1269" s="1" t="s">
        <v>3201</v>
      </c>
      <c r="M1269" s="1" t="str">
        <f aca="false">IF(J1269&lt;&gt;"",J1269,L1269)</f>
        <v>52, 52, HAUNTER</v>
      </c>
    </row>
    <row r="1270" customFormat="false" ht="12.75" hidden="false" customHeight="true" outlineLevel="0" collapsed="false">
      <c r="A1270" s="3" t="s">
        <v>3202</v>
      </c>
      <c r="B1270" s="3" t="str">
        <f aca="false">IF(ISNUMBER(SEARCH("%", A1270)),RIGHT(A1270,3),A1270)</f>
        <v>22, 22, MISDREAVUS , &lt;null&gt;, &lt;null&gt;, &lt;null&gt;</v>
      </c>
      <c r="C1270" s="1" t="str">
        <f aca="false" t="array" ref="C1270:C1270">IF(B1269="NEW ROUTE",textsplit(B1270,","),"")</f>
        <v/>
      </c>
      <c r="H1270" s="1" t="str">
        <f aca="false">IF(C1270&lt;&gt;"",DEC2HEX(C1270,2),"")</f>
        <v/>
      </c>
      <c r="I1270" s="1" t="str">
        <f aca="false">IF(D1270&lt;&gt;"",DEC2HEX(D1270,2),"")</f>
        <v/>
      </c>
      <c r="J1270" s="1" t="str">
        <f aca="false">IF(H1270&lt;&gt;"","0x"&amp;I1270&amp;H1270,"")</f>
        <v/>
      </c>
      <c r="L1270" s="1" t="s">
        <v>3202</v>
      </c>
      <c r="M1270" s="1" t="str">
        <f aca="false">IF(J1270&lt;&gt;"",J1270,L1270)</f>
        <v>22, 22, MISDREAVUS , &lt;null&gt;, &lt;null&gt;, &lt;null&gt;</v>
      </c>
    </row>
    <row r="1271" customFormat="false" ht="12.75" hidden="false" customHeight="true" outlineLevel="0" collapsed="false">
      <c r="A1271" s="3" t="s">
        <v>2536</v>
      </c>
      <c r="B1271" s="3" t="str">
        <f aca="false">IF(ISNUMBER(SEARCH("%", A1271)),RIGHT(A1271,3),A1271)</f>
        <v>NEW ROUTE</v>
      </c>
      <c r="C1271" s="1" t="str">
        <f aca="false" t="array" ref="C1271:C1271">IF(B1270="NEW ROUTE",textsplit(B1271,","),"")</f>
        <v/>
      </c>
      <c r="H1271" s="1" t="str">
        <f aca="false">IF(C1271&lt;&gt;"",DEC2HEX(C1271,2),"")</f>
        <v/>
      </c>
      <c r="I1271" s="1" t="str">
        <f aca="false">IF(D1271&lt;&gt;"",DEC2HEX(D1271,2),"")</f>
        <v/>
      </c>
      <c r="J1271" s="1" t="str">
        <f aca="false">IF(H1271&lt;&gt;"","0x"&amp;I1271&amp;H1271,"")</f>
        <v/>
      </c>
      <c r="L1271" s="1" t="s">
        <v>2536</v>
      </c>
      <c r="M1271" s="1" t="str">
        <f aca="false">IF(J1271&lt;&gt;"",J1271,L1271)</f>
        <v>NEW ROUTE</v>
      </c>
    </row>
    <row r="1272" customFormat="false" ht="12.75" hidden="false" customHeight="true" outlineLevel="0" collapsed="false">
      <c r="A1272" s="3" t="s">
        <v>3208</v>
      </c>
      <c r="B1272" s="3" t="str">
        <f aca="false">IF(ISNUMBER(SEARCH("%", A1272)),RIGHT(A1272,3),A1272)</f>
        <v>2, 18, 0,</v>
      </c>
      <c r="C1272" s="1" t="e">
        <f aca="false" t="array" ref="C1272:C1272">IF(B1271="NEW ROUTE",textsplit(B1272,","),"")</f>
        <v>#NAME?</v>
      </c>
      <c r="H1272" s="1" t="e">
        <f aca="false">IF(C1272&lt;&gt;"",DEC2HEX(C1272,2),"")</f>
        <v>#NAME?</v>
      </c>
      <c r="I1272" s="1" t="str">
        <f aca="false">IF(D1272&lt;&gt;"",DEC2HEX(D1272,2),"")</f>
        <v/>
      </c>
      <c r="J1272" s="1" t="e">
        <f aca="false">IF(H1272&lt;&gt;"","0x"&amp;I1272&amp;H1272,"")</f>
        <v>#NAME?</v>
      </c>
      <c r="L1272" s="1" t="s">
        <v>3208</v>
      </c>
      <c r="M1272" s="1" t="e">
        <f aca="false">IF(J1272&lt;&gt;"",J1272,L1272)</f>
        <v>#NAME?</v>
      </c>
    </row>
    <row r="1273" customFormat="false" ht="12.75" hidden="false" customHeight="true" outlineLevel="0" collapsed="false">
      <c r="A1273" s="3" t="s">
        <v>3051</v>
      </c>
      <c r="B1273" s="3" t="str">
        <f aca="false">IF(ISNUMBER(SEARCH("%", A1273)),RIGHT(A1273,3),A1273)</f>
        <v>20%</v>
      </c>
      <c r="C1273" s="1" t="str">
        <f aca="false" t="array" ref="C1273:C1273">IF(B1272="NEW ROUTE",textsplit(B1273,","),"")</f>
        <v/>
      </c>
      <c r="H1273" s="1" t="str">
        <f aca="false">IF(C1273&lt;&gt;"",DEC2HEX(C1273,2),"")</f>
        <v/>
      </c>
      <c r="I1273" s="1" t="str">
        <f aca="false">IF(D1273&lt;&gt;"",DEC2HEX(D1273,2),"")</f>
        <v/>
      </c>
      <c r="J1273" s="1" t="str">
        <f aca="false">IF(H1273&lt;&gt;"","0x"&amp;I1273&amp;H1273,"")</f>
        <v/>
      </c>
      <c r="L1273" s="1" t="s">
        <v>2799</v>
      </c>
      <c r="M1273" s="1" t="str">
        <f aca="false">IF(J1273&lt;&gt;"",J1273,L1273)</f>
        <v>20%</v>
      </c>
    </row>
    <row r="1274" customFormat="false" ht="12.75" hidden="false" customHeight="true" outlineLevel="0" collapsed="false">
      <c r="A1274" s="3" t="s">
        <v>1638</v>
      </c>
      <c r="B1274" s="3" t="str">
        <f aca="false">IF(ISNUMBER(SEARCH("%", A1274)),RIGHT(A1274,3),A1274)</f>
        <v>40, 40, GASTLY</v>
      </c>
      <c r="C1274" s="1" t="str">
        <f aca="false" t="array" ref="C1274:C1274">IF(B1273="NEW ROUTE",textsplit(B1274,","),"")</f>
        <v/>
      </c>
      <c r="H1274" s="1" t="str">
        <f aca="false">IF(C1274&lt;&gt;"",DEC2HEX(C1274,2),"")</f>
        <v/>
      </c>
      <c r="I1274" s="1" t="str">
        <f aca="false">IF(D1274&lt;&gt;"",DEC2HEX(D1274,2),"")</f>
        <v/>
      </c>
      <c r="J1274" s="1" t="str">
        <f aca="false">IF(H1274&lt;&gt;"","0x"&amp;I1274&amp;H1274,"")</f>
        <v/>
      </c>
      <c r="L1274" s="1" t="s">
        <v>1638</v>
      </c>
      <c r="M1274" s="1" t="str">
        <f aca="false">IF(J1274&lt;&gt;"",J1274,L1274)</f>
        <v>40, 40, GASTLY</v>
      </c>
    </row>
    <row r="1275" customFormat="false" ht="12.75" hidden="false" customHeight="true" outlineLevel="0" collapsed="false">
      <c r="A1275" s="3" t="s">
        <v>3192</v>
      </c>
      <c r="B1275" s="3" t="str">
        <f aca="false">IF(ISNUMBER(SEARCH("%", A1275)),RIGHT(A1275,3),A1275)</f>
        <v>37, 37, ZUBAT</v>
      </c>
      <c r="C1275" s="1" t="str">
        <f aca="false" t="array" ref="C1275:C1275">IF(B1274="NEW ROUTE",textsplit(B1275,","),"")</f>
        <v/>
      </c>
      <c r="H1275" s="1" t="str">
        <f aca="false">IF(C1275&lt;&gt;"",DEC2HEX(C1275,2),"")</f>
        <v/>
      </c>
      <c r="I1275" s="1" t="str">
        <f aca="false">IF(D1275&lt;&gt;"",DEC2HEX(D1275,2),"")</f>
        <v/>
      </c>
      <c r="J1275" s="1" t="str">
        <f aca="false">IF(H1275&lt;&gt;"","0x"&amp;I1275&amp;H1275,"")</f>
        <v/>
      </c>
      <c r="L1275" s="1" t="s">
        <v>3192</v>
      </c>
      <c r="M1275" s="1" t="str">
        <f aca="false">IF(J1275&lt;&gt;"",J1275,L1275)</f>
        <v>37, 37, ZUBAT</v>
      </c>
    </row>
    <row r="1276" customFormat="false" ht="12.75" hidden="false" customHeight="true" outlineLevel="0" collapsed="false">
      <c r="A1276" s="3" t="s">
        <v>2801</v>
      </c>
      <c r="B1276" s="3" t="str">
        <f aca="false">IF(ISNUMBER(SEARCH("%", A1276)),RIGHT(A1276,3),A1276)</f>
        <v>0.1</v>
      </c>
      <c r="C1276" s="1" t="str">
        <f aca="false" t="array" ref="C1276:C1276">IF(B1275="NEW ROUTE",textsplit(B1276,","),"")</f>
        <v/>
      </c>
      <c r="H1276" s="1" t="str">
        <f aca="false">IF(C1276&lt;&gt;"",DEC2HEX(C1276,2),"")</f>
        <v/>
      </c>
      <c r="I1276" s="1" t="str">
        <f aca="false">IF(D1276&lt;&gt;"",DEC2HEX(D1276,2),"")</f>
        <v/>
      </c>
      <c r="J1276" s="1" t="str">
        <f aca="false">IF(H1276&lt;&gt;"","0x"&amp;I1276&amp;H1276,"")</f>
        <v/>
      </c>
      <c r="L1276" s="1" t="s">
        <v>2801</v>
      </c>
      <c r="M1276" s="1" t="str">
        <f aca="false">IF(J1276&lt;&gt;"",J1276,L1276)</f>
        <v>0.1</v>
      </c>
    </row>
    <row r="1277" customFormat="false" ht="12.75" hidden="false" customHeight="true" outlineLevel="0" collapsed="false">
      <c r="A1277" s="3" t="s">
        <v>3193</v>
      </c>
      <c r="B1277" s="3" t="str">
        <f aca="false">IF(ISNUMBER(SEARCH("%", A1277)),RIGHT(A1277,3),A1277)</f>
        <v>44, 44, HAUNTER</v>
      </c>
      <c r="C1277" s="1" t="str">
        <f aca="false" t="array" ref="C1277:C1277">IF(B1276="NEW ROUTE",textsplit(B1277,","),"")</f>
        <v/>
      </c>
      <c r="H1277" s="1" t="str">
        <f aca="false">IF(C1277&lt;&gt;"",DEC2HEX(C1277,2),"")</f>
        <v/>
      </c>
      <c r="I1277" s="1" t="str">
        <f aca="false">IF(D1277&lt;&gt;"",DEC2HEX(D1277,2),"")</f>
        <v/>
      </c>
      <c r="J1277" s="1" t="str">
        <f aca="false">IF(H1277&lt;&gt;"","0x"&amp;I1277&amp;H1277,"")</f>
        <v/>
      </c>
      <c r="L1277" s="1" t="s">
        <v>3193</v>
      </c>
      <c r="M1277" s="1" t="str">
        <f aca="false">IF(J1277&lt;&gt;"",J1277,L1277)</f>
        <v>44, 44, HAUNTER</v>
      </c>
    </row>
    <row r="1278" customFormat="false" ht="12.75" hidden="false" customHeight="true" outlineLevel="0" collapsed="false">
      <c r="A1278" s="3" t="s">
        <v>3194</v>
      </c>
      <c r="B1278" s="3" t="str">
        <f aca="false">IF(ISNUMBER(SEARCH("%", A1278)),RIGHT(A1278,3),A1278)</f>
        <v>46, 46, HAUNTER</v>
      </c>
      <c r="C1278" s="1" t="str">
        <f aca="false" t="array" ref="C1278:C1278">IF(B1277="NEW ROUTE",textsplit(B1278,","),"")</f>
        <v/>
      </c>
      <c r="H1278" s="1" t="str">
        <f aca="false">IF(C1278&lt;&gt;"",DEC2HEX(C1278,2),"")</f>
        <v/>
      </c>
      <c r="I1278" s="1" t="str">
        <f aca="false">IF(D1278&lt;&gt;"",DEC2HEX(D1278,2),"")</f>
        <v/>
      </c>
      <c r="J1278" s="1" t="str">
        <f aca="false">IF(H1278&lt;&gt;"","0x"&amp;I1278&amp;H1278,"")</f>
        <v/>
      </c>
      <c r="L1278" s="1" t="s">
        <v>3194</v>
      </c>
      <c r="M1278" s="1" t="str">
        <f aca="false">IF(J1278&lt;&gt;"",J1278,L1278)</f>
        <v>46, 46, HAUNTER</v>
      </c>
    </row>
    <row r="1279" customFormat="false" ht="12.75" hidden="false" customHeight="true" outlineLevel="0" collapsed="false">
      <c r="A1279" s="3" t="s">
        <v>3195</v>
      </c>
      <c r="B1279" s="3" t="str">
        <f aca="false">IF(ISNUMBER(SEARCH("%", A1279)),RIGHT(A1279,3),A1279)</f>
        <v>41, 41, GOLBAT</v>
      </c>
      <c r="C1279" s="1" t="str">
        <f aca="false" t="array" ref="C1279:C1279">IF(B1278="NEW ROUTE",textsplit(B1279,","),"")</f>
        <v/>
      </c>
      <c r="H1279" s="1" t="str">
        <f aca="false">IF(C1279&lt;&gt;"",DEC2HEX(C1279,2),"")</f>
        <v/>
      </c>
      <c r="I1279" s="1" t="str">
        <f aca="false">IF(D1279&lt;&gt;"",DEC2HEX(D1279,2),"")</f>
        <v/>
      </c>
      <c r="J1279" s="1" t="str">
        <f aca="false">IF(H1279&lt;&gt;"","0x"&amp;I1279&amp;H1279,"")</f>
        <v/>
      </c>
      <c r="L1279" s="1" t="s">
        <v>3195</v>
      </c>
      <c r="M1279" s="1" t="str">
        <f aca="false">IF(J1279&lt;&gt;"",J1279,L1279)</f>
        <v>41, 41, GOLBAT</v>
      </c>
    </row>
    <row r="1280" customFormat="false" ht="12.75" hidden="false" customHeight="true" outlineLevel="0" collapsed="false">
      <c r="A1280" s="3" t="s">
        <v>3196</v>
      </c>
      <c r="B1280" s="3" t="str">
        <f aca="false">IF(ISNUMBER(SEARCH("%", A1280)),RIGHT(A1280,3),A1280)</f>
        <v>43, 43, GOLBAT</v>
      </c>
      <c r="C1280" s="1" t="str">
        <f aca="false" t="array" ref="C1280:C1280">IF(B1279="NEW ROUTE",textsplit(B1280,","),"")</f>
        <v/>
      </c>
      <c r="H1280" s="1" t="str">
        <f aca="false">IF(C1280&lt;&gt;"",DEC2HEX(C1280,2),"")</f>
        <v/>
      </c>
      <c r="I1280" s="1" t="str">
        <f aca="false">IF(D1280&lt;&gt;"",DEC2HEX(D1280,2),"")</f>
        <v/>
      </c>
      <c r="J1280" s="1" t="str">
        <f aca="false">IF(H1280&lt;&gt;"","0x"&amp;I1280&amp;H1280,"")</f>
        <v/>
      </c>
      <c r="L1280" s="1" t="s">
        <v>3196</v>
      </c>
      <c r="M1280" s="1" t="str">
        <f aca="false">IF(J1280&lt;&gt;"",J1280,L1280)</f>
        <v>43, 43, GOLBAT</v>
      </c>
    </row>
    <row r="1281" customFormat="false" ht="12.75" hidden="false" customHeight="true" outlineLevel="0" collapsed="false">
      <c r="A1281" s="3" t="s">
        <v>2806</v>
      </c>
      <c r="B1281" s="3" t="str">
        <f aca="false">IF(ISNUMBER(SEARCH("%", A1281)),RIGHT(A1281,3),A1281)</f>
        <v>0.05</v>
      </c>
      <c r="C1281" s="1" t="str">
        <f aca="false" t="array" ref="C1281:C1281">IF(B1280="NEW ROUTE",textsplit(B1281,","),"")</f>
        <v/>
      </c>
      <c r="H1281" s="1" t="str">
        <f aca="false">IF(C1281&lt;&gt;"",DEC2HEX(C1281,2),"")</f>
        <v/>
      </c>
      <c r="I1281" s="1" t="str">
        <f aca="false">IF(D1281&lt;&gt;"",DEC2HEX(D1281,2),"")</f>
        <v/>
      </c>
      <c r="J1281" s="1" t="str">
        <f aca="false">IF(H1281&lt;&gt;"","0x"&amp;I1281&amp;H1281,"")</f>
        <v/>
      </c>
      <c r="L1281" s="1" t="s">
        <v>2806</v>
      </c>
      <c r="M1281" s="1" t="str">
        <f aca="false">IF(J1281&lt;&gt;"",J1281,L1281)</f>
        <v>0.05</v>
      </c>
    </row>
    <row r="1282" customFormat="false" ht="12.75" hidden="false" customHeight="true" outlineLevel="0" collapsed="false">
      <c r="A1282" s="3" t="s">
        <v>3197</v>
      </c>
      <c r="B1282" s="3" t="str">
        <f aca="false">IF(ISNUMBER(SEARCH("%", A1282)),RIGHT(A1282,3),A1282)</f>
        <v>38, 38, GASTLY</v>
      </c>
      <c r="C1282" s="1" t="str">
        <f aca="false" t="array" ref="C1282:C1282">IF(B1281="NEW ROUTE",textsplit(B1282,","),"")</f>
        <v/>
      </c>
      <c r="H1282" s="1" t="str">
        <f aca="false">IF(C1282&lt;&gt;"",DEC2HEX(C1282,2),"")</f>
        <v/>
      </c>
      <c r="I1282" s="1" t="str">
        <f aca="false">IF(D1282&lt;&gt;"",DEC2HEX(D1282,2),"")</f>
        <v/>
      </c>
      <c r="J1282" s="1" t="str">
        <f aca="false">IF(H1282&lt;&gt;"","0x"&amp;I1282&amp;H1282,"")</f>
        <v/>
      </c>
      <c r="L1282" s="1" t="s">
        <v>3197</v>
      </c>
      <c r="M1282" s="1" t="str">
        <f aca="false">IF(J1282&lt;&gt;"",J1282,L1282)</f>
        <v>38, 38, GASTLY</v>
      </c>
    </row>
    <row r="1283" customFormat="false" ht="12.75" hidden="false" customHeight="true" outlineLevel="0" collapsed="false">
      <c r="A1283" s="3" t="s">
        <v>3198</v>
      </c>
      <c r="B1283" s="3" t="str">
        <f aca="false">IF(ISNUMBER(SEARCH("%", A1283)),RIGHT(A1283,3),A1283)</f>
        <v>48, 48, HAUNTER</v>
      </c>
      <c r="C1283" s="1" t="str">
        <f aca="false" t="array" ref="C1283:C1283">IF(B1282="NEW ROUTE",textsplit(B1283,","),"")</f>
        <v/>
      </c>
      <c r="H1283" s="1" t="str">
        <f aca="false">IF(C1283&lt;&gt;"",DEC2HEX(C1283,2),"")</f>
        <v/>
      </c>
      <c r="I1283" s="1" t="str">
        <f aca="false">IF(D1283&lt;&gt;"",DEC2HEX(D1283,2),"")</f>
        <v/>
      </c>
      <c r="J1283" s="1" t="str">
        <f aca="false">IF(H1283&lt;&gt;"","0x"&amp;I1283&amp;H1283,"")</f>
        <v/>
      </c>
      <c r="L1283" s="1" t="s">
        <v>3198</v>
      </c>
      <c r="M1283" s="1" t="str">
        <f aca="false">IF(J1283&lt;&gt;"",J1283,L1283)</f>
        <v>48, 48, HAUNTER</v>
      </c>
    </row>
    <row r="1284" customFormat="false" ht="12.75" hidden="false" customHeight="true" outlineLevel="0" collapsed="false">
      <c r="A1284" s="3" t="s">
        <v>2809</v>
      </c>
      <c r="B1284" s="3" t="str">
        <f aca="false">IF(ISNUMBER(SEARCH("%", A1284)),RIGHT(A1284,3),A1284)</f>
        <v>0.04</v>
      </c>
      <c r="C1284" s="1" t="str">
        <f aca="false" t="array" ref="C1284:C1284">IF(B1283="NEW ROUTE",textsplit(B1284,","),"")</f>
        <v/>
      </c>
      <c r="H1284" s="1" t="str">
        <f aca="false">IF(C1284&lt;&gt;"",DEC2HEX(C1284,2),"")</f>
        <v/>
      </c>
      <c r="I1284" s="1" t="str">
        <f aca="false">IF(D1284&lt;&gt;"",DEC2HEX(D1284,2),"")</f>
        <v/>
      </c>
      <c r="J1284" s="1" t="str">
        <f aca="false">IF(H1284&lt;&gt;"","0x"&amp;I1284&amp;H1284,"")</f>
        <v/>
      </c>
      <c r="L1284" s="1" t="s">
        <v>2809</v>
      </c>
      <c r="M1284" s="1" t="str">
        <f aca="false">IF(J1284&lt;&gt;"",J1284,L1284)</f>
        <v>0.04</v>
      </c>
    </row>
    <row r="1285" customFormat="false" ht="12.75" hidden="false" customHeight="true" outlineLevel="0" collapsed="false">
      <c r="A1285" s="3" t="s">
        <v>3199</v>
      </c>
      <c r="B1285" s="3" t="str">
        <f aca="false">IF(ISNUMBER(SEARCH("%", A1285)),RIGHT(A1285,3),A1285)</f>
        <v>50, 50, HAUNTER</v>
      </c>
      <c r="C1285" s="1" t="str">
        <f aca="false" t="array" ref="C1285:C1285">IF(B1284="NEW ROUTE",textsplit(B1285,","),"")</f>
        <v/>
      </c>
      <c r="H1285" s="1" t="str">
        <f aca="false">IF(C1285&lt;&gt;"",DEC2HEX(C1285,2),"")</f>
        <v/>
      </c>
      <c r="I1285" s="1" t="str">
        <f aca="false">IF(D1285&lt;&gt;"",DEC2HEX(D1285,2),"")</f>
        <v/>
      </c>
      <c r="J1285" s="1" t="str">
        <f aca="false">IF(H1285&lt;&gt;"","0x"&amp;I1285&amp;H1285,"")</f>
        <v/>
      </c>
      <c r="L1285" s="1" t="s">
        <v>3199</v>
      </c>
      <c r="M1285" s="1" t="str">
        <f aca="false">IF(J1285&lt;&gt;"",J1285,L1285)</f>
        <v>50, 50, HAUNTER</v>
      </c>
    </row>
    <row r="1286" customFormat="false" ht="12.75" hidden="false" customHeight="true" outlineLevel="0" collapsed="false">
      <c r="A1286" s="3" t="s">
        <v>3200</v>
      </c>
      <c r="B1286" s="3" t="str">
        <f aca="false">IF(ISNUMBER(SEARCH("%", A1286)),RIGHT(A1286,3),A1286)</f>
        <v>22, 22, MISDREAVUS</v>
      </c>
      <c r="C1286" s="1" t="str">
        <f aca="false" t="array" ref="C1286:C1286">IF(B1285="NEW ROUTE",textsplit(B1286,","),"")</f>
        <v/>
      </c>
      <c r="H1286" s="1" t="str">
        <f aca="false">IF(C1286&lt;&gt;"",DEC2HEX(C1286,2),"")</f>
        <v/>
      </c>
      <c r="I1286" s="1" t="str">
        <f aca="false">IF(D1286&lt;&gt;"",DEC2HEX(D1286,2),"")</f>
        <v/>
      </c>
      <c r="J1286" s="1" t="str">
        <f aca="false">IF(H1286&lt;&gt;"","0x"&amp;I1286&amp;H1286,"")</f>
        <v/>
      </c>
      <c r="L1286" s="1" t="s">
        <v>3200</v>
      </c>
      <c r="M1286" s="1" t="str">
        <f aca="false">IF(J1286&lt;&gt;"",J1286,L1286)</f>
        <v>22, 22, MISDREAVUS</v>
      </c>
    </row>
    <row r="1287" customFormat="false" ht="12.75" hidden="false" customHeight="true" outlineLevel="0" collapsed="false">
      <c r="A1287" s="3" t="s">
        <v>2812</v>
      </c>
      <c r="B1287" s="3" t="str">
        <f aca="false">IF(ISNUMBER(SEARCH("%", A1287)),RIGHT(A1287,3),A1287)</f>
        <v>0.01</v>
      </c>
      <c r="C1287" s="1" t="str">
        <f aca="false" t="array" ref="C1287:C1287">IF(B1286="NEW ROUTE",textsplit(B1287,","),"")</f>
        <v/>
      </c>
      <c r="H1287" s="1" t="str">
        <f aca="false">IF(C1287&lt;&gt;"",DEC2HEX(C1287,2),"")</f>
        <v/>
      </c>
      <c r="I1287" s="1" t="str">
        <f aca="false">IF(D1287&lt;&gt;"",DEC2HEX(D1287,2),"")</f>
        <v/>
      </c>
      <c r="J1287" s="1" t="str">
        <f aca="false">IF(H1287&lt;&gt;"","0x"&amp;I1287&amp;H1287,"")</f>
        <v/>
      </c>
      <c r="L1287" s="1" t="s">
        <v>2812</v>
      </c>
      <c r="M1287" s="1" t="str">
        <f aca="false">IF(J1287&lt;&gt;"",J1287,L1287)</f>
        <v>0.01</v>
      </c>
    </row>
    <row r="1288" customFormat="false" ht="12.75" hidden="false" customHeight="true" outlineLevel="0" collapsed="false">
      <c r="A1288" s="3" t="s">
        <v>3201</v>
      </c>
      <c r="B1288" s="3" t="str">
        <f aca="false">IF(ISNUMBER(SEARCH("%", A1288)),RIGHT(A1288,3),A1288)</f>
        <v>52, 52, HAUNTER</v>
      </c>
      <c r="C1288" s="1" t="str">
        <f aca="false" t="array" ref="C1288:C1288">IF(B1287="NEW ROUTE",textsplit(B1288,","),"")</f>
        <v/>
      </c>
      <c r="H1288" s="1" t="str">
        <f aca="false">IF(C1288&lt;&gt;"",DEC2HEX(C1288,2),"")</f>
        <v/>
      </c>
      <c r="I1288" s="1" t="str">
        <f aca="false">IF(D1288&lt;&gt;"",DEC2HEX(D1288,2),"")</f>
        <v/>
      </c>
      <c r="J1288" s="1" t="str">
        <f aca="false">IF(H1288&lt;&gt;"","0x"&amp;I1288&amp;H1288,"")</f>
        <v/>
      </c>
      <c r="L1288" s="1" t="s">
        <v>3201</v>
      </c>
      <c r="M1288" s="1" t="str">
        <f aca="false">IF(J1288&lt;&gt;"",J1288,L1288)</f>
        <v>52, 52, HAUNTER</v>
      </c>
    </row>
    <row r="1289" customFormat="false" ht="12.75" hidden="false" customHeight="true" outlineLevel="0" collapsed="false">
      <c r="A1289" s="3" t="s">
        <v>3202</v>
      </c>
      <c r="B1289" s="3" t="str">
        <f aca="false">IF(ISNUMBER(SEARCH("%", A1289)),RIGHT(A1289,3),A1289)</f>
        <v>22, 22, MISDREAVUS , &lt;null&gt;, &lt;null&gt;, &lt;null&gt;</v>
      </c>
      <c r="C1289" s="1" t="str">
        <f aca="false" t="array" ref="C1289:C1289">IF(B1288="NEW ROUTE",textsplit(B1289,","),"")</f>
        <v/>
      </c>
      <c r="H1289" s="1" t="str">
        <f aca="false">IF(C1289&lt;&gt;"",DEC2HEX(C1289,2),"")</f>
        <v/>
      </c>
      <c r="I1289" s="1" t="str">
        <f aca="false">IF(D1289&lt;&gt;"",DEC2HEX(D1289,2),"")</f>
        <v/>
      </c>
      <c r="J1289" s="1" t="str">
        <f aca="false">IF(H1289&lt;&gt;"","0x"&amp;I1289&amp;H1289,"")</f>
        <v/>
      </c>
      <c r="L1289" s="1" t="s">
        <v>3202</v>
      </c>
      <c r="M1289" s="1" t="str">
        <f aca="false">IF(J1289&lt;&gt;"",J1289,L1289)</f>
        <v>22, 22, MISDREAVUS , &lt;null&gt;, &lt;null&gt;, &lt;null&gt;</v>
      </c>
    </row>
    <row r="1290" customFormat="false" ht="12.75" hidden="false" customHeight="true" outlineLevel="0" collapsed="false">
      <c r="A1290" s="3" t="s">
        <v>2536</v>
      </c>
      <c r="B1290" s="3" t="str">
        <f aca="false">IF(ISNUMBER(SEARCH("%", A1290)),RIGHT(A1290,3),A1290)</f>
        <v>NEW ROUTE</v>
      </c>
      <c r="C1290" s="1" t="str">
        <f aca="false" t="array" ref="C1290:C1290">IF(B1289="NEW ROUTE",textsplit(B1290,","),"")</f>
        <v/>
      </c>
      <c r="H1290" s="1" t="str">
        <f aca="false">IF(C1290&lt;&gt;"",DEC2HEX(C1290,2),"")</f>
        <v/>
      </c>
      <c r="I1290" s="1" t="str">
        <f aca="false">IF(D1290&lt;&gt;"",DEC2HEX(D1290,2),"")</f>
        <v/>
      </c>
      <c r="J1290" s="1" t="str">
        <f aca="false">IF(H1290&lt;&gt;"","0x"&amp;I1290&amp;H1290,"")</f>
        <v/>
      </c>
      <c r="L1290" s="1" t="s">
        <v>2536</v>
      </c>
      <c r="M1290" s="1" t="str">
        <f aca="false">IF(J1290&lt;&gt;"",J1290,L1290)</f>
        <v>NEW ROUTE</v>
      </c>
    </row>
    <row r="1291" customFormat="false" ht="12.75" hidden="false" customHeight="true" outlineLevel="0" collapsed="false">
      <c r="A1291" s="3" t="s">
        <v>3209</v>
      </c>
      <c r="B1291" s="3" t="str">
        <f aca="false">IF(ISNUMBER(SEARCH("%", A1291)),RIGHT(A1291,3),A1291)</f>
        <v>2, 19, 0,</v>
      </c>
      <c r="C1291" s="1" t="e">
        <f aca="false" t="array" ref="C1291:C1291">IF(B1290="NEW ROUTE",textsplit(B1291,","),"")</f>
        <v>#NAME?</v>
      </c>
      <c r="H1291" s="1" t="e">
        <f aca="false">IF(C1291&lt;&gt;"",DEC2HEX(C1291,2),"")</f>
        <v>#NAME?</v>
      </c>
      <c r="I1291" s="1" t="str">
        <f aca="false">IF(D1291&lt;&gt;"",DEC2HEX(D1291,2),"")</f>
        <v/>
      </c>
      <c r="J1291" s="1" t="e">
        <f aca="false">IF(H1291&lt;&gt;"","0x"&amp;I1291&amp;H1291,"")</f>
        <v>#NAME?</v>
      </c>
      <c r="L1291" s="1" t="s">
        <v>3209</v>
      </c>
      <c r="M1291" s="1" t="e">
        <f aca="false">IF(J1291&lt;&gt;"",J1291,L1291)</f>
        <v>#NAME?</v>
      </c>
    </row>
    <row r="1292" customFormat="false" ht="12.75" hidden="false" customHeight="true" outlineLevel="0" collapsed="false">
      <c r="A1292" s="3" t="s">
        <v>2816</v>
      </c>
      <c r="B1292" s="3" t="str">
        <f aca="false">IF(ISNUMBER(SEARCH("%", A1292)),RIGHT(A1292,3),A1292)</f>
        <v>20%</v>
      </c>
      <c r="C1292" s="1" t="str">
        <f aca="false" t="array" ref="C1292:C1292">IF(B1291="NEW ROUTE",textsplit(B1292,","),"")</f>
        <v/>
      </c>
      <c r="H1292" s="1" t="str">
        <f aca="false">IF(C1292&lt;&gt;"",DEC2HEX(C1292,2),"")</f>
        <v/>
      </c>
      <c r="I1292" s="1" t="str">
        <f aca="false">IF(D1292&lt;&gt;"",DEC2HEX(D1292,2),"")</f>
        <v/>
      </c>
      <c r="J1292" s="1" t="str">
        <f aca="false">IF(H1292&lt;&gt;"","0x"&amp;I1292&amp;H1292,"")</f>
        <v/>
      </c>
      <c r="L1292" s="1" t="s">
        <v>2799</v>
      </c>
      <c r="M1292" s="1" t="str">
        <f aca="false">IF(J1292&lt;&gt;"",J1292,L1292)</f>
        <v>20%</v>
      </c>
    </row>
    <row r="1293" customFormat="false" ht="12.75" hidden="false" customHeight="true" outlineLevel="0" collapsed="false">
      <c r="A1293" s="3" t="s">
        <v>1638</v>
      </c>
      <c r="B1293" s="3" t="str">
        <f aca="false">IF(ISNUMBER(SEARCH("%", A1293)),RIGHT(A1293,3),A1293)</f>
        <v>40, 40, GASTLY</v>
      </c>
      <c r="C1293" s="1" t="str">
        <f aca="false" t="array" ref="C1293:C1293">IF(B1292="NEW ROUTE",textsplit(B1293,","),"")</f>
        <v/>
      </c>
      <c r="H1293" s="1" t="str">
        <f aca="false">IF(C1293&lt;&gt;"",DEC2HEX(C1293,2),"")</f>
        <v/>
      </c>
      <c r="I1293" s="1" t="str">
        <f aca="false">IF(D1293&lt;&gt;"",DEC2HEX(D1293,2),"")</f>
        <v/>
      </c>
      <c r="J1293" s="1" t="str">
        <f aca="false">IF(H1293&lt;&gt;"","0x"&amp;I1293&amp;H1293,"")</f>
        <v/>
      </c>
      <c r="L1293" s="1" t="s">
        <v>1638</v>
      </c>
      <c r="M1293" s="1" t="str">
        <f aca="false">IF(J1293&lt;&gt;"",J1293,L1293)</f>
        <v>40, 40, GASTLY</v>
      </c>
    </row>
    <row r="1294" customFormat="false" ht="12.75" hidden="false" customHeight="true" outlineLevel="0" collapsed="false">
      <c r="A1294" s="3" t="s">
        <v>3192</v>
      </c>
      <c r="B1294" s="3" t="str">
        <f aca="false">IF(ISNUMBER(SEARCH("%", A1294)),RIGHT(A1294,3),A1294)</f>
        <v>37, 37, ZUBAT</v>
      </c>
      <c r="C1294" s="1" t="str">
        <f aca="false" t="array" ref="C1294:C1294">IF(B1293="NEW ROUTE",textsplit(B1294,","),"")</f>
        <v/>
      </c>
      <c r="H1294" s="1" t="str">
        <f aca="false">IF(C1294&lt;&gt;"",DEC2HEX(C1294,2),"")</f>
        <v/>
      </c>
      <c r="I1294" s="1" t="str">
        <f aca="false">IF(D1294&lt;&gt;"",DEC2HEX(D1294,2),"")</f>
        <v/>
      </c>
      <c r="J1294" s="1" t="str">
        <f aca="false">IF(H1294&lt;&gt;"","0x"&amp;I1294&amp;H1294,"")</f>
        <v/>
      </c>
      <c r="L1294" s="1" t="s">
        <v>3192</v>
      </c>
      <c r="M1294" s="1" t="str">
        <f aca="false">IF(J1294&lt;&gt;"",J1294,L1294)</f>
        <v>37, 37, ZUBAT</v>
      </c>
    </row>
    <row r="1295" customFormat="false" ht="12.75" hidden="false" customHeight="true" outlineLevel="0" collapsed="false">
      <c r="A1295" s="3" t="s">
        <v>2801</v>
      </c>
      <c r="B1295" s="3" t="str">
        <f aca="false">IF(ISNUMBER(SEARCH("%", A1295)),RIGHT(A1295,3),A1295)</f>
        <v>0.1</v>
      </c>
      <c r="C1295" s="1" t="str">
        <f aca="false" t="array" ref="C1295:C1295">IF(B1294="NEW ROUTE",textsplit(B1295,","),"")</f>
        <v/>
      </c>
      <c r="H1295" s="1" t="str">
        <f aca="false">IF(C1295&lt;&gt;"",DEC2HEX(C1295,2),"")</f>
        <v/>
      </c>
      <c r="I1295" s="1" t="str">
        <f aca="false">IF(D1295&lt;&gt;"",DEC2HEX(D1295,2),"")</f>
        <v/>
      </c>
      <c r="J1295" s="1" t="str">
        <f aca="false">IF(H1295&lt;&gt;"","0x"&amp;I1295&amp;H1295,"")</f>
        <v/>
      </c>
      <c r="L1295" s="1" t="s">
        <v>2801</v>
      </c>
      <c r="M1295" s="1" t="str">
        <f aca="false">IF(J1295&lt;&gt;"",J1295,L1295)</f>
        <v>0.1</v>
      </c>
    </row>
    <row r="1296" customFormat="false" ht="12.75" hidden="false" customHeight="true" outlineLevel="0" collapsed="false">
      <c r="A1296" s="3" t="s">
        <v>3193</v>
      </c>
      <c r="B1296" s="3" t="str">
        <f aca="false">IF(ISNUMBER(SEARCH("%", A1296)),RIGHT(A1296,3),A1296)</f>
        <v>44, 44, HAUNTER</v>
      </c>
      <c r="C1296" s="1" t="str">
        <f aca="false" t="array" ref="C1296:C1296">IF(B1295="NEW ROUTE",textsplit(B1296,","),"")</f>
        <v/>
      </c>
      <c r="H1296" s="1" t="str">
        <f aca="false">IF(C1296&lt;&gt;"",DEC2HEX(C1296,2),"")</f>
        <v/>
      </c>
      <c r="I1296" s="1" t="str">
        <f aca="false">IF(D1296&lt;&gt;"",DEC2HEX(D1296,2),"")</f>
        <v/>
      </c>
      <c r="J1296" s="1" t="str">
        <f aca="false">IF(H1296&lt;&gt;"","0x"&amp;I1296&amp;H1296,"")</f>
        <v/>
      </c>
      <c r="L1296" s="1" t="s">
        <v>3193</v>
      </c>
      <c r="M1296" s="1" t="str">
        <f aca="false">IF(J1296&lt;&gt;"",J1296,L1296)</f>
        <v>44, 44, HAUNTER</v>
      </c>
    </row>
    <row r="1297" customFormat="false" ht="12.75" hidden="false" customHeight="true" outlineLevel="0" collapsed="false">
      <c r="A1297" s="3" t="s">
        <v>3194</v>
      </c>
      <c r="B1297" s="3" t="str">
        <f aca="false">IF(ISNUMBER(SEARCH("%", A1297)),RIGHT(A1297,3),A1297)</f>
        <v>46, 46, HAUNTER</v>
      </c>
      <c r="C1297" s="1" t="str">
        <f aca="false" t="array" ref="C1297:C1297">IF(B1296="NEW ROUTE",textsplit(B1297,","),"")</f>
        <v/>
      </c>
      <c r="H1297" s="1" t="str">
        <f aca="false">IF(C1297&lt;&gt;"",DEC2HEX(C1297,2),"")</f>
        <v/>
      </c>
      <c r="I1297" s="1" t="str">
        <f aca="false">IF(D1297&lt;&gt;"",DEC2HEX(D1297,2),"")</f>
        <v/>
      </c>
      <c r="J1297" s="1" t="str">
        <f aca="false">IF(H1297&lt;&gt;"","0x"&amp;I1297&amp;H1297,"")</f>
        <v/>
      </c>
      <c r="L1297" s="1" t="s">
        <v>3194</v>
      </c>
      <c r="M1297" s="1" t="str">
        <f aca="false">IF(J1297&lt;&gt;"",J1297,L1297)</f>
        <v>46, 46, HAUNTER</v>
      </c>
    </row>
    <row r="1298" customFormat="false" ht="12.75" hidden="false" customHeight="true" outlineLevel="0" collapsed="false">
      <c r="A1298" s="3" t="s">
        <v>3195</v>
      </c>
      <c r="B1298" s="3" t="str">
        <f aca="false">IF(ISNUMBER(SEARCH("%", A1298)),RIGHT(A1298,3),A1298)</f>
        <v>41, 41, GOLBAT</v>
      </c>
      <c r="C1298" s="1" t="str">
        <f aca="false" t="array" ref="C1298:C1298">IF(B1297="NEW ROUTE",textsplit(B1298,","),"")</f>
        <v/>
      </c>
      <c r="H1298" s="1" t="str">
        <f aca="false">IF(C1298&lt;&gt;"",DEC2HEX(C1298,2),"")</f>
        <v/>
      </c>
      <c r="I1298" s="1" t="str">
        <f aca="false">IF(D1298&lt;&gt;"",DEC2HEX(D1298,2),"")</f>
        <v/>
      </c>
      <c r="J1298" s="1" t="str">
        <f aca="false">IF(H1298&lt;&gt;"","0x"&amp;I1298&amp;H1298,"")</f>
        <v/>
      </c>
      <c r="L1298" s="1" t="s">
        <v>3195</v>
      </c>
      <c r="M1298" s="1" t="str">
        <f aca="false">IF(J1298&lt;&gt;"",J1298,L1298)</f>
        <v>41, 41, GOLBAT</v>
      </c>
    </row>
    <row r="1299" customFormat="false" ht="12.75" hidden="false" customHeight="true" outlineLevel="0" collapsed="false">
      <c r="A1299" s="3" t="s">
        <v>3196</v>
      </c>
      <c r="B1299" s="3" t="str">
        <f aca="false">IF(ISNUMBER(SEARCH("%", A1299)),RIGHT(A1299,3),A1299)</f>
        <v>43, 43, GOLBAT</v>
      </c>
      <c r="C1299" s="1" t="str">
        <f aca="false" t="array" ref="C1299:C1299">IF(B1298="NEW ROUTE",textsplit(B1299,","),"")</f>
        <v/>
      </c>
      <c r="H1299" s="1" t="str">
        <f aca="false">IF(C1299&lt;&gt;"",DEC2HEX(C1299,2),"")</f>
        <v/>
      </c>
      <c r="I1299" s="1" t="str">
        <f aca="false">IF(D1299&lt;&gt;"",DEC2HEX(D1299,2),"")</f>
        <v/>
      </c>
      <c r="J1299" s="1" t="str">
        <f aca="false">IF(H1299&lt;&gt;"","0x"&amp;I1299&amp;H1299,"")</f>
        <v/>
      </c>
      <c r="L1299" s="1" t="s">
        <v>3196</v>
      </c>
      <c r="M1299" s="1" t="str">
        <f aca="false">IF(J1299&lt;&gt;"",J1299,L1299)</f>
        <v>43, 43, GOLBAT</v>
      </c>
    </row>
    <row r="1300" customFormat="false" ht="12.75" hidden="false" customHeight="true" outlineLevel="0" collapsed="false">
      <c r="A1300" s="3" t="s">
        <v>2806</v>
      </c>
      <c r="B1300" s="3" t="str">
        <f aca="false">IF(ISNUMBER(SEARCH("%", A1300)),RIGHT(A1300,3),A1300)</f>
        <v>0.05</v>
      </c>
      <c r="C1300" s="1" t="str">
        <f aca="false" t="array" ref="C1300:C1300">IF(B1299="NEW ROUTE",textsplit(B1300,","),"")</f>
        <v/>
      </c>
      <c r="H1300" s="1" t="str">
        <f aca="false">IF(C1300&lt;&gt;"",DEC2HEX(C1300,2),"")</f>
        <v/>
      </c>
      <c r="I1300" s="1" t="str">
        <f aca="false">IF(D1300&lt;&gt;"",DEC2HEX(D1300,2),"")</f>
        <v/>
      </c>
      <c r="J1300" s="1" t="str">
        <f aca="false">IF(H1300&lt;&gt;"","0x"&amp;I1300&amp;H1300,"")</f>
        <v/>
      </c>
      <c r="L1300" s="1" t="s">
        <v>2806</v>
      </c>
      <c r="M1300" s="1" t="str">
        <f aca="false">IF(J1300&lt;&gt;"",J1300,L1300)</f>
        <v>0.05</v>
      </c>
    </row>
    <row r="1301" customFormat="false" ht="12.75" hidden="false" customHeight="true" outlineLevel="0" collapsed="false">
      <c r="A1301" s="3" t="s">
        <v>3197</v>
      </c>
      <c r="B1301" s="3" t="str">
        <f aca="false">IF(ISNUMBER(SEARCH("%", A1301)),RIGHT(A1301,3),A1301)</f>
        <v>38, 38, GASTLY</v>
      </c>
      <c r="C1301" s="1" t="str">
        <f aca="false" t="array" ref="C1301:C1301">IF(B1300="NEW ROUTE",textsplit(B1301,","),"")</f>
        <v/>
      </c>
      <c r="H1301" s="1" t="str">
        <f aca="false">IF(C1301&lt;&gt;"",DEC2HEX(C1301,2),"")</f>
        <v/>
      </c>
      <c r="I1301" s="1" t="str">
        <f aca="false">IF(D1301&lt;&gt;"",DEC2HEX(D1301,2),"")</f>
        <v/>
      </c>
      <c r="J1301" s="1" t="str">
        <f aca="false">IF(H1301&lt;&gt;"","0x"&amp;I1301&amp;H1301,"")</f>
        <v/>
      </c>
      <c r="L1301" s="1" t="s">
        <v>3197</v>
      </c>
      <c r="M1301" s="1" t="str">
        <f aca="false">IF(J1301&lt;&gt;"",J1301,L1301)</f>
        <v>38, 38, GASTLY</v>
      </c>
    </row>
    <row r="1302" customFormat="false" ht="12.75" hidden="false" customHeight="true" outlineLevel="0" collapsed="false">
      <c r="A1302" s="3" t="s">
        <v>3198</v>
      </c>
      <c r="B1302" s="3" t="str">
        <f aca="false">IF(ISNUMBER(SEARCH("%", A1302)),RIGHT(A1302,3),A1302)</f>
        <v>48, 48, HAUNTER</v>
      </c>
      <c r="C1302" s="1" t="str">
        <f aca="false" t="array" ref="C1302:C1302">IF(B1301="NEW ROUTE",textsplit(B1302,","),"")</f>
        <v/>
      </c>
      <c r="H1302" s="1" t="str">
        <f aca="false">IF(C1302&lt;&gt;"",DEC2HEX(C1302,2),"")</f>
        <v/>
      </c>
      <c r="I1302" s="1" t="str">
        <f aca="false">IF(D1302&lt;&gt;"",DEC2HEX(D1302,2),"")</f>
        <v/>
      </c>
      <c r="J1302" s="1" t="str">
        <f aca="false">IF(H1302&lt;&gt;"","0x"&amp;I1302&amp;H1302,"")</f>
        <v/>
      </c>
      <c r="L1302" s="1" t="s">
        <v>3198</v>
      </c>
      <c r="M1302" s="1" t="str">
        <f aca="false">IF(J1302&lt;&gt;"",J1302,L1302)</f>
        <v>48, 48, HAUNTER</v>
      </c>
    </row>
    <row r="1303" customFormat="false" ht="12.75" hidden="false" customHeight="true" outlineLevel="0" collapsed="false">
      <c r="A1303" s="3" t="s">
        <v>2809</v>
      </c>
      <c r="B1303" s="3" t="str">
        <f aca="false">IF(ISNUMBER(SEARCH("%", A1303)),RIGHT(A1303,3),A1303)</f>
        <v>0.04</v>
      </c>
      <c r="C1303" s="1" t="str">
        <f aca="false" t="array" ref="C1303:C1303">IF(B1302="NEW ROUTE",textsplit(B1303,","),"")</f>
        <v/>
      </c>
      <c r="H1303" s="1" t="str">
        <f aca="false">IF(C1303&lt;&gt;"",DEC2HEX(C1303,2),"")</f>
        <v/>
      </c>
      <c r="I1303" s="1" t="str">
        <f aca="false">IF(D1303&lt;&gt;"",DEC2HEX(D1303,2),"")</f>
        <v/>
      </c>
      <c r="J1303" s="1" t="str">
        <f aca="false">IF(H1303&lt;&gt;"","0x"&amp;I1303&amp;H1303,"")</f>
        <v/>
      </c>
      <c r="L1303" s="1" t="s">
        <v>2809</v>
      </c>
      <c r="M1303" s="1" t="str">
        <f aca="false">IF(J1303&lt;&gt;"",J1303,L1303)</f>
        <v>0.04</v>
      </c>
    </row>
    <row r="1304" customFormat="false" ht="12.75" hidden="false" customHeight="true" outlineLevel="0" collapsed="false">
      <c r="A1304" s="3" t="s">
        <v>3199</v>
      </c>
      <c r="B1304" s="3" t="str">
        <f aca="false">IF(ISNUMBER(SEARCH("%", A1304)),RIGHT(A1304,3),A1304)</f>
        <v>50, 50, HAUNTER</v>
      </c>
      <c r="C1304" s="1" t="str">
        <f aca="false" t="array" ref="C1304:C1304">IF(B1303="NEW ROUTE",textsplit(B1304,","),"")</f>
        <v/>
      </c>
      <c r="H1304" s="1" t="str">
        <f aca="false">IF(C1304&lt;&gt;"",DEC2HEX(C1304,2),"")</f>
        <v/>
      </c>
      <c r="I1304" s="1" t="str">
        <f aca="false">IF(D1304&lt;&gt;"",DEC2HEX(D1304,2),"")</f>
        <v/>
      </c>
      <c r="J1304" s="1" t="str">
        <f aca="false">IF(H1304&lt;&gt;"","0x"&amp;I1304&amp;H1304,"")</f>
        <v/>
      </c>
      <c r="L1304" s="1" t="s">
        <v>3199</v>
      </c>
      <c r="M1304" s="1" t="str">
        <f aca="false">IF(J1304&lt;&gt;"",J1304,L1304)</f>
        <v>50, 50, HAUNTER</v>
      </c>
    </row>
    <row r="1305" customFormat="false" ht="12.75" hidden="false" customHeight="true" outlineLevel="0" collapsed="false">
      <c r="A1305" s="3" t="s">
        <v>3200</v>
      </c>
      <c r="B1305" s="3" t="str">
        <f aca="false">IF(ISNUMBER(SEARCH("%", A1305)),RIGHT(A1305,3),A1305)</f>
        <v>22, 22, MISDREAVUS</v>
      </c>
      <c r="C1305" s="1" t="str">
        <f aca="false" t="array" ref="C1305:C1305">IF(B1304="NEW ROUTE",textsplit(B1305,","),"")</f>
        <v/>
      </c>
      <c r="H1305" s="1" t="str">
        <f aca="false">IF(C1305&lt;&gt;"",DEC2HEX(C1305,2),"")</f>
        <v/>
      </c>
      <c r="I1305" s="1" t="str">
        <f aca="false">IF(D1305&lt;&gt;"",DEC2HEX(D1305,2),"")</f>
        <v/>
      </c>
      <c r="J1305" s="1" t="str">
        <f aca="false">IF(H1305&lt;&gt;"","0x"&amp;I1305&amp;H1305,"")</f>
        <v/>
      </c>
      <c r="L1305" s="1" t="s">
        <v>3200</v>
      </c>
      <c r="M1305" s="1" t="str">
        <f aca="false">IF(J1305&lt;&gt;"",J1305,L1305)</f>
        <v>22, 22, MISDREAVUS</v>
      </c>
    </row>
    <row r="1306" customFormat="false" ht="12.75" hidden="false" customHeight="true" outlineLevel="0" collapsed="false">
      <c r="A1306" s="3" t="s">
        <v>2812</v>
      </c>
      <c r="B1306" s="3" t="str">
        <f aca="false">IF(ISNUMBER(SEARCH("%", A1306)),RIGHT(A1306,3),A1306)</f>
        <v>0.01</v>
      </c>
      <c r="C1306" s="1" t="str">
        <f aca="false" t="array" ref="C1306:C1306">IF(B1305="NEW ROUTE",textsplit(B1306,","),"")</f>
        <v/>
      </c>
      <c r="H1306" s="1" t="str">
        <f aca="false">IF(C1306&lt;&gt;"",DEC2HEX(C1306,2),"")</f>
        <v/>
      </c>
      <c r="I1306" s="1" t="str">
        <f aca="false">IF(D1306&lt;&gt;"",DEC2HEX(D1306,2),"")</f>
        <v/>
      </c>
      <c r="J1306" s="1" t="str">
        <f aca="false">IF(H1306&lt;&gt;"","0x"&amp;I1306&amp;H1306,"")</f>
        <v/>
      </c>
      <c r="L1306" s="1" t="s">
        <v>2812</v>
      </c>
      <c r="M1306" s="1" t="str">
        <f aca="false">IF(J1306&lt;&gt;"",J1306,L1306)</f>
        <v>0.01</v>
      </c>
    </row>
    <row r="1307" customFormat="false" ht="12.75" hidden="false" customHeight="true" outlineLevel="0" collapsed="false">
      <c r="A1307" s="3" t="s">
        <v>3201</v>
      </c>
      <c r="B1307" s="3" t="str">
        <f aca="false">IF(ISNUMBER(SEARCH("%", A1307)),RIGHT(A1307,3),A1307)</f>
        <v>52, 52, HAUNTER</v>
      </c>
      <c r="C1307" s="1" t="str">
        <f aca="false" t="array" ref="C1307:C1307">IF(B1306="NEW ROUTE",textsplit(B1307,","),"")</f>
        <v/>
      </c>
      <c r="H1307" s="1" t="str">
        <f aca="false">IF(C1307&lt;&gt;"",DEC2HEX(C1307,2),"")</f>
        <v/>
      </c>
      <c r="I1307" s="1" t="str">
        <f aca="false">IF(D1307&lt;&gt;"",DEC2HEX(D1307,2),"")</f>
        <v/>
      </c>
      <c r="J1307" s="1" t="str">
        <f aca="false">IF(H1307&lt;&gt;"","0x"&amp;I1307&amp;H1307,"")</f>
        <v/>
      </c>
      <c r="L1307" s="1" t="s">
        <v>3201</v>
      </c>
      <c r="M1307" s="1" t="str">
        <f aca="false">IF(J1307&lt;&gt;"",J1307,L1307)</f>
        <v>52, 52, HAUNTER</v>
      </c>
    </row>
    <row r="1308" customFormat="false" ht="12.75" hidden="false" customHeight="true" outlineLevel="0" collapsed="false">
      <c r="A1308" s="3" t="s">
        <v>3202</v>
      </c>
      <c r="B1308" s="3" t="str">
        <f aca="false">IF(ISNUMBER(SEARCH("%", A1308)),RIGHT(A1308,3),A1308)</f>
        <v>22, 22, MISDREAVUS , &lt;null&gt;, &lt;null&gt;, &lt;null&gt;</v>
      </c>
      <c r="C1308" s="1" t="str">
        <f aca="false" t="array" ref="C1308:C1308">IF(B1307="NEW ROUTE",textsplit(B1308,","),"")</f>
        <v/>
      </c>
      <c r="H1308" s="1" t="str">
        <f aca="false">IF(C1308&lt;&gt;"",DEC2HEX(C1308,2),"")</f>
        <v/>
      </c>
      <c r="I1308" s="1" t="str">
        <f aca="false">IF(D1308&lt;&gt;"",DEC2HEX(D1308,2),"")</f>
        <v/>
      </c>
      <c r="J1308" s="1" t="str">
        <f aca="false">IF(H1308&lt;&gt;"","0x"&amp;I1308&amp;H1308,"")</f>
        <v/>
      </c>
      <c r="L1308" s="1" t="s">
        <v>3202</v>
      </c>
      <c r="M1308" s="1" t="str">
        <f aca="false">IF(J1308&lt;&gt;"",J1308,L1308)</f>
        <v>22, 22, MISDREAVUS , &lt;null&gt;, &lt;null&gt;, &lt;null&gt;</v>
      </c>
    </row>
    <row r="1309" customFormat="false" ht="12.75" hidden="false" customHeight="true" outlineLevel="0" collapsed="false">
      <c r="A1309" s="3" t="s">
        <v>2536</v>
      </c>
      <c r="B1309" s="3" t="str">
        <f aca="false">IF(ISNUMBER(SEARCH("%", A1309)),RIGHT(A1309,3),A1309)</f>
        <v>NEW ROUTE</v>
      </c>
      <c r="C1309" s="1" t="str">
        <f aca="false" t="array" ref="C1309:C1309">IF(B1308="NEW ROUTE",textsplit(B1309,","),"")</f>
        <v/>
      </c>
      <c r="H1309" s="1" t="str">
        <f aca="false">IF(C1309&lt;&gt;"",DEC2HEX(C1309,2),"")</f>
        <v/>
      </c>
      <c r="I1309" s="1" t="str">
        <f aca="false">IF(D1309&lt;&gt;"",DEC2HEX(D1309,2),"")</f>
        <v/>
      </c>
      <c r="J1309" s="1" t="str">
        <f aca="false">IF(H1309&lt;&gt;"","0x"&amp;I1309&amp;H1309,"")</f>
        <v/>
      </c>
      <c r="L1309" s="1" t="s">
        <v>2536</v>
      </c>
      <c r="M1309" s="1" t="str">
        <f aca="false">IF(J1309&lt;&gt;"",J1309,L1309)</f>
        <v>NEW ROUTE</v>
      </c>
    </row>
    <row r="1310" customFormat="false" ht="12.75" hidden="false" customHeight="true" outlineLevel="0" collapsed="false">
      <c r="A1310" s="3" t="s">
        <v>3210</v>
      </c>
      <c r="B1310" s="3" t="str">
        <f aca="false">IF(ISNUMBER(SEARCH("%", A1310)),RIGHT(A1310,3),A1310)</f>
        <v>2, 20, 0,</v>
      </c>
      <c r="C1310" s="1" t="e">
        <f aca="false" t="array" ref="C1310:C1310">IF(B1309="NEW ROUTE",textsplit(B1310,","),"")</f>
        <v>#NAME?</v>
      </c>
      <c r="H1310" s="1" t="e">
        <f aca="false">IF(C1310&lt;&gt;"",DEC2HEX(C1310,2),"")</f>
        <v>#NAME?</v>
      </c>
      <c r="I1310" s="1" t="str">
        <f aca="false">IF(D1310&lt;&gt;"",DEC2HEX(D1310,2),"")</f>
        <v/>
      </c>
      <c r="J1310" s="1" t="e">
        <f aca="false">IF(H1310&lt;&gt;"","0x"&amp;I1310&amp;H1310,"")</f>
        <v>#NAME?</v>
      </c>
      <c r="L1310" s="1" t="s">
        <v>3210</v>
      </c>
      <c r="M1310" s="1" t="e">
        <f aca="false">IF(J1310&lt;&gt;"",J1310,L1310)</f>
        <v>#NAME?</v>
      </c>
    </row>
    <row r="1311" customFormat="false" ht="12.75" hidden="false" customHeight="true" outlineLevel="0" collapsed="false">
      <c r="A1311" s="3" t="s">
        <v>3053</v>
      </c>
      <c r="B1311" s="3" t="str">
        <f aca="false">IF(ISNUMBER(SEARCH("%", A1311)),RIGHT(A1311,3),A1311)</f>
        <v>20%</v>
      </c>
      <c r="C1311" s="1" t="str">
        <f aca="false" t="array" ref="C1311:C1311">IF(B1310="NEW ROUTE",textsplit(B1311,","),"")</f>
        <v/>
      </c>
      <c r="H1311" s="1" t="str">
        <f aca="false">IF(C1311&lt;&gt;"",DEC2HEX(C1311,2),"")</f>
        <v/>
      </c>
      <c r="I1311" s="1" t="str">
        <f aca="false">IF(D1311&lt;&gt;"",DEC2HEX(D1311,2),"")</f>
        <v/>
      </c>
      <c r="J1311" s="1" t="str">
        <f aca="false">IF(H1311&lt;&gt;"","0x"&amp;I1311&amp;H1311,"")</f>
        <v/>
      </c>
      <c r="L1311" s="1" t="s">
        <v>2799</v>
      </c>
      <c r="M1311" s="1" t="str">
        <f aca="false">IF(J1311&lt;&gt;"",J1311,L1311)</f>
        <v>20%</v>
      </c>
    </row>
    <row r="1312" customFormat="false" ht="12.75" hidden="false" customHeight="true" outlineLevel="0" collapsed="false">
      <c r="A1312" s="3" t="s">
        <v>1638</v>
      </c>
      <c r="B1312" s="3" t="str">
        <f aca="false">IF(ISNUMBER(SEARCH("%", A1312)),RIGHT(A1312,3),A1312)</f>
        <v>40, 40, GASTLY</v>
      </c>
      <c r="C1312" s="1" t="str">
        <f aca="false" t="array" ref="C1312:C1312">IF(B1311="NEW ROUTE",textsplit(B1312,","),"")</f>
        <v/>
      </c>
      <c r="H1312" s="1" t="str">
        <f aca="false">IF(C1312&lt;&gt;"",DEC2HEX(C1312,2),"")</f>
        <v/>
      </c>
      <c r="I1312" s="1" t="str">
        <f aca="false">IF(D1312&lt;&gt;"",DEC2HEX(D1312,2),"")</f>
        <v/>
      </c>
      <c r="J1312" s="1" t="str">
        <f aca="false">IF(H1312&lt;&gt;"","0x"&amp;I1312&amp;H1312,"")</f>
        <v/>
      </c>
      <c r="L1312" s="1" t="s">
        <v>1638</v>
      </c>
      <c r="M1312" s="1" t="str">
        <f aca="false">IF(J1312&lt;&gt;"",J1312,L1312)</f>
        <v>40, 40, GASTLY</v>
      </c>
    </row>
    <row r="1313" customFormat="false" ht="12.75" hidden="false" customHeight="true" outlineLevel="0" collapsed="false">
      <c r="A1313" s="3" t="s">
        <v>3192</v>
      </c>
      <c r="B1313" s="3" t="str">
        <f aca="false">IF(ISNUMBER(SEARCH("%", A1313)),RIGHT(A1313,3),A1313)</f>
        <v>37, 37, ZUBAT</v>
      </c>
      <c r="C1313" s="1" t="str">
        <f aca="false" t="array" ref="C1313:C1313">IF(B1312="NEW ROUTE",textsplit(B1313,","),"")</f>
        <v/>
      </c>
      <c r="H1313" s="1" t="str">
        <f aca="false">IF(C1313&lt;&gt;"",DEC2HEX(C1313,2),"")</f>
        <v/>
      </c>
      <c r="I1313" s="1" t="str">
        <f aca="false">IF(D1313&lt;&gt;"",DEC2HEX(D1313,2),"")</f>
        <v/>
      </c>
      <c r="J1313" s="1" t="str">
        <f aca="false">IF(H1313&lt;&gt;"","0x"&amp;I1313&amp;H1313,"")</f>
        <v/>
      </c>
      <c r="L1313" s="1" t="s">
        <v>3192</v>
      </c>
      <c r="M1313" s="1" t="str">
        <f aca="false">IF(J1313&lt;&gt;"",J1313,L1313)</f>
        <v>37, 37, ZUBAT</v>
      </c>
    </row>
    <row r="1314" customFormat="false" ht="12.75" hidden="false" customHeight="true" outlineLevel="0" collapsed="false">
      <c r="A1314" s="3" t="s">
        <v>2801</v>
      </c>
      <c r="B1314" s="3" t="str">
        <f aca="false">IF(ISNUMBER(SEARCH("%", A1314)),RIGHT(A1314,3),A1314)</f>
        <v>0.1</v>
      </c>
      <c r="C1314" s="1" t="str">
        <f aca="false" t="array" ref="C1314:C1314">IF(B1313="NEW ROUTE",textsplit(B1314,","),"")</f>
        <v/>
      </c>
      <c r="H1314" s="1" t="str">
        <f aca="false">IF(C1314&lt;&gt;"",DEC2HEX(C1314,2),"")</f>
        <v/>
      </c>
      <c r="I1314" s="1" t="str">
        <f aca="false">IF(D1314&lt;&gt;"",DEC2HEX(D1314,2),"")</f>
        <v/>
      </c>
      <c r="J1314" s="1" t="str">
        <f aca="false">IF(H1314&lt;&gt;"","0x"&amp;I1314&amp;H1314,"")</f>
        <v/>
      </c>
      <c r="L1314" s="1" t="s">
        <v>2801</v>
      </c>
      <c r="M1314" s="1" t="str">
        <f aca="false">IF(J1314&lt;&gt;"",J1314,L1314)</f>
        <v>0.1</v>
      </c>
    </row>
    <row r="1315" customFormat="false" ht="12.75" hidden="false" customHeight="true" outlineLevel="0" collapsed="false">
      <c r="A1315" s="3" t="s">
        <v>3193</v>
      </c>
      <c r="B1315" s="3" t="str">
        <f aca="false">IF(ISNUMBER(SEARCH("%", A1315)),RIGHT(A1315,3),A1315)</f>
        <v>44, 44, HAUNTER</v>
      </c>
      <c r="C1315" s="1" t="str">
        <f aca="false" t="array" ref="C1315:C1315">IF(B1314="NEW ROUTE",textsplit(B1315,","),"")</f>
        <v/>
      </c>
      <c r="H1315" s="1" t="str">
        <f aca="false">IF(C1315&lt;&gt;"",DEC2HEX(C1315,2),"")</f>
        <v/>
      </c>
      <c r="I1315" s="1" t="str">
        <f aca="false">IF(D1315&lt;&gt;"",DEC2HEX(D1315,2),"")</f>
        <v/>
      </c>
      <c r="J1315" s="1" t="str">
        <f aca="false">IF(H1315&lt;&gt;"","0x"&amp;I1315&amp;H1315,"")</f>
        <v/>
      </c>
      <c r="L1315" s="1" t="s">
        <v>3193</v>
      </c>
      <c r="M1315" s="1" t="str">
        <f aca="false">IF(J1315&lt;&gt;"",J1315,L1315)</f>
        <v>44, 44, HAUNTER</v>
      </c>
    </row>
    <row r="1316" customFormat="false" ht="12.75" hidden="false" customHeight="true" outlineLevel="0" collapsed="false">
      <c r="A1316" s="3" t="s">
        <v>3194</v>
      </c>
      <c r="B1316" s="3" t="str">
        <f aca="false">IF(ISNUMBER(SEARCH("%", A1316)),RIGHT(A1316,3),A1316)</f>
        <v>46, 46, HAUNTER</v>
      </c>
      <c r="C1316" s="1" t="str">
        <f aca="false" t="array" ref="C1316:C1316">IF(B1315="NEW ROUTE",textsplit(B1316,","),"")</f>
        <v/>
      </c>
      <c r="H1316" s="1" t="str">
        <f aca="false">IF(C1316&lt;&gt;"",DEC2HEX(C1316,2),"")</f>
        <v/>
      </c>
      <c r="I1316" s="1" t="str">
        <f aca="false">IF(D1316&lt;&gt;"",DEC2HEX(D1316,2),"")</f>
        <v/>
      </c>
      <c r="J1316" s="1" t="str">
        <f aca="false">IF(H1316&lt;&gt;"","0x"&amp;I1316&amp;H1316,"")</f>
        <v/>
      </c>
      <c r="L1316" s="1" t="s">
        <v>3194</v>
      </c>
      <c r="M1316" s="1" t="str">
        <f aca="false">IF(J1316&lt;&gt;"",J1316,L1316)</f>
        <v>46, 46, HAUNTER</v>
      </c>
    </row>
    <row r="1317" customFormat="false" ht="12.75" hidden="false" customHeight="true" outlineLevel="0" collapsed="false">
      <c r="A1317" s="3" t="s">
        <v>3195</v>
      </c>
      <c r="B1317" s="3" t="str">
        <f aca="false">IF(ISNUMBER(SEARCH("%", A1317)),RIGHT(A1317,3),A1317)</f>
        <v>41, 41, GOLBAT</v>
      </c>
      <c r="C1317" s="1" t="str">
        <f aca="false" t="array" ref="C1317:C1317">IF(B1316="NEW ROUTE",textsplit(B1317,","),"")</f>
        <v/>
      </c>
      <c r="H1317" s="1" t="str">
        <f aca="false">IF(C1317&lt;&gt;"",DEC2HEX(C1317,2),"")</f>
        <v/>
      </c>
      <c r="I1317" s="1" t="str">
        <f aca="false">IF(D1317&lt;&gt;"",DEC2HEX(D1317,2),"")</f>
        <v/>
      </c>
      <c r="J1317" s="1" t="str">
        <f aca="false">IF(H1317&lt;&gt;"","0x"&amp;I1317&amp;H1317,"")</f>
        <v/>
      </c>
      <c r="L1317" s="1" t="s">
        <v>3195</v>
      </c>
      <c r="M1317" s="1" t="str">
        <f aca="false">IF(J1317&lt;&gt;"",J1317,L1317)</f>
        <v>41, 41, GOLBAT</v>
      </c>
    </row>
    <row r="1318" customFormat="false" ht="12.75" hidden="false" customHeight="true" outlineLevel="0" collapsed="false">
      <c r="A1318" s="3" t="s">
        <v>3196</v>
      </c>
      <c r="B1318" s="3" t="str">
        <f aca="false">IF(ISNUMBER(SEARCH("%", A1318)),RIGHT(A1318,3),A1318)</f>
        <v>43, 43, GOLBAT</v>
      </c>
      <c r="C1318" s="1" t="str">
        <f aca="false" t="array" ref="C1318:C1318">IF(B1317="NEW ROUTE",textsplit(B1318,","),"")</f>
        <v/>
      </c>
      <c r="H1318" s="1" t="str">
        <f aca="false">IF(C1318&lt;&gt;"",DEC2HEX(C1318,2),"")</f>
        <v/>
      </c>
      <c r="I1318" s="1" t="str">
        <f aca="false">IF(D1318&lt;&gt;"",DEC2HEX(D1318,2),"")</f>
        <v/>
      </c>
      <c r="J1318" s="1" t="str">
        <f aca="false">IF(H1318&lt;&gt;"","0x"&amp;I1318&amp;H1318,"")</f>
        <v/>
      </c>
      <c r="L1318" s="1" t="s">
        <v>3196</v>
      </c>
      <c r="M1318" s="1" t="str">
        <f aca="false">IF(J1318&lt;&gt;"",J1318,L1318)</f>
        <v>43, 43, GOLBAT</v>
      </c>
    </row>
    <row r="1319" customFormat="false" ht="12.75" hidden="false" customHeight="true" outlineLevel="0" collapsed="false">
      <c r="A1319" s="3" t="s">
        <v>2806</v>
      </c>
      <c r="B1319" s="3" t="str">
        <f aca="false">IF(ISNUMBER(SEARCH("%", A1319)),RIGHT(A1319,3),A1319)</f>
        <v>0.05</v>
      </c>
      <c r="C1319" s="1" t="str">
        <f aca="false" t="array" ref="C1319:C1319">IF(B1318="NEW ROUTE",textsplit(B1319,","),"")</f>
        <v/>
      </c>
      <c r="H1319" s="1" t="str">
        <f aca="false">IF(C1319&lt;&gt;"",DEC2HEX(C1319,2),"")</f>
        <v/>
      </c>
      <c r="I1319" s="1" t="str">
        <f aca="false">IF(D1319&lt;&gt;"",DEC2HEX(D1319,2),"")</f>
        <v/>
      </c>
      <c r="J1319" s="1" t="str">
        <f aca="false">IF(H1319&lt;&gt;"","0x"&amp;I1319&amp;H1319,"")</f>
        <v/>
      </c>
      <c r="L1319" s="1" t="s">
        <v>2806</v>
      </c>
      <c r="M1319" s="1" t="str">
        <f aca="false">IF(J1319&lt;&gt;"",J1319,L1319)</f>
        <v>0.05</v>
      </c>
    </row>
    <row r="1320" customFormat="false" ht="12.75" hidden="false" customHeight="true" outlineLevel="0" collapsed="false">
      <c r="A1320" s="3" t="s">
        <v>3197</v>
      </c>
      <c r="B1320" s="3" t="str">
        <f aca="false">IF(ISNUMBER(SEARCH("%", A1320)),RIGHT(A1320,3),A1320)</f>
        <v>38, 38, GASTLY</v>
      </c>
      <c r="C1320" s="1" t="str">
        <f aca="false" t="array" ref="C1320:C1320">IF(B1319="NEW ROUTE",textsplit(B1320,","),"")</f>
        <v/>
      </c>
      <c r="H1320" s="1" t="str">
        <f aca="false">IF(C1320&lt;&gt;"",DEC2HEX(C1320,2),"")</f>
        <v/>
      </c>
      <c r="I1320" s="1" t="str">
        <f aca="false">IF(D1320&lt;&gt;"",DEC2HEX(D1320,2),"")</f>
        <v/>
      </c>
      <c r="J1320" s="1" t="str">
        <f aca="false">IF(H1320&lt;&gt;"","0x"&amp;I1320&amp;H1320,"")</f>
        <v/>
      </c>
      <c r="L1320" s="1" t="s">
        <v>3197</v>
      </c>
      <c r="M1320" s="1" t="str">
        <f aca="false">IF(J1320&lt;&gt;"",J1320,L1320)</f>
        <v>38, 38, GASTLY</v>
      </c>
    </row>
    <row r="1321" customFormat="false" ht="12.75" hidden="false" customHeight="true" outlineLevel="0" collapsed="false">
      <c r="A1321" s="3" t="s">
        <v>3198</v>
      </c>
      <c r="B1321" s="3" t="str">
        <f aca="false">IF(ISNUMBER(SEARCH("%", A1321)),RIGHT(A1321,3),A1321)</f>
        <v>48, 48, HAUNTER</v>
      </c>
      <c r="C1321" s="1" t="str">
        <f aca="false" t="array" ref="C1321:C1321">IF(B1320="NEW ROUTE",textsplit(B1321,","),"")</f>
        <v/>
      </c>
      <c r="H1321" s="1" t="str">
        <f aca="false">IF(C1321&lt;&gt;"",DEC2HEX(C1321,2),"")</f>
        <v/>
      </c>
      <c r="I1321" s="1" t="str">
        <f aca="false">IF(D1321&lt;&gt;"",DEC2HEX(D1321,2),"")</f>
        <v/>
      </c>
      <c r="J1321" s="1" t="str">
        <f aca="false">IF(H1321&lt;&gt;"","0x"&amp;I1321&amp;H1321,"")</f>
        <v/>
      </c>
      <c r="L1321" s="1" t="s">
        <v>3198</v>
      </c>
      <c r="M1321" s="1" t="str">
        <f aca="false">IF(J1321&lt;&gt;"",J1321,L1321)</f>
        <v>48, 48, HAUNTER</v>
      </c>
    </row>
    <row r="1322" customFormat="false" ht="12.75" hidden="false" customHeight="true" outlineLevel="0" collapsed="false">
      <c r="A1322" s="3" t="s">
        <v>2809</v>
      </c>
      <c r="B1322" s="3" t="str">
        <f aca="false">IF(ISNUMBER(SEARCH("%", A1322)),RIGHT(A1322,3),A1322)</f>
        <v>0.04</v>
      </c>
      <c r="C1322" s="1" t="str">
        <f aca="false" t="array" ref="C1322:C1322">IF(B1321="NEW ROUTE",textsplit(B1322,","),"")</f>
        <v/>
      </c>
      <c r="H1322" s="1" t="str">
        <f aca="false">IF(C1322&lt;&gt;"",DEC2HEX(C1322,2),"")</f>
        <v/>
      </c>
      <c r="I1322" s="1" t="str">
        <f aca="false">IF(D1322&lt;&gt;"",DEC2HEX(D1322,2),"")</f>
        <v/>
      </c>
      <c r="J1322" s="1" t="str">
        <f aca="false">IF(H1322&lt;&gt;"","0x"&amp;I1322&amp;H1322,"")</f>
        <v/>
      </c>
      <c r="L1322" s="1" t="s">
        <v>2809</v>
      </c>
      <c r="M1322" s="1" t="str">
        <f aca="false">IF(J1322&lt;&gt;"",J1322,L1322)</f>
        <v>0.04</v>
      </c>
    </row>
    <row r="1323" customFormat="false" ht="12.75" hidden="false" customHeight="true" outlineLevel="0" collapsed="false">
      <c r="A1323" s="3" t="s">
        <v>3199</v>
      </c>
      <c r="B1323" s="3" t="str">
        <f aca="false">IF(ISNUMBER(SEARCH("%", A1323)),RIGHT(A1323,3),A1323)</f>
        <v>50, 50, HAUNTER</v>
      </c>
      <c r="C1323" s="1" t="str">
        <f aca="false" t="array" ref="C1323:C1323">IF(B1322="NEW ROUTE",textsplit(B1323,","),"")</f>
        <v/>
      </c>
      <c r="H1323" s="1" t="str">
        <f aca="false">IF(C1323&lt;&gt;"",DEC2HEX(C1323,2),"")</f>
        <v/>
      </c>
      <c r="I1323" s="1" t="str">
        <f aca="false">IF(D1323&lt;&gt;"",DEC2HEX(D1323,2),"")</f>
        <v/>
      </c>
      <c r="J1323" s="1" t="str">
        <f aca="false">IF(H1323&lt;&gt;"","0x"&amp;I1323&amp;H1323,"")</f>
        <v/>
      </c>
      <c r="L1323" s="1" t="s">
        <v>3199</v>
      </c>
      <c r="M1323" s="1" t="str">
        <f aca="false">IF(J1323&lt;&gt;"",J1323,L1323)</f>
        <v>50, 50, HAUNTER</v>
      </c>
    </row>
    <row r="1324" customFormat="false" ht="12.75" hidden="false" customHeight="true" outlineLevel="0" collapsed="false">
      <c r="A1324" s="3" t="s">
        <v>3200</v>
      </c>
      <c r="B1324" s="3" t="str">
        <f aca="false">IF(ISNUMBER(SEARCH("%", A1324)),RIGHT(A1324,3),A1324)</f>
        <v>22, 22, MISDREAVUS</v>
      </c>
      <c r="C1324" s="1" t="str">
        <f aca="false" t="array" ref="C1324:C1324">IF(B1323="NEW ROUTE",textsplit(B1324,","),"")</f>
        <v/>
      </c>
      <c r="H1324" s="1" t="str">
        <f aca="false">IF(C1324&lt;&gt;"",DEC2HEX(C1324,2),"")</f>
        <v/>
      </c>
      <c r="I1324" s="1" t="str">
        <f aca="false">IF(D1324&lt;&gt;"",DEC2HEX(D1324,2),"")</f>
        <v/>
      </c>
      <c r="J1324" s="1" t="str">
        <f aca="false">IF(H1324&lt;&gt;"","0x"&amp;I1324&amp;H1324,"")</f>
        <v/>
      </c>
      <c r="L1324" s="1" t="s">
        <v>3200</v>
      </c>
      <c r="M1324" s="1" t="str">
        <f aca="false">IF(J1324&lt;&gt;"",J1324,L1324)</f>
        <v>22, 22, MISDREAVUS</v>
      </c>
    </row>
    <row r="1325" customFormat="false" ht="12.75" hidden="false" customHeight="true" outlineLevel="0" collapsed="false">
      <c r="A1325" s="3" t="s">
        <v>2812</v>
      </c>
      <c r="B1325" s="3" t="str">
        <f aca="false">IF(ISNUMBER(SEARCH("%", A1325)),RIGHT(A1325,3),A1325)</f>
        <v>0.01</v>
      </c>
      <c r="C1325" s="1" t="str">
        <f aca="false" t="array" ref="C1325:C1325">IF(B1324="NEW ROUTE",textsplit(B1325,","),"")</f>
        <v/>
      </c>
      <c r="H1325" s="1" t="str">
        <f aca="false">IF(C1325&lt;&gt;"",DEC2HEX(C1325,2),"")</f>
        <v/>
      </c>
      <c r="I1325" s="1" t="str">
        <f aca="false">IF(D1325&lt;&gt;"",DEC2HEX(D1325,2),"")</f>
        <v/>
      </c>
      <c r="J1325" s="1" t="str">
        <f aca="false">IF(H1325&lt;&gt;"","0x"&amp;I1325&amp;H1325,"")</f>
        <v/>
      </c>
      <c r="L1325" s="1" t="s">
        <v>2812</v>
      </c>
      <c r="M1325" s="1" t="str">
        <f aca="false">IF(J1325&lt;&gt;"",J1325,L1325)</f>
        <v>0.01</v>
      </c>
    </row>
    <row r="1326" customFormat="false" ht="12.75" hidden="false" customHeight="true" outlineLevel="0" collapsed="false">
      <c r="A1326" s="3" t="s">
        <v>3201</v>
      </c>
      <c r="B1326" s="3" t="str">
        <f aca="false">IF(ISNUMBER(SEARCH("%", A1326)),RIGHT(A1326,3),A1326)</f>
        <v>52, 52, HAUNTER</v>
      </c>
      <c r="C1326" s="1" t="str">
        <f aca="false" t="array" ref="C1326:C1326">IF(B1325="NEW ROUTE",textsplit(B1326,","),"")</f>
        <v/>
      </c>
      <c r="H1326" s="1" t="str">
        <f aca="false">IF(C1326&lt;&gt;"",DEC2HEX(C1326,2),"")</f>
        <v/>
      </c>
      <c r="I1326" s="1" t="str">
        <f aca="false">IF(D1326&lt;&gt;"",DEC2HEX(D1326,2),"")</f>
        <v/>
      </c>
      <c r="J1326" s="1" t="str">
        <f aca="false">IF(H1326&lt;&gt;"","0x"&amp;I1326&amp;H1326,"")</f>
        <v/>
      </c>
      <c r="L1326" s="1" t="s">
        <v>3201</v>
      </c>
      <c r="M1326" s="1" t="str">
        <f aca="false">IF(J1326&lt;&gt;"",J1326,L1326)</f>
        <v>52, 52, HAUNTER</v>
      </c>
    </row>
    <row r="1327" customFormat="false" ht="12.75" hidden="false" customHeight="true" outlineLevel="0" collapsed="false">
      <c r="A1327" s="3" t="s">
        <v>3202</v>
      </c>
      <c r="B1327" s="3" t="str">
        <f aca="false">IF(ISNUMBER(SEARCH("%", A1327)),RIGHT(A1327,3),A1327)</f>
        <v>22, 22, MISDREAVUS , &lt;null&gt;, &lt;null&gt;, &lt;null&gt;</v>
      </c>
      <c r="C1327" s="1" t="str">
        <f aca="false" t="array" ref="C1327:C1327">IF(B1326="NEW ROUTE",textsplit(B1327,","),"")</f>
        <v/>
      </c>
      <c r="H1327" s="1" t="str">
        <f aca="false">IF(C1327&lt;&gt;"",DEC2HEX(C1327,2),"")</f>
        <v/>
      </c>
      <c r="I1327" s="1" t="str">
        <f aca="false">IF(D1327&lt;&gt;"",DEC2HEX(D1327,2),"")</f>
        <v/>
      </c>
      <c r="J1327" s="1" t="str">
        <f aca="false">IF(H1327&lt;&gt;"","0x"&amp;I1327&amp;H1327,"")</f>
        <v/>
      </c>
      <c r="L1327" s="1" t="s">
        <v>3202</v>
      </c>
      <c r="M1327" s="1" t="str">
        <f aca="false">IF(J1327&lt;&gt;"",J1327,L1327)</f>
        <v>22, 22, MISDREAVUS , &lt;null&gt;, &lt;null&gt;, &lt;null&gt;</v>
      </c>
    </row>
    <row r="1328" customFormat="false" ht="12.75" hidden="false" customHeight="true" outlineLevel="0" collapsed="false">
      <c r="A1328" s="3" t="s">
        <v>2536</v>
      </c>
      <c r="B1328" s="3" t="str">
        <f aca="false">IF(ISNUMBER(SEARCH("%", A1328)),RIGHT(A1328,3),A1328)</f>
        <v>NEW ROUTE</v>
      </c>
      <c r="C1328" s="1" t="str">
        <f aca="false" t="array" ref="C1328:C1328">IF(B1327="NEW ROUTE",textsplit(B1328,","),"")</f>
        <v/>
      </c>
      <c r="H1328" s="1" t="str">
        <f aca="false">IF(C1328&lt;&gt;"",DEC2HEX(C1328,2),"")</f>
        <v/>
      </c>
      <c r="I1328" s="1" t="str">
        <f aca="false">IF(D1328&lt;&gt;"",DEC2HEX(D1328,2),"")</f>
        <v/>
      </c>
      <c r="J1328" s="1" t="str">
        <f aca="false">IF(H1328&lt;&gt;"","0x"&amp;I1328&amp;H1328,"")</f>
        <v/>
      </c>
      <c r="L1328" s="1" t="s">
        <v>2536</v>
      </c>
      <c r="M1328" s="1" t="str">
        <f aca="false">IF(J1328&lt;&gt;"",J1328,L1328)</f>
        <v>NEW ROUTE</v>
      </c>
    </row>
    <row r="1329" customFormat="false" ht="12.75" hidden="false" customHeight="true" outlineLevel="0" collapsed="false">
      <c r="A1329" s="3" t="s">
        <v>3211</v>
      </c>
      <c r="B1329" s="3" t="str">
        <f aca="false">IF(ISNUMBER(SEARCH("%", A1329)),RIGHT(A1329,3),A1329)</f>
        <v>2, 21, 0,</v>
      </c>
      <c r="C1329" s="1" t="e">
        <f aca="false" t="array" ref="C1329:C1329">IF(B1328="NEW ROUTE",textsplit(B1329,","),"")</f>
        <v>#NAME?</v>
      </c>
      <c r="H1329" s="1" t="e">
        <f aca="false">IF(C1329&lt;&gt;"",DEC2HEX(C1329,2),"")</f>
        <v>#NAME?</v>
      </c>
      <c r="I1329" s="1" t="str">
        <f aca="false">IF(D1329&lt;&gt;"",DEC2HEX(D1329,2),"")</f>
        <v/>
      </c>
      <c r="J1329" s="1" t="e">
        <f aca="false">IF(H1329&lt;&gt;"","0x"&amp;I1329&amp;H1329,"")</f>
        <v>#NAME?</v>
      </c>
      <c r="L1329" s="1" t="s">
        <v>3211</v>
      </c>
      <c r="M1329" s="1" t="e">
        <f aca="false">IF(J1329&lt;&gt;"",J1329,L1329)</f>
        <v>#NAME?</v>
      </c>
    </row>
    <row r="1330" customFormat="false" ht="12.75" hidden="false" customHeight="true" outlineLevel="0" collapsed="false">
      <c r="A1330" s="3" t="s">
        <v>3212</v>
      </c>
      <c r="B1330" s="3" t="str">
        <f aca="false">IF(ISNUMBER(SEARCH("%", A1330)),RIGHT(A1330,3),A1330)</f>
        <v>20%</v>
      </c>
      <c r="C1330" s="1" t="str">
        <f aca="false" t="array" ref="C1330:C1330">IF(B1329="NEW ROUTE",textsplit(B1330,","),"")</f>
        <v/>
      </c>
      <c r="H1330" s="1" t="str">
        <f aca="false">IF(C1330&lt;&gt;"",DEC2HEX(C1330,2),"")</f>
        <v/>
      </c>
      <c r="I1330" s="1" t="str">
        <f aca="false">IF(D1330&lt;&gt;"",DEC2HEX(D1330,2),"")</f>
        <v/>
      </c>
      <c r="J1330" s="1" t="str">
        <f aca="false">IF(H1330&lt;&gt;"","0x"&amp;I1330&amp;H1330,"")</f>
        <v/>
      </c>
      <c r="L1330" s="1" t="s">
        <v>2799</v>
      </c>
      <c r="M1330" s="1" t="str">
        <f aca="false">IF(J1330&lt;&gt;"",J1330,L1330)</f>
        <v>20%</v>
      </c>
    </row>
    <row r="1331" customFormat="false" ht="12.75" hidden="false" customHeight="true" outlineLevel="0" collapsed="false">
      <c r="A1331" s="3" t="s">
        <v>1638</v>
      </c>
      <c r="B1331" s="3" t="str">
        <f aca="false">IF(ISNUMBER(SEARCH("%", A1331)),RIGHT(A1331,3),A1331)</f>
        <v>40, 40, GASTLY</v>
      </c>
      <c r="C1331" s="1" t="str">
        <f aca="false" t="array" ref="C1331:C1331">IF(B1330="NEW ROUTE",textsplit(B1331,","),"")</f>
        <v/>
      </c>
      <c r="H1331" s="1" t="str">
        <f aca="false">IF(C1331&lt;&gt;"",DEC2HEX(C1331,2),"")</f>
        <v/>
      </c>
      <c r="I1331" s="1" t="str">
        <f aca="false">IF(D1331&lt;&gt;"",DEC2HEX(D1331,2),"")</f>
        <v/>
      </c>
      <c r="J1331" s="1" t="str">
        <f aca="false">IF(H1331&lt;&gt;"","0x"&amp;I1331&amp;H1331,"")</f>
        <v/>
      </c>
      <c r="L1331" s="1" t="s">
        <v>1638</v>
      </c>
      <c r="M1331" s="1" t="str">
        <f aca="false">IF(J1331&lt;&gt;"",J1331,L1331)</f>
        <v>40, 40, GASTLY</v>
      </c>
    </row>
    <row r="1332" customFormat="false" ht="12.75" hidden="false" customHeight="true" outlineLevel="0" collapsed="false">
      <c r="A1332" s="3" t="s">
        <v>3192</v>
      </c>
      <c r="B1332" s="3" t="str">
        <f aca="false">IF(ISNUMBER(SEARCH("%", A1332)),RIGHT(A1332,3),A1332)</f>
        <v>37, 37, ZUBAT</v>
      </c>
      <c r="C1332" s="1" t="str">
        <f aca="false" t="array" ref="C1332:C1332">IF(B1331="NEW ROUTE",textsplit(B1332,","),"")</f>
        <v/>
      </c>
      <c r="H1332" s="1" t="str">
        <f aca="false">IF(C1332&lt;&gt;"",DEC2HEX(C1332,2),"")</f>
        <v/>
      </c>
      <c r="I1332" s="1" t="str">
        <f aca="false">IF(D1332&lt;&gt;"",DEC2HEX(D1332,2),"")</f>
        <v/>
      </c>
      <c r="J1332" s="1" t="str">
        <f aca="false">IF(H1332&lt;&gt;"","0x"&amp;I1332&amp;H1332,"")</f>
        <v/>
      </c>
      <c r="L1332" s="1" t="s">
        <v>3192</v>
      </c>
      <c r="M1332" s="1" t="str">
        <f aca="false">IF(J1332&lt;&gt;"",J1332,L1332)</f>
        <v>37, 37, ZUBAT</v>
      </c>
    </row>
    <row r="1333" customFormat="false" ht="12.75" hidden="false" customHeight="true" outlineLevel="0" collapsed="false">
      <c r="A1333" s="3" t="s">
        <v>2801</v>
      </c>
      <c r="B1333" s="3" t="str">
        <f aca="false">IF(ISNUMBER(SEARCH("%", A1333)),RIGHT(A1333,3),A1333)</f>
        <v>0.1</v>
      </c>
      <c r="C1333" s="1" t="str">
        <f aca="false" t="array" ref="C1333:C1333">IF(B1332="NEW ROUTE",textsplit(B1333,","),"")</f>
        <v/>
      </c>
      <c r="H1333" s="1" t="str">
        <f aca="false">IF(C1333&lt;&gt;"",DEC2HEX(C1333,2),"")</f>
        <v/>
      </c>
      <c r="I1333" s="1" t="str">
        <f aca="false">IF(D1333&lt;&gt;"",DEC2HEX(D1333,2),"")</f>
        <v/>
      </c>
      <c r="J1333" s="1" t="str">
        <f aca="false">IF(H1333&lt;&gt;"","0x"&amp;I1333&amp;H1333,"")</f>
        <v/>
      </c>
      <c r="L1333" s="1" t="s">
        <v>2801</v>
      </c>
      <c r="M1333" s="1" t="str">
        <f aca="false">IF(J1333&lt;&gt;"",J1333,L1333)</f>
        <v>0.1</v>
      </c>
    </row>
    <row r="1334" customFormat="false" ht="12.75" hidden="false" customHeight="true" outlineLevel="0" collapsed="false">
      <c r="A1334" s="3" t="s">
        <v>3193</v>
      </c>
      <c r="B1334" s="3" t="str">
        <f aca="false">IF(ISNUMBER(SEARCH("%", A1334)),RIGHT(A1334,3),A1334)</f>
        <v>44, 44, HAUNTER</v>
      </c>
      <c r="C1334" s="1" t="str">
        <f aca="false" t="array" ref="C1334:C1334">IF(B1333="NEW ROUTE",textsplit(B1334,","),"")</f>
        <v/>
      </c>
      <c r="H1334" s="1" t="str">
        <f aca="false">IF(C1334&lt;&gt;"",DEC2HEX(C1334,2),"")</f>
        <v/>
      </c>
      <c r="I1334" s="1" t="str">
        <f aca="false">IF(D1334&lt;&gt;"",DEC2HEX(D1334,2),"")</f>
        <v/>
      </c>
      <c r="J1334" s="1" t="str">
        <f aca="false">IF(H1334&lt;&gt;"","0x"&amp;I1334&amp;H1334,"")</f>
        <v/>
      </c>
      <c r="L1334" s="1" t="s">
        <v>3193</v>
      </c>
      <c r="M1334" s="1" t="str">
        <f aca="false">IF(J1334&lt;&gt;"",J1334,L1334)</f>
        <v>44, 44, HAUNTER</v>
      </c>
    </row>
    <row r="1335" customFormat="false" ht="12.75" hidden="false" customHeight="true" outlineLevel="0" collapsed="false">
      <c r="A1335" s="3" t="s">
        <v>3194</v>
      </c>
      <c r="B1335" s="3" t="str">
        <f aca="false">IF(ISNUMBER(SEARCH("%", A1335)),RIGHT(A1335,3),A1335)</f>
        <v>46, 46, HAUNTER</v>
      </c>
      <c r="C1335" s="1" t="str">
        <f aca="false" t="array" ref="C1335:C1335">IF(B1334="NEW ROUTE",textsplit(B1335,","),"")</f>
        <v/>
      </c>
      <c r="H1335" s="1" t="str">
        <f aca="false">IF(C1335&lt;&gt;"",DEC2HEX(C1335,2),"")</f>
        <v/>
      </c>
      <c r="I1335" s="1" t="str">
        <f aca="false">IF(D1335&lt;&gt;"",DEC2HEX(D1335,2),"")</f>
        <v/>
      </c>
      <c r="J1335" s="1" t="str">
        <f aca="false">IF(H1335&lt;&gt;"","0x"&amp;I1335&amp;H1335,"")</f>
        <v/>
      </c>
      <c r="L1335" s="1" t="s">
        <v>3194</v>
      </c>
      <c r="M1335" s="1" t="str">
        <f aca="false">IF(J1335&lt;&gt;"",J1335,L1335)</f>
        <v>46, 46, HAUNTER</v>
      </c>
    </row>
    <row r="1336" customFormat="false" ht="12.75" hidden="false" customHeight="true" outlineLevel="0" collapsed="false">
      <c r="A1336" s="3" t="s">
        <v>3195</v>
      </c>
      <c r="B1336" s="3" t="str">
        <f aca="false">IF(ISNUMBER(SEARCH("%", A1336)),RIGHT(A1336,3),A1336)</f>
        <v>41, 41, GOLBAT</v>
      </c>
      <c r="C1336" s="1" t="str">
        <f aca="false" t="array" ref="C1336:C1336">IF(B1335="NEW ROUTE",textsplit(B1336,","),"")</f>
        <v/>
      </c>
      <c r="H1336" s="1" t="str">
        <f aca="false">IF(C1336&lt;&gt;"",DEC2HEX(C1336,2),"")</f>
        <v/>
      </c>
      <c r="I1336" s="1" t="str">
        <f aca="false">IF(D1336&lt;&gt;"",DEC2HEX(D1336,2),"")</f>
        <v/>
      </c>
      <c r="J1336" s="1" t="str">
        <f aca="false">IF(H1336&lt;&gt;"","0x"&amp;I1336&amp;H1336,"")</f>
        <v/>
      </c>
      <c r="L1336" s="1" t="s">
        <v>3195</v>
      </c>
      <c r="M1336" s="1" t="str">
        <f aca="false">IF(J1336&lt;&gt;"",J1336,L1336)</f>
        <v>41, 41, GOLBAT</v>
      </c>
    </row>
    <row r="1337" customFormat="false" ht="12.75" hidden="false" customHeight="true" outlineLevel="0" collapsed="false">
      <c r="A1337" s="3" t="s">
        <v>3196</v>
      </c>
      <c r="B1337" s="3" t="str">
        <f aca="false">IF(ISNUMBER(SEARCH("%", A1337)),RIGHT(A1337,3),A1337)</f>
        <v>43, 43, GOLBAT</v>
      </c>
      <c r="C1337" s="1" t="str">
        <f aca="false" t="array" ref="C1337:C1337">IF(B1336="NEW ROUTE",textsplit(B1337,","),"")</f>
        <v/>
      </c>
      <c r="H1337" s="1" t="str">
        <f aca="false">IF(C1337&lt;&gt;"",DEC2HEX(C1337,2),"")</f>
        <v/>
      </c>
      <c r="I1337" s="1" t="str">
        <f aca="false">IF(D1337&lt;&gt;"",DEC2HEX(D1337,2),"")</f>
        <v/>
      </c>
      <c r="J1337" s="1" t="str">
        <f aca="false">IF(H1337&lt;&gt;"","0x"&amp;I1337&amp;H1337,"")</f>
        <v/>
      </c>
      <c r="L1337" s="1" t="s">
        <v>3196</v>
      </c>
      <c r="M1337" s="1" t="str">
        <f aca="false">IF(J1337&lt;&gt;"",J1337,L1337)</f>
        <v>43, 43, GOLBAT</v>
      </c>
    </row>
    <row r="1338" customFormat="false" ht="12.75" hidden="false" customHeight="true" outlineLevel="0" collapsed="false">
      <c r="A1338" s="3" t="s">
        <v>2806</v>
      </c>
      <c r="B1338" s="3" t="str">
        <f aca="false">IF(ISNUMBER(SEARCH("%", A1338)),RIGHT(A1338,3),A1338)</f>
        <v>0.05</v>
      </c>
      <c r="C1338" s="1" t="str">
        <f aca="false" t="array" ref="C1338:C1338">IF(B1337="NEW ROUTE",textsplit(B1338,","),"")</f>
        <v/>
      </c>
      <c r="H1338" s="1" t="str">
        <f aca="false">IF(C1338&lt;&gt;"",DEC2HEX(C1338,2),"")</f>
        <v/>
      </c>
      <c r="I1338" s="1" t="str">
        <f aca="false">IF(D1338&lt;&gt;"",DEC2HEX(D1338,2),"")</f>
        <v/>
      </c>
      <c r="J1338" s="1" t="str">
        <f aca="false">IF(H1338&lt;&gt;"","0x"&amp;I1338&amp;H1338,"")</f>
        <v/>
      </c>
      <c r="L1338" s="1" t="s">
        <v>2806</v>
      </c>
      <c r="M1338" s="1" t="str">
        <f aca="false">IF(J1338&lt;&gt;"",J1338,L1338)</f>
        <v>0.05</v>
      </c>
    </row>
    <row r="1339" customFormat="false" ht="12.75" hidden="false" customHeight="true" outlineLevel="0" collapsed="false">
      <c r="A1339" s="3" t="s">
        <v>3197</v>
      </c>
      <c r="B1339" s="3" t="str">
        <f aca="false">IF(ISNUMBER(SEARCH("%", A1339)),RIGHT(A1339,3),A1339)</f>
        <v>38, 38, GASTLY</v>
      </c>
      <c r="C1339" s="1" t="str">
        <f aca="false" t="array" ref="C1339:C1339">IF(B1338="NEW ROUTE",textsplit(B1339,","),"")</f>
        <v/>
      </c>
      <c r="H1339" s="1" t="str">
        <f aca="false">IF(C1339&lt;&gt;"",DEC2HEX(C1339,2),"")</f>
        <v/>
      </c>
      <c r="I1339" s="1" t="str">
        <f aca="false">IF(D1339&lt;&gt;"",DEC2HEX(D1339,2),"")</f>
        <v/>
      </c>
      <c r="J1339" s="1" t="str">
        <f aca="false">IF(H1339&lt;&gt;"","0x"&amp;I1339&amp;H1339,"")</f>
        <v/>
      </c>
      <c r="L1339" s="1" t="s">
        <v>3197</v>
      </c>
      <c r="M1339" s="1" t="str">
        <f aca="false">IF(J1339&lt;&gt;"",J1339,L1339)</f>
        <v>38, 38, GASTLY</v>
      </c>
    </row>
    <row r="1340" customFormat="false" ht="12.75" hidden="false" customHeight="true" outlineLevel="0" collapsed="false">
      <c r="A1340" s="3" t="s">
        <v>3198</v>
      </c>
      <c r="B1340" s="3" t="str">
        <f aca="false">IF(ISNUMBER(SEARCH("%", A1340)),RIGHT(A1340,3),A1340)</f>
        <v>48, 48, HAUNTER</v>
      </c>
      <c r="C1340" s="1" t="str">
        <f aca="false" t="array" ref="C1340:C1340">IF(B1339="NEW ROUTE",textsplit(B1340,","),"")</f>
        <v/>
      </c>
      <c r="H1340" s="1" t="str">
        <f aca="false">IF(C1340&lt;&gt;"",DEC2HEX(C1340,2),"")</f>
        <v/>
      </c>
      <c r="I1340" s="1" t="str">
        <f aca="false">IF(D1340&lt;&gt;"",DEC2HEX(D1340,2),"")</f>
        <v/>
      </c>
      <c r="J1340" s="1" t="str">
        <f aca="false">IF(H1340&lt;&gt;"","0x"&amp;I1340&amp;H1340,"")</f>
        <v/>
      </c>
      <c r="L1340" s="1" t="s">
        <v>3198</v>
      </c>
      <c r="M1340" s="1" t="str">
        <f aca="false">IF(J1340&lt;&gt;"",J1340,L1340)</f>
        <v>48, 48, HAUNTER</v>
      </c>
    </row>
    <row r="1341" customFormat="false" ht="12.75" hidden="false" customHeight="true" outlineLevel="0" collapsed="false">
      <c r="A1341" s="3" t="s">
        <v>2809</v>
      </c>
      <c r="B1341" s="3" t="str">
        <f aca="false">IF(ISNUMBER(SEARCH("%", A1341)),RIGHT(A1341,3),A1341)</f>
        <v>0.04</v>
      </c>
      <c r="C1341" s="1" t="str">
        <f aca="false" t="array" ref="C1341:C1341">IF(B1340="NEW ROUTE",textsplit(B1341,","),"")</f>
        <v/>
      </c>
      <c r="H1341" s="1" t="str">
        <f aca="false">IF(C1341&lt;&gt;"",DEC2HEX(C1341,2),"")</f>
        <v/>
      </c>
      <c r="I1341" s="1" t="str">
        <f aca="false">IF(D1341&lt;&gt;"",DEC2HEX(D1341,2),"")</f>
        <v/>
      </c>
      <c r="J1341" s="1" t="str">
        <f aca="false">IF(H1341&lt;&gt;"","0x"&amp;I1341&amp;H1341,"")</f>
        <v/>
      </c>
      <c r="L1341" s="1" t="s">
        <v>2809</v>
      </c>
      <c r="M1341" s="1" t="str">
        <f aca="false">IF(J1341&lt;&gt;"",J1341,L1341)</f>
        <v>0.04</v>
      </c>
    </row>
    <row r="1342" customFormat="false" ht="12.75" hidden="false" customHeight="true" outlineLevel="0" collapsed="false">
      <c r="A1342" s="3" t="s">
        <v>3199</v>
      </c>
      <c r="B1342" s="3" t="str">
        <f aca="false">IF(ISNUMBER(SEARCH("%", A1342)),RIGHT(A1342,3),A1342)</f>
        <v>50, 50, HAUNTER</v>
      </c>
      <c r="C1342" s="1" t="str">
        <f aca="false" t="array" ref="C1342:C1342">IF(B1341="NEW ROUTE",textsplit(B1342,","),"")</f>
        <v/>
      </c>
      <c r="H1342" s="1" t="str">
        <f aca="false">IF(C1342&lt;&gt;"",DEC2HEX(C1342,2),"")</f>
        <v/>
      </c>
      <c r="I1342" s="1" t="str">
        <f aca="false">IF(D1342&lt;&gt;"",DEC2HEX(D1342,2),"")</f>
        <v/>
      </c>
      <c r="J1342" s="1" t="str">
        <f aca="false">IF(H1342&lt;&gt;"","0x"&amp;I1342&amp;H1342,"")</f>
        <v/>
      </c>
      <c r="L1342" s="1" t="s">
        <v>3199</v>
      </c>
      <c r="M1342" s="1" t="str">
        <f aca="false">IF(J1342&lt;&gt;"",J1342,L1342)</f>
        <v>50, 50, HAUNTER</v>
      </c>
    </row>
    <row r="1343" customFormat="false" ht="12.75" hidden="false" customHeight="true" outlineLevel="0" collapsed="false">
      <c r="A1343" s="3" t="s">
        <v>3200</v>
      </c>
      <c r="B1343" s="3" t="str">
        <f aca="false">IF(ISNUMBER(SEARCH("%", A1343)),RIGHT(A1343,3),A1343)</f>
        <v>22, 22, MISDREAVUS</v>
      </c>
      <c r="C1343" s="1" t="str">
        <f aca="false" t="array" ref="C1343:C1343">IF(B1342="NEW ROUTE",textsplit(B1343,","),"")</f>
        <v/>
      </c>
      <c r="H1343" s="1" t="str">
        <f aca="false">IF(C1343&lt;&gt;"",DEC2HEX(C1343,2),"")</f>
        <v/>
      </c>
      <c r="I1343" s="1" t="str">
        <f aca="false">IF(D1343&lt;&gt;"",DEC2HEX(D1343,2),"")</f>
        <v/>
      </c>
      <c r="J1343" s="1" t="str">
        <f aca="false">IF(H1343&lt;&gt;"","0x"&amp;I1343&amp;H1343,"")</f>
        <v/>
      </c>
      <c r="L1343" s="1" t="s">
        <v>3200</v>
      </c>
      <c r="M1343" s="1" t="str">
        <f aca="false">IF(J1343&lt;&gt;"",J1343,L1343)</f>
        <v>22, 22, MISDREAVUS</v>
      </c>
    </row>
    <row r="1344" customFormat="false" ht="12.75" hidden="false" customHeight="true" outlineLevel="0" collapsed="false">
      <c r="A1344" s="3" t="s">
        <v>2812</v>
      </c>
      <c r="B1344" s="3" t="str">
        <f aca="false">IF(ISNUMBER(SEARCH("%", A1344)),RIGHT(A1344,3),A1344)</f>
        <v>0.01</v>
      </c>
      <c r="C1344" s="1" t="str">
        <f aca="false" t="array" ref="C1344:C1344">IF(B1343="NEW ROUTE",textsplit(B1344,","),"")</f>
        <v/>
      </c>
      <c r="H1344" s="1" t="str">
        <f aca="false">IF(C1344&lt;&gt;"",DEC2HEX(C1344,2),"")</f>
        <v/>
      </c>
      <c r="I1344" s="1" t="str">
        <f aca="false">IF(D1344&lt;&gt;"",DEC2HEX(D1344,2),"")</f>
        <v/>
      </c>
      <c r="J1344" s="1" t="str">
        <f aca="false">IF(H1344&lt;&gt;"","0x"&amp;I1344&amp;H1344,"")</f>
        <v/>
      </c>
      <c r="L1344" s="1" t="s">
        <v>2812</v>
      </c>
      <c r="M1344" s="1" t="str">
        <f aca="false">IF(J1344&lt;&gt;"",J1344,L1344)</f>
        <v>0.01</v>
      </c>
    </row>
    <row r="1345" customFormat="false" ht="12.75" hidden="false" customHeight="true" outlineLevel="0" collapsed="false">
      <c r="A1345" s="3" t="s">
        <v>3201</v>
      </c>
      <c r="B1345" s="3" t="str">
        <f aca="false">IF(ISNUMBER(SEARCH("%", A1345)),RIGHT(A1345,3),A1345)</f>
        <v>52, 52, HAUNTER</v>
      </c>
      <c r="C1345" s="1" t="str">
        <f aca="false" t="array" ref="C1345:C1345">IF(B1344="NEW ROUTE",textsplit(B1345,","),"")</f>
        <v/>
      </c>
      <c r="H1345" s="1" t="str">
        <f aca="false">IF(C1345&lt;&gt;"",DEC2HEX(C1345,2),"")</f>
        <v/>
      </c>
      <c r="I1345" s="1" t="str">
        <f aca="false">IF(D1345&lt;&gt;"",DEC2HEX(D1345,2),"")</f>
        <v/>
      </c>
      <c r="J1345" s="1" t="str">
        <f aca="false">IF(H1345&lt;&gt;"","0x"&amp;I1345&amp;H1345,"")</f>
        <v/>
      </c>
      <c r="L1345" s="1" t="s">
        <v>3201</v>
      </c>
      <c r="M1345" s="1" t="str">
        <f aca="false">IF(J1345&lt;&gt;"",J1345,L1345)</f>
        <v>52, 52, HAUNTER</v>
      </c>
    </row>
    <row r="1346" customFormat="false" ht="12.75" hidden="false" customHeight="true" outlineLevel="0" collapsed="false">
      <c r="A1346" s="3" t="s">
        <v>3202</v>
      </c>
      <c r="B1346" s="3" t="str">
        <f aca="false">IF(ISNUMBER(SEARCH("%", A1346)),RIGHT(A1346,3),A1346)</f>
        <v>22, 22, MISDREAVUS , &lt;null&gt;, &lt;null&gt;, &lt;null&gt;</v>
      </c>
      <c r="C1346" s="1" t="str">
        <f aca="false" t="array" ref="C1346:C1346">IF(B1345="NEW ROUTE",textsplit(B1346,","),"")</f>
        <v/>
      </c>
      <c r="H1346" s="1" t="str">
        <f aca="false">IF(C1346&lt;&gt;"",DEC2HEX(C1346,2),"")</f>
        <v/>
      </c>
      <c r="I1346" s="1" t="str">
        <f aca="false">IF(D1346&lt;&gt;"",DEC2HEX(D1346,2),"")</f>
        <v/>
      </c>
      <c r="J1346" s="1" t="str">
        <f aca="false">IF(H1346&lt;&gt;"","0x"&amp;I1346&amp;H1346,"")</f>
        <v/>
      </c>
      <c r="L1346" s="1" t="s">
        <v>3202</v>
      </c>
      <c r="M1346" s="1" t="str">
        <f aca="false">IF(J1346&lt;&gt;"",J1346,L1346)</f>
        <v>22, 22, MISDREAVUS , &lt;null&gt;, &lt;null&gt;, &lt;null&gt;</v>
      </c>
    </row>
    <row r="1347" customFormat="false" ht="12.75" hidden="false" customHeight="true" outlineLevel="0" collapsed="false">
      <c r="A1347" s="3" t="s">
        <v>2536</v>
      </c>
      <c r="B1347" s="3" t="str">
        <f aca="false">IF(ISNUMBER(SEARCH("%", A1347)),RIGHT(A1347,3),A1347)</f>
        <v>NEW ROUTE</v>
      </c>
      <c r="C1347" s="1" t="str">
        <f aca="false" t="array" ref="C1347:C1347">IF(B1346="NEW ROUTE",textsplit(B1347,","),"")</f>
        <v/>
      </c>
      <c r="H1347" s="1" t="str">
        <f aca="false">IF(C1347&lt;&gt;"",DEC2HEX(C1347,2),"")</f>
        <v/>
      </c>
      <c r="I1347" s="1" t="str">
        <f aca="false">IF(D1347&lt;&gt;"",DEC2HEX(D1347,2),"")</f>
        <v/>
      </c>
      <c r="J1347" s="1" t="str">
        <f aca="false">IF(H1347&lt;&gt;"","0x"&amp;I1347&amp;H1347,"")</f>
        <v/>
      </c>
      <c r="L1347" s="1" t="s">
        <v>2536</v>
      </c>
      <c r="M1347" s="1" t="str">
        <f aca="false">IF(J1347&lt;&gt;"",J1347,L1347)</f>
        <v>NEW ROUTE</v>
      </c>
    </row>
    <row r="1348" customFormat="false" ht="12.75" hidden="false" customHeight="true" outlineLevel="0" collapsed="false">
      <c r="A1348" s="3" t="s">
        <v>3213</v>
      </c>
      <c r="B1348" s="3" t="str">
        <f aca="false">IF(ISNUMBER(SEARCH("%", A1348)),RIGHT(A1348,3),A1348)</f>
        <v>2, 22, 0,</v>
      </c>
      <c r="C1348" s="1" t="e">
        <f aca="false" t="array" ref="C1348:C1348">IF(B1347="NEW ROUTE",textsplit(B1348,","),"")</f>
        <v>#NAME?</v>
      </c>
      <c r="H1348" s="1" t="e">
        <f aca="false">IF(C1348&lt;&gt;"",DEC2HEX(C1348,2),"")</f>
        <v>#NAME?</v>
      </c>
      <c r="I1348" s="1" t="str">
        <f aca="false">IF(D1348&lt;&gt;"",DEC2HEX(D1348,2),"")</f>
        <v/>
      </c>
      <c r="J1348" s="1" t="e">
        <f aca="false">IF(H1348&lt;&gt;"","0x"&amp;I1348&amp;H1348,"")</f>
        <v>#NAME?</v>
      </c>
      <c r="L1348" s="1" t="s">
        <v>3213</v>
      </c>
      <c r="M1348" s="1" t="e">
        <f aca="false">IF(J1348&lt;&gt;"",J1348,L1348)</f>
        <v>#NAME?</v>
      </c>
    </row>
    <row r="1349" customFormat="false" ht="12.75" hidden="false" customHeight="true" outlineLevel="0" collapsed="false">
      <c r="A1349" s="3" t="s">
        <v>3055</v>
      </c>
      <c r="B1349" s="3" t="str">
        <f aca="false">IF(ISNUMBER(SEARCH("%", A1349)),RIGHT(A1349,3),A1349)</f>
        <v>20%</v>
      </c>
      <c r="C1349" s="1" t="str">
        <f aca="false" t="array" ref="C1349:C1349">IF(B1348="NEW ROUTE",textsplit(B1349,","),"")</f>
        <v/>
      </c>
      <c r="H1349" s="1" t="str">
        <f aca="false">IF(C1349&lt;&gt;"",DEC2HEX(C1349,2),"")</f>
        <v/>
      </c>
      <c r="I1349" s="1" t="str">
        <f aca="false">IF(D1349&lt;&gt;"",DEC2HEX(D1349,2),"")</f>
        <v/>
      </c>
      <c r="J1349" s="1" t="str">
        <f aca="false">IF(H1349&lt;&gt;"","0x"&amp;I1349&amp;H1349,"")</f>
        <v/>
      </c>
      <c r="L1349" s="1" t="s">
        <v>2799</v>
      </c>
      <c r="M1349" s="1" t="str">
        <f aca="false">IF(J1349&lt;&gt;"",J1349,L1349)</f>
        <v>20%</v>
      </c>
    </row>
    <row r="1350" customFormat="false" ht="12.75" hidden="false" customHeight="true" outlineLevel="0" collapsed="false">
      <c r="A1350" s="3" t="s">
        <v>1638</v>
      </c>
      <c r="B1350" s="3" t="str">
        <f aca="false">IF(ISNUMBER(SEARCH("%", A1350)),RIGHT(A1350,3),A1350)</f>
        <v>40, 40, GASTLY</v>
      </c>
      <c r="C1350" s="1" t="str">
        <f aca="false" t="array" ref="C1350:C1350">IF(B1349="NEW ROUTE",textsplit(B1350,","),"")</f>
        <v/>
      </c>
      <c r="H1350" s="1" t="str">
        <f aca="false">IF(C1350&lt;&gt;"",DEC2HEX(C1350,2),"")</f>
        <v/>
      </c>
      <c r="I1350" s="1" t="str">
        <f aca="false">IF(D1350&lt;&gt;"",DEC2HEX(D1350,2),"")</f>
        <v/>
      </c>
      <c r="J1350" s="1" t="str">
        <f aca="false">IF(H1350&lt;&gt;"","0x"&amp;I1350&amp;H1350,"")</f>
        <v/>
      </c>
      <c r="L1350" s="1" t="s">
        <v>1638</v>
      </c>
      <c r="M1350" s="1" t="str">
        <f aca="false">IF(J1350&lt;&gt;"",J1350,L1350)</f>
        <v>40, 40, GASTLY</v>
      </c>
    </row>
    <row r="1351" customFormat="false" ht="12.75" hidden="false" customHeight="true" outlineLevel="0" collapsed="false">
      <c r="A1351" s="3" t="s">
        <v>3192</v>
      </c>
      <c r="B1351" s="3" t="str">
        <f aca="false">IF(ISNUMBER(SEARCH("%", A1351)),RIGHT(A1351,3),A1351)</f>
        <v>37, 37, ZUBAT</v>
      </c>
      <c r="C1351" s="1" t="str">
        <f aca="false" t="array" ref="C1351:C1351">IF(B1350="NEW ROUTE",textsplit(B1351,","),"")</f>
        <v/>
      </c>
      <c r="H1351" s="1" t="str">
        <f aca="false">IF(C1351&lt;&gt;"",DEC2HEX(C1351,2),"")</f>
        <v/>
      </c>
      <c r="I1351" s="1" t="str">
        <f aca="false">IF(D1351&lt;&gt;"",DEC2HEX(D1351,2),"")</f>
        <v/>
      </c>
      <c r="J1351" s="1" t="str">
        <f aca="false">IF(H1351&lt;&gt;"","0x"&amp;I1351&amp;H1351,"")</f>
        <v/>
      </c>
      <c r="L1351" s="1" t="s">
        <v>3192</v>
      </c>
      <c r="M1351" s="1" t="str">
        <f aca="false">IF(J1351&lt;&gt;"",J1351,L1351)</f>
        <v>37, 37, ZUBAT</v>
      </c>
    </row>
    <row r="1352" customFormat="false" ht="12.75" hidden="false" customHeight="true" outlineLevel="0" collapsed="false">
      <c r="A1352" s="3" t="s">
        <v>2801</v>
      </c>
      <c r="B1352" s="3" t="str">
        <f aca="false">IF(ISNUMBER(SEARCH("%", A1352)),RIGHT(A1352,3),A1352)</f>
        <v>0.1</v>
      </c>
      <c r="C1352" s="1" t="str">
        <f aca="false" t="array" ref="C1352:C1352">IF(B1351="NEW ROUTE",textsplit(B1352,","),"")</f>
        <v/>
      </c>
      <c r="H1352" s="1" t="str">
        <f aca="false">IF(C1352&lt;&gt;"",DEC2HEX(C1352,2),"")</f>
        <v/>
      </c>
      <c r="I1352" s="1" t="str">
        <f aca="false">IF(D1352&lt;&gt;"",DEC2HEX(D1352,2),"")</f>
        <v/>
      </c>
      <c r="J1352" s="1" t="str">
        <f aca="false">IF(H1352&lt;&gt;"","0x"&amp;I1352&amp;H1352,"")</f>
        <v/>
      </c>
      <c r="L1352" s="1" t="s">
        <v>2801</v>
      </c>
      <c r="M1352" s="1" t="str">
        <f aca="false">IF(J1352&lt;&gt;"",J1352,L1352)</f>
        <v>0.1</v>
      </c>
    </row>
    <row r="1353" customFormat="false" ht="12.75" hidden="false" customHeight="true" outlineLevel="0" collapsed="false">
      <c r="A1353" s="3" t="s">
        <v>3193</v>
      </c>
      <c r="B1353" s="3" t="str">
        <f aca="false">IF(ISNUMBER(SEARCH("%", A1353)),RIGHT(A1353,3),A1353)</f>
        <v>44, 44, HAUNTER</v>
      </c>
      <c r="C1353" s="1" t="str">
        <f aca="false" t="array" ref="C1353:C1353">IF(B1352="NEW ROUTE",textsplit(B1353,","),"")</f>
        <v/>
      </c>
      <c r="H1353" s="1" t="str">
        <f aca="false">IF(C1353&lt;&gt;"",DEC2HEX(C1353,2),"")</f>
        <v/>
      </c>
      <c r="I1353" s="1" t="str">
        <f aca="false">IF(D1353&lt;&gt;"",DEC2HEX(D1353,2),"")</f>
        <v/>
      </c>
      <c r="J1353" s="1" t="str">
        <f aca="false">IF(H1353&lt;&gt;"","0x"&amp;I1353&amp;H1353,"")</f>
        <v/>
      </c>
      <c r="L1353" s="1" t="s">
        <v>3193</v>
      </c>
      <c r="M1353" s="1" t="str">
        <f aca="false">IF(J1353&lt;&gt;"",J1353,L1353)</f>
        <v>44, 44, HAUNTER</v>
      </c>
    </row>
    <row r="1354" customFormat="false" ht="12.75" hidden="false" customHeight="true" outlineLevel="0" collapsed="false">
      <c r="A1354" s="3" t="s">
        <v>3194</v>
      </c>
      <c r="B1354" s="3" t="str">
        <f aca="false">IF(ISNUMBER(SEARCH("%", A1354)),RIGHT(A1354,3),A1354)</f>
        <v>46, 46, HAUNTER</v>
      </c>
      <c r="C1354" s="1" t="str">
        <f aca="false" t="array" ref="C1354:C1354">IF(B1353="NEW ROUTE",textsplit(B1354,","),"")</f>
        <v/>
      </c>
      <c r="H1354" s="1" t="str">
        <f aca="false">IF(C1354&lt;&gt;"",DEC2HEX(C1354,2),"")</f>
        <v/>
      </c>
      <c r="I1354" s="1" t="str">
        <f aca="false">IF(D1354&lt;&gt;"",DEC2HEX(D1354,2),"")</f>
        <v/>
      </c>
      <c r="J1354" s="1" t="str">
        <f aca="false">IF(H1354&lt;&gt;"","0x"&amp;I1354&amp;H1354,"")</f>
        <v/>
      </c>
      <c r="L1354" s="1" t="s">
        <v>3194</v>
      </c>
      <c r="M1354" s="1" t="str">
        <f aca="false">IF(J1354&lt;&gt;"",J1354,L1354)</f>
        <v>46, 46, HAUNTER</v>
      </c>
    </row>
    <row r="1355" customFormat="false" ht="12.75" hidden="false" customHeight="true" outlineLevel="0" collapsed="false">
      <c r="A1355" s="3" t="s">
        <v>3195</v>
      </c>
      <c r="B1355" s="3" t="str">
        <f aca="false">IF(ISNUMBER(SEARCH("%", A1355)),RIGHT(A1355,3),A1355)</f>
        <v>41, 41, GOLBAT</v>
      </c>
      <c r="C1355" s="1" t="str">
        <f aca="false" t="array" ref="C1355:C1355">IF(B1354="NEW ROUTE",textsplit(B1355,","),"")</f>
        <v/>
      </c>
      <c r="H1355" s="1" t="str">
        <f aca="false">IF(C1355&lt;&gt;"",DEC2HEX(C1355,2),"")</f>
        <v/>
      </c>
      <c r="I1355" s="1" t="str">
        <f aca="false">IF(D1355&lt;&gt;"",DEC2HEX(D1355,2),"")</f>
        <v/>
      </c>
      <c r="J1355" s="1" t="str">
        <f aca="false">IF(H1355&lt;&gt;"","0x"&amp;I1355&amp;H1355,"")</f>
        <v/>
      </c>
      <c r="L1355" s="1" t="s">
        <v>3195</v>
      </c>
      <c r="M1355" s="1" t="str">
        <f aca="false">IF(J1355&lt;&gt;"",J1355,L1355)</f>
        <v>41, 41, GOLBAT</v>
      </c>
    </row>
    <row r="1356" customFormat="false" ht="12.75" hidden="false" customHeight="true" outlineLevel="0" collapsed="false">
      <c r="A1356" s="3" t="s">
        <v>3196</v>
      </c>
      <c r="B1356" s="3" t="str">
        <f aca="false">IF(ISNUMBER(SEARCH("%", A1356)),RIGHT(A1356,3),A1356)</f>
        <v>43, 43, GOLBAT</v>
      </c>
      <c r="C1356" s="1" t="str">
        <f aca="false" t="array" ref="C1356:C1356">IF(B1355="NEW ROUTE",textsplit(B1356,","),"")</f>
        <v/>
      </c>
      <c r="H1356" s="1" t="str">
        <f aca="false">IF(C1356&lt;&gt;"",DEC2HEX(C1356,2),"")</f>
        <v/>
      </c>
      <c r="I1356" s="1" t="str">
        <f aca="false">IF(D1356&lt;&gt;"",DEC2HEX(D1356,2),"")</f>
        <v/>
      </c>
      <c r="J1356" s="1" t="str">
        <f aca="false">IF(H1356&lt;&gt;"","0x"&amp;I1356&amp;H1356,"")</f>
        <v/>
      </c>
      <c r="L1356" s="1" t="s">
        <v>3196</v>
      </c>
      <c r="M1356" s="1" t="str">
        <f aca="false">IF(J1356&lt;&gt;"",J1356,L1356)</f>
        <v>43, 43, GOLBAT</v>
      </c>
    </row>
    <row r="1357" customFormat="false" ht="12.75" hidden="false" customHeight="true" outlineLevel="0" collapsed="false">
      <c r="A1357" s="3" t="s">
        <v>2806</v>
      </c>
      <c r="B1357" s="3" t="str">
        <f aca="false">IF(ISNUMBER(SEARCH("%", A1357)),RIGHT(A1357,3),A1357)</f>
        <v>0.05</v>
      </c>
      <c r="C1357" s="1" t="str">
        <f aca="false" t="array" ref="C1357:C1357">IF(B1356="NEW ROUTE",textsplit(B1357,","),"")</f>
        <v/>
      </c>
      <c r="H1357" s="1" t="str">
        <f aca="false">IF(C1357&lt;&gt;"",DEC2HEX(C1357,2),"")</f>
        <v/>
      </c>
      <c r="I1357" s="1" t="str">
        <f aca="false">IF(D1357&lt;&gt;"",DEC2HEX(D1357,2),"")</f>
        <v/>
      </c>
      <c r="J1357" s="1" t="str">
        <f aca="false">IF(H1357&lt;&gt;"","0x"&amp;I1357&amp;H1357,"")</f>
        <v/>
      </c>
      <c r="L1357" s="1" t="s">
        <v>2806</v>
      </c>
      <c r="M1357" s="1" t="str">
        <f aca="false">IF(J1357&lt;&gt;"",J1357,L1357)</f>
        <v>0.05</v>
      </c>
    </row>
    <row r="1358" customFormat="false" ht="12.75" hidden="false" customHeight="true" outlineLevel="0" collapsed="false">
      <c r="A1358" s="3" t="s">
        <v>3197</v>
      </c>
      <c r="B1358" s="3" t="str">
        <f aca="false">IF(ISNUMBER(SEARCH("%", A1358)),RIGHT(A1358,3),A1358)</f>
        <v>38, 38, GASTLY</v>
      </c>
      <c r="C1358" s="1" t="str">
        <f aca="false" t="array" ref="C1358:C1358">IF(B1357="NEW ROUTE",textsplit(B1358,","),"")</f>
        <v/>
      </c>
      <c r="H1358" s="1" t="str">
        <f aca="false">IF(C1358&lt;&gt;"",DEC2HEX(C1358,2),"")</f>
        <v/>
      </c>
      <c r="I1358" s="1" t="str">
        <f aca="false">IF(D1358&lt;&gt;"",DEC2HEX(D1358,2),"")</f>
        <v/>
      </c>
      <c r="J1358" s="1" t="str">
        <f aca="false">IF(H1358&lt;&gt;"","0x"&amp;I1358&amp;H1358,"")</f>
        <v/>
      </c>
      <c r="L1358" s="1" t="s">
        <v>3197</v>
      </c>
      <c r="M1358" s="1" t="str">
        <f aca="false">IF(J1358&lt;&gt;"",J1358,L1358)</f>
        <v>38, 38, GASTLY</v>
      </c>
    </row>
    <row r="1359" customFormat="false" ht="12.75" hidden="false" customHeight="true" outlineLevel="0" collapsed="false">
      <c r="A1359" s="3" t="s">
        <v>3198</v>
      </c>
      <c r="B1359" s="3" t="str">
        <f aca="false">IF(ISNUMBER(SEARCH("%", A1359)),RIGHT(A1359,3),A1359)</f>
        <v>48, 48, HAUNTER</v>
      </c>
      <c r="C1359" s="1" t="str">
        <f aca="false" t="array" ref="C1359:C1359">IF(B1358="NEW ROUTE",textsplit(B1359,","),"")</f>
        <v/>
      </c>
      <c r="H1359" s="1" t="str">
        <f aca="false">IF(C1359&lt;&gt;"",DEC2HEX(C1359,2),"")</f>
        <v/>
      </c>
      <c r="I1359" s="1" t="str">
        <f aca="false">IF(D1359&lt;&gt;"",DEC2HEX(D1359,2),"")</f>
        <v/>
      </c>
      <c r="J1359" s="1" t="str">
        <f aca="false">IF(H1359&lt;&gt;"","0x"&amp;I1359&amp;H1359,"")</f>
        <v/>
      </c>
      <c r="L1359" s="1" t="s">
        <v>3198</v>
      </c>
      <c r="M1359" s="1" t="str">
        <f aca="false">IF(J1359&lt;&gt;"",J1359,L1359)</f>
        <v>48, 48, HAUNTER</v>
      </c>
    </row>
    <row r="1360" customFormat="false" ht="12.75" hidden="false" customHeight="true" outlineLevel="0" collapsed="false">
      <c r="A1360" s="3" t="s">
        <v>2809</v>
      </c>
      <c r="B1360" s="3" t="str">
        <f aca="false">IF(ISNUMBER(SEARCH("%", A1360)),RIGHT(A1360,3),A1360)</f>
        <v>0.04</v>
      </c>
      <c r="C1360" s="1" t="str">
        <f aca="false" t="array" ref="C1360:C1360">IF(B1359="NEW ROUTE",textsplit(B1360,","),"")</f>
        <v/>
      </c>
      <c r="H1360" s="1" t="str">
        <f aca="false">IF(C1360&lt;&gt;"",DEC2HEX(C1360,2),"")</f>
        <v/>
      </c>
      <c r="I1360" s="1" t="str">
        <f aca="false">IF(D1360&lt;&gt;"",DEC2HEX(D1360,2),"")</f>
        <v/>
      </c>
      <c r="J1360" s="1" t="str">
        <f aca="false">IF(H1360&lt;&gt;"","0x"&amp;I1360&amp;H1360,"")</f>
        <v/>
      </c>
      <c r="L1360" s="1" t="s">
        <v>2809</v>
      </c>
      <c r="M1360" s="1" t="str">
        <f aca="false">IF(J1360&lt;&gt;"",J1360,L1360)</f>
        <v>0.04</v>
      </c>
    </row>
    <row r="1361" customFormat="false" ht="12.75" hidden="false" customHeight="true" outlineLevel="0" collapsed="false">
      <c r="A1361" s="3" t="s">
        <v>3199</v>
      </c>
      <c r="B1361" s="3" t="str">
        <f aca="false">IF(ISNUMBER(SEARCH("%", A1361)),RIGHT(A1361,3),A1361)</f>
        <v>50, 50, HAUNTER</v>
      </c>
      <c r="C1361" s="1" t="str">
        <f aca="false" t="array" ref="C1361:C1361">IF(B1360="NEW ROUTE",textsplit(B1361,","),"")</f>
        <v/>
      </c>
      <c r="H1361" s="1" t="str">
        <f aca="false">IF(C1361&lt;&gt;"",DEC2HEX(C1361,2),"")</f>
        <v/>
      </c>
      <c r="I1361" s="1" t="str">
        <f aca="false">IF(D1361&lt;&gt;"",DEC2HEX(D1361,2),"")</f>
        <v/>
      </c>
      <c r="J1361" s="1" t="str">
        <f aca="false">IF(H1361&lt;&gt;"","0x"&amp;I1361&amp;H1361,"")</f>
        <v/>
      </c>
      <c r="L1361" s="1" t="s">
        <v>3199</v>
      </c>
      <c r="M1361" s="1" t="str">
        <f aca="false">IF(J1361&lt;&gt;"",J1361,L1361)</f>
        <v>50, 50, HAUNTER</v>
      </c>
    </row>
    <row r="1362" customFormat="false" ht="12.75" hidden="false" customHeight="true" outlineLevel="0" collapsed="false">
      <c r="A1362" s="3" t="s">
        <v>3200</v>
      </c>
      <c r="B1362" s="3" t="str">
        <f aca="false">IF(ISNUMBER(SEARCH("%", A1362)),RIGHT(A1362,3),A1362)</f>
        <v>22, 22, MISDREAVUS</v>
      </c>
      <c r="C1362" s="1" t="str">
        <f aca="false" t="array" ref="C1362:C1362">IF(B1361="NEW ROUTE",textsplit(B1362,","),"")</f>
        <v/>
      </c>
      <c r="H1362" s="1" t="str">
        <f aca="false">IF(C1362&lt;&gt;"",DEC2HEX(C1362,2),"")</f>
        <v/>
      </c>
      <c r="I1362" s="1" t="str">
        <f aca="false">IF(D1362&lt;&gt;"",DEC2HEX(D1362,2),"")</f>
        <v/>
      </c>
      <c r="J1362" s="1" t="str">
        <f aca="false">IF(H1362&lt;&gt;"","0x"&amp;I1362&amp;H1362,"")</f>
        <v/>
      </c>
      <c r="L1362" s="1" t="s">
        <v>3200</v>
      </c>
      <c r="M1362" s="1" t="str">
        <f aca="false">IF(J1362&lt;&gt;"",J1362,L1362)</f>
        <v>22, 22, MISDREAVUS</v>
      </c>
    </row>
    <row r="1363" customFormat="false" ht="12.75" hidden="false" customHeight="true" outlineLevel="0" collapsed="false">
      <c r="A1363" s="3" t="s">
        <v>2812</v>
      </c>
      <c r="B1363" s="3" t="str">
        <f aca="false">IF(ISNUMBER(SEARCH("%", A1363)),RIGHT(A1363,3),A1363)</f>
        <v>0.01</v>
      </c>
      <c r="C1363" s="1" t="str">
        <f aca="false" t="array" ref="C1363:C1363">IF(B1362="NEW ROUTE",textsplit(B1363,","),"")</f>
        <v/>
      </c>
      <c r="H1363" s="1" t="str">
        <f aca="false">IF(C1363&lt;&gt;"",DEC2HEX(C1363,2),"")</f>
        <v/>
      </c>
      <c r="I1363" s="1" t="str">
        <f aca="false">IF(D1363&lt;&gt;"",DEC2HEX(D1363,2),"")</f>
        <v/>
      </c>
      <c r="J1363" s="1" t="str">
        <f aca="false">IF(H1363&lt;&gt;"","0x"&amp;I1363&amp;H1363,"")</f>
        <v/>
      </c>
      <c r="L1363" s="1" t="s">
        <v>2812</v>
      </c>
      <c r="M1363" s="1" t="str">
        <f aca="false">IF(J1363&lt;&gt;"",J1363,L1363)</f>
        <v>0.01</v>
      </c>
    </row>
    <row r="1364" customFormat="false" ht="12.75" hidden="false" customHeight="true" outlineLevel="0" collapsed="false">
      <c r="A1364" s="3" t="s">
        <v>3201</v>
      </c>
      <c r="B1364" s="3" t="str">
        <f aca="false">IF(ISNUMBER(SEARCH("%", A1364)),RIGHT(A1364,3),A1364)</f>
        <v>52, 52, HAUNTER</v>
      </c>
      <c r="C1364" s="1" t="str">
        <f aca="false" t="array" ref="C1364:C1364">IF(B1363="NEW ROUTE",textsplit(B1364,","),"")</f>
        <v/>
      </c>
      <c r="H1364" s="1" t="str">
        <f aca="false">IF(C1364&lt;&gt;"",DEC2HEX(C1364,2),"")</f>
        <v/>
      </c>
      <c r="I1364" s="1" t="str">
        <f aca="false">IF(D1364&lt;&gt;"",DEC2HEX(D1364,2),"")</f>
        <v/>
      </c>
      <c r="J1364" s="1" t="str">
        <f aca="false">IF(H1364&lt;&gt;"","0x"&amp;I1364&amp;H1364,"")</f>
        <v/>
      </c>
      <c r="L1364" s="1" t="s">
        <v>3201</v>
      </c>
      <c r="M1364" s="1" t="str">
        <f aca="false">IF(J1364&lt;&gt;"",J1364,L1364)</f>
        <v>52, 52, HAUNTER</v>
      </c>
    </row>
    <row r="1365" customFormat="false" ht="12.75" hidden="false" customHeight="true" outlineLevel="0" collapsed="false">
      <c r="A1365" s="3" t="s">
        <v>3202</v>
      </c>
      <c r="B1365" s="3" t="str">
        <f aca="false">IF(ISNUMBER(SEARCH("%", A1365)),RIGHT(A1365,3),A1365)</f>
        <v>22, 22, MISDREAVUS , &lt;null&gt;, &lt;null&gt;, &lt;null&gt;</v>
      </c>
      <c r="C1365" s="1" t="str">
        <f aca="false" t="array" ref="C1365:C1365">IF(B1364="NEW ROUTE",textsplit(B1365,","),"")</f>
        <v/>
      </c>
      <c r="H1365" s="1" t="str">
        <f aca="false">IF(C1365&lt;&gt;"",DEC2HEX(C1365,2),"")</f>
        <v/>
      </c>
      <c r="I1365" s="1" t="str">
        <f aca="false">IF(D1365&lt;&gt;"",DEC2HEX(D1365,2),"")</f>
        <v/>
      </c>
      <c r="J1365" s="1" t="str">
        <f aca="false">IF(H1365&lt;&gt;"","0x"&amp;I1365&amp;H1365,"")</f>
        <v/>
      </c>
      <c r="L1365" s="1" t="s">
        <v>3202</v>
      </c>
      <c r="M1365" s="1" t="str">
        <f aca="false">IF(J1365&lt;&gt;"",J1365,L1365)</f>
        <v>22, 22, MISDREAVUS , &lt;null&gt;, &lt;null&gt;, &lt;null&gt;</v>
      </c>
    </row>
    <row r="1366" customFormat="false" ht="12.75" hidden="false" customHeight="true" outlineLevel="0" collapsed="false">
      <c r="A1366" s="3" t="s">
        <v>2536</v>
      </c>
      <c r="B1366" s="3" t="str">
        <f aca="false">IF(ISNUMBER(SEARCH("%", A1366)),RIGHT(A1366,3),A1366)</f>
        <v>NEW ROUTE</v>
      </c>
      <c r="C1366" s="1" t="str">
        <f aca="false" t="array" ref="C1366:C1366">IF(B1365="NEW ROUTE",textsplit(B1366,","),"")</f>
        <v/>
      </c>
      <c r="H1366" s="1" t="str">
        <f aca="false">IF(C1366&lt;&gt;"",DEC2HEX(C1366,2),"")</f>
        <v/>
      </c>
      <c r="I1366" s="1" t="str">
        <f aca="false">IF(D1366&lt;&gt;"",DEC2HEX(D1366,2),"")</f>
        <v/>
      </c>
      <c r="J1366" s="1" t="str">
        <f aca="false">IF(H1366&lt;&gt;"","0x"&amp;I1366&amp;H1366,"")</f>
        <v/>
      </c>
      <c r="L1366" s="1" t="s">
        <v>2536</v>
      </c>
      <c r="M1366" s="1" t="str">
        <f aca="false">IF(J1366&lt;&gt;"",J1366,L1366)</f>
        <v>NEW ROUTE</v>
      </c>
    </row>
    <row r="1367" customFormat="false" ht="12.75" hidden="false" customHeight="true" outlineLevel="0" collapsed="false">
      <c r="A1367" s="3" t="s">
        <v>3214</v>
      </c>
      <c r="B1367" s="3" t="str">
        <f aca="false">IF(ISNUMBER(SEARCH("%", A1367)),RIGHT(A1367,3),A1367)</f>
        <v>2, 23, 0,</v>
      </c>
      <c r="C1367" s="1" t="e">
        <f aca="false" t="array" ref="C1367:C1367">IF(B1366="NEW ROUTE",textsplit(B1367,","),"")</f>
        <v>#NAME?</v>
      </c>
      <c r="H1367" s="1" t="e">
        <f aca="false">IF(C1367&lt;&gt;"",DEC2HEX(C1367,2),"")</f>
        <v>#NAME?</v>
      </c>
      <c r="I1367" s="1" t="str">
        <f aca="false">IF(D1367&lt;&gt;"",DEC2HEX(D1367,2),"")</f>
        <v/>
      </c>
      <c r="J1367" s="1" t="e">
        <f aca="false">IF(H1367&lt;&gt;"","0x"&amp;I1367&amp;H1367,"")</f>
        <v>#NAME?</v>
      </c>
      <c r="L1367" s="1" t="s">
        <v>3214</v>
      </c>
      <c r="M1367" s="1" t="e">
        <f aca="false">IF(J1367&lt;&gt;"",J1367,L1367)</f>
        <v>#NAME?</v>
      </c>
    </row>
    <row r="1368" customFormat="false" ht="12.75" hidden="false" customHeight="true" outlineLevel="0" collapsed="false">
      <c r="A1368" s="3" t="s">
        <v>2823</v>
      </c>
      <c r="B1368" s="3" t="str">
        <f aca="false">IF(ISNUMBER(SEARCH("%", A1368)),RIGHT(A1368,3),A1368)</f>
        <v>20%</v>
      </c>
      <c r="C1368" s="1" t="str">
        <f aca="false" t="array" ref="C1368:C1368">IF(B1367="NEW ROUTE",textsplit(B1368,","),"")</f>
        <v/>
      </c>
      <c r="H1368" s="1" t="str">
        <f aca="false">IF(C1368&lt;&gt;"",DEC2HEX(C1368,2),"")</f>
        <v/>
      </c>
      <c r="I1368" s="1" t="str">
        <f aca="false">IF(D1368&lt;&gt;"",DEC2HEX(D1368,2),"")</f>
        <v/>
      </c>
      <c r="J1368" s="1" t="str">
        <f aca="false">IF(H1368&lt;&gt;"","0x"&amp;I1368&amp;H1368,"")</f>
        <v/>
      </c>
      <c r="L1368" s="1" t="s">
        <v>2799</v>
      </c>
      <c r="M1368" s="1" t="str">
        <f aca="false">IF(J1368&lt;&gt;"",J1368,L1368)</f>
        <v>20%</v>
      </c>
    </row>
    <row r="1369" customFormat="false" ht="12.75" hidden="false" customHeight="true" outlineLevel="0" collapsed="false">
      <c r="A1369" s="3" t="s">
        <v>1638</v>
      </c>
      <c r="B1369" s="3" t="str">
        <f aca="false">IF(ISNUMBER(SEARCH("%", A1369)),RIGHT(A1369,3),A1369)</f>
        <v>40, 40, GASTLY</v>
      </c>
      <c r="C1369" s="1" t="str">
        <f aca="false" t="array" ref="C1369:C1369">IF(B1368="NEW ROUTE",textsplit(B1369,","),"")</f>
        <v/>
      </c>
      <c r="H1369" s="1" t="str">
        <f aca="false">IF(C1369&lt;&gt;"",DEC2HEX(C1369,2),"")</f>
        <v/>
      </c>
      <c r="I1369" s="1" t="str">
        <f aca="false">IF(D1369&lt;&gt;"",DEC2HEX(D1369,2),"")</f>
        <v/>
      </c>
      <c r="J1369" s="1" t="str">
        <f aca="false">IF(H1369&lt;&gt;"","0x"&amp;I1369&amp;H1369,"")</f>
        <v/>
      </c>
      <c r="L1369" s="1" t="s">
        <v>1638</v>
      </c>
      <c r="M1369" s="1" t="str">
        <f aca="false">IF(J1369&lt;&gt;"",J1369,L1369)</f>
        <v>40, 40, GASTLY</v>
      </c>
    </row>
    <row r="1370" customFormat="false" ht="12.75" hidden="false" customHeight="true" outlineLevel="0" collapsed="false">
      <c r="A1370" s="3" t="s">
        <v>3192</v>
      </c>
      <c r="B1370" s="3" t="str">
        <f aca="false">IF(ISNUMBER(SEARCH("%", A1370)),RIGHT(A1370,3),A1370)</f>
        <v>37, 37, ZUBAT</v>
      </c>
      <c r="C1370" s="1" t="str">
        <f aca="false" t="array" ref="C1370:C1370">IF(B1369="NEW ROUTE",textsplit(B1370,","),"")</f>
        <v/>
      </c>
      <c r="H1370" s="1" t="str">
        <f aca="false">IF(C1370&lt;&gt;"",DEC2HEX(C1370,2),"")</f>
        <v/>
      </c>
      <c r="I1370" s="1" t="str">
        <f aca="false">IF(D1370&lt;&gt;"",DEC2HEX(D1370,2),"")</f>
        <v/>
      </c>
      <c r="J1370" s="1" t="str">
        <f aca="false">IF(H1370&lt;&gt;"","0x"&amp;I1370&amp;H1370,"")</f>
        <v/>
      </c>
      <c r="L1370" s="1" t="s">
        <v>3192</v>
      </c>
      <c r="M1370" s="1" t="str">
        <f aca="false">IF(J1370&lt;&gt;"",J1370,L1370)</f>
        <v>37, 37, ZUBAT</v>
      </c>
    </row>
    <row r="1371" customFormat="false" ht="12.75" hidden="false" customHeight="true" outlineLevel="0" collapsed="false">
      <c r="A1371" s="3" t="s">
        <v>2801</v>
      </c>
      <c r="B1371" s="3" t="str">
        <f aca="false">IF(ISNUMBER(SEARCH("%", A1371)),RIGHT(A1371,3),A1371)</f>
        <v>0.1</v>
      </c>
      <c r="C1371" s="1" t="str">
        <f aca="false" t="array" ref="C1371:C1371">IF(B1370="NEW ROUTE",textsplit(B1371,","),"")</f>
        <v/>
      </c>
      <c r="H1371" s="1" t="str">
        <f aca="false">IF(C1371&lt;&gt;"",DEC2HEX(C1371,2),"")</f>
        <v/>
      </c>
      <c r="I1371" s="1" t="str">
        <f aca="false">IF(D1371&lt;&gt;"",DEC2HEX(D1371,2),"")</f>
        <v/>
      </c>
      <c r="J1371" s="1" t="str">
        <f aca="false">IF(H1371&lt;&gt;"","0x"&amp;I1371&amp;H1371,"")</f>
        <v/>
      </c>
      <c r="L1371" s="1" t="s">
        <v>2801</v>
      </c>
      <c r="M1371" s="1" t="str">
        <f aca="false">IF(J1371&lt;&gt;"",J1371,L1371)</f>
        <v>0.1</v>
      </c>
    </row>
    <row r="1372" customFormat="false" ht="12.75" hidden="false" customHeight="true" outlineLevel="0" collapsed="false">
      <c r="A1372" s="3" t="s">
        <v>3193</v>
      </c>
      <c r="B1372" s="3" t="str">
        <f aca="false">IF(ISNUMBER(SEARCH("%", A1372)),RIGHT(A1372,3),A1372)</f>
        <v>44, 44, HAUNTER</v>
      </c>
      <c r="C1372" s="1" t="str">
        <f aca="false" t="array" ref="C1372:C1372">IF(B1371="NEW ROUTE",textsplit(B1372,","),"")</f>
        <v/>
      </c>
      <c r="H1372" s="1" t="str">
        <f aca="false">IF(C1372&lt;&gt;"",DEC2HEX(C1372,2),"")</f>
        <v/>
      </c>
      <c r="I1372" s="1" t="str">
        <f aca="false">IF(D1372&lt;&gt;"",DEC2HEX(D1372,2),"")</f>
        <v/>
      </c>
      <c r="J1372" s="1" t="str">
        <f aca="false">IF(H1372&lt;&gt;"","0x"&amp;I1372&amp;H1372,"")</f>
        <v/>
      </c>
      <c r="L1372" s="1" t="s">
        <v>3193</v>
      </c>
      <c r="M1372" s="1" t="str">
        <f aca="false">IF(J1372&lt;&gt;"",J1372,L1372)</f>
        <v>44, 44, HAUNTER</v>
      </c>
    </row>
    <row r="1373" customFormat="false" ht="12.75" hidden="false" customHeight="true" outlineLevel="0" collapsed="false">
      <c r="A1373" s="3" t="s">
        <v>3194</v>
      </c>
      <c r="B1373" s="3" t="str">
        <f aca="false">IF(ISNUMBER(SEARCH("%", A1373)),RIGHT(A1373,3),A1373)</f>
        <v>46, 46, HAUNTER</v>
      </c>
      <c r="C1373" s="1" t="str">
        <f aca="false" t="array" ref="C1373:C1373">IF(B1372="NEW ROUTE",textsplit(B1373,","),"")</f>
        <v/>
      </c>
      <c r="H1373" s="1" t="str">
        <f aca="false">IF(C1373&lt;&gt;"",DEC2HEX(C1373,2),"")</f>
        <v/>
      </c>
      <c r="I1373" s="1" t="str">
        <f aca="false">IF(D1373&lt;&gt;"",DEC2HEX(D1373,2),"")</f>
        <v/>
      </c>
      <c r="J1373" s="1" t="str">
        <f aca="false">IF(H1373&lt;&gt;"","0x"&amp;I1373&amp;H1373,"")</f>
        <v/>
      </c>
      <c r="L1373" s="1" t="s">
        <v>3194</v>
      </c>
      <c r="M1373" s="1" t="str">
        <f aca="false">IF(J1373&lt;&gt;"",J1373,L1373)</f>
        <v>46, 46, HAUNTER</v>
      </c>
    </row>
    <row r="1374" customFormat="false" ht="12.75" hidden="false" customHeight="true" outlineLevel="0" collapsed="false">
      <c r="A1374" s="3" t="s">
        <v>3195</v>
      </c>
      <c r="B1374" s="3" t="str">
        <f aca="false">IF(ISNUMBER(SEARCH("%", A1374)),RIGHT(A1374,3),A1374)</f>
        <v>41, 41, GOLBAT</v>
      </c>
      <c r="C1374" s="1" t="str">
        <f aca="false" t="array" ref="C1374:C1374">IF(B1373="NEW ROUTE",textsplit(B1374,","),"")</f>
        <v/>
      </c>
      <c r="H1374" s="1" t="str">
        <f aca="false">IF(C1374&lt;&gt;"",DEC2HEX(C1374,2),"")</f>
        <v/>
      </c>
      <c r="I1374" s="1" t="str">
        <f aca="false">IF(D1374&lt;&gt;"",DEC2HEX(D1374,2),"")</f>
        <v/>
      </c>
      <c r="J1374" s="1" t="str">
        <f aca="false">IF(H1374&lt;&gt;"","0x"&amp;I1374&amp;H1374,"")</f>
        <v/>
      </c>
      <c r="L1374" s="1" t="s">
        <v>3195</v>
      </c>
      <c r="M1374" s="1" t="str">
        <f aca="false">IF(J1374&lt;&gt;"",J1374,L1374)</f>
        <v>41, 41, GOLBAT</v>
      </c>
    </row>
    <row r="1375" customFormat="false" ht="12.75" hidden="false" customHeight="true" outlineLevel="0" collapsed="false">
      <c r="A1375" s="3" t="s">
        <v>3215</v>
      </c>
      <c r="B1375" s="3" t="str">
        <f aca="false">IF(ISNUMBER(SEARCH("%", A1375)),RIGHT(A1375,3),A1375)</f>
        <v>15, 15, MISDREAVUS</v>
      </c>
      <c r="C1375" s="1" t="str">
        <f aca="false" t="array" ref="C1375:C1375">IF(B1374="NEW ROUTE",textsplit(B1375,","),"")</f>
        <v/>
      </c>
      <c r="H1375" s="1" t="str">
        <f aca="false">IF(C1375&lt;&gt;"",DEC2HEX(C1375,2),"")</f>
        <v/>
      </c>
      <c r="I1375" s="1" t="str">
        <f aca="false">IF(D1375&lt;&gt;"",DEC2HEX(D1375,2),"")</f>
        <v/>
      </c>
      <c r="J1375" s="1" t="str">
        <f aca="false">IF(H1375&lt;&gt;"","0x"&amp;I1375&amp;H1375,"")</f>
        <v/>
      </c>
      <c r="L1375" s="1" t="s">
        <v>3215</v>
      </c>
      <c r="M1375" s="1" t="str">
        <f aca="false">IF(J1375&lt;&gt;"",J1375,L1375)</f>
        <v>15, 15, MISDREAVUS</v>
      </c>
    </row>
    <row r="1376" customFormat="false" ht="12.75" hidden="false" customHeight="true" outlineLevel="0" collapsed="false">
      <c r="A1376" s="3" t="s">
        <v>2806</v>
      </c>
      <c r="B1376" s="3" t="str">
        <f aca="false">IF(ISNUMBER(SEARCH("%", A1376)),RIGHT(A1376,3),A1376)</f>
        <v>0.05</v>
      </c>
      <c r="C1376" s="1" t="str">
        <f aca="false" t="array" ref="C1376:C1376">IF(B1375="NEW ROUTE",textsplit(B1376,","),"")</f>
        <v/>
      </c>
      <c r="H1376" s="1" t="str">
        <f aca="false">IF(C1376&lt;&gt;"",DEC2HEX(C1376,2),"")</f>
        <v/>
      </c>
      <c r="I1376" s="1" t="str">
        <f aca="false">IF(D1376&lt;&gt;"",DEC2HEX(D1376,2),"")</f>
        <v/>
      </c>
      <c r="J1376" s="1" t="str">
        <f aca="false">IF(H1376&lt;&gt;"","0x"&amp;I1376&amp;H1376,"")</f>
        <v/>
      </c>
      <c r="L1376" s="1" t="s">
        <v>2806</v>
      </c>
      <c r="M1376" s="1" t="str">
        <f aca="false">IF(J1376&lt;&gt;"",J1376,L1376)</f>
        <v>0.05</v>
      </c>
    </row>
    <row r="1377" customFormat="false" ht="12.75" hidden="false" customHeight="true" outlineLevel="0" collapsed="false">
      <c r="A1377" s="3" t="s">
        <v>3216</v>
      </c>
      <c r="B1377" s="3" t="str">
        <f aca="false">IF(ISNUMBER(SEARCH("%", A1377)),RIGHT(A1377,3),A1377)</f>
        <v>20, 20, MISDREAVUS</v>
      </c>
      <c r="C1377" s="1" t="str">
        <f aca="false" t="array" ref="C1377:C1377">IF(B1376="NEW ROUTE",textsplit(B1377,","),"")</f>
        <v/>
      </c>
      <c r="H1377" s="1" t="str">
        <f aca="false">IF(C1377&lt;&gt;"",DEC2HEX(C1377,2),"")</f>
        <v/>
      </c>
      <c r="I1377" s="1" t="str">
        <f aca="false">IF(D1377&lt;&gt;"",DEC2HEX(D1377,2),"")</f>
        <v/>
      </c>
      <c r="J1377" s="1" t="str">
        <f aca="false">IF(H1377&lt;&gt;"","0x"&amp;I1377&amp;H1377,"")</f>
        <v/>
      </c>
      <c r="L1377" s="1" t="s">
        <v>3216</v>
      </c>
      <c r="M1377" s="1" t="str">
        <f aca="false">IF(J1377&lt;&gt;"",J1377,L1377)</f>
        <v>20, 20, MISDREAVUS</v>
      </c>
    </row>
    <row r="1378" customFormat="false" ht="12.75" hidden="false" customHeight="true" outlineLevel="0" collapsed="false">
      <c r="A1378" s="3" t="s">
        <v>3198</v>
      </c>
      <c r="B1378" s="3" t="str">
        <f aca="false">IF(ISNUMBER(SEARCH("%", A1378)),RIGHT(A1378,3),A1378)</f>
        <v>48, 48, HAUNTER</v>
      </c>
      <c r="C1378" s="1" t="str">
        <f aca="false" t="array" ref="C1378:C1378">IF(B1377="NEW ROUTE",textsplit(B1378,","),"")</f>
        <v/>
      </c>
      <c r="H1378" s="1" t="str">
        <f aca="false">IF(C1378&lt;&gt;"",DEC2HEX(C1378,2),"")</f>
        <v/>
      </c>
      <c r="I1378" s="1" t="str">
        <f aca="false">IF(D1378&lt;&gt;"",DEC2HEX(D1378,2),"")</f>
        <v/>
      </c>
      <c r="J1378" s="1" t="str">
        <f aca="false">IF(H1378&lt;&gt;"","0x"&amp;I1378&amp;H1378,"")</f>
        <v/>
      </c>
      <c r="L1378" s="1" t="s">
        <v>3198</v>
      </c>
      <c r="M1378" s="1" t="str">
        <f aca="false">IF(J1378&lt;&gt;"",J1378,L1378)</f>
        <v>48, 48, HAUNTER</v>
      </c>
    </row>
    <row r="1379" customFormat="false" ht="12.75" hidden="false" customHeight="true" outlineLevel="0" collapsed="false">
      <c r="A1379" s="3" t="s">
        <v>2809</v>
      </c>
      <c r="B1379" s="3" t="str">
        <f aca="false">IF(ISNUMBER(SEARCH("%", A1379)),RIGHT(A1379,3),A1379)</f>
        <v>0.04</v>
      </c>
      <c r="C1379" s="1" t="str">
        <f aca="false" t="array" ref="C1379:C1379">IF(B1378="NEW ROUTE",textsplit(B1379,","),"")</f>
        <v/>
      </c>
      <c r="H1379" s="1" t="str">
        <f aca="false">IF(C1379&lt;&gt;"",DEC2HEX(C1379,2),"")</f>
        <v/>
      </c>
      <c r="I1379" s="1" t="str">
        <f aca="false">IF(D1379&lt;&gt;"",DEC2HEX(D1379,2),"")</f>
        <v/>
      </c>
      <c r="J1379" s="1" t="str">
        <f aca="false">IF(H1379&lt;&gt;"","0x"&amp;I1379&amp;H1379,"")</f>
        <v/>
      </c>
      <c r="L1379" s="1" t="s">
        <v>2809</v>
      </c>
      <c r="M1379" s="1" t="str">
        <f aca="false">IF(J1379&lt;&gt;"",J1379,L1379)</f>
        <v>0.04</v>
      </c>
    </row>
    <row r="1380" customFormat="false" ht="12.75" hidden="false" customHeight="true" outlineLevel="0" collapsed="false">
      <c r="A1380" s="3" t="s">
        <v>3199</v>
      </c>
      <c r="B1380" s="3" t="str">
        <f aca="false">IF(ISNUMBER(SEARCH("%", A1380)),RIGHT(A1380,3),A1380)</f>
        <v>50, 50, HAUNTER</v>
      </c>
      <c r="C1380" s="1" t="str">
        <f aca="false" t="array" ref="C1380:C1380">IF(B1379="NEW ROUTE",textsplit(B1380,","),"")</f>
        <v/>
      </c>
      <c r="H1380" s="1" t="str">
        <f aca="false">IF(C1380&lt;&gt;"",DEC2HEX(C1380,2),"")</f>
        <v/>
      </c>
      <c r="I1380" s="1" t="str">
        <f aca="false">IF(D1380&lt;&gt;"",DEC2HEX(D1380,2),"")</f>
        <v/>
      </c>
      <c r="J1380" s="1" t="str">
        <f aca="false">IF(H1380&lt;&gt;"","0x"&amp;I1380&amp;H1380,"")</f>
        <v/>
      </c>
      <c r="L1380" s="1" t="s">
        <v>3199</v>
      </c>
      <c r="M1380" s="1" t="str">
        <f aca="false">IF(J1380&lt;&gt;"",J1380,L1380)</f>
        <v>50, 50, HAUNTER</v>
      </c>
    </row>
    <row r="1381" customFormat="false" ht="12.75" hidden="false" customHeight="true" outlineLevel="0" collapsed="false">
      <c r="A1381" s="3" t="s">
        <v>3200</v>
      </c>
      <c r="B1381" s="3" t="str">
        <f aca="false">IF(ISNUMBER(SEARCH("%", A1381)),RIGHT(A1381,3),A1381)</f>
        <v>22, 22, MISDREAVUS</v>
      </c>
      <c r="C1381" s="1" t="str">
        <f aca="false" t="array" ref="C1381:C1381">IF(B1380="NEW ROUTE",textsplit(B1381,","),"")</f>
        <v/>
      </c>
      <c r="H1381" s="1" t="str">
        <f aca="false">IF(C1381&lt;&gt;"",DEC2HEX(C1381,2),"")</f>
        <v/>
      </c>
      <c r="I1381" s="1" t="str">
        <f aca="false">IF(D1381&lt;&gt;"",DEC2HEX(D1381,2),"")</f>
        <v/>
      </c>
      <c r="J1381" s="1" t="str">
        <f aca="false">IF(H1381&lt;&gt;"","0x"&amp;I1381&amp;H1381,"")</f>
        <v/>
      </c>
      <c r="L1381" s="1" t="s">
        <v>3200</v>
      </c>
      <c r="M1381" s="1" t="str">
        <f aca="false">IF(J1381&lt;&gt;"",J1381,L1381)</f>
        <v>22, 22, MISDREAVUS</v>
      </c>
    </row>
    <row r="1382" customFormat="false" ht="12.75" hidden="false" customHeight="true" outlineLevel="0" collapsed="false">
      <c r="A1382" s="3" t="s">
        <v>2812</v>
      </c>
      <c r="B1382" s="3" t="str">
        <f aca="false">IF(ISNUMBER(SEARCH("%", A1382)),RIGHT(A1382,3),A1382)</f>
        <v>0.01</v>
      </c>
      <c r="C1382" s="1" t="str">
        <f aca="false" t="array" ref="C1382:C1382">IF(B1381="NEW ROUTE",textsplit(B1382,","),"")</f>
        <v/>
      </c>
      <c r="H1382" s="1" t="str">
        <f aca="false">IF(C1382&lt;&gt;"",DEC2HEX(C1382,2),"")</f>
        <v/>
      </c>
      <c r="I1382" s="1" t="str">
        <f aca="false">IF(D1382&lt;&gt;"",DEC2HEX(D1382,2),"")</f>
        <v/>
      </c>
      <c r="J1382" s="1" t="str">
        <f aca="false">IF(H1382&lt;&gt;"","0x"&amp;I1382&amp;H1382,"")</f>
        <v/>
      </c>
      <c r="L1382" s="1" t="s">
        <v>2812</v>
      </c>
      <c r="M1382" s="1" t="str">
        <f aca="false">IF(J1382&lt;&gt;"",J1382,L1382)</f>
        <v>0.01</v>
      </c>
    </row>
    <row r="1383" customFormat="false" ht="12.75" hidden="false" customHeight="true" outlineLevel="0" collapsed="false">
      <c r="A1383" s="3" t="s">
        <v>3201</v>
      </c>
      <c r="B1383" s="3" t="str">
        <f aca="false">IF(ISNUMBER(SEARCH("%", A1383)),RIGHT(A1383,3),A1383)</f>
        <v>52, 52, HAUNTER</v>
      </c>
      <c r="C1383" s="1" t="str">
        <f aca="false" t="array" ref="C1383:C1383">IF(B1382="NEW ROUTE",textsplit(B1383,","),"")</f>
        <v/>
      </c>
      <c r="H1383" s="1" t="str">
        <f aca="false">IF(C1383&lt;&gt;"",DEC2HEX(C1383,2),"")</f>
        <v/>
      </c>
      <c r="I1383" s="1" t="str">
        <f aca="false">IF(D1383&lt;&gt;"",DEC2HEX(D1383,2),"")</f>
        <v/>
      </c>
      <c r="J1383" s="1" t="str">
        <f aca="false">IF(H1383&lt;&gt;"","0x"&amp;I1383&amp;H1383,"")</f>
        <v/>
      </c>
      <c r="L1383" s="1" t="s">
        <v>3201</v>
      </c>
      <c r="M1383" s="1" t="str">
        <f aca="false">IF(J1383&lt;&gt;"",J1383,L1383)</f>
        <v>52, 52, HAUNTER</v>
      </c>
    </row>
    <row r="1384" customFormat="false" ht="12.75" hidden="false" customHeight="true" outlineLevel="0" collapsed="false">
      <c r="A1384" s="3" t="s">
        <v>3202</v>
      </c>
      <c r="B1384" s="3" t="str">
        <f aca="false">IF(ISNUMBER(SEARCH("%", A1384)),RIGHT(A1384,3),A1384)</f>
        <v>22, 22, MISDREAVUS , &lt;null&gt;, &lt;null&gt;, &lt;null&gt;</v>
      </c>
      <c r="C1384" s="1" t="str">
        <f aca="false" t="array" ref="C1384:C1384">IF(B1383="NEW ROUTE",textsplit(B1384,","),"")</f>
        <v/>
      </c>
      <c r="H1384" s="1" t="str">
        <f aca="false">IF(C1384&lt;&gt;"",DEC2HEX(C1384,2),"")</f>
        <v/>
      </c>
      <c r="I1384" s="1" t="str">
        <f aca="false">IF(D1384&lt;&gt;"",DEC2HEX(D1384,2),"")</f>
        <v/>
      </c>
      <c r="J1384" s="1" t="str">
        <f aca="false">IF(H1384&lt;&gt;"","0x"&amp;I1384&amp;H1384,"")</f>
        <v/>
      </c>
      <c r="L1384" s="1" t="s">
        <v>3202</v>
      </c>
      <c r="M1384" s="1" t="str">
        <f aca="false">IF(J1384&lt;&gt;"",J1384,L1384)</f>
        <v>22, 22, MISDREAVUS , &lt;null&gt;, &lt;null&gt;, &lt;null&gt;</v>
      </c>
    </row>
    <row r="1385" customFormat="false" ht="12.75" hidden="false" customHeight="true" outlineLevel="0" collapsed="false">
      <c r="A1385" s="3" t="s">
        <v>2536</v>
      </c>
      <c r="B1385" s="3" t="str">
        <f aca="false">IF(ISNUMBER(SEARCH("%", A1385)),RIGHT(A1385,3),A1385)</f>
        <v>NEW ROUTE</v>
      </c>
      <c r="C1385" s="1" t="str">
        <f aca="false" t="array" ref="C1385:C1385">IF(B1384="NEW ROUTE",textsplit(B1385,","),"")</f>
        <v/>
      </c>
      <c r="H1385" s="1" t="str">
        <f aca="false">IF(C1385&lt;&gt;"",DEC2HEX(C1385,2),"")</f>
        <v/>
      </c>
      <c r="I1385" s="1" t="str">
        <f aca="false">IF(D1385&lt;&gt;"",DEC2HEX(D1385,2),"")</f>
        <v/>
      </c>
      <c r="J1385" s="1" t="str">
        <f aca="false">IF(H1385&lt;&gt;"","0x"&amp;I1385&amp;H1385,"")</f>
        <v/>
      </c>
      <c r="L1385" s="1" t="s">
        <v>2536</v>
      </c>
      <c r="M1385" s="1" t="str">
        <f aca="false">IF(J1385&lt;&gt;"",J1385,L1385)</f>
        <v>NEW ROUTE</v>
      </c>
    </row>
    <row r="1386" customFormat="false" ht="12.75" hidden="false" customHeight="true" outlineLevel="0" collapsed="false">
      <c r="A1386" s="3" t="s">
        <v>3217</v>
      </c>
      <c r="B1386" s="3" t="str">
        <f aca="false">IF(ISNUMBER(SEARCH("%", A1386)),RIGHT(A1386,3),A1386)</f>
        <v>2, 24, 0,</v>
      </c>
      <c r="C1386" s="1" t="e">
        <f aca="false" t="array" ref="C1386:C1386">IF(B1385="NEW ROUTE",textsplit(B1386,","),"")</f>
        <v>#NAME?</v>
      </c>
      <c r="H1386" s="1" t="e">
        <f aca="false">IF(C1386&lt;&gt;"",DEC2HEX(C1386,2),"")</f>
        <v>#NAME?</v>
      </c>
      <c r="I1386" s="1" t="str">
        <f aca="false">IF(D1386&lt;&gt;"",DEC2HEX(D1386,2),"")</f>
        <v/>
      </c>
      <c r="J1386" s="1" t="e">
        <f aca="false">IF(H1386&lt;&gt;"","0x"&amp;I1386&amp;H1386,"")</f>
        <v>#NAME?</v>
      </c>
      <c r="L1386" s="1" t="s">
        <v>3217</v>
      </c>
      <c r="M1386" s="1" t="e">
        <f aca="false">IF(J1386&lt;&gt;"",J1386,L1386)</f>
        <v>#NAME?</v>
      </c>
    </row>
    <row r="1387" customFormat="false" ht="12.75" hidden="false" customHeight="true" outlineLevel="0" collapsed="false">
      <c r="A1387" s="3" t="s">
        <v>2823</v>
      </c>
      <c r="B1387" s="3" t="str">
        <f aca="false">IF(ISNUMBER(SEARCH("%", A1387)),RIGHT(A1387,3),A1387)</f>
        <v>20%</v>
      </c>
      <c r="C1387" s="1" t="str">
        <f aca="false" t="array" ref="C1387:C1387">IF(B1386="NEW ROUTE",textsplit(B1387,","),"")</f>
        <v/>
      </c>
      <c r="H1387" s="1" t="str">
        <f aca="false">IF(C1387&lt;&gt;"",DEC2HEX(C1387,2),"")</f>
        <v/>
      </c>
      <c r="I1387" s="1" t="str">
        <f aca="false">IF(D1387&lt;&gt;"",DEC2HEX(D1387,2),"")</f>
        <v/>
      </c>
      <c r="J1387" s="1" t="str">
        <f aca="false">IF(H1387&lt;&gt;"","0x"&amp;I1387&amp;H1387,"")</f>
        <v/>
      </c>
      <c r="L1387" s="1" t="s">
        <v>2799</v>
      </c>
      <c r="M1387" s="1" t="str">
        <f aca="false">IF(J1387&lt;&gt;"",J1387,L1387)</f>
        <v>20%</v>
      </c>
    </row>
    <row r="1388" customFormat="false" ht="12.75" hidden="false" customHeight="true" outlineLevel="0" collapsed="false">
      <c r="A1388" s="3" t="s">
        <v>1638</v>
      </c>
      <c r="B1388" s="3" t="str">
        <f aca="false">IF(ISNUMBER(SEARCH("%", A1388)),RIGHT(A1388,3),A1388)</f>
        <v>40, 40, GASTLY</v>
      </c>
      <c r="C1388" s="1" t="str">
        <f aca="false" t="array" ref="C1388:C1388">IF(B1387="NEW ROUTE",textsplit(B1388,","),"")</f>
        <v/>
      </c>
      <c r="H1388" s="1" t="str">
        <f aca="false">IF(C1388&lt;&gt;"",DEC2HEX(C1388,2),"")</f>
        <v/>
      </c>
      <c r="I1388" s="1" t="str">
        <f aca="false">IF(D1388&lt;&gt;"",DEC2HEX(D1388,2),"")</f>
        <v/>
      </c>
      <c r="J1388" s="1" t="str">
        <f aca="false">IF(H1388&lt;&gt;"","0x"&amp;I1388&amp;H1388,"")</f>
        <v/>
      </c>
      <c r="L1388" s="1" t="s">
        <v>1638</v>
      </c>
      <c r="M1388" s="1" t="str">
        <f aca="false">IF(J1388&lt;&gt;"",J1388,L1388)</f>
        <v>40, 40, GASTLY</v>
      </c>
    </row>
    <row r="1389" customFormat="false" ht="12.75" hidden="false" customHeight="true" outlineLevel="0" collapsed="false">
      <c r="A1389" s="3" t="s">
        <v>3192</v>
      </c>
      <c r="B1389" s="3" t="str">
        <f aca="false">IF(ISNUMBER(SEARCH("%", A1389)),RIGHT(A1389,3),A1389)</f>
        <v>37, 37, ZUBAT</v>
      </c>
      <c r="C1389" s="1" t="str">
        <f aca="false" t="array" ref="C1389:C1389">IF(B1388="NEW ROUTE",textsplit(B1389,","),"")</f>
        <v/>
      </c>
      <c r="H1389" s="1" t="str">
        <f aca="false">IF(C1389&lt;&gt;"",DEC2HEX(C1389,2),"")</f>
        <v/>
      </c>
      <c r="I1389" s="1" t="str">
        <f aca="false">IF(D1389&lt;&gt;"",DEC2HEX(D1389,2),"")</f>
        <v/>
      </c>
      <c r="J1389" s="1" t="str">
        <f aca="false">IF(H1389&lt;&gt;"","0x"&amp;I1389&amp;H1389,"")</f>
        <v/>
      </c>
      <c r="L1389" s="1" t="s">
        <v>3192</v>
      </c>
      <c r="M1389" s="1" t="str">
        <f aca="false">IF(J1389&lt;&gt;"",J1389,L1389)</f>
        <v>37, 37, ZUBAT</v>
      </c>
    </row>
    <row r="1390" customFormat="false" ht="12.75" hidden="false" customHeight="true" outlineLevel="0" collapsed="false">
      <c r="A1390" s="3" t="s">
        <v>2801</v>
      </c>
      <c r="B1390" s="3" t="str">
        <f aca="false">IF(ISNUMBER(SEARCH("%", A1390)),RIGHT(A1390,3),A1390)</f>
        <v>0.1</v>
      </c>
      <c r="C1390" s="1" t="str">
        <f aca="false" t="array" ref="C1390:C1390">IF(B1389="NEW ROUTE",textsplit(B1390,","),"")</f>
        <v/>
      </c>
      <c r="H1390" s="1" t="str">
        <f aca="false">IF(C1390&lt;&gt;"",DEC2HEX(C1390,2),"")</f>
        <v/>
      </c>
      <c r="I1390" s="1" t="str">
        <f aca="false">IF(D1390&lt;&gt;"",DEC2HEX(D1390,2),"")</f>
        <v/>
      </c>
      <c r="J1390" s="1" t="str">
        <f aca="false">IF(H1390&lt;&gt;"","0x"&amp;I1390&amp;H1390,"")</f>
        <v/>
      </c>
      <c r="L1390" s="1" t="s">
        <v>2801</v>
      </c>
      <c r="M1390" s="1" t="str">
        <f aca="false">IF(J1390&lt;&gt;"",J1390,L1390)</f>
        <v>0.1</v>
      </c>
    </row>
    <row r="1391" customFormat="false" ht="12.75" hidden="false" customHeight="true" outlineLevel="0" collapsed="false">
      <c r="A1391" s="3" t="s">
        <v>3193</v>
      </c>
      <c r="B1391" s="3" t="str">
        <f aca="false">IF(ISNUMBER(SEARCH("%", A1391)),RIGHT(A1391,3),A1391)</f>
        <v>44, 44, HAUNTER</v>
      </c>
      <c r="C1391" s="1" t="str">
        <f aca="false" t="array" ref="C1391:C1391">IF(B1390="NEW ROUTE",textsplit(B1391,","),"")</f>
        <v/>
      </c>
      <c r="H1391" s="1" t="str">
        <f aca="false">IF(C1391&lt;&gt;"",DEC2HEX(C1391,2),"")</f>
        <v/>
      </c>
      <c r="I1391" s="1" t="str">
        <f aca="false">IF(D1391&lt;&gt;"",DEC2HEX(D1391,2),"")</f>
        <v/>
      </c>
      <c r="J1391" s="1" t="str">
        <f aca="false">IF(H1391&lt;&gt;"","0x"&amp;I1391&amp;H1391,"")</f>
        <v/>
      </c>
      <c r="L1391" s="1" t="s">
        <v>3193</v>
      </c>
      <c r="M1391" s="1" t="str">
        <f aca="false">IF(J1391&lt;&gt;"",J1391,L1391)</f>
        <v>44, 44, HAUNTER</v>
      </c>
    </row>
    <row r="1392" customFormat="false" ht="12.75" hidden="false" customHeight="true" outlineLevel="0" collapsed="false">
      <c r="A1392" s="3" t="s">
        <v>3194</v>
      </c>
      <c r="B1392" s="3" t="str">
        <f aca="false">IF(ISNUMBER(SEARCH("%", A1392)),RIGHT(A1392,3),A1392)</f>
        <v>46, 46, HAUNTER</v>
      </c>
      <c r="C1392" s="1" t="str">
        <f aca="false" t="array" ref="C1392:C1392">IF(B1391="NEW ROUTE",textsplit(B1392,","),"")</f>
        <v/>
      </c>
      <c r="H1392" s="1" t="str">
        <f aca="false">IF(C1392&lt;&gt;"",DEC2HEX(C1392,2),"")</f>
        <v/>
      </c>
      <c r="I1392" s="1" t="str">
        <f aca="false">IF(D1392&lt;&gt;"",DEC2HEX(D1392,2),"")</f>
        <v/>
      </c>
      <c r="J1392" s="1" t="str">
        <f aca="false">IF(H1392&lt;&gt;"","0x"&amp;I1392&amp;H1392,"")</f>
        <v/>
      </c>
      <c r="L1392" s="1" t="s">
        <v>3194</v>
      </c>
      <c r="M1392" s="1" t="str">
        <f aca="false">IF(J1392&lt;&gt;"",J1392,L1392)</f>
        <v>46, 46, HAUNTER</v>
      </c>
    </row>
    <row r="1393" customFormat="false" ht="12.75" hidden="false" customHeight="true" outlineLevel="0" collapsed="false">
      <c r="A1393" s="3" t="s">
        <v>3195</v>
      </c>
      <c r="B1393" s="3" t="str">
        <f aca="false">IF(ISNUMBER(SEARCH("%", A1393)),RIGHT(A1393,3),A1393)</f>
        <v>41, 41, GOLBAT</v>
      </c>
      <c r="C1393" s="1" t="str">
        <f aca="false" t="array" ref="C1393:C1393">IF(B1392="NEW ROUTE",textsplit(B1393,","),"")</f>
        <v/>
      </c>
      <c r="H1393" s="1" t="str">
        <f aca="false">IF(C1393&lt;&gt;"",DEC2HEX(C1393,2),"")</f>
        <v/>
      </c>
      <c r="I1393" s="1" t="str">
        <f aca="false">IF(D1393&lt;&gt;"",DEC2HEX(D1393,2),"")</f>
        <v/>
      </c>
      <c r="J1393" s="1" t="str">
        <f aca="false">IF(H1393&lt;&gt;"","0x"&amp;I1393&amp;H1393,"")</f>
        <v/>
      </c>
      <c r="L1393" s="1" t="s">
        <v>3195</v>
      </c>
      <c r="M1393" s="1" t="str">
        <f aca="false">IF(J1393&lt;&gt;"",J1393,L1393)</f>
        <v>41, 41, GOLBAT</v>
      </c>
    </row>
    <row r="1394" customFormat="false" ht="12.75" hidden="false" customHeight="true" outlineLevel="0" collapsed="false">
      <c r="A1394" s="3" t="s">
        <v>3215</v>
      </c>
      <c r="B1394" s="3" t="str">
        <f aca="false">IF(ISNUMBER(SEARCH("%", A1394)),RIGHT(A1394,3),A1394)</f>
        <v>15, 15, MISDREAVUS</v>
      </c>
      <c r="C1394" s="1" t="str">
        <f aca="false" t="array" ref="C1394:C1394">IF(B1393="NEW ROUTE",textsplit(B1394,","),"")</f>
        <v/>
      </c>
      <c r="H1394" s="1" t="str">
        <f aca="false">IF(C1394&lt;&gt;"",DEC2HEX(C1394,2),"")</f>
        <v/>
      </c>
      <c r="I1394" s="1" t="str">
        <f aca="false">IF(D1394&lt;&gt;"",DEC2HEX(D1394,2),"")</f>
        <v/>
      </c>
      <c r="J1394" s="1" t="str">
        <f aca="false">IF(H1394&lt;&gt;"","0x"&amp;I1394&amp;H1394,"")</f>
        <v/>
      </c>
      <c r="L1394" s="1" t="s">
        <v>3215</v>
      </c>
      <c r="M1394" s="1" t="str">
        <f aca="false">IF(J1394&lt;&gt;"",J1394,L1394)</f>
        <v>15, 15, MISDREAVUS</v>
      </c>
    </row>
    <row r="1395" customFormat="false" ht="12.75" hidden="false" customHeight="true" outlineLevel="0" collapsed="false">
      <c r="A1395" s="3" t="s">
        <v>2806</v>
      </c>
      <c r="B1395" s="3" t="str">
        <f aca="false">IF(ISNUMBER(SEARCH("%", A1395)),RIGHT(A1395,3),A1395)</f>
        <v>0.05</v>
      </c>
      <c r="C1395" s="1" t="str">
        <f aca="false" t="array" ref="C1395:C1395">IF(B1394="NEW ROUTE",textsplit(B1395,","),"")</f>
        <v/>
      </c>
      <c r="H1395" s="1" t="str">
        <f aca="false">IF(C1395&lt;&gt;"",DEC2HEX(C1395,2),"")</f>
        <v/>
      </c>
      <c r="I1395" s="1" t="str">
        <f aca="false">IF(D1395&lt;&gt;"",DEC2HEX(D1395,2),"")</f>
        <v/>
      </c>
      <c r="J1395" s="1" t="str">
        <f aca="false">IF(H1395&lt;&gt;"","0x"&amp;I1395&amp;H1395,"")</f>
        <v/>
      </c>
      <c r="L1395" s="1" t="s">
        <v>2806</v>
      </c>
      <c r="M1395" s="1" t="str">
        <f aca="false">IF(J1395&lt;&gt;"",J1395,L1395)</f>
        <v>0.05</v>
      </c>
    </row>
    <row r="1396" customFormat="false" ht="12.75" hidden="false" customHeight="true" outlineLevel="0" collapsed="false">
      <c r="A1396" s="3" t="s">
        <v>3216</v>
      </c>
      <c r="B1396" s="3" t="str">
        <f aca="false">IF(ISNUMBER(SEARCH("%", A1396)),RIGHT(A1396,3),A1396)</f>
        <v>20, 20, MISDREAVUS</v>
      </c>
      <c r="C1396" s="1" t="str">
        <f aca="false" t="array" ref="C1396:C1396">IF(B1395="NEW ROUTE",textsplit(B1396,","),"")</f>
        <v/>
      </c>
      <c r="H1396" s="1" t="str">
        <f aca="false">IF(C1396&lt;&gt;"",DEC2HEX(C1396,2),"")</f>
        <v/>
      </c>
      <c r="I1396" s="1" t="str">
        <f aca="false">IF(D1396&lt;&gt;"",DEC2HEX(D1396,2),"")</f>
        <v/>
      </c>
      <c r="J1396" s="1" t="str">
        <f aca="false">IF(H1396&lt;&gt;"","0x"&amp;I1396&amp;H1396,"")</f>
        <v/>
      </c>
      <c r="L1396" s="1" t="s">
        <v>3216</v>
      </c>
      <c r="M1396" s="1" t="str">
        <f aca="false">IF(J1396&lt;&gt;"",J1396,L1396)</f>
        <v>20, 20, MISDREAVUS</v>
      </c>
    </row>
    <row r="1397" customFormat="false" ht="12.75" hidden="false" customHeight="true" outlineLevel="0" collapsed="false">
      <c r="A1397" s="3" t="s">
        <v>3198</v>
      </c>
      <c r="B1397" s="3" t="str">
        <f aca="false">IF(ISNUMBER(SEARCH("%", A1397)),RIGHT(A1397,3),A1397)</f>
        <v>48, 48, HAUNTER</v>
      </c>
      <c r="C1397" s="1" t="str">
        <f aca="false" t="array" ref="C1397:C1397">IF(B1396="NEW ROUTE",textsplit(B1397,","),"")</f>
        <v/>
      </c>
      <c r="H1397" s="1" t="str">
        <f aca="false">IF(C1397&lt;&gt;"",DEC2HEX(C1397,2),"")</f>
        <v/>
      </c>
      <c r="I1397" s="1" t="str">
        <f aca="false">IF(D1397&lt;&gt;"",DEC2HEX(D1397,2),"")</f>
        <v/>
      </c>
      <c r="J1397" s="1" t="str">
        <f aca="false">IF(H1397&lt;&gt;"","0x"&amp;I1397&amp;H1397,"")</f>
        <v/>
      </c>
      <c r="L1397" s="1" t="s">
        <v>3198</v>
      </c>
      <c r="M1397" s="1" t="str">
        <f aca="false">IF(J1397&lt;&gt;"",J1397,L1397)</f>
        <v>48, 48, HAUNTER</v>
      </c>
    </row>
    <row r="1398" customFormat="false" ht="12.75" hidden="false" customHeight="true" outlineLevel="0" collapsed="false">
      <c r="A1398" s="3" t="s">
        <v>2809</v>
      </c>
      <c r="B1398" s="3" t="str">
        <f aca="false">IF(ISNUMBER(SEARCH("%", A1398)),RIGHT(A1398,3),A1398)</f>
        <v>0.04</v>
      </c>
      <c r="C1398" s="1" t="str">
        <f aca="false" t="array" ref="C1398:C1398">IF(B1397="NEW ROUTE",textsplit(B1398,","),"")</f>
        <v/>
      </c>
      <c r="H1398" s="1" t="str">
        <f aca="false">IF(C1398&lt;&gt;"",DEC2HEX(C1398,2),"")</f>
        <v/>
      </c>
      <c r="I1398" s="1" t="str">
        <f aca="false">IF(D1398&lt;&gt;"",DEC2HEX(D1398,2),"")</f>
        <v/>
      </c>
      <c r="J1398" s="1" t="str">
        <f aca="false">IF(H1398&lt;&gt;"","0x"&amp;I1398&amp;H1398,"")</f>
        <v/>
      </c>
      <c r="L1398" s="1" t="s">
        <v>2809</v>
      </c>
      <c r="M1398" s="1" t="str">
        <f aca="false">IF(J1398&lt;&gt;"",J1398,L1398)</f>
        <v>0.04</v>
      </c>
    </row>
    <row r="1399" customFormat="false" ht="12.75" hidden="false" customHeight="true" outlineLevel="0" collapsed="false">
      <c r="A1399" s="3" t="s">
        <v>3199</v>
      </c>
      <c r="B1399" s="3" t="str">
        <f aca="false">IF(ISNUMBER(SEARCH("%", A1399)),RIGHT(A1399,3),A1399)</f>
        <v>50, 50, HAUNTER</v>
      </c>
      <c r="C1399" s="1" t="str">
        <f aca="false" t="array" ref="C1399:C1399">IF(B1398="NEW ROUTE",textsplit(B1399,","),"")</f>
        <v/>
      </c>
      <c r="H1399" s="1" t="str">
        <f aca="false">IF(C1399&lt;&gt;"",DEC2HEX(C1399,2),"")</f>
        <v/>
      </c>
      <c r="I1399" s="1" t="str">
        <f aca="false">IF(D1399&lt;&gt;"",DEC2HEX(D1399,2),"")</f>
        <v/>
      </c>
      <c r="J1399" s="1" t="str">
        <f aca="false">IF(H1399&lt;&gt;"","0x"&amp;I1399&amp;H1399,"")</f>
        <v/>
      </c>
      <c r="L1399" s="1" t="s">
        <v>3199</v>
      </c>
      <c r="M1399" s="1" t="str">
        <f aca="false">IF(J1399&lt;&gt;"",J1399,L1399)</f>
        <v>50, 50, HAUNTER</v>
      </c>
    </row>
    <row r="1400" customFormat="false" ht="12.75" hidden="false" customHeight="true" outlineLevel="0" collapsed="false">
      <c r="A1400" s="3" t="s">
        <v>3200</v>
      </c>
      <c r="B1400" s="3" t="str">
        <f aca="false">IF(ISNUMBER(SEARCH("%", A1400)),RIGHT(A1400,3),A1400)</f>
        <v>22, 22, MISDREAVUS</v>
      </c>
      <c r="C1400" s="1" t="str">
        <f aca="false" t="array" ref="C1400:C1400">IF(B1399="NEW ROUTE",textsplit(B1400,","),"")</f>
        <v/>
      </c>
      <c r="H1400" s="1" t="str">
        <f aca="false">IF(C1400&lt;&gt;"",DEC2HEX(C1400,2),"")</f>
        <v/>
      </c>
      <c r="I1400" s="1" t="str">
        <f aca="false">IF(D1400&lt;&gt;"",DEC2HEX(D1400,2),"")</f>
        <v/>
      </c>
      <c r="J1400" s="1" t="str">
        <f aca="false">IF(H1400&lt;&gt;"","0x"&amp;I1400&amp;H1400,"")</f>
        <v/>
      </c>
      <c r="L1400" s="1" t="s">
        <v>3200</v>
      </c>
      <c r="M1400" s="1" t="str">
        <f aca="false">IF(J1400&lt;&gt;"",J1400,L1400)</f>
        <v>22, 22, MISDREAVUS</v>
      </c>
    </row>
    <row r="1401" customFormat="false" ht="12.75" hidden="false" customHeight="true" outlineLevel="0" collapsed="false">
      <c r="A1401" s="3" t="s">
        <v>2812</v>
      </c>
      <c r="B1401" s="3" t="str">
        <f aca="false">IF(ISNUMBER(SEARCH("%", A1401)),RIGHT(A1401,3),A1401)</f>
        <v>0.01</v>
      </c>
      <c r="C1401" s="1" t="str">
        <f aca="false" t="array" ref="C1401:C1401">IF(B1400="NEW ROUTE",textsplit(B1401,","),"")</f>
        <v/>
      </c>
      <c r="H1401" s="1" t="str">
        <f aca="false">IF(C1401&lt;&gt;"",DEC2HEX(C1401,2),"")</f>
        <v/>
      </c>
      <c r="I1401" s="1" t="str">
        <f aca="false">IF(D1401&lt;&gt;"",DEC2HEX(D1401,2),"")</f>
        <v/>
      </c>
      <c r="J1401" s="1" t="str">
        <f aca="false">IF(H1401&lt;&gt;"","0x"&amp;I1401&amp;H1401,"")</f>
        <v/>
      </c>
      <c r="L1401" s="1" t="s">
        <v>2812</v>
      </c>
      <c r="M1401" s="1" t="str">
        <f aca="false">IF(J1401&lt;&gt;"",J1401,L1401)</f>
        <v>0.01</v>
      </c>
    </row>
    <row r="1402" customFormat="false" ht="12.75" hidden="false" customHeight="true" outlineLevel="0" collapsed="false">
      <c r="A1402" s="3" t="s">
        <v>3201</v>
      </c>
      <c r="B1402" s="3" t="str">
        <f aca="false">IF(ISNUMBER(SEARCH("%", A1402)),RIGHT(A1402,3),A1402)</f>
        <v>52, 52, HAUNTER</v>
      </c>
      <c r="C1402" s="1" t="str">
        <f aca="false" t="array" ref="C1402:C1402">IF(B1401="NEW ROUTE",textsplit(B1402,","),"")</f>
        <v/>
      </c>
      <c r="H1402" s="1" t="str">
        <f aca="false">IF(C1402&lt;&gt;"",DEC2HEX(C1402,2),"")</f>
        <v/>
      </c>
      <c r="I1402" s="1" t="str">
        <f aca="false">IF(D1402&lt;&gt;"",DEC2HEX(D1402,2),"")</f>
        <v/>
      </c>
      <c r="J1402" s="1" t="str">
        <f aca="false">IF(H1402&lt;&gt;"","0x"&amp;I1402&amp;H1402,"")</f>
        <v/>
      </c>
      <c r="L1402" s="1" t="s">
        <v>3201</v>
      </c>
      <c r="M1402" s="1" t="str">
        <f aca="false">IF(J1402&lt;&gt;"",J1402,L1402)</f>
        <v>52, 52, HAUNTER</v>
      </c>
    </row>
    <row r="1403" customFormat="false" ht="12.75" hidden="false" customHeight="true" outlineLevel="0" collapsed="false">
      <c r="A1403" s="3" t="s">
        <v>3202</v>
      </c>
      <c r="B1403" s="3" t="str">
        <f aca="false">IF(ISNUMBER(SEARCH("%", A1403)),RIGHT(A1403,3),A1403)</f>
        <v>22, 22, MISDREAVUS , &lt;null&gt;, &lt;null&gt;, &lt;null&gt;</v>
      </c>
      <c r="C1403" s="1" t="str">
        <f aca="false" t="array" ref="C1403:C1403">IF(B1402="NEW ROUTE",textsplit(B1403,","),"")</f>
        <v/>
      </c>
      <c r="H1403" s="1" t="str">
        <f aca="false">IF(C1403&lt;&gt;"",DEC2HEX(C1403,2),"")</f>
        <v/>
      </c>
      <c r="I1403" s="1" t="str">
        <f aca="false">IF(D1403&lt;&gt;"",DEC2HEX(D1403,2),"")</f>
        <v/>
      </c>
      <c r="J1403" s="1" t="str">
        <f aca="false">IF(H1403&lt;&gt;"","0x"&amp;I1403&amp;H1403,"")</f>
        <v/>
      </c>
      <c r="L1403" s="1" t="s">
        <v>3202</v>
      </c>
      <c r="M1403" s="1" t="str">
        <f aca="false">IF(J1403&lt;&gt;"",J1403,L1403)</f>
        <v>22, 22, MISDREAVUS , &lt;null&gt;, &lt;null&gt;, &lt;null&gt;</v>
      </c>
    </row>
    <row r="1404" customFormat="false" ht="12.75" hidden="false" customHeight="true" outlineLevel="0" collapsed="false">
      <c r="A1404" s="3" t="s">
        <v>2536</v>
      </c>
      <c r="B1404" s="3" t="str">
        <f aca="false">IF(ISNUMBER(SEARCH("%", A1404)),RIGHT(A1404,3),A1404)</f>
        <v>NEW ROUTE</v>
      </c>
      <c r="C1404" s="1" t="str">
        <f aca="false" t="array" ref="C1404:C1404">IF(B1403="NEW ROUTE",textsplit(B1404,","),"")</f>
        <v/>
      </c>
      <c r="H1404" s="1" t="str">
        <f aca="false">IF(C1404&lt;&gt;"",DEC2HEX(C1404,2),"")</f>
        <v/>
      </c>
      <c r="I1404" s="1" t="str">
        <f aca="false">IF(D1404&lt;&gt;"",DEC2HEX(D1404,2),"")</f>
        <v/>
      </c>
      <c r="J1404" s="1" t="str">
        <f aca="false">IF(H1404&lt;&gt;"","0x"&amp;I1404&amp;H1404,"")</f>
        <v/>
      </c>
      <c r="L1404" s="1" t="s">
        <v>2536</v>
      </c>
      <c r="M1404" s="1" t="str">
        <f aca="false">IF(J1404&lt;&gt;"",J1404,L1404)</f>
        <v>NEW ROUTE</v>
      </c>
    </row>
    <row r="1405" customFormat="false" ht="12.75" hidden="false" customHeight="true" outlineLevel="0" collapsed="false">
      <c r="A1405" s="3" t="s">
        <v>3218</v>
      </c>
      <c r="B1405" s="3" t="str">
        <f aca="false">IF(ISNUMBER(SEARCH("%", A1405)),RIGHT(A1405,3),A1405)</f>
        <v>2, 25, 0,</v>
      </c>
      <c r="C1405" s="1" t="e">
        <f aca="false" t="array" ref="C1405:C1405">IF(B1404="NEW ROUTE",textsplit(B1405,","),"")</f>
        <v>#NAME?</v>
      </c>
      <c r="H1405" s="1" t="e">
        <f aca="false">IF(C1405&lt;&gt;"",DEC2HEX(C1405,2),"")</f>
        <v>#NAME?</v>
      </c>
      <c r="I1405" s="1" t="str">
        <f aca="false">IF(D1405&lt;&gt;"",DEC2HEX(D1405,2),"")</f>
        <v/>
      </c>
      <c r="J1405" s="1" t="e">
        <f aca="false">IF(H1405&lt;&gt;"","0x"&amp;I1405&amp;H1405,"")</f>
        <v>#NAME?</v>
      </c>
      <c r="L1405" s="1" t="s">
        <v>3218</v>
      </c>
      <c r="M1405" s="1" t="e">
        <f aca="false">IF(J1405&lt;&gt;"",J1405,L1405)</f>
        <v>#NAME?</v>
      </c>
    </row>
    <row r="1406" customFormat="false" ht="12.75" hidden="false" customHeight="true" outlineLevel="0" collapsed="false">
      <c r="A1406" s="3" t="s">
        <v>2823</v>
      </c>
      <c r="B1406" s="3" t="str">
        <f aca="false">IF(ISNUMBER(SEARCH("%", A1406)),RIGHT(A1406,3),A1406)</f>
        <v>20%</v>
      </c>
      <c r="C1406" s="1" t="str">
        <f aca="false" t="array" ref="C1406:C1406">IF(B1405="NEW ROUTE",textsplit(B1406,","),"")</f>
        <v/>
      </c>
      <c r="H1406" s="1" t="str">
        <f aca="false">IF(C1406&lt;&gt;"",DEC2HEX(C1406,2),"")</f>
        <v/>
      </c>
      <c r="I1406" s="1" t="str">
        <f aca="false">IF(D1406&lt;&gt;"",DEC2HEX(D1406,2),"")</f>
        <v/>
      </c>
      <c r="J1406" s="1" t="str">
        <f aca="false">IF(H1406&lt;&gt;"","0x"&amp;I1406&amp;H1406,"")</f>
        <v/>
      </c>
      <c r="L1406" s="1" t="s">
        <v>2799</v>
      </c>
      <c r="M1406" s="1" t="str">
        <f aca="false">IF(J1406&lt;&gt;"",J1406,L1406)</f>
        <v>20%</v>
      </c>
    </row>
    <row r="1407" customFormat="false" ht="12.75" hidden="false" customHeight="true" outlineLevel="0" collapsed="false">
      <c r="A1407" s="3" t="s">
        <v>1638</v>
      </c>
      <c r="B1407" s="3" t="str">
        <f aca="false">IF(ISNUMBER(SEARCH("%", A1407)),RIGHT(A1407,3),A1407)</f>
        <v>40, 40, GASTLY</v>
      </c>
      <c r="C1407" s="1" t="str">
        <f aca="false" t="array" ref="C1407:C1407">IF(B1406="NEW ROUTE",textsplit(B1407,","),"")</f>
        <v/>
      </c>
      <c r="H1407" s="1" t="str">
        <f aca="false">IF(C1407&lt;&gt;"",DEC2HEX(C1407,2),"")</f>
        <v/>
      </c>
      <c r="I1407" s="1" t="str">
        <f aca="false">IF(D1407&lt;&gt;"",DEC2HEX(D1407,2),"")</f>
        <v/>
      </c>
      <c r="J1407" s="1" t="str">
        <f aca="false">IF(H1407&lt;&gt;"","0x"&amp;I1407&amp;H1407,"")</f>
        <v/>
      </c>
      <c r="L1407" s="1" t="s">
        <v>1638</v>
      </c>
      <c r="M1407" s="1" t="str">
        <f aca="false">IF(J1407&lt;&gt;"",J1407,L1407)</f>
        <v>40, 40, GASTLY</v>
      </c>
    </row>
    <row r="1408" customFormat="false" ht="12.75" hidden="false" customHeight="true" outlineLevel="0" collapsed="false">
      <c r="A1408" s="3" t="s">
        <v>3192</v>
      </c>
      <c r="B1408" s="3" t="str">
        <f aca="false">IF(ISNUMBER(SEARCH("%", A1408)),RIGHT(A1408,3),A1408)</f>
        <v>37, 37, ZUBAT</v>
      </c>
      <c r="C1408" s="1" t="str">
        <f aca="false" t="array" ref="C1408:C1408">IF(B1407="NEW ROUTE",textsplit(B1408,","),"")</f>
        <v/>
      </c>
      <c r="H1408" s="1" t="str">
        <f aca="false">IF(C1408&lt;&gt;"",DEC2HEX(C1408,2),"")</f>
        <v/>
      </c>
      <c r="I1408" s="1" t="str">
        <f aca="false">IF(D1408&lt;&gt;"",DEC2HEX(D1408,2),"")</f>
        <v/>
      </c>
      <c r="J1408" s="1" t="str">
        <f aca="false">IF(H1408&lt;&gt;"","0x"&amp;I1408&amp;H1408,"")</f>
        <v/>
      </c>
      <c r="L1408" s="1" t="s">
        <v>3192</v>
      </c>
      <c r="M1408" s="1" t="str">
        <f aca="false">IF(J1408&lt;&gt;"",J1408,L1408)</f>
        <v>37, 37, ZUBAT</v>
      </c>
    </row>
    <row r="1409" customFormat="false" ht="12.75" hidden="false" customHeight="true" outlineLevel="0" collapsed="false">
      <c r="A1409" s="3" t="s">
        <v>2801</v>
      </c>
      <c r="B1409" s="3" t="str">
        <f aca="false">IF(ISNUMBER(SEARCH("%", A1409)),RIGHT(A1409,3),A1409)</f>
        <v>0.1</v>
      </c>
      <c r="C1409" s="1" t="str">
        <f aca="false" t="array" ref="C1409:C1409">IF(B1408="NEW ROUTE",textsplit(B1409,","),"")</f>
        <v/>
      </c>
      <c r="H1409" s="1" t="str">
        <f aca="false">IF(C1409&lt;&gt;"",DEC2HEX(C1409,2),"")</f>
        <v/>
      </c>
      <c r="I1409" s="1" t="str">
        <f aca="false">IF(D1409&lt;&gt;"",DEC2HEX(D1409,2),"")</f>
        <v/>
      </c>
      <c r="J1409" s="1" t="str">
        <f aca="false">IF(H1409&lt;&gt;"","0x"&amp;I1409&amp;H1409,"")</f>
        <v/>
      </c>
      <c r="L1409" s="1" t="s">
        <v>2801</v>
      </c>
      <c r="M1409" s="1" t="str">
        <f aca="false">IF(J1409&lt;&gt;"",J1409,L1409)</f>
        <v>0.1</v>
      </c>
    </row>
    <row r="1410" customFormat="false" ht="12.75" hidden="false" customHeight="true" outlineLevel="0" collapsed="false">
      <c r="A1410" s="3" t="s">
        <v>3193</v>
      </c>
      <c r="B1410" s="3" t="str">
        <f aca="false">IF(ISNUMBER(SEARCH("%", A1410)),RIGHT(A1410,3),A1410)</f>
        <v>44, 44, HAUNTER</v>
      </c>
      <c r="C1410" s="1" t="str">
        <f aca="false" t="array" ref="C1410:C1410">IF(B1409="NEW ROUTE",textsplit(B1410,","),"")</f>
        <v/>
      </c>
      <c r="H1410" s="1" t="str">
        <f aca="false">IF(C1410&lt;&gt;"",DEC2HEX(C1410,2),"")</f>
        <v/>
      </c>
      <c r="I1410" s="1" t="str">
        <f aca="false">IF(D1410&lt;&gt;"",DEC2HEX(D1410,2),"")</f>
        <v/>
      </c>
      <c r="J1410" s="1" t="str">
        <f aca="false">IF(H1410&lt;&gt;"","0x"&amp;I1410&amp;H1410,"")</f>
        <v/>
      </c>
      <c r="L1410" s="1" t="s">
        <v>3193</v>
      </c>
      <c r="M1410" s="1" t="str">
        <f aca="false">IF(J1410&lt;&gt;"",J1410,L1410)</f>
        <v>44, 44, HAUNTER</v>
      </c>
    </row>
    <row r="1411" customFormat="false" ht="12.75" hidden="false" customHeight="true" outlineLevel="0" collapsed="false">
      <c r="A1411" s="3" t="s">
        <v>3194</v>
      </c>
      <c r="B1411" s="3" t="str">
        <f aca="false">IF(ISNUMBER(SEARCH("%", A1411)),RIGHT(A1411,3),A1411)</f>
        <v>46, 46, HAUNTER</v>
      </c>
      <c r="C1411" s="1" t="str">
        <f aca="false" t="array" ref="C1411:C1411">IF(B1410="NEW ROUTE",textsplit(B1411,","),"")</f>
        <v/>
      </c>
      <c r="H1411" s="1" t="str">
        <f aca="false">IF(C1411&lt;&gt;"",DEC2HEX(C1411,2),"")</f>
        <v/>
      </c>
      <c r="I1411" s="1" t="str">
        <f aca="false">IF(D1411&lt;&gt;"",DEC2HEX(D1411,2),"")</f>
        <v/>
      </c>
      <c r="J1411" s="1" t="str">
        <f aca="false">IF(H1411&lt;&gt;"","0x"&amp;I1411&amp;H1411,"")</f>
        <v/>
      </c>
      <c r="L1411" s="1" t="s">
        <v>3194</v>
      </c>
      <c r="M1411" s="1" t="str">
        <f aca="false">IF(J1411&lt;&gt;"",J1411,L1411)</f>
        <v>46, 46, HAUNTER</v>
      </c>
    </row>
    <row r="1412" customFormat="false" ht="12.75" hidden="false" customHeight="true" outlineLevel="0" collapsed="false">
      <c r="A1412" s="3" t="s">
        <v>3195</v>
      </c>
      <c r="B1412" s="3" t="str">
        <f aca="false">IF(ISNUMBER(SEARCH("%", A1412)),RIGHT(A1412,3),A1412)</f>
        <v>41, 41, GOLBAT</v>
      </c>
      <c r="C1412" s="1" t="str">
        <f aca="false" t="array" ref="C1412:C1412">IF(B1411="NEW ROUTE",textsplit(B1412,","),"")</f>
        <v/>
      </c>
      <c r="H1412" s="1" t="str">
        <f aca="false">IF(C1412&lt;&gt;"",DEC2HEX(C1412,2),"")</f>
        <v/>
      </c>
      <c r="I1412" s="1" t="str">
        <f aca="false">IF(D1412&lt;&gt;"",DEC2HEX(D1412,2),"")</f>
        <v/>
      </c>
      <c r="J1412" s="1" t="str">
        <f aca="false">IF(H1412&lt;&gt;"","0x"&amp;I1412&amp;H1412,"")</f>
        <v/>
      </c>
      <c r="L1412" s="1" t="s">
        <v>3195</v>
      </c>
      <c r="M1412" s="1" t="str">
        <f aca="false">IF(J1412&lt;&gt;"",J1412,L1412)</f>
        <v>41, 41, GOLBAT</v>
      </c>
    </row>
    <row r="1413" customFormat="false" ht="12.75" hidden="false" customHeight="true" outlineLevel="0" collapsed="false">
      <c r="A1413" s="3" t="s">
        <v>3215</v>
      </c>
      <c r="B1413" s="3" t="str">
        <f aca="false">IF(ISNUMBER(SEARCH("%", A1413)),RIGHT(A1413,3),A1413)</f>
        <v>15, 15, MISDREAVUS</v>
      </c>
      <c r="C1413" s="1" t="str">
        <f aca="false" t="array" ref="C1413:C1413">IF(B1412="NEW ROUTE",textsplit(B1413,","),"")</f>
        <v/>
      </c>
      <c r="H1413" s="1" t="str">
        <f aca="false">IF(C1413&lt;&gt;"",DEC2HEX(C1413,2),"")</f>
        <v/>
      </c>
      <c r="I1413" s="1" t="str">
        <f aca="false">IF(D1413&lt;&gt;"",DEC2HEX(D1413,2),"")</f>
        <v/>
      </c>
      <c r="J1413" s="1" t="str">
        <f aca="false">IF(H1413&lt;&gt;"","0x"&amp;I1413&amp;H1413,"")</f>
        <v/>
      </c>
      <c r="L1413" s="1" t="s">
        <v>3215</v>
      </c>
      <c r="M1413" s="1" t="str">
        <f aca="false">IF(J1413&lt;&gt;"",J1413,L1413)</f>
        <v>15, 15, MISDREAVUS</v>
      </c>
    </row>
    <row r="1414" customFormat="false" ht="12.75" hidden="false" customHeight="true" outlineLevel="0" collapsed="false">
      <c r="A1414" s="3" t="s">
        <v>2806</v>
      </c>
      <c r="B1414" s="3" t="str">
        <f aca="false">IF(ISNUMBER(SEARCH("%", A1414)),RIGHT(A1414,3),A1414)</f>
        <v>0.05</v>
      </c>
      <c r="C1414" s="1" t="str">
        <f aca="false" t="array" ref="C1414:C1414">IF(B1413="NEW ROUTE",textsplit(B1414,","),"")</f>
        <v/>
      </c>
      <c r="H1414" s="1" t="str">
        <f aca="false">IF(C1414&lt;&gt;"",DEC2HEX(C1414,2),"")</f>
        <v/>
      </c>
      <c r="I1414" s="1" t="str">
        <f aca="false">IF(D1414&lt;&gt;"",DEC2HEX(D1414,2),"")</f>
        <v/>
      </c>
      <c r="J1414" s="1" t="str">
        <f aca="false">IF(H1414&lt;&gt;"","0x"&amp;I1414&amp;H1414,"")</f>
        <v/>
      </c>
      <c r="L1414" s="1" t="s">
        <v>2806</v>
      </c>
      <c r="M1414" s="1" t="str">
        <f aca="false">IF(J1414&lt;&gt;"",J1414,L1414)</f>
        <v>0.05</v>
      </c>
    </row>
    <row r="1415" customFormat="false" ht="12.75" hidden="false" customHeight="true" outlineLevel="0" collapsed="false">
      <c r="A1415" s="3" t="s">
        <v>3216</v>
      </c>
      <c r="B1415" s="3" t="str">
        <f aca="false">IF(ISNUMBER(SEARCH("%", A1415)),RIGHT(A1415,3),A1415)</f>
        <v>20, 20, MISDREAVUS</v>
      </c>
      <c r="C1415" s="1" t="str">
        <f aca="false" t="array" ref="C1415:C1415">IF(B1414="NEW ROUTE",textsplit(B1415,","),"")</f>
        <v/>
      </c>
      <c r="H1415" s="1" t="str">
        <f aca="false">IF(C1415&lt;&gt;"",DEC2HEX(C1415,2),"")</f>
        <v/>
      </c>
      <c r="I1415" s="1" t="str">
        <f aca="false">IF(D1415&lt;&gt;"",DEC2HEX(D1415,2),"")</f>
        <v/>
      </c>
      <c r="J1415" s="1" t="str">
        <f aca="false">IF(H1415&lt;&gt;"","0x"&amp;I1415&amp;H1415,"")</f>
        <v/>
      </c>
      <c r="L1415" s="1" t="s">
        <v>3216</v>
      </c>
      <c r="M1415" s="1" t="str">
        <f aca="false">IF(J1415&lt;&gt;"",J1415,L1415)</f>
        <v>20, 20, MISDREAVUS</v>
      </c>
    </row>
    <row r="1416" customFormat="false" ht="12.75" hidden="false" customHeight="true" outlineLevel="0" collapsed="false">
      <c r="A1416" s="3" t="s">
        <v>3198</v>
      </c>
      <c r="B1416" s="3" t="str">
        <f aca="false">IF(ISNUMBER(SEARCH("%", A1416)),RIGHT(A1416,3),A1416)</f>
        <v>48, 48, HAUNTER</v>
      </c>
      <c r="C1416" s="1" t="str">
        <f aca="false" t="array" ref="C1416:C1416">IF(B1415="NEW ROUTE",textsplit(B1416,","),"")</f>
        <v/>
      </c>
      <c r="H1416" s="1" t="str">
        <f aca="false">IF(C1416&lt;&gt;"",DEC2HEX(C1416,2),"")</f>
        <v/>
      </c>
      <c r="I1416" s="1" t="str">
        <f aca="false">IF(D1416&lt;&gt;"",DEC2HEX(D1416,2),"")</f>
        <v/>
      </c>
      <c r="J1416" s="1" t="str">
        <f aca="false">IF(H1416&lt;&gt;"","0x"&amp;I1416&amp;H1416,"")</f>
        <v/>
      </c>
      <c r="L1416" s="1" t="s">
        <v>3198</v>
      </c>
      <c r="M1416" s="1" t="str">
        <f aca="false">IF(J1416&lt;&gt;"",J1416,L1416)</f>
        <v>48, 48, HAUNTER</v>
      </c>
    </row>
    <row r="1417" customFormat="false" ht="12.75" hidden="false" customHeight="true" outlineLevel="0" collapsed="false">
      <c r="A1417" s="3" t="s">
        <v>2809</v>
      </c>
      <c r="B1417" s="3" t="str">
        <f aca="false">IF(ISNUMBER(SEARCH("%", A1417)),RIGHT(A1417,3),A1417)</f>
        <v>0.04</v>
      </c>
      <c r="C1417" s="1" t="str">
        <f aca="false" t="array" ref="C1417:C1417">IF(B1416="NEW ROUTE",textsplit(B1417,","),"")</f>
        <v/>
      </c>
      <c r="H1417" s="1" t="str">
        <f aca="false">IF(C1417&lt;&gt;"",DEC2HEX(C1417,2),"")</f>
        <v/>
      </c>
      <c r="I1417" s="1" t="str">
        <f aca="false">IF(D1417&lt;&gt;"",DEC2HEX(D1417,2),"")</f>
        <v/>
      </c>
      <c r="J1417" s="1" t="str">
        <f aca="false">IF(H1417&lt;&gt;"","0x"&amp;I1417&amp;H1417,"")</f>
        <v/>
      </c>
      <c r="L1417" s="1" t="s">
        <v>2809</v>
      </c>
      <c r="M1417" s="1" t="str">
        <f aca="false">IF(J1417&lt;&gt;"",J1417,L1417)</f>
        <v>0.04</v>
      </c>
    </row>
    <row r="1418" customFormat="false" ht="12.75" hidden="false" customHeight="true" outlineLevel="0" collapsed="false">
      <c r="A1418" s="3" t="s">
        <v>3199</v>
      </c>
      <c r="B1418" s="3" t="str">
        <f aca="false">IF(ISNUMBER(SEARCH("%", A1418)),RIGHT(A1418,3),A1418)</f>
        <v>50, 50, HAUNTER</v>
      </c>
      <c r="C1418" s="1" t="str">
        <f aca="false" t="array" ref="C1418:C1418">IF(B1417="NEW ROUTE",textsplit(B1418,","),"")</f>
        <v/>
      </c>
      <c r="H1418" s="1" t="str">
        <f aca="false">IF(C1418&lt;&gt;"",DEC2HEX(C1418,2),"")</f>
        <v/>
      </c>
      <c r="I1418" s="1" t="str">
        <f aca="false">IF(D1418&lt;&gt;"",DEC2HEX(D1418,2),"")</f>
        <v/>
      </c>
      <c r="J1418" s="1" t="str">
        <f aca="false">IF(H1418&lt;&gt;"","0x"&amp;I1418&amp;H1418,"")</f>
        <v/>
      </c>
      <c r="L1418" s="1" t="s">
        <v>3199</v>
      </c>
      <c r="M1418" s="1" t="str">
        <f aca="false">IF(J1418&lt;&gt;"",J1418,L1418)</f>
        <v>50, 50, HAUNTER</v>
      </c>
    </row>
    <row r="1419" customFormat="false" ht="12.75" hidden="false" customHeight="true" outlineLevel="0" collapsed="false">
      <c r="A1419" s="3" t="s">
        <v>3200</v>
      </c>
      <c r="B1419" s="3" t="str">
        <f aca="false">IF(ISNUMBER(SEARCH("%", A1419)),RIGHT(A1419,3),A1419)</f>
        <v>22, 22, MISDREAVUS</v>
      </c>
      <c r="C1419" s="1" t="str">
        <f aca="false" t="array" ref="C1419:C1419">IF(B1418="NEW ROUTE",textsplit(B1419,","),"")</f>
        <v/>
      </c>
      <c r="H1419" s="1" t="str">
        <f aca="false">IF(C1419&lt;&gt;"",DEC2HEX(C1419,2),"")</f>
        <v/>
      </c>
      <c r="I1419" s="1" t="str">
        <f aca="false">IF(D1419&lt;&gt;"",DEC2HEX(D1419,2),"")</f>
        <v/>
      </c>
      <c r="J1419" s="1" t="str">
        <f aca="false">IF(H1419&lt;&gt;"","0x"&amp;I1419&amp;H1419,"")</f>
        <v/>
      </c>
      <c r="L1419" s="1" t="s">
        <v>3200</v>
      </c>
      <c r="M1419" s="1" t="str">
        <f aca="false">IF(J1419&lt;&gt;"",J1419,L1419)</f>
        <v>22, 22, MISDREAVUS</v>
      </c>
    </row>
    <row r="1420" customFormat="false" ht="12.75" hidden="false" customHeight="true" outlineLevel="0" collapsed="false">
      <c r="A1420" s="3" t="s">
        <v>2812</v>
      </c>
      <c r="B1420" s="3" t="str">
        <f aca="false">IF(ISNUMBER(SEARCH("%", A1420)),RIGHT(A1420,3),A1420)</f>
        <v>0.01</v>
      </c>
      <c r="C1420" s="1" t="str">
        <f aca="false" t="array" ref="C1420:C1420">IF(B1419="NEW ROUTE",textsplit(B1420,","),"")</f>
        <v/>
      </c>
      <c r="H1420" s="1" t="str">
        <f aca="false">IF(C1420&lt;&gt;"",DEC2HEX(C1420,2),"")</f>
        <v/>
      </c>
      <c r="I1420" s="1" t="str">
        <f aca="false">IF(D1420&lt;&gt;"",DEC2HEX(D1420,2),"")</f>
        <v/>
      </c>
      <c r="J1420" s="1" t="str">
        <f aca="false">IF(H1420&lt;&gt;"","0x"&amp;I1420&amp;H1420,"")</f>
        <v/>
      </c>
      <c r="L1420" s="1" t="s">
        <v>2812</v>
      </c>
      <c r="M1420" s="1" t="str">
        <f aca="false">IF(J1420&lt;&gt;"",J1420,L1420)</f>
        <v>0.01</v>
      </c>
    </row>
    <row r="1421" customFormat="false" ht="12.75" hidden="false" customHeight="true" outlineLevel="0" collapsed="false">
      <c r="A1421" s="3" t="s">
        <v>3201</v>
      </c>
      <c r="B1421" s="3" t="str">
        <f aca="false">IF(ISNUMBER(SEARCH("%", A1421)),RIGHT(A1421,3),A1421)</f>
        <v>52, 52, HAUNTER</v>
      </c>
      <c r="C1421" s="1" t="str">
        <f aca="false" t="array" ref="C1421:C1421">IF(B1420="NEW ROUTE",textsplit(B1421,","),"")</f>
        <v/>
      </c>
      <c r="H1421" s="1" t="str">
        <f aca="false">IF(C1421&lt;&gt;"",DEC2HEX(C1421,2),"")</f>
        <v/>
      </c>
      <c r="I1421" s="1" t="str">
        <f aca="false">IF(D1421&lt;&gt;"",DEC2HEX(D1421,2),"")</f>
        <v/>
      </c>
      <c r="J1421" s="1" t="str">
        <f aca="false">IF(H1421&lt;&gt;"","0x"&amp;I1421&amp;H1421,"")</f>
        <v/>
      </c>
      <c r="L1421" s="1" t="s">
        <v>3201</v>
      </c>
      <c r="M1421" s="1" t="str">
        <f aca="false">IF(J1421&lt;&gt;"",J1421,L1421)</f>
        <v>52, 52, HAUNTER</v>
      </c>
    </row>
    <row r="1422" customFormat="false" ht="12.75" hidden="false" customHeight="true" outlineLevel="0" collapsed="false">
      <c r="A1422" s="3" t="s">
        <v>3202</v>
      </c>
      <c r="B1422" s="3" t="str">
        <f aca="false">IF(ISNUMBER(SEARCH("%", A1422)),RIGHT(A1422,3),A1422)</f>
        <v>22, 22, MISDREAVUS , &lt;null&gt;, &lt;null&gt;, &lt;null&gt;</v>
      </c>
      <c r="C1422" s="1" t="str">
        <f aca="false" t="array" ref="C1422:C1422">IF(B1421="NEW ROUTE",textsplit(B1422,","),"")</f>
        <v/>
      </c>
      <c r="H1422" s="1" t="str">
        <f aca="false">IF(C1422&lt;&gt;"",DEC2HEX(C1422,2),"")</f>
        <v/>
      </c>
      <c r="I1422" s="1" t="str">
        <f aca="false">IF(D1422&lt;&gt;"",DEC2HEX(D1422,2),"")</f>
        <v/>
      </c>
      <c r="J1422" s="1" t="str">
        <f aca="false">IF(H1422&lt;&gt;"","0x"&amp;I1422&amp;H1422,"")</f>
        <v/>
      </c>
      <c r="L1422" s="1" t="s">
        <v>3202</v>
      </c>
      <c r="M1422" s="1" t="str">
        <f aca="false">IF(J1422&lt;&gt;"",J1422,L1422)</f>
        <v>22, 22, MISDREAVUS , &lt;null&gt;, &lt;null&gt;, &lt;null&gt;</v>
      </c>
    </row>
    <row r="1423" customFormat="false" ht="12.75" hidden="false" customHeight="true" outlineLevel="0" collapsed="false">
      <c r="A1423" s="3" t="s">
        <v>2536</v>
      </c>
      <c r="B1423" s="3" t="str">
        <f aca="false">IF(ISNUMBER(SEARCH("%", A1423)),RIGHT(A1423,3),A1423)</f>
        <v>NEW ROUTE</v>
      </c>
      <c r="C1423" s="1" t="str">
        <f aca="false" t="array" ref="C1423:C1423">IF(B1422="NEW ROUTE",textsplit(B1423,","),"")</f>
        <v/>
      </c>
      <c r="H1423" s="1" t="str">
        <f aca="false">IF(C1423&lt;&gt;"",DEC2HEX(C1423,2),"")</f>
        <v/>
      </c>
      <c r="I1423" s="1" t="str">
        <f aca="false">IF(D1423&lt;&gt;"",DEC2HEX(D1423,2),"")</f>
        <v/>
      </c>
      <c r="J1423" s="1" t="str">
        <f aca="false">IF(H1423&lt;&gt;"","0x"&amp;I1423&amp;H1423,"")</f>
        <v/>
      </c>
      <c r="L1423" s="1" t="s">
        <v>2536</v>
      </c>
      <c r="M1423" s="1" t="str">
        <f aca="false">IF(J1423&lt;&gt;"",J1423,L1423)</f>
        <v>NEW ROUTE</v>
      </c>
    </row>
    <row r="1424" customFormat="false" ht="12.75" hidden="false" customHeight="true" outlineLevel="0" collapsed="false">
      <c r="A1424" s="3" t="s">
        <v>3219</v>
      </c>
      <c r="B1424" s="3" t="str">
        <f aca="false">IF(ISNUMBER(SEARCH("%", A1424)),RIGHT(A1424,3),A1424)</f>
        <v>2, 26, 0,</v>
      </c>
      <c r="C1424" s="1" t="e">
        <f aca="false" t="array" ref="C1424:C1424">IF(B1423="NEW ROUTE",textsplit(B1424,","),"")</f>
        <v>#NAME?</v>
      </c>
      <c r="H1424" s="1" t="e">
        <f aca="false">IF(C1424&lt;&gt;"",DEC2HEX(C1424,2),"")</f>
        <v>#NAME?</v>
      </c>
      <c r="I1424" s="1" t="str">
        <f aca="false">IF(D1424&lt;&gt;"",DEC2HEX(D1424,2),"")</f>
        <v/>
      </c>
      <c r="J1424" s="1" t="e">
        <f aca="false">IF(H1424&lt;&gt;"","0x"&amp;I1424&amp;H1424,"")</f>
        <v>#NAME?</v>
      </c>
      <c r="L1424" s="1" t="s">
        <v>3219</v>
      </c>
      <c r="M1424" s="1" t="e">
        <f aca="false">IF(J1424&lt;&gt;"",J1424,L1424)</f>
        <v>#NAME?</v>
      </c>
    </row>
    <row r="1425" customFormat="false" ht="12.75" hidden="false" customHeight="true" outlineLevel="0" collapsed="false">
      <c r="A1425" s="3" t="s">
        <v>2823</v>
      </c>
      <c r="B1425" s="3" t="str">
        <f aca="false">IF(ISNUMBER(SEARCH("%", A1425)),RIGHT(A1425,3),A1425)</f>
        <v>20%</v>
      </c>
      <c r="C1425" s="1" t="str">
        <f aca="false" t="array" ref="C1425:C1425">IF(B1424="NEW ROUTE",textsplit(B1425,","),"")</f>
        <v/>
      </c>
      <c r="H1425" s="1" t="str">
        <f aca="false">IF(C1425&lt;&gt;"",DEC2HEX(C1425,2),"")</f>
        <v/>
      </c>
      <c r="I1425" s="1" t="str">
        <f aca="false">IF(D1425&lt;&gt;"",DEC2HEX(D1425,2),"")</f>
        <v/>
      </c>
      <c r="J1425" s="1" t="str">
        <f aca="false">IF(H1425&lt;&gt;"","0x"&amp;I1425&amp;H1425,"")</f>
        <v/>
      </c>
      <c r="L1425" s="1" t="s">
        <v>2799</v>
      </c>
      <c r="M1425" s="1" t="str">
        <f aca="false">IF(J1425&lt;&gt;"",J1425,L1425)</f>
        <v>20%</v>
      </c>
    </row>
    <row r="1426" customFormat="false" ht="12.75" hidden="false" customHeight="true" outlineLevel="0" collapsed="false">
      <c r="A1426" s="3" t="s">
        <v>1638</v>
      </c>
      <c r="B1426" s="3" t="str">
        <f aca="false">IF(ISNUMBER(SEARCH("%", A1426)),RIGHT(A1426,3),A1426)</f>
        <v>40, 40, GASTLY</v>
      </c>
      <c r="C1426" s="1" t="str">
        <f aca="false" t="array" ref="C1426:C1426">IF(B1425="NEW ROUTE",textsplit(B1426,","),"")</f>
        <v/>
      </c>
      <c r="H1426" s="1" t="str">
        <f aca="false">IF(C1426&lt;&gt;"",DEC2HEX(C1426,2),"")</f>
        <v/>
      </c>
      <c r="I1426" s="1" t="str">
        <f aca="false">IF(D1426&lt;&gt;"",DEC2HEX(D1426,2),"")</f>
        <v/>
      </c>
      <c r="J1426" s="1" t="str">
        <f aca="false">IF(H1426&lt;&gt;"","0x"&amp;I1426&amp;H1426,"")</f>
        <v/>
      </c>
      <c r="L1426" s="1" t="s">
        <v>1638</v>
      </c>
      <c r="M1426" s="1" t="str">
        <f aca="false">IF(J1426&lt;&gt;"",J1426,L1426)</f>
        <v>40, 40, GASTLY</v>
      </c>
    </row>
    <row r="1427" customFormat="false" ht="12.75" hidden="false" customHeight="true" outlineLevel="0" collapsed="false">
      <c r="A1427" s="3" t="s">
        <v>3192</v>
      </c>
      <c r="B1427" s="3" t="str">
        <f aca="false">IF(ISNUMBER(SEARCH("%", A1427)),RIGHT(A1427,3),A1427)</f>
        <v>37, 37, ZUBAT</v>
      </c>
      <c r="C1427" s="1" t="str">
        <f aca="false" t="array" ref="C1427:C1427">IF(B1426="NEW ROUTE",textsplit(B1427,","),"")</f>
        <v/>
      </c>
      <c r="H1427" s="1" t="str">
        <f aca="false">IF(C1427&lt;&gt;"",DEC2HEX(C1427,2),"")</f>
        <v/>
      </c>
      <c r="I1427" s="1" t="str">
        <f aca="false">IF(D1427&lt;&gt;"",DEC2HEX(D1427,2),"")</f>
        <v/>
      </c>
      <c r="J1427" s="1" t="str">
        <f aca="false">IF(H1427&lt;&gt;"","0x"&amp;I1427&amp;H1427,"")</f>
        <v/>
      </c>
      <c r="L1427" s="1" t="s">
        <v>3192</v>
      </c>
      <c r="M1427" s="1" t="str">
        <f aca="false">IF(J1427&lt;&gt;"",J1427,L1427)</f>
        <v>37, 37, ZUBAT</v>
      </c>
    </row>
    <row r="1428" customFormat="false" ht="12.75" hidden="false" customHeight="true" outlineLevel="0" collapsed="false">
      <c r="A1428" s="3" t="s">
        <v>2801</v>
      </c>
      <c r="B1428" s="3" t="str">
        <f aca="false">IF(ISNUMBER(SEARCH("%", A1428)),RIGHT(A1428,3),A1428)</f>
        <v>0.1</v>
      </c>
      <c r="C1428" s="1" t="str">
        <f aca="false" t="array" ref="C1428:C1428">IF(B1427="NEW ROUTE",textsplit(B1428,","),"")</f>
        <v/>
      </c>
      <c r="H1428" s="1" t="str">
        <f aca="false">IF(C1428&lt;&gt;"",DEC2HEX(C1428,2),"")</f>
        <v/>
      </c>
      <c r="I1428" s="1" t="str">
        <f aca="false">IF(D1428&lt;&gt;"",DEC2HEX(D1428,2),"")</f>
        <v/>
      </c>
      <c r="J1428" s="1" t="str">
        <f aca="false">IF(H1428&lt;&gt;"","0x"&amp;I1428&amp;H1428,"")</f>
        <v/>
      </c>
      <c r="L1428" s="1" t="s">
        <v>2801</v>
      </c>
      <c r="M1428" s="1" t="str">
        <f aca="false">IF(J1428&lt;&gt;"",J1428,L1428)</f>
        <v>0.1</v>
      </c>
    </row>
    <row r="1429" customFormat="false" ht="12.75" hidden="false" customHeight="true" outlineLevel="0" collapsed="false">
      <c r="A1429" s="3" t="s">
        <v>3193</v>
      </c>
      <c r="B1429" s="3" t="str">
        <f aca="false">IF(ISNUMBER(SEARCH("%", A1429)),RIGHT(A1429,3),A1429)</f>
        <v>44, 44, HAUNTER</v>
      </c>
      <c r="C1429" s="1" t="str">
        <f aca="false" t="array" ref="C1429:C1429">IF(B1428="NEW ROUTE",textsplit(B1429,","),"")</f>
        <v/>
      </c>
      <c r="H1429" s="1" t="str">
        <f aca="false">IF(C1429&lt;&gt;"",DEC2HEX(C1429,2),"")</f>
        <v/>
      </c>
      <c r="I1429" s="1" t="str">
        <f aca="false">IF(D1429&lt;&gt;"",DEC2HEX(D1429,2),"")</f>
        <v/>
      </c>
      <c r="J1429" s="1" t="str">
        <f aca="false">IF(H1429&lt;&gt;"","0x"&amp;I1429&amp;H1429,"")</f>
        <v/>
      </c>
      <c r="L1429" s="1" t="s">
        <v>3193</v>
      </c>
      <c r="M1429" s="1" t="str">
        <f aca="false">IF(J1429&lt;&gt;"",J1429,L1429)</f>
        <v>44, 44, HAUNTER</v>
      </c>
    </row>
    <row r="1430" customFormat="false" ht="12.75" hidden="false" customHeight="true" outlineLevel="0" collapsed="false">
      <c r="A1430" s="3" t="s">
        <v>3194</v>
      </c>
      <c r="B1430" s="3" t="str">
        <f aca="false">IF(ISNUMBER(SEARCH("%", A1430)),RIGHT(A1430,3),A1430)</f>
        <v>46, 46, HAUNTER</v>
      </c>
      <c r="C1430" s="1" t="str">
        <f aca="false" t="array" ref="C1430:C1430">IF(B1429="NEW ROUTE",textsplit(B1430,","),"")</f>
        <v/>
      </c>
      <c r="H1430" s="1" t="str">
        <f aca="false">IF(C1430&lt;&gt;"",DEC2HEX(C1430,2),"")</f>
        <v/>
      </c>
      <c r="I1430" s="1" t="str">
        <f aca="false">IF(D1430&lt;&gt;"",DEC2HEX(D1430,2),"")</f>
        <v/>
      </c>
      <c r="J1430" s="1" t="str">
        <f aca="false">IF(H1430&lt;&gt;"","0x"&amp;I1430&amp;H1430,"")</f>
        <v/>
      </c>
      <c r="L1430" s="1" t="s">
        <v>3194</v>
      </c>
      <c r="M1430" s="1" t="str">
        <f aca="false">IF(J1430&lt;&gt;"",J1430,L1430)</f>
        <v>46, 46, HAUNTER</v>
      </c>
    </row>
    <row r="1431" customFormat="false" ht="12.75" hidden="false" customHeight="true" outlineLevel="0" collapsed="false">
      <c r="A1431" s="3" t="s">
        <v>3195</v>
      </c>
      <c r="B1431" s="3" t="str">
        <f aca="false">IF(ISNUMBER(SEARCH("%", A1431)),RIGHT(A1431,3),A1431)</f>
        <v>41, 41, GOLBAT</v>
      </c>
      <c r="C1431" s="1" t="str">
        <f aca="false" t="array" ref="C1431:C1431">IF(B1430="NEW ROUTE",textsplit(B1431,","),"")</f>
        <v/>
      </c>
      <c r="H1431" s="1" t="str">
        <f aca="false">IF(C1431&lt;&gt;"",DEC2HEX(C1431,2),"")</f>
        <v/>
      </c>
      <c r="I1431" s="1" t="str">
        <f aca="false">IF(D1431&lt;&gt;"",DEC2HEX(D1431,2),"")</f>
        <v/>
      </c>
      <c r="J1431" s="1" t="str">
        <f aca="false">IF(H1431&lt;&gt;"","0x"&amp;I1431&amp;H1431,"")</f>
        <v/>
      </c>
      <c r="L1431" s="1" t="s">
        <v>3195</v>
      </c>
      <c r="M1431" s="1" t="str">
        <f aca="false">IF(J1431&lt;&gt;"",J1431,L1431)</f>
        <v>41, 41, GOLBAT</v>
      </c>
    </row>
    <row r="1432" customFormat="false" ht="12.75" hidden="false" customHeight="true" outlineLevel="0" collapsed="false">
      <c r="A1432" s="3" t="s">
        <v>3215</v>
      </c>
      <c r="B1432" s="3" t="str">
        <f aca="false">IF(ISNUMBER(SEARCH("%", A1432)),RIGHT(A1432,3),A1432)</f>
        <v>15, 15, MISDREAVUS</v>
      </c>
      <c r="C1432" s="1" t="str">
        <f aca="false" t="array" ref="C1432:C1432">IF(B1431="NEW ROUTE",textsplit(B1432,","),"")</f>
        <v/>
      </c>
      <c r="H1432" s="1" t="str">
        <f aca="false">IF(C1432&lt;&gt;"",DEC2HEX(C1432,2),"")</f>
        <v/>
      </c>
      <c r="I1432" s="1" t="str">
        <f aca="false">IF(D1432&lt;&gt;"",DEC2HEX(D1432,2),"")</f>
        <v/>
      </c>
      <c r="J1432" s="1" t="str">
        <f aca="false">IF(H1432&lt;&gt;"","0x"&amp;I1432&amp;H1432,"")</f>
        <v/>
      </c>
      <c r="L1432" s="1" t="s">
        <v>3215</v>
      </c>
      <c r="M1432" s="1" t="str">
        <f aca="false">IF(J1432&lt;&gt;"",J1432,L1432)</f>
        <v>15, 15, MISDREAVUS</v>
      </c>
    </row>
    <row r="1433" customFormat="false" ht="12.75" hidden="false" customHeight="true" outlineLevel="0" collapsed="false">
      <c r="A1433" s="3" t="s">
        <v>2806</v>
      </c>
      <c r="B1433" s="3" t="str">
        <f aca="false">IF(ISNUMBER(SEARCH("%", A1433)),RIGHT(A1433,3),A1433)</f>
        <v>0.05</v>
      </c>
      <c r="C1433" s="1" t="str">
        <f aca="false" t="array" ref="C1433:C1433">IF(B1432="NEW ROUTE",textsplit(B1433,","),"")</f>
        <v/>
      </c>
      <c r="H1433" s="1" t="str">
        <f aca="false">IF(C1433&lt;&gt;"",DEC2HEX(C1433,2),"")</f>
        <v/>
      </c>
      <c r="I1433" s="1" t="str">
        <f aca="false">IF(D1433&lt;&gt;"",DEC2HEX(D1433,2),"")</f>
        <v/>
      </c>
      <c r="J1433" s="1" t="str">
        <f aca="false">IF(H1433&lt;&gt;"","0x"&amp;I1433&amp;H1433,"")</f>
        <v/>
      </c>
      <c r="L1433" s="1" t="s">
        <v>2806</v>
      </c>
      <c r="M1433" s="1" t="str">
        <f aca="false">IF(J1433&lt;&gt;"",J1433,L1433)</f>
        <v>0.05</v>
      </c>
    </row>
    <row r="1434" customFormat="false" ht="12.75" hidden="false" customHeight="true" outlineLevel="0" collapsed="false">
      <c r="A1434" s="3" t="s">
        <v>3216</v>
      </c>
      <c r="B1434" s="3" t="str">
        <f aca="false">IF(ISNUMBER(SEARCH("%", A1434)),RIGHT(A1434,3),A1434)</f>
        <v>20, 20, MISDREAVUS</v>
      </c>
      <c r="C1434" s="1" t="str">
        <f aca="false" t="array" ref="C1434:C1434">IF(B1433="NEW ROUTE",textsplit(B1434,","),"")</f>
        <v/>
      </c>
      <c r="H1434" s="1" t="str">
        <f aca="false">IF(C1434&lt;&gt;"",DEC2HEX(C1434,2),"")</f>
        <v/>
      </c>
      <c r="I1434" s="1" t="str">
        <f aca="false">IF(D1434&lt;&gt;"",DEC2HEX(D1434,2),"")</f>
        <v/>
      </c>
      <c r="J1434" s="1" t="str">
        <f aca="false">IF(H1434&lt;&gt;"","0x"&amp;I1434&amp;H1434,"")</f>
        <v/>
      </c>
      <c r="L1434" s="1" t="s">
        <v>3216</v>
      </c>
      <c r="M1434" s="1" t="str">
        <f aca="false">IF(J1434&lt;&gt;"",J1434,L1434)</f>
        <v>20, 20, MISDREAVUS</v>
      </c>
    </row>
    <row r="1435" customFormat="false" ht="12.75" hidden="false" customHeight="true" outlineLevel="0" collapsed="false">
      <c r="A1435" s="3" t="s">
        <v>3198</v>
      </c>
      <c r="B1435" s="3" t="str">
        <f aca="false">IF(ISNUMBER(SEARCH("%", A1435)),RIGHT(A1435,3),A1435)</f>
        <v>48, 48, HAUNTER</v>
      </c>
      <c r="C1435" s="1" t="str">
        <f aca="false" t="array" ref="C1435:C1435">IF(B1434="NEW ROUTE",textsplit(B1435,","),"")</f>
        <v/>
      </c>
      <c r="H1435" s="1" t="str">
        <f aca="false">IF(C1435&lt;&gt;"",DEC2HEX(C1435,2),"")</f>
        <v/>
      </c>
      <c r="I1435" s="1" t="str">
        <f aca="false">IF(D1435&lt;&gt;"",DEC2HEX(D1435,2),"")</f>
        <v/>
      </c>
      <c r="J1435" s="1" t="str">
        <f aca="false">IF(H1435&lt;&gt;"","0x"&amp;I1435&amp;H1435,"")</f>
        <v/>
      </c>
      <c r="L1435" s="1" t="s">
        <v>3198</v>
      </c>
      <c r="M1435" s="1" t="str">
        <f aca="false">IF(J1435&lt;&gt;"",J1435,L1435)</f>
        <v>48, 48, HAUNTER</v>
      </c>
    </row>
    <row r="1436" customFormat="false" ht="12.75" hidden="false" customHeight="true" outlineLevel="0" collapsed="false">
      <c r="A1436" s="3" t="s">
        <v>2809</v>
      </c>
      <c r="B1436" s="3" t="str">
        <f aca="false">IF(ISNUMBER(SEARCH("%", A1436)),RIGHT(A1436,3),A1436)</f>
        <v>0.04</v>
      </c>
      <c r="C1436" s="1" t="str">
        <f aca="false" t="array" ref="C1436:C1436">IF(B1435="NEW ROUTE",textsplit(B1436,","),"")</f>
        <v/>
      </c>
      <c r="H1436" s="1" t="str">
        <f aca="false">IF(C1436&lt;&gt;"",DEC2HEX(C1436,2),"")</f>
        <v/>
      </c>
      <c r="I1436" s="1" t="str">
        <f aca="false">IF(D1436&lt;&gt;"",DEC2HEX(D1436,2),"")</f>
        <v/>
      </c>
      <c r="J1436" s="1" t="str">
        <f aca="false">IF(H1436&lt;&gt;"","0x"&amp;I1436&amp;H1436,"")</f>
        <v/>
      </c>
      <c r="L1436" s="1" t="s">
        <v>2809</v>
      </c>
      <c r="M1436" s="1" t="str">
        <f aca="false">IF(J1436&lt;&gt;"",J1436,L1436)</f>
        <v>0.04</v>
      </c>
    </row>
    <row r="1437" customFormat="false" ht="12.75" hidden="false" customHeight="true" outlineLevel="0" collapsed="false">
      <c r="A1437" s="3" t="s">
        <v>3199</v>
      </c>
      <c r="B1437" s="3" t="str">
        <f aca="false">IF(ISNUMBER(SEARCH("%", A1437)),RIGHT(A1437,3),A1437)</f>
        <v>50, 50, HAUNTER</v>
      </c>
      <c r="C1437" s="1" t="str">
        <f aca="false" t="array" ref="C1437:C1437">IF(B1436="NEW ROUTE",textsplit(B1437,","),"")</f>
        <v/>
      </c>
      <c r="H1437" s="1" t="str">
        <f aca="false">IF(C1437&lt;&gt;"",DEC2HEX(C1437,2),"")</f>
        <v/>
      </c>
      <c r="I1437" s="1" t="str">
        <f aca="false">IF(D1437&lt;&gt;"",DEC2HEX(D1437,2),"")</f>
        <v/>
      </c>
      <c r="J1437" s="1" t="str">
        <f aca="false">IF(H1437&lt;&gt;"","0x"&amp;I1437&amp;H1437,"")</f>
        <v/>
      </c>
      <c r="L1437" s="1" t="s">
        <v>3199</v>
      </c>
      <c r="M1437" s="1" t="str">
        <f aca="false">IF(J1437&lt;&gt;"",J1437,L1437)</f>
        <v>50, 50, HAUNTER</v>
      </c>
    </row>
    <row r="1438" customFormat="false" ht="12.75" hidden="false" customHeight="true" outlineLevel="0" collapsed="false">
      <c r="A1438" s="3" t="s">
        <v>3200</v>
      </c>
      <c r="B1438" s="3" t="str">
        <f aca="false">IF(ISNUMBER(SEARCH("%", A1438)),RIGHT(A1438,3),A1438)</f>
        <v>22, 22, MISDREAVUS</v>
      </c>
      <c r="C1438" s="1" t="str">
        <f aca="false" t="array" ref="C1438:C1438">IF(B1437="NEW ROUTE",textsplit(B1438,","),"")</f>
        <v/>
      </c>
      <c r="H1438" s="1" t="str">
        <f aca="false">IF(C1438&lt;&gt;"",DEC2HEX(C1438,2),"")</f>
        <v/>
      </c>
      <c r="I1438" s="1" t="str">
        <f aca="false">IF(D1438&lt;&gt;"",DEC2HEX(D1438,2),"")</f>
        <v/>
      </c>
      <c r="J1438" s="1" t="str">
        <f aca="false">IF(H1438&lt;&gt;"","0x"&amp;I1438&amp;H1438,"")</f>
        <v/>
      </c>
      <c r="L1438" s="1" t="s">
        <v>3200</v>
      </c>
      <c r="M1438" s="1" t="str">
        <f aca="false">IF(J1438&lt;&gt;"",J1438,L1438)</f>
        <v>22, 22, MISDREAVUS</v>
      </c>
    </row>
    <row r="1439" customFormat="false" ht="12.75" hidden="false" customHeight="true" outlineLevel="0" collapsed="false">
      <c r="A1439" s="3" t="s">
        <v>2812</v>
      </c>
      <c r="B1439" s="3" t="str">
        <f aca="false">IF(ISNUMBER(SEARCH("%", A1439)),RIGHT(A1439,3),A1439)</f>
        <v>0.01</v>
      </c>
      <c r="C1439" s="1" t="str">
        <f aca="false" t="array" ref="C1439:C1439">IF(B1438="NEW ROUTE",textsplit(B1439,","),"")</f>
        <v/>
      </c>
      <c r="H1439" s="1" t="str">
        <f aca="false">IF(C1439&lt;&gt;"",DEC2HEX(C1439,2),"")</f>
        <v/>
      </c>
      <c r="I1439" s="1" t="str">
        <f aca="false">IF(D1439&lt;&gt;"",DEC2HEX(D1439,2),"")</f>
        <v/>
      </c>
      <c r="J1439" s="1" t="str">
        <f aca="false">IF(H1439&lt;&gt;"","0x"&amp;I1439&amp;H1439,"")</f>
        <v/>
      </c>
      <c r="L1439" s="1" t="s">
        <v>2812</v>
      </c>
      <c r="M1439" s="1" t="str">
        <f aca="false">IF(J1439&lt;&gt;"",J1439,L1439)</f>
        <v>0.01</v>
      </c>
    </row>
    <row r="1440" customFormat="false" ht="12.75" hidden="false" customHeight="true" outlineLevel="0" collapsed="false">
      <c r="A1440" s="3" t="s">
        <v>3201</v>
      </c>
      <c r="B1440" s="3" t="str">
        <f aca="false">IF(ISNUMBER(SEARCH("%", A1440)),RIGHT(A1440,3),A1440)</f>
        <v>52, 52, HAUNTER</v>
      </c>
      <c r="C1440" s="1" t="str">
        <f aca="false" t="array" ref="C1440:C1440">IF(B1439="NEW ROUTE",textsplit(B1440,","),"")</f>
        <v/>
      </c>
      <c r="H1440" s="1" t="str">
        <f aca="false">IF(C1440&lt;&gt;"",DEC2HEX(C1440,2),"")</f>
        <v/>
      </c>
      <c r="I1440" s="1" t="str">
        <f aca="false">IF(D1440&lt;&gt;"",DEC2HEX(D1440,2),"")</f>
        <v/>
      </c>
      <c r="J1440" s="1" t="str">
        <f aca="false">IF(H1440&lt;&gt;"","0x"&amp;I1440&amp;H1440,"")</f>
        <v/>
      </c>
      <c r="L1440" s="1" t="s">
        <v>3201</v>
      </c>
      <c r="M1440" s="1" t="str">
        <f aca="false">IF(J1440&lt;&gt;"",J1440,L1440)</f>
        <v>52, 52, HAUNTER</v>
      </c>
    </row>
    <row r="1441" customFormat="false" ht="12.75" hidden="false" customHeight="true" outlineLevel="0" collapsed="false">
      <c r="A1441" s="3" t="s">
        <v>3202</v>
      </c>
      <c r="B1441" s="3" t="str">
        <f aca="false">IF(ISNUMBER(SEARCH("%", A1441)),RIGHT(A1441,3),A1441)</f>
        <v>22, 22, MISDREAVUS , &lt;null&gt;, &lt;null&gt;, &lt;null&gt;</v>
      </c>
      <c r="C1441" s="1" t="str">
        <f aca="false" t="array" ref="C1441:C1441">IF(B1440="NEW ROUTE",textsplit(B1441,","),"")</f>
        <v/>
      </c>
      <c r="H1441" s="1" t="str">
        <f aca="false">IF(C1441&lt;&gt;"",DEC2HEX(C1441,2),"")</f>
        <v/>
      </c>
      <c r="I1441" s="1" t="str">
        <f aca="false">IF(D1441&lt;&gt;"",DEC2HEX(D1441,2),"")</f>
        <v/>
      </c>
      <c r="J1441" s="1" t="str">
        <f aca="false">IF(H1441&lt;&gt;"","0x"&amp;I1441&amp;H1441,"")</f>
        <v/>
      </c>
      <c r="L1441" s="1" t="s">
        <v>3202</v>
      </c>
      <c r="M1441" s="1" t="str">
        <f aca="false">IF(J1441&lt;&gt;"",J1441,L1441)</f>
        <v>22, 22, MISDREAVUS , &lt;null&gt;, &lt;null&gt;, &lt;null&gt;</v>
      </c>
    </row>
    <row r="1442" customFormat="false" ht="12.75" hidden="false" customHeight="true" outlineLevel="0" collapsed="false">
      <c r="A1442" s="3" t="s">
        <v>2536</v>
      </c>
      <c r="B1442" s="3" t="str">
        <f aca="false">IF(ISNUMBER(SEARCH("%", A1442)),RIGHT(A1442,3),A1442)</f>
        <v>NEW ROUTE</v>
      </c>
      <c r="C1442" s="1" t="str">
        <f aca="false" t="array" ref="C1442:C1442">IF(B1441="NEW ROUTE",textsplit(B1442,","),"")</f>
        <v/>
      </c>
      <c r="H1442" s="1" t="str">
        <f aca="false">IF(C1442&lt;&gt;"",DEC2HEX(C1442,2),"")</f>
        <v/>
      </c>
      <c r="I1442" s="1" t="str">
        <f aca="false">IF(D1442&lt;&gt;"",DEC2HEX(D1442,2),"")</f>
        <v/>
      </c>
      <c r="J1442" s="1" t="str">
        <f aca="false">IF(H1442&lt;&gt;"","0x"&amp;I1442&amp;H1442,"")</f>
        <v/>
      </c>
      <c r="L1442" s="1" t="s">
        <v>2536</v>
      </c>
      <c r="M1442" s="1" t="str">
        <f aca="false">IF(J1442&lt;&gt;"",J1442,L1442)</f>
        <v>NEW ROUTE</v>
      </c>
    </row>
    <row r="1443" customFormat="false" ht="12.75" hidden="false" customHeight="true" outlineLevel="0" collapsed="false">
      <c r="A1443" s="3" t="s">
        <v>3220</v>
      </c>
      <c r="B1443" s="3" t="str">
        <f aca="false">IF(ISNUMBER(SEARCH("%", A1443)),RIGHT(A1443,3),A1443)</f>
        <v>3, 45, 0,</v>
      </c>
      <c r="C1443" s="1" t="e">
        <f aca="false" t="array" ref="C1443:C1443">IF(B1442="NEW ROUTE",textsplit(B1443,","),"")</f>
        <v>#NAME?</v>
      </c>
      <c r="H1443" s="1" t="e">
        <f aca="false">IF(C1443&lt;&gt;"",DEC2HEX(C1443,2),"")</f>
        <v>#NAME?</v>
      </c>
      <c r="I1443" s="1" t="str">
        <f aca="false">IF(D1443&lt;&gt;"",DEC2HEX(D1443,2),"")</f>
        <v/>
      </c>
      <c r="J1443" s="1" t="e">
        <f aca="false">IF(H1443&lt;&gt;"","0x"&amp;I1443&amp;H1443,"")</f>
        <v>#NAME?</v>
      </c>
      <c r="L1443" s="1" t="s">
        <v>3220</v>
      </c>
      <c r="M1443" s="1" t="e">
        <f aca="false">IF(J1443&lt;&gt;"",J1443,L1443)</f>
        <v>#NAME?</v>
      </c>
    </row>
    <row r="1444" customFormat="false" ht="12.75" hidden="false" customHeight="true" outlineLevel="0" collapsed="false">
      <c r="A1444" s="3" t="s">
        <v>2908</v>
      </c>
      <c r="B1444" s="3" t="str">
        <f aca="false">IF(ISNUMBER(SEARCH("%", A1444)),RIGHT(A1444,3),A1444)</f>
        <v>20%</v>
      </c>
      <c r="C1444" s="1" t="str">
        <f aca="false" t="array" ref="C1444:C1444">IF(B1443="NEW ROUTE",textsplit(B1444,","),"")</f>
        <v/>
      </c>
      <c r="H1444" s="1" t="str">
        <f aca="false">IF(C1444&lt;&gt;"",DEC2HEX(C1444,2),"")</f>
        <v/>
      </c>
      <c r="I1444" s="1" t="str">
        <f aca="false">IF(D1444&lt;&gt;"",DEC2HEX(D1444,2),"")</f>
        <v/>
      </c>
      <c r="J1444" s="1" t="str">
        <f aca="false">IF(H1444&lt;&gt;"","0x"&amp;I1444&amp;H1444,"")</f>
        <v/>
      </c>
      <c r="L1444" s="1" t="s">
        <v>2799</v>
      </c>
      <c r="M1444" s="1" t="str">
        <f aca="false">IF(J1444&lt;&gt;"",J1444,L1444)</f>
        <v>20%</v>
      </c>
    </row>
    <row r="1445" customFormat="false" ht="12.75" hidden="false" customHeight="true" outlineLevel="0" collapsed="false">
      <c r="A1445" s="3" t="s">
        <v>1666</v>
      </c>
      <c r="B1445" s="3" t="str">
        <f aca="false">IF(ISNUMBER(SEARCH("%", A1445)),RIGHT(A1445,3),A1445)</f>
        <v>32, 32, SPEAROW</v>
      </c>
      <c r="C1445" s="1" t="str">
        <f aca="false" t="array" ref="C1445:C1445">IF(B1444="NEW ROUTE",textsplit(B1445,","),"")</f>
        <v/>
      </c>
      <c r="H1445" s="1" t="str">
        <f aca="false">IF(C1445&lt;&gt;"",DEC2HEX(C1445,2),"")</f>
        <v/>
      </c>
      <c r="I1445" s="1" t="str">
        <f aca="false">IF(D1445&lt;&gt;"",DEC2HEX(D1445,2),"")</f>
        <v/>
      </c>
      <c r="J1445" s="1" t="str">
        <f aca="false">IF(H1445&lt;&gt;"","0x"&amp;I1445&amp;H1445,"")</f>
        <v/>
      </c>
      <c r="L1445" s="1" t="s">
        <v>1666</v>
      </c>
      <c r="M1445" s="1" t="str">
        <f aca="false">IF(J1445&lt;&gt;"",J1445,L1445)</f>
        <v>32, 32, SPEAROW</v>
      </c>
    </row>
    <row r="1446" customFormat="false" ht="12.75" hidden="false" customHeight="true" outlineLevel="0" collapsed="false">
      <c r="A1446" s="3" t="s">
        <v>3221</v>
      </c>
      <c r="B1446" s="3" t="str">
        <f aca="false">IF(ISNUMBER(SEARCH("%", A1446)),RIGHT(A1446,3),A1446)</f>
        <v>34, 34, PONYTA</v>
      </c>
      <c r="C1446" s="1" t="str">
        <f aca="false" t="array" ref="C1446:C1446">IF(B1445="NEW ROUTE",textsplit(B1446,","),"")</f>
        <v/>
      </c>
      <c r="H1446" s="1" t="str">
        <f aca="false">IF(C1446&lt;&gt;"",DEC2HEX(C1446,2),"")</f>
        <v/>
      </c>
      <c r="I1446" s="1" t="str">
        <f aca="false">IF(D1446&lt;&gt;"",DEC2HEX(D1446,2),"")</f>
        <v/>
      </c>
      <c r="J1446" s="1" t="str">
        <f aca="false">IF(H1446&lt;&gt;"","0x"&amp;I1446&amp;H1446,"")</f>
        <v/>
      </c>
      <c r="L1446" s="1" t="s">
        <v>3221</v>
      </c>
      <c r="M1446" s="1" t="str">
        <f aca="false">IF(J1446&lt;&gt;"",J1446,L1446)</f>
        <v>34, 34, PONYTA</v>
      </c>
    </row>
    <row r="1447" customFormat="false" ht="12.75" hidden="false" customHeight="true" outlineLevel="0" collapsed="false">
      <c r="A1447" s="3" t="s">
        <v>2801</v>
      </c>
      <c r="B1447" s="3" t="str">
        <f aca="false">IF(ISNUMBER(SEARCH("%", A1447)),RIGHT(A1447,3),A1447)</f>
        <v>0.1</v>
      </c>
      <c r="C1447" s="1" t="str">
        <f aca="false" t="array" ref="C1447:C1447">IF(B1446="NEW ROUTE",textsplit(B1447,","),"")</f>
        <v/>
      </c>
      <c r="H1447" s="1" t="str">
        <f aca="false">IF(C1447&lt;&gt;"",DEC2HEX(C1447,2),"")</f>
        <v/>
      </c>
      <c r="I1447" s="1" t="str">
        <f aca="false">IF(D1447&lt;&gt;"",DEC2HEX(D1447,2),"")</f>
        <v/>
      </c>
      <c r="J1447" s="1" t="str">
        <f aca="false">IF(H1447&lt;&gt;"","0x"&amp;I1447&amp;H1447,"")</f>
        <v/>
      </c>
      <c r="L1447" s="1" t="s">
        <v>2801</v>
      </c>
      <c r="M1447" s="1" t="str">
        <f aca="false">IF(J1447&lt;&gt;"",J1447,L1447)</f>
        <v>0.1</v>
      </c>
    </row>
    <row r="1448" customFormat="false" ht="12.75" hidden="false" customHeight="true" outlineLevel="0" collapsed="false">
      <c r="A1448" s="3" t="s">
        <v>3222</v>
      </c>
      <c r="B1448" s="3" t="str">
        <f aca="false">IF(ISNUMBER(SEARCH("%", A1448)),RIGHT(A1448,3),A1448)</f>
        <v>36, 36, FEAROW</v>
      </c>
      <c r="C1448" s="1" t="str">
        <f aca="false" t="array" ref="C1448:C1448">IF(B1447="NEW ROUTE",textsplit(B1448,","),"")</f>
        <v/>
      </c>
      <c r="H1448" s="1" t="str">
        <f aca="false">IF(C1448&lt;&gt;"",DEC2HEX(C1448,2),"")</f>
        <v/>
      </c>
      <c r="I1448" s="1" t="str">
        <f aca="false">IF(D1448&lt;&gt;"",DEC2HEX(D1448,2),"")</f>
        <v/>
      </c>
      <c r="J1448" s="1" t="str">
        <f aca="false">IF(H1448&lt;&gt;"","0x"&amp;I1448&amp;H1448,"")</f>
        <v/>
      </c>
      <c r="L1448" s="1" t="s">
        <v>3222</v>
      </c>
      <c r="M1448" s="1" t="str">
        <f aca="false">IF(J1448&lt;&gt;"",J1448,L1448)</f>
        <v>36, 36, FEAROW</v>
      </c>
    </row>
    <row r="1449" customFormat="false" ht="12.75" hidden="false" customHeight="true" outlineLevel="0" collapsed="false">
      <c r="A1449" s="3" t="s">
        <v>3223</v>
      </c>
      <c r="B1449" s="3" t="str">
        <f aca="false">IF(ISNUMBER(SEARCH("%", A1449)),RIGHT(A1449,3),A1449)</f>
        <v>31, 31, PONYTA</v>
      </c>
      <c r="C1449" s="1" t="str">
        <f aca="false" t="array" ref="C1449:C1449">IF(B1448="NEW ROUTE",textsplit(B1449,","),"")</f>
        <v/>
      </c>
      <c r="H1449" s="1" t="str">
        <f aca="false">IF(C1449&lt;&gt;"",DEC2HEX(C1449,2),"")</f>
        <v/>
      </c>
      <c r="I1449" s="1" t="str">
        <f aca="false">IF(D1449&lt;&gt;"",DEC2HEX(D1449,2),"")</f>
        <v/>
      </c>
      <c r="J1449" s="1" t="str">
        <f aca="false">IF(H1449&lt;&gt;"","0x"&amp;I1449&amp;H1449,"")</f>
        <v/>
      </c>
      <c r="L1449" s="1" t="s">
        <v>3223</v>
      </c>
      <c r="M1449" s="1" t="str">
        <f aca="false">IF(J1449&lt;&gt;"",J1449,L1449)</f>
        <v>31, 31, PONYTA</v>
      </c>
    </row>
    <row r="1450" customFormat="false" ht="12.75" hidden="false" customHeight="true" outlineLevel="0" collapsed="false">
      <c r="A1450" s="3" t="s">
        <v>3081</v>
      </c>
      <c r="B1450" s="3" t="str">
        <f aca="false">IF(ISNUMBER(SEARCH("%", A1450)),RIGHT(A1450,3),A1450)</f>
        <v>31, 31, GEODUDE</v>
      </c>
      <c r="C1450" s="1" t="str">
        <f aca="false" t="array" ref="C1450:C1450">IF(B1449="NEW ROUTE",textsplit(B1450,","),"")</f>
        <v/>
      </c>
      <c r="H1450" s="1" t="str">
        <f aca="false">IF(C1450&lt;&gt;"",DEC2HEX(C1450,2),"")</f>
        <v/>
      </c>
      <c r="I1450" s="1" t="str">
        <f aca="false">IF(D1450&lt;&gt;"",DEC2HEX(D1450,2),"")</f>
        <v/>
      </c>
      <c r="J1450" s="1" t="str">
        <f aca="false">IF(H1450&lt;&gt;"","0x"&amp;I1450&amp;H1450,"")</f>
        <v/>
      </c>
      <c r="L1450" s="1" t="s">
        <v>3081</v>
      </c>
      <c r="M1450" s="1" t="str">
        <f aca="false">IF(J1450&lt;&gt;"",J1450,L1450)</f>
        <v>31, 31, GEODUDE</v>
      </c>
    </row>
    <row r="1451" customFormat="false" ht="12.75" hidden="false" customHeight="true" outlineLevel="0" collapsed="false">
      <c r="A1451" s="3" t="s">
        <v>3224</v>
      </c>
      <c r="B1451" s="3" t="str">
        <f aca="false">IF(ISNUMBER(SEARCH("%", A1451)),RIGHT(A1451,3),A1451)</f>
        <v>31, 31, MEOWTH</v>
      </c>
      <c r="C1451" s="1" t="str">
        <f aca="false" t="array" ref="C1451:C1451">IF(B1450="NEW ROUTE",textsplit(B1451,","),"")</f>
        <v/>
      </c>
      <c r="H1451" s="1" t="str">
        <f aca="false">IF(C1451&lt;&gt;"",DEC2HEX(C1451,2),"")</f>
        <v/>
      </c>
      <c r="I1451" s="1" t="str">
        <f aca="false">IF(D1451&lt;&gt;"",DEC2HEX(D1451,2),"")</f>
        <v/>
      </c>
      <c r="J1451" s="1" t="str">
        <f aca="false">IF(H1451&lt;&gt;"","0x"&amp;I1451&amp;H1451,"")</f>
        <v/>
      </c>
      <c r="L1451" s="1" t="s">
        <v>3224</v>
      </c>
      <c r="M1451" s="1" t="str">
        <f aca="false">IF(J1451&lt;&gt;"",J1451,L1451)</f>
        <v>31, 31, MEOWTH</v>
      </c>
    </row>
    <row r="1452" customFormat="false" ht="12.75" hidden="false" customHeight="true" outlineLevel="0" collapsed="false">
      <c r="A1452" s="3" t="s">
        <v>2806</v>
      </c>
      <c r="B1452" s="3" t="str">
        <f aca="false">IF(ISNUMBER(SEARCH("%", A1452)),RIGHT(A1452,3),A1452)</f>
        <v>0.05</v>
      </c>
      <c r="C1452" s="1" t="str">
        <f aca="false" t="array" ref="C1452:C1452">IF(B1451="NEW ROUTE",textsplit(B1452,","),"")</f>
        <v/>
      </c>
      <c r="H1452" s="1" t="str">
        <f aca="false">IF(C1452&lt;&gt;"",DEC2HEX(C1452,2),"")</f>
        <v/>
      </c>
      <c r="I1452" s="1" t="str">
        <f aca="false">IF(D1452&lt;&gt;"",DEC2HEX(D1452,2),"")</f>
        <v/>
      </c>
      <c r="J1452" s="1" t="str">
        <f aca="false">IF(H1452&lt;&gt;"","0x"&amp;I1452&amp;H1452,"")</f>
        <v/>
      </c>
      <c r="L1452" s="1" t="s">
        <v>2806</v>
      </c>
      <c r="M1452" s="1" t="str">
        <f aca="false">IF(J1452&lt;&gt;"",J1452,L1452)</f>
        <v>0.05</v>
      </c>
    </row>
    <row r="1453" customFormat="false" ht="12.75" hidden="false" customHeight="true" outlineLevel="0" collapsed="false">
      <c r="A1453" s="3" t="s">
        <v>3225</v>
      </c>
      <c r="B1453" s="3" t="str">
        <f aca="false">IF(ISNUMBER(SEARCH("%", A1453)),RIGHT(A1453,3),A1453)</f>
        <v>30, 30, SPEAROW</v>
      </c>
      <c r="C1453" s="1" t="str">
        <f aca="false" t="array" ref="C1453:C1453">IF(B1452="NEW ROUTE",textsplit(B1453,","),"")</f>
        <v/>
      </c>
      <c r="H1453" s="1" t="str">
        <f aca="false">IF(C1453&lt;&gt;"",DEC2HEX(C1453,2),"")</f>
        <v/>
      </c>
      <c r="I1453" s="1" t="str">
        <f aca="false">IF(D1453&lt;&gt;"",DEC2HEX(D1453,2),"")</f>
        <v/>
      </c>
      <c r="J1453" s="1" t="str">
        <f aca="false">IF(H1453&lt;&gt;"","0x"&amp;I1453&amp;H1453,"")</f>
        <v/>
      </c>
      <c r="L1453" s="1" t="s">
        <v>3225</v>
      </c>
      <c r="M1453" s="1" t="str">
        <f aca="false">IF(J1453&lt;&gt;"",J1453,L1453)</f>
        <v>30, 30, SPEAROW</v>
      </c>
    </row>
    <row r="1454" customFormat="false" ht="12.75" hidden="false" customHeight="true" outlineLevel="0" collapsed="false">
      <c r="A1454" s="3" t="s">
        <v>3226</v>
      </c>
      <c r="B1454" s="3" t="str">
        <f aca="false">IF(ISNUMBER(SEARCH("%", A1454)),RIGHT(A1454,3),A1454)</f>
        <v>34, 34, SLOWPOKE</v>
      </c>
      <c r="C1454" s="1" t="str">
        <f aca="false" t="array" ref="C1454:C1454">IF(B1453="NEW ROUTE",textsplit(B1454,","),"")</f>
        <v/>
      </c>
      <c r="H1454" s="1" t="str">
        <f aca="false">IF(C1454&lt;&gt;"",DEC2HEX(C1454,2),"")</f>
        <v/>
      </c>
      <c r="I1454" s="1" t="str">
        <f aca="false">IF(D1454&lt;&gt;"",DEC2HEX(D1454,2),"")</f>
        <v/>
      </c>
      <c r="J1454" s="1" t="str">
        <f aca="false">IF(H1454&lt;&gt;"","0x"&amp;I1454&amp;H1454,"")</f>
        <v/>
      </c>
      <c r="L1454" s="1" t="s">
        <v>3226</v>
      </c>
      <c r="M1454" s="1" t="str">
        <f aca="false">IF(J1454&lt;&gt;"",J1454,L1454)</f>
        <v>34, 34, SLOWPOKE</v>
      </c>
    </row>
    <row r="1455" customFormat="false" ht="12.75" hidden="false" customHeight="true" outlineLevel="0" collapsed="false">
      <c r="A1455" s="3" t="s">
        <v>2809</v>
      </c>
      <c r="B1455" s="3" t="str">
        <f aca="false">IF(ISNUMBER(SEARCH("%", A1455)),RIGHT(A1455,3),A1455)</f>
        <v>0.04</v>
      </c>
      <c r="C1455" s="1" t="str">
        <f aca="false" t="array" ref="C1455:C1455">IF(B1454="NEW ROUTE",textsplit(B1455,","),"")</f>
        <v/>
      </c>
      <c r="H1455" s="1" t="str">
        <f aca="false">IF(C1455&lt;&gt;"",DEC2HEX(C1455,2),"")</f>
        <v/>
      </c>
      <c r="I1455" s="1" t="str">
        <f aca="false">IF(D1455&lt;&gt;"",DEC2HEX(D1455,2),"")</f>
        <v/>
      </c>
      <c r="J1455" s="1" t="str">
        <f aca="false">IF(H1455&lt;&gt;"","0x"&amp;I1455&amp;H1455,"")</f>
        <v/>
      </c>
      <c r="L1455" s="1" t="s">
        <v>2809</v>
      </c>
      <c r="M1455" s="1" t="str">
        <f aca="false">IF(J1455&lt;&gt;"",J1455,L1455)</f>
        <v>0.04</v>
      </c>
    </row>
    <row r="1456" customFormat="false" ht="12.75" hidden="false" customHeight="true" outlineLevel="0" collapsed="false">
      <c r="A1456" s="3" t="s">
        <v>3227</v>
      </c>
      <c r="B1456" s="3" t="str">
        <f aca="false">IF(ISNUMBER(SEARCH("%", A1456)),RIGHT(A1456,3),A1456)</f>
        <v>37, 37, RAPIDASH</v>
      </c>
      <c r="C1456" s="1" t="str">
        <f aca="false" t="array" ref="C1456:C1456">IF(B1455="NEW ROUTE",textsplit(B1456,","),"")</f>
        <v/>
      </c>
      <c r="H1456" s="1" t="str">
        <f aca="false">IF(C1456&lt;&gt;"",DEC2HEX(C1456,2),"")</f>
        <v/>
      </c>
      <c r="I1456" s="1" t="str">
        <f aca="false">IF(D1456&lt;&gt;"",DEC2HEX(D1456,2),"")</f>
        <v/>
      </c>
      <c r="J1456" s="1" t="str">
        <f aca="false">IF(H1456&lt;&gt;"","0x"&amp;I1456&amp;H1456,"")</f>
        <v/>
      </c>
      <c r="L1456" s="1" t="s">
        <v>3227</v>
      </c>
      <c r="M1456" s="1" t="str">
        <f aca="false">IF(J1456&lt;&gt;"",J1456,L1456)</f>
        <v>37, 37, RAPIDASH</v>
      </c>
    </row>
    <row r="1457" customFormat="false" ht="12.75" hidden="false" customHeight="true" outlineLevel="0" collapsed="false">
      <c r="A1457" s="3" t="s">
        <v>3228</v>
      </c>
      <c r="B1457" s="3" t="str">
        <f aca="false">IF(ISNUMBER(SEARCH("%", A1457)),RIGHT(A1457,3),A1457)</f>
        <v>37, 37, PERSIAN</v>
      </c>
      <c r="C1457" s="1" t="str">
        <f aca="false" t="array" ref="C1457:C1457">IF(B1456="NEW ROUTE",textsplit(B1457,","),"")</f>
        <v/>
      </c>
      <c r="H1457" s="1" t="str">
        <f aca="false">IF(C1457&lt;&gt;"",DEC2HEX(C1457,2),"")</f>
        <v/>
      </c>
      <c r="I1457" s="1" t="str">
        <f aca="false">IF(D1457&lt;&gt;"",DEC2HEX(D1457,2),"")</f>
        <v/>
      </c>
      <c r="J1457" s="1" t="str">
        <f aca="false">IF(H1457&lt;&gt;"","0x"&amp;I1457&amp;H1457,"")</f>
        <v/>
      </c>
      <c r="L1457" s="1" t="s">
        <v>3228</v>
      </c>
      <c r="M1457" s="1" t="str">
        <f aca="false">IF(J1457&lt;&gt;"",J1457,L1457)</f>
        <v>37, 37, PERSIAN</v>
      </c>
    </row>
    <row r="1458" customFormat="false" ht="12.75" hidden="false" customHeight="true" outlineLevel="0" collapsed="false">
      <c r="A1458" s="3" t="s">
        <v>2812</v>
      </c>
      <c r="B1458" s="3" t="str">
        <f aca="false">IF(ISNUMBER(SEARCH("%", A1458)),RIGHT(A1458,3),A1458)</f>
        <v>0.01</v>
      </c>
      <c r="C1458" s="1" t="str">
        <f aca="false" t="array" ref="C1458:C1458">IF(B1457="NEW ROUTE",textsplit(B1458,","),"")</f>
        <v/>
      </c>
      <c r="H1458" s="1" t="str">
        <f aca="false">IF(C1458&lt;&gt;"",DEC2HEX(C1458,2),"")</f>
        <v/>
      </c>
      <c r="I1458" s="1" t="str">
        <f aca="false">IF(D1458&lt;&gt;"",DEC2HEX(D1458,2),"")</f>
        <v/>
      </c>
      <c r="J1458" s="1" t="str">
        <f aca="false">IF(H1458&lt;&gt;"","0x"&amp;I1458&amp;H1458,"")</f>
        <v/>
      </c>
      <c r="L1458" s="1" t="s">
        <v>2812</v>
      </c>
      <c r="M1458" s="1" t="str">
        <f aca="false">IF(J1458&lt;&gt;"",J1458,L1458)</f>
        <v>0.01</v>
      </c>
    </row>
    <row r="1459" customFormat="false" ht="12.75" hidden="false" customHeight="true" outlineLevel="0" collapsed="false">
      <c r="A1459" s="3" t="s">
        <v>3229</v>
      </c>
      <c r="B1459" s="3" t="str">
        <f aca="false">IF(ISNUMBER(SEARCH("%", A1459)),RIGHT(A1459,3),A1459)</f>
        <v>40, 40, RAPIDASH</v>
      </c>
      <c r="C1459" s="1" t="str">
        <f aca="false" t="array" ref="C1459:C1459">IF(B1458="NEW ROUTE",textsplit(B1459,","),"")</f>
        <v/>
      </c>
      <c r="H1459" s="1" t="str">
        <f aca="false">IF(C1459&lt;&gt;"",DEC2HEX(C1459,2),"")</f>
        <v/>
      </c>
      <c r="I1459" s="1" t="str">
        <f aca="false">IF(D1459&lt;&gt;"",DEC2HEX(D1459,2),"")</f>
        <v/>
      </c>
      <c r="J1459" s="1" t="str">
        <f aca="false">IF(H1459&lt;&gt;"","0x"&amp;I1459&amp;H1459,"")</f>
        <v/>
      </c>
      <c r="L1459" s="1" t="s">
        <v>3229</v>
      </c>
      <c r="M1459" s="1" t="str">
        <f aca="false">IF(J1459&lt;&gt;"",J1459,L1459)</f>
        <v>40, 40, RAPIDASH</v>
      </c>
    </row>
    <row r="1460" customFormat="false" ht="12.75" hidden="false" customHeight="true" outlineLevel="0" collapsed="false">
      <c r="A1460" s="3" t="s">
        <v>3230</v>
      </c>
      <c r="B1460" s="3" t="str">
        <f aca="false">IF(ISNUMBER(SEARCH("%", A1460)),RIGHT(A1460,3),A1460)</f>
        <v>40, 40, PERSIAN</v>
      </c>
      <c r="C1460" s="1" t="str">
        <f aca="false" t="array" ref="C1460:C1460">IF(B1459="NEW ROUTE",textsplit(B1460,","),"")</f>
        <v/>
      </c>
      <c r="H1460" s="1" t="str">
        <f aca="false">IF(C1460&lt;&gt;"",DEC2HEX(C1460,2),"")</f>
        <v/>
      </c>
      <c r="I1460" s="1" t="str">
        <f aca="false">IF(D1460&lt;&gt;"",DEC2HEX(D1460,2),"")</f>
        <v/>
      </c>
      <c r="J1460" s="1" t="str">
        <f aca="false">IF(H1460&lt;&gt;"","0x"&amp;I1460&amp;H1460,"")</f>
        <v/>
      </c>
      <c r="L1460" s="1" t="s">
        <v>3230</v>
      </c>
      <c r="M1460" s="1" t="str">
        <f aca="false">IF(J1460&lt;&gt;"",J1460,L1460)</f>
        <v>40, 40, PERSIAN</v>
      </c>
    </row>
    <row r="1461" customFormat="false" ht="12.75" hidden="false" customHeight="true" outlineLevel="0" collapsed="false">
      <c r="A1461" s="3" t="s">
        <v>3172</v>
      </c>
      <c r="B1461" s="3" t="str">
        <f aca="false">IF(ISNUMBER(SEARCH("%", A1461)),RIGHT(A1461,3),A1461)</f>
        <v>2, 5, 20, TENTACOOL</v>
      </c>
      <c r="C1461" s="1" t="str">
        <f aca="false" t="array" ref="C1461:C1461">IF(B1460="NEW ROUTE",textsplit(B1461,","),"")</f>
        <v/>
      </c>
      <c r="H1461" s="1" t="str">
        <f aca="false">IF(C1461&lt;&gt;"",DEC2HEX(C1461,2),"")</f>
        <v/>
      </c>
      <c r="I1461" s="1" t="str">
        <f aca="false">IF(D1461&lt;&gt;"",DEC2HEX(D1461,2),"")</f>
        <v/>
      </c>
      <c r="J1461" s="1" t="str">
        <f aca="false">IF(H1461&lt;&gt;"","0x"&amp;I1461&amp;H1461,"")</f>
        <v/>
      </c>
      <c r="L1461" s="1" t="s">
        <v>3172</v>
      </c>
      <c r="M1461" s="1" t="str">
        <f aca="false">IF(J1461&lt;&gt;"",J1461,L1461)</f>
        <v>2, 5, 20, TENTACOOL</v>
      </c>
    </row>
    <row r="1462" customFormat="false" ht="12.75" hidden="false" customHeight="true" outlineLevel="0" collapsed="false">
      <c r="A1462" s="3" t="s">
        <v>3173</v>
      </c>
      <c r="B1462" s="3" t="str">
        <f aca="false">IF(ISNUMBER(SEARCH("%", A1462)),RIGHT(A1462,3),A1462)</f>
        <v>20, 35, TENTACOOL</v>
      </c>
      <c r="C1462" s="1" t="str">
        <f aca="false" t="array" ref="C1462:C1462">IF(B1461="NEW ROUTE",textsplit(B1462,","),"")</f>
        <v/>
      </c>
      <c r="H1462" s="1" t="str">
        <f aca="false">IF(C1462&lt;&gt;"",DEC2HEX(C1462,2),"")</f>
        <v/>
      </c>
      <c r="I1462" s="1" t="str">
        <f aca="false">IF(D1462&lt;&gt;"",DEC2HEX(D1462,2),"")</f>
        <v/>
      </c>
      <c r="J1462" s="1" t="str">
        <f aca="false">IF(H1462&lt;&gt;"","0x"&amp;I1462&amp;H1462,"")</f>
        <v/>
      </c>
      <c r="L1462" s="1" t="s">
        <v>3173</v>
      </c>
      <c r="M1462" s="1" t="str">
        <f aca="false">IF(J1462&lt;&gt;"",J1462,L1462)</f>
        <v>20, 35, TENTACOOL</v>
      </c>
    </row>
    <row r="1463" customFormat="false" ht="12.75" hidden="false" customHeight="true" outlineLevel="0" collapsed="false">
      <c r="A1463" s="3" t="s">
        <v>2844</v>
      </c>
      <c r="B1463" s="3" t="str">
        <f aca="false">IF(ISNUMBER(SEARCH("%", A1463)),RIGHT(A1463,3),A1463)</f>
        <v>35, 40, TENTACOOL</v>
      </c>
      <c r="C1463" s="1" t="str">
        <f aca="false" t="array" ref="C1463:C1463">IF(B1462="NEW ROUTE",textsplit(B1463,","),"")</f>
        <v/>
      </c>
      <c r="H1463" s="1" t="str">
        <f aca="false">IF(C1463&lt;&gt;"",DEC2HEX(C1463,2),"")</f>
        <v/>
      </c>
      <c r="I1463" s="1" t="str">
        <f aca="false">IF(D1463&lt;&gt;"",DEC2HEX(D1463,2),"")</f>
        <v/>
      </c>
      <c r="J1463" s="1" t="str">
        <f aca="false">IF(H1463&lt;&gt;"","0x"&amp;I1463&amp;H1463,"")</f>
        <v/>
      </c>
      <c r="L1463" s="1" t="s">
        <v>2844</v>
      </c>
      <c r="M1463" s="1" t="str">
        <f aca="false">IF(J1463&lt;&gt;"",J1463,L1463)</f>
        <v>35, 40, TENTACOOL</v>
      </c>
    </row>
    <row r="1464" customFormat="false" ht="12.75" hidden="false" customHeight="true" outlineLevel="0" collapsed="false">
      <c r="A1464" s="3" t="s">
        <v>3231</v>
      </c>
      <c r="B1464" s="3" t="str">
        <f aca="false">IF(ISNUMBER(SEARCH("%", A1464)),RIGHT(A1464,3),A1464)</f>
        <v>35, 40, TENTACRUEL</v>
      </c>
      <c r="C1464" s="1" t="str">
        <f aca="false" t="array" ref="C1464:C1464">IF(B1463="NEW ROUTE",textsplit(B1464,","),"")</f>
        <v/>
      </c>
      <c r="H1464" s="1" t="str">
        <f aca="false">IF(C1464&lt;&gt;"",DEC2HEX(C1464,2),"")</f>
        <v/>
      </c>
      <c r="I1464" s="1" t="str">
        <f aca="false">IF(D1464&lt;&gt;"",DEC2HEX(D1464,2),"")</f>
        <v/>
      </c>
      <c r="J1464" s="1" t="str">
        <f aca="false">IF(H1464&lt;&gt;"","0x"&amp;I1464&amp;H1464,"")</f>
        <v/>
      </c>
      <c r="L1464" s="1" t="s">
        <v>3231</v>
      </c>
      <c r="M1464" s="1" t="str">
        <f aca="false">IF(J1464&lt;&gt;"",J1464,L1464)</f>
        <v>35, 40, TENTACRUEL</v>
      </c>
    </row>
    <row r="1465" customFormat="false" ht="12.75" hidden="false" customHeight="true" outlineLevel="0" collapsed="false">
      <c r="A1465" s="3" t="s">
        <v>3231</v>
      </c>
      <c r="B1465" s="3" t="str">
        <f aca="false">IF(ISNUMBER(SEARCH("%", A1465)),RIGHT(A1465,3),A1465)</f>
        <v>35, 40, TENTACRUEL</v>
      </c>
      <c r="C1465" s="1" t="str">
        <f aca="false" t="array" ref="C1465:C1465">IF(B1464="NEW ROUTE",textsplit(B1465,","),"")</f>
        <v/>
      </c>
      <c r="H1465" s="1" t="str">
        <f aca="false">IF(C1465&lt;&gt;"",DEC2HEX(C1465,2),"")</f>
        <v/>
      </c>
      <c r="I1465" s="1" t="str">
        <f aca="false">IF(D1465&lt;&gt;"",DEC2HEX(D1465,2),"")</f>
        <v/>
      </c>
      <c r="J1465" s="1" t="str">
        <f aca="false">IF(H1465&lt;&gt;"","0x"&amp;I1465&amp;H1465,"")</f>
        <v/>
      </c>
      <c r="L1465" s="1" t="s">
        <v>3231</v>
      </c>
      <c r="M1465" s="1" t="str">
        <f aca="false">IF(J1465&lt;&gt;"",J1465,L1465)</f>
        <v>35, 40, TENTACRUEL</v>
      </c>
    </row>
    <row r="1466" customFormat="false" ht="12.75" hidden="false" customHeight="true" outlineLevel="0" collapsed="false">
      <c r="A1466" s="3" t="s">
        <v>3232</v>
      </c>
      <c r="B1466" s="3" t="str">
        <f aca="false">IF(ISNUMBER(SEARCH("%", A1466)),RIGHT(A1466,3),A1466)</f>
        <v>25, 5, 20, GEODUDE</v>
      </c>
      <c r="C1466" s="1" t="str">
        <f aca="false" t="array" ref="C1466:C1466">IF(B1465="NEW ROUTE",textsplit(B1466,","),"")</f>
        <v/>
      </c>
      <c r="H1466" s="1" t="str">
        <f aca="false">IF(C1466&lt;&gt;"",DEC2HEX(C1466,2),"")</f>
        <v/>
      </c>
      <c r="I1466" s="1" t="str">
        <f aca="false">IF(D1466&lt;&gt;"",DEC2HEX(D1466,2),"")</f>
        <v/>
      </c>
      <c r="J1466" s="1" t="str">
        <f aca="false">IF(H1466&lt;&gt;"","0x"&amp;I1466&amp;H1466,"")</f>
        <v/>
      </c>
      <c r="L1466" s="1" t="s">
        <v>3232</v>
      </c>
      <c r="M1466" s="1" t="str">
        <f aca="false">IF(J1466&lt;&gt;"",J1466,L1466)</f>
        <v>25, 5, 20, GEODUDE</v>
      </c>
    </row>
    <row r="1467" customFormat="false" ht="12.75" hidden="false" customHeight="true" outlineLevel="0" collapsed="false">
      <c r="A1467" s="3" t="s">
        <v>3000</v>
      </c>
      <c r="B1467" s="3" t="str">
        <f aca="false">IF(ISNUMBER(SEARCH("%", A1467)),RIGHT(A1467,3),A1467)</f>
        <v>10, 20, GEODUDE</v>
      </c>
      <c r="C1467" s="1" t="str">
        <f aca="false" t="array" ref="C1467:C1467">IF(B1466="NEW ROUTE",textsplit(B1467,","),"")</f>
        <v/>
      </c>
      <c r="H1467" s="1" t="str">
        <f aca="false">IF(C1467&lt;&gt;"",DEC2HEX(C1467,2),"")</f>
        <v/>
      </c>
      <c r="I1467" s="1" t="str">
        <f aca="false">IF(D1467&lt;&gt;"",DEC2HEX(D1467,2),"")</f>
        <v/>
      </c>
      <c r="J1467" s="1" t="str">
        <f aca="false">IF(H1467&lt;&gt;"","0x"&amp;I1467&amp;H1467,"")</f>
        <v/>
      </c>
      <c r="L1467" s="1" t="s">
        <v>3000</v>
      </c>
      <c r="M1467" s="1" t="str">
        <f aca="false">IF(J1467&lt;&gt;"",J1467,L1467)</f>
        <v>10, 20, GEODUDE</v>
      </c>
    </row>
    <row r="1468" customFormat="false" ht="12.75" hidden="false" customHeight="true" outlineLevel="0" collapsed="false">
      <c r="A1468" s="3" t="s">
        <v>3001</v>
      </c>
      <c r="B1468" s="3" t="str">
        <f aca="false">IF(ISNUMBER(SEARCH("%", A1468)),RIGHT(A1468,3),A1468)</f>
        <v>15, 30, GEODUDE</v>
      </c>
      <c r="C1468" s="1" t="str">
        <f aca="false" t="array" ref="C1468:C1468">IF(B1467="NEW ROUTE",textsplit(B1468,","),"")</f>
        <v/>
      </c>
      <c r="H1468" s="1" t="str">
        <f aca="false">IF(C1468&lt;&gt;"",DEC2HEX(C1468,2),"")</f>
        <v/>
      </c>
      <c r="I1468" s="1" t="str">
        <f aca="false">IF(D1468&lt;&gt;"",DEC2HEX(D1468,2),"")</f>
        <v/>
      </c>
      <c r="J1468" s="1" t="str">
        <f aca="false">IF(H1468&lt;&gt;"","0x"&amp;I1468&amp;H1468,"")</f>
        <v/>
      </c>
      <c r="L1468" s="1" t="s">
        <v>3001</v>
      </c>
      <c r="M1468" s="1" t="str">
        <f aca="false">IF(J1468&lt;&gt;"",J1468,L1468)</f>
        <v>15, 30, GEODUDE</v>
      </c>
    </row>
    <row r="1469" customFormat="false" ht="12.75" hidden="false" customHeight="true" outlineLevel="0" collapsed="false">
      <c r="A1469" s="3" t="s">
        <v>3002</v>
      </c>
      <c r="B1469" s="3" t="str">
        <f aca="false">IF(ISNUMBER(SEARCH("%", A1469)),RIGHT(A1469,3),A1469)</f>
        <v>25, 40, GRAVELER</v>
      </c>
      <c r="C1469" s="1" t="str">
        <f aca="false" t="array" ref="C1469:C1469">IF(B1468="NEW ROUTE",textsplit(B1469,","),"")</f>
        <v/>
      </c>
      <c r="H1469" s="1" t="str">
        <f aca="false">IF(C1469&lt;&gt;"",DEC2HEX(C1469,2),"")</f>
        <v/>
      </c>
      <c r="I1469" s="1" t="str">
        <f aca="false">IF(D1469&lt;&gt;"",DEC2HEX(D1469,2),"")</f>
        <v/>
      </c>
      <c r="J1469" s="1" t="str">
        <f aca="false">IF(H1469&lt;&gt;"","0x"&amp;I1469&amp;H1469,"")</f>
        <v/>
      </c>
      <c r="L1469" s="1" t="s">
        <v>3002</v>
      </c>
      <c r="M1469" s="1" t="str">
        <f aca="false">IF(J1469&lt;&gt;"",J1469,L1469)</f>
        <v>25, 40, GRAVELER</v>
      </c>
    </row>
    <row r="1470" customFormat="false" ht="12.75" hidden="false" customHeight="true" outlineLevel="0" collapsed="false">
      <c r="A1470" s="3" t="s">
        <v>3233</v>
      </c>
      <c r="B1470" s="3" t="str">
        <f aca="false">IF(ISNUMBER(SEARCH("%", A1470)),RIGHT(A1470,3),A1470)</f>
        <v>30, 40, GRAVELER</v>
      </c>
      <c r="C1470" s="1" t="str">
        <f aca="false" t="array" ref="C1470:C1470">IF(B1469="NEW ROUTE",textsplit(B1470,","),"")</f>
        <v/>
      </c>
      <c r="H1470" s="1" t="str">
        <f aca="false">IF(C1470&lt;&gt;"",DEC2HEX(C1470,2),"")</f>
        <v/>
      </c>
      <c r="I1470" s="1" t="str">
        <f aca="false">IF(D1470&lt;&gt;"",DEC2HEX(D1470,2),"")</f>
        <v/>
      </c>
      <c r="J1470" s="1" t="str">
        <f aca="false">IF(H1470&lt;&gt;"","0x"&amp;I1470&amp;H1470,"")</f>
        <v/>
      </c>
      <c r="L1470" s="1" t="s">
        <v>3233</v>
      </c>
      <c r="M1470" s="1" t="str">
        <f aca="false">IF(J1470&lt;&gt;"",J1470,L1470)</f>
        <v>30, 40, GRAVELER</v>
      </c>
    </row>
    <row r="1471" customFormat="false" ht="12.75" hidden="false" customHeight="true" outlineLevel="0" collapsed="false">
      <c r="A1471" s="3" t="s">
        <v>2925</v>
      </c>
      <c r="B1471" s="3" t="str">
        <f aca="false">IF(ISNUMBER(SEARCH("%", A1471)),RIGHT(A1471,3),A1471)</f>
        <v>20, old rod:</v>
      </c>
      <c r="C1471" s="1" t="str">
        <f aca="false" t="array" ref="C1471:C1471">IF(B1470="NEW ROUTE",textsplit(B1471,","),"")</f>
        <v/>
      </c>
      <c r="H1471" s="1" t="str">
        <f aca="false">IF(C1471&lt;&gt;"",DEC2HEX(C1471,2),"")</f>
        <v/>
      </c>
      <c r="I1471" s="1" t="str">
        <f aca="false">IF(D1471&lt;&gt;"",DEC2HEX(D1471,2),"")</f>
        <v/>
      </c>
      <c r="J1471" s="1" t="str">
        <f aca="false">IF(H1471&lt;&gt;"","0x"&amp;I1471&amp;H1471,"")</f>
        <v/>
      </c>
      <c r="L1471" s="1" t="s">
        <v>2925</v>
      </c>
      <c r="M1471" s="1" t="str">
        <f aca="false">IF(J1471&lt;&gt;"",J1471,L1471)</f>
        <v>20, old rod:</v>
      </c>
    </row>
    <row r="1472" customFormat="false" ht="12.75" hidden="false" customHeight="true" outlineLevel="0" collapsed="false">
      <c r="A1472" s="3" t="s">
        <v>1266</v>
      </c>
      <c r="B1472" s="3" t="str">
        <f aca="false">IF(ISNUMBER(SEARCH("%", A1472)),RIGHT(A1472,3),A1472)</f>
        <v>5, 5, MAGIKARP</v>
      </c>
      <c r="C1472" s="1" t="str">
        <f aca="false" t="array" ref="C1472:C1472">IF(B1471="NEW ROUTE",textsplit(B1472,","),"")</f>
        <v/>
      </c>
      <c r="H1472" s="1" t="str">
        <f aca="false">IF(C1472&lt;&gt;"",DEC2HEX(C1472,2),"")</f>
        <v/>
      </c>
      <c r="I1472" s="1" t="str">
        <f aca="false">IF(D1472&lt;&gt;"",DEC2HEX(D1472,2),"")</f>
        <v/>
      </c>
      <c r="J1472" s="1" t="str">
        <f aca="false">IF(H1472&lt;&gt;"","0x"&amp;I1472&amp;H1472,"")</f>
        <v/>
      </c>
      <c r="L1472" s="1" t="s">
        <v>1266</v>
      </c>
      <c r="M1472" s="1" t="str">
        <f aca="false">IF(J1472&lt;&gt;"",J1472,L1472)</f>
        <v>5, 5, MAGIKARP</v>
      </c>
    </row>
    <row r="1473" customFormat="false" ht="12.75" hidden="false" customHeight="true" outlineLevel="0" collapsed="false">
      <c r="A1473" s="3" t="s">
        <v>1266</v>
      </c>
      <c r="B1473" s="3" t="str">
        <f aca="false">IF(ISNUMBER(SEARCH("%", A1473)),RIGHT(A1473,3),A1473)</f>
        <v>5, 5, MAGIKARP</v>
      </c>
      <c r="C1473" s="1" t="str">
        <f aca="false" t="array" ref="C1473:C1473">IF(B1472="NEW ROUTE",textsplit(B1473,","),"")</f>
        <v/>
      </c>
      <c r="H1473" s="1" t="str">
        <f aca="false">IF(C1473&lt;&gt;"",DEC2HEX(C1473,2),"")</f>
        <v/>
      </c>
      <c r="I1473" s="1" t="str">
        <f aca="false">IF(D1473&lt;&gt;"",DEC2HEX(D1473,2),"")</f>
        <v/>
      </c>
      <c r="J1473" s="1" t="str">
        <f aca="false">IF(H1473&lt;&gt;"","0x"&amp;I1473&amp;H1473,"")</f>
        <v/>
      </c>
      <c r="L1473" s="1" t="s">
        <v>1266</v>
      </c>
      <c r="M1473" s="1" t="str">
        <f aca="false">IF(J1473&lt;&gt;"",J1473,L1473)</f>
        <v>5, 5, MAGIKARP</v>
      </c>
    </row>
    <row r="1474" customFormat="false" ht="12.75" hidden="false" customHeight="true" outlineLevel="0" collapsed="false">
      <c r="A1474" s="3" t="s">
        <v>2846</v>
      </c>
      <c r="B1474" s="3" t="str">
        <f aca="false">IF(ISNUMBER(SEARCH("%", A1474)),RIGHT(A1474,3),A1474)</f>
        <v>good rod:</v>
      </c>
      <c r="C1474" s="1" t="str">
        <f aca="false" t="array" ref="C1474:C1474">IF(B1473="NEW ROUTE",textsplit(B1474,","),"")</f>
        <v/>
      </c>
      <c r="H1474" s="1" t="str">
        <f aca="false">IF(C1474&lt;&gt;"",DEC2HEX(C1474,2),"")</f>
        <v/>
      </c>
      <c r="I1474" s="1" t="str">
        <f aca="false">IF(D1474&lt;&gt;"",DEC2HEX(D1474,2),"")</f>
        <v/>
      </c>
      <c r="J1474" s="1" t="str">
        <f aca="false">IF(H1474&lt;&gt;"","0x"&amp;I1474&amp;H1474,"")</f>
        <v/>
      </c>
      <c r="L1474" s="1" t="s">
        <v>2846</v>
      </c>
      <c r="M1474" s="1" t="str">
        <f aca="false">IF(J1474&lt;&gt;"",J1474,L1474)</f>
        <v>good rod:</v>
      </c>
    </row>
    <row r="1475" customFormat="false" ht="12.75" hidden="false" customHeight="true" outlineLevel="0" collapsed="false">
      <c r="A1475" s="3" t="s">
        <v>2847</v>
      </c>
      <c r="B1475" s="3" t="str">
        <f aca="false">IF(ISNUMBER(SEARCH("%", A1475)),RIGHT(A1475,3),A1475)</f>
        <v>5, 15, KRABBY</v>
      </c>
      <c r="C1475" s="1" t="str">
        <f aca="false" t="array" ref="C1475:C1475">IF(B1474="NEW ROUTE",textsplit(B1475,","),"")</f>
        <v/>
      </c>
      <c r="H1475" s="1" t="str">
        <f aca="false">IF(C1475&lt;&gt;"",DEC2HEX(C1475,2),"")</f>
        <v/>
      </c>
      <c r="I1475" s="1" t="str">
        <f aca="false">IF(D1475&lt;&gt;"",DEC2HEX(D1475,2),"")</f>
        <v/>
      </c>
      <c r="J1475" s="1" t="str">
        <f aca="false">IF(H1475&lt;&gt;"","0x"&amp;I1475&amp;H1475,"")</f>
        <v/>
      </c>
      <c r="L1475" s="1" t="s">
        <v>2847</v>
      </c>
      <c r="M1475" s="1" t="str">
        <f aca="false">IF(J1475&lt;&gt;"",J1475,L1475)</f>
        <v>5, 15, KRABBY</v>
      </c>
    </row>
    <row r="1476" customFormat="false" ht="12.75" hidden="false" customHeight="true" outlineLevel="0" collapsed="false">
      <c r="A1476" s="3" t="s">
        <v>2848</v>
      </c>
      <c r="B1476" s="3" t="str">
        <f aca="false">IF(ISNUMBER(SEARCH("%", A1476)),RIGHT(A1476,3),A1476)</f>
        <v>5, 15, MAGIKARP</v>
      </c>
      <c r="C1476" s="1" t="str">
        <f aca="false" t="array" ref="C1476:C1476">IF(B1475="NEW ROUTE",textsplit(B1476,","),"")</f>
        <v/>
      </c>
      <c r="H1476" s="1" t="str">
        <f aca="false">IF(C1476&lt;&gt;"",DEC2HEX(C1476,2),"")</f>
        <v/>
      </c>
      <c r="I1476" s="1" t="str">
        <f aca="false">IF(D1476&lt;&gt;"",DEC2HEX(D1476,2),"")</f>
        <v/>
      </c>
      <c r="J1476" s="1" t="str">
        <f aca="false">IF(H1476&lt;&gt;"","0x"&amp;I1476&amp;H1476,"")</f>
        <v/>
      </c>
      <c r="L1476" s="1" t="s">
        <v>2848</v>
      </c>
      <c r="M1476" s="1" t="str">
        <f aca="false">IF(J1476&lt;&gt;"",J1476,L1476)</f>
        <v>5, 15, MAGIKARP</v>
      </c>
    </row>
    <row r="1477" customFormat="false" ht="12.75" hidden="false" customHeight="true" outlineLevel="0" collapsed="false">
      <c r="A1477" s="3" t="s">
        <v>2847</v>
      </c>
      <c r="B1477" s="3" t="str">
        <f aca="false">IF(ISNUMBER(SEARCH("%", A1477)),RIGHT(A1477,3),A1477)</f>
        <v>5, 15, KRABBY</v>
      </c>
      <c r="C1477" s="1" t="str">
        <f aca="false" t="array" ref="C1477:C1477">IF(B1476="NEW ROUTE",textsplit(B1477,","),"")</f>
        <v/>
      </c>
      <c r="H1477" s="1" t="str">
        <f aca="false">IF(C1477&lt;&gt;"",DEC2HEX(C1477,2),"")</f>
        <v/>
      </c>
      <c r="I1477" s="1" t="str">
        <f aca="false">IF(D1477&lt;&gt;"",DEC2HEX(D1477,2),"")</f>
        <v/>
      </c>
      <c r="J1477" s="1" t="str">
        <f aca="false">IF(H1477&lt;&gt;"","0x"&amp;I1477&amp;H1477,"")</f>
        <v/>
      </c>
      <c r="L1477" s="1" t="s">
        <v>2847</v>
      </c>
      <c r="M1477" s="1" t="str">
        <f aca="false">IF(J1477&lt;&gt;"",J1477,L1477)</f>
        <v>5, 15, KRABBY</v>
      </c>
    </row>
    <row r="1478" customFormat="false" ht="12.75" hidden="false" customHeight="true" outlineLevel="0" collapsed="false">
      <c r="A1478" s="3" t="s">
        <v>2850</v>
      </c>
      <c r="B1478" s="3" t="str">
        <f aca="false">IF(ISNUMBER(SEARCH("%", A1478)),RIGHT(A1478,3),A1478)</f>
        <v>super rod:</v>
      </c>
      <c r="C1478" s="1" t="str">
        <f aca="false" t="array" ref="C1478:C1478">IF(B1477="NEW ROUTE",textsplit(B1478,","),"")</f>
        <v/>
      </c>
      <c r="H1478" s="1" t="str">
        <f aca="false">IF(C1478&lt;&gt;"",DEC2HEX(C1478,2),"")</f>
        <v/>
      </c>
      <c r="I1478" s="1" t="str">
        <f aca="false">IF(D1478&lt;&gt;"",DEC2HEX(D1478,2),"")</f>
        <v/>
      </c>
      <c r="J1478" s="1" t="str">
        <f aca="false">IF(H1478&lt;&gt;"","0x"&amp;I1478&amp;H1478,"")</f>
        <v/>
      </c>
      <c r="L1478" s="1" t="s">
        <v>2850</v>
      </c>
      <c r="M1478" s="1" t="str">
        <f aca="false">IF(J1478&lt;&gt;"",J1478,L1478)</f>
        <v>super rod:</v>
      </c>
    </row>
    <row r="1479" customFormat="false" ht="12.75" hidden="false" customHeight="true" outlineLevel="0" collapsed="false">
      <c r="A1479" s="3" t="s">
        <v>2851</v>
      </c>
      <c r="B1479" s="3" t="str">
        <f aca="false">IF(ISNUMBER(SEARCH("%", A1479)),RIGHT(A1479,3),A1479)</f>
        <v>15, 25, KRABBY</v>
      </c>
      <c r="C1479" s="1" t="str">
        <f aca="false" t="array" ref="C1479:C1479">IF(B1478="NEW ROUTE",textsplit(B1479,","),"")</f>
        <v/>
      </c>
      <c r="H1479" s="1" t="str">
        <f aca="false">IF(C1479&lt;&gt;"",DEC2HEX(C1479,2),"")</f>
        <v/>
      </c>
      <c r="I1479" s="1" t="str">
        <f aca="false">IF(D1479&lt;&gt;"",DEC2HEX(D1479,2),"")</f>
        <v/>
      </c>
      <c r="J1479" s="1" t="str">
        <f aca="false">IF(H1479&lt;&gt;"","0x"&amp;I1479&amp;H1479,"")</f>
        <v/>
      </c>
      <c r="L1479" s="1" t="s">
        <v>2851</v>
      </c>
      <c r="M1479" s="1" t="str">
        <f aca="false">IF(J1479&lt;&gt;"",J1479,L1479)</f>
        <v>15, 25, KRABBY</v>
      </c>
    </row>
    <row r="1480" customFormat="false" ht="12.75" hidden="false" customHeight="true" outlineLevel="0" collapsed="false">
      <c r="A1480" s="3" t="s">
        <v>2851</v>
      </c>
      <c r="B1480" s="3" t="str">
        <f aca="false">IF(ISNUMBER(SEARCH("%", A1480)),RIGHT(A1480,3),A1480)</f>
        <v>15, 25, KRABBY</v>
      </c>
      <c r="C1480" s="1" t="str">
        <f aca="false" t="array" ref="C1480:C1480">IF(B1479="NEW ROUTE",textsplit(B1480,","),"")</f>
        <v/>
      </c>
      <c r="H1480" s="1" t="str">
        <f aca="false">IF(C1480&lt;&gt;"",DEC2HEX(C1480,2),"")</f>
        <v/>
      </c>
      <c r="I1480" s="1" t="str">
        <f aca="false">IF(D1480&lt;&gt;"",DEC2HEX(D1480,2),"")</f>
        <v/>
      </c>
      <c r="J1480" s="1" t="str">
        <f aca="false">IF(H1480&lt;&gt;"","0x"&amp;I1480&amp;H1480,"")</f>
        <v/>
      </c>
      <c r="L1480" s="1" t="s">
        <v>2851</v>
      </c>
      <c r="M1480" s="1" t="str">
        <f aca="false">IF(J1480&lt;&gt;"",J1480,L1480)</f>
        <v>15, 25, KRABBY</v>
      </c>
    </row>
    <row r="1481" customFormat="false" ht="12.75" hidden="false" customHeight="true" outlineLevel="0" collapsed="false">
      <c r="A1481" s="3" t="s">
        <v>2853</v>
      </c>
      <c r="B1481" s="3" t="str">
        <f aca="false">IF(ISNUMBER(SEARCH("%", A1481)),RIGHT(A1481,3),A1481)</f>
        <v>15, 25, GYARADOS</v>
      </c>
      <c r="C1481" s="1" t="str">
        <f aca="false" t="array" ref="C1481:C1481">IF(B1480="NEW ROUTE",textsplit(B1481,","),"")</f>
        <v/>
      </c>
      <c r="H1481" s="1" t="str">
        <f aca="false">IF(C1481&lt;&gt;"",DEC2HEX(C1481,2),"")</f>
        <v/>
      </c>
      <c r="I1481" s="1" t="str">
        <f aca="false">IF(D1481&lt;&gt;"",DEC2HEX(D1481,2),"")</f>
        <v/>
      </c>
      <c r="J1481" s="1" t="str">
        <f aca="false">IF(H1481&lt;&gt;"","0x"&amp;I1481&amp;H1481,"")</f>
        <v/>
      </c>
      <c r="L1481" s="1" t="s">
        <v>2853</v>
      </c>
      <c r="M1481" s="1" t="str">
        <f aca="false">IF(J1481&lt;&gt;"",J1481,L1481)</f>
        <v>15, 25, GYARADOS</v>
      </c>
    </row>
    <row r="1482" customFormat="false" ht="12.75" hidden="false" customHeight="true" outlineLevel="0" collapsed="false">
      <c r="A1482" s="3" t="s">
        <v>3177</v>
      </c>
      <c r="B1482" s="3" t="str">
        <f aca="false">IF(ISNUMBER(SEARCH("%", A1482)),RIGHT(A1482,3),A1482)</f>
        <v>25, 35, KINGLER</v>
      </c>
      <c r="C1482" s="1" t="str">
        <f aca="false" t="array" ref="C1482:C1482">IF(B1481="NEW ROUTE",textsplit(B1482,","),"")</f>
        <v/>
      </c>
      <c r="H1482" s="1" t="str">
        <f aca="false">IF(C1482&lt;&gt;"",DEC2HEX(C1482,2),"")</f>
        <v/>
      </c>
      <c r="I1482" s="1" t="str">
        <f aca="false">IF(D1482&lt;&gt;"",DEC2HEX(D1482,2),"")</f>
        <v/>
      </c>
      <c r="J1482" s="1" t="str">
        <f aca="false">IF(H1482&lt;&gt;"","0x"&amp;I1482&amp;H1482,"")</f>
        <v/>
      </c>
      <c r="L1482" s="1" t="s">
        <v>3177</v>
      </c>
      <c r="M1482" s="1" t="str">
        <f aca="false">IF(J1482&lt;&gt;"",J1482,L1482)</f>
        <v>25, 35, KINGLER</v>
      </c>
    </row>
    <row r="1483" customFormat="false" ht="12.75" hidden="false" customHeight="true" outlineLevel="0" collapsed="false">
      <c r="A1483" s="3" t="s">
        <v>2855</v>
      </c>
      <c r="B1483" s="3" t="str">
        <f aca="false">IF(ISNUMBER(SEARCH("%", A1483)),RIGHT(A1483,3),A1483)</f>
        <v>25, 35, SLOWPOKE</v>
      </c>
      <c r="C1483" s="1" t="str">
        <f aca="false" t="array" ref="C1483:C1483">IF(B1482="NEW ROUTE",textsplit(B1483,","),"")</f>
        <v/>
      </c>
      <c r="H1483" s="1" t="str">
        <f aca="false">IF(C1483&lt;&gt;"",DEC2HEX(C1483,2),"")</f>
        <v/>
      </c>
      <c r="I1483" s="1" t="str">
        <f aca="false">IF(D1483&lt;&gt;"",DEC2HEX(D1483,2),"")</f>
        <v/>
      </c>
      <c r="J1483" s="1" t="str">
        <f aca="false">IF(H1483&lt;&gt;"","0x"&amp;I1483&amp;H1483,"")</f>
        <v/>
      </c>
      <c r="L1483" s="1" t="s">
        <v>2855</v>
      </c>
      <c r="M1483" s="1" t="str">
        <f aca="false">IF(J1483&lt;&gt;"",J1483,L1483)</f>
        <v>25, 35, SLOWPOKE</v>
      </c>
    </row>
    <row r="1484" customFormat="false" ht="12.75" hidden="false" customHeight="true" outlineLevel="0" collapsed="false">
      <c r="A1484" s="3" t="s">
        <v>2536</v>
      </c>
      <c r="B1484" s="3" t="str">
        <f aca="false">IF(ISNUMBER(SEARCH("%", A1484)),RIGHT(A1484,3),A1484)</f>
        <v>NEW ROUTE</v>
      </c>
      <c r="C1484" s="1" t="str">
        <f aca="false" t="array" ref="C1484:C1484">IF(B1483="NEW ROUTE",textsplit(B1484,","),"")</f>
        <v/>
      </c>
      <c r="H1484" s="1" t="str">
        <f aca="false">IF(C1484&lt;&gt;"",DEC2HEX(C1484,2),"")</f>
        <v/>
      </c>
      <c r="I1484" s="1" t="str">
        <f aca="false">IF(D1484&lt;&gt;"",DEC2HEX(D1484,2),"")</f>
        <v/>
      </c>
      <c r="J1484" s="1" t="str">
        <f aca="false">IF(H1484&lt;&gt;"","0x"&amp;I1484&amp;H1484,"")</f>
        <v/>
      </c>
      <c r="L1484" s="1" t="s">
        <v>2536</v>
      </c>
      <c r="M1484" s="1" t="str">
        <f aca="false">IF(J1484&lt;&gt;"",J1484,L1484)</f>
        <v>NEW ROUTE</v>
      </c>
    </row>
    <row r="1485" customFormat="false" ht="12.75" hidden="false" customHeight="true" outlineLevel="0" collapsed="false">
      <c r="A1485" s="3" t="s">
        <v>3234</v>
      </c>
      <c r="B1485" s="3" t="str">
        <f aca="false">IF(ISNUMBER(SEARCH("%", A1485)),RIGHT(A1485,3),A1485)</f>
        <v>3, 46, 0,</v>
      </c>
      <c r="C1485" s="1" t="e">
        <f aca="false" t="array" ref="C1485:C1485">IF(B1484="NEW ROUTE",textsplit(B1485,","),"")</f>
        <v>#NAME?</v>
      </c>
      <c r="H1485" s="1" t="e">
        <f aca="false">IF(C1485&lt;&gt;"",DEC2HEX(C1485,2),"")</f>
        <v>#NAME?</v>
      </c>
      <c r="I1485" s="1" t="str">
        <f aca="false">IF(D1485&lt;&gt;"",DEC2HEX(D1485,2),"")</f>
        <v/>
      </c>
      <c r="J1485" s="1" t="e">
        <f aca="false">IF(H1485&lt;&gt;"","0x"&amp;I1485&amp;H1485,"")</f>
        <v>#NAME?</v>
      </c>
      <c r="L1485" s="1" t="s">
        <v>3234</v>
      </c>
      <c r="M1485" s="1" t="e">
        <f aca="false">IF(J1485&lt;&gt;"",J1485,L1485)</f>
        <v>#NAME?</v>
      </c>
    </row>
    <row r="1486" customFormat="false" ht="12.75" hidden="false" customHeight="true" outlineLevel="0" collapsed="false">
      <c r="A1486" s="3" t="s">
        <v>2908</v>
      </c>
      <c r="B1486" s="3" t="str">
        <f aca="false">IF(ISNUMBER(SEARCH("%", A1486)),RIGHT(A1486,3),A1486)</f>
        <v>20%</v>
      </c>
      <c r="C1486" s="1" t="str">
        <f aca="false" t="array" ref="C1486:C1486">IF(B1485="NEW ROUTE",textsplit(B1486,","),"")</f>
        <v/>
      </c>
      <c r="H1486" s="1" t="str">
        <f aca="false">IF(C1486&lt;&gt;"",DEC2HEX(C1486,2),"")</f>
        <v/>
      </c>
      <c r="I1486" s="1" t="str">
        <f aca="false">IF(D1486&lt;&gt;"",DEC2HEX(D1486,2),"")</f>
        <v/>
      </c>
      <c r="J1486" s="1" t="str">
        <f aca="false">IF(H1486&lt;&gt;"","0x"&amp;I1486&amp;H1486,"")</f>
        <v/>
      </c>
      <c r="L1486" s="1" t="s">
        <v>2799</v>
      </c>
      <c r="M1486" s="1" t="str">
        <f aca="false">IF(J1486&lt;&gt;"",J1486,L1486)</f>
        <v>20%</v>
      </c>
    </row>
    <row r="1487" customFormat="false" ht="12.75" hidden="false" customHeight="true" outlineLevel="0" collapsed="false">
      <c r="A1487" s="3" t="s">
        <v>1666</v>
      </c>
      <c r="B1487" s="3" t="str">
        <f aca="false">IF(ISNUMBER(SEARCH("%", A1487)),RIGHT(A1487,3),A1487)</f>
        <v>32, 32, SPEAROW</v>
      </c>
      <c r="C1487" s="1" t="str">
        <f aca="false" t="array" ref="C1487:C1487">IF(B1486="NEW ROUTE",textsplit(B1487,","),"")</f>
        <v/>
      </c>
      <c r="H1487" s="1" t="str">
        <f aca="false">IF(C1487&lt;&gt;"",DEC2HEX(C1487,2),"")</f>
        <v/>
      </c>
      <c r="I1487" s="1" t="str">
        <f aca="false">IF(D1487&lt;&gt;"",DEC2HEX(D1487,2),"")</f>
        <v/>
      </c>
      <c r="J1487" s="1" t="str">
        <f aca="false">IF(H1487&lt;&gt;"","0x"&amp;I1487&amp;H1487,"")</f>
        <v/>
      </c>
      <c r="L1487" s="1" t="s">
        <v>1666</v>
      </c>
      <c r="M1487" s="1" t="str">
        <f aca="false">IF(J1487&lt;&gt;"",J1487,L1487)</f>
        <v>32, 32, SPEAROW</v>
      </c>
    </row>
    <row r="1488" customFormat="false" ht="12.75" hidden="false" customHeight="true" outlineLevel="0" collapsed="false">
      <c r="A1488" s="3" t="s">
        <v>3235</v>
      </c>
      <c r="B1488" s="3" t="str">
        <f aca="false">IF(ISNUMBER(SEARCH("%", A1488)),RIGHT(A1488,3),A1488)</f>
        <v>33, 33, TANGELA</v>
      </c>
      <c r="C1488" s="1" t="str">
        <f aca="false" t="array" ref="C1488:C1488">IF(B1487="NEW ROUTE",textsplit(B1488,","),"")</f>
        <v/>
      </c>
      <c r="H1488" s="1" t="str">
        <f aca="false">IF(C1488&lt;&gt;"",DEC2HEX(C1488,2),"")</f>
        <v/>
      </c>
      <c r="I1488" s="1" t="str">
        <f aca="false">IF(D1488&lt;&gt;"",DEC2HEX(D1488,2),"")</f>
        <v/>
      </c>
      <c r="J1488" s="1" t="str">
        <f aca="false">IF(H1488&lt;&gt;"","0x"&amp;I1488&amp;H1488,"")</f>
        <v/>
      </c>
      <c r="L1488" s="1" t="s">
        <v>3235</v>
      </c>
      <c r="M1488" s="1" t="str">
        <f aca="false">IF(J1488&lt;&gt;"",J1488,L1488)</f>
        <v>33, 33, TANGELA</v>
      </c>
    </row>
    <row r="1489" customFormat="false" ht="12.75" hidden="false" customHeight="true" outlineLevel="0" collapsed="false">
      <c r="A1489" s="3" t="s">
        <v>2801</v>
      </c>
      <c r="B1489" s="3" t="str">
        <f aca="false">IF(ISNUMBER(SEARCH("%", A1489)),RIGHT(A1489,3),A1489)</f>
        <v>0.1</v>
      </c>
      <c r="C1489" s="1" t="str">
        <f aca="false" t="array" ref="C1489:C1489">IF(B1488="NEW ROUTE",textsplit(B1489,","),"")</f>
        <v/>
      </c>
      <c r="H1489" s="1" t="str">
        <f aca="false">IF(C1489&lt;&gt;"",DEC2HEX(C1489,2),"")</f>
        <v/>
      </c>
      <c r="I1489" s="1" t="str">
        <f aca="false">IF(D1489&lt;&gt;"",DEC2HEX(D1489,2),"")</f>
        <v/>
      </c>
      <c r="J1489" s="1" t="str">
        <f aca="false">IF(H1489&lt;&gt;"","0x"&amp;I1489&amp;H1489,"")</f>
        <v/>
      </c>
      <c r="L1489" s="1" t="s">
        <v>2801</v>
      </c>
      <c r="M1489" s="1" t="str">
        <f aca="false">IF(J1489&lt;&gt;"",J1489,L1489)</f>
        <v>0.1</v>
      </c>
    </row>
    <row r="1490" customFormat="false" ht="12.75" hidden="false" customHeight="true" outlineLevel="0" collapsed="false">
      <c r="A1490" s="3" t="s">
        <v>1687</v>
      </c>
      <c r="B1490" s="3" t="str">
        <f aca="false">IF(ISNUMBER(SEARCH("%", A1490)),RIGHT(A1490,3),A1490)</f>
        <v>31, 31, SPEAROW</v>
      </c>
      <c r="C1490" s="1" t="str">
        <f aca="false" t="array" ref="C1490:C1490">IF(B1489="NEW ROUTE",textsplit(B1490,","),"")</f>
        <v/>
      </c>
      <c r="H1490" s="1" t="str">
        <f aca="false">IF(C1490&lt;&gt;"",DEC2HEX(C1490,2),"")</f>
        <v/>
      </c>
      <c r="I1490" s="1" t="str">
        <f aca="false">IF(D1490&lt;&gt;"",DEC2HEX(D1490,2),"")</f>
        <v/>
      </c>
      <c r="J1490" s="1" t="str">
        <f aca="false">IF(H1490&lt;&gt;"","0x"&amp;I1490&amp;H1490,"")</f>
        <v/>
      </c>
      <c r="L1490" s="1" t="s">
        <v>1687</v>
      </c>
      <c r="M1490" s="1" t="str">
        <f aca="false">IF(J1490&lt;&gt;"",J1490,L1490)</f>
        <v>31, 31, SPEAROW</v>
      </c>
    </row>
    <row r="1491" customFormat="false" ht="12.75" hidden="false" customHeight="true" outlineLevel="0" collapsed="false">
      <c r="A1491" s="3" t="s">
        <v>3236</v>
      </c>
      <c r="B1491" s="3" t="str">
        <f aca="false">IF(ISNUMBER(SEARCH("%", A1491)),RIGHT(A1491,3),A1491)</f>
        <v>35, 35, TANGELA</v>
      </c>
      <c r="C1491" s="1" t="str">
        <f aca="false" t="array" ref="C1491:C1491">IF(B1490="NEW ROUTE",textsplit(B1491,","),"")</f>
        <v/>
      </c>
      <c r="H1491" s="1" t="str">
        <f aca="false">IF(C1491&lt;&gt;"",DEC2HEX(C1491,2),"")</f>
        <v/>
      </c>
      <c r="I1491" s="1" t="str">
        <f aca="false">IF(D1491&lt;&gt;"",DEC2HEX(D1491,2),"")</f>
        <v/>
      </c>
      <c r="J1491" s="1" t="str">
        <f aca="false">IF(H1491&lt;&gt;"","0x"&amp;I1491&amp;H1491,"")</f>
        <v/>
      </c>
      <c r="L1491" s="1" t="s">
        <v>3236</v>
      </c>
      <c r="M1491" s="1" t="str">
        <f aca="false">IF(J1491&lt;&gt;"",J1491,L1491)</f>
        <v>35, 35, TANGELA</v>
      </c>
    </row>
    <row r="1492" customFormat="false" ht="12.75" hidden="false" customHeight="true" outlineLevel="0" collapsed="false">
      <c r="A1492" s="3" t="s">
        <v>3222</v>
      </c>
      <c r="B1492" s="3" t="str">
        <f aca="false">IF(ISNUMBER(SEARCH("%", A1492)),RIGHT(A1492,3),A1492)</f>
        <v>36, 36, FEAROW</v>
      </c>
      <c r="C1492" s="1" t="str">
        <f aca="false" t="array" ref="C1492:C1492">IF(B1491="NEW ROUTE",textsplit(B1492,","),"")</f>
        <v/>
      </c>
      <c r="H1492" s="1" t="str">
        <f aca="false">IF(C1492&lt;&gt;"",DEC2HEX(C1492,2),"")</f>
        <v/>
      </c>
      <c r="I1492" s="1" t="str">
        <f aca="false">IF(D1492&lt;&gt;"",DEC2HEX(D1492,2),"")</f>
        <v/>
      </c>
      <c r="J1492" s="1" t="str">
        <f aca="false">IF(H1492&lt;&gt;"","0x"&amp;I1492&amp;H1492,"")</f>
        <v/>
      </c>
      <c r="L1492" s="1" t="s">
        <v>3222</v>
      </c>
      <c r="M1492" s="1" t="str">
        <f aca="false">IF(J1492&lt;&gt;"",J1492,L1492)</f>
        <v>36, 36, FEAROW</v>
      </c>
    </row>
    <row r="1493" customFormat="false" ht="12.75" hidden="false" customHeight="true" outlineLevel="0" collapsed="false">
      <c r="A1493" s="3" t="s">
        <v>3224</v>
      </c>
      <c r="B1493" s="3" t="str">
        <f aca="false">IF(ISNUMBER(SEARCH("%", A1493)),RIGHT(A1493,3),A1493)</f>
        <v>31, 31, MEOWTH</v>
      </c>
      <c r="C1493" s="1" t="str">
        <f aca="false" t="array" ref="C1493:C1493">IF(B1492="NEW ROUTE",textsplit(B1493,","),"")</f>
        <v/>
      </c>
      <c r="H1493" s="1" t="str">
        <f aca="false">IF(C1493&lt;&gt;"",DEC2HEX(C1493,2),"")</f>
        <v/>
      </c>
      <c r="I1493" s="1" t="str">
        <f aca="false">IF(D1493&lt;&gt;"",DEC2HEX(D1493,2),"")</f>
        <v/>
      </c>
      <c r="J1493" s="1" t="str">
        <f aca="false">IF(H1493&lt;&gt;"","0x"&amp;I1493&amp;H1493,"")</f>
        <v/>
      </c>
      <c r="L1493" s="1" t="s">
        <v>3224</v>
      </c>
      <c r="M1493" s="1" t="str">
        <f aca="false">IF(J1493&lt;&gt;"",J1493,L1493)</f>
        <v>31, 31, MEOWTH</v>
      </c>
    </row>
    <row r="1494" customFormat="false" ht="12.75" hidden="false" customHeight="true" outlineLevel="0" collapsed="false">
      <c r="A1494" s="3" t="s">
        <v>2806</v>
      </c>
      <c r="B1494" s="3" t="str">
        <f aca="false">IF(ISNUMBER(SEARCH("%", A1494)),RIGHT(A1494,3),A1494)</f>
        <v>0.05</v>
      </c>
      <c r="C1494" s="1" t="str">
        <f aca="false" t="array" ref="C1494:C1494">IF(B1493="NEW ROUTE",textsplit(B1494,","),"")</f>
        <v/>
      </c>
      <c r="H1494" s="1" t="str">
        <f aca="false">IF(C1494&lt;&gt;"",DEC2HEX(C1494,2),"")</f>
        <v/>
      </c>
      <c r="I1494" s="1" t="str">
        <f aca="false">IF(D1494&lt;&gt;"",DEC2HEX(D1494,2),"")</f>
        <v/>
      </c>
      <c r="J1494" s="1" t="str">
        <f aca="false">IF(H1494&lt;&gt;"","0x"&amp;I1494&amp;H1494,"")</f>
        <v/>
      </c>
      <c r="L1494" s="1" t="s">
        <v>2806</v>
      </c>
      <c r="M1494" s="1" t="str">
        <f aca="false">IF(J1494&lt;&gt;"",J1494,L1494)</f>
        <v>0.05</v>
      </c>
    </row>
    <row r="1495" customFormat="false" ht="12.75" hidden="false" customHeight="true" outlineLevel="0" collapsed="false">
      <c r="A1495" s="3" t="s">
        <v>3070</v>
      </c>
      <c r="B1495" s="3" t="str">
        <f aca="false">IF(ISNUMBER(SEARCH("%", A1495)),RIGHT(A1495,3),A1495)</f>
        <v>38, 38, FEAROW</v>
      </c>
      <c r="C1495" s="1" t="str">
        <f aca="false" t="array" ref="C1495:C1495">IF(B1494="NEW ROUTE",textsplit(B1495,","),"")</f>
        <v/>
      </c>
      <c r="H1495" s="1" t="str">
        <f aca="false">IF(C1495&lt;&gt;"",DEC2HEX(C1495,2),"")</f>
        <v/>
      </c>
      <c r="I1495" s="1" t="str">
        <f aca="false">IF(D1495&lt;&gt;"",DEC2HEX(D1495,2),"")</f>
        <v/>
      </c>
      <c r="J1495" s="1" t="str">
        <f aca="false">IF(H1495&lt;&gt;"","0x"&amp;I1495&amp;H1495,"")</f>
        <v/>
      </c>
      <c r="L1495" s="1" t="s">
        <v>3070</v>
      </c>
      <c r="M1495" s="1" t="str">
        <f aca="false">IF(J1495&lt;&gt;"",J1495,L1495)</f>
        <v>38, 38, FEAROW</v>
      </c>
    </row>
    <row r="1496" customFormat="false" ht="12.75" hidden="false" customHeight="true" outlineLevel="0" collapsed="false">
      <c r="A1496" s="3" t="s">
        <v>3133</v>
      </c>
      <c r="B1496" s="3" t="str">
        <f aca="false">IF(ISNUMBER(SEARCH("%", A1496)),RIGHT(A1496,3),A1496)</f>
        <v>31, 31, SLOWPOKE</v>
      </c>
      <c r="C1496" s="1" t="str">
        <f aca="false" t="array" ref="C1496:C1496">IF(B1495="NEW ROUTE",textsplit(B1496,","),"")</f>
        <v/>
      </c>
      <c r="H1496" s="1" t="str">
        <f aca="false">IF(C1496&lt;&gt;"",DEC2HEX(C1496,2),"")</f>
        <v/>
      </c>
      <c r="I1496" s="1" t="str">
        <f aca="false">IF(D1496&lt;&gt;"",DEC2HEX(D1496,2),"")</f>
        <v/>
      </c>
      <c r="J1496" s="1" t="str">
        <f aca="false">IF(H1496&lt;&gt;"","0x"&amp;I1496&amp;H1496,"")</f>
        <v/>
      </c>
      <c r="L1496" s="1" t="s">
        <v>3133</v>
      </c>
      <c r="M1496" s="1" t="str">
        <f aca="false">IF(J1496&lt;&gt;"",J1496,L1496)</f>
        <v>31, 31, SLOWPOKE</v>
      </c>
    </row>
    <row r="1497" customFormat="false" ht="12.75" hidden="false" customHeight="true" outlineLevel="0" collapsed="false">
      <c r="A1497" s="3" t="s">
        <v>2809</v>
      </c>
      <c r="B1497" s="3" t="str">
        <f aca="false">IF(ISNUMBER(SEARCH("%", A1497)),RIGHT(A1497,3),A1497)</f>
        <v>0.04</v>
      </c>
      <c r="C1497" s="1" t="str">
        <f aca="false" t="array" ref="C1497:C1497">IF(B1496="NEW ROUTE",textsplit(B1497,","),"")</f>
        <v/>
      </c>
      <c r="H1497" s="1" t="str">
        <f aca="false">IF(C1497&lt;&gt;"",DEC2HEX(C1497,2),"")</f>
        <v/>
      </c>
      <c r="I1497" s="1" t="str">
        <f aca="false">IF(D1497&lt;&gt;"",DEC2HEX(D1497,2),"")</f>
        <v/>
      </c>
      <c r="J1497" s="1" t="str">
        <f aca="false">IF(H1497&lt;&gt;"","0x"&amp;I1497&amp;H1497,"")</f>
        <v/>
      </c>
      <c r="L1497" s="1" t="s">
        <v>2809</v>
      </c>
      <c r="M1497" s="1" t="str">
        <f aca="false">IF(J1497&lt;&gt;"",J1497,L1497)</f>
        <v>0.04</v>
      </c>
    </row>
    <row r="1498" customFormat="false" ht="12.75" hidden="false" customHeight="true" outlineLevel="0" collapsed="false">
      <c r="A1498" s="3" t="s">
        <v>3074</v>
      </c>
      <c r="B1498" s="3" t="str">
        <f aca="false">IF(ISNUMBER(SEARCH("%", A1498)),RIGHT(A1498,3),A1498)</f>
        <v>40, 40, FEAROW</v>
      </c>
      <c r="C1498" s="1" t="str">
        <f aca="false" t="array" ref="C1498:C1498">IF(B1497="NEW ROUTE",textsplit(B1498,","),"")</f>
        <v/>
      </c>
      <c r="H1498" s="1" t="str">
        <f aca="false">IF(C1498&lt;&gt;"",DEC2HEX(C1498,2),"")</f>
        <v/>
      </c>
      <c r="I1498" s="1" t="str">
        <f aca="false">IF(D1498&lt;&gt;"",DEC2HEX(D1498,2),"")</f>
        <v/>
      </c>
      <c r="J1498" s="1" t="str">
        <f aca="false">IF(H1498&lt;&gt;"","0x"&amp;I1498&amp;H1498,"")</f>
        <v/>
      </c>
      <c r="L1498" s="1" t="s">
        <v>3074</v>
      </c>
      <c r="M1498" s="1" t="str">
        <f aca="false">IF(J1498&lt;&gt;"",J1498,L1498)</f>
        <v>40, 40, FEAROW</v>
      </c>
    </row>
    <row r="1499" customFormat="false" ht="12.75" hidden="false" customHeight="true" outlineLevel="0" collapsed="false">
      <c r="A1499" s="3" t="s">
        <v>3228</v>
      </c>
      <c r="B1499" s="3" t="str">
        <f aca="false">IF(ISNUMBER(SEARCH("%", A1499)),RIGHT(A1499,3),A1499)</f>
        <v>37, 37, PERSIAN</v>
      </c>
      <c r="C1499" s="1" t="str">
        <f aca="false" t="array" ref="C1499:C1499">IF(B1498="NEW ROUTE",textsplit(B1499,","),"")</f>
        <v/>
      </c>
      <c r="H1499" s="1" t="str">
        <f aca="false">IF(C1499&lt;&gt;"",DEC2HEX(C1499,2),"")</f>
        <v/>
      </c>
      <c r="I1499" s="1" t="str">
        <f aca="false">IF(D1499&lt;&gt;"",DEC2HEX(D1499,2),"")</f>
        <v/>
      </c>
      <c r="J1499" s="1" t="str">
        <f aca="false">IF(H1499&lt;&gt;"","0x"&amp;I1499&amp;H1499,"")</f>
        <v/>
      </c>
      <c r="L1499" s="1" t="s">
        <v>3228</v>
      </c>
      <c r="M1499" s="1" t="str">
        <f aca="false">IF(J1499&lt;&gt;"",J1499,L1499)</f>
        <v>37, 37, PERSIAN</v>
      </c>
    </row>
    <row r="1500" customFormat="false" ht="12.75" hidden="false" customHeight="true" outlineLevel="0" collapsed="false">
      <c r="A1500" s="3" t="s">
        <v>2812</v>
      </c>
      <c r="B1500" s="3" t="str">
        <f aca="false">IF(ISNUMBER(SEARCH("%", A1500)),RIGHT(A1500,3),A1500)</f>
        <v>0.01</v>
      </c>
      <c r="C1500" s="1" t="str">
        <f aca="false" t="array" ref="C1500:C1500">IF(B1499="NEW ROUTE",textsplit(B1500,","),"")</f>
        <v/>
      </c>
      <c r="H1500" s="1" t="str">
        <f aca="false">IF(C1500&lt;&gt;"",DEC2HEX(C1500,2),"")</f>
        <v/>
      </c>
      <c r="I1500" s="1" t="str">
        <f aca="false">IF(D1500&lt;&gt;"",DEC2HEX(D1500,2),"")</f>
        <v/>
      </c>
      <c r="J1500" s="1" t="str">
        <f aca="false">IF(H1500&lt;&gt;"","0x"&amp;I1500&amp;H1500,"")</f>
        <v/>
      </c>
      <c r="L1500" s="1" t="s">
        <v>2812</v>
      </c>
      <c r="M1500" s="1" t="str">
        <f aca="false">IF(J1500&lt;&gt;"",J1500,L1500)</f>
        <v>0.01</v>
      </c>
    </row>
    <row r="1501" customFormat="false" ht="12.75" hidden="false" customHeight="true" outlineLevel="0" collapsed="false">
      <c r="A1501" s="3" t="s">
        <v>3074</v>
      </c>
      <c r="B1501" s="3" t="str">
        <f aca="false">IF(ISNUMBER(SEARCH("%", A1501)),RIGHT(A1501,3),A1501)</f>
        <v>40, 40, FEAROW</v>
      </c>
      <c r="C1501" s="1" t="str">
        <f aca="false" t="array" ref="C1501:C1501">IF(B1500="NEW ROUTE",textsplit(B1501,","),"")</f>
        <v/>
      </c>
      <c r="H1501" s="1" t="str">
        <f aca="false">IF(C1501&lt;&gt;"",DEC2HEX(C1501,2),"")</f>
        <v/>
      </c>
      <c r="I1501" s="1" t="str">
        <f aca="false">IF(D1501&lt;&gt;"",DEC2HEX(D1501,2),"")</f>
        <v/>
      </c>
      <c r="J1501" s="1" t="str">
        <f aca="false">IF(H1501&lt;&gt;"","0x"&amp;I1501&amp;H1501,"")</f>
        <v/>
      </c>
      <c r="L1501" s="1" t="s">
        <v>3074</v>
      </c>
      <c r="M1501" s="1" t="str">
        <f aca="false">IF(J1501&lt;&gt;"",J1501,L1501)</f>
        <v>40, 40, FEAROW</v>
      </c>
    </row>
    <row r="1502" customFormat="false" ht="12.75" hidden="false" customHeight="true" outlineLevel="0" collapsed="false">
      <c r="A1502" s="3" t="s">
        <v>3230</v>
      </c>
      <c r="B1502" s="3" t="str">
        <f aca="false">IF(ISNUMBER(SEARCH("%", A1502)),RIGHT(A1502,3),A1502)</f>
        <v>40, 40, PERSIAN</v>
      </c>
      <c r="C1502" s="1" t="str">
        <f aca="false" t="array" ref="C1502:C1502">IF(B1501="NEW ROUTE",textsplit(B1502,","),"")</f>
        <v/>
      </c>
      <c r="H1502" s="1" t="str">
        <f aca="false">IF(C1502&lt;&gt;"",DEC2HEX(C1502,2),"")</f>
        <v/>
      </c>
      <c r="I1502" s="1" t="str">
        <f aca="false">IF(D1502&lt;&gt;"",DEC2HEX(D1502,2),"")</f>
        <v/>
      </c>
      <c r="J1502" s="1" t="str">
        <f aca="false">IF(H1502&lt;&gt;"","0x"&amp;I1502&amp;H1502,"")</f>
        <v/>
      </c>
      <c r="L1502" s="1" t="s">
        <v>3230</v>
      </c>
      <c r="M1502" s="1" t="str">
        <f aca="false">IF(J1502&lt;&gt;"",J1502,L1502)</f>
        <v>40, 40, PERSIAN</v>
      </c>
    </row>
    <row r="1503" customFormat="false" ht="12.75" hidden="false" customHeight="true" outlineLevel="0" collapsed="false">
      <c r="A1503" s="3" t="s">
        <v>3172</v>
      </c>
      <c r="B1503" s="3" t="str">
        <f aca="false">IF(ISNUMBER(SEARCH("%", A1503)),RIGHT(A1503,3),A1503)</f>
        <v>2, 5, 20, TENTACOOL</v>
      </c>
      <c r="C1503" s="1" t="str">
        <f aca="false" t="array" ref="C1503:C1503">IF(B1502="NEW ROUTE",textsplit(B1503,","),"")</f>
        <v/>
      </c>
      <c r="H1503" s="1" t="str">
        <f aca="false">IF(C1503&lt;&gt;"",DEC2HEX(C1503,2),"")</f>
        <v/>
      </c>
      <c r="I1503" s="1" t="str">
        <f aca="false">IF(D1503&lt;&gt;"",DEC2HEX(D1503,2),"")</f>
        <v/>
      </c>
      <c r="J1503" s="1" t="str">
        <f aca="false">IF(H1503&lt;&gt;"","0x"&amp;I1503&amp;H1503,"")</f>
        <v/>
      </c>
      <c r="L1503" s="1" t="s">
        <v>3172</v>
      </c>
      <c r="M1503" s="1" t="str">
        <f aca="false">IF(J1503&lt;&gt;"",J1503,L1503)</f>
        <v>2, 5, 20, TENTACOOL</v>
      </c>
    </row>
    <row r="1504" customFormat="false" ht="12.75" hidden="false" customHeight="true" outlineLevel="0" collapsed="false">
      <c r="A1504" s="3" t="s">
        <v>3173</v>
      </c>
      <c r="B1504" s="3" t="str">
        <f aca="false">IF(ISNUMBER(SEARCH("%", A1504)),RIGHT(A1504,3),A1504)</f>
        <v>20, 35, TENTACOOL</v>
      </c>
      <c r="C1504" s="1" t="str">
        <f aca="false" t="array" ref="C1504:C1504">IF(B1503="NEW ROUTE",textsplit(B1504,","),"")</f>
        <v/>
      </c>
      <c r="H1504" s="1" t="str">
        <f aca="false">IF(C1504&lt;&gt;"",DEC2HEX(C1504,2),"")</f>
        <v/>
      </c>
      <c r="I1504" s="1" t="str">
        <f aca="false">IF(D1504&lt;&gt;"",DEC2HEX(D1504,2),"")</f>
        <v/>
      </c>
      <c r="J1504" s="1" t="str">
        <f aca="false">IF(H1504&lt;&gt;"","0x"&amp;I1504&amp;H1504,"")</f>
        <v/>
      </c>
      <c r="L1504" s="1" t="s">
        <v>3173</v>
      </c>
      <c r="M1504" s="1" t="str">
        <f aca="false">IF(J1504&lt;&gt;"",J1504,L1504)</f>
        <v>20, 35, TENTACOOL</v>
      </c>
    </row>
    <row r="1505" customFormat="false" ht="12.75" hidden="false" customHeight="true" outlineLevel="0" collapsed="false">
      <c r="A1505" s="3" t="s">
        <v>2844</v>
      </c>
      <c r="B1505" s="3" t="str">
        <f aca="false">IF(ISNUMBER(SEARCH("%", A1505)),RIGHT(A1505,3),A1505)</f>
        <v>35, 40, TENTACOOL</v>
      </c>
      <c r="C1505" s="1" t="str">
        <f aca="false" t="array" ref="C1505:C1505">IF(B1504="NEW ROUTE",textsplit(B1505,","),"")</f>
        <v/>
      </c>
      <c r="H1505" s="1" t="str">
        <f aca="false">IF(C1505&lt;&gt;"",DEC2HEX(C1505,2),"")</f>
        <v/>
      </c>
      <c r="I1505" s="1" t="str">
        <f aca="false">IF(D1505&lt;&gt;"",DEC2HEX(D1505,2),"")</f>
        <v/>
      </c>
      <c r="J1505" s="1" t="str">
        <f aca="false">IF(H1505&lt;&gt;"","0x"&amp;I1505&amp;H1505,"")</f>
        <v/>
      </c>
      <c r="L1505" s="1" t="s">
        <v>2844</v>
      </c>
      <c r="M1505" s="1" t="str">
        <f aca="false">IF(J1505&lt;&gt;"",J1505,L1505)</f>
        <v>35, 40, TENTACOOL</v>
      </c>
    </row>
    <row r="1506" customFormat="false" ht="12.75" hidden="false" customHeight="true" outlineLevel="0" collapsed="false">
      <c r="A1506" s="3" t="s">
        <v>3231</v>
      </c>
      <c r="B1506" s="3" t="str">
        <f aca="false">IF(ISNUMBER(SEARCH("%", A1506)),RIGHT(A1506,3),A1506)</f>
        <v>35, 40, TENTACRUEL</v>
      </c>
      <c r="C1506" s="1" t="str">
        <f aca="false" t="array" ref="C1506:C1506">IF(B1505="NEW ROUTE",textsplit(B1506,","),"")</f>
        <v/>
      </c>
      <c r="H1506" s="1" t="str">
        <f aca="false">IF(C1506&lt;&gt;"",DEC2HEX(C1506,2),"")</f>
        <v/>
      </c>
      <c r="I1506" s="1" t="str">
        <f aca="false">IF(D1506&lt;&gt;"",DEC2HEX(D1506,2),"")</f>
        <v/>
      </c>
      <c r="J1506" s="1" t="str">
        <f aca="false">IF(H1506&lt;&gt;"","0x"&amp;I1506&amp;H1506,"")</f>
        <v/>
      </c>
      <c r="L1506" s="1" t="s">
        <v>3231</v>
      </c>
      <c r="M1506" s="1" t="str">
        <f aca="false">IF(J1506&lt;&gt;"",J1506,L1506)</f>
        <v>35, 40, TENTACRUEL</v>
      </c>
    </row>
    <row r="1507" customFormat="false" ht="12.75" hidden="false" customHeight="true" outlineLevel="0" collapsed="false">
      <c r="A1507" s="3" t="s">
        <v>3231</v>
      </c>
      <c r="B1507" s="3" t="str">
        <f aca="false">IF(ISNUMBER(SEARCH("%", A1507)),RIGHT(A1507,3),A1507)</f>
        <v>35, 40, TENTACRUEL</v>
      </c>
      <c r="C1507" s="1" t="str">
        <f aca="false" t="array" ref="C1507:C1507">IF(B1506="NEW ROUTE",textsplit(B1507,","),"")</f>
        <v/>
      </c>
      <c r="H1507" s="1" t="str">
        <f aca="false">IF(C1507&lt;&gt;"",DEC2HEX(C1507,2),"")</f>
        <v/>
      </c>
      <c r="I1507" s="1" t="str">
        <f aca="false">IF(D1507&lt;&gt;"",DEC2HEX(D1507,2),"")</f>
        <v/>
      </c>
      <c r="J1507" s="1" t="str">
        <f aca="false">IF(H1507&lt;&gt;"","0x"&amp;I1507&amp;H1507,"")</f>
        <v/>
      </c>
      <c r="L1507" s="1" t="s">
        <v>3231</v>
      </c>
      <c r="M1507" s="1" t="str">
        <f aca="false">IF(J1507&lt;&gt;"",J1507,L1507)</f>
        <v>35, 40, TENTACRUEL</v>
      </c>
    </row>
    <row r="1508" customFormat="false" ht="12.75" hidden="false" customHeight="true" outlineLevel="0" collapsed="false">
      <c r="A1508" s="3" t="s">
        <v>2925</v>
      </c>
      <c r="B1508" s="3" t="str">
        <f aca="false">IF(ISNUMBER(SEARCH("%", A1508)),RIGHT(A1508,3),A1508)</f>
        <v>20, old rod:</v>
      </c>
      <c r="C1508" s="1" t="str">
        <f aca="false" t="array" ref="C1508:C1508">IF(B1507="NEW ROUTE",textsplit(B1508,","),"")</f>
        <v/>
      </c>
      <c r="H1508" s="1" t="str">
        <f aca="false">IF(C1508&lt;&gt;"",DEC2HEX(C1508,2),"")</f>
        <v/>
      </c>
      <c r="I1508" s="1" t="str">
        <f aca="false">IF(D1508&lt;&gt;"",DEC2HEX(D1508,2),"")</f>
        <v/>
      </c>
      <c r="J1508" s="1" t="str">
        <f aca="false">IF(H1508&lt;&gt;"","0x"&amp;I1508&amp;H1508,"")</f>
        <v/>
      </c>
      <c r="L1508" s="1" t="s">
        <v>2925</v>
      </c>
      <c r="M1508" s="1" t="str">
        <f aca="false">IF(J1508&lt;&gt;"",J1508,L1508)</f>
        <v>20, old rod:</v>
      </c>
    </row>
    <row r="1509" customFormat="false" ht="12.75" hidden="false" customHeight="true" outlineLevel="0" collapsed="false">
      <c r="A1509" s="3" t="s">
        <v>1266</v>
      </c>
      <c r="B1509" s="3" t="str">
        <f aca="false">IF(ISNUMBER(SEARCH("%", A1509)),RIGHT(A1509,3),A1509)</f>
        <v>5, 5, MAGIKARP</v>
      </c>
      <c r="C1509" s="1" t="str">
        <f aca="false" t="array" ref="C1509:C1509">IF(B1508="NEW ROUTE",textsplit(B1509,","),"")</f>
        <v/>
      </c>
      <c r="H1509" s="1" t="str">
        <f aca="false">IF(C1509&lt;&gt;"",DEC2HEX(C1509,2),"")</f>
        <v/>
      </c>
      <c r="I1509" s="1" t="str">
        <f aca="false">IF(D1509&lt;&gt;"",DEC2HEX(D1509,2),"")</f>
        <v/>
      </c>
      <c r="J1509" s="1" t="str">
        <f aca="false">IF(H1509&lt;&gt;"","0x"&amp;I1509&amp;H1509,"")</f>
        <v/>
      </c>
      <c r="L1509" s="1" t="s">
        <v>1266</v>
      </c>
      <c r="M1509" s="1" t="str">
        <f aca="false">IF(J1509&lt;&gt;"",J1509,L1509)</f>
        <v>5, 5, MAGIKARP</v>
      </c>
    </row>
    <row r="1510" customFormat="false" ht="12.75" hidden="false" customHeight="true" outlineLevel="0" collapsed="false">
      <c r="A1510" s="3" t="s">
        <v>1266</v>
      </c>
      <c r="B1510" s="3" t="str">
        <f aca="false">IF(ISNUMBER(SEARCH("%", A1510)),RIGHT(A1510,3),A1510)</f>
        <v>5, 5, MAGIKARP</v>
      </c>
      <c r="C1510" s="1" t="str">
        <f aca="false" t="array" ref="C1510:C1510">IF(B1509="NEW ROUTE",textsplit(B1510,","),"")</f>
        <v/>
      </c>
      <c r="H1510" s="1" t="str">
        <f aca="false">IF(C1510&lt;&gt;"",DEC2HEX(C1510,2),"")</f>
        <v/>
      </c>
      <c r="I1510" s="1" t="str">
        <f aca="false">IF(D1510&lt;&gt;"",DEC2HEX(D1510,2),"")</f>
        <v/>
      </c>
      <c r="J1510" s="1" t="str">
        <f aca="false">IF(H1510&lt;&gt;"","0x"&amp;I1510&amp;H1510,"")</f>
        <v/>
      </c>
      <c r="L1510" s="1" t="s">
        <v>1266</v>
      </c>
      <c r="M1510" s="1" t="str">
        <f aca="false">IF(J1510&lt;&gt;"",J1510,L1510)</f>
        <v>5, 5, MAGIKARP</v>
      </c>
    </row>
    <row r="1511" customFormat="false" ht="12.75" hidden="false" customHeight="true" outlineLevel="0" collapsed="false">
      <c r="A1511" s="3" t="s">
        <v>2846</v>
      </c>
      <c r="B1511" s="3" t="str">
        <f aca="false">IF(ISNUMBER(SEARCH("%", A1511)),RIGHT(A1511,3),A1511)</f>
        <v>good rod:</v>
      </c>
      <c r="C1511" s="1" t="str">
        <f aca="false" t="array" ref="C1511:C1511">IF(B1510="NEW ROUTE",textsplit(B1511,","),"")</f>
        <v/>
      </c>
      <c r="H1511" s="1" t="str">
        <f aca="false">IF(C1511&lt;&gt;"",DEC2HEX(C1511,2),"")</f>
        <v/>
      </c>
      <c r="I1511" s="1" t="str">
        <f aca="false">IF(D1511&lt;&gt;"",DEC2HEX(D1511,2),"")</f>
        <v/>
      </c>
      <c r="J1511" s="1" t="str">
        <f aca="false">IF(H1511&lt;&gt;"","0x"&amp;I1511&amp;H1511,"")</f>
        <v/>
      </c>
      <c r="L1511" s="1" t="s">
        <v>2846</v>
      </c>
      <c r="M1511" s="1" t="str">
        <f aca="false">IF(J1511&lt;&gt;"",J1511,L1511)</f>
        <v>good rod:</v>
      </c>
    </row>
    <row r="1512" customFormat="false" ht="12.75" hidden="false" customHeight="true" outlineLevel="0" collapsed="false">
      <c r="A1512" s="3" t="s">
        <v>2847</v>
      </c>
      <c r="B1512" s="3" t="str">
        <f aca="false">IF(ISNUMBER(SEARCH("%", A1512)),RIGHT(A1512,3),A1512)</f>
        <v>5, 15, KRABBY</v>
      </c>
      <c r="C1512" s="1" t="str">
        <f aca="false" t="array" ref="C1512:C1512">IF(B1511="NEW ROUTE",textsplit(B1512,","),"")</f>
        <v/>
      </c>
      <c r="H1512" s="1" t="str">
        <f aca="false">IF(C1512&lt;&gt;"",DEC2HEX(C1512,2),"")</f>
        <v/>
      </c>
      <c r="I1512" s="1" t="str">
        <f aca="false">IF(D1512&lt;&gt;"",DEC2HEX(D1512,2),"")</f>
        <v/>
      </c>
      <c r="J1512" s="1" t="str">
        <f aca="false">IF(H1512&lt;&gt;"","0x"&amp;I1512&amp;H1512,"")</f>
        <v/>
      </c>
      <c r="L1512" s="1" t="s">
        <v>2847</v>
      </c>
      <c r="M1512" s="1" t="str">
        <f aca="false">IF(J1512&lt;&gt;"",J1512,L1512)</f>
        <v>5, 15, KRABBY</v>
      </c>
    </row>
    <row r="1513" customFormat="false" ht="12.75" hidden="false" customHeight="true" outlineLevel="0" collapsed="false">
      <c r="A1513" s="3" t="s">
        <v>2848</v>
      </c>
      <c r="B1513" s="3" t="str">
        <f aca="false">IF(ISNUMBER(SEARCH("%", A1513)),RIGHT(A1513,3),A1513)</f>
        <v>5, 15, MAGIKARP</v>
      </c>
      <c r="C1513" s="1" t="str">
        <f aca="false" t="array" ref="C1513:C1513">IF(B1512="NEW ROUTE",textsplit(B1513,","),"")</f>
        <v/>
      </c>
      <c r="H1513" s="1" t="str">
        <f aca="false">IF(C1513&lt;&gt;"",DEC2HEX(C1513,2),"")</f>
        <v/>
      </c>
      <c r="I1513" s="1" t="str">
        <f aca="false">IF(D1513&lt;&gt;"",DEC2HEX(D1513,2),"")</f>
        <v/>
      </c>
      <c r="J1513" s="1" t="str">
        <f aca="false">IF(H1513&lt;&gt;"","0x"&amp;I1513&amp;H1513,"")</f>
        <v/>
      </c>
      <c r="L1513" s="1" t="s">
        <v>2848</v>
      </c>
      <c r="M1513" s="1" t="str">
        <f aca="false">IF(J1513&lt;&gt;"",J1513,L1513)</f>
        <v>5, 15, MAGIKARP</v>
      </c>
    </row>
    <row r="1514" customFormat="false" ht="12.75" hidden="false" customHeight="true" outlineLevel="0" collapsed="false">
      <c r="A1514" s="3" t="s">
        <v>2847</v>
      </c>
      <c r="B1514" s="3" t="str">
        <f aca="false">IF(ISNUMBER(SEARCH("%", A1514)),RIGHT(A1514,3),A1514)</f>
        <v>5, 15, KRABBY</v>
      </c>
      <c r="C1514" s="1" t="str">
        <f aca="false" t="array" ref="C1514:C1514">IF(B1513="NEW ROUTE",textsplit(B1514,","),"")</f>
        <v/>
      </c>
      <c r="H1514" s="1" t="str">
        <f aca="false">IF(C1514&lt;&gt;"",DEC2HEX(C1514,2),"")</f>
        <v/>
      </c>
      <c r="I1514" s="1" t="str">
        <f aca="false">IF(D1514&lt;&gt;"",DEC2HEX(D1514,2),"")</f>
        <v/>
      </c>
      <c r="J1514" s="1" t="str">
        <f aca="false">IF(H1514&lt;&gt;"","0x"&amp;I1514&amp;H1514,"")</f>
        <v/>
      </c>
      <c r="L1514" s="1" t="s">
        <v>2847</v>
      </c>
      <c r="M1514" s="1" t="str">
        <f aca="false">IF(J1514&lt;&gt;"",J1514,L1514)</f>
        <v>5, 15, KRABBY</v>
      </c>
    </row>
    <row r="1515" customFormat="false" ht="12.75" hidden="false" customHeight="true" outlineLevel="0" collapsed="false">
      <c r="A1515" s="3" t="s">
        <v>2850</v>
      </c>
      <c r="B1515" s="3" t="str">
        <f aca="false">IF(ISNUMBER(SEARCH("%", A1515)),RIGHT(A1515,3),A1515)</f>
        <v>super rod:</v>
      </c>
      <c r="C1515" s="1" t="str">
        <f aca="false" t="array" ref="C1515:C1515">IF(B1514="NEW ROUTE",textsplit(B1515,","),"")</f>
        <v/>
      </c>
      <c r="H1515" s="1" t="str">
        <f aca="false">IF(C1515&lt;&gt;"",DEC2HEX(C1515,2),"")</f>
        <v/>
      </c>
      <c r="I1515" s="1" t="str">
        <f aca="false">IF(D1515&lt;&gt;"",DEC2HEX(D1515,2),"")</f>
        <v/>
      </c>
      <c r="J1515" s="1" t="str">
        <f aca="false">IF(H1515&lt;&gt;"","0x"&amp;I1515&amp;H1515,"")</f>
        <v/>
      </c>
      <c r="L1515" s="1" t="s">
        <v>2850</v>
      </c>
      <c r="M1515" s="1" t="str">
        <f aca="false">IF(J1515&lt;&gt;"",J1515,L1515)</f>
        <v>super rod:</v>
      </c>
    </row>
    <row r="1516" customFormat="false" ht="12.75" hidden="false" customHeight="true" outlineLevel="0" collapsed="false">
      <c r="A1516" s="3" t="s">
        <v>2851</v>
      </c>
      <c r="B1516" s="3" t="str">
        <f aca="false">IF(ISNUMBER(SEARCH("%", A1516)),RIGHT(A1516,3),A1516)</f>
        <v>15, 25, KRABBY</v>
      </c>
      <c r="C1516" s="1" t="str">
        <f aca="false" t="array" ref="C1516:C1516">IF(B1515="NEW ROUTE",textsplit(B1516,","),"")</f>
        <v/>
      </c>
      <c r="H1516" s="1" t="str">
        <f aca="false">IF(C1516&lt;&gt;"",DEC2HEX(C1516,2),"")</f>
        <v/>
      </c>
      <c r="I1516" s="1" t="str">
        <f aca="false">IF(D1516&lt;&gt;"",DEC2HEX(D1516,2),"")</f>
        <v/>
      </c>
      <c r="J1516" s="1" t="str">
        <f aca="false">IF(H1516&lt;&gt;"","0x"&amp;I1516&amp;H1516,"")</f>
        <v/>
      </c>
      <c r="L1516" s="1" t="s">
        <v>2851</v>
      </c>
      <c r="M1516" s="1" t="str">
        <f aca="false">IF(J1516&lt;&gt;"",J1516,L1516)</f>
        <v>15, 25, KRABBY</v>
      </c>
    </row>
    <row r="1517" customFormat="false" ht="12.75" hidden="false" customHeight="true" outlineLevel="0" collapsed="false">
      <c r="A1517" s="3" t="s">
        <v>2851</v>
      </c>
      <c r="B1517" s="3" t="str">
        <f aca="false">IF(ISNUMBER(SEARCH("%", A1517)),RIGHT(A1517,3),A1517)</f>
        <v>15, 25, KRABBY</v>
      </c>
      <c r="C1517" s="1" t="str">
        <f aca="false" t="array" ref="C1517:C1517">IF(B1516="NEW ROUTE",textsplit(B1517,","),"")</f>
        <v/>
      </c>
      <c r="H1517" s="1" t="str">
        <f aca="false">IF(C1517&lt;&gt;"",DEC2HEX(C1517,2),"")</f>
        <v/>
      </c>
      <c r="I1517" s="1" t="str">
        <f aca="false">IF(D1517&lt;&gt;"",DEC2HEX(D1517,2),"")</f>
        <v/>
      </c>
      <c r="J1517" s="1" t="str">
        <f aca="false">IF(H1517&lt;&gt;"","0x"&amp;I1517&amp;H1517,"")</f>
        <v/>
      </c>
      <c r="L1517" s="1" t="s">
        <v>2851</v>
      </c>
      <c r="M1517" s="1" t="str">
        <f aca="false">IF(J1517&lt;&gt;"",J1517,L1517)</f>
        <v>15, 25, KRABBY</v>
      </c>
    </row>
    <row r="1518" customFormat="false" ht="12.75" hidden="false" customHeight="true" outlineLevel="0" collapsed="false">
      <c r="A1518" s="3" t="s">
        <v>2853</v>
      </c>
      <c r="B1518" s="3" t="str">
        <f aca="false">IF(ISNUMBER(SEARCH("%", A1518)),RIGHT(A1518,3),A1518)</f>
        <v>15, 25, GYARADOS</v>
      </c>
      <c r="C1518" s="1" t="str">
        <f aca="false" t="array" ref="C1518:C1518">IF(B1517="NEW ROUTE",textsplit(B1518,","),"")</f>
        <v/>
      </c>
      <c r="H1518" s="1" t="str">
        <f aca="false">IF(C1518&lt;&gt;"",DEC2HEX(C1518,2),"")</f>
        <v/>
      </c>
      <c r="I1518" s="1" t="str">
        <f aca="false">IF(D1518&lt;&gt;"",DEC2HEX(D1518,2),"")</f>
        <v/>
      </c>
      <c r="J1518" s="1" t="str">
        <f aca="false">IF(H1518&lt;&gt;"","0x"&amp;I1518&amp;H1518,"")</f>
        <v/>
      </c>
      <c r="L1518" s="1" t="s">
        <v>2853</v>
      </c>
      <c r="M1518" s="1" t="str">
        <f aca="false">IF(J1518&lt;&gt;"",J1518,L1518)</f>
        <v>15, 25, GYARADOS</v>
      </c>
    </row>
    <row r="1519" customFormat="false" ht="12.75" hidden="false" customHeight="true" outlineLevel="0" collapsed="false">
      <c r="A1519" s="3" t="s">
        <v>3177</v>
      </c>
      <c r="B1519" s="3" t="str">
        <f aca="false">IF(ISNUMBER(SEARCH("%", A1519)),RIGHT(A1519,3),A1519)</f>
        <v>25, 35, KINGLER</v>
      </c>
      <c r="C1519" s="1" t="str">
        <f aca="false" t="array" ref="C1519:C1519">IF(B1518="NEW ROUTE",textsplit(B1519,","),"")</f>
        <v/>
      </c>
      <c r="H1519" s="1" t="str">
        <f aca="false">IF(C1519&lt;&gt;"",DEC2HEX(C1519,2),"")</f>
        <v/>
      </c>
      <c r="I1519" s="1" t="str">
        <f aca="false">IF(D1519&lt;&gt;"",DEC2HEX(D1519,2),"")</f>
        <v/>
      </c>
      <c r="J1519" s="1" t="str">
        <f aca="false">IF(H1519&lt;&gt;"","0x"&amp;I1519&amp;H1519,"")</f>
        <v/>
      </c>
      <c r="L1519" s="1" t="s">
        <v>3177</v>
      </c>
      <c r="M1519" s="1" t="str">
        <f aca="false">IF(J1519&lt;&gt;"",J1519,L1519)</f>
        <v>25, 35, KINGLER</v>
      </c>
    </row>
    <row r="1520" customFormat="false" ht="12.75" hidden="false" customHeight="true" outlineLevel="0" collapsed="false">
      <c r="A1520" s="3" t="s">
        <v>2855</v>
      </c>
      <c r="B1520" s="3" t="str">
        <f aca="false">IF(ISNUMBER(SEARCH("%", A1520)),RIGHT(A1520,3),A1520)</f>
        <v>25, 35, SLOWPOKE</v>
      </c>
      <c r="C1520" s="1" t="str">
        <f aca="false" t="array" ref="C1520:C1520">IF(B1519="NEW ROUTE",textsplit(B1520,","),"")</f>
        <v/>
      </c>
      <c r="H1520" s="1" t="str">
        <f aca="false">IF(C1520&lt;&gt;"",DEC2HEX(C1520,2),"")</f>
        <v/>
      </c>
      <c r="I1520" s="1" t="str">
        <f aca="false">IF(D1520&lt;&gt;"",DEC2HEX(D1520,2),"")</f>
        <v/>
      </c>
      <c r="J1520" s="1" t="str">
        <f aca="false">IF(H1520&lt;&gt;"","0x"&amp;I1520&amp;H1520,"")</f>
        <v/>
      </c>
      <c r="L1520" s="1" t="s">
        <v>2855</v>
      </c>
      <c r="M1520" s="1" t="str">
        <f aca="false">IF(J1520&lt;&gt;"",J1520,L1520)</f>
        <v>25, 35, SLOWPOKE</v>
      </c>
    </row>
    <row r="1521" customFormat="false" ht="12.75" hidden="false" customHeight="true" outlineLevel="0" collapsed="false">
      <c r="A1521" s="3" t="s">
        <v>2536</v>
      </c>
      <c r="B1521" s="3" t="str">
        <f aca="false">IF(ISNUMBER(SEARCH("%", A1521)),RIGHT(A1521,3),A1521)</f>
        <v>NEW ROUTE</v>
      </c>
      <c r="C1521" s="1" t="str">
        <f aca="false" t="array" ref="C1521:C1521">IF(B1520="NEW ROUTE",textsplit(B1521,","),"")</f>
        <v/>
      </c>
      <c r="H1521" s="1" t="str">
        <f aca="false">IF(C1521&lt;&gt;"",DEC2HEX(C1521,2),"")</f>
        <v/>
      </c>
      <c r="I1521" s="1" t="str">
        <f aca="false">IF(D1521&lt;&gt;"",DEC2HEX(D1521,2),"")</f>
        <v/>
      </c>
      <c r="J1521" s="1" t="str">
        <f aca="false">IF(H1521&lt;&gt;"","0x"&amp;I1521&amp;H1521,"")</f>
        <v/>
      </c>
      <c r="L1521" s="1" t="s">
        <v>2536</v>
      </c>
      <c r="M1521" s="1" t="str">
        <f aca="false">IF(J1521&lt;&gt;"",J1521,L1521)</f>
        <v>NEW ROUTE</v>
      </c>
    </row>
    <row r="1522" customFormat="false" ht="12.75" hidden="false" customHeight="true" outlineLevel="0" collapsed="false">
      <c r="A1522" s="3" t="s">
        <v>3237</v>
      </c>
      <c r="B1522" s="3" t="str">
        <f aca="false">IF(ISNUMBER(SEARCH("%", A1522)),RIGHT(A1522,3),A1522)</f>
        <v>3, 47, 0,</v>
      </c>
      <c r="C1522" s="1" t="e">
        <f aca="false" t="array" ref="C1522:C1522">IF(B1521="NEW ROUTE",textsplit(B1522,","),"")</f>
        <v>#NAME?</v>
      </c>
      <c r="H1522" s="1" t="e">
        <f aca="false">IF(C1522&lt;&gt;"",DEC2HEX(C1522,2),"")</f>
        <v>#NAME?</v>
      </c>
      <c r="I1522" s="1" t="str">
        <f aca="false">IF(D1522&lt;&gt;"",DEC2HEX(D1522,2),"")</f>
        <v/>
      </c>
      <c r="J1522" s="1" t="e">
        <f aca="false">IF(H1522&lt;&gt;"","0x"&amp;I1522&amp;H1522,"")</f>
        <v>#NAME?</v>
      </c>
      <c r="L1522" s="1" t="s">
        <v>3237</v>
      </c>
      <c r="M1522" s="1" t="e">
        <f aca="false">IF(J1522&lt;&gt;"",J1522,L1522)</f>
        <v>#NAME?</v>
      </c>
    </row>
    <row r="1523" customFormat="false" ht="12.75" hidden="false" customHeight="true" outlineLevel="0" collapsed="false">
      <c r="A1523" s="3" t="s">
        <v>2908</v>
      </c>
      <c r="B1523" s="3" t="str">
        <f aca="false">IF(ISNUMBER(SEARCH("%", A1523)),RIGHT(A1523,3),A1523)</f>
        <v>20%</v>
      </c>
      <c r="C1523" s="1" t="str">
        <f aca="false" t="array" ref="C1523:C1523">IF(B1522="NEW ROUTE",textsplit(B1523,","),"")</f>
        <v/>
      </c>
      <c r="H1523" s="1" t="str">
        <f aca="false">IF(C1523&lt;&gt;"",DEC2HEX(C1523,2),"")</f>
        <v/>
      </c>
      <c r="I1523" s="1" t="str">
        <f aca="false">IF(D1523&lt;&gt;"",DEC2HEX(D1523,2),"")</f>
        <v/>
      </c>
      <c r="J1523" s="1" t="str">
        <f aca="false">IF(H1523&lt;&gt;"","0x"&amp;I1523&amp;H1523,"")</f>
        <v/>
      </c>
      <c r="L1523" s="1" t="s">
        <v>2799</v>
      </c>
      <c r="M1523" s="1" t="str">
        <f aca="false">IF(J1523&lt;&gt;"",J1523,L1523)</f>
        <v>20%</v>
      </c>
    </row>
    <row r="1524" customFormat="false" ht="12.75" hidden="false" customHeight="true" outlineLevel="0" collapsed="false">
      <c r="A1524" s="3" t="s">
        <v>1687</v>
      </c>
      <c r="B1524" s="3" t="str">
        <f aca="false">IF(ISNUMBER(SEARCH("%", A1524)),RIGHT(A1524,3),A1524)</f>
        <v>31, 31, SPEAROW</v>
      </c>
      <c r="C1524" s="1" t="str">
        <f aca="false" t="array" ref="C1524:C1524">IF(B1523="NEW ROUTE",textsplit(B1524,","),"")</f>
        <v/>
      </c>
      <c r="H1524" s="1" t="str">
        <f aca="false">IF(C1524&lt;&gt;"",DEC2HEX(C1524,2),"")</f>
        <v/>
      </c>
      <c r="I1524" s="1" t="str">
        <f aca="false">IF(D1524&lt;&gt;"",DEC2HEX(D1524,2),"")</f>
        <v/>
      </c>
      <c r="J1524" s="1" t="str">
        <f aca="false">IF(H1524&lt;&gt;"","0x"&amp;I1524&amp;H1524,"")</f>
        <v/>
      </c>
      <c r="L1524" s="1" t="s">
        <v>1687</v>
      </c>
      <c r="M1524" s="1" t="str">
        <f aca="false">IF(J1524&lt;&gt;"",J1524,L1524)</f>
        <v>31, 31, SPEAROW</v>
      </c>
    </row>
    <row r="1525" customFormat="false" ht="12.75" hidden="false" customHeight="true" outlineLevel="0" collapsed="false">
      <c r="A1525" s="3" t="s">
        <v>3129</v>
      </c>
      <c r="B1525" s="3" t="str">
        <f aca="false">IF(ISNUMBER(SEARCH("%", A1525)),RIGHT(A1525,3),A1525)</f>
        <v>30, 30, BELLSPROUT</v>
      </c>
      <c r="C1525" s="1" t="str">
        <f aca="false" t="array" ref="C1525:C1525">IF(B1524="NEW ROUTE",textsplit(B1525,","),"")</f>
        <v/>
      </c>
      <c r="H1525" s="1" t="str">
        <f aca="false">IF(C1525&lt;&gt;"",DEC2HEX(C1525,2),"")</f>
        <v/>
      </c>
      <c r="I1525" s="1" t="str">
        <f aca="false">IF(D1525&lt;&gt;"",DEC2HEX(D1525,2),"")</f>
        <v/>
      </c>
      <c r="J1525" s="1" t="str">
        <f aca="false">IF(H1525&lt;&gt;"","0x"&amp;I1525&amp;H1525,"")</f>
        <v/>
      </c>
      <c r="L1525" s="1" t="s">
        <v>3129</v>
      </c>
      <c r="M1525" s="1" t="str">
        <f aca="false">IF(J1525&lt;&gt;"",J1525,L1525)</f>
        <v>30, 30, BELLSPROUT</v>
      </c>
    </row>
    <row r="1526" customFormat="false" ht="12.75" hidden="false" customHeight="true" outlineLevel="0" collapsed="false">
      <c r="A1526" s="3" t="s">
        <v>2801</v>
      </c>
      <c r="B1526" s="3" t="str">
        <f aca="false">IF(ISNUMBER(SEARCH("%", A1526)),RIGHT(A1526,3),A1526)</f>
        <v>0.1</v>
      </c>
      <c r="C1526" s="1" t="str">
        <f aca="false" t="array" ref="C1526:C1526">IF(B1525="NEW ROUTE",textsplit(B1526,","),"")</f>
        <v/>
      </c>
      <c r="H1526" s="1" t="str">
        <f aca="false">IF(C1526&lt;&gt;"",DEC2HEX(C1526,2),"")</f>
        <v/>
      </c>
      <c r="I1526" s="1" t="str">
        <f aca="false">IF(D1526&lt;&gt;"",DEC2HEX(D1526,2),"")</f>
        <v/>
      </c>
      <c r="J1526" s="1" t="str">
        <f aca="false">IF(H1526&lt;&gt;"","0x"&amp;I1526&amp;H1526,"")</f>
        <v/>
      </c>
      <c r="L1526" s="1" t="s">
        <v>2801</v>
      </c>
      <c r="M1526" s="1" t="str">
        <f aca="false">IF(J1526&lt;&gt;"",J1526,L1526)</f>
        <v>0.1</v>
      </c>
    </row>
    <row r="1527" customFormat="false" ht="12.75" hidden="false" customHeight="true" outlineLevel="0" collapsed="false">
      <c r="A1527" s="3" t="s">
        <v>3238</v>
      </c>
      <c r="B1527" s="3" t="str">
        <f aca="false">IF(ISNUMBER(SEARCH("%", A1527)),RIGHT(A1527,3),A1527)</f>
        <v>32, 32, BELLSPROUT</v>
      </c>
      <c r="C1527" s="1" t="str">
        <f aca="false" t="array" ref="C1527:C1527">IF(B1526="NEW ROUTE",textsplit(B1527,","),"")</f>
        <v/>
      </c>
      <c r="H1527" s="1" t="str">
        <f aca="false">IF(C1527&lt;&gt;"",DEC2HEX(C1527,2),"")</f>
        <v/>
      </c>
      <c r="I1527" s="1" t="str">
        <f aca="false">IF(D1527&lt;&gt;"",DEC2HEX(D1527,2),"")</f>
        <v/>
      </c>
      <c r="J1527" s="1" t="str">
        <f aca="false">IF(H1527&lt;&gt;"","0x"&amp;I1527&amp;H1527,"")</f>
        <v/>
      </c>
      <c r="L1527" s="1" t="s">
        <v>3238</v>
      </c>
      <c r="M1527" s="1" t="str">
        <f aca="false">IF(J1527&lt;&gt;"",J1527,L1527)</f>
        <v>32, 32, BELLSPROUT</v>
      </c>
    </row>
    <row r="1528" customFormat="false" ht="12.75" hidden="false" customHeight="true" outlineLevel="0" collapsed="false">
      <c r="A1528" s="3" t="s">
        <v>3239</v>
      </c>
      <c r="B1528" s="3" t="str">
        <f aca="false">IF(ISNUMBER(SEARCH("%", A1528)),RIGHT(A1528,3),A1528)</f>
        <v>36, 36, WEEPINBELL</v>
      </c>
      <c r="C1528" s="1" t="str">
        <f aca="false" t="array" ref="C1528:C1528">IF(B1527="NEW ROUTE",textsplit(B1528,","),"")</f>
        <v/>
      </c>
      <c r="H1528" s="1" t="str">
        <f aca="false">IF(C1528&lt;&gt;"",DEC2HEX(C1528,2),"")</f>
        <v/>
      </c>
      <c r="I1528" s="1" t="str">
        <f aca="false">IF(D1528&lt;&gt;"",DEC2HEX(D1528,2),"")</f>
        <v/>
      </c>
      <c r="J1528" s="1" t="str">
        <f aca="false">IF(H1528&lt;&gt;"","0x"&amp;I1528&amp;H1528,"")</f>
        <v/>
      </c>
      <c r="L1528" s="1" t="s">
        <v>3239</v>
      </c>
      <c r="M1528" s="1" t="str">
        <f aca="false">IF(J1528&lt;&gt;"",J1528,L1528)</f>
        <v>36, 36, WEEPINBELL</v>
      </c>
    </row>
    <row r="1529" customFormat="false" ht="12.75" hidden="false" customHeight="true" outlineLevel="0" collapsed="false">
      <c r="A1529" s="3" t="s">
        <v>3222</v>
      </c>
      <c r="B1529" s="3" t="str">
        <f aca="false">IF(ISNUMBER(SEARCH("%", A1529)),RIGHT(A1529,3),A1529)</f>
        <v>36, 36, FEAROW</v>
      </c>
      <c r="C1529" s="1" t="str">
        <f aca="false" t="array" ref="C1529:C1529">IF(B1528="NEW ROUTE",textsplit(B1529,","),"")</f>
        <v/>
      </c>
      <c r="H1529" s="1" t="str">
        <f aca="false">IF(C1529&lt;&gt;"",DEC2HEX(C1529,2),"")</f>
        <v/>
      </c>
      <c r="I1529" s="1" t="str">
        <f aca="false">IF(D1529&lt;&gt;"",DEC2HEX(D1529,2),"")</f>
        <v/>
      </c>
      <c r="J1529" s="1" t="str">
        <f aca="false">IF(H1529&lt;&gt;"","0x"&amp;I1529&amp;H1529,"")</f>
        <v/>
      </c>
      <c r="L1529" s="1" t="s">
        <v>3222</v>
      </c>
      <c r="M1529" s="1" t="str">
        <f aca="false">IF(J1529&lt;&gt;"",J1529,L1529)</f>
        <v>36, 36, FEAROW</v>
      </c>
    </row>
    <row r="1530" customFormat="false" ht="12.75" hidden="false" customHeight="true" outlineLevel="0" collapsed="false">
      <c r="A1530" s="3" t="s">
        <v>3224</v>
      </c>
      <c r="B1530" s="3" t="str">
        <f aca="false">IF(ISNUMBER(SEARCH("%", A1530)),RIGHT(A1530,3),A1530)</f>
        <v>31, 31, MEOWTH</v>
      </c>
      <c r="C1530" s="1" t="str">
        <f aca="false" t="array" ref="C1530:C1530">IF(B1529="NEW ROUTE",textsplit(B1530,","),"")</f>
        <v/>
      </c>
      <c r="H1530" s="1" t="str">
        <f aca="false">IF(C1530&lt;&gt;"",DEC2HEX(C1530,2),"")</f>
        <v/>
      </c>
      <c r="I1530" s="1" t="str">
        <f aca="false">IF(D1530&lt;&gt;"",DEC2HEX(D1530,2),"")</f>
        <v/>
      </c>
      <c r="J1530" s="1" t="str">
        <f aca="false">IF(H1530&lt;&gt;"","0x"&amp;I1530&amp;H1530,"")</f>
        <v/>
      </c>
      <c r="L1530" s="1" t="s">
        <v>3224</v>
      </c>
      <c r="M1530" s="1" t="str">
        <f aca="false">IF(J1530&lt;&gt;"",J1530,L1530)</f>
        <v>31, 31, MEOWTH</v>
      </c>
    </row>
    <row r="1531" customFormat="false" ht="12.75" hidden="false" customHeight="true" outlineLevel="0" collapsed="false">
      <c r="A1531" s="3" t="s">
        <v>2806</v>
      </c>
      <c r="B1531" s="3" t="str">
        <f aca="false">IF(ISNUMBER(SEARCH("%", A1531)),RIGHT(A1531,3),A1531)</f>
        <v>0.05</v>
      </c>
      <c r="C1531" s="1" t="str">
        <f aca="false" t="array" ref="C1531:C1531">IF(B1530="NEW ROUTE",textsplit(B1531,","),"")</f>
        <v/>
      </c>
      <c r="H1531" s="1" t="str">
        <f aca="false">IF(C1531&lt;&gt;"",DEC2HEX(C1531,2),"")</f>
        <v/>
      </c>
      <c r="I1531" s="1" t="str">
        <f aca="false">IF(D1531&lt;&gt;"",DEC2HEX(D1531,2),"")</f>
        <v/>
      </c>
      <c r="J1531" s="1" t="str">
        <f aca="false">IF(H1531&lt;&gt;"","0x"&amp;I1531&amp;H1531,"")</f>
        <v/>
      </c>
      <c r="L1531" s="1" t="s">
        <v>2806</v>
      </c>
      <c r="M1531" s="1" t="str">
        <f aca="false">IF(J1531&lt;&gt;"",J1531,L1531)</f>
        <v>0.05</v>
      </c>
    </row>
    <row r="1532" customFormat="false" ht="12.75" hidden="false" customHeight="true" outlineLevel="0" collapsed="false">
      <c r="A1532" s="3" t="s">
        <v>3240</v>
      </c>
      <c r="B1532" s="3" t="str">
        <f aca="false">IF(ISNUMBER(SEARCH("%", A1532)),RIGHT(A1532,3),A1532)</f>
        <v>38, 38, WEEPINBELL</v>
      </c>
      <c r="C1532" s="1" t="str">
        <f aca="false" t="array" ref="C1532:C1532">IF(B1531="NEW ROUTE",textsplit(B1532,","),"")</f>
        <v/>
      </c>
      <c r="H1532" s="1" t="str">
        <f aca="false">IF(C1532&lt;&gt;"",DEC2HEX(C1532,2),"")</f>
        <v/>
      </c>
      <c r="I1532" s="1" t="str">
        <f aca="false">IF(D1532&lt;&gt;"",DEC2HEX(D1532,2),"")</f>
        <v/>
      </c>
      <c r="J1532" s="1" t="str">
        <f aca="false">IF(H1532&lt;&gt;"","0x"&amp;I1532&amp;H1532,"")</f>
        <v/>
      </c>
      <c r="L1532" s="1" t="s">
        <v>3240</v>
      </c>
      <c r="M1532" s="1" t="str">
        <f aca="false">IF(J1532&lt;&gt;"",J1532,L1532)</f>
        <v>38, 38, WEEPINBELL</v>
      </c>
    </row>
    <row r="1533" customFormat="false" ht="12.75" hidden="false" customHeight="true" outlineLevel="0" collapsed="false">
      <c r="A1533" s="3" t="s">
        <v>3133</v>
      </c>
      <c r="B1533" s="3" t="str">
        <f aca="false">IF(ISNUMBER(SEARCH("%", A1533)),RIGHT(A1533,3),A1533)</f>
        <v>31, 31, SLOWPOKE</v>
      </c>
      <c r="C1533" s="1" t="str">
        <f aca="false" t="array" ref="C1533:C1533">IF(B1532="NEW ROUTE",textsplit(B1533,","),"")</f>
        <v/>
      </c>
      <c r="H1533" s="1" t="str">
        <f aca="false">IF(C1533&lt;&gt;"",DEC2HEX(C1533,2),"")</f>
        <v/>
      </c>
      <c r="I1533" s="1" t="str">
        <f aca="false">IF(D1533&lt;&gt;"",DEC2HEX(D1533,2),"")</f>
        <v/>
      </c>
      <c r="J1533" s="1" t="str">
        <f aca="false">IF(H1533&lt;&gt;"","0x"&amp;I1533&amp;H1533,"")</f>
        <v/>
      </c>
      <c r="L1533" s="1" t="s">
        <v>3133</v>
      </c>
      <c r="M1533" s="1" t="str">
        <f aca="false">IF(J1533&lt;&gt;"",J1533,L1533)</f>
        <v>31, 31, SLOWPOKE</v>
      </c>
    </row>
    <row r="1534" customFormat="false" ht="12.75" hidden="false" customHeight="true" outlineLevel="0" collapsed="false">
      <c r="A1534" s="3" t="s">
        <v>2809</v>
      </c>
      <c r="B1534" s="3" t="str">
        <f aca="false">IF(ISNUMBER(SEARCH("%", A1534)),RIGHT(A1534,3),A1534)</f>
        <v>0.04</v>
      </c>
      <c r="C1534" s="1" t="str">
        <f aca="false" t="array" ref="C1534:C1534">IF(B1533="NEW ROUTE",textsplit(B1534,","),"")</f>
        <v/>
      </c>
      <c r="H1534" s="1" t="str">
        <f aca="false">IF(C1534&lt;&gt;"",DEC2HEX(C1534,2),"")</f>
        <v/>
      </c>
      <c r="I1534" s="1" t="str">
        <f aca="false">IF(D1534&lt;&gt;"",DEC2HEX(D1534,2),"")</f>
        <v/>
      </c>
      <c r="J1534" s="1" t="str">
        <f aca="false">IF(H1534&lt;&gt;"","0x"&amp;I1534&amp;H1534,"")</f>
        <v/>
      </c>
      <c r="L1534" s="1" t="s">
        <v>2809</v>
      </c>
      <c r="M1534" s="1" t="str">
        <f aca="false">IF(J1534&lt;&gt;"",J1534,L1534)</f>
        <v>0.04</v>
      </c>
    </row>
    <row r="1535" customFormat="false" ht="12.75" hidden="false" customHeight="true" outlineLevel="0" collapsed="false">
      <c r="A1535" s="3" t="s">
        <v>3241</v>
      </c>
      <c r="B1535" s="3" t="str">
        <f aca="false">IF(ISNUMBER(SEARCH("%", A1535)),RIGHT(A1535,3),A1535)</f>
        <v>37, 37, SLOWBRO</v>
      </c>
      <c r="C1535" s="1" t="str">
        <f aca="false" t="array" ref="C1535:C1535">IF(B1534="NEW ROUTE",textsplit(B1535,","),"")</f>
        <v/>
      </c>
      <c r="H1535" s="1" t="str">
        <f aca="false">IF(C1535&lt;&gt;"",DEC2HEX(C1535,2),"")</f>
        <v/>
      </c>
      <c r="I1535" s="1" t="str">
        <f aca="false">IF(D1535&lt;&gt;"",DEC2HEX(D1535,2),"")</f>
        <v/>
      </c>
      <c r="J1535" s="1" t="str">
        <f aca="false">IF(H1535&lt;&gt;"","0x"&amp;I1535&amp;H1535,"")</f>
        <v/>
      </c>
      <c r="L1535" s="1" t="s">
        <v>3241</v>
      </c>
      <c r="M1535" s="1" t="str">
        <f aca="false">IF(J1535&lt;&gt;"",J1535,L1535)</f>
        <v>37, 37, SLOWBRO</v>
      </c>
    </row>
    <row r="1536" customFormat="false" ht="12.75" hidden="false" customHeight="true" outlineLevel="0" collapsed="false">
      <c r="A1536" s="3" t="s">
        <v>3228</v>
      </c>
      <c r="B1536" s="3" t="str">
        <f aca="false">IF(ISNUMBER(SEARCH("%", A1536)),RIGHT(A1536,3),A1536)</f>
        <v>37, 37, PERSIAN</v>
      </c>
      <c r="C1536" s="1" t="str">
        <f aca="false" t="array" ref="C1536:C1536">IF(B1535="NEW ROUTE",textsplit(B1536,","),"")</f>
        <v/>
      </c>
      <c r="H1536" s="1" t="str">
        <f aca="false">IF(C1536&lt;&gt;"",DEC2HEX(C1536,2),"")</f>
        <v/>
      </c>
      <c r="I1536" s="1" t="str">
        <f aca="false">IF(D1536&lt;&gt;"",DEC2HEX(D1536,2),"")</f>
        <v/>
      </c>
      <c r="J1536" s="1" t="str">
        <f aca="false">IF(H1536&lt;&gt;"","0x"&amp;I1536&amp;H1536,"")</f>
        <v/>
      </c>
      <c r="L1536" s="1" t="s">
        <v>3228</v>
      </c>
      <c r="M1536" s="1" t="str">
        <f aca="false">IF(J1536&lt;&gt;"",J1536,L1536)</f>
        <v>37, 37, PERSIAN</v>
      </c>
    </row>
    <row r="1537" customFormat="false" ht="12.75" hidden="false" customHeight="true" outlineLevel="0" collapsed="false">
      <c r="A1537" s="3" t="s">
        <v>2812</v>
      </c>
      <c r="B1537" s="3" t="str">
        <f aca="false">IF(ISNUMBER(SEARCH("%", A1537)),RIGHT(A1537,3),A1537)</f>
        <v>0.01</v>
      </c>
      <c r="C1537" s="1" t="str">
        <f aca="false" t="array" ref="C1537:C1537">IF(B1536="NEW ROUTE",textsplit(B1537,","),"")</f>
        <v/>
      </c>
      <c r="H1537" s="1" t="str">
        <f aca="false">IF(C1537&lt;&gt;"",DEC2HEX(C1537,2),"")</f>
        <v/>
      </c>
      <c r="I1537" s="1" t="str">
        <f aca="false">IF(D1537&lt;&gt;"",DEC2HEX(D1537,2),"")</f>
        <v/>
      </c>
      <c r="J1537" s="1" t="str">
        <f aca="false">IF(H1537&lt;&gt;"","0x"&amp;I1537&amp;H1537,"")</f>
        <v/>
      </c>
      <c r="L1537" s="1" t="s">
        <v>2812</v>
      </c>
      <c r="M1537" s="1" t="str">
        <f aca="false">IF(J1537&lt;&gt;"",J1537,L1537)</f>
        <v>0.01</v>
      </c>
    </row>
    <row r="1538" customFormat="false" ht="12.75" hidden="false" customHeight="true" outlineLevel="0" collapsed="false">
      <c r="A1538" s="3" t="s">
        <v>3242</v>
      </c>
      <c r="B1538" s="3" t="str">
        <f aca="false">IF(ISNUMBER(SEARCH("%", A1538)),RIGHT(A1538,3),A1538)</f>
        <v>40, 40, SLOWBRO</v>
      </c>
      <c r="C1538" s="1" t="str">
        <f aca="false" t="array" ref="C1538:C1538">IF(B1537="NEW ROUTE",textsplit(B1538,","),"")</f>
        <v/>
      </c>
      <c r="H1538" s="1" t="str">
        <f aca="false">IF(C1538&lt;&gt;"",DEC2HEX(C1538,2),"")</f>
        <v/>
      </c>
      <c r="I1538" s="1" t="str">
        <f aca="false">IF(D1538&lt;&gt;"",DEC2HEX(D1538,2),"")</f>
        <v/>
      </c>
      <c r="J1538" s="1" t="str">
        <f aca="false">IF(H1538&lt;&gt;"","0x"&amp;I1538&amp;H1538,"")</f>
        <v/>
      </c>
      <c r="L1538" s="1" t="s">
        <v>3242</v>
      </c>
      <c r="M1538" s="1" t="str">
        <f aca="false">IF(J1538&lt;&gt;"",J1538,L1538)</f>
        <v>40, 40, SLOWBRO</v>
      </c>
    </row>
    <row r="1539" customFormat="false" ht="12.75" hidden="false" customHeight="true" outlineLevel="0" collapsed="false">
      <c r="A1539" s="3" t="s">
        <v>3230</v>
      </c>
      <c r="B1539" s="3" t="str">
        <f aca="false">IF(ISNUMBER(SEARCH("%", A1539)),RIGHT(A1539,3),A1539)</f>
        <v>40, 40, PERSIAN</v>
      </c>
      <c r="C1539" s="1" t="str">
        <f aca="false" t="array" ref="C1539:C1539">IF(B1538="NEW ROUTE",textsplit(B1539,","),"")</f>
        <v/>
      </c>
      <c r="H1539" s="1" t="str">
        <f aca="false">IF(C1539&lt;&gt;"",DEC2HEX(C1539,2),"")</f>
        <v/>
      </c>
      <c r="I1539" s="1" t="str">
        <f aca="false">IF(D1539&lt;&gt;"",DEC2HEX(D1539,2),"")</f>
        <v/>
      </c>
      <c r="J1539" s="1" t="str">
        <f aca="false">IF(H1539&lt;&gt;"","0x"&amp;I1539&amp;H1539,"")</f>
        <v/>
      </c>
      <c r="L1539" s="1" t="s">
        <v>3230</v>
      </c>
      <c r="M1539" s="1" t="str">
        <f aca="false">IF(J1539&lt;&gt;"",J1539,L1539)</f>
        <v>40, 40, PERSIAN</v>
      </c>
    </row>
    <row r="1540" customFormat="false" ht="12.75" hidden="false" customHeight="true" outlineLevel="0" collapsed="false">
      <c r="A1540" s="3" t="s">
        <v>3138</v>
      </c>
      <c r="B1540" s="3" t="str">
        <f aca="false">IF(ISNUMBER(SEARCH("%", A1540)),RIGHT(A1540,3),A1540)</f>
        <v>2, 5, 20, SLOWPOKE</v>
      </c>
      <c r="C1540" s="1" t="str">
        <f aca="false" t="array" ref="C1540:C1540">IF(B1539="NEW ROUTE",textsplit(B1540,","),"")</f>
        <v/>
      </c>
      <c r="H1540" s="1" t="str">
        <f aca="false">IF(C1540&lt;&gt;"",DEC2HEX(C1540,2),"")</f>
        <v/>
      </c>
      <c r="I1540" s="1" t="str">
        <f aca="false">IF(D1540&lt;&gt;"",DEC2HEX(D1540,2),"")</f>
        <v/>
      </c>
      <c r="J1540" s="1" t="str">
        <f aca="false">IF(H1540&lt;&gt;"","0x"&amp;I1540&amp;H1540,"")</f>
        <v/>
      </c>
      <c r="L1540" s="1" t="s">
        <v>3138</v>
      </c>
      <c r="M1540" s="1" t="str">
        <f aca="false">IF(J1540&lt;&gt;"",J1540,L1540)</f>
        <v>2, 5, 20, SLOWPOKE</v>
      </c>
    </row>
    <row r="1541" customFormat="false" ht="12.75" hidden="false" customHeight="true" outlineLevel="0" collapsed="false">
      <c r="A1541" s="3" t="s">
        <v>3139</v>
      </c>
      <c r="B1541" s="3" t="str">
        <f aca="false">IF(ISNUMBER(SEARCH("%", A1541)),RIGHT(A1541,3),A1541)</f>
        <v>20, 35, SLOWPOKE</v>
      </c>
      <c r="C1541" s="1" t="str">
        <f aca="false" t="array" ref="C1541:C1541">IF(B1540="NEW ROUTE",textsplit(B1541,","),"")</f>
        <v/>
      </c>
      <c r="H1541" s="1" t="str">
        <f aca="false">IF(C1541&lt;&gt;"",DEC2HEX(C1541,2),"")</f>
        <v/>
      </c>
      <c r="I1541" s="1" t="str">
        <f aca="false">IF(D1541&lt;&gt;"",DEC2HEX(D1541,2),"")</f>
        <v/>
      </c>
      <c r="J1541" s="1" t="str">
        <f aca="false">IF(H1541&lt;&gt;"","0x"&amp;I1541&amp;H1541,"")</f>
        <v/>
      </c>
      <c r="L1541" s="1" t="s">
        <v>3139</v>
      </c>
      <c r="M1541" s="1" t="str">
        <f aca="false">IF(J1541&lt;&gt;"",J1541,L1541)</f>
        <v>20, 35, SLOWPOKE</v>
      </c>
    </row>
    <row r="1542" customFormat="false" ht="12.75" hidden="false" customHeight="true" outlineLevel="0" collapsed="false">
      <c r="A1542" s="3" t="s">
        <v>3140</v>
      </c>
      <c r="B1542" s="3" t="str">
        <f aca="false">IF(ISNUMBER(SEARCH("%", A1542)),RIGHT(A1542,3),A1542)</f>
        <v>35, 40, SLOWPOKE</v>
      </c>
      <c r="C1542" s="1" t="str">
        <f aca="false" t="array" ref="C1542:C1542">IF(B1541="NEW ROUTE",textsplit(B1542,","),"")</f>
        <v/>
      </c>
      <c r="H1542" s="1" t="str">
        <f aca="false">IF(C1542&lt;&gt;"",DEC2HEX(C1542,2),"")</f>
        <v/>
      </c>
      <c r="I1542" s="1" t="str">
        <f aca="false">IF(D1542&lt;&gt;"",DEC2HEX(D1542,2),"")</f>
        <v/>
      </c>
      <c r="J1542" s="1" t="str">
        <f aca="false">IF(H1542&lt;&gt;"","0x"&amp;I1542&amp;H1542,"")</f>
        <v/>
      </c>
      <c r="L1542" s="1" t="s">
        <v>3140</v>
      </c>
      <c r="M1542" s="1" t="str">
        <f aca="false">IF(J1542&lt;&gt;"",J1542,L1542)</f>
        <v>35, 40, SLOWPOKE</v>
      </c>
    </row>
    <row r="1543" customFormat="false" ht="12.75" hidden="false" customHeight="true" outlineLevel="0" collapsed="false">
      <c r="A1543" s="3" t="s">
        <v>3141</v>
      </c>
      <c r="B1543" s="3" t="str">
        <f aca="false">IF(ISNUMBER(SEARCH("%", A1543)),RIGHT(A1543,3),A1543)</f>
        <v>35, 40, SLOWBRO</v>
      </c>
      <c r="C1543" s="1" t="str">
        <f aca="false" t="array" ref="C1543:C1543">IF(B1542="NEW ROUTE",textsplit(B1543,","),"")</f>
        <v/>
      </c>
      <c r="H1543" s="1" t="str">
        <f aca="false">IF(C1543&lt;&gt;"",DEC2HEX(C1543,2),"")</f>
        <v/>
      </c>
      <c r="I1543" s="1" t="str">
        <f aca="false">IF(D1543&lt;&gt;"",DEC2HEX(D1543,2),"")</f>
        <v/>
      </c>
      <c r="J1543" s="1" t="str">
        <f aca="false">IF(H1543&lt;&gt;"","0x"&amp;I1543&amp;H1543,"")</f>
        <v/>
      </c>
      <c r="L1543" s="1" t="s">
        <v>3141</v>
      </c>
      <c r="M1543" s="1" t="str">
        <f aca="false">IF(J1543&lt;&gt;"",J1543,L1543)</f>
        <v>35, 40, SLOWBRO</v>
      </c>
    </row>
    <row r="1544" customFormat="false" ht="12.75" hidden="false" customHeight="true" outlineLevel="0" collapsed="false">
      <c r="A1544" s="3" t="s">
        <v>3141</v>
      </c>
      <c r="B1544" s="3" t="str">
        <f aca="false">IF(ISNUMBER(SEARCH("%", A1544)),RIGHT(A1544,3),A1544)</f>
        <v>35, 40, SLOWBRO</v>
      </c>
      <c r="C1544" s="1" t="str">
        <f aca="false" t="array" ref="C1544:C1544">IF(B1543="NEW ROUTE",textsplit(B1544,","),"")</f>
        <v/>
      </c>
      <c r="H1544" s="1" t="str">
        <f aca="false">IF(C1544&lt;&gt;"",DEC2HEX(C1544,2),"")</f>
        <v/>
      </c>
      <c r="I1544" s="1" t="str">
        <f aca="false">IF(D1544&lt;&gt;"",DEC2HEX(D1544,2),"")</f>
        <v/>
      </c>
      <c r="J1544" s="1" t="str">
        <f aca="false">IF(H1544&lt;&gt;"","0x"&amp;I1544&amp;H1544,"")</f>
        <v/>
      </c>
      <c r="L1544" s="1" t="s">
        <v>3141</v>
      </c>
      <c r="M1544" s="1" t="str">
        <f aca="false">IF(J1544&lt;&gt;"",J1544,L1544)</f>
        <v>35, 40, SLOWBRO</v>
      </c>
    </row>
    <row r="1545" customFormat="false" ht="12.75" hidden="false" customHeight="true" outlineLevel="0" collapsed="false">
      <c r="A1545" s="3" t="s">
        <v>2925</v>
      </c>
      <c r="B1545" s="3" t="str">
        <f aca="false">IF(ISNUMBER(SEARCH("%", A1545)),RIGHT(A1545,3),A1545)</f>
        <v>20, old rod:</v>
      </c>
      <c r="C1545" s="1" t="str">
        <f aca="false" t="array" ref="C1545:C1545">IF(B1544="NEW ROUTE",textsplit(B1545,","),"")</f>
        <v/>
      </c>
      <c r="H1545" s="1" t="str">
        <f aca="false">IF(C1545&lt;&gt;"",DEC2HEX(C1545,2),"")</f>
        <v/>
      </c>
      <c r="I1545" s="1" t="str">
        <f aca="false">IF(D1545&lt;&gt;"",DEC2HEX(D1545,2),"")</f>
        <v/>
      </c>
      <c r="J1545" s="1" t="str">
        <f aca="false">IF(H1545&lt;&gt;"","0x"&amp;I1545&amp;H1545,"")</f>
        <v/>
      </c>
      <c r="L1545" s="1" t="s">
        <v>2925</v>
      </c>
      <c r="M1545" s="1" t="str">
        <f aca="false">IF(J1545&lt;&gt;"",J1545,L1545)</f>
        <v>20, old rod:</v>
      </c>
    </row>
    <row r="1546" customFormat="false" ht="12.75" hidden="false" customHeight="true" outlineLevel="0" collapsed="false">
      <c r="A1546" s="3" t="s">
        <v>1266</v>
      </c>
      <c r="B1546" s="3" t="str">
        <f aca="false">IF(ISNUMBER(SEARCH("%", A1546)),RIGHT(A1546,3),A1546)</f>
        <v>5, 5, MAGIKARP</v>
      </c>
      <c r="C1546" s="1" t="str">
        <f aca="false" t="array" ref="C1546:C1546">IF(B1545="NEW ROUTE",textsplit(B1546,","),"")</f>
        <v/>
      </c>
      <c r="H1546" s="1" t="str">
        <f aca="false">IF(C1546&lt;&gt;"",DEC2HEX(C1546,2),"")</f>
        <v/>
      </c>
      <c r="I1546" s="1" t="str">
        <f aca="false">IF(D1546&lt;&gt;"",DEC2HEX(D1546,2),"")</f>
        <v/>
      </c>
      <c r="J1546" s="1" t="str">
        <f aca="false">IF(H1546&lt;&gt;"","0x"&amp;I1546&amp;H1546,"")</f>
        <v/>
      </c>
      <c r="L1546" s="1" t="s">
        <v>1266</v>
      </c>
      <c r="M1546" s="1" t="str">
        <f aca="false">IF(J1546&lt;&gt;"",J1546,L1546)</f>
        <v>5, 5, MAGIKARP</v>
      </c>
    </row>
    <row r="1547" customFormat="false" ht="12.75" hidden="false" customHeight="true" outlineLevel="0" collapsed="false">
      <c r="A1547" s="3" t="s">
        <v>1266</v>
      </c>
      <c r="B1547" s="3" t="str">
        <f aca="false">IF(ISNUMBER(SEARCH("%", A1547)),RIGHT(A1547,3),A1547)</f>
        <v>5, 5, MAGIKARP</v>
      </c>
      <c r="C1547" s="1" t="str">
        <f aca="false" t="array" ref="C1547:C1547">IF(B1546="NEW ROUTE",textsplit(B1547,","),"")</f>
        <v/>
      </c>
      <c r="H1547" s="1" t="str">
        <f aca="false">IF(C1547&lt;&gt;"",DEC2HEX(C1547,2),"")</f>
        <v/>
      </c>
      <c r="I1547" s="1" t="str">
        <f aca="false">IF(D1547&lt;&gt;"",DEC2HEX(D1547,2),"")</f>
        <v/>
      </c>
      <c r="J1547" s="1" t="str">
        <f aca="false">IF(H1547&lt;&gt;"","0x"&amp;I1547&amp;H1547,"")</f>
        <v/>
      </c>
      <c r="L1547" s="1" t="s">
        <v>1266</v>
      </c>
      <c r="M1547" s="1" t="str">
        <f aca="false">IF(J1547&lt;&gt;"",J1547,L1547)</f>
        <v>5, 5, MAGIKARP</v>
      </c>
    </row>
    <row r="1548" customFormat="false" ht="12.75" hidden="false" customHeight="true" outlineLevel="0" collapsed="false">
      <c r="A1548" s="3" t="s">
        <v>2846</v>
      </c>
      <c r="B1548" s="3" t="str">
        <f aca="false">IF(ISNUMBER(SEARCH("%", A1548)),RIGHT(A1548,3),A1548)</f>
        <v>good rod:</v>
      </c>
      <c r="C1548" s="1" t="str">
        <f aca="false" t="array" ref="C1548:C1548">IF(B1547="NEW ROUTE",textsplit(B1548,","),"")</f>
        <v/>
      </c>
      <c r="H1548" s="1" t="str">
        <f aca="false">IF(C1548&lt;&gt;"",DEC2HEX(C1548,2),"")</f>
        <v/>
      </c>
      <c r="I1548" s="1" t="str">
        <f aca="false">IF(D1548&lt;&gt;"",DEC2HEX(D1548,2),"")</f>
        <v/>
      </c>
      <c r="J1548" s="1" t="str">
        <f aca="false">IF(H1548&lt;&gt;"","0x"&amp;I1548&amp;H1548,"")</f>
        <v/>
      </c>
      <c r="L1548" s="1" t="s">
        <v>2846</v>
      </c>
      <c r="M1548" s="1" t="str">
        <f aca="false">IF(J1548&lt;&gt;"",J1548,L1548)</f>
        <v>good rod:</v>
      </c>
    </row>
    <row r="1549" customFormat="false" ht="12.75" hidden="false" customHeight="true" outlineLevel="0" collapsed="false">
      <c r="A1549" s="3" t="s">
        <v>3143</v>
      </c>
      <c r="B1549" s="3" t="str">
        <f aca="false">IF(ISNUMBER(SEARCH("%", A1549)),RIGHT(A1549,3),A1549)</f>
        <v>5, 15, POLIWAG</v>
      </c>
      <c r="C1549" s="1" t="str">
        <f aca="false" t="array" ref="C1549:C1549">IF(B1548="NEW ROUTE",textsplit(B1549,","),"")</f>
        <v/>
      </c>
      <c r="H1549" s="1" t="str">
        <f aca="false">IF(C1549&lt;&gt;"",DEC2HEX(C1549,2),"")</f>
        <v/>
      </c>
      <c r="I1549" s="1" t="str">
        <f aca="false">IF(D1549&lt;&gt;"",DEC2HEX(D1549,2),"")</f>
        <v/>
      </c>
      <c r="J1549" s="1" t="str">
        <f aca="false">IF(H1549&lt;&gt;"","0x"&amp;I1549&amp;H1549,"")</f>
        <v/>
      </c>
      <c r="L1549" s="1" t="s">
        <v>3143</v>
      </c>
      <c r="M1549" s="1" t="str">
        <f aca="false">IF(J1549&lt;&gt;"",J1549,L1549)</f>
        <v>5, 15, POLIWAG</v>
      </c>
    </row>
    <row r="1550" customFormat="false" ht="12.75" hidden="false" customHeight="true" outlineLevel="0" collapsed="false">
      <c r="A1550" s="3" t="s">
        <v>2848</v>
      </c>
      <c r="B1550" s="3" t="str">
        <f aca="false">IF(ISNUMBER(SEARCH("%", A1550)),RIGHT(A1550,3),A1550)</f>
        <v>5, 15, MAGIKARP</v>
      </c>
      <c r="C1550" s="1" t="str">
        <f aca="false" t="array" ref="C1550:C1550">IF(B1549="NEW ROUTE",textsplit(B1550,","),"")</f>
        <v/>
      </c>
      <c r="H1550" s="1" t="str">
        <f aca="false">IF(C1550&lt;&gt;"",DEC2HEX(C1550,2),"")</f>
        <v/>
      </c>
      <c r="I1550" s="1" t="str">
        <f aca="false">IF(D1550&lt;&gt;"",DEC2HEX(D1550,2),"")</f>
        <v/>
      </c>
      <c r="J1550" s="1" t="str">
        <f aca="false">IF(H1550&lt;&gt;"","0x"&amp;I1550&amp;H1550,"")</f>
        <v/>
      </c>
      <c r="L1550" s="1" t="s">
        <v>2848</v>
      </c>
      <c r="M1550" s="1" t="str">
        <f aca="false">IF(J1550&lt;&gt;"",J1550,L1550)</f>
        <v>5, 15, MAGIKARP</v>
      </c>
    </row>
    <row r="1551" customFormat="false" ht="12.75" hidden="false" customHeight="true" outlineLevel="0" collapsed="false">
      <c r="A1551" s="3" t="s">
        <v>3142</v>
      </c>
      <c r="B1551" s="3" t="str">
        <f aca="false">IF(ISNUMBER(SEARCH("%", A1551)),RIGHT(A1551,3),A1551)</f>
        <v>5, 15, GOLDEEN</v>
      </c>
      <c r="C1551" s="1" t="str">
        <f aca="false" t="array" ref="C1551:C1551">IF(B1550="NEW ROUTE",textsplit(B1551,","),"")</f>
        <v/>
      </c>
      <c r="H1551" s="1" t="str">
        <f aca="false">IF(C1551&lt;&gt;"",DEC2HEX(C1551,2),"")</f>
        <v/>
      </c>
      <c r="I1551" s="1" t="str">
        <f aca="false">IF(D1551&lt;&gt;"",DEC2HEX(D1551,2),"")</f>
        <v/>
      </c>
      <c r="J1551" s="1" t="str">
        <f aca="false">IF(H1551&lt;&gt;"","0x"&amp;I1551&amp;H1551,"")</f>
        <v/>
      </c>
      <c r="L1551" s="1" t="s">
        <v>3142</v>
      </c>
      <c r="M1551" s="1" t="str">
        <f aca="false">IF(J1551&lt;&gt;"",J1551,L1551)</f>
        <v>5, 15, GOLDEEN</v>
      </c>
    </row>
    <row r="1552" customFormat="false" ht="12.75" hidden="false" customHeight="true" outlineLevel="0" collapsed="false">
      <c r="A1552" s="3" t="s">
        <v>2850</v>
      </c>
      <c r="B1552" s="3" t="str">
        <f aca="false">IF(ISNUMBER(SEARCH("%", A1552)),RIGHT(A1552,3),A1552)</f>
        <v>super rod:</v>
      </c>
      <c r="C1552" s="1" t="str">
        <f aca="false" t="array" ref="C1552:C1552">IF(B1551="NEW ROUTE",textsplit(B1552,","),"")</f>
        <v/>
      </c>
      <c r="H1552" s="1" t="str">
        <f aca="false">IF(C1552&lt;&gt;"",DEC2HEX(C1552,2),"")</f>
        <v/>
      </c>
      <c r="I1552" s="1" t="str">
        <f aca="false">IF(D1552&lt;&gt;"",DEC2HEX(D1552,2),"")</f>
        <v/>
      </c>
      <c r="J1552" s="1" t="str">
        <f aca="false">IF(H1552&lt;&gt;"","0x"&amp;I1552&amp;H1552,"")</f>
        <v/>
      </c>
      <c r="L1552" s="1" t="s">
        <v>2850</v>
      </c>
      <c r="M1552" s="1" t="str">
        <f aca="false">IF(J1552&lt;&gt;"",J1552,L1552)</f>
        <v>super rod:</v>
      </c>
    </row>
    <row r="1553" customFormat="false" ht="12.75" hidden="false" customHeight="true" outlineLevel="0" collapsed="false">
      <c r="A1553" s="3" t="s">
        <v>3161</v>
      </c>
      <c r="B1553" s="3" t="str">
        <f aca="false">IF(ISNUMBER(SEARCH("%", A1553)),RIGHT(A1553,3),A1553)</f>
        <v>15, 25, POLIWAG</v>
      </c>
      <c r="C1553" s="1" t="str">
        <f aca="false" t="array" ref="C1553:C1553">IF(B1552="NEW ROUTE",textsplit(B1553,","),"")</f>
        <v/>
      </c>
      <c r="H1553" s="1" t="str">
        <f aca="false">IF(C1553&lt;&gt;"",DEC2HEX(C1553,2),"")</f>
        <v/>
      </c>
      <c r="I1553" s="1" t="str">
        <f aca="false">IF(D1553&lt;&gt;"",DEC2HEX(D1553,2),"")</f>
        <v/>
      </c>
      <c r="J1553" s="1" t="str">
        <f aca="false">IF(H1553&lt;&gt;"","0x"&amp;I1553&amp;H1553,"")</f>
        <v/>
      </c>
      <c r="L1553" s="1" t="s">
        <v>3161</v>
      </c>
      <c r="M1553" s="1" t="str">
        <f aca="false">IF(J1553&lt;&gt;"",J1553,L1553)</f>
        <v>15, 25, POLIWAG</v>
      </c>
    </row>
    <row r="1554" customFormat="false" ht="12.75" hidden="false" customHeight="true" outlineLevel="0" collapsed="false">
      <c r="A1554" s="3" t="s">
        <v>3162</v>
      </c>
      <c r="B1554" s="3" t="str">
        <f aca="false">IF(ISNUMBER(SEARCH("%", A1554)),RIGHT(A1554,3),A1554)</f>
        <v>20, 30, POLIWHIRL</v>
      </c>
      <c r="C1554" s="1" t="str">
        <f aca="false" t="array" ref="C1554:C1554">IF(B1553="NEW ROUTE",textsplit(B1554,","),"")</f>
        <v/>
      </c>
      <c r="H1554" s="1" t="str">
        <f aca="false">IF(C1554&lt;&gt;"",DEC2HEX(C1554,2),"")</f>
        <v/>
      </c>
      <c r="I1554" s="1" t="str">
        <f aca="false">IF(D1554&lt;&gt;"",DEC2HEX(D1554,2),"")</f>
        <v/>
      </c>
      <c r="J1554" s="1" t="str">
        <f aca="false">IF(H1554&lt;&gt;"","0x"&amp;I1554&amp;H1554,"")</f>
        <v/>
      </c>
      <c r="L1554" s="1" t="s">
        <v>3162</v>
      </c>
      <c r="M1554" s="1" t="str">
        <f aca="false">IF(J1554&lt;&gt;"",J1554,L1554)</f>
        <v>20, 30, POLIWHIRL</v>
      </c>
    </row>
    <row r="1555" customFormat="false" ht="12.75" hidden="false" customHeight="true" outlineLevel="0" collapsed="false">
      <c r="A1555" s="3" t="s">
        <v>2853</v>
      </c>
      <c r="B1555" s="3" t="str">
        <f aca="false">IF(ISNUMBER(SEARCH("%", A1555)),RIGHT(A1555,3),A1555)</f>
        <v>15, 25, GYARADOS</v>
      </c>
      <c r="C1555" s="1" t="str">
        <f aca="false" t="array" ref="C1555:C1555">IF(B1554="NEW ROUTE",textsplit(B1555,","),"")</f>
        <v/>
      </c>
      <c r="H1555" s="1" t="str">
        <f aca="false">IF(C1555&lt;&gt;"",DEC2HEX(C1555,2),"")</f>
        <v/>
      </c>
      <c r="I1555" s="1" t="str">
        <f aca="false">IF(D1555&lt;&gt;"",DEC2HEX(D1555,2),"")</f>
        <v/>
      </c>
      <c r="J1555" s="1" t="str">
        <f aca="false">IF(H1555&lt;&gt;"","0x"&amp;I1555&amp;H1555,"")</f>
        <v/>
      </c>
      <c r="L1555" s="1" t="s">
        <v>2853</v>
      </c>
      <c r="M1555" s="1" t="str">
        <f aca="false">IF(J1555&lt;&gt;"",J1555,L1555)</f>
        <v>15, 25, GYARADOS</v>
      </c>
    </row>
    <row r="1556" customFormat="false" ht="12.75" hidden="false" customHeight="true" outlineLevel="0" collapsed="false">
      <c r="A1556" s="3" t="s">
        <v>3146</v>
      </c>
      <c r="B1556" s="3" t="str">
        <f aca="false">IF(ISNUMBER(SEARCH("%", A1556)),RIGHT(A1556,3),A1556)</f>
        <v>15, 25, SLOWPOKE</v>
      </c>
      <c r="C1556" s="1" t="str">
        <f aca="false" t="array" ref="C1556:C1556">IF(B1555="NEW ROUTE",textsplit(B1556,","),"")</f>
        <v/>
      </c>
      <c r="H1556" s="1" t="str">
        <f aca="false">IF(C1556&lt;&gt;"",DEC2HEX(C1556,2),"")</f>
        <v/>
      </c>
      <c r="I1556" s="1" t="str">
        <f aca="false">IF(D1556&lt;&gt;"",DEC2HEX(D1556,2),"")</f>
        <v/>
      </c>
      <c r="J1556" s="1" t="str">
        <f aca="false">IF(H1556&lt;&gt;"","0x"&amp;I1556&amp;H1556,"")</f>
        <v/>
      </c>
      <c r="L1556" s="1" t="s">
        <v>3146</v>
      </c>
      <c r="M1556" s="1" t="str">
        <f aca="false">IF(J1556&lt;&gt;"",J1556,L1556)</f>
        <v>15, 25, SLOWPOKE</v>
      </c>
    </row>
    <row r="1557" customFormat="false" ht="12.75" hidden="false" customHeight="true" outlineLevel="0" collapsed="false">
      <c r="A1557" s="3" t="s">
        <v>2855</v>
      </c>
      <c r="B1557" s="3" t="str">
        <f aca="false">IF(ISNUMBER(SEARCH("%", A1557)),RIGHT(A1557,3),A1557)</f>
        <v>25, 35, SLOWPOKE</v>
      </c>
      <c r="C1557" s="1" t="str">
        <f aca="false" t="array" ref="C1557:C1557">IF(B1556="NEW ROUTE",textsplit(B1557,","),"")</f>
        <v/>
      </c>
      <c r="H1557" s="1" t="str">
        <f aca="false">IF(C1557&lt;&gt;"",DEC2HEX(C1557,2),"")</f>
        <v/>
      </c>
      <c r="I1557" s="1" t="str">
        <f aca="false">IF(D1557&lt;&gt;"",DEC2HEX(D1557,2),"")</f>
        <v/>
      </c>
      <c r="J1557" s="1" t="str">
        <f aca="false">IF(H1557&lt;&gt;"","0x"&amp;I1557&amp;H1557,"")</f>
        <v/>
      </c>
      <c r="L1557" s="1" t="s">
        <v>2855</v>
      </c>
      <c r="M1557" s="1" t="str">
        <f aca="false">IF(J1557&lt;&gt;"",J1557,L1557)</f>
        <v>25, 35, SLOWPOKE</v>
      </c>
    </row>
    <row r="1558" customFormat="false" ht="12.75" hidden="false" customHeight="true" outlineLevel="0" collapsed="false">
      <c r="A1558" s="3" t="s">
        <v>2536</v>
      </c>
      <c r="B1558" s="3" t="str">
        <f aca="false">IF(ISNUMBER(SEARCH("%", A1558)),RIGHT(A1558,3),A1558)</f>
        <v>NEW ROUTE</v>
      </c>
      <c r="C1558" s="1" t="str">
        <f aca="false" t="array" ref="C1558:C1558">IF(B1557="NEW ROUTE",textsplit(B1558,","),"")</f>
        <v/>
      </c>
      <c r="H1558" s="1" t="str">
        <f aca="false">IF(C1558&lt;&gt;"",DEC2HEX(C1558,2),"")</f>
        <v/>
      </c>
      <c r="I1558" s="1" t="str">
        <f aca="false">IF(D1558&lt;&gt;"",DEC2HEX(D1558,2),"")</f>
        <v/>
      </c>
      <c r="J1558" s="1" t="str">
        <f aca="false">IF(H1558&lt;&gt;"","0x"&amp;I1558&amp;H1558,"")</f>
        <v/>
      </c>
      <c r="L1558" s="1" t="s">
        <v>2536</v>
      </c>
      <c r="M1558" s="1" t="str">
        <f aca="false">IF(J1558&lt;&gt;"",J1558,L1558)</f>
        <v>NEW ROUTE</v>
      </c>
    </row>
    <row r="1559" customFormat="false" ht="12.75" hidden="false" customHeight="true" outlineLevel="0" collapsed="false">
      <c r="A1559" s="3" t="s">
        <v>3243</v>
      </c>
      <c r="B1559" s="3" t="str">
        <f aca="false">IF(ISNUMBER(SEARCH("%", A1559)),RIGHT(A1559,3),A1559)</f>
        <v>3, 48, 0,</v>
      </c>
      <c r="C1559" s="1" t="e">
        <f aca="false" t="array" ref="C1559:C1559">IF(B1558="NEW ROUTE",textsplit(B1559,","),"")</f>
        <v>#NAME?</v>
      </c>
      <c r="H1559" s="1" t="e">
        <f aca="false">IF(C1559&lt;&gt;"",DEC2HEX(C1559,2),"")</f>
        <v>#NAME?</v>
      </c>
      <c r="I1559" s="1" t="str">
        <f aca="false">IF(D1559&lt;&gt;"",DEC2HEX(D1559,2),"")</f>
        <v/>
      </c>
      <c r="J1559" s="1" t="e">
        <f aca="false">IF(H1559&lt;&gt;"","0x"&amp;I1559&amp;H1559,"")</f>
        <v>#NAME?</v>
      </c>
      <c r="L1559" s="1" t="s">
        <v>3243</v>
      </c>
      <c r="M1559" s="1" t="e">
        <f aca="false">IF(J1559&lt;&gt;"",J1559,L1559)</f>
        <v>#NAME?</v>
      </c>
    </row>
    <row r="1560" customFormat="false" ht="12.75" hidden="false" customHeight="true" outlineLevel="0" collapsed="false">
      <c r="A1560" s="3" t="s">
        <v>2908</v>
      </c>
      <c r="B1560" s="3" t="str">
        <f aca="false">IF(ISNUMBER(SEARCH("%", A1560)),RIGHT(A1560,3),A1560)</f>
        <v>20%</v>
      </c>
      <c r="C1560" s="1" t="str">
        <f aca="false" t="array" ref="C1560:C1560">IF(B1559="NEW ROUTE",textsplit(B1560,","),"")</f>
        <v/>
      </c>
      <c r="H1560" s="1" t="str">
        <f aca="false">IF(C1560&lt;&gt;"",DEC2HEX(C1560,2),"")</f>
        <v/>
      </c>
      <c r="I1560" s="1" t="str">
        <f aca="false">IF(D1560&lt;&gt;"",DEC2HEX(D1560,2),"")</f>
        <v/>
      </c>
      <c r="J1560" s="1" t="str">
        <f aca="false">IF(H1560&lt;&gt;"","0x"&amp;I1560&amp;H1560,"")</f>
        <v/>
      </c>
      <c r="L1560" s="1" t="s">
        <v>2799</v>
      </c>
      <c r="M1560" s="1" t="str">
        <f aca="false">IF(J1560&lt;&gt;"",J1560,L1560)</f>
        <v>20%</v>
      </c>
    </row>
    <row r="1561" customFormat="false" ht="12.75" hidden="false" customHeight="true" outlineLevel="0" collapsed="false">
      <c r="A1561" s="3" t="s">
        <v>1695</v>
      </c>
      <c r="B1561" s="3" t="str">
        <f aca="false">IF(ISNUMBER(SEARCH("%", A1561)),RIGHT(A1561,3),A1561)</f>
        <v>32, 32, PIDGEY</v>
      </c>
      <c r="C1561" s="1" t="str">
        <f aca="false" t="array" ref="C1561:C1561">IF(B1560="NEW ROUTE",textsplit(B1561,","),"")</f>
        <v/>
      </c>
      <c r="H1561" s="1" t="str">
        <f aca="false">IF(C1561&lt;&gt;"",DEC2HEX(C1561,2),"")</f>
        <v/>
      </c>
      <c r="I1561" s="1" t="str">
        <f aca="false">IF(D1561&lt;&gt;"",DEC2HEX(D1561,2),"")</f>
        <v/>
      </c>
      <c r="J1561" s="1" t="str">
        <f aca="false">IF(H1561&lt;&gt;"","0x"&amp;I1561&amp;H1561,"")</f>
        <v/>
      </c>
      <c r="L1561" s="1" t="s">
        <v>1695</v>
      </c>
      <c r="M1561" s="1" t="str">
        <f aca="false">IF(J1561&lt;&gt;"",J1561,L1561)</f>
        <v>32, 32, PIDGEY</v>
      </c>
    </row>
    <row r="1562" customFormat="false" ht="12.75" hidden="false" customHeight="true" outlineLevel="0" collapsed="false">
      <c r="A1562" s="3" t="s">
        <v>3244</v>
      </c>
      <c r="B1562" s="3" t="str">
        <f aca="false">IF(ISNUMBER(SEARCH("%", A1562)),RIGHT(A1562,3),A1562)</f>
        <v>31, 31, BELLSPROUT</v>
      </c>
      <c r="C1562" s="1" t="str">
        <f aca="false" t="array" ref="C1562:C1562">IF(B1561="NEW ROUTE",textsplit(B1562,","),"")</f>
        <v/>
      </c>
      <c r="H1562" s="1" t="str">
        <f aca="false">IF(C1562&lt;&gt;"",DEC2HEX(C1562,2),"")</f>
        <v/>
      </c>
      <c r="I1562" s="1" t="str">
        <f aca="false">IF(D1562&lt;&gt;"",DEC2HEX(D1562,2),"")</f>
        <v/>
      </c>
      <c r="J1562" s="1" t="str">
        <f aca="false">IF(H1562&lt;&gt;"","0x"&amp;I1562&amp;H1562,"")</f>
        <v/>
      </c>
      <c r="L1562" s="1" t="s">
        <v>3244</v>
      </c>
      <c r="M1562" s="1" t="str">
        <f aca="false">IF(J1562&lt;&gt;"",J1562,L1562)</f>
        <v>31, 31, BELLSPROUT</v>
      </c>
    </row>
    <row r="1563" customFormat="false" ht="12.75" hidden="false" customHeight="true" outlineLevel="0" collapsed="false">
      <c r="A1563" s="3" t="s">
        <v>2801</v>
      </c>
      <c r="B1563" s="3" t="str">
        <f aca="false">IF(ISNUMBER(SEARCH("%", A1563)),RIGHT(A1563,3),A1563)</f>
        <v>0.1</v>
      </c>
      <c r="C1563" s="1" t="str">
        <f aca="false" t="array" ref="C1563:C1563">IF(B1562="NEW ROUTE",textsplit(B1563,","),"")</f>
        <v/>
      </c>
      <c r="H1563" s="1" t="str">
        <f aca="false">IF(C1563&lt;&gt;"",DEC2HEX(C1563,2),"")</f>
        <v/>
      </c>
      <c r="I1563" s="1" t="str">
        <f aca="false">IF(D1563&lt;&gt;"",DEC2HEX(D1563,2),"")</f>
        <v/>
      </c>
      <c r="J1563" s="1" t="str">
        <f aca="false">IF(H1563&lt;&gt;"","0x"&amp;I1563&amp;H1563,"")</f>
        <v/>
      </c>
      <c r="L1563" s="1" t="s">
        <v>2801</v>
      </c>
      <c r="M1563" s="1" t="str">
        <f aca="false">IF(J1563&lt;&gt;"",J1563,L1563)</f>
        <v>0.1</v>
      </c>
    </row>
    <row r="1564" customFormat="false" ht="12.75" hidden="false" customHeight="true" outlineLevel="0" collapsed="false">
      <c r="A1564" s="3" t="s">
        <v>3245</v>
      </c>
      <c r="B1564" s="3" t="str">
        <f aca="false">IF(ISNUMBER(SEARCH("%", A1564)),RIGHT(A1564,3),A1564)</f>
        <v>29, 29, PIDGEY</v>
      </c>
      <c r="C1564" s="1" t="str">
        <f aca="false" t="array" ref="C1564:C1564">IF(B1563="NEW ROUTE",textsplit(B1564,","),"")</f>
        <v/>
      </c>
      <c r="H1564" s="1" t="str">
        <f aca="false">IF(C1564&lt;&gt;"",DEC2HEX(C1564,2),"")</f>
        <v/>
      </c>
      <c r="I1564" s="1" t="str">
        <f aca="false">IF(D1564&lt;&gt;"",DEC2HEX(D1564,2),"")</f>
        <v/>
      </c>
      <c r="J1564" s="1" t="str">
        <f aca="false">IF(H1564&lt;&gt;"","0x"&amp;I1564&amp;H1564,"")</f>
        <v/>
      </c>
      <c r="L1564" s="1" t="s">
        <v>3245</v>
      </c>
      <c r="M1564" s="1" t="str">
        <f aca="false">IF(J1564&lt;&gt;"",J1564,L1564)</f>
        <v>29, 29, PIDGEY</v>
      </c>
    </row>
    <row r="1565" customFormat="false" ht="12.75" hidden="false" customHeight="true" outlineLevel="0" collapsed="false">
      <c r="A1565" s="3" t="s">
        <v>3239</v>
      </c>
      <c r="B1565" s="3" t="str">
        <f aca="false">IF(ISNUMBER(SEARCH("%", A1565)),RIGHT(A1565,3),A1565)</f>
        <v>36, 36, WEEPINBELL</v>
      </c>
      <c r="C1565" s="1" t="str">
        <f aca="false" t="array" ref="C1565:C1565">IF(B1564="NEW ROUTE",textsplit(B1565,","),"")</f>
        <v/>
      </c>
      <c r="H1565" s="1" t="str">
        <f aca="false">IF(C1565&lt;&gt;"",DEC2HEX(C1565,2),"")</f>
        <v/>
      </c>
      <c r="I1565" s="1" t="str">
        <f aca="false">IF(D1565&lt;&gt;"",DEC2HEX(D1565,2),"")</f>
        <v/>
      </c>
      <c r="J1565" s="1" t="str">
        <f aca="false">IF(H1565&lt;&gt;"","0x"&amp;I1565&amp;H1565,"")</f>
        <v/>
      </c>
      <c r="L1565" s="1" t="s">
        <v>3239</v>
      </c>
      <c r="M1565" s="1" t="str">
        <f aca="false">IF(J1565&lt;&gt;"",J1565,L1565)</f>
        <v>36, 36, WEEPINBELL</v>
      </c>
    </row>
    <row r="1566" customFormat="false" ht="12.75" hidden="false" customHeight="true" outlineLevel="0" collapsed="false">
      <c r="A1566" s="3" t="s">
        <v>3246</v>
      </c>
      <c r="B1566" s="3" t="str">
        <f aca="false">IF(ISNUMBER(SEARCH("%", A1566)),RIGHT(A1566,3),A1566)</f>
        <v>34, 34, PIDGEOTTO</v>
      </c>
      <c r="C1566" s="1" t="str">
        <f aca="false" t="array" ref="C1566:C1566">IF(B1565="NEW ROUTE",textsplit(B1566,","),"")</f>
        <v/>
      </c>
      <c r="H1566" s="1" t="str">
        <f aca="false">IF(C1566&lt;&gt;"",DEC2HEX(C1566,2),"")</f>
        <v/>
      </c>
      <c r="I1566" s="1" t="str">
        <f aca="false">IF(D1566&lt;&gt;"",DEC2HEX(D1566,2),"")</f>
        <v/>
      </c>
      <c r="J1566" s="1" t="str">
        <f aca="false">IF(H1566&lt;&gt;"","0x"&amp;I1566&amp;H1566,"")</f>
        <v/>
      </c>
      <c r="L1566" s="1" t="s">
        <v>3246</v>
      </c>
      <c r="M1566" s="1" t="str">
        <f aca="false">IF(J1566&lt;&gt;"",J1566,L1566)</f>
        <v>34, 34, PIDGEOTTO</v>
      </c>
    </row>
    <row r="1567" customFormat="false" ht="12.75" hidden="false" customHeight="true" outlineLevel="0" collapsed="false">
      <c r="A1567" s="3" t="s">
        <v>3224</v>
      </c>
      <c r="B1567" s="3" t="str">
        <f aca="false">IF(ISNUMBER(SEARCH("%", A1567)),RIGHT(A1567,3),A1567)</f>
        <v>31, 31, MEOWTH</v>
      </c>
      <c r="C1567" s="1" t="str">
        <f aca="false" t="array" ref="C1567:C1567">IF(B1566="NEW ROUTE",textsplit(B1567,","),"")</f>
        <v/>
      </c>
      <c r="H1567" s="1" t="str">
        <f aca="false">IF(C1567&lt;&gt;"",DEC2HEX(C1567,2),"")</f>
        <v/>
      </c>
      <c r="I1567" s="1" t="str">
        <f aca="false">IF(D1567&lt;&gt;"",DEC2HEX(D1567,2),"")</f>
        <v/>
      </c>
      <c r="J1567" s="1" t="str">
        <f aca="false">IF(H1567&lt;&gt;"","0x"&amp;I1567&amp;H1567,"")</f>
        <v/>
      </c>
      <c r="L1567" s="1" t="s">
        <v>3224</v>
      </c>
      <c r="M1567" s="1" t="str">
        <f aca="false">IF(J1567&lt;&gt;"",J1567,L1567)</f>
        <v>31, 31, MEOWTH</v>
      </c>
    </row>
    <row r="1568" customFormat="false" ht="12.75" hidden="false" customHeight="true" outlineLevel="0" collapsed="false">
      <c r="A1568" s="3" t="s">
        <v>2806</v>
      </c>
      <c r="B1568" s="3" t="str">
        <f aca="false">IF(ISNUMBER(SEARCH("%", A1568)),RIGHT(A1568,3),A1568)</f>
        <v>0.05</v>
      </c>
      <c r="C1568" s="1" t="str">
        <f aca="false" t="array" ref="C1568:C1568">IF(B1567="NEW ROUTE",textsplit(B1568,","),"")</f>
        <v/>
      </c>
      <c r="H1568" s="1" t="str">
        <f aca="false">IF(C1568&lt;&gt;"",DEC2HEX(C1568,2),"")</f>
        <v/>
      </c>
      <c r="I1568" s="1" t="str">
        <f aca="false">IF(D1568&lt;&gt;"",DEC2HEX(D1568,2),"")</f>
        <v/>
      </c>
      <c r="J1568" s="1" t="str">
        <f aca="false">IF(H1568&lt;&gt;"","0x"&amp;I1568&amp;H1568,"")</f>
        <v/>
      </c>
      <c r="L1568" s="1" t="s">
        <v>2806</v>
      </c>
      <c r="M1568" s="1" t="str">
        <f aca="false">IF(J1568&lt;&gt;"",J1568,L1568)</f>
        <v>0.05</v>
      </c>
    </row>
    <row r="1569" customFormat="false" ht="12.75" hidden="false" customHeight="true" outlineLevel="0" collapsed="false">
      <c r="A1569" s="3" t="s">
        <v>3130</v>
      </c>
      <c r="B1569" s="3" t="str">
        <f aca="false">IF(ISNUMBER(SEARCH("%", A1569)),RIGHT(A1569,3),A1569)</f>
        <v>34, 34, VENONAT</v>
      </c>
      <c r="C1569" s="1" t="str">
        <f aca="false" t="array" ref="C1569:C1569">IF(B1568="NEW ROUTE",textsplit(B1569,","),"")</f>
        <v/>
      </c>
      <c r="H1569" s="1" t="str">
        <f aca="false">IF(C1569&lt;&gt;"",DEC2HEX(C1569,2),"")</f>
        <v/>
      </c>
      <c r="I1569" s="1" t="str">
        <f aca="false">IF(D1569&lt;&gt;"",DEC2HEX(D1569,2),"")</f>
        <v/>
      </c>
      <c r="J1569" s="1" t="str">
        <f aca="false">IF(H1569&lt;&gt;"","0x"&amp;I1569&amp;H1569,"")</f>
        <v/>
      </c>
      <c r="L1569" s="1" t="s">
        <v>3130</v>
      </c>
      <c r="M1569" s="1" t="str">
        <f aca="false">IF(J1569&lt;&gt;"",J1569,L1569)</f>
        <v>34, 34, VENONAT</v>
      </c>
    </row>
    <row r="1570" customFormat="false" ht="12.75" hidden="false" customHeight="true" outlineLevel="0" collapsed="false">
      <c r="A1570" s="3" t="s">
        <v>3133</v>
      </c>
      <c r="B1570" s="3" t="str">
        <f aca="false">IF(ISNUMBER(SEARCH("%", A1570)),RIGHT(A1570,3),A1570)</f>
        <v>31, 31, SLOWPOKE</v>
      </c>
      <c r="C1570" s="1" t="str">
        <f aca="false" t="array" ref="C1570:C1570">IF(B1569="NEW ROUTE",textsplit(B1570,","),"")</f>
        <v/>
      </c>
      <c r="H1570" s="1" t="str">
        <f aca="false">IF(C1570&lt;&gt;"",DEC2HEX(C1570,2),"")</f>
        <v/>
      </c>
      <c r="I1570" s="1" t="str">
        <f aca="false">IF(D1570&lt;&gt;"",DEC2HEX(D1570,2),"")</f>
        <v/>
      </c>
      <c r="J1570" s="1" t="str">
        <f aca="false">IF(H1570&lt;&gt;"","0x"&amp;I1570&amp;H1570,"")</f>
        <v/>
      </c>
      <c r="L1570" s="1" t="s">
        <v>3133</v>
      </c>
      <c r="M1570" s="1" t="str">
        <f aca="false">IF(J1570&lt;&gt;"",J1570,L1570)</f>
        <v>31, 31, SLOWPOKE</v>
      </c>
    </row>
    <row r="1571" customFormat="false" ht="12.75" hidden="false" customHeight="true" outlineLevel="0" collapsed="false">
      <c r="A1571" s="3" t="s">
        <v>2809</v>
      </c>
      <c r="B1571" s="3" t="str">
        <f aca="false">IF(ISNUMBER(SEARCH("%", A1571)),RIGHT(A1571,3),A1571)</f>
        <v>0.04</v>
      </c>
      <c r="C1571" s="1" t="str">
        <f aca="false" t="array" ref="C1571:C1571">IF(B1570="NEW ROUTE",textsplit(B1571,","),"")</f>
        <v/>
      </c>
      <c r="H1571" s="1" t="str">
        <f aca="false">IF(C1571&lt;&gt;"",DEC2HEX(C1571,2),"")</f>
        <v/>
      </c>
      <c r="I1571" s="1" t="str">
        <f aca="false">IF(D1571&lt;&gt;"",DEC2HEX(D1571,2),"")</f>
        <v/>
      </c>
      <c r="J1571" s="1" t="str">
        <f aca="false">IF(H1571&lt;&gt;"","0x"&amp;I1571&amp;H1571,"")</f>
        <v/>
      </c>
      <c r="L1571" s="1" t="s">
        <v>2809</v>
      </c>
      <c r="M1571" s="1" t="str">
        <f aca="false">IF(J1571&lt;&gt;"",J1571,L1571)</f>
        <v>0.04</v>
      </c>
    </row>
    <row r="1572" customFormat="false" ht="12.75" hidden="false" customHeight="true" outlineLevel="0" collapsed="false">
      <c r="A1572" s="3" t="s">
        <v>1569</v>
      </c>
      <c r="B1572" s="3" t="str">
        <f aca="false">IF(ISNUMBER(SEARCH("%", A1572)),RIGHT(A1572,3),A1572)</f>
        <v>37, 37, PIDGEOTTO</v>
      </c>
      <c r="C1572" s="1" t="str">
        <f aca="false" t="array" ref="C1572:C1572">IF(B1571="NEW ROUTE",textsplit(B1572,","),"")</f>
        <v/>
      </c>
      <c r="H1572" s="1" t="str">
        <f aca="false">IF(C1572&lt;&gt;"",DEC2HEX(C1572,2),"")</f>
        <v/>
      </c>
      <c r="I1572" s="1" t="str">
        <f aca="false">IF(D1572&lt;&gt;"",DEC2HEX(D1572,2),"")</f>
        <v/>
      </c>
      <c r="J1572" s="1" t="str">
        <f aca="false">IF(H1572&lt;&gt;"","0x"&amp;I1572&amp;H1572,"")</f>
        <v/>
      </c>
      <c r="L1572" s="1" t="s">
        <v>1569</v>
      </c>
      <c r="M1572" s="1" t="str">
        <f aca="false">IF(J1572&lt;&gt;"",J1572,L1572)</f>
        <v>37, 37, PIDGEOTTO</v>
      </c>
    </row>
    <row r="1573" customFormat="false" ht="12.75" hidden="false" customHeight="true" outlineLevel="0" collapsed="false">
      <c r="A1573" s="3" t="s">
        <v>3228</v>
      </c>
      <c r="B1573" s="3" t="str">
        <f aca="false">IF(ISNUMBER(SEARCH("%", A1573)),RIGHT(A1573,3),A1573)</f>
        <v>37, 37, PERSIAN</v>
      </c>
      <c r="C1573" s="1" t="str">
        <f aca="false" t="array" ref="C1573:C1573">IF(B1572="NEW ROUTE",textsplit(B1573,","),"")</f>
        <v/>
      </c>
      <c r="H1573" s="1" t="str">
        <f aca="false">IF(C1573&lt;&gt;"",DEC2HEX(C1573,2),"")</f>
        <v/>
      </c>
      <c r="I1573" s="1" t="str">
        <f aca="false">IF(D1573&lt;&gt;"",DEC2HEX(D1573,2),"")</f>
        <v/>
      </c>
      <c r="J1573" s="1" t="str">
        <f aca="false">IF(H1573&lt;&gt;"","0x"&amp;I1573&amp;H1573,"")</f>
        <v/>
      </c>
      <c r="L1573" s="1" t="s">
        <v>3228</v>
      </c>
      <c r="M1573" s="1" t="str">
        <f aca="false">IF(J1573&lt;&gt;"",J1573,L1573)</f>
        <v>37, 37, PERSIAN</v>
      </c>
    </row>
    <row r="1574" customFormat="false" ht="12.75" hidden="false" customHeight="true" outlineLevel="0" collapsed="false">
      <c r="A1574" s="3" t="s">
        <v>2812</v>
      </c>
      <c r="B1574" s="3" t="str">
        <f aca="false">IF(ISNUMBER(SEARCH("%", A1574)),RIGHT(A1574,3),A1574)</f>
        <v>0.01</v>
      </c>
      <c r="C1574" s="1" t="str">
        <f aca="false" t="array" ref="C1574:C1574">IF(B1573="NEW ROUTE",textsplit(B1574,","),"")</f>
        <v/>
      </c>
      <c r="H1574" s="1" t="str">
        <f aca="false">IF(C1574&lt;&gt;"",DEC2HEX(C1574,2),"")</f>
        <v/>
      </c>
      <c r="I1574" s="1" t="str">
        <f aca="false">IF(D1574&lt;&gt;"",DEC2HEX(D1574,2),"")</f>
        <v/>
      </c>
      <c r="J1574" s="1" t="str">
        <f aca="false">IF(H1574&lt;&gt;"","0x"&amp;I1574&amp;H1574,"")</f>
        <v/>
      </c>
      <c r="L1574" s="1" t="s">
        <v>2812</v>
      </c>
      <c r="M1574" s="1" t="str">
        <f aca="false">IF(J1574&lt;&gt;"",J1574,L1574)</f>
        <v>0.01</v>
      </c>
    </row>
    <row r="1575" customFormat="false" ht="12.75" hidden="false" customHeight="true" outlineLevel="0" collapsed="false">
      <c r="A1575" s="3" t="s">
        <v>3247</v>
      </c>
      <c r="B1575" s="3" t="str">
        <f aca="false">IF(ISNUMBER(SEARCH("%", A1575)),RIGHT(A1575,3),A1575)</f>
        <v>40, 40, PIDGEOTTO</v>
      </c>
      <c r="C1575" s="1" t="str">
        <f aca="false" t="array" ref="C1575:C1575">IF(B1574="NEW ROUTE",textsplit(B1575,","),"")</f>
        <v/>
      </c>
      <c r="H1575" s="1" t="str">
        <f aca="false">IF(C1575&lt;&gt;"",DEC2HEX(C1575,2),"")</f>
        <v/>
      </c>
      <c r="I1575" s="1" t="str">
        <f aca="false">IF(D1575&lt;&gt;"",DEC2HEX(D1575,2),"")</f>
        <v/>
      </c>
      <c r="J1575" s="1" t="str">
        <f aca="false">IF(H1575&lt;&gt;"","0x"&amp;I1575&amp;H1575,"")</f>
        <v/>
      </c>
      <c r="L1575" s="1" t="s">
        <v>3247</v>
      </c>
      <c r="M1575" s="1" t="str">
        <f aca="false">IF(J1575&lt;&gt;"",J1575,L1575)</f>
        <v>40, 40, PIDGEOTTO</v>
      </c>
    </row>
    <row r="1576" customFormat="false" ht="12.75" hidden="false" customHeight="true" outlineLevel="0" collapsed="false">
      <c r="A1576" s="3" t="s">
        <v>3230</v>
      </c>
      <c r="B1576" s="3" t="str">
        <f aca="false">IF(ISNUMBER(SEARCH("%", A1576)),RIGHT(A1576,3),A1576)</f>
        <v>40, 40, PERSIAN</v>
      </c>
      <c r="C1576" s="1" t="str">
        <f aca="false" t="array" ref="C1576:C1576">IF(B1575="NEW ROUTE",textsplit(B1576,","),"")</f>
        <v/>
      </c>
      <c r="H1576" s="1" t="str">
        <f aca="false">IF(C1576&lt;&gt;"",DEC2HEX(C1576,2),"")</f>
        <v/>
      </c>
      <c r="I1576" s="1" t="str">
        <f aca="false">IF(D1576&lt;&gt;"",DEC2HEX(D1576,2),"")</f>
        <v/>
      </c>
      <c r="J1576" s="1" t="str">
        <f aca="false">IF(H1576&lt;&gt;"","0x"&amp;I1576&amp;H1576,"")</f>
        <v/>
      </c>
      <c r="L1576" s="1" t="s">
        <v>3230</v>
      </c>
      <c r="M1576" s="1" t="str">
        <f aca="false">IF(J1576&lt;&gt;"",J1576,L1576)</f>
        <v>40, 40, PERSIAN</v>
      </c>
    </row>
    <row r="1577" customFormat="false" ht="12.75" hidden="false" customHeight="true" outlineLevel="0" collapsed="false">
      <c r="A1577" s="3" t="s">
        <v>3172</v>
      </c>
      <c r="B1577" s="3" t="str">
        <f aca="false">IF(ISNUMBER(SEARCH("%", A1577)),RIGHT(A1577,3),A1577)</f>
        <v>2, 5, 20, TENTACOOL</v>
      </c>
      <c r="C1577" s="1" t="str">
        <f aca="false" t="array" ref="C1577:C1577">IF(B1576="NEW ROUTE",textsplit(B1577,","),"")</f>
        <v/>
      </c>
      <c r="H1577" s="1" t="str">
        <f aca="false">IF(C1577&lt;&gt;"",DEC2HEX(C1577,2),"")</f>
        <v/>
      </c>
      <c r="I1577" s="1" t="str">
        <f aca="false">IF(D1577&lt;&gt;"",DEC2HEX(D1577,2),"")</f>
        <v/>
      </c>
      <c r="J1577" s="1" t="str">
        <f aca="false">IF(H1577&lt;&gt;"","0x"&amp;I1577&amp;H1577,"")</f>
        <v/>
      </c>
      <c r="L1577" s="1" t="s">
        <v>3172</v>
      </c>
      <c r="M1577" s="1" t="str">
        <f aca="false">IF(J1577&lt;&gt;"",J1577,L1577)</f>
        <v>2, 5, 20, TENTACOOL</v>
      </c>
    </row>
    <row r="1578" customFormat="false" ht="12.75" hidden="false" customHeight="true" outlineLevel="0" collapsed="false">
      <c r="A1578" s="3" t="s">
        <v>3173</v>
      </c>
      <c r="B1578" s="3" t="str">
        <f aca="false">IF(ISNUMBER(SEARCH("%", A1578)),RIGHT(A1578,3),A1578)</f>
        <v>20, 35, TENTACOOL</v>
      </c>
      <c r="C1578" s="1" t="str">
        <f aca="false" t="array" ref="C1578:C1578">IF(B1577="NEW ROUTE",textsplit(B1578,","),"")</f>
        <v/>
      </c>
      <c r="H1578" s="1" t="str">
        <f aca="false">IF(C1578&lt;&gt;"",DEC2HEX(C1578,2),"")</f>
        <v/>
      </c>
      <c r="I1578" s="1" t="str">
        <f aca="false">IF(D1578&lt;&gt;"",DEC2HEX(D1578,2),"")</f>
        <v/>
      </c>
      <c r="J1578" s="1" t="str">
        <f aca="false">IF(H1578&lt;&gt;"","0x"&amp;I1578&amp;H1578,"")</f>
        <v/>
      </c>
      <c r="L1578" s="1" t="s">
        <v>3173</v>
      </c>
      <c r="M1578" s="1" t="str">
        <f aca="false">IF(J1578&lt;&gt;"",J1578,L1578)</f>
        <v>20, 35, TENTACOOL</v>
      </c>
    </row>
    <row r="1579" customFormat="false" ht="12.75" hidden="false" customHeight="true" outlineLevel="0" collapsed="false">
      <c r="A1579" s="3" t="s">
        <v>2844</v>
      </c>
      <c r="B1579" s="3" t="str">
        <f aca="false">IF(ISNUMBER(SEARCH("%", A1579)),RIGHT(A1579,3),A1579)</f>
        <v>35, 40, TENTACOOL</v>
      </c>
      <c r="C1579" s="1" t="str">
        <f aca="false" t="array" ref="C1579:C1579">IF(B1578="NEW ROUTE",textsplit(B1579,","),"")</f>
        <v/>
      </c>
      <c r="H1579" s="1" t="str">
        <f aca="false">IF(C1579&lt;&gt;"",DEC2HEX(C1579,2),"")</f>
        <v/>
      </c>
      <c r="I1579" s="1" t="str">
        <f aca="false">IF(D1579&lt;&gt;"",DEC2HEX(D1579,2),"")</f>
        <v/>
      </c>
      <c r="J1579" s="1" t="str">
        <f aca="false">IF(H1579&lt;&gt;"","0x"&amp;I1579&amp;H1579,"")</f>
        <v/>
      </c>
      <c r="L1579" s="1" t="s">
        <v>2844</v>
      </c>
      <c r="M1579" s="1" t="str">
        <f aca="false">IF(J1579&lt;&gt;"",J1579,L1579)</f>
        <v>35, 40, TENTACOOL</v>
      </c>
    </row>
    <row r="1580" customFormat="false" ht="12.75" hidden="false" customHeight="true" outlineLevel="0" collapsed="false">
      <c r="A1580" s="3" t="s">
        <v>3231</v>
      </c>
      <c r="B1580" s="3" t="str">
        <f aca="false">IF(ISNUMBER(SEARCH("%", A1580)),RIGHT(A1580,3),A1580)</f>
        <v>35, 40, TENTACRUEL</v>
      </c>
      <c r="C1580" s="1" t="str">
        <f aca="false" t="array" ref="C1580:C1580">IF(B1579="NEW ROUTE",textsplit(B1580,","),"")</f>
        <v/>
      </c>
      <c r="H1580" s="1" t="str">
        <f aca="false">IF(C1580&lt;&gt;"",DEC2HEX(C1580,2),"")</f>
        <v/>
      </c>
      <c r="I1580" s="1" t="str">
        <f aca="false">IF(D1580&lt;&gt;"",DEC2HEX(D1580,2),"")</f>
        <v/>
      </c>
      <c r="J1580" s="1" t="str">
        <f aca="false">IF(H1580&lt;&gt;"","0x"&amp;I1580&amp;H1580,"")</f>
        <v/>
      </c>
      <c r="L1580" s="1" t="s">
        <v>3231</v>
      </c>
      <c r="M1580" s="1" t="str">
        <f aca="false">IF(J1580&lt;&gt;"",J1580,L1580)</f>
        <v>35, 40, TENTACRUEL</v>
      </c>
    </row>
    <row r="1581" customFormat="false" ht="12.75" hidden="false" customHeight="true" outlineLevel="0" collapsed="false">
      <c r="A1581" s="3" t="s">
        <v>3231</v>
      </c>
      <c r="B1581" s="3" t="str">
        <f aca="false">IF(ISNUMBER(SEARCH("%", A1581)),RIGHT(A1581,3),A1581)</f>
        <v>35, 40, TENTACRUEL</v>
      </c>
      <c r="C1581" s="1" t="str">
        <f aca="false" t="array" ref="C1581:C1581">IF(B1580="NEW ROUTE",textsplit(B1581,","),"")</f>
        <v/>
      </c>
      <c r="H1581" s="1" t="str">
        <f aca="false">IF(C1581&lt;&gt;"",DEC2HEX(C1581,2),"")</f>
        <v/>
      </c>
      <c r="I1581" s="1" t="str">
        <f aca="false">IF(D1581&lt;&gt;"",DEC2HEX(D1581,2),"")</f>
        <v/>
      </c>
      <c r="J1581" s="1" t="str">
        <f aca="false">IF(H1581&lt;&gt;"","0x"&amp;I1581&amp;H1581,"")</f>
        <v/>
      </c>
      <c r="L1581" s="1" t="s">
        <v>3231</v>
      </c>
      <c r="M1581" s="1" t="str">
        <f aca="false">IF(J1581&lt;&gt;"",J1581,L1581)</f>
        <v>35, 40, TENTACRUEL</v>
      </c>
    </row>
    <row r="1582" customFormat="false" ht="12.75" hidden="false" customHeight="true" outlineLevel="0" collapsed="false">
      <c r="A1582" s="3" t="s">
        <v>2925</v>
      </c>
      <c r="B1582" s="3" t="str">
        <f aca="false">IF(ISNUMBER(SEARCH("%", A1582)),RIGHT(A1582,3),A1582)</f>
        <v>20, old rod:</v>
      </c>
      <c r="C1582" s="1" t="str">
        <f aca="false" t="array" ref="C1582:C1582">IF(B1581="NEW ROUTE",textsplit(B1582,","),"")</f>
        <v/>
      </c>
      <c r="H1582" s="1" t="str">
        <f aca="false">IF(C1582&lt;&gt;"",DEC2HEX(C1582,2),"")</f>
        <v/>
      </c>
      <c r="I1582" s="1" t="str">
        <f aca="false">IF(D1582&lt;&gt;"",DEC2HEX(D1582,2),"")</f>
        <v/>
      </c>
      <c r="J1582" s="1" t="str">
        <f aca="false">IF(H1582&lt;&gt;"","0x"&amp;I1582&amp;H1582,"")</f>
        <v/>
      </c>
      <c r="L1582" s="1" t="s">
        <v>2925</v>
      </c>
      <c r="M1582" s="1" t="str">
        <f aca="false">IF(J1582&lt;&gt;"",J1582,L1582)</f>
        <v>20, old rod:</v>
      </c>
    </row>
    <row r="1583" customFormat="false" ht="12.75" hidden="false" customHeight="true" outlineLevel="0" collapsed="false">
      <c r="A1583" s="3" t="s">
        <v>1266</v>
      </c>
      <c r="B1583" s="3" t="str">
        <f aca="false">IF(ISNUMBER(SEARCH("%", A1583)),RIGHT(A1583,3),A1583)</f>
        <v>5, 5, MAGIKARP</v>
      </c>
      <c r="C1583" s="1" t="str">
        <f aca="false" t="array" ref="C1583:C1583">IF(B1582="NEW ROUTE",textsplit(B1583,","),"")</f>
        <v/>
      </c>
      <c r="H1583" s="1" t="str">
        <f aca="false">IF(C1583&lt;&gt;"",DEC2HEX(C1583,2),"")</f>
        <v/>
      </c>
      <c r="I1583" s="1" t="str">
        <f aca="false">IF(D1583&lt;&gt;"",DEC2HEX(D1583,2),"")</f>
        <v/>
      </c>
      <c r="J1583" s="1" t="str">
        <f aca="false">IF(H1583&lt;&gt;"","0x"&amp;I1583&amp;H1583,"")</f>
        <v/>
      </c>
      <c r="L1583" s="1" t="s">
        <v>1266</v>
      </c>
      <c r="M1583" s="1" t="str">
        <f aca="false">IF(J1583&lt;&gt;"",J1583,L1583)</f>
        <v>5, 5, MAGIKARP</v>
      </c>
    </row>
    <row r="1584" customFormat="false" ht="12.75" hidden="false" customHeight="true" outlineLevel="0" collapsed="false">
      <c r="A1584" s="3" t="s">
        <v>1266</v>
      </c>
      <c r="B1584" s="3" t="str">
        <f aca="false">IF(ISNUMBER(SEARCH("%", A1584)),RIGHT(A1584,3),A1584)</f>
        <v>5, 5, MAGIKARP</v>
      </c>
      <c r="C1584" s="1" t="str">
        <f aca="false" t="array" ref="C1584:C1584">IF(B1583="NEW ROUTE",textsplit(B1584,","),"")</f>
        <v/>
      </c>
      <c r="H1584" s="1" t="str">
        <f aca="false">IF(C1584&lt;&gt;"",DEC2HEX(C1584,2),"")</f>
        <v/>
      </c>
      <c r="I1584" s="1" t="str">
        <f aca="false">IF(D1584&lt;&gt;"",DEC2HEX(D1584,2),"")</f>
        <v/>
      </c>
      <c r="J1584" s="1" t="str">
        <f aca="false">IF(H1584&lt;&gt;"","0x"&amp;I1584&amp;H1584,"")</f>
        <v/>
      </c>
      <c r="L1584" s="1" t="s">
        <v>1266</v>
      </c>
      <c r="M1584" s="1" t="str">
        <f aca="false">IF(J1584&lt;&gt;"",J1584,L1584)</f>
        <v>5, 5, MAGIKARP</v>
      </c>
    </row>
    <row r="1585" customFormat="false" ht="12.75" hidden="false" customHeight="true" outlineLevel="0" collapsed="false">
      <c r="A1585" s="3" t="s">
        <v>2846</v>
      </c>
      <c r="B1585" s="3" t="str">
        <f aca="false">IF(ISNUMBER(SEARCH("%", A1585)),RIGHT(A1585,3),A1585)</f>
        <v>good rod:</v>
      </c>
      <c r="C1585" s="1" t="str">
        <f aca="false" t="array" ref="C1585:C1585">IF(B1584="NEW ROUTE",textsplit(B1585,","),"")</f>
        <v/>
      </c>
      <c r="H1585" s="1" t="str">
        <f aca="false">IF(C1585&lt;&gt;"",DEC2HEX(C1585,2),"")</f>
        <v/>
      </c>
      <c r="I1585" s="1" t="str">
        <f aca="false">IF(D1585&lt;&gt;"",DEC2HEX(D1585,2),"")</f>
        <v/>
      </c>
      <c r="J1585" s="1" t="str">
        <f aca="false">IF(H1585&lt;&gt;"","0x"&amp;I1585&amp;H1585,"")</f>
        <v/>
      </c>
      <c r="L1585" s="1" t="s">
        <v>2846</v>
      </c>
      <c r="M1585" s="1" t="str">
        <f aca="false">IF(J1585&lt;&gt;"",J1585,L1585)</f>
        <v>good rod:</v>
      </c>
    </row>
    <row r="1586" customFormat="false" ht="12.75" hidden="false" customHeight="true" outlineLevel="0" collapsed="false">
      <c r="A1586" s="3" t="s">
        <v>2847</v>
      </c>
      <c r="B1586" s="3" t="str">
        <f aca="false">IF(ISNUMBER(SEARCH("%", A1586)),RIGHT(A1586,3),A1586)</f>
        <v>5, 15, KRABBY</v>
      </c>
      <c r="C1586" s="1" t="str">
        <f aca="false" t="array" ref="C1586:C1586">IF(B1585="NEW ROUTE",textsplit(B1586,","),"")</f>
        <v/>
      </c>
      <c r="H1586" s="1" t="str">
        <f aca="false">IF(C1586&lt;&gt;"",DEC2HEX(C1586,2),"")</f>
        <v/>
      </c>
      <c r="I1586" s="1" t="str">
        <f aca="false">IF(D1586&lt;&gt;"",DEC2HEX(D1586,2),"")</f>
        <v/>
      </c>
      <c r="J1586" s="1" t="str">
        <f aca="false">IF(H1586&lt;&gt;"","0x"&amp;I1586&amp;H1586,"")</f>
        <v/>
      </c>
      <c r="L1586" s="1" t="s">
        <v>2847</v>
      </c>
      <c r="M1586" s="1" t="str">
        <f aca="false">IF(J1586&lt;&gt;"",J1586,L1586)</f>
        <v>5, 15, KRABBY</v>
      </c>
    </row>
    <row r="1587" customFormat="false" ht="12.75" hidden="false" customHeight="true" outlineLevel="0" collapsed="false">
      <c r="A1587" s="3" t="s">
        <v>2848</v>
      </c>
      <c r="B1587" s="3" t="str">
        <f aca="false">IF(ISNUMBER(SEARCH("%", A1587)),RIGHT(A1587,3),A1587)</f>
        <v>5, 15, MAGIKARP</v>
      </c>
      <c r="C1587" s="1" t="str">
        <f aca="false" t="array" ref="C1587:C1587">IF(B1586="NEW ROUTE",textsplit(B1587,","),"")</f>
        <v/>
      </c>
      <c r="H1587" s="1" t="str">
        <f aca="false">IF(C1587&lt;&gt;"",DEC2HEX(C1587,2),"")</f>
        <v/>
      </c>
      <c r="I1587" s="1" t="str">
        <f aca="false">IF(D1587&lt;&gt;"",DEC2HEX(D1587,2),"")</f>
        <v/>
      </c>
      <c r="J1587" s="1" t="str">
        <f aca="false">IF(H1587&lt;&gt;"","0x"&amp;I1587&amp;H1587,"")</f>
        <v/>
      </c>
      <c r="L1587" s="1" t="s">
        <v>2848</v>
      </c>
      <c r="M1587" s="1" t="str">
        <f aca="false">IF(J1587&lt;&gt;"",J1587,L1587)</f>
        <v>5, 15, MAGIKARP</v>
      </c>
    </row>
    <row r="1588" customFormat="false" ht="12.75" hidden="false" customHeight="true" outlineLevel="0" collapsed="false">
      <c r="A1588" s="3" t="s">
        <v>2847</v>
      </c>
      <c r="B1588" s="3" t="str">
        <f aca="false">IF(ISNUMBER(SEARCH("%", A1588)),RIGHT(A1588,3),A1588)</f>
        <v>5, 15, KRABBY</v>
      </c>
      <c r="C1588" s="1" t="str">
        <f aca="false" t="array" ref="C1588:C1588">IF(B1587="NEW ROUTE",textsplit(B1588,","),"")</f>
        <v/>
      </c>
      <c r="H1588" s="1" t="str">
        <f aca="false">IF(C1588&lt;&gt;"",DEC2HEX(C1588,2),"")</f>
        <v/>
      </c>
      <c r="I1588" s="1" t="str">
        <f aca="false">IF(D1588&lt;&gt;"",DEC2HEX(D1588,2),"")</f>
        <v/>
      </c>
      <c r="J1588" s="1" t="str">
        <f aca="false">IF(H1588&lt;&gt;"","0x"&amp;I1588&amp;H1588,"")</f>
        <v/>
      </c>
      <c r="L1588" s="1" t="s">
        <v>2847</v>
      </c>
      <c r="M1588" s="1" t="str">
        <f aca="false">IF(J1588&lt;&gt;"",J1588,L1588)</f>
        <v>5, 15, KRABBY</v>
      </c>
    </row>
    <row r="1589" customFormat="false" ht="12.75" hidden="false" customHeight="true" outlineLevel="0" collapsed="false">
      <c r="A1589" s="3" t="s">
        <v>2850</v>
      </c>
      <c r="B1589" s="3" t="str">
        <f aca="false">IF(ISNUMBER(SEARCH("%", A1589)),RIGHT(A1589,3),A1589)</f>
        <v>super rod:</v>
      </c>
      <c r="C1589" s="1" t="str">
        <f aca="false" t="array" ref="C1589:C1589">IF(B1588="NEW ROUTE",textsplit(B1589,","),"")</f>
        <v/>
      </c>
      <c r="H1589" s="1" t="str">
        <f aca="false">IF(C1589&lt;&gt;"",DEC2HEX(C1589,2),"")</f>
        <v/>
      </c>
      <c r="I1589" s="1" t="str">
        <f aca="false">IF(D1589&lt;&gt;"",DEC2HEX(D1589,2),"")</f>
        <v/>
      </c>
      <c r="J1589" s="1" t="str">
        <f aca="false">IF(H1589&lt;&gt;"","0x"&amp;I1589&amp;H1589,"")</f>
        <v/>
      </c>
      <c r="L1589" s="1" t="s">
        <v>2850</v>
      </c>
      <c r="M1589" s="1" t="str">
        <f aca="false">IF(J1589&lt;&gt;"",J1589,L1589)</f>
        <v>super rod:</v>
      </c>
    </row>
    <row r="1590" customFormat="false" ht="12.75" hidden="false" customHeight="true" outlineLevel="0" collapsed="false">
      <c r="A1590" s="3" t="s">
        <v>2851</v>
      </c>
      <c r="B1590" s="3" t="str">
        <f aca="false">IF(ISNUMBER(SEARCH("%", A1590)),RIGHT(A1590,3),A1590)</f>
        <v>15, 25, KRABBY</v>
      </c>
      <c r="C1590" s="1" t="str">
        <f aca="false" t="array" ref="C1590:C1590">IF(B1589="NEW ROUTE",textsplit(B1590,","),"")</f>
        <v/>
      </c>
      <c r="H1590" s="1" t="str">
        <f aca="false">IF(C1590&lt;&gt;"",DEC2HEX(C1590,2),"")</f>
        <v/>
      </c>
      <c r="I1590" s="1" t="str">
        <f aca="false">IF(D1590&lt;&gt;"",DEC2HEX(D1590,2),"")</f>
        <v/>
      </c>
      <c r="J1590" s="1" t="str">
        <f aca="false">IF(H1590&lt;&gt;"","0x"&amp;I1590&amp;H1590,"")</f>
        <v/>
      </c>
      <c r="L1590" s="1" t="s">
        <v>2851</v>
      </c>
      <c r="M1590" s="1" t="str">
        <f aca="false">IF(J1590&lt;&gt;"",J1590,L1590)</f>
        <v>15, 25, KRABBY</v>
      </c>
    </row>
    <row r="1591" customFormat="false" ht="12.75" hidden="false" customHeight="true" outlineLevel="0" collapsed="false">
      <c r="A1591" s="3" t="s">
        <v>2851</v>
      </c>
      <c r="B1591" s="3" t="str">
        <f aca="false">IF(ISNUMBER(SEARCH("%", A1591)),RIGHT(A1591,3),A1591)</f>
        <v>15, 25, KRABBY</v>
      </c>
      <c r="C1591" s="1" t="str">
        <f aca="false" t="array" ref="C1591:C1591">IF(B1590="NEW ROUTE",textsplit(B1591,","),"")</f>
        <v/>
      </c>
      <c r="H1591" s="1" t="str">
        <f aca="false">IF(C1591&lt;&gt;"",DEC2HEX(C1591,2),"")</f>
        <v/>
      </c>
      <c r="I1591" s="1" t="str">
        <f aca="false">IF(D1591&lt;&gt;"",DEC2HEX(D1591,2),"")</f>
        <v/>
      </c>
      <c r="J1591" s="1" t="str">
        <f aca="false">IF(H1591&lt;&gt;"","0x"&amp;I1591&amp;H1591,"")</f>
        <v/>
      </c>
      <c r="L1591" s="1" t="s">
        <v>2851</v>
      </c>
      <c r="M1591" s="1" t="str">
        <f aca="false">IF(J1591&lt;&gt;"",J1591,L1591)</f>
        <v>15, 25, KRABBY</v>
      </c>
    </row>
    <row r="1592" customFormat="false" ht="12.75" hidden="false" customHeight="true" outlineLevel="0" collapsed="false">
      <c r="A1592" s="3" t="s">
        <v>2853</v>
      </c>
      <c r="B1592" s="3" t="str">
        <f aca="false">IF(ISNUMBER(SEARCH("%", A1592)),RIGHT(A1592,3),A1592)</f>
        <v>15, 25, GYARADOS</v>
      </c>
      <c r="C1592" s="1" t="str">
        <f aca="false" t="array" ref="C1592:C1592">IF(B1591="NEW ROUTE",textsplit(B1592,","),"")</f>
        <v/>
      </c>
      <c r="H1592" s="1" t="str">
        <f aca="false">IF(C1592&lt;&gt;"",DEC2HEX(C1592,2),"")</f>
        <v/>
      </c>
      <c r="I1592" s="1" t="str">
        <f aca="false">IF(D1592&lt;&gt;"",DEC2HEX(D1592,2),"")</f>
        <v/>
      </c>
      <c r="J1592" s="1" t="str">
        <f aca="false">IF(H1592&lt;&gt;"","0x"&amp;I1592&amp;H1592,"")</f>
        <v/>
      </c>
      <c r="L1592" s="1" t="s">
        <v>2853</v>
      </c>
      <c r="M1592" s="1" t="str">
        <f aca="false">IF(J1592&lt;&gt;"",J1592,L1592)</f>
        <v>15, 25, GYARADOS</v>
      </c>
    </row>
    <row r="1593" customFormat="false" ht="12.75" hidden="false" customHeight="true" outlineLevel="0" collapsed="false">
      <c r="A1593" s="3" t="s">
        <v>3177</v>
      </c>
      <c r="B1593" s="3" t="str">
        <f aca="false">IF(ISNUMBER(SEARCH("%", A1593)),RIGHT(A1593,3),A1593)</f>
        <v>25, 35, KINGLER</v>
      </c>
      <c r="C1593" s="1" t="str">
        <f aca="false" t="array" ref="C1593:C1593">IF(B1592="NEW ROUTE",textsplit(B1593,","),"")</f>
        <v/>
      </c>
      <c r="H1593" s="1" t="str">
        <f aca="false">IF(C1593&lt;&gt;"",DEC2HEX(C1593,2),"")</f>
        <v/>
      </c>
      <c r="I1593" s="1" t="str">
        <f aca="false">IF(D1593&lt;&gt;"",DEC2HEX(D1593,2),"")</f>
        <v/>
      </c>
      <c r="J1593" s="1" t="str">
        <f aca="false">IF(H1593&lt;&gt;"","0x"&amp;I1593&amp;H1593,"")</f>
        <v/>
      </c>
      <c r="L1593" s="1" t="s">
        <v>3177</v>
      </c>
      <c r="M1593" s="1" t="str">
        <f aca="false">IF(J1593&lt;&gt;"",J1593,L1593)</f>
        <v>25, 35, KINGLER</v>
      </c>
    </row>
    <row r="1594" customFormat="false" ht="12.75" hidden="false" customHeight="true" outlineLevel="0" collapsed="false">
      <c r="A1594" s="3" t="s">
        <v>2855</v>
      </c>
      <c r="B1594" s="3" t="str">
        <f aca="false">IF(ISNUMBER(SEARCH("%", A1594)),RIGHT(A1594,3),A1594)</f>
        <v>25, 35, SLOWPOKE</v>
      </c>
      <c r="C1594" s="1" t="str">
        <f aca="false" t="array" ref="C1594:C1594">IF(B1593="NEW ROUTE",textsplit(B1594,","),"")</f>
        <v/>
      </c>
      <c r="H1594" s="1" t="str">
        <f aca="false">IF(C1594&lt;&gt;"",DEC2HEX(C1594,2),"")</f>
        <v/>
      </c>
      <c r="I1594" s="1" t="str">
        <f aca="false">IF(D1594&lt;&gt;"",DEC2HEX(D1594,2),"")</f>
        <v/>
      </c>
      <c r="J1594" s="1" t="str">
        <f aca="false">IF(H1594&lt;&gt;"","0x"&amp;I1594&amp;H1594,"")</f>
        <v/>
      </c>
      <c r="L1594" s="1" t="s">
        <v>2855</v>
      </c>
      <c r="M1594" s="1" t="str">
        <f aca="false">IF(J1594&lt;&gt;"",J1594,L1594)</f>
        <v>25, 35, SLOWPOKE</v>
      </c>
    </row>
    <row r="1595" customFormat="false" ht="12.75" hidden="false" customHeight="true" outlineLevel="0" collapsed="false">
      <c r="A1595" s="3" t="s">
        <v>2536</v>
      </c>
      <c r="B1595" s="3" t="str">
        <f aca="false">IF(ISNUMBER(SEARCH("%", A1595)),RIGHT(A1595,3),A1595)</f>
        <v>NEW ROUTE</v>
      </c>
      <c r="C1595" s="1" t="str">
        <f aca="false" t="array" ref="C1595:C1595">IF(B1594="NEW ROUTE",textsplit(B1595,","),"")</f>
        <v/>
      </c>
      <c r="H1595" s="1" t="str">
        <f aca="false">IF(C1595&lt;&gt;"",DEC2HEX(C1595,2),"")</f>
        <v/>
      </c>
      <c r="I1595" s="1" t="str">
        <f aca="false">IF(D1595&lt;&gt;"",DEC2HEX(D1595,2),"")</f>
        <v/>
      </c>
      <c r="J1595" s="1" t="str">
        <f aca="false">IF(H1595&lt;&gt;"","0x"&amp;I1595&amp;H1595,"")</f>
        <v/>
      </c>
      <c r="L1595" s="1" t="s">
        <v>2536</v>
      </c>
      <c r="M1595" s="1" t="str">
        <f aca="false">IF(J1595&lt;&gt;"",J1595,L1595)</f>
        <v>NEW ROUTE</v>
      </c>
    </row>
    <row r="1596" customFormat="false" ht="12.75" hidden="false" customHeight="true" outlineLevel="0" collapsed="false">
      <c r="A1596" s="3" t="s">
        <v>3248</v>
      </c>
      <c r="B1596" s="3" t="str">
        <f aca="false">IF(ISNUMBER(SEARCH("%", A1596)),RIGHT(A1596,3),A1596)</f>
        <v>3, 49, 0,</v>
      </c>
      <c r="C1596" s="1" t="e">
        <f aca="false" t="array" ref="C1596:C1596">IF(B1595="NEW ROUTE",textsplit(B1596,","),"")</f>
        <v>#NAME?</v>
      </c>
      <c r="H1596" s="1" t="e">
        <f aca="false">IF(C1596&lt;&gt;"",DEC2HEX(C1596,2),"")</f>
        <v>#NAME?</v>
      </c>
      <c r="I1596" s="1" t="str">
        <f aca="false">IF(D1596&lt;&gt;"",DEC2HEX(D1596,2),"")</f>
        <v/>
      </c>
      <c r="J1596" s="1" t="e">
        <f aca="false">IF(H1596&lt;&gt;"","0x"&amp;I1596&amp;H1596,"")</f>
        <v>#NAME?</v>
      </c>
      <c r="L1596" s="1" t="s">
        <v>3248</v>
      </c>
      <c r="M1596" s="1" t="e">
        <f aca="false">IF(J1596&lt;&gt;"",J1596,L1596)</f>
        <v>#NAME?</v>
      </c>
    </row>
    <row r="1597" customFormat="false" ht="12.75" hidden="false" customHeight="true" outlineLevel="0" collapsed="false">
      <c r="A1597" s="3" t="s">
        <v>3191</v>
      </c>
      <c r="B1597" s="3" t="str">
        <f aca="false">IF(ISNUMBER(SEARCH("%", A1597)),RIGHT(A1597,3),A1597)</f>
        <v>20%</v>
      </c>
      <c r="C1597" s="1" t="str">
        <f aca="false" t="array" ref="C1597:C1597">IF(B1596="NEW ROUTE",textsplit(B1597,","),"")</f>
        <v/>
      </c>
      <c r="H1597" s="1" t="str">
        <f aca="false">IF(C1597&lt;&gt;"",DEC2HEX(C1597,2),"")</f>
        <v/>
      </c>
      <c r="I1597" s="1" t="str">
        <f aca="false">IF(D1597&lt;&gt;"",DEC2HEX(D1597,2),"")</f>
        <v/>
      </c>
      <c r="J1597" s="1" t="str">
        <f aca="false">IF(H1597&lt;&gt;"","0x"&amp;I1597&amp;H1597,"")</f>
        <v/>
      </c>
      <c r="L1597" s="1" t="s">
        <v>2799</v>
      </c>
      <c r="M1597" s="1" t="str">
        <f aca="false">IF(J1597&lt;&gt;"",J1597,L1597)</f>
        <v>20%</v>
      </c>
    </row>
    <row r="1598" customFormat="false" ht="12.75" hidden="false" customHeight="true" outlineLevel="0" collapsed="false">
      <c r="A1598" s="3" t="s">
        <v>1702</v>
      </c>
      <c r="B1598" s="3" t="str">
        <f aca="false">IF(ISNUMBER(SEARCH("%", A1598)),RIGHT(A1598,3),A1598)</f>
        <v>15, 15, DUNSPARCE</v>
      </c>
      <c r="C1598" s="1" t="str">
        <f aca="false" t="array" ref="C1598:C1598">IF(B1597="NEW ROUTE",textsplit(B1598,","),"")</f>
        <v/>
      </c>
      <c r="H1598" s="1" t="str">
        <f aca="false">IF(C1598&lt;&gt;"",DEC2HEX(C1598,2),"")</f>
        <v/>
      </c>
      <c r="I1598" s="1" t="str">
        <f aca="false">IF(D1598&lt;&gt;"",DEC2HEX(D1598,2),"")</f>
        <v/>
      </c>
      <c r="J1598" s="1" t="str">
        <f aca="false">IF(H1598&lt;&gt;"","0x"&amp;I1598&amp;H1598,"")</f>
        <v/>
      </c>
      <c r="L1598" s="1" t="s">
        <v>1702</v>
      </c>
      <c r="M1598" s="1" t="str">
        <f aca="false">IF(J1598&lt;&gt;"",J1598,L1598)</f>
        <v>15, 15, DUNSPARCE</v>
      </c>
    </row>
    <row r="1599" customFormat="false" ht="12.75" hidden="false" customHeight="true" outlineLevel="0" collapsed="false">
      <c r="A1599" s="3" t="s">
        <v>1702</v>
      </c>
      <c r="B1599" s="3" t="str">
        <f aca="false">IF(ISNUMBER(SEARCH("%", A1599)),RIGHT(A1599,3),A1599)</f>
        <v>15, 15, DUNSPARCE</v>
      </c>
      <c r="C1599" s="1" t="str">
        <f aca="false" t="array" ref="C1599:C1599">IF(B1598="NEW ROUTE",textsplit(B1599,","),"")</f>
        <v/>
      </c>
      <c r="H1599" s="1" t="str">
        <f aca="false">IF(C1599&lt;&gt;"",DEC2HEX(C1599,2),"")</f>
        <v/>
      </c>
      <c r="I1599" s="1" t="str">
        <f aca="false">IF(D1599&lt;&gt;"",DEC2HEX(D1599,2),"")</f>
        <v/>
      </c>
      <c r="J1599" s="1" t="str">
        <f aca="false">IF(H1599&lt;&gt;"","0x"&amp;I1599&amp;H1599,"")</f>
        <v/>
      </c>
      <c r="L1599" s="1" t="s">
        <v>1702</v>
      </c>
      <c r="M1599" s="1" t="str">
        <f aca="false">IF(J1599&lt;&gt;"",J1599,L1599)</f>
        <v>15, 15, DUNSPARCE</v>
      </c>
    </row>
    <row r="1600" customFormat="false" ht="12.75" hidden="false" customHeight="true" outlineLevel="0" collapsed="false">
      <c r="A1600" s="3" t="s">
        <v>2801</v>
      </c>
      <c r="B1600" s="3" t="str">
        <f aca="false">IF(ISNUMBER(SEARCH("%", A1600)),RIGHT(A1600,3),A1600)</f>
        <v>0.1</v>
      </c>
      <c r="C1600" s="1" t="str">
        <f aca="false" t="array" ref="C1600:C1600">IF(B1599="NEW ROUTE",textsplit(B1600,","),"")</f>
        <v/>
      </c>
      <c r="H1600" s="1" t="str">
        <f aca="false">IF(C1600&lt;&gt;"",DEC2HEX(C1600,2),"")</f>
        <v/>
      </c>
      <c r="I1600" s="1" t="str">
        <f aca="false">IF(D1600&lt;&gt;"",DEC2HEX(D1600,2),"")</f>
        <v/>
      </c>
      <c r="J1600" s="1" t="str">
        <f aca="false">IF(H1600&lt;&gt;"","0x"&amp;I1600&amp;H1600,"")</f>
        <v/>
      </c>
      <c r="L1600" s="1" t="s">
        <v>2801</v>
      </c>
      <c r="M1600" s="1" t="str">
        <f aca="false">IF(J1600&lt;&gt;"",J1600,L1600)</f>
        <v>0.1</v>
      </c>
    </row>
    <row r="1601" customFormat="false" ht="12.75" hidden="false" customHeight="true" outlineLevel="0" collapsed="false">
      <c r="A1601" s="3" t="s">
        <v>3249</v>
      </c>
      <c r="B1601" s="3" t="str">
        <f aca="false">IF(ISNUMBER(SEARCH("%", A1601)),RIGHT(A1601,3),A1601)</f>
        <v>10, 10, DUNSPARCE</v>
      </c>
      <c r="C1601" s="1" t="str">
        <f aca="false" t="array" ref="C1601:C1601">IF(B1600="NEW ROUTE",textsplit(B1601,","),"")</f>
        <v/>
      </c>
      <c r="H1601" s="1" t="str">
        <f aca="false">IF(C1601&lt;&gt;"",DEC2HEX(C1601,2),"")</f>
        <v/>
      </c>
      <c r="I1601" s="1" t="str">
        <f aca="false">IF(D1601&lt;&gt;"",DEC2HEX(D1601,2),"")</f>
        <v/>
      </c>
      <c r="J1601" s="1" t="str">
        <f aca="false">IF(H1601&lt;&gt;"","0x"&amp;I1601&amp;H1601,"")</f>
        <v/>
      </c>
      <c r="L1601" s="1" t="s">
        <v>3249</v>
      </c>
      <c r="M1601" s="1" t="str">
        <f aca="false">IF(J1601&lt;&gt;"",J1601,L1601)</f>
        <v>10, 10, DUNSPARCE</v>
      </c>
    </row>
    <row r="1602" customFormat="false" ht="12.75" hidden="false" customHeight="true" outlineLevel="0" collapsed="false">
      <c r="A1602" s="3" t="s">
        <v>3249</v>
      </c>
      <c r="B1602" s="3" t="str">
        <f aca="false">IF(ISNUMBER(SEARCH("%", A1602)),RIGHT(A1602,3),A1602)</f>
        <v>10, 10, DUNSPARCE</v>
      </c>
      <c r="C1602" s="1" t="str">
        <f aca="false" t="array" ref="C1602:C1602">IF(B1601="NEW ROUTE",textsplit(B1602,","),"")</f>
        <v/>
      </c>
      <c r="H1602" s="1" t="str">
        <f aca="false">IF(C1602&lt;&gt;"",DEC2HEX(C1602,2),"")</f>
        <v/>
      </c>
      <c r="I1602" s="1" t="str">
        <f aca="false">IF(D1602&lt;&gt;"",DEC2HEX(D1602,2),"")</f>
        <v/>
      </c>
      <c r="J1602" s="1" t="str">
        <f aca="false">IF(H1602&lt;&gt;"","0x"&amp;I1602&amp;H1602,"")</f>
        <v/>
      </c>
      <c r="L1602" s="1" t="s">
        <v>3249</v>
      </c>
      <c r="M1602" s="1" t="str">
        <f aca="false">IF(J1602&lt;&gt;"",J1602,L1602)</f>
        <v>10, 10, DUNSPARCE</v>
      </c>
    </row>
    <row r="1603" customFormat="false" ht="12.75" hidden="false" customHeight="true" outlineLevel="0" collapsed="false">
      <c r="A1603" s="3" t="s">
        <v>3250</v>
      </c>
      <c r="B1603" s="3" t="str">
        <f aca="false">IF(ISNUMBER(SEARCH("%", A1603)),RIGHT(A1603,3),A1603)</f>
        <v>20, 20, DUNSPARCE</v>
      </c>
      <c r="C1603" s="1" t="str">
        <f aca="false" t="array" ref="C1603:C1603">IF(B1602="NEW ROUTE",textsplit(B1603,","),"")</f>
        <v/>
      </c>
      <c r="H1603" s="1" t="str">
        <f aca="false">IF(C1603&lt;&gt;"",DEC2HEX(C1603,2),"")</f>
        <v/>
      </c>
      <c r="I1603" s="1" t="str">
        <f aca="false">IF(D1603&lt;&gt;"",DEC2HEX(D1603,2),"")</f>
        <v/>
      </c>
      <c r="J1603" s="1" t="str">
        <f aca="false">IF(H1603&lt;&gt;"","0x"&amp;I1603&amp;H1603,"")</f>
        <v/>
      </c>
      <c r="L1603" s="1" t="s">
        <v>3250</v>
      </c>
      <c r="M1603" s="1" t="str">
        <f aca="false">IF(J1603&lt;&gt;"",J1603,L1603)</f>
        <v>20, 20, DUNSPARCE</v>
      </c>
    </row>
    <row r="1604" customFormat="false" ht="12.75" hidden="false" customHeight="true" outlineLevel="0" collapsed="false">
      <c r="A1604" s="3" t="s">
        <v>3250</v>
      </c>
      <c r="B1604" s="3" t="str">
        <f aca="false">IF(ISNUMBER(SEARCH("%", A1604)),RIGHT(A1604,3),A1604)</f>
        <v>20, 20, DUNSPARCE</v>
      </c>
      <c r="C1604" s="1" t="str">
        <f aca="false" t="array" ref="C1604:C1604">IF(B1603="NEW ROUTE",textsplit(B1604,","),"")</f>
        <v/>
      </c>
      <c r="H1604" s="1" t="str">
        <f aca="false">IF(C1604&lt;&gt;"",DEC2HEX(C1604,2),"")</f>
        <v/>
      </c>
      <c r="I1604" s="1" t="str">
        <f aca="false">IF(D1604&lt;&gt;"",DEC2HEX(D1604,2),"")</f>
        <v/>
      </c>
      <c r="J1604" s="1" t="str">
        <f aca="false">IF(H1604&lt;&gt;"","0x"&amp;I1604&amp;H1604,"")</f>
        <v/>
      </c>
      <c r="L1604" s="1" t="s">
        <v>3250</v>
      </c>
      <c r="M1604" s="1" t="str">
        <f aca="false">IF(J1604&lt;&gt;"",J1604,L1604)</f>
        <v>20, 20, DUNSPARCE</v>
      </c>
    </row>
    <row r="1605" customFormat="false" ht="12.75" hidden="false" customHeight="true" outlineLevel="0" collapsed="false">
      <c r="A1605" s="3" t="s">
        <v>2806</v>
      </c>
      <c r="B1605" s="3" t="str">
        <f aca="false">IF(ISNUMBER(SEARCH("%", A1605)),RIGHT(A1605,3),A1605)</f>
        <v>0.05</v>
      </c>
      <c r="C1605" s="1" t="str">
        <f aca="false" t="array" ref="C1605:C1605">IF(B1604="NEW ROUTE",textsplit(B1605,","),"")</f>
        <v/>
      </c>
      <c r="H1605" s="1" t="str">
        <f aca="false">IF(C1605&lt;&gt;"",DEC2HEX(C1605,2),"")</f>
        <v/>
      </c>
      <c r="I1605" s="1" t="str">
        <f aca="false">IF(D1605&lt;&gt;"",DEC2HEX(D1605,2),"")</f>
        <v/>
      </c>
      <c r="J1605" s="1" t="str">
        <f aca="false">IF(H1605&lt;&gt;"","0x"&amp;I1605&amp;H1605,"")</f>
        <v/>
      </c>
      <c r="L1605" s="1" t="s">
        <v>2806</v>
      </c>
      <c r="M1605" s="1" t="str">
        <f aca="false">IF(J1605&lt;&gt;"",J1605,L1605)</f>
        <v>0.05</v>
      </c>
    </row>
    <row r="1606" customFormat="false" ht="12.75" hidden="false" customHeight="true" outlineLevel="0" collapsed="false">
      <c r="A1606" s="3" t="s">
        <v>3251</v>
      </c>
      <c r="B1606" s="3" t="str">
        <f aca="false">IF(ISNUMBER(SEARCH("%", A1606)),RIGHT(A1606,3),A1606)</f>
        <v>25, 25, DUNSPARCE</v>
      </c>
      <c r="C1606" s="1" t="str">
        <f aca="false" t="array" ref="C1606:C1606">IF(B1605="NEW ROUTE",textsplit(B1606,","),"")</f>
        <v/>
      </c>
      <c r="H1606" s="1" t="str">
        <f aca="false">IF(C1606&lt;&gt;"",DEC2HEX(C1606,2),"")</f>
        <v/>
      </c>
      <c r="I1606" s="1" t="str">
        <f aca="false">IF(D1606&lt;&gt;"",DEC2HEX(D1606,2),"")</f>
        <v/>
      </c>
      <c r="J1606" s="1" t="str">
        <f aca="false">IF(H1606&lt;&gt;"","0x"&amp;I1606&amp;H1606,"")</f>
        <v/>
      </c>
      <c r="L1606" s="1" t="s">
        <v>3251</v>
      </c>
      <c r="M1606" s="1" t="str">
        <f aca="false">IF(J1606&lt;&gt;"",J1606,L1606)</f>
        <v>25, 25, DUNSPARCE</v>
      </c>
    </row>
    <row r="1607" customFormat="false" ht="12.75" hidden="false" customHeight="true" outlineLevel="0" collapsed="false">
      <c r="A1607" s="3" t="s">
        <v>3252</v>
      </c>
      <c r="B1607" s="3" t="str">
        <f aca="false">IF(ISNUMBER(SEARCH("%", A1607)),RIGHT(A1607,3),A1607)</f>
        <v>30, 30, DUNSPARCE</v>
      </c>
      <c r="C1607" s="1" t="str">
        <f aca="false" t="array" ref="C1607:C1607">IF(B1606="NEW ROUTE",textsplit(B1607,","),"")</f>
        <v/>
      </c>
      <c r="H1607" s="1" t="str">
        <f aca="false">IF(C1607&lt;&gt;"",DEC2HEX(C1607,2),"")</f>
        <v/>
      </c>
      <c r="I1607" s="1" t="str">
        <f aca="false">IF(D1607&lt;&gt;"",DEC2HEX(D1607,2),"")</f>
        <v/>
      </c>
      <c r="J1607" s="1" t="str">
        <f aca="false">IF(H1607&lt;&gt;"","0x"&amp;I1607&amp;H1607,"")</f>
        <v/>
      </c>
      <c r="L1607" s="1" t="s">
        <v>3252</v>
      </c>
      <c r="M1607" s="1" t="str">
        <f aca="false">IF(J1607&lt;&gt;"",J1607,L1607)</f>
        <v>30, 30, DUNSPARCE</v>
      </c>
    </row>
    <row r="1608" customFormat="false" ht="12.75" hidden="false" customHeight="true" outlineLevel="0" collapsed="false">
      <c r="A1608" s="3" t="s">
        <v>2809</v>
      </c>
      <c r="B1608" s="3" t="str">
        <f aca="false">IF(ISNUMBER(SEARCH("%", A1608)),RIGHT(A1608,3),A1608)</f>
        <v>0.04</v>
      </c>
      <c r="C1608" s="1" t="str">
        <f aca="false" t="array" ref="C1608:C1608">IF(B1607="NEW ROUTE",textsplit(B1608,","),"")</f>
        <v/>
      </c>
      <c r="H1608" s="1" t="str">
        <f aca="false">IF(C1608&lt;&gt;"",DEC2HEX(C1608,2),"")</f>
        <v/>
      </c>
      <c r="I1608" s="1" t="str">
        <f aca="false">IF(D1608&lt;&gt;"",DEC2HEX(D1608,2),"")</f>
        <v/>
      </c>
      <c r="J1608" s="1" t="str">
        <f aca="false">IF(H1608&lt;&gt;"","0x"&amp;I1608&amp;H1608,"")</f>
        <v/>
      </c>
      <c r="L1608" s="1" t="s">
        <v>2809</v>
      </c>
      <c r="M1608" s="1" t="str">
        <f aca="false">IF(J1608&lt;&gt;"",J1608,L1608)</f>
        <v>0.04</v>
      </c>
    </row>
    <row r="1609" customFormat="false" ht="12.75" hidden="false" customHeight="true" outlineLevel="0" collapsed="false">
      <c r="A1609" s="3" t="s">
        <v>3251</v>
      </c>
      <c r="B1609" s="3" t="str">
        <f aca="false">IF(ISNUMBER(SEARCH("%", A1609)),RIGHT(A1609,3),A1609)</f>
        <v>25, 25, DUNSPARCE</v>
      </c>
      <c r="C1609" s="1" t="str">
        <f aca="false" t="array" ref="C1609:C1609">IF(B1608="NEW ROUTE",textsplit(B1609,","),"")</f>
        <v/>
      </c>
      <c r="H1609" s="1" t="str">
        <f aca="false">IF(C1609&lt;&gt;"",DEC2HEX(C1609,2),"")</f>
        <v/>
      </c>
      <c r="I1609" s="1" t="str">
        <f aca="false">IF(D1609&lt;&gt;"",DEC2HEX(D1609,2),"")</f>
        <v/>
      </c>
      <c r="J1609" s="1" t="str">
        <f aca="false">IF(H1609&lt;&gt;"","0x"&amp;I1609&amp;H1609,"")</f>
        <v/>
      </c>
      <c r="L1609" s="1" t="s">
        <v>3251</v>
      </c>
      <c r="M1609" s="1" t="str">
        <f aca="false">IF(J1609&lt;&gt;"",J1609,L1609)</f>
        <v>25, 25, DUNSPARCE</v>
      </c>
    </row>
    <row r="1610" customFormat="false" ht="12.75" hidden="false" customHeight="true" outlineLevel="0" collapsed="false">
      <c r="A1610" s="3" t="s">
        <v>3252</v>
      </c>
      <c r="B1610" s="3" t="str">
        <f aca="false">IF(ISNUMBER(SEARCH("%", A1610)),RIGHT(A1610,3),A1610)</f>
        <v>30, 30, DUNSPARCE</v>
      </c>
      <c r="C1610" s="1" t="str">
        <f aca="false" t="array" ref="C1610:C1610">IF(B1609="NEW ROUTE",textsplit(B1610,","),"")</f>
        <v/>
      </c>
      <c r="H1610" s="1" t="str">
        <f aca="false">IF(C1610&lt;&gt;"",DEC2HEX(C1610,2),"")</f>
        <v/>
      </c>
      <c r="I1610" s="1" t="str">
        <f aca="false">IF(D1610&lt;&gt;"",DEC2HEX(D1610,2),"")</f>
        <v/>
      </c>
      <c r="J1610" s="1" t="str">
        <f aca="false">IF(H1610&lt;&gt;"","0x"&amp;I1610&amp;H1610,"")</f>
        <v/>
      </c>
      <c r="L1610" s="1" t="s">
        <v>3252</v>
      </c>
      <c r="M1610" s="1" t="str">
        <f aca="false">IF(J1610&lt;&gt;"",J1610,L1610)</f>
        <v>30, 30, DUNSPARCE</v>
      </c>
    </row>
    <row r="1611" customFormat="false" ht="12.75" hidden="false" customHeight="true" outlineLevel="0" collapsed="false">
      <c r="A1611" s="3" t="s">
        <v>2812</v>
      </c>
      <c r="B1611" s="3" t="str">
        <f aca="false">IF(ISNUMBER(SEARCH("%", A1611)),RIGHT(A1611,3),A1611)</f>
        <v>0.01</v>
      </c>
      <c r="C1611" s="1" t="str">
        <f aca="false" t="array" ref="C1611:C1611">IF(B1610="NEW ROUTE",textsplit(B1611,","),"")</f>
        <v/>
      </c>
      <c r="H1611" s="1" t="str">
        <f aca="false">IF(C1611&lt;&gt;"",DEC2HEX(C1611,2),"")</f>
        <v/>
      </c>
      <c r="I1611" s="1" t="str">
        <f aca="false">IF(D1611&lt;&gt;"",DEC2HEX(D1611,2),"")</f>
        <v/>
      </c>
      <c r="J1611" s="1" t="str">
        <f aca="false">IF(H1611&lt;&gt;"","0x"&amp;I1611&amp;H1611,"")</f>
        <v/>
      </c>
      <c r="L1611" s="1" t="s">
        <v>2812</v>
      </c>
      <c r="M1611" s="1" t="str">
        <f aca="false">IF(J1611&lt;&gt;"",J1611,L1611)</f>
        <v>0.01</v>
      </c>
    </row>
    <row r="1612" customFormat="false" ht="12.75" hidden="false" customHeight="true" outlineLevel="0" collapsed="false">
      <c r="A1612" s="3" t="s">
        <v>3253</v>
      </c>
      <c r="B1612" s="3" t="str">
        <f aca="false">IF(ISNUMBER(SEARCH("%", A1612)),RIGHT(A1612,3),A1612)</f>
        <v>5, 5, DUNSPARCE</v>
      </c>
      <c r="C1612" s="1" t="str">
        <f aca="false" t="array" ref="C1612:C1612">IF(B1611="NEW ROUTE",textsplit(B1612,","),"")</f>
        <v/>
      </c>
      <c r="H1612" s="1" t="str">
        <f aca="false">IF(C1612&lt;&gt;"",DEC2HEX(C1612,2),"")</f>
        <v/>
      </c>
      <c r="I1612" s="1" t="str">
        <f aca="false">IF(D1612&lt;&gt;"",DEC2HEX(D1612,2),"")</f>
        <v/>
      </c>
      <c r="J1612" s="1" t="str">
        <f aca="false">IF(H1612&lt;&gt;"","0x"&amp;I1612&amp;H1612,"")</f>
        <v/>
      </c>
      <c r="L1612" s="1" t="s">
        <v>3253</v>
      </c>
      <c r="M1612" s="1" t="str">
        <f aca="false">IF(J1612&lt;&gt;"",J1612,L1612)</f>
        <v>5, 5, DUNSPARCE</v>
      </c>
    </row>
    <row r="1613" customFormat="false" ht="12.75" hidden="false" customHeight="true" outlineLevel="0" collapsed="false">
      <c r="A1613" s="3" t="s">
        <v>3254</v>
      </c>
      <c r="B1613" s="3" t="str">
        <f aca="false">IF(ISNUMBER(SEARCH("%", A1613)),RIGHT(A1613,3),A1613)</f>
        <v>35, 35, DUNSPARCE , &lt;null&gt;, &lt;null&gt;, &lt;null&gt;</v>
      </c>
      <c r="C1613" s="1" t="str">
        <f aca="false" t="array" ref="C1613:C1613">IF(B1612="NEW ROUTE",textsplit(B1613,","),"")</f>
        <v/>
      </c>
      <c r="H1613" s="1" t="str">
        <f aca="false">IF(C1613&lt;&gt;"",DEC2HEX(C1613,2),"")</f>
        <v/>
      </c>
      <c r="I1613" s="1" t="str">
        <f aca="false">IF(D1613&lt;&gt;"",DEC2HEX(D1613,2),"")</f>
        <v/>
      </c>
      <c r="J1613" s="1" t="str">
        <f aca="false">IF(H1613&lt;&gt;"","0x"&amp;I1613&amp;H1613,"")</f>
        <v/>
      </c>
      <c r="L1613" s="1" t="s">
        <v>3254</v>
      </c>
      <c r="M1613" s="1" t="str">
        <f aca="false">IF(J1613&lt;&gt;"",J1613,L1613)</f>
        <v>35, 35, DUNSPARCE , &lt;null&gt;, &lt;null&gt;, &lt;null&gt;</v>
      </c>
    </row>
    <row r="1614" customFormat="false" ht="12.75" hidden="false" customHeight="true" outlineLevel="0" collapsed="false">
      <c r="A1614" s="3" t="s">
        <v>2536</v>
      </c>
      <c r="B1614" s="3" t="str">
        <f aca="false">IF(ISNUMBER(SEARCH("%", A1614)),RIGHT(A1614,3),A1614)</f>
        <v>NEW ROUTE</v>
      </c>
      <c r="C1614" s="1" t="str">
        <f aca="false" t="array" ref="C1614:C1614">IF(B1613="NEW ROUTE",textsplit(B1614,","),"")</f>
        <v/>
      </c>
      <c r="H1614" s="1" t="str">
        <f aca="false">IF(C1614&lt;&gt;"",DEC2HEX(C1614,2),"")</f>
        <v/>
      </c>
      <c r="I1614" s="1" t="str">
        <f aca="false">IF(D1614&lt;&gt;"",DEC2HEX(D1614,2),"")</f>
        <v/>
      </c>
      <c r="J1614" s="1" t="str">
        <f aca="false">IF(H1614&lt;&gt;"","0x"&amp;I1614&amp;H1614,"")</f>
        <v/>
      </c>
      <c r="L1614" s="1" t="s">
        <v>2536</v>
      </c>
      <c r="M1614" s="1" t="str">
        <f aca="false">IF(J1614&lt;&gt;"",J1614,L1614)</f>
        <v>NEW ROUTE</v>
      </c>
    </row>
    <row r="1615" customFormat="false" ht="12.75" hidden="false" customHeight="true" outlineLevel="0" collapsed="false">
      <c r="A1615" s="3" t="s">
        <v>3255</v>
      </c>
      <c r="B1615" s="3" t="str">
        <f aca="false">IF(ISNUMBER(SEARCH("%", A1615)),RIGHT(A1615,3),A1615)</f>
        <v>3, 54, 0, &lt;null&gt;,</v>
      </c>
      <c r="C1615" s="1" t="e">
        <f aca="false" t="array" ref="C1615:C1615">IF(B1614="NEW ROUTE",textsplit(B1615,","),"")</f>
        <v>#NAME?</v>
      </c>
      <c r="H1615" s="1" t="e">
        <f aca="false">IF(C1615&lt;&gt;"",DEC2HEX(C1615,2),"")</f>
        <v>#NAME?</v>
      </c>
      <c r="I1615" s="1" t="str">
        <f aca="false">IF(D1615&lt;&gt;"",DEC2HEX(D1615,2),"")</f>
        <v/>
      </c>
      <c r="J1615" s="1" t="e">
        <f aca="false">IF(H1615&lt;&gt;"","0x"&amp;I1615&amp;H1615,"")</f>
        <v>#NAME?</v>
      </c>
      <c r="L1615" s="1" t="s">
        <v>3255</v>
      </c>
      <c r="M1615" s="1" t="e">
        <f aca="false">IF(J1615&lt;&gt;"",J1615,L1615)</f>
        <v>#NAME?</v>
      </c>
    </row>
    <row r="1616" customFormat="false" ht="12.75" hidden="false" customHeight="true" outlineLevel="0" collapsed="false">
      <c r="A1616" s="3" t="s">
        <v>3256</v>
      </c>
      <c r="B1616" s="3" t="str">
        <f aca="false">IF(ISNUMBER(SEARCH("%", A1616)),RIGHT(A1616,3),A1616)</f>
        <v>2, 5, 35, TENTACOOL</v>
      </c>
      <c r="C1616" s="1" t="str">
        <f aca="false" t="array" ref="C1616:C1616">IF(B1615="NEW ROUTE",textsplit(B1616,","),"")</f>
        <v/>
      </c>
      <c r="H1616" s="1" t="str">
        <f aca="false">IF(C1616&lt;&gt;"",DEC2HEX(C1616,2),"")</f>
        <v/>
      </c>
      <c r="I1616" s="1" t="str">
        <f aca="false">IF(D1616&lt;&gt;"",DEC2HEX(D1616,2),"")</f>
        <v/>
      </c>
      <c r="J1616" s="1" t="str">
        <f aca="false">IF(H1616&lt;&gt;"","0x"&amp;I1616&amp;H1616,"")</f>
        <v/>
      </c>
      <c r="L1616" s="1" t="s">
        <v>3256</v>
      </c>
      <c r="M1616" s="1" t="str">
        <f aca="false">IF(J1616&lt;&gt;"",J1616,L1616)</f>
        <v>2, 5, 35, TENTACOOL</v>
      </c>
    </row>
    <row r="1617" customFormat="false" ht="12.75" hidden="false" customHeight="true" outlineLevel="0" collapsed="false">
      <c r="A1617" s="3" t="s">
        <v>3257</v>
      </c>
      <c r="B1617" s="3" t="str">
        <f aca="false">IF(ISNUMBER(SEARCH("%", A1617)),RIGHT(A1617,3),A1617)</f>
        <v>5, 15, HOPPIP</v>
      </c>
      <c r="C1617" s="1" t="str">
        <f aca="false" t="array" ref="C1617:C1617">IF(B1616="NEW ROUTE",textsplit(B1617,","),"")</f>
        <v/>
      </c>
      <c r="H1617" s="1" t="str">
        <f aca="false">IF(C1617&lt;&gt;"",DEC2HEX(C1617,2),"")</f>
        <v/>
      </c>
      <c r="I1617" s="1" t="str">
        <f aca="false">IF(D1617&lt;&gt;"",DEC2HEX(D1617,2),"")</f>
        <v/>
      </c>
      <c r="J1617" s="1" t="str">
        <f aca="false">IF(H1617&lt;&gt;"","0x"&amp;I1617&amp;H1617,"")</f>
        <v/>
      </c>
      <c r="L1617" s="1" t="s">
        <v>3257</v>
      </c>
      <c r="M1617" s="1" t="str">
        <f aca="false">IF(J1617&lt;&gt;"",J1617,L1617)</f>
        <v>5, 15, HOPPIP</v>
      </c>
    </row>
    <row r="1618" customFormat="false" ht="12.75" hidden="false" customHeight="true" outlineLevel="0" collapsed="false">
      <c r="A1618" s="3" t="s">
        <v>2844</v>
      </c>
      <c r="B1618" s="3" t="str">
        <f aca="false">IF(ISNUMBER(SEARCH("%", A1618)),RIGHT(A1618,3),A1618)</f>
        <v>35, 40, TENTACOOL</v>
      </c>
      <c r="C1618" s="1" t="str">
        <f aca="false" t="array" ref="C1618:C1618">IF(B1617="NEW ROUTE",textsplit(B1618,","),"")</f>
        <v/>
      </c>
      <c r="H1618" s="1" t="str">
        <f aca="false">IF(C1618&lt;&gt;"",DEC2HEX(C1618,2),"")</f>
        <v/>
      </c>
      <c r="I1618" s="1" t="str">
        <f aca="false">IF(D1618&lt;&gt;"",DEC2HEX(D1618,2),"")</f>
        <v/>
      </c>
      <c r="J1618" s="1" t="str">
        <f aca="false">IF(H1618&lt;&gt;"","0x"&amp;I1618&amp;H1618,"")</f>
        <v/>
      </c>
      <c r="L1618" s="1" t="s">
        <v>2844</v>
      </c>
      <c r="M1618" s="1" t="str">
        <f aca="false">IF(J1618&lt;&gt;"",J1618,L1618)</f>
        <v>35, 40, TENTACOOL</v>
      </c>
    </row>
    <row r="1619" customFormat="false" ht="12.75" hidden="false" customHeight="true" outlineLevel="0" collapsed="false">
      <c r="A1619" s="3" t="s">
        <v>3231</v>
      </c>
      <c r="B1619" s="3" t="str">
        <f aca="false">IF(ISNUMBER(SEARCH("%", A1619)),RIGHT(A1619,3),A1619)</f>
        <v>35, 40, TENTACRUEL</v>
      </c>
      <c r="C1619" s="1" t="str">
        <f aca="false" t="array" ref="C1619:C1619">IF(B1618="NEW ROUTE",textsplit(B1619,","),"")</f>
        <v/>
      </c>
      <c r="H1619" s="1" t="str">
        <f aca="false">IF(C1619&lt;&gt;"",DEC2HEX(C1619,2),"")</f>
        <v/>
      </c>
      <c r="I1619" s="1" t="str">
        <f aca="false">IF(D1619&lt;&gt;"",DEC2HEX(D1619,2),"")</f>
        <v/>
      </c>
      <c r="J1619" s="1" t="str">
        <f aca="false">IF(H1619&lt;&gt;"","0x"&amp;I1619&amp;H1619,"")</f>
        <v/>
      </c>
      <c r="L1619" s="1" t="s">
        <v>3231</v>
      </c>
      <c r="M1619" s="1" t="str">
        <f aca="false">IF(J1619&lt;&gt;"",J1619,L1619)</f>
        <v>35, 40, TENTACRUEL</v>
      </c>
    </row>
    <row r="1620" customFormat="false" ht="12.75" hidden="false" customHeight="true" outlineLevel="0" collapsed="false">
      <c r="A1620" s="3" t="s">
        <v>3231</v>
      </c>
      <c r="B1620" s="3" t="str">
        <f aca="false">IF(ISNUMBER(SEARCH("%", A1620)),RIGHT(A1620,3),A1620)</f>
        <v>35, 40, TENTACRUEL</v>
      </c>
      <c r="C1620" s="1" t="str">
        <f aca="false" t="array" ref="C1620:C1620">IF(B1619="NEW ROUTE",textsplit(B1620,","),"")</f>
        <v/>
      </c>
      <c r="H1620" s="1" t="str">
        <f aca="false">IF(C1620&lt;&gt;"",DEC2HEX(C1620,2),"")</f>
        <v/>
      </c>
      <c r="I1620" s="1" t="str">
        <f aca="false">IF(D1620&lt;&gt;"",DEC2HEX(D1620,2),"")</f>
        <v/>
      </c>
      <c r="J1620" s="1" t="str">
        <f aca="false">IF(H1620&lt;&gt;"","0x"&amp;I1620&amp;H1620,"")</f>
        <v/>
      </c>
      <c r="L1620" s="1" t="s">
        <v>3231</v>
      </c>
      <c r="M1620" s="1" t="str">
        <f aca="false">IF(J1620&lt;&gt;"",J1620,L1620)</f>
        <v>35, 40, TENTACRUEL</v>
      </c>
    </row>
    <row r="1621" customFormat="false" ht="12.75" hidden="false" customHeight="true" outlineLevel="0" collapsed="false">
      <c r="A1621" s="3" t="s">
        <v>2925</v>
      </c>
      <c r="B1621" s="3" t="str">
        <f aca="false">IF(ISNUMBER(SEARCH("%", A1621)),RIGHT(A1621,3),A1621)</f>
        <v>20, old rod:</v>
      </c>
      <c r="C1621" s="1" t="str">
        <f aca="false" t="array" ref="C1621:C1621">IF(B1620="NEW ROUTE",textsplit(B1621,","),"")</f>
        <v/>
      </c>
      <c r="H1621" s="1" t="str">
        <f aca="false">IF(C1621&lt;&gt;"",DEC2HEX(C1621,2),"")</f>
        <v/>
      </c>
      <c r="I1621" s="1" t="str">
        <f aca="false">IF(D1621&lt;&gt;"",DEC2HEX(D1621,2),"")</f>
        <v/>
      </c>
      <c r="J1621" s="1" t="str">
        <f aca="false">IF(H1621&lt;&gt;"","0x"&amp;I1621&amp;H1621,"")</f>
        <v/>
      </c>
      <c r="L1621" s="1" t="s">
        <v>2925</v>
      </c>
      <c r="M1621" s="1" t="str">
        <f aca="false">IF(J1621&lt;&gt;"",J1621,L1621)</f>
        <v>20, old rod:</v>
      </c>
    </row>
    <row r="1622" customFormat="false" ht="12.75" hidden="false" customHeight="true" outlineLevel="0" collapsed="false">
      <c r="A1622" s="3" t="s">
        <v>1266</v>
      </c>
      <c r="B1622" s="3" t="str">
        <f aca="false">IF(ISNUMBER(SEARCH("%", A1622)),RIGHT(A1622,3),A1622)</f>
        <v>5, 5, MAGIKARP</v>
      </c>
      <c r="C1622" s="1" t="str">
        <f aca="false" t="array" ref="C1622:C1622">IF(B1621="NEW ROUTE",textsplit(B1622,","),"")</f>
        <v/>
      </c>
      <c r="H1622" s="1" t="str">
        <f aca="false">IF(C1622&lt;&gt;"",DEC2HEX(C1622,2),"")</f>
        <v/>
      </c>
      <c r="I1622" s="1" t="str">
        <f aca="false">IF(D1622&lt;&gt;"",DEC2HEX(D1622,2),"")</f>
        <v/>
      </c>
      <c r="J1622" s="1" t="str">
        <f aca="false">IF(H1622&lt;&gt;"","0x"&amp;I1622&amp;H1622,"")</f>
        <v/>
      </c>
      <c r="L1622" s="1" t="s">
        <v>1266</v>
      </c>
      <c r="M1622" s="1" t="str">
        <f aca="false">IF(J1622&lt;&gt;"",J1622,L1622)</f>
        <v>5, 5, MAGIKARP</v>
      </c>
    </row>
    <row r="1623" customFormat="false" ht="12.75" hidden="false" customHeight="true" outlineLevel="0" collapsed="false">
      <c r="A1623" s="3" t="s">
        <v>1266</v>
      </c>
      <c r="B1623" s="3" t="str">
        <f aca="false">IF(ISNUMBER(SEARCH("%", A1623)),RIGHT(A1623,3),A1623)</f>
        <v>5, 5, MAGIKARP</v>
      </c>
      <c r="C1623" s="1" t="str">
        <f aca="false" t="array" ref="C1623:C1623">IF(B1622="NEW ROUTE",textsplit(B1623,","),"")</f>
        <v/>
      </c>
      <c r="H1623" s="1" t="str">
        <f aca="false">IF(C1623&lt;&gt;"",DEC2HEX(C1623,2),"")</f>
        <v/>
      </c>
      <c r="I1623" s="1" t="str">
        <f aca="false">IF(D1623&lt;&gt;"",DEC2HEX(D1623,2),"")</f>
        <v/>
      </c>
      <c r="J1623" s="1" t="str">
        <f aca="false">IF(H1623&lt;&gt;"","0x"&amp;I1623&amp;H1623,"")</f>
        <v/>
      </c>
      <c r="L1623" s="1" t="s">
        <v>1266</v>
      </c>
      <c r="M1623" s="1" t="str">
        <f aca="false">IF(J1623&lt;&gt;"",J1623,L1623)</f>
        <v>5, 5, MAGIKARP</v>
      </c>
    </row>
    <row r="1624" customFormat="false" ht="12.75" hidden="false" customHeight="true" outlineLevel="0" collapsed="false">
      <c r="A1624" s="3" t="s">
        <v>2846</v>
      </c>
      <c r="B1624" s="3" t="str">
        <f aca="false">IF(ISNUMBER(SEARCH("%", A1624)),RIGHT(A1624,3),A1624)</f>
        <v>good rod:</v>
      </c>
      <c r="C1624" s="1" t="str">
        <f aca="false" t="array" ref="C1624:C1624">IF(B1623="NEW ROUTE",textsplit(B1624,","),"")</f>
        <v/>
      </c>
      <c r="H1624" s="1" t="str">
        <f aca="false">IF(C1624&lt;&gt;"",DEC2HEX(C1624,2),"")</f>
        <v/>
      </c>
      <c r="I1624" s="1" t="str">
        <f aca="false">IF(D1624&lt;&gt;"",DEC2HEX(D1624,2),"")</f>
        <v/>
      </c>
      <c r="J1624" s="1" t="str">
        <f aca="false">IF(H1624&lt;&gt;"","0x"&amp;I1624&amp;H1624,"")</f>
        <v/>
      </c>
      <c r="L1624" s="1" t="s">
        <v>2846</v>
      </c>
      <c r="M1624" s="1" t="str">
        <f aca="false">IF(J1624&lt;&gt;"",J1624,L1624)</f>
        <v>good rod:</v>
      </c>
    </row>
    <row r="1625" customFormat="false" ht="12.75" hidden="false" customHeight="true" outlineLevel="0" collapsed="false">
      <c r="A1625" s="3" t="s">
        <v>2847</v>
      </c>
      <c r="B1625" s="3" t="str">
        <f aca="false">IF(ISNUMBER(SEARCH("%", A1625)),RIGHT(A1625,3),A1625)</f>
        <v>5, 15, KRABBY</v>
      </c>
      <c r="C1625" s="1" t="str">
        <f aca="false" t="array" ref="C1625:C1625">IF(B1624="NEW ROUTE",textsplit(B1625,","),"")</f>
        <v/>
      </c>
      <c r="H1625" s="1" t="str">
        <f aca="false">IF(C1625&lt;&gt;"",DEC2HEX(C1625,2),"")</f>
        <v/>
      </c>
      <c r="I1625" s="1" t="str">
        <f aca="false">IF(D1625&lt;&gt;"",DEC2HEX(D1625,2),"")</f>
        <v/>
      </c>
      <c r="J1625" s="1" t="str">
        <f aca="false">IF(H1625&lt;&gt;"","0x"&amp;I1625&amp;H1625,"")</f>
        <v/>
      </c>
      <c r="L1625" s="1" t="s">
        <v>2847</v>
      </c>
      <c r="M1625" s="1" t="str">
        <f aca="false">IF(J1625&lt;&gt;"",J1625,L1625)</f>
        <v>5, 15, KRABBY</v>
      </c>
    </row>
    <row r="1626" customFormat="false" ht="12.75" hidden="false" customHeight="true" outlineLevel="0" collapsed="false">
      <c r="A1626" s="3" t="s">
        <v>2848</v>
      </c>
      <c r="B1626" s="3" t="str">
        <f aca="false">IF(ISNUMBER(SEARCH("%", A1626)),RIGHT(A1626,3),A1626)</f>
        <v>5, 15, MAGIKARP</v>
      </c>
      <c r="C1626" s="1" t="str">
        <f aca="false" t="array" ref="C1626:C1626">IF(B1625="NEW ROUTE",textsplit(B1626,","),"")</f>
        <v/>
      </c>
      <c r="H1626" s="1" t="str">
        <f aca="false">IF(C1626&lt;&gt;"",DEC2HEX(C1626,2),"")</f>
        <v/>
      </c>
      <c r="I1626" s="1" t="str">
        <f aca="false">IF(D1626&lt;&gt;"",DEC2HEX(D1626,2),"")</f>
        <v/>
      </c>
      <c r="J1626" s="1" t="str">
        <f aca="false">IF(H1626&lt;&gt;"","0x"&amp;I1626&amp;H1626,"")</f>
        <v/>
      </c>
      <c r="L1626" s="1" t="s">
        <v>2848</v>
      </c>
      <c r="M1626" s="1" t="str">
        <f aca="false">IF(J1626&lt;&gt;"",J1626,L1626)</f>
        <v>5, 15, MAGIKARP</v>
      </c>
    </row>
    <row r="1627" customFormat="false" ht="12.75" hidden="false" customHeight="true" outlineLevel="0" collapsed="false">
      <c r="A1627" s="3" t="s">
        <v>2847</v>
      </c>
      <c r="B1627" s="3" t="str">
        <f aca="false">IF(ISNUMBER(SEARCH("%", A1627)),RIGHT(A1627,3),A1627)</f>
        <v>5, 15, KRABBY</v>
      </c>
      <c r="C1627" s="1" t="str">
        <f aca="false" t="array" ref="C1627:C1627">IF(B1626="NEW ROUTE",textsplit(B1627,","),"")</f>
        <v/>
      </c>
      <c r="H1627" s="1" t="str">
        <f aca="false">IF(C1627&lt;&gt;"",DEC2HEX(C1627,2),"")</f>
        <v/>
      </c>
      <c r="I1627" s="1" t="str">
        <f aca="false">IF(D1627&lt;&gt;"",DEC2HEX(D1627,2),"")</f>
        <v/>
      </c>
      <c r="J1627" s="1" t="str">
        <f aca="false">IF(H1627&lt;&gt;"","0x"&amp;I1627&amp;H1627,"")</f>
        <v/>
      </c>
      <c r="L1627" s="1" t="s">
        <v>2847</v>
      </c>
      <c r="M1627" s="1" t="str">
        <f aca="false">IF(J1627&lt;&gt;"",J1627,L1627)</f>
        <v>5, 15, KRABBY</v>
      </c>
    </row>
    <row r="1628" customFormat="false" ht="12.75" hidden="false" customHeight="true" outlineLevel="0" collapsed="false">
      <c r="A1628" s="3" t="s">
        <v>2850</v>
      </c>
      <c r="B1628" s="3" t="str">
        <f aca="false">IF(ISNUMBER(SEARCH("%", A1628)),RIGHT(A1628,3),A1628)</f>
        <v>super rod:</v>
      </c>
      <c r="C1628" s="1" t="str">
        <f aca="false" t="array" ref="C1628:C1628">IF(B1627="NEW ROUTE",textsplit(B1628,","),"")</f>
        <v/>
      </c>
      <c r="H1628" s="1" t="str">
        <f aca="false">IF(C1628&lt;&gt;"",DEC2HEX(C1628,2),"")</f>
        <v/>
      </c>
      <c r="I1628" s="1" t="str">
        <f aca="false">IF(D1628&lt;&gt;"",DEC2HEX(D1628,2),"")</f>
        <v/>
      </c>
      <c r="J1628" s="1" t="str">
        <f aca="false">IF(H1628&lt;&gt;"","0x"&amp;I1628&amp;H1628,"")</f>
        <v/>
      </c>
      <c r="L1628" s="1" t="s">
        <v>2850</v>
      </c>
      <c r="M1628" s="1" t="str">
        <f aca="false">IF(J1628&lt;&gt;"",J1628,L1628)</f>
        <v>super rod:</v>
      </c>
    </row>
    <row r="1629" customFormat="false" ht="12.75" hidden="false" customHeight="true" outlineLevel="0" collapsed="false">
      <c r="A1629" s="3" t="s">
        <v>2851</v>
      </c>
      <c r="B1629" s="3" t="str">
        <f aca="false">IF(ISNUMBER(SEARCH("%", A1629)),RIGHT(A1629,3),A1629)</f>
        <v>15, 25, KRABBY</v>
      </c>
      <c r="C1629" s="1" t="str">
        <f aca="false" t="array" ref="C1629:C1629">IF(B1628="NEW ROUTE",textsplit(B1629,","),"")</f>
        <v/>
      </c>
      <c r="H1629" s="1" t="str">
        <f aca="false">IF(C1629&lt;&gt;"",DEC2HEX(C1629,2),"")</f>
        <v/>
      </c>
      <c r="I1629" s="1" t="str">
        <f aca="false">IF(D1629&lt;&gt;"",DEC2HEX(D1629,2),"")</f>
        <v/>
      </c>
      <c r="J1629" s="1" t="str">
        <f aca="false">IF(H1629&lt;&gt;"","0x"&amp;I1629&amp;H1629,"")</f>
        <v/>
      </c>
      <c r="L1629" s="1" t="s">
        <v>2851</v>
      </c>
      <c r="M1629" s="1" t="str">
        <f aca="false">IF(J1629&lt;&gt;"",J1629,L1629)</f>
        <v>15, 25, KRABBY</v>
      </c>
    </row>
    <row r="1630" customFormat="false" ht="12.75" hidden="false" customHeight="true" outlineLevel="0" collapsed="false">
      <c r="A1630" s="3" t="s">
        <v>3258</v>
      </c>
      <c r="B1630" s="3" t="str">
        <f aca="false">IF(ISNUMBER(SEARCH("%", A1630)),RIGHT(A1630,3),A1630)</f>
        <v>15, 25, REMORAID</v>
      </c>
      <c r="C1630" s="1" t="str">
        <f aca="false" t="array" ref="C1630:C1630">IF(B1629="NEW ROUTE",textsplit(B1630,","),"")</f>
        <v/>
      </c>
      <c r="H1630" s="1" t="str">
        <f aca="false">IF(C1630&lt;&gt;"",DEC2HEX(C1630,2),"")</f>
        <v/>
      </c>
      <c r="I1630" s="1" t="str">
        <f aca="false">IF(D1630&lt;&gt;"",DEC2HEX(D1630,2),"")</f>
        <v/>
      </c>
      <c r="J1630" s="1" t="str">
        <f aca="false">IF(H1630&lt;&gt;"","0x"&amp;I1630&amp;H1630,"")</f>
        <v/>
      </c>
      <c r="L1630" s="1" t="s">
        <v>3258</v>
      </c>
      <c r="M1630" s="1" t="str">
        <f aca="false">IF(J1630&lt;&gt;"",J1630,L1630)</f>
        <v>15, 25, REMORAID</v>
      </c>
    </row>
    <row r="1631" customFormat="false" ht="12.75" hidden="false" customHeight="true" outlineLevel="0" collapsed="false">
      <c r="A1631" s="3" t="s">
        <v>2853</v>
      </c>
      <c r="B1631" s="3" t="str">
        <f aca="false">IF(ISNUMBER(SEARCH("%", A1631)),RIGHT(A1631,3),A1631)</f>
        <v>15, 25, GYARADOS</v>
      </c>
      <c r="C1631" s="1" t="str">
        <f aca="false" t="array" ref="C1631:C1631">IF(B1630="NEW ROUTE",textsplit(B1631,","),"")</f>
        <v/>
      </c>
      <c r="H1631" s="1" t="str">
        <f aca="false">IF(C1631&lt;&gt;"",DEC2HEX(C1631,2),"")</f>
        <v/>
      </c>
      <c r="I1631" s="1" t="str">
        <f aca="false">IF(D1631&lt;&gt;"",DEC2HEX(D1631,2),"")</f>
        <v/>
      </c>
      <c r="J1631" s="1" t="str">
        <f aca="false">IF(H1631&lt;&gt;"","0x"&amp;I1631&amp;H1631,"")</f>
        <v/>
      </c>
      <c r="L1631" s="1" t="s">
        <v>2853</v>
      </c>
      <c r="M1631" s="1" t="str">
        <f aca="false">IF(J1631&lt;&gt;"",J1631,L1631)</f>
        <v>15, 25, GYARADOS</v>
      </c>
    </row>
    <row r="1632" customFormat="false" ht="12.75" hidden="false" customHeight="true" outlineLevel="0" collapsed="false">
      <c r="A1632" s="3" t="s">
        <v>3177</v>
      </c>
      <c r="B1632" s="3" t="str">
        <f aca="false">IF(ISNUMBER(SEARCH("%", A1632)),RIGHT(A1632,3),A1632)</f>
        <v>25, 35, KINGLER</v>
      </c>
      <c r="C1632" s="1" t="str">
        <f aca="false" t="array" ref="C1632:C1632">IF(B1631="NEW ROUTE",textsplit(B1632,","),"")</f>
        <v/>
      </c>
      <c r="H1632" s="1" t="str">
        <f aca="false">IF(C1632&lt;&gt;"",DEC2HEX(C1632,2),"")</f>
        <v/>
      </c>
      <c r="I1632" s="1" t="str">
        <f aca="false">IF(D1632&lt;&gt;"",DEC2HEX(D1632,2),"")</f>
        <v/>
      </c>
      <c r="J1632" s="1" t="str">
        <f aca="false">IF(H1632&lt;&gt;"","0x"&amp;I1632&amp;H1632,"")</f>
        <v/>
      </c>
      <c r="L1632" s="1" t="s">
        <v>3177</v>
      </c>
      <c r="M1632" s="1" t="str">
        <f aca="false">IF(J1632&lt;&gt;"",J1632,L1632)</f>
        <v>25, 35, KINGLER</v>
      </c>
    </row>
    <row r="1633" customFormat="false" ht="12.75" hidden="false" customHeight="true" outlineLevel="0" collapsed="false">
      <c r="A1633" s="3" t="s">
        <v>2855</v>
      </c>
      <c r="B1633" s="3" t="str">
        <f aca="false">IF(ISNUMBER(SEARCH("%", A1633)),RIGHT(A1633,3),A1633)</f>
        <v>25, 35, SLOWPOKE</v>
      </c>
      <c r="C1633" s="1" t="str">
        <f aca="false" t="array" ref="C1633:C1633">IF(B1632="NEW ROUTE",textsplit(B1633,","),"")</f>
        <v/>
      </c>
      <c r="H1633" s="1" t="str">
        <f aca="false">IF(C1633&lt;&gt;"",DEC2HEX(C1633,2),"")</f>
        <v/>
      </c>
      <c r="I1633" s="1" t="str">
        <f aca="false">IF(D1633&lt;&gt;"",DEC2HEX(D1633,2),"")</f>
        <v/>
      </c>
      <c r="J1633" s="1" t="str">
        <f aca="false">IF(H1633&lt;&gt;"","0x"&amp;I1633&amp;H1633,"")</f>
        <v/>
      </c>
      <c r="L1633" s="1" t="s">
        <v>2855</v>
      </c>
      <c r="M1633" s="1" t="str">
        <f aca="false">IF(J1633&lt;&gt;"",J1633,L1633)</f>
        <v>25, 35, SLOWPOKE</v>
      </c>
    </row>
    <row r="1634" customFormat="false" ht="12.75" hidden="false" customHeight="true" outlineLevel="0" collapsed="false">
      <c r="A1634" s="3" t="s">
        <v>2536</v>
      </c>
      <c r="B1634" s="3" t="str">
        <f aca="false">IF(ISNUMBER(SEARCH("%", A1634)),RIGHT(A1634,3),A1634)</f>
        <v>NEW ROUTE</v>
      </c>
      <c r="C1634" s="1" t="str">
        <f aca="false" t="array" ref="C1634:C1634">IF(B1633="NEW ROUTE",textsplit(B1634,","),"")</f>
        <v/>
      </c>
      <c r="H1634" s="1" t="str">
        <f aca="false">IF(C1634&lt;&gt;"",DEC2HEX(C1634,2),"")</f>
        <v/>
      </c>
      <c r="I1634" s="1" t="str">
        <f aca="false">IF(D1634&lt;&gt;"",DEC2HEX(D1634,2),"")</f>
        <v/>
      </c>
      <c r="J1634" s="1" t="str">
        <f aca="false">IF(H1634&lt;&gt;"","0x"&amp;I1634&amp;H1634,"")</f>
        <v/>
      </c>
      <c r="L1634" s="1" t="s">
        <v>2536</v>
      </c>
      <c r="M1634" s="1" t="str">
        <f aca="false">IF(J1634&lt;&gt;"",J1634,L1634)</f>
        <v>NEW ROUTE</v>
      </c>
    </row>
    <row r="1635" customFormat="false" ht="12.75" hidden="false" customHeight="true" outlineLevel="0" collapsed="false">
      <c r="A1635" s="3" t="s">
        <v>3259</v>
      </c>
      <c r="B1635" s="3" t="str">
        <f aca="false">IF(ISNUMBER(SEARCH("%", A1635)),RIGHT(A1635,3),A1635)</f>
        <v>3, 55, 0, &lt;null&gt;,</v>
      </c>
      <c r="C1635" s="1" t="e">
        <f aca="false" t="array" ref="C1635:C1635">IF(B1634="NEW ROUTE",textsplit(B1635,","),"")</f>
        <v>#NAME?</v>
      </c>
      <c r="H1635" s="1" t="e">
        <f aca="false">IF(C1635&lt;&gt;"",DEC2HEX(C1635,2),"")</f>
        <v>#NAME?</v>
      </c>
      <c r="I1635" s="1" t="str">
        <f aca="false">IF(D1635&lt;&gt;"",DEC2HEX(D1635,2),"")</f>
        <v/>
      </c>
      <c r="J1635" s="1" t="e">
        <f aca="false">IF(H1635&lt;&gt;"","0x"&amp;I1635&amp;H1635,"")</f>
        <v>#NAME?</v>
      </c>
      <c r="L1635" s="1" t="s">
        <v>3259</v>
      </c>
      <c r="M1635" s="1" t="e">
        <f aca="false">IF(J1635&lt;&gt;"",J1635,L1635)</f>
        <v>#NAME?</v>
      </c>
    </row>
    <row r="1636" customFormat="false" ht="12.75" hidden="false" customHeight="true" outlineLevel="0" collapsed="false">
      <c r="A1636" s="3" t="s">
        <v>3256</v>
      </c>
      <c r="B1636" s="3" t="str">
        <f aca="false">IF(ISNUMBER(SEARCH("%", A1636)),RIGHT(A1636,3),A1636)</f>
        <v>2, 5, 35, TENTACOOL</v>
      </c>
      <c r="C1636" s="1" t="str">
        <f aca="false" t="array" ref="C1636:C1636">IF(B1635="NEW ROUTE",textsplit(B1636,","),"")</f>
        <v/>
      </c>
      <c r="H1636" s="1" t="str">
        <f aca="false">IF(C1636&lt;&gt;"",DEC2HEX(C1636,2),"")</f>
        <v/>
      </c>
      <c r="I1636" s="1" t="str">
        <f aca="false">IF(D1636&lt;&gt;"",DEC2HEX(D1636,2),"")</f>
        <v/>
      </c>
      <c r="J1636" s="1" t="str">
        <f aca="false">IF(H1636&lt;&gt;"","0x"&amp;I1636&amp;H1636,"")</f>
        <v/>
      </c>
      <c r="L1636" s="1" t="s">
        <v>3256</v>
      </c>
      <c r="M1636" s="1" t="str">
        <f aca="false">IF(J1636&lt;&gt;"",J1636,L1636)</f>
        <v>2, 5, 35, TENTACOOL</v>
      </c>
    </row>
    <row r="1637" customFormat="false" ht="12.75" hidden="false" customHeight="true" outlineLevel="0" collapsed="false">
      <c r="A1637" s="3" t="s">
        <v>3257</v>
      </c>
      <c r="B1637" s="3" t="str">
        <f aca="false">IF(ISNUMBER(SEARCH("%", A1637)),RIGHT(A1637,3),A1637)</f>
        <v>5, 15, HOPPIP</v>
      </c>
      <c r="C1637" s="1" t="str">
        <f aca="false" t="array" ref="C1637:C1637">IF(B1636="NEW ROUTE",textsplit(B1637,","),"")</f>
        <v/>
      </c>
      <c r="H1637" s="1" t="str">
        <f aca="false">IF(C1637&lt;&gt;"",DEC2HEX(C1637,2),"")</f>
        <v/>
      </c>
      <c r="I1637" s="1" t="str">
        <f aca="false">IF(D1637&lt;&gt;"",DEC2HEX(D1637,2),"")</f>
        <v/>
      </c>
      <c r="J1637" s="1" t="str">
        <f aca="false">IF(H1637&lt;&gt;"","0x"&amp;I1637&amp;H1637,"")</f>
        <v/>
      </c>
      <c r="L1637" s="1" t="s">
        <v>3257</v>
      </c>
      <c r="M1637" s="1" t="str">
        <f aca="false">IF(J1637&lt;&gt;"",J1637,L1637)</f>
        <v>5, 15, HOPPIP</v>
      </c>
    </row>
    <row r="1638" customFormat="false" ht="12.75" hidden="false" customHeight="true" outlineLevel="0" collapsed="false">
      <c r="A1638" s="3" t="s">
        <v>2844</v>
      </c>
      <c r="B1638" s="3" t="str">
        <f aca="false">IF(ISNUMBER(SEARCH("%", A1638)),RIGHT(A1638,3),A1638)</f>
        <v>35, 40, TENTACOOL</v>
      </c>
      <c r="C1638" s="1" t="str">
        <f aca="false" t="array" ref="C1638:C1638">IF(B1637="NEW ROUTE",textsplit(B1638,","),"")</f>
        <v/>
      </c>
      <c r="H1638" s="1" t="str">
        <f aca="false">IF(C1638&lt;&gt;"",DEC2HEX(C1638,2),"")</f>
        <v/>
      </c>
      <c r="I1638" s="1" t="str">
        <f aca="false">IF(D1638&lt;&gt;"",DEC2HEX(D1638,2),"")</f>
        <v/>
      </c>
      <c r="J1638" s="1" t="str">
        <f aca="false">IF(H1638&lt;&gt;"","0x"&amp;I1638&amp;H1638,"")</f>
        <v/>
      </c>
      <c r="L1638" s="1" t="s">
        <v>2844</v>
      </c>
      <c r="M1638" s="1" t="str">
        <f aca="false">IF(J1638&lt;&gt;"",J1638,L1638)</f>
        <v>35, 40, TENTACOOL</v>
      </c>
    </row>
    <row r="1639" customFormat="false" ht="12.75" hidden="false" customHeight="true" outlineLevel="0" collapsed="false">
      <c r="A1639" s="3" t="s">
        <v>3231</v>
      </c>
      <c r="B1639" s="3" t="str">
        <f aca="false">IF(ISNUMBER(SEARCH("%", A1639)),RIGHT(A1639,3),A1639)</f>
        <v>35, 40, TENTACRUEL</v>
      </c>
      <c r="C1639" s="1" t="str">
        <f aca="false" t="array" ref="C1639:C1639">IF(B1638="NEW ROUTE",textsplit(B1639,","),"")</f>
        <v/>
      </c>
      <c r="H1639" s="1" t="str">
        <f aca="false">IF(C1639&lt;&gt;"",DEC2HEX(C1639,2),"")</f>
        <v/>
      </c>
      <c r="I1639" s="1" t="str">
        <f aca="false">IF(D1639&lt;&gt;"",DEC2HEX(D1639,2),"")</f>
        <v/>
      </c>
      <c r="J1639" s="1" t="str">
        <f aca="false">IF(H1639&lt;&gt;"","0x"&amp;I1639&amp;H1639,"")</f>
        <v/>
      </c>
      <c r="L1639" s="1" t="s">
        <v>3231</v>
      </c>
      <c r="M1639" s="1" t="str">
        <f aca="false">IF(J1639&lt;&gt;"",J1639,L1639)</f>
        <v>35, 40, TENTACRUEL</v>
      </c>
    </row>
    <row r="1640" customFormat="false" ht="12.75" hidden="false" customHeight="true" outlineLevel="0" collapsed="false">
      <c r="A1640" s="3" t="s">
        <v>3231</v>
      </c>
      <c r="B1640" s="3" t="str">
        <f aca="false">IF(ISNUMBER(SEARCH("%", A1640)),RIGHT(A1640,3),A1640)</f>
        <v>35, 40, TENTACRUEL</v>
      </c>
      <c r="C1640" s="1" t="str">
        <f aca="false" t="array" ref="C1640:C1640">IF(B1639="NEW ROUTE",textsplit(B1640,","),"")</f>
        <v/>
      </c>
      <c r="H1640" s="1" t="str">
        <f aca="false">IF(C1640&lt;&gt;"",DEC2HEX(C1640,2),"")</f>
        <v/>
      </c>
      <c r="I1640" s="1" t="str">
        <f aca="false">IF(D1640&lt;&gt;"",DEC2HEX(D1640,2),"")</f>
        <v/>
      </c>
      <c r="J1640" s="1" t="str">
        <f aca="false">IF(H1640&lt;&gt;"","0x"&amp;I1640&amp;H1640,"")</f>
        <v/>
      </c>
      <c r="L1640" s="1" t="s">
        <v>3231</v>
      </c>
      <c r="M1640" s="1" t="str">
        <f aca="false">IF(J1640&lt;&gt;"",J1640,L1640)</f>
        <v>35, 40, TENTACRUEL</v>
      </c>
    </row>
    <row r="1641" customFormat="false" ht="12.75" hidden="false" customHeight="true" outlineLevel="0" collapsed="false">
      <c r="A1641" s="3" t="s">
        <v>2925</v>
      </c>
      <c r="B1641" s="3" t="str">
        <f aca="false">IF(ISNUMBER(SEARCH("%", A1641)),RIGHT(A1641,3),A1641)</f>
        <v>20, old rod:</v>
      </c>
      <c r="C1641" s="1" t="str">
        <f aca="false" t="array" ref="C1641:C1641">IF(B1640="NEW ROUTE",textsplit(B1641,","),"")</f>
        <v/>
      </c>
      <c r="H1641" s="1" t="str">
        <f aca="false">IF(C1641&lt;&gt;"",DEC2HEX(C1641,2),"")</f>
        <v/>
      </c>
      <c r="I1641" s="1" t="str">
        <f aca="false">IF(D1641&lt;&gt;"",DEC2HEX(D1641,2),"")</f>
        <v/>
      </c>
      <c r="J1641" s="1" t="str">
        <f aca="false">IF(H1641&lt;&gt;"","0x"&amp;I1641&amp;H1641,"")</f>
        <v/>
      </c>
      <c r="L1641" s="1" t="s">
        <v>2925</v>
      </c>
      <c r="M1641" s="1" t="str">
        <f aca="false">IF(J1641&lt;&gt;"",J1641,L1641)</f>
        <v>20, old rod:</v>
      </c>
    </row>
    <row r="1642" customFormat="false" ht="12.75" hidden="false" customHeight="true" outlineLevel="0" collapsed="false">
      <c r="A1642" s="3" t="s">
        <v>1266</v>
      </c>
      <c r="B1642" s="3" t="str">
        <f aca="false">IF(ISNUMBER(SEARCH("%", A1642)),RIGHT(A1642,3),A1642)</f>
        <v>5, 5, MAGIKARP</v>
      </c>
      <c r="C1642" s="1" t="str">
        <f aca="false" t="array" ref="C1642:C1642">IF(B1641="NEW ROUTE",textsplit(B1642,","),"")</f>
        <v/>
      </c>
      <c r="H1642" s="1" t="str">
        <f aca="false">IF(C1642&lt;&gt;"",DEC2HEX(C1642,2),"")</f>
        <v/>
      </c>
      <c r="I1642" s="1" t="str">
        <f aca="false">IF(D1642&lt;&gt;"",DEC2HEX(D1642,2),"")</f>
        <v/>
      </c>
      <c r="J1642" s="1" t="str">
        <f aca="false">IF(H1642&lt;&gt;"","0x"&amp;I1642&amp;H1642,"")</f>
        <v/>
      </c>
      <c r="L1642" s="1" t="s">
        <v>1266</v>
      </c>
      <c r="M1642" s="1" t="str">
        <f aca="false">IF(J1642&lt;&gt;"",J1642,L1642)</f>
        <v>5, 5, MAGIKARP</v>
      </c>
    </row>
    <row r="1643" customFormat="false" ht="12.75" hidden="false" customHeight="true" outlineLevel="0" collapsed="false">
      <c r="A1643" s="3" t="s">
        <v>1266</v>
      </c>
      <c r="B1643" s="3" t="str">
        <f aca="false">IF(ISNUMBER(SEARCH("%", A1643)),RIGHT(A1643,3),A1643)</f>
        <v>5, 5, MAGIKARP</v>
      </c>
      <c r="C1643" s="1" t="str">
        <f aca="false" t="array" ref="C1643:C1643">IF(B1642="NEW ROUTE",textsplit(B1643,","),"")</f>
        <v/>
      </c>
      <c r="H1643" s="1" t="str">
        <f aca="false">IF(C1643&lt;&gt;"",DEC2HEX(C1643,2),"")</f>
        <v/>
      </c>
      <c r="I1643" s="1" t="str">
        <f aca="false">IF(D1643&lt;&gt;"",DEC2HEX(D1643,2),"")</f>
        <v/>
      </c>
      <c r="J1643" s="1" t="str">
        <f aca="false">IF(H1643&lt;&gt;"","0x"&amp;I1643&amp;H1643,"")</f>
        <v/>
      </c>
      <c r="L1643" s="1" t="s">
        <v>1266</v>
      </c>
      <c r="M1643" s="1" t="str">
        <f aca="false">IF(J1643&lt;&gt;"",J1643,L1643)</f>
        <v>5, 5, MAGIKARP</v>
      </c>
    </row>
    <row r="1644" customFormat="false" ht="12.75" hidden="false" customHeight="true" outlineLevel="0" collapsed="false">
      <c r="A1644" s="3" t="s">
        <v>2846</v>
      </c>
      <c r="B1644" s="3" t="str">
        <f aca="false">IF(ISNUMBER(SEARCH("%", A1644)),RIGHT(A1644,3),A1644)</f>
        <v>good rod:</v>
      </c>
      <c r="C1644" s="1" t="str">
        <f aca="false" t="array" ref="C1644:C1644">IF(B1643="NEW ROUTE",textsplit(B1644,","),"")</f>
        <v/>
      </c>
      <c r="H1644" s="1" t="str">
        <f aca="false">IF(C1644&lt;&gt;"",DEC2HEX(C1644,2),"")</f>
        <v/>
      </c>
      <c r="I1644" s="1" t="str">
        <f aca="false">IF(D1644&lt;&gt;"",DEC2HEX(D1644,2),"")</f>
        <v/>
      </c>
      <c r="J1644" s="1" t="str">
        <f aca="false">IF(H1644&lt;&gt;"","0x"&amp;I1644&amp;H1644,"")</f>
        <v/>
      </c>
      <c r="L1644" s="1" t="s">
        <v>2846</v>
      </c>
      <c r="M1644" s="1" t="str">
        <f aca="false">IF(J1644&lt;&gt;"",J1644,L1644)</f>
        <v>good rod:</v>
      </c>
    </row>
    <row r="1645" customFormat="false" ht="12.75" hidden="false" customHeight="true" outlineLevel="0" collapsed="false">
      <c r="A1645" s="3" t="s">
        <v>2847</v>
      </c>
      <c r="B1645" s="3" t="str">
        <f aca="false">IF(ISNUMBER(SEARCH("%", A1645)),RIGHT(A1645,3),A1645)</f>
        <v>5, 15, KRABBY</v>
      </c>
      <c r="C1645" s="1" t="str">
        <f aca="false" t="array" ref="C1645:C1645">IF(B1644="NEW ROUTE",textsplit(B1645,","),"")</f>
        <v/>
      </c>
      <c r="H1645" s="1" t="str">
        <f aca="false">IF(C1645&lt;&gt;"",DEC2HEX(C1645,2),"")</f>
        <v/>
      </c>
      <c r="I1645" s="1" t="str">
        <f aca="false">IF(D1645&lt;&gt;"",DEC2HEX(D1645,2),"")</f>
        <v/>
      </c>
      <c r="J1645" s="1" t="str">
        <f aca="false">IF(H1645&lt;&gt;"","0x"&amp;I1645&amp;H1645,"")</f>
        <v/>
      </c>
      <c r="L1645" s="1" t="s">
        <v>2847</v>
      </c>
      <c r="M1645" s="1" t="str">
        <f aca="false">IF(J1645&lt;&gt;"",J1645,L1645)</f>
        <v>5, 15, KRABBY</v>
      </c>
    </row>
    <row r="1646" customFormat="false" ht="12.75" hidden="false" customHeight="true" outlineLevel="0" collapsed="false">
      <c r="A1646" s="3" t="s">
        <v>2848</v>
      </c>
      <c r="B1646" s="3" t="str">
        <f aca="false">IF(ISNUMBER(SEARCH("%", A1646)),RIGHT(A1646,3),A1646)</f>
        <v>5, 15, MAGIKARP</v>
      </c>
      <c r="C1646" s="1" t="str">
        <f aca="false" t="array" ref="C1646:C1646">IF(B1645="NEW ROUTE",textsplit(B1646,","),"")</f>
        <v/>
      </c>
      <c r="H1646" s="1" t="str">
        <f aca="false">IF(C1646&lt;&gt;"",DEC2HEX(C1646,2),"")</f>
        <v/>
      </c>
      <c r="I1646" s="1" t="str">
        <f aca="false">IF(D1646&lt;&gt;"",DEC2HEX(D1646,2),"")</f>
        <v/>
      </c>
      <c r="J1646" s="1" t="str">
        <f aca="false">IF(H1646&lt;&gt;"","0x"&amp;I1646&amp;H1646,"")</f>
        <v/>
      </c>
      <c r="L1646" s="1" t="s">
        <v>2848</v>
      </c>
      <c r="M1646" s="1" t="str">
        <f aca="false">IF(J1646&lt;&gt;"",J1646,L1646)</f>
        <v>5, 15, MAGIKARP</v>
      </c>
    </row>
    <row r="1647" customFormat="false" ht="12.75" hidden="false" customHeight="true" outlineLevel="0" collapsed="false">
      <c r="A1647" s="3" t="s">
        <v>2847</v>
      </c>
      <c r="B1647" s="3" t="str">
        <f aca="false">IF(ISNUMBER(SEARCH("%", A1647)),RIGHT(A1647,3),A1647)</f>
        <v>5, 15, KRABBY</v>
      </c>
      <c r="C1647" s="1" t="str">
        <f aca="false" t="array" ref="C1647:C1647">IF(B1646="NEW ROUTE",textsplit(B1647,","),"")</f>
        <v/>
      </c>
      <c r="H1647" s="1" t="str">
        <f aca="false">IF(C1647&lt;&gt;"",DEC2HEX(C1647,2),"")</f>
        <v/>
      </c>
      <c r="I1647" s="1" t="str">
        <f aca="false">IF(D1647&lt;&gt;"",DEC2HEX(D1647,2),"")</f>
        <v/>
      </c>
      <c r="J1647" s="1" t="str">
        <f aca="false">IF(H1647&lt;&gt;"","0x"&amp;I1647&amp;H1647,"")</f>
        <v/>
      </c>
      <c r="L1647" s="1" t="s">
        <v>2847</v>
      </c>
      <c r="M1647" s="1" t="str">
        <f aca="false">IF(J1647&lt;&gt;"",J1647,L1647)</f>
        <v>5, 15, KRABBY</v>
      </c>
    </row>
    <row r="1648" customFormat="false" ht="12.75" hidden="false" customHeight="true" outlineLevel="0" collapsed="false">
      <c r="A1648" s="3" t="s">
        <v>2850</v>
      </c>
      <c r="B1648" s="3" t="str">
        <f aca="false">IF(ISNUMBER(SEARCH("%", A1648)),RIGHT(A1648,3),A1648)</f>
        <v>super rod:</v>
      </c>
      <c r="C1648" s="1" t="str">
        <f aca="false" t="array" ref="C1648:C1648">IF(B1647="NEW ROUTE",textsplit(B1648,","),"")</f>
        <v/>
      </c>
      <c r="H1648" s="1" t="str">
        <f aca="false">IF(C1648&lt;&gt;"",DEC2HEX(C1648,2),"")</f>
        <v/>
      </c>
      <c r="I1648" s="1" t="str">
        <f aca="false">IF(D1648&lt;&gt;"",DEC2HEX(D1648,2),"")</f>
        <v/>
      </c>
      <c r="J1648" s="1" t="str">
        <f aca="false">IF(H1648&lt;&gt;"","0x"&amp;I1648&amp;H1648,"")</f>
        <v/>
      </c>
      <c r="L1648" s="1" t="s">
        <v>2850</v>
      </c>
      <c r="M1648" s="1" t="str">
        <f aca="false">IF(J1648&lt;&gt;"",J1648,L1648)</f>
        <v>super rod:</v>
      </c>
    </row>
    <row r="1649" customFormat="false" ht="12.75" hidden="false" customHeight="true" outlineLevel="0" collapsed="false">
      <c r="A1649" s="3" t="s">
        <v>2851</v>
      </c>
      <c r="B1649" s="3" t="str">
        <f aca="false">IF(ISNUMBER(SEARCH("%", A1649)),RIGHT(A1649,3),A1649)</f>
        <v>15, 25, KRABBY</v>
      </c>
      <c r="C1649" s="1" t="str">
        <f aca="false" t="array" ref="C1649:C1649">IF(B1648="NEW ROUTE",textsplit(B1649,","),"")</f>
        <v/>
      </c>
      <c r="H1649" s="1" t="str">
        <f aca="false">IF(C1649&lt;&gt;"",DEC2HEX(C1649,2),"")</f>
        <v/>
      </c>
      <c r="I1649" s="1" t="str">
        <f aca="false">IF(D1649&lt;&gt;"",DEC2HEX(D1649,2),"")</f>
        <v/>
      </c>
      <c r="J1649" s="1" t="str">
        <f aca="false">IF(H1649&lt;&gt;"","0x"&amp;I1649&amp;H1649,"")</f>
        <v/>
      </c>
      <c r="L1649" s="1" t="s">
        <v>2851</v>
      </c>
      <c r="M1649" s="1" t="str">
        <f aca="false">IF(J1649&lt;&gt;"",J1649,L1649)</f>
        <v>15, 25, KRABBY</v>
      </c>
    </row>
    <row r="1650" customFormat="false" ht="12.75" hidden="false" customHeight="true" outlineLevel="0" collapsed="false">
      <c r="A1650" s="3" t="s">
        <v>3258</v>
      </c>
      <c r="B1650" s="3" t="str">
        <f aca="false">IF(ISNUMBER(SEARCH("%", A1650)),RIGHT(A1650,3),A1650)</f>
        <v>15, 25, REMORAID</v>
      </c>
      <c r="C1650" s="1" t="str">
        <f aca="false" t="array" ref="C1650:C1650">IF(B1649="NEW ROUTE",textsplit(B1650,","),"")</f>
        <v/>
      </c>
      <c r="H1650" s="1" t="str">
        <f aca="false">IF(C1650&lt;&gt;"",DEC2HEX(C1650,2),"")</f>
        <v/>
      </c>
      <c r="I1650" s="1" t="str">
        <f aca="false">IF(D1650&lt;&gt;"",DEC2HEX(D1650,2),"")</f>
        <v/>
      </c>
      <c r="J1650" s="1" t="str">
        <f aca="false">IF(H1650&lt;&gt;"","0x"&amp;I1650&amp;H1650,"")</f>
        <v/>
      </c>
      <c r="L1650" s="1" t="s">
        <v>3258</v>
      </c>
      <c r="M1650" s="1" t="str">
        <f aca="false">IF(J1650&lt;&gt;"",J1650,L1650)</f>
        <v>15, 25, REMORAID</v>
      </c>
    </row>
    <row r="1651" customFormat="false" ht="12.75" hidden="false" customHeight="true" outlineLevel="0" collapsed="false">
      <c r="A1651" s="3" t="s">
        <v>2853</v>
      </c>
      <c r="B1651" s="3" t="str">
        <f aca="false">IF(ISNUMBER(SEARCH("%", A1651)),RIGHT(A1651,3),A1651)</f>
        <v>15, 25, GYARADOS</v>
      </c>
      <c r="C1651" s="1" t="str">
        <f aca="false" t="array" ref="C1651:C1651">IF(B1650="NEW ROUTE",textsplit(B1651,","),"")</f>
        <v/>
      </c>
      <c r="H1651" s="1" t="str">
        <f aca="false">IF(C1651&lt;&gt;"",DEC2HEX(C1651,2),"")</f>
        <v/>
      </c>
      <c r="I1651" s="1" t="str">
        <f aca="false">IF(D1651&lt;&gt;"",DEC2HEX(D1651,2),"")</f>
        <v/>
      </c>
      <c r="J1651" s="1" t="str">
        <f aca="false">IF(H1651&lt;&gt;"","0x"&amp;I1651&amp;H1651,"")</f>
        <v/>
      </c>
      <c r="L1651" s="1" t="s">
        <v>2853</v>
      </c>
      <c r="M1651" s="1" t="str">
        <f aca="false">IF(J1651&lt;&gt;"",J1651,L1651)</f>
        <v>15, 25, GYARADOS</v>
      </c>
    </row>
    <row r="1652" customFormat="false" ht="12.75" hidden="false" customHeight="true" outlineLevel="0" collapsed="false">
      <c r="A1652" s="3" t="s">
        <v>3177</v>
      </c>
      <c r="B1652" s="3" t="str">
        <f aca="false">IF(ISNUMBER(SEARCH("%", A1652)),RIGHT(A1652,3),A1652)</f>
        <v>25, 35, KINGLER</v>
      </c>
      <c r="C1652" s="1" t="str">
        <f aca="false" t="array" ref="C1652:C1652">IF(B1651="NEW ROUTE",textsplit(B1652,","),"")</f>
        <v/>
      </c>
      <c r="H1652" s="1" t="str">
        <f aca="false">IF(C1652&lt;&gt;"",DEC2HEX(C1652,2),"")</f>
        <v/>
      </c>
      <c r="I1652" s="1" t="str">
        <f aca="false">IF(D1652&lt;&gt;"",DEC2HEX(D1652,2),"")</f>
        <v/>
      </c>
      <c r="J1652" s="1" t="str">
        <f aca="false">IF(H1652&lt;&gt;"","0x"&amp;I1652&amp;H1652,"")</f>
        <v/>
      </c>
      <c r="L1652" s="1" t="s">
        <v>3177</v>
      </c>
      <c r="M1652" s="1" t="str">
        <f aca="false">IF(J1652&lt;&gt;"",J1652,L1652)</f>
        <v>25, 35, KINGLER</v>
      </c>
    </row>
    <row r="1653" customFormat="false" ht="12.75" hidden="false" customHeight="true" outlineLevel="0" collapsed="false">
      <c r="A1653" s="3" t="s">
        <v>2855</v>
      </c>
      <c r="B1653" s="3" t="str">
        <f aca="false">IF(ISNUMBER(SEARCH("%", A1653)),RIGHT(A1653,3),A1653)</f>
        <v>25, 35, SLOWPOKE</v>
      </c>
      <c r="C1653" s="1" t="str">
        <f aca="false" t="array" ref="C1653:C1653">IF(B1652="NEW ROUTE",textsplit(B1653,","),"")</f>
        <v/>
      </c>
      <c r="H1653" s="1" t="str">
        <f aca="false">IF(C1653&lt;&gt;"",DEC2HEX(C1653,2),"")</f>
        <v/>
      </c>
      <c r="I1653" s="1" t="str">
        <f aca="false">IF(D1653&lt;&gt;"",DEC2HEX(D1653,2),"")</f>
        <v/>
      </c>
      <c r="J1653" s="1" t="str">
        <f aca="false">IF(H1653&lt;&gt;"","0x"&amp;I1653&amp;H1653,"")</f>
        <v/>
      </c>
      <c r="L1653" s="1" t="s">
        <v>2855</v>
      </c>
      <c r="M1653" s="1" t="str">
        <f aca="false">IF(J1653&lt;&gt;"",J1653,L1653)</f>
        <v>25, 35, SLOWPOKE</v>
      </c>
    </row>
    <row r="1654" customFormat="false" ht="12.75" hidden="false" customHeight="true" outlineLevel="0" collapsed="false">
      <c r="A1654" s="3" t="s">
        <v>2536</v>
      </c>
      <c r="B1654" s="3" t="str">
        <f aca="false">IF(ISNUMBER(SEARCH("%", A1654)),RIGHT(A1654,3),A1654)</f>
        <v>NEW ROUTE</v>
      </c>
      <c r="C1654" s="1" t="str">
        <f aca="false" t="array" ref="C1654:C1654">IF(B1653="NEW ROUTE",textsplit(B1654,","),"")</f>
        <v/>
      </c>
      <c r="H1654" s="1" t="str">
        <f aca="false">IF(C1654&lt;&gt;"",DEC2HEX(C1654,2),"")</f>
        <v/>
      </c>
      <c r="I1654" s="1" t="str">
        <f aca="false">IF(D1654&lt;&gt;"",DEC2HEX(D1654,2),"")</f>
        <v/>
      </c>
      <c r="J1654" s="1" t="str">
        <f aca="false">IF(H1654&lt;&gt;"","0x"&amp;I1654&amp;H1654,"")</f>
        <v/>
      </c>
      <c r="L1654" s="1" t="s">
        <v>2536</v>
      </c>
      <c r="M1654" s="1" t="str">
        <f aca="false">IF(J1654&lt;&gt;"",J1654,L1654)</f>
        <v>NEW ROUTE</v>
      </c>
    </row>
    <row r="1655" customFormat="false" ht="12.75" hidden="false" customHeight="true" outlineLevel="0" collapsed="false">
      <c r="A1655" s="3" t="s">
        <v>3260</v>
      </c>
      <c r="B1655" s="3" t="str">
        <f aca="false">IF(ISNUMBER(SEARCH("%", A1655)),RIGHT(A1655,3),A1655)</f>
        <v>3, 56, 0,</v>
      </c>
      <c r="C1655" s="1" t="e">
        <f aca="false" t="array" ref="C1655:C1655">IF(B1654="NEW ROUTE",textsplit(B1655,","),"")</f>
        <v>#NAME?</v>
      </c>
      <c r="H1655" s="1" t="e">
        <f aca="false">IF(C1655&lt;&gt;"",DEC2HEX(C1655,2),"")</f>
        <v>#NAME?</v>
      </c>
      <c r="I1655" s="1" t="str">
        <f aca="false">IF(D1655&lt;&gt;"",DEC2HEX(D1655,2),"")</f>
        <v/>
      </c>
      <c r="J1655" s="1" t="e">
        <f aca="false">IF(H1655&lt;&gt;"","0x"&amp;I1655&amp;H1655,"")</f>
        <v>#NAME?</v>
      </c>
      <c r="L1655" s="1" t="s">
        <v>3260</v>
      </c>
      <c r="M1655" s="1" t="e">
        <f aca="false">IF(J1655&lt;&gt;"",J1655,L1655)</f>
        <v>#NAME?</v>
      </c>
    </row>
    <row r="1656" customFormat="false" ht="12.75" hidden="false" customHeight="true" outlineLevel="0" collapsed="false">
      <c r="A1656" s="3" t="s">
        <v>2908</v>
      </c>
      <c r="B1656" s="3" t="str">
        <f aca="false">IF(ISNUMBER(SEARCH("%", A1656)),RIGHT(A1656,3),A1656)</f>
        <v>20%</v>
      </c>
      <c r="C1656" s="1" t="str">
        <f aca="false" t="array" ref="C1656:C1656">IF(B1655="NEW ROUTE",textsplit(B1656,","),"")</f>
        <v/>
      </c>
      <c r="H1656" s="1" t="str">
        <f aca="false">IF(C1656&lt;&gt;"",DEC2HEX(C1656,2),"")</f>
        <v/>
      </c>
      <c r="I1656" s="1" t="str">
        <f aca="false">IF(D1656&lt;&gt;"",DEC2HEX(D1656,2),"")</f>
        <v/>
      </c>
      <c r="J1656" s="1" t="str">
        <f aca="false">IF(H1656&lt;&gt;"","0x"&amp;I1656&amp;H1656,"")</f>
        <v/>
      </c>
      <c r="L1656" s="1" t="s">
        <v>2799</v>
      </c>
      <c r="M1656" s="1" t="str">
        <f aca="false">IF(J1656&lt;&gt;"",J1656,L1656)</f>
        <v>20%</v>
      </c>
    </row>
    <row r="1657" customFormat="false" ht="12.75" hidden="false" customHeight="true" outlineLevel="0" collapsed="false">
      <c r="A1657" s="3" t="s">
        <v>1715</v>
      </c>
      <c r="B1657" s="3" t="str">
        <f aca="false">IF(ISNUMBER(SEARCH("%", A1657)),RIGHT(A1657,3),A1657)</f>
        <v>44, 44, PIDGEY</v>
      </c>
      <c r="C1657" s="1" t="str">
        <f aca="false" t="array" ref="C1657:C1657">IF(B1656="NEW ROUTE",textsplit(B1657,","),"")</f>
        <v/>
      </c>
      <c r="H1657" s="1" t="str">
        <f aca="false">IF(C1657&lt;&gt;"",DEC2HEX(C1657,2),"")</f>
        <v/>
      </c>
      <c r="I1657" s="1" t="str">
        <f aca="false">IF(D1657&lt;&gt;"",DEC2HEX(D1657,2),"")</f>
        <v/>
      </c>
      <c r="J1657" s="1" t="str">
        <f aca="false">IF(H1657&lt;&gt;"","0x"&amp;I1657&amp;H1657,"")</f>
        <v/>
      </c>
      <c r="L1657" s="1" t="s">
        <v>1715</v>
      </c>
      <c r="M1657" s="1" t="str">
        <f aca="false">IF(J1657&lt;&gt;"",J1657,L1657)</f>
        <v>44, 44, PIDGEY</v>
      </c>
    </row>
    <row r="1658" customFormat="false" ht="12.75" hidden="false" customHeight="true" outlineLevel="0" collapsed="false">
      <c r="A1658" s="3" t="s">
        <v>3261</v>
      </c>
      <c r="B1658" s="3" t="str">
        <f aca="false">IF(ISNUMBER(SEARCH("%", A1658)),RIGHT(A1658,3),A1658)</f>
        <v>10, 10, SENTRET</v>
      </c>
      <c r="C1658" s="1" t="str">
        <f aca="false" t="array" ref="C1658:C1658">IF(B1657="NEW ROUTE",textsplit(B1658,","),"")</f>
        <v/>
      </c>
      <c r="H1658" s="1" t="str">
        <f aca="false">IF(C1658&lt;&gt;"",DEC2HEX(C1658,2),"")</f>
        <v/>
      </c>
      <c r="I1658" s="1" t="str">
        <f aca="false">IF(D1658&lt;&gt;"",DEC2HEX(D1658,2),"")</f>
        <v/>
      </c>
      <c r="J1658" s="1" t="str">
        <f aca="false">IF(H1658&lt;&gt;"","0x"&amp;I1658&amp;H1658,"")</f>
        <v/>
      </c>
      <c r="L1658" s="1" t="s">
        <v>3261</v>
      </c>
      <c r="M1658" s="1" t="str">
        <f aca="false">IF(J1658&lt;&gt;"",J1658,L1658)</f>
        <v>10, 10, SENTRET</v>
      </c>
    </row>
    <row r="1659" customFormat="false" ht="12.75" hidden="false" customHeight="true" outlineLevel="0" collapsed="false">
      <c r="A1659" s="3" t="s">
        <v>2801</v>
      </c>
      <c r="B1659" s="3" t="str">
        <f aca="false">IF(ISNUMBER(SEARCH("%", A1659)),RIGHT(A1659,3),A1659)</f>
        <v>0.1</v>
      </c>
      <c r="C1659" s="1" t="str">
        <f aca="false" t="array" ref="C1659:C1659">IF(B1658="NEW ROUTE",textsplit(B1659,","),"")</f>
        <v/>
      </c>
      <c r="H1659" s="1" t="str">
        <f aca="false">IF(C1659&lt;&gt;"",DEC2HEX(C1659,2),"")</f>
        <v/>
      </c>
      <c r="I1659" s="1" t="str">
        <f aca="false">IF(D1659&lt;&gt;"",DEC2HEX(D1659,2),"")</f>
        <v/>
      </c>
      <c r="J1659" s="1" t="str">
        <f aca="false">IF(H1659&lt;&gt;"","0x"&amp;I1659&amp;H1659,"")</f>
        <v/>
      </c>
      <c r="L1659" s="1" t="s">
        <v>2801</v>
      </c>
      <c r="M1659" s="1" t="str">
        <f aca="false">IF(J1659&lt;&gt;"",J1659,L1659)</f>
        <v>0.1</v>
      </c>
    </row>
    <row r="1660" customFormat="false" ht="12.75" hidden="false" customHeight="true" outlineLevel="0" collapsed="false">
      <c r="A1660" s="3" t="s">
        <v>3262</v>
      </c>
      <c r="B1660" s="3" t="str">
        <f aca="false">IF(ISNUMBER(SEARCH("%", A1660)),RIGHT(A1660,3),A1660)</f>
        <v>48, 48, PIDGEOTTO</v>
      </c>
      <c r="C1660" s="1" t="str">
        <f aca="false" t="array" ref="C1660:C1660">IF(B1659="NEW ROUTE",textsplit(B1660,","),"")</f>
        <v/>
      </c>
      <c r="H1660" s="1" t="str">
        <f aca="false">IF(C1660&lt;&gt;"",DEC2HEX(C1660,2),"")</f>
        <v/>
      </c>
      <c r="I1660" s="1" t="str">
        <f aca="false">IF(D1660&lt;&gt;"",DEC2HEX(D1660,2),"")</f>
        <v/>
      </c>
      <c r="J1660" s="1" t="str">
        <f aca="false">IF(H1660&lt;&gt;"","0x"&amp;I1660&amp;H1660,"")</f>
        <v/>
      </c>
      <c r="L1660" s="1" t="s">
        <v>3262</v>
      </c>
      <c r="M1660" s="1" t="str">
        <f aca="false">IF(J1660&lt;&gt;"",J1660,L1660)</f>
        <v>48, 48, PIDGEOTTO</v>
      </c>
    </row>
    <row r="1661" customFormat="false" ht="12.75" hidden="false" customHeight="true" outlineLevel="0" collapsed="false">
      <c r="A1661" s="3" t="s">
        <v>1726</v>
      </c>
      <c r="B1661" s="3" t="str">
        <f aca="false">IF(ISNUMBER(SEARCH("%", A1661)),RIGHT(A1661,3),A1661)</f>
        <v>10, 10, HOPPIP</v>
      </c>
      <c r="C1661" s="1" t="str">
        <f aca="false" t="array" ref="C1661:C1661">IF(B1660="NEW ROUTE",textsplit(B1661,","),"")</f>
        <v/>
      </c>
      <c r="H1661" s="1" t="str">
        <f aca="false">IF(C1661&lt;&gt;"",DEC2HEX(C1661,2),"")</f>
        <v/>
      </c>
      <c r="I1661" s="1" t="str">
        <f aca="false">IF(D1661&lt;&gt;"",DEC2HEX(D1661,2),"")</f>
        <v/>
      </c>
      <c r="J1661" s="1" t="str">
        <f aca="false">IF(H1661&lt;&gt;"","0x"&amp;I1661&amp;H1661,"")</f>
        <v/>
      </c>
      <c r="L1661" s="1" t="s">
        <v>1726</v>
      </c>
      <c r="M1661" s="1" t="str">
        <f aca="false">IF(J1661&lt;&gt;"",J1661,L1661)</f>
        <v>10, 10, HOPPIP</v>
      </c>
    </row>
    <row r="1662" customFormat="false" ht="12.75" hidden="false" customHeight="true" outlineLevel="0" collapsed="false">
      <c r="A1662" s="3" t="s">
        <v>3263</v>
      </c>
      <c r="B1662" s="3" t="str">
        <f aca="false">IF(ISNUMBER(SEARCH("%", A1662)),RIGHT(A1662,3),A1662)</f>
        <v>15, 15, SENTRET</v>
      </c>
      <c r="C1662" s="1" t="str">
        <f aca="false" t="array" ref="C1662:C1662">IF(B1661="NEW ROUTE",textsplit(B1662,","),"")</f>
        <v/>
      </c>
      <c r="H1662" s="1" t="str">
        <f aca="false">IF(C1662&lt;&gt;"",DEC2HEX(C1662,2),"")</f>
        <v/>
      </c>
      <c r="I1662" s="1" t="str">
        <f aca="false">IF(D1662&lt;&gt;"",DEC2HEX(D1662,2),"")</f>
        <v/>
      </c>
      <c r="J1662" s="1" t="str">
        <f aca="false">IF(H1662&lt;&gt;"","0x"&amp;I1662&amp;H1662,"")</f>
        <v/>
      </c>
      <c r="L1662" s="1" t="s">
        <v>3263</v>
      </c>
      <c r="M1662" s="1" t="str">
        <f aca="false">IF(J1662&lt;&gt;"",J1662,L1662)</f>
        <v>15, 15, SENTRET</v>
      </c>
    </row>
    <row r="1663" customFormat="false" ht="12.75" hidden="false" customHeight="true" outlineLevel="0" collapsed="false">
      <c r="A1663" s="3" t="s">
        <v>3264</v>
      </c>
      <c r="B1663" s="3" t="str">
        <f aca="false">IF(ISNUMBER(SEARCH("%", A1663)),RIGHT(A1663,3),A1663)</f>
        <v>41, 41, MEOWTH</v>
      </c>
      <c r="C1663" s="1" t="str">
        <f aca="false" t="array" ref="C1663:C1663">IF(B1662="NEW ROUTE",textsplit(B1663,","),"")</f>
        <v/>
      </c>
      <c r="H1663" s="1" t="str">
        <f aca="false">IF(C1663&lt;&gt;"",DEC2HEX(C1663,2),"")</f>
        <v/>
      </c>
      <c r="I1663" s="1" t="str">
        <f aca="false">IF(D1663&lt;&gt;"",DEC2HEX(D1663,2),"")</f>
        <v/>
      </c>
      <c r="J1663" s="1" t="str">
        <f aca="false">IF(H1663&lt;&gt;"","0x"&amp;I1663&amp;H1663,"")</f>
        <v/>
      </c>
      <c r="L1663" s="1" t="s">
        <v>3264</v>
      </c>
      <c r="M1663" s="1" t="str">
        <f aca="false">IF(J1663&lt;&gt;"",J1663,L1663)</f>
        <v>41, 41, MEOWTH</v>
      </c>
    </row>
    <row r="1664" customFormat="false" ht="12.75" hidden="false" customHeight="true" outlineLevel="0" collapsed="false">
      <c r="A1664" s="3" t="s">
        <v>2806</v>
      </c>
      <c r="B1664" s="3" t="str">
        <f aca="false">IF(ISNUMBER(SEARCH("%", A1664)),RIGHT(A1664,3),A1664)</f>
        <v>0.05</v>
      </c>
      <c r="C1664" s="1" t="str">
        <f aca="false" t="array" ref="C1664:C1664">IF(B1663="NEW ROUTE",textsplit(B1664,","),"")</f>
        <v/>
      </c>
      <c r="H1664" s="1" t="str">
        <f aca="false">IF(C1664&lt;&gt;"",DEC2HEX(C1664,2),"")</f>
        <v/>
      </c>
      <c r="I1664" s="1" t="str">
        <f aca="false">IF(D1664&lt;&gt;"",DEC2HEX(D1664,2),"")</f>
        <v/>
      </c>
      <c r="J1664" s="1" t="str">
        <f aca="false">IF(H1664&lt;&gt;"","0x"&amp;I1664&amp;H1664,"")</f>
        <v/>
      </c>
      <c r="L1664" s="1" t="s">
        <v>2806</v>
      </c>
      <c r="M1664" s="1" t="str">
        <f aca="false">IF(J1664&lt;&gt;"",J1664,L1664)</f>
        <v>0.05</v>
      </c>
    </row>
    <row r="1665" customFormat="false" ht="12.75" hidden="false" customHeight="true" outlineLevel="0" collapsed="false">
      <c r="A1665" s="3" t="s">
        <v>3265</v>
      </c>
      <c r="B1665" s="3" t="str">
        <f aca="false">IF(ISNUMBER(SEARCH("%", A1665)),RIGHT(A1665,3),A1665)</f>
        <v>15, 15, HOPPIP</v>
      </c>
      <c r="C1665" s="1" t="str">
        <f aca="false" t="array" ref="C1665:C1665">IF(B1664="NEW ROUTE",textsplit(B1665,","),"")</f>
        <v/>
      </c>
      <c r="H1665" s="1" t="str">
        <f aca="false">IF(C1665&lt;&gt;"",DEC2HEX(C1665,2),"")</f>
        <v/>
      </c>
      <c r="I1665" s="1" t="str">
        <f aca="false">IF(D1665&lt;&gt;"",DEC2HEX(D1665,2),"")</f>
        <v/>
      </c>
      <c r="J1665" s="1" t="str">
        <f aca="false">IF(H1665&lt;&gt;"","0x"&amp;I1665&amp;H1665,"")</f>
        <v/>
      </c>
      <c r="L1665" s="1" t="s">
        <v>3265</v>
      </c>
      <c r="M1665" s="1" t="str">
        <f aca="false">IF(J1665&lt;&gt;"",J1665,L1665)</f>
        <v>15, 15, HOPPIP</v>
      </c>
    </row>
    <row r="1666" customFormat="false" ht="12.75" hidden="false" customHeight="true" outlineLevel="0" collapsed="false">
      <c r="A1666" s="3" t="s">
        <v>3154</v>
      </c>
      <c r="B1666" s="3" t="str">
        <f aca="false">IF(ISNUMBER(SEARCH("%", A1666)),RIGHT(A1666,3),A1666)</f>
        <v>41, 41, SLOWPOKE</v>
      </c>
      <c r="C1666" s="1" t="str">
        <f aca="false" t="array" ref="C1666:C1666">IF(B1665="NEW ROUTE",textsplit(B1666,","),"")</f>
        <v/>
      </c>
      <c r="H1666" s="1" t="str">
        <f aca="false">IF(C1666&lt;&gt;"",DEC2HEX(C1666,2),"")</f>
        <v/>
      </c>
      <c r="I1666" s="1" t="str">
        <f aca="false">IF(D1666&lt;&gt;"",DEC2HEX(D1666,2),"")</f>
        <v/>
      </c>
      <c r="J1666" s="1" t="str">
        <f aca="false">IF(H1666&lt;&gt;"","0x"&amp;I1666&amp;H1666,"")</f>
        <v/>
      </c>
      <c r="L1666" s="1" t="s">
        <v>3154</v>
      </c>
      <c r="M1666" s="1" t="str">
        <f aca="false">IF(J1666&lt;&gt;"",J1666,L1666)</f>
        <v>41, 41, SLOWPOKE</v>
      </c>
    </row>
    <row r="1667" customFormat="false" ht="12.75" hidden="false" customHeight="true" outlineLevel="0" collapsed="false">
      <c r="A1667" s="3" t="s">
        <v>2809</v>
      </c>
      <c r="B1667" s="3" t="str">
        <f aca="false">IF(ISNUMBER(SEARCH("%", A1667)),RIGHT(A1667,3),A1667)</f>
        <v>0.04</v>
      </c>
      <c r="C1667" s="1" t="str">
        <f aca="false" t="array" ref="C1667:C1667">IF(B1666="NEW ROUTE",textsplit(B1667,","),"")</f>
        <v/>
      </c>
      <c r="H1667" s="1" t="str">
        <f aca="false">IF(C1667&lt;&gt;"",DEC2HEX(C1667,2),"")</f>
        <v/>
      </c>
      <c r="I1667" s="1" t="str">
        <f aca="false">IF(D1667&lt;&gt;"",DEC2HEX(D1667,2),"")</f>
        <v/>
      </c>
      <c r="J1667" s="1" t="str">
        <f aca="false">IF(H1667&lt;&gt;"","0x"&amp;I1667&amp;H1667,"")</f>
        <v/>
      </c>
      <c r="L1667" s="1" t="s">
        <v>2809</v>
      </c>
      <c r="M1667" s="1" t="str">
        <f aca="false">IF(J1667&lt;&gt;"",J1667,L1667)</f>
        <v>0.04</v>
      </c>
    </row>
    <row r="1668" customFormat="false" ht="12.75" hidden="false" customHeight="true" outlineLevel="0" collapsed="false">
      <c r="A1668" s="3" t="s">
        <v>3266</v>
      </c>
      <c r="B1668" s="3" t="str">
        <f aca="false">IF(ISNUMBER(SEARCH("%", A1668)),RIGHT(A1668,3),A1668)</f>
        <v>50, 50, PIDGEOTTO</v>
      </c>
      <c r="C1668" s="1" t="str">
        <f aca="false" t="array" ref="C1668:C1668">IF(B1667="NEW ROUTE",textsplit(B1668,","),"")</f>
        <v/>
      </c>
      <c r="H1668" s="1" t="str">
        <f aca="false">IF(C1668&lt;&gt;"",DEC2HEX(C1668,2),"")</f>
        <v/>
      </c>
      <c r="I1668" s="1" t="str">
        <f aca="false">IF(D1668&lt;&gt;"",DEC2HEX(D1668,2),"")</f>
        <v/>
      </c>
      <c r="J1668" s="1" t="str">
        <f aca="false">IF(H1668&lt;&gt;"","0x"&amp;I1668&amp;H1668,"")</f>
        <v/>
      </c>
      <c r="L1668" s="1" t="s">
        <v>3266</v>
      </c>
      <c r="M1668" s="1" t="str">
        <f aca="false">IF(J1668&lt;&gt;"",J1668,L1668)</f>
        <v>50, 50, PIDGEOTTO</v>
      </c>
    </row>
    <row r="1669" customFormat="false" ht="12.75" hidden="false" customHeight="true" outlineLevel="0" collapsed="false">
      <c r="A1669" s="3" t="s">
        <v>3267</v>
      </c>
      <c r="B1669" s="3" t="str">
        <f aca="false">IF(ISNUMBER(SEARCH("%", A1669)),RIGHT(A1669,3),A1669)</f>
        <v>47, 47, PERSIAN</v>
      </c>
      <c r="C1669" s="1" t="str">
        <f aca="false" t="array" ref="C1669:C1669">IF(B1668="NEW ROUTE",textsplit(B1669,","),"")</f>
        <v/>
      </c>
      <c r="H1669" s="1" t="str">
        <f aca="false">IF(C1669&lt;&gt;"",DEC2HEX(C1669,2),"")</f>
        <v/>
      </c>
      <c r="I1669" s="1" t="str">
        <f aca="false">IF(D1669&lt;&gt;"",DEC2HEX(D1669,2),"")</f>
        <v/>
      </c>
      <c r="J1669" s="1" t="str">
        <f aca="false">IF(H1669&lt;&gt;"","0x"&amp;I1669&amp;H1669,"")</f>
        <v/>
      </c>
      <c r="L1669" s="1" t="s">
        <v>3267</v>
      </c>
      <c r="M1669" s="1" t="str">
        <f aca="false">IF(J1669&lt;&gt;"",J1669,L1669)</f>
        <v>47, 47, PERSIAN</v>
      </c>
    </row>
    <row r="1670" customFormat="false" ht="12.75" hidden="false" customHeight="true" outlineLevel="0" collapsed="false">
      <c r="A1670" s="3" t="s">
        <v>2812</v>
      </c>
      <c r="B1670" s="3" t="str">
        <f aca="false">IF(ISNUMBER(SEARCH("%", A1670)),RIGHT(A1670,3),A1670)</f>
        <v>0.01</v>
      </c>
      <c r="C1670" s="1" t="str">
        <f aca="false" t="array" ref="C1670:C1670">IF(B1669="NEW ROUTE",textsplit(B1670,","),"")</f>
        <v/>
      </c>
      <c r="H1670" s="1" t="str">
        <f aca="false">IF(C1670&lt;&gt;"",DEC2HEX(C1670,2),"")</f>
        <v/>
      </c>
      <c r="I1670" s="1" t="str">
        <f aca="false">IF(D1670&lt;&gt;"",DEC2HEX(D1670,2),"")</f>
        <v/>
      </c>
      <c r="J1670" s="1" t="str">
        <f aca="false">IF(H1670&lt;&gt;"","0x"&amp;I1670&amp;H1670,"")</f>
        <v/>
      </c>
      <c r="L1670" s="1" t="s">
        <v>2812</v>
      </c>
      <c r="M1670" s="1" t="str">
        <f aca="false">IF(J1670&lt;&gt;"",J1670,L1670)</f>
        <v>0.01</v>
      </c>
    </row>
    <row r="1671" customFormat="false" ht="12.75" hidden="false" customHeight="true" outlineLevel="0" collapsed="false">
      <c r="A1671" s="3" t="s">
        <v>3266</v>
      </c>
      <c r="B1671" s="3" t="str">
        <f aca="false">IF(ISNUMBER(SEARCH("%", A1671)),RIGHT(A1671,3),A1671)</f>
        <v>50, 50, PIDGEOTTO</v>
      </c>
      <c r="C1671" s="1" t="str">
        <f aca="false" t="array" ref="C1671:C1671">IF(B1670="NEW ROUTE",textsplit(B1671,","),"")</f>
        <v/>
      </c>
      <c r="H1671" s="1" t="str">
        <f aca="false">IF(C1671&lt;&gt;"",DEC2HEX(C1671,2),"")</f>
        <v/>
      </c>
      <c r="I1671" s="1" t="str">
        <f aca="false">IF(D1671&lt;&gt;"",DEC2HEX(D1671,2),"")</f>
        <v/>
      </c>
      <c r="J1671" s="1" t="str">
        <f aca="false">IF(H1671&lt;&gt;"","0x"&amp;I1671&amp;H1671,"")</f>
        <v/>
      </c>
      <c r="L1671" s="1" t="s">
        <v>3266</v>
      </c>
      <c r="M1671" s="1" t="str">
        <f aca="false">IF(J1671&lt;&gt;"",J1671,L1671)</f>
        <v>50, 50, PIDGEOTTO</v>
      </c>
    </row>
    <row r="1672" customFormat="false" ht="12.75" hidden="false" customHeight="true" outlineLevel="0" collapsed="false">
      <c r="A1672" s="3" t="s">
        <v>3268</v>
      </c>
      <c r="B1672" s="3" t="str">
        <f aca="false">IF(ISNUMBER(SEARCH("%", A1672)),RIGHT(A1672,3),A1672)</f>
        <v>50, 50, PERSIAN</v>
      </c>
      <c r="C1672" s="1" t="str">
        <f aca="false" t="array" ref="C1672:C1672">IF(B1671="NEW ROUTE",textsplit(B1672,","),"")</f>
        <v/>
      </c>
      <c r="H1672" s="1" t="str">
        <f aca="false">IF(C1672&lt;&gt;"",DEC2HEX(C1672,2),"")</f>
        <v/>
      </c>
      <c r="I1672" s="1" t="str">
        <f aca="false">IF(D1672&lt;&gt;"",DEC2HEX(D1672,2),"")</f>
        <v/>
      </c>
      <c r="J1672" s="1" t="str">
        <f aca="false">IF(H1672&lt;&gt;"","0x"&amp;I1672&amp;H1672,"")</f>
        <v/>
      </c>
      <c r="L1672" s="1" t="s">
        <v>3268</v>
      </c>
      <c r="M1672" s="1" t="str">
        <f aca="false">IF(J1672&lt;&gt;"",J1672,L1672)</f>
        <v>50, 50, PERSIAN</v>
      </c>
    </row>
    <row r="1673" customFormat="false" ht="12.75" hidden="false" customHeight="true" outlineLevel="0" collapsed="false">
      <c r="A1673" s="3" t="s">
        <v>3256</v>
      </c>
      <c r="B1673" s="3" t="str">
        <f aca="false">IF(ISNUMBER(SEARCH("%", A1673)),RIGHT(A1673,3),A1673)</f>
        <v>2, 5, 35, TENTACOOL</v>
      </c>
      <c r="C1673" s="1" t="str">
        <f aca="false" t="array" ref="C1673:C1673">IF(B1672="NEW ROUTE",textsplit(B1673,","),"")</f>
        <v/>
      </c>
      <c r="H1673" s="1" t="str">
        <f aca="false">IF(C1673&lt;&gt;"",DEC2HEX(C1673,2),"")</f>
        <v/>
      </c>
      <c r="I1673" s="1" t="str">
        <f aca="false">IF(D1673&lt;&gt;"",DEC2HEX(D1673,2),"")</f>
        <v/>
      </c>
      <c r="J1673" s="1" t="str">
        <f aca="false">IF(H1673&lt;&gt;"","0x"&amp;I1673&amp;H1673,"")</f>
        <v/>
      </c>
      <c r="L1673" s="1" t="s">
        <v>3256</v>
      </c>
      <c r="M1673" s="1" t="str">
        <f aca="false">IF(J1673&lt;&gt;"",J1673,L1673)</f>
        <v>2, 5, 35, TENTACOOL</v>
      </c>
    </row>
    <row r="1674" customFormat="false" ht="12.75" hidden="false" customHeight="true" outlineLevel="0" collapsed="false">
      <c r="A1674" s="3" t="s">
        <v>3257</v>
      </c>
      <c r="B1674" s="3" t="str">
        <f aca="false">IF(ISNUMBER(SEARCH("%", A1674)),RIGHT(A1674,3),A1674)</f>
        <v>5, 15, HOPPIP</v>
      </c>
      <c r="C1674" s="1" t="str">
        <f aca="false" t="array" ref="C1674:C1674">IF(B1673="NEW ROUTE",textsplit(B1674,","),"")</f>
        <v/>
      </c>
      <c r="H1674" s="1" t="str">
        <f aca="false">IF(C1674&lt;&gt;"",DEC2HEX(C1674,2),"")</f>
        <v/>
      </c>
      <c r="I1674" s="1" t="str">
        <f aca="false">IF(D1674&lt;&gt;"",DEC2HEX(D1674,2),"")</f>
        <v/>
      </c>
      <c r="J1674" s="1" t="str">
        <f aca="false">IF(H1674&lt;&gt;"","0x"&amp;I1674&amp;H1674,"")</f>
        <v/>
      </c>
      <c r="L1674" s="1" t="s">
        <v>3257</v>
      </c>
      <c r="M1674" s="1" t="str">
        <f aca="false">IF(J1674&lt;&gt;"",J1674,L1674)</f>
        <v>5, 15, HOPPIP</v>
      </c>
    </row>
    <row r="1675" customFormat="false" ht="12.75" hidden="false" customHeight="true" outlineLevel="0" collapsed="false">
      <c r="A1675" s="3" t="s">
        <v>2844</v>
      </c>
      <c r="B1675" s="3" t="str">
        <f aca="false">IF(ISNUMBER(SEARCH("%", A1675)),RIGHT(A1675,3),A1675)</f>
        <v>35, 40, TENTACOOL</v>
      </c>
      <c r="C1675" s="1" t="str">
        <f aca="false" t="array" ref="C1675:C1675">IF(B1674="NEW ROUTE",textsplit(B1675,","),"")</f>
        <v/>
      </c>
      <c r="H1675" s="1" t="str">
        <f aca="false">IF(C1675&lt;&gt;"",DEC2HEX(C1675,2),"")</f>
        <v/>
      </c>
      <c r="I1675" s="1" t="str">
        <f aca="false">IF(D1675&lt;&gt;"",DEC2HEX(D1675,2),"")</f>
        <v/>
      </c>
      <c r="J1675" s="1" t="str">
        <f aca="false">IF(H1675&lt;&gt;"","0x"&amp;I1675&amp;H1675,"")</f>
        <v/>
      </c>
      <c r="L1675" s="1" t="s">
        <v>2844</v>
      </c>
      <c r="M1675" s="1" t="str">
        <f aca="false">IF(J1675&lt;&gt;"",J1675,L1675)</f>
        <v>35, 40, TENTACOOL</v>
      </c>
    </row>
    <row r="1676" customFormat="false" ht="12.75" hidden="false" customHeight="true" outlineLevel="0" collapsed="false">
      <c r="A1676" s="3" t="s">
        <v>3231</v>
      </c>
      <c r="B1676" s="3" t="str">
        <f aca="false">IF(ISNUMBER(SEARCH("%", A1676)),RIGHT(A1676,3),A1676)</f>
        <v>35, 40, TENTACRUEL</v>
      </c>
      <c r="C1676" s="1" t="str">
        <f aca="false" t="array" ref="C1676:C1676">IF(B1675="NEW ROUTE",textsplit(B1676,","),"")</f>
        <v/>
      </c>
      <c r="H1676" s="1" t="str">
        <f aca="false">IF(C1676&lt;&gt;"",DEC2HEX(C1676,2),"")</f>
        <v/>
      </c>
      <c r="I1676" s="1" t="str">
        <f aca="false">IF(D1676&lt;&gt;"",DEC2HEX(D1676,2),"")</f>
        <v/>
      </c>
      <c r="J1676" s="1" t="str">
        <f aca="false">IF(H1676&lt;&gt;"","0x"&amp;I1676&amp;H1676,"")</f>
        <v/>
      </c>
      <c r="L1676" s="1" t="s">
        <v>3231</v>
      </c>
      <c r="M1676" s="1" t="str">
        <f aca="false">IF(J1676&lt;&gt;"",J1676,L1676)</f>
        <v>35, 40, TENTACRUEL</v>
      </c>
    </row>
    <row r="1677" customFormat="false" ht="12.75" hidden="false" customHeight="true" outlineLevel="0" collapsed="false">
      <c r="A1677" s="3" t="s">
        <v>3231</v>
      </c>
      <c r="B1677" s="3" t="str">
        <f aca="false">IF(ISNUMBER(SEARCH("%", A1677)),RIGHT(A1677,3),A1677)</f>
        <v>35, 40, TENTACRUEL</v>
      </c>
      <c r="C1677" s="1" t="str">
        <f aca="false" t="array" ref="C1677:C1677">IF(B1676="NEW ROUTE",textsplit(B1677,","),"")</f>
        <v/>
      </c>
      <c r="H1677" s="1" t="str">
        <f aca="false">IF(C1677&lt;&gt;"",DEC2HEX(C1677,2),"")</f>
        <v/>
      </c>
      <c r="I1677" s="1" t="str">
        <f aca="false">IF(D1677&lt;&gt;"",DEC2HEX(D1677,2),"")</f>
        <v/>
      </c>
      <c r="J1677" s="1" t="str">
        <f aca="false">IF(H1677&lt;&gt;"","0x"&amp;I1677&amp;H1677,"")</f>
        <v/>
      </c>
      <c r="L1677" s="1" t="s">
        <v>3231</v>
      </c>
      <c r="M1677" s="1" t="str">
        <f aca="false">IF(J1677&lt;&gt;"",J1677,L1677)</f>
        <v>35, 40, TENTACRUEL</v>
      </c>
    </row>
    <row r="1678" customFormat="false" ht="12.75" hidden="false" customHeight="true" outlineLevel="0" collapsed="false">
      <c r="A1678" s="3" t="s">
        <v>2925</v>
      </c>
      <c r="B1678" s="3" t="str">
        <f aca="false">IF(ISNUMBER(SEARCH("%", A1678)),RIGHT(A1678,3),A1678)</f>
        <v>20, old rod:</v>
      </c>
      <c r="C1678" s="1" t="str">
        <f aca="false" t="array" ref="C1678:C1678">IF(B1677="NEW ROUTE",textsplit(B1678,","),"")</f>
        <v/>
      </c>
      <c r="H1678" s="1" t="str">
        <f aca="false">IF(C1678&lt;&gt;"",DEC2HEX(C1678,2),"")</f>
        <v/>
      </c>
      <c r="I1678" s="1" t="str">
        <f aca="false">IF(D1678&lt;&gt;"",DEC2HEX(D1678,2),"")</f>
        <v/>
      </c>
      <c r="J1678" s="1" t="str">
        <f aca="false">IF(H1678&lt;&gt;"","0x"&amp;I1678&amp;H1678,"")</f>
        <v/>
      </c>
      <c r="L1678" s="1" t="s">
        <v>2925</v>
      </c>
      <c r="M1678" s="1" t="str">
        <f aca="false">IF(J1678&lt;&gt;"",J1678,L1678)</f>
        <v>20, old rod:</v>
      </c>
    </row>
    <row r="1679" customFormat="false" ht="12.75" hidden="false" customHeight="true" outlineLevel="0" collapsed="false">
      <c r="A1679" s="3" t="s">
        <v>1266</v>
      </c>
      <c r="B1679" s="3" t="str">
        <f aca="false">IF(ISNUMBER(SEARCH("%", A1679)),RIGHT(A1679,3),A1679)</f>
        <v>5, 5, MAGIKARP</v>
      </c>
      <c r="C1679" s="1" t="str">
        <f aca="false" t="array" ref="C1679:C1679">IF(B1678="NEW ROUTE",textsplit(B1679,","),"")</f>
        <v/>
      </c>
      <c r="H1679" s="1" t="str">
        <f aca="false">IF(C1679&lt;&gt;"",DEC2HEX(C1679,2),"")</f>
        <v/>
      </c>
      <c r="I1679" s="1" t="str">
        <f aca="false">IF(D1679&lt;&gt;"",DEC2HEX(D1679,2),"")</f>
        <v/>
      </c>
      <c r="J1679" s="1" t="str">
        <f aca="false">IF(H1679&lt;&gt;"","0x"&amp;I1679&amp;H1679,"")</f>
        <v/>
      </c>
      <c r="L1679" s="1" t="s">
        <v>1266</v>
      </c>
      <c r="M1679" s="1" t="str">
        <f aca="false">IF(J1679&lt;&gt;"",J1679,L1679)</f>
        <v>5, 5, MAGIKARP</v>
      </c>
    </row>
    <row r="1680" customFormat="false" ht="12.75" hidden="false" customHeight="true" outlineLevel="0" collapsed="false">
      <c r="A1680" s="3" t="s">
        <v>1266</v>
      </c>
      <c r="B1680" s="3" t="str">
        <f aca="false">IF(ISNUMBER(SEARCH("%", A1680)),RIGHT(A1680,3),A1680)</f>
        <v>5, 5, MAGIKARP</v>
      </c>
      <c r="C1680" s="1" t="str">
        <f aca="false" t="array" ref="C1680:C1680">IF(B1679="NEW ROUTE",textsplit(B1680,","),"")</f>
        <v/>
      </c>
      <c r="H1680" s="1" t="str">
        <f aca="false">IF(C1680&lt;&gt;"",DEC2HEX(C1680,2),"")</f>
        <v/>
      </c>
      <c r="I1680" s="1" t="str">
        <f aca="false">IF(D1680&lt;&gt;"",DEC2HEX(D1680,2),"")</f>
        <v/>
      </c>
      <c r="J1680" s="1" t="str">
        <f aca="false">IF(H1680&lt;&gt;"","0x"&amp;I1680&amp;H1680,"")</f>
        <v/>
      </c>
      <c r="L1680" s="1" t="s">
        <v>1266</v>
      </c>
      <c r="M1680" s="1" t="str">
        <f aca="false">IF(J1680&lt;&gt;"",J1680,L1680)</f>
        <v>5, 5, MAGIKARP</v>
      </c>
    </row>
    <row r="1681" customFormat="false" ht="12.75" hidden="false" customHeight="true" outlineLevel="0" collapsed="false">
      <c r="A1681" s="3" t="s">
        <v>2846</v>
      </c>
      <c r="B1681" s="3" t="str">
        <f aca="false">IF(ISNUMBER(SEARCH("%", A1681)),RIGHT(A1681,3),A1681)</f>
        <v>good rod:</v>
      </c>
      <c r="C1681" s="1" t="str">
        <f aca="false" t="array" ref="C1681:C1681">IF(B1680="NEW ROUTE",textsplit(B1681,","),"")</f>
        <v/>
      </c>
      <c r="H1681" s="1" t="str">
        <f aca="false">IF(C1681&lt;&gt;"",DEC2HEX(C1681,2),"")</f>
        <v/>
      </c>
      <c r="I1681" s="1" t="str">
        <f aca="false">IF(D1681&lt;&gt;"",DEC2HEX(D1681,2),"")</f>
        <v/>
      </c>
      <c r="J1681" s="1" t="str">
        <f aca="false">IF(H1681&lt;&gt;"","0x"&amp;I1681&amp;H1681,"")</f>
        <v/>
      </c>
      <c r="L1681" s="1" t="s">
        <v>2846</v>
      </c>
      <c r="M1681" s="1" t="str">
        <f aca="false">IF(J1681&lt;&gt;"",J1681,L1681)</f>
        <v>good rod:</v>
      </c>
    </row>
    <row r="1682" customFormat="false" ht="12.75" hidden="false" customHeight="true" outlineLevel="0" collapsed="false">
      <c r="A1682" s="3" t="s">
        <v>2847</v>
      </c>
      <c r="B1682" s="3" t="str">
        <f aca="false">IF(ISNUMBER(SEARCH("%", A1682)),RIGHT(A1682,3),A1682)</f>
        <v>5, 15, KRABBY</v>
      </c>
      <c r="C1682" s="1" t="str">
        <f aca="false" t="array" ref="C1682:C1682">IF(B1681="NEW ROUTE",textsplit(B1682,","),"")</f>
        <v/>
      </c>
      <c r="H1682" s="1" t="str">
        <f aca="false">IF(C1682&lt;&gt;"",DEC2HEX(C1682,2),"")</f>
        <v/>
      </c>
      <c r="I1682" s="1" t="str">
        <f aca="false">IF(D1682&lt;&gt;"",DEC2HEX(D1682,2),"")</f>
        <v/>
      </c>
      <c r="J1682" s="1" t="str">
        <f aca="false">IF(H1682&lt;&gt;"","0x"&amp;I1682&amp;H1682,"")</f>
        <v/>
      </c>
      <c r="L1682" s="1" t="s">
        <v>2847</v>
      </c>
      <c r="M1682" s="1" t="str">
        <f aca="false">IF(J1682&lt;&gt;"",J1682,L1682)</f>
        <v>5, 15, KRABBY</v>
      </c>
    </row>
    <row r="1683" customFormat="false" ht="12.75" hidden="false" customHeight="true" outlineLevel="0" collapsed="false">
      <c r="A1683" s="3" t="s">
        <v>2848</v>
      </c>
      <c r="B1683" s="3" t="str">
        <f aca="false">IF(ISNUMBER(SEARCH("%", A1683)),RIGHT(A1683,3),A1683)</f>
        <v>5, 15, MAGIKARP</v>
      </c>
      <c r="C1683" s="1" t="str">
        <f aca="false" t="array" ref="C1683:C1683">IF(B1682="NEW ROUTE",textsplit(B1683,","),"")</f>
        <v/>
      </c>
      <c r="H1683" s="1" t="str">
        <f aca="false">IF(C1683&lt;&gt;"",DEC2HEX(C1683,2),"")</f>
        <v/>
      </c>
      <c r="I1683" s="1" t="str">
        <f aca="false">IF(D1683&lt;&gt;"",DEC2HEX(D1683,2),"")</f>
        <v/>
      </c>
      <c r="J1683" s="1" t="str">
        <f aca="false">IF(H1683&lt;&gt;"","0x"&amp;I1683&amp;H1683,"")</f>
        <v/>
      </c>
      <c r="L1683" s="1" t="s">
        <v>2848</v>
      </c>
      <c r="M1683" s="1" t="str">
        <f aca="false">IF(J1683&lt;&gt;"",J1683,L1683)</f>
        <v>5, 15, MAGIKARP</v>
      </c>
    </row>
    <row r="1684" customFormat="false" ht="12.75" hidden="false" customHeight="true" outlineLevel="0" collapsed="false">
      <c r="A1684" s="3" t="s">
        <v>2847</v>
      </c>
      <c r="B1684" s="3" t="str">
        <f aca="false">IF(ISNUMBER(SEARCH("%", A1684)),RIGHT(A1684,3),A1684)</f>
        <v>5, 15, KRABBY</v>
      </c>
      <c r="C1684" s="1" t="str">
        <f aca="false" t="array" ref="C1684:C1684">IF(B1683="NEW ROUTE",textsplit(B1684,","),"")</f>
        <v/>
      </c>
      <c r="H1684" s="1" t="str">
        <f aca="false">IF(C1684&lt;&gt;"",DEC2HEX(C1684,2),"")</f>
        <v/>
      </c>
      <c r="I1684" s="1" t="str">
        <f aca="false">IF(D1684&lt;&gt;"",DEC2HEX(D1684,2),"")</f>
        <v/>
      </c>
      <c r="J1684" s="1" t="str">
        <f aca="false">IF(H1684&lt;&gt;"","0x"&amp;I1684&amp;H1684,"")</f>
        <v/>
      </c>
      <c r="L1684" s="1" t="s">
        <v>2847</v>
      </c>
      <c r="M1684" s="1" t="str">
        <f aca="false">IF(J1684&lt;&gt;"",J1684,L1684)</f>
        <v>5, 15, KRABBY</v>
      </c>
    </row>
    <row r="1685" customFormat="false" ht="12.75" hidden="false" customHeight="true" outlineLevel="0" collapsed="false">
      <c r="A1685" s="3" t="s">
        <v>2850</v>
      </c>
      <c r="B1685" s="3" t="str">
        <f aca="false">IF(ISNUMBER(SEARCH("%", A1685)),RIGHT(A1685,3),A1685)</f>
        <v>super rod:</v>
      </c>
      <c r="C1685" s="1" t="str">
        <f aca="false" t="array" ref="C1685:C1685">IF(B1684="NEW ROUTE",textsplit(B1685,","),"")</f>
        <v/>
      </c>
      <c r="H1685" s="1" t="str">
        <f aca="false">IF(C1685&lt;&gt;"",DEC2HEX(C1685,2),"")</f>
        <v/>
      </c>
      <c r="I1685" s="1" t="str">
        <f aca="false">IF(D1685&lt;&gt;"",DEC2HEX(D1685,2),"")</f>
        <v/>
      </c>
      <c r="J1685" s="1" t="str">
        <f aca="false">IF(H1685&lt;&gt;"","0x"&amp;I1685&amp;H1685,"")</f>
        <v/>
      </c>
      <c r="L1685" s="1" t="s">
        <v>2850</v>
      </c>
      <c r="M1685" s="1" t="str">
        <f aca="false">IF(J1685&lt;&gt;"",J1685,L1685)</f>
        <v>super rod:</v>
      </c>
    </row>
    <row r="1686" customFormat="false" ht="12.75" hidden="false" customHeight="true" outlineLevel="0" collapsed="false">
      <c r="A1686" s="3" t="s">
        <v>2851</v>
      </c>
      <c r="B1686" s="3" t="str">
        <f aca="false">IF(ISNUMBER(SEARCH("%", A1686)),RIGHT(A1686,3),A1686)</f>
        <v>15, 25, KRABBY</v>
      </c>
      <c r="C1686" s="1" t="str">
        <f aca="false" t="array" ref="C1686:C1686">IF(B1685="NEW ROUTE",textsplit(B1686,","),"")</f>
        <v/>
      </c>
      <c r="H1686" s="1" t="str">
        <f aca="false">IF(C1686&lt;&gt;"",DEC2HEX(C1686,2),"")</f>
        <v/>
      </c>
      <c r="I1686" s="1" t="str">
        <f aca="false">IF(D1686&lt;&gt;"",DEC2HEX(D1686,2),"")</f>
        <v/>
      </c>
      <c r="J1686" s="1" t="str">
        <f aca="false">IF(H1686&lt;&gt;"","0x"&amp;I1686&amp;H1686,"")</f>
        <v/>
      </c>
      <c r="L1686" s="1" t="s">
        <v>2851</v>
      </c>
      <c r="M1686" s="1" t="str">
        <f aca="false">IF(J1686&lt;&gt;"",J1686,L1686)</f>
        <v>15, 25, KRABBY</v>
      </c>
    </row>
    <row r="1687" customFormat="false" ht="12.75" hidden="false" customHeight="true" outlineLevel="0" collapsed="false">
      <c r="A1687" s="3" t="s">
        <v>3258</v>
      </c>
      <c r="B1687" s="3" t="str">
        <f aca="false">IF(ISNUMBER(SEARCH("%", A1687)),RIGHT(A1687,3),A1687)</f>
        <v>15, 25, REMORAID</v>
      </c>
      <c r="C1687" s="1" t="str">
        <f aca="false" t="array" ref="C1687:C1687">IF(B1686="NEW ROUTE",textsplit(B1687,","),"")</f>
        <v/>
      </c>
      <c r="H1687" s="1" t="str">
        <f aca="false">IF(C1687&lt;&gt;"",DEC2HEX(C1687,2),"")</f>
        <v/>
      </c>
      <c r="I1687" s="1" t="str">
        <f aca="false">IF(D1687&lt;&gt;"",DEC2HEX(D1687,2),"")</f>
        <v/>
      </c>
      <c r="J1687" s="1" t="str">
        <f aca="false">IF(H1687&lt;&gt;"","0x"&amp;I1687&amp;H1687,"")</f>
        <v/>
      </c>
      <c r="L1687" s="1" t="s">
        <v>3258</v>
      </c>
      <c r="M1687" s="1" t="str">
        <f aca="false">IF(J1687&lt;&gt;"",J1687,L1687)</f>
        <v>15, 25, REMORAID</v>
      </c>
    </row>
    <row r="1688" customFormat="false" ht="12.75" hidden="false" customHeight="true" outlineLevel="0" collapsed="false">
      <c r="A1688" s="3" t="s">
        <v>2853</v>
      </c>
      <c r="B1688" s="3" t="str">
        <f aca="false">IF(ISNUMBER(SEARCH("%", A1688)),RIGHT(A1688,3),A1688)</f>
        <v>15, 25, GYARADOS</v>
      </c>
      <c r="C1688" s="1" t="str">
        <f aca="false" t="array" ref="C1688:C1688">IF(B1687="NEW ROUTE",textsplit(B1688,","),"")</f>
        <v/>
      </c>
      <c r="H1688" s="1" t="str">
        <f aca="false">IF(C1688&lt;&gt;"",DEC2HEX(C1688,2),"")</f>
        <v/>
      </c>
      <c r="I1688" s="1" t="str">
        <f aca="false">IF(D1688&lt;&gt;"",DEC2HEX(D1688,2),"")</f>
        <v/>
      </c>
      <c r="J1688" s="1" t="str">
        <f aca="false">IF(H1688&lt;&gt;"","0x"&amp;I1688&amp;H1688,"")</f>
        <v/>
      </c>
      <c r="L1688" s="1" t="s">
        <v>2853</v>
      </c>
      <c r="M1688" s="1" t="str">
        <f aca="false">IF(J1688&lt;&gt;"",J1688,L1688)</f>
        <v>15, 25, GYARADOS</v>
      </c>
    </row>
    <row r="1689" customFormat="false" ht="12.75" hidden="false" customHeight="true" outlineLevel="0" collapsed="false">
      <c r="A1689" s="3" t="s">
        <v>3177</v>
      </c>
      <c r="B1689" s="3" t="str">
        <f aca="false">IF(ISNUMBER(SEARCH("%", A1689)),RIGHT(A1689,3),A1689)</f>
        <v>25, 35, KINGLER</v>
      </c>
      <c r="C1689" s="1" t="str">
        <f aca="false" t="array" ref="C1689:C1689">IF(B1688="NEW ROUTE",textsplit(B1689,","),"")</f>
        <v/>
      </c>
      <c r="H1689" s="1" t="str">
        <f aca="false">IF(C1689&lt;&gt;"",DEC2HEX(C1689,2),"")</f>
        <v/>
      </c>
      <c r="I1689" s="1" t="str">
        <f aca="false">IF(D1689&lt;&gt;"",DEC2HEX(D1689,2),"")</f>
        <v/>
      </c>
      <c r="J1689" s="1" t="str">
        <f aca="false">IF(H1689&lt;&gt;"","0x"&amp;I1689&amp;H1689,"")</f>
        <v/>
      </c>
      <c r="L1689" s="1" t="s">
        <v>3177</v>
      </c>
      <c r="M1689" s="1" t="str">
        <f aca="false">IF(J1689&lt;&gt;"",J1689,L1689)</f>
        <v>25, 35, KINGLER</v>
      </c>
    </row>
    <row r="1690" customFormat="false" ht="12.75" hidden="false" customHeight="true" outlineLevel="0" collapsed="false">
      <c r="A1690" s="3" t="s">
        <v>2855</v>
      </c>
      <c r="B1690" s="3" t="str">
        <f aca="false">IF(ISNUMBER(SEARCH("%", A1690)),RIGHT(A1690,3),A1690)</f>
        <v>25, 35, SLOWPOKE</v>
      </c>
      <c r="C1690" s="1" t="str">
        <f aca="false" t="array" ref="C1690:C1690">IF(B1689="NEW ROUTE",textsplit(B1690,","),"")</f>
        <v/>
      </c>
      <c r="H1690" s="1" t="str">
        <f aca="false">IF(C1690&lt;&gt;"",DEC2HEX(C1690,2),"")</f>
        <v/>
      </c>
      <c r="I1690" s="1" t="str">
        <f aca="false">IF(D1690&lt;&gt;"",DEC2HEX(D1690,2),"")</f>
        <v/>
      </c>
      <c r="J1690" s="1" t="str">
        <f aca="false">IF(H1690&lt;&gt;"","0x"&amp;I1690&amp;H1690,"")</f>
        <v/>
      </c>
      <c r="L1690" s="1" t="s">
        <v>2855</v>
      </c>
      <c r="M1690" s="1" t="str">
        <f aca="false">IF(J1690&lt;&gt;"",J1690,L1690)</f>
        <v>25, 35, SLOWPOKE</v>
      </c>
    </row>
    <row r="1691" customFormat="false" ht="12.75" hidden="false" customHeight="true" outlineLevel="0" collapsed="false">
      <c r="A1691" s="3" t="s">
        <v>2536</v>
      </c>
      <c r="B1691" s="3" t="str">
        <f aca="false">IF(ISNUMBER(SEARCH("%", A1691)),RIGHT(A1691,3),A1691)</f>
        <v>NEW ROUTE</v>
      </c>
      <c r="C1691" s="1" t="str">
        <f aca="false" t="array" ref="C1691:C1691">IF(B1690="NEW ROUTE",textsplit(B1691,","),"")</f>
        <v/>
      </c>
      <c r="H1691" s="1" t="str">
        <f aca="false">IF(C1691&lt;&gt;"",DEC2HEX(C1691,2),"")</f>
        <v/>
      </c>
      <c r="I1691" s="1" t="str">
        <f aca="false">IF(D1691&lt;&gt;"",DEC2HEX(D1691,2),"")</f>
        <v/>
      </c>
      <c r="J1691" s="1" t="str">
        <f aca="false">IF(H1691&lt;&gt;"","0x"&amp;I1691&amp;H1691,"")</f>
        <v/>
      </c>
      <c r="L1691" s="1" t="s">
        <v>2536</v>
      </c>
      <c r="M1691" s="1" t="str">
        <f aca="false">IF(J1691&lt;&gt;"",J1691,L1691)</f>
        <v>NEW ROUTE</v>
      </c>
    </row>
    <row r="1692" customFormat="false" ht="12.75" hidden="false" customHeight="true" outlineLevel="0" collapsed="false">
      <c r="A1692" s="3" t="s">
        <v>3269</v>
      </c>
      <c r="B1692" s="3" t="str">
        <f aca="false">IF(ISNUMBER(SEARCH("%", A1692)),RIGHT(A1692,3),A1692)</f>
        <v>3, 57, 0,</v>
      </c>
      <c r="C1692" s="1" t="e">
        <f aca="false" t="array" ref="C1692:C1692">IF(B1691="NEW ROUTE",textsplit(B1692,","),"")</f>
        <v>#NAME?</v>
      </c>
      <c r="H1692" s="1" t="e">
        <f aca="false">IF(C1692&lt;&gt;"",DEC2HEX(C1692,2),"")</f>
        <v>#NAME?</v>
      </c>
      <c r="I1692" s="1" t="str">
        <f aca="false">IF(D1692&lt;&gt;"",DEC2HEX(D1692,2),"")</f>
        <v/>
      </c>
      <c r="J1692" s="1" t="e">
        <f aca="false">IF(H1692&lt;&gt;"","0x"&amp;I1692&amp;H1692,"")</f>
        <v>#NAME?</v>
      </c>
      <c r="L1692" s="1" t="s">
        <v>3269</v>
      </c>
      <c r="M1692" s="1" t="e">
        <f aca="false">IF(J1692&lt;&gt;"",J1692,L1692)</f>
        <v>#NAME?</v>
      </c>
    </row>
    <row r="1693" customFormat="false" ht="12.75" hidden="false" customHeight="true" outlineLevel="0" collapsed="false">
      <c r="A1693" s="3" t="s">
        <v>2908</v>
      </c>
      <c r="B1693" s="3" t="str">
        <f aca="false">IF(ISNUMBER(SEARCH("%", A1693)),RIGHT(A1693,3),A1693)</f>
        <v>20%</v>
      </c>
      <c r="C1693" s="1" t="str">
        <f aca="false" t="array" ref="C1693:C1693">IF(B1692="NEW ROUTE",textsplit(B1693,","),"")</f>
        <v/>
      </c>
      <c r="H1693" s="1" t="str">
        <f aca="false">IF(C1693&lt;&gt;"",DEC2HEX(C1693,2),"")</f>
        <v/>
      </c>
      <c r="I1693" s="1" t="str">
        <f aca="false">IF(D1693&lt;&gt;"",DEC2HEX(D1693,2),"")</f>
        <v/>
      </c>
      <c r="J1693" s="1" t="str">
        <f aca="false">IF(H1693&lt;&gt;"","0x"&amp;I1693&amp;H1693,"")</f>
        <v/>
      </c>
      <c r="L1693" s="1" t="s">
        <v>2799</v>
      </c>
      <c r="M1693" s="1" t="str">
        <f aca="false">IF(J1693&lt;&gt;"",J1693,L1693)</f>
        <v>20%</v>
      </c>
    </row>
    <row r="1694" customFormat="false" ht="12.75" hidden="false" customHeight="true" outlineLevel="0" collapsed="false">
      <c r="A1694" s="3" t="s">
        <v>1726</v>
      </c>
      <c r="B1694" s="3" t="str">
        <f aca="false">IF(ISNUMBER(SEARCH("%", A1694)),RIGHT(A1694,3),A1694)</f>
        <v>10, 10, HOPPIP</v>
      </c>
      <c r="C1694" s="1" t="str">
        <f aca="false" t="array" ref="C1694:C1694">IF(B1693="NEW ROUTE",textsplit(B1694,","),"")</f>
        <v/>
      </c>
      <c r="H1694" s="1" t="str">
        <f aca="false">IF(C1694&lt;&gt;"",DEC2HEX(C1694,2),"")</f>
        <v/>
      </c>
      <c r="I1694" s="1" t="str">
        <f aca="false">IF(D1694&lt;&gt;"",DEC2HEX(D1694,2),"")</f>
        <v/>
      </c>
      <c r="J1694" s="1" t="str">
        <f aca="false">IF(H1694&lt;&gt;"","0x"&amp;I1694&amp;H1694,"")</f>
        <v/>
      </c>
      <c r="L1694" s="1" t="s">
        <v>1726</v>
      </c>
      <c r="M1694" s="1" t="str">
        <f aca="false">IF(J1694&lt;&gt;"",J1694,L1694)</f>
        <v>10, 10, HOPPIP</v>
      </c>
    </row>
    <row r="1695" customFormat="false" ht="12.75" hidden="false" customHeight="true" outlineLevel="0" collapsed="false">
      <c r="A1695" s="3" t="s">
        <v>3270</v>
      </c>
      <c r="B1695" s="3" t="str">
        <f aca="false">IF(ISNUMBER(SEARCH("%", A1695)),RIGHT(A1695,3),A1695)</f>
        <v>12, 12, HOPPIP</v>
      </c>
      <c r="C1695" s="1" t="str">
        <f aca="false" t="array" ref="C1695:C1695">IF(B1694="NEW ROUTE",textsplit(B1695,","),"")</f>
        <v/>
      </c>
      <c r="H1695" s="1" t="str">
        <f aca="false">IF(C1695&lt;&gt;"",DEC2HEX(C1695,2),"")</f>
        <v/>
      </c>
      <c r="I1695" s="1" t="str">
        <f aca="false">IF(D1695&lt;&gt;"",DEC2HEX(D1695,2),"")</f>
        <v/>
      </c>
      <c r="J1695" s="1" t="str">
        <f aca="false">IF(H1695&lt;&gt;"","0x"&amp;I1695&amp;H1695,"")</f>
        <v/>
      </c>
      <c r="L1695" s="1" t="s">
        <v>3270</v>
      </c>
      <c r="M1695" s="1" t="str">
        <f aca="false">IF(J1695&lt;&gt;"",J1695,L1695)</f>
        <v>12, 12, HOPPIP</v>
      </c>
    </row>
    <row r="1696" customFormat="false" ht="12.75" hidden="false" customHeight="true" outlineLevel="0" collapsed="false">
      <c r="A1696" s="3" t="s">
        <v>2801</v>
      </c>
      <c r="B1696" s="3" t="str">
        <f aca="false">IF(ISNUMBER(SEARCH("%", A1696)),RIGHT(A1696,3),A1696)</f>
        <v>0.1</v>
      </c>
      <c r="C1696" s="1" t="str">
        <f aca="false" t="array" ref="C1696:C1696">IF(B1695="NEW ROUTE",textsplit(B1696,","),"")</f>
        <v/>
      </c>
      <c r="H1696" s="1" t="str">
        <f aca="false">IF(C1696&lt;&gt;"",DEC2HEX(C1696,2),"")</f>
        <v/>
      </c>
      <c r="I1696" s="1" t="str">
        <f aca="false">IF(D1696&lt;&gt;"",DEC2HEX(D1696,2),"")</f>
        <v/>
      </c>
      <c r="J1696" s="1" t="str">
        <f aca="false">IF(H1696&lt;&gt;"","0x"&amp;I1696&amp;H1696,"")</f>
        <v/>
      </c>
      <c r="L1696" s="1" t="s">
        <v>2801</v>
      </c>
      <c r="M1696" s="1" t="str">
        <f aca="false">IF(J1696&lt;&gt;"",J1696,L1696)</f>
        <v>0.1</v>
      </c>
    </row>
    <row r="1697" customFormat="false" ht="12.75" hidden="false" customHeight="true" outlineLevel="0" collapsed="false">
      <c r="A1697" s="3" t="s">
        <v>3271</v>
      </c>
      <c r="B1697" s="3" t="str">
        <f aca="false">IF(ISNUMBER(SEARCH("%", A1697)),RIGHT(A1697,3),A1697)</f>
        <v>8, 8, HOPPIP</v>
      </c>
      <c r="C1697" s="1" t="str">
        <f aca="false" t="array" ref="C1697:C1697">IF(B1696="NEW ROUTE",textsplit(B1697,","),"")</f>
        <v/>
      </c>
      <c r="H1697" s="1" t="str">
        <f aca="false">IF(C1697&lt;&gt;"",DEC2HEX(C1697,2),"")</f>
        <v/>
      </c>
      <c r="I1697" s="1" t="str">
        <f aca="false">IF(D1697&lt;&gt;"",DEC2HEX(D1697,2),"")</f>
        <v/>
      </c>
      <c r="J1697" s="1" t="str">
        <f aca="false">IF(H1697&lt;&gt;"","0x"&amp;I1697&amp;H1697,"")</f>
        <v/>
      </c>
      <c r="L1697" s="1" t="s">
        <v>3271</v>
      </c>
      <c r="M1697" s="1" t="str">
        <f aca="false">IF(J1697&lt;&gt;"",J1697,L1697)</f>
        <v>8, 8, HOPPIP</v>
      </c>
    </row>
    <row r="1698" customFormat="false" ht="12.75" hidden="false" customHeight="true" outlineLevel="0" collapsed="false">
      <c r="A1698" s="3" t="s">
        <v>3272</v>
      </c>
      <c r="B1698" s="3" t="str">
        <f aca="false">IF(ISNUMBER(SEARCH("%", A1698)),RIGHT(A1698,3),A1698)</f>
        <v>14, 14, HOPPIP</v>
      </c>
      <c r="C1698" s="1" t="str">
        <f aca="false" t="array" ref="C1698:C1698">IF(B1697="NEW ROUTE",textsplit(B1698,","),"")</f>
        <v/>
      </c>
      <c r="H1698" s="1" t="str">
        <f aca="false">IF(C1698&lt;&gt;"",DEC2HEX(C1698,2),"")</f>
        <v/>
      </c>
      <c r="I1698" s="1" t="str">
        <f aca="false">IF(D1698&lt;&gt;"",DEC2HEX(D1698,2),"")</f>
        <v/>
      </c>
      <c r="J1698" s="1" t="str">
        <f aca="false">IF(H1698&lt;&gt;"","0x"&amp;I1698&amp;H1698,"")</f>
        <v/>
      </c>
      <c r="L1698" s="1" t="s">
        <v>3272</v>
      </c>
      <c r="M1698" s="1" t="str">
        <f aca="false">IF(J1698&lt;&gt;"",J1698,L1698)</f>
        <v>14, 14, HOPPIP</v>
      </c>
    </row>
    <row r="1699" customFormat="false" ht="12.75" hidden="false" customHeight="true" outlineLevel="0" collapsed="false">
      <c r="A1699" s="3" t="s">
        <v>1726</v>
      </c>
      <c r="B1699" s="3" t="str">
        <f aca="false">IF(ISNUMBER(SEARCH("%", A1699)),RIGHT(A1699,3),A1699)</f>
        <v>10, 10, HOPPIP</v>
      </c>
      <c r="C1699" s="1" t="str">
        <f aca="false" t="array" ref="C1699:C1699">IF(B1698="NEW ROUTE",textsplit(B1699,","),"")</f>
        <v/>
      </c>
      <c r="H1699" s="1" t="str">
        <f aca="false">IF(C1699&lt;&gt;"",DEC2HEX(C1699,2),"")</f>
        <v/>
      </c>
      <c r="I1699" s="1" t="str">
        <f aca="false">IF(D1699&lt;&gt;"",DEC2HEX(D1699,2),"")</f>
        <v/>
      </c>
      <c r="J1699" s="1" t="str">
        <f aca="false">IF(H1699&lt;&gt;"","0x"&amp;I1699&amp;H1699,"")</f>
        <v/>
      </c>
      <c r="L1699" s="1" t="s">
        <v>1726</v>
      </c>
      <c r="M1699" s="1" t="str">
        <f aca="false">IF(J1699&lt;&gt;"",J1699,L1699)</f>
        <v>10, 10, HOPPIP</v>
      </c>
    </row>
    <row r="1700" customFormat="false" ht="12.75" hidden="false" customHeight="true" outlineLevel="0" collapsed="false">
      <c r="A1700" s="3" t="s">
        <v>3270</v>
      </c>
      <c r="B1700" s="3" t="str">
        <f aca="false">IF(ISNUMBER(SEARCH("%", A1700)),RIGHT(A1700,3),A1700)</f>
        <v>12, 12, HOPPIP</v>
      </c>
      <c r="C1700" s="1" t="str">
        <f aca="false" t="array" ref="C1700:C1700">IF(B1699="NEW ROUTE",textsplit(B1700,","),"")</f>
        <v/>
      </c>
      <c r="H1700" s="1" t="str">
        <f aca="false">IF(C1700&lt;&gt;"",DEC2HEX(C1700,2),"")</f>
        <v/>
      </c>
      <c r="I1700" s="1" t="str">
        <f aca="false">IF(D1700&lt;&gt;"",DEC2HEX(D1700,2),"")</f>
        <v/>
      </c>
      <c r="J1700" s="1" t="str">
        <f aca="false">IF(H1700&lt;&gt;"","0x"&amp;I1700&amp;H1700,"")</f>
        <v/>
      </c>
      <c r="L1700" s="1" t="s">
        <v>3270</v>
      </c>
      <c r="M1700" s="1" t="str">
        <f aca="false">IF(J1700&lt;&gt;"",J1700,L1700)</f>
        <v>12, 12, HOPPIP</v>
      </c>
    </row>
    <row r="1701" customFormat="false" ht="12.75" hidden="false" customHeight="true" outlineLevel="0" collapsed="false">
      <c r="A1701" s="3" t="s">
        <v>2806</v>
      </c>
      <c r="B1701" s="3" t="str">
        <f aca="false">IF(ISNUMBER(SEARCH("%", A1701)),RIGHT(A1701,3),A1701)</f>
        <v>0.05</v>
      </c>
      <c r="C1701" s="1" t="str">
        <f aca="false" t="array" ref="C1701:C1701">IF(B1700="NEW ROUTE",textsplit(B1701,","),"")</f>
        <v/>
      </c>
      <c r="H1701" s="1" t="str">
        <f aca="false">IF(C1701&lt;&gt;"",DEC2HEX(C1701,2),"")</f>
        <v/>
      </c>
      <c r="I1701" s="1" t="str">
        <f aca="false">IF(D1701&lt;&gt;"",DEC2HEX(D1701,2),"")</f>
        <v/>
      </c>
      <c r="J1701" s="1" t="str">
        <f aca="false">IF(H1701&lt;&gt;"","0x"&amp;I1701&amp;H1701,"")</f>
        <v/>
      </c>
      <c r="L1701" s="1" t="s">
        <v>2806</v>
      </c>
      <c r="M1701" s="1" t="str">
        <f aca="false">IF(J1701&lt;&gt;"",J1701,L1701)</f>
        <v>0.05</v>
      </c>
    </row>
    <row r="1702" customFormat="false" ht="12.75" hidden="false" customHeight="true" outlineLevel="0" collapsed="false">
      <c r="A1702" s="3" t="s">
        <v>3273</v>
      </c>
      <c r="B1702" s="3" t="str">
        <f aca="false">IF(ISNUMBER(SEARCH("%", A1702)),RIGHT(A1702,3),A1702)</f>
        <v>16, 16, HOPPIP</v>
      </c>
      <c r="C1702" s="1" t="str">
        <f aca="false" t="array" ref="C1702:C1702">IF(B1701="NEW ROUTE",textsplit(B1702,","),"")</f>
        <v/>
      </c>
      <c r="H1702" s="1" t="str">
        <f aca="false">IF(C1702&lt;&gt;"",DEC2HEX(C1702,2),"")</f>
        <v/>
      </c>
      <c r="I1702" s="1" t="str">
        <f aca="false">IF(D1702&lt;&gt;"",DEC2HEX(D1702,2),"")</f>
        <v/>
      </c>
      <c r="J1702" s="1" t="str">
        <f aca="false">IF(H1702&lt;&gt;"","0x"&amp;I1702&amp;H1702,"")</f>
        <v/>
      </c>
      <c r="L1702" s="1" t="s">
        <v>3273</v>
      </c>
      <c r="M1702" s="1" t="str">
        <f aca="false">IF(J1702&lt;&gt;"",J1702,L1702)</f>
        <v>16, 16, HOPPIP</v>
      </c>
    </row>
    <row r="1703" customFormat="false" ht="12.75" hidden="false" customHeight="true" outlineLevel="0" collapsed="false">
      <c r="A1703" s="3" t="s">
        <v>3274</v>
      </c>
      <c r="B1703" s="3" t="str">
        <f aca="false">IF(ISNUMBER(SEARCH("%", A1703)),RIGHT(A1703,3),A1703)</f>
        <v>6, 6, HOPPIP</v>
      </c>
      <c r="C1703" s="1" t="str">
        <f aca="false" t="array" ref="C1703:C1703">IF(B1702="NEW ROUTE",textsplit(B1703,","),"")</f>
        <v/>
      </c>
      <c r="H1703" s="1" t="str">
        <f aca="false">IF(C1703&lt;&gt;"",DEC2HEX(C1703,2),"")</f>
        <v/>
      </c>
      <c r="I1703" s="1" t="str">
        <f aca="false">IF(D1703&lt;&gt;"",DEC2HEX(D1703,2),"")</f>
        <v/>
      </c>
      <c r="J1703" s="1" t="str">
        <f aca="false">IF(H1703&lt;&gt;"","0x"&amp;I1703&amp;H1703,"")</f>
        <v/>
      </c>
      <c r="L1703" s="1" t="s">
        <v>3274</v>
      </c>
      <c r="M1703" s="1" t="str">
        <f aca="false">IF(J1703&lt;&gt;"",J1703,L1703)</f>
        <v>6, 6, HOPPIP</v>
      </c>
    </row>
    <row r="1704" customFormat="false" ht="12.75" hidden="false" customHeight="true" outlineLevel="0" collapsed="false">
      <c r="A1704" s="3" t="s">
        <v>2809</v>
      </c>
      <c r="B1704" s="3" t="str">
        <f aca="false">IF(ISNUMBER(SEARCH("%", A1704)),RIGHT(A1704,3),A1704)</f>
        <v>0.04</v>
      </c>
      <c r="C1704" s="1" t="str">
        <f aca="false" t="array" ref="C1704:C1704">IF(B1703="NEW ROUTE",textsplit(B1704,","),"")</f>
        <v/>
      </c>
      <c r="H1704" s="1" t="str">
        <f aca="false">IF(C1704&lt;&gt;"",DEC2HEX(C1704,2),"")</f>
        <v/>
      </c>
      <c r="I1704" s="1" t="str">
        <f aca="false">IF(D1704&lt;&gt;"",DEC2HEX(D1704,2),"")</f>
        <v/>
      </c>
      <c r="J1704" s="1" t="str">
        <f aca="false">IF(H1704&lt;&gt;"","0x"&amp;I1704&amp;H1704,"")</f>
        <v/>
      </c>
      <c r="L1704" s="1" t="s">
        <v>2809</v>
      </c>
      <c r="M1704" s="1" t="str">
        <f aca="false">IF(J1704&lt;&gt;"",J1704,L1704)</f>
        <v>0.04</v>
      </c>
    </row>
    <row r="1705" customFormat="false" ht="12.75" hidden="false" customHeight="true" outlineLevel="0" collapsed="false">
      <c r="A1705" s="3" t="s">
        <v>3271</v>
      </c>
      <c r="B1705" s="3" t="str">
        <f aca="false">IF(ISNUMBER(SEARCH("%", A1705)),RIGHT(A1705,3),A1705)</f>
        <v>8, 8, HOPPIP</v>
      </c>
      <c r="C1705" s="1" t="str">
        <f aca="false" t="array" ref="C1705:C1705">IF(B1704="NEW ROUTE",textsplit(B1705,","),"")</f>
        <v/>
      </c>
      <c r="H1705" s="1" t="str">
        <f aca="false">IF(C1705&lt;&gt;"",DEC2HEX(C1705,2),"")</f>
        <v/>
      </c>
      <c r="I1705" s="1" t="str">
        <f aca="false">IF(D1705&lt;&gt;"",DEC2HEX(D1705,2),"")</f>
        <v/>
      </c>
      <c r="J1705" s="1" t="str">
        <f aca="false">IF(H1705&lt;&gt;"","0x"&amp;I1705&amp;H1705,"")</f>
        <v/>
      </c>
      <c r="L1705" s="1" t="s">
        <v>3271</v>
      </c>
      <c r="M1705" s="1" t="str">
        <f aca="false">IF(J1705&lt;&gt;"",J1705,L1705)</f>
        <v>8, 8, HOPPIP</v>
      </c>
    </row>
    <row r="1706" customFormat="false" ht="12.75" hidden="false" customHeight="true" outlineLevel="0" collapsed="false">
      <c r="A1706" s="3" t="s">
        <v>3272</v>
      </c>
      <c r="B1706" s="3" t="str">
        <f aca="false">IF(ISNUMBER(SEARCH("%", A1706)),RIGHT(A1706,3),A1706)</f>
        <v>14, 14, HOPPIP</v>
      </c>
      <c r="C1706" s="1" t="str">
        <f aca="false" t="array" ref="C1706:C1706">IF(B1705="NEW ROUTE",textsplit(B1706,","),"")</f>
        <v/>
      </c>
      <c r="H1706" s="1" t="str">
        <f aca="false">IF(C1706&lt;&gt;"",DEC2HEX(C1706,2),"")</f>
        <v/>
      </c>
      <c r="I1706" s="1" t="str">
        <f aca="false">IF(D1706&lt;&gt;"",DEC2HEX(D1706,2),"")</f>
        <v/>
      </c>
      <c r="J1706" s="1" t="str">
        <f aca="false">IF(H1706&lt;&gt;"","0x"&amp;I1706&amp;H1706,"")</f>
        <v/>
      </c>
      <c r="L1706" s="1" t="s">
        <v>3272</v>
      </c>
      <c r="M1706" s="1" t="str">
        <f aca="false">IF(J1706&lt;&gt;"",J1706,L1706)</f>
        <v>14, 14, HOPPIP</v>
      </c>
    </row>
    <row r="1707" customFormat="false" ht="12.75" hidden="false" customHeight="true" outlineLevel="0" collapsed="false">
      <c r="A1707" s="3" t="s">
        <v>2812</v>
      </c>
      <c r="B1707" s="3" t="str">
        <f aca="false">IF(ISNUMBER(SEARCH("%", A1707)),RIGHT(A1707,3),A1707)</f>
        <v>0.01</v>
      </c>
      <c r="C1707" s="1" t="str">
        <f aca="false" t="array" ref="C1707:C1707">IF(B1706="NEW ROUTE",textsplit(B1707,","),"")</f>
        <v/>
      </c>
      <c r="H1707" s="1" t="str">
        <f aca="false">IF(C1707&lt;&gt;"",DEC2HEX(C1707,2),"")</f>
        <v/>
      </c>
      <c r="I1707" s="1" t="str">
        <f aca="false">IF(D1707&lt;&gt;"",DEC2HEX(D1707,2),"")</f>
        <v/>
      </c>
      <c r="J1707" s="1" t="str">
        <f aca="false">IF(H1707&lt;&gt;"","0x"&amp;I1707&amp;H1707,"")</f>
        <v/>
      </c>
      <c r="L1707" s="1" t="s">
        <v>2812</v>
      </c>
      <c r="M1707" s="1" t="str">
        <f aca="false">IF(J1707&lt;&gt;"",J1707,L1707)</f>
        <v>0.01</v>
      </c>
    </row>
    <row r="1708" customFormat="false" ht="12.75" hidden="false" customHeight="true" outlineLevel="0" collapsed="false">
      <c r="A1708" s="3" t="s">
        <v>3271</v>
      </c>
      <c r="B1708" s="3" t="str">
        <f aca="false">IF(ISNUMBER(SEARCH("%", A1708)),RIGHT(A1708,3),A1708)</f>
        <v>8, 8, HOPPIP</v>
      </c>
      <c r="C1708" s="1" t="str">
        <f aca="false" t="array" ref="C1708:C1708">IF(B1707="NEW ROUTE",textsplit(B1708,","),"")</f>
        <v/>
      </c>
      <c r="H1708" s="1" t="str">
        <f aca="false">IF(C1708&lt;&gt;"",DEC2HEX(C1708,2),"")</f>
        <v/>
      </c>
      <c r="I1708" s="1" t="str">
        <f aca="false">IF(D1708&lt;&gt;"",DEC2HEX(D1708,2),"")</f>
        <v/>
      </c>
      <c r="J1708" s="1" t="str">
        <f aca="false">IF(H1708&lt;&gt;"","0x"&amp;I1708&amp;H1708,"")</f>
        <v/>
      </c>
      <c r="L1708" s="1" t="s">
        <v>3271</v>
      </c>
      <c r="M1708" s="1" t="str">
        <f aca="false">IF(J1708&lt;&gt;"",J1708,L1708)</f>
        <v>8, 8, HOPPIP</v>
      </c>
    </row>
    <row r="1709" customFormat="false" ht="12.75" hidden="false" customHeight="true" outlineLevel="0" collapsed="false">
      <c r="A1709" s="3" t="s">
        <v>3272</v>
      </c>
      <c r="B1709" s="3" t="str">
        <f aca="false">IF(ISNUMBER(SEARCH("%", A1709)),RIGHT(A1709,3),A1709)</f>
        <v>14, 14, HOPPIP</v>
      </c>
      <c r="C1709" s="1" t="str">
        <f aca="false" t="array" ref="C1709:C1709">IF(B1708="NEW ROUTE",textsplit(B1709,","),"")</f>
        <v/>
      </c>
      <c r="H1709" s="1" t="str">
        <f aca="false">IF(C1709&lt;&gt;"",DEC2HEX(C1709,2),"")</f>
        <v/>
      </c>
      <c r="I1709" s="1" t="str">
        <f aca="false">IF(D1709&lt;&gt;"",DEC2HEX(D1709,2),"")</f>
        <v/>
      </c>
      <c r="J1709" s="1" t="str">
        <f aca="false">IF(H1709&lt;&gt;"","0x"&amp;I1709&amp;H1709,"")</f>
        <v/>
      </c>
      <c r="L1709" s="1" t="s">
        <v>3272</v>
      </c>
      <c r="M1709" s="1" t="str">
        <f aca="false">IF(J1709&lt;&gt;"",J1709,L1709)</f>
        <v>14, 14, HOPPIP</v>
      </c>
    </row>
    <row r="1710" customFormat="false" ht="12.75" hidden="false" customHeight="true" outlineLevel="0" collapsed="false">
      <c r="A1710" s="3" t="s">
        <v>3256</v>
      </c>
      <c r="B1710" s="3" t="str">
        <f aca="false">IF(ISNUMBER(SEARCH("%", A1710)),RIGHT(A1710,3),A1710)</f>
        <v>2, 5, 35, TENTACOOL</v>
      </c>
      <c r="C1710" s="1" t="str">
        <f aca="false" t="array" ref="C1710:C1710">IF(B1709="NEW ROUTE",textsplit(B1710,","),"")</f>
        <v/>
      </c>
      <c r="H1710" s="1" t="str">
        <f aca="false">IF(C1710&lt;&gt;"",DEC2HEX(C1710,2),"")</f>
        <v/>
      </c>
      <c r="I1710" s="1" t="str">
        <f aca="false">IF(D1710&lt;&gt;"",DEC2HEX(D1710,2),"")</f>
        <v/>
      </c>
      <c r="J1710" s="1" t="str">
        <f aca="false">IF(H1710&lt;&gt;"","0x"&amp;I1710&amp;H1710,"")</f>
        <v/>
      </c>
      <c r="L1710" s="1" t="s">
        <v>3256</v>
      </c>
      <c r="M1710" s="1" t="str">
        <f aca="false">IF(J1710&lt;&gt;"",J1710,L1710)</f>
        <v>2, 5, 35, TENTACOOL</v>
      </c>
    </row>
    <row r="1711" customFormat="false" ht="12.75" hidden="false" customHeight="true" outlineLevel="0" collapsed="false">
      <c r="A1711" s="3" t="s">
        <v>3257</v>
      </c>
      <c r="B1711" s="3" t="str">
        <f aca="false">IF(ISNUMBER(SEARCH("%", A1711)),RIGHT(A1711,3),A1711)</f>
        <v>5, 15, HOPPIP</v>
      </c>
      <c r="C1711" s="1" t="str">
        <f aca="false" t="array" ref="C1711:C1711">IF(B1710="NEW ROUTE",textsplit(B1711,","),"")</f>
        <v/>
      </c>
      <c r="H1711" s="1" t="str">
        <f aca="false">IF(C1711&lt;&gt;"",DEC2HEX(C1711,2),"")</f>
        <v/>
      </c>
      <c r="I1711" s="1" t="str">
        <f aca="false">IF(D1711&lt;&gt;"",DEC2HEX(D1711,2),"")</f>
        <v/>
      </c>
      <c r="J1711" s="1" t="str">
        <f aca="false">IF(H1711&lt;&gt;"","0x"&amp;I1711&amp;H1711,"")</f>
        <v/>
      </c>
      <c r="L1711" s="1" t="s">
        <v>3257</v>
      </c>
      <c r="M1711" s="1" t="str">
        <f aca="false">IF(J1711&lt;&gt;"",J1711,L1711)</f>
        <v>5, 15, HOPPIP</v>
      </c>
    </row>
    <row r="1712" customFormat="false" ht="12.75" hidden="false" customHeight="true" outlineLevel="0" collapsed="false">
      <c r="A1712" s="3" t="s">
        <v>2844</v>
      </c>
      <c r="B1712" s="3" t="str">
        <f aca="false">IF(ISNUMBER(SEARCH("%", A1712)),RIGHT(A1712,3),A1712)</f>
        <v>35, 40, TENTACOOL</v>
      </c>
      <c r="C1712" s="1" t="str">
        <f aca="false" t="array" ref="C1712:C1712">IF(B1711="NEW ROUTE",textsplit(B1712,","),"")</f>
        <v/>
      </c>
      <c r="H1712" s="1" t="str">
        <f aca="false">IF(C1712&lt;&gt;"",DEC2HEX(C1712,2),"")</f>
        <v/>
      </c>
      <c r="I1712" s="1" t="str">
        <f aca="false">IF(D1712&lt;&gt;"",DEC2HEX(D1712,2),"")</f>
        <v/>
      </c>
      <c r="J1712" s="1" t="str">
        <f aca="false">IF(H1712&lt;&gt;"","0x"&amp;I1712&amp;H1712,"")</f>
        <v/>
      </c>
      <c r="L1712" s="1" t="s">
        <v>2844</v>
      </c>
      <c r="M1712" s="1" t="str">
        <f aca="false">IF(J1712&lt;&gt;"",J1712,L1712)</f>
        <v>35, 40, TENTACOOL</v>
      </c>
    </row>
    <row r="1713" customFormat="false" ht="12.75" hidden="false" customHeight="true" outlineLevel="0" collapsed="false">
      <c r="A1713" s="3" t="s">
        <v>3231</v>
      </c>
      <c r="B1713" s="3" t="str">
        <f aca="false">IF(ISNUMBER(SEARCH("%", A1713)),RIGHT(A1713,3),A1713)</f>
        <v>35, 40, TENTACRUEL</v>
      </c>
      <c r="C1713" s="1" t="str">
        <f aca="false" t="array" ref="C1713:C1713">IF(B1712="NEW ROUTE",textsplit(B1713,","),"")</f>
        <v/>
      </c>
      <c r="H1713" s="1" t="str">
        <f aca="false">IF(C1713&lt;&gt;"",DEC2HEX(C1713,2),"")</f>
        <v/>
      </c>
      <c r="I1713" s="1" t="str">
        <f aca="false">IF(D1713&lt;&gt;"",DEC2HEX(D1713,2),"")</f>
        <v/>
      </c>
      <c r="J1713" s="1" t="str">
        <f aca="false">IF(H1713&lt;&gt;"","0x"&amp;I1713&amp;H1713,"")</f>
        <v/>
      </c>
      <c r="L1713" s="1" t="s">
        <v>3231</v>
      </c>
      <c r="M1713" s="1" t="str">
        <f aca="false">IF(J1713&lt;&gt;"",J1713,L1713)</f>
        <v>35, 40, TENTACRUEL</v>
      </c>
    </row>
    <row r="1714" customFormat="false" ht="12.75" hidden="false" customHeight="true" outlineLevel="0" collapsed="false">
      <c r="A1714" s="3" t="s">
        <v>3231</v>
      </c>
      <c r="B1714" s="3" t="str">
        <f aca="false">IF(ISNUMBER(SEARCH("%", A1714)),RIGHT(A1714,3),A1714)</f>
        <v>35, 40, TENTACRUEL</v>
      </c>
      <c r="C1714" s="1" t="str">
        <f aca="false" t="array" ref="C1714:C1714">IF(B1713="NEW ROUTE",textsplit(B1714,","),"")</f>
        <v/>
      </c>
      <c r="H1714" s="1" t="str">
        <f aca="false">IF(C1714&lt;&gt;"",DEC2HEX(C1714,2),"")</f>
        <v/>
      </c>
      <c r="I1714" s="1" t="str">
        <f aca="false">IF(D1714&lt;&gt;"",DEC2HEX(D1714,2),"")</f>
        <v/>
      </c>
      <c r="J1714" s="1" t="str">
        <f aca="false">IF(H1714&lt;&gt;"","0x"&amp;I1714&amp;H1714,"")</f>
        <v/>
      </c>
      <c r="L1714" s="1" t="s">
        <v>3231</v>
      </c>
      <c r="M1714" s="1" t="str">
        <f aca="false">IF(J1714&lt;&gt;"",J1714,L1714)</f>
        <v>35, 40, TENTACRUEL</v>
      </c>
    </row>
    <row r="1715" customFormat="false" ht="12.75" hidden="false" customHeight="true" outlineLevel="0" collapsed="false">
      <c r="A1715" s="3" t="s">
        <v>2925</v>
      </c>
      <c r="B1715" s="3" t="str">
        <f aca="false">IF(ISNUMBER(SEARCH("%", A1715)),RIGHT(A1715,3),A1715)</f>
        <v>20, old rod:</v>
      </c>
      <c r="C1715" s="1" t="str">
        <f aca="false" t="array" ref="C1715:C1715">IF(B1714="NEW ROUTE",textsplit(B1715,","),"")</f>
        <v/>
      </c>
      <c r="H1715" s="1" t="str">
        <f aca="false">IF(C1715&lt;&gt;"",DEC2HEX(C1715,2),"")</f>
        <v/>
      </c>
      <c r="I1715" s="1" t="str">
        <f aca="false">IF(D1715&lt;&gt;"",DEC2HEX(D1715,2),"")</f>
        <v/>
      </c>
      <c r="J1715" s="1" t="str">
        <f aca="false">IF(H1715&lt;&gt;"","0x"&amp;I1715&amp;H1715,"")</f>
        <v/>
      </c>
      <c r="L1715" s="1" t="s">
        <v>2925</v>
      </c>
      <c r="M1715" s="1" t="str">
        <f aca="false">IF(J1715&lt;&gt;"",J1715,L1715)</f>
        <v>20, old rod:</v>
      </c>
    </row>
    <row r="1716" customFormat="false" ht="12.75" hidden="false" customHeight="true" outlineLevel="0" collapsed="false">
      <c r="A1716" s="3" t="s">
        <v>1266</v>
      </c>
      <c r="B1716" s="3" t="str">
        <f aca="false">IF(ISNUMBER(SEARCH("%", A1716)),RIGHT(A1716,3),A1716)</f>
        <v>5, 5, MAGIKARP</v>
      </c>
      <c r="C1716" s="1" t="str">
        <f aca="false" t="array" ref="C1716:C1716">IF(B1715="NEW ROUTE",textsplit(B1716,","),"")</f>
        <v/>
      </c>
      <c r="H1716" s="1" t="str">
        <f aca="false">IF(C1716&lt;&gt;"",DEC2HEX(C1716,2),"")</f>
        <v/>
      </c>
      <c r="I1716" s="1" t="str">
        <f aca="false">IF(D1716&lt;&gt;"",DEC2HEX(D1716,2),"")</f>
        <v/>
      </c>
      <c r="J1716" s="1" t="str">
        <f aca="false">IF(H1716&lt;&gt;"","0x"&amp;I1716&amp;H1716,"")</f>
        <v/>
      </c>
      <c r="L1716" s="1" t="s">
        <v>1266</v>
      </c>
      <c r="M1716" s="1" t="str">
        <f aca="false">IF(J1716&lt;&gt;"",J1716,L1716)</f>
        <v>5, 5, MAGIKARP</v>
      </c>
    </row>
    <row r="1717" customFormat="false" ht="12.75" hidden="false" customHeight="true" outlineLevel="0" collapsed="false">
      <c r="A1717" s="3" t="s">
        <v>1266</v>
      </c>
      <c r="B1717" s="3" t="str">
        <f aca="false">IF(ISNUMBER(SEARCH("%", A1717)),RIGHT(A1717,3),A1717)</f>
        <v>5, 5, MAGIKARP</v>
      </c>
      <c r="C1717" s="1" t="str">
        <f aca="false" t="array" ref="C1717:C1717">IF(B1716="NEW ROUTE",textsplit(B1717,","),"")</f>
        <v/>
      </c>
      <c r="H1717" s="1" t="str">
        <f aca="false">IF(C1717&lt;&gt;"",DEC2HEX(C1717,2),"")</f>
        <v/>
      </c>
      <c r="I1717" s="1" t="str">
        <f aca="false">IF(D1717&lt;&gt;"",DEC2HEX(D1717,2),"")</f>
        <v/>
      </c>
      <c r="J1717" s="1" t="str">
        <f aca="false">IF(H1717&lt;&gt;"","0x"&amp;I1717&amp;H1717,"")</f>
        <v/>
      </c>
      <c r="L1717" s="1" t="s">
        <v>1266</v>
      </c>
      <c r="M1717" s="1" t="str">
        <f aca="false">IF(J1717&lt;&gt;"",J1717,L1717)</f>
        <v>5, 5, MAGIKARP</v>
      </c>
    </row>
    <row r="1718" customFormat="false" ht="12.75" hidden="false" customHeight="true" outlineLevel="0" collapsed="false">
      <c r="A1718" s="3" t="s">
        <v>2846</v>
      </c>
      <c r="B1718" s="3" t="str">
        <f aca="false">IF(ISNUMBER(SEARCH("%", A1718)),RIGHT(A1718,3),A1718)</f>
        <v>good rod:</v>
      </c>
      <c r="C1718" s="1" t="str">
        <f aca="false" t="array" ref="C1718:C1718">IF(B1717="NEW ROUTE",textsplit(B1718,","),"")</f>
        <v/>
      </c>
      <c r="H1718" s="1" t="str">
        <f aca="false">IF(C1718&lt;&gt;"",DEC2HEX(C1718,2),"")</f>
        <v/>
      </c>
      <c r="I1718" s="1" t="str">
        <f aca="false">IF(D1718&lt;&gt;"",DEC2HEX(D1718,2),"")</f>
        <v/>
      </c>
      <c r="J1718" s="1" t="str">
        <f aca="false">IF(H1718&lt;&gt;"","0x"&amp;I1718&amp;H1718,"")</f>
        <v/>
      </c>
      <c r="L1718" s="1" t="s">
        <v>2846</v>
      </c>
      <c r="M1718" s="1" t="str">
        <f aca="false">IF(J1718&lt;&gt;"",J1718,L1718)</f>
        <v>good rod:</v>
      </c>
    </row>
    <row r="1719" customFormat="false" ht="12.75" hidden="false" customHeight="true" outlineLevel="0" collapsed="false">
      <c r="A1719" s="3" t="s">
        <v>2847</v>
      </c>
      <c r="B1719" s="3" t="str">
        <f aca="false">IF(ISNUMBER(SEARCH("%", A1719)),RIGHT(A1719,3),A1719)</f>
        <v>5, 15, KRABBY</v>
      </c>
      <c r="C1719" s="1" t="str">
        <f aca="false" t="array" ref="C1719:C1719">IF(B1718="NEW ROUTE",textsplit(B1719,","),"")</f>
        <v/>
      </c>
      <c r="H1719" s="1" t="str">
        <f aca="false">IF(C1719&lt;&gt;"",DEC2HEX(C1719,2),"")</f>
        <v/>
      </c>
      <c r="I1719" s="1" t="str">
        <f aca="false">IF(D1719&lt;&gt;"",DEC2HEX(D1719,2),"")</f>
        <v/>
      </c>
      <c r="J1719" s="1" t="str">
        <f aca="false">IF(H1719&lt;&gt;"","0x"&amp;I1719&amp;H1719,"")</f>
        <v/>
      </c>
      <c r="L1719" s="1" t="s">
        <v>2847</v>
      </c>
      <c r="M1719" s="1" t="str">
        <f aca="false">IF(J1719&lt;&gt;"",J1719,L1719)</f>
        <v>5, 15, KRABBY</v>
      </c>
    </row>
    <row r="1720" customFormat="false" ht="12.75" hidden="false" customHeight="true" outlineLevel="0" collapsed="false">
      <c r="A1720" s="3" t="s">
        <v>2848</v>
      </c>
      <c r="B1720" s="3" t="str">
        <f aca="false">IF(ISNUMBER(SEARCH("%", A1720)),RIGHT(A1720,3),A1720)</f>
        <v>5, 15, MAGIKARP</v>
      </c>
      <c r="C1720" s="1" t="str">
        <f aca="false" t="array" ref="C1720:C1720">IF(B1719="NEW ROUTE",textsplit(B1720,","),"")</f>
        <v/>
      </c>
      <c r="H1720" s="1" t="str">
        <f aca="false">IF(C1720&lt;&gt;"",DEC2HEX(C1720,2),"")</f>
        <v/>
      </c>
      <c r="I1720" s="1" t="str">
        <f aca="false">IF(D1720&lt;&gt;"",DEC2HEX(D1720,2),"")</f>
        <v/>
      </c>
      <c r="J1720" s="1" t="str">
        <f aca="false">IF(H1720&lt;&gt;"","0x"&amp;I1720&amp;H1720,"")</f>
        <v/>
      </c>
      <c r="L1720" s="1" t="s">
        <v>2848</v>
      </c>
      <c r="M1720" s="1" t="str">
        <f aca="false">IF(J1720&lt;&gt;"",J1720,L1720)</f>
        <v>5, 15, MAGIKARP</v>
      </c>
    </row>
    <row r="1721" customFormat="false" ht="12.75" hidden="false" customHeight="true" outlineLevel="0" collapsed="false">
      <c r="A1721" s="3" t="s">
        <v>2847</v>
      </c>
      <c r="B1721" s="3" t="str">
        <f aca="false">IF(ISNUMBER(SEARCH("%", A1721)),RIGHT(A1721,3),A1721)</f>
        <v>5, 15, KRABBY</v>
      </c>
      <c r="C1721" s="1" t="str">
        <f aca="false" t="array" ref="C1721:C1721">IF(B1720="NEW ROUTE",textsplit(B1721,","),"")</f>
        <v/>
      </c>
      <c r="H1721" s="1" t="str">
        <f aca="false">IF(C1721&lt;&gt;"",DEC2HEX(C1721,2),"")</f>
        <v/>
      </c>
      <c r="I1721" s="1" t="str">
        <f aca="false">IF(D1721&lt;&gt;"",DEC2HEX(D1721,2),"")</f>
        <v/>
      </c>
      <c r="J1721" s="1" t="str">
        <f aca="false">IF(H1721&lt;&gt;"","0x"&amp;I1721&amp;H1721,"")</f>
        <v/>
      </c>
      <c r="L1721" s="1" t="s">
        <v>2847</v>
      </c>
      <c r="M1721" s="1" t="str">
        <f aca="false">IF(J1721&lt;&gt;"",J1721,L1721)</f>
        <v>5, 15, KRABBY</v>
      </c>
    </row>
    <row r="1722" customFormat="false" ht="12.75" hidden="false" customHeight="true" outlineLevel="0" collapsed="false">
      <c r="A1722" s="3" t="s">
        <v>2850</v>
      </c>
      <c r="B1722" s="3" t="str">
        <f aca="false">IF(ISNUMBER(SEARCH("%", A1722)),RIGHT(A1722,3),A1722)</f>
        <v>super rod:</v>
      </c>
      <c r="C1722" s="1" t="str">
        <f aca="false" t="array" ref="C1722:C1722">IF(B1721="NEW ROUTE",textsplit(B1722,","),"")</f>
        <v/>
      </c>
      <c r="H1722" s="1" t="str">
        <f aca="false">IF(C1722&lt;&gt;"",DEC2HEX(C1722,2),"")</f>
        <v/>
      </c>
      <c r="I1722" s="1" t="str">
        <f aca="false">IF(D1722&lt;&gt;"",DEC2HEX(D1722,2),"")</f>
        <v/>
      </c>
      <c r="J1722" s="1" t="str">
        <f aca="false">IF(H1722&lt;&gt;"","0x"&amp;I1722&amp;H1722,"")</f>
        <v/>
      </c>
      <c r="L1722" s="1" t="s">
        <v>2850</v>
      </c>
      <c r="M1722" s="1" t="str">
        <f aca="false">IF(J1722&lt;&gt;"",J1722,L1722)</f>
        <v>super rod:</v>
      </c>
    </row>
    <row r="1723" customFormat="false" ht="12.75" hidden="false" customHeight="true" outlineLevel="0" collapsed="false">
      <c r="A1723" s="3" t="s">
        <v>2851</v>
      </c>
      <c r="B1723" s="3" t="str">
        <f aca="false">IF(ISNUMBER(SEARCH("%", A1723)),RIGHT(A1723,3),A1723)</f>
        <v>15, 25, KRABBY</v>
      </c>
      <c r="C1723" s="1" t="str">
        <f aca="false" t="array" ref="C1723:C1723">IF(B1722="NEW ROUTE",textsplit(B1723,","),"")</f>
        <v/>
      </c>
      <c r="H1723" s="1" t="str">
        <f aca="false">IF(C1723&lt;&gt;"",DEC2HEX(C1723,2),"")</f>
        <v/>
      </c>
      <c r="I1723" s="1" t="str">
        <f aca="false">IF(D1723&lt;&gt;"",DEC2HEX(D1723,2),"")</f>
        <v/>
      </c>
      <c r="J1723" s="1" t="str">
        <f aca="false">IF(H1723&lt;&gt;"","0x"&amp;I1723&amp;H1723,"")</f>
        <v/>
      </c>
      <c r="L1723" s="1" t="s">
        <v>2851</v>
      </c>
      <c r="M1723" s="1" t="str">
        <f aca="false">IF(J1723&lt;&gt;"",J1723,L1723)</f>
        <v>15, 25, KRABBY</v>
      </c>
    </row>
    <row r="1724" customFormat="false" ht="12.75" hidden="false" customHeight="true" outlineLevel="0" collapsed="false">
      <c r="A1724" s="3" t="s">
        <v>3258</v>
      </c>
      <c r="B1724" s="3" t="str">
        <f aca="false">IF(ISNUMBER(SEARCH("%", A1724)),RIGHT(A1724,3),A1724)</f>
        <v>15, 25, REMORAID</v>
      </c>
      <c r="C1724" s="1" t="str">
        <f aca="false" t="array" ref="C1724:C1724">IF(B1723="NEW ROUTE",textsplit(B1724,","),"")</f>
        <v/>
      </c>
      <c r="H1724" s="1" t="str">
        <f aca="false">IF(C1724&lt;&gt;"",DEC2HEX(C1724,2),"")</f>
        <v/>
      </c>
      <c r="I1724" s="1" t="str">
        <f aca="false">IF(D1724&lt;&gt;"",DEC2HEX(D1724,2),"")</f>
        <v/>
      </c>
      <c r="J1724" s="1" t="str">
        <f aca="false">IF(H1724&lt;&gt;"","0x"&amp;I1724&amp;H1724,"")</f>
        <v/>
      </c>
      <c r="L1724" s="1" t="s">
        <v>3258</v>
      </c>
      <c r="M1724" s="1" t="str">
        <f aca="false">IF(J1724&lt;&gt;"",J1724,L1724)</f>
        <v>15, 25, REMORAID</v>
      </c>
    </row>
    <row r="1725" customFormat="false" ht="12.75" hidden="false" customHeight="true" outlineLevel="0" collapsed="false">
      <c r="A1725" s="3" t="s">
        <v>2853</v>
      </c>
      <c r="B1725" s="3" t="str">
        <f aca="false">IF(ISNUMBER(SEARCH("%", A1725)),RIGHT(A1725,3),A1725)</f>
        <v>15, 25, GYARADOS</v>
      </c>
      <c r="C1725" s="1" t="str">
        <f aca="false" t="array" ref="C1725:C1725">IF(B1724="NEW ROUTE",textsplit(B1725,","),"")</f>
        <v/>
      </c>
      <c r="H1725" s="1" t="str">
        <f aca="false">IF(C1725&lt;&gt;"",DEC2HEX(C1725,2),"")</f>
        <v/>
      </c>
      <c r="I1725" s="1" t="str">
        <f aca="false">IF(D1725&lt;&gt;"",DEC2HEX(D1725,2),"")</f>
        <v/>
      </c>
      <c r="J1725" s="1" t="str">
        <f aca="false">IF(H1725&lt;&gt;"","0x"&amp;I1725&amp;H1725,"")</f>
        <v/>
      </c>
      <c r="L1725" s="1" t="s">
        <v>2853</v>
      </c>
      <c r="M1725" s="1" t="str">
        <f aca="false">IF(J1725&lt;&gt;"",J1725,L1725)</f>
        <v>15, 25, GYARADOS</v>
      </c>
    </row>
    <row r="1726" customFormat="false" ht="12.75" hidden="false" customHeight="true" outlineLevel="0" collapsed="false">
      <c r="A1726" s="3" t="s">
        <v>3177</v>
      </c>
      <c r="B1726" s="3" t="str">
        <f aca="false">IF(ISNUMBER(SEARCH("%", A1726)),RIGHT(A1726,3),A1726)</f>
        <v>25, 35, KINGLER</v>
      </c>
      <c r="C1726" s="1" t="str">
        <f aca="false" t="array" ref="C1726:C1726">IF(B1725="NEW ROUTE",textsplit(B1726,","),"")</f>
        <v/>
      </c>
      <c r="H1726" s="1" t="str">
        <f aca="false">IF(C1726&lt;&gt;"",DEC2HEX(C1726,2),"")</f>
        <v/>
      </c>
      <c r="I1726" s="1" t="str">
        <f aca="false">IF(D1726&lt;&gt;"",DEC2HEX(D1726,2),"")</f>
        <v/>
      </c>
      <c r="J1726" s="1" t="str">
        <f aca="false">IF(H1726&lt;&gt;"","0x"&amp;I1726&amp;H1726,"")</f>
        <v/>
      </c>
      <c r="L1726" s="1" t="s">
        <v>3177</v>
      </c>
      <c r="M1726" s="1" t="str">
        <f aca="false">IF(J1726&lt;&gt;"",J1726,L1726)</f>
        <v>25, 35, KINGLER</v>
      </c>
    </row>
    <row r="1727" customFormat="false" ht="12.75" hidden="false" customHeight="true" outlineLevel="0" collapsed="false">
      <c r="A1727" s="3" t="s">
        <v>2855</v>
      </c>
      <c r="B1727" s="3" t="str">
        <f aca="false">IF(ISNUMBER(SEARCH("%", A1727)),RIGHT(A1727,3),A1727)</f>
        <v>25, 35, SLOWPOKE</v>
      </c>
      <c r="C1727" s="1" t="str">
        <f aca="false" t="array" ref="C1727:C1727">IF(B1726="NEW ROUTE",textsplit(B1727,","),"")</f>
        <v/>
      </c>
      <c r="H1727" s="1" t="str">
        <f aca="false">IF(C1727&lt;&gt;"",DEC2HEX(C1727,2),"")</f>
        <v/>
      </c>
      <c r="I1727" s="1" t="str">
        <f aca="false">IF(D1727&lt;&gt;"",DEC2HEX(D1727,2),"")</f>
        <v/>
      </c>
      <c r="J1727" s="1" t="str">
        <f aca="false">IF(H1727&lt;&gt;"","0x"&amp;I1727&amp;H1727,"")</f>
        <v/>
      </c>
      <c r="L1727" s="1" t="s">
        <v>2855</v>
      </c>
      <c r="M1727" s="1" t="str">
        <f aca="false">IF(J1727&lt;&gt;"",J1727,L1727)</f>
        <v>25, 35, SLOWPOKE</v>
      </c>
    </row>
    <row r="1728" customFormat="false" ht="12.75" hidden="false" customHeight="true" outlineLevel="0" collapsed="false">
      <c r="A1728" s="3" t="s">
        <v>2536</v>
      </c>
      <c r="B1728" s="3" t="str">
        <f aca="false">IF(ISNUMBER(SEARCH("%", A1728)),RIGHT(A1728,3),A1728)</f>
        <v>NEW ROUTE</v>
      </c>
      <c r="C1728" s="1" t="str">
        <f aca="false" t="array" ref="C1728:C1728">IF(B1727="NEW ROUTE",textsplit(B1728,","),"")</f>
        <v/>
      </c>
      <c r="H1728" s="1" t="str">
        <f aca="false">IF(C1728&lt;&gt;"",DEC2HEX(C1728,2),"")</f>
        <v/>
      </c>
      <c r="I1728" s="1" t="str">
        <f aca="false">IF(D1728&lt;&gt;"",DEC2HEX(D1728,2),"")</f>
        <v/>
      </c>
      <c r="J1728" s="1" t="str">
        <f aca="false">IF(H1728&lt;&gt;"","0x"&amp;I1728&amp;H1728,"")</f>
        <v/>
      </c>
      <c r="L1728" s="1" t="s">
        <v>2536</v>
      </c>
      <c r="M1728" s="1" t="str">
        <f aca="false">IF(J1728&lt;&gt;"",J1728,L1728)</f>
        <v>NEW ROUTE</v>
      </c>
    </row>
    <row r="1729" customFormat="false" ht="12.75" hidden="false" customHeight="true" outlineLevel="0" collapsed="false">
      <c r="A1729" s="3" t="s">
        <v>3275</v>
      </c>
      <c r="B1729" s="3" t="str">
        <f aca="false">IF(ISNUMBER(SEARCH("%", A1729)),RIGHT(A1729,3),A1729)</f>
        <v>3, 58, 0, &lt;null&gt;,</v>
      </c>
      <c r="C1729" s="1" t="e">
        <f aca="false" t="array" ref="C1729:C1729">IF(B1728="NEW ROUTE",textsplit(B1729,","),"")</f>
        <v>#NAME?</v>
      </c>
      <c r="H1729" s="1" t="e">
        <f aca="false">IF(C1729&lt;&gt;"",DEC2HEX(C1729,2),"")</f>
        <v>#NAME?</v>
      </c>
      <c r="I1729" s="1" t="str">
        <f aca="false">IF(D1729&lt;&gt;"",DEC2HEX(D1729,2),"")</f>
        <v/>
      </c>
      <c r="J1729" s="1" t="e">
        <f aca="false">IF(H1729&lt;&gt;"","0x"&amp;I1729&amp;H1729,"")</f>
        <v>#NAME?</v>
      </c>
      <c r="L1729" s="1" t="s">
        <v>3275</v>
      </c>
      <c r="M1729" s="1" t="e">
        <f aca="false">IF(J1729&lt;&gt;"",J1729,L1729)</f>
        <v>#NAME?</v>
      </c>
    </row>
    <row r="1730" customFormat="false" ht="12.75" hidden="false" customHeight="true" outlineLevel="0" collapsed="false">
      <c r="A1730" s="3" t="s">
        <v>3172</v>
      </c>
      <c r="B1730" s="3" t="str">
        <f aca="false">IF(ISNUMBER(SEARCH("%", A1730)),RIGHT(A1730,3),A1730)</f>
        <v>2, 5, 20, TENTACOOL</v>
      </c>
      <c r="C1730" s="1" t="str">
        <f aca="false" t="array" ref="C1730:C1730">IF(B1729="NEW ROUTE",textsplit(B1730,","),"")</f>
        <v/>
      </c>
      <c r="H1730" s="1" t="str">
        <f aca="false">IF(C1730&lt;&gt;"",DEC2HEX(C1730,2),"")</f>
        <v/>
      </c>
      <c r="I1730" s="1" t="str">
        <f aca="false">IF(D1730&lt;&gt;"",DEC2HEX(D1730,2),"")</f>
        <v/>
      </c>
      <c r="J1730" s="1" t="str">
        <f aca="false">IF(H1730&lt;&gt;"","0x"&amp;I1730&amp;H1730,"")</f>
        <v/>
      </c>
      <c r="L1730" s="1" t="s">
        <v>3172</v>
      </c>
      <c r="M1730" s="1" t="str">
        <f aca="false">IF(J1730&lt;&gt;"",J1730,L1730)</f>
        <v>2, 5, 20, TENTACOOL</v>
      </c>
    </row>
    <row r="1731" customFormat="false" ht="12.75" hidden="false" customHeight="true" outlineLevel="0" collapsed="false">
      <c r="A1731" s="3" t="s">
        <v>3173</v>
      </c>
      <c r="B1731" s="3" t="str">
        <f aca="false">IF(ISNUMBER(SEARCH("%", A1731)),RIGHT(A1731,3),A1731)</f>
        <v>20, 35, TENTACOOL</v>
      </c>
      <c r="C1731" s="1" t="str">
        <f aca="false" t="array" ref="C1731:C1731">IF(B1730="NEW ROUTE",textsplit(B1731,","),"")</f>
        <v/>
      </c>
      <c r="H1731" s="1" t="str">
        <f aca="false">IF(C1731&lt;&gt;"",DEC2HEX(C1731,2),"")</f>
        <v/>
      </c>
      <c r="I1731" s="1" t="str">
        <f aca="false">IF(D1731&lt;&gt;"",DEC2HEX(D1731,2),"")</f>
        <v/>
      </c>
      <c r="J1731" s="1" t="str">
        <f aca="false">IF(H1731&lt;&gt;"","0x"&amp;I1731&amp;H1731,"")</f>
        <v/>
      </c>
      <c r="L1731" s="1" t="s">
        <v>3173</v>
      </c>
      <c r="M1731" s="1" t="str">
        <f aca="false">IF(J1731&lt;&gt;"",J1731,L1731)</f>
        <v>20, 35, TENTACOOL</v>
      </c>
    </row>
    <row r="1732" customFormat="false" ht="12.75" hidden="false" customHeight="true" outlineLevel="0" collapsed="false">
      <c r="A1732" s="3" t="s">
        <v>2844</v>
      </c>
      <c r="B1732" s="3" t="str">
        <f aca="false">IF(ISNUMBER(SEARCH("%", A1732)),RIGHT(A1732,3),A1732)</f>
        <v>35, 40, TENTACOOL</v>
      </c>
      <c r="C1732" s="1" t="str">
        <f aca="false" t="array" ref="C1732:C1732">IF(B1731="NEW ROUTE",textsplit(B1732,","),"")</f>
        <v/>
      </c>
      <c r="H1732" s="1" t="str">
        <f aca="false">IF(C1732&lt;&gt;"",DEC2HEX(C1732,2),"")</f>
        <v/>
      </c>
      <c r="I1732" s="1" t="str">
        <f aca="false">IF(D1732&lt;&gt;"",DEC2HEX(D1732,2),"")</f>
        <v/>
      </c>
      <c r="J1732" s="1" t="str">
        <f aca="false">IF(H1732&lt;&gt;"","0x"&amp;I1732&amp;H1732,"")</f>
        <v/>
      </c>
      <c r="L1732" s="1" t="s">
        <v>2844</v>
      </c>
      <c r="M1732" s="1" t="str">
        <f aca="false">IF(J1732&lt;&gt;"",J1732,L1732)</f>
        <v>35, 40, TENTACOOL</v>
      </c>
    </row>
    <row r="1733" customFormat="false" ht="12.75" hidden="false" customHeight="true" outlineLevel="0" collapsed="false">
      <c r="A1733" s="3" t="s">
        <v>3231</v>
      </c>
      <c r="B1733" s="3" t="str">
        <f aca="false">IF(ISNUMBER(SEARCH("%", A1733)),RIGHT(A1733,3),A1733)</f>
        <v>35, 40, TENTACRUEL</v>
      </c>
      <c r="C1733" s="1" t="str">
        <f aca="false" t="array" ref="C1733:C1733">IF(B1732="NEW ROUTE",textsplit(B1733,","),"")</f>
        <v/>
      </c>
      <c r="H1733" s="1" t="str">
        <f aca="false">IF(C1733&lt;&gt;"",DEC2HEX(C1733,2),"")</f>
        <v/>
      </c>
      <c r="I1733" s="1" t="str">
        <f aca="false">IF(D1733&lt;&gt;"",DEC2HEX(D1733,2),"")</f>
        <v/>
      </c>
      <c r="J1733" s="1" t="str">
        <f aca="false">IF(H1733&lt;&gt;"","0x"&amp;I1733&amp;H1733,"")</f>
        <v/>
      </c>
      <c r="L1733" s="1" t="s">
        <v>3231</v>
      </c>
      <c r="M1733" s="1" t="str">
        <f aca="false">IF(J1733&lt;&gt;"",J1733,L1733)</f>
        <v>35, 40, TENTACRUEL</v>
      </c>
    </row>
    <row r="1734" customFormat="false" ht="12.75" hidden="false" customHeight="true" outlineLevel="0" collapsed="false">
      <c r="A1734" s="3" t="s">
        <v>3231</v>
      </c>
      <c r="B1734" s="3" t="str">
        <f aca="false">IF(ISNUMBER(SEARCH("%", A1734)),RIGHT(A1734,3),A1734)</f>
        <v>35, 40, TENTACRUEL</v>
      </c>
      <c r="C1734" s="1" t="str">
        <f aca="false" t="array" ref="C1734:C1734">IF(B1733="NEW ROUTE",textsplit(B1734,","),"")</f>
        <v/>
      </c>
      <c r="H1734" s="1" t="str">
        <f aca="false">IF(C1734&lt;&gt;"",DEC2HEX(C1734,2),"")</f>
        <v/>
      </c>
      <c r="I1734" s="1" t="str">
        <f aca="false">IF(D1734&lt;&gt;"",DEC2HEX(D1734,2),"")</f>
        <v/>
      </c>
      <c r="J1734" s="1" t="str">
        <f aca="false">IF(H1734&lt;&gt;"","0x"&amp;I1734&amp;H1734,"")</f>
        <v/>
      </c>
      <c r="L1734" s="1" t="s">
        <v>3231</v>
      </c>
      <c r="M1734" s="1" t="str">
        <f aca="false">IF(J1734&lt;&gt;"",J1734,L1734)</f>
        <v>35, 40, TENTACRUEL</v>
      </c>
    </row>
    <row r="1735" customFormat="false" ht="12.75" hidden="false" customHeight="true" outlineLevel="0" collapsed="false">
      <c r="A1735" s="3" t="s">
        <v>2925</v>
      </c>
      <c r="B1735" s="3" t="str">
        <f aca="false">IF(ISNUMBER(SEARCH("%", A1735)),RIGHT(A1735,3),A1735)</f>
        <v>20, old rod:</v>
      </c>
      <c r="C1735" s="1" t="str">
        <f aca="false" t="array" ref="C1735:C1735">IF(B1734="NEW ROUTE",textsplit(B1735,","),"")</f>
        <v/>
      </c>
      <c r="H1735" s="1" t="str">
        <f aca="false">IF(C1735&lt;&gt;"",DEC2HEX(C1735,2),"")</f>
        <v/>
      </c>
      <c r="I1735" s="1" t="str">
        <f aca="false">IF(D1735&lt;&gt;"",DEC2HEX(D1735,2),"")</f>
        <v/>
      </c>
      <c r="J1735" s="1" t="str">
        <f aca="false">IF(H1735&lt;&gt;"","0x"&amp;I1735&amp;H1735,"")</f>
        <v/>
      </c>
      <c r="L1735" s="1" t="s">
        <v>2925</v>
      </c>
      <c r="M1735" s="1" t="str">
        <f aca="false">IF(J1735&lt;&gt;"",J1735,L1735)</f>
        <v>20, old rod:</v>
      </c>
    </row>
    <row r="1736" customFormat="false" ht="12.75" hidden="false" customHeight="true" outlineLevel="0" collapsed="false">
      <c r="A1736" s="3" t="s">
        <v>1266</v>
      </c>
      <c r="B1736" s="3" t="str">
        <f aca="false">IF(ISNUMBER(SEARCH("%", A1736)),RIGHT(A1736,3),A1736)</f>
        <v>5, 5, MAGIKARP</v>
      </c>
      <c r="C1736" s="1" t="str">
        <f aca="false" t="array" ref="C1736:C1736">IF(B1735="NEW ROUTE",textsplit(B1736,","),"")</f>
        <v/>
      </c>
      <c r="H1736" s="1" t="str">
        <f aca="false">IF(C1736&lt;&gt;"",DEC2HEX(C1736,2),"")</f>
        <v/>
      </c>
      <c r="I1736" s="1" t="str">
        <f aca="false">IF(D1736&lt;&gt;"",DEC2HEX(D1736,2),"")</f>
        <v/>
      </c>
      <c r="J1736" s="1" t="str">
        <f aca="false">IF(H1736&lt;&gt;"","0x"&amp;I1736&amp;H1736,"")</f>
        <v/>
      </c>
      <c r="L1736" s="1" t="s">
        <v>1266</v>
      </c>
      <c r="M1736" s="1" t="str">
        <f aca="false">IF(J1736&lt;&gt;"",J1736,L1736)</f>
        <v>5, 5, MAGIKARP</v>
      </c>
    </row>
    <row r="1737" customFormat="false" ht="12.75" hidden="false" customHeight="true" outlineLevel="0" collapsed="false">
      <c r="A1737" s="3" t="s">
        <v>1266</v>
      </c>
      <c r="B1737" s="3" t="str">
        <f aca="false">IF(ISNUMBER(SEARCH("%", A1737)),RIGHT(A1737,3),A1737)</f>
        <v>5, 5, MAGIKARP</v>
      </c>
      <c r="C1737" s="1" t="str">
        <f aca="false" t="array" ref="C1737:C1737">IF(B1736="NEW ROUTE",textsplit(B1737,","),"")</f>
        <v/>
      </c>
      <c r="H1737" s="1" t="str">
        <f aca="false">IF(C1737&lt;&gt;"",DEC2HEX(C1737,2),"")</f>
        <v/>
      </c>
      <c r="I1737" s="1" t="str">
        <f aca="false">IF(D1737&lt;&gt;"",DEC2HEX(D1737,2),"")</f>
        <v/>
      </c>
      <c r="J1737" s="1" t="str">
        <f aca="false">IF(H1737&lt;&gt;"","0x"&amp;I1737&amp;H1737,"")</f>
        <v/>
      </c>
      <c r="L1737" s="1" t="s">
        <v>1266</v>
      </c>
      <c r="M1737" s="1" t="str">
        <f aca="false">IF(J1737&lt;&gt;"",J1737,L1737)</f>
        <v>5, 5, MAGIKARP</v>
      </c>
    </row>
    <row r="1738" customFormat="false" ht="12.75" hidden="false" customHeight="true" outlineLevel="0" collapsed="false">
      <c r="A1738" s="3" t="s">
        <v>2846</v>
      </c>
      <c r="B1738" s="3" t="str">
        <f aca="false">IF(ISNUMBER(SEARCH("%", A1738)),RIGHT(A1738,3),A1738)</f>
        <v>good rod:</v>
      </c>
      <c r="C1738" s="1" t="str">
        <f aca="false" t="array" ref="C1738:C1738">IF(B1737="NEW ROUTE",textsplit(B1738,","),"")</f>
        <v/>
      </c>
      <c r="H1738" s="1" t="str">
        <f aca="false">IF(C1738&lt;&gt;"",DEC2HEX(C1738,2),"")</f>
        <v/>
      </c>
      <c r="I1738" s="1" t="str">
        <f aca="false">IF(D1738&lt;&gt;"",DEC2HEX(D1738,2),"")</f>
        <v/>
      </c>
      <c r="J1738" s="1" t="str">
        <f aca="false">IF(H1738&lt;&gt;"","0x"&amp;I1738&amp;H1738,"")</f>
        <v/>
      </c>
      <c r="L1738" s="1" t="s">
        <v>2846</v>
      </c>
      <c r="M1738" s="1" t="str">
        <f aca="false">IF(J1738&lt;&gt;"",J1738,L1738)</f>
        <v>good rod:</v>
      </c>
    </row>
    <row r="1739" customFormat="false" ht="12.75" hidden="false" customHeight="true" outlineLevel="0" collapsed="false">
      <c r="A1739" s="3" t="s">
        <v>2847</v>
      </c>
      <c r="B1739" s="3" t="str">
        <f aca="false">IF(ISNUMBER(SEARCH("%", A1739)),RIGHT(A1739,3),A1739)</f>
        <v>5, 15, KRABBY</v>
      </c>
      <c r="C1739" s="1" t="str">
        <f aca="false" t="array" ref="C1739:C1739">IF(B1738="NEW ROUTE",textsplit(B1739,","),"")</f>
        <v/>
      </c>
      <c r="H1739" s="1" t="str">
        <f aca="false">IF(C1739&lt;&gt;"",DEC2HEX(C1739,2),"")</f>
        <v/>
      </c>
      <c r="I1739" s="1" t="str">
        <f aca="false">IF(D1739&lt;&gt;"",DEC2HEX(D1739,2),"")</f>
        <v/>
      </c>
      <c r="J1739" s="1" t="str">
        <f aca="false">IF(H1739&lt;&gt;"","0x"&amp;I1739&amp;H1739,"")</f>
        <v/>
      </c>
      <c r="L1739" s="1" t="s">
        <v>2847</v>
      </c>
      <c r="M1739" s="1" t="str">
        <f aca="false">IF(J1739&lt;&gt;"",J1739,L1739)</f>
        <v>5, 15, KRABBY</v>
      </c>
    </row>
    <row r="1740" customFormat="false" ht="12.75" hidden="false" customHeight="true" outlineLevel="0" collapsed="false">
      <c r="A1740" s="3" t="s">
        <v>2848</v>
      </c>
      <c r="B1740" s="3" t="str">
        <f aca="false">IF(ISNUMBER(SEARCH("%", A1740)),RIGHT(A1740,3),A1740)</f>
        <v>5, 15, MAGIKARP</v>
      </c>
      <c r="C1740" s="1" t="str">
        <f aca="false" t="array" ref="C1740:C1740">IF(B1739="NEW ROUTE",textsplit(B1740,","),"")</f>
        <v/>
      </c>
      <c r="H1740" s="1" t="str">
        <f aca="false">IF(C1740&lt;&gt;"",DEC2HEX(C1740,2),"")</f>
        <v/>
      </c>
      <c r="I1740" s="1" t="str">
        <f aca="false">IF(D1740&lt;&gt;"",DEC2HEX(D1740,2),"")</f>
        <v/>
      </c>
      <c r="J1740" s="1" t="str">
        <f aca="false">IF(H1740&lt;&gt;"","0x"&amp;I1740&amp;H1740,"")</f>
        <v/>
      </c>
      <c r="L1740" s="1" t="s">
        <v>2848</v>
      </c>
      <c r="M1740" s="1" t="str">
        <f aca="false">IF(J1740&lt;&gt;"",J1740,L1740)</f>
        <v>5, 15, MAGIKARP</v>
      </c>
    </row>
    <row r="1741" customFormat="false" ht="12.75" hidden="false" customHeight="true" outlineLevel="0" collapsed="false">
      <c r="A1741" s="3" t="s">
        <v>2847</v>
      </c>
      <c r="B1741" s="3" t="str">
        <f aca="false">IF(ISNUMBER(SEARCH("%", A1741)),RIGHT(A1741,3),A1741)</f>
        <v>5, 15, KRABBY</v>
      </c>
      <c r="C1741" s="1" t="str">
        <f aca="false" t="array" ref="C1741:C1741">IF(B1740="NEW ROUTE",textsplit(B1741,","),"")</f>
        <v/>
      </c>
      <c r="H1741" s="1" t="str">
        <f aca="false">IF(C1741&lt;&gt;"",DEC2HEX(C1741,2),"")</f>
        <v/>
      </c>
      <c r="I1741" s="1" t="str">
        <f aca="false">IF(D1741&lt;&gt;"",DEC2HEX(D1741,2),"")</f>
        <v/>
      </c>
      <c r="J1741" s="1" t="str">
        <f aca="false">IF(H1741&lt;&gt;"","0x"&amp;I1741&amp;H1741,"")</f>
        <v/>
      </c>
      <c r="L1741" s="1" t="s">
        <v>2847</v>
      </c>
      <c r="M1741" s="1" t="str">
        <f aca="false">IF(J1741&lt;&gt;"",J1741,L1741)</f>
        <v>5, 15, KRABBY</v>
      </c>
    </row>
    <row r="1742" customFormat="false" ht="12.75" hidden="false" customHeight="true" outlineLevel="0" collapsed="false">
      <c r="A1742" s="3" t="s">
        <v>2850</v>
      </c>
      <c r="B1742" s="3" t="str">
        <f aca="false">IF(ISNUMBER(SEARCH("%", A1742)),RIGHT(A1742,3),A1742)</f>
        <v>super rod:</v>
      </c>
      <c r="C1742" s="1" t="str">
        <f aca="false" t="array" ref="C1742:C1742">IF(B1741="NEW ROUTE",textsplit(B1742,","),"")</f>
        <v/>
      </c>
      <c r="H1742" s="1" t="str">
        <f aca="false">IF(C1742&lt;&gt;"",DEC2HEX(C1742,2),"")</f>
        <v/>
      </c>
      <c r="I1742" s="1" t="str">
        <f aca="false">IF(D1742&lt;&gt;"",DEC2HEX(D1742,2),"")</f>
        <v/>
      </c>
      <c r="J1742" s="1" t="str">
        <f aca="false">IF(H1742&lt;&gt;"","0x"&amp;I1742&amp;H1742,"")</f>
        <v/>
      </c>
      <c r="L1742" s="1" t="s">
        <v>2850</v>
      </c>
      <c r="M1742" s="1" t="str">
        <f aca="false">IF(J1742&lt;&gt;"",J1742,L1742)</f>
        <v>super rod:</v>
      </c>
    </row>
    <row r="1743" customFormat="false" ht="12.75" hidden="false" customHeight="true" outlineLevel="0" collapsed="false">
      <c r="A1743" s="3" t="s">
        <v>2851</v>
      </c>
      <c r="B1743" s="3" t="str">
        <f aca="false">IF(ISNUMBER(SEARCH("%", A1743)),RIGHT(A1743,3),A1743)</f>
        <v>15, 25, KRABBY</v>
      </c>
      <c r="C1743" s="1" t="str">
        <f aca="false" t="array" ref="C1743:C1743">IF(B1742="NEW ROUTE",textsplit(B1743,","),"")</f>
        <v/>
      </c>
      <c r="H1743" s="1" t="str">
        <f aca="false">IF(C1743&lt;&gt;"",DEC2HEX(C1743,2),"")</f>
        <v/>
      </c>
      <c r="I1743" s="1" t="str">
        <f aca="false">IF(D1743&lt;&gt;"",DEC2HEX(D1743,2),"")</f>
        <v/>
      </c>
      <c r="J1743" s="1" t="str">
        <f aca="false">IF(H1743&lt;&gt;"","0x"&amp;I1743&amp;H1743,"")</f>
        <v/>
      </c>
      <c r="L1743" s="1" t="s">
        <v>2851</v>
      </c>
      <c r="M1743" s="1" t="str">
        <f aca="false">IF(J1743&lt;&gt;"",J1743,L1743)</f>
        <v>15, 25, KRABBY</v>
      </c>
    </row>
    <row r="1744" customFormat="false" ht="12.75" hidden="false" customHeight="true" outlineLevel="0" collapsed="false">
      <c r="A1744" s="3" t="s">
        <v>3258</v>
      </c>
      <c r="B1744" s="3" t="str">
        <f aca="false">IF(ISNUMBER(SEARCH("%", A1744)),RIGHT(A1744,3),A1744)</f>
        <v>15, 25, REMORAID</v>
      </c>
      <c r="C1744" s="1" t="str">
        <f aca="false" t="array" ref="C1744:C1744">IF(B1743="NEW ROUTE",textsplit(B1744,","),"")</f>
        <v/>
      </c>
      <c r="H1744" s="1" t="str">
        <f aca="false">IF(C1744&lt;&gt;"",DEC2HEX(C1744,2),"")</f>
        <v/>
      </c>
      <c r="I1744" s="1" t="str">
        <f aca="false">IF(D1744&lt;&gt;"",DEC2HEX(D1744,2),"")</f>
        <v/>
      </c>
      <c r="J1744" s="1" t="str">
        <f aca="false">IF(H1744&lt;&gt;"","0x"&amp;I1744&amp;H1744,"")</f>
        <v/>
      </c>
      <c r="L1744" s="1" t="s">
        <v>3258</v>
      </c>
      <c r="M1744" s="1" t="str">
        <f aca="false">IF(J1744&lt;&gt;"",J1744,L1744)</f>
        <v>15, 25, REMORAID</v>
      </c>
    </row>
    <row r="1745" customFormat="false" ht="12.75" hidden="false" customHeight="true" outlineLevel="0" collapsed="false">
      <c r="A1745" s="3" t="s">
        <v>2853</v>
      </c>
      <c r="B1745" s="3" t="str">
        <f aca="false">IF(ISNUMBER(SEARCH("%", A1745)),RIGHT(A1745,3),A1745)</f>
        <v>15, 25, GYARADOS</v>
      </c>
      <c r="C1745" s="1" t="str">
        <f aca="false" t="array" ref="C1745:C1745">IF(B1744="NEW ROUTE",textsplit(B1745,","),"")</f>
        <v/>
      </c>
      <c r="H1745" s="1" t="str">
        <f aca="false">IF(C1745&lt;&gt;"",DEC2HEX(C1745,2),"")</f>
        <v/>
      </c>
      <c r="I1745" s="1" t="str">
        <f aca="false">IF(D1745&lt;&gt;"",DEC2HEX(D1745,2),"")</f>
        <v/>
      </c>
      <c r="J1745" s="1" t="str">
        <f aca="false">IF(H1745&lt;&gt;"","0x"&amp;I1745&amp;H1745,"")</f>
        <v/>
      </c>
      <c r="L1745" s="1" t="s">
        <v>2853</v>
      </c>
      <c r="M1745" s="1" t="str">
        <f aca="false">IF(J1745&lt;&gt;"",J1745,L1745)</f>
        <v>15, 25, GYARADOS</v>
      </c>
    </row>
    <row r="1746" customFormat="false" ht="12.75" hidden="false" customHeight="true" outlineLevel="0" collapsed="false">
      <c r="A1746" s="3" t="s">
        <v>3177</v>
      </c>
      <c r="B1746" s="3" t="str">
        <f aca="false">IF(ISNUMBER(SEARCH("%", A1746)),RIGHT(A1746,3),A1746)</f>
        <v>25, 35, KINGLER</v>
      </c>
      <c r="C1746" s="1" t="str">
        <f aca="false" t="array" ref="C1746:C1746">IF(B1745="NEW ROUTE",textsplit(B1746,","),"")</f>
        <v/>
      </c>
      <c r="H1746" s="1" t="str">
        <f aca="false">IF(C1746&lt;&gt;"",DEC2HEX(C1746,2),"")</f>
        <v/>
      </c>
      <c r="I1746" s="1" t="str">
        <f aca="false">IF(D1746&lt;&gt;"",DEC2HEX(D1746,2),"")</f>
        <v/>
      </c>
      <c r="J1746" s="1" t="str">
        <f aca="false">IF(H1746&lt;&gt;"","0x"&amp;I1746&amp;H1746,"")</f>
        <v/>
      </c>
      <c r="L1746" s="1" t="s">
        <v>3177</v>
      </c>
      <c r="M1746" s="1" t="str">
        <f aca="false">IF(J1746&lt;&gt;"",J1746,L1746)</f>
        <v>25, 35, KINGLER</v>
      </c>
    </row>
    <row r="1747" customFormat="false" ht="12.75" hidden="false" customHeight="true" outlineLevel="0" collapsed="false">
      <c r="A1747" s="3" t="s">
        <v>2855</v>
      </c>
      <c r="B1747" s="3" t="str">
        <f aca="false">IF(ISNUMBER(SEARCH("%", A1747)),RIGHT(A1747,3),A1747)</f>
        <v>25, 35, SLOWPOKE</v>
      </c>
      <c r="C1747" s="1" t="str">
        <f aca="false" t="array" ref="C1747:C1747">IF(B1746="NEW ROUTE",textsplit(B1747,","),"")</f>
        <v/>
      </c>
      <c r="H1747" s="1" t="str">
        <f aca="false">IF(C1747&lt;&gt;"",DEC2HEX(C1747,2),"")</f>
        <v/>
      </c>
      <c r="I1747" s="1" t="str">
        <f aca="false">IF(D1747&lt;&gt;"",DEC2HEX(D1747,2),"")</f>
        <v/>
      </c>
      <c r="J1747" s="1" t="str">
        <f aca="false">IF(H1747&lt;&gt;"","0x"&amp;I1747&amp;H1747,"")</f>
        <v/>
      </c>
      <c r="L1747" s="1" t="s">
        <v>2855</v>
      </c>
      <c r="M1747" s="1" t="str">
        <f aca="false">IF(J1747&lt;&gt;"",J1747,L1747)</f>
        <v>25, 35, SLOWPOKE</v>
      </c>
    </row>
    <row r="1748" customFormat="false" ht="12.75" hidden="false" customHeight="true" outlineLevel="0" collapsed="false">
      <c r="A1748" s="3" t="s">
        <v>2536</v>
      </c>
      <c r="B1748" s="3" t="str">
        <f aca="false">IF(ISNUMBER(SEARCH("%", A1748)),RIGHT(A1748,3),A1748)</f>
        <v>NEW ROUTE</v>
      </c>
      <c r="C1748" s="1" t="str">
        <f aca="false" t="array" ref="C1748:C1748">IF(B1747="NEW ROUTE",textsplit(B1748,","),"")</f>
        <v/>
      </c>
      <c r="H1748" s="1" t="str">
        <f aca="false">IF(C1748&lt;&gt;"",DEC2HEX(C1748,2),"")</f>
        <v/>
      </c>
      <c r="I1748" s="1" t="str">
        <f aca="false">IF(D1748&lt;&gt;"",DEC2HEX(D1748,2),"")</f>
        <v/>
      </c>
      <c r="J1748" s="1" t="str">
        <f aca="false">IF(H1748&lt;&gt;"","0x"&amp;I1748&amp;H1748,"")</f>
        <v/>
      </c>
      <c r="L1748" s="1" t="s">
        <v>2536</v>
      </c>
      <c r="M1748" s="1" t="str">
        <f aca="false">IF(J1748&lt;&gt;"",J1748,L1748)</f>
        <v>NEW ROUTE</v>
      </c>
    </row>
    <row r="1749" customFormat="false" ht="12.75" hidden="false" customHeight="true" outlineLevel="0" collapsed="false">
      <c r="A1749" s="3" t="s">
        <v>3276</v>
      </c>
      <c r="B1749" s="3" t="str">
        <f aca="false">IF(ISNUMBER(SEARCH("%", A1749)),RIGHT(A1749,3),A1749)</f>
        <v>3, 59, 0, &lt;null&gt;,</v>
      </c>
      <c r="C1749" s="1" t="e">
        <f aca="false" t="array" ref="C1749:C1749">IF(B1748="NEW ROUTE",textsplit(B1749,","),"")</f>
        <v>#NAME?</v>
      </c>
      <c r="H1749" s="1" t="e">
        <f aca="false">IF(C1749&lt;&gt;"",DEC2HEX(C1749,2),"")</f>
        <v>#NAME?</v>
      </c>
      <c r="I1749" s="1" t="str">
        <f aca="false">IF(D1749&lt;&gt;"",DEC2HEX(D1749,2),"")</f>
        <v/>
      </c>
      <c r="J1749" s="1" t="e">
        <f aca="false">IF(H1749&lt;&gt;"","0x"&amp;I1749&amp;H1749,"")</f>
        <v>#NAME?</v>
      </c>
      <c r="L1749" s="1" t="s">
        <v>3276</v>
      </c>
      <c r="M1749" s="1" t="e">
        <f aca="false">IF(J1749&lt;&gt;"",J1749,L1749)</f>
        <v>#NAME?</v>
      </c>
    </row>
    <row r="1750" customFormat="false" ht="12.75" hidden="false" customHeight="true" outlineLevel="0" collapsed="false">
      <c r="A1750" s="3" t="s">
        <v>3172</v>
      </c>
      <c r="B1750" s="3" t="str">
        <f aca="false">IF(ISNUMBER(SEARCH("%", A1750)),RIGHT(A1750,3),A1750)</f>
        <v>2, 5, 20, TENTACOOL</v>
      </c>
      <c r="C1750" s="1" t="str">
        <f aca="false" t="array" ref="C1750:C1750">IF(B1749="NEW ROUTE",textsplit(B1750,","),"")</f>
        <v/>
      </c>
      <c r="H1750" s="1" t="str">
        <f aca="false">IF(C1750&lt;&gt;"",DEC2HEX(C1750,2),"")</f>
        <v/>
      </c>
      <c r="I1750" s="1" t="str">
        <f aca="false">IF(D1750&lt;&gt;"",DEC2HEX(D1750,2),"")</f>
        <v/>
      </c>
      <c r="J1750" s="1" t="str">
        <f aca="false">IF(H1750&lt;&gt;"","0x"&amp;I1750&amp;H1750,"")</f>
        <v/>
      </c>
      <c r="L1750" s="1" t="s">
        <v>3172</v>
      </c>
      <c r="M1750" s="1" t="str">
        <f aca="false">IF(J1750&lt;&gt;"",J1750,L1750)</f>
        <v>2, 5, 20, TENTACOOL</v>
      </c>
    </row>
    <row r="1751" customFormat="false" ht="12.75" hidden="false" customHeight="true" outlineLevel="0" collapsed="false">
      <c r="A1751" s="3" t="s">
        <v>3173</v>
      </c>
      <c r="B1751" s="3" t="str">
        <f aca="false">IF(ISNUMBER(SEARCH("%", A1751)),RIGHT(A1751,3),A1751)</f>
        <v>20, 35, TENTACOOL</v>
      </c>
      <c r="C1751" s="1" t="str">
        <f aca="false" t="array" ref="C1751:C1751">IF(B1750="NEW ROUTE",textsplit(B1751,","),"")</f>
        <v/>
      </c>
      <c r="H1751" s="1" t="str">
        <f aca="false">IF(C1751&lt;&gt;"",DEC2HEX(C1751,2),"")</f>
        <v/>
      </c>
      <c r="I1751" s="1" t="str">
        <f aca="false">IF(D1751&lt;&gt;"",DEC2HEX(D1751,2),"")</f>
        <v/>
      </c>
      <c r="J1751" s="1" t="str">
        <f aca="false">IF(H1751&lt;&gt;"","0x"&amp;I1751&amp;H1751,"")</f>
        <v/>
      </c>
      <c r="L1751" s="1" t="s">
        <v>3173</v>
      </c>
      <c r="M1751" s="1" t="str">
        <f aca="false">IF(J1751&lt;&gt;"",J1751,L1751)</f>
        <v>20, 35, TENTACOOL</v>
      </c>
    </row>
    <row r="1752" customFormat="false" ht="12.75" hidden="false" customHeight="true" outlineLevel="0" collapsed="false">
      <c r="A1752" s="3" t="s">
        <v>2844</v>
      </c>
      <c r="B1752" s="3" t="str">
        <f aca="false">IF(ISNUMBER(SEARCH("%", A1752)),RIGHT(A1752,3),A1752)</f>
        <v>35, 40, TENTACOOL</v>
      </c>
      <c r="C1752" s="1" t="str">
        <f aca="false" t="array" ref="C1752:C1752">IF(B1751="NEW ROUTE",textsplit(B1752,","),"")</f>
        <v/>
      </c>
      <c r="H1752" s="1" t="str">
        <f aca="false">IF(C1752&lt;&gt;"",DEC2HEX(C1752,2),"")</f>
        <v/>
      </c>
      <c r="I1752" s="1" t="str">
        <f aca="false">IF(D1752&lt;&gt;"",DEC2HEX(D1752,2),"")</f>
        <v/>
      </c>
      <c r="J1752" s="1" t="str">
        <f aca="false">IF(H1752&lt;&gt;"","0x"&amp;I1752&amp;H1752,"")</f>
        <v/>
      </c>
      <c r="L1752" s="1" t="s">
        <v>2844</v>
      </c>
      <c r="M1752" s="1" t="str">
        <f aca="false">IF(J1752&lt;&gt;"",J1752,L1752)</f>
        <v>35, 40, TENTACOOL</v>
      </c>
    </row>
    <row r="1753" customFormat="false" ht="12.75" hidden="false" customHeight="true" outlineLevel="0" collapsed="false">
      <c r="A1753" s="3" t="s">
        <v>3231</v>
      </c>
      <c r="B1753" s="3" t="str">
        <f aca="false">IF(ISNUMBER(SEARCH("%", A1753)),RIGHT(A1753,3),A1753)</f>
        <v>35, 40, TENTACRUEL</v>
      </c>
      <c r="C1753" s="1" t="str">
        <f aca="false" t="array" ref="C1753:C1753">IF(B1752="NEW ROUTE",textsplit(B1753,","),"")</f>
        <v/>
      </c>
      <c r="H1753" s="1" t="str">
        <f aca="false">IF(C1753&lt;&gt;"",DEC2HEX(C1753,2),"")</f>
        <v/>
      </c>
      <c r="I1753" s="1" t="str">
        <f aca="false">IF(D1753&lt;&gt;"",DEC2HEX(D1753,2),"")</f>
        <v/>
      </c>
      <c r="J1753" s="1" t="str">
        <f aca="false">IF(H1753&lt;&gt;"","0x"&amp;I1753&amp;H1753,"")</f>
        <v/>
      </c>
      <c r="L1753" s="1" t="s">
        <v>3231</v>
      </c>
      <c r="M1753" s="1" t="str">
        <f aca="false">IF(J1753&lt;&gt;"",J1753,L1753)</f>
        <v>35, 40, TENTACRUEL</v>
      </c>
    </row>
    <row r="1754" customFormat="false" ht="12.75" hidden="false" customHeight="true" outlineLevel="0" collapsed="false">
      <c r="A1754" s="3" t="s">
        <v>3231</v>
      </c>
      <c r="B1754" s="3" t="str">
        <f aca="false">IF(ISNUMBER(SEARCH("%", A1754)),RIGHT(A1754,3),A1754)</f>
        <v>35, 40, TENTACRUEL</v>
      </c>
      <c r="C1754" s="1" t="str">
        <f aca="false" t="array" ref="C1754:C1754">IF(B1753="NEW ROUTE",textsplit(B1754,","),"")</f>
        <v/>
      </c>
      <c r="H1754" s="1" t="str">
        <f aca="false">IF(C1754&lt;&gt;"",DEC2HEX(C1754,2),"")</f>
        <v/>
      </c>
      <c r="I1754" s="1" t="str">
        <f aca="false">IF(D1754&lt;&gt;"",DEC2HEX(D1754,2),"")</f>
        <v/>
      </c>
      <c r="J1754" s="1" t="str">
        <f aca="false">IF(H1754&lt;&gt;"","0x"&amp;I1754&amp;H1754,"")</f>
        <v/>
      </c>
      <c r="L1754" s="1" t="s">
        <v>3231</v>
      </c>
      <c r="M1754" s="1" t="str">
        <f aca="false">IF(J1754&lt;&gt;"",J1754,L1754)</f>
        <v>35, 40, TENTACRUEL</v>
      </c>
    </row>
    <row r="1755" customFormat="false" ht="12.75" hidden="false" customHeight="true" outlineLevel="0" collapsed="false">
      <c r="A1755" s="3" t="s">
        <v>2925</v>
      </c>
      <c r="B1755" s="3" t="str">
        <f aca="false">IF(ISNUMBER(SEARCH("%", A1755)),RIGHT(A1755,3),A1755)</f>
        <v>20, old rod:</v>
      </c>
      <c r="C1755" s="1" t="str">
        <f aca="false" t="array" ref="C1755:C1755">IF(B1754="NEW ROUTE",textsplit(B1755,","),"")</f>
        <v/>
      </c>
      <c r="H1755" s="1" t="str">
        <f aca="false">IF(C1755&lt;&gt;"",DEC2HEX(C1755,2),"")</f>
        <v/>
      </c>
      <c r="I1755" s="1" t="str">
        <f aca="false">IF(D1755&lt;&gt;"",DEC2HEX(D1755,2),"")</f>
        <v/>
      </c>
      <c r="J1755" s="1" t="str">
        <f aca="false">IF(H1755&lt;&gt;"","0x"&amp;I1755&amp;H1755,"")</f>
        <v/>
      </c>
      <c r="L1755" s="1" t="s">
        <v>2925</v>
      </c>
      <c r="M1755" s="1" t="str">
        <f aca="false">IF(J1755&lt;&gt;"",J1755,L1755)</f>
        <v>20, old rod:</v>
      </c>
    </row>
    <row r="1756" customFormat="false" ht="12.75" hidden="false" customHeight="true" outlineLevel="0" collapsed="false">
      <c r="A1756" s="3" t="s">
        <v>1266</v>
      </c>
      <c r="B1756" s="3" t="str">
        <f aca="false">IF(ISNUMBER(SEARCH("%", A1756)),RIGHT(A1756,3),A1756)</f>
        <v>5, 5, MAGIKARP</v>
      </c>
      <c r="C1756" s="1" t="str">
        <f aca="false" t="array" ref="C1756:C1756">IF(B1755="NEW ROUTE",textsplit(B1756,","),"")</f>
        <v/>
      </c>
      <c r="H1756" s="1" t="str">
        <f aca="false">IF(C1756&lt;&gt;"",DEC2HEX(C1756,2),"")</f>
        <v/>
      </c>
      <c r="I1756" s="1" t="str">
        <f aca="false">IF(D1756&lt;&gt;"",DEC2HEX(D1756,2),"")</f>
        <v/>
      </c>
      <c r="J1756" s="1" t="str">
        <f aca="false">IF(H1756&lt;&gt;"","0x"&amp;I1756&amp;H1756,"")</f>
        <v/>
      </c>
      <c r="L1756" s="1" t="s">
        <v>1266</v>
      </c>
      <c r="M1756" s="1" t="str">
        <f aca="false">IF(J1756&lt;&gt;"",J1756,L1756)</f>
        <v>5, 5, MAGIKARP</v>
      </c>
    </row>
    <row r="1757" customFormat="false" ht="12.75" hidden="false" customHeight="true" outlineLevel="0" collapsed="false">
      <c r="A1757" s="3" t="s">
        <v>1266</v>
      </c>
      <c r="B1757" s="3" t="str">
        <f aca="false">IF(ISNUMBER(SEARCH("%", A1757)),RIGHT(A1757,3),A1757)</f>
        <v>5, 5, MAGIKARP</v>
      </c>
      <c r="C1757" s="1" t="str">
        <f aca="false" t="array" ref="C1757:C1757">IF(B1756="NEW ROUTE",textsplit(B1757,","),"")</f>
        <v/>
      </c>
      <c r="H1757" s="1" t="str">
        <f aca="false">IF(C1757&lt;&gt;"",DEC2HEX(C1757,2),"")</f>
        <v/>
      </c>
      <c r="I1757" s="1" t="str">
        <f aca="false">IF(D1757&lt;&gt;"",DEC2HEX(D1757,2),"")</f>
        <v/>
      </c>
      <c r="J1757" s="1" t="str">
        <f aca="false">IF(H1757&lt;&gt;"","0x"&amp;I1757&amp;H1757,"")</f>
        <v/>
      </c>
      <c r="L1757" s="1" t="s">
        <v>1266</v>
      </c>
      <c r="M1757" s="1" t="str">
        <f aca="false">IF(J1757&lt;&gt;"",J1757,L1757)</f>
        <v>5, 5, MAGIKARP</v>
      </c>
    </row>
    <row r="1758" customFormat="false" ht="12.75" hidden="false" customHeight="true" outlineLevel="0" collapsed="false">
      <c r="A1758" s="3" t="s">
        <v>2846</v>
      </c>
      <c r="B1758" s="3" t="str">
        <f aca="false">IF(ISNUMBER(SEARCH("%", A1758)),RIGHT(A1758,3),A1758)</f>
        <v>good rod:</v>
      </c>
      <c r="C1758" s="1" t="str">
        <f aca="false" t="array" ref="C1758:C1758">IF(B1757="NEW ROUTE",textsplit(B1758,","),"")</f>
        <v/>
      </c>
      <c r="H1758" s="1" t="str">
        <f aca="false">IF(C1758&lt;&gt;"",DEC2HEX(C1758,2),"")</f>
        <v/>
      </c>
      <c r="I1758" s="1" t="str">
        <f aca="false">IF(D1758&lt;&gt;"",DEC2HEX(D1758,2),"")</f>
        <v/>
      </c>
      <c r="J1758" s="1" t="str">
        <f aca="false">IF(H1758&lt;&gt;"","0x"&amp;I1758&amp;H1758,"")</f>
        <v/>
      </c>
      <c r="L1758" s="1" t="s">
        <v>2846</v>
      </c>
      <c r="M1758" s="1" t="str">
        <f aca="false">IF(J1758&lt;&gt;"",J1758,L1758)</f>
        <v>good rod:</v>
      </c>
    </row>
    <row r="1759" customFormat="false" ht="12.75" hidden="false" customHeight="true" outlineLevel="0" collapsed="false">
      <c r="A1759" s="3" t="s">
        <v>2847</v>
      </c>
      <c r="B1759" s="3" t="str">
        <f aca="false">IF(ISNUMBER(SEARCH("%", A1759)),RIGHT(A1759,3),A1759)</f>
        <v>5, 15, KRABBY</v>
      </c>
      <c r="C1759" s="1" t="str">
        <f aca="false" t="array" ref="C1759:C1759">IF(B1758="NEW ROUTE",textsplit(B1759,","),"")</f>
        <v/>
      </c>
      <c r="H1759" s="1" t="str">
        <f aca="false">IF(C1759&lt;&gt;"",DEC2HEX(C1759,2),"")</f>
        <v/>
      </c>
      <c r="I1759" s="1" t="str">
        <f aca="false">IF(D1759&lt;&gt;"",DEC2HEX(D1759,2),"")</f>
        <v/>
      </c>
      <c r="J1759" s="1" t="str">
        <f aca="false">IF(H1759&lt;&gt;"","0x"&amp;I1759&amp;H1759,"")</f>
        <v/>
      </c>
      <c r="L1759" s="1" t="s">
        <v>2847</v>
      </c>
      <c r="M1759" s="1" t="str">
        <f aca="false">IF(J1759&lt;&gt;"",J1759,L1759)</f>
        <v>5, 15, KRABBY</v>
      </c>
    </row>
    <row r="1760" customFormat="false" ht="12.75" hidden="false" customHeight="true" outlineLevel="0" collapsed="false">
      <c r="A1760" s="3" t="s">
        <v>2848</v>
      </c>
      <c r="B1760" s="3" t="str">
        <f aca="false">IF(ISNUMBER(SEARCH("%", A1760)),RIGHT(A1760,3),A1760)</f>
        <v>5, 15, MAGIKARP</v>
      </c>
      <c r="C1760" s="1" t="str">
        <f aca="false" t="array" ref="C1760:C1760">IF(B1759="NEW ROUTE",textsplit(B1760,","),"")</f>
        <v/>
      </c>
      <c r="H1760" s="1" t="str">
        <f aca="false">IF(C1760&lt;&gt;"",DEC2HEX(C1760,2),"")</f>
        <v/>
      </c>
      <c r="I1760" s="1" t="str">
        <f aca="false">IF(D1760&lt;&gt;"",DEC2HEX(D1760,2),"")</f>
        <v/>
      </c>
      <c r="J1760" s="1" t="str">
        <f aca="false">IF(H1760&lt;&gt;"","0x"&amp;I1760&amp;H1760,"")</f>
        <v/>
      </c>
      <c r="L1760" s="1" t="s">
        <v>2848</v>
      </c>
      <c r="M1760" s="1" t="str">
        <f aca="false">IF(J1760&lt;&gt;"",J1760,L1760)</f>
        <v>5, 15, MAGIKARP</v>
      </c>
    </row>
    <row r="1761" customFormat="false" ht="12.75" hidden="false" customHeight="true" outlineLevel="0" collapsed="false">
      <c r="A1761" s="3" t="s">
        <v>2847</v>
      </c>
      <c r="B1761" s="3" t="str">
        <f aca="false">IF(ISNUMBER(SEARCH("%", A1761)),RIGHT(A1761,3),A1761)</f>
        <v>5, 15, KRABBY</v>
      </c>
      <c r="C1761" s="1" t="str">
        <f aca="false" t="array" ref="C1761:C1761">IF(B1760="NEW ROUTE",textsplit(B1761,","),"")</f>
        <v/>
      </c>
      <c r="H1761" s="1" t="str">
        <f aca="false">IF(C1761&lt;&gt;"",DEC2HEX(C1761,2),"")</f>
        <v/>
      </c>
      <c r="I1761" s="1" t="str">
        <f aca="false">IF(D1761&lt;&gt;"",DEC2HEX(D1761,2),"")</f>
        <v/>
      </c>
      <c r="J1761" s="1" t="str">
        <f aca="false">IF(H1761&lt;&gt;"","0x"&amp;I1761&amp;H1761,"")</f>
        <v/>
      </c>
      <c r="L1761" s="1" t="s">
        <v>2847</v>
      </c>
      <c r="M1761" s="1" t="str">
        <f aca="false">IF(J1761&lt;&gt;"",J1761,L1761)</f>
        <v>5, 15, KRABBY</v>
      </c>
    </row>
    <row r="1762" customFormat="false" ht="12.75" hidden="false" customHeight="true" outlineLevel="0" collapsed="false">
      <c r="A1762" s="3" t="s">
        <v>2850</v>
      </c>
      <c r="B1762" s="3" t="str">
        <f aca="false">IF(ISNUMBER(SEARCH("%", A1762)),RIGHT(A1762,3),A1762)</f>
        <v>super rod:</v>
      </c>
      <c r="C1762" s="1" t="str">
        <f aca="false" t="array" ref="C1762:C1762">IF(B1761="NEW ROUTE",textsplit(B1762,","),"")</f>
        <v/>
      </c>
      <c r="H1762" s="1" t="str">
        <f aca="false">IF(C1762&lt;&gt;"",DEC2HEX(C1762,2),"")</f>
        <v/>
      </c>
      <c r="I1762" s="1" t="str">
        <f aca="false">IF(D1762&lt;&gt;"",DEC2HEX(D1762,2),"")</f>
        <v/>
      </c>
      <c r="J1762" s="1" t="str">
        <f aca="false">IF(H1762&lt;&gt;"","0x"&amp;I1762&amp;H1762,"")</f>
        <v/>
      </c>
      <c r="L1762" s="1" t="s">
        <v>2850</v>
      </c>
      <c r="M1762" s="1" t="str">
        <f aca="false">IF(J1762&lt;&gt;"",J1762,L1762)</f>
        <v>super rod:</v>
      </c>
    </row>
    <row r="1763" customFormat="false" ht="12.75" hidden="false" customHeight="true" outlineLevel="0" collapsed="false">
      <c r="A1763" s="3" t="s">
        <v>2851</v>
      </c>
      <c r="B1763" s="3" t="str">
        <f aca="false">IF(ISNUMBER(SEARCH("%", A1763)),RIGHT(A1763,3),A1763)</f>
        <v>15, 25, KRABBY</v>
      </c>
      <c r="C1763" s="1" t="str">
        <f aca="false" t="array" ref="C1763:C1763">IF(B1762="NEW ROUTE",textsplit(B1763,","),"")</f>
        <v/>
      </c>
      <c r="H1763" s="1" t="str">
        <f aca="false">IF(C1763&lt;&gt;"",DEC2HEX(C1763,2),"")</f>
        <v/>
      </c>
      <c r="I1763" s="1" t="str">
        <f aca="false">IF(D1763&lt;&gt;"",DEC2HEX(D1763,2),"")</f>
        <v/>
      </c>
      <c r="J1763" s="1" t="str">
        <f aca="false">IF(H1763&lt;&gt;"","0x"&amp;I1763&amp;H1763,"")</f>
        <v/>
      </c>
      <c r="L1763" s="1" t="s">
        <v>2851</v>
      </c>
      <c r="M1763" s="1" t="str">
        <f aca="false">IF(J1763&lt;&gt;"",J1763,L1763)</f>
        <v>15, 25, KRABBY</v>
      </c>
    </row>
    <row r="1764" customFormat="false" ht="12.75" hidden="false" customHeight="true" outlineLevel="0" collapsed="false">
      <c r="A1764" s="3" t="s">
        <v>3258</v>
      </c>
      <c r="B1764" s="3" t="str">
        <f aca="false">IF(ISNUMBER(SEARCH("%", A1764)),RIGHT(A1764,3),A1764)</f>
        <v>15, 25, REMORAID</v>
      </c>
      <c r="C1764" s="1" t="str">
        <f aca="false" t="array" ref="C1764:C1764">IF(B1763="NEW ROUTE",textsplit(B1764,","),"")</f>
        <v/>
      </c>
      <c r="H1764" s="1" t="str">
        <f aca="false">IF(C1764&lt;&gt;"",DEC2HEX(C1764,2),"")</f>
        <v/>
      </c>
      <c r="I1764" s="1" t="str">
        <f aca="false">IF(D1764&lt;&gt;"",DEC2HEX(D1764,2),"")</f>
        <v/>
      </c>
      <c r="J1764" s="1" t="str">
        <f aca="false">IF(H1764&lt;&gt;"","0x"&amp;I1764&amp;H1764,"")</f>
        <v/>
      </c>
      <c r="L1764" s="1" t="s">
        <v>3258</v>
      </c>
      <c r="M1764" s="1" t="str">
        <f aca="false">IF(J1764&lt;&gt;"",J1764,L1764)</f>
        <v>15, 25, REMORAID</v>
      </c>
    </row>
    <row r="1765" customFormat="false" ht="12.75" hidden="false" customHeight="true" outlineLevel="0" collapsed="false">
      <c r="A1765" s="3" t="s">
        <v>2853</v>
      </c>
      <c r="B1765" s="3" t="str">
        <f aca="false">IF(ISNUMBER(SEARCH("%", A1765)),RIGHT(A1765,3),A1765)</f>
        <v>15, 25, GYARADOS</v>
      </c>
      <c r="C1765" s="1" t="str">
        <f aca="false" t="array" ref="C1765:C1765">IF(B1764="NEW ROUTE",textsplit(B1765,","),"")</f>
        <v/>
      </c>
      <c r="H1765" s="1" t="str">
        <f aca="false">IF(C1765&lt;&gt;"",DEC2HEX(C1765,2),"")</f>
        <v/>
      </c>
      <c r="I1765" s="1" t="str">
        <f aca="false">IF(D1765&lt;&gt;"",DEC2HEX(D1765,2),"")</f>
        <v/>
      </c>
      <c r="J1765" s="1" t="str">
        <f aca="false">IF(H1765&lt;&gt;"","0x"&amp;I1765&amp;H1765,"")</f>
        <v/>
      </c>
      <c r="L1765" s="1" t="s">
        <v>2853</v>
      </c>
      <c r="M1765" s="1" t="str">
        <f aca="false">IF(J1765&lt;&gt;"",J1765,L1765)</f>
        <v>15, 25, GYARADOS</v>
      </c>
    </row>
    <row r="1766" customFormat="false" ht="12.75" hidden="false" customHeight="true" outlineLevel="0" collapsed="false">
      <c r="A1766" s="3" t="s">
        <v>3177</v>
      </c>
      <c r="B1766" s="3" t="str">
        <f aca="false">IF(ISNUMBER(SEARCH("%", A1766)),RIGHT(A1766,3),A1766)</f>
        <v>25, 35, KINGLER</v>
      </c>
      <c r="C1766" s="1" t="str">
        <f aca="false" t="array" ref="C1766:C1766">IF(B1765="NEW ROUTE",textsplit(B1766,","),"")</f>
        <v/>
      </c>
      <c r="H1766" s="1" t="str">
        <f aca="false">IF(C1766&lt;&gt;"",DEC2HEX(C1766,2),"")</f>
        <v/>
      </c>
      <c r="I1766" s="1" t="str">
        <f aca="false">IF(D1766&lt;&gt;"",DEC2HEX(D1766,2),"")</f>
        <v/>
      </c>
      <c r="J1766" s="1" t="str">
        <f aca="false">IF(H1766&lt;&gt;"","0x"&amp;I1766&amp;H1766,"")</f>
        <v/>
      </c>
      <c r="L1766" s="1" t="s">
        <v>3177</v>
      </c>
      <c r="M1766" s="1" t="str">
        <f aca="false">IF(J1766&lt;&gt;"",J1766,L1766)</f>
        <v>25, 35, KINGLER</v>
      </c>
    </row>
    <row r="1767" customFormat="false" ht="12.75" hidden="false" customHeight="true" outlineLevel="0" collapsed="false">
      <c r="A1767" s="3" t="s">
        <v>2855</v>
      </c>
      <c r="B1767" s="3" t="str">
        <f aca="false">IF(ISNUMBER(SEARCH("%", A1767)),RIGHT(A1767,3),A1767)</f>
        <v>25, 35, SLOWPOKE</v>
      </c>
      <c r="C1767" s="1" t="str">
        <f aca="false" t="array" ref="C1767:C1767">IF(B1766="NEW ROUTE",textsplit(B1767,","),"")</f>
        <v/>
      </c>
      <c r="H1767" s="1" t="str">
        <f aca="false">IF(C1767&lt;&gt;"",DEC2HEX(C1767,2),"")</f>
        <v/>
      </c>
      <c r="I1767" s="1" t="str">
        <f aca="false">IF(D1767&lt;&gt;"",DEC2HEX(D1767,2),"")</f>
        <v/>
      </c>
      <c r="J1767" s="1" t="str">
        <f aca="false">IF(H1767&lt;&gt;"","0x"&amp;I1767&amp;H1767,"")</f>
        <v/>
      </c>
      <c r="L1767" s="1" t="s">
        <v>2855</v>
      </c>
      <c r="M1767" s="1" t="str">
        <f aca="false">IF(J1767&lt;&gt;"",J1767,L1767)</f>
        <v>25, 35, SLOWPOKE</v>
      </c>
    </row>
    <row r="1768" customFormat="false" ht="12.75" hidden="false" customHeight="true" outlineLevel="0" collapsed="false">
      <c r="A1768" s="3" t="s">
        <v>2536</v>
      </c>
      <c r="B1768" s="3" t="str">
        <f aca="false">IF(ISNUMBER(SEARCH("%", A1768)),RIGHT(A1768,3),A1768)</f>
        <v>NEW ROUTE</v>
      </c>
      <c r="C1768" s="1" t="str">
        <f aca="false" t="array" ref="C1768:C1768">IF(B1767="NEW ROUTE",textsplit(B1768,","),"")</f>
        <v/>
      </c>
      <c r="H1768" s="1" t="str">
        <f aca="false">IF(C1768&lt;&gt;"",DEC2HEX(C1768,2),"")</f>
        <v/>
      </c>
      <c r="I1768" s="1" t="str">
        <f aca="false">IF(D1768&lt;&gt;"",DEC2HEX(D1768,2),"")</f>
        <v/>
      </c>
      <c r="J1768" s="1" t="str">
        <f aca="false">IF(H1768&lt;&gt;"","0x"&amp;I1768&amp;H1768,"")</f>
        <v/>
      </c>
      <c r="L1768" s="1" t="s">
        <v>2536</v>
      </c>
      <c r="M1768" s="1" t="str">
        <f aca="false">IF(J1768&lt;&gt;"",J1768,L1768)</f>
        <v>NEW ROUTE</v>
      </c>
    </row>
    <row r="1769" customFormat="false" ht="12.75" hidden="false" customHeight="true" outlineLevel="0" collapsed="false">
      <c r="A1769" s="3" t="s">
        <v>3277</v>
      </c>
      <c r="B1769" s="3" t="str">
        <f aca="false">IF(ISNUMBER(SEARCH("%", A1769)),RIGHT(A1769,3),A1769)</f>
        <v>3, 60, 0,</v>
      </c>
      <c r="C1769" s="1" t="e">
        <f aca="false" t="array" ref="C1769:C1769">IF(B1768="NEW ROUTE",textsplit(B1769,","),"")</f>
        <v>#NAME?</v>
      </c>
      <c r="H1769" s="1" t="e">
        <f aca="false">IF(C1769&lt;&gt;"",DEC2HEX(C1769,2),"")</f>
        <v>#NAME?</v>
      </c>
      <c r="I1769" s="1" t="str">
        <f aca="false">IF(D1769&lt;&gt;"",DEC2HEX(D1769,2),"")</f>
        <v/>
      </c>
      <c r="J1769" s="1" t="e">
        <f aca="false">IF(H1769&lt;&gt;"","0x"&amp;I1769&amp;H1769,"")</f>
        <v>#NAME?</v>
      </c>
      <c r="L1769" s="1" t="s">
        <v>3277</v>
      </c>
      <c r="M1769" s="1" t="e">
        <f aca="false">IF(J1769&lt;&gt;"",J1769,L1769)</f>
        <v>#NAME?</v>
      </c>
    </row>
    <row r="1770" customFormat="false" ht="12.75" hidden="false" customHeight="true" outlineLevel="0" collapsed="false">
      <c r="A1770" s="3" t="s">
        <v>2908</v>
      </c>
      <c r="B1770" s="3" t="str">
        <f aca="false">IF(ISNUMBER(SEARCH("%", A1770)),RIGHT(A1770,3),A1770)</f>
        <v>20%</v>
      </c>
      <c r="C1770" s="1" t="str">
        <f aca="false" t="array" ref="C1770:C1770">IF(B1769="NEW ROUTE",textsplit(B1770,","),"")</f>
        <v/>
      </c>
      <c r="H1770" s="1" t="str">
        <f aca="false">IF(C1770&lt;&gt;"",DEC2HEX(C1770,2),"")</f>
        <v/>
      </c>
      <c r="I1770" s="1" t="str">
        <f aca="false">IF(D1770&lt;&gt;"",DEC2HEX(D1770,2),"")</f>
        <v/>
      </c>
      <c r="J1770" s="1" t="str">
        <f aca="false">IF(H1770&lt;&gt;"","0x"&amp;I1770&amp;H1770,"")</f>
        <v/>
      </c>
      <c r="L1770" s="1" t="s">
        <v>2799</v>
      </c>
      <c r="M1770" s="1" t="str">
        <f aca="false">IF(J1770&lt;&gt;"",J1770,L1770)</f>
        <v>20%</v>
      </c>
    </row>
    <row r="1771" customFormat="false" ht="12.75" hidden="false" customHeight="true" outlineLevel="0" collapsed="false">
      <c r="A1771" s="3" t="s">
        <v>1736</v>
      </c>
      <c r="B1771" s="3" t="str">
        <f aca="false">IF(ISNUMBER(SEARCH("%", A1771)),RIGHT(A1771,3),A1771)</f>
        <v>44, 44, SPEAROW</v>
      </c>
      <c r="C1771" s="1" t="str">
        <f aca="false" t="array" ref="C1771:C1771">IF(B1770="NEW ROUTE",textsplit(B1771,","),"")</f>
        <v/>
      </c>
      <c r="H1771" s="1" t="str">
        <f aca="false">IF(C1771&lt;&gt;"",DEC2HEX(C1771,2),"")</f>
        <v/>
      </c>
      <c r="I1771" s="1" t="str">
        <f aca="false">IF(D1771&lt;&gt;"",DEC2HEX(D1771,2),"")</f>
        <v/>
      </c>
      <c r="J1771" s="1" t="str">
        <f aca="false">IF(H1771&lt;&gt;"","0x"&amp;I1771&amp;H1771,"")</f>
        <v/>
      </c>
      <c r="L1771" s="1" t="s">
        <v>1736</v>
      </c>
      <c r="M1771" s="1" t="str">
        <f aca="false">IF(J1771&lt;&gt;"",J1771,L1771)</f>
        <v>44, 44, SPEAROW</v>
      </c>
    </row>
    <row r="1772" customFormat="false" ht="12.75" hidden="false" customHeight="true" outlineLevel="0" collapsed="false">
      <c r="A1772" s="3" t="s">
        <v>3261</v>
      </c>
      <c r="B1772" s="3" t="str">
        <f aca="false">IF(ISNUMBER(SEARCH("%", A1772)),RIGHT(A1772,3),A1772)</f>
        <v>10, 10, SENTRET</v>
      </c>
      <c r="C1772" s="1" t="str">
        <f aca="false" t="array" ref="C1772:C1772">IF(B1771="NEW ROUTE",textsplit(B1772,","),"")</f>
        <v/>
      </c>
      <c r="H1772" s="1" t="str">
        <f aca="false">IF(C1772&lt;&gt;"",DEC2HEX(C1772,2),"")</f>
        <v/>
      </c>
      <c r="I1772" s="1" t="str">
        <f aca="false">IF(D1772&lt;&gt;"",DEC2HEX(D1772,2),"")</f>
        <v/>
      </c>
      <c r="J1772" s="1" t="str">
        <f aca="false">IF(H1772&lt;&gt;"","0x"&amp;I1772&amp;H1772,"")</f>
        <v/>
      </c>
      <c r="L1772" s="1" t="s">
        <v>3261</v>
      </c>
      <c r="M1772" s="1" t="str">
        <f aca="false">IF(J1772&lt;&gt;"",J1772,L1772)</f>
        <v>10, 10, SENTRET</v>
      </c>
    </row>
    <row r="1773" customFormat="false" ht="12.75" hidden="false" customHeight="true" outlineLevel="0" collapsed="false">
      <c r="A1773" s="3" t="s">
        <v>2801</v>
      </c>
      <c r="B1773" s="3" t="str">
        <f aca="false">IF(ISNUMBER(SEARCH("%", A1773)),RIGHT(A1773,3),A1773)</f>
        <v>0.1</v>
      </c>
      <c r="C1773" s="1" t="str">
        <f aca="false" t="array" ref="C1773:C1773">IF(B1772="NEW ROUTE",textsplit(B1773,","),"")</f>
        <v/>
      </c>
      <c r="H1773" s="1" t="str">
        <f aca="false">IF(C1773&lt;&gt;"",DEC2HEX(C1773,2),"")</f>
        <v/>
      </c>
      <c r="I1773" s="1" t="str">
        <f aca="false">IF(D1773&lt;&gt;"",DEC2HEX(D1773,2),"")</f>
        <v/>
      </c>
      <c r="J1773" s="1" t="str">
        <f aca="false">IF(H1773&lt;&gt;"","0x"&amp;I1773&amp;H1773,"")</f>
        <v/>
      </c>
      <c r="L1773" s="1" t="s">
        <v>2801</v>
      </c>
      <c r="M1773" s="1" t="str">
        <f aca="false">IF(J1773&lt;&gt;"",J1773,L1773)</f>
        <v>0.1</v>
      </c>
    </row>
    <row r="1774" customFormat="false" ht="12.75" hidden="false" customHeight="true" outlineLevel="0" collapsed="false">
      <c r="A1774" s="3" t="s">
        <v>3278</v>
      </c>
      <c r="B1774" s="3" t="str">
        <f aca="false">IF(ISNUMBER(SEARCH("%", A1774)),RIGHT(A1774,3),A1774)</f>
        <v>44, 44, BELLSPROUT</v>
      </c>
      <c r="C1774" s="1" t="str">
        <f aca="false" t="array" ref="C1774:C1774">IF(B1773="NEW ROUTE",textsplit(B1774,","),"")</f>
        <v/>
      </c>
      <c r="H1774" s="1" t="str">
        <f aca="false">IF(C1774&lt;&gt;"",DEC2HEX(C1774,2),"")</f>
        <v/>
      </c>
      <c r="I1774" s="1" t="str">
        <f aca="false">IF(D1774&lt;&gt;"",DEC2HEX(D1774,2),"")</f>
        <v/>
      </c>
      <c r="J1774" s="1" t="str">
        <f aca="false">IF(H1774&lt;&gt;"","0x"&amp;I1774&amp;H1774,"")</f>
        <v/>
      </c>
      <c r="L1774" s="1" t="s">
        <v>3278</v>
      </c>
      <c r="M1774" s="1" t="str">
        <f aca="false">IF(J1774&lt;&gt;"",J1774,L1774)</f>
        <v>44, 44, BELLSPROUT</v>
      </c>
    </row>
    <row r="1775" customFormat="false" ht="12.75" hidden="false" customHeight="true" outlineLevel="0" collapsed="false">
      <c r="A1775" s="3" t="s">
        <v>3279</v>
      </c>
      <c r="B1775" s="3" t="str">
        <f aca="false">IF(ISNUMBER(SEARCH("%", A1775)),RIGHT(A1775,3),A1775)</f>
        <v>48, 48, FEAROW</v>
      </c>
      <c r="C1775" s="1" t="str">
        <f aca="false" t="array" ref="C1775:C1775">IF(B1774="NEW ROUTE",textsplit(B1775,","),"")</f>
        <v/>
      </c>
      <c r="H1775" s="1" t="str">
        <f aca="false">IF(C1775&lt;&gt;"",DEC2HEX(C1775,2),"")</f>
        <v/>
      </c>
      <c r="I1775" s="1" t="str">
        <f aca="false">IF(D1775&lt;&gt;"",DEC2HEX(D1775,2),"")</f>
        <v/>
      </c>
      <c r="J1775" s="1" t="str">
        <f aca="false">IF(H1775&lt;&gt;"","0x"&amp;I1775&amp;H1775,"")</f>
        <v/>
      </c>
      <c r="L1775" s="1" t="s">
        <v>3279</v>
      </c>
      <c r="M1775" s="1" t="str">
        <f aca="false">IF(J1775&lt;&gt;"",J1775,L1775)</f>
        <v>48, 48, FEAROW</v>
      </c>
    </row>
    <row r="1776" customFormat="false" ht="12.75" hidden="false" customHeight="true" outlineLevel="0" collapsed="false">
      <c r="A1776" s="3" t="s">
        <v>3263</v>
      </c>
      <c r="B1776" s="3" t="str">
        <f aca="false">IF(ISNUMBER(SEARCH("%", A1776)),RIGHT(A1776,3),A1776)</f>
        <v>15, 15, SENTRET</v>
      </c>
      <c r="C1776" s="1" t="str">
        <f aca="false" t="array" ref="C1776:C1776">IF(B1775="NEW ROUTE",textsplit(B1776,","),"")</f>
        <v/>
      </c>
      <c r="H1776" s="1" t="str">
        <f aca="false">IF(C1776&lt;&gt;"",DEC2HEX(C1776,2),"")</f>
        <v/>
      </c>
      <c r="I1776" s="1" t="str">
        <f aca="false">IF(D1776&lt;&gt;"",DEC2HEX(D1776,2),"")</f>
        <v/>
      </c>
      <c r="J1776" s="1" t="str">
        <f aca="false">IF(H1776&lt;&gt;"","0x"&amp;I1776&amp;H1776,"")</f>
        <v/>
      </c>
      <c r="L1776" s="1" t="s">
        <v>3263</v>
      </c>
      <c r="M1776" s="1" t="str">
        <f aca="false">IF(J1776&lt;&gt;"",J1776,L1776)</f>
        <v>15, 15, SENTRET</v>
      </c>
    </row>
    <row r="1777" customFormat="false" ht="12.75" hidden="false" customHeight="true" outlineLevel="0" collapsed="false">
      <c r="A1777" s="3" t="s">
        <v>3264</v>
      </c>
      <c r="B1777" s="3" t="str">
        <f aca="false">IF(ISNUMBER(SEARCH("%", A1777)),RIGHT(A1777,3),A1777)</f>
        <v>41, 41, MEOWTH</v>
      </c>
      <c r="C1777" s="1" t="str">
        <f aca="false" t="array" ref="C1777:C1777">IF(B1776="NEW ROUTE",textsplit(B1777,","),"")</f>
        <v/>
      </c>
      <c r="H1777" s="1" t="str">
        <f aca="false">IF(C1777&lt;&gt;"",DEC2HEX(C1777,2),"")</f>
        <v/>
      </c>
      <c r="I1777" s="1" t="str">
        <f aca="false">IF(D1777&lt;&gt;"",DEC2HEX(D1777,2),"")</f>
        <v/>
      </c>
      <c r="J1777" s="1" t="str">
        <f aca="false">IF(H1777&lt;&gt;"","0x"&amp;I1777&amp;H1777,"")</f>
        <v/>
      </c>
      <c r="L1777" s="1" t="s">
        <v>3264</v>
      </c>
      <c r="M1777" s="1" t="str">
        <f aca="false">IF(J1777&lt;&gt;"",J1777,L1777)</f>
        <v>41, 41, MEOWTH</v>
      </c>
    </row>
    <row r="1778" customFormat="false" ht="12.75" hidden="false" customHeight="true" outlineLevel="0" collapsed="false">
      <c r="A1778" s="3" t="s">
        <v>2806</v>
      </c>
      <c r="B1778" s="3" t="str">
        <f aca="false">IF(ISNUMBER(SEARCH("%", A1778)),RIGHT(A1778,3),A1778)</f>
        <v>0.05</v>
      </c>
      <c r="C1778" s="1" t="str">
        <f aca="false" t="array" ref="C1778:C1778">IF(B1777="NEW ROUTE",textsplit(B1778,","),"")</f>
        <v/>
      </c>
      <c r="H1778" s="1" t="str">
        <f aca="false">IF(C1778&lt;&gt;"",DEC2HEX(C1778,2),"")</f>
        <v/>
      </c>
      <c r="I1778" s="1" t="str">
        <f aca="false">IF(D1778&lt;&gt;"",DEC2HEX(D1778,2),"")</f>
        <v/>
      </c>
      <c r="J1778" s="1" t="str">
        <f aca="false">IF(H1778&lt;&gt;"","0x"&amp;I1778&amp;H1778,"")</f>
        <v/>
      </c>
      <c r="L1778" s="1" t="s">
        <v>2806</v>
      </c>
      <c r="M1778" s="1" t="str">
        <f aca="false">IF(J1778&lt;&gt;"",J1778,L1778)</f>
        <v>0.05</v>
      </c>
    </row>
    <row r="1779" customFormat="false" ht="12.75" hidden="false" customHeight="true" outlineLevel="0" collapsed="false">
      <c r="A1779" s="3" t="s">
        <v>3280</v>
      </c>
      <c r="B1779" s="3" t="str">
        <f aca="false">IF(ISNUMBER(SEARCH("%", A1779)),RIGHT(A1779,3),A1779)</f>
        <v>48, 48, WEEPINBELL</v>
      </c>
      <c r="C1779" s="1" t="str">
        <f aca="false" t="array" ref="C1779:C1779">IF(B1778="NEW ROUTE",textsplit(B1779,","),"")</f>
        <v/>
      </c>
      <c r="H1779" s="1" t="str">
        <f aca="false">IF(C1779&lt;&gt;"",DEC2HEX(C1779,2),"")</f>
        <v/>
      </c>
      <c r="I1779" s="1" t="str">
        <f aca="false">IF(D1779&lt;&gt;"",DEC2HEX(D1779,2),"")</f>
        <v/>
      </c>
      <c r="J1779" s="1" t="str">
        <f aca="false">IF(H1779&lt;&gt;"","0x"&amp;I1779&amp;H1779,"")</f>
        <v/>
      </c>
      <c r="L1779" s="1" t="s">
        <v>3280</v>
      </c>
      <c r="M1779" s="1" t="str">
        <f aca="false">IF(J1779&lt;&gt;"",J1779,L1779)</f>
        <v>48, 48, WEEPINBELL</v>
      </c>
    </row>
    <row r="1780" customFormat="false" ht="12.75" hidden="false" customHeight="true" outlineLevel="0" collapsed="false">
      <c r="A1780" s="3" t="s">
        <v>3154</v>
      </c>
      <c r="B1780" s="3" t="str">
        <f aca="false">IF(ISNUMBER(SEARCH("%", A1780)),RIGHT(A1780,3),A1780)</f>
        <v>41, 41, SLOWPOKE</v>
      </c>
      <c r="C1780" s="1" t="str">
        <f aca="false" t="array" ref="C1780:C1780">IF(B1779="NEW ROUTE",textsplit(B1780,","),"")</f>
        <v/>
      </c>
      <c r="H1780" s="1" t="str">
        <f aca="false">IF(C1780&lt;&gt;"",DEC2HEX(C1780,2),"")</f>
        <v/>
      </c>
      <c r="I1780" s="1" t="str">
        <f aca="false">IF(D1780&lt;&gt;"",DEC2HEX(D1780,2),"")</f>
        <v/>
      </c>
      <c r="J1780" s="1" t="str">
        <f aca="false">IF(H1780&lt;&gt;"","0x"&amp;I1780&amp;H1780,"")</f>
        <v/>
      </c>
      <c r="L1780" s="1" t="s">
        <v>3154</v>
      </c>
      <c r="M1780" s="1" t="str">
        <f aca="false">IF(J1780&lt;&gt;"",J1780,L1780)</f>
        <v>41, 41, SLOWPOKE</v>
      </c>
    </row>
    <row r="1781" customFormat="false" ht="12.75" hidden="false" customHeight="true" outlineLevel="0" collapsed="false">
      <c r="A1781" s="3" t="s">
        <v>2809</v>
      </c>
      <c r="B1781" s="3" t="str">
        <f aca="false">IF(ISNUMBER(SEARCH("%", A1781)),RIGHT(A1781,3),A1781)</f>
        <v>0.04</v>
      </c>
      <c r="C1781" s="1" t="str">
        <f aca="false" t="array" ref="C1781:C1781">IF(B1780="NEW ROUTE",textsplit(B1781,","),"")</f>
        <v/>
      </c>
      <c r="H1781" s="1" t="str">
        <f aca="false">IF(C1781&lt;&gt;"",DEC2HEX(C1781,2),"")</f>
        <v/>
      </c>
      <c r="I1781" s="1" t="str">
        <f aca="false">IF(D1781&lt;&gt;"",DEC2HEX(D1781,2),"")</f>
        <v/>
      </c>
      <c r="J1781" s="1" t="str">
        <f aca="false">IF(H1781&lt;&gt;"","0x"&amp;I1781&amp;H1781,"")</f>
        <v/>
      </c>
      <c r="L1781" s="1" t="s">
        <v>2809</v>
      </c>
      <c r="M1781" s="1" t="str">
        <f aca="false">IF(J1781&lt;&gt;"",J1781,L1781)</f>
        <v>0.04</v>
      </c>
    </row>
    <row r="1782" customFormat="false" ht="12.75" hidden="false" customHeight="true" outlineLevel="0" collapsed="false">
      <c r="A1782" s="3" t="s">
        <v>3281</v>
      </c>
      <c r="B1782" s="3" t="str">
        <f aca="false">IF(ISNUMBER(SEARCH("%", A1782)),RIGHT(A1782,3),A1782)</f>
        <v>50, 50, FEAROW</v>
      </c>
      <c r="C1782" s="1" t="str">
        <f aca="false" t="array" ref="C1782:C1782">IF(B1781="NEW ROUTE",textsplit(B1782,","),"")</f>
        <v/>
      </c>
      <c r="H1782" s="1" t="str">
        <f aca="false">IF(C1782&lt;&gt;"",DEC2HEX(C1782,2),"")</f>
        <v/>
      </c>
      <c r="I1782" s="1" t="str">
        <f aca="false">IF(D1782&lt;&gt;"",DEC2HEX(D1782,2),"")</f>
        <v/>
      </c>
      <c r="J1782" s="1" t="str">
        <f aca="false">IF(H1782&lt;&gt;"","0x"&amp;I1782&amp;H1782,"")</f>
        <v/>
      </c>
      <c r="L1782" s="1" t="s">
        <v>3281</v>
      </c>
      <c r="M1782" s="1" t="str">
        <f aca="false">IF(J1782&lt;&gt;"",J1782,L1782)</f>
        <v>50, 50, FEAROW</v>
      </c>
    </row>
    <row r="1783" customFormat="false" ht="12.75" hidden="false" customHeight="true" outlineLevel="0" collapsed="false">
      <c r="A1783" s="3" t="s">
        <v>3267</v>
      </c>
      <c r="B1783" s="3" t="str">
        <f aca="false">IF(ISNUMBER(SEARCH("%", A1783)),RIGHT(A1783,3),A1783)</f>
        <v>47, 47, PERSIAN</v>
      </c>
      <c r="C1783" s="1" t="str">
        <f aca="false" t="array" ref="C1783:C1783">IF(B1782="NEW ROUTE",textsplit(B1783,","),"")</f>
        <v/>
      </c>
      <c r="H1783" s="1" t="str">
        <f aca="false">IF(C1783&lt;&gt;"",DEC2HEX(C1783,2),"")</f>
        <v/>
      </c>
      <c r="I1783" s="1" t="str">
        <f aca="false">IF(D1783&lt;&gt;"",DEC2HEX(D1783,2),"")</f>
        <v/>
      </c>
      <c r="J1783" s="1" t="str">
        <f aca="false">IF(H1783&lt;&gt;"","0x"&amp;I1783&amp;H1783,"")</f>
        <v/>
      </c>
      <c r="L1783" s="1" t="s">
        <v>3267</v>
      </c>
      <c r="M1783" s="1" t="str">
        <f aca="false">IF(J1783&lt;&gt;"",J1783,L1783)</f>
        <v>47, 47, PERSIAN</v>
      </c>
    </row>
    <row r="1784" customFormat="false" ht="12.75" hidden="false" customHeight="true" outlineLevel="0" collapsed="false">
      <c r="A1784" s="3" t="s">
        <v>2812</v>
      </c>
      <c r="B1784" s="3" t="str">
        <f aca="false">IF(ISNUMBER(SEARCH("%", A1784)),RIGHT(A1784,3),A1784)</f>
        <v>0.01</v>
      </c>
      <c r="C1784" s="1" t="str">
        <f aca="false" t="array" ref="C1784:C1784">IF(B1783="NEW ROUTE",textsplit(B1784,","),"")</f>
        <v/>
      </c>
      <c r="H1784" s="1" t="str">
        <f aca="false">IF(C1784&lt;&gt;"",DEC2HEX(C1784,2),"")</f>
        <v/>
      </c>
      <c r="I1784" s="1" t="str">
        <f aca="false">IF(D1784&lt;&gt;"",DEC2HEX(D1784,2),"")</f>
        <v/>
      </c>
      <c r="J1784" s="1" t="str">
        <f aca="false">IF(H1784&lt;&gt;"","0x"&amp;I1784&amp;H1784,"")</f>
        <v/>
      </c>
      <c r="L1784" s="1" t="s">
        <v>2812</v>
      </c>
      <c r="M1784" s="1" t="str">
        <f aca="false">IF(J1784&lt;&gt;"",J1784,L1784)</f>
        <v>0.01</v>
      </c>
    </row>
    <row r="1785" customFormat="false" ht="12.75" hidden="false" customHeight="true" outlineLevel="0" collapsed="false">
      <c r="A1785" s="3" t="s">
        <v>3281</v>
      </c>
      <c r="B1785" s="3" t="str">
        <f aca="false">IF(ISNUMBER(SEARCH("%", A1785)),RIGHT(A1785,3),A1785)</f>
        <v>50, 50, FEAROW</v>
      </c>
      <c r="C1785" s="1" t="str">
        <f aca="false" t="array" ref="C1785:C1785">IF(B1784="NEW ROUTE",textsplit(B1785,","),"")</f>
        <v/>
      </c>
      <c r="H1785" s="1" t="str">
        <f aca="false">IF(C1785&lt;&gt;"",DEC2HEX(C1785,2),"")</f>
        <v/>
      </c>
      <c r="I1785" s="1" t="str">
        <f aca="false">IF(D1785&lt;&gt;"",DEC2HEX(D1785,2),"")</f>
        <v/>
      </c>
      <c r="J1785" s="1" t="str">
        <f aca="false">IF(H1785&lt;&gt;"","0x"&amp;I1785&amp;H1785,"")</f>
        <v/>
      </c>
      <c r="L1785" s="1" t="s">
        <v>3281</v>
      </c>
      <c r="M1785" s="1" t="str">
        <f aca="false">IF(J1785&lt;&gt;"",J1785,L1785)</f>
        <v>50, 50, FEAROW</v>
      </c>
    </row>
    <row r="1786" customFormat="false" ht="12.75" hidden="false" customHeight="true" outlineLevel="0" collapsed="false">
      <c r="A1786" s="3" t="s">
        <v>3268</v>
      </c>
      <c r="B1786" s="3" t="str">
        <f aca="false">IF(ISNUMBER(SEARCH("%", A1786)),RIGHT(A1786,3),A1786)</f>
        <v>50, 50, PERSIAN</v>
      </c>
      <c r="C1786" s="1" t="str">
        <f aca="false" t="array" ref="C1786:C1786">IF(B1785="NEW ROUTE",textsplit(B1786,","),"")</f>
        <v/>
      </c>
      <c r="H1786" s="1" t="str">
        <f aca="false">IF(C1786&lt;&gt;"",DEC2HEX(C1786,2),"")</f>
        <v/>
      </c>
      <c r="I1786" s="1" t="str">
        <f aca="false">IF(D1786&lt;&gt;"",DEC2HEX(D1786,2),"")</f>
        <v/>
      </c>
      <c r="J1786" s="1" t="str">
        <f aca="false">IF(H1786&lt;&gt;"","0x"&amp;I1786&amp;H1786,"")</f>
        <v/>
      </c>
      <c r="L1786" s="1" t="s">
        <v>3268</v>
      </c>
      <c r="M1786" s="1" t="str">
        <f aca="false">IF(J1786&lt;&gt;"",J1786,L1786)</f>
        <v>50, 50, PERSIAN</v>
      </c>
    </row>
    <row r="1787" customFormat="false" ht="12.75" hidden="false" customHeight="true" outlineLevel="0" collapsed="false">
      <c r="A1787" s="3" t="s">
        <v>3172</v>
      </c>
      <c r="B1787" s="3" t="str">
        <f aca="false">IF(ISNUMBER(SEARCH("%", A1787)),RIGHT(A1787,3),A1787)</f>
        <v>2, 5, 20, TENTACOOL</v>
      </c>
      <c r="C1787" s="1" t="str">
        <f aca="false" t="array" ref="C1787:C1787">IF(B1786="NEW ROUTE",textsplit(B1787,","),"")</f>
        <v/>
      </c>
      <c r="H1787" s="1" t="str">
        <f aca="false">IF(C1787&lt;&gt;"",DEC2HEX(C1787,2),"")</f>
        <v/>
      </c>
      <c r="I1787" s="1" t="str">
        <f aca="false">IF(D1787&lt;&gt;"",DEC2HEX(D1787,2),"")</f>
        <v/>
      </c>
      <c r="J1787" s="1" t="str">
        <f aca="false">IF(H1787&lt;&gt;"","0x"&amp;I1787&amp;H1787,"")</f>
        <v/>
      </c>
      <c r="L1787" s="1" t="s">
        <v>3172</v>
      </c>
      <c r="M1787" s="1" t="str">
        <f aca="false">IF(J1787&lt;&gt;"",J1787,L1787)</f>
        <v>2, 5, 20, TENTACOOL</v>
      </c>
    </row>
    <row r="1788" customFormat="false" ht="12.75" hidden="false" customHeight="true" outlineLevel="0" collapsed="false">
      <c r="A1788" s="3" t="s">
        <v>3173</v>
      </c>
      <c r="B1788" s="3" t="str">
        <f aca="false">IF(ISNUMBER(SEARCH("%", A1788)),RIGHT(A1788,3),A1788)</f>
        <v>20, 35, TENTACOOL</v>
      </c>
      <c r="C1788" s="1" t="str">
        <f aca="false" t="array" ref="C1788:C1788">IF(B1787="NEW ROUTE",textsplit(B1788,","),"")</f>
        <v/>
      </c>
      <c r="H1788" s="1" t="str">
        <f aca="false">IF(C1788&lt;&gt;"",DEC2HEX(C1788,2),"")</f>
        <v/>
      </c>
      <c r="I1788" s="1" t="str">
        <f aca="false">IF(D1788&lt;&gt;"",DEC2HEX(D1788,2),"")</f>
        <v/>
      </c>
      <c r="J1788" s="1" t="str">
        <f aca="false">IF(H1788&lt;&gt;"","0x"&amp;I1788&amp;H1788,"")</f>
        <v/>
      </c>
      <c r="L1788" s="1" t="s">
        <v>3173</v>
      </c>
      <c r="M1788" s="1" t="str">
        <f aca="false">IF(J1788&lt;&gt;"",J1788,L1788)</f>
        <v>20, 35, TENTACOOL</v>
      </c>
    </row>
    <row r="1789" customFormat="false" ht="12.75" hidden="false" customHeight="true" outlineLevel="0" collapsed="false">
      <c r="A1789" s="3" t="s">
        <v>2844</v>
      </c>
      <c r="B1789" s="3" t="str">
        <f aca="false">IF(ISNUMBER(SEARCH("%", A1789)),RIGHT(A1789,3),A1789)</f>
        <v>35, 40, TENTACOOL</v>
      </c>
      <c r="C1789" s="1" t="str">
        <f aca="false" t="array" ref="C1789:C1789">IF(B1788="NEW ROUTE",textsplit(B1789,","),"")</f>
        <v/>
      </c>
      <c r="H1789" s="1" t="str">
        <f aca="false">IF(C1789&lt;&gt;"",DEC2HEX(C1789,2),"")</f>
        <v/>
      </c>
      <c r="I1789" s="1" t="str">
        <f aca="false">IF(D1789&lt;&gt;"",DEC2HEX(D1789,2),"")</f>
        <v/>
      </c>
      <c r="J1789" s="1" t="str">
        <f aca="false">IF(H1789&lt;&gt;"","0x"&amp;I1789&amp;H1789,"")</f>
        <v/>
      </c>
      <c r="L1789" s="1" t="s">
        <v>2844</v>
      </c>
      <c r="M1789" s="1" t="str">
        <f aca="false">IF(J1789&lt;&gt;"",J1789,L1789)</f>
        <v>35, 40, TENTACOOL</v>
      </c>
    </row>
    <row r="1790" customFormat="false" ht="12.75" hidden="false" customHeight="true" outlineLevel="0" collapsed="false">
      <c r="A1790" s="3" t="s">
        <v>3231</v>
      </c>
      <c r="B1790" s="3" t="str">
        <f aca="false">IF(ISNUMBER(SEARCH("%", A1790)),RIGHT(A1790,3),A1790)</f>
        <v>35, 40, TENTACRUEL</v>
      </c>
      <c r="C1790" s="1" t="str">
        <f aca="false" t="array" ref="C1790:C1790">IF(B1789="NEW ROUTE",textsplit(B1790,","),"")</f>
        <v/>
      </c>
      <c r="H1790" s="1" t="str">
        <f aca="false">IF(C1790&lt;&gt;"",DEC2HEX(C1790,2),"")</f>
        <v/>
      </c>
      <c r="I1790" s="1" t="str">
        <f aca="false">IF(D1790&lt;&gt;"",DEC2HEX(D1790,2),"")</f>
        <v/>
      </c>
      <c r="J1790" s="1" t="str">
        <f aca="false">IF(H1790&lt;&gt;"","0x"&amp;I1790&amp;H1790,"")</f>
        <v/>
      </c>
      <c r="L1790" s="1" t="s">
        <v>3231</v>
      </c>
      <c r="M1790" s="1" t="str">
        <f aca="false">IF(J1790&lt;&gt;"",J1790,L1790)</f>
        <v>35, 40, TENTACRUEL</v>
      </c>
    </row>
    <row r="1791" customFormat="false" ht="12.75" hidden="false" customHeight="true" outlineLevel="0" collapsed="false">
      <c r="A1791" s="3" t="s">
        <v>3231</v>
      </c>
      <c r="B1791" s="3" t="str">
        <f aca="false">IF(ISNUMBER(SEARCH("%", A1791)),RIGHT(A1791,3),A1791)</f>
        <v>35, 40, TENTACRUEL</v>
      </c>
      <c r="C1791" s="1" t="str">
        <f aca="false" t="array" ref="C1791:C1791">IF(B1790="NEW ROUTE",textsplit(B1791,","),"")</f>
        <v/>
      </c>
      <c r="H1791" s="1" t="str">
        <f aca="false">IF(C1791&lt;&gt;"",DEC2HEX(C1791,2),"")</f>
        <v/>
      </c>
      <c r="I1791" s="1" t="str">
        <f aca="false">IF(D1791&lt;&gt;"",DEC2HEX(D1791,2),"")</f>
        <v/>
      </c>
      <c r="J1791" s="1" t="str">
        <f aca="false">IF(H1791&lt;&gt;"","0x"&amp;I1791&amp;H1791,"")</f>
        <v/>
      </c>
      <c r="L1791" s="1" t="s">
        <v>3231</v>
      </c>
      <c r="M1791" s="1" t="str">
        <f aca="false">IF(J1791&lt;&gt;"",J1791,L1791)</f>
        <v>35, 40, TENTACRUEL</v>
      </c>
    </row>
    <row r="1792" customFormat="false" ht="12.75" hidden="false" customHeight="true" outlineLevel="0" collapsed="false">
      <c r="A1792" s="3" t="s">
        <v>2925</v>
      </c>
      <c r="B1792" s="3" t="str">
        <f aca="false">IF(ISNUMBER(SEARCH("%", A1792)),RIGHT(A1792,3),A1792)</f>
        <v>20, old rod:</v>
      </c>
      <c r="C1792" s="1" t="str">
        <f aca="false" t="array" ref="C1792:C1792">IF(B1791="NEW ROUTE",textsplit(B1792,","),"")</f>
        <v/>
      </c>
      <c r="H1792" s="1" t="str">
        <f aca="false">IF(C1792&lt;&gt;"",DEC2HEX(C1792,2),"")</f>
        <v/>
      </c>
      <c r="I1792" s="1" t="str">
        <f aca="false">IF(D1792&lt;&gt;"",DEC2HEX(D1792,2),"")</f>
        <v/>
      </c>
      <c r="J1792" s="1" t="str">
        <f aca="false">IF(H1792&lt;&gt;"","0x"&amp;I1792&amp;H1792,"")</f>
        <v/>
      </c>
      <c r="L1792" s="1" t="s">
        <v>2925</v>
      </c>
      <c r="M1792" s="1" t="str">
        <f aca="false">IF(J1792&lt;&gt;"",J1792,L1792)</f>
        <v>20, old rod:</v>
      </c>
    </row>
    <row r="1793" customFormat="false" ht="12.75" hidden="false" customHeight="true" outlineLevel="0" collapsed="false">
      <c r="A1793" s="3" t="s">
        <v>1266</v>
      </c>
      <c r="B1793" s="3" t="str">
        <f aca="false">IF(ISNUMBER(SEARCH("%", A1793)),RIGHT(A1793,3),A1793)</f>
        <v>5, 5, MAGIKARP</v>
      </c>
      <c r="C1793" s="1" t="str">
        <f aca="false" t="array" ref="C1793:C1793">IF(B1792="NEW ROUTE",textsplit(B1793,","),"")</f>
        <v/>
      </c>
      <c r="H1793" s="1" t="str">
        <f aca="false">IF(C1793&lt;&gt;"",DEC2HEX(C1793,2),"")</f>
        <v/>
      </c>
      <c r="I1793" s="1" t="str">
        <f aca="false">IF(D1793&lt;&gt;"",DEC2HEX(D1793,2),"")</f>
        <v/>
      </c>
      <c r="J1793" s="1" t="str">
        <f aca="false">IF(H1793&lt;&gt;"","0x"&amp;I1793&amp;H1793,"")</f>
        <v/>
      </c>
      <c r="L1793" s="1" t="s">
        <v>1266</v>
      </c>
      <c r="M1793" s="1" t="str">
        <f aca="false">IF(J1793&lt;&gt;"",J1793,L1793)</f>
        <v>5, 5, MAGIKARP</v>
      </c>
    </row>
    <row r="1794" customFormat="false" ht="12.75" hidden="false" customHeight="true" outlineLevel="0" collapsed="false">
      <c r="A1794" s="3" t="s">
        <v>1266</v>
      </c>
      <c r="B1794" s="3" t="str">
        <f aca="false">IF(ISNUMBER(SEARCH("%", A1794)),RIGHT(A1794,3),A1794)</f>
        <v>5, 5, MAGIKARP</v>
      </c>
      <c r="C1794" s="1" t="str">
        <f aca="false" t="array" ref="C1794:C1794">IF(B1793="NEW ROUTE",textsplit(B1794,","),"")</f>
        <v/>
      </c>
      <c r="H1794" s="1" t="str">
        <f aca="false">IF(C1794&lt;&gt;"",DEC2HEX(C1794,2),"")</f>
        <v/>
      </c>
      <c r="I1794" s="1" t="str">
        <f aca="false">IF(D1794&lt;&gt;"",DEC2HEX(D1794,2),"")</f>
        <v/>
      </c>
      <c r="J1794" s="1" t="str">
        <f aca="false">IF(H1794&lt;&gt;"","0x"&amp;I1794&amp;H1794,"")</f>
        <v/>
      </c>
      <c r="L1794" s="1" t="s">
        <v>1266</v>
      </c>
      <c r="M1794" s="1" t="str">
        <f aca="false">IF(J1794&lt;&gt;"",J1794,L1794)</f>
        <v>5, 5, MAGIKARP</v>
      </c>
    </row>
    <row r="1795" customFormat="false" ht="12.75" hidden="false" customHeight="true" outlineLevel="0" collapsed="false">
      <c r="A1795" s="3" t="s">
        <v>2846</v>
      </c>
      <c r="B1795" s="3" t="str">
        <f aca="false">IF(ISNUMBER(SEARCH("%", A1795)),RIGHT(A1795,3),A1795)</f>
        <v>good rod:</v>
      </c>
      <c r="C1795" s="1" t="str">
        <f aca="false" t="array" ref="C1795:C1795">IF(B1794="NEW ROUTE",textsplit(B1795,","),"")</f>
        <v/>
      </c>
      <c r="H1795" s="1" t="str">
        <f aca="false">IF(C1795&lt;&gt;"",DEC2HEX(C1795,2),"")</f>
        <v/>
      </c>
      <c r="I1795" s="1" t="str">
        <f aca="false">IF(D1795&lt;&gt;"",DEC2HEX(D1795,2),"")</f>
        <v/>
      </c>
      <c r="J1795" s="1" t="str">
        <f aca="false">IF(H1795&lt;&gt;"","0x"&amp;I1795&amp;H1795,"")</f>
        <v/>
      </c>
      <c r="L1795" s="1" t="s">
        <v>2846</v>
      </c>
      <c r="M1795" s="1" t="str">
        <f aca="false">IF(J1795&lt;&gt;"",J1795,L1795)</f>
        <v>good rod:</v>
      </c>
    </row>
    <row r="1796" customFormat="false" ht="12.75" hidden="false" customHeight="true" outlineLevel="0" collapsed="false">
      <c r="A1796" s="3" t="s">
        <v>2847</v>
      </c>
      <c r="B1796" s="3" t="str">
        <f aca="false">IF(ISNUMBER(SEARCH("%", A1796)),RIGHT(A1796,3),A1796)</f>
        <v>5, 15, KRABBY</v>
      </c>
      <c r="C1796" s="1" t="str">
        <f aca="false" t="array" ref="C1796:C1796">IF(B1795="NEW ROUTE",textsplit(B1796,","),"")</f>
        <v/>
      </c>
      <c r="H1796" s="1" t="str">
        <f aca="false">IF(C1796&lt;&gt;"",DEC2HEX(C1796,2),"")</f>
        <v/>
      </c>
      <c r="I1796" s="1" t="str">
        <f aca="false">IF(D1796&lt;&gt;"",DEC2HEX(D1796,2),"")</f>
        <v/>
      </c>
      <c r="J1796" s="1" t="str">
        <f aca="false">IF(H1796&lt;&gt;"","0x"&amp;I1796&amp;H1796,"")</f>
        <v/>
      </c>
      <c r="L1796" s="1" t="s">
        <v>2847</v>
      </c>
      <c r="M1796" s="1" t="str">
        <f aca="false">IF(J1796&lt;&gt;"",J1796,L1796)</f>
        <v>5, 15, KRABBY</v>
      </c>
    </row>
    <row r="1797" customFormat="false" ht="12.75" hidden="false" customHeight="true" outlineLevel="0" collapsed="false">
      <c r="A1797" s="3" t="s">
        <v>2848</v>
      </c>
      <c r="B1797" s="3" t="str">
        <f aca="false">IF(ISNUMBER(SEARCH("%", A1797)),RIGHT(A1797,3),A1797)</f>
        <v>5, 15, MAGIKARP</v>
      </c>
      <c r="C1797" s="1" t="str">
        <f aca="false" t="array" ref="C1797:C1797">IF(B1796="NEW ROUTE",textsplit(B1797,","),"")</f>
        <v/>
      </c>
      <c r="H1797" s="1" t="str">
        <f aca="false">IF(C1797&lt;&gt;"",DEC2HEX(C1797,2),"")</f>
        <v/>
      </c>
      <c r="I1797" s="1" t="str">
        <f aca="false">IF(D1797&lt;&gt;"",DEC2HEX(D1797,2),"")</f>
        <v/>
      </c>
      <c r="J1797" s="1" t="str">
        <f aca="false">IF(H1797&lt;&gt;"","0x"&amp;I1797&amp;H1797,"")</f>
        <v/>
      </c>
      <c r="L1797" s="1" t="s">
        <v>2848</v>
      </c>
      <c r="M1797" s="1" t="str">
        <f aca="false">IF(J1797&lt;&gt;"",J1797,L1797)</f>
        <v>5, 15, MAGIKARP</v>
      </c>
    </row>
    <row r="1798" customFormat="false" ht="12.75" hidden="false" customHeight="true" outlineLevel="0" collapsed="false">
      <c r="A1798" s="3" t="s">
        <v>2847</v>
      </c>
      <c r="B1798" s="3" t="str">
        <f aca="false">IF(ISNUMBER(SEARCH("%", A1798)),RIGHT(A1798,3),A1798)</f>
        <v>5, 15, KRABBY</v>
      </c>
      <c r="C1798" s="1" t="str">
        <f aca="false" t="array" ref="C1798:C1798">IF(B1797="NEW ROUTE",textsplit(B1798,","),"")</f>
        <v/>
      </c>
      <c r="H1798" s="1" t="str">
        <f aca="false">IF(C1798&lt;&gt;"",DEC2HEX(C1798,2),"")</f>
        <v/>
      </c>
      <c r="I1798" s="1" t="str">
        <f aca="false">IF(D1798&lt;&gt;"",DEC2HEX(D1798,2),"")</f>
        <v/>
      </c>
      <c r="J1798" s="1" t="str">
        <f aca="false">IF(H1798&lt;&gt;"","0x"&amp;I1798&amp;H1798,"")</f>
        <v/>
      </c>
      <c r="L1798" s="1" t="s">
        <v>2847</v>
      </c>
      <c r="M1798" s="1" t="str">
        <f aca="false">IF(J1798&lt;&gt;"",J1798,L1798)</f>
        <v>5, 15, KRABBY</v>
      </c>
    </row>
    <row r="1799" customFormat="false" ht="12.75" hidden="false" customHeight="true" outlineLevel="0" collapsed="false">
      <c r="A1799" s="3" t="s">
        <v>2850</v>
      </c>
      <c r="B1799" s="3" t="str">
        <f aca="false">IF(ISNUMBER(SEARCH("%", A1799)),RIGHT(A1799,3),A1799)</f>
        <v>super rod:</v>
      </c>
      <c r="C1799" s="1" t="str">
        <f aca="false" t="array" ref="C1799:C1799">IF(B1798="NEW ROUTE",textsplit(B1799,","),"")</f>
        <v/>
      </c>
      <c r="H1799" s="1" t="str">
        <f aca="false">IF(C1799&lt;&gt;"",DEC2HEX(C1799,2),"")</f>
        <v/>
      </c>
      <c r="I1799" s="1" t="str">
        <f aca="false">IF(D1799&lt;&gt;"",DEC2HEX(D1799,2),"")</f>
        <v/>
      </c>
      <c r="J1799" s="1" t="str">
        <f aca="false">IF(H1799&lt;&gt;"","0x"&amp;I1799&amp;H1799,"")</f>
        <v/>
      </c>
      <c r="L1799" s="1" t="s">
        <v>2850</v>
      </c>
      <c r="M1799" s="1" t="str">
        <f aca="false">IF(J1799&lt;&gt;"",J1799,L1799)</f>
        <v>super rod:</v>
      </c>
    </row>
    <row r="1800" customFormat="false" ht="12.75" hidden="false" customHeight="true" outlineLevel="0" collapsed="false">
      <c r="A1800" s="3" t="s">
        <v>2851</v>
      </c>
      <c r="B1800" s="3" t="str">
        <f aca="false">IF(ISNUMBER(SEARCH("%", A1800)),RIGHT(A1800,3),A1800)</f>
        <v>15, 25, KRABBY</v>
      </c>
      <c r="C1800" s="1" t="str">
        <f aca="false" t="array" ref="C1800:C1800">IF(B1799="NEW ROUTE",textsplit(B1800,","),"")</f>
        <v/>
      </c>
      <c r="H1800" s="1" t="str">
        <f aca="false">IF(C1800&lt;&gt;"",DEC2HEX(C1800,2),"")</f>
        <v/>
      </c>
      <c r="I1800" s="1" t="str">
        <f aca="false">IF(D1800&lt;&gt;"",DEC2HEX(D1800,2),"")</f>
        <v/>
      </c>
      <c r="J1800" s="1" t="str">
        <f aca="false">IF(H1800&lt;&gt;"","0x"&amp;I1800&amp;H1800,"")</f>
        <v/>
      </c>
      <c r="L1800" s="1" t="s">
        <v>2851</v>
      </c>
      <c r="M1800" s="1" t="str">
        <f aca="false">IF(J1800&lt;&gt;"",J1800,L1800)</f>
        <v>15, 25, KRABBY</v>
      </c>
    </row>
    <row r="1801" customFormat="false" ht="12.75" hidden="false" customHeight="true" outlineLevel="0" collapsed="false">
      <c r="A1801" s="3" t="s">
        <v>3258</v>
      </c>
      <c r="B1801" s="3" t="str">
        <f aca="false">IF(ISNUMBER(SEARCH("%", A1801)),RIGHT(A1801,3),A1801)</f>
        <v>15, 25, REMORAID</v>
      </c>
      <c r="C1801" s="1" t="str">
        <f aca="false" t="array" ref="C1801:C1801">IF(B1800="NEW ROUTE",textsplit(B1801,","),"")</f>
        <v/>
      </c>
      <c r="H1801" s="1" t="str">
        <f aca="false">IF(C1801&lt;&gt;"",DEC2HEX(C1801,2),"")</f>
        <v/>
      </c>
      <c r="I1801" s="1" t="str">
        <f aca="false">IF(D1801&lt;&gt;"",DEC2HEX(D1801,2),"")</f>
        <v/>
      </c>
      <c r="J1801" s="1" t="str">
        <f aca="false">IF(H1801&lt;&gt;"","0x"&amp;I1801&amp;H1801,"")</f>
        <v/>
      </c>
      <c r="L1801" s="1" t="s">
        <v>3258</v>
      </c>
      <c r="M1801" s="1" t="str">
        <f aca="false">IF(J1801&lt;&gt;"",J1801,L1801)</f>
        <v>15, 25, REMORAID</v>
      </c>
    </row>
    <row r="1802" customFormat="false" ht="12.75" hidden="false" customHeight="true" outlineLevel="0" collapsed="false">
      <c r="A1802" s="3" t="s">
        <v>2853</v>
      </c>
      <c r="B1802" s="3" t="str">
        <f aca="false">IF(ISNUMBER(SEARCH("%", A1802)),RIGHT(A1802,3),A1802)</f>
        <v>15, 25, GYARADOS</v>
      </c>
      <c r="C1802" s="1" t="str">
        <f aca="false" t="array" ref="C1802:C1802">IF(B1801="NEW ROUTE",textsplit(B1802,","),"")</f>
        <v/>
      </c>
      <c r="H1802" s="1" t="str">
        <f aca="false">IF(C1802&lt;&gt;"",DEC2HEX(C1802,2),"")</f>
        <v/>
      </c>
      <c r="I1802" s="1" t="str">
        <f aca="false">IF(D1802&lt;&gt;"",DEC2HEX(D1802,2),"")</f>
        <v/>
      </c>
      <c r="J1802" s="1" t="str">
        <f aca="false">IF(H1802&lt;&gt;"","0x"&amp;I1802&amp;H1802,"")</f>
        <v/>
      </c>
      <c r="L1802" s="1" t="s">
        <v>2853</v>
      </c>
      <c r="M1802" s="1" t="str">
        <f aca="false">IF(J1802&lt;&gt;"",J1802,L1802)</f>
        <v>15, 25, GYARADOS</v>
      </c>
    </row>
    <row r="1803" customFormat="false" ht="12.75" hidden="false" customHeight="true" outlineLevel="0" collapsed="false">
      <c r="A1803" s="3" t="s">
        <v>3177</v>
      </c>
      <c r="B1803" s="3" t="str">
        <f aca="false">IF(ISNUMBER(SEARCH("%", A1803)),RIGHT(A1803,3),A1803)</f>
        <v>25, 35, KINGLER</v>
      </c>
      <c r="C1803" s="1" t="str">
        <f aca="false" t="array" ref="C1803:C1803">IF(B1802="NEW ROUTE",textsplit(B1803,","),"")</f>
        <v/>
      </c>
      <c r="H1803" s="1" t="str">
        <f aca="false">IF(C1803&lt;&gt;"",DEC2HEX(C1803,2),"")</f>
        <v/>
      </c>
      <c r="I1803" s="1" t="str">
        <f aca="false">IF(D1803&lt;&gt;"",DEC2HEX(D1803,2),"")</f>
        <v/>
      </c>
      <c r="J1803" s="1" t="str">
        <f aca="false">IF(H1803&lt;&gt;"","0x"&amp;I1803&amp;H1803,"")</f>
        <v/>
      </c>
      <c r="L1803" s="1" t="s">
        <v>3177</v>
      </c>
      <c r="M1803" s="1" t="str">
        <f aca="false">IF(J1803&lt;&gt;"",J1803,L1803)</f>
        <v>25, 35, KINGLER</v>
      </c>
    </row>
    <row r="1804" customFormat="false" ht="12.75" hidden="false" customHeight="true" outlineLevel="0" collapsed="false">
      <c r="A1804" s="3" t="s">
        <v>2855</v>
      </c>
      <c r="B1804" s="3" t="str">
        <f aca="false">IF(ISNUMBER(SEARCH("%", A1804)),RIGHT(A1804,3),A1804)</f>
        <v>25, 35, SLOWPOKE</v>
      </c>
      <c r="C1804" s="1" t="str">
        <f aca="false" t="array" ref="C1804:C1804">IF(B1803="NEW ROUTE",textsplit(B1804,","),"")</f>
        <v/>
      </c>
      <c r="H1804" s="1" t="str">
        <f aca="false">IF(C1804&lt;&gt;"",DEC2HEX(C1804,2),"")</f>
        <v/>
      </c>
      <c r="I1804" s="1" t="str">
        <f aca="false">IF(D1804&lt;&gt;"",DEC2HEX(D1804,2),"")</f>
        <v/>
      </c>
      <c r="J1804" s="1" t="str">
        <f aca="false">IF(H1804&lt;&gt;"","0x"&amp;I1804&amp;H1804,"")</f>
        <v/>
      </c>
      <c r="L1804" s="1" t="s">
        <v>2855</v>
      </c>
      <c r="M1804" s="1" t="str">
        <f aca="false">IF(J1804&lt;&gt;"",J1804,L1804)</f>
        <v>25, 35, SLOWPOKE</v>
      </c>
    </row>
    <row r="1805" customFormat="false" ht="12.75" hidden="false" customHeight="true" outlineLevel="0" collapsed="false">
      <c r="A1805" s="3" t="s">
        <v>2536</v>
      </c>
      <c r="B1805" s="3" t="str">
        <f aca="false">IF(ISNUMBER(SEARCH("%", A1805)),RIGHT(A1805,3),A1805)</f>
        <v>NEW ROUTE</v>
      </c>
      <c r="C1805" s="1" t="str">
        <f aca="false" t="array" ref="C1805:C1805">IF(B1804="NEW ROUTE",textsplit(B1805,","),"")</f>
        <v/>
      </c>
      <c r="H1805" s="1" t="str">
        <f aca="false">IF(C1805&lt;&gt;"",DEC2HEX(C1805,2),"")</f>
        <v/>
      </c>
      <c r="I1805" s="1" t="str">
        <f aca="false">IF(D1805&lt;&gt;"",DEC2HEX(D1805,2),"")</f>
        <v/>
      </c>
      <c r="J1805" s="1" t="str">
        <f aca="false">IF(H1805&lt;&gt;"","0x"&amp;I1805&amp;H1805,"")</f>
        <v/>
      </c>
      <c r="L1805" s="1" t="s">
        <v>2536</v>
      </c>
      <c r="M1805" s="1" t="str">
        <f aca="false">IF(J1805&lt;&gt;"",J1805,L1805)</f>
        <v>NEW ROUTE</v>
      </c>
    </row>
    <row r="1806" customFormat="false" ht="12.75" hidden="false" customHeight="true" outlineLevel="0" collapsed="false">
      <c r="A1806" s="3" t="s">
        <v>3282</v>
      </c>
      <c r="B1806" s="3" t="str">
        <f aca="false">IF(ISNUMBER(SEARCH("%", A1806)),RIGHT(A1806,3),A1806)</f>
        <v>3, 61, 0,</v>
      </c>
      <c r="C1806" s="1" t="e">
        <f aca="false" t="array" ref="C1806:C1806">IF(B1805="NEW ROUTE",textsplit(B1806,","),"")</f>
        <v>#NAME?</v>
      </c>
      <c r="H1806" s="1" t="e">
        <f aca="false">IF(C1806&lt;&gt;"",DEC2HEX(C1806,2),"")</f>
        <v>#NAME?</v>
      </c>
      <c r="I1806" s="1" t="str">
        <f aca="false">IF(D1806&lt;&gt;"",DEC2HEX(D1806,2),"")</f>
        <v/>
      </c>
      <c r="J1806" s="1" t="e">
        <f aca="false">IF(H1806&lt;&gt;"","0x"&amp;I1806&amp;H1806,"")</f>
        <v>#NAME?</v>
      </c>
      <c r="L1806" s="1" t="s">
        <v>3282</v>
      </c>
      <c r="M1806" s="1" t="e">
        <f aca="false">IF(J1806&lt;&gt;"",J1806,L1806)</f>
        <v>#NAME?</v>
      </c>
    </row>
    <row r="1807" customFormat="false" ht="12.75" hidden="false" customHeight="true" outlineLevel="0" collapsed="false">
      <c r="A1807" s="3" t="s">
        <v>2908</v>
      </c>
      <c r="B1807" s="3" t="str">
        <f aca="false">IF(ISNUMBER(SEARCH("%", A1807)),RIGHT(A1807,3),A1807)</f>
        <v>20%</v>
      </c>
      <c r="C1807" s="1" t="str">
        <f aca="false" t="array" ref="C1807:C1807">IF(B1806="NEW ROUTE",textsplit(B1807,","),"")</f>
        <v/>
      </c>
      <c r="H1807" s="1" t="str">
        <f aca="false">IF(C1807&lt;&gt;"",DEC2HEX(C1807,2),"")</f>
        <v/>
      </c>
      <c r="I1807" s="1" t="str">
        <f aca="false">IF(D1807&lt;&gt;"",DEC2HEX(D1807,2),"")</f>
        <v/>
      </c>
      <c r="J1807" s="1" t="str">
        <f aca="false">IF(H1807&lt;&gt;"","0x"&amp;I1807&amp;H1807,"")</f>
        <v/>
      </c>
      <c r="L1807" s="1" t="s">
        <v>2799</v>
      </c>
      <c r="M1807" s="1" t="str">
        <f aca="false">IF(J1807&lt;&gt;"",J1807,L1807)</f>
        <v>20%</v>
      </c>
    </row>
    <row r="1808" customFormat="false" ht="12.75" hidden="false" customHeight="true" outlineLevel="0" collapsed="false">
      <c r="A1808" s="3" t="s">
        <v>1743</v>
      </c>
      <c r="B1808" s="3" t="str">
        <f aca="false">IF(ISNUMBER(SEARCH("%", A1808)),RIGHT(A1808,3),A1808)</f>
        <v>15, 15, NATU</v>
      </c>
      <c r="C1808" s="1" t="str">
        <f aca="false" t="array" ref="C1808:C1808">IF(B1807="NEW ROUTE",textsplit(B1808,","),"")</f>
        <v/>
      </c>
      <c r="H1808" s="1" t="str">
        <f aca="false">IF(C1808&lt;&gt;"",DEC2HEX(C1808,2),"")</f>
        <v/>
      </c>
      <c r="I1808" s="1" t="str">
        <f aca="false">IF(D1808&lt;&gt;"",DEC2HEX(D1808,2),"")</f>
        <v/>
      </c>
      <c r="J1808" s="1" t="str">
        <f aca="false">IF(H1808&lt;&gt;"","0x"&amp;I1808&amp;H1808,"")</f>
        <v/>
      </c>
      <c r="L1808" s="1" t="s">
        <v>1743</v>
      </c>
      <c r="M1808" s="1" t="str">
        <f aca="false">IF(J1808&lt;&gt;"",J1808,L1808)</f>
        <v>15, 15, NATU</v>
      </c>
    </row>
    <row r="1809" customFormat="false" ht="12.75" hidden="false" customHeight="true" outlineLevel="0" collapsed="false">
      <c r="A1809" s="3" t="s">
        <v>1736</v>
      </c>
      <c r="B1809" s="3" t="str">
        <f aca="false">IF(ISNUMBER(SEARCH("%", A1809)),RIGHT(A1809,3),A1809)</f>
        <v>44, 44, SPEAROW</v>
      </c>
      <c r="C1809" s="1" t="str">
        <f aca="false" t="array" ref="C1809:C1809">IF(B1808="NEW ROUTE",textsplit(B1809,","),"")</f>
        <v/>
      </c>
      <c r="H1809" s="1" t="str">
        <f aca="false">IF(C1809&lt;&gt;"",DEC2HEX(C1809,2),"")</f>
        <v/>
      </c>
      <c r="I1809" s="1" t="str">
        <f aca="false">IF(D1809&lt;&gt;"",DEC2HEX(D1809,2),"")</f>
        <v/>
      </c>
      <c r="J1809" s="1" t="str">
        <f aca="false">IF(H1809&lt;&gt;"","0x"&amp;I1809&amp;H1809,"")</f>
        <v/>
      </c>
      <c r="L1809" s="1" t="s">
        <v>1736</v>
      </c>
      <c r="M1809" s="1" t="str">
        <f aca="false">IF(J1809&lt;&gt;"",J1809,L1809)</f>
        <v>44, 44, SPEAROW</v>
      </c>
    </row>
    <row r="1810" customFormat="false" ht="12.75" hidden="false" customHeight="true" outlineLevel="0" collapsed="false">
      <c r="A1810" s="3" t="s">
        <v>2801</v>
      </c>
      <c r="B1810" s="3" t="str">
        <f aca="false">IF(ISNUMBER(SEARCH("%", A1810)),RIGHT(A1810,3),A1810)</f>
        <v>0.1</v>
      </c>
      <c r="C1810" s="1" t="str">
        <f aca="false" t="array" ref="C1810:C1810">IF(B1809="NEW ROUTE",textsplit(B1810,","),"")</f>
        <v/>
      </c>
      <c r="H1810" s="1" t="str">
        <f aca="false">IF(C1810&lt;&gt;"",DEC2HEX(C1810,2),"")</f>
        <v/>
      </c>
      <c r="I1810" s="1" t="str">
        <f aca="false">IF(D1810&lt;&gt;"",DEC2HEX(D1810,2),"")</f>
        <v/>
      </c>
      <c r="J1810" s="1" t="str">
        <f aca="false">IF(H1810&lt;&gt;"","0x"&amp;I1810&amp;H1810,"")</f>
        <v/>
      </c>
      <c r="L1810" s="1" t="s">
        <v>2801</v>
      </c>
      <c r="M1810" s="1" t="str">
        <f aca="false">IF(J1810&lt;&gt;"",J1810,L1810)</f>
        <v>0.1</v>
      </c>
    </row>
    <row r="1811" customFormat="false" ht="12.75" hidden="false" customHeight="true" outlineLevel="0" collapsed="false">
      <c r="A1811" s="3" t="s">
        <v>3283</v>
      </c>
      <c r="B1811" s="3" t="str">
        <f aca="false">IF(ISNUMBER(SEARCH("%", A1811)),RIGHT(A1811,3),A1811)</f>
        <v>18, 18, YANMA</v>
      </c>
      <c r="C1811" s="1" t="str">
        <f aca="false" t="array" ref="C1811:C1811">IF(B1810="NEW ROUTE",textsplit(B1811,","),"")</f>
        <v/>
      </c>
      <c r="H1811" s="1" t="str">
        <f aca="false">IF(C1811&lt;&gt;"",DEC2HEX(C1811,2),"")</f>
        <v/>
      </c>
      <c r="I1811" s="1" t="str">
        <f aca="false">IF(D1811&lt;&gt;"",DEC2HEX(D1811,2),"")</f>
        <v/>
      </c>
      <c r="J1811" s="1" t="str">
        <f aca="false">IF(H1811&lt;&gt;"","0x"&amp;I1811&amp;H1811,"")</f>
        <v/>
      </c>
      <c r="L1811" s="1" t="s">
        <v>3283</v>
      </c>
      <c r="M1811" s="1" t="str">
        <f aca="false">IF(J1811&lt;&gt;"",J1811,L1811)</f>
        <v>18, 18, YANMA</v>
      </c>
    </row>
    <row r="1812" customFormat="false" ht="12.75" hidden="false" customHeight="true" outlineLevel="0" collapsed="false">
      <c r="A1812" s="3" t="s">
        <v>3284</v>
      </c>
      <c r="B1812" s="3" t="str">
        <f aca="false">IF(ISNUMBER(SEARCH("%", A1812)),RIGHT(A1812,3),A1812)</f>
        <v>15, 15, MARILL</v>
      </c>
      <c r="C1812" s="1" t="str">
        <f aca="false" t="array" ref="C1812:C1812">IF(B1811="NEW ROUTE",textsplit(B1812,","),"")</f>
        <v/>
      </c>
      <c r="H1812" s="1" t="str">
        <f aca="false">IF(C1812&lt;&gt;"",DEC2HEX(C1812,2),"")</f>
        <v/>
      </c>
      <c r="I1812" s="1" t="str">
        <f aca="false">IF(D1812&lt;&gt;"",DEC2HEX(D1812,2),"")</f>
        <v/>
      </c>
      <c r="J1812" s="1" t="str">
        <f aca="false">IF(H1812&lt;&gt;"","0x"&amp;I1812&amp;H1812,"")</f>
        <v/>
      </c>
      <c r="L1812" s="1" t="s">
        <v>3284</v>
      </c>
      <c r="M1812" s="1" t="str">
        <f aca="false">IF(J1812&lt;&gt;"",J1812,L1812)</f>
        <v>15, 15, MARILL</v>
      </c>
    </row>
    <row r="1813" customFormat="false" ht="12.75" hidden="false" customHeight="true" outlineLevel="0" collapsed="false">
      <c r="A1813" s="3" t="s">
        <v>3285</v>
      </c>
      <c r="B1813" s="3" t="str">
        <f aca="false">IF(ISNUMBER(SEARCH("%", A1813)),RIGHT(A1813,3),A1813)</f>
        <v>49, 49, FEAROW</v>
      </c>
      <c r="C1813" s="1" t="str">
        <f aca="false" t="array" ref="C1813:C1813">IF(B1812="NEW ROUTE",textsplit(B1813,","),"")</f>
        <v/>
      </c>
      <c r="H1813" s="1" t="str">
        <f aca="false">IF(C1813&lt;&gt;"",DEC2HEX(C1813,2),"")</f>
        <v/>
      </c>
      <c r="I1813" s="1" t="str">
        <f aca="false">IF(D1813&lt;&gt;"",DEC2HEX(D1813,2),"")</f>
        <v/>
      </c>
      <c r="J1813" s="1" t="str">
        <f aca="false">IF(H1813&lt;&gt;"","0x"&amp;I1813&amp;H1813,"")</f>
        <v/>
      </c>
      <c r="L1813" s="1" t="s">
        <v>3285</v>
      </c>
      <c r="M1813" s="1" t="str">
        <f aca="false">IF(J1813&lt;&gt;"",J1813,L1813)</f>
        <v>49, 49, FEAROW</v>
      </c>
    </row>
    <row r="1814" customFormat="false" ht="12.75" hidden="false" customHeight="true" outlineLevel="0" collapsed="false">
      <c r="A1814" s="3" t="s">
        <v>3286</v>
      </c>
      <c r="B1814" s="3" t="str">
        <f aca="false">IF(ISNUMBER(SEARCH("%", A1814)),RIGHT(A1814,3),A1814)</f>
        <v>43, 43, MEOWTH</v>
      </c>
      <c r="C1814" s="1" t="str">
        <f aca="false" t="array" ref="C1814:C1814">IF(B1813="NEW ROUTE",textsplit(B1814,","),"")</f>
        <v/>
      </c>
      <c r="H1814" s="1" t="str">
        <f aca="false">IF(C1814&lt;&gt;"",DEC2HEX(C1814,2),"")</f>
        <v/>
      </c>
      <c r="I1814" s="1" t="str">
        <f aca="false">IF(D1814&lt;&gt;"",DEC2HEX(D1814,2),"")</f>
        <v/>
      </c>
      <c r="J1814" s="1" t="str">
        <f aca="false">IF(H1814&lt;&gt;"","0x"&amp;I1814&amp;H1814,"")</f>
        <v/>
      </c>
      <c r="L1814" s="1" t="s">
        <v>3286</v>
      </c>
      <c r="M1814" s="1" t="str">
        <f aca="false">IF(J1814&lt;&gt;"",J1814,L1814)</f>
        <v>43, 43, MEOWTH</v>
      </c>
    </row>
    <row r="1815" customFormat="false" ht="12.75" hidden="false" customHeight="true" outlineLevel="0" collapsed="false">
      <c r="A1815" s="3" t="s">
        <v>2806</v>
      </c>
      <c r="B1815" s="3" t="str">
        <f aca="false">IF(ISNUMBER(SEARCH("%", A1815)),RIGHT(A1815,3),A1815)</f>
        <v>0.05</v>
      </c>
      <c r="C1815" s="1" t="str">
        <f aca="false" t="array" ref="C1815:C1815">IF(B1814="NEW ROUTE",textsplit(B1815,","),"")</f>
        <v/>
      </c>
      <c r="H1815" s="1" t="str">
        <f aca="false">IF(C1815&lt;&gt;"",DEC2HEX(C1815,2),"")</f>
        <v/>
      </c>
      <c r="I1815" s="1" t="str">
        <f aca="false">IF(D1815&lt;&gt;"",DEC2HEX(D1815,2),"")</f>
        <v/>
      </c>
      <c r="J1815" s="1" t="str">
        <f aca="false">IF(H1815&lt;&gt;"","0x"&amp;I1815&amp;H1815,"")</f>
        <v/>
      </c>
      <c r="L1815" s="1" t="s">
        <v>2806</v>
      </c>
      <c r="M1815" s="1" t="str">
        <f aca="false">IF(J1815&lt;&gt;"",J1815,L1815)</f>
        <v>0.05</v>
      </c>
    </row>
    <row r="1816" customFormat="false" ht="12.75" hidden="false" customHeight="true" outlineLevel="0" collapsed="false">
      <c r="A1816" s="3" t="s">
        <v>3287</v>
      </c>
      <c r="B1816" s="3" t="str">
        <f aca="false">IF(ISNUMBER(SEARCH("%", A1816)),RIGHT(A1816,3),A1816)</f>
        <v>25, 25, WOBBUFFET</v>
      </c>
      <c r="C1816" s="1" t="str">
        <f aca="false" t="array" ref="C1816:C1816">IF(B1815="NEW ROUTE",textsplit(B1816,","),"")</f>
        <v/>
      </c>
      <c r="H1816" s="1" t="str">
        <f aca="false">IF(C1816&lt;&gt;"",DEC2HEX(C1816,2),"")</f>
        <v/>
      </c>
      <c r="I1816" s="1" t="str">
        <f aca="false">IF(D1816&lt;&gt;"",DEC2HEX(D1816,2),"")</f>
        <v/>
      </c>
      <c r="J1816" s="1" t="str">
        <f aca="false">IF(H1816&lt;&gt;"","0x"&amp;I1816&amp;H1816,"")</f>
        <v/>
      </c>
      <c r="L1816" s="1" t="s">
        <v>3287</v>
      </c>
      <c r="M1816" s="1" t="str">
        <f aca="false">IF(J1816&lt;&gt;"",J1816,L1816)</f>
        <v>25, 25, WOBBUFFET</v>
      </c>
    </row>
    <row r="1817" customFormat="false" ht="12.75" hidden="false" customHeight="true" outlineLevel="0" collapsed="false">
      <c r="A1817" s="3" t="s">
        <v>3154</v>
      </c>
      <c r="B1817" s="3" t="str">
        <f aca="false">IF(ISNUMBER(SEARCH("%", A1817)),RIGHT(A1817,3),A1817)</f>
        <v>41, 41, SLOWPOKE</v>
      </c>
      <c r="C1817" s="1" t="str">
        <f aca="false" t="array" ref="C1817:C1817">IF(B1816="NEW ROUTE",textsplit(B1817,","),"")</f>
        <v/>
      </c>
      <c r="H1817" s="1" t="str">
        <f aca="false">IF(C1817&lt;&gt;"",DEC2HEX(C1817,2),"")</f>
        <v/>
      </c>
      <c r="I1817" s="1" t="str">
        <f aca="false">IF(D1817&lt;&gt;"",DEC2HEX(D1817,2),"")</f>
        <v/>
      </c>
      <c r="J1817" s="1" t="str">
        <f aca="false">IF(H1817&lt;&gt;"","0x"&amp;I1817&amp;H1817,"")</f>
        <v/>
      </c>
      <c r="L1817" s="1" t="s">
        <v>3154</v>
      </c>
      <c r="M1817" s="1" t="str">
        <f aca="false">IF(J1817&lt;&gt;"",J1817,L1817)</f>
        <v>41, 41, SLOWPOKE</v>
      </c>
    </row>
    <row r="1818" customFormat="false" ht="12.75" hidden="false" customHeight="true" outlineLevel="0" collapsed="false">
      <c r="A1818" s="3" t="s">
        <v>2809</v>
      </c>
      <c r="B1818" s="3" t="str">
        <f aca="false">IF(ISNUMBER(SEARCH("%", A1818)),RIGHT(A1818,3),A1818)</f>
        <v>0.04</v>
      </c>
      <c r="C1818" s="1" t="str">
        <f aca="false" t="array" ref="C1818:C1818">IF(B1817="NEW ROUTE",textsplit(B1818,","),"")</f>
        <v/>
      </c>
      <c r="H1818" s="1" t="str">
        <f aca="false">IF(C1818&lt;&gt;"",DEC2HEX(C1818,2),"")</f>
        <v/>
      </c>
      <c r="I1818" s="1" t="str">
        <f aca="false">IF(D1818&lt;&gt;"",DEC2HEX(D1818,2),"")</f>
        <v/>
      </c>
      <c r="J1818" s="1" t="str">
        <f aca="false">IF(H1818&lt;&gt;"","0x"&amp;I1818&amp;H1818,"")</f>
        <v/>
      </c>
      <c r="L1818" s="1" t="s">
        <v>2809</v>
      </c>
      <c r="M1818" s="1" t="str">
        <f aca="false">IF(J1818&lt;&gt;"",J1818,L1818)</f>
        <v>0.04</v>
      </c>
    </row>
    <row r="1819" customFormat="false" ht="12.75" hidden="false" customHeight="true" outlineLevel="0" collapsed="false">
      <c r="A1819" s="3" t="s">
        <v>3288</v>
      </c>
      <c r="B1819" s="3" t="str">
        <f aca="false">IF(ISNUMBER(SEARCH("%", A1819)),RIGHT(A1819,3),A1819)</f>
        <v>20, 20, NATU</v>
      </c>
      <c r="C1819" s="1" t="str">
        <f aca="false" t="array" ref="C1819:C1819">IF(B1818="NEW ROUTE",textsplit(B1819,","),"")</f>
        <v/>
      </c>
      <c r="H1819" s="1" t="str">
        <f aca="false">IF(C1819&lt;&gt;"",DEC2HEX(C1819,2),"")</f>
        <v/>
      </c>
      <c r="I1819" s="1" t="str">
        <f aca="false">IF(D1819&lt;&gt;"",DEC2HEX(D1819,2),"")</f>
        <v/>
      </c>
      <c r="J1819" s="1" t="str">
        <f aca="false">IF(H1819&lt;&gt;"","0x"&amp;I1819&amp;H1819,"")</f>
        <v/>
      </c>
      <c r="L1819" s="1" t="s">
        <v>3288</v>
      </c>
      <c r="M1819" s="1" t="str">
        <f aca="false">IF(J1819&lt;&gt;"",J1819,L1819)</f>
        <v>20, 20, NATU</v>
      </c>
    </row>
    <row r="1820" customFormat="false" ht="12.75" hidden="false" customHeight="true" outlineLevel="0" collapsed="false">
      <c r="A1820" s="3" t="s">
        <v>3289</v>
      </c>
      <c r="B1820" s="3" t="str">
        <f aca="false">IF(ISNUMBER(SEARCH("%", A1820)),RIGHT(A1820,3),A1820)</f>
        <v>49, 49, PERSIAN</v>
      </c>
      <c r="C1820" s="1" t="str">
        <f aca="false" t="array" ref="C1820:C1820">IF(B1819="NEW ROUTE",textsplit(B1820,","),"")</f>
        <v/>
      </c>
      <c r="H1820" s="1" t="str">
        <f aca="false">IF(C1820&lt;&gt;"",DEC2HEX(C1820,2),"")</f>
        <v/>
      </c>
      <c r="I1820" s="1" t="str">
        <f aca="false">IF(D1820&lt;&gt;"",DEC2HEX(D1820,2),"")</f>
        <v/>
      </c>
      <c r="J1820" s="1" t="str">
        <f aca="false">IF(H1820&lt;&gt;"","0x"&amp;I1820&amp;H1820,"")</f>
        <v/>
      </c>
      <c r="L1820" s="1" t="s">
        <v>3289</v>
      </c>
      <c r="M1820" s="1" t="str">
        <f aca="false">IF(J1820&lt;&gt;"",J1820,L1820)</f>
        <v>49, 49, PERSIAN</v>
      </c>
    </row>
    <row r="1821" customFormat="false" ht="12.75" hidden="false" customHeight="true" outlineLevel="0" collapsed="false">
      <c r="A1821" s="3" t="s">
        <v>2812</v>
      </c>
      <c r="B1821" s="3" t="str">
        <f aca="false">IF(ISNUMBER(SEARCH("%", A1821)),RIGHT(A1821,3),A1821)</f>
        <v>0.01</v>
      </c>
      <c r="C1821" s="1" t="str">
        <f aca="false" t="array" ref="C1821:C1821">IF(B1820="NEW ROUTE",textsplit(B1821,","),"")</f>
        <v/>
      </c>
      <c r="H1821" s="1" t="str">
        <f aca="false">IF(C1821&lt;&gt;"",DEC2HEX(C1821,2),"")</f>
        <v/>
      </c>
      <c r="I1821" s="1" t="str">
        <f aca="false">IF(D1821&lt;&gt;"",DEC2HEX(D1821,2),"")</f>
        <v/>
      </c>
      <c r="J1821" s="1" t="str">
        <f aca="false">IF(H1821&lt;&gt;"","0x"&amp;I1821&amp;H1821,"")</f>
        <v/>
      </c>
      <c r="L1821" s="1" t="s">
        <v>2812</v>
      </c>
      <c r="M1821" s="1" t="str">
        <f aca="false">IF(J1821&lt;&gt;"",J1821,L1821)</f>
        <v>0.01</v>
      </c>
    </row>
    <row r="1822" customFormat="false" ht="12.75" hidden="false" customHeight="true" outlineLevel="0" collapsed="false">
      <c r="A1822" s="3" t="s">
        <v>3288</v>
      </c>
      <c r="B1822" s="3" t="str">
        <f aca="false">IF(ISNUMBER(SEARCH("%", A1822)),RIGHT(A1822,3),A1822)</f>
        <v>20, 20, NATU</v>
      </c>
      <c r="C1822" s="1" t="str">
        <f aca="false" t="array" ref="C1822:C1822">IF(B1821="NEW ROUTE",textsplit(B1822,","),"")</f>
        <v/>
      </c>
      <c r="H1822" s="1" t="str">
        <f aca="false">IF(C1822&lt;&gt;"",DEC2HEX(C1822,2),"")</f>
        <v/>
      </c>
      <c r="I1822" s="1" t="str">
        <f aca="false">IF(D1822&lt;&gt;"",DEC2HEX(D1822,2),"")</f>
        <v/>
      </c>
      <c r="J1822" s="1" t="str">
        <f aca="false">IF(H1822&lt;&gt;"","0x"&amp;I1822&amp;H1822,"")</f>
        <v/>
      </c>
      <c r="L1822" s="1" t="s">
        <v>3288</v>
      </c>
      <c r="M1822" s="1" t="str">
        <f aca="false">IF(J1822&lt;&gt;"",J1822,L1822)</f>
        <v>20, 20, NATU</v>
      </c>
    </row>
    <row r="1823" customFormat="false" ht="12.75" hidden="false" customHeight="true" outlineLevel="0" collapsed="false">
      <c r="A1823" s="3" t="s">
        <v>3290</v>
      </c>
      <c r="B1823" s="3" t="str">
        <f aca="false">IF(ISNUMBER(SEARCH("%", A1823)),RIGHT(A1823,3),A1823)</f>
        <v>52, 52, PERSIAN</v>
      </c>
      <c r="C1823" s="1" t="str">
        <f aca="false" t="array" ref="C1823:C1823">IF(B1822="NEW ROUTE",textsplit(B1823,","),"")</f>
        <v/>
      </c>
      <c r="H1823" s="1" t="str">
        <f aca="false">IF(C1823&lt;&gt;"",DEC2HEX(C1823,2),"")</f>
        <v/>
      </c>
      <c r="I1823" s="1" t="str">
        <f aca="false">IF(D1823&lt;&gt;"",DEC2HEX(D1823,2),"")</f>
        <v/>
      </c>
      <c r="J1823" s="1" t="str">
        <f aca="false">IF(H1823&lt;&gt;"","0x"&amp;I1823&amp;H1823,"")</f>
        <v/>
      </c>
      <c r="L1823" s="1" t="s">
        <v>3290</v>
      </c>
      <c r="M1823" s="1" t="str">
        <f aca="false">IF(J1823&lt;&gt;"",J1823,L1823)</f>
        <v>52, 52, PERSIAN</v>
      </c>
    </row>
    <row r="1824" customFormat="false" ht="12.75" hidden="false" customHeight="true" outlineLevel="0" collapsed="false">
      <c r="A1824" s="3" t="s">
        <v>3291</v>
      </c>
      <c r="B1824" s="3" t="str">
        <f aca="false">IF(ISNUMBER(SEARCH("%", A1824)),RIGHT(A1824,3),A1824)</f>
        <v>2, 5, 20, MARILL</v>
      </c>
      <c r="C1824" s="1" t="str">
        <f aca="false" t="array" ref="C1824:C1824">IF(B1823="NEW ROUTE",textsplit(B1824,","),"")</f>
        <v/>
      </c>
      <c r="H1824" s="1" t="str">
        <f aca="false">IF(C1824&lt;&gt;"",DEC2HEX(C1824,2),"")</f>
        <v/>
      </c>
      <c r="I1824" s="1" t="str">
        <f aca="false">IF(D1824&lt;&gt;"",DEC2HEX(D1824,2),"")</f>
        <v/>
      </c>
      <c r="J1824" s="1" t="str">
        <f aca="false">IF(H1824&lt;&gt;"","0x"&amp;I1824&amp;H1824,"")</f>
        <v/>
      </c>
      <c r="L1824" s="1" t="s">
        <v>3291</v>
      </c>
      <c r="M1824" s="1" t="str">
        <f aca="false">IF(J1824&lt;&gt;"",J1824,L1824)</f>
        <v>2, 5, 20, MARILL</v>
      </c>
    </row>
    <row r="1825" customFormat="false" ht="12.75" hidden="false" customHeight="true" outlineLevel="0" collapsed="false">
      <c r="A1825" s="3" t="s">
        <v>3292</v>
      </c>
      <c r="B1825" s="3" t="str">
        <f aca="false">IF(ISNUMBER(SEARCH("%", A1825)),RIGHT(A1825,3),A1825)</f>
        <v>10, 20, MARILL</v>
      </c>
      <c r="C1825" s="1" t="str">
        <f aca="false" t="array" ref="C1825:C1825">IF(B1824="NEW ROUTE",textsplit(B1825,","),"")</f>
        <v/>
      </c>
      <c r="H1825" s="1" t="str">
        <f aca="false">IF(C1825&lt;&gt;"",DEC2HEX(C1825,2),"")</f>
        <v/>
      </c>
      <c r="I1825" s="1" t="str">
        <f aca="false">IF(D1825&lt;&gt;"",DEC2HEX(D1825,2),"")</f>
        <v/>
      </c>
      <c r="J1825" s="1" t="str">
        <f aca="false">IF(H1825&lt;&gt;"","0x"&amp;I1825&amp;H1825,"")</f>
        <v/>
      </c>
      <c r="L1825" s="1" t="s">
        <v>3292</v>
      </c>
      <c r="M1825" s="1" t="str">
        <f aca="false">IF(J1825&lt;&gt;"",J1825,L1825)</f>
        <v>10, 20, MARILL</v>
      </c>
    </row>
    <row r="1826" customFormat="false" ht="12.75" hidden="false" customHeight="true" outlineLevel="0" collapsed="false">
      <c r="A1826" s="3" t="s">
        <v>3293</v>
      </c>
      <c r="B1826" s="3" t="str">
        <f aca="false">IF(ISNUMBER(SEARCH("%", A1826)),RIGHT(A1826,3),A1826)</f>
        <v>15, 25, MARILL</v>
      </c>
      <c r="C1826" s="1" t="str">
        <f aca="false" t="array" ref="C1826:C1826">IF(B1825="NEW ROUTE",textsplit(B1826,","),"")</f>
        <v/>
      </c>
      <c r="H1826" s="1" t="str">
        <f aca="false">IF(C1826&lt;&gt;"",DEC2HEX(C1826,2),"")</f>
        <v/>
      </c>
      <c r="I1826" s="1" t="str">
        <f aca="false">IF(D1826&lt;&gt;"",DEC2HEX(D1826,2),"")</f>
        <v/>
      </c>
      <c r="J1826" s="1" t="str">
        <f aca="false">IF(H1826&lt;&gt;"","0x"&amp;I1826&amp;H1826,"")</f>
        <v/>
      </c>
      <c r="L1826" s="1" t="s">
        <v>3293</v>
      </c>
      <c r="M1826" s="1" t="str">
        <f aca="false">IF(J1826&lt;&gt;"",J1826,L1826)</f>
        <v>15, 25, MARILL</v>
      </c>
    </row>
    <row r="1827" customFormat="false" ht="12.75" hidden="false" customHeight="true" outlineLevel="0" collapsed="false">
      <c r="A1827" s="3" t="s">
        <v>3294</v>
      </c>
      <c r="B1827" s="3" t="str">
        <f aca="false">IF(ISNUMBER(SEARCH("%", A1827)),RIGHT(A1827,3),A1827)</f>
        <v>20, 25, MARILL</v>
      </c>
      <c r="C1827" s="1" t="str">
        <f aca="false" t="array" ref="C1827:C1827">IF(B1826="NEW ROUTE",textsplit(B1827,","),"")</f>
        <v/>
      </c>
      <c r="H1827" s="1" t="str">
        <f aca="false">IF(C1827&lt;&gt;"",DEC2HEX(C1827,2),"")</f>
        <v/>
      </c>
      <c r="I1827" s="1" t="str">
        <f aca="false">IF(D1827&lt;&gt;"",DEC2HEX(D1827,2),"")</f>
        <v/>
      </c>
      <c r="J1827" s="1" t="str">
        <f aca="false">IF(H1827&lt;&gt;"","0x"&amp;I1827&amp;H1827,"")</f>
        <v/>
      </c>
      <c r="L1827" s="1" t="s">
        <v>3294</v>
      </c>
      <c r="M1827" s="1" t="str">
        <f aca="false">IF(J1827&lt;&gt;"",J1827,L1827)</f>
        <v>20, 25, MARILL</v>
      </c>
    </row>
    <row r="1828" customFormat="false" ht="12.75" hidden="false" customHeight="true" outlineLevel="0" collapsed="false">
      <c r="A1828" s="3" t="s">
        <v>3294</v>
      </c>
      <c r="B1828" s="3" t="str">
        <f aca="false">IF(ISNUMBER(SEARCH("%", A1828)),RIGHT(A1828,3),A1828)</f>
        <v>20, 25, MARILL</v>
      </c>
      <c r="C1828" s="1" t="str">
        <f aca="false" t="array" ref="C1828:C1828">IF(B1827="NEW ROUTE",textsplit(B1828,","),"")</f>
        <v/>
      </c>
      <c r="H1828" s="1" t="str">
        <f aca="false">IF(C1828&lt;&gt;"",DEC2HEX(C1828,2),"")</f>
        <v/>
      </c>
      <c r="I1828" s="1" t="str">
        <f aca="false">IF(D1828&lt;&gt;"",DEC2HEX(D1828,2),"")</f>
        <v/>
      </c>
      <c r="J1828" s="1" t="str">
        <f aca="false">IF(H1828&lt;&gt;"","0x"&amp;I1828&amp;H1828,"")</f>
        <v/>
      </c>
      <c r="L1828" s="1" t="s">
        <v>3294</v>
      </c>
      <c r="M1828" s="1" t="str">
        <f aca="false">IF(J1828&lt;&gt;"",J1828,L1828)</f>
        <v>20, 25, MARILL</v>
      </c>
    </row>
    <row r="1829" customFormat="false" ht="12.75" hidden="false" customHeight="true" outlineLevel="0" collapsed="false">
      <c r="A1829" s="3" t="s">
        <v>2925</v>
      </c>
      <c r="B1829" s="3" t="str">
        <f aca="false">IF(ISNUMBER(SEARCH("%", A1829)),RIGHT(A1829,3),A1829)</f>
        <v>20, old rod:</v>
      </c>
      <c r="C1829" s="1" t="str">
        <f aca="false" t="array" ref="C1829:C1829">IF(B1828="NEW ROUTE",textsplit(B1829,","),"")</f>
        <v/>
      </c>
      <c r="H1829" s="1" t="str">
        <f aca="false">IF(C1829&lt;&gt;"",DEC2HEX(C1829,2),"")</f>
        <v/>
      </c>
      <c r="I1829" s="1" t="str">
        <f aca="false">IF(D1829&lt;&gt;"",DEC2HEX(D1829,2),"")</f>
        <v/>
      </c>
      <c r="J1829" s="1" t="str">
        <f aca="false">IF(H1829&lt;&gt;"","0x"&amp;I1829&amp;H1829,"")</f>
        <v/>
      </c>
      <c r="L1829" s="1" t="s">
        <v>2925</v>
      </c>
      <c r="M1829" s="1" t="str">
        <f aca="false">IF(J1829&lt;&gt;"",J1829,L1829)</f>
        <v>20, old rod:</v>
      </c>
    </row>
    <row r="1830" customFormat="false" ht="12.75" hidden="false" customHeight="true" outlineLevel="0" collapsed="false">
      <c r="A1830" s="3" t="s">
        <v>1266</v>
      </c>
      <c r="B1830" s="3" t="str">
        <f aca="false">IF(ISNUMBER(SEARCH("%", A1830)),RIGHT(A1830,3),A1830)</f>
        <v>5, 5, MAGIKARP</v>
      </c>
      <c r="C1830" s="1" t="str">
        <f aca="false" t="array" ref="C1830:C1830">IF(B1829="NEW ROUTE",textsplit(B1830,","),"")</f>
        <v/>
      </c>
      <c r="H1830" s="1" t="str">
        <f aca="false">IF(C1830&lt;&gt;"",DEC2HEX(C1830,2),"")</f>
        <v/>
      </c>
      <c r="I1830" s="1" t="str">
        <f aca="false">IF(D1830&lt;&gt;"",DEC2HEX(D1830,2),"")</f>
        <v/>
      </c>
      <c r="J1830" s="1" t="str">
        <f aca="false">IF(H1830&lt;&gt;"","0x"&amp;I1830&amp;H1830,"")</f>
        <v/>
      </c>
      <c r="L1830" s="1" t="s">
        <v>1266</v>
      </c>
      <c r="M1830" s="1" t="str">
        <f aca="false">IF(J1830&lt;&gt;"",J1830,L1830)</f>
        <v>5, 5, MAGIKARP</v>
      </c>
    </row>
    <row r="1831" customFormat="false" ht="12.75" hidden="false" customHeight="true" outlineLevel="0" collapsed="false">
      <c r="A1831" s="3" t="s">
        <v>1266</v>
      </c>
      <c r="B1831" s="3" t="str">
        <f aca="false">IF(ISNUMBER(SEARCH("%", A1831)),RIGHT(A1831,3),A1831)</f>
        <v>5, 5, MAGIKARP</v>
      </c>
      <c r="C1831" s="1" t="str">
        <f aca="false" t="array" ref="C1831:C1831">IF(B1830="NEW ROUTE",textsplit(B1831,","),"")</f>
        <v/>
      </c>
      <c r="H1831" s="1" t="str">
        <f aca="false">IF(C1831&lt;&gt;"",DEC2HEX(C1831,2),"")</f>
        <v/>
      </c>
      <c r="I1831" s="1" t="str">
        <f aca="false">IF(D1831&lt;&gt;"",DEC2HEX(D1831,2),"")</f>
        <v/>
      </c>
      <c r="J1831" s="1" t="str">
        <f aca="false">IF(H1831&lt;&gt;"","0x"&amp;I1831&amp;H1831,"")</f>
        <v/>
      </c>
      <c r="L1831" s="1" t="s">
        <v>1266</v>
      </c>
      <c r="M1831" s="1" t="str">
        <f aca="false">IF(J1831&lt;&gt;"",J1831,L1831)</f>
        <v>5, 5, MAGIKARP</v>
      </c>
    </row>
    <row r="1832" customFormat="false" ht="12.75" hidden="false" customHeight="true" outlineLevel="0" collapsed="false">
      <c r="A1832" s="3" t="s">
        <v>2846</v>
      </c>
      <c r="B1832" s="3" t="str">
        <f aca="false">IF(ISNUMBER(SEARCH("%", A1832)),RIGHT(A1832,3),A1832)</f>
        <v>good rod:</v>
      </c>
      <c r="C1832" s="1" t="str">
        <f aca="false" t="array" ref="C1832:C1832">IF(B1831="NEW ROUTE",textsplit(B1832,","),"")</f>
        <v/>
      </c>
      <c r="H1832" s="1" t="str">
        <f aca="false">IF(C1832&lt;&gt;"",DEC2HEX(C1832,2),"")</f>
        <v/>
      </c>
      <c r="I1832" s="1" t="str">
        <f aca="false">IF(D1832&lt;&gt;"",DEC2HEX(D1832,2),"")</f>
        <v/>
      </c>
      <c r="J1832" s="1" t="str">
        <f aca="false">IF(H1832&lt;&gt;"","0x"&amp;I1832&amp;H1832,"")</f>
        <v/>
      </c>
      <c r="L1832" s="1" t="s">
        <v>2846</v>
      </c>
      <c r="M1832" s="1" t="str">
        <f aca="false">IF(J1832&lt;&gt;"",J1832,L1832)</f>
        <v>good rod:</v>
      </c>
    </row>
    <row r="1833" customFormat="false" ht="12.75" hidden="false" customHeight="true" outlineLevel="0" collapsed="false">
      <c r="A1833" s="3" t="s">
        <v>3143</v>
      </c>
      <c r="B1833" s="3" t="str">
        <f aca="false">IF(ISNUMBER(SEARCH("%", A1833)),RIGHT(A1833,3),A1833)</f>
        <v>5, 15, POLIWAG</v>
      </c>
      <c r="C1833" s="1" t="str">
        <f aca="false" t="array" ref="C1833:C1833">IF(B1832="NEW ROUTE",textsplit(B1833,","),"")</f>
        <v/>
      </c>
      <c r="H1833" s="1" t="str">
        <f aca="false">IF(C1833&lt;&gt;"",DEC2HEX(C1833,2),"")</f>
        <v/>
      </c>
      <c r="I1833" s="1" t="str">
        <f aca="false">IF(D1833&lt;&gt;"",DEC2HEX(D1833,2),"")</f>
        <v/>
      </c>
      <c r="J1833" s="1" t="str">
        <f aca="false">IF(H1833&lt;&gt;"","0x"&amp;I1833&amp;H1833,"")</f>
        <v/>
      </c>
      <c r="L1833" s="1" t="s">
        <v>3143</v>
      </c>
      <c r="M1833" s="1" t="str">
        <f aca="false">IF(J1833&lt;&gt;"",J1833,L1833)</f>
        <v>5, 15, POLIWAG</v>
      </c>
    </row>
    <row r="1834" customFormat="false" ht="12.75" hidden="false" customHeight="true" outlineLevel="0" collapsed="false">
      <c r="A1834" s="3" t="s">
        <v>2848</v>
      </c>
      <c r="B1834" s="3" t="str">
        <f aca="false">IF(ISNUMBER(SEARCH("%", A1834)),RIGHT(A1834,3),A1834)</f>
        <v>5, 15, MAGIKARP</v>
      </c>
      <c r="C1834" s="1" t="str">
        <f aca="false" t="array" ref="C1834:C1834">IF(B1833="NEW ROUTE",textsplit(B1834,","),"")</f>
        <v/>
      </c>
      <c r="H1834" s="1" t="str">
        <f aca="false">IF(C1834&lt;&gt;"",DEC2HEX(C1834,2),"")</f>
        <v/>
      </c>
      <c r="I1834" s="1" t="str">
        <f aca="false">IF(D1834&lt;&gt;"",DEC2HEX(D1834,2),"")</f>
        <v/>
      </c>
      <c r="J1834" s="1" t="str">
        <f aca="false">IF(H1834&lt;&gt;"","0x"&amp;I1834&amp;H1834,"")</f>
        <v/>
      </c>
      <c r="L1834" s="1" t="s">
        <v>2848</v>
      </c>
      <c r="M1834" s="1" t="str">
        <f aca="false">IF(J1834&lt;&gt;"",J1834,L1834)</f>
        <v>5, 15, MAGIKARP</v>
      </c>
    </row>
    <row r="1835" customFormat="false" ht="12.75" hidden="false" customHeight="true" outlineLevel="0" collapsed="false">
      <c r="A1835" s="3" t="s">
        <v>3142</v>
      </c>
      <c r="B1835" s="3" t="str">
        <f aca="false">IF(ISNUMBER(SEARCH("%", A1835)),RIGHT(A1835,3),A1835)</f>
        <v>5, 15, GOLDEEN</v>
      </c>
      <c r="C1835" s="1" t="str">
        <f aca="false" t="array" ref="C1835:C1835">IF(B1834="NEW ROUTE",textsplit(B1835,","),"")</f>
        <v/>
      </c>
      <c r="H1835" s="1" t="str">
        <f aca="false">IF(C1835&lt;&gt;"",DEC2HEX(C1835,2),"")</f>
        <v/>
      </c>
      <c r="I1835" s="1" t="str">
        <f aca="false">IF(D1835&lt;&gt;"",DEC2HEX(D1835,2),"")</f>
        <v/>
      </c>
      <c r="J1835" s="1" t="str">
        <f aca="false">IF(H1835&lt;&gt;"","0x"&amp;I1835&amp;H1835,"")</f>
        <v/>
      </c>
      <c r="L1835" s="1" t="s">
        <v>3142</v>
      </c>
      <c r="M1835" s="1" t="str">
        <f aca="false">IF(J1835&lt;&gt;"",J1835,L1835)</f>
        <v>5, 15, GOLDEEN</v>
      </c>
    </row>
    <row r="1836" customFormat="false" ht="12.75" hidden="false" customHeight="true" outlineLevel="0" collapsed="false">
      <c r="A1836" s="3" t="s">
        <v>2850</v>
      </c>
      <c r="B1836" s="3" t="str">
        <f aca="false">IF(ISNUMBER(SEARCH("%", A1836)),RIGHT(A1836,3),A1836)</f>
        <v>super rod:</v>
      </c>
      <c r="C1836" s="1" t="str">
        <f aca="false" t="array" ref="C1836:C1836">IF(B1835="NEW ROUTE",textsplit(B1836,","),"")</f>
        <v/>
      </c>
      <c r="H1836" s="1" t="str">
        <f aca="false">IF(C1836&lt;&gt;"",DEC2HEX(C1836,2),"")</f>
        <v/>
      </c>
      <c r="I1836" s="1" t="str">
        <f aca="false">IF(D1836&lt;&gt;"",DEC2HEX(D1836,2),"")</f>
        <v/>
      </c>
      <c r="J1836" s="1" t="str">
        <f aca="false">IF(H1836&lt;&gt;"","0x"&amp;I1836&amp;H1836,"")</f>
        <v/>
      </c>
      <c r="L1836" s="1" t="s">
        <v>2850</v>
      </c>
      <c r="M1836" s="1" t="str">
        <f aca="false">IF(J1836&lt;&gt;"",J1836,L1836)</f>
        <v>super rod:</v>
      </c>
    </row>
    <row r="1837" customFormat="false" ht="12.75" hidden="false" customHeight="true" outlineLevel="0" collapsed="false">
      <c r="A1837" s="3" t="s">
        <v>3161</v>
      </c>
      <c r="B1837" s="3" t="str">
        <f aca="false">IF(ISNUMBER(SEARCH("%", A1837)),RIGHT(A1837,3),A1837)</f>
        <v>15, 25, POLIWAG</v>
      </c>
      <c r="C1837" s="1" t="str">
        <f aca="false" t="array" ref="C1837:C1837">IF(B1836="NEW ROUTE",textsplit(B1837,","),"")</f>
        <v/>
      </c>
      <c r="H1837" s="1" t="str">
        <f aca="false">IF(C1837&lt;&gt;"",DEC2HEX(C1837,2),"")</f>
        <v/>
      </c>
      <c r="I1837" s="1" t="str">
        <f aca="false">IF(D1837&lt;&gt;"",DEC2HEX(D1837,2),"")</f>
        <v/>
      </c>
      <c r="J1837" s="1" t="str">
        <f aca="false">IF(H1837&lt;&gt;"","0x"&amp;I1837&amp;H1837,"")</f>
        <v/>
      </c>
      <c r="L1837" s="1" t="s">
        <v>3161</v>
      </c>
      <c r="M1837" s="1" t="str">
        <f aca="false">IF(J1837&lt;&gt;"",J1837,L1837)</f>
        <v>15, 25, POLIWAG</v>
      </c>
    </row>
    <row r="1838" customFormat="false" ht="12.75" hidden="false" customHeight="true" outlineLevel="0" collapsed="false">
      <c r="A1838" s="3" t="s">
        <v>3162</v>
      </c>
      <c r="B1838" s="3" t="str">
        <f aca="false">IF(ISNUMBER(SEARCH("%", A1838)),RIGHT(A1838,3),A1838)</f>
        <v>20, 30, POLIWHIRL</v>
      </c>
      <c r="C1838" s="1" t="str">
        <f aca="false" t="array" ref="C1838:C1838">IF(B1837="NEW ROUTE",textsplit(B1838,","),"")</f>
        <v/>
      </c>
      <c r="H1838" s="1" t="str">
        <f aca="false">IF(C1838&lt;&gt;"",DEC2HEX(C1838,2),"")</f>
        <v/>
      </c>
      <c r="I1838" s="1" t="str">
        <f aca="false">IF(D1838&lt;&gt;"",DEC2HEX(D1838,2),"")</f>
        <v/>
      </c>
      <c r="J1838" s="1" t="str">
        <f aca="false">IF(H1838&lt;&gt;"","0x"&amp;I1838&amp;H1838,"")</f>
        <v/>
      </c>
      <c r="L1838" s="1" t="s">
        <v>3162</v>
      </c>
      <c r="M1838" s="1" t="str">
        <f aca="false">IF(J1838&lt;&gt;"",J1838,L1838)</f>
        <v>20, 30, POLIWHIRL</v>
      </c>
    </row>
    <row r="1839" customFormat="false" ht="12.75" hidden="false" customHeight="true" outlineLevel="0" collapsed="false">
      <c r="A1839" s="3" t="s">
        <v>2853</v>
      </c>
      <c r="B1839" s="3" t="str">
        <f aca="false">IF(ISNUMBER(SEARCH("%", A1839)),RIGHT(A1839,3),A1839)</f>
        <v>15, 25, GYARADOS</v>
      </c>
      <c r="C1839" s="1" t="str">
        <f aca="false" t="array" ref="C1839:C1839">IF(B1838="NEW ROUTE",textsplit(B1839,","),"")</f>
        <v/>
      </c>
      <c r="H1839" s="1" t="str">
        <f aca="false">IF(C1839&lt;&gt;"",DEC2HEX(C1839,2),"")</f>
        <v/>
      </c>
      <c r="I1839" s="1" t="str">
        <f aca="false">IF(D1839&lt;&gt;"",DEC2HEX(D1839,2),"")</f>
        <v/>
      </c>
      <c r="J1839" s="1" t="str">
        <f aca="false">IF(H1839&lt;&gt;"","0x"&amp;I1839&amp;H1839,"")</f>
        <v/>
      </c>
      <c r="L1839" s="1" t="s">
        <v>2853</v>
      </c>
      <c r="M1839" s="1" t="str">
        <f aca="false">IF(J1839&lt;&gt;"",J1839,L1839)</f>
        <v>15, 25, GYARADOS</v>
      </c>
    </row>
    <row r="1840" customFormat="false" ht="12.75" hidden="false" customHeight="true" outlineLevel="0" collapsed="false">
      <c r="A1840" s="3" t="s">
        <v>3146</v>
      </c>
      <c r="B1840" s="3" t="str">
        <f aca="false">IF(ISNUMBER(SEARCH("%", A1840)),RIGHT(A1840,3),A1840)</f>
        <v>15, 25, SLOWPOKE</v>
      </c>
      <c r="C1840" s="1" t="str">
        <f aca="false" t="array" ref="C1840:C1840">IF(B1839="NEW ROUTE",textsplit(B1840,","),"")</f>
        <v/>
      </c>
      <c r="H1840" s="1" t="str">
        <f aca="false">IF(C1840&lt;&gt;"",DEC2HEX(C1840,2),"")</f>
        <v/>
      </c>
      <c r="I1840" s="1" t="str">
        <f aca="false">IF(D1840&lt;&gt;"",DEC2HEX(D1840,2),"")</f>
        <v/>
      </c>
      <c r="J1840" s="1" t="str">
        <f aca="false">IF(H1840&lt;&gt;"","0x"&amp;I1840&amp;H1840,"")</f>
        <v/>
      </c>
      <c r="L1840" s="1" t="s">
        <v>3146</v>
      </c>
      <c r="M1840" s="1" t="str">
        <f aca="false">IF(J1840&lt;&gt;"",J1840,L1840)</f>
        <v>15, 25, SLOWPOKE</v>
      </c>
    </row>
    <row r="1841" customFormat="false" ht="12.75" hidden="false" customHeight="true" outlineLevel="0" collapsed="false">
      <c r="A1841" s="3" t="s">
        <v>2855</v>
      </c>
      <c r="B1841" s="3" t="str">
        <f aca="false">IF(ISNUMBER(SEARCH("%", A1841)),RIGHT(A1841,3),A1841)</f>
        <v>25, 35, SLOWPOKE</v>
      </c>
      <c r="C1841" s="1" t="str">
        <f aca="false" t="array" ref="C1841:C1841">IF(B1840="NEW ROUTE",textsplit(B1841,","),"")</f>
        <v/>
      </c>
      <c r="H1841" s="1" t="str">
        <f aca="false">IF(C1841&lt;&gt;"",DEC2HEX(C1841,2),"")</f>
        <v/>
      </c>
      <c r="I1841" s="1" t="str">
        <f aca="false">IF(D1841&lt;&gt;"",DEC2HEX(D1841,2),"")</f>
        <v/>
      </c>
      <c r="J1841" s="1" t="str">
        <f aca="false">IF(H1841&lt;&gt;"","0x"&amp;I1841&amp;H1841,"")</f>
        <v/>
      </c>
      <c r="L1841" s="1" t="s">
        <v>2855</v>
      </c>
      <c r="M1841" s="1" t="str">
        <f aca="false">IF(J1841&lt;&gt;"",J1841,L1841)</f>
        <v>25, 35, SLOWPOKE</v>
      </c>
    </row>
    <row r="1842" customFormat="false" ht="12.75" hidden="false" customHeight="true" outlineLevel="0" collapsed="false">
      <c r="A1842" s="3" t="s">
        <v>2536</v>
      </c>
      <c r="B1842" s="3" t="str">
        <f aca="false">IF(ISNUMBER(SEARCH("%", A1842)),RIGHT(A1842,3),A1842)</f>
        <v>NEW ROUTE</v>
      </c>
      <c r="C1842" s="1" t="str">
        <f aca="false" t="array" ref="C1842:C1842">IF(B1841="NEW ROUTE",textsplit(B1842,","),"")</f>
        <v/>
      </c>
      <c r="H1842" s="1" t="str">
        <f aca="false">IF(C1842&lt;&gt;"",DEC2HEX(C1842,2),"")</f>
        <v/>
      </c>
      <c r="I1842" s="1" t="str">
        <f aca="false">IF(D1842&lt;&gt;"",DEC2HEX(D1842,2),"")</f>
        <v/>
      </c>
      <c r="J1842" s="1" t="str">
        <f aca="false">IF(H1842&lt;&gt;"","0x"&amp;I1842&amp;H1842,"")</f>
        <v/>
      </c>
      <c r="L1842" s="1" t="s">
        <v>2536</v>
      </c>
      <c r="M1842" s="1" t="str">
        <f aca="false">IF(J1842&lt;&gt;"",J1842,L1842)</f>
        <v>NEW ROUTE</v>
      </c>
    </row>
    <row r="1843" customFormat="false" ht="12.75" hidden="false" customHeight="true" outlineLevel="0" collapsed="false">
      <c r="A1843" s="3" t="s">
        <v>3295</v>
      </c>
      <c r="B1843" s="3" t="str">
        <f aca="false">IF(ISNUMBER(SEARCH("%", A1843)),RIGHT(A1843,3),A1843)</f>
        <v>3, 62, 0, &lt;null&gt;,</v>
      </c>
      <c r="C1843" s="1" t="e">
        <f aca="false" t="array" ref="C1843:C1843">IF(B1842="NEW ROUTE",textsplit(B1843,","),"")</f>
        <v>#NAME?</v>
      </c>
      <c r="H1843" s="1" t="e">
        <f aca="false">IF(C1843&lt;&gt;"",DEC2HEX(C1843,2),"")</f>
        <v>#NAME?</v>
      </c>
      <c r="I1843" s="1" t="str">
        <f aca="false">IF(D1843&lt;&gt;"",DEC2HEX(D1843,2),"")</f>
        <v/>
      </c>
      <c r="J1843" s="1" t="e">
        <f aca="false">IF(H1843&lt;&gt;"","0x"&amp;I1843&amp;H1843,"")</f>
        <v>#NAME?</v>
      </c>
      <c r="L1843" s="1" t="s">
        <v>3295</v>
      </c>
      <c r="M1843" s="1" t="e">
        <f aca="false">IF(J1843&lt;&gt;"",J1843,L1843)</f>
        <v>#NAME?</v>
      </c>
    </row>
    <row r="1844" customFormat="false" ht="12.75" hidden="false" customHeight="true" outlineLevel="0" collapsed="false">
      <c r="A1844" s="3" t="s">
        <v>3172</v>
      </c>
      <c r="B1844" s="3" t="str">
        <f aca="false">IF(ISNUMBER(SEARCH("%", A1844)),RIGHT(A1844,3),A1844)</f>
        <v>2, 5, 20, TENTACOOL</v>
      </c>
      <c r="C1844" s="1" t="str">
        <f aca="false" t="array" ref="C1844:C1844">IF(B1843="NEW ROUTE",textsplit(B1844,","),"")</f>
        <v/>
      </c>
      <c r="H1844" s="1" t="str">
        <f aca="false">IF(C1844&lt;&gt;"",DEC2HEX(C1844,2),"")</f>
        <v/>
      </c>
      <c r="I1844" s="1" t="str">
        <f aca="false">IF(D1844&lt;&gt;"",DEC2HEX(D1844,2),"")</f>
        <v/>
      </c>
      <c r="J1844" s="1" t="str">
        <f aca="false">IF(H1844&lt;&gt;"","0x"&amp;I1844&amp;H1844,"")</f>
        <v/>
      </c>
      <c r="L1844" s="1" t="s">
        <v>3172</v>
      </c>
      <c r="M1844" s="1" t="str">
        <f aca="false">IF(J1844&lt;&gt;"",J1844,L1844)</f>
        <v>2, 5, 20, TENTACOOL</v>
      </c>
    </row>
    <row r="1845" customFormat="false" ht="12.75" hidden="false" customHeight="true" outlineLevel="0" collapsed="false">
      <c r="A1845" s="3" t="s">
        <v>3173</v>
      </c>
      <c r="B1845" s="3" t="str">
        <f aca="false">IF(ISNUMBER(SEARCH("%", A1845)),RIGHT(A1845,3),A1845)</f>
        <v>20, 35, TENTACOOL</v>
      </c>
      <c r="C1845" s="1" t="str">
        <f aca="false" t="array" ref="C1845:C1845">IF(B1844="NEW ROUTE",textsplit(B1845,","),"")</f>
        <v/>
      </c>
      <c r="H1845" s="1" t="str">
        <f aca="false">IF(C1845&lt;&gt;"",DEC2HEX(C1845,2),"")</f>
        <v/>
      </c>
      <c r="I1845" s="1" t="str">
        <f aca="false">IF(D1845&lt;&gt;"",DEC2HEX(D1845,2),"")</f>
        <v/>
      </c>
      <c r="J1845" s="1" t="str">
        <f aca="false">IF(H1845&lt;&gt;"","0x"&amp;I1845&amp;H1845,"")</f>
        <v/>
      </c>
      <c r="L1845" s="1" t="s">
        <v>3173</v>
      </c>
      <c r="M1845" s="1" t="str">
        <f aca="false">IF(J1845&lt;&gt;"",J1845,L1845)</f>
        <v>20, 35, TENTACOOL</v>
      </c>
    </row>
    <row r="1846" customFormat="false" ht="12.75" hidden="false" customHeight="true" outlineLevel="0" collapsed="false">
      <c r="A1846" s="3" t="s">
        <v>3296</v>
      </c>
      <c r="B1846" s="3" t="str">
        <f aca="false">IF(ISNUMBER(SEARCH("%", A1846)),RIGHT(A1846,3),A1846)</f>
        <v>35, 40, MANTINE</v>
      </c>
      <c r="C1846" s="1" t="str">
        <f aca="false" t="array" ref="C1846:C1846">IF(B1845="NEW ROUTE",textsplit(B1846,","),"")</f>
        <v/>
      </c>
      <c r="H1846" s="1" t="str">
        <f aca="false">IF(C1846&lt;&gt;"",DEC2HEX(C1846,2),"")</f>
        <v/>
      </c>
      <c r="I1846" s="1" t="str">
        <f aca="false">IF(D1846&lt;&gt;"",DEC2HEX(D1846,2),"")</f>
        <v/>
      </c>
      <c r="J1846" s="1" t="str">
        <f aca="false">IF(H1846&lt;&gt;"","0x"&amp;I1846&amp;H1846,"")</f>
        <v/>
      </c>
      <c r="L1846" s="1" t="s">
        <v>3296</v>
      </c>
      <c r="M1846" s="1" t="str">
        <f aca="false">IF(J1846&lt;&gt;"",J1846,L1846)</f>
        <v>35, 40, MANTINE</v>
      </c>
    </row>
    <row r="1847" customFormat="false" ht="12.75" hidden="false" customHeight="true" outlineLevel="0" collapsed="false">
      <c r="A1847" s="3" t="s">
        <v>3231</v>
      </c>
      <c r="B1847" s="3" t="str">
        <f aca="false">IF(ISNUMBER(SEARCH("%", A1847)),RIGHT(A1847,3),A1847)</f>
        <v>35, 40, TENTACRUEL</v>
      </c>
      <c r="C1847" s="1" t="str">
        <f aca="false" t="array" ref="C1847:C1847">IF(B1846="NEW ROUTE",textsplit(B1847,","),"")</f>
        <v/>
      </c>
      <c r="H1847" s="1" t="str">
        <f aca="false">IF(C1847&lt;&gt;"",DEC2HEX(C1847,2),"")</f>
        <v/>
      </c>
      <c r="I1847" s="1" t="str">
        <f aca="false">IF(D1847&lt;&gt;"",DEC2HEX(D1847,2),"")</f>
        <v/>
      </c>
      <c r="J1847" s="1" t="str">
        <f aca="false">IF(H1847&lt;&gt;"","0x"&amp;I1847&amp;H1847,"")</f>
        <v/>
      </c>
      <c r="L1847" s="1" t="s">
        <v>3231</v>
      </c>
      <c r="M1847" s="1" t="str">
        <f aca="false">IF(J1847&lt;&gt;"",J1847,L1847)</f>
        <v>35, 40, TENTACRUEL</v>
      </c>
    </row>
    <row r="1848" customFormat="false" ht="12.75" hidden="false" customHeight="true" outlineLevel="0" collapsed="false">
      <c r="A1848" s="3" t="s">
        <v>3231</v>
      </c>
      <c r="B1848" s="3" t="str">
        <f aca="false">IF(ISNUMBER(SEARCH("%", A1848)),RIGHT(A1848,3),A1848)</f>
        <v>35, 40, TENTACRUEL</v>
      </c>
      <c r="C1848" s="1" t="str">
        <f aca="false" t="array" ref="C1848:C1848">IF(B1847="NEW ROUTE",textsplit(B1848,","),"")</f>
        <v/>
      </c>
      <c r="H1848" s="1" t="str">
        <f aca="false">IF(C1848&lt;&gt;"",DEC2HEX(C1848,2),"")</f>
        <v/>
      </c>
      <c r="I1848" s="1" t="str">
        <f aca="false">IF(D1848&lt;&gt;"",DEC2HEX(D1848,2),"")</f>
        <v/>
      </c>
      <c r="J1848" s="1" t="str">
        <f aca="false">IF(H1848&lt;&gt;"","0x"&amp;I1848&amp;H1848,"")</f>
        <v/>
      </c>
      <c r="L1848" s="1" t="s">
        <v>3231</v>
      </c>
      <c r="M1848" s="1" t="str">
        <f aca="false">IF(J1848&lt;&gt;"",J1848,L1848)</f>
        <v>35, 40, TENTACRUEL</v>
      </c>
    </row>
    <row r="1849" customFormat="false" ht="12.75" hidden="false" customHeight="true" outlineLevel="0" collapsed="false">
      <c r="A1849" s="3" t="s">
        <v>2925</v>
      </c>
      <c r="B1849" s="3" t="str">
        <f aca="false">IF(ISNUMBER(SEARCH("%", A1849)),RIGHT(A1849,3),A1849)</f>
        <v>20, old rod:</v>
      </c>
      <c r="C1849" s="1" t="str">
        <f aca="false" t="array" ref="C1849:C1849">IF(B1848="NEW ROUTE",textsplit(B1849,","),"")</f>
        <v/>
      </c>
      <c r="H1849" s="1" t="str">
        <f aca="false">IF(C1849&lt;&gt;"",DEC2HEX(C1849,2),"")</f>
        <v/>
      </c>
      <c r="I1849" s="1" t="str">
        <f aca="false">IF(D1849&lt;&gt;"",DEC2HEX(D1849,2),"")</f>
        <v/>
      </c>
      <c r="J1849" s="1" t="str">
        <f aca="false">IF(H1849&lt;&gt;"","0x"&amp;I1849&amp;H1849,"")</f>
        <v/>
      </c>
      <c r="L1849" s="1" t="s">
        <v>2925</v>
      </c>
      <c r="M1849" s="1" t="str">
        <f aca="false">IF(J1849&lt;&gt;"",J1849,L1849)</f>
        <v>20, old rod:</v>
      </c>
    </row>
    <row r="1850" customFormat="false" ht="12.75" hidden="false" customHeight="true" outlineLevel="0" collapsed="false">
      <c r="A1850" s="3" t="s">
        <v>1266</v>
      </c>
      <c r="B1850" s="3" t="str">
        <f aca="false">IF(ISNUMBER(SEARCH("%", A1850)),RIGHT(A1850,3),A1850)</f>
        <v>5, 5, MAGIKARP</v>
      </c>
      <c r="C1850" s="1" t="str">
        <f aca="false" t="array" ref="C1850:C1850">IF(B1849="NEW ROUTE",textsplit(B1850,","),"")</f>
        <v/>
      </c>
      <c r="H1850" s="1" t="str">
        <f aca="false">IF(C1850&lt;&gt;"",DEC2HEX(C1850,2),"")</f>
        <v/>
      </c>
      <c r="I1850" s="1" t="str">
        <f aca="false">IF(D1850&lt;&gt;"",DEC2HEX(D1850,2),"")</f>
        <v/>
      </c>
      <c r="J1850" s="1" t="str">
        <f aca="false">IF(H1850&lt;&gt;"","0x"&amp;I1850&amp;H1850,"")</f>
        <v/>
      </c>
      <c r="L1850" s="1" t="s">
        <v>1266</v>
      </c>
      <c r="M1850" s="1" t="str">
        <f aca="false">IF(J1850&lt;&gt;"",J1850,L1850)</f>
        <v>5, 5, MAGIKARP</v>
      </c>
    </row>
    <row r="1851" customFormat="false" ht="12.75" hidden="false" customHeight="true" outlineLevel="0" collapsed="false">
      <c r="A1851" s="3" t="s">
        <v>1266</v>
      </c>
      <c r="B1851" s="3" t="str">
        <f aca="false">IF(ISNUMBER(SEARCH("%", A1851)),RIGHT(A1851,3),A1851)</f>
        <v>5, 5, MAGIKARP</v>
      </c>
      <c r="C1851" s="1" t="str">
        <f aca="false" t="array" ref="C1851:C1851">IF(B1850="NEW ROUTE",textsplit(B1851,","),"")</f>
        <v/>
      </c>
      <c r="H1851" s="1" t="str">
        <f aca="false">IF(C1851&lt;&gt;"",DEC2HEX(C1851,2),"")</f>
        <v/>
      </c>
      <c r="I1851" s="1" t="str">
        <f aca="false">IF(D1851&lt;&gt;"",DEC2HEX(D1851,2),"")</f>
        <v/>
      </c>
      <c r="J1851" s="1" t="str">
        <f aca="false">IF(H1851&lt;&gt;"","0x"&amp;I1851&amp;H1851,"")</f>
        <v/>
      </c>
      <c r="L1851" s="1" t="s">
        <v>1266</v>
      </c>
      <c r="M1851" s="1" t="str">
        <f aca="false">IF(J1851&lt;&gt;"",J1851,L1851)</f>
        <v>5, 5, MAGIKARP</v>
      </c>
    </row>
    <row r="1852" customFormat="false" ht="12.75" hidden="false" customHeight="true" outlineLevel="0" collapsed="false">
      <c r="A1852" s="3" t="s">
        <v>2846</v>
      </c>
      <c r="B1852" s="3" t="str">
        <f aca="false">IF(ISNUMBER(SEARCH("%", A1852)),RIGHT(A1852,3),A1852)</f>
        <v>good rod:</v>
      </c>
      <c r="C1852" s="1" t="str">
        <f aca="false" t="array" ref="C1852:C1852">IF(B1851="NEW ROUTE",textsplit(B1852,","),"")</f>
        <v/>
      </c>
      <c r="H1852" s="1" t="str">
        <f aca="false">IF(C1852&lt;&gt;"",DEC2HEX(C1852,2),"")</f>
        <v/>
      </c>
      <c r="I1852" s="1" t="str">
        <f aca="false">IF(D1852&lt;&gt;"",DEC2HEX(D1852,2),"")</f>
        <v/>
      </c>
      <c r="J1852" s="1" t="str">
        <f aca="false">IF(H1852&lt;&gt;"","0x"&amp;I1852&amp;H1852,"")</f>
        <v/>
      </c>
      <c r="L1852" s="1" t="s">
        <v>2846</v>
      </c>
      <c r="M1852" s="1" t="str">
        <f aca="false">IF(J1852&lt;&gt;"",J1852,L1852)</f>
        <v>good rod:</v>
      </c>
    </row>
    <row r="1853" customFormat="false" ht="12.75" hidden="false" customHeight="true" outlineLevel="0" collapsed="false">
      <c r="A1853" s="3" t="s">
        <v>2847</v>
      </c>
      <c r="B1853" s="3" t="str">
        <f aca="false">IF(ISNUMBER(SEARCH("%", A1853)),RIGHT(A1853,3),A1853)</f>
        <v>5, 15, KRABBY</v>
      </c>
      <c r="C1853" s="1" t="str">
        <f aca="false" t="array" ref="C1853:C1853">IF(B1852="NEW ROUTE",textsplit(B1853,","),"")</f>
        <v/>
      </c>
      <c r="H1853" s="1" t="str">
        <f aca="false">IF(C1853&lt;&gt;"",DEC2HEX(C1853,2),"")</f>
        <v/>
      </c>
      <c r="I1853" s="1" t="str">
        <f aca="false">IF(D1853&lt;&gt;"",DEC2HEX(D1853,2),"")</f>
        <v/>
      </c>
      <c r="J1853" s="1" t="str">
        <f aca="false">IF(H1853&lt;&gt;"","0x"&amp;I1853&amp;H1853,"")</f>
        <v/>
      </c>
      <c r="L1853" s="1" t="s">
        <v>2847</v>
      </c>
      <c r="M1853" s="1" t="str">
        <f aca="false">IF(J1853&lt;&gt;"",J1853,L1853)</f>
        <v>5, 15, KRABBY</v>
      </c>
    </row>
    <row r="1854" customFormat="false" ht="12.75" hidden="false" customHeight="true" outlineLevel="0" collapsed="false">
      <c r="A1854" s="3" t="s">
        <v>2848</v>
      </c>
      <c r="B1854" s="3" t="str">
        <f aca="false">IF(ISNUMBER(SEARCH("%", A1854)),RIGHT(A1854,3),A1854)</f>
        <v>5, 15, MAGIKARP</v>
      </c>
      <c r="C1854" s="1" t="str">
        <f aca="false" t="array" ref="C1854:C1854">IF(B1853="NEW ROUTE",textsplit(B1854,","),"")</f>
        <v/>
      </c>
      <c r="H1854" s="1" t="str">
        <f aca="false">IF(C1854&lt;&gt;"",DEC2HEX(C1854,2),"")</f>
        <v/>
      </c>
      <c r="I1854" s="1" t="str">
        <f aca="false">IF(D1854&lt;&gt;"",DEC2HEX(D1854,2),"")</f>
        <v/>
      </c>
      <c r="J1854" s="1" t="str">
        <f aca="false">IF(H1854&lt;&gt;"","0x"&amp;I1854&amp;H1854,"")</f>
        <v/>
      </c>
      <c r="L1854" s="1" t="s">
        <v>2848</v>
      </c>
      <c r="M1854" s="1" t="str">
        <f aca="false">IF(J1854&lt;&gt;"",J1854,L1854)</f>
        <v>5, 15, MAGIKARP</v>
      </c>
    </row>
    <row r="1855" customFormat="false" ht="12.75" hidden="false" customHeight="true" outlineLevel="0" collapsed="false">
      <c r="A1855" s="3" t="s">
        <v>2847</v>
      </c>
      <c r="B1855" s="3" t="str">
        <f aca="false">IF(ISNUMBER(SEARCH("%", A1855)),RIGHT(A1855,3),A1855)</f>
        <v>5, 15, KRABBY</v>
      </c>
      <c r="C1855" s="1" t="str">
        <f aca="false" t="array" ref="C1855:C1855">IF(B1854="NEW ROUTE",textsplit(B1855,","),"")</f>
        <v/>
      </c>
      <c r="H1855" s="1" t="str">
        <f aca="false">IF(C1855&lt;&gt;"",DEC2HEX(C1855,2),"")</f>
        <v/>
      </c>
      <c r="I1855" s="1" t="str">
        <f aca="false">IF(D1855&lt;&gt;"",DEC2HEX(D1855,2),"")</f>
        <v/>
      </c>
      <c r="J1855" s="1" t="str">
        <f aca="false">IF(H1855&lt;&gt;"","0x"&amp;I1855&amp;H1855,"")</f>
        <v/>
      </c>
      <c r="L1855" s="1" t="s">
        <v>2847</v>
      </c>
      <c r="M1855" s="1" t="str">
        <f aca="false">IF(J1855&lt;&gt;"",J1855,L1855)</f>
        <v>5, 15, KRABBY</v>
      </c>
    </row>
    <row r="1856" customFormat="false" ht="12.75" hidden="false" customHeight="true" outlineLevel="0" collapsed="false">
      <c r="A1856" s="3" t="s">
        <v>2850</v>
      </c>
      <c r="B1856" s="3" t="str">
        <f aca="false">IF(ISNUMBER(SEARCH("%", A1856)),RIGHT(A1856,3),A1856)</f>
        <v>super rod:</v>
      </c>
      <c r="C1856" s="1" t="str">
        <f aca="false" t="array" ref="C1856:C1856">IF(B1855="NEW ROUTE",textsplit(B1856,","),"")</f>
        <v/>
      </c>
      <c r="H1856" s="1" t="str">
        <f aca="false">IF(C1856&lt;&gt;"",DEC2HEX(C1856,2),"")</f>
        <v/>
      </c>
      <c r="I1856" s="1" t="str">
        <f aca="false">IF(D1856&lt;&gt;"",DEC2HEX(D1856,2),"")</f>
        <v/>
      </c>
      <c r="J1856" s="1" t="str">
        <f aca="false">IF(H1856&lt;&gt;"","0x"&amp;I1856&amp;H1856,"")</f>
        <v/>
      </c>
      <c r="L1856" s="1" t="s">
        <v>2850</v>
      </c>
      <c r="M1856" s="1" t="str">
        <f aca="false">IF(J1856&lt;&gt;"",J1856,L1856)</f>
        <v>super rod:</v>
      </c>
    </row>
    <row r="1857" customFormat="false" ht="12.75" hidden="false" customHeight="true" outlineLevel="0" collapsed="false">
      <c r="A1857" s="3" t="s">
        <v>2851</v>
      </c>
      <c r="B1857" s="3" t="str">
        <f aca="false">IF(ISNUMBER(SEARCH("%", A1857)),RIGHT(A1857,3),A1857)</f>
        <v>15, 25, KRABBY</v>
      </c>
      <c r="C1857" s="1" t="str">
        <f aca="false" t="array" ref="C1857:C1857">IF(B1856="NEW ROUTE",textsplit(B1857,","),"")</f>
        <v/>
      </c>
      <c r="H1857" s="1" t="str">
        <f aca="false">IF(C1857&lt;&gt;"",DEC2HEX(C1857,2),"")</f>
        <v/>
      </c>
      <c r="I1857" s="1" t="str">
        <f aca="false">IF(D1857&lt;&gt;"",DEC2HEX(D1857,2),"")</f>
        <v/>
      </c>
      <c r="J1857" s="1" t="str">
        <f aca="false">IF(H1857&lt;&gt;"","0x"&amp;I1857&amp;H1857,"")</f>
        <v/>
      </c>
      <c r="L1857" s="1" t="s">
        <v>2851</v>
      </c>
      <c r="M1857" s="1" t="str">
        <f aca="false">IF(J1857&lt;&gt;"",J1857,L1857)</f>
        <v>15, 25, KRABBY</v>
      </c>
    </row>
    <row r="1858" customFormat="false" ht="12.75" hidden="false" customHeight="true" outlineLevel="0" collapsed="false">
      <c r="A1858" s="3" t="s">
        <v>3258</v>
      </c>
      <c r="B1858" s="3" t="str">
        <f aca="false">IF(ISNUMBER(SEARCH("%", A1858)),RIGHT(A1858,3),A1858)</f>
        <v>15, 25, REMORAID</v>
      </c>
      <c r="C1858" s="1" t="str">
        <f aca="false" t="array" ref="C1858:C1858">IF(B1857="NEW ROUTE",textsplit(B1858,","),"")</f>
        <v/>
      </c>
      <c r="H1858" s="1" t="str">
        <f aca="false">IF(C1858&lt;&gt;"",DEC2HEX(C1858,2),"")</f>
        <v/>
      </c>
      <c r="I1858" s="1" t="str">
        <f aca="false">IF(D1858&lt;&gt;"",DEC2HEX(D1858,2),"")</f>
        <v/>
      </c>
      <c r="J1858" s="1" t="str">
        <f aca="false">IF(H1858&lt;&gt;"","0x"&amp;I1858&amp;H1858,"")</f>
        <v/>
      </c>
      <c r="L1858" s="1" t="s">
        <v>3258</v>
      </c>
      <c r="M1858" s="1" t="str">
        <f aca="false">IF(J1858&lt;&gt;"",J1858,L1858)</f>
        <v>15, 25, REMORAID</v>
      </c>
    </row>
    <row r="1859" customFormat="false" ht="12.75" hidden="false" customHeight="true" outlineLevel="0" collapsed="false">
      <c r="A1859" s="3" t="s">
        <v>2853</v>
      </c>
      <c r="B1859" s="3" t="str">
        <f aca="false">IF(ISNUMBER(SEARCH("%", A1859)),RIGHT(A1859,3),A1859)</f>
        <v>15, 25, GYARADOS</v>
      </c>
      <c r="C1859" s="1" t="str">
        <f aca="false" t="array" ref="C1859:C1859">IF(B1858="NEW ROUTE",textsplit(B1859,","),"")</f>
        <v/>
      </c>
      <c r="H1859" s="1" t="str">
        <f aca="false">IF(C1859&lt;&gt;"",DEC2HEX(C1859,2),"")</f>
        <v/>
      </c>
      <c r="I1859" s="1" t="str">
        <f aca="false">IF(D1859&lt;&gt;"",DEC2HEX(D1859,2),"")</f>
        <v/>
      </c>
      <c r="J1859" s="1" t="str">
        <f aca="false">IF(H1859&lt;&gt;"","0x"&amp;I1859&amp;H1859,"")</f>
        <v/>
      </c>
      <c r="L1859" s="1" t="s">
        <v>2853</v>
      </c>
      <c r="M1859" s="1" t="str">
        <f aca="false">IF(J1859&lt;&gt;"",J1859,L1859)</f>
        <v>15, 25, GYARADOS</v>
      </c>
    </row>
    <row r="1860" customFormat="false" ht="12.75" hidden="false" customHeight="true" outlineLevel="0" collapsed="false">
      <c r="A1860" s="3" t="s">
        <v>3177</v>
      </c>
      <c r="B1860" s="3" t="str">
        <f aca="false">IF(ISNUMBER(SEARCH("%", A1860)),RIGHT(A1860,3),A1860)</f>
        <v>25, 35, KINGLER</v>
      </c>
      <c r="C1860" s="1" t="str">
        <f aca="false" t="array" ref="C1860:C1860">IF(B1859="NEW ROUTE",textsplit(B1860,","),"")</f>
        <v/>
      </c>
      <c r="H1860" s="1" t="str">
        <f aca="false">IF(C1860&lt;&gt;"",DEC2HEX(C1860,2),"")</f>
        <v/>
      </c>
      <c r="I1860" s="1" t="str">
        <f aca="false">IF(D1860&lt;&gt;"",DEC2HEX(D1860,2),"")</f>
        <v/>
      </c>
      <c r="J1860" s="1" t="str">
        <f aca="false">IF(H1860&lt;&gt;"","0x"&amp;I1860&amp;H1860,"")</f>
        <v/>
      </c>
      <c r="L1860" s="1" t="s">
        <v>3177</v>
      </c>
      <c r="M1860" s="1" t="str">
        <f aca="false">IF(J1860&lt;&gt;"",J1860,L1860)</f>
        <v>25, 35, KINGLER</v>
      </c>
    </row>
    <row r="1861" customFormat="false" ht="12.75" hidden="false" customHeight="true" outlineLevel="0" collapsed="false">
      <c r="A1861" s="3" t="s">
        <v>2855</v>
      </c>
      <c r="B1861" s="3" t="str">
        <f aca="false">IF(ISNUMBER(SEARCH("%", A1861)),RIGHT(A1861,3),A1861)</f>
        <v>25, 35, SLOWPOKE</v>
      </c>
      <c r="C1861" s="1" t="str">
        <f aca="false" t="array" ref="C1861:C1861">IF(B1860="NEW ROUTE",textsplit(B1861,","),"")</f>
        <v/>
      </c>
      <c r="H1861" s="1" t="str">
        <f aca="false">IF(C1861&lt;&gt;"",DEC2HEX(C1861,2),"")</f>
        <v/>
      </c>
      <c r="I1861" s="1" t="str">
        <f aca="false">IF(D1861&lt;&gt;"",DEC2HEX(D1861,2),"")</f>
        <v/>
      </c>
      <c r="J1861" s="1" t="str">
        <f aca="false">IF(H1861&lt;&gt;"","0x"&amp;I1861&amp;H1861,"")</f>
        <v/>
      </c>
      <c r="L1861" s="1" t="s">
        <v>2855</v>
      </c>
      <c r="M1861" s="1" t="str">
        <f aca="false">IF(J1861&lt;&gt;"",J1861,L1861)</f>
        <v>25, 35, SLOWPOKE</v>
      </c>
    </row>
    <row r="1862" customFormat="false" ht="12.75" hidden="false" customHeight="true" outlineLevel="0" collapsed="false">
      <c r="A1862" s="3" t="s">
        <v>2536</v>
      </c>
      <c r="B1862" s="3" t="str">
        <f aca="false">IF(ISNUMBER(SEARCH("%", A1862)),RIGHT(A1862,3),A1862)</f>
        <v>NEW ROUTE</v>
      </c>
      <c r="C1862" s="1" t="str">
        <f aca="false" t="array" ref="C1862:C1862">IF(B1861="NEW ROUTE",textsplit(B1862,","),"")</f>
        <v/>
      </c>
      <c r="H1862" s="1" t="str">
        <f aca="false">IF(C1862&lt;&gt;"",DEC2HEX(C1862,2),"")</f>
        <v/>
      </c>
      <c r="I1862" s="1" t="str">
        <f aca="false">IF(D1862&lt;&gt;"",DEC2HEX(D1862,2),"")</f>
        <v/>
      </c>
      <c r="J1862" s="1" t="str">
        <f aca="false">IF(H1862&lt;&gt;"","0x"&amp;I1862&amp;H1862,"")</f>
        <v/>
      </c>
      <c r="L1862" s="1" t="s">
        <v>2536</v>
      </c>
      <c r="M1862" s="1" t="str">
        <f aca="false">IF(J1862&lt;&gt;"",J1862,L1862)</f>
        <v>NEW ROUTE</v>
      </c>
    </row>
    <row r="1863" customFormat="false" ht="12.75" hidden="false" customHeight="true" outlineLevel="0" collapsed="false">
      <c r="A1863" s="3" t="s">
        <v>3297</v>
      </c>
      <c r="B1863" s="3" t="str">
        <f aca="false">IF(ISNUMBER(SEARCH("%", A1863)),RIGHT(A1863,3),A1863)</f>
        <v>3, 63, 0,</v>
      </c>
      <c r="C1863" s="1" t="e">
        <f aca="false" t="array" ref="C1863:C1863">IF(B1862="NEW ROUTE",textsplit(B1863,","),"")</f>
        <v>#NAME?</v>
      </c>
      <c r="H1863" s="1" t="e">
        <f aca="false">IF(C1863&lt;&gt;"",DEC2HEX(C1863,2),"")</f>
        <v>#NAME?</v>
      </c>
      <c r="I1863" s="1" t="str">
        <f aca="false">IF(D1863&lt;&gt;"",DEC2HEX(D1863,2),"")</f>
        <v/>
      </c>
      <c r="J1863" s="1" t="e">
        <f aca="false">IF(H1863&lt;&gt;"","0x"&amp;I1863&amp;H1863,"")</f>
        <v>#NAME?</v>
      </c>
      <c r="L1863" s="1" t="s">
        <v>3297</v>
      </c>
      <c r="M1863" s="1" t="e">
        <f aca="false">IF(J1863&lt;&gt;"",J1863,L1863)</f>
        <v>#NAME?</v>
      </c>
    </row>
    <row r="1864" customFormat="false" ht="12.75" hidden="false" customHeight="true" outlineLevel="0" collapsed="false">
      <c r="A1864" s="3" t="s">
        <v>2908</v>
      </c>
      <c r="B1864" s="3" t="str">
        <f aca="false">IF(ISNUMBER(SEARCH("%", A1864)),RIGHT(A1864,3),A1864)</f>
        <v>20%</v>
      </c>
      <c r="C1864" s="1" t="str">
        <f aca="false" t="array" ref="C1864:C1864">IF(B1863="NEW ROUTE",textsplit(B1864,","),"")</f>
        <v/>
      </c>
      <c r="H1864" s="1" t="str">
        <f aca="false">IF(C1864&lt;&gt;"",DEC2HEX(C1864,2),"")</f>
        <v/>
      </c>
      <c r="I1864" s="1" t="str">
        <f aca="false">IF(D1864&lt;&gt;"",DEC2HEX(D1864,2),"")</f>
        <v/>
      </c>
      <c r="J1864" s="1" t="str">
        <f aca="false">IF(H1864&lt;&gt;"","0x"&amp;I1864&amp;H1864,"")</f>
        <v/>
      </c>
      <c r="L1864" s="1" t="s">
        <v>2799</v>
      </c>
      <c r="M1864" s="1" t="str">
        <f aca="false">IF(J1864&lt;&gt;"",J1864,L1864)</f>
        <v>20%</v>
      </c>
    </row>
    <row r="1865" customFormat="false" ht="12.75" hidden="false" customHeight="true" outlineLevel="0" collapsed="false">
      <c r="A1865" s="3" t="s">
        <v>1736</v>
      </c>
      <c r="B1865" s="3" t="str">
        <f aca="false">IF(ISNUMBER(SEARCH("%", A1865)),RIGHT(A1865,3),A1865)</f>
        <v>44, 44, SPEAROW</v>
      </c>
      <c r="C1865" s="1" t="str">
        <f aca="false" t="array" ref="C1865:C1865">IF(B1864="NEW ROUTE",textsplit(B1865,","),"")</f>
        <v/>
      </c>
      <c r="H1865" s="1" t="str">
        <f aca="false">IF(C1865&lt;&gt;"",DEC2HEX(C1865,2),"")</f>
        <v/>
      </c>
      <c r="I1865" s="1" t="str">
        <f aca="false">IF(D1865&lt;&gt;"",DEC2HEX(D1865,2),"")</f>
        <v/>
      </c>
      <c r="J1865" s="1" t="str">
        <f aca="false">IF(H1865&lt;&gt;"","0x"&amp;I1865&amp;H1865,"")</f>
        <v/>
      </c>
      <c r="L1865" s="1" t="s">
        <v>1736</v>
      </c>
      <c r="M1865" s="1" t="str">
        <f aca="false">IF(J1865&lt;&gt;"",J1865,L1865)</f>
        <v>44, 44, SPEAROW</v>
      </c>
    </row>
    <row r="1866" customFormat="false" ht="12.75" hidden="false" customHeight="true" outlineLevel="0" collapsed="false">
      <c r="A1866" s="3" t="s">
        <v>3261</v>
      </c>
      <c r="B1866" s="3" t="str">
        <f aca="false">IF(ISNUMBER(SEARCH("%", A1866)),RIGHT(A1866,3),A1866)</f>
        <v>10, 10, SENTRET</v>
      </c>
      <c r="C1866" s="1" t="str">
        <f aca="false" t="array" ref="C1866:C1866">IF(B1865="NEW ROUTE",textsplit(B1866,","),"")</f>
        <v/>
      </c>
      <c r="H1866" s="1" t="str">
        <f aca="false">IF(C1866&lt;&gt;"",DEC2HEX(C1866,2),"")</f>
        <v/>
      </c>
      <c r="I1866" s="1" t="str">
        <f aca="false">IF(D1866&lt;&gt;"",DEC2HEX(D1866,2),"")</f>
        <v/>
      </c>
      <c r="J1866" s="1" t="str">
        <f aca="false">IF(H1866&lt;&gt;"","0x"&amp;I1866&amp;H1866,"")</f>
        <v/>
      </c>
      <c r="L1866" s="1" t="s">
        <v>3261</v>
      </c>
      <c r="M1866" s="1" t="str">
        <f aca="false">IF(J1866&lt;&gt;"",J1866,L1866)</f>
        <v>10, 10, SENTRET</v>
      </c>
    </row>
    <row r="1867" customFormat="false" ht="12.75" hidden="false" customHeight="true" outlineLevel="0" collapsed="false">
      <c r="A1867" s="3" t="s">
        <v>2801</v>
      </c>
      <c r="B1867" s="3" t="str">
        <f aca="false">IF(ISNUMBER(SEARCH("%", A1867)),RIGHT(A1867,3),A1867)</f>
        <v>0.1</v>
      </c>
      <c r="C1867" s="1" t="str">
        <f aca="false" t="array" ref="C1867:C1867">IF(B1866="NEW ROUTE",textsplit(B1867,","),"")</f>
        <v/>
      </c>
      <c r="H1867" s="1" t="str">
        <f aca="false">IF(C1867&lt;&gt;"",DEC2HEX(C1867,2),"")</f>
        <v/>
      </c>
      <c r="I1867" s="1" t="str">
        <f aca="false">IF(D1867&lt;&gt;"",DEC2HEX(D1867,2),"")</f>
        <v/>
      </c>
      <c r="J1867" s="1" t="str">
        <f aca="false">IF(H1867&lt;&gt;"","0x"&amp;I1867&amp;H1867,"")</f>
        <v/>
      </c>
      <c r="L1867" s="1" t="s">
        <v>2801</v>
      </c>
      <c r="M1867" s="1" t="str">
        <f aca="false">IF(J1867&lt;&gt;"",J1867,L1867)</f>
        <v>0.1</v>
      </c>
    </row>
    <row r="1868" customFormat="false" ht="12.75" hidden="false" customHeight="true" outlineLevel="0" collapsed="false">
      <c r="A1868" s="3" t="s">
        <v>3298</v>
      </c>
      <c r="B1868" s="3" t="str">
        <f aca="false">IF(ISNUMBER(SEARCH("%", A1868)),RIGHT(A1868,3),A1868)</f>
        <v>10, 10, PHANPY</v>
      </c>
      <c r="C1868" s="1" t="str">
        <f aca="false" t="array" ref="C1868:C1868">IF(B1867="NEW ROUTE",textsplit(B1868,","),"")</f>
        <v/>
      </c>
      <c r="H1868" s="1" t="str">
        <f aca="false">IF(C1868&lt;&gt;"",DEC2HEX(C1868,2),"")</f>
        <v/>
      </c>
      <c r="I1868" s="1" t="str">
        <f aca="false">IF(D1868&lt;&gt;"",DEC2HEX(D1868,2),"")</f>
        <v/>
      </c>
      <c r="J1868" s="1" t="str">
        <f aca="false">IF(H1868&lt;&gt;"","0x"&amp;I1868&amp;H1868,"")</f>
        <v/>
      </c>
      <c r="L1868" s="1" t="s">
        <v>3298</v>
      </c>
      <c r="M1868" s="1" t="str">
        <f aca="false">IF(J1868&lt;&gt;"",J1868,L1868)</f>
        <v>10, 10, PHANPY</v>
      </c>
    </row>
    <row r="1869" customFormat="false" ht="12.75" hidden="false" customHeight="true" outlineLevel="0" collapsed="false">
      <c r="A1869" s="3" t="s">
        <v>3279</v>
      </c>
      <c r="B1869" s="3" t="str">
        <f aca="false">IF(ISNUMBER(SEARCH("%", A1869)),RIGHT(A1869,3),A1869)</f>
        <v>48, 48, FEAROW</v>
      </c>
      <c r="C1869" s="1" t="str">
        <f aca="false" t="array" ref="C1869:C1869">IF(B1868="NEW ROUTE",textsplit(B1869,","),"")</f>
        <v/>
      </c>
      <c r="H1869" s="1" t="str">
        <f aca="false">IF(C1869&lt;&gt;"",DEC2HEX(C1869,2),"")</f>
        <v/>
      </c>
      <c r="I1869" s="1" t="str">
        <f aca="false">IF(D1869&lt;&gt;"",DEC2HEX(D1869,2),"")</f>
        <v/>
      </c>
      <c r="J1869" s="1" t="str">
        <f aca="false">IF(H1869&lt;&gt;"","0x"&amp;I1869&amp;H1869,"")</f>
        <v/>
      </c>
      <c r="L1869" s="1" t="s">
        <v>3279</v>
      </c>
      <c r="M1869" s="1" t="str">
        <f aca="false">IF(J1869&lt;&gt;"",J1869,L1869)</f>
        <v>48, 48, FEAROW</v>
      </c>
    </row>
    <row r="1870" customFormat="false" ht="12.75" hidden="false" customHeight="true" outlineLevel="0" collapsed="false">
      <c r="A1870" s="3" t="s">
        <v>3263</v>
      </c>
      <c r="B1870" s="3" t="str">
        <f aca="false">IF(ISNUMBER(SEARCH("%", A1870)),RIGHT(A1870,3),A1870)</f>
        <v>15, 15, SENTRET</v>
      </c>
      <c r="C1870" s="1" t="str">
        <f aca="false" t="array" ref="C1870:C1870">IF(B1869="NEW ROUTE",textsplit(B1870,","),"")</f>
        <v/>
      </c>
      <c r="H1870" s="1" t="str">
        <f aca="false">IF(C1870&lt;&gt;"",DEC2HEX(C1870,2),"")</f>
        <v/>
      </c>
      <c r="I1870" s="1" t="str">
        <f aca="false">IF(D1870&lt;&gt;"",DEC2HEX(D1870,2),"")</f>
        <v/>
      </c>
      <c r="J1870" s="1" t="str">
        <f aca="false">IF(H1870&lt;&gt;"","0x"&amp;I1870&amp;H1870,"")</f>
        <v/>
      </c>
      <c r="L1870" s="1" t="s">
        <v>3263</v>
      </c>
      <c r="M1870" s="1" t="str">
        <f aca="false">IF(J1870&lt;&gt;"",J1870,L1870)</f>
        <v>15, 15, SENTRET</v>
      </c>
    </row>
    <row r="1871" customFormat="false" ht="12.75" hidden="false" customHeight="true" outlineLevel="0" collapsed="false">
      <c r="A1871" s="3" t="s">
        <v>3264</v>
      </c>
      <c r="B1871" s="3" t="str">
        <f aca="false">IF(ISNUMBER(SEARCH("%", A1871)),RIGHT(A1871,3),A1871)</f>
        <v>41, 41, MEOWTH</v>
      </c>
      <c r="C1871" s="1" t="str">
        <f aca="false" t="array" ref="C1871:C1871">IF(B1870="NEW ROUTE",textsplit(B1871,","),"")</f>
        <v/>
      </c>
      <c r="H1871" s="1" t="str">
        <f aca="false">IF(C1871&lt;&gt;"",DEC2HEX(C1871,2),"")</f>
        <v/>
      </c>
      <c r="I1871" s="1" t="str">
        <f aca="false">IF(D1871&lt;&gt;"",DEC2HEX(D1871,2),"")</f>
        <v/>
      </c>
      <c r="J1871" s="1" t="str">
        <f aca="false">IF(H1871&lt;&gt;"","0x"&amp;I1871&amp;H1871,"")</f>
        <v/>
      </c>
      <c r="L1871" s="1" t="s">
        <v>3264</v>
      </c>
      <c r="M1871" s="1" t="str">
        <f aca="false">IF(J1871&lt;&gt;"",J1871,L1871)</f>
        <v>41, 41, MEOWTH</v>
      </c>
    </row>
    <row r="1872" customFormat="false" ht="12.75" hidden="false" customHeight="true" outlineLevel="0" collapsed="false">
      <c r="A1872" s="3" t="s">
        <v>2806</v>
      </c>
      <c r="B1872" s="3" t="str">
        <f aca="false">IF(ISNUMBER(SEARCH("%", A1872)),RIGHT(A1872,3),A1872)</f>
        <v>0.05</v>
      </c>
      <c r="C1872" s="1" t="str">
        <f aca="false" t="array" ref="C1872:C1872">IF(B1871="NEW ROUTE",textsplit(B1872,","),"")</f>
        <v/>
      </c>
      <c r="H1872" s="1" t="str">
        <f aca="false">IF(C1872&lt;&gt;"",DEC2HEX(C1872,2),"")</f>
        <v/>
      </c>
      <c r="I1872" s="1" t="str">
        <f aca="false">IF(D1872&lt;&gt;"",DEC2HEX(D1872,2),"")</f>
        <v/>
      </c>
      <c r="J1872" s="1" t="str">
        <f aca="false">IF(H1872&lt;&gt;"","0x"&amp;I1872&amp;H1872,"")</f>
        <v/>
      </c>
      <c r="L1872" s="1" t="s">
        <v>2806</v>
      </c>
      <c r="M1872" s="1" t="str">
        <f aca="false">IF(J1872&lt;&gt;"",J1872,L1872)</f>
        <v>0.05</v>
      </c>
    </row>
    <row r="1873" customFormat="false" ht="12.75" hidden="false" customHeight="true" outlineLevel="0" collapsed="false">
      <c r="A1873" s="3" t="s">
        <v>3281</v>
      </c>
      <c r="B1873" s="3" t="str">
        <f aca="false">IF(ISNUMBER(SEARCH("%", A1873)),RIGHT(A1873,3),A1873)</f>
        <v>50, 50, FEAROW</v>
      </c>
      <c r="C1873" s="1" t="str">
        <f aca="false" t="array" ref="C1873:C1873">IF(B1872="NEW ROUTE",textsplit(B1873,","),"")</f>
        <v/>
      </c>
      <c r="H1873" s="1" t="str">
        <f aca="false">IF(C1873&lt;&gt;"",DEC2HEX(C1873,2),"")</f>
        <v/>
      </c>
      <c r="I1873" s="1" t="str">
        <f aca="false">IF(D1873&lt;&gt;"",DEC2HEX(D1873,2),"")</f>
        <v/>
      </c>
      <c r="J1873" s="1" t="str">
        <f aca="false">IF(H1873&lt;&gt;"","0x"&amp;I1873&amp;H1873,"")</f>
        <v/>
      </c>
      <c r="L1873" s="1" t="s">
        <v>3281</v>
      </c>
      <c r="M1873" s="1" t="str">
        <f aca="false">IF(J1873&lt;&gt;"",J1873,L1873)</f>
        <v>50, 50, FEAROW</v>
      </c>
    </row>
    <row r="1874" customFormat="false" ht="12.75" hidden="false" customHeight="true" outlineLevel="0" collapsed="false">
      <c r="A1874" s="3" t="s">
        <v>3154</v>
      </c>
      <c r="B1874" s="3" t="str">
        <f aca="false">IF(ISNUMBER(SEARCH("%", A1874)),RIGHT(A1874,3),A1874)</f>
        <v>41, 41, SLOWPOKE</v>
      </c>
      <c r="C1874" s="1" t="str">
        <f aca="false" t="array" ref="C1874:C1874">IF(B1873="NEW ROUTE",textsplit(B1874,","),"")</f>
        <v/>
      </c>
      <c r="H1874" s="1" t="str">
        <f aca="false">IF(C1874&lt;&gt;"",DEC2HEX(C1874,2),"")</f>
        <v/>
      </c>
      <c r="I1874" s="1" t="str">
        <f aca="false">IF(D1874&lt;&gt;"",DEC2HEX(D1874,2),"")</f>
        <v/>
      </c>
      <c r="J1874" s="1" t="str">
        <f aca="false">IF(H1874&lt;&gt;"","0x"&amp;I1874&amp;H1874,"")</f>
        <v/>
      </c>
      <c r="L1874" s="1" t="s">
        <v>3154</v>
      </c>
      <c r="M1874" s="1" t="str">
        <f aca="false">IF(J1874&lt;&gt;"",J1874,L1874)</f>
        <v>41, 41, SLOWPOKE</v>
      </c>
    </row>
    <row r="1875" customFormat="false" ht="12.75" hidden="false" customHeight="true" outlineLevel="0" collapsed="false">
      <c r="A1875" s="3" t="s">
        <v>2809</v>
      </c>
      <c r="B1875" s="3" t="str">
        <f aca="false">IF(ISNUMBER(SEARCH("%", A1875)),RIGHT(A1875,3),A1875)</f>
        <v>0.04</v>
      </c>
      <c r="C1875" s="1" t="str">
        <f aca="false" t="array" ref="C1875:C1875">IF(B1874="NEW ROUTE",textsplit(B1875,","),"")</f>
        <v/>
      </c>
      <c r="H1875" s="1" t="str">
        <f aca="false">IF(C1875&lt;&gt;"",DEC2HEX(C1875,2),"")</f>
        <v/>
      </c>
      <c r="I1875" s="1" t="str">
        <f aca="false">IF(D1875&lt;&gt;"",DEC2HEX(D1875,2),"")</f>
        <v/>
      </c>
      <c r="J1875" s="1" t="str">
        <f aca="false">IF(H1875&lt;&gt;"","0x"&amp;I1875&amp;H1875,"")</f>
        <v/>
      </c>
      <c r="L1875" s="1" t="s">
        <v>2809</v>
      </c>
      <c r="M1875" s="1" t="str">
        <f aca="false">IF(J1875&lt;&gt;"",J1875,L1875)</f>
        <v>0.04</v>
      </c>
    </row>
    <row r="1876" customFormat="false" ht="12.75" hidden="false" customHeight="true" outlineLevel="0" collapsed="false">
      <c r="A1876" s="3" t="s">
        <v>3299</v>
      </c>
      <c r="B1876" s="3" t="str">
        <f aca="false">IF(ISNUMBER(SEARCH("%", A1876)),RIGHT(A1876,3),A1876)</f>
        <v>15, 15, PHANPY</v>
      </c>
      <c r="C1876" s="1" t="str">
        <f aca="false" t="array" ref="C1876:C1876">IF(B1875="NEW ROUTE",textsplit(B1876,","),"")</f>
        <v/>
      </c>
      <c r="H1876" s="1" t="str">
        <f aca="false">IF(C1876&lt;&gt;"",DEC2HEX(C1876,2),"")</f>
        <v/>
      </c>
      <c r="I1876" s="1" t="str">
        <f aca="false">IF(D1876&lt;&gt;"",DEC2HEX(D1876,2),"")</f>
        <v/>
      </c>
      <c r="J1876" s="1" t="str">
        <f aca="false">IF(H1876&lt;&gt;"","0x"&amp;I1876&amp;H1876,"")</f>
        <v/>
      </c>
      <c r="L1876" s="1" t="s">
        <v>3299</v>
      </c>
      <c r="M1876" s="1" t="str">
        <f aca="false">IF(J1876&lt;&gt;"",J1876,L1876)</f>
        <v>15, 15, PHANPY</v>
      </c>
    </row>
    <row r="1877" customFormat="false" ht="12.75" hidden="false" customHeight="true" outlineLevel="0" collapsed="false">
      <c r="A1877" s="3" t="s">
        <v>3267</v>
      </c>
      <c r="B1877" s="3" t="str">
        <f aca="false">IF(ISNUMBER(SEARCH("%", A1877)),RIGHT(A1877,3),A1877)</f>
        <v>47, 47, PERSIAN</v>
      </c>
      <c r="C1877" s="1" t="str">
        <f aca="false" t="array" ref="C1877:C1877">IF(B1876="NEW ROUTE",textsplit(B1877,","),"")</f>
        <v/>
      </c>
      <c r="H1877" s="1" t="str">
        <f aca="false">IF(C1877&lt;&gt;"",DEC2HEX(C1877,2),"")</f>
        <v/>
      </c>
      <c r="I1877" s="1" t="str">
        <f aca="false">IF(D1877&lt;&gt;"",DEC2HEX(D1877,2),"")</f>
        <v/>
      </c>
      <c r="J1877" s="1" t="str">
        <f aca="false">IF(H1877&lt;&gt;"","0x"&amp;I1877&amp;H1877,"")</f>
        <v/>
      </c>
      <c r="L1877" s="1" t="s">
        <v>3267</v>
      </c>
      <c r="M1877" s="1" t="str">
        <f aca="false">IF(J1877&lt;&gt;"",J1877,L1877)</f>
        <v>47, 47, PERSIAN</v>
      </c>
    </row>
    <row r="1878" customFormat="false" ht="12.75" hidden="false" customHeight="true" outlineLevel="0" collapsed="false">
      <c r="A1878" s="3" t="s">
        <v>2812</v>
      </c>
      <c r="B1878" s="3" t="str">
        <f aca="false">IF(ISNUMBER(SEARCH("%", A1878)),RIGHT(A1878,3),A1878)</f>
        <v>0.01</v>
      </c>
      <c r="C1878" s="1" t="str">
        <f aca="false" t="array" ref="C1878:C1878">IF(B1877="NEW ROUTE",textsplit(B1878,","),"")</f>
        <v/>
      </c>
      <c r="H1878" s="1" t="str">
        <f aca="false">IF(C1878&lt;&gt;"",DEC2HEX(C1878,2),"")</f>
        <v/>
      </c>
      <c r="I1878" s="1" t="str">
        <f aca="false">IF(D1878&lt;&gt;"",DEC2HEX(D1878,2),"")</f>
        <v/>
      </c>
      <c r="J1878" s="1" t="str">
        <f aca="false">IF(H1878&lt;&gt;"","0x"&amp;I1878&amp;H1878,"")</f>
        <v/>
      </c>
      <c r="L1878" s="1" t="s">
        <v>2812</v>
      </c>
      <c r="M1878" s="1" t="str">
        <f aca="false">IF(J1878&lt;&gt;"",J1878,L1878)</f>
        <v>0.01</v>
      </c>
    </row>
    <row r="1879" customFormat="false" ht="12.75" hidden="false" customHeight="true" outlineLevel="0" collapsed="false">
      <c r="A1879" s="3" t="s">
        <v>3299</v>
      </c>
      <c r="B1879" s="3" t="str">
        <f aca="false">IF(ISNUMBER(SEARCH("%", A1879)),RIGHT(A1879,3),A1879)</f>
        <v>15, 15, PHANPY</v>
      </c>
      <c r="C1879" s="1" t="str">
        <f aca="false" t="array" ref="C1879:C1879">IF(B1878="NEW ROUTE",textsplit(B1879,","),"")</f>
        <v/>
      </c>
      <c r="H1879" s="1" t="str">
        <f aca="false">IF(C1879&lt;&gt;"",DEC2HEX(C1879,2),"")</f>
        <v/>
      </c>
      <c r="I1879" s="1" t="str">
        <f aca="false">IF(D1879&lt;&gt;"",DEC2HEX(D1879,2),"")</f>
        <v/>
      </c>
      <c r="J1879" s="1" t="str">
        <f aca="false">IF(H1879&lt;&gt;"","0x"&amp;I1879&amp;H1879,"")</f>
        <v/>
      </c>
      <c r="L1879" s="1" t="s">
        <v>3299</v>
      </c>
      <c r="M1879" s="1" t="str">
        <f aca="false">IF(J1879&lt;&gt;"",J1879,L1879)</f>
        <v>15, 15, PHANPY</v>
      </c>
    </row>
    <row r="1880" customFormat="false" ht="12.75" hidden="false" customHeight="true" outlineLevel="0" collapsed="false">
      <c r="A1880" s="3" t="s">
        <v>3300</v>
      </c>
      <c r="B1880" s="3" t="str">
        <f aca="false">IF(ISNUMBER(SEARCH("%", A1880)),RIGHT(A1880,3),A1880)</f>
        <v>50, 50, PERSIAN , &lt;null&gt;, &lt;null&gt;, &lt;null&gt;</v>
      </c>
      <c r="C1880" s="1" t="str">
        <f aca="false" t="array" ref="C1880:C1880">IF(B1879="NEW ROUTE",textsplit(B1880,","),"")</f>
        <v/>
      </c>
      <c r="H1880" s="1" t="str">
        <f aca="false">IF(C1880&lt;&gt;"",DEC2HEX(C1880,2),"")</f>
        <v/>
      </c>
      <c r="I1880" s="1" t="str">
        <f aca="false">IF(D1880&lt;&gt;"",DEC2HEX(D1880,2),"")</f>
        <v/>
      </c>
      <c r="J1880" s="1" t="str">
        <f aca="false">IF(H1880&lt;&gt;"","0x"&amp;I1880&amp;H1880,"")</f>
        <v/>
      </c>
      <c r="L1880" s="1" t="s">
        <v>3300</v>
      </c>
      <c r="M1880" s="1" t="str">
        <f aca="false">IF(J1880&lt;&gt;"",J1880,L1880)</f>
        <v>50, 50, PERSIAN , &lt;null&gt;, &lt;null&gt;, &lt;null&gt;</v>
      </c>
    </row>
    <row r="1881" customFormat="false" ht="12.75" hidden="false" customHeight="true" outlineLevel="0" collapsed="false">
      <c r="A1881" s="3" t="s">
        <v>2536</v>
      </c>
      <c r="B1881" s="3" t="str">
        <f aca="false">IF(ISNUMBER(SEARCH("%", A1881)),RIGHT(A1881,3),A1881)</f>
        <v>NEW ROUTE</v>
      </c>
      <c r="C1881" s="1" t="str">
        <f aca="false" t="array" ref="C1881:C1881">IF(B1880="NEW ROUTE",textsplit(B1881,","),"")</f>
        <v/>
      </c>
      <c r="H1881" s="1" t="str">
        <f aca="false">IF(C1881&lt;&gt;"",DEC2HEX(C1881,2),"")</f>
        <v/>
      </c>
      <c r="I1881" s="1" t="str">
        <f aca="false">IF(D1881&lt;&gt;"",DEC2HEX(D1881,2),"")</f>
        <v/>
      </c>
      <c r="J1881" s="1" t="str">
        <f aca="false">IF(H1881&lt;&gt;"","0x"&amp;I1881&amp;H1881,"")</f>
        <v/>
      </c>
      <c r="L1881" s="1" t="s">
        <v>2536</v>
      </c>
      <c r="M1881" s="1" t="str">
        <f aca="false">IF(J1881&lt;&gt;"",J1881,L1881)</f>
        <v>NEW ROUTE</v>
      </c>
    </row>
    <row r="1882" customFormat="false" ht="12.75" hidden="false" customHeight="true" outlineLevel="0" collapsed="false">
      <c r="A1882" s="3" t="s">
        <v>3301</v>
      </c>
      <c r="B1882" s="3" t="str">
        <f aca="false">IF(ISNUMBER(SEARCH("%", A1882)),RIGHT(A1882,3),A1882)</f>
        <v>3, 64, 0,</v>
      </c>
      <c r="C1882" s="1" t="e">
        <f aca="false" t="array" ref="C1882:C1882">IF(B1881="NEW ROUTE",textsplit(B1882,","),"")</f>
        <v>#NAME?</v>
      </c>
      <c r="H1882" s="1" t="e">
        <f aca="false">IF(C1882&lt;&gt;"",DEC2HEX(C1882,2),"")</f>
        <v>#NAME?</v>
      </c>
      <c r="I1882" s="1" t="str">
        <f aca="false">IF(D1882&lt;&gt;"",DEC2HEX(D1882,2),"")</f>
        <v/>
      </c>
      <c r="J1882" s="1" t="e">
        <f aca="false">IF(H1882&lt;&gt;"","0x"&amp;I1882&amp;H1882,"")</f>
        <v>#NAME?</v>
      </c>
      <c r="L1882" s="1" t="s">
        <v>3301</v>
      </c>
      <c r="M1882" s="1" t="e">
        <f aca="false">IF(J1882&lt;&gt;"",J1882,L1882)</f>
        <v>#NAME?</v>
      </c>
    </row>
    <row r="1883" customFormat="false" ht="12.75" hidden="false" customHeight="true" outlineLevel="0" collapsed="false">
      <c r="A1883" s="3" t="s">
        <v>2908</v>
      </c>
      <c r="B1883" s="3" t="str">
        <f aca="false">IF(ISNUMBER(SEARCH("%", A1883)),RIGHT(A1883,3),A1883)</f>
        <v>20%</v>
      </c>
      <c r="C1883" s="1" t="str">
        <f aca="false" t="array" ref="C1883:C1883">IF(B1882="NEW ROUTE",textsplit(B1883,","),"")</f>
        <v/>
      </c>
      <c r="H1883" s="1" t="str">
        <f aca="false">IF(C1883&lt;&gt;"",DEC2HEX(C1883,2),"")</f>
        <v/>
      </c>
      <c r="I1883" s="1" t="str">
        <f aca="false">IF(D1883&lt;&gt;"",DEC2HEX(D1883,2),"")</f>
        <v/>
      </c>
      <c r="J1883" s="1" t="str">
        <f aca="false">IF(H1883&lt;&gt;"","0x"&amp;I1883&amp;H1883,"")</f>
        <v/>
      </c>
      <c r="L1883" s="1" t="s">
        <v>2799</v>
      </c>
      <c r="M1883" s="1" t="str">
        <f aca="false">IF(J1883&lt;&gt;"",J1883,L1883)</f>
        <v>20%</v>
      </c>
    </row>
    <row r="1884" customFormat="false" ht="12.75" hidden="false" customHeight="true" outlineLevel="0" collapsed="false">
      <c r="A1884" s="3" t="s">
        <v>1764</v>
      </c>
      <c r="B1884" s="3" t="str">
        <f aca="false">IF(ISNUMBER(SEARCH("%", A1884)),RIGHT(A1884,3),A1884)</f>
        <v>46, 46, GEODUDE</v>
      </c>
      <c r="C1884" s="1" t="str">
        <f aca="false" t="array" ref="C1884:C1884">IF(B1883="NEW ROUTE",textsplit(B1884,","),"")</f>
        <v/>
      </c>
      <c r="H1884" s="1" t="str">
        <f aca="false">IF(C1884&lt;&gt;"",DEC2HEX(C1884,2),"")</f>
        <v/>
      </c>
      <c r="I1884" s="1" t="str">
        <f aca="false">IF(D1884&lt;&gt;"",DEC2HEX(D1884,2),"")</f>
        <v/>
      </c>
      <c r="J1884" s="1" t="str">
        <f aca="false">IF(H1884&lt;&gt;"","0x"&amp;I1884&amp;H1884,"")</f>
        <v/>
      </c>
      <c r="L1884" s="1" t="s">
        <v>1764</v>
      </c>
      <c r="M1884" s="1" t="str">
        <f aca="false">IF(J1884&lt;&gt;"",J1884,L1884)</f>
        <v>46, 46, GEODUDE</v>
      </c>
    </row>
    <row r="1885" customFormat="false" ht="12.75" hidden="false" customHeight="true" outlineLevel="0" collapsed="false">
      <c r="A1885" s="3" t="s">
        <v>3299</v>
      </c>
      <c r="B1885" s="3" t="str">
        <f aca="false">IF(ISNUMBER(SEARCH("%", A1885)),RIGHT(A1885,3),A1885)</f>
        <v>15, 15, PHANPY</v>
      </c>
      <c r="C1885" s="1" t="str">
        <f aca="false" t="array" ref="C1885:C1885">IF(B1884="NEW ROUTE",textsplit(B1885,","),"")</f>
        <v/>
      </c>
      <c r="H1885" s="1" t="str">
        <f aca="false">IF(C1885&lt;&gt;"",DEC2HEX(C1885,2),"")</f>
        <v/>
      </c>
      <c r="I1885" s="1" t="str">
        <f aca="false">IF(D1885&lt;&gt;"",DEC2HEX(D1885,2),"")</f>
        <v/>
      </c>
      <c r="J1885" s="1" t="str">
        <f aca="false">IF(H1885&lt;&gt;"","0x"&amp;I1885&amp;H1885,"")</f>
        <v/>
      </c>
      <c r="L1885" s="1" t="s">
        <v>3299</v>
      </c>
      <c r="M1885" s="1" t="str">
        <f aca="false">IF(J1885&lt;&gt;"",J1885,L1885)</f>
        <v>15, 15, PHANPY</v>
      </c>
    </row>
    <row r="1886" customFormat="false" ht="12.75" hidden="false" customHeight="true" outlineLevel="0" collapsed="false">
      <c r="A1886" s="3" t="s">
        <v>2801</v>
      </c>
      <c r="B1886" s="3" t="str">
        <f aca="false">IF(ISNUMBER(SEARCH("%", A1886)),RIGHT(A1886,3),A1886)</f>
        <v>0.1</v>
      </c>
      <c r="C1886" s="1" t="str">
        <f aca="false" t="array" ref="C1886:C1886">IF(B1885="NEW ROUTE",textsplit(B1886,","),"")</f>
        <v/>
      </c>
      <c r="H1886" s="1" t="str">
        <f aca="false">IF(C1886&lt;&gt;"",DEC2HEX(C1886,2),"")</f>
        <v/>
      </c>
      <c r="I1886" s="1" t="str">
        <f aca="false">IF(D1886&lt;&gt;"",DEC2HEX(D1886,2),"")</f>
        <v/>
      </c>
      <c r="J1886" s="1" t="str">
        <f aca="false">IF(H1886&lt;&gt;"","0x"&amp;I1886&amp;H1886,"")</f>
        <v/>
      </c>
      <c r="L1886" s="1" t="s">
        <v>2801</v>
      </c>
      <c r="M1886" s="1" t="str">
        <f aca="false">IF(J1886&lt;&gt;"",J1886,L1886)</f>
        <v>0.1</v>
      </c>
    </row>
    <row r="1887" customFormat="false" ht="12.75" hidden="false" customHeight="true" outlineLevel="0" collapsed="false">
      <c r="A1887" s="3" t="s">
        <v>3302</v>
      </c>
      <c r="B1887" s="3" t="str">
        <f aca="false">IF(ISNUMBER(SEARCH("%", A1887)),RIGHT(A1887,3),A1887)</f>
        <v>46, 46, CUBONE</v>
      </c>
      <c r="C1887" s="1" t="str">
        <f aca="false" t="array" ref="C1887:C1887">IF(B1886="NEW ROUTE",textsplit(B1887,","),"")</f>
        <v/>
      </c>
      <c r="H1887" s="1" t="str">
        <f aca="false">IF(C1887&lt;&gt;"",DEC2HEX(C1887,2),"")</f>
        <v/>
      </c>
      <c r="I1887" s="1" t="str">
        <f aca="false">IF(D1887&lt;&gt;"",DEC2HEX(D1887,2),"")</f>
        <v/>
      </c>
      <c r="J1887" s="1" t="str">
        <f aca="false">IF(H1887&lt;&gt;"","0x"&amp;I1887&amp;H1887,"")</f>
        <v/>
      </c>
      <c r="L1887" s="1" t="s">
        <v>3302</v>
      </c>
      <c r="M1887" s="1" t="str">
        <f aca="false">IF(J1887&lt;&gt;"",J1887,L1887)</f>
        <v>46, 46, CUBONE</v>
      </c>
    </row>
    <row r="1888" customFormat="false" ht="12.75" hidden="false" customHeight="true" outlineLevel="0" collapsed="false">
      <c r="A1888" s="3" t="s">
        <v>3281</v>
      </c>
      <c r="B1888" s="3" t="str">
        <f aca="false">IF(ISNUMBER(SEARCH("%", A1888)),RIGHT(A1888,3),A1888)</f>
        <v>50, 50, FEAROW</v>
      </c>
      <c r="C1888" s="1" t="str">
        <f aca="false" t="array" ref="C1888:C1888">IF(B1887="NEW ROUTE",textsplit(B1888,","),"")</f>
        <v/>
      </c>
      <c r="H1888" s="1" t="str">
        <f aca="false">IF(C1888&lt;&gt;"",DEC2HEX(C1888,2),"")</f>
        <v/>
      </c>
      <c r="I1888" s="1" t="str">
        <f aca="false">IF(D1888&lt;&gt;"",DEC2HEX(D1888,2),"")</f>
        <v/>
      </c>
      <c r="J1888" s="1" t="str">
        <f aca="false">IF(H1888&lt;&gt;"","0x"&amp;I1888&amp;H1888,"")</f>
        <v/>
      </c>
      <c r="L1888" s="1" t="s">
        <v>3281</v>
      </c>
      <c r="M1888" s="1" t="str">
        <f aca="false">IF(J1888&lt;&gt;"",J1888,L1888)</f>
        <v>50, 50, FEAROW</v>
      </c>
    </row>
    <row r="1889" customFormat="false" ht="12.75" hidden="false" customHeight="true" outlineLevel="0" collapsed="false">
      <c r="A1889" s="3" t="s">
        <v>3303</v>
      </c>
      <c r="B1889" s="3" t="str">
        <f aca="false">IF(ISNUMBER(SEARCH("%", A1889)),RIGHT(A1889,3),A1889)</f>
        <v>52, 52, MAROWAK</v>
      </c>
      <c r="C1889" s="1" t="str">
        <f aca="false" t="array" ref="C1889:C1889">IF(B1888="NEW ROUTE",textsplit(B1889,","),"")</f>
        <v/>
      </c>
      <c r="H1889" s="1" t="str">
        <f aca="false">IF(C1889&lt;&gt;"",DEC2HEX(C1889,2),"")</f>
        <v/>
      </c>
      <c r="I1889" s="1" t="str">
        <f aca="false">IF(D1889&lt;&gt;"",DEC2HEX(D1889,2),"")</f>
        <v/>
      </c>
      <c r="J1889" s="1" t="str">
        <f aca="false">IF(H1889&lt;&gt;"","0x"&amp;I1889&amp;H1889,"")</f>
        <v/>
      </c>
      <c r="L1889" s="1" t="s">
        <v>3303</v>
      </c>
      <c r="M1889" s="1" t="str">
        <f aca="false">IF(J1889&lt;&gt;"",J1889,L1889)</f>
        <v>52, 52, MAROWAK</v>
      </c>
    </row>
    <row r="1890" customFormat="false" ht="12.75" hidden="false" customHeight="true" outlineLevel="0" collapsed="false">
      <c r="A1890" s="3" t="s">
        <v>3286</v>
      </c>
      <c r="B1890" s="3" t="str">
        <f aca="false">IF(ISNUMBER(SEARCH("%", A1890)),RIGHT(A1890,3),A1890)</f>
        <v>43, 43, MEOWTH</v>
      </c>
      <c r="C1890" s="1" t="str">
        <f aca="false" t="array" ref="C1890:C1890">IF(B1889="NEW ROUTE",textsplit(B1890,","),"")</f>
        <v/>
      </c>
      <c r="H1890" s="1" t="str">
        <f aca="false">IF(C1890&lt;&gt;"",DEC2HEX(C1890,2),"")</f>
        <v/>
      </c>
      <c r="I1890" s="1" t="str">
        <f aca="false">IF(D1890&lt;&gt;"",DEC2HEX(D1890,2),"")</f>
        <v/>
      </c>
      <c r="J1890" s="1" t="str">
        <f aca="false">IF(H1890&lt;&gt;"","0x"&amp;I1890&amp;H1890,"")</f>
        <v/>
      </c>
      <c r="L1890" s="1" t="s">
        <v>3286</v>
      </c>
      <c r="M1890" s="1" t="str">
        <f aca="false">IF(J1890&lt;&gt;"",J1890,L1890)</f>
        <v>43, 43, MEOWTH</v>
      </c>
    </row>
    <row r="1891" customFormat="false" ht="12.75" hidden="false" customHeight="true" outlineLevel="0" collapsed="false">
      <c r="A1891" s="3" t="s">
        <v>2806</v>
      </c>
      <c r="B1891" s="3" t="str">
        <f aca="false">IF(ISNUMBER(SEARCH("%", A1891)),RIGHT(A1891,3),A1891)</f>
        <v>0.05</v>
      </c>
      <c r="C1891" s="1" t="str">
        <f aca="false" t="array" ref="C1891:C1891">IF(B1890="NEW ROUTE",textsplit(B1891,","),"")</f>
        <v/>
      </c>
      <c r="H1891" s="1" t="str">
        <f aca="false">IF(C1891&lt;&gt;"",DEC2HEX(C1891,2),"")</f>
        <v/>
      </c>
      <c r="I1891" s="1" t="str">
        <f aca="false">IF(D1891&lt;&gt;"",DEC2HEX(D1891,2),"")</f>
        <v/>
      </c>
      <c r="J1891" s="1" t="str">
        <f aca="false">IF(H1891&lt;&gt;"","0x"&amp;I1891&amp;H1891,"")</f>
        <v/>
      </c>
      <c r="L1891" s="1" t="s">
        <v>2806</v>
      </c>
      <c r="M1891" s="1" t="str">
        <f aca="false">IF(J1891&lt;&gt;"",J1891,L1891)</f>
        <v>0.05</v>
      </c>
    </row>
    <row r="1892" customFormat="false" ht="12.75" hidden="false" customHeight="true" outlineLevel="0" collapsed="false">
      <c r="A1892" s="3" t="s">
        <v>3304</v>
      </c>
      <c r="B1892" s="3" t="str">
        <f aca="false">IF(ISNUMBER(SEARCH("%", A1892)),RIGHT(A1892,3),A1892)</f>
        <v>54, 54, ONIX</v>
      </c>
      <c r="C1892" s="1" t="str">
        <f aca="false" t="array" ref="C1892:C1892">IF(B1891="NEW ROUTE",textsplit(B1892,","),"")</f>
        <v/>
      </c>
      <c r="H1892" s="1" t="str">
        <f aca="false">IF(C1892&lt;&gt;"",DEC2HEX(C1892,2),"")</f>
        <v/>
      </c>
      <c r="I1892" s="1" t="str">
        <f aca="false">IF(D1892&lt;&gt;"",DEC2HEX(D1892,2),"")</f>
        <v/>
      </c>
      <c r="J1892" s="1" t="str">
        <f aca="false">IF(H1892&lt;&gt;"","0x"&amp;I1892&amp;H1892,"")</f>
        <v/>
      </c>
      <c r="L1892" s="1" t="s">
        <v>3304</v>
      </c>
      <c r="M1892" s="1" t="str">
        <f aca="false">IF(J1892&lt;&gt;"",J1892,L1892)</f>
        <v>54, 54, ONIX</v>
      </c>
    </row>
    <row r="1893" customFormat="false" ht="12.75" hidden="false" customHeight="true" outlineLevel="0" collapsed="false">
      <c r="A1893" s="3" t="s">
        <v>3281</v>
      </c>
      <c r="B1893" s="3" t="str">
        <f aca="false">IF(ISNUMBER(SEARCH("%", A1893)),RIGHT(A1893,3),A1893)</f>
        <v>50, 50, FEAROW</v>
      </c>
      <c r="C1893" s="1" t="str">
        <f aca="false" t="array" ref="C1893:C1893">IF(B1892="NEW ROUTE",textsplit(B1893,","),"")</f>
        <v/>
      </c>
      <c r="H1893" s="1" t="str">
        <f aca="false">IF(C1893&lt;&gt;"",DEC2HEX(C1893,2),"")</f>
        <v/>
      </c>
      <c r="I1893" s="1" t="str">
        <f aca="false">IF(D1893&lt;&gt;"",DEC2HEX(D1893,2),"")</f>
        <v/>
      </c>
      <c r="J1893" s="1" t="str">
        <f aca="false">IF(H1893&lt;&gt;"","0x"&amp;I1893&amp;H1893,"")</f>
        <v/>
      </c>
      <c r="L1893" s="1" t="s">
        <v>3281</v>
      </c>
      <c r="M1893" s="1" t="str">
        <f aca="false">IF(J1893&lt;&gt;"",J1893,L1893)</f>
        <v>50, 50, FEAROW</v>
      </c>
    </row>
    <row r="1894" customFormat="false" ht="12.75" hidden="false" customHeight="true" outlineLevel="0" collapsed="false">
      <c r="A1894" s="3" t="s">
        <v>2809</v>
      </c>
      <c r="B1894" s="3" t="str">
        <f aca="false">IF(ISNUMBER(SEARCH("%", A1894)),RIGHT(A1894,3),A1894)</f>
        <v>0.04</v>
      </c>
      <c r="C1894" s="1" t="str">
        <f aca="false" t="array" ref="C1894:C1894">IF(B1893="NEW ROUTE",textsplit(B1894,","),"")</f>
        <v/>
      </c>
      <c r="H1894" s="1" t="str">
        <f aca="false">IF(C1894&lt;&gt;"",DEC2HEX(C1894,2),"")</f>
        <v/>
      </c>
      <c r="I1894" s="1" t="str">
        <f aca="false">IF(D1894&lt;&gt;"",DEC2HEX(D1894,2),"")</f>
        <v/>
      </c>
      <c r="J1894" s="1" t="str">
        <f aca="false">IF(H1894&lt;&gt;"","0x"&amp;I1894&amp;H1894,"")</f>
        <v/>
      </c>
      <c r="L1894" s="1" t="s">
        <v>2809</v>
      </c>
      <c r="M1894" s="1" t="str">
        <f aca="false">IF(J1894&lt;&gt;"",J1894,L1894)</f>
        <v>0.04</v>
      </c>
    </row>
    <row r="1895" customFormat="false" ht="12.75" hidden="false" customHeight="true" outlineLevel="0" collapsed="false">
      <c r="A1895" s="3" t="s">
        <v>3305</v>
      </c>
      <c r="B1895" s="3" t="str">
        <f aca="false">IF(ISNUMBER(SEARCH("%", A1895)),RIGHT(A1895,3),A1895)</f>
        <v>15, 15, LARVITAR</v>
      </c>
      <c r="C1895" s="1" t="str">
        <f aca="false" t="array" ref="C1895:C1895">IF(B1894="NEW ROUTE",textsplit(B1895,","),"")</f>
        <v/>
      </c>
      <c r="H1895" s="1" t="str">
        <f aca="false">IF(C1895&lt;&gt;"",DEC2HEX(C1895,2),"")</f>
        <v/>
      </c>
      <c r="I1895" s="1" t="str">
        <f aca="false">IF(D1895&lt;&gt;"",DEC2HEX(D1895,2),"")</f>
        <v/>
      </c>
      <c r="J1895" s="1" t="str">
        <f aca="false">IF(H1895&lt;&gt;"","0x"&amp;I1895&amp;H1895,"")</f>
        <v/>
      </c>
      <c r="L1895" s="1" t="s">
        <v>3305</v>
      </c>
      <c r="M1895" s="1" t="str">
        <f aca="false">IF(J1895&lt;&gt;"",J1895,L1895)</f>
        <v>15, 15, LARVITAR</v>
      </c>
    </row>
    <row r="1896" customFormat="false" ht="12.75" hidden="false" customHeight="true" outlineLevel="0" collapsed="false">
      <c r="A1896" s="3" t="s">
        <v>3289</v>
      </c>
      <c r="B1896" s="3" t="str">
        <f aca="false">IF(ISNUMBER(SEARCH("%", A1896)),RIGHT(A1896,3),A1896)</f>
        <v>49, 49, PERSIAN</v>
      </c>
      <c r="C1896" s="1" t="str">
        <f aca="false" t="array" ref="C1896:C1896">IF(B1895="NEW ROUTE",textsplit(B1896,","),"")</f>
        <v/>
      </c>
      <c r="H1896" s="1" t="str">
        <f aca="false">IF(C1896&lt;&gt;"",DEC2HEX(C1896,2),"")</f>
        <v/>
      </c>
      <c r="I1896" s="1" t="str">
        <f aca="false">IF(D1896&lt;&gt;"",DEC2HEX(D1896,2),"")</f>
        <v/>
      </c>
      <c r="J1896" s="1" t="str">
        <f aca="false">IF(H1896&lt;&gt;"","0x"&amp;I1896&amp;H1896,"")</f>
        <v/>
      </c>
      <c r="L1896" s="1" t="s">
        <v>3289</v>
      </c>
      <c r="M1896" s="1" t="str">
        <f aca="false">IF(J1896&lt;&gt;"",J1896,L1896)</f>
        <v>49, 49, PERSIAN</v>
      </c>
    </row>
    <row r="1897" customFormat="false" ht="12.75" hidden="false" customHeight="true" outlineLevel="0" collapsed="false">
      <c r="A1897" s="3" t="s">
        <v>2812</v>
      </c>
      <c r="B1897" s="3" t="str">
        <f aca="false">IF(ISNUMBER(SEARCH("%", A1897)),RIGHT(A1897,3),A1897)</f>
        <v>0.01</v>
      </c>
      <c r="C1897" s="1" t="str">
        <f aca="false" t="array" ref="C1897:C1897">IF(B1896="NEW ROUTE",textsplit(B1897,","),"")</f>
        <v/>
      </c>
      <c r="H1897" s="1" t="str">
        <f aca="false">IF(C1897&lt;&gt;"",DEC2HEX(C1897,2),"")</f>
        <v/>
      </c>
      <c r="I1897" s="1" t="str">
        <f aca="false">IF(D1897&lt;&gt;"",DEC2HEX(D1897,2),"")</f>
        <v/>
      </c>
      <c r="J1897" s="1" t="str">
        <f aca="false">IF(H1897&lt;&gt;"","0x"&amp;I1897&amp;H1897,"")</f>
        <v/>
      </c>
      <c r="L1897" s="1" t="s">
        <v>2812</v>
      </c>
      <c r="M1897" s="1" t="str">
        <f aca="false">IF(J1897&lt;&gt;"",J1897,L1897)</f>
        <v>0.01</v>
      </c>
    </row>
    <row r="1898" customFormat="false" ht="12.75" hidden="false" customHeight="true" outlineLevel="0" collapsed="false">
      <c r="A1898" s="3" t="s">
        <v>3306</v>
      </c>
      <c r="B1898" s="3" t="str">
        <f aca="false">IF(ISNUMBER(SEARCH("%", A1898)),RIGHT(A1898,3),A1898)</f>
        <v>20, 20, LARVITAR</v>
      </c>
      <c r="C1898" s="1" t="str">
        <f aca="false" t="array" ref="C1898:C1898">IF(B1897="NEW ROUTE",textsplit(B1898,","),"")</f>
        <v/>
      </c>
      <c r="H1898" s="1" t="str">
        <f aca="false">IF(C1898&lt;&gt;"",DEC2HEX(C1898,2),"")</f>
        <v/>
      </c>
      <c r="I1898" s="1" t="str">
        <f aca="false">IF(D1898&lt;&gt;"",DEC2HEX(D1898,2),"")</f>
        <v/>
      </c>
      <c r="J1898" s="1" t="str">
        <f aca="false">IF(H1898&lt;&gt;"","0x"&amp;I1898&amp;H1898,"")</f>
        <v/>
      </c>
      <c r="L1898" s="1" t="s">
        <v>3306</v>
      </c>
      <c r="M1898" s="1" t="str">
        <f aca="false">IF(J1898&lt;&gt;"",J1898,L1898)</f>
        <v>20, 20, LARVITAR</v>
      </c>
    </row>
    <row r="1899" customFormat="false" ht="12.75" hidden="false" customHeight="true" outlineLevel="0" collapsed="false">
      <c r="A1899" s="3" t="s">
        <v>3290</v>
      </c>
      <c r="B1899" s="3" t="str">
        <f aca="false">IF(ISNUMBER(SEARCH("%", A1899)),RIGHT(A1899,3),A1899)</f>
        <v>52, 52, PERSIAN</v>
      </c>
      <c r="C1899" s="1" t="str">
        <f aca="false" t="array" ref="C1899:C1899">IF(B1898="NEW ROUTE",textsplit(B1899,","),"")</f>
        <v/>
      </c>
      <c r="H1899" s="1" t="str">
        <f aca="false">IF(C1899&lt;&gt;"",DEC2HEX(C1899,2),"")</f>
        <v/>
      </c>
      <c r="I1899" s="1" t="str">
        <f aca="false">IF(D1899&lt;&gt;"",DEC2HEX(D1899,2),"")</f>
        <v/>
      </c>
      <c r="J1899" s="1" t="str">
        <f aca="false">IF(H1899&lt;&gt;"","0x"&amp;I1899&amp;H1899,"")</f>
        <v/>
      </c>
      <c r="L1899" s="1" t="s">
        <v>3290</v>
      </c>
      <c r="M1899" s="1" t="str">
        <f aca="false">IF(J1899&lt;&gt;"",J1899,L1899)</f>
        <v>52, 52, PERSIAN</v>
      </c>
    </row>
    <row r="1900" customFormat="false" ht="12.75" hidden="false" customHeight="true" outlineLevel="0" collapsed="false">
      <c r="A1900" s="3" t="s">
        <v>3307</v>
      </c>
      <c r="B1900" s="3" t="str">
        <f aca="false">IF(ISNUMBER(SEARCH("%", A1900)),RIGHT(A1900,3),A1900)</f>
        <v>25, 25, 35, GEODUDE</v>
      </c>
      <c r="C1900" s="1" t="str">
        <f aca="false" t="array" ref="C1900:C1900">IF(B1899="NEW ROUTE",textsplit(B1900,","),"")</f>
        <v/>
      </c>
      <c r="H1900" s="1" t="str">
        <f aca="false">IF(C1900&lt;&gt;"",DEC2HEX(C1900,2),"")</f>
        <v/>
      </c>
      <c r="I1900" s="1" t="str">
        <f aca="false">IF(D1900&lt;&gt;"",DEC2HEX(D1900,2),"")</f>
        <v/>
      </c>
      <c r="J1900" s="1" t="str">
        <f aca="false">IF(H1900&lt;&gt;"","0x"&amp;I1900&amp;H1900,"")</f>
        <v/>
      </c>
      <c r="L1900" s="1" t="s">
        <v>3307</v>
      </c>
      <c r="M1900" s="1" t="str">
        <f aca="false">IF(J1900&lt;&gt;"",J1900,L1900)</f>
        <v>25, 25, 35, GEODUDE</v>
      </c>
    </row>
    <row r="1901" customFormat="false" ht="12.75" hidden="false" customHeight="true" outlineLevel="0" collapsed="false">
      <c r="A1901" s="3" t="s">
        <v>3102</v>
      </c>
      <c r="B1901" s="3" t="str">
        <f aca="false">IF(ISNUMBER(SEARCH("%", A1901)),RIGHT(A1901,3),A1901)</f>
        <v>30, 45, GRAVELER</v>
      </c>
      <c r="C1901" s="1" t="str">
        <f aca="false" t="array" ref="C1901:C1901">IF(B1900="NEW ROUTE",textsplit(B1901,","),"")</f>
        <v/>
      </c>
      <c r="H1901" s="1" t="str">
        <f aca="false">IF(C1901&lt;&gt;"",DEC2HEX(C1901,2),"")</f>
        <v/>
      </c>
      <c r="I1901" s="1" t="str">
        <f aca="false">IF(D1901&lt;&gt;"",DEC2HEX(D1901,2),"")</f>
        <v/>
      </c>
      <c r="J1901" s="1" t="str">
        <f aca="false">IF(H1901&lt;&gt;"","0x"&amp;I1901&amp;H1901,"")</f>
        <v/>
      </c>
      <c r="L1901" s="1" t="s">
        <v>3102</v>
      </c>
      <c r="M1901" s="1" t="str">
        <f aca="false">IF(J1901&lt;&gt;"",J1901,L1901)</f>
        <v>30, 45, GRAVELER</v>
      </c>
    </row>
    <row r="1902" customFormat="false" ht="12.75" hidden="false" customHeight="true" outlineLevel="0" collapsed="false">
      <c r="A1902" s="3" t="s">
        <v>3103</v>
      </c>
      <c r="B1902" s="3" t="str">
        <f aca="false">IF(ISNUMBER(SEARCH("%", A1902)),RIGHT(A1902,3),A1902)</f>
        <v>35, 50, GRAVELER</v>
      </c>
      <c r="C1902" s="1" t="str">
        <f aca="false" t="array" ref="C1902:C1902">IF(B1901="NEW ROUTE",textsplit(B1902,","),"")</f>
        <v/>
      </c>
      <c r="H1902" s="1" t="str">
        <f aca="false">IF(C1902&lt;&gt;"",DEC2HEX(C1902,2),"")</f>
        <v/>
      </c>
      <c r="I1902" s="1" t="str">
        <f aca="false">IF(D1902&lt;&gt;"",DEC2HEX(D1902,2),"")</f>
        <v/>
      </c>
      <c r="J1902" s="1" t="str">
        <f aca="false">IF(H1902&lt;&gt;"","0x"&amp;I1902&amp;H1902,"")</f>
        <v/>
      </c>
      <c r="L1902" s="1" t="s">
        <v>3103</v>
      </c>
      <c r="M1902" s="1" t="str">
        <f aca="false">IF(J1902&lt;&gt;"",J1902,L1902)</f>
        <v>35, 50, GRAVELER</v>
      </c>
    </row>
    <row r="1903" customFormat="false" ht="12.75" hidden="false" customHeight="true" outlineLevel="0" collapsed="false">
      <c r="A1903" s="3" t="s">
        <v>3104</v>
      </c>
      <c r="B1903" s="3" t="str">
        <f aca="false">IF(ISNUMBER(SEARCH("%", A1903)),RIGHT(A1903,3),A1903)</f>
        <v>30, 40, GEODUDE</v>
      </c>
      <c r="C1903" s="1" t="str">
        <f aca="false" t="array" ref="C1903:C1903">IF(B1902="NEW ROUTE",textsplit(B1903,","),"")</f>
        <v/>
      </c>
      <c r="H1903" s="1" t="str">
        <f aca="false">IF(C1903&lt;&gt;"",DEC2HEX(C1903,2),"")</f>
        <v/>
      </c>
      <c r="I1903" s="1" t="str">
        <f aca="false">IF(D1903&lt;&gt;"",DEC2HEX(D1903,2),"")</f>
        <v/>
      </c>
      <c r="J1903" s="1" t="str">
        <f aca="false">IF(H1903&lt;&gt;"","0x"&amp;I1903&amp;H1903,"")</f>
        <v/>
      </c>
      <c r="L1903" s="1" t="s">
        <v>3104</v>
      </c>
      <c r="M1903" s="1" t="str">
        <f aca="false">IF(J1903&lt;&gt;"",J1903,L1903)</f>
        <v>30, 40, GEODUDE</v>
      </c>
    </row>
    <row r="1904" customFormat="false" ht="12.75" hidden="false" customHeight="true" outlineLevel="0" collapsed="false">
      <c r="A1904" s="3" t="s">
        <v>3105</v>
      </c>
      <c r="B1904" s="3" t="str">
        <f aca="false">IF(ISNUMBER(SEARCH("%", A1904)),RIGHT(A1904,3),A1904)</f>
        <v>30, 40, GEODUDE , &lt;null&gt;</v>
      </c>
      <c r="C1904" s="1" t="str">
        <f aca="false" t="array" ref="C1904:C1904">IF(B1903="NEW ROUTE",textsplit(B1904,","),"")</f>
        <v/>
      </c>
      <c r="H1904" s="1" t="str">
        <f aca="false">IF(C1904&lt;&gt;"",DEC2HEX(C1904,2),"")</f>
        <v/>
      </c>
      <c r="I1904" s="1" t="str">
        <f aca="false">IF(D1904&lt;&gt;"",DEC2HEX(D1904,2),"")</f>
        <v/>
      </c>
      <c r="J1904" s="1" t="str">
        <f aca="false">IF(H1904&lt;&gt;"","0x"&amp;I1904&amp;H1904,"")</f>
        <v/>
      </c>
      <c r="L1904" s="1" t="s">
        <v>3105</v>
      </c>
      <c r="M1904" s="1" t="str">
        <f aca="false">IF(J1904&lt;&gt;"",J1904,L1904)</f>
        <v>30, 40, GEODUDE , &lt;null&gt;</v>
      </c>
    </row>
    <row r="1905" customFormat="false" ht="12.75" hidden="false" customHeight="true" outlineLevel="0" collapsed="false">
      <c r="A1905" s="3" t="s">
        <v>2536</v>
      </c>
      <c r="B1905" s="3" t="str">
        <f aca="false">IF(ISNUMBER(SEARCH("%", A1905)),RIGHT(A1905,3),A1905)</f>
        <v>NEW ROUTE</v>
      </c>
      <c r="C1905" s="1" t="str">
        <f aca="false" t="array" ref="C1905:C1905">IF(B1904="NEW ROUTE",textsplit(B1905,","),"")</f>
        <v/>
      </c>
      <c r="H1905" s="1" t="str">
        <f aca="false">IF(C1905&lt;&gt;"",DEC2HEX(C1905,2),"")</f>
        <v/>
      </c>
      <c r="I1905" s="1" t="str">
        <f aca="false">IF(D1905&lt;&gt;"",DEC2HEX(D1905,2),"")</f>
        <v/>
      </c>
      <c r="J1905" s="1" t="str">
        <f aca="false">IF(H1905&lt;&gt;"","0x"&amp;I1905&amp;H1905,"")</f>
        <v/>
      </c>
      <c r="L1905" s="1" t="s">
        <v>2536</v>
      </c>
      <c r="M1905" s="1" t="str">
        <f aca="false">IF(J1905&lt;&gt;"",J1905,L1905)</f>
        <v>NEW ROUTE</v>
      </c>
    </row>
    <row r="1906" customFormat="false" ht="12.75" hidden="false" customHeight="true" outlineLevel="0" collapsed="false">
      <c r="A1906" s="3" t="s">
        <v>3308</v>
      </c>
      <c r="B1906" s="3" t="str">
        <f aca="false">IF(ISNUMBER(SEARCH("%", A1906)),RIGHT(A1906,3),A1906)</f>
        <v>3, 65, 0, &lt;null&gt;,</v>
      </c>
      <c r="C1906" s="1" t="e">
        <f aca="false" t="array" ref="C1906:C1906">IF(B1905="NEW ROUTE",textsplit(B1906,","),"")</f>
        <v>#NAME?</v>
      </c>
      <c r="H1906" s="1" t="e">
        <f aca="false">IF(C1906&lt;&gt;"",DEC2HEX(C1906,2),"")</f>
        <v>#NAME?</v>
      </c>
      <c r="I1906" s="1" t="str">
        <f aca="false">IF(D1906&lt;&gt;"",DEC2HEX(D1906,2),"")</f>
        <v/>
      </c>
      <c r="J1906" s="1" t="e">
        <f aca="false">IF(H1906&lt;&gt;"","0x"&amp;I1906&amp;H1906,"")</f>
        <v>#NAME?</v>
      </c>
      <c r="L1906" s="1" t="s">
        <v>3308</v>
      </c>
      <c r="M1906" s="1" t="e">
        <f aca="false">IF(J1906&lt;&gt;"",J1906,L1906)</f>
        <v>#NAME?</v>
      </c>
    </row>
    <row r="1907" customFormat="false" ht="12.75" hidden="false" customHeight="true" outlineLevel="0" collapsed="false">
      <c r="A1907" s="3" t="s">
        <v>3172</v>
      </c>
      <c r="B1907" s="3" t="str">
        <f aca="false">IF(ISNUMBER(SEARCH("%", A1907)),RIGHT(A1907,3),A1907)</f>
        <v>2, 5, 20, TENTACOOL</v>
      </c>
      <c r="C1907" s="1" t="str">
        <f aca="false" t="array" ref="C1907:C1907">IF(B1906="NEW ROUTE",textsplit(B1907,","),"")</f>
        <v/>
      </c>
      <c r="H1907" s="1" t="str">
        <f aca="false">IF(C1907&lt;&gt;"",DEC2HEX(C1907,2),"")</f>
        <v/>
      </c>
      <c r="I1907" s="1" t="str">
        <f aca="false">IF(D1907&lt;&gt;"",DEC2HEX(D1907,2),"")</f>
        <v/>
      </c>
      <c r="J1907" s="1" t="str">
        <f aca="false">IF(H1907&lt;&gt;"","0x"&amp;I1907&amp;H1907,"")</f>
        <v/>
      </c>
      <c r="L1907" s="1" t="s">
        <v>3172</v>
      </c>
      <c r="M1907" s="1" t="str">
        <f aca="false">IF(J1907&lt;&gt;"",J1907,L1907)</f>
        <v>2, 5, 20, TENTACOOL</v>
      </c>
    </row>
    <row r="1908" customFormat="false" ht="12.75" hidden="false" customHeight="true" outlineLevel="0" collapsed="false">
      <c r="A1908" s="3" t="s">
        <v>3173</v>
      </c>
      <c r="B1908" s="3" t="str">
        <f aca="false">IF(ISNUMBER(SEARCH("%", A1908)),RIGHT(A1908,3),A1908)</f>
        <v>20, 35, TENTACOOL</v>
      </c>
      <c r="C1908" s="1" t="str">
        <f aca="false" t="array" ref="C1908:C1908">IF(B1907="NEW ROUTE",textsplit(B1908,","),"")</f>
        <v/>
      </c>
      <c r="H1908" s="1" t="str">
        <f aca="false">IF(C1908&lt;&gt;"",DEC2HEX(C1908,2),"")</f>
        <v/>
      </c>
      <c r="I1908" s="1" t="str">
        <f aca="false">IF(D1908&lt;&gt;"",DEC2HEX(D1908,2),"")</f>
        <v/>
      </c>
      <c r="J1908" s="1" t="str">
        <f aca="false">IF(H1908&lt;&gt;"","0x"&amp;I1908&amp;H1908,"")</f>
        <v/>
      </c>
      <c r="L1908" s="1" t="s">
        <v>3173</v>
      </c>
      <c r="M1908" s="1" t="str">
        <f aca="false">IF(J1908&lt;&gt;"",J1908,L1908)</f>
        <v>20, 35, TENTACOOL</v>
      </c>
    </row>
    <row r="1909" customFormat="false" ht="12.75" hidden="false" customHeight="true" outlineLevel="0" collapsed="false">
      <c r="A1909" s="3" t="s">
        <v>3296</v>
      </c>
      <c r="B1909" s="3" t="str">
        <f aca="false">IF(ISNUMBER(SEARCH("%", A1909)),RIGHT(A1909,3),A1909)</f>
        <v>35, 40, MANTINE</v>
      </c>
      <c r="C1909" s="1" t="str">
        <f aca="false" t="array" ref="C1909:C1909">IF(B1908="NEW ROUTE",textsplit(B1909,","),"")</f>
        <v/>
      </c>
      <c r="H1909" s="1" t="str">
        <f aca="false">IF(C1909&lt;&gt;"",DEC2HEX(C1909,2),"")</f>
        <v/>
      </c>
      <c r="I1909" s="1" t="str">
        <f aca="false">IF(D1909&lt;&gt;"",DEC2HEX(D1909,2),"")</f>
        <v/>
      </c>
      <c r="J1909" s="1" t="str">
        <f aca="false">IF(H1909&lt;&gt;"","0x"&amp;I1909&amp;H1909,"")</f>
        <v/>
      </c>
      <c r="L1909" s="1" t="s">
        <v>3296</v>
      </c>
      <c r="M1909" s="1" t="str">
        <f aca="false">IF(J1909&lt;&gt;"",J1909,L1909)</f>
        <v>35, 40, MANTINE</v>
      </c>
    </row>
    <row r="1910" customFormat="false" ht="12.75" hidden="false" customHeight="true" outlineLevel="0" collapsed="false">
      <c r="A1910" s="3" t="s">
        <v>3231</v>
      </c>
      <c r="B1910" s="3" t="str">
        <f aca="false">IF(ISNUMBER(SEARCH("%", A1910)),RIGHT(A1910,3),A1910)</f>
        <v>35, 40, TENTACRUEL</v>
      </c>
      <c r="C1910" s="1" t="str">
        <f aca="false" t="array" ref="C1910:C1910">IF(B1909="NEW ROUTE",textsplit(B1910,","),"")</f>
        <v/>
      </c>
      <c r="H1910" s="1" t="str">
        <f aca="false">IF(C1910&lt;&gt;"",DEC2HEX(C1910,2),"")</f>
        <v/>
      </c>
      <c r="I1910" s="1" t="str">
        <f aca="false">IF(D1910&lt;&gt;"",DEC2HEX(D1910,2),"")</f>
        <v/>
      </c>
      <c r="J1910" s="1" t="str">
        <f aca="false">IF(H1910&lt;&gt;"","0x"&amp;I1910&amp;H1910,"")</f>
        <v/>
      </c>
      <c r="L1910" s="1" t="s">
        <v>3231</v>
      </c>
      <c r="M1910" s="1" t="str">
        <f aca="false">IF(J1910&lt;&gt;"",J1910,L1910)</f>
        <v>35, 40, TENTACRUEL</v>
      </c>
    </row>
    <row r="1911" customFormat="false" ht="12.75" hidden="false" customHeight="true" outlineLevel="0" collapsed="false">
      <c r="A1911" s="3" t="s">
        <v>3231</v>
      </c>
      <c r="B1911" s="3" t="str">
        <f aca="false">IF(ISNUMBER(SEARCH("%", A1911)),RIGHT(A1911,3),A1911)</f>
        <v>35, 40, TENTACRUEL</v>
      </c>
      <c r="C1911" s="1" t="str">
        <f aca="false" t="array" ref="C1911:C1911">IF(B1910="NEW ROUTE",textsplit(B1911,","),"")</f>
        <v/>
      </c>
      <c r="H1911" s="1" t="str">
        <f aca="false">IF(C1911&lt;&gt;"",DEC2HEX(C1911,2),"")</f>
        <v/>
      </c>
      <c r="I1911" s="1" t="str">
        <f aca="false">IF(D1911&lt;&gt;"",DEC2HEX(D1911,2),"")</f>
        <v/>
      </c>
      <c r="J1911" s="1" t="str">
        <f aca="false">IF(H1911&lt;&gt;"","0x"&amp;I1911&amp;H1911,"")</f>
        <v/>
      </c>
      <c r="L1911" s="1" t="s">
        <v>3231</v>
      </c>
      <c r="M1911" s="1" t="str">
        <f aca="false">IF(J1911&lt;&gt;"",J1911,L1911)</f>
        <v>35, 40, TENTACRUEL</v>
      </c>
    </row>
    <row r="1912" customFormat="false" ht="12.75" hidden="false" customHeight="true" outlineLevel="0" collapsed="false">
      <c r="A1912" s="3" t="s">
        <v>2925</v>
      </c>
      <c r="B1912" s="3" t="str">
        <f aca="false">IF(ISNUMBER(SEARCH("%", A1912)),RIGHT(A1912,3),A1912)</f>
        <v>20, old rod:</v>
      </c>
      <c r="C1912" s="1" t="str">
        <f aca="false" t="array" ref="C1912:C1912">IF(B1911="NEW ROUTE",textsplit(B1912,","),"")</f>
        <v/>
      </c>
      <c r="H1912" s="1" t="str">
        <f aca="false">IF(C1912&lt;&gt;"",DEC2HEX(C1912,2),"")</f>
        <v/>
      </c>
      <c r="I1912" s="1" t="str">
        <f aca="false">IF(D1912&lt;&gt;"",DEC2HEX(D1912,2),"")</f>
        <v/>
      </c>
      <c r="J1912" s="1" t="str">
        <f aca="false">IF(H1912&lt;&gt;"","0x"&amp;I1912&amp;H1912,"")</f>
        <v/>
      </c>
      <c r="L1912" s="1" t="s">
        <v>2925</v>
      </c>
      <c r="M1912" s="1" t="str">
        <f aca="false">IF(J1912&lt;&gt;"",J1912,L1912)</f>
        <v>20, old rod:</v>
      </c>
    </row>
    <row r="1913" customFormat="false" ht="12.75" hidden="false" customHeight="true" outlineLevel="0" collapsed="false">
      <c r="A1913" s="3" t="s">
        <v>1266</v>
      </c>
      <c r="B1913" s="3" t="str">
        <f aca="false">IF(ISNUMBER(SEARCH("%", A1913)),RIGHT(A1913,3),A1913)</f>
        <v>5, 5, MAGIKARP</v>
      </c>
      <c r="C1913" s="1" t="str">
        <f aca="false" t="array" ref="C1913:C1913">IF(B1912="NEW ROUTE",textsplit(B1913,","),"")</f>
        <v/>
      </c>
      <c r="H1913" s="1" t="str">
        <f aca="false">IF(C1913&lt;&gt;"",DEC2HEX(C1913,2),"")</f>
        <v/>
      </c>
      <c r="I1913" s="1" t="str">
        <f aca="false">IF(D1913&lt;&gt;"",DEC2HEX(D1913,2),"")</f>
        <v/>
      </c>
      <c r="J1913" s="1" t="str">
        <f aca="false">IF(H1913&lt;&gt;"","0x"&amp;I1913&amp;H1913,"")</f>
        <v/>
      </c>
      <c r="L1913" s="1" t="s">
        <v>1266</v>
      </c>
      <c r="M1913" s="1" t="str">
        <f aca="false">IF(J1913&lt;&gt;"",J1913,L1913)</f>
        <v>5, 5, MAGIKARP</v>
      </c>
    </row>
    <row r="1914" customFormat="false" ht="12.75" hidden="false" customHeight="true" outlineLevel="0" collapsed="false">
      <c r="A1914" s="3" t="s">
        <v>1266</v>
      </c>
      <c r="B1914" s="3" t="str">
        <f aca="false">IF(ISNUMBER(SEARCH("%", A1914)),RIGHT(A1914,3),A1914)</f>
        <v>5, 5, MAGIKARP</v>
      </c>
      <c r="C1914" s="1" t="str">
        <f aca="false" t="array" ref="C1914:C1914">IF(B1913="NEW ROUTE",textsplit(B1914,","),"")</f>
        <v/>
      </c>
      <c r="H1914" s="1" t="str">
        <f aca="false">IF(C1914&lt;&gt;"",DEC2HEX(C1914,2),"")</f>
        <v/>
      </c>
      <c r="I1914" s="1" t="str">
        <f aca="false">IF(D1914&lt;&gt;"",DEC2HEX(D1914,2),"")</f>
        <v/>
      </c>
      <c r="J1914" s="1" t="str">
        <f aca="false">IF(H1914&lt;&gt;"","0x"&amp;I1914&amp;H1914,"")</f>
        <v/>
      </c>
      <c r="L1914" s="1" t="s">
        <v>1266</v>
      </c>
      <c r="M1914" s="1" t="str">
        <f aca="false">IF(J1914&lt;&gt;"",J1914,L1914)</f>
        <v>5, 5, MAGIKARP</v>
      </c>
    </row>
    <row r="1915" customFormat="false" ht="12.75" hidden="false" customHeight="true" outlineLevel="0" collapsed="false">
      <c r="A1915" s="3" t="s">
        <v>2846</v>
      </c>
      <c r="B1915" s="3" t="str">
        <f aca="false">IF(ISNUMBER(SEARCH("%", A1915)),RIGHT(A1915,3),A1915)</f>
        <v>good rod:</v>
      </c>
      <c r="C1915" s="1" t="str">
        <f aca="false" t="array" ref="C1915:C1915">IF(B1914="NEW ROUTE",textsplit(B1915,","),"")</f>
        <v/>
      </c>
      <c r="H1915" s="1" t="str">
        <f aca="false">IF(C1915&lt;&gt;"",DEC2HEX(C1915,2),"")</f>
        <v/>
      </c>
      <c r="I1915" s="1" t="str">
        <f aca="false">IF(D1915&lt;&gt;"",DEC2HEX(D1915,2),"")</f>
        <v/>
      </c>
      <c r="J1915" s="1" t="str">
        <f aca="false">IF(H1915&lt;&gt;"","0x"&amp;I1915&amp;H1915,"")</f>
        <v/>
      </c>
      <c r="L1915" s="1" t="s">
        <v>2846</v>
      </c>
      <c r="M1915" s="1" t="str">
        <f aca="false">IF(J1915&lt;&gt;"",J1915,L1915)</f>
        <v>good rod:</v>
      </c>
    </row>
    <row r="1916" customFormat="false" ht="12.75" hidden="false" customHeight="true" outlineLevel="0" collapsed="false">
      <c r="A1916" s="3" t="s">
        <v>2847</v>
      </c>
      <c r="B1916" s="3" t="str">
        <f aca="false">IF(ISNUMBER(SEARCH("%", A1916)),RIGHT(A1916,3),A1916)</f>
        <v>5, 15, KRABBY</v>
      </c>
      <c r="C1916" s="1" t="str">
        <f aca="false" t="array" ref="C1916:C1916">IF(B1915="NEW ROUTE",textsplit(B1916,","),"")</f>
        <v/>
      </c>
      <c r="H1916" s="1" t="str">
        <f aca="false">IF(C1916&lt;&gt;"",DEC2HEX(C1916,2),"")</f>
        <v/>
      </c>
      <c r="I1916" s="1" t="str">
        <f aca="false">IF(D1916&lt;&gt;"",DEC2HEX(D1916,2),"")</f>
        <v/>
      </c>
      <c r="J1916" s="1" t="str">
        <f aca="false">IF(H1916&lt;&gt;"","0x"&amp;I1916&amp;H1916,"")</f>
        <v/>
      </c>
      <c r="L1916" s="1" t="s">
        <v>2847</v>
      </c>
      <c r="M1916" s="1" t="str">
        <f aca="false">IF(J1916&lt;&gt;"",J1916,L1916)</f>
        <v>5, 15, KRABBY</v>
      </c>
    </row>
    <row r="1917" customFormat="false" ht="12.75" hidden="false" customHeight="true" outlineLevel="0" collapsed="false">
      <c r="A1917" s="3" t="s">
        <v>2848</v>
      </c>
      <c r="B1917" s="3" t="str">
        <f aca="false">IF(ISNUMBER(SEARCH("%", A1917)),RIGHT(A1917,3),A1917)</f>
        <v>5, 15, MAGIKARP</v>
      </c>
      <c r="C1917" s="1" t="str">
        <f aca="false" t="array" ref="C1917:C1917">IF(B1916="NEW ROUTE",textsplit(B1917,","),"")</f>
        <v/>
      </c>
      <c r="H1917" s="1" t="str">
        <f aca="false">IF(C1917&lt;&gt;"",DEC2HEX(C1917,2),"")</f>
        <v/>
      </c>
      <c r="I1917" s="1" t="str">
        <f aca="false">IF(D1917&lt;&gt;"",DEC2HEX(D1917,2),"")</f>
        <v/>
      </c>
      <c r="J1917" s="1" t="str">
        <f aca="false">IF(H1917&lt;&gt;"","0x"&amp;I1917&amp;H1917,"")</f>
        <v/>
      </c>
      <c r="L1917" s="1" t="s">
        <v>2848</v>
      </c>
      <c r="M1917" s="1" t="str">
        <f aca="false">IF(J1917&lt;&gt;"",J1917,L1917)</f>
        <v>5, 15, MAGIKARP</v>
      </c>
    </row>
    <row r="1918" customFormat="false" ht="12.75" hidden="false" customHeight="true" outlineLevel="0" collapsed="false">
      <c r="A1918" s="3" t="s">
        <v>2847</v>
      </c>
      <c r="B1918" s="3" t="str">
        <f aca="false">IF(ISNUMBER(SEARCH("%", A1918)),RIGHT(A1918,3),A1918)</f>
        <v>5, 15, KRABBY</v>
      </c>
      <c r="C1918" s="1" t="str">
        <f aca="false" t="array" ref="C1918:C1918">IF(B1917="NEW ROUTE",textsplit(B1918,","),"")</f>
        <v/>
      </c>
      <c r="H1918" s="1" t="str">
        <f aca="false">IF(C1918&lt;&gt;"",DEC2HEX(C1918,2),"")</f>
        <v/>
      </c>
      <c r="I1918" s="1" t="str">
        <f aca="false">IF(D1918&lt;&gt;"",DEC2HEX(D1918,2),"")</f>
        <v/>
      </c>
      <c r="J1918" s="1" t="str">
        <f aca="false">IF(H1918&lt;&gt;"","0x"&amp;I1918&amp;H1918,"")</f>
        <v/>
      </c>
      <c r="L1918" s="1" t="s">
        <v>2847</v>
      </c>
      <c r="M1918" s="1" t="str">
        <f aca="false">IF(J1918&lt;&gt;"",J1918,L1918)</f>
        <v>5, 15, KRABBY</v>
      </c>
    </row>
    <row r="1919" customFormat="false" ht="12.75" hidden="false" customHeight="true" outlineLevel="0" collapsed="false">
      <c r="A1919" s="3" t="s">
        <v>2850</v>
      </c>
      <c r="B1919" s="3" t="str">
        <f aca="false">IF(ISNUMBER(SEARCH("%", A1919)),RIGHT(A1919,3),A1919)</f>
        <v>super rod:</v>
      </c>
      <c r="C1919" s="1" t="str">
        <f aca="false" t="array" ref="C1919:C1919">IF(B1918="NEW ROUTE",textsplit(B1919,","),"")</f>
        <v/>
      </c>
      <c r="H1919" s="1" t="str">
        <f aca="false">IF(C1919&lt;&gt;"",DEC2HEX(C1919,2),"")</f>
        <v/>
      </c>
      <c r="I1919" s="1" t="str">
        <f aca="false">IF(D1919&lt;&gt;"",DEC2HEX(D1919,2),"")</f>
        <v/>
      </c>
      <c r="J1919" s="1" t="str">
        <f aca="false">IF(H1919&lt;&gt;"","0x"&amp;I1919&amp;H1919,"")</f>
        <v/>
      </c>
      <c r="L1919" s="1" t="s">
        <v>2850</v>
      </c>
      <c r="M1919" s="1" t="str">
        <f aca="false">IF(J1919&lt;&gt;"",J1919,L1919)</f>
        <v>super rod:</v>
      </c>
    </row>
    <row r="1920" customFormat="false" ht="12.75" hidden="false" customHeight="true" outlineLevel="0" collapsed="false">
      <c r="A1920" s="3" t="s">
        <v>2851</v>
      </c>
      <c r="B1920" s="3" t="str">
        <f aca="false">IF(ISNUMBER(SEARCH("%", A1920)),RIGHT(A1920,3),A1920)</f>
        <v>15, 25, KRABBY</v>
      </c>
      <c r="C1920" s="1" t="str">
        <f aca="false" t="array" ref="C1920:C1920">IF(B1919="NEW ROUTE",textsplit(B1920,","),"")</f>
        <v/>
      </c>
      <c r="H1920" s="1" t="str">
        <f aca="false">IF(C1920&lt;&gt;"",DEC2HEX(C1920,2),"")</f>
        <v/>
      </c>
      <c r="I1920" s="1" t="str">
        <f aca="false">IF(D1920&lt;&gt;"",DEC2HEX(D1920,2),"")</f>
        <v/>
      </c>
      <c r="J1920" s="1" t="str">
        <f aca="false">IF(H1920&lt;&gt;"","0x"&amp;I1920&amp;H1920,"")</f>
        <v/>
      </c>
      <c r="L1920" s="1" t="s">
        <v>2851</v>
      </c>
      <c r="M1920" s="1" t="str">
        <f aca="false">IF(J1920&lt;&gt;"",J1920,L1920)</f>
        <v>15, 25, KRABBY</v>
      </c>
    </row>
    <row r="1921" customFormat="false" ht="12.75" hidden="false" customHeight="true" outlineLevel="0" collapsed="false">
      <c r="A1921" s="3" t="s">
        <v>3258</v>
      </c>
      <c r="B1921" s="3" t="str">
        <f aca="false">IF(ISNUMBER(SEARCH("%", A1921)),RIGHT(A1921,3),A1921)</f>
        <v>15, 25, REMORAID</v>
      </c>
      <c r="C1921" s="1" t="str">
        <f aca="false" t="array" ref="C1921:C1921">IF(B1920="NEW ROUTE",textsplit(B1921,","),"")</f>
        <v/>
      </c>
      <c r="H1921" s="1" t="str">
        <f aca="false">IF(C1921&lt;&gt;"",DEC2HEX(C1921,2),"")</f>
        <v/>
      </c>
      <c r="I1921" s="1" t="str">
        <f aca="false">IF(D1921&lt;&gt;"",DEC2HEX(D1921,2),"")</f>
        <v/>
      </c>
      <c r="J1921" s="1" t="str">
        <f aca="false">IF(H1921&lt;&gt;"","0x"&amp;I1921&amp;H1921,"")</f>
        <v/>
      </c>
      <c r="L1921" s="1" t="s">
        <v>3258</v>
      </c>
      <c r="M1921" s="1" t="str">
        <f aca="false">IF(J1921&lt;&gt;"",J1921,L1921)</f>
        <v>15, 25, REMORAID</v>
      </c>
    </row>
    <row r="1922" customFormat="false" ht="12.75" hidden="false" customHeight="true" outlineLevel="0" collapsed="false">
      <c r="A1922" s="3" t="s">
        <v>2853</v>
      </c>
      <c r="B1922" s="3" t="str">
        <f aca="false">IF(ISNUMBER(SEARCH("%", A1922)),RIGHT(A1922,3),A1922)</f>
        <v>15, 25, GYARADOS</v>
      </c>
      <c r="C1922" s="1" t="str">
        <f aca="false" t="array" ref="C1922:C1922">IF(B1921="NEW ROUTE",textsplit(B1922,","),"")</f>
        <v/>
      </c>
      <c r="H1922" s="1" t="str">
        <f aca="false">IF(C1922&lt;&gt;"",DEC2HEX(C1922,2),"")</f>
        <v/>
      </c>
      <c r="I1922" s="1" t="str">
        <f aca="false">IF(D1922&lt;&gt;"",DEC2HEX(D1922,2),"")</f>
        <v/>
      </c>
      <c r="J1922" s="1" t="str">
        <f aca="false">IF(H1922&lt;&gt;"","0x"&amp;I1922&amp;H1922,"")</f>
        <v/>
      </c>
      <c r="L1922" s="1" t="s">
        <v>2853</v>
      </c>
      <c r="M1922" s="1" t="str">
        <f aca="false">IF(J1922&lt;&gt;"",J1922,L1922)</f>
        <v>15, 25, GYARADOS</v>
      </c>
    </row>
    <row r="1923" customFormat="false" ht="12.75" hidden="false" customHeight="true" outlineLevel="0" collapsed="false">
      <c r="A1923" s="3" t="s">
        <v>3177</v>
      </c>
      <c r="B1923" s="3" t="str">
        <f aca="false">IF(ISNUMBER(SEARCH("%", A1923)),RIGHT(A1923,3),A1923)</f>
        <v>25, 35, KINGLER</v>
      </c>
      <c r="C1923" s="1" t="str">
        <f aca="false" t="array" ref="C1923:C1923">IF(B1922="NEW ROUTE",textsplit(B1923,","),"")</f>
        <v/>
      </c>
      <c r="H1923" s="1" t="str">
        <f aca="false">IF(C1923&lt;&gt;"",DEC2HEX(C1923,2),"")</f>
        <v/>
      </c>
      <c r="I1923" s="1" t="str">
        <f aca="false">IF(D1923&lt;&gt;"",DEC2HEX(D1923,2),"")</f>
        <v/>
      </c>
      <c r="J1923" s="1" t="str">
        <f aca="false">IF(H1923&lt;&gt;"","0x"&amp;I1923&amp;H1923,"")</f>
        <v/>
      </c>
      <c r="L1923" s="1" t="s">
        <v>3177</v>
      </c>
      <c r="M1923" s="1" t="str">
        <f aca="false">IF(J1923&lt;&gt;"",J1923,L1923)</f>
        <v>25, 35, KINGLER</v>
      </c>
    </row>
    <row r="1924" customFormat="false" ht="12.75" hidden="false" customHeight="true" outlineLevel="0" collapsed="false">
      <c r="A1924" s="3" t="s">
        <v>2855</v>
      </c>
      <c r="B1924" s="3" t="str">
        <f aca="false">IF(ISNUMBER(SEARCH("%", A1924)),RIGHT(A1924,3),A1924)</f>
        <v>25, 35, SLOWPOKE</v>
      </c>
      <c r="C1924" s="1" t="str">
        <f aca="false" t="array" ref="C1924:C1924">IF(B1923="NEW ROUTE",textsplit(B1924,","),"")</f>
        <v/>
      </c>
      <c r="H1924" s="1" t="str">
        <f aca="false">IF(C1924&lt;&gt;"",DEC2HEX(C1924,2),"")</f>
        <v/>
      </c>
      <c r="I1924" s="1" t="str">
        <f aca="false">IF(D1924&lt;&gt;"",DEC2HEX(D1924,2),"")</f>
        <v/>
      </c>
      <c r="J1924" s="1" t="str">
        <f aca="false">IF(H1924&lt;&gt;"","0x"&amp;I1924&amp;H1924,"")</f>
        <v/>
      </c>
      <c r="L1924" s="1" t="s">
        <v>2855</v>
      </c>
      <c r="M1924" s="1" t="str">
        <f aca="false">IF(J1924&lt;&gt;"",J1924,L1924)</f>
        <v>25, 35, SLOWPOKE</v>
      </c>
    </row>
    <row r="1925" customFormat="false" ht="12.75" hidden="false" customHeight="true" outlineLevel="0" collapsed="false">
      <c r="A1925" s="3" t="s">
        <v>2536</v>
      </c>
      <c r="B1925" s="3" t="str">
        <f aca="false">IF(ISNUMBER(SEARCH("%", A1925)),RIGHT(A1925,3),A1925)</f>
        <v>NEW ROUTE</v>
      </c>
      <c r="C1925" s="1" t="str">
        <f aca="false" t="array" ref="C1925:C1925">IF(B1924="NEW ROUTE",textsplit(B1925,","),"")</f>
        <v/>
      </c>
      <c r="H1925" s="1" t="str">
        <f aca="false">IF(C1925&lt;&gt;"",DEC2HEX(C1925,2),"")</f>
        <v/>
      </c>
      <c r="I1925" s="1" t="str">
        <f aca="false">IF(D1925&lt;&gt;"",DEC2HEX(D1925,2),"")</f>
        <v/>
      </c>
      <c r="J1925" s="1" t="str">
        <f aca="false">IF(H1925&lt;&gt;"","0x"&amp;I1925&amp;H1925,"")</f>
        <v/>
      </c>
      <c r="L1925" s="1" t="s">
        <v>2536</v>
      </c>
      <c r="M1925" s="1" t="str">
        <f aca="false">IF(J1925&lt;&gt;"",J1925,L1925)</f>
        <v>NEW ROUTE</v>
      </c>
    </row>
    <row r="1926" customFormat="false" ht="12.75" hidden="false" customHeight="true" outlineLevel="0" collapsed="false">
      <c r="A1926" s="3" t="s">
        <v>3309</v>
      </c>
      <c r="B1926" s="3" t="str">
        <f aca="false">IF(ISNUMBER(SEARCH("%", A1926)),RIGHT(A1926,3),A1926)</f>
        <v>3, 19, 0,</v>
      </c>
      <c r="C1926" s="1" t="e">
        <f aca="false" t="array" ref="C1926:C1926">IF(B1925="NEW ROUTE",textsplit(B1926,","),"")</f>
        <v>#NAME?</v>
      </c>
      <c r="H1926" s="1" t="e">
        <f aca="false">IF(C1926&lt;&gt;"",DEC2HEX(C1926,2),"")</f>
        <v>#NAME?</v>
      </c>
      <c r="I1926" s="1" t="str">
        <f aca="false">IF(D1926&lt;&gt;"",DEC2HEX(D1926,2),"")</f>
        <v/>
      </c>
      <c r="J1926" s="1" t="e">
        <f aca="false">IF(H1926&lt;&gt;"","0x"&amp;I1926&amp;H1926,"")</f>
        <v>#NAME?</v>
      </c>
      <c r="L1926" s="1" t="s">
        <v>3309</v>
      </c>
      <c r="M1926" s="1" t="e">
        <f aca="false">IF(J1926&lt;&gt;"",J1926,L1926)</f>
        <v>#NAME?</v>
      </c>
    </row>
    <row r="1927" customFormat="false" ht="12.75" hidden="false" customHeight="true" outlineLevel="0" collapsed="false">
      <c r="A1927" s="3" t="s">
        <v>2908</v>
      </c>
      <c r="B1927" s="3" t="str">
        <f aca="false">IF(ISNUMBER(SEARCH("%", A1927)),RIGHT(A1927,3),A1927)</f>
        <v>20%</v>
      </c>
      <c r="C1927" s="1" t="str">
        <f aca="false" t="array" ref="C1927:C1927">IF(B1926="NEW ROUTE",textsplit(B1927,","),"")</f>
        <v/>
      </c>
      <c r="H1927" s="1" t="str">
        <f aca="false">IF(C1927&lt;&gt;"",DEC2HEX(C1927,2),"")</f>
        <v/>
      </c>
      <c r="I1927" s="1" t="str">
        <f aca="false">IF(D1927&lt;&gt;"",DEC2HEX(D1927,2),"")</f>
        <v/>
      </c>
      <c r="J1927" s="1" t="str">
        <f aca="false">IF(H1927&lt;&gt;"","0x"&amp;I1927&amp;H1927,"")</f>
        <v/>
      </c>
      <c r="L1927" s="1" t="s">
        <v>2799</v>
      </c>
      <c r="M1927" s="1" t="str">
        <f aca="false">IF(J1927&lt;&gt;"",J1927,L1927)</f>
        <v>20%</v>
      </c>
    </row>
    <row r="1928" customFormat="false" ht="12.75" hidden="false" customHeight="true" outlineLevel="0" collapsed="false">
      <c r="A1928" s="3" t="s">
        <v>1773</v>
      </c>
      <c r="B1928" s="3" t="str">
        <f aca="false">IF(ISNUMBER(SEARCH("%", A1928)),RIGHT(A1928,3),A1928)</f>
        <v>2, 5, PIDGEY</v>
      </c>
      <c r="C1928" s="1" t="str">
        <f aca="false" t="array" ref="C1928:C1928">IF(B1927="NEW ROUTE",textsplit(B1928,","),"")</f>
        <v/>
      </c>
      <c r="H1928" s="1" t="str">
        <f aca="false">IF(C1928&lt;&gt;"",DEC2HEX(C1928,2),"")</f>
        <v/>
      </c>
      <c r="I1928" s="1" t="str">
        <f aca="false">IF(D1928&lt;&gt;"",DEC2HEX(D1928,2),"")</f>
        <v/>
      </c>
      <c r="J1928" s="1" t="str">
        <f aca="false">IF(H1928&lt;&gt;"","0x"&amp;I1928&amp;H1928,"")</f>
        <v/>
      </c>
      <c r="L1928" s="1" t="s">
        <v>1773</v>
      </c>
      <c r="M1928" s="1" t="str">
        <f aca="false">IF(J1928&lt;&gt;"",J1928,L1928)</f>
        <v>2, 5, PIDGEY</v>
      </c>
    </row>
    <row r="1929" customFormat="false" ht="12.75" hidden="false" customHeight="true" outlineLevel="0" collapsed="false">
      <c r="A1929" s="3" t="s">
        <v>1773</v>
      </c>
      <c r="B1929" s="3" t="str">
        <f aca="false">IF(ISNUMBER(SEARCH("%", A1929)),RIGHT(A1929,3),A1929)</f>
        <v>2, 5, PIDGEY</v>
      </c>
      <c r="C1929" s="1" t="str">
        <f aca="false" t="array" ref="C1929:C1929">IF(B1928="NEW ROUTE",textsplit(B1929,","),"")</f>
        <v/>
      </c>
      <c r="H1929" s="1" t="str">
        <f aca="false">IF(C1929&lt;&gt;"",DEC2HEX(C1929,2),"")</f>
        <v/>
      </c>
      <c r="I1929" s="1" t="str">
        <f aca="false">IF(D1929&lt;&gt;"",DEC2HEX(D1929,2),"")</f>
        <v/>
      </c>
      <c r="J1929" s="1" t="str">
        <f aca="false">IF(H1929&lt;&gt;"","0x"&amp;I1929&amp;H1929,"")</f>
        <v/>
      </c>
      <c r="L1929" s="1" t="s">
        <v>1773</v>
      </c>
      <c r="M1929" s="1" t="str">
        <f aca="false">IF(J1929&lt;&gt;"",J1929,L1929)</f>
        <v>2, 5, PIDGEY</v>
      </c>
    </row>
    <row r="1930" customFormat="false" ht="12.75" hidden="false" customHeight="true" outlineLevel="0" collapsed="false">
      <c r="A1930" s="3" t="s">
        <v>2801</v>
      </c>
      <c r="B1930" s="3" t="str">
        <f aca="false">IF(ISNUMBER(SEARCH("%", A1930)),RIGHT(A1930,3),A1930)</f>
        <v>0.1</v>
      </c>
      <c r="C1930" s="1" t="str">
        <f aca="false" t="array" ref="C1930:C1930">IF(B1929="NEW ROUTE",textsplit(B1930,","),"")</f>
        <v/>
      </c>
      <c r="H1930" s="1" t="str">
        <f aca="false">IF(C1930&lt;&gt;"",DEC2HEX(C1930,2),"")</f>
        <v/>
      </c>
      <c r="I1930" s="1" t="str">
        <f aca="false">IF(D1930&lt;&gt;"",DEC2HEX(D1930,2),"")</f>
        <v/>
      </c>
      <c r="J1930" s="1" t="str">
        <f aca="false">IF(H1930&lt;&gt;"","0x"&amp;I1930&amp;H1930,"")</f>
        <v/>
      </c>
      <c r="L1930" s="1" t="s">
        <v>2801</v>
      </c>
      <c r="M1930" s="1" t="str">
        <f aca="false">IF(J1930&lt;&gt;"",J1930,L1930)</f>
        <v>0.1</v>
      </c>
    </row>
    <row r="1931" customFormat="false" ht="12.75" hidden="false" customHeight="true" outlineLevel="0" collapsed="false">
      <c r="A1931" s="3" t="s">
        <v>3310</v>
      </c>
      <c r="B1931" s="3" t="str">
        <f aca="false">IF(ISNUMBER(SEARCH("%", A1931)),RIGHT(A1931,3),A1931)</f>
        <v>2, 4, RATTATA</v>
      </c>
      <c r="C1931" s="1" t="str">
        <f aca="false" t="array" ref="C1931:C1931">IF(B1930="NEW ROUTE",textsplit(B1931,","),"")</f>
        <v/>
      </c>
      <c r="H1931" s="1" t="str">
        <f aca="false">IF(C1931&lt;&gt;"",DEC2HEX(C1931,2),"")</f>
        <v/>
      </c>
      <c r="I1931" s="1" t="str">
        <f aca="false">IF(D1931&lt;&gt;"",DEC2HEX(D1931,2),"")</f>
        <v/>
      </c>
      <c r="J1931" s="1" t="str">
        <f aca="false">IF(H1931&lt;&gt;"","0x"&amp;I1931&amp;H1931,"")</f>
        <v/>
      </c>
      <c r="L1931" s="1" t="s">
        <v>3310</v>
      </c>
      <c r="M1931" s="1" t="str">
        <f aca="false">IF(J1931&lt;&gt;"",J1931,L1931)</f>
        <v>2, 4, RATTATA</v>
      </c>
    </row>
    <row r="1932" customFormat="false" ht="12.75" hidden="false" customHeight="true" outlineLevel="0" collapsed="false">
      <c r="A1932" s="3" t="s">
        <v>3310</v>
      </c>
      <c r="B1932" s="3" t="str">
        <f aca="false">IF(ISNUMBER(SEARCH("%", A1932)),RIGHT(A1932,3),A1932)</f>
        <v>2, 4, RATTATA</v>
      </c>
      <c r="C1932" s="1" t="str">
        <f aca="false" t="array" ref="C1932:C1932">IF(B1931="NEW ROUTE",textsplit(B1932,","),"")</f>
        <v/>
      </c>
      <c r="H1932" s="1" t="str">
        <f aca="false">IF(C1932&lt;&gt;"",DEC2HEX(C1932,2),"")</f>
        <v/>
      </c>
      <c r="I1932" s="1" t="str">
        <f aca="false">IF(D1932&lt;&gt;"",DEC2HEX(D1932,2),"")</f>
        <v/>
      </c>
      <c r="J1932" s="1" t="str">
        <f aca="false">IF(H1932&lt;&gt;"","0x"&amp;I1932&amp;H1932,"")</f>
        <v/>
      </c>
      <c r="L1932" s="1" t="s">
        <v>3310</v>
      </c>
      <c r="M1932" s="1" t="str">
        <f aca="false">IF(J1932&lt;&gt;"",J1932,L1932)</f>
        <v>2, 4, RATTATA</v>
      </c>
    </row>
    <row r="1933" customFormat="false" ht="12.75" hidden="false" customHeight="true" outlineLevel="0" collapsed="false">
      <c r="A1933" s="3" t="s">
        <v>3311</v>
      </c>
      <c r="B1933" s="3" t="str">
        <f aca="false">IF(ISNUMBER(SEARCH("%", A1933)),RIGHT(A1933,3),A1933)</f>
        <v>2, 4, BELLSPROUT</v>
      </c>
      <c r="C1933" s="1" t="str">
        <f aca="false" t="array" ref="C1933:C1933">IF(B1932="NEW ROUTE",textsplit(B1933,","),"")</f>
        <v/>
      </c>
      <c r="H1933" s="1" t="str">
        <f aca="false">IF(C1933&lt;&gt;"",DEC2HEX(C1933,2),"")</f>
        <v/>
      </c>
      <c r="I1933" s="1" t="str">
        <f aca="false">IF(D1933&lt;&gt;"",DEC2HEX(D1933,2),"")</f>
        <v/>
      </c>
      <c r="J1933" s="1" t="str">
        <f aca="false">IF(H1933&lt;&gt;"","0x"&amp;I1933&amp;H1933,"")</f>
        <v/>
      </c>
      <c r="L1933" s="1" t="s">
        <v>3311</v>
      </c>
      <c r="M1933" s="1" t="str">
        <f aca="false">IF(J1933&lt;&gt;"",J1933,L1933)</f>
        <v>2, 4, BELLSPROUT</v>
      </c>
    </row>
    <row r="1934" customFormat="false" ht="12.75" hidden="false" customHeight="true" outlineLevel="0" collapsed="false">
      <c r="A1934" s="3" t="s">
        <v>3311</v>
      </c>
      <c r="B1934" s="3" t="str">
        <f aca="false">IF(ISNUMBER(SEARCH("%", A1934)),RIGHT(A1934,3),A1934)</f>
        <v>2, 4, BELLSPROUT</v>
      </c>
      <c r="C1934" s="1" t="str">
        <f aca="false" t="array" ref="C1934:C1934">IF(B1933="NEW ROUTE",textsplit(B1934,","),"")</f>
        <v/>
      </c>
      <c r="H1934" s="1" t="str">
        <f aca="false">IF(C1934&lt;&gt;"",DEC2HEX(C1934,2),"")</f>
        <v/>
      </c>
      <c r="I1934" s="1" t="str">
        <f aca="false">IF(D1934&lt;&gt;"",DEC2HEX(D1934,2),"")</f>
        <v/>
      </c>
      <c r="J1934" s="1" t="str">
        <f aca="false">IF(H1934&lt;&gt;"","0x"&amp;I1934&amp;H1934,"")</f>
        <v/>
      </c>
      <c r="L1934" s="1" t="s">
        <v>3311</v>
      </c>
      <c r="M1934" s="1" t="str">
        <f aca="false">IF(J1934&lt;&gt;"",J1934,L1934)</f>
        <v>2, 4, BELLSPROUT</v>
      </c>
    </row>
    <row r="1935" customFormat="false" ht="12.75" hidden="false" customHeight="true" outlineLevel="0" collapsed="false">
      <c r="A1935" s="3" t="s">
        <v>2806</v>
      </c>
      <c r="B1935" s="3" t="str">
        <f aca="false">IF(ISNUMBER(SEARCH("%", A1935)),RIGHT(A1935,3),A1935)</f>
        <v>0.05</v>
      </c>
      <c r="C1935" s="1" t="str">
        <f aca="false" t="array" ref="C1935:C1935">IF(B1934="NEW ROUTE",textsplit(B1935,","),"")</f>
        <v/>
      </c>
      <c r="H1935" s="1" t="str">
        <f aca="false">IF(C1935&lt;&gt;"",DEC2HEX(C1935,2),"")</f>
        <v/>
      </c>
      <c r="I1935" s="1" t="str">
        <f aca="false">IF(D1935&lt;&gt;"",DEC2HEX(D1935,2),"")</f>
        <v/>
      </c>
      <c r="J1935" s="1" t="str">
        <f aca="false">IF(H1935&lt;&gt;"","0x"&amp;I1935&amp;H1935,"")</f>
        <v/>
      </c>
      <c r="L1935" s="1" t="s">
        <v>2806</v>
      </c>
      <c r="M1935" s="1" t="str">
        <f aca="false">IF(J1935&lt;&gt;"",J1935,L1935)</f>
        <v>0.05</v>
      </c>
    </row>
    <row r="1936" customFormat="false" ht="12.75" hidden="false" customHeight="true" outlineLevel="0" collapsed="false">
      <c r="A1936" s="3" t="s">
        <v>3312</v>
      </c>
      <c r="B1936" s="3" t="str">
        <f aca="false">IF(ISNUMBER(SEARCH("%", A1936)),RIGHT(A1936,3),A1936)</f>
        <v>2, 4, ODDISH</v>
      </c>
      <c r="C1936" s="1" t="str">
        <f aca="false" t="array" ref="C1936:C1936">IF(B1935="NEW ROUTE",textsplit(B1936,","),"")</f>
        <v/>
      </c>
      <c r="H1936" s="1" t="str">
        <f aca="false">IF(C1936&lt;&gt;"",DEC2HEX(C1936,2),"")</f>
        <v/>
      </c>
      <c r="I1936" s="1" t="str">
        <f aca="false">IF(D1936&lt;&gt;"",DEC2HEX(D1936,2),"")</f>
        <v/>
      </c>
      <c r="J1936" s="1" t="str">
        <f aca="false">IF(H1936&lt;&gt;"","0x"&amp;I1936&amp;H1936,"")</f>
        <v/>
      </c>
      <c r="L1936" s="1" t="s">
        <v>3312</v>
      </c>
      <c r="M1936" s="1" t="str">
        <f aca="false">IF(J1936&lt;&gt;"",J1936,L1936)</f>
        <v>2, 4, ODDISH</v>
      </c>
    </row>
    <row r="1937" customFormat="false" ht="12.75" hidden="false" customHeight="true" outlineLevel="0" collapsed="false">
      <c r="A1937" s="3" t="s">
        <v>3312</v>
      </c>
      <c r="B1937" s="3" t="str">
        <f aca="false">IF(ISNUMBER(SEARCH("%", A1937)),RIGHT(A1937,3),A1937)</f>
        <v>2, 4, ODDISH</v>
      </c>
      <c r="C1937" s="1" t="str">
        <f aca="false" t="array" ref="C1937:C1937">IF(B1936="NEW ROUTE",textsplit(B1937,","),"")</f>
        <v/>
      </c>
      <c r="H1937" s="1" t="str">
        <f aca="false">IF(C1937&lt;&gt;"",DEC2HEX(C1937,2),"")</f>
        <v/>
      </c>
      <c r="I1937" s="1" t="str">
        <f aca="false">IF(D1937&lt;&gt;"",DEC2HEX(D1937,2),"")</f>
        <v/>
      </c>
      <c r="J1937" s="1" t="str">
        <f aca="false">IF(H1937&lt;&gt;"","0x"&amp;I1937&amp;H1937,"")</f>
        <v/>
      </c>
      <c r="L1937" s="1" t="s">
        <v>3312</v>
      </c>
      <c r="M1937" s="1" t="str">
        <f aca="false">IF(J1937&lt;&gt;"",J1937,L1937)</f>
        <v>2, 4, ODDISH</v>
      </c>
    </row>
    <row r="1938" customFormat="false" ht="12.75" hidden="false" customHeight="true" outlineLevel="0" collapsed="false">
      <c r="A1938" s="3" t="s">
        <v>2809</v>
      </c>
      <c r="B1938" s="3" t="str">
        <f aca="false">IF(ISNUMBER(SEARCH("%", A1938)),RIGHT(A1938,3),A1938)</f>
        <v>0.04</v>
      </c>
      <c r="C1938" s="1" t="str">
        <f aca="false" t="array" ref="C1938:C1938">IF(B1937="NEW ROUTE",textsplit(B1938,","),"")</f>
        <v/>
      </c>
      <c r="H1938" s="1" t="str">
        <f aca="false">IF(C1938&lt;&gt;"",DEC2HEX(C1938,2),"")</f>
        <v/>
      </c>
      <c r="I1938" s="1" t="str">
        <f aca="false">IF(D1938&lt;&gt;"",DEC2HEX(D1938,2),"")</f>
        <v/>
      </c>
      <c r="J1938" s="1" t="str">
        <f aca="false">IF(H1938&lt;&gt;"","0x"&amp;I1938&amp;H1938,"")</f>
        <v/>
      </c>
      <c r="L1938" s="1" t="s">
        <v>2809</v>
      </c>
      <c r="M1938" s="1" t="str">
        <f aca="false">IF(J1938&lt;&gt;"",J1938,L1938)</f>
        <v>0.04</v>
      </c>
    </row>
    <row r="1939" customFormat="false" ht="12.75" hidden="false" customHeight="true" outlineLevel="0" collapsed="false">
      <c r="A1939" s="3" t="s">
        <v>3313</v>
      </c>
      <c r="B1939" s="3" t="str">
        <f aca="false">IF(ISNUMBER(SEARCH("%", A1939)),RIGHT(A1939,3),A1939)</f>
        <v>2, 4, VENONAT</v>
      </c>
      <c r="C1939" s="1" t="str">
        <f aca="false" t="array" ref="C1939:C1939">IF(B1938="NEW ROUTE",textsplit(B1939,","),"")</f>
        <v/>
      </c>
      <c r="H1939" s="1" t="str">
        <f aca="false">IF(C1939&lt;&gt;"",DEC2HEX(C1939,2),"")</f>
        <v/>
      </c>
      <c r="I1939" s="1" t="str">
        <f aca="false">IF(D1939&lt;&gt;"",DEC2HEX(D1939,2),"")</f>
        <v/>
      </c>
      <c r="J1939" s="1" t="str">
        <f aca="false">IF(H1939&lt;&gt;"","0x"&amp;I1939&amp;H1939,"")</f>
        <v/>
      </c>
      <c r="L1939" s="1" t="s">
        <v>3313</v>
      </c>
      <c r="M1939" s="1" t="str">
        <f aca="false">IF(J1939&lt;&gt;"",J1939,L1939)</f>
        <v>2, 4, VENONAT</v>
      </c>
    </row>
    <row r="1940" customFormat="false" ht="12.75" hidden="false" customHeight="true" outlineLevel="0" collapsed="false">
      <c r="A1940" s="3" t="s">
        <v>3313</v>
      </c>
      <c r="B1940" s="3" t="str">
        <f aca="false">IF(ISNUMBER(SEARCH("%", A1940)),RIGHT(A1940,3),A1940)</f>
        <v>2, 4, VENONAT</v>
      </c>
      <c r="C1940" s="1" t="str">
        <f aca="false" t="array" ref="C1940:C1940">IF(B1939="NEW ROUTE",textsplit(B1940,","),"")</f>
        <v/>
      </c>
      <c r="H1940" s="1" t="str">
        <f aca="false">IF(C1940&lt;&gt;"",DEC2HEX(C1940,2),"")</f>
        <v/>
      </c>
      <c r="I1940" s="1" t="str">
        <f aca="false">IF(D1940&lt;&gt;"",DEC2HEX(D1940,2),"")</f>
        <v/>
      </c>
      <c r="J1940" s="1" t="str">
        <f aca="false">IF(H1940&lt;&gt;"","0x"&amp;I1940&amp;H1940,"")</f>
        <v/>
      </c>
      <c r="L1940" s="1" t="s">
        <v>3313</v>
      </c>
      <c r="M1940" s="1" t="str">
        <f aca="false">IF(J1940&lt;&gt;"",J1940,L1940)</f>
        <v>2, 4, VENONAT</v>
      </c>
    </row>
    <row r="1941" customFormat="false" ht="12.75" hidden="false" customHeight="true" outlineLevel="0" collapsed="false">
      <c r="A1941" s="3" t="s">
        <v>2812</v>
      </c>
      <c r="B1941" s="3" t="str">
        <f aca="false">IF(ISNUMBER(SEARCH("%", A1941)),RIGHT(A1941,3),A1941)</f>
        <v>0.01</v>
      </c>
      <c r="C1941" s="1" t="str">
        <f aca="false" t="array" ref="C1941:C1941">IF(B1940="NEW ROUTE",textsplit(B1941,","),"")</f>
        <v/>
      </c>
      <c r="H1941" s="1" t="str">
        <f aca="false">IF(C1941&lt;&gt;"",DEC2HEX(C1941,2),"")</f>
        <v/>
      </c>
      <c r="I1941" s="1" t="str">
        <f aca="false">IF(D1941&lt;&gt;"",DEC2HEX(D1941,2),"")</f>
        <v/>
      </c>
      <c r="J1941" s="1" t="str">
        <f aca="false">IF(H1941&lt;&gt;"","0x"&amp;I1941&amp;H1941,"")</f>
        <v/>
      </c>
      <c r="L1941" s="1" t="s">
        <v>2812</v>
      </c>
      <c r="M1941" s="1" t="str">
        <f aca="false">IF(J1941&lt;&gt;"",J1941,L1941)</f>
        <v>0.01</v>
      </c>
    </row>
    <row r="1942" customFormat="false" ht="12.75" hidden="false" customHeight="true" outlineLevel="0" collapsed="false">
      <c r="A1942" s="3" t="s">
        <v>3314</v>
      </c>
      <c r="B1942" s="3" t="str">
        <f aca="false">IF(ISNUMBER(SEARCH("%", A1942)),RIGHT(A1942,3),A1942)</f>
        <v>3, 3, EEVEE</v>
      </c>
      <c r="C1942" s="1" t="str">
        <f aca="false" t="array" ref="C1942:C1942">IF(B1941="NEW ROUTE",textsplit(B1942,","),"")</f>
        <v/>
      </c>
      <c r="H1942" s="1" t="str">
        <f aca="false">IF(C1942&lt;&gt;"",DEC2HEX(C1942,2),"")</f>
        <v/>
      </c>
      <c r="I1942" s="1" t="str">
        <f aca="false">IF(D1942&lt;&gt;"",DEC2HEX(D1942,2),"")</f>
        <v/>
      </c>
      <c r="J1942" s="1" t="str">
        <f aca="false">IF(H1942&lt;&gt;"","0x"&amp;I1942&amp;H1942,"")</f>
        <v/>
      </c>
      <c r="L1942" s="1" t="s">
        <v>3314</v>
      </c>
      <c r="M1942" s="1" t="str">
        <f aca="false">IF(J1942&lt;&gt;"",J1942,L1942)</f>
        <v>3, 3, EEVEE</v>
      </c>
    </row>
    <row r="1943" customFormat="false" ht="12.75" hidden="false" customHeight="true" outlineLevel="0" collapsed="false">
      <c r="A1943" s="3" t="s">
        <v>3315</v>
      </c>
      <c r="B1943" s="3" t="str">
        <f aca="false">IF(ISNUMBER(SEARCH("%", A1943)),RIGHT(A1943,3),A1943)</f>
        <v>3, 3, EEVEE , &lt;null&gt;, &lt;null&gt;, &lt;null&gt;</v>
      </c>
      <c r="C1943" s="1" t="str">
        <f aca="false" t="array" ref="C1943:C1943">IF(B1942="NEW ROUTE",textsplit(B1943,","),"")</f>
        <v/>
      </c>
      <c r="H1943" s="1" t="str">
        <f aca="false">IF(C1943&lt;&gt;"",DEC2HEX(C1943,2),"")</f>
        <v/>
      </c>
      <c r="I1943" s="1" t="str">
        <f aca="false">IF(D1943&lt;&gt;"",DEC2HEX(D1943,2),"")</f>
        <v/>
      </c>
      <c r="J1943" s="1" t="str">
        <f aca="false">IF(H1943&lt;&gt;"","0x"&amp;I1943&amp;H1943,"")</f>
        <v/>
      </c>
      <c r="L1943" s="1" t="s">
        <v>3315</v>
      </c>
      <c r="M1943" s="1" t="str">
        <f aca="false">IF(J1943&lt;&gt;"",J1943,L1943)</f>
        <v>3, 3, EEVEE , &lt;null&gt;, &lt;null&gt;, &lt;null&gt;</v>
      </c>
    </row>
    <row r="1944" customFormat="false" ht="12.75" hidden="false" customHeight="true" outlineLevel="0" collapsed="false">
      <c r="A1944" s="3" t="s">
        <v>2536</v>
      </c>
      <c r="B1944" s="3" t="str">
        <f aca="false">IF(ISNUMBER(SEARCH("%", A1944)),RIGHT(A1944,3),A1944)</f>
        <v>NEW ROUTE</v>
      </c>
      <c r="C1944" s="1" t="str">
        <f aca="false" t="array" ref="C1944:C1944">IF(B1943="NEW ROUTE",textsplit(B1944,","),"")</f>
        <v/>
      </c>
      <c r="H1944" s="1" t="str">
        <f aca="false">IF(C1944&lt;&gt;"",DEC2HEX(C1944,2),"")</f>
        <v/>
      </c>
      <c r="I1944" s="1" t="str">
        <f aca="false">IF(D1944&lt;&gt;"",DEC2HEX(D1944,2),"")</f>
        <v/>
      </c>
      <c r="J1944" s="1" t="str">
        <f aca="false">IF(H1944&lt;&gt;"","0x"&amp;I1944&amp;H1944,"")</f>
        <v/>
      </c>
      <c r="L1944" s="1" t="s">
        <v>2536</v>
      </c>
      <c r="M1944" s="1" t="str">
        <f aca="false">IF(J1944&lt;&gt;"",J1944,L1944)</f>
        <v>NEW ROUTE</v>
      </c>
    </row>
    <row r="1945" customFormat="false" ht="12.75" hidden="false" customHeight="true" outlineLevel="0" collapsed="false">
      <c r="A1945" s="3" t="s">
        <v>3316</v>
      </c>
      <c r="B1945" s="3" t="str">
        <f aca="false">IF(ISNUMBER(SEARCH("%", A1945)),RIGHT(A1945,3),A1945)</f>
        <v>3, 20, 0,</v>
      </c>
      <c r="C1945" s="1" t="e">
        <f aca="false" t="array" ref="C1945:C1945">IF(B1944="NEW ROUTE",textsplit(B1945,","),"")</f>
        <v>#NAME?</v>
      </c>
      <c r="H1945" s="1" t="e">
        <f aca="false">IF(C1945&lt;&gt;"",DEC2HEX(C1945,2),"")</f>
        <v>#NAME?</v>
      </c>
      <c r="I1945" s="1" t="str">
        <f aca="false">IF(D1945&lt;&gt;"",DEC2HEX(D1945,2),"")</f>
        <v/>
      </c>
      <c r="J1945" s="1" t="e">
        <f aca="false">IF(H1945&lt;&gt;"","0x"&amp;I1945&amp;H1945,"")</f>
        <v>#NAME?</v>
      </c>
      <c r="L1945" s="1" t="s">
        <v>3316</v>
      </c>
      <c r="M1945" s="1" t="e">
        <f aca="false">IF(J1945&lt;&gt;"",J1945,L1945)</f>
        <v>#NAME?</v>
      </c>
    </row>
    <row r="1946" customFormat="false" ht="12.75" hidden="false" customHeight="true" outlineLevel="0" collapsed="false">
      <c r="A1946" s="3" t="s">
        <v>2908</v>
      </c>
      <c r="B1946" s="3" t="str">
        <f aca="false">IF(ISNUMBER(SEARCH("%", A1946)),RIGHT(A1946,3),A1946)</f>
        <v>20%</v>
      </c>
      <c r="C1946" s="1" t="str">
        <f aca="false" t="array" ref="C1946:C1946">IF(B1945="NEW ROUTE",textsplit(B1946,","),"")</f>
        <v/>
      </c>
      <c r="H1946" s="1" t="str">
        <f aca="false">IF(C1946&lt;&gt;"",DEC2HEX(C1946,2),"")</f>
        <v/>
      </c>
      <c r="I1946" s="1" t="str">
        <f aca="false">IF(D1946&lt;&gt;"",DEC2HEX(D1946,2),"")</f>
        <v/>
      </c>
      <c r="J1946" s="1" t="str">
        <f aca="false">IF(H1946&lt;&gt;"","0x"&amp;I1946&amp;H1946,"")</f>
        <v/>
      </c>
      <c r="L1946" s="1" t="s">
        <v>2799</v>
      </c>
      <c r="M1946" s="1" t="str">
        <f aca="false">IF(J1946&lt;&gt;"",J1946,L1946)</f>
        <v>20%</v>
      </c>
    </row>
    <row r="1947" customFormat="false" ht="12.75" hidden="false" customHeight="true" outlineLevel="0" collapsed="false">
      <c r="A1947" s="3" t="s">
        <v>1782</v>
      </c>
      <c r="B1947" s="3" t="str">
        <f aca="false">IF(ISNUMBER(SEARCH("%", A1947)),RIGHT(A1947,3),A1947)</f>
        <v>3, 5, CATERPIE</v>
      </c>
      <c r="C1947" s="1" t="str">
        <f aca="false" t="array" ref="C1947:C1947">IF(B1946="NEW ROUTE",textsplit(B1947,","),"")</f>
        <v/>
      </c>
      <c r="H1947" s="1" t="str">
        <f aca="false">IF(C1947&lt;&gt;"",DEC2HEX(C1947,2),"")</f>
        <v/>
      </c>
      <c r="I1947" s="1" t="str">
        <f aca="false">IF(D1947&lt;&gt;"",DEC2HEX(D1947,2),"")</f>
        <v/>
      </c>
      <c r="J1947" s="1" t="str">
        <f aca="false">IF(H1947&lt;&gt;"","0x"&amp;I1947&amp;H1947,"")</f>
        <v/>
      </c>
      <c r="L1947" s="1" t="s">
        <v>1782</v>
      </c>
      <c r="M1947" s="1" t="str">
        <f aca="false">IF(J1947&lt;&gt;"",J1947,L1947)</f>
        <v>3, 5, CATERPIE</v>
      </c>
    </row>
    <row r="1948" customFormat="false" ht="12.75" hidden="false" customHeight="true" outlineLevel="0" collapsed="false">
      <c r="A1948" s="3" t="s">
        <v>3317</v>
      </c>
      <c r="B1948" s="3" t="str">
        <f aca="false">IF(ISNUMBER(SEARCH("%", A1948)),RIGHT(A1948,3),A1948)</f>
        <v>3, 5, WEEDLE</v>
      </c>
      <c r="C1948" s="1" t="str">
        <f aca="false" t="array" ref="C1948:C1948">IF(B1947="NEW ROUTE",textsplit(B1948,","),"")</f>
        <v/>
      </c>
      <c r="H1948" s="1" t="str">
        <f aca="false">IF(C1948&lt;&gt;"",DEC2HEX(C1948,2),"")</f>
        <v/>
      </c>
      <c r="I1948" s="1" t="str">
        <f aca="false">IF(D1948&lt;&gt;"",DEC2HEX(D1948,2),"")</f>
        <v/>
      </c>
      <c r="J1948" s="1" t="str">
        <f aca="false">IF(H1948&lt;&gt;"","0x"&amp;I1948&amp;H1948,"")</f>
        <v/>
      </c>
      <c r="L1948" s="1" t="s">
        <v>3317</v>
      </c>
      <c r="M1948" s="1" t="str">
        <f aca="false">IF(J1948&lt;&gt;"",J1948,L1948)</f>
        <v>3, 5, WEEDLE</v>
      </c>
    </row>
    <row r="1949" customFormat="false" ht="12.75" hidden="false" customHeight="true" outlineLevel="0" collapsed="false">
      <c r="A1949" s="3" t="s">
        <v>2801</v>
      </c>
      <c r="B1949" s="3" t="str">
        <f aca="false">IF(ISNUMBER(SEARCH("%", A1949)),RIGHT(A1949,3),A1949)</f>
        <v>0.1</v>
      </c>
      <c r="C1949" s="1" t="str">
        <f aca="false" t="array" ref="C1949:C1949">IF(B1948="NEW ROUTE",textsplit(B1949,","),"")</f>
        <v/>
      </c>
      <c r="H1949" s="1" t="str">
        <f aca="false">IF(C1949&lt;&gt;"",DEC2HEX(C1949,2),"")</f>
        <v/>
      </c>
      <c r="I1949" s="1" t="str">
        <f aca="false">IF(D1949&lt;&gt;"",DEC2HEX(D1949,2),"")</f>
        <v/>
      </c>
      <c r="J1949" s="1" t="str">
        <f aca="false">IF(H1949&lt;&gt;"","0x"&amp;I1949&amp;H1949,"")</f>
        <v/>
      </c>
      <c r="L1949" s="1" t="s">
        <v>2801</v>
      </c>
      <c r="M1949" s="1" t="str">
        <f aca="false">IF(J1949&lt;&gt;"",J1949,L1949)</f>
        <v>0.1</v>
      </c>
    </row>
    <row r="1950" customFormat="false" ht="12.75" hidden="false" customHeight="true" outlineLevel="0" collapsed="false">
      <c r="A1950" s="3" t="s">
        <v>3318</v>
      </c>
      <c r="B1950" s="3" t="str">
        <f aca="false">IF(ISNUMBER(SEARCH("%", A1950)),RIGHT(A1950,3),A1950)</f>
        <v>4, 6, PIDGEY</v>
      </c>
      <c r="C1950" s="1" t="str">
        <f aca="false" t="array" ref="C1950:C1950">IF(B1949="NEW ROUTE",textsplit(B1950,","),"")</f>
        <v/>
      </c>
      <c r="H1950" s="1" t="str">
        <f aca="false">IF(C1950&lt;&gt;"",DEC2HEX(C1950,2),"")</f>
        <v/>
      </c>
      <c r="I1950" s="1" t="str">
        <f aca="false">IF(D1950&lt;&gt;"",DEC2HEX(D1950,2),"")</f>
        <v/>
      </c>
      <c r="J1950" s="1" t="str">
        <f aca="false">IF(H1950&lt;&gt;"","0x"&amp;I1950&amp;H1950,"")</f>
        <v/>
      </c>
      <c r="L1950" s="1" t="s">
        <v>3318</v>
      </c>
      <c r="M1950" s="1" t="str">
        <f aca="false">IF(J1950&lt;&gt;"",J1950,L1950)</f>
        <v>4, 6, PIDGEY</v>
      </c>
    </row>
    <row r="1951" customFormat="false" ht="12.75" hidden="false" customHeight="true" outlineLevel="0" collapsed="false">
      <c r="A1951" s="3" t="s">
        <v>3319</v>
      </c>
      <c r="B1951" s="3" t="str">
        <f aca="false">IF(ISNUMBER(SEARCH("%", A1951)),RIGHT(A1951,3),A1951)</f>
        <v>4, 6, RATTATA</v>
      </c>
      <c r="C1951" s="1" t="str">
        <f aca="false" t="array" ref="C1951:C1951">IF(B1950="NEW ROUTE",textsplit(B1951,","),"")</f>
        <v/>
      </c>
      <c r="H1951" s="1" t="str">
        <f aca="false">IF(C1951&lt;&gt;"",DEC2HEX(C1951,2),"")</f>
        <v/>
      </c>
      <c r="I1951" s="1" t="str">
        <f aca="false">IF(D1951&lt;&gt;"",DEC2HEX(D1951,2),"")</f>
        <v/>
      </c>
      <c r="J1951" s="1" t="str">
        <f aca="false">IF(H1951&lt;&gt;"","0x"&amp;I1951&amp;H1951,"")</f>
        <v/>
      </c>
      <c r="L1951" s="1" t="s">
        <v>3319</v>
      </c>
      <c r="M1951" s="1" t="str">
        <f aca="false">IF(J1951&lt;&gt;"",J1951,L1951)</f>
        <v>4, 6, RATTATA</v>
      </c>
    </row>
    <row r="1952" customFormat="false" ht="12.75" hidden="false" customHeight="true" outlineLevel="0" collapsed="false">
      <c r="A1952" s="3" t="s">
        <v>3319</v>
      </c>
      <c r="B1952" s="3" t="str">
        <f aca="false">IF(ISNUMBER(SEARCH("%", A1952)),RIGHT(A1952,3),A1952)</f>
        <v>4, 6, RATTATA</v>
      </c>
      <c r="C1952" s="1" t="str">
        <f aca="false" t="array" ref="C1952:C1952">IF(B1951="NEW ROUTE",textsplit(B1952,","),"")</f>
        <v/>
      </c>
      <c r="H1952" s="1" t="str">
        <f aca="false">IF(C1952&lt;&gt;"",DEC2HEX(C1952,2),"")</f>
        <v/>
      </c>
      <c r="I1952" s="1" t="str">
        <f aca="false">IF(D1952&lt;&gt;"",DEC2HEX(D1952,2),"")</f>
        <v/>
      </c>
      <c r="J1952" s="1" t="str">
        <f aca="false">IF(H1952&lt;&gt;"","0x"&amp;I1952&amp;H1952,"")</f>
        <v/>
      </c>
      <c r="L1952" s="1" t="s">
        <v>3319</v>
      </c>
      <c r="M1952" s="1" t="str">
        <f aca="false">IF(J1952&lt;&gt;"",J1952,L1952)</f>
        <v>4, 6, RATTATA</v>
      </c>
    </row>
    <row r="1953" customFormat="false" ht="12.75" hidden="false" customHeight="true" outlineLevel="0" collapsed="false">
      <c r="A1953" s="3" t="s">
        <v>3318</v>
      </c>
      <c r="B1953" s="3" t="str">
        <f aca="false">IF(ISNUMBER(SEARCH("%", A1953)),RIGHT(A1953,3),A1953)</f>
        <v>4, 6, PIDGEY</v>
      </c>
      <c r="C1953" s="1" t="str">
        <f aca="false" t="array" ref="C1953:C1953">IF(B1952="NEW ROUTE",textsplit(B1953,","),"")</f>
        <v/>
      </c>
      <c r="H1953" s="1" t="str">
        <f aca="false">IF(C1953&lt;&gt;"",DEC2HEX(C1953,2),"")</f>
        <v/>
      </c>
      <c r="I1953" s="1" t="str">
        <f aca="false">IF(D1953&lt;&gt;"",DEC2HEX(D1953,2),"")</f>
        <v/>
      </c>
      <c r="J1953" s="1" t="str">
        <f aca="false">IF(H1953&lt;&gt;"","0x"&amp;I1953&amp;H1953,"")</f>
        <v/>
      </c>
      <c r="L1953" s="1" t="s">
        <v>3318</v>
      </c>
      <c r="M1953" s="1" t="str">
        <f aca="false">IF(J1953&lt;&gt;"",J1953,L1953)</f>
        <v>4, 6, PIDGEY</v>
      </c>
    </row>
    <row r="1954" customFormat="false" ht="12.75" hidden="false" customHeight="true" outlineLevel="0" collapsed="false">
      <c r="A1954" s="3" t="s">
        <v>2806</v>
      </c>
      <c r="B1954" s="3" t="str">
        <f aca="false">IF(ISNUMBER(SEARCH("%", A1954)),RIGHT(A1954,3),A1954)</f>
        <v>0.05</v>
      </c>
      <c r="C1954" s="1" t="str">
        <f aca="false" t="array" ref="C1954:C1954">IF(B1953="NEW ROUTE",textsplit(B1954,","),"")</f>
        <v/>
      </c>
      <c r="H1954" s="1" t="str">
        <f aca="false">IF(C1954&lt;&gt;"",DEC2HEX(C1954,2),"")</f>
        <v/>
      </c>
      <c r="I1954" s="1" t="str">
        <f aca="false">IF(D1954&lt;&gt;"",DEC2HEX(D1954,2),"")</f>
        <v/>
      </c>
      <c r="J1954" s="1" t="str">
        <f aca="false">IF(H1954&lt;&gt;"","0x"&amp;I1954&amp;H1954,"")</f>
        <v/>
      </c>
      <c r="L1954" s="1" t="s">
        <v>2806</v>
      </c>
      <c r="M1954" s="1" t="str">
        <f aca="false">IF(J1954&lt;&gt;"",J1954,L1954)</f>
        <v>0.05</v>
      </c>
    </row>
    <row r="1955" customFormat="false" ht="12.75" hidden="false" customHeight="true" outlineLevel="0" collapsed="false">
      <c r="A1955" s="3" t="s">
        <v>3320</v>
      </c>
      <c r="B1955" s="3" t="str">
        <f aca="false">IF(ISNUMBER(SEARCH("%", A1955)),RIGHT(A1955,3),A1955)</f>
        <v>5, 8, MEOWTH</v>
      </c>
      <c r="C1955" s="1" t="str">
        <f aca="false" t="array" ref="C1955:C1955">IF(B1954="NEW ROUTE",textsplit(B1955,","),"")</f>
        <v/>
      </c>
      <c r="H1955" s="1" t="str">
        <f aca="false">IF(C1955&lt;&gt;"",DEC2HEX(C1955,2),"")</f>
        <v/>
      </c>
      <c r="I1955" s="1" t="str">
        <f aca="false">IF(D1955&lt;&gt;"",DEC2HEX(D1955,2),"")</f>
        <v/>
      </c>
      <c r="J1955" s="1" t="str">
        <f aca="false">IF(H1955&lt;&gt;"","0x"&amp;I1955&amp;H1955,"")</f>
        <v/>
      </c>
      <c r="L1955" s="1" t="s">
        <v>3320</v>
      </c>
      <c r="M1955" s="1" t="str">
        <f aca="false">IF(J1955&lt;&gt;"",J1955,L1955)</f>
        <v>5, 8, MEOWTH</v>
      </c>
    </row>
    <row r="1956" customFormat="false" ht="12.75" hidden="false" customHeight="true" outlineLevel="0" collapsed="false">
      <c r="A1956" s="3" t="s">
        <v>3321</v>
      </c>
      <c r="B1956" s="3" t="str">
        <f aca="false">IF(ISNUMBER(SEARCH("%", A1956)),RIGHT(A1956,3),A1956)</f>
        <v>5, 8, FARFETCH'D</v>
      </c>
      <c r="C1956" s="1" t="str">
        <f aca="false" t="array" ref="C1956:C1956">IF(B1955="NEW ROUTE",textsplit(B1956,","),"")</f>
        <v/>
      </c>
      <c r="H1956" s="1" t="str">
        <f aca="false">IF(C1956&lt;&gt;"",DEC2HEX(C1956,2),"")</f>
        <v/>
      </c>
      <c r="I1956" s="1" t="str">
        <f aca="false">IF(D1956&lt;&gt;"",DEC2HEX(D1956,2),"")</f>
        <v/>
      </c>
      <c r="J1956" s="1" t="str">
        <f aca="false">IF(H1956&lt;&gt;"","0x"&amp;I1956&amp;H1956,"")</f>
        <v/>
      </c>
      <c r="L1956" s="1" t="s">
        <v>3321</v>
      </c>
      <c r="M1956" s="1" t="str">
        <f aca="false">IF(J1956&lt;&gt;"",J1956,L1956)</f>
        <v>5, 8, FARFETCH'D</v>
      </c>
    </row>
    <row r="1957" customFormat="false" ht="12.75" hidden="false" customHeight="true" outlineLevel="0" collapsed="false">
      <c r="A1957" s="3" t="s">
        <v>2809</v>
      </c>
      <c r="B1957" s="3" t="str">
        <f aca="false">IF(ISNUMBER(SEARCH("%", A1957)),RIGHT(A1957,3),A1957)</f>
        <v>0.04</v>
      </c>
      <c r="C1957" s="1" t="str">
        <f aca="false" t="array" ref="C1957:C1957">IF(B1956="NEW ROUTE",textsplit(B1957,","),"")</f>
        <v/>
      </c>
      <c r="H1957" s="1" t="str">
        <f aca="false">IF(C1957&lt;&gt;"",DEC2HEX(C1957,2),"")</f>
        <v/>
      </c>
      <c r="I1957" s="1" t="str">
        <f aca="false">IF(D1957&lt;&gt;"",DEC2HEX(D1957,2),"")</f>
        <v/>
      </c>
      <c r="J1957" s="1" t="str">
        <f aca="false">IF(H1957&lt;&gt;"","0x"&amp;I1957&amp;H1957,"")</f>
        <v/>
      </c>
      <c r="L1957" s="1" t="s">
        <v>2809</v>
      </c>
      <c r="M1957" s="1" t="str">
        <f aca="false">IF(J1957&lt;&gt;"",J1957,L1957)</f>
        <v>0.04</v>
      </c>
    </row>
    <row r="1958" customFormat="false" ht="12.75" hidden="false" customHeight="true" outlineLevel="0" collapsed="false">
      <c r="A1958" s="3" t="s">
        <v>3322</v>
      </c>
      <c r="B1958" s="3" t="str">
        <f aca="false">IF(ISNUMBER(SEARCH("%", A1958)),RIGHT(A1958,3),A1958)</f>
        <v>5, 8, MAGNEMITE</v>
      </c>
      <c r="C1958" s="1" t="str">
        <f aca="false" t="array" ref="C1958:C1958">IF(B1957="NEW ROUTE",textsplit(B1958,","),"")</f>
        <v/>
      </c>
      <c r="H1958" s="1" t="str">
        <f aca="false">IF(C1958&lt;&gt;"",DEC2HEX(C1958,2),"")</f>
        <v/>
      </c>
      <c r="I1958" s="1" t="str">
        <f aca="false">IF(D1958&lt;&gt;"",DEC2HEX(D1958,2),"")</f>
        <v/>
      </c>
      <c r="J1958" s="1" t="str">
        <f aca="false">IF(H1958&lt;&gt;"","0x"&amp;I1958&amp;H1958,"")</f>
        <v/>
      </c>
      <c r="L1958" s="1" t="s">
        <v>3322</v>
      </c>
      <c r="M1958" s="1" t="str">
        <f aca="false">IF(J1958&lt;&gt;"",J1958,L1958)</f>
        <v>5, 8, MAGNEMITE</v>
      </c>
    </row>
    <row r="1959" customFormat="false" ht="12.75" hidden="false" customHeight="true" outlineLevel="0" collapsed="false">
      <c r="A1959" s="3" t="s">
        <v>3323</v>
      </c>
      <c r="B1959" s="3" t="str">
        <f aca="false">IF(ISNUMBER(SEARCH("%", A1959)),RIGHT(A1959,3),A1959)</f>
        <v>5, 8, GROWLITHE</v>
      </c>
      <c r="C1959" s="1" t="str">
        <f aca="false" t="array" ref="C1959:C1959">IF(B1958="NEW ROUTE",textsplit(B1959,","),"")</f>
        <v/>
      </c>
      <c r="H1959" s="1" t="str">
        <f aca="false">IF(C1959&lt;&gt;"",DEC2HEX(C1959,2),"")</f>
        <v/>
      </c>
      <c r="I1959" s="1" t="str">
        <f aca="false">IF(D1959&lt;&gt;"",DEC2HEX(D1959,2),"")</f>
        <v/>
      </c>
      <c r="J1959" s="1" t="str">
        <f aca="false">IF(H1959&lt;&gt;"","0x"&amp;I1959&amp;H1959,"")</f>
        <v/>
      </c>
      <c r="L1959" s="1" t="s">
        <v>3323</v>
      </c>
      <c r="M1959" s="1" t="str">
        <f aca="false">IF(J1959&lt;&gt;"",J1959,L1959)</f>
        <v>5, 8, GROWLITHE</v>
      </c>
    </row>
    <row r="1960" customFormat="false" ht="12.75" hidden="false" customHeight="true" outlineLevel="0" collapsed="false">
      <c r="A1960" s="3" t="s">
        <v>2812</v>
      </c>
      <c r="B1960" s="3" t="str">
        <f aca="false">IF(ISNUMBER(SEARCH("%", A1960)),RIGHT(A1960,3),A1960)</f>
        <v>0.01</v>
      </c>
      <c r="C1960" s="1" t="str">
        <f aca="false" t="array" ref="C1960:C1960">IF(B1959="NEW ROUTE",textsplit(B1960,","),"")</f>
        <v/>
      </c>
      <c r="H1960" s="1" t="str">
        <f aca="false">IF(C1960&lt;&gt;"",DEC2HEX(C1960,2),"")</f>
        <v/>
      </c>
      <c r="I1960" s="1" t="str">
        <f aca="false">IF(D1960&lt;&gt;"",DEC2HEX(D1960,2),"")</f>
        <v/>
      </c>
      <c r="J1960" s="1" t="str">
        <f aca="false">IF(H1960&lt;&gt;"","0x"&amp;I1960&amp;H1960,"")</f>
        <v/>
      </c>
      <c r="L1960" s="1" t="s">
        <v>2812</v>
      </c>
      <c r="M1960" s="1" t="str">
        <f aca="false">IF(J1960&lt;&gt;"",J1960,L1960)</f>
        <v>0.01</v>
      </c>
    </row>
    <row r="1961" customFormat="false" ht="12.75" hidden="false" customHeight="true" outlineLevel="0" collapsed="false">
      <c r="A1961" s="3" t="s">
        <v>3324</v>
      </c>
      <c r="B1961" s="3" t="str">
        <f aca="false">IF(ISNUMBER(SEARCH("%", A1961)),RIGHT(A1961,3),A1961)</f>
        <v>7, 7, MAGNEMITE</v>
      </c>
      <c r="C1961" s="1" t="str">
        <f aca="false" t="array" ref="C1961:C1961">IF(B1960="NEW ROUTE",textsplit(B1961,","),"")</f>
        <v/>
      </c>
      <c r="H1961" s="1" t="str">
        <f aca="false">IF(C1961&lt;&gt;"",DEC2HEX(C1961,2),"")</f>
        <v/>
      </c>
      <c r="I1961" s="1" t="str">
        <f aca="false">IF(D1961&lt;&gt;"",DEC2HEX(D1961,2),"")</f>
        <v/>
      </c>
      <c r="J1961" s="1" t="str">
        <f aca="false">IF(H1961&lt;&gt;"","0x"&amp;I1961&amp;H1961,"")</f>
        <v/>
      </c>
      <c r="L1961" s="1" t="s">
        <v>3324</v>
      </c>
      <c r="M1961" s="1" t="str">
        <f aca="false">IF(J1961&lt;&gt;"",J1961,L1961)</f>
        <v>7, 7, MAGNEMITE</v>
      </c>
    </row>
    <row r="1962" customFormat="false" ht="12.75" hidden="false" customHeight="true" outlineLevel="0" collapsed="false">
      <c r="A1962" s="3" t="s">
        <v>3325</v>
      </c>
      <c r="B1962" s="3" t="str">
        <f aca="false">IF(ISNUMBER(SEARCH("%", A1962)),RIGHT(A1962,3),A1962)</f>
        <v>7, 7, GROWLITHE , &lt;null&gt;, &lt;null&gt;, &lt;null&gt;</v>
      </c>
      <c r="C1962" s="1" t="str">
        <f aca="false" t="array" ref="C1962:C1962">IF(B1961="NEW ROUTE",textsplit(B1962,","),"")</f>
        <v/>
      </c>
      <c r="H1962" s="1" t="str">
        <f aca="false">IF(C1962&lt;&gt;"",DEC2HEX(C1962,2),"")</f>
        <v/>
      </c>
      <c r="I1962" s="1" t="str">
        <f aca="false">IF(D1962&lt;&gt;"",DEC2HEX(D1962,2),"")</f>
        <v/>
      </c>
      <c r="J1962" s="1" t="str">
        <f aca="false">IF(H1962&lt;&gt;"","0x"&amp;I1962&amp;H1962,"")</f>
        <v/>
      </c>
      <c r="L1962" s="1" t="s">
        <v>3325</v>
      </c>
      <c r="M1962" s="1" t="str">
        <f aca="false">IF(J1962&lt;&gt;"",J1962,L1962)</f>
        <v>7, 7, GROWLITHE , &lt;null&gt;, &lt;null&gt;, &lt;null&gt;</v>
      </c>
    </row>
    <row r="1963" customFormat="false" ht="12.75" hidden="false" customHeight="true" outlineLevel="0" collapsed="false">
      <c r="A1963" s="3" t="s">
        <v>2536</v>
      </c>
      <c r="B1963" s="3" t="str">
        <f aca="false">IF(ISNUMBER(SEARCH("%", A1963)),RIGHT(A1963,3),A1963)</f>
        <v>NEW ROUTE</v>
      </c>
      <c r="C1963" s="1" t="str">
        <f aca="false" t="array" ref="C1963:C1963">IF(B1962="NEW ROUTE",textsplit(B1963,","),"")</f>
        <v/>
      </c>
      <c r="H1963" s="1" t="str">
        <f aca="false">IF(C1963&lt;&gt;"",DEC2HEX(C1963,2),"")</f>
        <v/>
      </c>
      <c r="I1963" s="1" t="str">
        <f aca="false">IF(D1963&lt;&gt;"",DEC2HEX(D1963,2),"")</f>
        <v/>
      </c>
      <c r="J1963" s="1" t="str">
        <f aca="false">IF(H1963&lt;&gt;"","0x"&amp;I1963&amp;H1963,"")</f>
        <v/>
      </c>
      <c r="L1963" s="1" t="s">
        <v>2536</v>
      </c>
      <c r="M1963" s="1" t="str">
        <f aca="false">IF(J1963&lt;&gt;"",J1963,L1963)</f>
        <v>NEW ROUTE</v>
      </c>
    </row>
    <row r="1964" customFormat="false" ht="12.75" hidden="false" customHeight="true" outlineLevel="0" collapsed="false">
      <c r="A1964" s="3" t="s">
        <v>3326</v>
      </c>
      <c r="B1964" s="3" t="str">
        <f aca="false">IF(ISNUMBER(SEARCH("%", A1964)),RIGHT(A1964,3),A1964)</f>
        <v>3, 21, 0,</v>
      </c>
      <c r="C1964" s="1" t="e">
        <f aca="false" t="array" ref="C1964:C1964">IF(B1963="NEW ROUTE",textsplit(B1964,","),"")</f>
        <v>#NAME?</v>
      </c>
      <c r="H1964" s="1" t="e">
        <f aca="false">IF(C1964&lt;&gt;"",DEC2HEX(C1964,2),"")</f>
        <v>#NAME?</v>
      </c>
      <c r="I1964" s="1" t="str">
        <f aca="false">IF(D1964&lt;&gt;"",DEC2HEX(D1964,2),"")</f>
        <v/>
      </c>
      <c r="J1964" s="1" t="e">
        <f aca="false">IF(H1964&lt;&gt;"","0x"&amp;I1964&amp;H1964,"")</f>
        <v>#NAME?</v>
      </c>
      <c r="L1964" s="1" t="s">
        <v>3326</v>
      </c>
      <c r="M1964" s="1" t="e">
        <f aca="false">IF(J1964&lt;&gt;"",J1964,L1964)</f>
        <v>#NAME?</v>
      </c>
    </row>
    <row r="1965" customFormat="false" ht="12.75" hidden="false" customHeight="true" outlineLevel="0" collapsed="false">
      <c r="A1965" s="3" t="s">
        <v>2908</v>
      </c>
      <c r="B1965" s="3" t="str">
        <f aca="false">IF(ISNUMBER(SEARCH("%", A1965)),RIGHT(A1965,3),A1965)</f>
        <v>20%</v>
      </c>
      <c r="C1965" s="1" t="str">
        <f aca="false" t="array" ref="C1965:C1965">IF(B1964="NEW ROUTE",textsplit(B1965,","),"")</f>
        <v/>
      </c>
      <c r="H1965" s="1" t="str">
        <f aca="false">IF(C1965&lt;&gt;"",DEC2HEX(C1965,2),"")</f>
        <v/>
      </c>
      <c r="I1965" s="1" t="str">
        <f aca="false">IF(D1965&lt;&gt;"",DEC2HEX(D1965,2),"")</f>
        <v/>
      </c>
      <c r="J1965" s="1" t="str">
        <f aca="false">IF(H1965&lt;&gt;"","0x"&amp;I1965&amp;H1965,"")</f>
        <v/>
      </c>
      <c r="L1965" s="1" t="s">
        <v>2799</v>
      </c>
      <c r="M1965" s="1" t="str">
        <f aca="false">IF(J1965&lt;&gt;"",J1965,L1965)</f>
        <v>20%</v>
      </c>
    </row>
    <row r="1966" customFormat="false" ht="12.75" hidden="false" customHeight="true" outlineLevel="0" collapsed="false">
      <c r="A1966" s="3" t="s">
        <v>1793</v>
      </c>
      <c r="B1966" s="3" t="str">
        <f aca="false">IF(ISNUMBER(SEARCH("%", A1966)),RIGHT(A1966,3),A1966)</f>
        <v>7, 9, SPEAROW</v>
      </c>
      <c r="C1966" s="1" t="str">
        <f aca="false" t="array" ref="C1966:C1966">IF(B1965="NEW ROUTE",textsplit(B1966,","),"")</f>
        <v/>
      </c>
      <c r="H1966" s="1" t="str">
        <f aca="false">IF(C1966&lt;&gt;"",DEC2HEX(C1966,2),"")</f>
        <v/>
      </c>
      <c r="I1966" s="1" t="str">
        <f aca="false">IF(D1966&lt;&gt;"",DEC2HEX(D1966,2),"")</f>
        <v/>
      </c>
      <c r="J1966" s="1" t="str">
        <f aca="false">IF(H1966&lt;&gt;"","0x"&amp;I1966&amp;H1966,"")</f>
        <v/>
      </c>
      <c r="L1966" s="1" t="s">
        <v>1793</v>
      </c>
      <c r="M1966" s="1" t="str">
        <f aca="false">IF(J1966&lt;&gt;"",J1966,L1966)</f>
        <v>7, 9, SPEAROW</v>
      </c>
    </row>
    <row r="1967" customFormat="false" ht="12.75" hidden="false" customHeight="true" outlineLevel="0" collapsed="false">
      <c r="A1967" s="3" t="s">
        <v>3327</v>
      </c>
      <c r="B1967" s="3" t="str">
        <f aca="false">IF(ISNUMBER(SEARCH("%", A1967)),RIGHT(A1967,3),A1967)</f>
        <v>7, 9, PIDGEY</v>
      </c>
      <c r="C1967" s="1" t="str">
        <f aca="false" t="array" ref="C1967:C1967">IF(B1966="NEW ROUTE",textsplit(B1967,","),"")</f>
        <v/>
      </c>
      <c r="H1967" s="1" t="str">
        <f aca="false">IF(C1967&lt;&gt;"",DEC2HEX(C1967,2),"")</f>
        <v/>
      </c>
      <c r="I1967" s="1" t="str">
        <f aca="false">IF(D1967&lt;&gt;"",DEC2HEX(D1967,2),"")</f>
        <v/>
      </c>
      <c r="J1967" s="1" t="str">
        <f aca="false">IF(H1967&lt;&gt;"","0x"&amp;I1967&amp;H1967,"")</f>
        <v/>
      </c>
      <c r="L1967" s="1" t="s">
        <v>3327</v>
      </c>
      <c r="M1967" s="1" t="str">
        <f aca="false">IF(J1967&lt;&gt;"",J1967,L1967)</f>
        <v>7, 9, PIDGEY</v>
      </c>
    </row>
    <row r="1968" customFormat="false" ht="12.75" hidden="false" customHeight="true" outlineLevel="0" collapsed="false">
      <c r="A1968" s="3" t="s">
        <v>2801</v>
      </c>
      <c r="B1968" s="3" t="str">
        <f aca="false">IF(ISNUMBER(SEARCH("%", A1968)),RIGHT(A1968,3),A1968)</f>
        <v>0.1</v>
      </c>
      <c r="C1968" s="1" t="str">
        <f aca="false" t="array" ref="C1968:C1968">IF(B1967="NEW ROUTE",textsplit(B1968,","),"")</f>
        <v/>
      </c>
      <c r="H1968" s="1" t="str">
        <f aca="false">IF(C1968&lt;&gt;"",DEC2HEX(C1968,2),"")</f>
        <v/>
      </c>
      <c r="I1968" s="1" t="str">
        <f aca="false">IF(D1968&lt;&gt;"",DEC2HEX(D1968,2),"")</f>
        <v/>
      </c>
      <c r="J1968" s="1" t="str">
        <f aca="false">IF(H1968&lt;&gt;"","0x"&amp;I1968&amp;H1968,"")</f>
        <v/>
      </c>
      <c r="L1968" s="1" t="s">
        <v>2801</v>
      </c>
      <c r="M1968" s="1" t="str">
        <f aca="false">IF(J1968&lt;&gt;"",J1968,L1968)</f>
        <v>0.1</v>
      </c>
    </row>
    <row r="1969" customFormat="false" ht="12.75" hidden="false" customHeight="true" outlineLevel="0" collapsed="false">
      <c r="A1969" s="3" t="s">
        <v>3328</v>
      </c>
      <c r="B1969" s="3" t="str">
        <f aca="false">IF(ISNUMBER(SEARCH("%", A1969)),RIGHT(A1969,3),A1969)</f>
        <v>8, 10, NIDORAN\sf</v>
      </c>
      <c r="C1969" s="1" t="str">
        <f aca="false" t="array" ref="C1969:C1969">IF(B1968="NEW ROUTE",textsplit(B1969,","),"")</f>
        <v/>
      </c>
      <c r="H1969" s="1" t="str">
        <f aca="false">IF(C1969&lt;&gt;"",DEC2HEX(C1969,2),"")</f>
        <v/>
      </c>
      <c r="I1969" s="1" t="str">
        <f aca="false">IF(D1969&lt;&gt;"",DEC2HEX(D1969,2),"")</f>
        <v/>
      </c>
      <c r="J1969" s="1" t="str">
        <f aca="false">IF(H1969&lt;&gt;"","0x"&amp;I1969&amp;H1969,"")</f>
        <v/>
      </c>
      <c r="L1969" s="1" t="s">
        <v>3328</v>
      </c>
      <c r="M1969" s="1" t="str">
        <f aca="false">IF(J1969&lt;&gt;"",J1969,L1969)</f>
        <v>8, 10, NIDORAN\sf</v>
      </c>
    </row>
    <row r="1970" customFormat="false" ht="12.75" hidden="false" customHeight="true" outlineLevel="0" collapsed="false">
      <c r="A1970" s="3" t="s">
        <v>3329</v>
      </c>
      <c r="B1970" s="3" t="str">
        <f aca="false">IF(ISNUMBER(SEARCH("%", A1970)),RIGHT(A1970,3),A1970)</f>
        <v>8, 10, NIDORAN\sm</v>
      </c>
      <c r="C1970" s="1" t="str">
        <f aca="false" t="array" ref="C1970:C1970">IF(B1969="NEW ROUTE",textsplit(B1970,","),"")</f>
        <v/>
      </c>
      <c r="H1970" s="1" t="str">
        <f aca="false">IF(C1970&lt;&gt;"",DEC2HEX(C1970,2),"")</f>
        <v/>
      </c>
      <c r="I1970" s="1" t="str">
        <f aca="false">IF(D1970&lt;&gt;"",DEC2HEX(D1970,2),"")</f>
        <v/>
      </c>
      <c r="J1970" s="1" t="str">
        <f aca="false">IF(H1970&lt;&gt;"","0x"&amp;I1970&amp;H1970,"")</f>
        <v/>
      </c>
      <c r="L1970" s="1" t="s">
        <v>3329</v>
      </c>
      <c r="M1970" s="1" t="str">
        <f aca="false">IF(J1970&lt;&gt;"",J1970,L1970)</f>
        <v>8, 10, NIDORAN\sm</v>
      </c>
    </row>
    <row r="1971" customFormat="false" ht="12.75" hidden="false" customHeight="true" outlineLevel="0" collapsed="false">
      <c r="A1971" s="3" t="s">
        <v>3330</v>
      </c>
      <c r="B1971" s="3" t="str">
        <f aca="false">IF(ISNUMBER(SEARCH("%", A1971)),RIGHT(A1971,3),A1971)</f>
        <v>8, 10, EKANS</v>
      </c>
      <c r="C1971" s="1" t="str">
        <f aca="false" t="array" ref="C1971:C1971">IF(B1970="NEW ROUTE",textsplit(B1971,","),"")</f>
        <v/>
      </c>
      <c r="H1971" s="1" t="str">
        <f aca="false">IF(C1971&lt;&gt;"",DEC2HEX(C1971,2),"")</f>
        <v/>
      </c>
      <c r="I1971" s="1" t="str">
        <f aca="false">IF(D1971&lt;&gt;"",DEC2HEX(D1971,2),"")</f>
        <v/>
      </c>
      <c r="J1971" s="1" t="str">
        <f aca="false">IF(H1971&lt;&gt;"","0x"&amp;I1971&amp;H1971,"")</f>
        <v/>
      </c>
      <c r="L1971" s="1" t="s">
        <v>3330</v>
      </c>
      <c r="M1971" s="1" t="str">
        <f aca="false">IF(J1971&lt;&gt;"",J1971,L1971)</f>
        <v>8, 10, EKANS</v>
      </c>
    </row>
    <row r="1972" customFormat="false" ht="12.75" hidden="false" customHeight="true" outlineLevel="0" collapsed="false">
      <c r="A1972" s="3" t="s">
        <v>3331</v>
      </c>
      <c r="B1972" s="3" t="str">
        <f aca="false">IF(ISNUMBER(SEARCH("%", A1972)),RIGHT(A1972,3),A1972)</f>
        <v>8, 10, SANDSHREW</v>
      </c>
      <c r="C1972" s="1" t="str">
        <f aca="false" t="array" ref="C1972:C1972">IF(B1971="NEW ROUTE",textsplit(B1972,","),"")</f>
        <v/>
      </c>
      <c r="H1972" s="1" t="str">
        <f aca="false">IF(C1972&lt;&gt;"",DEC2HEX(C1972,2),"")</f>
        <v/>
      </c>
      <c r="I1972" s="1" t="str">
        <f aca="false">IF(D1972&lt;&gt;"",DEC2HEX(D1972,2),"")</f>
        <v/>
      </c>
      <c r="J1972" s="1" t="str">
        <f aca="false">IF(H1972&lt;&gt;"","0x"&amp;I1972&amp;H1972,"")</f>
        <v/>
      </c>
      <c r="L1972" s="1" t="s">
        <v>3331</v>
      </c>
      <c r="M1972" s="1" t="str">
        <f aca="false">IF(J1972&lt;&gt;"",J1972,L1972)</f>
        <v>8, 10, SANDSHREW</v>
      </c>
    </row>
    <row r="1973" customFormat="false" ht="12.75" hidden="false" customHeight="true" outlineLevel="0" collapsed="false">
      <c r="A1973" s="3" t="s">
        <v>2806</v>
      </c>
      <c r="B1973" s="3" t="str">
        <f aca="false">IF(ISNUMBER(SEARCH("%", A1973)),RIGHT(A1973,3),A1973)</f>
        <v>0.05</v>
      </c>
      <c r="C1973" s="1" t="str">
        <f aca="false" t="array" ref="C1973:C1973">IF(B1972="NEW ROUTE",textsplit(B1973,","),"")</f>
        <v/>
      </c>
      <c r="H1973" s="1" t="str">
        <f aca="false">IF(C1973&lt;&gt;"",DEC2HEX(C1973,2),"")</f>
        <v/>
      </c>
      <c r="I1973" s="1" t="str">
        <f aca="false">IF(D1973&lt;&gt;"",DEC2HEX(D1973,2),"")</f>
        <v/>
      </c>
      <c r="J1973" s="1" t="str">
        <f aca="false">IF(H1973&lt;&gt;"","0x"&amp;I1973&amp;H1973,"")</f>
        <v/>
      </c>
      <c r="L1973" s="1" t="s">
        <v>2806</v>
      </c>
      <c r="M1973" s="1" t="str">
        <f aca="false">IF(J1973&lt;&gt;"",J1973,L1973)</f>
        <v>0.05</v>
      </c>
    </row>
    <row r="1974" customFormat="false" ht="12.75" hidden="false" customHeight="true" outlineLevel="0" collapsed="false">
      <c r="A1974" s="3" t="s">
        <v>3332</v>
      </c>
      <c r="B1974" s="3" t="str">
        <f aca="false">IF(ISNUMBER(SEARCH("%", A1974)),RIGHT(A1974,3),A1974)</f>
        <v>9, 10, JIGGLYPUFF</v>
      </c>
      <c r="C1974" s="1" t="str">
        <f aca="false" t="array" ref="C1974:C1974">IF(B1973="NEW ROUTE",textsplit(B1974,","),"")</f>
        <v/>
      </c>
      <c r="H1974" s="1" t="str">
        <f aca="false">IF(C1974&lt;&gt;"",DEC2HEX(C1974,2),"")</f>
        <v/>
      </c>
      <c r="I1974" s="1" t="str">
        <f aca="false">IF(D1974&lt;&gt;"",DEC2HEX(D1974,2),"")</f>
        <v/>
      </c>
      <c r="J1974" s="1" t="str">
        <f aca="false">IF(H1974&lt;&gt;"","0x"&amp;I1974&amp;H1974,"")</f>
        <v/>
      </c>
      <c r="L1974" s="1" t="s">
        <v>3332</v>
      </c>
      <c r="M1974" s="1" t="str">
        <f aca="false">IF(J1974&lt;&gt;"",J1974,L1974)</f>
        <v>9, 10, JIGGLYPUFF</v>
      </c>
    </row>
    <row r="1975" customFormat="false" ht="12.75" hidden="false" customHeight="true" outlineLevel="0" collapsed="false">
      <c r="A1975" s="3" t="s">
        <v>3333</v>
      </c>
      <c r="B1975" s="3" t="str">
        <f aca="false">IF(ISNUMBER(SEARCH("%", A1975)),RIGHT(A1975,3),A1975)</f>
        <v>9, 10, CLEFAIRY</v>
      </c>
      <c r="C1975" s="1" t="str">
        <f aca="false" t="array" ref="C1975:C1975">IF(B1974="NEW ROUTE",textsplit(B1975,","),"")</f>
        <v/>
      </c>
      <c r="H1975" s="1" t="str">
        <f aca="false">IF(C1975&lt;&gt;"",DEC2HEX(C1975,2),"")</f>
        <v/>
      </c>
      <c r="I1975" s="1" t="str">
        <f aca="false">IF(D1975&lt;&gt;"",DEC2HEX(D1975,2),"")</f>
        <v/>
      </c>
      <c r="J1975" s="1" t="str">
        <f aca="false">IF(H1975&lt;&gt;"","0x"&amp;I1975&amp;H1975,"")</f>
        <v/>
      </c>
      <c r="L1975" s="1" t="s">
        <v>3333</v>
      </c>
      <c r="M1975" s="1" t="str">
        <f aca="false">IF(J1975&lt;&gt;"",J1975,L1975)</f>
        <v>9, 10, CLEFAIRY</v>
      </c>
    </row>
    <row r="1976" customFormat="false" ht="12.75" hidden="false" customHeight="true" outlineLevel="0" collapsed="false">
      <c r="A1976" s="3" t="s">
        <v>2809</v>
      </c>
      <c r="B1976" s="3" t="str">
        <f aca="false">IF(ISNUMBER(SEARCH("%", A1976)),RIGHT(A1976,3),A1976)</f>
        <v>0.04</v>
      </c>
      <c r="C1976" s="1" t="str">
        <f aca="false" t="array" ref="C1976:C1976">IF(B1975="NEW ROUTE",textsplit(B1976,","),"")</f>
        <v/>
      </c>
      <c r="H1976" s="1" t="str">
        <f aca="false">IF(C1976&lt;&gt;"",DEC2HEX(C1976,2),"")</f>
        <v/>
      </c>
      <c r="I1976" s="1" t="str">
        <f aca="false">IF(D1976&lt;&gt;"",DEC2HEX(D1976,2),"")</f>
        <v/>
      </c>
      <c r="J1976" s="1" t="str">
        <f aca="false">IF(H1976&lt;&gt;"","0x"&amp;I1976&amp;H1976,"")</f>
        <v/>
      </c>
      <c r="L1976" s="1" t="s">
        <v>2809</v>
      </c>
      <c r="M1976" s="1" t="str">
        <f aca="false">IF(J1976&lt;&gt;"",J1976,L1976)</f>
        <v>0.04</v>
      </c>
    </row>
    <row r="1977" customFormat="false" ht="12.75" hidden="false" customHeight="true" outlineLevel="0" collapsed="false">
      <c r="A1977" s="3" t="s">
        <v>3334</v>
      </c>
      <c r="B1977" s="3" t="str">
        <f aca="false">IF(ISNUMBER(SEARCH("%", A1977)),RIGHT(A1977,3),A1977)</f>
        <v>9, 11, MACHOP</v>
      </c>
      <c r="C1977" s="1" t="str">
        <f aca="false" t="array" ref="C1977:C1977">IF(B1976="NEW ROUTE",textsplit(B1977,","),"")</f>
        <v/>
      </c>
      <c r="H1977" s="1" t="str">
        <f aca="false">IF(C1977&lt;&gt;"",DEC2HEX(C1977,2),"")</f>
        <v/>
      </c>
      <c r="I1977" s="1" t="str">
        <f aca="false">IF(D1977&lt;&gt;"",DEC2HEX(D1977,2),"")</f>
        <v/>
      </c>
      <c r="J1977" s="1" t="str">
        <f aca="false">IF(H1977&lt;&gt;"","0x"&amp;I1977&amp;H1977,"")</f>
        <v/>
      </c>
      <c r="L1977" s="1" t="s">
        <v>3334</v>
      </c>
      <c r="M1977" s="1" t="str">
        <f aca="false">IF(J1977&lt;&gt;"",J1977,L1977)</f>
        <v>9, 11, MACHOP</v>
      </c>
    </row>
    <row r="1978" customFormat="false" ht="12.75" hidden="false" customHeight="true" outlineLevel="0" collapsed="false">
      <c r="A1978" s="3" t="s">
        <v>3334</v>
      </c>
      <c r="B1978" s="3" t="str">
        <f aca="false">IF(ISNUMBER(SEARCH("%", A1978)),RIGHT(A1978,3),A1978)</f>
        <v>9, 11, MACHOP</v>
      </c>
      <c r="C1978" s="1" t="str">
        <f aca="false" t="array" ref="C1978:C1978">IF(B1977="NEW ROUTE",textsplit(B1978,","),"")</f>
        <v/>
      </c>
      <c r="H1978" s="1" t="str">
        <f aca="false">IF(C1978&lt;&gt;"",DEC2HEX(C1978,2),"")</f>
        <v/>
      </c>
      <c r="I1978" s="1" t="str">
        <f aca="false">IF(D1978&lt;&gt;"",DEC2HEX(D1978,2),"")</f>
        <v/>
      </c>
      <c r="J1978" s="1" t="str">
        <f aca="false">IF(H1978&lt;&gt;"","0x"&amp;I1978&amp;H1978,"")</f>
        <v/>
      </c>
      <c r="L1978" s="1" t="s">
        <v>3334</v>
      </c>
      <c r="M1978" s="1" t="str">
        <f aca="false">IF(J1978&lt;&gt;"",J1978,L1978)</f>
        <v>9, 11, MACHOP</v>
      </c>
    </row>
    <row r="1979" customFormat="false" ht="12.75" hidden="false" customHeight="true" outlineLevel="0" collapsed="false">
      <c r="A1979" s="3" t="s">
        <v>2812</v>
      </c>
      <c r="B1979" s="3" t="str">
        <f aca="false">IF(ISNUMBER(SEARCH("%", A1979)),RIGHT(A1979,3),A1979)</f>
        <v>0.01</v>
      </c>
      <c r="C1979" s="1" t="str">
        <f aca="false" t="array" ref="C1979:C1979">IF(B1978="NEW ROUTE",textsplit(B1979,","),"")</f>
        <v/>
      </c>
      <c r="H1979" s="1" t="str">
        <f aca="false">IF(C1979&lt;&gt;"",DEC2HEX(C1979,2),"")</f>
        <v/>
      </c>
      <c r="I1979" s="1" t="str">
        <f aca="false">IF(D1979&lt;&gt;"",DEC2HEX(D1979,2),"")</f>
        <v/>
      </c>
      <c r="J1979" s="1" t="str">
        <f aca="false">IF(H1979&lt;&gt;"","0x"&amp;I1979&amp;H1979,"")</f>
        <v/>
      </c>
      <c r="L1979" s="1" t="s">
        <v>2812</v>
      </c>
      <c r="M1979" s="1" t="str">
        <f aca="false">IF(J1979&lt;&gt;"",J1979,L1979)</f>
        <v>0.01</v>
      </c>
    </row>
    <row r="1980" customFormat="false" ht="12.75" hidden="false" customHeight="true" outlineLevel="0" collapsed="false">
      <c r="A1980" s="3" t="s">
        <v>3335</v>
      </c>
      <c r="B1980" s="3" t="str">
        <f aca="false">IF(ISNUMBER(SEARCH("%", A1980)),RIGHT(A1980,3),A1980)</f>
        <v>10, 13, NIDORAN\sf</v>
      </c>
      <c r="C1980" s="1" t="str">
        <f aca="false" t="array" ref="C1980:C1980">IF(B1979="NEW ROUTE",textsplit(B1980,","),"")</f>
        <v/>
      </c>
      <c r="H1980" s="1" t="str">
        <f aca="false">IF(C1980&lt;&gt;"",DEC2HEX(C1980,2),"")</f>
        <v/>
      </c>
      <c r="I1980" s="1" t="str">
        <f aca="false">IF(D1980&lt;&gt;"",DEC2HEX(D1980,2),"")</f>
        <v/>
      </c>
      <c r="J1980" s="1" t="str">
        <f aca="false">IF(H1980&lt;&gt;"","0x"&amp;I1980&amp;H1980,"")</f>
        <v/>
      </c>
      <c r="L1980" s="1" t="s">
        <v>3335</v>
      </c>
      <c r="M1980" s="1" t="str">
        <f aca="false">IF(J1980&lt;&gt;"",J1980,L1980)</f>
        <v>10, 13, NIDORAN\sf</v>
      </c>
    </row>
    <row r="1981" customFormat="false" ht="12.75" hidden="false" customHeight="true" outlineLevel="0" collapsed="false">
      <c r="A1981" s="3" t="s">
        <v>3336</v>
      </c>
      <c r="B1981" s="3" t="str">
        <f aca="false">IF(ISNUMBER(SEARCH("%", A1981)),RIGHT(A1981,3),A1981)</f>
        <v>10, 13, NIDORAN\sm , &lt;null&gt;, &lt;null&gt;, &lt;null&gt;</v>
      </c>
      <c r="C1981" s="1" t="str">
        <f aca="false" t="array" ref="C1981:C1981">IF(B1980="NEW ROUTE",textsplit(B1981,","),"")</f>
        <v/>
      </c>
      <c r="H1981" s="1" t="str">
        <f aca="false">IF(C1981&lt;&gt;"",DEC2HEX(C1981,2),"")</f>
        <v/>
      </c>
      <c r="I1981" s="1" t="str">
        <f aca="false">IF(D1981&lt;&gt;"",DEC2HEX(D1981,2),"")</f>
        <v/>
      </c>
      <c r="J1981" s="1" t="str">
        <f aca="false">IF(H1981&lt;&gt;"","0x"&amp;I1981&amp;H1981,"")</f>
        <v/>
      </c>
      <c r="L1981" s="1" t="s">
        <v>3336</v>
      </c>
      <c r="M1981" s="1" t="str">
        <f aca="false">IF(J1981&lt;&gt;"",J1981,L1981)</f>
        <v>10, 13, NIDORAN\sm , &lt;null&gt;, &lt;null&gt;, &lt;null&gt;</v>
      </c>
    </row>
    <row r="1982" customFormat="false" ht="12.75" hidden="false" customHeight="true" outlineLevel="0" collapsed="false">
      <c r="A1982" s="3" t="s">
        <v>2536</v>
      </c>
      <c r="B1982" s="3" t="str">
        <f aca="false">IF(ISNUMBER(SEARCH("%", A1982)),RIGHT(A1982,3),A1982)</f>
        <v>NEW ROUTE</v>
      </c>
      <c r="C1982" s="1" t="str">
        <f aca="false" t="array" ref="C1982:C1982">IF(B1981="NEW ROUTE",textsplit(B1982,","),"")</f>
        <v/>
      </c>
      <c r="H1982" s="1" t="str">
        <f aca="false">IF(C1982&lt;&gt;"",DEC2HEX(C1982,2),"")</f>
        <v/>
      </c>
      <c r="I1982" s="1" t="str">
        <f aca="false">IF(D1982&lt;&gt;"",DEC2HEX(D1982,2),"")</f>
        <v/>
      </c>
      <c r="J1982" s="1" t="str">
        <f aca="false">IF(H1982&lt;&gt;"","0x"&amp;I1982&amp;H1982,"")</f>
        <v/>
      </c>
      <c r="L1982" s="1" t="s">
        <v>2536</v>
      </c>
      <c r="M1982" s="1" t="str">
        <f aca="false">IF(J1982&lt;&gt;"",J1982,L1982)</f>
        <v>NEW ROUTE</v>
      </c>
    </row>
    <row r="1983" customFormat="false" ht="12.75" hidden="false" customHeight="true" outlineLevel="0" collapsed="false">
      <c r="A1983" s="3" t="s">
        <v>3337</v>
      </c>
      <c r="B1983" s="3" t="str">
        <f aca="false">IF(ISNUMBER(SEARCH("%", A1983)),RIGHT(A1983,3),A1983)</f>
        <v>3, 22, 0,</v>
      </c>
      <c r="C1983" s="1" t="e">
        <f aca="false" t="array" ref="C1983:C1983">IF(B1982="NEW ROUTE",textsplit(B1983,","),"")</f>
        <v>#NAME?</v>
      </c>
      <c r="H1983" s="1" t="e">
        <f aca="false">IF(C1983&lt;&gt;"",DEC2HEX(C1983,2),"")</f>
        <v>#NAME?</v>
      </c>
      <c r="I1983" s="1" t="str">
        <f aca="false">IF(D1983&lt;&gt;"",DEC2HEX(D1983,2),"")</f>
        <v/>
      </c>
      <c r="J1983" s="1" t="e">
        <f aca="false">IF(H1983&lt;&gt;"","0x"&amp;I1983&amp;H1983,"")</f>
        <v>#NAME?</v>
      </c>
      <c r="L1983" s="1" t="s">
        <v>3337</v>
      </c>
      <c r="M1983" s="1" t="e">
        <f aca="false">IF(J1983&lt;&gt;"",J1983,L1983)</f>
        <v>#NAME?</v>
      </c>
    </row>
    <row r="1984" customFormat="false" ht="12.75" hidden="false" customHeight="true" outlineLevel="0" collapsed="false">
      <c r="A1984" s="3" t="s">
        <v>2908</v>
      </c>
      <c r="B1984" s="3" t="str">
        <f aca="false">IF(ISNUMBER(SEARCH("%", A1984)),RIGHT(A1984,3),A1984)</f>
        <v>20%</v>
      </c>
      <c r="C1984" s="1" t="str">
        <f aca="false" t="array" ref="C1984:C1984">IF(B1983="NEW ROUTE",textsplit(B1984,","),"")</f>
        <v/>
      </c>
      <c r="H1984" s="1" t="str">
        <f aca="false">IF(C1984&lt;&gt;"",DEC2HEX(C1984,2),"")</f>
        <v/>
      </c>
      <c r="I1984" s="1" t="str">
        <f aca="false">IF(D1984&lt;&gt;"",DEC2HEX(D1984,2),"")</f>
        <v/>
      </c>
      <c r="J1984" s="1" t="str">
        <f aca="false">IF(H1984&lt;&gt;"","0x"&amp;I1984&amp;H1984,"")</f>
        <v/>
      </c>
      <c r="L1984" s="1" t="s">
        <v>2799</v>
      </c>
      <c r="M1984" s="1" t="str">
        <f aca="false">IF(J1984&lt;&gt;"",J1984,L1984)</f>
        <v>20%</v>
      </c>
    </row>
    <row r="1985" customFormat="false" ht="12.75" hidden="false" customHeight="true" outlineLevel="0" collapsed="false">
      <c r="A1985" s="3" t="s">
        <v>1805</v>
      </c>
      <c r="B1985" s="3" t="str">
        <f aca="false">IF(ISNUMBER(SEARCH("%", A1985)),RIGHT(A1985,3),A1985)</f>
        <v>13, 16, RATTATA</v>
      </c>
      <c r="C1985" s="1" t="str">
        <f aca="false" t="array" ref="C1985:C1985">IF(B1984="NEW ROUTE",textsplit(B1985,","),"")</f>
        <v/>
      </c>
      <c r="H1985" s="1" t="str">
        <f aca="false">IF(C1985&lt;&gt;"",DEC2HEX(C1985,2),"")</f>
        <v/>
      </c>
      <c r="I1985" s="1" t="str">
        <f aca="false">IF(D1985&lt;&gt;"",DEC2HEX(D1985,2),"")</f>
        <v/>
      </c>
      <c r="J1985" s="1" t="str">
        <f aca="false">IF(H1985&lt;&gt;"","0x"&amp;I1985&amp;H1985,"")</f>
        <v/>
      </c>
      <c r="L1985" s="1" t="s">
        <v>1805</v>
      </c>
      <c r="M1985" s="1" t="str">
        <f aca="false">IF(J1985&lt;&gt;"",J1985,L1985)</f>
        <v>13, 16, RATTATA</v>
      </c>
    </row>
    <row r="1986" customFormat="false" ht="12.75" hidden="false" customHeight="true" outlineLevel="0" collapsed="false">
      <c r="A1986" s="3" t="s">
        <v>3338</v>
      </c>
      <c r="B1986" s="3" t="str">
        <f aca="false">IF(ISNUMBER(SEARCH("%", A1986)),RIGHT(A1986,3),A1986)</f>
        <v>13, 16, SPEAROW</v>
      </c>
      <c r="C1986" s="1" t="str">
        <f aca="false" t="array" ref="C1986:C1986">IF(B1985="NEW ROUTE",textsplit(B1986,","),"")</f>
        <v/>
      </c>
      <c r="H1986" s="1" t="str">
        <f aca="false">IF(C1986&lt;&gt;"",DEC2HEX(C1986,2),"")</f>
        <v/>
      </c>
      <c r="I1986" s="1" t="str">
        <f aca="false">IF(D1986&lt;&gt;"",DEC2HEX(D1986,2),"")</f>
        <v/>
      </c>
      <c r="J1986" s="1" t="str">
        <f aca="false">IF(H1986&lt;&gt;"","0x"&amp;I1986&amp;H1986,"")</f>
        <v/>
      </c>
      <c r="L1986" s="1" t="s">
        <v>3338</v>
      </c>
      <c r="M1986" s="1" t="str">
        <f aca="false">IF(J1986&lt;&gt;"",J1986,L1986)</f>
        <v>13, 16, SPEAROW</v>
      </c>
    </row>
    <row r="1987" customFormat="false" ht="12.75" hidden="false" customHeight="true" outlineLevel="0" collapsed="false">
      <c r="A1987" s="3" t="s">
        <v>2801</v>
      </c>
      <c r="B1987" s="3" t="str">
        <f aca="false">IF(ISNUMBER(SEARCH("%", A1987)),RIGHT(A1987,3),A1987)</f>
        <v>0.1</v>
      </c>
      <c r="C1987" s="1" t="str">
        <f aca="false" t="array" ref="C1987:C1987">IF(B1986="NEW ROUTE",textsplit(B1987,","),"")</f>
        <v/>
      </c>
      <c r="H1987" s="1" t="str">
        <f aca="false">IF(C1987&lt;&gt;"",DEC2HEX(C1987,2),"")</f>
        <v/>
      </c>
      <c r="I1987" s="1" t="str">
        <f aca="false">IF(D1987&lt;&gt;"",DEC2HEX(D1987,2),"")</f>
        <v/>
      </c>
      <c r="J1987" s="1" t="str">
        <f aca="false">IF(H1987&lt;&gt;"","0x"&amp;I1987&amp;H1987,"")</f>
        <v/>
      </c>
      <c r="L1987" s="1" t="s">
        <v>2801</v>
      </c>
      <c r="M1987" s="1" t="str">
        <f aca="false">IF(J1987&lt;&gt;"",J1987,L1987)</f>
        <v>0.1</v>
      </c>
    </row>
    <row r="1988" customFormat="false" ht="12.75" hidden="false" customHeight="true" outlineLevel="0" collapsed="false">
      <c r="A1988" s="3" t="s">
        <v>3339</v>
      </c>
      <c r="B1988" s="3" t="str">
        <f aca="false">IF(ISNUMBER(SEARCH("%", A1988)),RIGHT(A1988,3),A1988)</f>
        <v>14, 16, PSYDUCK</v>
      </c>
      <c r="C1988" s="1" t="str">
        <f aca="false" t="array" ref="C1988:C1988">IF(B1987="NEW ROUTE",textsplit(B1988,","),"")</f>
        <v/>
      </c>
      <c r="H1988" s="1" t="str">
        <f aca="false">IF(C1988&lt;&gt;"",DEC2HEX(C1988,2),"")</f>
        <v/>
      </c>
      <c r="I1988" s="1" t="str">
        <f aca="false">IF(D1988&lt;&gt;"",DEC2HEX(D1988,2),"")</f>
        <v/>
      </c>
      <c r="J1988" s="1" t="str">
        <f aca="false">IF(H1988&lt;&gt;"","0x"&amp;I1988&amp;H1988,"")</f>
        <v/>
      </c>
      <c r="L1988" s="1" t="s">
        <v>3339</v>
      </c>
      <c r="M1988" s="1" t="str">
        <f aca="false">IF(J1988&lt;&gt;"",J1988,L1988)</f>
        <v>14, 16, PSYDUCK</v>
      </c>
    </row>
    <row r="1989" customFormat="false" ht="12.75" hidden="false" customHeight="true" outlineLevel="0" collapsed="false">
      <c r="A1989" s="3" t="s">
        <v>3340</v>
      </c>
      <c r="B1989" s="3" t="str">
        <f aca="false">IF(ISNUMBER(SEARCH("%", A1989)),RIGHT(A1989,3),A1989)</f>
        <v>14, 16, NIDORAN\sm</v>
      </c>
      <c r="C1989" s="1" t="str">
        <f aca="false" t="array" ref="C1989:C1989">IF(B1988="NEW ROUTE",textsplit(B1989,","),"")</f>
        <v/>
      </c>
      <c r="H1989" s="1" t="str">
        <f aca="false">IF(C1989&lt;&gt;"",DEC2HEX(C1989,2),"")</f>
        <v/>
      </c>
      <c r="I1989" s="1" t="str">
        <f aca="false">IF(D1989&lt;&gt;"",DEC2HEX(D1989,2),"")</f>
        <v/>
      </c>
      <c r="J1989" s="1" t="str">
        <f aca="false">IF(H1989&lt;&gt;"","0x"&amp;I1989&amp;H1989,"")</f>
        <v/>
      </c>
      <c r="L1989" s="1" t="s">
        <v>3340</v>
      </c>
      <c r="M1989" s="1" t="str">
        <f aca="false">IF(J1989&lt;&gt;"",J1989,L1989)</f>
        <v>14, 16, NIDORAN\sm</v>
      </c>
    </row>
    <row r="1990" customFormat="false" ht="12.75" hidden="false" customHeight="true" outlineLevel="0" collapsed="false">
      <c r="A1990" s="3" t="s">
        <v>3341</v>
      </c>
      <c r="B1990" s="3" t="str">
        <f aca="false">IF(ISNUMBER(SEARCH("%", A1990)),RIGHT(A1990,3),A1990)</f>
        <v>14, 16, NIDORAN\sf</v>
      </c>
      <c r="C1990" s="1" t="str">
        <f aca="false" t="array" ref="C1990:C1990">IF(B1989="NEW ROUTE",textsplit(B1990,","),"")</f>
        <v/>
      </c>
      <c r="H1990" s="1" t="str">
        <f aca="false">IF(C1990&lt;&gt;"",DEC2HEX(C1990,2),"")</f>
        <v/>
      </c>
      <c r="I1990" s="1" t="str">
        <f aca="false">IF(D1990&lt;&gt;"",DEC2HEX(D1990,2),"")</f>
        <v/>
      </c>
      <c r="J1990" s="1" t="str">
        <f aca="false">IF(H1990&lt;&gt;"","0x"&amp;I1990&amp;H1990,"")</f>
        <v/>
      </c>
      <c r="L1990" s="1" t="s">
        <v>3341</v>
      </c>
      <c r="M1990" s="1" t="str">
        <f aca="false">IF(J1990&lt;&gt;"",J1990,L1990)</f>
        <v>14, 16, NIDORAN\sf</v>
      </c>
    </row>
    <row r="1991" customFormat="false" ht="12.75" hidden="false" customHeight="true" outlineLevel="0" collapsed="false">
      <c r="A1991" s="3" t="s">
        <v>3342</v>
      </c>
      <c r="B1991" s="3" t="str">
        <f aca="false">IF(ISNUMBER(SEARCH("%", A1991)),RIGHT(A1991,3),A1991)</f>
        <v>14, 16, EKANS</v>
      </c>
      <c r="C1991" s="1" t="str">
        <f aca="false" t="array" ref="C1991:C1991">IF(B1990="NEW ROUTE",textsplit(B1991,","),"")</f>
        <v/>
      </c>
      <c r="H1991" s="1" t="str">
        <f aca="false">IF(C1991&lt;&gt;"",DEC2HEX(C1991,2),"")</f>
        <v/>
      </c>
      <c r="I1991" s="1" t="str">
        <f aca="false">IF(D1991&lt;&gt;"",DEC2HEX(D1991,2),"")</f>
        <v/>
      </c>
      <c r="J1991" s="1" t="str">
        <f aca="false">IF(H1991&lt;&gt;"","0x"&amp;I1991&amp;H1991,"")</f>
        <v/>
      </c>
      <c r="L1991" s="1" t="s">
        <v>3342</v>
      </c>
      <c r="M1991" s="1" t="str">
        <f aca="false">IF(J1991&lt;&gt;"",J1991,L1991)</f>
        <v>14, 16, EKANS</v>
      </c>
    </row>
    <row r="1992" customFormat="false" ht="12.75" hidden="false" customHeight="true" outlineLevel="0" collapsed="false">
      <c r="A1992" s="3" t="s">
        <v>2806</v>
      </c>
      <c r="B1992" s="3" t="str">
        <f aca="false">IF(ISNUMBER(SEARCH("%", A1992)),RIGHT(A1992,3),A1992)</f>
        <v>0.05</v>
      </c>
      <c r="C1992" s="1" t="str">
        <f aca="false" t="array" ref="C1992:C1992">IF(B1991="NEW ROUTE",textsplit(B1992,","),"")</f>
        <v/>
      </c>
      <c r="H1992" s="1" t="str">
        <f aca="false">IF(C1992&lt;&gt;"",DEC2HEX(C1992,2),"")</f>
        <v/>
      </c>
      <c r="I1992" s="1" t="str">
        <f aca="false">IF(D1992&lt;&gt;"",DEC2HEX(D1992,2),"")</f>
        <v/>
      </c>
      <c r="J1992" s="1" t="str">
        <f aca="false">IF(H1992&lt;&gt;"","0x"&amp;I1992&amp;H1992,"")</f>
        <v/>
      </c>
      <c r="L1992" s="1" t="s">
        <v>2806</v>
      </c>
      <c r="M1992" s="1" t="str">
        <f aca="false">IF(J1992&lt;&gt;"",J1992,L1992)</f>
        <v>0.05</v>
      </c>
    </row>
    <row r="1993" customFormat="false" ht="12.75" hidden="false" customHeight="true" outlineLevel="0" collapsed="false">
      <c r="A1993" s="3" t="s">
        <v>3343</v>
      </c>
      <c r="B1993" s="3" t="str">
        <f aca="false">IF(ISNUMBER(SEARCH("%", A1993)),RIGHT(A1993,3),A1993)</f>
        <v>15, 15, JIGGLYPUFF</v>
      </c>
      <c r="C1993" s="1" t="str">
        <f aca="false" t="array" ref="C1993:C1993">IF(B1992="NEW ROUTE",textsplit(B1993,","),"")</f>
        <v/>
      </c>
      <c r="H1993" s="1" t="str">
        <f aca="false">IF(C1993&lt;&gt;"",DEC2HEX(C1993,2),"")</f>
        <v/>
      </c>
      <c r="I1993" s="1" t="str">
        <f aca="false">IF(D1993&lt;&gt;"",DEC2HEX(D1993,2),"")</f>
        <v/>
      </c>
      <c r="J1993" s="1" t="str">
        <f aca="false">IF(H1993&lt;&gt;"","0x"&amp;I1993&amp;H1993,"")</f>
        <v/>
      </c>
      <c r="L1993" s="1" t="s">
        <v>3343</v>
      </c>
      <c r="M1993" s="1" t="str">
        <f aca="false">IF(J1993&lt;&gt;"",J1993,L1993)</f>
        <v>15, 15, JIGGLYPUFF</v>
      </c>
    </row>
    <row r="1994" customFormat="false" ht="12.75" hidden="false" customHeight="true" outlineLevel="0" collapsed="false">
      <c r="A1994" s="3" t="s">
        <v>3344</v>
      </c>
      <c r="B1994" s="3" t="str">
        <f aca="false">IF(ISNUMBER(SEARCH("%", A1994)),RIGHT(A1994,3),A1994)</f>
        <v>15, 15, CLEFAIRY</v>
      </c>
      <c r="C1994" s="1" t="str">
        <f aca="false" t="array" ref="C1994:C1994">IF(B1993="NEW ROUTE",textsplit(B1994,","),"")</f>
        <v/>
      </c>
      <c r="H1994" s="1" t="str">
        <f aca="false">IF(C1994&lt;&gt;"",DEC2HEX(C1994,2),"")</f>
        <v/>
      </c>
      <c r="I1994" s="1" t="str">
        <f aca="false">IF(D1994&lt;&gt;"",DEC2HEX(D1994,2),"")</f>
        <v/>
      </c>
      <c r="J1994" s="1" t="str">
        <f aca="false">IF(H1994&lt;&gt;"","0x"&amp;I1994&amp;H1994,"")</f>
        <v/>
      </c>
      <c r="L1994" s="1" t="s">
        <v>3344</v>
      </c>
      <c r="M1994" s="1" t="str">
        <f aca="false">IF(J1994&lt;&gt;"",J1994,L1994)</f>
        <v>15, 15, CLEFAIRY</v>
      </c>
    </row>
    <row r="1995" customFormat="false" ht="12.75" hidden="false" customHeight="true" outlineLevel="0" collapsed="false">
      <c r="A1995" s="3" t="s">
        <v>2809</v>
      </c>
      <c r="B1995" s="3" t="str">
        <f aca="false">IF(ISNUMBER(SEARCH("%", A1995)),RIGHT(A1995,3),A1995)</f>
        <v>0.04</v>
      </c>
      <c r="C1995" s="1" t="str">
        <f aca="false" t="array" ref="C1995:C1995">IF(B1994="NEW ROUTE",textsplit(B1995,","),"")</f>
        <v/>
      </c>
      <c r="H1995" s="1" t="str">
        <f aca="false">IF(C1995&lt;&gt;"",DEC2HEX(C1995,2),"")</f>
        <v/>
      </c>
      <c r="I1995" s="1" t="str">
        <f aca="false">IF(D1995&lt;&gt;"",DEC2HEX(D1995,2),"")</f>
        <v/>
      </c>
      <c r="J1995" s="1" t="str">
        <f aca="false">IF(H1995&lt;&gt;"","0x"&amp;I1995&amp;H1995,"")</f>
        <v/>
      </c>
      <c r="L1995" s="1" t="s">
        <v>2809</v>
      </c>
      <c r="M1995" s="1" t="str">
        <f aca="false">IF(J1995&lt;&gt;"",J1995,L1995)</f>
        <v>0.04</v>
      </c>
    </row>
    <row r="1996" customFormat="false" ht="12.75" hidden="false" customHeight="true" outlineLevel="0" collapsed="false">
      <c r="A1996" s="3" t="s">
        <v>3345</v>
      </c>
      <c r="B1996" s="3" t="str">
        <f aca="false">IF(ISNUMBER(SEARCH("%", A1996)),RIGHT(A1996,3),A1996)</f>
        <v>13, 18, MANKEY</v>
      </c>
      <c r="C1996" s="1" t="str">
        <f aca="false" t="array" ref="C1996:C1996">IF(B1995="NEW ROUTE",textsplit(B1996,","),"")</f>
        <v/>
      </c>
      <c r="H1996" s="1" t="str">
        <f aca="false">IF(C1996&lt;&gt;"",DEC2HEX(C1996,2),"")</f>
        <v/>
      </c>
      <c r="I1996" s="1" t="str">
        <f aca="false">IF(D1996&lt;&gt;"",DEC2HEX(D1996,2),"")</f>
        <v/>
      </c>
      <c r="J1996" s="1" t="str">
        <f aca="false">IF(H1996&lt;&gt;"","0x"&amp;I1996&amp;H1996,"")</f>
        <v/>
      </c>
      <c r="L1996" s="1" t="s">
        <v>3345</v>
      </c>
      <c r="M1996" s="1" t="str">
        <f aca="false">IF(J1996&lt;&gt;"",J1996,L1996)</f>
        <v>13, 18, MANKEY</v>
      </c>
    </row>
    <row r="1997" customFormat="false" ht="12.75" hidden="false" customHeight="true" outlineLevel="0" collapsed="false">
      <c r="A1997" s="3" t="s">
        <v>3346</v>
      </c>
      <c r="B1997" s="3" t="str">
        <f aca="false">IF(ISNUMBER(SEARCH("%", A1997)),RIGHT(A1997,3),A1997)</f>
        <v>13, 18, MACHOP</v>
      </c>
      <c r="C1997" s="1" t="str">
        <f aca="false" t="array" ref="C1997:C1997">IF(B1996="NEW ROUTE",textsplit(B1997,","),"")</f>
        <v/>
      </c>
      <c r="H1997" s="1" t="str">
        <f aca="false">IF(C1997&lt;&gt;"",DEC2HEX(C1997,2),"")</f>
        <v/>
      </c>
      <c r="I1997" s="1" t="str">
        <f aca="false">IF(D1997&lt;&gt;"",DEC2HEX(D1997,2),"")</f>
        <v/>
      </c>
      <c r="J1997" s="1" t="str">
        <f aca="false">IF(H1997&lt;&gt;"","0x"&amp;I1997&amp;H1997,"")</f>
        <v/>
      </c>
      <c r="L1997" s="1" t="s">
        <v>3346</v>
      </c>
      <c r="M1997" s="1" t="str">
        <f aca="false">IF(J1997&lt;&gt;"",J1997,L1997)</f>
        <v>13, 18, MACHOP</v>
      </c>
    </row>
    <row r="1998" customFormat="false" ht="12.75" hidden="false" customHeight="true" outlineLevel="0" collapsed="false">
      <c r="A1998" s="3" t="s">
        <v>2812</v>
      </c>
      <c r="B1998" s="3" t="str">
        <f aca="false">IF(ISNUMBER(SEARCH("%", A1998)),RIGHT(A1998,3),A1998)</f>
        <v>0.01</v>
      </c>
      <c r="C1998" s="1" t="str">
        <f aca="false" t="array" ref="C1998:C1998">IF(B1997="NEW ROUTE",textsplit(B1998,","),"")</f>
        <v/>
      </c>
      <c r="H1998" s="1" t="str">
        <f aca="false">IF(C1998&lt;&gt;"",DEC2HEX(C1998,2),"")</f>
        <v/>
      </c>
      <c r="I1998" s="1" t="str">
        <f aca="false">IF(D1998&lt;&gt;"",DEC2HEX(D1998,2),"")</f>
        <v/>
      </c>
      <c r="J1998" s="1" t="str">
        <f aca="false">IF(H1998&lt;&gt;"","0x"&amp;I1998&amp;H1998,"")</f>
        <v/>
      </c>
      <c r="L1998" s="1" t="s">
        <v>2812</v>
      </c>
      <c r="M1998" s="1" t="str">
        <f aca="false">IF(J1998&lt;&gt;"",J1998,L1998)</f>
        <v>0.01</v>
      </c>
    </row>
    <row r="1999" customFormat="false" ht="12.75" hidden="false" customHeight="true" outlineLevel="0" collapsed="false">
      <c r="A1999" s="3" t="s">
        <v>3347</v>
      </c>
      <c r="B1999" s="3" t="str">
        <f aca="false">IF(ISNUMBER(SEARCH("%", A1999)),RIGHT(A1999,3),A1999)</f>
        <v>16, 16, NIDORINO</v>
      </c>
      <c r="C1999" s="1" t="str">
        <f aca="false" t="array" ref="C1999:C1999">IF(B1998="NEW ROUTE",textsplit(B1999,","),"")</f>
        <v/>
      </c>
      <c r="H1999" s="1" t="str">
        <f aca="false">IF(C1999&lt;&gt;"",DEC2HEX(C1999,2),"")</f>
        <v/>
      </c>
      <c r="I1999" s="1" t="str">
        <f aca="false">IF(D1999&lt;&gt;"",DEC2HEX(D1999,2),"")</f>
        <v/>
      </c>
      <c r="J1999" s="1" t="str">
        <f aca="false">IF(H1999&lt;&gt;"","0x"&amp;I1999&amp;H1999,"")</f>
        <v/>
      </c>
      <c r="L1999" s="1" t="s">
        <v>3347</v>
      </c>
      <c r="M1999" s="1" t="str">
        <f aca="false">IF(J1999&lt;&gt;"",J1999,L1999)</f>
        <v>16, 16, NIDORINO</v>
      </c>
    </row>
    <row r="2000" customFormat="false" ht="12.75" hidden="false" customHeight="true" outlineLevel="0" collapsed="false">
      <c r="A2000" s="3" t="s">
        <v>3348</v>
      </c>
      <c r="B2000" s="3" t="str">
        <f aca="false">IF(ISNUMBER(SEARCH("%", A2000)),RIGHT(A2000,3),A2000)</f>
        <v>16, 16, NIDORINA</v>
      </c>
      <c r="C2000" s="1" t="str">
        <f aca="false" t="array" ref="C2000:C2000">IF(B1999="NEW ROUTE",textsplit(B2000,","),"")</f>
        <v/>
      </c>
      <c r="H2000" s="1" t="str">
        <f aca="false">IF(C2000&lt;&gt;"",DEC2HEX(C2000,2),"")</f>
        <v/>
      </c>
      <c r="I2000" s="1" t="str">
        <f aca="false">IF(D2000&lt;&gt;"",DEC2HEX(D2000,2),"")</f>
        <v/>
      </c>
      <c r="J2000" s="1" t="str">
        <f aca="false">IF(H2000&lt;&gt;"","0x"&amp;I2000&amp;H2000,"")</f>
        <v/>
      </c>
      <c r="L2000" s="1" t="s">
        <v>3348</v>
      </c>
      <c r="M2000" s="1" t="str">
        <f aca="false">IF(J2000&lt;&gt;"",J2000,L2000)</f>
        <v>16, 16, NIDORINA</v>
      </c>
    </row>
    <row r="2001" customFormat="false" ht="12.75" hidden="false" customHeight="true" outlineLevel="0" collapsed="false">
      <c r="A2001" s="3" t="s">
        <v>3349</v>
      </c>
      <c r="B2001" s="3" t="str">
        <f aca="false">IF(ISNUMBER(SEARCH("%", A2001)),RIGHT(A2001,3),A2001)</f>
        <v>2, 38, 42, TENTACOOL</v>
      </c>
      <c r="C2001" s="1" t="str">
        <f aca="false" t="array" ref="C2001:C2001">IF(B2000="NEW ROUTE",textsplit(B2001,","),"")</f>
        <v/>
      </c>
      <c r="H2001" s="1" t="str">
        <f aca="false">IF(C2001&lt;&gt;"",DEC2HEX(C2001,2),"")</f>
        <v/>
      </c>
      <c r="I2001" s="1" t="str">
        <f aca="false">IF(D2001&lt;&gt;"",DEC2HEX(D2001,2),"")</f>
        <v/>
      </c>
      <c r="J2001" s="1" t="str">
        <f aca="false">IF(H2001&lt;&gt;"","0x"&amp;I2001&amp;H2001,"")</f>
        <v/>
      </c>
      <c r="L2001" s="1" t="s">
        <v>3349</v>
      </c>
      <c r="M2001" s="1" t="str">
        <f aca="false">IF(J2001&lt;&gt;"",J2001,L2001)</f>
        <v>2, 38, 42, TENTACOOL</v>
      </c>
    </row>
    <row r="2002" customFormat="false" ht="12.75" hidden="false" customHeight="true" outlineLevel="0" collapsed="false">
      <c r="A2002" s="3" t="s">
        <v>3350</v>
      </c>
      <c r="B2002" s="3" t="str">
        <f aca="false">IF(ISNUMBER(SEARCH("%", A2002)),RIGHT(A2002,3),A2002)</f>
        <v>40, 44, PSYDUCK</v>
      </c>
      <c r="C2002" s="1" t="str">
        <f aca="false" t="array" ref="C2002:C2002">IF(B2001="NEW ROUTE",textsplit(B2002,","),"")</f>
        <v/>
      </c>
      <c r="H2002" s="1" t="str">
        <f aca="false">IF(C2002&lt;&gt;"",DEC2HEX(C2002,2),"")</f>
        <v/>
      </c>
      <c r="I2002" s="1" t="str">
        <f aca="false">IF(D2002&lt;&gt;"",DEC2HEX(D2002,2),"")</f>
        <v/>
      </c>
      <c r="J2002" s="1" t="str">
        <f aca="false">IF(H2002&lt;&gt;"","0x"&amp;I2002&amp;H2002,"")</f>
        <v/>
      </c>
      <c r="L2002" s="1" t="s">
        <v>3350</v>
      </c>
      <c r="M2002" s="1" t="str">
        <f aca="false">IF(J2002&lt;&gt;"",J2002,L2002)</f>
        <v>40, 44, PSYDUCK</v>
      </c>
    </row>
    <row r="2003" customFormat="false" ht="12.75" hidden="false" customHeight="true" outlineLevel="0" collapsed="false">
      <c r="A2003" s="3" t="s">
        <v>3351</v>
      </c>
      <c r="B2003" s="3" t="str">
        <f aca="false">IF(ISNUMBER(SEARCH("%", A2003)),RIGHT(A2003,3),A2003)</f>
        <v>42, 46, TENTACRUEL</v>
      </c>
      <c r="C2003" s="1" t="str">
        <f aca="false" t="array" ref="C2003:C2003">IF(B2002="NEW ROUTE",textsplit(B2003,","),"")</f>
        <v/>
      </c>
      <c r="H2003" s="1" t="str">
        <f aca="false">IF(C2003&lt;&gt;"",DEC2HEX(C2003,2),"")</f>
        <v/>
      </c>
      <c r="I2003" s="1" t="str">
        <f aca="false">IF(D2003&lt;&gt;"",DEC2HEX(D2003,2),"")</f>
        <v/>
      </c>
      <c r="J2003" s="1" t="str">
        <f aca="false">IF(H2003&lt;&gt;"","0x"&amp;I2003&amp;H2003,"")</f>
        <v/>
      </c>
      <c r="L2003" s="1" t="s">
        <v>3351</v>
      </c>
      <c r="M2003" s="1" t="str">
        <f aca="false">IF(J2003&lt;&gt;"",J2003,L2003)</f>
        <v>42, 46, TENTACRUEL</v>
      </c>
    </row>
    <row r="2004" customFormat="false" ht="12.75" hidden="false" customHeight="true" outlineLevel="0" collapsed="false">
      <c r="A2004" s="3" t="s">
        <v>2923</v>
      </c>
      <c r="B2004" s="3" t="str">
        <f aca="false">IF(ISNUMBER(SEARCH("%", A2004)),RIGHT(A2004,3),A2004)</f>
        <v>42, 46, GOLDUCK</v>
      </c>
      <c r="C2004" s="1" t="str">
        <f aca="false" t="array" ref="C2004:C2004">IF(B2003="NEW ROUTE",textsplit(B2004,","),"")</f>
        <v/>
      </c>
      <c r="H2004" s="1" t="str">
        <f aca="false">IF(C2004&lt;&gt;"",DEC2HEX(C2004,2),"")</f>
        <v/>
      </c>
      <c r="I2004" s="1" t="str">
        <f aca="false">IF(D2004&lt;&gt;"",DEC2HEX(D2004,2),"")</f>
        <v/>
      </c>
      <c r="J2004" s="1" t="str">
        <f aca="false">IF(H2004&lt;&gt;"","0x"&amp;I2004&amp;H2004,"")</f>
        <v/>
      </c>
      <c r="L2004" s="1" t="s">
        <v>2923</v>
      </c>
      <c r="M2004" s="1" t="str">
        <f aca="false">IF(J2004&lt;&gt;"",J2004,L2004)</f>
        <v>42, 46, GOLDUCK</v>
      </c>
    </row>
    <row r="2005" customFormat="false" ht="12.75" hidden="false" customHeight="true" outlineLevel="0" collapsed="false">
      <c r="A2005" s="3" t="s">
        <v>2924</v>
      </c>
      <c r="B2005" s="3" t="str">
        <f aca="false">IF(ISNUMBER(SEARCH("%", A2005)),RIGHT(A2005,3),A2005)</f>
        <v>44, 48, VAPOREON</v>
      </c>
      <c r="C2005" s="1" t="str">
        <f aca="false" t="array" ref="C2005:C2005">IF(B2004="NEW ROUTE",textsplit(B2005,","),"")</f>
        <v/>
      </c>
      <c r="H2005" s="1" t="str">
        <f aca="false">IF(C2005&lt;&gt;"",DEC2HEX(C2005,2),"")</f>
        <v/>
      </c>
      <c r="I2005" s="1" t="str">
        <f aca="false">IF(D2005&lt;&gt;"",DEC2HEX(D2005,2),"")</f>
        <v/>
      </c>
      <c r="J2005" s="1" t="str">
        <f aca="false">IF(H2005&lt;&gt;"","0x"&amp;I2005&amp;H2005,"")</f>
        <v/>
      </c>
      <c r="L2005" s="1" t="s">
        <v>2924</v>
      </c>
      <c r="M2005" s="1" t="str">
        <f aca="false">IF(J2005&lt;&gt;"",J2005,L2005)</f>
        <v>44, 48, VAPOREON</v>
      </c>
    </row>
    <row r="2006" customFormat="false" ht="12.75" hidden="false" customHeight="true" outlineLevel="0" collapsed="false">
      <c r="A2006" s="3" t="s">
        <v>2925</v>
      </c>
      <c r="B2006" s="3" t="str">
        <f aca="false">IF(ISNUMBER(SEARCH("%", A2006)),RIGHT(A2006,3),A2006)</f>
        <v>20, old rod:</v>
      </c>
      <c r="C2006" s="1" t="str">
        <f aca="false" t="array" ref="C2006:C2006">IF(B2005="NEW ROUTE",textsplit(B2006,","),"")</f>
        <v/>
      </c>
      <c r="H2006" s="1" t="str">
        <f aca="false">IF(C2006&lt;&gt;"",DEC2HEX(C2006,2),"")</f>
        <v/>
      </c>
      <c r="I2006" s="1" t="str">
        <f aca="false">IF(D2006&lt;&gt;"",DEC2HEX(D2006,2),"")</f>
        <v/>
      </c>
      <c r="J2006" s="1" t="str">
        <f aca="false">IF(H2006&lt;&gt;"","0x"&amp;I2006&amp;H2006,"")</f>
        <v/>
      </c>
      <c r="L2006" s="1" t="s">
        <v>2925</v>
      </c>
      <c r="M2006" s="1" t="str">
        <f aca="false">IF(J2006&lt;&gt;"",J2006,L2006)</f>
        <v>20, old rod:</v>
      </c>
    </row>
    <row r="2007" customFormat="false" ht="12.75" hidden="false" customHeight="true" outlineLevel="0" collapsed="false">
      <c r="A2007" s="3" t="s">
        <v>1349</v>
      </c>
      <c r="B2007" s="3" t="str">
        <f aca="false">IF(ISNUMBER(SEARCH("%", A2007)),RIGHT(A2007,3),A2007)</f>
        <v>19, 26, MAGIKARP</v>
      </c>
      <c r="C2007" s="1" t="str">
        <f aca="false" t="array" ref="C2007:C2007">IF(B2006="NEW ROUTE",textsplit(B2007,","),"")</f>
        <v/>
      </c>
      <c r="H2007" s="1" t="str">
        <f aca="false">IF(C2007&lt;&gt;"",DEC2HEX(C2007,2),"")</f>
        <v/>
      </c>
      <c r="I2007" s="1" t="str">
        <f aca="false">IF(D2007&lt;&gt;"",DEC2HEX(D2007,2),"")</f>
        <v/>
      </c>
      <c r="J2007" s="1" t="str">
        <f aca="false">IF(H2007&lt;&gt;"","0x"&amp;I2007&amp;H2007,"")</f>
        <v/>
      </c>
      <c r="L2007" s="1" t="s">
        <v>1349</v>
      </c>
      <c r="M2007" s="1" t="str">
        <f aca="false">IF(J2007&lt;&gt;"",J2007,L2007)</f>
        <v>19, 26, MAGIKARP</v>
      </c>
    </row>
    <row r="2008" customFormat="false" ht="12.75" hidden="false" customHeight="true" outlineLevel="0" collapsed="false">
      <c r="A2008" s="3" t="s">
        <v>3352</v>
      </c>
      <c r="B2008" s="3" t="str">
        <f aca="false">IF(ISNUMBER(SEARCH("%", A2008)),RIGHT(A2008,3),A2008)</f>
        <v>19, 26, GYARADOS</v>
      </c>
      <c r="C2008" s="1" t="str">
        <f aca="false" t="array" ref="C2008:C2008">IF(B2007="NEW ROUTE",textsplit(B2008,","),"")</f>
        <v/>
      </c>
      <c r="H2008" s="1" t="str">
        <f aca="false">IF(C2008&lt;&gt;"",DEC2HEX(C2008,2),"")</f>
        <v/>
      </c>
      <c r="I2008" s="1" t="str">
        <f aca="false">IF(D2008&lt;&gt;"",DEC2HEX(D2008,2),"")</f>
        <v/>
      </c>
      <c r="J2008" s="1" t="str">
        <f aca="false">IF(H2008&lt;&gt;"","0x"&amp;I2008&amp;H2008,"")</f>
        <v/>
      </c>
      <c r="L2008" s="1" t="s">
        <v>3352</v>
      </c>
      <c r="M2008" s="1" t="str">
        <f aca="false">IF(J2008&lt;&gt;"",J2008,L2008)</f>
        <v>19, 26, GYARADOS</v>
      </c>
    </row>
    <row r="2009" customFormat="false" ht="12.75" hidden="false" customHeight="true" outlineLevel="0" collapsed="false">
      <c r="A2009" s="3" t="s">
        <v>2846</v>
      </c>
      <c r="B2009" s="3" t="str">
        <f aca="false">IF(ISNUMBER(SEARCH("%", A2009)),RIGHT(A2009,3),A2009)</f>
        <v>good rod:</v>
      </c>
      <c r="C2009" s="1" t="str">
        <f aca="false" t="array" ref="C2009:C2009">IF(B2008="NEW ROUTE",textsplit(B2009,","),"")</f>
        <v/>
      </c>
      <c r="H2009" s="1" t="str">
        <f aca="false">IF(C2009&lt;&gt;"",DEC2HEX(C2009,2),"")</f>
        <v/>
      </c>
      <c r="I2009" s="1" t="str">
        <f aca="false">IF(D2009&lt;&gt;"",DEC2HEX(D2009,2),"")</f>
        <v/>
      </c>
      <c r="J2009" s="1" t="str">
        <f aca="false">IF(H2009&lt;&gt;"","0x"&amp;I2009&amp;H2009,"")</f>
        <v/>
      </c>
      <c r="L2009" s="1" t="s">
        <v>2846</v>
      </c>
      <c r="M2009" s="1" t="str">
        <f aca="false">IF(J2009&lt;&gt;"",J2009,L2009)</f>
        <v>good rod:</v>
      </c>
    </row>
    <row r="2010" customFormat="false" ht="12.75" hidden="false" customHeight="true" outlineLevel="0" collapsed="false">
      <c r="A2010" s="3" t="s">
        <v>3353</v>
      </c>
      <c r="B2010" s="3" t="str">
        <f aca="false">IF(ISNUMBER(SEARCH("%", A2010)),RIGHT(A2010,3),A2010)</f>
        <v>29, 33, SLOWPOKE</v>
      </c>
      <c r="C2010" s="1" t="str">
        <f aca="false" t="array" ref="C2010:C2010">IF(B2009="NEW ROUTE",textsplit(B2010,","),"")</f>
        <v/>
      </c>
      <c r="H2010" s="1" t="str">
        <f aca="false">IF(C2010&lt;&gt;"",DEC2HEX(C2010,2),"")</f>
        <v/>
      </c>
      <c r="I2010" s="1" t="str">
        <f aca="false">IF(D2010&lt;&gt;"",DEC2HEX(D2010,2),"")</f>
        <v/>
      </c>
      <c r="J2010" s="1" t="str">
        <f aca="false">IF(H2010&lt;&gt;"","0x"&amp;I2010&amp;H2010,"")</f>
        <v/>
      </c>
      <c r="L2010" s="1" t="s">
        <v>3353</v>
      </c>
      <c r="M2010" s="1" t="str">
        <f aca="false">IF(J2010&lt;&gt;"",J2010,L2010)</f>
        <v>29, 33, SLOWPOKE</v>
      </c>
    </row>
    <row r="2011" customFormat="false" ht="12.75" hidden="false" customHeight="true" outlineLevel="0" collapsed="false">
      <c r="A2011" s="3" t="s">
        <v>3027</v>
      </c>
      <c r="B2011" s="3" t="str">
        <f aca="false">IF(ISNUMBER(SEARCH("%", A2011)),RIGHT(A2011,3),A2011)</f>
        <v>30, 35, KRABBY</v>
      </c>
      <c r="C2011" s="1" t="str">
        <f aca="false" t="array" ref="C2011:C2011">IF(B2010="NEW ROUTE",textsplit(B2011,","),"")</f>
        <v/>
      </c>
      <c r="H2011" s="1" t="str">
        <f aca="false">IF(C2011&lt;&gt;"",DEC2HEX(C2011,2),"")</f>
        <v/>
      </c>
      <c r="I2011" s="1" t="str">
        <f aca="false">IF(D2011&lt;&gt;"",DEC2HEX(D2011,2),"")</f>
        <v/>
      </c>
      <c r="J2011" s="1" t="str">
        <f aca="false">IF(H2011&lt;&gt;"","0x"&amp;I2011&amp;H2011,"")</f>
        <v/>
      </c>
      <c r="L2011" s="1" t="s">
        <v>3027</v>
      </c>
      <c r="M2011" s="1" t="str">
        <f aca="false">IF(J2011&lt;&gt;"",J2011,L2011)</f>
        <v>30, 35, KRABBY</v>
      </c>
    </row>
    <row r="2012" customFormat="false" ht="12.75" hidden="false" customHeight="true" outlineLevel="0" collapsed="false">
      <c r="A2012" s="3" t="s">
        <v>3354</v>
      </c>
      <c r="B2012" s="3" t="str">
        <f aca="false">IF(ISNUMBER(SEARCH("%", A2012)),RIGHT(A2012,3),A2012)</f>
        <v>30, 35, PSYDUCK</v>
      </c>
      <c r="C2012" s="1" t="str">
        <f aca="false" t="array" ref="C2012:C2012">IF(B2011="NEW ROUTE",textsplit(B2012,","),"")</f>
        <v/>
      </c>
      <c r="H2012" s="1" t="str">
        <f aca="false">IF(C2012&lt;&gt;"",DEC2HEX(C2012,2),"")</f>
        <v/>
      </c>
      <c r="I2012" s="1" t="str">
        <f aca="false">IF(D2012&lt;&gt;"",DEC2HEX(D2012,2),"")</f>
        <v/>
      </c>
      <c r="J2012" s="1" t="str">
        <f aca="false">IF(H2012&lt;&gt;"","0x"&amp;I2012&amp;H2012,"")</f>
        <v/>
      </c>
      <c r="L2012" s="1" t="s">
        <v>3354</v>
      </c>
      <c r="M2012" s="1" t="str">
        <f aca="false">IF(J2012&lt;&gt;"",J2012,L2012)</f>
        <v>30, 35, PSYDUCK</v>
      </c>
    </row>
    <row r="2013" customFormat="false" ht="12.75" hidden="false" customHeight="true" outlineLevel="0" collapsed="false">
      <c r="A2013" s="3" t="s">
        <v>2850</v>
      </c>
      <c r="B2013" s="3" t="str">
        <f aca="false">IF(ISNUMBER(SEARCH("%", A2013)),RIGHT(A2013,3),A2013)</f>
        <v>super rod:</v>
      </c>
      <c r="C2013" s="1" t="str">
        <f aca="false" t="array" ref="C2013:C2013">IF(B2012="NEW ROUTE",textsplit(B2013,","),"")</f>
        <v/>
      </c>
      <c r="H2013" s="1" t="str">
        <f aca="false">IF(C2013&lt;&gt;"",DEC2HEX(C2013,2),"")</f>
        <v/>
      </c>
      <c r="I2013" s="1" t="str">
        <f aca="false">IF(D2013&lt;&gt;"",DEC2HEX(D2013,2),"")</f>
        <v/>
      </c>
      <c r="J2013" s="1" t="str">
        <f aca="false">IF(H2013&lt;&gt;"","0x"&amp;I2013&amp;H2013,"")</f>
        <v/>
      </c>
      <c r="L2013" s="1" t="s">
        <v>2850</v>
      </c>
      <c r="M2013" s="1" t="str">
        <f aca="false">IF(J2013&lt;&gt;"",J2013,L2013)</f>
        <v>super rod:</v>
      </c>
    </row>
    <row r="2014" customFormat="false" ht="12.75" hidden="false" customHeight="true" outlineLevel="0" collapsed="false">
      <c r="A2014" s="3" t="s">
        <v>3355</v>
      </c>
      <c r="B2014" s="3" t="str">
        <f aca="false">IF(ISNUMBER(SEARCH("%", A2014)),RIGHT(A2014,3),A2014)</f>
        <v>36, 40, SLOWBRO</v>
      </c>
      <c r="C2014" s="1" t="str">
        <f aca="false" t="array" ref="C2014:C2014">IF(B2013="NEW ROUTE",textsplit(B2014,","),"")</f>
        <v/>
      </c>
      <c r="H2014" s="1" t="str">
        <f aca="false">IF(C2014&lt;&gt;"",DEC2HEX(C2014,2),"")</f>
        <v/>
      </c>
      <c r="I2014" s="1" t="str">
        <f aca="false">IF(D2014&lt;&gt;"",DEC2HEX(D2014,2),"")</f>
        <v/>
      </c>
      <c r="J2014" s="1" t="str">
        <f aca="false">IF(H2014&lt;&gt;"","0x"&amp;I2014&amp;H2014,"")</f>
        <v/>
      </c>
      <c r="L2014" s="1" t="s">
        <v>3355</v>
      </c>
      <c r="M2014" s="1" t="str">
        <f aca="false">IF(J2014&lt;&gt;"",J2014,L2014)</f>
        <v>36, 40, SLOWBRO</v>
      </c>
    </row>
    <row r="2015" customFormat="false" ht="12.75" hidden="false" customHeight="true" outlineLevel="0" collapsed="false">
      <c r="A2015" s="3" t="s">
        <v>3356</v>
      </c>
      <c r="B2015" s="3" t="str">
        <f aca="false">IF(ISNUMBER(SEARCH("%", A2015)),RIGHT(A2015,3),A2015)</f>
        <v>36, 40, GYARADOS</v>
      </c>
      <c r="C2015" s="1" t="str">
        <f aca="false" t="array" ref="C2015:C2015">IF(B2014="NEW ROUTE",textsplit(B2015,","),"")</f>
        <v/>
      </c>
      <c r="H2015" s="1" t="str">
        <f aca="false">IF(C2015&lt;&gt;"",DEC2HEX(C2015,2),"")</f>
        <v/>
      </c>
      <c r="I2015" s="1" t="str">
        <f aca="false">IF(D2015&lt;&gt;"",DEC2HEX(D2015,2),"")</f>
        <v/>
      </c>
      <c r="J2015" s="1" t="str">
        <f aca="false">IF(H2015&lt;&gt;"","0x"&amp;I2015&amp;H2015,"")</f>
        <v/>
      </c>
      <c r="L2015" s="1" t="s">
        <v>3356</v>
      </c>
      <c r="M2015" s="1" t="str">
        <f aca="false">IF(J2015&lt;&gt;"",J2015,L2015)</f>
        <v>36, 40, GYARADOS</v>
      </c>
    </row>
    <row r="2016" customFormat="false" ht="12.75" hidden="false" customHeight="true" outlineLevel="0" collapsed="false">
      <c r="A2016" s="3" t="s">
        <v>3357</v>
      </c>
      <c r="B2016" s="3" t="str">
        <f aca="false">IF(ISNUMBER(SEARCH("%", A2016)),RIGHT(A2016,3),A2016)</f>
        <v>38, 42, GOLDUCK</v>
      </c>
      <c r="C2016" s="1" t="str">
        <f aca="false" t="array" ref="C2016:C2016">IF(B2015="NEW ROUTE",textsplit(B2016,","),"")</f>
        <v/>
      </c>
      <c r="H2016" s="1" t="str">
        <f aca="false">IF(C2016&lt;&gt;"",DEC2HEX(C2016,2),"")</f>
        <v/>
      </c>
      <c r="I2016" s="1" t="str">
        <f aca="false">IF(D2016&lt;&gt;"",DEC2HEX(D2016,2),"")</f>
        <v/>
      </c>
      <c r="J2016" s="1" t="str">
        <f aca="false">IF(H2016&lt;&gt;"","0x"&amp;I2016&amp;H2016,"")</f>
        <v/>
      </c>
      <c r="L2016" s="1" t="s">
        <v>3357</v>
      </c>
      <c r="M2016" s="1" t="str">
        <f aca="false">IF(J2016&lt;&gt;"",J2016,L2016)</f>
        <v>38, 42, GOLDUCK</v>
      </c>
    </row>
    <row r="2017" customFormat="false" ht="12.75" hidden="false" customHeight="true" outlineLevel="0" collapsed="false">
      <c r="A2017" s="3" t="s">
        <v>3358</v>
      </c>
      <c r="B2017" s="3" t="str">
        <f aca="false">IF(ISNUMBER(SEARCH("%", A2017)),RIGHT(A2017,3),A2017)</f>
        <v>38, 42, KINGLER</v>
      </c>
      <c r="C2017" s="1" t="str">
        <f aca="false" t="array" ref="C2017:C2017">IF(B2016="NEW ROUTE",textsplit(B2017,","),"")</f>
        <v/>
      </c>
      <c r="H2017" s="1" t="str">
        <f aca="false">IF(C2017&lt;&gt;"",DEC2HEX(C2017,2),"")</f>
        <v/>
      </c>
      <c r="I2017" s="1" t="str">
        <f aca="false">IF(D2017&lt;&gt;"",DEC2HEX(D2017,2),"")</f>
        <v/>
      </c>
      <c r="J2017" s="1" t="str">
        <f aca="false">IF(H2017&lt;&gt;"","0x"&amp;I2017&amp;H2017,"")</f>
        <v/>
      </c>
      <c r="L2017" s="1" t="s">
        <v>3358</v>
      </c>
      <c r="M2017" s="1" t="str">
        <f aca="false">IF(J2017&lt;&gt;"",J2017,L2017)</f>
        <v>38, 42, KINGLER</v>
      </c>
    </row>
    <row r="2018" customFormat="false" ht="12.75" hidden="false" customHeight="true" outlineLevel="0" collapsed="false">
      <c r="A2018" s="3" t="s">
        <v>3359</v>
      </c>
      <c r="B2018" s="3" t="str">
        <f aca="false">IF(ISNUMBER(SEARCH("%", A2018)),RIGHT(A2018,3),A2018)</f>
        <v>40, 44, SLOWMATE</v>
      </c>
      <c r="C2018" s="1" t="str">
        <f aca="false" t="array" ref="C2018:C2018">IF(B2017="NEW ROUTE",textsplit(B2018,","),"")</f>
        <v/>
      </c>
      <c r="H2018" s="1" t="str">
        <f aca="false">IF(C2018&lt;&gt;"",DEC2HEX(C2018,2),"")</f>
        <v/>
      </c>
      <c r="I2018" s="1" t="str">
        <f aca="false">IF(D2018&lt;&gt;"",DEC2HEX(D2018,2),"")</f>
        <v/>
      </c>
      <c r="J2018" s="1" t="str">
        <f aca="false">IF(H2018&lt;&gt;"","0x"&amp;I2018&amp;H2018,"")</f>
        <v/>
      </c>
      <c r="L2018" s="1" t="s">
        <v>3359</v>
      </c>
      <c r="M2018" s="1" t="str">
        <f aca="false">IF(J2018&lt;&gt;"",J2018,L2018)</f>
        <v>40, 44, SLOWMATE</v>
      </c>
    </row>
    <row r="2019" customFormat="false" ht="12.75" hidden="false" customHeight="true" outlineLevel="0" collapsed="false">
      <c r="A2019" s="3" t="s">
        <v>2536</v>
      </c>
      <c r="B2019" s="3" t="str">
        <f aca="false">IF(ISNUMBER(SEARCH("%", A2019)),RIGHT(A2019,3),A2019)</f>
        <v>NEW ROUTE</v>
      </c>
      <c r="C2019" s="1" t="str">
        <f aca="false" t="array" ref="C2019:C2019">IF(B2018="NEW ROUTE",textsplit(B2019,","),"")</f>
        <v/>
      </c>
      <c r="H2019" s="1" t="str">
        <f aca="false">IF(C2019&lt;&gt;"",DEC2HEX(C2019,2),"")</f>
        <v/>
      </c>
      <c r="I2019" s="1" t="str">
        <f aca="false">IF(D2019&lt;&gt;"",DEC2HEX(D2019,2),"")</f>
        <v/>
      </c>
      <c r="J2019" s="1" t="str">
        <f aca="false">IF(H2019&lt;&gt;"","0x"&amp;I2019&amp;H2019,"")</f>
        <v/>
      </c>
      <c r="L2019" s="1" t="s">
        <v>2536</v>
      </c>
      <c r="M2019" s="1" t="str">
        <f aca="false">IF(J2019&lt;&gt;"",J2019,L2019)</f>
        <v>NEW ROUTE</v>
      </c>
    </row>
    <row r="2020" customFormat="false" ht="12.75" hidden="false" customHeight="true" outlineLevel="0" collapsed="false">
      <c r="A2020" s="3" t="s">
        <v>3360</v>
      </c>
      <c r="B2020" s="3" t="str">
        <f aca="false">IF(ISNUMBER(SEARCH("%", A2020)),RIGHT(A2020,3),A2020)</f>
        <v>3, 23, 0,</v>
      </c>
      <c r="C2020" s="1" t="e">
        <f aca="false" t="array" ref="C2020:C2020">IF(B2019="NEW ROUTE",textsplit(B2020,","),"")</f>
        <v>#NAME?</v>
      </c>
      <c r="H2020" s="1" t="e">
        <f aca="false">IF(C2020&lt;&gt;"",DEC2HEX(C2020,2),"")</f>
        <v>#NAME?</v>
      </c>
      <c r="I2020" s="1" t="str">
        <f aca="false">IF(D2020&lt;&gt;"",DEC2HEX(D2020,2),"")</f>
        <v/>
      </c>
      <c r="J2020" s="1" t="e">
        <f aca="false">IF(H2020&lt;&gt;"","0x"&amp;I2020&amp;H2020,"")</f>
        <v>#NAME?</v>
      </c>
      <c r="L2020" s="1" t="s">
        <v>3360</v>
      </c>
      <c r="M2020" s="1" t="e">
        <f aca="false">IF(J2020&lt;&gt;"",J2020,L2020)</f>
        <v>#NAME?</v>
      </c>
    </row>
    <row r="2021" customFormat="false" ht="12.75" hidden="false" customHeight="true" outlineLevel="0" collapsed="false">
      <c r="A2021" s="3" t="s">
        <v>2908</v>
      </c>
      <c r="B2021" s="3" t="str">
        <f aca="false">IF(ISNUMBER(SEARCH("%", A2021)),RIGHT(A2021,3),A2021)</f>
        <v>20%</v>
      </c>
      <c r="C2021" s="1" t="str">
        <f aca="false" t="array" ref="C2021:C2021">IF(B2020="NEW ROUTE",textsplit(B2021,","),"")</f>
        <v/>
      </c>
      <c r="H2021" s="1" t="str">
        <f aca="false">IF(C2021&lt;&gt;"",DEC2HEX(C2021,2),"")</f>
        <v/>
      </c>
      <c r="I2021" s="1" t="str">
        <f aca="false">IF(D2021&lt;&gt;"",DEC2HEX(D2021,2),"")</f>
        <v/>
      </c>
      <c r="J2021" s="1" t="str">
        <f aca="false">IF(H2021&lt;&gt;"","0x"&amp;I2021&amp;H2021,"")</f>
        <v/>
      </c>
      <c r="L2021" s="1" t="s">
        <v>2799</v>
      </c>
      <c r="M2021" s="1" t="str">
        <f aca="false">IF(J2021&lt;&gt;"",J2021,L2021)</f>
        <v>20%</v>
      </c>
    </row>
    <row r="2022" customFormat="false" ht="12.75" hidden="false" customHeight="true" outlineLevel="0" collapsed="false">
      <c r="A2022" s="3" t="s">
        <v>1828</v>
      </c>
      <c r="B2022" s="3" t="str">
        <f aca="false">IF(ISNUMBER(SEARCH("%", A2022)),RIGHT(A2022,3),A2022)</f>
        <v>15, 17, PIDGEY</v>
      </c>
      <c r="C2022" s="1" t="str">
        <f aca="false" t="array" ref="C2022:C2022">IF(B2021="NEW ROUTE",textsplit(B2022,","),"")</f>
        <v/>
      </c>
      <c r="H2022" s="1" t="str">
        <f aca="false">IF(C2022&lt;&gt;"",DEC2HEX(C2022,2),"")</f>
        <v/>
      </c>
      <c r="I2022" s="1" t="str">
        <f aca="false">IF(D2022&lt;&gt;"",DEC2HEX(D2022,2),"")</f>
        <v/>
      </c>
      <c r="J2022" s="1" t="str">
        <f aca="false">IF(H2022&lt;&gt;"","0x"&amp;I2022&amp;H2022,"")</f>
        <v/>
      </c>
      <c r="L2022" s="1" t="s">
        <v>1828</v>
      </c>
      <c r="M2022" s="1" t="str">
        <f aca="false">IF(J2022&lt;&gt;"",J2022,L2022)</f>
        <v>15, 17, PIDGEY</v>
      </c>
    </row>
    <row r="2023" customFormat="false" ht="12.75" hidden="false" customHeight="true" outlineLevel="0" collapsed="false">
      <c r="A2023" s="3" t="s">
        <v>3361</v>
      </c>
      <c r="B2023" s="3" t="str">
        <f aca="false">IF(ISNUMBER(SEARCH("%", A2023)),RIGHT(A2023,3),A2023)</f>
        <v>15, 17, MEOWTH</v>
      </c>
      <c r="C2023" s="1" t="str">
        <f aca="false" t="array" ref="C2023:C2023">IF(B2022="NEW ROUTE",textsplit(B2023,","),"")</f>
        <v/>
      </c>
      <c r="H2023" s="1" t="str">
        <f aca="false">IF(C2023&lt;&gt;"",DEC2HEX(C2023,2),"")</f>
        <v/>
      </c>
      <c r="I2023" s="1" t="str">
        <f aca="false">IF(D2023&lt;&gt;"",DEC2HEX(D2023,2),"")</f>
        <v/>
      </c>
      <c r="J2023" s="1" t="str">
        <f aca="false">IF(H2023&lt;&gt;"","0x"&amp;I2023&amp;H2023,"")</f>
        <v/>
      </c>
      <c r="L2023" s="1" t="s">
        <v>3361</v>
      </c>
      <c r="M2023" s="1" t="str">
        <f aca="false">IF(J2023&lt;&gt;"",J2023,L2023)</f>
        <v>15, 17, MEOWTH</v>
      </c>
    </row>
    <row r="2024" customFormat="false" ht="12.75" hidden="false" customHeight="true" outlineLevel="0" collapsed="false">
      <c r="A2024" s="3" t="s">
        <v>2801</v>
      </c>
      <c r="B2024" s="3" t="str">
        <f aca="false">IF(ISNUMBER(SEARCH("%", A2024)),RIGHT(A2024,3),A2024)</f>
        <v>0.1</v>
      </c>
      <c r="C2024" s="1" t="str">
        <f aca="false" t="array" ref="C2024:C2024">IF(B2023="NEW ROUTE",textsplit(B2024,","),"")</f>
        <v/>
      </c>
      <c r="H2024" s="1" t="str">
        <f aca="false">IF(C2024&lt;&gt;"",DEC2HEX(C2024,2),"")</f>
        <v/>
      </c>
      <c r="I2024" s="1" t="str">
        <f aca="false">IF(D2024&lt;&gt;"",DEC2HEX(D2024,2),"")</f>
        <v/>
      </c>
      <c r="J2024" s="1" t="str">
        <f aca="false">IF(H2024&lt;&gt;"","0x"&amp;I2024&amp;H2024,"")</f>
        <v/>
      </c>
      <c r="L2024" s="1" t="s">
        <v>2801</v>
      </c>
      <c r="M2024" s="1" t="str">
        <f aca="false">IF(J2024&lt;&gt;"",J2024,L2024)</f>
        <v>0.1</v>
      </c>
    </row>
    <row r="2025" customFormat="false" ht="12.75" hidden="false" customHeight="true" outlineLevel="0" collapsed="false">
      <c r="A2025" s="3" t="s">
        <v>3362</v>
      </c>
      <c r="B2025" s="3" t="str">
        <f aca="false">IF(ISNUMBER(SEARCH("%", A2025)),RIGHT(A2025,3),A2025)</f>
        <v>16, 19, ODDISH</v>
      </c>
      <c r="C2025" s="1" t="str">
        <f aca="false" t="array" ref="C2025:C2025">IF(B2024="NEW ROUTE",textsplit(B2025,","),"")</f>
        <v/>
      </c>
      <c r="H2025" s="1" t="str">
        <f aca="false">IF(C2025&lt;&gt;"",DEC2HEX(C2025,2),"")</f>
        <v/>
      </c>
      <c r="I2025" s="1" t="str">
        <f aca="false">IF(D2025&lt;&gt;"",DEC2HEX(D2025,2),"")</f>
        <v/>
      </c>
      <c r="J2025" s="1" t="str">
        <f aca="false">IF(H2025&lt;&gt;"","0x"&amp;I2025&amp;H2025,"")</f>
        <v/>
      </c>
      <c r="L2025" s="1" t="s">
        <v>3362</v>
      </c>
      <c r="M2025" s="1" t="str">
        <f aca="false">IF(J2025&lt;&gt;"",J2025,L2025)</f>
        <v>16, 19, ODDISH</v>
      </c>
    </row>
    <row r="2026" customFormat="false" ht="12.75" hidden="false" customHeight="true" outlineLevel="0" collapsed="false">
      <c r="A2026" s="3" t="s">
        <v>3363</v>
      </c>
      <c r="B2026" s="3" t="str">
        <f aca="false">IF(ISNUMBER(SEARCH("%", A2026)),RIGHT(A2026,3),A2026)</f>
        <v>16, 19, BELLSPROUT</v>
      </c>
      <c r="C2026" s="1" t="str">
        <f aca="false" t="array" ref="C2026:C2026">IF(B2025="NEW ROUTE",textsplit(B2026,","),"")</f>
        <v/>
      </c>
      <c r="H2026" s="1" t="str">
        <f aca="false">IF(C2026&lt;&gt;"",DEC2HEX(C2026,2),"")</f>
        <v/>
      </c>
      <c r="I2026" s="1" t="str">
        <f aca="false">IF(D2026&lt;&gt;"",DEC2HEX(D2026,2),"")</f>
        <v/>
      </c>
      <c r="J2026" s="1" t="str">
        <f aca="false">IF(H2026&lt;&gt;"","0x"&amp;I2026&amp;H2026,"")</f>
        <v/>
      </c>
      <c r="L2026" s="1" t="s">
        <v>3363</v>
      </c>
      <c r="M2026" s="1" t="str">
        <f aca="false">IF(J2026&lt;&gt;"",J2026,L2026)</f>
        <v>16, 19, BELLSPROUT</v>
      </c>
    </row>
    <row r="2027" customFormat="false" ht="12.75" hidden="false" customHeight="true" outlineLevel="0" collapsed="false">
      <c r="A2027" s="3" t="s">
        <v>3364</v>
      </c>
      <c r="B2027" s="3" t="str">
        <f aca="false">IF(ISNUMBER(SEARCH("%", A2027)),RIGHT(A2027,3),A2027)</f>
        <v>16, 19, EKANS</v>
      </c>
      <c r="C2027" s="1" t="str">
        <f aca="false" t="array" ref="C2027:C2027">IF(B2026="NEW ROUTE",textsplit(B2027,","),"")</f>
        <v/>
      </c>
      <c r="H2027" s="1" t="str">
        <f aca="false">IF(C2027&lt;&gt;"",DEC2HEX(C2027,2),"")</f>
        <v/>
      </c>
      <c r="I2027" s="1" t="str">
        <f aca="false">IF(D2027&lt;&gt;"",DEC2HEX(D2027,2),"")</f>
        <v/>
      </c>
      <c r="J2027" s="1" t="str">
        <f aca="false">IF(H2027&lt;&gt;"","0x"&amp;I2027&amp;H2027,"")</f>
        <v/>
      </c>
      <c r="L2027" s="1" t="s">
        <v>3364</v>
      </c>
      <c r="M2027" s="1" t="str">
        <f aca="false">IF(J2027&lt;&gt;"",J2027,L2027)</f>
        <v>16, 19, EKANS</v>
      </c>
    </row>
    <row r="2028" customFormat="false" ht="12.75" hidden="false" customHeight="true" outlineLevel="0" collapsed="false">
      <c r="A2028" s="3" t="s">
        <v>3365</v>
      </c>
      <c r="B2028" s="3" t="str">
        <f aca="false">IF(ISNUMBER(SEARCH("%", A2028)),RIGHT(A2028,3),A2028)</f>
        <v>16, 19, PARAS</v>
      </c>
      <c r="C2028" s="1" t="str">
        <f aca="false" t="array" ref="C2028:C2028">IF(B2027="NEW ROUTE",textsplit(B2028,","),"")</f>
        <v/>
      </c>
      <c r="H2028" s="1" t="str">
        <f aca="false">IF(C2028&lt;&gt;"",DEC2HEX(C2028,2),"")</f>
        <v/>
      </c>
      <c r="I2028" s="1" t="str">
        <f aca="false">IF(D2028&lt;&gt;"",DEC2HEX(D2028,2),"")</f>
        <v/>
      </c>
      <c r="J2028" s="1" t="str">
        <f aca="false">IF(H2028&lt;&gt;"","0x"&amp;I2028&amp;H2028,"")</f>
        <v/>
      </c>
      <c r="L2028" s="1" t="s">
        <v>3365</v>
      </c>
      <c r="M2028" s="1" t="str">
        <f aca="false">IF(J2028&lt;&gt;"",J2028,L2028)</f>
        <v>16, 19, PARAS</v>
      </c>
    </row>
    <row r="2029" customFormat="false" ht="12.75" hidden="false" customHeight="true" outlineLevel="0" collapsed="false">
      <c r="A2029" s="3" t="s">
        <v>2806</v>
      </c>
      <c r="B2029" s="3" t="str">
        <f aca="false">IF(ISNUMBER(SEARCH("%", A2029)),RIGHT(A2029,3),A2029)</f>
        <v>0.05</v>
      </c>
      <c r="C2029" s="1" t="str">
        <f aca="false" t="array" ref="C2029:C2029">IF(B2028="NEW ROUTE",textsplit(B2029,","),"")</f>
        <v/>
      </c>
      <c r="H2029" s="1" t="str">
        <f aca="false">IF(C2029&lt;&gt;"",DEC2HEX(C2029,2),"")</f>
        <v/>
      </c>
      <c r="I2029" s="1" t="str">
        <f aca="false">IF(D2029&lt;&gt;"",DEC2HEX(D2029,2),"")</f>
        <v/>
      </c>
      <c r="J2029" s="1" t="str">
        <f aca="false">IF(H2029&lt;&gt;"","0x"&amp;I2029&amp;H2029,"")</f>
        <v/>
      </c>
      <c r="L2029" s="1" t="s">
        <v>2806</v>
      </c>
      <c r="M2029" s="1" t="str">
        <f aca="false">IF(J2029&lt;&gt;"",J2029,L2029)</f>
        <v>0.05</v>
      </c>
    </row>
    <row r="2030" customFormat="false" ht="12.75" hidden="false" customHeight="true" outlineLevel="0" collapsed="false">
      <c r="A2030" s="3" t="s">
        <v>3366</v>
      </c>
      <c r="B2030" s="3" t="str">
        <f aca="false">IF(ISNUMBER(SEARCH("%", A2030)),RIGHT(A2030,3),A2030)</f>
        <v>17, 17, VULPIX</v>
      </c>
      <c r="C2030" s="1" t="str">
        <f aca="false" t="array" ref="C2030:C2030">IF(B2029="NEW ROUTE",textsplit(B2030,","),"")</f>
        <v/>
      </c>
      <c r="H2030" s="1" t="str">
        <f aca="false">IF(C2030&lt;&gt;"",DEC2HEX(C2030,2),"")</f>
        <v/>
      </c>
      <c r="I2030" s="1" t="str">
        <f aca="false">IF(D2030&lt;&gt;"",DEC2HEX(D2030,2),"")</f>
        <v/>
      </c>
      <c r="J2030" s="1" t="str">
        <f aca="false">IF(H2030&lt;&gt;"","0x"&amp;I2030&amp;H2030,"")</f>
        <v/>
      </c>
      <c r="L2030" s="1" t="s">
        <v>3366</v>
      </c>
      <c r="M2030" s="1" t="str">
        <f aca="false">IF(J2030&lt;&gt;"",J2030,L2030)</f>
        <v>17, 17, VULPIX</v>
      </c>
    </row>
    <row r="2031" customFormat="false" ht="12.75" hidden="false" customHeight="true" outlineLevel="0" collapsed="false">
      <c r="A2031" s="3" t="s">
        <v>3367</v>
      </c>
      <c r="B2031" s="3" t="str">
        <f aca="false">IF(ISNUMBER(SEARCH("%", A2031)),RIGHT(A2031,3),A2031)</f>
        <v>17, 17, GROWLITHE</v>
      </c>
      <c r="C2031" s="1" t="str">
        <f aca="false" t="array" ref="C2031:C2031">IF(B2030="NEW ROUTE",textsplit(B2031,","),"")</f>
        <v/>
      </c>
      <c r="H2031" s="1" t="str">
        <f aca="false">IF(C2031&lt;&gt;"",DEC2HEX(C2031,2),"")</f>
        <v/>
      </c>
      <c r="I2031" s="1" t="str">
        <f aca="false">IF(D2031&lt;&gt;"",DEC2HEX(D2031,2),"")</f>
        <v/>
      </c>
      <c r="J2031" s="1" t="str">
        <f aca="false">IF(H2031&lt;&gt;"","0x"&amp;I2031&amp;H2031,"")</f>
        <v/>
      </c>
      <c r="L2031" s="1" t="s">
        <v>3367</v>
      </c>
      <c r="M2031" s="1" t="str">
        <f aca="false">IF(J2031&lt;&gt;"",J2031,L2031)</f>
        <v>17, 17, GROWLITHE</v>
      </c>
    </row>
    <row r="2032" customFormat="false" ht="12.75" hidden="false" customHeight="true" outlineLevel="0" collapsed="false">
      <c r="A2032" s="3" t="s">
        <v>2809</v>
      </c>
      <c r="B2032" s="3" t="str">
        <f aca="false">IF(ISNUMBER(SEARCH("%", A2032)),RIGHT(A2032,3),A2032)</f>
        <v>0.04</v>
      </c>
      <c r="C2032" s="1" t="str">
        <f aca="false" t="array" ref="C2032:C2032">IF(B2031="NEW ROUTE",textsplit(B2032,","),"")</f>
        <v/>
      </c>
      <c r="H2032" s="1" t="str">
        <f aca="false">IF(C2032&lt;&gt;"",DEC2HEX(C2032,2),"")</f>
        <v/>
      </c>
      <c r="I2032" s="1" t="str">
        <f aca="false">IF(D2032&lt;&gt;"",DEC2HEX(D2032,2),"")</f>
        <v/>
      </c>
      <c r="J2032" s="1" t="str">
        <f aca="false">IF(H2032&lt;&gt;"","0x"&amp;I2032&amp;H2032,"")</f>
        <v/>
      </c>
      <c r="L2032" s="1" t="s">
        <v>2809</v>
      </c>
      <c r="M2032" s="1" t="str">
        <f aca="false">IF(J2032&lt;&gt;"",J2032,L2032)</f>
        <v>0.04</v>
      </c>
    </row>
    <row r="2033" customFormat="false" ht="12.75" hidden="false" customHeight="true" outlineLevel="0" collapsed="false">
      <c r="A2033" s="3" t="s">
        <v>3368</v>
      </c>
      <c r="B2033" s="3" t="str">
        <f aca="false">IF(ISNUMBER(SEARCH("%", A2033)),RIGHT(A2033,3),A2033)</f>
        <v>16, 18, PIKACHU</v>
      </c>
      <c r="C2033" s="1" t="str">
        <f aca="false" t="array" ref="C2033:C2033">IF(B2032="NEW ROUTE",textsplit(B2033,","),"")</f>
        <v/>
      </c>
      <c r="H2033" s="1" t="str">
        <f aca="false">IF(C2033&lt;&gt;"",DEC2HEX(C2033,2),"")</f>
        <v/>
      </c>
      <c r="I2033" s="1" t="str">
        <f aca="false">IF(D2033&lt;&gt;"",DEC2HEX(D2033,2),"")</f>
        <v/>
      </c>
      <c r="J2033" s="1" t="str">
        <f aca="false">IF(H2033&lt;&gt;"","0x"&amp;I2033&amp;H2033,"")</f>
        <v/>
      </c>
      <c r="L2033" s="1" t="s">
        <v>3368</v>
      </c>
      <c r="M2033" s="1" t="str">
        <f aca="false">IF(J2033&lt;&gt;"",J2033,L2033)</f>
        <v>16, 18, PIKACHU</v>
      </c>
    </row>
    <row r="2034" customFormat="false" ht="12.75" hidden="false" customHeight="true" outlineLevel="0" collapsed="false">
      <c r="A2034" s="3" t="s">
        <v>3369</v>
      </c>
      <c r="B2034" s="3" t="str">
        <f aca="false">IF(ISNUMBER(SEARCH("%", A2034)),RIGHT(A2034,3),A2034)</f>
        <v>16, 18, EEVEE</v>
      </c>
      <c r="C2034" s="1" t="str">
        <f aca="false" t="array" ref="C2034:C2034">IF(B2033="NEW ROUTE",textsplit(B2034,","),"")</f>
        <v/>
      </c>
      <c r="H2034" s="1" t="str">
        <f aca="false">IF(C2034&lt;&gt;"",DEC2HEX(C2034,2),"")</f>
        <v/>
      </c>
      <c r="I2034" s="1" t="str">
        <f aca="false">IF(D2034&lt;&gt;"",DEC2HEX(D2034,2),"")</f>
        <v/>
      </c>
      <c r="J2034" s="1" t="str">
        <f aca="false">IF(H2034&lt;&gt;"","0x"&amp;I2034&amp;H2034,"")</f>
        <v/>
      </c>
      <c r="L2034" s="1" t="s">
        <v>3369</v>
      </c>
      <c r="M2034" s="1" t="str">
        <f aca="false">IF(J2034&lt;&gt;"",J2034,L2034)</f>
        <v>16, 18, EEVEE</v>
      </c>
    </row>
    <row r="2035" customFormat="false" ht="12.75" hidden="false" customHeight="true" outlineLevel="0" collapsed="false">
      <c r="A2035" s="3" t="s">
        <v>2812</v>
      </c>
      <c r="B2035" s="3" t="str">
        <f aca="false">IF(ISNUMBER(SEARCH("%", A2035)),RIGHT(A2035,3),A2035)</f>
        <v>0.01</v>
      </c>
      <c r="C2035" s="1" t="str">
        <f aca="false" t="array" ref="C2035:C2035">IF(B2034="NEW ROUTE",textsplit(B2035,","),"")</f>
        <v/>
      </c>
      <c r="H2035" s="1" t="str">
        <f aca="false">IF(C2035&lt;&gt;"",DEC2HEX(C2035,2),"")</f>
        <v/>
      </c>
      <c r="I2035" s="1" t="str">
        <f aca="false">IF(D2035&lt;&gt;"",DEC2HEX(D2035,2),"")</f>
        <v/>
      </c>
      <c r="J2035" s="1" t="str">
        <f aca="false">IF(H2035&lt;&gt;"","0x"&amp;I2035&amp;H2035,"")</f>
        <v/>
      </c>
      <c r="L2035" s="1" t="s">
        <v>2812</v>
      </c>
      <c r="M2035" s="1" t="str">
        <f aca="false">IF(J2035&lt;&gt;"",J2035,L2035)</f>
        <v>0.01</v>
      </c>
    </row>
    <row r="2036" customFormat="false" ht="12.75" hidden="false" customHeight="true" outlineLevel="0" collapsed="false">
      <c r="A2036" s="3" t="s">
        <v>3370</v>
      </c>
      <c r="B2036" s="3" t="str">
        <f aca="false">IF(ISNUMBER(SEARCH("%", A2036)),RIGHT(A2036,3),A2036)</f>
        <v>20, 20, FEAROW</v>
      </c>
      <c r="C2036" s="1" t="str">
        <f aca="false" t="array" ref="C2036:C2036">IF(B2035="NEW ROUTE",textsplit(B2036,","),"")</f>
        <v/>
      </c>
      <c r="H2036" s="1" t="str">
        <f aca="false">IF(C2036&lt;&gt;"",DEC2HEX(C2036,2),"")</f>
        <v/>
      </c>
      <c r="I2036" s="1" t="str">
        <f aca="false">IF(D2036&lt;&gt;"",DEC2HEX(D2036,2),"")</f>
        <v/>
      </c>
      <c r="J2036" s="1" t="str">
        <f aca="false">IF(H2036&lt;&gt;"","0x"&amp;I2036&amp;H2036,"")</f>
        <v/>
      </c>
      <c r="L2036" s="1" t="s">
        <v>3370</v>
      </c>
      <c r="M2036" s="1" t="str">
        <f aca="false">IF(J2036&lt;&gt;"",J2036,L2036)</f>
        <v>20, 20, FEAROW</v>
      </c>
    </row>
    <row r="2037" customFormat="false" ht="12.75" hidden="false" customHeight="true" outlineLevel="0" collapsed="false">
      <c r="A2037" s="3" t="s">
        <v>3371</v>
      </c>
      <c r="B2037" s="3" t="str">
        <f aca="false">IF(ISNUMBER(SEARCH("%", A2037)),RIGHT(A2037,3),A2037)</f>
        <v>20, 20, WEEPINBELL , &lt;null&gt;, &lt;null&gt;, &lt;null&gt;</v>
      </c>
      <c r="C2037" s="1" t="str">
        <f aca="false" t="array" ref="C2037:C2037">IF(B2036="NEW ROUTE",textsplit(B2037,","),"")</f>
        <v/>
      </c>
      <c r="H2037" s="1" t="str">
        <f aca="false">IF(C2037&lt;&gt;"",DEC2HEX(C2037,2),"")</f>
        <v/>
      </c>
      <c r="I2037" s="1" t="str">
        <f aca="false">IF(D2037&lt;&gt;"",DEC2HEX(D2037,2),"")</f>
        <v/>
      </c>
      <c r="J2037" s="1" t="str">
        <f aca="false">IF(H2037&lt;&gt;"","0x"&amp;I2037&amp;H2037,"")</f>
        <v/>
      </c>
      <c r="L2037" s="1" t="s">
        <v>3371</v>
      </c>
      <c r="M2037" s="1" t="str">
        <f aca="false">IF(J2037&lt;&gt;"",J2037,L2037)</f>
        <v>20, 20, WEEPINBELL , &lt;null&gt;, &lt;null&gt;, &lt;null&gt;</v>
      </c>
    </row>
    <row r="2038" customFormat="false" ht="12.75" hidden="false" customHeight="true" outlineLevel="0" collapsed="false">
      <c r="A2038" s="3" t="s">
        <v>2536</v>
      </c>
      <c r="B2038" s="3" t="str">
        <f aca="false">IF(ISNUMBER(SEARCH("%", A2038)),RIGHT(A2038,3),A2038)</f>
        <v>NEW ROUTE</v>
      </c>
      <c r="C2038" s="1" t="str">
        <f aca="false" t="array" ref="C2038:C2038">IF(B2037="NEW ROUTE",textsplit(B2038,","),"")</f>
        <v/>
      </c>
      <c r="H2038" s="1" t="str">
        <f aca="false">IF(C2038&lt;&gt;"",DEC2HEX(C2038,2),"")</f>
        <v/>
      </c>
      <c r="I2038" s="1" t="str">
        <f aca="false">IF(D2038&lt;&gt;"",DEC2HEX(D2038,2),"")</f>
        <v/>
      </c>
      <c r="J2038" s="1" t="str">
        <f aca="false">IF(H2038&lt;&gt;"","0x"&amp;I2038&amp;H2038,"")</f>
        <v/>
      </c>
      <c r="L2038" s="1" t="s">
        <v>2536</v>
      </c>
      <c r="M2038" s="1" t="str">
        <f aca="false">IF(J2038&lt;&gt;"",J2038,L2038)</f>
        <v>NEW ROUTE</v>
      </c>
    </row>
    <row r="2039" customFormat="false" ht="12.75" hidden="false" customHeight="true" outlineLevel="0" collapsed="false">
      <c r="A2039" s="3" t="s">
        <v>3372</v>
      </c>
      <c r="B2039" s="3" t="str">
        <f aca="false">IF(ISNUMBER(SEARCH("%", A2039)),RIGHT(A2039,3),A2039)</f>
        <v>3, 24, 0,</v>
      </c>
      <c r="C2039" s="1" t="e">
        <f aca="false" t="array" ref="C2039:C2039">IF(B2038="NEW ROUTE",textsplit(B2039,","),"")</f>
        <v>#NAME?</v>
      </c>
      <c r="H2039" s="1" t="e">
        <f aca="false">IF(C2039&lt;&gt;"",DEC2HEX(C2039,2),"")</f>
        <v>#NAME?</v>
      </c>
      <c r="I2039" s="1" t="str">
        <f aca="false">IF(D2039&lt;&gt;"",DEC2HEX(D2039,2),"")</f>
        <v/>
      </c>
      <c r="J2039" s="1" t="e">
        <f aca="false">IF(H2039&lt;&gt;"","0x"&amp;I2039&amp;H2039,"")</f>
        <v>#NAME?</v>
      </c>
      <c r="L2039" s="1" t="s">
        <v>3372</v>
      </c>
      <c r="M2039" s="1" t="e">
        <f aca="false">IF(J2039&lt;&gt;"",J2039,L2039)</f>
        <v>#NAME?</v>
      </c>
    </row>
    <row r="2040" customFormat="false" ht="12.75" hidden="false" customHeight="true" outlineLevel="0" collapsed="false">
      <c r="A2040" s="3" t="s">
        <v>2908</v>
      </c>
      <c r="B2040" s="3" t="str">
        <f aca="false">IF(ISNUMBER(SEARCH("%", A2040)),RIGHT(A2040,3),A2040)</f>
        <v>20%</v>
      </c>
      <c r="C2040" s="1" t="str">
        <f aca="false" t="array" ref="C2040:C2040">IF(B2039="NEW ROUTE",textsplit(B2040,","),"")</f>
        <v/>
      </c>
      <c r="H2040" s="1" t="str">
        <f aca="false">IF(C2040&lt;&gt;"",DEC2HEX(C2040,2),"")</f>
        <v/>
      </c>
      <c r="I2040" s="1" t="str">
        <f aca="false">IF(D2040&lt;&gt;"",DEC2HEX(D2040,2),"")</f>
        <v/>
      </c>
      <c r="J2040" s="1" t="str">
        <f aca="false">IF(H2040&lt;&gt;"","0x"&amp;I2040&amp;H2040,"")</f>
        <v/>
      </c>
      <c r="L2040" s="1" t="s">
        <v>2799</v>
      </c>
      <c r="M2040" s="1" t="str">
        <f aca="false">IF(J2040&lt;&gt;"",J2040,L2040)</f>
        <v>20%</v>
      </c>
    </row>
    <row r="2041" customFormat="false" ht="12.75" hidden="false" customHeight="true" outlineLevel="0" collapsed="false">
      <c r="A2041" s="3" t="s">
        <v>1828</v>
      </c>
      <c r="B2041" s="3" t="str">
        <f aca="false">IF(ISNUMBER(SEARCH("%", A2041)),RIGHT(A2041,3),A2041)</f>
        <v>15, 17, PIDGEY</v>
      </c>
      <c r="C2041" s="1" t="str">
        <f aca="false" t="array" ref="C2041:C2041">IF(B2040="NEW ROUTE",textsplit(B2041,","),"")</f>
        <v/>
      </c>
      <c r="H2041" s="1" t="str">
        <f aca="false">IF(C2041&lt;&gt;"",DEC2HEX(C2041,2),"")</f>
        <v/>
      </c>
      <c r="I2041" s="1" t="str">
        <f aca="false">IF(D2041&lt;&gt;"",DEC2HEX(D2041,2),"")</f>
        <v/>
      </c>
      <c r="J2041" s="1" t="str">
        <f aca="false">IF(H2041&lt;&gt;"","0x"&amp;I2041&amp;H2041,"")</f>
        <v/>
      </c>
      <c r="L2041" s="1" t="s">
        <v>1828</v>
      </c>
      <c r="M2041" s="1" t="str">
        <f aca="false">IF(J2041&lt;&gt;"",J2041,L2041)</f>
        <v>15, 17, PIDGEY</v>
      </c>
    </row>
    <row r="2042" customFormat="false" ht="12.75" hidden="false" customHeight="true" outlineLevel="0" collapsed="false">
      <c r="A2042" s="3" t="s">
        <v>3361</v>
      </c>
      <c r="B2042" s="3" t="str">
        <f aca="false">IF(ISNUMBER(SEARCH("%", A2042)),RIGHT(A2042,3),A2042)</f>
        <v>15, 17, MEOWTH</v>
      </c>
      <c r="C2042" s="1" t="str">
        <f aca="false" t="array" ref="C2042:C2042">IF(B2041="NEW ROUTE",textsplit(B2042,","),"")</f>
        <v/>
      </c>
      <c r="H2042" s="1" t="str">
        <f aca="false">IF(C2042&lt;&gt;"",DEC2HEX(C2042,2),"")</f>
        <v/>
      </c>
      <c r="I2042" s="1" t="str">
        <f aca="false">IF(D2042&lt;&gt;"",DEC2HEX(D2042,2),"")</f>
        <v/>
      </c>
      <c r="J2042" s="1" t="str">
        <f aca="false">IF(H2042&lt;&gt;"","0x"&amp;I2042&amp;H2042,"")</f>
        <v/>
      </c>
      <c r="L2042" s="1" t="s">
        <v>3361</v>
      </c>
      <c r="M2042" s="1" t="str">
        <f aca="false">IF(J2042&lt;&gt;"",J2042,L2042)</f>
        <v>15, 17, MEOWTH</v>
      </c>
    </row>
    <row r="2043" customFormat="false" ht="12.75" hidden="false" customHeight="true" outlineLevel="0" collapsed="false">
      <c r="A2043" s="3" t="s">
        <v>2801</v>
      </c>
      <c r="B2043" s="3" t="str">
        <f aca="false">IF(ISNUMBER(SEARCH("%", A2043)),RIGHT(A2043,3),A2043)</f>
        <v>0.1</v>
      </c>
      <c r="C2043" s="1" t="str">
        <f aca="false" t="array" ref="C2043:C2043">IF(B2042="NEW ROUTE",textsplit(B2043,","),"")</f>
        <v/>
      </c>
      <c r="H2043" s="1" t="str">
        <f aca="false">IF(C2043&lt;&gt;"",DEC2HEX(C2043,2),"")</f>
        <v/>
      </c>
      <c r="I2043" s="1" t="str">
        <f aca="false">IF(D2043&lt;&gt;"",DEC2HEX(D2043,2),"")</f>
        <v/>
      </c>
      <c r="J2043" s="1" t="str">
        <f aca="false">IF(H2043&lt;&gt;"","0x"&amp;I2043&amp;H2043,"")</f>
        <v/>
      </c>
      <c r="L2043" s="1" t="s">
        <v>2801</v>
      </c>
      <c r="M2043" s="1" t="str">
        <f aca="false">IF(J2043&lt;&gt;"",J2043,L2043)</f>
        <v>0.1</v>
      </c>
    </row>
    <row r="2044" customFormat="false" ht="12.75" hidden="false" customHeight="true" outlineLevel="0" collapsed="false">
      <c r="A2044" s="3" t="s">
        <v>3362</v>
      </c>
      <c r="B2044" s="3" t="str">
        <f aca="false">IF(ISNUMBER(SEARCH("%", A2044)),RIGHT(A2044,3),A2044)</f>
        <v>16, 19, ODDISH</v>
      </c>
      <c r="C2044" s="1" t="str">
        <f aca="false" t="array" ref="C2044:C2044">IF(B2043="NEW ROUTE",textsplit(B2044,","),"")</f>
        <v/>
      </c>
      <c r="H2044" s="1" t="str">
        <f aca="false">IF(C2044&lt;&gt;"",DEC2HEX(C2044,2),"")</f>
        <v/>
      </c>
      <c r="I2044" s="1" t="str">
        <f aca="false">IF(D2044&lt;&gt;"",DEC2HEX(D2044,2),"")</f>
        <v/>
      </c>
      <c r="J2044" s="1" t="str">
        <f aca="false">IF(H2044&lt;&gt;"","0x"&amp;I2044&amp;H2044,"")</f>
        <v/>
      </c>
      <c r="L2044" s="1" t="s">
        <v>3362</v>
      </c>
      <c r="M2044" s="1" t="str">
        <f aca="false">IF(J2044&lt;&gt;"",J2044,L2044)</f>
        <v>16, 19, ODDISH</v>
      </c>
    </row>
    <row r="2045" customFormat="false" ht="12.75" hidden="false" customHeight="true" outlineLevel="0" collapsed="false">
      <c r="A2045" s="3" t="s">
        <v>3363</v>
      </c>
      <c r="B2045" s="3" t="str">
        <f aca="false">IF(ISNUMBER(SEARCH("%", A2045)),RIGHT(A2045,3),A2045)</f>
        <v>16, 19, BELLSPROUT</v>
      </c>
      <c r="C2045" s="1" t="str">
        <f aca="false" t="array" ref="C2045:C2045">IF(B2044="NEW ROUTE",textsplit(B2045,","),"")</f>
        <v/>
      </c>
      <c r="H2045" s="1" t="str">
        <f aca="false">IF(C2045&lt;&gt;"",DEC2HEX(C2045,2),"")</f>
        <v/>
      </c>
      <c r="I2045" s="1" t="str">
        <f aca="false">IF(D2045&lt;&gt;"",DEC2HEX(D2045,2),"")</f>
        <v/>
      </c>
      <c r="J2045" s="1" t="str">
        <f aca="false">IF(H2045&lt;&gt;"","0x"&amp;I2045&amp;H2045,"")</f>
        <v/>
      </c>
      <c r="L2045" s="1" t="s">
        <v>3363</v>
      </c>
      <c r="M2045" s="1" t="str">
        <f aca="false">IF(J2045&lt;&gt;"",J2045,L2045)</f>
        <v>16, 19, BELLSPROUT</v>
      </c>
    </row>
    <row r="2046" customFormat="false" ht="12.75" hidden="false" customHeight="true" outlineLevel="0" collapsed="false">
      <c r="A2046" s="3" t="s">
        <v>3364</v>
      </c>
      <c r="B2046" s="3" t="str">
        <f aca="false">IF(ISNUMBER(SEARCH("%", A2046)),RIGHT(A2046,3),A2046)</f>
        <v>16, 19, EKANS</v>
      </c>
      <c r="C2046" s="1" t="str">
        <f aca="false" t="array" ref="C2046:C2046">IF(B2045="NEW ROUTE",textsplit(B2046,","),"")</f>
        <v/>
      </c>
      <c r="H2046" s="1" t="str">
        <f aca="false">IF(C2046&lt;&gt;"",DEC2HEX(C2046,2),"")</f>
        <v/>
      </c>
      <c r="I2046" s="1" t="str">
        <f aca="false">IF(D2046&lt;&gt;"",DEC2HEX(D2046,2),"")</f>
        <v/>
      </c>
      <c r="J2046" s="1" t="str">
        <f aca="false">IF(H2046&lt;&gt;"","0x"&amp;I2046&amp;H2046,"")</f>
        <v/>
      </c>
      <c r="L2046" s="1" t="s">
        <v>3364</v>
      </c>
      <c r="M2046" s="1" t="str">
        <f aca="false">IF(J2046&lt;&gt;"",J2046,L2046)</f>
        <v>16, 19, EKANS</v>
      </c>
    </row>
    <row r="2047" customFormat="false" ht="12.75" hidden="false" customHeight="true" outlineLevel="0" collapsed="false">
      <c r="A2047" s="3" t="s">
        <v>3365</v>
      </c>
      <c r="B2047" s="3" t="str">
        <f aca="false">IF(ISNUMBER(SEARCH("%", A2047)),RIGHT(A2047,3),A2047)</f>
        <v>16, 19, PARAS</v>
      </c>
      <c r="C2047" s="1" t="str">
        <f aca="false" t="array" ref="C2047:C2047">IF(B2046="NEW ROUTE",textsplit(B2047,","),"")</f>
        <v/>
      </c>
      <c r="H2047" s="1" t="str">
        <f aca="false">IF(C2047&lt;&gt;"",DEC2HEX(C2047,2),"")</f>
        <v/>
      </c>
      <c r="I2047" s="1" t="str">
        <f aca="false">IF(D2047&lt;&gt;"",DEC2HEX(D2047,2),"")</f>
        <v/>
      </c>
      <c r="J2047" s="1" t="str">
        <f aca="false">IF(H2047&lt;&gt;"","0x"&amp;I2047&amp;H2047,"")</f>
        <v/>
      </c>
      <c r="L2047" s="1" t="s">
        <v>3365</v>
      </c>
      <c r="M2047" s="1" t="str">
        <f aca="false">IF(J2047&lt;&gt;"",J2047,L2047)</f>
        <v>16, 19, PARAS</v>
      </c>
    </row>
    <row r="2048" customFormat="false" ht="12.75" hidden="false" customHeight="true" outlineLevel="0" collapsed="false">
      <c r="A2048" s="3" t="s">
        <v>2806</v>
      </c>
      <c r="B2048" s="3" t="str">
        <f aca="false">IF(ISNUMBER(SEARCH("%", A2048)),RIGHT(A2048,3),A2048)</f>
        <v>0.05</v>
      </c>
      <c r="C2048" s="1" t="str">
        <f aca="false" t="array" ref="C2048:C2048">IF(B2047="NEW ROUTE",textsplit(B2048,","),"")</f>
        <v/>
      </c>
      <c r="H2048" s="1" t="str">
        <f aca="false">IF(C2048&lt;&gt;"",DEC2HEX(C2048,2),"")</f>
        <v/>
      </c>
      <c r="I2048" s="1" t="str">
        <f aca="false">IF(D2048&lt;&gt;"",DEC2HEX(D2048,2),"")</f>
        <v/>
      </c>
      <c r="J2048" s="1" t="str">
        <f aca="false">IF(H2048&lt;&gt;"","0x"&amp;I2048&amp;H2048,"")</f>
        <v/>
      </c>
      <c r="L2048" s="1" t="s">
        <v>2806</v>
      </c>
      <c r="M2048" s="1" t="str">
        <f aca="false">IF(J2048&lt;&gt;"",J2048,L2048)</f>
        <v>0.05</v>
      </c>
    </row>
    <row r="2049" customFormat="false" ht="12.75" hidden="false" customHeight="true" outlineLevel="0" collapsed="false">
      <c r="A2049" s="3" t="s">
        <v>3366</v>
      </c>
      <c r="B2049" s="3" t="str">
        <f aca="false">IF(ISNUMBER(SEARCH("%", A2049)),RIGHT(A2049,3),A2049)</f>
        <v>17, 17, VULPIX</v>
      </c>
      <c r="C2049" s="1" t="str">
        <f aca="false" t="array" ref="C2049:C2049">IF(B2048="NEW ROUTE",textsplit(B2049,","),"")</f>
        <v/>
      </c>
      <c r="H2049" s="1" t="str">
        <f aca="false">IF(C2049&lt;&gt;"",DEC2HEX(C2049,2),"")</f>
        <v/>
      </c>
      <c r="I2049" s="1" t="str">
        <f aca="false">IF(D2049&lt;&gt;"",DEC2HEX(D2049,2),"")</f>
        <v/>
      </c>
      <c r="J2049" s="1" t="str">
        <f aca="false">IF(H2049&lt;&gt;"","0x"&amp;I2049&amp;H2049,"")</f>
        <v/>
      </c>
      <c r="L2049" s="1" t="s">
        <v>3366</v>
      </c>
      <c r="M2049" s="1" t="str">
        <f aca="false">IF(J2049&lt;&gt;"",J2049,L2049)</f>
        <v>17, 17, VULPIX</v>
      </c>
    </row>
    <row r="2050" customFormat="false" ht="12.75" hidden="false" customHeight="true" outlineLevel="0" collapsed="false">
      <c r="A2050" s="3" t="s">
        <v>3367</v>
      </c>
      <c r="B2050" s="3" t="str">
        <f aca="false">IF(ISNUMBER(SEARCH("%", A2050)),RIGHT(A2050,3),A2050)</f>
        <v>17, 17, GROWLITHE</v>
      </c>
      <c r="C2050" s="1" t="str">
        <f aca="false" t="array" ref="C2050:C2050">IF(B2049="NEW ROUTE",textsplit(B2050,","),"")</f>
        <v/>
      </c>
      <c r="H2050" s="1" t="str">
        <f aca="false">IF(C2050&lt;&gt;"",DEC2HEX(C2050,2),"")</f>
        <v/>
      </c>
      <c r="I2050" s="1" t="str">
        <f aca="false">IF(D2050&lt;&gt;"",DEC2HEX(D2050,2),"")</f>
        <v/>
      </c>
      <c r="J2050" s="1" t="str">
        <f aca="false">IF(H2050&lt;&gt;"","0x"&amp;I2050&amp;H2050,"")</f>
        <v/>
      </c>
      <c r="L2050" s="1" t="s">
        <v>3367</v>
      </c>
      <c r="M2050" s="1" t="str">
        <f aca="false">IF(J2050&lt;&gt;"",J2050,L2050)</f>
        <v>17, 17, GROWLITHE</v>
      </c>
    </row>
    <row r="2051" customFormat="false" ht="12.75" hidden="false" customHeight="true" outlineLevel="0" collapsed="false">
      <c r="A2051" s="3" t="s">
        <v>2809</v>
      </c>
      <c r="B2051" s="3" t="str">
        <f aca="false">IF(ISNUMBER(SEARCH("%", A2051)),RIGHT(A2051,3),A2051)</f>
        <v>0.04</v>
      </c>
      <c r="C2051" s="1" t="str">
        <f aca="false" t="array" ref="C2051:C2051">IF(B2050="NEW ROUTE",textsplit(B2051,","),"")</f>
        <v/>
      </c>
      <c r="H2051" s="1" t="str">
        <f aca="false">IF(C2051&lt;&gt;"",DEC2HEX(C2051,2),"")</f>
        <v/>
      </c>
      <c r="I2051" s="1" t="str">
        <f aca="false">IF(D2051&lt;&gt;"",DEC2HEX(D2051,2),"")</f>
        <v/>
      </c>
      <c r="J2051" s="1" t="str">
        <f aca="false">IF(H2051&lt;&gt;"","0x"&amp;I2051&amp;H2051,"")</f>
        <v/>
      </c>
      <c r="L2051" s="1" t="s">
        <v>2809</v>
      </c>
      <c r="M2051" s="1" t="str">
        <f aca="false">IF(J2051&lt;&gt;"",J2051,L2051)</f>
        <v>0.04</v>
      </c>
    </row>
    <row r="2052" customFormat="false" ht="12.75" hidden="false" customHeight="true" outlineLevel="0" collapsed="false">
      <c r="A2052" s="3" t="s">
        <v>3368</v>
      </c>
      <c r="B2052" s="3" t="str">
        <f aca="false">IF(ISNUMBER(SEARCH("%", A2052)),RIGHT(A2052,3),A2052)</f>
        <v>16, 18, PIKACHU</v>
      </c>
      <c r="C2052" s="1" t="str">
        <f aca="false" t="array" ref="C2052:C2052">IF(B2051="NEW ROUTE",textsplit(B2052,","),"")</f>
        <v/>
      </c>
      <c r="H2052" s="1" t="str">
        <f aca="false">IF(C2052&lt;&gt;"",DEC2HEX(C2052,2),"")</f>
        <v/>
      </c>
      <c r="I2052" s="1" t="str">
        <f aca="false">IF(D2052&lt;&gt;"",DEC2HEX(D2052,2),"")</f>
        <v/>
      </c>
      <c r="J2052" s="1" t="str">
        <f aca="false">IF(H2052&lt;&gt;"","0x"&amp;I2052&amp;H2052,"")</f>
        <v/>
      </c>
      <c r="L2052" s="1" t="s">
        <v>3368</v>
      </c>
      <c r="M2052" s="1" t="str">
        <f aca="false">IF(J2052&lt;&gt;"",J2052,L2052)</f>
        <v>16, 18, PIKACHU</v>
      </c>
    </row>
    <row r="2053" customFormat="false" ht="12.75" hidden="false" customHeight="true" outlineLevel="0" collapsed="false">
      <c r="A2053" s="3" t="s">
        <v>3369</v>
      </c>
      <c r="B2053" s="3" t="str">
        <f aca="false">IF(ISNUMBER(SEARCH("%", A2053)),RIGHT(A2053,3),A2053)</f>
        <v>16, 18, EEVEE</v>
      </c>
      <c r="C2053" s="1" t="str">
        <f aca="false" t="array" ref="C2053:C2053">IF(B2052="NEW ROUTE",textsplit(B2053,","),"")</f>
        <v/>
      </c>
      <c r="H2053" s="1" t="str">
        <f aca="false">IF(C2053&lt;&gt;"",DEC2HEX(C2053,2),"")</f>
        <v/>
      </c>
      <c r="I2053" s="1" t="str">
        <f aca="false">IF(D2053&lt;&gt;"",DEC2HEX(D2053,2),"")</f>
        <v/>
      </c>
      <c r="J2053" s="1" t="str">
        <f aca="false">IF(H2053&lt;&gt;"","0x"&amp;I2053&amp;H2053,"")</f>
        <v/>
      </c>
      <c r="L2053" s="1" t="s">
        <v>3369</v>
      </c>
      <c r="M2053" s="1" t="str">
        <f aca="false">IF(J2053&lt;&gt;"",J2053,L2053)</f>
        <v>16, 18, EEVEE</v>
      </c>
    </row>
    <row r="2054" customFormat="false" ht="12.75" hidden="false" customHeight="true" outlineLevel="0" collapsed="false">
      <c r="A2054" s="3" t="s">
        <v>2812</v>
      </c>
      <c r="B2054" s="3" t="str">
        <f aca="false">IF(ISNUMBER(SEARCH("%", A2054)),RIGHT(A2054,3),A2054)</f>
        <v>0.01</v>
      </c>
      <c r="C2054" s="1" t="str">
        <f aca="false" t="array" ref="C2054:C2054">IF(B2053="NEW ROUTE",textsplit(B2054,","),"")</f>
        <v/>
      </c>
      <c r="H2054" s="1" t="str">
        <f aca="false">IF(C2054&lt;&gt;"",DEC2HEX(C2054,2),"")</f>
        <v/>
      </c>
      <c r="I2054" s="1" t="str">
        <f aca="false">IF(D2054&lt;&gt;"",DEC2HEX(D2054,2),"")</f>
        <v/>
      </c>
      <c r="J2054" s="1" t="str">
        <f aca="false">IF(H2054&lt;&gt;"","0x"&amp;I2054&amp;H2054,"")</f>
        <v/>
      </c>
      <c r="L2054" s="1" t="s">
        <v>2812</v>
      </c>
      <c r="M2054" s="1" t="str">
        <f aca="false">IF(J2054&lt;&gt;"",J2054,L2054)</f>
        <v>0.01</v>
      </c>
    </row>
    <row r="2055" customFormat="false" ht="12.75" hidden="false" customHeight="true" outlineLevel="0" collapsed="false">
      <c r="A2055" s="3" t="s">
        <v>3370</v>
      </c>
      <c r="B2055" s="3" t="str">
        <f aca="false">IF(ISNUMBER(SEARCH("%", A2055)),RIGHT(A2055,3),A2055)</f>
        <v>20, 20, FEAROW</v>
      </c>
      <c r="C2055" s="1" t="str">
        <f aca="false" t="array" ref="C2055:C2055">IF(B2054="NEW ROUTE",textsplit(B2055,","),"")</f>
        <v/>
      </c>
      <c r="H2055" s="1" t="str">
        <f aca="false">IF(C2055&lt;&gt;"",DEC2HEX(C2055,2),"")</f>
        <v/>
      </c>
      <c r="I2055" s="1" t="str">
        <f aca="false">IF(D2055&lt;&gt;"",DEC2HEX(D2055,2),"")</f>
        <v/>
      </c>
      <c r="J2055" s="1" t="str">
        <f aca="false">IF(H2055&lt;&gt;"","0x"&amp;I2055&amp;H2055,"")</f>
        <v/>
      </c>
      <c r="L2055" s="1" t="s">
        <v>3370</v>
      </c>
      <c r="M2055" s="1" t="str">
        <f aca="false">IF(J2055&lt;&gt;"",J2055,L2055)</f>
        <v>20, 20, FEAROW</v>
      </c>
    </row>
    <row r="2056" customFormat="false" ht="12.75" hidden="false" customHeight="true" outlineLevel="0" collapsed="false">
      <c r="A2056" s="3" t="s">
        <v>3373</v>
      </c>
      <c r="B2056" s="3" t="str">
        <f aca="false">IF(ISNUMBER(SEARCH("%", A2056)),RIGHT(A2056,3),A2056)</f>
        <v>20, 20, WEEPINBELL</v>
      </c>
      <c r="C2056" s="1" t="str">
        <f aca="false" t="array" ref="C2056:C2056">IF(B2055="NEW ROUTE",textsplit(B2056,","),"")</f>
        <v/>
      </c>
      <c r="H2056" s="1" t="str">
        <f aca="false">IF(C2056&lt;&gt;"",DEC2HEX(C2056,2),"")</f>
        <v/>
      </c>
      <c r="I2056" s="1" t="str">
        <f aca="false">IF(D2056&lt;&gt;"",DEC2HEX(D2056,2),"")</f>
        <v/>
      </c>
      <c r="J2056" s="1" t="str">
        <f aca="false">IF(H2056&lt;&gt;"","0x"&amp;I2056&amp;H2056,"")</f>
        <v/>
      </c>
      <c r="L2056" s="1" t="s">
        <v>3373</v>
      </c>
      <c r="M2056" s="1" t="str">
        <f aca="false">IF(J2056&lt;&gt;"",J2056,L2056)</f>
        <v>20, 20, WEEPINBELL</v>
      </c>
    </row>
    <row r="2057" customFormat="false" ht="12.75" hidden="false" customHeight="true" outlineLevel="0" collapsed="false">
      <c r="A2057" s="3" t="s">
        <v>3349</v>
      </c>
      <c r="B2057" s="3" t="str">
        <f aca="false">IF(ISNUMBER(SEARCH("%", A2057)),RIGHT(A2057,3),A2057)</f>
        <v>2, 38, 42, TENTACOOL</v>
      </c>
      <c r="C2057" s="1" t="str">
        <f aca="false" t="array" ref="C2057:C2057">IF(B2056="NEW ROUTE",textsplit(B2057,","),"")</f>
        <v/>
      </c>
      <c r="H2057" s="1" t="str">
        <f aca="false">IF(C2057&lt;&gt;"",DEC2HEX(C2057,2),"")</f>
        <v/>
      </c>
      <c r="I2057" s="1" t="str">
        <f aca="false">IF(D2057&lt;&gt;"",DEC2HEX(D2057,2),"")</f>
        <v/>
      </c>
      <c r="J2057" s="1" t="str">
        <f aca="false">IF(H2057&lt;&gt;"","0x"&amp;I2057&amp;H2057,"")</f>
        <v/>
      </c>
      <c r="L2057" s="1" t="s">
        <v>3349</v>
      </c>
      <c r="M2057" s="1" t="str">
        <f aca="false">IF(J2057&lt;&gt;"",J2057,L2057)</f>
        <v>2, 38, 42, TENTACOOL</v>
      </c>
    </row>
    <row r="2058" customFormat="false" ht="12.75" hidden="false" customHeight="true" outlineLevel="0" collapsed="false">
      <c r="A2058" s="3" t="s">
        <v>3374</v>
      </c>
      <c r="B2058" s="3" t="str">
        <f aca="false">IF(ISNUMBER(SEARCH("%", A2058)),RIGHT(A2058,3),A2058)</f>
        <v>40, 44, SLOWPOKE</v>
      </c>
      <c r="C2058" s="1" t="str">
        <f aca="false" t="array" ref="C2058:C2058">IF(B2057="NEW ROUTE",textsplit(B2058,","),"")</f>
        <v/>
      </c>
      <c r="H2058" s="1" t="str">
        <f aca="false">IF(C2058&lt;&gt;"",DEC2HEX(C2058,2),"")</f>
        <v/>
      </c>
      <c r="I2058" s="1" t="str">
        <f aca="false">IF(D2058&lt;&gt;"",DEC2HEX(D2058,2),"")</f>
        <v/>
      </c>
      <c r="J2058" s="1" t="str">
        <f aca="false">IF(H2058&lt;&gt;"","0x"&amp;I2058&amp;H2058,"")</f>
        <v/>
      </c>
      <c r="L2058" s="1" t="s">
        <v>3374</v>
      </c>
      <c r="M2058" s="1" t="str">
        <f aca="false">IF(J2058&lt;&gt;"",J2058,L2058)</f>
        <v>40, 44, SLOWPOKE</v>
      </c>
    </row>
    <row r="2059" customFormat="false" ht="12.75" hidden="false" customHeight="true" outlineLevel="0" collapsed="false">
      <c r="A2059" s="3" t="s">
        <v>3351</v>
      </c>
      <c r="B2059" s="3" t="str">
        <f aca="false">IF(ISNUMBER(SEARCH("%", A2059)),RIGHT(A2059,3),A2059)</f>
        <v>42, 46, TENTACRUEL</v>
      </c>
      <c r="C2059" s="1" t="str">
        <f aca="false" t="array" ref="C2059:C2059">IF(B2058="NEW ROUTE",textsplit(B2059,","),"")</f>
        <v/>
      </c>
      <c r="H2059" s="1" t="str">
        <f aca="false">IF(C2059&lt;&gt;"",DEC2HEX(C2059,2),"")</f>
        <v/>
      </c>
      <c r="I2059" s="1" t="str">
        <f aca="false">IF(D2059&lt;&gt;"",DEC2HEX(D2059,2),"")</f>
        <v/>
      </c>
      <c r="J2059" s="1" t="str">
        <f aca="false">IF(H2059&lt;&gt;"","0x"&amp;I2059&amp;H2059,"")</f>
        <v/>
      </c>
      <c r="L2059" s="1" t="s">
        <v>3351</v>
      </c>
      <c r="M2059" s="1" t="str">
        <f aca="false">IF(J2059&lt;&gt;"",J2059,L2059)</f>
        <v>42, 46, TENTACRUEL</v>
      </c>
    </row>
    <row r="2060" customFormat="false" ht="12.75" hidden="false" customHeight="true" outlineLevel="0" collapsed="false">
      <c r="A2060" s="3" t="s">
        <v>2923</v>
      </c>
      <c r="B2060" s="3" t="str">
        <f aca="false">IF(ISNUMBER(SEARCH("%", A2060)),RIGHT(A2060,3),A2060)</f>
        <v>42, 46, GOLDUCK</v>
      </c>
      <c r="C2060" s="1" t="str">
        <f aca="false" t="array" ref="C2060:C2060">IF(B2059="NEW ROUTE",textsplit(B2060,","),"")</f>
        <v/>
      </c>
      <c r="H2060" s="1" t="str">
        <f aca="false">IF(C2060&lt;&gt;"",DEC2HEX(C2060,2),"")</f>
        <v/>
      </c>
      <c r="I2060" s="1" t="str">
        <f aca="false">IF(D2060&lt;&gt;"",DEC2HEX(D2060,2),"")</f>
        <v/>
      </c>
      <c r="J2060" s="1" t="str">
        <f aca="false">IF(H2060&lt;&gt;"","0x"&amp;I2060&amp;H2060,"")</f>
        <v/>
      </c>
      <c r="L2060" s="1" t="s">
        <v>2923</v>
      </c>
      <c r="M2060" s="1" t="str">
        <f aca="false">IF(J2060&lt;&gt;"",J2060,L2060)</f>
        <v>42, 46, GOLDUCK</v>
      </c>
    </row>
    <row r="2061" customFormat="false" ht="12.75" hidden="false" customHeight="true" outlineLevel="0" collapsed="false">
      <c r="A2061" s="3" t="s">
        <v>3375</v>
      </c>
      <c r="B2061" s="3" t="str">
        <f aca="false">IF(ISNUMBER(SEARCH("%", A2061)),RIGHT(A2061,3),A2061)</f>
        <v>44, 48, SLOWBRO</v>
      </c>
      <c r="C2061" s="1" t="str">
        <f aca="false" t="array" ref="C2061:C2061">IF(B2060="NEW ROUTE",textsplit(B2061,","),"")</f>
        <v/>
      </c>
      <c r="H2061" s="1" t="str">
        <f aca="false">IF(C2061&lt;&gt;"",DEC2HEX(C2061,2),"")</f>
        <v/>
      </c>
      <c r="I2061" s="1" t="str">
        <f aca="false">IF(D2061&lt;&gt;"",DEC2HEX(D2061,2),"")</f>
        <v/>
      </c>
      <c r="J2061" s="1" t="str">
        <f aca="false">IF(H2061&lt;&gt;"","0x"&amp;I2061&amp;H2061,"")</f>
        <v/>
      </c>
      <c r="L2061" s="1" t="s">
        <v>3375</v>
      </c>
      <c r="M2061" s="1" t="str">
        <f aca="false">IF(J2061&lt;&gt;"",J2061,L2061)</f>
        <v>44, 48, SLOWBRO</v>
      </c>
    </row>
    <row r="2062" customFormat="false" ht="12.75" hidden="false" customHeight="true" outlineLevel="0" collapsed="false">
      <c r="A2062" s="3" t="s">
        <v>2925</v>
      </c>
      <c r="B2062" s="3" t="str">
        <f aca="false">IF(ISNUMBER(SEARCH("%", A2062)),RIGHT(A2062,3),A2062)</f>
        <v>20, old rod:</v>
      </c>
      <c r="C2062" s="1" t="str">
        <f aca="false" t="array" ref="C2062:C2062">IF(B2061="NEW ROUTE",textsplit(B2062,","),"")</f>
        <v/>
      </c>
      <c r="H2062" s="1" t="str">
        <f aca="false">IF(C2062&lt;&gt;"",DEC2HEX(C2062,2),"")</f>
        <v/>
      </c>
      <c r="I2062" s="1" t="str">
        <f aca="false">IF(D2062&lt;&gt;"",DEC2HEX(D2062,2),"")</f>
        <v/>
      </c>
      <c r="J2062" s="1" t="str">
        <f aca="false">IF(H2062&lt;&gt;"","0x"&amp;I2062&amp;H2062,"")</f>
        <v/>
      </c>
      <c r="L2062" s="1" t="s">
        <v>2925</v>
      </c>
      <c r="M2062" s="1" t="str">
        <f aca="false">IF(J2062&lt;&gt;"",J2062,L2062)</f>
        <v>20, old rod:</v>
      </c>
    </row>
    <row r="2063" customFormat="false" ht="12.75" hidden="false" customHeight="true" outlineLevel="0" collapsed="false">
      <c r="A2063" s="3" t="s">
        <v>1349</v>
      </c>
      <c r="B2063" s="3" t="str">
        <f aca="false">IF(ISNUMBER(SEARCH("%", A2063)),RIGHT(A2063,3),A2063)</f>
        <v>19, 26, MAGIKARP</v>
      </c>
      <c r="C2063" s="1" t="str">
        <f aca="false" t="array" ref="C2063:C2063">IF(B2062="NEW ROUTE",textsplit(B2063,","),"")</f>
        <v/>
      </c>
      <c r="H2063" s="1" t="str">
        <f aca="false">IF(C2063&lt;&gt;"",DEC2HEX(C2063,2),"")</f>
        <v/>
      </c>
      <c r="I2063" s="1" t="str">
        <f aca="false">IF(D2063&lt;&gt;"",DEC2HEX(D2063,2),"")</f>
        <v/>
      </c>
      <c r="J2063" s="1" t="str">
        <f aca="false">IF(H2063&lt;&gt;"","0x"&amp;I2063&amp;H2063,"")</f>
        <v/>
      </c>
      <c r="L2063" s="1" t="s">
        <v>1349</v>
      </c>
      <c r="M2063" s="1" t="str">
        <f aca="false">IF(J2063&lt;&gt;"",J2063,L2063)</f>
        <v>19, 26, MAGIKARP</v>
      </c>
    </row>
    <row r="2064" customFormat="false" ht="12.75" hidden="false" customHeight="true" outlineLevel="0" collapsed="false">
      <c r="A2064" s="3" t="s">
        <v>3352</v>
      </c>
      <c r="B2064" s="3" t="str">
        <f aca="false">IF(ISNUMBER(SEARCH("%", A2064)),RIGHT(A2064,3),A2064)</f>
        <v>19, 26, GYARADOS</v>
      </c>
      <c r="C2064" s="1" t="str">
        <f aca="false" t="array" ref="C2064:C2064">IF(B2063="NEW ROUTE",textsplit(B2064,","),"")</f>
        <v/>
      </c>
      <c r="H2064" s="1" t="str">
        <f aca="false">IF(C2064&lt;&gt;"",DEC2HEX(C2064,2),"")</f>
        <v/>
      </c>
      <c r="I2064" s="1" t="str">
        <f aca="false">IF(D2064&lt;&gt;"",DEC2HEX(D2064,2),"")</f>
        <v/>
      </c>
      <c r="J2064" s="1" t="str">
        <f aca="false">IF(H2064&lt;&gt;"","0x"&amp;I2064&amp;H2064,"")</f>
        <v/>
      </c>
      <c r="L2064" s="1" t="s">
        <v>3352</v>
      </c>
      <c r="M2064" s="1" t="str">
        <f aca="false">IF(J2064&lt;&gt;"",J2064,L2064)</f>
        <v>19, 26, GYARADOS</v>
      </c>
    </row>
    <row r="2065" customFormat="false" ht="12.75" hidden="false" customHeight="true" outlineLevel="0" collapsed="false">
      <c r="A2065" s="3" t="s">
        <v>2846</v>
      </c>
      <c r="B2065" s="3" t="str">
        <f aca="false">IF(ISNUMBER(SEARCH("%", A2065)),RIGHT(A2065,3),A2065)</f>
        <v>good rod:</v>
      </c>
      <c r="C2065" s="1" t="str">
        <f aca="false" t="array" ref="C2065:C2065">IF(B2064="NEW ROUTE",textsplit(B2065,","),"")</f>
        <v/>
      </c>
      <c r="H2065" s="1" t="str">
        <f aca="false">IF(C2065&lt;&gt;"",DEC2HEX(C2065,2),"")</f>
        <v/>
      </c>
      <c r="I2065" s="1" t="str">
        <f aca="false">IF(D2065&lt;&gt;"",DEC2HEX(D2065,2),"")</f>
        <v/>
      </c>
      <c r="J2065" s="1" t="str">
        <f aca="false">IF(H2065&lt;&gt;"","0x"&amp;I2065&amp;H2065,"")</f>
        <v/>
      </c>
      <c r="L2065" s="1" t="s">
        <v>2846</v>
      </c>
      <c r="M2065" s="1" t="str">
        <f aca="false">IF(J2065&lt;&gt;"",J2065,L2065)</f>
        <v>good rod:</v>
      </c>
    </row>
    <row r="2066" customFormat="false" ht="12.75" hidden="false" customHeight="true" outlineLevel="0" collapsed="false">
      <c r="A2066" s="3" t="s">
        <v>3376</v>
      </c>
      <c r="B2066" s="3" t="str">
        <f aca="false">IF(ISNUMBER(SEARCH("%", A2066)),RIGHT(A2066,3),A2066)</f>
        <v>29, 33, POLIWAG</v>
      </c>
      <c r="C2066" s="1" t="str">
        <f aca="false" t="array" ref="C2066:C2066">IF(B2065="NEW ROUTE",textsplit(B2066,","),"")</f>
        <v/>
      </c>
      <c r="H2066" s="1" t="str">
        <f aca="false">IF(C2066&lt;&gt;"",DEC2HEX(C2066,2),"")</f>
        <v/>
      </c>
      <c r="I2066" s="1" t="str">
        <f aca="false">IF(D2066&lt;&gt;"",DEC2HEX(D2066,2),"")</f>
        <v/>
      </c>
      <c r="J2066" s="1" t="str">
        <f aca="false">IF(H2066&lt;&gt;"","0x"&amp;I2066&amp;H2066,"")</f>
        <v/>
      </c>
      <c r="L2066" s="1" t="s">
        <v>3376</v>
      </c>
      <c r="M2066" s="1" t="str">
        <f aca="false">IF(J2066&lt;&gt;"",J2066,L2066)</f>
        <v>29, 33, POLIWAG</v>
      </c>
    </row>
    <row r="2067" customFormat="false" ht="12.75" hidden="false" customHeight="true" outlineLevel="0" collapsed="false">
      <c r="A2067" s="3" t="s">
        <v>2929</v>
      </c>
      <c r="B2067" s="3" t="str">
        <f aca="false">IF(ISNUMBER(SEARCH("%", A2067)),RIGHT(A2067,3),A2067)</f>
        <v>30, 35, GOLDEEN</v>
      </c>
      <c r="C2067" s="1" t="str">
        <f aca="false" t="array" ref="C2067:C2067">IF(B2066="NEW ROUTE",textsplit(B2067,","),"")</f>
        <v/>
      </c>
      <c r="H2067" s="1" t="str">
        <f aca="false">IF(C2067&lt;&gt;"",DEC2HEX(C2067,2),"")</f>
        <v/>
      </c>
      <c r="I2067" s="1" t="str">
        <f aca="false">IF(D2067&lt;&gt;"",DEC2HEX(D2067,2),"")</f>
        <v/>
      </c>
      <c r="J2067" s="1" t="str">
        <f aca="false">IF(H2067&lt;&gt;"","0x"&amp;I2067&amp;H2067,"")</f>
        <v/>
      </c>
      <c r="L2067" s="1" t="s">
        <v>2929</v>
      </c>
      <c r="M2067" s="1" t="str">
        <f aca="false">IF(J2067&lt;&gt;"",J2067,L2067)</f>
        <v>30, 35, GOLDEEN</v>
      </c>
    </row>
    <row r="2068" customFormat="false" ht="12.75" hidden="false" customHeight="true" outlineLevel="0" collapsed="false">
      <c r="A2068" s="3" t="s">
        <v>3354</v>
      </c>
      <c r="B2068" s="3" t="str">
        <f aca="false">IF(ISNUMBER(SEARCH("%", A2068)),RIGHT(A2068,3),A2068)</f>
        <v>30, 35, PSYDUCK</v>
      </c>
      <c r="C2068" s="1" t="str">
        <f aca="false" t="array" ref="C2068:C2068">IF(B2067="NEW ROUTE",textsplit(B2068,","),"")</f>
        <v/>
      </c>
      <c r="H2068" s="1" t="str">
        <f aca="false">IF(C2068&lt;&gt;"",DEC2HEX(C2068,2),"")</f>
        <v/>
      </c>
      <c r="I2068" s="1" t="str">
        <f aca="false">IF(D2068&lt;&gt;"",DEC2HEX(D2068,2),"")</f>
        <v/>
      </c>
      <c r="J2068" s="1" t="str">
        <f aca="false">IF(H2068&lt;&gt;"","0x"&amp;I2068&amp;H2068,"")</f>
        <v/>
      </c>
      <c r="L2068" s="1" t="s">
        <v>3354</v>
      </c>
      <c r="M2068" s="1" t="str">
        <f aca="false">IF(J2068&lt;&gt;"",J2068,L2068)</f>
        <v>30, 35, PSYDUCK</v>
      </c>
    </row>
    <row r="2069" customFormat="false" ht="12.75" hidden="false" customHeight="true" outlineLevel="0" collapsed="false">
      <c r="A2069" s="3" t="s">
        <v>2850</v>
      </c>
      <c r="B2069" s="3" t="str">
        <f aca="false">IF(ISNUMBER(SEARCH("%", A2069)),RIGHT(A2069,3),A2069)</f>
        <v>super rod:</v>
      </c>
      <c r="C2069" s="1" t="str">
        <f aca="false" t="array" ref="C2069:C2069">IF(B2068="NEW ROUTE",textsplit(B2069,","),"")</f>
        <v/>
      </c>
      <c r="H2069" s="1" t="str">
        <f aca="false">IF(C2069&lt;&gt;"",DEC2HEX(C2069,2),"")</f>
        <v/>
      </c>
      <c r="I2069" s="1" t="str">
        <f aca="false">IF(D2069&lt;&gt;"",DEC2HEX(D2069,2),"")</f>
        <v/>
      </c>
      <c r="J2069" s="1" t="str">
        <f aca="false">IF(H2069&lt;&gt;"","0x"&amp;I2069&amp;H2069,"")</f>
        <v/>
      </c>
      <c r="L2069" s="1" t="s">
        <v>2850</v>
      </c>
      <c r="M2069" s="1" t="str">
        <f aca="false">IF(J2069&lt;&gt;"",J2069,L2069)</f>
        <v>super rod:</v>
      </c>
    </row>
    <row r="2070" customFormat="false" ht="12.75" hidden="false" customHeight="true" outlineLevel="0" collapsed="false">
      <c r="A2070" s="3" t="s">
        <v>2930</v>
      </c>
      <c r="B2070" s="3" t="str">
        <f aca="false">IF(ISNUMBER(SEARCH("%", A2070)),RIGHT(A2070,3),A2070)</f>
        <v>36, 40, POLIWHIRL</v>
      </c>
      <c r="C2070" s="1" t="str">
        <f aca="false" t="array" ref="C2070:C2070">IF(B2069="NEW ROUTE",textsplit(B2070,","),"")</f>
        <v/>
      </c>
      <c r="H2070" s="1" t="str">
        <f aca="false">IF(C2070&lt;&gt;"",DEC2HEX(C2070,2),"")</f>
        <v/>
      </c>
      <c r="I2070" s="1" t="str">
        <f aca="false">IF(D2070&lt;&gt;"",DEC2HEX(D2070,2),"")</f>
        <v/>
      </c>
      <c r="J2070" s="1" t="str">
        <f aca="false">IF(H2070&lt;&gt;"","0x"&amp;I2070&amp;H2070,"")</f>
        <v/>
      </c>
      <c r="L2070" s="1" t="s">
        <v>2930</v>
      </c>
      <c r="M2070" s="1" t="str">
        <f aca="false">IF(J2070&lt;&gt;"",J2070,L2070)</f>
        <v>36, 40, POLIWHIRL</v>
      </c>
    </row>
    <row r="2071" customFormat="false" ht="12.75" hidden="false" customHeight="true" outlineLevel="0" collapsed="false">
      <c r="A2071" s="3" t="s">
        <v>2931</v>
      </c>
      <c r="B2071" s="3" t="str">
        <f aca="false">IF(ISNUMBER(SEARCH("%", A2071)),RIGHT(A2071,3),A2071)</f>
        <v>36, 40, SEAKING</v>
      </c>
      <c r="C2071" s="1" t="str">
        <f aca="false" t="array" ref="C2071:C2071">IF(B2070="NEW ROUTE",textsplit(B2071,","),"")</f>
        <v/>
      </c>
      <c r="H2071" s="1" t="str">
        <f aca="false">IF(C2071&lt;&gt;"",DEC2HEX(C2071,2),"")</f>
        <v/>
      </c>
      <c r="I2071" s="1" t="str">
        <f aca="false">IF(D2071&lt;&gt;"",DEC2HEX(D2071,2),"")</f>
        <v/>
      </c>
      <c r="J2071" s="1" t="str">
        <f aca="false">IF(H2071&lt;&gt;"","0x"&amp;I2071&amp;H2071,"")</f>
        <v/>
      </c>
      <c r="L2071" s="1" t="s">
        <v>2931</v>
      </c>
      <c r="M2071" s="1" t="str">
        <f aca="false">IF(J2071&lt;&gt;"",J2071,L2071)</f>
        <v>36, 40, SEAKING</v>
      </c>
    </row>
    <row r="2072" customFormat="false" ht="12.75" hidden="false" customHeight="true" outlineLevel="0" collapsed="false">
      <c r="A2072" s="3" t="s">
        <v>3377</v>
      </c>
      <c r="B2072" s="3" t="str">
        <f aca="false">IF(ISNUMBER(SEARCH("%", A2072)),RIGHT(A2072,3),A2072)</f>
        <v>38, 42, GYARADOS</v>
      </c>
      <c r="C2072" s="1" t="str">
        <f aca="false" t="array" ref="C2072:C2072">IF(B2071="NEW ROUTE",textsplit(B2072,","),"")</f>
        <v/>
      </c>
      <c r="H2072" s="1" t="str">
        <f aca="false">IF(C2072&lt;&gt;"",DEC2HEX(C2072,2),"")</f>
        <v/>
      </c>
      <c r="I2072" s="1" t="str">
        <f aca="false">IF(D2072&lt;&gt;"",DEC2HEX(D2072,2),"")</f>
        <v/>
      </c>
      <c r="J2072" s="1" t="str">
        <f aca="false">IF(H2072&lt;&gt;"","0x"&amp;I2072&amp;H2072,"")</f>
        <v/>
      </c>
      <c r="L2072" s="1" t="s">
        <v>3377</v>
      </c>
      <c r="M2072" s="1" t="str">
        <f aca="false">IF(J2072&lt;&gt;"",J2072,L2072)</f>
        <v>38, 42, GYARADOS</v>
      </c>
    </row>
    <row r="2073" customFormat="false" ht="12.75" hidden="false" customHeight="true" outlineLevel="0" collapsed="false">
      <c r="A2073" s="3" t="s">
        <v>3378</v>
      </c>
      <c r="B2073" s="3" t="str">
        <f aca="false">IF(ISNUMBER(SEARCH("%", A2073)),RIGHT(A2073,3),A2073)</f>
        <v>38, 42, POLIWRATH</v>
      </c>
      <c r="C2073" s="1" t="str">
        <f aca="false" t="array" ref="C2073:C2073">IF(B2072="NEW ROUTE",textsplit(B2073,","),"")</f>
        <v/>
      </c>
      <c r="H2073" s="1" t="str">
        <f aca="false">IF(C2073&lt;&gt;"",DEC2HEX(C2073,2),"")</f>
        <v/>
      </c>
      <c r="I2073" s="1" t="str">
        <f aca="false">IF(D2073&lt;&gt;"",DEC2HEX(D2073,2),"")</f>
        <v/>
      </c>
      <c r="J2073" s="1" t="str">
        <f aca="false">IF(H2073&lt;&gt;"","0x"&amp;I2073&amp;H2073,"")</f>
        <v/>
      </c>
      <c r="L2073" s="1" t="s">
        <v>3378</v>
      </c>
      <c r="M2073" s="1" t="str">
        <f aca="false">IF(J2073&lt;&gt;"",J2073,L2073)</f>
        <v>38, 42, POLIWRATH</v>
      </c>
    </row>
    <row r="2074" customFormat="false" ht="12.75" hidden="false" customHeight="true" outlineLevel="0" collapsed="false">
      <c r="A2074" s="3" t="s">
        <v>3379</v>
      </c>
      <c r="B2074" s="3" t="str">
        <f aca="false">IF(ISNUMBER(SEARCH("%", A2074)),RIGHT(A2074,3),A2074)</f>
        <v>40, 44, POLITOES</v>
      </c>
      <c r="C2074" s="1" t="str">
        <f aca="false" t="array" ref="C2074:C2074">IF(B2073="NEW ROUTE",textsplit(B2074,","),"")</f>
        <v/>
      </c>
      <c r="H2074" s="1" t="str">
        <f aca="false">IF(C2074&lt;&gt;"",DEC2HEX(C2074,2),"")</f>
        <v/>
      </c>
      <c r="I2074" s="1" t="str">
        <f aca="false">IF(D2074&lt;&gt;"",DEC2HEX(D2074,2),"")</f>
        <v/>
      </c>
      <c r="J2074" s="1" t="str">
        <f aca="false">IF(H2074&lt;&gt;"","0x"&amp;I2074&amp;H2074,"")</f>
        <v/>
      </c>
      <c r="L2074" s="1" t="s">
        <v>3379</v>
      </c>
      <c r="M2074" s="1" t="str">
        <f aca="false">IF(J2074&lt;&gt;"",J2074,L2074)</f>
        <v>40, 44, POLITOES</v>
      </c>
    </row>
    <row r="2075" customFormat="false" ht="12.75" hidden="false" customHeight="true" outlineLevel="0" collapsed="false">
      <c r="A2075" s="3" t="s">
        <v>2536</v>
      </c>
      <c r="B2075" s="3" t="str">
        <f aca="false">IF(ISNUMBER(SEARCH("%", A2075)),RIGHT(A2075,3),A2075)</f>
        <v>NEW ROUTE</v>
      </c>
      <c r="C2075" s="1" t="str">
        <f aca="false" t="array" ref="C2075:C2075">IF(B2074="NEW ROUTE",textsplit(B2075,","),"")</f>
        <v/>
      </c>
      <c r="H2075" s="1" t="str">
        <f aca="false">IF(C2075&lt;&gt;"",DEC2HEX(C2075,2),"")</f>
        <v/>
      </c>
      <c r="I2075" s="1" t="str">
        <f aca="false">IF(D2075&lt;&gt;"",DEC2HEX(D2075,2),"")</f>
        <v/>
      </c>
      <c r="J2075" s="1" t="str">
        <f aca="false">IF(H2075&lt;&gt;"","0x"&amp;I2075&amp;H2075,"")</f>
        <v/>
      </c>
      <c r="L2075" s="1" t="s">
        <v>2536</v>
      </c>
      <c r="M2075" s="1" t="str">
        <f aca="false">IF(J2075&lt;&gt;"",J2075,L2075)</f>
        <v>NEW ROUTE</v>
      </c>
    </row>
    <row r="2076" customFormat="false" ht="12.75" hidden="false" customHeight="true" outlineLevel="0" collapsed="false">
      <c r="A2076" s="3" t="s">
        <v>3380</v>
      </c>
      <c r="B2076" s="3" t="str">
        <f aca="false">IF(ISNUMBER(SEARCH("%", A2076)),RIGHT(A2076,3),A2076)</f>
        <v>3, 25, 0,</v>
      </c>
      <c r="C2076" s="1" t="e">
        <f aca="false" t="array" ref="C2076:C2076">IF(B2075="NEW ROUTE",textsplit(B2076,","),"")</f>
        <v>#NAME?</v>
      </c>
      <c r="H2076" s="1" t="e">
        <f aca="false">IF(C2076&lt;&gt;"",DEC2HEX(C2076,2),"")</f>
        <v>#NAME?</v>
      </c>
      <c r="I2076" s="1" t="str">
        <f aca="false">IF(D2076&lt;&gt;"",DEC2HEX(D2076,2),"")</f>
        <v/>
      </c>
      <c r="J2076" s="1" t="e">
        <f aca="false">IF(H2076&lt;&gt;"","0x"&amp;I2076&amp;H2076,"")</f>
        <v>#NAME?</v>
      </c>
      <c r="L2076" s="1" t="s">
        <v>3380</v>
      </c>
      <c r="M2076" s="1" t="e">
        <f aca="false">IF(J2076&lt;&gt;"",J2076,L2076)</f>
        <v>#NAME?</v>
      </c>
    </row>
    <row r="2077" customFormat="false" ht="12.75" hidden="false" customHeight="true" outlineLevel="0" collapsed="false">
      <c r="A2077" s="3" t="s">
        <v>2908</v>
      </c>
      <c r="B2077" s="3" t="str">
        <f aca="false">IF(ISNUMBER(SEARCH("%", A2077)),RIGHT(A2077,3),A2077)</f>
        <v>20%</v>
      </c>
      <c r="C2077" s="1" t="str">
        <f aca="false" t="array" ref="C2077:C2077">IF(B2076="NEW ROUTE",textsplit(B2077,","),"")</f>
        <v/>
      </c>
      <c r="H2077" s="1" t="str">
        <f aca="false">IF(C2077&lt;&gt;"",DEC2HEX(C2077,2),"")</f>
        <v/>
      </c>
      <c r="I2077" s="1" t="str">
        <f aca="false">IF(D2077&lt;&gt;"",DEC2HEX(D2077,2),"")</f>
        <v/>
      </c>
      <c r="J2077" s="1" t="str">
        <f aca="false">IF(H2077&lt;&gt;"","0x"&amp;I2077&amp;H2077,"")</f>
        <v/>
      </c>
      <c r="L2077" s="1" t="s">
        <v>2799</v>
      </c>
      <c r="M2077" s="1" t="str">
        <f aca="false">IF(J2077&lt;&gt;"",J2077,L2077)</f>
        <v>20%</v>
      </c>
    </row>
    <row r="2078" customFormat="false" ht="12.75" hidden="false" customHeight="true" outlineLevel="0" collapsed="false">
      <c r="A2078" s="3" t="s">
        <v>1849</v>
      </c>
      <c r="B2078" s="3" t="str">
        <f aca="false">IF(ISNUMBER(SEARCH("%", A2078)),RIGHT(A2078,3),A2078)</f>
        <v>24, 26, PONYTA</v>
      </c>
      <c r="C2078" s="1" t="str">
        <f aca="false" t="array" ref="C2078:C2078">IF(B2077="NEW ROUTE",textsplit(B2078,","),"")</f>
        <v/>
      </c>
      <c r="H2078" s="1" t="str">
        <f aca="false">IF(C2078&lt;&gt;"",DEC2HEX(C2078,2),"")</f>
        <v/>
      </c>
      <c r="I2078" s="1" t="str">
        <f aca="false">IF(D2078&lt;&gt;"",DEC2HEX(D2078,2),"")</f>
        <v/>
      </c>
      <c r="J2078" s="1" t="str">
        <f aca="false">IF(H2078&lt;&gt;"","0x"&amp;I2078&amp;H2078,"")</f>
        <v/>
      </c>
      <c r="L2078" s="1" t="s">
        <v>1849</v>
      </c>
      <c r="M2078" s="1" t="str">
        <f aca="false">IF(J2078&lt;&gt;"",J2078,L2078)</f>
        <v>24, 26, PONYTA</v>
      </c>
    </row>
    <row r="2079" customFormat="false" ht="12.75" hidden="false" customHeight="true" outlineLevel="0" collapsed="false">
      <c r="A2079" s="3" t="s">
        <v>3381</v>
      </c>
      <c r="B2079" s="3" t="str">
        <f aca="false">IF(ISNUMBER(SEARCH("%", A2079)),RIGHT(A2079,3),A2079)</f>
        <v>24, 26, KOFFING</v>
      </c>
      <c r="C2079" s="1" t="str">
        <f aca="false" t="array" ref="C2079:C2079">IF(B2078="NEW ROUTE",textsplit(B2079,","),"")</f>
        <v/>
      </c>
      <c r="H2079" s="1" t="str">
        <f aca="false">IF(C2079&lt;&gt;"",DEC2HEX(C2079,2),"")</f>
        <v/>
      </c>
      <c r="I2079" s="1" t="str">
        <f aca="false">IF(D2079&lt;&gt;"",DEC2HEX(D2079,2),"")</f>
        <v/>
      </c>
      <c r="J2079" s="1" t="str">
        <f aca="false">IF(H2079&lt;&gt;"","0x"&amp;I2079&amp;H2079,"")</f>
        <v/>
      </c>
      <c r="L2079" s="1" t="s">
        <v>3381</v>
      </c>
      <c r="M2079" s="1" t="str">
        <f aca="false">IF(J2079&lt;&gt;"",J2079,L2079)</f>
        <v>24, 26, KOFFING</v>
      </c>
    </row>
    <row r="2080" customFormat="false" ht="12.75" hidden="false" customHeight="true" outlineLevel="0" collapsed="false">
      <c r="A2080" s="3" t="s">
        <v>2801</v>
      </c>
      <c r="B2080" s="3" t="str">
        <f aca="false">IF(ISNUMBER(SEARCH("%", A2080)),RIGHT(A2080,3),A2080)</f>
        <v>0.1</v>
      </c>
      <c r="C2080" s="1" t="str">
        <f aca="false" t="array" ref="C2080:C2080">IF(B2079="NEW ROUTE",textsplit(B2080,","),"")</f>
        <v/>
      </c>
      <c r="H2080" s="1" t="str">
        <f aca="false">IF(C2080&lt;&gt;"",DEC2HEX(C2080,2),"")</f>
        <v/>
      </c>
      <c r="I2080" s="1" t="str">
        <f aca="false">IF(D2080&lt;&gt;"",DEC2HEX(D2080,2),"")</f>
        <v/>
      </c>
      <c r="J2080" s="1" t="str">
        <f aca="false">IF(H2080&lt;&gt;"","0x"&amp;I2080&amp;H2080,"")</f>
        <v/>
      </c>
      <c r="L2080" s="1" t="s">
        <v>2801</v>
      </c>
      <c r="M2080" s="1" t="str">
        <f aca="false">IF(J2080&lt;&gt;"",J2080,L2080)</f>
        <v>0.1</v>
      </c>
    </row>
    <row r="2081" customFormat="false" ht="12.75" hidden="false" customHeight="true" outlineLevel="0" collapsed="false">
      <c r="A2081" s="3" t="s">
        <v>3382</v>
      </c>
      <c r="B2081" s="3" t="str">
        <f aca="false">IF(ISNUMBER(SEARCH("%", A2081)),RIGHT(A2081,3),A2081)</f>
        <v>25, 27, SANDSHREW</v>
      </c>
      <c r="C2081" s="1" t="str">
        <f aca="false" t="array" ref="C2081:C2081">IF(B2080="NEW ROUTE",textsplit(B2081,","),"")</f>
        <v/>
      </c>
      <c r="H2081" s="1" t="str">
        <f aca="false">IF(C2081&lt;&gt;"",DEC2HEX(C2081,2),"")</f>
        <v/>
      </c>
      <c r="I2081" s="1" t="str">
        <f aca="false">IF(D2081&lt;&gt;"",DEC2HEX(D2081,2),"")</f>
        <v/>
      </c>
      <c r="J2081" s="1" t="str">
        <f aca="false">IF(H2081&lt;&gt;"","0x"&amp;I2081&amp;H2081,"")</f>
        <v/>
      </c>
      <c r="L2081" s="1" t="s">
        <v>3382</v>
      </c>
      <c r="M2081" s="1" t="str">
        <f aca="false">IF(J2081&lt;&gt;"",J2081,L2081)</f>
        <v>25, 27, SANDSHREW</v>
      </c>
    </row>
    <row r="2082" customFormat="false" ht="12.75" hidden="false" customHeight="true" outlineLevel="0" collapsed="false">
      <c r="A2082" s="3" t="s">
        <v>3383</v>
      </c>
      <c r="B2082" s="3" t="str">
        <f aca="false">IF(ISNUMBER(SEARCH("%", A2082)),RIGHT(A2082,3),A2082)</f>
        <v>25, 27, MEOWTH</v>
      </c>
      <c r="C2082" s="1" t="str">
        <f aca="false" t="array" ref="C2082:C2082">IF(B2081="NEW ROUTE",textsplit(B2082,","),"")</f>
        <v/>
      </c>
      <c r="H2082" s="1" t="str">
        <f aca="false">IF(C2082&lt;&gt;"",DEC2HEX(C2082,2),"")</f>
        <v/>
      </c>
      <c r="I2082" s="1" t="str">
        <f aca="false">IF(D2082&lt;&gt;"",DEC2HEX(D2082,2),"")</f>
        <v/>
      </c>
      <c r="J2082" s="1" t="str">
        <f aca="false">IF(H2082&lt;&gt;"","0x"&amp;I2082&amp;H2082,"")</f>
        <v/>
      </c>
      <c r="L2082" s="1" t="s">
        <v>3383</v>
      </c>
      <c r="M2082" s="1" t="str">
        <f aca="false">IF(J2082&lt;&gt;"",J2082,L2082)</f>
        <v>25, 27, MEOWTH</v>
      </c>
    </row>
    <row r="2083" customFormat="false" ht="12.75" hidden="false" customHeight="true" outlineLevel="0" collapsed="false">
      <c r="A2083" s="3" t="s">
        <v>3384</v>
      </c>
      <c r="B2083" s="3" t="str">
        <f aca="false">IF(ISNUMBER(SEARCH("%", A2083)),RIGHT(A2083,3),A2083)</f>
        <v>25, 27, PARAS</v>
      </c>
      <c r="C2083" s="1" t="str">
        <f aca="false" t="array" ref="C2083:C2083">IF(B2082="NEW ROUTE",textsplit(B2083,","),"")</f>
        <v/>
      </c>
      <c r="H2083" s="1" t="str">
        <f aca="false">IF(C2083&lt;&gt;"",DEC2HEX(C2083,2),"")</f>
        <v/>
      </c>
      <c r="I2083" s="1" t="str">
        <f aca="false">IF(D2083&lt;&gt;"",DEC2HEX(D2083,2),"")</f>
        <v/>
      </c>
      <c r="J2083" s="1" t="str">
        <f aca="false">IF(H2083&lt;&gt;"","0x"&amp;I2083&amp;H2083,"")</f>
        <v/>
      </c>
      <c r="L2083" s="1" t="s">
        <v>3384</v>
      </c>
      <c r="M2083" s="1" t="str">
        <f aca="false">IF(J2083&lt;&gt;"",J2083,L2083)</f>
        <v>25, 27, PARAS</v>
      </c>
    </row>
    <row r="2084" customFormat="false" ht="12.75" hidden="false" customHeight="true" outlineLevel="0" collapsed="false">
      <c r="A2084" s="3" t="s">
        <v>3385</v>
      </c>
      <c r="B2084" s="3" t="str">
        <f aca="false">IF(ISNUMBER(SEARCH("%", A2084)),RIGHT(A2084,3),A2084)</f>
        <v>25, 27, VULPIX</v>
      </c>
      <c r="C2084" s="1" t="str">
        <f aca="false" t="array" ref="C2084:C2084">IF(B2083="NEW ROUTE",textsplit(B2084,","),"")</f>
        <v/>
      </c>
      <c r="H2084" s="1" t="str">
        <f aca="false">IF(C2084&lt;&gt;"",DEC2HEX(C2084,2),"")</f>
        <v/>
      </c>
      <c r="I2084" s="1" t="str">
        <f aca="false">IF(D2084&lt;&gt;"",DEC2HEX(D2084,2),"")</f>
        <v/>
      </c>
      <c r="J2084" s="1" t="str">
        <f aca="false">IF(H2084&lt;&gt;"","0x"&amp;I2084&amp;H2084,"")</f>
        <v/>
      </c>
      <c r="L2084" s="1" t="s">
        <v>3385</v>
      </c>
      <c r="M2084" s="1" t="str">
        <f aca="false">IF(J2084&lt;&gt;"",J2084,L2084)</f>
        <v>25, 27, VULPIX</v>
      </c>
    </row>
    <row r="2085" customFormat="false" ht="12.75" hidden="false" customHeight="true" outlineLevel="0" collapsed="false">
      <c r="A2085" s="3" t="s">
        <v>2806</v>
      </c>
      <c r="B2085" s="3" t="str">
        <f aca="false">IF(ISNUMBER(SEARCH("%", A2085)),RIGHT(A2085,3),A2085)</f>
        <v>0.05</v>
      </c>
      <c r="C2085" s="1" t="str">
        <f aca="false" t="array" ref="C2085:C2085">IF(B2084="NEW ROUTE",textsplit(B2085,","),"")</f>
        <v/>
      </c>
      <c r="H2085" s="1" t="str">
        <f aca="false">IF(C2085&lt;&gt;"",DEC2HEX(C2085,2),"")</f>
        <v/>
      </c>
      <c r="I2085" s="1" t="str">
        <f aca="false">IF(D2085&lt;&gt;"",DEC2HEX(D2085,2),"")</f>
        <v/>
      </c>
      <c r="J2085" s="1" t="str">
        <f aca="false">IF(H2085&lt;&gt;"","0x"&amp;I2085&amp;H2085,"")</f>
        <v/>
      </c>
      <c r="L2085" s="1" t="s">
        <v>2806</v>
      </c>
      <c r="M2085" s="1" t="str">
        <f aca="false">IF(J2085&lt;&gt;"",J2085,L2085)</f>
        <v>0.05</v>
      </c>
    </row>
    <row r="2086" customFormat="false" ht="12.75" hidden="false" customHeight="true" outlineLevel="0" collapsed="false">
      <c r="A2086" s="3" t="s">
        <v>3386</v>
      </c>
      <c r="B2086" s="3" t="str">
        <f aca="false">IF(ISNUMBER(SEARCH("%", A2086)),RIGHT(A2086,3),A2086)</f>
        <v>24, 28, WEEZING</v>
      </c>
      <c r="C2086" s="1" t="str">
        <f aca="false" t="array" ref="C2086:C2086">IF(B2085="NEW ROUTE",textsplit(B2086,","),"")</f>
        <v/>
      </c>
      <c r="H2086" s="1" t="str">
        <f aca="false">IF(C2086&lt;&gt;"",DEC2HEX(C2086,2),"")</f>
        <v/>
      </c>
      <c r="I2086" s="1" t="str">
        <f aca="false">IF(D2086&lt;&gt;"",DEC2HEX(D2086,2),"")</f>
        <v/>
      </c>
      <c r="J2086" s="1" t="str">
        <f aca="false">IF(H2086&lt;&gt;"","0x"&amp;I2086&amp;H2086,"")</f>
        <v/>
      </c>
      <c r="L2086" s="1" t="s">
        <v>3386</v>
      </c>
      <c r="M2086" s="1" t="str">
        <f aca="false">IF(J2086&lt;&gt;"",J2086,L2086)</f>
        <v>24, 28, WEEZING</v>
      </c>
    </row>
    <row r="2087" customFormat="false" ht="12.75" hidden="false" customHeight="true" outlineLevel="0" collapsed="false">
      <c r="A2087" s="3" t="s">
        <v>3387</v>
      </c>
      <c r="B2087" s="3" t="str">
        <f aca="false">IF(ISNUMBER(SEARCH("%", A2087)),RIGHT(A2087,3),A2087)</f>
        <v>24, 28, LICKITUNG</v>
      </c>
      <c r="C2087" s="1" t="str">
        <f aca="false" t="array" ref="C2087:C2087">IF(B2086="NEW ROUTE",textsplit(B2087,","),"")</f>
        <v/>
      </c>
      <c r="H2087" s="1" t="str">
        <f aca="false">IF(C2087&lt;&gt;"",DEC2HEX(C2087,2),"")</f>
        <v/>
      </c>
      <c r="I2087" s="1" t="str">
        <f aca="false">IF(D2087&lt;&gt;"",DEC2HEX(D2087,2),"")</f>
        <v/>
      </c>
      <c r="J2087" s="1" t="str">
        <f aca="false">IF(H2087&lt;&gt;"","0x"&amp;I2087&amp;H2087,"")</f>
        <v/>
      </c>
      <c r="L2087" s="1" t="s">
        <v>3387</v>
      </c>
      <c r="M2087" s="1" t="str">
        <f aca="false">IF(J2087&lt;&gt;"",J2087,L2087)</f>
        <v>24, 28, LICKITUNG</v>
      </c>
    </row>
    <row r="2088" customFormat="false" ht="12.75" hidden="false" customHeight="true" outlineLevel="0" collapsed="false">
      <c r="A2088" s="3" t="s">
        <v>2809</v>
      </c>
      <c r="B2088" s="3" t="str">
        <f aca="false">IF(ISNUMBER(SEARCH("%", A2088)),RIGHT(A2088,3),A2088)</f>
        <v>0.04</v>
      </c>
      <c r="C2088" s="1" t="str">
        <f aca="false" t="array" ref="C2088:C2088">IF(B2087="NEW ROUTE",textsplit(B2088,","),"")</f>
        <v/>
      </c>
      <c r="H2088" s="1" t="str">
        <f aca="false">IF(C2088&lt;&gt;"",DEC2HEX(C2088,2),"")</f>
        <v/>
      </c>
      <c r="I2088" s="1" t="str">
        <f aca="false">IF(D2088&lt;&gt;"",DEC2HEX(D2088,2),"")</f>
        <v/>
      </c>
      <c r="J2088" s="1" t="str">
        <f aca="false">IF(H2088&lt;&gt;"","0x"&amp;I2088&amp;H2088,"")</f>
        <v/>
      </c>
      <c r="L2088" s="1" t="s">
        <v>2809</v>
      </c>
      <c r="M2088" s="1" t="str">
        <f aca="false">IF(J2088&lt;&gt;"",J2088,L2088)</f>
        <v>0.04</v>
      </c>
    </row>
    <row r="2089" customFormat="false" ht="12.75" hidden="false" customHeight="true" outlineLevel="0" collapsed="false">
      <c r="A2089" s="3" t="s">
        <v>3388</v>
      </c>
      <c r="B2089" s="3" t="str">
        <f aca="false">IF(ISNUMBER(SEARCH("%", A2089)),RIGHT(A2089,3),A2089)</f>
        <v>26, 26, PERSIAN</v>
      </c>
      <c r="C2089" s="1" t="str">
        <f aca="false" t="array" ref="C2089:C2089">IF(B2088="NEW ROUTE",textsplit(B2089,","),"")</f>
        <v/>
      </c>
      <c r="H2089" s="1" t="str">
        <f aca="false">IF(C2089&lt;&gt;"",DEC2HEX(C2089,2),"")</f>
        <v/>
      </c>
      <c r="I2089" s="1" t="str">
        <f aca="false">IF(D2089&lt;&gt;"",DEC2HEX(D2089,2),"")</f>
        <v/>
      </c>
      <c r="J2089" s="1" t="str">
        <f aca="false">IF(H2089&lt;&gt;"","0x"&amp;I2089&amp;H2089,"")</f>
        <v/>
      </c>
      <c r="L2089" s="1" t="s">
        <v>3388</v>
      </c>
      <c r="M2089" s="1" t="str">
        <f aca="false">IF(J2089&lt;&gt;"",J2089,L2089)</f>
        <v>26, 26, PERSIAN</v>
      </c>
    </row>
    <row r="2090" customFormat="false" ht="12.75" hidden="false" customHeight="true" outlineLevel="0" collapsed="false">
      <c r="A2090" s="3" t="s">
        <v>3389</v>
      </c>
      <c r="B2090" s="3" t="str">
        <f aca="false">IF(ISNUMBER(SEARCH("%", A2090)),RIGHT(A2090,3),A2090)</f>
        <v>21, 26, EEVEE</v>
      </c>
      <c r="C2090" s="1" t="str">
        <f aca="false" t="array" ref="C2090:C2090">IF(B2089="NEW ROUTE",textsplit(B2090,","),"")</f>
        <v/>
      </c>
      <c r="H2090" s="1" t="str">
        <f aca="false">IF(C2090&lt;&gt;"",DEC2HEX(C2090,2),"")</f>
        <v/>
      </c>
      <c r="I2090" s="1" t="str">
        <f aca="false">IF(D2090&lt;&gt;"",DEC2HEX(D2090,2),"")</f>
        <v/>
      </c>
      <c r="J2090" s="1" t="str">
        <f aca="false">IF(H2090&lt;&gt;"","0x"&amp;I2090&amp;H2090,"")</f>
        <v/>
      </c>
      <c r="L2090" s="1" t="s">
        <v>3389</v>
      </c>
      <c r="M2090" s="1" t="str">
        <f aca="false">IF(J2090&lt;&gt;"",J2090,L2090)</f>
        <v>21, 26, EEVEE</v>
      </c>
    </row>
    <row r="2091" customFormat="false" ht="12.75" hidden="false" customHeight="true" outlineLevel="0" collapsed="false">
      <c r="A2091" s="3" t="s">
        <v>2812</v>
      </c>
      <c r="B2091" s="3" t="str">
        <f aca="false">IF(ISNUMBER(SEARCH("%", A2091)),RIGHT(A2091,3),A2091)</f>
        <v>0.01</v>
      </c>
      <c r="C2091" s="1" t="str">
        <f aca="false" t="array" ref="C2091:C2091">IF(B2090="NEW ROUTE",textsplit(B2091,","),"")</f>
        <v/>
      </c>
      <c r="H2091" s="1" t="str">
        <f aca="false">IF(C2091&lt;&gt;"",DEC2HEX(C2091,2),"")</f>
        <v/>
      </c>
      <c r="I2091" s="1" t="str">
        <f aca="false">IF(D2091&lt;&gt;"",DEC2HEX(D2091,2),"")</f>
        <v/>
      </c>
      <c r="J2091" s="1" t="str">
        <f aca="false">IF(H2091&lt;&gt;"","0x"&amp;I2091&amp;H2091,"")</f>
        <v/>
      </c>
      <c r="L2091" s="1" t="s">
        <v>2812</v>
      </c>
      <c r="M2091" s="1" t="str">
        <f aca="false">IF(J2091&lt;&gt;"",J2091,L2091)</f>
        <v>0.01</v>
      </c>
    </row>
    <row r="2092" customFormat="false" ht="12.75" hidden="false" customHeight="true" outlineLevel="0" collapsed="false">
      <c r="A2092" s="3" t="s">
        <v>3390</v>
      </c>
      <c r="B2092" s="3" t="str">
        <f aca="false">IF(ISNUMBER(SEARCH("%", A2092)),RIGHT(A2092,3),A2092)</f>
        <v>24, 28, SANDSLASH</v>
      </c>
      <c r="C2092" s="1" t="str">
        <f aca="false" t="array" ref="C2092:C2092">IF(B2091="NEW ROUTE",textsplit(B2092,","),"")</f>
        <v/>
      </c>
      <c r="H2092" s="1" t="str">
        <f aca="false">IF(C2092&lt;&gt;"",DEC2HEX(C2092,2),"")</f>
        <v/>
      </c>
      <c r="I2092" s="1" t="str">
        <f aca="false">IF(D2092&lt;&gt;"",DEC2HEX(D2092,2),"")</f>
        <v/>
      </c>
      <c r="J2092" s="1" t="str">
        <f aca="false">IF(H2092&lt;&gt;"","0x"&amp;I2092&amp;H2092,"")</f>
        <v/>
      </c>
      <c r="L2092" s="1" t="s">
        <v>3390</v>
      </c>
      <c r="M2092" s="1" t="str">
        <f aca="false">IF(J2092&lt;&gt;"",J2092,L2092)</f>
        <v>24, 28, SANDSLASH</v>
      </c>
    </row>
    <row r="2093" customFormat="false" ht="12.75" hidden="false" customHeight="true" outlineLevel="0" collapsed="false">
      <c r="A2093" s="3" t="s">
        <v>3391</v>
      </c>
      <c r="B2093" s="3" t="str">
        <f aca="false">IF(ISNUMBER(SEARCH("%", A2093)),RIGHT(A2093,3),A2093)</f>
        <v>24, 28, PARASECT , &lt;null&gt;, &lt;null&gt;, &lt;null&gt;</v>
      </c>
      <c r="C2093" s="1" t="str">
        <f aca="false" t="array" ref="C2093:C2093">IF(B2092="NEW ROUTE",textsplit(B2093,","),"")</f>
        <v/>
      </c>
      <c r="H2093" s="1" t="str">
        <f aca="false">IF(C2093&lt;&gt;"",DEC2HEX(C2093,2),"")</f>
        <v/>
      </c>
      <c r="I2093" s="1" t="str">
        <f aca="false">IF(D2093&lt;&gt;"",DEC2HEX(D2093,2),"")</f>
        <v/>
      </c>
      <c r="J2093" s="1" t="str">
        <f aca="false">IF(H2093&lt;&gt;"","0x"&amp;I2093&amp;H2093,"")</f>
        <v/>
      </c>
      <c r="L2093" s="1" t="s">
        <v>3391</v>
      </c>
      <c r="M2093" s="1" t="str">
        <f aca="false">IF(J2093&lt;&gt;"",J2093,L2093)</f>
        <v>24, 28, PARASECT , &lt;null&gt;, &lt;null&gt;, &lt;null&gt;</v>
      </c>
    </row>
    <row r="2094" customFormat="false" ht="12.75" hidden="false" customHeight="true" outlineLevel="0" collapsed="false">
      <c r="A2094" s="3" t="s">
        <v>2536</v>
      </c>
      <c r="B2094" s="3" t="str">
        <f aca="false">IF(ISNUMBER(SEARCH("%", A2094)),RIGHT(A2094,3),A2094)</f>
        <v>NEW ROUTE</v>
      </c>
      <c r="C2094" s="1" t="str">
        <f aca="false" t="array" ref="C2094:C2094">IF(B2093="NEW ROUTE",textsplit(B2094,","),"")</f>
        <v/>
      </c>
      <c r="H2094" s="1" t="str">
        <f aca="false">IF(C2094&lt;&gt;"",DEC2HEX(C2094,2),"")</f>
        <v/>
      </c>
      <c r="I2094" s="1" t="str">
        <f aca="false">IF(D2094&lt;&gt;"",DEC2HEX(D2094,2),"")</f>
        <v/>
      </c>
      <c r="J2094" s="1" t="str">
        <f aca="false">IF(H2094&lt;&gt;"","0x"&amp;I2094&amp;H2094,"")</f>
        <v/>
      </c>
      <c r="L2094" s="1" t="s">
        <v>2536</v>
      </c>
      <c r="M2094" s="1" t="str">
        <f aca="false">IF(J2094&lt;&gt;"",J2094,L2094)</f>
        <v>NEW ROUTE</v>
      </c>
    </row>
    <row r="2095" customFormat="false" ht="12.75" hidden="false" customHeight="true" outlineLevel="0" collapsed="false">
      <c r="A2095" s="3" t="s">
        <v>3392</v>
      </c>
      <c r="B2095" s="3" t="str">
        <f aca="false">IF(ISNUMBER(SEARCH("%", A2095)),RIGHT(A2095,3),A2095)</f>
        <v>3, 26, 0,</v>
      </c>
      <c r="C2095" s="1" t="e">
        <f aca="false" t="array" ref="C2095:C2095">IF(B2094="NEW ROUTE",textsplit(B2095,","),"")</f>
        <v>#NAME?</v>
      </c>
      <c r="H2095" s="1" t="e">
        <f aca="false">IF(C2095&lt;&gt;"",DEC2HEX(C2095,2),"")</f>
        <v>#NAME?</v>
      </c>
      <c r="I2095" s="1" t="str">
        <f aca="false">IF(D2095&lt;&gt;"",DEC2HEX(D2095,2),"")</f>
        <v/>
      </c>
      <c r="J2095" s="1" t="e">
        <f aca="false">IF(H2095&lt;&gt;"","0x"&amp;I2095&amp;H2095,"")</f>
        <v>#NAME?</v>
      </c>
      <c r="L2095" s="1" t="s">
        <v>3392</v>
      </c>
      <c r="M2095" s="1" t="e">
        <f aca="false">IF(J2095&lt;&gt;"",J2095,L2095)</f>
        <v>#NAME?</v>
      </c>
    </row>
    <row r="2096" customFormat="false" ht="12.75" hidden="false" customHeight="true" outlineLevel="0" collapsed="false">
      <c r="A2096" s="3" t="s">
        <v>2908</v>
      </c>
      <c r="B2096" s="3" t="str">
        <f aca="false">IF(ISNUMBER(SEARCH("%", A2096)),RIGHT(A2096,3),A2096)</f>
        <v>20%</v>
      </c>
      <c r="C2096" s="1" t="str">
        <f aca="false" t="array" ref="C2096:C2096">IF(B2095="NEW ROUTE",textsplit(B2096,","),"")</f>
        <v/>
      </c>
      <c r="H2096" s="1" t="str">
        <f aca="false">IF(C2096&lt;&gt;"",DEC2HEX(C2096,2),"")</f>
        <v/>
      </c>
      <c r="I2096" s="1" t="str">
        <f aca="false">IF(D2096&lt;&gt;"",DEC2HEX(D2096,2),"")</f>
        <v/>
      </c>
      <c r="J2096" s="1" t="str">
        <f aca="false">IF(H2096&lt;&gt;"","0x"&amp;I2096&amp;H2096,"")</f>
        <v/>
      </c>
      <c r="L2096" s="1" t="s">
        <v>2799</v>
      </c>
      <c r="M2096" s="1" t="str">
        <f aca="false">IF(J2096&lt;&gt;"",J2096,L2096)</f>
        <v>20%</v>
      </c>
    </row>
    <row r="2097" customFormat="false" ht="12.75" hidden="false" customHeight="true" outlineLevel="0" collapsed="false">
      <c r="A2097" s="3" t="s">
        <v>1862</v>
      </c>
      <c r="B2097" s="3" t="str">
        <f aca="false">IF(ISNUMBER(SEARCH("%", A2097)),RIGHT(A2097,3),A2097)</f>
        <v>23, 25, PONYTA</v>
      </c>
      <c r="C2097" s="1" t="str">
        <f aca="false" t="array" ref="C2097:C2097">IF(B2096="NEW ROUTE",textsplit(B2097,","),"")</f>
        <v/>
      </c>
      <c r="H2097" s="1" t="str">
        <f aca="false">IF(C2097&lt;&gt;"",DEC2HEX(C2097,2),"")</f>
        <v/>
      </c>
      <c r="I2097" s="1" t="str">
        <f aca="false">IF(D2097&lt;&gt;"",DEC2HEX(D2097,2),"")</f>
        <v/>
      </c>
      <c r="J2097" s="1" t="str">
        <f aca="false">IF(H2097&lt;&gt;"","0x"&amp;I2097&amp;H2097,"")</f>
        <v/>
      </c>
      <c r="L2097" s="1" t="s">
        <v>1862</v>
      </c>
      <c r="M2097" s="1" t="str">
        <f aca="false">IF(J2097&lt;&gt;"",J2097,L2097)</f>
        <v>23, 25, PONYTA</v>
      </c>
    </row>
    <row r="2098" customFormat="false" ht="12.75" hidden="false" customHeight="true" outlineLevel="0" collapsed="false">
      <c r="A2098" s="3" t="s">
        <v>3393</v>
      </c>
      <c r="B2098" s="3" t="str">
        <f aca="false">IF(ISNUMBER(SEARCH("%", A2098)),RIGHT(A2098,3),A2098)</f>
        <v>23, 25, EKANS</v>
      </c>
      <c r="C2098" s="1" t="str">
        <f aca="false" t="array" ref="C2098:C2098">IF(B2097="NEW ROUTE",textsplit(B2098,","),"")</f>
        <v/>
      </c>
      <c r="H2098" s="1" t="str">
        <f aca="false">IF(C2098&lt;&gt;"",DEC2HEX(C2098,2),"")</f>
        <v/>
      </c>
      <c r="I2098" s="1" t="str">
        <f aca="false">IF(D2098&lt;&gt;"",DEC2HEX(D2098,2),"")</f>
        <v/>
      </c>
      <c r="J2098" s="1" t="str">
        <f aca="false">IF(H2098&lt;&gt;"","0x"&amp;I2098&amp;H2098,"")</f>
        <v/>
      </c>
      <c r="L2098" s="1" t="s">
        <v>3393</v>
      </c>
      <c r="M2098" s="1" t="str">
        <f aca="false">IF(J2098&lt;&gt;"",J2098,L2098)</f>
        <v>23, 25, EKANS</v>
      </c>
    </row>
    <row r="2099" customFormat="false" ht="12.75" hidden="false" customHeight="true" outlineLevel="0" collapsed="false">
      <c r="A2099" s="3" t="s">
        <v>2801</v>
      </c>
      <c r="B2099" s="3" t="str">
        <f aca="false">IF(ISNUMBER(SEARCH("%", A2099)),RIGHT(A2099,3),A2099)</f>
        <v>0.1</v>
      </c>
      <c r="C2099" s="1" t="str">
        <f aca="false" t="array" ref="C2099:C2099">IF(B2098="NEW ROUTE",textsplit(B2099,","),"")</f>
        <v/>
      </c>
      <c r="H2099" s="1" t="str">
        <f aca="false">IF(C2099&lt;&gt;"",DEC2HEX(C2099,2),"")</f>
        <v/>
      </c>
      <c r="I2099" s="1" t="str">
        <f aca="false">IF(D2099&lt;&gt;"",DEC2HEX(D2099,2),"")</f>
        <v/>
      </c>
      <c r="J2099" s="1" t="str">
        <f aca="false">IF(H2099&lt;&gt;"","0x"&amp;I2099&amp;H2099,"")</f>
        <v/>
      </c>
      <c r="L2099" s="1" t="s">
        <v>2801</v>
      </c>
      <c r="M2099" s="1" t="str">
        <f aca="false">IF(J2099&lt;&gt;"",J2099,L2099)</f>
        <v>0.1</v>
      </c>
    </row>
    <row r="2100" customFormat="false" ht="12.75" hidden="false" customHeight="true" outlineLevel="0" collapsed="false">
      <c r="A2100" s="3" t="s">
        <v>3394</v>
      </c>
      <c r="B2100" s="3" t="str">
        <f aca="false">IF(ISNUMBER(SEARCH("%", A2100)),RIGHT(A2100,3),A2100)</f>
        <v>24, 26, SANDSHREW</v>
      </c>
      <c r="C2100" s="1" t="str">
        <f aca="false" t="array" ref="C2100:C2100">IF(B2099="NEW ROUTE",textsplit(B2100,","),"")</f>
        <v/>
      </c>
      <c r="H2100" s="1" t="str">
        <f aca="false">IF(C2100&lt;&gt;"",DEC2HEX(C2100,2),"")</f>
        <v/>
      </c>
      <c r="I2100" s="1" t="str">
        <f aca="false">IF(D2100&lt;&gt;"",DEC2HEX(D2100,2),"")</f>
        <v/>
      </c>
      <c r="J2100" s="1" t="str">
        <f aca="false">IF(H2100&lt;&gt;"","0x"&amp;I2100&amp;H2100,"")</f>
        <v/>
      </c>
      <c r="L2100" s="1" t="s">
        <v>3394</v>
      </c>
      <c r="M2100" s="1" t="str">
        <f aca="false">IF(J2100&lt;&gt;"",J2100,L2100)</f>
        <v>24, 26, SANDSHREW</v>
      </c>
    </row>
    <row r="2101" customFormat="false" ht="12.75" hidden="false" customHeight="true" outlineLevel="0" collapsed="false">
      <c r="A2101" s="3" t="s">
        <v>3395</v>
      </c>
      <c r="B2101" s="3" t="str">
        <f aca="false">IF(ISNUMBER(SEARCH("%", A2101)),RIGHT(A2101,3),A2101)</f>
        <v>24, 26, MEOWTH</v>
      </c>
      <c r="C2101" s="1" t="str">
        <f aca="false" t="array" ref="C2101:C2101">IF(B2100="NEW ROUTE",textsplit(B2101,","),"")</f>
        <v/>
      </c>
      <c r="H2101" s="1" t="str">
        <f aca="false">IF(C2101&lt;&gt;"",DEC2HEX(C2101,2),"")</f>
        <v/>
      </c>
      <c r="I2101" s="1" t="str">
        <f aca="false">IF(D2101&lt;&gt;"",DEC2HEX(D2101,2),"")</f>
        <v/>
      </c>
      <c r="J2101" s="1" t="str">
        <f aca="false">IF(H2101&lt;&gt;"","0x"&amp;I2101&amp;H2101,"")</f>
        <v/>
      </c>
      <c r="L2101" s="1" t="s">
        <v>3395</v>
      </c>
      <c r="M2101" s="1" t="str">
        <f aca="false">IF(J2101&lt;&gt;"",J2101,L2101)</f>
        <v>24, 26, MEOWTH</v>
      </c>
    </row>
    <row r="2102" customFormat="false" ht="12.75" hidden="false" customHeight="true" outlineLevel="0" collapsed="false">
      <c r="A2102" s="3" t="s">
        <v>3396</v>
      </c>
      <c r="B2102" s="3" t="str">
        <f aca="false">IF(ISNUMBER(SEARCH("%", A2102)),RIGHT(A2102,3),A2102)</f>
        <v>24, 26, VENONAT</v>
      </c>
      <c r="C2102" s="1" t="str">
        <f aca="false" t="array" ref="C2102:C2102">IF(B2101="NEW ROUTE",textsplit(B2102,","),"")</f>
        <v/>
      </c>
      <c r="H2102" s="1" t="str">
        <f aca="false">IF(C2102&lt;&gt;"",DEC2HEX(C2102,2),"")</f>
        <v/>
      </c>
      <c r="I2102" s="1" t="str">
        <f aca="false">IF(D2102&lt;&gt;"",DEC2HEX(D2102,2),"")</f>
        <v/>
      </c>
      <c r="J2102" s="1" t="str">
        <f aca="false">IF(H2102&lt;&gt;"","0x"&amp;I2102&amp;H2102,"")</f>
        <v/>
      </c>
      <c r="L2102" s="1" t="s">
        <v>3396</v>
      </c>
      <c r="M2102" s="1" t="str">
        <f aca="false">IF(J2102&lt;&gt;"",J2102,L2102)</f>
        <v>24, 26, VENONAT</v>
      </c>
    </row>
    <row r="2103" customFormat="false" ht="12.75" hidden="false" customHeight="true" outlineLevel="0" collapsed="false">
      <c r="A2103" s="3" t="s">
        <v>3397</v>
      </c>
      <c r="B2103" s="3" t="str">
        <f aca="false">IF(ISNUMBER(SEARCH("%", A2103)),RIGHT(A2103,3),A2103)</f>
        <v>24, 26, GROWLITHE</v>
      </c>
      <c r="C2103" s="1" t="str">
        <f aca="false" t="array" ref="C2103:C2103">IF(B2102="NEW ROUTE",textsplit(B2103,","),"")</f>
        <v/>
      </c>
      <c r="H2103" s="1" t="str">
        <f aca="false">IF(C2103&lt;&gt;"",DEC2HEX(C2103,2),"")</f>
        <v/>
      </c>
      <c r="I2103" s="1" t="str">
        <f aca="false">IF(D2103&lt;&gt;"",DEC2HEX(D2103,2),"")</f>
        <v/>
      </c>
      <c r="J2103" s="1" t="str">
        <f aca="false">IF(H2103&lt;&gt;"","0x"&amp;I2103&amp;H2103,"")</f>
        <v/>
      </c>
      <c r="L2103" s="1" t="s">
        <v>3397</v>
      </c>
      <c r="M2103" s="1" t="str">
        <f aca="false">IF(J2103&lt;&gt;"",J2103,L2103)</f>
        <v>24, 26, GROWLITHE</v>
      </c>
    </row>
    <row r="2104" customFormat="false" ht="12.75" hidden="false" customHeight="true" outlineLevel="0" collapsed="false">
      <c r="A2104" s="3" t="s">
        <v>2806</v>
      </c>
      <c r="B2104" s="3" t="str">
        <f aca="false">IF(ISNUMBER(SEARCH("%", A2104)),RIGHT(A2104,3),A2104)</f>
        <v>0.05</v>
      </c>
      <c r="C2104" s="1" t="str">
        <f aca="false" t="array" ref="C2104:C2104">IF(B2103="NEW ROUTE",textsplit(B2104,","),"")</f>
        <v/>
      </c>
      <c r="H2104" s="1" t="str">
        <f aca="false">IF(C2104&lt;&gt;"",DEC2HEX(C2104,2),"")</f>
        <v/>
      </c>
      <c r="I2104" s="1" t="str">
        <f aca="false">IF(D2104&lt;&gt;"",DEC2HEX(D2104,2),"")</f>
        <v/>
      </c>
      <c r="J2104" s="1" t="str">
        <f aca="false">IF(H2104&lt;&gt;"","0x"&amp;I2104&amp;H2104,"")</f>
        <v/>
      </c>
      <c r="L2104" s="1" t="s">
        <v>2806</v>
      </c>
      <c r="M2104" s="1" t="str">
        <f aca="false">IF(J2104&lt;&gt;"",J2104,L2104)</f>
        <v>0.05</v>
      </c>
    </row>
    <row r="2105" customFormat="false" ht="12.75" hidden="false" customHeight="true" outlineLevel="0" collapsed="false">
      <c r="A2105" s="3" t="s">
        <v>3398</v>
      </c>
      <c r="B2105" s="3" t="str">
        <f aca="false">IF(ISNUMBER(SEARCH("%", A2105)),RIGHT(A2105,3),A2105)</f>
        <v>23, 27, ARBOK</v>
      </c>
      <c r="C2105" s="1" t="str">
        <f aca="false" t="array" ref="C2105:C2105">IF(B2104="NEW ROUTE",textsplit(B2105,","),"")</f>
        <v/>
      </c>
      <c r="H2105" s="1" t="str">
        <f aca="false">IF(C2105&lt;&gt;"",DEC2HEX(C2105,2),"")</f>
        <v/>
      </c>
      <c r="I2105" s="1" t="str">
        <f aca="false">IF(D2105&lt;&gt;"",DEC2HEX(D2105,2),"")</f>
        <v/>
      </c>
      <c r="J2105" s="1" t="str">
        <f aca="false">IF(H2105&lt;&gt;"","0x"&amp;I2105&amp;H2105,"")</f>
        <v/>
      </c>
      <c r="L2105" s="1" t="s">
        <v>3398</v>
      </c>
      <c r="M2105" s="1" t="str">
        <f aca="false">IF(J2105&lt;&gt;"",J2105,L2105)</f>
        <v>23, 27, ARBOK</v>
      </c>
    </row>
    <row r="2106" customFormat="false" ht="12.75" hidden="false" customHeight="true" outlineLevel="0" collapsed="false">
      <c r="A2106" s="3" t="s">
        <v>3399</v>
      </c>
      <c r="B2106" s="3" t="str">
        <f aca="false">IF(ISNUMBER(SEARCH("%", A2106)),RIGHT(A2106,3),A2106)</f>
        <v>23, 27, LICKITUNG</v>
      </c>
      <c r="C2106" s="1" t="str">
        <f aca="false" t="array" ref="C2106:C2106">IF(B2105="NEW ROUTE",textsplit(B2106,","),"")</f>
        <v/>
      </c>
      <c r="H2106" s="1" t="str">
        <f aca="false">IF(C2106&lt;&gt;"",DEC2HEX(C2106,2),"")</f>
        <v/>
      </c>
      <c r="I2106" s="1" t="str">
        <f aca="false">IF(D2106&lt;&gt;"",DEC2HEX(D2106,2),"")</f>
        <v/>
      </c>
      <c r="J2106" s="1" t="str">
        <f aca="false">IF(H2106&lt;&gt;"","0x"&amp;I2106&amp;H2106,"")</f>
        <v/>
      </c>
      <c r="L2106" s="1" t="s">
        <v>3399</v>
      </c>
      <c r="M2106" s="1" t="str">
        <f aca="false">IF(J2106&lt;&gt;"",J2106,L2106)</f>
        <v>23, 27, LICKITUNG</v>
      </c>
    </row>
    <row r="2107" customFormat="false" ht="12.75" hidden="false" customHeight="true" outlineLevel="0" collapsed="false">
      <c r="A2107" s="3" t="s">
        <v>2809</v>
      </c>
      <c r="B2107" s="3" t="str">
        <f aca="false">IF(ISNUMBER(SEARCH("%", A2107)),RIGHT(A2107,3),A2107)</f>
        <v>0.04</v>
      </c>
      <c r="C2107" s="1" t="str">
        <f aca="false" t="array" ref="C2107:C2107">IF(B2106="NEW ROUTE",textsplit(B2107,","),"")</f>
        <v/>
      </c>
      <c r="H2107" s="1" t="str">
        <f aca="false">IF(C2107&lt;&gt;"",DEC2HEX(C2107,2),"")</f>
        <v/>
      </c>
      <c r="I2107" s="1" t="str">
        <f aca="false">IF(D2107&lt;&gt;"",DEC2HEX(D2107,2),"")</f>
        <v/>
      </c>
      <c r="J2107" s="1" t="str">
        <f aca="false">IF(H2107&lt;&gt;"","0x"&amp;I2107&amp;H2107,"")</f>
        <v/>
      </c>
      <c r="L2107" s="1" t="s">
        <v>2809</v>
      </c>
      <c r="M2107" s="1" t="str">
        <f aca="false">IF(J2107&lt;&gt;"",J2107,L2107)</f>
        <v>0.04</v>
      </c>
    </row>
    <row r="2108" customFormat="false" ht="12.75" hidden="false" customHeight="true" outlineLevel="0" collapsed="false">
      <c r="A2108" s="3" t="s">
        <v>3400</v>
      </c>
      <c r="B2108" s="3" t="str">
        <f aca="false">IF(ISNUMBER(SEARCH("%", A2108)),RIGHT(A2108,3),A2108)</f>
        <v>25, 25, PERSIAN</v>
      </c>
      <c r="C2108" s="1" t="str">
        <f aca="false" t="array" ref="C2108:C2108">IF(B2107="NEW ROUTE",textsplit(B2108,","),"")</f>
        <v/>
      </c>
      <c r="H2108" s="1" t="str">
        <f aca="false">IF(C2108&lt;&gt;"",DEC2HEX(C2108,2),"")</f>
        <v/>
      </c>
      <c r="I2108" s="1" t="str">
        <f aca="false">IF(D2108&lt;&gt;"",DEC2HEX(D2108,2),"")</f>
        <v/>
      </c>
      <c r="J2108" s="1" t="str">
        <f aca="false">IF(H2108&lt;&gt;"","0x"&amp;I2108&amp;H2108,"")</f>
        <v/>
      </c>
      <c r="L2108" s="1" t="s">
        <v>3400</v>
      </c>
      <c r="M2108" s="1" t="str">
        <f aca="false">IF(J2108&lt;&gt;"",J2108,L2108)</f>
        <v>25, 25, PERSIAN</v>
      </c>
    </row>
    <row r="2109" customFormat="false" ht="12.75" hidden="false" customHeight="true" outlineLevel="0" collapsed="false">
      <c r="A2109" s="3" t="s">
        <v>3401</v>
      </c>
      <c r="B2109" s="3" t="str">
        <f aca="false">IF(ISNUMBER(SEARCH("%", A2109)),RIGHT(A2109,3),A2109)</f>
        <v>20, 25, EEVEE</v>
      </c>
      <c r="C2109" s="1" t="str">
        <f aca="false" t="array" ref="C2109:C2109">IF(B2108="NEW ROUTE",textsplit(B2109,","),"")</f>
        <v/>
      </c>
      <c r="H2109" s="1" t="str">
        <f aca="false">IF(C2109&lt;&gt;"",DEC2HEX(C2109,2),"")</f>
        <v/>
      </c>
      <c r="I2109" s="1" t="str">
        <f aca="false">IF(D2109&lt;&gt;"",DEC2HEX(D2109,2),"")</f>
        <v/>
      </c>
      <c r="J2109" s="1" t="str">
        <f aca="false">IF(H2109&lt;&gt;"","0x"&amp;I2109&amp;H2109,"")</f>
        <v/>
      </c>
      <c r="L2109" s="1" t="s">
        <v>3401</v>
      </c>
      <c r="M2109" s="1" t="str">
        <f aca="false">IF(J2109&lt;&gt;"",J2109,L2109)</f>
        <v>20, 25, EEVEE</v>
      </c>
    </row>
    <row r="2110" customFormat="false" ht="12.75" hidden="false" customHeight="true" outlineLevel="0" collapsed="false">
      <c r="A2110" s="3" t="s">
        <v>2812</v>
      </c>
      <c r="B2110" s="3" t="str">
        <f aca="false">IF(ISNUMBER(SEARCH("%", A2110)),RIGHT(A2110,3),A2110)</f>
        <v>0.01</v>
      </c>
      <c r="C2110" s="1" t="str">
        <f aca="false" t="array" ref="C2110:C2110">IF(B2109="NEW ROUTE",textsplit(B2110,","),"")</f>
        <v/>
      </c>
      <c r="H2110" s="1" t="str">
        <f aca="false">IF(C2110&lt;&gt;"",DEC2HEX(C2110,2),"")</f>
        <v/>
      </c>
      <c r="I2110" s="1" t="str">
        <f aca="false">IF(D2110&lt;&gt;"",DEC2HEX(D2110,2),"")</f>
        <v/>
      </c>
      <c r="J2110" s="1" t="str">
        <f aca="false">IF(H2110&lt;&gt;"","0x"&amp;I2110&amp;H2110,"")</f>
        <v/>
      </c>
      <c r="L2110" s="1" t="s">
        <v>2812</v>
      </c>
      <c r="M2110" s="1" t="str">
        <f aca="false">IF(J2110&lt;&gt;"",J2110,L2110)</f>
        <v>0.01</v>
      </c>
    </row>
    <row r="2111" customFormat="false" ht="12.75" hidden="false" customHeight="true" outlineLevel="0" collapsed="false">
      <c r="A2111" s="3" t="s">
        <v>3402</v>
      </c>
      <c r="B2111" s="3" t="str">
        <f aca="false">IF(ISNUMBER(SEARCH("%", A2111)),RIGHT(A2111,3),A2111)</f>
        <v>23, 27, SANDSLASH</v>
      </c>
      <c r="C2111" s="1" t="str">
        <f aca="false" t="array" ref="C2111:C2111">IF(B2110="NEW ROUTE",textsplit(B2111,","),"")</f>
        <v/>
      </c>
      <c r="H2111" s="1" t="str">
        <f aca="false">IF(C2111&lt;&gt;"",DEC2HEX(C2111,2),"")</f>
        <v/>
      </c>
      <c r="I2111" s="1" t="str">
        <f aca="false">IF(D2111&lt;&gt;"",DEC2HEX(D2111,2),"")</f>
        <v/>
      </c>
      <c r="J2111" s="1" t="str">
        <f aca="false">IF(H2111&lt;&gt;"","0x"&amp;I2111&amp;H2111,"")</f>
        <v/>
      </c>
      <c r="L2111" s="1" t="s">
        <v>3402</v>
      </c>
      <c r="M2111" s="1" t="str">
        <f aca="false">IF(J2111&lt;&gt;"",J2111,L2111)</f>
        <v>23, 27, SANDSLASH</v>
      </c>
    </row>
    <row r="2112" customFormat="false" ht="12.75" hidden="false" customHeight="true" outlineLevel="0" collapsed="false">
      <c r="A2112" s="3" t="s">
        <v>3403</v>
      </c>
      <c r="B2112" s="3" t="str">
        <f aca="false">IF(ISNUMBER(SEARCH("%", A2112)),RIGHT(A2112,3),A2112)</f>
        <v>23, 27, VENOMOTH , &lt;null&gt;, &lt;null&gt;, &lt;null&gt;</v>
      </c>
      <c r="C2112" s="1" t="str">
        <f aca="false" t="array" ref="C2112:C2112">IF(B2111="NEW ROUTE",textsplit(B2112,","),"")</f>
        <v/>
      </c>
      <c r="H2112" s="1" t="str">
        <f aca="false">IF(C2112&lt;&gt;"",DEC2HEX(C2112,2),"")</f>
        <v/>
      </c>
      <c r="I2112" s="1" t="str">
        <f aca="false">IF(D2112&lt;&gt;"",DEC2HEX(D2112,2),"")</f>
        <v/>
      </c>
      <c r="J2112" s="1" t="str">
        <f aca="false">IF(H2112&lt;&gt;"","0x"&amp;I2112&amp;H2112,"")</f>
        <v/>
      </c>
      <c r="L2112" s="1" t="s">
        <v>3403</v>
      </c>
      <c r="M2112" s="1" t="str">
        <f aca="false">IF(J2112&lt;&gt;"",J2112,L2112)</f>
        <v>23, 27, VENOMOTH , &lt;null&gt;, &lt;null&gt;, &lt;null&gt;</v>
      </c>
    </row>
    <row r="2113" customFormat="false" ht="12.75" hidden="false" customHeight="true" outlineLevel="0" collapsed="false">
      <c r="A2113" s="3" t="s">
        <v>2536</v>
      </c>
      <c r="B2113" s="3" t="str">
        <f aca="false">IF(ISNUMBER(SEARCH("%", A2113)),RIGHT(A2113,3),A2113)</f>
        <v>NEW ROUTE</v>
      </c>
      <c r="C2113" s="1" t="str">
        <f aca="false" t="array" ref="C2113:C2113">IF(B2112="NEW ROUTE",textsplit(B2113,","),"")</f>
        <v/>
      </c>
      <c r="H2113" s="1" t="str">
        <f aca="false">IF(C2113&lt;&gt;"",DEC2HEX(C2113,2),"")</f>
        <v/>
      </c>
      <c r="I2113" s="1" t="str">
        <f aca="false">IF(D2113&lt;&gt;"",DEC2HEX(D2113,2),"")</f>
        <v/>
      </c>
      <c r="J2113" s="1" t="str">
        <f aca="false">IF(H2113&lt;&gt;"","0x"&amp;I2113&amp;H2113,"")</f>
        <v/>
      </c>
      <c r="L2113" s="1" t="s">
        <v>2536</v>
      </c>
      <c r="M2113" s="1" t="str">
        <f aca="false">IF(J2113&lt;&gt;"",J2113,L2113)</f>
        <v>NEW ROUTE</v>
      </c>
    </row>
    <row r="2114" customFormat="false" ht="12.75" hidden="false" customHeight="true" outlineLevel="0" collapsed="false">
      <c r="A2114" s="3" t="s">
        <v>3404</v>
      </c>
      <c r="B2114" s="3" t="str">
        <f aca="false">IF(ISNUMBER(SEARCH("%", A2114)),RIGHT(A2114,3),A2114)</f>
        <v>3, 27, 0,</v>
      </c>
      <c r="C2114" s="1" t="e">
        <f aca="false" t="array" ref="C2114:C2114">IF(B2113="NEW ROUTE",textsplit(B2114,","),"")</f>
        <v>#NAME?</v>
      </c>
      <c r="H2114" s="1" t="e">
        <f aca="false">IF(C2114&lt;&gt;"",DEC2HEX(C2114,2),"")</f>
        <v>#NAME?</v>
      </c>
      <c r="I2114" s="1" t="str">
        <f aca="false">IF(D2114&lt;&gt;"",DEC2HEX(D2114,2),"")</f>
        <v/>
      </c>
      <c r="J2114" s="1" t="e">
        <f aca="false">IF(H2114&lt;&gt;"","0x"&amp;I2114&amp;H2114,"")</f>
        <v>#NAME?</v>
      </c>
      <c r="L2114" s="1" t="s">
        <v>3404</v>
      </c>
      <c r="M2114" s="1" t="e">
        <f aca="false">IF(J2114&lt;&gt;"",J2114,L2114)</f>
        <v>#NAME?</v>
      </c>
    </row>
    <row r="2115" customFormat="false" ht="12.75" hidden="false" customHeight="true" outlineLevel="0" collapsed="false">
      <c r="A2115" s="3" t="s">
        <v>2908</v>
      </c>
      <c r="B2115" s="3" t="str">
        <f aca="false">IF(ISNUMBER(SEARCH("%", A2115)),RIGHT(A2115,3),A2115)</f>
        <v>20%</v>
      </c>
      <c r="C2115" s="1" t="str">
        <f aca="false" t="array" ref="C2115:C2115">IF(B2114="NEW ROUTE",textsplit(B2115,","),"")</f>
        <v/>
      </c>
      <c r="H2115" s="1" t="str">
        <f aca="false">IF(C2115&lt;&gt;"",DEC2HEX(C2115,2),"")</f>
        <v/>
      </c>
      <c r="I2115" s="1" t="str">
        <f aca="false">IF(D2115&lt;&gt;"",DEC2HEX(D2115,2),"")</f>
        <v/>
      </c>
      <c r="J2115" s="1" t="str">
        <f aca="false">IF(H2115&lt;&gt;"","0x"&amp;I2115&amp;H2115,"")</f>
        <v/>
      </c>
      <c r="L2115" s="1" t="s">
        <v>2799</v>
      </c>
      <c r="M2115" s="1" t="str">
        <f aca="false">IF(J2115&lt;&gt;"",J2115,L2115)</f>
        <v>20%</v>
      </c>
    </row>
    <row r="2116" customFormat="false" ht="12.75" hidden="false" customHeight="true" outlineLevel="0" collapsed="false">
      <c r="A2116" s="3" t="s">
        <v>1875</v>
      </c>
      <c r="B2116" s="3" t="str">
        <f aca="false">IF(ISNUMBER(SEARCH("%", A2116)),RIGHT(A2116,3),A2116)</f>
        <v>17, 22, NIDORINA</v>
      </c>
      <c r="C2116" s="1" t="str">
        <f aca="false" t="array" ref="C2116:C2116">IF(B2115="NEW ROUTE",textsplit(B2116,","),"")</f>
        <v/>
      </c>
      <c r="H2116" s="1" t="str">
        <f aca="false">IF(C2116&lt;&gt;"",DEC2HEX(C2116,2),"")</f>
        <v/>
      </c>
      <c r="I2116" s="1" t="str">
        <f aca="false">IF(D2116&lt;&gt;"",DEC2HEX(D2116,2),"")</f>
        <v/>
      </c>
      <c r="J2116" s="1" t="str">
        <f aca="false">IF(H2116&lt;&gt;"","0x"&amp;I2116&amp;H2116,"")</f>
        <v/>
      </c>
      <c r="L2116" s="1" t="s">
        <v>1875</v>
      </c>
      <c r="M2116" s="1" t="str">
        <f aca="false">IF(J2116&lt;&gt;"",J2116,L2116)</f>
        <v>17, 22, NIDORINA</v>
      </c>
    </row>
    <row r="2117" customFormat="false" ht="12.75" hidden="false" customHeight="true" outlineLevel="0" collapsed="false">
      <c r="A2117" s="3" t="s">
        <v>3405</v>
      </c>
      <c r="B2117" s="3" t="str">
        <f aca="false">IF(ISNUMBER(SEARCH("%", A2117)),RIGHT(A2117,3),A2117)</f>
        <v>17, 22, NIDORINO</v>
      </c>
      <c r="C2117" s="1" t="str">
        <f aca="false" t="array" ref="C2117:C2117">IF(B2116="NEW ROUTE",textsplit(B2117,","),"")</f>
        <v/>
      </c>
      <c r="H2117" s="1" t="str">
        <f aca="false">IF(C2117&lt;&gt;"",DEC2HEX(C2117,2),"")</f>
        <v/>
      </c>
      <c r="I2117" s="1" t="str">
        <f aca="false">IF(D2117&lt;&gt;"",DEC2HEX(D2117,2),"")</f>
        <v/>
      </c>
      <c r="J2117" s="1" t="str">
        <f aca="false">IF(H2117&lt;&gt;"","0x"&amp;I2117&amp;H2117,"")</f>
        <v/>
      </c>
      <c r="L2117" s="1" t="s">
        <v>3405</v>
      </c>
      <c r="M2117" s="1" t="str">
        <f aca="false">IF(J2117&lt;&gt;"",J2117,L2117)</f>
        <v>17, 22, NIDORINO</v>
      </c>
    </row>
    <row r="2118" customFormat="false" ht="12.75" hidden="false" customHeight="true" outlineLevel="0" collapsed="false">
      <c r="A2118" s="3" t="s">
        <v>2801</v>
      </c>
      <c r="B2118" s="3" t="str">
        <f aca="false">IF(ISNUMBER(SEARCH("%", A2118)),RIGHT(A2118,3),A2118)</f>
        <v>0.1</v>
      </c>
      <c r="C2118" s="1" t="str">
        <f aca="false" t="array" ref="C2118:C2118">IF(B2117="NEW ROUTE",textsplit(B2118,","),"")</f>
        <v/>
      </c>
      <c r="H2118" s="1" t="str">
        <f aca="false">IF(C2118&lt;&gt;"",DEC2HEX(C2118,2),"")</f>
        <v/>
      </c>
      <c r="I2118" s="1" t="str">
        <f aca="false">IF(D2118&lt;&gt;"",DEC2HEX(D2118,2),"")</f>
        <v/>
      </c>
      <c r="J2118" s="1" t="str">
        <f aca="false">IF(H2118&lt;&gt;"","0x"&amp;I2118&amp;H2118,"")</f>
        <v/>
      </c>
      <c r="L2118" s="1" t="s">
        <v>2801</v>
      </c>
      <c r="M2118" s="1" t="str">
        <f aca="false">IF(J2118&lt;&gt;"",J2118,L2118)</f>
        <v>0.1</v>
      </c>
    </row>
    <row r="2119" customFormat="false" ht="12.75" hidden="false" customHeight="true" outlineLevel="0" collapsed="false">
      <c r="A2119" s="3" t="s">
        <v>3406</v>
      </c>
      <c r="B2119" s="3" t="str">
        <f aca="false">IF(ISNUMBER(SEARCH("%", A2119)),RIGHT(A2119,3),A2119)</f>
        <v>16, 19, SPEAROW</v>
      </c>
      <c r="C2119" s="1" t="str">
        <f aca="false" t="array" ref="C2119:C2119">IF(B2118="NEW ROUTE",textsplit(B2119,","),"")</f>
        <v/>
      </c>
      <c r="H2119" s="1" t="str">
        <f aca="false">IF(C2119&lt;&gt;"",DEC2HEX(C2119,2),"")</f>
        <v/>
      </c>
      <c r="I2119" s="1" t="str">
        <f aca="false">IF(D2119&lt;&gt;"",DEC2HEX(D2119,2),"")</f>
        <v/>
      </c>
      <c r="J2119" s="1" t="str">
        <f aca="false">IF(H2119&lt;&gt;"","0x"&amp;I2119&amp;H2119,"")</f>
        <v/>
      </c>
      <c r="L2119" s="1" t="s">
        <v>3406</v>
      </c>
      <c r="M2119" s="1" t="str">
        <f aca="false">IF(J2119&lt;&gt;"",J2119,L2119)</f>
        <v>16, 19, SPEAROW</v>
      </c>
    </row>
    <row r="2120" customFormat="false" ht="12.75" hidden="false" customHeight="true" outlineLevel="0" collapsed="false">
      <c r="A2120" s="3" t="s">
        <v>3407</v>
      </c>
      <c r="B2120" s="3" t="str">
        <f aca="false">IF(ISNUMBER(SEARCH("%", A2120)),RIGHT(A2120,3),A2120)</f>
        <v>16, 19, CUBONE</v>
      </c>
      <c r="C2120" s="1" t="str">
        <f aca="false" t="array" ref="C2120:C2120">IF(B2119="NEW ROUTE",textsplit(B2120,","),"")</f>
        <v/>
      </c>
      <c r="H2120" s="1" t="str">
        <f aca="false">IF(C2120&lt;&gt;"",DEC2HEX(C2120,2),"")</f>
        <v/>
      </c>
      <c r="I2120" s="1" t="str">
        <f aca="false">IF(D2120&lt;&gt;"",DEC2HEX(D2120,2),"")</f>
        <v/>
      </c>
      <c r="J2120" s="1" t="str">
        <f aca="false">IF(H2120&lt;&gt;"","0x"&amp;I2120&amp;H2120,"")</f>
        <v/>
      </c>
      <c r="L2120" s="1" t="s">
        <v>3407</v>
      </c>
      <c r="M2120" s="1" t="str">
        <f aca="false">IF(J2120&lt;&gt;"",J2120,L2120)</f>
        <v>16, 19, CUBONE</v>
      </c>
    </row>
    <row r="2121" customFormat="false" ht="12.75" hidden="false" customHeight="true" outlineLevel="0" collapsed="false">
      <c r="A2121" s="3" t="s">
        <v>3408</v>
      </c>
      <c r="B2121" s="3" t="str">
        <f aca="false">IF(ISNUMBER(SEARCH("%", A2121)),RIGHT(A2121,3),A2121)</f>
        <v>16, 19, MACHOP</v>
      </c>
      <c r="C2121" s="1" t="str">
        <f aca="false" t="array" ref="C2121:C2121">IF(B2120="NEW ROUTE",textsplit(B2121,","),"")</f>
        <v/>
      </c>
      <c r="H2121" s="1" t="str">
        <f aca="false">IF(C2121&lt;&gt;"",DEC2HEX(C2121,2),"")</f>
        <v/>
      </c>
      <c r="I2121" s="1" t="str">
        <f aca="false">IF(D2121&lt;&gt;"",DEC2HEX(D2121,2),"")</f>
        <v/>
      </c>
      <c r="J2121" s="1" t="str">
        <f aca="false">IF(H2121&lt;&gt;"","0x"&amp;I2121&amp;H2121,"")</f>
        <v/>
      </c>
      <c r="L2121" s="1" t="s">
        <v>3408</v>
      </c>
      <c r="M2121" s="1" t="str">
        <f aca="false">IF(J2121&lt;&gt;"",J2121,L2121)</f>
        <v>16, 19, MACHOP</v>
      </c>
    </row>
    <row r="2122" customFormat="false" ht="12.75" hidden="false" customHeight="true" outlineLevel="0" collapsed="false">
      <c r="A2122" s="3" t="s">
        <v>3409</v>
      </c>
      <c r="B2122" s="3" t="str">
        <f aca="false">IF(ISNUMBER(SEARCH("%", A2122)),RIGHT(A2122,3),A2122)</f>
        <v>16, 19, SANDSHREW</v>
      </c>
      <c r="C2122" s="1" t="str">
        <f aca="false" t="array" ref="C2122:C2122">IF(B2121="NEW ROUTE",textsplit(B2122,","),"")</f>
        <v/>
      </c>
      <c r="H2122" s="1" t="str">
        <f aca="false">IF(C2122&lt;&gt;"",DEC2HEX(C2122,2),"")</f>
        <v/>
      </c>
      <c r="I2122" s="1" t="str">
        <f aca="false">IF(D2122&lt;&gt;"",DEC2HEX(D2122,2),"")</f>
        <v/>
      </c>
      <c r="J2122" s="1" t="str">
        <f aca="false">IF(H2122&lt;&gt;"","0x"&amp;I2122&amp;H2122,"")</f>
        <v/>
      </c>
      <c r="L2122" s="1" t="s">
        <v>3409</v>
      </c>
      <c r="M2122" s="1" t="str">
        <f aca="false">IF(J2122&lt;&gt;"",J2122,L2122)</f>
        <v>16, 19, SANDSHREW</v>
      </c>
    </row>
    <row r="2123" customFormat="false" ht="12.75" hidden="false" customHeight="true" outlineLevel="0" collapsed="false">
      <c r="A2123" s="3" t="s">
        <v>2806</v>
      </c>
      <c r="B2123" s="3" t="str">
        <f aca="false">IF(ISNUMBER(SEARCH("%", A2123)),RIGHT(A2123,3),A2123)</f>
        <v>0.05</v>
      </c>
      <c r="C2123" s="1" t="str">
        <f aca="false" t="array" ref="C2123:C2123">IF(B2122="NEW ROUTE",textsplit(B2123,","),"")</f>
        <v/>
      </c>
      <c r="H2123" s="1" t="str">
        <f aca="false">IF(C2123&lt;&gt;"",DEC2HEX(C2123,2),"")</f>
        <v/>
      </c>
      <c r="I2123" s="1" t="str">
        <f aca="false">IF(D2123&lt;&gt;"",DEC2HEX(D2123,2),"")</f>
        <v/>
      </c>
      <c r="J2123" s="1" t="str">
        <f aca="false">IF(H2123&lt;&gt;"","0x"&amp;I2123&amp;H2123,"")</f>
        <v/>
      </c>
      <c r="L2123" s="1" t="s">
        <v>2806</v>
      </c>
      <c r="M2123" s="1" t="str">
        <f aca="false">IF(J2123&lt;&gt;"",J2123,L2123)</f>
        <v>0.05</v>
      </c>
    </row>
    <row r="2124" customFormat="false" ht="12.75" hidden="false" customHeight="true" outlineLevel="0" collapsed="false">
      <c r="A2124" s="3" t="s">
        <v>3410</v>
      </c>
      <c r="B2124" s="3" t="str">
        <f aca="false">IF(ISNUMBER(SEARCH("%", A2124)),RIGHT(A2124,3),A2124)</f>
        <v>17, 18, DODUO</v>
      </c>
      <c r="C2124" s="1" t="str">
        <f aca="false" t="array" ref="C2124:C2124">IF(B2123="NEW ROUTE",textsplit(B2124,","),"")</f>
        <v/>
      </c>
      <c r="H2124" s="1" t="str">
        <f aca="false">IF(C2124&lt;&gt;"",DEC2HEX(C2124,2),"")</f>
        <v/>
      </c>
      <c r="I2124" s="1" t="str">
        <f aca="false">IF(D2124&lt;&gt;"",DEC2HEX(D2124,2),"")</f>
        <v/>
      </c>
      <c r="J2124" s="1" t="str">
        <f aca="false">IF(H2124&lt;&gt;"","0x"&amp;I2124&amp;H2124,"")</f>
        <v/>
      </c>
      <c r="L2124" s="1" t="s">
        <v>3410</v>
      </c>
      <c r="M2124" s="1" t="str">
        <f aca="false">IF(J2124&lt;&gt;"",J2124,L2124)</f>
        <v>17, 18, DODUO</v>
      </c>
    </row>
    <row r="2125" customFormat="false" ht="12.75" hidden="false" customHeight="true" outlineLevel="0" collapsed="false">
      <c r="A2125" s="3" t="s">
        <v>3411</v>
      </c>
      <c r="B2125" s="3" t="str">
        <f aca="false">IF(ISNUMBER(SEARCH("%", A2125)),RIGHT(A2125,3),A2125)</f>
        <v>17, 18, DROWZEE</v>
      </c>
      <c r="C2125" s="1" t="str">
        <f aca="false" t="array" ref="C2125:C2125">IF(B2124="NEW ROUTE",textsplit(B2125,","),"")</f>
        <v/>
      </c>
      <c r="H2125" s="1" t="str">
        <f aca="false">IF(C2125&lt;&gt;"",DEC2HEX(C2125,2),"")</f>
        <v/>
      </c>
      <c r="I2125" s="1" t="str">
        <f aca="false">IF(D2125&lt;&gt;"",DEC2HEX(D2125,2),"")</f>
        <v/>
      </c>
      <c r="J2125" s="1" t="str">
        <f aca="false">IF(H2125&lt;&gt;"","0x"&amp;I2125&amp;H2125,"")</f>
        <v/>
      </c>
      <c r="L2125" s="1" t="s">
        <v>3411</v>
      </c>
      <c r="M2125" s="1" t="str">
        <f aca="false">IF(J2125&lt;&gt;"",J2125,L2125)</f>
        <v>17, 18, DROWZEE</v>
      </c>
    </row>
    <row r="2126" customFormat="false" ht="12.75" hidden="false" customHeight="true" outlineLevel="0" collapsed="false">
      <c r="A2126" s="3" t="s">
        <v>2809</v>
      </c>
      <c r="B2126" s="3" t="str">
        <f aca="false">IF(ISNUMBER(SEARCH("%", A2126)),RIGHT(A2126,3),A2126)</f>
        <v>0.04</v>
      </c>
      <c r="C2126" s="1" t="str">
        <f aca="false" t="array" ref="C2126:C2126">IF(B2125="NEW ROUTE",textsplit(B2126,","),"")</f>
        <v/>
      </c>
      <c r="H2126" s="1" t="str">
        <f aca="false">IF(C2126&lt;&gt;"",DEC2HEX(C2126,2),"")</f>
        <v/>
      </c>
      <c r="I2126" s="1" t="str">
        <f aca="false">IF(D2126&lt;&gt;"",DEC2HEX(D2126,2),"")</f>
        <v/>
      </c>
      <c r="J2126" s="1" t="str">
        <f aca="false">IF(H2126&lt;&gt;"","0x"&amp;I2126&amp;H2126,"")</f>
        <v/>
      </c>
      <c r="L2126" s="1" t="s">
        <v>2809</v>
      </c>
      <c r="M2126" s="1" t="str">
        <f aca="false">IF(J2126&lt;&gt;"",J2126,L2126)</f>
        <v>0.04</v>
      </c>
    </row>
    <row r="2127" customFormat="false" ht="12.75" hidden="false" customHeight="true" outlineLevel="0" collapsed="false">
      <c r="A2127" s="3" t="s">
        <v>3412</v>
      </c>
      <c r="B2127" s="3" t="str">
        <f aca="false">IF(ISNUMBER(SEARCH("%", A2127)),RIGHT(A2127,3),A2127)</f>
        <v>16, 25, FEAROW</v>
      </c>
      <c r="C2127" s="1" t="str">
        <f aca="false" t="array" ref="C2127:C2127">IF(B2126="NEW ROUTE",textsplit(B2127,","),"")</f>
        <v/>
      </c>
      <c r="H2127" s="1" t="str">
        <f aca="false">IF(C2127&lt;&gt;"",DEC2HEX(C2127,2),"")</f>
        <v/>
      </c>
      <c r="I2127" s="1" t="str">
        <f aca="false">IF(D2127&lt;&gt;"",DEC2HEX(D2127,2),"")</f>
        <v/>
      </c>
      <c r="J2127" s="1" t="str">
        <f aca="false">IF(H2127&lt;&gt;"","0x"&amp;I2127&amp;H2127,"")</f>
        <v/>
      </c>
      <c r="L2127" s="1" t="s">
        <v>3412</v>
      </c>
      <c r="M2127" s="1" t="str">
        <f aca="false">IF(J2127&lt;&gt;"",J2127,L2127)</f>
        <v>16, 25, FEAROW</v>
      </c>
    </row>
    <row r="2128" customFormat="false" ht="12.75" hidden="false" customHeight="true" outlineLevel="0" collapsed="false">
      <c r="A2128" s="3" t="s">
        <v>3413</v>
      </c>
      <c r="B2128" s="3" t="str">
        <f aca="false">IF(ISNUMBER(SEARCH("%", A2128)),RIGHT(A2128,3),A2128)</f>
        <v>22, 22, SANDSLASH</v>
      </c>
      <c r="C2128" s="1" t="str">
        <f aca="false" t="array" ref="C2128:C2128">IF(B2127="NEW ROUTE",textsplit(B2128,","),"")</f>
        <v/>
      </c>
      <c r="H2128" s="1" t="str">
        <f aca="false">IF(C2128&lt;&gt;"",DEC2HEX(C2128,2),"")</f>
        <v/>
      </c>
      <c r="I2128" s="1" t="str">
        <f aca="false">IF(D2128&lt;&gt;"",DEC2HEX(D2128,2),"")</f>
        <v/>
      </c>
      <c r="J2128" s="1" t="str">
        <f aca="false">IF(H2128&lt;&gt;"","0x"&amp;I2128&amp;H2128,"")</f>
        <v/>
      </c>
      <c r="L2128" s="1" t="s">
        <v>3413</v>
      </c>
      <c r="M2128" s="1" t="str">
        <f aca="false">IF(J2128&lt;&gt;"",J2128,L2128)</f>
        <v>22, 22, SANDSLASH</v>
      </c>
    </row>
    <row r="2129" customFormat="false" ht="12.75" hidden="false" customHeight="true" outlineLevel="0" collapsed="false">
      <c r="A2129" s="3" t="s">
        <v>2812</v>
      </c>
      <c r="B2129" s="3" t="str">
        <f aca="false">IF(ISNUMBER(SEARCH("%", A2129)),RIGHT(A2129,3),A2129)</f>
        <v>0.01</v>
      </c>
      <c r="C2129" s="1" t="str">
        <f aca="false" t="array" ref="C2129:C2129">IF(B2128="NEW ROUTE",textsplit(B2129,","),"")</f>
        <v/>
      </c>
      <c r="H2129" s="1" t="str">
        <f aca="false">IF(C2129&lt;&gt;"",DEC2HEX(C2129,2),"")</f>
        <v/>
      </c>
      <c r="I2129" s="1" t="str">
        <f aca="false">IF(D2129&lt;&gt;"",DEC2HEX(D2129,2),"")</f>
        <v/>
      </c>
      <c r="J2129" s="1" t="str">
        <f aca="false">IF(H2129&lt;&gt;"","0x"&amp;I2129&amp;H2129,"")</f>
        <v/>
      </c>
      <c r="L2129" s="1" t="s">
        <v>2812</v>
      </c>
      <c r="M2129" s="1" t="str">
        <f aca="false">IF(J2129&lt;&gt;"",J2129,L2129)</f>
        <v>0.01</v>
      </c>
    </row>
    <row r="2130" customFormat="false" ht="12.75" hidden="false" customHeight="true" outlineLevel="0" collapsed="false">
      <c r="A2130" s="3" t="s">
        <v>3414</v>
      </c>
      <c r="B2130" s="3" t="str">
        <f aca="false">IF(ISNUMBER(SEARCH("%", A2130)),RIGHT(A2130,3),A2130)</f>
        <v>14, 17, KANGAKID</v>
      </c>
      <c r="C2130" s="1" t="str">
        <f aca="false" t="array" ref="C2130:C2130">IF(B2129="NEW ROUTE",textsplit(B2130,","),"")</f>
        <v/>
      </c>
      <c r="H2130" s="1" t="str">
        <f aca="false">IF(C2130&lt;&gt;"",DEC2HEX(C2130,2),"")</f>
        <v/>
      </c>
      <c r="I2130" s="1" t="str">
        <f aca="false">IF(D2130&lt;&gt;"",DEC2HEX(D2130,2),"")</f>
        <v/>
      </c>
      <c r="J2130" s="1" t="str">
        <f aca="false">IF(H2130&lt;&gt;"","0x"&amp;I2130&amp;H2130,"")</f>
        <v/>
      </c>
      <c r="L2130" s="1" t="s">
        <v>3414</v>
      </c>
      <c r="M2130" s="1" t="str">
        <f aca="false">IF(J2130&lt;&gt;"",J2130,L2130)</f>
        <v>14, 17, KANGAKID</v>
      </c>
    </row>
    <row r="2131" customFormat="false" ht="12.75" hidden="false" customHeight="true" outlineLevel="0" collapsed="false">
      <c r="A2131" s="3" t="s">
        <v>3415</v>
      </c>
      <c r="B2131" s="3" t="str">
        <f aca="false">IF(ISNUMBER(SEARCH("%", A2131)),RIGHT(A2131,3),A2131)</f>
        <v>18, 18, KANGAKID , &lt;null&gt;, &lt;null&gt;, &lt;null&gt;</v>
      </c>
      <c r="C2131" s="1" t="str">
        <f aca="false" t="array" ref="C2131:C2131">IF(B2130="NEW ROUTE",textsplit(B2131,","),"")</f>
        <v/>
      </c>
      <c r="H2131" s="1" t="str">
        <f aca="false">IF(C2131&lt;&gt;"",DEC2HEX(C2131,2),"")</f>
        <v/>
      </c>
      <c r="I2131" s="1" t="str">
        <f aca="false">IF(D2131&lt;&gt;"",DEC2HEX(D2131,2),"")</f>
        <v/>
      </c>
      <c r="J2131" s="1" t="str">
        <f aca="false">IF(H2131&lt;&gt;"","0x"&amp;I2131&amp;H2131,"")</f>
        <v/>
      </c>
      <c r="L2131" s="1" t="s">
        <v>3415</v>
      </c>
      <c r="M2131" s="1" t="str">
        <f aca="false">IF(J2131&lt;&gt;"",J2131,L2131)</f>
        <v>18, 18, KANGAKID , &lt;null&gt;, &lt;null&gt;, &lt;null&gt;</v>
      </c>
    </row>
    <row r="2132" customFormat="false" ht="12.75" hidden="false" customHeight="true" outlineLevel="0" collapsed="false">
      <c r="A2132" s="3" t="s">
        <v>2536</v>
      </c>
      <c r="B2132" s="3" t="str">
        <f aca="false">IF(ISNUMBER(SEARCH("%", A2132)),RIGHT(A2132,3),A2132)</f>
        <v>NEW ROUTE</v>
      </c>
      <c r="C2132" s="1" t="str">
        <f aca="false" t="array" ref="C2132:C2132">IF(B2131="NEW ROUTE",textsplit(B2132,","),"")</f>
        <v/>
      </c>
      <c r="H2132" s="1" t="str">
        <f aca="false">IF(C2132&lt;&gt;"",DEC2HEX(C2132,2),"")</f>
        <v/>
      </c>
      <c r="I2132" s="1" t="str">
        <f aca="false">IF(D2132&lt;&gt;"",DEC2HEX(D2132,2),"")</f>
        <v/>
      </c>
      <c r="J2132" s="1" t="str">
        <f aca="false">IF(H2132&lt;&gt;"","0x"&amp;I2132&amp;H2132,"")</f>
        <v/>
      </c>
      <c r="L2132" s="1" t="s">
        <v>2536</v>
      </c>
      <c r="M2132" s="1" t="str">
        <f aca="false">IF(J2132&lt;&gt;"",J2132,L2132)</f>
        <v>NEW ROUTE</v>
      </c>
    </row>
    <row r="2133" customFormat="false" ht="12.75" hidden="false" customHeight="true" outlineLevel="0" collapsed="false">
      <c r="A2133" s="3" t="s">
        <v>3416</v>
      </c>
      <c r="B2133" s="3" t="str">
        <f aca="false">IF(ISNUMBER(SEARCH("%", A2133)),RIGHT(A2133,3),A2133)</f>
        <v>3, 28, 0,</v>
      </c>
      <c r="C2133" s="1" t="e">
        <f aca="false" t="array" ref="C2133:C2133">IF(B2132="NEW ROUTE",textsplit(B2133,","),"")</f>
        <v>#NAME?</v>
      </c>
      <c r="H2133" s="1" t="e">
        <f aca="false">IF(C2133&lt;&gt;"",DEC2HEX(C2133,2),"")</f>
        <v>#NAME?</v>
      </c>
      <c r="I2133" s="1" t="str">
        <f aca="false">IF(D2133&lt;&gt;"",DEC2HEX(D2133,2),"")</f>
        <v/>
      </c>
      <c r="J2133" s="1" t="e">
        <f aca="false">IF(H2133&lt;&gt;"","0x"&amp;I2133&amp;H2133,"")</f>
        <v>#NAME?</v>
      </c>
      <c r="L2133" s="1" t="s">
        <v>3416</v>
      </c>
      <c r="M2133" s="1" t="e">
        <f aca="false">IF(J2133&lt;&gt;"",J2133,L2133)</f>
        <v>#NAME?</v>
      </c>
    </row>
    <row r="2134" customFormat="false" ht="12.75" hidden="false" customHeight="true" outlineLevel="0" collapsed="false">
      <c r="A2134" s="3" t="s">
        <v>2908</v>
      </c>
      <c r="B2134" s="3" t="str">
        <f aca="false">IF(ISNUMBER(SEARCH("%", A2134)),RIGHT(A2134,3),A2134)</f>
        <v>20%</v>
      </c>
      <c r="C2134" s="1" t="str">
        <f aca="false" t="array" ref="C2134:C2134">IF(B2133="NEW ROUTE",textsplit(B2134,","),"")</f>
        <v/>
      </c>
      <c r="H2134" s="1" t="str">
        <f aca="false">IF(C2134&lt;&gt;"",DEC2HEX(C2134,2),"")</f>
        <v/>
      </c>
      <c r="I2134" s="1" t="str">
        <f aca="false">IF(D2134&lt;&gt;"",DEC2HEX(D2134,2),"")</f>
        <v/>
      </c>
      <c r="J2134" s="1" t="str">
        <f aca="false">IF(H2134&lt;&gt;"","0x"&amp;I2134&amp;H2134,"")</f>
        <v/>
      </c>
      <c r="L2134" s="1" t="s">
        <v>2799</v>
      </c>
      <c r="M2134" s="1" t="str">
        <f aca="false">IF(J2134&lt;&gt;"",J2134,L2134)</f>
        <v>20%</v>
      </c>
    </row>
    <row r="2135" customFormat="false" ht="12.75" hidden="false" customHeight="true" outlineLevel="0" collapsed="false">
      <c r="A2135" s="3" t="s">
        <v>1888</v>
      </c>
      <c r="B2135" s="3" t="str">
        <f aca="false">IF(ISNUMBER(SEARCH("%", A2135)),RIGHT(A2135,3),A2135)</f>
        <v>19, 23, NIDORINA</v>
      </c>
      <c r="C2135" s="1" t="str">
        <f aca="false" t="array" ref="C2135:C2135">IF(B2134="NEW ROUTE",textsplit(B2135,","),"")</f>
        <v/>
      </c>
      <c r="H2135" s="1" t="str">
        <f aca="false">IF(C2135&lt;&gt;"",DEC2HEX(C2135,2),"")</f>
        <v/>
      </c>
      <c r="I2135" s="1" t="str">
        <f aca="false">IF(D2135&lt;&gt;"",DEC2HEX(D2135,2),"")</f>
        <v/>
      </c>
      <c r="J2135" s="1" t="str">
        <f aca="false">IF(H2135&lt;&gt;"","0x"&amp;I2135&amp;H2135,"")</f>
        <v/>
      </c>
      <c r="L2135" s="1" t="s">
        <v>1888</v>
      </c>
      <c r="M2135" s="1" t="str">
        <f aca="false">IF(J2135&lt;&gt;"",J2135,L2135)</f>
        <v>19, 23, NIDORINA</v>
      </c>
    </row>
    <row r="2136" customFormat="false" ht="12.75" hidden="false" customHeight="true" outlineLevel="0" collapsed="false">
      <c r="A2136" s="3" t="s">
        <v>3417</v>
      </c>
      <c r="B2136" s="3" t="str">
        <f aca="false">IF(ISNUMBER(SEARCH("%", A2136)),RIGHT(A2136,3),A2136)</f>
        <v>19, 23, NIDORINO</v>
      </c>
      <c r="C2136" s="1" t="str">
        <f aca="false" t="array" ref="C2136:C2136">IF(B2135="NEW ROUTE",textsplit(B2136,","),"")</f>
        <v/>
      </c>
      <c r="H2136" s="1" t="str">
        <f aca="false">IF(C2136&lt;&gt;"",DEC2HEX(C2136,2),"")</f>
        <v/>
      </c>
      <c r="I2136" s="1" t="str">
        <f aca="false">IF(D2136&lt;&gt;"",DEC2HEX(D2136,2),"")</f>
        <v/>
      </c>
      <c r="J2136" s="1" t="str">
        <f aca="false">IF(H2136&lt;&gt;"","0x"&amp;I2136&amp;H2136,"")</f>
        <v/>
      </c>
      <c r="L2136" s="1" t="s">
        <v>3417</v>
      </c>
      <c r="M2136" s="1" t="str">
        <f aca="false">IF(J2136&lt;&gt;"",J2136,L2136)</f>
        <v>19, 23, NIDORINO</v>
      </c>
    </row>
    <row r="2137" customFormat="false" ht="12.75" hidden="false" customHeight="true" outlineLevel="0" collapsed="false">
      <c r="A2137" s="3" t="s">
        <v>2801</v>
      </c>
      <c r="B2137" s="3" t="str">
        <f aca="false">IF(ISNUMBER(SEARCH("%", A2137)),RIGHT(A2137,3),A2137)</f>
        <v>0.1</v>
      </c>
      <c r="C2137" s="1" t="str">
        <f aca="false" t="array" ref="C2137:C2137">IF(B2136="NEW ROUTE",textsplit(B2137,","),"")</f>
        <v/>
      </c>
      <c r="H2137" s="1" t="str">
        <f aca="false">IF(C2137&lt;&gt;"",DEC2HEX(C2137,2),"")</f>
        <v/>
      </c>
      <c r="I2137" s="1" t="str">
        <f aca="false">IF(D2137&lt;&gt;"",DEC2HEX(D2137,2),"")</f>
        <v/>
      </c>
      <c r="J2137" s="1" t="str">
        <f aca="false">IF(H2137&lt;&gt;"","0x"&amp;I2137&amp;H2137,"")</f>
        <v/>
      </c>
      <c r="L2137" s="1" t="s">
        <v>2801</v>
      </c>
      <c r="M2137" s="1" t="str">
        <f aca="false">IF(J2137&lt;&gt;"",J2137,L2137)</f>
        <v>0.1</v>
      </c>
    </row>
    <row r="2138" customFormat="false" ht="12.75" hidden="false" customHeight="true" outlineLevel="0" collapsed="false">
      <c r="A2138" s="3" t="s">
        <v>3418</v>
      </c>
      <c r="B2138" s="3" t="str">
        <f aca="false">IF(ISNUMBER(SEARCH("%", A2138)),RIGHT(A2138,3),A2138)</f>
        <v>18, 20, SPEAROW</v>
      </c>
      <c r="C2138" s="1" t="str">
        <f aca="false" t="array" ref="C2138:C2138">IF(B2137="NEW ROUTE",textsplit(B2138,","),"")</f>
        <v/>
      </c>
      <c r="H2138" s="1" t="str">
        <f aca="false">IF(C2138&lt;&gt;"",DEC2HEX(C2138,2),"")</f>
        <v/>
      </c>
      <c r="I2138" s="1" t="str">
        <f aca="false">IF(D2138&lt;&gt;"",DEC2HEX(D2138,2),"")</f>
        <v/>
      </c>
      <c r="J2138" s="1" t="str">
        <f aca="false">IF(H2138&lt;&gt;"","0x"&amp;I2138&amp;H2138,"")</f>
        <v/>
      </c>
      <c r="L2138" s="1" t="s">
        <v>3418</v>
      </c>
      <c r="M2138" s="1" t="str">
        <f aca="false">IF(J2138&lt;&gt;"",J2138,L2138)</f>
        <v>18, 20, SPEAROW</v>
      </c>
    </row>
    <row r="2139" customFormat="false" ht="12.75" hidden="false" customHeight="true" outlineLevel="0" collapsed="false">
      <c r="A2139" s="3" t="s">
        <v>3419</v>
      </c>
      <c r="B2139" s="3" t="str">
        <f aca="false">IF(ISNUMBER(SEARCH("%", A2139)),RIGHT(A2139,3),A2139)</f>
        <v>18, 20, CUBONE</v>
      </c>
      <c r="C2139" s="1" t="str">
        <f aca="false" t="array" ref="C2139:C2139">IF(B2138="NEW ROUTE",textsplit(B2139,","),"")</f>
        <v/>
      </c>
      <c r="H2139" s="1" t="str">
        <f aca="false">IF(C2139&lt;&gt;"",DEC2HEX(C2139,2),"")</f>
        <v/>
      </c>
      <c r="I2139" s="1" t="str">
        <f aca="false">IF(D2139&lt;&gt;"",DEC2HEX(D2139,2),"")</f>
        <v/>
      </c>
      <c r="J2139" s="1" t="str">
        <f aca="false">IF(H2139&lt;&gt;"","0x"&amp;I2139&amp;H2139,"")</f>
        <v/>
      </c>
      <c r="L2139" s="1" t="s">
        <v>3419</v>
      </c>
      <c r="M2139" s="1" t="str">
        <f aca="false">IF(J2139&lt;&gt;"",J2139,L2139)</f>
        <v>18, 20, CUBONE</v>
      </c>
    </row>
    <row r="2140" customFormat="false" ht="12.75" hidden="false" customHeight="true" outlineLevel="0" collapsed="false">
      <c r="A2140" s="3" t="s">
        <v>3420</v>
      </c>
      <c r="B2140" s="3" t="str">
        <f aca="false">IF(ISNUMBER(SEARCH("%", A2140)),RIGHT(A2140,3),A2140)</f>
        <v>18, 20, MAGNEMITE</v>
      </c>
      <c r="C2140" s="1" t="str">
        <f aca="false" t="array" ref="C2140:C2140">IF(B2139="NEW ROUTE",textsplit(B2140,","),"")</f>
        <v/>
      </c>
      <c r="H2140" s="1" t="str">
        <f aca="false">IF(C2140&lt;&gt;"",DEC2HEX(C2140,2),"")</f>
        <v/>
      </c>
      <c r="I2140" s="1" t="str">
        <f aca="false">IF(D2140&lt;&gt;"",DEC2HEX(D2140,2),"")</f>
        <v/>
      </c>
      <c r="J2140" s="1" t="str">
        <f aca="false">IF(H2140&lt;&gt;"","0x"&amp;I2140&amp;H2140,"")</f>
        <v/>
      </c>
      <c r="L2140" s="1" t="s">
        <v>3420</v>
      </c>
      <c r="M2140" s="1" t="str">
        <f aca="false">IF(J2140&lt;&gt;"",J2140,L2140)</f>
        <v>18, 20, MAGNEMITE</v>
      </c>
    </row>
    <row r="2141" customFormat="false" ht="12.75" hidden="false" customHeight="true" outlineLevel="0" collapsed="false">
      <c r="A2141" s="3" t="s">
        <v>3421</v>
      </c>
      <c r="B2141" s="3" t="str">
        <f aca="false">IF(ISNUMBER(SEARCH("%", A2141)),RIGHT(A2141,3),A2141)</f>
        <v>18, 20, POLIWAG</v>
      </c>
      <c r="C2141" s="1" t="str">
        <f aca="false" t="array" ref="C2141:C2141">IF(B2140="NEW ROUTE",textsplit(B2141,","),"")</f>
        <v/>
      </c>
      <c r="H2141" s="1" t="str">
        <f aca="false">IF(C2141&lt;&gt;"",DEC2HEX(C2141,2),"")</f>
        <v/>
      </c>
      <c r="I2141" s="1" t="str">
        <f aca="false">IF(D2141&lt;&gt;"",DEC2HEX(D2141,2),"")</f>
        <v/>
      </c>
      <c r="J2141" s="1" t="str">
        <f aca="false">IF(H2141&lt;&gt;"","0x"&amp;I2141&amp;H2141,"")</f>
        <v/>
      </c>
      <c r="L2141" s="1" t="s">
        <v>3421</v>
      </c>
      <c r="M2141" s="1" t="str">
        <f aca="false">IF(J2141&lt;&gt;"",J2141,L2141)</f>
        <v>18, 20, POLIWAG</v>
      </c>
    </row>
    <row r="2142" customFormat="false" ht="12.75" hidden="false" customHeight="true" outlineLevel="0" collapsed="false">
      <c r="A2142" s="3" t="s">
        <v>2806</v>
      </c>
      <c r="B2142" s="3" t="str">
        <f aca="false">IF(ISNUMBER(SEARCH("%", A2142)),RIGHT(A2142,3),A2142)</f>
        <v>0.05</v>
      </c>
      <c r="C2142" s="1" t="str">
        <f aca="false" t="array" ref="C2142:C2142">IF(B2141="NEW ROUTE",textsplit(B2142,","),"")</f>
        <v/>
      </c>
      <c r="H2142" s="1" t="str">
        <f aca="false">IF(C2142&lt;&gt;"",DEC2HEX(C2142,2),"")</f>
        <v/>
      </c>
      <c r="I2142" s="1" t="str">
        <f aca="false">IF(D2142&lt;&gt;"",DEC2HEX(D2142,2),"")</f>
        <v/>
      </c>
      <c r="J2142" s="1" t="str">
        <f aca="false">IF(H2142&lt;&gt;"","0x"&amp;I2142&amp;H2142,"")</f>
        <v/>
      </c>
      <c r="L2142" s="1" t="s">
        <v>2806</v>
      </c>
      <c r="M2142" s="1" t="str">
        <f aca="false">IF(J2142&lt;&gt;"",J2142,L2142)</f>
        <v>0.05</v>
      </c>
    </row>
    <row r="2143" customFormat="false" ht="12.75" hidden="false" customHeight="true" outlineLevel="0" collapsed="false">
      <c r="A2143" s="3" t="s">
        <v>3422</v>
      </c>
      <c r="B2143" s="3" t="str">
        <f aca="false">IF(ISNUMBER(SEARCH("%", A2143)),RIGHT(A2143,3),A2143)</f>
        <v>19, 19, DODUO</v>
      </c>
      <c r="C2143" s="1" t="str">
        <f aca="false" t="array" ref="C2143:C2143">IF(B2142="NEW ROUTE",textsplit(B2143,","),"")</f>
        <v/>
      </c>
      <c r="H2143" s="1" t="str">
        <f aca="false">IF(C2143&lt;&gt;"",DEC2HEX(C2143,2),"")</f>
        <v/>
      </c>
      <c r="I2143" s="1" t="str">
        <f aca="false">IF(D2143&lt;&gt;"",DEC2HEX(D2143,2),"")</f>
        <v/>
      </c>
      <c r="J2143" s="1" t="str">
        <f aca="false">IF(H2143&lt;&gt;"","0x"&amp;I2143&amp;H2143,"")</f>
        <v/>
      </c>
      <c r="L2143" s="1" t="s">
        <v>3422</v>
      </c>
      <c r="M2143" s="1" t="str">
        <f aca="false">IF(J2143&lt;&gt;"",J2143,L2143)</f>
        <v>19, 19, DODUO</v>
      </c>
    </row>
    <row r="2144" customFormat="false" ht="12.75" hidden="false" customHeight="true" outlineLevel="0" collapsed="false">
      <c r="A2144" s="3" t="s">
        <v>3423</v>
      </c>
      <c r="B2144" s="3" t="str">
        <f aca="false">IF(ISNUMBER(SEARCH("%", A2144)),RIGHT(A2144,3),A2144)</f>
        <v>19, 19, VOLTORB</v>
      </c>
      <c r="C2144" s="1" t="str">
        <f aca="false" t="array" ref="C2144:C2144">IF(B2143="NEW ROUTE",textsplit(B2144,","),"")</f>
        <v/>
      </c>
      <c r="H2144" s="1" t="str">
        <f aca="false">IF(C2144&lt;&gt;"",DEC2HEX(C2144,2),"")</f>
        <v/>
      </c>
      <c r="I2144" s="1" t="str">
        <f aca="false">IF(D2144&lt;&gt;"",DEC2HEX(D2144,2),"")</f>
        <v/>
      </c>
      <c r="J2144" s="1" t="str">
        <f aca="false">IF(H2144&lt;&gt;"","0x"&amp;I2144&amp;H2144,"")</f>
        <v/>
      </c>
      <c r="L2144" s="1" t="s">
        <v>3423</v>
      </c>
      <c r="M2144" s="1" t="str">
        <f aca="false">IF(J2144&lt;&gt;"",J2144,L2144)</f>
        <v>19, 19, VOLTORB</v>
      </c>
    </row>
    <row r="2145" customFormat="false" ht="12.75" hidden="false" customHeight="true" outlineLevel="0" collapsed="false">
      <c r="A2145" s="3" t="s">
        <v>2809</v>
      </c>
      <c r="B2145" s="3" t="str">
        <f aca="false">IF(ISNUMBER(SEARCH("%", A2145)),RIGHT(A2145,3),A2145)</f>
        <v>0.04</v>
      </c>
      <c r="C2145" s="1" t="str">
        <f aca="false" t="array" ref="C2145:C2145">IF(B2144="NEW ROUTE",textsplit(B2145,","),"")</f>
        <v/>
      </c>
      <c r="H2145" s="1" t="str">
        <f aca="false">IF(C2145&lt;&gt;"",DEC2HEX(C2145,2),"")</f>
        <v/>
      </c>
      <c r="I2145" s="1" t="str">
        <f aca="false">IF(D2145&lt;&gt;"",DEC2HEX(D2145,2),"")</f>
        <v/>
      </c>
      <c r="J2145" s="1" t="str">
        <f aca="false">IF(H2145&lt;&gt;"","0x"&amp;I2145&amp;H2145,"")</f>
        <v/>
      </c>
      <c r="L2145" s="1" t="s">
        <v>2809</v>
      </c>
      <c r="M2145" s="1" t="str">
        <f aca="false">IF(J2145&lt;&gt;"",J2145,L2145)</f>
        <v>0.04</v>
      </c>
    </row>
    <row r="2146" customFormat="false" ht="12.75" hidden="false" customHeight="true" outlineLevel="0" collapsed="false">
      <c r="A2146" s="3" t="s">
        <v>3424</v>
      </c>
      <c r="B2146" s="3" t="str">
        <f aca="false">IF(ISNUMBER(SEARCH("%", A2146)),RIGHT(A2146,3),A2146)</f>
        <v>20, 25, FEAROW</v>
      </c>
      <c r="C2146" s="1" t="str">
        <f aca="false" t="array" ref="C2146:C2146">IF(B2145="NEW ROUTE",textsplit(B2146,","),"")</f>
        <v/>
      </c>
      <c r="H2146" s="1" t="str">
        <f aca="false">IF(C2146&lt;&gt;"",DEC2HEX(C2146,2),"")</f>
        <v/>
      </c>
      <c r="I2146" s="1" t="str">
        <f aca="false">IF(D2146&lt;&gt;"",DEC2HEX(D2146,2),"")</f>
        <v/>
      </c>
      <c r="J2146" s="1" t="str">
        <f aca="false">IF(H2146&lt;&gt;"","0x"&amp;I2146&amp;H2146,"")</f>
        <v/>
      </c>
      <c r="L2146" s="1" t="s">
        <v>3424</v>
      </c>
      <c r="M2146" s="1" t="str">
        <f aca="false">IF(J2146&lt;&gt;"",J2146,L2146)</f>
        <v>20, 25, FEAROW</v>
      </c>
    </row>
    <row r="2147" customFormat="false" ht="12.75" hidden="false" customHeight="true" outlineLevel="0" collapsed="false">
      <c r="A2147" s="3" t="s">
        <v>3425</v>
      </c>
      <c r="B2147" s="3" t="str">
        <f aca="false">IF(ISNUMBER(SEARCH("%", A2147)),RIGHT(A2147,3),A2147)</f>
        <v>22, 22, POLIWHIRL</v>
      </c>
      <c r="C2147" s="1" t="str">
        <f aca="false" t="array" ref="C2147:C2147">IF(B2146="NEW ROUTE",textsplit(B2147,","),"")</f>
        <v/>
      </c>
      <c r="H2147" s="1" t="str">
        <f aca="false">IF(C2147&lt;&gt;"",DEC2HEX(C2147,2),"")</f>
        <v/>
      </c>
      <c r="I2147" s="1" t="str">
        <f aca="false">IF(D2147&lt;&gt;"",DEC2HEX(D2147,2),"")</f>
        <v/>
      </c>
      <c r="J2147" s="1" t="str">
        <f aca="false">IF(H2147&lt;&gt;"","0x"&amp;I2147&amp;H2147,"")</f>
        <v/>
      </c>
      <c r="L2147" s="1" t="s">
        <v>3425</v>
      </c>
      <c r="M2147" s="1" t="str">
        <f aca="false">IF(J2147&lt;&gt;"",J2147,L2147)</f>
        <v>22, 22, POLIWHIRL</v>
      </c>
    </row>
    <row r="2148" customFormat="false" ht="12.75" hidden="false" customHeight="true" outlineLevel="0" collapsed="false">
      <c r="A2148" s="3" t="s">
        <v>2812</v>
      </c>
      <c r="B2148" s="3" t="str">
        <f aca="false">IF(ISNUMBER(SEARCH("%", A2148)),RIGHT(A2148,3),A2148)</f>
        <v>0.01</v>
      </c>
      <c r="C2148" s="1" t="str">
        <f aca="false" t="array" ref="C2148:C2148">IF(B2147="NEW ROUTE",textsplit(B2148,","),"")</f>
        <v/>
      </c>
      <c r="H2148" s="1" t="str">
        <f aca="false">IF(C2148&lt;&gt;"",DEC2HEX(C2148,2),"")</f>
        <v/>
      </c>
      <c r="I2148" s="1" t="str">
        <f aca="false">IF(D2148&lt;&gt;"",DEC2HEX(D2148,2),"")</f>
        <v/>
      </c>
      <c r="J2148" s="1" t="str">
        <f aca="false">IF(H2148&lt;&gt;"","0x"&amp;I2148&amp;H2148,"")</f>
        <v/>
      </c>
      <c r="L2148" s="1" t="s">
        <v>2812</v>
      </c>
      <c r="M2148" s="1" t="str">
        <f aca="false">IF(J2148&lt;&gt;"",J2148,L2148)</f>
        <v>0.01</v>
      </c>
    </row>
    <row r="2149" customFormat="false" ht="12.75" hidden="false" customHeight="true" outlineLevel="0" collapsed="false">
      <c r="A2149" s="3" t="s">
        <v>3426</v>
      </c>
      <c r="B2149" s="3" t="str">
        <f aca="false">IF(ISNUMBER(SEARCH("%", A2149)),RIGHT(A2149,3),A2149)</f>
        <v>19, 21, TANGELA</v>
      </c>
      <c r="C2149" s="1" t="str">
        <f aca="false" t="array" ref="C2149:C2149">IF(B2148="NEW ROUTE",textsplit(B2149,","),"")</f>
        <v/>
      </c>
      <c r="H2149" s="1" t="str">
        <f aca="false">IF(C2149&lt;&gt;"",DEC2HEX(C2149,2),"")</f>
        <v/>
      </c>
      <c r="I2149" s="1" t="str">
        <f aca="false">IF(D2149&lt;&gt;"",DEC2HEX(D2149,2),"")</f>
        <v/>
      </c>
      <c r="J2149" s="1" t="str">
        <f aca="false">IF(H2149&lt;&gt;"","0x"&amp;I2149&amp;H2149,"")</f>
        <v/>
      </c>
      <c r="L2149" s="1" t="s">
        <v>3426</v>
      </c>
      <c r="M2149" s="1" t="str">
        <f aca="false">IF(J2149&lt;&gt;"",J2149,L2149)</f>
        <v>19, 21, TANGELA</v>
      </c>
    </row>
    <row r="2150" customFormat="false" ht="12.75" hidden="false" customHeight="true" outlineLevel="0" collapsed="false">
      <c r="A2150" s="3" t="s">
        <v>3427</v>
      </c>
      <c r="B2150" s="3" t="str">
        <f aca="false">IF(ISNUMBER(SEARCH("%", A2150)),RIGHT(A2150,3),A2150)</f>
        <v>19, 21, PONYTA</v>
      </c>
      <c r="C2150" s="1" t="str">
        <f aca="false" t="array" ref="C2150:C2150">IF(B2149="NEW ROUTE",textsplit(B2150,","),"")</f>
        <v/>
      </c>
      <c r="H2150" s="1" t="str">
        <f aca="false">IF(C2150&lt;&gt;"",DEC2HEX(C2150,2),"")</f>
        <v/>
      </c>
      <c r="I2150" s="1" t="str">
        <f aca="false">IF(D2150&lt;&gt;"",DEC2HEX(D2150,2),"")</f>
        <v/>
      </c>
      <c r="J2150" s="1" t="str">
        <f aca="false">IF(H2150&lt;&gt;"","0x"&amp;I2150&amp;H2150,"")</f>
        <v/>
      </c>
      <c r="L2150" s="1" t="s">
        <v>3427</v>
      </c>
      <c r="M2150" s="1" t="str">
        <f aca="false">IF(J2150&lt;&gt;"",J2150,L2150)</f>
        <v>19, 21, PONYTA</v>
      </c>
    </row>
    <row r="2151" customFormat="false" ht="12.75" hidden="false" customHeight="true" outlineLevel="0" collapsed="false">
      <c r="A2151" s="3" t="s">
        <v>3349</v>
      </c>
      <c r="B2151" s="3" t="str">
        <f aca="false">IF(ISNUMBER(SEARCH("%", A2151)),RIGHT(A2151,3),A2151)</f>
        <v>2, 38, 42, TENTACOOL</v>
      </c>
      <c r="C2151" s="1" t="str">
        <f aca="false" t="array" ref="C2151:C2151">IF(B2150="NEW ROUTE",textsplit(B2151,","),"")</f>
        <v/>
      </c>
      <c r="H2151" s="1" t="str">
        <f aca="false">IF(C2151&lt;&gt;"",DEC2HEX(C2151,2),"")</f>
        <v/>
      </c>
      <c r="I2151" s="1" t="str">
        <f aca="false">IF(D2151&lt;&gt;"",DEC2HEX(D2151,2),"")</f>
        <v/>
      </c>
      <c r="J2151" s="1" t="str">
        <f aca="false">IF(H2151&lt;&gt;"","0x"&amp;I2151&amp;H2151,"")</f>
        <v/>
      </c>
      <c r="L2151" s="1" t="s">
        <v>3349</v>
      </c>
      <c r="M2151" s="1" t="str">
        <f aca="false">IF(J2151&lt;&gt;"",J2151,L2151)</f>
        <v>2, 38, 42, TENTACOOL</v>
      </c>
    </row>
    <row r="2152" customFormat="false" ht="12.75" hidden="false" customHeight="true" outlineLevel="0" collapsed="false">
      <c r="A2152" s="3" t="s">
        <v>3428</v>
      </c>
      <c r="B2152" s="3" t="str">
        <f aca="false">IF(ISNUMBER(SEARCH("%", A2152)),RIGHT(A2152,3),A2152)</f>
        <v>40, 44, TENTACRUEL</v>
      </c>
      <c r="C2152" s="1" t="str">
        <f aca="false" t="array" ref="C2152:C2152">IF(B2151="NEW ROUTE",textsplit(B2152,","),"")</f>
        <v/>
      </c>
      <c r="H2152" s="1" t="str">
        <f aca="false">IF(C2152&lt;&gt;"",DEC2HEX(C2152,2),"")</f>
        <v/>
      </c>
      <c r="I2152" s="1" t="str">
        <f aca="false">IF(D2152&lt;&gt;"",DEC2HEX(D2152,2),"")</f>
        <v/>
      </c>
      <c r="J2152" s="1" t="str">
        <f aca="false">IF(H2152&lt;&gt;"","0x"&amp;I2152&amp;H2152,"")</f>
        <v/>
      </c>
      <c r="L2152" s="1" t="s">
        <v>3428</v>
      </c>
      <c r="M2152" s="1" t="str">
        <f aca="false">IF(J2152&lt;&gt;"",J2152,L2152)</f>
        <v>40, 44, TENTACRUEL</v>
      </c>
    </row>
    <row r="2153" customFormat="false" ht="12.75" hidden="false" customHeight="true" outlineLevel="0" collapsed="false">
      <c r="A2153" s="3" t="s">
        <v>3024</v>
      </c>
      <c r="B2153" s="3" t="str">
        <f aca="false">IF(ISNUMBER(SEARCH("%", A2153)),RIGHT(A2153,3),A2153)</f>
        <v>42, 46, LAPRAS</v>
      </c>
      <c r="C2153" s="1" t="str">
        <f aca="false" t="array" ref="C2153:C2153">IF(B2152="NEW ROUTE",textsplit(B2153,","),"")</f>
        <v/>
      </c>
      <c r="H2153" s="1" t="str">
        <f aca="false">IF(C2153&lt;&gt;"",DEC2HEX(C2153,2),"")</f>
        <v/>
      </c>
      <c r="I2153" s="1" t="str">
        <f aca="false">IF(D2153&lt;&gt;"",DEC2HEX(D2153,2),"")</f>
        <v/>
      </c>
      <c r="J2153" s="1" t="str">
        <f aca="false">IF(H2153&lt;&gt;"","0x"&amp;I2153&amp;H2153,"")</f>
        <v/>
      </c>
      <c r="L2153" s="1" t="s">
        <v>3024</v>
      </c>
      <c r="M2153" s="1" t="str">
        <f aca="false">IF(J2153&lt;&gt;"",J2153,L2153)</f>
        <v>42, 46, LAPRAS</v>
      </c>
    </row>
    <row r="2154" customFormat="false" ht="12.75" hidden="false" customHeight="true" outlineLevel="0" collapsed="false">
      <c r="A2154" s="3" t="s">
        <v>3429</v>
      </c>
      <c r="B2154" s="3" t="str">
        <f aca="false">IF(ISNUMBER(SEARCH("%", A2154)),RIGHT(A2154,3),A2154)</f>
        <v>42, 46, TENTACATE</v>
      </c>
      <c r="C2154" s="1" t="str">
        <f aca="false" t="array" ref="C2154:C2154">IF(B2153="NEW ROUTE",textsplit(B2154,","),"")</f>
        <v/>
      </c>
      <c r="H2154" s="1" t="str">
        <f aca="false">IF(C2154&lt;&gt;"",DEC2HEX(C2154,2),"")</f>
        <v/>
      </c>
      <c r="I2154" s="1" t="str">
        <f aca="false">IF(D2154&lt;&gt;"",DEC2HEX(D2154,2),"")</f>
        <v/>
      </c>
      <c r="J2154" s="1" t="str">
        <f aca="false">IF(H2154&lt;&gt;"","0x"&amp;I2154&amp;H2154,"")</f>
        <v/>
      </c>
      <c r="L2154" s="1" t="s">
        <v>3429</v>
      </c>
      <c r="M2154" s="1" t="str">
        <f aca="false">IF(J2154&lt;&gt;"",J2154,L2154)</f>
        <v>42, 46, TENTACATE</v>
      </c>
    </row>
    <row r="2155" customFormat="false" ht="12.75" hidden="false" customHeight="true" outlineLevel="0" collapsed="false">
      <c r="A2155" s="3" t="s">
        <v>2924</v>
      </c>
      <c r="B2155" s="3" t="str">
        <f aca="false">IF(ISNUMBER(SEARCH("%", A2155)),RIGHT(A2155,3),A2155)</f>
        <v>44, 48, VAPOREON</v>
      </c>
      <c r="C2155" s="1" t="str">
        <f aca="false" t="array" ref="C2155:C2155">IF(B2154="NEW ROUTE",textsplit(B2155,","),"")</f>
        <v/>
      </c>
      <c r="H2155" s="1" t="str">
        <f aca="false">IF(C2155&lt;&gt;"",DEC2HEX(C2155,2),"")</f>
        <v/>
      </c>
      <c r="I2155" s="1" t="str">
        <f aca="false">IF(D2155&lt;&gt;"",DEC2HEX(D2155,2),"")</f>
        <v/>
      </c>
      <c r="J2155" s="1" t="str">
        <f aca="false">IF(H2155&lt;&gt;"","0x"&amp;I2155&amp;H2155,"")</f>
        <v/>
      </c>
      <c r="L2155" s="1" t="s">
        <v>2924</v>
      </c>
      <c r="M2155" s="1" t="str">
        <f aca="false">IF(J2155&lt;&gt;"",J2155,L2155)</f>
        <v>44, 48, VAPOREON</v>
      </c>
    </row>
    <row r="2156" customFormat="false" ht="12.75" hidden="false" customHeight="true" outlineLevel="0" collapsed="false">
      <c r="A2156" s="3" t="s">
        <v>2925</v>
      </c>
      <c r="B2156" s="3" t="str">
        <f aca="false">IF(ISNUMBER(SEARCH("%", A2156)),RIGHT(A2156,3),A2156)</f>
        <v>20, old rod:</v>
      </c>
      <c r="C2156" s="1" t="str">
        <f aca="false" t="array" ref="C2156:C2156">IF(B2155="NEW ROUTE",textsplit(B2156,","),"")</f>
        <v/>
      </c>
      <c r="H2156" s="1" t="str">
        <f aca="false">IF(C2156&lt;&gt;"",DEC2HEX(C2156,2),"")</f>
        <v/>
      </c>
      <c r="I2156" s="1" t="str">
        <f aca="false">IF(D2156&lt;&gt;"",DEC2HEX(D2156,2),"")</f>
        <v/>
      </c>
      <c r="J2156" s="1" t="str">
        <f aca="false">IF(H2156&lt;&gt;"","0x"&amp;I2156&amp;H2156,"")</f>
        <v/>
      </c>
      <c r="L2156" s="1" t="s">
        <v>2925</v>
      </c>
      <c r="M2156" s="1" t="str">
        <f aca="false">IF(J2156&lt;&gt;"",J2156,L2156)</f>
        <v>20, old rod:</v>
      </c>
    </row>
    <row r="2157" customFormat="false" ht="12.75" hidden="false" customHeight="true" outlineLevel="0" collapsed="false">
      <c r="A2157" s="3" t="s">
        <v>1451</v>
      </c>
      <c r="B2157" s="3" t="str">
        <f aca="false">IF(ISNUMBER(SEARCH("%", A2157)),RIGHT(A2157,3),A2157)</f>
        <v>19, 26, HORSEA</v>
      </c>
      <c r="C2157" s="1" t="str">
        <f aca="false" t="array" ref="C2157:C2157">IF(B2156="NEW ROUTE",textsplit(B2157,","),"")</f>
        <v/>
      </c>
      <c r="H2157" s="1" t="str">
        <f aca="false">IF(C2157&lt;&gt;"",DEC2HEX(C2157,2),"")</f>
        <v/>
      </c>
      <c r="I2157" s="1" t="str">
        <f aca="false">IF(D2157&lt;&gt;"",DEC2HEX(D2157,2),"")</f>
        <v/>
      </c>
      <c r="J2157" s="1" t="str">
        <f aca="false">IF(H2157&lt;&gt;"","0x"&amp;I2157&amp;H2157,"")</f>
        <v/>
      </c>
      <c r="L2157" s="1" t="s">
        <v>1451</v>
      </c>
      <c r="M2157" s="1" t="str">
        <f aca="false">IF(J2157&lt;&gt;"",J2157,L2157)</f>
        <v>19, 26, HORSEA</v>
      </c>
    </row>
    <row r="2158" customFormat="false" ht="12.75" hidden="false" customHeight="true" outlineLevel="0" collapsed="false">
      <c r="A2158" s="3" t="s">
        <v>2008</v>
      </c>
      <c r="B2158" s="3" t="str">
        <f aca="false">IF(ISNUMBER(SEARCH("%", A2158)),RIGHT(A2158,3),A2158)</f>
        <v>19, 26, PSYDUCK</v>
      </c>
      <c r="C2158" s="1" t="str">
        <f aca="false" t="array" ref="C2158:C2158">IF(B2157="NEW ROUTE",textsplit(B2158,","),"")</f>
        <v/>
      </c>
      <c r="H2158" s="1" t="str">
        <f aca="false">IF(C2158&lt;&gt;"",DEC2HEX(C2158,2),"")</f>
        <v/>
      </c>
      <c r="I2158" s="1" t="str">
        <f aca="false">IF(D2158&lt;&gt;"",DEC2HEX(D2158,2),"")</f>
        <v/>
      </c>
      <c r="J2158" s="1" t="str">
        <f aca="false">IF(H2158&lt;&gt;"","0x"&amp;I2158&amp;H2158,"")</f>
        <v/>
      </c>
      <c r="L2158" s="1" t="s">
        <v>2008</v>
      </c>
      <c r="M2158" s="1" t="str">
        <f aca="false">IF(J2158&lt;&gt;"",J2158,L2158)</f>
        <v>19, 26, PSYDUCK</v>
      </c>
    </row>
    <row r="2159" customFormat="false" ht="12.75" hidden="false" customHeight="true" outlineLevel="0" collapsed="false">
      <c r="A2159" s="3" t="s">
        <v>2846</v>
      </c>
      <c r="B2159" s="3" t="str">
        <f aca="false">IF(ISNUMBER(SEARCH("%", A2159)),RIGHT(A2159,3),A2159)</f>
        <v>good rod:</v>
      </c>
      <c r="C2159" s="1" t="str">
        <f aca="false" t="array" ref="C2159:C2159">IF(B2158="NEW ROUTE",textsplit(B2159,","),"")</f>
        <v/>
      </c>
      <c r="H2159" s="1" t="str">
        <f aca="false">IF(C2159&lt;&gt;"",DEC2HEX(C2159,2),"")</f>
        <v/>
      </c>
      <c r="I2159" s="1" t="str">
        <f aca="false">IF(D2159&lt;&gt;"",DEC2HEX(D2159,2),"")</f>
        <v/>
      </c>
      <c r="J2159" s="1" t="str">
        <f aca="false">IF(H2159&lt;&gt;"","0x"&amp;I2159&amp;H2159,"")</f>
        <v/>
      </c>
      <c r="L2159" s="1" t="s">
        <v>2846</v>
      </c>
      <c r="M2159" s="1" t="str">
        <f aca="false">IF(J2159&lt;&gt;"",J2159,L2159)</f>
        <v>good rod:</v>
      </c>
    </row>
    <row r="2160" customFormat="false" ht="12.75" hidden="false" customHeight="true" outlineLevel="0" collapsed="false">
      <c r="A2160" s="3" t="s">
        <v>3430</v>
      </c>
      <c r="B2160" s="3" t="str">
        <f aca="false">IF(ISNUMBER(SEARCH("%", A2160)),RIGHT(A2160,3),A2160)</f>
        <v>29, 33, HORSEA</v>
      </c>
      <c r="C2160" s="1" t="str">
        <f aca="false" t="array" ref="C2160:C2160">IF(B2159="NEW ROUTE",textsplit(B2160,","),"")</f>
        <v/>
      </c>
      <c r="H2160" s="1" t="str">
        <f aca="false">IF(C2160&lt;&gt;"",DEC2HEX(C2160,2),"")</f>
        <v/>
      </c>
      <c r="I2160" s="1" t="str">
        <f aca="false">IF(D2160&lt;&gt;"",DEC2HEX(D2160,2),"")</f>
        <v/>
      </c>
      <c r="J2160" s="1" t="str">
        <f aca="false">IF(H2160&lt;&gt;"","0x"&amp;I2160&amp;H2160,"")</f>
        <v/>
      </c>
      <c r="L2160" s="1" t="s">
        <v>3430</v>
      </c>
      <c r="M2160" s="1" t="str">
        <f aca="false">IF(J2160&lt;&gt;"",J2160,L2160)</f>
        <v>29, 33, HORSEA</v>
      </c>
    </row>
    <row r="2161" customFormat="false" ht="12.75" hidden="false" customHeight="true" outlineLevel="0" collapsed="false">
      <c r="A2161" s="3" t="s">
        <v>3431</v>
      </c>
      <c r="B2161" s="3" t="str">
        <f aca="false">IF(ISNUMBER(SEARCH("%", A2161)),RIGHT(A2161,3),A2161)</f>
        <v>30, 35, SLOWPOKE</v>
      </c>
      <c r="C2161" s="1" t="str">
        <f aca="false" t="array" ref="C2161:C2161">IF(B2160="NEW ROUTE",textsplit(B2161,","),"")</f>
        <v/>
      </c>
      <c r="H2161" s="1" t="str">
        <f aca="false">IF(C2161&lt;&gt;"",DEC2HEX(C2161,2),"")</f>
        <v/>
      </c>
      <c r="I2161" s="1" t="str">
        <f aca="false">IF(D2161&lt;&gt;"",DEC2HEX(D2161,2),"")</f>
        <v/>
      </c>
      <c r="J2161" s="1" t="str">
        <f aca="false">IF(H2161&lt;&gt;"","0x"&amp;I2161&amp;H2161,"")</f>
        <v/>
      </c>
      <c r="L2161" s="1" t="s">
        <v>3431</v>
      </c>
      <c r="M2161" s="1" t="str">
        <f aca="false">IF(J2161&lt;&gt;"",J2161,L2161)</f>
        <v>30, 35, SLOWPOKE</v>
      </c>
    </row>
    <row r="2162" customFormat="false" ht="12.75" hidden="false" customHeight="true" outlineLevel="0" collapsed="false">
      <c r="A2162" s="3" t="s">
        <v>3354</v>
      </c>
      <c r="B2162" s="3" t="str">
        <f aca="false">IF(ISNUMBER(SEARCH("%", A2162)),RIGHT(A2162,3),A2162)</f>
        <v>30, 35, PSYDUCK</v>
      </c>
      <c r="C2162" s="1" t="str">
        <f aca="false" t="array" ref="C2162:C2162">IF(B2161="NEW ROUTE",textsplit(B2162,","),"")</f>
        <v/>
      </c>
      <c r="H2162" s="1" t="str">
        <f aca="false">IF(C2162&lt;&gt;"",DEC2HEX(C2162,2),"")</f>
        <v/>
      </c>
      <c r="I2162" s="1" t="str">
        <f aca="false">IF(D2162&lt;&gt;"",DEC2HEX(D2162,2),"")</f>
        <v/>
      </c>
      <c r="J2162" s="1" t="str">
        <f aca="false">IF(H2162&lt;&gt;"","0x"&amp;I2162&amp;H2162,"")</f>
        <v/>
      </c>
      <c r="L2162" s="1" t="s">
        <v>3354</v>
      </c>
      <c r="M2162" s="1" t="str">
        <f aca="false">IF(J2162&lt;&gt;"",J2162,L2162)</f>
        <v>30, 35, PSYDUCK</v>
      </c>
    </row>
    <row r="2163" customFormat="false" ht="12.75" hidden="false" customHeight="true" outlineLevel="0" collapsed="false">
      <c r="A2163" s="3" t="s">
        <v>2850</v>
      </c>
      <c r="B2163" s="3" t="str">
        <f aca="false">IF(ISNUMBER(SEARCH("%", A2163)),RIGHT(A2163,3),A2163)</f>
        <v>super rod:</v>
      </c>
      <c r="C2163" s="1" t="str">
        <f aca="false" t="array" ref="C2163:C2163">IF(B2162="NEW ROUTE",textsplit(B2163,","),"")</f>
        <v/>
      </c>
      <c r="H2163" s="1" t="str">
        <f aca="false">IF(C2163&lt;&gt;"",DEC2HEX(C2163,2),"")</f>
        <v/>
      </c>
      <c r="I2163" s="1" t="str">
        <f aca="false">IF(D2163&lt;&gt;"",DEC2HEX(D2163,2),"")</f>
        <v/>
      </c>
      <c r="J2163" s="1" t="str">
        <f aca="false">IF(H2163&lt;&gt;"","0x"&amp;I2163&amp;H2163,"")</f>
        <v/>
      </c>
      <c r="L2163" s="1" t="s">
        <v>2850</v>
      </c>
      <c r="M2163" s="1" t="str">
        <f aca="false">IF(J2163&lt;&gt;"",J2163,L2163)</f>
        <v>super rod:</v>
      </c>
    </row>
    <row r="2164" customFormat="false" ht="12.75" hidden="false" customHeight="true" outlineLevel="0" collapsed="false">
      <c r="A2164" s="3" t="s">
        <v>3432</v>
      </c>
      <c r="B2164" s="3" t="str">
        <f aca="false">IF(ISNUMBER(SEARCH("%", A2164)),RIGHT(A2164,3),A2164)</f>
        <v>36, 40, SEADRA</v>
      </c>
      <c r="C2164" s="1" t="str">
        <f aca="false" t="array" ref="C2164:C2164">IF(B2163="NEW ROUTE",textsplit(B2164,","),"")</f>
        <v/>
      </c>
      <c r="H2164" s="1" t="str">
        <f aca="false">IF(C2164&lt;&gt;"",DEC2HEX(C2164,2),"")</f>
        <v/>
      </c>
      <c r="I2164" s="1" t="str">
        <f aca="false">IF(D2164&lt;&gt;"",DEC2HEX(D2164,2),"")</f>
        <v/>
      </c>
      <c r="J2164" s="1" t="str">
        <f aca="false">IF(H2164&lt;&gt;"","0x"&amp;I2164&amp;H2164,"")</f>
        <v/>
      </c>
      <c r="L2164" s="1" t="s">
        <v>3432</v>
      </c>
      <c r="M2164" s="1" t="str">
        <f aca="false">IF(J2164&lt;&gt;"",J2164,L2164)</f>
        <v>36, 40, SEADRA</v>
      </c>
    </row>
    <row r="2165" customFormat="false" ht="12.75" hidden="false" customHeight="true" outlineLevel="0" collapsed="false">
      <c r="A2165" s="3" t="s">
        <v>3433</v>
      </c>
      <c r="B2165" s="3" t="str">
        <f aca="false">IF(ISNUMBER(SEARCH("%", A2165)),RIGHT(A2165,3),A2165)</f>
        <v>36, 40, GOLDUCK</v>
      </c>
      <c r="C2165" s="1" t="str">
        <f aca="false" t="array" ref="C2165:C2165">IF(B2164="NEW ROUTE",textsplit(B2165,","),"")</f>
        <v/>
      </c>
      <c r="H2165" s="1" t="str">
        <f aca="false">IF(C2165&lt;&gt;"",DEC2HEX(C2165,2),"")</f>
        <v/>
      </c>
      <c r="I2165" s="1" t="str">
        <f aca="false">IF(D2165&lt;&gt;"",DEC2HEX(D2165,2),"")</f>
        <v/>
      </c>
      <c r="J2165" s="1" t="str">
        <f aca="false">IF(H2165&lt;&gt;"","0x"&amp;I2165&amp;H2165,"")</f>
        <v/>
      </c>
      <c r="L2165" s="1" t="s">
        <v>3433</v>
      </c>
      <c r="M2165" s="1" t="str">
        <f aca="false">IF(J2165&lt;&gt;"",J2165,L2165)</f>
        <v>36, 40, GOLDUCK</v>
      </c>
    </row>
    <row r="2166" customFormat="false" ht="12.75" hidden="false" customHeight="true" outlineLevel="0" collapsed="false">
      <c r="A2166" s="3" t="s">
        <v>3434</v>
      </c>
      <c r="B2166" s="3" t="str">
        <f aca="false">IF(ISNUMBER(SEARCH("%", A2166)),RIGHT(A2166,3),A2166)</f>
        <v>38, 42, SLOWBRO</v>
      </c>
      <c r="C2166" s="1" t="str">
        <f aca="false" t="array" ref="C2166:C2166">IF(B2165="NEW ROUTE",textsplit(B2166,","),"")</f>
        <v/>
      </c>
      <c r="H2166" s="1" t="str">
        <f aca="false">IF(C2166&lt;&gt;"",DEC2HEX(C2166,2),"")</f>
        <v/>
      </c>
      <c r="I2166" s="1" t="str">
        <f aca="false">IF(D2166&lt;&gt;"",DEC2HEX(D2166,2),"")</f>
        <v/>
      </c>
      <c r="J2166" s="1" t="str">
        <f aca="false">IF(H2166&lt;&gt;"","0x"&amp;I2166&amp;H2166,"")</f>
        <v/>
      </c>
      <c r="L2166" s="1" t="s">
        <v>3434</v>
      </c>
      <c r="M2166" s="1" t="str">
        <f aca="false">IF(J2166&lt;&gt;"",J2166,L2166)</f>
        <v>38, 42, SLOWBRO</v>
      </c>
    </row>
    <row r="2167" customFormat="false" ht="12.75" hidden="false" customHeight="true" outlineLevel="0" collapsed="false">
      <c r="A2167" s="3" t="s">
        <v>3435</v>
      </c>
      <c r="B2167" s="3" t="str">
        <f aca="false">IF(ISNUMBER(SEARCH("%", A2167)),RIGHT(A2167,3),A2167)</f>
        <v>38, 42, KINGDRA</v>
      </c>
      <c r="C2167" s="1" t="str">
        <f aca="false" t="array" ref="C2167:C2167">IF(B2166="NEW ROUTE",textsplit(B2167,","),"")</f>
        <v/>
      </c>
      <c r="H2167" s="1" t="str">
        <f aca="false">IF(C2167&lt;&gt;"",DEC2HEX(C2167,2),"")</f>
        <v/>
      </c>
      <c r="I2167" s="1" t="str">
        <f aca="false">IF(D2167&lt;&gt;"",DEC2HEX(D2167,2),"")</f>
        <v/>
      </c>
      <c r="J2167" s="1" t="str">
        <f aca="false">IF(H2167&lt;&gt;"","0x"&amp;I2167&amp;H2167,"")</f>
        <v/>
      </c>
      <c r="L2167" s="1" t="s">
        <v>3435</v>
      </c>
      <c r="M2167" s="1" t="str">
        <f aca="false">IF(J2167&lt;&gt;"",J2167,L2167)</f>
        <v>38, 42, KINGDRA</v>
      </c>
    </row>
    <row r="2168" customFormat="false" ht="12.75" hidden="false" customHeight="true" outlineLevel="0" collapsed="false">
      <c r="A2168" s="3" t="s">
        <v>3436</v>
      </c>
      <c r="B2168" s="3" t="str">
        <f aca="false">IF(ISNUMBER(SEARCH("%", A2168)),RIGHT(A2168,3),A2168)</f>
        <v>40, 44, GILDUCK</v>
      </c>
      <c r="C2168" s="1" t="str">
        <f aca="false" t="array" ref="C2168:C2168">IF(B2167="NEW ROUTE",textsplit(B2168,","),"")</f>
        <v/>
      </c>
      <c r="H2168" s="1" t="str">
        <f aca="false">IF(C2168&lt;&gt;"",DEC2HEX(C2168,2),"")</f>
        <v/>
      </c>
      <c r="I2168" s="1" t="str">
        <f aca="false">IF(D2168&lt;&gt;"",DEC2HEX(D2168,2),"")</f>
        <v/>
      </c>
      <c r="J2168" s="1" t="str">
        <f aca="false">IF(H2168&lt;&gt;"","0x"&amp;I2168&amp;H2168,"")</f>
        <v/>
      </c>
      <c r="L2168" s="1" t="s">
        <v>3436</v>
      </c>
      <c r="M2168" s="1" t="str">
        <f aca="false">IF(J2168&lt;&gt;"",J2168,L2168)</f>
        <v>40, 44, GILDUCK</v>
      </c>
    </row>
    <row r="2169" customFormat="false" ht="12.75" hidden="false" customHeight="true" outlineLevel="0" collapsed="false">
      <c r="A2169" s="3" t="s">
        <v>2536</v>
      </c>
      <c r="B2169" s="3" t="str">
        <f aca="false">IF(ISNUMBER(SEARCH("%", A2169)),RIGHT(A2169,3),A2169)</f>
        <v>NEW ROUTE</v>
      </c>
      <c r="C2169" s="1" t="str">
        <f aca="false" t="array" ref="C2169:C2169">IF(B2168="NEW ROUTE",textsplit(B2169,","),"")</f>
        <v/>
      </c>
      <c r="H2169" s="1" t="str">
        <f aca="false">IF(C2169&lt;&gt;"",DEC2HEX(C2169,2),"")</f>
        <v/>
      </c>
      <c r="I2169" s="1" t="str">
        <f aca="false">IF(D2169&lt;&gt;"",DEC2HEX(D2169,2),"")</f>
        <v/>
      </c>
      <c r="J2169" s="1" t="str">
        <f aca="false">IF(H2169&lt;&gt;"","0x"&amp;I2169&amp;H2169,"")</f>
        <v/>
      </c>
      <c r="L2169" s="1" t="s">
        <v>2536</v>
      </c>
      <c r="M2169" s="1" t="str">
        <f aca="false">IF(J2169&lt;&gt;"",J2169,L2169)</f>
        <v>NEW ROUTE</v>
      </c>
    </row>
    <row r="2170" customFormat="false" ht="12.75" hidden="false" customHeight="true" outlineLevel="0" collapsed="false">
      <c r="A2170" s="3" t="s">
        <v>3437</v>
      </c>
      <c r="B2170" s="3" t="str">
        <f aca="false">IF(ISNUMBER(SEARCH("%", A2170)),RIGHT(A2170,3),A2170)</f>
        <v>3, 29, 0,</v>
      </c>
      <c r="C2170" s="1" t="e">
        <f aca="false" t="array" ref="C2170:C2170">IF(B2169="NEW ROUTE",textsplit(B2170,","),"")</f>
        <v>#NAME?</v>
      </c>
      <c r="H2170" s="1" t="e">
        <f aca="false">IF(C2170&lt;&gt;"",DEC2HEX(C2170,2),"")</f>
        <v>#NAME?</v>
      </c>
      <c r="I2170" s="1" t="str">
        <f aca="false">IF(D2170&lt;&gt;"",DEC2HEX(D2170,2),"")</f>
        <v/>
      </c>
      <c r="J2170" s="1" t="e">
        <f aca="false">IF(H2170&lt;&gt;"","0x"&amp;I2170&amp;H2170,"")</f>
        <v>#NAME?</v>
      </c>
      <c r="L2170" s="1" t="s">
        <v>3437</v>
      </c>
      <c r="M2170" s="1" t="e">
        <f aca="false">IF(J2170&lt;&gt;"",J2170,L2170)</f>
        <v>#NAME?</v>
      </c>
    </row>
    <row r="2171" customFormat="false" ht="12.75" hidden="false" customHeight="true" outlineLevel="0" collapsed="false">
      <c r="A2171" s="3" t="s">
        <v>2908</v>
      </c>
      <c r="B2171" s="3" t="str">
        <f aca="false">IF(ISNUMBER(SEARCH("%", A2171)),RIGHT(A2171,3),A2171)</f>
        <v>20%</v>
      </c>
      <c r="C2171" s="1" t="str">
        <f aca="false" t="array" ref="C2171:C2171">IF(B2170="NEW ROUTE",textsplit(B2171,","),"")</f>
        <v/>
      </c>
      <c r="H2171" s="1" t="str">
        <f aca="false">IF(C2171&lt;&gt;"",DEC2HEX(C2171,2),"")</f>
        <v/>
      </c>
      <c r="I2171" s="1" t="str">
        <f aca="false">IF(D2171&lt;&gt;"",DEC2HEX(D2171,2),"")</f>
        <v/>
      </c>
      <c r="J2171" s="1" t="str">
        <f aca="false">IF(H2171&lt;&gt;"","0x"&amp;I2171&amp;H2171,"")</f>
        <v/>
      </c>
      <c r="L2171" s="1" t="s">
        <v>2799</v>
      </c>
      <c r="M2171" s="1" t="str">
        <f aca="false">IF(J2171&lt;&gt;"",J2171,L2171)</f>
        <v>20%</v>
      </c>
    </row>
    <row r="2172" customFormat="false" ht="12.75" hidden="false" customHeight="true" outlineLevel="0" collapsed="false">
      <c r="A2172" s="3" t="s">
        <v>1911</v>
      </c>
      <c r="B2172" s="3" t="str">
        <f aca="false">IF(ISNUMBER(SEARCH("%", A2172)),RIGHT(A2172,3),A2172)</f>
        <v>16, 18, EKANS</v>
      </c>
      <c r="C2172" s="1" t="str">
        <f aca="false" t="array" ref="C2172:C2172">IF(B2171="NEW ROUTE",textsplit(B2172,","),"")</f>
        <v/>
      </c>
      <c r="H2172" s="1" t="str">
        <f aca="false">IF(C2172&lt;&gt;"",DEC2HEX(C2172,2),"")</f>
        <v/>
      </c>
      <c r="I2172" s="1" t="str">
        <f aca="false">IF(D2172&lt;&gt;"",DEC2HEX(D2172,2),"")</f>
        <v/>
      </c>
      <c r="J2172" s="1" t="str">
        <f aca="false">IF(H2172&lt;&gt;"","0x"&amp;I2172&amp;H2172,"")</f>
        <v/>
      </c>
      <c r="L2172" s="1" t="s">
        <v>1911</v>
      </c>
      <c r="M2172" s="1" t="str">
        <f aca="false">IF(J2172&lt;&gt;"",J2172,L2172)</f>
        <v>16, 18, EKANS</v>
      </c>
    </row>
    <row r="2173" customFormat="false" ht="12.75" hidden="false" customHeight="true" outlineLevel="0" collapsed="false">
      <c r="A2173" s="3" t="s">
        <v>3438</v>
      </c>
      <c r="B2173" s="3" t="str">
        <f aca="false">IF(ISNUMBER(SEARCH("%", A2173)),RIGHT(A2173,3),A2173)</f>
        <v>16, 18, SPEAROW</v>
      </c>
      <c r="C2173" s="1" t="str">
        <f aca="false" t="array" ref="C2173:C2173">IF(B2172="NEW ROUTE",textsplit(B2173,","),"")</f>
        <v/>
      </c>
      <c r="H2173" s="1" t="str">
        <f aca="false">IF(C2173&lt;&gt;"",DEC2HEX(C2173,2),"")</f>
        <v/>
      </c>
      <c r="I2173" s="1" t="str">
        <f aca="false">IF(D2173&lt;&gt;"",DEC2HEX(D2173,2),"")</f>
        <v/>
      </c>
      <c r="J2173" s="1" t="str">
        <f aca="false">IF(H2173&lt;&gt;"","0x"&amp;I2173&amp;H2173,"")</f>
        <v/>
      </c>
      <c r="L2173" s="1" t="s">
        <v>3438</v>
      </c>
      <c r="M2173" s="1" t="str">
        <f aca="false">IF(J2173&lt;&gt;"",J2173,L2173)</f>
        <v>16, 18, SPEAROW</v>
      </c>
    </row>
    <row r="2174" customFormat="false" ht="12.75" hidden="false" customHeight="true" outlineLevel="0" collapsed="false">
      <c r="A2174" s="3" t="s">
        <v>2801</v>
      </c>
      <c r="B2174" s="3" t="str">
        <f aca="false">IF(ISNUMBER(SEARCH("%", A2174)),RIGHT(A2174,3),A2174)</f>
        <v>0.1</v>
      </c>
      <c r="C2174" s="1" t="str">
        <f aca="false" t="array" ref="C2174:C2174">IF(B2173="NEW ROUTE",textsplit(B2174,","),"")</f>
        <v/>
      </c>
      <c r="H2174" s="1" t="str">
        <f aca="false">IF(C2174&lt;&gt;"",DEC2HEX(C2174,2),"")</f>
        <v/>
      </c>
      <c r="I2174" s="1" t="str">
        <f aca="false">IF(D2174&lt;&gt;"",DEC2HEX(D2174,2),"")</f>
        <v/>
      </c>
      <c r="J2174" s="1" t="str">
        <f aca="false">IF(H2174&lt;&gt;"","0x"&amp;I2174&amp;H2174,"")</f>
        <v/>
      </c>
      <c r="L2174" s="1" t="s">
        <v>2801</v>
      </c>
      <c r="M2174" s="1" t="str">
        <f aca="false">IF(J2174&lt;&gt;"",J2174,L2174)</f>
        <v>0.1</v>
      </c>
    </row>
    <row r="2175" customFormat="false" ht="12.75" hidden="false" customHeight="true" outlineLevel="0" collapsed="false">
      <c r="A2175" s="3" t="s">
        <v>3439</v>
      </c>
      <c r="B2175" s="3" t="str">
        <f aca="false">IF(ISNUMBER(SEARCH("%", A2175)),RIGHT(A2175,3),A2175)</f>
        <v>17, 20, SANDSHREW</v>
      </c>
      <c r="C2175" s="1" t="str">
        <f aca="false" t="array" ref="C2175:C2175">IF(B2174="NEW ROUTE",textsplit(B2175,","),"")</f>
        <v/>
      </c>
      <c r="H2175" s="1" t="str">
        <f aca="false">IF(C2175&lt;&gt;"",DEC2HEX(C2175,2),"")</f>
        <v/>
      </c>
      <c r="I2175" s="1" t="str">
        <f aca="false">IF(D2175&lt;&gt;"",DEC2HEX(D2175,2),"")</f>
        <v/>
      </c>
      <c r="J2175" s="1" t="str">
        <f aca="false">IF(H2175&lt;&gt;"","0x"&amp;I2175&amp;H2175,"")</f>
        <v/>
      </c>
      <c r="L2175" s="1" t="s">
        <v>3439</v>
      </c>
      <c r="M2175" s="1" t="str">
        <f aca="false">IF(J2175&lt;&gt;"",J2175,L2175)</f>
        <v>17, 20, SANDSHREW</v>
      </c>
    </row>
    <row r="2176" customFormat="false" ht="12.75" hidden="false" customHeight="true" outlineLevel="0" collapsed="false">
      <c r="A2176" s="3" t="s">
        <v>3440</v>
      </c>
      <c r="B2176" s="3" t="str">
        <f aca="false">IF(ISNUMBER(SEARCH("%", A2176)),RIGHT(A2176,3),A2176)</f>
        <v>17, 20, DROWZEE</v>
      </c>
      <c r="C2176" s="1" t="str">
        <f aca="false" t="array" ref="C2176:C2176">IF(B2175="NEW ROUTE",textsplit(B2176,","),"")</f>
        <v/>
      </c>
      <c r="H2176" s="1" t="str">
        <f aca="false">IF(C2176&lt;&gt;"",DEC2HEX(C2176,2),"")</f>
        <v/>
      </c>
      <c r="I2176" s="1" t="str">
        <f aca="false">IF(D2176&lt;&gt;"",DEC2HEX(D2176,2),"")</f>
        <v/>
      </c>
      <c r="J2176" s="1" t="str">
        <f aca="false">IF(H2176&lt;&gt;"","0x"&amp;I2176&amp;H2176,"")</f>
        <v/>
      </c>
      <c r="L2176" s="1" t="s">
        <v>3440</v>
      </c>
      <c r="M2176" s="1" t="str">
        <f aca="false">IF(J2176&lt;&gt;"",J2176,L2176)</f>
        <v>17, 20, DROWZEE</v>
      </c>
    </row>
    <row r="2177" customFormat="false" ht="12.75" hidden="false" customHeight="true" outlineLevel="0" collapsed="false">
      <c r="A2177" s="3" t="s">
        <v>3441</v>
      </c>
      <c r="B2177" s="3" t="str">
        <f aca="false">IF(ISNUMBER(SEARCH("%", A2177)),RIGHT(A2177,3),A2177)</f>
        <v>17, 20, MAGNEMITE</v>
      </c>
      <c r="C2177" s="1" t="str">
        <f aca="false" t="array" ref="C2177:C2177">IF(B2176="NEW ROUTE",textsplit(B2177,","),"")</f>
        <v/>
      </c>
      <c r="H2177" s="1" t="str">
        <f aca="false">IF(C2177&lt;&gt;"",DEC2HEX(C2177,2),"")</f>
        <v/>
      </c>
      <c r="I2177" s="1" t="str">
        <f aca="false">IF(D2177&lt;&gt;"",DEC2HEX(D2177,2),"")</f>
        <v/>
      </c>
      <c r="J2177" s="1" t="str">
        <f aca="false">IF(H2177&lt;&gt;"","0x"&amp;I2177&amp;H2177,"")</f>
        <v/>
      </c>
      <c r="L2177" s="1" t="s">
        <v>3441</v>
      </c>
      <c r="M2177" s="1" t="str">
        <f aca="false">IF(J2177&lt;&gt;"",J2177,L2177)</f>
        <v>17, 20, MAGNEMITE</v>
      </c>
    </row>
    <row r="2178" customFormat="false" ht="12.75" hidden="false" customHeight="true" outlineLevel="0" collapsed="false">
      <c r="A2178" s="3" t="s">
        <v>3442</v>
      </c>
      <c r="B2178" s="3" t="str">
        <f aca="false">IF(ISNUMBER(SEARCH("%", A2178)),RIGHT(A2178,3),A2178)</f>
        <v>17, 20, VOLTORB</v>
      </c>
      <c r="C2178" s="1" t="str">
        <f aca="false" t="array" ref="C2178:C2178">IF(B2177="NEW ROUTE",textsplit(B2178,","),"")</f>
        <v/>
      </c>
      <c r="H2178" s="1" t="str">
        <f aca="false">IF(C2178&lt;&gt;"",DEC2HEX(C2178,2),"")</f>
        <v/>
      </c>
      <c r="I2178" s="1" t="str">
        <f aca="false">IF(D2178&lt;&gt;"",DEC2HEX(D2178,2),"")</f>
        <v/>
      </c>
      <c r="J2178" s="1" t="str">
        <f aca="false">IF(H2178&lt;&gt;"","0x"&amp;I2178&amp;H2178,"")</f>
        <v/>
      </c>
      <c r="L2178" s="1" t="s">
        <v>3442</v>
      </c>
      <c r="M2178" s="1" t="str">
        <f aca="false">IF(J2178&lt;&gt;"",J2178,L2178)</f>
        <v>17, 20, VOLTORB</v>
      </c>
    </row>
    <row r="2179" customFormat="false" ht="12.75" hidden="false" customHeight="true" outlineLevel="0" collapsed="false">
      <c r="A2179" s="3" t="s">
        <v>2806</v>
      </c>
      <c r="B2179" s="3" t="str">
        <f aca="false">IF(ISNUMBER(SEARCH("%", A2179)),RIGHT(A2179,3),A2179)</f>
        <v>0.05</v>
      </c>
      <c r="C2179" s="1" t="str">
        <f aca="false" t="array" ref="C2179:C2179">IF(B2178="NEW ROUTE",textsplit(B2179,","),"")</f>
        <v/>
      </c>
      <c r="H2179" s="1" t="str">
        <f aca="false">IF(C2179&lt;&gt;"",DEC2HEX(C2179,2),"")</f>
        <v/>
      </c>
      <c r="I2179" s="1" t="str">
        <f aca="false">IF(D2179&lt;&gt;"",DEC2HEX(D2179,2),"")</f>
        <v/>
      </c>
      <c r="J2179" s="1" t="str">
        <f aca="false">IF(H2179&lt;&gt;"","0x"&amp;I2179&amp;H2179,"")</f>
        <v/>
      </c>
      <c r="L2179" s="1" t="s">
        <v>2806</v>
      </c>
      <c r="M2179" s="1" t="str">
        <f aca="false">IF(J2179&lt;&gt;"",J2179,L2179)</f>
        <v>0.05</v>
      </c>
    </row>
    <row r="2180" customFormat="false" ht="12.75" hidden="false" customHeight="true" outlineLevel="0" collapsed="false">
      <c r="A2180" s="3" t="s">
        <v>3443</v>
      </c>
      <c r="B2180" s="3" t="str">
        <f aca="false">IF(ISNUMBER(SEARCH("%", A2180)),RIGHT(A2180,3),A2180)</f>
        <v>18, 18, FARFETCH'D</v>
      </c>
      <c r="C2180" s="1" t="str">
        <f aca="false" t="array" ref="C2180:C2180">IF(B2179="NEW ROUTE",textsplit(B2180,","),"")</f>
        <v/>
      </c>
      <c r="H2180" s="1" t="str">
        <f aca="false">IF(C2180&lt;&gt;"",DEC2HEX(C2180,2),"")</f>
        <v/>
      </c>
      <c r="I2180" s="1" t="str">
        <f aca="false">IF(D2180&lt;&gt;"",DEC2HEX(D2180,2),"")</f>
        <v/>
      </c>
      <c r="J2180" s="1" t="str">
        <f aca="false">IF(H2180&lt;&gt;"","0x"&amp;I2180&amp;H2180,"")</f>
        <v/>
      </c>
      <c r="L2180" s="1" t="s">
        <v>3443</v>
      </c>
      <c r="M2180" s="1" t="str">
        <f aca="false">IF(J2180&lt;&gt;"",J2180,L2180)</f>
        <v>18, 18, FARFETCH'D</v>
      </c>
    </row>
    <row r="2181" customFormat="false" ht="12.75" hidden="false" customHeight="true" outlineLevel="0" collapsed="false">
      <c r="A2181" s="3" t="s">
        <v>3444</v>
      </c>
      <c r="B2181" s="3" t="str">
        <f aca="false">IF(ISNUMBER(SEARCH("%", A2181)),RIGHT(A2181,3),A2181)</f>
        <v>18, 18, ABRA</v>
      </c>
      <c r="C2181" s="1" t="str">
        <f aca="false" t="array" ref="C2181:C2181">IF(B2180="NEW ROUTE",textsplit(B2181,","),"")</f>
        <v/>
      </c>
      <c r="H2181" s="1" t="str">
        <f aca="false">IF(C2181&lt;&gt;"",DEC2HEX(C2181,2),"")</f>
        <v/>
      </c>
      <c r="I2181" s="1" t="str">
        <f aca="false">IF(D2181&lt;&gt;"",DEC2HEX(D2181,2),"")</f>
        <v/>
      </c>
      <c r="J2181" s="1" t="str">
        <f aca="false">IF(H2181&lt;&gt;"","0x"&amp;I2181&amp;H2181,"")</f>
        <v/>
      </c>
      <c r="L2181" s="1" t="s">
        <v>3444</v>
      </c>
      <c r="M2181" s="1" t="str">
        <f aca="false">IF(J2181&lt;&gt;"",J2181,L2181)</f>
        <v>18, 18, ABRA</v>
      </c>
    </row>
    <row r="2182" customFormat="false" ht="12.75" hidden="false" customHeight="true" outlineLevel="0" collapsed="false">
      <c r="A2182" s="3" t="s">
        <v>2809</v>
      </c>
      <c r="B2182" s="3" t="str">
        <f aca="false">IF(ISNUMBER(SEARCH("%", A2182)),RIGHT(A2182,3),A2182)</f>
        <v>0.04</v>
      </c>
      <c r="C2182" s="1" t="str">
        <f aca="false" t="array" ref="C2182:C2182">IF(B2181="NEW ROUTE",textsplit(B2182,","),"")</f>
        <v/>
      </c>
      <c r="H2182" s="1" t="str">
        <f aca="false">IF(C2182&lt;&gt;"",DEC2HEX(C2182,2),"")</f>
        <v/>
      </c>
      <c r="I2182" s="1" t="str">
        <f aca="false">IF(D2182&lt;&gt;"",DEC2HEX(D2182,2),"")</f>
        <v/>
      </c>
      <c r="J2182" s="1" t="str">
        <f aca="false">IF(H2182&lt;&gt;"","0x"&amp;I2182&amp;H2182,"")</f>
        <v/>
      </c>
      <c r="L2182" s="1" t="s">
        <v>2809</v>
      </c>
      <c r="M2182" s="1" t="str">
        <f aca="false">IF(J2182&lt;&gt;"",J2182,L2182)</f>
        <v>0.04</v>
      </c>
    </row>
    <row r="2183" customFormat="false" ht="12.75" hidden="false" customHeight="true" outlineLevel="0" collapsed="false">
      <c r="A2183" s="3" t="s">
        <v>3445</v>
      </c>
      <c r="B2183" s="3" t="str">
        <f aca="false">IF(ISNUMBER(SEARCH("%", A2183)),RIGHT(A2183,3),A2183)</f>
        <v>15, 19, PIKACHU</v>
      </c>
      <c r="C2183" s="1" t="str">
        <f aca="false" t="array" ref="C2183:C2183">IF(B2182="NEW ROUTE",textsplit(B2183,","),"")</f>
        <v/>
      </c>
      <c r="H2183" s="1" t="str">
        <f aca="false">IF(C2183&lt;&gt;"",DEC2HEX(C2183,2),"")</f>
        <v/>
      </c>
      <c r="I2183" s="1" t="str">
        <f aca="false">IF(D2183&lt;&gt;"",DEC2HEX(D2183,2),"")</f>
        <v/>
      </c>
      <c r="J2183" s="1" t="str">
        <f aca="false">IF(H2183&lt;&gt;"","0x"&amp;I2183&amp;H2183,"")</f>
        <v/>
      </c>
      <c r="L2183" s="1" t="s">
        <v>3445</v>
      </c>
      <c r="M2183" s="1" t="str">
        <f aca="false">IF(J2183&lt;&gt;"",J2183,L2183)</f>
        <v>15, 19, PIKACHU</v>
      </c>
    </row>
    <row r="2184" customFormat="false" ht="12.75" hidden="false" customHeight="true" outlineLevel="0" collapsed="false">
      <c r="A2184" s="3" t="s">
        <v>3446</v>
      </c>
      <c r="B2184" s="3" t="str">
        <f aca="false">IF(ISNUMBER(SEARCH("%", A2184)),RIGHT(A2184,3),A2184)</f>
        <v>15, 19, KADABRA</v>
      </c>
      <c r="C2184" s="1" t="str">
        <f aca="false" t="array" ref="C2184:C2184">IF(B2183="NEW ROUTE",textsplit(B2184,","),"")</f>
        <v/>
      </c>
      <c r="H2184" s="1" t="str">
        <f aca="false">IF(C2184&lt;&gt;"",DEC2HEX(C2184,2),"")</f>
        <v/>
      </c>
      <c r="I2184" s="1" t="str">
        <f aca="false">IF(D2184&lt;&gt;"",DEC2HEX(D2184,2),"")</f>
        <v/>
      </c>
      <c r="J2184" s="1" t="str">
        <f aca="false">IF(H2184&lt;&gt;"","0x"&amp;I2184&amp;H2184,"")</f>
        <v/>
      </c>
      <c r="L2184" s="1" t="s">
        <v>3446</v>
      </c>
      <c r="M2184" s="1" t="str">
        <f aca="false">IF(J2184&lt;&gt;"",J2184,L2184)</f>
        <v>15, 19, KADABRA</v>
      </c>
    </row>
    <row r="2185" customFormat="false" ht="12.75" hidden="false" customHeight="true" outlineLevel="0" collapsed="false">
      <c r="A2185" s="3" t="s">
        <v>2812</v>
      </c>
      <c r="B2185" s="3" t="str">
        <f aca="false">IF(ISNUMBER(SEARCH("%", A2185)),RIGHT(A2185,3),A2185)</f>
        <v>0.01</v>
      </c>
      <c r="C2185" s="1" t="str">
        <f aca="false" t="array" ref="C2185:C2185">IF(B2184="NEW ROUTE",textsplit(B2185,","),"")</f>
        <v/>
      </c>
      <c r="H2185" s="1" t="str">
        <f aca="false">IF(C2185&lt;&gt;"",DEC2HEX(C2185,2),"")</f>
        <v/>
      </c>
      <c r="I2185" s="1" t="str">
        <f aca="false">IF(D2185&lt;&gt;"",DEC2HEX(D2185,2),"")</f>
        <v/>
      </c>
      <c r="J2185" s="1" t="str">
        <f aca="false">IF(H2185&lt;&gt;"","0x"&amp;I2185&amp;H2185,"")</f>
        <v/>
      </c>
      <c r="L2185" s="1" t="s">
        <v>2812</v>
      </c>
      <c r="M2185" s="1" t="str">
        <f aca="false">IF(J2185&lt;&gt;"",J2185,L2185)</f>
        <v>0.01</v>
      </c>
    </row>
    <row r="2186" customFormat="false" ht="12.75" hidden="false" customHeight="true" outlineLevel="0" collapsed="false">
      <c r="A2186" s="3" t="s">
        <v>3447</v>
      </c>
      <c r="B2186" s="3" t="str">
        <f aca="false">IF(ISNUMBER(SEARCH("%", A2186)),RIGHT(A2186,3),A2186)</f>
        <v>22, 22, ARBOK</v>
      </c>
      <c r="C2186" s="1" t="str">
        <f aca="false" t="array" ref="C2186:C2186">IF(B2185="NEW ROUTE",textsplit(B2186,","),"")</f>
        <v/>
      </c>
      <c r="H2186" s="1" t="str">
        <f aca="false">IF(C2186&lt;&gt;"",DEC2HEX(C2186,2),"")</f>
        <v/>
      </c>
      <c r="I2186" s="1" t="str">
        <f aca="false">IF(D2186&lt;&gt;"",DEC2HEX(D2186,2),"")</f>
        <v/>
      </c>
      <c r="J2186" s="1" t="str">
        <f aca="false">IF(H2186&lt;&gt;"","0x"&amp;I2186&amp;H2186,"")</f>
        <v/>
      </c>
      <c r="L2186" s="1" t="s">
        <v>3447</v>
      </c>
      <c r="M2186" s="1" t="str">
        <f aca="false">IF(J2186&lt;&gt;"",J2186,L2186)</f>
        <v>22, 22, ARBOK</v>
      </c>
    </row>
    <row r="2187" customFormat="false" ht="12.75" hidden="false" customHeight="true" outlineLevel="0" collapsed="false">
      <c r="A2187" s="3" t="s">
        <v>3448</v>
      </c>
      <c r="B2187" s="3" t="str">
        <f aca="false">IF(ISNUMBER(SEARCH("%", A2187)),RIGHT(A2187,3),A2187)</f>
        <v>22, 22, LICKITUNG</v>
      </c>
      <c r="C2187" s="1" t="str">
        <f aca="false" t="array" ref="C2187:C2187">IF(B2186="NEW ROUTE",textsplit(B2187,","),"")</f>
        <v/>
      </c>
      <c r="H2187" s="1" t="str">
        <f aca="false">IF(C2187&lt;&gt;"",DEC2HEX(C2187,2),"")</f>
        <v/>
      </c>
      <c r="I2187" s="1" t="str">
        <f aca="false">IF(D2187&lt;&gt;"",DEC2HEX(D2187,2),"")</f>
        <v/>
      </c>
      <c r="J2187" s="1" t="str">
        <f aca="false">IF(H2187&lt;&gt;"","0x"&amp;I2187&amp;H2187,"")</f>
        <v/>
      </c>
      <c r="L2187" s="1" t="s">
        <v>3448</v>
      </c>
      <c r="M2187" s="1" t="str">
        <f aca="false">IF(J2187&lt;&gt;"",J2187,L2187)</f>
        <v>22, 22, LICKITUNG</v>
      </c>
    </row>
    <row r="2188" customFormat="false" ht="12.75" hidden="false" customHeight="true" outlineLevel="0" collapsed="false">
      <c r="A2188" s="3" t="s">
        <v>3349</v>
      </c>
      <c r="B2188" s="3" t="str">
        <f aca="false">IF(ISNUMBER(SEARCH("%", A2188)),RIGHT(A2188,3),A2188)</f>
        <v>2, 38, 42, TENTACOOL</v>
      </c>
      <c r="C2188" s="1" t="str">
        <f aca="false" t="array" ref="C2188:C2188">IF(B2187="NEW ROUTE",textsplit(B2188,","),"")</f>
        <v/>
      </c>
      <c r="H2188" s="1" t="str">
        <f aca="false">IF(C2188&lt;&gt;"",DEC2HEX(C2188,2),"")</f>
        <v/>
      </c>
      <c r="I2188" s="1" t="str">
        <f aca="false">IF(D2188&lt;&gt;"",DEC2HEX(D2188,2),"")</f>
        <v/>
      </c>
      <c r="J2188" s="1" t="str">
        <f aca="false">IF(H2188&lt;&gt;"","0x"&amp;I2188&amp;H2188,"")</f>
        <v/>
      </c>
      <c r="L2188" s="1" t="s">
        <v>3349</v>
      </c>
      <c r="M2188" s="1" t="str">
        <f aca="false">IF(J2188&lt;&gt;"",J2188,L2188)</f>
        <v>2, 38, 42, TENTACOOL</v>
      </c>
    </row>
    <row r="2189" customFormat="false" ht="12.75" hidden="false" customHeight="true" outlineLevel="0" collapsed="false">
      <c r="A2189" s="3" t="s">
        <v>3428</v>
      </c>
      <c r="B2189" s="3" t="str">
        <f aca="false">IF(ISNUMBER(SEARCH("%", A2189)),RIGHT(A2189,3),A2189)</f>
        <v>40, 44, TENTACRUEL</v>
      </c>
      <c r="C2189" s="1" t="str">
        <f aca="false" t="array" ref="C2189:C2189">IF(B2188="NEW ROUTE",textsplit(B2189,","),"")</f>
        <v/>
      </c>
      <c r="H2189" s="1" t="str">
        <f aca="false">IF(C2189&lt;&gt;"",DEC2HEX(C2189,2),"")</f>
        <v/>
      </c>
      <c r="I2189" s="1" t="str">
        <f aca="false">IF(D2189&lt;&gt;"",DEC2HEX(D2189,2),"")</f>
        <v/>
      </c>
      <c r="J2189" s="1" t="str">
        <f aca="false">IF(H2189&lt;&gt;"","0x"&amp;I2189&amp;H2189,"")</f>
        <v/>
      </c>
      <c r="L2189" s="1" t="s">
        <v>3428</v>
      </c>
      <c r="M2189" s="1" t="str">
        <f aca="false">IF(J2189&lt;&gt;"",J2189,L2189)</f>
        <v>40, 44, TENTACRUEL</v>
      </c>
    </row>
    <row r="2190" customFormat="false" ht="12.75" hidden="false" customHeight="true" outlineLevel="0" collapsed="false">
      <c r="A2190" s="3" t="s">
        <v>3024</v>
      </c>
      <c r="B2190" s="3" t="str">
        <f aca="false">IF(ISNUMBER(SEARCH("%", A2190)),RIGHT(A2190,3),A2190)</f>
        <v>42, 46, LAPRAS</v>
      </c>
      <c r="C2190" s="1" t="str">
        <f aca="false" t="array" ref="C2190:C2190">IF(B2189="NEW ROUTE",textsplit(B2190,","),"")</f>
        <v/>
      </c>
      <c r="H2190" s="1" t="str">
        <f aca="false">IF(C2190&lt;&gt;"",DEC2HEX(C2190,2),"")</f>
        <v/>
      </c>
      <c r="I2190" s="1" t="str">
        <f aca="false">IF(D2190&lt;&gt;"",DEC2HEX(D2190,2),"")</f>
        <v/>
      </c>
      <c r="J2190" s="1" t="str">
        <f aca="false">IF(H2190&lt;&gt;"","0x"&amp;I2190&amp;H2190,"")</f>
        <v/>
      </c>
      <c r="L2190" s="1" t="s">
        <v>3024</v>
      </c>
      <c r="M2190" s="1" t="str">
        <f aca="false">IF(J2190&lt;&gt;"",J2190,L2190)</f>
        <v>42, 46, LAPRAS</v>
      </c>
    </row>
    <row r="2191" customFormat="false" ht="12.75" hidden="false" customHeight="true" outlineLevel="0" collapsed="false">
      <c r="A2191" s="3" t="s">
        <v>3429</v>
      </c>
      <c r="B2191" s="3" t="str">
        <f aca="false">IF(ISNUMBER(SEARCH("%", A2191)),RIGHT(A2191,3),A2191)</f>
        <v>42, 46, TENTACATE</v>
      </c>
      <c r="C2191" s="1" t="str">
        <f aca="false" t="array" ref="C2191:C2191">IF(B2190="NEW ROUTE",textsplit(B2191,","),"")</f>
        <v/>
      </c>
      <c r="H2191" s="1" t="str">
        <f aca="false">IF(C2191&lt;&gt;"",DEC2HEX(C2191,2),"")</f>
        <v/>
      </c>
      <c r="I2191" s="1" t="str">
        <f aca="false">IF(D2191&lt;&gt;"",DEC2HEX(D2191,2),"")</f>
        <v/>
      </c>
      <c r="J2191" s="1" t="str">
        <f aca="false">IF(H2191&lt;&gt;"","0x"&amp;I2191&amp;H2191,"")</f>
        <v/>
      </c>
      <c r="L2191" s="1" t="s">
        <v>3429</v>
      </c>
      <c r="M2191" s="1" t="str">
        <f aca="false">IF(J2191&lt;&gt;"",J2191,L2191)</f>
        <v>42, 46, TENTACATE</v>
      </c>
    </row>
    <row r="2192" customFormat="false" ht="12.75" hidden="false" customHeight="true" outlineLevel="0" collapsed="false">
      <c r="A2192" s="3" t="s">
        <v>3449</v>
      </c>
      <c r="B2192" s="3" t="str">
        <f aca="false">IF(ISNUMBER(SEARCH("%", A2192)),RIGHT(A2192,3),A2192)</f>
        <v>44, 48, LOCHLASS</v>
      </c>
      <c r="C2192" s="1" t="str">
        <f aca="false" t="array" ref="C2192:C2192">IF(B2191="NEW ROUTE",textsplit(B2192,","),"")</f>
        <v/>
      </c>
      <c r="H2192" s="1" t="str">
        <f aca="false">IF(C2192&lt;&gt;"",DEC2HEX(C2192,2),"")</f>
        <v/>
      </c>
      <c r="I2192" s="1" t="str">
        <f aca="false">IF(D2192&lt;&gt;"",DEC2HEX(D2192,2),"")</f>
        <v/>
      </c>
      <c r="J2192" s="1" t="str">
        <f aca="false">IF(H2192&lt;&gt;"","0x"&amp;I2192&amp;H2192,"")</f>
        <v/>
      </c>
      <c r="L2192" s="1" t="s">
        <v>3449</v>
      </c>
      <c r="M2192" s="1" t="str">
        <f aca="false">IF(J2192&lt;&gt;"",J2192,L2192)</f>
        <v>44, 48, LOCHLASS</v>
      </c>
    </row>
    <row r="2193" customFormat="false" ht="12.75" hidden="false" customHeight="true" outlineLevel="0" collapsed="false">
      <c r="A2193" s="3" t="s">
        <v>2925</v>
      </c>
      <c r="B2193" s="3" t="str">
        <f aca="false">IF(ISNUMBER(SEARCH("%", A2193)),RIGHT(A2193,3),A2193)</f>
        <v>20, old rod:</v>
      </c>
      <c r="C2193" s="1" t="str">
        <f aca="false" t="array" ref="C2193:C2193">IF(B2192="NEW ROUTE",textsplit(B2193,","),"")</f>
        <v/>
      </c>
      <c r="H2193" s="1" t="str">
        <f aca="false">IF(C2193&lt;&gt;"",DEC2HEX(C2193,2),"")</f>
        <v/>
      </c>
      <c r="I2193" s="1" t="str">
        <f aca="false">IF(D2193&lt;&gt;"",DEC2HEX(D2193,2),"")</f>
        <v/>
      </c>
      <c r="J2193" s="1" t="str">
        <f aca="false">IF(H2193&lt;&gt;"","0x"&amp;I2193&amp;H2193,"")</f>
        <v/>
      </c>
      <c r="L2193" s="1" t="s">
        <v>2925</v>
      </c>
      <c r="M2193" s="1" t="str">
        <f aca="false">IF(J2193&lt;&gt;"",J2193,L2193)</f>
        <v>20, old rod:</v>
      </c>
    </row>
    <row r="2194" customFormat="false" ht="12.75" hidden="false" customHeight="true" outlineLevel="0" collapsed="false">
      <c r="A2194" s="3" t="s">
        <v>1349</v>
      </c>
      <c r="B2194" s="3" t="str">
        <f aca="false">IF(ISNUMBER(SEARCH("%", A2194)),RIGHT(A2194,3),A2194)</f>
        <v>19, 26, MAGIKARP</v>
      </c>
      <c r="C2194" s="1" t="str">
        <f aca="false" t="array" ref="C2194:C2194">IF(B2193="NEW ROUTE",textsplit(B2194,","),"")</f>
        <v/>
      </c>
      <c r="H2194" s="1" t="str">
        <f aca="false">IF(C2194&lt;&gt;"",DEC2HEX(C2194,2),"")</f>
        <v/>
      </c>
      <c r="I2194" s="1" t="str">
        <f aca="false">IF(D2194&lt;&gt;"",DEC2HEX(D2194,2),"")</f>
        <v/>
      </c>
      <c r="J2194" s="1" t="str">
        <f aca="false">IF(H2194&lt;&gt;"","0x"&amp;I2194&amp;H2194,"")</f>
        <v/>
      </c>
      <c r="L2194" s="1" t="s">
        <v>1349</v>
      </c>
      <c r="M2194" s="1" t="str">
        <f aca="false">IF(J2194&lt;&gt;"",J2194,L2194)</f>
        <v>19, 26, MAGIKARP</v>
      </c>
    </row>
    <row r="2195" customFormat="false" ht="12.75" hidden="false" customHeight="true" outlineLevel="0" collapsed="false">
      <c r="A2195" s="3" t="s">
        <v>3352</v>
      </c>
      <c r="B2195" s="3" t="str">
        <f aca="false">IF(ISNUMBER(SEARCH("%", A2195)),RIGHT(A2195,3),A2195)</f>
        <v>19, 26, GYARADOS</v>
      </c>
      <c r="C2195" s="1" t="str">
        <f aca="false" t="array" ref="C2195:C2195">IF(B2194="NEW ROUTE",textsplit(B2195,","),"")</f>
        <v/>
      </c>
      <c r="H2195" s="1" t="str">
        <f aca="false">IF(C2195&lt;&gt;"",DEC2HEX(C2195,2),"")</f>
        <v/>
      </c>
      <c r="I2195" s="1" t="str">
        <f aca="false">IF(D2195&lt;&gt;"",DEC2HEX(D2195,2),"")</f>
        <v/>
      </c>
      <c r="J2195" s="1" t="str">
        <f aca="false">IF(H2195&lt;&gt;"","0x"&amp;I2195&amp;H2195,"")</f>
        <v/>
      </c>
      <c r="L2195" s="1" t="s">
        <v>3352</v>
      </c>
      <c r="M2195" s="1" t="str">
        <f aca="false">IF(J2195&lt;&gt;"",J2195,L2195)</f>
        <v>19, 26, GYARADOS</v>
      </c>
    </row>
    <row r="2196" customFormat="false" ht="12.75" hidden="false" customHeight="true" outlineLevel="0" collapsed="false">
      <c r="A2196" s="3" t="s">
        <v>2846</v>
      </c>
      <c r="B2196" s="3" t="str">
        <f aca="false">IF(ISNUMBER(SEARCH("%", A2196)),RIGHT(A2196,3),A2196)</f>
        <v>good rod:</v>
      </c>
      <c r="C2196" s="1" t="str">
        <f aca="false" t="array" ref="C2196:C2196">IF(B2195="NEW ROUTE",textsplit(B2196,","),"")</f>
        <v/>
      </c>
      <c r="H2196" s="1" t="str">
        <f aca="false">IF(C2196&lt;&gt;"",DEC2HEX(C2196,2),"")</f>
        <v/>
      </c>
      <c r="I2196" s="1" t="str">
        <f aca="false">IF(D2196&lt;&gt;"",DEC2HEX(D2196,2),"")</f>
        <v/>
      </c>
      <c r="J2196" s="1" t="str">
        <f aca="false">IF(H2196&lt;&gt;"","0x"&amp;I2196&amp;H2196,"")</f>
        <v/>
      </c>
      <c r="L2196" s="1" t="s">
        <v>2846</v>
      </c>
      <c r="M2196" s="1" t="str">
        <f aca="false">IF(J2196&lt;&gt;"",J2196,L2196)</f>
        <v>good rod:</v>
      </c>
    </row>
    <row r="2197" customFormat="false" ht="12.75" hidden="false" customHeight="true" outlineLevel="0" collapsed="false">
      <c r="A2197" s="3" t="s">
        <v>3430</v>
      </c>
      <c r="B2197" s="3" t="str">
        <f aca="false">IF(ISNUMBER(SEARCH("%", A2197)),RIGHT(A2197,3),A2197)</f>
        <v>29, 33, HORSEA</v>
      </c>
      <c r="C2197" s="1" t="str">
        <f aca="false" t="array" ref="C2197:C2197">IF(B2196="NEW ROUTE",textsplit(B2197,","),"")</f>
        <v/>
      </c>
      <c r="H2197" s="1" t="str">
        <f aca="false">IF(C2197&lt;&gt;"",DEC2HEX(C2197,2),"")</f>
        <v/>
      </c>
      <c r="I2197" s="1" t="str">
        <f aca="false">IF(D2197&lt;&gt;"",DEC2HEX(D2197,2),"")</f>
        <v/>
      </c>
      <c r="J2197" s="1" t="str">
        <f aca="false">IF(H2197&lt;&gt;"","0x"&amp;I2197&amp;H2197,"")</f>
        <v/>
      </c>
      <c r="L2197" s="1" t="s">
        <v>3430</v>
      </c>
      <c r="M2197" s="1" t="str">
        <f aca="false">IF(J2197&lt;&gt;"",J2197,L2197)</f>
        <v>29, 33, HORSEA</v>
      </c>
    </row>
    <row r="2198" customFormat="false" ht="12.75" hidden="false" customHeight="true" outlineLevel="0" collapsed="false">
      <c r="A2198" s="3" t="s">
        <v>3450</v>
      </c>
      <c r="B2198" s="3" t="str">
        <f aca="false">IF(ISNUMBER(SEARCH("%", A2198)),RIGHT(A2198,3),A2198)</f>
        <v>30, 35, SHELLDER</v>
      </c>
      <c r="C2198" s="1" t="str">
        <f aca="false" t="array" ref="C2198:C2198">IF(B2197="NEW ROUTE",textsplit(B2198,","),"")</f>
        <v/>
      </c>
      <c r="H2198" s="1" t="str">
        <f aca="false">IF(C2198&lt;&gt;"",DEC2HEX(C2198,2),"")</f>
        <v/>
      </c>
      <c r="I2198" s="1" t="str">
        <f aca="false">IF(D2198&lt;&gt;"",DEC2HEX(D2198,2),"")</f>
        <v/>
      </c>
      <c r="J2198" s="1" t="str">
        <f aca="false">IF(H2198&lt;&gt;"","0x"&amp;I2198&amp;H2198,"")</f>
        <v/>
      </c>
      <c r="L2198" s="1" t="s">
        <v>3450</v>
      </c>
      <c r="M2198" s="1" t="str">
        <f aca="false">IF(J2198&lt;&gt;"",J2198,L2198)</f>
        <v>30, 35, SHELLDER</v>
      </c>
    </row>
    <row r="2199" customFormat="false" ht="12.75" hidden="false" customHeight="true" outlineLevel="0" collapsed="false">
      <c r="A2199" s="3" t="s">
        <v>3451</v>
      </c>
      <c r="B2199" s="3" t="str">
        <f aca="false">IF(ISNUMBER(SEARCH("%", A2199)),RIGHT(A2199,3),A2199)</f>
        <v>30, 35, STARYU</v>
      </c>
      <c r="C2199" s="1" t="str">
        <f aca="false" t="array" ref="C2199:C2199">IF(B2198="NEW ROUTE",textsplit(B2199,","),"")</f>
        <v/>
      </c>
      <c r="H2199" s="1" t="str">
        <f aca="false">IF(C2199&lt;&gt;"",DEC2HEX(C2199,2),"")</f>
        <v/>
      </c>
      <c r="I2199" s="1" t="str">
        <f aca="false">IF(D2199&lt;&gt;"",DEC2HEX(D2199,2),"")</f>
        <v/>
      </c>
      <c r="J2199" s="1" t="str">
        <f aca="false">IF(H2199&lt;&gt;"","0x"&amp;I2199&amp;H2199,"")</f>
        <v/>
      </c>
      <c r="L2199" s="1" t="s">
        <v>3451</v>
      </c>
      <c r="M2199" s="1" t="str">
        <f aca="false">IF(J2199&lt;&gt;"",J2199,L2199)</f>
        <v>30, 35, STARYU</v>
      </c>
    </row>
    <row r="2200" customFormat="false" ht="12.75" hidden="false" customHeight="true" outlineLevel="0" collapsed="false">
      <c r="A2200" s="3" t="s">
        <v>2850</v>
      </c>
      <c r="B2200" s="3" t="str">
        <f aca="false">IF(ISNUMBER(SEARCH("%", A2200)),RIGHT(A2200,3),A2200)</f>
        <v>super rod:</v>
      </c>
      <c r="C2200" s="1" t="str">
        <f aca="false" t="array" ref="C2200:C2200">IF(B2199="NEW ROUTE",textsplit(B2200,","),"")</f>
        <v/>
      </c>
      <c r="H2200" s="1" t="str">
        <f aca="false">IF(C2200&lt;&gt;"",DEC2HEX(C2200,2),"")</f>
        <v/>
      </c>
      <c r="I2200" s="1" t="str">
        <f aca="false">IF(D2200&lt;&gt;"",DEC2HEX(D2200,2),"")</f>
        <v/>
      </c>
      <c r="J2200" s="1" t="str">
        <f aca="false">IF(H2200&lt;&gt;"","0x"&amp;I2200&amp;H2200,"")</f>
        <v/>
      </c>
      <c r="L2200" s="1" t="s">
        <v>2850</v>
      </c>
      <c r="M2200" s="1" t="str">
        <f aca="false">IF(J2200&lt;&gt;"",J2200,L2200)</f>
        <v>super rod:</v>
      </c>
    </row>
    <row r="2201" customFormat="false" ht="12.75" hidden="false" customHeight="true" outlineLevel="0" collapsed="false">
      <c r="A2201" s="3" t="s">
        <v>3026</v>
      </c>
      <c r="B2201" s="3" t="str">
        <f aca="false">IF(ISNUMBER(SEARCH("%", A2201)),RIGHT(A2201,3),A2201)</f>
        <v>29, 33, SEADRA</v>
      </c>
      <c r="C2201" s="1" t="str">
        <f aca="false" t="array" ref="C2201:C2201">IF(B2200="NEW ROUTE",textsplit(B2201,","),"")</f>
        <v/>
      </c>
      <c r="H2201" s="1" t="str">
        <f aca="false">IF(C2201&lt;&gt;"",DEC2HEX(C2201,2),"")</f>
        <v/>
      </c>
      <c r="I2201" s="1" t="str">
        <f aca="false">IF(D2201&lt;&gt;"",DEC2HEX(D2201,2),"")</f>
        <v/>
      </c>
      <c r="J2201" s="1" t="str">
        <f aca="false">IF(H2201&lt;&gt;"","0x"&amp;I2201&amp;H2201,"")</f>
        <v/>
      </c>
      <c r="L2201" s="1" t="s">
        <v>3026</v>
      </c>
      <c r="M2201" s="1" t="str">
        <f aca="false">IF(J2201&lt;&gt;"",J2201,L2201)</f>
        <v>29, 33, SEADRA</v>
      </c>
    </row>
    <row r="2202" customFormat="false" ht="12.75" hidden="false" customHeight="true" outlineLevel="0" collapsed="false">
      <c r="A2202" s="3" t="s">
        <v>3356</v>
      </c>
      <c r="B2202" s="3" t="str">
        <f aca="false">IF(ISNUMBER(SEARCH("%", A2202)),RIGHT(A2202,3),A2202)</f>
        <v>36, 40, GYARADOS</v>
      </c>
      <c r="C2202" s="1" t="str">
        <f aca="false" t="array" ref="C2202:C2202">IF(B2201="NEW ROUTE",textsplit(B2202,","),"")</f>
        <v/>
      </c>
      <c r="H2202" s="1" t="str">
        <f aca="false">IF(C2202&lt;&gt;"",DEC2HEX(C2202,2),"")</f>
        <v/>
      </c>
      <c r="I2202" s="1" t="str">
        <f aca="false">IF(D2202&lt;&gt;"",DEC2HEX(D2202,2),"")</f>
        <v/>
      </c>
      <c r="J2202" s="1" t="str">
        <f aca="false">IF(H2202&lt;&gt;"","0x"&amp;I2202&amp;H2202,"")</f>
        <v/>
      </c>
      <c r="L2202" s="1" t="s">
        <v>3356</v>
      </c>
      <c r="M2202" s="1" t="str">
        <f aca="false">IF(J2202&lt;&gt;"",J2202,L2202)</f>
        <v>36, 40, GYARADOS</v>
      </c>
    </row>
    <row r="2203" customFormat="false" ht="12.75" hidden="false" customHeight="true" outlineLevel="0" collapsed="false">
      <c r="A2203" s="3" t="s">
        <v>3452</v>
      </c>
      <c r="B2203" s="3" t="str">
        <f aca="false">IF(ISNUMBER(SEARCH("%", A2203)),RIGHT(A2203,3),A2203)</f>
        <v>38, 42, STARMIE</v>
      </c>
      <c r="C2203" s="1" t="str">
        <f aca="false" t="array" ref="C2203:C2203">IF(B2202="NEW ROUTE",textsplit(B2203,","),"")</f>
        <v/>
      </c>
      <c r="H2203" s="1" t="str">
        <f aca="false">IF(C2203&lt;&gt;"",DEC2HEX(C2203,2),"")</f>
        <v/>
      </c>
      <c r="I2203" s="1" t="str">
        <f aca="false">IF(D2203&lt;&gt;"",DEC2HEX(D2203,2),"")</f>
        <v/>
      </c>
      <c r="J2203" s="1" t="str">
        <f aca="false">IF(H2203&lt;&gt;"","0x"&amp;I2203&amp;H2203,"")</f>
        <v/>
      </c>
      <c r="L2203" s="1" t="s">
        <v>3452</v>
      </c>
      <c r="M2203" s="1" t="str">
        <f aca="false">IF(J2203&lt;&gt;"",J2203,L2203)</f>
        <v>38, 42, STARMIE</v>
      </c>
    </row>
    <row r="2204" customFormat="false" ht="12.75" hidden="false" customHeight="true" outlineLevel="0" collapsed="false">
      <c r="A2204" s="3" t="s">
        <v>3453</v>
      </c>
      <c r="B2204" s="3" t="str">
        <f aca="false">IF(ISNUMBER(SEARCH("%", A2204)),RIGHT(A2204,3),A2204)</f>
        <v>38, 42, CLOYSTER</v>
      </c>
      <c r="C2204" s="1" t="str">
        <f aca="false" t="array" ref="C2204:C2204">IF(B2203="NEW ROUTE",textsplit(B2204,","),"")</f>
        <v/>
      </c>
      <c r="H2204" s="1" t="str">
        <f aca="false">IF(C2204&lt;&gt;"",DEC2HEX(C2204,2),"")</f>
        <v/>
      </c>
      <c r="I2204" s="1" t="str">
        <f aca="false">IF(D2204&lt;&gt;"",DEC2HEX(D2204,2),"")</f>
        <v/>
      </c>
      <c r="J2204" s="1" t="str">
        <f aca="false">IF(H2204&lt;&gt;"","0x"&amp;I2204&amp;H2204,"")</f>
        <v/>
      </c>
      <c r="L2204" s="1" t="s">
        <v>3453</v>
      </c>
      <c r="M2204" s="1" t="str">
        <f aca="false">IF(J2204&lt;&gt;"",J2204,L2204)</f>
        <v>38, 42, CLOYSTER</v>
      </c>
    </row>
    <row r="2205" customFormat="false" ht="12.75" hidden="false" customHeight="true" outlineLevel="0" collapsed="false">
      <c r="A2205" s="3" t="s">
        <v>3454</v>
      </c>
      <c r="B2205" s="3" t="str">
        <f aca="false">IF(ISNUMBER(SEARCH("%", A2205)),RIGHT(A2205,3),A2205)</f>
        <v>38, 42, STARUS</v>
      </c>
      <c r="C2205" s="1" t="str">
        <f aca="false" t="array" ref="C2205:C2205">IF(B2204="NEW ROUTE",textsplit(B2205,","),"")</f>
        <v/>
      </c>
      <c r="H2205" s="1" t="str">
        <f aca="false">IF(C2205&lt;&gt;"",DEC2HEX(C2205,2),"")</f>
        <v/>
      </c>
      <c r="I2205" s="1" t="str">
        <f aca="false">IF(D2205&lt;&gt;"",DEC2HEX(D2205,2),"")</f>
        <v/>
      </c>
      <c r="J2205" s="1" t="str">
        <f aca="false">IF(H2205&lt;&gt;"","0x"&amp;I2205&amp;H2205,"")</f>
        <v/>
      </c>
      <c r="L2205" s="1" t="s">
        <v>3454</v>
      </c>
      <c r="M2205" s="1" t="str">
        <f aca="false">IF(J2205&lt;&gt;"",J2205,L2205)</f>
        <v>38, 42, STARUS</v>
      </c>
    </row>
    <row r="2206" customFormat="false" ht="12.75" hidden="false" customHeight="true" outlineLevel="0" collapsed="false">
      <c r="A2206" s="3" t="s">
        <v>2536</v>
      </c>
      <c r="B2206" s="3" t="str">
        <f aca="false">IF(ISNUMBER(SEARCH("%", A2206)),RIGHT(A2206,3),A2206)</f>
        <v>NEW ROUTE</v>
      </c>
      <c r="C2206" s="1" t="str">
        <f aca="false" t="array" ref="C2206:C2206">IF(B2205="NEW ROUTE",textsplit(B2206,","),"")</f>
        <v/>
      </c>
      <c r="H2206" s="1" t="str">
        <f aca="false">IF(C2206&lt;&gt;"",DEC2HEX(C2206,2),"")</f>
        <v/>
      </c>
      <c r="I2206" s="1" t="str">
        <f aca="false">IF(D2206&lt;&gt;"",DEC2HEX(D2206,2),"")</f>
        <v/>
      </c>
      <c r="J2206" s="1" t="str">
        <f aca="false">IF(H2206&lt;&gt;"","0x"&amp;I2206&amp;H2206,"")</f>
        <v/>
      </c>
      <c r="L2206" s="1" t="s">
        <v>2536</v>
      </c>
      <c r="M2206" s="1" t="str">
        <f aca="false">IF(J2206&lt;&gt;"",J2206,L2206)</f>
        <v>NEW ROUTE</v>
      </c>
    </row>
    <row r="2207" customFormat="false" ht="12.75" hidden="false" customHeight="true" outlineLevel="0" collapsed="false">
      <c r="A2207" s="3" t="s">
        <v>3455</v>
      </c>
      <c r="B2207" s="3" t="str">
        <f aca="false">IF(ISNUMBER(SEARCH("%", A2207)),RIGHT(A2207,3),A2207)</f>
        <v>3, 30, 0,</v>
      </c>
      <c r="C2207" s="1" t="e">
        <f aca="false" t="array" ref="C2207:C2207">IF(B2206="NEW ROUTE",textsplit(B2207,","),"")</f>
        <v>#NAME?</v>
      </c>
      <c r="H2207" s="1" t="e">
        <f aca="false">IF(C2207&lt;&gt;"",DEC2HEX(C2207,2),"")</f>
        <v>#NAME?</v>
      </c>
      <c r="I2207" s="1" t="str">
        <f aca="false">IF(D2207&lt;&gt;"",DEC2HEX(D2207,2),"")</f>
        <v/>
      </c>
      <c r="J2207" s="1" t="e">
        <f aca="false">IF(H2207&lt;&gt;"","0x"&amp;I2207&amp;H2207,"")</f>
        <v>#NAME?</v>
      </c>
      <c r="L2207" s="1" t="s">
        <v>3455</v>
      </c>
      <c r="M2207" s="1" t="e">
        <f aca="false">IF(J2207&lt;&gt;"",J2207,L2207)</f>
        <v>#NAME?</v>
      </c>
    </row>
    <row r="2208" customFormat="false" ht="12.75" hidden="false" customHeight="true" outlineLevel="0" collapsed="false">
      <c r="A2208" s="3" t="s">
        <v>2908</v>
      </c>
      <c r="B2208" s="3" t="str">
        <f aca="false">IF(ISNUMBER(SEARCH("%", A2208)),RIGHT(A2208,3),A2208)</f>
        <v>20%</v>
      </c>
      <c r="C2208" s="1" t="str">
        <f aca="false" t="array" ref="C2208:C2208">IF(B2207="NEW ROUTE",textsplit(B2208,","),"")</f>
        <v/>
      </c>
      <c r="H2208" s="1" t="str">
        <f aca="false">IF(C2208&lt;&gt;"",DEC2HEX(C2208,2),"")</f>
        <v/>
      </c>
      <c r="I2208" s="1" t="str">
        <f aca="false">IF(D2208&lt;&gt;"",DEC2HEX(D2208,2),"")</f>
        <v/>
      </c>
      <c r="J2208" s="1" t="str">
        <f aca="false">IF(H2208&lt;&gt;"","0x"&amp;I2208&amp;H2208,"")</f>
        <v/>
      </c>
      <c r="L2208" s="1" t="s">
        <v>2799</v>
      </c>
      <c r="M2208" s="1" t="str">
        <f aca="false">IF(J2208&lt;&gt;"",J2208,L2208)</f>
        <v>20%</v>
      </c>
    </row>
    <row r="2209" customFormat="false" ht="12.75" hidden="false" customHeight="true" outlineLevel="0" collapsed="false">
      <c r="A2209" s="3" t="s">
        <v>1930</v>
      </c>
      <c r="B2209" s="3" t="str">
        <f aca="false">IF(ISNUMBER(SEARCH("%", A2209)),RIGHT(A2209,3),A2209)</f>
        <v>29, 34, BELLSPROUT</v>
      </c>
      <c r="C2209" s="1" t="str">
        <f aca="false" t="array" ref="C2209:C2209">IF(B2208="NEW ROUTE",textsplit(B2209,","),"")</f>
        <v/>
      </c>
      <c r="H2209" s="1" t="str">
        <f aca="false">IF(C2209&lt;&gt;"",DEC2HEX(C2209,2),"")</f>
        <v/>
      </c>
      <c r="I2209" s="1" t="str">
        <f aca="false">IF(D2209&lt;&gt;"",DEC2HEX(D2209,2),"")</f>
        <v/>
      </c>
      <c r="J2209" s="1" t="str">
        <f aca="false">IF(H2209&lt;&gt;"","0x"&amp;I2209&amp;H2209,"")</f>
        <v/>
      </c>
      <c r="L2209" s="1" t="s">
        <v>1930</v>
      </c>
      <c r="M2209" s="1" t="str">
        <f aca="false">IF(J2209&lt;&gt;"",J2209,L2209)</f>
        <v>29, 34, BELLSPROUT</v>
      </c>
    </row>
    <row r="2210" customFormat="false" ht="12.75" hidden="false" customHeight="true" outlineLevel="0" collapsed="false">
      <c r="A2210" s="3" t="s">
        <v>3456</v>
      </c>
      <c r="B2210" s="3" t="str">
        <f aca="false">IF(ISNUMBER(SEARCH("%", A2210)),RIGHT(A2210,3),A2210)</f>
        <v>29, 34, PIDGEOTTO</v>
      </c>
      <c r="C2210" s="1" t="str">
        <f aca="false" t="array" ref="C2210:C2210">IF(B2209="NEW ROUTE",textsplit(B2210,","),"")</f>
        <v/>
      </c>
      <c r="H2210" s="1" t="str">
        <f aca="false">IF(C2210&lt;&gt;"",DEC2HEX(C2210,2),"")</f>
        <v/>
      </c>
      <c r="I2210" s="1" t="str">
        <f aca="false">IF(D2210&lt;&gt;"",DEC2HEX(D2210,2),"")</f>
        <v/>
      </c>
      <c r="J2210" s="1" t="str">
        <f aca="false">IF(H2210&lt;&gt;"","0x"&amp;I2210&amp;H2210,"")</f>
        <v/>
      </c>
      <c r="L2210" s="1" t="s">
        <v>3456</v>
      </c>
      <c r="M2210" s="1" t="str">
        <f aca="false">IF(J2210&lt;&gt;"",J2210,L2210)</f>
        <v>29, 34, PIDGEOTTO</v>
      </c>
    </row>
    <row r="2211" customFormat="false" ht="12.75" hidden="false" customHeight="true" outlineLevel="0" collapsed="false">
      <c r="A2211" s="3" t="s">
        <v>2801</v>
      </c>
      <c r="B2211" s="3" t="str">
        <f aca="false">IF(ISNUMBER(SEARCH("%", A2211)),RIGHT(A2211,3),A2211)</f>
        <v>0.1</v>
      </c>
      <c r="C2211" s="1" t="str">
        <f aca="false" t="array" ref="C2211:C2211">IF(B2210="NEW ROUTE",textsplit(B2211,","),"")</f>
        <v/>
      </c>
      <c r="H2211" s="1" t="str">
        <f aca="false">IF(C2211&lt;&gt;"",DEC2HEX(C2211,2),"")</f>
        <v/>
      </c>
      <c r="I2211" s="1" t="str">
        <f aca="false">IF(D2211&lt;&gt;"",DEC2HEX(D2211,2),"")</f>
        <v/>
      </c>
      <c r="J2211" s="1" t="str">
        <f aca="false">IF(H2211&lt;&gt;"","0x"&amp;I2211&amp;H2211,"")</f>
        <v/>
      </c>
      <c r="L2211" s="1" t="s">
        <v>2801</v>
      </c>
      <c r="M2211" s="1" t="str">
        <f aca="false">IF(J2211&lt;&gt;"",J2211,L2211)</f>
        <v>0.1</v>
      </c>
    </row>
    <row r="2212" customFormat="false" ht="12.75" hidden="false" customHeight="true" outlineLevel="0" collapsed="false">
      <c r="A2212" s="3" t="s">
        <v>3457</v>
      </c>
      <c r="B2212" s="3" t="str">
        <f aca="false">IF(ISNUMBER(SEARCH("%", A2212)),RIGHT(A2212,3),A2212)</f>
        <v>29, 31, WEEPINBELL</v>
      </c>
      <c r="C2212" s="1" t="str">
        <f aca="false" t="array" ref="C2212:C2212">IF(B2211="NEW ROUTE",textsplit(B2212,","),"")</f>
        <v/>
      </c>
      <c r="H2212" s="1" t="str">
        <f aca="false">IF(C2212&lt;&gt;"",DEC2HEX(C2212,2),"")</f>
        <v/>
      </c>
      <c r="I2212" s="1" t="str">
        <f aca="false">IF(D2212&lt;&gt;"",DEC2HEX(D2212,2),"")</f>
        <v/>
      </c>
      <c r="J2212" s="1" t="str">
        <f aca="false">IF(H2212&lt;&gt;"","0x"&amp;I2212&amp;H2212,"")</f>
        <v/>
      </c>
      <c r="L2212" s="1" t="s">
        <v>3457</v>
      </c>
      <c r="M2212" s="1" t="str">
        <f aca="false">IF(J2212&lt;&gt;"",J2212,L2212)</f>
        <v>29, 31, WEEPINBELL</v>
      </c>
    </row>
    <row r="2213" customFormat="false" ht="12.75" hidden="false" customHeight="true" outlineLevel="0" collapsed="false">
      <c r="A2213" s="3" t="s">
        <v>3458</v>
      </c>
      <c r="B2213" s="3" t="str">
        <f aca="false">IF(ISNUMBER(SEARCH("%", A2213)),RIGHT(A2213,3),A2213)</f>
        <v>29, 31, DODUO</v>
      </c>
      <c r="C2213" s="1" t="str">
        <f aca="false" t="array" ref="C2213:C2213">IF(B2212="NEW ROUTE",textsplit(B2213,","),"")</f>
        <v/>
      </c>
      <c r="H2213" s="1" t="str">
        <f aca="false">IF(C2213&lt;&gt;"",DEC2HEX(C2213,2),"")</f>
        <v/>
      </c>
      <c r="I2213" s="1" t="str">
        <f aca="false">IF(D2213&lt;&gt;"",DEC2HEX(D2213,2),"")</f>
        <v/>
      </c>
      <c r="J2213" s="1" t="str">
        <f aca="false">IF(H2213&lt;&gt;"","0x"&amp;I2213&amp;H2213,"")</f>
        <v/>
      </c>
      <c r="L2213" s="1" t="s">
        <v>3458</v>
      </c>
      <c r="M2213" s="1" t="str">
        <f aca="false">IF(J2213&lt;&gt;"",J2213,L2213)</f>
        <v>29, 31, DODUO</v>
      </c>
    </row>
    <row r="2214" customFormat="false" ht="12.75" hidden="false" customHeight="true" outlineLevel="0" collapsed="false">
      <c r="A2214" s="3" t="s">
        <v>3459</v>
      </c>
      <c r="B2214" s="3" t="str">
        <f aca="false">IF(ISNUMBER(SEARCH("%", A2214)),RIGHT(A2214,3),A2214)</f>
        <v>31, 31, PIDGEOT</v>
      </c>
      <c r="C2214" s="1" t="str">
        <f aca="false" t="array" ref="C2214:C2214">IF(B2213="NEW ROUTE",textsplit(B2214,","),"")</f>
        <v/>
      </c>
      <c r="H2214" s="1" t="str">
        <f aca="false">IF(C2214&lt;&gt;"",DEC2HEX(C2214,2),"")</f>
        <v/>
      </c>
      <c r="I2214" s="1" t="str">
        <f aca="false">IF(D2214&lt;&gt;"",DEC2HEX(D2214,2),"")</f>
        <v/>
      </c>
      <c r="J2214" s="1" t="str">
        <f aca="false">IF(H2214&lt;&gt;"","0x"&amp;I2214&amp;H2214,"")</f>
        <v/>
      </c>
      <c r="L2214" s="1" t="s">
        <v>3459</v>
      </c>
      <c r="M2214" s="1" t="str">
        <f aca="false">IF(J2214&lt;&gt;"",J2214,L2214)</f>
        <v>31, 31, PIDGEOT</v>
      </c>
    </row>
    <row r="2215" customFormat="false" ht="12.75" hidden="false" customHeight="true" outlineLevel="0" collapsed="false">
      <c r="A2215" s="3" t="s">
        <v>3460</v>
      </c>
      <c r="B2215" s="3" t="str">
        <f aca="false">IF(ISNUMBER(SEARCH("%", A2215)),RIGHT(A2215,3),A2215)</f>
        <v>29, 31, EXEGGCUTE</v>
      </c>
      <c r="C2215" s="1" t="str">
        <f aca="false" t="array" ref="C2215:C2215">IF(B2214="NEW ROUTE",textsplit(B2215,","),"")</f>
        <v/>
      </c>
      <c r="H2215" s="1" t="str">
        <f aca="false">IF(C2215&lt;&gt;"",DEC2HEX(C2215,2),"")</f>
        <v/>
      </c>
      <c r="I2215" s="1" t="str">
        <f aca="false">IF(D2215&lt;&gt;"",DEC2HEX(D2215,2),"")</f>
        <v/>
      </c>
      <c r="J2215" s="1" t="str">
        <f aca="false">IF(H2215&lt;&gt;"","0x"&amp;I2215&amp;H2215,"")</f>
        <v/>
      </c>
      <c r="L2215" s="1" t="s">
        <v>3460</v>
      </c>
      <c r="M2215" s="1" t="str">
        <f aca="false">IF(J2215&lt;&gt;"",J2215,L2215)</f>
        <v>29, 31, EXEGGCUTE</v>
      </c>
    </row>
    <row r="2216" customFormat="false" ht="12.75" hidden="false" customHeight="true" outlineLevel="0" collapsed="false">
      <c r="A2216" s="3" t="s">
        <v>2806</v>
      </c>
      <c r="B2216" s="3" t="str">
        <f aca="false">IF(ISNUMBER(SEARCH("%", A2216)),RIGHT(A2216,3),A2216)</f>
        <v>0.05</v>
      </c>
      <c r="C2216" s="1" t="str">
        <f aca="false" t="array" ref="C2216:C2216">IF(B2215="NEW ROUTE",textsplit(B2216,","),"")</f>
        <v/>
      </c>
      <c r="H2216" s="1" t="str">
        <f aca="false">IF(C2216&lt;&gt;"",DEC2HEX(C2216,2),"")</f>
        <v/>
      </c>
      <c r="I2216" s="1" t="str">
        <f aca="false">IF(D2216&lt;&gt;"",DEC2HEX(D2216,2),"")</f>
        <v/>
      </c>
      <c r="J2216" s="1" t="str">
        <f aca="false">IF(H2216&lt;&gt;"","0x"&amp;I2216&amp;H2216,"")</f>
        <v/>
      </c>
      <c r="L2216" s="1" t="s">
        <v>2806</v>
      </c>
      <c r="M2216" s="1" t="str">
        <f aca="false">IF(J2216&lt;&gt;"",J2216,L2216)</f>
        <v>0.05</v>
      </c>
    </row>
    <row r="2217" customFormat="false" ht="12.75" hidden="false" customHeight="true" outlineLevel="0" collapsed="false">
      <c r="A2217" s="3" t="s">
        <v>3461</v>
      </c>
      <c r="B2217" s="3" t="str">
        <f aca="false">IF(ISNUMBER(SEARCH("%", A2217)),RIGHT(A2217,3),A2217)</f>
        <v>30, 34, SCYTHER</v>
      </c>
      <c r="C2217" s="1" t="str">
        <f aca="false" t="array" ref="C2217:C2217">IF(B2216="NEW ROUTE",textsplit(B2217,","),"")</f>
        <v/>
      </c>
      <c r="H2217" s="1" t="str">
        <f aca="false">IF(C2217&lt;&gt;"",DEC2HEX(C2217,2),"")</f>
        <v/>
      </c>
      <c r="I2217" s="1" t="str">
        <f aca="false">IF(D2217&lt;&gt;"",DEC2HEX(D2217,2),"")</f>
        <v/>
      </c>
      <c r="J2217" s="1" t="str">
        <f aca="false">IF(H2217&lt;&gt;"","0x"&amp;I2217&amp;H2217,"")</f>
        <v/>
      </c>
      <c r="L2217" s="1" t="s">
        <v>3461</v>
      </c>
      <c r="M2217" s="1" t="str">
        <f aca="false">IF(J2217&lt;&gt;"",J2217,L2217)</f>
        <v>30, 34, SCYTHER</v>
      </c>
    </row>
    <row r="2218" customFormat="false" ht="12.75" hidden="false" customHeight="true" outlineLevel="0" collapsed="false">
      <c r="A2218" s="3" t="s">
        <v>3462</v>
      </c>
      <c r="B2218" s="3" t="str">
        <f aca="false">IF(ISNUMBER(SEARCH("%", A2218)),RIGHT(A2218,3),A2218)</f>
        <v>30, 34, JYNX</v>
      </c>
      <c r="C2218" s="1" t="str">
        <f aca="false" t="array" ref="C2218:C2218">IF(B2217="NEW ROUTE",textsplit(B2218,","),"")</f>
        <v/>
      </c>
      <c r="H2218" s="1" t="str">
        <f aca="false">IF(C2218&lt;&gt;"",DEC2HEX(C2218,2),"")</f>
        <v/>
      </c>
      <c r="I2218" s="1" t="str">
        <f aca="false">IF(D2218&lt;&gt;"",DEC2HEX(D2218,2),"")</f>
        <v/>
      </c>
      <c r="J2218" s="1" t="str">
        <f aca="false">IF(H2218&lt;&gt;"","0x"&amp;I2218&amp;H2218,"")</f>
        <v/>
      </c>
      <c r="L2218" s="1" t="s">
        <v>3462</v>
      </c>
      <c r="M2218" s="1" t="str">
        <f aca="false">IF(J2218&lt;&gt;"",J2218,L2218)</f>
        <v>30, 34, JYNX</v>
      </c>
    </row>
    <row r="2219" customFormat="false" ht="12.75" hidden="false" customHeight="true" outlineLevel="0" collapsed="false">
      <c r="A2219" s="3" t="s">
        <v>2809</v>
      </c>
      <c r="B2219" s="3" t="str">
        <f aca="false">IF(ISNUMBER(SEARCH("%", A2219)),RIGHT(A2219,3),A2219)</f>
        <v>0.04</v>
      </c>
      <c r="C2219" s="1" t="str">
        <f aca="false" t="array" ref="C2219:C2219">IF(B2218="NEW ROUTE",textsplit(B2219,","),"")</f>
        <v/>
      </c>
      <c r="H2219" s="1" t="str">
        <f aca="false">IF(C2219&lt;&gt;"",DEC2HEX(C2219,2),"")</f>
        <v/>
      </c>
      <c r="I2219" s="1" t="str">
        <f aca="false">IF(D2219&lt;&gt;"",DEC2HEX(D2219,2),"")</f>
        <v/>
      </c>
      <c r="J2219" s="1" t="str">
        <f aca="false">IF(H2219&lt;&gt;"","0x"&amp;I2219&amp;H2219,"")</f>
        <v/>
      </c>
      <c r="L2219" s="1" t="s">
        <v>2809</v>
      </c>
      <c r="M2219" s="1" t="str">
        <f aca="false">IF(J2219&lt;&gt;"",J2219,L2219)</f>
        <v>0.04</v>
      </c>
    </row>
    <row r="2220" customFormat="false" ht="12.75" hidden="false" customHeight="true" outlineLevel="0" collapsed="false">
      <c r="A2220" s="3" t="s">
        <v>3463</v>
      </c>
      <c r="B2220" s="3" t="str">
        <f aca="false">IF(ISNUMBER(SEARCH("%", A2220)),RIGHT(A2220,3),A2220)</f>
        <v>31, 31, DODRIO</v>
      </c>
      <c r="C2220" s="1" t="str">
        <f aca="false" t="array" ref="C2220:C2220">IF(B2219="NEW ROUTE",textsplit(B2220,","),"")</f>
        <v/>
      </c>
      <c r="H2220" s="1" t="str">
        <f aca="false">IF(C2220&lt;&gt;"",DEC2HEX(C2220,2),"")</f>
        <v/>
      </c>
      <c r="I2220" s="1" t="str">
        <f aca="false">IF(D2220&lt;&gt;"",DEC2HEX(D2220,2),"")</f>
        <v/>
      </c>
      <c r="J2220" s="1" t="str">
        <f aca="false">IF(H2220&lt;&gt;"","0x"&amp;I2220&amp;H2220,"")</f>
        <v/>
      </c>
      <c r="L2220" s="1" t="s">
        <v>3463</v>
      </c>
      <c r="M2220" s="1" t="str">
        <f aca="false">IF(J2220&lt;&gt;"",J2220,L2220)</f>
        <v>31, 31, DODRIO</v>
      </c>
    </row>
    <row r="2221" customFormat="false" ht="12.75" hidden="false" customHeight="true" outlineLevel="0" collapsed="false">
      <c r="A2221" s="3" t="s">
        <v>3464</v>
      </c>
      <c r="B2221" s="3" t="str">
        <f aca="false">IF(ISNUMBER(SEARCH("%", A2221)),RIGHT(A2221,3),A2221)</f>
        <v>31, 31, EXEGGUTOR</v>
      </c>
      <c r="C2221" s="1" t="str">
        <f aca="false" t="array" ref="C2221:C2221">IF(B2220="NEW ROUTE",textsplit(B2221,","),"")</f>
        <v/>
      </c>
      <c r="H2221" s="1" t="str">
        <f aca="false">IF(C2221&lt;&gt;"",DEC2HEX(C2221,2),"")</f>
        <v/>
      </c>
      <c r="I2221" s="1" t="str">
        <f aca="false">IF(D2221&lt;&gt;"",DEC2HEX(D2221,2),"")</f>
        <v/>
      </c>
      <c r="J2221" s="1" t="str">
        <f aca="false">IF(H2221&lt;&gt;"","0x"&amp;I2221&amp;H2221,"")</f>
        <v/>
      </c>
      <c r="L2221" s="1" t="s">
        <v>3464</v>
      </c>
      <c r="M2221" s="1" t="str">
        <f aca="false">IF(J2221&lt;&gt;"",J2221,L2221)</f>
        <v>31, 31, EXEGGUTOR</v>
      </c>
    </row>
    <row r="2222" customFormat="false" ht="12.75" hidden="false" customHeight="true" outlineLevel="0" collapsed="false">
      <c r="A2222" s="3" t="s">
        <v>2812</v>
      </c>
      <c r="B2222" s="3" t="str">
        <f aca="false">IF(ISNUMBER(SEARCH("%", A2222)),RIGHT(A2222,3),A2222)</f>
        <v>0.01</v>
      </c>
      <c r="C2222" s="1" t="str">
        <f aca="false" t="array" ref="C2222:C2222">IF(B2221="NEW ROUTE",textsplit(B2222,","),"")</f>
        <v/>
      </c>
      <c r="H2222" s="1" t="str">
        <f aca="false">IF(C2222&lt;&gt;"",DEC2HEX(C2222,2),"")</f>
        <v/>
      </c>
      <c r="I2222" s="1" t="str">
        <f aca="false">IF(D2222&lt;&gt;"",DEC2HEX(D2222,2),"")</f>
        <v/>
      </c>
      <c r="J2222" s="1" t="str">
        <f aca="false">IF(H2222&lt;&gt;"","0x"&amp;I2222&amp;H2222,"")</f>
        <v/>
      </c>
      <c r="L2222" s="1" t="s">
        <v>2812</v>
      </c>
      <c r="M2222" s="1" t="str">
        <f aca="false">IF(J2222&lt;&gt;"",J2222,L2222)</f>
        <v>0.01</v>
      </c>
    </row>
    <row r="2223" customFormat="false" ht="12.75" hidden="false" customHeight="true" outlineLevel="0" collapsed="false">
      <c r="A2223" s="3" t="s">
        <v>3465</v>
      </c>
      <c r="B2223" s="3" t="str">
        <f aca="false">IF(ISNUMBER(SEARCH("%", A2223)),RIGHT(A2223,3),A2223)</f>
        <v>29, 34, VICTREEBEL</v>
      </c>
      <c r="C2223" s="1" t="str">
        <f aca="false" t="array" ref="C2223:C2223">IF(B2222="NEW ROUTE",textsplit(B2223,","),"")</f>
        <v/>
      </c>
      <c r="H2223" s="1" t="str">
        <f aca="false">IF(C2223&lt;&gt;"",DEC2HEX(C2223,2),"")</f>
        <v/>
      </c>
      <c r="I2223" s="1" t="str">
        <f aca="false">IF(D2223&lt;&gt;"",DEC2HEX(D2223,2),"")</f>
        <v/>
      </c>
      <c r="J2223" s="1" t="str">
        <f aca="false">IF(H2223&lt;&gt;"","0x"&amp;I2223&amp;H2223,"")</f>
        <v/>
      </c>
      <c r="L2223" s="1" t="s">
        <v>3465</v>
      </c>
      <c r="M2223" s="1" t="str">
        <f aca="false">IF(J2223&lt;&gt;"",J2223,L2223)</f>
        <v>29, 34, VICTREEBEL</v>
      </c>
    </row>
    <row r="2224" customFormat="false" ht="12.75" hidden="false" customHeight="true" outlineLevel="0" collapsed="false">
      <c r="A2224" s="3" t="s">
        <v>3466</v>
      </c>
      <c r="B2224" s="3" t="str">
        <f aca="false">IF(ISNUMBER(SEARCH("%", A2224)),RIGHT(A2224,3),A2224)</f>
        <v>20, 25, SQUIRTLE</v>
      </c>
      <c r="C2224" s="1" t="str">
        <f aca="false" t="array" ref="C2224:C2224">IF(B2223="NEW ROUTE",textsplit(B2224,","),"")</f>
        <v/>
      </c>
      <c r="H2224" s="1" t="str">
        <f aca="false">IF(C2224&lt;&gt;"",DEC2HEX(C2224,2),"")</f>
        <v/>
      </c>
      <c r="I2224" s="1" t="str">
        <f aca="false">IF(D2224&lt;&gt;"",DEC2HEX(D2224,2),"")</f>
        <v/>
      </c>
      <c r="J2224" s="1" t="str">
        <f aca="false">IF(H2224&lt;&gt;"","0x"&amp;I2224&amp;H2224,"")</f>
        <v/>
      </c>
      <c r="L2224" s="1" t="s">
        <v>3466</v>
      </c>
      <c r="M2224" s="1" t="str">
        <f aca="false">IF(J2224&lt;&gt;"",J2224,L2224)</f>
        <v>20, 25, SQUIRTLE</v>
      </c>
    </row>
    <row r="2225" customFormat="false" ht="12.75" hidden="false" customHeight="true" outlineLevel="0" collapsed="false">
      <c r="A2225" s="3" t="s">
        <v>3349</v>
      </c>
      <c r="B2225" s="3" t="str">
        <f aca="false">IF(ISNUMBER(SEARCH("%", A2225)),RIGHT(A2225,3),A2225)</f>
        <v>2, 38, 42, TENTACOOL</v>
      </c>
      <c r="C2225" s="1" t="str">
        <f aca="false" t="array" ref="C2225:C2225">IF(B2224="NEW ROUTE",textsplit(B2225,","),"")</f>
        <v/>
      </c>
      <c r="H2225" s="1" t="str">
        <f aca="false">IF(C2225&lt;&gt;"",DEC2HEX(C2225,2),"")</f>
        <v/>
      </c>
      <c r="I2225" s="1" t="str">
        <f aca="false">IF(D2225&lt;&gt;"",DEC2HEX(D2225,2),"")</f>
        <v/>
      </c>
      <c r="J2225" s="1" t="str">
        <f aca="false">IF(H2225&lt;&gt;"","0x"&amp;I2225&amp;H2225,"")</f>
        <v/>
      </c>
      <c r="L2225" s="1" t="s">
        <v>3349</v>
      </c>
      <c r="M2225" s="1" t="str">
        <f aca="false">IF(J2225&lt;&gt;"",J2225,L2225)</f>
        <v>2, 38, 42, TENTACOOL</v>
      </c>
    </row>
    <row r="2226" customFormat="false" ht="12.75" hidden="false" customHeight="true" outlineLevel="0" collapsed="false">
      <c r="A2226" s="3" t="s">
        <v>3428</v>
      </c>
      <c r="B2226" s="3" t="str">
        <f aca="false">IF(ISNUMBER(SEARCH("%", A2226)),RIGHT(A2226,3),A2226)</f>
        <v>40, 44, TENTACRUEL</v>
      </c>
      <c r="C2226" s="1" t="str">
        <f aca="false" t="array" ref="C2226:C2226">IF(B2225="NEW ROUTE",textsplit(B2226,","),"")</f>
        <v/>
      </c>
      <c r="H2226" s="1" t="str">
        <f aca="false">IF(C2226&lt;&gt;"",DEC2HEX(C2226,2),"")</f>
        <v/>
      </c>
      <c r="I2226" s="1" t="str">
        <f aca="false">IF(D2226&lt;&gt;"",DEC2HEX(D2226,2),"")</f>
        <v/>
      </c>
      <c r="J2226" s="1" t="str">
        <f aca="false">IF(H2226&lt;&gt;"","0x"&amp;I2226&amp;H2226,"")</f>
        <v/>
      </c>
      <c r="L2226" s="1" t="s">
        <v>3428</v>
      </c>
      <c r="M2226" s="1" t="str">
        <f aca="false">IF(J2226&lt;&gt;"",J2226,L2226)</f>
        <v>40, 44, TENTACRUEL</v>
      </c>
    </row>
    <row r="2227" customFormat="false" ht="12.75" hidden="false" customHeight="true" outlineLevel="0" collapsed="false">
      <c r="A2227" s="3" t="s">
        <v>3024</v>
      </c>
      <c r="B2227" s="3" t="str">
        <f aca="false">IF(ISNUMBER(SEARCH("%", A2227)),RIGHT(A2227,3),A2227)</f>
        <v>42, 46, LAPRAS</v>
      </c>
      <c r="C2227" s="1" t="str">
        <f aca="false" t="array" ref="C2227:C2227">IF(B2226="NEW ROUTE",textsplit(B2227,","),"")</f>
        <v/>
      </c>
      <c r="H2227" s="1" t="str">
        <f aca="false">IF(C2227&lt;&gt;"",DEC2HEX(C2227,2),"")</f>
        <v/>
      </c>
      <c r="I2227" s="1" t="str">
        <f aca="false">IF(D2227&lt;&gt;"",DEC2HEX(D2227,2),"")</f>
        <v/>
      </c>
      <c r="J2227" s="1" t="str">
        <f aca="false">IF(H2227&lt;&gt;"","0x"&amp;I2227&amp;H2227,"")</f>
        <v/>
      </c>
      <c r="L2227" s="1" t="s">
        <v>3024</v>
      </c>
      <c r="M2227" s="1" t="str">
        <f aca="false">IF(J2227&lt;&gt;"",J2227,L2227)</f>
        <v>42, 46, LAPRAS</v>
      </c>
    </row>
    <row r="2228" customFormat="false" ht="12.75" hidden="false" customHeight="true" outlineLevel="0" collapsed="false">
      <c r="A2228" s="3" t="s">
        <v>3429</v>
      </c>
      <c r="B2228" s="3" t="str">
        <f aca="false">IF(ISNUMBER(SEARCH("%", A2228)),RIGHT(A2228,3),A2228)</f>
        <v>42, 46, TENTACATE</v>
      </c>
      <c r="C2228" s="1" t="str">
        <f aca="false" t="array" ref="C2228:C2228">IF(B2227="NEW ROUTE",textsplit(B2228,","),"")</f>
        <v/>
      </c>
      <c r="H2228" s="1" t="str">
        <f aca="false">IF(C2228&lt;&gt;"",DEC2HEX(C2228,2),"")</f>
        <v/>
      </c>
      <c r="I2228" s="1" t="str">
        <f aca="false">IF(D2228&lt;&gt;"",DEC2HEX(D2228,2),"")</f>
        <v/>
      </c>
      <c r="J2228" s="1" t="str">
        <f aca="false">IF(H2228&lt;&gt;"","0x"&amp;I2228&amp;H2228,"")</f>
        <v/>
      </c>
      <c r="L2228" s="1" t="s">
        <v>3429</v>
      </c>
      <c r="M2228" s="1" t="str">
        <f aca="false">IF(J2228&lt;&gt;"",J2228,L2228)</f>
        <v>42, 46, TENTACATE</v>
      </c>
    </row>
    <row r="2229" customFormat="false" ht="12.75" hidden="false" customHeight="true" outlineLevel="0" collapsed="false">
      <c r="A2229" s="3" t="s">
        <v>3449</v>
      </c>
      <c r="B2229" s="3" t="str">
        <f aca="false">IF(ISNUMBER(SEARCH("%", A2229)),RIGHT(A2229,3),A2229)</f>
        <v>44, 48, LOCHLASS</v>
      </c>
      <c r="C2229" s="1" t="str">
        <f aca="false" t="array" ref="C2229:C2229">IF(B2228="NEW ROUTE",textsplit(B2229,","),"")</f>
        <v/>
      </c>
      <c r="H2229" s="1" t="str">
        <f aca="false">IF(C2229&lt;&gt;"",DEC2HEX(C2229,2),"")</f>
        <v/>
      </c>
      <c r="I2229" s="1" t="str">
        <f aca="false">IF(D2229&lt;&gt;"",DEC2HEX(D2229,2),"")</f>
        <v/>
      </c>
      <c r="J2229" s="1" t="str">
        <f aca="false">IF(H2229&lt;&gt;"","0x"&amp;I2229&amp;H2229,"")</f>
        <v/>
      </c>
      <c r="L2229" s="1" t="s">
        <v>3449</v>
      </c>
      <c r="M2229" s="1" t="str">
        <f aca="false">IF(J2229&lt;&gt;"",J2229,L2229)</f>
        <v>44, 48, LOCHLASS</v>
      </c>
    </row>
    <row r="2230" customFormat="false" ht="12.75" hidden="false" customHeight="true" outlineLevel="0" collapsed="false">
      <c r="A2230" s="3" t="s">
        <v>3467</v>
      </c>
      <c r="B2230" s="3" t="str">
        <f aca="false">IF(ISNUMBER(SEARCH("%", A2230)),RIGHT(A2230,3),A2230)</f>
        <v>60, old rod:</v>
      </c>
      <c r="C2230" s="1" t="str">
        <f aca="false" t="array" ref="C2230:C2230">IF(B2229="NEW ROUTE",textsplit(B2230,","),"")</f>
        <v/>
      </c>
      <c r="H2230" s="1" t="str">
        <f aca="false">IF(C2230&lt;&gt;"",DEC2HEX(C2230,2),"")</f>
        <v/>
      </c>
      <c r="I2230" s="1" t="str">
        <f aca="false">IF(D2230&lt;&gt;"",DEC2HEX(D2230,2),"")</f>
        <v/>
      </c>
      <c r="J2230" s="1" t="str">
        <f aca="false">IF(H2230&lt;&gt;"","0x"&amp;I2230&amp;H2230,"")</f>
        <v/>
      </c>
      <c r="L2230" s="1" t="s">
        <v>3467</v>
      </c>
      <c r="M2230" s="1" t="str">
        <f aca="false">IF(J2230&lt;&gt;"",J2230,L2230)</f>
        <v>60, old rod:</v>
      </c>
    </row>
    <row r="2231" customFormat="false" ht="12.75" hidden="false" customHeight="true" outlineLevel="0" collapsed="false">
      <c r="A2231" s="3" t="s">
        <v>1349</v>
      </c>
      <c r="B2231" s="3" t="str">
        <f aca="false">IF(ISNUMBER(SEARCH("%", A2231)),RIGHT(A2231,3),A2231)</f>
        <v>19, 26, MAGIKARP</v>
      </c>
      <c r="C2231" s="1" t="str">
        <f aca="false" t="array" ref="C2231:C2231">IF(B2230="NEW ROUTE",textsplit(B2231,","),"")</f>
        <v/>
      </c>
      <c r="H2231" s="1" t="str">
        <f aca="false">IF(C2231&lt;&gt;"",DEC2HEX(C2231,2),"")</f>
        <v/>
      </c>
      <c r="I2231" s="1" t="str">
        <f aca="false">IF(D2231&lt;&gt;"",DEC2HEX(D2231,2),"")</f>
        <v/>
      </c>
      <c r="J2231" s="1" t="str">
        <f aca="false">IF(H2231&lt;&gt;"","0x"&amp;I2231&amp;H2231,"")</f>
        <v/>
      </c>
      <c r="L2231" s="1" t="s">
        <v>1349</v>
      </c>
      <c r="M2231" s="1" t="str">
        <f aca="false">IF(J2231&lt;&gt;"",J2231,L2231)</f>
        <v>19, 26, MAGIKARP</v>
      </c>
    </row>
    <row r="2232" customFormat="false" ht="12.75" hidden="false" customHeight="true" outlineLevel="0" collapsed="false">
      <c r="A2232" s="3" t="s">
        <v>3352</v>
      </c>
      <c r="B2232" s="3" t="str">
        <f aca="false">IF(ISNUMBER(SEARCH("%", A2232)),RIGHT(A2232,3),A2232)</f>
        <v>19, 26, GYARADOS</v>
      </c>
      <c r="C2232" s="1" t="str">
        <f aca="false" t="array" ref="C2232:C2232">IF(B2231="NEW ROUTE",textsplit(B2232,","),"")</f>
        <v/>
      </c>
      <c r="H2232" s="1" t="str">
        <f aca="false">IF(C2232&lt;&gt;"",DEC2HEX(C2232,2),"")</f>
        <v/>
      </c>
      <c r="I2232" s="1" t="str">
        <f aca="false">IF(D2232&lt;&gt;"",DEC2HEX(D2232,2),"")</f>
        <v/>
      </c>
      <c r="J2232" s="1" t="str">
        <f aca="false">IF(H2232&lt;&gt;"","0x"&amp;I2232&amp;H2232,"")</f>
        <v/>
      </c>
      <c r="L2232" s="1" t="s">
        <v>3352</v>
      </c>
      <c r="M2232" s="1" t="str">
        <f aca="false">IF(J2232&lt;&gt;"",J2232,L2232)</f>
        <v>19, 26, GYARADOS</v>
      </c>
    </row>
    <row r="2233" customFormat="false" ht="12.75" hidden="false" customHeight="true" outlineLevel="0" collapsed="false">
      <c r="A2233" s="3" t="s">
        <v>2846</v>
      </c>
      <c r="B2233" s="3" t="str">
        <f aca="false">IF(ISNUMBER(SEARCH("%", A2233)),RIGHT(A2233,3),A2233)</f>
        <v>good rod:</v>
      </c>
      <c r="C2233" s="1" t="str">
        <f aca="false" t="array" ref="C2233:C2233">IF(B2232="NEW ROUTE",textsplit(B2233,","),"")</f>
        <v/>
      </c>
      <c r="H2233" s="1" t="str">
        <f aca="false">IF(C2233&lt;&gt;"",DEC2HEX(C2233,2),"")</f>
        <v/>
      </c>
      <c r="I2233" s="1" t="str">
        <f aca="false">IF(D2233&lt;&gt;"",DEC2HEX(D2233,2),"")</f>
        <v/>
      </c>
      <c r="J2233" s="1" t="str">
        <f aca="false">IF(H2233&lt;&gt;"","0x"&amp;I2233&amp;H2233,"")</f>
        <v/>
      </c>
      <c r="L2233" s="1" t="s">
        <v>2846</v>
      </c>
      <c r="M2233" s="1" t="str">
        <f aca="false">IF(J2233&lt;&gt;"",J2233,L2233)</f>
        <v>good rod:</v>
      </c>
    </row>
    <row r="2234" customFormat="false" ht="12.75" hidden="false" customHeight="true" outlineLevel="0" collapsed="false">
      <c r="A2234" s="3" t="s">
        <v>3430</v>
      </c>
      <c r="B2234" s="3" t="str">
        <f aca="false">IF(ISNUMBER(SEARCH("%", A2234)),RIGHT(A2234,3),A2234)</f>
        <v>29, 33, HORSEA</v>
      </c>
      <c r="C2234" s="1" t="str">
        <f aca="false" t="array" ref="C2234:C2234">IF(B2233="NEW ROUTE",textsplit(B2234,","),"")</f>
        <v/>
      </c>
      <c r="H2234" s="1" t="str">
        <f aca="false">IF(C2234&lt;&gt;"",DEC2HEX(C2234,2),"")</f>
        <v/>
      </c>
      <c r="I2234" s="1" t="str">
        <f aca="false">IF(D2234&lt;&gt;"",DEC2HEX(D2234,2),"")</f>
        <v/>
      </c>
      <c r="J2234" s="1" t="str">
        <f aca="false">IF(H2234&lt;&gt;"","0x"&amp;I2234&amp;H2234,"")</f>
        <v/>
      </c>
      <c r="L2234" s="1" t="s">
        <v>3430</v>
      </c>
      <c r="M2234" s="1" t="str">
        <f aca="false">IF(J2234&lt;&gt;"",J2234,L2234)</f>
        <v>29, 33, HORSEA</v>
      </c>
    </row>
    <row r="2235" customFormat="false" ht="12.75" hidden="false" customHeight="true" outlineLevel="0" collapsed="false">
      <c r="A2235" s="3" t="s">
        <v>3027</v>
      </c>
      <c r="B2235" s="3" t="str">
        <f aca="false">IF(ISNUMBER(SEARCH("%", A2235)),RIGHT(A2235,3),A2235)</f>
        <v>30, 35, KRABBY</v>
      </c>
      <c r="C2235" s="1" t="str">
        <f aca="false" t="array" ref="C2235:C2235">IF(B2234="NEW ROUTE",textsplit(B2235,","),"")</f>
        <v/>
      </c>
      <c r="H2235" s="1" t="str">
        <f aca="false">IF(C2235&lt;&gt;"",DEC2HEX(C2235,2),"")</f>
        <v/>
      </c>
      <c r="I2235" s="1" t="str">
        <f aca="false">IF(D2235&lt;&gt;"",DEC2HEX(D2235,2),"")</f>
        <v/>
      </c>
      <c r="J2235" s="1" t="str">
        <f aca="false">IF(H2235&lt;&gt;"","0x"&amp;I2235&amp;H2235,"")</f>
        <v/>
      </c>
      <c r="L2235" s="1" t="s">
        <v>3027</v>
      </c>
      <c r="M2235" s="1" t="str">
        <f aca="false">IF(J2235&lt;&gt;"",J2235,L2235)</f>
        <v>30, 35, KRABBY</v>
      </c>
    </row>
    <row r="2236" customFormat="false" ht="12.75" hidden="false" customHeight="true" outlineLevel="0" collapsed="false">
      <c r="A2236" s="3" t="s">
        <v>3354</v>
      </c>
      <c r="B2236" s="3" t="str">
        <f aca="false">IF(ISNUMBER(SEARCH("%", A2236)),RIGHT(A2236,3),A2236)</f>
        <v>30, 35, PSYDUCK</v>
      </c>
      <c r="C2236" s="1" t="str">
        <f aca="false" t="array" ref="C2236:C2236">IF(B2235="NEW ROUTE",textsplit(B2236,","),"")</f>
        <v/>
      </c>
      <c r="H2236" s="1" t="str">
        <f aca="false">IF(C2236&lt;&gt;"",DEC2HEX(C2236,2),"")</f>
        <v/>
      </c>
      <c r="I2236" s="1" t="str">
        <f aca="false">IF(D2236&lt;&gt;"",DEC2HEX(D2236,2),"")</f>
        <v/>
      </c>
      <c r="J2236" s="1" t="str">
        <f aca="false">IF(H2236&lt;&gt;"","0x"&amp;I2236&amp;H2236,"")</f>
        <v/>
      </c>
      <c r="L2236" s="1" t="s">
        <v>3354</v>
      </c>
      <c r="M2236" s="1" t="str">
        <f aca="false">IF(J2236&lt;&gt;"",J2236,L2236)</f>
        <v>30, 35, PSYDUCK</v>
      </c>
    </row>
    <row r="2237" customFormat="false" ht="12.75" hidden="false" customHeight="true" outlineLevel="0" collapsed="false">
      <c r="A2237" s="3" t="s">
        <v>2850</v>
      </c>
      <c r="B2237" s="3" t="str">
        <f aca="false">IF(ISNUMBER(SEARCH("%", A2237)),RIGHT(A2237,3),A2237)</f>
        <v>super rod:</v>
      </c>
      <c r="C2237" s="1" t="str">
        <f aca="false" t="array" ref="C2237:C2237">IF(B2236="NEW ROUTE",textsplit(B2237,","),"")</f>
        <v/>
      </c>
      <c r="H2237" s="1" t="str">
        <f aca="false">IF(C2237&lt;&gt;"",DEC2HEX(C2237,2),"")</f>
        <v/>
      </c>
      <c r="I2237" s="1" t="str">
        <f aca="false">IF(D2237&lt;&gt;"",DEC2HEX(D2237,2),"")</f>
        <v/>
      </c>
      <c r="J2237" s="1" t="str">
        <f aca="false">IF(H2237&lt;&gt;"","0x"&amp;I2237&amp;H2237,"")</f>
        <v/>
      </c>
      <c r="L2237" s="1" t="s">
        <v>2850</v>
      </c>
      <c r="M2237" s="1" t="str">
        <f aca="false">IF(J2237&lt;&gt;"",J2237,L2237)</f>
        <v>super rod:</v>
      </c>
    </row>
    <row r="2238" customFormat="false" ht="12.75" hidden="false" customHeight="true" outlineLevel="0" collapsed="false">
      <c r="A2238" s="3" t="s">
        <v>3432</v>
      </c>
      <c r="B2238" s="3" t="str">
        <f aca="false">IF(ISNUMBER(SEARCH("%", A2238)),RIGHT(A2238,3),A2238)</f>
        <v>36, 40, SEADRA</v>
      </c>
      <c r="C2238" s="1" t="str">
        <f aca="false" t="array" ref="C2238:C2238">IF(B2237="NEW ROUTE",textsplit(B2238,","),"")</f>
        <v/>
      </c>
      <c r="H2238" s="1" t="str">
        <f aca="false">IF(C2238&lt;&gt;"",DEC2HEX(C2238,2),"")</f>
        <v/>
      </c>
      <c r="I2238" s="1" t="str">
        <f aca="false">IF(D2238&lt;&gt;"",DEC2HEX(D2238,2),"")</f>
        <v/>
      </c>
      <c r="J2238" s="1" t="str">
        <f aca="false">IF(H2238&lt;&gt;"","0x"&amp;I2238&amp;H2238,"")</f>
        <v/>
      </c>
      <c r="L2238" s="1" t="s">
        <v>3432</v>
      </c>
      <c r="M2238" s="1" t="str">
        <f aca="false">IF(J2238&lt;&gt;"",J2238,L2238)</f>
        <v>36, 40, SEADRA</v>
      </c>
    </row>
    <row r="2239" customFormat="false" ht="12.75" hidden="false" customHeight="true" outlineLevel="0" collapsed="false">
      <c r="A2239" s="3" t="s">
        <v>3356</v>
      </c>
      <c r="B2239" s="3" t="str">
        <f aca="false">IF(ISNUMBER(SEARCH("%", A2239)),RIGHT(A2239,3),A2239)</f>
        <v>36, 40, GYARADOS</v>
      </c>
      <c r="C2239" s="1" t="str">
        <f aca="false" t="array" ref="C2239:C2239">IF(B2238="NEW ROUTE",textsplit(B2239,","),"")</f>
        <v/>
      </c>
      <c r="H2239" s="1" t="str">
        <f aca="false">IF(C2239&lt;&gt;"",DEC2HEX(C2239,2),"")</f>
        <v/>
      </c>
      <c r="I2239" s="1" t="str">
        <f aca="false">IF(D2239&lt;&gt;"",DEC2HEX(D2239,2),"")</f>
        <v/>
      </c>
      <c r="J2239" s="1" t="str">
        <f aca="false">IF(H2239&lt;&gt;"","0x"&amp;I2239&amp;H2239,"")</f>
        <v/>
      </c>
      <c r="L2239" s="1" t="s">
        <v>3356</v>
      </c>
      <c r="M2239" s="1" t="str">
        <f aca="false">IF(J2239&lt;&gt;"",J2239,L2239)</f>
        <v>36, 40, GYARADOS</v>
      </c>
    </row>
    <row r="2240" customFormat="false" ht="12.75" hidden="false" customHeight="true" outlineLevel="0" collapsed="false">
      <c r="A2240" s="3" t="s">
        <v>3357</v>
      </c>
      <c r="B2240" s="3" t="str">
        <f aca="false">IF(ISNUMBER(SEARCH("%", A2240)),RIGHT(A2240,3),A2240)</f>
        <v>38, 42, GOLDUCK</v>
      </c>
      <c r="C2240" s="1" t="str">
        <f aca="false" t="array" ref="C2240:C2240">IF(B2239="NEW ROUTE",textsplit(B2240,","),"")</f>
        <v/>
      </c>
      <c r="H2240" s="1" t="str">
        <f aca="false">IF(C2240&lt;&gt;"",DEC2HEX(C2240,2),"")</f>
        <v/>
      </c>
      <c r="I2240" s="1" t="str">
        <f aca="false">IF(D2240&lt;&gt;"",DEC2HEX(D2240,2),"")</f>
        <v/>
      </c>
      <c r="J2240" s="1" t="str">
        <f aca="false">IF(H2240&lt;&gt;"","0x"&amp;I2240&amp;H2240,"")</f>
        <v/>
      </c>
      <c r="L2240" s="1" t="s">
        <v>3357</v>
      </c>
      <c r="M2240" s="1" t="str">
        <f aca="false">IF(J2240&lt;&gt;"",J2240,L2240)</f>
        <v>38, 42, GOLDUCK</v>
      </c>
    </row>
    <row r="2241" customFormat="false" ht="12.75" hidden="false" customHeight="true" outlineLevel="0" collapsed="false">
      <c r="A2241" s="3" t="s">
        <v>3358</v>
      </c>
      <c r="B2241" s="3" t="str">
        <f aca="false">IF(ISNUMBER(SEARCH("%", A2241)),RIGHT(A2241,3),A2241)</f>
        <v>38, 42, KINGLER</v>
      </c>
      <c r="C2241" s="1" t="str">
        <f aca="false" t="array" ref="C2241:C2241">IF(B2240="NEW ROUTE",textsplit(B2241,","),"")</f>
        <v/>
      </c>
      <c r="H2241" s="1" t="str">
        <f aca="false">IF(C2241&lt;&gt;"",DEC2HEX(C2241,2),"")</f>
        <v/>
      </c>
      <c r="I2241" s="1" t="str">
        <f aca="false">IF(D2241&lt;&gt;"",DEC2HEX(D2241,2),"")</f>
        <v/>
      </c>
      <c r="J2241" s="1" t="str">
        <f aca="false">IF(H2241&lt;&gt;"","0x"&amp;I2241&amp;H2241,"")</f>
        <v/>
      </c>
      <c r="L2241" s="1" t="s">
        <v>3358</v>
      </c>
      <c r="M2241" s="1" t="str">
        <f aca="false">IF(J2241&lt;&gt;"",J2241,L2241)</f>
        <v>38, 42, KINGLER</v>
      </c>
    </row>
    <row r="2242" customFormat="false" ht="12.75" hidden="false" customHeight="true" outlineLevel="0" collapsed="false">
      <c r="A2242" s="3" t="s">
        <v>3436</v>
      </c>
      <c r="B2242" s="3" t="str">
        <f aca="false">IF(ISNUMBER(SEARCH("%", A2242)),RIGHT(A2242,3),A2242)</f>
        <v>40, 44, GILDUCK</v>
      </c>
      <c r="C2242" s="1" t="str">
        <f aca="false" t="array" ref="C2242:C2242">IF(B2241="NEW ROUTE",textsplit(B2242,","),"")</f>
        <v/>
      </c>
      <c r="H2242" s="1" t="str">
        <f aca="false">IF(C2242&lt;&gt;"",DEC2HEX(C2242,2),"")</f>
        <v/>
      </c>
      <c r="I2242" s="1" t="str">
        <f aca="false">IF(D2242&lt;&gt;"",DEC2HEX(D2242,2),"")</f>
        <v/>
      </c>
      <c r="J2242" s="1" t="str">
        <f aca="false">IF(H2242&lt;&gt;"","0x"&amp;I2242&amp;H2242,"")</f>
        <v/>
      </c>
      <c r="L2242" s="1" t="s">
        <v>3436</v>
      </c>
      <c r="M2242" s="1" t="str">
        <f aca="false">IF(J2242&lt;&gt;"",J2242,L2242)</f>
        <v>40, 44, GILDUCK</v>
      </c>
    </row>
    <row r="2243" customFormat="false" ht="12.75" hidden="false" customHeight="true" outlineLevel="0" collapsed="false">
      <c r="A2243" s="3" t="s">
        <v>2536</v>
      </c>
      <c r="B2243" s="3" t="str">
        <f aca="false">IF(ISNUMBER(SEARCH("%", A2243)),RIGHT(A2243,3),A2243)</f>
        <v>NEW ROUTE</v>
      </c>
      <c r="C2243" s="1" t="str">
        <f aca="false" t="array" ref="C2243:C2243">IF(B2242="NEW ROUTE",textsplit(B2243,","),"")</f>
        <v/>
      </c>
      <c r="H2243" s="1" t="str">
        <f aca="false">IF(C2243&lt;&gt;"",DEC2HEX(C2243,2),"")</f>
        <v/>
      </c>
      <c r="I2243" s="1" t="str">
        <f aca="false">IF(D2243&lt;&gt;"",DEC2HEX(D2243,2),"")</f>
        <v/>
      </c>
      <c r="J2243" s="1" t="str">
        <f aca="false">IF(H2243&lt;&gt;"","0x"&amp;I2243&amp;H2243,"")</f>
        <v/>
      </c>
      <c r="L2243" s="1" t="s">
        <v>2536</v>
      </c>
      <c r="M2243" s="1" t="str">
        <f aca="false">IF(J2243&lt;&gt;"",J2243,L2243)</f>
        <v>NEW ROUTE</v>
      </c>
    </row>
    <row r="2244" customFormat="false" ht="12.75" hidden="false" customHeight="true" outlineLevel="0" collapsed="false">
      <c r="A2244" s="3" t="s">
        <v>3468</v>
      </c>
      <c r="B2244" s="3" t="str">
        <f aca="false">IF(ISNUMBER(SEARCH("%", A2244)),RIGHT(A2244,3),A2244)</f>
        <v>3, 31, 0,</v>
      </c>
      <c r="C2244" s="1" t="e">
        <f aca="false" t="array" ref="C2244:C2244">IF(B2243="NEW ROUTE",textsplit(B2244,","),"")</f>
        <v>#NAME?</v>
      </c>
      <c r="H2244" s="1" t="e">
        <f aca="false">IF(C2244&lt;&gt;"",DEC2HEX(C2244,2),"")</f>
        <v>#NAME?</v>
      </c>
      <c r="I2244" s="1" t="str">
        <f aca="false">IF(D2244&lt;&gt;"",DEC2HEX(D2244,2),"")</f>
        <v/>
      </c>
      <c r="J2244" s="1" t="e">
        <f aca="false">IF(H2244&lt;&gt;"","0x"&amp;I2244&amp;H2244,"")</f>
        <v>#NAME?</v>
      </c>
      <c r="L2244" s="1" t="s">
        <v>3468</v>
      </c>
      <c r="M2244" s="1" t="e">
        <f aca="false">IF(J2244&lt;&gt;"",J2244,L2244)</f>
        <v>#NAME?</v>
      </c>
    </row>
    <row r="2245" customFormat="false" ht="12.75" hidden="false" customHeight="true" outlineLevel="0" collapsed="false">
      <c r="A2245" s="3" t="s">
        <v>2908</v>
      </c>
      <c r="B2245" s="3" t="str">
        <f aca="false">IF(ISNUMBER(SEARCH("%", A2245)),RIGHT(A2245,3),A2245)</f>
        <v>20%</v>
      </c>
      <c r="C2245" s="1" t="str">
        <f aca="false" t="array" ref="C2245:C2245">IF(B2244="NEW ROUTE",textsplit(B2245,","),"")</f>
        <v/>
      </c>
      <c r="H2245" s="1" t="str">
        <f aca="false">IF(C2245&lt;&gt;"",DEC2HEX(C2245,2),"")</f>
        <v/>
      </c>
      <c r="I2245" s="1" t="str">
        <f aca="false">IF(D2245&lt;&gt;"",DEC2HEX(D2245,2),"")</f>
        <v/>
      </c>
      <c r="J2245" s="1" t="str">
        <f aca="false">IF(H2245&lt;&gt;"","0x"&amp;I2245&amp;H2245,"")</f>
        <v/>
      </c>
      <c r="L2245" s="1" t="s">
        <v>2799</v>
      </c>
      <c r="M2245" s="1" t="str">
        <f aca="false">IF(J2245&lt;&gt;"",J2245,L2245)</f>
        <v>20%</v>
      </c>
    </row>
    <row r="2246" customFormat="false" ht="12.75" hidden="false" customHeight="true" outlineLevel="0" collapsed="false">
      <c r="A2246" s="3" t="s">
        <v>1944</v>
      </c>
      <c r="B2246" s="3" t="str">
        <f aca="false">IF(ISNUMBER(SEARCH("%", A2246)),RIGHT(A2246,3),A2246)</f>
        <v>30, 35, BELLSPROUT</v>
      </c>
      <c r="C2246" s="1" t="str">
        <f aca="false" t="array" ref="C2246:C2246">IF(B2245="NEW ROUTE",textsplit(B2246,","),"")</f>
        <v/>
      </c>
      <c r="H2246" s="1" t="str">
        <f aca="false">IF(C2246&lt;&gt;"",DEC2HEX(C2246,2),"")</f>
        <v/>
      </c>
      <c r="I2246" s="1" t="str">
        <f aca="false">IF(D2246&lt;&gt;"",DEC2HEX(D2246,2),"")</f>
        <v/>
      </c>
      <c r="J2246" s="1" t="str">
        <f aca="false">IF(H2246&lt;&gt;"","0x"&amp;I2246&amp;H2246,"")</f>
        <v/>
      </c>
      <c r="L2246" s="1" t="s">
        <v>1944</v>
      </c>
      <c r="M2246" s="1" t="str">
        <f aca="false">IF(J2246&lt;&gt;"",J2246,L2246)</f>
        <v>30, 35, BELLSPROUT</v>
      </c>
    </row>
    <row r="2247" customFormat="false" ht="12.75" hidden="false" customHeight="true" outlineLevel="0" collapsed="false">
      <c r="A2247" s="3" t="s">
        <v>3469</v>
      </c>
      <c r="B2247" s="3" t="str">
        <f aca="false">IF(ISNUMBER(SEARCH("%", A2247)),RIGHT(A2247,3),A2247)</f>
        <v>30, 35, PIDGEOTTO</v>
      </c>
      <c r="C2247" s="1" t="str">
        <f aca="false" t="array" ref="C2247:C2247">IF(B2246="NEW ROUTE",textsplit(B2247,","),"")</f>
        <v/>
      </c>
      <c r="H2247" s="1" t="str">
        <f aca="false">IF(C2247&lt;&gt;"",DEC2HEX(C2247,2),"")</f>
        <v/>
      </c>
      <c r="I2247" s="1" t="str">
        <f aca="false">IF(D2247&lt;&gt;"",DEC2HEX(D2247,2),"")</f>
        <v/>
      </c>
      <c r="J2247" s="1" t="str">
        <f aca="false">IF(H2247&lt;&gt;"","0x"&amp;I2247&amp;H2247,"")</f>
        <v/>
      </c>
      <c r="L2247" s="1" t="s">
        <v>3469</v>
      </c>
      <c r="M2247" s="1" t="str">
        <f aca="false">IF(J2247&lt;&gt;"",J2247,L2247)</f>
        <v>30, 35, PIDGEOTTO</v>
      </c>
    </row>
    <row r="2248" customFormat="false" ht="12.75" hidden="false" customHeight="true" outlineLevel="0" collapsed="false">
      <c r="A2248" s="3" t="s">
        <v>2801</v>
      </c>
      <c r="B2248" s="3" t="str">
        <f aca="false">IF(ISNUMBER(SEARCH("%", A2248)),RIGHT(A2248,3),A2248)</f>
        <v>0.1</v>
      </c>
      <c r="C2248" s="1" t="str">
        <f aca="false" t="array" ref="C2248:C2248">IF(B2247="NEW ROUTE",textsplit(B2248,","),"")</f>
        <v/>
      </c>
      <c r="H2248" s="1" t="str">
        <f aca="false">IF(C2248&lt;&gt;"",DEC2HEX(C2248,2),"")</f>
        <v/>
      </c>
      <c r="I2248" s="1" t="str">
        <f aca="false">IF(D2248&lt;&gt;"",DEC2HEX(D2248,2),"")</f>
        <v/>
      </c>
      <c r="J2248" s="1" t="str">
        <f aca="false">IF(H2248&lt;&gt;"","0x"&amp;I2248&amp;H2248,"")</f>
        <v/>
      </c>
      <c r="L2248" s="1" t="s">
        <v>2801</v>
      </c>
      <c r="M2248" s="1" t="str">
        <f aca="false">IF(J2248&lt;&gt;"",J2248,L2248)</f>
        <v>0.1</v>
      </c>
    </row>
    <row r="2249" customFormat="false" ht="12.75" hidden="false" customHeight="true" outlineLevel="0" collapsed="false">
      <c r="A2249" s="3" t="s">
        <v>3470</v>
      </c>
      <c r="B2249" s="3" t="str">
        <f aca="false">IF(ISNUMBER(SEARCH("%", A2249)),RIGHT(A2249,3),A2249)</f>
        <v>30, 32, WEEPINBELL</v>
      </c>
      <c r="C2249" s="1" t="str">
        <f aca="false" t="array" ref="C2249:C2249">IF(B2248="NEW ROUTE",textsplit(B2249,","),"")</f>
        <v/>
      </c>
      <c r="H2249" s="1" t="str">
        <f aca="false">IF(C2249&lt;&gt;"",DEC2HEX(C2249,2),"")</f>
        <v/>
      </c>
      <c r="I2249" s="1" t="str">
        <f aca="false">IF(D2249&lt;&gt;"",DEC2HEX(D2249,2),"")</f>
        <v/>
      </c>
      <c r="J2249" s="1" t="str">
        <f aca="false">IF(H2249&lt;&gt;"","0x"&amp;I2249&amp;H2249,"")</f>
        <v/>
      </c>
      <c r="L2249" s="1" t="s">
        <v>3470</v>
      </c>
      <c r="M2249" s="1" t="str">
        <f aca="false">IF(J2249&lt;&gt;"",J2249,L2249)</f>
        <v>30, 32, WEEPINBELL</v>
      </c>
    </row>
    <row r="2250" customFormat="false" ht="12.75" hidden="false" customHeight="true" outlineLevel="0" collapsed="false">
      <c r="A2250" s="3" t="s">
        <v>3471</v>
      </c>
      <c r="B2250" s="3" t="str">
        <f aca="false">IF(ISNUMBER(SEARCH("%", A2250)),RIGHT(A2250,3),A2250)</f>
        <v>30, 32, DODUO</v>
      </c>
      <c r="C2250" s="1" t="str">
        <f aca="false" t="array" ref="C2250:C2250">IF(B2249="NEW ROUTE",textsplit(B2250,","),"")</f>
        <v/>
      </c>
      <c r="H2250" s="1" t="str">
        <f aca="false">IF(C2250&lt;&gt;"",DEC2HEX(C2250,2),"")</f>
        <v/>
      </c>
      <c r="I2250" s="1" t="str">
        <f aca="false">IF(D2250&lt;&gt;"",DEC2HEX(D2250,2),"")</f>
        <v/>
      </c>
      <c r="J2250" s="1" t="str">
        <f aca="false">IF(H2250&lt;&gt;"","0x"&amp;I2250&amp;H2250,"")</f>
        <v/>
      </c>
      <c r="L2250" s="1" t="s">
        <v>3471</v>
      </c>
      <c r="M2250" s="1" t="str">
        <f aca="false">IF(J2250&lt;&gt;"",J2250,L2250)</f>
        <v>30, 32, DODUO</v>
      </c>
    </row>
    <row r="2251" customFormat="false" ht="12.75" hidden="false" customHeight="true" outlineLevel="0" collapsed="false">
      <c r="A2251" s="3" t="s">
        <v>3472</v>
      </c>
      <c r="B2251" s="3" t="str">
        <f aca="false">IF(ISNUMBER(SEARCH("%", A2251)),RIGHT(A2251,3),A2251)</f>
        <v>32, 32, PIDGEOT</v>
      </c>
      <c r="C2251" s="1" t="str">
        <f aca="false" t="array" ref="C2251:C2251">IF(B2250="NEW ROUTE",textsplit(B2251,","),"")</f>
        <v/>
      </c>
      <c r="H2251" s="1" t="str">
        <f aca="false">IF(C2251&lt;&gt;"",DEC2HEX(C2251,2),"")</f>
        <v/>
      </c>
      <c r="I2251" s="1" t="str">
        <f aca="false">IF(D2251&lt;&gt;"",DEC2HEX(D2251,2),"")</f>
        <v/>
      </c>
      <c r="J2251" s="1" t="str">
        <f aca="false">IF(H2251&lt;&gt;"","0x"&amp;I2251&amp;H2251,"")</f>
        <v/>
      </c>
      <c r="L2251" s="1" t="s">
        <v>3472</v>
      </c>
      <c r="M2251" s="1" t="str">
        <f aca="false">IF(J2251&lt;&gt;"",J2251,L2251)</f>
        <v>32, 32, PIDGEOT</v>
      </c>
    </row>
    <row r="2252" customFormat="false" ht="12.75" hidden="false" customHeight="true" outlineLevel="0" collapsed="false">
      <c r="A2252" s="3" t="s">
        <v>3473</v>
      </c>
      <c r="B2252" s="3" t="str">
        <f aca="false">IF(ISNUMBER(SEARCH("%", A2252)),RIGHT(A2252,3),A2252)</f>
        <v>30, 32, EXEGGCUTE</v>
      </c>
      <c r="C2252" s="1" t="str">
        <f aca="false" t="array" ref="C2252:C2252">IF(B2251="NEW ROUTE",textsplit(B2252,","),"")</f>
        <v/>
      </c>
      <c r="H2252" s="1" t="str">
        <f aca="false">IF(C2252&lt;&gt;"",DEC2HEX(C2252,2),"")</f>
        <v/>
      </c>
      <c r="I2252" s="1" t="str">
        <f aca="false">IF(D2252&lt;&gt;"",DEC2HEX(D2252,2),"")</f>
        <v/>
      </c>
      <c r="J2252" s="1" t="str">
        <f aca="false">IF(H2252&lt;&gt;"","0x"&amp;I2252&amp;H2252,"")</f>
        <v/>
      </c>
      <c r="L2252" s="1" t="s">
        <v>3473</v>
      </c>
      <c r="M2252" s="1" t="str">
        <f aca="false">IF(J2252&lt;&gt;"",J2252,L2252)</f>
        <v>30, 32, EXEGGCUTE</v>
      </c>
    </row>
    <row r="2253" customFormat="false" ht="12.75" hidden="false" customHeight="true" outlineLevel="0" collapsed="false">
      <c r="A2253" s="3" t="s">
        <v>2806</v>
      </c>
      <c r="B2253" s="3" t="str">
        <f aca="false">IF(ISNUMBER(SEARCH("%", A2253)),RIGHT(A2253,3),A2253)</f>
        <v>0.05</v>
      </c>
      <c r="C2253" s="1" t="str">
        <f aca="false" t="array" ref="C2253:C2253">IF(B2252="NEW ROUTE",textsplit(B2253,","),"")</f>
        <v/>
      </c>
      <c r="H2253" s="1" t="str">
        <f aca="false">IF(C2253&lt;&gt;"",DEC2HEX(C2253,2),"")</f>
        <v/>
      </c>
      <c r="I2253" s="1" t="str">
        <f aca="false">IF(D2253&lt;&gt;"",DEC2HEX(D2253,2),"")</f>
        <v/>
      </c>
      <c r="J2253" s="1" t="str">
        <f aca="false">IF(H2253&lt;&gt;"","0x"&amp;I2253&amp;H2253,"")</f>
        <v/>
      </c>
      <c r="L2253" s="1" t="s">
        <v>2806</v>
      </c>
      <c r="M2253" s="1" t="str">
        <f aca="false">IF(J2253&lt;&gt;"",J2253,L2253)</f>
        <v>0.05</v>
      </c>
    </row>
    <row r="2254" customFormat="false" ht="12.75" hidden="false" customHeight="true" outlineLevel="0" collapsed="false">
      <c r="A2254" s="3" t="s">
        <v>3474</v>
      </c>
      <c r="B2254" s="3" t="str">
        <f aca="false">IF(ISNUMBER(SEARCH("%", A2254)),RIGHT(A2254,3),A2254)</f>
        <v>31, 35, SCYTHER</v>
      </c>
      <c r="C2254" s="1" t="str">
        <f aca="false" t="array" ref="C2254:C2254">IF(B2253="NEW ROUTE",textsplit(B2254,","),"")</f>
        <v/>
      </c>
      <c r="H2254" s="1" t="str">
        <f aca="false">IF(C2254&lt;&gt;"",DEC2HEX(C2254,2),"")</f>
        <v/>
      </c>
      <c r="I2254" s="1" t="str">
        <f aca="false">IF(D2254&lt;&gt;"",DEC2HEX(D2254,2),"")</f>
        <v/>
      </c>
      <c r="J2254" s="1" t="str">
        <f aca="false">IF(H2254&lt;&gt;"","0x"&amp;I2254&amp;H2254,"")</f>
        <v/>
      </c>
      <c r="L2254" s="1" t="s">
        <v>3474</v>
      </c>
      <c r="M2254" s="1" t="str">
        <f aca="false">IF(J2254&lt;&gt;"",J2254,L2254)</f>
        <v>31, 35, SCYTHER</v>
      </c>
    </row>
    <row r="2255" customFormat="false" ht="12.75" hidden="false" customHeight="true" outlineLevel="0" collapsed="false">
      <c r="A2255" s="3" t="s">
        <v>3475</v>
      </c>
      <c r="B2255" s="3" t="str">
        <f aca="false">IF(ISNUMBER(SEARCH("%", A2255)),RIGHT(A2255,3),A2255)</f>
        <v>31, 35, JYNX</v>
      </c>
      <c r="C2255" s="1" t="str">
        <f aca="false" t="array" ref="C2255:C2255">IF(B2254="NEW ROUTE",textsplit(B2255,","),"")</f>
        <v/>
      </c>
      <c r="H2255" s="1" t="str">
        <f aca="false">IF(C2255&lt;&gt;"",DEC2HEX(C2255,2),"")</f>
        <v/>
      </c>
      <c r="I2255" s="1" t="str">
        <f aca="false">IF(D2255&lt;&gt;"",DEC2HEX(D2255,2),"")</f>
        <v/>
      </c>
      <c r="J2255" s="1" t="str">
        <f aca="false">IF(H2255&lt;&gt;"","0x"&amp;I2255&amp;H2255,"")</f>
        <v/>
      </c>
      <c r="L2255" s="1" t="s">
        <v>3475</v>
      </c>
      <c r="M2255" s="1" t="str">
        <f aca="false">IF(J2255&lt;&gt;"",J2255,L2255)</f>
        <v>31, 35, JYNX</v>
      </c>
    </row>
    <row r="2256" customFormat="false" ht="12.75" hidden="false" customHeight="true" outlineLevel="0" collapsed="false">
      <c r="A2256" s="3" t="s">
        <v>2809</v>
      </c>
      <c r="B2256" s="3" t="str">
        <f aca="false">IF(ISNUMBER(SEARCH("%", A2256)),RIGHT(A2256,3),A2256)</f>
        <v>0.04</v>
      </c>
      <c r="C2256" s="1" t="str">
        <f aca="false" t="array" ref="C2256:C2256">IF(B2255="NEW ROUTE",textsplit(B2256,","),"")</f>
        <v/>
      </c>
      <c r="H2256" s="1" t="str">
        <f aca="false">IF(C2256&lt;&gt;"",DEC2HEX(C2256,2),"")</f>
        <v/>
      </c>
      <c r="I2256" s="1" t="str">
        <f aca="false">IF(D2256&lt;&gt;"",DEC2HEX(D2256,2),"")</f>
        <v/>
      </c>
      <c r="J2256" s="1" t="str">
        <f aca="false">IF(H2256&lt;&gt;"","0x"&amp;I2256&amp;H2256,"")</f>
        <v/>
      </c>
      <c r="L2256" s="1" t="s">
        <v>2809</v>
      </c>
      <c r="M2256" s="1" t="str">
        <f aca="false">IF(J2256&lt;&gt;"",J2256,L2256)</f>
        <v>0.04</v>
      </c>
    </row>
    <row r="2257" customFormat="false" ht="12.75" hidden="false" customHeight="true" outlineLevel="0" collapsed="false">
      <c r="A2257" s="3" t="s">
        <v>3476</v>
      </c>
      <c r="B2257" s="3" t="str">
        <f aca="false">IF(ISNUMBER(SEARCH("%", A2257)),RIGHT(A2257,3),A2257)</f>
        <v>32, 32, DODRIO</v>
      </c>
      <c r="C2257" s="1" t="str">
        <f aca="false" t="array" ref="C2257:C2257">IF(B2256="NEW ROUTE",textsplit(B2257,","),"")</f>
        <v/>
      </c>
      <c r="H2257" s="1" t="str">
        <f aca="false">IF(C2257&lt;&gt;"",DEC2HEX(C2257,2),"")</f>
        <v/>
      </c>
      <c r="I2257" s="1" t="str">
        <f aca="false">IF(D2257&lt;&gt;"",DEC2HEX(D2257,2),"")</f>
        <v/>
      </c>
      <c r="J2257" s="1" t="str">
        <f aca="false">IF(H2257&lt;&gt;"","0x"&amp;I2257&amp;H2257,"")</f>
        <v/>
      </c>
      <c r="L2257" s="1" t="s">
        <v>3476</v>
      </c>
      <c r="M2257" s="1" t="str">
        <f aca="false">IF(J2257&lt;&gt;"",J2257,L2257)</f>
        <v>32, 32, DODRIO</v>
      </c>
    </row>
    <row r="2258" customFormat="false" ht="12.75" hidden="false" customHeight="true" outlineLevel="0" collapsed="false">
      <c r="A2258" s="3" t="s">
        <v>3477</v>
      </c>
      <c r="B2258" s="3" t="str">
        <f aca="false">IF(ISNUMBER(SEARCH("%", A2258)),RIGHT(A2258,3),A2258)</f>
        <v>32, 32, EXEGGUTOR</v>
      </c>
      <c r="C2258" s="1" t="str">
        <f aca="false" t="array" ref="C2258:C2258">IF(B2257="NEW ROUTE",textsplit(B2258,","),"")</f>
        <v/>
      </c>
      <c r="H2258" s="1" t="str">
        <f aca="false">IF(C2258&lt;&gt;"",DEC2HEX(C2258,2),"")</f>
        <v/>
      </c>
      <c r="I2258" s="1" t="str">
        <f aca="false">IF(D2258&lt;&gt;"",DEC2HEX(D2258,2),"")</f>
        <v/>
      </c>
      <c r="J2258" s="1" t="str">
        <f aca="false">IF(H2258&lt;&gt;"","0x"&amp;I2258&amp;H2258,"")</f>
        <v/>
      </c>
      <c r="L2258" s="1" t="s">
        <v>3477</v>
      </c>
      <c r="M2258" s="1" t="str">
        <f aca="false">IF(J2258&lt;&gt;"",J2258,L2258)</f>
        <v>32, 32, EXEGGUTOR</v>
      </c>
    </row>
    <row r="2259" customFormat="false" ht="12.75" hidden="false" customHeight="true" outlineLevel="0" collapsed="false">
      <c r="A2259" s="3" t="s">
        <v>2812</v>
      </c>
      <c r="B2259" s="3" t="str">
        <f aca="false">IF(ISNUMBER(SEARCH("%", A2259)),RIGHT(A2259,3),A2259)</f>
        <v>0.01</v>
      </c>
      <c r="C2259" s="1" t="str">
        <f aca="false" t="array" ref="C2259:C2259">IF(B2258="NEW ROUTE",textsplit(B2259,","),"")</f>
        <v/>
      </c>
      <c r="H2259" s="1" t="str">
        <f aca="false">IF(C2259&lt;&gt;"",DEC2HEX(C2259,2),"")</f>
        <v/>
      </c>
      <c r="I2259" s="1" t="str">
        <f aca="false">IF(D2259&lt;&gt;"",DEC2HEX(D2259,2),"")</f>
        <v/>
      </c>
      <c r="J2259" s="1" t="str">
        <f aca="false">IF(H2259&lt;&gt;"","0x"&amp;I2259&amp;H2259,"")</f>
        <v/>
      </c>
      <c r="L2259" s="1" t="s">
        <v>2812</v>
      </c>
      <c r="M2259" s="1" t="str">
        <f aca="false">IF(J2259&lt;&gt;"",J2259,L2259)</f>
        <v>0.01</v>
      </c>
    </row>
    <row r="2260" customFormat="false" ht="12.75" hidden="false" customHeight="true" outlineLevel="0" collapsed="false">
      <c r="A2260" s="3" t="s">
        <v>3478</v>
      </c>
      <c r="B2260" s="3" t="str">
        <f aca="false">IF(ISNUMBER(SEARCH("%", A2260)),RIGHT(A2260,3),A2260)</f>
        <v>30, 35, VICTREEBEL</v>
      </c>
      <c r="C2260" s="1" t="str">
        <f aca="false" t="array" ref="C2260:C2260">IF(B2259="NEW ROUTE",textsplit(B2260,","),"")</f>
        <v/>
      </c>
      <c r="H2260" s="1" t="str">
        <f aca="false">IF(C2260&lt;&gt;"",DEC2HEX(C2260,2),"")</f>
        <v/>
      </c>
      <c r="I2260" s="1" t="str">
        <f aca="false">IF(D2260&lt;&gt;"",DEC2HEX(D2260,2),"")</f>
        <v/>
      </c>
      <c r="J2260" s="1" t="str">
        <f aca="false">IF(H2260&lt;&gt;"","0x"&amp;I2260&amp;H2260,"")</f>
        <v/>
      </c>
      <c r="L2260" s="1" t="s">
        <v>3478</v>
      </c>
      <c r="M2260" s="1" t="str">
        <f aca="false">IF(J2260&lt;&gt;"",J2260,L2260)</f>
        <v>30, 35, VICTREEBEL</v>
      </c>
    </row>
    <row r="2261" customFormat="false" ht="12.75" hidden="false" customHeight="true" outlineLevel="0" collapsed="false">
      <c r="A2261" s="3" t="s">
        <v>3466</v>
      </c>
      <c r="B2261" s="3" t="str">
        <f aca="false">IF(ISNUMBER(SEARCH("%", A2261)),RIGHT(A2261,3),A2261)</f>
        <v>20, 25, SQUIRTLE</v>
      </c>
      <c r="C2261" s="1" t="str">
        <f aca="false" t="array" ref="C2261:C2261">IF(B2260="NEW ROUTE",textsplit(B2261,","),"")</f>
        <v/>
      </c>
      <c r="H2261" s="1" t="str">
        <f aca="false">IF(C2261&lt;&gt;"",DEC2HEX(C2261,2),"")</f>
        <v/>
      </c>
      <c r="I2261" s="1" t="str">
        <f aca="false">IF(D2261&lt;&gt;"",DEC2HEX(D2261,2),"")</f>
        <v/>
      </c>
      <c r="J2261" s="1" t="str">
        <f aca="false">IF(H2261&lt;&gt;"","0x"&amp;I2261&amp;H2261,"")</f>
        <v/>
      </c>
      <c r="L2261" s="1" t="s">
        <v>3466</v>
      </c>
      <c r="M2261" s="1" t="str">
        <f aca="false">IF(J2261&lt;&gt;"",J2261,L2261)</f>
        <v>20, 25, SQUIRTLE</v>
      </c>
    </row>
    <row r="2262" customFormat="false" ht="12.75" hidden="false" customHeight="true" outlineLevel="0" collapsed="false">
      <c r="A2262" s="3" t="s">
        <v>3349</v>
      </c>
      <c r="B2262" s="3" t="str">
        <f aca="false">IF(ISNUMBER(SEARCH("%", A2262)),RIGHT(A2262,3),A2262)</f>
        <v>2, 38, 42, TENTACOOL</v>
      </c>
      <c r="C2262" s="1" t="str">
        <f aca="false" t="array" ref="C2262:C2262">IF(B2261="NEW ROUTE",textsplit(B2262,","),"")</f>
        <v/>
      </c>
      <c r="H2262" s="1" t="str">
        <f aca="false">IF(C2262&lt;&gt;"",DEC2HEX(C2262,2),"")</f>
        <v/>
      </c>
      <c r="I2262" s="1" t="str">
        <f aca="false">IF(D2262&lt;&gt;"",DEC2HEX(D2262,2),"")</f>
        <v/>
      </c>
      <c r="J2262" s="1" t="str">
        <f aca="false">IF(H2262&lt;&gt;"","0x"&amp;I2262&amp;H2262,"")</f>
        <v/>
      </c>
      <c r="L2262" s="1" t="s">
        <v>3349</v>
      </c>
      <c r="M2262" s="1" t="str">
        <f aca="false">IF(J2262&lt;&gt;"",J2262,L2262)</f>
        <v>2, 38, 42, TENTACOOL</v>
      </c>
    </row>
    <row r="2263" customFormat="false" ht="12.75" hidden="false" customHeight="true" outlineLevel="0" collapsed="false">
      <c r="A2263" s="3" t="s">
        <v>3428</v>
      </c>
      <c r="B2263" s="3" t="str">
        <f aca="false">IF(ISNUMBER(SEARCH("%", A2263)),RIGHT(A2263,3),A2263)</f>
        <v>40, 44, TENTACRUEL</v>
      </c>
      <c r="C2263" s="1" t="str">
        <f aca="false" t="array" ref="C2263:C2263">IF(B2262="NEW ROUTE",textsplit(B2263,","),"")</f>
        <v/>
      </c>
      <c r="H2263" s="1" t="str">
        <f aca="false">IF(C2263&lt;&gt;"",DEC2HEX(C2263,2),"")</f>
        <v/>
      </c>
      <c r="I2263" s="1" t="str">
        <f aca="false">IF(D2263&lt;&gt;"",DEC2HEX(D2263,2),"")</f>
        <v/>
      </c>
      <c r="J2263" s="1" t="str">
        <f aca="false">IF(H2263&lt;&gt;"","0x"&amp;I2263&amp;H2263,"")</f>
        <v/>
      </c>
      <c r="L2263" s="1" t="s">
        <v>3428</v>
      </c>
      <c r="M2263" s="1" t="str">
        <f aca="false">IF(J2263&lt;&gt;"",J2263,L2263)</f>
        <v>40, 44, TENTACRUEL</v>
      </c>
    </row>
    <row r="2264" customFormat="false" ht="12.75" hidden="false" customHeight="true" outlineLevel="0" collapsed="false">
      <c r="A2264" s="3" t="s">
        <v>3024</v>
      </c>
      <c r="B2264" s="3" t="str">
        <f aca="false">IF(ISNUMBER(SEARCH("%", A2264)),RIGHT(A2264,3),A2264)</f>
        <v>42, 46, LAPRAS</v>
      </c>
      <c r="C2264" s="1" t="str">
        <f aca="false" t="array" ref="C2264:C2264">IF(B2263="NEW ROUTE",textsplit(B2264,","),"")</f>
        <v/>
      </c>
      <c r="H2264" s="1" t="str">
        <f aca="false">IF(C2264&lt;&gt;"",DEC2HEX(C2264,2),"")</f>
        <v/>
      </c>
      <c r="I2264" s="1" t="str">
        <f aca="false">IF(D2264&lt;&gt;"",DEC2HEX(D2264,2),"")</f>
        <v/>
      </c>
      <c r="J2264" s="1" t="str">
        <f aca="false">IF(H2264&lt;&gt;"","0x"&amp;I2264&amp;H2264,"")</f>
        <v/>
      </c>
      <c r="L2264" s="1" t="s">
        <v>3024</v>
      </c>
      <c r="M2264" s="1" t="str">
        <f aca="false">IF(J2264&lt;&gt;"",J2264,L2264)</f>
        <v>42, 46, LAPRAS</v>
      </c>
    </row>
    <row r="2265" customFormat="false" ht="12.75" hidden="false" customHeight="true" outlineLevel="0" collapsed="false">
      <c r="A2265" s="3" t="s">
        <v>3429</v>
      </c>
      <c r="B2265" s="3" t="str">
        <f aca="false">IF(ISNUMBER(SEARCH("%", A2265)),RIGHT(A2265,3),A2265)</f>
        <v>42, 46, TENTACATE</v>
      </c>
      <c r="C2265" s="1" t="str">
        <f aca="false" t="array" ref="C2265:C2265">IF(B2264="NEW ROUTE",textsplit(B2265,","),"")</f>
        <v/>
      </c>
      <c r="H2265" s="1" t="str">
        <f aca="false">IF(C2265&lt;&gt;"",DEC2HEX(C2265,2),"")</f>
        <v/>
      </c>
      <c r="I2265" s="1" t="str">
        <f aca="false">IF(D2265&lt;&gt;"",DEC2HEX(D2265,2),"")</f>
        <v/>
      </c>
      <c r="J2265" s="1" t="str">
        <f aca="false">IF(H2265&lt;&gt;"","0x"&amp;I2265&amp;H2265,"")</f>
        <v/>
      </c>
      <c r="L2265" s="1" t="s">
        <v>3429</v>
      </c>
      <c r="M2265" s="1" t="str">
        <f aca="false">IF(J2265&lt;&gt;"",J2265,L2265)</f>
        <v>42, 46, TENTACATE</v>
      </c>
    </row>
    <row r="2266" customFormat="false" ht="12.75" hidden="false" customHeight="true" outlineLevel="0" collapsed="false">
      <c r="A2266" s="3" t="s">
        <v>3449</v>
      </c>
      <c r="B2266" s="3" t="str">
        <f aca="false">IF(ISNUMBER(SEARCH("%", A2266)),RIGHT(A2266,3),A2266)</f>
        <v>44, 48, LOCHLASS</v>
      </c>
      <c r="C2266" s="1" t="str">
        <f aca="false" t="array" ref="C2266:C2266">IF(B2265="NEW ROUTE",textsplit(B2266,","),"")</f>
        <v/>
      </c>
      <c r="H2266" s="1" t="str">
        <f aca="false">IF(C2266&lt;&gt;"",DEC2HEX(C2266,2),"")</f>
        <v/>
      </c>
      <c r="I2266" s="1" t="str">
        <f aca="false">IF(D2266&lt;&gt;"",DEC2HEX(D2266,2),"")</f>
        <v/>
      </c>
      <c r="J2266" s="1" t="str">
        <f aca="false">IF(H2266&lt;&gt;"","0x"&amp;I2266&amp;H2266,"")</f>
        <v/>
      </c>
      <c r="L2266" s="1" t="s">
        <v>3449</v>
      </c>
      <c r="M2266" s="1" t="str">
        <f aca="false">IF(J2266&lt;&gt;"",J2266,L2266)</f>
        <v>44, 48, LOCHLASS</v>
      </c>
    </row>
    <row r="2267" customFormat="false" ht="12.75" hidden="false" customHeight="true" outlineLevel="0" collapsed="false">
      <c r="A2267" s="3" t="s">
        <v>2925</v>
      </c>
      <c r="B2267" s="3" t="str">
        <f aca="false">IF(ISNUMBER(SEARCH("%", A2267)),RIGHT(A2267,3),A2267)</f>
        <v>20, old rod:</v>
      </c>
      <c r="C2267" s="1" t="str">
        <f aca="false" t="array" ref="C2267:C2267">IF(B2266="NEW ROUTE",textsplit(B2267,","),"")</f>
        <v/>
      </c>
      <c r="H2267" s="1" t="str">
        <f aca="false">IF(C2267&lt;&gt;"",DEC2HEX(C2267,2),"")</f>
        <v/>
      </c>
      <c r="I2267" s="1" t="str">
        <f aca="false">IF(D2267&lt;&gt;"",DEC2HEX(D2267,2),"")</f>
        <v/>
      </c>
      <c r="J2267" s="1" t="str">
        <f aca="false">IF(H2267&lt;&gt;"","0x"&amp;I2267&amp;H2267,"")</f>
        <v/>
      </c>
      <c r="L2267" s="1" t="s">
        <v>2925</v>
      </c>
      <c r="M2267" s="1" t="str">
        <f aca="false">IF(J2267&lt;&gt;"",J2267,L2267)</f>
        <v>20, old rod:</v>
      </c>
    </row>
    <row r="2268" customFormat="false" ht="12.75" hidden="false" customHeight="true" outlineLevel="0" collapsed="false">
      <c r="A2268" s="3" t="s">
        <v>1349</v>
      </c>
      <c r="B2268" s="3" t="str">
        <f aca="false">IF(ISNUMBER(SEARCH("%", A2268)),RIGHT(A2268,3),A2268)</f>
        <v>19, 26, MAGIKARP</v>
      </c>
      <c r="C2268" s="1" t="str">
        <f aca="false" t="array" ref="C2268:C2268">IF(B2267="NEW ROUTE",textsplit(B2268,","),"")</f>
        <v/>
      </c>
      <c r="H2268" s="1" t="str">
        <f aca="false">IF(C2268&lt;&gt;"",DEC2HEX(C2268,2),"")</f>
        <v/>
      </c>
      <c r="I2268" s="1" t="str">
        <f aca="false">IF(D2268&lt;&gt;"",DEC2HEX(D2268,2),"")</f>
        <v/>
      </c>
      <c r="J2268" s="1" t="str">
        <f aca="false">IF(H2268&lt;&gt;"","0x"&amp;I2268&amp;H2268,"")</f>
        <v/>
      </c>
      <c r="L2268" s="1" t="s">
        <v>1349</v>
      </c>
      <c r="M2268" s="1" t="str">
        <f aca="false">IF(J2268&lt;&gt;"",J2268,L2268)</f>
        <v>19, 26, MAGIKARP</v>
      </c>
    </row>
    <row r="2269" customFormat="false" ht="12.75" hidden="false" customHeight="true" outlineLevel="0" collapsed="false">
      <c r="A2269" s="3" t="s">
        <v>3352</v>
      </c>
      <c r="B2269" s="3" t="str">
        <f aca="false">IF(ISNUMBER(SEARCH("%", A2269)),RIGHT(A2269,3),A2269)</f>
        <v>19, 26, GYARADOS</v>
      </c>
      <c r="C2269" s="1" t="str">
        <f aca="false" t="array" ref="C2269:C2269">IF(B2268="NEW ROUTE",textsplit(B2269,","),"")</f>
        <v/>
      </c>
      <c r="H2269" s="1" t="str">
        <f aca="false">IF(C2269&lt;&gt;"",DEC2HEX(C2269,2),"")</f>
        <v/>
      </c>
      <c r="I2269" s="1" t="str">
        <f aca="false">IF(D2269&lt;&gt;"",DEC2HEX(D2269,2),"")</f>
        <v/>
      </c>
      <c r="J2269" s="1" t="str">
        <f aca="false">IF(H2269&lt;&gt;"","0x"&amp;I2269&amp;H2269,"")</f>
        <v/>
      </c>
      <c r="L2269" s="1" t="s">
        <v>3352</v>
      </c>
      <c r="M2269" s="1" t="str">
        <f aca="false">IF(J2269&lt;&gt;"",J2269,L2269)</f>
        <v>19, 26, GYARADOS</v>
      </c>
    </row>
    <row r="2270" customFormat="false" ht="12.75" hidden="false" customHeight="true" outlineLevel="0" collapsed="false">
      <c r="A2270" s="3" t="s">
        <v>2846</v>
      </c>
      <c r="B2270" s="3" t="str">
        <f aca="false">IF(ISNUMBER(SEARCH("%", A2270)),RIGHT(A2270,3),A2270)</f>
        <v>good rod:</v>
      </c>
      <c r="C2270" s="1" t="str">
        <f aca="false" t="array" ref="C2270:C2270">IF(B2269="NEW ROUTE",textsplit(B2270,","),"")</f>
        <v/>
      </c>
      <c r="H2270" s="1" t="str">
        <f aca="false">IF(C2270&lt;&gt;"",DEC2HEX(C2270,2),"")</f>
        <v/>
      </c>
      <c r="I2270" s="1" t="str">
        <f aca="false">IF(D2270&lt;&gt;"",DEC2HEX(D2270,2),"")</f>
        <v/>
      </c>
      <c r="J2270" s="1" t="str">
        <f aca="false">IF(H2270&lt;&gt;"","0x"&amp;I2270&amp;H2270,"")</f>
        <v/>
      </c>
      <c r="L2270" s="1" t="s">
        <v>2846</v>
      </c>
      <c r="M2270" s="1" t="str">
        <f aca="false">IF(J2270&lt;&gt;"",J2270,L2270)</f>
        <v>good rod:</v>
      </c>
    </row>
    <row r="2271" customFormat="false" ht="12.75" hidden="false" customHeight="true" outlineLevel="0" collapsed="false">
      <c r="A2271" s="3" t="s">
        <v>3430</v>
      </c>
      <c r="B2271" s="3" t="str">
        <f aca="false">IF(ISNUMBER(SEARCH("%", A2271)),RIGHT(A2271,3),A2271)</f>
        <v>29, 33, HORSEA</v>
      </c>
      <c r="C2271" s="1" t="str">
        <f aca="false" t="array" ref="C2271:C2271">IF(B2270="NEW ROUTE",textsplit(B2271,","),"")</f>
        <v/>
      </c>
      <c r="H2271" s="1" t="str">
        <f aca="false">IF(C2271&lt;&gt;"",DEC2HEX(C2271,2),"")</f>
        <v/>
      </c>
      <c r="I2271" s="1" t="str">
        <f aca="false">IF(D2271&lt;&gt;"",DEC2HEX(D2271,2),"")</f>
        <v/>
      </c>
      <c r="J2271" s="1" t="str">
        <f aca="false">IF(H2271&lt;&gt;"","0x"&amp;I2271&amp;H2271,"")</f>
        <v/>
      </c>
      <c r="L2271" s="1" t="s">
        <v>3430</v>
      </c>
      <c r="M2271" s="1" t="str">
        <f aca="false">IF(J2271&lt;&gt;"",J2271,L2271)</f>
        <v>29, 33, HORSEA</v>
      </c>
    </row>
    <row r="2272" customFormat="false" ht="12.75" hidden="false" customHeight="true" outlineLevel="0" collapsed="false">
      <c r="A2272" s="3" t="s">
        <v>3027</v>
      </c>
      <c r="B2272" s="3" t="str">
        <f aca="false">IF(ISNUMBER(SEARCH("%", A2272)),RIGHT(A2272,3),A2272)</f>
        <v>30, 35, KRABBY</v>
      </c>
      <c r="C2272" s="1" t="str">
        <f aca="false" t="array" ref="C2272:C2272">IF(B2271="NEW ROUTE",textsplit(B2272,","),"")</f>
        <v/>
      </c>
      <c r="H2272" s="1" t="str">
        <f aca="false">IF(C2272&lt;&gt;"",DEC2HEX(C2272,2),"")</f>
        <v/>
      </c>
      <c r="I2272" s="1" t="str">
        <f aca="false">IF(D2272&lt;&gt;"",DEC2HEX(D2272,2),"")</f>
        <v/>
      </c>
      <c r="J2272" s="1" t="str">
        <f aca="false">IF(H2272&lt;&gt;"","0x"&amp;I2272&amp;H2272,"")</f>
        <v/>
      </c>
      <c r="L2272" s="1" t="s">
        <v>3027</v>
      </c>
      <c r="M2272" s="1" t="str">
        <f aca="false">IF(J2272&lt;&gt;"",J2272,L2272)</f>
        <v>30, 35, KRABBY</v>
      </c>
    </row>
    <row r="2273" customFormat="false" ht="12.75" hidden="false" customHeight="true" outlineLevel="0" collapsed="false">
      <c r="A2273" s="3" t="s">
        <v>3354</v>
      </c>
      <c r="B2273" s="3" t="str">
        <f aca="false">IF(ISNUMBER(SEARCH("%", A2273)),RIGHT(A2273,3),A2273)</f>
        <v>30, 35, PSYDUCK</v>
      </c>
      <c r="C2273" s="1" t="str">
        <f aca="false" t="array" ref="C2273:C2273">IF(B2272="NEW ROUTE",textsplit(B2273,","),"")</f>
        <v/>
      </c>
      <c r="H2273" s="1" t="str">
        <f aca="false">IF(C2273&lt;&gt;"",DEC2HEX(C2273,2),"")</f>
        <v/>
      </c>
      <c r="I2273" s="1" t="str">
        <f aca="false">IF(D2273&lt;&gt;"",DEC2HEX(D2273,2),"")</f>
        <v/>
      </c>
      <c r="J2273" s="1" t="str">
        <f aca="false">IF(H2273&lt;&gt;"","0x"&amp;I2273&amp;H2273,"")</f>
        <v/>
      </c>
      <c r="L2273" s="1" t="s">
        <v>3354</v>
      </c>
      <c r="M2273" s="1" t="str">
        <f aca="false">IF(J2273&lt;&gt;"",J2273,L2273)</f>
        <v>30, 35, PSYDUCK</v>
      </c>
    </row>
    <row r="2274" customFormat="false" ht="12.75" hidden="false" customHeight="true" outlineLevel="0" collapsed="false">
      <c r="A2274" s="3" t="s">
        <v>2850</v>
      </c>
      <c r="B2274" s="3" t="str">
        <f aca="false">IF(ISNUMBER(SEARCH("%", A2274)),RIGHT(A2274,3),A2274)</f>
        <v>super rod:</v>
      </c>
      <c r="C2274" s="1" t="str">
        <f aca="false" t="array" ref="C2274:C2274">IF(B2273="NEW ROUTE",textsplit(B2274,","),"")</f>
        <v/>
      </c>
      <c r="H2274" s="1" t="str">
        <f aca="false">IF(C2274&lt;&gt;"",DEC2HEX(C2274,2),"")</f>
        <v/>
      </c>
      <c r="I2274" s="1" t="str">
        <f aca="false">IF(D2274&lt;&gt;"",DEC2HEX(D2274,2),"")</f>
        <v/>
      </c>
      <c r="J2274" s="1" t="str">
        <f aca="false">IF(H2274&lt;&gt;"","0x"&amp;I2274&amp;H2274,"")</f>
        <v/>
      </c>
      <c r="L2274" s="1" t="s">
        <v>2850</v>
      </c>
      <c r="M2274" s="1" t="str">
        <f aca="false">IF(J2274&lt;&gt;"",J2274,L2274)</f>
        <v>super rod:</v>
      </c>
    </row>
    <row r="2275" customFormat="false" ht="12.75" hidden="false" customHeight="true" outlineLevel="0" collapsed="false">
      <c r="A2275" s="3" t="s">
        <v>3432</v>
      </c>
      <c r="B2275" s="3" t="str">
        <f aca="false">IF(ISNUMBER(SEARCH("%", A2275)),RIGHT(A2275,3),A2275)</f>
        <v>36, 40, SEADRA</v>
      </c>
      <c r="C2275" s="1" t="str">
        <f aca="false" t="array" ref="C2275:C2275">IF(B2274="NEW ROUTE",textsplit(B2275,","),"")</f>
        <v/>
      </c>
      <c r="H2275" s="1" t="str">
        <f aca="false">IF(C2275&lt;&gt;"",DEC2HEX(C2275,2),"")</f>
        <v/>
      </c>
      <c r="I2275" s="1" t="str">
        <f aca="false">IF(D2275&lt;&gt;"",DEC2HEX(D2275,2),"")</f>
        <v/>
      </c>
      <c r="J2275" s="1" t="str">
        <f aca="false">IF(H2275&lt;&gt;"","0x"&amp;I2275&amp;H2275,"")</f>
        <v/>
      </c>
      <c r="L2275" s="1" t="s">
        <v>3432</v>
      </c>
      <c r="M2275" s="1" t="str">
        <f aca="false">IF(J2275&lt;&gt;"",J2275,L2275)</f>
        <v>36, 40, SEADRA</v>
      </c>
    </row>
    <row r="2276" customFormat="false" ht="12.75" hidden="false" customHeight="true" outlineLevel="0" collapsed="false">
      <c r="A2276" s="3" t="s">
        <v>3356</v>
      </c>
      <c r="B2276" s="3" t="str">
        <f aca="false">IF(ISNUMBER(SEARCH("%", A2276)),RIGHT(A2276,3),A2276)</f>
        <v>36, 40, GYARADOS</v>
      </c>
      <c r="C2276" s="1" t="str">
        <f aca="false" t="array" ref="C2276:C2276">IF(B2275="NEW ROUTE",textsplit(B2276,","),"")</f>
        <v/>
      </c>
      <c r="H2276" s="1" t="str">
        <f aca="false">IF(C2276&lt;&gt;"",DEC2HEX(C2276,2),"")</f>
        <v/>
      </c>
      <c r="I2276" s="1" t="str">
        <f aca="false">IF(D2276&lt;&gt;"",DEC2HEX(D2276,2),"")</f>
        <v/>
      </c>
      <c r="J2276" s="1" t="str">
        <f aca="false">IF(H2276&lt;&gt;"","0x"&amp;I2276&amp;H2276,"")</f>
        <v/>
      </c>
      <c r="L2276" s="1" t="s">
        <v>3356</v>
      </c>
      <c r="M2276" s="1" t="str">
        <f aca="false">IF(J2276&lt;&gt;"",J2276,L2276)</f>
        <v>36, 40, GYARADOS</v>
      </c>
    </row>
    <row r="2277" customFormat="false" ht="12.75" hidden="false" customHeight="true" outlineLevel="0" collapsed="false">
      <c r="A2277" s="3" t="s">
        <v>3357</v>
      </c>
      <c r="B2277" s="3" t="str">
        <f aca="false">IF(ISNUMBER(SEARCH("%", A2277)),RIGHT(A2277,3),A2277)</f>
        <v>38, 42, GOLDUCK</v>
      </c>
      <c r="C2277" s="1" t="str">
        <f aca="false" t="array" ref="C2277:C2277">IF(B2276="NEW ROUTE",textsplit(B2277,","),"")</f>
        <v/>
      </c>
      <c r="H2277" s="1" t="str">
        <f aca="false">IF(C2277&lt;&gt;"",DEC2HEX(C2277,2),"")</f>
        <v/>
      </c>
      <c r="I2277" s="1" t="str">
        <f aca="false">IF(D2277&lt;&gt;"",DEC2HEX(D2277,2),"")</f>
        <v/>
      </c>
      <c r="J2277" s="1" t="str">
        <f aca="false">IF(H2277&lt;&gt;"","0x"&amp;I2277&amp;H2277,"")</f>
        <v/>
      </c>
      <c r="L2277" s="1" t="s">
        <v>3357</v>
      </c>
      <c r="M2277" s="1" t="str">
        <f aca="false">IF(J2277&lt;&gt;"",J2277,L2277)</f>
        <v>38, 42, GOLDUCK</v>
      </c>
    </row>
    <row r="2278" customFormat="false" ht="12.75" hidden="false" customHeight="true" outlineLevel="0" collapsed="false">
      <c r="A2278" s="3" t="s">
        <v>3358</v>
      </c>
      <c r="B2278" s="3" t="str">
        <f aca="false">IF(ISNUMBER(SEARCH("%", A2278)),RIGHT(A2278,3),A2278)</f>
        <v>38, 42, KINGLER</v>
      </c>
      <c r="C2278" s="1" t="str">
        <f aca="false" t="array" ref="C2278:C2278">IF(B2277="NEW ROUTE",textsplit(B2278,","),"")</f>
        <v/>
      </c>
      <c r="H2278" s="1" t="str">
        <f aca="false">IF(C2278&lt;&gt;"",DEC2HEX(C2278,2),"")</f>
        <v/>
      </c>
      <c r="I2278" s="1" t="str">
        <f aca="false">IF(D2278&lt;&gt;"",DEC2HEX(D2278,2),"")</f>
        <v/>
      </c>
      <c r="J2278" s="1" t="str">
        <f aca="false">IF(H2278&lt;&gt;"","0x"&amp;I2278&amp;H2278,"")</f>
        <v/>
      </c>
      <c r="L2278" s="1" t="s">
        <v>3358</v>
      </c>
      <c r="M2278" s="1" t="str">
        <f aca="false">IF(J2278&lt;&gt;"",J2278,L2278)</f>
        <v>38, 42, KINGLER</v>
      </c>
    </row>
    <row r="2279" customFormat="false" ht="12.75" hidden="false" customHeight="true" outlineLevel="0" collapsed="false">
      <c r="A2279" s="3" t="s">
        <v>3436</v>
      </c>
      <c r="B2279" s="3" t="str">
        <f aca="false">IF(ISNUMBER(SEARCH("%", A2279)),RIGHT(A2279,3),A2279)</f>
        <v>40, 44, GILDUCK</v>
      </c>
      <c r="C2279" s="1" t="str">
        <f aca="false" t="array" ref="C2279:C2279">IF(B2278="NEW ROUTE",textsplit(B2279,","),"")</f>
        <v/>
      </c>
      <c r="H2279" s="1" t="str">
        <f aca="false">IF(C2279&lt;&gt;"",DEC2HEX(C2279,2),"")</f>
        <v/>
      </c>
      <c r="I2279" s="1" t="str">
        <f aca="false">IF(D2279&lt;&gt;"",DEC2HEX(D2279,2),"")</f>
        <v/>
      </c>
      <c r="J2279" s="1" t="str">
        <f aca="false">IF(H2279&lt;&gt;"","0x"&amp;I2279&amp;H2279,"")</f>
        <v/>
      </c>
      <c r="L2279" s="1" t="s">
        <v>3436</v>
      </c>
      <c r="M2279" s="1" t="str">
        <f aca="false">IF(J2279&lt;&gt;"",J2279,L2279)</f>
        <v>40, 44, GILDUCK</v>
      </c>
    </row>
    <row r="2280" customFormat="false" ht="12.75" hidden="false" customHeight="true" outlineLevel="0" collapsed="false">
      <c r="A2280" s="3" t="s">
        <v>2536</v>
      </c>
      <c r="B2280" s="3" t="str">
        <f aca="false">IF(ISNUMBER(SEARCH("%", A2280)),RIGHT(A2280,3),A2280)</f>
        <v>NEW ROUTE</v>
      </c>
      <c r="C2280" s="1" t="str">
        <f aca="false" t="array" ref="C2280:C2280">IF(B2279="NEW ROUTE",textsplit(B2280,","),"")</f>
        <v/>
      </c>
      <c r="H2280" s="1" t="str">
        <f aca="false">IF(C2280&lt;&gt;"",DEC2HEX(C2280,2),"")</f>
        <v/>
      </c>
      <c r="I2280" s="1" t="str">
        <f aca="false">IF(D2280&lt;&gt;"",DEC2HEX(D2280,2),"")</f>
        <v/>
      </c>
      <c r="J2280" s="1" t="str">
        <f aca="false">IF(H2280&lt;&gt;"","0x"&amp;I2280&amp;H2280,"")</f>
        <v/>
      </c>
      <c r="L2280" s="1" t="s">
        <v>2536</v>
      </c>
      <c r="M2280" s="1" t="str">
        <f aca="false">IF(J2280&lt;&gt;"",J2280,L2280)</f>
        <v>NEW ROUTE</v>
      </c>
    </row>
    <row r="2281" customFormat="false" ht="12.75" hidden="false" customHeight="true" outlineLevel="0" collapsed="false">
      <c r="A2281" s="3" t="s">
        <v>3479</v>
      </c>
      <c r="B2281" s="3" t="str">
        <f aca="false">IF(ISNUMBER(SEARCH("%", A2281)),RIGHT(A2281,3),A2281)</f>
        <v>3, 32, 0,</v>
      </c>
      <c r="C2281" s="1" t="e">
        <f aca="false" t="array" ref="C2281:C2281">IF(B2280="NEW ROUTE",textsplit(B2281,","),"")</f>
        <v>#NAME?</v>
      </c>
      <c r="H2281" s="1" t="e">
        <f aca="false">IF(C2281&lt;&gt;"",DEC2HEX(C2281,2),"")</f>
        <v>#NAME?</v>
      </c>
      <c r="I2281" s="1" t="str">
        <f aca="false">IF(D2281&lt;&gt;"",DEC2HEX(D2281,2),"")</f>
        <v/>
      </c>
      <c r="J2281" s="1" t="e">
        <f aca="false">IF(H2281&lt;&gt;"","0x"&amp;I2281&amp;H2281,"")</f>
        <v>#NAME?</v>
      </c>
      <c r="L2281" s="1" t="s">
        <v>3479</v>
      </c>
      <c r="M2281" s="1" t="e">
        <f aca="false">IF(J2281&lt;&gt;"",J2281,L2281)</f>
        <v>#NAME?</v>
      </c>
    </row>
    <row r="2282" customFormat="false" ht="12.75" hidden="false" customHeight="true" outlineLevel="0" collapsed="false">
      <c r="A2282" s="3" t="s">
        <v>2908</v>
      </c>
      <c r="B2282" s="3" t="str">
        <f aca="false">IF(ISNUMBER(SEARCH("%", A2282)),RIGHT(A2282,3),A2282)</f>
        <v>20%</v>
      </c>
      <c r="C2282" s="1" t="str">
        <f aca="false" t="array" ref="C2282:C2282">IF(B2281="NEW ROUTE",textsplit(B2282,","),"")</f>
        <v/>
      </c>
      <c r="H2282" s="1" t="str">
        <f aca="false">IF(C2282&lt;&gt;"",DEC2HEX(C2282,2),"")</f>
        <v/>
      </c>
      <c r="I2282" s="1" t="str">
        <f aca="false">IF(D2282&lt;&gt;"",DEC2HEX(D2282,2),"")</f>
        <v/>
      </c>
      <c r="J2282" s="1" t="str">
        <f aca="false">IF(H2282&lt;&gt;"","0x"&amp;I2282&amp;H2282,"")</f>
        <v/>
      </c>
      <c r="L2282" s="1" t="s">
        <v>2799</v>
      </c>
      <c r="M2282" s="1" t="str">
        <f aca="false">IF(J2282&lt;&gt;"",J2282,L2282)</f>
        <v>20%</v>
      </c>
    </row>
    <row r="2283" customFormat="false" ht="12.75" hidden="false" customHeight="true" outlineLevel="0" collapsed="false">
      <c r="A2283" s="3" t="s">
        <v>1956</v>
      </c>
      <c r="B2283" s="3" t="str">
        <f aca="false">IF(ISNUMBER(SEARCH("%", A2283)),RIGHT(A2283,3),A2283)</f>
        <v>32, 36, BELLSPROUT</v>
      </c>
      <c r="C2283" s="1" t="str">
        <f aca="false" t="array" ref="C2283:C2283">IF(B2282="NEW ROUTE",textsplit(B2283,","),"")</f>
        <v/>
      </c>
      <c r="H2283" s="1" t="str">
        <f aca="false">IF(C2283&lt;&gt;"",DEC2HEX(C2283,2),"")</f>
        <v/>
      </c>
      <c r="I2283" s="1" t="str">
        <f aca="false">IF(D2283&lt;&gt;"",DEC2HEX(D2283,2),"")</f>
        <v/>
      </c>
      <c r="J2283" s="1" t="str">
        <f aca="false">IF(H2283&lt;&gt;"","0x"&amp;I2283&amp;H2283,"")</f>
        <v/>
      </c>
      <c r="L2283" s="1" t="s">
        <v>1956</v>
      </c>
      <c r="M2283" s="1" t="str">
        <f aca="false">IF(J2283&lt;&gt;"",J2283,L2283)</f>
        <v>32, 36, BELLSPROUT</v>
      </c>
    </row>
    <row r="2284" customFormat="false" ht="12.75" hidden="false" customHeight="true" outlineLevel="0" collapsed="false">
      <c r="A2284" s="3" t="s">
        <v>3480</v>
      </c>
      <c r="B2284" s="3" t="str">
        <f aca="false">IF(ISNUMBER(SEARCH("%", A2284)),RIGHT(A2284,3),A2284)</f>
        <v>32, 36, PIDGEOTTO</v>
      </c>
      <c r="C2284" s="1" t="str">
        <f aca="false" t="array" ref="C2284:C2284">IF(B2283="NEW ROUTE",textsplit(B2284,","),"")</f>
        <v/>
      </c>
      <c r="H2284" s="1" t="str">
        <f aca="false">IF(C2284&lt;&gt;"",DEC2HEX(C2284,2),"")</f>
        <v/>
      </c>
      <c r="I2284" s="1" t="str">
        <f aca="false">IF(D2284&lt;&gt;"",DEC2HEX(D2284,2),"")</f>
        <v/>
      </c>
      <c r="J2284" s="1" t="str">
        <f aca="false">IF(H2284&lt;&gt;"","0x"&amp;I2284&amp;H2284,"")</f>
        <v/>
      </c>
      <c r="L2284" s="1" t="s">
        <v>3480</v>
      </c>
      <c r="M2284" s="1" t="str">
        <f aca="false">IF(J2284&lt;&gt;"",J2284,L2284)</f>
        <v>32, 36, PIDGEOTTO</v>
      </c>
    </row>
    <row r="2285" customFormat="false" ht="12.75" hidden="false" customHeight="true" outlineLevel="0" collapsed="false">
      <c r="A2285" s="3" t="s">
        <v>2801</v>
      </c>
      <c r="B2285" s="3" t="str">
        <f aca="false">IF(ISNUMBER(SEARCH("%", A2285)),RIGHT(A2285,3),A2285)</f>
        <v>0.1</v>
      </c>
      <c r="C2285" s="1" t="str">
        <f aca="false" t="array" ref="C2285:C2285">IF(B2284="NEW ROUTE",textsplit(B2285,","),"")</f>
        <v/>
      </c>
      <c r="H2285" s="1" t="str">
        <f aca="false">IF(C2285&lt;&gt;"",DEC2HEX(C2285,2),"")</f>
        <v/>
      </c>
      <c r="I2285" s="1" t="str">
        <f aca="false">IF(D2285&lt;&gt;"",DEC2HEX(D2285,2),"")</f>
        <v/>
      </c>
      <c r="J2285" s="1" t="str">
        <f aca="false">IF(H2285&lt;&gt;"","0x"&amp;I2285&amp;H2285,"")</f>
        <v/>
      </c>
      <c r="L2285" s="1" t="s">
        <v>2801</v>
      </c>
      <c r="M2285" s="1" t="str">
        <f aca="false">IF(J2285&lt;&gt;"",J2285,L2285)</f>
        <v>0.1</v>
      </c>
    </row>
    <row r="2286" customFormat="false" ht="12.75" hidden="false" customHeight="true" outlineLevel="0" collapsed="false">
      <c r="A2286" s="3" t="s">
        <v>3481</v>
      </c>
      <c r="B2286" s="3" t="str">
        <f aca="false">IF(ISNUMBER(SEARCH("%", A2286)),RIGHT(A2286,3),A2286)</f>
        <v>31, 33, WEEPINBELL</v>
      </c>
      <c r="C2286" s="1" t="str">
        <f aca="false" t="array" ref="C2286:C2286">IF(B2285="NEW ROUTE",textsplit(B2286,","),"")</f>
        <v/>
      </c>
      <c r="H2286" s="1" t="str">
        <f aca="false">IF(C2286&lt;&gt;"",DEC2HEX(C2286,2),"")</f>
        <v/>
      </c>
      <c r="I2286" s="1" t="str">
        <f aca="false">IF(D2286&lt;&gt;"",DEC2HEX(D2286,2),"")</f>
        <v/>
      </c>
      <c r="J2286" s="1" t="str">
        <f aca="false">IF(H2286&lt;&gt;"","0x"&amp;I2286&amp;H2286,"")</f>
        <v/>
      </c>
      <c r="L2286" s="1" t="s">
        <v>3481</v>
      </c>
      <c r="M2286" s="1" t="str">
        <f aca="false">IF(J2286&lt;&gt;"",J2286,L2286)</f>
        <v>31, 33, WEEPINBELL</v>
      </c>
    </row>
    <row r="2287" customFormat="false" ht="12.75" hidden="false" customHeight="true" outlineLevel="0" collapsed="false">
      <c r="A2287" s="3" t="s">
        <v>3482</v>
      </c>
      <c r="B2287" s="3" t="str">
        <f aca="false">IF(ISNUMBER(SEARCH("%", A2287)),RIGHT(A2287,3),A2287)</f>
        <v>31, 33, DODUO</v>
      </c>
      <c r="C2287" s="1" t="str">
        <f aca="false" t="array" ref="C2287:C2287">IF(B2286="NEW ROUTE",textsplit(B2287,","),"")</f>
        <v/>
      </c>
      <c r="H2287" s="1" t="str">
        <f aca="false">IF(C2287&lt;&gt;"",DEC2HEX(C2287,2),"")</f>
        <v/>
      </c>
      <c r="I2287" s="1" t="str">
        <f aca="false">IF(D2287&lt;&gt;"",DEC2HEX(D2287,2),"")</f>
        <v/>
      </c>
      <c r="J2287" s="1" t="str">
        <f aca="false">IF(H2287&lt;&gt;"","0x"&amp;I2287&amp;H2287,"")</f>
        <v/>
      </c>
      <c r="L2287" s="1" t="s">
        <v>3482</v>
      </c>
      <c r="M2287" s="1" t="str">
        <f aca="false">IF(J2287&lt;&gt;"",J2287,L2287)</f>
        <v>31, 33, DODUO</v>
      </c>
    </row>
    <row r="2288" customFormat="false" ht="12.75" hidden="false" customHeight="true" outlineLevel="0" collapsed="false">
      <c r="A2288" s="3" t="s">
        <v>3483</v>
      </c>
      <c r="B2288" s="3" t="str">
        <f aca="false">IF(ISNUMBER(SEARCH("%", A2288)),RIGHT(A2288,3),A2288)</f>
        <v>33, 33, PIDGEOT</v>
      </c>
      <c r="C2288" s="1" t="str">
        <f aca="false" t="array" ref="C2288:C2288">IF(B2287="NEW ROUTE",textsplit(B2288,","),"")</f>
        <v/>
      </c>
      <c r="H2288" s="1" t="str">
        <f aca="false">IF(C2288&lt;&gt;"",DEC2HEX(C2288,2),"")</f>
        <v/>
      </c>
      <c r="I2288" s="1" t="str">
        <f aca="false">IF(D2288&lt;&gt;"",DEC2HEX(D2288,2),"")</f>
        <v/>
      </c>
      <c r="J2288" s="1" t="str">
        <f aca="false">IF(H2288&lt;&gt;"","0x"&amp;I2288&amp;H2288,"")</f>
        <v/>
      </c>
      <c r="L2288" s="1" t="s">
        <v>3483</v>
      </c>
      <c r="M2288" s="1" t="str">
        <f aca="false">IF(J2288&lt;&gt;"",J2288,L2288)</f>
        <v>33, 33, PIDGEOT</v>
      </c>
    </row>
    <row r="2289" customFormat="false" ht="12.75" hidden="false" customHeight="true" outlineLevel="0" collapsed="false">
      <c r="A2289" s="3" t="s">
        <v>3484</v>
      </c>
      <c r="B2289" s="3" t="str">
        <f aca="false">IF(ISNUMBER(SEARCH("%", A2289)),RIGHT(A2289,3),A2289)</f>
        <v>31, 33, EXEGGCUTE</v>
      </c>
      <c r="C2289" s="1" t="str">
        <f aca="false" t="array" ref="C2289:C2289">IF(B2288="NEW ROUTE",textsplit(B2289,","),"")</f>
        <v/>
      </c>
      <c r="H2289" s="1" t="str">
        <f aca="false">IF(C2289&lt;&gt;"",DEC2HEX(C2289,2),"")</f>
        <v/>
      </c>
      <c r="I2289" s="1" t="str">
        <f aca="false">IF(D2289&lt;&gt;"",DEC2HEX(D2289,2),"")</f>
        <v/>
      </c>
      <c r="J2289" s="1" t="str">
        <f aca="false">IF(H2289&lt;&gt;"","0x"&amp;I2289&amp;H2289,"")</f>
        <v/>
      </c>
      <c r="L2289" s="1" t="s">
        <v>3484</v>
      </c>
      <c r="M2289" s="1" t="str">
        <f aca="false">IF(J2289&lt;&gt;"",J2289,L2289)</f>
        <v>31, 33, EXEGGCUTE</v>
      </c>
    </row>
    <row r="2290" customFormat="false" ht="12.75" hidden="false" customHeight="true" outlineLevel="0" collapsed="false">
      <c r="A2290" s="3" t="s">
        <v>2806</v>
      </c>
      <c r="B2290" s="3" t="str">
        <f aca="false">IF(ISNUMBER(SEARCH("%", A2290)),RIGHT(A2290,3),A2290)</f>
        <v>0.05</v>
      </c>
      <c r="C2290" s="1" t="str">
        <f aca="false" t="array" ref="C2290:C2290">IF(B2289="NEW ROUTE",textsplit(B2290,","),"")</f>
        <v/>
      </c>
      <c r="H2290" s="1" t="str">
        <f aca="false">IF(C2290&lt;&gt;"",DEC2HEX(C2290,2),"")</f>
        <v/>
      </c>
      <c r="I2290" s="1" t="str">
        <f aca="false">IF(D2290&lt;&gt;"",DEC2HEX(D2290,2),"")</f>
        <v/>
      </c>
      <c r="J2290" s="1" t="str">
        <f aca="false">IF(H2290&lt;&gt;"","0x"&amp;I2290&amp;H2290,"")</f>
        <v/>
      </c>
      <c r="L2290" s="1" t="s">
        <v>2806</v>
      </c>
      <c r="M2290" s="1" t="str">
        <f aca="false">IF(J2290&lt;&gt;"",J2290,L2290)</f>
        <v>0.05</v>
      </c>
    </row>
    <row r="2291" customFormat="false" ht="12.75" hidden="false" customHeight="true" outlineLevel="0" collapsed="false">
      <c r="A2291" s="3" t="s">
        <v>3485</v>
      </c>
      <c r="B2291" s="3" t="str">
        <f aca="false">IF(ISNUMBER(SEARCH("%", A2291)),RIGHT(A2291,3),A2291)</f>
        <v>32, 36, SCYTHER</v>
      </c>
      <c r="C2291" s="1" t="str">
        <f aca="false" t="array" ref="C2291:C2291">IF(B2290="NEW ROUTE",textsplit(B2291,","),"")</f>
        <v/>
      </c>
      <c r="H2291" s="1" t="str">
        <f aca="false">IF(C2291&lt;&gt;"",DEC2HEX(C2291,2),"")</f>
        <v/>
      </c>
      <c r="I2291" s="1" t="str">
        <f aca="false">IF(D2291&lt;&gt;"",DEC2HEX(D2291,2),"")</f>
        <v/>
      </c>
      <c r="J2291" s="1" t="str">
        <f aca="false">IF(H2291&lt;&gt;"","0x"&amp;I2291&amp;H2291,"")</f>
        <v/>
      </c>
      <c r="L2291" s="1" t="s">
        <v>3485</v>
      </c>
      <c r="M2291" s="1" t="str">
        <f aca="false">IF(J2291&lt;&gt;"",J2291,L2291)</f>
        <v>32, 36, SCYTHER</v>
      </c>
    </row>
    <row r="2292" customFormat="false" ht="12.75" hidden="false" customHeight="true" outlineLevel="0" collapsed="false">
      <c r="A2292" s="3" t="s">
        <v>3486</v>
      </c>
      <c r="B2292" s="3" t="str">
        <f aca="false">IF(ISNUMBER(SEARCH("%", A2292)),RIGHT(A2292,3),A2292)</f>
        <v>32, 36, JYNX</v>
      </c>
      <c r="C2292" s="1" t="str">
        <f aca="false" t="array" ref="C2292:C2292">IF(B2291="NEW ROUTE",textsplit(B2292,","),"")</f>
        <v/>
      </c>
      <c r="H2292" s="1" t="str">
        <f aca="false">IF(C2292&lt;&gt;"",DEC2HEX(C2292,2),"")</f>
        <v/>
      </c>
      <c r="I2292" s="1" t="str">
        <f aca="false">IF(D2292&lt;&gt;"",DEC2HEX(D2292,2),"")</f>
        <v/>
      </c>
      <c r="J2292" s="1" t="str">
        <f aca="false">IF(H2292&lt;&gt;"","0x"&amp;I2292&amp;H2292,"")</f>
        <v/>
      </c>
      <c r="L2292" s="1" t="s">
        <v>3486</v>
      </c>
      <c r="M2292" s="1" t="str">
        <f aca="false">IF(J2292&lt;&gt;"",J2292,L2292)</f>
        <v>32, 36, JYNX</v>
      </c>
    </row>
    <row r="2293" customFormat="false" ht="12.75" hidden="false" customHeight="true" outlineLevel="0" collapsed="false">
      <c r="A2293" s="3" t="s">
        <v>2809</v>
      </c>
      <c r="B2293" s="3" t="str">
        <f aca="false">IF(ISNUMBER(SEARCH("%", A2293)),RIGHT(A2293,3),A2293)</f>
        <v>0.04</v>
      </c>
      <c r="C2293" s="1" t="str">
        <f aca="false" t="array" ref="C2293:C2293">IF(B2292="NEW ROUTE",textsplit(B2293,","),"")</f>
        <v/>
      </c>
      <c r="H2293" s="1" t="str">
        <f aca="false">IF(C2293&lt;&gt;"",DEC2HEX(C2293,2),"")</f>
        <v/>
      </c>
      <c r="I2293" s="1" t="str">
        <f aca="false">IF(D2293&lt;&gt;"",DEC2HEX(D2293,2),"")</f>
        <v/>
      </c>
      <c r="J2293" s="1" t="str">
        <f aca="false">IF(H2293&lt;&gt;"","0x"&amp;I2293&amp;H2293,"")</f>
        <v/>
      </c>
      <c r="L2293" s="1" t="s">
        <v>2809</v>
      </c>
      <c r="M2293" s="1" t="str">
        <f aca="false">IF(J2293&lt;&gt;"",J2293,L2293)</f>
        <v>0.04</v>
      </c>
    </row>
    <row r="2294" customFormat="false" ht="12.75" hidden="false" customHeight="true" outlineLevel="0" collapsed="false">
      <c r="A2294" s="3" t="s">
        <v>3487</v>
      </c>
      <c r="B2294" s="3" t="str">
        <f aca="false">IF(ISNUMBER(SEARCH("%", A2294)),RIGHT(A2294,3),A2294)</f>
        <v>33, 33, DODRIO</v>
      </c>
      <c r="C2294" s="1" t="str">
        <f aca="false" t="array" ref="C2294:C2294">IF(B2293="NEW ROUTE",textsplit(B2294,","),"")</f>
        <v/>
      </c>
      <c r="H2294" s="1" t="str">
        <f aca="false">IF(C2294&lt;&gt;"",DEC2HEX(C2294,2),"")</f>
        <v/>
      </c>
      <c r="I2294" s="1" t="str">
        <f aca="false">IF(D2294&lt;&gt;"",DEC2HEX(D2294,2),"")</f>
        <v/>
      </c>
      <c r="J2294" s="1" t="str">
        <f aca="false">IF(H2294&lt;&gt;"","0x"&amp;I2294&amp;H2294,"")</f>
        <v/>
      </c>
      <c r="L2294" s="1" t="s">
        <v>3487</v>
      </c>
      <c r="M2294" s="1" t="str">
        <f aca="false">IF(J2294&lt;&gt;"",J2294,L2294)</f>
        <v>33, 33, DODRIO</v>
      </c>
    </row>
    <row r="2295" customFormat="false" ht="12.75" hidden="false" customHeight="true" outlineLevel="0" collapsed="false">
      <c r="A2295" s="3" t="s">
        <v>3488</v>
      </c>
      <c r="B2295" s="3" t="str">
        <f aca="false">IF(ISNUMBER(SEARCH("%", A2295)),RIGHT(A2295,3),A2295)</f>
        <v>33, 33, EXEGGUTOR</v>
      </c>
      <c r="C2295" s="1" t="str">
        <f aca="false" t="array" ref="C2295:C2295">IF(B2294="NEW ROUTE",textsplit(B2295,","),"")</f>
        <v/>
      </c>
      <c r="H2295" s="1" t="str">
        <f aca="false">IF(C2295&lt;&gt;"",DEC2HEX(C2295,2),"")</f>
        <v/>
      </c>
      <c r="I2295" s="1" t="str">
        <f aca="false">IF(D2295&lt;&gt;"",DEC2HEX(D2295,2),"")</f>
        <v/>
      </c>
      <c r="J2295" s="1" t="str">
        <f aca="false">IF(H2295&lt;&gt;"","0x"&amp;I2295&amp;H2295,"")</f>
        <v/>
      </c>
      <c r="L2295" s="1" t="s">
        <v>3488</v>
      </c>
      <c r="M2295" s="1" t="str">
        <f aca="false">IF(J2295&lt;&gt;"",J2295,L2295)</f>
        <v>33, 33, EXEGGUTOR</v>
      </c>
    </row>
    <row r="2296" customFormat="false" ht="12.75" hidden="false" customHeight="true" outlineLevel="0" collapsed="false">
      <c r="A2296" s="3" t="s">
        <v>2812</v>
      </c>
      <c r="B2296" s="3" t="str">
        <f aca="false">IF(ISNUMBER(SEARCH("%", A2296)),RIGHT(A2296,3),A2296)</f>
        <v>0.01</v>
      </c>
      <c r="C2296" s="1" t="str">
        <f aca="false" t="array" ref="C2296:C2296">IF(B2295="NEW ROUTE",textsplit(B2296,","),"")</f>
        <v/>
      </c>
      <c r="H2296" s="1" t="str">
        <f aca="false">IF(C2296&lt;&gt;"",DEC2HEX(C2296,2),"")</f>
        <v/>
      </c>
      <c r="I2296" s="1" t="str">
        <f aca="false">IF(D2296&lt;&gt;"",DEC2HEX(D2296,2),"")</f>
        <v/>
      </c>
      <c r="J2296" s="1" t="str">
        <f aca="false">IF(H2296&lt;&gt;"","0x"&amp;I2296&amp;H2296,"")</f>
        <v/>
      </c>
      <c r="L2296" s="1" t="s">
        <v>2812</v>
      </c>
      <c r="M2296" s="1" t="str">
        <f aca="false">IF(J2296&lt;&gt;"",J2296,L2296)</f>
        <v>0.01</v>
      </c>
    </row>
    <row r="2297" customFormat="false" ht="12.75" hidden="false" customHeight="true" outlineLevel="0" collapsed="false">
      <c r="A2297" s="3" t="s">
        <v>3489</v>
      </c>
      <c r="B2297" s="3" t="str">
        <f aca="false">IF(ISNUMBER(SEARCH("%", A2297)),RIGHT(A2297,3),A2297)</f>
        <v>31, 36, VICTREEBEL</v>
      </c>
      <c r="C2297" s="1" t="str">
        <f aca="false" t="array" ref="C2297:C2297">IF(B2296="NEW ROUTE",textsplit(B2297,","),"")</f>
        <v/>
      </c>
      <c r="H2297" s="1" t="str">
        <f aca="false">IF(C2297&lt;&gt;"",DEC2HEX(C2297,2),"")</f>
        <v/>
      </c>
      <c r="I2297" s="1" t="str">
        <f aca="false">IF(D2297&lt;&gt;"",DEC2HEX(D2297,2),"")</f>
        <v/>
      </c>
      <c r="J2297" s="1" t="str">
        <f aca="false">IF(H2297&lt;&gt;"","0x"&amp;I2297&amp;H2297,"")</f>
        <v/>
      </c>
      <c r="L2297" s="1" t="s">
        <v>3489</v>
      </c>
      <c r="M2297" s="1" t="str">
        <f aca="false">IF(J2297&lt;&gt;"",J2297,L2297)</f>
        <v>31, 36, VICTREEBEL</v>
      </c>
    </row>
    <row r="2298" customFormat="false" ht="12.75" hidden="false" customHeight="true" outlineLevel="0" collapsed="false">
      <c r="A2298" s="3" t="s">
        <v>3490</v>
      </c>
      <c r="B2298" s="3" t="str">
        <f aca="false">IF(ISNUMBER(SEARCH("%", A2298)),RIGHT(A2298,3),A2298)</f>
        <v>20, 25, SQUIRTLE , &lt;null&gt;, &lt;null&gt;, &lt;null&gt;</v>
      </c>
      <c r="C2298" s="1" t="str">
        <f aca="false" t="array" ref="C2298:C2298">IF(B2297="NEW ROUTE",textsplit(B2298,","),"")</f>
        <v/>
      </c>
      <c r="H2298" s="1" t="str">
        <f aca="false">IF(C2298&lt;&gt;"",DEC2HEX(C2298,2),"")</f>
        <v/>
      </c>
      <c r="I2298" s="1" t="str">
        <f aca="false">IF(D2298&lt;&gt;"",DEC2HEX(D2298,2),"")</f>
        <v/>
      </c>
      <c r="J2298" s="1" t="str">
        <f aca="false">IF(H2298&lt;&gt;"","0x"&amp;I2298&amp;H2298,"")</f>
        <v/>
      </c>
      <c r="L2298" s="1" t="s">
        <v>3490</v>
      </c>
      <c r="M2298" s="1" t="str">
        <f aca="false">IF(J2298&lt;&gt;"",J2298,L2298)</f>
        <v>20, 25, SQUIRTLE , &lt;null&gt;, &lt;null&gt;, &lt;null&gt;</v>
      </c>
    </row>
    <row r="2299" customFormat="false" ht="12.75" hidden="false" customHeight="true" outlineLevel="0" collapsed="false">
      <c r="A2299" s="3" t="s">
        <v>2536</v>
      </c>
      <c r="B2299" s="3" t="str">
        <f aca="false">IF(ISNUMBER(SEARCH("%", A2299)),RIGHT(A2299,3),A2299)</f>
        <v>NEW ROUTE</v>
      </c>
      <c r="C2299" s="1" t="str">
        <f aca="false" t="array" ref="C2299:C2299">IF(B2298="NEW ROUTE",textsplit(B2299,","),"")</f>
        <v/>
      </c>
      <c r="H2299" s="1" t="str">
        <f aca="false">IF(C2299&lt;&gt;"",DEC2HEX(C2299,2),"")</f>
        <v/>
      </c>
      <c r="I2299" s="1" t="str">
        <f aca="false">IF(D2299&lt;&gt;"",DEC2HEX(D2299,2),"")</f>
        <v/>
      </c>
      <c r="J2299" s="1" t="str">
        <f aca="false">IF(H2299&lt;&gt;"","0x"&amp;I2299&amp;H2299,"")</f>
        <v/>
      </c>
      <c r="L2299" s="1" t="s">
        <v>2536</v>
      </c>
      <c r="M2299" s="1" t="str">
        <f aca="false">IF(J2299&lt;&gt;"",J2299,L2299)</f>
        <v>NEW ROUTE</v>
      </c>
    </row>
    <row r="2300" customFormat="false" ht="12.75" hidden="false" customHeight="true" outlineLevel="0" collapsed="false">
      <c r="A2300" s="3" t="s">
        <v>3491</v>
      </c>
      <c r="B2300" s="3" t="str">
        <f aca="false">IF(ISNUMBER(SEARCH("%", A2300)),RIGHT(A2300,3),A2300)</f>
        <v>3, 33, 0,</v>
      </c>
      <c r="C2300" s="1" t="e">
        <f aca="false" t="array" ref="C2300:C2300">IF(B2299="NEW ROUTE",textsplit(B2300,","),"")</f>
        <v>#NAME?</v>
      </c>
      <c r="H2300" s="1" t="e">
        <f aca="false">IF(C2300&lt;&gt;"",DEC2HEX(C2300,2),"")</f>
        <v>#NAME?</v>
      </c>
      <c r="I2300" s="1" t="str">
        <f aca="false">IF(D2300&lt;&gt;"",DEC2HEX(D2300,2),"")</f>
        <v/>
      </c>
      <c r="J2300" s="1" t="e">
        <f aca="false">IF(H2300&lt;&gt;"","0x"&amp;I2300&amp;H2300,"")</f>
        <v>#NAME?</v>
      </c>
      <c r="L2300" s="1" t="s">
        <v>3491</v>
      </c>
      <c r="M2300" s="1" t="e">
        <f aca="false">IF(J2300&lt;&gt;"",J2300,L2300)</f>
        <v>#NAME?</v>
      </c>
    </row>
    <row r="2301" customFormat="false" ht="12.75" hidden="false" customHeight="true" outlineLevel="0" collapsed="false">
      <c r="A2301" s="3" t="s">
        <v>2908</v>
      </c>
      <c r="B2301" s="3" t="str">
        <f aca="false">IF(ISNUMBER(SEARCH("%", A2301)),RIGHT(A2301,3),A2301)</f>
        <v>20%</v>
      </c>
      <c r="C2301" s="1" t="str">
        <f aca="false" t="array" ref="C2301:C2301">IF(B2300="NEW ROUTE",textsplit(B2301,","),"")</f>
        <v/>
      </c>
      <c r="H2301" s="1" t="str">
        <f aca="false">IF(C2301&lt;&gt;"",DEC2HEX(C2301,2),"")</f>
        <v/>
      </c>
      <c r="I2301" s="1" t="str">
        <f aca="false">IF(D2301&lt;&gt;"",DEC2HEX(D2301,2),"")</f>
        <v/>
      </c>
      <c r="J2301" s="1" t="str">
        <f aca="false">IF(H2301&lt;&gt;"","0x"&amp;I2301&amp;H2301,"")</f>
        <v/>
      </c>
      <c r="L2301" s="1" t="s">
        <v>2799</v>
      </c>
      <c r="M2301" s="1" t="str">
        <f aca="false">IF(J2301&lt;&gt;"",J2301,L2301)</f>
        <v>20%</v>
      </c>
    </row>
    <row r="2302" customFormat="false" ht="12.75" hidden="false" customHeight="true" outlineLevel="0" collapsed="false">
      <c r="A2302" s="3" t="s">
        <v>1969</v>
      </c>
      <c r="B2302" s="3" t="str">
        <f aca="false">IF(ISNUMBER(SEARCH("%", A2302)),RIGHT(A2302,3),A2302)</f>
        <v>33, 37, BELLSPROUT</v>
      </c>
      <c r="C2302" s="1" t="str">
        <f aca="false" t="array" ref="C2302:C2302">IF(B2301="NEW ROUTE",textsplit(B2302,","),"")</f>
        <v/>
      </c>
      <c r="H2302" s="1" t="str">
        <f aca="false">IF(C2302&lt;&gt;"",DEC2HEX(C2302,2),"")</f>
        <v/>
      </c>
      <c r="I2302" s="1" t="str">
        <f aca="false">IF(D2302&lt;&gt;"",DEC2HEX(D2302,2),"")</f>
        <v/>
      </c>
      <c r="J2302" s="1" t="str">
        <f aca="false">IF(H2302&lt;&gt;"","0x"&amp;I2302&amp;H2302,"")</f>
        <v/>
      </c>
      <c r="L2302" s="1" t="s">
        <v>1969</v>
      </c>
      <c r="M2302" s="1" t="str">
        <f aca="false">IF(J2302&lt;&gt;"",J2302,L2302)</f>
        <v>33, 37, BELLSPROUT</v>
      </c>
    </row>
    <row r="2303" customFormat="false" ht="12.75" hidden="false" customHeight="true" outlineLevel="0" collapsed="false">
      <c r="A2303" s="3" t="s">
        <v>3492</v>
      </c>
      <c r="B2303" s="3" t="str">
        <f aca="false">IF(ISNUMBER(SEARCH("%", A2303)),RIGHT(A2303,3),A2303)</f>
        <v>33, 37, PIDGEOTTO</v>
      </c>
      <c r="C2303" s="1" t="str">
        <f aca="false" t="array" ref="C2303:C2303">IF(B2302="NEW ROUTE",textsplit(B2303,","),"")</f>
        <v/>
      </c>
      <c r="H2303" s="1" t="str">
        <f aca="false">IF(C2303&lt;&gt;"",DEC2HEX(C2303,2),"")</f>
        <v/>
      </c>
      <c r="I2303" s="1" t="str">
        <f aca="false">IF(D2303&lt;&gt;"",DEC2HEX(D2303,2),"")</f>
        <v/>
      </c>
      <c r="J2303" s="1" t="str">
        <f aca="false">IF(H2303&lt;&gt;"","0x"&amp;I2303&amp;H2303,"")</f>
        <v/>
      </c>
      <c r="L2303" s="1" t="s">
        <v>3492</v>
      </c>
      <c r="M2303" s="1" t="str">
        <f aca="false">IF(J2303&lt;&gt;"",J2303,L2303)</f>
        <v>33, 37, PIDGEOTTO</v>
      </c>
    </row>
    <row r="2304" customFormat="false" ht="12.75" hidden="false" customHeight="true" outlineLevel="0" collapsed="false">
      <c r="A2304" s="3" t="s">
        <v>2801</v>
      </c>
      <c r="B2304" s="3" t="str">
        <f aca="false">IF(ISNUMBER(SEARCH("%", A2304)),RIGHT(A2304,3),A2304)</f>
        <v>0.1</v>
      </c>
      <c r="C2304" s="1" t="str">
        <f aca="false" t="array" ref="C2304:C2304">IF(B2303="NEW ROUTE",textsplit(B2304,","),"")</f>
        <v/>
      </c>
      <c r="H2304" s="1" t="str">
        <f aca="false">IF(C2304&lt;&gt;"",DEC2HEX(C2304,2),"")</f>
        <v/>
      </c>
      <c r="I2304" s="1" t="str">
        <f aca="false">IF(D2304&lt;&gt;"",DEC2HEX(D2304,2),"")</f>
        <v/>
      </c>
      <c r="J2304" s="1" t="str">
        <f aca="false">IF(H2304&lt;&gt;"","0x"&amp;I2304&amp;H2304,"")</f>
        <v/>
      </c>
      <c r="L2304" s="1" t="s">
        <v>2801</v>
      </c>
      <c r="M2304" s="1" t="str">
        <f aca="false">IF(J2304&lt;&gt;"",J2304,L2304)</f>
        <v>0.1</v>
      </c>
    </row>
    <row r="2305" customFormat="false" ht="12.75" hidden="false" customHeight="true" outlineLevel="0" collapsed="false">
      <c r="A2305" s="3" t="s">
        <v>3493</v>
      </c>
      <c r="B2305" s="3" t="str">
        <f aca="false">IF(ISNUMBER(SEARCH("%", A2305)),RIGHT(A2305,3),A2305)</f>
        <v>32, 34, WEEPINBELL</v>
      </c>
      <c r="C2305" s="1" t="str">
        <f aca="false" t="array" ref="C2305:C2305">IF(B2304="NEW ROUTE",textsplit(B2305,","),"")</f>
        <v/>
      </c>
      <c r="H2305" s="1" t="str">
        <f aca="false">IF(C2305&lt;&gt;"",DEC2HEX(C2305,2),"")</f>
        <v/>
      </c>
      <c r="I2305" s="1" t="str">
        <f aca="false">IF(D2305&lt;&gt;"",DEC2HEX(D2305,2),"")</f>
        <v/>
      </c>
      <c r="J2305" s="1" t="str">
        <f aca="false">IF(H2305&lt;&gt;"","0x"&amp;I2305&amp;H2305,"")</f>
        <v/>
      </c>
      <c r="L2305" s="1" t="s">
        <v>3493</v>
      </c>
      <c r="M2305" s="1" t="str">
        <f aca="false">IF(J2305&lt;&gt;"",J2305,L2305)</f>
        <v>32, 34, WEEPINBELL</v>
      </c>
    </row>
    <row r="2306" customFormat="false" ht="12.75" hidden="false" customHeight="true" outlineLevel="0" collapsed="false">
      <c r="A2306" s="3" t="s">
        <v>3494</v>
      </c>
      <c r="B2306" s="3" t="str">
        <f aca="false">IF(ISNUMBER(SEARCH("%", A2306)),RIGHT(A2306,3),A2306)</f>
        <v>32, 34, DODUO</v>
      </c>
      <c r="C2306" s="1" t="str">
        <f aca="false" t="array" ref="C2306:C2306">IF(B2305="NEW ROUTE",textsplit(B2306,","),"")</f>
        <v/>
      </c>
      <c r="H2306" s="1" t="str">
        <f aca="false">IF(C2306&lt;&gt;"",DEC2HEX(C2306,2),"")</f>
        <v/>
      </c>
      <c r="I2306" s="1" t="str">
        <f aca="false">IF(D2306&lt;&gt;"",DEC2HEX(D2306,2),"")</f>
        <v/>
      </c>
      <c r="J2306" s="1" t="str">
        <f aca="false">IF(H2306&lt;&gt;"","0x"&amp;I2306&amp;H2306,"")</f>
        <v/>
      </c>
      <c r="L2306" s="1" t="s">
        <v>3494</v>
      </c>
      <c r="M2306" s="1" t="str">
        <f aca="false">IF(J2306&lt;&gt;"",J2306,L2306)</f>
        <v>32, 34, DODUO</v>
      </c>
    </row>
    <row r="2307" customFormat="false" ht="12.75" hidden="false" customHeight="true" outlineLevel="0" collapsed="false">
      <c r="A2307" s="3" t="s">
        <v>3495</v>
      </c>
      <c r="B2307" s="3" t="str">
        <f aca="false">IF(ISNUMBER(SEARCH("%", A2307)),RIGHT(A2307,3),A2307)</f>
        <v>34, 34, PIDGEOT</v>
      </c>
      <c r="C2307" s="1" t="str">
        <f aca="false" t="array" ref="C2307:C2307">IF(B2306="NEW ROUTE",textsplit(B2307,","),"")</f>
        <v/>
      </c>
      <c r="H2307" s="1" t="str">
        <f aca="false">IF(C2307&lt;&gt;"",DEC2HEX(C2307,2),"")</f>
        <v/>
      </c>
      <c r="I2307" s="1" t="str">
        <f aca="false">IF(D2307&lt;&gt;"",DEC2HEX(D2307,2),"")</f>
        <v/>
      </c>
      <c r="J2307" s="1" t="str">
        <f aca="false">IF(H2307&lt;&gt;"","0x"&amp;I2307&amp;H2307,"")</f>
        <v/>
      </c>
      <c r="L2307" s="1" t="s">
        <v>3495</v>
      </c>
      <c r="M2307" s="1" t="str">
        <f aca="false">IF(J2307&lt;&gt;"",J2307,L2307)</f>
        <v>34, 34, PIDGEOT</v>
      </c>
    </row>
    <row r="2308" customFormat="false" ht="12.75" hidden="false" customHeight="true" outlineLevel="0" collapsed="false">
      <c r="A2308" s="3" t="s">
        <v>3496</v>
      </c>
      <c r="B2308" s="3" t="str">
        <f aca="false">IF(ISNUMBER(SEARCH("%", A2308)),RIGHT(A2308,3),A2308)</f>
        <v>32, 34, EXEGGCUTE</v>
      </c>
      <c r="C2308" s="1" t="str">
        <f aca="false" t="array" ref="C2308:C2308">IF(B2307="NEW ROUTE",textsplit(B2308,","),"")</f>
        <v/>
      </c>
      <c r="H2308" s="1" t="str">
        <f aca="false">IF(C2308&lt;&gt;"",DEC2HEX(C2308,2),"")</f>
        <v/>
      </c>
      <c r="I2308" s="1" t="str">
        <f aca="false">IF(D2308&lt;&gt;"",DEC2HEX(D2308,2),"")</f>
        <v/>
      </c>
      <c r="J2308" s="1" t="str">
        <f aca="false">IF(H2308&lt;&gt;"","0x"&amp;I2308&amp;H2308,"")</f>
        <v/>
      </c>
      <c r="L2308" s="1" t="s">
        <v>3496</v>
      </c>
      <c r="M2308" s="1" t="str">
        <f aca="false">IF(J2308&lt;&gt;"",J2308,L2308)</f>
        <v>32, 34, EXEGGCUTE</v>
      </c>
    </row>
    <row r="2309" customFormat="false" ht="12.75" hidden="false" customHeight="true" outlineLevel="0" collapsed="false">
      <c r="A2309" s="3" t="s">
        <v>2806</v>
      </c>
      <c r="B2309" s="3" t="str">
        <f aca="false">IF(ISNUMBER(SEARCH("%", A2309)),RIGHT(A2309,3),A2309)</f>
        <v>0.05</v>
      </c>
      <c r="C2309" s="1" t="str">
        <f aca="false" t="array" ref="C2309:C2309">IF(B2308="NEW ROUTE",textsplit(B2309,","),"")</f>
        <v/>
      </c>
      <c r="H2309" s="1" t="str">
        <f aca="false">IF(C2309&lt;&gt;"",DEC2HEX(C2309,2),"")</f>
        <v/>
      </c>
      <c r="I2309" s="1" t="str">
        <f aca="false">IF(D2309&lt;&gt;"",DEC2HEX(D2309,2),"")</f>
        <v/>
      </c>
      <c r="J2309" s="1" t="str">
        <f aca="false">IF(H2309&lt;&gt;"","0x"&amp;I2309&amp;H2309,"")</f>
        <v/>
      </c>
      <c r="L2309" s="1" t="s">
        <v>2806</v>
      </c>
      <c r="M2309" s="1" t="str">
        <f aca="false">IF(J2309&lt;&gt;"",J2309,L2309)</f>
        <v>0.05</v>
      </c>
    </row>
    <row r="2310" customFormat="false" ht="12.75" hidden="false" customHeight="true" outlineLevel="0" collapsed="false">
      <c r="A2310" s="3" t="s">
        <v>3497</v>
      </c>
      <c r="B2310" s="3" t="str">
        <f aca="false">IF(ISNUMBER(SEARCH("%", A2310)),RIGHT(A2310,3),A2310)</f>
        <v>33, 37, SCYTHER</v>
      </c>
      <c r="C2310" s="1" t="str">
        <f aca="false" t="array" ref="C2310:C2310">IF(B2309="NEW ROUTE",textsplit(B2310,","),"")</f>
        <v/>
      </c>
      <c r="H2310" s="1" t="str">
        <f aca="false">IF(C2310&lt;&gt;"",DEC2HEX(C2310,2),"")</f>
        <v/>
      </c>
      <c r="I2310" s="1" t="str">
        <f aca="false">IF(D2310&lt;&gt;"",DEC2HEX(D2310,2),"")</f>
        <v/>
      </c>
      <c r="J2310" s="1" t="str">
        <f aca="false">IF(H2310&lt;&gt;"","0x"&amp;I2310&amp;H2310,"")</f>
        <v/>
      </c>
      <c r="L2310" s="1" t="s">
        <v>3497</v>
      </c>
      <c r="M2310" s="1" t="str">
        <f aca="false">IF(J2310&lt;&gt;"",J2310,L2310)</f>
        <v>33, 37, SCYTHER</v>
      </c>
    </row>
    <row r="2311" customFormat="false" ht="12.75" hidden="false" customHeight="true" outlineLevel="0" collapsed="false">
      <c r="A2311" s="3" t="s">
        <v>3498</v>
      </c>
      <c r="B2311" s="3" t="str">
        <f aca="false">IF(ISNUMBER(SEARCH("%", A2311)),RIGHT(A2311,3),A2311)</f>
        <v>33, 37, JYNX</v>
      </c>
      <c r="C2311" s="1" t="str">
        <f aca="false" t="array" ref="C2311:C2311">IF(B2310="NEW ROUTE",textsplit(B2311,","),"")</f>
        <v/>
      </c>
      <c r="H2311" s="1" t="str">
        <f aca="false">IF(C2311&lt;&gt;"",DEC2HEX(C2311,2),"")</f>
        <v/>
      </c>
      <c r="I2311" s="1" t="str">
        <f aca="false">IF(D2311&lt;&gt;"",DEC2HEX(D2311,2),"")</f>
        <v/>
      </c>
      <c r="J2311" s="1" t="str">
        <f aca="false">IF(H2311&lt;&gt;"","0x"&amp;I2311&amp;H2311,"")</f>
        <v/>
      </c>
      <c r="L2311" s="1" t="s">
        <v>3498</v>
      </c>
      <c r="M2311" s="1" t="str">
        <f aca="false">IF(J2311&lt;&gt;"",J2311,L2311)</f>
        <v>33, 37, JYNX</v>
      </c>
    </row>
    <row r="2312" customFormat="false" ht="12.75" hidden="false" customHeight="true" outlineLevel="0" collapsed="false">
      <c r="A2312" s="3" t="s">
        <v>2809</v>
      </c>
      <c r="B2312" s="3" t="str">
        <f aca="false">IF(ISNUMBER(SEARCH("%", A2312)),RIGHT(A2312,3),A2312)</f>
        <v>0.04</v>
      </c>
      <c r="C2312" s="1" t="str">
        <f aca="false" t="array" ref="C2312:C2312">IF(B2311="NEW ROUTE",textsplit(B2312,","),"")</f>
        <v/>
      </c>
      <c r="H2312" s="1" t="str">
        <f aca="false">IF(C2312&lt;&gt;"",DEC2HEX(C2312,2),"")</f>
        <v/>
      </c>
      <c r="I2312" s="1" t="str">
        <f aca="false">IF(D2312&lt;&gt;"",DEC2HEX(D2312,2),"")</f>
        <v/>
      </c>
      <c r="J2312" s="1" t="str">
        <f aca="false">IF(H2312&lt;&gt;"","0x"&amp;I2312&amp;H2312,"")</f>
        <v/>
      </c>
      <c r="L2312" s="1" t="s">
        <v>2809</v>
      </c>
      <c r="M2312" s="1" t="str">
        <f aca="false">IF(J2312&lt;&gt;"",J2312,L2312)</f>
        <v>0.04</v>
      </c>
    </row>
    <row r="2313" customFormat="false" ht="12.75" hidden="false" customHeight="true" outlineLevel="0" collapsed="false">
      <c r="A2313" s="3" t="s">
        <v>3499</v>
      </c>
      <c r="B2313" s="3" t="str">
        <f aca="false">IF(ISNUMBER(SEARCH("%", A2313)),RIGHT(A2313,3),A2313)</f>
        <v>34, 34, DODRIO</v>
      </c>
      <c r="C2313" s="1" t="str">
        <f aca="false" t="array" ref="C2313:C2313">IF(B2312="NEW ROUTE",textsplit(B2313,","),"")</f>
        <v/>
      </c>
      <c r="H2313" s="1" t="str">
        <f aca="false">IF(C2313&lt;&gt;"",DEC2HEX(C2313,2),"")</f>
        <v/>
      </c>
      <c r="I2313" s="1" t="str">
        <f aca="false">IF(D2313&lt;&gt;"",DEC2HEX(D2313,2),"")</f>
        <v/>
      </c>
      <c r="J2313" s="1" t="str">
        <f aca="false">IF(H2313&lt;&gt;"","0x"&amp;I2313&amp;H2313,"")</f>
        <v/>
      </c>
      <c r="L2313" s="1" t="s">
        <v>3499</v>
      </c>
      <c r="M2313" s="1" t="str">
        <f aca="false">IF(J2313&lt;&gt;"",J2313,L2313)</f>
        <v>34, 34, DODRIO</v>
      </c>
    </row>
    <row r="2314" customFormat="false" ht="12.75" hidden="false" customHeight="true" outlineLevel="0" collapsed="false">
      <c r="A2314" s="3" t="s">
        <v>3500</v>
      </c>
      <c r="B2314" s="3" t="str">
        <f aca="false">IF(ISNUMBER(SEARCH("%", A2314)),RIGHT(A2314,3),A2314)</f>
        <v>34, 34, EXEGGUTOR</v>
      </c>
      <c r="C2314" s="1" t="str">
        <f aca="false" t="array" ref="C2314:C2314">IF(B2313="NEW ROUTE",textsplit(B2314,","),"")</f>
        <v/>
      </c>
      <c r="H2314" s="1" t="str">
        <f aca="false">IF(C2314&lt;&gt;"",DEC2HEX(C2314,2),"")</f>
        <v/>
      </c>
      <c r="I2314" s="1" t="str">
        <f aca="false">IF(D2314&lt;&gt;"",DEC2HEX(D2314,2),"")</f>
        <v/>
      </c>
      <c r="J2314" s="1" t="str">
        <f aca="false">IF(H2314&lt;&gt;"","0x"&amp;I2314&amp;H2314,"")</f>
        <v/>
      </c>
      <c r="L2314" s="1" t="s">
        <v>3500</v>
      </c>
      <c r="M2314" s="1" t="str">
        <f aca="false">IF(J2314&lt;&gt;"",J2314,L2314)</f>
        <v>34, 34, EXEGGUTOR</v>
      </c>
    </row>
    <row r="2315" customFormat="false" ht="12.75" hidden="false" customHeight="true" outlineLevel="0" collapsed="false">
      <c r="A2315" s="3" t="s">
        <v>2812</v>
      </c>
      <c r="B2315" s="3" t="str">
        <f aca="false">IF(ISNUMBER(SEARCH("%", A2315)),RIGHT(A2315,3),A2315)</f>
        <v>0.01</v>
      </c>
      <c r="C2315" s="1" t="str">
        <f aca="false" t="array" ref="C2315:C2315">IF(B2314="NEW ROUTE",textsplit(B2315,","),"")</f>
        <v/>
      </c>
      <c r="H2315" s="1" t="str">
        <f aca="false">IF(C2315&lt;&gt;"",DEC2HEX(C2315,2),"")</f>
        <v/>
      </c>
      <c r="I2315" s="1" t="str">
        <f aca="false">IF(D2315&lt;&gt;"",DEC2HEX(D2315,2),"")</f>
        <v/>
      </c>
      <c r="J2315" s="1" t="str">
        <f aca="false">IF(H2315&lt;&gt;"","0x"&amp;I2315&amp;H2315,"")</f>
        <v/>
      </c>
      <c r="L2315" s="1" t="s">
        <v>2812</v>
      </c>
      <c r="M2315" s="1" t="str">
        <f aca="false">IF(J2315&lt;&gt;"",J2315,L2315)</f>
        <v>0.01</v>
      </c>
    </row>
    <row r="2316" customFormat="false" ht="12.75" hidden="false" customHeight="true" outlineLevel="0" collapsed="false">
      <c r="A2316" s="3" t="s">
        <v>3501</v>
      </c>
      <c r="B2316" s="3" t="str">
        <f aca="false">IF(ISNUMBER(SEARCH("%", A2316)),RIGHT(A2316,3),A2316)</f>
        <v>32, 37, VICTREEBEL</v>
      </c>
      <c r="C2316" s="1" t="str">
        <f aca="false" t="array" ref="C2316:C2316">IF(B2315="NEW ROUTE",textsplit(B2316,","),"")</f>
        <v/>
      </c>
      <c r="H2316" s="1" t="str">
        <f aca="false">IF(C2316&lt;&gt;"",DEC2HEX(C2316,2),"")</f>
        <v/>
      </c>
      <c r="I2316" s="1" t="str">
        <f aca="false">IF(D2316&lt;&gt;"",DEC2HEX(D2316,2),"")</f>
        <v/>
      </c>
      <c r="J2316" s="1" t="str">
        <f aca="false">IF(H2316&lt;&gt;"","0x"&amp;I2316&amp;H2316,"")</f>
        <v/>
      </c>
      <c r="L2316" s="1" t="s">
        <v>3501</v>
      </c>
      <c r="M2316" s="1" t="str">
        <f aca="false">IF(J2316&lt;&gt;"",J2316,L2316)</f>
        <v>32, 37, VICTREEBEL</v>
      </c>
    </row>
    <row r="2317" customFormat="false" ht="12.75" hidden="false" customHeight="true" outlineLevel="0" collapsed="false">
      <c r="A2317" s="3" t="s">
        <v>3490</v>
      </c>
      <c r="B2317" s="3" t="str">
        <f aca="false">IF(ISNUMBER(SEARCH("%", A2317)),RIGHT(A2317,3),A2317)</f>
        <v>20, 25, SQUIRTLE , &lt;null&gt;, &lt;null&gt;, &lt;null&gt;</v>
      </c>
      <c r="C2317" s="1" t="str">
        <f aca="false" t="array" ref="C2317:C2317">IF(B2316="NEW ROUTE",textsplit(B2317,","),"")</f>
        <v/>
      </c>
      <c r="H2317" s="1" t="str">
        <f aca="false">IF(C2317&lt;&gt;"",DEC2HEX(C2317,2),"")</f>
        <v/>
      </c>
      <c r="I2317" s="1" t="str">
        <f aca="false">IF(D2317&lt;&gt;"",DEC2HEX(D2317,2),"")</f>
        <v/>
      </c>
      <c r="J2317" s="1" t="str">
        <f aca="false">IF(H2317&lt;&gt;"","0x"&amp;I2317&amp;H2317,"")</f>
        <v/>
      </c>
      <c r="L2317" s="1" t="s">
        <v>3490</v>
      </c>
      <c r="M2317" s="1" t="str">
        <f aca="false">IF(J2317&lt;&gt;"",J2317,L2317)</f>
        <v>20, 25, SQUIRTLE , &lt;null&gt;, &lt;null&gt;, &lt;null&gt;</v>
      </c>
    </row>
    <row r="2318" customFormat="false" ht="12.75" hidden="false" customHeight="true" outlineLevel="0" collapsed="false">
      <c r="A2318" s="3" t="s">
        <v>2536</v>
      </c>
      <c r="B2318" s="3" t="str">
        <f aca="false">IF(ISNUMBER(SEARCH("%", A2318)),RIGHT(A2318,3),A2318)</f>
        <v>NEW ROUTE</v>
      </c>
      <c r="C2318" s="1" t="str">
        <f aca="false" t="array" ref="C2318:C2318">IF(B2317="NEW ROUTE",textsplit(B2318,","),"")</f>
        <v/>
      </c>
      <c r="H2318" s="1" t="str">
        <f aca="false">IF(C2318&lt;&gt;"",DEC2HEX(C2318,2),"")</f>
        <v/>
      </c>
      <c r="I2318" s="1" t="str">
        <f aca="false">IF(D2318&lt;&gt;"",DEC2HEX(D2318,2),"")</f>
        <v/>
      </c>
      <c r="J2318" s="1" t="str">
        <f aca="false">IF(H2318&lt;&gt;"","0x"&amp;I2318&amp;H2318,"")</f>
        <v/>
      </c>
      <c r="L2318" s="1" t="s">
        <v>2536</v>
      </c>
      <c r="M2318" s="1" t="str">
        <f aca="false">IF(J2318&lt;&gt;"",J2318,L2318)</f>
        <v>NEW ROUTE</v>
      </c>
    </row>
    <row r="2319" customFormat="false" ht="12.75" hidden="false" customHeight="true" outlineLevel="0" collapsed="false">
      <c r="A2319" s="3" t="s">
        <v>3502</v>
      </c>
      <c r="B2319" s="3" t="str">
        <f aca="false">IF(ISNUMBER(SEARCH("%", A2319)),RIGHT(A2319,3),A2319)</f>
        <v>3, 34, 0,</v>
      </c>
      <c r="C2319" s="1" t="e">
        <f aca="false" t="array" ref="C2319:C2319">IF(B2318="NEW ROUTE",textsplit(B2319,","),"")</f>
        <v>#NAME?</v>
      </c>
      <c r="H2319" s="1" t="e">
        <f aca="false">IF(C2319&lt;&gt;"",DEC2HEX(C2319,2),"")</f>
        <v>#NAME?</v>
      </c>
      <c r="I2319" s="1" t="str">
        <f aca="false">IF(D2319&lt;&gt;"",DEC2HEX(D2319,2),"")</f>
        <v/>
      </c>
      <c r="J2319" s="1" t="e">
        <f aca="false">IF(H2319&lt;&gt;"","0x"&amp;I2319&amp;H2319,"")</f>
        <v>#NAME?</v>
      </c>
      <c r="L2319" s="1" t="s">
        <v>3502</v>
      </c>
      <c r="M2319" s="1" t="e">
        <f aca="false">IF(J2319&lt;&gt;"",J2319,L2319)</f>
        <v>#NAME?</v>
      </c>
    </row>
    <row r="2320" customFormat="false" ht="12.75" hidden="false" customHeight="true" outlineLevel="0" collapsed="false">
      <c r="A2320" s="3" t="s">
        <v>2908</v>
      </c>
      <c r="B2320" s="3" t="str">
        <f aca="false">IF(ISNUMBER(SEARCH("%", A2320)),RIGHT(A2320,3),A2320)</f>
        <v>20%</v>
      </c>
      <c r="C2320" s="1" t="str">
        <f aca="false" t="array" ref="C2320:C2320">IF(B2319="NEW ROUTE",textsplit(B2320,","),"")</f>
        <v/>
      </c>
      <c r="H2320" s="1" t="str">
        <f aca="false">IF(C2320&lt;&gt;"",DEC2HEX(C2320,2),"")</f>
        <v/>
      </c>
      <c r="I2320" s="1" t="str">
        <f aca="false">IF(D2320&lt;&gt;"",DEC2HEX(D2320,2),"")</f>
        <v/>
      </c>
      <c r="J2320" s="1" t="str">
        <f aca="false">IF(H2320&lt;&gt;"","0x"&amp;I2320&amp;H2320,"")</f>
        <v/>
      </c>
      <c r="L2320" s="1" t="s">
        <v>2799</v>
      </c>
      <c r="M2320" s="1" t="str">
        <f aca="false">IF(J2320&lt;&gt;"",J2320,L2320)</f>
        <v>20%</v>
      </c>
    </row>
    <row r="2321" customFormat="false" ht="12.75" hidden="false" customHeight="true" outlineLevel="0" collapsed="false">
      <c r="A2321" s="3" t="s">
        <v>1981</v>
      </c>
      <c r="B2321" s="3" t="str">
        <f aca="false">IF(ISNUMBER(SEARCH("%", A2321)),RIGHT(A2321,3),A2321)</f>
        <v>29, 34, ODDISH</v>
      </c>
      <c r="C2321" s="1" t="str">
        <f aca="false" t="array" ref="C2321:C2321">IF(B2320="NEW ROUTE",textsplit(B2321,","),"")</f>
        <v/>
      </c>
      <c r="H2321" s="1" t="str">
        <f aca="false">IF(C2321&lt;&gt;"",DEC2HEX(C2321,2),"")</f>
        <v/>
      </c>
      <c r="I2321" s="1" t="str">
        <f aca="false">IF(D2321&lt;&gt;"",DEC2HEX(D2321,2),"")</f>
        <v/>
      </c>
      <c r="J2321" s="1" t="str">
        <f aca="false">IF(H2321&lt;&gt;"","0x"&amp;I2321&amp;H2321,"")</f>
        <v/>
      </c>
      <c r="L2321" s="1" t="s">
        <v>1981</v>
      </c>
      <c r="M2321" s="1" t="str">
        <f aca="false">IF(J2321&lt;&gt;"",J2321,L2321)</f>
        <v>29, 34, ODDISH</v>
      </c>
    </row>
    <row r="2322" customFormat="false" ht="12.75" hidden="false" customHeight="true" outlineLevel="0" collapsed="false">
      <c r="A2322" s="3" t="s">
        <v>3456</v>
      </c>
      <c r="B2322" s="3" t="str">
        <f aca="false">IF(ISNUMBER(SEARCH("%", A2322)),RIGHT(A2322,3),A2322)</f>
        <v>29, 34, PIDGEOTTO</v>
      </c>
      <c r="C2322" s="1" t="str">
        <f aca="false" t="array" ref="C2322:C2322">IF(B2321="NEW ROUTE",textsplit(B2322,","),"")</f>
        <v/>
      </c>
      <c r="H2322" s="1" t="str">
        <f aca="false">IF(C2322&lt;&gt;"",DEC2HEX(C2322,2),"")</f>
        <v/>
      </c>
      <c r="I2322" s="1" t="str">
        <f aca="false">IF(D2322&lt;&gt;"",DEC2HEX(D2322,2),"")</f>
        <v/>
      </c>
      <c r="J2322" s="1" t="str">
        <f aca="false">IF(H2322&lt;&gt;"","0x"&amp;I2322&amp;H2322,"")</f>
        <v/>
      </c>
      <c r="L2322" s="1" t="s">
        <v>3456</v>
      </c>
      <c r="M2322" s="1" t="str">
        <f aca="false">IF(J2322&lt;&gt;"",J2322,L2322)</f>
        <v>29, 34, PIDGEOTTO</v>
      </c>
    </row>
    <row r="2323" customFormat="false" ht="12.75" hidden="false" customHeight="true" outlineLevel="0" collapsed="false">
      <c r="A2323" s="3" t="s">
        <v>2801</v>
      </c>
      <c r="B2323" s="3" t="str">
        <f aca="false">IF(ISNUMBER(SEARCH("%", A2323)),RIGHT(A2323,3),A2323)</f>
        <v>0.1</v>
      </c>
      <c r="C2323" s="1" t="str">
        <f aca="false" t="array" ref="C2323:C2323">IF(B2322="NEW ROUTE",textsplit(B2323,","),"")</f>
        <v/>
      </c>
      <c r="H2323" s="1" t="str">
        <f aca="false">IF(C2323&lt;&gt;"",DEC2HEX(C2323,2),"")</f>
        <v/>
      </c>
      <c r="I2323" s="1" t="str">
        <f aca="false">IF(D2323&lt;&gt;"",DEC2HEX(D2323,2),"")</f>
        <v/>
      </c>
      <c r="J2323" s="1" t="str">
        <f aca="false">IF(H2323&lt;&gt;"","0x"&amp;I2323&amp;H2323,"")</f>
        <v/>
      </c>
      <c r="L2323" s="1" t="s">
        <v>2801</v>
      </c>
      <c r="M2323" s="1" t="str">
        <f aca="false">IF(J2323&lt;&gt;"",J2323,L2323)</f>
        <v>0.1</v>
      </c>
    </row>
    <row r="2324" customFormat="false" ht="12.75" hidden="false" customHeight="true" outlineLevel="0" collapsed="false">
      <c r="A2324" s="3" t="s">
        <v>3503</v>
      </c>
      <c r="B2324" s="3" t="str">
        <f aca="false">IF(ISNUMBER(SEARCH("%", A2324)),RIGHT(A2324,3),A2324)</f>
        <v>29, 31, GLOOM</v>
      </c>
      <c r="C2324" s="1" t="str">
        <f aca="false" t="array" ref="C2324:C2324">IF(B2323="NEW ROUTE",textsplit(B2324,","),"")</f>
        <v/>
      </c>
      <c r="H2324" s="1" t="str">
        <f aca="false">IF(C2324&lt;&gt;"",DEC2HEX(C2324,2),"")</f>
        <v/>
      </c>
      <c r="I2324" s="1" t="str">
        <f aca="false">IF(D2324&lt;&gt;"",DEC2HEX(D2324,2),"")</f>
        <v/>
      </c>
      <c r="J2324" s="1" t="str">
        <f aca="false">IF(H2324&lt;&gt;"","0x"&amp;I2324&amp;H2324,"")</f>
        <v/>
      </c>
      <c r="L2324" s="1" t="s">
        <v>3503</v>
      </c>
      <c r="M2324" s="1" t="str">
        <f aca="false">IF(J2324&lt;&gt;"",J2324,L2324)</f>
        <v>29, 31, GLOOM</v>
      </c>
    </row>
    <row r="2325" customFormat="false" ht="12.75" hidden="false" customHeight="true" outlineLevel="0" collapsed="false">
      <c r="A2325" s="3" t="s">
        <v>3458</v>
      </c>
      <c r="B2325" s="3" t="str">
        <f aca="false">IF(ISNUMBER(SEARCH("%", A2325)),RIGHT(A2325,3),A2325)</f>
        <v>29, 31, DODUO</v>
      </c>
      <c r="C2325" s="1" t="str">
        <f aca="false" t="array" ref="C2325:C2325">IF(B2324="NEW ROUTE",textsplit(B2325,","),"")</f>
        <v/>
      </c>
      <c r="H2325" s="1" t="str">
        <f aca="false">IF(C2325&lt;&gt;"",DEC2HEX(C2325,2),"")</f>
        <v/>
      </c>
      <c r="I2325" s="1" t="str">
        <f aca="false">IF(D2325&lt;&gt;"",DEC2HEX(D2325,2),"")</f>
        <v/>
      </c>
      <c r="J2325" s="1" t="str">
        <f aca="false">IF(H2325&lt;&gt;"","0x"&amp;I2325&amp;H2325,"")</f>
        <v/>
      </c>
      <c r="L2325" s="1" t="s">
        <v>3458</v>
      </c>
      <c r="M2325" s="1" t="str">
        <f aca="false">IF(J2325&lt;&gt;"",J2325,L2325)</f>
        <v>29, 31, DODUO</v>
      </c>
    </row>
    <row r="2326" customFormat="false" ht="12.75" hidden="false" customHeight="true" outlineLevel="0" collapsed="false">
      <c r="A2326" s="3" t="s">
        <v>3459</v>
      </c>
      <c r="B2326" s="3" t="str">
        <f aca="false">IF(ISNUMBER(SEARCH("%", A2326)),RIGHT(A2326,3),A2326)</f>
        <v>31, 31, PIDGEOT</v>
      </c>
      <c r="C2326" s="1" t="str">
        <f aca="false" t="array" ref="C2326:C2326">IF(B2325="NEW ROUTE",textsplit(B2326,","),"")</f>
        <v/>
      </c>
      <c r="H2326" s="1" t="str">
        <f aca="false">IF(C2326&lt;&gt;"",DEC2HEX(C2326,2),"")</f>
        <v/>
      </c>
      <c r="I2326" s="1" t="str">
        <f aca="false">IF(D2326&lt;&gt;"",DEC2HEX(D2326,2),"")</f>
        <v/>
      </c>
      <c r="J2326" s="1" t="str">
        <f aca="false">IF(H2326&lt;&gt;"","0x"&amp;I2326&amp;H2326,"")</f>
        <v/>
      </c>
      <c r="L2326" s="1" t="s">
        <v>3459</v>
      </c>
      <c r="M2326" s="1" t="str">
        <f aca="false">IF(J2326&lt;&gt;"",J2326,L2326)</f>
        <v>31, 31, PIDGEOT</v>
      </c>
    </row>
    <row r="2327" customFormat="false" ht="12.75" hidden="false" customHeight="true" outlineLevel="0" collapsed="false">
      <c r="A2327" s="3" t="s">
        <v>3504</v>
      </c>
      <c r="B2327" s="3" t="str">
        <f aca="false">IF(ISNUMBER(SEARCH("%", A2327)),RIGHT(A2327,3),A2327)</f>
        <v>29, 31, LICKITUNG</v>
      </c>
      <c r="C2327" s="1" t="str">
        <f aca="false" t="array" ref="C2327:C2327">IF(B2326="NEW ROUTE",textsplit(B2327,","),"")</f>
        <v/>
      </c>
      <c r="H2327" s="1" t="str">
        <f aca="false">IF(C2327&lt;&gt;"",DEC2HEX(C2327,2),"")</f>
        <v/>
      </c>
      <c r="I2327" s="1" t="str">
        <f aca="false">IF(D2327&lt;&gt;"",DEC2HEX(D2327,2),"")</f>
        <v/>
      </c>
      <c r="J2327" s="1" t="str">
        <f aca="false">IF(H2327&lt;&gt;"","0x"&amp;I2327&amp;H2327,"")</f>
        <v/>
      </c>
      <c r="L2327" s="1" t="s">
        <v>3504</v>
      </c>
      <c r="M2327" s="1" t="str">
        <f aca="false">IF(J2327&lt;&gt;"",J2327,L2327)</f>
        <v>29, 31, LICKITUNG</v>
      </c>
    </row>
    <row r="2328" customFormat="false" ht="12.75" hidden="false" customHeight="true" outlineLevel="0" collapsed="false">
      <c r="A2328" s="3" t="s">
        <v>2806</v>
      </c>
      <c r="B2328" s="3" t="str">
        <f aca="false">IF(ISNUMBER(SEARCH("%", A2328)),RIGHT(A2328,3),A2328)</f>
        <v>0.05</v>
      </c>
      <c r="C2328" s="1" t="str">
        <f aca="false" t="array" ref="C2328:C2328">IF(B2327="NEW ROUTE",textsplit(B2328,","),"")</f>
        <v/>
      </c>
      <c r="H2328" s="1" t="str">
        <f aca="false">IF(C2328&lt;&gt;"",DEC2HEX(C2328,2),"")</f>
        <v/>
      </c>
      <c r="I2328" s="1" t="str">
        <f aca="false">IF(D2328&lt;&gt;"",DEC2HEX(D2328,2),"")</f>
        <v/>
      </c>
      <c r="J2328" s="1" t="str">
        <f aca="false">IF(H2328&lt;&gt;"","0x"&amp;I2328&amp;H2328,"")</f>
        <v/>
      </c>
      <c r="L2328" s="1" t="s">
        <v>2806</v>
      </c>
      <c r="M2328" s="1" t="str">
        <f aca="false">IF(J2328&lt;&gt;"",J2328,L2328)</f>
        <v>0.05</v>
      </c>
    </row>
    <row r="2329" customFormat="false" ht="12.75" hidden="false" customHeight="true" outlineLevel="0" collapsed="false">
      <c r="A2329" s="3" t="s">
        <v>3505</v>
      </c>
      <c r="B2329" s="3" t="str">
        <f aca="false">IF(ISNUMBER(SEARCH("%", A2329)),RIGHT(A2329,3),A2329)</f>
        <v>30, 34, TAUROS</v>
      </c>
      <c r="C2329" s="1" t="str">
        <f aca="false" t="array" ref="C2329:C2329">IF(B2328="NEW ROUTE",textsplit(B2329,","),"")</f>
        <v/>
      </c>
      <c r="H2329" s="1" t="str">
        <f aca="false">IF(C2329&lt;&gt;"",DEC2HEX(C2329,2),"")</f>
        <v/>
      </c>
      <c r="I2329" s="1" t="str">
        <f aca="false">IF(D2329&lt;&gt;"",DEC2HEX(D2329,2),"")</f>
        <v/>
      </c>
      <c r="J2329" s="1" t="str">
        <f aca="false">IF(H2329&lt;&gt;"","0x"&amp;I2329&amp;H2329,"")</f>
        <v/>
      </c>
      <c r="L2329" s="1" t="s">
        <v>3505</v>
      </c>
      <c r="M2329" s="1" t="str">
        <f aca="false">IF(J2329&lt;&gt;"",J2329,L2329)</f>
        <v>30, 34, TAUROS</v>
      </c>
    </row>
    <row r="2330" customFormat="false" ht="12.75" hidden="false" customHeight="true" outlineLevel="0" collapsed="false">
      <c r="A2330" s="3" t="s">
        <v>3506</v>
      </c>
      <c r="B2330" s="3" t="str">
        <f aca="false">IF(ISNUMBER(SEARCH("%", A2330)),RIGHT(A2330,3),A2330)</f>
        <v>30, 34, "MR. MIME"</v>
      </c>
      <c r="C2330" s="1" t="str">
        <f aca="false" t="array" ref="C2330:C2330">IF(B2329="NEW ROUTE",textsplit(B2330,","),"")</f>
        <v/>
      </c>
      <c r="H2330" s="1" t="str">
        <f aca="false">IF(C2330&lt;&gt;"",DEC2HEX(C2330,2),"")</f>
        <v/>
      </c>
      <c r="I2330" s="1" t="str">
        <f aca="false">IF(D2330&lt;&gt;"",DEC2HEX(D2330,2),"")</f>
        <v/>
      </c>
      <c r="J2330" s="1" t="str">
        <f aca="false">IF(H2330&lt;&gt;"","0x"&amp;I2330&amp;H2330,"")</f>
        <v/>
      </c>
      <c r="L2330" s="1" t="s">
        <v>3506</v>
      </c>
      <c r="M2330" s="1" t="str">
        <f aca="false">IF(J2330&lt;&gt;"",J2330,L2330)</f>
        <v>30, 34, "MR. MIME"</v>
      </c>
    </row>
    <row r="2331" customFormat="false" ht="12.75" hidden="false" customHeight="true" outlineLevel="0" collapsed="false">
      <c r="A2331" s="3" t="s">
        <v>2809</v>
      </c>
      <c r="B2331" s="3" t="str">
        <f aca="false">IF(ISNUMBER(SEARCH("%", A2331)),RIGHT(A2331,3),A2331)</f>
        <v>0.04</v>
      </c>
      <c r="C2331" s="1" t="str">
        <f aca="false" t="array" ref="C2331:C2331">IF(B2330="NEW ROUTE",textsplit(B2331,","),"")</f>
        <v/>
      </c>
      <c r="H2331" s="1" t="str">
        <f aca="false">IF(C2331&lt;&gt;"",DEC2HEX(C2331,2),"")</f>
        <v/>
      </c>
      <c r="I2331" s="1" t="str">
        <f aca="false">IF(D2331&lt;&gt;"",DEC2HEX(D2331,2),"")</f>
        <v/>
      </c>
      <c r="J2331" s="1" t="str">
        <f aca="false">IF(H2331&lt;&gt;"","0x"&amp;I2331&amp;H2331,"")</f>
        <v/>
      </c>
      <c r="L2331" s="1" t="s">
        <v>2809</v>
      </c>
      <c r="M2331" s="1" t="str">
        <f aca="false">IF(J2331&lt;&gt;"",J2331,L2331)</f>
        <v>0.04</v>
      </c>
    </row>
    <row r="2332" customFormat="false" ht="12.75" hidden="false" customHeight="true" outlineLevel="0" collapsed="false">
      <c r="A2332" s="3" t="s">
        <v>3463</v>
      </c>
      <c r="B2332" s="3" t="str">
        <f aca="false">IF(ISNUMBER(SEARCH("%", A2332)),RIGHT(A2332,3),A2332)</f>
        <v>31, 31, DODRIO</v>
      </c>
      <c r="C2332" s="1" t="str">
        <f aca="false" t="array" ref="C2332:C2332">IF(B2331="NEW ROUTE",textsplit(B2332,","),"")</f>
        <v/>
      </c>
      <c r="H2332" s="1" t="str">
        <f aca="false">IF(C2332&lt;&gt;"",DEC2HEX(C2332,2),"")</f>
        <v/>
      </c>
      <c r="I2332" s="1" t="str">
        <f aca="false">IF(D2332&lt;&gt;"",DEC2HEX(D2332,2),"")</f>
        <v/>
      </c>
      <c r="J2332" s="1" t="str">
        <f aca="false">IF(H2332&lt;&gt;"","0x"&amp;I2332&amp;H2332,"")</f>
        <v/>
      </c>
      <c r="L2332" s="1" t="s">
        <v>3463</v>
      </c>
      <c r="M2332" s="1" t="str">
        <f aca="false">IF(J2332&lt;&gt;"",J2332,L2332)</f>
        <v>31, 31, DODRIO</v>
      </c>
    </row>
    <row r="2333" customFormat="false" ht="12.75" hidden="false" customHeight="true" outlineLevel="0" collapsed="false">
      <c r="A2333" s="3" t="s">
        <v>3507</v>
      </c>
      <c r="B2333" s="3" t="str">
        <f aca="false">IF(ISNUMBER(SEARCH("%", A2333)),RIGHT(A2333,3),A2333)</f>
        <v>31, 31, LICKILICKY</v>
      </c>
      <c r="C2333" s="1" t="str">
        <f aca="false" t="array" ref="C2333:C2333">IF(B2332="NEW ROUTE",textsplit(B2333,","),"")</f>
        <v/>
      </c>
      <c r="H2333" s="1" t="str">
        <f aca="false">IF(C2333&lt;&gt;"",DEC2HEX(C2333,2),"")</f>
        <v/>
      </c>
      <c r="I2333" s="1" t="str">
        <f aca="false">IF(D2333&lt;&gt;"",DEC2HEX(D2333,2),"")</f>
        <v/>
      </c>
      <c r="J2333" s="1" t="str">
        <f aca="false">IF(H2333&lt;&gt;"","0x"&amp;I2333&amp;H2333,"")</f>
        <v/>
      </c>
      <c r="L2333" s="1" t="s">
        <v>3507</v>
      </c>
      <c r="M2333" s="1" t="str">
        <f aca="false">IF(J2333&lt;&gt;"",J2333,L2333)</f>
        <v>31, 31, LICKILICKY</v>
      </c>
    </row>
    <row r="2334" customFormat="false" ht="12.75" hidden="false" customHeight="true" outlineLevel="0" collapsed="false">
      <c r="A2334" s="3" t="s">
        <v>2812</v>
      </c>
      <c r="B2334" s="3" t="str">
        <f aca="false">IF(ISNUMBER(SEARCH("%", A2334)),RIGHT(A2334,3),A2334)</f>
        <v>0.01</v>
      </c>
      <c r="C2334" s="1" t="str">
        <f aca="false" t="array" ref="C2334:C2334">IF(B2333="NEW ROUTE",textsplit(B2334,","),"")</f>
        <v/>
      </c>
      <c r="H2334" s="1" t="str">
        <f aca="false">IF(C2334&lt;&gt;"",DEC2HEX(C2334,2),"")</f>
        <v/>
      </c>
      <c r="I2334" s="1" t="str">
        <f aca="false">IF(D2334&lt;&gt;"",DEC2HEX(D2334,2),"")</f>
        <v/>
      </c>
      <c r="J2334" s="1" t="str">
        <f aca="false">IF(H2334&lt;&gt;"","0x"&amp;I2334&amp;H2334,"")</f>
        <v/>
      </c>
      <c r="L2334" s="1" t="s">
        <v>2812</v>
      </c>
      <c r="M2334" s="1" t="str">
        <f aca="false">IF(J2334&lt;&gt;"",J2334,L2334)</f>
        <v>0.01</v>
      </c>
    </row>
    <row r="2335" customFormat="false" ht="12.75" hidden="false" customHeight="true" outlineLevel="0" collapsed="false">
      <c r="A2335" s="3" t="s">
        <v>3508</v>
      </c>
      <c r="B2335" s="3" t="str">
        <f aca="false">IF(ISNUMBER(SEARCH("%", A2335)),RIGHT(A2335,3),A2335)</f>
        <v>29, 34, VILEPLUME</v>
      </c>
      <c r="C2335" s="1" t="str">
        <f aca="false" t="array" ref="C2335:C2335">IF(B2334="NEW ROUTE",textsplit(B2335,","),"")</f>
        <v/>
      </c>
      <c r="H2335" s="1" t="str">
        <f aca="false">IF(C2335&lt;&gt;"",DEC2HEX(C2335,2),"")</f>
        <v/>
      </c>
      <c r="I2335" s="1" t="str">
        <f aca="false">IF(D2335&lt;&gt;"",DEC2HEX(D2335,2),"")</f>
        <v/>
      </c>
      <c r="J2335" s="1" t="str">
        <f aca="false">IF(H2335&lt;&gt;"","0x"&amp;I2335&amp;H2335,"")</f>
        <v/>
      </c>
      <c r="L2335" s="1" t="s">
        <v>3508</v>
      </c>
      <c r="M2335" s="1" t="str">
        <f aca="false">IF(J2335&lt;&gt;"",J2335,L2335)</f>
        <v>29, 34, VILEPLUME</v>
      </c>
    </row>
    <row r="2336" customFormat="false" ht="12.75" hidden="false" customHeight="true" outlineLevel="0" collapsed="false">
      <c r="A2336" s="3" t="s">
        <v>3509</v>
      </c>
      <c r="B2336" s="3" t="str">
        <f aca="false">IF(ISNUMBER(SEARCH("%", A2336)),RIGHT(A2336,3),A2336)</f>
        <v>20, 25, BULBASAUR , &lt;null&gt;, &lt;null&gt;, &lt;null&gt;</v>
      </c>
      <c r="C2336" s="1" t="str">
        <f aca="false" t="array" ref="C2336:C2336">IF(B2335="NEW ROUTE",textsplit(B2336,","),"")</f>
        <v/>
      </c>
      <c r="H2336" s="1" t="str">
        <f aca="false">IF(C2336&lt;&gt;"",DEC2HEX(C2336,2),"")</f>
        <v/>
      </c>
      <c r="I2336" s="1" t="str">
        <f aca="false">IF(D2336&lt;&gt;"",DEC2HEX(D2336,2),"")</f>
        <v/>
      </c>
      <c r="J2336" s="1" t="str">
        <f aca="false">IF(H2336&lt;&gt;"","0x"&amp;I2336&amp;H2336,"")</f>
        <v/>
      </c>
      <c r="L2336" s="1" t="s">
        <v>3509</v>
      </c>
      <c r="M2336" s="1" t="str">
        <f aca="false">IF(J2336&lt;&gt;"",J2336,L2336)</f>
        <v>20, 25, BULBASAUR , &lt;null&gt;, &lt;null&gt;, &lt;null&gt;</v>
      </c>
    </row>
    <row r="2337" customFormat="false" ht="12.75" hidden="false" customHeight="true" outlineLevel="0" collapsed="false">
      <c r="A2337" s="3" t="s">
        <v>2536</v>
      </c>
      <c r="B2337" s="3" t="str">
        <f aca="false">IF(ISNUMBER(SEARCH("%", A2337)),RIGHT(A2337,3),A2337)</f>
        <v>NEW ROUTE</v>
      </c>
      <c r="C2337" s="1" t="str">
        <f aca="false" t="array" ref="C2337:C2337">IF(B2336="NEW ROUTE",textsplit(B2337,","),"")</f>
        <v/>
      </c>
      <c r="H2337" s="1" t="str">
        <f aca="false">IF(C2337&lt;&gt;"",DEC2HEX(C2337,2),"")</f>
        <v/>
      </c>
      <c r="I2337" s="1" t="str">
        <f aca="false">IF(D2337&lt;&gt;"",DEC2HEX(D2337,2),"")</f>
        <v/>
      </c>
      <c r="J2337" s="1" t="str">
        <f aca="false">IF(H2337&lt;&gt;"","0x"&amp;I2337&amp;H2337,"")</f>
        <v/>
      </c>
      <c r="L2337" s="1" t="s">
        <v>2536</v>
      </c>
      <c r="M2337" s="1" t="str">
        <f aca="false">IF(J2337&lt;&gt;"",J2337,L2337)</f>
        <v>NEW ROUTE</v>
      </c>
    </row>
    <row r="2338" customFormat="false" ht="12.75" hidden="false" customHeight="true" outlineLevel="0" collapsed="false">
      <c r="A2338" s="3" t="s">
        <v>3510</v>
      </c>
      <c r="B2338" s="3" t="str">
        <f aca="false">IF(ISNUMBER(SEARCH("%", A2338)),RIGHT(A2338,3),A2338)</f>
        <v>3, 35, 0,</v>
      </c>
      <c r="C2338" s="1" t="e">
        <f aca="false" t="array" ref="C2338:C2338">IF(B2337="NEW ROUTE",textsplit(B2338,","),"")</f>
        <v>#NAME?</v>
      </c>
      <c r="H2338" s="1" t="e">
        <f aca="false">IF(C2338&lt;&gt;"",DEC2HEX(C2338,2),"")</f>
        <v>#NAME?</v>
      </c>
      <c r="I2338" s="1" t="str">
        <f aca="false">IF(D2338&lt;&gt;"",DEC2HEX(D2338,2),"")</f>
        <v/>
      </c>
      <c r="J2338" s="1" t="e">
        <f aca="false">IF(H2338&lt;&gt;"","0x"&amp;I2338&amp;H2338,"")</f>
        <v>#NAME?</v>
      </c>
      <c r="L2338" s="1" t="s">
        <v>3510</v>
      </c>
      <c r="M2338" s="1" t="e">
        <f aca="false">IF(J2338&lt;&gt;"",J2338,L2338)</f>
        <v>#NAME?</v>
      </c>
    </row>
    <row r="2339" customFormat="false" ht="12.75" hidden="false" customHeight="true" outlineLevel="0" collapsed="false">
      <c r="A2339" s="3" t="s">
        <v>2908</v>
      </c>
      <c r="B2339" s="3" t="str">
        <f aca="false">IF(ISNUMBER(SEARCH("%", A2339)),RIGHT(A2339,3),A2339)</f>
        <v>20%</v>
      </c>
      <c r="C2339" s="1" t="str">
        <f aca="false" t="array" ref="C2339:C2339">IF(B2338="NEW ROUTE",textsplit(B2339,","),"")</f>
        <v/>
      </c>
      <c r="H2339" s="1" t="str">
        <f aca="false">IF(C2339&lt;&gt;"",DEC2HEX(C2339,2),"")</f>
        <v/>
      </c>
      <c r="I2339" s="1" t="str">
        <f aca="false">IF(D2339&lt;&gt;"",DEC2HEX(D2339,2),"")</f>
        <v/>
      </c>
      <c r="J2339" s="1" t="str">
        <f aca="false">IF(H2339&lt;&gt;"","0x"&amp;I2339&amp;H2339,"")</f>
        <v/>
      </c>
      <c r="L2339" s="1" t="s">
        <v>2799</v>
      </c>
      <c r="M2339" s="1" t="str">
        <f aca="false">IF(J2339&lt;&gt;"",J2339,L2339)</f>
        <v>20%</v>
      </c>
    </row>
    <row r="2340" customFormat="false" ht="12.75" hidden="false" customHeight="true" outlineLevel="0" collapsed="false">
      <c r="A2340" s="3" t="s">
        <v>1990</v>
      </c>
      <c r="B2340" s="3" t="str">
        <f aca="false">IF(ISNUMBER(SEARCH("%", A2340)),RIGHT(A2340,3),A2340)</f>
        <v>30, 35, ODDISH</v>
      </c>
      <c r="C2340" s="1" t="str">
        <f aca="false" t="array" ref="C2340:C2340">IF(B2339="NEW ROUTE",textsplit(B2340,","),"")</f>
        <v/>
      </c>
      <c r="H2340" s="1" t="str">
        <f aca="false">IF(C2340&lt;&gt;"",DEC2HEX(C2340,2),"")</f>
        <v/>
      </c>
      <c r="I2340" s="1" t="str">
        <f aca="false">IF(D2340&lt;&gt;"",DEC2HEX(D2340,2),"")</f>
        <v/>
      </c>
      <c r="J2340" s="1" t="str">
        <f aca="false">IF(H2340&lt;&gt;"","0x"&amp;I2340&amp;H2340,"")</f>
        <v/>
      </c>
      <c r="L2340" s="1" t="s">
        <v>1990</v>
      </c>
      <c r="M2340" s="1" t="str">
        <f aca="false">IF(J2340&lt;&gt;"",J2340,L2340)</f>
        <v>30, 35, ODDISH</v>
      </c>
    </row>
    <row r="2341" customFormat="false" ht="12.75" hidden="false" customHeight="true" outlineLevel="0" collapsed="false">
      <c r="A2341" s="3" t="s">
        <v>3469</v>
      </c>
      <c r="B2341" s="3" t="str">
        <f aca="false">IF(ISNUMBER(SEARCH("%", A2341)),RIGHT(A2341,3),A2341)</f>
        <v>30, 35, PIDGEOTTO</v>
      </c>
      <c r="C2341" s="1" t="str">
        <f aca="false" t="array" ref="C2341:C2341">IF(B2340="NEW ROUTE",textsplit(B2341,","),"")</f>
        <v/>
      </c>
      <c r="H2341" s="1" t="str">
        <f aca="false">IF(C2341&lt;&gt;"",DEC2HEX(C2341,2),"")</f>
        <v/>
      </c>
      <c r="I2341" s="1" t="str">
        <f aca="false">IF(D2341&lt;&gt;"",DEC2HEX(D2341,2),"")</f>
        <v/>
      </c>
      <c r="J2341" s="1" t="str">
        <f aca="false">IF(H2341&lt;&gt;"","0x"&amp;I2341&amp;H2341,"")</f>
        <v/>
      </c>
      <c r="L2341" s="1" t="s">
        <v>3469</v>
      </c>
      <c r="M2341" s="1" t="str">
        <f aca="false">IF(J2341&lt;&gt;"",J2341,L2341)</f>
        <v>30, 35, PIDGEOTTO</v>
      </c>
    </row>
    <row r="2342" customFormat="false" ht="12.75" hidden="false" customHeight="true" outlineLevel="0" collapsed="false">
      <c r="A2342" s="3" t="s">
        <v>2801</v>
      </c>
      <c r="B2342" s="3" t="str">
        <f aca="false">IF(ISNUMBER(SEARCH("%", A2342)),RIGHT(A2342,3),A2342)</f>
        <v>0.1</v>
      </c>
      <c r="C2342" s="1" t="str">
        <f aca="false" t="array" ref="C2342:C2342">IF(B2341="NEW ROUTE",textsplit(B2342,","),"")</f>
        <v/>
      </c>
      <c r="H2342" s="1" t="str">
        <f aca="false">IF(C2342&lt;&gt;"",DEC2HEX(C2342,2),"")</f>
        <v/>
      </c>
      <c r="I2342" s="1" t="str">
        <f aca="false">IF(D2342&lt;&gt;"",DEC2HEX(D2342,2),"")</f>
        <v/>
      </c>
      <c r="J2342" s="1" t="str">
        <f aca="false">IF(H2342&lt;&gt;"","0x"&amp;I2342&amp;H2342,"")</f>
        <v/>
      </c>
      <c r="L2342" s="1" t="s">
        <v>2801</v>
      </c>
      <c r="M2342" s="1" t="str">
        <f aca="false">IF(J2342&lt;&gt;"",J2342,L2342)</f>
        <v>0.1</v>
      </c>
    </row>
    <row r="2343" customFormat="false" ht="12.75" hidden="false" customHeight="true" outlineLevel="0" collapsed="false">
      <c r="A2343" s="3" t="s">
        <v>3511</v>
      </c>
      <c r="B2343" s="3" t="str">
        <f aca="false">IF(ISNUMBER(SEARCH("%", A2343)),RIGHT(A2343,3),A2343)</f>
        <v>30, 35, GLOOM</v>
      </c>
      <c r="C2343" s="1" t="str">
        <f aca="false" t="array" ref="C2343:C2343">IF(B2342="NEW ROUTE",textsplit(B2343,","),"")</f>
        <v/>
      </c>
      <c r="H2343" s="1" t="str">
        <f aca="false">IF(C2343&lt;&gt;"",DEC2HEX(C2343,2),"")</f>
        <v/>
      </c>
      <c r="I2343" s="1" t="str">
        <f aca="false">IF(D2343&lt;&gt;"",DEC2HEX(D2343,2),"")</f>
        <v/>
      </c>
      <c r="J2343" s="1" t="str">
        <f aca="false">IF(H2343&lt;&gt;"","0x"&amp;I2343&amp;H2343,"")</f>
        <v/>
      </c>
      <c r="L2343" s="1" t="s">
        <v>3511</v>
      </c>
      <c r="M2343" s="1" t="str">
        <f aca="false">IF(J2343&lt;&gt;"",J2343,L2343)</f>
        <v>30, 35, GLOOM</v>
      </c>
    </row>
    <row r="2344" customFormat="false" ht="12.75" hidden="false" customHeight="true" outlineLevel="0" collapsed="false">
      <c r="A2344" s="3" t="s">
        <v>3512</v>
      </c>
      <c r="B2344" s="3" t="str">
        <f aca="false">IF(ISNUMBER(SEARCH("%", A2344)),RIGHT(A2344,3),A2344)</f>
        <v>30, 35, DODUO</v>
      </c>
      <c r="C2344" s="1" t="str">
        <f aca="false" t="array" ref="C2344:C2344">IF(B2343="NEW ROUTE",textsplit(B2344,","),"")</f>
        <v/>
      </c>
      <c r="H2344" s="1" t="str">
        <f aca="false">IF(C2344&lt;&gt;"",DEC2HEX(C2344,2),"")</f>
        <v/>
      </c>
      <c r="I2344" s="1" t="str">
        <f aca="false">IF(D2344&lt;&gt;"",DEC2HEX(D2344,2),"")</f>
        <v/>
      </c>
      <c r="J2344" s="1" t="str">
        <f aca="false">IF(H2344&lt;&gt;"","0x"&amp;I2344&amp;H2344,"")</f>
        <v/>
      </c>
      <c r="L2344" s="1" t="s">
        <v>3512</v>
      </c>
      <c r="M2344" s="1" t="str">
        <f aca="false">IF(J2344&lt;&gt;"",J2344,L2344)</f>
        <v>30, 35, DODUO</v>
      </c>
    </row>
    <row r="2345" customFormat="false" ht="12.75" hidden="false" customHeight="true" outlineLevel="0" collapsed="false">
      <c r="A2345" s="3" t="s">
        <v>3472</v>
      </c>
      <c r="B2345" s="3" t="str">
        <f aca="false">IF(ISNUMBER(SEARCH("%", A2345)),RIGHT(A2345,3),A2345)</f>
        <v>32, 32, PIDGEOT</v>
      </c>
      <c r="C2345" s="1" t="str">
        <f aca="false" t="array" ref="C2345:C2345">IF(B2344="NEW ROUTE",textsplit(B2345,","),"")</f>
        <v/>
      </c>
      <c r="H2345" s="1" t="str">
        <f aca="false">IF(C2345&lt;&gt;"",DEC2HEX(C2345,2),"")</f>
        <v/>
      </c>
      <c r="I2345" s="1" t="str">
        <f aca="false">IF(D2345&lt;&gt;"",DEC2HEX(D2345,2),"")</f>
        <v/>
      </c>
      <c r="J2345" s="1" t="str">
        <f aca="false">IF(H2345&lt;&gt;"","0x"&amp;I2345&amp;H2345,"")</f>
        <v/>
      </c>
      <c r="L2345" s="1" t="s">
        <v>3472</v>
      </c>
      <c r="M2345" s="1" t="str">
        <f aca="false">IF(J2345&lt;&gt;"",J2345,L2345)</f>
        <v>32, 32, PIDGEOT</v>
      </c>
    </row>
    <row r="2346" customFormat="false" ht="12.75" hidden="false" customHeight="true" outlineLevel="0" collapsed="false">
      <c r="A2346" s="3" t="s">
        <v>3513</v>
      </c>
      <c r="B2346" s="3" t="str">
        <f aca="false">IF(ISNUMBER(SEARCH("%", A2346)),RIGHT(A2346,3),A2346)</f>
        <v>30, 32, LICKITUNG</v>
      </c>
      <c r="C2346" s="1" t="str">
        <f aca="false" t="array" ref="C2346:C2346">IF(B2345="NEW ROUTE",textsplit(B2346,","),"")</f>
        <v/>
      </c>
      <c r="H2346" s="1" t="str">
        <f aca="false">IF(C2346&lt;&gt;"",DEC2HEX(C2346,2),"")</f>
        <v/>
      </c>
      <c r="I2346" s="1" t="str">
        <f aca="false">IF(D2346&lt;&gt;"",DEC2HEX(D2346,2),"")</f>
        <v/>
      </c>
      <c r="J2346" s="1" t="str">
        <f aca="false">IF(H2346&lt;&gt;"","0x"&amp;I2346&amp;H2346,"")</f>
        <v/>
      </c>
      <c r="L2346" s="1" t="s">
        <v>3513</v>
      </c>
      <c r="M2346" s="1" t="str">
        <f aca="false">IF(J2346&lt;&gt;"",J2346,L2346)</f>
        <v>30, 32, LICKITUNG</v>
      </c>
    </row>
    <row r="2347" customFormat="false" ht="12.75" hidden="false" customHeight="true" outlineLevel="0" collapsed="false">
      <c r="A2347" s="3" t="s">
        <v>2806</v>
      </c>
      <c r="B2347" s="3" t="str">
        <f aca="false">IF(ISNUMBER(SEARCH("%", A2347)),RIGHT(A2347,3),A2347)</f>
        <v>0.05</v>
      </c>
      <c r="C2347" s="1" t="str">
        <f aca="false" t="array" ref="C2347:C2347">IF(B2346="NEW ROUTE",textsplit(B2347,","),"")</f>
        <v/>
      </c>
      <c r="H2347" s="1" t="str">
        <f aca="false">IF(C2347&lt;&gt;"",DEC2HEX(C2347,2),"")</f>
        <v/>
      </c>
      <c r="I2347" s="1" t="str">
        <f aca="false">IF(D2347&lt;&gt;"",DEC2HEX(D2347,2),"")</f>
        <v/>
      </c>
      <c r="J2347" s="1" t="str">
        <f aca="false">IF(H2347&lt;&gt;"","0x"&amp;I2347&amp;H2347,"")</f>
        <v/>
      </c>
      <c r="L2347" s="1" t="s">
        <v>2806</v>
      </c>
      <c r="M2347" s="1" t="str">
        <f aca="false">IF(J2347&lt;&gt;"",J2347,L2347)</f>
        <v>0.05</v>
      </c>
    </row>
    <row r="2348" customFormat="false" ht="12.75" hidden="false" customHeight="true" outlineLevel="0" collapsed="false">
      <c r="A2348" s="3" t="s">
        <v>3514</v>
      </c>
      <c r="B2348" s="3" t="str">
        <f aca="false">IF(ISNUMBER(SEARCH("%", A2348)),RIGHT(A2348,3),A2348)</f>
        <v>31, 35, TAUROS</v>
      </c>
      <c r="C2348" s="1" t="str">
        <f aca="false" t="array" ref="C2348:C2348">IF(B2347="NEW ROUTE",textsplit(B2348,","),"")</f>
        <v/>
      </c>
      <c r="H2348" s="1" t="str">
        <f aca="false">IF(C2348&lt;&gt;"",DEC2HEX(C2348,2),"")</f>
        <v/>
      </c>
      <c r="I2348" s="1" t="str">
        <f aca="false">IF(D2348&lt;&gt;"",DEC2HEX(D2348,2),"")</f>
        <v/>
      </c>
      <c r="J2348" s="1" t="str">
        <f aca="false">IF(H2348&lt;&gt;"","0x"&amp;I2348&amp;H2348,"")</f>
        <v/>
      </c>
      <c r="L2348" s="1" t="s">
        <v>3514</v>
      </c>
      <c r="M2348" s="1" t="str">
        <f aca="false">IF(J2348&lt;&gt;"",J2348,L2348)</f>
        <v>31, 35, TAUROS</v>
      </c>
    </row>
    <row r="2349" customFormat="false" ht="12.75" hidden="false" customHeight="true" outlineLevel="0" collapsed="false">
      <c r="A2349" s="3" t="s">
        <v>3515</v>
      </c>
      <c r="B2349" s="3" t="str">
        <f aca="false">IF(ISNUMBER(SEARCH("%", A2349)),RIGHT(A2349,3),A2349)</f>
        <v>31, 35, "MR. MIME"</v>
      </c>
      <c r="C2349" s="1" t="str">
        <f aca="false" t="array" ref="C2349:C2349">IF(B2348="NEW ROUTE",textsplit(B2349,","),"")</f>
        <v/>
      </c>
      <c r="H2349" s="1" t="str">
        <f aca="false">IF(C2349&lt;&gt;"",DEC2HEX(C2349,2),"")</f>
        <v/>
      </c>
      <c r="I2349" s="1" t="str">
        <f aca="false">IF(D2349&lt;&gt;"",DEC2HEX(D2349,2),"")</f>
        <v/>
      </c>
      <c r="J2349" s="1" t="str">
        <f aca="false">IF(H2349&lt;&gt;"","0x"&amp;I2349&amp;H2349,"")</f>
        <v/>
      </c>
      <c r="L2349" s="1" t="s">
        <v>3515</v>
      </c>
      <c r="M2349" s="1" t="str">
        <f aca="false">IF(J2349&lt;&gt;"",J2349,L2349)</f>
        <v>31, 35, "MR. MIME"</v>
      </c>
    </row>
    <row r="2350" customFormat="false" ht="12.75" hidden="false" customHeight="true" outlineLevel="0" collapsed="false">
      <c r="A2350" s="3" t="s">
        <v>2809</v>
      </c>
      <c r="B2350" s="3" t="str">
        <f aca="false">IF(ISNUMBER(SEARCH("%", A2350)),RIGHT(A2350,3),A2350)</f>
        <v>0.04</v>
      </c>
      <c r="C2350" s="1" t="str">
        <f aca="false" t="array" ref="C2350:C2350">IF(B2349="NEW ROUTE",textsplit(B2350,","),"")</f>
        <v/>
      </c>
      <c r="H2350" s="1" t="str">
        <f aca="false">IF(C2350&lt;&gt;"",DEC2HEX(C2350,2),"")</f>
        <v/>
      </c>
      <c r="I2350" s="1" t="str">
        <f aca="false">IF(D2350&lt;&gt;"",DEC2HEX(D2350,2),"")</f>
        <v/>
      </c>
      <c r="J2350" s="1" t="str">
        <f aca="false">IF(H2350&lt;&gt;"","0x"&amp;I2350&amp;H2350,"")</f>
        <v/>
      </c>
      <c r="L2350" s="1" t="s">
        <v>2809</v>
      </c>
      <c r="M2350" s="1" t="str">
        <f aca="false">IF(J2350&lt;&gt;"",J2350,L2350)</f>
        <v>0.04</v>
      </c>
    </row>
    <row r="2351" customFormat="false" ht="12.75" hidden="false" customHeight="true" outlineLevel="0" collapsed="false">
      <c r="A2351" s="3" t="s">
        <v>3476</v>
      </c>
      <c r="B2351" s="3" t="str">
        <f aca="false">IF(ISNUMBER(SEARCH("%", A2351)),RIGHT(A2351,3),A2351)</f>
        <v>32, 32, DODRIO</v>
      </c>
      <c r="C2351" s="1" t="str">
        <f aca="false" t="array" ref="C2351:C2351">IF(B2350="NEW ROUTE",textsplit(B2351,","),"")</f>
        <v/>
      </c>
      <c r="H2351" s="1" t="str">
        <f aca="false">IF(C2351&lt;&gt;"",DEC2HEX(C2351,2),"")</f>
        <v/>
      </c>
      <c r="I2351" s="1" t="str">
        <f aca="false">IF(D2351&lt;&gt;"",DEC2HEX(D2351,2),"")</f>
        <v/>
      </c>
      <c r="J2351" s="1" t="str">
        <f aca="false">IF(H2351&lt;&gt;"","0x"&amp;I2351&amp;H2351,"")</f>
        <v/>
      </c>
      <c r="L2351" s="1" t="s">
        <v>3476</v>
      </c>
      <c r="M2351" s="1" t="str">
        <f aca="false">IF(J2351&lt;&gt;"",J2351,L2351)</f>
        <v>32, 32, DODRIO</v>
      </c>
    </row>
    <row r="2352" customFormat="false" ht="12.75" hidden="false" customHeight="true" outlineLevel="0" collapsed="false">
      <c r="A2352" s="3" t="s">
        <v>3516</v>
      </c>
      <c r="B2352" s="3" t="str">
        <f aca="false">IF(ISNUMBER(SEARCH("%", A2352)),RIGHT(A2352,3),A2352)</f>
        <v>32, 32, LICKILICKY</v>
      </c>
      <c r="C2352" s="1" t="str">
        <f aca="false" t="array" ref="C2352:C2352">IF(B2351="NEW ROUTE",textsplit(B2352,","),"")</f>
        <v/>
      </c>
      <c r="H2352" s="1" t="str">
        <f aca="false">IF(C2352&lt;&gt;"",DEC2HEX(C2352,2),"")</f>
        <v/>
      </c>
      <c r="I2352" s="1" t="str">
        <f aca="false">IF(D2352&lt;&gt;"",DEC2HEX(D2352,2),"")</f>
        <v/>
      </c>
      <c r="J2352" s="1" t="str">
        <f aca="false">IF(H2352&lt;&gt;"","0x"&amp;I2352&amp;H2352,"")</f>
        <v/>
      </c>
      <c r="L2352" s="1" t="s">
        <v>3516</v>
      </c>
      <c r="M2352" s="1" t="str">
        <f aca="false">IF(J2352&lt;&gt;"",J2352,L2352)</f>
        <v>32, 32, LICKILICKY</v>
      </c>
    </row>
    <row r="2353" customFormat="false" ht="12.75" hidden="false" customHeight="true" outlineLevel="0" collapsed="false">
      <c r="A2353" s="3" t="s">
        <v>2812</v>
      </c>
      <c r="B2353" s="3" t="str">
        <f aca="false">IF(ISNUMBER(SEARCH("%", A2353)),RIGHT(A2353,3),A2353)</f>
        <v>0.01</v>
      </c>
      <c r="C2353" s="1" t="str">
        <f aca="false" t="array" ref="C2353:C2353">IF(B2352="NEW ROUTE",textsplit(B2353,","),"")</f>
        <v/>
      </c>
      <c r="H2353" s="1" t="str">
        <f aca="false">IF(C2353&lt;&gt;"",DEC2HEX(C2353,2),"")</f>
        <v/>
      </c>
      <c r="I2353" s="1" t="str">
        <f aca="false">IF(D2353&lt;&gt;"",DEC2HEX(D2353,2),"")</f>
        <v/>
      </c>
      <c r="J2353" s="1" t="str">
        <f aca="false">IF(H2353&lt;&gt;"","0x"&amp;I2353&amp;H2353,"")</f>
        <v/>
      </c>
      <c r="L2353" s="1" t="s">
        <v>2812</v>
      </c>
      <c r="M2353" s="1" t="str">
        <f aca="false">IF(J2353&lt;&gt;"",J2353,L2353)</f>
        <v>0.01</v>
      </c>
    </row>
    <row r="2354" customFormat="false" ht="12.75" hidden="false" customHeight="true" outlineLevel="0" collapsed="false">
      <c r="A2354" s="3" t="s">
        <v>3517</v>
      </c>
      <c r="B2354" s="3" t="str">
        <f aca="false">IF(ISNUMBER(SEARCH("%", A2354)),RIGHT(A2354,3),A2354)</f>
        <v>30, 35, VILEPLUME</v>
      </c>
      <c r="C2354" s="1" t="str">
        <f aca="false" t="array" ref="C2354:C2354">IF(B2353="NEW ROUTE",textsplit(B2354,","),"")</f>
        <v/>
      </c>
      <c r="H2354" s="1" t="str">
        <f aca="false">IF(C2354&lt;&gt;"",DEC2HEX(C2354,2),"")</f>
        <v/>
      </c>
      <c r="I2354" s="1" t="str">
        <f aca="false">IF(D2354&lt;&gt;"",DEC2HEX(D2354,2),"")</f>
        <v/>
      </c>
      <c r="J2354" s="1" t="str">
        <f aca="false">IF(H2354&lt;&gt;"","0x"&amp;I2354&amp;H2354,"")</f>
        <v/>
      </c>
      <c r="L2354" s="1" t="s">
        <v>3517</v>
      </c>
      <c r="M2354" s="1" t="str">
        <f aca="false">IF(J2354&lt;&gt;"",J2354,L2354)</f>
        <v>30, 35, VILEPLUME</v>
      </c>
    </row>
    <row r="2355" customFormat="false" ht="12.75" hidden="false" customHeight="true" outlineLevel="0" collapsed="false">
      <c r="A2355" s="3" t="s">
        <v>3509</v>
      </c>
      <c r="B2355" s="3" t="str">
        <f aca="false">IF(ISNUMBER(SEARCH("%", A2355)),RIGHT(A2355,3),A2355)</f>
        <v>20, 25, BULBASAUR , &lt;null&gt;, &lt;null&gt;, &lt;null&gt;</v>
      </c>
      <c r="C2355" s="1" t="str">
        <f aca="false" t="array" ref="C2355:C2355">IF(B2354="NEW ROUTE",textsplit(B2355,","),"")</f>
        <v/>
      </c>
      <c r="H2355" s="1" t="str">
        <f aca="false">IF(C2355&lt;&gt;"",DEC2HEX(C2355,2),"")</f>
        <v/>
      </c>
      <c r="I2355" s="1" t="str">
        <f aca="false">IF(D2355&lt;&gt;"",DEC2HEX(D2355,2),"")</f>
        <v/>
      </c>
      <c r="J2355" s="1" t="str">
        <f aca="false">IF(H2355&lt;&gt;"","0x"&amp;I2355&amp;H2355,"")</f>
        <v/>
      </c>
      <c r="L2355" s="1" t="s">
        <v>3509</v>
      </c>
      <c r="M2355" s="1" t="str">
        <f aca="false">IF(J2355&lt;&gt;"",J2355,L2355)</f>
        <v>20, 25, BULBASAUR , &lt;null&gt;, &lt;null&gt;, &lt;null&gt;</v>
      </c>
    </row>
    <row r="2356" customFormat="false" ht="12.75" hidden="false" customHeight="true" outlineLevel="0" collapsed="false">
      <c r="A2356" s="3" t="s">
        <v>2536</v>
      </c>
      <c r="B2356" s="3" t="str">
        <f aca="false">IF(ISNUMBER(SEARCH("%", A2356)),RIGHT(A2356,3),A2356)</f>
        <v>NEW ROUTE</v>
      </c>
      <c r="C2356" s="1" t="str">
        <f aca="false" t="array" ref="C2356:C2356">IF(B2355="NEW ROUTE",textsplit(B2356,","),"")</f>
        <v/>
      </c>
      <c r="H2356" s="1" t="str">
        <f aca="false">IF(C2356&lt;&gt;"",DEC2HEX(C2356,2),"")</f>
        <v/>
      </c>
      <c r="I2356" s="1" t="str">
        <f aca="false">IF(D2356&lt;&gt;"",DEC2HEX(D2356,2),"")</f>
        <v/>
      </c>
      <c r="J2356" s="1" t="str">
        <f aca="false">IF(H2356&lt;&gt;"","0x"&amp;I2356&amp;H2356,"")</f>
        <v/>
      </c>
      <c r="L2356" s="1" t="s">
        <v>2536</v>
      </c>
      <c r="M2356" s="1" t="str">
        <f aca="false">IF(J2356&lt;&gt;"",J2356,L2356)</f>
        <v>NEW ROUTE</v>
      </c>
    </row>
    <row r="2357" customFormat="false" ht="12.75" hidden="false" customHeight="true" outlineLevel="0" collapsed="false">
      <c r="A2357" s="3" t="s">
        <v>3518</v>
      </c>
      <c r="B2357" s="3" t="str">
        <f aca="false">IF(ISNUMBER(SEARCH("%", A2357)),RIGHT(A2357,3),A2357)</f>
        <v>3, 36, 0,</v>
      </c>
      <c r="C2357" s="1" t="e">
        <f aca="false" t="array" ref="C2357:C2357">IF(B2356="NEW ROUTE",textsplit(B2357,","),"")</f>
        <v>#NAME?</v>
      </c>
      <c r="H2357" s="1" t="e">
        <f aca="false">IF(C2357&lt;&gt;"",DEC2HEX(C2357,2),"")</f>
        <v>#NAME?</v>
      </c>
      <c r="I2357" s="1" t="str">
        <f aca="false">IF(D2357&lt;&gt;"",DEC2HEX(D2357,2),"")</f>
        <v/>
      </c>
      <c r="J2357" s="1" t="e">
        <f aca="false">IF(H2357&lt;&gt;"","0x"&amp;I2357&amp;H2357,"")</f>
        <v>#NAME?</v>
      </c>
      <c r="L2357" s="1" t="s">
        <v>3518</v>
      </c>
      <c r="M2357" s="1" t="e">
        <f aca="false">IF(J2357&lt;&gt;"",J2357,L2357)</f>
        <v>#NAME?</v>
      </c>
    </row>
    <row r="2358" customFormat="false" ht="12.75" hidden="false" customHeight="true" outlineLevel="0" collapsed="false">
      <c r="A2358" s="3" t="s">
        <v>2908</v>
      </c>
      <c r="B2358" s="3" t="str">
        <f aca="false">IF(ISNUMBER(SEARCH("%", A2358)),RIGHT(A2358,3),A2358)</f>
        <v>20%</v>
      </c>
      <c r="C2358" s="1" t="str">
        <f aca="false" t="array" ref="C2358:C2358">IF(B2357="NEW ROUTE",textsplit(B2358,","),"")</f>
        <v/>
      </c>
      <c r="H2358" s="1" t="str">
        <f aca="false">IF(C2358&lt;&gt;"",DEC2HEX(C2358,2),"")</f>
        <v/>
      </c>
      <c r="I2358" s="1" t="str">
        <f aca="false">IF(D2358&lt;&gt;"",DEC2HEX(D2358,2),"")</f>
        <v/>
      </c>
      <c r="J2358" s="1" t="str">
        <f aca="false">IF(H2358&lt;&gt;"","0x"&amp;I2358&amp;H2358,"")</f>
        <v/>
      </c>
      <c r="L2358" s="1" t="s">
        <v>2799</v>
      </c>
      <c r="M2358" s="1" t="str">
        <f aca="false">IF(J2358&lt;&gt;"",J2358,L2358)</f>
        <v>20%</v>
      </c>
    </row>
    <row r="2359" customFormat="false" ht="12.75" hidden="false" customHeight="true" outlineLevel="0" collapsed="false">
      <c r="A2359" s="3" t="s">
        <v>1999</v>
      </c>
      <c r="B2359" s="3" t="str">
        <f aca="false">IF(ISNUMBER(SEARCH("%", A2359)),RIGHT(A2359,3),A2359)</f>
        <v>32, 36, ODDISH</v>
      </c>
      <c r="C2359" s="1" t="str">
        <f aca="false" t="array" ref="C2359:C2359">IF(B2358="NEW ROUTE",textsplit(B2359,","),"")</f>
        <v/>
      </c>
      <c r="H2359" s="1" t="str">
        <f aca="false">IF(C2359&lt;&gt;"",DEC2HEX(C2359,2),"")</f>
        <v/>
      </c>
      <c r="I2359" s="1" t="str">
        <f aca="false">IF(D2359&lt;&gt;"",DEC2HEX(D2359,2),"")</f>
        <v/>
      </c>
      <c r="J2359" s="1" t="str">
        <f aca="false">IF(H2359&lt;&gt;"","0x"&amp;I2359&amp;H2359,"")</f>
        <v/>
      </c>
      <c r="L2359" s="1" t="s">
        <v>1999</v>
      </c>
      <c r="M2359" s="1" t="str">
        <f aca="false">IF(J2359&lt;&gt;"",J2359,L2359)</f>
        <v>32, 36, ODDISH</v>
      </c>
    </row>
    <row r="2360" customFormat="false" ht="12.75" hidden="false" customHeight="true" outlineLevel="0" collapsed="false">
      <c r="A2360" s="3" t="s">
        <v>3480</v>
      </c>
      <c r="B2360" s="3" t="str">
        <f aca="false">IF(ISNUMBER(SEARCH("%", A2360)),RIGHT(A2360,3),A2360)</f>
        <v>32, 36, PIDGEOTTO</v>
      </c>
      <c r="C2360" s="1" t="str">
        <f aca="false" t="array" ref="C2360:C2360">IF(B2359="NEW ROUTE",textsplit(B2360,","),"")</f>
        <v/>
      </c>
      <c r="H2360" s="1" t="str">
        <f aca="false">IF(C2360&lt;&gt;"",DEC2HEX(C2360,2),"")</f>
        <v/>
      </c>
      <c r="I2360" s="1" t="str">
        <f aca="false">IF(D2360&lt;&gt;"",DEC2HEX(D2360,2),"")</f>
        <v/>
      </c>
      <c r="J2360" s="1" t="str">
        <f aca="false">IF(H2360&lt;&gt;"","0x"&amp;I2360&amp;H2360,"")</f>
        <v/>
      </c>
      <c r="L2360" s="1" t="s">
        <v>3480</v>
      </c>
      <c r="M2360" s="1" t="str">
        <f aca="false">IF(J2360&lt;&gt;"",J2360,L2360)</f>
        <v>32, 36, PIDGEOTTO</v>
      </c>
    </row>
    <row r="2361" customFormat="false" ht="12.75" hidden="false" customHeight="true" outlineLevel="0" collapsed="false">
      <c r="A2361" s="3" t="s">
        <v>2801</v>
      </c>
      <c r="B2361" s="3" t="str">
        <f aca="false">IF(ISNUMBER(SEARCH("%", A2361)),RIGHT(A2361,3),A2361)</f>
        <v>0.1</v>
      </c>
      <c r="C2361" s="1" t="str">
        <f aca="false" t="array" ref="C2361:C2361">IF(B2360="NEW ROUTE",textsplit(B2361,","),"")</f>
        <v/>
      </c>
      <c r="H2361" s="1" t="str">
        <f aca="false">IF(C2361&lt;&gt;"",DEC2HEX(C2361,2),"")</f>
        <v/>
      </c>
      <c r="I2361" s="1" t="str">
        <f aca="false">IF(D2361&lt;&gt;"",DEC2HEX(D2361,2),"")</f>
        <v/>
      </c>
      <c r="J2361" s="1" t="str">
        <f aca="false">IF(H2361&lt;&gt;"","0x"&amp;I2361&amp;H2361,"")</f>
        <v/>
      </c>
      <c r="L2361" s="1" t="s">
        <v>2801</v>
      </c>
      <c r="M2361" s="1" t="str">
        <f aca="false">IF(J2361&lt;&gt;"",J2361,L2361)</f>
        <v>0.1</v>
      </c>
    </row>
    <row r="2362" customFormat="false" ht="12.75" hidden="false" customHeight="true" outlineLevel="0" collapsed="false">
      <c r="A2362" s="3" t="s">
        <v>3519</v>
      </c>
      <c r="B2362" s="3" t="str">
        <f aca="false">IF(ISNUMBER(SEARCH("%", A2362)),RIGHT(A2362,3),A2362)</f>
        <v>31, 33, GLOOM</v>
      </c>
      <c r="C2362" s="1" t="str">
        <f aca="false" t="array" ref="C2362:C2362">IF(B2361="NEW ROUTE",textsplit(B2362,","),"")</f>
        <v/>
      </c>
      <c r="H2362" s="1" t="str">
        <f aca="false">IF(C2362&lt;&gt;"",DEC2HEX(C2362,2),"")</f>
        <v/>
      </c>
      <c r="I2362" s="1" t="str">
        <f aca="false">IF(D2362&lt;&gt;"",DEC2HEX(D2362,2),"")</f>
        <v/>
      </c>
      <c r="J2362" s="1" t="str">
        <f aca="false">IF(H2362&lt;&gt;"","0x"&amp;I2362&amp;H2362,"")</f>
        <v/>
      </c>
      <c r="L2362" s="1" t="s">
        <v>3519</v>
      </c>
      <c r="M2362" s="1" t="str">
        <f aca="false">IF(J2362&lt;&gt;"",J2362,L2362)</f>
        <v>31, 33, GLOOM</v>
      </c>
    </row>
    <row r="2363" customFormat="false" ht="12.75" hidden="false" customHeight="true" outlineLevel="0" collapsed="false">
      <c r="A2363" s="3" t="s">
        <v>3482</v>
      </c>
      <c r="B2363" s="3" t="str">
        <f aca="false">IF(ISNUMBER(SEARCH("%", A2363)),RIGHT(A2363,3),A2363)</f>
        <v>31, 33, DODUO</v>
      </c>
      <c r="C2363" s="1" t="str">
        <f aca="false" t="array" ref="C2363:C2363">IF(B2362="NEW ROUTE",textsplit(B2363,","),"")</f>
        <v/>
      </c>
      <c r="H2363" s="1" t="str">
        <f aca="false">IF(C2363&lt;&gt;"",DEC2HEX(C2363,2),"")</f>
        <v/>
      </c>
      <c r="I2363" s="1" t="str">
        <f aca="false">IF(D2363&lt;&gt;"",DEC2HEX(D2363,2),"")</f>
        <v/>
      </c>
      <c r="J2363" s="1" t="str">
        <f aca="false">IF(H2363&lt;&gt;"","0x"&amp;I2363&amp;H2363,"")</f>
        <v/>
      </c>
      <c r="L2363" s="1" t="s">
        <v>3482</v>
      </c>
      <c r="M2363" s="1" t="str">
        <f aca="false">IF(J2363&lt;&gt;"",J2363,L2363)</f>
        <v>31, 33, DODUO</v>
      </c>
    </row>
    <row r="2364" customFormat="false" ht="12.75" hidden="false" customHeight="true" outlineLevel="0" collapsed="false">
      <c r="A2364" s="3" t="s">
        <v>3483</v>
      </c>
      <c r="B2364" s="3" t="str">
        <f aca="false">IF(ISNUMBER(SEARCH("%", A2364)),RIGHT(A2364,3),A2364)</f>
        <v>33, 33, PIDGEOT</v>
      </c>
      <c r="C2364" s="1" t="str">
        <f aca="false" t="array" ref="C2364:C2364">IF(B2363="NEW ROUTE",textsplit(B2364,","),"")</f>
        <v/>
      </c>
      <c r="H2364" s="1" t="str">
        <f aca="false">IF(C2364&lt;&gt;"",DEC2HEX(C2364,2),"")</f>
        <v/>
      </c>
      <c r="I2364" s="1" t="str">
        <f aca="false">IF(D2364&lt;&gt;"",DEC2HEX(D2364,2),"")</f>
        <v/>
      </c>
      <c r="J2364" s="1" t="str">
        <f aca="false">IF(H2364&lt;&gt;"","0x"&amp;I2364&amp;H2364,"")</f>
        <v/>
      </c>
      <c r="L2364" s="1" t="s">
        <v>3483</v>
      </c>
      <c r="M2364" s="1" t="str">
        <f aca="false">IF(J2364&lt;&gt;"",J2364,L2364)</f>
        <v>33, 33, PIDGEOT</v>
      </c>
    </row>
    <row r="2365" customFormat="false" ht="12.75" hidden="false" customHeight="true" outlineLevel="0" collapsed="false">
      <c r="A2365" s="3" t="s">
        <v>3520</v>
      </c>
      <c r="B2365" s="3" t="str">
        <f aca="false">IF(ISNUMBER(SEARCH("%", A2365)),RIGHT(A2365,3),A2365)</f>
        <v>31, 33, LICKITUNG</v>
      </c>
      <c r="C2365" s="1" t="str">
        <f aca="false" t="array" ref="C2365:C2365">IF(B2364="NEW ROUTE",textsplit(B2365,","),"")</f>
        <v/>
      </c>
      <c r="H2365" s="1" t="str">
        <f aca="false">IF(C2365&lt;&gt;"",DEC2HEX(C2365,2),"")</f>
        <v/>
      </c>
      <c r="I2365" s="1" t="str">
        <f aca="false">IF(D2365&lt;&gt;"",DEC2HEX(D2365,2),"")</f>
        <v/>
      </c>
      <c r="J2365" s="1" t="str">
        <f aca="false">IF(H2365&lt;&gt;"","0x"&amp;I2365&amp;H2365,"")</f>
        <v/>
      </c>
      <c r="L2365" s="1" t="s">
        <v>3520</v>
      </c>
      <c r="M2365" s="1" t="str">
        <f aca="false">IF(J2365&lt;&gt;"",J2365,L2365)</f>
        <v>31, 33, LICKITUNG</v>
      </c>
    </row>
    <row r="2366" customFormat="false" ht="12.75" hidden="false" customHeight="true" outlineLevel="0" collapsed="false">
      <c r="A2366" s="3" t="s">
        <v>2806</v>
      </c>
      <c r="B2366" s="3" t="str">
        <f aca="false">IF(ISNUMBER(SEARCH("%", A2366)),RIGHT(A2366,3),A2366)</f>
        <v>0.05</v>
      </c>
      <c r="C2366" s="1" t="str">
        <f aca="false" t="array" ref="C2366:C2366">IF(B2365="NEW ROUTE",textsplit(B2366,","),"")</f>
        <v/>
      </c>
      <c r="H2366" s="1" t="str">
        <f aca="false">IF(C2366&lt;&gt;"",DEC2HEX(C2366,2),"")</f>
        <v/>
      </c>
      <c r="I2366" s="1" t="str">
        <f aca="false">IF(D2366&lt;&gt;"",DEC2HEX(D2366,2),"")</f>
        <v/>
      </c>
      <c r="J2366" s="1" t="str">
        <f aca="false">IF(H2366&lt;&gt;"","0x"&amp;I2366&amp;H2366,"")</f>
        <v/>
      </c>
      <c r="L2366" s="1" t="s">
        <v>2806</v>
      </c>
      <c r="M2366" s="1" t="str">
        <f aca="false">IF(J2366&lt;&gt;"",J2366,L2366)</f>
        <v>0.05</v>
      </c>
    </row>
    <row r="2367" customFormat="false" ht="12.75" hidden="false" customHeight="true" outlineLevel="0" collapsed="false">
      <c r="A2367" s="3" t="s">
        <v>3521</v>
      </c>
      <c r="B2367" s="3" t="str">
        <f aca="false">IF(ISNUMBER(SEARCH("%", A2367)),RIGHT(A2367,3),A2367)</f>
        <v>32, 36, TAUROS</v>
      </c>
      <c r="C2367" s="1" t="str">
        <f aca="false" t="array" ref="C2367:C2367">IF(B2366="NEW ROUTE",textsplit(B2367,","),"")</f>
        <v/>
      </c>
      <c r="H2367" s="1" t="str">
        <f aca="false">IF(C2367&lt;&gt;"",DEC2HEX(C2367,2),"")</f>
        <v/>
      </c>
      <c r="I2367" s="1" t="str">
        <f aca="false">IF(D2367&lt;&gt;"",DEC2HEX(D2367,2),"")</f>
        <v/>
      </c>
      <c r="J2367" s="1" t="str">
        <f aca="false">IF(H2367&lt;&gt;"","0x"&amp;I2367&amp;H2367,"")</f>
        <v/>
      </c>
      <c r="L2367" s="1" t="s">
        <v>3521</v>
      </c>
      <c r="M2367" s="1" t="str">
        <f aca="false">IF(J2367&lt;&gt;"",J2367,L2367)</f>
        <v>32, 36, TAUROS</v>
      </c>
    </row>
    <row r="2368" customFormat="false" ht="12.75" hidden="false" customHeight="true" outlineLevel="0" collapsed="false">
      <c r="A2368" s="3" t="s">
        <v>3522</v>
      </c>
      <c r="B2368" s="3" t="str">
        <f aca="false">IF(ISNUMBER(SEARCH("%", A2368)),RIGHT(A2368,3),A2368)</f>
        <v>32, 36, "MR. MIME"</v>
      </c>
      <c r="C2368" s="1" t="str">
        <f aca="false" t="array" ref="C2368:C2368">IF(B2367="NEW ROUTE",textsplit(B2368,","),"")</f>
        <v/>
      </c>
      <c r="H2368" s="1" t="str">
        <f aca="false">IF(C2368&lt;&gt;"",DEC2HEX(C2368,2),"")</f>
        <v/>
      </c>
      <c r="I2368" s="1" t="str">
        <f aca="false">IF(D2368&lt;&gt;"",DEC2HEX(D2368,2),"")</f>
        <v/>
      </c>
      <c r="J2368" s="1" t="str">
        <f aca="false">IF(H2368&lt;&gt;"","0x"&amp;I2368&amp;H2368,"")</f>
        <v/>
      </c>
      <c r="L2368" s="1" t="s">
        <v>3522</v>
      </c>
      <c r="M2368" s="1" t="str">
        <f aca="false">IF(J2368&lt;&gt;"",J2368,L2368)</f>
        <v>32, 36, "MR. MIME"</v>
      </c>
    </row>
    <row r="2369" customFormat="false" ht="12.75" hidden="false" customHeight="true" outlineLevel="0" collapsed="false">
      <c r="A2369" s="3" t="s">
        <v>2809</v>
      </c>
      <c r="B2369" s="3" t="str">
        <f aca="false">IF(ISNUMBER(SEARCH("%", A2369)),RIGHT(A2369,3),A2369)</f>
        <v>0.04</v>
      </c>
      <c r="C2369" s="1" t="str">
        <f aca="false" t="array" ref="C2369:C2369">IF(B2368="NEW ROUTE",textsplit(B2369,","),"")</f>
        <v/>
      </c>
      <c r="H2369" s="1" t="str">
        <f aca="false">IF(C2369&lt;&gt;"",DEC2HEX(C2369,2),"")</f>
        <v/>
      </c>
      <c r="I2369" s="1" t="str">
        <f aca="false">IF(D2369&lt;&gt;"",DEC2HEX(D2369,2),"")</f>
        <v/>
      </c>
      <c r="J2369" s="1" t="str">
        <f aca="false">IF(H2369&lt;&gt;"","0x"&amp;I2369&amp;H2369,"")</f>
        <v/>
      </c>
      <c r="L2369" s="1" t="s">
        <v>2809</v>
      </c>
      <c r="M2369" s="1" t="str">
        <f aca="false">IF(J2369&lt;&gt;"",J2369,L2369)</f>
        <v>0.04</v>
      </c>
    </row>
    <row r="2370" customFormat="false" ht="12.75" hidden="false" customHeight="true" outlineLevel="0" collapsed="false">
      <c r="A2370" s="3" t="s">
        <v>3523</v>
      </c>
      <c r="B2370" s="3" t="str">
        <f aca="false">IF(ISNUMBER(SEARCH("%", A2370)),RIGHT(A2370,3),A2370)</f>
        <v>34, 36, DODRIO</v>
      </c>
      <c r="C2370" s="1" t="str">
        <f aca="false" t="array" ref="C2370:C2370">IF(B2369="NEW ROUTE",textsplit(B2370,","),"")</f>
        <v/>
      </c>
      <c r="H2370" s="1" t="str">
        <f aca="false">IF(C2370&lt;&gt;"",DEC2HEX(C2370,2),"")</f>
        <v/>
      </c>
      <c r="I2370" s="1" t="str">
        <f aca="false">IF(D2370&lt;&gt;"",DEC2HEX(D2370,2),"")</f>
        <v/>
      </c>
      <c r="J2370" s="1" t="str">
        <f aca="false">IF(H2370&lt;&gt;"","0x"&amp;I2370&amp;H2370,"")</f>
        <v/>
      </c>
      <c r="L2370" s="1" t="s">
        <v>3523</v>
      </c>
      <c r="M2370" s="1" t="str">
        <f aca="false">IF(J2370&lt;&gt;"",J2370,L2370)</f>
        <v>34, 36, DODRIO</v>
      </c>
    </row>
    <row r="2371" customFormat="false" ht="12.75" hidden="false" customHeight="true" outlineLevel="0" collapsed="false">
      <c r="A2371" s="3" t="s">
        <v>3524</v>
      </c>
      <c r="B2371" s="3" t="str">
        <f aca="false">IF(ISNUMBER(SEARCH("%", A2371)),RIGHT(A2371,3),A2371)</f>
        <v>33, 33, LICKILICKY</v>
      </c>
      <c r="C2371" s="1" t="str">
        <f aca="false" t="array" ref="C2371:C2371">IF(B2370="NEW ROUTE",textsplit(B2371,","),"")</f>
        <v/>
      </c>
      <c r="H2371" s="1" t="str">
        <f aca="false">IF(C2371&lt;&gt;"",DEC2HEX(C2371,2),"")</f>
        <v/>
      </c>
      <c r="I2371" s="1" t="str">
        <f aca="false">IF(D2371&lt;&gt;"",DEC2HEX(D2371,2),"")</f>
        <v/>
      </c>
      <c r="J2371" s="1" t="str">
        <f aca="false">IF(H2371&lt;&gt;"","0x"&amp;I2371&amp;H2371,"")</f>
        <v/>
      </c>
      <c r="L2371" s="1" t="s">
        <v>3524</v>
      </c>
      <c r="M2371" s="1" t="str">
        <f aca="false">IF(J2371&lt;&gt;"",J2371,L2371)</f>
        <v>33, 33, LICKILICKY</v>
      </c>
    </row>
    <row r="2372" customFormat="false" ht="12.75" hidden="false" customHeight="true" outlineLevel="0" collapsed="false">
      <c r="A2372" s="3" t="s">
        <v>2812</v>
      </c>
      <c r="B2372" s="3" t="str">
        <f aca="false">IF(ISNUMBER(SEARCH("%", A2372)),RIGHT(A2372,3),A2372)</f>
        <v>0.01</v>
      </c>
      <c r="C2372" s="1" t="str">
        <f aca="false" t="array" ref="C2372:C2372">IF(B2371="NEW ROUTE",textsplit(B2372,","),"")</f>
        <v/>
      </c>
      <c r="H2372" s="1" t="str">
        <f aca="false">IF(C2372&lt;&gt;"",DEC2HEX(C2372,2),"")</f>
        <v/>
      </c>
      <c r="I2372" s="1" t="str">
        <f aca="false">IF(D2372&lt;&gt;"",DEC2HEX(D2372,2),"")</f>
        <v/>
      </c>
      <c r="J2372" s="1" t="str">
        <f aca="false">IF(H2372&lt;&gt;"","0x"&amp;I2372&amp;H2372,"")</f>
        <v/>
      </c>
      <c r="L2372" s="1" t="s">
        <v>2812</v>
      </c>
      <c r="M2372" s="1" t="str">
        <f aca="false">IF(J2372&lt;&gt;"",J2372,L2372)</f>
        <v>0.01</v>
      </c>
    </row>
    <row r="2373" customFormat="false" ht="12.75" hidden="false" customHeight="true" outlineLevel="0" collapsed="false">
      <c r="A2373" s="3" t="s">
        <v>3525</v>
      </c>
      <c r="B2373" s="3" t="str">
        <f aca="false">IF(ISNUMBER(SEARCH("%", A2373)),RIGHT(A2373,3),A2373)</f>
        <v>31, 36, VILEPLUME</v>
      </c>
      <c r="C2373" s="1" t="str">
        <f aca="false" t="array" ref="C2373:C2373">IF(B2372="NEW ROUTE",textsplit(B2373,","),"")</f>
        <v/>
      </c>
      <c r="H2373" s="1" t="str">
        <f aca="false">IF(C2373&lt;&gt;"",DEC2HEX(C2373,2),"")</f>
        <v/>
      </c>
      <c r="I2373" s="1" t="str">
        <f aca="false">IF(D2373&lt;&gt;"",DEC2HEX(D2373,2),"")</f>
        <v/>
      </c>
      <c r="J2373" s="1" t="str">
        <f aca="false">IF(H2373&lt;&gt;"","0x"&amp;I2373&amp;H2373,"")</f>
        <v/>
      </c>
      <c r="L2373" s="1" t="s">
        <v>3525</v>
      </c>
      <c r="M2373" s="1" t="str">
        <f aca="false">IF(J2373&lt;&gt;"",J2373,L2373)</f>
        <v>31, 36, VILEPLUME</v>
      </c>
    </row>
    <row r="2374" customFormat="false" ht="12.75" hidden="false" customHeight="true" outlineLevel="0" collapsed="false">
      <c r="A2374" s="3" t="s">
        <v>3509</v>
      </c>
      <c r="B2374" s="3" t="str">
        <f aca="false">IF(ISNUMBER(SEARCH("%", A2374)),RIGHT(A2374,3),A2374)</f>
        <v>20, 25, BULBASAUR , &lt;null&gt;, &lt;null&gt;, &lt;null&gt;</v>
      </c>
      <c r="C2374" s="1" t="str">
        <f aca="false" t="array" ref="C2374:C2374">IF(B2373="NEW ROUTE",textsplit(B2374,","),"")</f>
        <v/>
      </c>
      <c r="H2374" s="1" t="str">
        <f aca="false">IF(C2374&lt;&gt;"",DEC2HEX(C2374,2),"")</f>
        <v/>
      </c>
      <c r="I2374" s="1" t="str">
        <f aca="false">IF(D2374&lt;&gt;"",DEC2HEX(D2374,2),"")</f>
        <v/>
      </c>
      <c r="J2374" s="1" t="str">
        <f aca="false">IF(H2374&lt;&gt;"","0x"&amp;I2374&amp;H2374,"")</f>
        <v/>
      </c>
      <c r="L2374" s="1" t="s">
        <v>3509</v>
      </c>
      <c r="M2374" s="1" t="str">
        <f aca="false">IF(J2374&lt;&gt;"",J2374,L2374)</f>
        <v>20, 25, BULBASAUR , &lt;null&gt;, &lt;null&gt;, &lt;null&gt;</v>
      </c>
    </row>
    <row r="2375" customFormat="false" ht="12.75" hidden="false" customHeight="true" outlineLevel="0" collapsed="false">
      <c r="A2375" s="3" t="s">
        <v>2536</v>
      </c>
      <c r="B2375" s="3" t="str">
        <f aca="false">IF(ISNUMBER(SEARCH("%", A2375)),RIGHT(A2375,3),A2375)</f>
        <v>NEW ROUTE</v>
      </c>
      <c r="C2375" s="1" t="str">
        <f aca="false" t="array" ref="C2375:C2375">IF(B2374="NEW ROUTE",textsplit(B2375,","),"")</f>
        <v/>
      </c>
      <c r="H2375" s="1" t="str">
        <f aca="false">IF(C2375&lt;&gt;"",DEC2HEX(C2375,2),"")</f>
        <v/>
      </c>
      <c r="I2375" s="1" t="str">
        <f aca="false">IF(D2375&lt;&gt;"",DEC2HEX(D2375,2),"")</f>
        <v/>
      </c>
      <c r="J2375" s="1" t="str">
        <f aca="false">IF(H2375&lt;&gt;"","0x"&amp;I2375&amp;H2375,"")</f>
        <v/>
      </c>
      <c r="L2375" s="1" t="s">
        <v>2536</v>
      </c>
      <c r="M2375" s="1" t="str">
        <f aca="false">IF(J2375&lt;&gt;"",J2375,L2375)</f>
        <v>NEW ROUTE</v>
      </c>
    </row>
    <row r="2376" customFormat="false" ht="12.75" hidden="false" customHeight="true" outlineLevel="0" collapsed="false">
      <c r="A2376" s="3" t="s">
        <v>3526</v>
      </c>
      <c r="B2376" s="3" t="str">
        <f aca="false">IF(ISNUMBER(SEARCH("%", A2376)),RIGHT(A2376,3),A2376)</f>
        <v>3, 37, 0, &lt;null&gt;,</v>
      </c>
      <c r="C2376" s="1" t="e">
        <f aca="false" t="array" ref="C2376:C2376">IF(B2375="NEW ROUTE",textsplit(B2376,","),"")</f>
        <v>#NAME?</v>
      </c>
      <c r="H2376" s="1" t="e">
        <f aca="false">IF(C2376&lt;&gt;"",DEC2HEX(C2376,2),"")</f>
        <v>#NAME?</v>
      </c>
      <c r="I2376" s="1" t="str">
        <f aca="false">IF(D2376&lt;&gt;"",DEC2HEX(D2376,2),"")</f>
        <v/>
      </c>
      <c r="J2376" s="1" t="e">
        <f aca="false">IF(H2376&lt;&gt;"","0x"&amp;I2376&amp;H2376,"")</f>
        <v>#NAME?</v>
      </c>
      <c r="L2376" s="1" t="s">
        <v>3526</v>
      </c>
      <c r="M2376" s="1" t="e">
        <f aca="false">IF(J2376&lt;&gt;"",J2376,L2376)</f>
        <v>#NAME?</v>
      </c>
    </row>
    <row r="2377" customFormat="false" ht="12.75" hidden="false" customHeight="true" outlineLevel="0" collapsed="false">
      <c r="A2377" s="3" t="s">
        <v>3349</v>
      </c>
      <c r="B2377" s="3" t="str">
        <f aca="false">IF(ISNUMBER(SEARCH("%", A2377)),RIGHT(A2377,3),A2377)</f>
        <v>2, 38, 42, TENTACOOL</v>
      </c>
      <c r="C2377" s="1" t="str">
        <f aca="false" t="array" ref="C2377:C2377">IF(B2376="NEW ROUTE",textsplit(B2377,","),"")</f>
        <v/>
      </c>
      <c r="H2377" s="1" t="str">
        <f aca="false">IF(C2377&lt;&gt;"",DEC2HEX(C2377,2),"")</f>
        <v/>
      </c>
      <c r="I2377" s="1" t="str">
        <f aca="false">IF(D2377&lt;&gt;"",DEC2HEX(D2377,2),"")</f>
        <v/>
      </c>
      <c r="J2377" s="1" t="str">
        <f aca="false">IF(H2377&lt;&gt;"","0x"&amp;I2377&amp;H2377,"")</f>
        <v/>
      </c>
      <c r="L2377" s="1" t="s">
        <v>3349</v>
      </c>
      <c r="M2377" s="1" t="str">
        <f aca="false">IF(J2377&lt;&gt;"",J2377,L2377)</f>
        <v>2, 38, 42, TENTACOOL</v>
      </c>
    </row>
    <row r="2378" customFormat="false" ht="12.75" hidden="false" customHeight="true" outlineLevel="0" collapsed="false">
      <c r="A2378" s="3" t="s">
        <v>3428</v>
      </c>
      <c r="B2378" s="3" t="str">
        <f aca="false">IF(ISNUMBER(SEARCH("%", A2378)),RIGHT(A2378,3),A2378)</f>
        <v>40, 44, TENTACRUEL</v>
      </c>
      <c r="C2378" s="1" t="str">
        <f aca="false" t="array" ref="C2378:C2378">IF(B2377="NEW ROUTE",textsplit(B2378,","),"")</f>
        <v/>
      </c>
      <c r="H2378" s="1" t="str">
        <f aca="false">IF(C2378&lt;&gt;"",DEC2HEX(C2378,2),"")</f>
        <v/>
      </c>
      <c r="I2378" s="1" t="str">
        <f aca="false">IF(D2378&lt;&gt;"",DEC2HEX(D2378,2),"")</f>
        <v/>
      </c>
      <c r="J2378" s="1" t="str">
        <f aca="false">IF(H2378&lt;&gt;"","0x"&amp;I2378&amp;H2378,"")</f>
        <v/>
      </c>
      <c r="L2378" s="1" t="s">
        <v>3428</v>
      </c>
      <c r="M2378" s="1" t="str">
        <f aca="false">IF(J2378&lt;&gt;"",J2378,L2378)</f>
        <v>40, 44, TENTACRUEL</v>
      </c>
    </row>
    <row r="2379" customFormat="false" ht="12.75" hidden="false" customHeight="true" outlineLevel="0" collapsed="false">
      <c r="A2379" s="3" t="s">
        <v>3429</v>
      </c>
      <c r="B2379" s="3" t="str">
        <f aca="false">IF(ISNUMBER(SEARCH("%", A2379)),RIGHT(A2379,3),A2379)</f>
        <v>42, 46, TENTACATE</v>
      </c>
      <c r="C2379" s="1" t="str">
        <f aca="false" t="array" ref="C2379:C2379">IF(B2378="NEW ROUTE",textsplit(B2379,","),"")</f>
        <v/>
      </c>
      <c r="H2379" s="1" t="str">
        <f aca="false">IF(C2379&lt;&gt;"",DEC2HEX(C2379,2),"")</f>
        <v/>
      </c>
      <c r="I2379" s="1" t="str">
        <f aca="false">IF(D2379&lt;&gt;"",DEC2HEX(D2379,2),"")</f>
        <v/>
      </c>
      <c r="J2379" s="1" t="str">
        <f aca="false">IF(H2379&lt;&gt;"","0x"&amp;I2379&amp;H2379,"")</f>
        <v/>
      </c>
      <c r="L2379" s="1" t="s">
        <v>3429</v>
      </c>
      <c r="M2379" s="1" t="str">
        <f aca="false">IF(J2379&lt;&gt;"",J2379,L2379)</f>
        <v>42, 46, TENTACATE</v>
      </c>
    </row>
    <row r="2380" customFormat="false" ht="12.75" hidden="false" customHeight="true" outlineLevel="0" collapsed="false">
      <c r="A2380" s="3" t="s">
        <v>3024</v>
      </c>
      <c r="B2380" s="3" t="str">
        <f aca="false">IF(ISNUMBER(SEARCH("%", A2380)),RIGHT(A2380,3),A2380)</f>
        <v>42, 46, LAPRAS</v>
      </c>
      <c r="C2380" s="1" t="str">
        <f aca="false" t="array" ref="C2380:C2380">IF(B2379="NEW ROUTE",textsplit(B2380,","),"")</f>
        <v/>
      </c>
      <c r="H2380" s="1" t="str">
        <f aca="false">IF(C2380&lt;&gt;"",DEC2HEX(C2380,2),"")</f>
        <v/>
      </c>
      <c r="I2380" s="1" t="str">
        <f aca="false">IF(D2380&lt;&gt;"",DEC2HEX(D2380,2),"")</f>
        <v/>
      </c>
      <c r="J2380" s="1" t="str">
        <f aca="false">IF(H2380&lt;&gt;"","0x"&amp;I2380&amp;H2380,"")</f>
        <v/>
      </c>
      <c r="L2380" s="1" t="s">
        <v>3024</v>
      </c>
      <c r="M2380" s="1" t="str">
        <f aca="false">IF(J2380&lt;&gt;"",J2380,L2380)</f>
        <v>42, 46, LAPRAS</v>
      </c>
    </row>
    <row r="2381" customFormat="false" ht="12.75" hidden="false" customHeight="true" outlineLevel="0" collapsed="false">
      <c r="A2381" s="3" t="s">
        <v>3449</v>
      </c>
      <c r="B2381" s="3" t="str">
        <f aca="false">IF(ISNUMBER(SEARCH("%", A2381)),RIGHT(A2381,3),A2381)</f>
        <v>44, 48, LOCHLASS</v>
      </c>
      <c r="C2381" s="1" t="str">
        <f aca="false" t="array" ref="C2381:C2381">IF(B2380="NEW ROUTE",textsplit(B2381,","),"")</f>
        <v/>
      </c>
      <c r="H2381" s="1" t="str">
        <f aca="false">IF(C2381&lt;&gt;"",DEC2HEX(C2381,2),"")</f>
        <v/>
      </c>
      <c r="I2381" s="1" t="str">
        <f aca="false">IF(D2381&lt;&gt;"",DEC2HEX(D2381,2),"")</f>
        <v/>
      </c>
      <c r="J2381" s="1" t="str">
        <f aca="false">IF(H2381&lt;&gt;"","0x"&amp;I2381&amp;H2381,"")</f>
        <v/>
      </c>
      <c r="L2381" s="1" t="s">
        <v>3449</v>
      </c>
      <c r="M2381" s="1" t="str">
        <f aca="false">IF(J2381&lt;&gt;"",J2381,L2381)</f>
        <v>44, 48, LOCHLASS</v>
      </c>
    </row>
    <row r="2382" customFormat="false" ht="12.75" hidden="false" customHeight="true" outlineLevel="0" collapsed="false">
      <c r="A2382" s="3" t="s">
        <v>2925</v>
      </c>
      <c r="B2382" s="3" t="str">
        <f aca="false">IF(ISNUMBER(SEARCH("%", A2382)),RIGHT(A2382,3),A2382)</f>
        <v>20, old rod:</v>
      </c>
      <c r="C2382" s="1" t="str">
        <f aca="false" t="array" ref="C2382:C2382">IF(B2381="NEW ROUTE",textsplit(B2382,","),"")</f>
        <v/>
      </c>
      <c r="H2382" s="1" t="str">
        <f aca="false">IF(C2382&lt;&gt;"",DEC2HEX(C2382,2),"")</f>
        <v/>
      </c>
      <c r="I2382" s="1" t="str">
        <f aca="false">IF(D2382&lt;&gt;"",DEC2HEX(D2382,2),"")</f>
        <v/>
      </c>
      <c r="J2382" s="1" t="str">
        <f aca="false">IF(H2382&lt;&gt;"","0x"&amp;I2382&amp;H2382,"")</f>
        <v/>
      </c>
      <c r="L2382" s="1" t="s">
        <v>2925</v>
      </c>
      <c r="M2382" s="1" t="str">
        <f aca="false">IF(J2382&lt;&gt;"",J2382,L2382)</f>
        <v>20, old rod:</v>
      </c>
    </row>
    <row r="2383" customFormat="false" ht="12.75" hidden="false" customHeight="true" outlineLevel="0" collapsed="false">
      <c r="A2383" s="3" t="s">
        <v>2008</v>
      </c>
      <c r="B2383" s="3" t="str">
        <f aca="false">IF(ISNUMBER(SEARCH("%", A2383)),RIGHT(A2383,3),A2383)</f>
        <v>19, 26, PSYDUCK</v>
      </c>
      <c r="C2383" s="1" t="str">
        <f aca="false" t="array" ref="C2383:C2383">IF(B2382="NEW ROUTE",textsplit(B2383,","),"")</f>
        <v/>
      </c>
      <c r="H2383" s="1" t="str">
        <f aca="false">IF(C2383&lt;&gt;"",DEC2HEX(C2383,2),"")</f>
        <v/>
      </c>
      <c r="I2383" s="1" t="str">
        <f aca="false">IF(D2383&lt;&gt;"",DEC2HEX(D2383,2),"")</f>
        <v/>
      </c>
      <c r="J2383" s="1" t="str">
        <f aca="false">IF(H2383&lt;&gt;"","0x"&amp;I2383&amp;H2383,"")</f>
        <v/>
      </c>
      <c r="L2383" s="1" t="s">
        <v>2008</v>
      </c>
      <c r="M2383" s="1" t="str">
        <f aca="false">IF(J2383&lt;&gt;"",J2383,L2383)</f>
        <v>19, 26, PSYDUCK</v>
      </c>
    </row>
    <row r="2384" customFormat="false" ht="12.75" hidden="false" customHeight="true" outlineLevel="0" collapsed="false">
      <c r="A2384" s="3" t="s">
        <v>1451</v>
      </c>
      <c r="B2384" s="3" t="str">
        <f aca="false">IF(ISNUMBER(SEARCH("%", A2384)),RIGHT(A2384,3),A2384)</f>
        <v>19, 26, HORSEA</v>
      </c>
      <c r="C2384" s="1" t="str">
        <f aca="false" t="array" ref="C2384:C2384">IF(B2383="NEW ROUTE",textsplit(B2384,","),"")</f>
        <v/>
      </c>
      <c r="H2384" s="1" t="str">
        <f aca="false">IF(C2384&lt;&gt;"",DEC2HEX(C2384,2),"")</f>
        <v/>
      </c>
      <c r="I2384" s="1" t="str">
        <f aca="false">IF(D2384&lt;&gt;"",DEC2HEX(D2384,2),"")</f>
        <v/>
      </c>
      <c r="J2384" s="1" t="str">
        <f aca="false">IF(H2384&lt;&gt;"","0x"&amp;I2384&amp;H2384,"")</f>
        <v/>
      </c>
      <c r="L2384" s="1" t="s">
        <v>1451</v>
      </c>
      <c r="M2384" s="1" t="str">
        <f aca="false">IF(J2384&lt;&gt;"",J2384,L2384)</f>
        <v>19, 26, HORSEA</v>
      </c>
    </row>
    <row r="2385" customFormat="false" ht="12.75" hidden="false" customHeight="true" outlineLevel="0" collapsed="false">
      <c r="A2385" s="3" t="s">
        <v>2846</v>
      </c>
      <c r="B2385" s="3" t="str">
        <f aca="false">IF(ISNUMBER(SEARCH("%", A2385)),RIGHT(A2385,3),A2385)</f>
        <v>good rod:</v>
      </c>
      <c r="C2385" s="1" t="str">
        <f aca="false" t="array" ref="C2385:C2385">IF(B2384="NEW ROUTE",textsplit(B2385,","),"")</f>
        <v/>
      </c>
      <c r="H2385" s="1" t="str">
        <f aca="false">IF(C2385&lt;&gt;"",DEC2HEX(C2385,2),"")</f>
        <v/>
      </c>
      <c r="I2385" s="1" t="str">
        <f aca="false">IF(D2385&lt;&gt;"",DEC2HEX(D2385,2),"")</f>
        <v/>
      </c>
      <c r="J2385" s="1" t="str">
        <f aca="false">IF(H2385&lt;&gt;"","0x"&amp;I2385&amp;H2385,"")</f>
        <v/>
      </c>
      <c r="L2385" s="1" t="s">
        <v>2846</v>
      </c>
      <c r="M2385" s="1" t="str">
        <f aca="false">IF(J2385&lt;&gt;"",J2385,L2385)</f>
        <v>good rod:</v>
      </c>
    </row>
    <row r="2386" customFormat="false" ht="12.75" hidden="false" customHeight="true" outlineLevel="0" collapsed="false">
      <c r="A2386" s="3" t="s">
        <v>3026</v>
      </c>
      <c r="B2386" s="3" t="str">
        <f aca="false">IF(ISNUMBER(SEARCH("%", A2386)),RIGHT(A2386,3),A2386)</f>
        <v>29, 33, SEADRA</v>
      </c>
      <c r="C2386" s="1" t="str">
        <f aca="false" t="array" ref="C2386:C2386">IF(B2385="NEW ROUTE",textsplit(B2386,","),"")</f>
        <v/>
      </c>
      <c r="H2386" s="1" t="str">
        <f aca="false">IF(C2386&lt;&gt;"",DEC2HEX(C2386,2),"")</f>
        <v/>
      </c>
      <c r="I2386" s="1" t="str">
        <f aca="false">IF(D2386&lt;&gt;"",DEC2HEX(D2386,2),"")</f>
        <v/>
      </c>
      <c r="J2386" s="1" t="str">
        <f aca="false">IF(H2386&lt;&gt;"","0x"&amp;I2386&amp;H2386,"")</f>
        <v/>
      </c>
      <c r="L2386" s="1" t="s">
        <v>3026</v>
      </c>
      <c r="M2386" s="1" t="str">
        <f aca="false">IF(J2386&lt;&gt;"",J2386,L2386)</f>
        <v>29, 33, SEADRA</v>
      </c>
    </row>
    <row r="2387" customFormat="false" ht="12.75" hidden="false" customHeight="true" outlineLevel="0" collapsed="false">
      <c r="A2387" s="3" t="s">
        <v>3027</v>
      </c>
      <c r="B2387" s="3" t="str">
        <f aca="false">IF(ISNUMBER(SEARCH("%", A2387)),RIGHT(A2387,3),A2387)</f>
        <v>30, 35, KRABBY</v>
      </c>
      <c r="C2387" s="1" t="str">
        <f aca="false" t="array" ref="C2387:C2387">IF(B2386="NEW ROUTE",textsplit(B2387,","),"")</f>
        <v/>
      </c>
      <c r="H2387" s="1" t="str">
        <f aca="false">IF(C2387&lt;&gt;"",DEC2HEX(C2387,2),"")</f>
        <v/>
      </c>
      <c r="I2387" s="1" t="str">
        <f aca="false">IF(D2387&lt;&gt;"",DEC2HEX(D2387,2),"")</f>
        <v/>
      </c>
      <c r="J2387" s="1" t="str">
        <f aca="false">IF(H2387&lt;&gt;"","0x"&amp;I2387&amp;H2387,"")</f>
        <v/>
      </c>
      <c r="L2387" s="1" t="s">
        <v>3027</v>
      </c>
      <c r="M2387" s="1" t="str">
        <f aca="false">IF(J2387&lt;&gt;"",J2387,L2387)</f>
        <v>30, 35, KRABBY</v>
      </c>
    </row>
    <row r="2388" customFormat="false" ht="12.75" hidden="false" customHeight="true" outlineLevel="0" collapsed="false">
      <c r="A2388" s="3" t="s">
        <v>3028</v>
      </c>
      <c r="B2388" s="3" t="str">
        <f aca="false">IF(ISNUMBER(SEARCH("%", A2388)),RIGHT(A2388,3),A2388)</f>
        <v>30, 35, GOLDUCK</v>
      </c>
      <c r="C2388" s="1" t="str">
        <f aca="false" t="array" ref="C2388:C2388">IF(B2387="NEW ROUTE",textsplit(B2388,","),"")</f>
        <v/>
      </c>
      <c r="H2388" s="1" t="str">
        <f aca="false">IF(C2388&lt;&gt;"",DEC2HEX(C2388,2),"")</f>
        <v/>
      </c>
      <c r="I2388" s="1" t="str">
        <f aca="false">IF(D2388&lt;&gt;"",DEC2HEX(D2388,2),"")</f>
        <v/>
      </c>
      <c r="J2388" s="1" t="str">
        <f aca="false">IF(H2388&lt;&gt;"","0x"&amp;I2388&amp;H2388,"")</f>
        <v/>
      </c>
      <c r="L2388" s="1" t="s">
        <v>3028</v>
      </c>
      <c r="M2388" s="1" t="str">
        <f aca="false">IF(J2388&lt;&gt;"",J2388,L2388)</f>
        <v>30, 35, GOLDUCK</v>
      </c>
    </row>
    <row r="2389" customFormat="false" ht="12.75" hidden="false" customHeight="true" outlineLevel="0" collapsed="false">
      <c r="A2389" s="3" t="s">
        <v>2850</v>
      </c>
      <c r="B2389" s="3" t="str">
        <f aca="false">IF(ISNUMBER(SEARCH("%", A2389)),RIGHT(A2389,3),A2389)</f>
        <v>super rod:</v>
      </c>
      <c r="C2389" s="1" t="str">
        <f aca="false" t="array" ref="C2389:C2389">IF(B2388="NEW ROUTE",textsplit(B2389,","),"")</f>
        <v/>
      </c>
      <c r="H2389" s="1" t="str">
        <f aca="false">IF(C2389&lt;&gt;"",DEC2HEX(C2389,2),"")</f>
        <v/>
      </c>
      <c r="I2389" s="1" t="str">
        <f aca="false">IF(D2389&lt;&gt;"",DEC2HEX(D2389,2),"")</f>
        <v/>
      </c>
      <c r="J2389" s="1" t="str">
        <f aca="false">IF(H2389&lt;&gt;"","0x"&amp;I2389&amp;H2389,"")</f>
        <v/>
      </c>
      <c r="L2389" s="1" t="s">
        <v>2850</v>
      </c>
      <c r="M2389" s="1" t="str">
        <f aca="false">IF(J2389&lt;&gt;"",J2389,L2389)</f>
        <v>super rod:</v>
      </c>
    </row>
    <row r="2390" customFormat="false" ht="12.75" hidden="false" customHeight="true" outlineLevel="0" collapsed="false">
      <c r="A2390" s="3" t="s">
        <v>3029</v>
      </c>
      <c r="B2390" s="3" t="str">
        <f aca="false">IF(ISNUMBER(SEARCH("%", A2390)),RIGHT(A2390,3),A2390)</f>
        <v>36, 40, KINGDRA</v>
      </c>
      <c r="C2390" s="1" t="str">
        <f aca="false" t="array" ref="C2390:C2390">IF(B2389="NEW ROUTE",textsplit(B2390,","),"")</f>
        <v/>
      </c>
      <c r="H2390" s="1" t="str">
        <f aca="false">IF(C2390&lt;&gt;"",DEC2HEX(C2390,2),"")</f>
        <v/>
      </c>
      <c r="I2390" s="1" t="str">
        <f aca="false">IF(D2390&lt;&gt;"",DEC2HEX(D2390,2),"")</f>
        <v/>
      </c>
      <c r="J2390" s="1" t="str">
        <f aca="false">IF(H2390&lt;&gt;"","0x"&amp;I2390&amp;H2390,"")</f>
        <v/>
      </c>
      <c r="L2390" s="1" t="s">
        <v>3029</v>
      </c>
      <c r="M2390" s="1" t="str">
        <f aca="false">IF(J2390&lt;&gt;"",J2390,L2390)</f>
        <v>36, 40, KINGDRA</v>
      </c>
    </row>
    <row r="2391" customFormat="false" ht="12.75" hidden="false" customHeight="true" outlineLevel="0" collapsed="false">
      <c r="A2391" s="3" t="s">
        <v>3527</v>
      </c>
      <c r="B2391" s="3" t="str">
        <f aca="false">IF(ISNUMBER(SEARCH("%", A2391)),RIGHT(A2391,3),A2391)</f>
        <v>36, 40, KINGLER</v>
      </c>
      <c r="C2391" s="1" t="str">
        <f aca="false" t="array" ref="C2391:C2391">IF(B2390="NEW ROUTE",textsplit(B2391,","),"")</f>
        <v/>
      </c>
      <c r="H2391" s="1" t="str">
        <f aca="false">IF(C2391&lt;&gt;"",DEC2HEX(C2391,2),"")</f>
        <v/>
      </c>
      <c r="I2391" s="1" t="str">
        <f aca="false">IF(D2391&lt;&gt;"",DEC2HEX(D2391,2),"")</f>
        <v/>
      </c>
      <c r="J2391" s="1" t="str">
        <f aca="false">IF(H2391&lt;&gt;"","0x"&amp;I2391&amp;H2391,"")</f>
        <v/>
      </c>
      <c r="L2391" s="1" t="s">
        <v>3527</v>
      </c>
      <c r="M2391" s="1" t="str">
        <f aca="false">IF(J2391&lt;&gt;"",J2391,L2391)</f>
        <v>36, 40, KINGLER</v>
      </c>
    </row>
    <row r="2392" customFormat="false" ht="12.75" hidden="false" customHeight="true" outlineLevel="0" collapsed="false">
      <c r="A2392" s="3" t="s">
        <v>3031</v>
      </c>
      <c r="B2392" s="3" t="str">
        <f aca="false">IF(ISNUMBER(SEARCH("%", A2392)),RIGHT(A2392,3),A2392)</f>
        <v>38, 42, GILDUCK</v>
      </c>
      <c r="C2392" s="1" t="str">
        <f aca="false" t="array" ref="C2392:C2392">IF(B2391="NEW ROUTE",textsplit(B2392,","),"")</f>
        <v/>
      </c>
      <c r="H2392" s="1" t="str">
        <f aca="false">IF(C2392&lt;&gt;"",DEC2HEX(C2392,2),"")</f>
        <v/>
      </c>
      <c r="I2392" s="1" t="str">
        <f aca="false">IF(D2392&lt;&gt;"",DEC2HEX(D2392,2),"")</f>
        <v/>
      </c>
      <c r="J2392" s="1" t="str">
        <f aca="false">IF(H2392&lt;&gt;"","0x"&amp;I2392&amp;H2392,"")</f>
        <v/>
      </c>
      <c r="L2392" s="1" t="s">
        <v>3031</v>
      </c>
      <c r="M2392" s="1" t="str">
        <f aca="false">IF(J2392&lt;&gt;"",J2392,L2392)</f>
        <v>38, 42, GILDUCK</v>
      </c>
    </row>
    <row r="2393" customFormat="false" ht="12.75" hidden="false" customHeight="true" outlineLevel="0" collapsed="false">
      <c r="A2393" s="3" t="s">
        <v>3032</v>
      </c>
      <c r="B2393" s="3" t="str">
        <f aca="false">IF(ISNUMBER(SEARCH("%", A2393)),RIGHT(A2393,3),A2393)</f>
        <v>38, 42, KRAKLAW</v>
      </c>
      <c r="C2393" s="1" t="str">
        <f aca="false" t="array" ref="C2393:C2393">IF(B2392="NEW ROUTE",textsplit(B2393,","),"")</f>
        <v/>
      </c>
      <c r="H2393" s="1" t="str">
        <f aca="false">IF(C2393&lt;&gt;"",DEC2HEX(C2393,2),"")</f>
        <v/>
      </c>
      <c r="I2393" s="1" t="str">
        <f aca="false">IF(D2393&lt;&gt;"",DEC2HEX(D2393,2),"")</f>
        <v/>
      </c>
      <c r="J2393" s="1" t="str">
        <f aca="false">IF(H2393&lt;&gt;"","0x"&amp;I2393&amp;H2393,"")</f>
        <v/>
      </c>
      <c r="L2393" s="1" t="s">
        <v>3032</v>
      </c>
      <c r="M2393" s="1" t="str">
        <f aca="false">IF(J2393&lt;&gt;"",J2393,L2393)</f>
        <v>38, 42, KRAKLAW</v>
      </c>
    </row>
    <row r="2394" customFormat="false" ht="12.75" hidden="false" customHeight="true" outlineLevel="0" collapsed="false">
      <c r="A2394" s="3" t="s">
        <v>3033</v>
      </c>
      <c r="B2394" s="3" t="str">
        <f aca="false">IF(ISNUMBER(SEARCH("%", A2394)),RIGHT(A2394,3),A2394)</f>
        <v>40, 44, LORDRA</v>
      </c>
      <c r="C2394" s="1" t="str">
        <f aca="false" t="array" ref="C2394:C2394">IF(B2393="NEW ROUTE",textsplit(B2394,","),"")</f>
        <v/>
      </c>
      <c r="H2394" s="1" t="str">
        <f aca="false">IF(C2394&lt;&gt;"",DEC2HEX(C2394,2),"")</f>
        <v/>
      </c>
      <c r="I2394" s="1" t="str">
        <f aca="false">IF(D2394&lt;&gt;"",DEC2HEX(D2394,2),"")</f>
        <v/>
      </c>
      <c r="J2394" s="1" t="str">
        <f aca="false">IF(H2394&lt;&gt;"","0x"&amp;I2394&amp;H2394,"")</f>
        <v/>
      </c>
      <c r="L2394" s="1" t="s">
        <v>3033</v>
      </c>
      <c r="M2394" s="1" t="str">
        <f aca="false">IF(J2394&lt;&gt;"",J2394,L2394)</f>
        <v>40, 44, LORDRA</v>
      </c>
    </row>
    <row r="2395" customFormat="false" ht="12.75" hidden="false" customHeight="true" outlineLevel="0" collapsed="false">
      <c r="A2395" s="3" t="s">
        <v>2536</v>
      </c>
      <c r="B2395" s="3" t="str">
        <f aca="false">IF(ISNUMBER(SEARCH("%", A2395)),RIGHT(A2395,3),A2395)</f>
        <v>NEW ROUTE</v>
      </c>
      <c r="C2395" s="1" t="str">
        <f aca="false" t="array" ref="C2395:C2395">IF(B2394="NEW ROUTE",textsplit(B2395,","),"")</f>
        <v/>
      </c>
      <c r="H2395" s="1" t="str">
        <f aca="false">IF(C2395&lt;&gt;"",DEC2HEX(C2395,2),"")</f>
        <v/>
      </c>
      <c r="I2395" s="1" t="str">
        <f aca="false">IF(D2395&lt;&gt;"",DEC2HEX(D2395,2),"")</f>
        <v/>
      </c>
      <c r="J2395" s="1" t="str">
        <f aca="false">IF(H2395&lt;&gt;"","0x"&amp;I2395&amp;H2395,"")</f>
        <v/>
      </c>
      <c r="L2395" s="1" t="s">
        <v>2536</v>
      </c>
      <c r="M2395" s="1" t="str">
        <f aca="false">IF(J2395&lt;&gt;"",J2395,L2395)</f>
        <v>NEW ROUTE</v>
      </c>
    </row>
    <row r="2396" customFormat="false" ht="12.75" hidden="false" customHeight="true" outlineLevel="0" collapsed="false">
      <c r="A2396" s="3" t="s">
        <v>3528</v>
      </c>
      <c r="B2396" s="3" t="str">
        <f aca="false">IF(ISNUMBER(SEARCH("%", A2396)),RIGHT(A2396,3),A2396)</f>
        <v>3, 38, 0, &lt;null&gt;,</v>
      </c>
      <c r="C2396" s="1" t="e">
        <f aca="false" t="array" ref="C2396:C2396">IF(B2395="NEW ROUTE",textsplit(B2396,","),"")</f>
        <v>#NAME?</v>
      </c>
      <c r="H2396" s="1" t="e">
        <f aca="false">IF(C2396&lt;&gt;"",DEC2HEX(C2396,2),"")</f>
        <v>#NAME?</v>
      </c>
      <c r="I2396" s="1" t="str">
        <f aca="false">IF(D2396&lt;&gt;"",DEC2HEX(D2396,2),"")</f>
        <v/>
      </c>
      <c r="J2396" s="1" t="e">
        <f aca="false">IF(H2396&lt;&gt;"","0x"&amp;I2396&amp;H2396,"")</f>
        <v>#NAME?</v>
      </c>
      <c r="L2396" s="1" t="s">
        <v>3528</v>
      </c>
      <c r="M2396" s="1" t="e">
        <f aca="false">IF(J2396&lt;&gt;"",J2396,L2396)</f>
        <v>#NAME?</v>
      </c>
    </row>
    <row r="2397" customFormat="false" ht="12.75" hidden="false" customHeight="true" outlineLevel="0" collapsed="false">
      <c r="A2397" s="3" t="s">
        <v>3349</v>
      </c>
      <c r="B2397" s="3" t="str">
        <f aca="false">IF(ISNUMBER(SEARCH("%", A2397)),RIGHT(A2397,3),A2397)</f>
        <v>2, 38, 42, TENTACOOL</v>
      </c>
      <c r="C2397" s="1" t="str">
        <f aca="false" t="array" ref="C2397:C2397">IF(B2396="NEW ROUTE",textsplit(B2397,","),"")</f>
        <v/>
      </c>
      <c r="H2397" s="1" t="str">
        <f aca="false">IF(C2397&lt;&gt;"",DEC2HEX(C2397,2),"")</f>
        <v/>
      </c>
      <c r="I2397" s="1" t="str">
        <f aca="false">IF(D2397&lt;&gt;"",DEC2HEX(D2397,2),"")</f>
        <v/>
      </c>
      <c r="J2397" s="1" t="str">
        <f aca="false">IF(H2397&lt;&gt;"","0x"&amp;I2397&amp;H2397,"")</f>
        <v/>
      </c>
      <c r="L2397" s="1" t="s">
        <v>3349</v>
      </c>
      <c r="M2397" s="1" t="str">
        <f aca="false">IF(J2397&lt;&gt;"",J2397,L2397)</f>
        <v>2, 38, 42, TENTACOOL</v>
      </c>
    </row>
    <row r="2398" customFormat="false" ht="12.75" hidden="false" customHeight="true" outlineLevel="0" collapsed="false">
      <c r="A2398" s="3" t="s">
        <v>3428</v>
      </c>
      <c r="B2398" s="3" t="str">
        <f aca="false">IF(ISNUMBER(SEARCH("%", A2398)),RIGHT(A2398,3),A2398)</f>
        <v>40, 44, TENTACRUEL</v>
      </c>
      <c r="C2398" s="1" t="str">
        <f aca="false" t="array" ref="C2398:C2398">IF(B2397="NEW ROUTE",textsplit(B2398,","),"")</f>
        <v/>
      </c>
      <c r="H2398" s="1" t="str">
        <f aca="false">IF(C2398&lt;&gt;"",DEC2HEX(C2398,2),"")</f>
        <v/>
      </c>
      <c r="I2398" s="1" t="str">
        <f aca="false">IF(D2398&lt;&gt;"",DEC2HEX(D2398,2),"")</f>
        <v/>
      </c>
      <c r="J2398" s="1" t="str">
        <f aca="false">IF(H2398&lt;&gt;"","0x"&amp;I2398&amp;H2398,"")</f>
        <v/>
      </c>
      <c r="L2398" s="1" t="s">
        <v>3428</v>
      </c>
      <c r="M2398" s="1" t="str">
        <f aca="false">IF(J2398&lt;&gt;"",J2398,L2398)</f>
        <v>40, 44, TENTACRUEL</v>
      </c>
    </row>
    <row r="2399" customFormat="false" ht="12.75" hidden="false" customHeight="true" outlineLevel="0" collapsed="false">
      <c r="A2399" s="3" t="s">
        <v>3429</v>
      </c>
      <c r="B2399" s="3" t="str">
        <f aca="false">IF(ISNUMBER(SEARCH("%", A2399)),RIGHT(A2399,3),A2399)</f>
        <v>42, 46, TENTACATE</v>
      </c>
      <c r="C2399" s="1" t="str">
        <f aca="false" t="array" ref="C2399:C2399">IF(B2398="NEW ROUTE",textsplit(B2399,","),"")</f>
        <v/>
      </c>
      <c r="H2399" s="1" t="str">
        <f aca="false">IF(C2399&lt;&gt;"",DEC2HEX(C2399,2),"")</f>
        <v/>
      </c>
      <c r="I2399" s="1" t="str">
        <f aca="false">IF(D2399&lt;&gt;"",DEC2HEX(D2399,2),"")</f>
        <v/>
      </c>
      <c r="J2399" s="1" t="str">
        <f aca="false">IF(H2399&lt;&gt;"","0x"&amp;I2399&amp;H2399,"")</f>
        <v/>
      </c>
      <c r="L2399" s="1" t="s">
        <v>3429</v>
      </c>
      <c r="M2399" s="1" t="str">
        <f aca="false">IF(J2399&lt;&gt;"",J2399,L2399)</f>
        <v>42, 46, TENTACATE</v>
      </c>
    </row>
    <row r="2400" customFormat="false" ht="12.75" hidden="false" customHeight="true" outlineLevel="0" collapsed="false">
      <c r="A2400" s="3" t="s">
        <v>3024</v>
      </c>
      <c r="B2400" s="3" t="str">
        <f aca="false">IF(ISNUMBER(SEARCH("%", A2400)),RIGHT(A2400,3),A2400)</f>
        <v>42, 46, LAPRAS</v>
      </c>
      <c r="C2400" s="1" t="str">
        <f aca="false" t="array" ref="C2400:C2400">IF(B2399="NEW ROUTE",textsplit(B2400,","),"")</f>
        <v/>
      </c>
      <c r="H2400" s="1" t="str">
        <f aca="false">IF(C2400&lt;&gt;"",DEC2HEX(C2400,2),"")</f>
        <v/>
      </c>
      <c r="I2400" s="1" t="str">
        <f aca="false">IF(D2400&lt;&gt;"",DEC2HEX(D2400,2),"")</f>
        <v/>
      </c>
      <c r="J2400" s="1" t="str">
        <f aca="false">IF(H2400&lt;&gt;"","0x"&amp;I2400&amp;H2400,"")</f>
        <v/>
      </c>
      <c r="L2400" s="1" t="s">
        <v>3024</v>
      </c>
      <c r="M2400" s="1" t="str">
        <f aca="false">IF(J2400&lt;&gt;"",J2400,L2400)</f>
        <v>42, 46, LAPRAS</v>
      </c>
    </row>
    <row r="2401" customFormat="false" ht="12.75" hidden="false" customHeight="true" outlineLevel="0" collapsed="false">
      <c r="A2401" s="3" t="s">
        <v>3449</v>
      </c>
      <c r="B2401" s="3" t="str">
        <f aca="false">IF(ISNUMBER(SEARCH("%", A2401)),RIGHT(A2401,3),A2401)</f>
        <v>44, 48, LOCHLASS</v>
      </c>
      <c r="C2401" s="1" t="str">
        <f aca="false" t="array" ref="C2401:C2401">IF(B2400="NEW ROUTE",textsplit(B2401,","),"")</f>
        <v/>
      </c>
      <c r="H2401" s="1" t="str">
        <f aca="false">IF(C2401&lt;&gt;"",DEC2HEX(C2401,2),"")</f>
        <v/>
      </c>
      <c r="I2401" s="1" t="str">
        <f aca="false">IF(D2401&lt;&gt;"",DEC2HEX(D2401,2),"")</f>
        <v/>
      </c>
      <c r="J2401" s="1" t="str">
        <f aca="false">IF(H2401&lt;&gt;"","0x"&amp;I2401&amp;H2401,"")</f>
        <v/>
      </c>
      <c r="L2401" s="1" t="s">
        <v>3449</v>
      </c>
      <c r="M2401" s="1" t="str">
        <f aca="false">IF(J2401&lt;&gt;"",J2401,L2401)</f>
        <v>44, 48, LOCHLASS</v>
      </c>
    </row>
    <row r="2402" customFormat="false" ht="12.75" hidden="false" customHeight="true" outlineLevel="0" collapsed="false">
      <c r="A2402" s="3" t="s">
        <v>2925</v>
      </c>
      <c r="B2402" s="3" t="str">
        <f aca="false">IF(ISNUMBER(SEARCH("%", A2402)),RIGHT(A2402,3),A2402)</f>
        <v>20, old rod:</v>
      </c>
      <c r="C2402" s="1" t="str">
        <f aca="false" t="array" ref="C2402:C2402">IF(B2401="NEW ROUTE",textsplit(B2402,","),"")</f>
        <v/>
      </c>
      <c r="H2402" s="1" t="str">
        <f aca="false">IF(C2402&lt;&gt;"",DEC2HEX(C2402,2),"")</f>
        <v/>
      </c>
      <c r="I2402" s="1" t="str">
        <f aca="false">IF(D2402&lt;&gt;"",DEC2HEX(D2402,2),"")</f>
        <v/>
      </c>
      <c r="J2402" s="1" t="str">
        <f aca="false">IF(H2402&lt;&gt;"","0x"&amp;I2402&amp;H2402,"")</f>
        <v/>
      </c>
      <c r="L2402" s="1" t="s">
        <v>2925</v>
      </c>
      <c r="M2402" s="1" t="str">
        <f aca="false">IF(J2402&lt;&gt;"",J2402,L2402)</f>
        <v>20, old rod:</v>
      </c>
    </row>
    <row r="2403" customFormat="false" ht="12.75" hidden="false" customHeight="true" outlineLevel="0" collapsed="false">
      <c r="A2403" s="3" t="s">
        <v>2008</v>
      </c>
      <c r="B2403" s="3" t="str">
        <f aca="false">IF(ISNUMBER(SEARCH("%", A2403)),RIGHT(A2403,3),A2403)</f>
        <v>19, 26, PSYDUCK</v>
      </c>
      <c r="C2403" s="1" t="str">
        <f aca="false" t="array" ref="C2403:C2403">IF(B2402="NEW ROUTE",textsplit(B2403,","),"")</f>
        <v/>
      </c>
      <c r="H2403" s="1" t="str">
        <f aca="false">IF(C2403&lt;&gt;"",DEC2HEX(C2403,2),"")</f>
        <v/>
      </c>
      <c r="I2403" s="1" t="str">
        <f aca="false">IF(D2403&lt;&gt;"",DEC2HEX(D2403,2),"")</f>
        <v/>
      </c>
      <c r="J2403" s="1" t="str">
        <f aca="false">IF(H2403&lt;&gt;"","0x"&amp;I2403&amp;H2403,"")</f>
        <v/>
      </c>
      <c r="L2403" s="1" t="s">
        <v>2008</v>
      </c>
      <c r="M2403" s="1" t="str">
        <f aca="false">IF(J2403&lt;&gt;"",J2403,L2403)</f>
        <v>19, 26, PSYDUCK</v>
      </c>
    </row>
    <row r="2404" customFormat="false" ht="12.75" hidden="false" customHeight="true" outlineLevel="0" collapsed="false">
      <c r="A2404" s="3" t="s">
        <v>1451</v>
      </c>
      <c r="B2404" s="3" t="str">
        <f aca="false">IF(ISNUMBER(SEARCH("%", A2404)),RIGHT(A2404,3),A2404)</f>
        <v>19, 26, HORSEA</v>
      </c>
      <c r="C2404" s="1" t="str">
        <f aca="false" t="array" ref="C2404:C2404">IF(B2403="NEW ROUTE",textsplit(B2404,","),"")</f>
        <v/>
      </c>
      <c r="H2404" s="1" t="str">
        <f aca="false">IF(C2404&lt;&gt;"",DEC2HEX(C2404,2),"")</f>
        <v/>
      </c>
      <c r="I2404" s="1" t="str">
        <f aca="false">IF(D2404&lt;&gt;"",DEC2HEX(D2404,2),"")</f>
        <v/>
      </c>
      <c r="J2404" s="1" t="str">
        <f aca="false">IF(H2404&lt;&gt;"","0x"&amp;I2404&amp;H2404,"")</f>
        <v/>
      </c>
      <c r="L2404" s="1" t="s">
        <v>1451</v>
      </c>
      <c r="M2404" s="1" t="str">
        <f aca="false">IF(J2404&lt;&gt;"",J2404,L2404)</f>
        <v>19, 26, HORSEA</v>
      </c>
    </row>
    <row r="2405" customFormat="false" ht="12.75" hidden="false" customHeight="true" outlineLevel="0" collapsed="false">
      <c r="A2405" s="3" t="s">
        <v>2846</v>
      </c>
      <c r="B2405" s="3" t="str">
        <f aca="false">IF(ISNUMBER(SEARCH("%", A2405)),RIGHT(A2405,3),A2405)</f>
        <v>good rod:</v>
      </c>
      <c r="C2405" s="1" t="str">
        <f aca="false" t="array" ref="C2405:C2405">IF(B2404="NEW ROUTE",textsplit(B2405,","),"")</f>
        <v/>
      </c>
      <c r="H2405" s="1" t="str">
        <f aca="false">IF(C2405&lt;&gt;"",DEC2HEX(C2405,2),"")</f>
        <v/>
      </c>
      <c r="I2405" s="1" t="str">
        <f aca="false">IF(D2405&lt;&gt;"",DEC2HEX(D2405,2),"")</f>
        <v/>
      </c>
      <c r="J2405" s="1" t="str">
        <f aca="false">IF(H2405&lt;&gt;"","0x"&amp;I2405&amp;H2405,"")</f>
        <v/>
      </c>
      <c r="L2405" s="1" t="s">
        <v>2846</v>
      </c>
      <c r="M2405" s="1" t="str">
        <f aca="false">IF(J2405&lt;&gt;"",J2405,L2405)</f>
        <v>good rod:</v>
      </c>
    </row>
    <row r="2406" customFormat="false" ht="12.75" hidden="false" customHeight="true" outlineLevel="0" collapsed="false">
      <c r="A2406" s="3" t="s">
        <v>3026</v>
      </c>
      <c r="B2406" s="3" t="str">
        <f aca="false">IF(ISNUMBER(SEARCH("%", A2406)),RIGHT(A2406,3),A2406)</f>
        <v>29, 33, SEADRA</v>
      </c>
      <c r="C2406" s="1" t="str">
        <f aca="false" t="array" ref="C2406:C2406">IF(B2405="NEW ROUTE",textsplit(B2406,","),"")</f>
        <v/>
      </c>
      <c r="H2406" s="1" t="str">
        <f aca="false">IF(C2406&lt;&gt;"",DEC2HEX(C2406,2),"")</f>
        <v/>
      </c>
      <c r="I2406" s="1" t="str">
        <f aca="false">IF(D2406&lt;&gt;"",DEC2HEX(D2406,2),"")</f>
        <v/>
      </c>
      <c r="J2406" s="1" t="str">
        <f aca="false">IF(H2406&lt;&gt;"","0x"&amp;I2406&amp;H2406,"")</f>
        <v/>
      </c>
      <c r="L2406" s="1" t="s">
        <v>3026</v>
      </c>
      <c r="M2406" s="1" t="str">
        <f aca="false">IF(J2406&lt;&gt;"",J2406,L2406)</f>
        <v>29, 33, SEADRA</v>
      </c>
    </row>
    <row r="2407" customFormat="false" ht="12.75" hidden="false" customHeight="true" outlineLevel="0" collapsed="false">
      <c r="A2407" s="3" t="s">
        <v>3027</v>
      </c>
      <c r="B2407" s="3" t="str">
        <f aca="false">IF(ISNUMBER(SEARCH("%", A2407)),RIGHT(A2407,3),A2407)</f>
        <v>30, 35, KRABBY</v>
      </c>
      <c r="C2407" s="1" t="str">
        <f aca="false" t="array" ref="C2407:C2407">IF(B2406="NEW ROUTE",textsplit(B2407,","),"")</f>
        <v/>
      </c>
      <c r="H2407" s="1" t="str">
        <f aca="false">IF(C2407&lt;&gt;"",DEC2HEX(C2407,2),"")</f>
        <v/>
      </c>
      <c r="I2407" s="1" t="str">
        <f aca="false">IF(D2407&lt;&gt;"",DEC2HEX(D2407,2),"")</f>
        <v/>
      </c>
      <c r="J2407" s="1" t="str">
        <f aca="false">IF(H2407&lt;&gt;"","0x"&amp;I2407&amp;H2407,"")</f>
        <v/>
      </c>
      <c r="L2407" s="1" t="s">
        <v>3027</v>
      </c>
      <c r="M2407" s="1" t="str">
        <f aca="false">IF(J2407&lt;&gt;"",J2407,L2407)</f>
        <v>30, 35, KRABBY</v>
      </c>
    </row>
    <row r="2408" customFormat="false" ht="12.75" hidden="false" customHeight="true" outlineLevel="0" collapsed="false">
      <c r="A2408" s="3" t="s">
        <v>3028</v>
      </c>
      <c r="B2408" s="3" t="str">
        <f aca="false">IF(ISNUMBER(SEARCH("%", A2408)),RIGHT(A2408,3),A2408)</f>
        <v>30, 35, GOLDUCK</v>
      </c>
      <c r="C2408" s="1" t="str">
        <f aca="false" t="array" ref="C2408:C2408">IF(B2407="NEW ROUTE",textsplit(B2408,","),"")</f>
        <v/>
      </c>
      <c r="H2408" s="1" t="str">
        <f aca="false">IF(C2408&lt;&gt;"",DEC2HEX(C2408,2),"")</f>
        <v/>
      </c>
      <c r="I2408" s="1" t="str">
        <f aca="false">IF(D2408&lt;&gt;"",DEC2HEX(D2408,2),"")</f>
        <v/>
      </c>
      <c r="J2408" s="1" t="str">
        <f aca="false">IF(H2408&lt;&gt;"","0x"&amp;I2408&amp;H2408,"")</f>
        <v/>
      </c>
      <c r="L2408" s="1" t="s">
        <v>3028</v>
      </c>
      <c r="M2408" s="1" t="str">
        <f aca="false">IF(J2408&lt;&gt;"",J2408,L2408)</f>
        <v>30, 35, GOLDUCK</v>
      </c>
    </row>
    <row r="2409" customFormat="false" ht="12.75" hidden="false" customHeight="true" outlineLevel="0" collapsed="false">
      <c r="A2409" s="3" t="s">
        <v>2850</v>
      </c>
      <c r="B2409" s="3" t="str">
        <f aca="false">IF(ISNUMBER(SEARCH("%", A2409)),RIGHT(A2409,3),A2409)</f>
        <v>super rod:</v>
      </c>
      <c r="C2409" s="1" t="str">
        <f aca="false" t="array" ref="C2409:C2409">IF(B2408="NEW ROUTE",textsplit(B2409,","),"")</f>
        <v/>
      </c>
      <c r="H2409" s="1" t="str">
        <f aca="false">IF(C2409&lt;&gt;"",DEC2HEX(C2409,2),"")</f>
        <v/>
      </c>
      <c r="I2409" s="1" t="str">
        <f aca="false">IF(D2409&lt;&gt;"",DEC2HEX(D2409,2),"")</f>
        <v/>
      </c>
      <c r="J2409" s="1" t="str">
        <f aca="false">IF(H2409&lt;&gt;"","0x"&amp;I2409&amp;H2409,"")</f>
        <v/>
      </c>
      <c r="L2409" s="1" t="s">
        <v>2850</v>
      </c>
      <c r="M2409" s="1" t="str">
        <f aca="false">IF(J2409&lt;&gt;"",J2409,L2409)</f>
        <v>super rod:</v>
      </c>
    </row>
    <row r="2410" customFormat="false" ht="12.75" hidden="false" customHeight="true" outlineLevel="0" collapsed="false">
      <c r="A2410" s="3" t="s">
        <v>3029</v>
      </c>
      <c r="B2410" s="3" t="str">
        <f aca="false">IF(ISNUMBER(SEARCH("%", A2410)),RIGHT(A2410,3),A2410)</f>
        <v>36, 40, KINGDRA</v>
      </c>
      <c r="C2410" s="1" t="str">
        <f aca="false" t="array" ref="C2410:C2410">IF(B2409="NEW ROUTE",textsplit(B2410,","),"")</f>
        <v/>
      </c>
      <c r="H2410" s="1" t="str">
        <f aca="false">IF(C2410&lt;&gt;"",DEC2HEX(C2410,2),"")</f>
        <v/>
      </c>
      <c r="I2410" s="1" t="str">
        <f aca="false">IF(D2410&lt;&gt;"",DEC2HEX(D2410,2),"")</f>
        <v/>
      </c>
      <c r="J2410" s="1" t="str">
        <f aca="false">IF(H2410&lt;&gt;"","0x"&amp;I2410&amp;H2410,"")</f>
        <v/>
      </c>
      <c r="L2410" s="1" t="s">
        <v>3029</v>
      </c>
      <c r="M2410" s="1" t="str">
        <f aca="false">IF(J2410&lt;&gt;"",J2410,L2410)</f>
        <v>36, 40, KINGDRA</v>
      </c>
    </row>
    <row r="2411" customFormat="false" ht="12.75" hidden="false" customHeight="true" outlineLevel="0" collapsed="false">
      <c r="A2411" s="3" t="s">
        <v>3527</v>
      </c>
      <c r="B2411" s="3" t="str">
        <f aca="false">IF(ISNUMBER(SEARCH("%", A2411)),RIGHT(A2411,3),A2411)</f>
        <v>36, 40, KINGLER</v>
      </c>
      <c r="C2411" s="1" t="str">
        <f aca="false" t="array" ref="C2411:C2411">IF(B2410="NEW ROUTE",textsplit(B2411,","),"")</f>
        <v/>
      </c>
      <c r="H2411" s="1" t="str">
        <f aca="false">IF(C2411&lt;&gt;"",DEC2HEX(C2411,2),"")</f>
        <v/>
      </c>
      <c r="I2411" s="1" t="str">
        <f aca="false">IF(D2411&lt;&gt;"",DEC2HEX(D2411,2),"")</f>
        <v/>
      </c>
      <c r="J2411" s="1" t="str">
        <f aca="false">IF(H2411&lt;&gt;"","0x"&amp;I2411&amp;H2411,"")</f>
        <v/>
      </c>
      <c r="L2411" s="1" t="s">
        <v>3527</v>
      </c>
      <c r="M2411" s="1" t="str">
        <f aca="false">IF(J2411&lt;&gt;"",J2411,L2411)</f>
        <v>36, 40, KINGLER</v>
      </c>
    </row>
    <row r="2412" customFormat="false" ht="12.75" hidden="false" customHeight="true" outlineLevel="0" collapsed="false">
      <c r="A2412" s="3" t="s">
        <v>3031</v>
      </c>
      <c r="B2412" s="3" t="str">
        <f aca="false">IF(ISNUMBER(SEARCH("%", A2412)),RIGHT(A2412,3),A2412)</f>
        <v>38, 42, GILDUCK</v>
      </c>
      <c r="C2412" s="1" t="str">
        <f aca="false" t="array" ref="C2412:C2412">IF(B2411="NEW ROUTE",textsplit(B2412,","),"")</f>
        <v/>
      </c>
      <c r="H2412" s="1" t="str">
        <f aca="false">IF(C2412&lt;&gt;"",DEC2HEX(C2412,2),"")</f>
        <v/>
      </c>
      <c r="I2412" s="1" t="str">
        <f aca="false">IF(D2412&lt;&gt;"",DEC2HEX(D2412,2),"")</f>
        <v/>
      </c>
      <c r="J2412" s="1" t="str">
        <f aca="false">IF(H2412&lt;&gt;"","0x"&amp;I2412&amp;H2412,"")</f>
        <v/>
      </c>
      <c r="L2412" s="1" t="s">
        <v>3031</v>
      </c>
      <c r="M2412" s="1" t="str">
        <f aca="false">IF(J2412&lt;&gt;"",J2412,L2412)</f>
        <v>38, 42, GILDUCK</v>
      </c>
    </row>
    <row r="2413" customFormat="false" ht="12.75" hidden="false" customHeight="true" outlineLevel="0" collapsed="false">
      <c r="A2413" s="3" t="s">
        <v>3032</v>
      </c>
      <c r="B2413" s="3" t="str">
        <f aca="false">IF(ISNUMBER(SEARCH("%", A2413)),RIGHT(A2413,3),A2413)</f>
        <v>38, 42, KRAKLAW</v>
      </c>
      <c r="C2413" s="1" t="str">
        <f aca="false" t="array" ref="C2413:C2413">IF(B2412="NEW ROUTE",textsplit(B2413,","),"")</f>
        <v/>
      </c>
      <c r="H2413" s="1" t="str">
        <f aca="false">IF(C2413&lt;&gt;"",DEC2HEX(C2413,2),"")</f>
        <v/>
      </c>
      <c r="I2413" s="1" t="str">
        <f aca="false">IF(D2413&lt;&gt;"",DEC2HEX(D2413,2),"")</f>
        <v/>
      </c>
      <c r="J2413" s="1" t="str">
        <f aca="false">IF(H2413&lt;&gt;"","0x"&amp;I2413&amp;H2413,"")</f>
        <v/>
      </c>
      <c r="L2413" s="1" t="s">
        <v>3032</v>
      </c>
      <c r="M2413" s="1" t="str">
        <f aca="false">IF(J2413&lt;&gt;"",J2413,L2413)</f>
        <v>38, 42, KRAKLAW</v>
      </c>
    </row>
    <row r="2414" customFormat="false" ht="12.75" hidden="false" customHeight="true" outlineLevel="0" collapsed="false">
      <c r="A2414" s="3" t="s">
        <v>3033</v>
      </c>
      <c r="B2414" s="3" t="str">
        <f aca="false">IF(ISNUMBER(SEARCH("%", A2414)),RIGHT(A2414,3),A2414)</f>
        <v>40, 44, LORDRA</v>
      </c>
      <c r="C2414" s="1" t="str">
        <f aca="false" t="array" ref="C2414:C2414">IF(B2413="NEW ROUTE",textsplit(B2414,","),"")</f>
        <v/>
      </c>
      <c r="H2414" s="1" t="str">
        <f aca="false">IF(C2414&lt;&gt;"",DEC2HEX(C2414,2),"")</f>
        <v/>
      </c>
      <c r="I2414" s="1" t="str">
        <f aca="false">IF(D2414&lt;&gt;"",DEC2HEX(D2414,2),"")</f>
        <v/>
      </c>
      <c r="J2414" s="1" t="str">
        <f aca="false">IF(H2414&lt;&gt;"","0x"&amp;I2414&amp;H2414,"")</f>
        <v/>
      </c>
      <c r="L2414" s="1" t="s">
        <v>3033</v>
      </c>
      <c r="M2414" s="1" t="str">
        <f aca="false">IF(J2414&lt;&gt;"",J2414,L2414)</f>
        <v>40, 44, LORDRA</v>
      </c>
    </row>
    <row r="2415" customFormat="false" ht="12.75" hidden="false" customHeight="true" outlineLevel="0" collapsed="false">
      <c r="A2415" s="3" t="s">
        <v>2536</v>
      </c>
      <c r="B2415" s="3" t="str">
        <f aca="false">IF(ISNUMBER(SEARCH("%", A2415)),RIGHT(A2415,3),A2415)</f>
        <v>NEW ROUTE</v>
      </c>
      <c r="C2415" s="1" t="str">
        <f aca="false" t="array" ref="C2415:C2415">IF(B2414="NEW ROUTE",textsplit(B2415,","),"")</f>
        <v/>
      </c>
      <c r="H2415" s="1" t="str">
        <f aca="false">IF(C2415&lt;&gt;"",DEC2HEX(C2415,2),"")</f>
        <v/>
      </c>
      <c r="I2415" s="1" t="str">
        <f aca="false">IF(D2415&lt;&gt;"",DEC2HEX(D2415,2),"")</f>
        <v/>
      </c>
      <c r="J2415" s="1" t="str">
        <f aca="false">IF(H2415&lt;&gt;"","0x"&amp;I2415&amp;H2415,"")</f>
        <v/>
      </c>
      <c r="L2415" s="1" t="s">
        <v>2536</v>
      </c>
      <c r="M2415" s="1" t="str">
        <f aca="false">IF(J2415&lt;&gt;"",J2415,L2415)</f>
        <v>NEW ROUTE</v>
      </c>
    </row>
    <row r="2416" customFormat="false" ht="12.75" hidden="false" customHeight="true" outlineLevel="0" collapsed="false">
      <c r="A2416" s="3" t="s">
        <v>3529</v>
      </c>
      <c r="B2416" s="3" t="str">
        <f aca="false">IF(ISNUMBER(SEARCH("%", A2416)),RIGHT(A2416,3),A2416)</f>
        <v>3, 39, 0,</v>
      </c>
      <c r="C2416" s="1" t="e">
        <f aca="false" t="array" ref="C2416:C2416">IF(B2415="NEW ROUTE",textsplit(B2416,","),"")</f>
        <v>#NAME?</v>
      </c>
      <c r="H2416" s="1" t="e">
        <f aca="false">IF(C2416&lt;&gt;"",DEC2HEX(C2416,2),"")</f>
        <v>#NAME?</v>
      </c>
      <c r="I2416" s="1" t="str">
        <f aca="false">IF(D2416&lt;&gt;"",DEC2HEX(D2416,2),"")</f>
        <v/>
      </c>
      <c r="J2416" s="1" t="e">
        <f aca="false">IF(H2416&lt;&gt;"","0x"&amp;I2416&amp;H2416,"")</f>
        <v>#NAME?</v>
      </c>
      <c r="L2416" s="1" t="s">
        <v>3529</v>
      </c>
      <c r="M2416" s="1" t="e">
        <f aca="false">IF(J2416&lt;&gt;"",J2416,L2416)</f>
        <v>#NAME?</v>
      </c>
    </row>
    <row r="2417" customFormat="false" ht="12.75" hidden="false" customHeight="true" outlineLevel="0" collapsed="false">
      <c r="A2417" s="3" t="s">
        <v>2798</v>
      </c>
      <c r="B2417" s="3" t="str">
        <f aca="false">IF(ISNUMBER(SEARCH("%", A2417)),RIGHT(A2417,3),A2417)</f>
        <v>20%</v>
      </c>
      <c r="C2417" s="1" t="str">
        <f aca="false" t="array" ref="C2417:C2417">IF(B2416="NEW ROUTE",textsplit(B2417,","),"")</f>
        <v/>
      </c>
      <c r="H2417" s="1" t="str">
        <f aca="false">IF(C2417&lt;&gt;"",DEC2HEX(C2417,2),"")</f>
        <v/>
      </c>
      <c r="I2417" s="1" t="str">
        <f aca="false">IF(D2417&lt;&gt;"",DEC2HEX(D2417,2),"")</f>
        <v/>
      </c>
      <c r="J2417" s="1" t="str">
        <f aca="false">IF(H2417&lt;&gt;"","0x"&amp;I2417&amp;H2417,"")</f>
        <v/>
      </c>
      <c r="L2417" s="1" t="s">
        <v>2799</v>
      </c>
      <c r="M2417" s="1" t="str">
        <f aca="false">IF(J2417&lt;&gt;"",J2417,L2417)</f>
        <v>20%</v>
      </c>
    </row>
    <row r="2418" customFormat="false" ht="12.75" hidden="false" customHeight="true" outlineLevel="0" collapsed="false">
      <c r="A2418" s="3" t="s">
        <v>2013</v>
      </c>
      <c r="B2418" s="3" t="str">
        <f aca="false">IF(ISNUMBER(SEARCH("%", A2418)),RIGHT(A2418,3),A2418)</f>
        <v>39, 46, TANGROWTH</v>
      </c>
      <c r="C2418" s="1" t="str">
        <f aca="false" t="array" ref="C2418:C2418">IF(B2417="NEW ROUTE",textsplit(B2418,","),"")</f>
        <v/>
      </c>
      <c r="H2418" s="1" t="str">
        <f aca="false">IF(C2418&lt;&gt;"",DEC2HEX(C2418,2),"")</f>
        <v/>
      </c>
      <c r="I2418" s="1" t="str">
        <f aca="false">IF(D2418&lt;&gt;"",DEC2HEX(D2418,2),"")</f>
        <v/>
      </c>
      <c r="J2418" s="1" t="str">
        <f aca="false">IF(H2418&lt;&gt;"","0x"&amp;I2418&amp;H2418,"")</f>
        <v/>
      </c>
      <c r="L2418" s="1" t="s">
        <v>2013</v>
      </c>
      <c r="M2418" s="1" t="str">
        <f aca="false">IF(J2418&lt;&gt;"",J2418,L2418)</f>
        <v>39, 46, TANGROWTH</v>
      </c>
    </row>
    <row r="2419" customFormat="false" ht="12.75" hidden="false" customHeight="true" outlineLevel="0" collapsed="false">
      <c r="A2419" s="3" t="s">
        <v>3530</v>
      </c>
      <c r="B2419" s="3" t="str">
        <f aca="false">IF(ISNUMBER(SEARCH("%", A2419)),RIGHT(A2419,3),A2419)</f>
        <v>39, 46, EXEGGUTOR</v>
      </c>
      <c r="C2419" s="1" t="str">
        <f aca="false" t="array" ref="C2419:C2419">IF(B2418="NEW ROUTE",textsplit(B2419,","),"")</f>
        <v/>
      </c>
      <c r="H2419" s="1" t="str">
        <f aca="false">IF(C2419&lt;&gt;"",DEC2HEX(C2419,2),"")</f>
        <v/>
      </c>
      <c r="I2419" s="1" t="str">
        <f aca="false">IF(D2419&lt;&gt;"",DEC2HEX(D2419,2),"")</f>
        <v/>
      </c>
      <c r="J2419" s="1" t="str">
        <f aca="false">IF(H2419&lt;&gt;"","0x"&amp;I2419&amp;H2419,"")</f>
        <v/>
      </c>
      <c r="L2419" s="1" t="s">
        <v>3530</v>
      </c>
      <c r="M2419" s="1" t="str">
        <f aca="false">IF(J2419&lt;&gt;"",J2419,L2419)</f>
        <v>39, 46, EXEGGUTOR</v>
      </c>
    </row>
    <row r="2420" customFormat="false" ht="12.75" hidden="false" customHeight="true" outlineLevel="0" collapsed="false">
      <c r="A2420" s="3" t="s">
        <v>2801</v>
      </c>
      <c r="B2420" s="3" t="str">
        <f aca="false">IF(ISNUMBER(SEARCH("%", A2420)),RIGHT(A2420,3),A2420)</f>
        <v>0.1</v>
      </c>
      <c r="C2420" s="1" t="str">
        <f aca="false" t="array" ref="C2420:C2420">IF(B2419="NEW ROUTE",textsplit(B2420,","),"")</f>
        <v/>
      </c>
      <c r="H2420" s="1" t="str">
        <f aca="false">IF(C2420&lt;&gt;"",DEC2HEX(C2420,2),"")</f>
        <v/>
      </c>
      <c r="I2420" s="1" t="str">
        <f aca="false">IF(D2420&lt;&gt;"",DEC2HEX(D2420,2),"")</f>
        <v/>
      </c>
      <c r="J2420" s="1" t="str">
        <f aca="false">IF(H2420&lt;&gt;"","0x"&amp;I2420&amp;H2420,"")</f>
        <v/>
      </c>
      <c r="L2420" s="1" t="s">
        <v>2801</v>
      </c>
      <c r="M2420" s="1" t="str">
        <f aca="false">IF(J2420&lt;&gt;"",J2420,L2420)</f>
        <v>0.1</v>
      </c>
    </row>
    <row r="2421" customFormat="false" ht="12.75" hidden="false" customHeight="true" outlineLevel="0" collapsed="false">
      <c r="A2421" s="3" t="s">
        <v>3531</v>
      </c>
      <c r="B2421" s="3" t="str">
        <f aca="false">IF(ISNUMBER(SEARCH("%", A2421)),RIGHT(A2421,3),A2421)</f>
        <v>39, 42, DODRIO</v>
      </c>
      <c r="C2421" s="1" t="str">
        <f aca="false" t="array" ref="C2421:C2421">IF(B2420="NEW ROUTE",textsplit(B2421,","),"")</f>
        <v/>
      </c>
      <c r="H2421" s="1" t="str">
        <f aca="false">IF(C2421&lt;&gt;"",DEC2HEX(C2421,2),"")</f>
        <v/>
      </c>
      <c r="I2421" s="1" t="str">
        <f aca="false">IF(D2421&lt;&gt;"",DEC2HEX(D2421,2),"")</f>
        <v/>
      </c>
      <c r="J2421" s="1" t="str">
        <f aca="false">IF(H2421&lt;&gt;"","0x"&amp;I2421&amp;H2421,"")</f>
        <v/>
      </c>
      <c r="L2421" s="1" t="s">
        <v>3531</v>
      </c>
      <c r="M2421" s="1" t="str">
        <f aca="false">IF(J2421&lt;&gt;"",J2421,L2421)</f>
        <v>39, 42, DODRIO</v>
      </c>
    </row>
    <row r="2422" customFormat="false" ht="12.75" hidden="false" customHeight="true" outlineLevel="0" collapsed="false">
      <c r="A2422" s="3" t="s">
        <v>3532</v>
      </c>
      <c r="B2422" s="3" t="str">
        <f aca="false">IF(ISNUMBER(SEARCH("%", A2422)),RIGHT(A2422,3),A2422)</f>
        <v>39, 42, GOLDUCK</v>
      </c>
      <c r="C2422" s="1" t="str">
        <f aca="false" t="array" ref="C2422:C2422">IF(B2421="NEW ROUTE",textsplit(B2422,","),"")</f>
        <v/>
      </c>
      <c r="H2422" s="1" t="str">
        <f aca="false">IF(C2422&lt;&gt;"",DEC2HEX(C2422,2),"")</f>
        <v/>
      </c>
      <c r="I2422" s="1" t="str">
        <f aca="false">IF(D2422&lt;&gt;"",DEC2HEX(D2422,2),"")</f>
        <v/>
      </c>
      <c r="J2422" s="1" t="str">
        <f aca="false">IF(H2422&lt;&gt;"","0x"&amp;I2422&amp;H2422,"")</f>
        <v/>
      </c>
      <c r="L2422" s="1" t="s">
        <v>3532</v>
      </c>
      <c r="M2422" s="1" t="str">
        <f aca="false">IF(J2422&lt;&gt;"",J2422,L2422)</f>
        <v>39, 42, GOLDUCK</v>
      </c>
    </row>
    <row r="2423" customFormat="false" ht="12.75" hidden="false" customHeight="true" outlineLevel="0" collapsed="false">
      <c r="A2423" s="3" t="s">
        <v>3533</v>
      </c>
      <c r="B2423" s="3" t="str">
        <f aca="false">IF(ISNUMBER(SEARCH("%", A2423)),RIGHT(A2423,3),A2423)</f>
        <v>43, 46, DODRIO</v>
      </c>
      <c r="C2423" s="1" t="str">
        <f aca="false" t="array" ref="C2423:C2423">IF(B2422="NEW ROUTE",textsplit(B2423,","),"")</f>
        <v/>
      </c>
      <c r="H2423" s="1" t="str">
        <f aca="false">IF(C2423&lt;&gt;"",DEC2HEX(C2423,2),"")</f>
        <v/>
      </c>
      <c r="I2423" s="1" t="str">
        <f aca="false">IF(D2423&lt;&gt;"",DEC2HEX(D2423,2),"")</f>
        <v/>
      </c>
      <c r="J2423" s="1" t="str">
        <f aca="false">IF(H2423&lt;&gt;"","0x"&amp;I2423&amp;H2423,"")</f>
        <v/>
      </c>
      <c r="L2423" s="1" t="s">
        <v>3533</v>
      </c>
      <c r="M2423" s="1" t="str">
        <f aca="false">IF(J2423&lt;&gt;"",J2423,L2423)</f>
        <v>43, 46, DODRIO</v>
      </c>
    </row>
    <row r="2424" customFormat="false" ht="12.75" hidden="false" customHeight="true" outlineLevel="0" collapsed="false">
      <c r="A2424" s="3" t="s">
        <v>3534</v>
      </c>
      <c r="B2424" s="3" t="str">
        <f aca="false">IF(ISNUMBER(SEARCH("%", A2424)),RIGHT(A2424,3),A2424)</f>
        <v>43, 46, GOLDUCK</v>
      </c>
      <c r="C2424" s="1" t="str">
        <f aca="false" t="array" ref="C2424:C2424">IF(B2423="NEW ROUTE",textsplit(B2424,","),"")</f>
        <v/>
      </c>
      <c r="H2424" s="1" t="str">
        <f aca="false">IF(C2424&lt;&gt;"",DEC2HEX(C2424,2),"")</f>
        <v/>
      </c>
      <c r="I2424" s="1" t="str">
        <f aca="false">IF(D2424&lt;&gt;"",DEC2HEX(D2424,2),"")</f>
        <v/>
      </c>
      <c r="J2424" s="1" t="str">
        <f aca="false">IF(H2424&lt;&gt;"","0x"&amp;I2424&amp;H2424,"")</f>
        <v/>
      </c>
      <c r="L2424" s="1" t="s">
        <v>3534</v>
      </c>
      <c r="M2424" s="1" t="str">
        <f aca="false">IF(J2424&lt;&gt;"",J2424,L2424)</f>
        <v>43, 46, GOLDUCK</v>
      </c>
    </row>
    <row r="2425" customFormat="false" ht="12.75" hidden="false" customHeight="true" outlineLevel="0" collapsed="false">
      <c r="A2425" s="3" t="s">
        <v>2806</v>
      </c>
      <c r="B2425" s="3" t="str">
        <f aca="false">IF(ISNUMBER(SEARCH("%", A2425)),RIGHT(A2425,3),A2425)</f>
        <v>0.05</v>
      </c>
      <c r="C2425" s="1" t="str">
        <f aca="false" t="array" ref="C2425:C2425">IF(B2424="NEW ROUTE",textsplit(B2425,","),"")</f>
        <v/>
      </c>
      <c r="H2425" s="1" t="str">
        <f aca="false">IF(C2425&lt;&gt;"",DEC2HEX(C2425,2),"")</f>
        <v/>
      </c>
      <c r="I2425" s="1" t="str">
        <f aca="false">IF(D2425&lt;&gt;"",DEC2HEX(D2425,2),"")</f>
        <v/>
      </c>
      <c r="J2425" s="1" t="str">
        <f aca="false">IF(H2425&lt;&gt;"","0x"&amp;I2425&amp;H2425,"")</f>
        <v/>
      </c>
      <c r="L2425" s="1" t="s">
        <v>2806</v>
      </c>
      <c r="M2425" s="1" t="str">
        <f aca="false">IF(J2425&lt;&gt;"",J2425,L2425)</f>
        <v>0.05</v>
      </c>
    </row>
    <row r="2426" customFormat="false" ht="12.75" hidden="false" customHeight="true" outlineLevel="0" collapsed="false">
      <c r="A2426" s="3" t="s">
        <v>3535</v>
      </c>
      <c r="B2426" s="3" t="str">
        <f aca="false">IF(ISNUMBER(SEARCH("%", A2426)),RIGHT(A2426,3),A2426)</f>
        <v>43, 50, TANGATHER</v>
      </c>
      <c r="C2426" s="1" t="str">
        <f aca="false" t="array" ref="C2426:C2426">IF(B2425="NEW ROUTE",textsplit(B2426,","),"")</f>
        <v/>
      </c>
      <c r="H2426" s="1" t="str">
        <f aca="false">IF(C2426&lt;&gt;"",DEC2HEX(C2426,2),"")</f>
        <v/>
      </c>
      <c r="I2426" s="1" t="str">
        <f aca="false">IF(D2426&lt;&gt;"",DEC2HEX(D2426,2),"")</f>
        <v/>
      </c>
      <c r="J2426" s="1" t="str">
        <f aca="false">IF(H2426&lt;&gt;"","0x"&amp;I2426&amp;H2426,"")</f>
        <v/>
      </c>
      <c r="L2426" s="1" t="s">
        <v>3535</v>
      </c>
      <c r="M2426" s="1" t="str">
        <f aca="false">IF(J2426&lt;&gt;"",J2426,L2426)</f>
        <v>43, 50, TANGATHER</v>
      </c>
    </row>
    <row r="2427" customFormat="false" ht="12.75" hidden="false" customHeight="true" outlineLevel="0" collapsed="false">
      <c r="A2427" s="3" t="s">
        <v>3536</v>
      </c>
      <c r="B2427" s="3" t="str">
        <f aca="false">IF(ISNUMBER(SEARCH("%", A2427)),RIGHT(A2427,3),A2427)</f>
        <v>43, 50, EXEGGITY</v>
      </c>
      <c r="C2427" s="1" t="str">
        <f aca="false" t="array" ref="C2427:C2427">IF(B2426="NEW ROUTE",textsplit(B2427,","),"")</f>
        <v/>
      </c>
      <c r="H2427" s="1" t="str">
        <f aca="false">IF(C2427&lt;&gt;"",DEC2HEX(C2427,2),"")</f>
        <v/>
      </c>
      <c r="I2427" s="1" t="str">
        <f aca="false">IF(D2427&lt;&gt;"",DEC2HEX(D2427,2),"")</f>
        <v/>
      </c>
      <c r="J2427" s="1" t="str">
        <f aca="false">IF(H2427&lt;&gt;"","0x"&amp;I2427&amp;H2427,"")</f>
        <v/>
      </c>
      <c r="L2427" s="1" t="s">
        <v>3536</v>
      </c>
      <c r="M2427" s="1" t="str">
        <f aca="false">IF(J2427&lt;&gt;"",J2427,L2427)</f>
        <v>43, 50, EXEGGITY</v>
      </c>
    </row>
    <row r="2428" customFormat="false" ht="12.75" hidden="false" customHeight="true" outlineLevel="0" collapsed="false">
      <c r="A2428" s="3" t="s">
        <v>2809</v>
      </c>
      <c r="B2428" s="3" t="str">
        <f aca="false">IF(ISNUMBER(SEARCH("%", A2428)),RIGHT(A2428,3),A2428)</f>
        <v>0.04</v>
      </c>
      <c r="C2428" s="1" t="str">
        <f aca="false" t="array" ref="C2428:C2428">IF(B2427="NEW ROUTE",textsplit(B2428,","),"")</f>
        <v/>
      </c>
      <c r="H2428" s="1" t="str">
        <f aca="false">IF(C2428&lt;&gt;"",DEC2HEX(C2428,2),"")</f>
        <v/>
      </c>
      <c r="I2428" s="1" t="str">
        <f aca="false">IF(D2428&lt;&gt;"",DEC2HEX(D2428,2),"")</f>
        <v/>
      </c>
      <c r="J2428" s="1" t="str">
        <f aca="false">IF(H2428&lt;&gt;"","0x"&amp;I2428&amp;H2428,"")</f>
        <v/>
      </c>
      <c r="L2428" s="1" t="s">
        <v>2809</v>
      </c>
      <c r="M2428" s="1" t="str">
        <f aca="false">IF(J2428&lt;&gt;"",J2428,L2428)</f>
        <v>0.04</v>
      </c>
    </row>
    <row r="2429" customFormat="false" ht="12.75" hidden="false" customHeight="true" outlineLevel="0" collapsed="false">
      <c r="A2429" s="3" t="s">
        <v>3537</v>
      </c>
      <c r="B2429" s="3" t="str">
        <f aca="false">IF(ISNUMBER(SEARCH("%", A2429)),RIGHT(A2429,3),A2429)</f>
        <v>43, 50, GILDUCK</v>
      </c>
      <c r="C2429" s="1" t="str">
        <f aca="false" t="array" ref="C2429:C2429">IF(B2428="NEW ROUTE",textsplit(B2429,","),"")</f>
        <v/>
      </c>
      <c r="H2429" s="1" t="str">
        <f aca="false">IF(C2429&lt;&gt;"",DEC2HEX(C2429,2),"")</f>
        <v/>
      </c>
      <c r="I2429" s="1" t="str">
        <f aca="false">IF(D2429&lt;&gt;"",DEC2HEX(D2429,2),"")</f>
        <v/>
      </c>
      <c r="J2429" s="1" t="str">
        <f aca="false">IF(H2429&lt;&gt;"","0x"&amp;I2429&amp;H2429,"")</f>
        <v/>
      </c>
      <c r="L2429" s="1" t="s">
        <v>3537</v>
      </c>
      <c r="M2429" s="1" t="str">
        <f aca="false">IF(J2429&lt;&gt;"",J2429,L2429)</f>
        <v>43, 50, GILDUCK</v>
      </c>
    </row>
    <row r="2430" customFormat="false" ht="12.75" hidden="false" customHeight="true" outlineLevel="0" collapsed="false">
      <c r="A2430" s="3" t="s">
        <v>3538</v>
      </c>
      <c r="B2430" s="3" t="str">
        <f aca="false">IF(ISNUMBER(SEARCH("%", A2430)),RIGHT(A2430,3),A2430)</f>
        <v>43, 50, QUADODO</v>
      </c>
      <c r="C2430" s="1" t="str">
        <f aca="false" t="array" ref="C2430:C2430">IF(B2429="NEW ROUTE",textsplit(B2430,","),"")</f>
        <v/>
      </c>
      <c r="H2430" s="1" t="str">
        <f aca="false">IF(C2430&lt;&gt;"",DEC2HEX(C2430,2),"")</f>
        <v/>
      </c>
      <c r="I2430" s="1" t="str">
        <f aca="false">IF(D2430&lt;&gt;"",DEC2HEX(D2430,2),"")</f>
        <v/>
      </c>
      <c r="J2430" s="1" t="str">
        <f aca="false">IF(H2430&lt;&gt;"","0x"&amp;I2430&amp;H2430,"")</f>
        <v/>
      </c>
      <c r="L2430" s="1" t="s">
        <v>3538</v>
      </c>
      <c r="M2430" s="1" t="str">
        <f aca="false">IF(J2430&lt;&gt;"",J2430,L2430)</f>
        <v>43, 50, QUADODO</v>
      </c>
    </row>
    <row r="2431" customFormat="false" ht="12.75" hidden="false" customHeight="true" outlineLevel="0" collapsed="false">
      <c r="A2431" s="3" t="s">
        <v>2812</v>
      </c>
      <c r="B2431" s="3" t="str">
        <f aca="false">IF(ISNUMBER(SEARCH("%", A2431)),RIGHT(A2431,3),A2431)</f>
        <v>0.01</v>
      </c>
      <c r="C2431" s="1" t="str">
        <f aca="false" t="array" ref="C2431:C2431">IF(B2430="NEW ROUTE",textsplit(B2431,","),"")</f>
        <v/>
      </c>
      <c r="H2431" s="1" t="str">
        <f aca="false">IF(C2431&lt;&gt;"",DEC2HEX(C2431,2),"")</f>
        <v/>
      </c>
      <c r="I2431" s="1" t="str">
        <f aca="false">IF(D2431&lt;&gt;"",DEC2HEX(D2431,2),"")</f>
        <v/>
      </c>
      <c r="J2431" s="1" t="str">
        <f aca="false">IF(H2431&lt;&gt;"","0x"&amp;I2431&amp;H2431,"")</f>
        <v/>
      </c>
      <c r="L2431" s="1" t="s">
        <v>2812</v>
      </c>
      <c r="M2431" s="1" t="str">
        <f aca="false">IF(J2431&lt;&gt;"",J2431,L2431)</f>
        <v>0.01</v>
      </c>
    </row>
    <row r="2432" customFormat="false" ht="12.75" hidden="false" customHeight="true" outlineLevel="0" collapsed="false">
      <c r="A2432" s="3" t="s">
        <v>3539</v>
      </c>
      <c r="B2432" s="3" t="str">
        <f aca="false">IF(ISNUMBER(SEARCH("%", A2432)),RIGHT(A2432,3),A2432)</f>
        <v>45, 52, TANGOLIATH</v>
      </c>
      <c r="C2432" s="1" t="str">
        <f aca="false" t="array" ref="C2432:C2432">IF(B2431="NEW ROUTE",textsplit(B2432,","),"")</f>
        <v/>
      </c>
      <c r="H2432" s="1" t="str">
        <f aca="false">IF(C2432&lt;&gt;"",DEC2HEX(C2432,2),"")</f>
        <v/>
      </c>
      <c r="I2432" s="1" t="str">
        <f aca="false">IF(D2432&lt;&gt;"",DEC2HEX(D2432,2),"")</f>
        <v/>
      </c>
      <c r="J2432" s="1" t="str">
        <f aca="false">IF(H2432&lt;&gt;"","0x"&amp;I2432&amp;H2432,"")</f>
        <v/>
      </c>
      <c r="L2432" s="1" t="s">
        <v>3539</v>
      </c>
      <c r="M2432" s="1" t="str">
        <f aca="false">IF(J2432&lt;&gt;"",J2432,L2432)</f>
        <v>45, 52, TANGOLIATH</v>
      </c>
    </row>
    <row r="2433" customFormat="false" ht="12.75" hidden="false" customHeight="true" outlineLevel="0" collapsed="false">
      <c r="A2433" s="3" t="s">
        <v>3540</v>
      </c>
      <c r="B2433" s="3" t="str">
        <f aca="false">IF(ISNUMBER(SEARCH("%", A2433)),RIGHT(A2433,3),A2433)</f>
        <v>44, 44, TANGOLIATH</v>
      </c>
      <c r="C2433" s="1" t="str">
        <f aca="false" t="array" ref="C2433:C2433">IF(B2432="NEW ROUTE",textsplit(B2433,","),"")</f>
        <v/>
      </c>
      <c r="H2433" s="1" t="str">
        <f aca="false">IF(C2433&lt;&gt;"",DEC2HEX(C2433,2),"")</f>
        <v/>
      </c>
      <c r="I2433" s="1" t="str">
        <f aca="false">IF(D2433&lt;&gt;"",DEC2HEX(D2433,2),"")</f>
        <v/>
      </c>
      <c r="J2433" s="1" t="str">
        <f aca="false">IF(H2433&lt;&gt;"","0x"&amp;I2433&amp;H2433,"")</f>
        <v/>
      </c>
      <c r="L2433" s="1" t="s">
        <v>3540</v>
      </c>
      <c r="M2433" s="1" t="str">
        <f aca="false">IF(J2433&lt;&gt;"",J2433,L2433)</f>
        <v>44, 44, TANGOLIATH</v>
      </c>
    </row>
    <row r="2434" customFormat="false" ht="12.75" hidden="false" customHeight="true" outlineLevel="0" collapsed="false">
      <c r="A2434" s="3" t="s">
        <v>3349</v>
      </c>
      <c r="B2434" s="3" t="str">
        <f aca="false">IF(ISNUMBER(SEARCH("%", A2434)),RIGHT(A2434,3),A2434)</f>
        <v>2, 38, 42, TENTACOOL</v>
      </c>
      <c r="C2434" s="1" t="str">
        <f aca="false" t="array" ref="C2434:C2434">IF(B2433="NEW ROUTE",textsplit(B2434,","),"")</f>
        <v/>
      </c>
      <c r="H2434" s="1" t="str">
        <f aca="false">IF(C2434&lt;&gt;"",DEC2HEX(C2434,2),"")</f>
        <v/>
      </c>
      <c r="I2434" s="1" t="str">
        <f aca="false">IF(D2434&lt;&gt;"",DEC2HEX(D2434,2),"")</f>
        <v/>
      </c>
      <c r="J2434" s="1" t="str">
        <f aca="false">IF(H2434&lt;&gt;"","0x"&amp;I2434&amp;H2434,"")</f>
        <v/>
      </c>
      <c r="L2434" s="1" t="s">
        <v>3349</v>
      </c>
      <c r="M2434" s="1" t="str">
        <f aca="false">IF(J2434&lt;&gt;"",J2434,L2434)</f>
        <v>2, 38, 42, TENTACOOL</v>
      </c>
    </row>
    <row r="2435" customFormat="false" ht="12.75" hidden="false" customHeight="true" outlineLevel="0" collapsed="false">
      <c r="A2435" s="3" t="s">
        <v>3428</v>
      </c>
      <c r="B2435" s="3" t="str">
        <f aca="false">IF(ISNUMBER(SEARCH("%", A2435)),RIGHT(A2435,3),A2435)</f>
        <v>40, 44, TENTACRUEL</v>
      </c>
      <c r="C2435" s="1" t="str">
        <f aca="false" t="array" ref="C2435:C2435">IF(B2434="NEW ROUTE",textsplit(B2435,","),"")</f>
        <v/>
      </c>
      <c r="H2435" s="1" t="str">
        <f aca="false">IF(C2435&lt;&gt;"",DEC2HEX(C2435,2),"")</f>
        <v/>
      </c>
      <c r="I2435" s="1" t="str">
        <f aca="false">IF(D2435&lt;&gt;"",DEC2HEX(D2435,2),"")</f>
        <v/>
      </c>
      <c r="J2435" s="1" t="str">
        <f aca="false">IF(H2435&lt;&gt;"","0x"&amp;I2435&amp;H2435,"")</f>
        <v/>
      </c>
      <c r="L2435" s="1" t="s">
        <v>3428</v>
      </c>
      <c r="M2435" s="1" t="str">
        <f aca="false">IF(J2435&lt;&gt;"",J2435,L2435)</f>
        <v>40, 44, TENTACRUEL</v>
      </c>
    </row>
    <row r="2436" customFormat="false" ht="12.75" hidden="false" customHeight="true" outlineLevel="0" collapsed="false">
      <c r="A2436" s="3" t="s">
        <v>3429</v>
      </c>
      <c r="B2436" s="3" t="str">
        <f aca="false">IF(ISNUMBER(SEARCH("%", A2436)),RIGHT(A2436,3),A2436)</f>
        <v>42, 46, TENTACATE</v>
      </c>
      <c r="C2436" s="1" t="str">
        <f aca="false" t="array" ref="C2436:C2436">IF(B2435="NEW ROUTE",textsplit(B2436,","),"")</f>
        <v/>
      </c>
      <c r="H2436" s="1" t="str">
        <f aca="false">IF(C2436&lt;&gt;"",DEC2HEX(C2436,2),"")</f>
        <v/>
      </c>
      <c r="I2436" s="1" t="str">
        <f aca="false">IF(D2436&lt;&gt;"",DEC2HEX(D2436,2),"")</f>
        <v/>
      </c>
      <c r="J2436" s="1" t="str">
        <f aca="false">IF(H2436&lt;&gt;"","0x"&amp;I2436&amp;H2436,"")</f>
        <v/>
      </c>
      <c r="L2436" s="1" t="s">
        <v>3429</v>
      </c>
      <c r="M2436" s="1" t="str">
        <f aca="false">IF(J2436&lt;&gt;"",J2436,L2436)</f>
        <v>42, 46, TENTACATE</v>
      </c>
    </row>
    <row r="2437" customFormat="false" ht="12.75" hidden="false" customHeight="true" outlineLevel="0" collapsed="false">
      <c r="A2437" s="3" t="s">
        <v>3024</v>
      </c>
      <c r="B2437" s="3" t="str">
        <f aca="false">IF(ISNUMBER(SEARCH("%", A2437)),RIGHT(A2437,3),A2437)</f>
        <v>42, 46, LAPRAS</v>
      </c>
      <c r="C2437" s="1" t="str">
        <f aca="false" t="array" ref="C2437:C2437">IF(B2436="NEW ROUTE",textsplit(B2437,","),"")</f>
        <v/>
      </c>
      <c r="H2437" s="1" t="str">
        <f aca="false">IF(C2437&lt;&gt;"",DEC2HEX(C2437,2),"")</f>
        <v/>
      </c>
      <c r="I2437" s="1" t="str">
        <f aca="false">IF(D2437&lt;&gt;"",DEC2HEX(D2437,2),"")</f>
        <v/>
      </c>
      <c r="J2437" s="1" t="str">
        <f aca="false">IF(H2437&lt;&gt;"","0x"&amp;I2437&amp;H2437,"")</f>
        <v/>
      </c>
      <c r="L2437" s="1" t="s">
        <v>3024</v>
      </c>
      <c r="M2437" s="1" t="str">
        <f aca="false">IF(J2437&lt;&gt;"",J2437,L2437)</f>
        <v>42, 46, LAPRAS</v>
      </c>
    </row>
    <row r="2438" customFormat="false" ht="12.75" hidden="false" customHeight="true" outlineLevel="0" collapsed="false">
      <c r="A2438" s="3" t="s">
        <v>3449</v>
      </c>
      <c r="B2438" s="3" t="str">
        <f aca="false">IF(ISNUMBER(SEARCH("%", A2438)),RIGHT(A2438,3),A2438)</f>
        <v>44, 48, LOCHLASS</v>
      </c>
      <c r="C2438" s="1" t="str">
        <f aca="false" t="array" ref="C2438:C2438">IF(B2437="NEW ROUTE",textsplit(B2438,","),"")</f>
        <v/>
      </c>
      <c r="H2438" s="1" t="str">
        <f aca="false">IF(C2438&lt;&gt;"",DEC2HEX(C2438,2),"")</f>
        <v/>
      </c>
      <c r="I2438" s="1" t="str">
        <f aca="false">IF(D2438&lt;&gt;"",DEC2HEX(D2438,2),"")</f>
        <v/>
      </c>
      <c r="J2438" s="1" t="str">
        <f aca="false">IF(H2438&lt;&gt;"","0x"&amp;I2438&amp;H2438,"")</f>
        <v/>
      </c>
      <c r="L2438" s="1" t="s">
        <v>3449</v>
      </c>
      <c r="M2438" s="1" t="str">
        <f aca="false">IF(J2438&lt;&gt;"",J2438,L2438)</f>
        <v>44, 48, LOCHLASS</v>
      </c>
    </row>
    <row r="2439" customFormat="false" ht="12.75" hidden="false" customHeight="true" outlineLevel="0" collapsed="false">
      <c r="A2439" s="3" t="s">
        <v>2925</v>
      </c>
      <c r="B2439" s="3" t="str">
        <f aca="false">IF(ISNUMBER(SEARCH("%", A2439)),RIGHT(A2439,3),A2439)</f>
        <v>20, old rod:</v>
      </c>
      <c r="C2439" s="1" t="str">
        <f aca="false" t="array" ref="C2439:C2439">IF(B2438="NEW ROUTE",textsplit(B2439,","),"")</f>
        <v/>
      </c>
      <c r="H2439" s="1" t="str">
        <f aca="false">IF(C2439&lt;&gt;"",DEC2HEX(C2439,2),"")</f>
        <v/>
      </c>
      <c r="I2439" s="1" t="str">
        <f aca="false">IF(D2439&lt;&gt;"",DEC2HEX(D2439,2),"")</f>
        <v/>
      </c>
      <c r="J2439" s="1" t="str">
        <f aca="false">IF(H2439&lt;&gt;"","0x"&amp;I2439&amp;H2439,"")</f>
        <v/>
      </c>
      <c r="L2439" s="1" t="s">
        <v>2925</v>
      </c>
      <c r="M2439" s="1" t="str">
        <f aca="false">IF(J2439&lt;&gt;"",J2439,L2439)</f>
        <v>20, old rod:</v>
      </c>
    </row>
    <row r="2440" customFormat="false" ht="12.75" hidden="false" customHeight="true" outlineLevel="0" collapsed="false">
      <c r="A2440" s="3" t="s">
        <v>2008</v>
      </c>
      <c r="B2440" s="3" t="str">
        <f aca="false">IF(ISNUMBER(SEARCH("%", A2440)),RIGHT(A2440,3),A2440)</f>
        <v>19, 26, PSYDUCK</v>
      </c>
      <c r="C2440" s="1" t="str">
        <f aca="false" t="array" ref="C2440:C2440">IF(B2439="NEW ROUTE",textsplit(B2440,","),"")</f>
        <v/>
      </c>
      <c r="H2440" s="1" t="str">
        <f aca="false">IF(C2440&lt;&gt;"",DEC2HEX(C2440,2),"")</f>
        <v/>
      </c>
      <c r="I2440" s="1" t="str">
        <f aca="false">IF(D2440&lt;&gt;"",DEC2HEX(D2440,2),"")</f>
        <v/>
      </c>
      <c r="J2440" s="1" t="str">
        <f aca="false">IF(H2440&lt;&gt;"","0x"&amp;I2440&amp;H2440,"")</f>
        <v/>
      </c>
      <c r="L2440" s="1" t="s">
        <v>2008</v>
      </c>
      <c r="M2440" s="1" t="str">
        <f aca="false">IF(J2440&lt;&gt;"",J2440,L2440)</f>
        <v>19, 26, PSYDUCK</v>
      </c>
    </row>
    <row r="2441" customFormat="false" ht="12.75" hidden="false" customHeight="true" outlineLevel="0" collapsed="false">
      <c r="A2441" s="3" t="s">
        <v>1451</v>
      </c>
      <c r="B2441" s="3" t="str">
        <f aca="false">IF(ISNUMBER(SEARCH("%", A2441)),RIGHT(A2441,3),A2441)</f>
        <v>19, 26, HORSEA</v>
      </c>
      <c r="C2441" s="1" t="str">
        <f aca="false" t="array" ref="C2441:C2441">IF(B2440="NEW ROUTE",textsplit(B2441,","),"")</f>
        <v/>
      </c>
      <c r="H2441" s="1" t="str">
        <f aca="false">IF(C2441&lt;&gt;"",DEC2HEX(C2441,2),"")</f>
        <v/>
      </c>
      <c r="I2441" s="1" t="str">
        <f aca="false">IF(D2441&lt;&gt;"",DEC2HEX(D2441,2),"")</f>
        <v/>
      </c>
      <c r="J2441" s="1" t="str">
        <f aca="false">IF(H2441&lt;&gt;"","0x"&amp;I2441&amp;H2441,"")</f>
        <v/>
      </c>
      <c r="L2441" s="1" t="s">
        <v>1451</v>
      </c>
      <c r="M2441" s="1" t="str">
        <f aca="false">IF(J2441&lt;&gt;"",J2441,L2441)</f>
        <v>19, 26, HORSEA</v>
      </c>
    </row>
    <row r="2442" customFormat="false" ht="12.75" hidden="false" customHeight="true" outlineLevel="0" collapsed="false">
      <c r="A2442" s="3" t="s">
        <v>2846</v>
      </c>
      <c r="B2442" s="3" t="str">
        <f aca="false">IF(ISNUMBER(SEARCH("%", A2442)),RIGHT(A2442,3),A2442)</f>
        <v>good rod:</v>
      </c>
      <c r="C2442" s="1" t="str">
        <f aca="false" t="array" ref="C2442:C2442">IF(B2441="NEW ROUTE",textsplit(B2442,","),"")</f>
        <v/>
      </c>
      <c r="H2442" s="1" t="str">
        <f aca="false">IF(C2442&lt;&gt;"",DEC2HEX(C2442,2),"")</f>
        <v/>
      </c>
      <c r="I2442" s="1" t="str">
        <f aca="false">IF(D2442&lt;&gt;"",DEC2HEX(D2442,2),"")</f>
        <v/>
      </c>
      <c r="J2442" s="1" t="str">
        <f aca="false">IF(H2442&lt;&gt;"","0x"&amp;I2442&amp;H2442,"")</f>
        <v/>
      </c>
      <c r="L2442" s="1" t="s">
        <v>2846</v>
      </c>
      <c r="M2442" s="1" t="str">
        <f aca="false">IF(J2442&lt;&gt;"",J2442,L2442)</f>
        <v>good rod:</v>
      </c>
    </row>
    <row r="2443" customFormat="false" ht="12.75" hidden="false" customHeight="true" outlineLevel="0" collapsed="false">
      <c r="A2443" s="3" t="s">
        <v>3026</v>
      </c>
      <c r="B2443" s="3" t="str">
        <f aca="false">IF(ISNUMBER(SEARCH("%", A2443)),RIGHT(A2443,3),A2443)</f>
        <v>29, 33, SEADRA</v>
      </c>
      <c r="C2443" s="1" t="str">
        <f aca="false" t="array" ref="C2443:C2443">IF(B2442="NEW ROUTE",textsplit(B2443,","),"")</f>
        <v/>
      </c>
      <c r="H2443" s="1" t="str">
        <f aca="false">IF(C2443&lt;&gt;"",DEC2HEX(C2443,2),"")</f>
        <v/>
      </c>
      <c r="I2443" s="1" t="str">
        <f aca="false">IF(D2443&lt;&gt;"",DEC2HEX(D2443,2),"")</f>
        <v/>
      </c>
      <c r="J2443" s="1" t="str">
        <f aca="false">IF(H2443&lt;&gt;"","0x"&amp;I2443&amp;H2443,"")</f>
        <v/>
      </c>
      <c r="L2443" s="1" t="s">
        <v>3026</v>
      </c>
      <c r="M2443" s="1" t="str">
        <f aca="false">IF(J2443&lt;&gt;"",J2443,L2443)</f>
        <v>29, 33, SEADRA</v>
      </c>
    </row>
    <row r="2444" customFormat="false" ht="12.75" hidden="false" customHeight="true" outlineLevel="0" collapsed="false">
      <c r="A2444" s="3" t="s">
        <v>3027</v>
      </c>
      <c r="B2444" s="3" t="str">
        <f aca="false">IF(ISNUMBER(SEARCH("%", A2444)),RIGHT(A2444,3),A2444)</f>
        <v>30, 35, KRABBY</v>
      </c>
      <c r="C2444" s="1" t="str">
        <f aca="false" t="array" ref="C2444:C2444">IF(B2443="NEW ROUTE",textsplit(B2444,","),"")</f>
        <v/>
      </c>
      <c r="H2444" s="1" t="str">
        <f aca="false">IF(C2444&lt;&gt;"",DEC2HEX(C2444,2),"")</f>
        <v/>
      </c>
      <c r="I2444" s="1" t="str">
        <f aca="false">IF(D2444&lt;&gt;"",DEC2HEX(D2444,2),"")</f>
        <v/>
      </c>
      <c r="J2444" s="1" t="str">
        <f aca="false">IF(H2444&lt;&gt;"","0x"&amp;I2444&amp;H2444,"")</f>
        <v/>
      </c>
      <c r="L2444" s="1" t="s">
        <v>3027</v>
      </c>
      <c r="M2444" s="1" t="str">
        <f aca="false">IF(J2444&lt;&gt;"",J2444,L2444)</f>
        <v>30, 35, KRABBY</v>
      </c>
    </row>
    <row r="2445" customFormat="false" ht="12.75" hidden="false" customHeight="true" outlineLevel="0" collapsed="false">
      <c r="A2445" s="3" t="s">
        <v>3028</v>
      </c>
      <c r="B2445" s="3" t="str">
        <f aca="false">IF(ISNUMBER(SEARCH("%", A2445)),RIGHT(A2445,3),A2445)</f>
        <v>30, 35, GOLDUCK</v>
      </c>
      <c r="C2445" s="1" t="str">
        <f aca="false" t="array" ref="C2445:C2445">IF(B2444="NEW ROUTE",textsplit(B2445,","),"")</f>
        <v/>
      </c>
      <c r="H2445" s="1" t="str">
        <f aca="false">IF(C2445&lt;&gt;"",DEC2HEX(C2445,2),"")</f>
        <v/>
      </c>
      <c r="I2445" s="1" t="str">
        <f aca="false">IF(D2445&lt;&gt;"",DEC2HEX(D2445,2),"")</f>
        <v/>
      </c>
      <c r="J2445" s="1" t="str">
        <f aca="false">IF(H2445&lt;&gt;"","0x"&amp;I2445&amp;H2445,"")</f>
        <v/>
      </c>
      <c r="L2445" s="1" t="s">
        <v>3028</v>
      </c>
      <c r="M2445" s="1" t="str">
        <f aca="false">IF(J2445&lt;&gt;"",J2445,L2445)</f>
        <v>30, 35, GOLDUCK</v>
      </c>
    </row>
    <row r="2446" customFormat="false" ht="12.75" hidden="false" customHeight="true" outlineLevel="0" collapsed="false">
      <c r="A2446" s="3" t="s">
        <v>2850</v>
      </c>
      <c r="B2446" s="3" t="str">
        <f aca="false">IF(ISNUMBER(SEARCH("%", A2446)),RIGHT(A2446,3),A2446)</f>
        <v>super rod:</v>
      </c>
      <c r="C2446" s="1" t="str">
        <f aca="false" t="array" ref="C2446:C2446">IF(B2445="NEW ROUTE",textsplit(B2446,","),"")</f>
        <v/>
      </c>
      <c r="H2446" s="1" t="str">
        <f aca="false">IF(C2446&lt;&gt;"",DEC2HEX(C2446,2),"")</f>
        <v/>
      </c>
      <c r="I2446" s="1" t="str">
        <f aca="false">IF(D2446&lt;&gt;"",DEC2HEX(D2446,2),"")</f>
        <v/>
      </c>
      <c r="J2446" s="1" t="str">
        <f aca="false">IF(H2446&lt;&gt;"","0x"&amp;I2446&amp;H2446,"")</f>
        <v/>
      </c>
      <c r="L2446" s="1" t="s">
        <v>2850</v>
      </c>
      <c r="M2446" s="1" t="str">
        <f aca="false">IF(J2446&lt;&gt;"",J2446,L2446)</f>
        <v>super rod:</v>
      </c>
    </row>
    <row r="2447" customFormat="false" ht="12.75" hidden="false" customHeight="true" outlineLevel="0" collapsed="false">
      <c r="A2447" s="3" t="s">
        <v>3029</v>
      </c>
      <c r="B2447" s="3" t="str">
        <f aca="false">IF(ISNUMBER(SEARCH("%", A2447)),RIGHT(A2447,3),A2447)</f>
        <v>36, 40, KINGDRA</v>
      </c>
      <c r="C2447" s="1" t="str">
        <f aca="false" t="array" ref="C2447:C2447">IF(B2446="NEW ROUTE",textsplit(B2447,","),"")</f>
        <v/>
      </c>
      <c r="H2447" s="1" t="str">
        <f aca="false">IF(C2447&lt;&gt;"",DEC2HEX(C2447,2),"")</f>
        <v/>
      </c>
      <c r="I2447" s="1" t="str">
        <f aca="false">IF(D2447&lt;&gt;"",DEC2HEX(D2447,2),"")</f>
        <v/>
      </c>
      <c r="J2447" s="1" t="str">
        <f aca="false">IF(H2447&lt;&gt;"","0x"&amp;I2447&amp;H2447,"")</f>
        <v/>
      </c>
      <c r="L2447" s="1" t="s">
        <v>3029</v>
      </c>
      <c r="M2447" s="1" t="str">
        <f aca="false">IF(J2447&lt;&gt;"",J2447,L2447)</f>
        <v>36, 40, KINGDRA</v>
      </c>
    </row>
    <row r="2448" customFormat="false" ht="12.75" hidden="false" customHeight="true" outlineLevel="0" collapsed="false">
      <c r="A2448" s="3" t="s">
        <v>3527</v>
      </c>
      <c r="B2448" s="3" t="str">
        <f aca="false">IF(ISNUMBER(SEARCH("%", A2448)),RIGHT(A2448,3),A2448)</f>
        <v>36, 40, KINGLER</v>
      </c>
      <c r="C2448" s="1" t="str">
        <f aca="false" t="array" ref="C2448:C2448">IF(B2447="NEW ROUTE",textsplit(B2448,","),"")</f>
        <v/>
      </c>
      <c r="H2448" s="1" t="str">
        <f aca="false">IF(C2448&lt;&gt;"",DEC2HEX(C2448,2),"")</f>
        <v/>
      </c>
      <c r="I2448" s="1" t="str">
        <f aca="false">IF(D2448&lt;&gt;"",DEC2HEX(D2448,2),"")</f>
        <v/>
      </c>
      <c r="J2448" s="1" t="str">
        <f aca="false">IF(H2448&lt;&gt;"","0x"&amp;I2448&amp;H2448,"")</f>
        <v/>
      </c>
      <c r="L2448" s="1" t="s">
        <v>3527</v>
      </c>
      <c r="M2448" s="1" t="str">
        <f aca="false">IF(J2448&lt;&gt;"",J2448,L2448)</f>
        <v>36, 40, KINGLER</v>
      </c>
    </row>
    <row r="2449" customFormat="false" ht="12.75" hidden="false" customHeight="true" outlineLevel="0" collapsed="false">
      <c r="A2449" s="3" t="s">
        <v>3031</v>
      </c>
      <c r="B2449" s="3" t="str">
        <f aca="false">IF(ISNUMBER(SEARCH("%", A2449)),RIGHT(A2449,3),A2449)</f>
        <v>38, 42, GILDUCK</v>
      </c>
      <c r="C2449" s="1" t="str">
        <f aca="false" t="array" ref="C2449:C2449">IF(B2448="NEW ROUTE",textsplit(B2449,","),"")</f>
        <v/>
      </c>
      <c r="H2449" s="1" t="str">
        <f aca="false">IF(C2449&lt;&gt;"",DEC2HEX(C2449,2),"")</f>
        <v/>
      </c>
      <c r="I2449" s="1" t="str">
        <f aca="false">IF(D2449&lt;&gt;"",DEC2HEX(D2449,2),"")</f>
        <v/>
      </c>
      <c r="J2449" s="1" t="str">
        <f aca="false">IF(H2449&lt;&gt;"","0x"&amp;I2449&amp;H2449,"")</f>
        <v/>
      </c>
      <c r="L2449" s="1" t="s">
        <v>3031</v>
      </c>
      <c r="M2449" s="1" t="str">
        <f aca="false">IF(J2449&lt;&gt;"",J2449,L2449)</f>
        <v>38, 42, GILDUCK</v>
      </c>
    </row>
    <row r="2450" customFormat="false" ht="12.75" hidden="false" customHeight="true" outlineLevel="0" collapsed="false">
      <c r="A2450" s="3" t="s">
        <v>3032</v>
      </c>
      <c r="B2450" s="3" t="str">
        <f aca="false">IF(ISNUMBER(SEARCH("%", A2450)),RIGHT(A2450,3),A2450)</f>
        <v>38, 42, KRAKLAW</v>
      </c>
      <c r="C2450" s="1" t="str">
        <f aca="false" t="array" ref="C2450:C2450">IF(B2449="NEW ROUTE",textsplit(B2450,","),"")</f>
        <v/>
      </c>
      <c r="H2450" s="1" t="str">
        <f aca="false">IF(C2450&lt;&gt;"",DEC2HEX(C2450,2),"")</f>
        <v/>
      </c>
      <c r="I2450" s="1" t="str">
        <f aca="false">IF(D2450&lt;&gt;"",DEC2HEX(D2450,2),"")</f>
        <v/>
      </c>
      <c r="J2450" s="1" t="str">
        <f aca="false">IF(H2450&lt;&gt;"","0x"&amp;I2450&amp;H2450,"")</f>
        <v/>
      </c>
      <c r="L2450" s="1" t="s">
        <v>3032</v>
      </c>
      <c r="M2450" s="1" t="str">
        <f aca="false">IF(J2450&lt;&gt;"",J2450,L2450)</f>
        <v>38, 42, KRAKLAW</v>
      </c>
    </row>
    <row r="2451" customFormat="false" ht="12.75" hidden="false" customHeight="true" outlineLevel="0" collapsed="false">
      <c r="A2451" s="3" t="s">
        <v>3033</v>
      </c>
      <c r="B2451" s="3" t="str">
        <f aca="false">IF(ISNUMBER(SEARCH("%", A2451)),RIGHT(A2451,3),A2451)</f>
        <v>40, 44, LORDRA</v>
      </c>
      <c r="C2451" s="1" t="str">
        <f aca="false" t="array" ref="C2451:C2451">IF(B2450="NEW ROUTE",textsplit(B2451,","),"")</f>
        <v/>
      </c>
      <c r="H2451" s="1" t="str">
        <f aca="false">IF(C2451&lt;&gt;"",DEC2HEX(C2451,2),"")</f>
        <v/>
      </c>
      <c r="I2451" s="1" t="str">
        <f aca="false">IF(D2451&lt;&gt;"",DEC2HEX(D2451,2),"")</f>
        <v/>
      </c>
      <c r="J2451" s="1" t="str">
        <f aca="false">IF(H2451&lt;&gt;"","0x"&amp;I2451&amp;H2451,"")</f>
        <v/>
      </c>
      <c r="L2451" s="1" t="s">
        <v>3033</v>
      </c>
      <c r="M2451" s="1" t="str">
        <f aca="false">IF(J2451&lt;&gt;"",J2451,L2451)</f>
        <v>40, 44, LORDRA</v>
      </c>
    </row>
    <row r="2452" customFormat="false" ht="12.75" hidden="false" customHeight="true" outlineLevel="0" collapsed="false">
      <c r="A2452" s="3" t="s">
        <v>2536</v>
      </c>
      <c r="B2452" s="3" t="str">
        <f aca="false">IF(ISNUMBER(SEARCH("%", A2452)),RIGHT(A2452,3),A2452)</f>
        <v>NEW ROUTE</v>
      </c>
      <c r="C2452" s="1" t="str">
        <f aca="false" t="array" ref="C2452:C2452">IF(B2451="NEW ROUTE",textsplit(B2452,","),"")</f>
        <v/>
      </c>
      <c r="H2452" s="1" t="str">
        <f aca="false">IF(C2452&lt;&gt;"",DEC2HEX(C2452,2),"")</f>
        <v/>
      </c>
      <c r="I2452" s="1" t="str">
        <f aca="false">IF(D2452&lt;&gt;"",DEC2HEX(D2452,2),"")</f>
        <v/>
      </c>
      <c r="J2452" s="1" t="str">
        <f aca="false">IF(H2452&lt;&gt;"","0x"&amp;I2452&amp;H2452,"")</f>
        <v/>
      </c>
      <c r="L2452" s="1" t="s">
        <v>2536</v>
      </c>
      <c r="M2452" s="1" t="str">
        <f aca="false">IF(J2452&lt;&gt;"",J2452,L2452)</f>
        <v>NEW ROUTE</v>
      </c>
    </row>
    <row r="2453" customFormat="false" ht="12.75" hidden="false" customHeight="true" outlineLevel="0" collapsed="false">
      <c r="A2453" s="3" t="s">
        <v>3541</v>
      </c>
      <c r="B2453" s="3" t="str">
        <f aca="false">IF(ISNUMBER(SEARCH("%", A2453)),RIGHT(A2453,3),A2453)</f>
        <v>3, 40, 0,</v>
      </c>
      <c r="C2453" s="1" t="e">
        <f aca="false" t="array" ref="C2453:C2453">IF(B2452="NEW ROUTE",textsplit(B2453,","),"")</f>
        <v>#NAME?</v>
      </c>
      <c r="H2453" s="1" t="e">
        <f aca="false">IF(C2453&lt;&gt;"",DEC2HEX(C2453,2),"")</f>
        <v>#NAME?</v>
      </c>
      <c r="I2453" s="1" t="str">
        <f aca="false">IF(D2453&lt;&gt;"",DEC2HEX(D2453,2),"")</f>
        <v/>
      </c>
      <c r="J2453" s="1" t="e">
        <f aca="false">IF(H2453&lt;&gt;"","0x"&amp;I2453&amp;H2453,"")</f>
        <v>#NAME?</v>
      </c>
      <c r="L2453" s="1" t="s">
        <v>3541</v>
      </c>
      <c r="M2453" s="1" t="e">
        <f aca="false">IF(J2453&lt;&gt;"",J2453,L2453)</f>
        <v>#NAME?</v>
      </c>
    </row>
    <row r="2454" customFormat="false" ht="12.75" hidden="false" customHeight="true" outlineLevel="0" collapsed="false">
      <c r="A2454" s="3" t="s">
        <v>2798</v>
      </c>
      <c r="B2454" s="3" t="str">
        <f aca="false">IF(ISNUMBER(SEARCH("%", A2454)),RIGHT(A2454,3),A2454)</f>
        <v>20%</v>
      </c>
      <c r="C2454" s="1" t="str">
        <f aca="false" t="array" ref="C2454:C2454">IF(B2453="NEW ROUTE",textsplit(B2454,","),"")</f>
        <v/>
      </c>
      <c r="H2454" s="1" t="str">
        <f aca="false">IF(C2454&lt;&gt;"",DEC2HEX(C2454,2),"")</f>
        <v/>
      </c>
      <c r="I2454" s="1" t="str">
        <f aca="false">IF(D2454&lt;&gt;"",DEC2HEX(D2454,2),"")</f>
        <v/>
      </c>
      <c r="J2454" s="1" t="str">
        <f aca="false">IF(H2454&lt;&gt;"","0x"&amp;I2454&amp;H2454,"")</f>
        <v/>
      </c>
      <c r="L2454" s="1" t="s">
        <v>2799</v>
      </c>
      <c r="M2454" s="1" t="str">
        <f aca="false">IF(J2454&lt;&gt;"",J2454,L2454)</f>
        <v>20%</v>
      </c>
    </row>
    <row r="2455" customFormat="false" ht="12.75" hidden="false" customHeight="true" outlineLevel="0" collapsed="false">
      <c r="A2455" s="3" t="s">
        <v>2013</v>
      </c>
      <c r="B2455" s="3" t="str">
        <f aca="false">IF(ISNUMBER(SEARCH("%", A2455)),RIGHT(A2455,3),A2455)</f>
        <v>39, 46, TANGROWTH</v>
      </c>
      <c r="C2455" s="1" t="str">
        <f aca="false" t="array" ref="C2455:C2455">IF(B2454="NEW ROUTE",textsplit(B2455,","),"")</f>
        <v/>
      </c>
      <c r="H2455" s="1" t="str">
        <f aca="false">IF(C2455&lt;&gt;"",DEC2HEX(C2455,2),"")</f>
        <v/>
      </c>
      <c r="I2455" s="1" t="str">
        <f aca="false">IF(D2455&lt;&gt;"",DEC2HEX(D2455,2),"")</f>
        <v/>
      </c>
      <c r="J2455" s="1" t="str">
        <f aca="false">IF(H2455&lt;&gt;"","0x"&amp;I2455&amp;H2455,"")</f>
        <v/>
      </c>
      <c r="L2455" s="1" t="s">
        <v>2013</v>
      </c>
      <c r="M2455" s="1" t="str">
        <f aca="false">IF(J2455&lt;&gt;"",J2455,L2455)</f>
        <v>39, 46, TANGROWTH</v>
      </c>
    </row>
    <row r="2456" customFormat="false" ht="12.75" hidden="false" customHeight="true" outlineLevel="0" collapsed="false">
      <c r="A2456" s="3" t="s">
        <v>3530</v>
      </c>
      <c r="B2456" s="3" t="str">
        <f aca="false">IF(ISNUMBER(SEARCH("%", A2456)),RIGHT(A2456,3),A2456)</f>
        <v>39, 46, EXEGGUTOR</v>
      </c>
      <c r="C2456" s="1" t="str">
        <f aca="false" t="array" ref="C2456:C2456">IF(B2455="NEW ROUTE",textsplit(B2456,","),"")</f>
        <v/>
      </c>
      <c r="H2456" s="1" t="str">
        <f aca="false">IF(C2456&lt;&gt;"",DEC2HEX(C2456,2),"")</f>
        <v/>
      </c>
      <c r="I2456" s="1" t="str">
        <f aca="false">IF(D2456&lt;&gt;"",DEC2HEX(D2456,2),"")</f>
        <v/>
      </c>
      <c r="J2456" s="1" t="str">
        <f aca="false">IF(H2456&lt;&gt;"","0x"&amp;I2456&amp;H2456,"")</f>
        <v/>
      </c>
      <c r="L2456" s="1" t="s">
        <v>3530</v>
      </c>
      <c r="M2456" s="1" t="str">
        <f aca="false">IF(J2456&lt;&gt;"",J2456,L2456)</f>
        <v>39, 46, EXEGGUTOR</v>
      </c>
    </row>
    <row r="2457" customFormat="false" ht="12.75" hidden="false" customHeight="true" outlineLevel="0" collapsed="false">
      <c r="A2457" s="3" t="s">
        <v>2801</v>
      </c>
      <c r="B2457" s="3" t="str">
        <f aca="false">IF(ISNUMBER(SEARCH("%", A2457)),RIGHT(A2457,3),A2457)</f>
        <v>0.1</v>
      </c>
      <c r="C2457" s="1" t="str">
        <f aca="false" t="array" ref="C2457:C2457">IF(B2456="NEW ROUTE",textsplit(B2457,","),"")</f>
        <v/>
      </c>
      <c r="H2457" s="1" t="str">
        <f aca="false">IF(C2457&lt;&gt;"",DEC2HEX(C2457,2),"")</f>
        <v/>
      </c>
      <c r="I2457" s="1" t="str">
        <f aca="false">IF(D2457&lt;&gt;"",DEC2HEX(D2457,2),"")</f>
        <v/>
      </c>
      <c r="J2457" s="1" t="str">
        <f aca="false">IF(H2457&lt;&gt;"","0x"&amp;I2457&amp;H2457,"")</f>
        <v/>
      </c>
      <c r="L2457" s="1" t="s">
        <v>2801</v>
      </c>
      <c r="M2457" s="1" t="str">
        <f aca="false">IF(J2457&lt;&gt;"",J2457,L2457)</f>
        <v>0.1</v>
      </c>
    </row>
    <row r="2458" customFormat="false" ht="12.75" hidden="false" customHeight="true" outlineLevel="0" collapsed="false">
      <c r="A2458" s="3" t="s">
        <v>3531</v>
      </c>
      <c r="B2458" s="3" t="str">
        <f aca="false">IF(ISNUMBER(SEARCH("%", A2458)),RIGHT(A2458,3),A2458)</f>
        <v>39, 42, DODRIO</v>
      </c>
      <c r="C2458" s="1" t="str">
        <f aca="false" t="array" ref="C2458:C2458">IF(B2457="NEW ROUTE",textsplit(B2458,","),"")</f>
        <v/>
      </c>
      <c r="H2458" s="1" t="str">
        <f aca="false">IF(C2458&lt;&gt;"",DEC2HEX(C2458,2),"")</f>
        <v/>
      </c>
      <c r="I2458" s="1" t="str">
        <f aca="false">IF(D2458&lt;&gt;"",DEC2HEX(D2458,2),"")</f>
        <v/>
      </c>
      <c r="J2458" s="1" t="str">
        <f aca="false">IF(H2458&lt;&gt;"","0x"&amp;I2458&amp;H2458,"")</f>
        <v/>
      </c>
      <c r="L2458" s="1" t="s">
        <v>3531</v>
      </c>
      <c r="M2458" s="1" t="str">
        <f aca="false">IF(J2458&lt;&gt;"",J2458,L2458)</f>
        <v>39, 42, DODRIO</v>
      </c>
    </row>
    <row r="2459" customFormat="false" ht="12.75" hidden="false" customHeight="true" outlineLevel="0" collapsed="false">
      <c r="A2459" s="3" t="s">
        <v>3532</v>
      </c>
      <c r="B2459" s="3" t="str">
        <f aca="false">IF(ISNUMBER(SEARCH("%", A2459)),RIGHT(A2459,3),A2459)</f>
        <v>39, 42, GOLDUCK</v>
      </c>
      <c r="C2459" s="1" t="str">
        <f aca="false" t="array" ref="C2459:C2459">IF(B2458="NEW ROUTE",textsplit(B2459,","),"")</f>
        <v/>
      </c>
      <c r="H2459" s="1" t="str">
        <f aca="false">IF(C2459&lt;&gt;"",DEC2HEX(C2459,2),"")</f>
        <v/>
      </c>
      <c r="I2459" s="1" t="str">
        <f aca="false">IF(D2459&lt;&gt;"",DEC2HEX(D2459,2),"")</f>
        <v/>
      </c>
      <c r="J2459" s="1" t="str">
        <f aca="false">IF(H2459&lt;&gt;"","0x"&amp;I2459&amp;H2459,"")</f>
        <v/>
      </c>
      <c r="L2459" s="1" t="s">
        <v>3532</v>
      </c>
      <c r="M2459" s="1" t="str">
        <f aca="false">IF(J2459&lt;&gt;"",J2459,L2459)</f>
        <v>39, 42, GOLDUCK</v>
      </c>
    </row>
    <row r="2460" customFormat="false" ht="12.75" hidden="false" customHeight="true" outlineLevel="0" collapsed="false">
      <c r="A2460" s="3" t="s">
        <v>3533</v>
      </c>
      <c r="B2460" s="3" t="str">
        <f aca="false">IF(ISNUMBER(SEARCH("%", A2460)),RIGHT(A2460,3),A2460)</f>
        <v>43, 46, DODRIO</v>
      </c>
      <c r="C2460" s="1" t="str">
        <f aca="false" t="array" ref="C2460:C2460">IF(B2459="NEW ROUTE",textsplit(B2460,","),"")</f>
        <v/>
      </c>
      <c r="H2460" s="1" t="str">
        <f aca="false">IF(C2460&lt;&gt;"",DEC2HEX(C2460,2),"")</f>
        <v/>
      </c>
      <c r="I2460" s="1" t="str">
        <f aca="false">IF(D2460&lt;&gt;"",DEC2HEX(D2460,2),"")</f>
        <v/>
      </c>
      <c r="J2460" s="1" t="str">
        <f aca="false">IF(H2460&lt;&gt;"","0x"&amp;I2460&amp;H2460,"")</f>
        <v/>
      </c>
      <c r="L2460" s="1" t="s">
        <v>3533</v>
      </c>
      <c r="M2460" s="1" t="str">
        <f aca="false">IF(J2460&lt;&gt;"",J2460,L2460)</f>
        <v>43, 46, DODRIO</v>
      </c>
    </row>
    <row r="2461" customFormat="false" ht="12.75" hidden="false" customHeight="true" outlineLevel="0" collapsed="false">
      <c r="A2461" s="3" t="s">
        <v>3534</v>
      </c>
      <c r="B2461" s="3" t="str">
        <f aca="false">IF(ISNUMBER(SEARCH("%", A2461)),RIGHT(A2461,3),A2461)</f>
        <v>43, 46, GOLDUCK</v>
      </c>
      <c r="C2461" s="1" t="str">
        <f aca="false" t="array" ref="C2461:C2461">IF(B2460="NEW ROUTE",textsplit(B2461,","),"")</f>
        <v/>
      </c>
      <c r="H2461" s="1" t="str">
        <f aca="false">IF(C2461&lt;&gt;"",DEC2HEX(C2461,2),"")</f>
        <v/>
      </c>
      <c r="I2461" s="1" t="str">
        <f aca="false">IF(D2461&lt;&gt;"",DEC2HEX(D2461,2),"")</f>
        <v/>
      </c>
      <c r="J2461" s="1" t="str">
        <f aca="false">IF(H2461&lt;&gt;"","0x"&amp;I2461&amp;H2461,"")</f>
        <v/>
      </c>
      <c r="L2461" s="1" t="s">
        <v>3534</v>
      </c>
      <c r="M2461" s="1" t="str">
        <f aca="false">IF(J2461&lt;&gt;"",J2461,L2461)</f>
        <v>43, 46, GOLDUCK</v>
      </c>
    </row>
    <row r="2462" customFormat="false" ht="12.75" hidden="false" customHeight="true" outlineLevel="0" collapsed="false">
      <c r="A2462" s="3" t="s">
        <v>2806</v>
      </c>
      <c r="B2462" s="3" t="str">
        <f aca="false">IF(ISNUMBER(SEARCH("%", A2462)),RIGHT(A2462,3),A2462)</f>
        <v>0.05</v>
      </c>
      <c r="C2462" s="1" t="str">
        <f aca="false" t="array" ref="C2462:C2462">IF(B2461="NEW ROUTE",textsplit(B2462,","),"")</f>
        <v/>
      </c>
      <c r="H2462" s="1" t="str">
        <f aca="false">IF(C2462&lt;&gt;"",DEC2HEX(C2462,2),"")</f>
        <v/>
      </c>
      <c r="I2462" s="1" t="str">
        <f aca="false">IF(D2462&lt;&gt;"",DEC2HEX(D2462,2),"")</f>
        <v/>
      </c>
      <c r="J2462" s="1" t="str">
        <f aca="false">IF(H2462&lt;&gt;"","0x"&amp;I2462&amp;H2462,"")</f>
        <v/>
      </c>
      <c r="L2462" s="1" t="s">
        <v>2806</v>
      </c>
      <c r="M2462" s="1" t="str">
        <f aca="false">IF(J2462&lt;&gt;"",J2462,L2462)</f>
        <v>0.05</v>
      </c>
    </row>
    <row r="2463" customFormat="false" ht="12.75" hidden="false" customHeight="true" outlineLevel="0" collapsed="false">
      <c r="A2463" s="3" t="s">
        <v>3535</v>
      </c>
      <c r="B2463" s="3" t="str">
        <f aca="false">IF(ISNUMBER(SEARCH("%", A2463)),RIGHT(A2463,3),A2463)</f>
        <v>43, 50, TANGATHER</v>
      </c>
      <c r="C2463" s="1" t="str">
        <f aca="false" t="array" ref="C2463:C2463">IF(B2462="NEW ROUTE",textsplit(B2463,","),"")</f>
        <v/>
      </c>
      <c r="H2463" s="1" t="str">
        <f aca="false">IF(C2463&lt;&gt;"",DEC2HEX(C2463,2),"")</f>
        <v/>
      </c>
      <c r="I2463" s="1" t="str">
        <f aca="false">IF(D2463&lt;&gt;"",DEC2HEX(D2463,2),"")</f>
        <v/>
      </c>
      <c r="J2463" s="1" t="str">
        <f aca="false">IF(H2463&lt;&gt;"","0x"&amp;I2463&amp;H2463,"")</f>
        <v/>
      </c>
      <c r="L2463" s="1" t="s">
        <v>3535</v>
      </c>
      <c r="M2463" s="1" t="str">
        <f aca="false">IF(J2463&lt;&gt;"",J2463,L2463)</f>
        <v>43, 50, TANGATHER</v>
      </c>
    </row>
    <row r="2464" customFormat="false" ht="12.75" hidden="false" customHeight="true" outlineLevel="0" collapsed="false">
      <c r="A2464" s="3" t="s">
        <v>3536</v>
      </c>
      <c r="B2464" s="3" t="str">
        <f aca="false">IF(ISNUMBER(SEARCH("%", A2464)),RIGHT(A2464,3),A2464)</f>
        <v>43, 50, EXEGGITY</v>
      </c>
      <c r="C2464" s="1" t="str">
        <f aca="false" t="array" ref="C2464:C2464">IF(B2463="NEW ROUTE",textsplit(B2464,","),"")</f>
        <v/>
      </c>
      <c r="H2464" s="1" t="str">
        <f aca="false">IF(C2464&lt;&gt;"",DEC2HEX(C2464,2),"")</f>
        <v/>
      </c>
      <c r="I2464" s="1" t="str">
        <f aca="false">IF(D2464&lt;&gt;"",DEC2HEX(D2464,2),"")</f>
        <v/>
      </c>
      <c r="J2464" s="1" t="str">
        <f aca="false">IF(H2464&lt;&gt;"","0x"&amp;I2464&amp;H2464,"")</f>
        <v/>
      </c>
      <c r="L2464" s="1" t="s">
        <v>3536</v>
      </c>
      <c r="M2464" s="1" t="str">
        <f aca="false">IF(J2464&lt;&gt;"",J2464,L2464)</f>
        <v>43, 50, EXEGGITY</v>
      </c>
    </row>
    <row r="2465" customFormat="false" ht="12.75" hidden="false" customHeight="true" outlineLevel="0" collapsed="false">
      <c r="A2465" s="3" t="s">
        <v>2809</v>
      </c>
      <c r="B2465" s="3" t="str">
        <f aca="false">IF(ISNUMBER(SEARCH("%", A2465)),RIGHT(A2465,3),A2465)</f>
        <v>0.04</v>
      </c>
      <c r="C2465" s="1" t="str">
        <f aca="false" t="array" ref="C2465:C2465">IF(B2464="NEW ROUTE",textsplit(B2465,","),"")</f>
        <v/>
      </c>
      <c r="H2465" s="1" t="str">
        <f aca="false">IF(C2465&lt;&gt;"",DEC2HEX(C2465,2),"")</f>
        <v/>
      </c>
      <c r="I2465" s="1" t="str">
        <f aca="false">IF(D2465&lt;&gt;"",DEC2HEX(D2465,2),"")</f>
        <v/>
      </c>
      <c r="J2465" s="1" t="str">
        <f aca="false">IF(H2465&lt;&gt;"","0x"&amp;I2465&amp;H2465,"")</f>
        <v/>
      </c>
      <c r="L2465" s="1" t="s">
        <v>2809</v>
      </c>
      <c r="M2465" s="1" t="str">
        <f aca="false">IF(J2465&lt;&gt;"",J2465,L2465)</f>
        <v>0.04</v>
      </c>
    </row>
    <row r="2466" customFormat="false" ht="12.75" hidden="false" customHeight="true" outlineLevel="0" collapsed="false">
      <c r="A2466" s="3" t="s">
        <v>3537</v>
      </c>
      <c r="B2466" s="3" t="str">
        <f aca="false">IF(ISNUMBER(SEARCH("%", A2466)),RIGHT(A2466,3),A2466)</f>
        <v>43, 50, GILDUCK</v>
      </c>
      <c r="C2466" s="1" t="str">
        <f aca="false" t="array" ref="C2466:C2466">IF(B2465="NEW ROUTE",textsplit(B2466,","),"")</f>
        <v/>
      </c>
      <c r="H2466" s="1" t="str">
        <f aca="false">IF(C2466&lt;&gt;"",DEC2HEX(C2466,2),"")</f>
        <v/>
      </c>
      <c r="I2466" s="1" t="str">
        <f aca="false">IF(D2466&lt;&gt;"",DEC2HEX(D2466,2),"")</f>
        <v/>
      </c>
      <c r="J2466" s="1" t="str">
        <f aca="false">IF(H2466&lt;&gt;"","0x"&amp;I2466&amp;H2466,"")</f>
        <v/>
      </c>
      <c r="L2466" s="1" t="s">
        <v>3537</v>
      </c>
      <c r="M2466" s="1" t="str">
        <f aca="false">IF(J2466&lt;&gt;"",J2466,L2466)</f>
        <v>43, 50, GILDUCK</v>
      </c>
    </row>
    <row r="2467" customFormat="false" ht="12.75" hidden="false" customHeight="true" outlineLevel="0" collapsed="false">
      <c r="A2467" s="3" t="s">
        <v>3538</v>
      </c>
      <c r="B2467" s="3" t="str">
        <f aca="false">IF(ISNUMBER(SEARCH("%", A2467)),RIGHT(A2467,3),A2467)</f>
        <v>43, 50, QUADODO</v>
      </c>
      <c r="C2467" s="1" t="str">
        <f aca="false" t="array" ref="C2467:C2467">IF(B2466="NEW ROUTE",textsplit(B2467,","),"")</f>
        <v/>
      </c>
      <c r="H2467" s="1" t="str">
        <f aca="false">IF(C2467&lt;&gt;"",DEC2HEX(C2467,2),"")</f>
        <v/>
      </c>
      <c r="I2467" s="1" t="str">
        <f aca="false">IF(D2467&lt;&gt;"",DEC2HEX(D2467,2),"")</f>
        <v/>
      </c>
      <c r="J2467" s="1" t="str">
        <f aca="false">IF(H2467&lt;&gt;"","0x"&amp;I2467&amp;H2467,"")</f>
        <v/>
      </c>
      <c r="L2467" s="1" t="s">
        <v>3538</v>
      </c>
      <c r="M2467" s="1" t="str">
        <f aca="false">IF(J2467&lt;&gt;"",J2467,L2467)</f>
        <v>43, 50, QUADODO</v>
      </c>
    </row>
    <row r="2468" customFormat="false" ht="12.75" hidden="false" customHeight="true" outlineLevel="0" collapsed="false">
      <c r="A2468" s="3" t="s">
        <v>2812</v>
      </c>
      <c r="B2468" s="3" t="str">
        <f aca="false">IF(ISNUMBER(SEARCH("%", A2468)),RIGHT(A2468,3),A2468)</f>
        <v>0.01</v>
      </c>
      <c r="C2468" s="1" t="str">
        <f aca="false" t="array" ref="C2468:C2468">IF(B2467="NEW ROUTE",textsplit(B2468,","),"")</f>
        <v/>
      </c>
      <c r="H2468" s="1" t="str">
        <f aca="false">IF(C2468&lt;&gt;"",DEC2HEX(C2468,2),"")</f>
        <v/>
      </c>
      <c r="I2468" s="1" t="str">
        <f aca="false">IF(D2468&lt;&gt;"",DEC2HEX(D2468,2),"")</f>
        <v/>
      </c>
      <c r="J2468" s="1" t="str">
        <f aca="false">IF(H2468&lt;&gt;"","0x"&amp;I2468&amp;H2468,"")</f>
        <v/>
      </c>
      <c r="L2468" s="1" t="s">
        <v>2812</v>
      </c>
      <c r="M2468" s="1" t="str">
        <f aca="false">IF(J2468&lt;&gt;"",J2468,L2468)</f>
        <v>0.01</v>
      </c>
    </row>
    <row r="2469" customFormat="false" ht="12.75" hidden="false" customHeight="true" outlineLevel="0" collapsed="false">
      <c r="A2469" s="3" t="s">
        <v>3539</v>
      </c>
      <c r="B2469" s="3" t="str">
        <f aca="false">IF(ISNUMBER(SEARCH("%", A2469)),RIGHT(A2469,3),A2469)</f>
        <v>45, 52, TANGOLIATH</v>
      </c>
      <c r="C2469" s="1" t="str">
        <f aca="false" t="array" ref="C2469:C2469">IF(B2468="NEW ROUTE",textsplit(B2469,","),"")</f>
        <v/>
      </c>
      <c r="H2469" s="1" t="str">
        <f aca="false">IF(C2469&lt;&gt;"",DEC2HEX(C2469,2),"")</f>
        <v/>
      </c>
      <c r="I2469" s="1" t="str">
        <f aca="false">IF(D2469&lt;&gt;"",DEC2HEX(D2469,2),"")</f>
        <v/>
      </c>
      <c r="J2469" s="1" t="str">
        <f aca="false">IF(H2469&lt;&gt;"","0x"&amp;I2469&amp;H2469,"")</f>
        <v/>
      </c>
      <c r="L2469" s="1" t="s">
        <v>3539</v>
      </c>
      <c r="M2469" s="1" t="str">
        <f aca="false">IF(J2469&lt;&gt;"",J2469,L2469)</f>
        <v>45, 52, TANGOLIATH</v>
      </c>
    </row>
    <row r="2470" customFormat="false" ht="12.75" hidden="false" customHeight="true" outlineLevel="0" collapsed="false">
      <c r="A2470" s="3" t="s">
        <v>3540</v>
      </c>
      <c r="B2470" s="3" t="str">
        <f aca="false">IF(ISNUMBER(SEARCH("%", A2470)),RIGHT(A2470,3),A2470)</f>
        <v>44, 44, TANGOLIATH</v>
      </c>
      <c r="C2470" s="1" t="str">
        <f aca="false" t="array" ref="C2470:C2470">IF(B2469="NEW ROUTE",textsplit(B2470,","),"")</f>
        <v/>
      </c>
      <c r="H2470" s="1" t="str">
        <f aca="false">IF(C2470&lt;&gt;"",DEC2HEX(C2470,2),"")</f>
        <v/>
      </c>
      <c r="I2470" s="1" t="str">
        <f aca="false">IF(D2470&lt;&gt;"",DEC2HEX(D2470,2),"")</f>
        <v/>
      </c>
      <c r="J2470" s="1" t="str">
        <f aca="false">IF(H2470&lt;&gt;"","0x"&amp;I2470&amp;H2470,"")</f>
        <v/>
      </c>
      <c r="L2470" s="1" t="s">
        <v>3540</v>
      </c>
      <c r="M2470" s="1" t="str">
        <f aca="false">IF(J2470&lt;&gt;"",J2470,L2470)</f>
        <v>44, 44, TANGOLIATH</v>
      </c>
    </row>
    <row r="2471" customFormat="false" ht="12.75" hidden="false" customHeight="true" outlineLevel="0" collapsed="false">
      <c r="A2471" s="3" t="s">
        <v>3349</v>
      </c>
      <c r="B2471" s="3" t="str">
        <f aca="false">IF(ISNUMBER(SEARCH("%", A2471)),RIGHT(A2471,3),A2471)</f>
        <v>2, 38, 42, TENTACOOL</v>
      </c>
      <c r="C2471" s="1" t="str">
        <f aca="false" t="array" ref="C2471:C2471">IF(B2470="NEW ROUTE",textsplit(B2471,","),"")</f>
        <v/>
      </c>
      <c r="H2471" s="1" t="str">
        <f aca="false">IF(C2471&lt;&gt;"",DEC2HEX(C2471,2),"")</f>
        <v/>
      </c>
      <c r="I2471" s="1" t="str">
        <f aca="false">IF(D2471&lt;&gt;"",DEC2HEX(D2471,2),"")</f>
        <v/>
      </c>
      <c r="J2471" s="1" t="str">
        <f aca="false">IF(H2471&lt;&gt;"","0x"&amp;I2471&amp;H2471,"")</f>
        <v/>
      </c>
      <c r="L2471" s="1" t="s">
        <v>3349</v>
      </c>
      <c r="M2471" s="1" t="str">
        <f aca="false">IF(J2471&lt;&gt;"",J2471,L2471)</f>
        <v>2, 38, 42, TENTACOOL</v>
      </c>
    </row>
    <row r="2472" customFormat="false" ht="12.75" hidden="false" customHeight="true" outlineLevel="0" collapsed="false">
      <c r="A2472" s="3" t="s">
        <v>3428</v>
      </c>
      <c r="B2472" s="3" t="str">
        <f aca="false">IF(ISNUMBER(SEARCH("%", A2472)),RIGHT(A2472,3),A2472)</f>
        <v>40, 44, TENTACRUEL</v>
      </c>
      <c r="C2472" s="1" t="str">
        <f aca="false" t="array" ref="C2472:C2472">IF(B2471="NEW ROUTE",textsplit(B2472,","),"")</f>
        <v/>
      </c>
      <c r="H2472" s="1" t="str">
        <f aca="false">IF(C2472&lt;&gt;"",DEC2HEX(C2472,2),"")</f>
        <v/>
      </c>
      <c r="I2472" s="1" t="str">
        <f aca="false">IF(D2472&lt;&gt;"",DEC2HEX(D2472,2),"")</f>
        <v/>
      </c>
      <c r="J2472" s="1" t="str">
        <f aca="false">IF(H2472&lt;&gt;"","0x"&amp;I2472&amp;H2472,"")</f>
        <v/>
      </c>
      <c r="L2472" s="1" t="s">
        <v>3428</v>
      </c>
      <c r="M2472" s="1" t="str">
        <f aca="false">IF(J2472&lt;&gt;"",J2472,L2472)</f>
        <v>40, 44, TENTACRUEL</v>
      </c>
    </row>
    <row r="2473" customFormat="false" ht="12.75" hidden="false" customHeight="true" outlineLevel="0" collapsed="false">
      <c r="A2473" s="3" t="s">
        <v>3429</v>
      </c>
      <c r="B2473" s="3" t="str">
        <f aca="false">IF(ISNUMBER(SEARCH("%", A2473)),RIGHT(A2473,3),A2473)</f>
        <v>42, 46, TENTACATE</v>
      </c>
      <c r="C2473" s="1" t="str">
        <f aca="false" t="array" ref="C2473:C2473">IF(B2472="NEW ROUTE",textsplit(B2473,","),"")</f>
        <v/>
      </c>
      <c r="H2473" s="1" t="str">
        <f aca="false">IF(C2473&lt;&gt;"",DEC2HEX(C2473,2),"")</f>
        <v/>
      </c>
      <c r="I2473" s="1" t="str">
        <f aca="false">IF(D2473&lt;&gt;"",DEC2HEX(D2473,2),"")</f>
        <v/>
      </c>
      <c r="J2473" s="1" t="str">
        <f aca="false">IF(H2473&lt;&gt;"","0x"&amp;I2473&amp;H2473,"")</f>
        <v/>
      </c>
      <c r="L2473" s="1" t="s">
        <v>3429</v>
      </c>
      <c r="M2473" s="1" t="str">
        <f aca="false">IF(J2473&lt;&gt;"",J2473,L2473)</f>
        <v>42, 46, TENTACATE</v>
      </c>
    </row>
    <row r="2474" customFormat="false" ht="12.75" hidden="false" customHeight="true" outlineLevel="0" collapsed="false">
      <c r="A2474" s="3" t="s">
        <v>3024</v>
      </c>
      <c r="B2474" s="3" t="str">
        <f aca="false">IF(ISNUMBER(SEARCH("%", A2474)),RIGHT(A2474,3),A2474)</f>
        <v>42, 46, LAPRAS</v>
      </c>
      <c r="C2474" s="1" t="str">
        <f aca="false" t="array" ref="C2474:C2474">IF(B2473="NEW ROUTE",textsplit(B2474,","),"")</f>
        <v/>
      </c>
      <c r="H2474" s="1" t="str">
        <f aca="false">IF(C2474&lt;&gt;"",DEC2HEX(C2474,2),"")</f>
        <v/>
      </c>
      <c r="I2474" s="1" t="str">
        <f aca="false">IF(D2474&lt;&gt;"",DEC2HEX(D2474,2),"")</f>
        <v/>
      </c>
      <c r="J2474" s="1" t="str">
        <f aca="false">IF(H2474&lt;&gt;"","0x"&amp;I2474&amp;H2474,"")</f>
        <v/>
      </c>
      <c r="L2474" s="1" t="s">
        <v>3024</v>
      </c>
      <c r="M2474" s="1" t="str">
        <f aca="false">IF(J2474&lt;&gt;"",J2474,L2474)</f>
        <v>42, 46, LAPRAS</v>
      </c>
    </row>
    <row r="2475" customFormat="false" ht="12.75" hidden="false" customHeight="true" outlineLevel="0" collapsed="false">
      <c r="A2475" s="3" t="s">
        <v>3449</v>
      </c>
      <c r="B2475" s="3" t="str">
        <f aca="false">IF(ISNUMBER(SEARCH("%", A2475)),RIGHT(A2475,3),A2475)</f>
        <v>44, 48, LOCHLASS</v>
      </c>
      <c r="C2475" s="1" t="str">
        <f aca="false" t="array" ref="C2475:C2475">IF(B2474="NEW ROUTE",textsplit(B2475,","),"")</f>
        <v/>
      </c>
      <c r="H2475" s="1" t="str">
        <f aca="false">IF(C2475&lt;&gt;"",DEC2HEX(C2475,2),"")</f>
        <v/>
      </c>
      <c r="I2475" s="1" t="str">
        <f aca="false">IF(D2475&lt;&gt;"",DEC2HEX(D2475,2),"")</f>
        <v/>
      </c>
      <c r="J2475" s="1" t="str">
        <f aca="false">IF(H2475&lt;&gt;"","0x"&amp;I2475&amp;H2475,"")</f>
        <v/>
      </c>
      <c r="L2475" s="1" t="s">
        <v>3449</v>
      </c>
      <c r="M2475" s="1" t="str">
        <f aca="false">IF(J2475&lt;&gt;"",J2475,L2475)</f>
        <v>44, 48, LOCHLASS</v>
      </c>
    </row>
    <row r="2476" customFormat="false" ht="12.75" hidden="false" customHeight="true" outlineLevel="0" collapsed="false">
      <c r="A2476" s="3" t="s">
        <v>2925</v>
      </c>
      <c r="B2476" s="3" t="str">
        <f aca="false">IF(ISNUMBER(SEARCH("%", A2476)),RIGHT(A2476,3),A2476)</f>
        <v>20, old rod:</v>
      </c>
      <c r="C2476" s="1" t="str">
        <f aca="false" t="array" ref="C2476:C2476">IF(B2475="NEW ROUTE",textsplit(B2476,","),"")</f>
        <v/>
      </c>
      <c r="H2476" s="1" t="str">
        <f aca="false">IF(C2476&lt;&gt;"",DEC2HEX(C2476,2),"")</f>
        <v/>
      </c>
      <c r="I2476" s="1" t="str">
        <f aca="false">IF(D2476&lt;&gt;"",DEC2HEX(D2476,2),"")</f>
        <v/>
      </c>
      <c r="J2476" s="1" t="str">
        <f aca="false">IF(H2476&lt;&gt;"","0x"&amp;I2476&amp;H2476,"")</f>
        <v/>
      </c>
      <c r="L2476" s="1" t="s">
        <v>2925</v>
      </c>
      <c r="M2476" s="1" t="str">
        <f aca="false">IF(J2476&lt;&gt;"",J2476,L2476)</f>
        <v>20, old rod:</v>
      </c>
    </row>
    <row r="2477" customFormat="false" ht="12.75" hidden="false" customHeight="true" outlineLevel="0" collapsed="false">
      <c r="A2477" s="3" t="s">
        <v>2008</v>
      </c>
      <c r="B2477" s="3" t="str">
        <f aca="false">IF(ISNUMBER(SEARCH("%", A2477)),RIGHT(A2477,3),A2477)</f>
        <v>19, 26, PSYDUCK</v>
      </c>
      <c r="C2477" s="1" t="str">
        <f aca="false" t="array" ref="C2477:C2477">IF(B2476="NEW ROUTE",textsplit(B2477,","),"")</f>
        <v/>
      </c>
      <c r="H2477" s="1" t="str">
        <f aca="false">IF(C2477&lt;&gt;"",DEC2HEX(C2477,2),"")</f>
        <v/>
      </c>
      <c r="I2477" s="1" t="str">
        <f aca="false">IF(D2477&lt;&gt;"",DEC2HEX(D2477,2),"")</f>
        <v/>
      </c>
      <c r="J2477" s="1" t="str">
        <f aca="false">IF(H2477&lt;&gt;"","0x"&amp;I2477&amp;H2477,"")</f>
        <v/>
      </c>
      <c r="L2477" s="1" t="s">
        <v>2008</v>
      </c>
      <c r="M2477" s="1" t="str">
        <f aca="false">IF(J2477&lt;&gt;"",J2477,L2477)</f>
        <v>19, 26, PSYDUCK</v>
      </c>
    </row>
    <row r="2478" customFormat="false" ht="12.75" hidden="false" customHeight="true" outlineLevel="0" collapsed="false">
      <c r="A2478" s="3" t="s">
        <v>1451</v>
      </c>
      <c r="B2478" s="3" t="str">
        <f aca="false">IF(ISNUMBER(SEARCH("%", A2478)),RIGHT(A2478,3),A2478)</f>
        <v>19, 26, HORSEA</v>
      </c>
      <c r="C2478" s="1" t="str">
        <f aca="false" t="array" ref="C2478:C2478">IF(B2477="NEW ROUTE",textsplit(B2478,","),"")</f>
        <v/>
      </c>
      <c r="H2478" s="1" t="str">
        <f aca="false">IF(C2478&lt;&gt;"",DEC2HEX(C2478,2),"")</f>
        <v/>
      </c>
      <c r="I2478" s="1" t="str">
        <f aca="false">IF(D2478&lt;&gt;"",DEC2HEX(D2478,2),"")</f>
        <v/>
      </c>
      <c r="J2478" s="1" t="str">
        <f aca="false">IF(H2478&lt;&gt;"","0x"&amp;I2478&amp;H2478,"")</f>
        <v/>
      </c>
      <c r="L2478" s="1" t="s">
        <v>1451</v>
      </c>
      <c r="M2478" s="1" t="str">
        <f aca="false">IF(J2478&lt;&gt;"",J2478,L2478)</f>
        <v>19, 26, HORSEA</v>
      </c>
    </row>
    <row r="2479" customFormat="false" ht="12.75" hidden="false" customHeight="true" outlineLevel="0" collapsed="false">
      <c r="A2479" s="3" t="s">
        <v>2846</v>
      </c>
      <c r="B2479" s="3" t="str">
        <f aca="false">IF(ISNUMBER(SEARCH("%", A2479)),RIGHT(A2479,3),A2479)</f>
        <v>good rod:</v>
      </c>
      <c r="C2479" s="1" t="str">
        <f aca="false" t="array" ref="C2479:C2479">IF(B2478="NEW ROUTE",textsplit(B2479,","),"")</f>
        <v/>
      </c>
      <c r="H2479" s="1" t="str">
        <f aca="false">IF(C2479&lt;&gt;"",DEC2HEX(C2479,2),"")</f>
        <v/>
      </c>
      <c r="I2479" s="1" t="str">
        <f aca="false">IF(D2479&lt;&gt;"",DEC2HEX(D2479,2),"")</f>
        <v/>
      </c>
      <c r="J2479" s="1" t="str">
        <f aca="false">IF(H2479&lt;&gt;"","0x"&amp;I2479&amp;H2479,"")</f>
        <v/>
      </c>
      <c r="L2479" s="1" t="s">
        <v>2846</v>
      </c>
      <c r="M2479" s="1" t="str">
        <f aca="false">IF(J2479&lt;&gt;"",J2479,L2479)</f>
        <v>good rod:</v>
      </c>
    </row>
    <row r="2480" customFormat="false" ht="12.75" hidden="false" customHeight="true" outlineLevel="0" collapsed="false">
      <c r="A2480" s="3" t="s">
        <v>3026</v>
      </c>
      <c r="B2480" s="3" t="str">
        <f aca="false">IF(ISNUMBER(SEARCH("%", A2480)),RIGHT(A2480,3),A2480)</f>
        <v>29, 33, SEADRA</v>
      </c>
      <c r="C2480" s="1" t="str">
        <f aca="false" t="array" ref="C2480:C2480">IF(B2479="NEW ROUTE",textsplit(B2480,","),"")</f>
        <v/>
      </c>
      <c r="H2480" s="1" t="str">
        <f aca="false">IF(C2480&lt;&gt;"",DEC2HEX(C2480,2),"")</f>
        <v/>
      </c>
      <c r="I2480" s="1" t="str">
        <f aca="false">IF(D2480&lt;&gt;"",DEC2HEX(D2480,2),"")</f>
        <v/>
      </c>
      <c r="J2480" s="1" t="str">
        <f aca="false">IF(H2480&lt;&gt;"","0x"&amp;I2480&amp;H2480,"")</f>
        <v/>
      </c>
      <c r="L2480" s="1" t="s">
        <v>3026</v>
      </c>
      <c r="M2480" s="1" t="str">
        <f aca="false">IF(J2480&lt;&gt;"",J2480,L2480)</f>
        <v>29, 33, SEADRA</v>
      </c>
    </row>
    <row r="2481" customFormat="false" ht="12.75" hidden="false" customHeight="true" outlineLevel="0" collapsed="false">
      <c r="A2481" s="3" t="s">
        <v>3027</v>
      </c>
      <c r="B2481" s="3" t="str">
        <f aca="false">IF(ISNUMBER(SEARCH("%", A2481)),RIGHT(A2481,3),A2481)</f>
        <v>30, 35, KRABBY</v>
      </c>
      <c r="C2481" s="1" t="str">
        <f aca="false" t="array" ref="C2481:C2481">IF(B2480="NEW ROUTE",textsplit(B2481,","),"")</f>
        <v/>
      </c>
      <c r="H2481" s="1" t="str">
        <f aca="false">IF(C2481&lt;&gt;"",DEC2HEX(C2481,2),"")</f>
        <v/>
      </c>
      <c r="I2481" s="1" t="str">
        <f aca="false">IF(D2481&lt;&gt;"",DEC2HEX(D2481,2),"")</f>
        <v/>
      </c>
      <c r="J2481" s="1" t="str">
        <f aca="false">IF(H2481&lt;&gt;"","0x"&amp;I2481&amp;H2481,"")</f>
        <v/>
      </c>
      <c r="L2481" s="1" t="s">
        <v>3027</v>
      </c>
      <c r="M2481" s="1" t="str">
        <f aca="false">IF(J2481&lt;&gt;"",J2481,L2481)</f>
        <v>30, 35, KRABBY</v>
      </c>
    </row>
    <row r="2482" customFormat="false" ht="12.75" hidden="false" customHeight="true" outlineLevel="0" collapsed="false">
      <c r="A2482" s="3" t="s">
        <v>3028</v>
      </c>
      <c r="B2482" s="3" t="str">
        <f aca="false">IF(ISNUMBER(SEARCH("%", A2482)),RIGHT(A2482,3),A2482)</f>
        <v>30, 35, GOLDUCK</v>
      </c>
      <c r="C2482" s="1" t="str">
        <f aca="false" t="array" ref="C2482:C2482">IF(B2481="NEW ROUTE",textsplit(B2482,","),"")</f>
        <v/>
      </c>
      <c r="H2482" s="1" t="str">
        <f aca="false">IF(C2482&lt;&gt;"",DEC2HEX(C2482,2),"")</f>
        <v/>
      </c>
      <c r="I2482" s="1" t="str">
        <f aca="false">IF(D2482&lt;&gt;"",DEC2HEX(D2482,2),"")</f>
        <v/>
      </c>
      <c r="J2482" s="1" t="str">
        <f aca="false">IF(H2482&lt;&gt;"","0x"&amp;I2482&amp;H2482,"")</f>
        <v/>
      </c>
      <c r="L2482" s="1" t="s">
        <v>3028</v>
      </c>
      <c r="M2482" s="1" t="str">
        <f aca="false">IF(J2482&lt;&gt;"",J2482,L2482)</f>
        <v>30, 35, GOLDUCK</v>
      </c>
    </row>
    <row r="2483" customFormat="false" ht="12.75" hidden="false" customHeight="true" outlineLevel="0" collapsed="false">
      <c r="A2483" s="3" t="s">
        <v>2850</v>
      </c>
      <c r="B2483" s="3" t="str">
        <f aca="false">IF(ISNUMBER(SEARCH("%", A2483)),RIGHT(A2483,3),A2483)</f>
        <v>super rod:</v>
      </c>
      <c r="C2483" s="1" t="str">
        <f aca="false" t="array" ref="C2483:C2483">IF(B2482="NEW ROUTE",textsplit(B2483,","),"")</f>
        <v/>
      </c>
      <c r="H2483" s="1" t="str">
        <f aca="false">IF(C2483&lt;&gt;"",DEC2HEX(C2483,2),"")</f>
        <v/>
      </c>
      <c r="I2483" s="1" t="str">
        <f aca="false">IF(D2483&lt;&gt;"",DEC2HEX(D2483,2),"")</f>
        <v/>
      </c>
      <c r="J2483" s="1" t="str">
        <f aca="false">IF(H2483&lt;&gt;"","0x"&amp;I2483&amp;H2483,"")</f>
        <v/>
      </c>
      <c r="L2483" s="1" t="s">
        <v>2850</v>
      </c>
      <c r="M2483" s="1" t="str">
        <f aca="false">IF(J2483&lt;&gt;"",J2483,L2483)</f>
        <v>super rod:</v>
      </c>
    </row>
    <row r="2484" customFormat="false" ht="12.75" hidden="false" customHeight="true" outlineLevel="0" collapsed="false">
      <c r="A2484" s="3" t="s">
        <v>3029</v>
      </c>
      <c r="B2484" s="3" t="str">
        <f aca="false">IF(ISNUMBER(SEARCH("%", A2484)),RIGHT(A2484,3),A2484)</f>
        <v>36, 40, KINGDRA</v>
      </c>
      <c r="C2484" s="1" t="str">
        <f aca="false" t="array" ref="C2484:C2484">IF(B2483="NEW ROUTE",textsplit(B2484,","),"")</f>
        <v/>
      </c>
      <c r="H2484" s="1" t="str">
        <f aca="false">IF(C2484&lt;&gt;"",DEC2HEX(C2484,2),"")</f>
        <v/>
      </c>
      <c r="I2484" s="1" t="str">
        <f aca="false">IF(D2484&lt;&gt;"",DEC2HEX(D2484,2),"")</f>
        <v/>
      </c>
      <c r="J2484" s="1" t="str">
        <f aca="false">IF(H2484&lt;&gt;"","0x"&amp;I2484&amp;H2484,"")</f>
        <v/>
      </c>
      <c r="L2484" s="1" t="s">
        <v>3029</v>
      </c>
      <c r="M2484" s="1" t="str">
        <f aca="false">IF(J2484&lt;&gt;"",J2484,L2484)</f>
        <v>36, 40, KINGDRA</v>
      </c>
    </row>
    <row r="2485" customFormat="false" ht="12.75" hidden="false" customHeight="true" outlineLevel="0" collapsed="false">
      <c r="A2485" s="3" t="s">
        <v>3527</v>
      </c>
      <c r="B2485" s="3" t="str">
        <f aca="false">IF(ISNUMBER(SEARCH("%", A2485)),RIGHT(A2485,3),A2485)</f>
        <v>36, 40, KINGLER</v>
      </c>
      <c r="C2485" s="1" t="str">
        <f aca="false" t="array" ref="C2485:C2485">IF(B2484="NEW ROUTE",textsplit(B2485,","),"")</f>
        <v/>
      </c>
      <c r="H2485" s="1" t="str">
        <f aca="false">IF(C2485&lt;&gt;"",DEC2HEX(C2485,2),"")</f>
        <v/>
      </c>
      <c r="I2485" s="1" t="str">
        <f aca="false">IF(D2485&lt;&gt;"",DEC2HEX(D2485,2),"")</f>
        <v/>
      </c>
      <c r="J2485" s="1" t="str">
        <f aca="false">IF(H2485&lt;&gt;"","0x"&amp;I2485&amp;H2485,"")</f>
        <v/>
      </c>
      <c r="L2485" s="1" t="s">
        <v>3527</v>
      </c>
      <c r="M2485" s="1" t="str">
        <f aca="false">IF(J2485&lt;&gt;"",J2485,L2485)</f>
        <v>36, 40, KINGLER</v>
      </c>
    </row>
    <row r="2486" customFormat="false" ht="12.75" hidden="false" customHeight="true" outlineLevel="0" collapsed="false">
      <c r="A2486" s="3" t="s">
        <v>3031</v>
      </c>
      <c r="B2486" s="3" t="str">
        <f aca="false">IF(ISNUMBER(SEARCH("%", A2486)),RIGHT(A2486,3),A2486)</f>
        <v>38, 42, GILDUCK</v>
      </c>
      <c r="C2486" s="1" t="str">
        <f aca="false" t="array" ref="C2486:C2486">IF(B2485="NEW ROUTE",textsplit(B2486,","),"")</f>
        <v/>
      </c>
      <c r="H2486" s="1" t="str">
        <f aca="false">IF(C2486&lt;&gt;"",DEC2HEX(C2486,2),"")</f>
        <v/>
      </c>
      <c r="I2486" s="1" t="str">
        <f aca="false">IF(D2486&lt;&gt;"",DEC2HEX(D2486,2),"")</f>
        <v/>
      </c>
      <c r="J2486" s="1" t="str">
        <f aca="false">IF(H2486&lt;&gt;"","0x"&amp;I2486&amp;H2486,"")</f>
        <v/>
      </c>
      <c r="L2486" s="1" t="s">
        <v>3031</v>
      </c>
      <c r="M2486" s="1" t="str">
        <f aca="false">IF(J2486&lt;&gt;"",J2486,L2486)</f>
        <v>38, 42, GILDUCK</v>
      </c>
    </row>
    <row r="2487" customFormat="false" ht="12.75" hidden="false" customHeight="true" outlineLevel="0" collapsed="false">
      <c r="A2487" s="3" t="s">
        <v>3032</v>
      </c>
      <c r="B2487" s="3" t="str">
        <f aca="false">IF(ISNUMBER(SEARCH("%", A2487)),RIGHT(A2487,3),A2487)</f>
        <v>38, 42, KRAKLAW</v>
      </c>
      <c r="C2487" s="1" t="str">
        <f aca="false" t="array" ref="C2487:C2487">IF(B2486="NEW ROUTE",textsplit(B2487,","),"")</f>
        <v/>
      </c>
      <c r="H2487" s="1" t="str">
        <f aca="false">IF(C2487&lt;&gt;"",DEC2HEX(C2487,2),"")</f>
        <v/>
      </c>
      <c r="I2487" s="1" t="str">
        <f aca="false">IF(D2487&lt;&gt;"",DEC2HEX(D2487,2),"")</f>
        <v/>
      </c>
      <c r="J2487" s="1" t="str">
        <f aca="false">IF(H2487&lt;&gt;"","0x"&amp;I2487&amp;H2487,"")</f>
        <v/>
      </c>
      <c r="L2487" s="1" t="s">
        <v>3032</v>
      </c>
      <c r="M2487" s="1" t="str">
        <f aca="false">IF(J2487&lt;&gt;"",J2487,L2487)</f>
        <v>38, 42, KRAKLAW</v>
      </c>
    </row>
    <row r="2488" customFormat="false" ht="12.75" hidden="false" customHeight="true" outlineLevel="0" collapsed="false">
      <c r="A2488" s="3" t="s">
        <v>3033</v>
      </c>
      <c r="B2488" s="3" t="str">
        <f aca="false">IF(ISNUMBER(SEARCH("%", A2488)),RIGHT(A2488,3),A2488)</f>
        <v>40, 44, LORDRA</v>
      </c>
      <c r="C2488" s="1" t="str">
        <f aca="false" t="array" ref="C2488:C2488">IF(B2487="NEW ROUTE",textsplit(B2488,","),"")</f>
        <v/>
      </c>
      <c r="H2488" s="1" t="str">
        <f aca="false">IF(C2488&lt;&gt;"",DEC2HEX(C2488,2),"")</f>
        <v/>
      </c>
      <c r="I2488" s="1" t="str">
        <f aca="false">IF(D2488&lt;&gt;"",DEC2HEX(D2488,2),"")</f>
        <v/>
      </c>
      <c r="J2488" s="1" t="str">
        <f aca="false">IF(H2488&lt;&gt;"","0x"&amp;I2488&amp;H2488,"")</f>
        <v/>
      </c>
      <c r="L2488" s="1" t="s">
        <v>3033</v>
      </c>
      <c r="M2488" s="1" t="str">
        <f aca="false">IF(J2488&lt;&gt;"",J2488,L2488)</f>
        <v>40, 44, LORDRA</v>
      </c>
    </row>
    <row r="2489" customFormat="false" ht="12.75" hidden="false" customHeight="true" outlineLevel="0" collapsed="false">
      <c r="A2489" s="3" t="s">
        <v>2536</v>
      </c>
      <c r="B2489" s="3" t="str">
        <f aca="false">IF(ISNUMBER(SEARCH("%", A2489)),RIGHT(A2489,3),A2489)</f>
        <v>NEW ROUTE</v>
      </c>
      <c r="C2489" s="1" t="str">
        <f aca="false" t="array" ref="C2489:C2489">IF(B2488="NEW ROUTE",textsplit(B2489,","),"")</f>
        <v/>
      </c>
      <c r="H2489" s="1" t="str">
        <f aca="false">IF(C2489&lt;&gt;"",DEC2HEX(C2489,2),"")</f>
        <v/>
      </c>
      <c r="I2489" s="1" t="str">
        <f aca="false">IF(D2489&lt;&gt;"",DEC2HEX(D2489,2),"")</f>
        <v/>
      </c>
      <c r="J2489" s="1" t="str">
        <f aca="false">IF(H2489&lt;&gt;"","0x"&amp;I2489&amp;H2489,"")</f>
        <v/>
      </c>
      <c r="L2489" s="1" t="s">
        <v>2536</v>
      </c>
      <c r="M2489" s="1" t="str">
        <f aca="false">IF(J2489&lt;&gt;"",J2489,L2489)</f>
        <v>NEW ROUTE</v>
      </c>
    </row>
    <row r="2490" customFormat="false" ht="12.75" hidden="false" customHeight="true" outlineLevel="0" collapsed="false">
      <c r="A2490" s="3" t="s">
        <v>3542</v>
      </c>
      <c r="B2490" s="3" t="str">
        <f aca="false">IF(ISNUMBER(SEARCH("%", A2490)),RIGHT(A2490,3),A2490)</f>
        <v>3, 41, 0,</v>
      </c>
      <c r="C2490" s="1" t="e">
        <f aca="false" t="array" ref="C2490:C2490">IF(B2489="NEW ROUTE",textsplit(B2490,","),"")</f>
        <v>#NAME?</v>
      </c>
      <c r="H2490" s="1" t="e">
        <f aca="false">IF(C2490&lt;&gt;"",DEC2HEX(C2490,2),"")</f>
        <v>#NAME?</v>
      </c>
      <c r="I2490" s="1" t="str">
        <f aca="false">IF(D2490&lt;&gt;"",DEC2HEX(D2490,2),"")</f>
        <v/>
      </c>
      <c r="J2490" s="1" t="e">
        <f aca="false">IF(H2490&lt;&gt;"","0x"&amp;I2490&amp;H2490,"")</f>
        <v>#NAME?</v>
      </c>
      <c r="L2490" s="1" t="s">
        <v>3542</v>
      </c>
      <c r="M2490" s="1" t="e">
        <f aca="false">IF(J2490&lt;&gt;"",J2490,L2490)</f>
        <v>#NAME?</v>
      </c>
    </row>
    <row r="2491" customFormat="false" ht="12.75" hidden="false" customHeight="true" outlineLevel="0" collapsed="false">
      <c r="A2491" s="3" t="s">
        <v>2908</v>
      </c>
      <c r="B2491" s="3" t="str">
        <f aca="false">IF(ISNUMBER(SEARCH("%", A2491)),RIGHT(A2491,3),A2491)</f>
        <v>20%</v>
      </c>
      <c r="C2491" s="1" t="str">
        <f aca="false" t="array" ref="C2491:C2491">IF(B2490="NEW ROUTE",textsplit(B2491,","),"")</f>
        <v/>
      </c>
      <c r="H2491" s="1" t="str">
        <f aca="false">IF(C2491&lt;&gt;"",DEC2HEX(C2491,2),"")</f>
        <v/>
      </c>
      <c r="I2491" s="1" t="str">
        <f aca="false">IF(D2491&lt;&gt;"",DEC2HEX(D2491,2),"")</f>
        <v/>
      </c>
      <c r="J2491" s="1" t="str">
        <f aca="false">IF(H2491&lt;&gt;"","0x"&amp;I2491&amp;H2491,"")</f>
        <v/>
      </c>
      <c r="L2491" s="1" t="s">
        <v>2799</v>
      </c>
      <c r="M2491" s="1" t="str">
        <f aca="false">IF(J2491&lt;&gt;"",J2491,L2491)</f>
        <v>20%</v>
      </c>
    </row>
    <row r="2492" customFormat="false" ht="12.75" hidden="false" customHeight="true" outlineLevel="0" collapsed="false">
      <c r="A2492" s="3" t="s">
        <v>2027</v>
      </c>
      <c r="B2492" s="3" t="str">
        <f aca="false">IF(ISNUMBER(SEARCH("%", A2492)),RIGHT(A2492,3),A2492)</f>
        <v>2, 3, RATTATA</v>
      </c>
      <c r="C2492" s="1" t="str">
        <f aca="false" t="array" ref="C2492:C2492">IF(B2491="NEW ROUTE",textsplit(B2492,","),"")</f>
        <v/>
      </c>
      <c r="H2492" s="1" t="str">
        <f aca="false">IF(C2492&lt;&gt;"",DEC2HEX(C2492,2),"")</f>
        <v/>
      </c>
      <c r="I2492" s="1" t="str">
        <f aca="false">IF(D2492&lt;&gt;"",DEC2HEX(D2492,2),"")</f>
        <v/>
      </c>
      <c r="J2492" s="1" t="str">
        <f aca="false">IF(H2492&lt;&gt;"","0x"&amp;I2492&amp;H2492,"")</f>
        <v/>
      </c>
      <c r="L2492" s="1" t="s">
        <v>2027</v>
      </c>
      <c r="M2492" s="1" t="str">
        <f aca="false">IF(J2492&lt;&gt;"",J2492,L2492)</f>
        <v>2, 3, RATTATA</v>
      </c>
    </row>
    <row r="2493" customFormat="false" ht="12.75" hidden="false" customHeight="true" outlineLevel="0" collapsed="false">
      <c r="A2493" s="3" t="s">
        <v>3543</v>
      </c>
      <c r="B2493" s="3" t="str">
        <f aca="false">IF(ISNUMBER(SEARCH("%", A2493)),RIGHT(A2493,3),A2493)</f>
        <v>4, 5, RATTATA</v>
      </c>
      <c r="C2493" s="1" t="str">
        <f aca="false" t="array" ref="C2493:C2493">IF(B2492="NEW ROUTE",textsplit(B2493,","),"")</f>
        <v/>
      </c>
      <c r="H2493" s="1" t="str">
        <f aca="false">IF(C2493&lt;&gt;"",DEC2HEX(C2493,2),"")</f>
        <v/>
      </c>
      <c r="I2493" s="1" t="str">
        <f aca="false">IF(D2493&lt;&gt;"",DEC2HEX(D2493,2),"")</f>
        <v/>
      </c>
      <c r="J2493" s="1" t="str">
        <f aca="false">IF(H2493&lt;&gt;"","0x"&amp;I2493&amp;H2493,"")</f>
        <v/>
      </c>
      <c r="L2493" s="1" t="s">
        <v>3543</v>
      </c>
      <c r="M2493" s="1" t="str">
        <f aca="false">IF(J2493&lt;&gt;"",J2493,L2493)</f>
        <v>4, 5, RATTATA</v>
      </c>
    </row>
    <row r="2494" customFormat="false" ht="12.75" hidden="false" customHeight="true" outlineLevel="0" collapsed="false">
      <c r="A2494" s="3" t="s">
        <v>2801</v>
      </c>
      <c r="B2494" s="3" t="str">
        <f aca="false">IF(ISNUMBER(SEARCH("%", A2494)),RIGHT(A2494,3),A2494)</f>
        <v>0.1</v>
      </c>
      <c r="C2494" s="1" t="str">
        <f aca="false" t="array" ref="C2494:C2494">IF(B2493="NEW ROUTE",textsplit(B2494,","),"")</f>
        <v/>
      </c>
      <c r="H2494" s="1" t="str">
        <f aca="false">IF(C2494&lt;&gt;"",DEC2HEX(C2494,2),"")</f>
        <v/>
      </c>
      <c r="I2494" s="1" t="str">
        <f aca="false">IF(D2494&lt;&gt;"",DEC2HEX(D2494,2),"")</f>
        <v/>
      </c>
      <c r="J2494" s="1" t="str">
        <f aca="false">IF(H2494&lt;&gt;"","0x"&amp;I2494&amp;H2494,"")</f>
        <v/>
      </c>
      <c r="L2494" s="1" t="s">
        <v>2801</v>
      </c>
      <c r="M2494" s="1" t="str">
        <f aca="false">IF(J2494&lt;&gt;"",J2494,L2494)</f>
        <v>0.1</v>
      </c>
    </row>
    <row r="2495" customFormat="false" ht="12.75" hidden="false" customHeight="true" outlineLevel="0" collapsed="false">
      <c r="A2495" s="3" t="s">
        <v>3544</v>
      </c>
      <c r="B2495" s="3" t="str">
        <f aca="false">IF(ISNUMBER(SEARCH("%", A2495)),RIGHT(A2495,3),A2495)</f>
        <v>2, 3, MEOWTH</v>
      </c>
      <c r="C2495" s="1" t="str">
        <f aca="false" t="array" ref="C2495:C2495">IF(B2494="NEW ROUTE",textsplit(B2495,","),"")</f>
        <v/>
      </c>
      <c r="H2495" s="1" t="str">
        <f aca="false">IF(C2495&lt;&gt;"",DEC2HEX(C2495,2),"")</f>
        <v/>
      </c>
      <c r="I2495" s="1" t="str">
        <f aca="false">IF(D2495&lt;&gt;"",DEC2HEX(D2495,2),"")</f>
        <v/>
      </c>
      <c r="J2495" s="1" t="str">
        <f aca="false">IF(H2495&lt;&gt;"","0x"&amp;I2495&amp;H2495,"")</f>
        <v/>
      </c>
      <c r="L2495" s="1" t="s">
        <v>3544</v>
      </c>
      <c r="M2495" s="1" t="str">
        <f aca="false">IF(J2495&lt;&gt;"",J2495,L2495)</f>
        <v>2, 3, MEOWTH</v>
      </c>
    </row>
    <row r="2496" customFormat="false" ht="12.75" hidden="false" customHeight="true" outlineLevel="0" collapsed="false">
      <c r="A2496" s="3" t="s">
        <v>3545</v>
      </c>
      <c r="B2496" s="3" t="str">
        <f aca="false">IF(ISNUMBER(SEARCH("%", A2496)),RIGHT(A2496,3),A2496)</f>
        <v>4, 5, MEOWTH</v>
      </c>
      <c r="C2496" s="1" t="str">
        <f aca="false" t="array" ref="C2496:C2496">IF(B2495="NEW ROUTE",textsplit(B2496,","),"")</f>
        <v/>
      </c>
      <c r="H2496" s="1" t="str">
        <f aca="false">IF(C2496&lt;&gt;"",DEC2HEX(C2496,2),"")</f>
        <v/>
      </c>
      <c r="I2496" s="1" t="str">
        <f aca="false">IF(D2496&lt;&gt;"",DEC2HEX(D2496,2),"")</f>
        <v/>
      </c>
      <c r="J2496" s="1" t="str">
        <f aca="false">IF(H2496&lt;&gt;"","0x"&amp;I2496&amp;H2496,"")</f>
        <v/>
      </c>
      <c r="L2496" s="1" t="s">
        <v>3545</v>
      </c>
      <c r="M2496" s="1" t="str">
        <f aca="false">IF(J2496&lt;&gt;"",J2496,L2496)</f>
        <v>4, 5, MEOWTH</v>
      </c>
    </row>
    <row r="2497" customFormat="false" ht="12.75" hidden="false" customHeight="true" outlineLevel="0" collapsed="false">
      <c r="A2497" s="3" t="s">
        <v>3546</v>
      </c>
      <c r="B2497" s="3" t="str">
        <f aca="false">IF(ISNUMBER(SEARCH("%", A2497)),RIGHT(A2497,3),A2497)</f>
        <v>2, 3, SPEAROW</v>
      </c>
      <c r="C2497" s="1" t="str">
        <f aca="false" t="array" ref="C2497:C2497">IF(B2496="NEW ROUTE",textsplit(B2497,","),"")</f>
        <v/>
      </c>
      <c r="H2497" s="1" t="str">
        <f aca="false">IF(C2497&lt;&gt;"",DEC2HEX(C2497,2),"")</f>
        <v/>
      </c>
      <c r="I2497" s="1" t="str">
        <f aca="false">IF(D2497&lt;&gt;"",DEC2HEX(D2497,2),"")</f>
        <v/>
      </c>
      <c r="J2497" s="1" t="str">
        <f aca="false">IF(H2497&lt;&gt;"","0x"&amp;I2497&amp;H2497,"")</f>
        <v/>
      </c>
      <c r="L2497" s="1" t="s">
        <v>3546</v>
      </c>
      <c r="M2497" s="1" t="str">
        <f aca="false">IF(J2497&lt;&gt;"",J2497,L2497)</f>
        <v>2, 3, SPEAROW</v>
      </c>
    </row>
    <row r="2498" customFormat="false" ht="12.75" hidden="false" customHeight="true" outlineLevel="0" collapsed="false">
      <c r="A2498" s="3" t="s">
        <v>3547</v>
      </c>
      <c r="B2498" s="3" t="str">
        <f aca="false">IF(ISNUMBER(SEARCH("%", A2498)),RIGHT(A2498,3),A2498)</f>
        <v>4, 5, SPEAROW</v>
      </c>
      <c r="C2498" s="1" t="str">
        <f aca="false" t="array" ref="C2498:C2498">IF(B2497="NEW ROUTE",textsplit(B2498,","),"")</f>
        <v/>
      </c>
      <c r="H2498" s="1" t="str">
        <f aca="false">IF(C2498&lt;&gt;"",DEC2HEX(C2498,2),"")</f>
        <v/>
      </c>
      <c r="I2498" s="1" t="str">
        <f aca="false">IF(D2498&lt;&gt;"",DEC2HEX(D2498,2),"")</f>
        <v/>
      </c>
      <c r="J2498" s="1" t="str">
        <f aca="false">IF(H2498&lt;&gt;"","0x"&amp;I2498&amp;H2498,"")</f>
        <v/>
      </c>
      <c r="L2498" s="1" t="s">
        <v>3547</v>
      </c>
      <c r="M2498" s="1" t="str">
        <f aca="false">IF(J2498&lt;&gt;"",J2498,L2498)</f>
        <v>4, 5, SPEAROW</v>
      </c>
    </row>
    <row r="2499" customFormat="false" ht="12.75" hidden="false" customHeight="true" outlineLevel="0" collapsed="false">
      <c r="A2499" s="3" t="s">
        <v>2806</v>
      </c>
      <c r="B2499" s="3" t="str">
        <f aca="false">IF(ISNUMBER(SEARCH("%", A2499)),RIGHT(A2499,3),A2499)</f>
        <v>0.05</v>
      </c>
      <c r="C2499" s="1" t="str">
        <f aca="false" t="array" ref="C2499:C2499">IF(B2498="NEW ROUTE",textsplit(B2499,","),"")</f>
        <v/>
      </c>
      <c r="H2499" s="1" t="str">
        <f aca="false">IF(C2499&lt;&gt;"",DEC2HEX(C2499,2),"")</f>
        <v/>
      </c>
      <c r="I2499" s="1" t="str">
        <f aca="false">IF(D2499&lt;&gt;"",DEC2HEX(D2499,2),"")</f>
        <v/>
      </c>
      <c r="J2499" s="1" t="str">
        <f aca="false">IF(H2499&lt;&gt;"","0x"&amp;I2499&amp;H2499,"")</f>
        <v/>
      </c>
      <c r="L2499" s="1" t="s">
        <v>2806</v>
      </c>
      <c r="M2499" s="1" t="str">
        <f aca="false">IF(J2499&lt;&gt;"",J2499,L2499)</f>
        <v>0.05</v>
      </c>
    </row>
    <row r="2500" customFormat="false" ht="12.75" hidden="false" customHeight="true" outlineLevel="0" collapsed="false">
      <c r="A2500" s="3" t="s">
        <v>3548</v>
      </c>
      <c r="B2500" s="3" t="str">
        <f aca="false">IF(ISNUMBER(SEARCH("%", A2500)),RIGHT(A2500,3),A2500)</f>
        <v>2, 3, GROWLITHE</v>
      </c>
      <c r="C2500" s="1" t="str">
        <f aca="false" t="array" ref="C2500:C2500">IF(B2499="NEW ROUTE",textsplit(B2500,","),"")</f>
        <v/>
      </c>
      <c r="H2500" s="1" t="str">
        <f aca="false">IF(C2500&lt;&gt;"",DEC2HEX(C2500,2),"")</f>
        <v/>
      </c>
      <c r="I2500" s="1" t="str">
        <f aca="false">IF(D2500&lt;&gt;"",DEC2HEX(D2500,2),"")</f>
        <v/>
      </c>
      <c r="J2500" s="1" t="str">
        <f aca="false">IF(H2500&lt;&gt;"","0x"&amp;I2500&amp;H2500,"")</f>
        <v/>
      </c>
      <c r="L2500" s="1" t="s">
        <v>3548</v>
      </c>
      <c r="M2500" s="1" t="str">
        <f aca="false">IF(J2500&lt;&gt;"",J2500,L2500)</f>
        <v>2, 3, GROWLITHE</v>
      </c>
    </row>
    <row r="2501" customFormat="false" ht="12.75" hidden="false" customHeight="true" outlineLevel="0" collapsed="false">
      <c r="A2501" s="3" t="s">
        <v>3549</v>
      </c>
      <c r="B2501" s="3" t="str">
        <f aca="false">IF(ISNUMBER(SEARCH("%", A2501)),RIGHT(A2501,3),A2501)</f>
        <v>4, 5, GROWLITHE</v>
      </c>
      <c r="C2501" s="1" t="str">
        <f aca="false" t="array" ref="C2501:C2501">IF(B2500="NEW ROUTE",textsplit(B2501,","),"")</f>
        <v/>
      </c>
      <c r="H2501" s="1" t="str">
        <f aca="false">IF(C2501&lt;&gt;"",DEC2HEX(C2501,2),"")</f>
        <v/>
      </c>
      <c r="I2501" s="1" t="str">
        <f aca="false">IF(D2501&lt;&gt;"",DEC2HEX(D2501,2),"")</f>
        <v/>
      </c>
      <c r="J2501" s="1" t="str">
        <f aca="false">IF(H2501&lt;&gt;"","0x"&amp;I2501&amp;H2501,"")</f>
        <v/>
      </c>
      <c r="L2501" s="1" t="s">
        <v>3549</v>
      </c>
      <c r="M2501" s="1" t="str">
        <f aca="false">IF(J2501&lt;&gt;"",J2501,L2501)</f>
        <v>4, 5, GROWLITHE</v>
      </c>
    </row>
    <row r="2502" customFormat="false" ht="12.75" hidden="false" customHeight="true" outlineLevel="0" collapsed="false">
      <c r="A2502" s="3" t="s">
        <v>2809</v>
      </c>
      <c r="B2502" s="3" t="str">
        <f aca="false">IF(ISNUMBER(SEARCH("%", A2502)),RIGHT(A2502,3),A2502)</f>
        <v>0.04</v>
      </c>
      <c r="C2502" s="1" t="str">
        <f aca="false" t="array" ref="C2502:C2502">IF(B2501="NEW ROUTE",textsplit(B2502,","),"")</f>
        <v/>
      </c>
      <c r="H2502" s="1" t="str">
        <f aca="false">IF(C2502&lt;&gt;"",DEC2HEX(C2502,2),"")</f>
        <v/>
      </c>
      <c r="I2502" s="1" t="str">
        <f aca="false">IF(D2502&lt;&gt;"",DEC2HEX(D2502,2),"")</f>
        <v/>
      </c>
      <c r="J2502" s="1" t="str">
        <f aca="false">IF(H2502&lt;&gt;"","0x"&amp;I2502&amp;H2502,"")</f>
        <v/>
      </c>
      <c r="L2502" s="1" t="s">
        <v>2809</v>
      </c>
      <c r="M2502" s="1" t="str">
        <f aca="false">IF(J2502&lt;&gt;"",J2502,L2502)</f>
        <v>0.04</v>
      </c>
    </row>
    <row r="2503" customFormat="false" ht="12.75" hidden="false" customHeight="true" outlineLevel="0" collapsed="false">
      <c r="A2503" s="3" t="s">
        <v>3550</v>
      </c>
      <c r="B2503" s="3" t="str">
        <f aca="false">IF(ISNUMBER(SEARCH("%", A2503)),RIGHT(A2503,3),A2503)</f>
        <v>2, 5, ABRA</v>
      </c>
      <c r="C2503" s="1" t="str">
        <f aca="false" t="array" ref="C2503:C2503">IF(B2502="NEW ROUTE",textsplit(B2503,","),"")</f>
        <v/>
      </c>
      <c r="H2503" s="1" t="str">
        <f aca="false">IF(C2503&lt;&gt;"",DEC2HEX(C2503,2),"")</f>
        <v/>
      </c>
      <c r="I2503" s="1" t="str">
        <f aca="false">IF(D2503&lt;&gt;"",DEC2HEX(D2503,2),"")</f>
        <v/>
      </c>
      <c r="J2503" s="1" t="str">
        <f aca="false">IF(H2503&lt;&gt;"","0x"&amp;I2503&amp;H2503,"")</f>
        <v/>
      </c>
      <c r="L2503" s="1" t="s">
        <v>3550</v>
      </c>
      <c r="M2503" s="1" t="str">
        <f aca="false">IF(J2503&lt;&gt;"",J2503,L2503)</f>
        <v>2, 5, ABRA</v>
      </c>
    </row>
    <row r="2504" customFormat="false" ht="12.75" hidden="false" customHeight="true" outlineLevel="0" collapsed="false">
      <c r="A2504" s="3" t="s">
        <v>3551</v>
      </c>
      <c r="B2504" s="3" t="str">
        <f aca="false">IF(ISNUMBER(SEARCH("%", A2504)),RIGHT(A2504,3),A2504)</f>
        <v>2, 5, KANGAKID</v>
      </c>
      <c r="C2504" s="1" t="str">
        <f aca="false" t="array" ref="C2504:C2504">IF(B2503="NEW ROUTE",textsplit(B2504,","),"")</f>
        <v/>
      </c>
      <c r="H2504" s="1" t="str">
        <f aca="false">IF(C2504&lt;&gt;"",DEC2HEX(C2504,2),"")</f>
        <v/>
      </c>
      <c r="I2504" s="1" t="str">
        <f aca="false">IF(D2504&lt;&gt;"",DEC2HEX(D2504,2),"")</f>
        <v/>
      </c>
      <c r="J2504" s="1" t="str">
        <f aca="false">IF(H2504&lt;&gt;"","0x"&amp;I2504&amp;H2504,"")</f>
        <v/>
      </c>
      <c r="L2504" s="1" t="s">
        <v>3551</v>
      </c>
      <c r="M2504" s="1" t="str">
        <f aca="false">IF(J2504&lt;&gt;"",J2504,L2504)</f>
        <v>2, 5, KANGAKID</v>
      </c>
    </row>
    <row r="2505" customFormat="false" ht="12.75" hidden="false" customHeight="true" outlineLevel="0" collapsed="false">
      <c r="A2505" s="3" t="s">
        <v>2812</v>
      </c>
      <c r="B2505" s="3" t="str">
        <f aca="false">IF(ISNUMBER(SEARCH("%", A2505)),RIGHT(A2505,3),A2505)</f>
        <v>0.01</v>
      </c>
      <c r="C2505" s="1" t="str">
        <f aca="false" t="array" ref="C2505:C2505">IF(B2504="NEW ROUTE",textsplit(B2505,","),"")</f>
        <v/>
      </c>
      <c r="H2505" s="1" t="str">
        <f aca="false">IF(C2505&lt;&gt;"",DEC2HEX(C2505,2),"")</f>
        <v/>
      </c>
      <c r="I2505" s="1" t="str">
        <f aca="false">IF(D2505&lt;&gt;"",DEC2HEX(D2505,2),"")</f>
        <v/>
      </c>
      <c r="J2505" s="1" t="str">
        <f aca="false">IF(H2505&lt;&gt;"","0x"&amp;I2505&amp;H2505,"")</f>
        <v/>
      </c>
      <c r="L2505" s="1" t="s">
        <v>2812</v>
      </c>
      <c r="M2505" s="1" t="str">
        <f aca="false">IF(J2505&lt;&gt;"",J2505,L2505)</f>
        <v>0.01</v>
      </c>
    </row>
    <row r="2506" customFormat="false" ht="12.75" hidden="false" customHeight="true" outlineLevel="0" collapsed="false">
      <c r="A2506" s="3" t="s">
        <v>3552</v>
      </c>
      <c r="B2506" s="3" t="str">
        <f aca="false">IF(ISNUMBER(SEARCH("%", A2506)),RIGHT(A2506,3),A2506)</f>
        <v>2, 5, EEVEE</v>
      </c>
      <c r="C2506" s="1" t="str">
        <f aca="false" t="array" ref="C2506:C2506">IF(B2505="NEW ROUTE",textsplit(B2506,","),"")</f>
        <v/>
      </c>
      <c r="H2506" s="1" t="str">
        <f aca="false">IF(C2506&lt;&gt;"",DEC2HEX(C2506,2),"")</f>
        <v/>
      </c>
      <c r="I2506" s="1" t="str">
        <f aca="false">IF(D2506&lt;&gt;"",DEC2HEX(D2506,2),"")</f>
        <v/>
      </c>
      <c r="J2506" s="1" t="str">
        <f aca="false">IF(H2506&lt;&gt;"","0x"&amp;I2506&amp;H2506,"")</f>
        <v/>
      </c>
      <c r="L2506" s="1" t="s">
        <v>3552</v>
      </c>
      <c r="M2506" s="1" t="str">
        <f aca="false">IF(J2506&lt;&gt;"",J2506,L2506)</f>
        <v>2, 5, EEVEE</v>
      </c>
    </row>
    <row r="2507" customFormat="false" ht="12.75" hidden="false" customHeight="true" outlineLevel="0" collapsed="false">
      <c r="A2507" s="3" t="s">
        <v>3553</v>
      </c>
      <c r="B2507" s="3" t="str">
        <f aca="false">IF(ISNUMBER(SEARCH("%", A2507)),RIGHT(A2507,3),A2507)</f>
        <v>2, 5, SCYTHER</v>
      </c>
      <c r="C2507" s="1" t="str">
        <f aca="false" t="array" ref="C2507:C2507">IF(B2506="NEW ROUTE",textsplit(B2507,","),"")</f>
        <v/>
      </c>
      <c r="H2507" s="1" t="str">
        <f aca="false">IF(C2507&lt;&gt;"",DEC2HEX(C2507,2),"")</f>
        <v/>
      </c>
      <c r="I2507" s="1" t="str">
        <f aca="false">IF(D2507&lt;&gt;"",DEC2HEX(D2507,2),"")</f>
        <v/>
      </c>
      <c r="J2507" s="1" t="str">
        <f aca="false">IF(H2507&lt;&gt;"","0x"&amp;I2507&amp;H2507,"")</f>
        <v/>
      </c>
      <c r="L2507" s="1" t="s">
        <v>3553</v>
      </c>
      <c r="M2507" s="1" t="str">
        <f aca="false">IF(J2507&lt;&gt;"",J2507,L2507)</f>
        <v>2, 5, SCYTHER</v>
      </c>
    </row>
    <row r="2508" customFormat="false" ht="12.75" hidden="false" customHeight="true" outlineLevel="0" collapsed="false">
      <c r="A2508" s="3" t="s">
        <v>3554</v>
      </c>
      <c r="B2508" s="3" t="str">
        <f aca="false">IF(ISNUMBER(SEARCH("%", A2508)),RIGHT(A2508,3),A2508)</f>
        <v>2, 40, 44, PSYDUCK</v>
      </c>
      <c r="C2508" s="1" t="str">
        <f aca="false" t="array" ref="C2508:C2508">IF(B2507="NEW ROUTE",textsplit(B2508,","),"")</f>
        <v/>
      </c>
      <c r="H2508" s="1" t="str">
        <f aca="false">IF(C2508&lt;&gt;"",DEC2HEX(C2508,2),"")</f>
        <v/>
      </c>
      <c r="I2508" s="1" t="str">
        <f aca="false">IF(D2508&lt;&gt;"",DEC2HEX(D2508,2),"")</f>
        <v/>
      </c>
      <c r="J2508" s="1" t="str">
        <f aca="false">IF(H2508&lt;&gt;"","0x"&amp;I2508&amp;H2508,"")</f>
        <v/>
      </c>
      <c r="L2508" s="1" t="s">
        <v>3554</v>
      </c>
      <c r="M2508" s="1" t="str">
        <f aca="false">IF(J2508&lt;&gt;"",J2508,L2508)</f>
        <v>2, 40, 44, PSYDUCK</v>
      </c>
    </row>
    <row r="2509" customFormat="false" ht="12.75" hidden="false" customHeight="true" outlineLevel="0" collapsed="false">
      <c r="A2509" s="3" t="s">
        <v>3555</v>
      </c>
      <c r="B2509" s="3" t="str">
        <f aca="false">IF(ISNUMBER(SEARCH("%", A2509)),RIGHT(A2509,3),A2509)</f>
        <v>42, 46, SLOWPOKE</v>
      </c>
      <c r="C2509" s="1" t="str">
        <f aca="false" t="array" ref="C2509:C2509">IF(B2508="NEW ROUTE",textsplit(B2509,","),"")</f>
        <v/>
      </c>
      <c r="H2509" s="1" t="str">
        <f aca="false">IF(C2509&lt;&gt;"",DEC2HEX(C2509,2),"")</f>
        <v/>
      </c>
      <c r="I2509" s="1" t="str">
        <f aca="false">IF(D2509&lt;&gt;"",DEC2HEX(D2509,2),"")</f>
        <v/>
      </c>
      <c r="J2509" s="1" t="str">
        <f aca="false">IF(H2509&lt;&gt;"","0x"&amp;I2509&amp;H2509,"")</f>
        <v/>
      </c>
      <c r="L2509" s="1" t="s">
        <v>3555</v>
      </c>
      <c r="M2509" s="1" t="str">
        <f aca="false">IF(J2509&lt;&gt;"",J2509,L2509)</f>
        <v>42, 46, SLOWPOKE</v>
      </c>
    </row>
    <row r="2510" customFormat="false" ht="12.75" hidden="false" customHeight="true" outlineLevel="0" collapsed="false">
      <c r="A2510" s="3" t="s">
        <v>3556</v>
      </c>
      <c r="B2510" s="3" t="str">
        <f aca="false">IF(ISNUMBER(SEARCH("%", A2510)),RIGHT(A2510,3),A2510)</f>
        <v>44, 47, GOLDUCK</v>
      </c>
      <c r="C2510" s="1" t="str">
        <f aca="false" t="array" ref="C2510:C2510">IF(B2509="NEW ROUTE",textsplit(B2510,","),"")</f>
        <v/>
      </c>
      <c r="H2510" s="1" t="str">
        <f aca="false">IF(C2510&lt;&gt;"",DEC2HEX(C2510,2),"")</f>
        <v/>
      </c>
      <c r="I2510" s="1" t="str">
        <f aca="false">IF(D2510&lt;&gt;"",DEC2HEX(D2510,2),"")</f>
        <v/>
      </c>
      <c r="J2510" s="1" t="str">
        <f aca="false">IF(H2510&lt;&gt;"","0x"&amp;I2510&amp;H2510,"")</f>
        <v/>
      </c>
      <c r="L2510" s="1" t="s">
        <v>3556</v>
      </c>
      <c r="M2510" s="1" t="str">
        <f aca="false">IF(J2510&lt;&gt;"",J2510,L2510)</f>
        <v>44, 47, GOLDUCK</v>
      </c>
    </row>
    <row r="2511" customFormat="false" ht="12.75" hidden="false" customHeight="true" outlineLevel="0" collapsed="false">
      <c r="A2511" s="3" t="s">
        <v>3557</v>
      </c>
      <c r="B2511" s="3" t="str">
        <f aca="false">IF(ISNUMBER(SEARCH("%", A2511)),RIGHT(A2511,3),A2511)</f>
        <v>44, 47, SLOWBRO</v>
      </c>
      <c r="C2511" s="1" t="str">
        <f aca="false" t="array" ref="C2511:C2511">IF(B2510="NEW ROUTE",textsplit(B2511,","),"")</f>
        <v/>
      </c>
      <c r="H2511" s="1" t="str">
        <f aca="false">IF(C2511&lt;&gt;"",DEC2HEX(C2511,2),"")</f>
        <v/>
      </c>
      <c r="I2511" s="1" t="str">
        <f aca="false">IF(D2511&lt;&gt;"",DEC2HEX(D2511,2),"")</f>
        <v/>
      </c>
      <c r="J2511" s="1" t="str">
        <f aca="false">IF(H2511&lt;&gt;"","0x"&amp;I2511&amp;H2511,"")</f>
        <v/>
      </c>
      <c r="L2511" s="1" t="s">
        <v>3557</v>
      </c>
      <c r="M2511" s="1" t="str">
        <f aca="false">IF(J2511&lt;&gt;"",J2511,L2511)</f>
        <v>44, 47, SLOWBRO</v>
      </c>
    </row>
    <row r="2512" customFormat="false" ht="12.75" hidden="false" customHeight="true" outlineLevel="0" collapsed="false">
      <c r="A2512" s="3" t="s">
        <v>3558</v>
      </c>
      <c r="B2512" s="3" t="str">
        <f aca="false">IF(ISNUMBER(SEARCH("%", A2512)),RIGHT(A2512,3),A2512)</f>
        <v>45, 50, GILDUCK</v>
      </c>
      <c r="C2512" s="1" t="str">
        <f aca="false" t="array" ref="C2512:C2512">IF(B2511="NEW ROUTE",textsplit(B2512,","),"")</f>
        <v/>
      </c>
      <c r="H2512" s="1" t="str">
        <f aca="false">IF(C2512&lt;&gt;"",DEC2HEX(C2512,2),"")</f>
        <v/>
      </c>
      <c r="I2512" s="1" t="str">
        <f aca="false">IF(D2512&lt;&gt;"",DEC2HEX(D2512,2),"")</f>
        <v/>
      </c>
      <c r="J2512" s="1" t="str">
        <f aca="false">IF(H2512&lt;&gt;"","0x"&amp;I2512&amp;H2512,"")</f>
        <v/>
      </c>
      <c r="L2512" s="1" t="s">
        <v>3558</v>
      </c>
      <c r="M2512" s="1" t="str">
        <f aca="false">IF(J2512&lt;&gt;"",J2512,L2512)</f>
        <v>45, 50, GILDUCK</v>
      </c>
    </row>
    <row r="2513" customFormat="false" ht="12.75" hidden="false" customHeight="true" outlineLevel="0" collapsed="false">
      <c r="A2513" s="3" t="s">
        <v>2925</v>
      </c>
      <c r="B2513" s="3" t="str">
        <f aca="false">IF(ISNUMBER(SEARCH("%", A2513)),RIGHT(A2513,3),A2513)</f>
        <v>20, old rod:</v>
      </c>
      <c r="C2513" s="1" t="str">
        <f aca="false" t="array" ref="C2513:C2513">IF(B2512="NEW ROUTE",textsplit(B2513,","),"")</f>
        <v/>
      </c>
      <c r="H2513" s="1" t="str">
        <f aca="false">IF(C2513&lt;&gt;"",DEC2HEX(C2513,2),"")</f>
        <v/>
      </c>
      <c r="I2513" s="1" t="str">
        <f aca="false">IF(D2513&lt;&gt;"",DEC2HEX(D2513,2),"")</f>
        <v/>
      </c>
      <c r="J2513" s="1" t="str">
        <f aca="false">IF(H2513&lt;&gt;"","0x"&amp;I2513&amp;H2513,"")</f>
        <v/>
      </c>
      <c r="L2513" s="1" t="s">
        <v>2925</v>
      </c>
      <c r="M2513" s="1" t="str">
        <f aca="false">IF(J2513&lt;&gt;"",J2513,L2513)</f>
        <v>20, old rod:</v>
      </c>
    </row>
    <row r="2514" customFormat="false" ht="12.75" hidden="false" customHeight="true" outlineLevel="0" collapsed="false">
      <c r="A2514" s="3" t="s">
        <v>1349</v>
      </c>
      <c r="B2514" s="3" t="str">
        <f aca="false">IF(ISNUMBER(SEARCH("%", A2514)),RIGHT(A2514,3),A2514)</f>
        <v>19, 26, MAGIKARP</v>
      </c>
      <c r="C2514" s="1" t="str">
        <f aca="false" t="array" ref="C2514:C2514">IF(B2513="NEW ROUTE",textsplit(B2514,","),"")</f>
        <v/>
      </c>
      <c r="H2514" s="1" t="str">
        <f aca="false">IF(C2514&lt;&gt;"",DEC2HEX(C2514,2),"")</f>
        <v/>
      </c>
      <c r="I2514" s="1" t="str">
        <f aca="false">IF(D2514&lt;&gt;"",DEC2HEX(D2514,2),"")</f>
        <v/>
      </c>
      <c r="J2514" s="1" t="str">
        <f aca="false">IF(H2514&lt;&gt;"","0x"&amp;I2514&amp;H2514,"")</f>
        <v/>
      </c>
      <c r="L2514" s="1" t="s">
        <v>1349</v>
      </c>
      <c r="M2514" s="1" t="str">
        <f aca="false">IF(J2514&lt;&gt;"",J2514,L2514)</f>
        <v>19, 26, MAGIKARP</v>
      </c>
    </row>
    <row r="2515" customFormat="false" ht="12.75" hidden="false" customHeight="true" outlineLevel="0" collapsed="false">
      <c r="A2515" s="3" t="s">
        <v>2926</v>
      </c>
      <c r="B2515" s="3" t="str">
        <f aca="false">IF(ISNUMBER(SEARCH("%", A2515)),RIGHT(A2515,3),A2515)</f>
        <v>19, 26, POLIWAG</v>
      </c>
      <c r="C2515" s="1" t="str">
        <f aca="false" t="array" ref="C2515:C2515">IF(B2514="NEW ROUTE",textsplit(B2515,","),"")</f>
        <v/>
      </c>
      <c r="H2515" s="1" t="str">
        <f aca="false">IF(C2515&lt;&gt;"",DEC2HEX(C2515,2),"")</f>
        <v/>
      </c>
      <c r="I2515" s="1" t="str">
        <f aca="false">IF(D2515&lt;&gt;"",DEC2HEX(D2515,2),"")</f>
        <v/>
      </c>
      <c r="J2515" s="1" t="str">
        <f aca="false">IF(H2515&lt;&gt;"","0x"&amp;I2515&amp;H2515,"")</f>
        <v/>
      </c>
      <c r="L2515" s="1" t="s">
        <v>2926</v>
      </c>
      <c r="M2515" s="1" t="str">
        <f aca="false">IF(J2515&lt;&gt;"",J2515,L2515)</f>
        <v>19, 26, POLIWAG</v>
      </c>
    </row>
    <row r="2516" customFormat="false" ht="12.75" hidden="false" customHeight="true" outlineLevel="0" collapsed="false">
      <c r="A2516" s="3" t="s">
        <v>2846</v>
      </c>
      <c r="B2516" s="3" t="str">
        <f aca="false">IF(ISNUMBER(SEARCH("%", A2516)),RIGHT(A2516,3),A2516)</f>
        <v>good rod:</v>
      </c>
      <c r="C2516" s="1" t="str">
        <f aca="false" t="array" ref="C2516:C2516">IF(B2515="NEW ROUTE",textsplit(B2516,","),"")</f>
        <v/>
      </c>
      <c r="H2516" s="1" t="str">
        <f aca="false">IF(C2516&lt;&gt;"",DEC2HEX(C2516,2),"")</f>
        <v/>
      </c>
      <c r="I2516" s="1" t="str">
        <f aca="false">IF(D2516&lt;&gt;"",DEC2HEX(D2516,2),"")</f>
        <v/>
      </c>
      <c r="J2516" s="1" t="str">
        <f aca="false">IF(H2516&lt;&gt;"","0x"&amp;I2516&amp;H2516,"")</f>
        <v/>
      </c>
      <c r="L2516" s="1" t="s">
        <v>2846</v>
      </c>
      <c r="M2516" s="1" t="str">
        <f aca="false">IF(J2516&lt;&gt;"",J2516,L2516)</f>
        <v>good rod:</v>
      </c>
    </row>
    <row r="2517" customFormat="false" ht="12.75" hidden="false" customHeight="true" outlineLevel="0" collapsed="false">
      <c r="A2517" s="3" t="s">
        <v>3559</v>
      </c>
      <c r="B2517" s="3" t="str">
        <f aca="false">IF(ISNUMBER(SEARCH("%", A2517)),RIGHT(A2517,3),A2517)</f>
        <v>29, 33, MAGIKARP</v>
      </c>
      <c r="C2517" s="1" t="str">
        <f aca="false" t="array" ref="C2517:C2517">IF(B2516="NEW ROUTE",textsplit(B2517,","),"")</f>
        <v/>
      </c>
      <c r="H2517" s="1" t="str">
        <f aca="false">IF(C2517&lt;&gt;"",DEC2HEX(C2517,2),"")</f>
        <v/>
      </c>
      <c r="I2517" s="1" t="str">
        <f aca="false">IF(D2517&lt;&gt;"",DEC2HEX(D2517,2),"")</f>
        <v/>
      </c>
      <c r="J2517" s="1" t="str">
        <f aca="false">IF(H2517&lt;&gt;"","0x"&amp;I2517&amp;H2517,"")</f>
        <v/>
      </c>
      <c r="L2517" s="1" t="s">
        <v>3559</v>
      </c>
      <c r="M2517" s="1" t="str">
        <f aca="false">IF(J2517&lt;&gt;"",J2517,L2517)</f>
        <v>29, 33, MAGIKARP</v>
      </c>
    </row>
    <row r="2518" customFormat="false" ht="12.75" hidden="false" customHeight="true" outlineLevel="0" collapsed="false">
      <c r="A2518" s="3" t="s">
        <v>3560</v>
      </c>
      <c r="B2518" s="3" t="str">
        <f aca="false">IF(ISNUMBER(SEARCH("%", A2518)),RIGHT(A2518,3),A2518)</f>
        <v>30, 35, GYARADOS</v>
      </c>
      <c r="C2518" s="1" t="str">
        <f aca="false" t="array" ref="C2518:C2518">IF(B2517="NEW ROUTE",textsplit(B2518,","),"")</f>
        <v/>
      </c>
      <c r="H2518" s="1" t="str">
        <f aca="false">IF(C2518&lt;&gt;"",DEC2HEX(C2518,2),"")</f>
        <v/>
      </c>
      <c r="I2518" s="1" t="str">
        <f aca="false">IF(D2518&lt;&gt;"",DEC2HEX(D2518,2),"")</f>
        <v/>
      </c>
      <c r="J2518" s="1" t="str">
        <f aca="false">IF(H2518&lt;&gt;"","0x"&amp;I2518&amp;H2518,"")</f>
        <v/>
      </c>
      <c r="L2518" s="1" t="s">
        <v>3560</v>
      </c>
      <c r="M2518" s="1" t="str">
        <f aca="false">IF(J2518&lt;&gt;"",J2518,L2518)</f>
        <v>30, 35, GYARADOS</v>
      </c>
    </row>
    <row r="2519" customFormat="false" ht="12.75" hidden="false" customHeight="true" outlineLevel="0" collapsed="false">
      <c r="A2519" s="3" t="s">
        <v>3561</v>
      </c>
      <c r="B2519" s="3" t="str">
        <f aca="false">IF(ISNUMBER(SEARCH("%", A2519)),RIGHT(A2519,3),A2519)</f>
        <v>30, 35, POLIWHIRL</v>
      </c>
      <c r="C2519" s="1" t="str">
        <f aca="false" t="array" ref="C2519:C2519">IF(B2518="NEW ROUTE",textsplit(B2519,","),"")</f>
        <v/>
      </c>
      <c r="H2519" s="1" t="str">
        <f aca="false">IF(C2519&lt;&gt;"",DEC2HEX(C2519,2),"")</f>
        <v/>
      </c>
      <c r="I2519" s="1" t="str">
        <f aca="false">IF(D2519&lt;&gt;"",DEC2HEX(D2519,2),"")</f>
        <v/>
      </c>
      <c r="J2519" s="1" t="str">
        <f aca="false">IF(H2519&lt;&gt;"","0x"&amp;I2519&amp;H2519,"")</f>
        <v/>
      </c>
      <c r="L2519" s="1" t="s">
        <v>3561</v>
      </c>
      <c r="M2519" s="1" t="str">
        <f aca="false">IF(J2519&lt;&gt;"",J2519,L2519)</f>
        <v>30, 35, POLIWHIRL</v>
      </c>
    </row>
    <row r="2520" customFormat="false" ht="12.75" hidden="false" customHeight="true" outlineLevel="0" collapsed="false">
      <c r="A2520" s="3" t="s">
        <v>2850</v>
      </c>
      <c r="B2520" s="3" t="str">
        <f aca="false">IF(ISNUMBER(SEARCH("%", A2520)),RIGHT(A2520,3),A2520)</f>
        <v>super rod:</v>
      </c>
      <c r="C2520" s="1" t="str">
        <f aca="false" t="array" ref="C2520:C2520">IF(B2519="NEW ROUTE",textsplit(B2520,","),"")</f>
        <v/>
      </c>
      <c r="H2520" s="1" t="str">
        <f aca="false">IF(C2520&lt;&gt;"",DEC2HEX(C2520,2),"")</f>
        <v/>
      </c>
      <c r="I2520" s="1" t="str">
        <f aca="false">IF(D2520&lt;&gt;"",DEC2HEX(D2520,2),"")</f>
        <v/>
      </c>
      <c r="J2520" s="1" t="str">
        <f aca="false">IF(H2520&lt;&gt;"","0x"&amp;I2520&amp;H2520,"")</f>
        <v/>
      </c>
      <c r="L2520" s="1" t="s">
        <v>2850</v>
      </c>
      <c r="M2520" s="1" t="str">
        <f aca="false">IF(J2520&lt;&gt;"",J2520,L2520)</f>
        <v>super rod:</v>
      </c>
    </row>
    <row r="2521" customFormat="false" ht="12.75" hidden="false" customHeight="true" outlineLevel="0" collapsed="false">
      <c r="A2521" s="3" t="s">
        <v>3562</v>
      </c>
      <c r="B2521" s="3" t="str">
        <f aca="false">IF(ISNUMBER(SEARCH("%", A2521)),RIGHT(A2521,3),A2521)</f>
        <v>36, 40, MAGIKARP</v>
      </c>
      <c r="C2521" s="1" t="str">
        <f aca="false" t="array" ref="C2521:C2521">IF(B2520="NEW ROUTE",textsplit(B2521,","),"")</f>
        <v/>
      </c>
      <c r="H2521" s="1" t="str">
        <f aca="false">IF(C2521&lt;&gt;"",DEC2HEX(C2521,2),"")</f>
        <v/>
      </c>
      <c r="I2521" s="1" t="str">
        <f aca="false">IF(D2521&lt;&gt;"",DEC2HEX(D2521,2),"")</f>
        <v/>
      </c>
      <c r="J2521" s="1" t="str">
        <f aca="false">IF(H2521&lt;&gt;"","0x"&amp;I2521&amp;H2521,"")</f>
        <v/>
      </c>
      <c r="L2521" s="1" t="s">
        <v>3562</v>
      </c>
      <c r="M2521" s="1" t="str">
        <f aca="false">IF(J2521&lt;&gt;"",J2521,L2521)</f>
        <v>36, 40, MAGIKARP</v>
      </c>
    </row>
    <row r="2522" customFormat="false" ht="12.75" hidden="false" customHeight="true" outlineLevel="0" collapsed="false">
      <c r="A2522" s="3" t="s">
        <v>3356</v>
      </c>
      <c r="B2522" s="3" t="str">
        <f aca="false">IF(ISNUMBER(SEARCH("%", A2522)),RIGHT(A2522,3),A2522)</f>
        <v>36, 40, GYARADOS</v>
      </c>
      <c r="C2522" s="1" t="str">
        <f aca="false" t="array" ref="C2522:C2522">IF(B2521="NEW ROUTE",textsplit(B2522,","),"")</f>
        <v/>
      </c>
      <c r="H2522" s="1" t="str">
        <f aca="false">IF(C2522&lt;&gt;"",DEC2HEX(C2522,2),"")</f>
        <v/>
      </c>
      <c r="I2522" s="1" t="str">
        <f aca="false">IF(D2522&lt;&gt;"",DEC2HEX(D2522,2),"")</f>
        <v/>
      </c>
      <c r="J2522" s="1" t="str">
        <f aca="false">IF(H2522&lt;&gt;"","0x"&amp;I2522&amp;H2522,"")</f>
        <v/>
      </c>
      <c r="L2522" s="1" t="s">
        <v>3356</v>
      </c>
      <c r="M2522" s="1" t="str">
        <f aca="false">IF(J2522&lt;&gt;"",J2522,L2522)</f>
        <v>36, 40, GYARADOS</v>
      </c>
    </row>
    <row r="2523" customFormat="false" ht="12.75" hidden="false" customHeight="true" outlineLevel="0" collapsed="false">
      <c r="A2523" s="3" t="s">
        <v>3563</v>
      </c>
      <c r="B2523" s="3" t="str">
        <f aca="false">IF(ISNUMBER(SEARCH("%", A2523)),RIGHT(A2523,3),A2523)</f>
        <v>38, 42, POLIWHIRL</v>
      </c>
      <c r="C2523" s="1" t="str">
        <f aca="false" t="array" ref="C2523:C2523">IF(B2522="NEW ROUTE",textsplit(B2523,","),"")</f>
        <v/>
      </c>
      <c r="H2523" s="1" t="str">
        <f aca="false">IF(C2523&lt;&gt;"",DEC2HEX(C2523,2),"")</f>
        <v/>
      </c>
      <c r="I2523" s="1" t="str">
        <f aca="false">IF(D2523&lt;&gt;"",DEC2HEX(D2523,2),"")</f>
        <v/>
      </c>
      <c r="J2523" s="1" t="str">
        <f aca="false">IF(H2523&lt;&gt;"","0x"&amp;I2523&amp;H2523,"")</f>
        <v/>
      </c>
      <c r="L2523" s="1" t="s">
        <v>3563</v>
      </c>
      <c r="M2523" s="1" t="str">
        <f aca="false">IF(J2523&lt;&gt;"",J2523,L2523)</f>
        <v>38, 42, POLIWHIRL</v>
      </c>
    </row>
    <row r="2524" customFormat="false" ht="12.75" hidden="false" customHeight="true" outlineLevel="0" collapsed="false">
      <c r="A2524" s="3" t="s">
        <v>3378</v>
      </c>
      <c r="B2524" s="3" t="str">
        <f aca="false">IF(ISNUMBER(SEARCH("%", A2524)),RIGHT(A2524,3),A2524)</f>
        <v>38, 42, POLIWRATH</v>
      </c>
      <c r="C2524" s="1" t="str">
        <f aca="false" t="array" ref="C2524:C2524">IF(B2523="NEW ROUTE",textsplit(B2524,","),"")</f>
        <v/>
      </c>
      <c r="H2524" s="1" t="str">
        <f aca="false">IF(C2524&lt;&gt;"",DEC2HEX(C2524,2),"")</f>
        <v/>
      </c>
      <c r="I2524" s="1" t="str">
        <f aca="false">IF(D2524&lt;&gt;"",DEC2HEX(D2524,2),"")</f>
        <v/>
      </c>
      <c r="J2524" s="1" t="str">
        <f aca="false">IF(H2524&lt;&gt;"","0x"&amp;I2524&amp;H2524,"")</f>
        <v/>
      </c>
      <c r="L2524" s="1" t="s">
        <v>3378</v>
      </c>
      <c r="M2524" s="1" t="str">
        <f aca="false">IF(J2524&lt;&gt;"",J2524,L2524)</f>
        <v>38, 42, POLIWRATH</v>
      </c>
    </row>
    <row r="2525" customFormat="false" ht="12.75" hidden="false" customHeight="true" outlineLevel="0" collapsed="false">
      <c r="A2525" s="3" t="s">
        <v>3379</v>
      </c>
      <c r="B2525" s="3" t="str">
        <f aca="false">IF(ISNUMBER(SEARCH("%", A2525)),RIGHT(A2525,3),A2525)</f>
        <v>40, 44, POLITOES</v>
      </c>
      <c r="C2525" s="1" t="str">
        <f aca="false" t="array" ref="C2525:C2525">IF(B2524="NEW ROUTE",textsplit(B2525,","),"")</f>
        <v/>
      </c>
      <c r="H2525" s="1" t="str">
        <f aca="false">IF(C2525&lt;&gt;"",DEC2HEX(C2525,2),"")</f>
        <v/>
      </c>
      <c r="I2525" s="1" t="str">
        <f aca="false">IF(D2525&lt;&gt;"",DEC2HEX(D2525,2),"")</f>
        <v/>
      </c>
      <c r="J2525" s="1" t="str">
        <f aca="false">IF(H2525&lt;&gt;"","0x"&amp;I2525&amp;H2525,"")</f>
        <v/>
      </c>
      <c r="L2525" s="1" t="s">
        <v>3379</v>
      </c>
      <c r="M2525" s="1" t="str">
        <f aca="false">IF(J2525&lt;&gt;"",J2525,L2525)</f>
        <v>40, 44, POLITOES</v>
      </c>
    </row>
    <row r="2526" customFormat="false" ht="12.75" hidden="false" customHeight="true" outlineLevel="0" collapsed="false">
      <c r="A2526" s="3" t="s">
        <v>2536</v>
      </c>
      <c r="B2526" s="3" t="str">
        <f aca="false">IF(ISNUMBER(SEARCH("%", A2526)),RIGHT(A2526,3),A2526)</f>
        <v>NEW ROUTE</v>
      </c>
      <c r="C2526" s="1" t="str">
        <f aca="false" t="array" ref="C2526:C2526">IF(B2525="NEW ROUTE",textsplit(B2526,","),"")</f>
        <v/>
      </c>
      <c r="H2526" s="1" t="str">
        <f aca="false">IF(C2526&lt;&gt;"",DEC2HEX(C2526,2),"")</f>
        <v/>
      </c>
      <c r="I2526" s="1" t="str">
        <f aca="false">IF(D2526&lt;&gt;"",DEC2HEX(D2526,2),"")</f>
        <v/>
      </c>
      <c r="J2526" s="1" t="str">
        <f aca="false">IF(H2526&lt;&gt;"","0x"&amp;I2526&amp;H2526,"")</f>
        <v/>
      </c>
      <c r="L2526" s="1" t="s">
        <v>2536</v>
      </c>
      <c r="M2526" s="1" t="str">
        <f aca="false">IF(J2526&lt;&gt;"",J2526,L2526)</f>
        <v>NEW ROUTE</v>
      </c>
    </row>
    <row r="2527" customFormat="false" ht="12.75" hidden="false" customHeight="true" outlineLevel="0" collapsed="false">
      <c r="A2527" s="3" t="s">
        <v>3564</v>
      </c>
      <c r="B2527" s="3" t="str">
        <f aca="false">IF(ISNUMBER(SEARCH("%", A2527)),RIGHT(A2527,3),A2527)</f>
        <v>3, 42, 0,</v>
      </c>
      <c r="C2527" s="1" t="e">
        <f aca="false" t="array" ref="C2527:C2527">IF(B2526="NEW ROUTE",textsplit(B2527,","),"")</f>
        <v>#NAME?</v>
      </c>
      <c r="H2527" s="1" t="e">
        <f aca="false">IF(C2527&lt;&gt;"",DEC2HEX(C2527,2),"")</f>
        <v>#NAME?</v>
      </c>
      <c r="I2527" s="1" t="str">
        <f aca="false">IF(D2527&lt;&gt;"",DEC2HEX(D2527,2),"")</f>
        <v/>
      </c>
      <c r="J2527" s="1" t="e">
        <f aca="false">IF(H2527&lt;&gt;"","0x"&amp;I2527&amp;H2527,"")</f>
        <v>#NAME?</v>
      </c>
      <c r="L2527" s="1" t="s">
        <v>3564</v>
      </c>
      <c r="M2527" s="1" t="e">
        <f aca="false">IF(J2527&lt;&gt;"",J2527,L2527)</f>
        <v>#NAME?</v>
      </c>
    </row>
    <row r="2528" customFormat="false" ht="12.75" hidden="false" customHeight="true" outlineLevel="0" collapsed="false">
      <c r="A2528" s="3" t="s">
        <v>2908</v>
      </c>
      <c r="B2528" s="3" t="str">
        <f aca="false">IF(ISNUMBER(SEARCH("%", A2528)),RIGHT(A2528,3),A2528)</f>
        <v>20%</v>
      </c>
      <c r="C2528" s="1" t="str">
        <f aca="false" t="array" ref="C2528:C2528">IF(B2527="NEW ROUTE",textsplit(B2528,","),"")</f>
        <v/>
      </c>
      <c r="H2528" s="1" t="str">
        <f aca="false">IF(C2528&lt;&gt;"",DEC2HEX(C2528,2),"")</f>
        <v/>
      </c>
      <c r="I2528" s="1" t="str">
        <f aca="false">IF(D2528&lt;&gt;"",DEC2HEX(D2528,2),"")</f>
        <v/>
      </c>
      <c r="J2528" s="1" t="str">
        <f aca="false">IF(H2528&lt;&gt;"","0x"&amp;I2528&amp;H2528,"")</f>
        <v/>
      </c>
      <c r="L2528" s="1" t="s">
        <v>2799</v>
      </c>
      <c r="M2528" s="1" t="str">
        <f aca="false">IF(J2528&lt;&gt;"",J2528,L2528)</f>
        <v>20%</v>
      </c>
    </row>
    <row r="2529" customFormat="false" ht="12.75" hidden="false" customHeight="true" outlineLevel="0" collapsed="false">
      <c r="A2529" s="3" t="s">
        <v>2049</v>
      </c>
      <c r="B2529" s="3" t="str">
        <f aca="false">IF(ISNUMBER(SEARCH("%", A2529)),RIGHT(A2529,3),A2529)</f>
        <v>51, 56, PRIMEAPE</v>
      </c>
      <c r="C2529" s="1" t="str">
        <f aca="false" t="array" ref="C2529:C2529">IF(B2528="NEW ROUTE",textsplit(B2529,","),"")</f>
        <v/>
      </c>
      <c r="H2529" s="1" t="str">
        <f aca="false">IF(C2529&lt;&gt;"",DEC2HEX(C2529,2),"")</f>
        <v/>
      </c>
      <c r="I2529" s="1" t="str">
        <f aca="false">IF(D2529&lt;&gt;"",DEC2HEX(D2529,2),"")</f>
        <v/>
      </c>
      <c r="J2529" s="1" t="str">
        <f aca="false">IF(H2529&lt;&gt;"","0x"&amp;I2529&amp;H2529,"")</f>
        <v/>
      </c>
      <c r="L2529" s="1" t="s">
        <v>2049</v>
      </c>
      <c r="M2529" s="1" t="str">
        <f aca="false">IF(J2529&lt;&gt;"",J2529,L2529)</f>
        <v>51, 56, PRIMEAPE</v>
      </c>
    </row>
    <row r="2530" customFormat="false" ht="12.75" hidden="false" customHeight="true" outlineLevel="0" collapsed="false">
      <c r="A2530" s="3" t="s">
        <v>3565</v>
      </c>
      <c r="B2530" s="3" t="str">
        <f aca="false">IF(ISNUMBER(SEARCH("%", A2530)),RIGHT(A2530,3),A2530)</f>
        <v>51, 56, SNEEROW</v>
      </c>
      <c r="C2530" s="1" t="str">
        <f aca="false" t="array" ref="C2530:C2530">IF(B2529="NEW ROUTE",textsplit(B2530,","),"")</f>
        <v/>
      </c>
      <c r="H2530" s="1" t="str">
        <f aca="false">IF(C2530&lt;&gt;"",DEC2HEX(C2530,2),"")</f>
        <v/>
      </c>
      <c r="I2530" s="1" t="str">
        <f aca="false">IF(D2530&lt;&gt;"",DEC2HEX(D2530,2),"")</f>
        <v/>
      </c>
      <c r="J2530" s="1" t="str">
        <f aca="false">IF(H2530&lt;&gt;"","0x"&amp;I2530&amp;H2530,"")</f>
        <v/>
      </c>
      <c r="L2530" s="1" t="s">
        <v>3565</v>
      </c>
      <c r="M2530" s="1" t="str">
        <f aca="false">IF(J2530&lt;&gt;"",J2530,L2530)</f>
        <v>51, 56, SNEEROW</v>
      </c>
    </row>
    <row r="2531" customFormat="false" ht="12.75" hidden="false" customHeight="true" outlineLevel="0" collapsed="false">
      <c r="A2531" s="3" t="s">
        <v>2801</v>
      </c>
      <c r="B2531" s="3" t="str">
        <f aca="false">IF(ISNUMBER(SEARCH("%", A2531)),RIGHT(A2531,3),A2531)</f>
        <v>0.1</v>
      </c>
      <c r="C2531" s="1" t="str">
        <f aca="false" t="array" ref="C2531:C2531">IF(B2530="NEW ROUTE",textsplit(B2531,","),"")</f>
        <v/>
      </c>
      <c r="H2531" s="1" t="str">
        <f aca="false">IF(C2531&lt;&gt;"",DEC2HEX(C2531,2),"")</f>
        <v/>
      </c>
      <c r="I2531" s="1" t="str">
        <f aca="false">IF(D2531&lt;&gt;"",DEC2HEX(D2531,2),"")</f>
        <v/>
      </c>
      <c r="J2531" s="1" t="str">
        <f aca="false">IF(H2531&lt;&gt;"","0x"&amp;I2531&amp;H2531,"")</f>
        <v/>
      </c>
      <c r="L2531" s="1" t="s">
        <v>2801</v>
      </c>
      <c r="M2531" s="1" t="str">
        <f aca="false">IF(J2531&lt;&gt;"",J2531,L2531)</f>
        <v>0.1</v>
      </c>
    </row>
    <row r="2532" customFormat="false" ht="12.75" hidden="false" customHeight="true" outlineLevel="0" collapsed="false">
      <c r="A2532" s="3" t="s">
        <v>3566</v>
      </c>
      <c r="B2532" s="3" t="str">
        <f aca="false">IF(ISNUMBER(SEARCH("%", A2532)),RIGHT(A2532,3),A2532)</f>
        <v>53, 57, GORILLASH</v>
      </c>
      <c r="C2532" s="1" t="str">
        <f aca="false" t="array" ref="C2532:C2532">IF(B2531="NEW ROUTE",textsplit(B2532,","),"")</f>
        <v/>
      </c>
      <c r="H2532" s="1" t="str">
        <f aca="false">IF(C2532&lt;&gt;"",DEC2HEX(C2532,2),"")</f>
        <v/>
      </c>
      <c r="I2532" s="1" t="str">
        <f aca="false">IF(D2532&lt;&gt;"",DEC2HEX(D2532,2),"")</f>
        <v/>
      </c>
      <c r="J2532" s="1" t="str">
        <f aca="false">IF(H2532&lt;&gt;"","0x"&amp;I2532&amp;H2532,"")</f>
        <v/>
      </c>
      <c r="L2532" s="1" t="s">
        <v>3566</v>
      </c>
      <c r="M2532" s="1" t="str">
        <f aca="false">IF(J2532&lt;&gt;"",J2532,L2532)</f>
        <v>53, 57, GORILLASH</v>
      </c>
    </row>
    <row r="2533" customFormat="false" ht="12.75" hidden="false" customHeight="true" outlineLevel="0" collapsed="false">
      <c r="A2533" s="3" t="s">
        <v>3567</v>
      </c>
      <c r="B2533" s="3" t="str">
        <f aca="false">IF(ISNUMBER(SEARCH("%", A2533)),RIGHT(A2533,3),A2533)</f>
        <v>53, 57, ORNITHOW</v>
      </c>
      <c r="C2533" s="1" t="str">
        <f aca="false" t="array" ref="C2533:C2533">IF(B2532="NEW ROUTE",textsplit(B2533,","),"")</f>
        <v/>
      </c>
      <c r="H2533" s="1" t="str">
        <f aca="false">IF(C2533&lt;&gt;"",DEC2HEX(C2533,2),"")</f>
        <v/>
      </c>
      <c r="I2533" s="1" t="str">
        <f aca="false">IF(D2533&lt;&gt;"",DEC2HEX(D2533,2),"")</f>
        <v/>
      </c>
      <c r="J2533" s="1" t="str">
        <f aca="false">IF(H2533&lt;&gt;"","0x"&amp;I2533&amp;H2533,"")</f>
        <v/>
      </c>
      <c r="L2533" s="1" t="s">
        <v>3567</v>
      </c>
      <c r="M2533" s="1" t="str">
        <f aca="false">IF(J2533&lt;&gt;"",J2533,L2533)</f>
        <v>53, 57, ORNITHOW</v>
      </c>
    </row>
    <row r="2534" customFormat="false" ht="12.75" hidden="false" customHeight="true" outlineLevel="0" collapsed="false">
      <c r="A2534" s="3" t="s">
        <v>2872</v>
      </c>
      <c r="B2534" s="3" t="str">
        <f aca="false">IF(ISNUMBER(SEARCH("%", A2534)),RIGHT(A2534,3),A2534)</f>
        <v>53, 57, ADNOKANA</v>
      </c>
      <c r="C2534" s="1" t="str">
        <f aca="false" t="array" ref="C2534:C2534">IF(B2533="NEW ROUTE",textsplit(B2534,","),"")</f>
        <v/>
      </c>
      <c r="H2534" s="1" t="str">
        <f aca="false">IF(C2534&lt;&gt;"",DEC2HEX(C2534,2),"")</f>
        <v/>
      </c>
      <c r="I2534" s="1" t="str">
        <f aca="false">IF(D2534&lt;&gt;"",DEC2HEX(D2534,2),"")</f>
        <v/>
      </c>
      <c r="J2534" s="1" t="str">
        <f aca="false">IF(H2534&lt;&gt;"","0x"&amp;I2534&amp;H2534,"")</f>
        <v/>
      </c>
      <c r="L2534" s="1" t="s">
        <v>2872</v>
      </c>
      <c r="M2534" s="1" t="str">
        <f aca="false">IF(J2534&lt;&gt;"",J2534,L2534)</f>
        <v>53, 57, ADNOKANA</v>
      </c>
    </row>
    <row r="2535" customFormat="false" ht="12.75" hidden="false" customHeight="true" outlineLevel="0" collapsed="false">
      <c r="A2535" s="3" t="s">
        <v>3568</v>
      </c>
      <c r="B2535" s="3" t="str">
        <f aca="false">IF(ISNUMBER(SEARCH("%", A2535)),RIGHT(A2535,3),A2535)</f>
        <v>53, 57, SANDSLAM</v>
      </c>
      <c r="C2535" s="1" t="str">
        <f aca="false" t="array" ref="C2535:C2535">IF(B2534="NEW ROUTE",textsplit(B2535,","),"")</f>
        <v/>
      </c>
      <c r="H2535" s="1" t="str">
        <f aca="false">IF(C2535&lt;&gt;"",DEC2HEX(C2535,2),"")</f>
        <v/>
      </c>
      <c r="I2535" s="1" t="str">
        <f aca="false">IF(D2535&lt;&gt;"",DEC2HEX(D2535,2),"")</f>
        <v/>
      </c>
      <c r="J2535" s="1" t="str">
        <f aca="false">IF(H2535&lt;&gt;"","0x"&amp;I2535&amp;H2535,"")</f>
        <v/>
      </c>
      <c r="L2535" s="1" t="s">
        <v>3568</v>
      </c>
      <c r="M2535" s="1" t="str">
        <f aca="false">IF(J2535&lt;&gt;"",J2535,L2535)</f>
        <v>53, 57, SANDSLAM</v>
      </c>
    </row>
    <row r="2536" customFormat="false" ht="12.75" hidden="false" customHeight="true" outlineLevel="0" collapsed="false">
      <c r="A2536" s="3" t="s">
        <v>2806</v>
      </c>
      <c r="B2536" s="3" t="str">
        <f aca="false">IF(ISNUMBER(SEARCH("%", A2536)),RIGHT(A2536,3),A2536)</f>
        <v>0.05</v>
      </c>
      <c r="C2536" s="1" t="str">
        <f aca="false" t="array" ref="C2536:C2536">IF(B2535="NEW ROUTE",textsplit(B2536,","),"")</f>
        <v/>
      </c>
      <c r="H2536" s="1" t="str">
        <f aca="false">IF(C2536&lt;&gt;"",DEC2HEX(C2536,2),"")</f>
        <v/>
      </c>
      <c r="I2536" s="1" t="str">
        <f aca="false">IF(D2536&lt;&gt;"",DEC2HEX(D2536,2),"")</f>
        <v/>
      </c>
      <c r="J2536" s="1" t="str">
        <f aca="false">IF(H2536&lt;&gt;"","0x"&amp;I2536&amp;H2536,"")</f>
        <v/>
      </c>
      <c r="L2536" s="1" t="s">
        <v>2806</v>
      </c>
      <c r="M2536" s="1" t="str">
        <f aca="false">IF(J2536&lt;&gt;"",J2536,L2536)</f>
        <v>0.05</v>
      </c>
    </row>
    <row r="2537" customFormat="false" ht="12.75" hidden="false" customHeight="true" outlineLevel="0" collapsed="false">
      <c r="A2537" s="3" t="s">
        <v>3569</v>
      </c>
      <c r="B2537" s="3" t="str">
        <f aca="false">IF(ISNUMBER(SEARCH("%", A2537)),RIGHT(A2537,3),A2537)</f>
        <v>54, 56, "MR. JEST"</v>
      </c>
      <c r="C2537" s="1" t="str">
        <f aca="false" t="array" ref="C2537:C2537">IF(B2536="NEW ROUTE",textsplit(B2537,","),"")</f>
        <v/>
      </c>
      <c r="H2537" s="1" t="str">
        <f aca="false">IF(C2537&lt;&gt;"",DEC2HEX(C2537,2),"")</f>
        <v/>
      </c>
      <c r="I2537" s="1" t="str">
        <f aca="false">IF(D2537&lt;&gt;"",DEC2HEX(D2537,2),"")</f>
        <v/>
      </c>
      <c r="J2537" s="1" t="str">
        <f aca="false">IF(H2537&lt;&gt;"","0x"&amp;I2537&amp;H2537,"")</f>
        <v/>
      </c>
      <c r="L2537" s="1" t="s">
        <v>3569</v>
      </c>
      <c r="M2537" s="1" t="str">
        <f aca="false">IF(J2537&lt;&gt;"",J2537,L2537)</f>
        <v>54, 56, "MR. JEST"</v>
      </c>
    </row>
    <row r="2538" customFormat="false" ht="12.75" hidden="false" customHeight="true" outlineLevel="0" collapsed="false">
      <c r="A2538" s="3" t="s">
        <v>3570</v>
      </c>
      <c r="B2538" s="3" t="str">
        <f aca="false">IF(ISNUMBER(SEARCH("%", A2538)),RIGHT(A2538,3),A2538)</f>
        <v>54, 56, ELECTIVINE</v>
      </c>
      <c r="C2538" s="1" t="str">
        <f aca="false" t="array" ref="C2538:C2538">IF(B2537="NEW ROUTE",textsplit(B2538,","),"")</f>
        <v/>
      </c>
      <c r="H2538" s="1" t="str">
        <f aca="false">IF(C2538&lt;&gt;"",DEC2HEX(C2538,2),"")</f>
        <v/>
      </c>
      <c r="I2538" s="1" t="str">
        <f aca="false">IF(D2538&lt;&gt;"",DEC2HEX(D2538,2),"")</f>
        <v/>
      </c>
      <c r="J2538" s="1" t="str">
        <f aca="false">IF(H2538&lt;&gt;"","0x"&amp;I2538&amp;H2538,"")</f>
        <v/>
      </c>
      <c r="L2538" s="1" t="s">
        <v>3570</v>
      </c>
      <c r="M2538" s="1" t="str">
        <f aca="false">IF(J2538&lt;&gt;"",J2538,L2538)</f>
        <v>54, 56, ELECTIVINE</v>
      </c>
    </row>
    <row r="2539" customFormat="false" ht="12.75" hidden="false" customHeight="true" outlineLevel="0" collapsed="false">
      <c r="A2539" s="3" t="s">
        <v>2809</v>
      </c>
      <c r="B2539" s="3" t="str">
        <f aca="false">IF(ISNUMBER(SEARCH("%", A2539)),RIGHT(A2539,3),A2539)</f>
        <v>0.04</v>
      </c>
      <c r="C2539" s="1" t="str">
        <f aca="false" t="array" ref="C2539:C2539">IF(B2538="NEW ROUTE",textsplit(B2539,","),"")</f>
        <v/>
      </c>
      <c r="H2539" s="1" t="str">
        <f aca="false">IF(C2539&lt;&gt;"",DEC2HEX(C2539,2),"")</f>
        <v/>
      </c>
      <c r="I2539" s="1" t="str">
        <f aca="false">IF(D2539&lt;&gt;"",DEC2HEX(D2539,2),"")</f>
        <v/>
      </c>
      <c r="J2539" s="1" t="str">
        <f aca="false">IF(H2539&lt;&gt;"","0x"&amp;I2539&amp;H2539,"")</f>
        <v/>
      </c>
      <c r="L2539" s="1" t="s">
        <v>2809</v>
      </c>
      <c r="M2539" s="1" t="str">
        <f aca="false">IF(J2539&lt;&gt;"",J2539,L2539)</f>
        <v>0.04</v>
      </c>
    </row>
    <row r="2540" customFormat="false" ht="12.75" hidden="false" customHeight="true" outlineLevel="0" collapsed="false">
      <c r="A2540" s="3" t="s">
        <v>3571</v>
      </c>
      <c r="B2540" s="3" t="str">
        <f aca="false">IF(ISNUMBER(SEARCH("%", A2540)),RIGHT(A2540,3),A2540)</f>
        <v>54, 55, FELANKH</v>
      </c>
      <c r="C2540" s="1" t="str">
        <f aca="false" t="array" ref="C2540:C2540">IF(B2539="NEW ROUTE",textsplit(B2540,","),"")</f>
        <v/>
      </c>
      <c r="H2540" s="1" t="str">
        <f aca="false">IF(C2540&lt;&gt;"",DEC2HEX(C2540,2),"")</f>
        <v/>
      </c>
      <c r="I2540" s="1" t="str">
        <f aca="false">IF(D2540&lt;&gt;"",DEC2HEX(D2540,2),"")</f>
        <v/>
      </c>
      <c r="J2540" s="1" t="str">
        <f aca="false">IF(H2540&lt;&gt;"","0x"&amp;I2540&amp;H2540,"")</f>
        <v/>
      </c>
      <c r="L2540" s="1" t="s">
        <v>3571</v>
      </c>
      <c r="M2540" s="1" t="str">
        <f aca="false">IF(J2540&lt;&gt;"",J2540,L2540)</f>
        <v>54, 55, FELANKH</v>
      </c>
    </row>
    <row r="2541" customFormat="false" ht="12.75" hidden="false" customHeight="true" outlineLevel="0" collapsed="false">
      <c r="A2541" s="3" t="s">
        <v>3572</v>
      </c>
      <c r="B2541" s="3" t="str">
        <f aca="false">IF(ISNUMBER(SEARCH("%", A2541)),RIGHT(A2541,3),A2541)</f>
        <v>56, 57, FELANKH</v>
      </c>
      <c r="C2541" s="1" t="str">
        <f aca="false" t="array" ref="C2541:C2541">IF(B2540="NEW ROUTE",textsplit(B2541,","),"")</f>
        <v/>
      </c>
      <c r="H2541" s="1" t="str">
        <f aca="false">IF(C2541&lt;&gt;"",DEC2HEX(C2541,2),"")</f>
        <v/>
      </c>
      <c r="I2541" s="1" t="str">
        <f aca="false">IF(D2541&lt;&gt;"",DEC2HEX(D2541,2),"")</f>
        <v/>
      </c>
      <c r="J2541" s="1" t="str">
        <f aca="false">IF(H2541&lt;&gt;"","0x"&amp;I2541&amp;H2541,"")</f>
        <v/>
      </c>
      <c r="L2541" s="1" t="s">
        <v>3572</v>
      </c>
      <c r="M2541" s="1" t="str">
        <f aca="false">IF(J2541&lt;&gt;"",J2541,L2541)</f>
        <v>56, 57, FELANKH</v>
      </c>
    </row>
    <row r="2542" customFormat="false" ht="12.75" hidden="false" customHeight="true" outlineLevel="0" collapsed="false">
      <c r="A2542" s="3" t="s">
        <v>2812</v>
      </c>
      <c r="B2542" s="3" t="str">
        <f aca="false">IF(ISNUMBER(SEARCH("%", A2542)),RIGHT(A2542,3),A2542)</f>
        <v>0.01</v>
      </c>
      <c r="C2542" s="1" t="str">
        <f aca="false" t="array" ref="C2542:C2542">IF(B2541="NEW ROUTE",textsplit(B2542,","),"")</f>
        <v/>
      </c>
      <c r="H2542" s="1" t="str">
        <f aca="false">IF(C2542&lt;&gt;"",DEC2HEX(C2542,2),"")</f>
        <v/>
      </c>
      <c r="I2542" s="1" t="str">
        <f aca="false">IF(D2542&lt;&gt;"",DEC2HEX(D2542,2),"")</f>
        <v/>
      </c>
      <c r="J2542" s="1" t="str">
        <f aca="false">IF(H2542&lt;&gt;"","0x"&amp;I2542&amp;H2542,"")</f>
        <v/>
      </c>
      <c r="L2542" s="1" t="s">
        <v>2812</v>
      </c>
      <c r="M2542" s="1" t="str">
        <f aca="false">IF(J2542&lt;&gt;"",J2542,L2542)</f>
        <v>0.01</v>
      </c>
    </row>
    <row r="2543" customFormat="false" ht="12.75" hidden="false" customHeight="true" outlineLevel="0" collapsed="false">
      <c r="A2543" s="3" t="s">
        <v>3573</v>
      </c>
      <c r="B2543" s="3" t="str">
        <f aca="false">IF(ISNUMBER(SEARCH("%", A2543)),RIGHT(A2543,3),A2543)</f>
        <v>40, 50, AERODACTYL</v>
      </c>
      <c r="C2543" s="1" t="str">
        <f aca="false" t="array" ref="C2543:C2543">IF(B2542="NEW ROUTE",textsplit(B2543,","),"")</f>
        <v/>
      </c>
      <c r="H2543" s="1" t="str">
        <f aca="false">IF(C2543&lt;&gt;"",DEC2HEX(C2543,2),"")</f>
        <v/>
      </c>
      <c r="I2543" s="1" t="str">
        <f aca="false">IF(D2543&lt;&gt;"",DEC2HEX(D2543,2),"")</f>
        <v/>
      </c>
      <c r="J2543" s="1" t="str">
        <f aca="false">IF(H2543&lt;&gt;"","0x"&amp;I2543&amp;H2543,"")</f>
        <v/>
      </c>
      <c r="L2543" s="1" t="s">
        <v>3573</v>
      </c>
      <c r="M2543" s="1" t="str">
        <f aca="false">IF(J2543&lt;&gt;"",J2543,L2543)</f>
        <v>40, 50, AERODACTYL</v>
      </c>
    </row>
    <row r="2544" customFormat="false" ht="12.75" hidden="false" customHeight="true" outlineLevel="0" collapsed="false">
      <c r="A2544" s="3" t="s">
        <v>3574</v>
      </c>
      <c r="B2544" s="3" t="str">
        <f aca="false">IF(ISNUMBER(SEARCH("%", A2544)),RIGHT(A2544,3),A2544)</f>
        <v>57, 59, LUKKEY</v>
      </c>
      <c r="C2544" s="1" t="str">
        <f aca="false" t="array" ref="C2544:C2544">IF(B2543="NEW ROUTE",textsplit(B2544,","),"")</f>
        <v/>
      </c>
      <c r="H2544" s="1" t="str">
        <f aca="false">IF(C2544&lt;&gt;"",DEC2HEX(C2544,2),"")</f>
        <v/>
      </c>
      <c r="I2544" s="1" t="str">
        <f aca="false">IF(D2544&lt;&gt;"",DEC2HEX(D2544,2),"")</f>
        <v/>
      </c>
      <c r="J2544" s="1" t="str">
        <f aca="false">IF(H2544&lt;&gt;"","0x"&amp;I2544&amp;H2544,"")</f>
        <v/>
      </c>
      <c r="L2544" s="1" t="s">
        <v>3574</v>
      </c>
      <c r="M2544" s="1" t="str">
        <f aca="false">IF(J2544&lt;&gt;"",J2544,L2544)</f>
        <v>57, 59, LUKKEY</v>
      </c>
    </row>
    <row r="2545" customFormat="false" ht="12.75" hidden="false" customHeight="true" outlineLevel="0" collapsed="false">
      <c r="A2545" s="3" t="s">
        <v>3575</v>
      </c>
      <c r="B2545" s="3" t="str">
        <f aca="false">IF(ISNUMBER(SEARCH("%", A2545)),RIGHT(A2545,3),A2545)</f>
        <v>2, 50, 55, GILDUCK</v>
      </c>
      <c r="C2545" s="1" t="str">
        <f aca="false" t="array" ref="C2545:C2545">IF(B2544="NEW ROUTE",textsplit(B2545,","),"")</f>
        <v/>
      </c>
      <c r="H2545" s="1" t="str">
        <f aca="false">IF(C2545&lt;&gt;"",DEC2HEX(C2545,2),"")</f>
        <v/>
      </c>
      <c r="I2545" s="1" t="str">
        <f aca="false">IF(D2545&lt;&gt;"",DEC2HEX(D2545,2),"")</f>
        <v/>
      </c>
      <c r="J2545" s="1" t="str">
        <f aca="false">IF(H2545&lt;&gt;"","0x"&amp;I2545&amp;H2545,"")</f>
        <v/>
      </c>
      <c r="L2545" s="1" t="s">
        <v>3575</v>
      </c>
      <c r="M2545" s="1" t="str">
        <f aca="false">IF(J2545&lt;&gt;"",J2545,L2545)</f>
        <v>2, 50, 55, GILDUCK</v>
      </c>
    </row>
    <row r="2546" customFormat="false" ht="12.75" hidden="false" customHeight="true" outlineLevel="0" collapsed="false">
      <c r="A2546" s="3" t="s">
        <v>3576</v>
      </c>
      <c r="B2546" s="3" t="str">
        <f aca="false">IF(ISNUMBER(SEARCH("%", A2546)),RIGHT(A2546,3),A2546)</f>
        <v>50, 55, POLITOES</v>
      </c>
      <c r="C2546" s="1" t="str">
        <f aca="false" t="array" ref="C2546:C2546">IF(B2545="NEW ROUTE",textsplit(B2546,","),"")</f>
        <v/>
      </c>
      <c r="H2546" s="1" t="str">
        <f aca="false">IF(C2546&lt;&gt;"",DEC2HEX(C2546,2),"")</f>
        <v/>
      </c>
      <c r="I2546" s="1" t="str">
        <f aca="false">IF(D2546&lt;&gt;"",DEC2HEX(D2546,2),"")</f>
        <v/>
      </c>
      <c r="J2546" s="1" t="str">
        <f aca="false">IF(H2546&lt;&gt;"","0x"&amp;I2546&amp;H2546,"")</f>
        <v/>
      </c>
      <c r="L2546" s="1" t="s">
        <v>3576</v>
      </c>
      <c r="M2546" s="1" t="str">
        <f aca="false">IF(J2546&lt;&gt;"",J2546,L2546)</f>
        <v>50, 55, POLITOES</v>
      </c>
    </row>
    <row r="2547" customFormat="false" ht="12.75" hidden="false" customHeight="true" outlineLevel="0" collapsed="false">
      <c r="A2547" s="3" t="s">
        <v>3577</v>
      </c>
      <c r="B2547" s="3" t="str">
        <f aca="false">IF(ISNUMBER(SEARCH("%", A2547)),RIGHT(A2547,3),A2547)</f>
        <v>52, 57, SLOWMATE</v>
      </c>
      <c r="C2547" s="1" t="str">
        <f aca="false" t="array" ref="C2547:C2547">IF(B2546="NEW ROUTE",textsplit(B2547,","),"")</f>
        <v/>
      </c>
      <c r="H2547" s="1" t="str">
        <f aca="false">IF(C2547&lt;&gt;"",DEC2HEX(C2547,2),"")</f>
        <v/>
      </c>
      <c r="I2547" s="1" t="str">
        <f aca="false">IF(D2547&lt;&gt;"",DEC2HEX(D2547,2),"")</f>
        <v/>
      </c>
      <c r="J2547" s="1" t="str">
        <f aca="false">IF(H2547&lt;&gt;"","0x"&amp;I2547&amp;H2547,"")</f>
        <v/>
      </c>
      <c r="L2547" s="1" t="s">
        <v>3577</v>
      </c>
      <c r="M2547" s="1" t="str">
        <f aca="false">IF(J2547&lt;&gt;"",J2547,L2547)</f>
        <v>52, 57, SLOWMATE</v>
      </c>
    </row>
    <row r="2548" customFormat="false" ht="12.75" hidden="false" customHeight="true" outlineLevel="0" collapsed="false">
      <c r="A2548" s="3" t="s">
        <v>2970</v>
      </c>
      <c r="B2548" s="3" t="str">
        <f aca="false">IF(ISNUMBER(SEARCH("%", A2548)),RIGHT(A2548,3),A2548)</f>
        <v>52, 57, POLIWISE</v>
      </c>
      <c r="C2548" s="1" t="str">
        <f aca="false" t="array" ref="C2548:C2548">IF(B2547="NEW ROUTE",textsplit(B2548,","),"")</f>
        <v/>
      </c>
      <c r="H2548" s="1" t="str">
        <f aca="false">IF(C2548&lt;&gt;"",DEC2HEX(C2548,2),"")</f>
        <v/>
      </c>
      <c r="I2548" s="1" t="str">
        <f aca="false">IF(D2548&lt;&gt;"",DEC2HEX(D2548,2),"")</f>
        <v/>
      </c>
      <c r="J2548" s="1" t="str">
        <f aca="false">IF(H2548&lt;&gt;"","0x"&amp;I2548&amp;H2548,"")</f>
        <v/>
      </c>
      <c r="L2548" s="1" t="s">
        <v>2970</v>
      </c>
      <c r="M2548" s="1" t="str">
        <f aca="false">IF(J2548&lt;&gt;"",J2548,L2548)</f>
        <v>52, 57, POLIWISE</v>
      </c>
    </row>
    <row r="2549" customFormat="false" ht="12.75" hidden="false" customHeight="true" outlineLevel="0" collapsed="false">
      <c r="A2549" s="3" t="s">
        <v>3578</v>
      </c>
      <c r="B2549" s="3" t="str">
        <f aca="false">IF(ISNUMBER(SEARCH("%", A2549)),RIGHT(A2549,3),A2549)</f>
        <v>53, 58, PLATINUPUS</v>
      </c>
      <c r="C2549" s="1" t="str">
        <f aca="false" t="array" ref="C2549:C2549">IF(B2548="NEW ROUTE",textsplit(B2549,","),"")</f>
        <v/>
      </c>
      <c r="H2549" s="1" t="str">
        <f aca="false">IF(C2549&lt;&gt;"",DEC2HEX(C2549,2),"")</f>
        <v/>
      </c>
      <c r="I2549" s="1" t="str">
        <f aca="false">IF(D2549&lt;&gt;"",DEC2HEX(D2549,2),"")</f>
        <v/>
      </c>
      <c r="J2549" s="1" t="str">
        <f aca="false">IF(H2549&lt;&gt;"","0x"&amp;I2549&amp;H2549,"")</f>
        <v/>
      </c>
      <c r="L2549" s="1" t="s">
        <v>3578</v>
      </c>
      <c r="M2549" s="1" t="str">
        <f aca="false">IF(J2549&lt;&gt;"",J2549,L2549)</f>
        <v>53, 58, PLATINUPUS</v>
      </c>
    </row>
    <row r="2550" customFormat="false" ht="12.75" hidden="false" customHeight="true" outlineLevel="0" collapsed="false">
      <c r="A2550" s="3" t="s">
        <v>2925</v>
      </c>
      <c r="B2550" s="3" t="str">
        <f aca="false">IF(ISNUMBER(SEARCH("%", A2550)),RIGHT(A2550,3),A2550)</f>
        <v>20, old rod:</v>
      </c>
      <c r="C2550" s="1" t="str">
        <f aca="false" t="array" ref="C2550:C2550">IF(B2549="NEW ROUTE",textsplit(B2550,","),"")</f>
        <v/>
      </c>
      <c r="H2550" s="1" t="str">
        <f aca="false">IF(C2550&lt;&gt;"",DEC2HEX(C2550,2),"")</f>
        <v/>
      </c>
      <c r="I2550" s="1" t="str">
        <f aca="false">IF(D2550&lt;&gt;"",DEC2HEX(D2550,2),"")</f>
        <v/>
      </c>
      <c r="J2550" s="1" t="str">
        <f aca="false">IF(H2550&lt;&gt;"","0x"&amp;I2550&amp;H2550,"")</f>
        <v/>
      </c>
      <c r="L2550" s="1" t="s">
        <v>2925</v>
      </c>
      <c r="M2550" s="1" t="str">
        <f aca="false">IF(J2550&lt;&gt;"",J2550,L2550)</f>
        <v>20, old rod:</v>
      </c>
    </row>
    <row r="2551" customFormat="false" ht="12.75" hidden="false" customHeight="true" outlineLevel="0" collapsed="false">
      <c r="A2551" s="3" t="s">
        <v>2063</v>
      </c>
      <c r="B2551" s="3" t="str">
        <f aca="false">IF(ISNUMBER(SEARCH("%", A2551)),RIGHT(A2551,3),A2551)</f>
        <v>24, 36, GOLDEEN</v>
      </c>
      <c r="C2551" s="1" t="str">
        <f aca="false" t="array" ref="C2551:C2551">IF(B2550="NEW ROUTE",textsplit(B2551,","),"")</f>
        <v/>
      </c>
      <c r="H2551" s="1" t="str">
        <f aca="false">IF(C2551&lt;&gt;"",DEC2HEX(C2551,2),"")</f>
        <v/>
      </c>
      <c r="I2551" s="1" t="str">
        <f aca="false">IF(D2551&lt;&gt;"",DEC2HEX(D2551,2),"")</f>
        <v/>
      </c>
      <c r="J2551" s="1" t="str">
        <f aca="false">IF(H2551&lt;&gt;"","0x"&amp;I2551&amp;H2551,"")</f>
        <v/>
      </c>
      <c r="L2551" s="1" t="s">
        <v>2063</v>
      </c>
      <c r="M2551" s="1" t="str">
        <f aca="false">IF(J2551&lt;&gt;"",J2551,L2551)</f>
        <v>24, 36, GOLDEEN</v>
      </c>
    </row>
    <row r="2552" customFormat="false" ht="12.75" hidden="false" customHeight="true" outlineLevel="0" collapsed="false">
      <c r="A2552" s="3" t="s">
        <v>3579</v>
      </c>
      <c r="B2552" s="3" t="str">
        <f aca="false">IF(ISNUMBER(SEARCH("%", A2552)),RIGHT(A2552,3),A2552)</f>
        <v>23, 36, KRABBY</v>
      </c>
      <c r="C2552" s="1" t="str">
        <f aca="false" t="array" ref="C2552:C2552">IF(B2551="NEW ROUTE",textsplit(B2552,","),"")</f>
        <v/>
      </c>
      <c r="H2552" s="1" t="str">
        <f aca="false">IF(C2552&lt;&gt;"",DEC2HEX(C2552,2),"")</f>
        <v/>
      </c>
      <c r="I2552" s="1" t="str">
        <f aca="false">IF(D2552&lt;&gt;"",DEC2HEX(D2552,2),"")</f>
        <v/>
      </c>
      <c r="J2552" s="1" t="str">
        <f aca="false">IF(H2552&lt;&gt;"","0x"&amp;I2552&amp;H2552,"")</f>
        <v/>
      </c>
      <c r="L2552" s="1" t="s">
        <v>3579</v>
      </c>
      <c r="M2552" s="1" t="str">
        <f aca="false">IF(J2552&lt;&gt;"",J2552,L2552)</f>
        <v>23, 36, KRABBY</v>
      </c>
    </row>
    <row r="2553" customFormat="false" ht="12.75" hidden="false" customHeight="true" outlineLevel="0" collapsed="false">
      <c r="A2553" s="3" t="s">
        <v>2846</v>
      </c>
      <c r="B2553" s="3" t="str">
        <f aca="false">IF(ISNUMBER(SEARCH("%", A2553)),RIGHT(A2553,3),A2553)</f>
        <v>good rod:</v>
      </c>
      <c r="C2553" s="1" t="str">
        <f aca="false" t="array" ref="C2553:C2553">IF(B2552="NEW ROUTE",textsplit(B2553,","),"")</f>
        <v/>
      </c>
      <c r="H2553" s="1" t="str">
        <f aca="false">IF(C2553&lt;&gt;"",DEC2HEX(C2553,2),"")</f>
        <v/>
      </c>
      <c r="I2553" s="1" t="str">
        <f aca="false">IF(D2553&lt;&gt;"",DEC2HEX(D2553,2),"")</f>
        <v/>
      </c>
      <c r="J2553" s="1" t="str">
        <f aca="false">IF(H2553&lt;&gt;"","0x"&amp;I2553&amp;H2553,"")</f>
        <v/>
      </c>
      <c r="L2553" s="1" t="s">
        <v>2846</v>
      </c>
      <c r="M2553" s="1" t="str">
        <f aca="false">IF(J2553&lt;&gt;"",J2553,L2553)</f>
        <v>good rod:</v>
      </c>
    </row>
    <row r="2554" customFormat="false" ht="12.75" hidden="false" customHeight="true" outlineLevel="0" collapsed="false">
      <c r="A2554" s="3" t="s">
        <v>3580</v>
      </c>
      <c r="B2554" s="3" t="str">
        <f aca="false">IF(ISNUMBER(SEARCH("%", A2554)),RIGHT(A2554,3),A2554)</f>
        <v>30, 38, SEAKING</v>
      </c>
      <c r="C2554" s="1" t="str">
        <f aca="false" t="array" ref="C2554:C2554">IF(B2553="NEW ROUTE",textsplit(B2554,","),"")</f>
        <v/>
      </c>
      <c r="H2554" s="1" t="str">
        <f aca="false">IF(C2554&lt;&gt;"",DEC2HEX(C2554,2),"")</f>
        <v/>
      </c>
      <c r="I2554" s="1" t="str">
        <f aca="false">IF(D2554&lt;&gt;"",DEC2HEX(D2554,2),"")</f>
        <v/>
      </c>
      <c r="J2554" s="1" t="str">
        <f aca="false">IF(H2554&lt;&gt;"","0x"&amp;I2554&amp;H2554,"")</f>
        <v/>
      </c>
      <c r="L2554" s="1" t="s">
        <v>3580</v>
      </c>
      <c r="M2554" s="1" t="str">
        <f aca="false">IF(J2554&lt;&gt;"",J2554,L2554)</f>
        <v>30, 38, SEAKING</v>
      </c>
    </row>
    <row r="2555" customFormat="false" ht="12.75" hidden="false" customHeight="true" outlineLevel="0" collapsed="false">
      <c r="A2555" s="3" t="s">
        <v>3581</v>
      </c>
      <c r="B2555" s="3" t="str">
        <f aca="false">IF(ISNUMBER(SEARCH("%", A2555)),RIGHT(A2555,3),A2555)</f>
        <v>32, 40, KINGLER</v>
      </c>
      <c r="C2555" s="1" t="str">
        <f aca="false" t="array" ref="C2555:C2555">IF(B2554="NEW ROUTE",textsplit(B2555,","),"")</f>
        <v/>
      </c>
      <c r="H2555" s="1" t="str">
        <f aca="false">IF(C2555&lt;&gt;"",DEC2HEX(C2555,2),"")</f>
        <v/>
      </c>
      <c r="I2555" s="1" t="str">
        <f aca="false">IF(D2555&lt;&gt;"",DEC2HEX(D2555,2),"")</f>
        <v/>
      </c>
      <c r="J2555" s="1" t="str">
        <f aca="false">IF(H2555&lt;&gt;"","0x"&amp;I2555&amp;H2555,"")</f>
        <v/>
      </c>
      <c r="L2555" s="1" t="s">
        <v>3581</v>
      </c>
      <c r="M2555" s="1" t="str">
        <f aca="false">IF(J2555&lt;&gt;"",J2555,L2555)</f>
        <v>32, 40, KINGLER</v>
      </c>
    </row>
    <row r="2556" customFormat="false" ht="12.75" hidden="false" customHeight="true" outlineLevel="0" collapsed="false">
      <c r="A2556" s="3" t="s">
        <v>3582</v>
      </c>
      <c r="B2556" s="3" t="str">
        <f aca="false">IF(ISNUMBER(SEARCH("%", A2556)),RIGHT(A2556,3),A2556)</f>
        <v>32, 40, DRAGONAIR</v>
      </c>
      <c r="C2556" s="1" t="str">
        <f aca="false" t="array" ref="C2556:C2556">IF(B2555="NEW ROUTE",textsplit(B2556,","),"")</f>
        <v/>
      </c>
      <c r="H2556" s="1" t="str">
        <f aca="false">IF(C2556&lt;&gt;"",DEC2HEX(C2556,2),"")</f>
        <v/>
      </c>
      <c r="I2556" s="1" t="str">
        <f aca="false">IF(D2556&lt;&gt;"",DEC2HEX(D2556,2),"")</f>
        <v/>
      </c>
      <c r="J2556" s="1" t="str">
        <f aca="false">IF(H2556&lt;&gt;"","0x"&amp;I2556&amp;H2556,"")</f>
        <v/>
      </c>
      <c r="L2556" s="1" t="s">
        <v>3582</v>
      </c>
      <c r="M2556" s="1" t="str">
        <f aca="false">IF(J2556&lt;&gt;"",J2556,L2556)</f>
        <v>32, 40, DRAGONAIR</v>
      </c>
    </row>
    <row r="2557" customFormat="false" ht="12.75" hidden="false" customHeight="true" outlineLevel="0" collapsed="false">
      <c r="A2557" s="3" t="s">
        <v>2850</v>
      </c>
      <c r="B2557" s="3" t="str">
        <f aca="false">IF(ISNUMBER(SEARCH("%", A2557)),RIGHT(A2557,3),A2557)</f>
        <v>super rod:</v>
      </c>
      <c r="C2557" s="1" t="str">
        <f aca="false" t="array" ref="C2557:C2557">IF(B2556="NEW ROUTE",textsplit(B2557,","),"")</f>
        <v/>
      </c>
      <c r="H2557" s="1" t="str">
        <f aca="false">IF(C2557&lt;&gt;"",DEC2HEX(C2557,2),"")</f>
        <v/>
      </c>
      <c r="I2557" s="1" t="str">
        <f aca="false">IF(D2557&lt;&gt;"",DEC2HEX(D2557,2),"")</f>
        <v/>
      </c>
      <c r="J2557" s="1" t="str">
        <f aca="false">IF(H2557&lt;&gt;"","0x"&amp;I2557&amp;H2557,"")</f>
        <v/>
      </c>
      <c r="L2557" s="1" t="s">
        <v>2850</v>
      </c>
      <c r="M2557" s="1" t="str">
        <f aca="false">IF(J2557&lt;&gt;"",J2557,L2557)</f>
        <v>super rod:</v>
      </c>
    </row>
    <row r="2558" customFormat="false" ht="12.75" hidden="false" customHeight="true" outlineLevel="0" collapsed="false">
      <c r="A2558" s="3" t="s">
        <v>3583</v>
      </c>
      <c r="B2558" s="3" t="str">
        <f aca="false">IF(ISNUMBER(SEARCH("%", A2558)),RIGHT(A2558,3),A2558)</f>
        <v>50, 55, SEAREX</v>
      </c>
      <c r="C2558" s="1" t="str">
        <f aca="false" t="array" ref="C2558:C2558">IF(B2557="NEW ROUTE",textsplit(B2558,","),"")</f>
        <v/>
      </c>
      <c r="H2558" s="1" t="str">
        <f aca="false">IF(C2558&lt;&gt;"",DEC2HEX(C2558,2),"")</f>
        <v/>
      </c>
      <c r="I2558" s="1" t="str">
        <f aca="false">IF(D2558&lt;&gt;"",DEC2HEX(D2558,2),"")</f>
        <v/>
      </c>
      <c r="J2558" s="1" t="str">
        <f aca="false">IF(H2558&lt;&gt;"","0x"&amp;I2558&amp;H2558,"")</f>
        <v/>
      </c>
      <c r="L2558" s="1" t="s">
        <v>3583</v>
      </c>
      <c r="M2558" s="1" t="str">
        <f aca="false">IF(J2558&lt;&gt;"",J2558,L2558)</f>
        <v>50, 55, SEAREX</v>
      </c>
    </row>
    <row r="2559" customFormat="false" ht="12.75" hidden="false" customHeight="true" outlineLevel="0" collapsed="false">
      <c r="A2559" s="3" t="s">
        <v>2969</v>
      </c>
      <c r="B2559" s="3" t="str">
        <f aca="false">IF(ISNUMBER(SEARCH("%", A2559)),RIGHT(A2559,3),A2559)</f>
        <v>50, 55, DRAGONITE</v>
      </c>
      <c r="C2559" s="1" t="str">
        <f aca="false" t="array" ref="C2559:C2559">IF(B2558="NEW ROUTE",textsplit(B2559,","),"")</f>
        <v/>
      </c>
      <c r="H2559" s="1" t="str">
        <f aca="false">IF(C2559&lt;&gt;"",DEC2HEX(C2559,2),"")</f>
        <v/>
      </c>
      <c r="I2559" s="1" t="str">
        <f aca="false">IF(D2559&lt;&gt;"",DEC2HEX(D2559,2),"")</f>
        <v/>
      </c>
      <c r="J2559" s="1" t="str">
        <f aca="false">IF(H2559&lt;&gt;"","0x"&amp;I2559&amp;H2559,"")</f>
        <v/>
      </c>
      <c r="L2559" s="1" t="s">
        <v>2969</v>
      </c>
      <c r="M2559" s="1" t="str">
        <f aca="false">IF(J2559&lt;&gt;"",J2559,L2559)</f>
        <v>50, 55, DRAGONITE</v>
      </c>
    </row>
    <row r="2560" customFormat="false" ht="12.75" hidden="false" customHeight="true" outlineLevel="0" collapsed="false">
      <c r="A2560" s="3" t="s">
        <v>3584</v>
      </c>
      <c r="B2560" s="3" t="str">
        <f aca="false">IF(ISNUMBER(SEARCH("%", A2560)),RIGHT(A2560,3),A2560)</f>
        <v>52, 57, KRAKLAW</v>
      </c>
      <c r="C2560" s="1" t="str">
        <f aca="false" t="array" ref="C2560:C2560">IF(B2559="NEW ROUTE",textsplit(B2560,","),"")</f>
        <v/>
      </c>
      <c r="H2560" s="1" t="str">
        <f aca="false">IF(C2560&lt;&gt;"",DEC2HEX(C2560,2),"")</f>
        <v/>
      </c>
      <c r="I2560" s="1" t="str">
        <f aca="false">IF(D2560&lt;&gt;"",DEC2HEX(D2560,2),"")</f>
        <v/>
      </c>
      <c r="J2560" s="1" t="str">
        <f aca="false">IF(H2560&lt;&gt;"","0x"&amp;I2560&amp;H2560,"")</f>
        <v/>
      </c>
      <c r="L2560" s="1" t="s">
        <v>3584</v>
      </c>
      <c r="M2560" s="1" t="str">
        <f aca="false">IF(J2560&lt;&gt;"",J2560,L2560)</f>
        <v>52, 57, KRAKLAW</v>
      </c>
    </row>
    <row r="2561" customFormat="false" ht="12.75" hidden="false" customHeight="true" outlineLevel="0" collapsed="false">
      <c r="A2561" s="3" t="s">
        <v>3585</v>
      </c>
      <c r="B2561" s="3" t="str">
        <f aca="false">IF(ISNUMBER(SEARCH("%", A2561)),RIGHT(A2561,3),A2561)</f>
        <v>52, 57, CAPRISEA</v>
      </c>
      <c r="C2561" s="1" t="str">
        <f aca="false" t="array" ref="C2561:C2561">IF(B2560="NEW ROUTE",textsplit(B2561,","),"")</f>
        <v/>
      </c>
      <c r="H2561" s="1" t="str">
        <f aca="false">IF(C2561&lt;&gt;"",DEC2HEX(C2561,2),"")</f>
        <v/>
      </c>
      <c r="I2561" s="1" t="str">
        <f aca="false">IF(D2561&lt;&gt;"",DEC2HEX(D2561,2),"")</f>
        <v/>
      </c>
      <c r="J2561" s="1" t="str">
        <f aca="false">IF(H2561&lt;&gt;"","0x"&amp;I2561&amp;H2561,"")</f>
        <v/>
      </c>
      <c r="L2561" s="1" t="s">
        <v>3585</v>
      </c>
      <c r="M2561" s="1" t="str">
        <f aca="false">IF(J2561&lt;&gt;"",J2561,L2561)</f>
        <v>52, 57, CAPRISEA</v>
      </c>
    </row>
    <row r="2562" customFormat="false" ht="12.75" hidden="false" customHeight="true" outlineLevel="0" collapsed="false">
      <c r="A2562" s="3" t="s">
        <v>3586</v>
      </c>
      <c r="B2562" s="3" t="str">
        <f aca="false">IF(ISNUMBER(SEARCH("%", A2562)),RIGHT(A2562,3),A2562)</f>
        <v>53, 58, DRAGONIER</v>
      </c>
      <c r="C2562" s="1" t="str">
        <f aca="false" t="array" ref="C2562:C2562">IF(B2561="NEW ROUTE",textsplit(B2562,","),"")</f>
        <v/>
      </c>
      <c r="H2562" s="1" t="str">
        <f aca="false">IF(C2562&lt;&gt;"",DEC2HEX(C2562,2),"")</f>
        <v/>
      </c>
      <c r="I2562" s="1" t="str">
        <f aca="false">IF(D2562&lt;&gt;"",DEC2HEX(D2562,2),"")</f>
        <v/>
      </c>
      <c r="J2562" s="1" t="str">
        <f aca="false">IF(H2562&lt;&gt;"","0x"&amp;I2562&amp;H2562,"")</f>
        <v/>
      </c>
      <c r="L2562" s="1" t="s">
        <v>3586</v>
      </c>
      <c r="M2562" s="1" t="str">
        <f aca="false">IF(J2562&lt;&gt;"",J2562,L2562)</f>
        <v>53, 58, DRAGONIER</v>
      </c>
    </row>
    <row r="2563" customFormat="false" ht="12.75" hidden="false" customHeight="true" outlineLevel="0" collapsed="false">
      <c r="A2563" s="3" t="s">
        <v>2536</v>
      </c>
      <c r="B2563" s="3" t="str">
        <f aca="false">IF(ISNUMBER(SEARCH("%", A2563)),RIGHT(A2563,3),A2563)</f>
        <v>NEW ROUTE</v>
      </c>
      <c r="C2563" s="1" t="str">
        <f aca="false" t="array" ref="C2563:C2563">IF(B2562="NEW ROUTE",textsplit(B2563,","),"")</f>
        <v/>
      </c>
      <c r="H2563" s="1" t="str">
        <f aca="false">IF(C2563&lt;&gt;"",DEC2HEX(C2563,2),"")</f>
        <v/>
      </c>
      <c r="I2563" s="1" t="str">
        <f aca="false">IF(D2563&lt;&gt;"",DEC2HEX(D2563,2),"")</f>
        <v/>
      </c>
      <c r="J2563" s="1" t="str">
        <f aca="false">IF(H2563&lt;&gt;"","0x"&amp;I2563&amp;H2563,"")</f>
        <v/>
      </c>
      <c r="L2563" s="1" t="s">
        <v>2536</v>
      </c>
      <c r="M2563" s="1" t="str">
        <f aca="false">IF(J2563&lt;&gt;"",J2563,L2563)</f>
        <v>NEW ROUTE</v>
      </c>
    </row>
    <row r="2564" customFormat="false" ht="12.75" hidden="false" customHeight="true" outlineLevel="0" collapsed="false">
      <c r="A2564" s="3" t="s">
        <v>3587</v>
      </c>
      <c r="B2564" s="3" t="str">
        <f aca="false">IF(ISNUMBER(SEARCH("%", A2564)),RIGHT(A2564,3),A2564)</f>
        <v>3, 43, 0,</v>
      </c>
      <c r="C2564" s="1" t="e">
        <f aca="false" t="array" ref="C2564:C2564">IF(B2563="NEW ROUTE",textsplit(B2564,","),"")</f>
        <v>#NAME?</v>
      </c>
      <c r="H2564" s="1" t="e">
        <f aca="false">IF(C2564&lt;&gt;"",DEC2HEX(C2564,2),"")</f>
        <v>#NAME?</v>
      </c>
      <c r="I2564" s="1" t="str">
        <f aca="false">IF(D2564&lt;&gt;"",DEC2HEX(D2564,2),"")</f>
        <v/>
      </c>
      <c r="J2564" s="1" t="e">
        <f aca="false">IF(H2564&lt;&gt;"","0x"&amp;I2564&amp;H2564,"")</f>
        <v>#NAME?</v>
      </c>
      <c r="L2564" s="1" t="s">
        <v>3587</v>
      </c>
      <c r="M2564" s="1" t="e">
        <f aca="false">IF(J2564&lt;&gt;"",J2564,L2564)</f>
        <v>#NAME?</v>
      </c>
    </row>
    <row r="2565" customFormat="false" ht="12.75" hidden="false" customHeight="true" outlineLevel="0" collapsed="false">
      <c r="A2565" s="3" t="s">
        <v>2908</v>
      </c>
      <c r="B2565" s="3" t="str">
        <f aca="false">IF(ISNUMBER(SEARCH("%", A2565)),RIGHT(A2565,3),A2565)</f>
        <v>20%</v>
      </c>
      <c r="C2565" s="1" t="str">
        <f aca="false" t="array" ref="C2565:C2565">IF(B2564="NEW ROUTE",textsplit(B2565,","),"")</f>
        <v/>
      </c>
      <c r="H2565" s="1" t="str">
        <f aca="false">IF(C2565&lt;&gt;"",DEC2HEX(C2565,2),"")</f>
        <v/>
      </c>
      <c r="I2565" s="1" t="str">
        <f aca="false">IF(D2565&lt;&gt;"",DEC2HEX(D2565,2),"")</f>
        <v/>
      </c>
      <c r="J2565" s="1" t="str">
        <f aca="false">IF(H2565&lt;&gt;"","0x"&amp;I2565&amp;H2565,"")</f>
        <v/>
      </c>
      <c r="L2565" s="1" t="s">
        <v>2799</v>
      </c>
      <c r="M2565" s="1" t="str">
        <f aca="false">IF(J2565&lt;&gt;"",J2565,L2565)</f>
        <v>20%</v>
      </c>
    </row>
    <row r="2566" customFormat="false" ht="12.75" hidden="false" customHeight="true" outlineLevel="0" collapsed="false">
      <c r="A2566" s="3" t="s">
        <v>2073</v>
      </c>
      <c r="B2566" s="3" t="str">
        <f aca="false">IF(ISNUMBER(SEARCH("%", A2566)),RIGHT(A2566,3),A2566)</f>
        <v>13, 17, PIDGEY</v>
      </c>
      <c r="C2566" s="1" t="str">
        <f aca="false" t="array" ref="C2566:C2566">IF(B2565="NEW ROUTE",textsplit(B2566,","),"")</f>
        <v/>
      </c>
      <c r="H2566" s="1" t="str">
        <f aca="false">IF(C2566&lt;&gt;"",DEC2HEX(C2566,2),"")</f>
        <v/>
      </c>
      <c r="I2566" s="1" t="str">
        <f aca="false">IF(D2566&lt;&gt;"",DEC2HEX(D2566,2),"")</f>
        <v/>
      </c>
      <c r="J2566" s="1" t="str">
        <f aca="false">IF(H2566&lt;&gt;"","0x"&amp;I2566&amp;H2566,"")</f>
        <v/>
      </c>
      <c r="L2566" s="1" t="s">
        <v>2073</v>
      </c>
      <c r="M2566" s="1" t="str">
        <f aca="false">IF(J2566&lt;&gt;"",J2566,L2566)</f>
        <v>13, 17, PIDGEY</v>
      </c>
    </row>
    <row r="2567" customFormat="false" ht="12.75" hidden="false" customHeight="true" outlineLevel="0" collapsed="false">
      <c r="A2567" s="3" t="s">
        <v>3588</v>
      </c>
      <c r="B2567" s="3" t="str">
        <f aca="false">IF(ISNUMBER(SEARCH("%", A2567)),RIGHT(A2567,3),A2567)</f>
        <v>13, 17, ODDISH</v>
      </c>
      <c r="C2567" s="1" t="str">
        <f aca="false" t="array" ref="C2567:C2567">IF(B2566="NEW ROUTE",textsplit(B2567,","),"")</f>
        <v/>
      </c>
      <c r="H2567" s="1" t="str">
        <f aca="false">IF(C2567&lt;&gt;"",DEC2HEX(C2567,2),"")</f>
        <v/>
      </c>
      <c r="I2567" s="1" t="str">
        <f aca="false">IF(D2567&lt;&gt;"",DEC2HEX(D2567,2),"")</f>
        <v/>
      </c>
      <c r="J2567" s="1" t="str">
        <f aca="false">IF(H2567&lt;&gt;"","0x"&amp;I2567&amp;H2567,"")</f>
        <v/>
      </c>
      <c r="L2567" s="1" t="s">
        <v>3588</v>
      </c>
      <c r="M2567" s="1" t="str">
        <f aca="false">IF(J2567&lt;&gt;"",J2567,L2567)</f>
        <v>13, 17, ODDISH</v>
      </c>
    </row>
    <row r="2568" customFormat="false" ht="12.75" hidden="false" customHeight="true" outlineLevel="0" collapsed="false">
      <c r="A2568" s="3" t="s">
        <v>2801</v>
      </c>
      <c r="B2568" s="3" t="str">
        <f aca="false">IF(ISNUMBER(SEARCH("%", A2568)),RIGHT(A2568,3),A2568)</f>
        <v>0.1</v>
      </c>
      <c r="C2568" s="1" t="str">
        <f aca="false" t="array" ref="C2568:C2568">IF(B2567="NEW ROUTE",textsplit(B2568,","),"")</f>
        <v/>
      </c>
      <c r="H2568" s="1" t="str">
        <f aca="false">IF(C2568&lt;&gt;"",DEC2HEX(C2568,2),"")</f>
        <v/>
      </c>
      <c r="I2568" s="1" t="str">
        <f aca="false">IF(D2568&lt;&gt;"",DEC2HEX(D2568,2),"")</f>
        <v/>
      </c>
      <c r="J2568" s="1" t="str">
        <f aca="false">IF(H2568&lt;&gt;"","0x"&amp;I2568&amp;H2568,"")</f>
        <v/>
      </c>
      <c r="L2568" s="1" t="s">
        <v>2801</v>
      </c>
      <c r="M2568" s="1" t="str">
        <f aca="false">IF(J2568&lt;&gt;"",J2568,L2568)</f>
        <v>0.1</v>
      </c>
    </row>
    <row r="2569" customFormat="false" ht="12.75" hidden="false" customHeight="true" outlineLevel="0" collapsed="false">
      <c r="A2569" s="3" t="s">
        <v>3589</v>
      </c>
      <c r="B2569" s="3" t="str">
        <f aca="false">IF(ISNUMBER(SEARCH("%", A2569)),RIGHT(A2569,3),A2569)</f>
        <v>14, 17, BELLSPROUT</v>
      </c>
      <c r="C2569" s="1" t="str">
        <f aca="false" t="array" ref="C2569:C2569">IF(B2568="NEW ROUTE",textsplit(B2569,","),"")</f>
        <v/>
      </c>
      <c r="H2569" s="1" t="str">
        <f aca="false">IF(C2569&lt;&gt;"",DEC2HEX(C2569,2),"")</f>
        <v/>
      </c>
      <c r="I2569" s="1" t="str">
        <f aca="false">IF(D2569&lt;&gt;"",DEC2HEX(D2569,2),"")</f>
        <v/>
      </c>
      <c r="J2569" s="1" t="str">
        <f aca="false">IF(H2569&lt;&gt;"","0x"&amp;I2569&amp;H2569,"")</f>
        <v/>
      </c>
      <c r="L2569" s="1" t="s">
        <v>3589</v>
      </c>
      <c r="M2569" s="1" t="str">
        <f aca="false">IF(J2569&lt;&gt;"",J2569,L2569)</f>
        <v>14, 17, BELLSPROUT</v>
      </c>
    </row>
    <row r="2570" customFormat="false" ht="12.75" hidden="false" customHeight="true" outlineLevel="0" collapsed="false">
      <c r="A2570" s="3" t="s">
        <v>3590</v>
      </c>
      <c r="B2570" s="3" t="str">
        <f aca="false">IF(ISNUMBER(SEARCH("%", A2570)),RIGHT(A2570,3),A2570)</f>
        <v>14, 17, MEOWTH</v>
      </c>
      <c r="C2570" s="1" t="str">
        <f aca="false" t="array" ref="C2570:C2570">IF(B2569="NEW ROUTE",textsplit(B2570,","),"")</f>
        <v/>
      </c>
      <c r="H2570" s="1" t="str">
        <f aca="false">IF(C2570&lt;&gt;"",DEC2HEX(C2570,2),"")</f>
        <v/>
      </c>
      <c r="I2570" s="1" t="str">
        <f aca="false">IF(D2570&lt;&gt;"",DEC2HEX(D2570,2),"")</f>
        <v/>
      </c>
      <c r="J2570" s="1" t="str">
        <f aca="false">IF(H2570&lt;&gt;"","0x"&amp;I2570&amp;H2570,"")</f>
        <v/>
      </c>
      <c r="L2570" s="1" t="s">
        <v>3590</v>
      </c>
      <c r="M2570" s="1" t="str">
        <f aca="false">IF(J2570&lt;&gt;"",J2570,L2570)</f>
        <v>14, 17, MEOWTH</v>
      </c>
    </row>
    <row r="2571" customFormat="false" ht="12.75" hidden="false" customHeight="true" outlineLevel="0" collapsed="false">
      <c r="A2571" s="3" t="s">
        <v>3591</v>
      </c>
      <c r="B2571" s="3" t="str">
        <f aca="false">IF(ISNUMBER(SEARCH("%", A2571)),RIGHT(A2571,3),A2571)</f>
        <v>14, 17, PSYDUCK</v>
      </c>
      <c r="C2571" s="1" t="str">
        <f aca="false" t="array" ref="C2571:C2571">IF(B2570="NEW ROUTE",textsplit(B2571,","),"")</f>
        <v/>
      </c>
      <c r="H2571" s="1" t="str">
        <f aca="false">IF(C2571&lt;&gt;"",DEC2HEX(C2571,2),"")</f>
        <v/>
      </c>
      <c r="I2571" s="1" t="str">
        <f aca="false">IF(D2571&lt;&gt;"",DEC2HEX(D2571,2),"")</f>
        <v/>
      </c>
      <c r="J2571" s="1" t="str">
        <f aca="false">IF(H2571&lt;&gt;"","0x"&amp;I2571&amp;H2571,"")</f>
        <v/>
      </c>
      <c r="L2571" s="1" t="s">
        <v>3591</v>
      </c>
      <c r="M2571" s="1" t="str">
        <f aca="false">IF(J2571&lt;&gt;"",J2571,L2571)</f>
        <v>14, 17, PSYDUCK</v>
      </c>
    </row>
    <row r="2572" customFormat="false" ht="12.75" hidden="false" customHeight="true" outlineLevel="0" collapsed="false">
      <c r="A2572" s="3" t="s">
        <v>3592</v>
      </c>
      <c r="B2572" s="3" t="str">
        <f aca="false">IF(ISNUMBER(SEARCH("%", A2572)),RIGHT(A2572,3),A2572)</f>
        <v>14, 17, PIDGEOTTO</v>
      </c>
      <c r="C2572" s="1" t="str">
        <f aca="false" t="array" ref="C2572:C2572">IF(B2571="NEW ROUTE",textsplit(B2572,","),"")</f>
        <v/>
      </c>
      <c r="H2572" s="1" t="str">
        <f aca="false">IF(C2572&lt;&gt;"",DEC2HEX(C2572,2),"")</f>
        <v/>
      </c>
      <c r="I2572" s="1" t="str">
        <f aca="false">IF(D2572&lt;&gt;"",DEC2HEX(D2572,2),"")</f>
        <v/>
      </c>
      <c r="J2572" s="1" t="str">
        <f aca="false">IF(H2572&lt;&gt;"","0x"&amp;I2572&amp;H2572,"")</f>
        <v/>
      </c>
      <c r="L2572" s="1" t="s">
        <v>3592</v>
      </c>
      <c r="M2572" s="1" t="str">
        <f aca="false">IF(J2572&lt;&gt;"",J2572,L2572)</f>
        <v>14, 17, PIDGEOTTO</v>
      </c>
    </row>
    <row r="2573" customFormat="false" ht="12.75" hidden="false" customHeight="true" outlineLevel="0" collapsed="false">
      <c r="A2573" s="3" t="s">
        <v>2806</v>
      </c>
      <c r="B2573" s="3" t="str">
        <f aca="false">IF(ISNUMBER(SEARCH("%", A2573)),RIGHT(A2573,3),A2573)</f>
        <v>0.05</v>
      </c>
      <c r="C2573" s="1" t="str">
        <f aca="false" t="array" ref="C2573:C2573">IF(B2572="NEW ROUTE",textsplit(B2573,","),"")</f>
        <v/>
      </c>
      <c r="H2573" s="1" t="str">
        <f aca="false">IF(C2573&lt;&gt;"",DEC2HEX(C2573,2),"")</f>
        <v/>
      </c>
      <c r="I2573" s="1" t="str">
        <f aca="false">IF(D2573&lt;&gt;"",DEC2HEX(D2573,2),"")</f>
        <v/>
      </c>
      <c r="J2573" s="1" t="str">
        <f aca="false">IF(H2573&lt;&gt;"","0x"&amp;I2573&amp;H2573,"")</f>
        <v/>
      </c>
      <c r="L2573" s="1" t="s">
        <v>2806</v>
      </c>
      <c r="M2573" s="1" t="str">
        <f aca="false">IF(J2573&lt;&gt;"",J2573,L2573)</f>
        <v>0.05</v>
      </c>
    </row>
    <row r="2574" customFormat="false" ht="12.75" hidden="false" customHeight="true" outlineLevel="0" collapsed="false">
      <c r="A2574" s="3" t="s">
        <v>3593</v>
      </c>
      <c r="B2574" s="3" t="str">
        <f aca="false">IF(ISNUMBER(SEARCH("%", A2574)),RIGHT(A2574,3),A2574)</f>
        <v>16, 16, PIKACHU</v>
      </c>
      <c r="C2574" s="1" t="str">
        <f aca="false" t="array" ref="C2574:C2574">IF(B2573="NEW ROUTE",textsplit(B2574,","),"")</f>
        <v/>
      </c>
      <c r="H2574" s="1" t="str">
        <f aca="false">IF(C2574&lt;&gt;"",DEC2HEX(C2574,2),"")</f>
        <v/>
      </c>
      <c r="I2574" s="1" t="str">
        <f aca="false">IF(D2574&lt;&gt;"",DEC2HEX(D2574,2),"")</f>
        <v/>
      </c>
      <c r="J2574" s="1" t="str">
        <f aca="false">IF(H2574&lt;&gt;"","0x"&amp;I2574&amp;H2574,"")</f>
        <v/>
      </c>
      <c r="L2574" s="1" t="s">
        <v>3593</v>
      </c>
      <c r="M2574" s="1" t="str">
        <f aca="false">IF(J2574&lt;&gt;"",J2574,L2574)</f>
        <v>16, 16, PIKACHU</v>
      </c>
    </row>
    <row r="2575" customFormat="false" ht="12.75" hidden="false" customHeight="true" outlineLevel="0" collapsed="false">
      <c r="A2575" s="3" t="s">
        <v>3594</v>
      </c>
      <c r="B2575" s="3" t="str">
        <f aca="false">IF(ISNUMBER(SEARCH("%", A2575)),RIGHT(A2575,3),A2575)</f>
        <v>16, 16, ABRA</v>
      </c>
      <c r="C2575" s="1" t="str">
        <f aca="false" t="array" ref="C2575:C2575">IF(B2574="NEW ROUTE",textsplit(B2575,","),"")</f>
        <v/>
      </c>
      <c r="H2575" s="1" t="str">
        <f aca="false">IF(C2575&lt;&gt;"",DEC2HEX(C2575,2),"")</f>
        <v/>
      </c>
      <c r="I2575" s="1" t="str">
        <f aca="false">IF(D2575&lt;&gt;"",DEC2HEX(D2575,2),"")</f>
        <v/>
      </c>
      <c r="J2575" s="1" t="str">
        <f aca="false">IF(H2575&lt;&gt;"","0x"&amp;I2575&amp;H2575,"")</f>
        <v/>
      </c>
      <c r="L2575" s="1" t="s">
        <v>3594</v>
      </c>
      <c r="M2575" s="1" t="str">
        <f aca="false">IF(J2575&lt;&gt;"",J2575,L2575)</f>
        <v>16, 16, ABRA</v>
      </c>
    </row>
    <row r="2576" customFormat="false" ht="12.75" hidden="false" customHeight="true" outlineLevel="0" collapsed="false">
      <c r="A2576" s="3" t="s">
        <v>2809</v>
      </c>
      <c r="B2576" s="3" t="str">
        <f aca="false">IF(ISNUMBER(SEARCH("%", A2576)),RIGHT(A2576,3),A2576)</f>
        <v>0.04</v>
      </c>
      <c r="C2576" s="1" t="str">
        <f aca="false" t="array" ref="C2576:C2576">IF(B2575="NEW ROUTE",textsplit(B2576,","),"")</f>
        <v/>
      </c>
      <c r="H2576" s="1" t="str">
        <f aca="false">IF(C2576&lt;&gt;"",DEC2HEX(C2576,2),"")</f>
        <v/>
      </c>
      <c r="I2576" s="1" t="str">
        <f aca="false">IF(D2576&lt;&gt;"",DEC2HEX(D2576,2),"")</f>
        <v/>
      </c>
      <c r="J2576" s="1" t="str">
        <f aca="false">IF(H2576&lt;&gt;"","0x"&amp;I2576&amp;H2576,"")</f>
        <v/>
      </c>
      <c r="L2576" s="1" t="s">
        <v>2809</v>
      </c>
      <c r="M2576" s="1" t="str">
        <f aca="false">IF(J2576&lt;&gt;"",J2576,L2576)</f>
        <v>0.04</v>
      </c>
    </row>
    <row r="2577" customFormat="false" ht="12.75" hidden="false" customHeight="true" outlineLevel="0" collapsed="false">
      <c r="A2577" s="3" t="s">
        <v>3595</v>
      </c>
      <c r="B2577" s="3" t="str">
        <f aca="false">IF(ISNUMBER(SEARCH("%", A2577)),RIGHT(A2577,3),A2577)</f>
        <v>15, 18, VENONAT</v>
      </c>
      <c r="C2577" s="1" t="str">
        <f aca="false" t="array" ref="C2577:C2577">IF(B2576="NEW ROUTE",textsplit(B2577,","),"")</f>
        <v/>
      </c>
      <c r="H2577" s="1" t="str">
        <f aca="false">IF(C2577&lt;&gt;"",DEC2HEX(C2577,2),"")</f>
        <v/>
      </c>
      <c r="I2577" s="1" t="str">
        <f aca="false">IF(D2577&lt;&gt;"",DEC2HEX(D2577,2),"")</f>
        <v/>
      </c>
      <c r="J2577" s="1" t="str">
        <f aca="false">IF(H2577&lt;&gt;"","0x"&amp;I2577&amp;H2577,"")</f>
        <v/>
      </c>
      <c r="L2577" s="1" t="s">
        <v>3595</v>
      </c>
      <c r="M2577" s="1" t="str">
        <f aca="false">IF(J2577&lt;&gt;"",J2577,L2577)</f>
        <v>15, 18, VENONAT</v>
      </c>
    </row>
    <row r="2578" customFormat="false" ht="12.75" hidden="false" customHeight="true" outlineLevel="0" collapsed="false">
      <c r="A2578" s="3" t="s">
        <v>3596</v>
      </c>
      <c r="B2578" s="3" t="str">
        <f aca="false">IF(ISNUMBER(SEARCH("%", A2578)),RIGHT(A2578,3),A2578)</f>
        <v>15, 18, GLOOM</v>
      </c>
      <c r="C2578" s="1" t="str">
        <f aca="false" t="array" ref="C2578:C2578">IF(B2577="NEW ROUTE",textsplit(B2578,","),"")</f>
        <v/>
      </c>
      <c r="H2578" s="1" t="str">
        <f aca="false">IF(C2578&lt;&gt;"",DEC2HEX(C2578,2),"")</f>
        <v/>
      </c>
      <c r="I2578" s="1" t="str">
        <f aca="false">IF(D2578&lt;&gt;"",DEC2HEX(D2578,2),"")</f>
        <v/>
      </c>
      <c r="J2578" s="1" t="str">
        <f aca="false">IF(H2578&lt;&gt;"","0x"&amp;I2578&amp;H2578,"")</f>
        <v/>
      </c>
      <c r="L2578" s="1" t="s">
        <v>3596</v>
      </c>
      <c r="M2578" s="1" t="str">
        <f aca="false">IF(J2578&lt;&gt;"",J2578,L2578)</f>
        <v>15, 18, GLOOM</v>
      </c>
    </row>
    <row r="2579" customFormat="false" ht="12.75" hidden="false" customHeight="true" outlineLevel="0" collapsed="false">
      <c r="A2579" s="3" t="s">
        <v>2812</v>
      </c>
      <c r="B2579" s="3" t="str">
        <f aca="false">IF(ISNUMBER(SEARCH("%", A2579)),RIGHT(A2579,3),A2579)</f>
        <v>0.01</v>
      </c>
      <c r="C2579" s="1" t="str">
        <f aca="false" t="array" ref="C2579:C2579">IF(B2578="NEW ROUTE",textsplit(B2579,","),"")</f>
        <v/>
      </c>
      <c r="H2579" s="1" t="str">
        <f aca="false">IF(C2579&lt;&gt;"",DEC2HEX(C2579,2),"")</f>
        <v/>
      </c>
      <c r="I2579" s="1" t="str">
        <f aca="false">IF(D2579&lt;&gt;"",DEC2HEX(D2579,2),"")</f>
        <v/>
      </c>
      <c r="J2579" s="1" t="str">
        <f aca="false">IF(H2579&lt;&gt;"","0x"&amp;I2579&amp;H2579,"")</f>
        <v/>
      </c>
      <c r="L2579" s="1" t="s">
        <v>2812</v>
      </c>
      <c r="M2579" s="1" t="str">
        <f aca="false">IF(J2579&lt;&gt;"",J2579,L2579)</f>
        <v>0.01</v>
      </c>
    </row>
    <row r="2580" customFormat="false" ht="12.75" hidden="false" customHeight="true" outlineLevel="0" collapsed="false">
      <c r="A2580" s="3" t="s">
        <v>3597</v>
      </c>
      <c r="B2580" s="3" t="str">
        <f aca="false">IF(ISNUMBER(SEARCH("%", A2580)),RIGHT(A2580,3),A2580)</f>
        <v>17, 17, KADABRA</v>
      </c>
      <c r="C2580" s="1" t="str">
        <f aca="false" t="array" ref="C2580:C2580">IF(B2579="NEW ROUTE",textsplit(B2580,","),"")</f>
        <v/>
      </c>
      <c r="H2580" s="1" t="str">
        <f aca="false">IF(C2580&lt;&gt;"",DEC2HEX(C2580,2),"")</f>
        <v/>
      </c>
      <c r="I2580" s="1" t="str">
        <f aca="false">IF(D2580&lt;&gt;"",DEC2HEX(D2580,2),"")</f>
        <v/>
      </c>
      <c r="J2580" s="1" t="str">
        <f aca="false">IF(H2580&lt;&gt;"","0x"&amp;I2580&amp;H2580,"")</f>
        <v/>
      </c>
      <c r="L2580" s="1" t="s">
        <v>3597</v>
      </c>
      <c r="M2580" s="1" t="str">
        <f aca="false">IF(J2580&lt;&gt;"",J2580,L2580)</f>
        <v>17, 17, KADABRA</v>
      </c>
    </row>
    <row r="2581" customFormat="false" ht="12.75" hidden="false" customHeight="true" outlineLevel="0" collapsed="false">
      <c r="A2581" s="3" t="s">
        <v>3597</v>
      </c>
      <c r="B2581" s="3" t="str">
        <f aca="false">IF(ISNUMBER(SEARCH("%", A2581)),RIGHT(A2581,3),A2581)</f>
        <v>17, 17, KADABRA</v>
      </c>
      <c r="C2581" s="1" t="str">
        <f aca="false" t="array" ref="C2581:C2581">IF(B2580="NEW ROUTE",textsplit(B2581,","),"")</f>
        <v/>
      </c>
      <c r="H2581" s="1" t="str">
        <f aca="false">IF(C2581&lt;&gt;"",DEC2HEX(C2581,2),"")</f>
        <v/>
      </c>
      <c r="I2581" s="1" t="str">
        <f aca="false">IF(D2581&lt;&gt;"",DEC2HEX(D2581,2),"")</f>
        <v/>
      </c>
      <c r="J2581" s="1" t="str">
        <f aca="false">IF(H2581&lt;&gt;"","0x"&amp;I2581&amp;H2581,"")</f>
        <v/>
      </c>
      <c r="L2581" s="1" t="s">
        <v>3597</v>
      </c>
      <c r="M2581" s="1" t="str">
        <f aca="false">IF(J2581&lt;&gt;"",J2581,L2581)</f>
        <v>17, 17, KADABRA</v>
      </c>
    </row>
    <row r="2582" customFormat="false" ht="12.75" hidden="false" customHeight="true" outlineLevel="0" collapsed="false">
      <c r="A2582" s="3" t="s">
        <v>3598</v>
      </c>
      <c r="B2582" s="3" t="str">
        <f aca="false">IF(ISNUMBER(SEARCH("%", A2582)),RIGHT(A2582,3),A2582)</f>
        <v>2, 34, 40, TENTACOOL</v>
      </c>
      <c r="C2582" s="1" t="str">
        <f aca="false" t="array" ref="C2582:C2582">IF(B2581="NEW ROUTE",textsplit(B2582,","),"")</f>
        <v/>
      </c>
      <c r="H2582" s="1" t="str">
        <f aca="false">IF(C2582&lt;&gt;"",DEC2HEX(C2582,2),"")</f>
        <v/>
      </c>
      <c r="I2582" s="1" t="str">
        <f aca="false">IF(D2582&lt;&gt;"",DEC2HEX(D2582,2),"")</f>
        <v/>
      </c>
      <c r="J2582" s="1" t="str">
        <f aca="false">IF(H2582&lt;&gt;"","0x"&amp;I2582&amp;H2582,"")</f>
        <v/>
      </c>
      <c r="L2582" s="1" t="s">
        <v>3598</v>
      </c>
      <c r="M2582" s="1" t="str">
        <f aca="false">IF(J2582&lt;&gt;"",J2582,L2582)</f>
        <v>2, 34, 40, TENTACOOL</v>
      </c>
    </row>
    <row r="2583" customFormat="false" ht="12.75" hidden="false" customHeight="true" outlineLevel="0" collapsed="false">
      <c r="A2583" s="3" t="s">
        <v>3599</v>
      </c>
      <c r="B2583" s="3" t="str">
        <f aca="false">IF(ISNUMBER(SEARCH("%", A2583)),RIGHT(A2583,3),A2583)</f>
        <v>34, 40, PSYDUCK</v>
      </c>
      <c r="C2583" s="1" t="str">
        <f aca="false" t="array" ref="C2583:C2583">IF(B2582="NEW ROUTE",textsplit(B2583,","),"")</f>
        <v/>
      </c>
      <c r="H2583" s="1" t="str">
        <f aca="false">IF(C2583&lt;&gt;"",DEC2HEX(C2583,2),"")</f>
        <v/>
      </c>
      <c r="I2583" s="1" t="str">
        <f aca="false">IF(D2583&lt;&gt;"",DEC2HEX(D2583,2),"")</f>
        <v/>
      </c>
      <c r="J2583" s="1" t="str">
        <f aca="false">IF(H2583&lt;&gt;"","0x"&amp;I2583&amp;H2583,"")</f>
        <v/>
      </c>
      <c r="L2583" s="1" t="s">
        <v>3599</v>
      </c>
      <c r="M2583" s="1" t="str">
        <f aca="false">IF(J2583&lt;&gt;"",J2583,L2583)</f>
        <v>34, 40, PSYDUCK</v>
      </c>
    </row>
    <row r="2584" customFormat="false" ht="12.75" hidden="false" customHeight="true" outlineLevel="0" collapsed="false">
      <c r="A2584" s="3" t="s">
        <v>3600</v>
      </c>
      <c r="B2584" s="3" t="str">
        <f aca="false">IF(ISNUMBER(SEARCH("%", A2584)),RIGHT(A2584,3),A2584)</f>
        <v>36, 42, TENTACRUEL</v>
      </c>
      <c r="C2584" s="1" t="str">
        <f aca="false" t="array" ref="C2584:C2584">IF(B2583="NEW ROUTE",textsplit(B2584,","),"")</f>
        <v/>
      </c>
      <c r="H2584" s="1" t="str">
        <f aca="false">IF(C2584&lt;&gt;"",DEC2HEX(C2584,2),"")</f>
        <v/>
      </c>
      <c r="I2584" s="1" t="str">
        <f aca="false">IF(D2584&lt;&gt;"",DEC2HEX(D2584,2),"")</f>
        <v/>
      </c>
      <c r="J2584" s="1" t="str">
        <f aca="false">IF(H2584&lt;&gt;"","0x"&amp;I2584&amp;H2584,"")</f>
        <v/>
      </c>
      <c r="L2584" s="1" t="s">
        <v>3600</v>
      </c>
      <c r="M2584" s="1" t="str">
        <f aca="false">IF(J2584&lt;&gt;"",J2584,L2584)</f>
        <v>36, 42, TENTACRUEL</v>
      </c>
    </row>
    <row r="2585" customFormat="false" ht="12.75" hidden="false" customHeight="true" outlineLevel="0" collapsed="false">
      <c r="A2585" s="3" t="s">
        <v>3532</v>
      </c>
      <c r="B2585" s="3" t="str">
        <f aca="false">IF(ISNUMBER(SEARCH("%", A2585)),RIGHT(A2585,3),A2585)</f>
        <v>39, 42, GOLDUCK</v>
      </c>
      <c r="C2585" s="1" t="str">
        <f aca="false" t="array" ref="C2585:C2585">IF(B2584="NEW ROUTE",textsplit(B2585,","),"")</f>
        <v/>
      </c>
      <c r="H2585" s="1" t="str">
        <f aca="false">IF(C2585&lt;&gt;"",DEC2HEX(C2585,2),"")</f>
        <v/>
      </c>
      <c r="I2585" s="1" t="str">
        <f aca="false">IF(D2585&lt;&gt;"",DEC2HEX(D2585,2),"")</f>
        <v/>
      </c>
      <c r="J2585" s="1" t="str">
        <f aca="false">IF(H2585&lt;&gt;"","0x"&amp;I2585&amp;H2585,"")</f>
        <v/>
      </c>
      <c r="L2585" s="1" t="s">
        <v>3532</v>
      </c>
      <c r="M2585" s="1" t="str">
        <f aca="false">IF(J2585&lt;&gt;"",J2585,L2585)</f>
        <v>39, 42, GOLDUCK</v>
      </c>
    </row>
    <row r="2586" customFormat="false" ht="12.75" hidden="false" customHeight="true" outlineLevel="0" collapsed="false">
      <c r="A2586" s="3" t="s">
        <v>3601</v>
      </c>
      <c r="B2586" s="3" t="str">
        <f aca="false">IF(ISNUMBER(SEARCH("%", A2586)),RIGHT(A2586,3),A2586)</f>
        <v>39, 42, VAPOREON</v>
      </c>
      <c r="C2586" s="1" t="str">
        <f aca="false" t="array" ref="C2586:C2586">IF(B2585="NEW ROUTE",textsplit(B2586,","),"")</f>
        <v/>
      </c>
      <c r="H2586" s="1" t="str">
        <f aca="false">IF(C2586&lt;&gt;"",DEC2HEX(C2586,2),"")</f>
        <v/>
      </c>
      <c r="I2586" s="1" t="str">
        <f aca="false">IF(D2586&lt;&gt;"",DEC2HEX(D2586,2),"")</f>
        <v/>
      </c>
      <c r="J2586" s="1" t="str">
        <f aca="false">IF(H2586&lt;&gt;"","0x"&amp;I2586&amp;H2586,"")</f>
        <v/>
      </c>
      <c r="L2586" s="1" t="s">
        <v>3601</v>
      </c>
      <c r="M2586" s="1" t="str">
        <f aca="false">IF(J2586&lt;&gt;"",J2586,L2586)</f>
        <v>39, 42, VAPOREON</v>
      </c>
    </row>
    <row r="2587" customFormat="false" ht="12.75" hidden="false" customHeight="true" outlineLevel="0" collapsed="false">
      <c r="A2587" s="3" t="s">
        <v>2925</v>
      </c>
      <c r="B2587" s="3" t="str">
        <f aca="false">IF(ISNUMBER(SEARCH("%", A2587)),RIGHT(A2587,3),A2587)</f>
        <v>20, old rod:</v>
      </c>
      <c r="C2587" s="1" t="str">
        <f aca="false" t="array" ref="C2587:C2587">IF(B2586="NEW ROUTE",textsplit(B2587,","),"")</f>
        <v/>
      </c>
      <c r="H2587" s="1" t="str">
        <f aca="false">IF(C2587&lt;&gt;"",DEC2HEX(C2587,2),"")</f>
        <v/>
      </c>
      <c r="I2587" s="1" t="str">
        <f aca="false">IF(D2587&lt;&gt;"",DEC2HEX(D2587,2),"")</f>
        <v/>
      </c>
      <c r="J2587" s="1" t="str">
        <f aca="false">IF(H2587&lt;&gt;"","0x"&amp;I2587&amp;H2587,"")</f>
        <v/>
      </c>
      <c r="L2587" s="1" t="s">
        <v>2925</v>
      </c>
      <c r="M2587" s="1" t="str">
        <f aca="false">IF(J2587&lt;&gt;"",J2587,L2587)</f>
        <v>20, old rod:</v>
      </c>
    </row>
    <row r="2588" customFormat="false" ht="12.75" hidden="false" customHeight="true" outlineLevel="0" collapsed="false">
      <c r="A2588" s="3" t="s">
        <v>1349</v>
      </c>
      <c r="B2588" s="3" t="str">
        <f aca="false">IF(ISNUMBER(SEARCH("%", A2588)),RIGHT(A2588,3),A2588)</f>
        <v>19, 26, MAGIKARP</v>
      </c>
      <c r="C2588" s="1" t="str">
        <f aca="false" t="array" ref="C2588:C2588">IF(B2587="NEW ROUTE",textsplit(B2588,","),"")</f>
        <v/>
      </c>
      <c r="H2588" s="1" t="str">
        <f aca="false">IF(C2588&lt;&gt;"",DEC2HEX(C2588,2),"")</f>
        <v/>
      </c>
      <c r="I2588" s="1" t="str">
        <f aca="false">IF(D2588&lt;&gt;"",DEC2HEX(D2588,2),"")</f>
        <v/>
      </c>
      <c r="J2588" s="1" t="str">
        <f aca="false">IF(H2588&lt;&gt;"","0x"&amp;I2588&amp;H2588,"")</f>
        <v/>
      </c>
      <c r="L2588" s="1" t="s">
        <v>1349</v>
      </c>
      <c r="M2588" s="1" t="str">
        <f aca="false">IF(J2588&lt;&gt;"",J2588,L2588)</f>
        <v>19, 26, MAGIKARP</v>
      </c>
    </row>
    <row r="2589" customFormat="false" ht="12.75" hidden="false" customHeight="true" outlineLevel="0" collapsed="false">
      <c r="A2589" s="3" t="s">
        <v>3352</v>
      </c>
      <c r="B2589" s="3" t="str">
        <f aca="false">IF(ISNUMBER(SEARCH("%", A2589)),RIGHT(A2589,3),A2589)</f>
        <v>19, 26, GYARADOS</v>
      </c>
      <c r="C2589" s="1" t="str">
        <f aca="false" t="array" ref="C2589:C2589">IF(B2588="NEW ROUTE",textsplit(B2589,","),"")</f>
        <v/>
      </c>
      <c r="H2589" s="1" t="str">
        <f aca="false">IF(C2589&lt;&gt;"",DEC2HEX(C2589,2),"")</f>
        <v/>
      </c>
      <c r="I2589" s="1" t="str">
        <f aca="false">IF(D2589&lt;&gt;"",DEC2HEX(D2589,2),"")</f>
        <v/>
      </c>
      <c r="J2589" s="1" t="str">
        <f aca="false">IF(H2589&lt;&gt;"","0x"&amp;I2589&amp;H2589,"")</f>
        <v/>
      </c>
      <c r="L2589" s="1" t="s">
        <v>3352</v>
      </c>
      <c r="M2589" s="1" t="str">
        <f aca="false">IF(J2589&lt;&gt;"",J2589,L2589)</f>
        <v>19, 26, GYARADOS</v>
      </c>
    </row>
    <row r="2590" customFormat="false" ht="12.75" hidden="false" customHeight="true" outlineLevel="0" collapsed="false">
      <c r="A2590" s="3" t="s">
        <v>2846</v>
      </c>
      <c r="B2590" s="3" t="str">
        <f aca="false">IF(ISNUMBER(SEARCH("%", A2590)),RIGHT(A2590,3),A2590)</f>
        <v>good rod:</v>
      </c>
      <c r="C2590" s="1" t="str">
        <f aca="false" t="array" ref="C2590:C2590">IF(B2589="NEW ROUTE",textsplit(B2590,","),"")</f>
        <v/>
      </c>
      <c r="H2590" s="1" t="str">
        <f aca="false">IF(C2590&lt;&gt;"",DEC2HEX(C2590,2),"")</f>
        <v/>
      </c>
      <c r="I2590" s="1" t="str">
        <f aca="false">IF(D2590&lt;&gt;"",DEC2HEX(D2590,2),"")</f>
        <v/>
      </c>
      <c r="J2590" s="1" t="str">
        <f aca="false">IF(H2590&lt;&gt;"","0x"&amp;I2590&amp;H2590,"")</f>
        <v/>
      </c>
      <c r="L2590" s="1" t="s">
        <v>2846</v>
      </c>
      <c r="M2590" s="1" t="str">
        <f aca="false">IF(J2590&lt;&gt;"",J2590,L2590)</f>
        <v>good rod:</v>
      </c>
    </row>
    <row r="2591" customFormat="false" ht="12.75" hidden="false" customHeight="true" outlineLevel="0" collapsed="false">
      <c r="A2591" s="3" t="s">
        <v>3353</v>
      </c>
      <c r="B2591" s="3" t="str">
        <f aca="false">IF(ISNUMBER(SEARCH("%", A2591)),RIGHT(A2591,3),A2591)</f>
        <v>29, 33, SLOWPOKE</v>
      </c>
      <c r="C2591" s="1" t="str">
        <f aca="false" t="array" ref="C2591:C2591">IF(B2590="NEW ROUTE",textsplit(B2591,","),"")</f>
        <v/>
      </c>
      <c r="H2591" s="1" t="str">
        <f aca="false">IF(C2591&lt;&gt;"",DEC2HEX(C2591,2),"")</f>
        <v/>
      </c>
      <c r="I2591" s="1" t="str">
        <f aca="false">IF(D2591&lt;&gt;"",DEC2HEX(D2591,2),"")</f>
        <v/>
      </c>
      <c r="J2591" s="1" t="str">
        <f aca="false">IF(H2591&lt;&gt;"","0x"&amp;I2591&amp;H2591,"")</f>
        <v/>
      </c>
      <c r="L2591" s="1" t="s">
        <v>3353</v>
      </c>
      <c r="M2591" s="1" t="str">
        <f aca="false">IF(J2591&lt;&gt;"",J2591,L2591)</f>
        <v>29, 33, SLOWPOKE</v>
      </c>
    </row>
    <row r="2592" customFormat="false" ht="12.75" hidden="false" customHeight="true" outlineLevel="0" collapsed="false">
      <c r="A2592" s="3" t="s">
        <v>3027</v>
      </c>
      <c r="B2592" s="3" t="str">
        <f aca="false">IF(ISNUMBER(SEARCH("%", A2592)),RIGHT(A2592,3),A2592)</f>
        <v>30, 35, KRABBY</v>
      </c>
      <c r="C2592" s="1" t="str">
        <f aca="false" t="array" ref="C2592:C2592">IF(B2591="NEW ROUTE",textsplit(B2592,","),"")</f>
        <v/>
      </c>
      <c r="H2592" s="1" t="str">
        <f aca="false">IF(C2592&lt;&gt;"",DEC2HEX(C2592,2),"")</f>
        <v/>
      </c>
      <c r="I2592" s="1" t="str">
        <f aca="false">IF(D2592&lt;&gt;"",DEC2HEX(D2592,2),"")</f>
        <v/>
      </c>
      <c r="J2592" s="1" t="str">
        <f aca="false">IF(H2592&lt;&gt;"","0x"&amp;I2592&amp;H2592,"")</f>
        <v/>
      </c>
      <c r="L2592" s="1" t="s">
        <v>3027</v>
      </c>
      <c r="M2592" s="1" t="str">
        <f aca="false">IF(J2592&lt;&gt;"",J2592,L2592)</f>
        <v>30, 35, KRABBY</v>
      </c>
    </row>
    <row r="2593" customFormat="false" ht="12.75" hidden="false" customHeight="true" outlineLevel="0" collapsed="false">
      <c r="A2593" s="3" t="s">
        <v>3354</v>
      </c>
      <c r="B2593" s="3" t="str">
        <f aca="false">IF(ISNUMBER(SEARCH("%", A2593)),RIGHT(A2593,3),A2593)</f>
        <v>30, 35, PSYDUCK</v>
      </c>
      <c r="C2593" s="1" t="str">
        <f aca="false" t="array" ref="C2593:C2593">IF(B2592="NEW ROUTE",textsplit(B2593,","),"")</f>
        <v/>
      </c>
      <c r="H2593" s="1" t="str">
        <f aca="false">IF(C2593&lt;&gt;"",DEC2HEX(C2593,2),"")</f>
        <v/>
      </c>
      <c r="I2593" s="1" t="str">
        <f aca="false">IF(D2593&lt;&gt;"",DEC2HEX(D2593,2),"")</f>
        <v/>
      </c>
      <c r="J2593" s="1" t="str">
        <f aca="false">IF(H2593&lt;&gt;"","0x"&amp;I2593&amp;H2593,"")</f>
        <v/>
      </c>
      <c r="L2593" s="1" t="s">
        <v>3354</v>
      </c>
      <c r="M2593" s="1" t="str">
        <f aca="false">IF(J2593&lt;&gt;"",J2593,L2593)</f>
        <v>30, 35, PSYDUCK</v>
      </c>
    </row>
    <row r="2594" customFormat="false" ht="12.75" hidden="false" customHeight="true" outlineLevel="0" collapsed="false">
      <c r="A2594" s="3" t="s">
        <v>2850</v>
      </c>
      <c r="B2594" s="3" t="str">
        <f aca="false">IF(ISNUMBER(SEARCH("%", A2594)),RIGHT(A2594,3),A2594)</f>
        <v>super rod:</v>
      </c>
      <c r="C2594" s="1" t="str">
        <f aca="false" t="array" ref="C2594:C2594">IF(B2593="NEW ROUTE",textsplit(B2594,","),"")</f>
        <v/>
      </c>
      <c r="H2594" s="1" t="str">
        <f aca="false">IF(C2594&lt;&gt;"",DEC2HEX(C2594,2),"")</f>
        <v/>
      </c>
      <c r="I2594" s="1" t="str">
        <f aca="false">IF(D2594&lt;&gt;"",DEC2HEX(D2594,2),"")</f>
        <v/>
      </c>
      <c r="J2594" s="1" t="str">
        <f aca="false">IF(H2594&lt;&gt;"","0x"&amp;I2594&amp;H2594,"")</f>
        <v/>
      </c>
      <c r="L2594" s="1" t="s">
        <v>2850</v>
      </c>
      <c r="M2594" s="1" t="str">
        <f aca="false">IF(J2594&lt;&gt;"",J2594,L2594)</f>
        <v>super rod:</v>
      </c>
    </row>
    <row r="2595" customFormat="false" ht="12.75" hidden="false" customHeight="true" outlineLevel="0" collapsed="false">
      <c r="A2595" s="3" t="s">
        <v>3355</v>
      </c>
      <c r="B2595" s="3" t="str">
        <f aca="false">IF(ISNUMBER(SEARCH("%", A2595)),RIGHT(A2595,3),A2595)</f>
        <v>36, 40, SLOWBRO</v>
      </c>
      <c r="C2595" s="1" t="str">
        <f aca="false" t="array" ref="C2595:C2595">IF(B2594="NEW ROUTE",textsplit(B2595,","),"")</f>
        <v/>
      </c>
      <c r="H2595" s="1" t="str">
        <f aca="false">IF(C2595&lt;&gt;"",DEC2HEX(C2595,2),"")</f>
        <v/>
      </c>
      <c r="I2595" s="1" t="str">
        <f aca="false">IF(D2595&lt;&gt;"",DEC2HEX(D2595,2),"")</f>
        <v/>
      </c>
      <c r="J2595" s="1" t="str">
        <f aca="false">IF(H2595&lt;&gt;"","0x"&amp;I2595&amp;H2595,"")</f>
        <v/>
      </c>
      <c r="L2595" s="1" t="s">
        <v>3355</v>
      </c>
      <c r="M2595" s="1" t="str">
        <f aca="false">IF(J2595&lt;&gt;"",J2595,L2595)</f>
        <v>36, 40, SLOWBRO</v>
      </c>
    </row>
    <row r="2596" customFormat="false" ht="12.75" hidden="false" customHeight="true" outlineLevel="0" collapsed="false">
      <c r="A2596" s="3" t="s">
        <v>3356</v>
      </c>
      <c r="B2596" s="3" t="str">
        <f aca="false">IF(ISNUMBER(SEARCH("%", A2596)),RIGHT(A2596,3),A2596)</f>
        <v>36, 40, GYARADOS</v>
      </c>
      <c r="C2596" s="1" t="str">
        <f aca="false" t="array" ref="C2596:C2596">IF(B2595="NEW ROUTE",textsplit(B2596,","),"")</f>
        <v/>
      </c>
      <c r="H2596" s="1" t="str">
        <f aca="false">IF(C2596&lt;&gt;"",DEC2HEX(C2596,2),"")</f>
        <v/>
      </c>
      <c r="I2596" s="1" t="str">
        <f aca="false">IF(D2596&lt;&gt;"",DEC2HEX(D2596,2),"")</f>
        <v/>
      </c>
      <c r="J2596" s="1" t="str">
        <f aca="false">IF(H2596&lt;&gt;"","0x"&amp;I2596&amp;H2596,"")</f>
        <v/>
      </c>
      <c r="L2596" s="1" t="s">
        <v>3356</v>
      </c>
      <c r="M2596" s="1" t="str">
        <f aca="false">IF(J2596&lt;&gt;"",J2596,L2596)</f>
        <v>36, 40, GYARADOS</v>
      </c>
    </row>
    <row r="2597" customFormat="false" ht="12.75" hidden="false" customHeight="true" outlineLevel="0" collapsed="false">
      <c r="A2597" s="3" t="s">
        <v>3357</v>
      </c>
      <c r="B2597" s="3" t="str">
        <f aca="false">IF(ISNUMBER(SEARCH("%", A2597)),RIGHT(A2597,3),A2597)</f>
        <v>38, 42, GOLDUCK</v>
      </c>
      <c r="C2597" s="1" t="str">
        <f aca="false" t="array" ref="C2597:C2597">IF(B2596="NEW ROUTE",textsplit(B2597,","),"")</f>
        <v/>
      </c>
      <c r="H2597" s="1" t="str">
        <f aca="false">IF(C2597&lt;&gt;"",DEC2HEX(C2597,2),"")</f>
        <v/>
      </c>
      <c r="I2597" s="1" t="str">
        <f aca="false">IF(D2597&lt;&gt;"",DEC2HEX(D2597,2),"")</f>
        <v/>
      </c>
      <c r="J2597" s="1" t="str">
        <f aca="false">IF(H2597&lt;&gt;"","0x"&amp;I2597&amp;H2597,"")</f>
        <v/>
      </c>
      <c r="L2597" s="1" t="s">
        <v>3357</v>
      </c>
      <c r="M2597" s="1" t="str">
        <f aca="false">IF(J2597&lt;&gt;"",J2597,L2597)</f>
        <v>38, 42, GOLDUCK</v>
      </c>
    </row>
    <row r="2598" customFormat="false" ht="12.75" hidden="false" customHeight="true" outlineLevel="0" collapsed="false">
      <c r="A2598" s="3" t="s">
        <v>3358</v>
      </c>
      <c r="B2598" s="3" t="str">
        <f aca="false">IF(ISNUMBER(SEARCH("%", A2598)),RIGHT(A2598,3),A2598)</f>
        <v>38, 42, KINGLER</v>
      </c>
      <c r="C2598" s="1" t="str">
        <f aca="false" t="array" ref="C2598:C2598">IF(B2597="NEW ROUTE",textsplit(B2598,","),"")</f>
        <v/>
      </c>
      <c r="H2598" s="1" t="str">
        <f aca="false">IF(C2598&lt;&gt;"",DEC2HEX(C2598,2),"")</f>
        <v/>
      </c>
      <c r="I2598" s="1" t="str">
        <f aca="false">IF(D2598&lt;&gt;"",DEC2HEX(D2598,2),"")</f>
        <v/>
      </c>
      <c r="J2598" s="1" t="str">
        <f aca="false">IF(H2598&lt;&gt;"","0x"&amp;I2598&amp;H2598,"")</f>
        <v/>
      </c>
      <c r="L2598" s="1" t="s">
        <v>3358</v>
      </c>
      <c r="M2598" s="1" t="str">
        <f aca="false">IF(J2598&lt;&gt;"",J2598,L2598)</f>
        <v>38, 42, KINGLER</v>
      </c>
    </row>
    <row r="2599" customFormat="false" ht="12.75" hidden="false" customHeight="true" outlineLevel="0" collapsed="false">
      <c r="A2599" s="3" t="s">
        <v>3359</v>
      </c>
      <c r="B2599" s="3" t="str">
        <f aca="false">IF(ISNUMBER(SEARCH("%", A2599)),RIGHT(A2599,3),A2599)</f>
        <v>40, 44, SLOWMATE</v>
      </c>
      <c r="C2599" s="1" t="str">
        <f aca="false" t="array" ref="C2599:C2599">IF(B2598="NEW ROUTE",textsplit(B2599,","),"")</f>
        <v/>
      </c>
      <c r="H2599" s="1" t="str">
        <f aca="false">IF(C2599&lt;&gt;"",DEC2HEX(C2599,2),"")</f>
        <v/>
      </c>
      <c r="I2599" s="1" t="str">
        <f aca="false">IF(D2599&lt;&gt;"",DEC2HEX(D2599,2),"")</f>
        <v/>
      </c>
      <c r="J2599" s="1" t="str">
        <f aca="false">IF(H2599&lt;&gt;"","0x"&amp;I2599&amp;H2599,"")</f>
        <v/>
      </c>
      <c r="L2599" s="1" t="s">
        <v>3359</v>
      </c>
      <c r="M2599" s="1" t="str">
        <f aca="false">IF(J2599&lt;&gt;"",J2599,L2599)</f>
        <v>40, 44, SLOWMATE</v>
      </c>
    </row>
    <row r="2600" customFormat="false" ht="12.75" hidden="false" customHeight="true" outlineLevel="0" collapsed="false">
      <c r="A2600" s="3" t="s">
        <v>2536</v>
      </c>
      <c r="B2600" s="3" t="str">
        <f aca="false">IF(ISNUMBER(SEARCH("%", A2600)),RIGHT(A2600,3),A2600)</f>
        <v>NEW ROUTE</v>
      </c>
      <c r="C2600" s="1" t="str">
        <f aca="false" t="array" ref="C2600:C2600">IF(B2599="NEW ROUTE",textsplit(B2600,","),"")</f>
        <v/>
      </c>
      <c r="H2600" s="1" t="str">
        <f aca="false">IF(C2600&lt;&gt;"",DEC2HEX(C2600,2),"")</f>
        <v/>
      </c>
      <c r="I2600" s="1" t="str">
        <f aca="false">IF(D2600&lt;&gt;"",DEC2HEX(D2600,2),"")</f>
        <v/>
      </c>
      <c r="J2600" s="1" t="str">
        <f aca="false">IF(H2600&lt;&gt;"","0x"&amp;I2600&amp;H2600,"")</f>
        <v/>
      </c>
      <c r="L2600" s="1" t="s">
        <v>2536</v>
      </c>
      <c r="M2600" s="1" t="str">
        <f aca="false">IF(J2600&lt;&gt;"",J2600,L2600)</f>
        <v>NEW ROUTE</v>
      </c>
    </row>
    <row r="2601" customFormat="false" ht="12.75" hidden="false" customHeight="true" outlineLevel="0" collapsed="false">
      <c r="A2601" s="3" t="s">
        <v>3602</v>
      </c>
      <c r="B2601" s="3" t="str">
        <f aca="false">IF(ISNUMBER(SEARCH("%", A2601)),RIGHT(A2601,3),A2601)</f>
        <v>3, 44, 0,</v>
      </c>
      <c r="C2601" s="1" t="e">
        <f aca="false" t="array" ref="C2601:C2601">IF(B2600="NEW ROUTE",textsplit(B2601,","),"")</f>
        <v>#NAME?</v>
      </c>
      <c r="H2601" s="1" t="e">
        <f aca="false">IF(C2601&lt;&gt;"",DEC2HEX(C2601,2),"")</f>
        <v>#NAME?</v>
      </c>
      <c r="I2601" s="1" t="str">
        <f aca="false">IF(D2601&lt;&gt;"",DEC2HEX(D2601,2),"")</f>
        <v/>
      </c>
      <c r="J2601" s="1" t="e">
        <f aca="false">IF(H2601&lt;&gt;"","0x"&amp;I2601&amp;H2601,"")</f>
        <v>#NAME?</v>
      </c>
      <c r="L2601" s="1" t="s">
        <v>3602</v>
      </c>
      <c r="M2601" s="1" t="e">
        <f aca="false">IF(J2601&lt;&gt;"",J2601,L2601)</f>
        <v>#NAME?</v>
      </c>
    </row>
    <row r="2602" customFormat="false" ht="12.75" hidden="false" customHeight="true" outlineLevel="0" collapsed="false">
      <c r="A2602" s="3" t="s">
        <v>2908</v>
      </c>
      <c r="B2602" s="3" t="str">
        <f aca="false">IF(ISNUMBER(SEARCH("%", A2602)),RIGHT(A2602,3),A2602)</f>
        <v>20%</v>
      </c>
      <c r="C2602" s="1" t="str">
        <f aca="false" t="array" ref="C2602:C2602">IF(B2601="NEW ROUTE",textsplit(B2602,","),"")</f>
        <v/>
      </c>
      <c r="H2602" s="1" t="str">
        <f aca="false">IF(C2602&lt;&gt;"",DEC2HEX(C2602,2),"")</f>
        <v/>
      </c>
      <c r="I2602" s="1" t="str">
        <f aca="false">IF(D2602&lt;&gt;"",DEC2HEX(D2602,2),"")</f>
        <v/>
      </c>
      <c r="J2602" s="1" t="str">
        <f aca="false">IF(H2602&lt;&gt;"","0x"&amp;I2602&amp;H2602,"")</f>
        <v/>
      </c>
      <c r="L2602" s="1" t="s">
        <v>2799</v>
      </c>
      <c r="M2602" s="1" t="str">
        <f aca="false">IF(J2602&lt;&gt;"",J2602,L2602)</f>
        <v>20%</v>
      </c>
    </row>
    <row r="2603" customFormat="false" ht="12.75" hidden="false" customHeight="true" outlineLevel="0" collapsed="false">
      <c r="A2603" s="3" t="s">
        <v>2089</v>
      </c>
      <c r="B2603" s="3" t="str">
        <f aca="false">IF(ISNUMBER(SEARCH("%", A2603)),RIGHT(A2603,3),A2603)</f>
        <v>14, 17, PIDGEY</v>
      </c>
      <c r="C2603" s="1" t="str">
        <f aca="false" t="array" ref="C2603:C2603">IF(B2602="NEW ROUTE",textsplit(B2603,","),"")</f>
        <v/>
      </c>
      <c r="H2603" s="1" t="str">
        <f aca="false">IF(C2603&lt;&gt;"",DEC2HEX(C2603,2),"")</f>
        <v/>
      </c>
      <c r="I2603" s="1" t="str">
        <f aca="false">IF(D2603&lt;&gt;"",DEC2HEX(D2603,2),"")</f>
        <v/>
      </c>
      <c r="J2603" s="1" t="str">
        <f aca="false">IF(H2603&lt;&gt;"","0x"&amp;I2603&amp;H2603,"")</f>
        <v/>
      </c>
      <c r="L2603" s="1" t="s">
        <v>2089</v>
      </c>
      <c r="M2603" s="1" t="str">
        <f aca="false">IF(J2603&lt;&gt;"",J2603,L2603)</f>
        <v>14, 17, PIDGEY</v>
      </c>
    </row>
    <row r="2604" customFormat="false" ht="12.75" hidden="false" customHeight="true" outlineLevel="0" collapsed="false">
      <c r="A2604" s="3" t="s">
        <v>3603</v>
      </c>
      <c r="B2604" s="3" t="str">
        <f aca="false">IF(ISNUMBER(SEARCH("%", A2604)),RIGHT(A2604,3),A2604)</f>
        <v>14, 17, ODDISH</v>
      </c>
      <c r="C2604" s="1" t="str">
        <f aca="false" t="array" ref="C2604:C2604">IF(B2603="NEW ROUTE",textsplit(B2604,","),"")</f>
        <v/>
      </c>
      <c r="H2604" s="1" t="str">
        <f aca="false">IF(C2604&lt;&gt;"",DEC2HEX(C2604,2),"")</f>
        <v/>
      </c>
      <c r="I2604" s="1" t="str">
        <f aca="false">IF(D2604&lt;&gt;"",DEC2HEX(D2604,2),"")</f>
        <v/>
      </c>
      <c r="J2604" s="1" t="str">
        <f aca="false">IF(H2604&lt;&gt;"","0x"&amp;I2604&amp;H2604,"")</f>
        <v/>
      </c>
      <c r="L2604" s="1" t="s">
        <v>3603</v>
      </c>
      <c r="M2604" s="1" t="str">
        <f aca="false">IF(J2604&lt;&gt;"",J2604,L2604)</f>
        <v>14, 17, ODDISH</v>
      </c>
    </row>
    <row r="2605" customFormat="false" ht="12.75" hidden="false" customHeight="true" outlineLevel="0" collapsed="false">
      <c r="A2605" s="3" t="s">
        <v>2801</v>
      </c>
      <c r="B2605" s="3" t="str">
        <f aca="false">IF(ISNUMBER(SEARCH("%", A2605)),RIGHT(A2605,3),A2605)</f>
        <v>0.1</v>
      </c>
      <c r="C2605" s="1" t="str">
        <f aca="false" t="array" ref="C2605:C2605">IF(B2604="NEW ROUTE",textsplit(B2605,","),"")</f>
        <v/>
      </c>
      <c r="H2605" s="1" t="str">
        <f aca="false">IF(C2605&lt;&gt;"",DEC2HEX(C2605,2),"")</f>
        <v/>
      </c>
      <c r="I2605" s="1" t="str">
        <f aca="false">IF(D2605&lt;&gt;"",DEC2HEX(D2605,2),"")</f>
        <v/>
      </c>
      <c r="J2605" s="1" t="str">
        <f aca="false">IF(H2605&lt;&gt;"","0x"&amp;I2605&amp;H2605,"")</f>
        <v/>
      </c>
      <c r="L2605" s="1" t="s">
        <v>2801</v>
      </c>
      <c r="M2605" s="1" t="str">
        <f aca="false">IF(J2605&lt;&gt;"",J2605,L2605)</f>
        <v>0.1</v>
      </c>
    </row>
    <row r="2606" customFormat="false" ht="12.75" hidden="false" customHeight="true" outlineLevel="0" collapsed="false">
      <c r="A2606" s="3" t="s">
        <v>3604</v>
      </c>
      <c r="B2606" s="3" t="str">
        <f aca="false">IF(ISNUMBER(SEARCH("%", A2606)),RIGHT(A2606,3),A2606)</f>
        <v>15, 17, BELLSPROUT</v>
      </c>
      <c r="C2606" s="1" t="str">
        <f aca="false" t="array" ref="C2606:C2606">IF(B2605="NEW ROUTE",textsplit(B2606,","),"")</f>
        <v/>
      </c>
      <c r="H2606" s="1" t="str">
        <f aca="false">IF(C2606&lt;&gt;"",DEC2HEX(C2606,2),"")</f>
        <v/>
      </c>
      <c r="I2606" s="1" t="str">
        <f aca="false">IF(D2606&lt;&gt;"",DEC2HEX(D2606,2),"")</f>
        <v/>
      </c>
      <c r="J2606" s="1" t="str">
        <f aca="false">IF(H2606&lt;&gt;"","0x"&amp;I2606&amp;H2606,"")</f>
        <v/>
      </c>
      <c r="L2606" s="1" t="s">
        <v>3604</v>
      </c>
      <c r="M2606" s="1" t="str">
        <f aca="false">IF(J2606&lt;&gt;"",J2606,L2606)</f>
        <v>15, 17, BELLSPROUT</v>
      </c>
    </row>
    <row r="2607" customFormat="false" ht="12.75" hidden="false" customHeight="true" outlineLevel="0" collapsed="false">
      <c r="A2607" s="3" t="s">
        <v>3361</v>
      </c>
      <c r="B2607" s="3" t="str">
        <f aca="false">IF(ISNUMBER(SEARCH("%", A2607)),RIGHT(A2607,3),A2607)</f>
        <v>15, 17, MEOWTH</v>
      </c>
      <c r="C2607" s="1" t="str">
        <f aca="false" t="array" ref="C2607:C2607">IF(B2606="NEW ROUTE",textsplit(B2607,","),"")</f>
        <v/>
      </c>
      <c r="H2607" s="1" t="str">
        <f aca="false">IF(C2607&lt;&gt;"",DEC2HEX(C2607,2),"")</f>
        <v/>
      </c>
      <c r="I2607" s="1" t="str">
        <f aca="false">IF(D2607&lt;&gt;"",DEC2HEX(D2607,2),"")</f>
        <v/>
      </c>
      <c r="J2607" s="1" t="str">
        <f aca="false">IF(H2607&lt;&gt;"","0x"&amp;I2607&amp;H2607,"")</f>
        <v/>
      </c>
      <c r="L2607" s="1" t="s">
        <v>3361</v>
      </c>
      <c r="M2607" s="1" t="str">
        <f aca="false">IF(J2607&lt;&gt;"",J2607,L2607)</f>
        <v>15, 17, MEOWTH</v>
      </c>
    </row>
    <row r="2608" customFormat="false" ht="12.75" hidden="false" customHeight="true" outlineLevel="0" collapsed="false">
      <c r="A2608" s="3" t="s">
        <v>3605</v>
      </c>
      <c r="B2608" s="3" t="str">
        <f aca="false">IF(ISNUMBER(SEARCH("%", A2608)),RIGHT(A2608,3),A2608)</f>
        <v>15, 17, PSYDUCK</v>
      </c>
      <c r="C2608" s="1" t="str">
        <f aca="false" t="array" ref="C2608:C2608">IF(B2607="NEW ROUTE",textsplit(B2608,","),"")</f>
        <v/>
      </c>
      <c r="H2608" s="1" t="str">
        <f aca="false">IF(C2608&lt;&gt;"",DEC2HEX(C2608,2),"")</f>
        <v/>
      </c>
      <c r="I2608" s="1" t="str">
        <f aca="false">IF(D2608&lt;&gt;"",DEC2HEX(D2608,2),"")</f>
        <v/>
      </c>
      <c r="J2608" s="1" t="str">
        <f aca="false">IF(H2608&lt;&gt;"","0x"&amp;I2608&amp;H2608,"")</f>
        <v/>
      </c>
      <c r="L2608" s="1" t="s">
        <v>3605</v>
      </c>
      <c r="M2608" s="1" t="str">
        <f aca="false">IF(J2608&lt;&gt;"",J2608,L2608)</f>
        <v>15, 17, PSYDUCK</v>
      </c>
    </row>
    <row r="2609" customFormat="false" ht="12.75" hidden="false" customHeight="true" outlineLevel="0" collapsed="false">
      <c r="A2609" s="3" t="s">
        <v>3606</v>
      </c>
      <c r="B2609" s="3" t="str">
        <f aca="false">IF(ISNUMBER(SEARCH("%", A2609)),RIGHT(A2609,3),A2609)</f>
        <v>15, 17, PIDGEOTTO</v>
      </c>
      <c r="C2609" s="1" t="str">
        <f aca="false" t="array" ref="C2609:C2609">IF(B2608="NEW ROUTE",textsplit(B2609,","),"")</f>
        <v/>
      </c>
      <c r="H2609" s="1" t="str">
        <f aca="false">IF(C2609&lt;&gt;"",DEC2HEX(C2609,2),"")</f>
        <v/>
      </c>
      <c r="I2609" s="1" t="str">
        <f aca="false">IF(D2609&lt;&gt;"",DEC2HEX(D2609,2),"")</f>
        <v/>
      </c>
      <c r="J2609" s="1" t="str">
        <f aca="false">IF(H2609&lt;&gt;"","0x"&amp;I2609&amp;H2609,"")</f>
        <v/>
      </c>
      <c r="L2609" s="1" t="s">
        <v>3606</v>
      </c>
      <c r="M2609" s="1" t="str">
        <f aca="false">IF(J2609&lt;&gt;"",J2609,L2609)</f>
        <v>15, 17, PIDGEOTTO</v>
      </c>
    </row>
    <row r="2610" customFormat="false" ht="12.75" hidden="false" customHeight="true" outlineLevel="0" collapsed="false">
      <c r="A2610" s="3" t="s">
        <v>2806</v>
      </c>
      <c r="B2610" s="3" t="str">
        <f aca="false">IF(ISNUMBER(SEARCH("%", A2610)),RIGHT(A2610,3),A2610)</f>
        <v>0.05</v>
      </c>
      <c r="C2610" s="1" t="str">
        <f aca="false" t="array" ref="C2610:C2610">IF(B2609="NEW ROUTE",textsplit(B2610,","),"")</f>
        <v/>
      </c>
      <c r="H2610" s="1" t="str">
        <f aca="false">IF(C2610&lt;&gt;"",DEC2HEX(C2610,2),"")</f>
        <v/>
      </c>
      <c r="I2610" s="1" t="str">
        <f aca="false">IF(D2610&lt;&gt;"",DEC2HEX(D2610,2),"")</f>
        <v/>
      </c>
      <c r="J2610" s="1" t="str">
        <f aca="false">IF(H2610&lt;&gt;"","0x"&amp;I2610&amp;H2610,"")</f>
        <v/>
      </c>
      <c r="L2610" s="1" t="s">
        <v>2806</v>
      </c>
      <c r="M2610" s="1" t="str">
        <f aca="false">IF(J2610&lt;&gt;"",J2610,L2610)</f>
        <v>0.05</v>
      </c>
    </row>
    <row r="2611" customFormat="false" ht="12.75" hidden="false" customHeight="true" outlineLevel="0" collapsed="false">
      <c r="A2611" s="3" t="s">
        <v>3593</v>
      </c>
      <c r="B2611" s="3" t="str">
        <f aca="false">IF(ISNUMBER(SEARCH("%", A2611)),RIGHT(A2611,3),A2611)</f>
        <v>16, 16, PIKACHU</v>
      </c>
      <c r="C2611" s="1" t="str">
        <f aca="false" t="array" ref="C2611:C2611">IF(B2610="NEW ROUTE",textsplit(B2611,","),"")</f>
        <v/>
      </c>
      <c r="H2611" s="1" t="str">
        <f aca="false">IF(C2611&lt;&gt;"",DEC2HEX(C2611,2),"")</f>
        <v/>
      </c>
      <c r="I2611" s="1" t="str">
        <f aca="false">IF(D2611&lt;&gt;"",DEC2HEX(D2611,2),"")</f>
        <v/>
      </c>
      <c r="J2611" s="1" t="str">
        <f aca="false">IF(H2611&lt;&gt;"","0x"&amp;I2611&amp;H2611,"")</f>
        <v/>
      </c>
      <c r="L2611" s="1" t="s">
        <v>3593</v>
      </c>
      <c r="M2611" s="1" t="str">
        <f aca="false">IF(J2611&lt;&gt;"",J2611,L2611)</f>
        <v>16, 16, PIKACHU</v>
      </c>
    </row>
    <row r="2612" customFormat="false" ht="12.75" hidden="false" customHeight="true" outlineLevel="0" collapsed="false">
      <c r="A2612" s="3" t="s">
        <v>3594</v>
      </c>
      <c r="B2612" s="3" t="str">
        <f aca="false">IF(ISNUMBER(SEARCH("%", A2612)),RIGHT(A2612,3),A2612)</f>
        <v>16, 16, ABRA</v>
      </c>
      <c r="C2612" s="1" t="str">
        <f aca="false" t="array" ref="C2612:C2612">IF(B2611="NEW ROUTE",textsplit(B2612,","),"")</f>
        <v/>
      </c>
      <c r="H2612" s="1" t="str">
        <f aca="false">IF(C2612&lt;&gt;"",DEC2HEX(C2612,2),"")</f>
        <v/>
      </c>
      <c r="I2612" s="1" t="str">
        <f aca="false">IF(D2612&lt;&gt;"",DEC2HEX(D2612,2),"")</f>
        <v/>
      </c>
      <c r="J2612" s="1" t="str">
        <f aca="false">IF(H2612&lt;&gt;"","0x"&amp;I2612&amp;H2612,"")</f>
        <v/>
      </c>
      <c r="L2612" s="1" t="s">
        <v>3594</v>
      </c>
      <c r="M2612" s="1" t="str">
        <f aca="false">IF(J2612&lt;&gt;"",J2612,L2612)</f>
        <v>16, 16, ABRA</v>
      </c>
    </row>
    <row r="2613" customFormat="false" ht="12.75" hidden="false" customHeight="true" outlineLevel="0" collapsed="false">
      <c r="A2613" s="3" t="s">
        <v>2809</v>
      </c>
      <c r="B2613" s="3" t="str">
        <f aca="false">IF(ISNUMBER(SEARCH("%", A2613)),RIGHT(A2613,3),A2613)</f>
        <v>0.04</v>
      </c>
      <c r="C2613" s="1" t="str">
        <f aca="false" t="array" ref="C2613:C2613">IF(B2612="NEW ROUTE",textsplit(B2613,","),"")</f>
        <v/>
      </c>
      <c r="H2613" s="1" t="str">
        <f aca="false">IF(C2613&lt;&gt;"",DEC2HEX(C2613,2),"")</f>
        <v/>
      </c>
      <c r="I2613" s="1" t="str">
        <f aca="false">IF(D2613&lt;&gt;"",DEC2HEX(D2613,2),"")</f>
        <v/>
      </c>
      <c r="J2613" s="1" t="str">
        <f aca="false">IF(H2613&lt;&gt;"","0x"&amp;I2613&amp;H2613,"")</f>
        <v/>
      </c>
      <c r="L2613" s="1" t="s">
        <v>2809</v>
      </c>
      <c r="M2613" s="1" t="str">
        <f aca="false">IF(J2613&lt;&gt;"",J2613,L2613)</f>
        <v>0.04</v>
      </c>
    </row>
    <row r="2614" customFormat="false" ht="12.75" hidden="false" customHeight="true" outlineLevel="0" collapsed="false">
      <c r="A2614" s="3" t="s">
        <v>3595</v>
      </c>
      <c r="B2614" s="3" t="str">
        <f aca="false">IF(ISNUMBER(SEARCH("%", A2614)),RIGHT(A2614,3),A2614)</f>
        <v>15, 18, VENONAT</v>
      </c>
      <c r="C2614" s="1" t="str">
        <f aca="false" t="array" ref="C2614:C2614">IF(B2613="NEW ROUTE",textsplit(B2614,","),"")</f>
        <v/>
      </c>
      <c r="H2614" s="1" t="str">
        <f aca="false">IF(C2614&lt;&gt;"",DEC2HEX(C2614,2),"")</f>
        <v/>
      </c>
      <c r="I2614" s="1" t="str">
        <f aca="false">IF(D2614&lt;&gt;"",DEC2HEX(D2614,2),"")</f>
        <v/>
      </c>
      <c r="J2614" s="1" t="str">
        <f aca="false">IF(H2614&lt;&gt;"","0x"&amp;I2614&amp;H2614,"")</f>
        <v/>
      </c>
      <c r="L2614" s="1" t="s">
        <v>3595</v>
      </c>
      <c r="M2614" s="1" t="str">
        <f aca="false">IF(J2614&lt;&gt;"",J2614,L2614)</f>
        <v>15, 18, VENONAT</v>
      </c>
    </row>
    <row r="2615" customFormat="false" ht="12.75" hidden="false" customHeight="true" outlineLevel="0" collapsed="false">
      <c r="A2615" s="3" t="s">
        <v>3596</v>
      </c>
      <c r="B2615" s="3" t="str">
        <f aca="false">IF(ISNUMBER(SEARCH("%", A2615)),RIGHT(A2615,3),A2615)</f>
        <v>15, 18, GLOOM</v>
      </c>
      <c r="C2615" s="1" t="str">
        <f aca="false" t="array" ref="C2615:C2615">IF(B2614="NEW ROUTE",textsplit(B2615,","),"")</f>
        <v/>
      </c>
      <c r="H2615" s="1" t="str">
        <f aca="false">IF(C2615&lt;&gt;"",DEC2HEX(C2615,2),"")</f>
        <v/>
      </c>
      <c r="I2615" s="1" t="str">
        <f aca="false">IF(D2615&lt;&gt;"",DEC2HEX(D2615,2),"")</f>
        <v/>
      </c>
      <c r="J2615" s="1" t="str">
        <f aca="false">IF(H2615&lt;&gt;"","0x"&amp;I2615&amp;H2615,"")</f>
        <v/>
      </c>
      <c r="L2615" s="1" t="s">
        <v>3596</v>
      </c>
      <c r="M2615" s="1" t="str">
        <f aca="false">IF(J2615&lt;&gt;"",J2615,L2615)</f>
        <v>15, 18, GLOOM</v>
      </c>
    </row>
    <row r="2616" customFormat="false" ht="12.75" hidden="false" customHeight="true" outlineLevel="0" collapsed="false">
      <c r="A2616" s="3" t="s">
        <v>2812</v>
      </c>
      <c r="B2616" s="3" t="str">
        <f aca="false">IF(ISNUMBER(SEARCH("%", A2616)),RIGHT(A2616,3),A2616)</f>
        <v>0.01</v>
      </c>
      <c r="C2616" s="1" t="str">
        <f aca="false" t="array" ref="C2616:C2616">IF(B2615="NEW ROUTE",textsplit(B2616,","),"")</f>
        <v/>
      </c>
      <c r="H2616" s="1" t="str">
        <f aca="false">IF(C2616&lt;&gt;"",DEC2HEX(C2616,2),"")</f>
        <v/>
      </c>
      <c r="I2616" s="1" t="str">
        <f aca="false">IF(D2616&lt;&gt;"",DEC2HEX(D2616,2),"")</f>
        <v/>
      </c>
      <c r="J2616" s="1" t="str">
        <f aca="false">IF(H2616&lt;&gt;"","0x"&amp;I2616&amp;H2616,"")</f>
        <v/>
      </c>
      <c r="L2616" s="1" t="s">
        <v>2812</v>
      </c>
      <c r="M2616" s="1" t="str">
        <f aca="false">IF(J2616&lt;&gt;"",J2616,L2616)</f>
        <v>0.01</v>
      </c>
    </row>
    <row r="2617" customFormat="false" ht="12.75" hidden="false" customHeight="true" outlineLevel="0" collapsed="false">
      <c r="A2617" s="3" t="s">
        <v>3607</v>
      </c>
      <c r="B2617" s="3" t="str">
        <f aca="false">IF(ISNUMBER(SEARCH("%", A2617)),RIGHT(A2617,3),A2617)</f>
        <v>18, 18, KADABRA</v>
      </c>
      <c r="C2617" s="1" t="str">
        <f aca="false" t="array" ref="C2617:C2617">IF(B2616="NEW ROUTE",textsplit(B2617,","),"")</f>
        <v/>
      </c>
      <c r="H2617" s="1" t="str">
        <f aca="false">IF(C2617&lt;&gt;"",DEC2HEX(C2617,2),"")</f>
        <v/>
      </c>
      <c r="I2617" s="1" t="str">
        <f aca="false">IF(D2617&lt;&gt;"",DEC2HEX(D2617,2),"")</f>
        <v/>
      </c>
      <c r="J2617" s="1" t="str">
        <f aca="false">IF(H2617&lt;&gt;"","0x"&amp;I2617&amp;H2617,"")</f>
        <v/>
      </c>
      <c r="L2617" s="1" t="s">
        <v>3607</v>
      </c>
      <c r="M2617" s="1" t="str">
        <f aca="false">IF(J2617&lt;&gt;"",J2617,L2617)</f>
        <v>18, 18, KADABRA</v>
      </c>
    </row>
    <row r="2618" customFormat="false" ht="12.75" hidden="false" customHeight="true" outlineLevel="0" collapsed="false">
      <c r="A2618" s="3" t="s">
        <v>3607</v>
      </c>
      <c r="B2618" s="3" t="str">
        <f aca="false">IF(ISNUMBER(SEARCH("%", A2618)),RIGHT(A2618,3),A2618)</f>
        <v>18, 18, KADABRA</v>
      </c>
      <c r="C2618" s="1" t="str">
        <f aca="false" t="array" ref="C2618:C2618">IF(B2617="NEW ROUTE",textsplit(B2618,","),"")</f>
        <v/>
      </c>
      <c r="H2618" s="1" t="str">
        <f aca="false">IF(C2618&lt;&gt;"",DEC2HEX(C2618,2),"")</f>
        <v/>
      </c>
      <c r="I2618" s="1" t="str">
        <f aca="false">IF(D2618&lt;&gt;"",DEC2HEX(D2618,2),"")</f>
        <v/>
      </c>
      <c r="J2618" s="1" t="str">
        <f aca="false">IF(H2618&lt;&gt;"","0x"&amp;I2618&amp;H2618,"")</f>
        <v/>
      </c>
      <c r="L2618" s="1" t="s">
        <v>3607</v>
      </c>
      <c r="M2618" s="1" t="str">
        <f aca="false">IF(J2618&lt;&gt;"",J2618,L2618)</f>
        <v>18, 18, KADABRA</v>
      </c>
    </row>
    <row r="2619" customFormat="false" ht="12.75" hidden="false" customHeight="true" outlineLevel="0" collapsed="false">
      <c r="A2619" s="3" t="s">
        <v>3598</v>
      </c>
      <c r="B2619" s="3" t="str">
        <f aca="false">IF(ISNUMBER(SEARCH("%", A2619)),RIGHT(A2619,3),A2619)</f>
        <v>2, 34, 40, TENTACOOL</v>
      </c>
      <c r="C2619" s="1" t="str">
        <f aca="false" t="array" ref="C2619:C2619">IF(B2618="NEW ROUTE",textsplit(B2619,","),"")</f>
        <v/>
      </c>
      <c r="H2619" s="1" t="str">
        <f aca="false">IF(C2619&lt;&gt;"",DEC2HEX(C2619,2),"")</f>
        <v/>
      </c>
      <c r="I2619" s="1" t="str">
        <f aca="false">IF(D2619&lt;&gt;"",DEC2HEX(D2619,2),"")</f>
        <v/>
      </c>
      <c r="J2619" s="1" t="str">
        <f aca="false">IF(H2619&lt;&gt;"","0x"&amp;I2619&amp;H2619,"")</f>
        <v/>
      </c>
      <c r="L2619" s="1" t="s">
        <v>3598</v>
      </c>
      <c r="M2619" s="1" t="str">
        <f aca="false">IF(J2619&lt;&gt;"",J2619,L2619)</f>
        <v>2, 34, 40, TENTACOOL</v>
      </c>
    </row>
    <row r="2620" customFormat="false" ht="12.75" hidden="false" customHeight="true" outlineLevel="0" collapsed="false">
      <c r="A2620" s="3" t="s">
        <v>3599</v>
      </c>
      <c r="B2620" s="3" t="str">
        <f aca="false">IF(ISNUMBER(SEARCH("%", A2620)),RIGHT(A2620,3),A2620)</f>
        <v>34, 40, PSYDUCK</v>
      </c>
      <c r="C2620" s="1" t="str">
        <f aca="false" t="array" ref="C2620:C2620">IF(B2619="NEW ROUTE",textsplit(B2620,","),"")</f>
        <v/>
      </c>
      <c r="H2620" s="1" t="str">
        <f aca="false">IF(C2620&lt;&gt;"",DEC2HEX(C2620,2),"")</f>
        <v/>
      </c>
      <c r="I2620" s="1" t="str">
        <f aca="false">IF(D2620&lt;&gt;"",DEC2HEX(D2620,2),"")</f>
        <v/>
      </c>
      <c r="J2620" s="1" t="str">
        <f aca="false">IF(H2620&lt;&gt;"","0x"&amp;I2620&amp;H2620,"")</f>
        <v/>
      </c>
      <c r="L2620" s="1" t="s">
        <v>3599</v>
      </c>
      <c r="M2620" s="1" t="str">
        <f aca="false">IF(J2620&lt;&gt;"",J2620,L2620)</f>
        <v>34, 40, PSYDUCK</v>
      </c>
    </row>
    <row r="2621" customFormat="false" ht="12.75" hidden="false" customHeight="true" outlineLevel="0" collapsed="false">
      <c r="A2621" s="3" t="s">
        <v>3600</v>
      </c>
      <c r="B2621" s="3" t="str">
        <f aca="false">IF(ISNUMBER(SEARCH("%", A2621)),RIGHT(A2621,3),A2621)</f>
        <v>36, 42, TENTACRUEL</v>
      </c>
      <c r="C2621" s="1" t="str">
        <f aca="false" t="array" ref="C2621:C2621">IF(B2620="NEW ROUTE",textsplit(B2621,","),"")</f>
        <v/>
      </c>
      <c r="H2621" s="1" t="str">
        <f aca="false">IF(C2621&lt;&gt;"",DEC2HEX(C2621,2),"")</f>
        <v/>
      </c>
      <c r="I2621" s="1" t="str">
        <f aca="false">IF(D2621&lt;&gt;"",DEC2HEX(D2621,2),"")</f>
        <v/>
      </c>
      <c r="J2621" s="1" t="str">
        <f aca="false">IF(H2621&lt;&gt;"","0x"&amp;I2621&amp;H2621,"")</f>
        <v/>
      </c>
      <c r="L2621" s="1" t="s">
        <v>3600</v>
      </c>
      <c r="M2621" s="1" t="str">
        <f aca="false">IF(J2621&lt;&gt;"",J2621,L2621)</f>
        <v>36, 42, TENTACRUEL</v>
      </c>
    </row>
    <row r="2622" customFormat="false" ht="12.75" hidden="false" customHeight="true" outlineLevel="0" collapsed="false">
      <c r="A2622" s="3" t="s">
        <v>3532</v>
      </c>
      <c r="B2622" s="3" t="str">
        <f aca="false">IF(ISNUMBER(SEARCH("%", A2622)),RIGHT(A2622,3),A2622)</f>
        <v>39, 42, GOLDUCK</v>
      </c>
      <c r="C2622" s="1" t="str">
        <f aca="false" t="array" ref="C2622:C2622">IF(B2621="NEW ROUTE",textsplit(B2622,","),"")</f>
        <v/>
      </c>
      <c r="H2622" s="1" t="str">
        <f aca="false">IF(C2622&lt;&gt;"",DEC2HEX(C2622,2),"")</f>
        <v/>
      </c>
      <c r="I2622" s="1" t="str">
        <f aca="false">IF(D2622&lt;&gt;"",DEC2HEX(D2622,2),"")</f>
        <v/>
      </c>
      <c r="J2622" s="1" t="str">
        <f aca="false">IF(H2622&lt;&gt;"","0x"&amp;I2622&amp;H2622,"")</f>
        <v/>
      </c>
      <c r="L2622" s="1" t="s">
        <v>3532</v>
      </c>
      <c r="M2622" s="1" t="str">
        <f aca="false">IF(J2622&lt;&gt;"",J2622,L2622)</f>
        <v>39, 42, GOLDUCK</v>
      </c>
    </row>
    <row r="2623" customFormat="false" ht="12.75" hidden="false" customHeight="true" outlineLevel="0" collapsed="false">
      <c r="A2623" s="3" t="s">
        <v>3601</v>
      </c>
      <c r="B2623" s="3" t="str">
        <f aca="false">IF(ISNUMBER(SEARCH("%", A2623)),RIGHT(A2623,3),A2623)</f>
        <v>39, 42, VAPOREON</v>
      </c>
      <c r="C2623" s="1" t="str">
        <f aca="false" t="array" ref="C2623:C2623">IF(B2622="NEW ROUTE",textsplit(B2623,","),"")</f>
        <v/>
      </c>
      <c r="H2623" s="1" t="str">
        <f aca="false">IF(C2623&lt;&gt;"",DEC2HEX(C2623,2),"")</f>
        <v/>
      </c>
      <c r="I2623" s="1" t="str">
        <f aca="false">IF(D2623&lt;&gt;"",DEC2HEX(D2623,2),"")</f>
        <v/>
      </c>
      <c r="J2623" s="1" t="str">
        <f aca="false">IF(H2623&lt;&gt;"","0x"&amp;I2623&amp;H2623,"")</f>
        <v/>
      </c>
      <c r="L2623" s="1" t="s">
        <v>3601</v>
      </c>
      <c r="M2623" s="1" t="str">
        <f aca="false">IF(J2623&lt;&gt;"",J2623,L2623)</f>
        <v>39, 42, VAPOREON</v>
      </c>
    </row>
    <row r="2624" customFormat="false" ht="12.75" hidden="false" customHeight="true" outlineLevel="0" collapsed="false">
      <c r="A2624" s="3" t="s">
        <v>2925</v>
      </c>
      <c r="B2624" s="3" t="str">
        <f aca="false">IF(ISNUMBER(SEARCH("%", A2624)),RIGHT(A2624,3),A2624)</f>
        <v>20, old rod:</v>
      </c>
      <c r="C2624" s="1" t="str">
        <f aca="false" t="array" ref="C2624:C2624">IF(B2623="NEW ROUTE",textsplit(B2624,","),"")</f>
        <v/>
      </c>
      <c r="H2624" s="1" t="str">
        <f aca="false">IF(C2624&lt;&gt;"",DEC2HEX(C2624,2),"")</f>
        <v/>
      </c>
      <c r="I2624" s="1" t="str">
        <f aca="false">IF(D2624&lt;&gt;"",DEC2HEX(D2624,2),"")</f>
        <v/>
      </c>
      <c r="J2624" s="1" t="str">
        <f aca="false">IF(H2624&lt;&gt;"","0x"&amp;I2624&amp;H2624,"")</f>
        <v/>
      </c>
      <c r="L2624" s="1" t="s">
        <v>2925</v>
      </c>
      <c r="M2624" s="1" t="str">
        <f aca="false">IF(J2624&lt;&gt;"",J2624,L2624)</f>
        <v>20, old rod:</v>
      </c>
    </row>
    <row r="2625" customFormat="false" ht="12.75" hidden="false" customHeight="true" outlineLevel="0" collapsed="false">
      <c r="A2625" s="3" t="s">
        <v>1349</v>
      </c>
      <c r="B2625" s="3" t="str">
        <f aca="false">IF(ISNUMBER(SEARCH("%", A2625)),RIGHT(A2625,3),A2625)</f>
        <v>19, 26, MAGIKARP</v>
      </c>
      <c r="C2625" s="1" t="str">
        <f aca="false" t="array" ref="C2625:C2625">IF(B2624="NEW ROUTE",textsplit(B2625,","),"")</f>
        <v/>
      </c>
      <c r="H2625" s="1" t="str">
        <f aca="false">IF(C2625&lt;&gt;"",DEC2HEX(C2625,2),"")</f>
        <v/>
      </c>
      <c r="I2625" s="1" t="str">
        <f aca="false">IF(D2625&lt;&gt;"",DEC2HEX(D2625,2),"")</f>
        <v/>
      </c>
      <c r="J2625" s="1" t="str">
        <f aca="false">IF(H2625&lt;&gt;"","0x"&amp;I2625&amp;H2625,"")</f>
        <v/>
      </c>
      <c r="L2625" s="1" t="s">
        <v>1349</v>
      </c>
      <c r="M2625" s="1" t="str">
        <f aca="false">IF(J2625&lt;&gt;"",J2625,L2625)</f>
        <v>19, 26, MAGIKARP</v>
      </c>
    </row>
    <row r="2626" customFormat="false" ht="12.75" hidden="false" customHeight="true" outlineLevel="0" collapsed="false">
      <c r="A2626" s="3" t="s">
        <v>3352</v>
      </c>
      <c r="B2626" s="3" t="str">
        <f aca="false">IF(ISNUMBER(SEARCH("%", A2626)),RIGHT(A2626,3),A2626)</f>
        <v>19, 26, GYARADOS</v>
      </c>
      <c r="C2626" s="1" t="str">
        <f aca="false" t="array" ref="C2626:C2626">IF(B2625="NEW ROUTE",textsplit(B2626,","),"")</f>
        <v/>
      </c>
      <c r="H2626" s="1" t="str">
        <f aca="false">IF(C2626&lt;&gt;"",DEC2HEX(C2626,2),"")</f>
        <v/>
      </c>
      <c r="I2626" s="1" t="str">
        <f aca="false">IF(D2626&lt;&gt;"",DEC2HEX(D2626,2),"")</f>
        <v/>
      </c>
      <c r="J2626" s="1" t="str">
        <f aca="false">IF(H2626&lt;&gt;"","0x"&amp;I2626&amp;H2626,"")</f>
        <v/>
      </c>
      <c r="L2626" s="1" t="s">
        <v>3352</v>
      </c>
      <c r="M2626" s="1" t="str">
        <f aca="false">IF(J2626&lt;&gt;"",J2626,L2626)</f>
        <v>19, 26, GYARADOS</v>
      </c>
    </row>
    <row r="2627" customFormat="false" ht="12.75" hidden="false" customHeight="true" outlineLevel="0" collapsed="false">
      <c r="A2627" s="3" t="s">
        <v>2846</v>
      </c>
      <c r="B2627" s="3" t="str">
        <f aca="false">IF(ISNUMBER(SEARCH("%", A2627)),RIGHT(A2627,3),A2627)</f>
        <v>good rod:</v>
      </c>
      <c r="C2627" s="1" t="str">
        <f aca="false" t="array" ref="C2627:C2627">IF(B2626="NEW ROUTE",textsplit(B2627,","),"")</f>
        <v/>
      </c>
      <c r="H2627" s="1" t="str">
        <f aca="false">IF(C2627&lt;&gt;"",DEC2HEX(C2627,2),"")</f>
        <v/>
      </c>
      <c r="I2627" s="1" t="str">
        <f aca="false">IF(D2627&lt;&gt;"",DEC2HEX(D2627,2),"")</f>
        <v/>
      </c>
      <c r="J2627" s="1" t="str">
        <f aca="false">IF(H2627&lt;&gt;"","0x"&amp;I2627&amp;H2627,"")</f>
        <v/>
      </c>
      <c r="L2627" s="1" t="s">
        <v>2846</v>
      </c>
      <c r="M2627" s="1" t="str">
        <f aca="false">IF(J2627&lt;&gt;"",J2627,L2627)</f>
        <v>good rod:</v>
      </c>
    </row>
    <row r="2628" customFormat="false" ht="12.75" hidden="false" customHeight="true" outlineLevel="0" collapsed="false">
      <c r="A2628" s="3" t="s">
        <v>3353</v>
      </c>
      <c r="B2628" s="3" t="str">
        <f aca="false">IF(ISNUMBER(SEARCH("%", A2628)),RIGHT(A2628,3),A2628)</f>
        <v>29, 33, SLOWPOKE</v>
      </c>
      <c r="C2628" s="1" t="str">
        <f aca="false" t="array" ref="C2628:C2628">IF(B2627="NEW ROUTE",textsplit(B2628,","),"")</f>
        <v/>
      </c>
      <c r="H2628" s="1" t="str">
        <f aca="false">IF(C2628&lt;&gt;"",DEC2HEX(C2628,2),"")</f>
        <v/>
      </c>
      <c r="I2628" s="1" t="str">
        <f aca="false">IF(D2628&lt;&gt;"",DEC2HEX(D2628,2),"")</f>
        <v/>
      </c>
      <c r="J2628" s="1" t="str">
        <f aca="false">IF(H2628&lt;&gt;"","0x"&amp;I2628&amp;H2628,"")</f>
        <v/>
      </c>
      <c r="L2628" s="1" t="s">
        <v>3353</v>
      </c>
      <c r="M2628" s="1" t="str">
        <f aca="false">IF(J2628&lt;&gt;"",J2628,L2628)</f>
        <v>29, 33, SLOWPOKE</v>
      </c>
    </row>
    <row r="2629" customFormat="false" ht="12.75" hidden="false" customHeight="true" outlineLevel="0" collapsed="false">
      <c r="A2629" s="3" t="s">
        <v>3027</v>
      </c>
      <c r="B2629" s="3" t="str">
        <f aca="false">IF(ISNUMBER(SEARCH("%", A2629)),RIGHT(A2629,3),A2629)</f>
        <v>30, 35, KRABBY</v>
      </c>
      <c r="C2629" s="1" t="str">
        <f aca="false" t="array" ref="C2629:C2629">IF(B2628="NEW ROUTE",textsplit(B2629,","),"")</f>
        <v/>
      </c>
      <c r="H2629" s="1" t="str">
        <f aca="false">IF(C2629&lt;&gt;"",DEC2HEX(C2629,2),"")</f>
        <v/>
      </c>
      <c r="I2629" s="1" t="str">
        <f aca="false">IF(D2629&lt;&gt;"",DEC2HEX(D2629,2),"")</f>
        <v/>
      </c>
      <c r="J2629" s="1" t="str">
        <f aca="false">IF(H2629&lt;&gt;"","0x"&amp;I2629&amp;H2629,"")</f>
        <v/>
      </c>
      <c r="L2629" s="1" t="s">
        <v>3027</v>
      </c>
      <c r="M2629" s="1" t="str">
        <f aca="false">IF(J2629&lt;&gt;"",J2629,L2629)</f>
        <v>30, 35, KRABBY</v>
      </c>
    </row>
    <row r="2630" customFormat="false" ht="12.75" hidden="false" customHeight="true" outlineLevel="0" collapsed="false">
      <c r="A2630" s="3" t="s">
        <v>3354</v>
      </c>
      <c r="B2630" s="3" t="str">
        <f aca="false">IF(ISNUMBER(SEARCH("%", A2630)),RIGHT(A2630,3),A2630)</f>
        <v>30, 35, PSYDUCK</v>
      </c>
      <c r="C2630" s="1" t="str">
        <f aca="false" t="array" ref="C2630:C2630">IF(B2629="NEW ROUTE",textsplit(B2630,","),"")</f>
        <v/>
      </c>
      <c r="H2630" s="1" t="str">
        <f aca="false">IF(C2630&lt;&gt;"",DEC2HEX(C2630,2),"")</f>
        <v/>
      </c>
      <c r="I2630" s="1" t="str">
        <f aca="false">IF(D2630&lt;&gt;"",DEC2HEX(D2630,2),"")</f>
        <v/>
      </c>
      <c r="J2630" s="1" t="str">
        <f aca="false">IF(H2630&lt;&gt;"","0x"&amp;I2630&amp;H2630,"")</f>
        <v/>
      </c>
      <c r="L2630" s="1" t="s">
        <v>3354</v>
      </c>
      <c r="M2630" s="1" t="str">
        <f aca="false">IF(J2630&lt;&gt;"",J2630,L2630)</f>
        <v>30, 35, PSYDUCK</v>
      </c>
    </row>
    <row r="2631" customFormat="false" ht="12.75" hidden="false" customHeight="true" outlineLevel="0" collapsed="false">
      <c r="A2631" s="3" t="s">
        <v>2850</v>
      </c>
      <c r="B2631" s="3" t="str">
        <f aca="false">IF(ISNUMBER(SEARCH("%", A2631)),RIGHT(A2631,3),A2631)</f>
        <v>super rod:</v>
      </c>
      <c r="C2631" s="1" t="str">
        <f aca="false" t="array" ref="C2631:C2631">IF(B2630="NEW ROUTE",textsplit(B2631,","),"")</f>
        <v/>
      </c>
      <c r="H2631" s="1" t="str">
        <f aca="false">IF(C2631&lt;&gt;"",DEC2HEX(C2631,2),"")</f>
        <v/>
      </c>
      <c r="I2631" s="1" t="str">
        <f aca="false">IF(D2631&lt;&gt;"",DEC2HEX(D2631,2),"")</f>
        <v/>
      </c>
      <c r="J2631" s="1" t="str">
        <f aca="false">IF(H2631&lt;&gt;"","0x"&amp;I2631&amp;H2631,"")</f>
        <v/>
      </c>
      <c r="L2631" s="1" t="s">
        <v>2850</v>
      </c>
      <c r="M2631" s="1" t="str">
        <f aca="false">IF(J2631&lt;&gt;"",J2631,L2631)</f>
        <v>super rod:</v>
      </c>
    </row>
    <row r="2632" customFormat="false" ht="12.75" hidden="false" customHeight="true" outlineLevel="0" collapsed="false">
      <c r="A2632" s="3" t="s">
        <v>3355</v>
      </c>
      <c r="B2632" s="3" t="str">
        <f aca="false">IF(ISNUMBER(SEARCH("%", A2632)),RIGHT(A2632,3),A2632)</f>
        <v>36, 40, SLOWBRO</v>
      </c>
      <c r="C2632" s="1" t="str">
        <f aca="false" t="array" ref="C2632:C2632">IF(B2631="NEW ROUTE",textsplit(B2632,","),"")</f>
        <v/>
      </c>
      <c r="H2632" s="1" t="str">
        <f aca="false">IF(C2632&lt;&gt;"",DEC2HEX(C2632,2),"")</f>
        <v/>
      </c>
      <c r="I2632" s="1" t="str">
        <f aca="false">IF(D2632&lt;&gt;"",DEC2HEX(D2632,2),"")</f>
        <v/>
      </c>
      <c r="J2632" s="1" t="str">
        <f aca="false">IF(H2632&lt;&gt;"","0x"&amp;I2632&amp;H2632,"")</f>
        <v/>
      </c>
      <c r="L2632" s="1" t="s">
        <v>3355</v>
      </c>
      <c r="M2632" s="1" t="str">
        <f aca="false">IF(J2632&lt;&gt;"",J2632,L2632)</f>
        <v>36, 40, SLOWBRO</v>
      </c>
    </row>
    <row r="2633" customFormat="false" ht="12.75" hidden="false" customHeight="true" outlineLevel="0" collapsed="false">
      <c r="A2633" s="3" t="s">
        <v>3356</v>
      </c>
      <c r="B2633" s="3" t="str">
        <f aca="false">IF(ISNUMBER(SEARCH("%", A2633)),RIGHT(A2633,3),A2633)</f>
        <v>36, 40, GYARADOS</v>
      </c>
      <c r="C2633" s="1" t="str">
        <f aca="false" t="array" ref="C2633:C2633">IF(B2632="NEW ROUTE",textsplit(B2633,","),"")</f>
        <v/>
      </c>
      <c r="H2633" s="1" t="str">
        <f aca="false">IF(C2633&lt;&gt;"",DEC2HEX(C2633,2),"")</f>
        <v/>
      </c>
      <c r="I2633" s="1" t="str">
        <f aca="false">IF(D2633&lt;&gt;"",DEC2HEX(D2633,2),"")</f>
        <v/>
      </c>
      <c r="J2633" s="1" t="str">
        <f aca="false">IF(H2633&lt;&gt;"","0x"&amp;I2633&amp;H2633,"")</f>
        <v/>
      </c>
      <c r="L2633" s="1" t="s">
        <v>3356</v>
      </c>
      <c r="M2633" s="1" t="str">
        <f aca="false">IF(J2633&lt;&gt;"",J2633,L2633)</f>
        <v>36, 40, GYARADOS</v>
      </c>
    </row>
    <row r="2634" customFormat="false" ht="12.75" hidden="false" customHeight="true" outlineLevel="0" collapsed="false">
      <c r="A2634" s="3" t="s">
        <v>3357</v>
      </c>
      <c r="B2634" s="3" t="str">
        <f aca="false">IF(ISNUMBER(SEARCH("%", A2634)),RIGHT(A2634,3),A2634)</f>
        <v>38, 42, GOLDUCK</v>
      </c>
      <c r="C2634" s="1" t="str">
        <f aca="false" t="array" ref="C2634:C2634">IF(B2633="NEW ROUTE",textsplit(B2634,","),"")</f>
        <v/>
      </c>
      <c r="H2634" s="1" t="str">
        <f aca="false">IF(C2634&lt;&gt;"",DEC2HEX(C2634,2),"")</f>
        <v/>
      </c>
      <c r="I2634" s="1" t="str">
        <f aca="false">IF(D2634&lt;&gt;"",DEC2HEX(D2634,2),"")</f>
        <v/>
      </c>
      <c r="J2634" s="1" t="str">
        <f aca="false">IF(H2634&lt;&gt;"","0x"&amp;I2634&amp;H2634,"")</f>
        <v/>
      </c>
      <c r="L2634" s="1" t="s">
        <v>3357</v>
      </c>
      <c r="M2634" s="1" t="str">
        <f aca="false">IF(J2634&lt;&gt;"",J2634,L2634)</f>
        <v>38, 42, GOLDUCK</v>
      </c>
    </row>
    <row r="2635" customFormat="false" ht="12.75" hidden="false" customHeight="true" outlineLevel="0" collapsed="false">
      <c r="A2635" s="3" t="s">
        <v>3358</v>
      </c>
      <c r="B2635" s="3" t="str">
        <f aca="false">IF(ISNUMBER(SEARCH("%", A2635)),RIGHT(A2635,3),A2635)</f>
        <v>38, 42, KINGLER</v>
      </c>
      <c r="C2635" s="1" t="str">
        <f aca="false" t="array" ref="C2635:C2635">IF(B2634="NEW ROUTE",textsplit(B2635,","),"")</f>
        <v/>
      </c>
      <c r="H2635" s="1" t="str">
        <f aca="false">IF(C2635&lt;&gt;"",DEC2HEX(C2635,2),"")</f>
        <v/>
      </c>
      <c r="I2635" s="1" t="str">
        <f aca="false">IF(D2635&lt;&gt;"",DEC2HEX(D2635,2),"")</f>
        <v/>
      </c>
      <c r="J2635" s="1" t="str">
        <f aca="false">IF(H2635&lt;&gt;"","0x"&amp;I2635&amp;H2635,"")</f>
        <v/>
      </c>
      <c r="L2635" s="1" t="s">
        <v>3358</v>
      </c>
      <c r="M2635" s="1" t="str">
        <f aca="false">IF(J2635&lt;&gt;"",J2635,L2635)</f>
        <v>38, 42, KINGLER</v>
      </c>
    </row>
    <row r="2636" customFormat="false" ht="12.75" hidden="false" customHeight="true" outlineLevel="0" collapsed="false">
      <c r="A2636" s="3" t="s">
        <v>3359</v>
      </c>
      <c r="B2636" s="3" t="str">
        <f aca="false">IF(ISNUMBER(SEARCH("%", A2636)),RIGHT(A2636,3),A2636)</f>
        <v>40, 44, SLOWMATE</v>
      </c>
      <c r="C2636" s="1" t="str">
        <f aca="false" t="array" ref="C2636:C2636">IF(B2635="NEW ROUTE",textsplit(B2636,","),"")</f>
        <v/>
      </c>
      <c r="H2636" s="1" t="str">
        <f aca="false">IF(C2636&lt;&gt;"",DEC2HEX(C2636,2),"")</f>
        <v/>
      </c>
      <c r="I2636" s="1" t="str">
        <f aca="false">IF(D2636&lt;&gt;"",DEC2HEX(D2636,2),"")</f>
        <v/>
      </c>
      <c r="J2636" s="1" t="str">
        <f aca="false">IF(H2636&lt;&gt;"","0x"&amp;I2636&amp;H2636,"")</f>
        <v/>
      </c>
      <c r="L2636" s="1" t="s">
        <v>3359</v>
      </c>
      <c r="M2636" s="1" t="str">
        <f aca="false">IF(J2636&lt;&gt;"",J2636,L2636)</f>
        <v>40, 44, SLOWMATE</v>
      </c>
    </row>
    <row r="2637" customFormat="false" ht="12.75" hidden="false" customHeight="true" outlineLevel="0" collapsed="false">
      <c r="A2637" s="3" t="s">
        <v>2536</v>
      </c>
      <c r="B2637" s="3" t="str">
        <f aca="false">IF(ISNUMBER(SEARCH("%", A2637)),RIGHT(A2637,3),A2637)</f>
        <v>NEW ROUTE</v>
      </c>
      <c r="C2637" s="1" t="str">
        <f aca="false" t="array" ref="C2637:C2637">IF(B2636="NEW ROUTE",textsplit(B2637,","),"")</f>
        <v/>
      </c>
      <c r="H2637" s="1" t="str">
        <f aca="false">IF(C2637&lt;&gt;"",DEC2HEX(C2637,2),"")</f>
        <v/>
      </c>
      <c r="I2637" s="1" t="str">
        <f aca="false">IF(D2637&lt;&gt;"",DEC2HEX(D2637,2),"")</f>
        <v/>
      </c>
      <c r="J2637" s="1" t="str">
        <f aca="false">IF(H2637&lt;&gt;"","0x"&amp;I2637&amp;H2637,"")</f>
        <v/>
      </c>
      <c r="L2637" s="1" t="s">
        <v>2536</v>
      </c>
      <c r="M2637" s="1" t="str">
        <f aca="false">IF(J2637&lt;&gt;"",J2637,L2637)</f>
        <v>NEW ROUTE</v>
      </c>
    </row>
    <row r="2638" customFormat="false" ht="12.75" hidden="false" customHeight="true" outlineLevel="0" collapsed="false">
      <c r="A2638" s="3" t="s">
        <v>3608</v>
      </c>
      <c r="B2638" s="3" t="str">
        <f aca="false">IF(ISNUMBER(SEARCH("%", A2638)),RIGHT(A2638,3),A2638)</f>
        <v>3, 0, 0, &lt;null&gt;,</v>
      </c>
      <c r="C2638" s="1" t="e">
        <f aca="false" t="array" ref="C2638:C2638">IF(B2637="NEW ROUTE",textsplit(B2638,","),"")</f>
        <v>#NAME?</v>
      </c>
      <c r="H2638" s="1" t="e">
        <f aca="false">IF(C2638&lt;&gt;"",DEC2HEX(C2638,2),"")</f>
        <v>#NAME?</v>
      </c>
      <c r="I2638" s="1" t="str">
        <f aca="false">IF(D2638&lt;&gt;"",DEC2HEX(D2638,2),"")</f>
        <v/>
      </c>
      <c r="J2638" s="1" t="e">
        <f aca="false">IF(H2638&lt;&gt;"","0x"&amp;I2638&amp;H2638,"")</f>
        <v>#NAME?</v>
      </c>
      <c r="L2638" s="1" t="s">
        <v>3608</v>
      </c>
      <c r="M2638" s="1" t="e">
        <f aca="false">IF(J2638&lt;&gt;"",J2638,L2638)</f>
        <v>#NAME?</v>
      </c>
    </row>
    <row r="2639" customFormat="false" ht="12.75" hidden="false" customHeight="true" outlineLevel="0" collapsed="false">
      <c r="A2639" s="3" t="s">
        <v>3609</v>
      </c>
      <c r="B2639" s="3" t="str">
        <f aca="false">IF(ISNUMBER(SEARCH("%", A2639)),RIGHT(A2639,3),A2639)</f>
        <v>1, 38, 42, TENTACOOL</v>
      </c>
      <c r="C2639" s="1" t="str">
        <f aca="false" t="array" ref="C2639:C2639">IF(B2638="NEW ROUTE",textsplit(B2639,","),"")</f>
        <v/>
      </c>
      <c r="H2639" s="1" t="str">
        <f aca="false">IF(C2639&lt;&gt;"",DEC2HEX(C2639,2),"")</f>
        <v/>
      </c>
      <c r="I2639" s="1" t="str">
        <f aca="false">IF(D2639&lt;&gt;"",DEC2HEX(D2639,2),"")</f>
        <v/>
      </c>
      <c r="J2639" s="1" t="str">
        <f aca="false">IF(H2639&lt;&gt;"","0x"&amp;I2639&amp;H2639,"")</f>
        <v/>
      </c>
      <c r="L2639" s="1" t="s">
        <v>3609</v>
      </c>
      <c r="M2639" s="1" t="str">
        <f aca="false">IF(J2639&lt;&gt;"",J2639,L2639)</f>
        <v>1, 38, 42, TENTACOOL</v>
      </c>
    </row>
    <row r="2640" customFormat="false" ht="12.75" hidden="false" customHeight="true" outlineLevel="0" collapsed="false">
      <c r="A2640" s="3" t="s">
        <v>3428</v>
      </c>
      <c r="B2640" s="3" t="str">
        <f aca="false">IF(ISNUMBER(SEARCH("%", A2640)),RIGHT(A2640,3),A2640)</f>
        <v>40, 44, TENTACRUEL</v>
      </c>
      <c r="C2640" s="1" t="str">
        <f aca="false" t="array" ref="C2640:C2640">IF(B2639="NEW ROUTE",textsplit(B2640,","),"")</f>
        <v/>
      </c>
      <c r="H2640" s="1" t="str">
        <f aca="false">IF(C2640&lt;&gt;"",DEC2HEX(C2640,2),"")</f>
        <v/>
      </c>
      <c r="I2640" s="1" t="str">
        <f aca="false">IF(D2640&lt;&gt;"",DEC2HEX(D2640,2),"")</f>
        <v/>
      </c>
      <c r="J2640" s="1" t="str">
        <f aca="false">IF(H2640&lt;&gt;"","0x"&amp;I2640&amp;H2640,"")</f>
        <v/>
      </c>
      <c r="L2640" s="1" t="s">
        <v>3428</v>
      </c>
      <c r="M2640" s="1" t="str">
        <f aca="false">IF(J2640&lt;&gt;"",J2640,L2640)</f>
        <v>40, 44, TENTACRUEL</v>
      </c>
    </row>
    <row r="2641" customFormat="false" ht="12.75" hidden="false" customHeight="true" outlineLevel="0" collapsed="false">
      <c r="A2641" s="3" t="s">
        <v>3024</v>
      </c>
      <c r="B2641" s="3" t="str">
        <f aca="false">IF(ISNUMBER(SEARCH("%", A2641)),RIGHT(A2641,3),A2641)</f>
        <v>42, 46, LAPRAS</v>
      </c>
      <c r="C2641" s="1" t="str">
        <f aca="false" t="array" ref="C2641:C2641">IF(B2640="NEW ROUTE",textsplit(B2641,","),"")</f>
        <v/>
      </c>
      <c r="H2641" s="1" t="str">
        <f aca="false">IF(C2641&lt;&gt;"",DEC2HEX(C2641,2),"")</f>
        <v/>
      </c>
      <c r="I2641" s="1" t="str">
        <f aca="false">IF(D2641&lt;&gt;"",DEC2HEX(D2641,2),"")</f>
        <v/>
      </c>
      <c r="J2641" s="1" t="str">
        <f aca="false">IF(H2641&lt;&gt;"","0x"&amp;I2641&amp;H2641,"")</f>
        <v/>
      </c>
      <c r="L2641" s="1" t="s">
        <v>3024</v>
      </c>
      <c r="M2641" s="1" t="str">
        <f aca="false">IF(J2641&lt;&gt;"",J2641,L2641)</f>
        <v>42, 46, LAPRAS</v>
      </c>
    </row>
    <row r="2642" customFormat="false" ht="12.75" hidden="false" customHeight="true" outlineLevel="0" collapsed="false">
      <c r="A2642" s="3" t="s">
        <v>3429</v>
      </c>
      <c r="B2642" s="3" t="str">
        <f aca="false">IF(ISNUMBER(SEARCH("%", A2642)),RIGHT(A2642,3),A2642)</f>
        <v>42, 46, TENTACATE</v>
      </c>
      <c r="C2642" s="1" t="str">
        <f aca="false" t="array" ref="C2642:C2642">IF(B2641="NEW ROUTE",textsplit(B2642,","),"")</f>
        <v/>
      </c>
      <c r="H2642" s="1" t="str">
        <f aca="false">IF(C2642&lt;&gt;"",DEC2HEX(C2642,2),"")</f>
        <v/>
      </c>
      <c r="I2642" s="1" t="str">
        <f aca="false">IF(D2642&lt;&gt;"",DEC2HEX(D2642,2),"")</f>
        <v/>
      </c>
      <c r="J2642" s="1" t="str">
        <f aca="false">IF(H2642&lt;&gt;"","0x"&amp;I2642&amp;H2642,"")</f>
        <v/>
      </c>
      <c r="L2642" s="1" t="s">
        <v>3429</v>
      </c>
      <c r="M2642" s="1" t="str">
        <f aca="false">IF(J2642&lt;&gt;"",J2642,L2642)</f>
        <v>42, 46, TENTACATE</v>
      </c>
    </row>
    <row r="2643" customFormat="false" ht="12.75" hidden="false" customHeight="true" outlineLevel="0" collapsed="false">
      <c r="A2643" s="3" t="s">
        <v>3449</v>
      </c>
      <c r="B2643" s="3" t="str">
        <f aca="false">IF(ISNUMBER(SEARCH("%", A2643)),RIGHT(A2643,3),A2643)</f>
        <v>44, 48, LOCHLASS</v>
      </c>
      <c r="C2643" s="1" t="str">
        <f aca="false" t="array" ref="C2643:C2643">IF(B2642="NEW ROUTE",textsplit(B2643,","),"")</f>
        <v/>
      </c>
      <c r="H2643" s="1" t="str">
        <f aca="false">IF(C2643&lt;&gt;"",DEC2HEX(C2643,2),"")</f>
        <v/>
      </c>
      <c r="I2643" s="1" t="str">
        <f aca="false">IF(D2643&lt;&gt;"",DEC2HEX(D2643,2),"")</f>
        <v/>
      </c>
      <c r="J2643" s="1" t="str">
        <f aca="false">IF(H2643&lt;&gt;"","0x"&amp;I2643&amp;H2643,"")</f>
        <v/>
      </c>
      <c r="L2643" s="1" t="s">
        <v>3449</v>
      </c>
      <c r="M2643" s="1" t="str">
        <f aca="false">IF(J2643&lt;&gt;"",J2643,L2643)</f>
        <v>44, 48, LOCHLASS</v>
      </c>
    </row>
    <row r="2644" customFormat="false" ht="12.75" hidden="false" customHeight="true" outlineLevel="0" collapsed="false">
      <c r="A2644" s="3" t="s">
        <v>2845</v>
      </c>
      <c r="B2644" s="3" t="str">
        <f aca="false">IF(ISNUMBER(SEARCH("%", A2644)),RIGHT(A2644,3),A2644)</f>
        <v>10, old rod:</v>
      </c>
      <c r="C2644" s="1" t="str">
        <f aca="false" t="array" ref="C2644:C2644">IF(B2643="NEW ROUTE",textsplit(B2644,","),"")</f>
        <v/>
      </c>
      <c r="H2644" s="1" t="str">
        <f aca="false">IF(C2644&lt;&gt;"",DEC2HEX(C2644,2),"")</f>
        <v/>
      </c>
      <c r="I2644" s="1" t="str">
        <f aca="false">IF(D2644&lt;&gt;"",DEC2HEX(D2644,2),"")</f>
        <v/>
      </c>
      <c r="J2644" s="1" t="str">
        <f aca="false">IF(H2644&lt;&gt;"","0x"&amp;I2644&amp;H2644,"")</f>
        <v/>
      </c>
      <c r="L2644" s="1" t="s">
        <v>2845</v>
      </c>
      <c r="M2644" s="1" t="str">
        <f aca="false">IF(J2644&lt;&gt;"",J2644,L2644)</f>
        <v>10, old rod:</v>
      </c>
    </row>
    <row r="2645" customFormat="false" ht="12.75" hidden="false" customHeight="true" outlineLevel="0" collapsed="false">
      <c r="A2645" s="3" t="s">
        <v>1349</v>
      </c>
      <c r="B2645" s="3" t="str">
        <f aca="false">IF(ISNUMBER(SEARCH("%", A2645)),RIGHT(A2645,3),A2645)</f>
        <v>19, 26, MAGIKARP</v>
      </c>
      <c r="C2645" s="1" t="str">
        <f aca="false" t="array" ref="C2645:C2645">IF(B2644="NEW ROUTE",textsplit(B2645,","),"")</f>
        <v/>
      </c>
      <c r="H2645" s="1" t="str">
        <f aca="false">IF(C2645&lt;&gt;"",DEC2HEX(C2645,2),"")</f>
        <v/>
      </c>
      <c r="I2645" s="1" t="str">
        <f aca="false">IF(D2645&lt;&gt;"",DEC2HEX(D2645,2),"")</f>
        <v/>
      </c>
      <c r="J2645" s="1" t="str">
        <f aca="false">IF(H2645&lt;&gt;"","0x"&amp;I2645&amp;H2645,"")</f>
        <v/>
      </c>
      <c r="L2645" s="1" t="s">
        <v>1349</v>
      </c>
      <c r="M2645" s="1" t="str">
        <f aca="false">IF(J2645&lt;&gt;"",J2645,L2645)</f>
        <v>19, 26, MAGIKARP</v>
      </c>
    </row>
    <row r="2646" customFormat="false" ht="12.75" hidden="false" customHeight="true" outlineLevel="0" collapsed="false">
      <c r="A2646" s="3" t="s">
        <v>3352</v>
      </c>
      <c r="B2646" s="3" t="str">
        <f aca="false">IF(ISNUMBER(SEARCH("%", A2646)),RIGHT(A2646,3),A2646)</f>
        <v>19, 26, GYARADOS</v>
      </c>
      <c r="C2646" s="1" t="str">
        <f aca="false" t="array" ref="C2646:C2646">IF(B2645="NEW ROUTE",textsplit(B2646,","),"")</f>
        <v/>
      </c>
      <c r="H2646" s="1" t="str">
        <f aca="false">IF(C2646&lt;&gt;"",DEC2HEX(C2646,2),"")</f>
        <v/>
      </c>
      <c r="I2646" s="1" t="str">
        <f aca="false">IF(D2646&lt;&gt;"",DEC2HEX(D2646,2),"")</f>
        <v/>
      </c>
      <c r="J2646" s="1" t="str">
        <f aca="false">IF(H2646&lt;&gt;"","0x"&amp;I2646&amp;H2646,"")</f>
        <v/>
      </c>
      <c r="L2646" s="1" t="s">
        <v>3352</v>
      </c>
      <c r="M2646" s="1" t="str">
        <f aca="false">IF(J2646&lt;&gt;"",J2646,L2646)</f>
        <v>19, 26, GYARADOS</v>
      </c>
    </row>
    <row r="2647" customFormat="false" ht="12.75" hidden="false" customHeight="true" outlineLevel="0" collapsed="false">
      <c r="A2647" s="3" t="s">
        <v>2846</v>
      </c>
      <c r="B2647" s="3" t="str">
        <f aca="false">IF(ISNUMBER(SEARCH("%", A2647)),RIGHT(A2647,3),A2647)</f>
        <v>good rod:</v>
      </c>
      <c r="C2647" s="1" t="str">
        <f aca="false" t="array" ref="C2647:C2647">IF(B2646="NEW ROUTE",textsplit(B2647,","),"")</f>
        <v/>
      </c>
      <c r="H2647" s="1" t="str">
        <f aca="false">IF(C2647&lt;&gt;"",DEC2HEX(C2647,2),"")</f>
        <v/>
      </c>
      <c r="I2647" s="1" t="str">
        <f aca="false">IF(D2647&lt;&gt;"",DEC2HEX(D2647,2),"")</f>
        <v/>
      </c>
      <c r="J2647" s="1" t="str">
        <f aca="false">IF(H2647&lt;&gt;"","0x"&amp;I2647&amp;H2647,"")</f>
        <v/>
      </c>
      <c r="L2647" s="1" t="s">
        <v>2846</v>
      </c>
      <c r="M2647" s="1" t="str">
        <f aca="false">IF(J2647&lt;&gt;"",J2647,L2647)</f>
        <v>good rod:</v>
      </c>
    </row>
    <row r="2648" customFormat="false" ht="12.75" hidden="false" customHeight="true" outlineLevel="0" collapsed="false">
      <c r="A2648" s="3" t="s">
        <v>3430</v>
      </c>
      <c r="B2648" s="3" t="str">
        <f aca="false">IF(ISNUMBER(SEARCH("%", A2648)),RIGHT(A2648,3),A2648)</f>
        <v>29, 33, HORSEA</v>
      </c>
      <c r="C2648" s="1" t="str">
        <f aca="false" t="array" ref="C2648:C2648">IF(B2647="NEW ROUTE",textsplit(B2648,","),"")</f>
        <v/>
      </c>
      <c r="H2648" s="1" t="str">
        <f aca="false">IF(C2648&lt;&gt;"",DEC2HEX(C2648,2),"")</f>
        <v/>
      </c>
      <c r="I2648" s="1" t="str">
        <f aca="false">IF(D2648&lt;&gt;"",DEC2HEX(D2648,2),"")</f>
        <v/>
      </c>
      <c r="J2648" s="1" t="str">
        <f aca="false">IF(H2648&lt;&gt;"","0x"&amp;I2648&amp;H2648,"")</f>
        <v/>
      </c>
      <c r="L2648" s="1" t="s">
        <v>3430</v>
      </c>
      <c r="M2648" s="1" t="str">
        <f aca="false">IF(J2648&lt;&gt;"",J2648,L2648)</f>
        <v>29, 33, HORSEA</v>
      </c>
    </row>
    <row r="2649" customFormat="false" ht="12.75" hidden="false" customHeight="true" outlineLevel="0" collapsed="false">
      <c r="A2649" s="3" t="s">
        <v>3027</v>
      </c>
      <c r="B2649" s="3" t="str">
        <f aca="false">IF(ISNUMBER(SEARCH("%", A2649)),RIGHT(A2649,3),A2649)</f>
        <v>30, 35, KRABBY</v>
      </c>
      <c r="C2649" s="1" t="str">
        <f aca="false" t="array" ref="C2649:C2649">IF(B2648="NEW ROUTE",textsplit(B2649,","),"")</f>
        <v/>
      </c>
      <c r="H2649" s="1" t="str">
        <f aca="false">IF(C2649&lt;&gt;"",DEC2HEX(C2649,2),"")</f>
        <v/>
      </c>
      <c r="I2649" s="1" t="str">
        <f aca="false">IF(D2649&lt;&gt;"",DEC2HEX(D2649,2),"")</f>
        <v/>
      </c>
      <c r="J2649" s="1" t="str">
        <f aca="false">IF(H2649&lt;&gt;"","0x"&amp;I2649&amp;H2649,"")</f>
        <v/>
      </c>
      <c r="L2649" s="1" t="s">
        <v>3027</v>
      </c>
      <c r="M2649" s="1" t="str">
        <f aca="false">IF(J2649&lt;&gt;"",J2649,L2649)</f>
        <v>30, 35, KRABBY</v>
      </c>
    </row>
    <row r="2650" customFormat="false" ht="12.75" hidden="false" customHeight="true" outlineLevel="0" collapsed="false">
      <c r="A2650" s="3" t="s">
        <v>3451</v>
      </c>
      <c r="B2650" s="3" t="str">
        <f aca="false">IF(ISNUMBER(SEARCH("%", A2650)),RIGHT(A2650,3),A2650)</f>
        <v>30, 35, STARYU</v>
      </c>
      <c r="C2650" s="1" t="str">
        <f aca="false" t="array" ref="C2650:C2650">IF(B2649="NEW ROUTE",textsplit(B2650,","),"")</f>
        <v/>
      </c>
      <c r="H2650" s="1" t="str">
        <f aca="false">IF(C2650&lt;&gt;"",DEC2HEX(C2650,2),"")</f>
        <v/>
      </c>
      <c r="I2650" s="1" t="str">
        <f aca="false">IF(D2650&lt;&gt;"",DEC2HEX(D2650,2),"")</f>
        <v/>
      </c>
      <c r="J2650" s="1" t="str">
        <f aca="false">IF(H2650&lt;&gt;"","0x"&amp;I2650&amp;H2650,"")</f>
        <v/>
      </c>
      <c r="L2650" s="1" t="s">
        <v>3451</v>
      </c>
      <c r="M2650" s="1" t="str">
        <f aca="false">IF(J2650&lt;&gt;"",J2650,L2650)</f>
        <v>30, 35, STARYU</v>
      </c>
    </row>
    <row r="2651" customFormat="false" ht="12.75" hidden="false" customHeight="true" outlineLevel="0" collapsed="false">
      <c r="A2651" s="3" t="s">
        <v>2850</v>
      </c>
      <c r="B2651" s="3" t="str">
        <f aca="false">IF(ISNUMBER(SEARCH("%", A2651)),RIGHT(A2651,3),A2651)</f>
        <v>super rod:</v>
      </c>
      <c r="C2651" s="1" t="str">
        <f aca="false" t="array" ref="C2651:C2651">IF(B2650="NEW ROUTE",textsplit(B2651,","),"")</f>
        <v/>
      </c>
      <c r="H2651" s="1" t="str">
        <f aca="false">IF(C2651&lt;&gt;"",DEC2HEX(C2651,2),"")</f>
        <v/>
      </c>
      <c r="I2651" s="1" t="str">
        <f aca="false">IF(D2651&lt;&gt;"",DEC2HEX(D2651,2),"")</f>
        <v/>
      </c>
      <c r="J2651" s="1" t="str">
        <f aca="false">IF(H2651&lt;&gt;"","0x"&amp;I2651&amp;H2651,"")</f>
        <v/>
      </c>
      <c r="L2651" s="1" t="s">
        <v>2850</v>
      </c>
      <c r="M2651" s="1" t="str">
        <f aca="false">IF(J2651&lt;&gt;"",J2651,L2651)</f>
        <v>super rod:</v>
      </c>
    </row>
    <row r="2652" customFormat="false" ht="12.75" hidden="false" customHeight="true" outlineLevel="0" collapsed="false">
      <c r="A2652" s="3" t="s">
        <v>3432</v>
      </c>
      <c r="B2652" s="3" t="str">
        <f aca="false">IF(ISNUMBER(SEARCH("%", A2652)),RIGHT(A2652,3),A2652)</f>
        <v>36, 40, SEADRA</v>
      </c>
      <c r="C2652" s="1" t="str">
        <f aca="false" t="array" ref="C2652:C2652">IF(B2651="NEW ROUTE",textsplit(B2652,","),"")</f>
        <v/>
      </c>
      <c r="H2652" s="1" t="str">
        <f aca="false">IF(C2652&lt;&gt;"",DEC2HEX(C2652,2),"")</f>
        <v/>
      </c>
      <c r="I2652" s="1" t="str">
        <f aca="false">IF(D2652&lt;&gt;"",DEC2HEX(D2652,2),"")</f>
        <v/>
      </c>
      <c r="J2652" s="1" t="str">
        <f aca="false">IF(H2652&lt;&gt;"","0x"&amp;I2652&amp;H2652,"")</f>
        <v/>
      </c>
      <c r="L2652" s="1" t="s">
        <v>3432</v>
      </c>
      <c r="M2652" s="1" t="str">
        <f aca="false">IF(J2652&lt;&gt;"",J2652,L2652)</f>
        <v>36, 40, SEADRA</v>
      </c>
    </row>
    <row r="2653" customFormat="false" ht="12.75" hidden="false" customHeight="true" outlineLevel="0" collapsed="false">
      <c r="A2653" s="3" t="s">
        <v>3356</v>
      </c>
      <c r="B2653" s="3" t="str">
        <f aca="false">IF(ISNUMBER(SEARCH("%", A2653)),RIGHT(A2653,3),A2653)</f>
        <v>36, 40, GYARADOS</v>
      </c>
      <c r="C2653" s="1" t="str">
        <f aca="false" t="array" ref="C2653:C2653">IF(B2652="NEW ROUTE",textsplit(B2653,","),"")</f>
        <v/>
      </c>
      <c r="H2653" s="1" t="str">
        <f aca="false">IF(C2653&lt;&gt;"",DEC2HEX(C2653,2),"")</f>
        <v/>
      </c>
      <c r="I2653" s="1" t="str">
        <f aca="false">IF(D2653&lt;&gt;"",DEC2HEX(D2653,2),"")</f>
        <v/>
      </c>
      <c r="J2653" s="1" t="str">
        <f aca="false">IF(H2653&lt;&gt;"","0x"&amp;I2653&amp;H2653,"")</f>
        <v/>
      </c>
      <c r="L2653" s="1" t="s">
        <v>3356</v>
      </c>
      <c r="M2653" s="1" t="str">
        <f aca="false">IF(J2653&lt;&gt;"",J2653,L2653)</f>
        <v>36, 40, GYARADOS</v>
      </c>
    </row>
    <row r="2654" customFormat="false" ht="12.75" hidden="false" customHeight="true" outlineLevel="0" collapsed="false">
      <c r="A2654" s="3" t="s">
        <v>3452</v>
      </c>
      <c r="B2654" s="3" t="str">
        <f aca="false">IF(ISNUMBER(SEARCH("%", A2654)),RIGHT(A2654,3),A2654)</f>
        <v>38, 42, STARMIE</v>
      </c>
      <c r="C2654" s="1" t="str">
        <f aca="false" t="array" ref="C2654:C2654">IF(B2653="NEW ROUTE",textsplit(B2654,","),"")</f>
        <v/>
      </c>
      <c r="H2654" s="1" t="str">
        <f aca="false">IF(C2654&lt;&gt;"",DEC2HEX(C2654,2),"")</f>
        <v/>
      </c>
      <c r="I2654" s="1" t="str">
        <f aca="false">IF(D2654&lt;&gt;"",DEC2HEX(D2654,2),"")</f>
        <v/>
      </c>
      <c r="J2654" s="1" t="str">
        <f aca="false">IF(H2654&lt;&gt;"","0x"&amp;I2654&amp;H2654,"")</f>
        <v/>
      </c>
      <c r="L2654" s="1" t="s">
        <v>3452</v>
      </c>
      <c r="M2654" s="1" t="str">
        <f aca="false">IF(J2654&lt;&gt;"",J2654,L2654)</f>
        <v>38, 42, STARMIE</v>
      </c>
    </row>
    <row r="2655" customFormat="false" ht="12.75" hidden="false" customHeight="true" outlineLevel="0" collapsed="false">
      <c r="A2655" s="3" t="s">
        <v>3358</v>
      </c>
      <c r="B2655" s="3" t="str">
        <f aca="false">IF(ISNUMBER(SEARCH("%", A2655)),RIGHT(A2655,3),A2655)</f>
        <v>38, 42, KINGLER</v>
      </c>
      <c r="C2655" s="1" t="str">
        <f aca="false" t="array" ref="C2655:C2655">IF(B2654="NEW ROUTE",textsplit(B2655,","),"")</f>
        <v/>
      </c>
      <c r="H2655" s="1" t="str">
        <f aca="false">IF(C2655&lt;&gt;"",DEC2HEX(C2655,2),"")</f>
        <v/>
      </c>
      <c r="I2655" s="1" t="str">
        <f aca="false">IF(D2655&lt;&gt;"",DEC2HEX(D2655,2),"")</f>
        <v/>
      </c>
      <c r="J2655" s="1" t="str">
        <f aca="false">IF(H2655&lt;&gt;"","0x"&amp;I2655&amp;H2655,"")</f>
        <v/>
      </c>
      <c r="L2655" s="1" t="s">
        <v>3358</v>
      </c>
      <c r="M2655" s="1" t="str">
        <f aca="false">IF(J2655&lt;&gt;"",J2655,L2655)</f>
        <v>38, 42, KINGLER</v>
      </c>
    </row>
    <row r="2656" customFormat="false" ht="12.75" hidden="false" customHeight="true" outlineLevel="0" collapsed="false">
      <c r="A2656" s="3" t="s">
        <v>3610</v>
      </c>
      <c r="B2656" s="3" t="str">
        <f aca="false">IF(ISNUMBER(SEARCH("%", A2656)),RIGHT(A2656,3),A2656)</f>
        <v>40, 44, STARUS</v>
      </c>
      <c r="C2656" s="1" t="str">
        <f aca="false" t="array" ref="C2656:C2656">IF(B2655="NEW ROUTE",textsplit(B2656,","),"")</f>
        <v/>
      </c>
      <c r="H2656" s="1" t="str">
        <f aca="false">IF(C2656&lt;&gt;"",DEC2HEX(C2656,2),"")</f>
        <v/>
      </c>
      <c r="I2656" s="1" t="str">
        <f aca="false">IF(D2656&lt;&gt;"",DEC2HEX(D2656,2),"")</f>
        <v/>
      </c>
      <c r="J2656" s="1" t="str">
        <f aca="false">IF(H2656&lt;&gt;"","0x"&amp;I2656&amp;H2656,"")</f>
        <v/>
      </c>
      <c r="L2656" s="1" t="s">
        <v>3610</v>
      </c>
      <c r="M2656" s="1" t="str">
        <f aca="false">IF(J2656&lt;&gt;"",J2656,L2656)</f>
        <v>40, 44, STARUS</v>
      </c>
    </row>
    <row r="2657" customFormat="false" ht="12.75" hidden="false" customHeight="true" outlineLevel="0" collapsed="false">
      <c r="A2657" s="3" t="s">
        <v>2536</v>
      </c>
      <c r="B2657" s="3" t="str">
        <f aca="false">IF(ISNUMBER(SEARCH("%", A2657)),RIGHT(A2657,3),A2657)</f>
        <v>NEW ROUTE</v>
      </c>
      <c r="C2657" s="1" t="str">
        <f aca="false" t="array" ref="C2657:C2657">IF(B2656="NEW ROUTE",textsplit(B2657,","),"")</f>
        <v/>
      </c>
      <c r="H2657" s="1" t="str">
        <f aca="false">IF(C2657&lt;&gt;"",DEC2HEX(C2657,2),"")</f>
        <v/>
      </c>
      <c r="I2657" s="1" t="str">
        <f aca="false">IF(D2657&lt;&gt;"",DEC2HEX(D2657,2),"")</f>
        <v/>
      </c>
      <c r="J2657" s="1" t="str">
        <f aca="false">IF(H2657&lt;&gt;"","0x"&amp;I2657&amp;H2657,"")</f>
        <v/>
      </c>
      <c r="L2657" s="1" t="s">
        <v>2536</v>
      </c>
      <c r="M2657" s="1" t="str">
        <f aca="false">IF(J2657&lt;&gt;"",J2657,L2657)</f>
        <v>NEW ROUTE</v>
      </c>
    </row>
    <row r="2658" customFormat="false" ht="12.75" hidden="false" customHeight="true" outlineLevel="0" collapsed="false">
      <c r="A2658" s="3" t="s">
        <v>3611</v>
      </c>
      <c r="B2658" s="3" t="str">
        <f aca="false">IF(ISNUMBER(SEARCH("%", A2658)),RIGHT(A2658,3),A2658)</f>
        <v>3, 1, 0, &lt;null&gt;,</v>
      </c>
      <c r="C2658" s="1" t="e">
        <f aca="false" t="array" ref="C2658:C2658">IF(B2657="NEW ROUTE",textsplit(B2658,","),"")</f>
        <v>#NAME?</v>
      </c>
      <c r="H2658" s="1" t="e">
        <f aca="false">IF(C2658&lt;&gt;"",DEC2HEX(C2658,2),"")</f>
        <v>#NAME?</v>
      </c>
      <c r="I2658" s="1" t="str">
        <f aca="false">IF(D2658&lt;&gt;"",DEC2HEX(D2658,2),"")</f>
        <v/>
      </c>
      <c r="J2658" s="1" t="e">
        <f aca="false">IF(H2658&lt;&gt;"","0x"&amp;I2658&amp;H2658,"")</f>
        <v>#NAME?</v>
      </c>
      <c r="L2658" s="1" t="s">
        <v>3611</v>
      </c>
      <c r="M2658" s="1" t="e">
        <f aca="false">IF(J2658&lt;&gt;"",J2658,L2658)</f>
        <v>#NAME?</v>
      </c>
    </row>
    <row r="2659" customFormat="false" ht="12.75" hidden="false" customHeight="true" outlineLevel="0" collapsed="false">
      <c r="A2659" s="3" t="s">
        <v>3612</v>
      </c>
      <c r="B2659" s="3" t="str">
        <f aca="false">IF(ISNUMBER(SEARCH("%", A2659)),RIGHT(A2659,3),A2659)</f>
        <v>1, 38, 42, PSYDUCK</v>
      </c>
      <c r="C2659" s="1" t="str">
        <f aca="false" t="array" ref="C2659:C2659">IF(B2658="NEW ROUTE",textsplit(B2659,","),"")</f>
        <v/>
      </c>
      <c r="H2659" s="1" t="str">
        <f aca="false">IF(C2659&lt;&gt;"",DEC2HEX(C2659,2),"")</f>
        <v/>
      </c>
      <c r="I2659" s="1" t="str">
        <f aca="false">IF(D2659&lt;&gt;"",DEC2HEX(D2659,2),"")</f>
        <v/>
      </c>
      <c r="J2659" s="1" t="str">
        <f aca="false">IF(H2659&lt;&gt;"","0x"&amp;I2659&amp;H2659,"")</f>
        <v/>
      </c>
      <c r="L2659" s="1" t="s">
        <v>3612</v>
      </c>
      <c r="M2659" s="1" t="str">
        <f aca="false">IF(J2659&lt;&gt;"",J2659,L2659)</f>
        <v>1, 38, 42, PSYDUCK</v>
      </c>
    </row>
    <row r="2660" customFormat="false" ht="12.75" hidden="false" customHeight="true" outlineLevel="0" collapsed="false">
      <c r="A2660" s="3" t="s">
        <v>3374</v>
      </c>
      <c r="B2660" s="3" t="str">
        <f aca="false">IF(ISNUMBER(SEARCH("%", A2660)),RIGHT(A2660,3),A2660)</f>
        <v>40, 44, SLOWPOKE</v>
      </c>
      <c r="C2660" s="1" t="str">
        <f aca="false" t="array" ref="C2660:C2660">IF(B2659="NEW ROUTE",textsplit(B2660,","),"")</f>
        <v/>
      </c>
      <c r="H2660" s="1" t="str">
        <f aca="false">IF(C2660&lt;&gt;"",DEC2HEX(C2660,2),"")</f>
        <v/>
      </c>
      <c r="I2660" s="1" t="str">
        <f aca="false">IF(D2660&lt;&gt;"",DEC2HEX(D2660,2),"")</f>
        <v/>
      </c>
      <c r="J2660" s="1" t="str">
        <f aca="false">IF(H2660&lt;&gt;"","0x"&amp;I2660&amp;H2660,"")</f>
        <v/>
      </c>
      <c r="L2660" s="1" t="s">
        <v>3374</v>
      </c>
      <c r="M2660" s="1" t="str">
        <f aca="false">IF(J2660&lt;&gt;"",J2660,L2660)</f>
        <v>40, 44, SLOWPOKE</v>
      </c>
    </row>
    <row r="2661" customFormat="false" ht="12.75" hidden="false" customHeight="true" outlineLevel="0" collapsed="false">
      <c r="A2661" s="3" t="s">
        <v>2923</v>
      </c>
      <c r="B2661" s="3" t="str">
        <f aca="false">IF(ISNUMBER(SEARCH("%", A2661)),RIGHT(A2661,3),A2661)</f>
        <v>42, 46, GOLDUCK</v>
      </c>
      <c r="C2661" s="1" t="str">
        <f aca="false" t="array" ref="C2661:C2661">IF(B2660="NEW ROUTE",textsplit(B2661,","),"")</f>
        <v/>
      </c>
      <c r="H2661" s="1" t="str">
        <f aca="false">IF(C2661&lt;&gt;"",DEC2HEX(C2661,2),"")</f>
        <v/>
      </c>
      <c r="I2661" s="1" t="str">
        <f aca="false">IF(D2661&lt;&gt;"",DEC2HEX(D2661,2),"")</f>
        <v/>
      </c>
      <c r="J2661" s="1" t="str">
        <f aca="false">IF(H2661&lt;&gt;"","0x"&amp;I2661&amp;H2661,"")</f>
        <v/>
      </c>
      <c r="L2661" s="1" t="s">
        <v>2923</v>
      </c>
      <c r="M2661" s="1" t="str">
        <f aca="false">IF(J2661&lt;&gt;"",J2661,L2661)</f>
        <v>42, 46, GOLDUCK</v>
      </c>
    </row>
    <row r="2662" customFormat="false" ht="12.75" hidden="false" customHeight="true" outlineLevel="0" collapsed="false">
      <c r="A2662" s="3" t="s">
        <v>2922</v>
      </c>
      <c r="B2662" s="3" t="str">
        <f aca="false">IF(ISNUMBER(SEARCH("%", A2662)),RIGHT(A2662,3),A2662)</f>
        <v>42, 46, SLOWBRO</v>
      </c>
      <c r="C2662" s="1" t="str">
        <f aca="false" t="array" ref="C2662:C2662">IF(B2661="NEW ROUTE",textsplit(B2662,","),"")</f>
        <v/>
      </c>
      <c r="H2662" s="1" t="str">
        <f aca="false">IF(C2662&lt;&gt;"",DEC2HEX(C2662,2),"")</f>
        <v/>
      </c>
      <c r="I2662" s="1" t="str">
        <f aca="false">IF(D2662&lt;&gt;"",DEC2HEX(D2662,2),"")</f>
        <v/>
      </c>
      <c r="J2662" s="1" t="str">
        <f aca="false">IF(H2662&lt;&gt;"","0x"&amp;I2662&amp;H2662,"")</f>
        <v/>
      </c>
      <c r="L2662" s="1" t="s">
        <v>2922</v>
      </c>
      <c r="M2662" s="1" t="str">
        <f aca="false">IF(J2662&lt;&gt;"",J2662,L2662)</f>
        <v>42, 46, SLOWBRO</v>
      </c>
    </row>
    <row r="2663" customFormat="false" ht="12.75" hidden="false" customHeight="true" outlineLevel="0" collapsed="false">
      <c r="A2663" s="3" t="s">
        <v>3613</v>
      </c>
      <c r="B2663" s="3" t="str">
        <f aca="false">IF(ISNUMBER(SEARCH("%", A2663)),RIGHT(A2663,3),A2663)</f>
        <v>44, 48, GILDUCK</v>
      </c>
      <c r="C2663" s="1" t="str">
        <f aca="false" t="array" ref="C2663:C2663">IF(B2662="NEW ROUTE",textsplit(B2663,","),"")</f>
        <v/>
      </c>
      <c r="H2663" s="1" t="str">
        <f aca="false">IF(C2663&lt;&gt;"",DEC2HEX(C2663,2),"")</f>
        <v/>
      </c>
      <c r="I2663" s="1" t="str">
        <f aca="false">IF(D2663&lt;&gt;"",DEC2HEX(D2663,2),"")</f>
        <v/>
      </c>
      <c r="J2663" s="1" t="str">
        <f aca="false">IF(H2663&lt;&gt;"","0x"&amp;I2663&amp;H2663,"")</f>
        <v/>
      </c>
      <c r="L2663" s="1" t="s">
        <v>3613</v>
      </c>
      <c r="M2663" s="1" t="str">
        <f aca="false">IF(J2663&lt;&gt;"",J2663,L2663)</f>
        <v>44, 48, GILDUCK</v>
      </c>
    </row>
    <row r="2664" customFormat="false" ht="12.75" hidden="false" customHeight="true" outlineLevel="0" collapsed="false">
      <c r="A2664" s="3" t="s">
        <v>2845</v>
      </c>
      <c r="B2664" s="3" t="str">
        <f aca="false">IF(ISNUMBER(SEARCH("%", A2664)),RIGHT(A2664,3),A2664)</f>
        <v>10, old rod:</v>
      </c>
      <c r="C2664" s="1" t="str">
        <f aca="false" t="array" ref="C2664:C2664">IF(B2663="NEW ROUTE",textsplit(B2664,","),"")</f>
        <v/>
      </c>
      <c r="H2664" s="1" t="str">
        <f aca="false">IF(C2664&lt;&gt;"",DEC2HEX(C2664,2),"")</f>
        <v/>
      </c>
      <c r="I2664" s="1" t="str">
        <f aca="false">IF(D2664&lt;&gt;"",DEC2HEX(D2664,2),"")</f>
        <v/>
      </c>
      <c r="J2664" s="1" t="str">
        <f aca="false">IF(H2664&lt;&gt;"","0x"&amp;I2664&amp;H2664,"")</f>
        <v/>
      </c>
      <c r="L2664" s="1" t="s">
        <v>2845</v>
      </c>
      <c r="M2664" s="1" t="str">
        <f aca="false">IF(J2664&lt;&gt;"",J2664,L2664)</f>
        <v>10, old rod:</v>
      </c>
    </row>
    <row r="2665" customFormat="false" ht="12.75" hidden="false" customHeight="true" outlineLevel="0" collapsed="false">
      <c r="A2665" s="3" t="s">
        <v>1349</v>
      </c>
      <c r="B2665" s="3" t="str">
        <f aca="false">IF(ISNUMBER(SEARCH("%", A2665)),RIGHT(A2665,3),A2665)</f>
        <v>19, 26, MAGIKARP</v>
      </c>
      <c r="C2665" s="1" t="str">
        <f aca="false" t="array" ref="C2665:C2665">IF(B2664="NEW ROUTE",textsplit(B2665,","),"")</f>
        <v/>
      </c>
      <c r="H2665" s="1" t="str">
        <f aca="false">IF(C2665&lt;&gt;"",DEC2HEX(C2665,2),"")</f>
        <v/>
      </c>
      <c r="I2665" s="1" t="str">
        <f aca="false">IF(D2665&lt;&gt;"",DEC2HEX(D2665,2),"")</f>
        <v/>
      </c>
      <c r="J2665" s="1" t="str">
        <f aca="false">IF(H2665&lt;&gt;"","0x"&amp;I2665&amp;H2665,"")</f>
        <v/>
      </c>
      <c r="L2665" s="1" t="s">
        <v>1349</v>
      </c>
      <c r="M2665" s="1" t="str">
        <f aca="false">IF(J2665&lt;&gt;"",J2665,L2665)</f>
        <v>19, 26, MAGIKARP</v>
      </c>
    </row>
    <row r="2666" customFormat="false" ht="12.75" hidden="false" customHeight="true" outlineLevel="0" collapsed="false">
      <c r="A2666" s="3" t="s">
        <v>2926</v>
      </c>
      <c r="B2666" s="3" t="str">
        <f aca="false">IF(ISNUMBER(SEARCH("%", A2666)),RIGHT(A2666,3),A2666)</f>
        <v>19, 26, POLIWAG</v>
      </c>
      <c r="C2666" s="1" t="str">
        <f aca="false" t="array" ref="C2666:C2666">IF(B2665="NEW ROUTE",textsplit(B2666,","),"")</f>
        <v/>
      </c>
      <c r="H2666" s="1" t="str">
        <f aca="false">IF(C2666&lt;&gt;"",DEC2HEX(C2666,2),"")</f>
        <v/>
      </c>
      <c r="I2666" s="1" t="str">
        <f aca="false">IF(D2666&lt;&gt;"",DEC2HEX(D2666,2),"")</f>
        <v/>
      </c>
      <c r="J2666" s="1" t="str">
        <f aca="false">IF(H2666&lt;&gt;"","0x"&amp;I2666&amp;H2666,"")</f>
        <v/>
      </c>
      <c r="L2666" s="1" t="s">
        <v>2926</v>
      </c>
      <c r="M2666" s="1" t="str">
        <f aca="false">IF(J2666&lt;&gt;"",J2666,L2666)</f>
        <v>19, 26, POLIWAG</v>
      </c>
    </row>
    <row r="2667" customFormat="false" ht="12.75" hidden="false" customHeight="true" outlineLevel="0" collapsed="false">
      <c r="A2667" s="3" t="s">
        <v>2846</v>
      </c>
      <c r="B2667" s="3" t="str">
        <f aca="false">IF(ISNUMBER(SEARCH("%", A2667)),RIGHT(A2667,3),A2667)</f>
        <v>good rod:</v>
      </c>
      <c r="C2667" s="1" t="str">
        <f aca="false" t="array" ref="C2667:C2667">IF(B2666="NEW ROUTE",textsplit(B2667,","),"")</f>
        <v/>
      </c>
      <c r="H2667" s="1" t="str">
        <f aca="false">IF(C2667&lt;&gt;"",DEC2HEX(C2667,2),"")</f>
        <v/>
      </c>
      <c r="I2667" s="1" t="str">
        <f aca="false">IF(D2667&lt;&gt;"",DEC2HEX(D2667,2),"")</f>
        <v/>
      </c>
      <c r="J2667" s="1" t="str">
        <f aca="false">IF(H2667&lt;&gt;"","0x"&amp;I2667&amp;H2667,"")</f>
        <v/>
      </c>
      <c r="L2667" s="1" t="s">
        <v>2846</v>
      </c>
      <c r="M2667" s="1" t="str">
        <f aca="false">IF(J2667&lt;&gt;"",J2667,L2667)</f>
        <v>good rod:</v>
      </c>
    </row>
    <row r="2668" customFormat="false" ht="12.75" hidden="false" customHeight="true" outlineLevel="0" collapsed="false">
      <c r="A2668" s="3" t="s">
        <v>3559</v>
      </c>
      <c r="B2668" s="3" t="str">
        <f aca="false">IF(ISNUMBER(SEARCH("%", A2668)),RIGHT(A2668,3),A2668)</f>
        <v>29, 33, MAGIKARP</v>
      </c>
      <c r="C2668" s="1" t="str">
        <f aca="false" t="array" ref="C2668:C2668">IF(B2667="NEW ROUTE",textsplit(B2668,","),"")</f>
        <v/>
      </c>
      <c r="H2668" s="1" t="str">
        <f aca="false">IF(C2668&lt;&gt;"",DEC2HEX(C2668,2),"")</f>
        <v/>
      </c>
      <c r="I2668" s="1" t="str">
        <f aca="false">IF(D2668&lt;&gt;"",DEC2HEX(D2668,2),"")</f>
        <v/>
      </c>
      <c r="J2668" s="1" t="str">
        <f aca="false">IF(H2668&lt;&gt;"","0x"&amp;I2668&amp;H2668,"")</f>
        <v/>
      </c>
      <c r="L2668" s="1" t="s">
        <v>3559</v>
      </c>
      <c r="M2668" s="1" t="str">
        <f aca="false">IF(J2668&lt;&gt;"",J2668,L2668)</f>
        <v>29, 33, MAGIKARP</v>
      </c>
    </row>
    <row r="2669" customFormat="false" ht="12.75" hidden="false" customHeight="true" outlineLevel="0" collapsed="false">
      <c r="A2669" s="3" t="s">
        <v>3560</v>
      </c>
      <c r="B2669" s="3" t="str">
        <f aca="false">IF(ISNUMBER(SEARCH("%", A2669)),RIGHT(A2669,3),A2669)</f>
        <v>30, 35, GYARADOS</v>
      </c>
      <c r="C2669" s="1" t="str">
        <f aca="false" t="array" ref="C2669:C2669">IF(B2668="NEW ROUTE",textsplit(B2669,","),"")</f>
        <v/>
      </c>
      <c r="H2669" s="1" t="str">
        <f aca="false">IF(C2669&lt;&gt;"",DEC2HEX(C2669,2),"")</f>
        <v/>
      </c>
      <c r="I2669" s="1" t="str">
        <f aca="false">IF(D2669&lt;&gt;"",DEC2HEX(D2669,2),"")</f>
        <v/>
      </c>
      <c r="J2669" s="1" t="str">
        <f aca="false">IF(H2669&lt;&gt;"","0x"&amp;I2669&amp;H2669,"")</f>
        <v/>
      </c>
      <c r="L2669" s="1" t="s">
        <v>3560</v>
      </c>
      <c r="M2669" s="1" t="str">
        <f aca="false">IF(J2669&lt;&gt;"",J2669,L2669)</f>
        <v>30, 35, GYARADOS</v>
      </c>
    </row>
    <row r="2670" customFormat="false" ht="12.75" hidden="false" customHeight="true" outlineLevel="0" collapsed="false">
      <c r="A2670" s="3" t="s">
        <v>3561</v>
      </c>
      <c r="B2670" s="3" t="str">
        <f aca="false">IF(ISNUMBER(SEARCH("%", A2670)),RIGHT(A2670,3),A2670)</f>
        <v>30, 35, POLIWHIRL</v>
      </c>
      <c r="C2670" s="1" t="str">
        <f aca="false" t="array" ref="C2670:C2670">IF(B2669="NEW ROUTE",textsplit(B2670,","),"")</f>
        <v/>
      </c>
      <c r="H2670" s="1" t="str">
        <f aca="false">IF(C2670&lt;&gt;"",DEC2HEX(C2670,2),"")</f>
        <v/>
      </c>
      <c r="I2670" s="1" t="str">
        <f aca="false">IF(D2670&lt;&gt;"",DEC2HEX(D2670,2),"")</f>
        <v/>
      </c>
      <c r="J2670" s="1" t="str">
        <f aca="false">IF(H2670&lt;&gt;"","0x"&amp;I2670&amp;H2670,"")</f>
        <v/>
      </c>
      <c r="L2670" s="1" t="s">
        <v>3561</v>
      </c>
      <c r="M2670" s="1" t="str">
        <f aca="false">IF(J2670&lt;&gt;"",J2670,L2670)</f>
        <v>30, 35, POLIWHIRL</v>
      </c>
    </row>
    <row r="2671" customFormat="false" ht="12.75" hidden="false" customHeight="true" outlineLevel="0" collapsed="false">
      <c r="A2671" s="3" t="s">
        <v>2850</v>
      </c>
      <c r="B2671" s="3" t="str">
        <f aca="false">IF(ISNUMBER(SEARCH("%", A2671)),RIGHT(A2671,3),A2671)</f>
        <v>super rod:</v>
      </c>
      <c r="C2671" s="1" t="str">
        <f aca="false" t="array" ref="C2671:C2671">IF(B2670="NEW ROUTE",textsplit(B2671,","),"")</f>
        <v/>
      </c>
      <c r="H2671" s="1" t="str">
        <f aca="false">IF(C2671&lt;&gt;"",DEC2HEX(C2671,2),"")</f>
        <v/>
      </c>
      <c r="I2671" s="1" t="str">
        <f aca="false">IF(D2671&lt;&gt;"",DEC2HEX(D2671,2),"")</f>
        <v/>
      </c>
      <c r="J2671" s="1" t="str">
        <f aca="false">IF(H2671&lt;&gt;"","0x"&amp;I2671&amp;H2671,"")</f>
        <v/>
      </c>
      <c r="L2671" s="1" t="s">
        <v>2850</v>
      </c>
      <c r="M2671" s="1" t="str">
        <f aca="false">IF(J2671&lt;&gt;"",J2671,L2671)</f>
        <v>super rod:</v>
      </c>
    </row>
    <row r="2672" customFormat="false" ht="12.75" hidden="false" customHeight="true" outlineLevel="0" collapsed="false">
      <c r="A2672" s="3" t="s">
        <v>3562</v>
      </c>
      <c r="B2672" s="3" t="str">
        <f aca="false">IF(ISNUMBER(SEARCH("%", A2672)),RIGHT(A2672,3),A2672)</f>
        <v>36, 40, MAGIKARP</v>
      </c>
      <c r="C2672" s="1" t="str">
        <f aca="false" t="array" ref="C2672:C2672">IF(B2671="NEW ROUTE",textsplit(B2672,","),"")</f>
        <v/>
      </c>
      <c r="H2672" s="1" t="str">
        <f aca="false">IF(C2672&lt;&gt;"",DEC2HEX(C2672,2),"")</f>
        <v/>
      </c>
      <c r="I2672" s="1" t="str">
        <f aca="false">IF(D2672&lt;&gt;"",DEC2HEX(D2672,2),"")</f>
        <v/>
      </c>
      <c r="J2672" s="1" t="str">
        <f aca="false">IF(H2672&lt;&gt;"","0x"&amp;I2672&amp;H2672,"")</f>
        <v/>
      </c>
      <c r="L2672" s="1" t="s">
        <v>3562</v>
      </c>
      <c r="M2672" s="1" t="str">
        <f aca="false">IF(J2672&lt;&gt;"",J2672,L2672)</f>
        <v>36, 40, MAGIKARP</v>
      </c>
    </row>
    <row r="2673" customFormat="false" ht="12.75" hidden="false" customHeight="true" outlineLevel="0" collapsed="false">
      <c r="A2673" s="3" t="s">
        <v>3356</v>
      </c>
      <c r="B2673" s="3" t="str">
        <f aca="false">IF(ISNUMBER(SEARCH("%", A2673)),RIGHT(A2673,3),A2673)</f>
        <v>36, 40, GYARADOS</v>
      </c>
      <c r="C2673" s="1" t="str">
        <f aca="false" t="array" ref="C2673:C2673">IF(B2672="NEW ROUTE",textsplit(B2673,","),"")</f>
        <v/>
      </c>
      <c r="H2673" s="1" t="str">
        <f aca="false">IF(C2673&lt;&gt;"",DEC2HEX(C2673,2),"")</f>
        <v/>
      </c>
      <c r="I2673" s="1" t="str">
        <f aca="false">IF(D2673&lt;&gt;"",DEC2HEX(D2673,2),"")</f>
        <v/>
      </c>
      <c r="J2673" s="1" t="str">
        <f aca="false">IF(H2673&lt;&gt;"","0x"&amp;I2673&amp;H2673,"")</f>
        <v/>
      </c>
      <c r="L2673" s="1" t="s">
        <v>3356</v>
      </c>
      <c r="M2673" s="1" t="str">
        <f aca="false">IF(J2673&lt;&gt;"",J2673,L2673)</f>
        <v>36, 40, GYARADOS</v>
      </c>
    </row>
    <row r="2674" customFormat="false" ht="12.75" hidden="false" customHeight="true" outlineLevel="0" collapsed="false">
      <c r="A2674" s="3" t="s">
        <v>3563</v>
      </c>
      <c r="B2674" s="3" t="str">
        <f aca="false">IF(ISNUMBER(SEARCH("%", A2674)),RIGHT(A2674,3),A2674)</f>
        <v>38, 42, POLIWHIRL</v>
      </c>
      <c r="C2674" s="1" t="str">
        <f aca="false" t="array" ref="C2674:C2674">IF(B2673="NEW ROUTE",textsplit(B2674,","),"")</f>
        <v/>
      </c>
      <c r="H2674" s="1" t="str">
        <f aca="false">IF(C2674&lt;&gt;"",DEC2HEX(C2674,2),"")</f>
        <v/>
      </c>
      <c r="I2674" s="1" t="str">
        <f aca="false">IF(D2674&lt;&gt;"",DEC2HEX(D2674,2),"")</f>
        <v/>
      </c>
      <c r="J2674" s="1" t="str">
        <f aca="false">IF(H2674&lt;&gt;"","0x"&amp;I2674&amp;H2674,"")</f>
        <v/>
      </c>
      <c r="L2674" s="1" t="s">
        <v>3563</v>
      </c>
      <c r="M2674" s="1" t="str">
        <f aca="false">IF(J2674&lt;&gt;"",J2674,L2674)</f>
        <v>38, 42, POLIWHIRL</v>
      </c>
    </row>
    <row r="2675" customFormat="false" ht="12.75" hidden="false" customHeight="true" outlineLevel="0" collapsed="false">
      <c r="A2675" s="3" t="s">
        <v>3378</v>
      </c>
      <c r="B2675" s="3" t="str">
        <f aca="false">IF(ISNUMBER(SEARCH("%", A2675)),RIGHT(A2675,3),A2675)</f>
        <v>38, 42, POLIWRATH</v>
      </c>
      <c r="C2675" s="1" t="str">
        <f aca="false" t="array" ref="C2675:C2675">IF(B2674="NEW ROUTE",textsplit(B2675,","),"")</f>
        <v/>
      </c>
      <c r="H2675" s="1" t="str">
        <f aca="false">IF(C2675&lt;&gt;"",DEC2HEX(C2675,2),"")</f>
        <v/>
      </c>
      <c r="I2675" s="1" t="str">
        <f aca="false">IF(D2675&lt;&gt;"",DEC2HEX(D2675,2),"")</f>
        <v/>
      </c>
      <c r="J2675" s="1" t="str">
        <f aca="false">IF(H2675&lt;&gt;"","0x"&amp;I2675&amp;H2675,"")</f>
        <v/>
      </c>
      <c r="L2675" s="1" t="s">
        <v>3378</v>
      </c>
      <c r="M2675" s="1" t="str">
        <f aca="false">IF(J2675&lt;&gt;"",J2675,L2675)</f>
        <v>38, 42, POLIWRATH</v>
      </c>
    </row>
    <row r="2676" customFormat="false" ht="12.75" hidden="false" customHeight="true" outlineLevel="0" collapsed="false">
      <c r="A2676" s="3" t="s">
        <v>3379</v>
      </c>
      <c r="B2676" s="3" t="str">
        <f aca="false">IF(ISNUMBER(SEARCH("%", A2676)),RIGHT(A2676,3),A2676)</f>
        <v>40, 44, POLITOES</v>
      </c>
      <c r="C2676" s="1" t="str">
        <f aca="false" t="array" ref="C2676:C2676">IF(B2675="NEW ROUTE",textsplit(B2676,","),"")</f>
        <v/>
      </c>
      <c r="H2676" s="1" t="str">
        <f aca="false">IF(C2676&lt;&gt;"",DEC2HEX(C2676,2),"")</f>
        <v/>
      </c>
      <c r="I2676" s="1" t="str">
        <f aca="false">IF(D2676&lt;&gt;"",DEC2HEX(D2676,2),"")</f>
        <v/>
      </c>
      <c r="J2676" s="1" t="str">
        <f aca="false">IF(H2676&lt;&gt;"","0x"&amp;I2676&amp;H2676,"")</f>
        <v/>
      </c>
      <c r="L2676" s="1" t="s">
        <v>3379</v>
      </c>
      <c r="M2676" s="1" t="str">
        <f aca="false">IF(J2676&lt;&gt;"",J2676,L2676)</f>
        <v>40, 44, POLITOES</v>
      </c>
    </row>
    <row r="2677" customFormat="false" ht="12.75" hidden="false" customHeight="true" outlineLevel="0" collapsed="false">
      <c r="A2677" s="3" t="s">
        <v>2536</v>
      </c>
      <c r="B2677" s="3" t="str">
        <f aca="false">IF(ISNUMBER(SEARCH("%", A2677)),RIGHT(A2677,3),A2677)</f>
        <v>NEW ROUTE</v>
      </c>
      <c r="C2677" s="1" t="str">
        <f aca="false" t="array" ref="C2677:C2677">IF(B2676="NEW ROUTE",textsplit(B2677,","),"")</f>
        <v/>
      </c>
      <c r="H2677" s="1" t="str">
        <f aca="false">IF(C2677&lt;&gt;"",DEC2HEX(C2677,2),"")</f>
        <v/>
      </c>
      <c r="I2677" s="1" t="str">
        <f aca="false">IF(D2677&lt;&gt;"",DEC2HEX(D2677,2),"")</f>
        <v/>
      </c>
      <c r="J2677" s="1" t="str">
        <f aca="false">IF(H2677&lt;&gt;"","0x"&amp;I2677&amp;H2677,"")</f>
        <v/>
      </c>
      <c r="L2677" s="1" t="s">
        <v>2536</v>
      </c>
      <c r="M2677" s="1" t="str">
        <f aca="false">IF(J2677&lt;&gt;"",J2677,L2677)</f>
        <v>NEW ROUTE</v>
      </c>
    </row>
    <row r="2678" customFormat="false" ht="12.75" hidden="false" customHeight="true" outlineLevel="0" collapsed="false">
      <c r="A2678" s="3" t="s">
        <v>3614</v>
      </c>
      <c r="B2678" s="3" t="str">
        <f aca="false">IF(ISNUMBER(SEARCH("%", A2678)),RIGHT(A2678,3),A2678)</f>
        <v>3, 3, 0, &lt;null&gt;,</v>
      </c>
      <c r="C2678" s="1" t="e">
        <f aca="false" t="array" ref="C2678:C2678">IF(B2677="NEW ROUTE",textsplit(B2678,","),"")</f>
        <v>#NAME?</v>
      </c>
      <c r="H2678" s="1" t="e">
        <f aca="false">IF(C2678&lt;&gt;"",DEC2HEX(C2678,2),"")</f>
        <v>#NAME?</v>
      </c>
      <c r="I2678" s="1" t="str">
        <f aca="false">IF(D2678&lt;&gt;"",DEC2HEX(D2678,2),"")</f>
        <v/>
      </c>
      <c r="J2678" s="1" t="e">
        <f aca="false">IF(H2678&lt;&gt;"","0x"&amp;I2678&amp;H2678,"")</f>
        <v>#NAME?</v>
      </c>
      <c r="L2678" s="1" t="s">
        <v>3614</v>
      </c>
      <c r="M2678" s="1" t="e">
        <f aca="false">IF(J2678&lt;&gt;"",J2678,L2678)</f>
        <v>#NAME?</v>
      </c>
    </row>
    <row r="2679" customFormat="false" ht="12.75" hidden="false" customHeight="true" outlineLevel="0" collapsed="false">
      <c r="A2679" s="3" t="s">
        <v>3609</v>
      </c>
      <c r="B2679" s="3" t="str">
        <f aca="false">IF(ISNUMBER(SEARCH("%", A2679)),RIGHT(A2679,3),A2679)</f>
        <v>1, 38, 42, TENTACOOL</v>
      </c>
      <c r="C2679" s="1" t="str">
        <f aca="false" t="array" ref="C2679:C2679">IF(B2678="NEW ROUTE",textsplit(B2679,","),"")</f>
        <v/>
      </c>
      <c r="H2679" s="1" t="str">
        <f aca="false">IF(C2679&lt;&gt;"",DEC2HEX(C2679,2),"")</f>
        <v/>
      </c>
      <c r="I2679" s="1" t="str">
        <f aca="false">IF(D2679&lt;&gt;"",DEC2HEX(D2679,2),"")</f>
        <v/>
      </c>
      <c r="J2679" s="1" t="str">
        <f aca="false">IF(H2679&lt;&gt;"","0x"&amp;I2679&amp;H2679,"")</f>
        <v/>
      </c>
      <c r="L2679" s="1" t="s">
        <v>3609</v>
      </c>
      <c r="M2679" s="1" t="str">
        <f aca="false">IF(J2679&lt;&gt;"",J2679,L2679)</f>
        <v>1, 38, 42, TENTACOOL</v>
      </c>
    </row>
    <row r="2680" customFormat="false" ht="12.75" hidden="false" customHeight="true" outlineLevel="0" collapsed="false">
      <c r="A2680" s="3" t="s">
        <v>3350</v>
      </c>
      <c r="B2680" s="3" t="str">
        <f aca="false">IF(ISNUMBER(SEARCH("%", A2680)),RIGHT(A2680,3),A2680)</f>
        <v>40, 44, PSYDUCK</v>
      </c>
      <c r="C2680" s="1" t="str">
        <f aca="false" t="array" ref="C2680:C2680">IF(B2679="NEW ROUTE",textsplit(B2680,","),"")</f>
        <v/>
      </c>
      <c r="H2680" s="1" t="str">
        <f aca="false">IF(C2680&lt;&gt;"",DEC2HEX(C2680,2),"")</f>
        <v/>
      </c>
      <c r="I2680" s="1" t="str">
        <f aca="false">IF(D2680&lt;&gt;"",DEC2HEX(D2680,2),"")</f>
        <v/>
      </c>
      <c r="J2680" s="1" t="str">
        <f aca="false">IF(H2680&lt;&gt;"","0x"&amp;I2680&amp;H2680,"")</f>
        <v/>
      </c>
      <c r="L2680" s="1" t="s">
        <v>3350</v>
      </c>
      <c r="M2680" s="1" t="str">
        <f aca="false">IF(J2680&lt;&gt;"",J2680,L2680)</f>
        <v>40, 44, PSYDUCK</v>
      </c>
    </row>
    <row r="2681" customFormat="false" ht="12.75" hidden="false" customHeight="true" outlineLevel="0" collapsed="false">
      <c r="A2681" s="3" t="s">
        <v>3351</v>
      </c>
      <c r="B2681" s="3" t="str">
        <f aca="false">IF(ISNUMBER(SEARCH("%", A2681)),RIGHT(A2681,3),A2681)</f>
        <v>42, 46, TENTACRUEL</v>
      </c>
      <c r="C2681" s="1" t="str">
        <f aca="false" t="array" ref="C2681:C2681">IF(B2680="NEW ROUTE",textsplit(B2681,","),"")</f>
        <v/>
      </c>
      <c r="H2681" s="1" t="str">
        <f aca="false">IF(C2681&lt;&gt;"",DEC2HEX(C2681,2),"")</f>
        <v/>
      </c>
      <c r="I2681" s="1" t="str">
        <f aca="false">IF(D2681&lt;&gt;"",DEC2HEX(D2681,2),"")</f>
        <v/>
      </c>
      <c r="J2681" s="1" t="str">
        <f aca="false">IF(H2681&lt;&gt;"","0x"&amp;I2681&amp;H2681,"")</f>
        <v/>
      </c>
      <c r="L2681" s="1" t="s">
        <v>3351</v>
      </c>
      <c r="M2681" s="1" t="str">
        <f aca="false">IF(J2681&lt;&gt;"",J2681,L2681)</f>
        <v>42, 46, TENTACRUEL</v>
      </c>
    </row>
    <row r="2682" customFormat="false" ht="12.75" hidden="false" customHeight="true" outlineLevel="0" collapsed="false">
      <c r="A2682" s="3" t="s">
        <v>2923</v>
      </c>
      <c r="B2682" s="3" t="str">
        <f aca="false">IF(ISNUMBER(SEARCH("%", A2682)),RIGHT(A2682,3),A2682)</f>
        <v>42, 46, GOLDUCK</v>
      </c>
      <c r="C2682" s="1" t="str">
        <f aca="false" t="array" ref="C2682:C2682">IF(B2681="NEW ROUTE",textsplit(B2682,","),"")</f>
        <v/>
      </c>
      <c r="H2682" s="1" t="str">
        <f aca="false">IF(C2682&lt;&gt;"",DEC2HEX(C2682,2),"")</f>
        <v/>
      </c>
      <c r="I2682" s="1" t="str">
        <f aca="false">IF(D2682&lt;&gt;"",DEC2HEX(D2682,2),"")</f>
        <v/>
      </c>
      <c r="J2682" s="1" t="str">
        <f aca="false">IF(H2682&lt;&gt;"","0x"&amp;I2682&amp;H2682,"")</f>
        <v/>
      </c>
      <c r="L2682" s="1" t="s">
        <v>2923</v>
      </c>
      <c r="M2682" s="1" t="str">
        <f aca="false">IF(J2682&lt;&gt;"",J2682,L2682)</f>
        <v>42, 46, GOLDUCK</v>
      </c>
    </row>
    <row r="2683" customFormat="false" ht="12.75" hidden="false" customHeight="true" outlineLevel="0" collapsed="false">
      <c r="A2683" s="3" t="s">
        <v>2924</v>
      </c>
      <c r="B2683" s="3" t="str">
        <f aca="false">IF(ISNUMBER(SEARCH("%", A2683)),RIGHT(A2683,3),A2683)</f>
        <v>44, 48, VAPOREON</v>
      </c>
      <c r="C2683" s="1" t="str">
        <f aca="false" t="array" ref="C2683:C2683">IF(B2682="NEW ROUTE",textsplit(B2683,","),"")</f>
        <v/>
      </c>
      <c r="H2683" s="1" t="str">
        <f aca="false">IF(C2683&lt;&gt;"",DEC2HEX(C2683,2),"")</f>
        <v/>
      </c>
      <c r="I2683" s="1" t="str">
        <f aca="false">IF(D2683&lt;&gt;"",DEC2HEX(D2683,2),"")</f>
        <v/>
      </c>
      <c r="J2683" s="1" t="str">
        <f aca="false">IF(H2683&lt;&gt;"","0x"&amp;I2683&amp;H2683,"")</f>
        <v/>
      </c>
      <c r="L2683" s="1" t="s">
        <v>2924</v>
      </c>
      <c r="M2683" s="1" t="str">
        <f aca="false">IF(J2683&lt;&gt;"",J2683,L2683)</f>
        <v>44, 48, VAPOREON</v>
      </c>
    </row>
    <row r="2684" customFormat="false" ht="12.75" hidden="false" customHeight="true" outlineLevel="0" collapsed="false">
      <c r="A2684" s="3" t="s">
        <v>2845</v>
      </c>
      <c r="B2684" s="3" t="str">
        <f aca="false">IF(ISNUMBER(SEARCH("%", A2684)),RIGHT(A2684,3),A2684)</f>
        <v>10, old rod:</v>
      </c>
      <c r="C2684" s="1" t="str">
        <f aca="false" t="array" ref="C2684:C2684">IF(B2683="NEW ROUTE",textsplit(B2684,","),"")</f>
        <v/>
      </c>
      <c r="H2684" s="1" t="str">
        <f aca="false">IF(C2684&lt;&gt;"",DEC2HEX(C2684,2),"")</f>
        <v/>
      </c>
      <c r="I2684" s="1" t="str">
        <f aca="false">IF(D2684&lt;&gt;"",DEC2HEX(D2684,2),"")</f>
        <v/>
      </c>
      <c r="J2684" s="1" t="str">
        <f aca="false">IF(H2684&lt;&gt;"","0x"&amp;I2684&amp;H2684,"")</f>
        <v/>
      </c>
      <c r="L2684" s="1" t="s">
        <v>2845</v>
      </c>
      <c r="M2684" s="1" t="str">
        <f aca="false">IF(J2684&lt;&gt;"",J2684,L2684)</f>
        <v>10, old rod:</v>
      </c>
    </row>
    <row r="2685" customFormat="false" ht="12.75" hidden="false" customHeight="true" outlineLevel="0" collapsed="false">
      <c r="A2685" s="3" t="s">
        <v>1349</v>
      </c>
      <c r="B2685" s="3" t="str">
        <f aca="false">IF(ISNUMBER(SEARCH("%", A2685)),RIGHT(A2685,3),A2685)</f>
        <v>19, 26, MAGIKARP</v>
      </c>
      <c r="C2685" s="1" t="str">
        <f aca="false" t="array" ref="C2685:C2685">IF(B2684="NEW ROUTE",textsplit(B2685,","),"")</f>
        <v/>
      </c>
      <c r="H2685" s="1" t="str">
        <f aca="false">IF(C2685&lt;&gt;"",DEC2HEX(C2685,2),"")</f>
        <v/>
      </c>
      <c r="I2685" s="1" t="str">
        <f aca="false">IF(D2685&lt;&gt;"",DEC2HEX(D2685,2),"")</f>
        <v/>
      </c>
      <c r="J2685" s="1" t="str">
        <f aca="false">IF(H2685&lt;&gt;"","0x"&amp;I2685&amp;H2685,"")</f>
        <v/>
      </c>
      <c r="L2685" s="1" t="s">
        <v>1349</v>
      </c>
      <c r="M2685" s="1" t="str">
        <f aca="false">IF(J2685&lt;&gt;"",J2685,L2685)</f>
        <v>19, 26, MAGIKARP</v>
      </c>
    </row>
    <row r="2686" customFormat="false" ht="12.75" hidden="false" customHeight="true" outlineLevel="0" collapsed="false">
      <c r="A2686" s="3" t="s">
        <v>3352</v>
      </c>
      <c r="B2686" s="3" t="str">
        <f aca="false">IF(ISNUMBER(SEARCH("%", A2686)),RIGHT(A2686,3),A2686)</f>
        <v>19, 26, GYARADOS</v>
      </c>
      <c r="C2686" s="1" t="str">
        <f aca="false" t="array" ref="C2686:C2686">IF(B2685="NEW ROUTE",textsplit(B2686,","),"")</f>
        <v/>
      </c>
      <c r="H2686" s="1" t="str">
        <f aca="false">IF(C2686&lt;&gt;"",DEC2HEX(C2686,2),"")</f>
        <v/>
      </c>
      <c r="I2686" s="1" t="str">
        <f aca="false">IF(D2686&lt;&gt;"",DEC2HEX(D2686,2),"")</f>
        <v/>
      </c>
      <c r="J2686" s="1" t="str">
        <f aca="false">IF(H2686&lt;&gt;"","0x"&amp;I2686&amp;H2686,"")</f>
        <v/>
      </c>
      <c r="L2686" s="1" t="s">
        <v>3352</v>
      </c>
      <c r="M2686" s="1" t="str">
        <f aca="false">IF(J2686&lt;&gt;"",J2686,L2686)</f>
        <v>19, 26, GYARADOS</v>
      </c>
    </row>
    <row r="2687" customFormat="false" ht="12.75" hidden="false" customHeight="true" outlineLevel="0" collapsed="false">
      <c r="A2687" s="3" t="s">
        <v>2846</v>
      </c>
      <c r="B2687" s="3" t="str">
        <f aca="false">IF(ISNUMBER(SEARCH("%", A2687)),RIGHT(A2687,3),A2687)</f>
        <v>good rod:</v>
      </c>
      <c r="C2687" s="1" t="str">
        <f aca="false" t="array" ref="C2687:C2687">IF(B2686="NEW ROUTE",textsplit(B2687,","),"")</f>
        <v/>
      </c>
      <c r="H2687" s="1" t="str">
        <f aca="false">IF(C2687&lt;&gt;"",DEC2HEX(C2687,2),"")</f>
        <v/>
      </c>
      <c r="I2687" s="1" t="str">
        <f aca="false">IF(D2687&lt;&gt;"",DEC2HEX(D2687,2),"")</f>
        <v/>
      </c>
      <c r="J2687" s="1" t="str">
        <f aca="false">IF(H2687&lt;&gt;"","0x"&amp;I2687&amp;H2687,"")</f>
        <v/>
      </c>
      <c r="L2687" s="1" t="s">
        <v>2846</v>
      </c>
      <c r="M2687" s="1" t="str">
        <f aca="false">IF(J2687&lt;&gt;"",J2687,L2687)</f>
        <v>good rod:</v>
      </c>
    </row>
    <row r="2688" customFormat="false" ht="12.75" hidden="false" customHeight="true" outlineLevel="0" collapsed="false">
      <c r="A2688" s="3" t="s">
        <v>3353</v>
      </c>
      <c r="B2688" s="3" t="str">
        <f aca="false">IF(ISNUMBER(SEARCH("%", A2688)),RIGHT(A2688,3),A2688)</f>
        <v>29, 33, SLOWPOKE</v>
      </c>
      <c r="C2688" s="1" t="str">
        <f aca="false" t="array" ref="C2688:C2688">IF(B2687="NEW ROUTE",textsplit(B2688,","),"")</f>
        <v/>
      </c>
      <c r="H2688" s="1" t="str">
        <f aca="false">IF(C2688&lt;&gt;"",DEC2HEX(C2688,2),"")</f>
        <v/>
      </c>
      <c r="I2688" s="1" t="str">
        <f aca="false">IF(D2688&lt;&gt;"",DEC2HEX(D2688,2),"")</f>
        <v/>
      </c>
      <c r="J2688" s="1" t="str">
        <f aca="false">IF(H2688&lt;&gt;"","0x"&amp;I2688&amp;H2688,"")</f>
        <v/>
      </c>
      <c r="L2688" s="1" t="s">
        <v>3353</v>
      </c>
      <c r="M2688" s="1" t="str">
        <f aca="false">IF(J2688&lt;&gt;"",J2688,L2688)</f>
        <v>29, 33, SLOWPOKE</v>
      </c>
    </row>
    <row r="2689" customFormat="false" ht="12.75" hidden="false" customHeight="true" outlineLevel="0" collapsed="false">
      <c r="A2689" s="3" t="s">
        <v>3027</v>
      </c>
      <c r="B2689" s="3" t="str">
        <f aca="false">IF(ISNUMBER(SEARCH("%", A2689)),RIGHT(A2689,3),A2689)</f>
        <v>30, 35, KRABBY</v>
      </c>
      <c r="C2689" s="1" t="str">
        <f aca="false" t="array" ref="C2689:C2689">IF(B2688="NEW ROUTE",textsplit(B2689,","),"")</f>
        <v/>
      </c>
      <c r="H2689" s="1" t="str">
        <f aca="false">IF(C2689&lt;&gt;"",DEC2HEX(C2689,2),"")</f>
        <v/>
      </c>
      <c r="I2689" s="1" t="str">
        <f aca="false">IF(D2689&lt;&gt;"",DEC2HEX(D2689,2),"")</f>
        <v/>
      </c>
      <c r="J2689" s="1" t="str">
        <f aca="false">IF(H2689&lt;&gt;"","0x"&amp;I2689&amp;H2689,"")</f>
        <v/>
      </c>
      <c r="L2689" s="1" t="s">
        <v>3027</v>
      </c>
      <c r="M2689" s="1" t="str">
        <f aca="false">IF(J2689&lt;&gt;"",J2689,L2689)</f>
        <v>30, 35, KRABBY</v>
      </c>
    </row>
    <row r="2690" customFormat="false" ht="12.75" hidden="false" customHeight="true" outlineLevel="0" collapsed="false">
      <c r="A2690" s="3" t="s">
        <v>3354</v>
      </c>
      <c r="B2690" s="3" t="str">
        <f aca="false">IF(ISNUMBER(SEARCH("%", A2690)),RIGHT(A2690,3),A2690)</f>
        <v>30, 35, PSYDUCK</v>
      </c>
      <c r="C2690" s="1" t="str">
        <f aca="false" t="array" ref="C2690:C2690">IF(B2689="NEW ROUTE",textsplit(B2690,","),"")</f>
        <v/>
      </c>
      <c r="H2690" s="1" t="str">
        <f aca="false">IF(C2690&lt;&gt;"",DEC2HEX(C2690,2),"")</f>
        <v/>
      </c>
      <c r="I2690" s="1" t="str">
        <f aca="false">IF(D2690&lt;&gt;"",DEC2HEX(D2690,2),"")</f>
        <v/>
      </c>
      <c r="J2690" s="1" t="str">
        <f aca="false">IF(H2690&lt;&gt;"","0x"&amp;I2690&amp;H2690,"")</f>
        <v/>
      </c>
      <c r="L2690" s="1" t="s">
        <v>3354</v>
      </c>
      <c r="M2690" s="1" t="str">
        <f aca="false">IF(J2690&lt;&gt;"",J2690,L2690)</f>
        <v>30, 35, PSYDUCK</v>
      </c>
    </row>
    <row r="2691" customFormat="false" ht="12.75" hidden="false" customHeight="true" outlineLevel="0" collapsed="false">
      <c r="A2691" s="3" t="s">
        <v>2850</v>
      </c>
      <c r="B2691" s="3" t="str">
        <f aca="false">IF(ISNUMBER(SEARCH("%", A2691)),RIGHT(A2691,3),A2691)</f>
        <v>super rod:</v>
      </c>
      <c r="C2691" s="1" t="str">
        <f aca="false" t="array" ref="C2691:C2691">IF(B2690="NEW ROUTE",textsplit(B2691,","),"")</f>
        <v/>
      </c>
      <c r="H2691" s="1" t="str">
        <f aca="false">IF(C2691&lt;&gt;"",DEC2HEX(C2691,2),"")</f>
        <v/>
      </c>
      <c r="I2691" s="1" t="str">
        <f aca="false">IF(D2691&lt;&gt;"",DEC2HEX(D2691,2),"")</f>
        <v/>
      </c>
      <c r="J2691" s="1" t="str">
        <f aca="false">IF(H2691&lt;&gt;"","0x"&amp;I2691&amp;H2691,"")</f>
        <v/>
      </c>
      <c r="L2691" s="1" t="s">
        <v>2850</v>
      </c>
      <c r="M2691" s="1" t="str">
        <f aca="false">IF(J2691&lt;&gt;"",J2691,L2691)</f>
        <v>super rod:</v>
      </c>
    </row>
    <row r="2692" customFormat="false" ht="12.75" hidden="false" customHeight="true" outlineLevel="0" collapsed="false">
      <c r="A2692" s="3" t="s">
        <v>3355</v>
      </c>
      <c r="B2692" s="3" t="str">
        <f aca="false">IF(ISNUMBER(SEARCH("%", A2692)),RIGHT(A2692,3),A2692)</f>
        <v>36, 40, SLOWBRO</v>
      </c>
      <c r="C2692" s="1" t="str">
        <f aca="false" t="array" ref="C2692:C2692">IF(B2691="NEW ROUTE",textsplit(B2692,","),"")</f>
        <v/>
      </c>
      <c r="H2692" s="1" t="str">
        <f aca="false">IF(C2692&lt;&gt;"",DEC2HEX(C2692,2),"")</f>
        <v/>
      </c>
      <c r="I2692" s="1" t="str">
        <f aca="false">IF(D2692&lt;&gt;"",DEC2HEX(D2692,2),"")</f>
        <v/>
      </c>
      <c r="J2692" s="1" t="str">
        <f aca="false">IF(H2692&lt;&gt;"","0x"&amp;I2692&amp;H2692,"")</f>
        <v/>
      </c>
      <c r="L2692" s="1" t="s">
        <v>3355</v>
      </c>
      <c r="M2692" s="1" t="str">
        <f aca="false">IF(J2692&lt;&gt;"",J2692,L2692)</f>
        <v>36, 40, SLOWBRO</v>
      </c>
    </row>
    <row r="2693" customFormat="false" ht="12.75" hidden="false" customHeight="true" outlineLevel="0" collapsed="false">
      <c r="A2693" s="3" t="s">
        <v>3356</v>
      </c>
      <c r="B2693" s="3" t="str">
        <f aca="false">IF(ISNUMBER(SEARCH("%", A2693)),RIGHT(A2693,3),A2693)</f>
        <v>36, 40, GYARADOS</v>
      </c>
      <c r="C2693" s="1" t="str">
        <f aca="false" t="array" ref="C2693:C2693">IF(B2692="NEW ROUTE",textsplit(B2693,","),"")</f>
        <v/>
      </c>
      <c r="H2693" s="1" t="str">
        <f aca="false">IF(C2693&lt;&gt;"",DEC2HEX(C2693,2),"")</f>
        <v/>
      </c>
      <c r="I2693" s="1" t="str">
        <f aca="false">IF(D2693&lt;&gt;"",DEC2HEX(D2693,2),"")</f>
        <v/>
      </c>
      <c r="J2693" s="1" t="str">
        <f aca="false">IF(H2693&lt;&gt;"","0x"&amp;I2693&amp;H2693,"")</f>
        <v/>
      </c>
      <c r="L2693" s="1" t="s">
        <v>3356</v>
      </c>
      <c r="M2693" s="1" t="str">
        <f aca="false">IF(J2693&lt;&gt;"",J2693,L2693)</f>
        <v>36, 40, GYARADOS</v>
      </c>
    </row>
    <row r="2694" customFormat="false" ht="12.75" hidden="false" customHeight="true" outlineLevel="0" collapsed="false">
      <c r="A2694" s="3" t="s">
        <v>3357</v>
      </c>
      <c r="B2694" s="3" t="str">
        <f aca="false">IF(ISNUMBER(SEARCH("%", A2694)),RIGHT(A2694,3),A2694)</f>
        <v>38, 42, GOLDUCK</v>
      </c>
      <c r="C2694" s="1" t="str">
        <f aca="false" t="array" ref="C2694:C2694">IF(B2693="NEW ROUTE",textsplit(B2694,","),"")</f>
        <v/>
      </c>
      <c r="H2694" s="1" t="str">
        <f aca="false">IF(C2694&lt;&gt;"",DEC2HEX(C2694,2),"")</f>
        <v/>
      </c>
      <c r="I2694" s="1" t="str">
        <f aca="false">IF(D2694&lt;&gt;"",DEC2HEX(D2694,2),"")</f>
        <v/>
      </c>
      <c r="J2694" s="1" t="str">
        <f aca="false">IF(H2694&lt;&gt;"","0x"&amp;I2694&amp;H2694,"")</f>
        <v/>
      </c>
      <c r="L2694" s="1" t="s">
        <v>3357</v>
      </c>
      <c r="M2694" s="1" t="str">
        <f aca="false">IF(J2694&lt;&gt;"",J2694,L2694)</f>
        <v>38, 42, GOLDUCK</v>
      </c>
    </row>
    <row r="2695" customFormat="false" ht="12.75" hidden="false" customHeight="true" outlineLevel="0" collapsed="false">
      <c r="A2695" s="3" t="s">
        <v>3358</v>
      </c>
      <c r="B2695" s="3" t="str">
        <f aca="false">IF(ISNUMBER(SEARCH("%", A2695)),RIGHT(A2695,3),A2695)</f>
        <v>38, 42, KINGLER</v>
      </c>
      <c r="C2695" s="1" t="str">
        <f aca="false" t="array" ref="C2695:C2695">IF(B2694="NEW ROUTE",textsplit(B2695,","),"")</f>
        <v/>
      </c>
      <c r="H2695" s="1" t="str">
        <f aca="false">IF(C2695&lt;&gt;"",DEC2HEX(C2695,2),"")</f>
        <v/>
      </c>
      <c r="I2695" s="1" t="str">
        <f aca="false">IF(D2695&lt;&gt;"",DEC2HEX(D2695,2),"")</f>
        <v/>
      </c>
      <c r="J2695" s="1" t="str">
        <f aca="false">IF(H2695&lt;&gt;"","0x"&amp;I2695&amp;H2695,"")</f>
        <v/>
      </c>
      <c r="L2695" s="1" t="s">
        <v>3358</v>
      </c>
      <c r="M2695" s="1" t="str">
        <f aca="false">IF(J2695&lt;&gt;"",J2695,L2695)</f>
        <v>38, 42, KINGLER</v>
      </c>
    </row>
    <row r="2696" customFormat="false" ht="12.75" hidden="false" customHeight="true" outlineLevel="0" collapsed="false">
      <c r="A2696" s="3" t="s">
        <v>3359</v>
      </c>
      <c r="B2696" s="3" t="str">
        <f aca="false">IF(ISNUMBER(SEARCH("%", A2696)),RIGHT(A2696,3),A2696)</f>
        <v>40, 44, SLOWMATE</v>
      </c>
      <c r="C2696" s="1" t="str">
        <f aca="false" t="array" ref="C2696:C2696">IF(B2695="NEW ROUTE",textsplit(B2696,","),"")</f>
        <v/>
      </c>
      <c r="H2696" s="1" t="str">
        <f aca="false">IF(C2696&lt;&gt;"",DEC2HEX(C2696,2),"")</f>
        <v/>
      </c>
      <c r="I2696" s="1" t="str">
        <f aca="false">IF(D2696&lt;&gt;"",DEC2HEX(D2696,2),"")</f>
        <v/>
      </c>
      <c r="J2696" s="1" t="str">
        <f aca="false">IF(H2696&lt;&gt;"","0x"&amp;I2696&amp;H2696,"")</f>
        <v/>
      </c>
      <c r="L2696" s="1" t="s">
        <v>3359</v>
      </c>
      <c r="M2696" s="1" t="str">
        <f aca="false">IF(J2696&lt;&gt;"",J2696,L2696)</f>
        <v>40, 44, SLOWMATE</v>
      </c>
    </row>
    <row r="2697" customFormat="false" ht="12.75" hidden="false" customHeight="true" outlineLevel="0" collapsed="false">
      <c r="A2697" s="3" t="s">
        <v>2536</v>
      </c>
      <c r="B2697" s="3" t="str">
        <f aca="false">IF(ISNUMBER(SEARCH("%", A2697)),RIGHT(A2697,3),A2697)</f>
        <v>NEW ROUTE</v>
      </c>
      <c r="C2697" s="1" t="str">
        <f aca="false" t="array" ref="C2697:C2697">IF(B2696="NEW ROUTE",textsplit(B2697,","),"")</f>
        <v/>
      </c>
      <c r="H2697" s="1" t="str">
        <f aca="false">IF(C2697&lt;&gt;"",DEC2HEX(C2697,2),"")</f>
        <v/>
      </c>
      <c r="I2697" s="1" t="str">
        <f aca="false">IF(D2697&lt;&gt;"",DEC2HEX(D2697,2),"")</f>
        <v/>
      </c>
      <c r="J2697" s="1" t="str">
        <f aca="false">IF(H2697&lt;&gt;"","0x"&amp;I2697&amp;H2697,"")</f>
        <v/>
      </c>
      <c r="L2697" s="1" t="s">
        <v>2536</v>
      </c>
      <c r="M2697" s="1" t="str">
        <f aca="false">IF(J2697&lt;&gt;"",J2697,L2697)</f>
        <v>NEW ROUTE</v>
      </c>
    </row>
    <row r="2698" customFormat="false" ht="12.75" hidden="false" customHeight="true" outlineLevel="0" collapsed="false">
      <c r="A2698" s="3" t="s">
        <v>3615</v>
      </c>
      <c r="B2698" s="3" t="str">
        <f aca="false">IF(ISNUMBER(SEARCH("%", A2698)),RIGHT(A2698,3),A2698)</f>
        <v>3, 5, 0, &lt;null&gt;,</v>
      </c>
      <c r="C2698" s="1" t="e">
        <f aca="false" t="array" ref="C2698:C2698">IF(B2697="NEW ROUTE",textsplit(B2698,","),"")</f>
        <v>#NAME?</v>
      </c>
      <c r="H2698" s="1" t="e">
        <f aca="false">IF(C2698&lt;&gt;"",DEC2HEX(C2698,2),"")</f>
        <v>#NAME?</v>
      </c>
      <c r="I2698" s="1" t="str">
        <f aca="false">IF(D2698&lt;&gt;"",DEC2HEX(D2698,2),"")</f>
        <v/>
      </c>
      <c r="J2698" s="1" t="e">
        <f aca="false">IF(H2698&lt;&gt;"","0x"&amp;I2698&amp;H2698,"")</f>
        <v>#NAME?</v>
      </c>
      <c r="L2698" s="1" t="s">
        <v>3615</v>
      </c>
      <c r="M2698" s="1" t="e">
        <f aca="false">IF(J2698&lt;&gt;"",J2698,L2698)</f>
        <v>#NAME?</v>
      </c>
    </row>
    <row r="2699" customFormat="false" ht="12.75" hidden="false" customHeight="true" outlineLevel="0" collapsed="false">
      <c r="A2699" s="3" t="s">
        <v>3609</v>
      </c>
      <c r="B2699" s="3" t="str">
        <f aca="false">IF(ISNUMBER(SEARCH("%", A2699)),RIGHT(A2699,3),A2699)</f>
        <v>1, 38, 42, TENTACOOL</v>
      </c>
      <c r="C2699" s="1" t="str">
        <f aca="false" t="array" ref="C2699:C2699">IF(B2698="NEW ROUTE",textsplit(B2699,","),"")</f>
        <v/>
      </c>
      <c r="H2699" s="1" t="str">
        <f aca="false">IF(C2699&lt;&gt;"",DEC2HEX(C2699,2),"")</f>
        <v/>
      </c>
      <c r="I2699" s="1" t="str">
        <f aca="false">IF(D2699&lt;&gt;"",DEC2HEX(D2699,2),"")</f>
        <v/>
      </c>
      <c r="J2699" s="1" t="str">
        <f aca="false">IF(H2699&lt;&gt;"","0x"&amp;I2699&amp;H2699,"")</f>
        <v/>
      </c>
      <c r="L2699" s="1" t="s">
        <v>3609</v>
      </c>
      <c r="M2699" s="1" t="str">
        <f aca="false">IF(J2699&lt;&gt;"",J2699,L2699)</f>
        <v>1, 38, 42, TENTACOOL</v>
      </c>
    </row>
    <row r="2700" customFormat="false" ht="12.75" hidden="false" customHeight="true" outlineLevel="0" collapsed="false">
      <c r="A2700" s="3" t="s">
        <v>3428</v>
      </c>
      <c r="B2700" s="3" t="str">
        <f aca="false">IF(ISNUMBER(SEARCH("%", A2700)),RIGHT(A2700,3),A2700)</f>
        <v>40, 44, TENTACRUEL</v>
      </c>
      <c r="C2700" s="1" t="str">
        <f aca="false" t="array" ref="C2700:C2700">IF(B2699="NEW ROUTE",textsplit(B2700,","),"")</f>
        <v/>
      </c>
      <c r="H2700" s="1" t="str">
        <f aca="false">IF(C2700&lt;&gt;"",DEC2HEX(C2700,2),"")</f>
        <v/>
      </c>
      <c r="I2700" s="1" t="str">
        <f aca="false">IF(D2700&lt;&gt;"",DEC2HEX(D2700,2),"")</f>
        <v/>
      </c>
      <c r="J2700" s="1" t="str">
        <f aca="false">IF(H2700&lt;&gt;"","0x"&amp;I2700&amp;H2700,"")</f>
        <v/>
      </c>
      <c r="L2700" s="1" t="s">
        <v>3428</v>
      </c>
      <c r="M2700" s="1" t="str">
        <f aca="false">IF(J2700&lt;&gt;"",J2700,L2700)</f>
        <v>40, 44, TENTACRUEL</v>
      </c>
    </row>
    <row r="2701" customFormat="false" ht="12.75" hidden="false" customHeight="true" outlineLevel="0" collapsed="false">
      <c r="A2701" s="3" t="s">
        <v>3024</v>
      </c>
      <c r="B2701" s="3" t="str">
        <f aca="false">IF(ISNUMBER(SEARCH("%", A2701)),RIGHT(A2701,3),A2701)</f>
        <v>42, 46, LAPRAS</v>
      </c>
      <c r="C2701" s="1" t="str">
        <f aca="false" t="array" ref="C2701:C2701">IF(B2700="NEW ROUTE",textsplit(B2701,","),"")</f>
        <v/>
      </c>
      <c r="H2701" s="1" t="str">
        <f aca="false">IF(C2701&lt;&gt;"",DEC2HEX(C2701,2),"")</f>
        <v/>
      </c>
      <c r="I2701" s="1" t="str">
        <f aca="false">IF(D2701&lt;&gt;"",DEC2HEX(D2701,2),"")</f>
        <v/>
      </c>
      <c r="J2701" s="1" t="str">
        <f aca="false">IF(H2701&lt;&gt;"","0x"&amp;I2701&amp;H2701,"")</f>
        <v/>
      </c>
      <c r="L2701" s="1" t="s">
        <v>3024</v>
      </c>
      <c r="M2701" s="1" t="str">
        <f aca="false">IF(J2701&lt;&gt;"",J2701,L2701)</f>
        <v>42, 46, LAPRAS</v>
      </c>
    </row>
    <row r="2702" customFormat="false" ht="12.75" hidden="false" customHeight="true" outlineLevel="0" collapsed="false">
      <c r="A2702" s="3" t="s">
        <v>3429</v>
      </c>
      <c r="B2702" s="3" t="str">
        <f aca="false">IF(ISNUMBER(SEARCH("%", A2702)),RIGHT(A2702,3),A2702)</f>
        <v>42, 46, TENTACATE</v>
      </c>
      <c r="C2702" s="1" t="str">
        <f aca="false" t="array" ref="C2702:C2702">IF(B2701="NEW ROUTE",textsplit(B2702,","),"")</f>
        <v/>
      </c>
      <c r="H2702" s="1" t="str">
        <f aca="false">IF(C2702&lt;&gt;"",DEC2HEX(C2702,2),"")</f>
        <v/>
      </c>
      <c r="I2702" s="1" t="str">
        <f aca="false">IF(D2702&lt;&gt;"",DEC2HEX(D2702,2),"")</f>
        <v/>
      </c>
      <c r="J2702" s="1" t="str">
        <f aca="false">IF(H2702&lt;&gt;"","0x"&amp;I2702&amp;H2702,"")</f>
        <v/>
      </c>
      <c r="L2702" s="1" t="s">
        <v>3429</v>
      </c>
      <c r="M2702" s="1" t="str">
        <f aca="false">IF(J2702&lt;&gt;"",J2702,L2702)</f>
        <v>42, 46, TENTACATE</v>
      </c>
    </row>
    <row r="2703" customFormat="false" ht="12.75" hidden="false" customHeight="true" outlineLevel="0" collapsed="false">
      <c r="A2703" s="3" t="s">
        <v>3449</v>
      </c>
      <c r="B2703" s="3" t="str">
        <f aca="false">IF(ISNUMBER(SEARCH("%", A2703)),RIGHT(A2703,3),A2703)</f>
        <v>44, 48, LOCHLASS</v>
      </c>
      <c r="C2703" s="1" t="str">
        <f aca="false" t="array" ref="C2703:C2703">IF(B2702="NEW ROUTE",textsplit(B2703,","),"")</f>
        <v/>
      </c>
      <c r="H2703" s="1" t="str">
        <f aca="false">IF(C2703&lt;&gt;"",DEC2HEX(C2703,2),"")</f>
        <v/>
      </c>
      <c r="I2703" s="1" t="str">
        <f aca="false">IF(D2703&lt;&gt;"",DEC2HEX(D2703,2),"")</f>
        <v/>
      </c>
      <c r="J2703" s="1" t="str">
        <f aca="false">IF(H2703&lt;&gt;"","0x"&amp;I2703&amp;H2703,"")</f>
        <v/>
      </c>
      <c r="L2703" s="1" t="s">
        <v>3449</v>
      </c>
      <c r="M2703" s="1" t="str">
        <f aca="false">IF(J2703&lt;&gt;"",J2703,L2703)</f>
        <v>44, 48, LOCHLASS</v>
      </c>
    </row>
    <row r="2704" customFormat="false" ht="12.75" hidden="false" customHeight="true" outlineLevel="0" collapsed="false">
      <c r="A2704" s="3" t="s">
        <v>2845</v>
      </c>
      <c r="B2704" s="3" t="str">
        <f aca="false">IF(ISNUMBER(SEARCH("%", A2704)),RIGHT(A2704,3),A2704)</f>
        <v>10, old rod:</v>
      </c>
      <c r="C2704" s="1" t="str">
        <f aca="false" t="array" ref="C2704:C2704">IF(B2703="NEW ROUTE",textsplit(B2704,","),"")</f>
        <v/>
      </c>
      <c r="H2704" s="1" t="str">
        <f aca="false">IF(C2704&lt;&gt;"",DEC2HEX(C2704,2),"")</f>
        <v/>
      </c>
      <c r="I2704" s="1" t="str">
        <f aca="false">IF(D2704&lt;&gt;"",DEC2HEX(D2704,2),"")</f>
        <v/>
      </c>
      <c r="J2704" s="1" t="str">
        <f aca="false">IF(H2704&lt;&gt;"","0x"&amp;I2704&amp;H2704,"")</f>
        <v/>
      </c>
      <c r="L2704" s="1" t="s">
        <v>2845</v>
      </c>
      <c r="M2704" s="1" t="str">
        <f aca="false">IF(J2704&lt;&gt;"",J2704,L2704)</f>
        <v>10, old rod:</v>
      </c>
    </row>
    <row r="2705" customFormat="false" ht="12.75" hidden="false" customHeight="true" outlineLevel="0" collapsed="false">
      <c r="A2705" s="3" t="s">
        <v>1349</v>
      </c>
      <c r="B2705" s="3" t="str">
        <f aca="false">IF(ISNUMBER(SEARCH("%", A2705)),RIGHT(A2705,3),A2705)</f>
        <v>19, 26, MAGIKARP</v>
      </c>
      <c r="C2705" s="1" t="str">
        <f aca="false" t="array" ref="C2705:C2705">IF(B2704="NEW ROUTE",textsplit(B2705,","),"")</f>
        <v/>
      </c>
      <c r="H2705" s="1" t="str">
        <f aca="false">IF(C2705&lt;&gt;"",DEC2HEX(C2705,2),"")</f>
        <v/>
      </c>
      <c r="I2705" s="1" t="str">
        <f aca="false">IF(D2705&lt;&gt;"",DEC2HEX(D2705,2),"")</f>
        <v/>
      </c>
      <c r="J2705" s="1" t="str">
        <f aca="false">IF(H2705&lt;&gt;"","0x"&amp;I2705&amp;H2705,"")</f>
        <v/>
      </c>
      <c r="L2705" s="1" t="s">
        <v>1349</v>
      </c>
      <c r="M2705" s="1" t="str">
        <f aca="false">IF(J2705&lt;&gt;"",J2705,L2705)</f>
        <v>19, 26, MAGIKARP</v>
      </c>
    </row>
    <row r="2706" customFormat="false" ht="12.75" hidden="false" customHeight="true" outlineLevel="0" collapsed="false">
      <c r="A2706" s="3" t="s">
        <v>3352</v>
      </c>
      <c r="B2706" s="3" t="str">
        <f aca="false">IF(ISNUMBER(SEARCH("%", A2706)),RIGHT(A2706,3),A2706)</f>
        <v>19, 26, GYARADOS</v>
      </c>
      <c r="C2706" s="1" t="str">
        <f aca="false" t="array" ref="C2706:C2706">IF(B2705="NEW ROUTE",textsplit(B2706,","),"")</f>
        <v/>
      </c>
      <c r="H2706" s="1" t="str">
        <f aca="false">IF(C2706&lt;&gt;"",DEC2HEX(C2706,2),"")</f>
        <v/>
      </c>
      <c r="I2706" s="1" t="str">
        <f aca="false">IF(D2706&lt;&gt;"",DEC2HEX(D2706,2),"")</f>
        <v/>
      </c>
      <c r="J2706" s="1" t="str">
        <f aca="false">IF(H2706&lt;&gt;"","0x"&amp;I2706&amp;H2706,"")</f>
        <v/>
      </c>
      <c r="L2706" s="1" t="s">
        <v>3352</v>
      </c>
      <c r="M2706" s="1" t="str">
        <f aca="false">IF(J2706&lt;&gt;"",J2706,L2706)</f>
        <v>19, 26, GYARADOS</v>
      </c>
    </row>
    <row r="2707" customFormat="false" ht="12.75" hidden="false" customHeight="true" outlineLevel="0" collapsed="false">
      <c r="A2707" s="3" t="s">
        <v>2846</v>
      </c>
      <c r="B2707" s="3" t="str">
        <f aca="false">IF(ISNUMBER(SEARCH("%", A2707)),RIGHT(A2707,3),A2707)</f>
        <v>good rod:</v>
      </c>
      <c r="C2707" s="1" t="str">
        <f aca="false" t="array" ref="C2707:C2707">IF(B2706="NEW ROUTE",textsplit(B2707,","),"")</f>
        <v/>
      </c>
      <c r="H2707" s="1" t="str">
        <f aca="false">IF(C2707&lt;&gt;"",DEC2HEX(C2707,2),"")</f>
        <v/>
      </c>
      <c r="I2707" s="1" t="str">
        <f aca="false">IF(D2707&lt;&gt;"",DEC2HEX(D2707,2),"")</f>
        <v/>
      </c>
      <c r="J2707" s="1" t="str">
        <f aca="false">IF(H2707&lt;&gt;"","0x"&amp;I2707&amp;H2707,"")</f>
        <v/>
      </c>
      <c r="L2707" s="1" t="s">
        <v>2846</v>
      </c>
      <c r="M2707" s="1" t="str">
        <f aca="false">IF(J2707&lt;&gt;"",J2707,L2707)</f>
        <v>good rod:</v>
      </c>
    </row>
    <row r="2708" customFormat="false" ht="12.75" hidden="false" customHeight="true" outlineLevel="0" collapsed="false">
      <c r="A2708" s="3" t="s">
        <v>3430</v>
      </c>
      <c r="B2708" s="3" t="str">
        <f aca="false">IF(ISNUMBER(SEARCH("%", A2708)),RIGHT(A2708,3),A2708)</f>
        <v>29, 33, HORSEA</v>
      </c>
      <c r="C2708" s="1" t="str">
        <f aca="false" t="array" ref="C2708:C2708">IF(B2707="NEW ROUTE",textsplit(B2708,","),"")</f>
        <v/>
      </c>
      <c r="H2708" s="1" t="str">
        <f aca="false">IF(C2708&lt;&gt;"",DEC2HEX(C2708,2),"")</f>
        <v/>
      </c>
      <c r="I2708" s="1" t="str">
        <f aca="false">IF(D2708&lt;&gt;"",DEC2HEX(D2708,2),"")</f>
        <v/>
      </c>
      <c r="J2708" s="1" t="str">
        <f aca="false">IF(H2708&lt;&gt;"","0x"&amp;I2708&amp;H2708,"")</f>
        <v/>
      </c>
      <c r="L2708" s="1" t="s">
        <v>3430</v>
      </c>
      <c r="M2708" s="1" t="str">
        <f aca="false">IF(J2708&lt;&gt;"",J2708,L2708)</f>
        <v>29, 33, HORSEA</v>
      </c>
    </row>
    <row r="2709" customFormat="false" ht="12.75" hidden="false" customHeight="true" outlineLevel="0" collapsed="false">
      <c r="A2709" s="3" t="s">
        <v>3450</v>
      </c>
      <c r="B2709" s="3" t="str">
        <f aca="false">IF(ISNUMBER(SEARCH("%", A2709)),RIGHT(A2709,3),A2709)</f>
        <v>30, 35, SHELLDER</v>
      </c>
      <c r="C2709" s="1" t="str">
        <f aca="false" t="array" ref="C2709:C2709">IF(B2708="NEW ROUTE",textsplit(B2709,","),"")</f>
        <v/>
      </c>
      <c r="H2709" s="1" t="str">
        <f aca="false">IF(C2709&lt;&gt;"",DEC2HEX(C2709,2),"")</f>
        <v/>
      </c>
      <c r="I2709" s="1" t="str">
        <f aca="false">IF(D2709&lt;&gt;"",DEC2HEX(D2709,2),"")</f>
        <v/>
      </c>
      <c r="J2709" s="1" t="str">
        <f aca="false">IF(H2709&lt;&gt;"","0x"&amp;I2709&amp;H2709,"")</f>
        <v/>
      </c>
      <c r="L2709" s="1" t="s">
        <v>3450</v>
      </c>
      <c r="M2709" s="1" t="str">
        <f aca="false">IF(J2709&lt;&gt;"",J2709,L2709)</f>
        <v>30, 35, SHELLDER</v>
      </c>
    </row>
    <row r="2710" customFormat="false" ht="12.75" hidden="false" customHeight="true" outlineLevel="0" collapsed="false">
      <c r="A2710" s="3" t="s">
        <v>3451</v>
      </c>
      <c r="B2710" s="3" t="str">
        <f aca="false">IF(ISNUMBER(SEARCH("%", A2710)),RIGHT(A2710,3),A2710)</f>
        <v>30, 35, STARYU</v>
      </c>
      <c r="C2710" s="1" t="str">
        <f aca="false" t="array" ref="C2710:C2710">IF(B2709="NEW ROUTE",textsplit(B2710,","),"")</f>
        <v/>
      </c>
      <c r="H2710" s="1" t="str">
        <f aca="false">IF(C2710&lt;&gt;"",DEC2HEX(C2710,2),"")</f>
        <v/>
      </c>
      <c r="I2710" s="1" t="str">
        <f aca="false">IF(D2710&lt;&gt;"",DEC2HEX(D2710,2),"")</f>
        <v/>
      </c>
      <c r="J2710" s="1" t="str">
        <f aca="false">IF(H2710&lt;&gt;"","0x"&amp;I2710&amp;H2710,"")</f>
        <v/>
      </c>
      <c r="L2710" s="1" t="s">
        <v>3451</v>
      </c>
      <c r="M2710" s="1" t="str">
        <f aca="false">IF(J2710&lt;&gt;"",J2710,L2710)</f>
        <v>30, 35, STARYU</v>
      </c>
    </row>
    <row r="2711" customFormat="false" ht="12.75" hidden="false" customHeight="true" outlineLevel="0" collapsed="false">
      <c r="A2711" s="3" t="s">
        <v>2850</v>
      </c>
      <c r="B2711" s="3" t="str">
        <f aca="false">IF(ISNUMBER(SEARCH("%", A2711)),RIGHT(A2711,3),A2711)</f>
        <v>super rod:</v>
      </c>
      <c r="C2711" s="1" t="str">
        <f aca="false" t="array" ref="C2711:C2711">IF(B2710="NEW ROUTE",textsplit(B2711,","),"")</f>
        <v/>
      </c>
      <c r="H2711" s="1" t="str">
        <f aca="false">IF(C2711&lt;&gt;"",DEC2HEX(C2711,2),"")</f>
        <v/>
      </c>
      <c r="I2711" s="1" t="str">
        <f aca="false">IF(D2711&lt;&gt;"",DEC2HEX(D2711,2),"")</f>
        <v/>
      </c>
      <c r="J2711" s="1" t="str">
        <f aca="false">IF(H2711&lt;&gt;"","0x"&amp;I2711&amp;H2711,"")</f>
        <v/>
      </c>
      <c r="L2711" s="1" t="s">
        <v>2850</v>
      </c>
      <c r="M2711" s="1" t="str">
        <f aca="false">IF(J2711&lt;&gt;"",J2711,L2711)</f>
        <v>super rod:</v>
      </c>
    </row>
    <row r="2712" customFormat="false" ht="12.75" hidden="false" customHeight="true" outlineLevel="0" collapsed="false">
      <c r="A2712" s="3" t="s">
        <v>3026</v>
      </c>
      <c r="B2712" s="3" t="str">
        <f aca="false">IF(ISNUMBER(SEARCH("%", A2712)),RIGHT(A2712,3),A2712)</f>
        <v>29, 33, SEADRA</v>
      </c>
      <c r="C2712" s="1" t="str">
        <f aca="false" t="array" ref="C2712:C2712">IF(B2711="NEW ROUTE",textsplit(B2712,","),"")</f>
        <v/>
      </c>
      <c r="H2712" s="1" t="str">
        <f aca="false">IF(C2712&lt;&gt;"",DEC2HEX(C2712,2),"")</f>
        <v/>
      </c>
      <c r="I2712" s="1" t="str">
        <f aca="false">IF(D2712&lt;&gt;"",DEC2HEX(D2712,2),"")</f>
        <v/>
      </c>
      <c r="J2712" s="1" t="str">
        <f aca="false">IF(H2712&lt;&gt;"","0x"&amp;I2712&amp;H2712,"")</f>
        <v/>
      </c>
      <c r="L2712" s="1" t="s">
        <v>3026</v>
      </c>
      <c r="M2712" s="1" t="str">
        <f aca="false">IF(J2712&lt;&gt;"",J2712,L2712)</f>
        <v>29, 33, SEADRA</v>
      </c>
    </row>
    <row r="2713" customFormat="false" ht="12.75" hidden="false" customHeight="true" outlineLevel="0" collapsed="false">
      <c r="A2713" s="3" t="s">
        <v>3356</v>
      </c>
      <c r="B2713" s="3" t="str">
        <f aca="false">IF(ISNUMBER(SEARCH("%", A2713)),RIGHT(A2713,3),A2713)</f>
        <v>36, 40, GYARADOS</v>
      </c>
      <c r="C2713" s="1" t="str">
        <f aca="false" t="array" ref="C2713:C2713">IF(B2712="NEW ROUTE",textsplit(B2713,","),"")</f>
        <v/>
      </c>
      <c r="H2713" s="1" t="str">
        <f aca="false">IF(C2713&lt;&gt;"",DEC2HEX(C2713,2),"")</f>
        <v/>
      </c>
      <c r="I2713" s="1" t="str">
        <f aca="false">IF(D2713&lt;&gt;"",DEC2HEX(D2713,2),"")</f>
        <v/>
      </c>
      <c r="J2713" s="1" t="str">
        <f aca="false">IF(H2713&lt;&gt;"","0x"&amp;I2713&amp;H2713,"")</f>
        <v/>
      </c>
      <c r="L2713" s="1" t="s">
        <v>3356</v>
      </c>
      <c r="M2713" s="1" t="str">
        <f aca="false">IF(J2713&lt;&gt;"",J2713,L2713)</f>
        <v>36, 40, GYARADOS</v>
      </c>
    </row>
    <row r="2714" customFormat="false" ht="12.75" hidden="false" customHeight="true" outlineLevel="0" collapsed="false">
      <c r="A2714" s="3" t="s">
        <v>3452</v>
      </c>
      <c r="B2714" s="3" t="str">
        <f aca="false">IF(ISNUMBER(SEARCH("%", A2714)),RIGHT(A2714,3),A2714)</f>
        <v>38, 42, STARMIE</v>
      </c>
      <c r="C2714" s="1" t="str">
        <f aca="false" t="array" ref="C2714:C2714">IF(B2713="NEW ROUTE",textsplit(B2714,","),"")</f>
        <v/>
      </c>
      <c r="H2714" s="1" t="str">
        <f aca="false">IF(C2714&lt;&gt;"",DEC2HEX(C2714,2),"")</f>
        <v/>
      </c>
      <c r="I2714" s="1" t="str">
        <f aca="false">IF(D2714&lt;&gt;"",DEC2HEX(D2714,2),"")</f>
        <v/>
      </c>
      <c r="J2714" s="1" t="str">
        <f aca="false">IF(H2714&lt;&gt;"","0x"&amp;I2714&amp;H2714,"")</f>
        <v/>
      </c>
      <c r="L2714" s="1" t="s">
        <v>3452</v>
      </c>
      <c r="M2714" s="1" t="str">
        <f aca="false">IF(J2714&lt;&gt;"",J2714,L2714)</f>
        <v>38, 42, STARMIE</v>
      </c>
    </row>
    <row r="2715" customFormat="false" ht="12.75" hidden="false" customHeight="true" outlineLevel="0" collapsed="false">
      <c r="A2715" s="3" t="s">
        <v>3453</v>
      </c>
      <c r="B2715" s="3" t="str">
        <f aca="false">IF(ISNUMBER(SEARCH("%", A2715)),RIGHT(A2715,3),A2715)</f>
        <v>38, 42, CLOYSTER</v>
      </c>
      <c r="C2715" s="1" t="str">
        <f aca="false" t="array" ref="C2715:C2715">IF(B2714="NEW ROUTE",textsplit(B2715,","),"")</f>
        <v/>
      </c>
      <c r="H2715" s="1" t="str">
        <f aca="false">IF(C2715&lt;&gt;"",DEC2HEX(C2715,2),"")</f>
        <v/>
      </c>
      <c r="I2715" s="1" t="str">
        <f aca="false">IF(D2715&lt;&gt;"",DEC2HEX(D2715,2),"")</f>
        <v/>
      </c>
      <c r="J2715" s="1" t="str">
        <f aca="false">IF(H2715&lt;&gt;"","0x"&amp;I2715&amp;H2715,"")</f>
        <v/>
      </c>
      <c r="L2715" s="1" t="s">
        <v>3453</v>
      </c>
      <c r="M2715" s="1" t="str">
        <f aca="false">IF(J2715&lt;&gt;"",J2715,L2715)</f>
        <v>38, 42, CLOYSTER</v>
      </c>
    </row>
    <row r="2716" customFormat="false" ht="12.75" hidden="false" customHeight="true" outlineLevel="0" collapsed="false">
      <c r="A2716" s="3" t="s">
        <v>3454</v>
      </c>
      <c r="B2716" s="3" t="str">
        <f aca="false">IF(ISNUMBER(SEARCH("%", A2716)),RIGHT(A2716,3),A2716)</f>
        <v>38, 42, STARUS</v>
      </c>
      <c r="C2716" s="1" t="str">
        <f aca="false" t="array" ref="C2716:C2716">IF(B2715="NEW ROUTE",textsplit(B2716,","),"")</f>
        <v/>
      </c>
      <c r="H2716" s="1" t="str">
        <f aca="false">IF(C2716&lt;&gt;"",DEC2HEX(C2716,2),"")</f>
        <v/>
      </c>
      <c r="I2716" s="1" t="str">
        <f aca="false">IF(D2716&lt;&gt;"",DEC2HEX(D2716,2),"")</f>
        <v/>
      </c>
      <c r="J2716" s="1" t="str">
        <f aca="false">IF(H2716&lt;&gt;"","0x"&amp;I2716&amp;H2716,"")</f>
        <v/>
      </c>
      <c r="L2716" s="1" t="s">
        <v>3454</v>
      </c>
      <c r="M2716" s="1" t="str">
        <f aca="false">IF(J2716&lt;&gt;"",J2716,L2716)</f>
        <v>38, 42, STARUS</v>
      </c>
    </row>
    <row r="2717" customFormat="false" ht="12.75" hidden="false" customHeight="true" outlineLevel="0" collapsed="false">
      <c r="A2717" s="3" t="s">
        <v>2536</v>
      </c>
      <c r="B2717" s="3" t="str">
        <f aca="false">IF(ISNUMBER(SEARCH("%", A2717)),RIGHT(A2717,3),A2717)</f>
        <v>NEW ROUTE</v>
      </c>
      <c r="C2717" s="1" t="str">
        <f aca="false" t="array" ref="C2717:C2717">IF(B2716="NEW ROUTE",textsplit(B2717,","),"")</f>
        <v/>
      </c>
      <c r="H2717" s="1" t="str">
        <f aca="false">IF(C2717&lt;&gt;"",DEC2HEX(C2717,2),"")</f>
        <v/>
      </c>
      <c r="I2717" s="1" t="str">
        <f aca="false">IF(D2717&lt;&gt;"",DEC2HEX(D2717,2),"")</f>
        <v/>
      </c>
      <c r="J2717" s="1" t="str">
        <f aca="false">IF(H2717&lt;&gt;"","0x"&amp;I2717&amp;H2717,"")</f>
        <v/>
      </c>
      <c r="L2717" s="1" t="s">
        <v>2536</v>
      </c>
      <c r="M2717" s="1" t="str">
        <f aca="false">IF(J2717&lt;&gt;"",J2717,L2717)</f>
        <v>NEW ROUTE</v>
      </c>
    </row>
    <row r="2718" customFormat="false" ht="12.75" hidden="false" customHeight="true" outlineLevel="0" collapsed="false">
      <c r="A2718" s="3" t="s">
        <v>3616</v>
      </c>
      <c r="B2718" s="3" t="str">
        <f aca="false">IF(ISNUMBER(SEARCH("%", A2718)),RIGHT(A2718,3),A2718)</f>
        <v>3, 6, 0, &lt;null&gt;,</v>
      </c>
      <c r="C2718" s="1" t="e">
        <f aca="false" t="array" ref="C2718:C2718">IF(B2717="NEW ROUTE",textsplit(B2718,","),"")</f>
        <v>#NAME?</v>
      </c>
      <c r="H2718" s="1" t="e">
        <f aca="false">IF(C2718&lt;&gt;"",DEC2HEX(C2718,2),"")</f>
        <v>#NAME?</v>
      </c>
      <c r="I2718" s="1" t="str">
        <f aca="false">IF(D2718&lt;&gt;"",DEC2HEX(D2718,2),"")</f>
        <v/>
      </c>
      <c r="J2718" s="1" t="e">
        <f aca="false">IF(H2718&lt;&gt;"","0x"&amp;I2718&amp;H2718,"")</f>
        <v>#NAME?</v>
      </c>
      <c r="L2718" s="1" t="s">
        <v>3616</v>
      </c>
      <c r="M2718" s="1" t="e">
        <f aca="false">IF(J2718&lt;&gt;"",J2718,L2718)</f>
        <v>#NAME?</v>
      </c>
    </row>
    <row r="2719" customFormat="false" ht="12.75" hidden="false" customHeight="true" outlineLevel="0" collapsed="false">
      <c r="A2719" s="3" t="s">
        <v>3612</v>
      </c>
      <c r="B2719" s="3" t="str">
        <f aca="false">IF(ISNUMBER(SEARCH("%", A2719)),RIGHT(A2719,3),A2719)</f>
        <v>1, 38, 42, PSYDUCK</v>
      </c>
      <c r="C2719" s="1" t="str">
        <f aca="false" t="array" ref="C2719:C2719">IF(B2718="NEW ROUTE",textsplit(B2719,","),"")</f>
        <v/>
      </c>
      <c r="H2719" s="1" t="str">
        <f aca="false">IF(C2719&lt;&gt;"",DEC2HEX(C2719,2),"")</f>
        <v/>
      </c>
      <c r="I2719" s="1" t="str">
        <f aca="false">IF(D2719&lt;&gt;"",DEC2HEX(D2719,2),"")</f>
        <v/>
      </c>
      <c r="J2719" s="1" t="str">
        <f aca="false">IF(H2719&lt;&gt;"","0x"&amp;I2719&amp;H2719,"")</f>
        <v/>
      </c>
      <c r="L2719" s="1" t="s">
        <v>3612</v>
      </c>
      <c r="M2719" s="1" t="str">
        <f aca="false">IF(J2719&lt;&gt;"",J2719,L2719)</f>
        <v>1, 38, 42, PSYDUCK</v>
      </c>
    </row>
    <row r="2720" customFormat="false" ht="12.75" hidden="false" customHeight="true" outlineLevel="0" collapsed="false">
      <c r="A2720" s="3" t="s">
        <v>3374</v>
      </c>
      <c r="B2720" s="3" t="str">
        <f aca="false">IF(ISNUMBER(SEARCH("%", A2720)),RIGHT(A2720,3),A2720)</f>
        <v>40, 44, SLOWPOKE</v>
      </c>
      <c r="C2720" s="1" t="str">
        <f aca="false" t="array" ref="C2720:C2720">IF(B2719="NEW ROUTE",textsplit(B2720,","),"")</f>
        <v/>
      </c>
      <c r="H2720" s="1" t="str">
        <f aca="false">IF(C2720&lt;&gt;"",DEC2HEX(C2720,2),"")</f>
        <v/>
      </c>
      <c r="I2720" s="1" t="str">
        <f aca="false">IF(D2720&lt;&gt;"",DEC2HEX(D2720,2),"")</f>
        <v/>
      </c>
      <c r="J2720" s="1" t="str">
        <f aca="false">IF(H2720&lt;&gt;"","0x"&amp;I2720&amp;H2720,"")</f>
        <v/>
      </c>
      <c r="L2720" s="1" t="s">
        <v>3374</v>
      </c>
      <c r="M2720" s="1" t="str">
        <f aca="false">IF(J2720&lt;&gt;"",J2720,L2720)</f>
        <v>40, 44, SLOWPOKE</v>
      </c>
    </row>
    <row r="2721" customFormat="false" ht="12.75" hidden="false" customHeight="true" outlineLevel="0" collapsed="false">
      <c r="A2721" s="3" t="s">
        <v>3617</v>
      </c>
      <c r="B2721" s="3" t="str">
        <f aca="false">IF(ISNUMBER(SEARCH("%", A2721)),RIGHT(A2721,3),A2721)</f>
        <v>42, 46, KOFFING</v>
      </c>
      <c r="C2721" s="1" t="str">
        <f aca="false" t="array" ref="C2721:C2721">IF(B2720="NEW ROUTE",textsplit(B2721,","),"")</f>
        <v/>
      </c>
      <c r="H2721" s="1" t="str">
        <f aca="false">IF(C2721&lt;&gt;"",DEC2HEX(C2721,2),"")</f>
        <v/>
      </c>
      <c r="I2721" s="1" t="str">
        <f aca="false">IF(D2721&lt;&gt;"",DEC2HEX(D2721,2),"")</f>
        <v/>
      </c>
      <c r="J2721" s="1" t="str">
        <f aca="false">IF(H2721&lt;&gt;"","0x"&amp;I2721&amp;H2721,"")</f>
        <v/>
      </c>
      <c r="L2721" s="1" t="s">
        <v>3617</v>
      </c>
      <c r="M2721" s="1" t="str">
        <f aca="false">IF(J2721&lt;&gt;"",J2721,L2721)</f>
        <v>42, 46, KOFFING</v>
      </c>
    </row>
    <row r="2722" customFormat="false" ht="12.75" hidden="false" customHeight="true" outlineLevel="0" collapsed="false">
      <c r="A2722" s="3" t="s">
        <v>2923</v>
      </c>
      <c r="B2722" s="3" t="str">
        <f aca="false">IF(ISNUMBER(SEARCH("%", A2722)),RIGHT(A2722,3),A2722)</f>
        <v>42, 46, GOLDUCK</v>
      </c>
      <c r="C2722" s="1" t="str">
        <f aca="false" t="array" ref="C2722:C2722">IF(B2721="NEW ROUTE",textsplit(B2722,","),"")</f>
        <v/>
      </c>
      <c r="H2722" s="1" t="str">
        <f aca="false">IF(C2722&lt;&gt;"",DEC2HEX(C2722,2),"")</f>
        <v/>
      </c>
      <c r="I2722" s="1" t="str">
        <f aca="false">IF(D2722&lt;&gt;"",DEC2HEX(D2722,2),"")</f>
        <v/>
      </c>
      <c r="J2722" s="1" t="str">
        <f aca="false">IF(H2722&lt;&gt;"","0x"&amp;I2722&amp;H2722,"")</f>
        <v/>
      </c>
      <c r="L2722" s="1" t="s">
        <v>2923</v>
      </c>
      <c r="M2722" s="1" t="str">
        <f aca="false">IF(J2722&lt;&gt;"",J2722,L2722)</f>
        <v>42, 46, GOLDUCK</v>
      </c>
    </row>
    <row r="2723" customFormat="false" ht="12.75" hidden="false" customHeight="true" outlineLevel="0" collapsed="false">
      <c r="A2723" s="3" t="s">
        <v>3618</v>
      </c>
      <c r="B2723" s="3" t="str">
        <f aca="false">IF(ISNUMBER(SEARCH("%", A2723)),RIGHT(A2723,3),A2723)</f>
        <v>44, 48, WEEZING</v>
      </c>
      <c r="C2723" s="1" t="str">
        <f aca="false" t="array" ref="C2723:C2723">IF(B2722="NEW ROUTE",textsplit(B2723,","),"")</f>
        <v/>
      </c>
      <c r="H2723" s="1" t="str">
        <f aca="false">IF(C2723&lt;&gt;"",DEC2HEX(C2723,2),"")</f>
        <v/>
      </c>
      <c r="I2723" s="1" t="str">
        <f aca="false">IF(D2723&lt;&gt;"",DEC2HEX(D2723,2),"")</f>
        <v/>
      </c>
      <c r="J2723" s="1" t="str">
        <f aca="false">IF(H2723&lt;&gt;"","0x"&amp;I2723&amp;H2723,"")</f>
        <v/>
      </c>
      <c r="L2723" s="1" t="s">
        <v>3618</v>
      </c>
      <c r="M2723" s="1" t="str">
        <f aca="false">IF(J2723&lt;&gt;"",J2723,L2723)</f>
        <v>44, 48, WEEZING</v>
      </c>
    </row>
    <row r="2724" customFormat="false" ht="12.75" hidden="false" customHeight="true" outlineLevel="0" collapsed="false">
      <c r="A2724" s="3" t="s">
        <v>2845</v>
      </c>
      <c r="B2724" s="3" t="str">
        <f aca="false">IF(ISNUMBER(SEARCH("%", A2724)),RIGHT(A2724,3),A2724)</f>
        <v>10, old rod:</v>
      </c>
      <c r="C2724" s="1" t="str">
        <f aca="false" t="array" ref="C2724:C2724">IF(B2723="NEW ROUTE",textsplit(B2724,","),"")</f>
        <v/>
      </c>
      <c r="H2724" s="1" t="str">
        <f aca="false">IF(C2724&lt;&gt;"",DEC2HEX(C2724,2),"")</f>
        <v/>
      </c>
      <c r="I2724" s="1" t="str">
        <f aca="false">IF(D2724&lt;&gt;"",DEC2HEX(D2724,2),"")</f>
        <v/>
      </c>
      <c r="J2724" s="1" t="str">
        <f aca="false">IF(H2724&lt;&gt;"","0x"&amp;I2724&amp;H2724,"")</f>
        <v/>
      </c>
      <c r="L2724" s="1" t="s">
        <v>2845</v>
      </c>
      <c r="M2724" s="1" t="str">
        <f aca="false">IF(J2724&lt;&gt;"",J2724,L2724)</f>
        <v>10, old rod:</v>
      </c>
    </row>
    <row r="2725" customFormat="false" ht="12.75" hidden="false" customHeight="true" outlineLevel="0" collapsed="false">
      <c r="A2725" s="3" t="s">
        <v>1349</v>
      </c>
      <c r="B2725" s="3" t="str">
        <f aca="false">IF(ISNUMBER(SEARCH("%", A2725)),RIGHT(A2725,3),A2725)</f>
        <v>19, 26, MAGIKARP</v>
      </c>
      <c r="C2725" s="1" t="str">
        <f aca="false" t="array" ref="C2725:C2725">IF(B2724="NEW ROUTE",textsplit(B2725,","),"")</f>
        <v/>
      </c>
      <c r="H2725" s="1" t="str">
        <f aca="false">IF(C2725&lt;&gt;"",DEC2HEX(C2725,2),"")</f>
        <v/>
      </c>
      <c r="I2725" s="1" t="str">
        <f aca="false">IF(D2725&lt;&gt;"",DEC2HEX(D2725,2),"")</f>
        <v/>
      </c>
      <c r="J2725" s="1" t="str">
        <f aca="false">IF(H2725&lt;&gt;"","0x"&amp;I2725&amp;H2725,"")</f>
        <v/>
      </c>
      <c r="L2725" s="1" t="s">
        <v>1349</v>
      </c>
      <c r="M2725" s="1" t="str">
        <f aca="false">IF(J2725&lt;&gt;"",J2725,L2725)</f>
        <v>19, 26, MAGIKARP</v>
      </c>
    </row>
    <row r="2726" customFormat="false" ht="12.75" hidden="false" customHeight="true" outlineLevel="0" collapsed="false">
      <c r="A2726" s="3" t="s">
        <v>3619</v>
      </c>
      <c r="B2726" s="3" t="str">
        <f aca="false">IF(ISNUMBER(SEARCH("%", A2726)),RIGHT(A2726,3),A2726)</f>
        <v>19, 26, GRIMER</v>
      </c>
      <c r="C2726" s="1" t="str">
        <f aca="false" t="array" ref="C2726:C2726">IF(B2725="NEW ROUTE",textsplit(B2726,","),"")</f>
        <v/>
      </c>
      <c r="H2726" s="1" t="str">
        <f aca="false">IF(C2726&lt;&gt;"",DEC2HEX(C2726,2),"")</f>
        <v/>
      </c>
      <c r="I2726" s="1" t="str">
        <f aca="false">IF(D2726&lt;&gt;"",DEC2HEX(D2726,2),"")</f>
        <v/>
      </c>
      <c r="J2726" s="1" t="str">
        <f aca="false">IF(H2726&lt;&gt;"","0x"&amp;I2726&amp;H2726,"")</f>
        <v/>
      </c>
      <c r="L2726" s="1" t="s">
        <v>3619</v>
      </c>
      <c r="M2726" s="1" t="str">
        <f aca="false">IF(J2726&lt;&gt;"",J2726,L2726)</f>
        <v>19, 26, GRIMER</v>
      </c>
    </row>
    <row r="2727" customFormat="false" ht="12.75" hidden="false" customHeight="true" outlineLevel="0" collapsed="false">
      <c r="A2727" s="3" t="s">
        <v>2846</v>
      </c>
      <c r="B2727" s="3" t="str">
        <f aca="false">IF(ISNUMBER(SEARCH("%", A2727)),RIGHT(A2727,3),A2727)</f>
        <v>good rod:</v>
      </c>
      <c r="C2727" s="1" t="str">
        <f aca="false" t="array" ref="C2727:C2727">IF(B2726="NEW ROUTE",textsplit(B2727,","),"")</f>
        <v/>
      </c>
      <c r="H2727" s="1" t="str">
        <f aca="false">IF(C2727&lt;&gt;"",DEC2HEX(C2727,2),"")</f>
        <v/>
      </c>
      <c r="I2727" s="1" t="str">
        <f aca="false">IF(D2727&lt;&gt;"",DEC2HEX(D2727,2),"")</f>
        <v/>
      </c>
      <c r="J2727" s="1" t="str">
        <f aca="false">IF(H2727&lt;&gt;"","0x"&amp;I2727&amp;H2727,"")</f>
        <v/>
      </c>
      <c r="L2727" s="1" t="s">
        <v>2846</v>
      </c>
      <c r="M2727" s="1" t="str">
        <f aca="false">IF(J2727&lt;&gt;"",J2727,L2727)</f>
        <v>good rod:</v>
      </c>
    </row>
    <row r="2728" customFormat="false" ht="12.75" hidden="false" customHeight="true" outlineLevel="0" collapsed="false">
      <c r="A2728" s="3" t="s">
        <v>3559</v>
      </c>
      <c r="B2728" s="3" t="str">
        <f aca="false">IF(ISNUMBER(SEARCH("%", A2728)),RIGHT(A2728,3),A2728)</f>
        <v>29, 33, MAGIKARP</v>
      </c>
      <c r="C2728" s="1" t="str">
        <f aca="false" t="array" ref="C2728:C2728">IF(B2727="NEW ROUTE",textsplit(B2728,","),"")</f>
        <v/>
      </c>
      <c r="H2728" s="1" t="str">
        <f aca="false">IF(C2728&lt;&gt;"",DEC2HEX(C2728,2),"")</f>
        <v/>
      </c>
      <c r="I2728" s="1" t="str">
        <f aca="false">IF(D2728&lt;&gt;"",DEC2HEX(D2728,2),"")</f>
        <v/>
      </c>
      <c r="J2728" s="1" t="str">
        <f aca="false">IF(H2728&lt;&gt;"","0x"&amp;I2728&amp;H2728,"")</f>
        <v/>
      </c>
      <c r="L2728" s="1" t="s">
        <v>3559</v>
      </c>
      <c r="M2728" s="1" t="str">
        <f aca="false">IF(J2728&lt;&gt;"",J2728,L2728)</f>
        <v>29, 33, MAGIKARP</v>
      </c>
    </row>
    <row r="2729" customFormat="false" ht="12.75" hidden="false" customHeight="true" outlineLevel="0" collapsed="false">
      <c r="A2729" s="3" t="s">
        <v>3560</v>
      </c>
      <c r="B2729" s="3" t="str">
        <f aca="false">IF(ISNUMBER(SEARCH("%", A2729)),RIGHT(A2729,3),A2729)</f>
        <v>30, 35, GYARADOS</v>
      </c>
      <c r="C2729" s="1" t="str">
        <f aca="false" t="array" ref="C2729:C2729">IF(B2728="NEW ROUTE",textsplit(B2729,","),"")</f>
        <v/>
      </c>
      <c r="H2729" s="1" t="str">
        <f aca="false">IF(C2729&lt;&gt;"",DEC2HEX(C2729,2),"")</f>
        <v/>
      </c>
      <c r="I2729" s="1" t="str">
        <f aca="false">IF(D2729&lt;&gt;"",DEC2HEX(D2729,2),"")</f>
        <v/>
      </c>
      <c r="J2729" s="1" t="str">
        <f aca="false">IF(H2729&lt;&gt;"","0x"&amp;I2729&amp;H2729,"")</f>
        <v/>
      </c>
      <c r="L2729" s="1" t="s">
        <v>3560</v>
      </c>
      <c r="M2729" s="1" t="str">
        <f aca="false">IF(J2729&lt;&gt;"",J2729,L2729)</f>
        <v>30, 35, GYARADOS</v>
      </c>
    </row>
    <row r="2730" customFormat="false" ht="12.75" hidden="false" customHeight="true" outlineLevel="0" collapsed="false">
      <c r="A2730" s="3" t="s">
        <v>3620</v>
      </c>
      <c r="B2730" s="3" t="str">
        <f aca="false">IF(ISNUMBER(SEARCH("%", A2730)),RIGHT(A2730,3),A2730)</f>
        <v>30, 35, MUK</v>
      </c>
      <c r="C2730" s="1" t="str">
        <f aca="false" t="array" ref="C2730:C2730">IF(B2729="NEW ROUTE",textsplit(B2730,","),"")</f>
        <v/>
      </c>
      <c r="H2730" s="1" t="str">
        <f aca="false">IF(C2730&lt;&gt;"",DEC2HEX(C2730,2),"")</f>
        <v/>
      </c>
      <c r="I2730" s="1" t="str">
        <f aca="false">IF(D2730&lt;&gt;"",DEC2HEX(D2730,2),"")</f>
        <v/>
      </c>
      <c r="J2730" s="1" t="str">
        <f aca="false">IF(H2730&lt;&gt;"","0x"&amp;I2730&amp;H2730,"")</f>
        <v/>
      </c>
      <c r="L2730" s="1" t="s">
        <v>3620</v>
      </c>
      <c r="M2730" s="1" t="str">
        <f aca="false">IF(J2730&lt;&gt;"",J2730,L2730)</f>
        <v>30, 35, MUK</v>
      </c>
    </row>
    <row r="2731" customFormat="false" ht="12.75" hidden="false" customHeight="true" outlineLevel="0" collapsed="false">
      <c r="A2731" s="3" t="s">
        <v>2850</v>
      </c>
      <c r="B2731" s="3" t="str">
        <f aca="false">IF(ISNUMBER(SEARCH("%", A2731)),RIGHT(A2731,3),A2731)</f>
        <v>super rod:</v>
      </c>
      <c r="C2731" s="1" t="str">
        <f aca="false" t="array" ref="C2731:C2731">IF(B2730="NEW ROUTE",textsplit(B2731,","),"")</f>
        <v/>
      </c>
      <c r="H2731" s="1" t="str">
        <f aca="false">IF(C2731&lt;&gt;"",DEC2HEX(C2731,2),"")</f>
        <v/>
      </c>
      <c r="I2731" s="1" t="str">
        <f aca="false">IF(D2731&lt;&gt;"",DEC2HEX(D2731,2),"")</f>
        <v/>
      </c>
      <c r="J2731" s="1" t="str">
        <f aca="false">IF(H2731&lt;&gt;"","0x"&amp;I2731&amp;H2731,"")</f>
        <v/>
      </c>
      <c r="L2731" s="1" t="s">
        <v>2850</v>
      </c>
      <c r="M2731" s="1" t="str">
        <f aca="false">IF(J2731&lt;&gt;"",J2731,L2731)</f>
        <v>super rod:</v>
      </c>
    </row>
    <row r="2732" customFormat="false" ht="12.75" hidden="false" customHeight="true" outlineLevel="0" collapsed="false">
      <c r="A2732" s="3" t="s">
        <v>3356</v>
      </c>
      <c r="B2732" s="3" t="str">
        <f aca="false">IF(ISNUMBER(SEARCH("%", A2732)),RIGHT(A2732,3),A2732)</f>
        <v>36, 40, GYARADOS</v>
      </c>
      <c r="C2732" s="1" t="str">
        <f aca="false" t="array" ref="C2732:C2732">IF(B2731="NEW ROUTE",textsplit(B2732,","),"")</f>
        <v/>
      </c>
      <c r="H2732" s="1" t="str">
        <f aca="false">IF(C2732&lt;&gt;"",DEC2HEX(C2732,2),"")</f>
        <v/>
      </c>
      <c r="I2732" s="1" t="str">
        <f aca="false">IF(D2732&lt;&gt;"",DEC2HEX(D2732,2),"")</f>
        <v/>
      </c>
      <c r="J2732" s="1" t="str">
        <f aca="false">IF(H2732&lt;&gt;"","0x"&amp;I2732&amp;H2732,"")</f>
        <v/>
      </c>
      <c r="L2732" s="1" t="s">
        <v>3356</v>
      </c>
      <c r="M2732" s="1" t="str">
        <f aca="false">IF(J2732&lt;&gt;"",J2732,L2732)</f>
        <v>36, 40, GYARADOS</v>
      </c>
    </row>
    <row r="2733" customFormat="false" ht="12.75" hidden="false" customHeight="true" outlineLevel="0" collapsed="false">
      <c r="A2733" s="3" t="s">
        <v>3621</v>
      </c>
      <c r="B2733" s="3" t="str">
        <f aca="false">IF(ISNUMBER(SEARCH("%", A2733)),RIGHT(A2733,3),A2733)</f>
        <v>36, 40, MUK</v>
      </c>
      <c r="C2733" s="1" t="str">
        <f aca="false" t="array" ref="C2733:C2733">IF(B2732="NEW ROUTE",textsplit(B2733,","),"")</f>
        <v/>
      </c>
      <c r="H2733" s="1" t="str">
        <f aca="false">IF(C2733&lt;&gt;"",DEC2HEX(C2733,2),"")</f>
        <v/>
      </c>
      <c r="I2733" s="1" t="str">
        <f aca="false">IF(D2733&lt;&gt;"",DEC2HEX(D2733,2),"")</f>
        <v/>
      </c>
      <c r="J2733" s="1" t="str">
        <f aca="false">IF(H2733&lt;&gt;"","0x"&amp;I2733&amp;H2733,"")</f>
        <v/>
      </c>
      <c r="L2733" s="1" t="s">
        <v>3621</v>
      </c>
      <c r="M2733" s="1" t="str">
        <f aca="false">IF(J2733&lt;&gt;"",J2733,L2733)</f>
        <v>36, 40, MUK</v>
      </c>
    </row>
    <row r="2734" customFormat="false" ht="12.75" hidden="false" customHeight="true" outlineLevel="0" collapsed="false">
      <c r="A2734" s="3" t="s">
        <v>3622</v>
      </c>
      <c r="B2734" s="3" t="str">
        <f aca="false">IF(ISNUMBER(SEARCH("%", A2734)),RIGHT(A2734,3),A2734)</f>
        <v>41, 41, GYARADOS</v>
      </c>
      <c r="C2734" s="1" t="str">
        <f aca="false" t="array" ref="C2734:C2734">IF(B2733="NEW ROUTE",textsplit(B2734,","),"")</f>
        <v/>
      </c>
      <c r="H2734" s="1" t="str">
        <f aca="false">IF(C2734&lt;&gt;"",DEC2HEX(C2734,2),"")</f>
        <v/>
      </c>
      <c r="I2734" s="1" t="str">
        <f aca="false">IF(D2734&lt;&gt;"",DEC2HEX(D2734,2),"")</f>
        <v/>
      </c>
      <c r="J2734" s="1" t="str">
        <f aca="false">IF(H2734&lt;&gt;"","0x"&amp;I2734&amp;H2734,"")</f>
        <v/>
      </c>
      <c r="L2734" s="1" t="s">
        <v>3622</v>
      </c>
      <c r="M2734" s="1" t="str">
        <f aca="false">IF(J2734&lt;&gt;"",J2734,L2734)</f>
        <v>41, 41, GYARADOS</v>
      </c>
    </row>
    <row r="2735" customFormat="false" ht="12.75" hidden="false" customHeight="true" outlineLevel="0" collapsed="false">
      <c r="A2735" s="3" t="s">
        <v>3623</v>
      </c>
      <c r="B2735" s="3" t="str">
        <f aca="false">IF(ISNUMBER(SEARCH("%", A2735)),RIGHT(A2735,3),A2735)</f>
        <v>38, 42, HYDRADOS</v>
      </c>
      <c r="C2735" s="1" t="str">
        <f aca="false" t="array" ref="C2735:C2735">IF(B2734="NEW ROUTE",textsplit(B2735,","),"")</f>
        <v/>
      </c>
      <c r="H2735" s="1" t="str">
        <f aca="false">IF(C2735&lt;&gt;"",DEC2HEX(C2735,2),"")</f>
        <v/>
      </c>
      <c r="I2735" s="1" t="str">
        <f aca="false">IF(D2735&lt;&gt;"",DEC2HEX(D2735,2),"")</f>
        <v/>
      </c>
      <c r="J2735" s="1" t="str">
        <f aca="false">IF(H2735&lt;&gt;"","0x"&amp;I2735&amp;H2735,"")</f>
        <v/>
      </c>
      <c r="L2735" s="1" t="s">
        <v>3623</v>
      </c>
      <c r="M2735" s="1" t="str">
        <f aca="false">IF(J2735&lt;&gt;"",J2735,L2735)</f>
        <v>38, 42, HYDRADOS</v>
      </c>
    </row>
    <row r="2736" customFormat="false" ht="12.75" hidden="false" customHeight="true" outlineLevel="0" collapsed="false">
      <c r="A2736" s="3" t="s">
        <v>3624</v>
      </c>
      <c r="B2736" s="3" t="str">
        <f aca="false">IF(ISNUMBER(SEARCH("%", A2736)),RIGHT(A2736,3),A2736)</f>
        <v>40, 44, GUNK</v>
      </c>
      <c r="C2736" s="1" t="str">
        <f aca="false" t="array" ref="C2736:C2736">IF(B2735="NEW ROUTE",textsplit(B2736,","),"")</f>
        <v/>
      </c>
      <c r="H2736" s="1" t="str">
        <f aca="false">IF(C2736&lt;&gt;"",DEC2HEX(C2736,2),"")</f>
        <v/>
      </c>
      <c r="I2736" s="1" t="str">
        <f aca="false">IF(D2736&lt;&gt;"",DEC2HEX(D2736,2),"")</f>
        <v/>
      </c>
      <c r="J2736" s="1" t="str">
        <f aca="false">IF(H2736&lt;&gt;"","0x"&amp;I2736&amp;H2736,"")</f>
        <v/>
      </c>
      <c r="L2736" s="1" t="s">
        <v>3624</v>
      </c>
      <c r="M2736" s="1" t="str">
        <f aca="false">IF(J2736&lt;&gt;"",J2736,L2736)</f>
        <v>40, 44, GUNK</v>
      </c>
    </row>
    <row r="2737" customFormat="false" ht="12.75" hidden="false" customHeight="true" outlineLevel="0" collapsed="false">
      <c r="A2737" s="3" t="s">
        <v>2536</v>
      </c>
      <c r="B2737" s="3" t="str">
        <f aca="false">IF(ISNUMBER(SEARCH("%", A2737)),RIGHT(A2737,3),A2737)</f>
        <v>NEW ROUTE</v>
      </c>
      <c r="C2737" s="1" t="str">
        <f aca="false" t="array" ref="C2737:C2737">IF(B2736="NEW ROUTE",textsplit(B2737,","),"")</f>
        <v/>
      </c>
      <c r="H2737" s="1" t="str">
        <f aca="false">IF(C2737&lt;&gt;"",DEC2HEX(C2737,2),"")</f>
        <v/>
      </c>
      <c r="I2737" s="1" t="str">
        <f aca="false">IF(D2737&lt;&gt;"",DEC2HEX(D2737,2),"")</f>
        <v/>
      </c>
      <c r="J2737" s="1" t="str">
        <f aca="false">IF(H2737&lt;&gt;"","0x"&amp;I2737&amp;H2737,"")</f>
        <v/>
      </c>
      <c r="L2737" s="1" t="s">
        <v>2536</v>
      </c>
      <c r="M2737" s="1" t="str">
        <f aca="false">IF(J2737&lt;&gt;"",J2737,L2737)</f>
        <v>NEW ROUTE</v>
      </c>
    </row>
    <row r="2738" customFormat="false" ht="12.75" hidden="false" customHeight="true" outlineLevel="0" collapsed="false">
      <c r="A2738" s="3" t="s">
        <v>3625</v>
      </c>
      <c r="B2738" s="3" t="str">
        <f aca="false">IF(ISNUMBER(SEARCH("%", A2738)),RIGHT(A2738,3),A2738)</f>
        <v>3, 7, 0, &lt;null&gt;,</v>
      </c>
      <c r="C2738" s="1" t="e">
        <f aca="false" t="array" ref="C2738:C2738">IF(B2737="NEW ROUTE",textsplit(B2738,","),"")</f>
        <v>#NAME?</v>
      </c>
      <c r="H2738" s="1" t="e">
        <f aca="false">IF(C2738&lt;&gt;"",DEC2HEX(C2738,2),"")</f>
        <v>#NAME?</v>
      </c>
      <c r="I2738" s="1" t="str">
        <f aca="false">IF(D2738&lt;&gt;"",DEC2HEX(D2738,2),"")</f>
        <v/>
      </c>
      <c r="J2738" s="1" t="e">
        <f aca="false">IF(H2738&lt;&gt;"","0x"&amp;I2738&amp;H2738,"")</f>
        <v>#NAME?</v>
      </c>
      <c r="L2738" s="1" t="s">
        <v>3625</v>
      </c>
      <c r="M2738" s="1" t="e">
        <f aca="false">IF(J2738&lt;&gt;"",J2738,L2738)</f>
        <v>#NAME?</v>
      </c>
    </row>
    <row r="2739" customFormat="false" ht="12.75" hidden="false" customHeight="true" outlineLevel="0" collapsed="false">
      <c r="A2739" s="3" t="s">
        <v>3609</v>
      </c>
      <c r="B2739" s="3" t="str">
        <f aca="false">IF(ISNUMBER(SEARCH("%", A2739)),RIGHT(A2739,3),A2739)</f>
        <v>1, 38, 42, TENTACOOL</v>
      </c>
      <c r="C2739" s="1" t="str">
        <f aca="false" t="array" ref="C2739:C2739">IF(B2738="NEW ROUTE",textsplit(B2739,","),"")</f>
        <v/>
      </c>
      <c r="H2739" s="1" t="str">
        <f aca="false">IF(C2739&lt;&gt;"",DEC2HEX(C2739,2),"")</f>
        <v/>
      </c>
      <c r="I2739" s="1" t="str">
        <f aca="false">IF(D2739&lt;&gt;"",DEC2HEX(D2739,2),"")</f>
        <v/>
      </c>
      <c r="J2739" s="1" t="str">
        <f aca="false">IF(H2739&lt;&gt;"","0x"&amp;I2739&amp;H2739,"")</f>
        <v/>
      </c>
      <c r="L2739" s="1" t="s">
        <v>3609</v>
      </c>
      <c r="M2739" s="1" t="str">
        <f aca="false">IF(J2739&lt;&gt;"",J2739,L2739)</f>
        <v>1, 38, 42, TENTACOOL</v>
      </c>
    </row>
    <row r="2740" customFormat="false" ht="12.75" hidden="false" customHeight="true" outlineLevel="0" collapsed="false">
      <c r="A2740" s="3" t="s">
        <v>3350</v>
      </c>
      <c r="B2740" s="3" t="str">
        <f aca="false">IF(ISNUMBER(SEARCH("%", A2740)),RIGHT(A2740,3),A2740)</f>
        <v>40, 44, PSYDUCK</v>
      </c>
      <c r="C2740" s="1" t="str">
        <f aca="false" t="array" ref="C2740:C2740">IF(B2739="NEW ROUTE",textsplit(B2740,","),"")</f>
        <v/>
      </c>
      <c r="H2740" s="1" t="str">
        <f aca="false">IF(C2740&lt;&gt;"",DEC2HEX(C2740,2),"")</f>
        <v/>
      </c>
      <c r="I2740" s="1" t="str">
        <f aca="false">IF(D2740&lt;&gt;"",DEC2HEX(D2740,2),"")</f>
        <v/>
      </c>
      <c r="J2740" s="1" t="str">
        <f aca="false">IF(H2740&lt;&gt;"","0x"&amp;I2740&amp;H2740,"")</f>
        <v/>
      </c>
      <c r="L2740" s="1" t="s">
        <v>3350</v>
      </c>
      <c r="M2740" s="1" t="str">
        <f aca="false">IF(J2740&lt;&gt;"",J2740,L2740)</f>
        <v>40, 44, PSYDUCK</v>
      </c>
    </row>
    <row r="2741" customFormat="false" ht="12.75" hidden="false" customHeight="true" outlineLevel="0" collapsed="false">
      <c r="A2741" s="3" t="s">
        <v>3351</v>
      </c>
      <c r="B2741" s="3" t="str">
        <f aca="false">IF(ISNUMBER(SEARCH("%", A2741)),RIGHT(A2741,3),A2741)</f>
        <v>42, 46, TENTACRUEL</v>
      </c>
      <c r="C2741" s="1" t="str">
        <f aca="false" t="array" ref="C2741:C2741">IF(B2740="NEW ROUTE",textsplit(B2741,","),"")</f>
        <v/>
      </c>
      <c r="H2741" s="1" t="str">
        <f aca="false">IF(C2741&lt;&gt;"",DEC2HEX(C2741,2),"")</f>
        <v/>
      </c>
      <c r="I2741" s="1" t="str">
        <f aca="false">IF(D2741&lt;&gt;"",DEC2HEX(D2741,2),"")</f>
        <v/>
      </c>
      <c r="J2741" s="1" t="str">
        <f aca="false">IF(H2741&lt;&gt;"","0x"&amp;I2741&amp;H2741,"")</f>
        <v/>
      </c>
      <c r="L2741" s="1" t="s">
        <v>3351</v>
      </c>
      <c r="M2741" s="1" t="str">
        <f aca="false">IF(J2741&lt;&gt;"",J2741,L2741)</f>
        <v>42, 46, TENTACRUEL</v>
      </c>
    </row>
    <row r="2742" customFormat="false" ht="12.75" hidden="false" customHeight="true" outlineLevel="0" collapsed="false">
      <c r="A2742" s="3" t="s">
        <v>2923</v>
      </c>
      <c r="B2742" s="3" t="str">
        <f aca="false">IF(ISNUMBER(SEARCH("%", A2742)),RIGHT(A2742,3),A2742)</f>
        <v>42, 46, GOLDUCK</v>
      </c>
      <c r="C2742" s="1" t="str">
        <f aca="false" t="array" ref="C2742:C2742">IF(B2741="NEW ROUTE",textsplit(B2742,","),"")</f>
        <v/>
      </c>
      <c r="H2742" s="1" t="str">
        <f aca="false">IF(C2742&lt;&gt;"",DEC2HEX(C2742,2),"")</f>
        <v/>
      </c>
      <c r="I2742" s="1" t="str">
        <f aca="false">IF(D2742&lt;&gt;"",DEC2HEX(D2742,2),"")</f>
        <v/>
      </c>
      <c r="J2742" s="1" t="str">
        <f aca="false">IF(H2742&lt;&gt;"","0x"&amp;I2742&amp;H2742,"")</f>
        <v/>
      </c>
      <c r="L2742" s="1" t="s">
        <v>2923</v>
      </c>
      <c r="M2742" s="1" t="str">
        <f aca="false">IF(J2742&lt;&gt;"",J2742,L2742)</f>
        <v>42, 46, GOLDUCK</v>
      </c>
    </row>
    <row r="2743" customFormat="false" ht="12.75" hidden="false" customHeight="true" outlineLevel="0" collapsed="false">
      <c r="A2743" s="3" t="s">
        <v>2924</v>
      </c>
      <c r="B2743" s="3" t="str">
        <f aca="false">IF(ISNUMBER(SEARCH("%", A2743)),RIGHT(A2743,3),A2743)</f>
        <v>44, 48, VAPOREON</v>
      </c>
      <c r="C2743" s="1" t="str">
        <f aca="false" t="array" ref="C2743:C2743">IF(B2742="NEW ROUTE",textsplit(B2743,","),"")</f>
        <v/>
      </c>
      <c r="H2743" s="1" t="str">
        <f aca="false">IF(C2743&lt;&gt;"",DEC2HEX(C2743,2),"")</f>
        <v/>
      </c>
      <c r="I2743" s="1" t="str">
        <f aca="false">IF(D2743&lt;&gt;"",DEC2HEX(D2743,2),"")</f>
        <v/>
      </c>
      <c r="J2743" s="1" t="str">
        <f aca="false">IF(H2743&lt;&gt;"","0x"&amp;I2743&amp;H2743,"")</f>
        <v/>
      </c>
      <c r="L2743" s="1" t="s">
        <v>2924</v>
      </c>
      <c r="M2743" s="1" t="str">
        <f aca="false">IF(J2743&lt;&gt;"",J2743,L2743)</f>
        <v>44, 48, VAPOREON</v>
      </c>
    </row>
    <row r="2744" customFormat="false" ht="12.75" hidden="false" customHeight="true" outlineLevel="0" collapsed="false">
      <c r="A2744" s="3" t="s">
        <v>2845</v>
      </c>
      <c r="B2744" s="3" t="str">
        <f aca="false">IF(ISNUMBER(SEARCH("%", A2744)),RIGHT(A2744,3),A2744)</f>
        <v>10, old rod:</v>
      </c>
      <c r="C2744" s="1" t="str">
        <f aca="false" t="array" ref="C2744:C2744">IF(B2743="NEW ROUTE",textsplit(B2744,","),"")</f>
        <v/>
      </c>
      <c r="H2744" s="1" t="str">
        <f aca="false">IF(C2744&lt;&gt;"",DEC2HEX(C2744,2),"")</f>
        <v/>
      </c>
      <c r="I2744" s="1" t="str">
        <f aca="false">IF(D2744&lt;&gt;"",DEC2HEX(D2744,2),"")</f>
        <v/>
      </c>
      <c r="J2744" s="1" t="str">
        <f aca="false">IF(H2744&lt;&gt;"","0x"&amp;I2744&amp;H2744,"")</f>
        <v/>
      </c>
      <c r="L2744" s="1" t="s">
        <v>2845</v>
      </c>
      <c r="M2744" s="1" t="str">
        <f aca="false">IF(J2744&lt;&gt;"",J2744,L2744)</f>
        <v>10, old rod:</v>
      </c>
    </row>
    <row r="2745" customFormat="false" ht="12.75" hidden="false" customHeight="true" outlineLevel="0" collapsed="false">
      <c r="A2745" s="3" t="s">
        <v>2114</v>
      </c>
      <c r="B2745" s="3" t="str">
        <f aca="false">IF(ISNUMBER(SEARCH("%", A2745)),RIGHT(A2745,3),A2745)</f>
        <v>19, 26, SEEL</v>
      </c>
      <c r="C2745" s="1" t="str">
        <f aca="false" t="array" ref="C2745:C2745">IF(B2744="NEW ROUTE",textsplit(B2745,","),"")</f>
        <v/>
      </c>
      <c r="H2745" s="1" t="str">
        <f aca="false">IF(C2745&lt;&gt;"",DEC2HEX(C2745,2),"")</f>
        <v/>
      </c>
      <c r="I2745" s="1" t="str">
        <f aca="false">IF(D2745&lt;&gt;"",DEC2HEX(D2745,2),"")</f>
        <v/>
      </c>
      <c r="J2745" s="1" t="str">
        <f aca="false">IF(H2745&lt;&gt;"","0x"&amp;I2745&amp;H2745,"")</f>
        <v/>
      </c>
      <c r="L2745" s="1" t="s">
        <v>2114</v>
      </c>
      <c r="M2745" s="1" t="str">
        <f aca="false">IF(J2745&lt;&gt;"",J2745,L2745)</f>
        <v>19, 26, SEEL</v>
      </c>
    </row>
    <row r="2746" customFormat="false" ht="12.75" hidden="false" customHeight="true" outlineLevel="0" collapsed="false">
      <c r="A2746" s="3" t="s">
        <v>2926</v>
      </c>
      <c r="B2746" s="3" t="str">
        <f aca="false">IF(ISNUMBER(SEARCH("%", A2746)),RIGHT(A2746,3),A2746)</f>
        <v>19, 26, POLIWAG</v>
      </c>
      <c r="C2746" s="1" t="str">
        <f aca="false" t="array" ref="C2746:C2746">IF(B2745="NEW ROUTE",textsplit(B2746,","),"")</f>
        <v/>
      </c>
      <c r="H2746" s="1" t="str">
        <f aca="false">IF(C2746&lt;&gt;"",DEC2HEX(C2746,2),"")</f>
        <v/>
      </c>
      <c r="I2746" s="1" t="str">
        <f aca="false">IF(D2746&lt;&gt;"",DEC2HEX(D2746,2),"")</f>
        <v/>
      </c>
      <c r="J2746" s="1" t="str">
        <f aca="false">IF(H2746&lt;&gt;"","0x"&amp;I2746&amp;H2746,"")</f>
        <v/>
      </c>
      <c r="L2746" s="1" t="s">
        <v>2926</v>
      </c>
      <c r="M2746" s="1" t="str">
        <f aca="false">IF(J2746&lt;&gt;"",J2746,L2746)</f>
        <v>19, 26, POLIWAG</v>
      </c>
    </row>
    <row r="2747" customFormat="false" ht="12.75" hidden="false" customHeight="true" outlineLevel="0" collapsed="false">
      <c r="A2747" s="3" t="s">
        <v>2846</v>
      </c>
      <c r="B2747" s="3" t="str">
        <f aca="false">IF(ISNUMBER(SEARCH("%", A2747)),RIGHT(A2747,3),A2747)</f>
        <v>good rod:</v>
      </c>
      <c r="C2747" s="1" t="str">
        <f aca="false" t="array" ref="C2747:C2747">IF(B2746="NEW ROUTE",textsplit(B2747,","),"")</f>
        <v/>
      </c>
      <c r="H2747" s="1" t="str">
        <f aca="false">IF(C2747&lt;&gt;"",DEC2HEX(C2747,2),"")</f>
        <v/>
      </c>
      <c r="I2747" s="1" t="str">
        <f aca="false">IF(D2747&lt;&gt;"",DEC2HEX(D2747,2),"")</f>
        <v/>
      </c>
      <c r="J2747" s="1" t="str">
        <f aca="false">IF(H2747&lt;&gt;"","0x"&amp;I2747&amp;H2747,"")</f>
        <v/>
      </c>
      <c r="L2747" s="1" t="s">
        <v>2846</v>
      </c>
      <c r="M2747" s="1" t="str">
        <f aca="false">IF(J2747&lt;&gt;"",J2747,L2747)</f>
        <v>good rod:</v>
      </c>
    </row>
    <row r="2748" customFormat="false" ht="12.75" hidden="false" customHeight="true" outlineLevel="0" collapsed="false">
      <c r="A2748" s="3" t="s">
        <v>3626</v>
      </c>
      <c r="B2748" s="3" t="str">
        <f aca="false">IF(ISNUMBER(SEARCH("%", A2748)),RIGHT(A2748,3),A2748)</f>
        <v>29, 33, SEEL</v>
      </c>
      <c r="C2748" s="1" t="str">
        <f aca="false" t="array" ref="C2748:C2748">IF(B2747="NEW ROUTE",textsplit(B2748,","),"")</f>
        <v/>
      </c>
      <c r="H2748" s="1" t="str">
        <f aca="false">IF(C2748&lt;&gt;"",DEC2HEX(C2748,2),"")</f>
        <v/>
      </c>
      <c r="I2748" s="1" t="str">
        <f aca="false">IF(D2748&lt;&gt;"",DEC2HEX(D2748,2),"")</f>
        <v/>
      </c>
      <c r="J2748" s="1" t="str">
        <f aca="false">IF(H2748&lt;&gt;"","0x"&amp;I2748&amp;H2748,"")</f>
        <v/>
      </c>
      <c r="L2748" s="1" t="s">
        <v>3626</v>
      </c>
      <c r="M2748" s="1" t="str">
        <f aca="false">IF(J2748&lt;&gt;"",J2748,L2748)</f>
        <v>29, 33, SEEL</v>
      </c>
    </row>
    <row r="2749" customFormat="false" ht="12.75" hidden="false" customHeight="true" outlineLevel="0" collapsed="false">
      <c r="A2749" s="3" t="s">
        <v>2928</v>
      </c>
      <c r="B2749" s="3" t="str">
        <f aca="false">IF(ISNUMBER(SEARCH("%", A2749)),RIGHT(A2749,3),A2749)</f>
        <v>30, 35, POLIWAG</v>
      </c>
      <c r="C2749" s="1" t="str">
        <f aca="false" t="array" ref="C2749:C2749">IF(B2748="NEW ROUTE",textsplit(B2749,","),"")</f>
        <v/>
      </c>
      <c r="H2749" s="1" t="str">
        <f aca="false">IF(C2749&lt;&gt;"",DEC2HEX(C2749,2),"")</f>
        <v/>
      </c>
      <c r="I2749" s="1" t="str">
        <f aca="false">IF(D2749&lt;&gt;"",DEC2HEX(D2749,2),"")</f>
        <v/>
      </c>
      <c r="J2749" s="1" t="str">
        <f aca="false">IF(H2749&lt;&gt;"","0x"&amp;I2749&amp;H2749,"")</f>
        <v/>
      </c>
      <c r="L2749" s="1" t="s">
        <v>2928</v>
      </c>
      <c r="M2749" s="1" t="str">
        <f aca="false">IF(J2749&lt;&gt;"",J2749,L2749)</f>
        <v>30, 35, POLIWAG</v>
      </c>
    </row>
    <row r="2750" customFormat="false" ht="12.75" hidden="false" customHeight="true" outlineLevel="0" collapsed="false">
      <c r="A2750" s="3" t="s">
        <v>2929</v>
      </c>
      <c r="B2750" s="3" t="str">
        <f aca="false">IF(ISNUMBER(SEARCH("%", A2750)),RIGHT(A2750,3),A2750)</f>
        <v>30, 35, GOLDEEN</v>
      </c>
      <c r="C2750" s="1" t="str">
        <f aca="false" t="array" ref="C2750:C2750">IF(B2749="NEW ROUTE",textsplit(B2750,","),"")</f>
        <v/>
      </c>
      <c r="H2750" s="1" t="str">
        <f aca="false">IF(C2750&lt;&gt;"",DEC2HEX(C2750,2),"")</f>
        <v/>
      </c>
      <c r="I2750" s="1" t="str">
        <f aca="false">IF(D2750&lt;&gt;"",DEC2HEX(D2750,2),"")</f>
        <v/>
      </c>
      <c r="J2750" s="1" t="str">
        <f aca="false">IF(H2750&lt;&gt;"","0x"&amp;I2750&amp;H2750,"")</f>
        <v/>
      </c>
      <c r="L2750" s="1" t="s">
        <v>2929</v>
      </c>
      <c r="M2750" s="1" t="str">
        <f aca="false">IF(J2750&lt;&gt;"",J2750,L2750)</f>
        <v>30, 35, GOLDEEN</v>
      </c>
    </row>
    <row r="2751" customFormat="false" ht="12.75" hidden="false" customHeight="true" outlineLevel="0" collapsed="false">
      <c r="A2751" s="3" t="s">
        <v>2850</v>
      </c>
      <c r="B2751" s="3" t="str">
        <f aca="false">IF(ISNUMBER(SEARCH("%", A2751)),RIGHT(A2751,3),A2751)</f>
        <v>super rod:</v>
      </c>
      <c r="C2751" s="1" t="str">
        <f aca="false" t="array" ref="C2751:C2751">IF(B2750="NEW ROUTE",textsplit(B2751,","),"")</f>
        <v/>
      </c>
      <c r="H2751" s="1" t="str">
        <f aca="false">IF(C2751&lt;&gt;"",DEC2HEX(C2751,2),"")</f>
        <v/>
      </c>
      <c r="I2751" s="1" t="str">
        <f aca="false">IF(D2751&lt;&gt;"",DEC2HEX(D2751,2),"")</f>
        <v/>
      </c>
      <c r="J2751" s="1" t="str">
        <f aca="false">IF(H2751&lt;&gt;"","0x"&amp;I2751&amp;H2751,"")</f>
        <v/>
      </c>
      <c r="L2751" s="1" t="s">
        <v>2850</v>
      </c>
      <c r="M2751" s="1" t="str">
        <f aca="false">IF(J2751&lt;&gt;"",J2751,L2751)</f>
        <v>super rod:</v>
      </c>
    </row>
    <row r="2752" customFormat="false" ht="12.75" hidden="false" customHeight="true" outlineLevel="0" collapsed="false">
      <c r="A2752" s="3" t="s">
        <v>2930</v>
      </c>
      <c r="B2752" s="3" t="str">
        <f aca="false">IF(ISNUMBER(SEARCH("%", A2752)),RIGHT(A2752,3),A2752)</f>
        <v>36, 40, POLIWHIRL</v>
      </c>
      <c r="C2752" s="1" t="str">
        <f aca="false" t="array" ref="C2752:C2752">IF(B2751="NEW ROUTE",textsplit(B2752,","),"")</f>
        <v/>
      </c>
      <c r="H2752" s="1" t="str">
        <f aca="false">IF(C2752&lt;&gt;"",DEC2HEX(C2752,2),"")</f>
        <v/>
      </c>
      <c r="I2752" s="1" t="str">
        <f aca="false">IF(D2752&lt;&gt;"",DEC2HEX(D2752,2),"")</f>
        <v/>
      </c>
      <c r="J2752" s="1" t="str">
        <f aca="false">IF(H2752&lt;&gt;"","0x"&amp;I2752&amp;H2752,"")</f>
        <v/>
      </c>
      <c r="L2752" s="1" t="s">
        <v>2930</v>
      </c>
      <c r="M2752" s="1" t="str">
        <f aca="false">IF(J2752&lt;&gt;"",J2752,L2752)</f>
        <v>36, 40, POLIWHIRL</v>
      </c>
    </row>
    <row r="2753" customFormat="false" ht="12.75" hidden="false" customHeight="true" outlineLevel="0" collapsed="false">
      <c r="A2753" s="3" t="s">
        <v>3627</v>
      </c>
      <c r="B2753" s="3" t="str">
        <f aca="false">IF(ISNUMBER(SEARCH("%", A2753)),RIGHT(A2753,3),A2753)</f>
        <v>36, 40, DEWGONG</v>
      </c>
      <c r="C2753" s="1" t="str">
        <f aca="false" t="array" ref="C2753:C2753">IF(B2752="NEW ROUTE",textsplit(B2753,","),"")</f>
        <v/>
      </c>
      <c r="H2753" s="1" t="str">
        <f aca="false">IF(C2753&lt;&gt;"",DEC2HEX(C2753,2),"")</f>
        <v/>
      </c>
      <c r="I2753" s="1" t="str">
        <f aca="false">IF(D2753&lt;&gt;"",DEC2HEX(D2753,2),"")</f>
        <v/>
      </c>
      <c r="J2753" s="1" t="str">
        <f aca="false">IF(H2753&lt;&gt;"","0x"&amp;I2753&amp;H2753,"")</f>
        <v/>
      </c>
      <c r="L2753" s="1" t="s">
        <v>3627</v>
      </c>
      <c r="M2753" s="1" t="str">
        <f aca="false">IF(J2753&lt;&gt;"",J2753,L2753)</f>
        <v>36, 40, DEWGONG</v>
      </c>
    </row>
    <row r="2754" customFormat="false" ht="12.75" hidden="false" customHeight="true" outlineLevel="0" collapsed="false">
      <c r="A2754" s="3" t="s">
        <v>3628</v>
      </c>
      <c r="B2754" s="3" t="str">
        <f aca="false">IF(ISNUMBER(SEARCH("%", A2754)),RIGHT(A2754,3),A2754)</f>
        <v>38, 42, SEAKING</v>
      </c>
      <c r="C2754" s="1" t="str">
        <f aca="false" t="array" ref="C2754:C2754">IF(B2753="NEW ROUTE",textsplit(B2754,","),"")</f>
        <v/>
      </c>
      <c r="H2754" s="1" t="str">
        <f aca="false">IF(C2754&lt;&gt;"",DEC2HEX(C2754,2),"")</f>
        <v/>
      </c>
      <c r="I2754" s="1" t="str">
        <f aca="false">IF(D2754&lt;&gt;"",DEC2HEX(D2754,2),"")</f>
        <v/>
      </c>
      <c r="J2754" s="1" t="str">
        <f aca="false">IF(H2754&lt;&gt;"","0x"&amp;I2754&amp;H2754,"")</f>
        <v/>
      </c>
      <c r="L2754" s="1" t="s">
        <v>3628</v>
      </c>
      <c r="M2754" s="1" t="str">
        <f aca="false">IF(J2754&lt;&gt;"",J2754,L2754)</f>
        <v>38, 42, SEAKING</v>
      </c>
    </row>
    <row r="2755" customFormat="false" ht="12.75" hidden="false" customHeight="true" outlineLevel="0" collapsed="false">
      <c r="A2755" s="3" t="s">
        <v>3378</v>
      </c>
      <c r="B2755" s="3" t="str">
        <f aca="false">IF(ISNUMBER(SEARCH("%", A2755)),RIGHT(A2755,3),A2755)</f>
        <v>38, 42, POLIWRATH</v>
      </c>
      <c r="C2755" s="1" t="str">
        <f aca="false" t="array" ref="C2755:C2755">IF(B2754="NEW ROUTE",textsplit(B2755,","),"")</f>
        <v/>
      </c>
      <c r="H2755" s="1" t="str">
        <f aca="false">IF(C2755&lt;&gt;"",DEC2HEX(C2755,2),"")</f>
        <v/>
      </c>
      <c r="I2755" s="1" t="str">
        <f aca="false">IF(D2755&lt;&gt;"",DEC2HEX(D2755,2),"")</f>
        <v/>
      </c>
      <c r="J2755" s="1" t="str">
        <f aca="false">IF(H2755&lt;&gt;"","0x"&amp;I2755&amp;H2755,"")</f>
        <v/>
      </c>
      <c r="L2755" s="1" t="s">
        <v>3378</v>
      </c>
      <c r="M2755" s="1" t="str">
        <f aca="false">IF(J2755&lt;&gt;"",J2755,L2755)</f>
        <v>38, 42, POLIWRATH</v>
      </c>
    </row>
    <row r="2756" customFormat="false" ht="12.75" hidden="false" customHeight="true" outlineLevel="0" collapsed="false">
      <c r="A2756" s="3" t="s">
        <v>3629</v>
      </c>
      <c r="B2756" s="3" t="str">
        <f aca="false">IF(ISNUMBER(SEARCH("%", A2756)),RIGHT(A2756,3),A2756)</f>
        <v>40, 44, SEAREX</v>
      </c>
      <c r="C2756" s="1" t="str">
        <f aca="false" t="array" ref="C2756:C2756">IF(B2755="NEW ROUTE",textsplit(B2756,","),"")</f>
        <v/>
      </c>
      <c r="H2756" s="1" t="str">
        <f aca="false">IF(C2756&lt;&gt;"",DEC2HEX(C2756,2),"")</f>
        <v/>
      </c>
      <c r="I2756" s="1" t="str">
        <f aca="false">IF(D2756&lt;&gt;"",DEC2HEX(D2756,2),"")</f>
        <v/>
      </c>
      <c r="J2756" s="1" t="str">
        <f aca="false">IF(H2756&lt;&gt;"","0x"&amp;I2756&amp;H2756,"")</f>
        <v/>
      </c>
      <c r="L2756" s="1" t="s">
        <v>3629</v>
      </c>
      <c r="M2756" s="1" t="str">
        <f aca="false">IF(J2756&lt;&gt;"",J2756,L2756)</f>
        <v>40, 44, SEAREX</v>
      </c>
    </row>
    <row r="2757" customFormat="false" ht="12.75" hidden="false" customHeight="true" outlineLevel="0" collapsed="false">
      <c r="A2757" s="3" t="s">
        <v>2536</v>
      </c>
      <c r="B2757" s="3" t="str">
        <f aca="false">IF(ISNUMBER(SEARCH("%", A2757)),RIGHT(A2757,3),A2757)</f>
        <v>NEW ROUTE</v>
      </c>
      <c r="C2757" s="1" t="str">
        <f aca="false" t="array" ref="C2757:C2757">IF(B2756="NEW ROUTE",textsplit(B2757,","),"")</f>
        <v/>
      </c>
      <c r="H2757" s="1" t="str">
        <f aca="false">IF(C2757&lt;&gt;"",DEC2HEX(C2757,2),"")</f>
        <v/>
      </c>
      <c r="I2757" s="1" t="str">
        <f aca="false">IF(D2757&lt;&gt;"",DEC2HEX(D2757,2),"")</f>
        <v/>
      </c>
      <c r="J2757" s="1" t="str">
        <f aca="false">IF(H2757&lt;&gt;"","0x"&amp;I2757&amp;H2757,"")</f>
        <v/>
      </c>
      <c r="L2757" s="1" t="s">
        <v>2536</v>
      </c>
      <c r="M2757" s="1" t="str">
        <f aca="false">IF(J2757&lt;&gt;"",J2757,L2757)</f>
        <v>NEW ROUTE</v>
      </c>
    </row>
    <row r="2758" customFormat="false" ht="12.75" hidden="false" customHeight="true" outlineLevel="0" collapsed="false">
      <c r="A2758" s="3" t="s">
        <v>3630</v>
      </c>
      <c r="B2758" s="3" t="str">
        <f aca="false">IF(ISNUMBER(SEARCH("%", A2758)),RIGHT(A2758,3),A2758)</f>
        <v>3, 8, 0, &lt;null&gt;,</v>
      </c>
      <c r="C2758" s="1" t="e">
        <f aca="false" t="array" ref="C2758:C2758">IF(B2757="NEW ROUTE",textsplit(B2758,","),"")</f>
        <v>#NAME?</v>
      </c>
      <c r="H2758" s="1" t="e">
        <f aca="false">IF(C2758&lt;&gt;"",DEC2HEX(C2758,2),"")</f>
        <v>#NAME?</v>
      </c>
      <c r="I2758" s="1" t="str">
        <f aca="false">IF(D2758&lt;&gt;"",DEC2HEX(D2758,2),"")</f>
        <v/>
      </c>
      <c r="J2758" s="1" t="e">
        <f aca="false">IF(H2758&lt;&gt;"","0x"&amp;I2758&amp;H2758,"")</f>
        <v>#NAME?</v>
      </c>
      <c r="L2758" s="1" t="s">
        <v>3630</v>
      </c>
      <c r="M2758" s="1" t="e">
        <f aca="false">IF(J2758&lt;&gt;"",J2758,L2758)</f>
        <v>#NAME?</v>
      </c>
    </row>
    <row r="2759" customFormat="false" ht="12.75" hidden="false" customHeight="true" outlineLevel="0" collapsed="false">
      <c r="A2759" s="3" t="s">
        <v>3631</v>
      </c>
      <c r="B2759" s="3" t="str">
        <f aca="false">IF(ISNUMBER(SEARCH("%", A2759)),RIGHT(A2759,3),A2759)</f>
        <v>1, 40, 44, DEWGONG</v>
      </c>
      <c r="C2759" s="1" t="str">
        <f aca="false" t="array" ref="C2759:C2759">IF(B2758="NEW ROUTE",textsplit(B2759,","),"")</f>
        <v/>
      </c>
      <c r="H2759" s="1" t="str">
        <f aca="false">IF(C2759&lt;&gt;"",DEC2HEX(C2759,2),"")</f>
        <v/>
      </c>
      <c r="I2759" s="1" t="str">
        <f aca="false">IF(D2759&lt;&gt;"",DEC2HEX(D2759,2),"")</f>
        <v/>
      </c>
      <c r="J2759" s="1" t="str">
        <f aca="false">IF(H2759&lt;&gt;"","0x"&amp;I2759&amp;H2759,"")</f>
        <v/>
      </c>
      <c r="L2759" s="1" t="s">
        <v>3631</v>
      </c>
      <c r="M2759" s="1" t="str">
        <f aca="false">IF(J2759&lt;&gt;"",J2759,L2759)</f>
        <v>1, 40, 44, DEWGONG</v>
      </c>
    </row>
    <row r="2760" customFormat="false" ht="12.75" hidden="false" customHeight="true" outlineLevel="0" collapsed="false">
      <c r="A2760" s="3" t="s">
        <v>3024</v>
      </c>
      <c r="B2760" s="3" t="str">
        <f aca="false">IF(ISNUMBER(SEARCH("%", A2760)),RIGHT(A2760,3),A2760)</f>
        <v>42, 46, LAPRAS</v>
      </c>
      <c r="C2760" s="1" t="str">
        <f aca="false" t="array" ref="C2760:C2760">IF(B2759="NEW ROUTE",textsplit(B2760,","),"")</f>
        <v/>
      </c>
      <c r="H2760" s="1" t="str">
        <f aca="false">IF(C2760&lt;&gt;"",DEC2HEX(C2760,2),"")</f>
        <v/>
      </c>
      <c r="I2760" s="1" t="str">
        <f aca="false">IF(D2760&lt;&gt;"",DEC2HEX(D2760,2),"")</f>
        <v/>
      </c>
      <c r="J2760" s="1" t="str">
        <f aca="false">IF(H2760&lt;&gt;"","0x"&amp;I2760&amp;H2760,"")</f>
        <v/>
      </c>
      <c r="L2760" s="1" t="s">
        <v>3024</v>
      </c>
      <c r="M2760" s="1" t="str">
        <f aca="false">IF(J2760&lt;&gt;"",J2760,L2760)</f>
        <v>42, 46, LAPRAS</v>
      </c>
    </row>
    <row r="2761" customFormat="false" ht="12.75" hidden="false" customHeight="true" outlineLevel="0" collapsed="false">
      <c r="A2761" s="3" t="s">
        <v>3013</v>
      </c>
      <c r="B2761" s="3" t="str">
        <f aca="false">IF(ISNUMBER(SEARCH("%", A2761)),RIGHT(A2761,3),A2761)</f>
        <v>44, 47, PRECIPED</v>
      </c>
      <c r="C2761" s="1" t="str">
        <f aca="false" t="array" ref="C2761:C2761">IF(B2760="NEW ROUTE",textsplit(B2761,","),"")</f>
        <v/>
      </c>
      <c r="H2761" s="1" t="str">
        <f aca="false">IF(C2761&lt;&gt;"",DEC2HEX(C2761,2),"")</f>
        <v/>
      </c>
      <c r="I2761" s="1" t="str">
        <f aca="false">IF(D2761&lt;&gt;"",DEC2HEX(D2761,2),"")</f>
        <v/>
      </c>
      <c r="J2761" s="1" t="str">
        <f aca="false">IF(H2761&lt;&gt;"","0x"&amp;I2761&amp;H2761,"")</f>
        <v/>
      </c>
      <c r="L2761" s="1" t="s">
        <v>3013</v>
      </c>
      <c r="M2761" s="1" t="str">
        <f aca="false">IF(J2761&lt;&gt;"",J2761,L2761)</f>
        <v>44, 47, PRECIPED</v>
      </c>
    </row>
    <row r="2762" customFormat="false" ht="12.75" hidden="false" customHeight="true" outlineLevel="0" collapsed="false">
      <c r="A2762" s="3" t="s">
        <v>3632</v>
      </c>
      <c r="B2762" s="3" t="str">
        <f aca="false">IF(ISNUMBER(SEARCH("%", A2762)),RIGHT(A2762,3),A2762)</f>
        <v>44, 47, TENTACATE</v>
      </c>
      <c r="C2762" s="1" t="str">
        <f aca="false" t="array" ref="C2762:C2762">IF(B2761="NEW ROUTE",textsplit(B2762,","),"")</f>
        <v/>
      </c>
      <c r="H2762" s="1" t="str">
        <f aca="false">IF(C2762&lt;&gt;"",DEC2HEX(C2762,2),"")</f>
        <v/>
      </c>
      <c r="I2762" s="1" t="str">
        <f aca="false">IF(D2762&lt;&gt;"",DEC2HEX(D2762,2),"")</f>
        <v/>
      </c>
      <c r="J2762" s="1" t="str">
        <f aca="false">IF(H2762&lt;&gt;"","0x"&amp;I2762&amp;H2762,"")</f>
        <v/>
      </c>
      <c r="L2762" s="1" t="s">
        <v>3632</v>
      </c>
      <c r="M2762" s="1" t="str">
        <f aca="false">IF(J2762&lt;&gt;"",J2762,L2762)</f>
        <v>44, 47, TENTACATE</v>
      </c>
    </row>
    <row r="2763" customFormat="false" ht="12.75" hidden="false" customHeight="true" outlineLevel="0" collapsed="false">
      <c r="A2763" s="3" t="s">
        <v>3633</v>
      </c>
      <c r="B2763" s="3" t="str">
        <f aca="false">IF(ISNUMBER(SEARCH("%", A2763)),RIGHT(A2763,3),A2763)</f>
        <v>45, 50, LOCHLASS</v>
      </c>
      <c r="C2763" s="1" t="str">
        <f aca="false" t="array" ref="C2763:C2763">IF(B2762="NEW ROUTE",textsplit(B2763,","),"")</f>
        <v/>
      </c>
      <c r="H2763" s="1" t="str">
        <f aca="false">IF(C2763&lt;&gt;"",DEC2HEX(C2763,2),"")</f>
        <v/>
      </c>
      <c r="I2763" s="1" t="str">
        <f aca="false">IF(D2763&lt;&gt;"",DEC2HEX(D2763,2),"")</f>
        <v/>
      </c>
      <c r="J2763" s="1" t="str">
        <f aca="false">IF(H2763&lt;&gt;"","0x"&amp;I2763&amp;H2763,"")</f>
        <v/>
      </c>
      <c r="L2763" s="1" t="s">
        <v>3633</v>
      </c>
      <c r="M2763" s="1" t="str">
        <f aca="false">IF(J2763&lt;&gt;"",J2763,L2763)</f>
        <v>45, 50, LOCHLASS</v>
      </c>
    </row>
    <row r="2764" customFormat="false" ht="12.75" hidden="false" customHeight="true" outlineLevel="0" collapsed="false">
      <c r="A2764" s="3" t="s">
        <v>2845</v>
      </c>
      <c r="B2764" s="3" t="str">
        <f aca="false">IF(ISNUMBER(SEARCH("%", A2764)),RIGHT(A2764,3),A2764)</f>
        <v>10, old rod:</v>
      </c>
      <c r="C2764" s="1" t="str">
        <f aca="false" t="array" ref="C2764:C2764">IF(B2763="NEW ROUTE",textsplit(B2764,","),"")</f>
        <v/>
      </c>
      <c r="H2764" s="1" t="str">
        <f aca="false">IF(C2764&lt;&gt;"",DEC2HEX(C2764,2),"")</f>
        <v/>
      </c>
      <c r="I2764" s="1" t="str">
        <f aca="false">IF(D2764&lt;&gt;"",DEC2HEX(D2764,2),"")</f>
        <v/>
      </c>
      <c r="J2764" s="1" t="str">
        <f aca="false">IF(H2764&lt;&gt;"","0x"&amp;I2764&amp;H2764,"")</f>
        <v/>
      </c>
      <c r="L2764" s="1" t="s">
        <v>2845</v>
      </c>
      <c r="M2764" s="1" t="str">
        <f aca="false">IF(J2764&lt;&gt;"",J2764,L2764)</f>
        <v>10, old rod:</v>
      </c>
    </row>
    <row r="2765" customFormat="false" ht="12.75" hidden="false" customHeight="true" outlineLevel="0" collapsed="false">
      <c r="A2765" s="3" t="s">
        <v>2122</v>
      </c>
      <c r="B2765" s="3" t="str">
        <f aca="false">IF(ISNUMBER(SEARCH("%", A2765)),RIGHT(A2765,3),A2765)</f>
        <v>24, 30, HORSEA</v>
      </c>
      <c r="C2765" s="1" t="str">
        <f aca="false" t="array" ref="C2765:C2765">IF(B2764="NEW ROUTE",textsplit(B2765,","),"")</f>
        <v/>
      </c>
      <c r="H2765" s="1" t="str">
        <f aca="false">IF(C2765&lt;&gt;"",DEC2HEX(C2765,2),"")</f>
        <v/>
      </c>
      <c r="I2765" s="1" t="str">
        <f aca="false">IF(D2765&lt;&gt;"",DEC2HEX(D2765,2),"")</f>
        <v/>
      </c>
      <c r="J2765" s="1" t="str">
        <f aca="false">IF(H2765&lt;&gt;"","0x"&amp;I2765&amp;H2765,"")</f>
        <v/>
      </c>
      <c r="L2765" s="1" t="s">
        <v>2122</v>
      </c>
      <c r="M2765" s="1" t="str">
        <f aca="false">IF(J2765&lt;&gt;"",J2765,L2765)</f>
        <v>24, 30, HORSEA</v>
      </c>
    </row>
    <row r="2766" customFormat="false" ht="12.75" hidden="false" customHeight="true" outlineLevel="0" collapsed="false">
      <c r="A2766" s="3" t="s">
        <v>3634</v>
      </c>
      <c r="B2766" s="3" t="str">
        <f aca="false">IF(ISNUMBER(SEARCH("%", A2766)),RIGHT(A2766,3),A2766)</f>
        <v>24, 30, SHELLDER</v>
      </c>
      <c r="C2766" s="1" t="str">
        <f aca="false" t="array" ref="C2766:C2766">IF(B2765="NEW ROUTE",textsplit(B2766,","),"")</f>
        <v/>
      </c>
      <c r="H2766" s="1" t="str">
        <f aca="false">IF(C2766&lt;&gt;"",DEC2HEX(C2766,2),"")</f>
        <v/>
      </c>
      <c r="I2766" s="1" t="str">
        <f aca="false">IF(D2766&lt;&gt;"",DEC2HEX(D2766,2),"")</f>
        <v/>
      </c>
      <c r="J2766" s="1" t="str">
        <f aca="false">IF(H2766&lt;&gt;"","0x"&amp;I2766&amp;H2766,"")</f>
        <v/>
      </c>
      <c r="L2766" s="1" t="s">
        <v>3634</v>
      </c>
      <c r="M2766" s="1" t="str">
        <f aca="false">IF(J2766&lt;&gt;"",J2766,L2766)</f>
        <v>24, 30, SHELLDER</v>
      </c>
    </row>
    <row r="2767" customFormat="false" ht="12.75" hidden="false" customHeight="true" outlineLevel="0" collapsed="false">
      <c r="A2767" s="3" t="s">
        <v>2846</v>
      </c>
      <c r="B2767" s="3" t="str">
        <f aca="false">IF(ISNUMBER(SEARCH("%", A2767)),RIGHT(A2767,3),A2767)</f>
        <v>good rod:</v>
      </c>
      <c r="C2767" s="1" t="str">
        <f aca="false" t="array" ref="C2767:C2767">IF(B2766="NEW ROUTE",textsplit(B2767,","),"")</f>
        <v/>
      </c>
      <c r="H2767" s="1" t="str">
        <f aca="false">IF(C2767&lt;&gt;"",DEC2HEX(C2767,2),"")</f>
        <v/>
      </c>
      <c r="I2767" s="1" t="str">
        <f aca="false">IF(D2767&lt;&gt;"",DEC2HEX(D2767,2),"")</f>
        <v/>
      </c>
      <c r="J2767" s="1" t="str">
        <f aca="false">IF(H2767&lt;&gt;"","0x"&amp;I2767&amp;H2767,"")</f>
        <v/>
      </c>
      <c r="L2767" s="1" t="s">
        <v>2846</v>
      </c>
      <c r="M2767" s="1" t="str">
        <f aca="false">IF(J2767&lt;&gt;"",J2767,L2767)</f>
        <v>good rod:</v>
      </c>
    </row>
    <row r="2768" customFormat="false" ht="12.75" hidden="false" customHeight="true" outlineLevel="0" collapsed="false">
      <c r="A2768" s="3" t="s">
        <v>3635</v>
      </c>
      <c r="B2768" s="3" t="str">
        <f aca="false">IF(ISNUMBER(SEARCH("%", A2768)),RIGHT(A2768,3),A2768)</f>
        <v>35, 40, SEADRA</v>
      </c>
      <c r="C2768" s="1" t="str">
        <f aca="false" t="array" ref="C2768:C2768">IF(B2767="NEW ROUTE",textsplit(B2768,","),"")</f>
        <v/>
      </c>
      <c r="H2768" s="1" t="str">
        <f aca="false">IF(C2768&lt;&gt;"",DEC2HEX(C2768,2),"")</f>
        <v/>
      </c>
      <c r="I2768" s="1" t="str">
        <f aca="false">IF(D2768&lt;&gt;"",DEC2HEX(D2768,2),"")</f>
        <v/>
      </c>
      <c r="J2768" s="1" t="str">
        <f aca="false">IF(H2768&lt;&gt;"","0x"&amp;I2768&amp;H2768,"")</f>
        <v/>
      </c>
      <c r="L2768" s="1" t="s">
        <v>3635</v>
      </c>
      <c r="M2768" s="1" t="str">
        <f aca="false">IF(J2768&lt;&gt;"",J2768,L2768)</f>
        <v>35, 40, SEADRA</v>
      </c>
    </row>
    <row r="2769" customFormat="false" ht="12.75" hidden="false" customHeight="true" outlineLevel="0" collapsed="false">
      <c r="A2769" s="3" t="s">
        <v>3636</v>
      </c>
      <c r="B2769" s="3" t="str">
        <f aca="false">IF(ISNUMBER(SEARCH("%", A2769)),RIGHT(A2769,3),A2769)</f>
        <v>37, 42, KRABBY</v>
      </c>
      <c r="C2769" s="1" t="str">
        <f aca="false" t="array" ref="C2769:C2769">IF(B2768="NEW ROUTE",textsplit(B2769,","),"")</f>
        <v/>
      </c>
      <c r="H2769" s="1" t="str">
        <f aca="false">IF(C2769&lt;&gt;"",DEC2HEX(C2769,2),"")</f>
        <v/>
      </c>
      <c r="I2769" s="1" t="str">
        <f aca="false">IF(D2769&lt;&gt;"",DEC2HEX(D2769,2),"")</f>
        <v/>
      </c>
      <c r="J2769" s="1" t="str">
        <f aca="false">IF(H2769&lt;&gt;"","0x"&amp;I2769&amp;H2769,"")</f>
        <v/>
      </c>
      <c r="L2769" s="1" t="s">
        <v>3636</v>
      </c>
      <c r="M2769" s="1" t="str">
        <f aca="false">IF(J2769&lt;&gt;"",J2769,L2769)</f>
        <v>37, 42, KRABBY</v>
      </c>
    </row>
    <row r="2770" customFormat="false" ht="12.75" hidden="false" customHeight="true" outlineLevel="0" collapsed="false">
      <c r="A2770" s="3" t="s">
        <v>3637</v>
      </c>
      <c r="B2770" s="3" t="str">
        <f aca="false">IF(ISNUMBER(SEARCH("%", A2770)),RIGHT(A2770,3),A2770)</f>
        <v>37, 42, CLOYSTER</v>
      </c>
      <c r="C2770" s="1" t="str">
        <f aca="false" t="array" ref="C2770:C2770">IF(B2769="NEW ROUTE",textsplit(B2770,","),"")</f>
        <v/>
      </c>
      <c r="H2770" s="1" t="str">
        <f aca="false">IF(C2770&lt;&gt;"",DEC2HEX(C2770,2),"")</f>
        <v/>
      </c>
      <c r="I2770" s="1" t="str">
        <f aca="false">IF(D2770&lt;&gt;"",DEC2HEX(D2770,2),"")</f>
        <v/>
      </c>
      <c r="J2770" s="1" t="str">
        <f aca="false">IF(H2770&lt;&gt;"","0x"&amp;I2770&amp;H2770,"")</f>
        <v/>
      </c>
      <c r="L2770" s="1" t="s">
        <v>3637</v>
      </c>
      <c r="M2770" s="1" t="str">
        <f aca="false">IF(J2770&lt;&gt;"",J2770,L2770)</f>
        <v>37, 42, CLOYSTER</v>
      </c>
    </row>
    <row r="2771" customFormat="false" ht="12.75" hidden="false" customHeight="true" outlineLevel="0" collapsed="false">
      <c r="A2771" s="3" t="s">
        <v>2850</v>
      </c>
      <c r="B2771" s="3" t="str">
        <f aca="false">IF(ISNUMBER(SEARCH("%", A2771)),RIGHT(A2771,3),A2771)</f>
        <v>super rod:</v>
      </c>
      <c r="C2771" s="1" t="str">
        <f aca="false" t="array" ref="C2771:C2771">IF(B2770="NEW ROUTE",textsplit(B2771,","),"")</f>
        <v/>
      </c>
      <c r="H2771" s="1" t="str">
        <f aca="false">IF(C2771&lt;&gt;"",DEC2HEX(C2771,2),"")</f>
        <v/>
      </c>
      <c r="I2771" s="1" t="str">
        <f aca="false">IF(D2771&lt;&gt;"",DEC2HEX(D2771,2),"")</f>
        <v/>
      </c>
      <c r="J2771" s="1" t="str">
        <f aca="false">IF(H2771&lt;&gt;"","0x"&amp;I2771&amp;H2771,"")</f>
        <v/>
      </c>
      <c r="L2771" s="1" t="s">
        <v>2850</v>
      </c>
      <c r="M2771" s="1" t="str">
        <f aca="false">IF(J2771&lt;&gt;"",J2771,L2771)</f>
        <v>super rod:</v>
      </c>
    </row>
    <row r="2772" customFormat="false" ht="12.75" hidden="false" customHeight="true" outlineLevel="0" collapsed="false">
      <c r="A2772" s="3" t="s">
        <v>3638</v>
      </c>
      <c r="B2772" s="3" t="str">
        <f aca="false">IF(ISNUMBER(SEARCH("%", A2772)),RIGHT(A2772,3),A2772)</f>
        <v>39, 45, KINGDRA</v>
      </c>
      <c r="C2772" s="1" t="str">
        <f aca="false" t="array" ref="C2772:C2772">IF(B2771="NEW ROUTE",textsplit(B2772,","),"")</f>
        <v/>
      </c>
      <c r="H2772" s="1" t="str">
        <f aca="false">IF(C2772&lt;&gt;"",DEC2HEX(C2772,2),"")</f>
        <v/>
      </c>
      <c r="I2772" s="1" t="str">
        <f aca="false">IF(D2772&lt;&gt;"",DEC2HEX(D2772,2),"")</f>
        <v/>
      </c>
      <c r="J2772" s="1" t="str">
        <f aca="false">IF(H2772&lt;&gt;"","0x"&amp;I2772&amp;H2772,"")</f>
        <v/>
      </c>
      <c r="L2772" s="1" t="s">
        <v>3638</v>
      </c>
      <c r="M2772" s="1" t="str">
        <f aca="false">IF(J2772&lt;&gt;"",J2772,L2772)</f>
        <v>39, 45, KINGDRA</v>
      </c>
    </row>
    <row r="2773" customFormat="false" ht="12.75" hidden="false" customHeight="true" outlineLevel="0" collapsed="false">
      <c r="A2773" s="3" t="s">
        <v>3639</v>
      </c>
      <c r="B2773" s="3" t="str">
        <f aca="false">IF(ISNUMBER(SEARCH("%", A2773)),RIGHT(A2773,3),A2773)</f>
        <v>39, 45, KINGLER</v>
      </c>
      <c r="C2773" s="1" t="str">
        <f aca="false" t="array" ref="C2773:C2773">IF(B2772="NEW ROUTE",textsplit(B2773,","),"")</f>
        <v/>
      </c>
      <c r="H2773" s="1" t="str">
        <f aca="false">IF(C2773&lt;&gt;"",DEC2HEX(C2773,2),"")</f>
        <v/>
      </c>
      <c r="I2773" s="1" t="str">
        <f aca="false">IF(D2773&lt;&gt;"",DEC2HEX(D2773,2),"")</f>
        <v/>
      </c>
      <c r="J2773" s="1" t="str">
        <f aca="false">IF(H2773&lt;&gt;"","0x"&amp;I2773&amp;H2773,"")</f>
        <v/>
      </c>
      <c r="L2773" s="1" t="s">
        <v>3639</v>
      </c>
      <c r="M2773" s="1" t="str">
        <f aca="false">IF(J2773&lt;&gt;"",J2773,L2773)</f>
        <v>39, 45, KINGLER</v>
      </c>
    </row>
    <row r="2774" customFormat="false" ht="12.75" hidden="false" customHeight="true" outlineLevel="0" collapsed="false">
      <c r="A2774" s="3" t="s">
        <v>3640</v>
      </c>
      <c r="B2774" s="3" t="str">
        <f aca="false">IF(ISNUMBER(SEARCH("%", A2774)),RIGHT(A2774,3),A2774)</f>
        <v>43, 46, AN'ENEMY</v>
      </c>
      <c r="C2774" s="1" t="str">
        <f aca="false" t="array" ref="C2774:C2774">IF(B2773="NEW ROUTE",textsplit(B2774,","),"")</f>
        <v/>
      </c>
      <c r="H2774" s="1" t="str">
        <f aca="false">IF(C2774&lt;&gt;"",DEC2HEX(C2774,2),"")</f>
        <v/>
      </c>
      <c r="I2774" s="1" t="str">
        <f aca="false">IF(D2774&lt;&gt;"",DEC2HEX(D2774,2),"")</f>
        <v/>
      </c>
      <c r="J2774" s="1" t="str">
        <f aca="false">IF(H2774&lt;&gt;"","0x"&amp;I2774&amp;H2774,"")</f>
        <v/>
      </c>
      <c r="L2774" s="1" t="s">
        <v>3640</v>
      </c>
      <c r="M2774" s="1" t="str">
        <f aca="false">IF(J2774&lt;&gt;"",J2774,L2774)</f>
        <v>43, 46, AN'ENEMY</v>
      </c>
    </row>
    <row r="2775" customFormat="false" ht="12.75" hidden="false" customHeight="true" outlineLevel="0" collapsed="false">
      <c r="A2775" s="3" t="s">
        <v>3641</v>
      </c>
      <c r="B2775" s="3" t="str">
        <f aca="false">IF(ISNUMBER(SEARCH("%", A2775)),RIGHT(A2775,3),A2775)</f>
        <v>43, 46, KRAKLAW</v>
      </c>
      <c r="C2775" s="1" t="str">
        <f aca="false" t="array" ref="C2775:C2775">IF(B2774="NEW ROUTE",textsplit(B2775,","),"")</f>
        <v/>
      </c>
      <c r="H2775" s="1" t="str">
        <f aca="false">IF(C2775&lt;&gt;"",DEC2HEX(C2775,2),"")</f>
        <v/>
      </c>
      <c r="I2775" s="1" t="str">
        <f aca="false">IF(D2775&lt;&gt;"",DEC2HEX(D2775,2),"")</f>
        <v/>
      </c>
      <c r="J2775" s="1" t="str">
        <f aca="false">IF(H2775&lt;&gt;"","0x"&amp;I2775&amp;H2775,"")</f>
        <v/>
      </c>
      <c r="L2775" s="1" t="s">
        <v>3641</v>
      </c>
      <c r="M2775" s="1" t="str">
        <f aca="false">IF(J2775&lt;&gt;"",J2775,L2775)</f>
        <v>43, 46, KRAKLAW</v>
      </c>
    </row>
    <row r="2776" customFormat="false" ht="12.75" hidden="false" customHeight="true" outlineLevel="0" collapsed="false">
      <c r="A2776" s="3" t="s">
        <v>3642</v>
      </c>
      <c r="B2776" s="3" t="str">
        <f aca="false">IF(ISNUMBER(SEARCH("%", A2776)),RIGHT(A2776,3),A2776)</f>
        <v>45, 52, LORDRA</v>
      </c>
      <c r="C2776" s="1" t="str">
        <f aca="false" t="array" ref="C2776:C2776">IF(B2775="NEW ROUTE",textsplit(B2776,","),"")</f>
        <v/>
      </c>
      <c r="H2776" s="1" t="str">
        <f aca="false">IF(C2776&lt;&gt;"",DEC2HEX(C2776,2),"")</f>
        <v/>
      </c>
      <c r="I2776" s="1" t="str">
        <f aca="false">IF(D2776&lt;&gt;"",DEC2HEX(D2776,2),"")</f>
        <v/>
      </c>
      <c r="J2776" s="1" t="str">
        <f aca="false">IF(H2776&lt;&gt;"","0x"&amp;I2776&amp;H2776,"")</f>
        <v/>
      </c>
      <c r="L2776" s="1" t="s">
        <v>3642</v>
      </c>
      <c r="M2776" s="1" t="str">
        <f aca="false">IF(J2776&lt;&gt;"",J2776,L2776)</f>
        <v>45, 52, LORDRA</v>
      </c>
    </row>
    <row r="2777" customFormat="false" ht="12.75" hidden="false" customHeight="true" outlineLevel="0" collapsed="false">
      <c r="A2777" s="3" t="s">
        <v>2536</v>
      </c>
      <c r="B2777" s="3" t="str">
        <f aca="false">IF(ISNUMBER(SEARCH("%", A2777)),RIGHT(A2777,3),A2777)</f>
        <v>NEW ROUTE</v>
      </c>
      <c r="C2777" s="1" t="str">
        <f aca="false" t="array" ref="C2777:C2777">IF(B2776="NEW ROUTE",textsplit(B2777,","),"")</f>
        <v/>
      </c>
      <c r="H2777" s="1" t="str">
        <f aca="false">IF(C2777&lt;&gt;"",DEC2HEX(C2777,2),"")</f>
        <v/>
      </c>
      <c r="I2777" s="1" t="str">
        <f aca="false">IF(D2777&lt;&gt;"",DEC2HEX(D2777,2),"")</f>
        <v/>
      </c>
      <c r="J2777" s="1" t="str">
        <f aca="false">IF(H2777&lt;&gt;"","0x"&amp;I2777&amp;H2777,"")</f>
        <v/>
      </c>
      <c r="L2777" s="1" t="s">
        <v>2536</v>
      </c>
      <c r="M2777" s="1" t="str">
        <f aca="false">IF(J2777&lt;&gt;"",J2777,L2777)</f>
        <v>NEW ROUTE</v>
      </c>
    </row>
    <row r="2778" customFormat="false" ht="12.75" hidden="false" customHeight="true" outlineLevel="0" collapsed="false">
      <c r="A2778" s="3" t="s">
        <v>3643</v>
      </c>
      <c r="B2778" s="3" t="str">
        <f aca="false">IF(ISNUMBER(SEARCH("%", A2778)),RIGHT(A2778,3),A2778)</f>
        <v>3, 12, 0, &lt;null&gt;,</v>
      </c>
      <c r="C2778" s="1" t="e">
        <f aca="false" t="array" ref="C2778:C2778">IF(B2777="NEW ROUTE",textsplit(B2778,","),"")</f>
        <v>#NAME?</v>
      </c>
      <c r="H2778" s="1" t="e">
        <f aca="false">IF(C2778&lt;&gt;"",DEC2HEX(C2778,2),"")</f>
        <v>#NAME?</v>
      </c>
      <c r="I2778" s="1" t="str">
        <f aca="false">IF(D2778&lt;&gt;"",DEC2HEX(D2778,2),"")</f>
        <v/>
      </c>
      <c r="J2778" s="1" t="e">
        <f aca="false">IF(H2778&lt;&gt;"","0x"&amp;I2778&amp;H2778,"")</f>
        <v>#NAME?</v>
      </c>
      <c r="L2778" s="1" t="s">
        <v>3643</v>
      </c>
      <c r="M2778" s="1" t="e">
        <f aca="false">IF(J2778&lt;&gt;"",J2778,L2778)</f>
        <v>#NAME?</v>
      </c>
    </row>
    <row r="2779" customFormat="false" ht="12.75" hidden="false" customHeight="true" outlineLevel="0" collapsed="false">
      <c r="A2779" s="3" t="s">
        <v>3644</v>
      </c>
      <c r="B2779" s="3" t="str">
        <f aca="false">IF(ISNUMBER(SEARCH("%", A2779)),RIGHT(A2779,3),A2779)</f>
        <v>1, 5, 20, TENTACOOL</v>
      </c>
      <c r="C2779" s="1" t="str">
        <f aca="false" t="array" ref="C2779:C2779">IF(B2778="NEW ROUTE",textsplit(B2779,","),"")</f>
        <v/>
      </c>
      <c r="H2779" s="1" t="str">
        <f aca="false">IF(C2779&lt;&gt;"",DEC2HEX(C2779,2),"")</f>
        <v/>
      </c>
      <c r="I2779" s="1" t="str">
        <f aca="false">IF(D2779&lt;&gt;"",DEC2HEX(D2779,2),"")</f>
        <v/>
      </c>
      <c r="J2779" s="1" t="str">
        <f aca="false">IF(H2779&lt;&gt;"","0x"&amp;I2779&amp;H2779,"")</f>
        <v/>
      </c>
      <c r="L2779" s="1" t="s">
        <v>3644</v>
      </c>
      <c r="M2779" s="1" t="str">
        <f aca="false">IF(J2779&lt;&gt;"",J2779,L2779)</f>
        <v>1, 5, 20, TENTACOOL</v>
      </c>
    </row>
    <row r="2780" customFormat="false" ht="12.75" hidden="false" customHeight="true" outlineLevel="0" collapsed="false">
      <c r="A2780" s="3" t="s">
        <v>3173</v>
      </c>
      <c r="B2780" s="3" t="str">
        <f aca="false">IF(ISNUMBER(SEARCH("%", A2780)),RIGHT(A2780,3),A2780)</f>
        <v>20, 35, TENTACOOL</v>
      </c>
      <c r="C2780" s="1" t="str">
        <f aca="false" t="array" ref="C2780:C2780">IF(B2779="NEW ROUTE",textsplit(B2780,","),"")</f>
        <v/>
      </c>
      <c r="H2780" s="1" t="str">
        <f aca="false">IF(C2780&lt;&gt;"",DEC2HEX(C2780,2),"")</f>
        <v/>
      </c>
      <c r="I2780" s="1" t="str">
        <f aca="false">IF(D2780&lt;&gt;"",DEC2HEX(D2780,2),"")</f>
        <v/>
      </c>
      <c r="J2780" s="1" t="str">
        <f aca="false">IF(H2780&lt;&gt;"","0x"&amp;I2780&amp;H2780,"")</f>
        <v/>
      </c>
      <c r="L2780" s="1" t="s">
        <v>3173</v>
      </c>
      <c r="M2780" s="1" t="str">
        <f aca="false">IF(J2780&lt;&gt;"",J2780,L2780)</f>
        <v>20, 35, TENTACOOL</v>
      </c>
    </row>
    <row r="2781" customFormat="false" ht="12.75" hidden="false" customHeight="true" outlineLevel="0" collapsed="false">
      <c r="A2781" s="3" t="s">
        <v>2844</v>
      </c>
      <c r="B2781" s="3" t="str">
        <f aca="false">IF(ISNUMBER(SEARCH("%", A2781)),RIGHT(A2781,3),A2781)</f>
        <v>35, 40, TENTACOOL</v>
      </c>
      <c r="C2781" s="1" t="str">
        <f aca="false" t="array" ref="C2781:C2781">IF(B2780="NEW ROUTE",textsplit(B2781,","),"")</f>
        <v/>
      </c>
      <c r="H2781" s="1" t="str">
        <f aca="false">IF(C2781&lt;&gt;"",DEC2HEX(C2781,2),"")</f>
        <v/>
      </c>
      <c r="I2781" s="1" t="str">
        <f aca="false">IF(D2781&lt;&gt;"",DEC2HEX(D2781,2),"")</f>
        <v/>
      </c>
      <c r="J2781" s="1" t="str">
        <f aca="false">IF(H2781&lt;&gt;"","0x"&amp;I2781&amp;H2781,"")</f>
        <v/>
      </c>
      <c r="L2781" s="1" t="s">
        <v>2844</v>
      </c>
      <c r="M2781" s="1" t="str">
        <f aca="false">IF(J2781&lt;&gt;"",J2781,L2781)</f>
        <v>35, 40, TENTACOOL</v>
      </c>
    </row>
    <row r="2782" customFormat="false" ht="12.75" hidden="false" customHeight="true" outlineLevel="0" collapsed="false">
      <c r="A2782" s="3" t="s">
        <v>3231</v>
      </c>
      <c r="B2782" s="3" t="str">
        <f aca="false">IF(ISNUMBER(SEARCH("%", A2782)),RIGHT(A2782,3),A2782)</f>
        <v>35, 40, TENTACRUEL</v>
      </c>
      <c r="C2782" s="1" t="str">
        <f aca="false" t="array" ref="C2782:C2782">IF(B2781="NEW ROUTE",textsplit(B2782,","),"")</f>
        <v/>
      </c>
      <c r="H2782" s="1" t="str">
        <f aca="false">IF(C2782&lt;&gt;"",DEC2HEX(C2782,2),"")</f>
        <v/>
      </c>
      <c r="I2782" s="1" t="str">
        <f aca="false">IF(D2782&lt;&gt;"",DEC2HEX(D2782,2),"")</f>
        <v/>
      </c>
      <c r="J2782" s="1" t="str">
        <f aca="false">IF(H2782&lt;&gt;"","0x"&amp;I2782&amp;H2782,"")</f>
        <v/>
      </c>
      <c r="L2782" s="1" t="s">
        <v>3231</v>
      </c>
      <c r="M2782" s="1" t="str">
        <f aca="false">IF(J2782&lt;&gt;"",J2782,L2782)</f>
        <v>35, 40, TENTACRUEL</v>
      </c>
    </row>
    <row r="2783" customFormat="false" ht="12.75" hidden="false" customHeight="true" outlineLevel="0" collapsed="false">
      <c r="A2783" s="3" t="s">
        <v>3231</v>
      </c>
      <c r="B2783" s="3" t="str">
        <f aca="false">IF(ISNUMBER(SEARCH("%", A2783)),RIGHT(A2783,3),A2783)</f>
        <v>35, 40, TENTACRUEL</v>
      </c>
      <c r="C2783" s="1" t="str">
        <f aca="false" t="array" ref="C2783:C2783">IF(B2782="NEW ROUTE",textsplit(B2783,","),"")</f>
        <v/>
      </c>
      <c r="H2783" s="1" t="str">
        <f aca="false">IF(C2783&lt;&gt;"",DEC2HEX(C2783,2),"")</f>
        <v/>
      </c>
      <c r="I2783" s="1" t="str">
        <f aca="false">IF(D2783&lt;&gt;"",DEC2HEX(D2783,2),"")</f>
        <v/>
      </c>
      <c r="J2783" s="1" t="str">
        <f aca="false">IF(H2783&lt;&gt;"","0x"&amp;I2783&amp;H2783,"")</f>
        <v/>
      </c>
      <c r="L2783" s="1" t="s">
        <v>3231</v>
      </c>
      <c r="M2783" s="1" t="str">
        <f aca="false">IF(J2783&lt;&gt;"",J2783,L2783)</f>
        <v>35, 40, TENTACRUEL</v>
      </c>
    </row>
    <row r="2784" customFormat="false" ht="12.75" hidden="false" customHeight="true" outlineLevel="0" collapsed="false">
      <c r="A2784" s="3" t="s">
        <v>2845</v>
      </c>
      <c r="B2784" s="3" t="str">
        <f aca="false">IF(ISNUMBER(SEARCH("%", A2784)),RIGHT(A2784,3),A2784)</f>
        <v>10, old rod:</v>
      </c>
      <c r="C2784" s="1" t="str">
        <f aca="false" t="array" ref="C2784:C2784">IF(B2783="NEW ROUTE",textsplit(B2784,","),"")</f>
        <v/>
      </c>
      <c r="H2784" s="1" t="str">
        <f aca="false">IF(C2784&lt;&gt;"",DEC2HEX(C2784,2),"")</f>
        <v/>
      </c>
      <c r="I2784" s="1" t="str">
        <f aca="false">IF(D2784&lt;&gt;"",DEC2HEX(D2784,2),"")</f>
        <v/>
      </c>
      <c r="J2784" s="1" t="str">
        <f aca="false">IF(H2784&lt;&gt;"","0x"&amp;I2784&amp;H2784,"")</f>
        <v/>
      </c>
      <c r="L2784" s="1" t="s">
        <v>2845</v>
      </c>
      <c r="M2784" s="1" t="str">
        <f aca="false">IF(J2784&lt;&gt;"",J2784,L2784)</f>
        <v>10, old rod:</v>
      </c>
    </row>
    <row r="2785" customFormat="false" ht="12.75" hidden="false" customHeight="true" outlineLevel="0" collapsed="false">
      <c r="A2785" s="3" t="s">
        <v>1266</v>
      </c>
      <c r="B2785" s="3" t="str">
        <f aca="false">IF(ISNUMBER(SEARCH("%", A2785)),RIGHT(A2785,3),A2785)</f>
        <v>5, 5, MAGIKARP</v>
      </c>
      <c r="C2785" s="1" t="str">
        <f aca="false" t="array" ref="C2785:C2785">IF(B2784="NEW ROUTE",textsplit(B2785,","),"")</f>
        <v/>
      </c>
      <c r="H2785" s="1" t="str">
        <f aca="false">IF(C2785&lt;&gt;"",DEC2HEX(C2785,2),"")</f>
        <v/>
      </c>
      <c r="I2785" s="1" t="str">
        <f aca="false">IF(D2785&lt;&gt;"",DEC2HEX(D2785,2),"")</f>
        <v/>
      </c>
      <c r="J2785" s="1" t="str">
        <f aca="false">IF(H2785&lt;&gt;"","0x"&amp;I2785&amp;H2785,"")</f>
        <v/>
      </c>
      <c r="L2785" s="1" t="s">
        <v>1266</v>
      </c>
      <c r="M2785" s="1" t="str">
        <f aca="false">IF(J2785&lt;&gt;"",J2785,L2785)</f>
        <v>5, 5, MAGIKARP</v>
      </c>
    </row>
    <row r="2786" customFormat="false" ht="12.75" hidden="false" customHeight="true" outlineLevel="0" collapsed="false">
      <c r="A2786" s="3" t="s">
        <v>1266</v>
      </c>
      <c r="B2786" s="3" t="str">
        <f aca="false">IF(ISNUMBER(SEARCH("%", A2786)),RIGHT(A2786,3),A2786)</f>
        <v>5, 5, MAGIKARP</v>
      </c>
      <c r="C2786" s="1" t="str">
        <f aca="false" t="array" ref="C2786:C2786">IF(B2785="NEW ROUTE",textsplit(B2786,","),"")</f>
        <v/>
      </c>
      <c r="H2786" s="1" t="str">
        <f aca="false">IF(C2786&lt;&gt;"",DEC2HEX(C2786,2),"")</f>
        <v/>
      </c>
      <c r="I2786" s="1" t="str">
        <f aca="false">IF(D2786&lt;&gt;"",DEC2HEX(D2786,2),"")</f>
        <v/>
      </c>
      <c r="J2786" s="1" t="str">
        <f aca="false">IF(H2786&lt;&gt;"","0x"&amp;I2786&amp;H2786,"")</f>
        <v/>
      </c>
      <c r="L2786" s="1" t="s">
        <v>1266</v>
      </c>
      <c r="M2786" s="1" t="str">
        <f aca="false">IF(J2786&lt;&gt;"",J2786,L2786)</f>
        <v>5, 5, MAGIKARP</v>
      </c>
    </row>
    <row r="2787" customFormat="false" ht="12.75" hidden="false" customHeight="true" outlineLevel="0" collapsed="false">
      <c r="A2787" s="3" t="s">
        <v>2846</v>
      </c>
      <c r="B2787" s="3" t="str">
        <f aca="false">IF(ISNUMBER(SEARCH("%", A2787)),RIGHT(A2787,3),A2787)</f>
        <v>good rod:</v>
      </c>
      <c r="C2787" s="1" t="str">
        <f aca="false" t="array" ref="C2787:C2787">IF(B2786="NEW ROUTE",textsplit(B2787,","),"")</f>
        <v/>
      </c>
      <c r="H2787" s="1" t="str">
        <f aca="false">IF(C2787&lt;&gt;"",DEC2HEX(C2787,2),"")</f>
        <v/>
      </c>
      <c r="I2787" s="1" t="str">
        <f aca="false">IF(D2787&lt;&gt;"",DEC2HEX(D2787,2),"")</f>
        <v/>
      </c>
      <c r="J2787" s="1" t="str">
        <f aca="false">IF(H2787&lt;&gt;"","0x"&amp;I2787&amp;H2787,"")</f>
        <v/>
      </c>
      <c r="L2787" s="1" t="s">
        <v>2846</v>
      </c>
      <c r="M2787" s="1" t="str">
        <f aca="false">IF(J2787&lt;&gt;"",J2787,L2787)</f>
        <v>good rod:</v>
      </c>
    </row>
    <row r="2788" customFormat="false" ht="12.75" hidden="false" customHeight="true" outlineLevel="0" collapsed="false">
      <c r="A2788" s="3" t="s">
        <v>2847</v>
      </c>
      <c r="B2788" s="3" t="str">
        <f aca="false">IF(ISNUMBER(SEARCH("%", A2788)),RIGHT(A2788,3),A2788)</f>
        <v>5, 15, KRABBY</v>
      </c>
      <c r="C2788" s="1" t="str">
        <f aca="false" t="array" ref="C2788:C2788">IF(B2787="NEW ROUTE",textsplit(B2788,","),"")</f>
        <v/>
      </c>
      <c r="H2788" s="1" t="str">
        <f aca="false">IF(C2788&lt;&gt;"",DEC2HEX(C2788,2),"")</f>
        <v/>
      </c>
      <c r="I2788" s="1" t="str">
        <f aca="false">IF(D2788&lt;&gt;"",DEC2HEX(D2788,2),"")</f>
        <v/>
      </c>
      <c r="J2788" s="1" t="str">
        <f aca="false">IF(H2788&lt;&gt;"","0x"&amp;I2788&amp;H2788,"")</f>
        <v/>
      </c>
      <c r="L2788" s="1" t="s">
        <v>2847</v>
      </c>
      <c r="M2788" s="1" t="str">
        <f aca="false">IF(J2788&lt;&gt;"",J2788,L2788)</f>
        <v>5, 15, KRABBY</v>
      </c>
    </row>
    <row r="2789" customFormat="false" ht="12.75" hidden="false" customHeight="true" outlineLevel="0" collapsed="false">
      <c r="A2789" s="3" t="s">
        <v>2848</v>
      </c>
      <c r="B2789" s="3" t="str">
        <f aca="false">IF(ISNUMBER(SEARCH("%", A2789)),RIGHT(A2789,3),A2789)</f>
        <v>5, 15, MAGIKARP</v>
      </c>
      <c r="C2789" s="1" t="str">
        <f aca="false" t="array" ref="C2789:C2789">IF(B2788="NEW ROUTE",textsplit(B2789,","),"")</f>
        <v/>
      </c>
      <c r="H2789" s="1" t="str">
        <f aca="false">IF(C2789&lt;&gt;"",DEC2HEX(C2789,2),"")</f>
        <v/>
      </c>
      <c r="I2789" s="1" t="str">
        <f aca="false">IF(D2789&lt;&gt;"",DEC2HEX(D2789,2),"")</f>
        <v/>
      </c>
      <c r="J2789" s="1" t="str">
        <f aca="false">IF(H2789&lt;&gt;"","0x"&amp;I2789&amp;H2789,"")</f>
        <v/>
      </c>
      <c r="L2789" s="1" t="s">
        <v>2848</v>
      </c>
      <c r="M2789" s="1" t="str">
        <f aca="false">IF(J2789&lt;&gt;"",J2789,L2789)</f>
        <v>5, 15, MAGIKARP</v>
      </c>
    </row>
    <row r="2790" customFormat="false" ht="12.75" hidden="false" customHeight="true" outlineLevel="0" collapsed="false">
      <c r="A2790" s="3" t="s">
        <v>2847</v>
      </c>
      <c r="B2790" s="3" t="str">
        <f aca="false">IF(ISNUMBER(SEARCH("%", A2790)),RIGHT(A2790,3),A2790)</f>
        <v>5, 15, KRABBY</v>
      </c>
      <c r="C2790" s="1" t="str">
        <f aca="false" t="array" ref="C2790:C2790">IF(B2789="NEW ROUTE",textsplit(B2790,","),"")</f>
        <v/>
      </c>
      <c r="H2790" s="1" t="str">
        <f aca="false">IF(C2790&lt;&gt;"",DEC2HEX(C2790,2),"")</f>
        <v/>
      </c>
      <c r="I2790" s="1" t="str">
        <f aca="false">IF(D2790&lt;&gt;"",DEC2HEX(D2790,2),"")</f>
        <v/>
      </c>
      <c r="J2790" s="1" t="str">
        <f aca="false">IF(H2790&lt;&gt;"","0x"&amp;I2790&amp;H2790,"")</f>
        <v/>
      </c>
      <c r="L2790" s="1" t="s">
        <v>2847</v>
      </c>
      <c r="M2790" s="1" t="str">
        <f aca="false">IF(J2790&lt;&gt;"",J2790,L2790)</f>
        <v>5, 15, KRABBY</v>
      </c>
    </row>
    <row r="2791" customFormat="false" ht="12.75" hidden="false" customHeight="true" outlineLevel="0" collapsed="false">
      <c r="A2791" s="3" t="s">
        <v>2850</v>
      </c>
      <c r="B2791" s="3" t="str">
        <f aca="false">IF(ISNUMBER(SEARCH("%", A2791)),RIGHT(A2791,3),A2791)</f>
        <v>super rod:</v>
      </c>
      <c r="C2791" s="1" t="str">
        <f aca="false" t="array" ref="C2791:C2791">IF(B2790="NEW ROUTE",textsplit(B2791,","),"")</f>
        <v/>
      </c>
      <c r="H2791" s="1" t="str">
        <f aca="false">IF(C2791&lt;&gt;"",DEC2HEX(C2791,2),"")</f>
        <v/>
      </c>
      <c r="I2791" s="1" t="str">
        <f aca="false">IF(D2791&lt;&gt;"",DEC2HEX(D2791,2),"")</f>
        <v/>
      </c>
      <c r="J2791" s="1" t="str">
        <f aca="false">IF(H2791&lt;&gt;"","0x"&amp;I2791&amp;H2791,"")</f>
        <v/>
      </c>
      <c r="L2791" s="1" t="s">
        <v>2850</v>
      </c>
      <c r="M2791" s="1" t="str">
        <f aca="false">IF(J2791&lt;&gt;"",J2791,L2791)</f>
        <v>super rod:</v>
      </c>
    </row>
    <row r="2792" customFormat="false" ht="12.75" hidden="false" customHeight="true" outlineLevel="0" collapsed="false">
      <c r="A2792" s="3" t="s">
        <v>2851</v>
      </c>
      <c r="B2792" s="3" t="str">
        <f aca="false">IF(ISNUMBER(SEARCH("%", A2792)),RIGHT(A2792,3),A2792)</f>
        <v>15, 25, KRABBY</v>
      </c>
      <c r="C2792" s="1" t="str">
        <f aca="false" t="array" ref="C2792:C2792">IF(B2791="NEW ROUTE",textsplit(B2792,","),"")</f>
        <v/>
      </c>
      <c r="H2792" s="1" t="str">
        <f aca="false">IF(C2792&lt;&gt;"",DEC2HEX(C2792,2),"")</f>
        <v/>
      </c>
      <c r="I2792" s="1" t="str">
        <f aca="false">IF(D2792&lt;&gt;"",DEC2HEX(D2792,2),"")</f>
        <v/>
      </c>
      <c r="J2792" s="1" t="str">
        <f aca="false">IF(H2792&lt;&gt;"","0x"&amp;I2792&amp;H2792,"")</f>
        <v/>
      </c>
      <c r="L2792" s="1" t="s">
        <v>2851</v>
      </c>
      <c r="M2792" s="1" t="str">
        <f aca="false">IF(J2792&lt;&gt;"",J2792,L2792)</f>
        <v>15, 25, KRABBY</v>
      </c>
    </row>
    <row r="2793" customFormat="false" ht="12.75" hidden="false" customHeight="true" outlineLevel="0" collapsed="false">
      <c r="A2793" s="3" t="s">
        <v>2852</v>
      </c>
      <c r="B2793" s="3" t="str">
        <f aca="false">IF(ISNUMBER(SEARCH("%", A2793)),RIGHT(A2793,3),A2793)</f>
        <v>15, 25, STARYU</v>
      </c>
      <c r="C2793" s="1" t="str">
        <f aca="false" t="array" ref="C2793:C2793">IF(B2792="NEW ROUTE",textsplit(B2793,","),"")</f>
        <v/>
      </c>
      <c r="H2793" s="1" t="str">
        <f aca="false">IF(C2793&lt;&gt;"",DEC2HEX(C2793,2),"")</f>
        <v/>
      </c>
      <c r="I2793" s="1" t="str">
        <f aca="false">IF(D2793&lt;&gt;"",DEC2HEX(D2793,2),"")</f>
        <v/>
      </c>
      <c r="J2793" s="1" t="str">
        <f aca="false">IF(H2793&lt;&gt;"","0x"&amp;I2793&amp;H2793,"")</f>
        <v/>
      </c>
      <c r="L2793" s="1" t="s">
        <v>2852</v>
      </c>
      <c r="M2793" s="1" t="str">
        <f aca="false">IF(J2793&lt;&gt;"",J2793,L2793)</f>
        <v>15, 25, STARYU</v>
      </c>
    </row>
    <row r="2794" customFormat="false" ht="12.75" hidden="false" customHeight="true" outlineLevel="0" collapsed="false">
      <c r="A2794" s="3" t="s">
        <v>2853</v>
      </c>
      <c r="B2794" s="3" t="str">
        <f aca="false">IF(ISNUMBER(SEARCH("%", A2794)),RIGHT(A2794,3),A2794)</f>
        <v>15, 25, GYARADOS</v>
      </c>
      <c r="C2794" s="1" t="str">
        <f aca="false" t="array" ref="C2794:C2794">IF(B2793="NEW ROUTE",textsplit(B2794,","),"")</f>
        <v/>
      </c>
      <c r="H2794" s="1" t="str">
        <f aca="false">IF(C2794&lt;&gt;"",DEC2HEX(C2794,2),"")</f>
        <v/>
      </c>
      <c r="I2794" s="1" t="str">
        <f aca="false">IF(D2794&lt;&gt;"",DEC2HEX(D2794,2),"")</f>
        <v/>
      </c>
      <c r="J2794" s="1" t="str">
        <f aca="false">IF(H2794&lt;&gt;"","0x"&amp;I2794&amp;H2794,"")</f>
        <v/>
      </c>
      <c r="L2794" s="1" t="s">
        <v>2853</v>
      </c>
      <c r="M2794" s="1" t="str">
        <f aca="false">IF(J2794&lt;&gt;"",J2794,L2794)</f>
        <v>15, 25, GYARADOS</v>
      </c>
    </row>
    <row r="2795" customFormat="false" ht="12.75" hidden="false" customHeight="true" outlineLevel="0" collapsed="false">
      <c r="A2795" s="3" t="s">
        <v>3177</v>
      </c>
      <c r="B2795" s="3" t="str">
        <f aca="false">IF(ISNUMBER(SEARCH("%", A2795)),RIGHT(A2795,3),A2795)</f>
        <v>25, 35, KINGLER</v>
      </c>
      <c r="C2795" s="1" t="str">
        <f aca="false" t="array" ref="C2795:C2795">IF(B2794="NEW ROUTE",textsplit(B2795,","),"")</f>
        <v/>
      </c>
      <c r="H2795" s="1" t="str">
        <f aca="false">IF(C2795&lt;&gt;"",DEC2HEX(C2795,2),"")</f>
        <v/>
      </c>
      <c r="I2795" s="1" t="str">
        <f aca="false">IF(D2795&lt;&gt;"",DEC2HEX(D2795,2),"")</f>
        <v/>
      </c>
      <c r="J2795" s="1" t="str">
        <f aca="false">IF(H2795&lt;&gt;"","0x"&amp;I2795&amp;H2795,"")</f>
        <v/>
      </c>
      <c r="L2795" s="1" t="s">
        <v>3177</v>
      </c>
      <c r="M2795" s="1" t="str">
        <f aca="false">IF(J2795&lt;&gt;"",J2795,L2795)</f>
        <v>25, 35, KINGLER</v>
      </c>
    </row>
    <row r="2796" customFormat="false" ht="12.75" hidden="false" customHeight="true" outlineLevel="0" collapsed="false">
      <c r="A2796" s="3" t="s">
        <v>2855</v>
      </c>
      <c r="B2796" s="3" t="str">
        <f aca="false">IF(ISNUMBER(SEARCH("%", A2796)),RIGHT(A2796,3),A2796)</f>
        <v>25, 35, SLOWPOKE</v>
      </c>
      <c r="C2796" s="1" t="str">
        <f aca="false" t="array" ref="C2796:C2796">IF(B2795="NEW ROUTE",textsplit(B2796,","),"")</f>
        <v/>
      </c>
      <c r="H2796" s="1" t="str">
        <f aca="false">IF(C2796&lt;&gt;"",DEC2HEX(C2796,2),"")</f>
        <v/>
      </c>
      <c r="I2796" s="1" t="str">
        <f aca="false">IF(D2796&lt;&gt;"",DEC2HEX(D2796,2),"")</f>
        <v/>
      </c>
      <c r="J2796" s="1" t="str">
        <f aca="false">IF(H2796&lt;&gt;"","0x"&amp;I2796&amp;H2796,"")</f>
        <v/>
      </c>
      <c r="L2796" s="1" t="s">
        <v>2855</v>
      </c>
      <c r="M2796" s="1" t="str">
        <f aca="false">IF(J2796&lt;&gt;"",J2796,L2796)</f>
        <v>25, 35, SLOWPOKE</v>
      </c>
    </row>
    <row r="2797" customFormat="false" ht="12.75" hidden="false" customHeight="true" outlineLevel="0" collapsed="false">
      <c r="A2797" s="3" t="s">
        <v>2536</v>
      </c>
      <c r="B2797" s="3" t="str">
        <f aca="false">IF(ISNUMBER(SEARCH("%", A2797)),RIGHT(A2797,3),A2797)</f>
        <v>NEW ROUTE</v>
      </c>
      <c r="C2797" s="1" t="str">
        <f aca="false" t="array" ref="C2797:C2797">IF(B2796="NEW ROUTE",textsplit(B2797,","),"")</f>
        <v/>
      </c>
      <c r="H2797" s="1" t="str">
        <f aca="false">IF(C2797&lt;&gt;"",DEC2HEX(C2797,2),"")</f>
        <v/>
      </c>
      <c r="I2797" s="1" t="str">
        <f aca="false">IF(D2797&lt;&gt;"",DEC2HEX(D2797,2),"")</f>
        <v/>
      </c>
      <c r="J2797" s="1" t="str">
        <f aca="false">IF(H2797&lt;&gt;"","0x"&amp;I2797&amp;H2797,"")</f>
        <v/>
      </c>
      <c r="L2797" s="1" t="s">
        <v>2536</v>
      </c>
      <c r="M2797" s="1" t="str">
        <f aca="false">IF(J2797&lt;&gt;"",J2797,L2797)</f>
        <v>NEW ROUTE</v>
      </c>
    </row>
    <row r="2798" customFormat="false" ht="12.75" hidden="false" customHeight="true" outlineLevel="0" collapsed="false">
      <c r="A2798" s="3" t="s">
        <v>3645</v>
      </c>
      <c r="B2798" s="3" t="str">
        <f aca="false">IF(ISNUMBER(SEARCH("%", A2798)),RIGHT(A2798,3),A2798)</f>
        <v>3, 15, 0, &lt;null&gt;,</v>
      </c>
      <c r="C2798" s="1" t="e">
        <f aca="false" t="array" ref="C2798:C2798">IF(B2797="NEW ROUTE",textsplit(B2798,","),"")</f>
        <v>#NAME?</v>
      </c>
      <c r="H2798" s="1" t="e">
        <f aca="false">IF(C2798&lt;&gt;"",DEC2HEX(C2798,2),"")</f>
        <v>#NAME?</v>
      </c>
      <c r="I2798" s="1" t="str">
        <f aca="false">IF(D2798&lt;&gt;"",DEC2HEX(D2798,2),"")</f>
        <v/>
      </c>
      <c r="J2798" s="1" t="e">
        <f aca="false">IF(H2798&lt;&gt;"","0x"&amp;I2798&amp;H2798,"")</f>
        <v>#NAME?</v>
      </c>
      <c r="L2798" s="1" t="s">
        <v>3645</v>
      </c>
      <c r="M2798" s="1" t="e">
        <f aca="false">IF(J2798&lt;&gt;"",J2798,L2798)</f>
        <v>#NAME?</v>
      </c>
    </row>
    <row r="2799" customFormat="false" ht="12.75" hidden="false" customHeight="true" outlineLevel="0" collapsed="false">
      <c r="A2799" s="3" t="s">
        <v>3646</v>
      </c>
      <c r="B2799" s="3" t="str">
        <f aca="false">IF(ISNUMBER(SEARCH("%", A2799)),RIGHT(A2799,3),A2799)</f>
        <v>2, 5, 15, MARILL</v>
      </c>
      <c r="C2799" s="1" t="str">
        <f aca="false" t="array" ref="C2799:C2799">IF(B2798="NEW ROUTE",textsplit(B2799,","),"")</f>
        <v/>
      </c>
      <c r="H2799" s="1" t="str">
        <f aca="false">IF(C2799&lt;&gt;"",DEC2HEX(C2799,2),"")</f>
        <v/>
      </c>
      <c r="I2799" s="1" t="str">
        <f aca="false">IF(D2799&lt;&gt;"",DEC2HEX(D2799,2),"")</f>
        <v/>
      </c>
      <c r="J2799" s="1" t="str">
        <f aca="false">IF(H2799&lt;&gt;"","0x"&amp;I2799&amp;H2799,"")</f>
        <v/>
      </c>
      <c r="L2799" s="1" t="s">
        <v>3646</v>
      </c>
      <c r="M2799" s="1" t="str">
        <f aca="false">IF(J2799&lt;&gt;"",J2799,L2799)</f>
        <v>2, 5, 15, MARILL</v>
      </c>
    </row>
    <row r="2800" customFormat="false" ht="12.75" hidden="false" customHeight="true" outlineLevel="0" collapsed="false">
      <c r="A2800" s="3" t="s">
        <v>3158</v>
      </c>
      <c r="B2800" s="3" t="str">
        <f aca="false">IF(ISNUMBER(SEARCH("%", A2800)),RIGHT(A2800,3),A2800)</f>
        <v>5, 35, SLOWPOKE</v>
      </c>
      <c r="C2800" s="1" t="str">
        <f aca="false" t="array" ref="C2800:C2800">IF(B2799="NEW ROUTE",textsplit(B2800,","),"")</f>
        <v/>
      </c>
      <c r="H2800" s="1" t="str">
        <f aca="false">IF(C2800&lt;&gt;"",DEC2HEX(C2800,2),"")</f>
        <v/>
      </c>
      <c r="I2800" s="1" t="str">
        <f aca="false">IF(D2800&lt;&gt;"",DEC2HEX(D2800,2),"")</f>
        <v/>
      </c>
      <c r="J2800" s="1" t="str">
        <f aca="false">IF(H2800&lt;&gt;"","0x"&amp;I2800&amp;H2800,"")</f>
        <v/>
      </c>
      <c r="L2800" s="1" t="s">
        <v>3158</v>
      </c>
      <c r="M2800" s="1" t="str">
        <f aca="false">IF(J2800&lt;&gt;"",J2800,L2800)</f>
        <v>5, 35, SLOWPOKE</v>
      </c>
    </row>
    <row r="2801" customFormat="false" ht="12.75" hidden="false" customHeight="true" outlineLevel="0" collapsed="false">
      <c r="A2801" s="3" t="s">
        <v>3293</v>
      </c>
      <c r="B2801" s="3" t="str">
        <f aca="false">IF(ISNUMBER(SEARCH("%", A2801)),RIGHT(A2801,3),A2801)</f>
        <v>15, 25, MARILL</v>
      </c>
      <c r="C2801" s="1" t="str">
        <f aca="false" t="array" ref="C2801:C2801">IF(B2800="NEW ROUTE",textsplit(B2801,","),"")</f>
        <v/>
      </c>
      <c r="H2801" s="1" t="str">
        <f aca="false">IF(C2801&lt;&gt;"",DEC2HEX(C2801,2),"")</f>
        <v/>
      </c>
      <c r="I2801" s="1" t="str">
        <f aca="false">IF(D2801&lt;&gt;"",DEC2HEX(D2801,2),"")</f>
        <v/>
      </c>
      <c r="J2801" s="1" t="str">
        <f aca="false">IF(H2801&lt;&gt;"","0x"&amp;I2801&amp;H2801,"")</f>
        <v/>
      </c>
      <c r="L2801" s="1" t="s">
        <v>3293</v>
      </c>
      <c r="M2801" s="1" t="str">
        <f aca="false">IF(J2801&lt;&gt;"",J2801,L2801)</f>
        <v>15, 25, MARILL</v>
      </c>
    </row>
    <row r="2802" customFormat="false" ht="12.75" hidden="false" customHeight="true" outlineLevel="0" collapsed="false">
      <c r="A2802" s="3" t="s">
        <v>3293</v>
      </c>
      <c r="B2802" s="3" t="str">
        <f aca="false">IF(ISNUMBER(SEARCH("%", A2802)),RIGHT(A2802,3),A2802)</f>
        <v>15, 25, MARILL</v>
      </c>
      <c r="C2802" s="1" t="str">
        <f aca="false" t="array" ref="C2802:C2802">IF(B2801="NEW ROUTE",textsplit(B2802,","),"")</f>
        <v/>
      </c>
      <c r="H2802" s="1" t="str">
        <f aca="false">IF(C2802&lt;&gt;"",DEC2HEX(C2802,2),"")</f>
        <v/>
      </c>
      <c r="I2802" s="1" t="str">
        <f aca="false">IF(D2802&lt;&gt;"",DEC2HEX(D2802,2),"")</f>
        <v/>
      </c>
      <c r="J2802" s="1" t="str">
        <f aca="false">IF(H2802&lt;&gt;"","0x"&amp;I2802&amp;H2802,"")</f>
        <v/>
      </c>
      <c r="L2802" s="1" t="s">
        <v>3293</v>
      </c>
      <c r="M2802" s="1" t="str">
        <f aca="false">IF(J2802&lt;&gt;"",J2802,L2802)</f>
        <v>15, 25, MARILL</v>
      </c>
    </row>
    <row r="2803" customFormat="false" ht="12.75" hidden="false" customHeight="true" outlineLevel="0" collapsed="false">
      <c r="A2803" s="3" t="s">
        <v>3293</v>
      </c>
      <c r="B2803" s="3" t="str">
        <f aca="false">IF(ISNUMBER(SEARCH("%", A2803)),RIGHT(A2803,3),A2803)</f>
        <v>15, 25, MARILL</v>
      </c>
      <c r="C2803" s="1" t="str">
        <f aca="false" t="array" ref="C2803:C2803">IF(B2802="NEW ROUTE",textsplit(B2803,","),"")</f>
        <v/>
      </c>
      <c r="H2803" s="1" t="str">
        <f aca="false">IF(C2803&lt;&gt;"",DEC2HEX(C2803,2),"")</f>
        <v/>
      </c>
      <c r="I2803" s="1" t="str">
        <f aca="false">IF(D2803&lt;&gt;"",DEC2HEX(D2803,2),"")</f>
        <v/>
      </c>
      <c r="J2803" s="1" t="str">
        <f aca="false">IF(H2803&lt;&gt;"","0x"&amp;I2803&amp;H2803,"")</f>
        <v/>
      </c>
      <c r="L2803" s="1" t="s">
        <v>3293</v>
      </c>
      <c r="M2803" s="1" t="str">
        <f aca="false">IF(J2803&lt;&gt;"",J2803,L2803)</f>
        <v>15, 25, MARILL</v>
      </c>
    </row>
    <row r="2804" customFormat="false" ht="12.75" hidden="false" customHeight="true" outlineLevel="0" collapsed="false">
      <c r="A2804" s="3" t="s">
        <v>2925</v>
      </c>
      <c r="B2804" s="3" t="str">
        <f aca="false">IF(ISNUMBER(SEARCH("%", A2804)),RIGHT(A2804,3),A2804)</f>
        <v>20, old rod:</v>
      </c>
      <c r="C2804" s="1" t="str">
        <f aca="false" t="array" ref="C2804:C2804">IF(B2803="NEW ROUTE",textsplit(B2804,","),"")</f>
        <v/>
      </c>
      <c r="H2804" s="1" t="str">
        <f aca="false">IF(C2804&lt;&gt;"",DEC2HEX(C2804,2),"")</f>
        <v/>
      </c>
      <c r="I2804" s="1" t="str">
        <f aca="false">IF(D2804&lt;&gt;"",DEC2HEX(D2804,2),"")</f>
        <v/>
      </c>
      <c r="J2804" s="1" t="str">
        <f aca="false">IF(H2804&lt;&gt;"","0x"&amp;I2804&amp;H2804,"")</f>
        <v/>
      </c>
      <c r="L2804" s="1" t="s">
        <v>2925</v>
      </c>
      <c r="M2804" s="1" t="str">
        <f aca="false">IF(J2804&lt;&gt;"",J2804,L2804)</f>
        <v>20, old rod:</v>
      </c>
    </row>
    <row r="2805" customFormat="false" ht="12.75" hidden="false" customHeight="true" outlineLevel="0" collapsed="false">
      <c r="A2805" s="3" t="s">
        <v>1266</v>
      </c>
      <c r="B2805" s="3" t="str">
        <f aca="false">IF(ISNUMBER(SEARCH("%", A2805)),RIGHT(A2805,3),A2805)</f>
        <v>5, 5, MAGIKARP</v>
      </c>
      <c r="C2805" s="1" t="str">
        <f aca="false" t="array" ref="C2805:C2805">IF(B2804="NEW ROUTE",textsplit(B2805,","),"")</f>
        <v/>
      </c>
      <c r="H2805" s="1" t="str">
        <f aca="false">IF(C2805&lt;&gt;"",DEC2HEX(C2805,2),"")</f>
        <v/>
      </c>
      <c r="I2805" s="1" t="str">
        <f aca="false">IF(D2805&lt;&gt;"",DEC2HEX(D2805,2),"")</f>
        <v/>
      </c>
      <c r="J2805" s="1" t="str">
        <f aca="false">IF(H2805&lt;&gt;"","0x"&amp;I2805&amp;H2805,"")</f>
        <v/>
      </c>
      <c r="L2805" s="1" t="s">
        <v>1266</v>
      </c>
      <c r="M2805" s="1" t="str">
        <f aca="false">IF(J2805&lt;&gt;"",J2805,L2805)</f>
        <v>5, 5, MAGIKARP</v>
      </c>
    </row>
    <row r="2806" customFormat="false" ht="12.75" hidden="false" customHeight="true" outlineLevel="0" collapsed="false">
      <c r="A2806" s="3" t="s">
        <v>1266</v>
      </c>
      <c r="B2806" s="3" t="str">
        <f aca="false">IF(ISNUMBER(SEARCH("%", A2806)),RIGHT(A2806,3),A2806)</f>
        <v>5, 5, MAGIKARP</v>
      </c>
      <c r="C2806" s="1" t="str">
        <f aca="false" t="array" ref="C2806:C2806">IF(B2805="NEW ROUTE",textsplit(B2806,","),"")</f>
        <v/>
      </c>
      <c r="H2806" s="1" t="str">
        <f aca="false">IF(C2806&lt;&gt;"",DEC2HEX(C2806,2),"")</f>
        <v/>
      </c>
      <c r="I2806" s="1" t="str">
        <f aca="false">IF(D2806&lt;&gt;"",DEC2HEX(D2806,2),"")</f>
        <v/>
      </c>
      <c r="J2806" s="1" t="str">
        <f aca="false">IF(H2806&lt;&gt;"","0x"&amp;I2806&amp;H2806,"")</f>
        <v/>
      </c>
      <c r="L2806" s="1" t="s">
        <v>1266</v>
      </c>
      <c r="M2806" s="1" t="str">
        <f aca="false">IF(J2806&lt;&gt;"",J2806,L2806)</f>
        <v>5, 5, MAGIKARP</v>
      </c>
    </row>
    <row r="2807" customFormat="false" ht="12.75" hidden="false" customHeight="true" outlineLevel="0" collapsed="false">
      <c r="A2807" s="3" t="s">
        <v>2846</v>
      </c>
      <c r="B2807" s="3" t="str">
        <f aca="false">IF(ISNUMBER(SEARCH("%", A2807)),RIGHT(A2807,3),A2807)</f>
        <v>good rod:</v>
      </c>
      <c r="C2807" s="1" t="str">
        <f aca="false" t="array" ref="C2807:C2807">IF(B2806="NEW ROUTE",textsplit(B2807,","),"")</f>
        <v/>
      </c>
      <c r="H2807" s="1" t="str">
        <f aca="false">IF(C2807&lt;&gt;"",DEC2HEX(C2807,2),"")</f>
        <v/>
      </c>
      <c r="I2807" s="1" t="str">
        <f aca="false">IF(D2807&lt;&gt;"",DEC2HEX(D2807,2),"")</f>
        <v/>
      </c>
      <c r="J2807" s="1" t="str">
        <f aca="false">IF(H2807&lt;&gt;"","0x"&amp;I2807&amp;H2807,"")</f>
        <v/>
      </c>
      <c r="L2807" s="1" t="s">
        <v>2846</v>
      </c>
      <c r="M2807" s="1" t="str">
        <f aca="false">IF(J2807&lt;&gt;"",J2807,L2807)</f>
        <v>good rod:</v>
      </c>
    </row>
    <row r="2808" customFormat="false" ht="12.75" hidden="false" customHeight="true" outlineLevel="0" collapsed="false">
      <c r="A2808" s="3" t="s">
        <v>3143</v>
      </c>
      <c r="B2808" s="3" t="str">
        <f aca="false">IF(ISNUMBER(SEARCH("%", A2808)),RIGHT(A2808,3),A2808)</f>
        <v>5, 15, POLIWAG</v>
      </c>
      <c r="C2808" s="1" t="str">
        <f aca="false" t="array" ref="C2808:C2808">IF(B2807="NEW ROUTE",textsplit(B2808,","),"")</f>
        <v/>
      </c>
      <c r="H2808" s="1" t="str">
        <f aca="false">IF(C2808&lt;&gt;"",DEC2HEX(C2808,2),"")</f>
        <v/>
      </c>
      <c r="I2808" s="1" t="str">
        <f aca="false">IF(D2808&lt;&gt;"",DEC2HEX(D2808,2),"")</f>
        <v/>
      </c>
      <c r="J2808" s="1" t="str">
        <f aca="false">IF(H2808&lt;&gt;"","0x"&amp;I2808&amp;H2808,"")</f>
        <v/>
      </c>
      <c r="L2808" s="1" t="s">
        <v>3143</v>
      </c>
      <c r="M2808" s="1" t="str">
        <f aca="false">IF(J2808&lt;&gt;"",J2808,L2808)</f>
        <v>5, 15, POLIWAG</v>
      </c>
    </row>
    <row r="2809" customFormat="false" ht="12.75" hidden="false" customHeight="true" outlineLevel="0" collapsed="false">
      <c r="A2809" s="3" t="s">
        <v>2848</v>
      </c>
      <c r="B2809" s="3" t="str">
        <f aca="false">IF(ISNUMBER(SEARCH("%", A2809)),RIGHT(A2809,3),A2809)</f>
        <v>5, 15, MAGIKARP</v>
      </c>
      <c r="C2809" s="1" t="str">
        <f aca="false" t="array" ref="C2809:C2809">IF(B2808="NEW ROUTE",textsplit(B2809,","),"")</f>
        <v/>
      </c>
      <c r="H2809" s="1" t="str">
        <f aca="false">IF(C2809&lt;&gt;"",DEC2HEX(C2809,2),"")</f>
        <v/>
      </c>
      <c r="I2809" s="1" t="str">
        <f aca="false">IF(D2809&lt;&gt;"",DEC2HEX(D2809,2),"")</f>
        <v/>
      </c>
      <c r="J2809" s="1" t="str">
        <f aca="false">IF(H2809&lt;&gt;"","0x"&amp;I2809&amp;H2809,"")</f>
        <v/>
      </c>
      <c r="L2809" s="1" t="s">
        <v>2848</v>
      </c>
      <c r="M2809" s="1" t="str">
        <f aca="false">IF(J2809&lt;&gt;"",J2809,L2809)</f>
        <v>5, 15, MAGIKARP</v>
      </c>
    </row>
    <row r="2810" customFormat="false" ht="12.75" hidden="false" customHeight="true" outlineLevel="0" collapsed="false">
      <c r="A2810" s="3" t="s">
        <v>3142</v>
      </c>
      <c r="B2810" s="3" t="str">
        <f aca="false">IF(ISNUMBER(SEARCH("%", A2810)),RIGHT(A2810,3),A2810)</f>
        <v>5, 15, GOLDEEN</v>
      </c>
      <c r="C2810" s="1" t="str">
        <f aca="false" t="array" ref="C2810:C2810">IF(B2809="NEW ROUTE",textsplit(B2810,","),"")</f>
        <v/>
      </c>
      <c r="H2810" s="1" t="str">
        <f aca="false">IF(C2810&lt;&gt;"",DEC2HEX(C2810,2),"")</f>
        <v/>
      </c>
      <c r="I2810" s="1" t="str">
        <f aca="false">IF(D2810&lt;&gt;"",DEC2HEX(D2810,2),"")</f>
        <v/>
      </c>
      <c r="J2810" s="1" t="str">
        <f aca="false">IF(H2810&lt;&gt;"","0x"&amp;I2810&amp;H2810,"")</f>
        <v/>
      </c>
      <c r="L2810" s="1" t="s">
        <v>3142</v>
      </c>
      <c r="M2810" s="1" t="str">
        <f aca="false">IF(J2810&lt;&gt;"",J2810,L2810)</f>
        <v>5, 15, GOLDEEN</v>
      </c>
    </row>
    <row r="2811" customFormat="false" ht="12.75" hidden="false" customHeight="true" outlineLevel="0" collapsed="false">
      <c r="A2811" s="3" t="s">
        <v>2850</v>
      </c>
      <c r="B2811" s="3" t="str">
        <f aca="false">IF(ISNUMBER(SEARCH("%", A2811)),RIGHT(A2811,3),A2811)</f>
        <v>super rod:</v>
      </c>
      <c r="C2811" s="1" t="str">
        <f aca="false" t="array" ref="C2811:C2811">IF(B2810="NEW ROUTE",textsplit(B2811,","),"")</f>
        <v/>
      </c>
      <c r="H2811" s="1" t="str">
        <f aca="false">IF(C2811&lt;&gt;"",DEC2HEX(C2811,2),"")</f>
        <v/>
      </c>
      <c r="I2811" s="1" t="str">
        <f aca="false">IF(D2811&lt;&gt;"",DEC2HEX(D2811,2),"")</f>
        <v/>
      </c>
      <c r="J2811" s="1" t="str">
        <f aca="false">IF(H2811&lt;&gt;"","0x"&amp;I2811&amp;H2811,"")</f>
        <v/>
      </c>
      <c r="L2811" s="1" t="s">
        <v>2850</v>
      </c>
      <c r="M2811" s="1" t="str">
        <f aca="false">IF(J2811&lt;&gt;"",J2811,L2811)</f>
        <v>super rod:</v>
      </c>
    </row>
    <row r="2812" customFormat="false" ht="12.75" hidden="false" customHeight="true" outlineLevel="0" collapsed="false">
      <c r="A2812" s="3" t="s">
        <v>3161</v>
      </c>
      <c r="B2812" s="3" t="str">
        <f aca="false">IF(ISNUMBER(SEARCH("%", A2812)),RIGHT(A2812,3),A2812)</f>
        <v>15, 25, POLIWAG</v>
      </c>
      <c r="C2812" s="1" t="str">
        <f aca="false" t="array" ref="C2812:C2812">IF(B2811="NEW ROUTE",textsplit(B2812,","),"")</f>
        <v/>
      </c>
      <c r="H2812" s="1" t="str">
        <f aca="false">IF(C2812&lt;&gt;"",DEC2HEX(C2812,2),"")</f>
        <v/>
      </c>
      <c r="I2812" s="1" t="str">
        <f aca="false">IF(D2812&lt;&gt;"",DEC2HEX(D2812,2),"")</f>
        <v/>
      </c>
      <c r="J2812" s="1" t="str">
        <f aca="false">IF(H2812&lt;&gt;"","0x"&amp;I2812&amp;H2812,"")</f>
        <v/>
      </c>
      <c r="L2812" s="1" t="s">
        <v>3161</v>
      </c>
      <c r="M2812" s="1" t="str">
        <f aca="false">IF(J2812&lt;&gt;"",J2812,L2812)</f>
        <v>15, 25, POLIWAG</v>
      </c>
    </row>
    <row r="2813" customFormat="false" ht="12.75" hidden="false" customHeight="true" outlineLevel="0" collapsed="false">
      <c r="A2813" s="3" t="s">
        <v>3162</v>
      </c>
      <c r="B2813" s="3" t="str">
        <f aca="false">IF(ISNUMBER(SEARCH("%", A2813)),RIGHT(A2813,3),A2813)</f>
        <v>20, 30, POLIWHIRL</v>
      </c>
      <c r="C2813" s="1" t="str">
        <f aca="false" t="array" ref="C2813:C2813">IF(B2812="NEW ROUTE",textsplit(B2813,","),"")</f>
        <v/>
      </c>
      <c r="H2813" s="1" t="str">
        <f aca="false">IF(C2813&lt;&gt;"",DEC2HEX(C2813,2),"")</f>
        <v/>
      </c>
      <c r="I2813" s="1" t="str">
        <f aca="false">IF(D2813&lt;&gt;"",DEC2HEX(D2813,2),"")</f>
        <v/>
      </c>
      <c r="J2813" s="1" t="str">
        <f aca="false">IF(H2813&lt;&gt;"","0x"&amp;I2813&amp;H2813,"")</f>
        <v/>
      </c>
      <c r="L2813" s="1" t="s">
        <v>3162</v>
      </c>
      <c r="M2813" s="1" t="str">
        <f aca="false">IF(J2813&lt;&gt;"",J2813,L2813)</f>
        <v>20, 30, POLIWHIRL</v>
      </c>
    </row>
    <row r="2814" customFormat="false" ht="12.75" hidden="false" customHeight="true" outlineLevel="0" collapsed="false">
      <c r="A2814" s="3" t="s">
        <v>2853</v>
      </c>
      <c r="B2814" s="3" t="str">
        <f aca="false">IF(ISNUMBER(SEARCH("%", A2814)),RIGHT(A2814,3),A2814)</f>
        <v>15, 25, GYARADOS</v>
      </c>
      <c r="C2814" s="1" t="str">
        <f aca="false" t="array" ref="C2814:C2814">IF(B2813="NEW ROUTE",textsplit(B2814,","),"")</f>
        <v/>
      </c>
      <c r="H2814" s="1" t="str">
        <f aca="false">IF(C2814&lt;&gt;"",DEC2HEX(C2814,2),"")</f>
        <v/>
      </c>
      <c r="I2814" s="1" t="str">
        <f aca="false">IF(D2814&lt;&gt;"",DEC2HEX(D2814,2),"")</f>
        <v/>
      </c>
      <c r="J2814" s="1" t="str">
        <f aca="false">IF(H2814&lt;&gt;"","0x"&amp;I2814&amp;H2814,"")</f>
        <v/>
      </c>
      <c r="L2814" s="1" t="s">
        <v>2853</v>
      </c>
      <c r="M2814" s="1" t="str">
        <f aca="false">IF(J2814&lt;&gt;"",J2814,L2814)</f>
        <v>15, 25, GYARADOS</v>
      </c>
    </row>
    <row r="2815" customFormat="false" ht="12.75" hidden="false" customHeight="true" outlineLevel="0" collapsed="false">
      <c r="A2815" s="3" t="s">
        <v>3146</v>
      </c>
      <c r="B2815" s="3" t="str">
        <f aca="false">IF(ISNUMBER(SEARCH("%", A2815)),RIGHT(A2815,3),A2815)</f>
        <v>15, 25, SLOWPOKE</v>
      </c>
      <c r="C2815" s="1" t="str">
        <f aca="false" t="array" ref="C2815:C2815">IF(B2814="NEW ROUTE",textsplit(B2815,","),"")</f>
        <v/>
      </c>
      <c r="H2815" s="1" t="str">
        <f aca="false">IF(C2815&lt;&gt;"",DEC2HEX(C2815,2),"")</f>
        <v/>
      </c>
      <c r="I2815" s="1" t="str">
        <f aca="false">IF(D2815&lt;&gt;"",DEC2HEX(D2815,2),"")</f>
        <v/>
      </c>
      <c r="J2815" s="1" t="str">
        <f aca="false">IF(H2815&lt;&gt;"","0x"&amp;I2815&amp;H2815,"")</f>
        <v/>
      </c>
      <c r="L2815" s="1" t="s">
        <v>3146</v>
      </c>
      <c r="M2815" s="1" t="str">
        <f aca="false">IF(J2815&lt;&gt;"",J2815,L2815)</f>
        <v>15, 25, SLOWPOKE</v>
      </c>
    </row>
    <row r="2816" customFormat="false" ht="12.75" hidden="false" customHeight="true" outlineLevel="0" collapsed="false">
      <c r="A2816" s="3" t="s">
        <v>2855</v>
      </c>
      <c r="B2816" s="3" t="str">
        <f aca="false">IF(ISNUMBER(SEARCH("%", A2816)),RIGHT(A2816,3),A2816)</f>
        <v>25, 35, SLOWPOKE</v>
      </c>
      <c r="C2816" s="1" t="str">
        <f aca="false" t="array" ref="C2816:C2816">IF(B2815="NEW ROUTE",textsplit(B2816,","),"")</f>
        <v/>
      </c>
      <c r="H2816" s="1" t="str">
        <f aca="false">IF(C2816&lt;&gt;"",DEC2HEX(C2816,2),"")</f>
        <v/>
      </c>
      <c r="I2816" s="1" t="str">
        <f aca="false">IF(D2816&lt;&gt;"",DEC2HEX(D2816,2),"")</f>
        <v/>
      </c>
      <c r="J2816" s="1" t="str">
        <f aca="false">IF(H2816&lt;&gt;"","0x"&amp;I2816&amp;H2816,"")</f>
        <v/>
      </c>
      <c r="L2816" s="1" t="s">
        <v>2855</v>
      </c>
      <c r="M2816" s="1" t="str">
        <f aca="false">IF(J2816&lt;&gt;"",J2816,L2816)</f>
        <v>25, 35, SLOWPOKE</v>
      </c>
    </row>
    <row r="2817" customFormat="false" ht="12.75" hidden="false" customHeight="true" outlineLevel="0" collapsed="false">
      <c r="A2817" s="3" t="s">
        <v>2536</v>
      </c>
      <c r="B2817" s="3" t="str">
        <f aca="false">IF(ISNUMBER(SEARCH("%", A2817)),RIGHT(A2817,3),A2817)</f>
        <v>NEW ROUTE</v>
      </c>
      <c r="C2817" s="1" t="str">
        <f aca="false" t="array" ref="C2817:C2817">IF(B2816="NEW ROUTE",textsplit(B2817,","),"")</f>
        <v/>
      </c>
      <c r="H2817" s="1" t="str">
        <f aca="false">IF(C2817&lt;&gt;"",DEC2HEX(C2817,2),"")</f>
        <v/>
      </c>
      <c r="I2817" s="1" t="str">
        <f aca="false">IF(D2817&lt;&gt;"",DEC2HEX(D2817,2),"")</f>
        <v/>
      </c>
      <c r="J2817" s="1" t="str">
        <f aca="false">IF(H2817&lt;&gt;"","0x"&amp;I2817&amp;H2817,"")</f>
        <v/>
      </c>
      <c r="L2817" s="1" t="s">
        <v>2536</v>
      </c>
      <c r="M2817" s="1" t="str">
        <f aca="false">IF(J2817&lt;&gt;"",J2817,L2817)</f>
        <v>NEW ROUTE</v>
      </c>
    </row>
    <row r="2818" customFormat="false" ht="12.75" hidden="false" customHeight="true" outlineLevel="0" collapsed="false">
      <c r="A2818" s="3" t="s">
        <v>3647</v>
      </c>
      <c r="B2818" s="3" t="str">
        <f aca="false">IF(ISNUMBER(SEARCH("%", A2818)),RIGHT(A2818,3),A2818)</f>
        <v>3, 16, 0, &lt;null&gt;,</v>
      </c>
      <c r="C2818" s="1" t="e">
        <f aca="false" t="array" ref="C2818:C2818">IF(B2817="NEW ROUTE",textsplit(B2818,","),"")</f>
        <v>#NAME?</v>
      </c>
      <c r="H2818" s="1" t="e">
        <f aca="false">IF(C2818&lt;&gt;"",DEC2HEX(C2818,2),"")</f>
        <v>#NAME?</v>
      </c>
      <c r="I2818" s="1" t="str">
        <f aca="false">IF(D2818&lt;&gt;"",DEC2HEX(D2818,2),"")</f>
        <v/>
      </c>
      <c r="J2818" s="1" t="e">
        <f aca="false">IF(H2818&lt;&gt;"","0x"&amp;I2818&amp;H2818,"")</f>
        <v>#NAME?</v>
      </c>
      <c r="L2818" s="1" t="s">
        <v>3647</v>
      </c>
      <c r="M2818" s="1" t="e">
        <f aca="false">IF(J2818&lt;&gt;"",J2818,L2818)</f>
        <v>#NAME?</v>
      </c>
    </row>
    <row r="2819" customFormat="false" ht="12.75" hidden="false" customHeight="true" outlineLevel="0" collapsed="false">
      <c r="A2819" s="3" t="s">
        <v>3648</v>
      </c>
      <c r="B2819" s="3" t="str">
        <f aca="false">IF(ISNUMBER(SEARCH("%", A2819)),RIGHT(A2819,3),A2819)</f>
        <v>1, 5, 35, TENTACOOL</v>
      </c>
      <c r="C2819" s="1" t="str">
        <f aca="false" t="array" ref="C2819:C2819">IF(B2818="NEW ROUTE",textsplit(B2819,","),"")</f>
        <v/>
      </c>
      <c r="H2819" s="1" t="str">
        <f aca="false">IF(C2819&lt;&gt;"",DEC2HEX(C2819,2),"")</f>
        <v/>
      </c>
      <c r="I2819" s="1" t="str">
        <f aca="false">IF(D2819&lt;&gt;"",DEC2HEX(D2819,2),"")</f>
        <v/>
      </c>
      <c r="J2819" s="1" t="str">
        <f aca="false">IF(H2819&lt;&gt;"","0x"&amp;I2819&amp;H2819,"")</f>
        <v/>
      </c>
      <c r="L2819" s="1" t="s">
        <v>3648</v>
      </c>
      <c r="M2819" s="1" t="str">
        <f aca="false">IF(J2819&lt;&gt;"",J2819,L2819)</f>
        <v>1, 5, 35, TENTACOOL</v>
      </c>
    </row>
    <row r="2820" customFormat="false" ht="12.75" hidden="false" customHeight="true" outlineLevel="0" collapsed="false">
      <c r="A2820" s="3" t="s">
        <v>3257</v>
      </c>
      <c r="B2820" s="3" t="str">
        <f aca="false">IF(ISNUMBER(SEARCH("%", A2820)),RIGHT(A2820,3),A2820)</f>
        <v>5, 15, HOPPIP</v>
      </c>
      <c r="C2820" s="1" t="str">
        <f aca="false" t="array" ref="C2820:C2820">IF(B2819="NEW ROUTE",textsplit(B2820,","),"")</f>
        <v/>
      </c>
      <c r="H2820" s="1" t="str">
        <f aca="false">IF(C2820&lt;&gt;"",DEC2HEX(C2820,2),"")</f>
        <v/>
      </c>
      <c r="I2820" s="1" t="str">
        <f aca="false">IF(D2820&lt;&gt;"",DEC2HEX(D2820,2),"")</f>
        <v/>
      </c>
      <c r="J2820" s="1" t="str">
        <f aca="false">IF(H2820&lt;&gt;"","0x"&amp;I2820&amp;H2820,"")</f>
        <v/>
      </c>
      <c r="L2820" s="1" t="s">
        <v>3257</v>
      </c>
      <c r="M2820" s="1" t="str">
        <f aca="false">IF(J2820&lt;&gt;"",J2820,L2820)</f>
        <v>5, 15, HOPPIP</v>
      </c>
    </row>
    <row r="2821" customFormat="false" ht="12.75" hidden="false" customHeight="true" outlineLevel="0" collapsed="false">
      <c r="A2821" s="3" t="s">
        <v>2844</v>
      </c>
      <c r="B2821" s="3" t="str">
        <f aca="false">IF(ISNUMBER(SEARCH("%", A2821)),RIGHT(A2821,3),A2821)</f>
        <v>35, 40, TENTACOOL</v>
      </c>
      <c r="C2821" s="1" t="str">
        <f aca="false" t="array" ref="C2821:C2821">IF(B2820="NEW ROUTE",textsplit(B2821,","),"")</f>
        <v/>
      </c>
      <c r="H2821" s="1" t="str">
        <f aca="false">IF(C2821&lt;&gt;"",DEC2HEX(C2821,2),"")</f>
        <v/>
      </c>
      <c r="I2821" s="1" t="str">
        <f aca="false">IF(D2821&lt;&gt;"",DEC2HEX(D2821,2),"")</f>
        <v/>
      </c>
      <c r="J2821" s="1" t="str">
        <f aca="false">IF(H2821&lt;&gt;"","0x"&amp;I2821&amp;H2821,"")</f>
        <v/>
      </c>
      <c r="L2821" s="1" t="s">
        <v>2844</v>
      </c>
      <c r="M2821" s="1" t="str">
        <f aca="false">IF(J2821&lt;&gt;"",J2821,L2821)</f>
        <v>35, 40, TENTACOOL</v>
      </c>
    </row>
    <row r="2822" customFormat="false" ht="12.75" hidden="false" customHeight="true" outlineLevel="0" collapsed="false">
      <c r="A2822" s="3" t="s">
        <v>3231</v>
      </c>
      <c r="B2822" s="3" t="str">
        <f aca="false">IF(ISNUMBER(SEARCH("%", A2822)),RIGHT(A2822,3),A2822)</f>
        <v>35, 40, TENTACRUEL</v>
      </c>
      <c r="C2822" s="1" t="str">
        <f aca="false" t="array" ref="C2822:C2822">IF(B2821="NEW ROUTE",textsplit(B2822,","),"")</f>
        <v/>
      </c>
      <c r="H2822" s="1" t="str">
        <f aca="false">IF(C2822&lt;&gt;"",DEC2HEX(C2822,2),"")</f>
        <v/>
      </c>
      <c r="I2822" s="1" t="str">
        <f aca="false">IF(D2822&lt;&gt;"",DEC2HEX(D2822,2),"")</f>
        <v/>
      </c>
      <c r="J2822" s="1" t="str">
        <f aca="false">IF(H2822&lt;&gt;"","0x"&amp;I2822&amp;H2822,"")</f>
        <v/>
      </c>
      <c r="L2822" s="1" t="s">
        <v>3231</v>
      </c>
      <c r="M2822" s="1" t="str">
        <f aca="false">IF(J2822&lt;&gt;"",J2822,L2822)</f>
        <v>35, 40, TENTACRUEL</v>
      </c>
    </row>
    <row r="2823" customFormat="false" ht="12.75" hidden="false" customHeight="true" outlineLevel="0" collapsed="false">
      <c r="A2823" s="3" t="s">
        <v>3231</v>
      </c>
      <c r="B2823" s="3" t="str">
        <f aca="false">IF(ISNUMBER(SEARCH("%", A2823)),RIGHT(A2823,3),A2823)</f>
        <v>35, 40, TENTACRUEL</v>
      </c>
      <c r="C2823" s="1" t="str">
        <f aca="false" t="array" ref="C2823:C2823">IF(B2822="NEW ROUTE",textsplit(B2823,","),"")</f>
        <v/>
      </c>
      <c r="H2823" s="1" t="str">
        <f aca="false">IF(C2823&lt;&gt;"",DEC2HEX(C2823,2),"")</f>
        <v/>
      </c>
      <c r="I2823" s="1" t="str">
        <f aca="false">IF(D2823&lt;&gt;"",DEC2HEX(D2823,2),"")</f>
        <v/>
      </c>
      <c r="J2823" s="1" t="str">
        <f aca="false">IF(H2823&lt;&gt;"","0x"&amp;I2823&amp;H2823,"")</f>
        <v/>
      </c>
      <c r="L2823" s="1" t="s">
        <v>3231</v>
      </c>
      <c r="M2823" s="1" t="str">
        <f aca="false">IF(J2823&lt;&gt;"",J2823,L2823)</f>
        <v>35, 40, TENTACRUEL</v>
      </c>
    </row>
    <row r="2824" customFormat="false" ht="12.75" hidden="false" customHeight="true" outlineLevel="0" collapsed="false">
      <c r="A2824" s="3" t="s">
        <v>2845</v>
      </c>
      <c r="B2824" s="3" t="str">
        <f aca="false">IF(ISNUMBER(SEARCH("%", A2824)),RIGHT(A2824,3),A2824)</f>
        <v>10, old rod:</v>
      </c>
      <c r="C2824" s="1" t="str">
        <f aca="false" t="array" ref="C2824:C2824">IF(B2823="NEW ROUTE",textsplit(B2824,","),"")</f>
        <v/>
      </c>
      <c r="H2824" s="1" t="str">
        <f aca="false">IF(C2824&lt;&gt;"",DEC2HEX(C2824,2),"")</f>
        <v/>
      </c>
      <c r="I2824" s="1" t="str">
        <f aca="false">IF(D2824&lt;&gt;"",DEC2HEX(D2824,2),"")</f>
        <v/>
      </c>
      <c r="J2824" s="1" t="str">
        <f aca="false">IF(H2824&lt;&gt;"","0x"&amp;I2824&amp;H2824,"")</f>
        <v/>
      </c>
      <c r="L2824" s="1" t="s">
        <v>2845</v>
      </c>
      <c r="M2824" s="1" t="str">
        <f aca="false">IF(J2824&lt;&gt;"",J2824,L2824)</f>
        <v>10, old rod:</v>
      </c>
    </row>
    <row r="2825" customFormat="false" ht="12.75" hidden="false" customHeight="true" outlineLevel="0" collapsed="false">
      <c r="A2825" s="3" t="s">
        <v>1266</v>
      </c>
      <c r="B2825" s="3" t="str">
        <f aca="false">IF(ISNUMBER(SEARCH("%", A2825)),RIGHT(A2825,3),A2825)</f>
        <v>5, 5, MAGIKARP</v>
      </c>
      <c r="C2825" s="1" t="str">
        <f aca="false" t="array" ref="C2825:C2825">IF(B2824="NEW ROUTE",textsplit(B2825,","),"")</f>
        <v/>
      </c>
      <c r="H2825" s="1" t="str">
        <f aca="false">IF(C2825&lt;&gt;"",DEC2HEX(C2825,2),"")</f>
        <v/>
      </c>
      <c r="I2825" s="1" t="str">
        <f aca="false">IF(D2825&lt;&gt;"",DEC2HEX(D2825,2),"")</f>
        <v/>
      </c>
      <c r="J2825" s="1" t="str">
        <f aca="false">IF(H2825&lt;&gt;"","0x"&amp;I2825&amp;H2825,"")</f>
        <v/>
      </c>
      <c r="L2825" s="1" t="s">
        <v>1266</v>
      </c>
      <c r="M2825" s="1" t="str">
        <f aca="false">IF(J2825&lt;&gt;"",J2825,L2825)</f>
        <v>5, 5, MAGIKARP</v>
      </c>
    </row>
    <row r="2826" customFormat="false" ht="12.75" hidden="false" customHeight="true" outlineLevel="0" collapsed="false">
      <c r="A2826" s="3" t="s">
        <v>1266</v>
      </c>
      <c r="B2826" s="3" t="str">
        <f aca="false">IF(ISNUMBER(SEARCH("%", A2826)),RIGHT(A2826,3),A2826)</f>
        <v>5, 5, MAGIKARP</v>
      </c>
      <c r="C2826" s="1" t="str">
        <f aca="false" t="array" ref="C2826:C2826">IF(B2825="NEW ROUTE",textsplit(B2826,","),"")</f>
        <v/>
      </c>
      <c r="H2826" s="1" t="str">
        <f aca="false">IF(C2826&lt;&gt;"",DEC2HEX(C2826,2),"")</f>
        <v/>
      </c>
      <c r="I2826" s="1" t="str">
        <f aca="false">IF(D2826&lt;&gt;"",DEC2HEX(D2826,2),"")</f>
        <v/>
      </c>
      <c r="J2826" s="1" t="str">
        <f aca="false">IF(H2826&lt;&gt;"","0x"&amp;I2826&amp;H2826,"")</f>
        <v/>
      </c>
      <c r="L2826" s="1" t="s">
        <v>1266</v>
      </c>
      <c r="M2826" s="1" t="str">
        <f aca="false">IF(J2826&lt;&gt;"",J2826,L2826)</f>
        <v>5, 5, MAGIKARP</v>
      </c>
    </row>
    <row r="2827" customFormat="false" ht="12.75" hidden="false" customHeight="true" outlineLevel="0" collapsed="false">
      <c r="A2827" s="3" t="s">
        <v>2846</v>
      </c>
      <c r="B2827" s="3" t="str">
        <f aca="false">IF(ISNUMBER(SEARCH("%", A2827)),RIGHT(A2827,3),A2827)</f>
        <v>good rod:</v>
      </c>
      <c r="C2827" s="1" t="str">
        <f aca="false" t="array" ref="C2827:C2827">IF(B2826="NEW ROUTE",textsplit(B2827,","),"")</f>
        <v/>
      </c>
      <c r="H2827" s="1" t="str">
        <f aca="false">IF(C2827&lt;&gt;"",DEC2HEX(C2827,2),"")</f>
        <v/>
      </c>
      <c r="I2827" s="1" t="str">
        <f aca="false">IF(D2827&lt;&gt;"",DEC2HEX(D2827,2),"")</f>
        <v/>
      </c>
      <c r="J2827" s="1" t="str">
        <f aca="false">IF(H2827&lt;&gt;"","0x"&amp;I2827&amp;H2827,"")</f>
        <v/>
      </c>
      <c r="L2827" s="1" t="s">
        <v>2846</v>
      </c>
      <c r="M2827" s="1" t="str">
        <f aca="false">IF(J2827&lt;&gt;"",J2827,L2827)</f>
        <v>good rod:</v>
      </c>
    </row>
    <row r="2828" customFormat="false" ht="12.75" hidden="false" customHeight="true" outlineLevel="0" collapsed="false">
      <c r="A2828" s="3" t="s">
        <v>2847</v>
      </c>
      <c r="B2828" s="3" t="str">
        <f aca="false">IF(ISNUMBER(SEARCH("%", A2828)),RIGHT(A2828,3),A2828)</f>
        <v>5, 15, KRABBY</v>
      </c>
      <c r="C2828" s="1" t="str">
        <f aca="false" t="array" ref="C2828:C2828">IF(B2827="NEW ROUTE",textsplit(B2828,","),"")</f>
        <v/>
      </c>
      <c r="H2828" s="1" t="str">
        <f aca="false">IF(C2828&lt;&gt;"",DEC2HEX(C2828,2),"")</f>
        <v/>
      </c>
      <c r="I2828" s="1" t="str">
        <f aca="false">IF(D2828&lt;&gt;"",DEC2HEX(D2828,2),"")</f>
        <v/>
      </c>
      <c r="J2828" s="1" t="str">
        <f aca="false">IF(H2828&lt;&gt;"","0x"&amp;I2828&amp;H2828,"")</f>
        <v/>
      </c>
      <c r="L2828" s="1" t="s">
        <v>2847</v>
      </c>
      <c r="M2828" s="1" t="str">
        <f aca="false">IF(J2828&lt;&gt;"",J2828,L2828)</f>
        <v>5, 15, KRABBY</v>
      </c>
    </row>
    <row r="2829" customFormat="false" ht="12.75" hidden="false" customHeight="true" outlineLevel="0" collapsed="false">
      <c r="A2829" s="3" t="s">
        <v>2848</v>
      </c>
      <c r="B2829" s="3" t="str">
        <f aca="false">IF(ISNUMBER(SEARCH("%", A2829)),RIGHT(A2829,3),A2829)</f>
        <v>5, 15, MAGIKARP</v>
      </c>
      <c r="C2829" s="1" t="str">
        <f aca="false" t="array" ref="C2829:C2829">IF(B2828="NEW ROUTE",textsplit(B2829,","),"")</f>
        <v/>
      </c>
      <c r="H2829" s="1" t="str">
        <f aca="false">IF(C2829&lt;&gt;"",DEC2HEX(C2829,2),"")</f>
        <v/>
      </c>
      <c r="I2829" s="1" t="str">
        <f aca="false">IF(D2829&lt;&gt;"",DEC2HEX(D2829,2),"")</f>
        <v/>
      </c>
      <c r="J2829" s="1" t="str">
        <f aca="false">IF(H2829&lt;&gt;"","0x"&amp;I2829&amp;H2829,"")</f>
        <v/>
      </c>
      <c r="L2829" s="1" t="s">
        <v>2848</v>
      </c>
      <c r="M2829" s="1" t="str">
        <f aca="false">IF(J2829&lt;&gt;"",J2829,L2829)</f>
        <v>5, 15, MAGIKARP</v>
      </c>
    </row>
    <row r="2830" customFormat="false" ht="12.75" hidden="false" customHeight="true" outlineLevel="0" collapsed="false">
      <c r="A2830" s="3" t="s">
        <v>2847</v>
      </c>
      <c r="B2830" s="3" t="str">
        <f aca="false">IF(ISNUMBER(SEARCH("%", A2830)),RIGHT(A2830,3),A2830)</f>
        <v>5, 15, KRABBY</v>
      </c>
      <c r="C2830" s="1" t="str">
        <f aca="false" t="array" ref="C2830:C2830">IF(B2829="NEW ROUTE",textsplit(B2830,","),"")</f>
        <v/>
      </c>
      <c r="H2830" s="1" t="str">
        <f aca="false">IF(C2830&lt;&gt;"",DEC2HEX(C2830,2),"")</f>
        <v/>
      </c>
      <c r="I2830" s="1" t="str">
        <f aca="false">IF(D2830&lt;&gt;"",DEC2HEX(D2830,2),"")</f>
        <v/>
      </c>
      <c r="J2830" s="1" t="str">
        <f aca="false">IF(H2830&lt;&gt;"","0x"&amp;I2830&amp;H2830,"")</f>
        <v/>
      </c>
      <c r="L2830" s="1" t="s">
        <v>2847</v>
      </c>
      <c r="M2830" s="1" t="str">
        <f aca="false">IF(J2830&lt;&gt;"",J2830,L2830)</f>
        <v>5, 15, KRABBY</v>
      </c>
    </row>
    <row r="2831" customFormat="false" ht="12.75" hidden="false" customHeight="true" outlineLevel="0" collapsed="false">
      <c r="A2831" s="3" t="s">
        <v>2850</v>
      </c>
      <c r="B2831" s="3" t="str">
        <f aca="false">IF(ISNUMBER(SEARCH("%", A2831)),RIGHT(A2831,3),A2831)</f>
        <v>super rod:</v>
      </c>
      <c r="C2831" s="1" t="str">
        <f aca="false" t="array" ref="C2831:C2831">IF(B2830="NEW ROUTE",textsplit(B2831,","),"")</f>
        <v/>
      </c>
      <c r="H2831" s="1" t="str">
        <f aca="false">IF(C2831&lt;&gt;"",DEC2HEX(C2831,2),"")</f>
        <v/>
      </c>
      <c r="I2831" s="1" t="str">
        <f aca="false">IF(D2831&lt;&gt;"",DEC2HEX(D2831,2),"")</f>
        <v/>
      </c>
      <c r="J2831" s="1" t="str">
        <f aca="false">IF(H2831&lt;&gt;"","0x"&amp;I2831&amp;H2831,"")</f>
        <v/>
      </c>
      <c r="L2831" s="1" t="s">
        <v>2850</v>
      </c>
      <c r="M2831" s="1" t="str">
        <f aca="false">IF(J2831&lt;&gt;"",J2831,L2831)</f>
        <v>super rod:</v>
      </c>
    </row>
    <row r="2832" customFormat="false" ht="12.75" hidden="false" customHeight="true" outlineLevel="0" collapsed="false">
      <c r="A2832" s="3" t="s">
        <v>2851</v>
      </c>
      <c r="B2832" s="3" t="str">
        <f aca="false">IF(ISNUMBER(SEARCH("%", A2832)),RIGHT(A2832,3),A2832)</f>
        <v>15, 25, KRABBY</v>
      </c>
      <c r="C2832" s="1" t="str">
        <f aca="false" t="array" ref="C2832:C2832">IF(B2831="NEW ROUTE",textsplit(B2832,","),"")</f>
        <v/>
      </c>
      <c r="H2832" s="1" t="str">
        <f aca="false">IF(C2832&lt;&gt;"",DEC2HEX(C2832,2),"")</f>
        <v/>
      </c>
      <c r="I2832" s="1" t="str">
        <f aca="false">IF(D2832&lt;&gt;"",DEC2HEX(D2832,2),"")</f>
        <v/>
      </c>
      <c r="J2832" s="1" t="str">
        <f aca="false">IF(H2832&lt;&gt;"","0x"&amp;I2832&amp;H2832,"")</f>
        <v/>
      </c>
      <c r="L2832" s="1" t="s">
        <v>2851</v>
      </c>
      <c r="M2832" s="1" t="str">
        <f aca="false">IF(J2832&lt;&gt;"",J2832,L2832)</f>
        <v>15, 25, KRABBY</v>
      </c>
    </row>
    <row r="2833" customFormat="false" ht="12.75" hidden="false" customHeight="true" outlineLevel="0" collapsed="false">
      <c r="A2833" s="3" t="s">
        <v>2852</v>
      </c>
      <c r="B2833" s="3" t="str">
        <f aca="false">IF(ISNUMBER(SEARCH("%", A2833)),RIGHT(A2833,3),A2833)</f>
        <v>15, 25, STARYU</v>
      </c>
      <c r="C2833" s="1" t="str">
        <f aca="false" t="array" ref="C2833:C2833">IF(B2832="NEW ROUTE",textsplit(B2833,","),"")</f>
        <v/>
      </c>
      <c r="H2833" s="1" t="str">
        <f aca="false">IF(C2833&lt;&gt;"",DEC2HEX(C2833,2),"")</f>
        <v/>
      </c>
      <c r="I2833" s="1" t="str">
        <f aca="false">IF(D2833&lt;&gt;"",DEC2HEX(D2833,2),"")</f>
        <v/>
      </c>
      <c r="J2833" s="1" t="str">
        <f aca="false">IF(H2833&lt;&gt;"","0x"&amp;I2833&amp;H2833,"")</f>
        <v/>
      </c>
      <c r="L2833" s="1" t="s">
        <v>2852</v>
      </c>
      <c r="M2833" s="1" t="str">
        <f aca="false">IF(J2833&lt;&gt;"",J2833,L2833)</f>
        <v>15, 25, STARYU</v>
      </c>
    </row>
    <row r="2834" customFormat="false" ht="12.75" hidden="false" customHeight="true" outlineLevel="0" collapsed="false">
      <c r="A2834" s="3" t="s">
        <v>2853</v>
      </c>
      <c r="B2834" s="3" t="str">
        <f aca="false">IF(ISNUMBER(SEARCH("%", A2834)),RIGHT(A2834,3),A2834)</f>
        <v>15, 25, GYARADOS</v>
      </c>
      <c r="C2834" s="1" t="str">
        <f aca="false" t="array" ref="C2834:C2834">IF(B2833="NEW ROUTE",textsplit(B2834,","),"")</f>
        <v/>
      </c>
      <c r="H2834" s="1" t="str">
        <f aca="false">IF(C2834&lt;&gt;"",DEC2HEX(C2834,2),"")</f>
        <v/>
      </c>
      <c r="I2834" s="1" t="str">
        <f aca="false">IF(D2834&lt;&gt;"",DEC2HEX(D2834,2),"")</f>
        <v/>
      </c>
      <c r="J2834" s="1" t="str">
        <f aca="false">IF(H2834&lt;&gt;"","0x"&amp;I2834&amp;H2834,"")</f>
        <v/>
      </c>
      <c r="L2834" s="1" t="s">
        <v>2853</v>
      </c>
      <c r="M2834" s="1" t="str">
        <f aca="false">IF(J2834&lt;&gt;"",J2834,L2834)</f>
        <v>15, 25, GYARADOS</v>
      </c>
    </row>
    <row r="2835" customFormat="false" ht="12.75" hidden="false" customHeight="true" outlineLevel="0" collapsed="false">
      <c r="A2835" s="3" t="s">
        <v>3177</v>
      </c>
      <c r="B2835" s="3" t="str">
        <f aca="false">IF(ISNUMBER(SEARCH("%", A2835)),RIGHT(A2835,3),A2835)</f>
        <v>25, 35, KINGLER</v>
      </c>
      <c r="C2835" s="1" t="str">
        <f aca="false" t="array" ref="C2835:C2835">IF(B2834="NEW ROUTE",textsplit(B2835,","),"")</f>
        <v/>
      </c>
      <c r="H2835" s="1" t="str">
        <f aca="false">IF(C2835&lt;&gt;"",DEC2HEX(C2835,2),"")</f>
        <v/>
      </c>
      <c r="I2835" s="1" t="str">
        <f aca="false">IF(D2835&lt;&gt;"",DEC2HEX(D2835,2),"")</f>
        <v/>
      </c>
      <c r="J2835" s="1" t="str">
        <f aca="false">IF(H2835&lt;&gt;"","0x"&amp;I2835&amp;H2835,"")</f>
        <v/>
      </c>
      <c r="L2835" s="1" t="s">
        <v>3177</v>
      </c>
      <c r="M2835" s="1" t="str">
        <f aca="false">IF(J2835&lt;&gt;"",J2835,L2835)</f>
        <v>25, 35, KINGLER</v>
      </c>
    </row>
    <row r="2836" customFormat="false" ht="12.75" hidden="false" customHeight="true" outlineLevel="0" collapsed="false">
      <c r="A2836" s="3" t="s">
        <v>2855</v>
      </c>
      <c r="B2836" s="3" t="str">
        <f aca="false">IF(ISNUMBER(SEARCH("%", A2836)),RIGHT(A2836,3),A2836)</f>
        <v>25, 35, SLOWPOKE</v>
      </c>
      <c r="C2836" s="1" t="str">
        <f aca="false" t="array" ref="C2836:C2836">IF(B2835="NEW ROUTE",textsplit(B2836,","),"")</f>
        <v/>
      </c>
      <c r="H2836" s="1" t="str">
        <f aca="false">IF(C2836&lt;&gt;"",DEC2HEX(C2836,2),"")</f>
        <v/>
      </c>
      <c r="I2836" s="1" t="str">
        <f aca="false">IF(D2836&lt;&gt;"",DEC2HEX(D2836,2),"")</f>
        <v/>
      </c>
      <c r="J2836" s="1" t="str">
        <f aca="false">IF(H2836&lt;&gt;"","0x"&amp;I2836&amp;H2836,"")</f>
        <v/>
      </c>
      <c r="L2836" s="1" t="s">
        <v>2855</v>
      </c>
      <c r="M2836" s="1" t="str">
        <f aca="false">IF(J2836&lt;&gt;"",J2836,L2836)</f>
        <v>25, 35, SLOWPOKE</v>
      </c>
    </row>
    <row r="2837" customFormat="false" ht="12.75" hidden="false" customHeight="true" outlineLevel="0" collapsed="false">
      <c r="A2837" s="3" t="s">
        <v>2536</v>
      </c>
      <c r="B2837" s="3" t="str">
        <f aca="false">IF(ISNUMBER(SEARCH("%", A2837)),RIGHT(A2837,3),A2837)</f>
        <v>NEW ROUTE</v>
      </c>
      <c r="C2837" s="1" t="str">
        <f aca="false" t="array" ref="C2837:C2837">IF(B2836="NEW ROUTE",textsplit(B2837,","),"")</f>
        <v/>
      </c>
      <c r="H2837" s="1" t="str">
        <f aca="false">IF(C2837&lt;&gt;"",DEC2HEX(C2837,2),"")</f>
        <v/>
      </c>
      <c r="I2837" s="1" t="str">
        <f aca="false">IF(D2837&lt;&gt;"",DEC2HEX(D2837,2),"")</f>
        <v/>
      </c>
      <c r="J2837" s="1" t="str">
        <f aca="false">IF(H2837&lt;&gt;"","0x"&amp;I2837&amp;H2837,"")</f>
        <v/>
      </c>
      <c r="L2837" s="1" t="s">
        <v>2536</v>
      </c>
      <c r="M2837" s="1" t="str">
        <f aca="false">IF(J2837&lt;&gt;"",J2837,L2837)</f>
        <v>NEW ROUTE</v>
      </c>
    </row>
    <row r="2838" customFormat="false" ht="12.75" hidden="false" customHeight="true" outlineLevel="0" collapsed="false">
      <c r="A2838" s="3" t="s">
        <v>3649</v>
      </c>
      <c r="B2838" s="3" t="str">
        <f aca="false">IF(ISNUMBER(SEARCH("%", A2838)),RIGHT(A2838,3),A2838)</f>
        <v>1, 122, 0,</v>
      </c>
      <c r="C2838" s="1" t="e">
        <f aca="false" t="array" ref="C2838:C2838">IF(B2837="NEW ROUTE",textsplit(B2838,","),"")</f>
        <v>#NAME?</v>
      </c>
      <c r="H2838" s="1" t="e">
        <f aca="false">IF(C2838&lt;&gt;"",DEC2HEX(C2838,2),"")</f>
        <v>#NAME?</v>
      </c>
      <c r="I2838" s="1" t="str">
        <f aca="false">IF(D2838&lt;&gt;"",DEC2HEX(D2838,2),"")</f>
        <v/>
      </c>
      <c r="J2838" s="1" t="e">
        <f aca="false">IF(H2838&lt;&gt;"","0x"&amp;I2838&amp;H2838,"")</f>
        <v>#NAME?</v>
      </c>
      <c r="L2838" s="1" t="s">
        <v>3649</v>
      </c>
      <c r="M2838" s="1" t="e">
        <f aca="false">IF(J2838&lt;&gt;"",J2838,L2838)</f>
        <v>#NAME?</v>
      </c>
    </row>
    <row r="2839" customFormat="false" ht="12.75" hidden="false" customHeight="true" outlineLevel="0" collapsed="false">
      <c r="A2839" s="3" t="s">
        <v>2816</v>
      </c>
      <c r="B2839" s="3" t="str">
        <f aca="false">IF(ISNUMBER(SEARCH("%", A2839)),RIGHT(A2839,3),A2839)</f>
        <v>20%</v>
      </c>
      <c r="C2839" s="1" t="str">
        <f aca="false" t="array" ref="C2839:C2839">IF(B2838="NEW ROUTE",textsplit(B2839,","),"")</f>
        <v/>
      </c>
      <c r="H2839" s="1" t="str">
        <f aca="false">IF(C2839&lt;&gt;"",DEC2HEX(C2839,2),"")</f>
        <v/>
      </c>
      <c r="I2839" s="1" t="str">
        <f aca="false">IF(D2839&lt;&gt;"",DEC2HEX(D2839,2),"")</f>
        <v/>
      </c>
      <c r="J2839" s="1" t="str">
        <f aca="false">IF(H2839&lt;&gt;"","0x"&amp;I2839&amp;H2839,"")</f>
        <v/>
      </c>
      <c r="L2839" s="1" t="s">
        <v>2799</v>
      </c>
      <c r="M2839" s="1" t="str">
        <f aca="false">IF(J2839&lt;&gt;"",J2839,L2839)</f>
        <v>20%</v>
      </c>
    </row>
    <row r="2840" customFormat="false" ht="12.75" hidden="false" customHeight="true" outlineLevel="0" collapsed="false">
      <c r="A2840" s="3" t="s">
        <v>2138</v>
      </c>
      <c r="B2840" s="3" t="str">
        <f aca="false">IF(ISNUMBER(SEARCH("%", A2840)),RIGHT(A2840,3),A2840)</f>
        <v>10, 10, ZUBAT</v>
      </c>
      <c r="C2840" s="1" t="str">
        <f aca="false" t="array" ref="C2840:C2840">IF(B2839="NEW ROUTE",textsplit(B2840,","),"")</f>
        <v/>
      </c>
      <c r="H2840" s="1" t="str">
        <f aca="false">IF(C2840&lt;&gt;"",DEC2HEX(C2840,2),"")</f>
        <v/>
      </c>
      <c r="I2840" s="1" t="str">
        <f aca="false">IF(D2840&lt;&gt;"",DEC2HEX(D2840,2),"")</f>
        <v/>
      </c>
      <c r="J2840" s="1" t="str">
        <f aca="false">IF(H2840&lt;&gt;"","0x"&amp;I2840&amp;H2840,"")</f>
        <v/>
      </c>
      <c r="L2840" s="1" t="s">
        <v>2138</v>
      </c>
      <c r="M2840" s="1" t="str">
        <f aca="false">IF(J2840&lt;&gt;"",J2840,L2840)</f>
        <v>10, 10, ZUBAT</v>
      </c>
    </row>
    <row r="2841" customFormat="false" ht="12.75" hidden="false" customHeight="true" outlineLevel="0" collapsed="false">
      <c r="A2841" s="3" t="s">
        <v>3650</v>
      </c>
      <c r="B2841" s="3" t="str">
        <f aca="false">IF(ISNUMBER(SEARCH("%", A2841)),RIGHT(A2841,3),A2841)</f>
        <v>12, 12, ZUBAT</v>
      </c>
      <c r="C2841" s="1" t="str">
        <f aca="false" t="array" ref="C2841:C2841">IF(B2840="NEW ROUTE",textsplit(B2841,","),"")</f>
        <v/>
      </c>
      <c r="H2841" s="1" t="str">
        <f aca="false">IF(C2841&lt;&gt;"",DEC2HEX(C2841,2),"")</f>
        <v/>
      </c>
      <c r="I2841" s="1" t="str">
        <f aca="false">IF(D2841&lt;&gt;"",DEC2HEX(D2841,2),"")</f>
        <v/>
      </c>
      <c r="J2841" s="1" t="str">
        <f aca="false">IF(H2841&lt;&gt;"","0x"&amp;I2841&amp;H2841,"")</f>
        <v/>
      </c>
      <c r="L2841" s="1" t="s">
        <v>3650</v>
      </c>
      <c r="M2841" s="1" t="str">
        <f aca="false">IF(J2841&lt;&gt;"",J2841,L2841)</f>
        <v>12, 12, ZUBAT</v>
      </c>
    </row>
    <row r="2842" customFormat="false" ht="12.75" hidden="false" customHeight="true" outlineLevel="0" collapsed="false">
      <c r="A2842" s="3" t="s">
        <v>2801</v>
      </c>
      <c r="B2842" s="3" t="str">
        <f aca="false">IF(ISNUMBER(SEARCH("%", A2842)),RIGHT(A2842,3),A2842)</f>
        <v>0.1</v>
      </c>
      <c r="C2842" s="1" t="str">
        <f aca="false" t="array" ref="C2842:C2842">IF(B2841="NEW ROUTE",textsplit(B2842,","),"")</f>
        <v/>
      </c>
      <c r="H2842" s="1" t="str">
        <f aca="false">IF(C2842&lt;&gt;"",DEC2HEX(C2842,2),"")</f>
        <v/>
      </c>
      <c r="I2842" s="1" t="str">
        <f aca="false">IF(D2842&lt;&gt;"",DEC2HEX(D2842,2),"")</f>
        <v/>
      </c>
      <c r="J2842" s="1" t="str">
        <f aca="false">IF(H2842&lt;&gt;"","0x"&amp;I2842&amp;H2842,"")</f>
        <v/>
      </c>
      <c r="L2842" s="1" t="s">
        <v>2801</v>
      </c>
      <c r="M2842" s="1" t="str">
        <f aca="false">IF(J2842&lt;&gt;"",J2842,L2842)</f>
        <v>0.1</v>
      </c>
    </row>
    <row r="2843" customFormat="false" ht="12.75" hidden="false" customHeight="true" outlineLevel="0" collapsed="false">
      <c r="A2843" s="3" t="s">
        <v>3651</v>
      </c>
      <c r="B2843" s="3" t="str">
        <f aca="false">IF(ISNUMBER(SEARCH("%", A2843)),RIGHT(A2843,3),A2843)</f>
        <v>8, 8, ZUBAT</v>
      </c>
      <c r="C2843" s="1" t="str">
        <f aca="false" t="array" ref="C2843:C2843">IF(B2842="NEW ROUTE",textsplit(B2843,","),"")</f>
        <v/>
      </c>
      <c r="H2843" s="1" t="str">
        <f aca="false">IF(C2843&lt;&gt;"",DEC2HEX(C2843,2),"")</f>
        <v/>
      </c>
      <c r="I2843" s="1" t="str">
        <f aca="false">IF(D2843&lt;&gt;"",DEC2HEX(D2843,2),"")</f>
        <v/>
      </c>
      <c r="J2843" s="1" t="str">
        <f aca="false">IF(H2843&lt;&gt;"","0x"&amp;I2843&amp;H2843,"")</f>
        <v/>
      </c>
      <c r="L2843" s="1" t="s">
        <v>3651</v>
      </c>
      <c r="M2843" s="1" t="str">
        <f aca="false">IF(J2843&lt;&gt;"",J2843,L2843)</f>
        <v>8, 8, ZUBAT</v>
      </c>
    </row>
    <row r="2844" customFormat="false" ht="12.75" hidden="false" customHeight="true" outlineLevel="0" collapsed="false">
      <c r="A2844" s="3" t="s">
        <v>3652</v>
      </c>
      <c r="B2844" s="3" t="str">
        <f aca="false">IF(ISNUMBER(SEARCH("%", A2844)),RIGHT(A2844,3),A2844)</f>
        <v>14, 14, ZUBAT</v>
      </c>
      <c r="C2844" s="1" t="str">
        <f aca="false" t="array" ref="C2844:C2844">IF(B2843="NEW ROUTE",textsplit(B2844,","),"")</f>
        <v/>
      </c>
      <c r="H2844" s="1" t="str">
        <f aca="false">IF(C2844&lt;&gt;"",DEC2HEX(C2844,2),"")</f>
        <v/>
      </c>
      <c r="I2844" s="1" t="str">
        <f aca="false">IF(D2844&lt;&gt;"",DEC2HEX(D2844,2),"")</f>
        <v/>
      </c>
      <c r="J2844" s="1" t="str">
        <f aca="false">IF(H2844&lt;&gt;"","0x"&amp;I2844&amp;H2844,"")</f>
        <v/>
      </c>
      <c r="L2844" s="1" t="s">
        <v>3652</v>
      </c>
      <c r="M2844" s="1" t="str">
        <f aca="false">IF(J2844&lt;&gt;"",J2844,L2844)</f>
        <v>14, 14, ZUBAT</v>
      </c>
    </row>
    <row r="2845" customFormat="false" ht="12.75" hidden="false" customHeight="true" outlineLevel="0" collapsed="false">
      <c r="A2845" s="3" t="s">
        <v>2138</v>
      </c>
      <c r="B2845" s="3" t="str">
        <f aca="false">IF(ISNUMBER(SEARCH("%", A2845)),RIGHT(A2845,3),A2845)</f>
        <v>10, 10, ZUBAT</v>
      </c>
      <c r="C2845" s="1" t="str">
        <f aca="false" t="array" ref="C2845:C2845">IF(B2844="NEW ROUTE",textsplit(B2845,","),"")</f>
        <v/>
      </c>
      <c r="H2845" s="1" t="str">
        <f aca="false">IF(C2845&lt;&gt;"",DEC2HEX(C2845,2),"")</f>
        <v/>
      </c>
      <c r="I2845" s="1" t="str">
        <f aca="false">IF(D2845&lt;&gt;"",DEC2HEX(D2845,2),"")</f>
        <v/>
      </c>
      <c r="J2845" s="1" t="str">
        <f aca="false">IF(H2845&lt;&gt;"","0x"&amp;I2845&amp;H2845,"")</f>
        <v/>
      </c>
      <c r="L2845" s="1" t="s">
        <v>2138</v>
      </c>
      <c r="M2845" s="1" t="str">
        <f aca="false">IF(J2845&lt;&gt;"",J2845,L2845)</f>
        <v>10, 10, ZUBAT</v>
      </c>
    </row>
    <row r="2846" customFormat="false" ht="12.75" hidden="false" customHeight="true" outlineLevel="0" collapsed="false">
      <c r="A2846" s="3" t="s">
        <v>3650</v>
      </c>
      <c r="B2846" s="3" t="str">
        <f aca="false">IF(ISNUMBER(SEARCH("%", A2846)),RIGHT(A2846,3),A2846)</f>
        <v>12, 12, ZUBAT</v>
      </c>
      <c r="C2846" s="1" t="str">
        <f aca="false" t="array" ref="C2846:C2846">IF(B2845="NEW ROUTE",textsplit(B2846,","),"")</f>
        <v/>
      </c>
      <c r="H2846" s="1" t="str">
        <f aca="false">IF(C2846&lt;&gt;"",DEC2HEX(C2846,2),"")</f>
        <v/>
      </c>
      <c r="I2846" s="1" t="str">
        <f aca="false">IF(D2846&lt;&gt;"",DEC2HEX(D2846,2),"")</f>
        <v/>
      </c>
      <c r="J2846" s="1" t="str">
        <f aca="false">IF(H2846&lt;&gt;"","0x"&amp;I2846&amp;H2846,"")</f>
        <v/>
      </c>
      <c r="L2846" s="1" t="s">
        <v>3650</v>
      </c>
      <c r="M2846" s="1" t="str">
        <f aca="false">IF(J2846&lt;&gt;"",J2846,L2846)</f>
        <v>12, 12, ZUBAT</v>
      </c>
    </row>
    <row r="2847" customFormat="false" ht="12.75" hidden="false" customHeight="true" outlineLevel="0" collapsed="false">
      <c r="A2847" s="3" t="s">
        <v>2806</v>
      </c>
      <c r="B2847" s="3" t="str">
        <f aca="false">IF(ISNUMBER(SEARCH("%", A2847)),RIGHT(A2847,3),A2847)</f>
        <v>0.05</v>
      </c>
      <c r="C2847" s="1" t="str">
        <f aca="false" t="array" ref="C2847:C2847">IF(B2846="NEW ROUTE",textsplit(B2847,","),"")</f>
        <v/>
      </c>
      <c r="H2847" s="1" t="str">
        <f aca="false">IF(C2847&lt;&gt;"",DEC2HEX(C2847,2),"")</f>
        <v/>
      </c>
      <c r="I2847" s="1" t="str">
        <f aca="false">IF(D2847&lt;&gt;"",DEC2HEX(D2847,2),"")</f>
        <v/>
      </c>
      <c r="J2847" s="1" t="str">
        <f aca="false">IF(H2847&lt;&gt;"","0x"&amp;I2847&amp;H2847,"")</f>
        <v/>
      </c>
      <c r="L2847" s="1" t="s">
        <v>2806</v>
      </c>
      <c r="M2847" s="1" t="str">
        <f aca="false">IF(J2847&lt;&gt;"",J2847,L2847)</f>
        <v>0.05</v>
      </c>
    </row>
    <row r="2848" customFormat="false" ht="12.75" hidden="false" customHeight="true" outlineLevel="0" collapsed="false">
      <c r="A2848" s="3" t="s">
        <v>3653</v>
      </c>
      <c r="B2848" s="3" t="str">
        <f aca="false">IF(ISNUMBER(SEARCH("%", A2848)),RIGHT(A2848,3),A2848)</f>
        <v>16, 16, ZUBAT</v>
      </c>
      <c r="C2848" s="1" t="str">
        <f aca="false" t="array" ref="C2848:C2848">IF(B2847="NEW ROUTE",textsplit(B2848,","),"")</f>
        <v/>
      </c>
      <c r="H2848" s="1" t="str">
        <f aca="false">IF(C2848&lt;&gt;"",DEC2HEX(C2848,2),"")</f>
        <v/>
      </c>
      <c r="I2848" s="1" t="str">
        <f aca="false">IF(D2848&lt;&gt;"",DEC2HEX(D2848,2),"")</f>
        <v/>
      </c>
      <c r="J2848" s="1" t="str">
        <f aca="false">IF(H2848&lt;&gt;"","0x"&amp;I2848&amp;H2848,"")</f>
        <v/>
      </c>
      <c r="L2848" s="1" t="s">
        <v>3653</v>
      </c>
      <c r="M2848" s="1" t="str">
        <f aca="false">IF(J2848&lt;&gt;"",J2848,L2848)</f>
        <v>16, 16, ZUBAT</v>
      </c>
    </row>
    <row r="2849" customFormat="false" ht="12.75" hidden="false" customHeight="true" outlineLevel="0" collapsed="false">
      <c r="A2849" s="3" t="s">
        <v>3654</v>
      </c>
      <c r="B2849" s="3" t="str">
        <f aca="false">IF(ISNUMBER(SEARCH("%", A2849)),RIGHT(A2849,3),A2849)</f>
        <v>6, 6, ZUBAT</v>
      </c>
      <c r="C2849" s="1" t="str">
        <f aca="false" t="array" ref="C2849:C2849">IF(B2848="NEW ROUTE",textsplit(B2849,","),"")</f>
        <v/>
      </c>
      <c r="H2849" s="1" t="str">
        <f aca="false">IF(C2849&lt;&gt;"",DEC2HEX(C2849,2),"")</f>
        <v/>
      </c>
      <c r="I2849" s="1" t="str">
        <f aca="false">IF(D2849&lt;&gt;"",DEC2HEX(D2849,2),"")</f>
        <v/>
      </c>
      <c r="J2849" s="1" t="str">
        <f aca="false">IF(H2849&lt;&gt;"","0x"&amp;I2849&amp;H2849,"")</f>
        <v/>
      </c>
      <c r="L2849" s="1" t="s">
        <v>3654</v>
      </c>
      <c r="M2849" s="1" t="str">
        <f aca="false">IF(J2849&lt;&gt;"",J2849,L2849)</f>
        <v>6, 6, ZUBAT</v>
      </c>
    </row>
    <row r="2850" customFormat="false" ht="12.75" hidden="false" customHeight="true" outlineLevel="0" collapsed="false">
      <c r="A2850" s="3" t="s">
        <v>2809</v>
      </c>
      <c r="B2850" s="3" t="str">
        <f aca="false">IF(ISNUMBER(SEARCH("%", A2850)),RIGHT(A2850,3),A2850)</f>
        <v>0.04</v>
      </c>
      <c r="C2850" s="1" t="str">
        <f aca="false" t="array" ref="C2850:C2850">IF(B2849="NEW ROUTE",textsplit(B2850,","),"")</f>
        <v/>
      </c>
      <c r="H2850" s="1" t="str">
        <f aca="false">IF(C2850&lt;&gt;"",DEC2HEX(C2850,2),"")</f>
        <v/>
      </c>
      <c r="I2850" s="1" t="str">
        <f aca="false">IF(D2850&lt;&gt;"",DEC2HEX(D2850,2),"")</f>
        <v/>
      </c>
      <c r="J2850" s="1" t="str">
        <f aca="false">IF(H2850&lt;&gt;"","0x"&amp;I2850&amp;H2850,"")</f>
        <v/>
      </c>
      <c r="L2850" s="1" t="s">
        <v>2809</v>
      </c>
      <c r="M2850" s="1" t="str">
        <f aca="false">IF(J2850&lt;&gt;"",J2850,L2850)</f>
        <v>0.04</v>
      </c>
    </row>
    <row r="2851" customFormat="false" ht="12.75" hidden="false" customHeight="true" outlineLevel="0" collapsed="false">
      <c r="A2851" s="3" t="s">
        <v>3651</v>
      </c>
      <c r="B2851" s="3" t="str">
        <f aca="false">IF(ISNUMBER(SEARCH("%", A2851)),RIGHT(A2851,3),A2851)</f>
        <v>8, 8, ZUBAT</v>
      </c>
      <c r="C2851" s="1" t="str">
        <f aca="false" t="array" ref="C2851:C2851">IF(B2850="NEW ROUTE",textsplit(B2851,","),"")</f>
        <v/>
      </c>
      <c r="H2851" s="1" t="str">
        <f aca="false">IF(C2851&lt;&gt;"",DEC2HEX(C2851,2),"")</f>
        <v/>
      </c>
      <c r="I2851" s="1" t="str">
        <f aca="false">IF(D2851&lt;&gt;"",DEC2HEX(D2851,2),"")</f>
        <v/>
      </c>
      <c r="J2851" s="1" t="str">
        <f aca="false">IF(H2851&lt;&gt;"","0x"&amp;I2851&amp;H2851,"")</f>
        <v/>
      </c>
      <c r="L2851" s="1" t="s">
        <v>3651</v>
      </c>
      <c r="M2851" s="1" t="str">
        <f aca="false">IF(J2851&lt;&gt;"",J2851,L2851)</f>
        <v>8, 8, ZUBAT</v>
      </c>
    </row>
    <row r="2852" customFormat="false" ht="12.75" hidden="false" customHeight="true" outlineLevel="0" collapsed="false">
      <c r="A2852" s="3" t="s">
        <v>3652</v>
      </c>
      <c r="B2852" s="3" t="str">
        <f aca="false">IF(ISNUMBER(SEARCH("%", A2852)),RIGHT(A2852,3),A2852)</f>
        <v>14, 14, ZUBAT</v>
      </c>
      <c r="C2852" s="1" t="str">
        <f aca="false" t="array" ref="C2852:C2852">IF(B2851="NEW ROUTE",textsplit(B2852,","),"")</f>
        <v/>
      </c>
      <c r="H2852" s="1" t="str">
        <f aca="false">IF(C2852&lt;&gt;"",DEC2HEX(C2852,2),"")</f>
        <v/>
      </c>
      <c r="I2852" s="1" t="str">
        <f aca="false">IF(D2852&lt;&gt;"",DEC2HEX(D2852,2),"")</f>
        <v/>
      </c>
      <c r="J2852" s="1" t="str">
        <f aca="false">IF(H2852&lt;&gt;"","0x"&amp;I2852&amp;H2852,"")</f>
        <v/>
      </c>
      <c r="L2852" s="1" t="s">
        <v>3652</v>
      </c>
      <c r="M2852" s="1" t="str">
        <f aca="false">IF(J2852&lt;&gt;"",J2852,L2852)</f>
        <v>14, 14, ZUBAT</v>
      </c>
    </row>
    <row r="2853" customFormat="false" ht="12.75" hidden="false" customHeight="true" outlineLevel="0" collapsed="false">
      <c r="A2853" s="3" t="s">
        <v>2812</v>
      </c>
      <c r="B2853" s="3" t="str">
        <f aca="false">IF(ISNUMBER(SEARCH("%", A2853)),RIGHT(A2853,3),A2853)</f>
        <v>0.01</v>
      </c>
      <c r="C2853" s="1" t="str">
        <f aca="false" t="array" ref="C2853:C2853">IF(B2852="NEW ROUTE",textsplit(B2853,","),"")</f>
        <v/>
      </c>
      <c r="H2853" s="1" t="str">
        <f aca="false">IF(C2853&lt;&gt;"",DEC2HEX(C2853,2),"")</f>
        <v/>
      </c>
      <c r="I2853" s="1" t="str">
        <f aca="false">IF(D2853&lt;&gt;"",DEC2HEX(D2853,2),"")</f>
        <v/>
      </c>
      <c r="J2853" s="1" t="str">
        <f aca="false">IF(H2853&lt;&gt;"","0x"&amp;I2853&amp;H2853,"")</f>
        <v/>
      </c>
      <c r="L2853" s="1" t="s">
        <v>2812</v>
      </c>
      <c r="M2853" s="1" t="str">
        <f aca="false">IF(J2853&lt;&gt;"",J2853,L2853)</f>
        <v>0.01</v>
      </c>
    </row>
    <row r="2854" customFormat="false" ht="12.75" hidden="false" customHeight="true" outlineLevel="0" collapsed="false">
      <c r="A2854" s="3" t="s">
        <v>3651</v>
      </c>
      <c r="B2854" s="3" t="str">
        <f aca="false">IF(ISNUMBER(SEARCH("%", A2854)),RIGHT(A2854,3),A2854)</f>
        <v>8, 8, ZUBAT</v>
      </c>
      <c r="C2854" s="1" t="str">
        <f aca="false" t="array" ref="C2854:C2854">IF(B2853="NEW ROUTE",textsplit(B2854,","),"")</f>
        <v/>
      </c>
      <c r="H2854" s="1" t="str">
        <f aca="false">IF(C2854&lt;&gt;"",DEC2HEX(C2854,2),"")</f>
        <v/>
      </c>
      <c r="I2854" s="1" t="str">
        <f aca="false">IF(D2854&lt;&gt;"",DEC2HEX(D2854,2),"")</f>
        <v/>
      </c>
      <c r="J2854" s="1" t="str">
        <f aca="false">IF(H2854&lt;&gt;"","0x"&amp;I2854&amp;H2854,"")</f>
        <v/>
      </c>
      <c r="L2854" s="1" t="s">
        <v>3651</v>
      </c>
      <c r="M2854" s="1" t="str">
        <f aca="false">IF(J2854&lt;&gt;"",J2854,L2854)</f>
        <v>8, 8, ZUBAT</v>
      </c>
    </row>
    <row r="2855" customFormat="false" ht="12.75" hidden="false" customHeight="true" outlineLevel="0" collapsed="false">
      <c r="A2855" s="3" t="s">
        <v>3655</v>
      </c>
      <c r="B2855" s="3" t="str">
        <f aca="false">IF(ISNUMBER(SEARCH("%", A2855)),RIGHT(A2855,3),A2855)</f>
        <v>14, 14, ZUBAT , &lt;null&gt;, &lt;null&gt;, &lt;null&gt;</v>
      </c>
      <c r="C2855" s="1" t="str">
        <f aca="false" t="array" ref="C2855:C2855">IF(B2854="NEW ROUTE",textsplit(B2855,","),"")</f>
        <v/>
      </c>
      <c r="H2855" s="1" t="str">
        <f aca="false">IF(C2855&lt;&gt;"",DEC2HEX(C2855,2),"")</f>
        <v/>
      </c>
      <c r="I2855" s="1" t="str">
        <f aca="false">IF(D2855&lt;&gt;"",DEC2HEX(D2855,2),"")</f>
        <v/>
      </c>
      <c r="J2855" s="1" t="str">
        <f aca="false">IF(H2855&lt;&gt;"","0x"&amp;I2855&amp;H2855,"")</f>
        <v/>
      </c>
      <c r="L2855" s="1" t="s">
        <v>3655</v>
      </c>
      <c r="M2855" s="1" t="str">
        <f aca="false">IF(J2855&lt;&gt;"",J2855,L2855)</f>
        <v>14, 14, ZUBAT , &lt;null&gt;, &lt;null&gt;, &lt;null&gt;</v>
      </c>
    </row>
    <row r="2856" customFormat="false" ht="12.75" hidden="false" customHeight="true" outlineLevel="0" collapsed="false">
      <c r="A2856" s="3" t="s">
        <v>2536</v>
      </c>
      <c r="B2856" s="3" t="str">
        <f aca="false">IF(ISNUMBER(SEARCH("%", A2856)),RIGHT(A2856,3),A2856)</f>
        <v>NEW ROUTE</v>
      </c>
      <c r="C2856" s="1" t="str">
        <f aca="false" t="array" ref="C2856:C2856">IF(B2855="NEW ROUTE",textsplit(B2856,","),"")</f>
        <v/>
      </c>
      <c r="H2856" s="1" t="str">
        <f aca="false">IF(C2856&lt;&gt;"",DEC2HEX(C2856,2),"")</f>
        <v/>
      </c>
      <c r="I2856" s="1" t="str">
        <f aca="false">IF(D2856&lt;&gt;"",DEC2HEX(D2856,2),"")</f>
        <v/>
      </c>
      <c r="J2856" s="1" t="str">
        <f aca="false">IF(H2856&lt;&gt;"","0x"&amp;I2856&amp;H2856,"")</f>
        <v/>
      </c>
      <c r="L2856" s="1" t="s">
        <v>2536</v>
      </c>
      <c r="M2856" s="1" t="str">
        <f aca="false">IF(J2856&lt;&gt;"",J2856,L2856)</f>
        <v>NEW ROUTE</v>
      </c>
    </row>
    <row r="2857" customFormat="false" ht="12.75" hidden="false" customHeight="true" outlineLevel="0" collapsed="false">
      <c r="A2857" s="3" t="s">
        <v>3649</v>
      </c>
      <c r="B2857" s="3" t="str">
        <f aca="false">IF(ISNUMBER(SEARCH("%", A2857)),RIGHT(A2857,3),A2857)</f>
        <v>1, 122, 0,</v>
      </c>
      <c r="C2857" s="1" t="e">
        <f aca="false" t="array" ref="C2857:C2857">IF(B2856="NEW ROUTE",textsplit(B2857,","),"")</f>
        <v>#NAME?</v>
      </c>
      <c r="H2857" s="1" t="e">
        <f aca="false">IF(C2857&lt;&gt;"",DEC2HEX(C2857,2),"")</f>
        <v>#NAME?</v>
      </c>
      <c r="I2857" s="1" t="str">
        <f aca="false">IF(D2857&lt;&gt;"",DEC2HEX(D2857,2),"")</f>
        <v/>
      </c>
      <c r="J2857" s="1" t="e">
        <f aca="false">IF(H2857&lt;&gt;"","0x"&amp;I2857&amp;H2857,"")</f>
        <v>#NAME?</v>
      </c>
      <c r="L2857" s="1" t="s">
        <v>3649</v>
      </c>
      <c r="M2857" s="1" t="e">
        <f aca="false">IF(J2857&lt;&gt;"",J2857,L2857)</f>
        <v>#NAME?</v>
      </c>
    </row>
    <row r="2858" customFormat="false" ht="12.75" hidden="false" customHeight="true" outlineLevel="0" collapsed="false">
      <c r="A2858" s="3" t="s">
        <v>2816</v>
      </c>
      <c r="B2858" s="3" t="str">
        <f aca="false">IF(ISNUMBER(SEARCH("%", A2858)),RIGHT(A2858,3),A2858)</f>
        <v>20%</v>
      </c>
      <c r="C2858" s="1" t="str">
        <f aca="false" t="array" ref="C2858:C2858">IF(B2857="NEW ROUTE",textsplit(B2858,","),"")</f>
        <v/>
      </c>
      <c r="H2858" s="1" t="str">
        <f aca="false">IF(C2858&lt;&gt;"",DEC2HEX(C2858,2),"")</f>
        <v/>
      </c>
      <c r="I2858" s="1" t="str">
        <f aca="false">IF(D2858&lt;&gt;"",DEC2HEX(D2858,2),"")</f>
        <v/>
      </c>
      <c r="J2858" s="1" t="str">
        <f aca="false">IF(H2858&lt;&gt;"","0x"&amp;I2858&amp;H2858,"")</f>
        <v/>
      </c>
      <c r="L2858" s="1" t="s">
        <v>2799</v>
      </c>
      <c r="M2858" s="1" t="str">
        <f aca="false">IF(J2858&lt;&gt;"",J2858,L2858)</f>
        <v>20%</v>
      </c>
    </row>
    <row r="2859" customFormat="false" ht="12.75" hidden="false" customHeight="true" outlineLevel="0" collapsed="false">
      <c r="A2859" s="3" t="s">
        <v>2146</v>
      </c>
      <c r="B2859" s="3" t="str">
        <f aca="false">IF(ISNUMBER(SEARCH("%", A2859)),RIGHT(A2859,3),A2859)</f>
        <v>7, 7, MAREEP</v>
      </c>
      <c r="C2859" s="1" t="str">
        <f aca="false" t="array" ref="C2859:C2859">IF(B2858="NEW ROUTE",textsplit(B2859,","),"")</f>
        <v/>
      </c>
      <c r="H2859" s="1" t="str">
        <f aca="false">IF(C2859&lt;&gt;"",DEC2HEX(C2859,2),"")</f>
        <v/>
      </c>
      <c r="I2859" s="1" t="str">
        <f aca="false">IF(D2859&lt;&gt;"",DEC2HEX(D2859,2),"")</f>
        <v/>
      </c>
      <c r="J2859" s="1" t="str">
        <f aca="false">IF(H2859&lt;&gt;"","0x"&amp;I2859&amp;H2859,"")</f>
        <v/>
      </c>
      <c r="L2859" s="1" t="s">
        <v>2146</v>
      </c>
      <c r="M2859" s="1" t="str">
        <f aca="false">IF(J2859&lt;&gt;"",J2859,L2859)</f>
        <v>7, 7, MAREEP</v>
      </c>
    </row>
    <row r="2860" customFormat="false" ht="12.75" hidden="false" customHeight="true" outlineLevel="0" collapsed="false">
      <c r="A2860" s="3" t="s">
        <v>3656</v>
      </c>
      <c r="B2860" s="3" t="str">
        <f aca="false">IF(ISNUMBER(SEARCH("%", A2860)),RIGHT(A2860,3),A2860)</f>
        <v>9, 9, MAREEP</v>
      </c>
      <c r="C2860" s="1" t="str">
        <f aca="false" t="array" ref="C2860:C2860">IF(B2859="NEW ROUTE",textsplit(B2860,","),"")</f>
        <v/>
      </c>
      <c r="H2860" s="1" t="str">
        <f aca="false">IF(C2860&lt;&gt;"",DEC2HEX(C2860,2),"")</f>
        <v/>
      </c>
      <c r="I2860" s="1" t="str">
        <f aca="false">IF(D2860&lt;&gt;"",DEC2HEX(D2860,2),"")</f>
        <v/>
      </c>
      <c r="J2860" s="1" t="str">
        <f aca="false">IF(H2860&lt;&gt;"","0x"&amp;I2860&amp;H2860,"")</f>
        <v/>
      </c>
      <c r="L2860" s="1" t="s">
        <v>3656</v>
      </c>
      <c r="M2860" s="1" t="str">
        <f aca="false">IF(J2860&lt;&gt;"",J2860,L2860)</f>
        <v>9, 9, MAREEP</v>
      </c>
    </row>
    <row r="2861" customFormat="false" ht="12.75" hidden="false" customHeight="true" outlineLevel="0" collapsed="false">
      <c r="A2861" s="3" t="s">
        <v>2801</v>
      </c>
      <c r="B2861" s="3" t="str">
        <f aca="false">IF(ISNUMBER(SEARCH("%", A2861)),RIGHT(A2861,3),A2861)</f>
        <v>0.1</v>
      </c>
      <c r="C2861" s="1" t="str">
        <f aca="false" t="array" ref="C2861:C2861">IF(B2860="NEW ROUTE",textsplit(B2861,","),"")</f>
        <v/>
      </c>
      <c r="H2861" s="1" t="str">
        <f aca="false">IF(C2861&lt;&gt;"",DEC2HEX(C2861,2),"")</f>
        <v/>
      </c>
      <c r="I2861" s="1" t="str">
        <f aca="false">IF(D2861&lt;&gt;"",DEC2HEX(D2861,2),"")</f>
        <v/>
      </c>
      <c r="J2861" s="1" t="str">
        <f aca="false">IF(H2861&lt;&gt;"","0x"&amp;I2861&amp;H2861,"")</f>
        <v/>
      </c>
      <c r="L2861" s="1" t="s">
        <v>2801</v>
      </c>
      <c r="M2861" s="1" t="str">
        <f aca="false">IF(J2861&lt;&gt;"",J2861,L2861)</f>
        <v>0.1</v>
      </c>
    </row>
    <row r="2862" customFormat="false" ht="12.75" hidden="false" customHeight="true" outlineLevel="0" collapsed="false">
      <c r="A2862" s="3" t="s">
        <v>3657</v>
      </c>
      <c r="B2862" s="3" t="str">
        <f aca="false">IF(ISNUMBER(SEARCH("%", A2862)),RIGHT(A2862,3),A2862)</f>
        <v>5, 5, MAREEP</v>
      </c>
      <c r="C2862" s="1" t="str">
        <f aca="false" t="array" ref="C2862:C2862">IF(B2861="NEW ROUTE",textsplit(B2862,","),"")</f>
        <v/>
      </c>
      <c r="H2862" s="1" t="str">
        <f aca="false">IF(C2862&lt;&gt;"",DEC2HEX(C2862,2),"")</f>
        <v/>
      </c>
      <c r="I2862" s="1" t="str">
        <f aca="false">IF(D2862&lt;&gt;"",DEC2HEX(D2862,2),"")</f>
        <v/>
      </c>
      <c r="J2862" s="1" t="str">
        <f aca="false">IF(H2862&lt;&gt;"","0x"&amp;I2862&amp;H2862,"")</f>
        <v/>
      </c>
      <c r="L2862" s="1" t="s">
        <v>3657</v>
      </c>
      <c r="M2862" s="1" t="str">
        <f aca="false">IF(J2862&lt;&gt;"",J2862,L2862)</f>
        <v>5, 5, MAREEP</v>
      </c>
    </row>
    <row r="2863" customFormat="false" ht="12.75" hidden="false" customHeight="true" outlineLevel="0" collapsed="false">
      <c r="A2863" s="3" t="s">
        <v>3658</v>
      </c>
      <c r="B2863" s="3" t="str">
        <f aca="false">IF(ISNUMBER(SEARCH("%", A2863)),RIGHT(A2863,3),A2863)</f>
        <v>11, 11, MAREEP</v>
      </c>
      <c r="C2863" s="1" t="str">
        <f aca="false" t="array" ref="C2863:C2863">IF(B2862="NEW ROUTE",textsplit(B2863,","),"")</f>
        <v/>
      </c>
      <c r="H2863" s="1" t="str">
        <f aca="false">IF(C2863&lt;&gt;"",DEC2HEX(C2863,2),"")</f>
        <v/>
      </c>
      <c r="I2863" s="1" t="str">
        <f aca="false">IF(D2863&lt;&gt;"",DEC2HEX(D2863,2),"")</f>
        <v/>
      </c>
      <c r="J2863" s="1" t="str">
        <f aca="false">IF(H2863&lt;&gt;"","0x"&amp;I2863&amp;H2863,"")</f>
        <v/>
      </c>
      <c r="L2863" s="1" t="s">
        <v>3658</v>
      </c>
      <c r="M2863" s="1" t="str">
        <f aca="false">IF(J2863&lt;&gt;"",J2863,L2863)</f>
        <v>11, 11, MAREEP</v>
      </c>
    </row>
    <row r="2864" customFormat="false" ht="12.75" hidden="false" customHeight="true" outlineLevel="0" collapsed="false">
      <c r="A2864" s="3" t="s">
        <v>2146</v>
      </c>
      <c r="B2864" s="3" t="str">
        <f aca="false">IF(ISNUMBER(SEARCH("%", A2864)),RIGHT(A2864,3),A2864)</f>
        <v>7, 7, MAREEP</v>
      </c>
      <c r="C2864" s="1" t="str">
        <f aca="false" t="array" ref="C2864:C2864">IF(B2863="NEW ROUTE",textsplit(B2864,","),"")</f>
        <v/>
      </c>
      <c r="H2864" s="1" t="str">
        <f aca="false">IF(C2864&lt;&gt;"",DEC2HEX(C2864,2),"")</f>
        <v/>
      </c>
      <c r="I2864" s="1" t="str">
        <f aca="false">IF(D2864&lt;&gt;"",DEC2HEX(D2864,2),"")</f>
        <v/>
      </c>
      <c r="J2864" s="1" t="str">
        <f aca="false">IF(H2864&lt;&gt;"","0x"&amp;I2864&amp;H2864,"")</f>
        <v/>
      </c>
      <c r="L2864" s="1" t="s">
        <v>2146</v>
      </c>
      <c r="M2864" s="1" t="str">
        <f aca="false">IF(J2864&lt;&gt;"",J2864,L2864)</f>
        <v>7, 7, MAREEP</v>
      </c>
    </row>
    <row r="2865" customFormat="false" ht="12.75" hidden="false" customHeight="true" outlineLevel="0" collapsed="false">
      <c r="A2865" s="3" t="s">
        <v>3656</v>
      </c>
      <c r="B2865" s="3" t="str">
        <f aca="false">IF(ISNUMBER(SEARCH("%", A2865)),RIGHT(A2865,3),A2865)</f>
        <v>9, 9, MAREEP</v>
      </c>
      <c r="C2865" s="1" t="str">
        <f aca="false" t="array" ref="C2865:C2865">IF(B2864="NEW ROUTE",textsplit(B2865,","),"")</f>
        <v/>
      </c>
      <c r="H2865" s="1" t="str">
        <f aca="false">IF(C2865&lt;&gt;"",DEC2HEX(C2865,2),"")</f>
        <v/>
      </c>
      <c r="I2865" s="1" t="str">
        <f aca="false">IF(D2865&lt;&gt;"",DEC2HEX(D2865,2),"")</f>
        <v/>
      </c>
      <c r="J2865" s="1" t="str">
        <f aca="false">IF(H2865&lt;&gt;"","0x"&amp;I2865&amp;H2865,"")</f>
        <v/>
      </c>
      <c r="L2865" s="1" t="s">
        <v>3656</v>
      </c>
      <c r="M2865" s="1" t="str">
        <f aca="false">IF(J2865&lt;&gt;"",J2865,L2865)</f>
        <v>9, 9, MAREEP</v>
      </c>
    </row>
    <row r="2866" customFormat="false" ht="12.75" hidden="false" customHeight="true" outlineLevel="0" collapsed="false">
      <c r="A2866" s="3" t="s">
        <v>2806</v>
      </c>
      <c r="B2866" s="3" t="str">
        <f aca="false">IF(ISNUMBER(SEARCH("%", A2866)),RIGHT(A2866,3),A2866)</f>
        <v>0.05</v>
      </c>
      <c r="C2866" s="1" t="str">
        <f aca="false" t="array" ref="C2866:C2866">IF(B2865="NEW ROUTE",textsplit(B2866,","),"")</f>
        <v/>
      </c>
      <c r="H2866" s="1" t="str">
        <f aca="false">IF(C2866&lt;&gt;"",DEC2HEX(C2866,2),"")</f>
        <v/>
      </c>
      <c r="I2866" s="1" t="str">
        <f aca="false">IF(D2866&lt;&gt;"",DEC2HEX(D2866,2),"")</f>
        <v/>
      </c>
      <c r="J2866" s="1" t="str">
        <f aca="false">IF(H2866&lt;&gt;"","0x"&amp;I2866&amp;H2866,"")</f>
        <v/>
      </c>
      <c r="L2866" s="1" t="s">
        <v>2806</v>
      </c>
      <c r="M2866" s="1" t="str">
        <f aca="false">IF(J2866&lt;&gt;"",J2866,L2866)</f>
        <v>0.05</v>
      </c>
    </row>
    <row r="2867" customFormat="false" ht="12.75" hidden="false" customHeight="true" outlineLevel="0" collapsed="false">
      <c r="A2867" s="3" t="s">
        <v>3659</v>
      </c>
      <c r="B2867" s="3" t="str">
        <f aca="false">IF(ISNUMBER(SEARCH("%", A2867)),RIGHT(A2867,3),A2867)</f>
        <v>13, 13, MAREEP</v>
      </c>
      <c r="C2867" s="1" t="str">
        <f aca="false" t="array" ref="C2867:C2867">IF(B2866="NEW ROUTE",textsplit(B2867,","),"")</f>
        <v/>
      </c>
      <c r="H2867" s="1" t="str">
        <f aca="false">IF(C2867&lt;&gt;"",DEC2HEX(C2867,2),"")</f>
        <v/>
      </c>
      <c r="I2867" s="1" t="str">
        <f aca="false">IF(D2867&lt;&gt;"",DEC2HEX(D2867,2),"")</f>
        <v/>
      </c>
      <c r="J2867" s="1" t="str">
        <f aca="false">IF(H2867&lt;&gt;"","0x"&amp;I2867&amp;H2867,"")</f>
        <v/>
      </c>
      <c r="L2867" s="1" t="s">
        <v>3659</v>
      </c>
      <c r="M2867" s="1" t="str">
        <f aca="false">IF(J2867&lt;&gt;"",J2867,L2867)</f>
        <v>13, 13, MAREEP</v>
      </c>
    </row>
    <row r="2868" customFormat="false" ht="12.75" hidden="false" customHeight="true" outlineLevel="0" collapsed="false">
      <c r="A2868" s="3" t="s">
        <v>3660</v>
      </c>
      <c r="B2868" s="3" t="str">
        <f aca="false">IF(ISNUMBER(SEARCH("%", A2868)),RIGHT(A2868,3),A2868)</f>
        <v>3, 3, MAREEP</v>
      </c>
      <c r="C2868" s="1" t="str">
        <f aca="false" t="array" ref="C2868:C2868">IF(B2867="NEW ROUTE",textsplit(B2868,","),"")</f>
        <v/>
      </c>
      <c r="H2868" s="1" t="str">
        <f aca="false">IF(C2868&lt;&gt;"",DEC2HEX(C2868,2),"")</f>
        <v/>
      </c>
      <c r="I2868" s="1" t="str">
        <f aca="false">IF(D2868&lt;&gt;"",DEC2HEX(D2868,2),"")</f>
        <v/>
      </c>
      <c r="J2868" s="1" t="str">
        <f aca="false">IF(H2868&lt;&gt;"","0x"&amp;I2868&amp;H2868,"")</f>
        <v/>
      </c>
      <c r="L2868" s="1" t="s">
        <v>3660</v>
      </c>
      <c r="M2868" s="1" t="str">
        <f aca="false">IF(J2868&lt;&gt;"",J2868,L2868)</f>
        <v>3, 3, MAREEP</v>
      </c>
    </row>
    <row r="2869" customFormat="false" ht="12.75" hidden="false" customHeight="true" outlineLevel="0" collapsed="false">
      <c r="A2869" s="3" t="s">
        <v>2809</v>
      </c>
      <c r="B2869" s="3" t="str">
        <f aca="false">IF(ISNUMBER(SEARCH("%", A2869)),RIGHT(A2869,3),A2869)</f>
        <v>0.04</v>
      </c>
      <c r="C2869" s="1" t="str">
        <f aca="false" t="array" ref="C2869:C2869">IF(B2868="NEW ROUTE",textsplit(B2869,","),"")</f>
        <v/>
      </c>
      <c r="H2869" s="1" t="str">
        <f aca="false">IF(C2869&lt;&gt;"",DEC2HEX(C2869,2),"")</f>
        <v/>
      </c>
      <c r="I2869" s="1" t="str">
        <f aca="false">IF(D2869&lt;&gt;"",DEC2HEX(D2869,2),"")</f>
        <v/>
      </c>
      <c r="J2869" s="1" t="str">
        <f aca="false">IF(H2869&lt;&gt;"","0x"&amp;I2869&amp;H2869,"")</f>
        <v/>
      </c>
      <c r="L2869" s="1" t="s">
        <v>2809</v>
      </c>
      <c r="M2869" s="1" t="str">
        <f aca="false">IF(J2869&lt;&gt;"",J2869,L2869)</f>
        <v>0.04</v>
      </c>
    </row>
    <row r="2870" customFormat="false" ht="12.75" hidden="false" customHeight="true" outlineLevel="0" collapsed="false">
      <c r="A2870" s="3" t="s">
        <v>3657</v>
      </c>
      <c r="B2870" s="3" t="str">
        <f aca="false">IF(ISNUMBER(SEARCH("%", A2870)),RIGHT(A2870,3),A2870)</f>
        <v>5, 5, MAREEP</v>
      </c>
      <c r="C2870" s="1" t="str">
        <f aca="false" t="array" ref="C2870:C2870">IF(B2869="NEW ROUTE",textsplit(B2870,","),"")</f>
        <v/>
      </c>
      <c r="H2870" s="1" t="str">
        <f aca="false">IF(C2870&lt;&gt;"",DEC2HEX(C2870,2),"")</f>
        <v/>
      </c>
      <c r="I2870" s="1" t="str">
        <f aca="false">IF(D2870&lt;&gt;"",DEC2HEX(D2870,2),"")</f>
        <v/>
      </c>
      <c r="J2870" s="1" t="str">
        <f aca="false">IF(H2870&lt;&gt;"","0x"&amp;I2870&amp;H2870,"")</f>
        <v/>
      </c>
      <c r="L2870" s="1" t="s">
        <v>3657</v>
      </c>
      <c r="M2870" s="1" t="str">
        <f aca="false">IF(J2870&lt;&gt;"",J2870,L2870)</f>
        <v>5, 5, MAREEP</v>
      </c>
    </row>
    <row r="2871" customFormat="false" ht="12.75" hidden="false" customHeight="true" outlineLevel="0" collapsed="false">
      <c r="A2871" s="3" t="s">
        <v>3658</v>
      </c>
      <c r="B2871" s="3" t="str">
        <f aca="false">IF(ISNUMBER(SEARCH("%", A2871)),RIGHT(A2871,3),A2871)</f>
        <v>11, 11, MAREEP</v>
      </c>
      <c r="C2871" s="1" t="str">
        <f aca="false" t="array" ref="C2871:C2871">IF(B2870="NEW ROUTE",textsplit(B2871,","),"")</f>
        <v/>
      </c>
      <c r="H2871" s="1" t="str">
        <f aca="false">IF(C2871&lt;&gt;"",DEC2HEX(C2871,2),"")</f>
        <v/>
      </c>
      <c r="I2871" s="1" t="str">
        <f aca="false">IF(D2871&lt;&gt;"",DEC2HEX(D2871,2),"")</f>
        <v/>
      </c>
      <c r="J2871" s="1" t="str">
        <f aca="false">IF(H2871&lt;&gt;"","0x"&amp;I2871&amp;H2871,"")</f>
        <v/>
      </c>
      <c r="L2871" s="1" t="s">
        <v>3658</v>
      </c>
      <c r="M2871" s="1" t="str">
        <f aca="false">IF(J2871&lt;&gt;"",J2871,L2871)</f>
        <v>11, 11, MAREEP</v>
      </c>
    </row>
    <row r="2872" customFormat="false" ht="12.75" hidden="false" customHeight="true" outlineLevel="0" collapsed="false">
      <c r="A2872" s="3" t="s">
        <v>2812</v>
      </c>
      <c r="B2872" s="3" t="str">
        <f aca="false">IF(ISNUMBER(SEARCH("%", A2872)),RIGHT(A2872,3),A2872)</f>
        <v>0.01</v>
      </c>
      <c r="C2872" s="1" t="str">
        <f aca="false" t="array" ref="C2872:C2872">IF(B2871="NEW ROUTE",textsplit(B2872,","),"")</f>
        <v/>
      </c>
      <c r="H2872" s="1" t="str">
        <f aca="false">IF(C2872&lt;&gt;"",DEC2HEX(C2872,2),"")</f>
        <v/>
      </c>
      <c r="I2872" s="1" t="str">
        <f aca="false">IF(D2872&lt;&gt;"",DEC2HEX(D2872,2),"")</f>
        <v/>
      </c>
      <c r="J2872" s="1" t="str">
        <f aca="false">IF(H2872&lt;&gt;"","0x"&amp;I2872&amp;H2872,"")</f>
        <v/>
      </c>
      <c r="L2872" s="1" t="s">
        <v>2812</v>
      </c>
      <c r="M2872" s="1" t="str">
        <f aca="false">IF(J2872&lt;&gt;"",J2872,L2872)</f>
        <v>0.01</v>
      </c>
    </row>
    <row r="2873" customFormat="false" ht="12.75" hidden="false" customHeight="true" outlineLevel="0" collapsed="false">
      <c r="A2873" s="3" t="s">
        <v>3657</v>
      </c>
      <c r="B2873" s="3" t="str">
        <f aca="false">IF(ISNUMBER(SEARCH("%", A2873)),RIGHT(A2873,3),A2873)</f>
        <v>5, 5, MAREEP</v>
      </c>
      <c r="C2873" s="1" t="str">
        <f aca="false" t="array" ref="C2873:C2873">IF(B2872="NEW ROUTE",textsplit(B2873,","),"")</f>
        <v/>
      </c>
      <c r="H2873" s="1" t="str">
        <f aca="false">IF(C2873&lt;&gt;"",DEC2HEX(C2873,2),"")</f>
        <v/>
      </c>
      <c r="I2873" s="1" t="str">
        <f aca="false">IF(D2873&lt;&gt;"",DEC2HEX(D2873,2),"")</f>
        <v/>
      </c>
      <c r="J2873" s="1" t="str">
        <f aca="false">IF(H2873&lt;&gt;"","0x"&amp;I2873&amp;H2873,"")</f>
        <v/>
      </c>
      <c r="L2873" s="1" t="s">
        <v>3657</v>
      </c>
      <c r="M2873" s="1" t="str">
        <f aca="false">IF(J2873&lt;&gt;"",J2873,L2873)</f>
        <v>5, 5, MAREEP</v>
      </c>
    </row>
    <row r="2874" customFormat="false" ht="12.75" hidden="false" customHeight="true" outlineLevel="0" collapsed="false">
      <c r="A2874" s="3" t="s">
        <v>3661</v>
      </c>
      <c r="B2874" s="3" t="str">
        <f aca="false">IF(ISNUMBER(SEARCH("%", A2874)),RIGHT(A2874,3),A2874)</f>
        <v>11, 11, MAREEP , &lt;null&gt;, &lt;null&gt;, &lt;null&gt;</v>
      </c>
      <c r="C2874" s="1" t="str">
        <f aca="false" t="array" ref="C2874:C2874">IF(B2873="NEW ROUTE",textsplit(B2874,","),"")</f>
        <v/>
      </c>
      <c r="H2874" s="1" t="str">
        <f aca="false">IF(C2874&lt;&gt;"",DEC2HEX(C2874,2),"")</f>
        <v/>
      </c>
      <c r="I2874" s="1" t="str">
        <f aca="false">IF(D2874&lt;&gt;"",DEC2HEX(D2874,2),"")</f>
        <v/>
      </c>
      <c r="J2874" s="1" t="str">
        <f aca="false">IF(H2874&lt;&gt;"","0x"&amp;I2874&amp;H2874,"")</f>
        <v/>
      </c>
      <c r="L2874" s="1" t="s">
        <v>3661</v>
      </c>
      <c r="M2874" s="1" t="str">
        <f aca="false">IF(J2874&lt;&gt;"",J2874,L2874)</f>
        <v>11, 11, MAREEP , &lt;null&gt;, &lt;null&gt;, &lt;null&gt;</v>
      </c>
    </row>
    <row r="2875" customFormat="false" ht="12.75" hidden="false" customHeight="true" outlineLevel="0" collapsed="false">
      <c r="A2875" s="3" t="s">
        <v>2536</v>
      </c>
      <c r="B2875" s="3" t="str">
        <f aca="false">IF(ISNUMBER(SEARCH("%", A2875)),RIGHT(A2875,3),A2875)</f>
        <v>NEW ROUTE</v>
      </c>
      <c r="C2875" s="1" t="str">
        <f aca="false" t="array" ref="C2875:C2875">IF(B2874="NEW ROUTE",textsplit(B2875,","),"")</f>
        <v/>
      </c>
      <c r="H2875" s="1" t="str">
        <f aca="false">IF(C2875&lt;&gt;"",DEC2HEX(C2875,2),"")</f>
        <v/>
      </c>
      <c r="I2875" s="1" t="str">
        <f aca="false">IF(D2875&lt;&gt;"",DEC2HEX(D2875,2),"")</f>
        <v/>
      </c>
      <c r="J2875" s="1" t="str">
        <f aca="false">IF(H2875&lt;&gt;"","0x"&amp;I2875&amp;H2875,"")</f>
        <v/>
      </c>
      <c r="L2875" s="1" t="s">
        <v>2536</v>
      </c>
      <c r="M2875" s="1" t="str">
        <f aca="false">IF(J2875&lt;&gt;"",J2875,L2875)</f>
        <v>NEW ROUTE</v>
      </c>
    </row>
    <row r="2876" customFormat="false" ht="12.75" hidden="false" customHeight="true" outlineLevel="0" collapsed="false">
      <c r="A2876" s="3" t="s">
        <v>3649</v>
      </c>
      <c r="B2876" s="3" t="str">
        <f aca="false">IF(ISNUMBER(SEARCH("%", A2876)),RIGHT(A2876,3),A2876)</f>
        <v>1, 122, 0,</v>
      </c>
      <c r="C2876" s="1" t="e">
        <f aca="false" t="array" ref="C2876:C2876">IF(B2875="NEW ROUTE",textsplit(B2876,","),"")</f>
        <v>#NAME?</v>
      </c>
      <c r="H2876" s="1" t="e">
        <f aca="false">IF(C2876&lt;&gt;"",DEC2HEX(C2876,2),"")</f>
        <v>#NAME?</v>
      </c>
      <c r="I2876" s="1" t="str">
        <f aca="false">IF(D2876&lt;&gt;"",DEC2HEX(D2876,2),"")</f>
        <v/>
      </c>
      <c r="J2876" s="1" t="e">
        <f aca="false">IF(H2876&lt;&gt;"","0x"&amp;I2876&amp;H2876,"")</f>
        <v>#NAME?</v>
      </c>
      <c r="L2876" s="1" t="s">
        <v>3649</v>
      </c>
      <c r="M2876" s="1" t="e">
        <f aca="false">IF(J2876&lt;&gt;"",J2876,L2876)</f>
        <v>#NAME?</v>
      </c>
    </row>
    <row r="2877" customFormat="false" ht="12.75" hidden="false" customHeight="true" outlineLevel="0" collapsed="false">
      <c r="A2877" s="3" t="s">
        <v>2816</v>
      </c>
      <c r="B2877" s="3" t="str">
        <f aca="false">IF(ISNUMBER(SEARCH("%", A2877)),RIGHT(A2877,3),A2877)</f>
        <v>20%</v>
      </c>
      <c r="C2877" s="1" t="str">
        <f aca="false" t="array" ref="C2877:C2877">IF(B2876="NEW ROUTE",textsplit(B2877,","),"")</f>
        <v/>
      </c>
      <c r="H2877" s="1" t="str">
        <f aca="false">IF(C2877&lt;&gt;"",DEC2HEX(C2877,2),"")</f>
        <v/>
      </c>
      <c r="I2877" s="1" t="str">
        <f aca="false">IF(D2877&lt;&gt;"",DEC2HEX(D2877,2),"")</f>
        <v/>
      </c>
      <c r="J2877" s="1" t="str">
        <f aca="false">IF(H2877&lt;&gt;"","0x"&amp;I2877&amp;H2877,"")</f>
        <v/>
      </c>
      <c r="L2877" s="1" t="s">
        <v>2799</v>
      </c>
      <c r="M2877" s="1" t="str">
        <f aca="false">IF(J2877&lt;&gt;"",J2877,L2877)</f>
        <v>20%</v>
      </c>
    </row>
    <row r="2878" customFormat="false" ht="12.75" hidden="false" customHeight="true" outlineLevel="0" collapsed="false">
      <c r="A2878" s="3" t="s">
        <v>2154</v>
      </c>
      <c r="B2878" s="3" t="str">
        <f aca="false">IF(ISNUMBER(SEARCH("%", A2878)),RIGHT(A2878,3),A2878)</f>
        <v>23, 23, PINECO</v>
      </c>
      <c r="C2878" s="1" t="str">
        <f aca="false" t="array" ref="C2878:C2878">IF(B2877="NEW ROUTE",textsplit(B2878,","),"")</f>
        <v/>
      </c>
      <c r="H2878" s="1" t="str">
        <f aca="false">IF(C2878&lt;&gt;"",DEC2HEX(C2878,2),"")</f>
        <v/>
      </c>
      <c r="I2878" s="1" t="str">
        <f aca="false">IF(D2878&lt;&gt;"",DEC2HEX(D2878,2),"")</f>
        <v/>
      </c>
      <c r="J2878" s="1" t="str">
        <f aca="false">IF(H2878&lt;&gt;"","0x"&amp;I2878&amp;H2878,"")</f>
        <v/>
      </c>
      <c r="L2878" s="1" t="s">
        <v>2154</v>
      </c>
      <c r="M2878" s="1" t="str">
        <f aca="false">IF(J2878&lt;&gt;"",J2878,L2878)</f>
        <v>23, 23, PINECO</v>
      </c>
    </row>
    <row r="2879" customFormat="false" ht="12.75" hidden="false" customHeight="true" outlineLevel="0" collapsed="false">
      <c r="A2879" s="3" t="s">
        <v>3662</v>
      </c>
      <c r="B2879" s="3" t="str">
        <f aca="false">IF(ISNUMBER(SEARCH("%", A2879)),RIGHT(A2879,3),A2879)</f>
        <v>25, 25, PINECO</v>
      </c>
      <c r="C2879" s="1" t="str">
        <f aca="false" t="array" ref="C2879:C2879">IF(B2878="NEW ROUTE",textsplit(B2879,","),"")</f>
        <v/>
      </c>
      <c r="H2879" s="1" t="str">
        <f aca="false">IF(C2879&lt;&gt;"",DEC2HEX(C2879,2),"")</f>
        <v/>
      </c>
      <c r="I2879" s="1" t="str">
        <f aca="false">IF(D2879&lt;&gt;"",DEC2HEX(D2879,2),"")</f>
        <v/>
      </c>
      <c r="J2879" s="1" t="str">
        <f aca="false">IF(H2879&lt;&gt;"","0x"&amp;I2879&amp;H2879,"")</f>
        <v/>
      </c>
      <c r="L2879" s="1" t="s">
        <v>3662</v>
      </c>
      <c r="M2879" s="1" t="str">
        <f aca="false">IF(J2879&lt;&gt;"",J2879,L2879)</f>
        <v>25, 25, PINECO</v>
      </c>
    </row>
    <row r="2880" customFormat="false" ht="12.75" hidden="false" customHeight="true" outlineLevel="0" collapsed="false">
      <c r="A2880" s="3" t="s">
        <v>2801</v>
      </c>
      <c r="B2880" s="3" t="str">
        <f aca="false">IF(ISNUMBER(SEARCH("%", A2880)),RIGHT(A2880,3),A2880)</f>
        <v>0.1</v>
      </c>
      <c r="C2880" s="1" t="str">
        <f aca="false" t="array" ref="C2880:C2880">IF(B2879="NEW ROUTE",textsplit(B2880,","),"")</f>
        <v/>
      </c>
      <c r="H2880" s="1" t="str">
        <f aca="false">IF(C2880&lt;&gt;"",DEC2HEX(C2880,2),"")</f>
        <v/>
      </c>
      <c r="I2880" s="1" t="str">
        <f aca="false">IF(D2880&lt;&gt;"",DEC2HEX(D2880,2),"")</f>
        <v/>
      </c>
      <c r="J2880" s="1" t="str">
        <f aca="false">IF(H2880&lt;&gt;"","0x"&amp;I2880&amp;H2880,"")</f>
        <v/>
      </c>
      <c r="L2880" s="1" t="s">
        <v>2801</v>
      </c>
      <c r="M2880" s="1" t="str">
        <f aca="false">IF(J2880&lt;&gt;"",J2880,L2880)</f>
        <v>0.1</v>
      </c>
    </row>
    <row r="2881" customFormat="false" ht="12.75" hidden="false" customHeight="true" outlineLevel="0" collapsed="false">
      <c r="A2881" s="3" t="s">
        <v>3663</v>
      </c>
      <c r="B2881" s="3" t="str">
        <f aca="false">IF(ISNUMBER(SEARCH("%", A2881)),RIGHT(A2881,3),A2881)</f>
        <v>22, 22, PINECO</v>
      </c>
      <c r="C2881" s="1" t="str">
        <f aca="false" t="array" ref="C2881:C2881">IF(B2880="NEW ROUTE",textsplit(B2881,","),"")</f>
        <v/>
      </c>
      <c r="H2881" s="1" t="str">
        <f aca="false">IF(C2881&lt;&gt;"",DEC2HEX(C2881,2),"")</f>
        <v/>
      </c>
      <c r="I2881" s="1" t="str">
        <f aca="false">IF(D2881&lt;&gt;"",DEC2HEX(D2881,2),"")</f>
        <v/>
      </c>
      <c r="J2881" s="1" t="str">
        <f aca="false">IF(H2881&lt;&gt;"","0x"&amp;I2881&amp;H2881,"")</f>
        <v/>
      </c>
      <c r="L2881" s="1" t="s">
        <v>3663</v>
      </c>
      <c r="M2881" s="1" t="str">
        <f aca="false">IF(J2881&lt;&gt;"",J2881,L2881)</f>
        <v>22, 22, PINECO</v>
      </c>
    </row>
    <row r="2882" customFormat="false" ht="12.75" hidden="false" customHeight="true" outlineLevel="0" collapsed="false">
      <c r="A2882" s="3" t="s">
        <v>3664</v>
      </c>
      <c r="B2882" s="3" t="str">
        <f aca="false">IF(ISNUMBER(SEARCH("%", A2882)),RIGHT(A2882,3),A2882)</f>
        <v>27, 27, PINECO</v>
      </c>
      <c r="C2882" s="1" t="str">
        <f aca="false" t="array" ref="C2882:C2882">IF(B2881="NEW ROUTE",textsplit(B2882,","),"")</f>
        <v/>
      </c>
      <c r="H2882" s="1" t="str">
        <f aca="false">IF(C2882&lt;&gt;"",DEC2HEX(C2882,2),"")</f>
        <v/>
      </c>
      <c r="I2882" s="1" t="str">
        <f aca="false">IF(D2882&lt;&gt;"",DEC2HEX(D2882,2),"")</f>
        <v/>
      </c>
      <c r="J2882" s="1" t="str">
        <f aca="false">IF(H2882&lt;&gt;"","0x"&amp;I2882&amp;H2882,"")</f>
        <v/>
      </c>
      <c r="L2882" s="1" t="s">
        <v>3664</v>
      </c>
      <c r="M2882" s="1" t="str">
        <f aca="false">IF(J2882&lt;&gt;"",J2882,L2882)</f>
        <v>27, 27, PINECO</v>
      </c>
    </row>
    <row r="2883" customFormat="false" ht="12.75" hidden="false" customHeight="true" outlineLevel="0" collapsed="false">
      <c r="A2883" s="3" t="s">
        <v>2154</v>
      </c>
      <c r="B2883" s="3" t="str">
        <f aca="false">IF(ISNUMBER(SEARCH("%", A2883)),RIGHT(A2883,3),A2883)</f>
        <v>23, 23, PINECO</v>
      </c>
      <c r="C2883" s="1" t="str">
        <f aca="false" t="array" ref="C2883:C2883">IF(B2882="NEW ROUTE",textsplit(B2883,","),"")</f>
        <v/>
      </c>
      <c r="H2883" s="1" t="str">
        <f aca="false">IF(C2883&lt;&gt;"",DEC2HEX(C2883,2),"")</f>
        <v/>
      </c>
      <c r="I2883" s="1" t="str">
        <f aca="false">IF(D2883&lt;&gt;"",DEC2HEX(D2883,2),"")</f>
        <v/>
      </c>
      <c r="J2883" s="1" t="str">
        <f aca="false">IF(H2883&lt;&gt;"","0x"&amp;I2883&amp;H2883,"")</f>
        <v/>
      </c>
      <c r="L2883" s="1" t="s">
        <v>2154</v>
      </c>
      <c r="M2883" s="1" t="str">
        <f aca="false">IF(J2883&lt;&gt;"",J2883,L2883)</f>
        <v>23, 23, PINECO</v>
      </c>
    </row>
    <row r="2884" customFormat="false" ht="12.75" hidden="false" customHeight="true" outlineLevel="0" collapsed="false">
      <c r="A2884" s="3" t="s">
        <v>3662</v>
      </c>
      <c r="B2884" s="3" t="str">
        <f aca="false">IF(ISNUMBER(SEARCH("%", A2884)),RIGHT(A2884,3),A2884)</f>
        <v>25, 25, PINECO</v>
      </c>
      <c r="C2884" s="1" t="str">
        <f aca="false" t="array" ref="C2884:C2884">IF(B2883="NEW ROUTE",textsplit(B2884,","),"")</f>
        <v/>
      </c>
      <c r="H2884" s="1" t="str">
        <f aca="false">IF(C2884&lt;&gt;"",DEC2HEX(C2884,2),"")</f>
        <v/>
      </c>
      <c r="I2884" s="1" t="str">
        <f aca="false">IF(D2884&lt;&gt;"",DEC2HEX(D2884,2),"")</f>
        <v/>
      </c>
      <c r="J2884" s="1" t="str">
        <f aca="false">IF(H2884&lt;&gt;"","0x"&amp;I2884&amp;H2884,"")</f>
        <v/>
      </c>
      <c r="L2884" s="1" t="s">
        <v>3662</v>
      </c>
      <c r="M2884" s="1" t="str">
        <f aca="false">IF(J2884&lt;&gt;"",J2884,L2884)</f>
        <v>25, 25, PINECO</v>
      </c>
    </row>
    <row r="2885" customFormat="false" ht="12.75" hidden="false" customHeight="true" outlineLevel="0" collapsed="false">
      <c r="A2885" s="3" t="s">
        <v>2806</v>
      </c>
      <c r="B2885" s="3" t="str">
        <f aca="false">IF(ISNUMBER(SEARCH("%", A2885)),RIGHT(A2885,3),A2885)</f>
        <v>0.05</v>
      </c>
      <c r="C2885" s="1" t="str">
        <f aca="false" t="array" ref="C2885:C2885">IF(B2884="NEW ROUTE",textsplit(B2885,","),"")</f>
        <v/>
      </c>
      <c r="H2885" s="1" t="str">
        <f aca="false">IF(C2885&lt;&gt;"",DEC2HEX(C2885,2),"")</f>
        <v/>
      </c>
      <c r="I2885" s="1" t="str">
        <f aca="false">IF(D2885&lt;&gt;"",DEC2HEX(D2885,2),"")</f>
        <v/>
      </c>
      <c r="J2885" s="1" t="str">
        <f aca="false">IF(H2885&lt;&gt;"","0x"&amp;I2885&amp;H2885,"")</f>
        <v/>
      </c>
      <c r="L2885" s="1" t="s">
        <v>2806</v>
      </c>
      <c r="M2885" s="1" t="str">
        <f aca="false">IF(J2885&lt;&gt;"",J2885,L2885)</f>
        <v>0.05</v>
      </c>
    </row>
    <row r="2886" customFormat="false" ht="12.75" hidden="false" customHeight="true" outlineLevel="0" collapsed="false">
      <c r="A2886" s="3" t="s">
        <v>3665</v>
      </c>
      <c r="B2886" s="3" t="str">
        <f aca="false">IF(ISNUMBER(SEARCH("%", A2886)),RIGHT(A2886,3),A2886)</f>
        <v>29, 29, PINECO</v>
      </c>
      <c r="C2886" s="1" t="str">
        <f aca="false" t="array" ref="C2886:C2886">IF(B2885="NEW ROUTE",textsplit(B2886,","),"")</f>
        <v/>
      </c>
      <c r="H2886" s="1" t="str">
        <f aca="false">IF(C2886&lt;&gt;"",DEC2HEX(C2886,2),"")</f>
        <v/>
      </c>
      <c r="I2886" s="1" t="str">
        <f aca="false">IF(D2886&lt;&gt;"",DEC2HEX(D2886,2),"")</f>
        <v/>
      </c>
      <c r="J2886" s="1" t="str">
        <f aca="false">IF(H2886&lt;&gt;"","0x"&amp;I2886&amp;H2886,"")</f>
        <v/>
      </c>
      <c r="L2886" s="1" t="s">
        <v>3665</v>
      </c>
      <c r="M2886" s="1" t="str">
        <f aca="false">IF(J2886&lt;&gt;"",J2886,L2886)</f>
        <v>29, 29, PINECO</v>
      </c>
    </row>
    <row r="2887" customFormat="false" ht="12.75" hidden="false" customHeight="true" outlineLevel="0" collapsed="false">
      <c r="A2887" s="3" t="s">
        <v>3666</v>
      </c>
      <c r="B2887" s="3" t="str">
        <f aca="false">IF(ISNUMBER(SEARCH("%", A2887)),RIGHT(A2887,3),A2887)</f>
        <v>19, 19, PINECO</v>
      </c>
      <c r="C2887" s="1" t="str">
        <f aca="false" t="array" ref="C2887:C2887">IF(B2886="NEW ROUTE",textsplit(B2887,","),"")</f>
        <v/>
      </c>
      <c r="H2887" s="1" t="str">
        <f aca="false">IF(C2887&lt;&gt;"",DEC2HEX(C2887,2),"")</f>
        <v/>
      </c>
      <c r="I2887" s="1" t="str">
        <f aca="false">IF(D2887&lt;&gt;"",DEC2HEX(D2887,2),"")</f>
        <v/>
      </c>
      <c r="J2887" s="1" t="str">
        <f aca="false">IF(H2887&lt;&gt;"","0x"&amp;I2887&amp;H2887,"")</f>
        <v/>
      </c>
      <c r="L2887" s="1" t="s">
        <v>3666</v>
      </c>
      <c r="M2887" s="1" t="str">
        <f aca="false">IF(J2887&lt;&gt;"",J2887,L2887)</f>
        <v>19, 19, PINECO</v>
      </c>
    </row>
    <row r="2888" customFormat="false" ht="12.75" hidden="false" customHeight="true" outlineLevel="0" collapsed="false">
      <c r="A2888" s="3" t="s">
        <v>2809</v>
      </c>
      <c r="B2888" s="3" t="str">
        <f aca="false">IF(ISNUMBER(SEARCH("%", A2888)),RIGHT(A2888,3),A2888)</f>
        <v>0.04</v>
      </c>
      <c r="C2888" s="1" t="str">
        <f aca="false" t="array" ref="C2888:C2888">IF(B2887="NEW ROUTE",textsplit(B2888,","),"")</f>
        <v/>
      </c>
      <c r="H2888" s="1" t="str">
        <f aca="false">IF(C2888&lt;&gt;"",DEC2HEX(C2888,2),"")</f>
        <v/>
      </c>
      <c r="I2888" s="1" t="str">
        <f aca="false">IF(D2888&lt;&gt;"",DEC2HEX(D2888,2),"")</f>
        <v/>
      </c>
      <c r="J2888" s="1" t="str">
        <f aca="false">IF(H2888&lt;&gt;"","0x"&amp;I2888&amp;H2888,"")</f>
        <v/>
      </c>
      <c r="L2888" s="1" t="s">
        <v>2809</v>
      </c>
      <c r="M2888" s="1" t="str">
        <f aca="false">IF(J2888&lt;&gt;"",J2888,L2888)</f>
        <v>0.04</v>
      </c>
    </row>
    <row r="2889" customFormat="false" ht="12.75" hidden="false" customHeight="true" outlineLevel="0" collapsed="false">
      <c r="A2889" s="3" t="s">
        <v>3667</v>
      </c>
      <c r="B2889" s="3" t="str">
        <f aca="false">IF(ISNUMBER(SEARCH("%", A2889)),RIGHT(A2889,3),A2889)</f>
        <v>21, 21, PINECO</v>
      </c>
      <c r="C2889" s="1" t="str">
        <f aca="false" t="array" ref="C2889:C2889">IF(B2888="NEW ROUTE",textsplit(B2889,","),"")</f>
        <v/>
      </c>
      <c r="H2889" s="1" t="str">
        <f aca="false">IF(C2889&lt;&gt;"",DEC2HEX(C2889,2),"")</f>
        <v/>
      </c>
      <c r="I2889" s="1" t="str">
        <f aca="false">IF(D2889&lt;&gt;"",DEC2HEX(D2889,2),"")</f>
        <v/>
      </c>
      <c r="J2889" s="1" t="str">
        <f aca="false">IF(H2889&lt;&gt;"","0x"&amp;I2889&amp;H2889,"")</f>
        <v/>
      </c>
      <c r="L2889" s="1" t="s">
        <v>3667</v>
      </c>
      <c r="M2889" s="1" t="str">
        <f aca="false">IF(J2889&lt;&gt;"",J2889,L2889)</f>
        <v>21, 21, PINECO</v>
      </c>
    </row>
    <row r="2890" customFormat="false" ht="12.75" hidden="false" customHeight="true" outlineLevel="0" collapsed="false">
      <c r="A2890" s="3" t="s">
        <v>3664</v>
      </c>
      <c r="B2890" s="3" t="str">
        <f aca="false">IF(ISNUMBER(SEARCH("%", A2890)),RIGHT(A2890,3),A2890)</f>
        <v>27, 27, PINECO</v>
      </c>
      <c r="C2890" s="1" t="str">
        <f aca="false" t="array" ref="C2890:C2890">IF(B2889="NEW ROUTE",textsplit(B2890,","),"")</f>
        <v/>
      </c>
      <c r="H2890" s="1" t="str">
        <f aca="false">IF(C2890&lt;&gt;"",DEC2HEX(C2890,2),"")</f>
        <v/>
      </c>
      <c r="I2890" s="1" t="str">
        <f aca="false">IF(D2890&lt;&gt;"",DEC2HEX(D2890,2),"")</f>
        <v/>
      </c>
      <c r="J2890" s="1" t="str">
        <f aca="false">IF(H2890&lt;&gt;"","0x"&amp;I2890&amp;H2890,"")</f>
        <v/>
      </c>
      <c r="L2890" s="1" t="s">
        <v>3664</v>
      </c>
      <c r="M2890" s="1" t="str">
        <f aca="false">IF(J2890&lt;&gt;"",J2890,L2890)</f>
        <v>27, 27, PINECO</v>
      </c>
    </row>
    <row r="2891" customFormat="false" ht="12.75" hidden="false" customHeight="true" outlineLevel="0" collapsed="false">
      <c r="A2891" s="3" t="s">
        <v>2812</v>
      </c>
      <c r="B2891" s="3" t="str">
        <f aca="false">IF(ISNUMBER(SEARCH("%", A2891)),RIGHT(A2891,3),A2891)</f>
        <v>0.01</v>
      </c>
      <c r="C2891" s="1" t="str">
        <f aca="false" t="array" ref="C2891:C2891">IF(B2890="NEW ROUTE",textsplit(B2891,","),"")</f>
        <v/>
      </c>
      <c r="H2891" s="1" t="str">
        <f aca="false">IF(C2891&lt;&gt;"",DEC2HEX(C2891,2),"")</f>
        <v/>
      </c>
      <c r="I2891" s="1" t="str">
        <f aca="false">IF(D2891&lt;&gt;"",DEC2HEX(D2891,2),"")</f>
        <v/>
      </c>
      <c r="J2891" s="1" t="str">
        <f aca="false">IF(H2891&lt;&gt;"","0x"&amp;I2891&amp;H2891,"")</f>
        <v/>
      </c>
      <c r="L2891" s="1" t="s">
        <v>2812</v>
      </c>
      <c r="M2891" s="1" t="str">
        <f aca="false">IF(J2891&lt;&gt;"",J2891,L2891)</f>
        <v>0.01</v>
      </c>
    </row>
    <row r="2892" customFormat="false" ht="12.75" hidden="false" customHeight="true" outlineLevel="0" collapsed="false">
      <c r="A2892" s="3" t="s">
        <v>3667</v>
      </c>
      <c r="B2892" s="3" t="str">
        <f aca="false">IF(ISNUMBER(SEARCH("%", A2892)),RIGHT(A2892,3),A2892)</f>
        <v>21, 21, PINECO</v>
      </c>
      <c r="C2892" s="1" t="str">
        <f aca="false" t="array" ref="C2892:C2892">IF(B2891="NEW ROUTE",textsplit(B2892,","),"")</f>
        <v/>
      </c>
      <c r="H2892" s="1" t="str">
        <f aca="false">IF(C2892&lt;&gt;"",DEC2HEX(C2892,2),"")</f>
        <v/>
      </c>
      <c r="I2892" s="1" t="str">
        <f aca="false">IF(D2892&lt;&gt;"",DEC2HEX(D2892,2),"")</f>
        <v/>
      </c>
      <c r="J2892" s="1" t="str">
        <f aca="false">IF(H2892&lt;&gt;"","0x"&amp;I2892&amp;H2892,"")</f>
        <v/>
      </c>
      <c r="L2892" s="1" t="s">
        <v>3667</v>
      </c>
      <c r="M2892" s="1" t="str">
        <f aca="false">IF(J2892&lt;&gt;"",J2892,L2892)</f>
        <v>21, 21, PINECO</v>
      </c>
    </row>
    <row r="2893" customFormat="false" ht="12.75" hidden="false" customHeight="true" outlineLevel="0" collapsed="false">
      <c r="A2893" s="3" t="s">
        <v>3668</v>
      </c>
      <c r="B2893" s="3" t="str">
        <f aca="false">IF(ISNUMBER(SEARCH("%", A2893)),RIGHT(A2893,3),A2893)</f>
        <v>27, 27, PINECO , &lt;null&gt;, &lt;null&gt;, &lt;null&gt;</v>
      </c>
      <c r="C2893" s="1" t="str">
        <f aca="false" t="array" ref="C2893:C2893">IF(B2892="NEW ROUTE",textsplit(B2893,","),"")</f>
        <v/>
      </c>
      <c r="H2893" s="1" t="str">
        <f aca="false">IF(C2893&lt;&gt;"",DEC2HEX(C2893,2),"")</f>
        <v/>
      </c>
      <c r="I2893" s="1" t="str">
        <f aca="false">IF(D2893&lt;&gt;"",DEC2HEX(D2893,2),"")</f>
        <v/>
      </c>
      <c r="J2893" s="1" t="str">
        <f aca="false">IF(H2893&lt;&gt;"","0x"&amp;I2893&amp;H2893,"")</f>
        <v/>
      </c>
      <c r="L2893" s="1" t="s">
        <v>3668</v>
      </c>
      <c r="M2893" s="1" t="str">
        <f aca="false">IF(J2893&lt;&gt;"",J2893,L2893)</f>
        <v>27, 27, PINECO , &lt;null&gt;, &lt;null&gt;, &lt;null&gt;</v>
      </c>
    </row>
    <row r="2894" customFormat="false" ht="12.75" hidden="false" customHeight="true" outlineLevel="0" collapsed="false">
      <c r="A2894" s="3" t="s">
        <v>2536</v>
      </c>
      <c r="B2894" s="3" t="str">
        <f aca="false">IF(ISNUMBER(SEARCH("%", A2894)),RIGHT(A2894,3),A2894)</f>
        <v>NEW ROUTE</v>
      </c>
      <c r="C2894" s="1" t="str">
        <f aca="false" t="array" ref="C2894:C2894">IF(B2893="NEW ROUTE",textsplit(B2894,","),"")</f>
        <v/>
      </c>
      <c r="H2894" s="1" t="str">
        <f aca="false">IF(C2894&lt;&gt;"",DEC2HEX(C2894,2),"")</f>
        <v/>
      </c>
      <c r="I2894" s="1" t="str">
        <f aca="false">IF(D2894&lt;&gt;"",DEC2HEX(D2894,2),"")</f>
        <v/>
      </c>
      <c r="J2894" s="1" t="str">
        <f aca="false">IF(H2894&lt;&gt;"","0x"&amp;I2894&amp;H2894,"")</f>
        <v/>
      </c>
      <c r="L2894" s="1" t="s">
        <v>2536</v>
      </c>
      <c r="M2894" s="1" t="str">
        <f aca="false">IF(J2894&lt;&gt;"",J2894,L2894)</f>
        <v>NEW ROUTE</v>
      </c>
    </row>
    <row r="2895" customFormat="false" ht="12.75" hidden="false" customHeight="true" outlineLevel="0" collapsed="false">
      <c r="A2895" s="3" t="s">
        <v>3649</v>
      </c>
      <c r="B2895" s="3" t="str">
        <f aca="false">IF(ISNUMBER(SEARCH("%", A2895)),RIGHT(A2895,3),A2895)</f>
        <v>1, 122, 0,</v>
      </c>
      <c r="C2895" s="1" t="e">
        <f aca="false" t="array" ref="C2895:C2895">IF(B2894="NEW ROUTE",textsplit(B2895,","),"")</f>
        <v>#NAME?</v>
      </c>
      <c r="H2895" s="1" t="e">
        <f aca="false">IF(C2895&lt;&gt;"",DEC2HEX(C2895,2),"")</f>
        <v>#NAME?</v>
      </c>
      <c r="I2895" s="1" t="str">
        <f aca="false">IF(D2895&lt;&gt;"",DEC2HEX(D2895,2),"")</f>
        <v/>
      </c>
      <c r="J2895" s="1" t="e">
        <f aca="false">IF(H2895&lt;&gt;"","0x"&amp;I2895&amp;H2895,"")</f>
        <v>#NAME?</v>
      </c>
      <c r="L2895" s="1" t="s">
        <v>3649</v>
      </c>
      <c r="M2895" s="1" t="e">
        <f aca="false">IF(J2895&lt;&gt;"",J2895,L2895)</f>
        <v>#NAME?</v>
      </c>
    </row>
    <row r="2896" customFormat="false" ht="12.75" hidden="false" customHeight="true" outlineLevel="0" collapsed="false">
      <c r="A2896" s="3" t="s">
        <v>2816</v>
      </c>
      <c r="B2896" s="3" t="str">
        <f aca="false">IF(ISNUMBER(SEARCH("%", A2896)),RIGHT(A2896,3),A2896)</f>
        <v>20%</v>
      </c>
      <c r="C2896" s="1" t="str">
        <f aca="false" t="array" ref="C2896:C2896">IF(B2895="NEW ROUTE",textsplit(B2896,","),"")</f>
        <v/>
      </c>
      <c r="H2896" s="1" t="str">
        <f aca="false">IF(C2896&lt;&gt;"",DEC2HEX(C2896,2),"")</f>
        <v/>
      </c>
      <c r="I2896" s="1" t="str">
        <f aca="false">IF(D2896&lt;&gt;"",DEC2HEX(D2896,2),"")</f>
        <v/>
      </c>
      <c r="J2896" s="1" t="str">
        <f aca="false">IF(H2896&lt;&gt;"","0x"&amp;I2896&amp;H2896,"")</f>
        <v/>
      </c>
      <c r="L2896" s="1" t="s">
        <v>2799</v>
      </c>
      <c r="M2896" s="1" t="str">
        <f aca="false">IF(J2896&lt;&gt;"",J2896,L2896)</f>
        <v>20%</v>
      </c>
    </row>
    <row r="2897" customFormat="false" ht="12.75" hidden="false" customHeight="true" outlineLevel="0" collapsed="false">
      <c r="A2897" s="3" t="s">
        <v>2163</v>
      </c>
      <c r="B2897" s="3" t="str">
        <f aca="false">IF(ISNUMBER(SEARCH("%", A2897)),RIGHT(A2897,3),A2897)</f>
        <v>16, 16, HOUNDOUR</v>
      </c>
      <c r="C2897" s="1" t="str">
        <f aca="false" t="array" ref="C2897:C2897">IF(B2896="NEW ROUTE",textsplit(B2897,","),"")</f>
        <v/>
      </c>
      <c r="H2897" s="1" t="str">
        <f aca="false">IF(C2897&lt;&gt;"",DEC2HEX(C2897,2),"")</f>
        <v/>
      </c>
      <c r="I2897" s="1" t="str">
        <f aca="false">IF(D2897&lt;&gt;"",DEC2HEX(D2897,2),"")</f>
        <v/>
      </c>
      <c r="J2897" s="1" t="str">
        <f aca="false">IF(H2897&lt;&gt;"","0x"&amp;I2897&amp;H2897,"")</f>
        <v/>
      </c>
      <c r="L2897" s="1" t="s">
        <v>2163</v>
      </c>
      <c r="M2897" s="1" t="str">
        <f aca="false">IF(J2897&lt;&gt;"",J2897,L2897)</f>
        <v>16, 16, HOUNDOUR</v>
      </c>
    </row>
    <row r="2898" customFormat="false" ht="12.75" hidden="false" customHeight="true" outlineLevel="0" collapsed="false">
      <c r="A2898" s="3" t="s">
        <v>3669</v>
      </c>
      <c r="B2898" s="3" t="str">
        <f aca="false">IF(ISNUMBER(SEARCH("%", A2898)),RIGHT(A2898,3),A2898)</f>
        <v>18, 18, HOUNDOUR</v>
      </c>
      <c r="C2898" s="1" t="str">
        <f aca="false" t="array" ref="C2898:C2898">IF(B2897="NEW ROUTE",textsplit(B2898,","),"")</f>
        <v/>
      </c>
      <c r="H2898" s="1" t="str">
        <f aca="false">IF(C2898&lt;&gt;"",DEC2HEX(C2898,2),"")</f>
        <v/>
      </c>
      <c r="I2898" s="1" t="str">
        <f aca="false">IF(D2898&lt;&gt;"",DEC2HEX(D2898,2),"")</f>
        <v/>
      </c>
      <c r="J2898" s="1" t="str">
        <f aca="false">IF(H2898&lt;&gt;"","0x"&amp;I2898&amp;H2898,"")</f>
        <v/>
      </c>
      <c r="L2898" s="1" t="s">
        <v>3669</v>
      </c>
      <c r="M2898" s="1" t="str">
        <f aca="false">IF(J2898&lt;&gt;"",J2898,L2898)</f>
        <v>18, 18, HOUNDOUR</v>
      </c>
    </row>
    <row r="2899" customFormat="false" ht="12.75" hidden="false" customHeight="true" outlineLevel="0" collapsed="false">
      <c r="A2899" s="3" t="s">
        <v>2801</v>
      </c>
      <c r="B2899" s="3" t="str">
        <f aca="false">IF(ISNUMBER(SEARCH("%", A2899)),RIGHT(A2899,3),A2899)</f>
        <v>0.1</v>
      </c>
      <c r="C2899" s="1" t="str">
        <f aca="false" t="array" ref="C2899:C2899">IF(B2898="NEW ROUTE",textsplit(B2899,","),"")</f>
        <v/>
      </c>
      <c r="H2899" s="1" t="str">
        <f aca="false">IF(C2899&lt;&gt;"",DEC2HEX(C2899,2),"")</f>
        <v/>
      </c>
      <c r="I2899" s="1" t="str">
        <f aca="false">IF(D2899&lt;&gt;"",DEC2HEX(D2899,2),"")</f>
        <v/>
      </c>
      <c r="J2899" s="1" t="str">
        <f aca="false">IF(H2899&lt;&gt;"","0x"&amp;I2899&amp;H2899,"")</f>
        <v/>
      </c>
      <c r="L2899" s="1" t="s">
        <v>2801</v>
      </c>
      <c r="M2899" s="1" t="str">
        <f aca="false">IF(J2899&lt;&gt;"",J2899,L2899)</f>
        <v>0.1</v>
      </c>
    </row>
    <row r="2900" customFormat="false" ht="12.75" hidden="false" customHeight="true" outlineLevel="0" collapsed="false">
      <c r="A2900" s="3" t="s">
        <v>3670</v>
      </c>
      <c r="B2900" s="3" t="str">
        <f aca="false">IF(ISNUMBER(SEARCH("%", A2900)),RIGHT(A2900,3),A2900)</f>
        <v>14, 14, HOUNDOUR</v>
      </c>
      <c r="C2900" s="1" t="str">
        <f aca="false" t="array" ref="C2900:C2900">IF(B2899="NEW ROUTE",textsplit(B2900,","),"")</f>
        <v/>
      </c>
      <c r="H2900" s="1" t="str">
        <f aca="false">IF(C2900&lt;&gt;"",DEC2HEX(C2900,2),"")</f>
        <v/>
      </c>
      <c r="I2900" s="1" t="str">
        <f aca="false">IF(D2900&lt;&gt;"",DEC2HEX(D2900,2),"")</f>
        <v/>
      </c>
      <c r="J2900" s="1" t="str">
        <f aca="false">IF(H2900&lt;&gt;"","0x"&amp;I2900&amp;H2900,"")</f>
        <v/>
      </c>
      <c r="L2900" s="1" t="s">
        <v>3670</v>
      </c>
      <c r="M2900" s="1" t="str">
        <f aca="false">IF(J2900&lt;&gt;"",J2900,L2900)</f>
        <v>14, 14, HOUNDOUR</v>
      </c>
    </row>
    <row r="2901" customFormat="false" ht="12.75" hidden="false" customHeight="true" outlineLevel="0" collapsed="false">
      <c r="A2901" s="3" t="s">
        <v>3671</v>
      </c>
      <c r="B2901" s="3" t="str">
        <f aca="false">IF(ISNUMBER(SEARCH("%", A2901)),RIGHT(A2901,3),A2901)</f>
        <v>20, 20, HOUNDOUR</v>
      </c>
      <c r="C2901" s="1" t="str">
        <f aca="false" t="array" ref="C2901:C2901">IF(B2900="NEW ROUTE",textsplit(B2901,","),"")</f>
        <v/>
      </c>
      <c r="H2901" s="1" t="str">
        <f aca="false">IF(C2901&lt;&gt;"",DEC2HEX(C2901,2),"")</f>
        <v/>
      </c>
      <c r="I2901" s="1" t="str">
        <f aca="false">IF(D2901&lt;&gt;"",DEC2HEX(D2901,2),"")</f>
        <v/>
      </c>
      <c r="J2901" s="1" t="str">
        <f aca="false">IF(H2901&lt;&gt;"","0x"&amp;I2901&amp;H2901,"")</f>
        <v/>
      </c>
      <c r="L2901" s="1" t="s">
        <v>3671</v>
      </c>
      <c r="M2901" s="1" t="str">
        <f aca="false">IF(J2901&lt;&gt;"",J2901,L2901)</f>
        <v>20, 20, HOUNDOUR</v>
      </c>
    </row>
    <row r="2902" customFormat="false" ht="12.75" hidden="false" customHeight="true" outlineLevel="0" collapsed="false">
      <c r="A2902" s="3" t="s">
        <v>2163</v>
      </c>
      <c r="B2902" s="3" t="str">
        <f aca="false">IF(ISNUMBER(SEARCH("%", A2902)),RIGHT(A2902,3),A2902)</f>
        <v>16, 16, HOUNDOUR</v>
      </c>
      <c r="C2902" s="1" t="str">
        <f aca="false" t="array" ref="C2902:C2902">IF(B2901="NEW ROUTE",textsplit(B2902,","),"")</f>
        <v/>
      </c>
      <c r="H2902" s="1" t="str">
        <f aca="false">IF(C2902&lt;&gt;"",DEC2HEX(C2902,2),"")</f>
        <v/>
      </c>
      <c r="I2902" s="1" t="str">
        <f aca="false">IF(D2902&lt;&gt;"",DEC2HEX(D2902,2),"")</f>
        <v/>
      </c>
      <c r="J2902" s="1" t="str">
        <f aca="false">IF(H2902&lt;&gt;"","0x"&amp;I2902&amp;H2902,"")</f>
        <v/>
      </c>
      <c r="L2902" s="1" t="s">
        <v>2163</v>
      </c>
      <c r="M2902" s="1" t="str">
        <f aca="false">IF(J2902&lt;&gt;"",J2902,L2902)</f>
        <v>16, 16, HOUNDOUR</v>
      </c>
    </row>
    <row r="2903" customFormat="false" ht="12.75" hidden="false" customHeight="true" outlineLevel="0" collapsed="false">
      <c r="A2903" s="3" t="s">
        <v>3669</v>
      </c>
      <c r="B2903" s="3" t="str">
        <f aca="false">IF(ISNUMBER(SEARCH("%", A2903)),RIGHT(A2903,3),A2903)</f>
        <v>18, 18, HOUNDOUR</v>
      </c>
      <c r="C2903" s="1" t="str">
        <f aca="false" t="array" ref="C2903:C2903">IF(B2902="NEW ROUTE",textsplit(B2903,","),"")</f>
        <v/>
      </c>
      <c r="H2903" s="1" t="str">
        <f aca="false">IF(C2903&lt;&gt;"",DEC2HEX(C2903,2),"")</f>
        <v/>
      </c>
      <c r="I2903" s="1" t="str">
        <f aca="false">IF(D2903&lt;&gt;"",DEC2HEX(D2903,2),"")</f>
        <v/>
      </c>
      <c r="J2903" s="1" t="str">
        <f aca="false">IF(H2903&lt;&gt;"","0x"&amp;I2903&amp;H2903,"")</f>
        <v/>
      </c>
      <c r="L2903" s="1" t="s">
        <v>3669</v>
      </c>
      <c r="M2903" s="1" t="str">
        <f aca="false">IF(J2903&lt;&gt;"",J2903,L2903)</f>
        <v>18, 18, HOUNDOUR</v>
      </c>
    </row>
    <row r="2904" customFormat="false" ht="12.75" hidden="false" customHeight="true" outlineLevel="0" collapsed="false">
      <c r="A2904" s="3" t="s">
        <v>2806</v>
      </c>
      <c r="B2904" s="3" t="str">
        <f aca="false">IF(ISNUMBER(SEARCH("%", A2904)),RIGHT(A2904,3),A2904)</f>
        <v>0.05</v>
      </c>
      <c r="C2904" s="1" t="str">
        <f aca="false" t="array" ref="C2904:C2904">IF(B2903="NEW ROUTE",textsplit(B2904,","),"")</f>
        <v/>
      </c>
      <c r="H2904" s="1" t="str">
        <f aca="false">IF(C2904&lt;&gt;"",DEC2HEX(C2904,2),"")</f>
        <v/>
      </c>
      <c r="I2904" s="1" t="str">
        <f aca="false">IF(D2904&lt;&gt;"",DEC2HEX(D2904,2),"")</f>
        <v/>
      </c>
      <c r="J2904" s="1" t="str">
        <f aca="false">IF(H2904&lt;&gt;"","0x"&amp;I2904&amp;H2904,"")</f>
        <v/>
      </c>
      <c r="L2904" s="1" t="s">
        <v>2806</v>
      </c>
      <c r="M2904" s="1" t="str">
        <f aca="false">IF(J2904&lt;&gt;"",J2904,L2904)</f>
        <v>0.05</v>
      </c>
    </row>
    <row r="2905" customFormat="false" ht="12.75" hidden="false" customHeight="true" outlineLevel="0" collapsed="false">
      <c r="A2905" s="3" t="s">
        <v>3672</v>
      </c>
      <c r="B2905" s="3" t="str">
        <f aca="false">IF(ISNUMBER(SEARCH("%", A2905)),RIGHT(A2905,3),A2905)</f>
        <v>22, 22, HOUNDOUR</v>
      </c>
      <c r="C2905" s="1" t="str">
        <f aca="false" t="array" ref="C2905:C2905">IF(B2904="NEW ROUTE",textsplit(B2905,","),"")</f>
        <v/>
      </c>
      <c r="H2905" s="1" t="str">
        <f aca="false">IF(C2905&lt;&gt;"",DEC2HEX(C2905,2),"")</f>
        <v/>
      </c>
      <c r="I2905" s="1" t="str">
        <f aca="false">IF(D2905&lt;&gt;"",DEC2HEX(D2905,2),"")</f>
        <v/>
      </c>
      <c r="J2905" s="1" t="str">
        <f aca="false">IF(H2905&lt;&gt;"","0x"&amp;I2905&amp;H2905,"")</f>
        <v/>
      </c>
      <c r="L2905" s="1" t="s">
        <v>3672</v>
      </c>
      <c r="M2905" s="1" t="str">
        <f aca="false">IF(J2905&lt;&gt;"",J2905,L2905)</f>
        <v>22, 22, HOUNDOUR</v>
      </c>
    </row>
    <row r="2906" customFormat="false" ht="12.75" hidden="false" customHeight="true" outlineLevel="0" collapsed="false">
      <c r="A2906" s="3" t="s">
        <v>3673</v>
      </c>
      <c r="B2906" s="3" t="str">
        <f aca="false">IF(ISNUMBER(SEARCH("%", A2906)),RIGHT(A2906,3),A2906)</f>
        <v>12, 12, HOUNDOUR</v>
      </c>
      <c r="C2906" s="1" t="str">
        <f aca="false" t="array" ref="C2906:C2906">IF(B2905="NEW ROUTE",textsplit(B2906,","),"")</f>
        <v/>
      </c>
      <c r="H2906" s="1" t="str">
        <f aca="false">IF(C2906&lt;&gt;"",DEC2HEX(C2906,2),"")</f>
        <v/>
      </c>
      <c r="I2906" s="1" t="str">
        <f aca="false">IF(D2906&lt;&gt;"",DEC2HEX(D2906,2),"")</f>
        <v/>
      </c>
      <c r="J2906" s="1" t="str">
        <f aca="false">IF(H2906&lt;&gt;"","0x"&amp;I2906&amp;H2906,"")</f>
        <v/>
      </c>
      <c r="L2906" s="1" t="s">
        <v>3673</v>
      </c>
      <c r="M2906" s="1" t="str">
        <f aca="false">IF(J2906&lt;&gt;"",J2906,L2906)</f>
        <v>12, 12, HOUNDOUR</v>
      </c>
    </row>
    <row r="2907" customFormat="false" ht="12.75" hidden="false" customHeight="true" outlineLevel="0" collapsed="false">
      <c r="A2907" s="3" t="s">
        <v>2809</v>
      </c>
      <c r="B2907" s="3" t="str">
        <f aca="false">IF(ISNUMBER(SEARCH("%", A2907)),RIGHT(A2907,3),A2907)</f>
        <v>0.04</v>
      </c>
      <c r="C2907" s="1" t="str">
        <f aca="false" t="array" ref="C2907:C2907">IF(B2906="NEW ROUTE",textsplit(B2907,","),"")</f>
        <v/>
      </c>
      <c r="H2907" s="1" t="str">
        <f aca="false">IF(C2907&lt;&gt;"",DEC2HEX(C2907,2),"")</f>
        <v/>
      </c>
      <c r="I2907" s="1" t="str">
        <f aca="false">IF(D2907&lt;&gt;"",DEC2HEX(D2907,2),"")</f>
        <v/>
      </c>
      <c r="J2907" s="1" t="str">
        <f aca="false">IF(H2907&lt;&gt;"","0x"&amp;I2907&amp;H2907,"")</f>
        <v/>
      </c>
      <c r="L2907" s="1" t="s">
        <v>2809</v>
      </c>
      <c r="M2907" s="1" t="str">
        <f aca="false">IF(J2907&lt;&gt;"",J2907,L2907)</f>
        <v>0.04</v>
      </c>
    </row>
    <row r="2908" customFormat="false" ht="12.75" hidden="false" customHeight="true" outlineLevel="0" collapsed="false">
      <c r="A2908" s="3" t="s">
        <v>3670</v>
      </c>
      <c r="B2908" s="3" t="str">
        <f aca="false">IF(ISNUMBER(SEARCH("%", A2908)),RIGHT(A2908,3),A2908)</f>
        <v>14, 14, HOUNDOUR</v>
      </c>
      <c r="C2908" s="1" t="str">
        <f aca="false" t="array" ref="C2908:C2908">IF(B2907="NEW ROUTE",textsplit(B2908,","),"")</f>
        <v/>
      </c>
      <c r="H2908" s="1" t="str">
        <f aca="false">IF(C2908&lt;&gt;"",DEC2HEX(C2908,2),"")</f>
        <v/>
      </c>
      <c r="I2908" s="1" t="str">
        <f aca="false">IF(D2908&lt;&gt;"",DEC2HEX(D2908,2),"")</f>
        <v/>
      </c>
      <c r="J2908" s="1" t="str">
        <f aca="false">IF(H2908&lt;&gt;"","0x"&amp;I2908&amp;H2908,"")</f>
        <v/>
      </c>
      <c r="L2908" s="1" t="s">
        <v>3670</v>
      </c>
      <c r="M2908" s="1" t="str">
        <f aca="false">IF(J2908&lt;&gt;"",J2908,L2908)</f>
        <v>14, 14, HOUNDOUR</v>
      </c>
    </row>
    <row r="2909" customFormat="false" ht="12.75" hidden="false" customHeight="true" outlineLevel="0" collapsed="false">
      <c r="A2909" s="3" t="s">
        <v>3671</v>
      </c>
      <c r="B2909" s="3" t="str">
        <f aca="false">IF(ISNUMBER(SEARCH("%", A2909)),RIGHT(A2909,3),A2909)</f>
        <v>20, 20, HOUNDOUR</v>
      </c>
      <c r="C2909" s="1" t="str">
        <f aca="false" t="array" ref="C2909:C2909">IF(B2908="NEW ROUTE",textsplit(B2909,","),"")</f>
        <v/>
      </c>
      <c r="H2909" s="1" t="str">
        <f aca="false">IF(C2909&lt;&gt;"",DEC2HEX(C2909,2),"")</f>
        <v/>
      </c>
      <c r="I2909" s="1" t="str">
        <f aca="false">IF(D2909&lt;&gt;"",DEC2HEX(D2909,2),"")</f>
        <v/>
      </c>
      <c r="J2909" s="1" t="str">
        <f aca="false">IF(H2909&lt;&gt;"","0x"&amp;I2909&amp;H2909,"")</f>
        <v/>
      </c>
      <c r="L2909" s="1" t="s">
        <v>3671</v>
      </c>
      <c r="M2909" s="1" t="str">
        <f aca="false">IF(J2909&lt;&gt;"",J2909,L2909)</f>
        <v>20, 20, HOUNDOUR</v>
      </c>
    </row>
    <row r="2910" customFormat="false" ht="12.75" hidden="false" customHeight="true" outlineLevel="0" collapsed="false">
      <c r="A2910" s="3" t="s">
        <v>2812</v>
      </c>
      <c r="B2910" s="3" t="str">
        <f aca="false">IF(ISNUMBER(SEARCH("%", A2910)),RIGHT(A2910,3),A2910)</f>
        <v>0.01</v>
      </c>
      <c r="C2910" s="1" t="str">
        <f aca="false" t="array" ref="C2910:C2910">IF(B2909="NEW ROUTE",textsplit(B2910,","),"")</f>
        <v/>
      </c>
      <c r="H2910" s="1" t="str">
        <f aca="false">IF(C2910&lt;&gt;"",DEC2HEX(C2910,2),"")</f>
        <v/>
      </c>
      <c r="I2910" s="1" t="str">
        <f aca="false">IF(D2910&lt;&gt;"",DEC2HEX(D2910,2),"")</f>
        <v/>
      </c>
      <c r="J2910" s="1" t="str">
        <f aca="false">IF(H2910&lt;&gt;"","0x"&amp;I2910&amp;H2910,"")</f>
        <v/>
      </c>
      <c r="L2910" s="1" t="s">
        <v>2812</v>
      </c>
      <c r="M2910" s="1" t="str">
        <f aca="false">IF(J2910&lt;&gt;"",J2910,L2910)</f>
        <v>0.01</v>
      </c>
    </row>
    <row r="2911" customFormat="false" ht="12.75" hidden="false" customHeight="true" outlineLevel="0" collapsed="false">
      <c r="A2911" s="3" t="s">
        <v>3670</v>
      </c>
      <c r="B2911" s="3" t="str">
        <f aca="false">IF(ISNUMBER(SEARCH("%", A2911)),RIGHT(A2911,3),A2911)</f>
        <v>14, 14, HOUNDOUR</v>
      </c>
      <c r="C2911" s="1" t="str">
        <f aca="false" t="array" ref="C2911:C2911">IF(B2910="NEW ROUTE",textsplit(B2911,","),"")</f>
        <v/>
      </c>
      <c r="H2911" s="1" t="str">
        <f aca="false">IF(C2911&lt;&gt;"",DEC2HEX(C2911,2),"")</f>
        <v/>
      </c>
      <c r="I2911" s="1" t="str">
        <f aca="false">IF(D2911&lt;&gt;"",DEC2HEX(D2911,2),"")</f>
        <v/>
      </c>
      <c r="J2911" s="1" t="str">
        <f aca="false">IF(H2911&lt;&gt;"","0x"&amp;I2911&amp;H2911,"")</f>
        <v/>
      </c>
      <c r="L2911" s="1" t="s">
        <v>3670</v>
      </c>
      <c r="M2911" s="1" t="str">
        <f aca="false">IF(J2911&lt;&gt;"",J2911,L2911)</f>
        <v>14, 14, HOUNDOUR</v>
      </c>
    </row>
    <row r="2912" customFormat="false" ht="12.75" hidden="false" customHeight="true" outlineLevel="0" collapsed="false">
      <c r="A2912" s="3" t="s">
        <v>3674</v>
      </c>
      <c r="B2912" s="3" t="str">
        <f aca="false">IF(ISNUMBER(SEARCH("%", A2912)),RIGHT(A2912,3),A2912)</f>
        <v>20, 20, HOUNDOUR , &lt;null&gt;, &lt;null&gt;, &lt;null&gt;</v>
      </c>
      <c r="C2912" s="1" t="str">
        <f aca="false" t="array" ref="C2912:C2912">IF(B2911="NEW ROUTE",textsplit(B2912,","),"")</f>
        <v/>
      </c>
      <c r="H2912" s="1" t="str">
        <f aca="false">IF(C2912&lt;&gt;"",DEC2HEX(C2912,2),"")</f>
        <v/>
      </c>
      <c r="I2912" s="1" t="str">
        <f aca="false">IF(D2912&lt;&gt;"",DEC2HEX(D2912,2),"")</f>
        <v/>
      </c>
      <c r="J2912" s="1" t="str">
        <f aca="false">IF(H2912&lt;&gt;"","0x"&amp;I2912&amp;H2912,"")</f>
        <v/>
      </c>
      <c r="L2912" s="1" t="s">
        <v>3674</v>
      </c>
      <c r="M2912" s="1" t="str">
        <f aca="false">IF(J2912&lt;&gt;"",J2912,L2912)</f>
        <v>20, 20, HOUNDOUR , &lt;null&gt;, &lt;null&gt;, &lt;null&gt;</v>
      </c>
    </row>
    <row r="2913" customFormat="false" ht="12.75" hidden="false" customHeight="true" outlineLevel="0" collapsed="false">
      <c r="A2913" s="3" t="s">
        <v>2536</v>
      </c>
      <c r="B2913" s="3" t="str">
        <f aca="false">IF(ISNUMBER(SEARCH("%", A2913)),RIGHT(A2913,3),A2913)</f>
        <v>NEW ROUTE</v>
      </c>
      <c r="C2913" s="1" t="str">
        <f aca="false" t="array" ref="C2913:C2913">IF(B2912="NEW ROUTE",textsplit(B2913,","),"")</f>
        <v/>
      </c>
      <c r="H2913" s="1" t="str">
        <f aca="false">IF(C2913&lt;&gt;"",DEC2HEX(C2913,2),"")</f>
        <v/>
      </c>
      <c r="I2913" s="1" t="str">
        <f aca="false">IF(D2913&lt;&gt;"",DEC2HEX(D2913,2),"")</f>
        <v/>
      </c>
      <c r="J2913" s="1" t="str">
        <f aca="false">IF(H2913&lt;&gt;"","0x"&amp;I2913&amp;H2913,"")</f>
        <v/>
      </c>
      <c r="L2913" s="1" t="s">
        <v>2536</v>
      </c>
      <c r="M2913" s="1" t="str">
        <f aca="false">IF(J2913&lt;&gt;"",J2913,L2913)</f>
        <v>NEW ROUTE</v>
      </c>
    </row>
    <row r="2914" customFormat="false" ht="12.75" hidden="false" customHeight="true" outlineLevel="0" collapsed="false">
      <c r="A2914" s="3" t="s">
        <v>3649</v>
      </c>
      <c r="B2914" s="3" t="str">
        <f aca="false">IF(ISNUMBER(SEARCH("%", A2914)),RIGHT(A2914,3),A2914)</f>
        <v>1, 122, 0,</v>
      </c>
      <c r="C2914" s="1" t="e">
        <f aca="false" t="array" ref="C2914:C2914">IF(B2913="NEW ROUTE",textsplit(B2914,","),"")</f>
        <v>#NAME?</v>
      </c>
      <c r="H2914" s="1" t="e">
        <f aca="false">IF(C2914&lt;&gt;"",DEC2HEX(C2914,2),"")</f>
        <v>#NAME?</v>
      </c>
      <c r="I2914" s="1" t="str">
        <f aca="false">IF(D2914&lt;&gt;"",DEC2HEX(D2914,2),"")</f>
        <v/>
      </c>
      <c r="J2914" s="1" t="e">
        <f aca="false">IF(H2914&lt;&gt;"","0x"&amp;I2914&amp;H2914,"")</f>
        <v>#NAME?</v>
      </c>
      <c r="L2914" s="1" t="s">
        <v>3649</v>
      </c>
      <c r="M2914" s="1" t="e">
        <f aca="false">IF(J2914&lt;&gt;"",J2914,L2914)</f>
        <v>#NAME?</v>
      </c>
    </row>
    <row r="2915" customFormat="false" ht="12.75" hidden="false" customHeight="true" outlineLevel="0" collapsed="false">
      <c r="A2915" s="3" t="s">
        <v>2816</v>
      </c>
      <c r="B2915" s="3" t="str">
        <f aca="false">IF(ISNUMBER(SEARCH("%", A2915)),RIGHT(A2915,3),A2915)</f>
        <v>20%</v>
      </c>
      <c r="C2915" s="1" t="str">
        <f aca="false" t="array" ref="C2915:C2915">IF(B2914="NEW ROUTE",textsplit(B2915,","),"")</f>
        <v/>
      </c>
      <c r="H2915" s="1" t="str">
        <f aca="false">IF(C2915&lt;&gt;"",DEC2HEX(C2915,2),"")</f>
        <v/>
      </c>
      <c r="I2915" s="1" t="str">
        <f aca="false">IF(D2915&lt;&gt;"",DEC2HEX(D2915,2),"")</f>
        <v/>
      </c>
      <c r="J2915" s="1" t="str">
        <f aca="false">IF(H2915&lt;&gt;"","0x"&amp;I2915&amp;H2915,"")</f>
        <v/>
      </c>
      <c r="L2915" s="1" t="s">
        <v>2799</v>
      </c>
      <c r="M2915" s="1" t="str">
        <f aca="false">IF(J2915&lt;&gt;"",J2915,L2915)</f>
        <v>20%</v>
      </c>
    </row>
    <row r="2916" customFormat="false" ht="12.75" hidden="false" customHeight="true" outlineLevel="0" collapsed="false">
      <c r="A2916" s="3" t="s">
        <v>2171</v>
      </c>
      <c r="B2916" s="3" t="str">
        <f aca="false">IF(ISNUMBER(SEARCH("%", A2916)),RIGHT(A2916,3),A2916)</f>
        <v>22, 22, TEDDIURSA</v>
      </c>
      <c r="C2916" s="1" t="str">
        <f aca="false" t="array" ref="C2916:C2916">IF(B2915="NEW ROUTE",textsplit(B2916,","),"")</f>
        <v/>
      </c>
      <c r="H2916" s="1" t="str">
        <f aca="false">IF(C2916&lt;&gt;"",DEC2HEX(C2916,2),"")</f>
        <v/>
      </c>
      <c r="I2916" s="1" t="str">
        <f aca="false">IF(D2916&lt;&gt;"",DEC2HEX(D2916,2),"")</f>
        <v/>
      </c>
      <c r="J2916" s="1" t="str">
        <f aca="false">IF(H2916&lt;&gt;"","0x"&amp;I2916&amp;H2916,"")</f>
        <v/>
      </c>
      <c r="L2916" s="1" t="s">
        <v>2171</v>
      </c>
      <c r="M2916" s="1" t="str">
        <f aca="false">IF(J2916&lt;&gt;"",J2916,L2916)</f>
        <v>22, 22, TEDDIURSA</v>
      </c>
    </row>
    <row r="2917" customFormat="false" ht="12.75" hidden="false" customHeight="true" outlineLevel="0" collapsed="false">
      <c r="A2917" s="3" t="s">
        <v>3675</v>
      </c>
      <c r="B2917" s="3" t="str">
        <f aca="false">IF(ISNUMBER(SEARCH("%", A2917)),RIGHT(A2917,3),A2917)</f>
        <v>24, 24, TEDDIURSA</v>
      </c>
      <c r="C2917" s="1" t="str">
        <f aca="false" t="array" ref="C2917:C2917">IF(B2916="NEW ROUTE",textsplit(B2917,","),"")</f>
        <v/>
      </c>
      <c r="H2917" s="1" t="str">
        <f aca="false">IF(C2917&lt;&gt;"",DEC2HEX(C2917,2),"")</f>
        <v/>
      </c>
      <c r="I2917" s="1" t="str">
        <f aca="false">IF(D2917&lt;&gt;"",DEC2HEX(D2917,2),"")</f>
        <v/>
      </c>
      <c r="J2917" s="1" t="str">
        <f aca="false">IF(H2917&lt;&gt;"","0x"&amp;I2917&amp;H2917,"")</f>
        <v/>
      </c>
      <c r="L2917" s="1" t="s">
        <v>3675</v>
      </c>
      <c r="M2917" s="1" t="str">
        <f aca="false">IF(J2917&lt;&gt;"",J2917,L2917)</f>
        <v>24, 24, TEDDIURSA</v>
      </c>
    </row>
    <row r="2918" customFormat="false" ht="12.75" hidden="false" customHeight="true" outlineLevel="0" collapsed="false">
      <c r="A2918" s="3" t="s">
        <v>2801</v>
      </c>
      <c r="B2918" s="3" t="str">
        <f aca="false">IF(ISNUMBER(SEARCH("%", A2918)),RIGHT(A2918,3),A2918)</f>
        <v>0.1</v>
      </c>
      <c r="C2918" s="1" t="str">
        <f aca="false" t="array" ref="C2918:C2918">IF(B2917="NEW ROUTE",textsplit(B2918,","),"")</f>
        <v/>
      </c>
      <c r="H2918" s="1" t="str">
        <f aca="false">IF(C2918&lt;&gt;"",DEC2HEX(C2918,2),"")</f>
        <v/>
      </c>
      <c r="I2918" s="1" t="str">
        <f aca="false">IF(D2918&lt;&gt;"",DEC2HEX(D2918,2),"")</f>
        <v/>
      </c>
      <c r="J2918" s="1" t="str">
        <f aca="false">IF(H2918&lt;&gt;"","0x"&amp;I2918&amp;H2918,"")</f>
        <v/>
      </c>
      <c r="L2918" s="1" t="s">
        <v>2801</v>
      </c>
      <c r="M2918" s="1" t="str">
        <f aca="false">IF(J2918&lt;&gt;"",J2918,L2918)</f>
        <v>0.1</v>
      </c>
    </row>
    <row r="2919" customFormat="false" ht="12.75" hidden="false" customHeight="true" outlineLevel="0" collapsed="false">
      <c r="A2919" s="3" t="s">
        <v>3676</v>
      </c>
      <c r="B2919" s="3" t="str">
        <f aca="false">IF(ISNUMBER(SEARCH("%", A2919)),RIGHT(A2919,3),A2919)</f>
        <v>20, 20, TEDDIURSA</v>
      </c>
      <c r="C2919" s="1" t="str">
        <f aca="false" t="array" ref="C2919:C2919">IF(B2918="NEW ROUTE",textsplit(B2919,","),"")</f>
        <v/>
      </c>
      <c r="H2919" s="1" t="str">
        <f aca="false">IF(C2919&lt;&gt;"",DEC2HEX(C2919,2),"")</f>
        <v/>
      </c>
      <c r="I2919" s="1" t="str">
        <f aca="false">IF(D2919&lt;&gt;"",DEC2HEX(D2919,2),"")</f>
        <v/>
      </c>
      <c r="J2919" s="1" t="str">
        <f aca="false">IF(H2919&lt;&gt;"","0x"&amp;I2919&amp;H2919,"")</f>
        <v/>
      </c>
      <c r="L2919" s="1" t="s">
        <v>3676</v>
      </c>
      <c r="M2919" s="1" t="str">
        <f aca="false">IF(J2919&lt;&gt;"",J2919,L2919)</f>
        <v>20, 20, TEDDIURSA</v>
      </c>
    </row>
    <row r="2920" customFormat="false" ht="12.75" hidden="false" customHeight="true" outlineLevel="0" collapsed="false">
      <c r="A2920" s="3" t="s">
        <v>3677</v>
      </c>
      <c r="B2920" s="3" t="str">
        <f aca="false">IF(ISNUMBER(SEARCH("%", A2920)),RIGHT(A2920,3),A2920)</f>
        <v>26, 26, TEDDIURSA</v>
      </c>
      <c r="C2920" s="1" t="str">
        <f aca="false" t="array" ref="C2920:C2920">IF(B2919="NEW ROUTE",textsplit(B2920,","),"")</f>
        <v/>
      </c>
      <c r="H2920" s="1" t="str">
        <f aca="false">IF(C2920&lt;&gt;"",DEC2HEX(C2920,2),"")</f>
        <v/>
      </c>
      <c r="I2920" s="1" t="str">
        <f aca="false">IF(D2920&lt;&gt;"",DEC2HEX(D2920,2),"")</f>
        <v/>
      </c>
      <c r="J2920" s="1" t="str">
        <f aca="false">IF(H2920&lt;&gt;"","0x"&amp;I2920&amp;H2920,"")</f>
        <v/>
      </c>
      <c r="L2920" s="1" t="s">
        <v>3677</v>
      </c>
      <c r="M2920" s="1" t="str">
        <f aca="false">IF(J2920&lt;&gt;"",J2920,L2920)</f>
        <v>26, 26, TEDDIURSA</v>
      </c>
    </row>
    <row r="2921" customFormat="false" ht="12.75" hidden="false" customHeight="true" outlineLevel="0" collapsed="false">
      <c r="A2921" s="3" t="s">
        <v>2171</v>
      </c>
      <c r="B2921" s="3" t="str">
        <f aca="false">IF(ISNUMBER(SEARCH("%", A2921)),RIGHT(A2921,3),A2921)</f>
        <v>22, 22, TEDDIURSA</v>
      </c>
      <c r="C2921" s="1" t="str">
        <f aca="false" t="array" ref="C2921:C2921">IF(B2920="NEW ROUTE",textsplit(B2921,","),"")</f>
        <v/>
      </c>
      <c r="H2921" s="1" t="str">
        <f aca="false">IF(C2921&lt;&gt;"",DEC2HEX(C2921,2),"")</f>
        <v/>
      </c>
      <c r="I2921" s="1" t="str">
        <f aca="false">IF(D2921&lt;&gt;"",DEC2HEX(D2921,2),"")</f>
        <v/>
      </c>
      <c r="J2921" s="1" t="str">
        <f aca="false">IF(H2921&lt;&gt;"","0x"&amp;I2921&amp;H2921,"")</f>
        <v/>
      </c>
      <c r="L2921" s="1" t="s">
        <v>2171</v>
      </c>
      <c r="M2921" s="1" t="str">
        <f aca="false">IF(J2921&lt;&gt;"",J2921,L2921)</f>
        <v>22, 22, TEDDIURSA</v>
      </c>
    </row>
    <row r="2922" customFormat="false" ht="12.75" hidden="false" customHeight="true" outlineLevel="0" collapsed="false">
      <c r="A2922" s="3" t="s">
        <v>3675</v>
      </c>
      <c r="B2922" s="3" t="str">
        <f aca="false">IF(ISNUMBER(SEARCH("%", A2922)),RIGHT(A2922,3),A2922)</f>
        <v>24, 24, TEDDIURSA</v>
      </c>
      <c r="C2922" s="1" t="str">
        <f aca="false" t="array" ref="C2922:C2922">IF(B2921="NEW ROUTE",textsplit(B2922,","),"")</f>
        <v/>
      </c>
      <c r="H2922" s="1" t="str">
        <f aca="false">IF(C2922&lt;&gt;"",DEC2HEX(C2922,2),"")</f>
        <v/>
      </c>
      <c r="I2922" s="1" t="str">
        <f aca="false">IF(D2922&lt;&gt;"",DEC2HEX(D2922,2),"")</f>
        <v/>
      </c>
      <c r="J2922" s="1" t="str">
        <f aca="false">IF(H2922&lt;&gt;"","0x"&amp;I2922&amp;H2922,"")</f>
        <v/>
      </c>
      <c r="L2922" s="1" t="s">
        <v>3675</v>
      </c>
      <c r="M2922" s="1" t="str">
        <f aca="false">IF(J2922&lt;&gt;"",J2922,L2922)</f>
        <v>24, 24, TEDDIURSA</v>
      </c>
    </row>
    <row r="2923" customFormat="false" ht="12.75" hidden="false" customHeight="true" outlineLevel="0" collapsed="false">
      <c r="A2923" s="3" t="s">
        <v>2806</v>
      </c>
      <c r="B2923" s="3" t="str">
        <f aca="false">IF(ISNUMBER(SEARCH("%", A2923)),RIGHT(A2923,3),A2923)</f>
        <v>0.05</v>
      </c>
      <c r="C2923" s="1" t="str">
        <f aca="false" t="array" ref="C2923:C2923">IF(B2922="NEW ROUTE",textsplit(B2923,","),"")</f>
        <v/>
      </c>
      <c r="H2923" s="1" t="str">
        <f aca="false">IF(C2923&lt;&gt;"",DEC2HEX(C2923,2),"")</f>
        <v/>
      </c>
      <c r="I2923" s="1" t="str">
        <f aca="false">IF(D2923&lt;&gt;"",DEC2HEX(D2923,2),"")</f>
        <v/>
      </c>
      <c r="J2923" s="1" t="str">
        <f aca="false">IF(H2923&lt;&gt;"","0x"&amp;I2923&amp;H2923,"")</f>
        <v/>
      </c>
      <c r="L2923" s="1" t="s">
        <v>2806</v>
      </c>
      <c r="M2923" s="1" t="str">
        <f aca="false">IF(J2923&lt;&gt;"",J2923,L2923)</f>
        <v>0.05</v>
      </c>
    </row>
    <row r="2924" customFormat="false" ht="12.75" hidden="false" customHeight="true" outlineLevel="0" collapsed="false">
      <c r="A2924" s="3" t="s">
        <v>3678</v>
      </c>
      <c r="B2924" s="3" t="str">
        <f aca="false">IF(ISNUMBER(SEARCH("%", A2924)),RIGHT(A2924,3),A2924)</f>
        <v>28, 28, TEDDIURSA</v>
      </c>
      <c r="C2924" s="1" t="str">
        <f aca="false" t="array" ref="C2924:C2924">IF(B2923="NEW ROUTE",textsplit(B2924,","),"")</f>
        <v/>
      </c>
      <c r="H2924" s="1" t="str">
        <f aca="false">IF(C2924&lt;&gt;"",DEC2HEX(C2924,2),"")</f>
        <v/>
      </c>
      <c r="I2924" s="1" t="str">
        <f aca="false">IF(D2924&lt;&gt;"",DEC2HEX(D2924,2),"")</f>
        <v/>
      </c>
      <c r="J2924" s="1" t="str">
        <f aca="false">IF(H2924&lt;&gt;"","0x"&amp;I2924&amp;H2924,"")</f>
        <v/>
      </c>
      <c r="L2924" s="1" t="s">
        <v>3678</v>
      </c>
      <c r="M2924" s="1" t="str">
        <f aca="false">IF(J2924&lt;&gt;"",J2924,L2924)</f>
        <v>28, 28, TEDDIURSA</v>
      </c>
    </row>
    <row r="2925" customFormat="false" ht="12.75" hidden="false" customHeight="true" outlineLevel="0" collapsed="false">
      <c r="A2925" s="3" t="s">
        <v>3679</v>
      </c>
      <c r="B2925" s="3" t="str">
        <f aca="false">IF(ISNUMBER(SEARCH("%", A2925)),RIGHT(A2925,3),A2925)</f>
        <v>18, 18, TEDDIURSA</v>
      </c>
      <c r="C2925" s="1" t="str">
        <f aca="false" t="array" ref="C2925:C2925">IF(B2924="NEW ROUTE",textsplit(B2925,","),"")</f>
        <v/>
      </c>
      <c r="H2925" s="1" t="str">
        <f aca="false">IF(C2925&lt;&gt;"",DEC2HEX(C2925,2),"")</f>
        <v/>
      </c>
      <c r="I2925" s="1" t="str">
        <f aca="false">IF(D2925&lt;&gt;"",DEC2HEX(D2925,2),"")</f>
        <v/>
      </c>
      <c r="J2925" s="1" t="str">
        <f aca="false">IF(H2925&lt;&gt;"","0x"&amp;I2925&amp;H2925,"")</f>
        <v/>
      </c>
      <c r="L2925" s="1" t="s">
        <v>3679</v>
      </c>
      <c r="M2925" s="1" t="str">
        <f aca="false">IF(J2925&lt;&gt;"",J2925,L2925)</f>
        <v>18, 18, TEDDIURSA</v>
      </c>
    </row>
    <row r="2926" customFormat="false" ht="12.75" hidden="false" customHeight="true" outlineLevel="0" collapsed="false">
      <c r="A2926" s="3" t="s">
        <v>2809</v>
      </c>
      <c r="B2926" s="3" t="str">
        <f aca="false">IF(ISNUMBER(SEARCH("%", A2926)),RIGHT(A2926,3),A2926)</f>
        <v>0.04</v>
      </c>
      <c r="C2926" s="1" t="str">
        <f aca="false" t="array" ref="C2926:C2926">IF(B2925="NEW ROUTE",textsplit(B2926,","),"")</f>
        <v/>
      </c>
      <c r="H2926" s="1" t="str">
        <f aca="false">IF(C2926&lt;&gt;"",DEC2HEX(C2926,2),"")</f>
        <v/>
      </c>
      <c r="I2926" s="1" t="str">
        <f aca="false">IF(D2926&lt;&gt;"",DEC2HEX(D2926,2),"")</f>
        <v/>
      </c>
      <c r="J2926" s="1" t="str">
        <f aca="false">IF(H2926&lt;&gt;"","0x"&amp;I2926&amp;H2926,"")</f>
        <v/>
      </c>
      <c r="L2926" s="1" t="s">
        <v>2809</v>
      </c>
      <c r="M2926" s="1" t="str">
        <f aca="false">IF(J2926&lt;&gt;"",J2926,L2926)</f>
        <v>0.04</v>
      </c>
    </row>
    <row r="2927" customFormat="false" ht="12.75" hidden="false" customHeight="true" outlineLevel="0" collapsed="false">
      <c r="A2927" s="3" t="s">
        <v>3676</v>
      </c>
      <c r="B2927" s="3" t="str">
        <f aca="false">IF(ISNUMBER(SEARCH("%", A2927)),RIGHT(A2927,3),A2927)</f>
        <v>20, 20, TEDDIURSA</v>
      </c>
      <c r="C2927" s="1" t="str">
        <f aca="false" t="array" ref="C2927:C2927">IF(B2926="NEW ROUTE",textsplit(B2927,","),"")</f>
        <v/>
      </c>
      <c r="H2927" s="1" t="str">
        <f aca="false">IF(C2927&lt;&gt;"",DEC2HEX(C2927,2),"")</f>
        <v/>
      </c>
      <c r="I2927" s="1" t="str">
        <f aca="false">IF(D2927&lt;&gt;"",DEC2HEX(D2927,2),"")</f>
        <v/>
      </c>
      <c r="J2927" s="1" t="str">
        <f aca="false">IF(H2927&lt;&gt;"","0x"&amp;I2927&amp;H2927,"")</f>
        <v/>
      </c>
      <c r="L2927" s="1" t="s">
        <v>3676</v>
      </c>
      <c r="M2927" s="1" t="str">
        <f aca="false">IF(J2927&lt;&gt;"",J2927,L2927)</f>
        <v>20, 20, TEDDIURSA</v>
      </c>
    </row>
    <row r="2928" customFormat="false" ht="12.75" hidden="false" customHeight="true" outlineLevel="0" collapsed="false">
      <c r="A2928" s="3" t="s">
        <v>3677</v>
      </c>
      <c r="B2928" s="3" t="str">
        <f aca="false">IF(ISNUMBER(SEARCH("%", A2928)),RIGHT(A2928,3),A2928)</f>
        <v>26, 26, TEDDIURSA</v>
      </c>
      <c r="C2928" s="1" t="str">
        <f aca="false" t="array" ref="C2928:C2928">IF(B2927="NEW ROUTE",textsplit(B2928,","),"")</f>
        <v/>
      </c>
      <c r="H2928" s="1" t="str">
        <f aca="false">IF(C2928&lt;&gt;"",DEC2HEX(C2928,2),"")</f>
        <v/>
      </c>
      <c r="I2928" s="1" t="str">
        <f aca="false">IF(D2928&lt;&gt;"",DEC2HEX(D2928,2),"")</f>
        <v/>
      </c>
      <c r="J2928" s="1" t="str">
        <f aca="false">IF(H2928&lt;&gt;"","0x"&amp;I2928&amp;H2928,"")</f>
        <v/>
      </c>
      <c r="L2928" s="1" t="s">
        <v>3677</v>
      </c>
      <c r="M2928" s="1" t="str">
        <f aca="false">IF(J2928&lt;&gt;"",J2928,L2928)</f>
        <v>26, 26, TEDDIURSA</v>
      </c>
    </row>
    <row r="2929" customFormat="false" ht="12.75" hidden="false" customHeight="true" outlineLevel="0" collapsed="false">
      <c r="A2929" s="3" t="s">
        <v>2812</v>
      </c>
      <c r="B2929" s="3" t="str">
        <f aca="false">IF(ISNUMBER(SEARCH("%", A2929)),RIGHT(A2929,3),A2929)</f>
        <v>0.01</v>
      </c>
      <c r="C2929" s="1" t="str">
        <f aca="false" t="array" ref="C2929:C2929">IF(B2928="NEW ROUTE",textsplit(B2929,","),"")</f>
        <v/>
      </c>
      <c r="H2929" s="1" t="str">
        <f aca="false">IF(C2929&lt;&gt;"",DEC2HEX(C2929,2),"")</f>
        <v/>
      </c>
      <c r="I2929" s="1" t="str">
        <f aca="false">IF(D2929&lt;&gt;"",DEC2HEX(D2929,2),"")</f>
        <v/>
      </c>
      <c r="J2929" s="1" t="str">
        <f aca="false">IF(H2929&lt;&gt;"","0x"&amp;I2929&amp;H2929,"")</f>
        <v/>
      </c>
      <c r="L2929" s="1" t="s">
        <v>2812</v>
      </c>
      <c r="M2929" s="1" t="str">
        <f aca="false">IF(J2929&lt;&gt;"",J2929,L2929)</f>
        <v>0.01</v>
      </c>
    </row>
    <row r="2930" customFormat="false" ht="12.75" hidden="false" customHeight="true" outlineLevel="0" collapsed="false">
      <c r="A2930" s="3" t="s">
        <v>3676</v>
      </c>
      <c r="B2930" s="3" t="str">
        <f aca="false">IF(ISNUMBER(SEARCH("%", A2930)),RIGHT(A2930,3),A2930)</f>
        <v>20, 20, TEDDIURSA</v>
      </c>
      <c r="C2930" s="1" t="str">
        <f aca="false" t="array" ref="C2930:C2930">IF(B2929="NEW ROUTE",textsplit(B2930,","),"")</f>
        <v/>
      </c>
      <c r="H2930" s="1" t="str">
        <f aca="false">IF(C2930&lt;&gt;"",DEC2HEX(C2930,2),"")</f>
        <v/>
      </c>
      <c r="I2930" s="1" t="str">
        <f aca="false">IF(D2930&lt;&gt;"",DEC2HEX(D2930,2),"")</f>
        <v/>
      </c>
      <c r="J2930" s="1" t="str">
        <f aca="false">IF(H2930&lt;&gt;"","0x"&amp;I2930&amp;H2930,"")</f>
        <v/>
      </c>
      <c r="L2930" s="1" t="s">
        <v>3676</v>
      </c>
      <c r="M2930" s="1" t="str">
        <f aca="false">IF(J2930&lt;&gt;"",J2930,L2930)</f>
        <v>20, 20, TEDDIURSA</v>
      </c>
    </row>
    <row r="2931" customFormat="false" ht="12.75" hidden="false" customHeight="true" outlineLevel="0" collapsed="false">
      <c r="A2931" s="3" t="s">
        <v>3680</v>
      </c>
      <c r="B2931" s="3" t="str">
        <f aca="false">IF(ISNUMBER(SEARCH("%", A2931)),RIGHT(A2931,3),A2931)</f>
        <v>26, 26, TEDDIURSA , &lt;null&gt;, &lt;null&gt;, &lt;null&gt;</v>
      </c>
      <c r="C2931" s="1" t="str">
        <f aca="false" t="array" ref="C2931:C2931">IF(B2930="NEW ROUTE",textsplit(B2931,","),"")</f>
        <v/>
      </c>
      <c r="H2931" s="1" t="str">
        <f aca="false">IF(C2931&lt;&gt;"",DEC2HEX(C2931,2),"")</f>
        <v/>
      </c>
      <c r="I2931" s="1" t="str">
        <f aca="false">IF(D2931&lt;&gt;"",DEC2HEX(D2931,2),"")</f>
        <v/>
      </c>
      <c r="J2931" s="1" t="str">
        <f aca="false">IF(H2931&lt;&gt;"","0x"&amp;I2931&amp;H2931,"")</f>
        <v/>
      </c>
      <c r="L2931" s="1" t="s">
        <v>3680</v>
      </c>
      <c r="M2931" s="1" t="str">
        <f aca="false">IF(J2931&lt;&gt;"",J2931,L2931)</f>
        <v>26, 26, TEDDIURSA , &lt;null&gt;, &lt;null&gt;, &lt;null&gt;</v>
      </c>
    </row>
    <row r="2932" customFormat="false" ht="12.75" hidden="false" customHeight="true" outlineLevel="0" collapsed="false">
      <c r="A2932" s="3" t="s">
        <v>2536</v>
      </c>
      <c r="B2932" s="3" t="str">
        <f aca="false">IF(ISNUMBER(SEARCH("%", A2932)),RIGHT(A2932,3),A2932)</f>
        <v>NEW ROUTE</v>
      </c>
      <c r="C2932" s="1" t="str">
        <f aca="false" t="array" ref="C2932:C2932">IF(B2931="NEW ROUTE",textsplit(B2932,","),"")</f>
        <v/>
      </c>
      <c r="H2932" s="1" t="str">
        <f aca="false">IF(C2932&lt;&gt;"",DEC2HEX(C2932,2),"")</f>
        <v/>
      </c>
      <c r="I2932" s="1" t="str">
        <f aca="false">IF(D2932&lt;&gt;"",DEC2HEX(D2932,2),"")</f>
        <v/>
      </c>
      <c r="J2932" s="1" t="str">
        <f aca="false">IF(H2932&lt;&gt;"","0x"&amp;I2932&amp;H2932,"")</f>
        <v/>
      </c>
      <c r="L2932" s="1" t="s">
        <v>2536</v>
      </c>
      <c r="M2932" s="1" t="str">
        <f aca="false">IF(J2932&lt;&gt;"",J2932,L2932)</f>
        <v>NEW ROUTE</v>
      </c>
    </row>
    <row r="2933" customFormat="false" ht="12.75" hidden="false" customHeight="true" outlineLevel="0" collapsed="false">
      <c r="A2933" s="3" t="s">
        <v>3649</v>
      </c>
      <c r="B2933" s="3" t="str">
        <f aca="false">IF(ISNUMBER(SEARCH("%", A2933)),RIGHT(A2933,3),A2933)</f>
        <v>1, 122, 0,</v>
      </c>
      <c r="C2933" s="1" t="e">
        <f aca="false" t="array" ref="C2933:C2933">IF(B2932="NEW ROUTE",textsplit(B2933,","),"")</f>
        <v>#NAME?</v>
      </c>
      <c r="H2933" s="1" t="e">
        <f aca="false">IF(C2933&lt;&gt;"",DEC2HEX(C2933,2),"")</f>
        <v>#NAME?</v>
      </c>
      <c r="I2933" s="1" t="str">
        <f aca="false">IF(D2933&lt;&gt;"",DEC2HEX(D2933,2),"")</f>
        <v/>
      </c>
      <c r="J2933" s="1" t="e">
        <f aca="false">IF(H2933&lt;&gt;"","0x"&amp;I2933&amp;H2933,"")</f>
        <v>#NAME?</v>
      </c>
      <c r="L2933" s="1" t="s">
        <v>3649</v>
      </c>
      <c r="M2933" s="1" t="e">
        <f aca="false">IF(J2933&lt;&gt;"",J2933,L2933)</f>
        <v>#NAME?</v>
      </c>
    </row>
    <row r="2934" customFormat="false" ht="12.75" hidden="false" customHeight="true" outlineLevel="0" collapsed="false">
      <c r="A2934" s="3" t="s">
        <v>2816</v>
      </c>
      <c r="B2934" s="3" t="str">
        <f aca="false">IF(ISNUMBER(SEARCH("%", A2934)),RIGHT(A2934,3),A2934)</f>
        <v>20%</v>
      </c>
      <c r="C2934" s="1" t="str">
        <f aca="false" t="array" ref="C2934:C2934">IF(B2933="NEW ROUTE",textsplit(B2934,","),"")</f>
        <v/>
      </c>
      <c r="H2934" s="1" t="str">
        <f aca="false">IF(C2934&lt;&gt;"",DEC2HEX(C2934,2),"")</f>
        <v/>
      </c>
      <c r="I2934" s="1" t="str">
        <f aca="false">IF(D2934&lt;&gt;"",DEC2HEX(D2934,2),"")</f>
        <v/>
      </c>
      <c r="J2934" s="1" t="str">
        <f aca="false">IF(H2934&lt;&gt;"","0x"&amp;I2934&amp;H2934,"")</f>
        <v/>
      </c>
      <c r="L2934" s="1" t="s">
        <v>2799</v>
      </c>
      <c r="M2934" s="1" t="str">
        <f aca="false">IF(J2934&lt;&gt;"",J2934,L2934)</f>
        <v>20%</v>
      </c>
    </row>
    <row r="2935" customFormat="false" ht="12.75" hidden="false" customHeight="true" outlineLevel="0" collapsed="false">
      <c r="A2935" s="3" t="s">
        <v>2179</v>
      </c>
      <c r="B2935" s="3" t="str">
        <f aca="false">IF(ISNUMBER(SEARCH("%", A2935)),RIGHT(A2935,3),A2935)</f>
        <v>22, 22, AIPOM</v>
      </c>
      <c r="C2935" s="1" t="str">
        <f aca="false" t="array" ref="C2935:C2935">IF(B2934="NEW ROUTE",textsplit(B2935,","),"")</f>
        <v/>
      </c>
      <c r="H2935" s="1" t="str">
        <f aca="false">IF(C2935&lt;&gt;"",DEC2HEX(C2935,2),"")</f>
        <v/>
      </c>
      <c r="I2935" s="1" t="str">
        <f aca="false">IF(D2935&lt;&gt;"",DEC2HEX(D2935,2),"")</f>
        <v/>
      </c>
      <c r="J2935" s="1" t="str">
        <f aca="false">IF(H2935&lt;&gt;"","0x"&amp;I2935&amp;H2935,"")</f>
        <v/>
      </c>
      <c r="L2935" s="1" t="s">
        <v>2179</v>
      </c>
      <c r="M2935" s="1" t="str">
        <f aca="false">IF(J2935&lt;&gt;"",J2935,L2935)</f>
        <v>22, 22, AIPOM</v>
      </c>
    </row>
    <row r="2936" customFormat="false" ht="12.75" hidden="false" customHeight="true" outlineLevel="0" collapsed="false">
      <c r="A2936" s="3" t="s">
        <v>3681</v>
      </c>
      <c r="B2936" s="3" t="str">
        <f aca="false">IF(ISNUMBER(SEARCH("%", A2936)),RIGHT(A2936,3),A2936)</f>
        <v>24, 24, AIPOM</v>
      </c>
      <c r="C2936" s="1" t="str">
        <f aca="false" t="array" ref="C2936:C2936">IF(B2935="NEW ROUTE",textsplit(B2936,","),"")</f>
        <v/>
      </c>
      <c r="H2936" s="1" t="str">
        <f aca="false">IF(C2936&lt;&gt;"",DEC2HEX(C2936,2),"")</f>
        <v/>
      </c>
      <c r="I2936" s="1" t="str">
        <f aca="false">IF(D2936&lt;&gt;"",DEC2HEX(D2936,2),"")</f>
        <v/>
      </c>
      <c r="J2936" s="1" t="str">
        <f aca="false">IF(H2936&lt;&gt;"","0x"&amp;I2936&amp;H2936,"")</f>
        <v/>
      </c>
      <c r="L2936" s="1" t="s">
        <v>3681</v>
      </c>
      <c r="M2936" s="1" t="str">
        <f aca="false">IF(J2936&lt;&gt;"",J2936,L2936)</f>
        <v>24, 24, AIPOM</v>
      </c>
    </row>
    <row r="2937" customFormat="false" ht="12.75" hidden="false" customHeight="true" outlineLevel="0" collapsed="false">
      <c r="A2937" s="3" t="s">
        <v>2801</v>
      </c>
      <c r="B2937" s="3" t="str">
        <f aca="false">IF(ISNUMBER(SEARCH("%", A2937)),RIGHT(A2937,3),A2937)</f>
        <v>0.1</v>
      </c>
      <c r="C2937" s="1" t="str">
        <f aca="false" t="array" ref="C2937:C2937">IF(B2936="NEW ROUTE",textsplit(B2937,","),"")</f>
        <v/>
      </c>
      <c r="H2937" s="1" t="str">
        <f aca="false">IF(C2937&lt;&gt;"",DEC2HEX(C2937,2),"")</f>
        <v/>
      </c>
      <c r="I2937" s="1" t="str">
        <f aca="false">IF(D2937&lt;&gt;"",DEC2HEX(D2937,2),"")</f>
        <v/>
      </c>
      <c r="J2937" s="1" t="str">
        <f aca="false">IF(H2937&lt;&gt;"","0x"&amp;I2937&amp;H2937,"")</f>
        <v/>
      </c>
      <c r="L2937" s="1" t="s">
        <v>2801</v>
      </c>
      <c r="M2937" s="1" t="str">
        <f aca="false">IF(J2937&lt;&gt;"",J2937,L2937)</f>
        <v>0.1</v>
      </c>
    </row>
    <row r="2938" customFormat="false" ht="12.75" hidden="false" customHeight="true" outlineLevel="0" collapsed="false">
      <c r="A2938" s="3" t="s">
        <v>3682</v>
      </c>
      <c r="B2938" s="3" t="str">
        <f aca="false">IF(ISNUMBER(SEARCH("%", A2938)),RIGHT(A2938,3),A2938)</f>
        <v>20, 20, AIPOM</v>
      </c>
      <c r="C2938" s="1" t="str">
        <f aca="false" t="array" ref="C2938:C2938">IF(B2937="NEW ROUTE",textsplit(B2938,","),"")</f>
        <v/>
      </c>
      <c r="H2938" s="1" t="str">
        <f aca="false">IF(C2938&lt;&gt;"",DEC2HEX(C2938,2),"")</f>
        <v/>
      </c>
      <c r="I2938" s="1" t="str">
        <f aca="false">IF(D2938&lt;&gt;"",DEC2HEX(D2938,2),"")</f>
        <v/>
      </c>
      <c r="J2938" s="1" t="str">
        <f aca="false">IF(H2938&lt;&gt;"","0x"&amp;I2938&amp;H2938,"")</f>
        <v/>
      </c>
      <c r="L2938" s="1" t="s">
        <v>3682</v>
      </c>
      <c r="M2938" s="1" t="str">
        <f aca="false">IF(J2938&lt;&gt;"",J2938,L2938)</f>
        <v>20, 20, AIPOM</v>
      </c>
    </row>
    <row r="2939" customFormat="false" ht="12.75" hidden="false" customHeight="true" outlineLevel="0" collapsed="false">
      <c r="A2939" s="3" t="s">
        <v>3683</v>
      </c>
      <c r="B2939" s="3" t="str">
        <f aca="false">IF(ISNUMBER(SEARCH("%", A2939)),RIGHT(A2939,3),A2939)</f>
        <v>26, 26, AIPOM</v>
      </c>
      <c r="C2939" s="1" t="str">
        <f aca="false" t="array" ref="C2939:C2939">IF(B2938="NEW ROUTE",textsplit(B2939,","),"")</f>
        <v/>
      </c>
      <c r="H2939" s="1" t="str">
        <f aca="false">IF(C2939&lt;&gt;"",DEC2HEX(C2939,2),"")</f>
        <v/>
      </c>
      <c r="I2939" s="1" t="str">
        <f aca="false">IF(D2939&lt;&gt;"",DEC2HEX(D2939,2),"")</f>
        <v/>
      </c>
      <c r="J2939" s="1" t="str">
        <f aca="false">IF(H2939&lt;&gt;"","0x"&amp;I2939&amp;H2939,"")</f>
        <v/>
      </c>
      <c r="L2939" s="1" t="s">
        <v>3683</v>
      </c>
      <c r="M2939" s="1" t="str">
        <f aca="false">IF(J2939&lt;&gt;"",J2939,L2939)</f>
        <v>26, 26, AIPOM</v>
      </c>
    </row>
    <row r="2940" customFormat="false" ht="12.75" hidden="false" customHeight="true" outlineLevel="0" collapsed="false">
      <c r="A2940" s="3" t="s">
        <v>2179</v>
      </c>
      <c r="B2940" s="3" t="str">
        <f aca="false">IF(ISNUMBER(SEARCH("%", A2940)),RIGHT(A2940,3),A2940)</f>
        <v>22, 22, AIPOM</v>
      </c>
      <c r="C2940" s="1" t="str">
        <f aca="false" t="array" ref="C2940:C2940">IF(B2939="NEW ROUTE",textsplit(B2940,","),"")</f>
        <v/>
      </c>
      <c r="H2940" s="1" t="str">
        <f aca="false">IF(C2940&lt;&gt;"",DEC2HEX(C2940,2),"")</f>
        <v/>
      </c>
      <c r="I2940" s="1" t="str">
        <f aca="false">IF(D2940&lt;&gt;"",DEC2HEX(D2940,2),"")</f>
        <v/>
      </c>
      <c r="J2940" s="1" t="str">
        <f aca="false">IF(H2940&lt;&gt;"","0x"&amp;I2940&amp;H2940,"")</f>
        <v/>
      </c>
      <c r="L2940" s="1" t="s">
        <v>2179</v>
      </c>
      <c r="M2940" s="1" t="str">
        <f aca="false">IF(J2940&lt;&gt;"",J2940,L2940)</f>
        <v>22, 22, AIPOM</v>
      </c>
    </row>
    <row r="2941" customFormat="false" ht="12.75" hidden="false" customHeight="true" outlineLevel="0" collapsed="false">
      <c r="A2941" s="3" t="s">
        <v>3681</v>
      </c>
      <c r="B2941" s="3" t="str">
        <f aca="false">IF(ISNUMBER(SEARCH("%", A2941)),RIGHT(A2941,3),A2941)</f>
        <v>24, 24, AIPOM</v>
      </c>
      <c r="C2941" s="1" t="str">
        <f aca="false" t="array" ref="C2941:C2941">IF(B2940="NEW ROUTE",textsplit(B2941,","),"")</f>
        <v/>
      </c>
      <c r="H2941" s="1" t="str">
        <f aca="false">IF(C2941&lt;&gt;"",DEC2HEX(C2941,2),"")</f>
        <v/>
      </c>
      <c r="I2941" s="1" t="str">
        <f aca="false">IF(D2941&lt;&gt;"",DEC2HEX(D2941,2),"")</f>
        <v/>
      </c>
      <c r="J2941" s="1" t="str">
        <f aca="false">IF(H2941&lt;&gt;"","0x"&amp;I2941&amp;H2941,"")</f>
        <v/>
      </c>
      <c r="L2941" s="1" t="s">
        <v>3681</v>
      </c>
      <c r="M2941" s="1" t="str">
        <f aca="false">IF(J2941&lt;&gt;"",J2941,L2941)</f>
        <v>24, 24, AIPOM</v>
      </c>
    </row>
    <row r="2942" customFormat="false" ht="12.75" hidden="false" customHeight="true" outlineLevel="0" collapsed="false">
      <c r="A2942" s="3" t="s">
        <v>2806</v>
      </c>
      <c r="B2942" s="3" t="str">
        <f aca="false">IF(ISNUMBER(SEARCH("%", A2942)),RIGHT(A2942,3),A2942)</f>
        <v>0.05</v>
      </c>
      <c r="C2942" s="1" t="str">
        <f aca="false" t="array" ref="C2942:C2942">IF(B2941="NEW ROUTE",textsplit(B2942,","),"")</f>
        <v/>
      </c>
      <c r="H2942" s="1" t="str">
        <f aca="false">IF(C2942&lt;&gt;"",DEC2HEX(C2942,2),"")</f>
        <v/>
      </c>
      <c r="I2942" s="1" t="str">
        <f aca="false">IF(D2942&lt;&gt;"",DEC2HEX(D2942,2),"")</f>
        <v/>
      </c>
      <c r="J2942" s="1" t="str">
        <f aca="false">IF(H2942&lt;&gt;"","0x"&amp;I2942&amp;H2942,"")</f>
        <v/>
      </c>
      <c r="L2942" s="1" t="s">
        <v>2806</v>
      </c>
      <c r="M2942" s="1" t="str">
        <f aca="false">IF(J2942&lt;&gt;"",J2942,L2942)</f>
        <v>0.05</v>
      </c>
    </row>
    <row r="2943" customFormat="false" ht="12.75" hidden="false" customHeight="true" outlineLevel="0" collapsed="false">
      <c r="A2943" s="3" t="s">
        <v>3684</v>
      </c>
      <c r="B2943" s="3" t="str">
        <f aca="false">IF(ISNUMBER(SEARCH("%", A2943)),RIGHT(A2943,3),A2943)</f>
        <v>28, 28, AIPOM</v>
      </c>
      <c r="C2943" s="1" t="str">
        <f aca="false" t="array" ref="C2943:C2943">IF(B2942="NEW ROUTE",textsplit(B2943,","),"")</f>
        <v/>
      </c>
      <c r="H2943" s="1" t="str">
        <f aca="false">IF(C2943&lt;&gt;"",DEC2HEX(C2943,2),"")</f>
        <v/>
      </c>
      <c r="I2943" s="1" t="str">
        <f aca="false">IF(D2943&lt;&gt;"",DEC2HEX(D2943,2),"")</f>
        <v/>
      </c>
      <c r="J2943" s="1" t="str">
        <f aca="false">IF(H2943&lt;&gt;"","0x"&amp;I2943&amp;H2943,"")</f>
        <v/>
      </c>
      <c r="L2943" s="1" t="s">
        <v>3684</v>
      </c>
      <c r="M2943" s="1" t="str">
        <f aca="false">IF(J2943&lt;&gt;"",J2943,L2943)</f>
        <v>28, 28, AIPOM</v>
      </c>
    </row>
    <row r="2944" customFormat="false" ht="12.75" hidden="false" customHeight="true" outlineLevel="0" collapsed="false">
      <c r="A2944" s="3" t="s">
        <v>3685</v>
      </c>
      <c r="B2944" s="3" t="str">
        <f aca="false">IF(ISNUMBER(SEARCH("%", A2944)),RIGHT(A2944,3),A2944)</f>
        <v>18, 18, AIPOM</v>
      </c>
      <c r="C2944" s="1" t="str">
        <f aca="false" t="array" ref="C2944:C2944">IF(B2943="NEW ROUTE",textsplit(B2944,","),"")</f>
        <v/>
      </c>
      <c r="H2944" s="1" t="str">
        <f aca="false">IF(C2944&lt;&gt;"",DEC2HEX(C2944,2),"")</f>
        <v/>
      </c>
      <c r="I2944" s="1" t="str">
        <f aca="false">IF(D2944&lt;&gt;"",DEC2HEX(D2944,2),"")</f>
        <v/>
      </c>
      <c r="J2944" s="1" t="str">
        <f aca="false">IF(H2944&lt;&gt;"","0x"&amp;I2944&amp;H2944,"")</f>
        <v/>
      </c>
      <c r="L2944" s="1" t="s">
        <v>3685</v>
      </c>
      <c r="M2944" s="1" t="str">
        <f aca="false">IF(J2944&lt;&gt;"",J2944,L2944)</f>
        <v>18, 18, AIPOM</v>
      </c>
    </row>
    <row r="2945" customFormat="false" ht="12.75" hidden="false" customHeight="true" outlineLevel="0" collapsed="false">
      <c r="A2945" s="3" t="s">
        <v>2809</v>
      </c>
      <c r="B2945" s="3" t="str">
        <f aca="false">IF(ISNUMBER(SEARCH("%", A2945)),RIGHT(A2945,3),A2945)</f>
        <v>0.04</v>
      </c>
      <c r="C2945" s="1" t="str">
        <f aca="false" t="array" ref="C2945:C2945">IF(B2944="NEW ROUTE",textsplit(B2945,","),"")</f>
        <v/>
      </c>
      <c r="H2945" s="1" t="str">
        <f aca="false">IF(C2945&lt;&gt;"",DEC2HEX(C2945,2),"")</f>
        <v/>
      </c>
      <c r="I2945" s="1" t="str">
        <f aca="false">IF(D2945&lt;&gt;"",DEC2HEX(D2945,2),"")</f>
        <v/>
      </c>
      <c r="J2945" s="1" t="str">
        <f aca="false">IF(H2945&lt;&gt;"","0x"&amp;I2945&amp;H2945,"")</f>
        <v/>
      </c>
      <c r="L2945" s="1" t="s">
        <v>2809</v>
      </c>
      <c r="M2945" s="1" t="str">
        <f aca="false">IF(J2945&lt;&gt;"",J2945,L2945)</f>
        <v>0.04</v>
      </c>
    </row>
    <row r="2946" customFormat="false" ht="12.75" hidden="false" customHeight="true" outlineLevel="0" collapsed="false">
      <c r="A2946" s="3" t="s">
        <v>3682</v>
      </c>
      <c r="B2946" s="3" t="str">
        <f aca="false">IF(ISNUMBER(SEARCH("%", A2946)),RIGHT(A2946,3),A2946)</f>
        <v>20, 20, AIPOM</v>
      </c>
      <c r="C2946" s="1" t="str">
        <f aca="false" t="array" ref="C2946:C2946">IF(B2945="NEW ROUTE",textsplit(B2946,","),"")</f>
        <v/>
      </c>
      <c r="H2946" s="1" t="str">
        <f aca="false">IF(C2946&lt;&gt;"",DEC2HEX(C2946,2),"")</f>
        <v/>
      </c>
      <c r="I2946" s="1" t="str">
        <f aca="false">IF(D2946&lt;&gt;"",DEC2HEX(D2946,2),"")</f>
        <v/>
      </c>
      <c r="J2946" s="1" t="str">
        <f aca="false">IF(H2946&lt;&gt;"","0x"&amp;I2946&amp;H2946,"")</f>
        <v/>
      </c>
      <c r="L2946" s="1" t="s">
        <v>3682</v>
      </c>
      <c r="M2946" s="1" t="str">
        <f aca="false">IF(J2946&lt;&gt;"",J2946,L2946)</f>
        <v>20, 20, AIPOM</v>
      </c>
    </row>
    <row r="2947" customFormat="false" ht="12.75" hidden="false" customHeight="true" outlineLevel="0" collapsed="false">
      <c r="A2947" s="3" t="s">
        <v>3683</v>
      </c>
      <c r="B2947" s="3" t="str">
        <f aca="false">IF(ISNUMBER(SEARCH("%", A2947)),RIGHT(A2947,3),A2947)</f>
        <v>26, 26, AIPOM</v>
      </c>
      <c r="C2947" s="1" t="str">
        <f aca="false" t="array" ref="C2947:C2947">IF(B2946="NEW ROUTE",textsplit(B2947,","),"")</f>
        <v/>
      </c>
      <c r="H2947" s="1" t="str">
        <f aca="false">IF(C2947&lt;&gt;"",DEC2HEX(C2947,2),"")</f>
        <v/>
      </c>
      <c r="I2947" s="1" t="str">
        <f aca="false">IF(D2947&lt;&gt;"",DEC2HEX(D2947,2),"")</f>
        <v/>
      </c>
      <c r="J2947" s="1" t="str">
        <f aca="false">IF(H2947&lt;&gt;"","0x"&amp;I2947&amp;H2947,"")</f>
        <v/>
      </c>
      <c r="L2947" s="1" t="s">
        <v>3683</v>
      </c>
      <c r="M2947" s="1" t="str">
        <f aca="false">IF(J2947&lt;&gt;"",J2947,L2947)</f>
        <v>26, 26, AIPOM</v>
      </c>
    </row>
    <row r="2948" customFormat="false" ht="12.75" hidden="false" customHeight="true" outlineLevel="0" collapsed="false">
      <c r="A2948" s="3" t="s">
        <v>2812</v>
      </c>
      <c r="B2948" s="3" t="str">
        <f aca="false">IF(ISNUMBER(SEARCH("%", A2948)),RIGHT(A2948,3),A2948)</f>
        <v>0.01</v>
      </c>
      <c r="C2948" s="1" t="str">
        <f aca="false" t="array" ref="C2948:C2948">IF(B2947="NEW ROUTE",textsplit(B2948,","),"")</f>
        <v/>
      </c>
      <c r="H2948" s="1" t="str">
        <f aca="false">IF(C2948&lt;&gt;"",DEC2HEX(C2948,2),"")</f>
        <v/>
      </c>
      <c r="I2948" s="1" t="str">
        <f aca="false">IF(D2948&lt;&gt;"",DEC2HEX(D2948,2),"")</f>
        <v/>
      </c>
      <c r="J2948" s="1" t="str">
        <f aca="false">IF(H2948&lt;&gt;"","0x"&amp;I2948&amp;H2948,"")</f>
        <v/>
      </c>
      <c r="L2948" s="1" t="s">
        <v>2812</v>
      </c>
      <c r="M2948" s="1" t="str">
        <f aca="false">IF(J2948&lt;&gt;"",J2948,L2948)</f>
        <v>0.01</v>
      </c>
    </row>
    <row r="2949" customFormat="false" ht="12.75" hidden="false" customHeight="true" outlineLevel="0" collapsed="false">
      <c r="A2949" s="3" t="s">
        <v>3682</v>
      </c>
      <c r="B2949" s="3" t="str">
        <f aca="false">IF(ISNUMBER(SEARCH("%", A2949)),RIGHT(A2949,3),A2949)</f>
        <v>20, 20, AIPOM</v>
      </c>
      <c r="C2949" s="1" t="str">
        <f aca="false" t="array" ref="C2949:C2949">IF(B2948="NEW ROUTE",textsplit(B2949,","),"")</f>
        <v/>
      </c>
      <c r="H2949" s="1" t="str">
        <f aca="false">IF(C2949&lt;&gt;"",DEC2HEX(C2949,2),"")</f>
        <v/>
      </c>
      <c r="I2949" s="1" t="str">
        <f aca="false">IF(D2949&lt;&gt;"",DEC2HEX(D2949,2),"")</f>
        <v/>
      </c>
      <c r="J2949" s="1" t="str">
        <f aca="false">IF(H2949&lt;&gt;"","0x"&amp;I2949&amp;H2949,"")</f>
        <v/>
      </c>
      <c r="L2949" s="1" t="s">
        <v>3682</v>
      </c>
      <c r="M2949" s="1" t="str">
        <f aca="false">IF(J2949&lt;&gt;"",J2949,L2949)</f>
        <v>20, 20, AIPOM</v>
      </c>
    </row>
    <row r="2950" customFormat="false" ht="12.75" hidden="false" customHeight="true" outlineLevel="0" collapsed="false">
      <c r="A2950" s="3" t="s">
        <v>3686</v>
      </c>
      <c r="B2950" s="3" t="str">
        <f aca="false">IF(ISNUMBER(SEARCH("%", A2950)),RIGHT(A2950,3),A2950)</f>
        <v>26, 26, AIPOM , &lt;null&gt;, &lt;null&gt;, &lt;null&gt;</v>
      </c>
      <c r="C2950" s="1" t="str">
        <f aca="false" t="array" ref="C2950:C2950">IF(B2949="NEW ROUTE",textsplit(B2950,","),"")</f>
        <v/>
      </c>
      <c r="H2950" s="1" t="str">
        <f aca="false">IF(C2950&lt;&gt;"",DEC2HEX(C2950,2),"")</f>
        <v/>
      </c>
      <c r="I2950" s="1" t="str">
        <f aca="false">IF(D2950&lt;&gt;"",DEC2HEX(D2950,2),"")</f>
        <v/>
      </c>
      <c r="J2950" s="1" t="str">
        <f aca="false">IF(H2950&lt;&gt;"","0x"&amp;I2950&amp;H2950,"")</f>
        <v/>
      </c>
      <c r="L2950" s="1" t="s">
        <v>3686</v>
      </c>
      <c r="M2950" s="1" t="str">
        <f aca="false">IF(J2950&lt;&gt;"",J2950,L2950)</f>
        <v>26, 26, AIPOM , &lt;null&gt;, &lt;null&gt;, &lt;null&gt;</v>
      </c>
    </row>
    <row r="2951" customFormat="false" ht="12.75" hidden="false" customHeight="true" outlineLevel="0" collapsed="false">
      <c r="A2951" s="3" t="s">
        <v>2536</v>
      </c>
      <c r="B2951" s="3" t="str">
        <f aca="false">IF(ISNUMBER(SEARCH("%", A2951)),RIGHT(A2951,3),A2951)</f>
        <v>NEW ROUTE</v>
      </c>
      <c r="C2951" s="1" t="str">
        <f aca="false" t="array" ref="C2951:C2951">IF(B2950="NEW ROUTE",textsplit(B2951,","),"")</f>
        <v/>
      </c>
      <c r="H2951" s="1" t="str">
        <f aca="false">IF(C2951&lt;&gt;"",DEC2HEX(C2951,2),"")</f>
        <v/>
      </c>
      <c r="I2951" s="1" t="str">
        <f aca="false">IF(D2951&lt;&gt;"",DEC2HEX(D2951,2),"")</f>
        <v/>
      </c>
      <c r="J2951" s="1" t="str">
        <f aca="false">IF(H2951&lt;&gt;"","0x"&amp;I2951&amp;H2951,"")</f>
        <v/>
      </c>
      <c r="L2951" s="1" t="s">
        <v>2536</v>
      </c>
      <c r="M2951" s="1" t="str">
        <f aca="false">IF(J2951&lt;&gt;"",J2951,L2951)</f>
        <v>NEW ROUTE</v>
      </c>
    </row>
    <row r="2952" customFormat="false" ht="12.75" hidden="false" customHeight="true" outlineLevel="0" collapsed="false">
      <c r="A2952" s="3" t="s">
        <v>3649</v>
      </c>
      <c r="B2952" s="3" t="str">
        <f aca="false">IF(ISNUMBER(SEARCH("%", A2952)),RIGHT(A2952,3),A2952)</f>
        <v>1, 122, 0,</v>
      </c>
      <c r="C2952" s="1" t="e">
        <f aca="false" t="array" ref="C2952:C2952">IF(B2951="NEW ROUTE",textsplit(B2952,","),"")</f>
        <v>#NAME?</v>
      </c>
      <c r="H2952" s="1" t="e">
        <f aca="false">IF(C2952&lt;&gt;"",DEC2HEX(C2952,2),"")</f>
        <v>#NAME?</v>
      </c>
      <c r="I2952" s="1" t="str">
        <f aca="false">IF(D2952&lt;&gt;"",DEC2HEX(D2952,2),"")</f>
        <v/>
      </c>
      <c r="J2952" s="1" t="e">
        <f aca="false">IF(H2952&lt;&gt;"","0x"&amp;I2952&amp;H2952,"")</f>
        <v>#NAME?</v>
      </c>
      <c r="L2952" s="1" t="s">
        <v>3649</v>
      </c>
      <c r="M2952" s="1" t="e">
        <f aca="false">IF(J2952&lt;&gt;"",J2952,L2952)</f>
        <v>#NAME?</v>
      </c>
    </row>
    <row r="2953" customFormat="false" ht="12.75" hidden="false" customHeight="true" outlineLevel="0" collapsed="false">
      <c r="A2953" s="3" t="s">
        <v>2816</v>
      </c>
      <c r="B2953" s="3" t="str">
        <f aca="false">IF(ISNUMBER(SEARCH("%", A2953)),RIGHT(A2953,3),A2953)</f>
        <v>20%</v>
      </c>
      <c r="C2953" s="1" t="str">
        <f aca="false" t="array" ref="C2953:C2953">IF(B2952="NEW ROUTE",textsplit(B2953,","),"")</f>
        <v/>
      </c>
      <c r="H2953" s="1" t="str">
        <f aca="false">IF(C2953&lt;&gt;"",DEC2HEX(C2953,2),"")</f>
        <v/>
      </c>
      <c r="I2953" s="1" t="str">
        <f aca="false">IF(D2953&lt;&gt;"",DEC2HEX(D2953,2),"")</f>
        <v/>
      </c>
      <c r="J2953" s="1" t="str">
        <f aca="false">IF(H2953&lt;&gt;"","0x"&amp;I2953&amp;H2953,"")</f>
        <v/>
      </c>
      <c r="L2953" s="1" t="s">
        <v>2799</v>
      </c>
      <c r="M2953" s="1" t="str">
        <f aca="false">IF(J2953&lt;&gt;"",J2953,L2953)</f>
        <v>20%</v>
      </c>
    </row>
    <row r="2954" customFormat="false" ht="12.75" hidden="false" customHeight="true" outlineLevel="0" collapsed="false">
      <c r="A2954" s="3" t="s">
        <v>2187</v>
      </c>
      <c r="B2954" s="3" t="str">
        <f aca="false">IF(ISNUMBER(SEARCH("%", A2954)),RIGHT(A2954,3),A2954)</f>
        <v>22, 22, SHUCKLE</v>
      </c>
      <c r="C2954" s="1" t="str">
        <f aca="false" t="array" ref="C2954:C2954">IF(B2953="NEW ROUTE",textsplit(B2954,","),"")</f>
        <v/>
      </c>
      <c r="H2954" s="1" t="str">
        <f aca="false">IF(C2954&lt;&gt;"",DEC2HEX(C2954,2),"")</f>
        <v/>
      </c>
      <c r="I2954" s="1" t="str">
        <f aca="false">IF(D2954&lt;&gt;"",DEC2HEX(D2954,2),"")</f>
        <v/>
      </c>
      <c r="J2954" s="1" t="str">
        <f aca="false">IF(H2954&lt;&gt;"","0x"&amp;I2954&amp;H2954,"")</f>
        <v/>
      </c>
      <c r="L2954" s="1" t="s">
        <v>2187</v>
      </c>
      <c r="M2954" s="1" t="str">
        <f aca="false">IF(J2954&lt;&gt;"",J2954,L2954)</f>
        <v>22, 22, SHUCKLE</v>
      </c>
    </row>
    <row r="2955" customFormat="false" ht="12.75" hidden="false" customHeight="true" outlineLevel="0" collapsed="false">
      <c r="A2955" s="3" t="s">
        <v>3687</v>
      </c>
      <c r="B2955" s="3" t="str">
        <f aca="false">IF(ISNUMBER(SEARCH("%", A2955)),RIGHT(A2955,3),A2955)</f>
        <v>24, 24, SHUCKLE</v>
      </c>
      <c r="C2955" s="1" t="str">
        <f aca="false" t="array" ref="C2955:C2955">IF(B2954="NEW ROUTE",textsplit(B2955,","),"")</f>
        <v/>
      </c>
      <c r="H2955" s="1" t="str">
        <f aca="false">IF(C2955&lt;&gt;"",DEC2HEX(C2955,2),"")</f>
        <v/>
      </c>
      <c r="I2955" s="1" t="str">
        <f aca="false">IF(D2955&lt;&gt;"",DEC2HEX(D2955,2),"")</f>
        <v/>
      </c>
      <c r="J2955" s="1" t="str">
        <f aca="false">IF(H2955&lt;&gt;"","0x"&amp;I2955&amp;H2955,"")</f>
        <v/>
      </c>
      <c r="L2955" s="1" t="s">
        <v>3687</v>
      </c>
      <c r="M2955" s="1" t="str">
        <f aca="false">IF(J2955&lt;&gt;"",J2955,L2955)</f>
        <v>24, 24, SHUCKLE</v>
      </c>
    </row>
    <row r="2956" customFormat="false" ht="12.75" hidden="false" customHeight="true" outlineLevel="0" collapsed="false">
      <c r="A2956" s="3" t="s">
        <v>2801</v>
      </c>
      <c r="B2956" s="3" t="str">
        <f aca="false">IF(ISNUMBER(SEARCH("%", A2956)),RIGHT(A2956,3),A2956)</f>
        <v>0.1</v>
      </c>
      <c r="C2956" s="1" t="str">
        <f aca="false" t="array" ref="C2956:C2956">IF(B2955="NEW ROUTE",textsplit(B2956,","),"")</f>
        <v/>
      </c>
      <c r="H2956" s="1" t="str">
        <f aca="false">IF(C2956&lt;&gt;"",DEC2HEX(C2956,2),"")</f>
        <v/>
      </c>
      <c r="I2956" s="1" t="str">
        <f aca="false">IF(D2956&lt;&gt;"",DEC2HEX(D2956,2),"")</f>
        <v/>
      </c>
      <c r="J2956" s="1" t="str">
        <f aca="false">IF(H2956&lt;&gt;"","0x"&amp;I2956&amp;H2956,"")</f>
        <v/>
      </c>
      <c r="L2956" s="1" t="s">
        <v>2801</v>
      </c>
      <c r="M2956" s="1" t="str">
        <f aca="false">IF(J2956&lt;&gt;"",J2956,L2956)</f>
        <v>0.1</v>
      </c>
    </row>
    <row r="2957" customFormat="false" ht="12.75" hidden="false" customHeight="true" outlineLevel="0" collapsed="false">
      <c r="A2957" s="3" t="s">
        <v>3688</v>
      </c>
      <c r="B2957" s="3" t="str">
        <f aca="false">IF(ISNUMBER(SEARCH("%", A2957)),RIGHT(A2957,3),A2957)</f>
        <v>20, 20, SHUCKLE</v>
      </c>
      <c r="C2957" s="1" t="str">
        <f aca="false" t="array" ref="C2957:C2957">IF(B2956="NEW ROUTE",textsplit(B2957,","),"")</f>
        <v/>
      </c>
      <c r="H2957" s="1" t="str">
        <f aca="false">IF(C2957&lt;&gt;"",DEC2HEX(C2957,2),"")</f>
        <v/>
      </c>
      <c r="I2957" s="1" t="str">
        <f aca="false">IF(D2957&lt;&gt;"",DEC2HEX(D2957,2),"")</f>
        <v/>
      </c>
      <c r="J2957" s="1" t="str">
        <f aca="false">IF(H2957&lt;&gt;"","0x"&amp;I2957&amp;H2957,"")</f>
        <v/>
      </c>
      <c r="L2957" s="1" t="s">
        <v>3688</v>
      </c>
      <c r="M2957" s="1" t="str">
        <f aca="false">IF(J2957&lt;&gt;"",J2957,L2957)</f>
        <v>20, 20, SHUCKLE</v>
      </c>
    </row>
    <row r="2958" customFormat="false" ht="12.75" hidden="false" customHeight="true" outlineLevel="0" collapsed="false">
      <c r="A2958" s="3" t="s">
        <v>3689</v>
      </c>
      <c r="B2958" s="3" t="str">
        <f aca="false">IF(ISNUMBER(SEARCH("%", A2958)),RIGHT(A2958,3),A2958)</f>
        <v>26, 26, SHUCKLE</v>
      </c>
      <c r="C2958" s="1" t="str">
        <f aca="false" t="array" ref="C2958:C2958">IF(B2957="NEW ROUTE",textsplit(B2958,","),"")</f>
        <v/>
      </c>
      <c r="H2958" s="1" t="str">
        <f aca="false">IF(C2958&lt;&gt;"",DEC2HEX(C2958,2),"")</f>
        <v/>
      </c>
      <c r="I2958" s="1" t="str">
        <f aca="false">IF(D2958&lt;&gt;"",DEC2HEX(D2958,2),"")</f>
        <v/>
      </c>
      <c r="J2958" s="1" t="str">
        <f aca="false">IF(H2958&lt;&gt;"","0x"&amp;I2958&amp;H2958,"")</f>
        <v/>
      </c>
      <c r="L2958" s="1" t="s">
        <v>3689</v>
      </c>
      <c r="M2958" s="1" t="str">
        <f aca="false">IF(J2958&lt;&gt;"",J2958,L2958)</f>
        <v>26, 26, SHUCKLE</v>
      </c>
    </row>
    <row r="2959" customFormat="false" ht="12.75" hidden="false" customHeight="true" outlineLevel="0" collapsed="false">
      <c r="A2959" s="3" t="s">
        <v>2187</v>
      </c>
      <c r="B2959" s="3" t="str">
        <f aca="false">IF(ISNUMBER(SEARCH("%", A2959)),RIGHT(A2959,3),A2959)</f>
        <v>22, 22, SHUCKLE</v>
      </c>
      <c r="C2959" s="1" t="str">
        <f aca="false" t="array" ref="C2959:C2959">IF(B2958="NEW ROUTE",textsplit(B2959,","),"")</f>
        <v/>
      </c>
      <c r="H2959" s="1" t="str">
        <f aca="false">IF(C2959&lt;&gt;"",DEC2HEX(C2959,2),"")</f>
        <v/>
      </c>
      <c r="I2959" s="1" t="str">
        <f aca="false">IF(D2959&lt;&gt;"",DEC2HEX(D2959,2),"")</f>
        <v/>
      </c>
      <c r="J2959" s="1" t="str">
        <f aca="false">IF(H2959&lt;&gt;"","0x"&amp;I2959&amp;H2959,"")</f>
        <v/>
      </c>
      <c r="L2959" s="1" t="s">
        <v>2187</v>
      </c>
      <c r="M2959" s="1" t="str">
        <f aca="false">IF(J2959&lt;&gt;"",J2959,L2959)</f>
        <v>22, 22, SHUCKLE</v>
      </c>
    </row>
    <row r="2960" customFormat="false" ht="12.75" hidden="false" customHeight="true" outlineLevel="0" collapsed="false">
      <c r="A2960" s="3" t="s">
        <v>3687</v>
      </c>
      <c r="B2960" s="3" t="str">
        <f aca="false">IF(ISNUMBER(SEARCH("%", A2960)),RIGHT(A2960,3),A2960)</f>
        <v>24, 24, SHUCKLE</v>
      </c>
      <c r="C2960" s="1" t="str">
        <f aca="false" t="array" ref="C2960:C2960">IF(B2959="NEW ROUTE",textsplit(B2960,","),"")</f>
        <v/>
      </c>
      <c r="H2960" s="1" t="str">
        <f aca="false">IF(C2960&lt;&gt;"",DEC2HEX(C2960,2),"")</f>
        <v/>
      </c>
      <c r="I2960" s="1" t="str">
        <f aca="false">IF(D2960&lt;&gt;"",DEC2HEX(D2960,2),"")</f>
        <v/>
      </c>
      <c r="J2960" s="1" t="str">
        <f aca="false">IF(H2960&lt;&gt;"","0x"&amp;I2960&amp;H2960,"")</f>
        <v/>
      </c>
      <c r="L2960" s="1" t="s">
        <v>3687</v>
      </c>
      <c r="M2960" s="1" t="str">
        <f aca="false">IF(J2960&lt;&gt;"",J2960,L2960)</f>
        <v>24, 24, SHUCKLE</v>
      </c>
    </row>
    <row r="2961" customFormat="false" ht="12.75" hidden="false" customHeight="true" outlineLevel="0" collapsed="false">
      <c r="A2961" s="3" t="s">
        <v>2806</v>
      </c>
      <c r="B2961" s="3" t="str">
        <f aca="false">IF(ISNUMBER(SEARCH("%", A2961)),RIGHT(A2961,3),A2961)</f>
        <v>0.05</v>
      </c>
      <c r="C2961" s="1" t="str">
        <f aca="false" t="array" ref="C2961:C2961">IF(B2960="NEW ROUTE",textsplit(B2961,","),"")</f>
        <v/>
      </c>
      <c r="H2961" s="1" t="str">
        <f aca="false">IF(C2961&lt;&gt;"",DEC2HEX(C2961,2),"")</f>
        <v/>
      </c>
      <c r="I2961" s="1" t="str">
        <f aca="false">IF(D2961&lt;&gt;"",DEC2HEX(D2961,2),"")</f>
        <v/>
      </c>
      <c r="J2961" s="1" t="str">
        <f aca="false">IF(H2961&lt;&gt;"","0x"&amp;I2961&amp;H2961,"")</f>
        <v/>
      </c>
      <c r="L2961" s="1" t="s">
        <v>2806</v>
      </c>
      <c r="M2961" s="1" t="str">
        <f aca="false">IF(J2961&lt;&gt;"",J2961,L2961)</f>
        <v>0.05</v>
      </c>
    </row>
    <row r="2962" customFormat="false" ht="12.75" hidden="false" customHeight="true" outlineLevel="0" collapsed="false">
      <c r="A2962" s="3" t="s">
        <v>3690</v>
      </c>
      <c r="B2962" s="3" t="str">
        <f aca="false">IF(ISNUMBER(SEARCH("%", A2962)),RIGHT(A2962,3),A2962)</f>
        <v>28, 28, SHUCKLE</v>
      </c>
      <c r="C2962" s="1" t="str">
        <f aca="false" t="array" ref="C2962:C2962">IF(B2961="NEW ROUTE",textsplit(B2962,","),"")</f>
        <v/>
      </c>
      <c r="H2962" s="1" t="str">
        <f aca="false">IF(C2962&lt;&gt;"",DEC2HEX(C2962,2),"")</f>
        <v/>
      </c>
      <c r="I2962" s="1" t="str">
        <f aca="false">IF(D2962&lt;&gt;"",DEC2HEX(D2962,2),"")</f>
        <v/>
      </c>
      <c r="J2962" s="1" t="str">
        <f aca="false">IF(H2962&lt;&gt;"","0x"&amp;I2962&amp;H2962,"")</f>
        <v/>
      </c>
      <c r="L2962" s="1" t="s">
        <v>3690</v>
      </c>
      <c r="M2962" s="1" t="str">
        <f aca="false">IF(J2962&lt;&gt;"",J2962,L2962)</f>
        <v>28, 28, SHUCKLE</v>
      </c>
    </row>
    <row r="2963" customFormat="false" ht="12.75" hidden="false" customHeight="true" outlineLevel="0" collapsed="false">
      <c r="A2963" s="3" t="s">
        <v>3691</v>
      </c>
      <c r="B2963" s="3" t="str">
        <f aca="false">IF(ISNUMBER(SEARCH("%", A2963)),RIGHT(A2963,3),A2963)</f>
        <v>18, 18, SHUCKLE</v>
      </c>
      <c r="C2963" s="1" t="str">
        <f aca="false" t="array" ref="C2963:C2963">IF(B2962="NEW ROUTE",textsplit(B2963,","),"")</f>
        <v/>
      </c>
      <c r="H2963" s="1" t="str">
        <f aca="false">IF(C2963&lt;&gt;"",DEC2HEX(C2963,2),"")</f>
        <v/>
      </c>
      <c r="I2963" s="1" t="str">
        <f aca="false">IF(D2963&lt;&gt;"",DEC2HEX(D2963,2),"")</f>
        <v/>
      </c>
      <c r="J2963" s="1" t="str">
        <f aca="false">IF(H2963&lt;&gt;"","0x"&amp;I2963&amp;H2963,"")</f>
        <v/>
      </c>
      <c r="L2963" s="1" t="s">
        <v>3691</v>
      </c>
      <c r="M2963" s="1" t="str">
        <f aca="false">IF(J2963&lt;&gt;"",J2963,L2963)</f>
        <v>18, 18, SHUCKLE</v>
      </c>
    </row>
    <row r="2964" customFormat="false" ht="12.75" hidden="false" customHeight="true" outlineLevel="0" collapsed="false">
      <c r="A2964" s="3" t="s">
        <v>2809</v>
      </c>
      <c r="B2964" s="3" t="str">
        <f aca="false">IF(ISNUMBER(SEARCH("%", A2964)),RIGHT(A2964,3),A2964)</f>
        <v>0.04</v>
      </c>
      <c r="C2964" s="1" t="str">
        <f aca="false" t="array" ref="C2964:C2964">IF(B2963="NEW ROUTE",textsplit(B2964,","),"")</f>
        <v/>
      </c>
      <c r="H2964" s="1" t="str">
        <f aca="false">IF(C2964&lt;&gt;"",DEC2HEX(C2964,2),"")</f>
        <v/>
      </c>
      <c r="I2964" s="1" t="str">
        <f aca="false">IF(D2964&lt;&gt;"",DEC2HEX(D2964,2),"")</f>
        <v/>
      </c>
      <c r="J2964" s="1" t="str">
        <f aca="false">IF(H2964&lt;&gt;"","0x"&amp;I2964&amp;H2964,"")</f>
        <v/>
      </c>
      <c r="L2964" s="1" t="s">
        <v>2809</v>
      </c>
      <c r="M2964" s="1" t="str">
        <f aca="false">IF(J2964&lt;&gt;"",J2964,L2964)</f>
        <v>0.04</v>
      </c>
    </row>
    <row r="2965" customFormat="false" ht="12.75" hidden="false" customHeight="true" outlineLevel="0" collapsed="false">
      <c r="A2965" s="3" t="s">
        <v>3688</v>
      </c>
      <c r="B2965" s="3" t="str">
        <f aca="false">IF(ISNUMBER(SEARCH("%", A2965)),RIGHT(A2965,3),A2965)</f>
        <v>20, 20, SHUCKLE</v>
      </c>
      <c r="C2965" s="1" t="str">
        <f aca="false" t="array" ref="C2965:C2965">IF(B2964="NEW ROUTE",textsplit(B2965,","),"")</f>
        <v/>
      </c>
      <c r="H2965" s="1" t="str">
        <f aca="false">IF(C2965&lt;&gt;"",DEC2HEX(C2965,2),"")</f>
        <v/>
      </c>
      <c r="I2965" s="1" t="str">
        <f aca="false">IF(D2965&lt;&gt;"",DEC2HEX(D2965,2),"")</f>
        <v/>
      </c>
      <c r="J2965" s="1" t="str">
        <f aca="false">IF(H2965&lt;&gt;"","0x"&amp;I2965&amp;H2965,"")</f>
        <v/>
      </c>
      <c r="L2965" s="1" t="s">
        <v>3688</v>
      </c>
      <c r="M2965" s="1" t="str">
        <f aca="false">IF(J2965&lt;&gt;"",J2965,L2965)</f>
        <v>20, 20, SHUCKLE</v>
      </c>
    </row>
    <row r="2966" customFormat="false" ht="12.75" hidden="false" customHeight="true" outlineLevel="0" collapsed="false">
      <c r="A2966" s="3" t="s">
        <v>3689</v>
      </c>
      <c r="B2966" s="3" t="str">
        <f aca="false">IF(ISNUMBER(SEARCH("%", A2966)),RIGHT(A2966,3),A2966)</f>
        <v>26, 26, SHUCKLE</v>
      </c>
      <c r="C2966" s="1" t="str">
        <f aca="false" t="array" ref="C2966:C2966">IF(B2965="NEW ROUTE",textsplit(B2966,","),"")</f>
        <v/>
      </c>
      <c r="H2966" s="1" t="str">
        <f aca="false">IF(C2966&lt;&gt;"",DEC2HEX(C2966,2),"")</f>
        <v/>
      </c>
      <c r="I2966" s="1" t="str">
        <f aca="false">IF(D2966&lt;&gt;"",DEC2HEX(D2966,2),"")</f>
        <v/>
      </c>
      <c r="J2966" s="1" t="str">
        <f aca="false">IF(H2966&lt;&gt;"","0x"&amp;I2966&amp;H2966,"")</f>
        <v/>
      </c>
      <c r="L2966" s="1" t="s">
        <v>3689</v>
      </c>
      <c r="M2966" s="1" t="str">
        <f aca="false">IF(J2966&lt;&gt;"",J2966,L2966)</f>
        <v>26, 26, SHUCKLE</v>
      </c>
    </row>
    <row r="2967" customFormat="false" ht="12.75" hidden="false" customHeight="true" outlineLevel="0" collapsed="false">
      <c r="A2967" s="3" t="s">
        <v>2812</v>
      </c>
      <c r="B2967" s="3" t="str">
        <f aca="false">IF(ISNUMBER(SEARCH("%", A2967)),RIGHT(A2967,3),A2967)</f>
        <v>0.01</v>
      </c>
      <c r="C2967" s="1" t="str">
        <f aca="false" t="array" ref="C2967:C2967">IF(B2966="NEW ROUTE",textsplit(B2967,","),"")</f>
        <v/>
      </c>
      <c r="H2967" s="1" t="str">
        <f aca="false">IF(C2967&lt;&gt;"",DEC2HEX(C2967,2),"")</f>
        <v/>
      </c>
      <c r="I2967" s="1" t="str">
        <f aca="false">IF(D2967&lt;&gt;"",DEC2HEX(D2967,2),"")</f>
        <v/>
      </c>
      <c r="J2967" s="1" t="str">
        <f aca="false">IF(H2967&lt;&gt;"","0x"&amp;I2967&amp;H2967,"")</f>
        <v/>
      </c>
      <c r="L2967" s="1" t="s">
        <v>2812</v>
      </c>
      <c r="M2967" s="1" t="str">
        <f aca="false">IF(J2967&lt;&gt;"",J2967,L2967)</f>
        <v>0.01</v>
      </c>
    </row>
    <row r="2968" customFormat="false" ht="12.75" hidden="false" customHeight="true" outlineLevel="0" collapsed="false">
      <c r="A2968" s="3" t="s">
        <v>3688</v>
      </c>
      <c r="B2968" s="3" t="str">
        <f aca="false">IF(ISNUMBER(SEARCH("%", A2968)),RIGHT(A2968,3),A2968)</f>
        <v>20, 20, SHUCKLE</v>
      </c>
      <c r="C2968" s="1" t="str">
        <f aca="false" t="array" ref="C2968:C2968">IF(B2967="NEW ROUTE",textsplit(B2968,","),"")</f>
        <v/>
      </c>
      <c r="H2968" s="1" t="str">
        <f aca="false">IF(C2968&lt;&gt;"",DEC2HEX(C2968,2),"")</f>
        <v/>
      </c>
      <c r="I2968" s="1" t="str">
        <f aca="false">IF(D2968&lt;&gt;"",DEC2HEX(D2968,2),"")</f>
        <v/>
      </c>
      <c r="J2968" s="1" t="str">
        <f aca="false">IF(H2968&lt;&gt;"","0x"&amp;I2968&amp;H2968,"")</f>
        <v/>
      </c>
      <c r="L2968" s="1" t="s">
        <v>3688</v>
      </c>
      <c r="M2968" s="1" t="str">
        <f aca="false">IF(J2968&lt;&gt;"",J2968,L2968)</f>
        <v>20, 20, SHUCKLE</v>
      </c>
    </row>
    <row r="2969" customFormat="false" ht="12.75" hidden="false" customHeight="true" outlineLevel="0" collapsed="false">
      <c r="A2969" s="3" t="s">
        <v>3692</v>
      </c>
      <c r="B2969" s="3" t="str">
        <f aca="false">IF(ISNUMBER(SEARCH("%", A2969)),RIGHT(A2969,3),A2969)</f>
        <v>26, 26, SHUCKLE , &lt;null&gt;, &lt;null&gt;, &lt;null&gt;</v>
      </c>
      <c r="C2969" s="1" t="str">
        <f aca="false" t="array" ref="C2969:C2969">IF(B2968="NEW ROUTE",textsplit(B2969,","),"")</f>
        <v/>
      </c>
      <c r="H2969" s="1" t="str">
        <f aca="false">IF(C2969&lt;&gt;"",DEC2HEX(C2969,2),"")</f>
        <v/>
      </c>
      <c r="I2969" s="1" t="str">
        <f aca="false">IF(D2969&lt;&gt;"",DEC2HEX(D2969,2),"")</f>
        <v/>
      </c>
      <c r="J2969" s="1" t="str">
        <f aca="false">IF(H2969&lt;&gt;"","0x"&amp;I2969&amp;H2969,"")</f>
        <v/>
      </c>
      <c r="L2969" s="1" t="s">
        <v>3692</v>
      </c>
      <c r="M2969" s="1" t="str">
        <f aca="false">IF(J2969&lt;&gt;"",J2969,L2969)</f>
        <v>26, 26, SHUCKLE , &lt;null&gt;, &lt;null&gt;, &lt;null&gt;</v>
      </c>
    </row>
    <row r="2970" customFormat="false" ht="12.75" hidden="false" customHeight="true" outlineLevel="0" collapsed="false">
      <c r="A2970" s="3" t="s">
        <v>2536</v>
      </c>
      <c r="B2970" s="3" t="str">
        <f aca="false">IF(ISNUMBER(SEARCH("%", A2970)),RIGHT(A2970,3),A2970)</f>
        <v>NEW ROUTE</v>
      </c>
      <c r="C2970" s="1" t="str">
        <f aca="false" t="array" ref="C2970:C2970">IF(B2969="NEW ROUTE",textsplit(B2970,","),"")</f>
        <v/>
      </c>
      <c r="H2970" s="1" t="str">
        <f aca="false">IF(C2970&lt;&gt;"",DEC2HEX(C2970,2),"")</f>
        <v/>
      </c>
      <c r="I2970" s="1" t="str">
        <f aca="false">IF(D2970&lt;&gt;"",DEC2HEX(D2970,2),"")</f>
        <v/>
      </c>
      <c r="J2970" s="1" t="str">
        <f aca="false">IF(H2970&lt;&gt;"","0x"&amp;I2970&amp;H2970,"")</f>
        <v/>
      </c>
      <c r="L2970" s="1" t="s">
        <v>2536</v>
      </c>
      <c r="M2970" s="1" t="str">
        <f aca="false">IF(J2970&lt;&gt;"",J2970,L2970)</f>
        <v>NEW ROUTE</v>
      </c>
    </row>
    <row r="2971" customFormat="false" ht="12.75" hidden="false" customHeight="true" outlineLevel="0" collapsed="false">
      <c r="A2971" s="3" t="s">
        <v>3649</v>
      </c>
      <c r="B2971" s="3" t="str">
        <f aca="false">IF(ISNUMBER(SEARCH("%", A2971)),RIGHT(A2971,3),A2971)</f>
        <v>1, 122, 0,</v>
      </c>
      <c r="C2971" s="1" t="e">
        <f aca="false" t="array" ref="C2971:C2971">IF(B2970="NEW ROUTE",textsplit(B2971,","),"")</f>
        <v>#NAME?</v>
      </c>
      <c r="H2971" s="1" t="e">
        <f aca="false">IF(C2971&lt;&gt;"",DEC2HEX(C2971,2),"")</f>
        <v>#NAME?</v>
      </c>
      <c r="I2971" s="1" t="str">
        <f aca="false">IF(D2971&lt;&gt;"",DEC2HEX(D2971,2),"")</f>
        <v/>
      </c>
      <c r="J2971" s="1" t="e">
        <f aca="false">IF(H2971&lt;&gt;"","0x"&amp;I2971&amp;H2971,"")</f>
        <v>#NAME?</v>
      </c>
      <c r="L2971" s="1" t="s">
        <v>3649</v>
      </c>
      <c r="M2971" s="1" t="e">
        <f aca="false">IF(J2971&lt;&gt;"",J2971,L2971)</f>
        <v>#NAME?</v>
      </c>
    </row>
    <row r="2972" customFormat="false" ht="12.75" hidden="false" customHeight="true" outlineLevel="0" collapsed="false">
      <c r="A2972" s="3" t="s">
        <v>2816</v>
      </c>
      <c r="B2972" s="3" t="str">
        <f aca="false">IF(ISNUMBER(SEARCH("%", A2972)),RIGHT(A2972,3),A2972)</f>
        <v>20%</v>
      </c>
      <c r="C2972" s="1" t="str">
        <f aca="false" t="array" ref="C2972:C2972">IF(B2971="NEW ROUTE",textsplit(B2972,","),"")</f>
        <v/>
      </c>
      <c r="H2972" s="1" t="str">
        <f aca="false">IF(C2972&lt;&gt;"",DEC2HEX(C2972,2),"")</f>
        <v/>
      </c>
      <c r="I2972" s="1" t="str">
        <f aca="false">IF(D2972&lt;&gt;"",DEC2HEX(D2972,2),"")</f>
        <v/>
      </c>
      <c r="J2972" s="1" t="str">
        <f aca="false">IF(H2972&lt;&gt;"","0x"&amp;I2972&amp;H2972,"")</f>
        <v/>
      </c>
      <c r="L2972" s="1" t="s">
        <v>2799</v>
      </c>
      <c r="M2972" s="1" t="str">
        <f aca="false">IF(J2972&lt;&gt;"",J2972,L2972)</f>
        <v>20%</v>
      </c>
    </row>
    <row r="2973" customFormat="false" ht="12.75" hidden="false" customHeight="true" outlineLevel="0" collapsed="false">
      <c r="A2973" s="3" t="s">
        <v>2195</v>
      </c>
      <c r="B2973" s="3" t="str">
        <f aca="false">IF(ISNUMBER(SEARCH("%", A2973)),RIGHT(A2973,3),A2973)</f>
        <v>22, 22, STANTLER</v>
      </c>
      <c r="C2973" s="1" t="str">
        <f aca="false" t="array" ref="C2973:C2973">IF(B2972="NEW ROUTE",textsplit(B2973,","),"")</f>
        <v/>
      </c>
      <c r="H2973" s="1" t="str">
        <f aca="false">IF(C2973&lt;&gt;"",DEC2HEX(C2973,2),"")</f>
        <v/>
      </c>
      <c r="I2973" s="1" t="str">
        <f aca="false">IF(D2973&lt;&gt;"",DEC2HEX(D2973,2),"")</f>
        <v/>
      </c>
      <c r="J2973" s="1" t="str">
        <f aca="false">IF(H2973&lt;&gt;"","0x"&amp;I2973&amp;H2973,"")</f>
        <v/>
      </c>
      <c r="L2973" s="1" t="s">
        <v>2195</v>
      </c>
      <c r="M2973" s="1" t="str">
        <f aca="false">IF(J2973&lt;&gt;"",J2973,L2973)</f>
        <v>22, 22, STANTLER</v>
      </c>
    </row>
    <row r="2974" customFormat="false" ht="12.75" hidden="false" customHeight="true" outlineLevel="0" collapsed="false">
      <c r="A2974" s="3" t="s">
        <v>3693</v>
      </c>
      <c r="B2974" s="3" t="str">
        <f aca="false">IF(ISNUMBER(SEARCH("%", A2974)),RIGHT(A2974,3),A2974)</f>
        <v>24, 24, STANTLER</v>
      </c>
      <c r="C2974" s="1" t="str">
        <f aca="false" t="array" ref="C2974:C2974">IF(B2973="NEW ROUTE",textsplit(B2974,","),"")</f>
        <v/>
      </c>
      <c r="H2974" s="1" t="str">
        <f aca="false">IF(C2974&lt;&gt;"",DEC2HEX(C2974,2),"")</f>
        <v/>
      </c>
      <c r="I2974" s="1" t="str">
        <f aca="false">IF(D2974&lt;&gt;"",DEC2HEX(D2974,2),"")</f>
        <v/>
      </c>
      <c r="J2974" s="1" t="str">
        <f aca="false">IF(H2974&lt;&gt;"","0x"&amp;I2974&amp;H2974,"")</f>
        <v/>
      </c>
      <c r="L2974" s="1" t="s">
        <v>3693</v>
      </c>
      <c r="M2974" s="1" t="str">
        <f aca="false">IF(J2974&lt;&gt;"",J2974,L2974)</f>
        <v>24, 24, STANTLER</v>
      </c>
    </row>
    <row r="2975" customFormat="false" ht="12.75" hidden="false" customHeight="true" outlineLevel="0" collapsed="false">
      <c r="A2975" s="3" t="s">
        <v>2801</v>
      </c>
      <c r="B2975" s="3" t="str">
        <f aca="false">IF(ISNUMBER(SEARCH("%", A2975)),RIGHT(A2975,3),A2975)</f>
        <v>0.1</v>
      </c>
      <c r="C2975" s="1" t="str">
        <f aca="false" t="array" ref="C2975:C2975">IF(B2974="NEW ROUTE",textsplit(B2975,","),"")</f>
        <v/>
      </c>
      <c r="H2975" s="1" t="str">
        <f aca="false">IF(C2975&lt;&gt;"",DEC2HEX(C2975,2),"")</f>
        <v/>
      </c>
      <c r="I2975" s="1" t="str">
        <f aca="false">IF(D2975&lt;&gt;"",DEC2HEX(D2975,2),"")</f>
        <v/>
      </c>
      <c r="J2975" s="1" t="str">
        <f aca="false">IF(H2975&lt;&gt;"","0x"&amp;I2975&amp;H2975,"")</f>
        <v/>
      </c>
      <c r="L2975" s="1" t="s">
        <v>2801</v>
      </c>
      <c r="M2975" s="1" t="str">
        <f aca="false">IF(J2975&lt;&gt;"",J2975,L2975)</f>
        <v>0.1</v>
      </c>
    </row>
    <row r="2976" customFormat="false" ht="12.75" hidden="false" customHeight="true" outlineLevel="0" collapsed="false">
      <c r="A2976" s="3" t="s">
        <v>3694</v>
      </c>
      <c r="B2976" s="3" t="str">
        <f aca="false">IF(ISNUMBER(SEARCH("%", A2976)),RIGHT(A2976,3),A2976)</f>
        <v>20, 20, STANTLER</v>
      </c>
      <c r="C2976" s="1" t="str">
        <f aca="false" t="array" ref="C2976:C2976">IF(B2975="NEW ROUTE",textsplit(B2976,","),"")</f>
        <v/>
      </c>
      <c r="H2976" s="1" t="str">
        <f aca="false">IF(C2976&lt;&gt;"",DEC2HEX(C2976,2),"")</f>
        <v/>
      </c>
      <c r="I2976" s="1" t="str">
        <f aca="false">IF(D2976&lt;&gt;"",DEC2HEX(D2976,2),"")</f>
        <v/>
      </c>
      <c r="J2976" s="1" t="str">
        <f aca="false">IF(H2976&lt;&gt;"","0x"&amp;I2976&amp;H2976,"")</f>
        <v/>
      </c>
      <c r="L2976" s="1" t="s">
        <v>3694</v>
      </c>
      <c r="M2976" s="1" t="str">
        <f aca="false">IF(J2976&lt;&gt;"",J2976,L2976)</f>
        <v>20, 20, STANTLER</v>
      </c>
    </row>
    <row r="2977" customFormat="false" ht="12.75" hidden="false" customHeight="true" outlineLevel="0" collapsed="false">
      <c r="A2977" s="3" t="s">
        <v>3695</v>
      </c>
      <c r="B2977" s="3" t="str">
        <f aca="false">IF(ISNUMBER(SEARCH("%", A2977)),RIGHT(A2977,3),A2977)</f>
        <v>26, 26, STANTLER</v>
      </c>
      <c r="C2977" s="1" t="str">
        <f aca="false" t="array" ref="C2977:C2977">IF(B2976="NEW ROUTE",textsplit(B2977,","),"")</f>
        <v/>
      </c>
      <c r="H2977" s="1" t="str">
        <f aca="false">IF(C2977&lt;&gt;"",DEC2HEX(C2977,2),"")</f>
        <v/>
      </c>
      <c r="I2977" s="1" t="str">
        <f aca="false">IF(D2977&lt;&gt;"",DEC2HEX(D2977,2),"")</f>
        <v/>
      </c>
      <c r="J2977" s="1" t="str">
        <f aca="false">IF(H2977&lt;&gt;"","0x"&amp;I2977&amp;H2977,"")</f>
        <v/>
      </c>
      <c r="L2977" s="1" t="s">
        <v>3695</v>
      </c>
      <c r="M2977" s="1" t="str">
        <f aca="false">IF(J2977&lt;&gt;"",J2977,L2977)</f>
        <v>26, 26, STANTLER</v>
      </c>
    </row>
    <row r="2978" customFormat="false" ht="12.75" hidden="false" customHeight="true" outlineLevel="0" collapsed="false">
      <c r="A2978" s="3" t="s">
        <v>2195</v>
      </c>
      <c r="B2978" s="3" t="str">
        <f aca="false">IF(ISNUMBER(SEARCH("%", A2978)),RIGHT(A2978,3),A2978)</f>
        <v>22, 22, STANTLER</v>
      </c>
      <c r="C2978" s="1" t="str">
        <f aca="false" t="array" ref="C2978:C2978">IF(B2977="NEW ROUTE",textsplit(B2978,","),"")</f>
        <v/>
      </c>
      <c r="H2978" s="1" t="str">
        <f aca="false">IF(C2978&lt;&gt;"",DEC2HEX(C2978,2),"")</f>
        <v/>
      </c>
      <c r="I2978" s="1" t="str">
        <f aca="false">IF(D2978&lt;&gt;"",DEC2HEX(D2978,2),"")</f>
        <v/>
      </c>
      <c r="J2978" s="1" t="str">
        <f aca="false">IF(H2978&lt;&gt;"","0x"&amp;I2978&amp;H2978,"")</f>
        <v/>
      </c>
      <c r="L2978" s="1" t="s">
        <v>2195</v>
      </c>
      <c r="M2978" s="1" t="str">
        <f aca="false">IF(J2978&lt;&gt;"",J2978,L2978)</f>
        <v>22, 22, STANTLER</v>
      </c>
    </row>
    <row r="2979" customFormat="false" ht="12.75" hidden="false" customHeight="true" outlineLevel="0" collapsed="false">
      <c r="A2979" s="3" t="s">
        <v>3693</v>
      </c>
      <c r="B2979" s="3" t="str">
        <f aca="false">IF(ISNUMBER(SEARCH("%", A2979)),RIGHT(A2979,3),A2979)</f>
        <v>24, 24, STANTLER</v>
      </c>
      <c r="C2979" s="1" t="str">
        <f aca="false" t="array" ref="C2979:C2979">IF(B2978="NEW ROUTE",textsplit(B2979,","),"")</f>
        <v/>
      </c>
      <c r="H2979" s="1" t="str">
        <f aca="false">IF(C2979&lt;&gt;"",DEC2HEX(C2979,2),"")</f>
        <v/>
      </c>
      <c r="I2979" s="1" t="str">
        <f aca="false">IF(D2979&lt;&gt;"",DEC2HEX(D2979,2),"")</f>
        <v/>
      </c>
      <c r="J2979" s="1" t="str">
        <f aca="false">IF(H2979&lt;&gt;"","0x"&amp;I2979&amp;H2979,"")</f>
        <v/>
      </c>
      <c r="L2979" s="1" t="s">
        <v>3693</v>
      </c>
      <c r="M2979" s="1" t="str">
        <f aca="false">IF(J2979&lt;&gt;"",J2979,L2979)</f>
        <v>24, 24, STANTLER</v>
      </c>
    </row>
    <row r="2980" customFormat="false" ht="12.75" hidden="false" customHeight="true" outlineLevel="0" collapsed="false">
      <c r="A2980" s="3" t="s">
        <v>2806</v>
      </c>
      <c r="B2980" s="3" t="str">
        <f aca="false">IF(ISNUMBER(SEARCH("%", A2980)),RIGHT(A2980,3),A2980)</f>
        <v>0.05</v>
      </c>
      <c r="C2980" s="1" t="str">
        <f aca="false" t="array" ref="C2980:C2980">IF(B2979="NEW ROUTE",textsplit(B2980,","),"")</f>
        <v/>
      </c>
      <c r="H2980" s="1" t="str">
        <f aca="false">IF(C2980&lt;&gt;"",DEC2HEX(C2980,2),"")</f>
        <v/>
      </c>
      <c r="I2980" s="1" t="str">
        <f aca="false">IF(D2980&lt;&gt;"",DEC2HEX(D2980,2),"")</f>
        <v/>
      </c>
      <c r="J2980" s="1" t="str">
        <f aca="false">IF(H2980&lt;&gt;"","0x"&amp;I2980&amp;H2980,"")</f>
        <v/>
      </c>
      <c r="L2980" s="1" t="s">
        <v>2806</v>
      </c>
      <c r="M2980" s="1" t="str">
        <f aca="false">IF(J2980&lt;&gt;"",J2980,L2980)</f>
        <v>0.05</v>
      </c>
    </row>
    <row r="2981" customFormat="false" ht="12.75" hidden="false" customHeight="true" outlineLevel="0" collapsed="false">
      <c r="A2981" s="3" t="s">
        <v>3696</v>
      </c>
      <c r="B2981" s="3" t="str">
        <f aca="false">IF(ISNUMBER(SEARCH("%", A2981)),RIGHT(A2981,3),A2981)</f>
        <v>28, 28, STANTLER</v>
      </c>
      <c r="C2981" s="1" t="str">
        <f aca="false" t="array" ref="C2981:C2981">IF(B2980="NEW ROUTE",textsplit(B2981,","),"")</f>
        <v/>
      </c>
      <c r="H2981" s="1" t="str">
        <f aca="false">IF(C2981&lt;&gt;"",DEC2HEX(C2981,2),"")</f>
        <v/>
      </c>
      <c r="I2981" s="1" t="str">
        <f aca="false">IF(D2981&lt;&gt;"",DEC2HEX(D2981,2),"")</f>
        <v/>
      </c>
      <c r="J2981" s="1" t="str">
        <f aca="false">IF(H2981&lt;&gt;"","0x"&amp;I2981&amp;H2981,"")</f>
        <v/>
      </c>
      <c r="L2981" s="1" t="s">
        <v>3696</v>
      </c>
      <c r="M2981" s="1" t="str">
        <f aca="false">IF(J2981&lt;&gt;"",J2981,L2981)</f>
        <v>28, 28, STANTLER</v>
      </c>
    </row>
    <row r="2982" customFormat="false" ht="12.75" hidden="false" customHeight="true" outlineLevel="0" collapsed="false">
      <c r="A2982" s="3" t="s">
        <v>3697</v>
      </c>
      <c r="B2982" s="3" t="str">
        <f aca="false">IF(ISNUMBER(SEARCH("%", A2982)),RIGHT(A2982,3),A2982)</f>
        <v>18, 18, STANTLER</v>
      </c>
      <c r="C2982" s="1" t="str">
        <f aca="false" t="array" ref="C2982:C2982">IF(B2981="NEW ROUTE",textsplit(B2982,","),"")</f>
        <v/>
      </c>
      <c r="H2982" s="1" t="str">
        <f aca="false">IF(C2982&lt;&gt;"",DEC2HEX(C2982,2),"")</f>
        <v/>
      </c>
      <c r="I2982" s="1" t="str">
        <f aca="false">IF(D2982&lt;&gt;"",DEC2HEX(D2982,2),"")</f>
        <v/>
      </c>
      <c r="J2982" s="1" t="str">
        <f aca="false">IF(H2982&lt;&gt;"","0x"&amp;I2982&amp;H2982,"")</f>
        <v/>
      </c>
      <c r="L2982" s="1" t="s">
        <v>3697</v>
      </c>
      <c r="M2982" s="1" t="str">
        <f aca="false">IF(J2982&lt;&gt;"",J2982,L2982)</f>
        <v>18, 18, STANTLER</v>
      </c>
    </row>
    <row r="2983" customFormat="false" ht="12.75" hidden="false" customHeight="true" outlineLevel="0" collapsed="false">
      <c r="A2983" s="3" t="s">
        <v>2809</v>
      </c>
      <c r="B2983" s="3" t="str">
        <f aca="false">IF(ISNUMBER(SEARCH("%", A2983)),RIGHT(A2983,3),A2983)</f>
        <v>0.04</v>
      </c>
      <c r="C2983" s="1" t="str">
        <f aca="false" t="array" ref="C2983:C2983">IF(B2982="NEW ROUTE",textsplit(B2983,","),"")</f>
        <v/>
      </c>
      <c r="H2983" s="1" t="str">
        <f aca="false">IF(C2983&lt;&gt;"",DEC2HEX(C2983,2),"")</f>
        <v/>
      </c>
      <c r="I2983" s="1" t="str">
        <f aca="false">IF(D2983&lt;&gt;"",DEC2HEX(D2983,2),"")</f>
        <v/>
      </c>
      <c r="J2983" s="1" t="str">
        <f aca="false">IF(H2983&lt;&gt;"","0x"&amp;I2983&amp;H2983,"")</f>
        <v/>
      </c>
      <c r="L2983" s="1" t="s">
        <v>2809</v>
      </c>
      <c r="M2983" s="1" t="str">
        <f aca="false">IF(J2983&lt;&gt;"",J2983,L2983)</f>
        <v>0.04</v>
      </c>
    </row>
    <row r="2984" customFormat="false" ht="12.75" hidden="false" customHeight="true" outlineLevel="0" collapsed="false">
      <c r="A2984" s="3" t="s">
        <v>3694</v>
      </c>
      <c r="B2984" s="3" t="str">
        <f aca="false">IF(ISNUMBER(SEARCH("%", A2984)),RIGHT(A2984,3),A2984)</f>
        <v>20, 20, STANTLER</v>
      </c>
      <c r="C2984" s="1" t="str">
        <f aca="false" t="array" ref="C2984:C2984">IF(B2983="NEW ROUTE",textsplit(B2984,","),"")</f>
        <v/>
      </c>
      <c r="H2984" s="1" t="str">
        <f aca="false">IF(C2984&lt;&gt;"",DEC2HEX(C2984,2),"")</f>
        <v/>
      </c>
      <c r="I2984" s="1" t="str">
        <f aca="false">IF(D2984&lt;&gt;"",DEC2HEX(D2984,2),"")</f>
        <v/>
      </c>
      <c r="J2984" s="1" t="str">
        <f aca="false">IF(H2984&lt;&gt;"","0x"&amp;I2984&amp;H2984,"")</f>
        <v/>
      </c>
      <c r="L2984" s="1" t="s">
        <v>3694</v>
      </c>
      <c r="M2984" s="1" t="str">
        <f aca="false">IF(J2984&lt;&gt;"",J2984,L2984)</f>
        <v>20, 20, STANTLER</v>
      </c>
    </row>
    <row r="2985" customFormat="false" ht="12.75" hidden="false" customHeight="true" outlineLevel="0" collapsed="false">
      <c r="A2985" s="3" t="s">
        <v>3695</v>
      </c>
      <c r="B2985" s="3" t="str">
        <f aca="false">IF(ISNUMBER(SEARCH("%", A2985)),RIGHT(A2985,3),A2985)</f>
        <v>26, 26, STANTLER</v>
      </c>
      <c r="C2985" s="1" t="str">
        <f aca="false" t="array" ref="C2985:C2985">IF(B2984="NEW ROUTE",textsplit(B2985,","),"")</f>
        <v/>
      </c>
      <c r="H2985" s="1" t="str">
        <f aca="false">IF(C2985&lt;&gt;"",DEC2HEX(C2985,2),"")</f>
        <v/>
      </c>
      <c r="I2985" s="1" t="str">
        <f aca="false">IF(D2985&lt;&gt;"",DEC2HEX(D2985,2),"")</f>
        <v/>
      </c>
      <c r="J2985" s="1" t="str">
        <f aca="false">IF(H2985&lt;&gt;"","0x"&amp;I2985&amp;H2985,"")</f>
        <v/>
      </c>
      <c r="L2985" s="1" t="s">
        <v>3695</v>
      </c>
      <c r="M2985" s="1" t="str">
        <f aca="false">IF(J2985&lt;&gt;"",J2985,L2985)</f>
        <v>26, 26, STANTLER</v>
      </c>
    </row>
    <row r="2986" customFormat="false" ht="12.75" hidden="false" customHeight="true" outlineLevel="0" collapsed="false">
      <c r="A2986" s="3" t="s">
        <v>2812</v>
      </c>
      <c r="B2986" s="3" t="str">
        <f aca="false">IF(ISNUMBER(SEARCH("%", A2986)),RIGHT(A2986,3),A2986)</f>
        <v>0.01</v>
      </c>
      <c r="C2986" s="1" t="str">
        <f aca="false" t="array" ref="C2986:C2986">IF(B2985="NEW ROUTE",textsplit(B2986,","),"")</f>
        <v/>
      </c>
      <c r="H2986" s="1" t="str">
        <f aca="false">IF(C2986&lt;&gt;"",DEC2HEX(C2986,2),"")</f>
        <v/>
      </c>
      <c r="I2986" s="1" t="str">
        <f aca="false">IF(D2986&lt;&gt;"",DEC2HEX(D2986,2),"")</f>
        <v/>
      </c>
      <c r="J2986" s="1" t="str">
        <f aca="false">IF(H2986&lt;&gt;"","0x"&amp;I2986&amp;H2986,"")</f>
        <v/>
      </c>
      <c r="L2986" s="1" t="s">
        <v>2812</v>
      </c>
      <c r="M2986" s="1" t="str">
        <f aca="false">IF(J2986&lt;&gt;"",J2986,L2986)</f>
        <v>0.01</v>
      </c>
    </row>
    <row r="2987" customFormat="false" ht="12.75" hidden="false" customHeight="true" outlineLevel="0" collapsed="false">
      <c r="A2987" s="3" t="s">
        <v>3694</v>
      </c>
      <c r="B2987" s="3" t="str">
        <f aca="false">IF(ISNUMBER(SEARCH("%", A2987)),RIGHT(A2987,3),A2987)</f>
        <v>20, 20, STANTLER</v>
      </c>
      <c r="C2987" s="1" t="str">
        <f aca="false" t="array" ref="C2987:C2987">IF(B2986="NEW ROUTE",textsplit(B2987,","),"")</f>
        <v/>
      </c>
      <c r="H2987" s="1" t="str">
        <f aca="false">IF(C2987&lt;&gt;"",DEC2HEX(C2987,2),"")</f>
        <v/>
      </c>
      <c r="I2987" s="1" t="str">
        <f aca="false">IF(D2987&lt;&gt;"",DEC2HEX(D2987,2),"")</f>
        <v/>
      </c>
      <c r="J2987" s="1" t="str">
        <f aca="false">IF(H2987&lt;&gt;"","0x"&amp;I2987&amp;H2987,"")</f>
        <v/>
      </c>
      <c r="L2987" s="1" t="s">
        <v>3694</v>
      </c>
      <c r="M2987" s="1" t="str">
        <f aca="false">IF(J2987&lt;&gt;"",J2987,L2987)</f>
        <v>20, 20, STANTLER</v>
      </c>
    </row>
    <row r="2988" customFormat="false" ht="12.75" hidden="false" customHeight="true" outlineLevel="0" collapsed="false">
      <c r="A2988" s="3" t="s">
        <v>3698</v>
      </c>
      <c r="B2988" s="3" t="str">
        <f aca="false">IF(ISNUMBER(SEARCH("%", A2988)),RIGHT(A2988,3),A2988)</f>
        <v>26, 26, STANTLER , &lt;null&gt;, &lt;null&gt;, &lt;null&gt;</v>
      </c>
      <c r="C2988" s="1" t="str">
        <f aca="false" t="array" ref="C2988:C2988">IF(B2987="NEW ROUTE",textsplit(B2988,","),"")</f>
        <v/>
      </c>
      <c r="H2988" s="1" t="str">
        <f aca="false">IF(C2988&lt;&gt;"",DEC2HEX(C2988,2),"")</f>
        <v/>
      </c>
      <c r="I2988" s="1" t="str">
        <f aca="false">IF(D2988&lt;&gt;"",DEC2HEX(D2988,2),"")</f>
        <v/>
      </c>
      <c r="J2988" s="1" t="str">
        <f aca="false">IF(H2988&lt;&gt;"","0x"&amp;I2988&amp;H2988,"")</f>
        <v/>
      </c>
      <c r="L2988" s="1" t="s">
        <v>3698</v>
      </c>
      <c r="M2988" s="1" t="str">
        <f aca="false">IF(J2988&lt;&gt;"",J2988,L2988)</f>
        <v>26, 26, STANTLER , &lt;null&gt;, &lt;null&gt;, &lt;null&gt;</v>
      </c>
    </row>
    <row r="2989" customFormat="false" ht="12.75" hidden="false" customHeight="true" outlineLevel="0" collapsed="false">
      <c r="A2989" s="3" t="s">
        <v>2536</v>
      </c>
      <c r="B2989" s="3" t="str">
        <f aca="false">IF(ISNUMBER(SEARCH("%", A2989)),RIGHT(A2989,3),A2989)</f>
        <v>NEW ROUTE</v>
      </c>
      <c r="C2989" s="1" t="str">
        <f aca="false" t="array" ref="C2989:C2989">IF(B2988="NEW ROUTE",textsplit(B2989,","),"")</f>
        <v/>
      </c>
      <c r="H2989" s="1" t="str">
        <f aca="false">IF(C2989&lt;&gt;"",DEC2HEX(C2989,2),"")</f>
        <v/>
      </c>
      <c r="I2989" s="1" t="str">
        <f aca="false">IF(D2989&lt;&gt;"",DEC2HEX(D2989,2),"")</f>
        <v/>
      </c>
      <c r="J2989" s="1" t="str">
        <f aca="false">IF(H2989&lt;&gt;"","0x"&amp;I2989&amp;H2989,"")</f>
        <v/>
      </c>
      <c r="L2989" s="1" t="s">
        <v>2536</v>
      </c>
      <c r="M2989" s="1" t="str">
        <f aca="false">IF(J2989&lt;&gt;"",J2989,L2989)</f>
        <v>NEW ROUTE</v>
      </c>
    </row>
    <row r="2990" customFormat="false" ht="12.75" hidden="false" customHeight="true" outlineLevel="0" collapsed="false">
      <c r="A2990" s="3" t="s">
        <v>3649</v>
      </c>
      <c r="B2990" s="3" t="str">
        <f aca="false">IF(ISNUMBER(SEARCH("%", A2990)),RIGHT(A2990,3),A2990)</f>
        <v>1, 122, 0,</v>
      </c>
      <c r="C2990" s="1" t="e">
        <f aca="false" t="array" ref="C2990:C2990">IF(B2989="NEW ROUTE",textsplit(B2990,","),"")</f>
        <v>#NAME?</v>
      </c>
      <c r="H2990" s="1" t="e">
        <f aca="false">IF(C2990&lt;&gt;"",DEC2HEX(C2990,2),"")</f>
        <v>#NAME?</v>
      </c>
      <c r="I2990" s="1" t="str">
        <f aca="false">IF(D2990&lt;&gt;"",DEC2HEX(D2990,2),"")</f>
        <v/>
      </c>
      <c r="J2990" s="1" t="e">
        <f aca="false">IF(H2990&lt;&gt;"","0x"&amp;I2990&amp;H2990,"")</f>
        <v>#NAME?</v>
      </c>
      <c r="L2990" s="1" t="s">
        <v>3649</v>
      </c>
      <c r="M2990" s="1" t="e">
        <f aca="false">IF(J2990&lt;&gt;"",J2990,L2990)</f>
        <v>#NAME?</v>
      </c>
    </row>
    <row r="2991" customFormat="false" ht="12.75" hidden="false" customHeight="true" outlineLevel="0" collapsed="false">
      <c r="A2991" s="3" t="s">
        <v>2816</v>
      </c>
      <c r="B2991" s="3" t="str">
        <f aca="false">IF(ISNUMBER(SEARCH("%", A2991)),RIGHT(A2991,3),A2991)</f>
        <v>20%</v>
      </c>
      <c r="C2991" s="1" t="str">
        <f aca="false" t="array" ref="C2991:C2991">IF(B2990="NEW ROUTE",textsplit(B2991,","),"")</f>
        <v/>
      </c>
      <c r="H2991" s="1" t="str">
        <f aca="false">IF(C2991&lt;&gt;"",DEC2HEX(C2991,2),"")</f>
        <v/>
      </c>
      <c r="I2991" s="1" t="str">
        <f aca="false">IF(D2991&lt;&gt;"",DEC2HEX(D2991,2),"")</f>
        <v/>
      </c>
      <c r="J2991" s="1" t="str">
        <f aca="false">IF(H2991&lt;&gt;"","0x"&amp;I2991&amp;H2991,"")</f>
        <v/>
      </c>
      <c r="L2991" s="1" t="s">
        <v>2799</v>
      </c>
      <c r="M2991" s="1" t="str">
        <f aca="false">IF(J2991&lt;&gt;"",J2991,L2991)</f>
        <v>20%</v>
      </c>
    </row>
    <row r="2992" customFormat="false" ht="12.75" hidden="false" customHeight="true" outlineLevel="0" collapsed="false">
      <c r="A2992" s="3" t="s">
        <v>2203</v>
      </c>
      <c r="B2992" s="3" t="str">
        <f aca="false">IF(ISNUMBER(SEARCH("%", A2992)),RIGHT(A2992,3),A2992)</f>
        <v>22, 22, SMEARGLE</v>
      </c>
      <c r="C2992" s="1" t="str">
        <f aca="false" t="array" ref="C2992:C2992">IF(B2991="NEW ROUTE",textsplit(B2992,","),"")</f>
        <v/>
      </c>
      <c r="H2992" s="1" t="str">
        <f aca="false">IF(C2992&lt;&gt;"",DEC2HEX(C2992,2),"")</f>
        <v/>
      </c>
      <c r="I2992" s="1" t="str">
        <f aca="false">IF(D2992&lt;&gt;"",DEC2HEX(D2992,2),"")</f>
        <v/>
      </c>
      <c r="J2992" s="1" t="str">
        <f aca="false">IF(H2992&lt;&gt;"","0x"&amp;I2992&amp;H2992,"")</f>
        <v/>
      </c>
      <c r="L2992" s="1" t="s">
        <v>2203</v>
      </c>
      <c r="M2992" s="1" t="str">
        <f aca="false">IF(J2992&lt;&gt;"",J2992,L2992)</f>
        <v>22, 22, SMEARGLE</v>
      </c>
    </row>
    <row r="2993" customFormat="false" ht="12.75" hidden="false" customHeight="true" outlineLevel="0" collapsed="false">
      <c r="A2993" s="3" t="s">
        <v>3699</v>
      </c>
      <c r="B2993" s="3" t="str">
        <f aca="false">IF(ISNUMBER(SEARCH("%", A2993)),RIGHT(A2993,3),A2993)</f>
        <v>24, 24, SMEARGLE</v>
      </c>
      <c r="C2993" s="1" t="str">
        <f aca="false" t="array" ref="C2993:C2993">IF(B2992="NEW ROUTE",textsplit(B2993,","),"")</f>
        <v/>
      </c>
      <c r="H2993" s="1" t="str">
        <f aca="false">IF(C2993&lt;&gt;"",DEC2HEX(C2993,2),"")</f>
        <v/>
      </c>
      <c r="I2993" s="1" t="str">
        <f aca="false">IF(D2993&lt;&gt;"",DEC2HEX(D2993,2),"")</f>
        <v/>
      </c>
      <c r="J2993" s="1" t="str">
        <f aca="false">IF(H2993&lt;&gt;"","0x"&amp;I2993&amp;H2993,"")</f>
        <v/>
      </c>
      <c r="L2993" s="1" t="s">
        <v>3699</v>
      </c>
      <c r="M2993" s="1" t="str">
        <f aca="false">IF(J2993&lt;&gt;"",J2993,L2993)</f>
        <v>24, 24, SMEARGLE</v>
      </c>
    </row>
    <row r="2994" customFormat="false" ht="12.75" hidden="false" customHeight="true" outlineLevel="0" collapsed="false">
      <c r="A2994" s="3" t="s">
        <v>2801</v>
      </c>
      <c r="B2994" s="3" t="str">
        <f aca="false">IF(ISNUMBER(SEARCH("%", A2994)),RIGHT(A2994,3),A2994)</f>
        <v>0.1</v>
      </c>
      <c r="C2994" s="1" t="str">
        <f aca="false" t="array" ref="C2994:C2994">IF(B2993="NEW ROUTE",textsplit(B2994,","),"")</f>
        <v/>
      </c>
      <c r="H2994" s="1" t="str">
        <f aca="false">IF(C2994&lt;&gt;"",DEC2HEX(C2994,2),"")</f>
        <v/>
      </c>
      <c r="I2994" s="1" t="str">
        <f aca="false">IF(D2994&lt;&gt;"",DEC2HEX(D2994,2),"")</f>
        <v/>
      </c>
      <c r="J2994" s="1" t="str">
        <f aca="false">IF(H2994&lt;&gt;"","0x"&amp;I2994&amp;H2994,"")</f>
        <v/>
      </c>
      <c r="L2994" s="1" t="s">
        <v>2801</v>
      </c>
      <c r="M2994" s="1" t="str">
        <f aca="false">IF(J2994&lt;&gt;"",J2994,L2994)</f>
        <v>0.1</v>
      </c>
    </row>
    <row r="2995" customFormat="false" ht="12.75" hidden="false" customHeight="true" outlineLevel="0" collapsed="false">
      <c r="A2995" s="3" t="s">
        <v>3700</v>
      </c>
      <c r="B2995" s="3" t="str">
        <f aca="false">IF(ISNUMBER(SEARCH("%", A2995)),RIGHT(A2995,3),A2995)</f>
        <v>20, 20, SMEARGLE</v>
      </c>
      <c r="C2995" s="1" t="str">
        <f aca="false" t="array" ref="C2995:C2995">IF(B2994="NEW ROUTE",textsplit(B2995,","),"")</f>
        <v/>
      </c>
      <c r="H2995" s="1" t="str">
        <f aca="false">IF(C2995&lt;&gt;"",DEC2HEX(C2995,2),"")</f>
        <v/>
      </c>
      <c r="I2995" s="1" t="str">
        <f aca="false">IF(D2995&lt;&gt;"",DEC2HEX(D2995,2),"")</f>
        <v/>
      </c>
      <c r="J2995" s="1" t="str">
        <f aca="false">IF(H2995&lt;&gt;"","0x"&amp;I2995&amp;H2995,"")</f>
        <v/>
      </c>
      <c r="L2995" s="1" t="s">
        <v>3700</v>
      </c>
      <c r="M2995" s="1" t="str">
        <f aca="false">IF(J2995&lt;&gt;"",J2995,L2995)</f>
        <v>20, 20, SMEARGLE</v>
      </c>
    </row>
    <row r="2996" customFormat="false" ht="12.75" hidden="false" customHeight="true" outlineLevel="0" collapsed="false">
      <c r="A2996" s="3" t="s">
        <v>3701</v>
      </c>
      <c r="B2996" s="3" t="str">
        <f aca="false">IF(ISNUMBER(SEARCH("%", A2996)),RIGHT(A2996,3),A2996)</f>
        <v>26, 26, SMEARGLE</v>
      </c>
      <c r="C2996" s="1" t="str">
        <f aca="false" t="array" ref="C2996:C2996">IF(B2995="NEW ROUTE",textsplit(B2996,","),"")</f>
        <v/>
      </c>
      <c r="H2996" s="1" t="str">
        <f aca="false">IF(C2996&lt;&gt;"",DEC2HEX(C2996,2),"")</f>
        <v/>
      </c>
      <c r="I2996" s="1" t="str">
        <f aca="false">IF(D2996&lt;&gt;"",DEC2HEX(D2996,2),"")</f>
        <v/>
      </c>
      <c r="J2996" s="1" t="str">
        <f aca="false">IF(H2996&lt;&gt;"","0x"&amp;I2996&amp;H2996,"")</f>
        <v/>
      </c>
      <c r="L2996" s="1" t="s">
        <v>3701</v>
      </c>
      <c r="M2996" s="1" t="str">
        <f aca="false">IF(J2996&lt;&gt;"",J2996,L2996)</f>
        <v>26, 26, SMEARGLE</v>
      </c>
    </row>
    <row r="2997" customFormat="false" ht="12.75" hidden="false" customHeight="true" outlineLevel="0" collapsed="false">
      <c r="A2997" s="3" t="s">
        <v>2203</v>
      </c>
      <c r="B2997" s="3" t="str">
        <f aca="false">IF(ISNUMBER(SEARCH("%", A2997)),RIGHT(A2997,3),A2997)</f>
        <v>22, 22, SMEARGLE</v>
      </c>
      <c r="C2997" s="1" t="str">
        <f aca="false" t="array" ref="C2997:C2997">IF(B2996="NEW ROUTE",textsplit(B2997,","),"")</f>
        <v/>
      </c>
      <c r="H2997" s="1" t="str">
        <f aca="false">IF(C2997&lt;&gt;"",DEC2HEX(C2997,2),"")</f>
        <v/>
      </c>
      <c r="I2997" s="1" t="str">
        <f aca="false">IF(D2997&lt;&gt;"",DEC2HEX(D2997,2),"")</f>
        <v/>
      </c>
      <c r="J2997" s="1" t="str">
        <f aca="false">IF(H2997&lt;&gt;"","0x"&amp;I2997&amp;H2997,"")</f>
        <v/>
      </c>
      <c r="L2997" s="1" t="s">
        <v>2203</v>
      </c>
      <c r="M2997" s="1" t="str">
        <f aca="false">IF(J2997&lt;&gt;"",J2997,L2997)</f>
        <v>22, 22, SMEARGLE</v>
      </c>
    </row>
    <row r="2998" customFormat="false" ht="12.75" hidden="false" customHeight="true" outlineLevel="0" collapsed="false">
      <c r="A2998" s="3" t="s">
        <v>3699</v>
      </c>
      <c r="B2998" s="3" t="str">
        <f aca="false">IF(ISNUMBER(SEARCH("%", A2998)),RIGHT(A2998,3),A2998)</f>
        <v>24, 24, SMEARGLE</v>
      </c>
      <c r="C2998" s="1" t="str">
        <f aca="false" t="array" ref="C2998:C2998">IF(B2997="NEW ROUTE",textsplit(B2998,","),"")</f>
        <v/>
      </c>
      <c r="H2998" s="1" t="str">
        <f aca="false">IF(C2998&lt;&gt;"",DEC2HEX(C2998,2),"")</f>
        <v/>
      </c>
      <c r="I2998" s="1" t="str">
        <f aca="false">IF(D2998&lt;&gt;"",DEC2HEX(D2998,2),"")</f>
        <v/>
      </c>
      <c r="J2998" s="1" t="str">
        <f aca="false">IF(H2998&lt;&gt;"","0x"&amp;I2998&amp;H2998,"")</f>
        <v/>
      </c>
      <c r="L2998" s="1" t="s">
        <v>3699</v>
      </c>
      <c r="M2998" s="1" t="str">
        <f aca="false">IF(J2998&lt;&gt;"",J2998,L2998)</f>
        <v>24, 24, SMEARGLE</v>
      </c>
    </row>
    <row r="2999" customFormat="false" ht="12.75" hidden="false" customHeight="true" outlineLevel="0" collapsed="false">
      <c r="A2999" s="3" t="s">
        <v>2806</v>
      </c>
      <c r="B2999" s="3" t="str">
        <f aca="false">IF(ISNUMBER(SEARCH("%", A2999)),RIGHT(A2999,3),A2999)</f>
        <v>0.05</v>
      </c>
      <c r="C2999" s="1" t="str">
        <f aca="false" t="array" ref="C2999:C2999">IF(B2998="NEW ROUTE",textsplit(B2999,","),"")</f>
        <v/>
      </c>
      <c r="H2999" s="1" t="str">
        <f aca="false">IF(C2999&lt;&gt;"",DEC2HEX(C2999,2),"")</f>
        <v/>
      </c>
      <c r="I2999" s="1" t="str">
        <f aca="false">IF(D2999&lt;&gt;"",DEC2HEX(D2999,2),"")</f>
        <v/>
      </c>
      <c r="J2999" s="1" t="str">
        <f aca="false">IF(H2999&lt;&gt;"","0x"&amp;I2999&amp;H2999,"")</f>
        <v/>
      </c>
      <c r="L2999" s="1" t="s">
        <v>2806</v>
      </c>
      <c r="M2999" s="1" t="str">
        <f aca="false">IF(J2999&lt;&gt;"",J2999,L2999)</f>
        <v>0.05</v>
      </c>
    </row>
    <row r="3000" customFormat="false" ht="12.75" hidden="false" customHeight="true" outlineLevel="0" collapsed="false">
      <c r="A3000" s="3" t="s">
        <v>3702</v>
      </c>
      <c r="B3000" s="3" t="str">
        <f aca="false">IF(ISNUMBER(SEARCH("%", A3000)),RIGHT(A3000,3),A3000)</f>
        <v>28, 28, SMEARGLE</v>
      </c>
      <c r="C3000" s="1" t="str">
        <f aca="false" t="array" ref="C3000:C3000">IF(B2999="NEW ROUTE",textsplit(B3000,","),"")</f>
        <v/>
      </c>
      <c r="H3000" s="1" t="str">
        <f aca="false">IF(C3000&lt;&gt;"",DEC2HEX(C3000,2),"")</f>
        <v/>
      </c>
      <c r="I3000" s="1" t="str">
        <f aca="false">IF(D3000&lt;&gt;"",DEC2HEX(D3000,2),"")</f>
        <v/>
      </c>
      <c r="J3000" s="1" t="str">
        <f aca="false">IF(H3000&lt;&gt;"","0x"&amp;I3000&amp;H3000,"")</f>
        <v/>
      </c>
      <c r="L3000" s="1" t="s">
        <v>3702</v>
      </c>
      <c r="M3000" s="1" t="str">
        <f aca="false">IF(J3000&lt;&gt;"",J3000,L3000)</f>
        <v>28, 28, SMEARGLE</v>
      </c>
    </row>
    <row r="3001" customFormat="false" ht="12.75" hidden="false" customHeight="true" outlineLevel="0" collapsed="false">
      <c r="A3001" s="3" t="s">
        <v>3703</v>
      </c>
      <c r="B3001" s="3" t="str">
        <f aca="false">IF(ISNUMBER(SEARCH("%", A3001)),RIGHT(A3001,3),A3001)</f>
        <v>18, 18, SMEARGLE</v>
      </c>
      <c r="C3001" s="1" t="str">
        <f aca="false" t="array" ref="C3001:C3001">IF(B3000="NEW ROUTE",textsplit(B3001,","),"")</f>
        <v/>
      </c>
      <c r="H3001" s="1" t="str">
        <f aca="false">IF(C3001&lt;&gt;"",DEC2HEX(C3001,2),"")</f>
        <v/>
      </c>
      <c r="I3001" s="1" t="str">
        <f aca="false">IF(D3001&lt;&gt;"",DEC2HEX(D3001,2),"")</f>
        <v/>
      </c>
      <c r="J3001" s="1" t="str">
        <f aca="false">IF(H3001&lt;&gt;"","0x"&amp;I3001&amp;H3001,"")</f>
        <v/>
      </c>
      <c r="L3001" s="1" t="s">
        <v>3703</v>
      </c>
      <c r="M3001" s="1" t="str">
        <f aca="false">IF(J3001&lt;&gt;"",J3001,L3001)</f>
        <v>18, 18, SMEARGLE</v>
      </c>
    </row>
    <row r="3002" customFormat="false" ht="12.75" hidden="false" customHeight="true" outlineLevel="0" collapsed="false">
      <c r="A3002" s="3" t="s">
        <v>2809</v>
      </c>
      <c r="B3002" s="3" t="str">
        <f aca="false">IF(ISNUMBER(SEARCH("%", A3002)),RIGHT(A3002,3),A3002)</f>
        <v>0.04</v>
      </c>
      <c r="C3002" s="1" t="str">
        <f aca="false" t="array" ref="C3002:C3002">IF(B3001="NEW ROUTE",textsplit(B3002,","),"")</f>
        <v/>
      </c>
      <c r="H3002" s="1" t="str">
        <f aca="false">IF(C3002&lt;&gt;"",DEC2HEX(C3002,2),"")</f>
        <v/>
      </c>
      <c r="I3002" s="1" t="str">
        <f aca="false">IF(D3002&lt;&gt;"",DEC2HEX(D3002,2),"")</f>
        <v/>
      </c>
      <c r="J3002" s="1" t="str">
        <f aca="false">IF(H3002&lt;&gt;"","0x"&amp;I3002&amp;H3002,"")</f>
        <v/>
      </c>
      <c r="L3002" s="1" t="s">
        <v>2809</v>
      </c>
      <c r="M3002" s="1" t="str">
        <f aca="false">IF(J3002&lt;&gt;"",J3002,L3002)</f>
        <v>0.04</v>
      </c>
    </row>
    <row r="3003" customFormat="false" ht="12.75" hidden="false" customHeight="true" outlineLevel="0" collapsed="false">
      <c r="A3003" s="3" t="s">
        <v>3700</v>
      </c>
      <c r="B3003" s="3" t="str">
        <f aca="false">IF(ISNUMBER(SEARCH("%", A3003)),RIGHT(A3003,3),A3003)</f>
        <v>20, 20, SMEARGLE</v>
      </c>
      <c r="C3003" s="1" t="str">
        <f aca="false" t="array" ref="C3003:C3003">IF(B3002="NEW ROUTE",textsplit(B3003,","),"")</f>
        <v/>
      </c>
      <c r="H3003" s="1" t="str">
        <f aca="false">IF(C3003&lt;&gt;"",DEC2HEX(C3003,2),"")</f>
        <v/>
      </c>
      <c r="I3003" s="1" t="str">
        <f aca="false">IF(D3003&lt;&gt;"",DEC2HEX(D3003,2),"")</f>
        <v/>
      </c>
      <c r="J3003" s="1" t="str">
        <f aca="false">IF(H3003&lt;&gt;"","0x"&amp;I3003&amp;H3003,"")</f>
        <v/>
      </c>
      <c r="L3003" s="1" t="s">
        <v>3700</v>
      </c>
      <c r="M3003" s="1" t="str">
        <f aca="false">IF(J3003&lt;&gt;"",J3003,L3003)</f>
        <v>20, 20, SMEARGLE</v>
      </c>
    </row>
    <row r="3004" customFormat="false" ht="12.75" hidden="false" customHeight="true" outlineLevel="0" collapsed="false">
      <c r="A3004" s="3" t="s">
        <v>3701</v>
      </c>
      <c r="B3004" s="3" t="str">
        <f aca="false">IF(ISNUMBER(SEARCH("%", A3004)),RIGHT(A3004,3),A3004)</f>
        <v>26, 26, SMEARGLE</v>
      </c>
      <c r="C3004" s="1" t="str">
        <f aca="false" t="array" ref="C3004:C3004">IF(B3003="NEW ROUTE",textsplit(B3004,","),"")</f>
        <v/>
      </c>
      <c r="H3004" s="1" t="str">
        <f aca="false">IF(C3004&lt;&gt;"",DEC2HEX(C3004,2),"")</f>
        <v/>
      </c>
      <c r="I3004" s="1" t="str">
        <f aca="false">IF(D3004&lt;&gt;"",DEC2HEX(D3004,2),"")</f>
        <v/>
      </c>
      <c r="J3004" s="1" t="str">
        <f aca="false">IF(H3004&lt;&gt;"","0x"&amp;I3004&amp;H3004,"")</f>
        <v/>
      </c>
      <c r="L3004" s="1" t="s">
        <v>3701</v>
      </c>
      <c r="M3004" s="1" t="str">
        <f aca="false">IF(J3004&lt;&gt;"",J3004,L3004)</f>
        <v>26, 26, SMEARGLE</v>
      </c>
    </row>
    <row r="3005" customFormat="false" ht="12.75" hidden="false" customHeight="true" outlineLevel="0" collapsed="false">
      <c r="A3005" s="3" t="s">
        <v>2812</v>
      </c>
      <c r="B3005" s="3" t="str">
        <f aca="false">IF(ISNUMBER(SEARCH("%", A3005)),RIGHT(A3005,3),A3005)</f>
        <v>0.01</v>
      </c>
      <c r="C3005" s="1" t="str">
        <f aca="false" t="array" ref="C3005:C3005">IF(B3004="NEW ROUTE",textsplit(B3005,","),"")</f>
        <v/>
      </c>
      <c r="H3005" s="1" t="str">
        <f aca="false">IF(C3005&lt;&gt;"",DEC2HEX(C3005,2),"")</f>
        <v/>
      </c>
      <c r="I3005" s="1" t="str">
        <f aca="false">IF(D3005&lt;&gt;"",DEC2HEX(D3005,2),"")</f>
        <v/>
      </c>
      <c r="J3005" s="1" t="str">
        <f aca="false">IF(H3005&lt;&gt;"","0x"&amp;I3005&amp;H3005,"")</f>
        <v/>
      </c>
      <c r="L3005" s="1" t="s">
        <v>2812</v>
      </c>
      <c r="M3005" s="1" t="str">
        <f aca="false">IF(J3005&lt;&gt;"",J3005,L3005)</f>
        <v>0.01</v>
      </c>
    </row>
    <row r="3006" customFormat="false" ht="12.75" hidden="false" customHeight="true" outlineLevel="0" collapsed="false">
      <c r="A3006" s="3" t="s">
        <v>3700</v>
      </c>
      <c r="B3006" s="3" t="str">
        <f aca="false">IF(ISNUMBER(SEARCH("%", A3006)),RIGHT(A3006,3),A3006)</f>
        <v>20, 20, SMEARGLE</v>
      </c>
      <c r="C3006" s="1" t="str">
        <f aca="false" t="array" ref="C3006:C3006">IF(B3005="NEW ROUTE",textsplit(B3006,","),"")</f>
        <v/>
      </c>
      <c r="H3006" s="1" t="str">
        <f aca="false">IF(C3006&lt;&gt;"",DEC2HEX(C3006,2),"")</f>
        <v/>
      </c>
      <c r="I3006" s="1" t="str">
        <f aca="false">IF(D3006&lt;&gt;"",DEC2HEX(D3006,2),"")</f>
        <v/>
      </c>
      <c r="J3006" s="1" t="str">
        <f aca="false">IF(H3006&lt;&gt;"","0x"&amp;I3006&amp;H3006,"")</f>
        <v/>
      </c>
      <c r="L3006" s="1" t="s">
        <v>3700</v>
      </c>
      <c r="M3006" s="1" t="str">
        <f aca="false">IF(J3006&lt;&gt;"",J3006,L3006)</f>
        <v>20, 20, SMEARGLE</v>
      </c>
    </row>
    <row r="3007" customFormat="false" ht="12.75" hidden="false" customHeight="true" outlineLevel="0" collapsed="false">
      <c r="A3007" s="3" t="s">
        <v>3704</v>
      </c>
      <c r="B3007" s="3" t="str">
        <f aca="false">IF(ISNUMBER(SEARCH("%", A3007)),RIGHT(A3007,3),A3007)</f>
        <v>26, 26, SMEARGLE , &lt;null&gt;, &lt;null&gt;, &lt;null&gt;</v>
      </c>
      <c r="C3007" s="1" t="str">
        <f aca="false" t="array" ref="C3007:C3007">IF(B3006="NEW ROUTE",textsplit(B3007,","),"")</f>
        <v/>
      </c>
      <c r="H3007" s="1" t="str">
        <f aca="false">IF(C3007&lt;&gt;"",DEC2HEX(C3007,2),"")</f>
        <v/>
      </c>
      <c r="I3007" s="1" t="str">
        <f aca="false">IF(D3007&lt;&gt;"",DEC2HEX(D3007,2),"")</f>
        <v/>
      </c>
      <c r="J3007" s="1" t="str">
        <f aca="false">IF(H3007&lt;&gt;"","0x"&amp;I3007&amp;H3007,"")</f>
        <v/>
      </c>
      <c r="L3007" s="1" t="s">
        <v>3704</v>
      </c>
      <c r="M3007" s="1" t="str">
        <f aca="false">IF(J3007&lt;&gt;"",J3007,L3007)</f>
        <v>26, 26, SMEARGLE , &lt;null&gt;, &lt;null&gt;, &lt;null&gt;</v>
      </c>
    </row>
    <row r="3008" customFormat="false" ht="12.75" hidden="false" customHeight="true" outlineLevel="0" collapsed="false">
      <c r="A3008" s="3" t="s">
        <v>2536</v>
      </c>
      <c r="B3008" s="3" t="str">
        <f aca="false">IF(ISNUMBER(SEARCH("%", A3008)),RIGHT(A3008,3),A3008)</f>
        <v>NEW ROUTE</v>
      </c>
      <c r="C3008" s="1" t="str">
        <f aca="false" t="array" ref="C3008:C3008">IF(B3007="NEW ROUTE",textsplit(B3008,","),"")</f>
        <v/>
      </c>
      <c r="H3008" s="1" t="str">
        <f aca="false">IF(C3008&lt;&gt;"",DEC2HEX(C3008,2),"")</f>
        <v/>
      </c>
      <c r="I3008" s="1" t="str">
        <f aca="false">IF(D3008&lt;&gt;"",DEC2HEX(D3008,2),"")</f>
        <v/>
      </c>
      <c r="J3008" s="1" t="str">
        <f aca="false">IF(H3008&lt;&gt;"","0x"&amp;I3008&amp;H3008,"")</f>
        <v/>
      </c>
      <c r="L3008" s="1" t="s">
        <v>2536</v>
      </c>
      <c r="M3008" s="1" t="str">
        <f aca="false">IF(J3008&lt;&gt;"",J3008,L3008)</f>
        <v>NEW ROUTE</v>
      </c>
    </row>
    <row r="3009" customFormat="false" ht="12.75" hidden="false" customHeight="true" outlineLevel="0" collapsed="false">
      <c r="A3009" s="3" t="s">
        <v>3693</v>
      </c>
      <c r="B3009" s="3" t="str">
        <f aca="false">IF(ISNUMBER(SEARCH("%", A3009)),RIGHT(A3009,3),A3009)</f>
        <v>24, 24, STANTLER</v>
      </c>
      <c r="C3009" s="1" t="e">
        <f aca="false" t="array" ref="C3009:C3009">IF(B3008="NEW ROUTE",textsplit(B3009,","),"")</f>
        <v>#NAME?</v>
      </c>
      <c r="H3009" s="1" t="e">
        <f aca="false">IF(C3009&lt;&gt;"",DEC2HEX(C3009,2),"")</f>
        <v>#NAME?</v>
      </c>
      <c r="I3009" s="1" t="str">
        <f aca="false">IF(D3009&lt;&gt;"",DEC2HEX(D3009,2),"")</f>
        <v/>
      </c>
      <c r="J3009" s="1" t="e">
        <f aca="false">IF(H3009&lt;&gt;"","0x"&amp;I3009&amp;H3009,"")</f>
        <v>#NAME?</v>
      </c>
      <c r="L3009" s="1" t="s">
        <v>3693</v>
      </c>
      <c r="M3009" s="1" t="e">
        <f aca="false">IF(J3009&lt;&gt;"",J3009,L3009)</f>
        <v>#NAME?</v>
      </c>
    </row>
    <row r="3010" customFormat="false" ht="12.75" hidden="false" customHeight="true" outlineLevel="0" collapsed="false">
      <c r="A3010" s="3" t="s">
        <v>2806</v>
      </c>
      <c r="B3010" s="3" t="str">
        <f aca="false">IF(ISNUMBER(SEARCH("%", A3010)),RIGHT(A3010,3),A3010)</f>
        <v>0.05</v>
      </c>
      <c r="C3010" s="1" t="str">
        <f aca="false" t="array" ref="C3010:C3010">IF(B3009="NEW ROUTE",textsplit(B3010,","),"")</f>
        <v/>
      </c>
      <c r="H3010" s="1" t="str">
        <f aca="false">IF(C3010&lt;&gt;"",DEC2HEX(C3010,2),"")</f>
        <v/>
      </c>
      <c r="I3010" s="1" t="str">
        <f aca="false">IF(D3010&lt;&gt;"",DEC2HEX(D3010,2),"")</f>
        <v/>
      </c>
      <c r="J3010" s="1" t="str">
        <f aca="false">IF(H3010&lt;&gt;"","0x"&amp;I3010&amp;H3010,"")</f>
        <v/>
      </c>
      <c r="L3010" s="1" t="s">
        <v>2806</v>
      </c>
      <c r="M3010" s="1" t="str">
        <f aca="false">IF(J3010&lt;&gt;"",J3010,L3010)</f>
        <v>0.05</v>
      </c>
    </row>
    <row r="3011" customFormat="false" ht="12.75" hidden="false" customHeight="true" outlineLevel="0" collapsed="false">
      <c r="A3011" s="3" t="s">
        <v>3696</v>
      </c>
      <c r="B3011" s="3" t="str">
        <f aca="false">IF(ISNUMBER(SEARCH("%", A3011)),RIGHT(A3011,3),A3011)</f>
        <v>28, 28, STANTLER</v>
      </c>
      <c r="C3011" s="1" t="str">
        <f aca="false" t="array" ref="C3011:C3011">IF(B3010="NEW ROUTE",textsplit(B3011,","),"")</f>
        <v/>
      </c>
      <c r="H3011" s="1" t="str">
        <f aca="false">IF(C3011&lt;&gt;"",DEC2HEX(C3011,2),"")</f>
        <v/>
      </c>
      <c r="I3011" s="1" t="str">
        <f aca="false">IF(D3011&lt;&gt;"",DEC2HEX(D3011,2),"")</f>
        <v/>
      </c>
      <c r="J3011" s="1" t="str">
        <f aca="false">IF(H3011&lt;&gt;"","0x"&amp;I3011&amp;H3011,"")</f>
        <v/>
      </c>
      <c r="L3011" s="1" t="s">
        <v>3696</v>
      </c>
      <c r="M3011" s="1" t="str">
        <f aca="false">IF(J3011&lt;&gt;"",J3011,L3011)</f>
        <v>28, 28, STANTLER</v>
      </c>
    </row>
    <row r="3012" customFormat="false" ht="12.75" hidden="false" customHeight="true" outlineLevel="0" collapsed="false">
      <c r="A3012" s="3" t="s">
        <v>3697</v>
      </c>
      <c r="B3012" s="3" t="str">
        <f aca="false">IF(ISNUMBER(SEARCH("%", A3012)),RIGHT(A3012,3),A3012)</f>
        <v>18, 18, STANTLER</v>
      </c>
      <c r="C3012" s="1" t="str">
        <f aca="false" t="array" ref="C3012:C3012">IF(B3011="NEW ROUTE",textsplit(B3012,","),"")</f>
        <v/>
      </c>
      <c r="H3012" s="1" t="str">
        <f aca="false">IF(C3012&lt;&gt;"",DEC2HEX(C3012,2),"")</f>
        <v/>
      </c>
      <c r="I3012" s="1" t="str">
        <f aca="false">IF(D3012&lt;&gt;"",DEC2HEX(D3012,2),"")</f>
        <v/>
      </c>
      <c r="J3012" s="1" t="str">
        <f aca="false">IF(H3012&lt;&gt;"","0x"&amp;I3012&amp;H3012,"")</f>
        <v/>
      </c>
      <c r="L3012" s="1" t="s">
        <v>3697</v>
      </c>
      <c r="M3012" s="1" t="str">
        <f aca="false">IF(J3012&lt;&gt;"",J3012,L3012)</f>
        <v>18, 18, STANTLER</v>
      </c>
    </row>
    <row r="3013" customFormat="false" ht="12.75" hidden="false" customHeight="true" outlineLevel="0" collapsed="false">
      <c r="A3013" s="3" t="s">
        <v>2809</v>
      </c>
      <c r="B3013" s="3" t="str">
        <f aca="false">IF(ISNUMBER(SEARCH("%", A3013)),RIGHT(A3013,3),A3013)</f>
        <v>0.04</v>
      </c>
      <c r="C3013" s="1" t="str">
        <f aca="false" t="array" ref="C3013:C3013">IF(B3012="NEW ROUTE",textsplit(B3013,","),"")</f>
        <v/>
      </c>
      <c r="H3013" s="1" t="str">
        <f aca="false">IF(C3013&lt;&gt;"",DEC2HEX(C3013,2),"")</f>
        <v/>
      </c>
      <c r="I3013" s="1" t="str">
        <f aca="false">IF(D3013&lt;&gt;"",DEC2HEX(D3013,2),"")</f>
        <v/>
      </c>
      <c r="J3013" s="1" t="str">
        <f aca="false">IF(H3013&lt;&gt;"","0x"&amp;I3013&amp;H3013,"")</f>
        <v/>
      </c>
      <c r="L3013" s="1" t="s">
        <v>2809</v>
      </c>
      <c r="M3013" s="1" t="str">
        <f aca="false">IF(J3013&lt;&gt;"",J3013,L3013)</f>
        <v>0.04</v>
      </c>
    </row>
    <row r="3014" customFormat="false" ht="12.75" hidden="false" customHeight="true" outlineLevel="0" collapsed="false">
      <c r="A3014" s="3" t="s">
        <v>3694</v>
      </c>
      <c r="B3014" s="3" t="str">
        <f aca="false">IF(ISNUMBER(SEARCH("%", A3014)),RIGHT(A3014,3),A3014)</f>
        <v>20, 20, STANTLER</v>
      </c>
      <c r="C3014" s="1" t="str">
        <f aca="false" t="array" ref="C3014:C3014">IF(B3013="NEW ROUTE",textsplit(B3014,","),"")</f>
        <v/>
      </c>
      <c r="H3014" s="1" t="str">
        <f aca="false">IF(C3014&lt;&gt;"",DEC2HEX(C3014,2),"")</f>
        <v/>
      </c>
      <c r="I3014" s="1" t="str">
        <f aca="false">IF(D3014&lt;&gt;"",DEC2HEX(D3014,2),"")</f>
        <v/>
      </c>
      <c r="J3014" s="1" t="str">
        <f aca="false">IF(H3014&lt;&gt;"","0x"&amp;I3014&amp;H3014,"")</f>
        <v/>
      </c>
      <c r="L3014" s="1" t="s">
        <v>3694</v>
      </c>
      <c r="M3014" s="1" t="str">
        <f aca="false">IF(J3014&lt;&gt;"",J3014,L3014)</f>
        <v>20, 20, STANTLER</v>
      </c>
    </row>
    <row r="3015" customFormat="false" ht="12.75" hidden="false" customHeight="true" outlineLevel="0" collapsed="false">
      <c r="A3015" s="3" t="s">
        <v>3695</v>
      </c>
      <c r="B3015" s="3" t="str">
        <f aca="false">IF(ISNUMBER(SEARCH("%", A3015)),RIGHT(A3015,3),A3015)</f>
        <v>26, 26, STANTLER</v>
      </c>
      <c r="C3015" s="1" t="str">
        <f aca="false" t="array" ref="C3015:C3015">IF(B3014="NEW ROUTE",textsplit(B3015,","),"")</f>
        <v/>
      </c>
      <c r="H3015" s="1" t="str">
        <f aca="false">IF(C3015&lt;&gt;"",DEC2HEX(C3015,2),"")</f>
        <v/>
      </c>
      <c r="I3015" s="1" t="str">
        <f aca="false">IF(D3015&lt;&gt;"",DEC2HEX(D3015,2),"")</f>
        <v/>
      </c>
      <c r="J3015" s="1" t="str">
        <f aca="false">IF(H3015&lt;&gt;"","0x"&amp;I3015&amp;H3015,"")</f>
        <v/>
      </c>
      <c r="L3015" s="1" t="s">
        <v>3695</v>
      </c>
      <c r="M3015" s="1" t="str">
        <f aca="false">IF(J3015&lt;&gt;"",J3015,L3015)</f>
        <v>26, 26, STANTLER</v>
      </c>
    </row>
    <row r="3016" customFormat="false" ht="12.75" hidden="false" customHeight="true" outlineLevel="0" collapsed="false">
      <c r="A3016" s="3" t="s">
        <v>2812</v>
      </c>
      <c r="B3016" s="3" t="str">
        <f aca="false">IF(ISNUMBER(SEARCH("%", A3016)),RIGHT(A3016,3),A3016)</f>
        <v>0.01</v>
      </c>
      <c r="C3016" s="1" t="str">
        <f aca="false" t="array" ref="C3016:C3016">IF(B3015="NEW ROUTE",textsplit(B3016,","),"")</f>
        <v/>
      </c>
      <c r="H3016" s="1" t="str">
        <f aca="false">IF(C3016&lt;&gt;"",DEC2HEX(C3016,2),"")</f>
        <v/>
      </c>
      <c r="I3016" s="1" t="str">
        <f aca="false">IF(D3016&lt;&gt;"",DEC2HEX(D3016,2),"")</f>
        <v/>
      </c>
      <c r="J3016" s="1" t="str">
        <f aca="false">IF(H3016&lt;&gt;"","0x"&amp;I3016&amp;H3016,"")</f>
        <v/>
      </c>
      <c r="L3016" s="1" t="s">
        <v>2812</v>
      </c>
      <c r="M3016" s="1" t="str">
        <f aca="false">IF(J3016&lt;&gt;"",J3016,L3016)</f>
        <v>0.01</v>
      </c>
    </row>
    <row r="3017" customFormat="false" ht="12.75" hidden="false" customHeight="true" outlineLevel="0" collapsed="false">
      <c r="A3017" s="3" t="s">
        <v>3694</v>
      </c>
      <c r="B3017" s="3" t="str">
        <f aca="false">IF(ISNUMBER(SEARCH("%", A3017)),RIGHT(A3017,3),A3017)</f>
        <v>20, 20, STANTLER</v>
      </c>
      <c r="C3017" s="1" t="str">
        <f aca="false" t="array" ref="C3017:C3017">IF(B3016="NEW ROUTE",textsplit(B3017,","),"")</f>
        <v/>
      </c>
      <c r="H3017" s="1" t="str">
        <f aca="false">IF(C3017&lt;&gt;"",DEC2HEX(C3017,2),"")</f>
        <v/>
      </c>
      <c r="I3017" s="1" t="str">
        <f aca="false">IF(D3017&lt;&gt;"",DEC2HEX(D3017,2),"")</f>
        <v/>
      </c>
      <c r="J3017" s="1" t="str">
        <f aca="false">IF(H3017&lt;&gt;"","0x"&amp;I3017&amp;H3017,"")</f>
        <v/>
      </c>
      <c r="L3017" s="1" t="s">
        <v>3694</v>
      </c>
      <c r="M3017" s="1" t="str">
        <f aca="false">IF(J3017&lt;&gt;"",J3017,L3017)</f>
        <v>20, 20, STANTLER</v>
      </c>
    </row>
    <row r="3018" customFormat="false" ht="12.75" hidden="false" customHeight="true" outlineLevel="0" collapsed="false">
      <c r="A3018" s="3" t="s">
        <v>3698</v>
      </c>
      <c r="B3018" s="3" t="str">
        <f aca="false">IF(ISNUMBER(SEARCH("%", A3018)),RIGHT(A3018,3),A3018)</f>
        <v>26, 26, STANTLER , &lt;null&gt;, &lt;null&gt;, &lt;null&gt;</v>
      </c>
      <c r="C3018" s="1" t="str">
        <f aca="false" t="array" ref="C3018:C3018">IF(B3017="NEW ROUTE",textsplit(B3018,","),"")</f>
        <v/>
      </c>
      <c r="H3018" s="1" t="str">
        <f aca="false">IF(C3018&lt;&gt;"",DEC2HEX(C3018,2),"")</f>
        <v/>
      </c>
      <c r="I3018" s="1" t="str">
        <f aca="false">IF(D3018&lt;&gt;"",DEC2HEX(D3018,2),"")</f>
        <v/>
      </c>
      <c r="J3018" s="1" t="str">
        <f aca="false">IF(H3018&lt;&gt;"","0x"&amp;I3018&amp;H3018,"")</f>
        <v/>
      </c>
      <c r="L3018" s="1" t="s">
        <v>3698</v>
      </c>
      <c r="M3018" s="1" t="str">
        <f aca="false">IF(J3018&lt;&gt;"",J3018,L3018)</f>
        <v>26, 26, STANTLER , &lt;null&gt;, &lt;null&gt;, &lt;null&gt;</v>
      </c>
    </row>
    <row r="3019" customFormat="false" ht="12.75" hidden="false" customHeight="true" outlineLevel="0" collapsed="false">
      <c r="A3019" s="3" t="s">
        <v>2536</v>
      </c>
      <c r="B3019" s="3" t="str">
        <f aca="false">IF(ISNUMBER(SEARCH("%", A3019)),RIGHT(A3019,3),A3019)</f>
        <v>NEW ROUTE</v>
      </c>
      <c r="C3019" s="1" t="str">
        <f aca="false" t="array" ref="C3019:C3019">IF(B3018="NEW ROUTE",textsplit(B3019,","),"")</f>
        <v/>
      </c>
      <c r="H3019" s="1" t="str">
        <f aca="false">IF(C3019&lt;&gt;"",DEC2HEX(C3019,2),"")</f>
        <v/>
      </c>
      <c r="I3019" s="1" t="str">
        <f aca="false">IF(D3019&lt;&gt;"",DEC2HEX(D3019,2),"")</f>
        <v/>
      </c>
      <c r="J3019" s="1" t="str">
        <f aca="false">IF(H3019&lt;&gt;"","0x"&amp;I3019&amp;H3019,"")</f>
        <v/>
      </c>
      <c r="L3019" s="1" t="s">
        <v>2536</v>
      </c>
      <c r="M3019" s="1" t="str">
        <f aca="false">IF(J3019&lt;&gt;"",J3019,L3019)</f>
        <v>NEW ROUTE</v>
      </c>
    </row>
    <row r="3020" customFormat="false" ht="12.75" hidden="false" customHeight="true" outlineLevel="0" collapsed="false">
      <c r="A3020" s="3" t="s">
        <v>3649</v>
      </c>
      <c r="B3020" s="3" t="str">
        <f aca="false">IF(ISNUMBER(SEARCH("%", A3020)),RIGHT(A3020,3),A3020)</f>
        <v>1, 122, 0,</v>
      </c>
      <c r="C3020" s="1" t="e">
        <f aca="false" t="array" ref="C3020:C3020">IF(B3019="NEW ROUTE",textsplit(B3020,","),"")</f>
        <v>#NAME?</v>
      </c>
      <c r="H3020" s="1" t="e">
        <f aca="false">IF(C3020&lt;&gt;"",DEC2HEX(C3020,2),"")</f>
        <v>#NAME?</v>
      </c>
      <c r="I3020" s="1" t="str">
        <f aca="false">IF(D3020&lt;&gt;"",DEC2HEX(D3020,2),"")</f>
        <v/>
      </c>
      <c r="J3020" s="1" t="e">
        <f aca="false">IF(H3020&lt;&gt;"","0x"&amp;I3020&amp;H3020,"")</f>
        <v>#NAME?</v>
      </c>
      <c r="L3020" s="1" t="s">
        <v>3649</v>
      </c>
      <c r="M3020" s="1" t="e">
        <f aca="false">IF(J3020&lt;&gt;"",J3020,L3020)</f>
        <v>#NAME?</v>
      </c>
    </row>
    <row r="3021" customFormat="false" ht="12.75" hidden="false" customHeight="true" outlineLevel="0" collapsed="false">
      <c r="A3021" s="3" t="s">
        <v>2816</v>
      </c>
      <c r="B3021" s="3" t="str">
        <f aca="false">IF(ISNUMBER(SEARCH("%", A3021)),RIGHT(A3021,3),A3021)</f>
        <v>20%</v>
      </c>
      <c r="C3021" s="1" t="str">
        <f aca="false" t="array" ref="C3021:C3021">IF(B3020="NEW ROUTE",textsplit(B3021,","),"")</f>
        <v/>
      </c>
      <c r="H3021" s="1" t="str">
        <f aca="false">IF(C3021&lt;&gt;"",DEC2HEX(C3021,2),"")</f>
        <v/>
      </c>
      <c r="I3021" s="1" t="str">
        <f aca="false">IF(D3021&lt;&gt;"",DEC2HEX(D3021,2),"")</f>
        <v/>
      </c>
      <c r="J3021" s="1" t="str">
        <f aca="false">IF(H3021&lt;&gt;"","0x"&amp;I3021&amp;H3021,"")</f>
        <v/>
      </c>
      <c r="L3021" s="1" t="s">
        <v>2799</v>
      </c>
      <c r="M3021" s="1" t="str">
        <f aca="false">IF(J3021&lt;&gt;"",J3021,L3021)</f>
        <v>20%</v>
      </c>
    </row>
    <row r="3022" customFormat="false" ht="12.75" hidden="false" customHeight="true" outlineLevel="0" collapsed="false">
      <c r="A3022" s="3" t="s">
        <v>2203</v>
      </c>
      <c r="B3022" s="3" t="str">
        <f aca="false">IF(ISNUMBER(SEARCH("%", A3022)),RIGHT(A3022,3),A3022)</f>
        <v>22, 22, SMEARGLE</v>
      </c>
      <c r="C3022" s="1" t="str">
        <f aca="false" t="array" ref="C3022:C3022">IF(B3021="NEW ROUTE",textsplit(B3022,","),"")</f>
        <v/>
      </c>
      <c r="H3022" s="1" t="str">
        <f aca="false">IF(C3022&lt;&gt;"",DEC2HEX(C3022,2),"")</f>
        <v/>
      </c>
      <c r="I3022" s="1" t="str">
        <f aca="false">IF(D3022&lt;&gt;"",DEC2HEX(D3022,2),"")</f>
        <v/>
      </c>
      <c r="J3022" s="1" t="str">
        <f aca="false">IF(H3022&lt;&gt;"","0x"&amp;I3022&amp;H3022,"")</f>
        <v/>
      </c>
      <c r="L3022" s="1" t="s">
        <v>2203</v>
      </c>
      <c r="M3022" s="1" t="str">
        <f aca="false">IF(J3022&lt;&gt;"",J3022,L3022)</f>
        <v>22, 22, SMEARGLE</v>
      </c>
    </row>
    <row r="3023" customFormat="false" ht="12.75" hidden="false" customHeight="true" outlineLevel="0" collapsed="false">
      <c r="A3023" s="3" t="s">
        <v>3699</v>
      </c>
      <c r="B3023" s="3" t="str">
        <f aca="false">IF(ISNUMBER(SEARCH("%", A3023)),RIGHT(A3023,3),A3023)</f>
        <v>24, 24, SMEARGLE</v>
      </c>
      <c r="C3023" s="1" t="str">
        <f aca="false" t="array" ref="C3023:C3023">IF(B3022="NEW ROUTE",textsplit(B3023,","),"")</f>
        <v/>
      </c>
      <c r="H3023" s="1" t="str">
        <f aca="false">IF(C3023&lt;&gt;"",DEC2HEX(C3023,2),"")</f>
        <v/>
      </c>
      <c r="I3023" s="1" t="str">
        <f aca="false">IF(D3023&lt;&gt;"",DEC2HEX(D3023,2),"")</f>
        <v/>
      </c>
      <c r="J3023" s="1" t="str">
        <f aca="false">IF(H3023&lt;&gt;"","0x"&amp;I3023&amp;H3023,"")</f>
        <v/>
      </c>
      <c r="L3023" s="1" t="s">
        <v>3699</v>
      </c>
      <c r="M3023" s="1" t="str">
        <f aca="false">IF(J3023&lt;&gt;"",J3023,L3023)</f>
        <v>24, 24, SMEARGLE</v>
      </c>
    </row>
    <row r="3024" customFormat="false" ht="12.75" hidden="false" customHeight="true" outlineLevel="0" collapsed="false">
      <c r="A3024" s="3" t="s">
        <v>2801</v>
      </c>
      <c r="B3024" s="3" t="str">
        <f aca="false">IF(ISNUMBER(SEARCH("%", A3024)),RIGHT(A3024,3),A3024)</f>
        <v>0.1</v>
      </c>
      <c r="C3024" s="1" t="str">
        <f aca="false" t="array" ref="C3024:C3024">IF(B3023="NEW ROUTE",textsplit(B3024,","),"")</f>
        <v/>
      </c>
      <c r="H3024" s="1" t="str">
        <f aca="false">IF(C3024&lt;&gt;"",DEC2HEX(C3024,2),"")</f>
        <v/>
      </c>
      <c r="I3024" s="1" t="str">
        <f aca="false">IF(D3024&lt;&gt;"",DEC2HEX(D3024,2),"")</f>
        <v/>
      </c>
      <c r="J3024" s="1" t="str">
        <f aca="false">IF(H3024&lt;&gt;"","0x"&amp;I3024&amp;H3024,"")</f>
        <v/>
      </c>
      <c r="L3024" s="1" t="s">
        <v>2801</v>
      </c>
      <c r="M3024" s="1" t="str">
        <f aca="false">IF(J3024&lt;&gt;"",J3024,L3024)</f>
        <v>0.1</v>
      </c>
    </row>
    <row r="3025" customFormat="false" ht="12.75" hidden="false" customHeight="true" outlineLevel="0" collapsed="false">
      <c r="A3025" s="3" t="s">
        <v>3700</v>
      </c>
      <c r="B3025" s="3" t="str">
        <f aca="false">IF(ISNUMBER(SEARCH("%", A3025)),RIGHT(A3025,3),A3025)</f>
        <v>20, 20, SMEARGLE</v>
      </c>
      <c r="C3025" s="1" t="str">
        <f aca="false" t="array" ref="C3025:C3025">IF(B3024="NEW ROUTE",textsplit(B3025,","),"")</f>
        <v/>
      </c>
      <c r="H3025" s="1" t="str">
        <f aca="false">IF(C3025&lt;&gt;"",DEC2HEX(C3025,2),"")</f>
        <v/>
      </c>
      <c r="I3025" s="1" t="str">
        <f aca="false">IF(D3025&lt;&gt;"",DEC2HEX(D3025,2),"")</f>
        <v/>
      </c>
      <c r="J3025" s="1" t="str">
        <f aca="false">IF(H3025&lt;&gt;"","0x"&amp;I3025&amp;H3025,"")</f>
        <v/>
      </c>
      <c r="L3025" s="1" t="s">
        <v>3700</v>
      </c>
      <c r="M3025" s="1" t="str">
        <f aca="false">IF(J3025&lt;&gt;"",J3025,L3025)</f>
        <v>20, 20, SMEARGLE</v>
      </c>
    </row>
    <row r="3026" customFormat="false" ht="12.75" hidden="false" customHeight="true" outlineLevel="0" collapsed="false">
      <c r="A3026" s="3" t="s">
        <v>3701</v>
      </c>
      <c r="B3026" s="3" t="str">
        <f aca="false">IF(ISNUMBER(SEARCH("%", A3026)),RIGHT(A3026,3),A3026)</f>
        <v>26, 26, SMEARGLE</v>
      </c>
      <c r="C3026" s="1" t="str">
        <f aca="false" t="array" ref="C3026:C3026">IF(B3025="NEW ROUTE",textsplit(B3026,","),"")</f>
        <v/>
      </c>
      <c r="H3026" s="1" t="str">
        <f aca="false">IF(C3026&lt;&gt;"",DEC2HEX(C3026,2),"")</f>
        <v/>
      </c>
      <c r="I3026" s="1" t="str">
        <f aca="false">IF(D3026&lt;&gt;"",DEC2HEX(D3026,2),"")</f>
        <v/>
      </c>
      <c r="J3026" s="1" t="str">
        <f aca="false">IF(H3026&lt;&gt;"","0x"&amp;I3026&amp;H3026,"")</f>
        <v/>
      </c>
      <c r="L3026" s="1" t="s">
        <v>3701</v>
      </c>
      <c r="M3026" s="1" t="str">
        <f aca="false">IF(J3026&lt;&gt;"",J3026,L3026)</f>
        <v>26, 26, SMEARGLE</v>
      </c>
    </row>
    <row r="3027" customFormat="false" ht="12.75" hidden="false" customHeight="true" outlineLevel="0" collapsed="false">
      <c r="A3027" s="3" t="s">
        <v>2203</v>
      </c>
      <c r="B3027" s="3" t="str">
        <f aca="false">IF(ISNUMBER(SEARCH("%", A3027)),RIGHT(A3027,3),A3027)</f>
        <v>22, 22, SMEARGLE</v>
      </c>
      <c r="C3027" s="1" t="str">
        <f aca="false" t="array" ref="C3027:C3027">IF(B3026="NEW ROUTE",textsplit(B3027,","),"")</f>
        <v/>
      </c>
      <c r="H3027" s="1" t="str">
        <f aca="false">IF(C3027&lt;&gt;"",DEC2HEX(C3027,2),"")</f>
        <v/>
      </c>
      <c r="I3027" s="1" t="str">
        <f aca="false">IF(D3027&lt;&gt;"",DEC2HEX(D3027,2),"")</f>
        <v/>
      </c>
      <c r="J3027" s="1" t="str">
        <f aca="false">IF(H3027&lt;&gt;"","0x"&amp;I3027&amp;H3027,"")</f>
        <v/>
      </c>
      <c r="L3027" s="1" t="s">
        <v>2203</v>
      </c>
      <c r="M3027" s="1" t="str">
        <f aca="false">IF(J3027&lt;&gt;"",J3027,L3027)</f>
        <v>22, 22, SMEARGLE</v>
      </c>
    </row>
    <row r="3028" customFormat="false" ht="12.75" hidden="false" customHeight="true" outlineLevel="0" collapsed="false">
      <c r="A3028" s="3" t="s">
        <v>3699</v>
      </c>
      <c r="B3028" s="3" t="str">
        <f aca="false">IF(ISNUMBER(SEARCH("%", A3028)),RIGHT(A3028,3),A3028)</f>
        <v>24, 24, SMEARGLE</v>
      </c>
      <c r="C3028" s="1" t="str">
        <f aca="false" t="array" ref="C3028:C3028">IF(B3027="NEW ROUTE",textsplit(B3028,","),"")</f>
        <v/>
      </c>
      <c r="H3028" s="1" t="str">
        <f aca="false">IF(C3028&lt;&gt;"",DEC2HEX(C3028,2),"")</f>
        <v/>
      </c>
      <c r="I3028" s="1" t="str">
        <f aca="false">IF(D3028&lt;&gt;"",DEC2HEX(D3028,2),"")</f>
        <v/>
      </c>
      <c r="J3028" s="1" t="str">
        <f aca="false">IF(H3028&lt;&gt;"","0x"&amp;I3028&amp;H3028,"")</f>
        <v/>
      </c>
      <c r="L3028" s="1" t="s">
        <v>3699</v>
      </c>
      <c r="M3028" s="1" t="str">
        <f aca="false">IF(J3028&lt;&gt;"",J3028,L3028)</f>
        <v>24, 24, SMEARGLE</v>
      </c>
    </row>
    <row r="3029" customFormat="false" ht="12.75" hidden="false" customHeight="true" outlineLevel="0" collapsed="false">
      <c r="A3029" s="3" t="s">
        <v>2806</v>
      </c>
      <c r="B3029" s="3" t="str">
        <f aca="false">IF(ISNUMBER(SEARCH("%", A3029)),RIGHT(A3029,3),A3029)</f>
        <v>0.05</v>
      </c>
      <c r="C3029" s="1" t="str">
        <f aca="false" t="array" ref="C3029:C3029">IF(B3028="NEW ROUTE",textsplit(B3029,","),"")</f>
        <v/>
      </c>
      <c r="H3029" s="1" t="str">
        <f aca="false">IF(C3029&lt;&gt;"",DEC2HEX(C3029,2),"")</f>
        <v/>
      </c>
      <c r="I3029" s="1" t="str">
        <f aca="false">IF(D3029&lt;&gt;"",DEC2HEX(D3029,2),"")</f>
        <v/>
      </c>
      <c r="J3029" s="1" t="str">
        <f aca="false">IF(H3029&lt;&gt;"","0x"&amp;I3029&amp;H3029,"")</f>
        <v/>
      </c>
      <c r="L3029" s="1" t="s">
        <v>2806</v>
      </c>
      <c r="M3029" s="1" t="str">
        <f aca="false">IF(J3029&lt;&gt;"",J3029,L3029)</f>
        <v>0.05</v>
      </c>
    </row>
    <row r="3030" customFormat="false" ht="12.75" hidden="false" customHeight="true" outlineLevel="0" collapsed="false">
      <c r="A3030" s="3" t="s">
        <v>3702</v>
      </c>
      <c r="B3030" s="3" t="str">
        <f aca="false">IF(ISNUMBER(SEARCH("%", A3030)),RIGHT(A3030,3),A3030)</f>
        <v>28, 28, SMEARGLE</v>
      </c>
      <c r="C3030" s="1" t="str">
        <f aca="false" t="array" ref="C3030:C3030">IF(B3029="NEW ROUTE",textsplit(B3030,","),"")</f>
        <v/>
      </c>
      <c r="H3030" s="1" t="str">
        <f aca="false">IF(C3030&lt;&gt;"",DEC2HEX(C3030,2),"")</f>
        <v/>
      </c>
      <c r="I3030" s="1" t="str">
        <f aca="false">IF(D3030&lt;&gt;"",DEC2HEX(D3030,2),"")</f>
        <v/>
      </c>
      <c r="J3030" s="1" t="str">
        <f aca="false">IF(H3030&lt;&gt;"","0x"&amp;I3030&amp;H3030,"")</f>
        <v/>
      </c>
      <c r="L3030" s="1" t="s">
        <v>3702</v>
      </c>
      <c r="M3030" s="1" t="str">
        <f aca="false">IF(J3030&lt;&gt;"",J3030,L3030)</f>
        <v>28, 28, SMEARGLE</v>
      </c>
    </row>
    <row r="3031" customFormat="false" ht="12.75" hidden="false" customHeight="true" outlineLevel="0" collapsed="false">
      <c r="A3031" s="3" t="s">
        <v>3703</v>
      </c>
      <c r="B3031" s="3" t="str">
        <f aca="false">IF(ISNUMBER(SEARCH("%", A3031)),RIGHT(A3031,3),A3031)</f>
        <v>18, 18, SMEARGLE</v>
      </c>
      <c r="C3031" s="1" t="str">
        <f aca="false" t="array" ref="C3031:C3031">IF(B3030="NEW ROUTE",textsplit(B3031,","),"")</f>
        <v/>
      </c>
      <c r="H3031" s="1" t="str">
        <f aca="false">IF(C3031&lt;&gt;"",DEC2HEX(C3031,2),"")</f>
        <v/>
      </c>
      <c r="I3031" s="1" t="str">
        <f aca="false">IF(D3031&lt;&gt;"",DEC2HEX(D3031,2),"")</f>
        <v/>
      </c>
      <c r="J3031" s="1" t="str">
        <f aca="false">IF(H3031&lt;&gt;"","0x"&amp;I3031&amp;H3031,"")</f>
        <v/>
      </c>
      <c r="L3031" s="1" t="s">
        <v>3703</v>
      </c>
      <c r="M3031" s="1" t="str">
        <f aca="false">IF(J3031&lt;&gt;"",J3031,L3031)</f>
        <v>18, 18, SMEARGLE</v>
      </c>
    </row>
    <row r="3032" customFormat="false" ht="12.75" hidden="false" customHeight="true" outlineLevel="0" collapsed="false">
      <c r="A3032" s="3" t="s">
        <v>2809</v>
      </c>
      <c r="B3032" s="3" t="str">
        <f aca="false">IF(ISNUMBER(SEARCH("%", A3032)),RIGHT(A3032,3),A3032)</f>
        <v>0.04</v>
      </c>
      <c r="C3032" s="1" t="str">
        <f aca="false" t="array" ref="C3032:C3032">IF(B3031="NEW ROUTE",textsplit(B3032,","),"")</f>
        <v/>
      </c>
      <c r="H3032" s="1" t="str">
        <f aca="false">IF(C3032&lt;&gt;"",DEC2HEX(C3032,2),"")</f>
        <v/>
      </c>
      <c r="I3032" s="1" t="str">
        <f aca="false">IF(D3032&lt;&gt;"",DEC2HEX(D3032,2),"")</f>
        <v/>
      </c>
      <c r="J3032" s="1" t="str">
        <f aca="false">IF(H3032&lt;&gt;"","0x"&amp;I3032&amp;H3032,"")</f>
        <v/>
      </c>
      <c r="L3032" s="1" t="s">
        <v>2809</v>
      </c>
      <c r="M3032" s="1" t="str">
        <f aca="false">IF(J3032&lt;&gt;"",J3032,L3032)</f>
        <v>0.04</v>
      </c>
    </row>
    <row r="3033" customFormat="false" ht="12.75" hidden="false" customHeight="true" outlineLevel="0" collapsed="false">
      <c r="A3033" s="3" t="s">
        <v>3700</v>
      </c>
      <c r="B3033" s="3" t="str">
        <f aca="false">IF(ISNUMBER(SEARCH("%", A3033)),RIGHT(A3033,3),A3033)</f>
        <v>20, 20, SMEARGLE</v>
      </c>
      <c r="C3033" s="1" t="str">
        <f aca="false" t="array" ref="C3033:C3033">IF(B3032="NEW ROUTE",textsplit(B3033,","),"")</f>
        <v/>
      </c>
      <c r="H3033" s="1" t="str">
        <f aca="false">IF(C3033&lt;&gt;"",DEC2HEX(C3033,2),"")</f>
        <v/>
      </c>
      <c r="I3033" s="1" t="str">
        <f aca="false">IF(D3033&lt;&gt;"",DEC2HEX(D3033,2),"")</f>
        <v/>
      </c>
      <c r="J3033" s="1" t="str">
        <f aca="false">IF(H3033&lt;&gt;"","0x"&amp;I3033&amp;H3033,"")</f>
        <v/>
      </c>
      <c r="L3033" s="1" t="s">
        <v>3700</v>
      </c>
      <c r="M3033" s="1" t="str">
        <f aca="false">IF(J3033&lt;&gt;"",J3033,L3033)</f>
        <v>20, 20, SMEARGLE</v>
      </c>
    </row>
    <row r="3034" customFormat="false" ht="12.75" hidden="false" customHeight="true" outlineLevel="0" collapsed="false">
      <c r="A3034" s="3" t="s">
        <v>3701</v>
      </c>
      <c r="B3034" s="3" t="str">
        <f aca="false">IF(ISNUMBER(SEARCH("%", A3034)),RIGHT(A3034,3),A3034)</f>
        <v>26, 26, SMEARGLE</v>
      </c>
      <c r="C3034" s="1" t="str">
        <f aca="false" t="array" ref="C3034:C3034">IF(B3033="NEW ROUTE",textsplit(B3034,","),"")</f>
        <v/>
      </c>
      <c r="H3034" s="1" t="str">
        <f aca="false">IF(C3034&lt;&gt;"",DEC2HEX(C3034,2),"")</f>
        <v/>
      </c>
      <c r="I3034" s="1" t="str">
        <f aca="false">IF(D3034&lt;&gt;"",DEC2HEX(D3034,2),"")</f>
        <v/>
      </c>
      <c r="J3034" s="1" t="str">
        <f aca="false">IF(H3034&lt;&gt;"","0x"&amp;I3034&amp;H3034,"")</f>
        <v/>
      </c>
      <c r="L3034" s="1" t="s">
        <v>3701</v>
      </c>
      <c r="M3034" s="1" t="str">
        <f aca="false">IF(J3034&lt;&gt;"",J3034,L3034)</f>
        <v>26, 26, SMEARGLE</v>
      </c>
    </row>
    <row r="3035" customFormat="false" ht="12.75" hidden="false" customHeight="true" outlineLevel="0" collapsed="false">
      <c r="A3035" s="3" t="s">
        <v>2812</v>
      </c>
      <c r="B3035" s="3" t="str">
        <f aca="false">IF(ISNUMBER(SEARCH("%", A3035)),RIGHT(A3035,3),A3035)</f>
        <v>0.01</v>
      </c>
      <c r="C3035" s="1" t="str">
        <f aca="false" t="array" ref="C3035:C3035">IF(B3034="NEW ROUTE",textsplit(B3035,","),"")</f>
        <v/>
      </c>
      <c r="H3035" s="1" t="str">
        <f aca="false">IF(C3035&lt;&gt;"",DEC2HEX(C3035,2),"")</f>
        <v/>
      </c>
      <c r="I3035" s="1" t="str">
        <f aca="false">IF(D3035&lt;&gt;"",DEC2HEX(D3035,2),"")</f>
        <v/>
      </c>
      <c r="J3035" s="1" t="str">
        <f aca="false">IF(H3035&lt;&gt;"","0x"&amp;I3035&amp;H3035,"")</f>
        <v/>
      </c>
      <c r="L3035" s="1" t="s">
        <v>2812</v>
      </c>
      <c r="M3035" s="1" t="str">
        <f aca="false">IF(J3035&lt;&gt;"",J3035,L3035)</f>
        <v>0.01</v>
      </c>
    </row>
    <row r="3036" customFormat="false" ht="12.75" hidden="false" customHeight="true" outlineLevel="0" collapsed="false">
      <c r="A3036" s="3" t="s">
        <v>3700</v>
      </c>
      <c r="B3036" s="3" t="str">
        <f aca="false">IF(ISNUMBER(SEARCH("%", A3036)),RIGHT(A3036,3),A3036)</f>
        <v>20, 20, SMEARGLE</v>
      </c>
      <c r="C3036" s="1" t="str">
        <f aca="false" t="array" ref="C3036:C3036">IF(B3035="NEW ROUTE",textsplit(B3036,","),"")</f>
        <v/>
      </c>
      <c r="H3036" s="1" t="str">
        <f aca="false">IF(C3036&lt;&gt;"",DEC2HEX(C3036,2),"")</f>
        <v/>
      </c>
      <c r="I3036" s="1" t="str">
        <f aca="false">IF(D3036&lt;&gt;"",DEC2HEX(D3036,2),"")</f>
        <v/>
      </c>
      <c r="J3036" s="1" t="str">
        <f aca="false">IF(H3036&lt;&gt;"","0x"&amp;I3036&amp;H3036,"")</f>
        <v/>
      </c>
      <c r="L3036" s="1" t="s">
        <v>3700</v>
      </c>
      <c r="M3036" s="1" t="str">
        <f aca="false">IF(J3036&lt;&gt;"",J3036,L3036)</f>
        <v>20, 20, SMEARGLE</v>
      </c>
    </row>
    <row r="3037" customFormat="false" ht="12.75" hidden="false" customHeight="true" outlineLevel="0" collapsed="false">
      <c r="A3037" s="3" t="s">
        <v>3704</v>
      </c>
      <c r="B3037" s="3" t="str">
        <f aca="false">IF(ISNUMBER(SEARCH("%", A3037)),RIGHT(A3037,3),A3037)</f>
        <v>26, 26, SMEARGLE , &lt;null&gt;, &lt;null&gt;, &lt;null&gt;</v>
      </c>
      <c r="C3037" s="1" t="str">
        <f aca="false" t="array" ref="C3037:C3037">IF(B3036="NEW ROUTE",textsplit(B3037,","),"")</f>
        <v/>
      </c>
      <c r="H3037" s="1" t="str">
        <f aca="false">IF(C3037&lt;&gt;"",DEC2HEX(C3037,2),"")</f>
        <v/>
      </c>
      <c r="I3037" s="1" t="str">
        <f aca="false">IF(D3037&lt;&gt;"",DEC2HEX(D3037,2),"")</f>
        <v/>
      </c>
      <c r="J3037" s="1" t="str">
        <f aca="false">IF(H3037&lt;&gt;"","0x"&amp;I3037&amp;H3037,"")</f>
        <v/>
      </c>
      <c r="L3037" s="1" t="s">
        <v>3704</v>
      </c>
      <c r="M3037" s="1" t="str">
        <f aca="false">IF(J3037&lt;&gt;"",J3037,L3037)</f>
        <v>26, 26, SMEARGLE , &lt;null&gt;, &lt;null&gt;, &lt;null&gt;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44.38"/>
    <col collapsed="false" customWidth="true" hidden="false" outlineLevel="0" max="2" min="2" style="0" width="22.63"/>
    <col collapsed="false" customWidth="true" hidden="false" outlineLevel="0" max="4" min="3" style="0" width="8.63"/>
    <col collapsed="false" customWidth="true" hidden="false" outlineLevel="0" max="5" min="5" style="0" width="22.63"/>
    <col collapsed="false" customWidth="true" hidden="false" outlineLevel="0" max="6" min="6" style="0" width="34.13"/>
    <col collapsed="false" customWidth="true" hidden="false" outlineLevel="0" max="8" min="7" style="0" width="36.38"/>
    <col collapsed="false" customWidth="true" hidden="false" outlineLevel="0" max="11" min="9" style="0" width="8.63"/>
    <col collapsed="false" customWidth="true" hidden="false" outlineLevel="0" max="12" min="12" style="0" width="40.89"/>
  </cols>
  <sheetData>
    <row r="1" customFormat="false" ht="12.75" hidden="false" customHeight="true" outlineLevel="0" collapsed="false">
      <c r="A1" s="4" t="s">
        <v>2536</v>
      </c>
      <c r="B1" s="5" t="s">
        <v>2536</v>
      </c>
      <c r="C1" s="1" t="n">
        <f aca="false">IF(B1="NEW ROUTE",1,"")</f>
        <v>1</v>
      </c>
      <c r="E1" s="5" t="s">
        <v>2536</v>
      </c>
      <c r="F1" s="6" t="e">
        <f aca="false">VLOOKUP(E1,$K$2:$L$426,2,FALSE())</f>
        <v>#N/A</v>
      </c>
      <c r="G1" s="1" t="str">
        <f aca="false">IF(ISNA(F1),"",F1)</f>
        <v/>
      </c>
      <c r="H1" s="5" t="str">
        <f aca="false">IF(G1&lt;&gt;"",G1,E1)</f>
        <v>NEW ROUTE</v>
      </c>
      <c r="K1" s="1" t="s">
        <v>0</v>
      </c>
      <c r="L1" s="1" t="s">
        <v>1</v>
      </c>
    </row>
    <row r="2" customFormat="false" ht="12.75" hidden="false" customHeight="true" outlineLevel="0" collapsed="false">
      <c r="A2" s="4" t="s">
        <v>12</v>
      </c>
      <c r="B2" s="5" t="s">
        <v>12</v>
      </c>
      <c r="C2" s="1" t="str">
        <f aca="false">IF(B2="NEW ROUTE",1,"")</f>
        <v/>
      </c>
      <c r="E2" s="5" t="s">
        <v>12</v>
      </c>
      <c r="F2" s="6" t="str">
        <f aca="false">VLOOKUP(E2,$K$2:$L$426,2,FALSE())</f>
        <v>Viridian Forest</v>
      </c>
      <c r="G2" s="1" t="str">
        <f aca="false">IF(ISNA(F2),"",F2)</f>
        <v>Viridian Forest</v>
      </c>
      <c r="H2" s="5" t="str">
        <f aca="false">IF(G2&lt;&gt;"",G2,E2)</f>
        <v>Viridian Forest</v>
      </c>
      <c r="K2" s="1" t="s">
        <v>2</v>
      </c>
      <c r="L2" s="1" t="s">
        <v>3</v>
      </c>
    </row>
    <row r="3" customFormat="false" ht="12.75" hidden="false" customHeight="true" outlineLevel="0" collapsed="false">
      <c r="A3" s="4" t="s">
        <v>2799</v>
      </c>
      <c r="B3" s="5" t="n">
        <v>0.2</v>
      </c>
      <c r="C3" s="1" t="str">
        <f aca="false">IF(B3="NEW ROUTE",1,"")</f>
        <v/>
      </c>
      <c r="E3" s="5" t="n">
        <v>0.2</v>
      </c>
      <c r="F3" s="6" t="e">
        <f aca="false">VLOOKUP(E3,$K$2:$L$426,2,FALSE())</f>
        <v>#N/A</v>
      </c>
      <c r="G3" s="1" t="str">
        <f aca="false">IF(ISNA(F3),"",F3)</f>
        <v/>
      </c>
      <c r="H3" s="5" t="n">
        <f aca="false">IF(G3&lt;&gt;"",G3,E3)</f>
        <v>0.2</v>
      </c>
      <c r="K3" s="1" t="s">
        <v>4</v>
      </c>
      <c r="L3" s="1" t="s">
        <v>5</v>
      </c>
    </row>
    <row r="4" customFormat="false" ht="12.75" hidden="false" customHeight="true" outlineLevel="0" collapsed="false">
      <c r="A4" s="4" t="s">
        <v>1221</v>
      </c>
      <c r="B4" s="5" t="s">
        <v>1221</v>
      </c>
      <c r="C4" s="1" t="str">
        <f aca="false">IF(B4="NEW ROUTE",1,"")</f>
        <v/>
      </c>
      <c r="E4" s="5" t="s">
        <v>1221</v>
      </c>
      <c r="F4" s="6" t="e">
        <f aca="false">VLOOKUP(E4,$K$2:$L$426,2,FALSE())</f>
        <v>#N/A</v>
      </c>
      <c r="G4" s="1" t="str">
        <f aca="false">IF(ISNA(F4),"",F4)</f>
        <v/>
      </c>
      <c r="H4" s="5" t="str">
        <f aca="false">IF(G4&lt;&gt;"",G4,E4)</f>
        <v>4, 6, CATERPIE</v>
      </c>
      <c r="K4" s="1" t="s">
        <v>6</v>
      </c>
      <c r="L4" s="1" t="s">
        <v>7</v>
      </c>
    </row>
    <row r="5" customFormat="false" ht="12.75" hidden="false" customHeight="true" outlineLevel="0" collapsed="false">
      <c r="A5" s="4" t="s">
        <v>2800</v>
      </c>
      <c r="B5" s="5" t="s">
        <v>2800</v>
      </c>
      <c r="C5" s="1" t="str">
        <f aca="false">IF(B5="NEW ROUTE",1,"")</f>
        <v/>
      </c>
      <c r="E5" s="5" t="s">
        <v>2800</v>
      </c>
      <c r="F5" s="6" t="e">
        <f aca="false">VLOOKUP(E5,$K$2:$L$426,2,FALSE())</f>
        <v>#N/A</v>
      </c>
      <c r="G5" s="1" t="str">
        <f aca="false">IF(ISNA(F5),"",F5)</f>
        <v/>
      </c>
      <c r="H5" s="5" t="str">
        <f aca="false">IF(G5&lt;&gt;"",G5,E5)</f>
        <v>4, 6, WEEDLE</v>
      </c>
      <c r="K5" s="1" t="s">
        <v>8</v>
      </c>
      <c r="L5" s="1" t="s">
        <v>9</v>
      </c>
    </row>
    <row r="6" customFormat="false" ht="12.75" hidden="false" customHeight="true" outlineLevel="0" collapsed="false">
      <c r="A6" s="4" t="s">
        <v>2801</v>
      </c>
      <c r="B6" s="5" t="n">
        <v>0.1</v>
      </c>
      <c r="C6" s="1" t="str">
        <f aca="false">IF(B6="NEW ROUTE",1,"")</f>
        <v/>
      </c>
      <c r="E6" s="5" t="n">
        <v>0.1</v>
      </c>
      <c r="F6" s="6" t="e">
        <f aca="false">VLOOKUP(E6,$K$2:$L$426,2,FALSE())</f>
        <v>#N/A</v>
      </c>
      <c r="G6" s="1" t="str">
        <f aca="false">IF(ISNA(F6),"",F6)</f>
        <v/>
      </c>
      <c r="H6" s="5" t="n">
        <f aca="false">IF(G6&lt;&gt;"",G6,E6)</f>
        <v>0.1</v>
      </c>
      <c r="K6" s="1" t="s">
        <v>10</v>
      </c>
      <c r="L6" s="1" t="s">
        <v>11</v>
      </c>
    </row>
    <row r="7" customFormat="false" ht="12.75" hidden="false" customHeight="true" outlineLevel="0" collapsed="false">
      <c r="A7" s="4" t="s">
        <v>2802</v>
      </c>
      <c r="B7" s="5" t="s">
        <v>2802</v>
      </c>
      <c r="C7" s="1" t="str">
        <f aca="false">IF(B7="NEW ROUTE",1,"")</f>
        <v/>
      </c>
      <c r="E7" s="5" t="s">
        <v>2802</v>
      </c>
      <c r="F7" s="6" t="e">
        <f aca="false">VLOOKUP(E7,$K$2:$L$426,2,FALSE())</f>
        <v>#N/A</v>
      </c>
      <c r="G7" s="1" t="str">
        <f aca="false">IF(ISNA(F7),"",F7)</f>
        <v/>
      </c>
      <c r="H7" s="5" t="str">
        <f aca="false">IF(G7&lt;&gt;"",G7,E7)</f>
        <v>5, 7, ODDISH</v>
      </c>
      <c r="K7" s="1" t="s">
        <v>12</v>
      </c>
      <c r="L7" s="1" t="s">
        <v>13</v>
      </c>
    </row>
    <row r="8" customFormat="false" ht="12.75" hidden="false" customHeight="true" outlineLevel="0" collapsed="false">
      <c r="A8" s="4" t="s">
        <v>2803</v>
      </c>
      <c r="B8" s="5" t="s">
        <v>2803</v>
      </c>
      <c r="C8" s="1" t="str">
        <f aca="false">IF(B8="NEW ROUTE",1,"")</f>
        <v/>
      </c>
      <c r="E8" s="5" t="s">
        <v>2803</v>
      </c>
      <c r="F8" s="6" t="e">
        <f aca="false">VLOOKUP(E8,$K$2:$L$426,2,FALSE())</f>
        <v>#N/A</v>
      </c>
      <c r="G8" s="1" t="str">
        <f aca="false">IF(ISNA(F8),"",F8)</f>
        <v/>
      </c>
      <c r="H8" s="5" t="str">
        <f aca="false">IF(G8&lt;&gt;"",G8,E8)</f>
        <v>7, 9, METAPOD</v>
      </c>
      <c r="K8" s="1" t="s">
        <v>14</v>
      </c>
      <c r="L8" s="1" t="s">
        <v>15</v>
      </c>
    </row>
    <row r="9" customFormat="false" ht="12.75" hidden="false" customHeight="true" outlineLevel="0" collapsed="false">
      <c r="A9" s="4" t="s">
        <v>2804</v>
      </c>
      <c r="B9" s="5" t="s">
        <v>2804</v>
      </c>
      <c r="C9" s="1" t="str">
        <f aca="false">IF(B9="NEW ROUTE",1,"")</f>
        <v/>
      </c>
      <c r="E9" s="5" t="s">
        <v>2804</v>
      </c>
      <c r="F9" s="6" t="e">
        <f aca="false">VLOOKUP(E9,$K$2:$L$426,2,FALSE())</f>
        <v>#N/A</v>
      </c>
      <c r="G9" s="1" t="str">
        <f aca="false">IF(ISNA(F9),"",F9)</f>
        <v/>
      </c>
      <c r="H9" s="5" t="str">
        <f aca="false">IF(G9&lt;&gt;"",G9,E9)</f>
        <v>7, 9, KAKUNA</v>
      </c>
      <c r="K9" s="1" t="s">
        <v>16</v>
      </c>
      <c r="L9" s="1" t="s">
        <v>17</v>
      </c>
    </row>
    <row r="10" customFormat="false" ht="12.75" hidden="false" customHeight="true" outlineLevel="0" collapsed="false">
      <c r="A10" s="4" t="s">
        <v>2805</v>
      </c>
      <c r="B10" s="5" t="s">
        <v>2805</v>
      </c>
      <c r="C10" s="1" t="str">
        <f aca="false">IF(B10="NEW ROUTE",1,"")</f>
        <v/>
      </c>
      <c r="E10" s="5" t="s">
        <v>2805</v>
      </c>
      <c r="F10" s="6" t="e">
        <f aca="false">VLOOKUP(E10,$K$2:$L$426,2,FALSE())</f>
        <v>#N/A</v>
      </c>
      <c r="G10" s="1" t="str">
        <f aca="false">IF(ISNA(F10),"",F10)</f>
        <v/>
      </c>
      <c r="H10" s="5" t="str">
        <f aca="false">IF(G10&lt;&gt;"",G10,E10)</f>
        <v>5, 7, PIKACHU</v>
      </c>
      <c r="K10" s="1" t="s">
        <v>18</v>
      </c>
      <c r="L10" s="1" t="s">
        <v>19</v>
      </c>
    </row>
    <row r="11" customFormat="false" ht="12.75" hidden="false" customHeight="true" outlineLevel="0" collapsed="false">
      <c r="A11" s="4" t="s">
        <v>2806</v>
      </c>
      <c r="B11" s="5" t="n">
        <v>0.05</v>
      </c>
      <c r="C11" s="1" t="str">
        <f aca="false">IF(B11="NEW ROUTE",1,"")</f>
        <v/>
      </c>
      <c r="E11" s="5" t="n">
        <v>0.05</v>
      </c>
      <c r="F11" s="6" t="e">
        <f aca="false">VLOOKUP(E11,$K$2:$L$426,2,FALSE())</f>
        <v>#N/A</v>
      </c>
      <c r="G11" s="1" t="str">
        <f aca="false">IF(ISNA(F11),"",F11)</f>
        <v/>
      </c>
      <c r="H11" s="5" t="n">
        <f aca="false">IF(G11&lt;&gt;"",G11,E11)</f>
        <v>0.05</v>
      </c>
      <c r="K11" s="1" t="s">
        <v>20</v>
      </c>
      <c r="L11" s="1" t="s">
        <v>21</v>
      </c>
    </row>
    <row r="12" customFormat="false" ht="12.75" hidden="false" customHeight="true" outlineLevel="0" collapsed="false">
      <c r="A12" s="4" t="s">
        <v>2807</v>
      </c>
      <c r="B12" s="5" t="s">
        <v>2807</v>
      </c>
      <c r="C12" s="1" t="str">
        <f aca="false">IF(B12="NEW ROUTE",1,"")</f>
        <v/>
      </c>
      <c r="E12" s="5" t="s">
        <v>2807</v>
      </c>
      <c r="F12" s="6" t="e">
        <f aca="false">VLOOKUP(E12,$K$2:$L$426,2,FALSE())</f>
        <v>#N/A</v>
      </c>
      <c r="G12" s="1" t="str">
        <f aca="false">IF(ISNA(F12),"",F12)</f>
        <v/>
      </c>
      <c r="H12" s="5" t="str">
        <f aca="false">IF(G12&lt;&gt;"",G12,E12)</f>
        <v>5, 7, MANKEY</v>
      </c>
      <c r="K12" s="1" t="s">
        <v>22</v>
      </c>
      <c r="L12" s="1" t="s">
        <v>23</v>
      </c>
    </row>
    <row r="13" customFormat="false" ht="12.75" hidden="false" customHeight="true" outlineLevel="0" collapsed="false">
      <c r="A13" s="4" t="s">
        <v>2808</v>
      </c>
      <c r="B13" s="5" t="s">
        <v>2808</v>
      </c>
      <c r="C13" s="1" t="str">
        <f aca="false">IF(B13="NEW ROUTE",1,"")</f>
        <v/>
      </c>
      <c r="E13" s="5" t="s">
        <v>2808</v>
      </c>
      <c r="F13" s="6" t="e">
        <f aca="false">VLOOKUP(E13,$K$2:$L$426,2,FALSE())</f>
        <v>#N/A</v>
      </c>
      <c r="G13" s="1" t="str">
        <f aca="false">IF(ISNA(F13),"",F13)</f>
        <v/>
      </c>
      <c r="H13" s="5" t="str">
        <f aca="false">IF(G13&lt;&gt;"",G13,E13)</f>
        <v>9, 10, BUTTERFREE</v>
      </c>
      <c r="K13" s="1" t="s">
        <v>24</v>
      </c>
      <c r="L13" s="1" t="s">
        <v>25</v>
      </c>
    </row>
    <row r="14" customFormat="false" ht="12.75" hidden="false" customHeight="true" outlineLevel="0" collapsed="false">
      <c r="A14" s="4" t="s">
        <v>2809</v>
      </c>
      <c r="B14" s="5" t="n">
        <v>0.04</v>
      </c>
      <c r="C14" s="1" t="str">
        <f aca="false">IF(B14="NEW ROUTE",1,"")</f>
        <v/>
      </c>
      <c r="E14" s="5" t="n">
        <v>0.04</v>
      </c>
      <c r="F14" s="6" t="e">
        <f aca="false">VLOOKUP(E14,$K$2:$L$426,2,FALSE())</f>
        <v>#N/A</v>
      </c>
      <c r="G14" s="1" t="str">
        <f aca="false">IF(ISNA(F14),"",F14)</f>
        <v/>
      </c>
      <c r="H14" s="5" t="n">
        <f aca="false">IF(G14&lt;&gt;"",G14,E14)</f>
        <v>0.04</v>
      </c>
      <c r="K14" s="1" t="s">
        <v>26</v>
      </c>
      <c r="L14" s="1" t="s">
        <v>27</v>
      </c>
    </row>
    <row r="15" customFormat="false" ht="12.75" hidden="false" customHeight="true" outlineLevel="0" collapsed="false">
      <c r="A15" s="4" t="s">
        <v>2810</v>
      </c>
      <c r="B15" s="5" t="s">
        <v>2810</v>
      </c>
      <c r="C15" s="1" t="str">
        <f aca="false">IF(B15="NEW ROUTE",1,"")</f>
        <v/>
      </c>
      <c r="E15" s="5" t="s">
        <v>2810</v>
      </c>
      <c r="F15" s="6" t="e">
        <f aca="false">VLOOKUP(E15,$K$2:$L$426,2,FALSE())</f>
        <v>#N/A</v>
      </c>
      <c r="G15" s="1" t="str">
        <f aca="false">IF(ISNA(F15),"",F15)</f>
        <v/>
      </c>
      <c r="H15" s="5" t="str">
        <f aca="false">IF(G15&lt;&gt;"",G15,E15)</f>
        <v>9, 10, BEEDRILL</v>
      </c>
      <c r="K15" s="1" t="s">
        <v>28</v>
      </c>
      <c r="L15" s="1" t="s">
        <v>29</v>
      </c>
    </row>
    <row r="16" customFormat="false" ht="12.75" hidden="false" customHeight="true" outlineLevel="0" collapsed="false">
      <c r="A16" s="4" t="s">
        <v>2811</v>
      </c>
      <c r="B16" s="5" t="s">
        <v>2811</v>
      </c>
      <c r="C16" s="1" t="str">
        <f aca="false">IF(B16="NEW ROUTE",1,"")</f>
        <v/>
      </c>
      <c r="E16" s="5" t="s">
        <v>2811</v>
      </c>
      <c r="F16" s="6" t="e">
        <f aca="false">VLOOKUP(E16,$K$2:$L$426,2,FALSE())</f>
        <v>#N/A</v>
      </c>
      <c r="G16" s="1" t="str">
        <f aca="false">IF(ISNA(F16),"",F16)</f>
        <v/>
      </c>
      <c r="H16" s="5" t="str">
        <f aca="false">IF(G16&lt;&gt;"",G16,E16)</f>
        <v>6, 9, TANGELA</v>
      </c>
      <c r="K16" s="1" t="s">
        <v>30</v>
      </c>
      <c r="L16" s="1" t="s">
        <v>31</v>
      </c>
    </row>
    <row r="17" customFormat="false" ht="12.75" hidden="false" customHeight="true" outlineLevel="0" collapsed="false">
      <c r="A17" s="4" t="s">
        <v>2812</v>
      </c>
      <c r="B17" s="5" t="n">
        <v>0.01</v>
      </c>
      <c r="C17" s="1" t="str">
        <f aca="false">IF(B17="NEW ROUTE",1,"")</f>
        <v/>
      </c>
      <c r="E17" s="5" t="n">
        <v>0.01</v>
      </c>
      <c r="F17" s="6" t="e">
        <f aca="false">VLOOKUP(E17,$K$2:$L$426,2,FALSE())</f>
        <v>#N/A</v>
      </c>
      <c r="G17" s="1" t="str">
        <f aca="false">IF(ISNA(F17),"",F17)</f>
        <v/>
      </c>
      <c r="H17" s="5" t="n">
        <f aca="false">IF(G17&lt;&gt;"",G17,E17)</f>
        <v>0.01</v>
      </c>
      <c r="K17" s="1" t="s">
        <v>32</v>
      </c>
      <c r="L17" s="1" t="s">
        <v>33</v>
      </c>
    </row>
    <row r="18" customFormat="false" ht="12.75" hidden="false" customHeight="true" outlineLevel="0" collapsed="false">
      <c r="A18" s="4" t="s">
        <v>2813</v>
      </c>
      <c r="B18" s="5" t="s">
        <v>2813</v>
      </c>
      <c r="C18" s="1" t="str">
        <f aca="false">IF(B18="NEW ROUTE",1,"")</f>
        <v/>
      </c>
      <c r="E18" s="5" t="s">
        <v>2813</v>
      </c>
      <c r="F18" s="6" t="e">
        <f aca="false">VLOOKUP(E18,$K$2:$L$426,2,FALSE())</f>
        <v>#N/A</v>
      </c>
      <c r="G18" s="1" t="str">
        <f aca="false">IF(ISNA(F18),"",F18)</f>
        <v/>
      </c>
      <c r="H18" s="5" t="str">
        <f aca="false">IF(G18&lt;&gt;"",G18,E18)</f>
        <v>11, 11, BEEDRILL</v>
      </c>
      <c r="K18" s="1" t="s">
        <v>34</v>
      </c>
      <c r="L18" s="1" t="s">
        <v>35</v>
      </c>
    </row>
    <row r="19" customFormat="false" ht="12.75" hidden="false" customHeight="true" outlineLevel="0" collapsed="false">
      <c r="A19" s="4" t="s">
        <v>3705</v>
      </c>
      <c r="B19" s="5" t="s">
        <v>3705</v>
      </c>
      <c r="C19" s="1" t="str">
        <f aca="false">IF(B19="NEW ROUTE",1,"")</f>
        <v/>
      </c>
      <c r="E19" s="5" t="s">
        <v>3705</v>
      </c>
      <c r="F19" s="6" t="e">
        <f aca="false">VLOOKUP(E19,$K$2:$L$426,2,FALSE())</f>
        <v>#N/A</v>
      </c>
      <c r="G19" s="1" t="str">
        <f aca="false">IF(ISNA(F19),"",F19)</f>
        <v/>
      </c>
      <c r="H19" s="5" t="str">
        <f aca="false">IF(G19&lt;&gt;"",G19,E19)</f>
        <v>10, 10, TANGELA</v>
      </c>
      <c r="K19" s="1" t="s">
        <v>36</v>
      </c>
      <c r="L19" s="1" t="s">
        <v>37</v>
      </c>
    </row>
    <row r="20" customFormat="false" ht="12.75" hidden="false" customHeight="true" outlineLevel="0" collapsed="false">
      <c r="A20" s="4" t="s">
        <v>2536</v>
      </c>
      <c r="B20" s="5" t="s">
        <v>2536</v>
      </c>
      <c r="C20" s="1" t="n">
        <f aca="false">IF(B20="NEW ROUTE",1,"")</f>
        <v>1</v>
      </c>
      <c r="E20" s="5" t="s">
        <v>2536</v>
      </c>
      <c r="F20" s="6" t="e">
        <f aca="false">VLOOKUP(E20,$K$2:$L$426,2,FALSE())</f>
        <v>#N/A</v>
      </c>
      <c r="G20" s="1" t="str">
        <f aca="false">IF(ISNA(F20),"",F20)</f>
        <v/>
      </c>
      <c r="H20" s="5" t="str">
        <f aca="false">IF(G20&lt;&gt;"",G20,E20)</f>
        <v>NEW ROUTE</v>
      </c>
      <c r="K20" s="1" t="s">
        <v>38</v>
      </c>
      <c r="L20" s="1" t="s">
        <v>39</v>
      </c>
    </row>
    <row r="21" customFormat="false" ht="12.75" hidden="false" customHeight="true" outlineLevel="0" collapsed="false">
      <c r="A21" s="4" t="s">
        <v>14</v>
      </c>
      <c r="B21" s="5" t="s">
        <v>14</v>
      </c>
      <c r="C21" s="1" t="str">
        <f aca="false">IF(B21="NEW ROUTE",1,"")</f>
        <v/>
      </c>
      <c r="E21" s="5" t="s">
        <v>14</v>
      </c>
      <c r="F21" s="6" t="str">
        <f aca="false">VLOOKUP(E21,$K$2:$L$426,2,FALSE())</f>
        <v>Mt Moon 1F</v>
      </c>
      <c r="G21" s="1" t="str">
        <f aca="false">IF(ISNA(F21),"",F21)</f>
        <v>Mt Moon 1F</v>
      </c>
      <c r="H21" s="5" t="str">
        <f aca="false">IF(G21&lt;&gt;"",G21,E21)</f>
        <v>Mt Moon 1F</v>
      </c>
      <c r="K21" s="1" t="s">
        <v>40</v>
      </c>
      <c r="L21" s="1" t="s">
        <v>41</v>
      </c>
    </row>
    <row r="22" customFormat="false" ht="12.75" hidden="false" customHeight="true" outlineLevel="0" collapsed="false">
      <c r="A22" s="4" t="s">
        <v>2799</v>
      </c>
      <c r="B22" s="5" t="n">
        <v>0.2</v>
      </c>
      <c r="C22" s="1" t="str">
        <f aca="false">IF(B22="NEW ROUTE",1,"")</f>
        <v/>
      </c>
      <c r="E22" s="5" t="n">
        <v>0.2</v>
      </c>
      <c r="F22" s="6" t="e">
        <f aca="false">VLOOKUP(E22,$K$2:$L$426,2,FALSE())</f>
        <v>#N/A</v>
      </c>
      <c r="G22" s="1" t="str">
        <f aca="false">IF(ISNA(F22),"",F22)</f>
        <v/>
      </c>
      <c r="H22" s="5" t="n">
        <f aca="false">IF(G22&lt;&gt;"",G22,E22)</f>
        <v>0.2</v>
      </c>
      <c r="K22" s="1" t="s">
        <v>42</v>
      </c>
      <c r="L22" s="1" t="s">
        <v>43</v>
      </c>
    </row>
    <row r="23" customFormat="false" ht="12.75" hidden="false" customHeight="true" outlineLevel="0" collapsed="false">
      <c r="A23" s="4" t="s">
        <v>1234</v>
      </c>
      <c r="B23" s="5" t="s">
        <v>1234</v>
      </c>
      <c r="C23" s="1" t="str">
        <f aca="false">IF(B23="NEW ROUTE",1,"")</f>
        <v/>
      </c>
      <c r="E23" s="5" t="s">
        <v>1234</v>
      </c>
      <c r="F23" s="6" t="e">
        <f aca="false">VLOOKUP(E23,$K$2:$L$426,2,FALSE())</f>
        <v>#N/A</v>
      </c>
      <c r="G23" s="1" t="str">
        <f aca="false">IF(ISNA(F23),"",F23)</f>
        <v/>
      </c>
      <c r="H23" s="5" t="str">
        <f aca="false">IF(G23&lt;&gt;"",G23,E23)</f>
        <v>9, 11, ZUBAT</v>
      </c>
      <c r="K23" s="1" t="s">
        <v>44</v>
      </c>
      <c r="L23" s="1" t="s">
        <v>45</v>
      </c>
    </row>
    <row r="24" customFormat="false" ht="12.75" hidden="false" customHeight="true" outlineLevel="0" collapsed="false">
      <c r="A24" s="4" t="s">
        <v>1234</v>
      </c>
      <c r="B24" s="5" t="s">
        <v>1234</v>
      </c>
      <c r="C24" s="1" t="str">
        <f aca="false">IF(B24="NEW ROUTE",1,"")</f>
        <v/>
      </c>
      <c r="E24" s="5" t="s">
        <v>1234</v>
      </c>
      <c r="F24" s="6" t="e">
        <f aca="false">VLOOKUP(E24,$K$2:$L$426,2,FALSE())</f>
        <v>#N/A</v>
      </c>
      <c r="G24" s="1" t="str">
        <f aca="false">IF(ISNA(F24),"",F24)</f>
        <v/>
      </c>
      <c r="H24" s="5" t="str">
        <f aca="false">IF(G24&lt;&gt;"",G24,E24)</f>
        <v>9, 11, ZUBAT</v>
      </c>
      <c r="K24" s="1" t="s">
        <v>46</v>
      </c>
      <c r="L24" s="1" t="s">
        <v>47</v>
      </c>
    </row>
    <row r="25" customFormat="false" ht="12.75" hidden="false" customHeight="true" outlineLevel="0" collapsed="false">
      <c r="A25" s="4" t="s">
        <v>2801</v>
      </c>
      <c r="B25" s="5" t="n">
        <v>0.1</v>
      </c>
      <c r="C25" s="1" t="str">
        <f aca="false">IF(B25="NEW ROUTE",1,"")</f>
        <v/>
      </c>
      <c r="E25" s="5" t="n">
        <v>0.1</v>
      </c>
      <c r="F25" s="6" t="e">
        <f aca="false">VLOOKUP(E25,$K$2:$L$426,2,FALSE())</f>
        <v>#N/A</v>
      </c>
      <c r="G25" s="1" t="str">
        <f aca="false">IF(ISNA(F25),"",F25)</f>
        <v/>
      </c>
      <c r="H25" s="5" t="n">
        <f aca="false">IF(G25&lt;&gt;"",G25,E25)</f>
        <v>0.1</v>
      </c>
      <c r="K25" s="1" t="s">
        <v>48</v>
      </c>
      <c r="L25" s="1" t="s">
        <v>49</v>
      </c>
    </row>
    <row r="26" customFormat="false" ht="12.75" hidden="false" customHeight="true" outlineLevel="0" collapsed="false">
      <c r="A26" s="4" t="s">
        <v>1243</v>
      </c>
      <c r="B26" s="5" t="s">
        <v>1243</v>
      </c>
      <c r="C26" s="1" t="str">
        <f aca="false">IF(B26="NEW ROUTE",1,"")</f>
        <v/>
      </c>
      <c r="E26" s="5" t="s">
        <v>1243</v>
      </c>
      <c r="F26" s="6" t="e">
        <f aca="false">VLOOKUP(E26,$K$2:$L$426,2,FALSE())</f>
        <v>#N/A</v>
      </c>
      <c r="G26" s="1" t="str">
        <f aca="false">IF(ISNA(F26),"",F26)</f>
        <v/>
      </c>
      <c r="H26" s="5" t="str">
        <f aca="false">IF(G26&lt;&gt;"",G26,E26)</f>
        <v>10, 12, ZUBAT</v>
      </c>
      <c r="K26" s="1" t="s">
        <v>50</v>
      </c>
      <c r="L26" s="1" t="s">
        <v>51</v>
      </c>
    </row>
    <row r="27" customFormat="false" ht="12.75" hidden="false" customHeight="true" outlineLevel="0" collapsed="false">
      <c r="A27" s="4" t="s">
        <v>1243</v>
      </c>
      <c r="B27" s="5" t="s">
        <v>1243</v>
      </c>
      <c r="C27" s="1" t="str">
        <f aca="false">IF(B27="NEW ROUTE",1,"")</f>
        <v/>
      </c>
      <c r="E27" s="5" t="s">
        <v>1243</v>
      </c>
      <c r="F27" s="6" t="e">
        <f aca="false">VLOOKUP(E27,$K$2:$L$426,2,FALSE())</f>
        <v>#N/A</v>
      </c>
      <c r="G27" s="1" t="str">
        <f aca="false">IF(ISNA(F27),"",F27)</f>
        <v/>
      </c>
      <c r="H27" s="5" t="str">
        <f aca="false">IF(G27&lt;&gt;"",G27,E27)</f>
        <v>10, 12, ZUBAT</v>
      </c>
      <c r="K27" s="1" t="s">
        <v>52</v>
      </c>
      <c r="L27" s="1" t="s">
        <v>53</v>
      </c>
    </row>
    <row r="28" customFormat="false" ht="12.75" hidden="false" customHeight="true" outlineLevel="0" collapsed="false">
      <c r="A28" s="4" t="s">
        <v>2817</v>
      </c>
      <c r="B28" s="5" t="s">
        <v>2817</v>
      </c>
      <c r="C28" s="1" t="str">
        <f aca="false">IF(B28="NEW ROUTE",1,"")</f>
        <v/>
      </c>
      <c r="E28" s="5" t="s">
        <v>2817</v>
      </c>
      <c r="F28" s="6" t="e">
        <f aca="false">VLOOKUP(E28,$K$2:$L$426,2,FALSE())</f>
        <v>#N/A</v>
      </c>
      <c r="G28" s="1" t="str">
        <f aca="false">IF(ISNA(F28),"",F28)</f>
        <v/>
      </c>
      <c r="H28" s="5" t="str">
        <f aca="false">IF(G28&lt;&gt;"",G28,E28)</f>
        <v>10, 12, GEODUDE</v>
      </c>
      <c r="K28" s="1" t="s">
        <v>54</v>
      </c>
      <c r="L28" s="1" t="s">
        <v>55</v>
      </c>
    </row>
    <row r="29" customFormat="false" ht="12.75" hidden="false" customHeight="true" outlineLevel="0" collapsed="false">
      <c r="A29" s="4" t="s">
        <v>2817</v>
      </c>
      <c r="B29" s="5" t="s">
        <v>2817</v>
      </c>
      <c r="C29" s="1" t="str">
        <f aca="false">IF(B29="NEW ROUTE",1,"")</f>
        <v/>
      </c>
      <c r="E29" s="5" t="s">
        <v>2817</v>
      </c>
      <c r="F29" s="6" t="e">
        <f aca="false">VLOOKUP(E29,$K$2:$L$426,2,FALSE())</f>
        <v>#N/A</v>
      </c>
      <c r="G29" s="1" t="str">
        <f aca="false">IF(ISNA(F29),"",F29)</f>
        <v/>
      </c>
      <c r="H29" s="5" t="str">
        <f aca="false">IF(G29&lt;&gt;"",G29,E29)</f>
        <v>10, 12, GEODUDE</v>
      </c>
      <c r="K29" s="1" t="s">
        <v>56</v>
      </c>
      <c r="L29" s="1" t="s">
        <v>57</v>
      </c>
    </row>
    <row r="30" customFormat="false" ht="12.75" hidden="false" customHeight="true" outlineLevel="0" collapsed="false">
      <c r="A30" s="4" t="s">
        <v>2806</v>
      </c>
      <c r="B30" s="5" t="n">
        <v>0.05</v>
      </c>
      <c r="C30" s="1" t="str">
        <f aca="false">IF(B30="NEW ROUTE",1,"")</f>
        <v/>
      </c>
      <c r="E30" s="5" t="n">
        <v>0.05</v>
      </c>
      <c r="F30" s="6" t="e">
        <f aca="false">VLOOKUP(E30,$K$2:$L$426,2,FALSE())</f>
        <v>#N/A</v>
      </c>
      <c r="G30" s="1" t="str">
        <f aca="false">IF(ISNA(F30),"",F30)</f>
        <v/>
      </c>
      <c r="H30" s="5" t="n">
        <f aca="false">IF(G30&lt;&gt;"",G30,E30)</f>
        <v>0.05</v>
      </c>
      <c r="K30" s="1" t="s">
        <v>58</v>
      </c>
      <c r="L30" s="1" t="s">
        <v>59</v>
      </c>
    </row>
    <row r="31" customFormat="false" ht="12.75" hidden="false" customHeight="true" outlineLevel="0" collapsed="false">
      <c r="A31" s="4" t="s">
        <v>2818</v>
      </c>
      <c r="B31" s="5" t="s">
        <v>2818</v>
      </c>
      <c r="C31" s="1" t="str">
        <f aca="false">IF(B31="NEW ROUTE",1,"")</f>
        <v/>
      </c>
      <c r="E31" s="5" t="s">
        <v>2818</v>
      </c>
      <c r="F31" s="6" t="e">
        <f aca="false">VLOOKUP(E31,$K$2:$L$426,2,FALSE())</f>
        <v>#N/A</v>
      </c>
      <c r="G31" s="1" t="str">
        <f aca="false">IF(ISNA(F31),"",F31)</f>
        <v/>
      </c>
      <c r="H31" s="5" t="str">
        <f aca="false">IF(G31&lt;&gt;"",G31,E31)</f>
        <v>11, 11, SANDSHREW</v>
      </c>
      <c r="K31" s="1" t="s">
        <v>60</v>
      </c>
      <c r="L31" s="1" t="s">
        <v>61</v>
      </c>
    </row>
    <row r="32" customFormat="false" ht="12.75" hidden="false" customHeight="true" outlineLevel="0" collapsed="false">
      <c r="A32" s="4" t="s">
        <v>2818</v>
      </c>
      <c r="B32" s="5" t="s">
        <v>2818</v>
      </c>
      <c r="C32" s="1" t="str">
        <f aca="false">IF(B32="NEW ROUTE",1,"")</f>
        <v/>
      </c>
      <c r="E32" s="5" t="s">
        <v>2818</v>
      </c>
      <c r="F32" s="6" t="e">
        <f aca="false">VLOOKUP(E32,$K$2:$L$426,2,FALSE())</f>
        <v>#N/A</v>
      </c>
      <c r="G32" s="1" t="str">
        <f aca="false">IF(ISNA(F32),"",F32)</f>
        <v/>
      </c>
      <c r="H32" s="5" t="str">
        <f aca="false">IF(G32&lt;&gt;"",G32,E32)</f>
        <v>11, 11, SANDSHREW</v>
      </c>
      <c r="K32" s="1" t="s">
        <v>62</v>
      </c>
      <c r="L32" s="1" t="s">
        <v>63</v>
      </c>
    </row>
    <row r="33" customFormat="false" ht="12.75" hidden="false" customHeight="true" outlineLevel="0" collapsed="false">
      <c r="A33" s="4" t="s">
        <v>2809</v>
      </c>
      <c r="B33" s="5" t="n">
        <v>0.04</v>
      </c>
      <c r="C33" s="1" t="str">
        <f aca="false">IF(B33="NEW ROUTE",1,"")</f>
        <v/>
      </c>
      <c r="E33" s="5" t="n">
        <v>0.04</v>
      </c>
      <c r="F33" s="6" t="e">
        <f aca="false">VLOOKUP(E33,$K$2:$L$426,2,FALSE())</f>
        <v>#N/A</v>
      </c>
      <c r="G33" s="1" t="str">
        <f aca="false">IF(ISNA(F33),"",F33)</f>
        <v/>
      </c>
      <c r="H33" s="5" t="n">
        <f aca="false">IF(G33&lt;&gt;"",G33,E33)</f>
        <v>0.04</v>
      </c>
      <c r="K33" s="1" t="s">
        <v>64</v>
      </c>
      <c r="L33" s="1" t="s">
        <v>65</v>
      </c>
    </row>
    <row r="34" customFormat="false" ht="12.75" hidden="false" customHeight="true" outlineLevel="0" collapsed="false">
      <c r="A34" s="4" t="s">
        <v>2819</v>
      </c>
      <c r="B34" s="5" t="s">
        <v>2819</v>
      </c>
      <c r="C34" s="1" t="str">
        <f aca="false">IF(B34="NEW ROUTE",1,"")</f>
        <v/>
      </c>
      <c r="E34" s="5" t="s">
        <v>2819</v>
      </c>
      <c r="F34" s="6" t="e">
        <f aca="false">VLOOKUP(E34,$K$2:$L$426,2,FALSE())</f>
        <v>#N/A</v>
      </c>
      <c r="G34" s="1" t="str">
        <f aca="false">IF(ISNA(F34),"",F34)</f>
        <v/>
      </c>
      <c r="H34" s="5" t="str">
        <f aca="false">IF(G34&lt;&gt;"",G34,E34)</f>
        <v>11, 11, PARAS</v>
      </c>
      <c r="K34" s="1" t="s">
        <v>66</v>
      </c>
      <c r="L34" s="1" t="s">
        <v>67</v>
      </c>
    </row>
    <row r="35" customFormat="false" ht="12.75" hidden="false" customHeight="true" outlineLevel="0" collapsed="false">
      <c r="A35" s="4" t="s">
        <v>2819</v>
      </c>
      <c r="B35" s="5" t="s">
        <v>2819</v>
      </c>
      <c r="C35" s="1" t="str">
        <f aca="false">IF(B35="NEW ROUTE",1,"")</f>
        <v/>
      </c>
      <c r="E35" s="5" t="s">
        <v>2819</v>
      </c>
      <c r="F35" s="6" t="e">
        <f aca="false">VLOOKUP(E35,$K$2:$L$426,2,FALSE())</f>
        <v>#N/A</v>
      </c>
      <c r="G35" s="1" t="str">
        <f aca="false">IF(ISNA(F35),"",F35)</f>
        <v/>
      </c>
      <c r="H35" s="5" t="str">
        <f aca="false">IF(G35&lt;&gt;"",G35,E35)</f>
        <v>11, 11, PARAS</v>
      </c>
      <c r="K35" s="1" t="s">
        <v>68</v>
      </c>
      <c r="L35" s="1" t="s">
        <v>69</v>
      </c>
    </row>
    <row r="36" customFormat="false" ht="12.75" hidden="false" customHeight="true" outlineLevel="0" collapsed="false">
      <c r="A36" s="4" t="s">
        <v>2812</v>
      </c>
      <c r="B36" s="5" t="n">
        <v>0.01</v>
      </c>
      <c r="C36" s="1" t="str">
        <f aca="false">IF(B36="NEW ROUTE",1,"")</f>
        <v/>
      </c>
      <c r="E36" s="5" t="n">
        <v>0.01</v>
      </c>
      <c r="F36" s="6" t="e">
        <f aca="false">VLOOKUP(E36,$K$2:$L$426,2,FALSE())</f>
        <v>#N/A</v>
      </c>
      <c r="G36" s="1" t="str">
        <f aca="false">IF(ISNA(F36),"",F36)</f>
        <v/>
      </c>
      <c r="H36" s="5" t="n">
        <f aca="false">IF(G36&lt;&gt;"",G36,E36)</f>
        <v>0.01</v>
      </c>
      <c r="K36" s="1" t="s">
        <v>70</v>
      </c>
      <c r="L36" s="1" t="s">
        <v>71</v>
      </c>
    </row>
    <row r="37" customFormat="false" ht="12.75" hidden="false" customHeight="true" outlineLevel="0" collapsed="false">
      <c r="A37" s="4" t="s">
        <v>2820</v>
      </c>
      <c r="B37" s="5" t="s">
        <v>2820</v>
      </c>
      <c r="C37" s="1" t="str">
        <f aca="false">IF(B37="NEW ROUTE",1,"")</f>
        <v/>
      </c>
      <c r="E37" s="5" t="s">
        <v>2820</v>
      </c>
      <c r="F37" s="6" t="e">
        <f aca="false">VLOOKUP(E37,$K$2:$L$426,2,FALSE())</f>
        <v>#N/A</v>
      </c>
      <c r="G37" s="1" t="str">
        <f aca="false">IF(ISNA(F37),"",F37)</f>
        <v/>
      </c>
      <c r="H37" s="5" t="str">
        <f aca="false">IF(G37&lt;&gt;"",G37,E37)</f>
        <v>11, 14, ONIX</v>
      </c>
      <c r="K37" s="1" t="s">
        <v>72</v>
      </c>
      <c r="L37" s="1" t="s">
        <v>73</v>
      </c>
    </row>
    <row r="38" customFormat="false" ht="12.75" hidden="false" customHeight="true" outlineLevel="0" collapsed="false">
      <c r="A38" s="4" t="s">
        <v>3706</v>
      </c>
      <c r="B38" s="5" t="s">
        <v>3706</v>
      </c>
      <c r="C38" s="1" t="str">
        <f aca="false">IF(B38="NEW ROUTE",1,"")</f>
        <v/>
      </c>
      <c r="E38" s="5" t="s">
        <v>3706</v>
      </c>
      <c r="F38" s="6" t="e">
        <f aca="false">VLOOKUP(E38,$K$2:$L$426,2,FALSE())</f>
        <v>#N/A</v>
      </c>
      <c r="G38" s="1" t="str">
        <f aca="false">IF(ISNA(F38),"",F38)</f>
        <v/>
      </c>
      <c r="H38" s="5" t="str">
        <f aca="false">IF(G38&lt;&gt;"",G38,E38)</f>
        <v>11, 14, CLEFAIRY</v>
      </c>
      <c r="K38" s="1" t="s">
        <v>74</v>
      </c>
      <c r="L38" s="1" t="s">
        <v>75</v>
      </c>
    </row>
    <row r="39" customFormat="false" ht="12.75" hidden="false" customHeight="true" outlineLevel="0" collapsed="false">
      <c r="A39" s="4" t="s">
        <v>2536</v>
      </c>
      <c r="B39" s="5" t="s">
        <v>2536</v>
      </c>
      <c r="C39" s="1" t="n">
        <f aca="false">IF(B39="NEW ROUTE",1,"")</f>
        <v>1</v>
      </c>
      <c r="E39" s="5" t="s">
        <v>2536</v>
      </c>
      <c r="F39" s="6" t="e">
        <f aca="false">VLOOKUP(E39,$K$2:$L$426,2,FALSE())</f>
        <v>#N/A</v>
      </c>
      <c r="G39" s="1" t="str">
        <f aca="false">IF(ISNA(F39),"",F39)</f>
        <v/>
      </c>
      <c r="H39" s="5" t="str">
        <f aca="false">IF(G39&lt;&gt;"",G39,E39)</f>
        <v>NEW ROUTE</v>
      </c>
      <c r="K39" s="1" t="s">
        <v>76</v>
      </c>
      <c r="L39" s="1" t="s">
        <v>77</v>
      </c>
    </row>
    <row r="40" customFormat="false" ht="12.75" hidden="false" customHeight="true" outlineLevel="0" collapsed="false">
      <c r="A40" s="4" t="s">
        <v>16</v>
      </c>
      <c r="B40" s="5" t="s">
        <v>16</v>
      </c>
      <c r="C40" s="1" t="str">
        <f aca="false">IF(B40="NEW ROUTE",1,"")</f>
        <v/>
      </c>
      <c r="E40" s="5" t="s">
        <v>16</v>
      </c>
      <c r="F40" s="6" t="str">
        <f aca="false">VLOOKUP(E40,$K$2:$L$426,2,FALSE())</f>
        <v>Mt Moon B1F</v>
      </c>
      <c r="G40" s="1" t="str">
        <f aca="false">IF(ISNA(F40),"",F40)</f>
        <v>Mt Moon B1F</v>
      </c>
      <c r="H40" s="5" t="str">
        <f aca="false">IF(G40&lt;&gt;"",G40,E40)</f>
        <v>Mt Moon B1F</v>
      </c>
      <c r="K40" s="1" t="s">
        <v>78</v>
      </c>
      <c r="L40" s="1" t="s">
        <v>79</v>
      </c>
    </row>
    <row r="41" customFormat="false" ht="12.75" hidden="false" customHeight="true" outlineLevel="0" collapsed="false">
      <c r="A41" s="4" t="s">
        <v>2799</v>
      </c>
      <c r="B41" s="5" t="n">
        <v>0.2</v>
      </c>
      <c r="C41" s="1" t="str">
        <f aca="false">IF(B41="NEW ROUTE",1,"")</f>
        <v/>
      </c>
      <c r="E41" s="5" t="n">
        <v>0.2</v>
      </c>
      <c r="F41" s="6" t="e">
        <f aca="false">VLOOKUP(E41,$K$2:$L$426,2,FALSE())</f>
        <v>#N/A</v>
      </c>
      <c r="G41" s="1" t="str">
        <f aca="false">IF(ISNA(F41),"",F41)</f>
        <v/>
      </c>
      <c r="H41" s="5" t="n">
        <f aca="false">IF(G41&lt;&gt;"",G41,E41)</f>
        <v>0.2</v>
      </c>
      <c r="K41" s="1" t="s">
        <v>80</v>
      </c>
      <c r="L41" s="1" t="s">
        <v>81</v>
      </c>
    </row>
    <row r="42" customFormat="false" ht="12.75" hidden="false" customHeight="true" outlineLevel="0" collapsed="false">
      <c r="A42" s="4" t="s">
        <v>1243</v>
      </c>
      <c r="B42" s="5" t="s">
        <v>1243</v>
      </c>
      <c r="C42" s="1" t="str">
        <f aca="false">IF(B42="NEW ROUTE",1,"")</f>
        <v/>
      </c>
      <c r="E42" s="5" t="s">
        <v>1243</v>
      </c>
      <c r="F42" s="6" t="e">
        <f aca="false">VLOOKUP(E42,$K$2:$L$426,2,FALSE())</f>
        <v>#N/A</v>
      </c>
      <c r="G42" s="1" t="str">
        <f aca="false">IF(ISNA(F42),"",F42)</f>
        <v/>
      </c>
      <c r="H42" s="5" t="str">
        <f aca="false">IF(G42&lt;&gt;"",G42,E42)</f>
        <v>10, 12, ZUBAT</v>
      </c>
      <c r="K42" s="1" t="s">
        <v>82</v>
      </c>
      <c r="L42" s="1" t="s">
        <v>83</v>
      </c>
    </row>
    <row r="43" customFormat="false" ht="12.75" hidden="false" customHeight="true" outlineLevel="0" collapsed="false">
      <c r="A43" s="4" t="s">
        <v>1243</v>
      </c>
      <c r="B43" s="5" t="s">
        <v>1243</v>
      </c>
      <c r="C43" s="1" t="str">
        <f aca="false">IF(B43="NEW ROUTE",1,"")</f>
        <v/>
      </c>
      <c r="E43" s="5" t="s">
        <v>1243</v>
      </c>
      <c r="F43" s="6" t="e">
        <f aca="false">VLOOKUP(E43,$K$2:$L$426,2,FALSE())</f>
        <v>#N/A</v>
      </c>
      <c r="G43" s="1" t="str">
        <f aca="false">IF(ISNA(F43),"",F43)</f>
        <v/>
      </c>
      <c r="H43" s="5" t="str">
        <f aca="false">IF(G43&lt;&gt;"",G43,E43)</f>
        <v>10, 12, ZUBAT</v>
      </c>
      <c r="K43" s="1" t="s">
        <v>84</v>
      </c>
      <c r="L43" s="1" t="s">
        <v>85</v>
      </c>
    </row>
    <row r="44" customFormat="false" ht="12.75" hidden="false" customHeight="true" outlineLevel="0" collapsed="false">
      <c r="A44" s="4" t="s">
        <v>2801</v>
      </c>
      <c r="B44" s="5" t="n">
        <v>0.1</v>
      </c>
      <c r="C44" s="1" t="str">
        <f aca="false">IF(B44="NEW ROUTE",1,"")</f>
        <v/>
      </c>
      <c r="E44" s="5" t="n">
        <v>0.1</v>
      </c>
      <c r="F44" s="6" t="e">
        <f aca="false">VLOOKUP(E44,$K$2:$L$426,2,FALSE())</f>
        <v>#N/A</v>
      </c>
      <c r="G44" s="1" t="str">
        <f aca="false">IF(ISNA(F44),"",F44)</f>
        <v/>
      </c>
      <c r="H44" s="5" t="n">
        <f aca="false">IF(G44&lt;&gt;"",G44,E44)</f>
        <v>0.1</v>
      </c>
      <c r="K44" s="1" t="s">
        <v>86</v>
      </c>
      <c r="L44" s="1" t="s">
        <v>87</v>
      </c>
    </row>
    <row r="45" customFormat="false" ht="12.75" hidden="false" customHeight="true" outlineLevel="0" collapsed="false">
      <c r="A45" s="4" t="s">
        <v>2824</v>
      </c>
      <c r="B45" s="5" t="s">
        <v>2824</v>
      </c>
      <c r="C45" s="1" t="str">
        <f aca="false">IF(B45="NEW ROUTE",1,"")</f>
        <v/>
      </c>
      <c r="E45" s="5" t="s">
        <v>2824</v>
      </c>
      <c r="F45" s="6" t="e">
        <f aca="false">VLOOKUP(E45,$K$2:$L$426,2,FALSE())</f>
        <v>#N/A</v>
      </c>
      <c r="G45" s="1" t="str">
        <f aca="false">IF(ISNA(F45),"",F45)</f>
        <v/>
      </c>
      <c r="H45" s="5" t="str">
        <f aca="false">IF(G45&lt;&gt;"",G45,E45)</f>
        <v>11, 13, ZUBAT</v>
      </c>
      <c r="K45" s="1" t="s">
        <v>88</v>
      </c>
      <c r="L45" s="1" t="s">
        <v>89</v>
      </c>
    </row>
    <row r="46" customFormat="false" ht="12.75" hidden="false" customHeight="true" outlineLevel="0" collapsed="false">
      <c r="A46" s="4" t="s">
        <v>2824</v>
      </c>
      <c r="B46" s="5" t="s">
        <v>2824</v>
      </c>
      <c r="C46" s="1" t="str">
        <f aca="false">IF(B46="NEW ROUTE",1,"")</f>
        <v/>
      </c>
      <c r="E46" s="5" t="s">
        <v>2824</v>
      </c>
      <c r="F46" s="6" t="e">
        <f aca="false">VLOOKUP(E46,$K$2:$L$426,2,FALSE())</f>
        <v>#N/A</v>
      </c>
      <c r="G46" s="1" t="str">
        <f aca="false">IF(ISNA(F46),"",F46)</f>
        <v/>
      </c>
      <c r="H46" s="5" t="str">
        <f aca="false">IF(G46&lt;&gt;"",G46,E46)</f>
        <v>11, 13, ZUBAT</v>
      </c>
      <c r="K46" s="1" t="s">
        <v>90</v>
      </c>
      <c r="L46" s="1" t="s">
        <v>91</v>
      </c>
    </row>
    <row r="47" customFormat="false" ht="12.75" hidden="false" customHeight="true" outlineLevel="0" collapsed="false">
      <c r="A47" s="4" t="s">
        <v>2825</v>
      </c>
      <c r="B47" s="5" t="s">
        <v>2825</v>
      </c>
      <c r="C47" s="1" t="str">
        <f aca="false">IF(B47="NEW ROUTE",1,"")</f>
        <v/>
      </c>
      <c r="E47" s="5" t="s">
        <v>2825</v>
      </c>
      <c r="F47" s="6" t="e">
        <f aca="false">VLOOKUP(E47,$K$2:$L$426,2,FALSE())</f>
        <v>#N/A</v>
      </c>
      <c r="G47" s="1" t="str">
        <f aca="false">IF(ISNA(F47),"",F47)</f>
        <v/>
      </c>
      <c r="H47" s="5" t="str">
        <f aca="false">IF(G47&lt;&gt;"",G47,E47)</f>
        <v>11, 13, GEODUDE</v>
      </c>
      <c r="K47" s="1" t="s">
        <v>92</v>
      </c>
      <c r="L47" s="1" t="s">
        <v>93</v>
      </c>
    </row>
    <row r="48" customFormat="false" ht="12.75" hidden="false" customHeight="true" outlineLevel="0" collapsed="false">
      <c r="A48" s="4" t="s">
        <v>2825</v>
      </c>
      <c r="B48" s="5" t="s">
        <v>2825</v>
      </c>
      <c r="C48" s="1" t="str">
        <f aca="false">IF(B48="NEW ROUTE",1,"")</f>
        <v/>
      </c>
      <c r="E48" s="5" t="s">
        <v>2825</v>
      </c>
      <c r="F48" s="6" t="e">
        <f aca="false">VLOOKUP(E48,$K$2:$L$426,2,FALSE())</f>
        <v>#N/A</v>
      </c>
      <c r="G48" s="1" t="str">
        <f aca="false">IF(ISNA(F48),"",F48)</f>
        <v/>
      </c>
      <c r="H48" s="5" t="str">
        <f aca="false">IF(G48&lt;&gt;"",G48,E48)</f>
        <v>11, 13, GEODUDE</v>
      </c>
      <c r="K48" s="1" t="s">
        <v>94</v>
      </c>
      <c r="L48" s="1" t="s">
        <v>95</v>
      </c>
    </row>
    <row r="49" customFormat="false" ht="12.75" hidden="false" customHeight="true" outlineLevel="0" collapsed="false">
      <c r="A49" s="4" t="s">
        <v>2806</v>
      </c>
      <c r="B49" s="5" t="n">
        <v>0.05</v>
      </c>
      <c r="C49" s="1" t="str">
        <f aca="false">IF(B49="NEW ROUTE",1,"")</f>
        <v/>
      </c>
      <c r="E49" s="5" t="n">
        <v>0.05</v>
      </c>
      <c r="F49" s="6" t="e">
        <f aca="false">VLOOKUP(E49,$K$2:$L$426,2,FALSE())</f>
        <v>#N/A</v>
      </c>
      <c r="G49" s="1" t="str">
        <f aca="false">IF(ISNA(F49),"",F49)</f>
        <v/>
      </c>
      <c r="H49" s="5" t="n">
        <f aca="false">IF(G49&lt;&gt;"",G49,E49)</f>
        <v>0.05</v>
      </c>
      <c r="K49" s="1" t="s">
        <v>96</v>
      </c>
      <c r="L49" s="1" t="s">
        <v>97</v>
      </c>
    </row>
    <row r="50" customFormat="false" ht="12.75" hidden="false" customHeight="true" outlineLevel="0" collapsed="false">
      <c r="A50" s="4" t="s">
        <v>2826</v>
      </c>
      <c r="B50" s="5" t="s">
        <v>2826</v>
      </c>
      <c r="C50" s="1" t="str">
        <f aca="false">IF(B50="NEW ROUTE",1,"")</f>
        <v/>
      </c>
      <c r="E50" s="5" t="s">
        <v>2826</v>
      </c>
      <c r="F50" s="6" t="e">
        <f aca="false">VLOOKUP(E50,$K$2:$L$426,2,FALSE())</f>
        <v>#N/A</v>
      </c>
      <c r="G50" s="1" t="str">
        <f aca="false">IF(ISNA(F50),"",F50)</f>
        <v/>
      </c>
      <c r="H50" s="5" t="str">
        <f aca="false">IF(G50&lt;&gt;"",G50,E50)</f>
        <v>12, 12, SANDSHREW</v>
      </c>
      <c r="K50" s="1" t="s">
        <v>98</v>
      </c>
      <c r="L50" s="1" t="s">
        <v>99</v>
      </c>
    </row>
    <row r="51" customFormat="false" ht="12.75" hidden="false" customHeight="true" outlineLevel="0" collapsed="false">
      <c r="A51" s="4" t="s">
        <v>2826</v>
      </c>
      <c r="B51" s="5" t="s">
        <v>2826</v>
      </c>
      <c r="C51" s="1" t="str">
        <f aca="false">IF(B51="NEW ROUTE",1,"")</f>
        <v/>
      </c>
      <c r="E51" s="5" t="s">
        <v>2826</v>
      </c>
      <c r="F51" s="6" t="e">
        <f aca="false">VLOOKUP(E51,$K$2:$L$426,2,FALSE())</f>
        <v>#N/A</v>
      </c>
      <c r="G51" s="1" t="str">
        <f aca="false">IF(ISNA(F51),"",F51)</f>
        <v/>
      </c>
      <c r="H51" s="5" t="str">
        <f aca="false">IF(G51&lt;&gt;"",G51,E51)</f>
        <v>12, 12, SANDSHREW</v>
      </c>
      <c r="K51" s="1" t="s">
        <v>100</v>
      </c>
      <c r="L51" s="1" t="s">
        <v>101</v>
      </c>
    </row>
    <row r="52" customFormat="false" ht="12.75" hidden="false" customHeight="true" outlineLevel="0" collapsed="false">
      <c r="A52" s="4" t="s">
        <v>2809</v>
      </c>
      <c r="B52" s="5" t="n">
        <v>0.04</v>
      </c>
      <c r="C52" s="1" t="str">
        <f aca="false">IF(B52="NEW ROUTE",1,"")</f>
        <v/>
      </c>
      <c r="E52" s="5" t="n">
        <v>0.04</v>
      </c>
      <c r="F52" s="6" t="e">
        <f aca="false">VLOOKUP(E52,$K$2:$L$426,2,FALSE())</f>
        <v>#N/A</v>
      </c>
      <c r="G52" s="1" t="str">
        <f aca="false">IF(ISNA(F52),"",F52)</f>
        <v/>
      </c>
      <c r="H52" s="5" t="n">
        <f aca="false">IF(G52&lt;&gt;"",G52,E52)</f>
        <v>0.04</v>
      </c>
      <c r="K52" s="1" t="s">
        <v>102</v>
      </c>
      <c r="L52" s="1" t="s">
        <v>103</v>
      </c>
    </row>
    <row r="53" customFormat="false" ht="12.75" hidden="false" customHeight="true" outlineLevel="0" collapsed="false">
      <c r="A53" s="4" t="s">
        <v>2827</v>
      </c>
      <c r="B53" s="5" t="s">
        <v>2827</v>
      </c>
      <c r="C53" s="1" t="str">
        <f aca="false">IF(B53="NEW ROUTE",1,"")</f>
        <v/>
      </c>
      <c r="E53" s="5" t="s">
        <v>2827</v>
      </c>
      <c r="F53" s="6" t="e">
        <f aca="false">VLOOKUP(E53,$K$2:$L$426,2,FALSE())</f>
        <v>#N/A</v>
      </c>
      <c r="G53" s="1" t="str">
        <f aca="false">IF(ISNA(F53),"",F53)</f>
        <v/>
      </c>
      <c r="H53" s="5" t="str">
        <f aca="false">IF(G53&lt;&gt;"",G53,E53)</f>
        <v>12, 12, PARAS</v>
      </c>
      <c r="K53" s="1" t="s">
        <v>104</v>
      </c>
      <c r="L53" s="1" t="s">
        <v>105</v>
      </c>
    </row>
    <row r="54" customFormat="false" ht="12.75" hidden="false" customHeight="true" outlineLevel="0" collapsed="false">
      <c r="A54" s="4" t="s">
        <v>2827</v>
      </c>
      <c r="B54" s="5" t="s">
        <v>2827</v>
      </c>
      <c r="C54" s="1" t="str">
        <f aca="false">IF(B54="NEW ROUTE",1,"")</f>
        <v/>
      </c>
      <c r="E54" s="5" t="s">
        <v>2827</v>
      </c>
      <c r="F54" s="6" t="e">
        <f aca="false">VLOOKUP(E54,$K$2:$L$426,2,FALSE())</f>
        <v>#N/A</v>
      </c>
      <c r="G54" s="1" t="str">
        <f aca="false">IF(ISNA(F54),"",F54)</f>
        <v/>
      </c>
      <c r="H54" s="5" t="str">
        <f aca="false">IF(G54&lt;&gt;"",G54,E54)</f>
        <v>12, 12, PARAS</v>
      </c>
      <c r="K54" s="1" t="s">
        <v>106</v>
      </c>
      <c r="L54" s="1" t="s">
        <v>107</v>
      </c>
    </row>
    <row r="55" customFormat="false" ht="12.75" hidden="false" customHeight="true" outlineLevel="0" collapsed="false">
      <c r="A55" s="4" t="s">
        <v>2812</v>
      </c>
      <c r="B55" s="5" t="n">
        <v>0.01</v>
      </c>
      <c r="C55" s="1" t="str">
        <f aca="false">IF(B55="NEW ROUTE",1,"")</f>
        <v/>
      </c>
      <c r="E55" s="5" t="n">
        <v>0.01</v>
      </c>
      <c r="F55" s="6" t="e">
        <f aca="false">VLOOKUP(E55,$K$2:$L$426,2,FALSE())</f>
        <v>#N/A</v>
      </c>
      <c r="G55" s="1" t="str">
        <f aca="false">IF(ISNA(F55),"",F55)</f>
        <v/>
      </c>
      <c r="H55" s="5" t="n">
        <f aca="false">IF(G55&lt;&gt;"",G55,E55)</f>
        <v>0.01</v>
      </c>
      <c r="K55" s="1" t="s">
        <v>108</v>
      </c>
      <c r="L55" s="1" t="s">
        <v>109</v>
      </c>
    </row>
    <row r="56" customFormat="false" ht="12.75" hidden="false" customHeight="true" outlineLevel="0" collapsed="false">
      <c r="A56" s="4" t="s">
        <v>2828</v>
      </c>
      <c r="B56" s="5" t="s">
        <v>2828</v>
      </c>
      <c r="C56" s="1" t="str">
        <f aca="false">IF(B56="NEW ROUTE",1,"")</f>
        <v/>
      </c>
      <c r="E56" s="5" t="s">
        <v>2828</v>
      </c>
      <c r="F56" s="6" t="e">
        <f aca="false">VLOOKUP(E56,$K$2:$L$426,2,FALSE())</f>
        <v>#N/A</v>
      </c>
      <c r="G56" s="1" t="str">
        <f aca="false">IF(ISNA(F56),"",F56)</f>
        <v/>
      </c>
      <c r="H56" s="5" t="str">
        <f aca="false">IF(G56&lt;&gt;"",G56,E56)</f>
        <v>12, 15, ONIX</v>
      </c>
      <c r="K56" s="1" t="s">
        <v>110</v>
      </c>
      <c r="L56" s="1" t="s">
        <v>111</v>
      </c>
    </row>
    <row r="57" customFormat="false" ht="12.75" hidden="false" customHeight="true" outlineLevel="0" collapsed="false">
      <c r="A57" s="4" t="s">
        <v>3707</v>
      </c>
      <c r="B57" s="5" t="s">
        <v>3707</v>
      </c>
      <c r="C57" s="1" t="str">
        <f aca="false">IF(B57="NEW ROUTE",1,"")</f>
        <v/>
      </c>
      <c r="E57" s="5" t="s">
        <v>3707</v>
      </c>
      <c r="F57" s="6" t="e">
        <f aca="false">VLOOKUP(E57,$K$2:$L$426,2,FALSE())</f>
        <v>#N/A</v>
      </c>
      <c r="G57" s="1" t="str">
        <f aca="false">IF(ISNA(F57),"",F57)</f>
        <v/>
      </c>
      <c r="H57" s="5" t="str">
        <f aca="false">IF(G57&lt;&gt;"",G57,E57)</f>
        <v>12, 15, CLEFAIRY</v>
      </c>
      <c r="K57" s="1" t="s">
        <v>112</v>
      </c>
      <c r="L57" s="1" t="s">
        <v>113</v>
      </c>
    </row>
    <row r="58" customFormat="false" ht="12.75" hidden="false" customHeight="true" outlineLevel="0" collapsed="false">
      <c r="A58" s="4" t="s">
        <v>2536</v>
      </c>
      <c r="B58" s="5" t="s">
        <v>2536</v>
      </c>
      <c r="C58" s="1" t="n">
        <f aca="false">IF(B58="NEW ROUTE",1,"")</f>
        <v>1</v>
      </c>
      <c r="E58" s="5" t="s">
        <v>2536</v>
      </c>
      <c r="F58" s="6" t="e">
        <f aca="false">VLOOKUP(E58,$K$2:$L$426,2,FALSE())</f>
        <v>#N/A</v>
      </c>
      <c r="G58" s="1" t="str">
        <f aca="false">IF(ISNA(F58),"",F58)</f>
        <v/>
      </c>
      <c r="H58" s="5" t="str">
        <f aca="false">IF(G58&lt;&gt;"",G58,E58)</f>
        <v>NEW ROUTE</v>
      </c>
      <c r="K58" s="1" t="s">
        <v>114</v>
      </c>
      <c r="L58" s="1" t="s">
        <v>115</v>
      </c>
    </row>
    <row r="59" customFormat="false" ht="12.75" hidden="false" customHeight="true" outlineLevel="0" collapsed="false">
      <c r="A59" s="4" t="s">
        <v>18</v>
      </c>
      <c r="B59" s="5" t="s">
        <v>18</v>
      </c>
      <c r="C59" s="1" t="str">
        <f aca="false">IF(B59="NEW ROUTE",1,"")</f>
        <v/>
      </c>
      <c r="E59" s="5" t="s">
        <v>18</v>
      </c>
      <c r="F59" s="6" t="str">
        <f aca="false">VLOOKUP(E59,$K$2:$L$426,2,FALSE())</f>
        <v>Mt Moon B2F</v>
      </c>
      <c r="G59" s="1" t="str">
        <f aca="false">IF(ISNA(F59),"",F59)</f>
        <v>Mt Moon B2F</v>
      </c>
      <c r="H59" s="5" t="str">
        <f aca="false">IF(G59&lt;&gt;"",G59,E59)</f>
        <v>Mt Moon B2F</v>
      </c>
      <c r="K59" s="1" t="s">
        <v>116</v>
      </c>
      <c r="L59" s="1" t="s">
        <v>117</v>
      </c>
    </row>
    <row r="60" customFormat="false" ht="12.75" hidden="false" customHeight="true" outlineLevel="0" collapsed="false">
      <c r="A60" s="4" t="s">
        <v>2799</v>
      </c>
      <c r="B60" s="5" t="n">
        <v>0.2</v>
      </c>
      <c r="C60" s="1" t="str">
        <f aca="false">IF(B60="NEW ROUTE",1,"")</f>
        <v/>
      </c>
      <c r="E60" s="5" t="n">
        <v>0.2</v>
      </c>
      <c r="F60" s="6" t="e">
        <f aca="false">VLOOKUP(E60,$K$2:$L$426,2,FALSE())</f>
        <v>#N/A</v>
      </c>
      <c r="G60" s="1" t="str">
        <f aca="false">IF(ISNA(F60),"",F60)</f>
        <v/>
      </c>
      <c r="H60" s="5" t="n">
        <f aca="false">IF(G60&lt;&gt;"",G60,E60)</f>
        <v>0.2</v>
      </c>
      <c r="K60" s="1" t="s">
        <v>118</v>
      </c>
      <c r="L60" s="1" t="s">
        <v>119</v>
      </c>
    </row>
    <row r="61" customFormat="false" ht="12.75" hidden="false" customHeight="true" outlineLevel="0" collapsed="false">
      <c r="A61" s="4" t="s">
        <v>1251</v>
      </c>
      <c r="B61" s="5" t="s">
        <v>1251</v>
      </c>
      <c r="C61" s="1" t="str">
        <f aca="false">IF(B61="NEW ROUTE",1,"")</f>
        <v/>
      </c>
      <c r="E61" s="5" t="s">
        <v>1251</v>
      </c>
      <c r="F61" s="6" t="e">
        <f aca="false">VLOOKUP(E61,$K$2:$L$426,2,FALSE())</f>
        <v>#N/A</v>
      </c>
      <c r="G61" s="1" t="str">
        <f aca="false">IF(ISNA(F61),"",F61)</f>
        <v/>
      </c>
      <c r="H61" s="5" t="str">
        <f aca="false">IF(G61&lt;&gt;"",G61,E61)</f>
        <v>10, 13, ZUBAT</v>
      </c>
      <c r="K61" s="1" t="s">
        <v>120</v>
      </c>
      <c r="L61" s="1" t="s">
        <v>121</v>
      </c>
    </row>
    <row r="62" customFormat="false" ht="12.75" hidden="false" customHeight="true" outlineLevel="0" collapsed="false">
      <c r="A62" s="4" t="s">
        <v>1251</v>
      </c>
      <c r="B62" s="5" t="s">
        <v>1251</v>
      </c>
      <c r="C62" s="1" t="str">
        <f aca="false">IF(B62="NEW ROUTE",1,"")</f>
        <v/>
      </c>
      <c r="E62" s="5" t="s">
        <v>1251</v>
      </c>
      <c r="F62" s="6" t="e">
        <f aca="false">VLOOKUP(E62,$K$2:$L$426,2,FALSE())</f>
        <v>#N/A</v>
      </c>
      <c r="G62" s="1" t="str">
        <f aca="false">IF(ISNA(F62),"",F62)</f>
        <v/>
      </c>
      <c r="H62" s="5" t="str">
        <f aca="false">IF(G62&lt;&gt;"",G62,E62)</f>
        <v>10, 13, ZUBAT</v>
      </c>
      <c r="K62" s="1" t="s">
        <v>122</v>
      </c>
      <c r="L62" s="1" t="s">
        <v>123</v>
      </c>
    </row>
    <row r="63" customFormat="false" ht="12.75" hidden="false" customHeight="true" outlineLevel="0" collapsed="false">
      <c r="A63" s="4" t="s">
        <v>2801</v>
      </c>
      <c r="B63" s="5" t="n">
        <v>0.1</v>
      </c>
      <c r="C63" s="1" t="str">
        <f aca="false">IF(B63="NEW ROUTE",1,"")</f>
        <v/>
      </c>
      <c r="E63" s="5" t="n">
        <v>0.1</v>
      </c>
      <c r="F63" s="6" t="e">
        <f aca="false">VLOOKUP(E63,$K$2:$L$426,2,FALSE())</f>
        <v>#N/A</v>
      </c>
      <c r="G63" s="1" t="str">
        <f aca="false">IF(ISNA(F63),"",F63)</f>
        <v/>
      </c>
      <c r="H63" s="5" t="n">
        <f aca="false">IF(G63&lt;&gt;"",G63,E63)</f>
        <v>0.1</v>
      </c>
      <c r="K63" s="1" t="s">
        <v>124</v>
      </c>
      <c r="L63" s="1" t="s">
        <v>125</v>
      </c>
    </row>
    <row r="64" customFormat="false" ht="12.75" hidden="false" customHeight="true" outlineLevel="0" collapsed="false">
      <c r="A64" s="4" t="s">
        <v>2831</v>
      </c>
      <c r="B64" s="5" t="s">
        <v>2831</v>
      </c>
      <c r="C64" s="1" t="str">
        <f aca="false">IF(B64="NEW ROUTE",1,"")</f>
        <v/>
      </c>
      <c r="E64" s="5" t="s">
        <v>2831</v>
      </c>
      <c r="F64" s="6" t="e">
        <f aca="false">VLOOKUP(E64,$K$2:$L$426,2,FALSE())</f>
        <v>#N/A</v>
      </c>
      <c r="G64" s="1" t="str">
        <f aca="false">IF(ISNA(F64),"",F64)</f>
        <v/>
      </c>
      <c r="H64" s="5" t="str">
        <f aca="false">IF(G64&lt;&gt;"",G64,E64)</f>
        <v>11, 14, ZUBAT</v>
      </c>
      <c r="K64" s="1" t="s">
        <v>126</v>
      </c>
      <c r="L64" s="1" t="s">
        <v>127</v>
      </c>
    </row>
    <row r="65" customFormat="false" ht="12.75" hidden="false" customHeight="true" outlineLevel="0" collapsed="false">
      <c r="A65" s="4" t="s">
        <v>2832</v>
      </c>
      <c r="B65" s="5" t="s">
        <v>2832</v>
      </c>
      <c r="C65" s="1" t="str">
        <f aca="false">IF(B65="NEW ROUTE",1,"")</f>
        <v/>
      </c>
      <c r="E65" s="5" t="s">
        <v>2832</v>
      </c>
      <c r="F65" s="6" t="e">
        <f aca="false">VLOOKUP(E65,$K$2:$L$426,2,FALSE())</f>
        <v>#N/A</v>
      </c>
      <c r="G65" s="1" t="str">
        <f aca="false">IF(ISNA(F65),"",F65)</f>
        <v/>
      </c>
      <c r="H65" s="5" t="str">
        <f aca="false">IF(G65&lt;&gt;"",G65,E65)</f>
        <v>11, 14, GEODUDE</v>
      </c>
      <c r="K65" s="1" t="s">
        <v>128</v>
      </c>
      <c r="L65" s="1" t="s">
        <v>129</v>
      </c>
    </row>
    <row r="66" customFormat="false" ht="12.75" hidden="false" customHeight="true" outlineLevel="0" collapsed="false">
      <c r="A66" s="4" t="s">
        <v>2832</v>
      </c>
      <c r="B66" s="5" t="s">
        <v>2832</v>
      </c>
      <c r="C66" s="1" t="str">
        <f aca="false">IF(B66="NEW ROUTE",1,"")</f>
        <v/>
      </c>
      <c r="E66" s="5" t="s">
        <v>2832</v>
      </c>
      <c r="F66" s="6" t="e">
        <f aca="false">VLOOKUP(E66,$K$2:$L$426,2,FALSE())</f>
        <v>#N/A</v>
      </c>
      <c r="G66" s="1" t="str">
        <f aca="false">IF(ISNA(F66),"",F66)</f>
        <v/>
      </c>
      <c r="H66" s="5" t="str">
        <f aca="false">IF(G66&lt;&gt;"",G66,E66)</f>
        <v>11, 14, GEODUDE</v>
      </c>
      <c r="K66" s="1" t="s">
        <v>130</v>
      </c>
      <c r="L66" s="1" t="s">
        <v>131</v>
      </c>
    </row>
    <row r="67" customFormat="false" ht="12.75" hidden="false" customHeight="true" outlineLevel="0" collapsed="false">
      <c r="A67" s="4" t="s">
        <v>2833</v>
      </c>
      <c r="B67" s="5" t="s">
        <v>2833</v>
      </c>
      <c r="C67" s="1" t="str">
        <f aca="false">IF(B67="NEW ROUTE",1,"")</f>
        <v/>
      </c>
      <c r="E67" s="5" t="s">
        <v>2833</v>
      </c>
      <c r="F67" s="6" t="e">
        <f aca="false">VLOOKUP(E67,$K$2:$L$426,2,FALSE())</f>
        <v>#N/A</v>
      </c>
      <c r="G67" s="1" t="str">
        <f aca="false">IF(ISNA(F67),"",F67)</f>
        <v/>
      </c>
      <c r="H67" s="5" t="str">
        <f aca="false">IF(G67&lt;&gt;"",G67,E67)</f>
        <v>11, 14, SANDSHREW</v>
      </c>
      <c r="K67" s="1" t="s">
        <v>132</v>
      </c>
      <c r="L67" s="1" t="s">
        <v>133</v>
      </c>
    </row>
    <row r="68" customFormat="false" ht="12.75" hidden="false" customHeight="true" outlineLevel="0" collapsed="false">
      <c r="A68" s="4" t="s">
        <v>2806</v>
      </c>
      <c r="B68" s="5" t="n">
        <v>0.05</v>
      </c>
      <c r="C68" s="1" t="str">
        <f aca="false">IF(B68="NEW ROUTE",1,"")</f>
        <v/>
      </c>
      <c r="E68" s="5" t="n">
        <v>0.05</v>
      </c>
      <c r="F68" s="6" t="e">
        <f aca="false">VLOOKUP(E68,$K$2:$L$426,2,FALSE())</f>
        <v>#N/A</v>
      </c>
      <c r="G68" s="1" t="str">
        <f aca="false">IF(ISNA(F68),"",F68)</f>
        <v/>
      </c>
      <c r="H68" s="5" t="n">
        <f aca="false">IF(G68&lt;&gt;"",G68,E68)</f>
        <v>0.05</v>
      </c>
      <c r="K68" s="1" t="s">
        <v>134</v>
      </c>
      <c r="L68" s="1" t="s">
        <v>135</v>
      </c>
    </row>
    <row r="69" customFormat="false" ht="12.75" hidden="false" customHeight="true" outlineLevel="0" collapsed="false">
      <c r="A69" s="4" t="s">
        <v>2834</v>
      </c>
      <c r="B69" s="5" t="s">
        <v>2834</v>
      </c>
      <c r="C69" s="1" t="str">
        <f aca="false">IF(B69="NEW ROUTE",1,"")</f>
        <v/>
      </c>
      <c r="E69" s="5" t="s">
        <v>2834</v>
      </c>
      <c r="F69" s="6" t="e">
        <f aca="false">VLOOKUP(E69,$K$2:$L$426,2,FALSE())</f>
        <v>#N/A</v>
      </c>
      <c r="G69" s="1" t="str">
        <f aca="false">IF(ISNA(F69),"",F69)</f>
        <v/>
      </c>
      <c r="H69" s="5" t="str">
        <f aca="false">IF(G69&lt;&gt;"",G69,E69)</f>
        <v>13, 13, PARAS</v>
      </c>
      <c r="K69" s="1" t="s">
        <v>136</v>
      </c>
      <c r="L69" s="1" t="s">
        <v>137</v>
      </c>
    </row>
    <row r="70" customFormat="false" ht="12.75" hidden="false" customHeight="true" outlineLevel="0" collapsed="false">
      <c r="A70" s="4" t="s">
        <v>2834</v>
      </c>
      <c r="B70" s="5" t="s">
        <v>2834</v>
      </c>
      <c r="C70" s="1" t="str">
        <f aca="false">IF(B70="NEW ROUTE",1,"")</f>
        <v/>
      </c>
      <c r="E70" s="5" t="s">
        <v>2834</v>
      </c>
      <c r="F70" s="6" t="e">
        <f aca="false">VLOOKUP(E70,$K$2:$L$426,2,FALSE())</f>
        <v>#N/A</v>
      </c>
      <c r="G70" s="1" t="str">
        <f aca="false">IF(ISNA(F70),"",F70)</f>
        <v/>
      </c>
      <c r="H70" s="5" t="str">
        <f aca="false">IF(G70&lt;&gt;"",G70,E70)</f>
        <v>13, 13, PARAS</v>
      </c>
      <c r="K70" s="1" t="s">
        <v>138</v>
      </c>
      <c r="L70" s="1" t="s">
        <v>139</v>
      </c>
    </row>
    <row r="71" customFormat="false" ht="12.75" hidden="false" customHeight="true" outlineLevel="0" collapsed="false">
      <c r="A71" s="4" t="s">
        <v>2809</v>
      </c>
      <c r="B71" s="5" t="n">
        <v>0.04</v>
      </c>
      <c r="C71" s="1" t="str">
        <f aca="false">IF(B71="NEW ROUTE",1,"")</f>
        <v/>
      </c>
      <c r="E71" s="5" t="n">
        <v>0.04</v>
      </c>
      <c r="F71" s="6" t="e">
        <f aca="false">VLOOKUP(E71,$K$2:$L$426,2,FALSE())</f>
        <v>#N/A</v>
      </c>
      <c r="G71" s="1" t="str">
        <f aca="false">IF(ISNA(F71),"",F71)</f>
        <v/>
      </c>
      <c r="H71" s="5" t="n">
        <f aca="false">IF(G71&lt;&gt;"",G71,E71)</f>
        <v>0.04</v>
      </c>
      <c r="K71" s="1" t="s">
        <v>140</v>
      </c>
      <c r="L71" s="1" t="s">
        <v>141</v>
      </c>
    </row>
    <row r="72" customFormat="false" ht="12.75" hidden="false" customHeight="true" outlineLevel="0" collapsed="false">
      <c r="A72" s="4" t="s">
        <v>2835</v>
      </c>
      <c r="B72" s="5" t="s">
        <v>2835</v>
      </c>
      <c r="C72" s="1" t="str">
        <f aca="false">IF(B72="NEW ROUTE",1,"")</f>
        <v/>
      </c>
      <c r="E72" s="5" t="s">
        <v>2835</v>
      </c>
      <c r="F72" s="6" t="e">
        <f aca="false">VLOOKUP(E72,$K$2:$L$426,2,FALSE())</f>
        <v>#N/A</v>
      </c>
      <c r="G72" s="1" t="str">
        <f aca="false">IF(ISNA(F72),"",F72)</f>
        <v/>
      </c>
      <c r="H72" s="5" t="str">
        <f aca="false">IF(G72&lt;&gt;"",G72,E72)</f>
        <v>13, 13, ONIX</v>
      </c>
      <c r="K72" s="1" t="s">
        <v>142</v>
      </c>
      <c r="L72" s="1" t="s">
        <v>143</v>
      </c>
    </row>
    <row r="73" customFormat="false" ht="12.75" hidden="false" customHeight="true" outlineLevel="0" collapsed="false">
      <c r="A73" s="4" t="s">
        <v>2836</v>
      </c>
      <c r="B73" s="5" t="s">
        <v>2836</v>
      </c>
      <c r="C73" s="1" t="str">
        <f aca="false">IF(B73="NEW ROUTE",1,"")</f>
        <v/>
      </c>
      <c r="E73" s="5" t="s">
        <v>2836</v>
      </c>
      <c r="F73" s="6" t="e">
        <f aca="false">VLOOKUP(E73,$K$2:$L$426,2,FALSE())</f>
        <v>#N/A</v>
      </c>
      <c r="G73" s="1" t="str">
        <f aca="false">IF(ISNA(F73),"",F73)</f>
        <v/>
      </c>
      <c r="H73" s="5" t="str">
        <f aca="false">IF(G73&lt;&gt;"",G73,E73)</f>
        <v>13, 13, CLEFAIRY</v>
      </c>
      <c r="K73" s="1" t="s">
        <v>144</v>
      </c>
      <c r="L73" s="1" t="s">
        <v>145</v>
      </c>
    </row>
    <row r="74" customFormat="false" ht="12.75" hidden="false" customHeight="true" outlineLevel="0" collapsed="false">
      <c r="A74" s="4" t="s">
        <v>2812</v>
      </c>
      <c r="B74" s="5" t="n">
        <v>0.01</v>
      </c>
      <c r="C74" s="1" t="str">
        <f aca="false">IF(B74="NEW ROUTE",1,"")</f>
        <v/>
      </c>
      <c r="E74" s="5" t="n">
        <v>0.01</v>
      </c>
      <c r="F74" s="6" t="e">
        <f aca="false">VLOOKUP(E74,$K$2:$L$426,2,FALSE())</f>
        <v>#N/A</v>
      </c>
      <c r="G74" s="1" t="str">
        <f aca="false">IF(ISNA(F74),"",F74)</f>
        <v/>
      </c>
      <c r="H74" s="5" t="n">
        <f aca="false">IF(G74&lt;&gt;"",G74,E74)</f>
        <v>0.01</v>
      </c>
      <c r="K74" s="1" t="s">
        <v>146</v>
      </c>
      <c r="L74" s="1" t="s">
        <v>147</v>
      </c>
    </row>
    <row r="75" customFormat="false" ht="12.75" hidden="false" customHeight="true" outlineLevel="0" collapsed="false">
      <c r="A75" s="4" t="s">
        <v>2837</v>
      </c>
      <c r="B75" s="5" t="s">
        <v>2837</v>
      </c>
      <c r="C75" s="1" t="str">
        <f aca="false">IF(B75="NEW ROUTE",1,"")</f>
        <v/>
      </c>
      <c r="E75" s="5" t="s">
        <v>2837</v>
      </c>
      <c r="F75" s="6" t="e">
        <f aca="false">VLOOKUP(E75,$K$2:$L$426,2,FALSE())</f>
        <v>#N/A</v>
      </c>
      <c r="G75" s="1" t="str">
        <f aca="false">IF(ISNA(F75),"",F75)</f>
        <v/>
      </c>
      <c r="H75" s="5" t="str">
        <f aca="false">IF(G75&lt;&gt;"",G75,E75)</f>
        <v>13, 16, GOLBAT</v>
      </c>
      <c r="K75" s="1" t="s">
        <v>148</v>
      </c>
      <c r="L75" s="1" t="s">
        <v>149</v>
      </c>
    </row>
    <row r="76" customFormat="false" ht="12.75" hidden="false" customHeight="true" outlineLevel="0" collapsed="false">
      <c r="A76" s="4" t="s">
        <v>3708</v>
      </c>
      <c r="B76" s="5" t="s">
        <v>3708</v>
      </c>
      <c r="C76" s="1" t="str">
        <f aca="false">IF(B76="NEW ROUTE",1,"")</f>
        <v/>
      </c>
      <c r="E76" s="5" t="s">
        <v>3708</v>
      </c>
      <c r="F76" s="6" t="e">
        <f aca="false">VLOOKUP(E76,$K$2:$L$426,2,FALSE())</f>
        <v>#N/A</v>
      </c>
      <c r="G76" s="1" t="str">
        <f aca="false">IF(ISNA(F76),"",F76)</f>
        <v/>
      </c>
      <c r="H76" s="5" t="str">
        <f aca="false">IF(G76&lt;&gt;"",G76,E76)</f>
        <v>13, 16, GRAVELER</v>
      </c>
      <c r="K76" s="1" t="s">
        <v>150</v>
      </c>
      <c r="L76" s="1" t="s">
        <v>151</v>
      </c>
    </row>
    <row r="77" customFormat="false" ht="12.75" hidden="false" customHeight="true" outlineLevel="0" collapsed="false">
      <c r="A77" s="4" t="s">
        <v>2536</v>
      </c>
      <c r="B77" s="5" t="s">
        <v>2536</v>
      </c>
      <c r="C77" s="1" t="n">
        <f aca="false">IF(B77="NEW ROUTE",1,"")</f>
        <v>1</v>
      </c>
      <c r="E77" s="5" t="s">
        <v>2536</v>
      </c>
      <c r="F77" s="6" t="e">
        <f aca="false">VLOOKUP(E77,$K$2:$L$426,2,FALSE())</f>
        <v>#N/A</v>
      </c>
      <c r="G77" s="1" t="str">
        <f aca="false">IF(ISNA(F77),"",F77)</f>
        <v/>
      </c>
      <c r="H77" s="5" t="str">
        <f aca="false">IF(G77&lt;&gt;"",G77,E77)</f>
        <v>NEW ROUTE</v>
      </c>
      <c r="K77" s="1" t="s">
        <v>152</v>
      </c>
      <c r="L77" s="1" t="s">
        <v>153</v>
      </c>
    </row>
    <row r="78" customFormat="false" ht="12.75" hidden="false" customHeight="true" outlineLevel="0" collapsed="false">
      <c r="A78" s="4" t="s">
        <v>20</v>
      </c>
      <c r="B78" s="5" t="s">
        <v>20</v>
      </c>
      <c r="C78" s="1" t="str">
        <f aca="false">IF(B78="NEW ROUTE",1,"")</f>
        <v/>
      </c>
      <c r="E78" s="5" t="s">
        <v>20</v>
      </c>
      <c r="F78" s="6" t="str">
        <f aca="false">VLOOKUP(E78,$K$2:$L$426,2,FALSE())</f>
        <v>S.S. Anne Exterior</v>
      </c>
      <c r="G78" s="1" t="str">
        <f aca="false">IF(ISNA(F78),"",F78)</f>
        <v>S.S. Anne Exterior</v>
      </c>
      <c r="H78" s="5" t="str">
        <f aca="false">IF(G78&lt;&gt;"",G78,E78)</f>
        <v>S.S. Anne Exterior</v>
      </c>
      <c r="K78" s="1" t="s">
        <v>154</v>
      </c>
      <c r="L78" s="1" t="s">
        <v>155</v>
      </c>
    </row>
    <row r="79" customFormat="false" ht="12.75" hidden="false" customHeight="true" outlineLevel="0" collapsed="false">
      <c r="A79" s="4" t="s">
        <v>2840</v>
      </c>
      <c r="B79" s="5" t="s">
        <v>2840</v>
      </c>
      <c r="C79" s="1" t="str">
        <f aca="false">IF(B79="NEW ROUTE",1,"")</f>
        <v/>
      </c>
      <c r="E79" s="5" t="s">
        <v>2840</v>
      </c>
      <c r="F79" s="6" t="e">
        <f aca="false">VLOOKUP(E79,$K$2:$L$426,2,FALSE())</f>
        <v>#N/A</v>
      </c>
      <c r="G79" s="1" t="str">
        <f aca="false">IF(ISNA(F79),"",F79)</f>
        <v/>
      </c>
      <c r="H79" s="5" t="str">
        <f aca="false">IF(G79&lt;&gt;"",G79,E79)</f>
        <v>1, 5, 10, TENTACOOL</v>
      </c>
      <c r="K79" s="1" t="s">
        <v>156</v>
      </c>
      <c r="L79" s="1" t="s">
        <v>157</v>
      </c>
    </row>
    <row r="80" customFormat="false" ht="12.75" hidden="false" customHeight="true" outlineLevel="0" collapsed="false">
      <c r="A80" s="4" t="s">
        <v>2841</v>
      </c>
      <c r="B80" s="5" t="s">
        <v>2841</v>
      </c>
      <c r="C80" s="1" t="str">
        <f aca="false">IF(B80="NEW ROUTE",1,"")</f>
        <v/>
      </c>
      <c r="E80" s="5" t="s">
        <v>2841</v>
      </c>
      <c r="F80" s="6" t="e">
        <f aca="false">VLOOKUP(E80,$K$2:$L$426,2,FALSE())</f>
        <v>#N/A</v>
      </c>
      <c r="G80" s="1" t="str">
        <f aca="false">IF(ISNA(F80),"",F80)</f>
        <v/>
      </c>
      <c r="H80" s="5" t="str">
        <f aca="false">IF(G80&lt;&gt;"",G80,E80)</f>
        <v>10, 20, TENTACOOL</v>
      </c>
      <c r="K80" s="1" t="s">
        <v>158</v>
      </c>
      <c r="L80" s="1" t="s">
        <v>159</v>
      </c>
    </row>
    <row r="81" customFormat="false" ht="12.75" hidden="false" customHeight="true" outlineLevel="0" collapsed="false">
      <c r="A81" s="4" t="s">
        <v>2842</v>
      </c>
      <c r="B81" s="5" t="s">
        <v>2842</v>
      </c>
      <c r="C81" s="1" t="str">
        <f aca="false">IF(B81="NEW ROUTE",1,"")</f>
        <v/>
      </c>
      <c r="E81" s="5" t="s">
        <v>2842</v>
      </c>
      <c r="F81" s="6" t="e">
        <f aca="false">VLOOKUP(E81,$K$2:$L$426,2,FALSE())</f>
        <v>#N/A</v>
      </c>
      <c r="G81" s="1" t="str">
        <f aca="false">IF(ISNA(F81),"",F81)</f>
        <v/>
      </c>
      <c r="H81" s="5" t="str">
        <f aca="false">IF(G81&lt;&gt;"",G81,E81)</f>
        <v>20, 30, TENTACOOL</v>
      </c>
      <c r="K81" s="1" t="s">
        <v>160</v>
      </c>
      <c r="L81" s="1" t="s">
        <v>161</v>
      </c>
    </row>
    <row r="82" customFormat="false" ht="12.75" hidden="false" customHeight="true" outlineLevel="0" collapsed="false">
      <c r="A82" s="4" t="s">
        <v>2843</v>
      </c>
      <c r="B82" s="5" t="s">
        <v>2843</v>
      </c>
      <c r="C82" s="1" t="str">
        <f aca="false">IF(B82="NEW ROUTE",1,"")</f>
        <v/>
      </c>
      <c r="E82" s="5" t="s">
        <v>2843</v>
      </c>
      <c r="F82" s="6" t="e">
        <f aca="false">VLOOKUP(E82,$K$2:$L$426,2,FALSE())</f>
        <v>#N/A</v>
      </c>
      <c r="G82" s="1" t="str">
        <f aca="false">IF(ISNA(F82),"",F82)</f>
        <v/>
      </c>
      <c r="H82" s="5" t="str">
        <f aca="false">IF(G82&lt;&gt;"",G82,E82)</f>
        <v>30, 35, TENTACOOL</v>
      </c>
      <c r="K82" s="1" t="s">
        <v>162</v>
      </c>
      <c r="L82" s="1" t="s">
        <v>163</v>
      </c>
    </row>
    <row r="83" customFormat="false" ht="12.75" hidden="false" customHeight="true" outlineLevel="0" collapsed="false">
      <c r="A83" s="4" t="s">
        <v>2844</v>
      </c>
      <c r="B83" s="5" t="s">
        <v>2844</v>
      </c>
      <c r="C83" s="1" t="str">
        <f aca="false">IF(B83="NEW ROUTE",1,"")</f>
        <v/>
      </c>
      <c r="E83" s="5" t="s">
        <v>2844</v>
      </c>
      <c r="F83" s="6" t="e">
        <f aca="false">VLOOKUP(E83,$K$2:$L$426,2,FALSE())</f>
        <v>#N/A</v>
      </c>
      <c r="G83" s="1" t="str">
        <f aca="false">IF(ISNA(F83),"",F83)</f>
        <v/>
      </c>
      <c r="H83" s="5" t="str">
        <f aca="false">IF(G83&lt;&gt;"",G83,E83)</f>
        <v>35, 40, TENTACOOL</v>
      </c>
      <c r="K83" s="1" t="s">
        <v>164</v>
      </c>
      <c r="L83" s="1" t="s">
        <v>165</v>
      </c>
    </row>
    <row r="84" customFormat="false" ht="12.75" hidden="false" customHeight="true" outlineLevel="0" collapsed="false">
      <c r="A84" s="4" t="s">
        <v>2845</v>
      </c>
      <c r="B84" s="5" t="s">
        <v>2845</v>
      </c>
      <c r="C84" s="1" t="str">
        <f aca="false">IF(B84="NEW ROUTE",1,"")</f>
        <v/>
      </c>
      <c r="E84" s="5" t="s">
        <v>2845</v>
      </c>
      <c r="F84" s="6" t="e">
        <f aca="false">VLOOKUP(E84,$K$2:$L$426,2,FALSE())</f>
        <v>#N/A</v>
      </c>
      <c r="G84" s="1" t="str">
        <f aca="false">IF(ISNA(F84),"",F84)</f>
        <v/>
      </c>
      <c r="H84" s="5" t="str">
        <f aca="false">IF(G84&lt;&gt;"",G84,E84)</f>
        <v>10, old rod:</v>
      </c>
      <c r="K84" s="1" t="s">
        <v>166</v>
      </c>
      <c r="L84" s="1" t="s">
        <v>167</v>
      </c>
    </row>
    <row r="85" customFormat="false" ht="12.75" hidden="false" customHeight="true" outlineLevel="0" collapsed="false">
      <c r="A85" s="4" t="s">
        <v>1266</v>
      </c>
      <c r="B85" s="5" t="s">
        <v>1266</v>
      </c>
      <c r="C85" s="1" t="str">
        <f aca="false">IF(B85="NEW ROUTE",1,"")</f>
        <v/>
      </c>
      <c r="E85" s="5" t="s">
        <v>1266</v>
      </c>
      <c r="F85" s="6" t="e">
        <f aca="false">VLOOKUP(E85,$K$2:$L$426,2,FALSE())</f>
        <v>#N/A</v>
      </c>
      <c r="G85" s="1" t="str">
        <f aca="false">IF(ISNA(F85),"",F85)</f>
        <v/>
      </c>
      <c r="H85" s="5" t="str">
        <f aca="false">IF(G85&lt;&gt;"",G85,E85)</f>
        <v>5, 5, MAGIKARP</v>
      </c>
      <c r="K85" s="1" t="s">
        <v>168</v>
      </c>
      <c r="L85" s="1" t="s">
        <v>169</v>
      </c>
    </row>
    <row r="86" customFormat="false" ht="12.75" hidden="false" customHeight="true" outlineLevel="0" collapsed="false">
      <c r="A86" s="4" t="s">
        <v>1266</v>
      </c>
      <c r="B86" s="5" t="s">
        <v>1266</v>
      </c>
      <c r="C86" s="1" t="str">
        <f aca="false">IF(B86="NEW ROUTE",1,"")</f>
        <v/>
      </c>
      <c r="E86" s="5" t="s">
        <v>1266</v>
      </c>
      <c r="F86" s="6" t="e">
        <f aca="false">VLOOKUP(E86,$K$2:$L$426,2,FALSE())</f>
        <v>#N/A</v>
      </c>
      <c r="G86" s="1" t="str">
        <f aca="false">IF(ISNA(F86),"",F86)</f>
        <v/>
      </c>
      <c r="H86" s="5" t="str">
        <f aca="false">IF(G86&lt;&gt;"",G86,E86)</f>
        <v>5, 5, MAGIKARP</v>
      </c>
      <c r="K86" s="1" t="s">
        <v>170</v>
      </c>
      <c r="L86" s="1" t="s">
        <v>171</v>
      </c>
    </row>
    <row r="87" customFormat="false" ht="12.75" hidden="false" customHeight="true" outlineLevel="0" collapsed="false">
      <c r="A87" s="4" t="s">
        <v>2846</v>
      </c>
      <c r="B87" s="5" t="s">
        <v>2846</v>
      </c>
      <c r="C87" s="1" t="str">
        <f aca="false">IF(B87="NEW ROUTE",1,"")</f>
        <v/>
      </c>
      <c r="E87" s="5" t="s">
        <v>2846</v>
      </c>
      <c r="F87" s="6" t="e">
        <f aca="false">VLOOKUP(E87,$K$2:$L$426,2,FALSE())</f>
        <v>#N/A</v>
      </c>
      <c r="G87" s="1" t="str">
        <f aca="false">IF(ISNA(F87),"",F87)</f>
        <v/>
      </c>
      <c r="H87" s="5" t="str">
        <f aca="false">IF(G87&lt;&gt;"",G87,E87)</f>
        <v>good rod:</v>
      </c>
      <c r="K87" s="1" t="s">
        <v>172</v>
      </c>
      <c r="L87" s="1" t="s">
        <v>173</v>
      </c>
    </row>
    <row r="88" customFormat="false" ht="12.75" hidden="false" customHeight="true" outlineLevel="0" collapsed="false">
      <c r="A88" s="4" t="s">
        <v>2847</v>
      </c>
      <c r="B88" s="5" t="s">
        <v>2847</v>
      </c>
      <c r="C88" s="1" t="str">
        <f aca="false">IF(B88="NEW ROUTE",1,"")</f>
        <v/>
      </c>
      <c r="E88" s="5" t="s">
        <v>2847</v>
      </c>
      <c r="F88" s="6" t="e">
        <f aca="false">VLOOKUP(E88,$K$2:$L$426,2,FALSE())</f>
        <v>#N/A</v>
      </c>
      <c r="G88" s="1" t="str">
        <f aca="false">IF(ISNA(F88),"",F88)</f>
        <v/>
      </c>
      <c r="H88" s="5" t="str">
        <f aca="false">IF(G88&lt;&gt;"",G88,E88)</f>
        <v>5, 15, KRABBY</v>
      </c>
      <c r="K88" s="1" t="s">
        <v>174</v>
      </c>
      <c r="L88" s="1" t="s">
        <v>175</v>
      </c>
    </row>
    <row r="89" customFormat="false" ht="12.75" hidden="false" customHeight="true" outlineLevel="0" collapsed="false">
      <c r="A89" s="4" t="s">
        <v>2848</v>
      </c>
      <c r="B89" s="5" t="s">
        <v>2848</v>
      </c>
      <c r="C89" s="1" t="str">
        <f aca="false">IF(B89="NEW ROUTE",1,"")</f>
        <v/>
      </c>
      <c r="E89" s="5" t="s">
        <v>2848</v>
      </c>
      <c r="F89" s="6" t="e">
        <f aca="false">VLOOKUP(E89,$K$2:$L$426,2,FALSE())</f>
        <v>#N/A</v>
      </c>
      <c r="G89" s="1" t="str">
        <f aca="false">IF(ISNA(F89),"",F89)</f>
        <v/>
      </c>
      <c r="H89" s="5" t="str">
        <f aca="false">IF(G89&lt;&gt;"",G89,E89)</f>
        <v>5, 15, MAGIKARP</v>
      </c>
      <c r="K89" s="1" t="s">
        <v>176</v>
      </c>
      <c r="L89" s="1" t="s">
        <v>177</v>
      </c>
    </row>
    <row r="90" customFormat="false" ht="12.75" hidden="false" customHeight="true" outlineLevel="0" collapsed="false">
      <c r="A90" s="4" t="s">
        <v>2849</v>
      </c>
      <c r="B90" s="5" t="s">
        <v>2849</v>
      </c>
      <c r="C90" s="1" t="str">
        <f aca="false">IF(B90="NEW ROUTE",1,"")</f>
        <v/>
      </c>
      <c r="E90" s="5" t="s">
        <v>2849</v>
      </c>
      <c r="F90" s="6" t="e">
        <f aca="false">VLOOKUP(E90,$K$2:$L$426,2,FALSE())</f>
        <v>#N/A</v>
      </c>
      <c r="G90" s="1" t="str">
        <f aca="false">IF(ISNA(F90),"",F90)</f>
        <v/>
      </c>
      <c r="H90" s="5" t="str">
        <f aca="false">IF(G90&lt;&gt;"",G90,E90)</f>
        <v>5, 15, HORSEA</v>
      </c>
      <c r="K90" s="1" t="s">
        <v>178</v>
      </c>
      <c r="L90" s="1" t="s">
        <v>179</v>
      </c>
    </row>
    <row r="91" customFormat="false" ht="12.75" hidden="false" customHeight="true" outlineLevel="0" collapsed="false">
      <c r="A91" s="4" t="s">
        <v>2850</v>
      </c>
      <c r="B91" s="5" t="s">
        <v>2850</v>
      </c>
      <c r="C91" s="1" t="str">
        <f aca="false">IF(B91="NEW ROUTE",1,"")</f>
        <v/>
      </c>
      <c r="E91" s="5" t="s">
        <v>2850</v>
      </c>
      <c r="F91" s="6" t="e">
        <f aca="false">VLOOKUP(E91,$K$2:$L$426,2,FALSE())</f>
        <v>#N/A</v>
      </c>
      <c r="G91" s="1" t="str">
        <f aca="false">IF(ISNA(F91),"",F91)</f>
        <v/>
      </c>
      <c r="H91" s="5" t="str">
        <f aca="false">IF(G91&lt;&gt;"",G91,E91)</f>
        <v>super rod:</v>
      </c>
      <c r="K91" s="1" t="s">
        <v>180</v>
      </c>
      <c r="L91" s="1" t="s">
        <v>181</v>
      </c>
    </row>
    <row r="92" customFormat="false" ht="12.75" hidden="false" customHeight="true" outlineLevel="0" collapsed="false">
      <c r="A92" s="4" t="s">
        <v>2851</v>
      </c>
      <c r="B92" s="5" t="s">
        <v>2851</v>
      </c>
      <c r="C92" s="1" t="str">
        <f aca="false">IF(B92="NEW ROUTE",1,"")</f>
        <v/>
      </c>
      <c r="E92" s="5" t="s">
        <v>2851</v>
      </c>
      <c r="F92" s="6" t="e">
        <f aca="false">VLOOKUP(E92,$K$2:$L$426,2,FALSE())</f>
        <v>#N/A</v>
      </c>
      <c r="G92" s="1" t="str">
        <f aca="false">IF(ISNA(F92),"",F92)</f>
        <v/>
      </c>
      <c r="H92" s="5" t="str">
        <f aca="false">IF(G92&lt;&gt;"",G92,E92)</f>
        <v>15, 25, KRABBY</v>
      </c>
      <c r="K92" s="1" t="s">
        <v>182</v>
      </c>
      <c r="L92" s="1" t="s">
        <v>183</v>
      </c>
    </row>
    <row r="93" customFormat="false" ht="12.75" hidden="false" customHeight="true" outlineLevel="0" collapsed="false">
      <c r="A93" s="4" t="s">
        <v>2852</v>
      </c>
      <c r="B93" s="5" t="s">
        <v>2852</v>
      </c>
      <c r="C93" s="1" t="str">
        <f aca="false">IF(B93="NEW ROUTE",1,"")</f>
        <v/>
      </c>
      <c r="E93" s="5" t="s">
        <v>2852</v>
      </c>
      <c r="F93" s="6" t="e">
        <f aca="false">VLOOKUP(E93,$K$2:$L$426,2,FALSE())</f>
        <v>#N/A</v>
      </c>
      <c r="G93" s="1" t="str">
        <f aca="false">IF(ISNA(F93),"",F93)</f>
        <v/>
      </c>
      <c r="H93" s="5" t="str">
        <f aca="false">IF(G93&lt;&gt;"",G93,E93)</f>
        <v>15, 25, STARYU</v>
      </c>
      <c r="K93" s="1" t="s">
        <v>184</v>
      </c>
      <c r="L93" s="1" t="s">
        <v>185</v>
      </c>
    </row>
    <row r="94" customFormat="false" ht="12.75" hidden="false" customHeight="true" outlineLevel="0" collapsed="false">
      <c r="A94" s="4" t="s">
        <v>2853</v>
      </c>
      <c r="B94" s="5" t="s">
        <v>2853</v>
      </c>
      <c r="C94" s="1" t="str">
        <f aca="false">IF(B94="NEW ROUTE",1,"")</f>
        <v/>
      </c>
      <c r="E94" s="5" t="s">
        <v>2853</v>
      </c>
      <c r="F94" s="6" t="e">
        <f aca="false">VLOOKUP(E94,$K$2:$L$426,2,FALSE())</f>
        <v>#N/A</v>
      </c>
      <c r="G94" s="1" t="str">
        <f aca="false">IF(ISNA(F94),"",F94)</f>
        <v/>
      </c>
      <c r="H94" s="5" t="str">
        <f aca="false">IF(G94&lt;&gt;"",G94,E94)</f>
        <v>15, 25, GYARADOS</v>
      </c>
      <c r="K94" s="1" t="s">
        <v>186</v>
      </c>
      <c r="L94" s="1" t="s">
        <v>187</v>
      </c>
    </row>
    <row r="95" customFormat="false" ht="12.75" hidden="false" customHeight="true" outlineLevel="0" collapsed="false">
      <c r="A95" s="4" t="s">
        <v>2854</v>
      </c>
      <c r="B95" s="5" t="s">
        <v>2854</v>
      </c>
      <c r="C95" s="1" t="str">
        <f aca="false">IF(B95="NEW ROUTE",1,"")</f>
        <v/>
      </c>
      <c r="E95" s="5" t="s">
        <v>2854</v>
      </c>
      <c r="F95" s="6" t="e">
        <f aca="false">VLOOKUP(E95,$K$2:$L$426,2,FALSE())</f>
        <v>#N/A</v>
      </c>
      <c r="G95" s="1" t="str">
        <f aca="false">IF(ISNA(F95),"",F95)</f>
        <v/>
      </c>
      <c r="H95" s="5" t="str">
        <f aca="false">IF(G95&lt;&gt;"",G95,E95)</f>
        <v>25, 35, KRABBY</v>
      </c>
      <c r="K95" s="1" t="s">
        <v>188</v>
      </c>
      <c r="L95" s="1" t="s">
        <v>189</v>
      </c>
    </row>
    <row r="96" customFormat="false" ht="12.75" hidden="false" customHeight="true" outlineLevel="0" collapsed="false">
      <c r="A96" s="4" t="s">
        <v>2855</v>
      </c>
      <c r="B96" s="5" t="s">
        <v>2855</v>
      </c>
      <c r="C96" s="1" t="str">
        <f aca="false">IF(B96="NEW ROUTE",1,"")</f>
        <v/>
      </c>
      <c r="E96" s="5" t="s">
        <v>2855</v>
      </c>
      <c r="F96" s="6" t="e">
        <f aca="false">VLOOKUP(E96,$K$2:$L$426,2,FALSE())</f>
        <v>#N/A</v>
      </c>
      <c r="G96" s="1" t="str">
        <f aca="false">IF(ISNA(F96),"",F96)</f>
        <v/>
      </c>
      <c r="H96" s="5" t="str">
        <f aca="false">IF(G96&lt;&gt;"",G96,E96)</f>
        <v>25, 35, SLOWPOKE</v>
      </c>
      <c r="K96" s="1" t="s">
        <v>190</v>
      </c>
      <c r="L96" s="1" t="s">
        <v>191</v>
      </c>
    </row>
    <row r="97" customFormat="false" ht="12.75" hidden="false" customHeight="true" outlineLevel="0" collapsed="false">
      <c r="A97" s="4" t="s">
        <v>2536</v>
      </c>
      <c r="B97" s="5" t="s">
        <v>2536</v>
      </c>
      <c r="C97" s="1" t="n">
        <f aca="false">IF(B97="NEW ROUTE",1,"")</f>
        <v>1</v>
      </c>
      <c r="E97" s="5" t="s">
        <v>2536</v>
      </c>
      <c r="F97" s="6" t="e">
        <f aca="false">VLOOKUP(E97,$K$2:$L$426,2,FALSE())</f>
        <v>#N/A</v>
      </c>
      <c r="G97" s="1" t="str">
        <f aca="false">IF(ISNA(F97),"",F97)</f>
        <v/>
      </c>
      <c r="H97" s="5" t="str">
        <f aca="false">IF(G97&lt;&gt;"",G97,E97)</f>
        <v>NEW ROUTE</v>
      </c>
      <c r="K97" s="1" t="s">
        <v>192</v>
      </c>
      <c r="L97" s="1" t="s">
        <v>193</v>
      </c>
    </row>
    <row r="98" customFormat="false" ht="12.75" hidden="false" customHeight="true" outlineLevel="0" collapsed="false">
      <c r="A98" s="4" t="s">
        <v>86</v>
      </c>
      <c r="B98" s="5" t="s">
        <v>86</v>
      </c>
      <c r="C98" s="1" t="str">
        <f aca="false">IF(B98="NEW ROUTE",1,"")</f>
        <v/>
      </c>
      <c r="E98" s="5" t="s">
        <v>86</v>
      </c>
      <c r="F98" s="6" t="str">
        <f aca="false">VLOOKUP(E98,$K$2:$L$426,2,FALSE())</f>
        <v>Diglett's Cave B1F</v>
      </c>
      <c r="G98" s="1" t="str">
        <f aca="false">IF(ISNA(F98),"",F98)</f>
        <v>Diglett's Cave B1F</v>
      </c>
      <c r="H98" s="5" t="str">
        <f aca="false">IF(G98&lt;&gt;"",G98,E98)</f>
        <v>Diglett's Cave B1F</v>
      </c>
      <c r="K98" s="1" t="s">
        <v>194</v>
      </c>
      <c r="L98" s="1" t="s">
        <v>195</v>
      </c>
    </row>
    <row r="99" customFormat="false" ht="12.75" hidden="false" customHeight="true" outlineLevel="0" collapsed="false">
      <c r="A99" s="4" t="s">
        <v>2799</v>
      </c>
      <c r="B99" s="5" t="n">
        <v>0.2</v>
      </c>
      <c r="C99" s="1" t="str">
        <f aca="false">IF(B99="NEW ROUTE",1,"")</f>
        <v/>
      </c>
      <c r="E99" s="5" t="n">
        <v>0.2</v>
      </c>
      <c r="F99" s="6" t="e">
        <f aca="false">VLOOKUP(E99,$K$2:$L$426,2,FALSE())</f>
        <v>#N/A</v>
      </c>
      <c r="G99" s="1" t="str">
        <f aca="false">IF(ISNA(F99),"",F99)</f>
        <v/>
      </c>
      <c r="H99" s="5" t="n">
        <f aca="false">IF(G99&lt;&gt;"",G99,E99)</f>
        <v>0.2</v>
      </c>
      <c r="K99" s="1" t="s">
        <v>196</v>
      </c>
      <c r="L99" s="1" t="s">
        <v>197</v>
      </c>
    </row>
    <row r="100" customFormat="false" ht="12.75" hidden="false" customHeight="true" outlineLevel="0" collapsed="false">
      <c r="A100" s="4" t="s">
        <v>1279</v>
      </c>
      <c r="B100" s="5" t="s">
        <v>1279</v>
      </c>
      <c r="C100" s="1" t="str">
        <f aca="false">IF(B100="NEW ROUTE",1,"")</f>
        <v/>
      </c>
      <c r="E100" s="5" t="s">
        <v>1279</v>
      </c>
      <c r="F100" s="6" t="e">
        <f aca="false">VLOOKUP(E100,$K$2:$L$426,2,FALSE())</f>
        <v>#N/A</v>
      </c>
      <c r="G100" s="1" t="str">
        <f aca="false">IF(ISNA(F100),"",F100)</f>
        <v/>
      </c>
      <c r="H100" s="5" t="str">
        <f aca="false">IF(G100&lt;&gt;"",G100,E100)</f>
        <v>18, 18, DIGLETT</v>
      </c>
      <c r="K100" s="1" t="s">
        <v>198</v>
      </c>
      <c r="L100" s="1" t="s">
        <v>199</v>
      </c>
    </row>
    <row r="101" customFormat="false" ht="12.75" hidden="false" customHeight="true" outlineLevel="0" collapsed="false">
      <c r="A101" s="4" t="s">
        <v>2857</v>
      </c>
      <c r="B101" s="5" t="s">
        <v>2857</v>
      </c>
      <c r="C101" s="1" t="str">
        <f aca="false">IF(B101="NEW ROUTE",1,"")</f>
        <v/>
      </c>
      <c r="E101" s="5" t="s">
        <v>2857</v>
      </c>
      <c r="F101" s="6" t="e">
        <f aca="false">VLOOKUP(E101,$K$2:$L$426,2,FALSE())</f>
        <v>#N/A</v>
      </c>
      <c r="G101" s="1" t="str">
        <f aca="false">IF(ISNA(F101),"",F101)</f>
        <v/>
      </c>
      <c r="H101" s="5" t="str">
        <f aca="false">IF(G101&lt;&gt;"",G101,E101)</f>
        <v>19, 19, DIGLETT</v>
      </c>
      <c r="K101" s="1" t="s">
        <v>200</v>
      </c>
      <c r="L101" s="1" t="s">
        <v>201</v>
      </c>
    </row>
    <row r="102" customFormat="false" ht="12.75" hidden="false" customHeight="true" outlineLevel="0" collapsed="false">
      <c r="A102" s="4" t="s">
        <v>2801</v>
      </c>
      <c r="B102" s="5" t="n">
        <v>0.1</v>
      </c>
      <c r="C102" s="1" t="str">
        <f aca="false">IF(B102="NEW ROUTE",1,"")</f>
        <v/>
      </c>
      <c r="E102" s="5" t="n">
        <v>0.1</v>
      </c>
      <c r="F102" s="6" t="e">
        <f aca="false">VLOOKUP(E102,$K$2:$L$426,2,FALSE())</f>
        <v>#N/A</v>
      </c>
      <c r="G102" s="1" t="str">
        <f aca="false">IF(ISNA(F102),"",F102)</f>
        <v/>
      </c>
      <c r="H102" s="5" t="n">
        <f aca="false">IF(G102&lt;&gt;"",G102,E102)</f>
        <v>0.1</v>
      </c>
      <c r="K102" s="1" t="s">
        <v>202</v>
      </c>
      <c r="L102" s="1" t="s">
        <v>203</v>
      </c>
    </row>
    <row r="103" customFormat="false" ht="12.75" hidden="false" customHeight="true" outlineLevel="0" collapsed="false">
      <c r="A103" s="4" t="s">
        <v>2858</v>
      </c>
      <c r="B103" s="5" t="s">
        <v>2858</v>
      </c>
      <c r="C103" s="1" t="str">
        <f aca="false">IF(B103="NEW ROUTE",1,"")</f>
        <v/>
      </c>
      <c r="E103" s="5" t="s">
        <v>2858</v>
      </c>
      <c r="F103" s="6" t="e">
        <f aca="false">VLOOKUP(E103,$K$2:$L$426,2,FALSE())</f>
        <v>#N/A</v>
      </c>
      <c r="G103" s="1" t="str">
        <f aca="false">IF(ISNA(F103),"",F103)</f>
        <v/>
      </c>
      <c r="H103" s="5" t="str">
        <f aca="false">IF(G103&lt;&gt;"",G103,E103)</f>
        <v>20, 20, DIGLETT</v>
      </c>
      <c r="K103" s="1" t="s">
        <v>204</v>
      </c>
      <c r="L103" s="1" t="s">
        <v>205</v>
      </c>
    </row>
    <row r="104" customFormat="false" ht="12.75" hidden="false" customHeight="true" outlineLevel="0" collapsed="false">
      <c r="A104" s="4" t="s">
        <v>2859</v>
      </c>
      <c r="B104" s="5" t="s">
        <v>2859</v>
      </c>
      <c r="C104" s="1" t="str">
        <f aca="false">IF(B104="NEW ROUTE",1,"")</f>
        <v/>
      </c>
      <c r="E104" s="5" t="s">
        <v>2859</v>
      </c>
      <c r="F104" s="6" t="e">
        <f aca="false">VLOOKUP(E104,$K$2:$L$426,2,FALSE())</f>
        <v>#N/A</v>
      </c>
      <c r="G104" s="1" t="str">
        <f aca="false">IF(ISNA(F104),"",F104)</f>
        <v/>
      </c>
      <c r="H104" s="5" t="str">
        <f aca="false">IF(G104&lt;&gt;"",G104,E104)</f>
        <v>21, 21, DIGLETT</v>
      </c>
      <c r="K104" s="1" t="s">
        <v>206</v>
      </c>
      <c r="L104" s="1" t="s">
        <v>207</v>
      </c>
    </row>
    <row r="105" customFormat="false" ht="12.75" hidden="false" customHeight="true" outlineLevel="0" collapsed="false">
      <c r="A105" s="4" t="s">
        <v>2860</v>
      </c>
      <c r="B105" s="5" t="s">
        <v>2860</v>
      </c>
      <c r="C105" s="1" t="str">
        <f aca="false">IF(B105="NEW ROUTE",1,"")</f>
        <v/>
      </c>
      <c r="E105" s="5" t="s">
        <v>2860</v>
      </c>
      <c r="F105" s="6" t="e">
        <f aca="false">VLOOKUP(E105,$K$2:$L$426,2,FALSE())</f>
        <v>#N/A</v>
      </c>
      <c r="G105" s="1" t="str">
        <f aca="false">IF(ISNA(F105),"",F105)</f>
        <v/>
      </c>
      <c r="H105" s="5" t="str">
        <f aca="false">IF(G105&lt;&gt;"",G105,E105)</f>
        <v>22, 22, DIGLETT</v>
      </c>
      <c r="K105" s="1" t="s">
        <v>208</v>
      </c>
      <c r="L105" s="1" t="s">
        <v>209</v>
      </c>
    </row>
    <row r="106" customFormat="false" ht="12.75" hidden="false" customHeight="true" outlineLevel="0" collapsed="false">
      <c r="A106" s="4" t="s">
        <v>2861</v>
      </c>
      <c r="B106" s="5" t="s">
        <v>2861</v>
      </c>
      <c r="C106" s="1" t="str">
        <f aca="false">IF(B106="NEW ROUTE",1,"")</f>
        <v/>
      </c>
      <c r="E106" s="5" t="s">
        <v>2861</v>
      </c>
      <c r="F106" s="6" t="e">
        <f aca="false">VLOOKUP(E106,$K$2:$L$426,2,FALSE())</f>
        <v>#N/A</v>
      </c>
      <c r="G106" s="1" t="str">
        <f aca="false">IF(ISNA(F106),"",F106)</f>
        <v/>
      </c>
      <c r="H106" s="5" t="str">
        <f aca="false">IF(G106&lt;&gt;"",G106,E106)</f>
        <v>19, 19, DUGTRIO</v>
      </c>
      <c r="K106" s="1" t="s">
        <v>210</v>
      </c>
      <c r="L106" s="1" t="s">
        <v>211</v>
      </c>
    </row>
    <row r="107" customFormat="false" ht="12.75" hidden="false" customHeight="true" outlineLevel="0" collapsed="false">
      <c r="A107" s="4" t="s">
        <v>2806</v>
      </c>
      <c r="B107" s="5" t="n">
        <v>0.05</v>
      </c>
      <c r="C107" s="1" t="str">
        <f aca="false">IF(B107="NEW ROUTE",1,"")</f>
        <v/>
      </c>
      <c r="E107" s="5" t="n">
        <v>0.05</v>
      </c>
      <c r="F107" s="6" t="e">
        <f aca="false">VLOOKUP(E107,$K$2:$L$426,2,FALSE())</f>
        <v>#N/A</v>
      </c>
      <c r="G107" s="1" t="str">
        <f aca="false">IF(ISNA(F107),"",F107)</f>
        <v/>
      </c>
      <c r="H107" s="5" t="n">
        <f aca="false">IF(G107&lt;&gt;"",G107,E107)</f>
        <v>0.05</v>
      </c>
      <c r="K107" s="1" t="s">
        <v>212</v>
      </c>
      <c r="L107" s="1" t="s">
        <v>213</v>
      </c>
    </row>
    <row r="108" customFormat="false" ht="12.75" hidden="false" customHeight="true" outlineLevel="0" collapsed="false">
      <c r="A108" s="4" t="s">
        <v>2862</v>
      </c>
      <c r="B108" s="5" t="s">
        <v>2862</v>
      </c>
      <c r="C108" s="1" t="str">
        <f aca="false">IF(B108="NEW ROUTE",1,"")</f>
        <v/>
      </c>
      <c r="E108" s="5" t="s">
        <v>2862</v>
      </c>
      <c r="F108" s="6" t="e">
        <f aca="false">VLOOKUP(E108,$K$2:$L$426,2,FALSE())</f>
        <v>#N/A</v>
      </c>
      <c r="G108" s="1" t="str">
        <f aca="false">IF(ISNA(F108),"",F108)</f>
        <v/>
      </c>
      <c r="H108" s="5" t="str">
        <f aca="false">IF(G108&lt;&gt;"",G108,E108)</f>
        <v>23, 23, DIGLETT</v>
      </c>
      <c r="K108" s="1" t="s">
        <v>214</v>
      </c>
      <c r="L108" s="1" t="s">
        <v>215</v>
      </c>
    </row>
    <row r="109" customFormat="false" ht="12.75" hidden="false" customHeight="true" outlineLevel="0" collapsed="false">
      <c r="A109" s="4" t="s">
        <v>2863</v>
      </c>
      <c r="B109" s="5" t="s">
        <v>2863</v>
      </c>
      <c r="C109" s="1" t="str">
        <f aca="false">IF(B109="NEW ROUTE",1,"")</f>
        <v/>
      </c>
      <c r="E109" s="5" t="s">
        <v>2863</v>
      </c>
      <c r="F109" s="6" t="e">
        <f aca="false">VLOOKUP(E109,$K$2:$L$426,2,FALSE())</f>
        <v>#N/A</v>
      </c>
      <c r="G109" s="1" t="str">
        <f aca="false">IF(ISNA(F109),"",F109)</f>
        <v/>
      </c>
      <c r="H109" s="5" t="str">
        <f aca="false">IF(G109&lt;&gt;"",G109,E109)</f>
        <v>24, 24, DIGLETT</v>
      </c>
      <c r="K109" s="1" t="s">
        <v>216</v>
      </c>
      <c r="L109" s="1" t="s">
        <v>217</v>
      </c>
    </row>
    <row r="110" customFormat="false" ht="12.75" hidden="false" customHeight="true" outlineLevel="0" collapsed="false">
      <c r="A110" s="4" t="s">
        <v>2809</v>
      </c>
      <c r="B110" s="5" t="n">
        <v>0.04</v>
      </c>
      <c r="C110" s="1" t="str">
        <f aca="false">IF(B110="NEW ROUTE",1,"")</f>
        <v/>
      </c>
      <c r="E110" s="5" t="n">
        <v>0.04</v>
      </c>
      <c r="F110" s="6" t="e">
        <f aca="false">VLOOKUP(E110,$K$2:$L$426,2,FALSE())</f>
        <v>#N/A</v>
      </c>
      <c r="G110" s="1" t="str">
        <f aca="false">IF(ISNA(F110),"",F110)</f>
        <v/>
      </c>
      <c r="H110" s="5" t="n">
        <f aca="false">IF(G110&lt;&gt;"",G110,E110)</f>
        <v>0.04</v>
      </c>
      <c r="K110" s="1" t="s">
        <v>218</v>
      </c>
      <c r="L110" s="1" t="s">
        <v>219</v>
      </c>
    </row>
    <row r="111" customFormat="false" ht="12.75" hidden="false" customHeight="true" outlineLevel="0" collapsed="false">
      <c r="A111" s="4" t="s">
        <v>2864</v>
      </c>
      <c r="B111" s="5" t="s">
        <v>2864</v>
      </c>
      <c r="C111" s="1" t="str">
        <f aca="false">IF(B111="NEW ROUTE",1,"")</f>
        <v/>
      </c>
      <c r="E111" s="5" t="s">
        <v>2864</v>
      </c>
      <c r="F111" s="6" t="e">
        <f aca="false">VLOOKUP(E111,$K$2:$L$426,2,FALSE())</f>
        <v>#N/A</v>
      </c>
      <c r="G111" s="1" t="str">
        <f aca="false">IF(ISNA(F111),"",F111)</f>
        <v/>
      </c>
      <c r="H111" s="5" t="str">
        <f aca="false">IF(G111&lt;&gt;"",G111,E111)</f>
        <v>20, 23, DUGTRIO</v>
      </c>
      <c r="K111" s="1" t="s">
        <v>220</v>
      </c>
      <c r="L111" s="1" t="s">
        <v>221</v>
      </c>
    </row>
    <row r="112" customFormat="false" ht="12.75" hidden="false" customHeight="true" outlineLevel="0" collapsed="false">
      <c r="A112" s="4" t="s">
        <v>2865</v>
      </c>
      <c r="B112" s="5" t="s">
        <v>2865</v>
      </c>
      <c r="C112" s="1" t="str">
        <f aca="false">IF(B112="NEW ROUTE",1,"")</f>
        <v/>
      </c>
      <c r="E112" s="5" t="s">
        <v>2865</v>
      </c>
      <c r="F112" s="6" t="e">
        <f aca="false">VLOOKUP(E112,$K$2:$L$426,2,FALSE())</f>
        <v>#N/A</v>
      </c>
      <c r="G112" s="1" t="str">
        <f aca="false">IF(ISNA(F112),"",F112)</f>
        <v/>
      </c>
      <c r="H112" s="5" t="str">
        <f aca="false">IF(G112&lt;&gt;"",G112,E112)</f>
        <v>24, 26, DUGTRIO</v>
      </c>
      <c r="K112" s="1" t="s">
        <v>222</v>
      </c>
      <c r="L112" s="1" t="s">
        <v>223</v>
      </c>
    </row>
    <row r="113" customFormat="false" ht="12.75" hidden="false" customHeight="true" outlineLevel="0" collapsed="false">
      <c r="A113" s="4" t="s">
        <v>2812</v>
      </c>
      <c r="B113" s="5" t="n">
        <v>0.01</v>
      </c>
      <c r="C113" s="1" t="str">
        <f aca="false">IF(B113="NEW ROUTE",1,"")</f>
        <v/>
      </c>
      <c r="E113" s="5" t="n">
        <v>0.01</v>
      </c>
      <c r="F113" s="6" t="e">
        <f aca="false">VLOOKUP(E113,$K$2:$L$426,2,FALSE())</f>
        <v>#N/A</v>
      </c>
      <c r="G113" s="1" t="str">
        <f aca="false">IF(ISNA(F113),"",F113)</f>
        <v/>
      </c>
      <c r="H113" s="5" t="n">
        <f aca="false">IF(G113&lt;&gt;"",G113,E113)</f>
        <v>0.01</v>
      </c>
      <c r="K113" s="1" t="s">
        <v>224</v>
      </c>
      <c r="L113" s="1" t="s">
        <v>225</v>
      </c>
    </row>
    <row r="114" customFormat="false" ht="12.75" hidden="false" customHeight="true" outlineLevel="0" collapsed="false">
      <c r="A114" s="4" t="s">
        <v>2866</v>
      </c>
      <c r="B114" s="5" t="s">
        <v>2866</v>
      </c>
      <c r="C114" s="1" t="str">
        <f aca="false">IF(B114="NEW ROUTE",1,"")</f>
        <v/>
      </c>
      <c r="E114" s="5" t="s">
        <v>2866</v>
      </c>
      <c r="F114" s="6" t="e">
        <f aca="false">VLOOKUP(E114,$K$2:$L$426,2,FALSE())</f>
        <v>#N/A</v>
      </c>
      <c r="G114" s="1" t="str">
        <f aca="false">IF(ISNA(F114),"",F114)</f>
        <v/>
      </c>
      <c r="H114" s="5" t="str">
        <f aca="false">IF(G114&lt;&gt;"",G114,E114)</f>
        <v>27, 28, DUGTRIO</v>
      </c>
      <c r="K114" s="1" t="s">
        <v>226</v>
      </c>
      <c r="L114" s="1" t="s">
        <v>227</v>
      </c>
    </row>
    <row r="115" customFormat="false" ht="12.75" hidden="false" customHeight="true" outlineLevel="0" collapsed="false">
      <c r="A115" s="4" t="s">
        <v>3709</v>
      </c>
      <c r="B115" s="5" t="s">
        <v>3709</v>
      </c>
      <c r="C115" s="1" t="str">
        <f aca="false">IF(B115="NEW ROUTE",1,"")</f>
        <v/>
      </c>
      <c r="E115" s="5" t="s">
        <v>3709</v>
      </c>
      <c r="F115" s="6" t="e">
        <f aca="false">VLOOKUP(E115,$K$2:$L$426,2,FALSE())</f>
        <v>#N/A</v>
      </c>
      <c r="G115" s="1" t="str">
        <f aca="false">IF(ISNA(F115),"",F115)</f>
        <v/>
      </c>
      <c r="H115" s="5" t="str">
        <f aca="false">IF(G115&lt;&gt;"",G115,E115)</f>
        <v>30, 30, DUGROUPLE</v>
      </c>
      <c r="K115" s="1" t="s">
        <v>228</v>
      </c>
      <c r="L115" s="1" t="s">
        <v>229</v>
      </c>
    </row>
    <row r="116" customFormat="false" ht="12.75" hidden="false" customHeight="true" outlineLevel="0" collapsed="false">
      <c r="A116" s="4" t="s">
        <v>2536</v>
      </c>
      <c r="B116" s="5" t="s">
        <v>2536</v>
      </c>
      <c r="C116" s="1" t="n">
        <f aca="false">IF(B116="NEW ROUTE",1,"")</f>
        <v>1</v>
      </c>
      <c r="E116" s="5" t="s">
        <v>2536</v>
      </c>
      <c r="F116" s="6" t="e">
        <f aca="false">VLOOKUP(E116,$K$2:$L$426,2,FALSE())</f>
        <v>#N/A</v>
      </c>
      <c r="G116" s="1" t="str">
        <f aca="false">IF(ISNA(F116),"",F116)</f>
        <v/>
      </c>
      <c r="H116" s="5" t="str">
        <f aca="false">IF(G116&lt;&gt;"",G116,E116)</f>
        <v>NEW ROUTE</v>
      </c>
      <c r="K116" s="1" t="s">
        <v>230</v>
      </c>
      <c r="L116" s="1" t="s">
        <v>231</v>
      </c>
    </row>
    <row r="117" customFormat="false" ht="12.75" hidden="false" customHeight="true" outlineLevel="0" collapsed="false">
      <c r="A117" s="4" t="s">
        <v>90</v>
      </c>
      <c r="B117" s="5" t="s">
        <v>90</v>
      </c>
      <c r="C117" s="1" t="str">
        <f aca="false">IF(B117="NEW ROUTE",1,"")</f>
        <v/>
      </c>
      <c r="E117" s="5" t="s">
        <v>90</v>
      </c>
      <c r="F117" s="6" t="str">
        <f aca="false">VLOOKUP(E117,$K$2:$L$426,2,FALSE())</f>
        <v>Victory Road 1F</v>
      </c>
      <c r="G117" s="1" t="str">
        <f aca="false">IF(ISNA(F117),"",F117)</f>
        <v>Victory Road 1F</v>
      </c>
      <c r="H117" s="5" t="str">
        <f aca="false">IF(G117&lt;&gt;"",G117,E117)</f>
        <v>Victory Road 1F</v>
      </c>
      <c r="K117" s="1" t="s">
        <v>232</v>
      </c>
      <c r="L117" s="1" t="s">
        <v>233</v>
      </c>
    </row>
    <row r="118" customFormat="false" ht="12.75" hidden="false" customHeight="true" outlineLevel="0" collapsed="false">
      <c r="A118" s="4" t="s">
        <v>2799</v>
      </c>
      <c r="B118" s="5" t="n">
        <v>0.2</v>
      </c>
      <c r="C118" s="1" t="str">
        <f aca="false">IF(B118="NEW ROUTE",1,"")</f>
        <v/>
      </c>
      <c r="E118" s="5" t="n">
        <v>0.2</v>
      </c>
      <c r="F118" s="6" t="e">
        <f aca="false">VLOOKUP(E118,$K$2:$L$426,2,FALSE())</f>
        <v>#N/A</v>
      </c>
      <c r="G118" s="1" t="str">
        <f aca="false">IF(ISNA(F118),"",F118)</f>
        <v/>
      </c>
      <c r="H118" s="5" t="n">
        <f aca="false">IF(G118&lt;&gt;"",G118,E118)</f>
        <v>0.2</v>
      </c>
      <c r="K118" s="1" t="s">
        <v>234</v>
      </c>
      <c r="L118" s="1" t="s">
        <v>235</v>
      </c>
    </row>
    <row r="119" customFormat="false" ht="12.75" hidden="false" customHeight="true" outlineLevel="0" collapsed="false">
      <c r="A119" s="4" t="s">
        <v>1292</v>
      </c>
      <c r="B119" s="5" t="s">
        <v>1292</v>
      </c>
      <c r="C119" s="1" t="str">
        <f aca="false">IF(B119="NEW ROUTE",1,"")</f>
        <v/>
      </c>
      <c r="E119" s="5" t="s">
        <v>1292</v>
      </c>
      <c r="F119" s="6" t="e">
        <f aca="false">VLOOKUP(E119,$K$2:$L$426,2,FALSE())</f>
        <v>#N/A</v>
      </c>
      <c r="G119" s="1" t="str">
        <f aca="false">IF(ISNA(F119),"",F119)</f>
        <v/>
      </c>
      <c r="H119" s="5" t="str">
        <f aca="false">IF(G119&lt;&gt;"",G119,E119)</f>
        <v>51, 56, NOHTYP</v>
      </c>
      <c r="K119" s="1" t="s">
        <v>236</v>
      </c>
      <c r="L119" s="1" t="s">
        <v>237</v>
      </c>
    </row>
    <row r="120" customFormat="false" ht="12.75" hidden="false" customHeight="true" outlineLevel="0" collapsed="false">
      <c r="A120" s="4" t="s">
        <v>2869</v>
      </c>
      <c r="B120" s="5" t="s">
        <v>2869</v>
      </c>
      <c r="C120" s="1" t="str">
        <f aca="false">IF(B120="NEW ROUTE",1,"")</f>
        <v/>
      </c>
      <c r="E120" s="5" t="s">
        <v>2869</v>
      </c>
      <c r="F120" s="6" t="e">
        <f aca="false">VLOOKUP(E120,$K$2:$L$426,2,FALSE())</f>
        <v>#N/A</v>
      </c>
      <c r="G120" s="1" t="str">
        <f aca="false">IF(ISNA(F120),"",F120)</f>
        <v/>
      </c>
      <c r="H120" s="5" t="str">
        <f aca="false">IF(G120&lt;&gt;"",G120,E120)</f>
        <v>51, 56, CROBAT</v>
      </c>
      <c r="K120" s="1" t="s">
        <v>238</v>
      </c>
      <c r="L120" s="1" t="s">
        <v>239</v>
      </c>
    </row>
    <row r="121" customFormat="false" ht="12.75" hidden="false" customHeight="true" outlineLevel="0" collapsed="false">
      <c r="A121" s="4" t="s">
        <v>2801</v>
      </c>
      <c r="B121" s="5" t="n">
        <v>0.1</v>
      </c>
      <c r="C121" s="1" t="str">
        <f aca="false">IF(B121="NEW ROUTE",1,"")</f>
        <v/>
      </c>
      <c r="E121" s="5" t="n">
        <v>0.1</v>
      </c>
      <c r="F121" s="6" t="e">
        <f aca="false">VLOOKUP(E121,$K$2:$L$426,2,FALSE())</f>
        <v>#N/A</v>
      </c>
      <c r="G121" s="1" t="str">
        <f aca="false">IF(ISNA(F121),"",F121)</f>
        <v/>
      </c>
      <c r="H121" s="5" t="n">
        <f aca="false">IF(G121&lt;&gt;"",G121,E121)</f>
        <v>0.1</v>
      </c>
      <c r="K121" s="1" t="s">
        <v>240</v>
      </c>
      <c r="L121" s="1" t="s">
        <v>241</v>
      </c>
    </row>
    <row r="122" customFormat="false" ht="12.75" hidden="false" customHeight="true" outlineLevel="0" collapsed="false">
      <c r="A122" s="4" t="s">
        <v>2870</v>
      </c>
      <c r="B122" s="5" t="s">
        <v>2870</v>
      </c>
      <c r="C122" s="1" t="str">
        <f aca="false">IF(B122="NEW ROUTE",1,"")</f>
        <v/>
      </c>
      <c r="E122" s="5" t="s">
        <v>2870</v>
      </c>
      <c r="F122" s="6" t="e">
        <f aca="false">VLOOKUP(E122,$K$2:$L$426,2,FALSE())</f>
        <v>#N/A</v>
      </c>
      <c r="G122" s="1" t="str">
        <f aca="false">IF(ISNA(F122),"",F122)</f>
        <v/>
      </c>
      <c r="H122" s="5" t="str">
        <f aca="false">IF(G122&lt;&gt;"",G122,E122)</f>
        <v>51, 56, MACHAMP</v>
      </c>
      <c r="K122" s="1" t="s">
        <v>242</v>
      </c>
      <c r="L122" s="1" t="s">
        <v>243</v>
      </c>
    </row>
    <row r="123" customFormat="false" ht="12.75" hidden="false" customHeight="true" outlineLevel="0" collapsed="false">
      <c r="A123" s="4" t="s">
        <v>2871</v>
      </c>
      <c r="B123" s="5" t="s">
        <v>2871</v>
      </c>
      <c r="C123" s="1" t="str">
        <f aca="false">IF(B123="NEW ROUTE",1,"")</f>
        <v/>
      </c>
      <c r="E123" s="5" t="s">
        <v>2871</v>
      </c>
      <c r="F123" s="6" t="e">
        <f aca="false">VLOOKUP(E123,$K$2:$L$426,2,FALSE())</f>
        <v>#N/A</v>
      </c>
      <c r="G123" s="1" t="str">
        <f aca="false">IF(ISNA(F123),"",F123)</f>
        <v/>
      </c>
      <c r="H123" s="5" t="str">
        <f aca="false">IF(G123&lt;&gt;"",G123,E123)</f>
        <v>51, 56, GOLEM</v>
      </c>
      <c r="K123" s="1" t="s">
        <v>244</v>
      </c>
      <c r="L123" s="1" t="s">
        <v>245</v>
      </c>
    </row>
    <row r="124" customFormat="false" ht="12.75" hidden="false" customHeight="true" outlineLevel="0" collapsed="false">
      <c r="A124" s="4" t="s">
        <v>2872</v>
      </c>
      <c r="B124" s="5" t="s">
        <v>2872</v>
      </c>
      <c r="C124" s="1" t="str">
        <f aca="false">IF(B124="NEW ROUTE",1,"")</f>
        <v/>
      </c>
      <c r="E124" s="5" t="s">
        <v>2872</v>
      </c>
      <c r="F124" s="6" t="e">
        <f aca="false">VLOOKUP(E124,$K$2:$L$426,2,FALSE())</f>
        <v>#N/A</v>
      </c>
      <c r="G124" s="1" t="str">
        <f aca="false">IF(ISNA(F124),"",F124)</f>
        <v/>
      </c>
      <c r="H124" s="5" t="str">
        <f aca="false">IF(G124&lt;&gt;"",G124,E124)</f>
        <v>53, 57, ADNOKANA</v>
      </c>
      <c r="K124" s="1" t="s">
        <v>246</v>
      </c>
      <c r="L124" s="1" t="s">
        <v>247</v>
      </c>
    </row>
    <row r="125" customFormat="false" ht="12.75" hidden="false" customHeight="true" outlineLevel="0" collapsed="false">
      <c r="A125" s="4" t="s">
        <v>2873</v>
      </c>
      <c r="B125" s="5" t="s">
        <v>2873</v>
      </c>
      <c r="C125" s="1" t="str">
        <f aca="false">IF(B125="NEW ROUTE",1,"")</f>
        <v/>
      </c>
      <c r="E125" s="5" t="s">
        <v>2873</v>
      </c>
      <c r="F125" s="6" t="e">
        <f aca="false">VLOOKUP(E125,$K$2:$L$426,2,FALSE())</f>
        <v>#N/A</v>
      </c>
      <c r="G125" s="1" t="str">
        <f aca="false">IF(ISNA(F125),"",F125)</f>
        <v/>
      </c>
      <c r="H125" s="5" t="str">
        <f aca="false">IF(G125&lt;&gt;"",G125,E125)</f>
        <v>53, 57, POLABAT</v>
      </c>
      <c r="K125" s="1" t="s">
        <v>248</v>
      </c>
      <c r="L125" s="1" t="s">
        <v>249</v>
      </c>
    </row>
    <row r="126" customFormat="false" ht="12.75" hidden="false" customHeight="true" outlineLevel="0" collapsed="false">
      <c r="A126" s="4" t="s">
        <v>2806</v>
      </c>
      <c r="B126" s="5" t="n">
        <v>0.05</v>
      </c>
      <c r="C126" s="1" t="str">
        <f aca="false">IF(B126="NEW ROUTE",1,"")</f>
        <v/>
      </c>
      <c r="E126" s="5" t="n">
        <v>0.05</v>
      </c>
      <c r="F126" s="6" t="e">
        <f aca="false">VLOOKUP(E126,$K$2:$L$426,2,FALSE())</f>
        <v>#N/A</v>
      </c>
      <c r="G126" s="1" t="str">
        <f aca="false">IF(ISNA(F126),"",F126)</f>
        <v/>
      </c>
      <c r="H126" s="5" t="n">
        <f aca="false">IF(G126&lt;&gt;"",G126,E126)</f>
        <v>0.05</v>
      </c>
      <c r="K126" s="1" t="s">
        <v>250</v>
      </c>
      <c r="L126" s="1" t="s">
        <v>251</v>
      </c>
    </row>
    <row r="127" customFormat="false" ht="12.75" hidden="false" customHeight="true" outlineLevel="0" collapsed="false">
      <c r="A127" s="4" t="s">
        <v>2874</v>
      </c>
      <c r="B127" s="5" t="s">
        <v>2874</v>
      </c>
      <c r="C127" s="1" t="str">
        <f aca="false">IF(B127="NEW ROUTE",1,"")</f>
        <v/>
      </c>
      <c r="E127" s="5" t="s">
        <v>2874</v>
      </c>
      <c r="F127" s="6" t="e">
        <f aca="false">VLOOKUP(E127,$K$2:$L$426,2,FALSE())</f>
        <v>#N/A</v>
      </c>
      <c r="G127" s="1" t="str">
        <f aca="false">IF(ISNA(F127),"",F127)</f>
        <v/>
      </c>
      <c r="H127" s="5" t="str">
        <f aca="false">IF(G127&lt;&gt;"",G127,E127)</f>
        <v>53, 57, MACHULK</v>
      </c>
      <c r="K127" s="1" t="s">
        <v>252</v>
      </c>
      <c r="L127" s="1" t="s">
        <v>253</v>
      </c>
    </row>
    <row r="128" customFormat="false" ht="12.75" hidden="false" customHeight="true" outlineLevel="0" collapsed="false">
      <c r="A128" s="4" t="s">
        <v>2875</v>
      </c>
      <c r="B128" s="5" t="s">
        <v>2875</v>
      </c>
      <c r="C128" s="1" t="str">
        <f aca="false">IF(B128="NEW ROUTE",1,"")</f>
        <v/>
      </c>
      <c r="E128" s="5" t="s">
        <v>2875</v>
      </c>
      <c r="F128" s="6" t="e">
        <f aca="false">VLOOKUP(E128,$K$2:$L$426,2,FALSE())</f>
        <v>#N/A</v>
      </c>
      <c r="G128" s="1" t="str">
        <f aca="false">IF(ISNA(F128),"",F128)</f>
        <v/>
      </c>
      <c r="H128" s="5" t="str">
        <f aca="false">IF(G128&lt;&gt;"",G128,E128)</f>
        <v>53, 57, RHYMARKABL</v>
      </c>
      <c r="K128" s="1" t="s">
        <v>254</v>
      </c>
      <c r="L128" s="1" t="s">
        <v>255</v>
      </c>
    </row>
    <row r="129" customFormat="false" ht="12.75" hidden="false" customHeight="true" outlineLevel="0" collapsed="false">
      <c r="A129" s="4" t="s">
        <v>2809</v>
      </c>
      <c r="B129" s="5" t="n">
        <v>0.04</v>
      </c>
      <c r="C129" s="1" t="str">
        <f aca="false">IF(B129="NEW ROUTE",1,"")</f>
        <v/>
      </c>
      <c r="E129" s="5" t="n">
        <v>0.04</v>
      </c>
      <c r="F129" s="6" t="e">
        <f aca="false">VLOOKUP(E129,$K$2:$L$426,2,FALSE())</f>
        <v>#N/A</v>
      </c>
      <c r="G129" s="1" t="str">
        <f aca="false">IF(ISNA(F129),"",F129)</f>
        <v/>
      </c>
      <c r="H129" s="5" t="n">
        <f aca="false">IF(G129&lt;&gt;"",G129,E129)</f>
        <v>0.04</v>
      </c>
      <c r="K129" s="1" t="s">
        <v>256</v>
      </c>
      <c r="L129" s="1" t="s">
        <v>257</v>
      </c>
    </row>
    <row r="130" customFormat="false" ht="12.75" hidden="false" customHeight="true" outlineLevel="0" collapsed="false">
      <c r="A130" s="4" t="s">
        <v>2876</v>
      </c>
      <c r="B130" s="5" t="s">
        <v>2876</v>
      </c>
      <c r="C130" s="1" t="str">
        <f aca="false">IF(B130="NEW ROUTE",1,"")</f>
        <v/>
      </c>
      <c r="E130" s="5" t="s">
        <v>2876</v>
      </c>
      <c r="F130" s="6" t="e">
        <f aca="false">VLOOKUP(E130,$K$2:$L$426,2,FALSE())</f>
        <v>#N/A</v>
      </c>
      <c r="G130" s="1" t="str">
        <f aca="false">IF(ISNA(F130),"",F130)</f>
        <v/>
      </c>
      <c r="H130" s="5" t="str">
        <f aca="false">IF(G130&lt;&gt;"",G130,E130)</f>
        <v>55, 57, PLATNIX</v>
      </c>
      <c r="K130" s="1" t="s">
        <v>258</v>
      </c>
      <c r="L130" s="1" t="s">
        <v>259</v>
      </c>
    </row>
    <row r="131" customFormat="false" ht="12.75" hidden="false" customHeight="true" outlineLevel="0" collapsed="false">
      <c r="A131" s="4" t="s">
        <v>2877</v>
      </c>
      <c r="B131" s="5" t="s">
        <v>2877</v>
      </c>
      <c r="C131" s="1" t="str">
        <f aca="false">IF(B131="NEW ROUTE",1,"")</f>
        <v/>
      </c>
      <c r="E131" s="5" t="s">
        <v>2877</v>
      </c>
      <c r="F131" s="6" t="e">
        <f aca="false">VLOOKUP(E131,$K$2:$L$426,2,FALSE())</f>
        <v>#N/A</v>
      </c>
      <c r="G131" s="1" t="str">
        <f aca="false">IF(ISNA(F131),"",F131)</f>
        <v/>
      </c>
      <c r="H131" s="5" t="str">
        <f aca="false">IF(G131&lt;&gt;"",G131,E131)</f>
        <v>55, 57, SLAGOLEM</v>
      </c>
      <c r="K131" s="1" t="s">
        <v>260</v>
      </c>
      <c r="L131" s="1" t="s">
        <v>261</v>
      </c>
    </row>
    <row r="132" customFormat="false" ht="12.75" hidden="false" customHeight="true" outlineLevel="0" collapsed="false">
      <c r="A132" s="4" t="s">
        <v>2812</v>
      </c>
      <c r="B132" s="5" t="n">
        <v>0.01</v>
      </c>
      <c r="C132" s="1" t="str">
        <f aca="false">IF(B132="NEW ROUTE",1,"")</f>
        <v/>
      </c>
      <c r="E132" s="5" t="n">
        <v>0.01</v>
      </c>
      <c r="F132" s="6" t="e">
        <f aca="false">VLOOKUP(E132,$K$2:$L$426,2,FALSE())</f>
        <v>#N/A</v>
      </c>
      <c r="G132" s="1" t="str">
        <f aca="false">IF(ISNA(F132),"",F132)</f>
        <v/>
      </c>
      <c r="H132" s="5" t="n">
        <f aca="false">IF(G132&lt;&gt;"",G132,E132)</f>
        <v>0.01</v>
      </c>
      <c r="K132" s="1" t="s">
        <v>262</v>
      </c>
      <c r="L132" s="1" t="s">
        <v>263</v>
      </c>
    </row>
    <row r="133" customFormat="false" ht="12.75" hidden="false" customHeight="true" outlineLevel="0" collapsed="false">
      <c r="A133" s="4" t="s">
        <v>2878</v>
      </c>
      <c r="B133" s="5" t="s">
        <v>2878</v>
      </c>
      <c r="C133" s="1" t="str">
        <f aca="false">IF(B133="NEW ROUTE",1,"")</f>
        <v/>
      </c>
      <c r="E133" s="5" t="s">
        <v>2878</v>
      </c>
      <c r="F133" s="6" t="e">
        <f aca="false">VLOOKUP(E133,$K$2:$L$426,2,FALSE())</f>
        <v>#N/A</v>
      </c>
      <c r="G133" s="1" t="str">
        <f aca="false">IF(ISNA(F133),"",F133)</f>
        <v/>
      </c>
      <c r="H133" s="5" t="str">
        <f aca="false">IF(G133&lt;&gt;"",G133,E133)</f>
        <v>58, 60, MOLTREM</v>
      </c>
      <c r="K133" s="1" t="s">
        <v>264</v>
      </c>
      <c r="L133" s="1" t="s">
        <v>265</v>
      </c>
    </row>
    <row r="134" customFormat="false" ht="12.75" hidden="false" customHeight="true" outlineLevel="0" collapsed="false">
      <c r="A134" s="4" t="s">
        <v>3710</v>
      </c>
      <c r="B134" s="5" t="s">
        <v>3710</v>
      </c>
      <c r="C134" s="1" t="str">
        <f aca="false">IF(B134="NEW ROUTE",1,"")</f>
        <v/>
      </c>
      <c r="E134" s="5" t="s">
        <v>3710</v>
      </c>
      <c r="F134" s="6" t="e">
        <f aca="false">VLOOKUP(E134,$K$2:$L$426,2,FALSE())</f>
        <v>#N/A</v>
      </c>
      <c r="G134" s="1" t="str">
        <f aca="false">IF(ISNA(F134),"",F134)</f>
        <v/>
      </c>
      <c r="H134" s="5" t="str">
        <f aca="false">IF(G134&lt;&gt;"",G134,E134)</f>
        <v>58, 60, WRAIWRATH</v>
      </c>
      <c r="K134" s="1" t="s">
        <v>266</v>
      </c>
      <c r="L134" s="1" t="s">
        <v>267</v>
      </c>
    </row>
    <row r="135" customFormat="false" ht="12.75" hidden="false" customHeight="true" outlineLevel="0" collapsed="false">
      <c r="A135" s="4" t="s">
        <v>2536</v>
      </c>
      <c r="B135" s="5" t="s">
        <v>2536</v>
      </c>
      <c r="C135" s="1" t="n">
        <f aca="false">IF(B135="NEW ROUTE",1,"")</f>
        <v>1</v>
      </c>
      <c r="E135" s="5" t="s">
        <v>2536</v>
      </c>
      <c r="F135" s="6" t="e">
        <f aca="false">VLOOKUP(E135,$K$2:$L$426,2,FALSE())</f>
        <v>#N/A</v>
      </c>
      <c r="G135" s="1" t="str">
        <f aca="false">IF(ISNA(F135),"",F135)</f>
        <v/>
      </c>
      <c r="H135" s="5" t="str">
        <f aca="false">IF(G135&lt;&gt;"",G135,E135)</f>
        <v>NEW ROUTE</v>
      </c>
      <c r="K135" s="1" t="s">
        <v>268</v>
      </c>
      <c r="L135" s="1" t="s">
        <v>269</v>
      </c>
    </row>
    <row r="136" customFormat="false" ht="12.75" hidden="false" customHeight="true" outlineLevel="0" collapsed="false">
      <c r="A136" s="4" t="s">
        <v>92</v>
      </c>
      <c r="B136" s="5" t="s">
        <v>92</v>
      </c>
      <c r="C136" s="1" t="str">
        <f aca="false">IF(B136="NEW ROUTE",1,"")</f>
        <v/>
      </c>
      <c r="E136" s="5" t="s">
        <v>92</v>
      </c>
      <c r="F136" s="6" t="str">
        <f aca="false">VLOOKUP(E136,$K$2:$L$426,2,FALSE())</f>
        <v>Victory Road 2F</v>
      </c>
      <c r="G136" s="1" t="str">
        <f aca="false">IF(ISNA(F136),"",F136)</f>
        <v>Victory Road 2F</v>
      </c>
      <c r="H136" s="5" t="str">
        <f aca="false">IF(G136&lt;&gt;"",G136,E136)</f>
        <v>Victory Road 2F</v>
      </c>
      <c r="K136" s="1" t="s">
        <v>270</v>
      </c>
      <c r="L136" s="1" t="s">
        <v>271</v>
      </c>
    </row>
    <row r="137" customFormat="false" ht="12.75" hidden="false" customHeight="true" outlineLevel="0" collapsed="false">
      <c r="A137" s="4" t="s">
        <v>2799</v>
      </c>
      <c r="B137" s="5" t="n">
        <v>0.2</v>
      </c>
      <c r="C137" s="1" t="str">
        <f aca="false">IF(B137="NEW ROUTE",1,"")</f>
        <v/>
      </c>
      <c r="E137" s="5" t="n">
        <v>0.2</v>
      </c>
      <c r="F137" s="6" t="e">
        <f aca="false">VLOOKUP(E137,$K$2:$L$426,2,FALSE())</f>
        <v>#N/A</v>
      </c>
      <c r="G137" s="1" t="str">
        <f aca="false">IF(ISNA(F137),"",F137)</f>
        <v/>
      </c>
      <c r="H137" s="5" t="n">
        <f aca="false">IF(G137&lt;&gt;"",G137,E137)</f>
        <v>0.2</v>
      </c>
      <c r="K137" s="1" t="s">
        <v>272</v>
      </c>
      <c r="L137" s="1" t="s">
        <v>273</v>
      </c>
    </row>
    <row r="138" customFormat="false" ht="12.75" hidden="false" customHeight="true" outlineLevel="0" collapsed="false">
      <c r="A138" s="4" t="s">
        <v>1292</v>
      </c>
      <c r="B138" s="5" t="s">
        <v>1292</v>
      </c>
      <c r="C138" s="1" t="str">
        <f aca="false">IF(B138="NEW ROUTE",1,"")</f>
        <v/>
      </c>
      <c r="E138" s="5" t="s">
        <v>1292</v>
      </c>
      <c r="F138" s="6" t="e">
        <f aca="false">VLOOKUP(E138,$K$2:$L$426,2,FALSE())</f>
        <v>#N/A</v>
      </c>
      <c r="G138" s="1" t="str">
        <f aca="false">IF(ISNA(F138),"",F138)</f>
        <v/>
      </c>
      <c r="H138" s="5" t="str">
        <f aca="false">IF(G138&lt;&gt;"",G138,E138)</f>
        <v>51, 56, NOHTYP</v>
      </c>
      <c r="K138" s="1" t="s">
        <v>274</v>
      </c>
      <c r="L138" s="1" t="s">
        <v>275</v>
      </c>
    </row>
    <row r="139" customFormat="false" ht="12.75" hidden="false" customHeight="true" outlineLevel="0" collapsed="false">
      <c r="A139" s="4" t="s">
        <v>2869</v>
      </c>
      <c r="B139" s="5" t="s">
        <v>2869</v>
      </c>
      <c r="C139" s="1" t="str">
        <f aca="false">IF(B139="NEW ROUTE",1,"")</f>
        <v/>
      </c>
      <c r="E139" s="5" t="s">
        <v>2869</v>
      </c>
      <c r="F139" s="6" t="e">
        <f aca="false">VLOOKUP(E139,$K$2:$L$426,2,FALSE())</f>
        <v>#N/A</v>
      </c>
      <c r="G139" s="1" t="str">
        <f aca="false">IF(ISNA(F139),"",F139)</f>
        <v/>
      </c>
      <c r="H139" s="5" t="str">
        <f aca="false">IF(G139&lt;&gt;"",G139,E139)</f>
        <v>51, 56, CROBAT</v>
      </c>
      <c r="K139" s="1" t="s">
        <v>276</v>
      </c>
      <c r="L139" s="1" t="s">
        <v>277</v>
      </c>
    </row>
    <row r="140" customFormat="false" ht="12.75" hidden="false" customHeight="true" outlineLevel="0" collapsed="false">
      <c r="A140" s="4" t="s">
        <v>2801</v>
      </c>
      <c r="B140" s="5" t="n">
        <v>0.1</v>
      </c>
      <c r="C140" s="1" t="str">
        <f aca="false">IF(B140="NEW ROUTE",1,"")</f>
        <v/>
      </c>
      <c r="E140" s="5" t="n">
        <v>0.1</v>
      </c>
      <c r="F140" s="6" t="e">
        <f aca="false">VLOOKUP(E140,$K$2:$L$426,2,FALSE())</f>
        <v>#N/A</v>
      </c>
      <c r="G140" s="1" t="str">
        <f aca="false">IF(ISNA(F140),"",F140)</f>
        <v/>
      </c>
      <c r="H140" s="5" t="n">
        <f aca="false">IF(G140&lt;&gt;"",G140,E140)</f>
        <v>0.1</v>
      </c>
      <c r="K140" s="1" t="s">
        <v>278</v>
      </c>
      <c r="L140" s="1" t="s">
        <v>279</v>
      </c>
    </row>
    <row r="141" customFormat="false" ht="12.75" hidden="false" customHeight="true" outlineLevel="0" collapsed="false">
      <c r="A141" s="4" t="s">
        <v>2870</v>
      </c>
      <c r="B141" s="5" t="s">
        <v>2870</v>
      </c>
      <c r="C141" s="1" t="str">
        <f aca="false">IF(B141="NEW ROUTE",1,"")</f>
        <v/>
      </c>
      <c r="E141" s="5" t="s">
        <v>2870</v>
      </c>
      <c r="F141" s="6" t="e">
        <f aca="false">VLOOKUP(E141,$K$2:$L$426,2,FALSE())</f>
        <v>#N/A</v>
      </c>
      <c r="G141" s="1" t="str">
        <f aca="false">IF(ISNA(F141),"",F141)</f>
        <v/>
      </c>
      <c r="H141" s="5" t="str">
        <f aca="false">IF(G141&lt;&gt;"",G141,E141)</f>
        <v>51, 56, MACHAMP</v>
      </c>
      <c r="K141" s="1" t="s">
        <v>280</v>
      </c>
      <c r="L141" s="1" t="s">
        <v>281</v>
      </c>
    </row>
    <row r="142" customFormat="false" ht="12.75" hidden="false" customHeight="true" outlineLevel="0" collapsed="false">
      <c r="A142" s="4" t="s">
        <v>2871</v>
      </c>
      <c r="B142" s="5" t="s">
        <v>2871</v>
      </c>
      <c r="C142" s="1" t="str">
        <f aca="false">IF(B142="NEW ROUTE",1,"")</f>
        <v/>
      </c>
      <c r="E142" s="5" t="s">
        <v>2871</v>
      </c>
      <c r="F142" s="6" t="e">
        <f aca="false">VLOOKUP(E142,$K$2:$L$426,2,FALSE())</f>
        <v>#N/A</v>
      </c>
      <c r="G142" s="1" t="str">
        <f aca="false">IF(ISNA(F142),"",F142)</f>
        <v/>
      </c>
      <c r="H142" s="5" t="str">
        <f aca="false">IF(G142&lt;&gt;"",G142,E142)</f>
        <v>51, 56, GOLEM</v>
      </c>
      <c r="K142" s="1" t="s">
        <v>282</v>
      </c>
      <c r="L142" s="1" t="s">
        <v>283</v>
      </c>
    </row>
    <row r="143" customFormat="false" ht="12.75" hidden="false" customHeight="true" outlineLevel="0" collapsed="false">
      <c r="A143" s="4" t="s">
        <v>2872</v>
      </c>
      <c r="B143" s="5" t="s">
        <v>2872</v>
      </c>
      <c r="C143" s="1" t="str">
        <f aca="false">IF(B143="NEW ROUTE",1,"")</f>
        <v/>
      </c>
      <c r="E143" s="5" t="s">
        <v>2872</v>
      </c>
      <c r="F143" s="6" t="e">
        <f aca="false">VLOOKUP(E143,$K$2:$L$426,2,FALSE())</f>
        <v>#N/A</v>
      </c>
      <c r="G143" s="1" t="str">
        <f aca="false">IF(ISNA(F143),"",F143)</f>
        <v/>
      </c>
      <c r="H143" s="5" t="str">
        <f aca="false">IF(G143&lt;&gt;"",G143,E143)</f>
        <v>53, 57, ADNOKANA</v>
      </c>
      <c r="K143" s="1" t="s">
        <v>284</v>
      </c>
      <c r="L143" s="1" t="s">
        <v>285</v>
      </c>
    </row>
    <row r="144" customFormat="false" ht="12.75" hidden="false" customHeight="true" outlineLevel="0" collapsed="false">
      <c r="A144" s="4" t="s">
        <v>2873</v>
      </c>
      <c r="B144" s="5" t="s">
        <v>2873</v>
      </c>
      <c r="C144" s="1" t="str">
        <f aca="false">IF(B144="NEW ROUTE",1,"")</f>
        <v/>
      </c>
      <c r="E144" s="5" t="s">
        <v>2873</v>
      </c>
      <c r="F144" s="6" t="e">
        <f aca="false">VLOOKUP(E144,$K$2:$L$426,2,FALSE())</f>
        <v>#N/A</v>
      </c>
      <c r="G144" s="1" t="str">
        <f aca="false">IF(ISNA(F144),"",F144)</f>
        <v/>
      </c>
      <c r="H144" s="5" t="str">
        <f aca="false">IF(G144&lt;&gt;"",G144,E144)</f>
        <v>53, 57, POLABAT</v>
      </c>
      <c r="K144" s="1" t="s">
        <v>286</v>
      </c>
      <c r="L144" s="1" t="s">
        <v>287</v>
      </c>
    </row>
    <row r="145" customFormat="false" ht="12.75" hidden="false" customHeight="true" outlineLevel="0" collapsed="false">
      <c r="A145" s="4" t="s">
        <v>2806</v>
      </c>
      <c r="B145" s="5" t="n">
        <v>0.05</v>
      </c>
      <c r="C145" s="1" t="str">
        <f aca="false">IF(B145="NEW ROUTE",1,"")</f>
        <v/>
      </c>
      <c r="E145" s="5" t="n">
        <v>0.05</v>
      </c>
      <c r="F145" s="6" t="e">
        <f aca="false">VLOOKUP(E145,$K$2:$L$426,2,FALSE())</f>
        <v>#N/A</v>
      </c>
      <c r="G145" s="1" t="str">
        <f aca="false">IF(ISNA(F145),"",F145)</f>
        <v/>
      </c>
      <c r="H145" s="5" t="n">
        <f aca="false">IF(G145&lt;&gt;"",G145,E145)</f>
        <v>0.05</v>
      </c>
      <c r="K145" s="1" t="s">
        <v>288</v>
      </c>
      <c r="L145" s="1" t="s">
        <v>289</v>
      </c>
    </row>
    <row r="146" customFormat="false" ht="12.75" hidden="false" customHeight="true" outlineLevel="0" collapsed="false">
      <c r="A146" s="4" t="s">
        <v>2874</v>
      </c>
      <c r="B146" s="5" t="s">
        <v>2874</v>
      </c>
      <c r="C146" s="1" t="str">
        <f aca="false">IF(B146="NEW ROUTE",1,"")</f>
        <v/>
      </c>
      <c r="E146" s="5" t="s">
        <v>2874</v>
      </c>
      <c r="F146" s="6" t="e">
        <f aca="false">VLOOKUP(E146,$K$2:$L$426,2,FALSE())</f>
        <v>#N/A</v>
      </c>
      <c r="G146" s="1" t="str">
        <f aca="false">IF(ISNA(F146),"",F146)</f>
        <v/>
      </c>
      <c r="H146" s="5" t="str">
        <f aca="false">IF(G146&lt;&gt;"",G146,E146)</f>
        <v>53, 57, MACHULK</v>
      </c>
      <c r="K146" s="1" t="s">
        <v>290</v>
      </c>
      <c r="L146" s="1" t="s">
        <v>291</v>
      </c>
    </row>
    <row r="147" customFormat="false" ht="12.75" hidden="false" customHeight="true" outlineLevel="0" collapsed="false">
      <c r="A147" s="4" t="s">
        <v>2875</v>
      </c>
      <c r="B147" s="5" t="s">
        <v>2875</v>
      </c>
      <c r="C147" s="1" t="str">
        <f aca="false">IF(B147="NEW ROUTE",1,"")</f>
        <v/>
      </c>
      <c r="E147" s="5" t="s">
        <v>2875</v>
      </c>
      <c r="F147" s="6" t="e">
        <f aca="false">VLOOKUP(E147,$K$2:$L$426,2,FALSE())</f>
        <v>#N/A</v>
      </c>
      <c r="G147" s="1" t="str">
        <f aca="false">IF(ISNA(F147),"",F147)</f>
        <v/>
      </c>
      <c r="H147" s="5" t="str">
        <f aca="false">IF(G147&lt;&gt;"",G147,E147)</f>
        <v>53, 57, RHYMARKABL</v>
      </c>
      <c r="K147" s="1" t="s">
        <v>292</v>
      </c>
      <c r="L147" s="1" t="s">
        <v>293</v>
      </c>
    </row>
    <row r="148" customFormat="false" ht="12.75" hidden="false" customHeight="true" outlineLevel="0" collapsed="false">
      <c r="A148" s="4" t="s">
        <v>2809</v>
      </c>
      <c r="B148" s="5" t="n">
        <v>0.04</v>
      </c>
      <c r="C148" s="1" t="str">
        <f aca="false">IF(B148="NEW ROUTE",1,"")</f>
        <v/>
      </c>
      <c r="E148" s="5" t="n">
        <v>0.04</v>
      </c>
      <c r="F148" s="6" t="e">
        <f aca="false">VLOOKUP(E148,$K$2:$L$426,2,FALSE())</f>
        <v>#N/A</v>
      </c>
      <c r="G148" s="1" t="str">
        <f aca="false">IF(ISNA(F148),"",F148)</f>
        <v/>
      </c>
      <c r="H148" s="5" t="n">
        <f aca="false">IF(G148&lt;&gt;"",G148,E148)</f>
        <v>0.04</v>
      </c>
      <c r="K148" s="1" t="s">
        <v>294</v>
      </c>
      <c r="L148" s="1" t="s">
        <v>295</v>
      </c>
    </row>
    <row r="149" customFormat="false" ht="12.75" hidden="false" customHeight="true" outlineLevel="0" collapsed="false">
      <c r="A149" s="4" t="s">
        <v>2876</v>
      </c>
      <c r="B149" s="5" t="s">
        <v>2876</v>
      </c>
      <c r="C149" s="1" t="str">
        <f aca="false">IF(B149="NEW ROUTE",1,"")</f>
        <v/>
      </c>
      <c r="E149" s="5" t="s">
        <v>2876</v>
      </c>
      <c r="F149" s="6" t="e">
        <f aca="false">VLOOKUP(E149,$K$2:$L$426,2,FALSE())</f>
        <v>#N/A</v>
      </c>
      <c r="G149" s="1" t="str">
        <f aca="false">IF(ISNA(F149),"",F149)</f>
        <v/>
      </c>
      <c r="H149" s="5" t="str">
        <f aca="false">IF(G149&lt;&gt;"",G149,E149)</f>
        <v>55, 57, PLATNIX</v>
      </c>
      <c r="K149" s="1" t="s">
        <v>296</v>
      </c>
      <c r="L149" s="1" t="s">
        <v>297</v>
      </c>
    </row>
    <row r="150" customFormat="false" ht="12.75" hidden="false" customHeight="true" outlineLevel="0" collapsed="false">
      <c r="A150" s="4" t="s">
        <v>2877</v>
      </c>
      <c r="B150" s="5" t="s">
        <v>2877</v>
      </c>
      <c r="C150" s="1" t="str">
        <f aca="false">IF(B150="NEW ROUTE",1,"")</f>
        <v/>
      </c>
      <c r="E150" s="5" t="s">
        <v>2877</v>
      </c>
      <c r="F150" s="6" t="e">
        <f aca="false">VLOOKUP(E150,$K$2:$L$426,2,FALSE())</f>
        <v>#N/A</v>
      </c>
      <c r="G150" s="1" t="str">
        <f aca="false">IF(ISNA(F150),"",F150)</f>
        <v/>
      </c>
      <c r="H150" s="5" t="str">
        <f aca="false">IF(G150&lt;&gt;"",G150,E150)</f>
        <v>55, 57, SLAGOLEM</v>
      </c>
      <c r="K150" s="1" t="s">
        <v>298</v>
      </c>
      <c r="L150" s="1" t="s">
        <v>299</v>
      </c>
    </row>
    <row r="151" customFormat="false" ht="12.75" hidden="false" customHeight="true" outlineLevel="0" collapsed="false">
      <c r="A151" s="4" t="s">
        <v>2812</v>
      </c>
      <c r="B151" s="5" t="n">
        <v>0.01</v>
      </c>
      <c r="C151" s="1" t="str">
        <f aca="false">IF(B151="NEW ROUTE",1,"")</f>
        <v/>
      </c>
      <c r="E151" s="5" t="n">
        <v>0.01</v>
      </c>
      <c r="F151" s="6" t="e">
        <f aca="false">VLOOKUP(E151,$K$2:$L$426,2,FALSE())</f>
        <v>#N/A</v>
      </c>
      <c r="G151" s="1" t="str">
        <f aca="false">IF(ISNA(F151),"",F151)</f>
        <v/>
      </c>
      <c r="H151" s="5" t="n">
        <f aca="false">IF(G151&lt;&gt;"",G151,E151)</f>
        <v>0.01</v>
      </c>
      <c r="K151" s="1" t="s">
        <v>300</v>
      </c>
      <c r="L151" s="1" t="s">
        <v>301</v>
      </c>
    </row>
    <row r="152" customFormat="false" ht="12.75" hidden="false" customHeight="true" outlineLevel="0" collapsed="false">
      <c r="A152" s="4" t="s">
        <v>2881</v>
      </c>
      <c r="B152" s="5" t="s">
        <v>2881</v>
      </c>
      <c r="C152" s="1" t="str">
        <f aca="false">IF(B152="NEW ROUTE",1,"")</f>
        <v/>
      </c>
      <c r="E152" s="5" t="s">
        <v>2881</v>
      </c>
      <c r="F152" s="6" t="e">
        <f aca="false">VLOOKUP(E152,$K$2:$L$426,2,FALSE())</f>
        <v>#N/A</v>
      </c>
      <c r="G152" s="1" t="str">
        <f aca="false">IF(ISNA(F152),"",F152)</f>
        <v/>
      </c>
      <c r="H152" s="5" t="str">
        <f aca="false">IF(G152&lt;&gt;"",G152,E152)</f>
        <v>59, 61, MOLTREM</v>
      </c>
      <c r="K152" s="1" t="s">
        <v>302</v>
      </c>
      <c r="L152" s="1" t="s">
        <v>303</v>
      </c>
    </row>
    <row r="153" customFormat="false" ht="12.75" hidden="false" customHeight="true" outlineLevel="0" collapsed="false">
      <c r="A153" s="4" t="s">
        <v>3711</v>
      </c>
      <c r="B153" s="5" t="s">
        <v>3711</v>
      </c>
      <c r="C153" s="1" t="str">
        <f aca="false">IF(B153="NEW ROUTE",1,"")</f>
        <v/>
      </c>
      <c r="E153" s="5" t="s">
        <v>3711</v>
      </c>
      <c r="F153" s="6" t="e">
        <f aca="false">VLOOKUP(E153,$K$2:$L$426,2,FALSE())</f>
        <v>#N/A</v>
      </c>
      <c r="G153" s="1" t="str">
        <f aca="false">IF(ISNA(F153),"",F153)</f>
        <v/>
      </c>
      <c r="H153" s="5" t="str">
        <f aca="false">IF(G153&lt;&gt;"",G153,E153)</f>
        <v>59, 61, FERODILLO</v>
      </c>
      <c r="K153" s="1" t="s">
        <v>304</v>
      </c>
      <c r="L153" s="1" t="s">
        <v>305</v>
      </c>
    </row>
    <row r="154" customFormat="false" ht="12.75" hidden="false" customHeight="true" outlineLevel="0" collapsed="false">
      <c r="A154" s="4" t="s">
        <v>2536</v>
      </c>
      <c r="B154" s="5" t="s">
        <v>2536</v>
      </c>
      <c r="C154" s="1" t="n">
        <f aca="false">IF(B154="NEW ROUTE",1,"")</f>
        <v>1</v>
      </c>
      <c r="E154" s="5" t="s">
        <v>2536</v>
      </c>
      <c r="F154" s="6" t="e">
        <f aca="false">VLOOKUP(E154,$K$2:$L$426,2,FALSE())</f>
        <v>#N/A</v>
      </c>
      <c r="G154" s="1" t="str">
        <f aca="false">IF(ISNA(F154),"",F154)</f>
        <v/>
      </c>
      <c r="H154" s="5" t="str">
        <f aca="false">IF(G154&lt;&gt;"",G154,E154)</f>
        <v>NEW ROUTE</v>
      </c>
      <c r="K154" s="1" t="s">
        <v>306</v>
      </c>
      <c r="L154" s="1" t="s">
        <v>307</v>
      </c>
    </row>
    <row r="155" customFormat="false" ht="12.75" hidden="false" customHeight="true" outlineLevel="0" collapsed="false">
      <c r="A155" s="4" t="s">
        <v>94</v>
      </c>
      <c r="B155" s="5" t="s">
        <v>94</v>
      </c>
      <c r="C155" s="1" t="str">
        <f aca="false">IF(B155="NEW ROUTE",1,"")</f>
        <v/>
      </c>
      <c r="E155" s="5" t="s">
        <v>94</v>
      </c>
      <c r="F155" s="6" t="str">
        <f aca="false">VLOOKUP(E155,$K$2:$L$426,2,FALSE())</f>
        <v>Victory Road 3F</v>
      </c>
      <c r="G155" s="1" t="str">
        <f aca="false">IF(ISNA(F155),"",F155)</f>
        <v>Victory Road 3F</v>
      </c>
      <c r="H155" s="5" t="str">
        <f aca="false">IF(G155&lt;&gt;"",G155,E155)</f>
        <v>Victory Road 3F</v>
      </c>
      <c r="K155" s="1" t="s">
        <v>308</v>
      </c>
      <c r="L155" s="1" t="s">
        <v>309</v>
      </c>
    </row>
    <row r="156" customFormat="false" ht="12.75" hidden="false" customHeight="true" outlineLevel="0" collapsed="false">
      <c r="A156" s="4" t="s">
        <v>2799</v>
      </c>
      <c r="B156" s="5" t="n">
        <v>0.2</v>
      </c>
      <c r="C156" s="1" t="str">
        <f aca="false">IF(B156="NEW ROUTE",1,"")</f>
        <v/>
      </c>
      <c r="E156" s="5" t="n">
        <v>0.2</v>
      </c>
      <c r="F156" s="6" t="e">
        <f aca="false">VLOOKUP(E156,$K$2:$L$426,2,FALSE())</f>
        <v>#N/A</v>
      </c>
      <c r="G156" s="1" t="str">
        <f aca="false">IF(ISNA(F156),"",F156)</f>
        <v/>
      </c>
      <c r="H156" s="5" t="n">
        <f aca="false">IF(G156&lt;&gt;"",G156,E156)</f>
        <v>0.2</v>
      </c>
      <c r="K156" s="1" t="s">
        <v>310</v>
      </c>
      <c r="L156" s="1" t="s">
        <v>311</v>
      </c>
    </row>
    <row r="157" customFormat="false" ht="12.75" hidden="false" customHeight="true" outlineLevel="0" collapsed="false">
      <c r="A157" s="4" t="s">
        <v>1292</v>
      </c>
      <c r="B157" s="5" t="s">
        <v>1292</v>
      </c>
      <c r="C157" s="1" t="str">
        <f aca="false">IF(B157="NEW ROUTE",1,"")</f>
        <v/>
      </c>
      <c r="E157" s="5" t="s">
        <v>1292</v>
      </c>
      <c r="F157" s="6" t="e">
        <f aca="false">VLOOKUP(E157,$K$2:$L$426,2,FALSE())</f>
        <v>#N/A</v>
      </c>
      <c r="G157" s="1" t="str">
        <f aca="false">IF(ISNA(F157),"",F157)</f>
        <v/>
      </c>
      <c r="H157" s="5" t="str">
        <f aca="false">IF(G157&lt;&gt;"",G157,E157)</f>
        <v>51, 56, NOHTYP</v>
      </c>
      <c r="K157" s="1" t="s">
        <v>312</v>
      </c>
      <c r="L157" s="1" t="s">
        <v>313</v>
      </c>
    </row>
    <row r="158" customFormat="false" ht="12.75" hidden="false" customHeight="true" outlineLevel="0" collapsed="false">
      <c r="A158" s="4" t="s">
        <v>2869</v>
      </c>
      <c r="B158" s="5" t="s">
        <v>2869</v>
      </c>
      <c r="C158" s="1" t="str">
        <f aca="false">IF(B158="NEW ROUTE",1,"")</f>
        <v/>
      </c>
      <c r="E158" s="5" t="s">
        <v>2869</v>
      </c>
      <c r="F158" s="6" t="e">
        <f aca="false">VLOOKUP(E158,$K$2:$L$426,2,FALSE())</f>
        <v>#N/A</v>
      </c>
      <c r="G158" s="1" t="str">
        <f aca="false">IF(ISNA(F158),"",F158)</f>
        <v/>
      </c>
      <c r="H158" s="5" t="str">
        <f aca="false">IF(G158&lt;&gt;"",G158,E158)</f>
        <v>51, 56, CROBAT</v>
      </c>
      <c r="K158" s="1" t="s">
        <v>314</v>
      </c>
      <c r="L158" s="1" t="s">
        <v>315</v>
      </c>
    </row>
    <row r="159" customFormat="false" ht="12.75" hidden="false" customHeight="true" outlineLevel="0" collapsed="false">
      <c r="A159" s="4" t="s">
        <v>2801</v>
      </c>
      <c r="B159" s="5" t="n">
        <v>0.1</v>
      </c>
      <c r="C159" s="1" t="str">
        <f aca="false">IF(B159="NEW ROUTE",1,"")</f>
        <v/>
      </c>
      <c r="E159" s="5" t="n">
        <v>0.1</v>
      </c>
      <c r="F159" s="6" t="e">
        <f aca="false">VLOOKUP(E159,$K$2:$L$426,2,FALSE())</f>
        <v>#N/A</v>
      </c>
      <c r="G159" s="1" t="str">
        <f aca="false">IF(ISNA(F159),"",F159)</f>
        <v/>
      </c>
      <c r="H159" s="5" t="n">
        <f aca="false">IF(G159&lt;&gt;"",G159,E159)</f>
        <v>0.1</v>
      </c>
      <c r="K159" s="1" t="s">
        <v>316</v>
      </c>
      <c r="L159" s="1" t="s">
        <v>317</v>
      </c>
    </row>
    <row r="160" customFormat="false" ht="12.75" hidden="false" customHeight="true" outlineLevel="0" collapsed="false">
      <c r="A160" s="4" t="s">
        <v>2870</v>
      </c>
      <c r="B160" s="5" t="s">
        <v>2870</v>
      </c>
      <c r="C160" s="1" t="str">
        <f aca="false">IF(B160="NEW ROUTE",1,"")</f>
        <v/>
      </c>
      <c r="E160" s="5" t="s">
        <v>2870</v>
      </c>
      <c r="F160" s="6" t="e">
        <f aca="false">VLOOKUP(E160,$K$2:$L$426,2,FALSE())</f>
        <v>#N/A</v>
      </c>
      <c r="G160" s="1" t="str">
        <f aca="false">IF(ISNA(F160),"",F160)</f>
        <v/>
      </c>
      <c r="H160" s="5" t="str">
        <f aca="false">IF(G160&lt;&gt;"",G160,E160)</f>
        <v>51, 56, MACHAMP</v>
      </c>
      <c r="K160" s="1" t="s">
        <v>318</v>
      </c>
      <c r="L160" s="1" t="s">
        <v>319</v>
      </c>
    </row>
    <row r="161" customFormat="false" ht="12.75" hidden="false" customHeight="true" outlineLevel="0" collapsed="false">
      <c r="A161" s="4" t="s">
        <v>2871</v>
      </c>
      <c r="B161" s="5" t="s">
        <v>2871</v>
      </c>
      <c r="C161" s="1" t="str">
        <f aca="false">IF(B161="NEW ROUTE",1,"")</f>
        <v/>
      </c>
      <c r="E161" s="5" t="s">
        <v>2871</v>
      </c>
      <c r="F161" s="6" t="e">
        <f aca="false">VLOOKUP(E161,$K$2:$L$426,2,FALSE())</f>
        <v>#N/A</v>
      </c>
      <c r="G161" s="1" t="str">
        <f aca="false">IF(ISNA(F161),"",F161)</f>
        <v/>
      </c>
      <c r="H161" s="5" t="str">
        <f aca="false">IF(G161&lt;&gt;"",G161,E161)</f>
        <v>51, 56, GOLEM</v>
      </c>
      <c r="K161" s="1" t="s">
        <v>320</v>
      </c>
      <c r="L161" s="1" t="s">
        <v>321</v>
      </c>
    </row>
    <row r="162" customFormat="false" ht="12.75" hidden="false" customHeight="true" outlineLevel="0" collapsed="false">
      <c r="A162" s="4" t="s">
        <v>2872</v>
      </c>
      <c r="B162" s="5" t="s">
        <v>2872</v>
      </c>
      <c r="C162" s="1" t="str">
        <f aca="false">IF(B162="NEW ROUTE",1,"")</f>
        <v/>
      </c>
      <c r="E162" s="5" t="s">
        <v>2872</v>
      </c>
      <c r="F162" s="6" t="e">
        <f aca="false">VLOOKUP(E162,$K$2:$L$426,2,FALSE())</f>
        <v>#N/A</v>
      </c>
      <c r="G162" s="1" t="str">
        <f aca="false">IF(ISNA(F162),"",F162)</f>
        <v/>
      </c>
      <c r="H162" s="5" t="str">
        <f aca="false">IF(G162&lt;&gt;"",G162,E162)</f>
        <v>53, 57, ADNOKANA</v>
      </c>
      <c r="K162" s="1" t="s">
        <v>322</v>
      </c>
      <c r="L162" s="1" t="s">
        <v>323</v>
      </c>
    </row>
    <row r="163" customFormat="false" ht="12.75" hidden="false" customHeight="true" outlineLevel="0" collapsed="false">
      <c r="A163" s="4" t="s">
        <v>2873</v>
      </c>
      <c r="B163" s="5" t="s">
        <v>2873</v>
      </c>
      <c r="C163" s="1" t="str">
        <f aca="false">IF(B163="NEW ROUTE",1,"")</f>
        <v/>
      </c>
      <c r="E163" s="5" t="s">
        <v>2873</v>
      </c>
      <c r="F163" s="6" t="e">
        <f aca="false">VLOOKUP(E163,$K$2:$L$426,2,FALSE())</f>
        <v>#N/A</v>
      </c>
      <c r="G163" s="1" t="str">
        <f aca="false">IF(ISNA(F163),"",F163)</f>
        <v/>
      </c>
      <c r="H163" s="5" t="str">
        <f aca="false">IF(G163&lt;&gt;"",G163,E163)</f>
        <v>53, 57, POLABAT</v>
      </c>
      <c r="K163" s="1" t="s">
        <v>324</v>
      </c>
      <c r="L163" s="1" t="s">
        <v>325</v>
      </c>
    </row>
    <row r="164" customFormat="false" ht="12.75" hidden="false" customHeight="true" outlineLevel="0" collapsed="false">
      <c r="A164" s="4" t="s">
        <v>2806</v>
      </c>
      <c r="B164" s="5" t="n">
        <v>0.05</v>
      </c>
      <c r="C164" s="1" t="str">
        <f aca="false">IF(B164="NEW ROUTE",1,"")</f>
        <v/>
      </c>
      <c r="E164" s="5" t="n">
        <v>0.05</v>
      </c>
      <c r="F164" s="6" t="e">
        <f aca="false">VLOOKUP(E164,$K$2:$L$426,2,FALSE())</f>
        <v>#N/A</v>
      </c>
      <c r="G164" s="1" t="str">
        <f aca="false">IF(ISNA(F164),"",F164)</f>
        <v/>
      </c>
      <c r="H164" s="5" t="n">
        <f aca="false">IF(G164&lt;&gt;"",G164,E164)</f>
        <v>0.05</v>
      </c>
      <c r="K164" s="1" t="s">
        <v>326</v>
      </c>
      <c r="L164" s="1" t="s">
        <v>327</v>
      </c>
    </row>
    <row r="165" customFormat="false" ht="12.75" hidden="false" customHeight="true" outlineLevel="0" collapsed="false">
      <c r="A165" s="4" t="s">
        <v>2874</v>
      </c>
      <c r="B165" s="5" t="s">
        <v>2874</v>
      </c>
      <c r="C165" s="1" t="str">
        <f aca="false">IF(B165="NEW ROUTE",1,"")</f>
        <v/>
      </c>
      <c r="E165" s="5" t="s">
        <v>2874</v>
      </c>
      <c r="F165" s="6" t="e">
        <f aca="false">VLOOKUP(E165,$K$2:$L$426,2,FALSE())</f>
        <v>#N/A</v>
      </c>
      <c r="G165" s="1" t="str">
        <f aca="false">IF(ISNA(F165),"",F165)</f>
        <v/>
      </c>
      <c r="H165" s="5" t="str">
        <f aca="false">IF(G165&lt;&gt;"",G165,E165)</f>
        <v>53, 57, MACHULK</v>
      </c>
      <c r="K165" s="1" t="s">
        <v>328</v>
      </c>
      <c r="L165" s="1" t="s">
        <v>329</v>
      </c>
    </row>
    <row r="166" customFormat="false" ht="12.75" hidden="false" customHeight="true" outlineLevel="0" collapsed="false">
      <c r="A166" s="4" t="s">
        <v>2875</v>
      </c>
      <c r="B166" s="5" t="s">
        <v>2875</v>
      </c>
      <c r="C166" s="1" t="str">
        <f aca="false">IF(B166="NEW ROUTE",1,"")</f>
        <v/>
      </c>
      <c r="E166" s="5" t="s">
        <v>2875</v>
      </c>
      <c r="F166" s="6" t="e">
        <f aca="false">VLOOKUP(E166,$K$2:$L$426,2,FALSE())</f>
        <v>#N/A</v>
      </c>
      <c r="G166" s="1" t="str">
        <f aca="false">IF(ISNA(F166),"",F166)</f>
        <v/>
      </c>
      <c r="H166" s="5" t="str">
        <f aca="false">IF(G166&lt;&gt;"",G166,E166)</f>
        <v>53, 57, RHYMARKABL</v>
      </c>
      <c r="K166" s="1" t="s">
        <v>330</v>
      </c>
      <c r="L166" s="1" t="s">
        <v>331</v>
      </c>
    </row>
    <row r="167" customFormat="false" ht="12.75" hidden="false" customHeight="true" outlineLevel="0" collapsed="false">
      <c r="A167" s="4" t="s">
        <v>2809</v>
      </c>
      <c r="B167" s="5" t="n">
        <v>0.04</v>
      </c>
      <c r="C167" s="1" t="str">
        <f aca="false">IF(B167="NEW ROUTE",1,"")</f>
        <v/>
      </c>
      <c r="E167" s="5" t="n">
        <v>0.04</v>
      </c>
      <c r="F167" s="6" t="e">
        <f aca="false">VLOOKUP(E167,$K$2:$L$426,2,FALSE())</f>
        <v>#N/A</v>
      </c>
      <c r="G167" s="1" t="str">
        <f aca="false">IF(ISNA(F167),"",F167)</f>
        <v/>
      </c>
      <c r="H167" s="5" t="n">
        <f aca="false">IF(G167&lt;&gt;"",G167,E167)</f>
        <v>0.04</v>
      </c>
      <c r="K167" s="1" t="s">
        <v>332</v>
      </c>
      <c r="L167" s="1" t="s">
        <v>333</v>
      </c>
    </row>
    <row r="168" customFormat="false" ht="12.75" hidden="false" customHeight="true" outlineLevel="0" collapsed="false">
      <c r="A168" s="4" t="s">
        <v>2876</v>
      </c>
      <c r="B168" s="5" t="s">
        <v>2876</v>
      </c>
      <c r="C168" s="1" t="str">
        <f aca="false">IF(B168="NEW ROUTE",1,"")</f>
        <v/>
      </c>
      <c r="E168" s="5" t="s">
        <v>2876</v>
      </c>
      <c r="F168" s="6" t="e">
        <f aca="false">VLOOKUP(E168,$K$2:$L$426,2,FALSE())</f>
        <v>#N/A</v>
      </c>
      <c r="G168" s="1" t="str">
        <f aca="false">IF(ISNA(F168),"",F168)</f>
        <v/>
      </c>
      <c r="H168" s="5" t="str">
        <f aca="false">IF(G168&lt;&gt;"",G168,E168)</f>
        <v>55, 57, PLATNIX</v>
      </c>
      <c r="K168" s="1" t="s">
        <v>334</v>
      </c>
      <c r="L168" s="1" t="s">
        <v>335</v>
      </c>
    </row>
    <row r="169" customFormat="false" ht="12.75" hidden="false" customHeight="true" outlineLevel="0" collapsed="false">
      <c r="A169" s="4" t="s">
        <v>2877</v>
      </c>
      <c r="B169" s="5" t="s">
        <v>2877</v>
      </c>
      <c r="C169" s="1" t="str">
        <f aca="false">IF(B169="NEW ROUTE",1,"")</f>
        <v/>
      </c>
      <c r="E169" s="5" t="s">
        <v>2877</v>
      </c>
      <c r="F169" s="6" t="e">
        <f aca="false">VLOOKUP(E169,$K$2:$L$426,2,FALSE())</f>
        <v>#N/A</v>
      </c>
      <c r="G169" s="1" t="str">
        <f aca="false">IF(ISNA(F169),"",F169)</f>
        <v/>
      </c>
      <c r="H169" s="5" t="str">
        <f aca="false">IF(G169&lt;&gt;"",G169,E169)</f>
        <v>55, 57, SLAGOLEM</v>
      </c>
      <c r="K169" s="1" t="s">
        <v>336</v>
      </c>
      <c r="L169" s="1" t="s">
        <v>337</v>
      </c>
    </row>
    <row r="170" customFormat="false" ht="12.75" hidden="false" customHeight="true" outlineLevel="0" collapsed="false">
      <c r="A170" s="4" t="s">
        <v>2812</v>
      </c>
      <c r="B170" s="5" t="n">
        <v>0.01</v>
      </c>
      <c r="C170" s="1" t="str">
        <f aca="false">IF(B170="NEW ROUTE",1,"")</f>
        <v/>
      </c>
      <c r="E170" s="5" t="n">
        <v>0.01</v>
      </c>
      <c r="F170" s="6" t="e">
        <f aca="false">VLOOKUP(E170,$K$2:$L$426,2,FALSE())</f>
        <v>#N/A</v>
      </c>
      <c r="G170" s="1" t="str">
        <f aca="false">IF(ISNA(F170),"",F170)</f>
        <v/>
      </c>
      <c r="H170" s="5" t="n">
        <f aca="false">IF(G170&lt;&gt;"",G170,E170)</f>
        <v>0.01</v>
      </c>
      <c r="K170" s="1" t="s">
        <v>338</v>
      </c>
      <c r="L170" s="1" t="s">
        <v>339</v>
      </c>
    </row>
    <row r="171" customFormat="false" ht="12.75" hidden="false" customHeight="true" outlineLevel="0" collapsed="false">
      <c r="A171" s="4" t="s">
        <v>2884</v>
      </c>
      <c r="B171" s="5" t="s">
        <v>2884</v>
      </c>
      <c r="C171" s="1" t="str">
        <f aca="false">IF(B171="NEW ROUTE",1,"")</f>
        <v/>
      </c>
      <c r="E171" s="5" t="s">
        <v>2884</v>
      </c>
      <c r="F171" s="6" t="e">
        <f aca="false">VLOOKUP(E171,$K$2:$L$426,2,FALSE())</f>
        <v>#N/A</v>
      </c>
      <c r="G171" s="1" t="str">
        <f aca="false">IF(ISNA(F171),"",F171)</f>
        <v/>
      </c>
      <c r="H171" s="5" t="str">
        <f aca="false">IF(G171&lt;&gt;"",G171,E171)</f>
        <v>60, 62, MOLTREM</v>
      </c>
      <c r="K171" s="1" t="s">
        <v>340</v>
      </c>
      <c r="L171" s="1" t="s">
        <v>341</v>
      </c>
    </row>
    <row r="172" customFormat="false" ht="12.75" hidden="false" customHeight="true" outlineLevel="0" collapsed="false">
      <c r="A172" s="4" t="s">
        <v>3712</v>
      </c>
      <c r="B172" s="5" t="s">
        <v>3712</v>
      </c>
      <c r="C172" s="1" t="str">
        <f aca="false">IF(B172="NEW ROUTE",1,"")</f>
        <v/>
      </c>
      <c r="E172" s="5" t="s">
        <v>3712</v>
      </c>
      <c r="F172" s="6" t="e">
        <f aca="false">VLOOKUP(E172,$K$2:$L$426,2,FALSE())</f>
        <v>#N/A</v>
      </c>
      <c r="G172" s="1" t="str">
        <f aca="false">IF(ISNA(F172),"",F172)</f>
        <v/>
      </c>
      <c r="H172" s="5" t="str">
        <f aca="false">IF(G172&lt;&gt;"",G172,E172)</f>
        <v>60, 62, CLAYMOR</v>
      </c>
      <c r="K172" s="1" t="s">
        <v>342</v>
      </c>
      <c r="L172" s="1" t="s">
        <v>343</v>
      </c>
    </row>
    <row r="173" customFormat="false" ht="12.75" hidden="false" customHeight="true" outlineLevel="0" collapsed="false">
      <c r="A173" s="4" t="s">
        <v>2536</v>
      </c>
      <c r="B173" s="5" t="s">
        <v>2536</v>
      </c>
      <c r="C173" s="1" t="n">
        <f aca="false">IF(B173="NEW ROUTE",1,"")</f>
        <v>1</v>
      </c>
      <c r="E173" s="5" t="s">
        <v>2536</v>
      </c>
      <c r="F173" s="6" t="e">
        <f aca="false">VLOOKUP(E173,$K$2:$L$426,2,FALSE())</f>
        <v>#N/A</v>
      </c>
      <c r="G173" s="1" t="str">
        <f aca="false">IF(ISNA(F173),"",F173)</f>
        <v/>
      </c>
      <c r="H173" s="5" t="str">
        <f aca="false">IF(G173&lt;&gt;"",G173,E173)</f>
        <v>NEW ROUTE</v>
      </c>
      <c r="K173" s="1" t="s">
        <v>344</v>
      </c>
      <c r="L173" s="1" t="s">
        <v>345</v>
      </c>
    </row>
    <row r="174" customFormat="false" ht="12.75" hidden="false" customHeight="true" outlineLevel="0" collapsed="false">
      <c r="A174" s="4" t="s">
        <v>130</v>
      </c>
      <c r="B174" s="5" t="s">
        <v>130</v>
      </c>
      <c r="C174" s="1" t="str">
        <f aca="false">IF(B174="NEW ROUTE",1,"")</f>
        <v/>
      </c>
      <c r="E174" s="5" t="s">
        <v>130</v>
      </c>
      <c r="F174" s="6" t="str">
        <f aca="false">VLOOKUP(E174,$K$2:$L$426,2,FALSE())</f>
        <v>Pokémon Mansion 1F</v>
      </c>
      <c r="G174" s="1" t="str">
        <f aca="false">IF(ISNA(F174),"",F174)</f>
        <v>Pokémon Mansion 1F</v>
      </c>
      <c r="H174" s="5" t="str">
        <f aca="false">IF(G174&lt;&gt;"",G174,E174)</f>
        <v>Pokémon Mansion 1F</v>
      </c>
      <c r="K174" s="1" t="s">
        <v>346</v>
      </c>
      <c r="L174" s="1" t="s">
        <v>347</v>
      </c>
    </row>
    <row r="175" customFormat="false" ht="12.75" hidden="false" customHeight="true" outlineLevel="0" collapsed="false">
      <c r="A175" s="4" t="s">
        <v>2799</v>
      </c>
      <c r="B175" s="5" t="n">
        <v>0.2</v>
      </c>
      <c r="C175" s="1" t="str">
        <f aca="false">IF(B175="NEW ROUTE",1,"")</f>
        <v/>
      </c>
      <c r="E175" s="5" t="n">
        <v>0.2</v>
      </c>
      <c r="F175" s="6" t="e">
        <f aca="false">VLOOKUP(E175,$K$2:$L$426,2,FALSE())</f>
        <v>#N/A</v>
      </c>
      <c r="G175" s="1" t="str">
        <f aca="false">IF(ISNA(F175),"",F175)</f>
        <v/>
      </c>
      <c r="H175" s="5" t="n">
        <f aca="false">IF(G175&lt;&gt;"",G175,E175)</f>
        <v>0.2</v>
      </c>
      <c r="K175" s="1" t="s">
        <v>348</v>
      </c>
      <c r="L175" s="1" t="s">
        <v>349</v>
      </c>
    </row>
    <row r="176" customFormat="false" ht="12.75" hidden="false" customHeight="true" outlineLevel="0" collapsed="false">
      <c r="A176" s="4" t="s">
        <v>1311</v>
      </c>
      <c r="B176" s="5" t="s">
        <v>1311</v>
      </c>
      <c r="C176" s="1" t="str">
        <f aca="false">IF(B176="NEW ROUTE",1,"")</f>
        <v/>
      </c>
      <c r="E176" s="5" t="s">
        <v>1311</v>
      </c>
      <c r="F176" s="6" t="e">
        <f aca="false">VLOOKUP(E176,$K$2:$L$426,2,FALSE())</f>
        <v>#N/A</v>
      </c>
      <c r="G176" s="1" t="str">
        <f aca="false">IF(ISNA(F176),"",F176)</f>
        <v/>
      </c>
      <c r="H176" s="5" t="str">
        <f aca="false">IF(G176&lt;&gt;"",G176,E176)</f>
        <v>40, 44, RATTCHET</v>
      </c>
      <c r="K176" s="1" t="s">
        <v>350</v>
      </c>
      <c r="L176" s="1" t="s">
        <v>351</v>
      </c>
    </row>
    <row r="177" customFormat="false" ht="12.75" hidden="false" customHeight="true" outlineLevel="0" collapsed="false">
      <c r="A177" s="4" t="s">
        <v>2887</v>
      </c>
      <c r="B177" s="5" t="s">
        <v>2887</v>
      </c>
      <c r="C177" s="1" t="str">
        <f aca="false">IF(B177="NEW ROUTE",1,"")</f>
        <v/>
      </c>
      <c r="E177" s="5" t="s">
        <v>2887</v>
      </c>
      <c r="F177" s="6" t="e">
        <f aca="false">VLOOKUP(E177,$K$2:$L$426,2,FALSE())</f>
        <v>#N/A</v>
      </c>
      <c r="G177" s="1" t="str">
        <f aca="false">IF(ISNA(F177),"",F177)</f>
        <v/>
      </c>
      <c r="H177" s="5" t="str">
        <f aca="false">IF(G177&lt;&gt;"",G177,E177)</f>
        <v>40, 44, NINETALES</v>
      </c>
      <c r="K177" s="1" t="s">
        <v>352</v>
      </c>
      <c r="L177" s="1" t="s">
        <v>353</v>
      </c>
    </row>
    <row r="178" customFormat="false" ht="12.75" hidden="false" customHeight="true" outlineLevel="0" collapsed="false">
      <c r="A178" s="4" t="s">
        <v>2801</v>
      </c>
      <c r="B178" s="5" t="n">
        <v>0.1</v>
      </c>
      <c r="C178" s="1" t="str">
        <f aca="false">IF(B178="NEW ROUTE",1,"")</f>
        <v/>
      </c>
      <c r="E178" s="5" t="n">
        <v>0.1</v>
      </c>
      <c r="F178" s="6" t="e">
        <f aca="false">VLOOKUP(E178,$K$2:$L$426,2,FALSE())</f>
        <v>#N/A</v>
      </c>
      <c r="G178" s="1" t="str">
        <f aca="false">IF(ISNA(F178),"",F178)</f>
        <v/>
      </c>
      <c r="H178" s="5" t="n">
        <f aca="false">IF(G178&lt;&gt;"",G178,E178)</f>
        <v>0.1</v>
      </c>
      <c r="K178" s="1" t="s">
        <v>354</v>
      </c>
      <c r="L178" s="1" t="s">
        <v>355</v>
      </c>
    </row>
    <row r="179" customFormat="false" ht="12.75" hidden="false" customHeight="true" outlineLevel="0" collapsed="false">
      <c r="A179" s="4" t="s">
        <v>2888</v>
      </c>
      <c r="B179" s="5" t="s">
        <v>2888</v>
      </c>
      <c r="C179" s="1" t="str">
        <f aca="false">IF(B179="NEW ROUTE",1,"")</f>
        <v/>
      </c>
      <c r="E179" s="5" t="s">
        <v>2888</v>
      </c>
      <c r="F179" s="6" t="e">
        <f aca="false">VLOOKUP(E179,$K$2:$L$426,2,FALSE())</f>
        <v>#N/A</v>
      </c>
      <c r="G179" s="1" t="str">
        <f aca="false">IF(ISNA(F179),"",F179)</f>
        <v/>
      </c>
      <c r="H179" s="5" t="str">
        <f aca="false">IF(G179&lt;&gt;"",G179,E179)</f>
        <v>41, 42, ARCANINE</v>
      </c>
      <c r="K179" s="1" t="s">
        <v>356</v>
      </c>
      <c r="L179" s="1" t="s">
        <v>357</v>
      </c>
    </row>
    <row r="180" customFormat="false" ht="12.75" hidden="false" customHeight="true" outlineLevel="0" collapsed="false">
      <c r="A180" s="4" t="s">
        <v>2889</v>
      </c>
      <c r="B180" s="5" t="s">
        <v>2889</v>
      </c>
      <c r="C180" s="1" t="str">
        <f aca="false">IF(B180="NEW ROUTE",1,"")</f>
        <v/>
      </c>
      <c r="E180" s="5" t="s">
        <v>2889</v>
      </c>
      <c r="F180" s="6" t="e">
        <f aca="false">VLOOKUP(E180,$K$2:$L$426,2,FALSE())</f>
        <v>#N/A</v>
      </c>
      <c r="G180" s="1" t="str">
        <f aca="false">IF(ISNA(F180),"",F180)</f>
        <v/>
      </c>
      <c r="H180" s="5" t="str">
        <f aca="false">IF(G180&lt;&gt;"",G180,E180)</f>
        <v>43, 44, ARCANINE</v>
      </c>
      <c r="K180" s="1" t="s">
        <v>358</v>
      </c>
      <c r="L180" s="1" t="s">
        <v>359</v>
      </c>
    </row>
    <row r="181" customFormat="false" ht="12.75" hidden="false" customHeight="true" outlineLevel="0" collapsed="false">
      <c r="A181" s="4" t="s">
        <v>2890</v>
      </c>
      <c r="B181" s="5" t="s">
        <v>2890</v>
      </c>
      <c r="C181" s="1" t="str">
        <f aca="false">IF(B181="NEW ROUTE",1,"")</f>
        <v/>
      </c>
      <c r="E181" s="5" t="s">
        <v>2890</v>
      </c>
      <c r="F181" s="6" t="e">
        <f aca="false">VLOOKUP(E181,$K$2:$L$426,2,FALSE())</f>
        <v>#N/A</v>
      </c>
      <c r="G181" s="1" t="str">
        <f aca="false">IF(ISNA(F181),"",F181)</f>
        <v/>
      </c>
      <c r="H181" s="5" t="str">
        <f aca="false">IF(G181&lt;&gt;"",G181,E181)</f>
        <v>42, 44, WEEZING</v>
      </c>
      <c r="K181" s="1" t="s">
        <v>360</v>
      </c>
      <c r="L181" s="1" t="s">
        <v>361</v>
      </c>
    </row>
    <row r="182" customFormat="false" ht="12.75" hidden="false" customHeight="true" outlineLevel="0" collapsed="false">
      <c r="A182" s="4" t="s">
        <v>2891</v>
      </c>
      <c r="B182" s="5" t="s">
        <v>2891</v>
      </c>
      <c r="C182" s="1" t="str">
        <f aca="false">IF(B182="NEW ROUTE",1,"")</f>
        <v/>
      </c>
      <c r="E182" s="5" t="s">
        <v>2891</v>
      </c>
      <c r="F182" s="6" t="e">
        <f aca="false">VLOOKUP(E182,$K$2:$L$426,2,FALSE())</f>
        <v>#N/A</v>
      </c>
      <c r="G182" s="1" t="str">
        <f aca="false">IF(ISNA(F182),"",F182)</f>
        <v/>
      </c>
      <c r="H182" s="5" t="str">
        <f aca="false">IF(G182&lt;&gt;"",G182,E182)</f>
        <v>42, 44, MUK</v>
      </c>
      <c r="K182" s="1" t="s">
        <v>362</v>
      </c>
      <c r="L182" s="1" t="s">
        <v>363</v>
      </c>
    </row>
    <row r="183" customFormat="false" ht="12.75" hidden="false" customHeight="true" outlineLevel="0" collapsed="false">
      <c r="A183" s="4" t="s">
        <v>2806</v>
      </c>
      <c r="B183" s="5" t="n">
        <v>0.05</v>
      </c>
      <c r="C183" s="1" t="str">
        <f aca="false">IF(B183="NEW ROUTE",1,"")</f>
        <v/>
      </c>
      <c r="E183" s="5" t="n">
        <v>0.05</v>
      </c>
      <c r="F183" s="6" t="e">
        <f aca="false">VLOOKUP(E183,$K$2:$L$426,2,FALSE())</f>
        <v>#N/A</v>
      </c>
      <c r="G183" s="1" t="str">
        <f aca="false">IF(ISNA(F183),"",F183)</f>
        <v/>
      </c>
      <c r="H183" s="5" t="n">
        <f aca="false">IF(G183&lt;&gt;"",G183,E183)</f>
        <v>0.05</v>
      </c>
      <c r="K183" s="1" t="s">
        <v>364</v>
      </c>
      <c r="L183" s="1" t="s">
        <v>365</v>
      </c>
    </row>
    <row r="184" customFormat="false" ht="12.75" hidden="false" customHeight="true" outlineLevel="0" collapsed="false">
      <c r="A184" s="4" t="s">
        <v>2892</v>
      </c>
      <c r="B184" s="5" t="s">
        <v>2892</v>
      </c>
      <c r="C184" s="1" t="str">
        <f aca="false">IF(B184="NEW ROUTE",1,"")</f>
        <v/>
      </c>
      <c r="E184" s="5" t="s">
        <v>2892</v>
      </c>
      <c r="F184" s="6" t="e">
        <f aca="false">VLOOKUP(E184,$K$2:$L$426,2,FALSE())</f>
        <v>#N/A</v>
      </c>
      <c r="G184" s="1" t="str">
        <f aca="false">IF(ISNA(F184),"",F184)</f>
        <v/>
      </c>
      <c r="H184" s="5" t="str">
        <f aca="false">IF(G184&lt;&gt;"",G184,E184)</f>
        <v>43, 45, SINGESHA</v>
      </c>
      <c r="K184" s="1" t="s">
        <v>366</v>
      </c>
      <c r="L184" s="1" t="s">
        <v>367</v>
      </c>
    </row>
    <row r="185" customFormat="false" ht="12.75" hidden="false" customHeight="true" outlineLevel="0" collapsed="false">
      <c r="A185" s="4" t="s">
        <v>2893</v>
      </c>
      <c r="B185" s="5" t="s">
        <v>2893</v>
      </c>
      <c r="C185" s="1" t="str">
        <f aca="false">IF(B185="NEW ROUTE",1,"")</f>
        <v/>
      </c>
      <c r="E185" s="5" t="s">
        <v>2893</v>
      </c>
      <c r="F185" s="6" t="e">
        <f aca="false">VLOOKUP(E185,$K$2:$L$426,2,FALSE())</f>
        <v>#N/A</v>
      </c>
      <c r="G185" s="1" t="str">
        <f aca="false">IF(ISNA(F185),"",F185)</f>
        <v/>
      </c>
      <c r="H185" s="5" t="str">
        <f aca="false">IF(G185&lt;&gt;"",G185,E185)</f>
        <v>43, 45, SPIRITALES</v>
      </c>
      <c r="K185" s="1" t="s">
        <v>368</v>
      </c>
      <c r="L185" s="1" t="s">
        <v>369</v>
      </c>
    </row>
    <row r="186" customFormat="false" ht="12.75" hidden="false" customHeight="true" outlineLevel="0" collapsed="false">
      <c r="A186" s="4" t="s">
        <v>2809</v>
      </c>
      <c r="B186" s="5" t="n">
        <v>0.04</v>
      </c>
      <c r="C186" s="1" t="str">
        <f aca="false">IF(B186="NEW ROUTE",1,"")</f>
        <v/>
      </c>
      <c r="E186" s="5" t="n">
        <v>0.04</v>
      </c>
      <c r="F186" s="6" t="e">
        <f aca="false">VLOOKUP(E186,$K$2:$L$426,2,FALSE())</f>
        <v>#N/A</v>
      </c>
      <c r="G186" s="1" t="str">
        <f aca="false">IF(ISNA(F186),"",F186)</f>
        <v/>
      </c>
      <c r="H186" s="5" t="n">
        <f aca="false">IF(G186&lt;&gt;"",G186,E186)</f>
        <v>0.04</v>
      </c>
      <c r="K186" s="1" t="s">
        <v>370</v>
      </c>
      <c r="L186" s="1" t="s">
        <v>371</v>
      </c>
    </row>
    <row r="187" customFormat="false" ht="12.75" hidden="false" customHeight="true" outlineLevel="0" collapsed="false">
      <c r="A187" s="4" t="s">
        <v>2894</v>
      </c>
      <c r="B187" s="5" t="s">
        <v>2894</v>
      </c>
      <c r="C187" s="1" t="str">
        <f aca="false">IF(B187="NEW ROUTE",1,"")</f>
        <v/>
      </c>
      <c r="E187" s="5" t="s">
        <v>2894</v>
      </c>
      <c r="F187" s="6" t="e">
        <f aca="false">VLOOKUP(E187,$K$2:$L$426,2,FALSE())</f>
        <v>#N/A</v>
      </c>
      <c r="G187" s="1" t="str">
        <f aca="false">IF(ISNA(F187),"",F187)</f>
        <v/>
      </c>
      <c r="H187" s="5" t="str">
        <f aca="false">IF(G187&lt;&gt;"",G187,E187)</f>
        <v>45, 46, GUNK</v>
      </c>
      <c r="K187" s="1" t="s">
        <v>372</v>
      </c>
      <c r="L187" s="1" t="s">
        <v>373</v>
      </c>
    </row>
    <row r="188" customFormat="false" ht="12.75" hidden="false" customHeight="true" outlineLevel="0" collapsed="false">
      <c r="A188" s="4" t="s">
        <v>2895</v>
      </c>
      <c r="B188" s="5" t="s">
        <v>2895</v>
      </c>
      <c r="C188" s="1" t="str">
        <f aca="false">IF(B188="NEW ROUTE",1,"")</f>
        <v/>
      </c>
      <c r="E188" s="5" t="s">
        <v>2895</v>
      </c>
      <c r="F188" s="6" t="e">
        <f aca="false">VLOOKUP(E188,$K$2:$L$426,2,FALSE())</f>
        <v>#N/A</v>
      </c>
      <c r="G188" s="1" t="str">
        <f aca="false">IF(ISNA(F188),"",F188)</f>
        <v/>
      </c>
      <c r="H188" s="5" t="str">
        <f aca="false">IF(G188&lt;&gt;"",G188,E188)</f>
        <v>45, 46, HEEVING</v>
      </c>
      <c r="K188" s="1" t="s">
        <v>374</v>
      </c>
      <c r="L188" s="1" t="s">
        <v>375</v>
      </c>
    </row>
    <row r="189" customFormat="false" ht="12.75" hidden="false" customHeight="true" outlineLevel="0" collapsed="false">
      <c r="A189" s="4" t="s">
        <v>2812</v>
      </c>
      <c r="B189" s="5" t="n">
        <v>0.01</v>
      </c>
      <c r="C189" s="1" t="str">
        <f aca="false">IF(B189="NEW ROUTE",1,"")</f>
        <v/>
      </c>
      <c r="E189" s="5" t="n">
        <v>0.01</v>
      </c>
      <c r="F189" s="6" t="e">
        <f aca="false">VLOOKUP(E189,$K$2:$L$426,2,FALSE())</f>
        <v>#N/A</v>
      </c>
      <c r="G189" s="1" t="str">
        <f aca="false">IF(ISNA(F189),"",F189)</f>
        <v/>
      </c>
      <c r="H189" s="5" t="n">
        <f aca="false">IF(G189&lt;&gt;"",G189,E189)</f>
        <v>0.01</v>
      </c>
      <c r="K189" s="1" t="s">
        <v>376</v>
      </c>
      <c r="L189" s="1" t="s">
        <v>377</v>
      </c>
    </row>
    <row r="190" customFormat="false" ht="12.75" hidden="false" customHeight="true" outlineLevel="0" collapsed="false">
      <c r="A190" s="4" t="s">
        <v>2896</v>
      </c>
      <c r="B190" s="5" t="s">
        <v>2896</v>
      </c>
      <c r="C190" s="1" t="str">
        <f aca="false">IF(B190="NEW ROUTE",1,"")</f>
        <v/>
      </c>
      <c r="E190" s="5" t="s">
        <v>2896</v>
      </c>
      <c r="F190" s="6" t="e">
        <f aca="false">VLOOKUP(E190,$K$2:$L$426,2,FALSE())</f>
        <v>#N/A</v>
      </c>
      <c r="G190" s="1" t="str">
        <f aca="false">IF(ISNA(F190),"",F190)</f>
        <v/>
      </c>
      <c r="H190" s="5" t="str">
        <f aca="false">IF(G190&lt;&gt;"",G190,E190)</f>
        <v>44, 47, RATTARULE</v>
      </c>
      <c r="K190" s="1" t="s">
        <v>378</v>
      </c>
      <c r="L190" s="1" t="s">
        <v>379</v>
      </c>
    </row>
    <row r="191" customFormat="false" ht="12.75" hidden="false" customHeight="true" outlineLevel="0" collapsed="false">
      <c r="A191" s="4" t="s">
        <v>3713</v>
      </c>
      <c r="B191" s="5" t="s">
        <v>3713</v>
      </c>
      <c r="C191" s="1" t="str">
        <f aca="false">IF(B191="NEW ROUTE",1,"")</f>
        <v/>
      </c>
      <c r="E191" s="5" t="s">
        <v>3713</v>
      </c>
      <c r="F191" s="6" t="e">
        <f aca="false">VLOOKUP(E191,$K$2:$L$426,2,FALSE())</f>
        <v>#N/A</v>
      </c>
      <c r="G191" s="1" t="str">
        <f aca="false">IF(ISNA(F191),"",F191)</f>
        <v/>
      </c>
      <c r="H191" s="5" t="str">
        <f aca="false">IF(G191&lt;&gt;"",G191,E191)</f>
        <v>20, 25, CHARMANDER</v>
      </c>
      <c r="K191" s="1" t="s">
        <v>380</v>
      </c>
      <c r="L191" s="1" t="s">
        <v>381</v>
      </c>
    </row>
    <row r="192" customFormat="false" ht="12.75" hidden="false" customHeight="true" outlineLevel="0" collapsed="false">
      <c r="A192" s="4" t="s">
        <v>2536</v>
      </c>
      <c r="B192" s="5" t="s">
        <v>2536</v>
      </c>
      <c r="C192" s="1" t="n">
        <f aca="false">IF(B192="NEW ROUTE",1,"")</f>
        <v>1</v>
      </c>
      <c r="E192" s="5" t="s">
        <v>2536</v>
      </c>
      <c r="F192" s="6" t="e">
        <f aca="false">VLOOKUP(E192,$K$2:$L$426,2,FALSE())</f>
        <v>#N/A</v>
      </c>
      <c r="G192" s="1" t="str">
        <f aca="false">IF(ISNA(F192),"",F192)</f>
        <v/>
      </c>
      <c r="H192" s="5" t="str">
        <f aca="false">IF(G192&lt;&gt;"",G192,E192)</f>
        <v>NEW ROUTE</v>
      </c>
      <c r="K192" s="1" t="s">
        <v>382</v>
      </c>
      <c r="L192" s="1" t="s">
        <v>383</v>
      </c>
    </row>
    <row r="193" customFormat="false" ht="12.75" hidden="false" customHeight="true" outlineLevel="0" collapsed="false">
      <c r="A193" s="4" t="s">
        <v>132</v>
      </c>
      <c r="B193" s="5" t="s">
        <v>132</v>
      </c>
      <c r="C193" s="1" t="str">
        <f aca="false">IF(B193="NEW ROUTE",1,"")</f>
        <v/>
      </c>
      <c r="E193" s="5" t="s">
        <v>132</v>
      </c>
      <c r="F193" s="6" t="str">
        <f aca="false">VLOOKUP(E193,$K$2:$L$426,2,FALSE())</f>
        <v>Pokémon Mansion 2F</v>
      </c>
      <c r="G193" s="1" t="str">
        <f aca="false">IF(ISNA(F193),"",F193)</f>
        <v>Pokémon Mansion 2F</v>
      </c>
      <c r="H193" s="5" t="str">
        <f aca="false">IF(G193&lt;&gt;"",G193,E193)</f>
        <v>Pokémon Mansion 2F</v>
      </c>
      <c r="K193" s="1" t="s">
        <v>384</v>
      </c>
      <c r="L193" s="1" t="s">
        <v>385</v>
      </c>
    </row>
    <row r="194" customFormat="false" ht="12.75" hidden="false" customHeight="true" outlineLevel="0" collapsed="false">
      <c r="A194" s="4" t="s">
        <v>2799</v>
      </c>
      <c r="B194" s="5" t="n">
        <v>0.2</v>
      </c>
      <c r="C194" s="1" t="str">
        <f aca="false">IF(B194="NEW ROUTE",1,"")</f>
        <v/>
      </c>
      <c r="E194" s="5" t="n">
        <v>0.2</v>
      </c>
      <c r="F194" s="6" t="e">
        <f aca="false">VLOOKUP(E194,$K$2:$L$426,2,FALSE())</f>
        <v>#N/A</v>
      </c>
      <c r="G194" s="1" t="str">
        <f aca="false">IF(ISNA(F194),"",F194)</f>
        <v/>
      </c>
      <c r="H194" s="5" t="n">
        <f aca="false">IF(G194&lt;&gt;"",G194,E194)</f>
        <v>0.2</v>
      </c>
      <c r="K194" s="1" t="s">
        <v>386</v>
      </c>
      <c r="L194" s="1" t="s">
        <v>387</v>
      </c>
    </row>
    <row r="195" customFormat="false" ht="12.75" hidden="false" customHeight="true" outlineLevel="0" collapsed="false">
      <c r="A195" s="4" t="s">
        <v>1311</v>
      </c>
      <c r="B195" s="5" t="s">
        <v>1311</v>
      </c>
      <c r="C195" s="1" t="str">
        <f aca="false">IF(B195="NEW ROUTE",1,"")</f>
        <v/>
      </c>
      <c r="E195" s="5" t="s">
        <v>1311</v>
      </c>
      <c r="F195" s="6" t="e">
        <f aca="false">VLOOKUP(E195,$K$2:$L$426,2,FALSE())</f>
        <v>#N/A</v>
      </c>
      <c r="G195" s="1" t="str">
        <f aca="false">IF(ISNA(F195),"",F195)</f>
        <v/>
      </c>
      <c r="H195" s="5" t="str">
        <f aca="false">IF(G195&lt;&gt;"",G195,E195)</f>
        <v>40, 44, RATTCHET</v>
      </c>
      <c r="K195" s="1" t="s">
        <v>388</v>
      </c>
      <c r="L195" s="1" t="s">
        <v>389</v>
      </c>
    </row>
    <row r="196" customFormat="false" ht="12.75" hidden="false" customHeight="true" outlineLevel="0" collapsed="false">
      <c r="A196" s="4" t="s">
        <v>2887</v>
      </c>
      <c r="B196" s="5" t="s">
        <v>2887</v>
      </c>
      <c r="C196" s="1" t="str">
        <f aca="false">IF(B196="NEW ROUTE",1,"")</f>
        <v/>
      </c>
      <c r="E196" s="5" t="s">
        <v>2887</v>
      </c>
      <c r="F196" s="6" t="e">
        <f aca="false">VLOOKUP(E196,$K$2:$L$426,2,FALSE())</f>
        <v>#N/A</v>
      </c>
      <c r="G196" s="1" t="str">
        <f aca="false">IF(ISNA(F196),"",F196)</f>
        <v/>
      </c>
      <c r="H196" s="5" t="str">
        <f aca="false">IF(G196&lt;&gt;"",G196,E196)</f>
        <v>40, 44, NINETALES</v>
      </c>
      <c r="K196" s="1" t="s">
        <v>390</v>
      </c>
      <c r="L196" s="1" t="s">
        <v>391</v>
      </c>
    </row>
    <row r="197" customFormat="false" ht="12.75" hidden="false" customHeight="true" outlineLevel="0" collapsed="false">
      <c r="A197" s="4" t="s">
        <v>2801</v>
      </c>
      <c r="B197" s="5" t="n">
        <v>0.1</v>
      </c>
      <c r="C197" s="1" t="str">
        <f aca="false">IF(B197="NEW ROUTE",1,"")</f>
        <v/>
      </c>
      <c r="E197" s="5" t="n">
        <v>0.1</v>
      </c>
      <c r="F197" s="6" t="e">
        <f aca="false">VLOOKUP(E197,$K$2:$L$426,2,FALSE())</f>
        <v>#N/A</v>
      </c>
      <c r="G197" s="1" t="str">
        <f aca="false">IF(ISNA(F197),"",F197)</f>
        <v/>
      </c>
      <c r="H197" s="5" t="n">
        <f aca="false">IF(G197&lt;&gt;"",G197,E197)</f>
        <v>0.1</v>
      </c>
      <c r="K197" s="1" t="s">
        <v>392</v>
      </c>
      <c r="L197" s="1" t="s">
        <v>393</v>
      </c>
    </row>
    <row r="198" customFormat="false" ht="12.75" hidden="false" customHeight="true" outlineLevel="0" collapsed="false">
      <c r="A198" s="4" t="s">
        <v>2888</v>
      </c>
      <c r="B198" s="5" t="s">
        <v>2888</v>
      </c>
      <c r="C198" s="1" t="str">
        <f aca="false">IF(B198="NEW ROUTE",1,"")</f>
        <v/>
      </c>
      <c r="E198" s="5" t="s">
        <v>2888</v>
      </c>
      <c r="F198" s="6" t="e">
        <f aca="false">VLOOKUP(E198,$K$2:$L$426,2,FALSE())</f>
        <v>#N/A</v>
      </c>
      <c r="G198" s="1" t="str">
        <f aca="false">IF(ISNA(F198),"",F198)</f>
        <v/>
      </c>
      <c r="H198" s="5" t="str">
        <f aca="false">IF(G198&lt;&gt;"",G198,E198)</f>
        <v>41, 42, ARCANINE</v>
      </c>
      <c r="K198" s="1" t="s">
        <v>394</v>
      </c>
      <c r="L198" s="1" t="s">
        <v>395</v>
      </c>
    </row>
    <row r="199" customFormat="false" ht="12.75" hidden="false" customHeight="true" outlineLevel="0" collapsed="false">
      <c r="A199" s="4" t="s">
        <v>2889</v>
      </c>
      <c r="B199" s="5" t="s">
        <v>2889</v>
      </c>
      <c r="C199" s="1" t="str">
        <f aca="false">IF(B199="NEW ROUTE",1,"")</f>
        <v/>
      </c>
      <c r="E199" s="5" t="s">
        <v>2889</v>
      </c>
      <c r="F199" s="6" t="e">
        <f aca="false">VLOOKUP(E199,$K$2:$L$426,2,FALSE())</f>
        <v>#N/A</v>
      </c>
      <c r="G199" s="1" t="str">
        <f aca="false">IF(ISNA(F199),"",F199)</f>
        <v/>
      </c>
      <c r="H199" s="5" t="str">
        <f aca="false">IF(G199&lt;&gt;"",G199,E199)</f>
        <v>43, 44, ARCANINE</v>
      </c>
      <c r="K199" s="1" t="s">
        <v>396</v>
      </c>
      <c r="L199" s="1" t="s">
        <v>397</v>
      </c>
    </row>
    <row r="200" customFormat="false" ht="12.75" hidden="false" customHeight="true" outlineLevel="0" collapsed="false">
      <c r="A200" s="4" t="s">
        <v>2890</v>
      </c>
      <c r="B200" s="5" t="s">
        <v>2890</v>
      </c>
      <c r="C200" s="1" t="str">
        <f aca="false">IF(B200="NEW ROUTE",1,"")</f>
        <v/>
      </c>
      <c r="E200" s="5" t="s">
        <v>2890</v>
      </c>
      <c r="F200" s="6" t="e">
        <f aca="false">VLOOKUP(E200,$K$2:$L$426,2,FALSE())</f>
        <v>#N/A</v>
      </c>
      <c r="G200" s="1" t="str">
        <f aca="false">IF(ISNA(F200),"",F200)</f>
        <v/>
      </c>
      <c r="H200" s="5" t="str">
        <f aca="false">IF(G200&lt;&gt;"",G200,E200)</f>
        <v>42, 44, WEEZING</v>
      </c>
      <c r="K200" s="1" t="s">
        <v>398</v>
      </c>
      <c r="L200" s="1" t="s">
        <v>399</v>
      </c>
    </row>
    <row r="201" customFormat="false" ht="12.75" hidden="false" customHeight="true" outlineLevel="0" collapsed="false">
      <c r="A201" s="4" t="s">
        <v>2891</v>
      </c>
      <c r="B201" s="5" t="s">
        <v>2891</v>
      </c>
      <c r="C201" s="1" t="str">
        <f aca="false">IF(B201="NEW ROUTE",1,"")</f>
        <v/>
      </c>
      <c r="E201" s="5" t="s">
        <v>2891</v>
      </c>
      <c r="F201" s="6" t="e">
        <f aca="false">VLOOKUP(E201,$K$2:$L$426,2,FALSE())</f>
        <v>#N/A</v>
      </c>
      <c r="G201" s="1" t="str">
        <f aca="false">IF(ISNA(F201),"",F201)</f>
        <v/>
      </c>
      <c r="H201" s="5" t="str">
        <f aca="false">IF(G201&lt;&gt;"",G201,E201)</f>
        <v>42, 44, MUK</v>
      </c>
      <c r="K201" s="1" t="s">
        <v>400</v>
      </c>
      <c r="L201" s="1" t="s">
        <v>401</v>
      </c>
    </row>
    <row r="202" customFormat="false" ht="12.75" hidden="false" customHeight="true" outlineLevel="0" collapsed="false">
      <c r="A202" s="4" t="s">
        <v>2806</v>
      </c>
      <c r="B202" s="5" t="n">
        <v>0.05</v>
      </c>
      <c r="C202" s="1" t="str">
        <f aca="false">IF(B202="NEW ROUTE",1,"")</f>
        <v/>
      </c>
      <c r="E202" s="5" t="n">
        <v>0.05</v>
      </c>
      <c r="F202" s="6" t="e">
        <f aca="false">VLOOKUP(E202,$K$2:$L$426,2,FALSE())</f>
        <v>#N/A</v>
      </c>
      <c r="G202" s="1" t="str">
        <f aca="false">IF(ISNA(F202),"",F202)</f>
        <v/>
      </c>
      <c r="H202" s="5" t="n">
        <f aca="false">IF(G202&lt;&gt;"",G202,E202)</f>
        <v>0.05</v>
      </c>
      <c r="K202" s="1" t="s">
        <v>402</v>
      </c>
      <c r="L202" s="1" t="s">
        <v>403</v>
      </c>
    </row>
    <row r="203" customFormat="false" ht="12.75" hidden="false" customHeight="true" outlineLevel="0" collapsed="false">
      <c r="A203" s="4" t="s">
        <v>2892</v>
      </c>
      <c r="B203" s="5" t="s">
        <v>2892</v>
      </c>
      <c r="C203" s="1" t="str">
        <f aca="false">IF(B203="NEW ROUTE",1,"")</f>
        <v/>
      </c>
      <c r="E203" s="5" t="s">
        <v>2892</v>
      </c>
      <c r="F203" s="6" t="e">
        <f aca="false">VLOOKUP(E203,$K$2:$L$426,2,FALSE())</f>
        <v>#N/A</v>
      </c>
      <c r="G203" s="1" t="str">
        <f aca="false">IF(ISNA(F203),"",F203)</f>
        <v/>
      </c>
      <c r="H203" s="5" t="str">
        <f aca="false">IF(G203&lt;&gt;"",G203,E203)</f>
        <v>43, 45, SINGESHA</v>
      </c>
      <c r="K203" s="1" t="s">
        <v>404</v>
      </c>
      <c r="L203" s="1" t="s">
        <v>405</v>
      </c>
    </row>
    <row r="204" customFormat="false" ht="12.75" hidden="false" customHeight="true" outlineLevel="0" collapsed="false">
      <c r="A204" s="4" t="s">
        <v>2893</v>
      </c>
      <c r="B204" s="5" t="s">
        <v>2893</v>
      </c>
      <c r="C204" s="1" t="str">
        <f aca="false">IF(B204="NEW ROUTE",1,"")</f>
        <v/>
      </c>
      <c r="E204" s="5" t="s">
        <v>2893</v>
      </c>
      <c r="F204" s="6" t="e">
        <f aca="false">VLOOKUP(E204,$K$2:$L$426,2,FALSE())</f>
        <v>#N/A</v>
      </c>
      <c r="G204" s="1" t="str">
        <f aca="false">IF(ISNA(F204),"",F204)</f>
        <v/>
      </c>
      <c r="H204" s="5" t="str">
        <f aca="false">IF(G204&lt;&gt;"",G204,E204)</f>
        <v>43, 45, SPIRITALES</v>
      </c>
      <c r="K204" s="1" t="s">
        <v>406</v>
      </c>
      <c r="L204" s="1" t="s">
        <v>407</v>
      </c>
    </row>
    <row r="205" customFormat="false" ht="12.75" hidden="false" customHeight="true" outlineLevel="0" collapsed="false">
      <c r="A205" s="4" t="s">
        <v>2809</v>
      </c>
      <c r="B205" s="5" t="n">
        <v>0.04</v>
      </c>
      <c r="C205" s="1" t="str">
        <f aca="false">IF(B205="NEW ROUTE",1,"")</f>
        <v/>
      </c>
      <c r="E205" s="5" t="n">
        <v>0.04</v>
      </c>
      <c r="F205" s="6" t="e">
        <f aca="false">VLOOKUP(E205,$K$2:$L$426,2,FALSE())</f>
        <v>#N/A</v>
      </c>
      <c r="G205" s="1" t="str">
        <f aca="false">IF(ISNA(F205),"",F205)</f>
        <v/>
      </c>
      <c r="H205" s="5" t="n">
        <f aca="false">IF(G205&lt;&gt;"",G205,E205)</f>
        <v>0.04</v>
      </c>
      <c r="K205" s="1" t="s">
        <v>408</v>
      </c>
      <c r="L205" s="1" t="s">
        <v>409</v>
      </c>
    </row>
    <row r="206" customFormat="false" ht="12.75" hidden="false" customHeight="true" outlineLevel="0" collapsed="false">
      <c r="A206" s="4" t="s">
        <v>2894</v>
      </c>
      <c r="B206" s="5" t="s">
        <v>2894</v>
      </c>
      <c r="C206" s="1" t="str">
        <f aca="false">IF(B206="NEW ROUTE",1,"")</f>
        <v/>
      </c>
      <c r="E206" s="5" t="s">
        <v>2894</v>
      </c>
      <c r="F206" s="6" t="e">
        <f aca="false">VLOOKUP(E206,$K$2:$L$426,2,FALSE())</f>
        <v>#N/A</v>
      </c>
      <c r="G206" s="1" t="str">
        <f aca="false">IF(ISNA(F206),"",F206)</f>
        <v/>
      </c>
      <c r="H206" s="5" t="str">
        <f aca="false">IF(G206&lt;&gt;"",G206,E206)</f>
        <v>45, 46, GUNK</v>
      </c>
      <c r="K206" s="1" t="s">
        <v>410</v>
      </c>
      <c r="L206" s="1" t="s">
        <v>411</v>
      </c>
    </row>
    <row r="207" customFormat="false" ht="12.75" hidden="false" customHeight="true" outlineLevel="0" collapsed="false">
      <c r="A207" s="4" t="s">
        <v>2895</v>
      </c>
      <c r="B207" s="5" t="s">
        <v>2895</v>
      </c>
      <c r="C207" s="1" t="str">
        <f aca="false">IF(B207="NEW ROUTE",1,"")</f>
        <v/>
      </c>
      <c r="E207" s="5" t="s">
        <v>2895</v>
      </c>
      <c r="F207" s="6" t="e">
        <f aca="false">VLOOKUP(E207,$K$2:$L$426,2,FALSE())</f>
        <v>#N/A</v>
      </c>
      <c r="G207" s="1" t="str">
        <f aca="false">IF(ISNA(F207),"",F207)</f>
        <v/>
      </c>
      <c r="H207" s="5" t="str">
        <f aca="false">IF(G207&lt;&gt;"",G207,E207)</f>
        <v>45, 46, HEEVING</v>
      </c>
      <c r="K207" s="1" t="s">
        <v>412</v>
      </c>
      <c r="L207" s="1" t="s">
        <v>413</v>
      </c>
    </row>
    <row r="208" customFormat="false" ht="12.75" hidden="false" customHeight="true" outlineLevel="0" collapsed="false">
      <c r="A208" s="4" t="s">
        <v>2812</v>
      </c>
      <c r="B208" s="5" t="n">
        <v>0.01</v>
      </c>
      <c r="C208" s="1" t="str">
        <f aca="false">IF(B208="NEW ROUTE",1,"")</f>
        <v/>
      </c>
      <c r="E208" s="5" t="n">
        <v>0.01</v>
      </c>
      <c r="F208" s="6" t="e">
        <f aca="false">VLOOKUP(E208,$K$2:$L$426,2,FALSE())</f>
        <v>#N/A</v>
      </c>
      <c r="G208" s="1" t="str">
        <f aca="false">IF(ISNA(F208),"",F208)</f>
        <v/>
      </c>
      <c r="H208" s="5" t="n">
        <f aca="false">IF(G208&lt;&gt;"",G208,E208)</f>
        <v>0.01</v>
      </c>
      <c r="K208" s="1" t="s">
        <v>414</v>
      </c>
      <c r="L208" s="1" t="s">
        <v>415</v>
      </c>
    </row>
    <row r="209" customFormat="false" ht="12.75" hidden="false" customHeight="true" outlineLevel="0" collapsed="false">
      <c r="A209" s="4" t="s">
        <v>2896</v>
      </c>
      <c r="B209" s="5" t="s">
        <v>2896</v>
      </c>
      <c r="C209" s="1" t="str">
        <f aca="false">IF(B209="NEW ROUTE",1,"")</f>
        <v/>
      </c>
      <c r="E209" s="5" t="s">
        <v>2896</v>
      </c>
      <c r="F209" s="6" t="e">
        <f aca="false">VLOOKUP(E209,$K$2:$L$426,2,FALSE())</f>
        <v>#N/A</v>
      </c>
      <c r="G209" s="1" t="str">
        <f aca="false">IF(ISNA(F209),"",F209)</f>
        <v/>
      </c>
      <c r="H209" s="5" t="str">
        <f aca="false">IF(G209&lt;&gt;"",G209,E209)</f>
        <v>44, 47, RATTARULE</v>
      </c>
      <c r="K209" s="1" t="s">
        <v>416</v>
      </c>
      <c r="L209" s="1" t="s">
        <v>417</v>
      </c>
    </row>
    <row r="210" customFormat="false" ht="12.75" hidden="false" customHeight="true" outlineLevel="0" collapsed="false">
      <c r="A210" s="4" t="s">
        <v>3713</v>
      </c>
      <c r="B210" s="5" t="s">
        <v>3713</v>
      </c>
      <c r="C210" s="1" t="str">
        <f aca="false">IF(B210="NEW ROUTE",1,"")</f>
        <v/>
      </c>
      <c r="E210" s="5" t="s">
        <v>3713</v>
      </c>
      <c r="F210" s="6" t="e">
        <f aca="false">VLOOKUP(E210,$K$2:$L$426,2,FALSE())</f>
        <v>#N/A</v>
      </c>
      <c r="G210" s="1" t="str">
        <f aca="false">IF(ISNA(F210),"",F210)</f>
        <v/>
      </c>
      <c r="H210" s="5" t="str">
        <f aca="false">IF(G210&lt;&gt;"",G210,E210)</f>
        <v>20, 25, CHARMANDER</v>
      </c>
      <c r="K210" s="1" t="s">
        <v>418</v>
      </c>
      <c r="L210" s="1" t="s">
        <v>419</v>
      </c>
    </row>
    <row r="211" customFormat="false" ht="12.75" hidden="false" customHeight="true" outlineLevel="0" collapsed="false">
      <c r="A211" s="4" t="s">
        <v>2536</v>
      </c>
      <c r="B211" s="5" t="s">
        <v>2536</v>
      </c>
      <c r="C211" s="1" t="n">
        <f aca="false">IF(B211="NEW ROUTE",1,"")</f>
        <v>1</v>
      </c>
      <c r="E211" s="5" t="s">
        <v>2536</v>
      </c>
      <c r="F211" s="6" t="e">
        <f aca="false">VLOOKUP(E211,$K$2:$L$426,2,FALSE())</f>
        <v>#N/A</v>
      </c>
      <c r="G211" s="1" t="str">
        <f aca="false">IF(ISNA(F211),"",F211)</f>
        <v/>
      </c>
      <c r="H211" s="5" t="str">
        <f aca="false">IF(G211&lt;&gt;"",G211,E211)</f>
        <v>NEW ROUTE</v>
      </c>
      <c r="K211" s="1" t="s">
        <v>420</v>
      </c>
      <c r="L211" s="1" t="s">
        <v>421</v>
      </c>
    </row>
    <row r="212" customFormat="false" ht="12.75" hidden="false" customHeight="true" outlineLevel="0" collapsed="false">
      <c r="A212" s="4" t="s">
        <v>134</v>
      </c>
      <c r="B212" s="5" t="s">
        <v>134</v>
      </c>
      <c r="C212" s="1" t="str">
        <f aca="false">IF(B212="NEW ROUTE",1,"")</f>
        <v/>
      </c>
      <c r="E212" s="5" t="s">
        <v>134</v>
      </c>
      <c r="F212" s="6" t="str">
        <f aca="false">VLOOKUP(E212,$K$2:$L$426,2,FALSE())</f>
        <v>Pokémon Mansion 3F</v>
      </c>
      <c r="G212" s="1" t="str">
        <f aca="false">IF(ISNA(F212),"",F212)</f>
        <v>Pokémon Mansion 3F</v>
      </c>
      <c r="H212" s="5" t="str">
        <f aca="false">IF(G212&lt;&gt;"",G212,E212)</f>
        <v>Pokémon Mansion 3F</v>
      </c>
      <c r="K212" s="1" t="s">
        <v>422</v>
      </c>
      <c r="L212" s="1" t="s">
        <v>423</v>
      </c>
    </row>
    <row r="213" customFormat="false" ht="12.75" hidden="false" customHeight="true" outlineLevel="0" collapsed="false">
      <c r="A213" s="4" t="s">
        <v>2799</v>
      </c>
      <c r="B213" s="5" t="n">
        <v>0.2</v>
      </c>
      <c r="C213" s="1" t="str">
        <f aca="false">IF(B213="NEW ROUTE",1,"")</f>
        <v/>
      </c>
      <c r="E213" s="5" t="n">
        <v>0.2</v>
      </c>
      <c r="F213" s="6" t="e">
        <f aca="false">VLOOKUP(E213,$K$2:$L$426,2,FALSE())</f>
        <v>#N/A</v>
      </c>
      <c r="G213" s="1" t="str">
        <f aca="false">IF(ISNA(F213),"",F213)</f>
        <v/>
      </c>
      <c r="H213" s="5" t="n">
        <f aca="false">IF(G213&lt;&gt;"",G213,E213)</f>
        <v>0.2</v>
      </c>
      <c r="K213" s="1" t="s">
        <v>424</v>
      </c>
      <c r="L213" s="1" t="s">
        <v>425</v>
      </c>
    </row>
    <row r="214" customFormat="false" ht="12.75" hidden="false" customHeight="true" outlineLevel="0" collapsed="false">
      <c r="A214" s="4" t="s">
        <v>1311</v>
      </c>
      <c r="B214" s="5" t="s">
        <v>1311</v>
      </c>
      <c r="C214" s="1" t="str">
        <f aca="false">IF(B214="NEW ROUTE",1,"")</f>
        <v/>
      </c>
      <c r="E214" s="5" t="s">
        <v>1311</v>
      </c>
      <c r="F214" s="6" t="e">
        <f aca="false">VLOOKUP(E214,$K$2:$L$426,2,FALSE())</f>
        <v>#N/A</v>
      </c>
      <c r="G214" s="1" t="str">
        <f aca="false">IF(ISNA(F214),"",F214)</f>
        <v/>
      </c>
      <c r="H214" s="5" t="str">
        <f aca="false">IF(G214&lt;&gt;"",G214,E214)</f>
        <v>40, 44, RATTCHET</v>
      </c>
      <c r="K214" s="1" t="s">
        <v>426</v>
      </c>
      <c r="L214" s="1" t="s">
        <v>427</v>
      </c>
    </row>
    <row r="215" customFormat="false" ht="12.75" hidden="false" customHeight="true" outlineLevel="0" collapsed="false">
      <c r="A215" s="4" t="s">
        <v>2887</v>
      </c>
      <c r="B215" s="5" t="s">
        <v>2887</v>
      </c>
      <c r="C215" s="1" t="str">
        <f aca="false">IF(B215="NEW ROUTE",1,"")</f>
        <v/>
      </c>
      <c r="E215" s="5" t="s">
        <v>2887</v>
      </c>
      <c r="F215" s="6" t="e">
        <f aca="false">VLOOKUP(E215,$K$2:$L$426,2,FALSE())</f>
        <v>#N/A</v>
      </c>
      <c r="G215" s="1" t="str">
        <f aca="false">IF(ISNA(F215),"",F215)</f>
        <v/>
      </c>
      <c r="H215" s="5" t="str">
        <f aca="false">IF(G215&lt;&gt;"",G215,E215)</f>
        <v>40, 44, NINETALES</v>
      </c>
      <c r="K215" s="1" t="s">
        <v>428</v>
      </c>
      <c r="L215" s="1" t="s">
        <v>429</v>
      </c>
    </row>
    <row r="216" customFormat="false" ht="12.75" hidden="false" customHeight="true" outlineLevel="0" collapsed="false">
      <c r="A216" s="4" t="s">
        <v>2801</v>
      </c>
      <c r="B216" s="5" t="n">
        <v>0.1</v>
      </c>
      <c r="C216" s="1" t="str">
        <f aca="false">IF(B216="NEW ROUTE",1,"")</f>
        <v/>
      </c>
      <c r="E216" s="5" t="n">
        <v>0.1</v>
      </c>
      <c r="F216" s="6" t="e">
        <f aca="false">VLOOKUP(E216,$K$2:$L$426,2,FALSE())</f>
        <v>#N/A</v>
      </c>
      <c r="G216" s="1" t="str">
        <f aca="false">IF(ISNA(F216),"",F216)</f>
        <v/>
      </c>
      <c r="H216" s="5" t="n">
        <f aca="false">IF(G216&lt;&gt;"",G216,E216)</f>
        <v>0.1</v>
      </c>
      <c r="K216" s="1" t="s">
        <v>430</v>
      </c>
      <c r="L216" s="1" t="s">
        <v>431</v>
      </c>
    </row>
    <row r="217" customFormat="false" ht="12.75" hidden="false" customHeight="true" outlineLevel="0" collapsed="false">
      <c r="A217" s="4" t="s">
        <v>2888</v>
      </c>
      <c r="B217" s="5" t="s">
        <v>2888</v>
      </c>
      <c r="C217" s="1" t="str">
        <f aca="false">IF(B217="NEW ROUTE",1,"")</f>
        <v/>
      </c>
      <c r="E217" s="5" t="s">
        <v>2888</v>
      </c>
      <c r="F217" s="6" t="e">
        <f aca="false">VLOOKUP(E217,$K$2:$L$426,2,FALSE())</f>
        <v>#N/A</v>
      </c>
      <c r="G217" s="1" t="str">
        <f aca="false">IF(ISNA(F217),"",F217)</f>
        <v/>
      </c>
      <c r="H217" s="5" t="str">
        <f aca="false">IF(G217&lt;&gt;"",G217,E217)</f>
        <v>41, 42, ARCANINE</v>
      </c>
      <c r="K217" s="1" t="s">
        <v>432</v>
      </c>
      <c r="L217" s="1" t="s">
        <v>433</v>
      </c>
    </row>
    <row r="218" customFormat="false" ht="12.75" hidden="false" customHeight="true" outlineLevel="0" collapsed="false">
      <c r="A218" s="4" t="s">
        <v>2889</v>
      </c>
      <c r="B218" s="5" t="s">
        <v>2889</v>
      </c>
      <c r="C218" s="1" t="str">
        <f aca="false">IF(B218="NEW ROUTE",1,"")</f>
        <v/>
      </c>
      <c r="E218" s="5" t="s">
        <v>2889</v>
      </c>
      <c r="F218" s="6" t="e">
        <f aca="false">VLOOKUP(E218,$K$2:$L$426,2,FALSE())</f>
        <v>#N/A</v>
      </c>
      <c r="G218" s="1" t="str">
        <f aca="false">IF(ISNA(F218),"",F218)</f>
        <v/>
      </c>
      <c r="H218" s="5" t="str">
        <f aca="false">IF(G218&lt;&gt;"",G218,E218)</f>
        <v>43, 44, ARCANINE</v>
      </c>
      <c r="K218" s="1" t="s">
        <v>434</v>
      </c>
      <c r="L218" s="1" t="s">
        <v>435</v>
      </c>
    </row>
    <row r="219" customFormat="false" ht="12.75" hidden="false" customHeight="true" outlineLevel="0" collapsed="false">
      <c r="A219" s="4" t="s">
        <v>2890</v>
      </c>
      <c r="B219" s="5" t="s">
        <v>2890</v>
      </c>
      <c r="C219" s="1" t="str">
        <f aca="false">IF(B219="NEW ROUTE",1,"")</f>
        <v/>
      </c>
      <c r="E219" s="5" t="s">
        <v>2890</v>
      </c>
      <c r="F219" s="6" t="e">
        <f aca="false">VLOOKUP(E219,$K$2:$L$426,2,FALSE())</f>
        <v>#N/A</v>
      </c>
      <c r="G219" s="1" t="str">
        <f aca="false">IF(ISNA(F219),"",F219)</f>
        <v/>
      </c>
      <c r="H219" s="5" t="str">
        <f aca="false">IF(G219&lt;&gt;"",G219,E219)</f>
        <v>42, 44, WEEZING</v>
      </c>
      <c r="K219" s="1" t="s">
        <v>436</v>
      </c>
      <c r="L219" s="1" t="s">
        <v>437</v>
      </c>
    </row>
    <row r="220" customFormat="false" ht="12.75" hidden="false" customHeight="true" outlineLevel="0" collapsed="false">
      <c r="A220" s="4" t="s">
        <v>2891</v>
      </c>
      <c r="B220" s="5" t="s">
        <v>2891</v>
      </c>
      <c r="C220" s="1" t="str">
        <f aca="false">IF(B220="NEW ROUTE",1,"")</f>
        <v/>
      </c>
      <c r="E220" s="5" t="s">
        <v>2891</v>
      </c>
      <c r="F220" s="6" t="e">
        <f aca="false">VLOOKUP(E220,$K$2:$L$426,2,FALSE())</f>
        <v>#N/A</v>
      </c>
      <c r="G220" s="1" t="str">
        <f aca="false">IF(ISNA(F220),"",F220)</f>
        <v/>
      </c>
      <c r="H220" s="5" t="str">
        <f aca="false">IF(G220&lt;&gt;"",G220,E220)</f>
        <v>42, 44, MUK</v>
      </c>
      <c r="K220" s="1" t="s">
        <v>438</v>
      </c>
      <c r="L220" s="1" t="s">
        <v>439</v>
      </c>
    </row>
    <row r="221" customFormat="false" ht="12.75" hidden="false" customHeight="true" outlineLevel="0" collapsed="false">
      <c r="A221" s="4" t="s">
        <v>2806</v>
      </c>
      <c r="B221" s="5" t="n">
        <v>0.05</v>
      </c>
      <c r="C221" s="1" t="str">
        <f aca="false">IF(B221="NEW ROUTE",1,"")</f>
        <v/>
      </c>
      <c r="E221" s="5" t="n">
        <v>0.05</v>
      </c>
      <c r="F221" s="6" t="e">
        <f aca="false">VLOOKUP(E221,$K$2:$L$426,2,FALSE())</f>
        <v>#N/A</v>
      </c>
      <c r="G221" s="1" t="str">
        <f aca="false">IF(ISNA(F221),"",F221)</f>
        <v/>
      </c>
      <c r="H221" s="5" t="n">
        <f aca="false">IF(G221&lt;&gt;"",G221,E221)</f>
        <v>0.05</v>
      </c>
      <c r="K221" s="1" t="s">
        <v>440</v>
      </c>
      <c r="L221" s="1" t="s">
        <v>441</v>
      </c>
    </row>
    <row r="222" customFormat="false" ht="12.75" hidden="false" customHeight="true" outlineLevel="0" collapsed="false">
      <c r="A222" s="4" t="s">
        <v>2892</v>
      </c>
      <c r="B222" s="5" t="s">
        <v>2892</v>
      </c>
      <c r="C222" s="1" t="str">
        <f aca="false">IF(B222="NEW ROUTE",1,"")</f>
        <v/>
      </c>
      <c r="E222" s="5" t="s">
        <v>2892</v>
      </c>
      <c r="F222" s="6" t="e">
        <f aca="false">VLOOKUP(E222,$K$2:$L$426,2,FALSE())</f>
        <v>#N/A</v>
      </c>
      <c r="G222" s="1" t="str">
        <f aca="false">IF(ISNA(F222),"",F222)</f>
        <v/>
      </c>
      <c r="H222" s="5" t="str">
        <f aca="false">IF(G222&lt;&gt;"",G222,E222)</f>
        <v>43, 45, SINGESHA</v>
      </c>
      <c r="K222" s="1" t="s">
        <v>442</v>
      </c>
      <c r="L222" s="1" t="s">
        <v>443</v>
      </c>
    </row>
    <row r="223" customFormat="false" ht="12.75" hidden="false" customHeight="true" outlineLevel="0" collapsed="false">
      <c r="A223" s="4" t="s">
        <v>2893</v>
      </c>
      <c r="B223" s="5" t="s">
        <v>2893</v>
      </c>
      <c r="C223" s="1" t="str">
        <f aca="false">IF(B223="NEW ROUTE",1,"")</f>
        <v/>
      </c>
      <c r="E223" s="5" t="s">
        <v>2893</v>
      </c>
      <c r="F223" s="6" t="e">
        <f aca="false">VLOOKUP(E223,$K$2:$L$426,2,FALSE())</f>
        <v>#N/A</v>
      </c>
      <c r="G223" s="1" t="str">
        <f aca="false">IF(ISNA(F223),"",F223)</f>
        <v/>
      </c>
      <c r="H223" s="5" t="str">
        <f aca="false">IF(G223&lt;&gt;"",G223,E223)</f>
        <v>43, 45, SPIRITALES</v>
      </c>
      <c r="K223" s="1" t="s">
        <v>444</v>
      </c>
      <c r="L223" s="1" t="s">
        <v>445</v>
      </c>
    </row>
    <row r="224" customFormat="false" ht="12.75" hidden="false" customHeight="true" outlineLevel="0" collapsed="false">
      <c r="A224" s="4" t="s">
        <v>2809</v>
      </c>
      <c r="B224" s="5" t="n">
        <v>0.04</v>
      </c>
      <c r="C224" s="1" t="str">
        <f aca="false">IF(B224="NEW ROUTE",1,"")</f>
        <v/>
      </c>
      <c r="E224" s="5" t="n">
        <v>0.04</v>
      </c>
      <c r="F224" s="6" t="e">
        <f aca="false">VLOOKUP(E224,$K$2:$L$426,2,FALSE())</f>
        <v>#N/A</v>
      </c>
      <c r="G224" s="1" t="str">
        <f aca="false">IF(ISNA(F224),"",F224)</f>
        <v/>
      </c>
      <c r="H224" s="5" t="n">
        <f aca="false">IF(G224&lt;&gt;"",G224,E224)</f>
        <v>0.04</v>
      </c>
      <c r="K224" s="1" t="s">
        <v>446</v>
      </c>
      <c r="L224" s="1" t="s">
        <v>447</v>
      </c>
    </row>
    <row r="225" customFormat="false" ht="12.75" hidden="false" customHeight="true" outlineLevel="0" collapsed="false">
      <c r="A225" s="4" t="s">
        <v>2894</v>
      </c>
      <c r="B225" s="5" t="s">
        <v>2894</v>
      </c>
      <c r="C225" s="1" t="str">
        <f aca="false">IF(B225="NEW ROUTE",1,"")</f>
        <v/>
      </c>
      <c r="E225" s="5" t="s">
        <v>2894</v>
      </c>
      <c r="F225" s="6" t="e">
        <f aca="false">VLOOKUP(E225,$K$2:$L$426,2,FALSE())</f>
        <v>#N/A</v>
      </c>
      <c r="G225" s="1" t="str">
        <f aca="false">IF(ISNA(F225),"",F225)</f>
        <v/>
      </c>
      <c r="H225" s="5" t="str">
        <f aca="false">IF(G225&lt;&gt;"",G225,E225)</f>
        <v>45, 46, GUNK</v>
      </c>
      <c r="K225" s="1" t="s">
        <v>448</v>
      </c>
      <c r="L225" s="1" t="s">
        <v>449</v>
      </c>
    </row>
    <row r="226" customFormat="false" ht="12.75" hidden="false" customHeight="true" outlineLevel="0" collapsed="false">
      <c r="A226" s="4" t="s">
        <v>2895</v>
      </c>
      <c r="B226" s="5" t="s">
        <v>2895</v>
      </c>
      <c r="C226" s="1" t="str">
        <f aca="false">IF(B226="NEW ROUTE",1,"")</f>
        <v/>
      </c>
      <c r="E226" s="5" t="s">
        <v>2895</v>
      </c>
      <c r="F226" s="6" t="e">
        <f aca="false">VLOOKUP(E226,$K$2:$L$426,2,FALSE())</f>
        <v>#N/A</v>
      </c>
      <c r="G226" s="1" t="str">
        <f aca="false">IF(ISNA(F226),"",F226)</f>
        <v/>
      </c>
      <c r="H226" s="5" t="str">
        <f aca="false">IF(G226&lt;&gt;"",G226,E226)</f>
        <v>45, 46, HEEVING</v>
      </c>
      <c r="K226" s="1" t="s">
        <v>450</v>
      </c>
      <c r="L226" s="1" t="s">
        <v>451</v>
      </c>
    </row>
    <row r="227" customFormat="false" ht="12.75" hidden="false" customHeight="true" outlineLevel="0" collapsed="false">
      <c r="A227" s="4" t="s">
        <v>2812</v>
      </c>
      <c r="B227" s="5" t="n">
        <v>0.01</v>
      </c>
      <c r="C227" s="1" t="str">
        <f aca="false">IF(B227="NEW ROUTE",1,"")</f>
        <v/>
      </c>
      <c r="E227" s="5" t="n">
        <v>0.01</v>
      </c>
      <c r="F227" s="6" t="e">
        <f aca="false">VLOOKUP(E227,$K$2:$L$426,2,FALSE())</f>
        <v>#N/A</v>
      </c>
      <c r="G227" s="1" t="str">
        <f aca="false">IF(ISNA(F227),"",F227)</f>
        <v/>
      </c>
      <c r="H227" s="5" t="n">
        <f aca="false">IF(G227&lt;&gt;"",G227,E227)</f>
        <v>0.01</v>
      </c>
      <c r="K227" s="1" t="s">
        <v>452</v>
      </c>
      <c r="L227" s="1" t="s">
        <v>453</v>
      </c>
    </row>
    <row r="228" customFormat="false" ht="12.75" hidden="false" customHeight="true" outlineLevel="0" collapsed="false">
      <c r="A228" s="4" t="s">
        <v>2896</v>
      </c>
      <c r="B228" s="5" t="s">
        <v>2896</v>
      </c>
      <c r="C228" s="1" t="str">
        <f aca="false">IF(B228="NEW ROUTE",1,"")</f>
        <v/>
      </c>
      <c r="E228" s="5" t="s">
        <v>2896</v>
      </c>
      <c r="F228" s="6" t="e">
        <f aca="false">VLOOKUP(E228,$K$2:$L$426,2,FALSE())</f>
        <v>#N/A</v>
      </c>
      <c r="G228" s="1" t="str">
        <f aca="false">IF(ISNA(F228),"",F228)</f>
        <v/>
      </c>
      <c r="H228" s="5" t="str">
        <f aca="false">IF(G228&lt;&gt;"",G228,E228)</f>
        <v>44, 47, RATTARULE</v>
      </c>
      <c r="K228" s="1" t="s">
        <v>454</v>
      </c>
      <c r="L228" s="1" t="s">
        <v>455</v>
      </c>
    </row>
    <row r="229" customFormat="false" ht="12.75" hidden="false" customHeight="true" outlineLevel="0" collapsed="false">
      <c r="A229" s="4" t="s">
        <v>3713</v>
      </c>
      <c r="B229" s="5" t="s">
        <v>3713</v>
      </c>
      <c r="C229" s="1" t="str">
        <f aca="false">IF(B229="NEW ROUTE",1,"")</f>
        <v/>
      </c>
      <c r="E229" s="5" t="s">
        <v>3713</v>
      </c>
      <c r="F229" s="6" t="e">
        <f aca="false">VLOOKUP(E229,$K$2:$L$426,2,FALSE())</f>
        <v>#N/A</v>
      </c>
      <c r="G229" s="1" t="str">
        <f aca="false">IF(ISNA(F229),"",F229)</f>
        <v/>
      </c>
      <c r="H229" s="5" t="str">
        <f aca="false">IF(G229&lt;&gt;"",G229,E229)</f>
        <v>20, 25, CHARMANDER</v>
      </c>
      <c r="K229" s="1" t="s">
        <v>456</v>
      </c>
      <c r="L229" s="1" t="s">
        <v>457</v>
      </c>
    </row>
    <row r="230" customFormat="false" ht="12.75" hidden="false" customHeight="true" outlineLevel="0" collapsed="false">
      <c r="A230" s="4" t="s">
        <v>2536</v>
      </c>
      <c r="B230" s="5" t="s">
        <v>2536</v>
      </c>
      <c r="C230" s="1" t="n">
        <f aca="false">IF(B230="NEW ROUTE",1,"")</f>
        <v>1</v>
      </c>
      <c r="E230" s="5" t="s">
        <v>2536</v>
      </c>
      <c r="F230" s="6" t="e">
        <f aca="false">VLOOKUP(E230,$K$2:$L$426,2,FALSE())</f>
        <v>#N/A</v>
      </c>
      <c r="G230" s="1" t="str">
        <f aca="false">IF(ISNA(F230),"",F230)</f>
        <v/>
      </c>
      <c r="H230" s="5" t="str">
        <f aca="false">IF(G230&lt;&gt;"",G230,E230)</f>
        <v>NEW ROUTE</v>
      </c>
      <c r="K230" s="1" t="s">
        <v>458</v>
      </c>
      <c r="L230" s="1" t="s">
        <v>459</v>
      </c>
    </row>
    <row r="231" customFormat="false" ht="12.75" hidden="false" customHeight="true" outlineLevel="0" collapsed="false">
      <c r="A231" s="4" t="s">
        <v>136</v>
      </c>
      <c r="B231" s="5" t="s">
        <v>136</v>
      </c>
      <c r="C231" s="1" t="str">
        <f aca="false">IF(B231="NEW ROUTE",1,"")</f>
        <v/>
      </c>
      <c r="E231" s="5" t="s">
        <v>136</v>
      </c>
      <c r="F231" s="6" t="str">
        <f aca="false">VLOOKUP(E231,$K$2:$L$426,2,FALSE())</f>
        <v>Pokémon Mansion B1F</v>
      </c>
      <c r="G231" s="1" t="str">
        <f aca="false">IF(ISNA(F231),"",F231)</f>
        <v>Pokémon Mansion B1F</v>
      </c>
      <c r="H231" s="5" t="str">
        <f aca="false">IF(G231&lt;&gt;"",G231,E231)</f>
        <v>Pokémon Mansion B1F</v>
      </c>
      <c r="K231" s="1" t="s">
        <v>460</v>
      </c>
      <c r="L231" s="1" t="s">
        <v>461</v>
      </c>
    </row>
    <row r="232" customFormat="false" ht="12.75" hidden="false" customHeight="true" outlineLevel="0" collapsed="false">
      <c r="A232" s="4" t="s">
        <v>2799</v>
      </c>
      <c r="B232" s="5" t="n">
        <v>0.2</v>
      </c>
      <c r="C232" s="1" t="str">
        <f aca="false">IF(B232="NEW ROUTE",1,"")</f>
        <v/>
      </c>
      <c r="E232" s="5" t="n">
        <v>0.2</v>
      </c>
      <c r="F232" s="6" t="e">
        <f aca="false">VLOOKUP(E232,$K$2:$L$426,2,FALSE())</f>
        <v>#N/A</v>
      </c>
      <c r="G232" s="1" t="str">
        <f aca="false">IF(ISNA(F232),"",F232)</f>
        <v/>
      </c>
      <c r="H232" s="5" t="n">
        <f aca="false">IF(G232&lt;&gt;"",G232,E232)</f>
        <v>0.2</v>
      </c>
      <c r="K232" s="1" t="s">
        <v>462</v>
      </c>
      <c r="L232" s="1" t="s">
        <v>463</v>
      </c>
    </row>
    <row r="233" customFormat="false" ht="12.75" hidden="false" customHeight="true" outlineLevel="0" collapsed="false">
      <c r="A233" s="4" t="s">
        <v>1311</v>
      </c>
      <c r="B233" s="5" t="s">
        <v>1311</v>
      </c>
      <c r="C233" s="1" t="str">
        <f aca="false">IF(B233="NEW ROUTE",1,"")</f>
        <v/>
      </c>
      <c r="E233" s="5" t="s">
        <v>1311</v>
      </c>
      <c r="F233" s="6" t="e">
        <f aca="false">VLOOKUP(E233,$K$2:$L$426,2,FALSE())</f>
        <v>#N/A</v>
      </c>
      <c r="G233" s="1" t="str">
        <f aca="false">IF(ISNA(F233),"",F233)</f>
        <v/>
      </c>
      <c r="H233" s="5" t="str">
        <f aca="false">IF(G233&lt;&gt;"",G233,E233)</f>
        <v>40, 44, RATTCHET</v>
      </c>
      <c r="K233" s="1" t="s">
        <v>464</v>
      </c>
      <c r="L233" s="1" t="s">
        <v>465</v>
      </c>
    </row>
    <row r="234" customFormat="false" ht="12.75" hidden="false" customHeight="true" outlineLevel="0" collapsed="false">
      <c r="A234" s="4" t="s">
        <v>2887</v>
      </c>
      <c r="B234" s="5" t="s">
        <v>2887</v>
      </c>
      <c r="C234" s="1" t="str">
        <f aca="false">IF(B234="NEW ROUTE",1,"")</f>
        <v/>
      </c>
      <c r="E234" s="5" t="s">
        <v>2887</v>
      </c>
      <c r="F234" s="6" t="e">
        <f aca="false">VLOOKUP(E234,$K$2:$L$426,2,FALSE())</f>
        <v>#N/A</v>
      </c>
      <c r="G234" s="1" t="str">
        <f aca="false">IF(ISNA(F234),"",F234)</f>
        <v/>
      </c>
      <c r="H234" s="5" t="str">
        <f aca="false">IF(G234&lt;&gt;"",G234,E234)</f>
        <v>40, 44, NINETALES</v>
      </c>
      <c r="K234" s="1" t="s">
        <v>466</v>
      </c>
      <c r="L234" s="1" t="s">
        <v>467</v>
      </c>
    </row>
    <row r="235" customFormat="false" ht="12.75" hidden="false" customHeight="true" outlineLevel="0" collapsed="false">
      <c r="A235" s="4" t="s">
        <v>2801</v>
      </c>
      <c r="B235" s="5" t="n">
        <v>0.1</v>
      </c>
      <c r="C235" s="1" t="str">
        <f aca="false">IF(B235="NEW ROUTE",1,"")</f>
        <v/>
      </c>
      <c r="E235" s="5" t="n">
        <v>0.1</v>
      </c>
      <c r="F235" s="6" t="e">
        <f aca="false">VLOOKUP(E235,$K$2:$L$426,2,FALSE())</f>
        <v>#N/A</v>
      </c>
      <c r="G235" s="1" t="str">
        <f aca="false">IF(ISNA(F235),"",F235)</f>
        <v/>
      </c>
      <c r="H235" s="5" t="n">
        <f aca="false">IF(G235&lt;&gt;"",G235,E235)</f>
        <v>0.1</v>
      </c>
      <c r="K235" s="1" t="s">
        <v>468</v>
      </c>
      <c r="L235" s="1" t="s">
        <v>469</v>
      </c>
    </row>
    <row r="236" customFormat="false" ht="12.75" hidden="false" customHeight="true" outlineLevel="0" collapsed="false">
      <c r="A236" s="4" t="s">
        <v>2888</v>
      </c>
      <c r="B236" s="5" t="s">
        <v>2888</v>
      </c>
      <c r="C236" s="1" t="str">
        <f aca="false">IF(B236="NEW ROUTE",1,"")</f>
        <v/>
      </c>
      <c r="E236" s="5" t="s">
        <v>2888</v>
      </c>
      <c r="F236" s="6" t="e">
        <f aca="false">VLOOKUP(E236,$K$2:$L$426,2,FALSE())</f>
        <v>#N/A</v>
      </c>
      <c r="G236" s="1" t="str">
        <f aca="false">IF(ISNA(F236),"",F236)</f>
        <v/>
      </c>
      <c r="H236" s="5" t="str">
        <f aca="false">IF(G236&lt;&gt;"",G236,E236)</f>
        <v>41, 42, ARCANINE</v>
      </c>
      <c r="K236" s="1" t="s">
        <v>470</v>
      </c>
      <c r="L236" s="1" t="s">
        <v>471</v>
      </c>
    </row>
    <row r="237" customFormat="false" ht="12.75" hidden="false" customHeight="true" outlineLevel="0" collapsed="false">
      <c r="A237" s="4" t="s">
        <v>2889</v>
      </c>
      <c r="B237" s="5" t="s">
        <v>2889</v>
      </c>
      <c r="C237" s="1" t="str">
        <f aca="false">IF(B237="NEW ROUTE",1,"")</f>
        <v/>
      </c>
      <c r="E237" s="5" t="s">
        <v>2889</v>
      </c>
      <c r="F237" s="6" t="e">
        <f aca="false">VLOOKUP(E237,$K$2:$L$426,2,FALSE())</f>
        <v>#N/A</v>
      </c>
      <c r="G237" s="1" t="str">
        <f aca="false">IF(ISNA(F237),"",F237)</f>
        <v/>
      </c>
      <c r="H237" s="5" t="str">
        <f aca="false">IF(G237&lt;&gt;"",G237,E237)</f>
        <v>43, 44, ARCANINE</v>
      </c>
      <c r="K237" s="1" t="s">
        <v>472</v>
      </c>
      <c r="L237" s="1" t="s">
        <v>473</v>
      </c>
    </row>
    <row r="238" customFormat="false" ht="12.75" hidden="false" customHeight="true" outlineLevel="0" collapsed="false">
      <c r="A238" s="4" t="s">
        <v>2890</v>
      </c>
      <c r="B238" s="5" t="s">
        <v>2890</v>
      </c>
      <c r="C238" s="1" t="str">
        <f aca="false">IF(B238="NEW ROUTE",1,"")</f>
        <v/>
      </c>
      <c r="E238" s="5" t="s">
        <v>2890</v>
      </c>
      <c r="F238" s="6" t="e">
        <f aca="false">VLOOKUP(E238,$K$2:$L$426,2,FALSE())</f>
        <v>#N/A</v>
      </c>
      <c r="G238" s="1" t="str">
        <f aca="false">IF(ISNA(F238),"",F238)</f>
        <v/>
      </c>
      <c r="H238" s="5" t="str">
        <f aca="false">IF(G238&lt;&gt;"",G238,E238)</f>
        <v>42, 44, WEEZING</v>
      </c>
      <c r="K238" s="1" t="s">
        <v>474</v>
      </c>
      <c r="L238" s="1" t="s">
        <v>475</v>
      </c>
    </row>
    <row r="239" customFormat="false" ht="12.75" hidden="false" customHeight="true" outlineLevel="0" collapsed="false">
      <c r="A239" s="4" t="s">
        <v>2891</v>
      </c>
      <c r="B239" s="5" t="s">
        <v>2891</v>
      </c>
      <c r="C239" s="1" t="str">
        <f aca="false">IF(B239="NEW ROUTE",1,"")</f>
        <v/>
      </c>
      <c r="E239" s="5" t="s">
        <v>2891</v>
      </c>
      <c r="F239" s="6" t="e">
        <f aca="false">VLOOKUP(E239,$K$2:$L$426,2,FALSE())</f>
        <v>#N/A</v>
      </c>
      <c r="G239" s="1" t="str">
        <f aca="false">IF(ISNA(F239),"",F239)</f>
        <v/>
      </c>
      <c r="H239" s="5" t="str">
        <f aca="false">IF(G239&lt;&gt;"",G239,E239)</f>
        <v>42, 44, MUK</v>
      </c>
      <c r="K239" s="1" t="s">
        <v>476</v>
      </c>
      <c r="L239" s="1" t="s">
        <v>477</v>
      </c>
    </row>
    <row r="240" customFormat="false" ht="12.75" hidden="false" customHeight="true" outlineLevel="0" collapsed="false">
      <c r="A240" s="4" t="s">
        <v>2806</v>
      </c>
      <c r="B240" s="5" t="n">
        <v>0.05</v>
      </c>
      <c r="C240" s="1" t="str">
        <f aca="false">IF(B240="NEW ROUTE",1,"")</f>
        <v/>
      </c>
      <c r="E240" s="5" t="n">
        <v>0.05</v>
      </c>
      <c r="F240" s="6" t="e">
        <f aca="false">VLOOKUP(E240,$K$2:$L$426,2,FALSE())</f>
        <v>#N/A</v>
      </c>
      <c r="G240" s="1" t="str">
        <f aca="false">IF(ISNA(F240),"",F240)</f>
        <v/>
      </c>
      <c r="H240" s="5" t="n">
        <f aca="false">IF(G240&lt;&gt;"",G240,E240)</f>
        <v>0.05</v>
      </c>
      <c r="K240" s="1" t="s">
        <v>478</v>
      </c>
      <c r="L240" s="1" t="s">
        <v>479</v>
      </c>
    </row>
    <row r="241" customFormat="false" ht="12.75" hidden="false" customHeight="true" outlineLevel="0" collapsed="false">
      <c r="A241" s="4" t="s">
        <v>2901</v>
      </c>
      <c r="B241" s="5" t="s">
        <v>2901</v>
      </c>
      <c r="C241" s="1" t="str">
        <f aca="false">IF(B241="NEW ROUTE",1,"")</f>
        <v/>
      </c>
      <c r="E241" s="5" t="s">
        <v>2901</v>
      </c>
      <c r="F241" s="6" t="e">
        <f aca="false">VLOOKUP(E241,$K$2:$L$426,2,FALSE())</f>
        <v>#N/A</v>
      </c>
      <c r="G241" s="1" t="str">
        <f aca="false">IF(ISNA(F241),"",F241)</f>
        <v/>
      </c>
      <c r="H241" s="5" t="str">
        <f aca="false">IF(G241&lt;&gt;"",G241,E241)</f>
        <v>43, 45, GUNK</v>
      </c>
      <c r="K241" s="1" t="s">
        <v>480</v>
      </c>
      <c r="L241" s="1" t="s">
        <v>481</v>
      </c>
    </row>
    <row r="242" customFormat="false" ht="12.75" hidden="false" customHeight="true" outlineLevel="0" collapsed="false">
      <c r="A242" s="4" t="s">
        <v>2902</v>
      </c>
      <c r="B242" s="5" t="s">
        <v>2902</v>
      </c>
      <c r="C242" s="1" t="str">
        <f aca="false">IF(B242="NEW ROUTE",1,"")</f>
        <v/>
      </c>
      <c r="E242" s="5" t="s">
        <v>2902</v>
      </c>
      <c r="F242" s="6" t="e">
        <f aca="false">VLOOKUP(E242,$K$2:$L$426,2,FALSE())</f>
        <v>#N/A</v>
      </c>
      <c r="G242" s="1" t="str">
        <f aca="false">IF(ISNA(F242),"",F242)</f>
        <v/>
      </c>
      <c r="H242" s="5" t="str">
        <f aca="false">IF(G242&lt;&gt;"",G242,E242)</f>
        <v>43, 45, HEEVING</v>
      </c>
      <c r="K242" s="1" t="s">
        <v>482</v>
      </c>
      <c r="L242" s="1" t="s">
        <v>483</v>
      </c>
    </row>
    <row r="243" customFormat="false" ht="12.75" hidden="false" customHeight="true" outlineLevel="0" collapsed="false">
      <c r="A243" s="4" t="s">
        <v>2809</v>
      </c>
      <c r="B243" s="5" t="n">
        <v>0.04</v>
      </c>
      <c r="C243" s="1" t="str">
        <f aca="false">IF(B243="NEW ROUTE",1,"")</f>
        <v/>
      </c>
      <c r="E243" s="5" t="n">
        <v>0.04</v>
      </c>
      <c r="F243" s="6" t="e">
        <f aca="false">VLOOKUP(E243,$K$2:$L$426,2,FALSE())</f>
        <v>#N/A</v>
      </c>
      <c r="G243" s="1" t="str">
        <f aca="false">IF(ISNA(F243),"",F243)</f>
        <v/>
      </c>
      <c r="H243" s="5" t="n">
        <f aca="false">IF(G243&lt;&gt;"",G243,E243)</f>
        <v>0.04</v>
      </c>
      <c r="K243" s="1" t="s">
        <v>484</v>
      </c>
      <c r="L243" s="1" t="s">
        <v>485</v>
      </c>
    </row>
    <row r="244" customFormat="false" ht="12.75" hidden="false" customHeight="true" outlineLevel="0" collapsed="false">
      <c r="A244" s="4" t="s">
        <v>2903</v>
      </c>
      <c r="B244" s="5" t="s">
        <v>2903</v>
      </c>
      <c r="C244" s="1" t="str">
        <f aca="false">IF(B244="NEW ROUTE",1,"")</f>
        <v/>
      </c>
      <c r="E244" s="5" t="s">
        <v>2903</v>
      </c>
      <c r="F244" s="6" t="e">
        <f aca="false">VLOOKUP(E244,$K$2:$L$426,2,FALSE())</f>
        <v>#N/A</v>
      </c>
      <c r="G244" s="1" t="str">
        <f aca="false">IF(ISNA(F244),"",F244)</f>
        <v/>
      </c>
      <c r="H244" s="5" t="str">
        <f aca="false">IF(G244&lt;&gt;"",G244,E244)</f>
        <v>45, 46, RATTARULE</v>
      </c>
      <c r="K244" s="1" t="s">
        <v>486</v>
      </c>
      <c r="L244" s="1" t="s">
        <v>487</v>
      </c>
    </row>
    <row r="245" customFormat="false" ht="12.75" hidden="false" customHeight="true" outlineLevel="0" collapsed="false">
      <c r="A245" s="4" t="s">
        <v>2904</v>
      </c>
      <c r="B245" s="5" t="s">
        <v>2904</v>
      </c>
      <c r="C245" s="1" t="str">
        <f aca="false">IF(B245="NEW ROUTE",1,"")</f>
        <v/>
      </c>
      <c r="E245" s="5" t="s">
        <v>2904</v>
      </c>
      <c r="F245" s="6" t="e">
        <f aca="false">VLOOKUP(E245,$K$2:$L$426,2,FALSE())</f>
        <v>#N/A</v>
      </c>
      <c r="G245" s="1" t="str">
        <f aca="false">IF(ISNA(F245),"",F245)</f>
        <v/>
      </c>
      <c r="H245" s="5" t="str">
        <f aca="false">IF(G245&lt;&gt;"",G245,E245)</f>
        <v>45, 46, DITTO</v>
      </c>
      <c r="K245" s="1" t="s">
        <v>488</v>
      </c>
      <c r="L245" s="1" t="s">
        <v>489</v>
      </c>
    </row>
    <row r="246" customFormat="false" ht="12.75" hidden="false" customHeight="true" outlineLevel="0" collapsed="false">
      <c r="A246" s="4" t="s">
        <v>2812</v>
      </c>
      <c r="B246" s="5" t="n">
        <v>0.01</v>
      </c>
      <c r="C246" s="1" t="str">
        <f aca="false">IF(B246="NEW ROUTE",1,"")</f>
        <v/>
      </c>
      <c r="E246" s="5" t="n">
        <v>0.01</v>
      </c>
      <c r="F246" s="6" t="e">
        <f aca="false">VLOOKUP(E246,$K$2:$L$426,2,FALSE())</f>
        <v>#N/A</v>
      </c>
      <c r="G246" s="1" t="str">
        <f aca="false">IF(ISNA(F246),"",F246)</f>
        <v/>
      </c>
      <c r="H246" s="5" t="n">
        <f aca="false">IF(G246&lt;&gt;"",G246,E246)</f>
        <v>0.01</v>
      </c>
      <c r="K246" s="1" t="s">
        <v>490</v>
      </c>
      <c r="L246" s="1" t="s">
        <v>491</v>
      </c>
    </row>
    <row r="247" customFormat="false" ht="12.75" hidden="false" customHeight="true" outlineLevel="0" collapsed="false">
      <c r="A247" s="4" t="s">
        <v>2905</v>
      </c>
      <c r="B247" s="5" t="s">
        <v>2905</v>
      </c>
      <c r="C247" s="1" t="str">
        <f aca="false">IF(B247="NEW ROUTE",1,"")</f>
        <v/>
      </c>
      <c r="E247" s="5" t="s">
        <v>2905</v>
      </c>
      <c r="F247" s="6" t="e">
        <f aca="false">VLOOKUP(E247,$K$2:$L$426,2,FALSE())</f>
        <v>#N/A</v>
      </c>
      <c r="G247" s="1" t="str">
        <f aca="false">IF(ISNA(F247),"",F247)</f>
        <v/>
      </c>
      <c r="H247" s="5" t="str">
        <f aca="false">IF(G247&lt;&gt;"",G247,E247)</f>
        <v>20, 25, KABUTO</v>
      </c>
      <c r="K247" s="1" t="s">
        <v>492</v>
      </c>
      <c r="L247" s="1" t="s">
        <v>493</v>
      </c>
    </row>
    <row r="248" customFormat="false" ht="12.75" hidden="false" customHeight="true" outlineLevel="0" collapsed="false">
      <c r="A248" s="4" t="s">
        <v>3714</v>
      </c>
      <c r="B248" s="5" t="s">
        <v>3714</v>
      </c>
      <c r="C248" s="1" t="str">
        <f aca="false">IF(B248="NEW ROUTE",1,"")</f>
        <v/>
      </c>
      <c r="E248" s="5" t="s">
        <v>3714</v>
      </c>
      <c r="F248" s="6" t="e">
        <f aca="false">VLOOKUP(E248,$K$2:$L$426,2,FALSE())</f>
        <v>#N/A</v>
      </c>
      <c r="G248" s="1" t="str">
        <f aca="false">IF(ISNA(F248),"",F248)</f>
        <v/>
      </c>
      <c r="H248" s="5" t="str">
        <f aca="false">IF(G248&lt;&gt;"",G248,E248)</f>
        <v>20, 25, OMANYTE</v>
      </c>
      <c r="K248" s="1" t="s">
        <v>494</v>
      </c>
      <c r="L248" s="1" t="s">
        <v>495</v>
      </c>
    </row>
    <row r="249" customFormat="false" ht="12.75" hidden="false" customHeight="true" outlineLevel="0" collapsed="false">
      <c r="A249" s="4" t="s">
        <v>2536</v>
      </c>
      <c r="B249" s="5" t="s">
        <v>2536</v>
      </c>
      <c r="C249" s="1" t="n">
        <f aca="false">IF(B249="NEW ROUTE",1,"")</f>
        <v>1</v>
      </c>
      <c r="E249" s="5" t="s">
        <v>2536</v>
      </c>
      <c r="F249" s="6" t="e">
        <f aca="false">VLOOKUP(E249,$K$2:$L$426,2,FALSE())</f>
        <v>#N/A</v>
      </c>
      <c r="G249" s="1" t="str">
        <f aca="false">IF(ISNA(F249),"",F249)</f>
        <v/>
      </c>
      <c r="H249" s="5" t="str">
        <f aca="false">IF(G249&lt;&gt;"",G249,E249)</f>
        <v>NEW ROUTE</v>
      </c>
      <c r="K249" s="1" t="s">
        <v>496</v>
      </c>
      <c r="L249" s="1" t="s">
        <v>497</v>
      </c>
    </row>
    <row r="250" customFormat="false" ht="12.75" hidden="false" customHeight="true" outlineLevel="0" collapsed="false">
      <c r="A250" s="4" t="s">
        <v>138</v>
      </c>
      <c r="B250" s="5" t="s">
        <v>138</v>
      </c>
      <c r="C250" s="1" t="str">
        <f aca="false">IF(B250="NEW ROUTE",1,"")</f>
        <v/>
      </c>
      <c r="E250" s="5" t="s">
        <v>138</v>
      </c>
      <c r="F250" s="6" t="str">
        <f aca="false">VLOOKUP(E250,$K$2:$L$426,2,FALSE())</f>
        <v>Safari Zone Center</v>
      </c>
      <c r="G250" s="1" t="str">
        <f aca="false">IF(ISNA(F250),"",F250)</f>
        <v>Safari Zone Center</v>
      </c>
      <c r="H250" s="5" t="str">
        <f aca="false">IF(G250&lt;&gt;"",G250,E250)</f>
        <v>Safari Zone Center</v>
      </c>
      <c r="K250" s="1" t="s">
        <v>498</v>
      </c>
      <c r="L250" s="1" t="s">
        <v>499</v>
      </c>
    </row>
    <row r="251" customFormat="false" ht="12.75" hidden="false" customHeight="true" outlineLevel="0" collapsed="false">
      <c r="A251" s="4" t="s">
        <v>2799</v>
      </c>
      <c r="B251" s="5" t="n">
        <v>0.2</v>
      </c>
      <c r="C251" s="1" t="str">
        <f aca="false">IF(B251="NEW ROUTE",1,"")</f>
        <v/>
      </c>
      <c r="E251" s="5" t="n">
        <v>0.2</v>
      </c>
      <c r="F251" s="6" t="e">
        <f aca="false">VLOOKUP(E251,$K$2:$L$426,2,FALSE())</f>
        <v>#N/A</v>
      </c>
      <c r="G251" s="1" t="str">
        <f aca="false">IF(ISNA(F251),"",F251)</f>
        <v/>
      </c>
      <c r="H251" s="5" t="n">
        <f aca="false">IF(G251&lt;&gt;"",G251,E251)</f>
        <v>0.2</v>
      </c>
      <c r="K251" s="1" t="s">
        <v>500</v>
      </c>
      <c r="L251" s="1" t="s">
        <v>501</v>
      </c>
    </row>
    <row r="252" customFormat="false" ht="12.75" hidden="false" customHeight="true" outlineLevel="0" collapsed="false">
      <c r="A252" s="4" t="s">
        <v>1333</v>
      </c>
      <c r="B252" s="5" t="s">
        <v>1333</v>
      </c>
      <c r="C252" s="1" t="str">
        <f aca="false">IF(B252="NEW ROUTE",1,"")</f>
        <v/>
      </c>
      <c r="E252" s="5" t="s">
        <v>1333</v>
      </c>
      <c r="F252" s="6" t="e">
        <f aca="false">VLOOKUP(E252,$K$2:$L$426,2,FALSE())</f>
        <v>#N/A</v>
      </c>
      <c r="G252" s="1" t="str">
        <f aca="false">IF(ISNA(F252),"",F252)</f>
        <v/>
      </c>
      <c r="H252" s="5" t="str">
        <f aca="false">IF(G252&lt;&gt;"",G252,E252)</f>
        <v>35, 40, NIDOKING</v>
      </c>
      <c r="K252" s="1" t="s">
        <v>502</v>
      </c>
      <c r="L252" s="1" t="s">
        <v>503</v>
      </c>
    </row>
    <row r="253" customFormat="false" ht="12.75" hidden="false" customHeight="true" outlineLevel="0" collapsed="false">
      <c r="A253" s="4" t="s">
        <v>2909</v>
      </c>
      <c r="B253" s="5" t="s">
        <v>2909</v>
      </c>
      <c r="C253" s="1" t="str">
        <f aca="false">IF(B253="NEW ROUTE",1,"")</f>
        <v/>
      </c>
      <c r="E253" s="5" t="s">
        <v>2909</v>
      </c>
      <c r="F253" s="6" t="e">
        <f aca="false">VLOOKUP(E253,$K$2:$L$426,2,FALSE())</f>
        <v>#N/A</v>
      </c>
      <c r="G253" s="1" t="str">
        <f aca="false">IF(ISNA(F253),"",F253)</f>
        <v/>
      </c>
      <c r="H253" s="5" t="str">
        <f aca="false">IF(G253&lt;&gt;"",G253,E253)</f>
        <v>35, 40, NIDOQUEEN</v>
      </c>
      <c r="K253" s="1" t="s">
        <v>504</v>
      </c>
      <c r="L253" s="1" t="s">
        <v>505</v>
      </c>
    </row>
    <row r="254" customFormat="false" ht="12.75" hidden="false" customHeight="true" outlineLevel="0" collapsed="false">
      <c r="A254" s="4" t="s">
        <v>2801</v>
      </c>
      <c r="B254" s="5" t="n">
        <v>0.1</v>
      </c>
      <c r="C254" s="1" t="str">
        <f aca="false">IF(B254="NEW ROUTE",1,"")</f>
        <v/>
      </c>
      <c r="E254" s="5" t="n">
        <v>0.1</v>
      </c>
      <c r="F254" s="6" t="e">
        <f aca="false">VLOOKUP(E254,$K$2:$L$426,2,FALSE())</f>
        <v>#N/A</v>
      </c>
      <c r="G254" s="1" t="str">
        <f aca="false">IF(ISNA(F254),"",F254)</f>
        <v/>
      </c>
      <c r="H254" s="5" t="n">
        <f aca="false">IF(G254&lt;&gt;"",G254,E254)</f>
        <v>0.1</v>
      </c>
      <c r="K254" s="1" t="s">
        <v>506</v>
      </c>
      <c r="L254" s="1" t="s">
        <v>507</v>
      </c>
    </row>
    <row r="255" customFormat="false" ht="12.75" hidden="false" customHeight="true" outlineLevel="0" collapsed="false">
      <c r="A255" s="4" t="s">
        <v>2910</v>
      </c>
      <c r="B255" s="5" t="s">
        <v>2910</v>
      </c>
      <c r="C255" s="1" t="str">
        <f aca="false">IF(B255="NEW ROUTE",1,"")</f>
        <v/>
      </c>
      <c r="E255" s="5" t="s">
        <v>2910</v>
      </c>
      <c r="F255" s="6" t="e">
        <f aca="false">VLOOKUP(E255,$K$2:$L$426,2,FALSE())</f>
        <v>#N/A</v>
      </c>
      <c r="G255" s="1" t="str">
        <f aca="false">IF(ISNA(F255),"",F255)</f>
        <v/>
      </c>
      <c r="H255" s="5" t="str">
        <f aca="false">IF(G255&lt;&gt;"",G255,E255)</f>
        <v>36, 41, PARASECT</v>
      </c>
      <c r="K255" s="1" t="s">
        <v>508</v>
      </c>
      <c r="L255" s="1" t="s">
        <v>509</v>
      </c>
    </row>
    <row r="256" customFormat="false" ht="12.75" hidden="false" customHeight="true" outlineLevel="0" collapsed="false">
      <c r="A256" s="4" t="s">
        <v>2911</v>
      </c>
      <c r="B256" s="5" t="s">
        <v>2911</v>
      </c>
      <c r="C256" s="1" t="str">
        <f aca="false">IF(B256="NEW ROUTE",1,"")</f>
        <v/>
      </c>
      <c r="E256" s="5" t="s">
        <v>2911</v>
      </c>
      <c r="F256" s="6" t="e">
        <f aca="false">VLOOKUP(E256,$K$2:$L$426,2,FALSE())</f>
        <v>#N/A</v>
      </c>
      <c r="G256" s="1" t="str">
        <f aca="false">IF(ISNA(F256),"",F256)</f>
        <v/>
      </c>
      <c r="H256" s="5" t="str">
        <f aca="false">IF(G256&lt;&gt;"",G256,E256)</f>
        <v>36, 41, VENOMOTH</v>
      </c>
      <c r="K256" s="1" t="s">
        <v>510</v>
      </c>
      <c r="L256" s="1" t="s">
        <v>511</v>
      </c>
    </row>
    <row r="257" customFormat="false" ht="12.75" hidden="false" customHeight="true" outlineLevel="0" collapsed="false">
      <c r="A257" s="4" t="s">
        <v>2912</v>
      </c>
      <c r="B257" s="5" t="s">
        <v>2912</v>
      </c>
      <c r="C257" s="1" t="str">
        <f aca="false">IF(B257="NEW ROUTE",1,"")</f>
        <v/>
      </c>
      <c r="E257" s="5" t="s">
        <v>2912</v>
      </c>
      <c r="F257" s="6" t="e">
        <f aca="false">VLOOKUP(E257,$K$2:$L$426,2,FALSE())</f>
        <v>#N/A</v>
      </c>
      <c r="G257" s="1" t="str">
        <f aca="false">IF(ISNA(F257),"",F257)</f>
        <v/>
      </c>
      <c r="H257" s="5" t="str">
        <f aca="false">IF(G257&lt;&gt;"",G257,E257)</f>
        <v>36, 41, EXEGGUTOR</v>
      </c>
      <c r="K257" s="1" t="s">
        <v>512</v>
      </c>
      <c r="L257" s="1" t="s">
        <v>513</v>
      </c>
    </row>
    <row r="258" customFormat="false" ht="12.75" hidden="false" customHeight="true" outlineLevel="0" collapsed="false">
      <c r="A258" s="4" t="s">
        <v>2913</v>
      </c>
      <c r="B258" s="5" t="s">
        <v>2913</v>
      </c>
      <c r="C258" s="1" t="str">
        <f aca="false">IF(B258="NEW ROUTE",1,"")</f>
        <v/>
      </c>
      <c r="E258" s="5" t="s">
        <v>2913</v>
      </c>
      <c r="F258" s="6" t="e">
        <f aca="false">VLOOKUP(E258,$K$2:$L$426,2,FALSE())</f>
        <v>#N/A</v>
      </c>
      <c r="G258" s="1" t="str">
        <f aca="false">IF(ISNA(F258),"",F258)</f>
        <v/>
      </c>
      <c r="H258" s="5" t="str">
        <f aca="false">IF(G258&lt;&gt;"",G258,E258)</f>
        <v>36, 41, RHYDON</v>
      </c>
      <c r="K258" s="1" t="s">
        <v>514</v>
      </c>
      <c r="L258" s="1" t="s">
        <v>515</v>
      </c>
    </row>
    <row r="259" customFormat="false" ht="12.75" hidden="false" customHeight="true" outlineLevel="0" collapsed="false">
      <c r="A259" s="4" t="s">
        <v>2806</v>
      </c>
      <c r="B259" s="5" t="n">
        <v>0.05</v>
      </c>
      <c r="C259" s="1" t="str">
        <f aca="false">IF(B259="NEW ROUTE",1,"")</f>
        <v/>
      </c>
      <c r="E259" s="5" t="n">
        <v>0.05</v>
      </c>
      <c r="F259" s="6" t="e">
        <f aca="false">VLOOKUP(E259,$K$2:$L$426,2,FALSE())</f>
        <v>#N/A</v>
      </c>
      <c r="G259" s="1" t="str">
        <f aca="false">IF(ISNA(F259),"",F259)</f>
        <v/>
      </c>
      <c r="H259" s="5" t="n">
        <f aca="false">IF(G259&lt;&gt;"",G259,E259)</f>
        <v>0.05</v>
      </c>
      <c r="K259" s="1" t="s">
        <v>516</v>
      </c>
      <c r="L259" s="1" t="s">
        <v>517</v>
      </c>
    </row>
    <row r="260" customFormat="false" ht="12.75" hidden="false" customHeight="true" outlineLevel="0" collapsed="false">
      <c r="A260" s="4" t="s">
        <v>2914</v>
      </c>
      <c r="B260" s="5" t="s">
        <v>2914</v>
      </c>
      <c r="C260" s="1" t="str">
        <f aca="false">IF(B260="NEW ROUTE",1,"")</f>
        <v/>
      </c>
      <c r="E260" s="5" t="s">
        <v>2914</v>
      </c>
      <c r="F260" s="6" t="e">
        <f aca="false">VLOOKUP(E260,$K$2:$L$426,2,FALSE())</f>
        <v>#N/A</v>
      </c>
      <c r="G260" s="1" t="str">
        <f aca="false">IF(ISNA(F260),"",F260)</f>
        <v/>
      </c>
      <c r="H260" s="5" t="str">
        <f aca="false">IF(G260&lt;&gt;"",G260,E260)</f>
        <v>37, 39, SCIZOR</v>
      </c>
      <c r="K260" s="1" t="s">
        <v>518</v>
      </c>
      <c r="L260" s="1" t="s">
        <v>519</v>
      </c>
    </row>
    <row r="261" customFormat="false" ht="12.75" hidden="false" customHeight="true" outlineLevel="0" collapsed="false">
      <c r="A261" s="4" t="s">
        <v>2915</v>
      </c>
      <c r="B261" s="5" t="s">
        <v>2915</v>
      </c>
      <c r="C261" s="1" t="str">
        <f aca="false">IF(B261="NEW ROUTE",1,"")</f>
        <v/>
      </c>
      <c r="E261" s="5" t="s">
        <v>2915</v>
      </c>
      <c r="F261" s="6" t="e">
        <f aca="false">VLOOKUP(E261,$K$2:$L$426,2,FALSE())</f>
        <v>#N/A</v>
      </c>
      <c r="G261" s="1" t="str">
        <f aca="false">IF(ISNA(F261),"",F261)</f>
        <v/>
      </c>
      <c r="H261" s="5" t="str">
        <f aca="false">IF(G261&lt;&gt;"",G261,E261)</f>
        <v>37, 39, PINSIRIOR</v>
      </c>
      <c r="K261" s="1" t="s">
        <v>520</v>
      </c>
      <c r="L261" s="1" t="s">
        <v>521</v>
      </c>
    </row>
    <row r="262" customFormat="false" ht="12.75" hidden="false" customHeight="true" outlineLevel="0" collapsed="false">
      <c r="A262" s="4" t="s">
        <v>2809</v>
      </c>
      <c r="B262" s="5" t="n">
        <v>0.04</v>
      </c>
      <c r="C262" s="1" t="str">
        <f aca="false">IF(B262="NEW ROUTE",1,"")</f>
        <v/>
      </c>
      <c r="E262" s="5" t="n">
        <v>0.04</v>
      </c>
      <c r="F262" s="6" t="e">
        <f aca="false">VLOOKUP(E262,$K$2:$L$426,2,FALSE())</f>
        <v>#N/A</v>
      </c>
      <c r="G262" s="1" t="str">
        <f aca="false">IF(ISNA(F262),"",F262)</f>
        <v/>
      </c>
      <c r="H262" s="5" t="n">
        <f aca="false">IF(G262&lt;&gt;"",G262,E262)</f>
        <v>0.04</v>
      </c>
      <c r="K262" s="1" t="s">
        <v>522</v>
      </c>
      <c r="L262" s="1" t="s">
        <v>523</v>
      </c>
    </row>
    <row r="263" customFormat="false" ht="12.75" hidden="false" customHeight="true" outlineLevel="0" collapsed="false">
      <c r="A263" s="4" t="s">
        <v>2916</v>
      </c>
      <c r="B263" s="5" t="s">
        <v>2916</v>
      </c>
      <c r="C263" s="1" t="str">
        <f aca="false">IF(B263="NEW ROUTE",1,"")</f>
        <v/>
      </c>
      <c r="E263" s="5" t="s">
        <v>2916</v>
      </c>
      <c r="F263" s="6" t="e">
        <f aca="false">VLOOKUP(E263,$K$2:$L$426,2,FALSE())</f>
        <v>#N/A</v>
      </c>
      <c r="G263" s="1" t="str">
        <f aca="false">IF(ISNA(F263),"",F263)</f>
        <v/>
      </c>
      <c r="H263" s="5" t="str">
        <f aca="false">IF(G263&lt;&gt;"",G263,E263)</f>
        <v>38, 42, CHANSEY</v>
      </c>
      <c r="K263" s="1" t="s">
        <v>524</v>
      </c>
      <c r="L263" s="1" t="s">
        <v>525</v>
      </c>
    </row>
    <row r="264" customFormat="false" ht="12.75" hidden="false" customHeight="true" outlineLevel="0" collapsed="false">
      <c r="A264" s="4" t="s">
        <v>2917</v>
      </c>
      <c r="B264" s="5" t="s">
        <v>2917</v>
      </c>
      <c r="C264" s="1" t="str">
        <f aca="false">IF(B264="NEW ROUTE",1,"")</f>
        <v/>
      </c>
      <c r="E264" s="5" t="s">
        <v>2917</v>
      </c>
      <c r="F264" s="6" t="e">
        <f aca="false">VLOOKUP(E264,$K$2:$L$426,2,FALSE())</f>
        <v>#N/A</v>
      </c>
      <c r="G264" s="1" t="str">
        <f aca="false">IF(ISNA(F264),"",F264)</f>
        <v/>
      </c>
      <c r="H264" s="5" t="str">
        <f aca="false">IF(G264&lt;&gt;"",G264,E264)</f>
        <v>38, 42, JOLTEON</v>
      </c>
      <c r="K264" s="1" t="s">
        <v>526</v>
      </c>
      <c r="L264" s="1" t="s">
        <v>527</v>
      </c>
    </row>
    <row r="265" customFormat="false" ht="12.75" hidden="false" customHeight="true" outlineLevel="0" collapsed="false">
      <c r="A265" s="4" t="s">
        <v>2812</v>
      </c>
      <c r="B265" s="5" t="n">
        <v>0.01</v>
      </c>
      <c r="C265" s="1" t="str">
        <f aca="false">IF(B265="NEW ROUTE",1,"")</f>
        <v/>
      </c>
      <c r="E265" s="5" t="n">
        <v>0.01</v>
      </c>
      <c r="F265" s="6" t="e">
        <f aca="false">VLOOKUP(E265,$K$2:$L$426,2,FALSE())</f>
        <v>#N/A</v>
      </c>
      <c r="G265" s="1" t="str">
        <f aca="false">IF(ISNA(F265),"",F265)</f>
        <v/>
      </c>
      <c r="H265" s="5" t="n">
        <f aca="false">IF(G265&lt;&gt;"",G265,E265)</f>
        <v>0.01</v>
      </c>
      <c r="K265" s="1" t="s">
        <v>528</v>
      </c>
      <c r="L265" s="1" t="s">
        <v>529</v>
      </c>
    </row>
    <row r="266" customFormat="false" ht="12.75" hidden="false" customHeight="true" outlineLevel="0" collapsed="false">
      <c r="A266" s="4" t="s">
        <v>2918</v>
      </c>
      <c r="B266" s="5" t="s">
        <v>2918</v>
      </c>
      <c r="C266" s="1" t="str">
        <f aca="false">IF(B266="NEW ROUTE",1,"")</f>
        <v/>
      </c>
      <c r="E266" s="5" t="s">
        <v>2918</v>
      </c>
      <c r="F266" s="6" t="e">
        <f aca="false">VLOOKUP(E266,$K$2:$L$426,2,FALSE())</f>
        <v>#N/A</v>
      </c>
      <c r="G266" s="1" t="str">
        <f aca="false">IF(ISNA(F266),"",F266)</f>
        <v/>
      </c>
      <c r="H266" s="5" t="str">
        <f aca="false">IF(G266&lt;&gt;"",G266,E266)</f>
        <v>40, 40, BLISSEY</v>
      </c>
      <c r="K266" s="1" t="s">
        <v>530</v>
      </c>
      <c r="L266" s="1" t="s">
        <v>531</v>
      </c>
    </row>
    <row r="267" customFormat="false" ht="12.75" hidden="false" customHeight="true" outlineLevel="0" collapsed="false">
      <c r="A267" s="4" t="s">
        <v>2919</v>
      </c>
      <c r="B267" s="5" t="s">
        <v>2919</v>
      </c>
      <c r="C267" s="1" t="str">
        <f aca="false">IF(B267="NEW ROUTE",1,"")</f>
        <v/>
      </c>
      <c r="E267" s="5" t="s">
        <v>2919</v>
      </c>
      <c r="F267" s="6" t="e">
        <f aca="false">VLOOKUP(E267,$K$2:$L$426,2,FALSE())</f>
        <v>#N/A</v>
      </c>
      <c r="G267" s="1" t="str">
        <f aca="false">IF(ISNA(F267),"",F267)</f>
        <v/>
      </c>
      <c r="H267" s="5" t="str">
        <f aca="false">IF(G267&lt;&gt;"",G267,E267)</f>
        <v>40, 40, RHYPERIOR</v>
      </c>
      <c r="K267" s="1" t="s">
        <v>532</v>
      </c>
      <c r="L267" s="1" t="s">
        <v>533</v>
      </c>
    </row>
    <row r="268" customFormat="false" ht="12.75" hidden="false" customHeight="true" outlineLevel="0" collapsed="false">
      <c r="A268" s="4" t="s">
        <v>2920</v>
      </c>
      <c r="B268" s="5" t="s">
        <v>2920</v>
      </c>
      <c r="C268" s="1" t="str">
        <f aca="false">IF(B268="NEW ROUTE",1,"")</f>
        <v/>
      </c>
      <c r="E268" s="5" t="s">
        <v>2920</v>
      </c>
      <c r="F268" s="6" t="e">
        <f aca="false">VLOOKUP(E268,$K$2:$L$426,2,FALSE())</f>
        <v>#N/A</v>
      </c>
      <c r="G268" s="1" t="str">
        <f aca="false">IF(ISNA(F268),"",F268)</f>
        <v/>
      </c>
      <c r="H268" s="5" t="str">
        <f aca="false">IF(G268&lt;&gt;"",G268,E268)</f>
        <v>2, 38, 42, SLOWPOKE</v>
      </c>
      <c r="K268" s="1" t="s">
        <v>534</v>
      </c>
      <c r="L268" s="1" t="s">
        <v>535</v>
      </c>
    </row>
    <row r="269" customFormat="false" ht="12.75" hidden="false" customHeight="true" outlineLevel="0" collapsed="false">
      <c r="A269" s="4" t="s">
        <v>2921</v>
      </c>
      <c r="B269" s="5" t="s">
        <v>2921</v>
      </c>
      <c r="C269" s="1" t="str">
        <f aca="false">IF(B269="NEW ROUTE",1,"")</f>
        <v/>
      </c>
      <c r="E269" s="5" t="s">
        <v>2921</v>
      </c>
      <c r="F269" s="6" t="e">
        <f aca="false">VLOOKUP(E269,$K$2:$L$426,2,FALSE())</f>
        <v>#N/A</v>
      </c>
      <c r="G269" s="1" t="str">
        <f aca="false">IF(ISNA(F269),"",F269)</f>
        <v/>
      </c>
      <c r="H269" s="5" t="str">
        <f aca="false">IF(G269&lt;&gt;"",G269,E269)</f>
        <v>40, 42, PSYDUCK</v>
      </c>
      <c r="K269" s="1" t="s">
        <v>536</v>
      </c>
      <c r="L269" s="1" t="s">
        <v>537</v>
      </c>
    </row>
    <row r="270" customFormat="false" ht="12.75" hidden="false" customHeight="true" outlineLevel="0" collapsed="false">
      <c r="A270" s="4" t="s">
        <v>2922</v>
      </c>
      <c r="B270" s="5" t="s">
        <v>2922</v>
      </c>
      <c r="C270" s="1" t="str">
        <f aca="false">IF(B270="NEW ROUTE",1,"")</f>
        <v/>
      </c>
      <c r="E270" s="5" t="s">
        <v>2922</v>
      </c>
      <c r="F270" s="6" t="e">
        <f aca="false">VLOOKUP(E270,$K$2:$L$426,2,FALSE())</f>
        <v>#N/A</v>
      </c>
      <c r="G270" s="1" t="str">
        <f aca="false">IF(ISNA(F270),"",F270)</f>
        <v/>
      </c>
      <c r="H270" s="5" t="str">
        <f aca="false">IF(G270&lt;&gt;"",G270,E270)</f>
        <v>42, 46, SLOWBRO</v>
      </c>
      <c r="K270" s="1" t="s">
        <v>538</v>
      </c>
      <c r="L270" s="1" t="s">
        <v>539</v>
      </c>
    </row>
    <row r="271" customFormat="false" ht="12.75" hidden="false" customHeight="true" outlineLevel="0" collapsed="false">
      <c r="A271" s="4" t="s">
        <v>2923</v>
      </c>
      <c r="B271" s="5" t="s">
        <v>2923</v>
      </c>
      <c r="C271" s="1" t="str">
        <f aca="false">IF(B271="NEW ROUTE",1,"")</f>
        <v/>
      </c>
      <c r="E271" s="5" t="s">
        <v>2923</v>
      </c>
      <c r="F271" s="6" t="e">
        <f aca="false">VLOOKUP(E271,$K$2:$L$426,2,FALSE())</f>
        <v>#N/A</v>
      </c>
      <c r="G271" s="1" t="str">
        <f aca="false">IF(ISNA(F271),"",F271)</f>
        <v/>
      </c>
      <c r="H271" s="5" t="str">
        <f aca="false">IF(G271&lt;&gt;"",G271,E271)</f>
        <v>42, 46, GOLDUCK</v>
      </c>
      <c r="K271" s="1" t="s">
        <v>540</v>
      </c>
      <c r="L271" s="1" t="s">
        <v>541</v>
      </c>
    </row>
    <row r="272" customFormat="false" ht="12.75" hidden="false" customHeight="true" outlineLevel="0" collapsed="false">
      <c r="A272" s="4" t="s">
        <v>2924</v>
      </c>
      <c r="B272" s="5" t="s">
        <v>2924</v>
      </c>
      <c r="C272" s="1" t="str">
        <f aca="false">IF(B272="NEW ROUTE",1,"")</f>
        <v/>
      </c>
      <c r="E272" s="5" t="s">
        <v>2924</v>
      </c>
      <c r="F272" s="6" t="e">
        <f aca="false">VLOOKUP(E272,$K$2:$L$426,2,FALSE())</f>
        <v>#N/A</v>
      </c>
      <c r="G272" s="1" t="str">
        <f aca="false">IF(ISNA(F272),"",F272)</f>
        <v/>
      </c>
      <c r="H272" s="5" t="str">
        <f aca="false">IF(G272&lt;&gt;"",G272,E272)</f>
        <v>44, 48, VAPOREON</v>
      </c>
      <c r="K272" s="1" t="s">
        <v>542</v>
      </c>
      <c r="L272" s="1" t="s">
        <v>543</v>
      </c>
    </row>
    <row r="273" customFormat="false" ht="12.75" hidden="false" customHeight="true" outlineLevel="0" collapsed="false">
      <c r="A273" s="4" t="s">
        <v>2925</v>
      </c>
      <c r="B273" s="5" t="s">
        <v>2925</v>
      </c>
      <c r="C273" s="1" t="str">
        <f aca="false">IF(B273="NEW ROUTE",1,"")</f>
        <v/>
      </c>
      <c r="E273" s="5" t="s">
        <v>2925</v>
      </c>
      <c r="F273" s="6" t="e">
        <f aca="false">VLOOKUP(E273,$K$2:$L$426,2,FALSE())</f>
        <v>#N/A</v>
      </c>
      <c r="G273" s="1" t="str">
        <f aca="false">IF(ISNA(F273),"",F273)</f>
        <v/>
      </c>
      <c r="H273" s="5" t="str">
        <f aca="false">IF(G273&lt;&gt;"",G273,E273)</f>
        <v>20, old rod:</v>
      </c>
      <c r="K273" s="1" t="s">
        <v>544</v>
      </c>
      <c r="L273" s="1" t="s">
        <v>545</v>
      </c>
    </row>
    <row r="274" customFormat="false" ht="12.75" hidden="false" customHeight="true" outlineLevel="0" collapsed="false">
      <c r="A274" s="4" t="s">
        <v>1349</v>
      </c>
      <c r="B274" s="5" t="s">
        <v>1349</v>
      </c>
      <c r="C274" s="1" t="str">
        <f aca="false">IF(B274="NEW ROUTE",1,"")</f>
        <v/>
      </c>
      <c r="E274" s="5" t="s">
        <v>1349</v>
      </c>
      <c r="F274" s="6" t="e">
        <f aca="false">VLOOKUP(E274,$K$2:$L$426,2,FALSE())</f>
        <v>#N/A</v>
      </c>
      <c r="G274" s="1" t="str">
        <f aca="false">IF(ISNA(F274),"",F274)</f>
        <v/>
      </c>
      <c r="H274" s="5" t="str">
        <f aca="false">IF(G274&lt;&gt;"",G274,E274)</f>
        <v>19, 26, MAGIKARP</v>
      </c>
      <c r="K274" s="1" t="s">
        <v>546</v>
      </c>
      <c r="L274" s="1" t="s">
        <v>547</v>
      </c>
    </row>
    <row r="275" customFormat="false" ht="12.75" hidden="false" customHeight="true" outlineLevel="0" collapsed="false">
      <c r="A275" s="4" t="s">
        <v>2926</v>
      </c>
      <c r="B275" s="5" t="s">
        <v>2926</v>
      </c>
      <c r="C275" s="1" t="str">
        <f aca="false">IF(B275="NEW ROUTE",1,"")</f>
        <v/>
      </c>
      <c r="E275" s="5" t="s">
        <v>2926</v>
      </c>
      <c r="F275" s="6" t="e">
        <f aca="false">VLOOKUP(E275,$K$2:$L$426,2,FALSE())</f>
        <v>#N/A</v>
      </c>
      <c r="G275" s="1" t="str">
        <f aca="false">IF(ISNA(F275),"",F275)</f>
        <v/>
      </c>
      <c r="H275" s="5" t="str">
        <f aca="false">IF(G275&lt;&gt;"",G275,E275)</f>
        <v>19, 26, POLIWAG</v>
      </c>
      <c r="K275" s="1" t="s">
        <v>548</v>
      </c>
      <c r="L275" s="1" t="s">
        <v>549</v>
      </c>
    </row>
    <row r="276" customFormat="false" ht="12.75" hidden="false" customHeight="true" outlineLevel="0" collapsed="false">
      <c r="A276" s="4" t="s">
        <v>2846</v>
      </c>
      <c r="B276" s="5" t="s">
        <v>2846</v>
      </c>
      <c r="C276" s="1" t="str">
        <f aca="false">IF(B276="NEW ROUTE",1,"")</f>
        <v/>
      </c>
      <c r="E276" s="5" t="s">
        <v>2846</v>
      </c>
      <c r="F276" s="6" t="e">
        <f aca="false">VLOOKUP(E276,$K$2:$L$426,2,FALSE())</f>
        <v>#N/A</v>
      </c>
      <c r="G276" s="1" t="str">
        <f aca="false">IF(ISNA(F276),"",F276)</f>
        <v/>
      </c>
      <c r="H276" s="5" t="str">
        <f aca="false">IF(G276&lt;&gt;"",G276,E276)</f>
        <v>good rod:</v>
      </c>
      <c r="K276" s="1" t="s">
        <v>550</v>
      </c>
      <c r="L276" s="1" t="s">
        <v>551</v>
      </c>
    </row>
    <row r="277" customFormat="false" ht="12.75" hidden="false" customHeight="true" outlineLevel="0" collapsed="false">
      <c r="A277" s="4" t="s">
        <v>2927</v>
      </c>
      <c r="B277" s="5" t="s">
        <v>2927</v>
      </c>
      <c r="C277" s="1" t="str">
        <f aca="false">IF(B277="NEW ROUTE",1,"")</f>
        <v/>
      </c>
      <c r="E277" s="5" t="s">
        <v>2927</v>
      </c>
      <c r="F277" s="6" t="e">
        <f aca="false">VLOOKUP(E277,$K$2:$L$426,2,FALSE())</f>
        <v>#N/A</v>
      </c>
      <c r="G277" s="1" t="str">
        <f aca="false">IF(ISNA(F277),"",F277)</f>
        <v/>
      </c>
      <c r="H277" s="5" t="str">
        <f aca="false">IF(G277&lt;&gt;"",G277,E277)</f>
        <v>29, 33, GYARADOS</v>
      </c>
      <c r="K277" s="1" t="s">
        <v>552</v>
      </c>
      <c r="L277" s="1" t="s">
        <v>553</v>
      </c>
    </row>
    <row r="278" customFormat="false" ht="12.75" hidden="false" customHeight="true" outlineLevel="0" collapsed="false">
      <c r="A278" s="4" t="s">
        <v>2928</v>
      </c>
      <c r="B278" s="5" t="s">
        <v>2928</v>
      </c>
      <c r="C278" s="1" t="str">
        <f aca="false">IF(B278="NEW ROUTE",1,"")</f>
        <v/>
      </c>
      <c r="E278" s="5" t="s">
        <v>2928</v>
      </c>
      <c r="F278" s="6" t="e">
        <f aca="false">VLOOKUP(E278,$K$2:$L$426,2,FALSE())</f>
        <v>#N/A</v>
      </c>
      <c r="G278" s="1" t="str">
        <f aca="false">IF(ISNA(F278),"",F278)</f>
        <v/>
      </c>
      <c r="H278" s="5" t="str">
        <f aca="false">IF(G278&lt;&gt;"",G278,E278)</f>
        <v>30, 35, POLIWAG</v>
      </c>
      <c r="K278" s="1" t="s">
        <v>554</v>
      </c>
      <c r="L278" s="1" t="s">
        <v>555</v>
      </c>
    </row>
    <row r="279" customFormat="false" ht="12.75" hidden="false" customHeight="true" outlineLevel="0" collapsed="false">
      <c r="A279" s="4" t="s">
        <v>2929</v>
      </c>
      <c r="B279" s="5" t="s">
        <v>2929</v>
      </c>
      <c r="C279" s="1" t="str">
        <f aca="false">IF(B279="NEW ROUTE",1,"")</f>
        <v/>
      </c>
      <c r="E279" s="5" t="s">
        <v>2929</v>
      </c>
      <c r="F279" s="6" t="e">
        <f aca="false">VLOOKUP(E279,$K$2:$L$426,2,FALSE())</f>
        <v>#N/A</v>
      </c>
      <c r="G279" s="1" t="str">
        <f aca="false">IF(ISNA(F279),"",F279)</f>
        <v/>
      </c>
      <c r="H279" s="5" t="str">
        <f aca="false">IF(G279&lt;&gt;"",G279,E279)</f>
        <v>30, 35, GOLDEEN</v>
      </c>
      <c r="K279" s="1" t="s">
        <v>556</v>
      </c>
      <c r="L279" s="1" t="s">
        <v>557</v>
      </c>
    </row>
    <row r="280" customFormat="false" ht="12.75" hidden="false" customHeight="true" outlineLevel="0" collapsed="false">
      <c r="A280" s="4" t="s">
        <v>2850</v>
      </c>
      <c r="B280" s="5" t="s">
        <v>2850</v>
      </c>
      <c r="C280" s="1" t="str">
        <f aca="false">IF(B280="NEW ROUTE",1,"")</f>
        <v/>
      </c>
      <c r="E280" s="5" t="s">
        <v>2850</v>
      </c>
      <c r="F280" s="6" t="e">
        <f aca="false">VLOOKUP(E280,$K$2:$L$426,2,FALSE())</f>
        <v>#N/A</v>
      </c>
      <c r="G280" s="1" t="str">
        <f aca="false">IF(ISNA(F280),"",F280)</f>
        <v/>
      </c>
      <c r="H280" s="5" t="str">
        <f aca="false">IF(G280&lt;&gt;"",G280,E280)</f>
        <v>super rod:</v>
      </c>
      <c r="K280" s="1" t="s">
        <v>558</v>
      </c>
      <c r="L280" s="1" t="s">
        <v>559</v>
      </c>
    </row>
    <row r="281" customFormat="false" ht="12.75" hidden="false" customHeight="true" outlineLevel="0" collapsed="false">
      <c r="A281" s="4" t="s">
        <v>2930</v>
      </c>
      <c r="B281" s="5" t="s">
        <v>2930</v>
      </c>
      <c r="C281" s="1" t="str">
        <f aca="false">IF(B281="NEW ROUTE",1,"")</f>
        <v/>
      </c>
      <c r="E281" s="5" t="s">
        <v>2930</v>
      </c>
      <c r="F281" s="6" t="e">
        <f aca="false">VLOOKUP(E281,$K$2:$L$426,2,FALSE())</f>
        <v>#N/A</v>
      </c>
      <c r="G281" s="1" t="str">
        <f aca="false">IF(ISNA(F281),"",F281)</f>
        <v/>
      </c>
      <c r="H281" s="5" t="str">
        <f aca="false">IF(G281&lt;&gt;"",G281,E281)</f>
        <v>36, 40, POLIWHIRL</v>
      </c>
      <c r="K281" s="1" t="s">
        <v>560</v>
      </c>
      <c r="L281" s="1" t="s">
        <v>561</v>
      </c>
    </row>
    <row r="282" customFormat="false" ht="12.75" hidden="false" customHeight="true" outlineLevel="0" collapsed="false">
      <c r="A282" s="4" t="s">
        <v>2931</v>
      </c>
      <c r="B282" s="5" t="s">
        <v>2931</v>
      </c>
      <c r="C282" s="1" t="str">
        <f aca="false">IF(B282="NEW ROUTE",1,"")</f>
        <v/>
      </c>
      <c r="E282" s="5" t="s">
        <v>2931</v>
      </c>
      <c r="F282" s="6" t="e">
        <f aca="false">VLOOKUP(E282,$K$2:$L$426,2,FALSE())</f>
        <v>#N/A</v>
      </c>
      <c r="G282" s="1" t="str">
        <f aca="false">IF(ISNA(F282),"",F282)</f>
        <v/>
      </c>
      <c r="H282" s="5" t="str">
        <f aca="false">IF(G282&lt;&gt;"",G282,E282)</f>
        <v>36, 40, SEAKING</v>
      </c>
      <c r="K282" s="1" t="s">
        <v>562</v>
      </c>
      <c r="L282" s="1" t="s">
        <v>563</v>
      </c>
    </row>
    <row r="283" customFormat="false" ht="12.75" hidden="false" customHeight="true" outlineLevel="0" collapsed="false">
      <c r="A283" s="4" t="s">
        <v>2932</v>
      </c>
      <c r="B283" s="5" t="s">
        <v>2932</v>
      </c>
      <c r="C283" s="1" t="str">
        <f aca="false">IF(B283="NEW ROUTE",1,"")</f>
        <v/>
      </c>
      <c r="E283" s="5" t="s">
        <v>2932</v>
      </c>
      <c r="F283" s="6" t="e">
        <f aca="false">VLOOKUP(E283,$K$2:$L$426,2,FALSE())</f>
        <v>#N/A</v>
      </c>
      <c r="G283" s="1" t="str">
        <f aca="false">IF(ISNA(F283),"",F283)</f>
        <v/>
      </c>
      <c r="H283" s="5" t="str">
        <f aca="false">IF(G283&lt;&gt;"",G283,E283)</f>
        <v>38, 42, DRATINI</v>
      </c>
      <c r="K283" s="1" t="s">
        <v>564</v>
      </c>
      <c r="L283" s="1" t="s">
        <v>565</v>
      </c>
    </row>
    <row r="284" customFormat="false" ht="12.75" hidden="false" customHeight="true" outlineLevel="0" collapsed="false">
      <c r="A284" s="4" t="s">
        <v>2933</v>
      </c>
      <c r="B284" s="5" t="s">
        <v>2933</v>
      </c>
      <c r="C284" s="1" t="str">
        <f aca="false">IF(B284="NEW ROUTE",1,"")</f>
        <v/>
      </c>
      <c r="E284" s="5" t="s">
        <v>2933</v>
      </c>
      <c r="F284" s="6" t="e">
        <f aca="false">VLOOKUP(E284,$K$2:$L$426,2,FALSE())</f>
        <v>#N/A</v>
      </c>
      <c r="G284" s="1" t="str">
        <f aca="false">IF(ISNA(F284),"",F284)</f>
        <v/>
      </c>
      <c r="H284" s="5" t="str">
        <f aca="false">IF(G284&lt;&gt;"",G284,E284)</f>
        <v>38, 42, DRAGONAIR</v>
      </c>
      <c r="K284" s="1" t="s">
        <v>566</v>
      </c>
      <c r="L284" s="1" t="s">
        <v>567</v>
      </c>
    </row>
    <row r="285" customFormat="false" ht="12.75" hidden="false" customHeight="true" outlineLevel="0" collapsed="false">
      <c r="A285" s="4" t="s">
        <v>2934</v>
      </c>
      <c r="B285" s="5" t="s">
        <v>2934</v>
      </c>
      <c r="C285" s="1" t="str">
        <f aca="false">IF(B285="NEW ROUTE",1,"")</f>
        <v/>
      </c>
      <c r="E285" s="5" t="s">
        <v>2934</v>
      </c>
      <c r="F285" s="6" t="e">
        <f aca="false">VLOOKUP(E285,$K$2:$L$426,2,FALSE())</f>
        <v>#N/A</v>
      </c>
      <c r="G285" s="1" t="str">
        <f aca="false">IF(ISNA(F285),"",F285)</f>
        <v/>
      </c>
      <c r="H285" s="5" t="str">
        <f aca="false">IF(G285&lt;&gt;"",G285,E285)</f>
        <v>40, 44, DRAGONITE</v>
      </c>
      <c r="K285" s="1" t="s">
        <v>568</v>
      </c>
      <c r="L285" s="1" t="s">
        <v>569</v>
      </c>
    </row>
    <row r="286" customFormat="false" ht="12.75" hidden="false" customHeight="true" outlineLevel="0" collapsed="false">
      <c r="A286" s="4" t="s">
        <v>2536</v>
      </c>
      <c r="B286" s="5" t="s">
        <v>2536</v>
      </c>
      <c r="C286" s="1" t="n">
        <f aca="false">IF(B286="NEW ROUTE",1,"")</f>
        <v>1</v>
      </c>
      <c r="E286" s="5" t="s">
        <v>2536</v>
      </c>
      <c r="F286" s="6" t="e">
        <f aca="false">VLOOKUP(E286,$K$2:$L$426,2,FALSE())</f>
        <v>#N/A</v>
      </c>
      <c r="G286" s="1" t="str">
        <f aca="false">IF(ISNA(F286),"",F286)</f>
        <v/>
      </c>
      <c r="H286" s="5" t="str">
        <f aca="false">IF(G286&lt;&gt;"",G286,E286)</f>
        <v>NEW ROUTE</v>
      </c>
      <c r="K286" s="1" t="s">
        <v>570</v>
      </c>
      <c r="L286" s="1" t="s">
        <v>571</v>
      </c>
    </row>
    <row r="287" customFormat="false" ht="12.75" hidden="false" customHeight="true" outlineLevel="0" collapsed="false">
      <c r="A287" s="4" t="s">
        <v>140</v>
      </c>
      <c r="B287" s="5" t="s">
        <v>140</v>
      </c>
      <c r="C287" s="1" t="str">
        <f aca="false">IF(B287="NEW ROUTE",1,"")</f>
        <v/>
      </c>
      <c r="E287" s="5" t="s">
        <v>140</v>
      </c>
      <c r="F287" s="6" t="str">
        <f aca="false">VLOOKUP(E287,$K$2:$L$426,2,FALSE())</f>
        <v>Safari Zone East</v>
      </c>
      <c r="G287" s="1" t="str">
        <f aca="false">IF(ISNA(F287),"",F287)</f>
        <v>Safari Zone East</v>
      </c>
      <c r="H287" s="5" t="str">
        <f aca="false">IF(G287&lt;&gt;"",G287,E287)</f>
        <v>Safari Zone East</v>
      </c>
      <c r="K287" s="1" t="s">
        <v>572</v>
      </c>
      <c r="L287" s="1" t="s">
        <v>573</v>
      </c>
    </row>
    <row r="288" customFormat="false" ht="12.75" hidden="false" customHeight="true" outlineLevel="0" collapsed="false">
      <c r="A288" s="4" t="s">
        <v>2799</v>
      </c>
      <c r="B288" s="5" t="n">
        <v>0.2</v>
      </c>
      <c r="C288" s="1" t="str">
        <f aca="false">IF(B288="NEW ROUTE",1,"")</f>
        <v/>
      </c>
      <c r="E288" s="5" t="n">
        <v>0.2</v>
      </c>
      <c r="F288" s="6" t="e">
        <f aca="false">VLOOKUP(E288,$K$2:$L$426,2,FALSE())</f>
        <v>#N/A</v>
      </c>
      <c r="G288" s="1" t="str">
        <f aca="false">IF(ISNA(F288),"",F288)</f>
        <v/>
      </c>
      <c r="H288" s="5" t="n">
        <f aca="false">IF(G288&lt;&gt;"",G288,E288)</f>
        <v>0.2</v>
      </c>
      <c r="K288" s="1" t="s">
        <v>574</v>
      </c>
      <c r="L288" s="1" t="s">
        <v>575</v>
      </c>
    </row>
    <row r="289" customFormat="false" ht="12.75" hidden="false" customHeight="true" outlineLevel="0" collapsed="false">
      <c r="A289" s="4" t="s">
        <v>1333</v>
      </c>
      <c r="B289" s="5" t="s">
        <v>1333</v>
      </c>
      <c r="C289" s="1" t="str">
        <f aca="false">IF(B289="NEW ROUTE",1,"")</f>
        <v/>
      </c>
      <c r="E289" s="5" t="s">
        <v>1333</v>
      </c>
      <c r="F289" s="6" t="e">
        <f aca="false">VLOOKUP(E289,$K$2:$L$426,2,FALSE())</f>
        <v>#N/A</v>
      </c>
      <c r="G289" s="1" t="str">
        <f aca="false">IF(ISNA(F289),"",F289)</f>
        <v/>
      </c>
      <c r="H289" s="5" t="str">
        <f aca="false">IF(G289&lt;&gt;"",G289,E289)</f>
        <v>35, 40, NIDOKING</v>
      </c>
      <c r="K289" s="1" t="s">
        <v>576</v>
      </c>
      <c r="L289" s="1" t="s">
        <v>577</v>
      </c>
    </row>
    <row r="290" customFormat="false" ht="12.75" hidden="false" customHeight="true" outlineLevel="0" collapsed="false">
      <c r="A290" s="4" t="s">
        <v>2909</v>
      </c>
      <c r="B290" s="5" t="s">
        <v>2909</v>
      </c>
      <c r="C290" s="1" t="str">
        <f aca="false">IF(B290="NEW ROUTE",1,"")</f>
        <v/>
      </c>
      <c r="E290" s="5" t="s">
        <v>2909</v>
      </c>
      <c r="F290" s="6" t="e">
        <f aca="false">VLOOKUP(E290,$K$2:$L$426,2,FALSE())</f>
        <v>#N/A</v>
      </c>
      <c r="G290" s="1" t="str">
        <f aca="false">IF(ISNA(F290),"",F290)</f>
        <v/>
      </c>
      <c r="H290" s="5" t="str">
        <f aca="false">IF(G290&lt;&gt;"",G290,E290)</f>
        <v>35, 40, NIDOQUEEN</v>
      </c>
      <c r="K290" s="1" t="s">
        <v>578</v>
      </c>
      <c r="L290" s="1" t="s">
        <v>579</v>
      </c>
    </row>
    <row r="291" customFormat="false" ht="12.75" hidden="false" customHeight="true" outlineLevel="0" collapsed="false">
      <c r="A291" s="4" t="s">
        <v>2801</v>
      </c>
      <c r="B291" s="5" t="n">
        <v>0.1</v>
      </c>
      <c r="C291" s="1" t="str">
        <f aca="false">IF(B291="NEW ROUTE",1,"")</f>
        <v/>
      </c>
      <c r="E291" s="5" t="n">
        <v>0.1</v>
      </c>
      <c r="F291" s="6" t="e">
        <f aca="false">VLOOKUP(E291,$K$2:$L$426,2,FALSE())</f>
        <v>#N/A</v>
      </c>
      <c r="G291" s="1" t="str">
        <f aca="false">IF(ISNA(F291),"",F291)</f>
        <v/>
      </c>
      <c r="H291" s="5" t="n">
        <f aca="false">IF(G291&lt;&gt;"",G291,E291)</f>
        <v>0.1</v>
      </c>
      <c r="K291" s="1" t="s">
        <v>580</v>
      </c>
      <c r="L291" s="1" t="s">
        <v>581</v>
      </c>
    </row>
    <row r="292" customFormat="false" ht="12.75" hidden="false" customHeight="true" outlineLevel="0" collapsed="false">
      <c r="A292" s="4" t="s">
        <v>2910</v>
      </c>
      <c r="B292" s="5" t="s">
        <v>2910</v>
      </c>
      <c r="C292" s="1" t="str">
        <f aca="false">IF(B292="NEW ROUTE",1,"")</f>
        <v/>
      </c>
      <c r="E292" s="5" t="s">
        <v>2910</v>
      </c>
      <c r="F292" s="6" t="e">
        <f aca="false">VLOOKUP(E292,$K$2:$L$426,2,FALSE())</f>
        <v>#N/A</v>
      </c>
      <c r="G292" s="1" t="str">
        <f aca="false">IF(ISNA(F292),"",F292)</f>
        <v/>
      </c>
      <c r="H292" s="5" t="str">
        <f aca="false">IF(G292&lt;&gt;"",G292,E292)</f>
        <v>36, 41, PARASECT</v>
      </c>
      <c r="K292" s="1" t="s">
        <v>582</v>
      </c>
      <c r="L292" s="1" t="s">
        <v>583</v>
      </c>
    </row>
    <row r="293" customFormat="false" ht="12.75" hidden="false" customHeight="true" outlineLevel="0" collapsed="false">
      <c r="A293" s="4" t="s">
        <v>2911</v>
      </c>
      <c r="B293" s="5" t="s">
        <v>2911</v>
      </c>
      <c r="C293" s="1" t="str">
        <f aca="false">IF(B293="NEW ROUTE",1,"")</f>
        <v/>
      </c>
      <c r="E293" s="5" t="s">
        <v>2911</v>
      </c>
      <c r="F293" s="6" t="e">
        <f aca="false">VLOOKUP(E293,$K$2:$L$426,2,FALSE())</f>
        <v>#N/A</v>
      </c>
      <c r="G293" s="1" t="str">
        <f aca="false">IF(ISNA(F293),"",F293)</f>
        <v/>
      </c>
      <c r="H293" s="5" t="str">
        <f aca="false">IF(G293&lt;&gt;"",G293,E293)</f>
        <v>36, 41, VENOMOTH</v>
      </c>
      <c r="K293" s="1" t="s">
        <v>584</v>
      </c>
      <c r="L293" s="1" t="s">
        <v>585</v>
      </c>
    </row>
    <row r="294" customFormat="false" ht="12.75" hidden="false" customHeight="true" outlineLevel="0" collapsed="false">
      <c r="A294" s="4" t="s">
        <v>2936</v>
      </c>
      <c r="B294" s="5" t="s">
        <v>2936</v>
      </c>
      <c r="C294" s="1" t="str">
        <f aca="false">IF(B294="NEW ROUTE",1,"")</f>
        <v/>
      </c>
      <c r="E294" s="5" t="s">
        <v>2936</v>
      </c>
      <c r="F294" s="6" t="e">
        <f aca="false">VLOOKUP(E294,$K$2:$L$426,2,FALSE())</f>
        <v>#N/A</v>
      </c>
      <c r="G294" s="1" t="str">
        <f aca="false">IF(ISNA(F294),"",F294)</f>
        <v/>
      </c>
      <c r="H294" s="5" t="str">
        <f aca="false">IF(G294&lt;&gt;"",G294,E294)</f>
        <v>36, 41, DODRIO</v>
      </c>
      <c r="K294" s="1" t="s">
        <v>586</v>
      </c>
      <c r="L294" s="1" t="s">
        <v>587</v>
      </c>
    </row>
    <row r="295" customFormat="false" ht="12.75" hidden="false" customHeight="true" outlineLevel="0" collapsed="false">
      <c r="A295" s="4" t="s">
        <v>2937</v>
      </c>
      <c r="B295" s="5" t="s">
        <v>2937</v>
      </c>
      <c r="C295" s="1" t="str">
        <f aca="false">IF(B295="NEW ROUTE",1,"")</f>
        <v/>
      </c>
      <c r="E295" s="5" t="s">
        <v>2937</v>
      </c>
      <c r="F295" s="6" t="e">
        <f aca="false">VLOOKUP(E295,$K$2:$L$426,2,FALSE())</f>
        <v>#N/A</v>
      </c>
      <c r="G295" s="1" t="str">
        <f aca="false">IF(ISNA(F295),"",F295)</f>
        <v/>
      </c>
      <c r="H295" s="5" t="str">
        <f aca="false">IF(G295&lt;&gt;"",G295,E295)</f>
        <v>36, 41, MAGMAR</v>
      </c>
      <c r="K295" s="1" t="s">
        <v>588</v>
      </c>
      <c r="L295" s="1" t="s">
        <v>589</v>
      </c>
    </row>
    <row r="296" customFormat="false" ht="12.75" hidden="false" customHeight="true" outlineLevel="0" collapsed="false">
      <c r="A296" s="4" t="s">
        <v>2806</v>
      </c>
      <c r="B296" s="5" t="n">
        <v>0.05</v>
      </c>
      <c r="C296" s="1" t="str">
        <f aca="false">IF(B296="NEW ROUTE",1,"")</f>
        <v/>
      </c>
      <c r="E296" s="5" t="n">
        <v>0.05</v>
      </c>
      <c r="F296" s="6" t="e">
        <f aca="false">VLOOKUP(E296,$K$2:$L$426,2,FALSE())</f>
        <v>#N/A</v>
      </c>
      <c r="G296" s="1" t="str">
        <f aca="false">IF(ISNA(F296),"",F296)</f>
        <v/>
      </c>
      <c r="H296" s="5" t="n">
        <f aca="false">IF(G296&lt;&gt;"",G296,E296)</f>
        <v>0.05</v>
      </c>
      <c r="K296" s="1" t="s">
        <v>590</v>
      </c>
      <c r="L296" s="1" t="s">
        <v>591</v>
      </c>
    </row>
    <row r="297" customFormat="false" ht="12.75" hidden="false" customHeight="true" outlineLevel="0" collapsed="false">
      <c r="A297" s="4" t="s">
        <v>2914</v>
      </c>
      <c r="B297" s="5" t="s">
        <v>2914</v>
      </c>
      <c r="C297" s="1" t="str">
        <f aca="false">IF(B297="NEW ROUTE",1,"")</f>
        <v/>
      </c>
      <c r="E297" s="5" t="s">
        <v>2914</v>
      </c>
      <c r="F297" s="6" t="e">
        <f aca="false">VLOOKUP(E297,$K$2:$L$426,2,FALSE())</f>
        <v>#N/A</v>
      </c>
      <c r="G297" s="1" t="str">
        <f aca="false">IF(ISNA(F297),"",F297)</f>
        <v/>
      </c>
      <c r="H297" s="5" t="str">
        <f aca="false">IF(G297&lt;&gt;"",G297,E297)</f>
        <v>37, 39, SCIZOR</v>
      </c>
      <c r="K297" s="1" t="s">
        <v>592</v>
      </c>
      <c r="L297" s="1" t="s">
        <v>593</v>
      </c>
    </row>
    <row r="298" customFormat="false" ht="12.75" hidden="false" customHeight="true" outlineLevel="0" collapsed="false">
      <c r="A298" s="4" t="s">
        <v>2915</v>
      </c>
      <c r="B298" s="5" t="s">
        <v>2915</v>
      </c>
      <c r="C298" s="1" t="str">
        <f aca="false">IF(B298="NEW ROUTE",1,"")</f>
        <v/>
      </c>
      <c r="E298" s="5" t="s">
        <v>2915</v>
      </c>
      <c r="F298" s="6" t="e">
        <f aca="false">VLOOKUP(E298,$K$2:$L$426,2,FALSE())</f>
        <v>#N/A</v>
      </c>
      <c r="G298" s="1" t="str">
        <f aca="false">IF(ISNA(F298),"",F298)</f>
        <v/>
      </c>
      <c r="H298" s="5" t="str">
        <f aca="false">IF(G298&lt;&gt;"",G298,E298)</f>
        <v>37, 39, PINSIRIOR</v>
      </c>
      <c r="K298" s="1" t="s">
        <v>594</v>
      </c>
      <c r="L298" s="1" t="s">
        <v>595</v>
      </c>
    </row>
    <row r="299" customFormat="false" ht="12.75" hidden="false" customHeight="true" outlineLevel="0" collapsed="false">
      <c r="A299" s="4" t="s">
        <v>2809</v>
      </c>
      <c r="B299" s="5" t="n">
        <v>0.04</v>
      </c>
      <c r="C299" s="1" t="str">
        <f aca="false">IF(B299="NEW ROUTE",1,"")</f>
        <v/>
      </c>
      <c r="E299" s="5" t="n">
        <v>0.04</v>
      </c>
      <c r="F299" s="6" t="e">
        <f aca="false">VLOOKUP(E299,$K$2:$L$426,2,FALSE())</f>
        <v>#N/A</v>
      </c>
      <c r="G299" s="1" t="str">
        <f aca="false">IF(ISNA(F299),"",F299)</f>
        <v/>
      </c>
      <c r="H299" s="5" t="n">
        <f aca="false">IF(G299&lt;&gt;"",G299,E299)</f>
        <v>0.04</v>
      </c>
      <c r="K299" s="1" t="s">
        <v>596</v>
      </c>
      <c r="L299" s="1" t="s">
        <v>597</v>
      </c>
    </row>
    <row r="300" customFormat="false" ht="12.75" hidden="false" customHeight="true" outlineLevel="0" collapsed="false">
      <c r="A300" s="4" t="s">
        <v>2938</v>
      </c>
      <c r="B300" s="5" t="s">
        <v>2938</v>
      </c>
      <c r="C300" s="1" t="str">
        <f aca="false">IF(B300="NEW ROUTE",1,"")</f>
        <v/>
      </c>
      <c r="E300" s="5" t="s">
        <v>2938</v>
      </c>
      <c r="F300" s="6" t="e">
        <f aca="false">VLOOKUP(E300,$K$2:$L$426,2,FALSE())</f>
        <v>#N/A</v>
      </c>
      <c r="G300" s="1" t="str">
        <f aca="false">IF(ISNA(F300),"",F300)</f>
        <v/>
      </c>
      <c r="H300" s="5" t="str">
        <f aca="false">IF(G300&lt;&gt;"",G300,E300)</f>
        <v>38, 42, KANGASKHAN</v>
      </c>
      <c r="K300" s="1" t="s">
        <v>598</v>
      </c>
      <c r="L300" s="1" t="s">
        <v>599</v>
      </c>
    </row>
    <row r="301" customFormat="false" ht="12.75" hidden="false" customHeight="true" outlineLevel="0" collapsed="false">
      <c r="A301" s="4" t="s">
        <v>2939</v>
      </c>
      <c r="B301" s="5" t="s">
        <v>2939</v>
      </c>
      <c r="C301" s="1" t="str">
        <f aca="false">IF(B301="NEW ROUTE",1,"")</f>
        <v/>
      </c>
      <c r="E301" s="5" t="s">
        <v>2939</v>
      </c>
      <c r="F301" s="6" t="e">
        <f aca="false">VLOOKUP(E301,$K$2:$L$426,2,FALSE())</f>
        <v>#N/A</v>
      </c>
      <c r="G301" s="1" t="str">
        <f aca="false">IF(ISNA(F301),"",F301)</f>
        <v/>
      </c>
      <c r="H301" s="5" t="str">
        <f aca="false">IF(G301&lt;&gt;"",G301,E301)</f>
        <v>38, 42, HITMONCHAN</v>
      </c>
      <c r="K301" s="1" t="s">
        <v>600</v>
      </c>
      <c r="L301" s="1" t="s">
        <v>601</v>
      </c>
    </row>
    <row r="302" customFormat="false" ht="12.75" hidden="false" customHeight="true" outlineLevel="0" collapsed="false">
      <c r="A302" s="4" t="s">
        <v>2812</v>
      </c>
      <c r="B302" s="5" t="n">
        <v>0.01</v>
      </c>
      <c r="C302" s="1" t="str">
        <f aca="false">IF(B302="NEW ROUTE",1,"")</f>
        <v/>
      </c>
      <c r="E302" s="5" t="n">
        <v>0.01</v>
      </c>
      <c r="F302" s="6" t="e">
        <f aca="false">VLOOKUP(E302,$K$2:$L$426,2,FALSE())</f>
        <v>#N/A</v>
      </c>
      <c r="G302" s="1" t="str">
        <f aca="false">IF(ISNA(F302),"",F302)</f>
        <v/>
      </c>
      <c r="H302" s="5" t="n">
        <f aca="false">IF(G302&lt;&gt;"",G302,E302)</f>
        <v>0.01</v>
      </c>
      <c r="K302" s="1" t="s">
        <v>602</v>
      </c>
      <c r="L302" s="1" t="s">
        <v>603</v>
      </c>
    </row>
    <row r="303" customFormat="false" ht="12.75" hidden="false" customHeight="true" outlineLevel="0" collapsed="false">
      <c r="A303" s="4" t="s">
        <v>2940</v>
      </c>
      <c r="B303" s="5" t="s">
        <v>2940</v>
      </c>
      <c r="C303" s="1" t="str">
        <f aca="false">IF(B303="NEW ROUTE",1,"")</f>
        <v/>
      </c>
      <c r="E303" s="5" t="s">
        <v>2940</v>
      </c>
      <c r="F303" s="6" t="e">
        <f aca="false">VLOOKUP(E303,$K$2:$L$426,2,FALSE())</f>
        <v>#N/A</v>
      </c>
      <c r="G303" s="1" t="str">
        <f aca="false">IF(ISNA(F303),"",F303)</f>
        <v/>
      </c>
      <c r="H303" s="5" t="str">
        <f aca="false">IF(G303&lt;&gt;"",G303,E303)</f>
        <v>40, 40, KANGALLOUS</v>
      </c>
      <c r="K303" s="1" t="s">
        <v>604</v>
      </c>
      <c r="L303" s="1" t="s">
        <v>605</v>
      </c>
    </row>
    <row r="304" customFormat="false" ht="12.75" hidden="false" customHeight="true" outlineLevel="0" collapsed="false">
      <c r="A304" s="4" t="s">
        <v>2941</v>
      </c>
      <c r="B304" s="5" t="s">
        <v>2941</v>
      </c>
      <c r="C304" s="1" t="str">
        <f aca="false">IF(B304="NEW ROUTE",1,"")</f>
        <v/>
      </c>
      <c r="E304" s="5" t="s">
        <v>2941</v>
      </c>
      <c r="F304" s="6" t="e">
        <f aca="false">VLOOKUP(E304,$K$2:$L$426,2,FALSE())</f>
        <v>#N/A</v>
      </c>
      <c r="G304" s="1" t="str">
        <f aca="false">IF(ISNA(F304),"",F304)</f>
        <v/>
      </c>
      <c r="H304" s="5" t="str">
        <f aca="false">IF(G304&lt;&gt;"",G304,E304)</f>
        <v>40, 40, MAGMORTAR</v>
      </c>
      <c r="K304" s="1" t="s">
        <v>606</v>
      </c>
      <c r="L304" s="1" t="s">
        <v>607</v>
      </c>
    </row>
    <row r="305" customFormat="false" ht="12.75" hidden="false" customHeight="true" outlineLevel="0" collapsed="false">
      <c r="A305" s="4" t="s">
        <v>2920</v>
      </c>
      <c r="B305" s="5" t="s">
        <v>2920</v>
      </c>
      <c r="C305" s="1" t="str">
        <f aca="false">IF(B305="NEW ROUTE",1,"")</f>
        <v/>
      </c>
      <c r="E305" s="5" t="s">
        <v>2920</v>
      </c>
      <c r="F305" s="6" t="e">
        <f aca="false">VLOOKUP(E305,$K$2:$L$426,2,FALSE())</f>
        <v>#N/A</v>
      </c>
      <c r="G305" s="1" t="str">
        <f aca="false">IF(ISNA(F305),"",F305)</f>
        <v/>
      </c>
      <c r="H305" s="5" t="str">
        <f aca="false">IF(G305&lt;&gt;"",G305,E305)</f>
        <v>2, 38, 42, SLOWPOKE</v>
      </c>
      <c r="K305" s="1" t="s">
        <v>608</v>
      </c>
      <c r="L305" s="1" t="s">
        <v>609</v>
      </c>
    </row>
    <row r="306" customFormat="false" ht="12.75" hidden="false" customHeight="true" outlineLevel="0" collapsed="false">
      <c r="A306" s="4" t="s">
        <v>2921</v>
      </c>
      <c r="B306" s="5" t="s">
        <v>2921</v>
      </c>
      <c r="C306" s="1" t="str">
        <f aca="false">IF(B306="NEW ROUTE",1,"")</f>
        <v/>
      </c>
      <c r="E306" s="5" t="s">
        <v>2921</v>
      </c>
      <c r="F306" s="6" t="e">
        <f aca="false">VLOOKUP(E306,$K$2:$L$426,2,FALSE())</f>
        <v>#N/A</v>
      </c>
      <c r="G306" s="1" t="str">
        <f aca="false">IF(ISNA(F306),"",F306)</f>
        <v/>
      </c>
      <c r="H306" s="5" t="str">
        <f aca="false">IF(G306&lt;&gt;"",G306,E306)</f>
        <v>40, 42, PSYDUCK</v>
      </c>
      <c r="K306" s="1" t="s">
        <v>610</v>
      </c>
      <c r="L306" s="1" t="s">
        <v>611</v>
      </c>
    </row>
    <row r="307" customFormat="false" ht="12.75" hidden="false" customHeight="true" outlineLevel="0" collapsed="false">
      <c r="A307" s="4" t="s">
        <v>2922</v>
      </c>
      <c r="B307" s="5" t="s">
        <v>2922</v>
      </c>
      <c r="C307" s="1" t="str">
        <f aca="false">IF(B307="NEW ROUTE",1,"")</f>
        <v/>
      </c>
      <c r="E307" s="5" t="s">
        <v>2922</v>
      </c>
      <c r="F307" s="6" t="e">
        <f aca="false">VLOOKUP(E307,$K$2:$L$426,2,FALSE())</f>
        <v>#N/A</v>
      </c>
      <c r="G307" s="1" t="str">
        <f aca="false">IF(ISNA(F307),"",F307)</f>
        <v/>
      </c>
      <c r="H307" s="5" t="str">
        <f aca="false">IF(G307&lt;&gt;"",G307,E307)</f>
        <v>42, 46, SLOWBRO</v>
      </c>
      <c r="K307" s="1" t="s">
        <v>612</v>
      </c>
      <c r="L307" s="1" t="s">
        <v>613</v>
      </c>
    </row>
    <row r="308" customFormat="false" ht="12.75" hidden="false" customHeight="true" outlineLevel="0" collapsed="false">
      <c r="A308" s="4" t="s">
        <v>2923</v>
      </c>
      <c r="B308" s="5" t="s">
        <v>2923</v>
      </c>
      <c r="C308" s="1" t="str">
        <f aca="false">IF(B308="NEW ROUTE",1,"")</f>
        <v/>
      </c>
      <c r="E308" s="5" t="s">
        <v>2923</v>
      </c>
      <c r="F308" s="6" t="e">
        <f aca="false">VLOOKUP(E308,$K$2:$L$426,2,FALSE())</f>
        <v>#N/A</v>
      </c>
      <c r="G308" s="1" t="str">
        <f aca="false">IF(ISNA(F308),"",F308)</f>
        <v/>
      </c>
      <c r="H308" s="5" t="str">
        <f aca="false">IF(G308&lt;&gt;"",G308,E308)</f>
        <v>42, 46, GOLDUCK</v>
      </c>
      <c r="K308" s="1" t="s">
        <v>614</v>
      </c>
      <c r="L308" s="1" t="s">
        <v>615</v>
      </c>
    </row>
    <row r="309" customFormat="false" ht="12.75" hidden="false" customHeight="true" outlineLevel="0" collapsed="false">
      <c r="A309" s="4" t="s">
        <v>2924</v>
      </c>
      <c r="B309" s="5" t="s">
        <v>2924</v>
      </c>
      <c r="C309" s="1" t="str">
        <f aca="false">IF(B309="NEW ROUTE",1,"")</f>
        <v/>
      </c>
      <c r="E309" s="5" t="s">
        <v>2924</v>
      </c>
      <c r="F309" s="6" t="e">
        <f aca="false">VLOOKUP(E309,$K$2:$L$426,2,FALSE())</f>
        <v>#N/A</v>
      </c>
      <c r="G309" s="1" t="str">
        <f aca="false">IF(ISNA(F309),"",F309)</f>
        <v/>
      </c>
      <c r="H309" s="5" t="str">
        <f aca="false">IF(G309&lt;&gt;"",G309,E309)</f>
        <v>44, 48, VAPOREON</v>
      </c>
      <c r="K309" s="1" t="s">
        <v>616</v>
      </c>
      <c r="L309" s="1" t="s">
        <v>617</v>
      </c>
    </row>
    <row r="310" customFormat="false" ht="12.75" hidden="false" customHeight="true" outlineLevel="0" collapsed="false">
      <c r="A310" s="4" t="s">
        <v>2925</v>
      </c>
      <c r="B310" s="5" t="s">
        <v>2925</v>
      </c>
      <c r="C310" s="1" t="str">
        <f aca="false">IF(B310="NEW ROUTE",1,"")</f>
        <v/>
      </c>
      <c r="E310" s="5" t="s">
        <v>2925</v>
      </c>
      <c r="F310" s="6" t="e">
        <f aca="false">VLOOKUP(E310,$K$2:$L$426,2,FALSE())</f>
        <v>#N/A</v>
      </c>
      <c r="G310" s="1" t="str">
        <f aca="false">IF(ISNA(F310),"",F310)</f>
        <v/>
      </c>
      <c r="H310" s="5" t="str">
        <f aca="false">IF(G310&lt;&gt;"",G310,E310)</f>
        <v>20, old rod:</v>
      </c>
      <c r="K310" s="1" t="s">
        <v>618</v>
      </c>
      <c r="L310" s="1" t="s">
        <v>619</v>
      </c>
    </row>
    <row r="311" customFormat="false" ht="12.75" hidden="false" customHeight="true" outlineLevel="0" collapsed="false">
      <c r="A311" s="4" t="s">
        <v>1349</v>
      </c>
      <c r="B311" s="5" t="s">
        <v>1349</v>
      </c>
      <c r="C311" s="1" t="str">
        <f aca="false">IF(B311="NEW ROUTE",1,"")</f>
        <v/>
      </c>
      <c r="E311" s="5" t="s">
        <v>1349</v>
      </c>
      <c r="F311" s="6" t="e">
        <f aca="false">VLOOKUP(E311,$K$2:$L$426,2,FALSE())</f>
        <v>#N/A</v>
      </c>
      <c r="G311" s="1" t="str">
        <f aca="false">IF(ISNA(F311),"",F311)</f>
        <v/>
      </c>
      <c r="H311" s="5" t="str">
        <f aca="false">IF(G311&lt;&gt;"",G311,E311)</f>
        <v>19, 26, MAGIKARP</v>
      </c>
      <c r="K311" s="1" t="s">
        <v>620</v>
      </c>
      <c r="L311" s="1" t="s">
        <v>621</v>
      </c>
    </row>
    <row r="312" customFormat="false" ht="12.75" hidden="false" customHeight="true" outlineLevel="0" collapsed="false">
      <c r="A312" s="4" t="s">
        <v>2926</v>
      </c>
      <c r="B312" s="5" t="s">
        <v>2926</v>
      </c>
      <c r="C312" s="1" t="str">
        <f aca="false">IF(B312="NEW ROUTE",1,"")</f>
        <v/>
      </c>
      <c r="E312" s="5" t="s">
        <v>2926</v>
      </c>
      <c r="F312" s="6" t="e">
        <f aca="false">VLOOKUP(E312,$K$2:$L$426,2,FALSE())</f>
        <v>#N/A</v>
      </c>
      <c r="G312" s="1" t="str">
        <f aca="false">IF(ISNA(F312),"",F312)</f>
        <v/>
      </c>
      <c r="H312" s="5" t="str">
        <f aca="false">IF(G312&lt;&gt;"",G312,E312)</f>
        <v>19, 26, POLIWAG</v>
      </c>
      <c r="K312" s="1" t="s">
        <v>622</v>
      </c>
      <c r="L312" s="1" t="s">
        <v>623</v>
      </c>
    </row>
    <row r="313" customFormat="false" ht="12.75" hidden="false" customHeight="true" outlineLevel="0" collapsed="false">
      <c r="A313" s="4" t="s">
        <v>2846</v>
      </c>
      <c r="B313" s="5" t="s">
        <v>2846</v>
      </c>
      <c r="C313" s="1" t="str">
        <f aca="false">IF(B313="NEW ROUTE",1,"")</f>
        <v/>
      </c>
      <c r="E313" s="5" t="s">
        <v>2846</v>
      </c>
      <c r="F313" s="6" t="e">
        <f aca="false">VLOOKUP(E313,$K$2:$L$426,2,FALSE())</f>
        <v>#N/A</v>
      </c>
      <c r="G313" s="1" t="str">
        <f aca="false">IF(ISNA(F313),"",F313)</f>
        <v/>
      </c>
      <c r="H313" s="5" t="str">
        <f aca="false">IF(G313&lt;&gt;"",G313,E313)</f>
        <v>good rod:</v>
      </c>
      <c r="K313" s="1" t="s">
        <v>624</v>
      </c>
      <c r="L313" s="1" t="s">
        <v>625</v>
      </c>
    </row>
    <row r="314" customFormat="false" ht="12.75" hidden="false" customHeight="true" outlineLevel="0" collapsed="false">
      <c r="A314" s="4" t="s">
        <v>2927</v>
      </c>
      <c r="B314" s="5" t="s">
        <v>2927</v>
      </c>
      <c r="C314" s="1" t="str">
        <f aca="false">IF(B314="NEW ROUTE",1,"")</f>
        <v/>
      </c>
      <c r="E314" s="5" t="s">
        <v>2927</v>
      </c>
      <c r="F314" s="6" t="e">
        <f aca="false">VLOOKUP(E314,$K$2:$L$426,2,FALSE())</f>
        <v>#N/A</v>
      </c>
      <c r="G314" s="1" t="str">
        <f aca="false">IF(ISNA(F314),"",F314)</f>
        <v/>
      </c>
      <c r="H314" s="5" t="str">
        <f aca="false">IF(G314&lt;&gt;"",G314,E314)</f>
        <v>29, 33, GYARADOS</v>
      </c>
      <c r="K314" s="1" t="s">
        <v>626</v>
      </c>
      <c r="L314" s="1" t="s">
        <v>627</v>
      </c>
    </row>
    <row r="315" customFormat="false" ht="12.75" hidden="false" customHeight="true" outlineLevel="0" collapsed="false">
      <c r="A315" s="4" t="s">
        <v>2928</v>
      </c>
      <c r="B315" s="5" t="s">
        <v>2928</v>
      </c>
      <c r="C315" s="1" t="str">
        <f aca="false">IF(B315="NEW ROUTE",1,"")</f>
        <v/>
      </c>
      <c r="E315" s="5" t="s">
        <v>2928</v>
      </c>
      <c r="F315" s="6" t="e">
        <f aca="false">VLOOKUP(E315,$K$2:$L$426,2,FALSE())</f>
        <v>#N/A</v>
      </c>
      <c r="G315" s="1" t="str">
        <f aca="false">IF(ISNA(F315),"",F315)</f>
        <v/>
      </c>
      <c r="H315" s="5" t="str">
        <f aca="false">IF(G315&lt;&gt;"",G315,E315)</f>
        <v>30, 35, POLIWAG</v>
      </c>
      <c r="K315" s="1" t="s">
        <v>628</v>
      </c>
      <c r="L315" s="1" t="s">
        <v>629</v>
      </c>
    </row>
    <row r="316" customFormat="false" ht="12.75" hidden="false" customHeight="true" outlineLevel="0" collapsed="false">
      <c r="A316" s="4" t="s">
        <v>2929</v>
      </c>
      <c r="B316" s="5" t="s">
        <v>2929</v>
      </c>
      <c r="C316" s="1" t="str">
        <f aca="false">IF(B316="NEW ROUTE",1,"")</f>
        <v/>
      </c>
      <c r="E316" s="5" t="s">
        <v>2929</v>
      </c>
      <c r="F316" s="6" t="e">
        <f aca="false">VLOOKUP(E316,$K$2:$L$426,2,FALSE())</f>
        <v>#N/A</v>
      </c>
      <c r="G316" s="1" t="str">
        <f aca="false">IF(ISNA(F316),"",F316)</f>
        <v/>
      </c>
      <c r="H316" s="5" t="str">
        <f aca="false">IF(G316&lt;&gt;"",G316,E316)</f>
        <v>30, 35, GOLDEEN</v>
      </c>
      <c r="K316" s="1" t="s">
        <v>630</v>
      </c>
      <c r="L316" s="1" t="s">
        <v>631</v>
      </c>
    </row>
    <row r="317" customFormat="false" ht="12.75" hidden="false" customHeight="true" outlineLevel="0" collapsed="false">
      <c r="A317" s="4" t="s">
        <v>2850</v>
      </c>
      <c r="B317" s="5" t="s">
        <v>2850</v>
      </c>
      <c r="C317" s="1" t="str">
        <f aca="false">IF(B317="NEW ROUTE",1,"")</f>
        <v/>
      </c>
      <c r="E317" s="5" t="s">
        <v>2850</v>
      </c>
      <c r="F317" s="6" t="e">
        <f aca="false">VLOOKUP(E317,$K$2:$L$426,2,FALSE())</f>
        <v>#N/A</v>
      </c>
      <c r="G317" s="1" t="str">
        <f aca="false">IF(ISNA(F317),"",F317)</f>
        <v/>
      </c>
      <c r="H317" s="5" t="str">
        <f aca="false">IF(G317&lt;&gt;"",G317,E317)</f>
        <v>super rod:</v>
      </c>
      <c r="K317" s="1" t="s">
        <v>632</v>
      </c>
      <c r="L317" s="1" t="s">
        <v>633</v>
      </c>
    </row>
    <row r="318" customFormat="false" ht="12.75" hidden="false" customHeight="true" outlineLevel="0" collapsed="false">
      <c r="A318" s="4" t="s">
        <v>2930</v>
      </c>
      <c r="B318" s="5" t="s">
        <v>2930</v>
      </c>
      <c r="C318" s="1" t="str">
        <f aca="false">IF(B318="NEW ROUTE",1,"")</f>
        <v/>
      </c>
      <c r="E318" s="5" t="s">
        <v>2930</v>
      </c>
      <c r="F318" s="6" t="e">
        <f aca="false">VLOOKUP(E318,$K$2:$L$426,2,FALSE())</f>
        <v>#N/A</v>
      </c>
      <c r="G318" s="1" t="str">
        <f aca="false">IF(ISNA(F318),"",F318)</f>
        <v/>
      </c>
      <c r="H318" s="5" t="str">
        <f aca="false">IF(G318&lt;&gt;"",G318,E318)</f>
        <v>36, 40, POLIWHIRL</v>
      </c>
      <c r="K318" s="1" t="s">
        <v>634</v>
      </c>
      <c r="L318" s="1" t="s">
        <v>635</v>
      </c>
    </row>
    <row r="319" customFormat="false" ht="12.75" hidden="false" customHeight="true" outlineLevel="0" collapsed="false">
      <c r="A319" s="4" t="s">
        <v>2931</v>
      </c>
      <c r="B319" s="5" t="s">
        <v>2931</v>
      </c>
      <c r="C319" s="1" t="str">
        <f aca="false">IF(B319="NEW ROUTE",1,"")</f>
        <v/>
      </c>
      <c r="E319" s="5" t="s">
        <v>2931</v>
      </c>
      <c r="F319" s="6" t="e">
        <f aca="false">VLOOKUP(E319,$K$2:$L$426,2,FALSE())</f>
        <v>#N/A</v>
      </c>
      <c r="G319" s="1" t="str">
        <f aca="false">IF(ISNA(F319),"",F319)</f>
        <v/>
      </c>
      <c r="H319" s="5" t="str">
        <f aca="false">IF(G319&lt;&gt;"",G319,E319)</f>
        <v>36, 40, SEAKING</v>
      </c>
      <c r="K319" s="1" t="s">
        <v>636</v>
      </c>
      <c r="L319" s="1" t="s">
        <v>637</v>
      </c>
    </row>
    <row r="320" customFormat="false" ht="12.75" hidden="false" customHeight="true" outlineLevel="0" collapsed="false">
      <c r="A320" s="4" t="s">
        <v>2932</v>
      </c>
      <c r="B320" s="5" t="s">
        <v>2932</v>
      </c>
      <c r="C320" s="1" t="str">
        <f aca="false">IF(B320="NEW ROUTE",1,"")</f>
        <v/>
      </c>
      <c r="E320" s="5" t="s">
        <v>2932</v>
      </c>
      <c r="F320" s="6" t="e">
        <f aca="false">VLOOKUP(E320,$K$2:$L$426,2,FALSE())</f>
        <v>#N/A</v>
      </c>
      <c r="G320" s="1" t="str">
        <f aca="false">IF(ISNA(F320),"",F320)</f>
        <v/>
      </c>
      <c r="H320" s="5" t="str">
        <f aca="false">IF(G320&lt;&gt;"",G320,E320)</f>
        <v>38, 42, DRATINI</v>
      </c>
      <c r="K320" s="1" t="s">
        <v>638</v>
      </c>
      <c r="L320" s="1" t="s">
        <v>639</v>
      </c>
    </row>
    <row r="321" customFormat="false" ht="12.75" hidden="false" customHeight="true" outlineLevel="0" collapsed="false">
      <c r="A321" s="4" t="s">
        <v>2933</v>
      </c>
      <c r="B321" s="5" t="s">
        <v>2933</v>
      </c>
      <c r="C321" s="1" t="str">
        <f aca="false">IF(B321="NEW ROUTE",1,"")</f>
        <v/>
      </c>
      <c r="E321" s="5" t="s">
        <v>2933</v>
      </c>
      <c r="F321" s="6" t="e">
        <f aca="false">VLOOKUP(E321,$K$2:$L$426,2,FALSE())</f>
        <v>#N/A</v>
      </c>
      <c r="G321" s="1" t="str">
        <f aca="false">IF(ISNA(F321),"",F321)</f>
        <v/>
      </c>
      <c r="H321" s="5" t="str">
        <f aca="false">IF(G321&lt;&gt;"",G321,E321)</f>
        <v>38, 42, DRAGONAIR</v>
      </c>
      <c r="K321" s="1" t="s">
        <v>640</v>
      </c>
      <c r="L321" s="1" t="s">
        <v>641</v>
      </c>
    </row>
    <row r="322" customFormat="false" ht="12.75" hidden="false" customHeight="true" outlineLevel="0" collapsed="false">
      <c r="A322" s="4" t="s">
        <v>2934</v>
      </c>
      <c r="B322" s="5" t="s">
        <v>2934</v>
      </c>
      <c r="C322" s="1" t="str">
        <f aca="false">IF(B322="NEW ROUTE",1,"")</f>
        <v/>
      </c>
      <c r="E322" s="5" t="s">
        <v>2934</v>
      </c>
      <c r="F322" s="6" t="e">
        <f aca="false">VLOOKUP(E322,$K$2:$L$426,2,FALSE())</f>
        <v>#N/A</v>
      </c>
      <c r="G322" s="1" t="str">
        <f aca="false">IF(ISNA(F322),"",F322)</f>
        <v/>
      </c>
      <c r="H322" s="5" t="str">
        <f aca="false">IF(G322&lt;&gt;"",G322,E322)</f>
        <v>40, 44, DRAGONITE</v>
      </c>
      <c r="K322" s="1" t="s">
        <v>642</v>
      </c>
      <c r="L322" s="1" t="s">
        <v>643</v>
      </c>
    </row>
    <row r="323" customFormat="false" ht="12.75" hidden="false" customHeight="true" outlineLevel="0" collapsed="false">
      <c r="A323" s="4" t="s">
        <v>2536</v>
      </c>
      <c r="B323" s="5" t="s">
        <v>2536</v>
      </c>
      <c r="C323" s="1" t="n">
        <f aca="false">IF(B323="NEW ROUTE",1,"")</f>
        <v>1</v>
      </c>
      <c r="E323" s="5" t="s">
        <v>2536</v>
      </c>
      <c r="F323" s="6" t="e">
        <f aca="false">VLOOKUP(E323,$K$2:$L$426,2,FALSE())</f>
        <v>#N/A</v>
      </c>
      <c r="G323" s="1" t="str">
        <f aca="false">IF(ISNA(F323),"",F323)</f>
        <v/>
      </c>
      <c r="H323" s="5" t="str">
        <f aca="false">IF(G323&lt;&gt;"",G323,E323)</f>
        <v>NEW ROUTE</v>
      </c>
      <c r="K323" s="1" t="s">
        <v>644</v>
      </c>
      <c r="L323" s="1" t="s">
        <v>645</v>
      </c>
    </row>
    <row r="324" customFormat="false" ht="12.75" hidden="false" customHeight="true" outlineLevel="0" collapsed="false">
      <c r="A324" s="4" t="s">
        <v>142</v>
      </c>
      <c r="B324" s="5" t="s">
        <v>142</v>
      </c>
      <c r="C324" s="1" t="str">
        <f aca="false">IF(B324="NEW ROUTE",1,"")</f>
        <v/>
      </c>
      <c r="E324" s="5" t="s">
        <v>142</v>
      </c>
      <c r="F324" s="6" t="str">
        <f aca="false">VLOOKUP(E324,$K$2:$L$426,2,FALSE())</f>
        <v>Safari Zone North</v>
      </c>
      <c r="G324" s="1" t="str">
        <f aca="false">IF(ISNA(F324),"",F324)</f>
        <v>Safari Zone North</v>
      </c>
      <c r="H324" s="5" t="str">
        <f aca="false">IF(G324&lt;&gt;"",G324,E324)</f>
        <v>Safari Zone North</v>
      </c>
      <c r="K324" s="1" t="s">
        <v>646</v>
      </c>
      <c r="L324" s="1" t="s">
        <v>647</v>
      </c>
    </row>
    <row r="325" customFormat="false" ht="12.75" hidden="false" customHeight="true" outlineLevel="0" collapsed="false">
      <c r="A325" s="4" t="s">
        <v>2799</v>
      </c>
      <c r="B325" s="5" t="n">
        <v>0.2</v>
      </c>
      <c r="C325" s="1" t="str">
        <f aca="false">IF(B325="NEW ROUTE",1,"")</f>
        <v/>
      </c>
      <c r="E325" s="5" t="n">
        <v>0.2</v>
      </c>
      <c r="F325" s="6" t="e">
        <f aca="false">VLOOKUP(E325,$K$2:$L$426,2,FALSE())</f>
        <v>#N/A</v>
      </c>
      <c r="G325" s="1" t="str">
        <f aca="false">IF(ISNA(F325),"",F325)</f>
        <v/>
      </c>
      <c r="H325" s="5" t="n">
        <f aca="false">IF(G325&lt;&gt;"",G325,E325)</f>
        <v>0.2</v>
      </c>
      <c r="K325" s="1" t="s">
        <v>648</v>
      </c>
      <c r="L325" s="1" t="s">
        <v>649</v>
      </c>
    </row>
    <row r="326" customFormat="false" ht="12.75" hidden="false" customHeight="true" outlineLevel="0" collapsed="false">
      <c r="A326" s="4" t="s">
        <v>1333</v>
      </c>
      <c r="B326" s="5" t="s">
        <v>1333</v>
      </c>
      <c r="C326" s="1" t="str">
        <f aca="false">IF(B326="NEW ROUTE",1,"")</f>
        <v/>
      </c>
      <c r="E326" s="5" t="s">
        <v>1333</v>
      </c>
      <c r="F326" s="6" t="e">
        <f aca="false">VLOOKUP(E326,$K$2:$L$426,2,FALSE())</f>
        <v>#N/A</v>
      </c>
      <c r="G326" s="1" t="str">
        <f aca="false">IF(ISNA(F326),"",F326)</f>
        <v/>
      </c>
      <c r="H326" s="5" t="str">
        <f aca="false">IF(G326&lt;&gt;"",G326,E326)</f>
        <v>35, 40, NIDOKING</v>
      </c>
      <c r="K326" s="1" t="s">
        <v>650</v>
      </c>
      <c r="L326" s="1" t="s">
        <v>651</v>
      </c>
    </row>
    <row r="327" customFormat="false" ht="12.75" hidden="false" customHeight="true" outlineLevel="0" collapsed="false">
      <c r="A327" s="4" t="s">
        <v>2909</v>
      </c>
      <c r="B327" s="5" t="s">
        <v>2909</v>
      </c>
      <c r="C327" s="1" t="str">
        <f aca="false">IF(B327="NEW ROUTE",1,"")</f>
        <v/>
      </c>
      <c r="E327" s="5" t="s">
        <v>2909</v>
      </c>
      <c r="F327" s="6" t="e">
        <f aca="false">VLOOKUP(E327,$K$2:$L$426,2,FALSE())</f>
        <v>#N/A</v>
      </c>
      <c r="G327" s="1" t="str">
        <f aca="false">IF(ISNA(F327),"",F327)</f>
        <v/>
      </c>
      <c r="H327" s="5" t="str">
        <f aca="false">IF(G327&lt;&gt;"",G327,E327)</f>
        <v>35, 40, NIDOQUEEN</v>
      </c>
      <c r="K327" s="1" t="s">
        <v>652</v>
      </c>
      <c r="L327" s="1" t="s">
        <v>653</v>
      </c>
    </row>
    <row r="328" customFormat="false" ht="12.75" hidden="false" customHeight="true" outlineLevel="0" collapsed="false">
      <c r="A328" s="4" t="s">
        <v>2801</v>
      </c>
      <c r="B328" s="5" t="n">
        <v>0.1</v>
      </c>
      <c r="C328" s="1" t="str">
        <f aca="false">IF(B328="NEW ROUTE",1,"")</f>
        <v/>
      </c>
      <c r="E328" s="5" t="n">
        <v>0.1</v>
      </c>
      <c r="F328" s="6" t="e">
        <f aca="false">VLOOKUP(E328,$K$2:$L$426,2,FALSE())</f>
        <v>#N/A</v>
      </c>
      <c r="G328" s="1" t="str">
        <f aca="false">IF(ISNA(F328),"",F328)</f>
        <v/>
      </c>
      <c r="H328" s="5" t="n">
        <f aca="false">IF(G328&lt;&gt;"",G328,E328)</f>
        <v>0.1</v>
      </c>
      <c r="K328" s="1" t="s">
        <v>654</v>
      </c>
      <c r="L328" s="1" t="s">
        <v>655</v>
      </c>
    </row>
    <row r="329" customFormat="false" ht="12.75" hidden="false" customHeight="true" outlineLevel="0" collapsed="false">
      <c r="A329" s="4" t="s">
        <v>2910</v>
      </c>
      <c r="B329" s="5" t="s">
        <v>2910</v>
      </c>
      <c r="C329" s="1" t="str">
        <f aca="false">IF(B329="NEW ROUTE",1,"")</f>
        <v/>
      </c>
      <c r="E329" s="5" t="s">
        <v>2910</v>
      </c>
      <c r="F329" s="6" t="e">
        <f aca="false">VLOOKUP(E329,$K$2:$L$426,2,FALSE())</f>
        <v>#N/A</v>
      </c>
      <c r="G329" s="1" t="str">
        <f aca="false">IF(ISNA(F329),"",F329)</f>
        <v/>
      </c>
      <c r="H329" s="5" t="str">
        <f aca="false">IF(G329&lt;&gt;"",G329,E329)</f>
        <v>36, 41, PARASECT</v>
      </c>
      <c r="K329" s="1" t="s">
        <v>656</v>
      </c>
      <c r="L329" s="1" t="s">
        <v>657</v>
      </c>
    </row>
    <row r="330" customFormat="false" ht="12.75" hidden="false" customHeight="true" outlineLevel="0" collapsed="false">
      <c r="A330" s="4" t="s">
        <v>2911</v>
      </c>
      <c r="B330" s="5" t="s">
        <v>2911</v>
      </c>
      <c r="C330" s="1" t="str">
        <f aca="false">IF(B330="NEW ROUTE",1,"")</f>
        <v/>
      </c>
      <c r="E330" s="5" t="s">
        <v>2911</v>
      </c>
      <c r="F330" s="6" t="e">
        <f aca="false">VLOOKUP(E330,$K$2:$L$426,2,FALSE())</f>
        <v>#N/A</v>
      </c>
      <c r="G330" s="1" t="str">
        <f aca="false">IF(ISNA(F330),"",F330)</f>
        <v/>
      </c>
      <c r="H330" s="5" t="str">
        <f aca="false">IF(G330&lt;&gt;"",G330,E330)</f>
        <v>36, 41, VENOMOTH</v>
      </c>
      <c r="K330" s="1" t="s">
        <v>658</v>
      </c>
      <c r="L330" s="1" t="s">
        <v>659</v>
      </c>
    </row>
    <row r="331" customFormat="false" ht="12.75" hidden="false" customHeight="true" outlineLevel="0" collapsed="false">
      <c r="A331" s="4" t="s">
        <v>2943</v>
      </c>
      <c r="B331" s="5" t="s">
        <v>2943</v>
      </c>
      <c r="C331" s="1" t="str">
        <f aca="false">IF(B331="NEW ROUTE",1,"")</f>
        <v/>
      </c>
      <c r="E331" s="5" t="s">
        <v>2943</v>
      </c>
      <c r="F331" s="6" t="e">
        <f aca="false">VLOOKUP(E331,$K$2:$L$426,2,FALSE())</f>
        <v>#N/A</v>
      </c>
      <c r="G331" s="1" t="str">
        <f aca="false">IF(ISNA(F331),"",F331)</f>
        <v/>
      </c>
      <c r="H331" s="5" t="str">
        <f aca="false">IF(G331&lt;&gt;"",G331,E331)</f>
        <v>36, 41, CLEFABLE</v>
      </c>
      <c r="K331" s="1" t="s">
        <v>660</v>
      </c>
      <c r="L331" s="1" t="s">
        <v>661</v>
      </c>
    </row>
    <row r="332" customFormat="false" ht="12.75" hidden="false" customHeight="true" outlineLevel="0" collapsed="false">
      <c r="A332" s="4" t="s">
        <v>2944</v>
      </c>
      <c r="B332" s="5" t="s">
        <v>2944</v>
      </c>
      <c r="C332" s="1" t="str">
        <f aca="false">IF(B332="NEW ROUTE",1,"")</f>
        <v/>
      </c>
      <c r="E332" s="5" t="s">
        <v>2944</v>
      </c>
      <c r="F332" s="6" t="e">
        <f aca="false">VLOOKUP(E332,$K$2:$L$426,2,FALSE())</f>
        <v>#N/A</v>
      </c>
      <c r="G332" s="1" t="str">
        <f aca="false">IF(ISNA(F332),"",F332)</f>
        <v/>
      </c>
      <c r="H332" s="5" t="str">
        <f aca="false">IF(G332&lt;&gt;"",G332,E332)</f>
        <v>36, 41, ELECTABUZZ</v>
      </c>
      <c r="K332" s="1" t="s">
        <v>662</v>
      </c>
      <c r="L332" s="1" t="s">
        <v>663</v>
      </c>
    </row>
    <row r="333" customFormat="false" ht="12.75" hidden="false" customHeight="true" outlineLevel="0" collapsed="false">
      <c r="A333" s="4" t="s">
        <v>2806</v>
      </c>
      <c r="B333" s="5" t="n">
        <v>0.05</v>
      </c>
      <c r="C333" s="1" t="str">
        <f aca="false">IF(B333="NEW ROUTE",1,"")</f>
        <v/>
      </c>
      <c r="E333" s="5" t="n">
        <v>0.05</v>
      </c>
      <c r="F333" s="6" t="e">
        <f aca="false">VLOOKUP(E333,$K$2:$L$426,2,FALSE())</f>
        <v>#N/A</v>
      </c>
      <c r="G333" s="1" t="str">
        <f aca="false">IF(ISNA(F333),"",F333)</f>
        <v/>
      </c>
      <c r="H333" s="5" t="n">
        <f aca="false">IF(G333&lt;&gt;"",G333,E333)</f>
        <v>0.05</v>
      </c>
      <c r="K333" s="1" t="s">
        <v>664</v>
      </c>
      <c r="L333" s="1" t="s">
        <v>665</v>
      </c>
    </row>
    <row r="334" customFormat="false" ht="12.75" hidden="false" customHeight="true" outlineLevel="0" collapsed="false">
      <c r="A334" s="4" t="s">
        <v>2914</v>
      </c>
      <c r="B334" s="5" t="s">
        <v>2914</v>
      </c>
      <c r="C334" s="1" t="str">
        <f aca="false">IF(B334="NEW ROUTE",1,"")</f>
        <v/>
      </c>
      <c r="E334" s="5" t="s">
        <v>2914</v>
      </c>
      <c r="F334" s="6" t="e">
        <f aca="false">VLOOKUP(E334,$K$2:$L$426,2,FALSE())</f>
        <v>#N/A</v>
      </c>
      <c r="G334" s="1" t="str">
        <f aca="false">IF(ISNA(F334),"",F334)</f>
        <v/>
      </c>
      <c r="H334" s="5" t="str">
        <f aca="false">IF(G334&lt;&gt;"",G334,E334)</f>
        <v>37, 39, SCIZOR</v>
      </c>
      <c r="K334" s="1" t="s">
        <v>666</v>
      </c>
      <c r="L334" s="1" t="s">
        <v>667</v>
      </c>
    </row>
    <row r="335" customFormat="false" ht="12.75" hidden="false" customHeight="true" outlineLevel="0" collapsed="false">
      <c r="A335" s="4" t="s">
        <v>2915</v>
      </c>
      <c r="B335" s="5" t="s">
        <v>2915</v>
      </c>
      <c r="C335" s="1" t="str">
        <f aca="false">IF(B335="NEW ROUTE",1,"")</f>
        <v/>
      </c>
      <c r="E335" s="5" t="s">
        <v>2915</v>
      </c>
      <c r="F335" s="6" t="e">
        <f aca="false">VLOOKUP(E335,$K$2:$L$426,2,FALSE())</f>
        <v>#N/A</v>
      </c>
      <c r="G335" s="1" t="str">
        <f aca="false">IF(ISNA(F335),"",F335)</f>
        <v/>
      </c>
      <c r="H335" s="5" t="str">
        <f aca="false">IF(G335&lt;&gt;"",G335,E335)</f>
        <v>37, 39, PINSIRIOR</v>
      </c>
      <c r="K335" s="1" t="s">
        <v>668</v>
      </c>
      <c r="L335" s="1" t="s">
        <v>669</v>
      </c>
    </row>
    <row r="336" customFormat="false" ht="12.75" hidden="false" customHeight="true" outlineLevel="0" collapsed="false">
      <c r="A336" s="4" t="s">
        <v>2809</v>
      </c>
      <c r="B336" s="5" t="n">
        <v>0.04</v>
      </c>
      <c r="C336" s="1" t="str">
        <f aca="false">IF(B336="NEW ROUTE",1,"")</f>
        <v/>
      </c>
      <c r="E336" s="5" t="n">
        <v>0.04</v>
      </c>
      <c r="F336" s="6" t="e">
        <f aca="false">VLOOKUP(E336,$K$2:$L$426,2,FALSE())</f>
        <v>#N/A</v>
      </c>
      <c r="G336" s="1" t="str">
        <f aca="false">IF(ISNA(F336),"",F336)</f>
        <v/>
      </c>
      <c r="H336" s="5" t="n">
        <f aca="false">IF(G336&lt;&gt;"",G336,E336)</f>
        <v>0.04</v>
      </c>
      <c r="K336" s="1" t="s">
        <v>670</v>
      </c>
      <c r="L336" s="1" t="s">
        <v>671</v>
      </c>
    </row>
    <row r="337" customFormat="false" ht="12.75" hidden="false" customHeight="true" outlineLevel="0" collapsed="false">
      <c r="A337" s="4" t="s">
        <v>2945</v>
      </c>
      <c r="B337" s="5" t="s">
        <v>2945</v>
      </c>
      <c r="C337" s="1" t="str">
        <f aca="false">IF(B337="NEW ROUTE",1,"")</f>
        <v/>
      </c>
      <c r="E337" s="5" t="s">
        <v>2945</v>
      </c>
      <c r="F337" s="6" t="e">
        <f aca="false">VLOOKUP(E337,$K$2:$L$426,2,FALSE())</f>
        <v>#N/A</v>
      </c>
      <c r="G337" s="1" t="str">
        <f aca="false">IF(ISNA(F337),"",F337)</f>
        <v/>
      </c>
      <c r="H337" s="5" t="str">
        <f aca="false">IF(G337&lt;&gt;"",G337,E337)</f>
        <v>38, 42, TAUROS</v>
      </c>
      <c r="K337" s="1" t="s">
        <v>672</v>
      </c>
      <c r="L337" s="1" t="s">
        <v>673</v>
      </c>
    </row>
    <row r="338" customFormat="false" ht="12.75" hidden="false" customHeight="true" outlineLevel="0" collapsed="false">
      <c r="A338" s="4" t="s">
        <v>2946</v>
      </c>
      <c r="B338" s="5" t="s">
        <v>2946</v>
      </c>
      <c r="C338" s="1" t="str">
        <f aca="false">IF(B338="NEW ROUTE",1,"")</f>
        <v/>
      </c>
      <c r="E338" s="5" t="s">
        <v>2946</v>
      </c>
      <c r="F338" s="6" t="e">
        <f aca="false">VLOOKUP(E338,$K$2:$L$426,2,FALSE())</f>
        <v>#N/A</v>
      </c>
      <c r="G338" s="1" t="str">
        <f aca="false">IF(ISNA(F338),"",F338)</f>
        <v/>
      </c>
      <c r="H338" s="5" t="str">
        <f aca="false">IF(G338&lt;&gt;"",G338,E338)</f>
        <v>38, 42, FLAREON</v>
      </c>
      <c r="K338" s="1" t="s">
        <v>674</v>
      </c>
      <c r="L338" s="1" t="s">
        <v>675</v>
      </c>
    </row>
    <row r="339" customFormat="false" ht="12.75" hidden="false" customHeight="true" outlineLevel="0" collapsed="false">
      <c r="A339" s="4" t="s">
        <v>2812</v>
      </c>
      <c r="B339" s="5" t="n">
        <v>0.01</v>
      </c>
      <c r="C339" s="1" t="str">
        <f aca="false">IF(B339="NEW ROUTE",1,"")</f>
        <v/>
      </c>
      <c r="E339" s="5" t="n">
        <v>0.01</v>
      </c>
      <c r="F339" s="6" t="e">
        <f aca="false">VLOOKUP(E339,$K$2:$L$426,2,FALSE())</f>
        <v>#N/A</v>
      </c>
      <c r="G339" s="1" t="str">
        <f aca="false">IF(ISNA(F339),"",F339)</f>
        <v/>
      </c>
      <c r="H339" s="5" t="n">
        <f aca="false">IF(G339&lt;&gt;"",G339,E339)</f>
        <v>0.01</v>
      </c>
      <c r="K339" s="1" t="s">
        <v>676</v>
      </c>
      <c r="L339" s="1" t="s">
        <v>677</v>
      </c>
    </row>
    <row r="340" customFormat="false" ht="12.75" hidden="false" customHeight="true" outlineLevel="0" collapsed="false">
      <c r="A340" s="4" t="s">
        <v>2947</v>
      </c>
      <c r="B340" s="5" t="s">
        <v>2947</v>
      </c>
      <c r="C340" s="1" t="str">
        <f aca="false">IF(B340="NEW ROUTE",1,"")</f>
        <v/>
      </c>
      <c r="E340" s="5" t="s">
        <v>2947</v>
      </c>
      <c r="F340" s="6" t="e">
        <f aca="false">VLOOKUP(E340,$K$2:$L$426,2,FALSE())</f>
        <v>#N/A</v>
      </c>
      <c r="G340" s="1" t="str">
        <f aca="false">IF(ISNA(F340),"",F340)</f>
        <v/>
      </c>
      <c r="H340" s="5" t="str">
        <f aca="false">IF(G340&lt;&gt;"",G340,E340)</f>
        <v>40, 40, TAUROX</v>
      </c>
      <c r="K340" s="1" t="s">
        <v>678</v>
      </c>
      <c r="L340" s="1" t="s">
        <v>679</v>
      </c>
    </row>
    <row r="341" customFormat="false" ht="12.75" hidden="false" customHeight="true" outlineLevel="0" collapsed="false">
      <c r="A341" s="4" t="s">
        <v>2948</v>
      </c>
      <c r="B341" s="5" t="s">
        <v>2948</v>
      </c>
      <c r="C341" s="1" t="str">
        <f aca="false">IF(B341="NEW ROUTE",1,"")</f>
        <v/>
      </c>
      <c r="E341" s="5" t="s">
        <v>2948</v>
      </c>
      <c r="F341" s="6" t="e">
        <f aca="false">VLOOKUP(E341,$K$2:$L$426,2,FALSE())</f>
        <v>#N/A</v>
      </c>
      <c r="G341" s="1" t="str">
        <f aca="false">IF(ISNA(F341),"",F341)</f>
        <v/>
      </c>
      <c r="H341" s="5" t="str">
        <f aca="false">IF(G341&lt;&gt;"",G341,E341)</f>
        <v>40, 40, ELECTIVIRE</v>
      </c>
      <c r="K341" s="1" t="s">
        <v>680</v>
      </c>
      <c r="L341" s="1" t="s">
        <v>681</v>
      </c>
    </row>
    <row r="342" customFormat="false" ht="12.75" hidden="false" customHeight="true" outlineLevel="0" collapsed="false">
      <c r="A342" s="4" t="s">
        <v>2920</v>
      </c>
      <c r="B342" s="5" t="s">
        <v>2920</v>
      </c>
      <c r="C342" s="1" t="str">
        <f aca="false">IF(B342="NEW ROUTE",1,"")</f>
        <v/>
      </c>
      <c r="E342" s="5" t="s">
        <v>2920</v>
      </c>
      <c r="F342" s="6" t="e">
        <f aca="false">VLOOKUP(E342,$K$2:$L$426,2,FALSE())</f>
        <v>#N/A</v>
      </c>
      <c r="G342" s="1" t="str">
        <f aca="false">IF(ISNA(F342),"",F342)</f>
        <v/>
      </c>
      <c r="H342" s="5" t="str">
        <f aca="false">IF(G342&lt;&gt;"",G342,E342)</f>
        <v>2, 38, 42, SLOWPOKE</v>
      </c>
      <c r="K342" s="1" t="s">
        <v>682</v>
      </c>
      <c r="L342" s="1" t="s">
        <v>683</v>
      </c>
    </row>
    <row r="343" customFormat="false" ht="12.75" hidden="false" customHeight="true" outlineLevel="0" collapsed="false">
      <c r="A343" s="4" t="s">
        <v>2921</v>
      </c>
      <c r="B343" s="5" t="s">
        <v>2921</v>
      </c>
      <c r="C343" s="1" t="str">
        <f aca="false">IF(B343="NEW ROUTE",1,"")</f>
        <v/>
      </c>
      <c r="E343" s="5" t="s">
        <v>2921</v>
      </c>
      <c r="F343" s="6" t="e">
        <f aca="false">VLOOKUP(E343,$K$2:$L$426,2,FALSE())</f>
        <v>#N/A</v>
      </c>
      <c r="G343" s="1" t="str">
        <f aca="false">IF(ISNA(F343),"",F343)</f>
        <v/>
      </c>
      <c r="H343" s="5" t="str">
        <f aca="false">IF(G343&lt;&gt;"",G343,E343)</f>
        <v>40, 42, PSYDUCK</v>
      </c>
      <c r="K343" s="1" t="s">
        <v>684</v>
      </c>
      <c r="L343" s="1" t="s">
        <v>685</v>
      </c>
    </row>
    <row r="344" customFormat="false" ht="12.75" hidden="false" customHeight="true" outlineLevel="0" collapsed="false">
      <c r="A344" s="4" t="s">
        <v>2922</v>
      </c>
      <c r="B344" s="5" t="s">
        <v>2922</v>
      </c>
      <c r="C344" s="1" t="str">
        <f aca="false">IF(B344="NEW ROUTE",1,"")</f>
        <v/>
      </c>
      <c r="E344" s="5" t="s">
        <v>2922</v>
      </c>
      <c r="F344" s="6" t="e">
        <f aca="false">VLOOKUP(E344,$K$2:$L$426,2,FALSE())</f>
        <v>#N/A</v>
      </c>
      <c r="G344" s="1" t="str">
        <f aca="false">IF(ISNA(F344),"",F344)</f>
        <v/>
      </c>
      <c r="H344" s="5" t="str">
        <f aca="false">IF(G344&lt;&gt;"",G344,E344)</f>
        <v>42, 46, SLOWBRO</v>
      </c>
      <c r="K344" s="1" t="s">
        <v>686</v>
      </c>
      <c r="L344" s="1" t="s">
        <v>687</v>
      </c>
    </row>
    <row r="345" customFormat="false" ht="12.75" hidden="false" customHeight="true" outlineLevel="0" collapsed="false">
      <c r="A345" s="4" t="s">
        <v>2923</v>
      </c>
      <c r="B345" s="5" t="s">
        <v>2923</v>
      </c>
      <c r="C345" s="1" t="str">
        <f aca="false">IF(B345="NEW ROUTE",1,"")</f>
        <v/>
      </c>
      <c r="E345" s="5" t="s">
        <v>2923</v>
      </c>
      <c r="F345" s="6" t="e">
        <f aca="false">VLOOKUP(E345,$K$2:$L$426,2,FALSE())</f>
        <v>#N/A</v>
      </c>
      <c r="G345" s="1" t="str">
        <f aca="false">IF(ISNA(F345),"",F345)</f>
        <v/>
      </c>
      <c r="H345" s="5" t="str">
        <f aca="false">IF(G345&lt;&gt;"",G345,E345)</f>
        <v>42, 46, GOLDUCK</v>
      </c>
      <c r="K345" s="1" t="s">
        <v>688</v>
      </c>
      <c r="L345" s="1" t="s">
        <v>689</v>
      </c>
    </row>
    <row r="346" customFormat="false" ht="12.75" hidden="false" customHeight="true" outlineLevel="0" collapsed="false">
      <c r="A346" s="4" t="s">
        <v>2924</v>
      </c>
      <c r="B346" s="5" t="s">
        <v>2924</v>
      </c>
      <c r="C346" s="1" t="str">
        <f aca="false">IF(B346="NEW ROUTE",1,"")</f>
        <v/>
      </c>
      <c r="E346" s="5" t="s">
        <v>2924</v>
      </c>
      <c r="F346" s="6" t="e">
        <f aca="false">VLOOKUP(E346,$K$2:$L$426,2,FALSE())</f>
        <v>#N/A</v>
      </c>
      <c r="G346" s="1" t="str">
        <f aca="false">IF(ISNA(F346),"",F346)</f>
        <v/>
      </c>
      <c r="H346" s="5" t="str">
        <f aca="false">IF(G346&lt;&gt;"",G346,E346)</f>
        <v>44, 48, VAPOREON</v>
      </c>
      <c r="K346" s="1" t="s">
        <v>690</v>
      </c>
      <c r="L346" s="1" t="s">
        <v>691</v>
      </c>
    </row>
    <row r="347" customFormat="false" ht="12.75" hidden="false" customHeight="true" outlineLevel="0" collapsed="false">
      <c r="A347" s="4" t="s">
        <v>2925</v>
      </c>
      <c r="B347" s="5" t="s">
        <v>2925</v>
      </c>
      <c r="C347" s="1" t="str">
        <f aca="false">IF(B347="NEW ROUTE",1,"")</f>
        <v/>
      </c>
      <c r="E347" s="5" t="s">
        <v>2925</v>
      </c>
      <c r="F347" s="6" t="e">
        <f aca="false">VLOOKUP(E347,$K$2:$L$426,2,FALSE())</f>
        <v>#N/A</v>
      </c>
      <c r="G347" s="1" t="str">
        <f aca="false">IF(ISNA(F347),"",F347)</f>
        <v/>
      </c>
      <c r="H347" s="5" t="str">
        <f aca="false">IF(G347&lt;&gt;"",G347,E347)</f>
        <v>20, old rod:</v>
      </c>
      <c r="K347" s="1" t="s">
        <v>692</v>
      </c>
      <c r="L347" s="1" t="s">
        <v>693</v>
      </c>
    </row>
    <row r="348" customFormat="false" ht="12.75" hidden="false" customHeight="true" outlineLevel="0" collapsed="false">
      <c r="A348" s="4" t="s">
        <v>1349</v>
      </c>
      <c r="B348" s="5" t="s">
        <v>1349</v>
      </c>
      <c r="C348" s="1" t="str">
        <f aca="false">IF(B348="NEW ROUTE",1,"")</f>
        <v/>
      </c>
      <c r="E348" s="5" t="s">
        <v>1349</v>
      </c>
      <c r="F348" s="6" t="e">
        <f aca="false">VLOOKUP(E348,$K$2:$L$426,2,FALSE())</f>
        <v>#N/A</v>
      </c>
      <c r="G348" s="1" t="str">
        <f aca="false">IF(ISNA(F348),"",F348)</f>
        <v/>
      </c>
      <c r="H348" s="5" t="str">
        <f aca="false">IF(G348&lt;&gt;"",G348,E348)</f>
        <v>19, 26, MAGIKARP</v>
      </c>
      <c r="K348" s="1" t="s">
        <v>694</v>
      </c>
      <c r="L348" s="1" t="s">
        <v>695</v>
      </c>
    </row>
    <row r="349" customFormat="false" ht="12.75" hidden="false" customHeight="true" outlineLevel="0" collapsed="false">
      <c r="A349" s="4" t="s">
        <v>2926</v>
      </c>
      <c r="B349" s="5" t="s">
        <v>2926</v>
      </c>
      <c r="C349" s="1" t="str">
        <f aca="false">IF(B349="NEW ROUTE",1,"")</f>
        <v/>
      </c>
      <c r="E349" s="5" t="s">
        <v>2926</v>
      </c>
      <c r="F349" s="6" t="e">
        <f aca="false">VLOOKUP(E349,$K$2:$L$426,2,FALSE())</f>
        <v>#N/A</v>
      </c>
      <c r="G349" s="1" t="str">
        <f aca="false">IF(ISNA(F349),"",F349)</f>
        <v/>
      </c>
      <c r="H349" s="5" t="str">
        <f aca="false">IF(G349&lt;&gt;"",G349,E349)</f>
        <v>19, 26, POLIWAG</v>
      </c>
      <c r="K349" s="1" t="s">
        <v>696</v>
      </c>
      <c r="L349" s="1" t="s">
        <v>697</v>
      </c>
    </row>
    <row r="350" customFormat="false" ht="12.75" hidden="false" customHeight="true" outlineLevel="0" collapsed="false">
      <c r="A350" s="4" t="s">
        <v>2846</v>
      </c>
      <c r="B350" s="5" t="s">
        <v>2846</v>
      </c>
      <c r="C350" s="1" t="str">
        <f aca="false">IF(B350="NEW ROUTE",1,"")</f>
        <v/>
      </c>
      <c r="E350" s="5" t="s">
        <v>2846</v>
      </c>
      <c r="F350" s="6" t="e">
        <f aca="false">VLOOKUP(E350,$K$2:$L$426,2,FALSE())</f>
        <v>#N/A</v>
      </c>
      <c r="G350" s="1" t="str">
        <f aca="false">IF(ISNA(F350),"",F350)</f>
        <v/>
      </c>
      <c r="H350" s="5" t="str">
        <f aca="false">IF(G350&lt;&gt;"",G350,E350)</f>
        <v>good rod:</v>
      </c>
      <c r="K350" s="1" t="s">
        <v>698</v>
      </c>
      <c r="L350" s="1" t="s">
        <v>699</v>
      </c>
    </row>
    <row r="351" customFormat="false" ht="12.75" hidden="false" customHeight="true" outlineLevel="0" collapsed="false">
      <c r="A351" s="4" t="s">
        <v>2927</v>
      </c>
      <c r="B351" s="5" t="s">
        <v>2927</v>
      </c>
      <c r="C351" s="1" t="str">
        <f aca="false">IF(B351="NEW ROUTE",1,"")</f>
        <v/>
      </c>
      <c r="E351" s="5" t="s">
        <v>2927</v>
      </c>
      <c r="F351" s="6" t="e">
        <f aca="false">VLOOKUP(E351,$K$2:$L$426,2,FALSE())</f>
        <v>#N/A</v>
      </c>
      <c r="G351" s="1" t="str">
        <f aca="false">IF(ISNA(F351),"",F351)</f>
        <v/>
      </c>
      <c r="H351" s="5" t="str">
        <f aca="false">IF(G351&lt;&gt;"",G351,E351)</f>
        <v>29, 33, GYARADOS</v>
      </c>
      <c r="K351" s="1" t="s">
        <v>700</v>
      </c>
      <c r="L351" s="1" t="s">
        <v>701</v>
      </c>
    </row>
    <row r="352" customFormat="false" ht="12.75" hidden="false" customHeight="true" outlineLevel="0" collapsed="false">
      <c r="A352" s="4" t="s">
        <v>2928</v>
      </c>
      <c r="B352" s="5" t="s">
        <v>2928</v>
      </c>
      <c r="C352" s="1" t="str">
        <f aca="false">IF(B352="NEW ROUTE",1,"")</f>
        <v/>
      </c>
      <c r="E352" s="5" t="s">
        <v>2928</v>
      </c>
      <c r="F352" s="6" t="e">
        <f aca="false">VLOOKUP(E352,$K$2:$L$426,2,FALSE())</f>
        <v>#N/A</v>
      </c>
      <c r="G352" s="1" t="str">
        <f aca="false">IF(ISNA(F352),"",F352)</f>
        <v/>
      </c>
      <c r="H352" s="5" t="str">
        <f aca="false">IF(G352&lt;&gt;"",G352,E352)</f>
        <v>30, 35, POLIWAG</v>
      </c>
      <c r="K352" s="1" t="s">
        <v>702</v>
      </c>
      <c r="L352" s="1" t="s">
        <v>703</v>
      </c>
    </row>
    <row r="353" customFormat="false" ht="12.75" hidden="false" customHeight="true" outlineLevel="0" collapsed="false">
      <c r="A353" s="4" t="s">
        <v>2929</v>
      </c>
      <c r="B353" s="5" t="s">
        <v>2929</v>
      </c>
      <c r="C353" s="1" t="str">
        <f aca="false">IF(B353="NEW ROUTE",1,"")</f>
        <v/>
      </c>
      <c r="E353" s="5" t="s">
        <v>2929</v>
      </c>
      <c r="F353" s="6" t="e">
        <f aca="false">VLOOKUP(E353,$K$2:$L$426,2,FALSE())</f>
        <v>#N/A</v>
      </c>
      <c r="G353" s="1" t="str">
        <f aca="false">IF(ISNA(F353),"",F353)</f>
        <v/>
      </c>
      <c r="H353" s="5" t="str">
        <f aca="false">IF(G353&lt;&gt;"",G353,E353)</f>
        <v>30, 35, GOLDEEN</v>
      </c>
      <c r="K353" s="1" t="s">
        <v>704</v>
      </c>
      <c r="L353" s="1" t="s">
        <v>705</v>
      </c>
    </row>
    <row r="354" customFormat="false" ht="12.75" hidden="false" customHeight="true" outlineLevel="0" collapsed="false">
      <c r="A354" s="4" t="s">
        <v>2850</v>
      </c>
      <c r="B354" s="5" t="s">
        <v>2850</v>
      </c>
      <c r="C354" s="1" t="str">
        <f aca="false">IF(B354="NEW ROUTE",1,"")</f>
        <v/>
      </c>
      <c r="E354" s="5" t="s">
        <v>2850</v>
      </c>
      <c r="F354" s="6" t="e">
        <f aca="false">VLOOKUP(E354,$K$2:$L$426,2,FALSE())</f>
        <v>#N/A</v>
      </c>
      <c r="G354" s="1" t="str">
        <f aca="false">IF(ISNA(F354),"",F354)</f>
        <v/>
      </c>
      <c r="H354" s="5" t="str">
        <f aca="false">IF(G354&lt;&gt;"",G354,E354)</f>
        <v>super rod:</v>
      </c>
      <c r="K354" s="1" t="s">
        <v>706</v>
      </c>
      <c r="L354" s="1" t="s">
        <v>707</v>
      </c>
    </row>
    <row r="355" customFormat="false" ht="12.75" hidden="false" customHeight="true" outlineLevel="0" collapsed="false">
      <c r="A355" s="4" t="s">
        <v>2930</v>
      </c>
      <c r="B355" s="5" t="s">
        <v>2930</v>
      </c>
      <c r="C355" s="1" t="str">
        <f aca="false">IF(B355="NEW ROUTE",1,"")</f>
        <v/>
      </c>
      <c r="E355" s="5" t="s">
        <v>2930</v>
      </c>
      <c r="F355" s="6" t="e">
        <f aca="false">VLOOKUP(E355,$K$2:$L$426,2,FALSE())</f>
        <v>#N/A</v>
      </c>
      <c r="G355" s="1" t="str">
        <f aca="false">IF(ISNA(F355),"",F355)</f>
        <v/>
      </c>
      <c r="H355" s="5" t="str">
        <f aca="false">IF(G355&lt;&gt;"",G355,E355)</f>
        <v>36, 40, POLIWHIRL</v>
      </c>
      <c r="K355" s="1" t="s">
        <v>708</v>
      </c>
      <c r="L355" s="1" t="s">
        <v>709</v>
      </c>
    </row>
    <row r="356" customFormat="false" ht="12.75" hidden="false" customHeight="true" outlineLevel="0" collapsed="false">
      <c r="A356" s="4" t="s">
        <v>2931</v>
      </c>
      <c r="B356" s="5" t="s">
        <v>2931</v>
      </c>
      <c r="C356" s="1" t="str">
        <f aca="false">IF(B356="NEW ROUTE",1,"")</f>
        <v/>
      </c>
      <c r="E356" s="5" t="s">
        <v>2931</v>
      </c>
      <c r="F356" s="6" t="e">
        <f aca="false">VLOOKUP(E356,$K$2:$L$426,2,FALSE())</f>
        <v>#N/A</v>
      </c>
      <c r="G356" s="1" t="str">
        <f aca="false">IF(ISNA(F356),"",F356)</f>
        <v/>
      </c>
      <c r="H356" s="5" t="str">
        <f aca="false">IF(G356&lt;&gt;"",G356,E356)</f>
        <v>36, 40, SEAKING</v>
      </c>
      <c r="K356" s="1" t="s">
        <v>710</v>
      </c>
      <c r="L356" s="1" t="s">
        <v>711</v>
      </c>
    </row>
    <row r="357" customFormat="false" ht="12.75" hidden="false" customHeight="true" outlineLevel="0" collapsed="false">
      <c r="A357" s="4" t="s">
        <v>2932</v>
      </c>
      <c r="B357" s="5" t="s">
        <v>2932</v>
      </c>
      <c r="C357" s="1" t="str">
        <f aca="false">IF(B357="NEW ROUTE",1,"")</f>
        <v/>
      </c>
      <c r="E357" s="5" t="s">
        <v>2932</v>
      </c>
      <c r="F357" s="6" t="e">
        <f aca="false">VLOOKUP(E357,$K$2:$L$426,2,FALSE())</f>
        <v>#N/A</v>
      </c>
      <c r="G357" s="1" t="str">
        <f aca="false">IF(ISNA(F357),"",F357)</f>
        <v/>
      </c>
      <c r="H357" s="5" t="str">
        <f aca="false">IF(G357&lt;&gt;"",G357,E357)</f>
        <v>38, 42, DRATINI</v>
      </c>
      <c r="K357" s="1" t="s">
        <v>712</v>
      </c>
      <c r="L357" s="1" t="s">
        <v>713</v>
      </c>
    </row>
    <row r="358" customFormat="false" ht="12.75" hidden="false" customHeight="true" outlineLevel="0" collapsed="false">
      <c r="A358" s="4" t="s">
        <v>2933</v>
      </c>
      <c r="B358" s="5" t="s">
        <v>2933</v>
      </c>
      <c r="C358" s="1" t="str">
        <f aca="false">IF(B358="NEW ROUTE",1,"")</f>
        <v/>
      </c>
      <c r="E358" s="5" t="s">
        <v>2933</v>
      </c>
      <c r="F358" s="6" t="e">
        <f aca="false">VLOOKUP(E358,$K$2:$L$426,2,FALSE())</f>
        <v>#N/A</v>
      </c>
      <c r="G358" s="1" t="str">
        <f aca="false">IF(ISNA(F358),"",F358)</f>
        <v/>
      </c>
      <c r="H358" s="5" t="str">
        <f aca="false">IF(G358&lt;&gt;"",G358,E358)</f>
        <v>38, 42, DRAGONAIR</v>
      </c>
      <c r="K358" s="1" t="s">
        <v>714</v>
      </c>
      <c r="L358" s="1" t="s">
        <v>715</v>
      </c>
    </row>
    <row r="359" customFormat="false" ht="12.75" hidden="false" customHeight="true" outlineLevel="0" collapsed="false">
      <c r="A359" s="4" t="s">
        <v>2934</v>
      </c>
      <c r="B359" s="5" t="s">
        <v>2934</v>
      </c>
      <c r="C359" s="1" t="str">
        <f aca="false">IF(B359="NEW ROUTE",1,"")</f>
        <v/>
      </c>
      <c r="E359" s="5" t="s">
        <v>2934</v>
      </c>
      <c r="F359" s="6" t="e">
        <f aca="false">VLOOKUP(E359,$K$2:$L$426,2,FALSE())</f>
        <v>#N/A</v>
      </c>
      <c r="G359" s="1" t="str">
        <f aca="false">IF(ISNA(F359),"",F359)</f>
        <v/>
      </c>
      <c r="H359" s="5" t="str">
        <f aca="false">IF(G359&lt;&gt;"",G359,E359)</f>
        <v>40, 44, DRAGONITE</v>
      </c>
      <c r="K359" s="1" t="s">
        <v>716</v>
      </c>
      <c r="L359" s="1" t="s">
        <v>717</v>
      </c>
    </row>
    <row r="360" customFormat="false" ht="12.75" hidden="false" customHeight="true" outlineLevel="0" collapsed="false">
      <c r="A360" s="4" t="s">
        <v>2536</v>
      </c>
      <c r="B360" s="5" t="s">
        <v>2536</v>
      </c>
      <c r="C360" s="1" t="n">
        <f aca="false">IF(B360="NEW ROUTE",1,"")</f>
        <v>1</v>
      </c>
      <c r="E360" s="5" t="s">
        <v>2536</v>
      </c>
      <c r="F360" s="6" t="e">
        <f aca="false">VLOOKUP(E360,$K$2:$L$426,2,FALSE())</f>
        <v>#N/A</v>
      </c>
      <c r="G360" s="1" t="str">
        <f aca="false">IF(ISNA(F360),"",F360)</f>
        <v/>
      </c>
      <c r="H360" s="5" t="str">
        <f aca="false">IF(G360&lt;&gt;"",G360,E360)</f>
        <v>NEW ROUTE</v>
      </c>
      <c r="K360" s="1" t="s">
        <v>718</v>
      </c>
      <c r="L360" s="1" t="s">
        <v>719</v>
      </c>
    </row>
    <row r="361" customFormat="false" ht="12.75" hidden="false" customHeight="true" outlineLevel="0" collapsed="false">
      <c r="A361" s="4" t="s">
        <v>144</v>
      </c>
      <c r="B361" s="5" t="s">
        <v>144</v>
      </c>
      <c r="C361" s="1" t="str">
        <f aca="false">IF(B361="NEW ROUTE",1,"")</f>
        <v/>
      </c>
      <c r="E361" s="5" t="s">
        <v>144</v>
      </c>
      <c r="F361" s="6" t="str">
        <f aca="false">VLOOKUP(E361,$K$2:$L$426,2,FALSE())</f>
        <v>Safari Zone West</v>
      </c>
      <c r="G361" s="1" t="str">
        <f aca="false">IF(ISNA(F361),"",F361)</f>
        <v>Safari Zone West</v>
      </c>
      <c r="H361" s="5" t="str">
        <f aca="false">IF(G361&lt;&gt;"",G361,E361)</f>
        <v>Safari Zone West</v>
      </c>
      <c r="K361" s="1" t="s">
        <v>720</v>
      </c>
      <c r="L361" s="1" t="s">
        <v>721</v>
      </c>
    </row>
    <row r="362" customFormat="false" ht="12.75" hidden="false" customHeight="true" outlineLevel="0" collapsed="false">
      <c r="A362" s="4" t="s">
        <v>2799</v>
      </c>
      <c r="B362" s="5" t="n">
        <v>0.2</v>
      </c>
      <c r="C362" s="1" t="str">
        <f aca="false">IF(B362="NEW ROUTE",1,"")</f>
        <v/>
      </c>
      <c r="E362" s="5" t="n">
        <v>0.2</v>
      </c>
      <c r="F362" s="6" t="e">
        <f aca="false">VLOOKUP(E362,$K$2:$L$426,2,FALSE())</f>
        <v>#N/A</v>
      </c>
      <c r="G362" s="1" t="str">
        <f aca="false">IF(ISNA(F362),"",F362)</f>
        <v/>
      </c>
      <c r="H362" s="5" t="n">
        <f aca="false">IF(G362&lt;&gt;"",G362,E362)</f>
        <v>0.2</v>
      </c>
      <c r="K362" s="1" t="s">
        <v>722</v>
      </c>
      <c r="L362" s="1" t="s">
        <v>723</v>
      </c>
    </row>
    <row r="363" customFormat="false" ht="12.75" hidden="false" customHeight="true" outlineLevel="0" collapsed="false">
      <c r="A363" s="4" t="s">
        <v>1333</v>
      </c>
      <c r="B363" s="5" t="s">
        <v>1333</v>
      </c>
      <c r="C363" s="1" t="str">
        <f aca="false">IF(B363="NEW ROUTE",1,"")</f>
        <v/>
      </c>
      <c r="E363" s="5" t="s">
        <v>1333</v>
      </c>
      <c r="F363" s="6" t="e">
        <f aca="false">VLOOKUP(E363,$K$2:$L$426,2,FALSE())</f>
        <v>#N/A</v>
      </c>
      <c r="G363" s="1" t="str">
        <f aca="false">IF(ISNA(F363),"",F363)</f>
        <v/>
      </c>
      <c r="H363" s="5" t="str">
        <f aca="false">IF(G363&lt;&gt;"",G363,E363)</f>
        <v>35, 40, NIDOKING</v>
      </c>
      <c r="K363" s="1" t="s">
        <v>724</v>
      </c>
      <c r="L363" s="1" t="s">
        <v>725</v>
      </c>
    </row>
    <row r="364" customFormat="false" ht="12.75" hidden="false" customHeight="true" outlineLevel="0" collapsed="false">
      <c r="A364" s="4" t="s">
        <v>2909</v>
      </c>
      <c r="B364" s="5" t="s">
        <v>2909</v>
      </c>
      <c r="C364" s="1" t="str">
        <f aca="false">IF(B364="NEW ROUTE",1,"")</f>
        <v/>
      </c>
      <c r="E364" s="5" t="s">
        <v>2909</v>
      </c>
      <c r="F364" s="6" t="e">
        <f aca="false">VLOOKUP(E364,$K$2:$L$426,2,FALSE())</f>
        <v>#N/A</v>
      </c>
      <c r="G364" s="1" t="str">
        <f aca="false">IF(ISNA(F364),"",F364)</f>
        <v/>
      </c>
      <c r="H364" s="5" t="str">
        <f aca="false">IF(G364&lt;&gt;"",G364,E364)</f>
        <v>35, 40, NIDOQUEEN</v>
      </c>
      <c r="K364" s="1" t="s">
        <v>726</v>
      </c>
      <c r="L364" s="1" t="s">
        <v>727</v>
      </c>
    </row>
    <row r="365" customFormat="false" ht="12.75" hidden="false" customHeight="true" outlineLevel="0" collapsed="false">
      <c r="A365" s="4" t="s">
        <v>2801</v>
      </c>
      <c r="B365" s="5" t="n">
        <v>0.1</v>
      </c>
      <c r="C365" s="1" t="str">
        <f aca="false">IF(B365="NEW ROUTE",1,"")</f>
        <v/>
      </c>
      <c r="E365" s="5" t="n">
        <v>0.1</v>
      </c>
      <c r="F365" s="6" t="e">
        <f aca="false">VLOOKUP(E365,$K$2:$L$426,2,FALSE())</f>
        <v>#N/A</v>
      </c>
      <c r="G365" s="1" t="str">
        <f aca="false">IF(ISNA(F365),"",F365)</f>
        <v/>
      </c>
      <c r="H365" s="5" t="n">
        <f aca="false">IF(G365&lt;&gt;"",G365,E365)</f>
        <v>0.1</v>
      </c>
      <c r="K365" s="1" t="s">
        <v>728</v>
      </c>
      <c r="L365" s="1" t="s">
        <v>729</v>
      </c>
    </row>
    <row r="366" customFormat="false" ht="12.75" hidden="false" customHeight="true" outlineLevel="0" collapsed="false">
      <c r="A366" s="4" t="s">
        <v>2910</v>
      </c>
      <c r="B366" s="5" t="s">
        <v>2910</v>
      </c>
      <c r="C366" s="1" t="str">
        <f aca="false">IF(B366="NEW ROUTE",1,"")</f>
        <v/>
      </c>
      <c r="E366" s="5" t="s">
        <v>2910</v>
      </c>
      <c r="F366" s="6" t="e">
        <f aca="false">VLOOKUP(E366,$K$2:$L$426,2,FALSE())</f>
        <v>#N/A</v>
      </c>
      <c r="G366" s="1" t="str">
        <f aca="false">IF(ISNA(F366),"",F366)</f>
        <v/>
      </c>
      <c r="H366" s="5" t="str">
        <f aca="false">IF(G366&lt;&gt;"",G366,E366)</f>
        <v>36, 41, PARASECT</v>
      </c>
      <c r="K366" s="1" t="s">
        <v>730</v>
      </c>
      <c r="L366" s="1" t="s">
        <v>731</v>
      </c>
    </row>
    <row r="367" customFormat="false" ht="12.75" hidden="false" customHeight="true" outlineLevel="0" collapsed="false">
      <c r="A367" s="4" t="s">
        <v>2911</v>
      </c>
      <c r="B367" s="5" t="s">
        <v>2911</v>
      </c>
      <c r="C367" s="1" t="str">
        <f aca="false">IF(B367="NEW ROUTE",1,"")</f>
        <v/>
      </c>
      <c r="E367" s="5" t="s">
        <v>2911</v>
      </c>
      <c r="F367" s="6" t="e">
        <f aca="false">VLOOKUP(E367,$K$2:$L$426,2,FALSE())</f>
        <v>#N/A</v>
      </c>
      <c r="G367" s="1" t="str">
        <f aca="false">IF(ISNA(F367),"",F367)</f>
        <v/>
      </c>
      <c r="H367" s="5" t="str">
        <f aca="false">IF(G367&lt;&gt;"",G367,E367)</f>
        <v>36, 41, VENOMOTH</v>
      </c>
      <c r="K367" s="1" t="s">
        <v>732</v>
      </c>
      <c r="L367" s="1" t="s">
        <v>733</v>
      </c>
    </row>
    <row r="368" customFormat="false" ht="12.75" hidden="false" customHeight="true" outlineLevel="0" collapsed="false">
      <c r="A368" s="4" t="s">
        <v>2950</v>
      </c>
      <c r="B368" s="5" t="s">
        <v>2950</v>
      </c>
      <c r="C368" s="1" t="str">
        <f aca="false">IF(B368="NEW ROUTE",1,"")</f>
        <v/>
      </c>
      <c r="E368" s="5" t="s">
        <v>2950</v>
      </c>
      <c r="F368" s="6" t="e">
        <f aca="false">VLOOKUP(E368,$K$2:$L$426,2,FALSE())</f>
        <v>#N/A</v>
      </c>
      <c r="G368" s="1" t="str">
        <f aca="false">IF(ISNA(F368),"",F368)</f>
        <v/>
      </c>
      <c r="H368" s="5" t="str">
        <f aca="false">IF(G368&lt;&gt;"",G368,E368)</f>
        <v>36, 41, RAPIDASH</v>
      </c>
      <c r="K368" s="1" t="s">
        <v>734</v>
      </c>
      <c r="L368" s="1" t="s">
        <v>735</v>
      </c>
    </row>
    <row r="369" customFormat="false" ht="12.75" hidden="false" customHeight="true" outlineLevel="0" collapsed="false">
      <c r="A369" s="4" t="s">
        <v>2951</v>
      </c>
      <c r="B369" s="5" t="s">
        <v>2951</v>
      </c>
      <c r="C369" s="1" t="str">
        <f aca="false">IF(B369="NEW ROUTE",1,"")</f>
        <v/>
      </c>
      <c r="E369" s="5" t="s">
        <v>2951</v>
      </c>
      <c r="F369" s="6" t="e">
        <f aca="false">VLOOKUP(E369,$K$2:$L$426,2,FALSE())</f>
        <v>#N/A</v>
      </c>
      <c r="G369" s="1" t="str">
        <f aca="false">IF(ISNA(F369),"",F369)</f>
        <v/>
      </c>
      <c r="H369" s="5" t="str">
        <f aca="false">IF(G369&lt;&gt;"",G369,E369)</f>
        <v>36, 41, TANGELA</v>
      </c>
      <c r="K369" s="1" t="s">
        <v>736</v>
      </c>
      <c r="L369" s="1" t="s">
        <v>737</v>
      </c>
    </row>
    <row r="370" customFormat="false" ht="12.75" hidden="false" customHeight="true" outlineLevel="0" collapsed="false">
      <c r="A370" s="4" t="s">
        <v>2806</v>
      </c>
      <c r="B370" s="5" t="n">
        <v>0.05</v>
      </c>
      <c r="C370" s="1" t="str">
        <f aca="false">IF(B370="NEW ROUTE",1,"")</f>
        <v/>
      </c>
      <c r="E370" s="5" t="n">
        <v>0.05</v>
      </c>
      <c r="F370" s="6" t="e">
        <f aca="false">VLOOKUP(E370,$K$2:$L$426,2,FALSE())</f>
        <v>#N/A</v>
      </c>
      <c r="G370" s="1" t="str">
        <f aca="false">IF(ISNA(F370),"",F370)</f>
        <v/>
      </c>
      <c r="H370" s="5" t="n">
        <f aca="false">IF(G370&lt;&gt;"",G370,E370)</f>
        <v>0.05</v>
      </c>
      <c r="K370" s="1" t="s">
        <v>738</v>
      </c>
      <c r="L370" s="1" t="s">
        <v>739</v>
      </c>
    </row>
    <row r="371" customFormat="false" ht="12.75" hidden="false" customHeight="true" outlineLevel="0" collapsed="false">
      <c r="A371" s="4" t="s">
        <v>2914</v>
      </c>
      <c r="B371" s="5" t="s">
        <v>2914</v>
      </c>
      <c r="C371" s="1" t="str">
        <f aca="false">IF(B371="NEW ROUTE",1,"")</f>
        <v/>
      </c>
      <c r="E371" s="5" t="s">
        <v>2914</v>
      </c>
      <c r="F371" s="6" t="e">
        <f aca="false">VLOOKUP(E371,$K$2:$L$426,2,FALSE())</f>
        <v>#N/A</v>
      </c>
      <c r="G371" s="1" t="str">
        <f aca="false">IF(ISNA(F371),"",F371)</f>
        <v/>
      </c>
      <c r="H371" s="5" t="str">
        <f aca="false">IF(G371&lt;&gt;"",G371,E371)</f>
        <v>37, 39, SCIZOR</v>
      </c>
      <c r="K371" s="1" t="s">
        <v>740</v>
      </c>
      <c r="L371" s="1" t="s">
        <v>741</v>
      </c>
    </row>
    <row r="372" customFormat="false" ht="12.75" hidden="false" customHeight="true" outlineLevel="0" collapsed="false">
      <c r="A372" s="4" t="s">
        <v>2915</v>
      </c>
      <c r="B372" s="5" t="s">
        <v>2915</v>
      </c>
      <c r="C372" s="1" t="str">
        <f aca="false">IF(B372="NEW ROUTE",1,"")</f>
        <v/>
      </c>
      <c r="E372" s="5" t="s">
        <v>2915</v>
      </c>
      <c r="F372" s="6" t="e">
        <f aca="false">VLOOKUP(E372,$K$2:$L$426,2,FALSE())</f>
        <v>#N/A</v>
      </c>
      <c r="G372" s="1" t="str">
        <f aca="false">IF(ISNA(F372),"",F372)</f>
        <v/>
      </c>
      <c r="H372" s="5" t="str">
        <f aca="false">IF(G372&lt;&gt;"",G372,E372)</f>
        <v>37, 39, PINSIRIOR</v>
      </c>
      <c r="K372" s="1" t="s">
        <v>742</v>
      </c>
      <c r="L372" s="1" t="s">
        <v>743</v>
      </c>
    </row>
    <row r="373" customFormat="false" ht="12.75" hidden="false" customHeight="true" outlineLevel="0" collapsed="false">
      <c r="A373" s="4" t="s">
        <v>2809</v>
      </c>
      <c r="B373" s="5" t="n">
        <v>0.04</v>
      </c>
      <c r="C373" s="1" t="str">
        <f aca="false">IF(B373="NEW ROUTE",1,"")</f>
        <v/>
      </c>
      <c r="E373" s="5" t="n">
        <v>0.04</v>
      </c>
      <c r="F373" s="6" t="e">
        <f aca="false">VLOOKUP(E373,$K$2:$L$426,2,FALSE())</f>
        <v>#N/A</v>
      </c>
      <c r="G373" s="1" t="str">
        <f aca="false">IF(ISNA(F373),"",F373)</f>
        <v/>
      </c>
      <c r="H373" s="5" t="n">
        <f aca="false">IF(G373&lt;&gt;"",G373,E373)</f>
        <v>0.04</v>
      </c>
      <c r="K373" s="1" t="s">
        <v>744</v>
      </c>
      <c r="L373" s="1" t="s">
        <v>745</v>
      </c>
    </row>
    <row r="374" customFormat="false" ht="12.75" hidden="false" customHeight="true" outlineLevel="0" collapsed="false">
      <c r="A374" s="4" t="s">
        <v>2952</v>
      </c>
      <c r="B374" s="5" t="s">
        <v>2952</v>
      </c>
      <c r="C374" s="1" t="str">
        <f aca="false">IF(B374="NEW ROUTE",1,"")</f>
        <v/>
      </c>
      <c r="E374" s="5" t="s">
        <v>2952</v>
      </c>
      <c r="F374" s="6" t="e">
        <f aca="false">VLOOKUP(E374,$K$2:$L$426,2,FALSE())</f>
        <v>#N/A</v>
      </c>
      <c r="G374" s="1" t="str">
        <f aca="false">IF(ISNA(F374),"",F374)</f>
        <v/>
      </c>
      <c r="H374" s="5" t="str">
        <f aca="false">IF(G374&lt;&gt;"",G374,E374)</f>
        <v>38, 42, SNORLAX</v>
      </c>
      <c r="K374" s="1" t="s">
        <v>746</v>
      </c>
      <c r="L374" s="1" t="s">
        <v>747</v>
      </c>
    </row>
    <row r="375" customFormat="false" ht="12.75" hidden="false" customHeight="true" outlineLevel="0" collapsed="false">
      <c r="A375" s="4" t="s">
        <v>2953</v>
      </c>
      <c r="B375" s="5" t="s">
        <v>2953</v>
      </c>
      <c r="C375" s="1" t="str">
        <f aca="false">IF(B375="NEW ROUTE",1,"")</f>
        <v/>
      </c>
      <c r="E375" s="5" t="s">
        <v>2953</v>
      </c>
      <c r="F375" s="6" t="e">
        <f aca="false">VLOOKUP(E375,$K$2:$L$426,2,FALSE())</f>
        <v>#N/A</v>
      </c>
      <c r="G375" s="1" t="str">
        <f aca="false">IF(ISNA(F375),"",F375)</f>
        <v/>
      </c>
      <c r="H375" s="5" t="str">
        <f aca="false">IF(G375&lt;&gt;"",G375,E375)</f>
        <v>38, 42, HITMONLEE</v>
      </c>
      <c r="K375" s="1" t="s">
        <v>748</v>
      </c>
      <c r="L375" s="1" t="s">
        <v>749</v>
      </c>
    </row>
    <row r="376" customFormat="false" ht="12.75" hidden="false" customHeight="true" outlineLevel="0" collapsed="false">
      <c r="A376" s="4" t="s">
        <v>2812</v>
      </c>
      <c r="B376" s="5" t="n">
        <v>0.01</v>
      </c>
      <c r="C376" s="1" t="str">
        <f aca="false">IF(B376="NEW ROUTE",1,"")</f>
        <v/>
      </c>
      <c r="E376" s="5" t="n">
        <v>0.01</v>
      </c>
      <c r="F376" s="6" t="e">
        <f aca="false">VLOOKUP(E376,$K$2:$L$426,2,FALSE())</f>
        <v>#N/A</v>
      </c>
      <c r="G376" s="1" t="str">
        <f aca="false">IF(ISNA(F376),"",F376)</f>
        <v/>
      </c>
      <c r="H376" s="5" t="n">
        <f aca="false">IF(G376&lt;&gt;"",G376,E376)</f>
        <v>0.01</v>
      </c>
      <c r="K376" s="1" t="s">
        <v>750</v>
      </c>
      <c r="L376" s="1" t="s">
        <v>751</v>
      </c>
    </row>
    <row r="377" customFormat="false" ht="12.75" hidden="false" customHeight="true" outlineLevel="0" collapsed="false">
      <c r="A377" s="4" t="s">
        <v>2954</v>
      </c>
      <c r="B377" s="5" t="s">
        <v>2954</v>
      </c>
      <c r="C377" s="1" t="str">
        <f aca="false">IF(B377="NEW ROUTE",1,"")</f>
        <v/>
      </c>
      <c r="E377" s="5" t="s">
        <v>2954</v>
      </c>
      <c r="F377" s="6" t="e">
        <f aca="false">VLOOKUP(E377,$K$2:$L$426,2,FALSE())</f>
        <v>#N/A</v>
      </c>
      <c r="G377" s="1" t="str">
        <f aca="false">IF(ISNA(F377),"",F377)</f>
        <v/>
      </c>
      <c r="H377" s="5" t="str">
        <f aca="false">IF(G377&lt;&gt;"",G377,E377)</f>
        <v>40, 40, ACTLAX</v>
      </c>
      <c r="K377" s="1" t="s">
        <v>752</v>
      </c>
      <c r="L377" s="1" t="s">
        <v>753</v>
      </c>
    </row>
    <row r="378" customFormat="false" ht="12.75" hidden="false" customHeight="true" outlineLevel="0" collapsed="false">
      <c r="A378" s="4" t="s">
        <v>2955</v>
      </c>
      <c r="B378" s="5" t="s">
        <v>2955</v>
      </c>
      <c r="C378" s="1" t="str">
        <f aca="false">IF(B378="NEW ROUTE",1,"")</f>
        <v/>
      </c>
      <c r="E378" s="5" t="s">
        <v>2955</v>
      </c>
      <c r="F378" s="6" t="e">
        <f aca="false">VLOOKUP(E378,$K$2:$L$426,2,FALSE())</f>
        <v>#N/A</v>
      </c>
      <c r="G378" s="1" t="str">
        <f aca="false">IF(ISNA(F378),"",F378)</f>
        <v/>
      </c>
      <c r="H378" s="5" t="str">
        <f aca="false">IF(G378&lt;&gt;"",G378,E378)</f>
        <v>40, 40, TANGROWTH</v>
      </c>
      <c r="K378" s="1" t="s">
        <v>754</v>
      </c>
      <c r="L378" s="1" t="s">
        <v>755</v>
      </c>
    </row>
    <row r="379" customFormat="false" ht="12.75" hidden="false" customHeight="true" outlineLevel="0" collapsed="false">
      <c r="A379" s="4" t="s">
        <v>2920</v>
      </c>
      <c r="B379" s="5" t="s">
        <v>2920</v>
      </c>
      <c r="C379" s="1" t="str">
        <f aca="false">IF(B379="NEW ROUTE",1,"")</f>
        <v/>
      </c>
      <c r="E379" s="5" t="s">
        <v>2920</v>
      </c>
      <c r="F379" s="6" t="e">
        <f aca="false">VLOOKUP(E379,$K$2:$L$426,2,FALSE())</f>
        <v>#N/A</v>
      </c>
      <c r="G379" s="1" t="str">
        <f aca="false">IF(ISNA(F379),"",F379)</f>
        <v/>
      </c>
      <c r="H379" s="5" t="str">
        <f aca="false">IF(G379&lt;&gt;"",G379,E379)</f>
        <v>2, 38, 42, SLOWPOKE</v>
      </c>
      <c r="K379" s="1" t="s">
        <v>756</v>
      </c>
      <c r="L379" s="1" t="s">
        <v>757</v>
      </c>
    </row>
    <row r="380" customFormat="false" ht="12.75" hidden="false" customHeight="true" outlineLevel="0" collapsed="false">
      <c r="A380" s="4" t="s">
        <v>2921</v>
      </c>
      <c r="B380" s="5" t="s">
        <v>2921</v>
      </c>
      <c r="C380" s="1" t="str">
        <f aca="false">IF(B380="NEW ROUTE",1,"")</f>
        <v/>
      </c>
      <c r="E380" s="5" t="s">
        <v>2921</v>
      </c>
      <c r="F380" s="6" t="e">
        <f aca="false">VLOOKUP(E380,$K$2:$L$426,2,FALSE())</f>
        <v>#N/A</v>
      </c>
      <c r="G380" s="1" t="str">
        <f aca="false">IF(ISNA(F380),"",F380)</f>
        <v/>
      </c>
      <c r="H380" s="5" t="str">
        <f aca="false">IF(G380&lt;&gt;"",G380,E380)</f>
        <v>40, 42, PSYDUCK</v>
      </c>
      <c r="K380" s="1" t="s">
        <v>758</v>
      </c>
      <c r="L380" s="1" t="s">
        <v>759</v>
      </c>
    </row>
    <row r="381" customFormat="false" ht="12.75" hidden="false" customHeight="true" outlineLevel="0" collapsed="false">
      <c r="A381" s="4" t="s">
        <v>2922</v>
      </c>
      <c r="B381" s="5" t="s">
        <v>2922</v>
      </c>
      <c r="C381" s="1" t="str">
        <f aca="false">IF(B381="NEW ROUTE",1,"")</f>
        <v/>
      </c>
      <c r="E381" s="5" t="s">
        <v>2922</v>
      </c>
      <c r="F381" s="6" t="e">
        <f aca="false">VLOOKUP(E381,$K$2:$L$426,2,FALSE())</f>
        <v>#N/A</v>
      </c>
      <c r="G381" s="1" t="str">
        <f aca="false">IF(ISNA(F381),"",F381)</f>
        <v/>
      </c>
      <c r="H381" s="5" t="str">
        <f aca="false">IF(G381&lt;&gt;"",G381,E381)</f>
        <v>42, 46, SLOWBRO</v>
      </c>
      <c r="K381" s="1" t="s">
        <v>760</v>
      </c>
      <c r="L381" s="1" t="s">
        <v>761</v>
      </c>
    </row>
    <row r="382" customFormat="false" ht="12.75" hidden="false" customHeight="true" outlineLevel="0" collapsed="false">
      <c r="A382" s="4" t="s">
        <v>2923</v>
      </c>
      <c r="B382" s="5" t="s">
        <v>2923</v>
      </c>
      <c r="C382" s="1" t="str">
        <f aca="false">IF(B382="NEW ROUTE",1,"")</f>
        <v/>
      </c>
      <c r="E382" s="5" t="s">
        <v>2923</v>
      </c>
      <c r="F382" s="6" t="e">
        <f aca="false">VLOOKUP(E382,$K$2:$L$426,2,FALSE())</f>
        <v>#N/A</v>
      </c>
      <c r="G382" s="1" t="str">
        <f aca="false">IF(ISNA(F382),"",F382)</f>
        <v/>
      </c>
      <c r="H382" s="5" t="str">
        <f aca="false">IF(G382&lt;&gt;"",G382,E382)</f>
        <v>42, 46, GOLDUCK</v>
      </c>
      <c r="K382" s="1" t="s">
        <v>762</v>
      </c>
      <c r="L382" s="1" t="s">
        <v>763</v>
      </c>
    </row>
    <row r="383" customFormat="false" ht="12.75" hidden="false" customHeight="true" outlineLevel="0" collapsed="false">
      <c r="A383" s="4" t="s">
        <v>2924</v>
      </c>
      <c r="B383" s="5" t="s">
        <v>2924</v>
      </c>
      <c r="C383" s="1" t="str">
        <f aca="false">IF(B383="NEW ROUTE",1,"")</f>
        <v/>
      </c>
      <c r="E383" s="5" t="s">
        <v>2924</v>
      </c>
      <c r="F383" s="6" t="e">
        <f aca="false">VLOOKUP(E383,$K$2:$L$426,2,FALSE())</f>
        <v>#N/A</v>
      </c>
      <c r="G383" s="1" t="str">
        <f aca="false">IF(ISNA(F383),"",F383)</f>
        <v/>
      </c>
      <c r="H383" s="5" t="str">
        <f aca="false">IF(G383&lt;&gt;"",G383,E383)</f>
        <v>44, 48, VAPOREON</v>
      </c>
      <c r="K383" s="1" t="s">
        <v>764</v>
      </c>
      <c r="L383" s="1" t="s">
        <v>765</v>
      </c>
    </row>
    <row r="384" customFormat="false" ht="12.75" hidden="false" customHeight="true" outlineLevel="0" collapsed="false">
      <c r="A384" s="4" t="s">
        <v>2925</v>
      </c>
      <c r="B384" s="5" t="s">
        <v>2925</v>
      </c>
      <c r="C384" s="1" t="str">
        <f aca="false">IF(B384="NEW ROUTE",1,"")</f>
        <v/>
      </c>
      <c r="E384" s="5" t="s">
        <v>2925</v>
      </c>
      <c r="F384" s="6" t="e">
        <f aca="false">VLOOKUP(E384,$K$2:$L$426,2,FALSE())</f>
        <v>#N/A</v>
      </c>
      <c r="G384" s="1" t="str">
        <f aca="false">IF(ISNA(F384),"",F384)</f>
        <v/>
      </c>
      <c r="H384" s="5" t="str">
        <f aca="false">IF(G384&lt;&gt;"",G384,E384)</f>
        <v>20, old rod:</v>
      </c>
      <c r="K384" s="1" t="s">
        <v>766</v>
      </c>
      <c r="L384" s="1" t="s">
        <v>767</v>
      </c>
    </row>
    <row r="385" customFormat="false" ht="12.75" hidden="false" customHeight="true" outlineLevel="0" collapsed="false">
      <c r="A385" s="4" t="s">
        <v>1349</v>
      </c>
      <c r="B385" s="5" t="s">
        <v>1349</v>
      </c>
      <c r="C385" s="1" t="str">
        <f aca="false">IF(B385="NEW ROUTE",1,"")</f>
        <v/>
      </c>
      <c r="E385" s="5" t="s">
        <v>1349</v>
      </c>
      <c r="F385" s="6" t="e">
        <f aca="false">VLOOKUP(E385,$K$2:$L$426,2,FALSE())</f>
        <v>#N/A</v>
      </c>
      <c r="G385" s="1" t="str">
        <f aca="false">IF(ISNA(F385),"",F385)</f>
        <v/>
      </c>
      <c r="H385" s="5" t="str">
        <f aca="false">IF(G385&lt;&gt;"",G385,E385)</f>
        <v>19, 26, MAGIKARP</v>
      </c>
      <c r="K385" s="1" t="s">
        <v>768</v>
      </c>
      <c r="L385" s="1" t="s">
        <v>769</v>
      </c>
    </row>
    <row r="386" customFormat="false" ht="12.75" hidden="false" customHeight="true" outlineLevel="0" collapsed="false">
      <c r="A386" s="4" t="s">
        <v>2926</v>
      </c>
      <c r="B386" s="5" t="s">
        <v>2926</v>
      </c>
      <c r="C386" s="1" t="str">
        <f aca="false">IF(B386="NEW ROUTE",1,"")</f>
        <v/>
      </c>
      <c r="E386" s="5" t="s">
        <v>2926</v>
      </c>
      <c r="F386" s="6" t="e">
        <f aca="false">VLOOKUP(E386,$K$2:$L$426,2,FALSE())</f>
        <v>#N/A</v>
      </c>
      <c r="G386" s="1" t="str">
        <f aca="false">IF(ISNA(F386),"",F386)</f>
        <v/>
      </c>
      <c r="H386" s="5" t="str">
        <f aca="false">IF(G386&lt;&gt;"",G386,E386)</f>
        <v>19, 26, POLIWAG</v>
      </c>
      <c r="K386" s="1" t="s">
        <v>770</v>
      </c>
      <c r="L386" s="1" t="s">
        <v>771</v>
      </c>
    </row>
    <row r="387" customFormat="false" ht="12.75" hidden="false" customHeight="true" outlineLevel="0" collapsed="false">
      <c r="A387" s="4" t="s">
        <v>2846</v>
      </c>
      <c r="B387" s="5" t="s">
        <v>2846</v>
      </c>
      <c r="C387" s="1" t="str">
        <f aca="false">IF(B387="NEW ROUTE",1,"")</f>
        <v/>
      </c>
      <c r="E387" s="5" t="s">
        <v>2846</v>
      </c>
      <c r="F387" s="6" t="e">
        <f aca="false">VLOOKUP(E387,$K$2:$L$426,2,FALSE())</f>
        <v>#N/A</v>
      </c>
      <c r="G387" s="1" t="str">
        <f aca="false">IF(ISNA(F387),"",F387)</f>
        <v/>
      </c>
      <c r="H387" s="5" t="str">
        <f aca="false">IF(G387&lt;&gt;"",G387,E387)</f>
        <v>good rod:</v>
      </c>
      <c r="K387" s="1" t="s">
        <v>772</v>
      </c>
      <c r="L387" s="1" t="s">
        <v>773</v>
      </c>
    </row>
    <row r="388" customFormat="false" ht="12.75" hidden="false" customHeight="true" outlineLevel="0" collapsed="false">
      <c r="A388" s="4" t="s">
        <v>2927</v>
      </c>
      <c r="B388" s="5" t="s">
        <v>2927</v>
      </c>
      <c r="C388" s="1" t="str">
        <f aca="false">IF(B388="NEW ROUTE",1,"")</f>
        <v/>
      </c>
      <c r="E388" s="5" t="s">
        <v>2927</v>
      </c>
      <c r="F388" s="6" t="e">
        <f aca="false">VLOOKUP(E388,$K$2:$L$426,2,FALSE())</f>
        <v>#N/A</v>
      </c>
      <c r="G388" s="1" t="str">
        <f aca="false">IF(ISNA(F388),"",F388)</f>
        <v/>
      </c>
      <c r="H388" s="5" t="str">
        <f aca="false">IF(G388&lt;&gt;"",G388,E388)</f>
        <v>29, 33, GYARADOS</v>
      </c>
      <c r="K388" s="1" t="s">
        <v>774</v>
      </c>
      <c r="L388" s="1" t="s">
        <v>773</v>
      </c>
    </row>
    <row r="389" customFormat="false" ht="12.75" hidden="false" customHeight="true" outlineLevel="0" collapsed="false">
      <c r="A389" s="4" t="s">
        <v>2928</v>
      </c>
      <c r="B389" s="5" t="s">
        <v>2928</v>
      </c>
      <c r="C389" s="1" t="str">
        <f aca="false">IF(B389="NEW ROUTE",1,"")</f>
        <v/>
      </c>
      <c r="E389" s="5" t="s">
        <v>2928</v>
      </c>
      <c r="F389" s="6" t="e">
        <f aca="false">VLOOKUP(E389,$K$2:$L$426,2,FALSE())</f>
        <v>#N/A</v>
      </c>
      <c r="G389" s="1" t="str">
        <f aca="false">IF(ISNA(F389),"",F389)</f>
        <v/>
      </c>
      <c r="H389" s="5" t="str">
        <f aca="false">IF(G389&lt;&gt;"",G389,E389)</f>
        <v>30, 35, POLIWAG</v>
      </c>
      <c r="K389" s="1" t="s">
        <v>775</v>
      </c>
      <c r="L389" s="1" t="s">
        <v>776</v>
      </c>
    </row>
    <row r="390" customFormat="false" ht="12.75" hidden="false" customHeight="true" outlineLevel="0" collapsed="false">
      <c r="A390" s="4" t="s">
        <v>2929</v>
      </c>
      <c r="B390" s="5" t="s">
        <v>2929</v>
      </c>
      <c r="C390" s="1" t="str">
        <f aca="false">IF(B390="NEW ROUTE",1,"")</f>
        <v/>
      </c>
      <c r="E390" s="5" t="s">
        <v>2929</v>
      </c>
      <c r="F390" s="6" t="e">
        <f aca="false">VLOOKUP(E390,$K$2:$L$426,2,FALSE())</f>
        <v>#N/A</v>
      </c>
      <c r="G390" s="1" t="str">
        <f aca="false">IF(ISNA(F390),"",F390)</f>
        <v/>
      </c>
      <c r="H390" s="5" t="str">
        <f aca="false">IF(G390&lt;&gt;"",G390,E390)</f>
        <v>30, 35, GOLDEEN</v>
      </c>
      <c r="K390" s="1" t="s">
        <v>777</v>
      </c>
      <c r="L390" s="1" t="s">
        <v>778</v>
      </c>
    </row>
    <row r="391" customFormat="false" ht="12.75" hidden="false" customHeight="true" outlineLevel="0" collapsed="false">
      <c r="A391" s="4" t="s">
        <v>2850</v>
      </c>
      <c r="B391" s="5" t="s">
        <v>2850</v>
      </c>
      <c r="C391" s="1" t="str">
        <f aca="false">IF(B391="NEW ROUTE",1,"")</f>
        <v/>
      </c>
      <c r="E391" s="5" t="s">
        <v>2850</v>
      </c>
      <c r="F391" s="6" t="e">
        <f aca="false">VLOOKUP(E391,$K$2:$L$426,2,FALSE())</f>
        <v>#N/A</v>
      </c>
      <c r="G391" s="1" t="str">
        <f aca="false">IF(ISNA(F391),"",F391)</f>
        <v/>
      </c>
      <c r="H391" s="5" t="str">
        <f aca="false">IF(G391&lt;&gt;"",G391,E391)</f>
        <v>super rod:</v>
      </c>
      <c r="K391" s="1" t="s">
        <v>779</v>
      </c>
      <c r="L391" s="1" t="s">
        <v>780</v>
      </c>
    </row>
    <row r="392" customFormat="false" ht="12.75" hidden="false" customHeight="true" outlineLevel="0" collapsed="false">
      <c r="A392" s="4" t="s">
        <v>2930</v>
      </c>
      <c r="B392" s="5" t="s">
        <v>2930</v>
      </c>
      <c r="C392" s="1" t="str">
        <f aca="false">IF(B392="NEW ROUTE",1,"")</f>
        <v/>
      </c>
      <c r="E392" s="5" t="s">
        <v>2930</v>
      </c>
      <c r="F392" s="6" t="e">
        <f aca="false">VLOOKUP(E392,$K$2:$L$426,2,FALSE())</f>
        <v>#N/A</v>
      </c>
      <c r="G392" s="1" t="str">
        <f aca="false">IF(ISNA(F392),"",F392)</f>
        <v/>
      </c>
      <c r="H392" s="5" t="str">
        <f aca="false">IF(G392&lt;&gt;"",G392,E392)</f>
        <v>36, 40, POLIWHIRL</v>
      </c>
      <c r="K392" s="1" t="s">
        <v>781</v>
      </c>
      <c r="L392" s="1" t="s">
        <v>782</v>
      </c>
    </row>
    <row r="393" customFormat="false" ht="12.75" hidden="false" customHeight="true" outlineLevel="0" collapsed="false">
      <c r="A393" s="4" t="s">
        <v>2931</v>
      </c>
      <c r="B393" s="5" t="s">
        <v>2931</v>
      </c>
      <c r="C393" s="1" t="str">
        <f aca="false">IF(B393="NEW ROUTE",1,"")</f>
        <v/>
      </c>
      <c r="E393" s="5" t="s">
        <v>2931</v>
      </c>
      <c r="F393" s="6" t="e">
        <f aca="false">VLOOKUP(E393,$K$2:$L$426,2,FALSE())</f>
        <v>#N/A</v>
      </c>
      <c r="G393" s="1" t="str">
        <f aca="false">IF(ISNA(F393),"",F393)</f>
        <v/>
      </c>
      <c r="H393" s="5" t="str">
        <f aca="false">IF(G393&lt;&gt;"",G393,E393)</f>
        <v>36, 40, SEAKING</v>
      </c>
      <c r="K393" s="1" t="s">
        <v>783</v>
      </c>
      <c r="L393" s="1" t="s">
        <v>784</v>
      </c>
    </row>
    <row r="394" customFormat="false" ht="12.75" hidden="false" customHeight="true" outlineLevel="0" collapsed="false">
      <c r="A394" s="4" t="s">
        <v>2932</v>
      </c>
      <c r="B394" s="5" t="s">
        <v>2932</v>
      </c>
      <c r="C394" s="1" t="str">
        <f aca="false">IF(B394="NEW ROUTE",1,"")</f>
        <v/>
      </c>
      <c r="E394" s="5" t="s">
        <v>2932</v>
      </c>
      <c r="F394" s="6" t="e">
        <f aca="false">VLOOKUP(E394,$K$2:$L$426,2,FALSE())</f>
        <v>#N/A</v>
      </c>
      <c r="G394" s="1" t="str">
        <f aca="false">IF(ISNA(F394),"",F394)</f>
        <v/>
      </c>
      <c r="H394" s="5" t="str">
        <f aca="false">IF(G394&lt;&gt;"",G394,E394)</f>
        <v>38, 42, DRATINI</v>
      </c>
      <c r="K394" s="1" t="s">
        <v>785</v>
      </c>
      <c r="L394" s="1" t="s">
        <v>786</v>
      </c>
    </row>
    <row r="395" customFormat="false" ht="12.75" hidden="false" customHeight="true" outlineLevel="0" collapsed="false">
      <c r="A395" s="4" t="s">
        <v>2933</v>
      </c>
      <c r="B395" s="5" t="s">
        <v>2933</v>
      </c>
      <c r="C395" s="1" t="str">
        <f aca="false">IF(B395="NEW ROUTE",1,"")</f>
        <v/>
      </c>
      <c r="E395" s="5" t="s">
        <v>2933</v>
      </c>
      <c r="F395" s="6" t="e">
        <f aca="false">VLOOKUP(E395,$K$2:$L$426,2,FALSE())</f>
        <v>#N/A</v>
      </c>
      <c r="G395" s="1" t="str">
        <f aca="false">IF(ISNA(F395),"",F395)</f>
        <v/>
      </c>
      <c r="H395" s="5" t="str">
        <f aca="false">IF(G395&lt;&gt;"",G395,E395)</f>
        <v>38, 42, DRAGONAIR</v>
      </c>
      <c r="K395" s="1" t="s">
        <v>787</v>
      </c>
      <c r="L395" s="1" t="s">
        <v>788</v>
      </c>
    </row>
    <row r="396" customFormat="false" ht="12.75" hidden="false" customHeight="true" outlineLevel="0" collapsed="false">
      <c r="A396" s="4" t="s">
        <v>2934</v>
      </c>
      <c r="B396" s="5" t="s">
        <v>2934</v>
      </c>
      <c r="C396" s="1" t="str">
        <f aca="false">IF(B396="NEW ROUTE",1,"")</f>
        <v/>
      </c>
      <c r="E396" s="5" t="s">
        <v>2934</v>
      </c>
      <c r="F396" s="6" t="e">
        <f aca="false">VLOOKUP(E396,$K$2:$L$426,2,FALSE())</f>
        <v>#N/A</v>
      </c>
      <c r="G396" s="1" t="str">
        <f aca="false">IF(ISNA(F396),"",F396)</f>
        <v/>
      </c>
      <c r="H396" s="5" t="str">
        <f aca="false">IF(G396&lt;&gt;"",G396,E396)</f>
        <v>40, 44, DRAGONITE</v>
      </c>
      <c r="K396" s="1" t="s">
        <v>789</v>
      </c>
      <c r="L396" s="1" t="s">
        <v>790</v>
      </c>
    </row>
    <row r="397" customFormat="false" ht="12.75" hidden="false" customHeight="true" outlineLevel="0" collapsed="false">
      <c r="A397" s="4" t="s">
        <v>2536</v>
      </c>
      <c r="B397" s="5" t="s">
        <v>2536</v>
      </c>
      <c r="C397" s="1" t="n">
        <f aca="false">IF(B397="NEW ROUTE",1,"")</f>
        <v>1</v>
      </c>
      <c r="E397" s="5" t="s">
        <v>2536</v>
      </c>
      <c r="F397" s="6" t="e">
        <f aca="false">VLOOKUP(E397,$K$2:$L$426,2,FALSE())</f>
        <v>#N/A</v>
      </c>
      <c r="G397" s="1" t="str">
        <f aca="false">IF(ISNA(F397),"",F397)</f>
        <v/>
      </c>
      <c r="H397" s="5" t="str">
        <f aca="false">IF(G397&lt;&gt;"",G397,E397)</f>
        <v>NEW ROUTE</v>
      </c>
      <c r="K397" s="1" t="s">
        <v>791</v>
      </c>
      <c r="L397" s="1" t="s">
        <v>790</v>
      </c>
    </row>
    <row r="398" customFormat="false" ht="12.75" hidden="false" customHeight="true" outlineLevel="0" collapsed="false">
      <c r="A398" s="4" t="s">
        <v>156</v>
      </c>
      <c r="B398" s="5" t="s">
        <v>156</v>
      </c>
      <c r="C398" s="1" t="str">
        <f aca="false">IF(B398="NEW ROUTE",1,"")</f>
        <v/>
      </c>
      <c r="E398" s="5" t="s">
        <v>156</v>
      </c>
      <c r="F398" s="6" t="str">
        <f aca="false">VLOOKUP(E398,$K$2:$L$426,2,FALSE())</f>
        <v>Cerulean Cave 1F</v>
      </c>
      <c r="G398" s="1" t="str">
        <f aca="false">IF(ISNA(F398),"",F398)</f>
        <v>Cerulean Cave 1F</v>
      </c>
      <c r="H398" s="5" t="str">
        <f aca="false">IF(G398&lt;&gt;"",G398,E398)</f>
        <v>Cerulean Cave 1F</v>
      </c>
      <c r="K398" s="1" t="s">
        <v>792</v>
      </c>
      <c r="L398" s="1" t="s">
        <v>793</v>
      </c>
    </row>
    <row r="399" customFormat="false" ht="12.75" hidden="false" customHeight="true" outlineLevel="0" collapsed="false">
      <c r="A399" s="4" t="s">
        <v>2799</v>
      </c>
      <c r="B399" s="5" t="n">
        <v>0.2</v>
      </c>
      <c r="C399" s="1" t="str">
        <f aca="false">IF(B399="NEW ROUTE",1,"")</f>
        <v/>
      </c>
      <c r="E399" s="5" t="n">
        <v>0.2</v>
      </c>
      <c r="F399" s="6" t="e">
        <f aca="false">VLOOKUP(E399,$K$2:$L$426,2,FALSE())</f>
        <v>#N/A</v>
      </c>
      <c r="G399" s="1" t="str">
        <f aca="false">IF(ISNA(F399),"",F399)</f>
        <v/>
      </c>
      <c r="H399" s="5" t="n">
        <f aca="false">IF(G399&lt;&gt;"",G399,E399)</f>
        <v>0.2</v>
      </c>
      <c r="K399" s="1" t="s">
        <v>794</v>
      </c>
      <c r="L399" s="1" t="s">
        <v>795</v>
      </c>
    </row>
    <row r="400" customFormat="false" ht="12.75" hidden="false" customHeight="true" outlineLevel="0" collapsed="false">
      <c r="A400" s="4" t="s">
        <v>1381</v>
      </c>
      <c r="B400" s="5" t="s">
        <v>1381</v>
      </c>
      <c r="C400" s="1" t="str">
        <f aca="false">IF(B400="NEW ROUTE",1,"")</f>
        <v/>
      </c>
      <c r="E400" s="5" t="s">
        <v>1381</v>
      </c>
      <c r="F400" s="6" t="e">
        <f aca="false">VLOOKUP(E400,$K$2:$L$426,2,FALSE())</f>
        <v>#N/A</v>
      </c>
      <c r="G400" s="1" t="str">
        <f aca="false">IF(ISNA(F400),"",F400)</f>
        <v/>
      </c>
      <c r="H400" s="5" t="str">
        <f aca="false">IF(G400&lt;&gt;"",G400,E400)</f>
        <v>50, 55, DUGROUPLE</v>
      </c>
      <c r="K400" s="1" t="s">
        <v>796</v>
      </c>
      <c r="L400" s="1" t="s">
        <v>797</v>
      </c>
    </row>
    <row r="401" customFormat="false" ht="12.75" hidden="false" customHeight="true" outlineLevel="0" collapsed="false">
      <c r="A401" s="4" t="s">
        <v>2957</v>
      </c>
      <c r="B401" s="5" t="s">
        <v>2957</v>
      </c>
      <c r="C401" s="1" t="str">
        <f aca="false">IF(B401="NEW ROUTE",1,"")</f>
        <v/>
      </c>
      <c r="E401" s="5" t="s">
        <v>2957</v>
      </c>
      <c r="F401" s="6" t="e">
        <f aca="false">VLOOKUP(E401,$K$2:$L$426,2,FALSE())</f>
        <v>#N/A</v>
      </c>
      <c r="G401" s="1" t="str">
        <f aca="false">IF(ISNA(F401),"",F401)</f>
        <v/>
      </c>
      <c r="H401" s="5" t="str">
        <f aca="false">IF(G401&lt;&gt;"",G401,E401)</f>
        <v>50, 55, POLABAT</v>
      </c>
      <c r="K401" s="1" t="s">
        <v>798</v>
      </c>
      <c r="L401" s="1" t="s">
        <v>799</v>
      </c>
    </row>
    <row r="402" customFormat="false" ht="12.75" hidden="false" customHeight="true" outlineLevel="0" collapsed="false">
      <c r="A402" s="4" t="s">
        <v>2801</v>
      </c>
      <c r="B402" s="5" t="n">
        <v>0.1</v>
      </c>
      <c r="C402" s="1" t="str">
        <f aca="false">IF(B402="NEW ROUTE",1,"")</f>
        <v/>
      </c>
      <c r="E402" s="5" t="n">
        <v>0.1</v>
      </c>
      <c r="F402" s="6" t="e">
        <f aca="false">VLOOKUP(E402,$K$2:$L$426,2,FALSE())</f>
        <v>#N/A</v>
      </c>
      <c r="G402" s="1" t="str">
        <f aca="false">IF(ISNA(F402),"",F402)</f>
        <v/>
      </c>
      <c r="H402" s="5" t="n">
        <f aca="false">IF(G402&lt;&gt;"",G402,E402)</f>
        <v>0.1</v>
      </c>
      <c r="K402" s="1" t="s">
        <v>800</v>
      </c>
      <c r="L402" s="1" t="s">
        <v>801</v>
      </c>
    </row>
    <row r="403" customFormat="false" ht="12.75" hidden="false" customHeight="true" outlineLevel="0" collapsed="false">
      <c r="A403" s="4" t="s">
        <v>2958</v>
      </c>
      <c r="B403" s="5" t="s">
        <v>2958</v>
      </c>
      <c r="C403" s="1" t="str">
        <f aca="false">IF(B403="NEW ROUTE",1,"")</f>
        <v/>
      </c>
      <c r="E403" s="5" t="s">
        <v>2958</v>
      </c>
      <c r="F403" s="6" t="e">
        <f aca="false">VLOOKUP(E403,$K$2:$L$426,2,FALSE())</f>
        <v>#N/A</v>
      </c>
      <c r="G403" s="1" t="str">
        <f aca="false">IF(ISNA(F403),"",F403)</f>
        <v/>
      </c>
      <c r="H403" s="5" t="str">
        <f aca="false">IF(G403&lt;&gt;"",G403,E403)</f>
        <v>52, 55, VENOMENON</v>
      </c>
      <c r="K403" s="1" t="s">
        <v>802</v>
      </c>
      <c r="L403" s="1" t="s">
        <v>803</v>
      </c>
    </row>
    <row r="404" customFormat="false" ht="12.75" hidden="false" customHeight="true" outlineLevel="0" collapsed="false">
      <c r="A404" s="4" t="s">
        <v>2959</v>
      </c>
      <c r="B404" s="5" t="s">
        <v>2959</v>
      </c>
      <c r="C404" s="1" t="str">
        <f aca="false">IF(B404="NEW ROUTE",1,"")</f>
        <v/>
      </c>
      <c r="E404" s="5" t="s">
        <v>2959</v>
      </c>
      <c r="F404" s="6" t="e">
        <f aca="false">VLOOKUP(E404,$K$2:$L$426,2,FALSE())</f>
        <v>#N/A</v>
      </c>
      <c r="G404" s="1" t="str">
        <f aca="false">IF(ISNA(F404),"",F404)</f>
        <v/>
      </c>
      <c r="H404" s="5" t="str">
        <f aca="false">IF(G404&lt;&gt;"",G404,E404)</f>
        <v>52, 55, "MR. JEST"</v>
      </c>
      <c r="K404" s="1" t="s">
        <v>804</v>
      </c>
      <c r="L404" s="1" t="s">
        <v>805</v>
      </c>
    </row>
    <row r="405" customFormat="false" ht="12.75" hidden="false" customHeight="true" outlineLevel="0" collapsed="false">
      <c r="A405" s="4" t="s">
        <v>2960</v>
      </c>
      <c r="B405" s="5" t="s">
        <v>2960</v>
      </c>
      <c r="C405" s="1" t="str">
        <f aca="false">IF(B405="NEW ROUTE",1,"")</f>
        <v/>
      </c>
      <c r="E405" s="5" t="s">
        <v>2960</v>
      </c>
      <c r="F405" s="6" t="e">
        <f aca="false">VLOOKUP(E405,$K$2:$L$426,2,FALSE())</f>
        <v>#N/A</v>
      </c>
      <c r="G405" s="1" t="str">
        <f aca="false">IF(ISNA(F405),"",F405)</f>
        <v/>
      </c>
      <c r="H405" s="5" t="str">
        <f aca="false">IF(G405&lt;&gt;"",G405,E405)</f>
        <v>52, 55, NIDORULY</v>
      </c>
      <c r="K405" s="1" t="s">
        <v>806</v>
      </c>
      <c r="L405" s="1" t="s">
        <v>805</v>
      </c>
    </row>
    <row r="406" customFormat="false" ht="12.75" hidden="false" customHeight="true" outlineLevel="0" collapsed="false">
      <c r="A406" s="4" t="s">
        <v>2961</v>
      </c>
      <c r="B406" s="5" t="s">
        <v>2961</v>
      </c>
      <c r="C406" s="1" t="str">
        <f aca="false">IF(B406="NEW ROUTE",1,"")</f>
        <v/>
      </c>
      <c r="E406" s="5" t="s">
        <v>2961</v>
      </c>
      <c r="F406" s="6" t="e">
        <f aca="false">VLOOKUP(E406,$K$2:$L$426,2,FALSE())</f>
        <v>#N/A</v>
      </c>
      <c r="G406" s="1" t="str">
        <f aca="false">IF(ISNA(F406),"",F406)</f>
        <v/>
      </c>
      <c r="H406" s="5" t="str">
        <f aca="false">IF(G406&lt;&gt;"",G406,E406)</f>
        <v>52, 55, NIDOREGAL</v>
      </c>
      <c r="K406" s="1" t="s">
        <v>807</v>
      </c>
      <c r="L406" s="1" t="s">
        <v>808</v>
      </c>
    </row>
    <row r="407" customFormat="false" ht="12.75" hidden="false" customHeight="true" outlineLevel="0" collapsed="false">
      <c r="A407" s="4" t="s">
        <v>2806</v>
      </c>
      <c r="B407" s="5" t="n">
        <v>0.05</v>
      </c>
      <c r="C407" s="1" t="str">
        <f aca="false">IF(B407="NEW ROUTE",1,"")</f>
        <v/>
      </c>
      <c r="E407" s="5" t="n">
        <v>0.05</v>
      </c>
      <c r="F407" s="6" t="e">
        <f aca="false">VLOOKUP(E407,$K$2:$L$426,2,FALSE())</f>
        <v>#N/A</v>
      </c>
      <c r="G407" s="1" t="str">
        <f aca="false">IF(ISNA(F407),"",F407)</f>
        <v/>
      </c>
      <c r="H407" s="5" t="n">
        <f aca="false">IF(G407&lt;&gt;"",G407,E407)</f>
        <v>0.05</v>
      </c>
      <c r="K407" s="1" t="s">
        <v>809</v>
      </c>
      <c r="L407" s="1" t="s">
        <v>810</v>
      </c>
    </row>
    <row r="408" customFormat="false" ht="12.75" hidden="false" customHeight="true" outlineLevel="0" collapsed="false">
      <c r="A408" s="4" t="s">
        <v>2962</v>
      </c>
      <c r="B408" s="5" t="s">
        <v>2962</v>
      </c>
      <c r="C408" s="1" t="str">
        <f aca="false">IF(B408="NEW ROUTE",1,"")</f>
        <v/>
      </c>
      <c r="E408" s="5" t="s">
        <v>2962</v>
      </c>
      <c r="F408" s="6" t="e">
        <f aca="false">VLOOKUP(E408,$K$2:$L$426,2,FALSE())</f>
        <v>#N/A</v>
      </c>
      <c r="G408" s="1" t="str">
        <f aca="false">IF(ISNA(F408),"",F408)</f>
        <v/>
      </c>
      <c r="H408" s="5" t="str">
        <f aca="false">IF(G408&lt;&gt;"",G408,E408)</f>
        <v>54, 56, MORPHO</v>
      </c>
      <c r="K408" s="1" t="s">
        <v>811</v>
      </c>
      <c r="L408" s="1" t="s">
        <v>812</v>
      </c>
    </row>
    <row r="409" customFormat="false" ht="12.75" hidden="false" customHeight="true" outlineLevel="0" collapsed="false">
      <c r="A409" s="4" t="s">
        <v>2963</v>
      </c>
      <c r="B409" s="5" t="s">
        <v>2963</v>
      </c>
      <c r="C409" s="1" t="str">
        <f aca="false">IF(B409="NEW ROUTE",1,"")</f>
        <v/>
      </c>
      <c r="E409" s="5" t="s">
        <v>2963</v>
      </c>
      <c r="F409" s="6" t="e">
        <f aca="false">VLOOKUP(E409,$K$2:$L$426,2,FALSE())</f>
        <v>#N/A</v>
      </c>
      <c r="G409" s="1" t="str">
        <f aca="false">IF(ISNA(F409),"",F409)</f>
        <v/>
      </c>
      <c r="H409" s="5" t="str">
        <f aca="false">IF(G409&lt;&gt;"",G409,E409)</f>
        <v>54, 56, MAGNEMELD</v>
      </c>
      <c r="K409" s="1" t="s">
        <v>813</v>
      </c>
      <c r="L409" s="1" t="s">
        <v>814</v>
      </c>
    </row>
    <row r="410" customFormat="false" ht="12.75" hidden="false" customHeight="true" outlineLevel="0" collapsed="false">
      <c r="A410" s="4" t="s">
        <v>2809</v>
      </c>
      <c r="B410" s="5" t="n">
        <v>0.04</v>
      </c>
      <c r="C410" s="1" t="str">
        <f aca="false">IF(B410="NEW ROUTE",1,"")</f>
        <v/>
      </c>
      <c r="E410" s="5" t="n">
        <v>0.04</v>
      </c>
      <c r="F410" s="6" t="e">
        <f aca="false">VLOOKUP(E410,$K$2:$L$426,2,FALSE())</f>
        <v>#N/A</v>
      </c>
      <c r="G410" s="1" t="str">
        <f aca="false">IF(ISNA(F410),"",F410)</f>
        <v/>
      </c>
      <c r="H410" s="5" t="n">
        <f aca="false">IF(G410&lt;&gt;"",G410,E410)</f>
        <v>0.04</v>
      </c>
      <c r="K410" s="1" t="s">
        <v>815</v>
      </c>
      <c r="L410" s="1" t="s">
        <v>816</v>
      </c>
    </row>
    <row r="411" customFormat="false" ht="12.75" hidden="false" customHeight="true" outlineLevel="0" collapsed="false">
      <c r="A411" s="4" t="s">
        <v>2964</v>
      </c>
      <c r="B411" s="5" t="s">
        <v>2964</v>
      </c>
      <c r="C411" s="1" t="str">
        <f aca="false">IF(B411="NEW ROUTE",1,"")</f>
        <v/>
      </c>
      <c r="E411" s="5" t="s">
        <v>2964</v>
      </c>
      <c r="F411" s="6" t="e">
        <f aca="false">VLOOKUP(E411,$K$2:$L$426,2,FALSE())</f>
        <v>#N/A</v>
      </c>
      <c r="G411" s="1" t="str">
        <f aca="false">IF(ISNA(F411),"",F411)</f>
        <v/>
      </c>
      <c r="H411" s="5" t="str">
        <f aca="false">IF(G411&lt;&gt;"",G411,E411)</f>
        <v>54, 56, VOHOO-DU</v>
      </c>
      <c r="K411" s="1" t="s">
        <v>817</v>
      </c>
      <c r="L411" s="1" t="s">
        <v>818</v>
      </c>
    </row>
    <row r="412" customFormat="false" ht="12.75" hidden="false" customHeight="true" outlineLevel="0" collapsed="false">
      <c r="A412" s="4" t="s">
        <v>2965</v>
      </c>
      <c r="B412" s="5" t="s">
        <v>2965</v>
      </c>
      <c r="C412" s="1" t="str">
        <f aca="false">IF(B412="NEW ROUTE",1,"")</f>
        <v/>
      </c>
      <c r="E412" s="5" t="s">
        <v>2965</v>
      </c>
      <c r="F412" s="6" t="e">
        <f aca="false">VLOOKUP(E412,$K$2:$L$426,2,FALSE())</f>
        <v>#N/A</v>
      </c>
      <c r="G412" s="1" t="str">
        <f aca="false">IF(ISNA(F412),"",F412)</f>
        <v/>
      </c>
      <c r="H412" s="5" t="str">
        <f aca="false">IF(G412&lt;&gt;"",G412,E412)</f>
        <v>54, 56, CLEFAEFAE</v>
      </c>
      <c r="K412" s="1" t="s">
        <v>819</v>
      </c>
      <c r="L412" s="1" t="s">
        <v>820</v>
      </c>
    </row>
    <row r="413" customFormat="false" ht="12.75" hidden="false" customHeight="true" outlineLevel="0" collapsed="false">
      <c r="A413" s="4" t="s">
        <v>2812</v>
      </c>
      <c r="B413" s="5" t="n">
        <v>0.01</v>
      </c>
      <c r="C413" s="1" t="str">
        <f aca="false">IF(B413="NEW ROUTE",1,"")</f>
        <v/>
      </c>
      <c r="E413" s="5" t="n">
        <v>0.01</v>
      </c>
      <c r="F413" s="6" t="e">
        <f aca="false">VLOOKUP(E413,$K$2:$L$426,2,FALSE())</f>
        <v>#N/A</v>
      </c>
      <c r="G413" s="1" t="str">
        <f aca="false">IF(ISNA(F413),"",F413)</f>
        <v/>
      </c>
      <c r="H413" s="5" t="n">
        <f aca="false">IF(G413&lt;&gt;"",G413,E413)</f>
        <v>0.01</v>
      </c>
      <c r="K413" s="1" t="s">
        <v>821</v>
      </c>
      <c r="L413" s="1" t="s">
        <v>822</v>
      </c>
    </row>
    <row r="414" customFormat="false" ht="12.75" hidden="false" customHeight="true" outlineLevel="0" collapsed="false">
      <c r="A414" s="4" t="s">
        <v>2966</v>
      </c>
      <c r="B414" s="5" t="s">
        <v>2966</v>
      </c>
      <c r="C414" s="1" t="str">
        <f aca="false">IF(B414="NEW ROUTE",1,"")</f>
        <v/>
      </c>
      <c r="E414" s="5" t="s">
        <v>2966</v>
      </c>
      <c r="F414" s="6" t="e">
        <f aca="false">VLOOKUP(E414,$K$2:$L$426,2,FALSE())</f>
        <v>#N/A</v>
      </c>
      <c r="G414" s="1" t="str">
        <f aca="false">IF(ISNA(F414),"",F414)</f>
        <v/>
      </c>
      <c r="H414" s="5" t="str">
        <f aca="false">IF(G414&lt;&gt;"",G414,E414)</f>
        <v>55, 56, KABUTAK</v>
      </c>
      <c r="K414" s="1" t="s">
        <v>823</v>
      </c>
      <c r="L414" s="1" t="s">
        <v>824</v>
      </c>
    </row>
    <row r="415" customFormat="false" ht="12.75" hidden="false" customHeight="true" outlineLevel="0" collapsed="false">
      <c r="A415" s="4" t="s">
        <v>2967</v>
      </c>
      <c r="B415" s="5" t="s">
        <v>2967</v>
      </c>
      <c r="C415" s="1" t="str">
        <f aca="false">IF(B415="NEW ROUTE",1,"")</f>
        <v/>
      </c>
      <c r="E415" s="5" t="s">
        <v>2967</v>
      </c>
      <c r="F415" s="6" t="e">
        <f aca="false">VLOOKUP(E415,$K$2:$L$426,2,FALSE())</f>
        <v>#N/A</v>
      </c>
      <c r="G415" s="1" t="str">
        <f aca="false">IF(ISNA(F415),"",F415)</f>
        <v/>
      </c>
      <c r="H415" s="5" t="str">
        <f aca="false">IF(G415&lt;&gt;"",G415,E415)</f>
        <v>55, 56, OMAPAL</v>
      </c>
      <c r="K415" s="1" t="s">
        <v>825</v>
      </c>
      <c r="L415" s="1" t="s">
        <v>826</v>
      </c>
    </row>
    <row r="416" customFormat="false" ht="12.75" hidden="false" customHeight="true" outlineLevel="0" collapsed="false">
      <c r="A416" s="4" t="s">
        <v>2968</v>
      </c>
      <c r="B416" s="5" t="s">
        <v>2968</v>
      </c>
      <c r="C416" s="1" t="str">
        <f aca="false">IF(B416="NEW ROUTE",1,"")</f>
        <v/>
      </c>
      <c r="E416" s="5" t="s">
        <v>2968</v>
      </c>
      <c r="F416" s="6" t="e">
        <f aca="false">VLOOKUP(E416,$K$2:$L$426,2,FALSE())</f>
        <v>#N/A</v>
      </c>
      <c r="G416" s="1" t="str">
        <f aca="false">IF(ISNA(F416),"",F416)</f>
        <v/>
      </c>
      <c r="H416" s="5" t="str">
        <f aca="false">IF(G416&lt;&gt;"",G416,E416)</f>
        <v>2, 50, 55, POLITOES</v>
      </c>
      <c r="K416" s="1" t="s">
        <v>827</v>
      </c>
      <c r="L416" s="1" t="s">
        <v>828</v>
      </c>
    </row>
    <row r="417" customFormat="false" ht="12.75" hidden="false" customHeight="true" outlineLevel="0" collapsed="false">
      <c r="A417" s="4" t="s">
        <v>2969</v>
      </c>
      <c r="B417" s="5" t="s">
        <v>2969</v>
      </c>
      <c r="C417" s="1" t="str">
        <f aca="false">IF(B417="NEW ROUTE",1,"")</f>
        <v/>
      </c>
      <c r="E417" s="5" t="s">
        <v>2969</v>
      </c>
      <c r="F417" s="6" t="e">
        <f aca="false">VLOOKUP(E417,$K$2:$L$426,2,FALSE())</f>
        <v>#N/A</v>
      </c>
      <c r="G417" s="1" t="str">
        <f aca="false">IF(ISNA(F417),"",F417)</f>
        <v/>
      </c>
      <c r="H417" s="5" t="str">
        <f aca="false">IF(G417&lt;&gt;"",G417,E417)</f>
        <v>50, 55, DRAGONITE</v>
      </c>
      <c r="K417" s="1" t="s">
        <v>829</v>
      </c>
      <c r="L417" s="1" t="s">
        <v>830</v>
      </c>
    </row>
    <row r="418" customFormat="false" ht="12.75" hidden="false" customHeight="true" outlineLevel="0" collapsed="false">
      <c r="A418" s="4" t="s">
        <v>2970</v>
      </c>
      <c r="B418" s="5" t="s">
        <v>2970</v>
      </c>
      <c r="C418" s="1" t="str">
        <f aca="false">IF(B418="NEW ROUTE",1,"")</f>
        <v/>
      </c>
      <c r="E418" s="5" t="s">
        <v>2970</v>
      </c>
      <c r="F418" s="6" t="e">
        <f aca="false">VLOOKUP(E418,$K$2:$L$426,2,FALSE())</f>
        <v>#N/A</v>
      </c>
      <c r="G418" s="1" t="str">
        <f aca="false">IF(ISNA(F418),"",F418)</f>
        <v/>
      </c>
      <c r="H418" s="5" t="str">
        <f aca="false">IF(G418&lt;&gt;"",G418,E418)</f>
        <v>52, 57, POLIWISE</v>
      </c>
      <c r="K418" s="1" t="s">
        <v>831</v>
      </c>
      <c r="L418" s="1" t="s">
        <v>832</v>
      </c>
    </row>
    <row r="419" customFormat="false" ht="12.75" hidden="false" customHeight="true" outlineLevel="0" collapsed="false">
      <c r="A419" s="4" t="s">
        <v>2971</v>
      </c>
      <c r="B419" s="5" t="s">
        <v>2971</v>
      </c>
      <c r="C419" s="1" t="str">
        <f aca="false">IF(B419="NEW ROUTE",1,"")</f>
        <v/>
      </c>
      <c r="E419" s="5" t="s">
        <v>2971</v>
      </c>
      <c r="F419" s="6" t="e">
        <f aca="false">VLOOKUP(E419,$K$2:$L$426,2,FALSE())</f>
        <v>#N/A</v>
      </c>
      <c r="G419" s="1" t="str">
        <f aca="false">IF(ISNA(F419),"",F419)</f>
        <v/>
      </c>
      <c r="H419" s="5" t="str">
        <f aca="false">IF(G419&lt;&gt;"",G419,E419)</f>
        <v>52, 57, DRAGONIER</v>
      </c>
      <c r="K419" s="1" t="s">
        <v>833</v>
      </c>
      <c r="L419" s="1" t="s">
        <v>834</v>
      </c>
    </row>
    <row r="420" customFormat="false" ht="12.75" hidden="false" customHeight="true" outlineLevel="0" collapsed="false">
      <c r="A420" s="4" t="s">
        <v>2972</v>
      </c>
      <c r="B420" s="5" t="s">
        <v>2972</v>
      </c>
      <c r="C420" s="1" t="str">
        <f aca="false">IF(B420="NEW ROUTE",1,"")</f>
        <v/>
      </c>
      <c r="E420" s="5" t="s">
        <v>2972</v>
      </c>
      <c r="F420" s="6" t="e">
        <f aca="false">VLOOKUP(E420,$K$2:$L$426,2,FALSE())</f>
        <v>#N/A</v>
      </c>
      <c r="G420" s="1" t="str">
        <f aca="false">IF(ISNA(F420),"",F420)</f>
        <v/>
      </c>
      <c r="H420" s="5" t="str">
        <f aca="false">IF(G420&lt;&gt;"",G420,E420)</f>
        <v>53, 58, NESSEA</v>
      </c>
      <c r="K420" s="1" t="s">
        <v>835</v>
      </c>
      <c r="L420" s="1" t="s">
        <v>836</v>
      </c>
    </row>
    <row r="421" customFormat="false" ht="12.75" hidden="false" customHeight="true" outlineLevel="0" collapsed="false">
      <c r="A421" s="4" t="s">
        <v>2925</v>
      </c>
      <c r="B421" s="5" t="s">
        <v>2925</v>
      </c>
      <c r="C421" s="1" t="str">
        <f aca="false">IF(B421="NEW ROUTE",1,"")</f>
        <v/>
      </c>
      <c r="E421" s="5" t="s">
        <v>2925</v>
      </c>
      <c r="F421" s="6" t="e">
        <f aca="false">VLOOKUP(E421,$K$2:$L$426,2,FALSE())</f>
        <v>#N/A</v>
      </c>
      <c r="G421" s="1" t="str">
        <f aca="false">IF(ISNA(F421),"",F421)</f>
        <v/>
      </c>
      <c r="H421" s="5" t="str">
        <f aca="false">IF(G421&lt;&gt;"",G421,E421)</f>
        <v>20, old rod:</v>
      </c>
      <c r="K421" s="1" t="s">
        <v>837</v>
      </c>
      <c r="L421" s="1" t="s">
        <v>838</v>
      </c>
    </row>
    <row r="422" customFormat="false" ht="12.75" hidden="false" customHeight="true" outlineLevel="0" collapsed="false">
      <c r="A422" s="4" t="s">
        <v>1397</v>
      </c>
      <c r="B422" s="5" t="s">
        <v>1397</v>
      </c>
      <c r="C422" s="1" t="str">
        <f aca="false">IF(B422="NEW ROUTE",1,"")</f>
        <v/>
      </c>
      <c r="E422" s="5" t="s">
        <v>1397</v>
      </c>
      <c r="F422" s="6" t="e">
        <f aca="false">VLOOKUP(E422,$K$2:$L$426,2,FALSE())</f>
        <v>#N/A</v>
      </c>
      <c r="G422" s="1" t="str">
        <f aca="false">IF(ISNA(F422),"",F422)</f>
        <v/>
      </c>
      <c r="H422" s="5" t="str">
        <f aca="false">IF(G422&lt;&gt;"",G422,E422)</f>
        <v>23, 36, CLOYSTER</v>
      </c>
      <c r="K422" s="1" t="s">
        <v>839</v>
      </c>
      <c r="L422" s="1" t="s">
        <v>840</v>
      </c>
    </row>
    <row r="423" customFormat="false" ht="12.75" hidden="false" customHeight="true" outlineLevel="0" collapsed="false">
      <c r="A423" s="4" t="s">
        <v>2973</v>
      </c>
      <c r="B423" s="5" t="s">
        <v>2973</v>
      </c>
      <c r="C423" s="1" t="str">
        <f aca="false">IF(B423="NEW ROUTE",1,"")</f>
        <v/>
      </c>
      <c r="E423" s="5" t="s">
        <v>2973</v>
      </c>
      <c r="F423" s="6" t="e">
        <f aca="false">VLOOKUP(E423,$K$2:$L$426,2,FALSE())</f>
        <v>#N/A</v>
      </c>
      <c r="G423" s="1" t="str">
        <f aca="false">IF(ISNA(F423),"",F423)</f>
        <v/>
      </c>
      <c r="H423" s="5" t="str">
        <f aca="false">IF(G423&lt;&gt;"",G423,E423)</f>
        <v>23, 36, GYARADOS</v>
      </c>
      <c r="K423" s="1" t="s">
        <v>841</v>
      </c>
      <c r="L423" s="1" t="s">
        <v>842</v>
      </c>
    </row>
    <row r="424" customFormat="false" ht="12.75" hidden="false" customHeight="true" outlineLevel="0" collapsed="false">
      <c r="A424" s="4" t="s">
        <v>2846</v>
      </c>
      <c r="B424" s="5" t="s">
        <v>2846</v>
      </c>
      <c r="C424" s="1" t="str">
        <f aca="false">IF(B424="NEW ROUTE",1,"")</f>
        <v/>
      </c>
      <c r="E424" s="5" t="s">
        <v>2846</v>
      </c>
      <c r="F424" s="6" t="e">
        <f aca="false">VLOOKUP(E424,$K$2:$L$426,2,FALSE())</f>
        <v>#N/A</v>
      </c>
      <c r="G424" s="1" t="str">
        <f aca="false">IF(ISNA(F424),"",F424)</f>
        <v/>
      </c>
      <c r="H424" s="5" t="str">
        <f aca="false">IF(G424&lt;&gt;"",G424,E424)</f>
        <v>good rod:</v>
      </c>
      <c r="K424" s="1" t="s">
        <v>843</v>
      </c>
      <c r="L424" s="1" t="s">
        <v>844</v>
      </c>
    </row>
    <row r="425" customFormat="false" ht="12.75" hidden="false" customHeight="true" outlineLevel="0" collapsed="false">
      <c r="A425" s="4" t="s">
        <v>2974</v>
      </c>
      <c r="B425" s="5" t="s">
        <v>2974</v>
      </c>
      <c r="C425" s="1" t="str">
        <f aca="false">IF(B425="NEW ROUTE",1,"")</f>
        <v/>
      </c>
      <c r="E425" s="5" t="s">
        <v>2974</v>
      </c>
      <c r="F425" s="6" t="e">
        <f aca="false">VLOOKUP(E425,$K$2:$L$426,2,FALSE())</f>
        <v>#N/A</v>
      </c>
      <c r="G425" s="1" t="str">
        <f aca="false">IF(ISNA(F425),"",F425)</f>
        <v/>
      </c>
      <c r="H425" s="5" t="str">
        <f aca="false">IF(G425&lt;&gt;"",G425,E425)</f>
        <v>30, 38, CLOYSTER</v>
      </c>
      <c r="K425" s="1" t="s">
        <v>845</v>
      </c>
      <c r="L425" s="1" t="s">
        <v>846</v>
      </c>
    </row>
    <row r="426" customFormat="false" ht="12.75" hidden="false" customHeight="true" outlineLevel="0" collapsed="false">
      <c r="A426" s="4" t="s">
        <v>2975</v>
      </c>
      <c r="B426" s="5" t="s">
        <v>2975</v>
      </c>
      <c r="C426" s="1" t="str">
        <f aca="false">IF(B426="NEW ROUTE",1,"")</f>
        <v/>
      </c>
      <c r="E426" s="5" t="s">
        <v>2975</v>
      </c>
      <c r="F426" s="6" t="e">
        <f aca="false">VLOOKUP(E426,$K$2:$L$426,2,FALSE())</f>
        <v>#N/A</v>
      </c>
      <c r="G426" s="1" t="str">
        <f aca="false">IF(ISNA(F426),"",F426)</f>
        <v/>
      </c>
      <c r="H426" s="5" t="str">
        <f aca="false">IF(G426&lt;&gt;"",G426,E426)</f>
        <v>32, 40, KINGDRA</v>
      </c>
      <c r="K426" s="1" t="s">
        <v>847</v>
      </c>
      <c r="L426" s="1" t="s">
        <v>848</v>
      </c>
    </row>
    <row r="427" customFormat="false" ht="12.75" hidden="false" customHeight="true" outlineLevel="0" collapsed="false">
      <c r="A427" s="4" t="s">
        <v>2976</v>
      </c>
      <c r="B427" s="5" t="s">
        <v>2976</v>
      </c>
      <c r="C427" s="1" t="str">
        <f aca="false">IF(B427="NEW ROUTE",1,"")</f>
        <v/>
      </c>
      <c r="E427" s="5" t="s">
        <v>2976</v>
      </c>
      <c r="F427" s="6" t="e">
        <f aca="false">VLOOKUP(E427,$K$2:$L$426,2,FALSE())</f>
        <v>#N/A</v>
      </c>
      <c r="G427" s="1" t="str">
        <f aca="false">IF(ISNA(F427),"",F427)</f>
        <v/>
      </c>
      <c r="H427" s="5" t="str">
        <f aca="false">IF(G427&lt;&gt;"",G427,E427)</f>
        <v>32, 40, HYDRADOS</v>
      </c>
    </row>
    <row r="428" customFormat="false" ht="12.75" hidden="false" customHeight="true" outlineLevel="0" collapsed="false">
      <c r="A428" s="4" t="s">
        <v>2850</v>
      </c>
      <c r="B428" s="5" t="s">
        <v>2850</v>
      </c>
      <c r="C428" s="1" t="str">
        <f aca="false">IF(B428="NEW ROUTE",1,"")</f>
        <v/>
      </c>
      <c r="E428" s="5" t="s">
        <v>2850</v>
      </c>
      <c r="F428" s="6" t="e">
        <f aca="false">VLOOKUP(E428,$K$2:$L$426,2,FALSE())</f>
        <v>#N/A</v>
      </c>
      <c r="G428" s="1" t="str">
        <f aca="false">IF(ISNA(F428),"",F428)</f>
        <v/>
      </c>
      <c r="H428" s="5" t="str">
        <f aca="false">IF(G428&lt;&gt;"",G428,E428)</f>
        <v>super rod:</v>
      </c>
    </row>
    <row r="429" customFormat="false" ht="12.75" hidden="false" customHeight="true" outlineLevel="0" collapsed="false">
      <c r="A429" s="4" t="s">
        <v>2977</v>
      </c>
      <c r="B429" s="5" t="s">
        <v>2977</v>
      </c>
      <c r="C429" s="1" t="str">
        <f aca="false">IF(B429="NEW ROUTE",1,"")</f>
        <v/>
      </c>
      <c r="E429" s="5" t="s">
        <v>2977</v>
      </c>
      <c r="F429" s="6" t="e">
        <f aca="false">VLOOKUP(E429,$K$2:$L$426,2,FALSE())</f>
        <v>#N/A</v>
      </c>
      <c r="G429" s="1" t="str">
        <f aca="false">IF(ISNA(F429),"",F429)</f>
        <v/>
      </c>
      <c r="H429" s="5" t="str">
        <f aca="false">IF(G429&lt;&gt;"",G429,E429)</f>
        <v>50, 55, LORDRA</v>
      </c>
    </row>
    <row r="430" customFormat="false" ht="12.75" hidden="false" customHeight="true" outlineLevel="0" collapsed="false">
      <c r="A430" s="4" t="s">
        <v>2978</v>
      </c>
      <c r="B430" s="5" t="s">
        <v>2978</v>
      </c>
      <c r="C430" s="1" t="str">
        <f aca="false">IF(B430="NEW ROUTE",1,"")</f>
        <v/>
      </c>
      <c r="E430" s="5" t="s">
        <v>2978</v>
      </c>
      <c r="F430" s="6" t="e">
        <f aca="false">VLOOKUP(E430,$K$2:$L$426,2,FALSE())</f>
        <v>#N/A</v>
      </c>
      <c r="G430" s="1" t="str">
        <f aca="false">IF(ISNA(F430),"",F430)</f>
        <v/>
      </c>
      <c r="H430" s="5" t="str">
        <f aca="false">IF(G430&lt;&gt;"",G430,E430)</f>
        <v>50, 55, AN'ENEMY</v>
      </c>
    </row>
    <row r="431" customFormat="false" ht="12.75" hidden="false" customHeight="true" outlineLevel="0" collapsed="false">
      <c r="A431" s="4" t="s">
        <v>2979</v>
      </c>
      <c r="B431" s="5" t="s">
        <v>2979</v>
      </c>
      <c r="C431" s="1" t="str">
        <f aca="false">IF(B431="NEW ROUTE",1,"")</f>
        <v/>
      </c>
      <c r="E431" s="5" t="s">
        <v>2979</v>
      </c>
      <c r="F431" s="6" t="e">
        <f aca="false">VLOOKUP(E431,$K$2:$L$426,2,FALSE())</f>
        <v>#N/A</v>
      </c>
      <c r="G431" s="1" t="str">
        <f aca="false">IF(ISNA(F431),"",F431)</f>
        <v/>
      </c>
      <c r="H431" s="5" t="str">
        <f aca="false">IF(G431&lt;&gt;"",G431,E431)</f>
        <v>52, 57, DRACOSMIC</v>
      </c>
    </row>
    <row r="432" customFormat="false" ht="12.75" hidden="false" customHeight="true" outlineLevel="0" collapsed="false">
      <c r="A432" s="4" t="s">
        <v>2980</v>
      </c>
      <c r="B432" s="5" t="s">
        <v>2980</v>
      </c>
      <c r="C432" s="1" t="str">
        <f aca="false">IF(B432="NEW ROUTE",1,"")</f>
        <v/>
      </c>
      <c r="E432" s="5" t="s">
        <v>2980</v>
      </c>
      <c r="F432" s="6" t="e">
        <f aca="false">VLOOKUP(E432,$K$2:$L$426,2,FALSE())</f>
        <v>#N/A</v>
      </c>
      <c r="G432" s="1" t="str">
        <f aca="false">IF(ISNA(F432),"",F432)</f>
        <v/>
      </c>
      <c r="H432" s="5" t="str">
        <f aca="false">IF(G432&lt;&gt;"",G432,E432)</f>
        <v>52, 57, GLAISHELL</v>
      </c>
    </row>
    <row r="433" customFormat="false" ht="12.75" hidden="false" customHeight="true" outlineLevel="0" collapsed="false">
      <c r="A433" s="4" t="s">
        <v>2981</v>
      </c>
      <c r="B433" s="5" t="s">
        <v>2981</v>
      </c>
      <c r="C433" s="1" t="str">
        <f aca="false">IF(B433="NEW ROUTE",1,"")</f>
        <v/>
      </c>
      <c r="E433" s="5" t="s">
        <v>2981</v>
      </c>
      <c r="F433" s="6" t="e">
        <f aca="false">VLOOKUP(E433,$K$2:$L$426,2,FALSE())</f>
        <v>#N/A</v>
      </c>
      <c r="G433" s="1" t="str">
        <f aca="false">IF(ISNA(F433),"",F433)</f>
        <v/>
      </c>
      <c r="H433" s="5" t="str">
        <f aca="false">IF(G433&lt;&gt;"",G433,E433)</f>
        <v>53, 58, STARWE</v>
      </c>
    </row>
    <row r="434" customFormat="false" ht="12.75" hidden="false" customHeight="true" outlineLevel="0" collapsed="false">
      <c r="A434" s="4" t="s">
        <v>2536</v>
      </c>
      <c r="B434" s="5" t="s">
        <v>2536</v>
      </c>
      <c r="C434" s="1" t="n">
        <f aca="false">IF(B434="NEW ROUTE",1,"")</f>
        <v>1</v>
      </c>
      <c r="E434" s="5" t="s">
        <v>2536</v>
      </c>
      <c r="F434" s="6" t="e">
        <f aca="false">VLOOKUP(E434,$K$2:$L$426,2,FALSE())</f>
        <v>#N/A</v>
      </c>
      <c r="G434" s="1" t="str">
        <f aca="false">IF(ISNA(F434),"",F434)</f>
        <v/>
      </c>
      <c r="H434" s="5" t="str">
        <f aca="false">IF(G434&lt;&gt;"",G434,E434)</f>
        <v>NEW ROUTE</v>
      </c>
    </row>
    <row r="435" customFormat="false" ht="12.75" hidden="false" customHeight="true" outlineLevel="0" collapsed="false">
      <c r="A435" s="4" t="s">
        <v>158</v>
      </c>
      <c r="B435" s="5" t="s">
        <v>158</v>
      </c>
      <c r="C435" s="1" t="str">
        <f aca="false">IF(B435="NEW ROUTE",1,"")</f>
        <v/>
      </c>
      <c r="E435" s="5" t="s">
        <v>158</v>
      </c>
      <c r="F435" s="6" t="str">
        <f aca="false">VLOOKUP(E435,$K$2:$L$426,2,FALSE())</f>
        <v>Cerulean Cave 2F</v>
      </c>
      <c r="G435" s="1" t="str">
        <f aca="false">IF(ISNA(F435),"",F435)</f>
        <v>Cerulean Cave 2F</v>
      </c>
      <c r="H435" s="5" t="str">
        <f aca="false">IF(G435&lt;&gt;"",G435,E435)</f>
        <v>Cerulean Cave 2F</v>
      </c>
    </row>
    <row r="436" customFormat="false" ht="12.75" hidden="false" customHeight="true" outlineLevel="0" collapsed="false">
      <c r="A436" s="4" t="s">
        <v>2799</v>
      </c>
      <c r="B436" s="5" t="n">
        <v>0.2</v>
      </c>
      <c r="C436" s="1" t="str">
        <f aca="false">IF(B436="NEW ROUTE",1,"")</f>
        <v/>
      </c>
      <c r="E436" s="5" t="n">
        <v>0.2</v>
      </c>
      <c r="F436" s="6" t="e">
        <f aca="false">VLOOKUP(E436,$K$2:$L$426,2,FALSE())</f>
        <v>#N/A</v>
      </c>
      <c r="G436" s="1" t="str">
        <f aca="false">IF(ISNA(F436),"",F436)</f>
        <v/>
      </c>
      <c r="H436" s="5" t="n">
        <f aca="false">IF(G436&lt;&gt;"",G436,E436)</f>
        <v>0.2</v>
      </c>
    </row>
    <row r="437" customFormat="false" ht="12.75" hidden="false" customHeight="true" outlineLevel="0" collapsed="false">
      <c r="A437" s="4" t="s">
        <v>1381</v>
      </c>
      <c r="B437" s="5" t="s">
        <v>1381</v>
      </c>
      <c r="C437" s="1" t="str">
        <f aca="false">IF(B437="NEW ROUTE",1,"")</f>
        <v/>
      </c>
      <c r="E437" s="5" t="s">
        <v>1381</v>
      </c>
      <c r="F437" s="6" t="e">
        <f aca="false">VLOOKUP(E437,$K$2:$L$426,2,FALSE())</f>
        <v>#N/A</v>
      </c>
      <c r="G437" s="1" t="str">
        <f aca="false">IF(ISNA(F437),"",F437)</f>
        <v/>
      </c>
      <c r="H437" s="5" t="str">
        <f aca="false">IF(G437&lt;&gt;"",G437,E437)</f>
        <v>50, 55, DUGROUPLE</v>
      </c>
    </row>
    <row r="438" customFormat="false" ht="12.75" hidden="false" customHeight="true" outlineLevel="0" collapsed="false">
      <c r="A438" s="4" t="s">
        <v>2957</v>
      </c>
      <c r="B438" s="5" t="s">
        <v>2957</v>
      </c>
      <c r="C438" s="1" t="str">
        <f aca="false">IF(B438="NEW ROUTE",1,"")</f>
        <v/>
      </c>
      <c r="E438" s="5" t="s">
        <v>2957</v>
      </c>
      <c r="F438" s="6" t="e">
        <f aca="false">VLOOKUP(E438,$K$2:$L$426,2,FALSE())</f>
        <v>#N/A</v>
      </c>
      <c r="G438" s="1" t="str">
        <f aca="false">IF(ISNA(F438),"",F438)</f>
        <v/>
      </c>
      <c r="H438" s="5" t="str">
        <f aca="false">IF(G438&lt;&gt;"",G438,E438)</f>
        <v>50, 55, POLABAT</v>
      </c>
    </row>
    <row r="439" customFormat="false" ht="12.75" hidden="false" customHeight="true" outlineLevel="0" collapsed="false">
      <c r="A439" s="4" t="s">
        <v>2801</v>
      </c>
      <c r="B439" s="5" t="n">
        <v>0.1</v>
      </c>
      <c r="C439" s="1" t="str">
        <f aca="false">IF(B439="NEW ROUTE",1,"")</f>
        <v/>
      </c>
      <c r="E439" s="5" t="n">
        <v>0.1</v>
      </c>
      <c r="F439" s="6" t="e">
        <f aca="false">VLOOKUP(E439,$K$2:$L$426,2,FALSE())</f>
        <v>#N/A</v>
      </c>
      <c r="G439" s="1" t="str">
        <f aca="false">IF(ISNA(F439),"",F439)</f>
        <v/>
      </c>
      <c r="H439" s="5" t="n">
        <f aca="false">IF(G439&lt;&gt;"",G439,E439)</f>
        <v>0.1</v>
      </c>
    </row>
    <row r="440" customFormat="false" ht="12.75" hidden="false" customHeight="true" outlineLevel="0" collapsed="false">
      <c r="A440" s="4" t="s">
        <v>2958</v>
      </c>
      <c r="B440" s="5" t="s">
        <v>2958</v>
      </c>
      <c r="C440" s="1" t="str">
        <f aca="false">IF(B440="NEW ROUTE",1,"")</f>
        <v/>
      </c>
      <c r="E440" s="5" t="s">
        <v>2958</v>
      </c>
      <c r="F440" s="6" t="e">
        <f aca="false">VLOOKUP(E440,$K$2:$L$426,2,FALSE())</f>
        <v>#N/A</v>
      </c>
      <c r="G440" s="1" t="str">
        <f aca="false">IF(ISNA(F440),"",F440)</f>
        <v/>
      </c>
      <c r="H440" s="5" t="str">
        <f aca="false">IF(G440&lt;&gt;"",G440,E440)</f>
        <v>52, 55, VENOMENON</v>
      </c>
    </row>
    <row r="441" customFormat="false" ht="12.75" hidden="false" customHeight="true" outlineLevel="0" collapsed="false">
      <c r="A441" s="4" t="s">
        <v>2959</v>
      </c>
      <c r="B441" s="5" t="s">
        <v>2959</v>
      </c>
      <c r="C441" s="1" t="str">
        <f aca="false">IF(B441="NEW ROUTE",1,"")</f>
        <v/>
      </c>
      <c r="E441" s="5" t="s">
        <v>2959</v>
      </c>
      <c r="F441" s="6" t="e">
        <f aca="false">VLOOKUP(E441,$K$2:$L$426,2,FALSE())</f>
        <v>#N/A</v>
      </c>
      <c r="G441" s="1" t="str">
        <f aca="false">IF(ISNA(F441),"",F441)</f>
        <v/>
      </c>
      <c r="H441" s="5" t="str">
        <f aca="false">IF(G441&lt;&gt;"",G441,E441)</f>
        <v>52, 55, "MR. JEST"</v>
      </c>
    </row>
    <row r="442" customFormat="false" ht="12.75" hidden="false" customHeight="true" outlineLevel="0" collapsed="false">
      <c r="A442" s="4" t="s">
        <v>2960</v>
      </c>
      <c r="B442" s="5" t="s">
        <v>2960</v>
      </c>
      <c r="C442" s="1" t="str">
        <f aca="false">IF(B442="NEW ROUTE",1,"")</f>
        <v/>
      </c>
      <c r="E442" s="5" t="s">
        <v>2960</v>
      </c>
      <c r="F442" s="6" t="e">
        <f aca="false">VLOOKUP(E442,$K$2:$L$426,2,FALSE())</f>
        <v>#N/A</v>
      </c>
      <c r="G442" s="1" t="str">
        <f aca="false">IF(ISNA(F442),"",F442)</f>
        <v/>
      </c>
      <c r="H442" s="5" t="str">
        <f aca="false">IF(G442&lt;&gt;"",G442,E442)</f>
        <v>52, 55, NIDORULY</v>
      </c>
    </row>
    <row r="443" customFormat="false" ht="12.75" hidden="false" customHeight="true" outlineLevel="0" collapsed="false">
      <c r="A443" s="4" t="s">
        <v>2961</v>
      </c>
      <c r="B443" s="5" t="s">
        <v>2961</v>
      </c>
      <c r="C443" s="1" t="str">
        <f aca="false">IF(B443="NEW ROUTE",1,"")</f>
        <v/>
      </c>
      <c r="E443" s="5" t="s">
        <v>2961</v>
      </c>
      <c r="F443" s="6" t="e">
        <f aca="false">VLOOKUP(E443,$K$2:$L$426,2,FALSE())</f>
        <v>#N/A</v>
      </c>
      <c r="G443" s="1" t="str">
        <f aca="false">IF(ISNA(F443),"",F443)</f>
        <v/>
      </c>
      <c r="H443" s="5" t="str">
        <f aca="false">IF(G443&lt;&gt;"",G443,E443)</f>
        <v>52, 55, NIDOREGAL</v>
      </c>
    </row>
    <row r="444" customFormat="false" ht="12.75" hidden="false" customHeight="true" outlineLevel="0" collapsed="false">
      <c r="A444" s="4" t="s">
        <v>2806</v>
      </c>
      <c r="B444" s="5" t="n">
        <v>0.05</v>
      </c>
      <c r="C444" s="1" t="str">
        <f aca="false">IF(B444="NEW ROUTE",1,"")</f>
        <v/>
      </c>
      <c r="E444" s="5" t="n">
        <v>0.05</v>
      </c>
      <c r="F444" s="6" t="e">
        <f aca="false">VLOOKUP(E444,$K$2:$L$426,2,FALSE())</f>
        <v>#N/A</v>
      </c>
      <c r="G444" s="1" t="str">
        <f aca="false">IF(ISNA(F444),"",F444)</f>
        <v/>
      </c>
      <c r="H444" s="5" t="n">
        <f aca="false">IF(G444&lt;&gt;"",G444,E444)</f>
        <v>0.05</v>
      </c>
    </row>
    <row r="445" customFormat="false" ht="12.75" hidden="false" customHeight="true" outlineLevel="0" collapsed="false">
      <c r="A445" s="4" t="s">
        <v>2962</v>
      </c>
      <c r="B445" s="5" t="s">
        <v>2962</v>
      </c>
      <c r="C445" s="1" t="str">
        <f aca="false">IF(B445="NEW ROUTE",1,"")</f>
        <v/>
      </c>
      <c r="E445" s="5" t="s">
        <v>2962</v>
      </c>
      <c r="F445" s="6" t="e">
        <f aca="false">VLOOKUP(E445,$K$2:$L$426,2,FALSE())</f>
        <v>#N/A</v>
      </c>
      <c r="G445" s="1" t="str">
        <f aca="false">IF(ISNA(F445),"",F445)</f>
        <v/>
      </c>
      <c r="H445" s="5" t="str">
        <f aca="false">IF(G445&lt;&gt;"",G445,E445)</f>
        <v>54, 56, MORPHO</v>
      </c>
    </row>
    <row r="446" customFormat="false" ht="12.75" hidden="false" customHeight="true" outlineLevel="0" collapsed="false">
      <c r="A446" s="4" t="s">
        <v>2963</v>
      </c>
      <c r="B446" s="5" t="s">
        <v>2963</v>
      </c>
      <c r="C446" s="1" t="str">
        <f aca="false">IF(B446="NEW ROUTE",1,"")</f>
        <v/>
      </c>
      <c r="E446" s="5" t="s">
        <v>2963</v>
      </c>
      <c r="F446" s="6" t="e">
        <f aca="false">VLOOKUP(E446,$K$2:$L$426,2,FALSE())</f>
        <v>#N/A</v>
      </c>
      <c r="G446" s="1" t="str">
        <f aca="false">IF(ISNA(F446),"",F446)</f>
        <v/>
      </c>
      <c r="H446" s="5" t="str">
        <f aca="false">IF(G446&lt;&gt;"",G446,E446)</f>
        <v>54, 56, MAGNEMELD</v>
      </c>
    </row>
    <row r="447" customFormat="false" ht="12.75" hidden="false" customHeight="true" outlineLevel="0" collapsed="false">
      <c r="A447" s="4" t="s">
        <v>2809</v>
      </c>
      <c r="B447" s="5" t="n">
        <v>0.04</v>
      </c>
      <c r="C447" s="1" t="str">
        <f aca="false">IF(B447="NEW ROUTE",1,"")</f>
        <v/>
      </c>
      <c r="E447" s="5" t="n">
        <v>0.04</v>
      </c>
      <c r="F447" s="6" t="e">
        <f aca="false">VLOOKUP(E447,$K$2:$L$426,2,FALSE())</f>
        <v>#N/A</v>
      </c>
      <c r="G447" s="1" t="str">
        <f aca="false">IF(ISNA(F447),"",F447)</f>
        <v/>
      </c>
      <c r="H447" s="5" t="n">
        <f aca="false">IF(G447&lt;&gt;"",G447,E447)</f>
        <v>0.04</v>
      </c>
    </row>
    <row r="448" customFormat="false" ht="12.75" hidden="false" customHeight="true" outlineLevel="0" collapsed="false">
      <c r="A448" s="4" t="s">
        <v>2964</v>
      </c>
      <c r="B448" s="5" t="s">
        <v>2964</v>
      </c>
      <c r="C448" s="1" t="str">
        <f aca="false">IF(B448="NEW ROUTE",1,"")</f>
        <v/>
      </c>
      <c r="E448" s="5" t="s">
        <v>2964</v>
      </c>
      <c r="F448" s="6" t="e">
        <f aca="false">VLOOKUP(E448,$K$2:$L$426,2,FALSE())</f>
        <v>#N/A</v>
      </c>
      <c r="G448" s="1" t="str">
        <f aca="false">IF(ISNA(F448),"",F448)</f>
        <v/>
      </c>
      <c r="H448" s="5" t="str">
        <f aca="false">IF(G448&lt;&gt;"",G448,E448)</f>
        <v>54, 56, VOHOO-DU</v>
      </c>
    </row>
    <row r="449" customFormat="false" ht="12.75" hidden="false" customHeight="true" outlineLevel="0" collapsed="false">
      <c r="A449" s="4" t="s">
        <v>2965</v>
      </c>
      <c r="B449" s="5" t="s">
        <v>2965</v>
      </c>
      <c r="C449" s="1" t="str">
        <f aca="false">IF(B449="NEW ROUTE",1,"")</f>
        <v/>
      </c>
      <c r="E449" s="5" t="s">
        <v>2965</v>
      </c>
      <c r="F449" s="6" t="e">
        <f aca="false">VLOOKUP(E449,$K$2:$L$426,2,FALSE())</f>
        <v>#N/A</v>
      </c>
      <c r="G449" s="1" t="str">
        <f aca="false">IF(ISNA(F449),"",F449)</f>
        <v/>
      </c>
      <c r="H449" s="5" t="str">
        <f aca="false">IF(G449&lt;&gt;"",G449,E449)</f>
        <v>54, 56, CLEFAEFAE</v>
      </c>
    </row>
    <row r="450" customFormat="false" ht="12.75" hidden="false" customHeight="true" outlineLevel="0" collapsed="false">
      <c r="A450" s="4" t="s">
        <v>2812</v>
      </c>
      <c r="B450" s="5" t="n">
        <v>0.01</v>
      </c>
      <c r="C450" s="1" t="str">
        <f aca="false">IF(B450="NEW ROUTE",1,"")</f>
        <v/>
      </c>
      <c r="E450" s="5" t="n">
        <v>0.01</v>
      </c>
      <c r="F450" s="6" t="e">
        <f aca="false">VLOOKUP(E450,$K$2:$L$426,2,FALSE())</f>
        <v>#N/A</v>
      </c>
      <c r="G450" s="1" t="str">
        <f aca="false">IF(ISNA(F450),"",F450)</f>
        <v/>
      </c>
      <c r="H450" s="5" t="n">
        <f aca="false">IF(G450&lt;&gt;"",G450,E450)</f>
        <v>0.01</v>
      </c>
    </row>
    <row r="451" customFormat="false" ht="12.75" hidden="false" customHeight="true" outlineLevel="0" collapsed="false">
      <c r="A451" s="4" t="s">
        <v>2966</v>
      </c>
      <c r="B451" s="5" t="s">
        <v>2966</v>
      </c>
      <c r="C451" s="1" t="str">
        <f aca="false">IF(B451="NEW ROUTE",1,"")</f>
        <v/>
      </c>
      <c r="E451" s="5" t="s">
        <v>2966</v>
      </c>
      <c r="F451" s="6" t="e">
        <f aca="false">VLOOKUP(E451,$K$2:$L$426,2,FALSE())</f>
        <v>#N/A</v>
      </c>
      <c r="G451" s="1" t="str">
        <f aca="false">IF(ISNA(F451),"",F451)</f>
        <v/>
      </c>
      <c r="H451" s="5" t="str">
        <f aca="false">IF(G451&lt;&gt;"",G451,E451)</f>
        <v>55, 56, KABUTAK</v>
      </c>
    </row>
    <row r="452" customFormat="false" ht="12.75" hidden="false" customHeight="true" outlineLevel="0" collapsed="false">
      <c r="A452" s="4" t="s">
        <v>2967</v>
      </c>
      <c r="B452" s="5" t="s">
        <v>2967</v>
      </c>
      <c r="C452" s="1" t="str">
        <f aca="false">IF(B452="NEW ROUTE",1,"")</f>
        <v/>
      </c>
      <c r="E452" s="5" t="s">
        <v>2967</v>
      </c>
      <c r="F452" s="6" t="e">
        <f aca="false">VLOOKUP(E452,$K$2:$L$426,2,FALSE())</f>
        <v>#N/A</v>
      </c>
      <c r="G452" s="1" t="str">
        <f aca="false">IF(ISNA(F452),"",F452)</f>
        <v/>
      </c>
      <c r="H452" s="5" t="str">
        <f aca="false">IF(G452&lt;&gt;"",G452,E452)</f>
        <v>55, 56, OMAPAL</v>
      </c>
    </row>
    <row r="453" customFormat="false" ht="12.75" hidden="false" customHeight="true" outlineLevel="0" collapsed="false">
      <c r="A453" s="4" t="s">
        <v>2536</v>
      </c>
      <c r="B453" s="5" t="s">
        <v>2536</v>
      </c>
      <c r="C453" s="1" t="n">
        <f aca="false">IF(B453="NEW ROUTE",1,"")</f>
        <v>1</v>
      </c>
      <c r="E453" s="5" t="s">
        <v>2536</v>
      </c>
      <c r="F453" s="6" t="e">
        <f aca="false">VLOOKUP(E453,$K$2:$L$426,2,FALSE())</f>
        <v>#N/A</v>
      </c>
      <c r="G453" s="1" t="str">
        <f aca="false">IF(ISNA(F453),"",F453)</f>
        <v/>
      </c>
      <c r="H453" s="5" t="str">
        <f aca="false">IF(G453&lt;&gt;"",G453,E453)</f>
        <v>NEW ROUTE</v>
      </c>
    </row>
    <row r="454" customFormat="false" ht="12.75" hidden="false" customHeight="true" outlineLevel="0" collapsed="false">
      <c r="A454" s="4" t="s">
        <v>160</v>
      </c>
      <c r="B454" s="5" t="s">
        <v>160</v>
      </c>
      <c r="C454" s="1" t="str">
        <f aca="false">IF(B454="NEW ROUTE",1,"")</f>
        <v/>
      </c>
      <c r="E454" s="5" t="s">
        <v>160</v>
      </c>
      <c r="F454" s="6" t="str">
        <f aca="false">VLOOKUP(E454,$K$2:$L$426,2,FALSE())</f>
        <v>Cerulean Cave B1F</v>
      </c>
      <c r="G454" s="1" t="str">
        <f aca="false">IF(ISNA(F454),"",F454)</f>
        <v>Cerulean Cave B1F</v>
      </c>
      <c r="H454" s="5" t="str">
        <f aca="false">IF(G454&lt;&gt;"",G454,E454)</f>
        <v>Cerulean Cave B1F</v>
      </c>
    </row>
    <row r="455" customFormat="false" ht="12.75" hidden="false" customHeight="true" outlineLevel="0" collapsed="false">
      <c r="A455" s="4" t="s">
        <v>2799</v>
      </c>
      <c r="B455" s="5" t="n">
        <v>0.2</v>
      </c>
      <c r="C455" s="1" t="str">
        <f aca="false">IF(B455="NEW ROUTE",1,"")</f>
        <v/>
      </c>
      <c r="E455" s="5" t="n">
        <v>0.2</v>
      </c>
      <c r="F455" s="6" t="e">
        <f aca="false">VLOOKUP(E455,$K$2:$L$426,2,FALSE())</f>
        <v>#N/A</v>
      </c>
      <c r="G455" s="1" t="str">
        <f aca="false">IF(ISNA(F455),"",F455)</f>
        <v/>
      </c>
      <c r="H455" s="5" t="n">
        <f aca="false">IF(G455&lt;&gt;"",G455,E455)</f>
        <v>0.2</v>
      </c>
    </row>
    <row r="456" customFormat="false" ht="12.75" hidden="false" customHeight="true" outlineLevel="0" collapsed="false">
      <c r="A456" s="4" t="s">
        <v>1381</v>
      </c>
      <c r="B456" s="5" t="s">
        <v>1381</v>
      </c>
      <c r="C456" s="1" t="str">
        <f aca="false">IF(B456="NEW ROUTE",1,"")</f>
        <v/>
      </c>
      <c r="E456" s="5" t="s">
        <v>1381</v>
      </c>
      <c r="F456" s="6" t="e">
        <f aca="false">VLOOKUP(E456,$K$2:$L$426,2,FALSE())</f>
        <v>#N/A</v>
      </c>
      <c r="G456" s="1" t="str">
        <f aca="false">IF(ISNA(F456),"",F456)</f>
        <v/>
      </c>
      <c r="H456" s="5" t="str">
        <f aca="false">IF(G456&lt;&gt;"",G456,E456)</f>
        <v>50, 55, DUGROUPLE</v>
      </c>
    </row>
    <row r="457" customFormat="false" ht="12.75" hidden="false" customHeight="true" outlineLevel="0" collapsed="false">
      <c r="A457" s="4" t="s">
        <v>2957</v>
      </c>
      <c r="B457" s="5" t="s">
        <v>2957</v>
      </c>
      <c r="C457" s="1" t="str">
        <f aca="false">IF(B457="NEW ROUTE",1,"")</f>
        <v/>
      </c>
      <c r="E457" s="5" t="s">
        <v>2957</v>
      </c>
      <c r="F457" s="6" t="e">
        <f aca="false">VLOOKUP(E457,$K$2:$L$426,2,FALSE())</f>
        <v>#N/A</v>
      </c>
      <c r="G457" s="1" t="str">
        <f aca="false">IF(ISNA(F457),"",F457)</f>
        <v/>
      </c>
      <c r="H457" s="5" t="str">
        <f aca="false">IF(G457&lt;&gt;"",G457,E457)</f>
        <v>50, 55, POLABAT</v>
      </c>
    </row>
    <row r="458" customFormat="false" ht="12.75" hidden="false" customHeight="true" outlineLevel="0" collapsed="false">
      <c r="A458" s="4" t="s">
        <v>2801</v>
      </c>
      <c r="B458" s="5" t="n">
        <v>0.1</v>
      </c>
      <c r="C458" s="1" t="str">
        <f aca="false">IF(B458="NEW ROUTE",1,"")</f>
        <v/>
      </c>
      <c r="E458" s="5" t="n">
        <v>0.1</v>
      </c>
      <c r="F458" s="6" t="e">
        <f aca="false">VLOOKUP(E458,$K$2:$L$426,2,FALSE())</f>
        <v>#N/A</v>
      </c>
      <c r="G458" s="1" t="str">
        <f aca="false">IF(ISNA(F458),"",F458)</f>
        <v/>
      </c>
      <c r="H458" s="5" t="n">
        <f aca="false">IF(G458&lt;&gt;"",G458,E458)</f>
        <v>0.1</v>
      </c>
    </row>
    <row r="459" customFormat="false" ht="12.75" hidden="false" customHeight="true" outlineLevel="0" collapsed="false">
      <c r="A459" s="4" t="s">
        <v>2958</v>
      </c>
      <c r="B459" s="5" t="s">
        <v>2958</v>
      </c>
      <c r="C459" s="1" t="str">
        <f aca="false">IF(B459="NEW ROUTE",1,"")</f>
        <v/>
      </c>
      <c r="E459" s="5" t="s">
        <v>2958</v>
      </c>
      <c r="F459" s="6" t="e">
        <f aca="false">VLOOKUP(E459,$K$2:$L$426,2,FALSE())</f>
        <v>#N/A</v>
      </c>
      <c r="G459" s="1" t="str">
        <f aca="false">IF(ISNA(F459),"",F459)</f>
        <v/>
      </c>
      <c r="H459" s="5" t="str">
        <f aca="false">IF(G459&lt;&gt;"",G459,E459)</f>
        <v>52, 55, VENOMENON</v>
      </c>
    </row>
    <row r="460" customFormat="false" ht="12.75" hidden="false" customHeight="true" outlineLevel="0" collapsed="false">
      <c r="A460" s="4" t="s">
        <v>2959</v>
      </c>
      <c r="B460" s="5" t="s">
        <v>2959</v>
      </c>
      <c r="C460" s="1" t="str">
        <f aca="false">IF(B460="NEW ROUTE",1,"")</f>
        <v/>
      </c>
      <c r="E460" s="5" t="s">
        <v>2959</v>
      </c>
      <c r="F460" s="6" t="e">
        <f aca="false">VLOOKUP(E460,$K$2:$L$426,2,FALSE())</f>
        <v>#N/A</v>
      </c>
      <c r="G460" s="1" t="str">
        <f aca="false">IF(ISNA(F460),"",F460)</f>
        <v/>
      </c>
      <c r="H460" s="5" t="str">
        <f aca="false">IF(G460&lt;&gt;"",G460,E460)</f>
        <v>52, 55, "MR. JEST"</v>
      </c>
    </row>
    <row r="461" customFormat="false" ht="12.75" hidden="false" customHeight="true" outlineLevel="0" collapsed="false">
      <c r="A461" s="4" t="s">
        <v>2960</v>
      </c>
      <c r="B461" s="5" t="s">
        <v>2960</v>
      </c>
      <c r="C461" s="1" t="str">
        <f aca="false">IF(B461="NEW ROUTE",1,"")</f>
        <v/>
      </c>
      <c r="E461" s="5" t="s">
        <v>2960</v>
      </c>
      <c r="F461" s="6" t="e">
        <f aca="false">VLOOKUP(E461,$K$2:$L$426,2,FALSE())</f>
        <v>#N/A</v>
      </c>
      <c r="G461" s="1" t="str">
        <f aca="false">IF(ISNA(F461),"",F461)</f>
        <v/>
      </c>
      <c r="H461" s="5" t="str">
        <f aca="false">IF(G461&lt;&gt;"",G461,E461)</f>
        <v>52, 55, NIDORULY</v>
      </c>
    </row>
    <row r="462" customFormat="false" ht="12.75" hidden="false" customHeight="true" outlineLevel="0" collapsed="false">
      <c r="A462" s="4" t="s">
        <v>2961</v>
      </c>
      <c r="B462" s="5" t="s">
        <v>2961</v>
      </c>
      <c r="C462" s="1" t="str">
        <f aca="false">IF(B462="NEW ROUTE",1,"")</f>
        <v/>
      </c>
      <c r="E462" s="5" t="s">
        <v>2961</v>
      </c>
      <c r="F462" s="6" t="e">
        <f aca="false">VLOOKUP(E462,$K$2:$L$426,2,FALSE())</f>
        <v>#N/A</v>
      </c>
      <c r="G462" s="1" t="str">
        <f aca="false">IF(ISNA(F462),"",F462)</f>
        <v/>
      </c>
      <c r="H462" s="5" t="str">
        <f aca="false">IF(G462&lt;&gt;"",G462,E462)</f>
        <v>52, 55, NIDOREGAL</v>
      </c>
    </row>
    <row r="463" customFormat="false" ht="12.75" hidden="false" customHeight="true" outlineLevel="0" collapsed="false">
      <c r="A463" s="4" t="s">
        <v>2806</v>
      </c>
      <c r="B463" s="5" t="n">
        <v>0.05</v>
      </c>
      <c r="C463" s="1" t="str">
        <f aca="false">IF(B463="NEW ROUTE",1,"")</f>
        <v/>
      </c>
      <c r="E463" s="5" t="n">
        <v>0.05</v>
      </c>
      <c r="F463" s="6" t="e">
        <f aca="false">VLOOKUP(E463,$K$2:$L$426,2,FALSE())</f>
        <v>#N/A</v>
      </c>
      <c r="G463" s="1" t="str">
        <f aca="false">IF(ISNA(F463),"",F463)</f>
        <v/>
      </c>
      <c r="H463" s="5" t="n">
        <f aca="false">IF(G463&lt;&gt;"",G463,E463)</f>
        <v>0.05</v>
      </c>
    </row>
    <row r="464" customFormat="false" ht="12.75" hidden="false" customHeight="true" outlineLevel="0" collapsed="false">
      <c r="A464" s="4" t="s">
        <v>2962</v>
      </c>
      <c r="B464" s="5" t="s">
        <v>2962</v>
      </c>
      <c r="C464" s="1" t="str">
        <f aca="false">IF(B464="NEW ROUTE",1,"")</f>
        <v/>
      </c>
      <c r="E464" s="5" t="s">
        <v>2962</v>
      </c>
      <c r="F464" s="6" t="e">
        <f aca="false">VLOOKUP(E464,$K$2:$L$426,2,FALSE())</f>
        <v>#N/A</v>
      </c>
      <c r="G464" s="1" t="str">
        <f aca="false">IF(ISNA(F464),"",F464)</f>
        <v/>
      </c>
      <c r="H464" s="5" t="str">
        <f aca="false">IF(G464&lt;&gt;"",G464,E464)</f>
        <v>54, 56, MORPHO</v>
      </c>
    </row>
    <row r="465" customFormat="false" ht="12.75" hidden="false" customHeight="true" outlineLevel="0" collapsed="false">
      <c r="A465" s="4" t="s">
        <v>2963</v>
      </c>
      <c r="B465" s="5" t="s">
        <v>2963</v>
      </c>
      <c r="C465" s="1" t="str">
        <f aca="false">IF(B465="NEW ROUTE",1,"")</f>
        <v/>
      </c>
      <c r="E465" s="5" t="s">
        <v>2963</v>
      </c>
      <c r="F465" s="6" t="e">
        <f aca="false">VLOOKUP(E465,$K$2:$L$426,2,FALSE())</f>
        <v>#N/A</v>
      </c>
      <c r="G465" s="1" t="str">
        <f aca="false">IF(ISNA(F465),"",F465)</f>
        <v/>
      </c>
      <c r="H465" s="5" t="str">
        <f aca="false">IF(G465&lt;&gt;"",G465,E465)</f>
        <v>54, 56, MAGNEMELD</v>
      </c>
    </row>
    <row r="466" customFormat="false" ht="12.75" hidden="false" customHeight="true" outlineLevel="0" collapsed="false">
      <c r="A466" s="4" t="s">
        <v>2809</v>
      </c>
      <c r="B466" s="5" t="n">
        <v>0.04</v>
      </c>
      <c r="C466" s="1" t="str">
        <f aca="false">IF(B466="NEW ROUTE",1,"")</f>
        <v/>
      </c>
      <c r="E466" s="5" t="n">
        <v>0.04</v>
      </c>
      <c r="F466" s="6" t="e">
        <f aca="false">VLOOKUP(E466,$K$2:$L$426,2,FALSE())</f>
        <v>#N/A</v>
      </c>
      <c r="G466" s="1" t="str">
        <f aca="false">IF(ISNA(F466),"",F466)</f>
        <v/>
      </c>
      <c r="H466" s="5" t="n">
        <f aca="false">IF(G466&lt;&gt;"",G466,E466)</f>
        <v>0.04</v>
      </c>
    </row>
    <row r="467" customFormat="false" ht="12.75" hidden="false" customHeight="true" outlineLevel="0" collapsed="false">
      <c r="A467" s="4" t="s">
        <v>2964</v>
      </c>
      <c r="B467" s="5" t="s">
        <v>2964</v>
      </c>
      <c r="C467" s="1" t="str">
        <f aca="false">IF(B467="NEW ROUTE",1,"")</f>
        <v/>
      </c>
      <c r="E467" s="5" t="s">
        <v>2964</v>
      </c>
      <c r="F467" s="6" t="e">
        <f aca="false">VLOOKUP(E467,$K$2:$L$426,2,FALSE())</f>
        <v>#N/A</v>
      </c>
      <c r="G467" s="1" t="str">
        <f aca="false">IF(ISNA(F467),"",F467)</f>
        <v/>
      </c>
      <c r="H467" s="5" t="str">
        <f aca="false">IF(G467&lt;&gt;"",G467,E467)</f>
        <v>54, 56, VOHOO-DU</v>
      </c>
    </row>
    <row r="468" customFormat="false" ht="12.75" hidden="false" customHeight="true" outlineLevel="0" collapsed="false">
      <c r="A468" s="4" t="s">
        <v>2965</v>
      </c>
      <c r="B468" s="5" t="s">
        <v>2965</v>
      </c>
      <c r="C468" s="1" t="str">
        <f aca="false">IF(B468="NEW ROUTE",1,"")</f>
        <v/>
      </c>
      <c r="E468" s="5" t="s">
        <v>2965</v>
      </c>
      <c r="F468" s="6" t="e">
        <f aca="false">VLOOKUP(E468,$K$2:$L$426,2,FALSE())</f>
        <v>#N/A</v>
      </c>
      <c r="G468" s="1" t="str">
        <f aca="false">IF(ISNA(F468),"",F468)</f>
        <v/>
      </c>
      <c r="H468" s="5" t="str">
        <f aca="false">IF(G468&lt;&gt;"",G468,E468)</f>
        <v>54, 56, CLEFAEFAE</v>
      </c>
    </row>
    <row r="469" customFormat="false" ht="12.75" hidden="false" customHeight="true" outlineLevel="0" collapsed="false">
      <c r="A469" s="4" t="s">
        <v>2812</v>
      </c>
      <c r="B469" s="5" t="n">
        <v>0.01</v>
      </c>
      <c r="C469" s="1" t="str">
        <f aca="false">IF(B469="NEW ROUTE",1,"")</f>
        <v/>
      </c>
      <c r="E469" s="5" t="n">
        <v>0.01</v>
      </c>
      <c r="F469" s="6" t="e">
        <f aca="false">VLOOKUP(E469,$K$2:$L$426,2,FALSE())</f>
        <v>#N/A</v>
      </c>
      <c r="G469" s="1" t="str">
        <f aca="false">IF(ISNA(F469),"",F469)</f>
        <v/>
      </c>
      <c r="H469" s="5" t="n">
        <f aca="false">IF(G469&lt;&gt;"",G469,E469)</f>
        <v>0.01</v>
      </c>
    </row>
    <row r="470" customFormat="false" ht="12.75" hidden="false" customHeight="true" outlineLevel="0" collapsed="false">
      <c r="A470" s="4" t="s">
        <v>2966</v>
      </c>
      <c r="B470" s="5" t="s">
        <v>2966</v>
      </c>
      <c r="C470" s="1" t="str">
        <f aca="false">IF(B470="NEW ROUTE",1,"")</f>
        <v/>
      </c>
      <c r="E470" s="5" t="s">
        <v>2966</v>
      </c>
      <c r="F470" s="6" t="e">
        <f aca="false">VLOOKUP(E470,$K$2:$L$426,2,FALSE())</f>
        <v>#N/A</v>
      </c>
      <c r="G470" s="1" t="str">
        <f aca="false">IF(ISNA(F470),"",F470)</f>
        <v/>
      </c>
      <c r="H470" s="5" t="str">
        <f aca="false">IF(G470&lt;&gt;"",G470,E470)</f>
        <v>55, 56, KABUTAK</v>
      </c>
    </row>
    <row r="471" customFormat="false" ht="12.75" hidden="false" customHeight="true" outlineLevel="0" collapsed="false">
      <c r="A471" s="4" t="s">
        <v>2967</v>
      </c>
      <c r="B471" s="5" t="s">
        <v>2967</v>
      </c>
      <c r="C471" s="1" t="str">
        <f aca="false">IF(B471="NEW ROUTE",1,"")</f>
        <v/>
      </c>
      <c r="E471" s="5" t="s">
        <v>2967</v>
      </c>
      <c r="F471" s="6" t="e">
        <f aca="false">VLOOKUP(E471,$K$2:$L$426,2,FALSE())</f>
        <v>#N/A</v>
      </c>
      <c r="G471" s="1" t="str">
        <f aca="false">IF(ISNA(F471),"",F471)</f>
        <v/>
      </c>
      <c r="H471" s="5" t="str">
        <f aca="false">IF(G471&lt;&gt;"",G471,E471)</f>
        <v>55, 56, OMAPAL</v>
      </c>
    </row>
    <row r="472" customFormat="false" ht="12.75" hidden="false" customHeight="true" outlineLevel="0" collapsed="false">
      <c r="A472" s="4" t="s">
        <v>2968</v>
      </c>
      <c r="B472" s="5" t="s">
        <v>2968</v>
      </c>
      <c r="C472" s="1" t="str">
        <f aca="false">IF(B472="NEW ROUTE",1,"")</f>
        <v/>
      </c>
      <c r="E472" s="5" t="s">
        <v>2968</v>
      </c>
      <c r="F472" s="6" t="e">
        <f aca="false">VLOOKUP(E472,$K$2:$L$426,2,FALSE())</f>
        <v>#N/A</v>
      </c>
      <c r="G472" s="1" t="str">
        <f aca="false">IF(ISNA(F472),"",F472)</f>
        <v/>
      </c>
      <c r="H472" s="5" t="str">
        <f aca="false">IF(G472&lt;&gt;"",G472,E472)</f>
        <v>2, 50, 55, POLITOES</v>
      </c>
    </row>
    <row r="473" customFormat="false" ht="12.75" hidden="false" customHeight="true" outlineLevel="0" collapsed="false">
      <c r="A473" s="4" t="s">
        <v>2969</v>
      </c>
      <c r="B473" s="5" t="s">
        <v>2969</v>
      </c>
      <c r="C473" s="1" t="str">
        <f aca="false">IF(B473="NEW ROUTE",1,"")</f>
        <v/>
      </c>
      <c r="E473" s="5" t="s">
        <v>2969</v>
      </c>
      <c r="F473" s="6" t="e">
        <f aca="false">VLOOKUP(E473,$K$2:$L$426,2,FALSE())</f>
        <v>#N/A</v>
      </c>
      <c r="G473" s="1" t="str">
        <f aca="false">IF(ISNA(F473),"",F473)</f>
        <v/>
      </c>
      <c r="H473" s="5" t="str">
        <f aca="false">IF(G473&lt;&gt;"",G473,E473)</f>
        <v>50, 55, DRAGONITE</v>
      </c>
    </row>
    <row r="474" customFormat="false" ht="12.75" hidden="false" customHeight="true" outlineLevel="0" collapsed="false">
      <c r="A474" s="4" t="s">
        <v>2970</v>
      </c>
      <c r="B474" s="5" t="s">
        <v>2970</v>
      </c>
      <c r="C474" s="1" t="str">
        <f aca="false">IF(B474="NEW ROUTE",1,"")</f>
        <v/>
      </c>
      <c r="E474" s="5" t="s">
        <v>2970</v>
      </c>
      <c r="F474" s="6" t="e">
        <f aca="false">VLOOKUP(E474,$K$2:$L$426,2,FALSE())</f>
        <v>#N/A</v>
      </c>
      <c r="G474" s="1" t="str">
        <f aca="false">IF(ISNA(F474),"",F474)</f>
        <v/>
      </c>
      <c r="H474" s="5" t="str">
        <f aca="false">IF(G474&lt;&gt;"",G474,E474)</f>
        <v>52, 57, POLIWISE</v>
      </c>
    </row>
    <row r="475" customFormat="false" ht="12.75" hidden="false" customHeight="true" outlineLevel="0" collapsed="false">
      <c r="A475" s="4" t="s">
        <v>2971</v>
      </c>
      <c r="B475" s="5" t="s">
        <v>2971</v>
      </c>
      <c r="C475" s="1" t="str">
        <f aca="false">IF(B475="NEW ROUTE",1,"")</f>
        <v/>
      </c>
      <c r="E475" s="5" t="s">
        <v>2971</v>
      </c>
      <c r="F475" s="6" t="e">
        <f aca="false">VLOOKUP(E475,$K$2:$L$426,2,FALSE())</f>
        <v>#N/A</v>
      </c>
      <c r="G475" s="1" t="str">
        <f aca="false">IF(ISNA(F475),"",F475)</f>
        <v/>
      </c>
      <c r="H475" s="5" t="str">
        <f aca="false">IF(G475&lt;&gt;"",G475,E475)</f>
        <v>52, 57, DRAGONIER</v>
      </c>
    </row>
    <row r="476" customFormat="false" ht="12.75" hidden="false" customHeight="true" outlineLevel="0" collapsed="false">
      <c r="A476" s="4" t="s">
        <v>2972</v>
      </c>
      <c r="B476" s="5" t="s">
        <v>2972</v>
      </c>
      <c r="C476" s="1" t="str">
        <f aca="false">IF(B476="NEW ROUTE",1,"")</f>
        <v/>
      </c>
      <c r="E476" s="5" t="s">
        <v>2972</v>
      </c>
      <c r="F476" s="6" t="e">
        <f aca="false">VLOOKUP(E476,$K$2:$L$426,2,FALSE())</f>
        <v>#N/A</v>
      </c>
      <c r="G476" s="1" t="str">
        <f aca="false">IF(ISNA(F476),"",F476)</f>
        <v/>
      </c>
      <c r="H476" s="5" t="str">
        <f aca="false">IF(G476&lt;&gt;"",G476,E476)</f>
        <v>53, 58, NESSEA</v>
      </c>
    </row>
    <row r="477" customFormat="false" ht="12.75" hidden="false" customHeight="true" outlineLevel="0" collapsed="false">
      <c r="A477" s="4" t="s">
        <v>2925</v>
      </c>
      <c r="B477" s="5" t="s">
        <v>2925</v>
      </c>
      <c r="C477" s="1" t="str">
        <f aca="false">IF(B477="NEW ROUTE",1,"")</f>
        <v/>
      </c>
      <c r="E477" s="5" t="s">
        <v>2925</v>
      </c>
      <c r="F477" s="6" t="e">
        <f aca="false">VLOOKUP(E477,$K$2:$L$426,2,FALSE())</f>
        <v>#N/A</v>
      </c>
      <c r="G477" s="1" t="str">
        <f aca="false">IF(ISNA(F477),"",F477)</f>
        <v/>
      </c>
      <c r="H477" s="5" t="str">
        <f aca="false">IF(G477&lt;&gt;"",G477,E477)</f>
        <v>20, old rod:</v>
      </c>
    </row>
    <row r="478" customFormat="false" ht="12.75" hidden="false" customHeight="true" outlineLevel="0" collapsed="false">
      <c r="A478" s="4" t="s">
        <v>1397</v>
      </c>
      <c r="B478" s="5" t="s">
        <v>1397</v>
      </c>
      <c r="C478" s="1" t="str">
        <f aca="false">IF(B478="NEW ROUTE",1,"")</f>
        <v/>
      </c>
      <c r="E478" s="5" t="s">
        <v>1397</v>
      </c>
      <c r="F478" s="6" t="e">
        <f aca="false">VLOOKUP(E478,$K$2:$L$426,2,FALSE())</f>
        <v>#N/A</v>
      </c>
      <c r="G478" s="1" t="str">
        <f aca="false">IF(ISNA(F478),"",F478)</f>
        <v/>
      </c>
      <c r="H478" s="5" t="str">
        <f aca="false">IF(G478&lt;&gt;"",G478,E478)</f>
        <v>23, 36, CLOYSTER</v>
      </c>
    </row>
    <row r="479" customFormat="false" ht="12.75" hidden="false" customHeight="true" outlineLevel="0" collapsed="false">
      <c r="A479" s="4" t="s">
        <v>2973</v>
      </c>
      <c r="B479" s="5" t="s">
        <v>2973</v>
      </c>
      <c r="C479" s="1" t="str">
        <f aca="false">IF(B479="NEW ROUTE",1,"")</f>
        <v/>
      </c>
      <c r="E479" s="5" t="s">
        <v>2973</v>
      </c>
      <c r="F479" s="6" t="e">
        <f aca="false">VLOOKUP(E479,$K$2:$L$426,2,FALSE())</f>
        <v>#N/A</v>
      </c>
      <c r="G479" s="1" t="str">
        <f aca="false">IF(ISNA(F479),"",F479)</f>
        <v/>
      </c>
      <c r="H479" s="5" t="str">
        <f aca="false">IF(G479&lt;&gt;"",G479,E479)</f>
        <v>23, 36, GYARADOS</v>
      </c>
    </row>
    <row r="480" customFormat="false" ht="12.75" hidden="false" customHeight="true" outlineLevel="0" collapsed="false">
      <c r="A480" s="4" t="s">
        <v>2846</v>
      </c>
      <c r="B480" s="5" t="s">
        <v>2846</v>
      </c>
      <c r="C480" s="1" t="str">
        <f aca="false">IF(B480="NEW ROUTE",1,"")</f>
        <v/>
      </c>
      <c r="E480" s="5" t="s">
        <v>2846</v>
      </c>
      <c r="F480" s="6" t="e">
        <f aca="false">VLOOKUP(E480,$K$2:$L$426,2,FALSE())</f>
        <v>#N/A</v>
      </c>
      <c r="G480" s="1" t="str">
        <f aca="false">IF(ISNA(F480),"",F480)</f>
        <v/>
      </c>
      <c r="H480" s="5" t="str">
        <f aca="false">IF(G480&lt;&gt;"",G480,E480)</f>
        <v>good rod:</v>
      </c>
    </row>
    <row r="481" customFormat="false" ht="12.75" hidden="false" customHeight="true" outlineLevel="0" collapsed="false">
      <c r="A481" s="4" t="s">
        <v>2974</v>
      </c>
      <c r="B481" s="5" t="s">
        <v>2974</v>
      </c>
      <c r="C481" s="1" t="str">
        <f aca="false">IF(B481="NEW ROUTE",1,"")</f>
        <v/>
      </c>
      <c r="E481" s="5" t="s">
        <v>2974</v>
      </c>
      <c r="F481" s="6" t="e">
        <f aca="false">VLOOKUP(E481,$K$2:$L$426,2,FALSE())</f>
        <v>#N/A</v>
      </c>
      <c r="G481" s="1" t="str">
        <f aca="false">IF(ISNA(F481),"",F481)</f>
        <v/>
      </c>
      <c r="H481" s="5" t="str">
        <f aca="false">IF(G481&lt;&gt;"",G481,E481)</f>
        <v>30, 38, CLOYSTER</v>
      </c>
    </row>
    <row r="482" customFormat="false" ht="12.75" hidden="false" customHeight="true" outlineLevel="0" collapsed="false">
      <c r="A482" s="4" t="s">
        <v>2975</v>
      </c>
      <c r="B482" s="5" t="s">
        <v>2975</v>
      </c>
      <c r="C482" s="1" t="str">
        <f aca="false">IF(B482="NEW ROUTE",1,"")</f>
        <v/>
      </c>
      <c r="E482" s="5" t="s">
        <v>2975</v>
      </c>
      <c r="F482" s="6" t="e">
        <f aca="false">VLOOKUP(E482,$K$2:$L$426,2,FALSE())</f>
        <v>#N/A</v>
      </c>
      <c r="G482" s="1" t="str">
        <f aca="false">IF(ISNA(F482),"",F482)</f>
        <v/>
      </c>
      <c r="H482" s="5" t="str">
        <f aca="false">IF(G482&lt;&gt;"",G482,E482)</f>
        <v>32, 40, KINGDRA</v>
      </c>
    </row>
    <row r="483" customFormat="false" ht="12.75" hidden="false" customHeight="true" outlineLevel="0" collapsed="false">
      <c r="A483" s="4" t="s">
        <v>2976</v>
      </c>
      <c r="B483" s="5" t="s">
        <v>2976</v>
      </c>
      <c r="C483" s="1" t="str">
        <f aca="false">IF(B483="NEW ROUTE",1,"")</f>
        <v/>
      </c>
      <c r="E483" s="5" t="s">
        <v>2976</v>
      </c>
      <c r="F483" s="6" t="e">
        <f aca="false">VLOOKUP(E483,$K$2:$L$426,2,FALSE())</f>
        <v>#N/A</v>
      </c>
      <c r="G483" s="1" t="str">
        <f aca="false">IF(ISNA(F483),"",F483)</f>
        <v/>
      </c>
      <c r="H483" s="5" t="str">
        <f aca="false">IF(G483&lt;&gt;"",G483,E483)</f>
        <v>32, 40, HYDRADOS</v>
      </c>
    </row>
    <row r="484" customFormat="false" ht="12.75" hidden="false" customHeight="true" outlineLevel="0" collapsed="false">
      <c r="A484" s="4" t="s">
        <v>2850</v>
      </c>
      <c r="B484" s="5" t="s">
        <v>2850</v>
      </c>
      <c r="C484" s="1" t="str">
        <f aca="false">IF(B484="NEW ROUTE",1,"")</f>
        <v/>
      </c>
      <c r="E484" s="5" t="s">
        <v>2850</v>
      </c>
      <c r="F484" s="6" t="e">
        <f aca="false">VLOOKUP(E484,$K$2:$L$426,2,FALSE())</f>
        <v>#N/A</v>
      </c>
      <c r="G484" s="1" t="str">
        <f aca="false">IF(ISNA(F484),"",F484)</f>
        <v/>
      </c>
      <c r="H484" s="5" t="str">
        <f aca="false">IF(G484&lt;&gt;"",G484,E484)</f>
        <v>super rod:</v>
      </c>
    </row>
    <row r="485" customFormat="false" ht="12.75" hidden="false" customHeight="true" outlineLevel="0" collapsed="false">
      <c r="A485" s="4" t="s">
        <v>2977</v>
      </c>
      <c r="B485" s="5" t="s">
        <v>2977</v>
      </c>
      <c r="C485" s="1" t="str">
        <f aca="false">IF(B485="NEW ROUTE",1,"")</f>
        <v/>
      </c>
      <c r="E485" s="5" t="s">
        <v>2977</v>
      </c>
      <c r="F485" s="6" t="e">
        <f aca="false">VLOOKUP(E485,$K$2:$L$426,2,FALSE())</f>
        <v>#N/A</v>
      </c>
      <c r="G485" s="1" t="str">
        <f aca="false">IF(ISNA(F485),"",F485)</f>
        <v/>
      </c>
      <c r="H485" s="5" t="str">
        <f aca="false">IF(G485&lt;&gt;"",G485,E485)</f>
        <v>50, 55, LORDRA</v>
      </c>
    </row>
    <row r="486" customFormat="false" ht="12.75" hidden="false" customHeight="true" outlineLevel="0" collapsed="false">
      <c r="A486" s="4" t="s">
        <v>2978</v>
      </c>
      <c r="B486" s="5" t="s">
        <v>2978</v>
      </c>
      <c r="C486" s="1" t="str">
        <f aca="false">IF(B486="NEW ROUTE",1,"")</f>
        <v/>
      </c>
      <c r="E486" s="5" t="s">
        <v>2978</v>
      </c>
      <c r="F486" s="6" t="e">
        <f aca="false">VLOOKUP(E486,$K$2:$L$426,2,FALSE())</f>
        <v>#N/A</v>
      </c>
      <c r="G486" s="1" t="str">
        <f aca="false">IF(ISNA(F486),"",F486)</f>
        <v/>
      </c>
      <c r="H486" s="5" t="str">
        <f aca="false">IF(G486&lt;&gt;"",G486,E486)</f>
        <v>50, 55, AN'ENEMY</v>
      </c>
    </row>
    <row r="487" customFormat="false" ht="12.75" hidden="false" customHeight="true" outlineLevel="0" collapsed="false">
      <c r="A487" s="4" t="s">
        <v>2979</v>
      </c>
      <c r="B487" s="5" t="s">
        <v>2979</v>
      </c>
      <c r="C487" s="1" t="str">
        <f aca="false">IF(B487="NEW ROUTE",1,"")</f>
        <v/>
      </c>
      <c r="E487" s="5" t="s">
        <v>2979</v>
      </c>
      <c r="F487" s="6" t="e">
        <f aca="false">VLOOKUP(E487,$K$2:$L$426,2,FALSE())</f>
        <v>#N/A</v>
      </c>
      <c r="G487" s="1" t="str">
        <f aca="false">IF(ISNA(F487),"",F487)</f>
        <v/>
      </c>
      <c r="H487" s="5" t="str">
        <f aca="false">IF(G487&lt;&gt;"",G487,E487)</f>
        <v>52, 57, DRACOSMIC</v>
      </c>
    </row>
    <row r="488" customFormat="false" ht="12.75" hidden="false" customHeight="true" outlineLevel="0" collapsed="false">
      <c r="A488" s="4" t="s">
        <v>2980</v>
      </c>
      <c r="B488" s="5" t="s">
        <v>2980</v>
      </c>
      <c r="C488" s="1" t="str">
        <f aca="false">IF(B488="NEW ROUTE",1,"")</f>
        <v/>
      </c>
      <c r="E488" s="5" t="s">
        <v>2980</v>
      </c>
      <c r="F488" s="6" t="e">
        <f aca="false">VLOOKUP(E488,$K$2:$L$426,2,FALSE())</f>
        <v>#N/A</v>
      </c>
      <c r="G488" s="1" t="str">
        <f aca="false">IF(ISNA(F488),"",F488)</f>
        <v/>
      </c>
      <c r="H488" s="5" t="str">
        <f aca="false">IF(G488&lt;&gt;"",G488,E488)</f>
        <v>52, 57, GLAISHELL</v>
      </c>
    </row>
    <row r="489" customFormat="false" ht="12.75" hidden="false" customHeight="true" outlineLevel="0" collapsed="false">
      <c r="A489" s="4" t="s">
        <v>2981</v>
      </c>
      <c r="B489" s="5" t="s">
        <v>2981</v>
      </c>
      <c r="C489" s="1" t="str">
        <f aca="false">IF(B489="NEW ROUTE",1,"")</f>
        <v/>
      </c>
      <c r="E489" s="5" t="s">
        <v>2981</v>
      </c>
      <c r="F489" s="6" t="e">
        <f aca="false">VLOOKUP(E489,$K$2:$L$426,2,FALSE())</f>
        <v>#N/A</v>
      </c>
      <c r="G489" s="1" t="str">
        <f aca="false">IF(ISNA(F489),"",F489)</f>
        <v/>
      </c>
      <c r="H489" s="5" t="str">
        <f aca="false">IF(G489&lt;&gt;"",G489,E489)</f>
        <v>53, 58, STARWE</v>
      </c>
    </row>
    <row r="490" customFormat="false" ht="12.75" hidden="false" customHeight="true" outlineLevel="0" collapsed="false">
      <c r="A490" s="4" t="s">
        <v>2536</v>
      </c>
      <c r="B490" s="5" t="s">
        <v>2536</v>
      </c>
      <c r="C490" s="1" t="n">
        <f aca="false">IF(B490="NEW ROUTE",1,"")</f>
        <v>1</v>
      </c>
      <c r="E490" s="5" t="s">
        <v>2536</v>
      </c>
      <c r="F490" s="6" t="e">
        <f aca="false">VLOOKUP(E490,$K$2:$L$426,2,FALSE())</f>
        <v>#N/A</v>
      </c>
      <c r="G490" s="1" t="str">
        <f aca="false">IF(ISNA(F490),"",F490)</f>
        <v/>
      </c>
      <c r="H490" s="5" t="str">
        <f aca="false">IF(G490&lt;&gt;"",G490,E490)</f>
        <v>NEW ROUTE</v>
      </c>
    </row>
    <row r="491" customFormat="false" ht="12.75" hidden="false" customHeight="true" outlineLevel="0" collapsed="false">
      <c r="A491" s="4" t="s">
        <v>174</v>
      </c>
      <c r="B491" s="5" t="s">
        <v>174</v>
      </c>
      <c r="C491" s="1" t="str">
        <f aca="false">IF(B491="NEW ROUTE",1,"")</f>
        <v/>
      </c>
      <c r="E491" s="5" t="s">
        <v>174</v>
      </c>
      <c r="F491" s="6" t="str">
        <f aca="false">VLOOKUP(E491,$K$2:$L$426,2,FALSE())</f>
        <v>Rock Tunnel 1F</v>
      </c>
      <c r="G491" s="1" t="str">
        <f aca="false">IF(ISNA(F491),"",F491)</f>
        <v>Rock Tunnel 1F</v>
      </c>
      <c r="H491" s="5" t="str">
        <f aca="false">IF(G491&lt;&gt;"",G491,E491)</f>
        <v>Rock Tunnel 1F</v>
      </c>
    </row>
    <row r="492" customFormat="false" ht="12.75" hidden="false" customHeight="true" outlineLevel="0" collapsed="false">
      <c r="A492" s="4" t="s">
        <v>2799</v>
      </c>
      <c r="B492" s="5" t="n">
        <v>0.2</v>
      </c>
      <c r="C492" s="1" t="str">
        <f aca="false">IF(B492="NEW ROUTE",1,"")</f>
        <v/>
      </c>
      <c r="E492" s="5" t="n">
        <v>0.2</v>
      </c>
      <c r="F492" s="6" t="e">
        <f aca="false">VLOOKUP(E492,$K$2:$L$426,2,FALSE())</f>
        <v>#N/A</v>
      </c>
      <c r="G492" s="1" t="str">
        <f aca="false">IF(ISNA(F492),"",F492)</f>
        <v/>
      </c>
      <c r="H492" s="5" t="n">
        <f aca="false">IF(G492&lt;&gt;"",G492,E492)</f>
        <v>0.2</v>
      </c>
    </row>
    <row r="493" customFormat="false" ht="12.75" hidden="false" customHeight="true" outlineLevel="0" collapsed="false">
      <c r="A493" s="4" t="s">
        <v>1411</v>
      </c>
      <c r="B493" s="5" t="s">
        <v>1411</v>
      </c>
      <c r="C493" s="1" t="str">
        <f aca="false">IF(B493="NEW ROUTE",1,"")</f>
        <v/>
      </c>
      <c r="E493" s="5" t="s">
        <v>1411</v>
      </c>
      <c r="F493" s="6" t="e">
        <f aca="false">VLOOKUP(E493,$K$2:$L$426,2,FALSE())</f>
        <v>#N/A</v>
      </c>
      <c r="G493" s="1" t="str">
        <f aca="false">IF(ISNA(F493),"",F493)</f>
        <v/>
      </c>
      <c r="H493" s="5" t="str">
        <f aca="false">IF(G493&lt;&gt;"",G493,E493)</f>
        <v>20, 23, RHYHORN</v>
      </c>
    </row>
    <row r="494" customFormat="false" ht="12.75" hidden="false" customHeight="true" outlineLevel="0" collapsed="false">
      <c r="A494" s="4" t="s">
        <v>2986</v>
      </c>
      <c r="B494" s="5" t="s">
        <v>2986</v>
      </c>
      <c r="C494" s="1" t="str">
        <f aca="false">IF(B494="NEW ROUTE",1,"")</f>
        <v/>
      </c>
      <c r="E494" s="5" t="s">
        <v>2986</v>
      </c>
      <c r="F494" s="6" t="e">
        <f aca="false">VLOOKUP(E494,$K$2:$L$426,2,FALSE())</f>
        <v>#N/A</v>
      </c>
      <c r="G494" s="1" t="str">
        <f aca="false">IF(ISNA(F494),"",F494)</f>
        <v/>
      </c>
      <c r="H494" s="5" t="str">
        <f aca="false">IF(G494&lt;&gt;"",G494,E494)</f>
        <v>20, 23, GEODUDE</v>
      </c>
    </row>
    <row r="495" customFormat="false" ht="12.75" hidden="false" customHeight="true" outlineLevel="0" collapsed="false">
      <c r="A495" s="4" t="s">
        <v>2801</v>
      </c>
      <c r="B495" s="5" t="n">
        <v>0.1</v>
      </c>
      <c r="C495" s="1" t="str">
        <f aca="false">IF(B495="NEW ROUTE",1,"")</f>
        <v/>
      </c>
      <c r="E495" s="5" t="n">
        <v>0.1</v>
      </c>
      <c r="F495" s="6" t="e">
        <f aca="false">VLOOKUP(E495,$K$2:$L$426,2,FALSE())</f>
        <v>#N/A</v>
      </c>
      <c r="G495" s="1" t="str">
        <f aca="false">IF(ISNA(F495),"",F495)</f>
        <v/>
      </c>
      <c r="H495" s="5" t="n">
        <f aca="false">IF(G495&lt;&gt;"",G495,E495)</f>
        <v>0.1</v>
      </c>
    </row>
    <row r="496" customFormat="false" ht="12.75" hidden="false" customHeight="true" outlineLevel="0" collapsed="false">
      <c r="A496" s="4" t="s">
        <v>2987</v>
      </c>
      <c r="B496" s="5" t="s">
        <v>2987</v>
      </c>
      <c r="C496" s="1" t="str">
        <f aca="false">IF(B496="NEW ROUTE",1,"")</f>
        <v/>
      </c>
      <c r="E496" s="5" t="s">
        <v>2987</v>
      </c>
      <c r="F496" s="6" t="e">
        <f aca="false">VLOOKUP(E496,$K$2:$L$426,2,FALSE())</f>
        <v>#N/A</v>
      </c>
      <c r="G496" s="1" t="str">
        <f aca="false">IF(ISNA(F496),"",F496)</f>
        <v/>
      </c>
      <c r="H496" s="5" t="str">
        <f aca="false">IF(G496&lt;&gt;"",G496,E496)</f>
        <v>20, 24, ONIX</v>
      </c>
    </row>
    <row r="497" customFormat="false" ht="12.75" hidden="false" customHeight="true" outlineLevel="0" collapsed="false">
      <c r="A497" s="4" t="s">
        <v>2988</v>
      </c>
      <c r="B497" s="5" t="s">
        <v>2988</v>
      </c>
      <c r="C497" s="1" t="str">
        <f aca="false">IF(B497="NEW ROUTE",1,"")</f>
        <v/>
      </c>
      <c r="E497" s="5" t="s">
        <v>2988</v>
      </c>
      <c r="F497" s="6" t="e">
        <f aca="false">VLOOKUP(E497,$K$2:$L$426,2,FALSE())</f>
        <v>#N/A</v>
      </c>
      <c r="G497" s="1" t="str">
        <f aca="false">IF(ISNA(F497),"",F497)</f>
        <v/>
      </c>
      <c r="H497" s="5" t="str">
        <f aca="false">IF(G497&lt;&gt;"",G497,E497)</f>
        <v>19, 23, MANKEY</v>
      </c>
    </row>
    <row r="498" customFormat="false" ht="12.75" hidden="false" customHeight="true" outlineLevel="0" collapsed="false">
      <c r="A498" s="4" t="s">
        <v>2989</v>
      </c>
      <c r="B498" s="5" t="s">
        <v>2989</v>
      </c>
      <c r="C498" s="1" t="str">
        <f aca="false">IF(B498="NEW ROUTE",1,"")</f>
        <v/>
      </c>
      <c r="E498" s="5" t="s">
        <v>2989</v>
      </c>
      <c r="F498" s="6" t="e">
        <f aca="false">VLOOKUP(E498,$K$2:$L$426,2,FALSE())</f>
        <v>#N/A</v>
      </c>
      <c r="G498" s="1" t="str">
        <f aca="false">IF(ISNA(F498),"",F498)</f>
        <v/>
      </c>
      <c r="H498" s="5" t="str">
        <f aca="false">IF(G498&lt;&gt;"",G498,E498)</f>
        <v>19, 23, MACHOP</v>
      </c>
    </row>
    <row r="499" customFormat="false" ht="12.75" hidden="false" customHeight="true" outlineLevel="0" collapsed="false">
      <c r="A499" s="4" t="s">
        <v>2990</v>
      </c>
      <c r="B499" s="5" t="s">
        <v>2990</v>
      </c>
      <c r="C499" s="1" t="str">
        <f aca="false">IF(B499="NEW ROUTE",1,"")</f>
        <v/>
      </c>
      <c r="E499" s="5" t="s">
        <v>2990</v>
      </c>
      <c r="F499" s="6" t="e">
        <f aca="false">VLOOKUP(E499,$K$2:$L$426,2,FALSE())</f>
        <v>#N/A</v>
      </c>
      <c r="G499" s="1" t="str">
        <f aca="false">IF(ISNA(F499),"",F499)</f>
        <v/>
      </c>
      <c r="H499" s="5" t="str">
        <f aca="false">IF(G499&lt;&gt;"",G499,E499)</f>
        <v>22, 24, GOLBAT</v>
      </c>
    </row>
    <row r="500" customFormat="false" ht="12.75" hidden="false" customHeight="true" outlineLevel="0" collapsed="false">
      <c r="A500" s="4" t="s">
        <v>2806</v>
      </c>
      <c r="B500" s="5" t="n">
        <v>0.05</v>
      </c>
      <c r="C500" s="1" t="str">
        <f aca="false">IF(B500="NEW ROUTE",1,"")</f>
        <v/>
      </c>
      <c r="E500" s="5" t="n">
        <v>0.05</v>
      </c>
      <c r="F500" s="6" t="e">
        <f aca="false">VLOOKUP(E500,$K$2:$L$426,2,FALSE())</f>
        <v>#N/A</v>
      </c>
      <c r="G500" s="1" t="str">
        <f aca="false">IF(ISNA(F500),"",F500)</f>
        <v/>
      </c>
      <c r="H500" s="5" t="n">
        <f aca="false">IF(G500&lt;&gt;"",G500,E500)</f>
        <v>0.05</v>
      </c>
    </row>
    <row r="501" customFormat="false" ht="12.75" hidden="false" customHeight="true" outlineLevel="0" collapsed="false">
      <c r="A501" s="4" t="s">
        <v>2991</v>
      </c>
      <c r="B501" s="5" t="s">
        <v>2991</v>
      </c>
      <c r="C501" s="1" t="str">
        <f aca="false">IF(B501="NEW ROUTE",1,"")</f>
        <v/>
      </c>
      <c r="E501" s="5" t="s">
        <v>2991</v>
      </c>
      <c r="F501" s="6" t="e">
        <f aca="false">VLOOKUP(E501,$K$2:$L$426,2,FALSE())</f>
        <v>#N/A</v>
      </c>
      <c r="G501" s="1" t="str">
        <f aca="false">IF(ISNA(F501),"",F501)</f>
        <v/>
      </c>
      <c r="H501" s="5" t="str">
        <f aca="false">IF(G501&lt;&gt;"",G501,E501)</f>
        <v>24, 24, RHYHORN</v>
      </c>
    </row>
    <row r="502" customFormat="false" ht="12.75" hidden="false" customHeight="true" outlineLevel="0" collapsed="false">
      <c r="A502" s="4" t="s">
        <v>2992</v>
      </c>
      <c r="B502" s="5" t="s">
        <v>2992</v>
      </c>
      <c r="C502" s="1" t="str">
        <f aca="false">IF(B502="NEW ROUTE",1,"")</f>
        <v/>
      </c>
      <c r="E502" s="5" t="s">
        <v>2992</v>
      </c>
      <c r="F502" s="6" t="e">
        <f aca="false">VLOOKUP(E502,$K$2:$L$426,2,FALSE())</f>
        <v>#N/A</v>
      </c>
      <c r="G502" s="1" t="str">
        <f aca="false">IF(ISNA(F502),"",F502)</f>
        <v/>
      </c>
      <c r="H502" s="5" t="str">
        <f aca="false">IF(G502&lt;&gt;"",G502,E502)</f>
        <v>24, 24, GEODUDE</v>
      </c>
    </row>
    <row r="503" customFormat="false" ht="12.75" hidden="false" customHeight="true" outlineLevel="0" collapsed="false">
      <c r="A503" s="4" t="s">
        <v>2809</v>
      </c>
      <c r="B503" s="5" t="n">
        <v>0.04</v>
      </c>
      <c r="C503" s="1" t="str">
        <f aca="false">IF(B503="NEW ROUTE",1,"")</f>
        <v/>
      </c>
      <c r="E503" s="5" t="n">
        <v>0.04</v>
      </c>
      <c r="F503" s="6" t="e">
        <f aca="false">VLOOKUP(E503,$K$2:$L$426,2,FALSE())</f>
        <v>#N/A</v>
      </c>
      <c r="G503" s="1" t="str">
        <f aca="false">IF(ISNA(F503),"",F503)</f>
        <v/>
      </c>
      <c r="H503" s="5" t="n">
        <f aca="false">IF(G503&lt;&gt;"",G503,E503)</f>
        <v>0.04</v>
      </c>
    </row>
    <row r="504" customFormat="false" ht="12.75" hidden="false" customHeight="true" outlineLevel="0" collapsed="false">
      <c r="A504" s="4" t="s">
        <v>2993</v>
      </c>
      <c r="B504" s="5" t="s">
        <v>2993</v>
      </c>
      <c r="C504" s="1" t="str">
        <f aca="false">IF(B504="NEW ROUTE",1,"")</f>
        <v/>
      </c>
      <c r="E504" s="5" t="s">
        <v>2993</v>
      </c>
      <c r="F504" s="6" t="e">
        <f aca="false">VLOOKUP(E504,$K$2:$L$426,2,FALSE())</f>
        <v>#N/A</v>
      </c>
      <c r="G504" s="1" t="str">
        <f aca="false">IF(ISNA(F504),"",F504)</f>
        <v/>
      </c>
      <c r="H504" s="5" t="str">
        <f aca="false">IF(G504&lt;&gt;"",G504,E504)</f>
        <v>20, 25, GRAVELER</v>
      </c>
    </row>
    <row r="505" customFormat="false" ht="12.75" hidden="false" customHeight="true" outlineLevel="0" collapsed="false">
      <c r="A505" s="4" t="s">
        <v>2994</v>
      </c>
      <c r="B505" s="5" t="s">
        <v>2994</v>
      </c>
      <c r="C505" s="1" t="str">
        <f aca="false">IF(B505="NEW ROUTE",1,"")</f>
        <v/>
      </c>
      <c r="E505" s="5" t="s">
        <v>2994</v>
      </c>
      <c r="F505" s="6" t="e">
        <f aca="false">VLOOKUP(E505,$K$2:$L$426,2,FALSE())</f>
        <v>#N/A</v>
      </c>
      <c r="G505" s="1" t="str">
        <f aca="false">IF(ISNA(F505),"",F505)</f>
        <v/>
      </c>
      <c r="H505" s="5" t="str">
        <f aca="false">IF(G505&lt;&gt;"",G505,E505)</f>
        <v>25, 25, GOLBAT</v>
      </c>
    </row>
    <row r="506" customFormat="false" ht="12.75" hidden="false" customHeight="true" outlineLevel="0" collapsed="false">
      <c r="A506" s="4" t="s">
        <v>2812</v>
      </c>
      <c r="B506" s="5" t="n">
        <v>0.01</v>
      </c>
      <c r="C506" s="1" t="str">
        <f aca="false">IF(B506="NEW ROUTE",1,"")</f>
        <v/>
      </c>
      <c r="E506" s="5" t="n">
        <v>0.01</v>
      </c>
      <c r="F506" s="6" t="e">
        <f aca="false">VLOOKUP(E506,$K$2:$L$426,2,FALSE())</f>
        <v>#N/A</v>
      </c>
      <c r="G506" s="1" t="str">
        <f aca="false">IF(ISNA(F506),"",F506)</f>
        <v/>
      </c>
      <c r="H506" s="5" t="n">
        <f aca="false">IF(G506&lt;&gt;"",G506,E506)</f>
        <v>0.01</v>
      </c>
    </row>
    <row r="507" customFormat="false" ht="12.75" hidden="false" customHeight="true" outlineLevel="0" collapsed="false">
      <c r="A507" s="4" t="s">
        <v>2995</v>
      </c>
      <c r="B507" s="5" t="s">
        <v>2995</v>
      </c>
      <c r="C507" s="1" t="str">
        <f aca="false">IF(B507="NEW ROUTE",1,"")</f>
        <v/>
      </c>
      <c r="E507" s="5" t="s">
        <v>2995</v>
      </c>
      <c r="F507" s="6" t="e">
        <f aca="false">VLOOKUP(E507,$K$2:$L$426,2,FALSE())</f>
        <v>#N/A</v>
      </c>
      <c r="G507" s="1" t="str">
        <f aca="false">IF(ISNA(F507),"",F507)</f>
        <v/>
      </c>
      <c r="H507" s="5" t="str">
        <f aca="false">IF(G507&lt;&gt;"",G507,E507)</f>
        <v>20, 25, PINSIR</v>
      </c>
    </row>
    <row r="508" customFormat="false" ht="12.75" hidden="false" customHeight="true" outlineLevel="0" collapsed="false">
      <c r="A508" s="4" t="s">
        <v>3715</v>
      </c>
      <c r="B508" s="5" t="s">
        <v>3715</v>
      </c>
      <c r="C508" s="1" t="str">
        <f aca="false">IF(B508="NEW ROUTE",1,"")</f>
        <v/>
      </c>
      <c r="E508" s="5" t="s">
        <v>3715</v>
      </c>
      <c r="F508" s="6" t="e">
        <f aca="false">VLOOKUP(E508,$K$2:$L$426,2,FALSE())</f>
        <v>#N/A</v>
      </c>
      <c r="G508" s="1" t="str">
        <f aca="false">IF(ISNA(F508),"",F508)</f>
        <v/>
      </c>
      <c r="H508" s="5" t="str">
        <f aca="false">IF(G508&lt;&gt;"",G508,E508)</f>
        <v>20, 23, KANGASKHAN</v>
      </c>
    </row>
    <row r="509" customFormat="false" ht="12.75" hidden="false" customHeight="true" outlineLevel="0" collapsed="false">
      <c r="A509" s="4" t="s">
        <v>2536</v>
      </c>
      <c r="B509" s="5" t="s">
        <v>2536</v>
      </c>
      <c r="C509" s="1" t="n">
        <f aca="false">IF(B509="NEW ROUTE",1,"")</f>
        <v>1</v>
      </c>
      <c r="E509" s="5" t="s">
        <v>2536</v>
      </c>
      <c r="F509" s="6" t="e">
        <f aca="false">VLOOKUP(E509,$K$2:$L$426,2,FALSE())</f>
        <v>#N/A</v>
      </c>
      <c r="G509" s="1" t="str">
        <f aca="false">IF(ISNA(F509),"",F509)</f>
        <v/>
      </c>
      <c r="H509" s="5" t="str">
        <f aca="false">IF(G509&lt;&gt;"",G509,E509)</f>
        <v>NEW ROUTE</v>
      </c>
    </row>
    <row r="510" customFormat="false" ht="12.75" hidden="false" customHeight="true" outlineLevel="0" collapsed="false">
      <c r="A510" s="4" t="s">
        <v>176</v>
      </c>
      <c r="B510" s="5" t="s">
        <v>176</v>
      </c>
      <c r="C510" s="1" t="str">
        <f aca="false">IF(B510="NEW ROUTE",1,"")</f>
        <v/>
      </c>
      <c r="E510" s="5" t="s">
        <v>176</v>
      </c>
      <c r="F510" s="6" t="str">
        <f aca="false">VLOOKUP(E510,$K$2:$L$426,2,FALSE())</f>
        <v>Rock Tunnel B1F</v>
      </c>
      <c r="G510" s="1" t="str">
        <f aca="false">IF(ISNA(F510),"",F510)</f>
        <v>Rock Tunnel B1F</v>
      </c>
      <c r="H510" s="5" t="str">
        <f aca="false">IF(G510&lt;&gt;"",G510,E510)</f>
        <v>Rock Tunnel B1F</v>
      </c>
    </row>
    <row r="511" customFormat="false" ht="12.75" hidden="false" customHeight="true" outlineLevel="0" collapsed="false">
      <c r="A511" s="4" t="s">
        <v>2799</v>
      </c>
      <c r="B511" s="5" t="n">
        <v>0.2</v>
      </c>
      <c r="C511" s="1" t="str">
        <f aca="false">IF(B511="NEW ROUTE",1,"")</f>
        <v/>
      </c>
      <c r="E511" s="5" t="n">
        <v>0.2</v>
      </c>
      <c r="F511" s="6" t="e">
        <f aca="false">VLOOKUP(E511,$K$2:$L$426,2,FALSE())</f>
        <v>#N/A</v>
      </c>
      <c r="G511" s="1" t="str">
        <f aca="false">IF(ISNA(F511),"",F511)</f>
        <v/>
      </c>
      <c r="H511" s="5" t="n">
        <f aca="false">IF(G511&lt;&gt;"",G511,E511)</f>
        <v>0.2</v>
      </c>
    </row>
    <row r="512" customFormat="false" ht="12.75" hidden="false" customHeight="true" outlineLevel="0" collapsed="false">
      <c r="A512" s="4" t="s">
        <v>1411</v>
      </c>
      <c r="B512" s="5" t="s">
        <v>1411</v>
      </c>
      <c r="C512" s="1" t="str">
        <f aca="false">IF(B512="NEW ROUTE",1,"")</f>
        <v/>
      </c>
      <c r="E512" s="5" t="s">
        <v>1411</v>
      </c>
      <c r="F512" s="6" t="e">
        <f aca="false">VLOOKUP(E512,$K$2:$L$426,2,FALSE())</f>
        <v>#N/A</v>
      </c>
      <c r="G512" s="1" t="str">
        <f aca="false">IF(ISNA(F512),"",F512)</f>
        <v/>
      </c>
      <c r="H512" s="5" t="str">
        <f aca="false">IF(G512&lt;&gt;"",G512,E512)</f>
        <v>20, 23, RHYHORN</v>
      </c>
    </row>
    <row r="513" customFormat="false" ht="12.75" hidden="false" customHeight="true" outlineLevel="0" collapsed="false">
      <c r="A513" s="4" t="s">
        <v>2986</v>
      </c>
      <c r="B513" s="5" t="s">
        <v>2986</v>
      </c>
      <c r="C513" s="1" t="str">
        <f aca="false">IF(B513="NEW ROUTE",1,"")</f>
        <v/>
      </c>
      <c r="E513" s="5" t="s">
        <v>2986</v>
      </c>
      <c r="F513" s="6" t="e">
        <f aca="false">VLOOKUP(E513,$K$2:$L$426,2,FALSE())</f>
        <v>#N/A</v>
      </c>
      <c r="G513" s="1" t="str">
        <f aca="false">IF(ISNA(F513),"",F513)</f>
        <v/>
      </c>
      <c r="H513" s="5" t="str">
        <f aca="false">IF(G513&lt;&gt;"",G513,E513)</f>
        <v>20, 23, GEODUDE</v>
      </c>
    </row>
    <row r="514" customFormat="false" ht="12.75" hidden="false" customHeight="true" outlineLevel="0" collapsed="false">
      <c r="A514" s="4" t="s">
        <v>2801</v>
      </c>
      <c r="B514" s="5" t="n">
        <v>0.1</v>
      </c>
      <c r="C514" s="1" t="str">
        <f aca="false">IF(B514="NEW ROUTE",1,"")</f>
        <v/>
      </c>
      <c r="E514" s="5" t="n">
        <v>0.1</v>
      </c>
      <c r="F514" s="6" t="e">
        <f aca="false">VLOOKUP(E514,$K$2:$L$426,2,FALSE())</f>
        <v>#N/A</v>
      </c>
      <c r="G514" s="1" t="str">
        <f aca="false">IF(ISNA(F514),"",F514)</f>
        <v/>
      </c>
      <c r="H514" s="5" t="n">
        <f aca="false">IF(G514&lt;&gt;"",G514,E514)</f>
        <v>0.1</v>
      </c>
    </row>
    <row r="515" customFormat="false" ht="12.75" hidden="false" customHeight="true" outlineLevel="0" collapsed="false">
      <c r="A515" s="4" t="s">
        <v>2987</v>
      </c>
      <c r="B515" s="5" t="s">
        <v>2987</v>
      </c>
      <c r="C515" s="1" t="str">
        <f aca="false">IF(B515="NEW ROUTE",1,"")</f>
        <v/>
      </c>
      <c r="E515" s="5" t="s">
        <v>2987</v>
      </c>
      <c r="F515" s="6" t="e">
        <f aca="false">VLOOKUP(E515,$K$2:$L$426,2,FALSE())</f>
        <v>#N/A</v>
      </c>
      <c r="G515" s="1" t="str">
        <f aca="false">IF(ISNA(F515),"",F515)</f>
        <v/>
      </c>
      <c r="H515" s="5" t="str">
        <f aca="false">IF(G515&lt;&gt;"",G515,E515)</f>
        <v>20, 24, ONIX</v>
      </c>
    </row>
    <row r="516" customFormat="false" ht="12.75" hidden="false" customHeight="true" outlineLevel="0" collapsed="false">
      <c r="A516" s="4" t="s">
        <v>2988</v>
      </c>
      <c r="B516" s="5" t="s">
        <v>2988</v>
      </c>
      <c r="C516" s="1" t="str">
        <f aca="false">IF(B516="NEW ROUTE",1,"")</f>
        <v/>
      </c>
      <c r="E516" s="5" t="s">
        <v>2988</v>
      </c>
      <c r="F516" s="6" t="e">
        <f aca="false">VLOOKUP(E516,$K$2:$L$426,2,FALSE())</f>
        <v>#N/A</v>
      </c>
      <c r="G516" s="1" t="str">
        <f aca="false">IF(ISNA(F516),"",F516)</f>
        <v/>
      </c>
      <c r="H516" s="5" t="str">
        <f aca="false">IF(G516&lt;&gt;"",G516,E516)</f>
        <v>19, 23, MANKEY</v>
      </c>
    </row>
    <row r="517" customFormat="false" ht="12.75" hidden="false" customHeight="true" outlineLevel="0" collapsed="false">
      <c r="A517" s="4" t="s">
        <v>2989</v>
      </c>
      <c r="B517" s="5" t="s">
        <v>2989</v>
      </c>
      <c r="C517" s="1" t="str">
        <f aca="false">IF(B517="NEW ROUTE",1,"")</f>
        <v/>
      </c>
      <c r="E517" s="5" t="s">
        <v>2989</v>
      </c>
      <c r="F517" s="6" t="e">
        <f aca="false">VLOOKUP(E517,$K$2:$L$426,2,FALSE())</f>
        <v>#N/A</v>
      </c>
      <c r="G517" s="1" t="str">
        <f aca="false">IF(ISNA(F517),"",F517)</f>
        <v/>
      </c>
      <c r="H517" s="5" t="str">
        <f aca="false">IF(G517&lt;&gt;"",G517,E517)</f>
        <v>19, 23, MACHOP</v>
      </c>
    </row>
    <row r="518" customFormat="false" ht="12.75" hidden="false" customHeight="true" outlineLevel="0" collapsed="false">
      <c r="A518" s="4" t="s">
        <v>2990</v>
      </c>
      <c r="B518" s="5" t="s">
        <v>2990</v>
      </c>
      <c r="C518" s="1" t="str">
        <f aca="false">IF(B518="NEW ROUTE",1,"")</f>
        <v/>
      </c>
      <c r="E518" s="5" t="s">
        <v>2990</v>
      </c>
      <c r="F518" s="6" t="e">
        <f aca="false">VLOOKUP(E518,$K$2:$L$426,2,FALSE())</f>
        <v>#N/A</v>
      </c>
      <c r="G518" s="1" t="str">
        <f aca="false">IF(ISNA(F518),"",F518)</f>
        <v/>
      </c>
      <c r="H518" s="5" t="str">
        <f aca="false">IF(G518&lt;&gt;"",G518,E518)</f>
        <v>22, 24, GOLBAT</v>
      </c>
    </row>
    <row r="519" customFormat="false" ht="12.75" hidden="false" customHeight="true" outlineLevel="0" collapsed="false">
      <c r="A519" s="4" t="s">
        <v>2806</v>
      </c>
      <c r="B519" s="5" t="n">
        <v>0.05</v>
      </c>
      <c r="C519" s="1" t="str">
        <f aca="false">IF(B519="NEW ROUTE",1,"")</f>
        <v/>
      </c>
      <c r="E519" s="5" t="n">
        <v>0.05</v>
      </c>
      <c r="F519" s="6" t="e">
        <f aca="false">VLOOKUP(E519,$K$2:$L$426,2,FALSE())</f>
        <v>#N/A</v>
      </c>
      <c r="G519" s="1" t="str">
        <f aca="false">IF(ISNA(F519),"",F519)</f>
        <v/>
      </c>
      <c r="H519" s="5" t="n">
        <f aca="false">IF(G519&lt;&gt;"",G519,E519)</f>
        <v>0.05</v>
      </c>
    </row>
    <row r="520" customFormat="false" ht="12.75" hidden="false" customHeight="true" outlineLevel="0" collapsed="false">
      <c r="A520" s="4" t="s">
        <v>2991</v>
      </c>
      <c r="B520" s="5" t="s">
        <v>2991</v>
      </c>
      <c r="C520" s="1" t="str">
        <f aca="false">IF(B520="NEW ROUTE",1,"")</f>
        <v/>
      </c>
      <c r="E520" s="5" t="s">
        <v>2991</v>
      </c>
      <c r="F520" s="6" t="e">
        <f aca="false">VLOOKUP(E520,$K$2:$L$426,2,FALSE())</f>
        <v>#N/A</v>
      </c>
      <c r="G520" s="1" t="str">
        <f aca="false">IF(ISNA(F520),"",F520)</f>
        <v/>
      </c>
      <c r="H520" s="5" t="str">
        <f aca="false">IF(G520&lt;&gt;"",G520,E520)</f>
        <v>24, 24, RHYHORN</v>
      </c>
    </row>
    <row r="521" customFormat="false" ht="12.75" hidden="false" customHeight="true" outlineLevel="0" collapsed="false">
      <c r="A521" s="4" t="s">
        <v>2992</v>
      </c>
      <c r="B521" s="5" t="s">
        <v>2992</v>
      </c>
      <c r="C521" s="1" t="str">
        <f aca="false">IF(B521="NEW ROUTE",1,"")</f>
        <v/>
      </c>
      <c r="E521" s="5" t="s">
        <v>2992</v>
      </c>
      <c r="F521" s="6" t="e">
        <f aca="false">VLOOKUP(E521,$K$2:$L$426,2,FALSE())</f>
        <v>#N/A</v>
      </c>
      <c r="G521" s="1" t="str">
        <f aca="false">IF(ISNA(F521),"",F521)</f>
        <v/>
      </c>
      <c r="H521" s="5" t="str">
        <f aca="false">IF(G521&lt;&gt;"",G521,E521)</f>
        <v>24, 24, GEODUDE</v>
      </c>
    </row>
    <row r="522" customFormat="false" ht="12.75" hidden="false" customHeight="true" outlineLevel="0" collapsed="false">
      <c r="A522" s="4" t="s">
        <v>2809</v>
      </c>
      <c r="B522" s="5" t="n">
        <v>0.04</v>
      </c>
      <c r="C522" s="1" t="str">
        <f aca="false">IF(B522="NEW ROUTE",1,"")</f>
        <v/>
      </c>
      <c r="E522" s="5" t="n">
        <v>0.04</v>
      </c>
      <c r="F522" s="6" t="e">
        <f aca="false">VLOOKUP(E522,$K$2:$L$426,2,FALSE())</f>
        <v>#N/A</v>
      </c>
      <c r="G522" s="1" t="str">
        <f aca="false">IF(ISNA(F522),"",F522)</f>
        <v/>
      </c>
      <c r="H522" s="5" t="n">
        <f aca="false">IF(G522&lt;&gt;"",G522,E522)</f>
        <v>0.04</v>
      </c>
    </row>
    <row r="523" customFormat="false" ht="12.75" hidden="false" customHeight="true" outlineLevel="0" collapsed="false">
      <c r="A523" s="4" t="s">
        <v>2993</v>
      </c>
      <c r="B523" s="5" t="s">
        <v>2993</v>
      </c>
      <c r="C523" s="1" t="str">
        <f aca="false">IF(B523="NEW ROUTE",1,"")</f>
        <v/>
      </c>
      <c r="E523" s="5" t="s">
        <v>2993</v>
      </c>
      <c r="F523" s="6" t="e">
        <f aca="false">VLOOKUP(E523,$K$2:$L$426,2,FALSE())</f>
        <v>#N/A</v>
      </c>
      <c r="G523" s="1" t="str">
        <f aca="false">IF(ISNA(F523),"",F523)</f>
        <v/>
      </c>
      <c r="H523" s="5" t="str">
        <f aca="false">IF(G523&lt;&gt;"",G523,E523)</f>
        <v>20, 25, GRAVELER</v>
      </c>
    </row>
    <row r="524" customFormat="false" ht="12.75" hidden="false" customHeight="true" outlineLevel="0" collapsed="false">
      <c r="A524" s="4" t="s">
        <v>2994</v>
      </c>
      <c r="B524" s="5" t="s">
        <v>2994</v>
      </c>
      <c r="C524" s="1" t="str">
        <f aca="false">IF(B524="NEW ROUTE",1,"")</f>
        <v/>
      </c>
      <c r="E524" s="5" t="s">
        <v>2994</v>
      </c>
      <c r="F524" s="6" t="e">
        <f aca="false">VLOOKUP(E524,$K$2:$L$426,2,FALSE())</f>
        <v>#N/A</v>
      </c>
      <c r="G524" s="1" t="str">
        <f aca="false">IF(ISNA(F524),"",F524)</f>
        <v/>
      </c>
      <c r="H524" s="5" t="str">
        <f aca="false">IF(G524&lt;&gt;"",G524,E524)</f>
        <v>25, 25, GOLBAT</v>
      </c>
    </row>
    <row r="525" customFormat="false" ht="12.75" hidden="false" customHeight="true" outlineLevel="0" collapsed="false">
      <c r="A525" s="4" t="s">
        <v>2812</v>
      </c>
      <c r="B525" s="5" t="n">
        <v>0.01</v>
      </c>
      <c r="C525" s="1" t="str">
        <f aca="false">IF(B525="NEW ROUTE",1,"")</f>
        <v/>
      </c>
      <c r="E525" s="5" t="n">
        <v>0.01</v>
      </c>
      <c r="F525" s="6" t="e">
        <f aca="false">VLOOKUP(E525,$K$2:$L$426,2,FALSE())</f>
        <v>#N/A</v>
      </c>
      <c r="G525" s="1" t="str">
        <f aca="false">IF(ISNA(F525),"",F525)</f>
        <v/>
      </c>
      <c r="H525" s="5" t="n">
        <f aca="false">IF(G525&lt;&gt;"",G525,E525)</f>
        <v>0.01</v>
      </c>
    </row>
    <row r="526" customFormat="false" ht="12.75" hidden="false" customHeight="true" outlineLevel="0" collapsed="false">
      <c r="A526" s="4" t="s">
        <v>2995</v>
      </c>
      <c r="B526" s="5" t="s">
        <v>2995</v>
      </c>
      <c r="C526" s="1" t="str">
        <f aca="false">IF(B526="NEW ROUTE",1,"")</f>
        <v/>
      </c>
      <c r="E526" s="5" t="s">
        <v>2995</v>
      </c>
      <c r="F526" s="6" t="e">
        <f aca="false">VLOOKUP(E526,$K$2:$L$426,2,FALSE())</f>
        <v>#N/A</v>
      </c>
      <c r="G526" s="1" t="str">
        <f aca="false">IF(ISNA(F526),"",F526)</f>
        <v/>
      </c>
      <c r="H526" s="5" t="str">
        <f aca="false">IF(G526&lt;&gt;"",G526,E526)</f>
        <v>20, 25, PINSIR</v>
      </c>
    </row>
    <row r="527" customFormat="false" ht="12.75" hidden="false" customHeight="true" outlineLevel="0" collapsed="false">
      <c r="A527" s="4" t="s">
        <v>2998</v>
      </c>
      <c r="B527" s="5" t="s">
        <v>2998</v>
      </c>
      <c r="C527" s="1" t="str">
        <f aca="false">IF(B527="NEW ROUTE",1,"")</f>
        <v/>
      </c>
      <c r="E527" s="5" t="s">
        <v>2998</v>
      </c>
      <c r="F527" s="6" t="e">
        <f aca="false">VLOOKUP(E527,$K$2:$L$426,2,FALSE())</f>
        <v>#N/A</v>
      </c>
      <c r="G527" s="1" t="str">
        <f aca="false">IF(ISNA(F527),"",F527)</f>
        <v/>
      </c>
      <c r="H527" s="5" t="str">
        <f aca="false">IF(G527&lt;&gt;"",G527,E527)</f>
        <v>21, 24, KANGASKHAN</v>
      </c>
    </row>
    <row r="528" customFormat="false" ht="12.75" hidden="false" customHeight="true" outlineLevel="0" collapsed="false">
      <c r="A528" s="4" t="s">
        <v>2999</v>
      </c>
      <c r="B528" s="5" t="s">
        <v>2999</v>
      </c>
      <c r="C528" s="1" t="str">
        <f aca="false">IF(B528="NEW ROUTE",1,"")</f>
        <v/>
      </c>
      <c r="E528" s="5" t="s">
        <v>2999</v>
      </c>
      <c r="F528" s="6" t="e">
        <f aca="false">VLOOKUP(E528,$K$2:$L$426,2,FALSE())</f>
        <v>#N/A</v>
      </c>
      <c r="G528" s="1" t="str">
        <f aca="false">IF(ISNA(F528),"",F528)</f>
        <v/>
      </c>
      <c r="H528" s="5" t="str">
        <f aca="false">IF(G528&lt;&gt;"",G528,E528)</f>
        <v>50, 5, 20, GEODUDE</v>
      </c>
    </row>
    <row r="529" customFormat="false" ht="12.75" hidden="false" customHeight="true" outlineLevel="0" collapsed="false">
      <c r="A529" s="4" t="s">
        <v>3000</v>
      </c>
      <c r="B529" s="5" t="s">
        <v>3000</v>
      </c>
      <c r="C529" s="1" t="str">
        <f aca="false">IF(B529="NEW ROUTE",1,"")</f>
        <v/>
      </c>
      <c r="E529" s="5" t="s">
        <v>3000</v>
      </c>
      <c r="F529" s="6" t="e">
        <f aca="false">VLOOKUP(E529,$K$2:$L$426,2,FALSE())</f>
        <v>#N/A</v>
      </c>
      <c r="G529" s="1" t="str">
        <f aca="false">IF(ISNA(F529),"",F529)</f>
        <v/>
      </c>
      <c r="H529" s="5" t="str">
        <f aca="false">IF(G529&lt;&gt;"",G529,E529)</f>
        <v>10, 20, GEODUDE</v>
      </c>
    </row>
    <row r="530" customFormat="false" ht="12.75" hidden="false" customHeight="true" outlineLevel="0" collapsed="false">
      <c r="A530" s="4" t="s">
        <v>3001</v>
      </c>
      <c r="B530" s="5" t="s">
        <v>3001</v>
      </c>
      <c r="C530" s="1" t="str">
        <f aca="false">IF(B530="NEW ROUTE",1,"")</f>
        <v/>
      </c>
      <c r="E530" s="5" t="s">
        <v>3001</v>
      </c>
      <c r="F530" s="6" t="e">
        <f aca="false">VLOOKUP(E530,$K$2:$L$426,2,FALSE())</f>
        <v>#N/A</v>
      </c>
      <c r="G530" s="1" t="str">
        <f aca="false">IF(ISNA(F530),"",F530)</f>
        <v/>
      </c>
      <c r="H530" s="5" t="str">
        <f aca="false">IF(G530&lt;&gt;"",G530,E530)</f>
        <v>15, 30, GEODUDE</v>
      </c>
    </row>
    <row r="531" customFormat="false" ht="12.75" hidden="false" customHeight="true" outlineLevel="0" collapsed="false">
      <c r="A531" s="4" t="s">
        <v>3002</v>
      </c>
      <c r="B531" s="5" t="s">
        <v>3002</v>
      </c>
      <c r="C531" s="1" t="str">
        <f aca="false">IF(B531="NEW ROUTE",1,"")</f>
        <v/>
      </c>
      <c r="E531" s="5" t="s">
        <v>3002</v>
      </c>
      <c r="F531" s="6" t="e">
        <f aca="false">VLOOKUP(E531,$K$2:$L$426,2,FALSE())</f>
        <v>#N/A</v>
      </c>
      <c r="G531" s="1" t="str">
        <f aca="false">IF(ISNA(F531),"",F531)</f>
        <v/>
      </c>
      <c r="H531" s="5" t="str">
        <f aca="false">IF(G531&lt;&gt;"",G531,E531)</f>
        <v>25, 40, GRAVELER</v>
      </c>
    </row>
    <row r="532" customFormat="false" ht="12.75" hidden="false" customHeight="true" outlineLevel="0" collapsed="false">
      <c r="A532" s="4" t="s">
        <v>3233</v>
      </c>
      <c r="B532" s="5" t="s">
        <v>3233</v>
      </c>
      <c r="C532" s="1" t="str">
        <f aca="false">IF(B532="NEW ROUTE",1,"")</f>
        <v/>
      </c>
      <c r="E532" s="5" t="s">
        <v>3233</v>
      </c>
      <c r="F532" s="6" t="e">
        <f aca="false">VLOOKUP(E532,$K$2:$L$426,2,FALSE())</f>
        <v>#N/A</v>
      </c>
      <c r="G532" s="1" t="str">
        <f aca="false">IF(ISNA(F532),"",F532)</f>
        <v/>
      </c>
      <c r="H532" s="5" t="str">
        <f aca="false">IF(G532&lt;&gt;"",G532,E532)</f>
        <v>30, 40, GRAVELER</v>
      </c>
    </row>
    <row r="533" customFormat="false" ht="12.75" hidden="false" customHeight="true" outlineLevel="0" collapsed="false">
      <c r="A533" s="4" t="s">
        <v>2536</v>
      </c>
      <c r="B533" s="5" t="s">
        <v>2536</v>
      </c>
      <c r="C533" s="1" t="n">
        <f aca="false">IF(B533="NEW ROUTE",1,"")</f>
        <v>1</v>
      </c>
      <c r="E533" s="5" t="s">
        <v>2536</v>
      </c>
      <c r="F533" s="6" t="e">
        <f aca="false">VLOOKUP(E533,$K$2:$L$426,2,FALSE())</f>
        <v>#N/A</v>
      </c>
      <c r="G533" s="1" t="str">
        <f aca="false">IF(ISNA(F533),"",F533)</f>
        <v/>
      </c>
      <c r="H533" s="5" t="str">
        <f aca="false">IF(G533&lt;&gt;"",G533,E533)</f>
        <v>NEW ROUTE</v>
      </c>
    </row>
    <row r="534" customFormat="false" ht="12.75" hidden="false" customHeight="true" outlineLevel="0" collapsed="false">
      <c r="A534" s="4" t="s">
        <v>178</v>
      </c>
      <c r="B534" s="5" t="s">
        <v>178</v>
      </c>
      <c r="C534" s="1" t="str">
        <f aca="false">IF(B534="NEW ROUTE",1,"")</f>
        <v/>
      </c>
      <c r="E534" s="5" t="s">
        <v>178</v>
      </c>
      <c r="F534" s="6" t="str">
        <f aca="false">VLOOKUP(E534,$K$2:$L$426,2,FALSE())</f>
        <v>Seafoam Islands 1F</v>
      </c>
      <c r="G534" s="1" t="str">
        <f aca="false">IF(ISNA(F534),"",F534)</f>
        <v>Seafoam Islands 1F</v>
      </c>
      <c r="H534" s="5" t="str">
        <f aca="false">IF(G534&lt;&gt;"",G534,E534)</f>
        <v>Seafoam Islands 1F</v>
      </c>
    </row>
    <row r="535" customFormat="false" ht="12.75" hidden="false" customHeight="true" outlineLevel="0" collapsed="false">
      <c r="A535" s="4" t="s">
        <v>2799</v>
      </c>
      <c r="B535" s="5" t="n">
        <v>0.2</v>
      </c>
      <c r="C535" s="1" t="str">
        <f aca="false">IF(B535="NEW ROUTE",1,"")</f>
        <v/>
      </c>
      <c r="E535" s="5" t="n">
        <v>0.2</v>
      </c>
      <c r="F535" s="6" t="e">
        <f aca="false">VLOOKUP(E535,$K$2:$L$426,2,FALSE())</f>
        <v>#N/A</v>
      </c>
      <c r="G535" s="1" t="str">
        <f aca="false">IF(ISNA(F535),"",F535)</f>
        <v/>
      </c>
      <c r="H535" s="5" t="n">
        <f aca="false">IF(G535&lt;&gt;"",G535,E535)</f>
        <v>0.2</v>
      </c>
    </row>
    <row r="536" customFormat="false" ht="12.75" hidden="false" customHeight="true" outlineLevel="0" collapsed="false">
      <c r="A536" s="4" t="s">
        <v>1430</v>
      </c>
      <c r="B536" s="5" t="s">
        <v>1430</v>
      </c>
      <c r="C536" s="1" t="str">
        <f aca="false">IF(B536="NEW ROUTE",1,"")</f>
        <v/>
      </c>
      <c r="E536" s="5" t="s">
        <v>1430</v>
      </c>
      <c r="F536" s="6" t="e">
        <f aca="false">VLOOKUP(E536,$K$2:$L$426,2,FALSE())</f>
        <v>#N/A</v>
      </c>
      <c r="G536" s="1" t="str">
        <f aca="false">IF(ISNA(F536),"",F536)</f>
        <v/>
      </c>
      <c r="H536" s="5" t="str">
        <f aca="false">IF(G536&lt;&gt;"",G536,E536)</f>
        <v>40, 44, GOLBAT</v>
      </c>
    </row>
    <row r="537" customFormat="false" ht="12.75" hidden="false" customHeight="true" outlineLevel="0" collapsed="false">
      <c r="A537" s="4" t="s">
        <v>3005</v>
      </c>
      <c r="B537" s="5" t="s">
        <v>3005</v>
      </c>
      <c r="C537" s="1" t="str">
        <f aca="false">IF(B537="NEW ROUTE",1,"")</f>
        <v/>
      </c>
      <c r="E537" s="5" t="s">
        <v>3005</v>
      </c>
      <c r="F537" s="6" t="e">
        <f aca="false">VLOOKUP(E537,$K$2:$L$426,2,FALSE())</f>
        <v>#N/A</v>
      </c>
      <c r="G537" s="1" t="str">
        <f aca="false">IF(ISNA(F537),"",F537)</f>
        <v/>
      </c>
      <c r="H537" s="5" t="str">
        <f aca="false">IF(G537&lt;&gt;"",G537,E537)</f>
        <v>40, 44, GOLDUCK</v>
      </c>
    </row>
    <row r="538" customFormat="false" ht="12.75" hidden="false" customHeight="true" outlineLevel="0" collapsed="false">
      <c r="A538" s="4" t="s">
        <v>2801</v>
      </c>
      <c r="B538" s="5" t="n">
        <v>0.1</v>
      </c>
      <c r="C538" s="1" t="str">
        <f aca="false">IF(B538="NEW ROUTE",1,"")</f>
        <v/>
      </c>
      <c r="E538" s="5" t="n">
        <v>0.1</v>
      </c>
      <c r="F538" s="6" t="e">
        <f aca="false">VLOOKUP(E538,$K$2:$L$426,2,FALSE())</f>
        <v>#N/A</v>
      </c>
      <c r="G538" s="1" t="str">
        <f aca="false">IF(ISNA(F538),"",F538)</f>
        <v/>
      </c>
      <c r="H538" s="5" t="n">
        <f aca="false">IF(G538&lt;&gt;"",G538,E538)</f>
        <v>0.1</v>
      </c>
    </row>
    <row r="539" customFormat="false" ht="12.75" hidden="false" customHeight="true" outlineLevel="0" collapsed="false">
      <c r="A539" s="4" t="s">
        <v>3006</v>
      </c>
      <c r="B539" s="5" t="s">
        <v>3006</v>
      </c>
      <c r="C539" s="1" t="str">
        <f aca="false">IF(B539="NEW ROUTE",1,"")</f>
        <v/>
      </c>
      <c r="E539" s="5" t="s">
        <v>3006</v>
      </c>
      <c r="F539" s="6" t="e">
        <f aca="false">VLOOKUP(E539,$K$2:$L$426,2,FALSE())</f>
        <v>#N/A</v>
      </c>
      <c r="G539" s="1" t="str">
        <f aca="false">IF(ISNA(F539),"",F539)</f>
        <v/>
      </c>
      <c r="H539" s="5" t="str">
        <f aca="false">IF(G539&lt;&gt;"",G539,E539)</f>
        <v>40, 44, SLOWBRO</v>
      </c>
    </row>
    <row r="540" customFormat="false" ht="12.75" hidden="false" customHeight="true" outlineLevel="0" collapsed="false">
      <c r="A540" s="4" t="s">
        <v>3007</v>
      </c>
      <c r="B540" s="5" t="s">
        <v>3007</v>
      </c>
      <c r="C540" s="1" t="str">
        <f aca="false">IF(B540="NEW ROUTE",1,"")</f>
        <v/>
      </c>
      <c r="E540" s="5" t="s">
        <v>3007</v>
      </c>
      <c r="F540" s="6" t="e">
        <f aca="false">VLOOKUP(E540,$K$2:$L$426,2,FALSE())</f>
        <v>#N/A</v>
      </c>
      <c r="G540" s="1" t="str">
        <f aca="false">IF(ISNA(F540),"",F540)</f>
        <v/>
      </c>
      <c r="H540" s="5" t="str">
        <f aca="false">IF(G540&lt;&gt;"",G540,E540)</f>
        <v>40, 44, CROBAT</v>
      </c>
    </row>
    <row r="541" customFormat="false" ht="12.75" hidden="false" customHeight="true" outlineLevel="0" collapsed="false">
      <c r="A541" s="4" t="s">
        <v>3008</v>
      </c>
      <c r="B541" s="5" t="s">
        <v>3008</v>
      </c>
      <c r="C541" s="1" t="str">
        <f aca="false">IF(B541="NEW ROUTE",1,"")</f>
        <v/>
      </c>
      <c r="E541" s="5" t="s">
        <v>3008</v>
      </c>
      <c r="F541" s="6" t="e">
        <f aca="false">VLOOKUP(E541,$K$2:$L$426,2,FALSE())</f>
        <v>#N/A</v>
      </c>
      <c r="G541" s="1" t="str">
        <f aca="false">IF(ISNA(F541),"",F541)</f>
        <v/>
      </c>
      <c r="H541" s="5" t="str">
        <f aca="false">IF(G541&lt;&gt;"",G541,E541)</f>
        <v>40, 44, DEWGONG</v>
      </c>
    </row>
    <row r="542" customFormat="false" ht="12.75" hidden="false" customHeight="true" outlineLevel="0" collapsed="false">
      <c r="A542" s="4" t="s">
        <v>3009</v>
      </c>
      <c r="B542" s="5" t="s">
        <v>3009</v>
      </c>
      <c r="C542" s="1" t="str">
        <f aca="false">IF(B542="NEW ROUTE",1,"")</f>
        <v/>
      </c>
      <c r="E542" s="5" t="s">
        <v>3009</v>
      </c>
      <c r="F542" s="6" t="e">
        <f aca="false">VLOOKUP(E542,$K$2:$L$426,2,FALSE())</f>
        <v>#N/A</v>
      </c>
      <c r="G542" s="1" t="str">
        <f aca="false">IF(ISNA(F542),"",F542)</f>
        <v/>
      </c>
      <c r="H542" s="5" t="str">
        <f aca="false">IF(G542&lt;&gt;"",G542,E542)</f>
        <v>40, 44, LICKILICKY</v>
      </c>
    </row>
    <row r="543" customFormat="false" ht="12.75" hidden="false" customHeight="true" outlineLevel="0" collapsed="false">
      <c r="A543" s="4" t="s">
        <v>2806</v>
      </c>
      <c r="B543" s="5" t="n">
        <v>0.05</v>
      </c>
      <c r="C543" s="1" t="str">
        <f aca="false">IF(B543="NEW ROUTE",1,"")</f>
        <v/>
      </c>
      <c r="E543" s="5" t="n">
        <v>0.05</v>
      </c>
      <c r="F543" s="6" t="e">
        <f aca="false">VLOOKUP(E543,$K$2:$L$426,2,FALSE())</f>
        <v>#N/A</v>
      </c>
      <c r="G543" s="1" t="str">
        <f aca="false">IF(ISNA(F543),"",F543)</f>
        <v/>
      </c>
      <c r="H543" s="5" t="n">
        <f aca="false">IF(G543&lt;&gt;"",G543,E543)</f>
        <v>0.05</v>
      </c>
    </row>
    <row r="544" customFormat="false" ht="12.75" hidden="false" customHeight="true" outlineLevel="0" collapsed="false">
      <c r="A544" s="4" t="s">
        <v>3010</v>
      </c>
      <c r="B544" s="5" t="s">
        <v>3010</v>
      </c>
      <c r="C544" s="1" t="str">
        <f aca="false">IF(B544="NEW ROUTE",1,"")</f>
        <v/>
      </c>
      <c r="E544" s="5" t="s">
        <v>3010</v>
      </c>
      <c r="F544" s="6" t="e">
        <f aca="false">VLOOKUP(E544,$K$2:$L$426,2,FALSE())</f>
        <v>#N/A</v>
      </c>
      <c r="G544" s="1" t="str">
        <f aca="false">IF(ISNA(F544),"",F544)</f>
        <v/>
      </c>
      <c r="H544" s="5" t="str">
        <f aca="false">IF(G544&lt;&gt;"",G544,E544)</f>
        <v>42, 46, POLABAT</v>
      </c>
    </row>
    <row r="545" customFormat="false" ht="12.75" hidden="false" customHeight="true" outlineLevel="0" collapsed="false">
      <c r="A545" s="4" t="s">
        <v>3011</v>
      </c>
      <c r="B545" s="5" t="s">
        <v>3011</v>
      </c>
      <c r="C545" s="1" t="str">
        <f aca="false">IF(B545="NEW ROUTE",1,"")</f>
        <v/>
      </c>
      <c r="E545" s="5" t="s">
        <v>3011</v>
      </c>
      <c r="F545" s="6" t="e">
        <f aca="false">VLOOKUP(E545,$K$2:$L$426,2,FALSE())</f>
        <v>#N/A</v>
      </c>
      <c r="G545" s="1" t="str">
        <f aca="false">IF(ISNA(F545),"",F545)</f>
        <v/>
      </c>
      <c r="H545" s="5" t="str">
        <f aca="false">IF(G545&lt;&gt;"",G545,E545)</f>
        <v>42, 46, GILDUCK</v>
      </c>
    </row>
    <row r="546" customFormat="false" ht="12.75" hidden="false" customHeight="true" outlineLevel="0" collapsed="false">
      <c r="A546" s="4" t="s">
        <v>2809</v>
      </c>
      <c r="B546" s="5" t="n">
        <v>0.04</v>
      </c>
      <c r="C546" s="1" t="str">
        <f aca="false">IF(B546="NEW ROUTE",1,"")</f>
        <v/>
      </c>
      <c r="E546" s="5" t="n">
        <v>0.04</v>
      </c>
      <c r="F546" s="6" t="e">
        <f aca="false">VLOOKUP(E546,$K$2:$L$426,2,FALSE())</f>
        <v>#N/A</v>
      </c>
      <c r="G546" s="1" t="str">
        <f aca="false">IF(ISNA(F546),"",F546)</f>
        <v/>
      </c>
      <c r="H546" s="5" t="n">
        <f aca="false">IF(G546&lt;&gt;"",G546,E546)</f>
        <v>0.04</v>
      </c>
    </row>
    <row r="547" customFormat="false" ht="12.75" hidden="false" customHeight="true" outlineLevel="0" collapsed="false">
      <c r="A547" s="4" t="s">
        <v>3012</v>
      </c>
      <c r="B547" s="5" t="s">
        <v>3012</v>
      </c>
      <c r="C547" s="1" t="str">
        <f aca="false">IF(B547="NEW ROUTE",1,"")</f>
        <v/>
      </c>
      <c r="E547" s="5" t="s">
        <v>3012</v>
      </c>
      <c r="F547" s="6" t="e">
        <f aca="false">VLOOKUP(E547,$K$2:$L$426,2,FALSE())</f>
        <v>#N/A</v>
      </c>
      <c r="G547" s="1" t="str">
        <f aca="false">IF(ISNA(F547),"",F547)</f>
        <v/>
      </c>
      <c r="H547" s="5" t="str">
        <f aca="false">IF(G547&lt;&gt;"",G547,E547)</f>
        <v>44, 47, SLOWMATE</v>
      </c>
    </row>
    <row r="548" customFormat="false" ht="12.75" hidden="false" customHeight="true" outlineLevel="0" collapsed="false">
      <c r="A548" s="4" t="s">
        <v>3013</v>
      </c>
      <c r="B548" s="5" t="s">
        <v>3013</v>
      </c>
      <c r="C548" s="1" t="str">
        <f aca="false">IF(B548="NEW ROUTE",1,"")</f>
        <v/>
      </c>
      <c r="E548" s="5" t="s">
        <v>3013</v>
      </c>
      <c r="F548" s="6" t="e">
        <f aca="false">VLOOKUP(E548,$K$2:$L$426,2,FALSE())</f>
        <v>#N/A</v>
      </c>
      <c r="G548" s="1" t="str">
        <f aca="false">IF(ISNA(F548),"",F548)</f>
        <v/>
      </c>
      <c r="H548" s="5" t="str">
        <f aca="false">IF(G548&lt;&gt;"",G548,E548)</f>
        <v>44, 47, PRECIPED</v>
      </c>
    </row>
    <row r="549" customFormat="false" ht="12.75" hidden="false" customHeight="true" outlineLevel="0" collapsed="false">
      <c r="A549" s="4" t="s">
        <v>2812</v>
      </c>
      <c r="B549" s="5" t="n">
        <v>0.01</v>
      </c>
      <c r="C549" s="1" t="str">
        <f aca="false">IF(B549="NEW ROUTE",1,"")</f>
        <v/>
      </c>
      <c r="E549" s="5" t="n">
        <v>0.01</v>
      </c>
      <c r="F549" s="6" t="e">
        <f aca="false">VLOOKUP(E549,$K$2:$L$426,2,FALSE())</f>
        <v>#N/A</v>
      </c>
      <c r="G549" s="1" t="str">
        <f aca="false">IF(ISNA(F549),"",F549)</f>
        <v/>
      </c>
      <c r="H549" s="5" t="n">
        <f aca="false">IF(G549&lt;&gt;"",G549,E549)</f>
        <v>0.01</v>
      </c>
    </row>
    <row r="550" customFormat="false" ht="12.75" hidden="false" customHeight="true" outlineLevel="0" collapsed="false">
      <c r="A550" s="4" t="s">
        <v>3014</v>
      </c>
      <c r="B550" s="5" t="s">
        <v>3014</v>
      </c>
      <c r="C550" s="1" t="str">
        <f aca="false">IF(B550="NEW ROUTE",1,"")</f>
        <v/>
      </c>
      <c r="E550" s="5" t="s">
        <v>3014</v>
      </c>
      <c r="F550" s="6" t="e">
        <f aca="false">VLOOKUP(E550,$K$2:$L$426,2,FALSE())</f>
        <v>#N/A</v>
      </c>
      <c r="G550" s="1" t="str">
        <f aca="false">IF(ISNA(F550),"",F550)</f>
        <v/>
      </c>
      <c r="H550" s="5" t="str">
        <f aca="false">IF(G550&lt;&gt;"",G550,E550)</f>
        <v>45, 50, DRAGONITE</v>
      </c>
    </row>
    <row r="551" customFormat="false" ht="12.75" hidden="false" customHeight="true" outlineLevel="0" collapsed="false">
      <c r="A551" s="4" t="s">
        <v>3716</v>
      </c>
      <c r="B551" s="5" t="s">
        <v>3716</v>
      </c>
      <c r="C551" s="1" t="str">
        <f aca="false">IF(B551="NEW ROUTE",1,"")</f>
        <v/>
      </c>
      <c r="E551" s="5" t="s">
        <v>3716</v>
      </c>
      <c r="F551" s="6" t="e">
        <f aca="false">VLOOKUP(E551,$K$2:$L$426,2,FALSE())</f>
        <v>#N/A</v>
      </c>
      <c r="G551" s="1" t="str">
        <f aca="false">IF(ISNA(F551),"",F551)</f>
        <v/>
      </c>
      <c r="H551" s="5" t="str">
        <f aca="false">IF(G551&lt;&gt;"",G551,E551)</f>
        <v>45, 50, LICKILICKY</v>
      </c>
    </row>
    <row r="552" customFormat="false" ht="12.75" hidden="false" customHeight="true" outlineLevel="0" collapsed="false">
      <c r="A552" s="4" t="s">
        <v>2536</v>
      </c>
      <c r="B552" s="5" t="s">
        <v>2536</v>
      </c>
      <c r="C552" s="1" t="n">
        <f aca="false">IF(B552="NEW ROUTE",1,"")</f>
        <v>1</v>
      </c>
      <c r="E552" s="5" t="s">
        <v>2536</v>
      </c>
      <c r="F552" s="6" t="e">
        <f aca="false">VLOOKUP(E552,$K$2:$L$426,2,FALSE())</f>
        <v>#N/A</v>
      </c>
      <c r="G552" s="1" t="str">
        <f aca="false">IF(ISNA(F552),"",F552)</f>
        <v/>
      </c>
      <c r="H552" s="5" t="str">
        <f aca="false">IF(G552&lt;&gt;"",G552,E552)</f>
        <v>NEW ROUTE</v>
      </c>
    </row>
    <row r="553" customFormat="false" ht="12.75" hidden="false" customHeight="true" outlineLevel="0" collapsed="false">
      <c r="A553" s="4" t="s">
        <v>180</v>
      </c>
      <c r="B553" s="5" t="s">
        <v>180</v>
      </c>
      <c r="C553" s="1" t="str">
        <f aca="false">IF(B553="NEW ROUTE",1,"")</f>
        <v/>
      </c>
      <c r="E553" s="5" t="s">
        <v>180</v>
      </c>
      <c r="F553" s="6" t="str">
        <f aca="false">VLOOKUP(E553,$K$2:$L$426,2,FALSE())</f>
        <v>Seafoam Islands B1F</v>
      </c>
      <c r="G553" s="1" t="str">
        <f aca="false">IF(ISNA(F553),"",F553)</f>
        <v>Seafoam Islands B1F</v>
      </c>
      <c r="H553" s="5" t="str">
        <f aca="false">IF(G553&lt;&gt;"",G553,E553)</f>
        <v>Seafoam Islands B1F</v>
      </c>
    </row>
    <row r="554" customFormat="false" ht="12.75" hidden="false" customHeight="true" outlineLevel="0" collapsed="false">
      <c r="A554" s="4" t="s">
        <v>2799</v>
      </c>
      <c r="B554" s="5" t="n">
        <v>0.2</v>
      </c>
      <c r="C554" s="1" t="str">
        <f aca="false">IF(B554="NEW ROUTE",1,"")</f>
        <v/>
      </c>
      <c r="E554" s="5" t="n">
        <v>0.2</v>
      </c>
      <c r="F554" s="6" t="e">
        <f aca="false">VLOOKUP(E554,$K$2:$L$426,2,FALSE())</f>
        <v>#N/A</v>
      </c>
      <c r="G554" s="1" t="str">
        <f aca="false">IF(ISNA(F554),"",F554)</f>
        <v/>
      </c>
      <c r="H554" s="5" t="n">
        <f aca="false">IF(G554&lt;&gt;"",G554,E554)</f>
        <v>0.2</v>
      </c>
    </row>
    <row r="555" customFormat="false" ht="12.75" hidden="false" customHeight="true" outlineLevel="0" collapsed="false">
      <c r="A555" s="4" t="s">
        <v>1430</v>
      </c>
      <c r="B555" s="5" t="s">
        <v>1430</v>
      </c>
      <c r="C555" s="1" t="str">
        <f aca="false">IF(B555="NEW ROUTE",1,"")</f>
        <v/>
      </c>
      <c r="E555" s="5" t="s">
        <v>1430</v>
      </c>
      <c r="F555" s="6" t="e">
        <f aca="false">VLOOKUP(E555,$K$2:$L$426,2,FALSE())</f>
        <v>#N/A</v>
      </c>
      <c r="G555" s="1" t="str">
        <f aca="false">IF(ISNA(F555),"",F555)</f>
        <v/>
      </c>
      <c r="H555" s="5" t="str">
        <f aca="false">IF(G555&lt;&gt;"",G555,E555)</f>
        <v>40, 44, GOLBAT</v>
      </c>
    </row>
    <row r="556" customFormat="false" ht="12.75" hidden="false" customHeight="true" outlineLevel="0" collapsed="false">
      <c r="A556" s="4" t="s">
        <v>3005</v>
      </c>
      <c r="B556" s="5" t="s">
        <v>3005</v>
      </c>
      <c r="C556" s="1" t="str">
        <f aca="false">IF(B556="NEW ROUTE",1,"")</f>
        <v/>
      </c>
      <c r="E556" s="5" t="s">
        <v>3005</v>
      </c>
      <c r="F556" s="6" t="e">
        <f aca="false">VLOOKUP(E556,$K$2:$L$426,2,FALSE())</f>
        <v>#N/A</v>
      </c>
      <c r="G556" s="1" t="str">
        <f aca="false">IF(ISNA(F556),"",F556)</f>
        <v/>
      </c>
      <c r="H556" s="5" t="str">
        <f aca="false">IF(G556&lt;&gt;"",G556,E556)</f>
        <v>40, 44, GOLDUCK</v>
      </c>
    </row>
    <row r="557" customFormat="false" ht="12.75" hidden="false" customHeight="true" outlineLevel="0" collapsed="false">
      <c r="A557" s="4" t="s">
        <v>2801</v>
      </c>
      <c r="B557" s="5" t="n">
        <v>0.1</v>
      </c>
      <c r="C557" s="1" t="str">
        <f aca="false">IF(B557="NEW ROUTE",1,"")</f>
        <v/>
      </c>
      <c r="E557" s="5" t="n">
        <v>0.1</v>
      </c>
      <c r="F557" s="6" t="e">
        <f aca="false">VLOOKUP(E557,$K$2:$L$426,2,FALSE())</f>
        <v>#N/A</v>
      </c>
      <c r="G557" s="1" t="str">
        <f aca="false">IF(ISNA(F557),"",F557)</f>
        <v/>
      </c>
      <c r="H557" s="5" t="n">
        <f aca="false">IF(G557&lt;&gt;"",G557,E557)</f>
        <v>0.1</v>
      </c>
    </row>
    <row r="558" customFormat="false" ht="12.75" hidden="false" customHeight="true" outlineLevel="0" collapsed="false">
      <c r="A558" s="4" t="s">
        <v>3006</v>
      </c>
      <c r="B558" s="5" t="s">
        <v>3006</v>
      </c>
      <c r="C558" s="1" t="str">
        <f aca="false">IF(B558="NEW ROUTE",1,"")</f>
        <v/>
      </c>
      <c r="E558" s="5" t="s">
        <v>3006</v>
      </c>
      <c r="F558" s="6" t="e">
        <f aca="false">VLOOKUP(E558,$K$2:$L$426,2,FALSE())</f>
        <v>#N/A</v>
      </c>
      <c r="G558" s="1" t="str">
        <f aca="false">IF(ISNA(F558),"",F558)</f>
        <v/>
      </c>
      <c r="H558" s="5" t="str">
        <f aca="false">IF(G558&lt;&gt;"",G558,E558)</f>
        <v>40, 44, SLOWBRO</v>
      </c>
    </row>
    <row r="559" customFormat="false" ht="12.75" hidden="false" customHeight="true" outlineLevel="0" collapsed="false">
      <c r="A559" s="4" t="s">
        <v>3007</v>
      </c>
      <c r="B559" s="5" t="s">
        <v>3007</v>
      </c>
      <c r="C559" s="1" t="str">
        <f aca="false">IF(B559="NEW ROUTE",1,"")</f>
        <v/>
      </c>
      <c r="E559" s="5" t="s">
        <v>3007</v>
      </c>
      <c r="F559" s="6" t="e">
        <f aca="false">VLOOKUP(E559,$K$2:$L$426,2,FALSE())</f>
        <v>#N/A</v>
      </c>
      <c r="G559" s="1" t="str">
        <f aca="false">IF(ISNA(F559),"",F559)</f>
        <v/>
      </c>
      <c r="H559" s="5" t="str">
        <f aca="false">IF(G559&lt;&gt;"",G559,E559)</f>
        <v>40, 44, CROBAT</v>
      </c>
    </row>
    <row r="560" customFormat="false" ht="12.75" hidden="false" customHeight="true" outlineLevel="0" collapsed="false">
      <c r="A560" s="4" t="s">
        <v>3008</v>
      </c>
      <c r="B560" s="5" t="s">
        <v>3008</v>
      </c>
      <c r="C560" s="1" t="str">
        <f aca="false">IF(B560="NEW ROUTE",1,"")</f>
        <v/>
      </c>
      <c r="E560" s="5" t="s">
        <v>3008</v>
      </c>
      <c r="F560" s="6" t="e">
        <f aca="false">VLOOKUP(E560,$K$2:$L$426,2,FALSE())</f>
        <v>#N/A</v>
      </c>
      <c r="G560" s="1" t="str">
        <f aca="false">IF(ISNA(F560),"",F560)</f>
        <v/>
      </c>
      <c r="H560" s="5" t="str">
        <f aca="false">IF(G560&lt;&gt;"",G560,E560)</f>
        <v>40, 44, DEWGONG</v>
      </c>
    </row>
    <row r="561" customFormat="false" ht="12.75" hidden="false" customHeight="true" outlineLevel="0" collapsed="false">
      <c r="A561" s="4" t="s">
        <v>3009</v>
      </c>
      <c r="B561" s="5" t="s">
        <v>3009</v>
      </c>
      <c r="C561" s="1" t="str">
        <f aca="false">IF(B561="NEW ROUTE",1,"")</f>
        <v/>
      </c>
      <c r="E561" s="5" t="s">
        <v>3009</v>
      </c>
      <c r="F561" s="6" t="e">
        <f aca="false">VLOOKUP(E561,$K$2:$L$426,2,FALSE())</f>
        <v>#N/A</v>
      </c>
      <c r="G561" s="1" t="str">
        <f aca="false">IF(ISNA(F561),"",F561)</f>
        <v/>
      </c>
      <c r="H561" s="5" t="str">
        <f aca="false">IF(G561&lt;&gt;"",G561,E561)</f>
        <v>40, 44, LICKILICKY</v>
      </c>
    </row>
    <row r="562" customFormat="false" ht="12.75" hidden="false" customHeight="true" outlineLevel="0" collapsed="false">
      <c r="A562" s="4" t="s">
        <v>2806</v>
      </c>
      <c r="B562" s="5" t="n">
        <v>0.05</v>
      </c>
      <c r="C562" s="1" t="str">
        <f aca="false">IF(B562="NEW ROUTE",1,"")</f>
        <v/>
      </c>
      <c r="E562" s="5" t="n">
        <v>0.05</v>
      </c>
      <c r="F562" s="6" t="e">
        <f aca="false">VLOOKUP(E562,$K$2:$L$426,2,FALSE())</f>
        <v>#N/A</v>
      </c>
      <c r="G562" s="1" t="str">
        <f aca="false">IF(ISNA(F562),"",F562)</f>
        <v/>
      </c>
      <c r="H562" s="5" t="n">
        <f aca="false">IF(G562&lt;&gt;"",G562,E562)</f>
        <v>0.05</v>
      </c>
    </row>
    <row r="563" customFormat="false" ht="12.75" hidden="false" customHeight="true" outlineLevel="0" collapsed="false">
      <c r="A563" s="4" t="s">
        <v>3010</v>
      </c>
      <c r="B563" s="5" t="s">
        <v>3010</v>
      </c>
      <c r="C563" s="1" t="str">
        <f aca="false">IF(B563="NEW ROUTE",1,"")</f>
        <v/>
      </c>
      <c r="E563" s="5" t="s">
        <v>3010</v>
      </c>
      <c r="F563" s="6" t="e">
        <f aca="false">VLOOKUP(E563,$K$2:$L$426,2,FALSE())</f>
        <v>#N/A</v>
      </c>
      <c r="G563" s="1" t="str">
        <f aca="false">IF(ISNA(F563),"",F563)</f>
        <v/>
      </c>
      <c r="H563" s="5" t="str">
        <f aca="false">IF(G563&lt;&gt;"",G563,E563)</f>
        <v>42, 46, POLABAT</v>
      </c>
    </row>
    <row r="564" customFormat="false" ht="12.75" hidden="false" customHeight="true" outlineLevel="0" collapsed="false">
      <c r="A564" s="4" t="s">
        <v>3011</v>
      </c>
      <c r="B564" s="5" t="s">
        <v>3011</v>
      </c>
      <c r="C564" s="1" t="str">
        <f aca="false">IF(B564="NEW ROUTE",1,"")</f>
        <v/>
      </c>
      <c r="E564" s="5" t="s">
        <v>3011</v>
      </c>
      <c r="F564" s="6" t="e">
        <f aca="false">VLOOKUP(E564,$K$2:$L$426,2,FALSE())</f>
        <v>#N/A</v>
      </c>
      <c r="G564" s="1" t="str">
        <f aca="false">IF(ISNA(F564),"",F564)</f>
        <v/>
      </c>
      <c r="H564" s="5" t="str">
        <f aca="false">IF(G564&lt;&gt;"",G564,E564)</f>
        <v>42, 46, GILDUCK</v>
      </c>
    </row>
    <row r="565" customFormat="false" ht="12.75" hidden="false" customHeight="true" outlineLevel="0" collapsed="false">
      <c r="A565" s="4" t="s">
        <v>2809</v>
      </c>
      <c r="B565" s="5" t="n">
        <v>0.04</v>
      </c>
      <c r="C565" s="1" t="str">
        <f aca="false">IF(B565="NEW ROUTE",1,"")</f>
        <v/>
      </c>
      <c r="E565" s="5" t="n">
        <v>0.04</v>
      </c>
      <c r="F565" s="6" t="e">
        <f aca="false">VLOOKUP(E565,$K$2:$L$426,2,FALSE())</f>
        <v>#N/A</v>
      </c>
      <c r="G565" s="1" t="str">
        <f aca="false">IF(ISNA(F565),"",F565)</f>
        <v/>
      </c>
      <c r="H565" s="5" t="n">
        <f aca="false">IF(G565&lt;&gt;"",G565,E565)</f>
        <v>0.04</v>
      </c>
    </row>
    <row r="566" customFormat="false" ht="12.75" hidden="false" customHeight="true" outlineLevel="0" collapsed="false">
      <c r="A566" s="4" t="s">
        <v>3012</v>
      </c>
      <c r="B566" s="5" t="s">
        <v>3012</v>
      </c>
      <c r="C566" s="1" t="str">
        <f aca="false">IF(B566="NEW ROUTE",1,"")</f>
        <v/>
      </c>
      <c r="E566" s="5" t="s">
        <v>3012</v>
      </c>
      <c r="F566" s="6" t="e">
        <f aca="false">VLOOKUP(E566,$K$2:$L$426,2,FALSE())</f>
        <v>#N/A</v>
      </c>
      <c r="G566" s="1" t="str">
        <f aca="false">IF(ISNA(F566),"",F566)</f>
        <v/>
      </c>
      <c r="H566" s="5" t="str">
        <f aca="false">IF(G566&lt;&gt;"",G566,E566)</f>
        <v>44, 47, SLOWMATE</v>
      </c>
    </row>
    <row r="567" customFormat="false" ht="12.75" hidden="false" customHeight="true" outlineLevel="0" collapsed="false">
      <c r="A567" s="4" t="s">
        <v>3013</v>
      </c>
      <c r="B567" s="5" t="s">
        <v>3013</v>
      </c>
      <c r="C567" s="1" t="str">
        <f aca="false">IF(B567="NEW ROUTE",1,"")</f>
        <v/>
      </c>
      <c r="E567" s="5" t="s">
        <v>3013</v>
      </c>
      <c r="F567" s="6" t="e">
        <f aca="false">VLOOKUP(E567,$K$2:$L$426,2,FALSE())</f>
        <v>#N/A</v>
      </c>
      <c r="G567" s="1" t="str">
        <f aca="false">IF(ISNA(F567),"",F567)</f>
        <v/>
      </c>
      <c r="H567" s="5" t="str">
        <f aca="false">IF(G567&lt;&gt;"",G567,E567)</f>
        <v>44, 47, PRECIPED</v>
      </c>
    </row>
    <row r="568" customFormat="false" ht="12.75" hidden="false" customHeight="true" outlineLevel="0" collapsed="false">
      <c r="A568" s="4" t="s">
        <v>2812</v>
      </c>
      <c r="B568" s="5" t="n">
        <v>0.01</v>
      </c>
      <c r="C568" s="1" t="str">
        <f aca="false">IF(B568="NEW ROUTE",1,"")</f>
        <v/>
      </c>
      <c r="E568" s="5" t="n">
        <v>0.01</v>
      </c>
      <c r="F568" s="6" t="e">
        <f aca="false">VLOOKUP(E568,$K$2:$L$426,2,FALSE())</f>
        <v>#N/A</v>
      </c>
      <c r="G568" s="1" t="str">
        <f aca="false">IF(ISNA(F568),"",F568)</f>
        <v/>
      </c>
      <c r="H568" s="5" t="n">
        <f aca="false">IF(G568&lt;&gt;"",G568,E568)</f>
        <v>0.01</v>
      </c>
    </row>
    <row r="569" customFormat="false" ht="12.75" hidden="false" customHeight="true" outlineLevel="0" collapsed="false">
      <c r="A569" s="4" t="s">
        <v>3014</v>
      </c>
      <c r="B569" s="5" t="s">
        <v>3014</v>
      </c>
      <c r="C569" s="1" t="str">
        <f aca="false">IF(B569="NEW ROUTE",1,"")</f>
        <v/>
      </c>
      <c r="E569" s="5" t="s">
        <v>3014</v>
      </c>
      <c r="F569" s="6" t="e">
        <f aca="false">VLOOKUP(E569,$K$2:$L$426,2,FALSE())</f>
        <v>#N/A</v>
      </c>
      <c r="G569" s="1" t="str">
        <f aca="false">IF(ISNA(F569),"",F569)</f>
        <v/>
      </c>
      <c r="H569" s="5" t="str">
        <f aca="false">IF(G569&lt;&gt;"",G569,E569)</f>
        <v>45, 50, DRAGONITE</v>
      </c>
    </row>
    <row r="570" customFormat="false" ht="12.75" hidden="false" customHeight="true" outlineLevel="0" collapsed="false">
      <c r="A570" s="4" t="s">
        <v>3020</v>
      </c>
      <c r="B570" s="5" t="s">
        <v>3020</v>
      </c>
      <c r="C570" s="1" t="str">
        <f aca="false">IF(B570="NEW ROUTE",1,"")</f>
        <v/>
      </c>
      <c r="E570" s="5" t="s">
        <v>3020</v>
      </c>
      <c r="F570" s="6" t="e">
        <f aca="false">VLOOKUP(E570,$K$2:$L$426,2,FALSE())</f>
        <v>#N/A</v>
      </c>
      <c r="G570" s="1" t="str">
        <f aca="false">IF(ISNA(F570),"",F570)</f>
        <v/>
      </c>
      <c r="H570" s="5" t="str">
        <f aca="false">IF(G570&lt;&gt;"",G570,E570)</f>
        <v>45, 50, LICKILOLLY</v>
      </c>
    </row>
    <row r="571" customFormat="false" ht="12.75" hidden="false" customHeight="true" outlineLevel="0" collapsed="false">
      <c r="A571" s="4" t="s">
        <v>2536</v>
      </c>
      <c r="B571" s="5" t="s">
        <v>2536</v>
      </c>
      <c r="C571" s="1" t="n">
        <f aca="false">IF(B571="NEW ROUTE",1,"")</f>
        <v>1</v>
      </c>
      <c r="E571" s="5" t="s">
        <v>2536</v>
      </c>
      <c r="F571" s="6" t="e">
        <f aca="false">VLOOKUP(E571,$K$2:$L$426,2,FALSE())</f>
        <v>#N/A</v>
      </c>
      <c r="G571" s="1" t="str">
        <f aca="false">IF(ISNA(F571),"",F571)</f>
        <v/>
      </c>
      <c r="H571" s="5" t="str">
        <f aca="false">IF(G571&lt;&gt;"",G571,E571)</f>
        <v>NEW ROUTE</v>
      </c>
    </row>
    <row r="572" customFormat="false" ht="12.75" hidden="false" customHeight="true" outlineLevel="0" collapsed="false">
      <c r="A572" s="4" t="s">
        <v>182</v>
      </c>
      <c r="B572" s="5" t="s">
        <v>182</v>
      </c>
      <c r="C572" s="1" t="str">
        <f aca="false">IF(B572="NEW ROUTE",1,"")</f>
        <v/>
      </c>
      <c r="E572" s="5" t="s">
        <v>182</v>
      </c>
      <c r="F572" s="6" t="str">
        <f aca="false">VLOOKUP(E572,$K$2:$L$426,2,FALSE())</f>
        <v>Seafoam Islands B2F</v>
      </c>
      <c r="G572" s="1" t="str">
        <f aca="false">IF(ISNA(F572),"",F572)</f>
        <v>Seafoam Islands B2F</v>
      </c>
      <c r="H572" s="5" t="str">
        <f aca="false">IF(G572&lt;&gt;"",G572,E572)</f>
        <v>Seafoam Islands B2F</v>
      </c>
    </row>
    <row r="573" customFormat="false" ht="12.75" hidden="false" customHeight="true" outlineLevel="0" collapsed="false">
      <c r="A573" s="4" t="s">
        <v>2799</v>
      </c>
      <c r="B573" s="5" t="n">
        <v>0.2</v>
      </c>
      <c r="C573" s="1" t="str">
        <f aca="false">IF(B573="NEW ROUTE",1,"")</f>
        <v/>
      </c>
      <c r="E573" s="5" t="n">
        <v>0.2</v>
      </c>
      <c r="F573" s="6" t="e">
        <f aca="false">VLOOKUP(E573,$K$2:$L$426,2,FALSE())</f>
        <v>#N/A</v>
      </c>
      <c r="G573" s="1" t="str">
        <f aca="false">IF(ISNA(F573),"",F573)</f>
        <v/>
      </c>
      <c r="H573" s="5" t="n">
        <f aca="false">IF(G573&lt;&gt;"",G573,E573)</f>
        <v>0.2</v>
      </c>
    </row>
    <row r="574" customFormat="false" ht="12.75" hidden="false" customHeight="true" outlineLevel="0" collapsed="false">
      <c r="A574" s="4" t="s">
        <v>1430</v>
      </c>
      <c r="B574" s="5" t="s">
        <v>1430</v>
      </c>
      <c r="C574" s="1" t="str">
        <f aca="false">IF(B574="NEW ROUTE",1,"")</f>
        <v/>
      </c>
      <c r="E574" s="5" t="s">
        <v>1430</v>
      </c>
      <c r="F574" s="6" t="e">
        <f aca="false">VLOOKUP(E574,$K$2:$L$426,2,FALSE())</f>
        <v>#N/A</v>
      </c>
      <c r="G574" s="1" t="str">
        <f aca="false">IF(ISNA(F574),"",F574)</f>
        <v/>
      </c>
      <c r="H574" s="5" t="str">
        <f aca="false">IF(G574&lt;&gt;"",G574,E574)</f>
        <v>40, 44, GOLBAT</v>
      </c>
    </row>
    <row r="575" customFormat="false" ht="12.75" hidden="false" customHeight="true" outlineLevel="0" collapsed="false">
      <c r="A575" s="4" t="s">
        <v>3005</v>
      </c>
      <c r="B575" s="5" t="s">
        <v>3005</v>
      </c>
      <c r="C575" s="1" t="str">
        <f aca="false">IF(B575="NEW ROUTE",1,"")</f>
        <v/>
      </c>
      <c r="E575" s="5" t="s">
        <v>3005</v>
      </c>
      <c r="F575" s="6" t="e">
        <f aca="false">VLOOKUP(E575,$K$2:$L$426,2,FALSE())</f>
        <v>#N/A</v>
      </c>
      <c r="G575" s="1" t="str">
        <f aca="false">IF(ISNA(F575),"",F575)</f>
        <v/>
      </c>
      <c r="H575" s="5" t="str">
        <f aca="false">IF(G575&lt;&gt;"",G575,E575)</f>
        <v>40, 44, GOLDUCK</v>
      </c>
    </row>
    <row r="576" customFormat="false" ht="12.75" hidden="false" customHeight="true" outlineLevel="0" collapsed="false">
      <c r="A576" s="4" t="s">
        <v>2801</v>
      </c>
      <c r="B576" s="5" t="n">
        <v>0.1</v>
      </c>
      <c r="C576" s="1" t="str">
        <f aca="false">IF(B576="NEW ROUTE",1,"")</f>
        <v/>
      </c>
      <c r="E576" s="5" t="n">
        <v>0.1</v>
      </c>
      <c r="F576" s="6" t="e">
        <f aca="false">VLOOKUP(E576,$K$2:$L$426,2,FALSE())</f>
        <v>#N/A</v>
      </c>
      <c r="G576" s="1" t="str">
        <f aca="false">IF(ISNA(F576),"",F576)</f>
        <v/>
      </c>
      <c r="H576" s="5" t="n">
        <f aca="false">IF(G576&lt;&gt;"",G576,E576)</f>
        <v>0.1</v>
      </c>
    </row>
    <row r="577" customFormat="false" ht="12.75" hidden="false" customHeight="true" outlineLevel="0" collapsed="false">
      <c r="A577" s="4" t="s">
        <v>3006</v>
      </c>
      <c r="B577" s="5" t="s">
        <v>3006</v>
      </c>
      <c r="C577" s="1" t="str">
        <f aca="false">IF(B577="NEW ROUTE",1,"")</f>
        <v/>
      </c>
      <c r="E577" s="5" t="s">
        <v>3006</v>
      </c>
      <c r="F577" s="6" t="e">
        <f aca="false">VLOOKUP(E577,$K$2:$L$426,2,FALSE())</f>
        <v>#N/A</v>
      </c>
      <c r="G577" s="1" t="str">
        <f aca="false">IF(ISNA(F577),"",F577)</f>
        <v/>
      </c>
      <c r="H577" s="5" t="str">
        <f aca="false">IF(G577&lt;&gt;"",G577,E577)</f>
        <v>40, 44, SLOWBRO</v>
      </c>
    </row>
    <row r="578" customFormat="false" ht="12.75" hidden="false" customHeight="true" outlineLevel="0" collapsed="false">
      <c r="A578" s="4" t="s">
        <v>3007</v>
      </c>
      <c r="B578" s="5" t="s">
        <v>3007</v>
      </c>
      <c r="C578" s="1" t="str">
        <f aca="false">IF(B578="NEW ROUTE",1,"")</f>
        <v/>
      </c>
      <c r="E578" s="5" t="s">
        <v>3007</v>
      </c>
      <c r="F578" s="6" t="e">
        <f aca="false">VLOOKUP(E578,$K$2:$L$426,2,FALSE())</f>
        <v>#N/A</v>
      </c>
      <c r="G578" s="1" t="str">
        <f aca="false">IF(ISNA(F578),"",F578)</f>
        <v/>
      </c>
      <c r="H578" s="5" t="str">
        <f aca="false">IF(G578&lt;&gt;"",G578,E578)</f>
        <v>40, 44, CROBAT</v>
      </c>
    </row>
    <row r="579" customFormat="false" ht="12.75" hidden="false" customHeight="true" outlineLevel="0" collapsed="false">
      <c r="A579" s="4" t="s">
        <v>3008</v>
      </c>
      <c r="B579" s="5" t="s">
        <v>3008</v>
      </c>
      <c r="C579" s="1" t="str">
        <f aca="false">IF(B579="NEW ROUTE",1,"")</f>
        <v/>
      </c>
      <c r="E579" s="5" t="s">
        <v>3008</v>
      </c>
      <c r="F579" s="6" t="e">
        <f aca="false">VLOOKUP(E579,$K$2:$L$426,2,FALSE())</f>
        <v>#N/A</v>
      </c>
      <c r="G579" s="1" t="str">
        <f aca="false">IF(ISNA(F579),"",F579)</f>
        <v/>
      </c>
      <c r="H579" s="5" t="str">
        <f aca="false">IF(G579&lt;&gt;"",G579,E579)</f>
        <v>40, 44, DEWGONG</v>
      </c>
    </row>
    <row r="580" customFormat="false" ht="12.75" hidden="false" customHeight="true" outlineLevel="0" collapsed="false">
      <c r="A580" s="4" t="s">
        <v>3009</v>
      </c>
      <c r="B580" s="5" t="s">
        <v>3009</v>
      </c>
      <c r="C580" s="1" t="str">
        <f aca="false">IF(B580="NEW ROUTE",1,"")</f>
        <v/>
      </c>
      <c r="E580" s="5" t="s">
        <v>3009</v>
      </c>
      <c r="F580" s="6" t="e">
        <f aca="false">VLOOKUP(E580,$K$2:$L$426,2,FALSE())</f>
        <v>#N/A</v>
      </c>
      <c r="G580" s="1" t="str">
        <f aca="false">IF(ISNA(F580),"",F580)</f>
        <v/>
      </c>
      <c r="H580" s="5" t="str">
        <f aca="false">IF(G580&lt;&gt;"",G580,E580)</f>
        <v>40, 44, LICKILICKY</v>
      </c>
    </row>
    <row r="581" customFormat="false" ht="12.75" hidden="false" customHeight="true" outlineLevel="0" collapsed="false">
      <c r="A581" s="4" t="s">
        <v>2806</v>
      </c>
      <c r="B581" s="5" t="n">
        <v>0.05</v>
      </c>
      <c r="C581" s="1" t="str">
        <f aca="false">IF(B581="NEW ROUTE",1,"")</f>
        <v/>
      </c>
      <c r="E581" s="5" t="n">
        <v>0.05</v>
      </c>
      <c r="F581" s="6" t="e">
        <f aca="false">VLOOKUP(E581,$K$2:$L$426,2,FALSE())</f>
        <v>#N/A</v>
      </c>
      <c r="G581" s="1" t="str">
        <f aca="false">IF(ISNA(F581),"",F581)</f>
        <v/>
      </c>
      <c r="H581" s="5" t="n">
        <f aca="false">IF(G581&lt;&gt;"",G581,E581)</f>
        <v>0.05</v>
      </c>
    </row>
    <row r="582" customFormat="false" ht="12.75" hidden="false" customHeight="true" outlineLevel="0" collapsed="false">
      <c r="A582" s="4" t="s">
        <v>3010</v>
      </c>
      <c r="B582" s="5" t="s">
        <v>3010</v>
      </c>
      <c r="C582" s="1" t="str">
        <f aca="false">IF(B582="NEW ROUTE",1,"")</f>
        <v/>
      </c>
      <c r="E582" s="5" t="s">
        <v>3010</v>
      </c>
      <c r="F582" s="6" t="e">
        <f aca="false">VLOOKUP(E582,$K$2:$L$426,2,FALSE())</f>
        <v>#N/A</v>
      </c>
      <c r="G582" s="1" t="str">
        <f aca="false">IF(ISNA(F582),"",F582)</f>
        <v/>
      </c>
      <c r="H582" s="5" t="str">
        <f aca="false">IF(G582&lt;&gt;"",G582,E582)</f>
        <v>42, 46, POLABAT</v>
      </c>
    </row>
    <row r="583" customFormat="false" ht="12.75" hidden="false" customHeight="true" outlineLevel="0" collapsed="false">
      <c r="A583" s="4" t="s">
        <v>3011</v>
      </c>
      <c r="B583" s="5" t="s">
        <v>3011</v>
      </c>
      <c r="C583" s="1" t="str">
        <f aca="false">IF(B583="NEW ROUTE",1,"")</f>
        <v/>
      </c>
      <c r="E583" s="5" t="s">
        <v>3011</v>
      </c>
      <c r="F583" s="6" t="e">
        <f aca="false">VLOOKUP(E583,$K$2:$L$426,2,FALSE())</f>
        <v>#N/A</v>
      </c>
      <c r="G583" s="1" t="str">
        <f aca="false">IF(ISNA(F583),"",F583)</f>
        <v/>
      </c>
      <c r="H583" s="5" t="str">
        <f aca="false">IF(G583&lt;&gt;"",G583,E583)</f>
        <v>42, 46, GILDUCK</v>
      </c>
    </row>
    <row r="584" customFormat="false" ht="12.75" hidden="false" customHeight="true" outlineLevel="0" collapsed="false">
      <c r="A584" s="4" t="s">
        <v>2809</v>
      </c>
      <c r="B584" s="5" t="n">
        <v>0.04</v>
      </c>
      <c r="C584" s="1" t="str">
        <f aca="false">IF(B584="NEW ROUTE",1,"")</f>
        <v/>
      </c>
      <c r="E584" s="5" t="n">
        <v>0.04</v>
      </c>
      <c r="F584" s="6" t="e">
        <f aca="false">VLOOKUP(E584,$K$2:$L$426,2,FALSE())</f>
        <v>#N/A</v>
      </c>
      <c r="G584" s="1" t="str">
        <f aca="false">IF(ISNA(F584),"",F584)</f>
        <v/>
      </c>
      <c r="H584" s="5" t="n">
        <f aca="false">IF(G584&lt;&gt;"",G584,E584)</f>
        <v>0.04</v>
      </c>
    </row>
    <row r="585" customFormat="false" ht="12.75" hidden="false" customHeight="true" outlineLevel="0" collapsed="false">
      <c r="A585" s="4" t="s">
        <v>3012</v>
      </c>
      <c r="B585" s="5" t="s">
        <v>3012</v>
      </c>
      <c r="C585" s="1" t="str">
        <f aca="false">IF(B585="NEW ROUTE",1,"")</f>
        <v/>
      </c>
      <c r="E585" s="5" t="s">
        <v>3012</v>
      </c>
      <c r="F585" s="6" t="e">
        <f aca="false">VLOOKUP(E585,$K$2:$L$426,2,FALSE())</f>
        <v>#N/A</v>
      </c>
      <c r="G585" s="1" t="str">
        <f aca="false">IF(ISNA(F585),"",F585)</f>
        <v/>
      </c>
      <c r="H585" s="5" t="str">
        <f aca="false">IF(G585&lt;&gt;"",G585,E585)</f>
        <v>44, 47, SLOWMATE</v>
      </c>
    </row>
    <row r="586" customFormat="false" ht="12.75" hidden="false" customHeight="true" outlineLevel="0" collapsed="false">
      <c r="A586" s="4" t="s">
        <v>3013</v>
      </c>
      <c r="B586" s="5" t="s">
        <v>3013</v>
      </c>
      <c r="C586" s="1" t="str">
        <f aca="false">IF(B586="NEW ROUTE",1,"")</f>
        <v/>
      </c>
      <c r="E586" s="5" t="s">
        <v>3013</v>
      </c>
      <c r="F586" s="6" t="e">
        <f aca="false">VLOOKUP(E586,$K$2:$L$426,2,FALSE())</f>
        <v>#N/A</v>
      </c>
      <c r="G586" s="1" t="str">
        <f aca="false">IF(ISNA(F586),"",F586)</f>
        <v/>
      </c>
      <c r="H586" s="5" t="str">
        <f aca="false">IF(G586&lt;&gt;"",G586,E586)</f>
        <v>44, 47, PRECIPED</v>
      </c>
    </row>
    <row r="587" customFormat="false" ht="12.75" hidden="false" customHeight="true" outlineLevel="0" collapsed="false">
      <c r="A587" s="4" t="s">
        <v>2812</v>
      </c>
      <c r="B587" s="5" t="n">
        <v>0.01</v>
      </c>
      <c r="C587" s="1" t="str">
        <f aca="false">IF(B587="NEW ROUTE",1,"")</f>
        <v/>
      </c>
      <c r="E587" s="5" t="n">
        <v>0.01</v>
      </c>
      <c r="F587" s="6" t="e">
        <f aca="false">VLOOKUP(E587,$K$2:$L$426,2,FALSE())</f>
        <v>#N/A</v>
      </c>
      <c r="G587" s="1" t="str">
        <f aca="false">IF(ISNA(F587),"",F587)</f>
        <v/>
      </c>
      <c r="H587" s="5" t="n">
        <f aca="false">IF(G587&lt;&gt;"",G587,E587)</f>
        <v>0.01</v>
      </c>
    </row>
    <row r="588" customFormat="false" ht="12.75" hidden="false" customHeight="true" outlineLevel="0" collapsed="false">
      <c r="A588" s="4" t="s">
        <v>3014</v>
      </c>
      <c r="B588" s="5" t="s">
        <v>3014</v>
      </c>
      <c r="C588" s="1" t="str">
        <f aca="false">IF(B588="NEW ROUTE",1,"")</f>
        <v/>
      </c>
      <c r="E588" s="5" t="s">
        <v>3014</v>
      </c>
      <c r="F588" s="6" t="e">
        <f aca="false">VLOOKUP(E588,$K$2:$L$426,2,FALSE())</f>
        <v>#N/A</v>
      </c>
      <c r="G588" s="1" t="str">
        <f aca="false">IF(ISNA(F588),"",F588)</f>
        <v/>
      </c>
      <c r="H588" s="5" t="str">
        <f aca="false">IF(G588&lt;&gt;"",G588,E588)</f>
        <v>45, 50, DRAGONITE</v>
      </c>
    </row>
    <row r="589" customFormat="false" ht="12.75" hidden="false" customHeight="true" outlineLevel="0" collapsed="false">
      <c r="A589" s="4" t="s">
        <v>3020</v>
      </c>
      <c r="B589" s="5" t="s">
        <v>3020</v>
      </c>
      <c r="C589" s="1" t="str">
        <f aca="false">IF(B589="NEW ROUTE",1,"")</f>
        <v/>
      </c>
      <c r="E589" s="5" t="s">
        <v>3020</v>
      </c>
      <c r="F589" s="6" t="e">
        <f aca="false">VLOOKUP(E589,$K$2:$L$426,2,FALSE())</f>
        <v>#N/A</v>
      </c>
      <c r="G589" s="1" t="str">
        <f aca="false">IF(ISNA(F589),"",F589)</f>
        <v/>
      </c>
      <c r="H589" s="5" t="str">
        <f aca="false">IF(G589&lt;&gt;"",G589,E589)</f>
        <v>45, 50, LICKILOLLY</v>
      </c>
    </row>
    <row r="590" customFormat="false" ht="12.75" hidden="false" customHeight="true" outlineLevel="0" collapsed="false">
      <c r="A590" s="4" t="s">
        <v>2536</v>
      </c>
      <c r="B590" s="5" t="s">
        <v>2536</v>
      </c>
      <c r="C590" s="1" t="n">
        <f aca="false">IF(B590="NEW ROUTE",1,"")</f>
        <v>1</v>
      </c>
      <c r="E590" s="5" t="s">
        <v>2536</v>
      </c>
      <c r="F590" s="6" t="e">
        <f aca="false">VLOOKUP(E590,$K$2:$L$426,2,FALSE())</f>
        <v>#N/A</v>
      </c>
      <c r="G590" s="1" t="str">
        <f aca="false">IF(ISNA(F590),"",F590)</f>
        <v/>
      </c>
      <c r="H590" s="5" t="str">
        <f aca="false">IF(G590&lt;&gt;"",G590,E590)</f>
        <v>NEW ROUTE</v>
      </c>
    </row>
    <row r="591" customFormat="false" ht="12.75" hidden="false" customHeight="true" outlineLevel="0" collapsed="false">
      <c r="A591" s="4" t="s">
        <v>184</v>
      </c>
      <c r="B591" s="5" t="s">
        <v>184</v>
      </c>
      <c r="C591" s="1" t="str">
        <f aca="false">IF(B591="NEW ROUTE",1,"")</f>
        <v/>
      </c>
      <c r="E591" s="5" t="s">
        <v>184</v>
      </c>
      <c r="F591" s="6" t="str">
        <f aca="false">VLOOKUP(E591,$K$2:$L$426,2,FALSE())</f>
        <v>Seafoam Islands B3F</v>
      </c>
      <c r="G591" s="1" t="str">
        <f aca="false">IF(ISNA(F591),"",F591)</f>
        <v>Seafoam Islands B3F</v>
      </c>
      <c r="H591" s="5" t="str">
        <f aca="false">IF(G591&lt;&gt;"",G591,E591)</f>
        <v>Seafoam Islands B3F</v>
      </c>
    </row>
    <row r="592" customFormat="false" ht="12.75" hidden="false" customHeight="true" outlineLevel="0" collapsed="false">
      <c r="A592" s="4" t="s">
        <v>2799</v>
      </c>
      <c r="B592" s="5" t="n">
        <v>0.2</v>
      </c>
      <c r="C592" s="1" t="str">
        <f aca="false">IF(B592="NEW ROUTE",1,"")</f>
        <v/>
      </c>
      <c r="E592" s="5" t="n">
        <v>0.2</v>
      </c>
      <c r="F592" s="6" t="e">
        <f aca="false">VLOOKUP(E592,$K$2:$L$426,2,FALSE())</f>
        <v>#N/A</v>
      </c>
      <c r="G592" s="1" t="str">
        <f aca="false">IF(ISNA(F592),"",F592)</f>
        <v/>
      </c>
      <c r="H592" s="5" t="n">
        <f aca="false">IF(G592&lt;&gt;"",G592,E592)</f>
        <v>0.2</v>
      </c>
    </row>
    <row r="593" customFormat="false" ht="12.75" hidden="false" customHeight="true" outlineLevel="0" collapsed="false">
      <c r="A593" s="4" t="s">
        <v>1430</v>
      </c>
      <c r="B593" s="5" t="s">
        <v>1430</v>
      </c>
      <c r="C593" s="1" t="str">
        <f aca="false">IF(B593="NEW ROUTE",1,"")</f>
        <v/>
      </c>
      <c r="E593" s="5" t="s">
        <v>1430</v>
      </c>
      <c r="F593" s="6" t="e">
        <f aca="false">VLOOKUP(E593,$K$2:$L$426,2,FALSE())</f>
        <v>#N/A</v>
      </c>
      <c r="G593" s="1" t="str">
        <f aca="false">IF(ISNA(F593),"",F593)</f>
        <v/>
      </c>
      <c r="H593" s="5" t="str">
        <f aca="false">IF(G593&lt;&gt;"",G593,E593)</f>
        <v>40, 44, GOLBAT</v>
      </c>
    </row>
    <row r="594" customFormat="false" ht="12.75" hidden="false" customHeight="true" outlineLevel="0" collapsed="false">
      <c r="A594" s="4" t="s">
        <v>3005</v>
      </c>
      <c r="B594" s="5" t="s">
        <v>3005</v>
      </c>
      <c r="C594" s="1" t="str">
        <f aca="false">IF(B594="NEW ROUTE",1,"")</f>
        <v/>
      </c>
      <c r="E594" s="5" t="s">
        <v>3005</v>
      </c>
      <c r="F594" s="6" t="e">
        <f aca="false">VLOOKUP(E594,$K$2:$L$426,2,FALSE())</f>
        <v>#N/A</v>
      </c>
      <c r="G594" s="1" t="str">
        <f aca="false">IF(ISNA(F594),"",F594)</f>
        <v/>
      </c>
      <c r="H594" s="5" t="str">
        <f aca="false">IF(G594&lt;&gt;"",G594,E594)</f>
        <v>40, 44, GOLDUCK</v>
      </c>
    </row>
    <row r="595" customFormat="false" ht="12.75" hidden="false" customHeight="true" outlineLevel="0" collapsed="false">
      <c r="A595" s="4" t="s">
        <v>2801</v>
      </c>
      <c r="B595" s="5" t="n">
        <v>0.1</v>
      </c>
      <c r="C595" s="1" t="str">
        <f aca="false">IF(B595="NEW ROUTE",1,"")</f>
        <v/>
      </c>
      <c r="E595" s="5" t="n">
        <v>0.1</v>
      </c>
      <c r="F595" s="6" t="e">
        <f aca="false">VLOOKUP(E595,$K$2:$L$426,2,FALSE())</f>
        <v>#N/A</v>
      </c>
      <c r="G595" s="1" t="str">
        <f aca="false">IF(ISNA(F595),"",F595)</f>
        <v/>
      </c>
      <c r="H595" s="5" t="n">
        <f aca="false">IF(G595&lt;&gt;"",G595,E595)</f>
        <v>0.1</v>
      </c>
    </row>
    <row r="596" customFormat="false" ht="12.75" hidden="false" customHeight="true" outlineLevel="0" collapsed="false">
      <c r="A596" s="4" t="s">
        <v>3006</v>
      </c>
      <c r="B596" s="5" t="s">
        <v>3006</v>
      </c>
      <c r="C596" s="1" t="str">
        <f aca="false">IF(B596="NEW ROUTE",1,"")</f>
        <v/>
      </c>
      <c r="E596" s="5" t="s">
        <v>3006</v>
      </c>
      <c r="F596" s="6" t="e">
        <f aca="false">VLOOKUP(E596,$K$2:$L$426,2,FALSE())</f>
        <v>#N/A</v>
      </c>
      <c r="G596" s="1" t="str">
        <f aca="false">IF(ISNA(F596),"",F596)</f>
        <v/>
      </c>
      <c r="H596" s="5" t="str">
        <f aca="false">IF(G596&lt;&gt;"",G596,E596)</f>
        <v>40, 44, SLOWBRO</v>
      </c>
    </row>
    <row r="597" customFormat="false" ht="12.75" hidden="false" customHeight="true" outlineLevel="0" collapsed="false">
      <c r="A597" s="4" t="s">
        <v>3007</v>
      </c>
      <c r="B597" s="5" t="s">
        <v>3007</v>
      </c>
      <c r="C597" s="1" t="str">
        <f aca="false">IF(B597="NEW ROUTE",1,"")</f>
        <v/>
      </c>
      <c r="E597" s="5" t="s">
        <v>3007</v>
      </c>
      <c r="F597" s="6" t="e">
        <f aca="false">VLOOKUP(E597,$K$2:$L$426,2,FALSE())</f>
        <v>#N/A</v>
      </c>
      <c r="G597" s="1" t="str">
        <f aca="false">IF(ISNA(F597),"",F597)</f>
        <v/>
      </c>
      <c r="H597" s="5" t="str">
        <f aca="false">IF(G597&lt;&gt;"",G597,E597)</f>
        <v>40, 44, CROBAT</v>
      </c>
    </row>
    <row r="598" customFormat="false" ht="12.75" hidden="false" customHeight="true" outlineLevel="0" collapsed="false">
      <c r="A598" s="4" t="s">
        <v>3008</v>
      </c>
      <c r="B598" s="5" t="s">
        <v>3008</v>
      </c>
      <c r="C598" s="1" t="str">
        <f aca="false">IF(B598="NEW ROUTE",1,"")</f>
        <v/>
      </c>
      <c r="E598" s="5" t="s">
        <v>3008</v>
      </c>
      <c r="F598" s="6" t="e">
        <f aca="false">VLOOKUP(E598,$K$2:$L$426,2,FALSE())</f>
        <v>#N/A</v>
      </c>
      <c r="G598" s="1" t="str">
        <f aca="false">IF(ISNA(F598),"",F598)</f>
        <v/>
      </c>
      <c r="H598" s="5" t="str">
        <f aca="false">IF(G598&lt;&gt;"",G598,E598)</f>
        <v>40, 44, DEWGONG</v>
      </c>
    </row>
    <row r="599" customFormat="false" ht="12.75" hidden="false" customHeight="true" outlineLevel="0" collapsed="false">
      <c r="A599" s="4" t="s">
        <v>3009</v>
      </c>
      <c r="B599" s="5" t="s">
        <v>3009</v>
      </c>
      <c r="C599" s="1" t="str">
        <f aca="false">IF(B599="NEW ROUTE",1,"")</f>
        <v/>
      </c>
      <c r="E599" s="5" t="s">
        <v>3009</v>
      </c>
      <c r="F599" s="6" t="e">
        <f aca="false">VLOOKUP(E599,$K$2:$L$426,2,FALSE())</f>
        <v>#N/A</v>
      </c>
      <c r="G599" s="1" t="str">
        <f aca="false">IF(ISNA(F599),"",F599)</f>
        <v/>
      </c>
      <c r="H599" s="5" t="str">
        <f aca="false">IF(G599&lt;&gt;"",G599,E599)</f>
        <v>40, 44, LICKILICKY</v>
      </c>
    </row>
    <row r="600" customFormat="false" ht="12.75" hidden="false" customHeight="true" outlineLevel="0" collapsed="false">
      <c r="A600" s="4" t="s">
        <v>2806</v>
      </c>
      <c r="B600" s="5" t="n">
        <v>0.05</v>
      </c>
      <c r="C600" s="1" t="str">
        <f aca="false">IF(B600="NEW ROUTE",1,"")</f>
        <v/>
      </c>
      <c r="E600" s="5" t="n">
        <v>0.05</v>
      </c>
      <c r="F600" s="6" t="e">
        <f aca="false">VLOOKUP(E600,$K$2:$L$426,2,FALSE())</f>
        <v>#N/A</v>
      </c>
      <c r="G600" s="1" t="str">
        <f aca="false">IF(ISNA(F600),"",F600)</f>
        <v/>
      </c>
      <c r="H600" s="5" t="n">
        <f aca="false">IF(G600&lt;&gt;"",G600,E600)</f>
        <v>0.05</v>
      </c>
    </row>
    <row r="601" customFormat="false" ht="12.75" hidden="false" customHeight="true" outlineLevel="0" collapsed="false">
      <c r="A601" s="4" t="s">
        <v>3010</v>
      </c>
      <c r="B601" s="5" t="s">
        <v>3010</v>
      </c>
      <c r="C601" s="1" t="str">
        <f aca="false">IF(B601="NEW ROUTE",1,"")</f>
        <v/>
      </c>
      <c r="E601" s="5" t="s">
        <v>3010</v>
      </c>
      <c r="F601" s="6" t="e">
        <f aca="false">VLOOKUP(E601,$K$2:$L$426,2,FALSE())</f>
        <v>#N/A</v>
      </c>
      <c r="G601" s="1" t="str">
        <f aca="false">IF(ISNA(F601),"",F601)</f>
        <v/>
      </c>
      <c r="H601" s="5" t="str">
        <f aca="false">IF(G601&lt;&gt;"",G601,E601)</f>
        <v>42, 46, POLABAT</v>
      </c>
    </row>
    <row r="602" customFormat="false" ht="12.75" hidden="false" customHeight="true" outlineLevel="0" collapsed="false">
      <c r="A602" s="4" t="s">
        <v>3011</v>
      </c>
      <c r="B602" s="5" t="s">
        <v>3011</v>
      </c>
      <c r="C602" s="1" t="str">
        <f aca="false">IF(B602="NEW ROUTE",1,"")</f>
        <v/>
      </c>
      <c r="E602" s="5" t="s">
        <v>3011</v>
      </c>
      <c r="F602" s="6" t="e">
        <f aca="false">VLOOKUP(E602,$K$2:$L$426,2,FALSE())</f>
        <v>#N/A</v>
      </c>
      <c r="G602" s="1" t="str">
        <f aca="false">IF(ISNA(F602),"",F602)</f>
        <v/>
      </c>
      <c r="H602" s="5" t="str">
        <f aca="false">IF(G602&lt;&gt;"",G602,E602)</f>
        <v>42, 46, GILDUCK</v>
      </c>
    </row>
    <row r="603" customFormat="false" ht="12.75" hidden="false" customHeight="true" outlineLevel="0" collapsed="false">
      <c r="A603" s="4" t="s">
        <v>2809</v>
      </c>
      <c r="B603" s="5" t="n">
        <v>0.04</v>
      </c>
      <c r="C603" s="1" t="str">
        <f aca="false">IF(B603="NEW ROUTE",1,"")</f>
        <v/>
      </c>
      <c r="E603" s="5" t="n">
        <v>0.04</v>
      </c>
      <c r="F603" s="6" t="e">
        <f aca="false">VLOOKUP(E603,$K$2:$L$426,2,FALSE())</f>
        <v>#N/A</v>
      </c>
      <c r="G603" s="1" t="str">
        <f aca="false">IF(ISNA(F603),"",F603)</f>
        <v/>
      </c>
      <c r="H603" s="5" t="n">
        <f aca="false">IF(G603&lt;&gt;"",G603,E603)</f>
        <v>0.04</v>
      </c>
    </row>
    <row r="604" customFormat="false" ht="12.75" hidden="false" customHeight="true" outlineLevel="0" collapsed="false">
      <c r="A604" s="4" t="s">
        <v>3012</v>
      </c>
      <c r="B604" s="5" t="s">
        <v>3012</v>
      </c>
      <c r="C604" s="1" t="str">
        <f aca="false">IF(B604="NEW ROUTE",1,"")</f>
        <v/>
      </c>
      <c r="E604" s="5" t="s">
        <v>3012</v>
      </c>
      <c r="F604" s="6" t="e">
        <f aca="false">VLOOKUP(E604,$K$2:$L$426,2,FALSE())</f>
        <v>#N/A</v>
      </c>
      <c r="G604" s="1" t="str">
        <f aca="false">IF(ISNA(F604),"",F604)</f>
        <v/>
      </c>
      <c r="H604" s="5" t="str">
        <f aca="false">IF(G604&lt;&gt;"",G604,E604)</f>
        <v>44, 47, SLOWMATE</v>
      </c>
    </row>
    <row r="605" customFormat="false" ht="12.75" hidden="false" customHeight="true" outlineLevel="0" collapsed="false">
      <c r="A605" s="4" t="s">
        <v>3013</v>
      </c>
      <c r="B605" s="5" t="s">
        <v>3013</v>
      </c>
      <c r="C605" s="1" t="str">
        <f aca="false">IF(B605="NEW ROUTE",1,"")</f>
        <v/>
      </c>
      <c r="E605" s="5" t="s">
        <v>3013</v>
      </c>
      <c r="F605" s="6" t="e">
        <f aca="false">VLOOKUP(E605,$K$2:$L$426,2,FALSE())</f>
        <v>#N/A</v>
      </c>
      <c r="G605" s="1" t="str">
        <f aca="false">IF(ISNA(F605),"",F605)</f>
        <v/>
      </c>
      <c r="H605" s="5" t="str">
        <f aca="false">IF(G605&lt;&gt;"",G605,E605)</f>
        <v>44, 47, PRECIPED</v>
      </c>
    </row>
    <row r="606" customFormat="false" ht="12.75" hidden="false" customHeight="true" outlineLevel="0" collapsed="false">
      <c r="A606" s="4" t="s">
        <v>2812</v>
      </c>
      <c r="B606" s="5" t="n">
        <v>0.01</v>
      </c>
      <c r="C606" s="1" t="str">
        <f aca="false">IF(B606="NEW ROUTE",1,"")</f>
        <v/>
      </c>
      <c r="E606" s="5" t="n">
        <v>0.01</v>
      </c>
      <c r="F606" s="6" t="e">
        <f aca="false">VLOOKUP(E606,$K$2:$L$426,2,FALSE())</f>
        <v>#N/A</v>
      </c>
      <c r="G606" s="1" t="str">
        <f aca="false">IF(ISNA(F606),"",F606)</f>
        <v/>
      </c>
      <c r="H606" s="5" t="n">
        <f aca="false">IF(G606&lt;&gt;"",G606,E606)</f>
        <v>0.01</v>
      </c>
    </row>
    <row r="607" customFormat="false" ht="12.75" hidden="false" customHeight="true" outlineLevel="0" collapsed="false">
      <c r="A607" s="4" t="s">
        <v>3014</v>
      </c>
      <c r="B607" s="5" t="s">
        <v>3014</v>
      </c>
      <c r="C607" s="1" t="str">
        <f aca="false">IF(B607="NEW ROUTE",1,"")</f>
        <v/>
      </c>
      <c r="E607" s="5" t="s">
        <v>3014</v>
      </c>
      <c r="F607" s="6" t="e">
        <f aca="false">VLOOKUP(E607,$K$2:$L$426,2,FALSE())</f>
        <v>#N/A</v>
      </c>
      <c r="G607" s="1" t="str">
        <f aca="false">IF(ISNA(F607),"",F607)</f>
        <v/>
      </c>
      <c r="H607" s="5" t="str">
        <f aca="false">IF(G607&lt;&gt;"",G607,E607)</f>
        <v>45, 50, DRAGONITE</v>
      </c>
    </row>
    <row r="608" customFormat="false" ht="12.75" hidden="false" customHeight="true" outlineLevel="0" collapsed="false">
      <c r="A608" s="4" t="s">
        <v>3020</v>
      </c>
      <c r="B608" s="5" t="s">
        <v>3020</v>
      </c>
      <c r="C608" s="1" t="str">
        <f aca="false">IF(B608="NEW ROUTE",1,"")</f>
        <v/>
      </c>
      <c r="E608" s="5" t="s">
        <v>3020</v>
      </c>
      <c r="F608" s="6" t="e">
        <f aca="false">VLOOKUP(E608,$K$2:$L$426,2,FALSE())</f>
        <v>#N/A</v>
      </c>
      <c r="G608" s="1" t="str">
        <f aca="false">IF(ISNA(F608),"",F608)</f>
        <v/>
      </c>
      <c r="H608" s="5" t="str">
        <f aca="false">IF(G608&lt;&gt;"",G608,E608)</f>
        <v>45, 50, LICKILOLLY</v>
      </c>
    </row>
    <row r="609" customFormat="false" ht="12.75" hidden="false" customHeight="true" outlineLevel="0" collapsed="false">
      <c r="A609" s="4" t="s">
        <v>3021</v>
      </c>
      <c r="B609" s="5" t="s">
        <v>3021</v>
      </c>
      <c r="C609" s="1" t="str">
        <f aca="false">IF(B609="NEW ROUTE",1,"")</f>
        <v/>
      </c>
      <c r="E609" s="5" t="s">
        <v>3021</v>
      </c>
      <c r="F609" s="6" t="e">
        <f aca="false">VLOOKUP(E609,$K$2:$L$426,2,FALSE())</f>
        <v>#N/A</v>
      </c>
      <c r="G609" s="1" t="str">
        <f aca="false">IF(ISNA(F609),"",F609)</f>
        <v/>
      </c>
      <c r="H609" s="5" t="str">
        <f aca="false">IF(G609&lt;&gt;"",G609,E609)</f>
        <v>2, 38, 44, DEWGONG</v>
      </c>
    </row>
    <row r="610" customFormat="false" ht="12.75" hidden="false" customHeight="true" outlineLevel="0" collapsed="false">
      <c r="A610" s="4" t="s">
        <v>3022</v>
      </c>
      <c r="B610" s="5" t="s">
        <v>3022</v>
      </c>
      <c r="C610" s="1" t="str">
        <f aca="false">IF(B610="NEW ROUTE",1,"")</f>
        <v/>
      </c>
      <c r="E610" s="5" t="s">
        <v>3022</v>
      </c>
      <c r="F610" s="6" t="e">
        <f aca="false">VLOOKUP(E610,$K$2:$L$426,2,FALSE())</f>
        <v>#N/A</v>
      </c>
      <c r="G610" s="1" t="str">
        <f aca="false">IF(ISNA(F610),"",F610)</f>
        <v/>
      </c>
      <c r="H610" s="5" t="str">
        <f aca="false">IF(G610&lt;&gt;"",G610,E610)</f>
        <v>40, 44, SEADRA</v>
      </c>
    </row>
    <row r="611" customFormat="false" ht="12.75" hidden="false" customHeight="true" outlineLevel="0" collapsed="false">
      <c r="A611" s="4" t="s">
        <v>3023</v>
      </c>
      <c r="B611" s="5" t="s">
        <v>3023</v>
      </c>
      <c r="C611" s="1" t="str">
        <f aca="false">IF(B611="NEW ROUTE",1,"")</f>
        <v/>
      </c>
      <c r="E611" s="5" t="s">
        <v>3023</v>
      </c>
      <c r="F611" s="6" t="e">
        <f aca="false">VLOOKUP(E611,$K$2:$L$426,2,FALSE())</f>
        <v>#N/A</v>
      </c>
      <c r="G611" s="1" t="str">
        <f aca="false">IF(ISNA(F611),"",F611)</f>
        <v/>
      </c>
      <c r="H611" s="5" t="str">
        <f aca="false">IF(G611&lt;&gt;"",G611,E611)</f>
        <v>42, 46, KINGLER</v>
      </c>
    </row>
    <row r="612" customFormat="false" ht="12.75" hidden="false" customHeight="true" outlineLevel="0" collapsed="false">
      <c r="A612" s="4" t="s">
        <v>3024</v>
      </c>
      <c r="B612" s="5" t="s">
        <v>3024</v>
      </c>
      <c r="C612" s="1" t="str">
        <f aca="false">IF(B612="NEW ROUTE",1,"")</f>
        <v/>
      </c>
      <c r="E612" s="5" t="s">
        <v>3024</v>
      </c>
      <c r="F612" s="6" t="e">
        <f aca="false">VLOOKUP(E612,$K$2:$L$426,2,FALSE())</f>
        <v>#N/A</v>
      </c>
      <c r="G612" s="1" t="str">
        <f aca="false">IF(ISNA(F612),"",F612)</f>
        <v/>
      </c>
      <c r="H612" s="5" t="str">
        <f aca="false">IF(G612&lt;&gt;"",G612,E612)</f>
        <v>42, 46, LAPRAS</v>
      </c>
    </row>
    <row r="613" customFormat="false" ht="12.75" hidden="false" customHeight="true" outlineLevel="0" collapsed="false">
      <c r="A613" s="4" t="s">
        <v>2922</v>
      </c>
      <c r="B613" s="5" t="s">
        <v>2922</v>
      </c>
      <c r="C613" s="1" t="str">
        <f aca="false">IF(B613="NEW ROUTE",1,"")</f>
        <v/>
      </c>
      <c r="E613" s="5" t="s">
        <v>2922</v>
      </c>
      <c r="F613" s="6" t="e">
        <f aca="false">VLOOKUP(E613,$K$2:$L$426,2,FALSE())</f>
        <v>#N/A</v>
      </c>
      <c r="G613" s="1" t="str">
        <f aca="false">IF(ISNA(F613),"",F613)</f>
        <v/>
      </c>
      <c r="H613" s="5" t="str">
        <f aca="false">IF(G613&lt;&gt;"",G613,E613)</f>
        <v>42, 46, SLOWBRO</v>
      </c>
    </row>
    <row r="614" customFormat="false" ht="12.75" hidden="false" customHeight="true" outlineLevel="0" collapsed="false">
      <c r="A614" s="4" t="s">
        <v>2925</v>
      </c>
      <c r="B614" s="5" t="s">
        <v>2925</v>
      </c>
      <c r="C614" s="1" t="str">
        <f aca="false">IF(B614="NEW ROUTE",1,"")</f>
        <v/>
      </c>
      <c r="E614" s="5" t="s">
        <v>2925</v>
      </c>
      <c r="F614" s="6" t="e">
        <f aca="false">VLOOKUP(E614,$K$2:$L$426,2,FALSE())</f>
        <v>#N/A</v>
      </c>
      <c r="G614" s="1" t="str">
        <f aca="false">IF(ISNA(F614),"",F614)</f>
        <v/>
      </c>
      <c r="H614" s="5" t="str">
        <f aca="false">IF(G614&lt;&gt;"",G614,E614)</f>
        <v>20, old rod:</v>
      </c>
    </row>
    <row r="615" customFormat="false" ht="12.75" hidden="false" customHeight="true" outlineLevel="0" collapsed="false">
      <c r="A615" s="4" t="s">
        <v>1451</v>
      </c>
      <c r="B615" s="5" t="s">
        <v>1451</v>
      </c>
      <c r="C615" s="1" t="str">
        <f aca="false">IF(B615="NEW ROUTE",1,"")</f>
        <v/>
      </c>
      <c r="E615" s="5" t="s">
        <v>1451</v>
      </c>
      <c r="F615" s="6" t="e">
        <f aca="false">VLOOKUP(E615,$K$2:$L$426,2,FALSE())</f>
        <v>#N/A</v>
      </c>
      <c r="G615" s="1" t="str">
        <f aca="false">IF(ISNA(F615),"",F615)</f>
        <v/>
      </c>
      <c r="H615" s="5" t="str">
        <f aca="false">IF(G615&lt;&gt;"",G615,E615)</f>
        <v>19, 26, HORSEA</v>
      </c>
    </row>
    <row r="616" customFormat="false" ht="12.75" hidden="false" customHeight="true" outlineLevel="0" collapsed="false">
      <c r="A616" s="4" t="s">
        <v>3025</v>
      </c>
      <c r="B616" s="5" t="s">
        <v>3025</v>
      </c>
      <c r="C616" s="1" t="str">
        <f aca="false">IF(B616="NEW ROUTE",1,"")</f>
        <v/>
      </c>
      <c r="E616" s="5" t="s">
        <v>3025</v>
      </c>
      <c r="F616" s="6" t="e">
        <f aca="false">VLOOKUP(E616,$K$2:$L$426,2,FALSE())</f>
        <v>#N/A</v>
      </c>
      <c r="G616" s="1" t="str">
        <f aca="false">IF(ISNA(F616),"",F616)</f>
        <v/>
      </c>
      <c r="H616" s="5" t="str">
        <f aca="false">IF(G616&lt;&gt;"",G616,E616)</f>
        <v>19, 26, SHELLDER</v>
      </c>
    </row>
    <row r="617" customFormat="false" ht="12.75" hidden="false" customHeight="true" outlineLevel="0" collapsed="false">
      <c r="A617" s="4" t="s">
        <v>2846</v>
      </c>
      <c r="B617" s="5" t="s">
        <v>2846</v>
      </c>
      <c r="C617" s="1" t="str">
        <f aca="false">IF(B617="NEW ROUTE",1,"")</f>
        <v/>
      </c>
      <c r="E617" s="5" t="s">
        <v>2846</v>
      </c>
      <c r="F617" s="6" t="e">
        <f aca="false">VLOOKUP(E617,$K$2:$L$426,2,FALSE())</f>
        <v>#N/A</v>
      </c>
      <c r="G617" s="1" t="str">
        <f aca="false">IF(ISNA(F617),"",F617)</f>
        <v/>
      </c>
      <c r="H617" s="5" t="str">
        <f aca="false">IF(G617&lt;&gt;"",G617,E617)</f>
        <v>good rod:</v>
      </c>
    </row>
    <row r="618" customFormat="false" ht="12.75" hidden="false" customHeight="true" outlineLevel="0" collapsed="false">
      <c r="A618" s="4" t="s">
        <v>3026</v>
      </c>
      <c r="B618" s="5" t="s">
        <v>3026</v>
      </c>
      <c r="C618" s="1" t="str">
        <f aca="false">IF(B618="NEW ROUTE",1,"")</f>
        <v/>
      </c>
      <c r="E618" s="5" t="s">
        <v>3026</v>
      </c>
      <c r="F618" s="6" t="e">
        <f aca="false">VLOOKUP(E618,$K$2:$L$426,2,FALSE())</f>
        <v>#N/A</v>
      </c>
      <c r="G618" s="1" t="str">
        <f aca="false">IF(ISNA(F618),"",F618)</f>
        <v/>
      </c>
      <c r="H618" s="5" t="str">
        <f aca="false">IF(G618&lt;&gt;"",G618,E618)</f>
        <v>29, 33, SEADRA</v>
      </c>
    </row>
    <row r="619" customFormat="false" ht="12.75" hidden="false" customHeight="true" outlineLevel="0" collapsed="false">
      <c r="A619" s="4" t="s">
        <v>3027</v>
      </c>
      <c r="B619" s="5" t="s">
        <v>3027</v>
      </c>
      <c r="C619" s="1" t="str">
        <f aca="false">IF(B619="NEW ROUTE",1,"")</f>
        <v/>
      </c>
      <c r="E619" s="5" t="s">
        <v>3027</v>
      </c>
      <c r="F619" s="6" t="e">
        <f aca="false">VLOOKUP(E619,$K$2:$L$426,2,FALSE())</f>
        <v>#N/A</v>
      </c>
      <c r="G619" s="1" t="str">
        <f aca="false">IF(ISNA(F619),"",F619)</f>
        <v/>
      </c>
      <c r="H619" s="5" t="str">
        <f aca="false">IF(G619&lt;&gt;"",G619,E619)</f>
        <v>30, 35, KRABBY</v>
      </c>
    </row>
    <row r="620" customFormat="false" ht="12.75" hidden="false" customHeight="true" outlineLevel="0" collapsed="false">
      <c r="A620" s="4" t="s">
        <v>3028</v>
      </c>
      <c r="B620" s="5" t="s">
        <v>3028</v>
      </c>
      <c r="C620" s="1" t="str">
        <f aca="false">IF(B620="NEW ROUTE",1,"")</f>
        <v/>
      </c>
      <c r="E620" s="5" t="s">
        <v>3028</v>
      </c>
      <c r="F620" s="6" t="e">
        <f aca="false">VLOOKUP(E620,$K$2:$L$426,2,FALSE())</f>
        <v>#N/A</v>
      </c>
      <c r="G620" s="1" t="str">
        <f aca="false">IF(ISNA(F620),"",F620)</f>
        <v/>
      </c>
      <c r="H620" s="5" t="str">
        <f aca="false">IF(G620&lt;&gt;"",G620,E620)</f>
        <v>30, 35, GOLDUCK</v>
      </c>
    </row>
    <row r="621" customFormat="false" ht="12.75" hidden="false" customHeight="true" outlineLevel="0" collapsed="false">
      <c r="A621" s="4" t="s">
        <v>2850</v>
      </c>
      <c r="B621" s="5" t="s">
        <v>2850</v>
      </c>
      <c r="C621" s="1" t="str">
        <f aca="false">IF(B621="NEW ROUTE",1,"")</f>
        <v/>
      </c>
      <c r="E621" s="5" t="s">
        <v>2850</v>
      </c>
      <c r="F621" s="6" t="e">
        <f aca="false">VLOOKUP(E621,$K$2:$L$426,2,FALSE())</f>
        <v>#N/A</v>
      </c>
      <c r="G621" s="1" t="str">
        <f aca="false">IF(ISNA(F621),"",F621)</f>
        <v/>
      </c>
      <c r="H621" s="5" t="str">
        <f aca="false">IF(G621&lt;&gt;"",G621,E621)</f>
        <v>super rod:</v>
      </c>
    </row>
    <row r="622" customFormat="false" ht="12.75" hidden="false" customHeight="true" outlineLevel="0" collapsed="false">
      <c r="A622" s="4" t="s">
        <v>3029</v>
      </c>
      <c r="B622" s="5" t="s">
        <v>3029</v>
      </c>
      <c r="C622" s="1" t="str">
        <f aca="false">IF(B622="NEW ROUTE",1,"")</f>
        <v/>
      </c>
      <c r="E622" s="5" t="s">
        <v>3029</v>
      </c>
      <c r="F622" s="6" t="e">
        <f aca="false">VLOOKUP(E622,$K$2:$L$426,2,FALSE())</f>
        <v>#N/A</v>
      </c>
      <c r="G622" s="1" t="str">
        <f aca="false">IF(ISNA(F622),"",F622)</f>
        <v/>
      </c>
      <c r="H622" s="5" t="str">
        <f aca="false">IF(G622&lt;&gt;"",G622,E622)</f>
        <v>36, 40, KINGDRA</v>
      </c>
    </row>
    <row r="623" customFormat="false" ht="12.75" hidden="false" customHeight="true" outlineLevel="0" collapsed="false">
      <c r="A623" s="4" t="s">
        <v>3030</v>
      </c>
      <c r="B623" s="5" t="s">
        <v>3030</v>
      </c>
      <c r="C623" s="1" t="str">
        <f aca="false">IF(B623="NEW ROUTE",1,"")</f>
        <v/>
      </c>
      <c r="E623" s="5" t="s">
        <v>3030</v>
      </c>
      <c r="F623" s="6" t="e">
        <f aca="false">VLOOKUP(E623,$K$2:$L$426,2,FALSE())</f>
        <v>#N/A</v>
      </c>
      <c r="G623" s="1" t="str">
        <f aca="false">IF(ISNA(F623),"",F623)</f>
        <v/>
      </c>
      <c r="H623" s="5" t="str">
        <f aca="false">IF(G623&lt;&gt;"",G623,E623)</f>
        <v>36, 40, CLOYSTER</v>
      </c>
    </row>
    <row r="624" customFormat="false" ht="12.75" hidden="false" customHeight="true" outlineLevel="0" collapsed="false">
      <c r="A624" s="4" t="s">
        <v>3031</v>
      </c>
      <c r="B624" s="5" t="s">
        <v>3031</v>
      </c>
      <c r="C624" s="1" t="str">
        <f aca="false">IF(B624="NEW ROUTE",1,"")</f>
        <v/>
      </c>
      <c r="E624" s="5" t="s">
        <v>3031</v>
      </c>
      <c r="F624" s="6" t="e">
        <f aca="false">VLOOKUP(E624,$K$2:$L$426,2,FALSE())</f>
        <v>#N/A</v>
      </c>
      <c r="G624" s="1" t="str">
        <f aca="false">IF(ISNA(F624),"",F624)</f>
        <v/>
      </c>
      <c r="H624" s="5" t="str">
        <f aca="false">IF(G624&lt;&gt;"",G624,E624)</f>
        <v>38, 42, GILDUCK</v>
      </c>
    </row>
    <row r="625" customFormat="false" ht="12.75" hidden="false" customHeight="true" outlineLevel="0" collapsed="false">
      <c r="A625" s="4" t="s">
        <v>3032</v>
      </c>
      <c r="B625" s="5" t="s">
        <v>3032</v>
      </c>
      <c r="C625" s="1" t="str">
        <f aca="false">IF(B625="NEW ROUTE",1,"")</f>
        <v/>
      </c>
      <c r="E625" s="5" t="s">
        <v>3032</v>
      </c>
      <c r="F625" s="6" t="e">
        <f aca="false">VLOOKUP(E625,$K$2:$L$426,2,FALSE())</f>
        <v>#N/A</v>
      </c>
      <c r="G625" s="1" t="str">
        <f aca="false">IF(ISNA(F625),"",F625)</f>
        <v/>
      </c>
      <c r="H625" s="5" t="str">
        <f aca="false">IF(G625&lt;&gt;"",G625,E625)</f>
        <v>38, 42, KRAKLAW</v>
      </c>
    </row>
    <row r="626" customFormat="false" ht="12.75" hidden="false" customHeight="true" outlineLevel="0" collapsed="false">
      <c r="A626" s="4" t="s">
        <v>3033</v>
      </c>
      <c r="B626" s="5" t="s">
        <v>3033</v>
      </c>
      <c r="C626" s="1" t="str">
        <f aca="false">IF(B626="NEW ROUTE",1,"")</f>
        <v/>
      </c>
      <c r="E626" s="5" t="s">
        <v>3033</v>
      </c>
      <c r="F626" s="6" t="e">
        <f aca="false">VLOOKUP(E626,$K$2:$L$426,2,FALSE())</f>
        <v>#N/A</v>
      </c>
      <c r="G626" s="1" t="str">
        <f aca="false">IF(ISNA(F626),"",F626)</f>
        <v/>
      </c>
      <c r="H626" s="5" t="str">
        <f aca="false">IF(G626&lt;&gt;"",G626,E626)</f>
        <v>40, 44, LORDRA</v>
      </c>
    </row>
    <row r="627" customFormat="false" ht="12.75" hidden="false" customHeight="true" outlineLevel="0" collapsed="false">
      <c r="A627" s="4" t="s">
        <v>2536</v>
      </c>
      <c r="B627" s="5" t="s">
        <v>2536</v>
      </c>
      <c r="C627" s="1" t="n">
        <f aca="false">IF(B627="NEW ROUTE",1,"")</f>
        <v>1</v>
      </c>
      <c r="E627" s="5" t="s">
        <v>2536</v>
      </c>
      <c r="F627" s="6" t="e">
        <f aca="false">VLOOKUP(E627,$K$2:$L$426,2,FALSE())</f>
        <v>#N/A</v>
      </c>
      <c r="G627" s="1" t="str">
        <f aca="false">IF(ISNA(F627),"",F627)</f>
        <v/>
      </c>
      <c r="H627" s="5" t="str">
        <f aca="false">IF(G627&lt;&gt;"",G627,E627)</f>
        <v>NEW ROUTE</v>
      </c>
    </row>
    <row r="628" customFormat="false" ht="12.75" hidden="false" customHeight="true" outlineLevel="0" collapsed="false">
      <c r="A628" s="4" t="s">
        <v>186</v>
      </c>
      <c r="B628" s="5" t="s">
        <v>186</v>
      </c>
      <c r="C628" s="1" t="str">
        <f aca="false">IF(B628="NEW ROUTE",1,"")</f>
        <v/>
      </c>
      <c r="E628" s="5" t="s">
        <v>186</v>
      </c>
      <c r="F628" s="6" t="str">
        <f aca="false">VLOOKUP(E628,$K$2:$L$426,2,FALSE())</f>
        <v>Seafoam Islands B4F</v>
      </c>
      <c r="G628" s="1" t="str">
        <f aca="false">IF(ISNA(F628),"",F628)</f>
        <v>Seafoam Islands B4F</v>
      </c>
      <c r="H628" s="5" t="str">
        <f aca="false">IF(G628&lt;&gt;"",G628,E628)</f>
        <v>Seafoam Islands B4F</v>
      </c>
    </row>
    <row r="629" customFormat="false" ht="12.75" hidden="false" customHeight="true" outlineLevel="0" collapsed="false">
      <c r="A629" s="4" t="s">
        <v>2799</v>
      </c>
      <c r="B629" s="5" t="n">
        <v>0.2</v>
      </c>
      <c r="C629" s="1" t="str">
        <f aca="false">IF(B629="NEW ROUTE",1,"")</f>
        <v/>
      </c>
      <c r="E629" s="5" t="n">
        <v>0.2</v>
      </c>
      <c r="F629" s="6" t="e">
        <f aca="false">VLOOKUP(E629,$K$2:$L$426,2,FALSE())</f>
        <v>#N/A</v>
      </c>
      <c r="G629" s="1" t="str">
        <f aca="false">IF(ISNA(F629),"",F629)</f>
        <v/>
      </c>
      <c r="H629" s="5" t="n">
        <f aca="false">IF(G629&lt;&gt;"",G629,E629)</f>
        <v>0.2</v>
      </c>
    </row>
    <row r="630" customFormat="false" ht="12.75" hidden="false" customHeight="true" outlineLevel="0" collapsed="false">
      <c r="A630" s="4" t="s">
        <v>1430</v>
      </c>
      <c r="B630" s="5" t="s">
        <v>1430</v>
      </c>
      <c r="C630" s="1" t="str">
        <f aca="false">IF(B630="NEW ROUTE",1,"")</f>
        <v/>
      </c>
      <c r="E630" s="5" t="s">
        <v>1430</v>
      </c>
      <c r="F630" s="6" t="e">
        <f aca="false">VLOOKUP(E630,$K$2:$L$426,2,FALSE())</f>
        <v>#N/A</v>
      </c>
      <c r="G630" s="1" t="str">
        <f aca="false">IF(ISNA(F630),"",F630)</f>
        <v/>
      </c>
      <c r="H630" s="5" t="str">
        <f aca="false">IF(G630&lt;&gt;"",G630,E630)</f>
        <v>40, 44, GOLBAT</v>
      </c>
    </row>
    <row r="631" customFormat="false" ht="12.75" hidden="false" customHeight="true" outlineLevel="0" collapsed="false">
      <c r="A631" s="4" t="s">
        <v>3005</v>
      </c>
      <c r="B631" s="5" t="s">
        <v>3005</v>
      </c>
      <c r="C631" s="1" t="str">
        <f aca="false">IF(B631="NEW ROUTE",1,"")</f>
        <v/>
      </c>
      <c r="E631" s="5" t="s">
        <v>3005</v>
      </c>
      <c r="F631" s="6" t="e">
        <f aca="false">VLOOKUP(E631,$K$2:$L$426,2,FALSE())</f>
        <v>#N/A</v>
      </c>
      <c r="G631" s="1" t="str">
        <f aca="false">IF(ISNA(F631),"",F631)</f>
        <v/>
      </c>
      <c r="H631" s="5" t="str">
        <f aca="false">IF(G631&lt;&gt;"",G631,E631)</f>
        <v>40, 44, GOLDUCK</v>
      </c>
    </row>
    <row r="632" customFormat="false" ht="12.75" hidden="false" customHeight="true" outlineLevel="0" collapsed="false">
      <c r="A632" s="4" t="s">
        <v>2801</v>
      </c>
      <c r="B632" s="5" t="n">
        <v>0.1</v>
      </c>
      <c r="C632" s="1" t="str">
        <f aca="false">IF(B632="NEW ROUTE",1,"")</f>
        <v/>
      </c>
      <c r="E632" s="5" t="n">
        <v>0.1</v>
      </c>
      <c r="F632" s="6" t="e">
        <f aca="false">VLOOKUP(E632,$K$2:$L$426,2,FALSE())</f>
        <v>#N/A</v>
      </c>
      <c r="G632" s="1" t="str">
        <f aca="false">IF(ISNA(F632),"",F632)</f>
        <v/>
      </c>
      <c r="H632" s="5" t="n">
        <f aca="false">IF(G632&lt;&gt;"",G632,E632)</f>
        <v>0.1</v>
      </c>
    </row>
    <row r="633" customFormat="false" ht="12.75" hidden="false" customHeight="true" outlineLevel="0" collapsed="false">
      <c r="A633" s="4" t="s">
        <v>3006</v>
      </c>
      <c r="B633" s="5" t="s">
        <v>3006</v>
      </c>
      <c r="C633" s="1" t="str">
        <f aca="false">IF(B633="NEW ROUTE",1,"")</f>
        <v/>
      </c>
      <c r="E633" s="5" t="s">
        <v>3006</v>
      </c>
      <c r="F633" s="6" t="e">
        <f aca="false">VLOOKUP(E633,$K$2:$L$426,2,FALSE())</f>
        <v>#N/A</v>
      </c>
      <c r="G633" s="1" t="str">
        <f aca="false">IF(ISNA(F633),"",F633)</f>
        <v/>
      </c>
      <c r="H633" s="5" t="str">
        <f aca="false">IF(G633&lt;&gt;"",G633,E633)</f>
        <v>40, 44, SLOWBRO</v>
      </c>
    </row>
    <row r="634" customFormat="false" ht="12.75" hidden="false" customHeight="true" outlineLevel="0" collapsed="false">
      <c r="A634" s="4" t="s">
        <v>3007</v>
      </c>
      <c r="B634" s="5" t="s">
        <v>3007</v>
      </c>
      <c r="C634" s="1" t="str">
        <f aca="false">IF(B634="NEW ROUTE",1,"")</f>
        <v/>
      </c>
      <c r="E634" s="5" t="s">
        <v>3007</v>
      </c>
      <c r="F634" s="6" t="e">
        <f aca="false">VLOOKUP(E634,$K$2:$L$426,2,FALSE())</f>
        <v>#N/A</v>
      </c>
      <c r="G634" s="1" t="str">
        <f aca="false">IF(ISNA(F634),"",F634)</f>
        <v/>
      </c>
      <c r="H634" s="5" t="str">
        <f aca="false">IF(G634&lt;&gt;"",G634,E634)</f>
        <v>40, 44, CROBAT</v>
      </c>
    </row>
    <row r="635" customFormat="false" ht="12.75" hidden="false" customHeight="true" outlineLevel="0" collapsed="false">
      <c r="A635" s="4" t="s">
        <v>3008</v>
      </c>
      <c r="B635" s="5" t="s">
        <v>3008</v>
      </c>
      <c r="C635" s="1" t="str">
        <f aca="false">IF(B635="NEW ROUTE",1,"")</f>
        <v/>
      </c>
      <c r="E635" s="5" t="s">
        <v>3008</v>
      </c>
      <c r="F635" s="6" t="e">
        <f aca="false">VLOOKUP(E635,$K$2:$L$426,2,FALSE())</f>
        <v>#N/A</v>
      </c>
      <c r="G635" s="1" t="str">
        <f aca="false">IF(ISNA(F635),"",F635)</f>
        <v/>
      </c>
      <c r="H635" s="5" t="str">
        <f aca="false">IF(G635&lt;&gt;"",G635,E635)</f>
        <v>40, 44, DEWGONG</v>
      </c>
    </row>
    <row r="636" customFormat="false" ht="12.75" hidden="false" customHeight="true" outlineLevel="0" collapsed="false">
      <c r="A636" s="4" t="s">
        <v>3009</v>
      </c>
      <c r="B636" s="5" t="s">
        <v>3009</v>
      </c>
      <c r="C636" s="1" t="str">
        <f aca="false">IF(B636="NEW ROUTE",1,"")</f>
        <v/>
      </c>
      <c r="E636" s="5" t="s">
        <v>3009</v>
      </c>
      <c r="F636" s="6" t="e">
        <f aca="false">VLOOKUP(E636,$K$2:$L$426,2,FALSE())</f>
        <v>#N/A</v>
      </c>
      <c r="G636" s="1" t="str">
        <f aca="false">IF(ISNA(F636),"",F636)</f>
        <v/>
      </c>
      <c r="H636" s="5" t="str">
        <f aca="false">IF(G636&lt;&gt;"",G636,E636)</f>
        <v>40, 44, LICKILICKY</v>
      </c>
    </row>
    <row r="637" customFormat="false" ht="12.75" hidden="false" customHeight="true" outlineLevel="0" collapsed="false">
      <c r="A637" s="4" t="s">
        <v>2806</v>
      </c>
      <c r="B637" s="5" t="n">
        <v>0.05</v>
      </c>
      <c r="C637" s="1" t="str">
        <f aca="false">IF(B637="NEW ROUTE",1,"")</f>
        <v/>
      </c>
      <c r="E637" s="5" t="n">
        <v>0.05</v>
      </c>
      <c r="F637" s="6" t="e">
        <f aca="false">VLOOKUP(E637,$K$2:$L$426,2,FALSE())</f>
        <v>#N/A</v>
      </c>
      <c r="G637" s="1" t="str">
        <f aca="false">IF(ISNA(F637),"",F637)</f>
        <v/>
      </c>
      <c r="H637" s="5" t="n">
        <f aca="false">IF(G637&lt;&gt;"",G637,E637)</f>
        <v>0.05</v>
      </c>
    </row>
    <row r="638" customFormat="false" ht="12.75" hidden="false" customHeight="true" outlineLevel="0" collapsed="false">
      <c r="A638" s="4" t="s">
        <v>3010</v>
      </c>
      <c r="B638" s="5" t="s">
        <v>3010</v>
      </c>
      <c r="C638" s="1" t="str">
        <f aca="false">IF(B638="NEW ROUTE",1,"")</f>
        <v/>
      </c>
      <c r="E638" s="5" t="s">
        <v>3010</v>
      </c>
      <c r="F638" s="6" t="e">
        <f aca="false">VLOOKUP(E638,$K$2:$L$426,2,FALSE())</f>
        <v>#N/A</v>
      </c>
      <c r="G638" s="1" t="str">
        <f aca="false">IF(ISNA(F638),"",F638)</f>
        <v/>
      </c>
      <c r="H638" s="5" t="str">
        <f aca="false">IF(G638&lt;&gt;"",G638,E638)</f>
        <v>42, 46, POLABAT</v>
      </c>
    </row>
    <row r="639" customFormat="false" ht="12.75" hidden="false" customHeight="true" outlineLevel="0" collapsed="false">
      <c r="A639" s="4" t="s">
        <v>3011</v>
      </c>
      <c r="B639" s="5" t="s">
        <v>3011</v>
      </c>
      <c r="C639" s="1" t="str">
        <f aca="false">IF(B639="NEW ROUTE",1,"")</f>
        <v/>
      </c>
      <c r="E639" s="5" t="s">
        <v>3011</v>
      </c>
      <c r="F639" s="6" t="e">
        <f aca="false">VLOOKUP(E639,$K$2:$L$426,2,FALSE())</f>
        <v>#N/A</v>
      </c>
      <c r="G639" s="1" t="str">
        <f aca="false">IF(ISNA(F639),"",F639)</f>
        <v/>
      </c>
      <c r="H639" s="5" t="str">
        <f aca="false">IF(G639&lt;&gt;"",G639,E639)</f>
        <v>42, 46, GILDUCK</v>
      </c>
    </row>
    <row r="640" customFormat="false" ht="12.75" hidden="false" customHeight="true" outlineLevel="0" collapsed="false">
      <c r="A640" s="4" t="s">
        <v>2809</v>
      </c>
      <c r="B640" s="5" t="n">
        <v>0.04</v>
      </c>
      <c r="C640" s="1" t="str">
        <f aca="false">IF(B640="NEW ROUTE",1,"")</f>
        <v/>
      </c>
      <c r="E640" s="5" t="n">
        <v>0.04</v>
      </c>
      <c r="F640" s="6" t="e">
        <f aca="false">VLOOKUP(E640,$K$2:$L$426,2,FALSE())</f>
        <v>#N/A</v>
      </c>
      <c r="G640" s="1" t="str">
        <f aca="false">IF(ISNA(F640),"",F640)</f>
        <v/>
      </c>
      <c r="H640" s="5" t="n">
        <f aca="false">IF(G640&lt;&gt;"",G640,E640)</f>
        <v>0.04</v>
      </c>
    </row>
    <row r="641" customFormat="false" ht="12.75" hidden="false" customHeight="true" outlineLevel="0" collapsed="false">
      <c r="A641" s="4" t="s">
        <v>3012</v>
      </c>
      <c r="B641" s="5" t="s">
        <v>3012</v>
      </c>
      <c r="C641" s="1" t="str">
        <f aca="false">IF(B641="NEW ROUTE",1,"")</f>
        <v/>
      </c>
      <c r="E641" s="5" t="s">
        <v>3012</v>
      </c>
      <c r="F641" s="6" t="e">
        <f aca="false">VLOOKUP(E641,$K$2:$L$426,2,FALSE())</f>
        <v>#N/A</v>
      </c>
      <c r="G641" s="1" t="str">
        <f aca="false">IF(ISNA(F641),"",F641)</f>
        <v/>
      </c>
      <c r="H641" s="5" t="str">
        <f aca="false">IF(G641&lt;&gt;"",G641,E641)</f>
        <v>44, 47, SLOWMATE</v>
      </c>
    </row>
    <row r="642" customFormat="false" ht="12.75" hidden="false" customHeight="true" outlineLevel="0" collapsed="false">
      <c r="A642" s="4" t="s">
        <v>3013</v>
      </c>
      <c r="B642" s="5" t="s">
        <v>3013</v>
      </c>
      <c r="C642" s="1" t="str">
        <f aca="false">IF(B642="NEW ROUTE",1,"")</f>
        <v/>
      </c>
      <c r="E642" s="5" t="s">
        <v>3013</v>
      </c>
      <c r="F642" s="6" t="e">
        <f aca="false">VLOOKUP(E642,$K$2:$L$426,2,FALSE())</f>
        <v>#N/A</v>
      </c>
      <c r="G642" s="1" t="str">
        <f aca="false">IF(ISNA(F642),"",F642)</f>
        <v/>
      </c>
      <c r="H642" s="5" t="str">
        <f aca="false">IF(G642&lt;&gt;"",G642,E642)</f>
        <v>44, 47, PRECIPED</v>
      </c>
    </row>
    <row r="643" customFormat="false" ht="12.75" hidden="false" customHeight="true" outlineLevel="0" collapsed="false">
      <c r="A643" s="4" t="s">
        <v>2812</v>
      </c>
      <c r="B643" s="5" t="n">
        <v>0.01</v>
      </c>
      <c r="C643" s="1" t="str">
        <f aca="false">IF(B643="NEW ROUTE",1,"")</f>
        <v/>
      </c>
      <c r="E643" s="5" t="n">
        <v>0.01</v>
      </c>
      <c r="F643" s="6" t="e">
        <f aca="false">VLOOKUP(E643,$K$2:$L$426,2,FALSE())</f>
        <v>#N/A</v>
      </c>
      <c r="G643" s="1" t="str">
        <f aca="false">IF(ISNA(F643),"",F643)</f>
        <v/>
      </c>
      <c r="H643" s="5" t="n">
        <f aca="false">IF(G643&lt;&gt;"",G643,E643)</f>
        <v>0.01</v>
      </c>
    </row>
    <row r="644" customFormat="false" ht="12.75" hidden="false" customHeight="true" outlineLevel="0" collapsed="false">
      <c r="A644" s="4" t="s">
        <v>3014</v>
      </c>
      <c r="B644" s="5" t="s">
        <v>3014</v>
      </c>
      <c r="C644" s="1" t="str">
        <f aca="false">IF(B644="NEW ROUTE",1,"")</f>
        <v/>
      </c>
      <c r="E644" s="5" t="s">
        <v>3014</v>
      </c>
      <c r="F644" s="6" t="e">
        <f aca="false">VLOOKUP(E644,$K$2:$L$426,2,FALSE())</f>
        <v>#N/A</v>
      </c>
      <c r="G644" s="1" t="str">
        <f aca="false">IF(ISNA(F644),"",F644)</f>
        <v/>
      </c>
      <c r="H644" s="5" t="str">
        <f aca="false">IF(G644&lt;&gt;"",G644,E644)</f>
        <v>45, 50, DRAGONITE</v>
      </c>
    </row>
    <row r="645" customFormat="false" ht="12.75" hidden="false" customHeight="true" outlineLevel="0" collapsed="false">
      <c r="A645" s="4" t="s">
        <v>3020</v>
      </c>
      <c r="B645" s="5" t="s">
        <v>3020</v>
      </c>
      <c r="C645" s="1" t="str">
        <f aca="false">IF(B645="NEW ROUTE",1,"")</f>
        <v/>
      </c>
      <c r="E645" s="5" t="s">
        <v>3020</v>
      </c>
      <c r="F645" s="6" t="e">
        <f aca="false">VLOOKUP(E645,$K$2:$L$426,2,FALSE())</f>
        <v>#N/A</v>
      </c>
      <c r="G645" s="1" t="str">
        <f aca="false">IF(ISNA(F645),"",F645)</f>
        <v/>
      </c>
      <c r="H645" s="5" t="str">
        <f aca="false">IF(G645&lt;&gt;"",G645,E645)</f>
        <v>45, 50, LICKILOLLY</v>
      </c>
    </row>
    <row r="646" customFormat="false" ht="12.75" hidden="false" customHeight="true" outlineLevel="0" collapsed="false">
      <c r="A646" s="4" t="s">
        <v>3021</v>
      </c>
      <c r="B646" s="5" t="s">
        <v>3021</v>
      </c>
      <c r="C646" s="1" t="str">
        <f aca="false">IF(B646="NEW ROUTE",1,"")</f>
        <v/>
      </c>
      <c r="E646" s="5" t="s">
        <v>3021</v>
      </c>
      <c r="F646" s="6" t="e">
        <f aca="false">VLOOKUP(E646,$K$2:$L$426,2,FALSE())</f>
        <v>#N/A</v>
      </c>
      <c r="G646" s="1" t="str">
        <f aca="false">IF(ISNA(F646),"",F646)</f>
        <v/>
      </c>
      <c r="H646" s="5" t="str">
        <f aca="false">IF(G646&lt;&gt;"",G646,E646)</f>
        <v>2, 38, 44, DEWGONG</v>
      </c>
    </row>
    <row r="647" customFormat="false" ht="12.75" hidden="false" customHeight="true" outlineLevel="0" collapsed="false">
      <c r="A647" s="4" t="s">
        <v>3022</v>
      </c>
      <c r="B647" s="5" t="s">
        <v>3022</v>
      </c>
      <c r="C647" s="1" t="str">
        <f aca="false">IF(B647="NEW ROUTE",1,"")</f>
        <v/>
      </c>
      <c r="E647" s="5" t="s">
        <v>3022</v>
      </c>
      <c r="F647" s="6" t="e">
        <f aca="false">VLOOKUP(E647,$K$2:$L$426,2,FALSE())</f>
        <v>#N/A</v>
      </c>
      <c r="G647" s="1" t="str">
        <f aca="false">IF(ISNA(F647),"",F647)</f>
        <v/>
      </c>
      <c r="H647" s="5" t="str">
        <f aca="false">IF(G647&lt;&gt;"",G647,E647)</f>
        <v>40, 44, SEADRA</v>
      </c>
    </row>
    <row r="648" customFormat="false" ht="12.75" hidden="false" customHeight="true" outlineLevel="0" collapsed="false">
      <c r="A648" s="4" t="s">
        <v>3023</v>
      </c>
      <c r="B648" s="5" t="s">
        <v>3023</v>
      </c>
      <c r="C648" s="1" t="str">
        <f aca="false">IF(B648="NEW ROUTE",1,"")</f>
        <v/>
      </c>
      <c r="E648" s="5" t="s">
        <v>3023</v>
      </c>
      <c r="F648" s="6" t="e">
        <f aca="false">VLOOKUP(E648,$K$2:$L$426,2,FALSE())</f>
        <v>#N/A</v>
      </c>
      <c r="G648" s="1" t="str">
        <f aca="false">IF(ISNA(F648),"",F648)</f>
        <v/>
      </c>
      <c r="H648" s="5" t="str">
        <f aca="false">IF(G648&lt;&gt;"",G648,E648)</f>
        <v>42, 46, KINGLER</v>
      </c>
    </row>
    <row r="649" customFormat="false" ht="12.75" hidden="false" customHeight="true" outlineLevel="0" collapsed="false">
      <c r="A649" s="4" t="s">
        <v>3024</v>
      </c>
      <c r="B649" s="5" t="s">
        <v>3024</v>
      </c>
      <c r="C649" s="1" t="str">
        <f aca="false">IF(B649="NEW ROUTE",1,"")</f>
        <v/>
      </c>
      <c r="E649" s="5" t="s">
        <v>3024</v>
      </c>
      <c r="F649" s="6" t="e">
        <f aca="false">VLOOKUP(E649,$K$2:$L$426,2,FALSE())</f>
        <v>#N/A</v>
      </c>
      <c r="G649" s="1" t="str">
        <f aca="false">IF(ISNA(F649),"",F649)</f>
        <v/>
      </c>
      <c r="H649" s="5" t="str">
        <f aca="false">IF(G649&lt;&gt;"",G649,E649)</f>
        <v>42, 46, LAPRAS</v>
      </c>
    </row>
    <row r="650" customFormat="false" ht="12.75" hidden="false" customHeight="true" outlineLevel="0" collapsed="false">
      <c r="A650" s="4" t="s">
        <v>2922</v>
      </c>
      <c r="B650" s="5" t="s">
        <v>2922</v>
      </c>
      <c r="C650" s="1" t="str">
        <f aca="false">IF(B650="NEW ROUTE",1,"")</f>
        <v/>
      </c>
      <c r="E650" s="5" t="s">
        <v>2922</v>
      </c>
      <c r="F650" s="6" t="e">
        <f aca="false">VLOOKUP(E650,$K$2:$L$426,2,FALSE())</f>
        <v>#N/A</v>
      </c>
      <c r="G650" s="1" t="str">
        <f aca="false">IF(ISNA(F650),"",F650)</f>
        <v/>
      </c>
      <c r="H650" s="5" t="str">
        <f aca="false">IF(G650&lt;&gt;"",G650,E650)</f>
        <v>42, 46, SLOWBRO</v>
      </c>
    </row>
    <row r="651" customFormat="false" ht="12.75" hidden="false" customHeight="true" outlineLevel="0" collapsed="false">
      <c r="A651" s="4" t="s">
        <v>2925</v>
      </c>
      <c r="B651" s="5" t="s">
        <v>2925</v>
      </c>
      <c r="C651" s="1" t="str">
        <f aca="false">IF(B651="NEW ROUTE",1,"")</f>
        <v/>
      </c>
      <c r="E651" s="5" t="s">
        <v>2925</v>
      </c>
      <c r="F651" s="6" t="e">
        <f aca="false">VLOOKUP(E651,$K$2:$L$426,2,FALSE())</f>
        <v>#N/A</v>
      </c>
      <c r="G651" s="1" t="str">
        <f aca="false">IF(ISNA(F651),"",F651)</f>
        <v/>
      </c>
      <c r="H651" s="5" t="str">
        <f aca="false">IF(G651&lt;&gt;"",G651,E651)</f>
        <v>20, old rod:</v>
      </c>
    </row>
    <row r="652" customFormat="false" ht="12.75" hidden="false" customHeight="true" outlineLevel="0" collapsed="false">
      <c r="A652" s="4" t="s">
        <v>1451</v>
      </c>
      <c r="B652" s="5" t="s">
        <v>1451</v>
      </c>
      <c r="C652" s="1" t="str">
        <f aca="false">IF(B652="NEW ROUTE",1,"")</f>
        <v/>
      </c>
      <c r="E652" s="5" t="s">
        <v>1451</v>
      </c>
      <c r="F652" s="6" t="e">
        <f aca="false">VLOOKUP(E652,$K$2:$L$426,2,FALSE())</f>
        <v>#N/A</v>
      </c>
      <c r="G652" s="1" t="str">
        <f aca="false">IF(ISNA(F652),"",F652)</f>
        <v/>
      </c>
      <c r="H652" s="5" t="str">
        <f aca="false">IF(G652&lt;&gt;"",G652,E652)</f>
        <v>19, 26, HORSEA</v>
      </c>
    </row>
    <row r="653" customFormat="false" ht="12.75" hidden="false" customHeight="true" outlineLevel="0" collapsed="false">
      <c r="A653" s="4" t="s">
        <v>3025</v>
      </c>
      <c r="B653" s="5" t="s">
        <v>3025</v>
      </c>
      <c r="C653" s="1" t="str">
        <f aca="false">IF(B653="NEW ROUTE",1,"")</f>
        <v/>
      </c>
      <c r="E653" s="5" t="s">
        <v>3025</v>
      </c>
      <c r="F653" s="6" t="e">
        <f aca="false">VLOOKUP(E653,$K$2:$L$426,2,FALSE())</f>
        <v>#N/A</v>
      </c>
      <c r="G653" s="1" t="str">
        <f aca="false">IF(ISNA(F653),"",F653)</f>
        <v/>
      </c>
      <c r="H653" s="5" t="str">
        <f aca="false">IF(G653&lt;&gt;"",G653,E653)</f>
        <v>19, 26, SHELLDER</v>
      </c>
    </row>
    <row r="654" customFormat="false" ht="12.75" hidden="false" customHeight="true" outlineLevel="0" collapsed="false">
      <c r="A654" s="4" t="s">
        <v>2846</v>
      </c>
      <c r="B654" s="5" t="s">
        <v>2846</v>
      </c>
      <c r="C654" s="1" t="str">
        <f aca="false">IF(B654="NEW ROUTE",1,"")</f>
        <v/>
      </c>
      <c r="E654" s="5" t="s">
        <v>2846</v>
      </c>
      <c r="F654" s="6" t="e">
        <f aca="false">VLOOKUP(E654,$K$2:$L$426,2,FALSE())</f>
        <v>#N/A</v>
      </c>
      <c r="G654" s="1" t="str">
        <f aca="false">IF(ISNA(F654),"",F654)</f>
        <v/>
      </c>
      <c r="H654" s="5" t="str">
        <f aca="false">IF(G654&lt;&gt;"",G654,E654)</f>
        <v>good rod:</v>
      </c>
    </row>
    <row r="655" customFormat="false" ht="12.75" hidden="false" customHeight="true" outlineLevel="0" collapsed="false">
      <c r="A655" s="4" t="s">
        <v>3026</v>
      </c>
      <c r="B655" s="5" t="s">
        <v>3026</v>
      </c>
      <c r="C655" s="1" t="str">
        <f aca="false">IF(B655="NEW ROUTE",1,"")</f>
        <v/>
      </c>
      <c r="E655" s="5" t="s">
        <v>3026</v>
      </c>
      <c r="F655" s="6" t="e">
        <f aca="false">VLOOKUP(E655,$K$2:$L$426,2,FALSE())</f>
        <v>#N/A</v>
      </c>
      <c r="G655" s="1" t="str">
        <f aca="false">IF(ISNA(F655),"",F655)</f>
        <v/>
      </c>
      <c r="H655" s="5" t="str">
        <f aca="false">IF(G655&lt;&gt;"",G655,E655)</f>
        <v>29, 33, SEADRA</v>
      </c>
    </row>
    <row r="656" customFormat="false" ht="12.75" hidden="false" customHeight="true" outlineLevel="0" collapsed="false">
      <c r="A656" s="4" t="s">
        <v>3027</v>
      </c>
      <c r="B656" s="5" t="s">
        <v>3027</v>
      </c>
      <c r="C656" s="1" t="str">
        <f aca="false">IF(B656="NEW ROUTE",1,"")</f>
        <v/>
      </c>
      <c r="E656" s="5" t="s">
        <v>3027</v>
      </c>
      <c r="F656" s="6" t="e">
        <f aca="false">VLOOKUP(E656,$K$2:$L$426,2,FALSE())</f>
        <v>#N/A</v>
      </c>
      <c r="G656" s="1" t="str">
        <f aca="false">IF(ISNA(F656),"",F656)</f>
        <v/>
      </c>
      <c r="H656" s="5" t="str">
        <f aca="false">IF(G656&lt;&gt;"",G656,E656)</f>
        <v>30, 35, KRABBY</v>
      </c>
    </row>
    <row r="657" customFormat="false" ht="12.75" hidden="false" customHeight="true" outlineLevel="0" collapsed="false">
      <c r="A657" s="4" t="s">
        <v>3028</v>
      </c>
      <c r="B657" s="5" t="s">
        <v>3028</v>
      </c>
      <c r="C657" s="1" t="str">
        <f aca="false">IF(B657="NEW ROUTE",1,"")</f>
        <v/>
      </c>
      <c r="E657" s="5" t="s">
        <v>3028</v>
      </c>
      <c r="F657" s="6" t="e">
        <f aca="false">VLOOKUP(E657,$K$2:$L$426,2,FALSE())</f>
        <v>#N/A</v>
      </c>
      <c r="G657" s="1" t="str">
        <f aca="false">IF(ISNA(F657),"",F657)</f>
        <v/>
      </c>
      <c r="H657" s="5" t="str">
        <f aca="false">IF(G657&lt;&gt;"",G657,E657)</f>
        <v>30, 35, GOLDUCK</v>
      </c>
    </row>
    <row r="658" customFormat="false" ht="12.75" hidden="false" customHeight="true" outlineLevel="0" collapsed="false">
      <c r="A658" s="4" t="s">
        <v>2850</v>
      </c>
      <c r="B658" s="5" t="s">
        <v>2850</v>
      </c>
      <c r="C658" s="1" t="str">
        <f aca="false">IF(B658="NEW ROUTE",1,"")</f>
        <v/>
      </c>
      <c r="E658" s="5" t="s">
        <v>2850</v>
      </c>
      <c r="F658" s="6" t="e">
        <f aca="false">VLOOKUP(E658,$K$2:$L$426,2,FALSE())</f>
        <v>#N/A</v>
      </c>
      <c r="G658" s="1" t="str">
        <f aca="false">IF(ISNA(F658),"",F658)</f>
        <v/>
      </c>
      <c r="H658" s="5" t="str">
        <f aca="false">IF(G658&lt;&gt;"",G658,E658)</f>
        <v>super rod:</v>
      </c>
    </row>
    <row r="659" customFormat="false" ht="12.75" hidden="false" customHeight="true" outlineLevel="0" collapsed="false">
      <c r="A659" s="4" t="s">
        <v>3029</v>
      </c>
      <c r="B659" s="5" t="s">
        <v>3029</v>
      </c>
      <c r="C659" s="1" t="str">
        <f aca="false">IF(B659="NEW ROUTE",1,"")</f>
        <v/>
      </c>
      <c r="E659" s="5" t="s">
        <v>3029</v>
      </c>
      <c r="F659" s="6" t="e">
        <f aca="false">VLOOKUP(E659,$K$2:$L$426,2,FALSE())</f>
        <v>#N/A</v>
      </c>
      <c r="G659" s="1" t="str">
        <f aca="false">IF(ISNA(F659),"",F659)</f>
        <v/>
      </c>
      <c r="H659" s="5" t="str">
        <f aca="false">IF(G659&lt;&gt;"",G659,E659)</f>
        <v>36, 40, KINGDRA</v>
      </c>
    </row>
    <row r="660" customFormat="false" ht="12.75" hidden="false" customHeight="true" outlineLevel="0" collapsed="false">
      <c r="A660" s="4" t="s">
        <v>3030</v>
      </c>
      <c r="B660" s="5" t="s">
        <v>3030</v>
      </c>
      <c r="C660" s="1" t="str">
        <f aca="false">IF(B660="NEW ROUTE",1,"")</f>
        <v/>
      </c>
      <c r="E660" s="5" t="s">
        <v>3030</v>
      </c>
      <c r="F660" s="6" t="e">
        <f aca="false">VLOOKUP(E660,$K$2:$L$426,2,FALSE())</f>
        <v>#N/A</v>
      </c>
      <c r="G660" s="1" t="str">
        <f aca="false">IF(ISNA(F660),"",F660)</f>
        <v/>
      </c>
      <c r="H660" s="5" t="str">
        <f aca="false">IF(G660&lt;&gt;"",G660,E660)</f>
        <v>36, 40, CLOYSTER</v>
      </c>
    </row>
    <row r="661" customFormat="false" ht="12.75" hidden="false" customHeight="true" outlineLevel="0" collapsed="false">
      <c r="A661" s="4" t="s">
        <v>3031</v>
      </c>
      <c r="B661" s="5" t="s">
        <v>3031</v>
      </c>
      <c r="C661" s="1" t="str">
        <f aca="false">IF(B661="NEW ROUTE",1,"")</f>
        <v/>
      </c>
      <c r="E661" s="5" t="s">
        <v>3031</v>
      </c>
      <c r="F661" s="6" t="e">
        <f aca="false">VLOOKUP(E661,$K$2:$L$426,2,FALSE())</f>
        <v>#N/A</v>
      </c>
      <c r="G661" s="1" t="str">
        <f aca="false">IF(ISNA(F661),"",F661)</f>
        <v/>
      </c>
      <c r="H661" s="5" t="str">
        <f aca="false">IF(G661&lt;&gt;"",G661,E661)</f>
        <v>38, 42, GILDUCK</v>
      </c>
    </row>
    <row r="662" customFormat="false" ht="12.75" hidden="false" customHeight="true" outlineLevel="0" collapsed="false">
      <c r="A662" s="4" t="s">
        <v>3032</v>
      </c>
      <c r="B662" s="5" t="s">
        <v>3032</v>
      </c>
      <c r="C662" s="1" t="str">
        <f aca="false">IF(B662="NEW ROUTE",1,"")</f>
        <v/>
      </c>
      <c r="E662" s="5" t="s">
        <v>3032</v>
      </c>
      <c r="F662" s="6" t="e">
        <f aca="false">VLOOKUP(E662,$K$2:$L$426,2,FALSE())</f>
        <v>#N/A</v>
      </c>
      <c r="G662" s="1" t="str">
        <f aca="false">IF(ISNA(F662),"",F662)</f>
        <v/>
      </c>
      <c r="H662" s="5" t="str">
        <f aca="false">IF(G662&lt;&gt;"",G662,E662)</f>
        <v>38, 42, KRAKLAW</v>
      </c>
    </row>
    <row r="663" customFormat="false" ht="12.75" hidden="false" customHeight="true" outlineLevel="0" collapsed="false">
      <c r="A663" s="4" t="s">
        <v>3033</v>
      </c>
      <c r="B663" s="5" t="s">
        <v>3033</v>
      </c>
      <c r="C663" s="1" t="str">
        <f aca="false">IF(B663="NEW ROUTE",1,"")</f>
        <v/>
      </c>
      <c r="E663" s="5" t="s">
        <v>3033</v>
      </c>
      <c r="F663" s="6" t="e">
        <f aca="false">VLOOKUP(E663,$K$2:$L$426,2,FALSE())</f>
        <v>#N/A</v>
      </c>
      <c r="G663" s="1" t="str">
        <f aca="false">IF(ISNA(F663),"",F663)</f>
        <v/>
      </c>
      <c r="H663" s="5" t="str">
        <f aca="false">IF(G663&lt;&gt;"",G663,E663)</f>
        <v>40, 44, LORDRA</v>
      </c>
    </row>
    <row r="664" customFormat="false" ht="12.75" hidden="false" customHeight="true" outlineLevel="0" collapsed="false">
      <c r="A664" s="4" t="s">
        <v>2536</v>
      </c>
      <c r="B664" s="5" t="s">
        <v>2536</v>
      </c>
      <c r="C664" s="1" t="n">
        <f aca="false">IF(B664="NEW ROUTE",1,"")</f>
        <v>1</v>
      </c>
      <c r="E664" s="5" t="s">
        <v>2536</v>
      </c>
      <c r="F664" s="6" t="e">
        <f aca="false">VLOOKUP(E664,$K$2:$L$426,2,FALSE())</f>
        <v>#N/A</v>
      </c>
      <c r="G664" s="1" t="str">
        <f aca="false">IF(ISNA(F664),"",F664)</f>
        <v/>
      </c>
      <c r="H664" s="5" t="str">
        <f aca="false">IF(G664&lt;&gt;"",G664,E664)</f>
        <v>NEW ROUTE</v>
      </c>
    </row>
    <row r="665" customFormat="false" ht="12.75" hidden="false" customHeight="true" outlineLevel="0" collapsed="false">
      <c r="A665" s="4" t="s">
        <v>192</v>
      </c>
      <c r="B665" s="5" t="s">
        <v>192</v>
      </c>
      <c r="C665" s="1" t="str">
        <f aca="false">IF(B665="NEW ROUTE",1,"")</f>
        <v/>
      </c>
      <c r="E665" s="5" t="s">
        <v>192</v>
      </c>
      <c r="F665" s="6" t="str">
        <f aca="false">VLOOKUP(E665,$K$2:$L$426,2,FALSE())</f>
        <v>Pokémon Tower 3F</v>
      </c>
      <c r="G665" s="1" t="str">
        <f aca="false">IF(ISNA(F665),"",F665)</f>
        <v>Pokémon Tower 3F</v>
      </c>
      <c r="H665" s="5" t="str">
        <f aca="false">IF(G665&lt;&gt;"",G665,E665)</f>
        <v>Pokémon Tower 3F</v>
      </c>
    </row>
    <row r="666" customFormat="false" ht="12.75" hidden="false" customHeight="true" outlineLevel="0" collapsed="false">
      <c r="A666" s="4" t="s">
        <v>2799</v>
      </c>
      <c r="B666" s="5" t="n">
        <v>0.2</v>
      </c>
      <c r="C666" s="1" t="str">
        <f aca="false">IF(B666="NEW ROUTE",1,"")</f>
        <v/>
      </c>
      <c r="E666" s="5" t="n">
        <v>0.2</v>
      </c>
      <c r="F666" s="6" t="e">
        <f aca="false">VLOOKUP(E666,$K$2:$L$426,2,FALSE())</f>
        <v>#N/A</v>
      </c>
      <c r="G666" s="1" t="str">
        <f aca="false">IF(ISNA(F666),"",F666)</f>
        <v/>
      </c>
      <c r="H666" s="5" t="n">
        <f aca="false">IF(G666&lt;&gt;"",G666,E666)</f>
        <v>0.2</v>
      </c>
    </row>
    <row r="667" customFormat="false" ht="12.75" hidden="false" customHeight="true" outlineLevel="0" collapsed="false">
      <c r="A667" s="4" t="s">
        <v>1463</v>
      </c>
      <c r="B667" s="5" t="s">
        <v>1463</v>
      </c>
      <c r="C667" s="1" t="str">
        <f aca="false">IF(B667="NEW ROUTE",1,"")</f>
        <v/>
      </c>
      <c r="E667" s="5" t="s">
        <v>1463</v>
      </c>
      <c r="F667" s="6" t="e">
        <f aca="false">VLOOKUP(E667,$K$2:$L$426,2,FALSE())</f>
        <v>#N/A</v>
      </c>
      <c r="G667" s="1" t="str">
        <f aca="false">IF(ISNA(F667),"",F667)</f>
        <v/>
      </c>
      <c r="H667" s="5" t="str">
        <f aca="false">IF(G667&lt;&gt;"",G667,E667)</f>
        <v>28, 31, GASTLY</v>
      </c>
    </row>
    <row r="668" customFormat="false" ht="12.75" hidden="false" customHeight="true" outlineLevel="0" collapsed="false">
      <c r="A668" s="4" t="s">
        <v>3037</v>
      </c>
      <c r="B668" s="5" t="s">
        <v>3037</v>
      </c>
      <c r="C668" s="1" t="str">
        <f aca="false">IF(B668="NEW ROUTE",1,"")</f>
        <v/>
      </c>
      <c r="E668" s="5" t="s">
        <v>3037</v>
      </c>
      <c r="F668" s="6" t="e">
        <f aca="false">VLOOKUP(E668,$K$2:$L$426,2,FALSE())</f>
        <v>#N/A</v>
      </c>
      <c r="G668" s="1" t="str">
        <f aca="false">IF(ISNA(F668),"",F668)</f>
        <v/>
      </c>
      <c r="H668" s="5" t="str">
        <f aca="false">IF(G668&lt;&gt;"",G668,E668)</f>
        <v>29, 32, RATTATA</v>
      </c>
    </row>
    <row r="669" customFormat="false" ht="12.75" hidden="false" customHeight="true" outlineLevel="0" collapsed="false">
      <c r="A669" s="4" t="s">
        <v>2801</v>
      </c>
      <c r="B669" s="5" t="n">
        <v>0.1</v>
      </c>
      <c r="C669" s="1" t="str">
        <f aca="false">IF(B669="NEW ROUTE",1,"")</f>
        <v/>
      </c>
      <c r="E669" s="5" t="n">
        <v>0.1</v>
      </c>
      <c r="F669" s="6" t="e">
        <f aca="false">VLOOKUP(E669,$K$2:$L$426,2,FALSE())</f>
        <v>#N/A</v>
      </c>
      <c r="G669" s="1" t="str">
        <f aca="false">IF(ISNA(F669),"",F669)</f>
        <v/>
      </c>
      <c r="H669" s="5" t="n">
        <f aca="false">IF(G669&lt;&gt;"",G669,E669)</f>
        <v>0.1</v>
      </c>
    </row>
    <row r="670" customFormat="false" ht="12.75" hidden="false" customHeight="true" outlineLevel="0" collapsed="false">
      <c r="A670" s="4" t="s">
        <v>3038</v>
      </c>
      <c r="B670" s="5" t="s">
        <v>3038</v>
      </c>
      <c r="C670" s="1" t="str">
        <f aca="false">IF(B670="NEW ROUTE",1,"")</f>
        <v/>
      </c>
      <c r="E670" s="5" t="s">
        <v>3038</v>
      </c>
      <c r="F670" s="6" t="e">
        <f aca="false">VLOOKUP(E670,$K$2:$L$426,2,FALSE())</f>
        <v>#N/A</v>
      </c>
      <c r="G670" s="1" t="str">
        <f aca="false">IF(ISNA(F670),"",F670)</f>
        <v/>
      </c>
      <c r="H670" s="5" t="str">
        <f aca="false">IF(G670&lt;&gt;"",G670,E670)</f>
        <v>27, 31, CUBONE</v>
      </c>
    </row>
    <row r="671" customFormat="false" ht="12.75" hidden="false" customHeight="true" outlineLevel="0" collapsed="false">
      <c r="A671" s="4" t="s">
        <v>3039</v>
      </c>
      <c r="B671" s="5" t="s">
        <v>3039</v>
      </c>
      <c r="C671" s="1" t="str">
        <f aca="false">IF(B671="NEW ROUTE",1,"")</f>
        <v/>
      </c>
      <c r="E671" s="5" t="s">
        <v>3039</v>
      </c>
      <c r="F671" s="6" t="e">
        <f aca="false">VLOOKUP(E671,$K$2:$L$426,2,FALSE())</f>
        <v>#N/A</v>
      </c>
      <c r="G671" s="1" t="str">
        <f aca="false">IF(ISNA(F671),"",F671)</f>
        <v/>
      </c>
      <c r="H671" s="5" t="str">
        <f aca="false">IF(G671&lt;&gt;"",G671,E671)</f>
        <v>29, 32, HAUNTER</v>
      </c>
    </row>
    <row r="672" customFormat="false" ht="12.75" hidden="false" customHeight="true" outlineLevel="0" collapsed="false">
      <c r="A672" s="4" t="s">
        <v>3040</v>
      </c>
      <c r="B672" s="5" t="s">
        <v>3040</v>
      </c>
      <c r="C672" s="1" t="str">
        <f aca="false">IF(B672="NEW ROUTE",1,"")</f>
        <v/>
      </c>
      <c r="E672" s="5" t="s">
        <v>3040</v>
      </c>
      <c r="F672" s="6" t="e">
        <f aca="false">VLOOKUP(E672,$K$2:$L$426,2,FALSE())</f>
        <v>#N/A</v>
      </c>
      <c r="G672" s="1" t="str">
        <f aca="false">IF(ISNA(F672),"",F672)</f>
        <v/>
      </c>
      <c r="H672" s="5" t="str">
        <f aca="false">IF(G672&lt;&gt;"",G672,E672)</f>
        <v>28, 31, DROWZEE</v>
      </c>
    </row>
    <row r="673" customFormat="false" ht="12.75" hidden="false" customHeight="true" outlineLevel="0" collapsed="false">
      <c r="A673" s="4" t="s">
        <v>3041</v>
      </c>
      <c r="B673" s="5" t="s">
        <v>3041</v>
      </c>
      <c r="C673" s="1" t="str">
        <f aca="false">IF(B673="NEW ROUTE",1,"")</f>
        <v/>
      </c>
      <c r="E673" s="5" t="s">
        <v>3041</v>
      </c>
      <c r="F673" s="6" t="e">
        <f aca="false">VLOOKUP(E673,$K$2:$L$426,2,FALSE())</f>
        <v>#N/A</v>
      </c>
      <c r="G673" s="1" t="str">
        <f aca="false">IF(ISNA(F673),"",F673)</f>
        <v/>
      </c>
      <c r="H673" s="5" t="str">
        <f aca="false">IF(G673&lt;&gt;"",G673,E673)</f>
        <v>28, 31, VULPIX</v>
      </c>
    </row>
    <row r="674" customFormat="false" ht="12.75" hidden="false" customHeight="true" outlineLevel="0" collapsed="false">
      <c r="A674" s="4" t="s">
        <v>2806</v>
      </c>
      <c r="B674" s="5" t="n">
        <v>0.05</v>
      </c>
      <c r="C674" s="1" t="str">
        <f aca="false">IF(B674="NEW ROUTE",1,"")</f>
        <v/>
      </c>
      <c r="E674" s="5" t="n">
        <v>0.05</v>
      </c>
      <c r="F674" s="6" t="e">
        <f aca="false">VLOOKUP(E674,$K$2:$L$426,2,FALSE())</f>
        <v>#N/A</v>
      </c>
      <c r="G674" s="1" t="str">
        <f aca="false">IF(ISNA(F674),"",F674)</f>
        <v/>
      </c>
      <c r="H674" s="5" t="n">
        <f aca="false">IF(G674&lt;&gt;"",G674,E674)</f>
        <v>0.05</v>
      </c>
    </row>
    <row r="675" customFormat="false" ht="12.75" hidden="false" customHeight="true" outlineLevel="0" collapsed="false">
      <c r="A675" s="4" t="s">
        <v>3042</v>
      </c>
      <c r="B675" s="5" t="s">
        <v>3042</v>
      </c>
      <c r="C675" s="1" t="str">
        <f aca="false">IF(B675="NEW ROUTE",1,"")</f>
        <v/>
      </c>
      <c r="E675" s="5" t="s">
        <v>3042</v>
      </c>
      <c r="F675" s="6" t="e">
        <f aca="false">VLOOKUP(E675,$K$2:$L$426,2,FALSE())</f>
        <v>#N/A</v>
      </c>
      <c r="G675" s="1" t="str">
        <f aca="false">IF(ISNA(F675),"",F675)</f>
        <v/>
      </c>
      <c r="H675" s="5" t="str">
        <f aca="false">IF(G675&lt;&gt;"",G675,E675)</f>
        <v>29, 32, HYPNO</v>
      </c>
    </row>
    <row r="676" customFormat="false" ht="12.75" hidden="false" customHeight="true" outlineLevel="0" collapsed="false">
      <c r="A676" s="4" t="s">
        <v>3043</v>
      </c>
      <c r="B676" s="5" t="s">
        <v>3043</v>
      </c>
      <c r="C676" s="1" t="str">
        <f aca="false">IF(B676="NEW ROUTE",1,"")</f>
        <v/>
      </c>
      <c r="E676" s="5" t="s">
        <v>3043</v>
      </c>
      <c r="F676" s="6" t="e">
        <f aca="false">VLOOKUP(E676,$K$2:$L$426,2,FALSE())</f>
        <v>#N/A</v>
      </c>
      <c r="G676" s="1" t="str">
        <f aca="false">IF(ISNA(F676),"",F676)</f>
        <v/>
      </c>
      <c r="H676" s="5" t="str">
        <f aca="false">IF(G676&lt;&gt;"",G676,E676)</f>
        <v>28, 31, RATICATE</v>
      </c>
    </row>
    <row r="677" customFormat="false" ht="12.75" hidden="false" customHeight="true" outlineLevel="0" collapsed="false">
      <c r="A677" s="4" t="s">
        <v>2809</v>
      </c>
      <c r="B677" s="5" t="n">
        <v>0.04</v>
      </c>
      <c r="C677" s="1" t="str">
        <f aca="false">IF(B677="NEW ROUTE",1,"")</f>
        <v/>
      </c>
      <c r="E677" s="5" t="n">
        <v>0.04</v>
      </c>
      <c r="F677" s="6" t="e">
        <f aca="false">VLOOKUP(E677,$K$2:$L$426,2,FALSE())</f>
        <v>#N/A</v>
      </c>
      <c r="G677" s="1" t="str">
        <f aca="false">IF(ISNA(F677),"",F677)</f>
        <v/>
      </c>
      <c r="H677" s="5" t="n">
        <f aca="false">IF(G677&lt;&gt;"",G677,E677)</f>
        <v>0.04</v>
      </c>
    </row>
    <row r="678" customFormat="false" ht="12.75" hidden="false" customHeight="true" outlineLevel="0" collapsed="false">
      <c r="A678" s="4" t="s">
        <v>3044</v>
      </c>
      <c r="B678" s="5" t="s">
        <v>3044</v>
      </c>
      <c r="C678" s="1" t="str">
        <f aca="false">IF(B678="NEW ROUTE",1,"")</f>
        <v/>
      </c>
      <c r="E678" s="5" t="s">
        <v>3044</v>
      </c>
      <c r="F678" s="6" t="e">
        <f aca="false">VLOOKUP(E678,$K$2:$L$426,2,FALSE())</f>
        <v>#N/A</v>
      </c>
      <c r="G678" s="1" t="str">
        <f aca="false">IF(ISNA(F678),"",F678)</f>
        <v/>
      </c>
      <c r="H678" s="5" t="str">
        <f aca="false">IF(G678&lt;&gt;"",G678,E678)</f>
        <v>29, 32, MAROWAK</v>
      </c>
    </row>
    <row r="679" customFormat="false" ht="12.75" hidden="false" customHeight="true" outlineLevel="0" collapsed="false">
      <c r="A679" s="4" t="s">
        <v>3045</v>
      </c>
      <c r="B679" s="5" t="s">
        <v>3045</v>
      </c>
      <c r="C679" s="1" t="str">
        <f aca="false">IF(B679="NEW ROUTE",1,"")</f>
        <v/>
      </c>
      <c r="E679" s="5" t="s">
        <v>3045</v>
      </c>
      <c r="F679" s="6" t="e">
        <f aca="false">VLOOKUP(E679,$K$2:$L$426,2,FALSE())</f>
        <v>#N/A</v>
      </c>
      <c r="G679" s="1" t="str">
        <f aca="false">IF(ISNA(F679),"",F679)</f>
        <v/>
      </c>
      <c r="H679" s="5" t="str">
        <f aca="false">IF(G679&lt;&gt;"",G679,E679)</f>
        <v>28, 31, RATTCHET</v>
      </c>
    </row>
    <row r="680" customFormat="false" ht="12.75" hidden="false" customHeight="true" outlineLevel="0" collapsed="false">
      <c r="A680" s="4" t="s">
        <v>2812</v>
      </c>
      <c r="B680" s="5" t="n">
        <v>0.01</v>
      </c>
      <c r="C680" s="1" t="str">
        <f aca="false">IF(B680="NEW ROUTE",1,"")</f>
        <v/>
      </c>
      <c r="E680" s="5" t="n">
        <v>0.01</v>
      </c>
      <c r="F680" s="6" t="e">
        <f aca="false">VLOOKUP(E680,$K$2:$L$426,2,FALSE())</f>
        <v>#N/A</v>
      </c>
      <c r="G680" s="1" t="str">
        <f aca="false">IF(ISNA(F680),"",F680)</f>
        <v/>
      </c>
      <c r="H680" s="5" t="n">
        <f aca="false">IF(G680&lt;&gt;"",G680,E680)</f>
        <v>0.01</v>
      </c>
    </row>
    <row r="681" customFormat="false" ht="12.75" hidden="false" customHeight="true" outlineLevel="0" collapsed="false">
      <c r="A681" s="4" t="s">
        <v>3046</v>
      </c>
      <c r="B681" s="5" t="s">
        <v>3046</v>
      </c>
      <c r="C681" s="1" t="str">
        <f aca="false">IF(B681="NEW ROUTE",1,"")</f>
        <v/>
      </c>
      <c r="E681" s="5" t="s">
        <v>3046</v>
      </c>
      <c r="F681" s="6" t="e">
        <f aca="false">VLOOKUP(E681,$K$2:$L$426,2,FALSE())</f>
        <v>#N/A</v>
      </c>
      <c r="G681" s="1" t="str">
        <f aca="false">IF(ISNA(F681),"",F681)</f>
        <v/>
      </c>
      <c r="H681" s="5" t="str">
        <f aca="false">IF(G681&lt;&gt;"",G681,E681)</f>
        <v>33, 33, HAUNTER</v>
      </c>
    </row>
    <row r="682" customFormat="false" ht="12.75" hidden="false" customHeight="true" outlineLevel="0" collapsed="false">
      <c r="A682" s="4" t="s">
        <v>3717</v>
      </c>
      <c r="B682" s="5" t="s">
        <v>3717</v>
      </c>
      <c r="C682" s="1" t="str">
        <f aca="false">IF(B682="NEW ROUTE",1,"")</f>
        <v/>
      </c>
      <c r="E682" s="5" t="s">
        <v>3717</v>
      </c>
      <c r="F682" s="6" t="e">
        <f aca="false">VLOOKUP(E682,$K$2:$L$426,2,FALSE())</f>
        <v>#N/A</v>
      </c>
      <c r="G682" s="1" t="str">
        <f aca="false">IF(ISNA(F682),"",F682)</f>
        <v/>
      </c>
      <c r="H682" s="5" t="str">
        <f aca="false">IF(G682&lt;&gt;"",G682,E682)</f>
        <v>32, 33, NINETALES</v>
      </c>
    </row>
    <row r="683" customFormat="false" ht="12.75" hidden="false" customHeight="true" outlineLevel="0" collapsed="false">
      <c r="A683" s="4" t="s">
        <v>2536</v>
      </c>
      <c r="B683" s="5" t="s">
        <v>2536</v>
      </c>
      <c r="C683" s="1" t="n">
        <f aca="false">IF(B683="NEW ROUTE",1,"")</f>
        <v>1</v>
      </c>
      <c r="E683" s="5" t="s">
        <v>2536</v>
      </c>
      <c r="F683" s="6" t="e">
        <f aca="false">VLOOKUP(E683,$K$2:$L$426,2,FALSE())</f>
        <v>#N/A</v>
      </c>
      <c r="G683" s="1" t="str">
        <f aca="false">IF(ISNA(F683),"",F683)</f>
        <v/>
      </c>
      <c r="H683" s="5" t="str">
        <f aca="false">IF(G683&lt;&gt;"",G683,E683)</f>
        <v>NEW ROUTE</v>
      </c>
    </row>
    <row r="684" customFormat="false" ht="12.75" hidden="false" customHeight="true" outlineLevel="0" collapsed="false">
      <c r="A684" s="4" t="s">
        <v>194</v>
      </c>
      <c r="B684" s="5" t="s">
        <v>194</v>
      </c>
      <c r="C684" s="1" t="str">
        <f aca="false">IF(B684="NEW ROUTE",1,"")</f>
        <v/>
      </c>
      <c r="E684" s="5" t="s">
        <v>194</v>
      </c>
      <c r="F684" s="6" t="str">
        <f aca="false">VLOOKUP(E684,$K$2:$L$426,2,FALSE())</f>
        <v>Pokémon Tower 4F</v>
      </c>
      <c r="G684" s="1" t="str">
        <f aca="false">IF(ISNA(F684),"",F684)</f>
        <v>Pokémon Tower 4F</v>
      </c>
      <c r="H684" s="5" t="str">
        <f aca="false">IF(G684&lt;&gt;"",G684,E684)</f>
        <v>Pokémon Tower 4F</v>
      </c>
    </row>
    <row r="685" customFormat="false" ht="12.75" hidden="false" customHeight="true" outlineLevel="0" collapsed="false">
      <c r="A685" s="4" t="s">
        <v>2799</v>
      </c>
      <c r="B685" s="5" t="n">
        <v>0.2</v>
      </c>
      <c r="C685" s="1" t="str">
        <f aca="false">IF(B685="NEW ROUTE",1,"")</f>
        <v/>
      </c>
      <c r="E685" s="5" t="n">
        <v>0.2</v>
      </c>
      <c r="F685" s="6" t="e">
        <f aca="false">VLOOKUP(E685,$K$2:$L$426,2,FALSE())</f>
        <v>#N/A</v>
      </c>
      <c r="G685" s="1" t="str">
        <f aca="false">IF(ISNA(F685),"",F685)</f>
        <v/>
      </c>
      <c r="H685" s="5" t="n">
        <f aca="false">IF(G685&lt;&gt;"",G685,E685)</f>
        <v>0.2</v>
      </c>
    </row>
    <row r="686" customFormat="false" ht="12.75" hidden="false" customHeight="true" outlineLevel="0" collapsed="false">
      <c r="A686" s="4" t="s">
        <v>1463</v>
      </c>
      <c r="B686" s="5" t="s">
        <v>1463</v>
      </c>
      <c r="C686" s="1" t="str">
        <f aca="false">IF(B686="NEW ROUTE",1,"")</f>
        <v/>
      </c>
      <c r="E686" s="5" t="s">
        <v>1463</v>
      </c>
      <c r="F686" s="6" t="e">
        <f aca="false">VLOOKUP(E686,$K$2:$L$426,2,FALSE())</f>
        <v>#N/A</v>
      </c>
      <c r="G686" s="1" t="str">
        <f aca="false">IF(ISNA(F686),"",F686)</f>
        <v/>
      </c>
      <c r="H686" s="5" t="str">
        <f aca="false">IF(G686&lt;&gt;"",G686,E686)</f>
        <v>28, 31, GASTLY</v>
      </c>
    </row>
    <row r="687" customFormat="false" ht="12.75" hidden="false" customHeight="true" outlineLevel="0" collapsed="false">
      <c r="A687" s="4" t="s">
        <v>3037</v>
      </c>
      <c r="B687" s="5" t="s">
        <v>3037</v>
      </c>
      <c r="C687" s="1" t="str">
        <f aca="false">IF(B687="NEW ROUTE",1,"")</f>
        <v/>
      </c>
      <c r="E687" s="5" t="s">
        <v>3037</v>
      </c>
      <c r="F687" s="6" t="e">
        <f aca="false">VLOOKUP(E687,$K$2:$L$426,2,FALSE())</f>
        <v>#N/A</v>
      </c>
      <c r="G687" s="1" t="str">
        <f aca="false">IF(ISNA(F687),"",F687)</f>
        <v/>
      </c>
      <c r="H687" s="5" t="str">
        <f aca="false">IF(G687&lt;&gt;"",G687,E687)</f>
        <v>29, 32, RATTATA</v>
      </c>
    </row>
    <row r="688" customFormat="false" ht="12.75" hidden="false" customHeight="true" outlineLevel="0" collapsed="false">
      <c r="A688" s="4" t="s">
        <v>2801</v>
      </c>
      <c r="B688" s="5" t="n">
        <v>0.1</v>
      </c>
      <c r="C688" s="1" t="str">
        <f aca="false">IF(B688="NEW ROUTE",1,"")</f>
        <v/>
      </c>
      <c r="E688" s="5" t="n">
        <v>0.1</v>
      </c>
      <c r="F688" s="6" t="e">
        <f aca="false">VLOOKUP(E688,$K$2:$L$426,2,FALSE())</f>
        <v>#N/A</v>
      </c>
      <c r="G688" s="1" t="str">
        <f aca="false">IF(ISNA(F688),"",F688)</f>
        <v/>
      </c>
      <c r="H688" s="5" t="n">
        <f aca="false">IF(G688&lt;&gt;"",G688,E688)</f>
        <v>0.1</v>
      </c>
    </row>
    <row r="689" customFormat="false" ht="12.75" hidden="false" customHeight="true" outlineLevel="0" collapsed="false">
      <c r="A689" s="4" t="s">
        <v>3038</v>
      </c>
      <c r="B689" s="5" t="s">
        <v>3038</v>
      </c>
      <c r="C689" s="1" t="str">
        <f aca="false">IF(B689="NEW ROUTE",1,"")</f>
        <v/>
      </c>
      <c r="E689" s="5" t="s">
        <v>3038</v>
      </c>
      <c r="F689" s="6" t="e">
        <f aca="false">VLOOKUP(E689,$K$2:$L$426,2,FALSE())</f>
        <v>#N/A</v>
      </c>
      <c r="G689" s="1" t="str">
        <f aca="false">IF(ISNA(F689),"",F689)</f>
        <v/>
      </c>
      <c r="H689" s="5" t="str">
        <f aca="false">IF(G689&lt;&gt;"",G689,E689)</f>
        <v>27, 31, CUBONE</v>
      </c>
    </row>
    <row r="690" customFormat="false" ht="12.75" hidden="false" customHeight="true" outlineLevel="0" collapsed="false">
      <c r="A690" s="4" t="s">
        <v>3039</v>
      </c>
      <c r="B690" s="5" t="s">
        <v>3039</v>
      </c>
      <c r="C690" s="1" t="str">
        <f aca="false">IF(B690="NEW ROUTE",1,"")</f>
        <v/>
      </c>
      <c r="E690" s="5" t="s">
        <v>3039</v>
      </c>
      <c r="F690" s="6" t="e">
        <f aca="false">VLOOKUP(E690,$K$2:$L$426,2,FALSE())</f>
        <v>#N/A</v>
      </c>
      <c r="G690" s="1" t="str">
        <f aca="false">IF(ISNA(F690),"",F690)</f>
        <v/>
      </c>
      <c r="H690" s="5" t="str">
        <f aca="false">IF(G690&lt;&gt;"",G690,E690)</f>
        <v>29, 32, HAUNTER</v>
      </c>
    </row>
    <row r="691" customFormat="false" ht="12.75" hidden="false" customHeight="true" outlineLevel="0" collapsed="false">
      <c r="A691" s="4" t="s">
        <v>3040</v>
      </c>
      <c r="B691" s="5" t="s">
        <v>3040</v>
      </c>
      <c r="C691" s="1" t="str">
        <f aca="false">IF(B691="NEW ROUTE",1,"")</f>
        <v/>
      </c>
      <c r="E691" s="5" t="s">
        <v>3040</v>
      </c>
      <c r="F691" s="6" t="e">
        <f aca="false">VLOOKUP(E691,$K$2:$L$426,2,FALSE())</f>
        <v>#N/A</v>
      </c>
      <c r="G691" s="1" t="str">
        <f aca="false">IF(ISNA(F691),"",F691)</f>
        <v/>
      </c>
      <c r="H691" s="5" t="str">
        <f aca="false">IF(G691&lt;&gt;"",G691,E691)</f>
        <v>28, 31, DROWZEE</v>
      </c>
    </row>
    <row r="692" customFormat="false" ht="12.75" hidden="false" customHeight="true" outlineLevel="0" collapsed="false">
      <c r="A692" s="4" t="s">
        <v>3041</v>
      </c>
      <c r="B692" s="5" t="s">
        <v>3041</v>
      </c>
      <c r="C692" s="1" t="str">
        <f aca="false">IF(B692="NEW ROUTE",1,"")</f>
        <v/>
      </c>
      <c r="E692" s="5" t="s">
        <v>3041</v>
      </c>
      <c r="F692" s="6" t="e">
        <f aca="false">VLOOKUP(E692,$K$2:$L$426,2,FALSE())</f>
        <v>#N/A</v>
      </c>
      <c r="G692" s="1" t="str">
        <f aca="false">IF(ISNA(F692),"",F692)</f>
        <v/>
      </c>
      <c r="H692" s="5" t="str">
        <f aca="false">IF(G692&lt;&gt;"",G692,E692)</f>
        <v>28, 31, VULPIX</v>
      </c>
    </row>
    <row r="693" customFormat="false" ht="12.75" hidden="false" customHeight="true" outlineLevel="0" collapsed="false">
      <c r="A693" s="4" t="s">
        <v>2806</v>
      </c>
      <c r="B693" s="5" t="n">
        <v>0.05</v>
      </c>
      <c r="C693" s="1" t="str">
        <f aca="false">IF(B693="NEW ROUTE",1,"")</f>
        <v/>
      </c>
      <c r="E693" s="5" t="n">
        <v>0.05</v>
      </c>
      <c r="F693" s="6" t="e">
        <f aca="false">VLOOKUP(E693,$K$2:$L$426,2,FALSE())</f>
        <v>#N/A</v>
      </c>
      <c r="G693" s="1" t="str">
        <f aca="false">IF(ISNA(F693),"",F693)</f>
        <v/>
      </c>
      <c r="H693" s="5" t="n">
        <f aca="false">IF(G693&lt;&gt;"",G693,E693)</f>
        <v>0.05</v>
      </c>
    </row>
    <row r="694" customFormat="false" ht="12.75" hidden="false" customHeight="true" outlineLevel="0" collapsed="false">
      <c r="A694" s="4" t="s">
        <v>3042</v>
      </c>
      <c r="B694" s="5" t="s">
        <v>3042</v>
      </c>
      <c r="C694" s="1" t="str">
        <f aca="false">IF(B694="NEW ROUTE",1,"")</f>
        <v/>
      </c>
      <c r="E694" s="5" t="s">
        <v>3042</v>
      </c>
      <c r="F694" s="6" t="e">
        <f aca="false">VLOOKUP(E694,$K$2:$L$426,2,FALSE())</f>
        <v>#N/A</v>
      </c>
      <c r="G694" s="1" t="str">
        <f aca="false">IF(ISNA(F694),"",F694)</f>
        <v/>
      </c>
      <c r="H694" s="5" t="str">
        <f aca="false">IF(G694&lt;&gt;"",G694,E694)</f>
        <v>29, 32, HYPNO</v>
      </c>
    </row>
    <row r="695" customFormat="false" ht="12.75" hidden="false" customHeight="true" outlineLevel="0" collapsed="false">
      <c r="A695" s="4" t="s">
        <v>3043</v>
      </c>
      <c r="B695" s="5" t="s">
        <v>3043</v>
      </c>
      <c r="C695" s="1" t="str">
        <f aca="false">IF(B695="NEW ROUTE",1,"")</f>
        <v/>
      </c>
      <c r="E695" s="5" t="s">
        <v>3043</v>
      </c>
      <c r="F695" s="6" t="e">
        <f aca="false">VLOOKUP(E695,$K$2:$L$426,2,FALSE())</f>
        <v>#N/A</v>
      </c>
      <c r="G695" s="1" t="str">
        <f aca="false">IF(ISNA(F695),"",F695)</f>
        <v/>
      </c>
      <c r="H695" s="5" t="str">
        <f aca="false">IF(G695&lt;&gt;"",G695,E695)</f>
        <v>28, 31, RATICATE</v>
      </c>
    </row>
    <row r="696" customFormat="false" ht="12.75" hidden="false" customHeight="true" outlineLevel="0" collapsed="false">
      <c r="A696" s="4" t="s">
        <v>2809</v>
      </c>
      <c r="B696" s="5" t="n">
        <v>0.04</v>
      </c>
      <c r="C696" s="1" t="str">
        <f aca="false">IF(B696="NEW ROUTE",1,"")</f>
        <v/>
      </c>
      <c r="E696" s="5" t="n">
        <v>0.04</v>
      </c>
      <c r="F696" s="6" t="e">
        <f aca="false">VLOOKUP(E696,$K$2:$L$426,2,FALSE())</f>
        <v>#N/A</v>
      </c>
      <c r="G696" s="1" t="str">
        <f aca="false">IF(ISNA(F696),"",F696)</f>
        <v/>
      </c>
      <c r="H696" s="5" t="n">
        <f aca="false">IF(G696&lt;&gt;"",G696,E696)</f>
        <v>0.04</v>
      </c>
    </row>
    <row r="697" customFormat="false" ht="12.75" hidden="false" customHeight="true" outlineLevel="0" collapsed="false">
      <c r="A697" s="4" t="s">
        <v>3044</v>
      </c>
      <c r="B697" s="5" t="s">
        <v>3044</v>
      </c>
      <c r="C697" s="1" t="str">
        <f aca="false">IF(B697="NEW ROUTE",1,"")</f>
        <v/>
      </c>
      <c r="E697" s="5" t="s">
        <v>3044</v>
      </c>
      <c r="F697" s="6" t="e">
        <f aca="false">VLOOKUP(E697,$K$2:$L$426,2,FALSE())</f>
        <v>#N/A</v>
      </c>
      <c r="G697" s="1" t="str">
        <f aca="false">IF(ISNA(F697),"",F697)</f>
        <v/>
      </c>
      <c r="H697" s="5" t="str">
        <f aca="false">IF(G697&lt;&gt;"",G697,E697)</f>
        <v>29, 32, MAROWAK</v>
      </c>
    </row>
    <row r="698" customFormat="false" ht="12.75" hidden="false" customHeight="true" outlineLevel="0" collapsed="false">
      <c r="A698" s="4" t="s">
        <v>3045</v>
      </c>
      <c r="B698" s="5" t="s">
        <v>3045</v>
      </c>
      <c r="C698" s="1" t="str">
        <f aca="false">IF(B698="NEW ROUTE",1,"")</f>
        <v/>
      </c>
      <c r="E698" s="5" t="s">
        <v>3045</v>
      </c>
      <c r="F698" s="6" t="e">
        <f aca="false">VLOOKUP(E698,$K$2:$L$426,2,FALSE())</f>
        <v>#N/A</v>
      </c>
      <c r="G698" s="1" t="str">
        <f aca="false">IF(ISNA(F698),"",F698)</f>
        <v/>
      </c>
      <c r="H698" s="5" t="str">
        <f aca="false">IF(G698&lt;&gt;"",G698,E698)</f>
        <v>28, 31, RATTCHET</v>
      </c>
    </row>
    <row r="699" customFormat="false" ht="12.75" hidden="false" customHeight="true" outlineLevel="0" collapsed="false">
      <c r="A699" s="4" t="s">
        <v>2812</v>
      </c>
      <c r="B699" s="5" t="n">
        <v>0.01</v>
      </c>
      <c r="C699" s="1" t="str">
        <f aca="false">IF(B699="NEW ROUTE",1,"")</f>
        <v/>
      </c>
      <c r="E699" s="5" t="n">
        <v>0.01</v>
      </c>
      <c r="F699" s="6" t="e">
        <f aca="false">VLOOKUP(E699,$K$2:$L$426,2,FALSE())</f>
        <v>#N/A</v>
      </c>
      <c r="G699" s="1" t="str">
        <f aca="false">IF(ISNA(F699),"",F699)</f>
        <v/>
      </c>
      <c r="H699" s="5" t="n">
        <f aca="false">IF(G699&lt;&gt;"",G699,E699)</f>
        <v>0.01</v>
      </c>
    </row>
    <row r="700" customFormat="false" ht="12.75" hidden="false" customHeight="true" outlineLevel="0" collapsed="false">
      <c r="A700" s="4" t="s">
        <v>3046</v>
      </c>
      <c r="B700" s="5" t="s">
        <v>3046</v>
      </c>
      <c r="C700" s="1" t="str">
        <f aca="false">IF(B700="NEW ROUTE",1,"")</f>
        <v/>
      </c>
      <c r="E700" s="5" t="s">
        <v>3046</v>
      </c>
      <c r="F700" s="6" t="e">
        <f aca="false">VLOOKUP(E700,$K$2:$L$426,2,FALSE())</f>
        <v>#N/A</v>
      </c>
      <c r="G700" s="1" t="str">
        <f aca="false">IF(ISNA(F700),"",F700)</f>
        <v/>
      </c>
      <c r="H700" s="5" t="str">
        <f aca="false">IF(G700&lt;&gt;"",G700,E700)</f>
        <v>33, 33, HAUNTER</v>
      </c>
    </row>
    <row r="701" customFormat="false" ht="12.75" hidden="false" customHeight="true" outlineLevel="0" collapsed="false">
      <c r="A701" s="4" t="s">
        <v>3717</v>
      </c>
      <c r="B701" s="5" t="s">
        <v>3717</v>
      </c>
      <c r="C701" s="1" t="str">
        <f aca="false">IF(B701="NEW ROUTE",1,"")</f>
        <v/>
      </c>
      <c r="E701" s="5" t="s">
        <v>3717</v>
      </c>
      <c r="F701" s="6" t="e">
        <f aca="false">VLOOKUP(E701,$K$2:$L$426,2,FALSE())</f>
        <v>#N/A</v>
      </c>
      <c r="G701" s="1" t="str">
        <f aca="false">IF(ISNA(F701),"",F701)</f>
        <v/>
      </c>
      <c r="H701" s="5" t="str">
        <f aca="false">IF(G701&lt;&gt;"",G701,E701)</f>
        <v>32, 33, NINETALES</v>
      </c>
    </row>
    <row r="702" customFormat="false" ht="12.75" hidden="false" customHeight="true" outlineLevel="0" collapsed="false">
      <c r="A702" s="4" t="s">
        <v>2536</v>
      </c>
      <c r="B702" s="5" t="s">
        <v>2536</v>
      </c>
      <c r="C702" s="1" t="n">
        <f aca="false">IF(B702="NEW ROUTE",1,"")</f>
        <v>1</v>
      </c>
      <c r="E702" s="5" t="s">
        <v>2536</v>
      </c>
      <c r="F702" s="6" t="e">
        <f aca="false">VLOOKUP(E702,$K$2:$L$426,2,FALSE())</f>
        <v>#N/A</v>
      </c>
      <c r="G702" s="1" t="str">
        <f aca="false">IF(ISNA(F702),"",F702)</f>
        <v/>
      </c>
      <c r="H702" s="5" t="str">
        <f aca="false">IF(G702&lt;&gt;"",G702,E702)</f>
        <v>NEW ROUTE</v>
      </c>
    </row>
    <row r="703" customFormat="false" ht="12.75" hidden="false" customHeight="true" outlineLevel="0" collapsed="false">
      <c r="A703" s="4" t="s">
        <v>196</v>
      </c>
      <c r="B703" s="5" t="s">
        <v>196</v>
      </c>
      <c r="C703" s="1" t="str">
        <f aca="false">IF(B703="NEW ROUTE",1,"")</f>
        <v/>
      </c>
      <c r="E703" s="5" t="s">
        <v>196</v>
      </c>
      <c r="F703" s="6" t="str">
        <f aca="false">VLOOKUP(E703,$K$2:$L$426,2,FALSE())</f>
        <v>Pokémon Tower 5F</v>
      </c>
      <c r="G703" s="1" t="str">
        <f aca="false">IF(ISNA(F703),"",F703)</f>
        <v>Pokémon Tower 5F</v>
      </c>
      <c r="H703" s="5" t="str">
        <f aca="false">IF(G703&lt;&gt;"",G703,E703)</f>
        <v>Pokémon Tower 5F</v>
      </c>
    </row>
    <row r="704" customFormat="false" ht="12.75" hidden="false" customHeight="true" outlineLevel="0" collapsed="false">
      <c r="A704" s="4" t="s">
        <v>2799</v>
      </c>
      <c r="B704" s="5" t="n">
        <v>0.2</v>
      </c>
      <c r="C704" s="1" t="str">
        <f aca="false">IF(B704="NEW ROUTE",1,"")</f>
        <v/>
      </c>
      <c r="E704" s="5" t="n">
        <v>0.2</v>
      </c>
      <c r="F704" s="6" t="e">
        <f aca="false">VLOOKUP(E704,$K$2:$L$426,2,FALSE())</f>
        <v>#N/A</v>
      </c>
      <c r="G704" s="1" t="str">
        <f aca="false">IF(ISNA(F704),"",F704)</f>
        <v/>
      </c>
      <c r="H704" s="5" t="n">
        <f aca="false">IF(G704&lt;&gt;"",G704,E704)</f>
        <v>0.2</v>
      </c>
    </row>
    <row r="705" customFormat="false" ht="12.75" hidden="false" customHeight="true" outlineLevel="0" collapsed="false">
      <c r="A705" s="4" t="s">
        <v>1463</v>
      </c>
      <c r="B705" s="5" t="s">
        <v>1463</v>
      </c>
      <c r="C705" s="1" t="str">
        <f aca="false">IF(B705="NEW ROUTE",1,"")</f>
        <v/>
      </c>
      <c r="E705" s="5" t="s">
        <v>1463</v>
      </c>
      <c r="F705" s="6" t="e">
        <f aca="false">VLOOKUP(E705,$K$2:$L$426,2,FALSE())</f>
        <v>#N/A</v>
      </c>
      <c r="G705" s="1" t="str">
        <f aca="false">IF(ISNA(F705),"",F705)</f>
        <v/>
      </c>
      <c r="H705" s="5" t="str">
        <f aca="false">IF(G705&lt;&gt;"",G705,E705)</f>
        <v>28, 31, GASTLY</v>
      </c>
    </row>
    <row r="706" customFormat="false" ht="12.75" hidden="false" customHeight="true" outlineLevel="0" collapsed="false">
      <c r="A706" s="4" t="s">
        <v>3037</v>
      </c>
      <c r="B706" s="5" t="s">
        <v>3037</v>
      </c>
      <c r="C706" s="1" t="str">
        <f aca="false">IF(B706="NEW ROUTE",1,"")</f>
        <v/>
      </c>
      <c r="E706" s="5" t="s">
        <v>3037</v>
      </c>
      <c r="F706" s="6" t="e">
        <f aca="false">VLOOKUP(E706,$K$2:$L$426,2,FALSE())</f>
        <v>#N/A</v>
      </c>
      <c r="G706" s="1" t="str">
        <f aca="false">IF(ISNA(F706),"",F706)</f>
        <v/>
      </c>
      <c r="H706" s="5" t="str">
        <f aca="false">IF(G706&lt;&gt;"",G706,E706)</f>
        <v>29, 32, RATTATA</v>
      </c>
    </row>
    <row r="707" customFormat="false" ht="12.75" hidden="false" customHeight="true" outlineLevel="0" collapsed="false">
      <c r="A707" s="4" t="s">
        <v>2801</v>
      </c>
      <c r="B707" s="5" t="n">
        <v>0.1</v>
      </c>
      <c r="C707" s="1" t="str">
        <f aca="false">IF(B707="NEW ROUTE",1,"")</f>
        <v/>
      </c>
      <c r="E707" s="5" t="n">
        <v>0.1</v>
      </c>
      <c r="F707" s="6" t="e">
        <f aca="false">VLOOKUP(E707,$K$2:$L$426,2,FALSE())</f>
        <v>#N/A</v>
      </c>
      <c r="G707" s="1" t="str">
        <f aca="false">IF(ISNA(F707),"",F707)</f>
        <v/>
      </c>
      <c r="H707" s="5" t="n">
        <f aca="false">IF(G707&lt;&gt;"",G707,E707)</f>
        <v>0.1</v>
      </c>
    </row>
    <row r="708" customFormat="false" ht="12.75" hidden="false" customHeight="true" outlineLevel="0" collapsed="false">
      <c r="A708" s="4" t="s">
        <v>3038</v>
      </c>
      <c r="B708" s="5" t="s">
        <v>3038</v>
      </c>
      <c r="C708" s="1" t="str">
        <f aca="false">IF(B708="NEW ROUTE",1,"")</f>
        <v/>
      </c>
      <c r="E708" s="5" t="s">
        <v>3038</v>
      </c>
      <c r="F708" s="6" t="e">
        <f aca="false">VLOOKUP(E708,$K$2:$L$426,2,FALSE())</f>
        <v>#N/A</v>
      </c>
      <c r="G708" s="1" t="str">
        <f aca="false">IF(ISNA(F708),"",F708)</f>
        <v/>
      </c>
      <c r="H708" s="5" t="str">
        <f aca="false">IF(G708&lt;&gt;"",G708,E708)</f>
        <v>27, 31, CUBONE</v>
      </c>
    </row>
    <row r="709" customFormat="false" ht="12.75" hidden="false" customHeight="true" outlineLevel="0" collapsed="false">
      <c r="A709" s="4" t="s">
        <v>3039</v>
      </c>
      <c r="B709" s="5" t="s">
        <v>3039</v>
      </c>
      <c r="C709" s="1" t="str">
        <f aca="false">IF(B709="NEW ROUTE",1,"")</f>
        <v/>
      </c>
      <c r="E709" s="5" t="s">
        <v>3039</v>
      </c>
      <c r="F709" s="6" t="e">
        <f aca="false">VLOOKUP(E709,$K$2:$L$426,2,FALSE())</f>
        <v>#N/A</v>
      </c>
      <c r="G709" s="1" t="str">
        <f aca="false">IF(ISNA(F709),"",F709)</f>
        <v/>
      </c>
      <c r="H709" s="5" t="str">
        <f aca="false">IF(G709&lt;&gt;"",G709,E709)</f>
        <v>29, 32, HAUNTER</v>
      </c>
    </row>
    <row r="710" customFormat="false" ht="12.75" hidden="false" customHeight="true" outlineLevel="0" collapsed="false">
      <c r="A710" s="4" t="s">
        <v>3040</v>
      </c>
      <c r="B710" s="5" t="s">
        <v>3040</v>
      </c>
      <c r="C710" s="1" t="str">
        <f aca="false">IF(B710="NEW ROUTE",1,"")</f>
        <v/>
      </c>
      <c r="E710" s="5" t="s">
        <v>3040</v>
      </c>
      <c r="F710" s="6" t="e">
        <f aca="false">VLOOKUP(E710,$K$2:$L$426,2,FALSE())</f>
        <v>#N/A</v>
      </c>
      <c r="G710" s="1" t="str">
        <f aca="false">IF(ISNA(F710),"",F710)</f>
        <v/>
      </c>
      <c r="H710" s="5" t="str">
        <f aca="false">IF(G710&lt;&gt;"",G710,E710)</f>
        <v>28, 31, DROWZEE</v>
      </c>
    </row>
    <row r="711" customFormat="false" ht="12.75" hidden="false" customHeight="true" outlineLevel="0" collapsed="false">
      <c r="A711" s="4" t="s">
        <v>3041</v>
      </c>
      <c r="B711" s="5" t="s">
        <v>3041</v>
      </c>
      <c r="C711" s="1" t="str">
        <f aca="false">IF(B711="NEW ROUTE",1,"")</f>
        <v/>
      </c>
      <c r="E711" s="5" t="s">
        <v>3041</v>
      </c>
      <c r="F711" s="6" t="e">
        <f aca="false">VLOOKUP(E711,$K$2:$L$426,2,FALSE())</f>
        <v>#N/A</v>
      </c>
      <c r="G711" s="1" t="str">
        <f aca="false">IF(ISNA(F711),"",F711)</f>
        <v/>
      </c>
      <c r="H711" s="5" t="str">
        <f aca="false">IF(G711&lt;&gt;"",G711,E711)</f>
        <v>28, 31, VULPIX</v>
      </c>
    </row>
    <row r="712" customFormat="false" ht="12.75" hidden="false" customHeight="true" outlineLevel="0" collapsed="false">
      <c r="A712" s="4" t="s">
        <v>2806</v>
      </c>
      <c r="B712" s="5" t="n">
        <v>0.05</v>
      </c>
      <c r="C712" s="1" t="str">
        <f aca="false">IF(B712="NEW ROUTE",1,"")</f>
        <v/>
      </c>
      <c r="E712" s="5" t="n">
        <v>0.05</v>
      </c>
      <c r="F712" s="6" t="e">
        <f aca="false">VLOOKUP(E712,$K$2:$L$426,2,FALSE())</f>
        <v>#N/A</v>
      </c>
      <c r="G712" s="1" t="str">
        <f aca="false">IF(ISNA(F712),"",F712)</f>
        <v/>
      </c>
      <c r="H712" s="5" t="n">
        <f aca="false">IF(G712&lt;&gt;"",G712,E712)</f>
        <v>0.05</v>
      </c>
    </row>
    <row r="713" customFormat="false" ht="12.75" hidden="false" customHeight="true" outlineLevel="0" collapsed="false">
      <c r="A713" s="4" t="s">
        <v>3042</v>
      </c>
      <c r="B713" s="5" t="s">
        <v>3042</v>
      </c>
      <c r="C713" s="1" t="str">
        <f aca="false">IF(B713="NEW ROUTE",1,"")</f>
        <v/>
      </c>
      <c r="E713" s="5" t="s">
        <v>3042</v>
      </c>
      <c r="F713" s="6" t="e">
        <f aca="false">VLOOKUP(E713,$K$2:$L$426,2,FALSE())</f>
        <v>#N/A</v>
      </c>
      <c r="G713" s="1" t="str">
        <f aca="false">IF(ISNA(F713),"",F713)</f>
        <v/>
      </c>
      <c r="H713" s="5" t="str">
        <f aca="false">IF(G713&lt;&gt;"",G713,E713)</f>
        <v>29, 32, HYPNO</v>
      </c>
    </row>
    <row r="714" customFormat="false" ht="12.75" hidden="false" customHeight="true" outlineLevel="0" collapsed="false">
      <c r="A714" s="4" t="s">
        <v>3043</v>
      </c>
      <c r="B714" s="5" t="s">
        <v>3043</v>
      </c>
      <c r="C714" s="1" t="str">
        <f aca="false">IF(B714="NEW ROUTE",1,"")</f>
        <v/>
      </c>
      <c r="E714" s="5" t="s">
        <v>3043</v>
      </c>
      <c r="F714" s="6" t="e">
        <f aca="false">VLOOKUP(E714,$K$2:$L$426,2,FALSE())</f>
        <v>#N/A</v>
      </c>
      <c r="G714" s="1" t="str">
        <f aca="false">IF(ISNA(F714),"",F714)</f>
        <v/>
      </c>
      <c r="H714" s="5" t="str">
        <f aca="false">IF(G714&lt;&gt;"",G714,E714)</f>
        <v>28, 31, RATICATE</v>
      </c>
    </row>
    <row r="715" customFormat="false" ht="12.75" hidden="false" customHeight="true" outlineLevel="0" collapsed="false">
      <c r="A715" s="4" t="s">
        <v>2809</v>
      </c>
      <c r="B715" s="5" t="n">
        <v>0.04</v>
      </c>
      <c r="C715" s="1" t="str">
        <f aca="false">IF(B715="NEW ROUTE",1,"")</f>
        <v/>
      </c>
      <c r="E715" s="5" t="n">
        <v>0.04</v>
      </c>
      <c r="F715" s="6" t="e">
        <f aca="false">VLOOKUP(E715,$K$2:$L$426,2,FALSE())</f>
        <v>#N/A</v>
      </c>
      <c r="G715" s="1" t="str">
        <f aca="false">IF(ISNA(F715),"",F715)</f>
        <v/>
      </c>
      <c r="H715" s="5" t="n">
        <f aca="false">IF(G715&lt;&gt;"",G715,E715)</f>
        <v>0.04</v>
      </c>
    </row>
    <row r="716" customFormat="false" ht="12.75" hidden="false" customHeight="true" outlineLevel="0" collapsed="false">
      <c r="A716" s="4" t="s">
        <v>3044</v>
      </c>
      <c r="B716" s="5" t="s">
        <v>3044</v>
      </c>
      <c r="C716" s="1" t="str">
        <f aca="false">IF(B716="NEW ROUTE",1,"")</f>
        <v/>
      </c>
      <c r="E716" s="5" t="s">
        <v>3044</v>
      </c>
      <c r="F716" s="6" t="e">
        <f aca="false">VLOOKUP(E716,$K$2:$L$426,2,FALSE())</f>
        <v>#N/A</v>
      </c>
      <c r="G716" s="1" t="str">
        <f aca="false">IF(ISNA(F716),"",F716)</f>
        <v/>
      </c>
      <c r="H716" s="5" t="str">
        <f aca="false">IF(G716&lt;&gt;"",G716,E716)</f>
        <v>29, 32, MAROWAK</v>
      </c>
    </row>
    <row r="717" customFormat="false" ht="12.75" hidden="false" customHeight="true" outlineLevel="0" collapsed="false">
      <c r="A717" s="4" t="s">
        <v>3045</v>
      </c>
      <c r="B717" s="5" t="s">
        <v>3045</v>
      </c>
      <c r="C717" s="1" t="str">
        <f aca="false">IF(B717="NEW ROUTE",1,"")</f>
        <v/>
      </c>
      <c r="E717" s="5" t="s">
        <v>3045</v>
      </c>
      <c r="F717" s="6" t="e">
        <f aca="false">VLOOKUP(E717,$K$2:$L$426,2,FALSE())</f>
        <v>#N/A</v>
      </c>
      <c r="G717" s="1" t="str">
        <f aca="false">IF(ISNA(F717),"",F717)</f>
        <v/>
      </c>
      <c r="H717" s="5" t="str">
        <f aca="false">IF(G717&lt;&gt;"",G717,E717)</f>
        <v>28, 31, RATTCHET</v>
      </c>
    </row>
    <row r="718" customFormat="false" ht="12.75" hidden="false" customHeight="true" outlineLevel="0" collapsed="false">
      <c r="A718" s="4" t="s">
        <v>2812</v>
      </c>
      <c r="B718" s="5" t="n">
        <v>0.01</v>
      </c>
      <c r="C718" s="1" t="str">
        <f aca="false">IF(B718="NEW ROUTE",1,"")</f>
        <v/>
      </c>
      <c r="E718" s="5" t="n">
        <v>0.01</v>
      </c>
      <c r="F718" s="6" t="e">
        <f aca="false">VLOOKUP(E718,$K$2:$L$426,2,FALSE())</f>
        <v>#N/A</v>
      </c>
      <c r="G718" s="1" t="str">
        <f aca="false">IF(ISNA(F718),"",F718)</f>
        <v/>
      </c>
      <c r="H718" s="5" t="n">
        <f aca="false">IF(G718&lt;&gt;"",G718,E718)</f>
        <v>0.01</v>
      </c>
    </row>
    <row r="719" customFormat="false" ht="12.75" hidden="false" customHeight="true" outlineLevel="0" collapsed="false">
      <c r="A719" s="4" t="s">
        <v>3046</v>
      </c>
      <c r="B719" s="5" t="s">
        <v>3046</v>
      </c>
      <c r="C719" s="1" t="str">
        <f aca="false">IF(B719="NEW ROUTE",1,"")</f>
        <v/>
      </c>
      <c r="E719" s="5" t="s">
        <v>3046</v>
      </c>
      <c r="F719" s="6" t="e">
        <f aca="false">VLOOKUP(E719,$K$2:$L$426,2,FALSE())</f>
        <v>#N/A</v>
      </c>
      <c r="G719" s="1" t="str">
        <f aca="false">IF(ISNA(F719),"",F719)</f>
        <v/>
      </c>
      <c r="H719" s="5" t="str">
        <f aca="false">IF(G719&lt;&gt;"",G719,E719)</f>
        <v>33, 33, HAUNTER</v>
      </c>
    </row>
    <row r="720" customFormat="false" ht="12.75" hidden="false" customHeight="true" outlineLevel="0" collapsed="false">
      <c r="A720" s="4" t="s">
        <v>3717</v>
      </c>
      <c r="B720" s="5" t="s">
        <v>3717</v>
      </c>
      <c r="C720" s="1" t="str">
        <f aca="false">IF(B720="NEW ROUTE",1,"")</f>
        <v/>
      </c>
      <c r="E720" s="5" t="s">
        <v>3717</v>
      </c>
      <c r="F720" s="6" t="e">
        <f aca="false">VLOOKUP(E720,$K$2:$L$426,2,FALSE())</f>
        <v>#N/A</v>
      </c>
      <c r="G720" s="1" t="str">
        <f aca="false">IF(ISNA(F720),"",F720)</f>
        <v/>
      </c>
      <c r="H720" s="5" t="str">
        <f aca="false">IF(G720&lt;&gt;"",G720,E720)</f>
        <v>32, 33, NINETALES</v>
      </c>
    </row>
    <row r="721" customFormat="false" ht="12.75" hidden="false" customHeight="true" outlineLevel="0" collapsed="false">
      <c r="A721" s="4" t="s">
        <v>2536</v>
      </c>
      <c r="B721" s="5" t="s">
        <v>2536</v>
      </c>
      <c r="C721" s="1" t="n">
        <f aca="false">IF(B721="NEW ROUTE",1,"")</f>
        <v>1</v>
      </c>
      <c r="E721" s="5" t="s">
        <v>2536</v>
      </c>
      <c r="F721" s="6" t="e">
        <f aca="false">VLOOKUP(E721,$K$2:$L$426,2,FALSE())</f>
        <v>#N/A</v>
      </c>
      <c r="G721" s="1" t="str">
        <f aca="false">IF(ISNA(F721),"",F721)</f>
        <v/>
      </c>
      <c r="H721" s="5" t="str">
        <f aca="false">IF(G721&lt;&gt;"",G721,E721)</f>
        <v>NEW ROUTE</v>
      </c>
    </row>
    <row r="722" customFormat="false" ht="12.75" hidden="false" customHeight="true" outlineLevel="0" collapsed="false">
      <c r="A722" s="4" t="s">
        <v>198</v>
      </c>
      <c r="B722" s="5" t="s">
        <v>198</v>
      </c>
      <c r="C722" s="1" t="str">
        <f aca="false">IF(B722="NEW ROUTE",1,"")</f>
        <v/>
      </c>
      <c r="E722" s="5" t="s">
        <v>198</v>
      </c>
      <c r="F722" s="6" t="str">
        <f aca="false">VLOOKUP(E722,$K$2:$L$426,2,FALSE())</f>
        <v>Pokémon Tower 6F</v>
      </c>
      <c r="G722" s="1" t="str">
        <f aca="false">IF(ISNA(F722),"",F722)</f>
        <v>Pokémon Tower 6F</v>
      </c>
      <c r="H722" s="5" t="str">
        <f aca="false">IF(G722&lt;&gt;"",G722,E722)</f>
        <v>Pokémon Tower 6F</v>
      </c>
    </row>
    <row r="723" customFormat="false" ht="12.75" hidden="false" customHeight="true" outlineLevel="0" collapsed="false">
      <c r="A723" s="4" t="s">
        <v>2799</v>
      </c>
      <c r="B723" s="5" t="n">
        <v>0.2</v>
      </c>
      <c r="C723" s="1" t="str">
        <f aca="false">IF(B723="NEW ROUTE",1,"")</f>
        <v/>
      </c>
      <c r="E723" s="5" t="n">
        <v>0.2</v>
      </c>
      <c r="F723" s="6" t="e">
        <f aca="false">VLOOKUP(E723,$K$2:$L$426,2,FALSE())</f>
        <v>#N/A</v>
      </c>
      <c r="G723" s="1" t="str">
        <f aca="false">IF(ISNA(F723),"",F723)</f>
        <v/>
      </c>
      <c r="H723" s="5" t="n">
        <f aca="false">IF(G723&lt;&gt;"",G723,E723)</f>
        <v>0.2</v>
      </c>
    </row>
    <row r="724" customFormat="false" ht="12.75" hidden="false" customHeight="true" outlineLevel="0" collapsed="false">
      <c r="A724" s="4" t="s">
        <v>1463</v>
      </c>
      <c r="B724" s="5" t="s">
        <v>1463</v>
      </c>
      <c r="C724" s="1" t="str">
        <f aca="false">IF(B724="NEW ROUTE",1,"")</f>
        <v/>
      </c>
      <c r="E724" s="5" t="s">
        <v>1463</v>
      </c>
      <c r="F724" s="6" t="e">
        <f aca="false">VLOOKUP(E724,$K$2:$L$426,2,FALSE())</f>
        <v>#N/A</v>
      </c>
      <c r="G724" s="1" t="str">
        <f aca="false">IF(ISNA(F724),"",F724)</f>
        <v/>
      </c>
      <c r="H724" s="5" t="str">
        <f aca="false">IF(G724&lt;&gt;"",G724,E724)</f>
        <v>28, 31, GASTLY</v>
      </c>
    </row>
    <row r="725" customFormat="false" ht="12.75" hidden="false" customHeight="true" outlineLevel="0" collapsed="false">
      <c r="A725" s="4" t="s">
        <v>3037</v>
      </c>
      <c r="B725" s="5" t="s">
        <v>3037</v>
      </c>
      <c r="C725" s="1" t="str">
        <f aca="false">IF(B725="NEW ROUTE",1,"")</f>
        <v/>
      </c>
      <c r="E725" s="5" t="s">
        <v>3037</v>
      </c>
      <c r="F725" s="6" t="e">
        <f aca="false">VLOOKUP(E725,$K$2:$L$426,2,FALSE())</f>
        <v>#N/A</v>
      </c>
      <c r="G725" s="1" t="str">
        <f aca="false">IF(ISNA(F725),"",F725)</f>
        <v/>
      </c>
      <c r="H725" s="5" t="str">
        <f aca="false">IF(G725&lt;&gt;"",G725,E725)</f>
        <v>29, 32, RATTATA</v>
      </c>
    </row>
    <row r="726" customFormat="false" ht="12.75" hidden="false" customHeight="true" outlineLevel="0" collapsed="false">
      <c r="A726" s="4" t="s">
        <v>2801</v>
      </c>
      <c r="B726" s="5" t="n">
        <v>0.1</v>
      </c>
      <c r="C726" s="1" t="str">
        <f aca="false">IF(B726="NEW ROUTE",1,"")</f>
        <v/>
      </c>
      <c r="E726" s="5" t="n">
        <v>0.1</v>
      </c>
      <c r="F726" s="6" t="e">
        <f aca="false">VLOOKUP(E726,$K$2:$L$426,2,FALSE())</f>
        <v>#N/A</v>
      </c>
      <c r="G726" s="1" t="str">
        <f aca="false">IF(ISNA(F726),"",F726)</f>
        <v/>
      </c>
      <c r="H726" s="5" t="n">
        <f aca="false">IF(G726&lt;&gt;"",G726,E726)</f>
        <v>0.1</v>
      </c>
    </row>
    <row r="727" customFormat="false" ht="12.75" hidden="false" customHeight="true" outlineLevel="0" collapsed="false">
      <c r="A727" s="4" t="s">
        <v>3038</v>
      </c>
      <c r="B727" s="5" t="s">
        <v>3038</v>
      </c>
      <c r="C727" s="1" t="str">
        <f aca="false">IF(B727="NEW ROUTE",1,"")</f>
        <v/>
      </c>
      <c r="E727" s="5" t="s">
        <v>3038</v>
      </c>
      <c r="F727" s="6" t="e">
        <f aca="false">VLOOKUP(E727,$K$2:$L$426,2,FALSE())</f>
        <v>#N/A</v>
      </c>
      <c r="G727" s="1" t="str">
        <f aca="false">IF(ISNA(F727),"",F727)</f>
        <v/>
      </c>
      <c r="H727" s="5" t="str">
        <f aca="false">IF(G727&lt;&gt;"",G727,E727)</f>
        <v>27, 31, CUBONE</v>
      </c>
    </row>
    <row r="728" customFormat="false" ht="12.75" hidden="false" customHeight="true" outlineLevel="0" collapsed="false">
      <c r="A728" s="4" t="s">
        <v>3039</v>
      </c>
      <c r="B728" s="5" t="s">
        <v>3039</v>
      </c>
      <c r="C728" s="1" t="str">
        <f aca="false">IF(B728="NEW ROUTE",1,"")</f>
        <v/>
      </c>
      <c r="E728" s="5" t="s">
        <v>3039</v>
      </c>
      <c r="F728" s="6" t="e">
        <f aca="false">VLOOKUP(E728,$K$2:$L$426,2,FALSE())</f>
        <v>#N/A</v>
      </c>
      <c r="G728" s="1" t="str">
        <f aca="false">IF(ISNA(F728),"",F728)</f>
        <v/>
      </c>
      <c r="H728" s="5" t="str">
        <f aca="false">IF(G728&lt;&gt;"",G728,E728)</f>
        <v>29, 32, HAUNTER</v>
      </c>
    </row>
    <row r="729" customFormat="false" ht="12.75" hidden="false" customHeight="true" outlineLevel="0" collapsed="false">
      <c r="A729" s="4" t="s">
        <v>3040</v>
      </c>
      <c r="B729" s="5" t="s">
        <v>3040</v>
      </c>
      <c r="C729" s="1" t="str">
        <f aca="false">IF(B729="NEW ROUTE",1,"")</f>
        <v/>
      </c>
      <c r="E729" s="5" t="s">
        <v>3040</v>
      </c>
      <c r="F729" s="6" t="e">
        <f aca="false">VLOOKUP(E729,$K$2:$L$426,2,FALSE())</f>
        <v>#N/A</v>
      </c>
      <c r="G729" s="1" t="str">
        <f aca="false">IF(ISNA(F729),"",F729)</f>
        <v/>
      </c>
      <c r="H729" s="5" t="str">
        <f aca="false">IF(G729&lt;&gt;"",G729,E729)</f>
        <v>28, 31, DROWZEE</v>
      </c>
    </row>
    <row r="730" customFormat="false" ht="12.75" hidden="false" customHeight="true" outlineLevel="0" collapsed="false">
      <c r="A730" s="4" t="s">
        <v>3041</v>
      </c>
      <c r="B730" s="5" t="s">
        <v>3041</v>
      </c>
      <c r="C730" s="1" t="str">
        <f aca="false">IF(B730="NEW ROUTE",1,"")</f>
        <v/>
      </c>
      <c r="E730" s="5" t="s">
        <v>3041</v>
      </c>
      <c r="F730" s="6" t="e">
        <f aca="false">VLOOKUP(E730,$K$2:$L$426,2,FALSE())</f>
        <v>#N/A</v>
      </c>
      <c r="G730" s="1" t="str">
        <f aca="false">IF(ISNA(F730),"",F730)</f>
        <v/>
      </c>
      <c r="H730" s="5" t="str">
        <f aca="false">IF(G730&lt;&gt;"",G730,E730)</f>
        <v>28, 31, VULPIX</v>
      </c>
    </row>
    <row r="731" customFormat="false" ht="12.75" hidden="false" customHeight="true" outlineLevel="0" collapsed="false">
      <c r="A731" s="4" t="s">
        <v>2806</v>
      </c>
      <c r="B731" s="5" t="n">
        <v>0.05</v>
      </c>
      <c r="C731" s="1" t="str">
        <f aca="false">IF(B731="NEW ROUTE",1,"")</f>
        <v/>
      </c>
      <c r="E731" s="5" t="n">
        <v>0.05</v>
      </c>
      <c r="F731" s="6" t="e">
        <f aca="false">VLOOKUP(E731,$K$2:$L$426,2,FALSE())</f>
        <v>#N/A</v>
      </c>
      <c r="G731" s="1" t="str">
        <f aca="false">IF(ISNA(F731),"",F731)</f>
        <v/>
      </c>
      <c r="H731" s="5" t="n">
        <f aca="false">IF(G731&lt;&gt;"",G731,E731)</f>
        <v>0.05</v>
      </c>
    </row>
    <row r="732" customFormat="false" ht="12.75" hidden="false" customHeight="true" outlineLevel="0" collapsed="false">
      <c r="A732" s="4" t="s">
        <v>3042</v>
      </c>
      <c r="B732" s="5" t="s">
        <v>3042</v>
      </c>
      <c r="C732" s="1" t="str">
        <f aca="false">IF(B732="NEW ROUTE",1,"")</f>
        <v/>
      </c>
      <c r="E732" s="5" t="s">
        <v>3042</v>
      </c>
      <c r="F732" s="6" t="e">
        <f aca="false">VLOOKUP(E732,$K$2:$L$426,2,FALSE())</f>
        <v>#N/A</v>
      </c>
      <c r="G732" s="1" t="str">
        <f aca="false">IF(ISNA(F732),"",F732)</f>
        <v/>
      </c>
      <c r="H732" s="5" t="str">
        <f aca="false">IF(G732&lt;&gt;"",G732,E732)</f>
        <v>29, 32, HYPNO</v>
      </c>
    </row>
    <row r="733" customFormat="false" ht="12.75" hidden="false" customHeight="true" outlineLevel="0" collapsed="false">
      <c r="A733" s="4" t="s">
        <v>3043</v>
      </c>
      <c r="B733" s="5" t="s">
        <v>3043</v>
      </c>
      <c r="C733" s="1" t="str">
        <f aca="false">IF(B733="NEW ROUTE",1,"")</f>
        <v/>
      </c>
      <c r="E733" s="5" t="s">
        <v>3043</v>
      </c>
      <c r="F733" s="6" t="e">
        <f aca="false">VLOOKUP(E733,$K$2:$L$426,2,FALSE())</f>
        <v>#N/A</v>
      </c>
      <c r="G733" s="1" t="str">
        <f aca="false">IF(ISNA(F733),"",F733)</f>
        <v/>
      </c>
      <c r="H733" s="5" t="str">
        <f aca="false">IF(G733&lt;&gt;"",G733,E733)</f>
        <v>28, 31, RATICATE</v>
      </c>
    </row>
    <row r="734" customFormat="false" ht="12.75" hidden="false" customHeight="true" outlineLevel="0" collapsed="false">
      <c r="A734" s="4" t="s">
        <v>2809</v>
      </c>
      <c r="B734" s="5" t="n">
        <v>0.04</v>
      </c>
      <c r="C734" s="1" t="str">
        <f aca="false">IF(B734="NEW ROUTE",1,"")</f>
        <v/>
      </c>
      <c r="E734" s="5" t="n">
        <v>0.04</v>
      </c>
      <c r="F734" s="6" t="e">
        <f aca="false">VLOOKUP(E734,$K$2:$L$426,2,FALSE())</f>
        <v>#N/A</v>
      </c>
      <c r="G734" s="1" t="str">
        <f aca="false">IF(ISNA(F734),"",F734)</f>
        <v/>
      </c>
      <c r="H734" s="5" t="n">
        <f aca="false">IF(G734&lt;&gt;"",G734,E734)</f>
        <v>0.04</v>
      </c>
    </row>
    <row r="735" customFormat="false" ht="12.75" hidden="false" customHeight="true" outlineLevel="0" collapsed="false">
      <c r="A735" s="4" t="s">
        <v>3044</v>
      </c>
      <c r="B735" s="5" t="s">
        <v>3044</v>
      </c>
      <c r="C735" s="1" t="str">
        <f aca="false">IF(B735="NEW ROUTE",1,"")</f>
        <v/>
      </c>
      <c r="E735" s="5" t="s">
        <v>3044</v>
      </c>
      <c r="F735" s="6" t="e">
        <f aca="false">VLOOKUP(E735,$K$2:$L$426,2,FALSE())</f>
        <v>#N/A</v>
      </c>
      <c r="G735" s="1" t="str">
        <f aca="false">IF(ISNA(F735),"",F735)</f>
        <v/>
      </c>
      <c r="H735" s="5" t="str">
        <f aca="false">IF(G735&lt;&gt;"",G735,E735)</f>
        <v>29, 32, MAROWAK</v>
      </c>
    </row>
    <row r="736" customFormat="false" ht="12.75" hidden="false" customHeight="true" outlineLevel="0" collapsed="false">
      <c r="A736" s="4" t="s">
        <v>3045</v>
      </c>
      <c r="B736" s="5" t="s">
        <v>3045</v>
      </c>
      <c r="C736" s="1" t="str">
        <f aca="false">IF(B736="NEW ROUTE",1,"")</f>
        <v/>
      </c>
      <c r="E736" s="5" t="s">
        <v>3045</v>
      </c>
      <c r="F736" s="6" t="e">
        <f aca="false">VLOOKUP(E736,$K$2:$L$426,2,FALSE())</f>
        <v>#N/A</v>
      </c>
      <c r="G736" s="1" t="str">
        <f aca="false">IF(ISNA(F736),"",F736)</f>
        <v/>
      </c>
      <c r="H736" s="5" t="str">
        <f aca="false">IF(G736&lt;&gt;"",G736,E736)</f>
        <v>28, 31, RATTCHET</v>
      </c>
    </row>
    <row r="737" customFormat="false" ht="12.75" hidden="false" customHeight="true" outlineLevel="0" collapsed="false">
      <c r="A737" s="4" t="s">
        <v>2812</v>
      </c>
      <c r="B737" s="5" t="n">
        <v>0.01</v>
      </c>
      <c r="C737" s="1" t="str">
        <f aca="false">IF(B737="NEW ROUTE",1,"")</f>
        <v/>
      </c>
      <c r="E737" s="5" t="n">
        <v>0.01</v>
      </c>
      <c r="F737" s="6" t="e">
        <f aca="false">VLOOKUP(E737,$K$2:$L$426,2,FALSE())</f>
        <v>#N/A</v>
      </c>
      <c r="G737" s="1" t="str">
        <f aca="false">IF(ISNA(F737),"",F737)</f>
        <v/>
      </c>
      <c r="H737" s="5" t="n">
        <f aca="false">IF(G737&lt;&gt;"",G737,E737)</f>
        <v>0.01</v>
      </c>
    </row>
    <row r="738" customFormat="false" ht="12.75" hidden="false" customHeight="true" outlineLevel="0" collapsed="false">
      <c r="A738" s="4" t="s">
        <v>3046</v>
      </c>
      <c r="B738" s="5" t="s">
        <v>3046</v>
      </c>
      <c r="C738" s="1" t="str">
        <f aca="false">IF(B738="NEW ROUTE",1,"")</f>
        <v/>
      </c>
      <c r="E738" s="5" t="s">
        <v>3046</v>
      </c>
      <c r="F738" s="6" t="e">
        <f aca="false">VLOOKUP(E738,$K$2:$L$426,2,FALSE())</f>
        <v>#N/A</v>
      </c>
      <c r="G738" s="1" t="str">
        <f aca="false">IF(ISNA(F738),"",F738)</f>
        <v/>
      </c>
      <c r="H738" s="5" t="str">
        <f aca="false">IF(G738&lt;&gt;"",G738,E738)</f>
        <v>33, 33, HAUNTER</v>
      </c>
    </row>
    <row r="739" customFormat="false" ht="12.75" hidden="false" customHeight="true" outlineLevel="0" collapsed="false">
      <c r="A739" s="4" t="s">
        <v>3717</v>
      </c>
      <c r="B739" s="5" t="s">
        <v>3717</v>
      </c>
      <c r="C739" s="1" t="str">
        <f aca="false">IF(B739="NEW ROUTE",1,"")</f>
        <v/>
      </c>
      <c r="E739" s="5" t="s">
        <v>3717</v>
      </c>
      <c r="F739" s="6" t="e">
        <f aca="false">VLOOKUP(E739,$K$2:$L$426,2,FALSE())</f>
        <v>#N/A</v>
      </c>
      <c r="G739" s="1" t="str">
        <f aca="false">IF(ISNA(F739),"",F739)</f>
        <v/>
      </c>
      <c r="H739" s="5" t="str">
        <f aca="false">IF(G739&lt;&gt;"",G739,E739)</f>
        <v>32, 33, NINETALES</v>
      </c>
    </row>
    <row r="740" customFormat="false" ht="12.75" hidden="false" customHeight="true" outlineLevel="0" collapsed="false">
      <c r="A740" s="4" t="s">
        <v>2536</v>
      </c>
      <c r="B740" s="5" t="s">
        <v>2536</v>
      </c>
      <c r="C740" s="1" t="n">
        <f aca="false">IF(B740="NEW ROUTE",1,"")</f>
        <v>1</v>
      </c>
      <c r="E740" s="5" t="s">
        <v>2536</v>
      </c>
      <c r="F740" s="6" t="e">
        <f aca="false">VLOOKUP(E740,$K$2:$L$426,2,FALSE())</f>
        <v>#N/A</v>
      </c>
      <c r="G740" s="1" t="str">
        <f aca="false">IF(ISNA(F740),"",F740)</f>
        <v/>
      </c>
      <c r="H740" s="5" t="str">
        <f aca="false">IF(G740&lt;&gt;"",G740,E740)</f>
        <v>NEW ROUTE</v>
      </c>
    </row>
    <row r="741" customFormat="false" ht="12.75" hidden="false" customHeight="true" outlineLevel="0" collapsed="false">
      <c r="A741" s="4" t="s">
        <v>200</v>
      </c>
      <c r="B741" s="5" t="s">
        <v>200</v>
      </c>
      <c r="C741" s="1" t="str">
        <f aca="false">IF(B741="NEW ROUTE",1,"")</f>
        <v/>
      </c>
      <c r="E741" s="5" t="s">
        <v>200</v>
      </c>
      <c r="F741" s="6" t="str">
        <f aca="false">VLOOKUP(E741,$K$2:$L$426,2,FALSE())</f>
        <v>Pokémon Tower 7F</v>
      </c>
      <c r="G741" s="1" t="str">
        <f aca="false">IF(ISNA(F741),"",F741)</f>
        <v>Pokémon Tower 7F</v>
      </c>
      <c r="H741" s="5" t="str">
        <f aca="false">IF(G741&lt;&gt;"",G741,E741)</f>
        <v>Pokémon Tower 7F</v>
      </c>
    </row>
    <row r="742" customFormat="false" ht="12.75" hidden="false" customHeight="true" outlineLevel="0" collapsed="false">
      <c r="A742" s="4" t="s">
        <v>2799</v>
      </c>
      <c r="B742" s="5" t="n">
        <v>0.2</v>
      </c>
      <c r="C742" s="1" t="str">
        <f aca="false">IF(B742="NEW ROUTE",1,"")</f>
        <v/>
      </c>
      <c r="E742" s="5" t="n">
        <v>0.2</v>
      </c>
      <c r="F742" s="6" t="e">
        <f aca="false">VLOOKUP(E742,$K$2:$L$426,2,FALSE())</f>
        <v>#N/A</v>
      </c>
      <c r="G742" s="1" t="str">
        <f aca="false">IF(ISNA(F742),"",F742)</f>
        <v/>
      </c>
      <c r="H742" s="5" t="n">
        <f aca="false">IF(G742&lt;&gt;"",G742,E742)</f>
        <v>0.2</v>
      </c>
    </row>
    <row r="743" customFormat="false" ht="12.75" hidden="false" customHeight="true" outlineLevel="0" collapsed="false">
      <c r="A743" s="4" t="s">
        <v>1463</v>
      </c>
      <c r="B743" s="5" t="s">
        <v>1463</v>
      </c>
      <c r="C743" s="1" t="str">
        <f aca="false">IF(B743="NEW ROUTE",1,"")</f>
        <v/>
      </c>
      <c r="E743" s="5" t="s">
        <v>1463</v>
      </c>
      <c r="F743" s="6" t="e">
        <f aca="false">VLOOKUP(E743,$K$2:$L$426,2,FALSE())</f>
        <v>#N/A</v>
      </c>
      <c r="G743" s="1" t="str">
        <f aca="false">IF(ISNA(F743),"",F743)</f>
        <v/>
      </c>
      <c r="H743" s="5" t="str">
        <f aca="false">IF(G743&lt;&gt;"",G743,E743)</f>
        <v>28, 31, GASTLY</v>
      </c>
    </row>
    <row r="744" customFormat="false" ht="12.75" hidden="false" customHeight="true" outlineLevel="0" collapsed="false">
      <c r="A744" s="4" t="s">
        <v>3037</v>
      </c>
      <c r="B744" s="5" t="s">
        <v>3037</v>
      </c>
      <c r="C744" s="1" t="str">
        <f aca="false">IF(B744="NEW ROUTE",1,"")</f>
        <v/>
      </c>
      <c r="E744" s="5" t="s">
        <v>3037</v>
      </c>
      <c r="F744" s="6" t="e">
        <f aca="false">VLOOKUP(E744,$K$2:$L$426,2,FALSE())</f>
        <v>#N/A</v>
      </c>
      <c r="G744" s="1" t="str">
        <f aca="false">IF(ISNA(F744),"",F744)</f>
        <v/>
      </c>
      <c r="H744" s="5" t="str">
        <f aca="false">IF(G744&lt;&gt;"",G744,E744)</f>
        <v>29, 32, RATTATA</v>
      </c>
    </row>
    <row r="745" customFormat="false" ht="12.75" hidden="false" customHeight="true" outlineLevel="0" collapsed="false">
      <c r="A745" s="4" t="s">
        <v>2801</v>
      </c>
      <c r="B745" s="5" t="n">
        <v>0.1</v>
      </c>
      <c r="C745" s="1" t="str">
        <f aca="false">IF(B745="NEW ROUTE",1,"")</f>
        <v/>
      </c>
      <c r="E745" s="5" t="n">
        <v>0.1</v>
      </c>
      <c r="F745" s="6" t="e">
        <f aca="false">VLOOKUP(E745,$K$2:$L$426,2,FALSE())</f>
        <v>#N/A</v>
      </c>
      <c r="G745" s="1" t="str">
        <f aca="false">IF(ISNA(F745),"",F745)</f>
        <v/>
      </c>
      <c r="H745" s="5" t="n">
        <f aca="false">IF(G745&lt;&gt;"",G745,E745)</f>
        <v>0.1</v>
      </c>
    </row>
    <row r="746" customFormat="false" ht="12.75" hidden="false" customHeight="true" outlineLevel="0" collapsed="false">
      <c r="A746" s="4" t="s">
        <v>3038</v>
      </c>
      <c r="B746" s="5" t="s">
        <v>3038</v>
      </c>
      <c r="C746" s="1" t="str">
        <f aca="false">IF(B746="NEW ROUTE",1,"")</f>
        <v/>
      </c>
      <c r="E746" s="5" t="s">
        <v>3038</v>
      </c>
      <c r="F746" s="6" t="e">
        <f aca="false">VLOOKUP(E746,$K$2:$L$426,2,FALSE())</f>
        <v>#N/A</v>
      </c>
      <c r="G746" s="1" t="str">
        <f aca="false">IF(ISNA(F746),"",F746)</f>
        <v/>
      </c>
      <c r="H746" s="5" t="str">
        <f aca="false">IF(G746&lt;&gt;"",G746,E746)</f>
        <v>27, 31, CUBONE</v>
      </c>
    </row>
    <row r="747" customFormat="false" ht="12.75" hidden="false" customHeight="true" outlineLevel="0" collapsed="false">
      <c r="A747" s="4" t="s">
        <v>3039</v>
      </c>
      <c r="B747" s="5" t="s">
        <v>3039</v>
      </c>
      <c r="C747" s="1" t="str">
        <f aca="false">IF(B747="NEW ROUTE",1,"")</f>
        <v/>
      </c>
      <c r="E747" s="5" t="s">
        <v>3039</v>
      </c>
      <c r="F747" s="6" t="e">
        <f aca="false">VLOOKUP(E747,$K$2:$L$426,2,FALSE())</f>
        <v>#N/A</v>
      </c>
      <c r="G747" s="1" t="str">
        <f aca="false">IF(ISNA(F747),"",F747)</f>
        <v/>
      </c>
      <c r="H747" s="5" t="str">
        <f aca="false">IF(G747&lt;&gt;"",G747,E747)</f>
        <v>29, 32, HAUNTER</v>
      </c>
    </row>
    <row r="748" customFormat="false" ht="12.75" hidden="false" customHeight="true" outlineLevel="0" collapsed="false">
      <c r="A748" s="4" t="s">
        <v>3040</v>
      </c>
      <c r="B748" s="5" t="s">
        <v>3040</v>
      </c>
      <c r="C748" s="1" t="str">
        <f aca="false">IF(B748="NEW ROUTE",1,"")</f>
        <v/>
      </c>
      <c r="E748" s="5" t="s">
        <v>3040</v>
      </c>
      <c r="F748" s="6" t="e">
        <f aca="false">VLOOKUP(E748,$K$2:$L$426,2,FALSE())</f>
        <v>#N/A</v>
      </c>
      <c r="G748" s="1" t="str">
        <f aca="false">IF(ISNA(F748),"",F748)</f>
        <v/>
      </c>
      <c r="H748" s="5" t="str">
        <f aca="false">IF(G748&lt;&gt;"",G748,E748)</f>
        <v>28, 31, DROWZEE</v>
      </c>
    </row>
    <row r="749" customFormat="false" ht="12.75" hidden="false" customHeight="true" outlineLevel="0" collapsed="false">
      <c r="A749" s="4" t="s">
        <v>3041</v>
      </c>
      <c r="B749" s="5" t="s">
        <v>3041</v>
      </c>
      <c r="C749" s="1" t="str">
        <f aca="false">IF(B749="NEW ROUTE",1,"")</f>
        <v/>
      </c>
      <c r="E749" s="5" t="s">
        <v>3041</v>
      </c>
      <c r="F749" s="6" t="e">
        <f aca="false">VLOOKUP(E749,$K$2:$L$426,2,FALSE())</f>
        <v>#N/A</v>
      </c>
      <c r="G749" s="1" t="str">
        <f aca="false">IF(ISNA(F749),"",F749)</f>
        <v/>
      </c>
      <c r="H749" s="5" t="str">
        <f aca="false">IF(G749&lt;&gt;"",G749,E749)</f>
        <v>28, 31, VULPIX</v>
      </c>
    </row>
    <row r="750" customFormat="false" ht="12.75" hidden="false" customHeight="true" outlineLevel="0" collapsed="false">
      <c r="A750" s="4" t="s">
        <v>2806</v>
      </c>
      <c r="B750" s="5" t="n">
        <v>0.05</v>
      </c>
      <c r="C750" s="1" t="str">
        <f aca="false">IF(B750="NEW ROUTE",1,"")</f>
        <v/>
      </c>
      <c r="E750" s="5" t="n">
        <v>0.05</v>
      </c>
      <c r="F750" s="6" t="e">
        <f aca="false">VLOOKUP(E750,$K$2:$L$426,2,FALSE())</f>
        <v>#N/A</v>
      </c>
      <c r="G750" s="1" t="str">
        <f aca="false">IF(ISNA(F750),"",F750)</f>
        <v/>
      </c>
      <c r="H750" s="5" t="n">
        <f aca="false">IF(G750&lt;&gt;"",G750,E750)</f>
        <v>0.05</v>
      </c>
    </row>
    <row r="751" customFormat="false" ht="12.75" hidden="false" customHeight="true" outlineLevel="0" collapsed="false">
      <c r="A751" s="4" t="s">
        <v>3042</v>
      </c>
      <c r="B751" s="5" t="s">
        <v>3042</v>
      </c>
      <c r="C751" s="1" t="str">
        <f aca="false">IF(B751="NEW ROUTE",1,"")</f>
        <v/>
      </c>
      <c r="E751" s="5" t="s">
        <v>3042</v>
      </c>
      <c r="F751" s="6" t="e">
        <f aca="false">VLOOKUP(E751,$K$2:$L$426,2,FALSE())</f>
        <v>#N/A</v>
      </c>
      <c r="G751" s="1" t="str">
        <f aca="false">IF(ISNA(F751),"",F751)</f>
        <v/>
      </c>
      <c r="H751" s="5" t="str">
        <f aca="false">IF(G751&lt;&gt;"",G751,E751)</f>
        <v>29, 32, HYPNO</v>
      </c>
    </row>
    <row r="752" customFormat="false" ht="12.75" hidden="false" customHeight="true" outlineLevel="0" collapsed="false">
      <c r="A752" s="4" t="s">
        <v>3043</v>
      </c>
      <c r="B752" s="5" t="s">
        <v>3043</v>
      </c>
      <c r="C752" s="1" t="str">
        <f aca="false">IF(B752="NEW ROUTE",1,"")</f>
        <v/>
      </c>
      <c r="E752" s="5" t="s">
        <v>3043</v>
      </c>
      <c r="F752" s="6" t="e">
        <f aca="false">VLOOKUP(E752,$K$2:$L$426,2,FALSE())</f>
        <v>#N/A</v>
      </c>
      <c r="G752" s="1" t="str">
        <f aca="false">IF(ISNA(F752),"",F752)</f>
        <v/>
      </c>
      <c r="H752" s="5" t="str">
        <f aca="false">IF(G752&lt;&gt;"",G752,E752)</f>
        <v>28, 31, RATICATE</v>
      </c>
    </row>
    <row r="753" customFormat="false" ht="12.75" hidden="false" customHeight="true" outlineLevel="0" collapsed="false">
      <c r="A753" s="4" t="s">
        <v>2809</v>
      </c>
      <c r="B753" s="5" t="n">
        <v>0.04</v>
      </c>
      <c r="C753" s="1" t="str">
        <f aca="false">IF(B753="NEW ROUTE",1,"")</f>
        <v/>
      </c>
      <c r="E753" s="5" t="n">
        <v>0.04</v>
      </c>
      <c r="F753" s="6" t="e">
        <f aca="false">VLOOKUP(E753,$K$2:$L$426,2,FALSE())</f>
        <v>#N/A</v>
      </c>
      <c r="G753" s="1" t="str">
        <f aca="false">IF(ISNA(F753),"",F753)</f>
        <v/>
      </c>
      <c r="H753" s="5" t="n">
        <f aca="false">IF(G753&lt;&gt;"",G753,E753)</f>
        <v>0.04</v>
      </c>
    </row>
    <row r="754" customFormat="false" ht="12.75" hidden="false" customHeight="true" outlineLevel="0" collapsed="false">
      <c r="A754" s="4" t="s">
        <v>3044</v>
      </c>
      <c r="B754" s="5" t="s">
        <v>3044</v>
      </c>
      <c r="C754" s="1" t="str">
        <f aca="false">IF(B754="NEW ROUTE",1,"")</f>
        <v/>
      </c>
      <c r="E754" s="5" t="s">
        <v>3044</v>
      </c>
      <c r="F754" s="6" t="e">
        <f aca="false">VLOOKUP(E754,$K$2:$L$426,2,FALSE())</f>
        <v>#N/A</v>
      </c>
      <c r="G754" s="1" t="str">
        <f aca="false">IF(ISNA(F754),"",F754)</f>
        <v/>
      </c>
      <c r="H754" s="5" t="str">
        <f aca="false">IF(G754&lt;&gt;"",G754,E754)</f>
        <v>29, 32, MAROWAK</v>
      </c>
    </row>
    <row r="755" customFormat="false" ht="12.75" hidden="false" customHeight="true" outlineLevel="0" collapsed="false">
      <c r="A755" s="4" t="s">
        <v>3045</v>
      </c>
      <c r="B755" s="5" t="s">
        <v>3045</v>
      </c>
      <c r="C755" s="1" t="str">
        <f aca="false">IF(B755="NEW ROUTE",1,"")</f>
        <v/>
      </c>
      <c r="E755" s="5" t="s">
        <v>3045</v>
      </c>
      <c r="F755" s="6" t="e">
        <f aca="false">VLOOKUP(E755,$K$2:$L$426,2,FALSE())</f>
        <v>#N/A</v>
      </c>
      <c r="G755" s="1" t="str">
        <f aca="false">IF(ISNA(F755),"",F755)</f>
        <v/>
      </c>
      <c r="H755" s="5" t="str">
        <f aca="false">IF(G755&lt;&gt;"",G755,E755)</f>
        <v>28, 31, RATTCHET</v>
      </c>
    </row>
    <row r="756" customFormat="false" ht="12.75" hidden="false" customHeight="true" outlineLevel="0" collapsed="false">
      <c r="A756" s="4" t="s">
        <v>2812</v>
      </c>
      <c r="B756" s="5" t="n">
        <v>0.01</v>
      </c>
      <c r="C756" s="1" t="str">
        <f aca="false">IF(B756="NEW ROUTE",1,"")</f>
        <v/>
      </c>
      <c r="E756" s="5" t="n">
        <v>0.01</v>
      </c>
      <c r="F756" s="6" t="e">
        <f aca="false">VLOOKUP(E756,$K$2:$L$426,2,FALSE())</f>
        <v>#N/A</v>
      </c>
      <c r="G756" s="1" t="str">
        <f aca="false">IF(ISNA(F756),"",F756)</f>
        <v/>
      </c>
      <c r="H756" s="5" t="n">
        <f aca="false">IF(G756&lt;&gt;"",G756,E756)</f>
        <v>0.01</v>
      </c>
    </row>
    <row r="757" customFormat="false" ht="12.75" hidden="false" customHeight="true" outlineLevel="0" collapsed="false">
      <c r="A757" s="4" t="s">
        <v>3056</v>
      </c>
      <c r="B757" s="5" t="s">
        <v>3056</v>
      </c>
      <c r="C757" s="1" t="str">
        <f aca="false">IF(B757="NEW ROUTE",1,"")</f>
        <v/>
      </c>
      <c r="E757" s="5" t="s">
        <v>3056</v>
      </c>
      <c r="F757" s="6" t="e">
        <f aca="false">VLOOKUP(E757,$K$2:$L$426,2,FALSE())</f>
        <v>#N/A</v>
      </c>
      <c r="G757" s="1" t="str">
        <f aca="false">IF(ISNA(F757),"",F757)</f>
        <v/>
      </c>
      <c r="H757" s="5" t="str">
        <f aca="false">IF(G757&lt;&gt;"",G757,E757)</f>
        <v>32, 33, GENGAR</v>
      </c>
    </row>
    <row r="758" customFormat="false" ht="12.75" hidden="false" customHeight="true" outlineLevel="0" collapsed="false">
      <c r="A758" s="4" t="s">
        <v>3717</v>
      </c>
      <c r="B758" s="5" t="s">
        <v>3717</v>
      </c>
      <c r="C758" s="1" t="str">
        <f aca="false">IF(B758="NEW ROUTE",1,"")</f>
        <v/>
      </c>
      <c r="E758" s="5" t="s">
        <v>3717</v>
      </c>
      <c r="F758" s="6" t="e">
        <f aca="false">VLOOKUP(E758,$K$2:$L$426,2,FALSE())</f>
        <v>#N/A</v>
      </c>
      <c r="G758" s="1" t="str">
        <f aca="false">IF(ISNA(F758),"",F758)</f>
        <v/>
      </c>
      <c r="H758" s="5" t="str">
        <f aca="false">IF(G758&lt;&gt;"",G758,E758)</f>
        <v>32, 33, NINETALES</v>
      </c>
    </row>
    <row r="759" customFormat="false" ht="12.75" hidden="false" customHeight="true" outlineLevel="0" collapsed="false">
      <c r="A759" s="4" t="s">
        <v>2536</v>
      </c>
      <c r="B759" s="5" t="s">
        <v>2536</v>
      </c>
      <c r="C759" s="1" t="n">
        <f aca="false">IF(B759="NEW ROUTE",1,"")</f>
        <v>1</v>
      </c>
      <c r="E759" s="5" t="s">
        <v>2536</v>
      </c>
      <c r="F759" s="6" t="e">
        <f aca="false">VLOOKUP(E759,$K$2:$L$426,2,FALSE())</f>
        <v>#N/A</v>
      </c>
      <c r="G759" s="1" t="str">
        <f aca="false">IF(ISNA(F759),"",F759)</f>
        <v/>
      </c>
      <c r="H759" s="5" t="str">
        <f aca="false">IF(G759&lt;&gt;"",G759,E759)</f>
        <v>NEW ROUTE</v>
      </c>
    </row>
    <row r="760" customFormat="false" ht="12.75" hidden="false" customHeight="true" outlineLevel="0" collapsed="false">
      <c r="A760" s="4" t="s">
        <v>202</v>
      </c>
      <c r="B760" s="5" t="s">
        <v>202</v>
      </c>
      <c r="C760" s="1" t="str">
        <f aca="false">IF(B760="NEW ROUTE",1,"")</f>
        <v/>
      </c>
      <c r="E760" s="5" t="s">
        <v>202</v>
      </c>
      <c r="F760" s="6" t="str">
        <f aca="false">VLOOKUP(E760,$K$2:$L$426,2,FALSE())</f>
        <v>Power Plant</v>
      </c>
      <c r="G760" s="1" t="str">
        <f aca="false">IF(ISNA(F760),"",F760)</f>
        <v>Power Plant</v>
      </c>
      <c r="H760" s="5" t="str">
        <f aca="false">IF(G760&lt;&gt;"",G760,E760)</f>
        <v>Power Plant</v>
      </c>
    </row>
    <row r="761" customFormat="false" ht="12.75" hidden="false" customHeight="true" outlineLevel="0" collapsed="false">
      <c r="A761" s="4" t="s">
        <v>2799</v>
      </c>
      <c r="B761" s="5" t="n">
        <v>0.2</v>
      </c>
      <c r="C761" s="1" t="str">
        <f aca="false">IF(B761="NEW ROUTE",1,"")</f>
        <v/>
      </c>
      <c r="E761" s="5" t="n">
        <v>0.2</v>
      </c>
      <c r="F761" s="6" t="e">
        <f aca="false">VLOOKUP(E761,$K$2:$L$426,2,FALSE())</f>
        <v>#N/A</v>
      </c>
      <c r="G761" s="1" t="str">
        <f aca="false">IF(ISNA(F761),"",F761)</f>
        <v/>
      </c>
      <c r="H761" s="5" t="n">
        <f aca="false">IF(G761&lt;&gt;"",G761,E761)</f>
        <v>0.2</v>
      </c>
    </row>
    <row r="762" customFormat="false" ht="12.75" hidden="false" customHeight="true" outlineLevel="0" collapsed="false">
      <c r="A762" s="4" t="s">
        <v>1481</v>
      </c>
      <c r="B762" s="5" t="s">
        <v>1481</v>
      </c>
      <c r="C762" s="1" t="str">
        <f aca="false">IF(B762="NEW ROUTE",1,"")</f>
        <v/>
      </c>
      <c r="E762" s="5" t="s">
        <v>1481</v>
      </c>
      <c r="F762" s="6" t="e">
        <f aca="false">VLOOKUP(E762,$K$2:$L$426,2,FALSE())</f>
        <v>#N/A</v>
      </c>
      <c r="G762" s="1" t="str">
        <f aca="false">IF(ISNA(F762),"",F762)</f>
        <v/>
      </c>
      <c r="H762" s="5" t="str">
        <f aca="false">IF(G762&lt;&gt;"",G762,E762)</f>
        <v>39, 46, MAGNEMITE</v>
      </c>
    </row>
    <row r="763" customFormat="false" ht="12.75" hidden="false" customHeight="true" outlineLevel="0" collapsed="false">
      <c r="A763" s="4" t="s">
        <v>3058</v>
      </c>
      <c r="B763" s="5" t="s">
        <v>3058</v>
      </c>
      <c r="C763" s="1" t="str">
        <f aca="false">IF(B763="NEW ROUTE",1,"")</f>
        <v/>
      </c>
      <c r="E763" s="5" t="s">
        <v>3058</v>
      </c>
      <c r="F763" s="6" t="e">
        <f aca="false">VLOOKUP(E763,$K$2:$L$426,2,FALSE())</f>
        <v>#N/A</v>
      </c>
      <c r="G763" s="1" t="str">
        <f aca="false">IF(ISNA(F763),"",F763)</f>
        <v/>
      </c>
      <c r="H763" s="5" t="str">
        <f aca="false">IF(G763&lt;&gt;"",G763,E763)</f>
        <v>39, 46, PIKACHU</v>
      </c>
    </row>
    <row r="764" customFormat="false" ht="12.75" hidden="false" customHeight="true" outlineLevel="0" collapsed="false">
      <c r="A764" s="4" t="s">
        <v>2801</v>
      </c>
      <c r="B764" s="5" t="n">
        <v>0.1</v>
      </c>
      <c r="C764" s="1" t="str">
        <f aca="false">IF(B764="NEW ROUTE",1,"")</f>
        <v/>
      </c>
      <c r="E764" s="5" t="n">
        <v>0.1</v>
      </c>
      <c r="F764" s="6" t="e">
        <f aca="false">VLOOKUP(E764,$K$2:$L$426,2,FALSE())</f>
        <v>#N/A</v>
      </c>
      <c r="G764" s="1" t="str">
        <f aca="false">IF(ISNA(F764),"",F764)</f>
        <v/>
      </c>
      <c r="H764" s="5" t="n">
        <f aca="false">IF(G764&lt;&gt;"",G764,E764)</f>
        <v>0.1</v>
      </c>
    </row>
    <row r="765" customFormat="false" ht="12.75" hidden="false" customHeight="true" outlineLevel="0" collapsed="false">
      <c r="A765" s="4" t="s">
        <v>3059</v>
      </c>
      <c r="B765" s="5" t="s">
        <v>3059</v>
      </c>
      <c r="C765" s="1" t="str">
        <f aca="false">IF(B765="NEW ROUTE",1,"")</f>
        <v/>
      </c>
      <c r="E765" s="5" t="s">
        <v>3059</v>
      </c>
      <c r="F765" s="6" t="e">
        <f aca="false">VLOOKUP(E765,$K$2:$L$426,2,FALSE())</f>
        <v>#N/A</v>
      </c>
      <c r="G765" s="1" t="str">
        <f aca="false">IF(ISNA(F765),"",F765)</f>
        <v/>
      </c>
      <c r="H765" s="5" t="str">
        <f aca="false">IF(G765&lt;&gt;"",G765,E765)</f>
        <v>41, 48, VOLTORB</v>
      </c>
    </row>
    <row r="766" customFormat="false" ht="12.75" hidden="false" customHeight="true" outlineLevel="0" collapsed="false">
      <c r="A766" s="4" t="s">
        <v>3060</v>
      </c>
      <c r="B766" s="5" t="s">
        <v>3060</v>
      </c>
      <c r="C766" s="1" t="str">
        <f aca="false">IF(B766="NEW ROUTE",1,"")</f>
        <v/>
      </c>
      <c r="E766" s="5" t="s">
        <v>3060</v>
      </c>
      <c r="F766" s="6" t="e">
        <f aca="false">VLOOKUP(E766,$K$2:$L$426,2,FALSE())</f>
        <v>#N/A</v>
      </c>
      <c r="G766" s="1" t="str">
        <f aca="false">IF(ISNA(F766),"",F766)</f>
        <v/>
      </c>
      <c r="H766" s="5" t="str">
        <f aca="false">IF(G766&lt;&gt;"",G766,E766)</f>
        <v>41, 46, ELECTABUZZ</v>
      </c>
    </row>
    <row r="767" customFormat="false" ht="12.75" hidden="false" customHeight="true" outlineLevel="0" collapsed="false">
      <c r="A767" s="4" t="s">
        <v>3061</v>
      </c>
      <c r="B767" s="5" t="s">
        <v>3061</v>
      </c>
      <c r="C767" s="1" t="str">
        <f aca="false">IF(B767="NEW ROUTE",1,"")</f>
        <v/>
      </c>
      <c r="E767" s="5" t="s">
        <v>3061</v>
      </c>
      <c r="F767" s="6" t="e">
        <f aca="false">VLOOKUP(E767,$K$2:$L$426,2,FALSE())</f>
        <v>#N/A</v>
      </c>
      <c r="G767" s="1" t="str">
        <f aca="false">IF(ISNA(F767),"",F767)</f>
        <v/>
      </c>
      <c r="H767" s="5" t="str">
        <f aca="false">IF(G767&lt;&gt;"",G767,E767)</f>
        <v>41, 48, PORYGON</v>
      </c>
    </row>
    <row r="768" customFormat="false" ht="12.75" hidden="false" customHeight="true" outlineLevel="0" collapsed="false">
      <c r="A768" s="4" t="s">
        <v>3062</v>
      </c>
      <c r="B768" s="5" t="s">
        <v>3062</v>
      </c>
      <c r="C768" s="1" t="str">
        <f aca="false">IF(B768="NEW ROUTE",1,"")</f>
        <v/>
      </c>
      <c r="E768" s="5" t="s">
        <v>3062</v>
      </c>
      <c r="F768" s="6" t="e">
        <f aca="false">VLOOKUP(E768,$K$2:$L$426,2,FALSE())</f>
        <v>#N/A</v>
      </c>
      <c r="G768" s="1" t="str">
        <f aca="false">IF(ISNA(F768),"",F768)</f>
        <v/>
      </c>
      <c r="H768" s="5" t="str">
        <f aca="false">IF(G768&lt;&gt;"",G768,E768)</f>
        <v>41, 48, MAGNETON</v>
      </c>
    </row>
    <row r="769" customFormat="false" ht="12.75" hidden="false" customHeight="true" outlineLevel="0" collapsed="false">
      <c r="A769" s="4" t="s">
        <v>2806</v>
      </c>
      <c r="B769" s="5" t="n">
        <v>0.05</v>
      </c>
      <c r="C769" s="1" t="str">
        <f aca="false">IF(B769="NEW ROUTE",1,"")</f>
        <v/>
      </c>
      <c r="E769" s="5" t="n">
        <v>0.05</v>
      </c>
      <c r="F769" s="6" t="e">
        <f aca="false">VLOOKUP(E769,$K$2:$L$426,2,FALSE())</f>
        <v>#N/A</v>
      </c>
      <c r="G769" s="1" t="str">
        <f aca="false">IF(ISNA(F769),"",F769)</f>
        <v/>
      </c>
      <c r="H769" s="5" t="n">
        <f aca="false">IF(G769&lt;&gt;"",G769,E769)</f>
        <v>0.05</v>
      </c>
    </row>
    <row r="770" customFormat="false" ht="12.75" hidden="false" customHeight="true" outlineLevel="0" collapsed="false">
      <c r="A770" s="4" t="s">
        <v>3063</v>
      </c>
      <c r="B770" s="5" t="s">
        <v>3063</v>
      </c>
      <c r="C770" s="1" t="str">
        <f aca="false">IF(B770="NEW ROUTE",1,"")</f>
        <v/>
      </c>
      <c r="E770" s="5" t="s">
        <v>3063</v>
      </c>
      <c r="F770" s="6" t="e">
        <f aca="false">VLOOKUP(E770,$K$2:$L$426,2,FALSE())</f>
        <v>#N/A</v>
      </c>
      <c r="G770" s="1" t="str">
        <f aca="false">IF(ISNA(F770),"",F770)</f>
        <v/>
      </c>
      <c r="H770" s="5" t="str">
        <f aca="false">IF(G770&lt;&gt;"",G770,E770)</f>
        <v>43, 50, PORYGON2</v>
      </c>
    </row>
    <row r="771" customFormat="false" ht="12.75" hidden="false" customHeight="true" outlineLevel="0" collapsed="false">
      <c r="A771" s="4" t="s">
        <v>3064</v>
      </c>
      <c r="B771" s="5" t="s">
        <v>3064</v>
      </c>
      <c r="C771" s="1" t="str">
        <f aca="false">IF(B771="NEW ROUTE",1,"")</f>
        <v/>
      </c>
      <c r="E771" s="5" t="s">
        <v>3064</v>
      </c>
      <c r="F771" s="6" t="e">
        <f aca="false">VLOOKUP(E771,$K$2:$L$426,2,FALSE())</f>
        <v>#N/A</v>
      </c>
      <c r="G771" s="1" t="str">
        <f aca="false">IF(ISNA(F771),"",F771)</f>
        <v/>
      </c>
      <c r="H771" s="5" t="str">
        <f aca="false">IF(G771&lt;&gt;"",G771,E771)</f>
        <v>43, 50, ELECTRODE</v>
      </c>
    </row>
    <row r="772" customFormat="false" ht="12.75" hidden="false" customHeight="true" outlineLevel="0" collapsed="false">
      <c r="A772" s="4" t="s">
        <v>2809</v>
      </c>
      <c r="B772" s="5" t="n">
        <v>0.04</v>
      </c>
      <c r="C772" s="1" t="str">
        <f aca="false">IF(B772="NEW ROUTE",1,"")</f>
        <v/>
      </c>
      <c r="E772" s="5" t="n">
        <v>0.04</v>
      </c>
      <c r="F772" s="6" t="e">
        <f aca="false">VLOOKUP(E772,$K$2:$L$426,2,FALSE())</f>
        <v>#N/A</v>
      </c>
      <c r="G772" s="1" t="str">
        <f aca="false">IF(ISNA(F772),"",F772)</f>
        <v/>
      </c>
      <c r="H772" s="5" t="n">
        <f aca="false">IF(G772&lt;&gt;"",G772,E772)</f>
        <v>0.04</v>
      </c>
    </row>
    <row r="773" customFormat="false" ht="12.75" hidden="false" customHeight="true" outlineLevel="0" collapsed="false">
      <c r="A773" s="4" t="s">
        <v>3065</v>
      </c>
      <c r="B773" s="5" t="s">
        <v>3065</v>
      </c>
      <c r="C773" s="1" t="str">
        <f aca="false">IF(B773="NEW ROUTE",1,"")</f>
        <v/>
      </c>
      <c r="E773" s="5" t="s">
        <v>3065</v>
      </c>
      <c r="F773" s="6" t="e">
        <f aca="false">VLOOKUP(E773,$K$2:$L$426,2,FALSE())</f>
        <v>#N/A</v>
      </c>
      <c r="G773" s="1" t="str">
        <f aca="false">IF(ISNA(F773),"",F773)</f>
        <v/>
      </c>
      <c r="H773" s="5" t="str">
        <f aca="false">IF(G773&lt;&gt;"",G773,E773)</f>
        <v>43, 50, JOLTEON</v>
      </c>
    </row>
    <row r="774" customFormat="false" ht="12.75" hidden="false" customHeight="true" outlineLevel="0" collapsed="false">
      <c r="A774" s="4" t="s">
        <v>3066</v>
      </c>
      <c r="B774" s="5" t="s">
        <v>3066</v>
      </c>
      <c r="C774" s="1" t="str">
        <f aca="false">IF(B774="NEW ROUTE",1,"")</f>
        <v/>
      </c>
      <c r="E774" s="5" t="s">
        <v>3066</v>
      </c>
      <c r="F774" s="6" t="e">
        <f aca="false">VLOOKUP(E774,$K$2:$L$426,2,FALSE())</f>
        <v>#N/A</v>
      </c>
      <c r="G774" s="1" t="str">
        <f aca="false">IF(ISNA(F774),"",F774)</f>
        <v/>
      </c>
      <c r="H774" s="5" t="str">
        <f aca="false">IF(G774&lt;&gt;"",G774,E774)</f>
        <v>43, 50, RAICHU</v>
      </c>
    </row>
    <row r="775" customFormat="false" ht="12.75" hidden="false" customHeight="true" outlineLevel="0" collapsed="false">
      <c r="A775" s="4" t="s">
        <v>2812</v>
      </c>
      <c r="B775" s="5" t="n">
        <v>0.01</v>
      </c>
      <c r="C775" s="1" t="str">
        <f aca="false">IF(B775="NEW ROUTE",1,"")</f>
        <v/>
      </c>
      <c r="E775" s="5" t="n">
        <v>0.01</v>
      </c>
      <c r="F775" s="6" t="e">
        <f aca="false">VLOOKUP(E775,$K$2:$L$426,2,FALSE())</f>
        <v>#N/A</v>
      </c>
      <c r="G775" s="1" t="str">
        <f aca="false">IF(ISNA(F775),"",F775)</f>
        <v/>
      </c>
      <c r="H775" s="5" t="n">
        <f aca="false">IF(G775&lt;&gt;"",G775,E775)</f>
        <v>0.01</v>
      </c>
    </row>
    <row r="776" customFormat="false" ht="12.75" hidden="false" customHeight="true" outlineLevel="0" collapsed="false">
      <c r="A776" s="4" t="s">
        <v>3067</v>
      </c>
      <c r="B776" s="5" t="s">
        <v>3067</v>
      </c>
      <c r="C776" s="1" t="str">
        <f aca="false">IF(B776="NEW ROUTE",1,"")</f>
        <v/>
      </c>
      <c r="E776" s="5" t="s">
        <v>3067</v>
      </c>
      <c r="F776" s="6" t="e">
        <f aca="false">VLOOKUP(E776,$K$2:$L$426,2,FALSE())</f>
        <v>#N/A</v>
      </c>
      <c r="G776" s="1" t="str">
        <f aca="false">IF(ISNA(F776),"",F776)</f>
        <v/>
      </c>
      <c r="H776" s="5" t="str">
        <f aca="false">IF(G776&lt;&gt;"",G776,E776)</f>
        <v>45, 52, ELECTIVIRE</v>
      </c>
    </row>
    <row r="777" customFormat="false" ht="12.75" hidden="false" customHeight="true" outlineLevel="0" collapsed="false">
      <c r="A777" s="4" t="s">
        <v>3718</v>
      </c>
      <c r="B777" s="5" t="s">
        <v>3718</v>
      </c>
      <c r="C777" s="1" t="str">
        <f aca="false">IF(B777="NEW ROUTE",1,"")</f>
        <v/>
      </c>
      <c r="E777" s="5" t="s">
        <v>3718</v>
      </c>
      <c r="F777" s="6" t="e">
        <f aca="false">VLOOKUP(E777,$K$2:$L$426,2,FALSE())</f>
        <v>#N/A</v>
      </c>
      <c r="G777" s="1" t="str">
        <f aca="false">IF(ISNA(F777),"",F777)</f>
        <v/>
      </c>
      <c r="H777" s="5" t="str">
        <f aca="false">IF(G777&lt;&gt;"",G777,E777)</f>
        <v>45, 50, MAGNEZONE</v>
      </c>
    </row>
    <row r="778" customFormat="false" ht="12.75" hidden="false" customHeight="true" outlineLevel="0" collapsed="false">
      <c r="A778" s="4" t="s">
        <v>2536</v>
      </c>
      <c r="B778" s="5" t="s">
        <v>2536</v>
      </c>
      <c r="C778" s="1" t="n">
        <f aca="false">IF(B778="NEW ROUTE",1,"")</f>
        <v>1</v>
      </c>
      <c r="E778" s="5" t="s">
        <v>2536</v>
      </c>
      <c r="F778" s="6" t="e">
        <f aca="false">VLOOKUP(E778,$K$2:$L$426,2,FALSE())</f>
        <v>#N/A</v>
      </c>
      <c r="G778" s="1" t="str">
        <f aca="false">IF(ISNA(F778),"",F778)</f>
        <v/>
      </c>
      <c r="H778" s="5" t="str">
        <f aca="false">IF(G778&lt;&gt;"",G778,E778)</f>
        <v>NEW ROUTE</v>
      </c>
    </row>
    <row r="779" customFormat="false" ht="12.75" hidden="false" customHeight="true" outlineLevel="0" collapsed="false">
      <c r="A779" s="4" t="s">
        <v>206</v>
      </c>
      <c r="B779" s="5" t="s">
        <v>206</v>
      </c>
      <c r="C779" s="1" t="str">
        <f aca="false">IF(B779="NEW ROUTE",1,"")</f>
        <v/>
      </c>
      <c r="E779" s="5" t="s">
        <v>206</v>
      </c>
      <c r="F779" s="6" t="str">
        <f aca="false">VLOOKUP(E779,$K$2:$L$426,2,FALSE())</f>
        <v>Mt. Ember Exterior</v>
      </c>
      <c r="G779" s="1" t="str">
        <f aca="false">IF(ISNA(F779),"",F779)</f>
        <v>Mt. Ember Exterior</v>
      </c>
      <c r="H779" s="5" t="str">
        <f aca="false">IF(G779&lt;&gt;"",G779,E779)</f>
        <v>Mt. Ember Exterior</v>
      </c>
    </row>
    <row r="780" customFormat="false" ht="12.75" hidden="false" customHeight="true" outlineLevel="0" collapsed="false">
      <c r="A780" s="4" t="s">
        <v>2799</v>
      </c>
      <c r="B780" s="5" t="n">
        <v>0.2</v>
      </c>
      <c r="C780" s="1" t="str">
        <f aca="false">IF(B780="NEW ROUTE",1,"")</f>
        <v/>
      </c>
      <c r="E780" s="5" t="n">
        <v>0.2</v>
      </c>
      <c r="F780" s="6" t="e">
        <f aca="false">VLOOKUP(E780,$K$2:$L$426,2,FALSE())</f>
        <v>#N/A</v>
      </c>
      <c r="G780" s="1" t="str">
        <f aca="false">IF(ISNA(F780),"",F780)</f>
        <v/>
      </c>
      <c r="H780" s="5" t="n">
        <f aca="false">IF(G780&lt;&gt;"",G780,E780)</f>
        <v>0.2</v>
      </c>
    </row>
    <row r="781" customFormat="false" ht="12.75" hidden="false" customHeight="true" outlineLevel="0" collapsed="false">
      <c r="A781" s="4" t="s">
        <v>1494</v>
      </c>
      <c r="B781" s="5" t="s">
        <v>1494</v>
      </c>
      <c r="C781" s="1" t="str">
        <f aca="false">IF(B781="NEW ROUTE",1,"")</f>
        <v/>
      </c>
      <c r="E781" s="5" t="s">
        <v>1494</v>
      </c>
      <c r="F781" s="6" t="e">
        <f aca="false">VLOOKUP(E781,$K$2:$L$426,2,FALSE())</f>
        <v>#N/A</v>
      </c>
      <c r="G781" s="1" t="str">
        <f aca="false">IF(ISNA(F781),"",F781)</f>
        <v/>
      </c>
      <c r="H781" s="5" t="str">
        <f aca="false">IF(G781&lt;&gt;"",G781,E781)</f>
        <v>30, 30, PONYTA</v>
      </c>
    </row>
    <row r="782" customFormat="false" ht="12.75" hidden="false" customHeight="true" outlineLevel="0" collapsed="false">
      <c r="A782" s="4" t="s">
        <v>3070</v>
      </c>
      <c r="B782" s="5" t="s">
        <v>3070</v>
      </c>
      <c r="C782" s="1" t="str">
        <f aca="false">IF(B782="NEW ROUTE",1,"")</f>
        <v/>
      </c>
      <c r="E782" s="5" t="s">
        <v>3070</v>
      </c>
      <c r="F782" s="6" t="e">
        <f aca="false">VLOOKUP(E782,$K$2:$L$426,2,FALSE())</f>
        <v>#N/A</v>
      </c>
      <c r="G782" s="1" t="str">
        <f aca="false">IF(ISNA(F782),"",F782)</f>
        <v/>
      </c>
      <c r="H782" s="5" t="str">
        <f aca="false">IF(G782&lt;&gt;"",G782,E782)</f>
        <v>38, 38, FEAROW</v>
      </c>
    </row>
    <row r="783" customFormat="false" ht="12.75" hidden="false" customHeight="true" outlineLevel="0" collapsed="false">
      <c r="A783" s="4" t="s">
        <v>2801</v>
      </c>
      <c r="B783" s="5" t="n">
        <v>0.1</v>
      </c>
      <c r="C783" s="1" t="str">
        <f aca="false">IF(B783="NEW ROUTE",1,"")</f>
        <v/>
      </c>
      <c r="E783" s="5" t="n">
        <v>0.1</v>
      </c>
      <c r="F783" s="6" t="e">
        <f aca="false">VLOOKUP(E783,$K$2:$L$426,2,FALSE())</f>
        <v>#N/A</v>
      </c>
      <c r="G783" s="1" t="str">
        <f aca="false">IF(ISNA(F783),"",F783)</f>
        <v/>
      </c>
      <c r="H783" s="5" t="n">
        <f aca="false">IF(G783&lt;&gt;"",G783,E783)</f>
        <v>0.1</v>
      </c>
    </row>
    <row r="784" customFormat="false" ht="12.75" hidden="false" customHeight="true" outlineLevel="0" collapsed="false">
      <c r="A784" s="4" t="s">
        <v>3071</v>
      </c>
      <c r="B784" s="5" t="s">
        <v>3071</v>
      </c>
      <c r="C784" s="1" t="str">
        <f aca="false">IF(B784="NEW ROUTE",1,"")</f>
        <v/>
      </c>
      <c r="E784" s="5" t="s">
        <v>3071</v>
      </c>
      <c r="F784" s="6" t="e">
        <f aca="false">VLOOKUP(E784,$K$2:$L$426,2,FALSE())</f>
        <v>#N/A</v>
      </c>
      <c r="G784" s="1" t="str">
        <f aca="false">IF(ISNA(F784),"",F784)</f>
        <v/>
      </c>
      <c r="H784" s="5" t="str">
        <f aca="false">IF(G784&lt;&gt;"",G784,E784)</f>
        <v>33, 33, PONYTA</v>
      </c>
    </row>
    <row r="785" customFormat="false" ht="12.75" hidden="false" customHeight="true" outlineLevel="0" collapsed="false">
      <c r="A785" s="4" t="s">
        <v>1666</v>
      </c>
      <c r="B785" s="5" t="s">
        <v>1666</v>
      </c>
      <c r="C785" s="1" t="str">
        <f aca="false">IF(B785="NEW ROUTE",1,"")</f>
        <v/>
      </c>
      <c r="E785" s="5" t="s">
        <v>1666</v>
      </c>
      <c r="F785" s="6" t="e">
        <f aca="false">VLOOKUP(E785,$K$2:$L$426,2,FALSE())</f>
        <v>#N/A</v>
      </c>
      <c r="G785" s="1" t="str">
        <f aca="false">IF(ISNA(F785),"",F785)</f>
        <v/>
      </c>
      <c r="H785" s="5" t="str">
        <f aca="false">IF(G785&lt;&gt;"",G785,E785)</f>
        <v>32, 32, SPEAROW</v>
      </c>
    </row>
    <row r="786" customFormat="false" ht="12.75" hidden="false" customHeight="true" outlineLevel="0" collapsed="false">
      <c r="A786" s="4" t="s">
        <v>3072</v>
      </c>
      <c r="B786" s="5" t="s">
        <v>3072</v>
      </c>
      <c r="C786" s="1" t="str">
        <f aca="false">IF(B786="NEW ROUTE",1,"")</f>
        <v/>
      </c>
      <c r="E786" s="5" t="s">
        <v>3072</v>
      </c>
      <c r="F786" s="6" t="e">
        <f aca="false">VLOOKUP(E786,$K$2:$L$426,2,FALSE())</f>
        <v>#N/A</v>
      </c>
      <c r="G786" s="1" t="str">
        <f aca="false">IF(ISNA(F786),"",F786)</f>
        <v/>
      </c>
      <c r="H786" s="5" t="str">
        <f aca="false">IF(G786&lt;&gt;"",G786,E786)</f>
        <v>35, 35, MACHOP</v>
      </c>
    </row>
    <row r="787" customFormat="false" ht="12.75" hidden="false" customHeight="true" outlineLevel="0" collapsed="false">
      <c r="A787" s="4" t="s">
        <v>1507</v>
      </c>
      <c r="B787" s="5" t="s">
        <v>1507</v>
      </c>
      <c r="C787" s="1" t="str">
        <f aca="false">IF(B787="NEW ROUTE",1,"")</f>
        <v/>
      </c>
      <c r="E787" s="5" t="s">
        <v>1507</v>
      </c>
      <c r="F787" s="6" t="e">
        <f aca="false">VLOOKUP(E787,$K$2:$L$426,2,FALSE())</f>
        <v>#N/A</v>
      </c>
      <c r="G787" s="1" t="str">
        <f aca="false">IF(ISNA(F787),"",F787)</f>
        <v/>
      </c>
      <c r="H787" s="5" t="str">
        <f aca="false">IF(G787&lt;&gt;"",G787,E787)</f>
        <v>33, 33, GEODUDE</v>
      </c>
    </row>
    <row r="788" customFormat="false" ht="12.75" hidden="false" customHeight="true" outlineLevel="0" collapsed="false">
      <c r="A788" s="4" t="s">
        <v>2806</v>
      </c>
      <c r="B788" s="5" t="n">
        <v>0.05</v>
      </c>
      <c r="C788" s="1" t="str">
        <f aca="false">IF(B788="NEW ROUTE",1,"")</f>
        <v/>
      </c>
      <c r="E788" s="5" t="n">
        <v>0.05</v>
      </c>
      <c r="F788" s="6" t="e">
        <f aca="false">VLOOKUP(E788,$K$2:$L$426,2,FALSE())</f>
        <v>#N/A</v>
      </c>
      <c r="G788" s="1" t="str">
        <f aca="false">IF(ISNA(F788),"",F788)</f>
        <v/>
      </c>
      <c r="H788" s="5" t="n">
        <f aca="false">IF(G788&lt;&gt;"",G788,E788)</f>
        <v>0.05</v>
      </c>
    </row>
    <row r="789" customFormat="false" ht="12.75" hidden="false" customHeight="true" outlineLevel="0" collapsed="false">
      <c r="A789" s="4" t="s">
        <v>3073</v>
      </c>
      <c r="B789" s="5" t="s">
        <v>3073</v>
      </c>
      <c r="C789" s="1" t="str">
        <f aca="false">IF(B789="NEW ROUTE",1,"")</f>
        <v/>
      </c>
      <c r="E789" s="5" t="s">
        <v>3073</v>
      </c>
      <c r="F789" s="6" t="e">
        <f aca="false">VLOOKUP(E789,$K$2:$L$426,2,FALSE())</f>
        <v>#N/A</v>
      </c>
      <c r="G789" s="1" t="str">
        <f aca="false">IF(ISNA(F789),"",F789)</f>
        <v/>
      </c>
      <c r="H789" s="5" t="str">
        <f aca="false">IF(G789&lt;&gt;"",G789,E789)</f>
        <v>36, 36, PONYTA</v>
      </c>
    </row>
    <row r="790" customFormat="false" ht="12.75" hidden="false" customHeight="true" outlineLevel="0" collapsed="false">
      <c r="A790" s="4" t="s">
        <v>3074</v>
      </c>
      <c r="B790" s="5" t="s">
        <v>3074</v>
      </c>
      <c r="C790" s="1" t="str">
        <f aca="false">IF(B790="NEW ROUTE",1,"")</f>
        <v/>
      </c>
      <c r="E790" s="5" t="s">
        <v>3074</v>
      </c>
      <c r="F790" s="6" t="e">
        <f aca="false">VLOOKUP(E790,$K$2:$L$426,2,FALSE())</f>
        <v>#N/A</v>
      </c>
      <c r="G790" s="1" t="str">
        <f aca="false">IF(ISNA(F790),"",F790)</f>
        <v/>
      </c>
      <c r="H790" s="5" t="str">
        <f aca="false">IF(G790&lt;&gt;"",G790,E790)</f>
        <v>40, 40, FEAROW</v>
      </c>
    </row>
    <row r="791" customFormat="false" ht="12.75" hidden="false" customHeight="true" outlineLevel="0" collapsed="false">
      <c r="A791" s="4" t="s">
        <v>2809</v>
      </c>
      <c r="B791" s="5" t="n">
        <v>0.04</v>
      </c>
      <c r="C791" s="1" t="str">
        <f aca="false">IF(B791="NEW ROUTE",1,"")</f>
        <v/>
      </c>
      <c r="E791" s="5" t="n">
        <v>0.04</v>
      </c>
      <c r="F791" s="6" t="e">
        <f aca="false">VLOOKUP(E791,$K$2:$L$426,2,FALSE())</f>
        <v>#N/A</v>
      </c>
      <c r="G791" s="1" t="str">
        <f aca="false">IF(ISNA(F791),"",F791)</f>
        <v/>
      </c>
      <c r="H791" s="5" t="n">
        <f aca="false">IF(G791&lt;&gt;"",G791,E791)</f>
        <v>0.04</v>
      </c>
    </row>
    <row r="792" customFormat="false" ht="12.75" hidden="false" customHeight="true" outlineLevel="0" collapsed="false">
      <c r="A792" s="4" t="s">
        <v>3075</v>
      </c>
      <c r="B792" s="5" t="s">
        <v>3075</v>
      </c>
      <c r="C792" s="1" t="str">
        <f aca="false">IF(B792="NEW ROUTE",1,"")</f>
        <v/>
      </c>
      <c r="E792" s="5" t="s">
        <v>3075</v>
      </c>
      <c r="F792" s="6" t="e">
        <f aca="false">VLOOKUP(E792,$K$2:$L$426,2,FALSE())</f>
        <v>#N/A</v>
      </c>
      <c r="G792" s="1" t="str">
        <f aca="false">IF(ISNA(F792),"",F792)</f>
        <v/>
      </c>
      <c r="H792" s="5" t="str">
        <f aca="false">IF(G792&lt;&gt;"",G792,E792)</f>
        <v>38, 38, MAGMAR</v>
      </c>
    </row>
    <row r="793" customFormat="false" ht="12.75" hidden="false" customHeight="true" outlineLevel="0" collapsed="false">
      <c r="A793" s="4" t="s">
        <v>3076</v>
      </c>
      <c r="B793" s="5" t="s">
        <v>3076</v>
      </c>
      <c r="C793" s="1" t="str">
        <f aca="false">IF(B793="NEW ROUTE",1,"")</f>
        <v/>
      </c>
      <c r="E793" s="5" t="s">
        <v>3076</v>
      </c>
      <c r="F793" s="6" t="e">
        <f aca="false">VLOOKUP(E793,$K$2:$L$426,2,FALSE())</f>
        <v>#N/A</v>
      </c>
      <c r="G793" s="1" t="str">
        <f aca="false">IF(ISNA(F793),"",F793)</f>
        <v/>
      </c>
      <c r="H793" s="5" t="str">
        <f aca="false">IF(G793&lt;&gt;"",G793,E793)</f>
        <v>39, 39, RAPIDASH</v>
      </c>
    </row>
    <row r="794" customFormat="false" ht="12.75" hidden="false" customHeight="true" outlineLevel="0" collapsed="false">
      <c r="A794" s="4" t="s">
        <v>2812</v>
      </c>
      <c r="B794" s="5" t="n">
        <v>0.01</v>
      </c>
      <c r="C794" s="1" t="str">
        <f aca="false">IF(B794="NEW ROUTE",1,"")</f>
        <v/>
      </c>
      <c r="E794" s="5" t="n">
        <v>0.01</v>
      </c>
      <c r="F794" s="6" t="e">
        <f aca="false">VLOOKUP(E794,$K$2:$L$426,2,FALSE())</f>
        <v>#N/A</v>
      </c>
      <c r="G794" s="1" t="str">
        <f aca="false">IF(ISNA(F794),"",F794)</f>
        <v/>
      </c>
      <c r="H794" s="5" t="n">
        <f aca="false">IF(G794&lt;&gt;"",G794,E794)</f>
        <v>0.01</v>
      </c>
    </row>
    <row r="795" customFormat="false" ht="12.75" hidden="false" customHeight="true" outlineLevel="0" collapsed="false">
      <c r="A795" s="4" t="s">
        <v>3077</v>
      </c>
      <c r="B795" s="5" t="s">
        <v>3077</v>
      </c>
      <c r="C795" s="1" t="str">
        <f aca="false">IF(B795="NEW ROUTE",1,"")</f>
        <v/>
      </c>
      <c r="E795" s="5" t="s">
        <v>3077</v>
      </c>
      <c r="F795" s="6" t="e">
        <f aca="false">VLOOKUP(E795,$K$2:$L$426,2,FALSE())</f>
        <v>#N/A</v>
      </c>
      <c r="G795" s="1" t="str">
        <f aca="false">IF(ISNA(F795),"",F795)</f>
        <v/>
      </c>
      <c r="H795" s="5" t="str">
        <f aca="false">IF(G795&lt;&gt;"",G795,E795)</f>
        <v>40, 40, MAGMAR</v>
      </c>
    </row>
    <row r="796" customFormat="false" ht="12.75" hidden="false" customHeight="true" outlineLevel="0" collapsed="false">
      <c r="A796" s="4" t="s">
        <v>3078</v>
      </c>
      <c r="B796" s="5" t="s">
        <v>3078</v>
      </c>
      <c r="C796" s="1" t="str">
        <f aca="false">IF(B796="NEW ROUTE",1,"")</f>
        <v/>
      </c>
      <c r="E796" s="5" t="s">
        <v>3078</v>
      </c>
      <c r="F796" s="6" t="e">
        <f aca="false">VLOOKUP(E796,$K$2:$L$426,2,FALSE())</f>
        <v>#N/A</v>
      </c>
      <c r="G796" s="1" t="str">
        <f aca="false">IF(ISNA(F796),"",F796)</f>
        <v/>
      </c>
      <c r="H796" s="5" t="str">
        <f aca="false">IF(G796&lt;&gt;"",G796,E796)</f>
        <v>42, 42, RAPIDASH</v>
      </c>
    </row>
    <row r="797" customFormat="false" ht="12.75" hidden="false" customHeight="true" outlineLevel="0" collapsed="false">
      <c r="A797" s="4" t="s">
        <v>2999</v>
      </c>
      <c r="B797" s="5" t="s">
        <v>2999</v>
      </c>
      <c r="C797" s="1" t="str">
        <f aca="false">IF(B797="NEW ROUTE",1,"")</f>
        <v/>
      </c>
      <c r="E797" s="5" t="s">
        <v>2999</v>
      </c>
      <c r="F797" s="6" t="e">
        <f aca="false">VLOOKUP(E797,$K$2:$L$426,2,FALSE())</f>
        <v>#N/A</v>
      </c>
      <c r="G797" s="1" t="str">
        <f aca="false">IF(ISNA(F797),"",F797)</f>
        <v/>
      </c>
      <c r="H797" s="5" t="str">
        <f aca="false">IF(G797&lt;&gt;"",G797,E797)</f>
        <v>50, 5, 20, GEODUDE</v>
      </c>
    </row>
    <row r="798" customFormat="false" ht="12.75" hidden="false" customHeight="true" outlineLevel="0" collapsed="false">
      <c r="A798" s="4" t="s">
        <v>3000</v>
      </c>
      <c r="B798" s="5" t="s">
        <v>3000</v>
      </c>
      <c r="C798" s="1" t="str">
        <f aca="false">IF(B798="NEW ROUTE",1,"")</f>
        <v/>
      </c>
      <c r="E798" s="5" t="s">
        <v>3000</v>
      </c>
      <c r="F798" s="6" t="e">
        <f aca="false">VLOOKUP(E798,$K$2:$L$426,2,FALSE())</f>
        <v>#N/A</v>
      </c>
      <c r="G798" s="1" t="str">
        <f aca="false">IF(ISNA(F798),"",F798)</f>
        <v/>
      </c>
      <c r="H798" s="5" t="str">
        <f aca="false">IF(G798&lt;&gt;"",G798,E798)</f>
        <v>10, 20, GEODUDE</v>
      </c>
    </row>
    <row r="799" customFormat="false" ht="12.75" hidden="false" customHeight="true" outlineLevel="0" collapsed="false">
      <c r="A799" s="4" t="s">
        <v>3001</v>
      </c>
      <c r="B799" s="5" t="s">
        <v>3001</v>
      </c>
      <c r="C799" s="1" t="str">
        <f aca="false">IF(B799="NEW ROUTE",1,"")</f>
        <v/>
      </c>
      <c r="E799" s="5" t="s">
        <v>3001</v>
      </c>
      <c r="F799" s="6" t="e">
        <f aca="false">VLOOKUP(E799,$K$2:$L$426,2,FALSE())</f>
        <v>#N/A</v>
      </c>
      <c r="G799" s="1" t="str">
        <f aca="false">IF(ISNA(F799),"",F799)</f>
        <v/>
      </c>
      <c r="H799" s="5" t="str">
        <f aca="false">IF(G799&lt;&gt;"",G799,E799)</f>
        <v>15, 30, GEODUDE</v>
      </c>
    </row>
    <row r="800" customFormat="false" ht="12.75" hidden="false" customHeight="true" outlineLevel="0" collapsed="false">
      <c r="A800" s="4" t="s">
        <v>3002</v>
      </c>
      <c r="B800" s="5" t="s">
        <v>3002</v>
      </c>
      <c r="C800" s="1" t="str">
        <f aca="false">IF(B800="NEW ROUTE",1,"")</f>
        <v/>
      </c>
      <c r="E800" s="5" t="s">
        <v>3002</v>
      </c>
      <c r="F800" s="6" t="e">
        <f aca="false">VLOOKUP(E800,$K$2:$L$426,2,FALSE())</f>
        <v>#N/A</v>
      </c>
      <c r="G800" s="1" t="str">
        <f aca="false">IF(ISNA(F800),"",F800)</f>
        <v/>
      </c>
      <c r="H800" s="5" t="str">
        <f aca="false">IF(G800&lt;&gt;"",G800,E800)</f>
        <v>25, 40, GRAVELER</v>
      </c>
    </row>
    <row r="801" customFormat="false" ht="12.75" hidden="false" customHeight="true" outlineLevel="0" collapsed="false">
      <c r="A801" s="4" t="s">
        <v>3233</v>
      </c>
      <c r="B801" s="5" t="s">
        <v>3233</v>
      </c>
      <c r="C801" s="1" t="str">
        <f aca="false">IF(B801="NEW ROUTE",1,"")</f>
        <v/>
      </c>
      <c r="E801" s="5" t="s">
        <v>3233</v>
      </c>
      <c r="F801" s="6" t="e">
        <f aca="false">VLOOKUP(E801,$K$2:$L$426,2,FALSE())</f>
        <v>#N/A</v>
      </c>
      <c r="G801" s="1" t="str">
        <f aca="false">IF(ISNA(F801),"",F801)</f>
        <v/>
      </c>
      <c r="H801" s="5" t="str">
        <f aca="false">IF(G801&lt;&gt;"",G801,E801)</f>
        <v>30, 40, GRAVELER</v>
      </c>
    </row>
    <row r="802" customFormat="false" ht="12.75" hidden="false" customHeight="true" outlineLevel="0" collapsed="false">
      <c r="A802" s="4" t="s">
        <v>2536</v>
      </c>
      <c r="B802" s="5" t="s">
        <v>2536</v>
      </c>
      <c r="C802" s="1" t="n">
        <f aca="false">IF(B802="NEW ROUTE",1,"")</f>
        <v>1</v>
      </c>
      <c r="E802" s="5" t="s">
        <v>2536</v>
      </c>
      <c r="F802" s="6" t="e">
        <f aca="false">VLOOKUP(E802,$K$2:$L$426,2,FALSE())</f>
        <v>#N/A</v>
      </c>
      <c r="G802" s="1" t="str">
        <f aca="false">IF(ISNA(F802),"",F802)</f>
        <v/>
      </c>
      <c r="H802" s="5" t="str">
        <f aca="false">IF(G802&lt;&gt;"",G802,E802)</f>
        <v>NEW ROUTE</v>
      </c>
    </row>
    <row r="803" customFormat="false" ht="12.75" hidden="false" customHeight="true" outlineLevel="0" collapsed="false">
      <c r="A803" s="4" t="s">
        <v>208</v>
      </c>
      <c r="B803" s="5" t="s">
        <v>208</v>
      </c>
      <c r="C803" s="1" t="str">
        <f aca="false">IF(B803="NEW ROUTE",1,"")</f>
        <v/>
      </c>
      <c r="E803" s="5" t="s">
        <v>208</v>
      </c>
      <c r="F803" s="6" t="str">
        <f aca="false">VLOOKUP(E803,$K$2:$L$426,2,FALSE())</f>
        <v>Mt. Ember Summit Path 1F</v>
      </c>
      <c r="G803" s="1" t="str">
        <f aca="false">IF(ISNA(F803),"",F803)</f>
        <v>Mt. Ember Summit Path 1F</v>
      </c>
      <c r="H803" s="5" t="str">
        <f aca="false">IF(G803&lt;&gt;"",G803,E803)</f>
        <v>Mt. Ember Summit Path 1F</v>
      </c>
    </row>
    <row r="804" customFormat="false" ht="12.75" hidden="false" customHeight="true" outlineLevel="0" collapsed="false">
      <c r="A804" s="4" t="s">
        <v>2799</v>
      </c>
      <c r="B804" s="5" t="n">
        <v>0.2</v>
      </c>
      <c r="C804" s="1" t="str">
        <f aca="false">IF(B804="NEW ROUTE",1,"")</f>
        <v/>
      </c>
      <c r="E804" s="5" t="n">
        <v>0.2</v>
      </c>
      <c r="F804" s="6" t="e">
        <f aca="false">VLOOKUP(E804,$K$2:$L$426,2,FALSE())</f>
        <v>#N/A</v>
      </c>
      <c r="G804" s="1" t="str">
        <f aca="false">IF(ISNA(F804),"",F804)</f>
        <v/>
      </c>
      <c r="H804" s="5" t="n">
        <f aca="false">IF(G804&lt;&gt;"",G804,E804)</f>
        <v>0.2</v>
      </c>
    </row>
    <row r="805" customFormat="false" ht="12.75" hidden="false" customHeight="true" outlineLevel="0" collapsed="false">
      <c r="A805" s="4" t="s">
        <v>1507</v>
      </c>
      <c r="B805" s="5" t="s">
        <v>1507</v>
      </c>
      <c r="C805" s="1" t="str">
        <f aca="false">IF(B805="NEW ROUTE",1,"")</f>
        <v/>
      </c>
      <c r="E805" s="5" t="s">
        <v>1507</v>
      </c>
      <c r="F805" s="6" t="e">
        <f aca="false">VLOOKUP(E805,$K$2:$L$426,2,FALSE())</f>
        <v>#N/A</v>
      </c>
      <c r="G805" s="1" t="str">
        <f aca="false">IF(ISNA(F805),"",F805)</f>
        <v/>
      </c>
      <c r="H805" s="5" t="str">
        <f aca="false">IF(G805&lt;&gt;"",G805,E805)</f>
        <v>33, 33, GEODUDE</v>
      </c>
    </row>
    <row r="806" customFormat="false" ht="12.75" hidden="false" customHeight="true" outlineLevel="0" collapsed="false">
      <c r="A806" s="4" t="s">
        <v>3072</v>
      </c>
      <c r="B806" s="5" t="s">
        <v>3072</v>
      </c>
      <c r="C806" s="1" t="str">
        <f aca="false">IF(B806="NEW ROUTE",1,"")</f>
        <v/>
      </c>
      <c r="E806" s="5" t="s">
        <v>3072</v>
      </c>
      <c r="F806" s="6" t="e">
        <f aca="false">VLOOKUP(E806,$K$2:$L$426,2,FALSE())</f>
        <v>#N/A</v>
      </c>
      <c r="G806" s="1" t="str">
        <f aca="false">IF(ISNA(F806),"",F806)</f>
        <v/>
      </c>
      <c r="H806" s="5" t="str">
        <f aca="false">IF(G806&lt;&gt;"",G806,E806)</f>
        <v>35, 35, MACHOP</v>
      </c>
    </row>
    <row r="807" customFormat="false" ht="12.75" hidden="false" customHeight="true" outlineLevel="0" collapsed="false">
      <c r="A807" s="4" t="s">
        <v>2801</v>
      </c>
      <c r="B807" s="5" t="n">
        <v>0.1</v>
      </c>
      <c r="C807" s="1" t="str">
        <f aca="false">IF(B807="NEW ROUTE",1,"")</f>
        <v/>
      </c>
      <c r="E807" s="5" t="n">
        <v>0.1</v>
      </c>
      <c r="F807" s="6" t="e">
        <f aca="false">VLOOKUP(E807,$K$2:$L$426,2,FALSE())</f>
        <v>#N/A</v>
      </c>
      <c r="G807" s="1" t="str">
        <f aca="false">IF(ISNA(F807),"",F807)</f>
        <v/>
      </c>
      <c r="H807" s="5" t="n">
        <f aca="false">IF(G807&lt;&gt;"",G807,E807)</f>
        <v>0.1</v>
      </c>
    </row>
    <row r="808" customFormat="false" ht="12.75" hidden="false" customHeight="true" outlineLevel="0" collapsed="false">
      <c r="A808" s="4" t="s">
        <v>3080</v>
      </c>
      <c r="B808" s="5" t="s">
        <v>3080</v>
      </c>
      <c r="C808" s="1" t="str">
        <f aca="false">IF(B808="NEW ROUTE",1,"")</f>
        <v/>
      </c>
      <c r="E808" s="5" t="s">
        <v>3080</v>
      </c>
      <c r="F808" s="6" t="e">
        <f aca="false">VLOOKUP(E808,$K$2:$L$426,2,FALSE())</f>
        <v>#N/A</v>
      </c>
      <c r="G808" s="1" t="str">
        <f aca="false">IF(ISNA(F808),"",F808)</f>
        <v/>
      </c>
      <c r="H808" s="5" t="str">
        <f aca="false">IF(G808&lt;&gt;"",G808,E808)</f>
        <v>29, 29, GEODUDE</v>
      </c>
    </row>
    <row r="809" customFormat="false" ht="12.75" hidden="false" customHeight="true" outlineLevel="0" collapsed="false">
      <c r="A809" s="4" t="s">
        <v>3081</v>
      </c>
      <c r="B809" s="5" t="s">
        <v>3081</v>
      </c>
      <c r="C809" s="1" t="str">
        <f aca="false">IF(B809="NEW ROUTE",1,"")</f>
        <v/>
      </c>
      <c r="E809" s="5" t="s">
        <v>3081</v>
      </c>
      <c r="F809" s="6" t="e">
        <f aca="false">VLOOKUP(E809,$K$2:$L$426,2,FALSE())</f>
        <v>#N/A</v>
      </c>
      <c r="G809" s="1" t="str">
        <f aca="false">IF(ISNA(F809),"",F809)</f>
        <v/>
      </c>
      <c r="H809" s="5" t="str">
        <f aca="false">IF(G809&lt;&gt;"",G809,E809)</f>
        <v>31, 31, GEODUDE</v>
      </c>
    </row>
    <row r="810" customFormat="false" ht="12.75" hidden="false" customHeight="true" outlineLevel="0" collapsed="false">
      <c r="A810" s="4" t="s">
        <v>3082</v>
      </c>
      <c r="B810" s="5" t="s">
        <v>3082</v>
      </c>
      <c r="C810" s="1" t="str">
        <f aca="false">IF(B810="NEW ROUTE",1,"")</f>
        <v/>
      </c>
      <c r="E810" s="5" t="s">
        <v>3082</v>
      </c>
      <c r="F810" s="6" t="e">
        <f aca="false">VLOOKUP(E810,$K$2:$L$426,2,FALSE())</f>
        <v>#N/A</v>
      </c>
      <c r="G810" s="1" t="str">
        <f aca="false">IF(ISNA(F810),"",F810)</f>
        <v/>
      </c>
      <c r="H810" s="5" t="str">
        <f aca="false">IF(G810&lt;&gt;"",G810,E810)</f>
        <v>31, 31, MACHOP</v>
      </c>
    </row>
    <row r="811" customFormat="false" ht="12.75" hidden="false" customHeight="true" outlineLevel="0" collapsed="false">
      <c r="A811" s="4" t="s">
        <v>3083</v>
      </c>
      <c r="B811" s="5" t="s">
        <v>3083</v>
      </c>
      <c r="C811" s="1" t="str">
        <f aca="false">IF(B811="NEW ROUTE",1,"")</f>
        <v/>
      </c>
      <c r="E811" s="5" t="s">
        <v>3083</v>
      </c>
      <c r="F811" s="6" t="e">
        <f aca="false">VLOOKUP(E811,$K$2:$L$426,2,FALSE())</f>
        <v>#N/A</v>
      </c>
      <c r="G811" s="1" t="str">
        <f aca="false">IF(ISNA(F811),"",F811)</f>
        <v/>
      </c>
      <c r="H811" s="5" t="str">
        <f aca="false">IF(G811&lt;&gt;"",G811,E811)</f>
        <v>33, 33, MACHOP</v>
      </c>
    </row>
    <row r="812" customFormat="false" ht="12.75" hidden="false" customHeight="true" outlineLevel="0" collapsed="false">
      <c r="A812" s="4" t="s">
        <v>2806</v>
      </c>
      <c r="B812" s="5" t="n">
        <v>0.05</v>
      </c>
      <c r="C812" s="1" t="str">
        <f aca="false">IF(B812="NEW ROUTE",1,"")</f>
        <v/>
      </c>
      <c r="E812" s="5" t="n">
        <v>0.05</v>
      </c>
      <c r="F812" s="6" t="e">
        <f aca="false">VLOOKUP(E812,$K$2:$L$426,2,FALSE())</f>
        <v>#N/A</v>
      </c>
      <c r="G812" s="1" t="str">
        <f aca="false">IF(ISNA(F812),"",F812)</f>
        <v/>
      </c>
      <c r="H812" s="5" t="n">
        <f aca="false">IF(G812&lt;&gt;"",G812,E812)</f>
        <v>0.05</v>
      </c>
    </row>
    <row r="813" customFormat="false" ht="12.75" hidden="false" customHeight="true" outlineLevel="0" collapsed="false">
      <c r="A813" s="4" t="s">
        <v>3084</v>
      </c>
      <c r="B813" s="5" t="s">
        <v>3084</v>
      </c>
      <c r="C813" s="1" t="str">
        <f aca="false">IF(B813="NEW ROUTE",1,"")</f>
        <v/>
      </c>
      <c r="E813" s="5" t="s">
        <v>3084</v>
      </c>
      <c r="F813" s="6" t="e">
        <f aca="false">VLOOKUP(E813,$K$2:$L$426,2,FALSE())</f>
        <v>#N/A</v>
      </c>
      <c r="G813" s="1" t="str">
        <f aca="false">IF(ISNA(F813),"",F813)</f>
        <v/>
      </c>
      <c r="H813" s="5" t="str">
        <f aca="false">IF(G813&lt;&gt;"",G813,E813)</f>
        <v>35, 35, GEODUDE</v>
      </c>
    </row>
    <row r="814" customFormat="false" ht="12.75" hidden="false" customHeight="true" outlineLevel="0" collapsed="false">
      <c r="A814" s="4" t="s">
        <v>3085</v>
      </c>
      <c r="B814" s="5" t="s">
        <v>3085</v>
      </c>
      <c r="C814" s="1" t="str">
        <f aca="false">IF(B814="NEW ROUTE",1,"")</f>
        <v/>
      </c>
      <c r="E814" s="5" t="s">
        <v>3085</v>
      </c>
      <c r="F814" s="6" t="e">
        <f aca="false">VLOOKUP(E814,$K$2:$L$426,2,FALSE())</f>
        <v>#N/A</v>
      </c>
      <c r="G814" s="1" t="str">
        <f aca="false">IF(ISNA(F814),"",F814)</f>
        <v/>
      </c>
      <c r="H814" s="5" t="str">
        <f aca="false">IF(G814&lt;&gt;"",G814,E814)</f>
        <v>37, 37, MACHOP</v>
      </c>
    </row>
    <row r="815" customFormat="false" ht="12.75" hidden="false" customHeight="true" outlineLevel="0" collapsed="false">
      <c r="A815" s="4" t="s">
        <v>2809</v>
      </c>
      <c r="B815" s="5" t="n">
        <v>0.04</v>
      </c>
      <c r="C815" s="1" t="str">
        <f aca="false">IF(B815="NEW ROUTE",1,"")</f>
        <v/>
      </c>
      <c r="E815" s="5" t="n">
        <v>0.04</v>
      </c>
      <c r="F815" s="6" t="e">
        <f aca="false">VLOOKUP(E815,$K$2:$L$426,2,FALSE())</f>
        <v>#N/A</v>
      </c>
      <c r="G815" s="1" t="str">
        <f aca="false">IF(ISNA(F815),"",F815)</f>
        <v/>
      </c>
      <c r="H815" s="5" t="n">
        <f aca="false">IF(G815&lt;&gt;"",G815,E815)</f>
        <v>0.04</v>
      </c>
    </row>
    <row r="816" customFormat="false" ht="12.75" hidden="false" customHeight="true" outlineLevel="0" collapsed="false">
      <c r="A816" s="4" t="s">
        <v>3086</v>
      </c>
      <c r="B816" s="5" t="s">
        <v>3086</v>
      </c>
      <c r="C816" s="1" t="str">
        <f aca="false">IF(B816="NEW ROUTE",1,"")</f>
        <v/>
      </c>
      <c r="E816" s="5" t="s">
        <v>3086</v>
      </c>
      <c r="F816" s="6" t="e">
        <f aca="false">VLOOKUP(E816,$K$2:$L$426,2,FALSE())</f>
        <v>#N/A</v>
      </c>
      <c r="G816" s="1" t="str">
        <f aca="false">IF(ISNA(F816),"",F816)</f>
        <v/>
      </c>
      <c r="H816" s="5" t="str">
        <f aca="false">IF(G816&lt;&gt;"",G816,E816)</f>
        <v>37, 37, GEODUDE</v>
      </c>
    </row>
    <row r="817" customFormat="false" ht="12.75" hidden="false" customHeight="true" outlineLevel="0" collapsed="false">
      <c r="A817" s="4" t="s">
        <v>3087</v>
      </c>
      <c r="B817" s="5" t="s">
        <v>3087</v>
      </c>
      <c r="C817" s="1" t="str">
        <f aca="false">IF(B817="NEW ROUTE",1,"")</f>
        <v/>
      </c>
      <c r="E817" s="5" t="s">
        <v>3087</v>
      </c>
      <c r="F817" s="6" t="e">
        <f aca="false">VLOOKUP(E817,$K$2:$L$426,2,FALSE())</f>
        <v>#N/A</v>
      </c>
      <c r="G817" s="1" t="str">
        <f aca="false">IF(ISNA(F817),"",F817)</f>
        <v/>
      </c>
      <c r="H817" s="5" t="str">
        <f aca="false">IF(G817&lt;&gt;"",G817,E817)</f>
        <v>39, 39, MACHOP</v>
      </c>
    </row>
    <row r="818" customFormat="false" ht="12.75" hidden="false" customHeight="true" outlineLevel="0" collapsed="false">
      <c r="A818" s="4" t="s">
        <v>2812</v>
      </c>
      <c r="B818" s="5" t="n">
        <v>0.01</v>
      </c>
      <c r="C818" s="1" t="str">
        <f aca="false">IF(B818="NEW ROUTE",1,"")</f>
        <v/>
      </c>
      <c r="E818" s="5" t="n">
        <v>0.01</v>
      </c>
      <c r="F818" s="6" t="e">
        <f aca="false">VLOOKUP(E818,$K$2:$L$426,2,FALSE())</f>
        <v>#N/A</v>
      </c>
      <c r="G818" s="1" t="str">
        <f aca="false">IF(ISNA(F818),"",F818)</f>
        <v/>
      </c>
      <c r="H818" s="5" t="n">
        <f aca="false">IF(G818&lt;&gt;"",G818,E818)</f>
        <v>0.01</v>
      </c>
    </row>
    <row r="819" customFormat="false" ht="12.75" hidden="false" customHeight="true" outlineLevel="0" collapsed="false">
      <c r="A819" s="4" t="s">
        <v>3086</v>
      </c>
      <c r="B819" s="5" t="s">
        <v>3086</v>
      </c>
      <c r="C819" s="1" t="str">
        <f aca="false">IF(B819="NEW ROUTE",1,"")</f>
        <v/>
      </c>
      <c r="E819" s="5" t="s">
        <v>3086</v>
      </c>
      <c r="F819" s="6" t="e">
        <f aca="false">VLOOKUP(E819,$K$2:$L$426,2,FALSE())</f>
        <v>#N/A</v>
      </c>
      <c r="G819" s="1" t="str">
        <f aca="false">IF(ISNA(F819),"",F819)</f>
        <v/>
      </c>
      <c r="H819" s="5" t="str">
        <f aca="false">IF(G819&lt;&gt;"",G819,E819)</f>
        <v>37, 37, GEODUDE</v>
      </c>
    </row>
    <row r="820" customFormat="false" ht="12.75" hidden="false" customHeight="true" outlineLevel="0" collapsed="false">
      <c r="A820" s="4" t="s">
        <v>3087</v>
      </c>
      <c r="B820" s="5" t="s">
        <v>3087</v>
      </c>
      <c r="C820" s="1" t="str">
        <f aca="false">IF(B820="NEW ROUTE",1,"")</f>
        <v/>
      </c>
      <c r="E820" s="5" t="s">
        <v>3087</v>
      </c>
      <c r="F820" s="6" t="e">
        <f aca="false">VLOOKUP(E820,$K$2:$L$426,2,FALSE())</f>
        <v>#N/A</v>
      </c>
      <c r="G820" s="1" t="str">
        <f aca="false">IF(ISNA(F820),"",F820)</f>
        <v/>
      </c>
      <c r="H820" s="5" t="str">
        <f aca="false">IF(G820&lt;&gt;"",G820,E820)</f>
        <v>39, 39, MACHOP</v>
      </c>
    </row>
    <row r="821" customFormat="false" ht="12.75" hidden="false" customHeight="true" outlineLevel="0" collapsed="false">
      <c r="A821" s="4" t="s">
        <v>2536</v>
      </c>
      <c r="B821" s="5" t="s">
        <v>2536</v>
      </c>
      <c r="C821" s="1" t="n">
        <f aca="false">IF(B821="NEW ROUTE",1,"")</f>
        <v>1</v>
      </c>
      <c r="E821" s="5" t="s">
        <v>2536</v>
      </c>
      <c r="F821" s="6" t="e">
        <f aca="false">VLOOKUP(E821,$K$2:$L$426,2,FALSE())</f>
        <v>#N/A</v>
      </c>
      <c r="G821" s="1" t="str">
        <f aca="false">IF(ISNA(F821),"",F821)</f>
        <v/>
      </c>
      <c r="H821" s="5" t="str">
        <f aca="false">IF(G821&lt;&gt;"",G821,E821)</f>
        <v>NEW ROUTE</v>
      </c>
    </row>
    <row r="822" customFormat="false" ht="12.75" hidden="false" customHeight="true" outlineLevel="0" collapsed="false">
      <c r="A822" s="4" t="s">
        <v>210</v>
      </c>
      <c r="B822" s="5" t="s">
        <v>210</v>
      </c>
      <c r="C822" s="1" t="str">
        <f aca="false">IF(B822="NEW ROUTE",1,"")</f>
        <v/>
      </c>
      <c r="E822" s="5" t="s">
        <v>210</v>
      </c>
      <c r="F822" s="6" t="str">
        <f aca="false">VLOOKUP(E822,$K$2:$L$426,2,FALSE())</f>
        <v>Mt. Ember Summit Path 2F</v>
      </c>
      <c r="G822" s="1" t="str">
        <f aca="false">IF(ISNA(F822),"",F822)</f>
        <v>Mt. Ember Summit Path 2F</v>
      </c>
      <c r="H822" s="5" t="str">
        <f aca="false">IF(G822&lt;&gt;"",G822,E822)</f>
        <v>Mt. Ember Summit Path 2F</v>
      </c>
    </row>
    <row r="823" customFormat="false" ht="12.75" hidden="false" customHeight="true" outlineLevel="0" collapsed="false">
      <c r="A823" s="4" t="s">
        <v>2799</v>
      </c>
      <c r="B823" s="5" t="n">
        <v>0.2</v>
      </c>
      <c r="C823" s="1" t="str">
        <f aca="false">IF(B823="NEW ROUTE",1,"")</f>
        <v/>
      </c>
      <c r="E823" s="5" t="n">
        <v>0.2</v>
      </c>
      <c r="F823" s="6" t="e">
        <f aca="false">VLOOKUP(E823,$K$2:$L$426,2,FALSE())</f>
        <v>#N/A</v>
      </c>
      <c r="G823" s="1" t="str">
        <f aca="false">IF(ISNA(F823),"",F823)</f>
        <v/>
      </c>
      <c r="H823" s="5" t="n">
        <f aca="false">IF(G823&lt;&gt;"",G823,E823)</f>
        <v>0.2</v>
      </c>
    </row>
    <row r="824" customFormat="false" ht="12.75" hidden="false" customHeight="true" outlineLevel="0" collapsed="false">
      <c r="A824" s="4" t="s">
        <v>1518</v>
      </c>
      <c r="B824" s="5" t="s">
        <v>1518</v>
      </c>
      <c r="C824" s="1" t="str">
        <f aca="false">IF(B824="NEW ROUTE",1,"")</f>
        <v/>
      </c>
      <c r="E824" s="5" t="s">
        <v>1518</v>
      </c>
      <c r="F824" s="6" t="e">
        <f aca="false">VLOOKUP(E824,$K$2:$L$426,2,FALSE())</f>
        <v>#N/A</v>
      </c>
      <c r="G824" s="1" t="str">
        <f aca="false">IF(ISNA(F824),"",F824)</f>
        <v/>
      </c>
      <c r="H824" s="5" t="str">
        <f aca="false">IF(G824&lt;&gt;"",G824,E824)</f>
        <v>34, 34, GEODUDE</v>
      </c>
    </row>
    <row r="825" customFormat="false" ht="12.75" hidden="false" customHeight="true" outlineLevel="0" collapsed="false">
      <c r="A825" s="4" t="s">
        <v>3090</v>
      </c>
      <c r="B825" s="5" t="s">
        <v>3090</v>
      </c>
      <c r="C825" s="1" t="str">
        <f aca="false">IF(B825="NEW ROUTE",1,"")</f>
        <v/>
      </c>
      <c r="E825" s="5" t="s">
        <v>3090</v>
      </c>
      <c r="F825" s="6" t="e">
        <f aca="false">VLOOKUP(E825,$K$2:$L$426,2,FALSE())</f>
        <v>#N/A</v>
      </c>
      <c r="G825" s="1" t="str">
        <f aca="false">IF(ISNA(F825),"",F825)</f>
        <v/>
      </c>
      <c r="H825" s="5" t="str">
        <f aca="false">IF(G825&lt;&gt;"",G825,E825)</f>
        <v>36, 36, MACHOP</v>
      </c>
    </row>
    <row r="826" customFormat="false" ht="12.75" hidden="false" customHeight="true" outlineLevel="0" collapsed="false">
      <c r="A826" s="4" t="s">
        <v>2801</v>
      </c>
      <c r="B826" s="5" t="n">
        <v>0.1</v>
      </c>
      <c r="C826" s="1" t="str">
        <f aca="false">IF(B826="NEW ROUTE",1,"")</f>
        <v/>
      </c>
      <c r="E826" s="5" t="n">
        <v>0.1</v>
      </c>
      <c r="F826" s="6" t="e">
        <f aca="false">VLOOKUP(E826,$K$2:$L$426,2,FALSE())</f>
        <v>#N/A</v>
      </c>
      <c r="G826" s="1" t="str">
        <f aca="false">IF(ISNA(F826),"",F826)</f>
        <v/>
      </c>
      <c r="H826" s="5" t="n">
        <f aca="false">IF(G826&lt;&gt;"",G826,E826)</f>
        <v>0.1</v>
      </c>
    </row>
    <row r="827" customFormat="false" ht="12.75" hidden="false" customHeight="true" outlineLevel="0" collapsed="false">
      <c r="A827" s="4" t="s">
        <v>3091</v>
      </c>
      <c r="B827" s="5" t="s">
        <v>3091</v>
      </c>
      <c r="C827" s="1" t="str">
        <f aca="false">IF(B827="NEW ROUTE",1,"")</f>
        <v/>
      </c>
      <c r="E827" s="5" t="s">
        <v>3091</v>
      </c>
      <c r="F827" s="6" t="e">
        <f aca="false">VLOOKUP(E827,$K$2:$L$426,2,FALSE())</f>
        <v>#N/A</v>
      </c>
      <c r="G827" s="1" t="str">
        <f aca="false">IF(ISNA(F827),"",F827)</f>
        <v/>
      </c>
      <c r="H827" s="5" t="str">
        <f aca="false">IF(G827&lt;&gt;"",G827,E827)</f>
        <v>30, 30, GEODUDE</v>
      </c>
    </row>
    <row r="828" customFormat="false" ht="12.75" hidden="false" customHeight="true" outlineLevel="0" collapsed="false">
      <c r="A828" s="4" t="s">
        <v>3092</v>
      </c>
      <c r="B828" s="5" t="s">
        <v>3092</v>
      </c>
      <c r="C828" s="1" t="str">
        <f aca="false">IF(B828="NEW ROUTE",1,"")</f>
        <v/>
      </c>
      <c r="E828" s="5" t="s">
        <v>3092</v>
      </c>
      <c r="F828" s="6" t="e">
        <f aca="false">VLOOKUP(E828,$K$2:$L$426,2,FALSE())</f>
        <v>#N/A</v>
      </c>
      <c r="G828" s="1" t="str">
        <f aca="false">IF(ISNA(F828),"",F828)</f>
        <v/>
      </c>
      <c r="H828" s="5" t="str">
        <f aca="false">IF(G828&lt;&gt;"",G828,E828)</f>
        <v>32, 32, GEODUDE</v>
      </c>
    </row>
    <row r="829" customFormat="false" ht="12.75" hidden="false" customHeight="true" outlineLevel="0" collapsed="false">
      <c r="A829" s="4" t="s">
        <v>3093</v>
      </c>
      <c r="B829" s="5" t="s">
        <v>3093</v>
      </c>
      <c r="C829" s="1" t="str">
        <f aca="false">IF(B829="NEW ROUTE",1,"")</f>
        <v/>
      </c>
      <c r="E829" s="5" t="s">
        <v>3093</v>
      </c>
      <c r="F829" s="6" t="e">
        <f aca="false">VLOOKUP(E829,$K$2:$L$426,2,FALSE())</f>
        <v>#N/A</v>
      </c>
      <c r="G829" s="1" t="str">
        <f aca="false">IF(ISNA(F829),"",F829)</f>
        <v/>
      </c>
      <c r="H829" s="5" t="str">
        <f aca="false">IF(G829&lt;&gt;"",G829,E829)</f>
        <v>32, 32, MACHOP</v>
      </c>
    </row>
    <row r="830" customFormat="false" ht="12.75" hidden="false" customHeight="true" outlineLevel="0" collapsed="false">
      <c r="A830" s="4" t="s">
        <v>3094</v>
      </c>
      <c r="B830" s="5" t="s">
        <v>3094</v>
      </c>
      <c r="C830" s="1" t="str">
        <f aca="false">IF(B830="NEW ROUTE",1,"")</f>
        <v/>
      </c>
      <c r="E830" s="5" t="s">
        <v>3094</v>
      </c>
      <c r="F830" s="6" t="e">
        <f aca="false">VLOOKUP(E830,$K$2:$L$426,2,FALSE())</f>
        <v>#N/A</v>
      </c>
      <c r="G830" s="1" t="str">
        <f aca="false">IF(ISNA(F830),"",F830)</f>
        <v/>
      </c>
      <c r="H830" s="5" t="str">
        <f aca="false">IF(G830&lt;&gt;"",G830,E830)</f>
        <v>34, 34, MACHOP</v>
      </c>
    </row>
    <row r="831" customFormat="false" ht="12.75" hidden="false" customHeight="true" outlineLevel="0" collapsed="false">
      <c r="A831" s="4" t="s">
        <v>2806</v>
      </c>
      <c r="B831" s="5" t="n">
        <v>0.05</v>
      </c>
      <c r="C831" s="1" t="str">
        <f aca="false">IF(B831="NEW ROUTE",1,"")</f>
        <v/>
      </c>
      <c r="E831" s="5" t="n">
        <v>0.05</v>
      </c>
      <c r="F831" s="6" t="e">
        <f aca="false">VLOOKUP(E831,$K$2:$L$426,2,FALSE())</f>
        <v>#N/A</v>
      </c>
      <c r="G831" s="1" t="str">
        <f aca="false">IF(ISNA(F831),"",F831)</f>
        <v/>
      </c>
      <c r="H831" s="5" t="n">
        <f aca="false">IF(G831&lt;&gt;"",G831,E831)</f>
        <v>0.05</v>
      </c>
    </row>
    <row r="832" customFormat="false" ht="12.75" hidden="false" customHeight="true" outlineLevel="0" collapsed="false">
      <c r="A832" s="4" t="s">
        <v>3095</v>
      </c>
      <c r="B832" s="5" t="s">
        <v>3095</v>
      </c>
      <c r="C832" s="1" t="str">
        <f aca="false">IF(B832="NEW ROUTE",1,"")</f>
        <v/>
      </c>
      <c r="E832" s="5" t="s">
        <v>3095</v>
      </c>
      <c r="F832" s="6" t="e">
        <f aca="false">VLOOKUP(E832,$K$2:$L$426,2,FALSE())</f>
        <v>#N/A</v>
      </c>
      <c r="G832" s="1" t="str">
        <f aca="false">IF(ISNA(F832),"",F832)</f>
        <v/>
      </c>
      <c r="H832" s="5" t="str">
        <f aca="false">IF(G832&lt;&gt;"",G832,E832)</f>
        <v>38, 38, MACHOKE</v>
      </c>
    </row>
    <row r="833" customFormat="false" ht="12.75" hidden="false" customHeight="true" outlineLevel="0" collapsed="false">
      <c r="A833" s="4" t="s">
        <v>3095</v>
      </c>
      <c r="B833" s="5" t="s">
        <v>3095</v>
      </c>
      <c r="C833" s="1" t="str">
        <f aca="false">IF(B833="NEW ROUTE",1,"")</f>
        <v/>
      </c>
      <c r="E833" s="5" t="s">
        <v>3095</v>
      </c>
      <c r="F833" s="6" t="e">
        <f aca="false">VLOOKUP(E833,$K$2:$L$426,2,FALSE())</f>
        <v>#N/A</v>
      </c>
      <c r="G833" s="1" t="str">
        <f aca="false">IF(ISNA(F833),"",F833)</f>
        <v/>
      </c>
      <c r="H833" s="5" t="str">
        <f aca="false">IF(G833&lt;&gt;"",G833,E833)</f>
        <v>38, 38, MACHOKE</v>
      </c>
    </row>
    <row r="834" customFormat="false" ht="12.75" hidden="false" customHeight="true" outlineLevel="0" collapsed="false">
      <c r="A834" s="4" t="s">
        <v>2809</v>
      </c>
      <c r="B834" s="5" t="n">
        <v>0.04</v>
      </c>
      <c r="C834" s="1" t="str">
        <f aca="false">IF(B834="NEW ROUTE",1,"")</f>
        <v/>
      </c>
      <c r="E834" s="5" t="n">
        <v>0.04</v>
      </c>
      <c r="F834" s="6" t="e">
        <f aca="false">VLOOKUP(E834,$K$2:$L$426,2,FALSE())</f>
        <v>#N/A</v>
      </c>
      <c r="G834" s="1" t="str">
        <f aca="false">IF(ISNA(F834),"",F834)</f>
        <v/>
      </c>
      <c r="H834" s="5" t="n">
        <f aca="false">IF(G834&lt;&gt;"",G834,E834)</f>
        <v>0.04</v>
      </c>
    </row>
    <row r="835" customFormat="false" ht="12.75" hidden="false" customHeight="true" outlineLevel="0" collapsed="false">
      <c r="A835" s="4" t="s">
        <v>3096</v>
      </c>
      <c r="B835" s="5" t="s">
        <v>3096</v>
      </c>
      <c r="C835" s="1" t="str">
        <f aca="false">IF(B835="NEW ROUTE",1,"")</f>
        <v/>
      </c>
      <c r="E835" s="5" t="s">
        <v>3096</v>
      </c>
      <c r="F835" s="6" t="e">
        <f aca="false">VLOOKUP(E835,$K$2:$L$426,2,FALSE())</f>
        <v>#N/A</v>
      </c>
      <c r="G835" s="1" t="str">
        <f aca="false">IF(ISNA(F835),"",F835)</f>
        <v/>
      </c>
      <c r="H835" s="5" t="str">
        <f aca="false">IF(G835&lt;&gt;"",G835,E835)</f>
        <v>40, 40, MACHOKE</v>
      </c>
    </row>
    <row r="836" customFormat="false" ht="12.75" hidden="false" customHeight="true" outlineLevel="0" collapsed="false">
      <c r="A836" s="4" t="s">
        <v>3096</v>
      </c>
      <c r="B836" s="5" t="s">
        <v>3096</v>
      </c>
      <c r="C836" s="1" t="str">
        <f aca="false">IF(B836="NEW ROUTE",1,"")</f>
        <v/>
      </c>
      <c r="E836" s="5" t="s">
        <v>3096</v>
      </c>
      <c r="F836" s="6" t="e">
        <f aca="false">VLOOKUP(E836,$K$2:$L$426,2,FALSE())</f>
        <v>#N/A</v>
      </c>
      <c r="G836" s="1" t="str">
        <f aca="false">IF(ISNA(F836),"",F836)</f>
        <v/>
      </c>
      <c r="H836" s="5" t="str">
        <f aca="false">IF(G836&lt;&gt;"",G836,E836)</f>
        <v>40, 40, MACHOKE</v>
      </c>
    </row>
    <row r="837" customFormat="false" ht="12.75" hidden="false" customHeight="true" outlineLevel="0" collapsed="false">
      <c r="A837" s="4" t="s">
        <v>2812</v>
      </c>
      <c r="B837" s="5" t="n">
        <v>0.01</v>
      </c>
      <c r="C837" s="1" t="str">
        <f aca="false">IF(B837="NEW ROUTE",1,"")</f>
        <v/>
      </c>
      <c r="E837" s="5" t="n">
        <v>0.01</v>
      </c>
      <c r="F837" s="6" t="e">
        <f aca="false">VLOOKUP(E837,$K$2:$L$426,2,FALSE())</f>
        <v>#N/A</v>
      </c>
      <c r="G837" s="1" t="str">
        <f aca="false">IF(ISNA(F837),"",F837)</f>
        <v/>
      </c>
      <c r="H837" s="5" t="n">
        <f aca="false">IF(G837&lt;&gt;"",G837,E837)</f>
        <v>0.01</v>
      </c>
    </row>
    <row r="838" customFormat="false" ht="12.75" hidden="false" customHeight="true" outlineLevel="0" collapsed="false">
      <c r="A838" s="4" t="s">
        <v>3096</v>
      </c>
      <c r="B838" s="5" t="s">
        <v>3096</v>
      </c>
      <c r="C838" s="1" t="str">
        <f aca="false">IF(B838="NEW ROUTE",1,"")</f>
        <v/>
      </c>
      <c r="E838" s="5" t="s">
        <v>3096</v>
      </c>
      <c r="F838" s="6" t="e">
        <f aca="false">VLOOKUP(E838,$K$2:$L$426,2,FALSE())</f>
        <v>#N/A</v>
      </c>
      <c r="G838" s="1" t="str">
        <f aca="false">IF(ISNA(F838),"",F838)</f>
        <v/>
      </c>
      <c r="H838" s="5" t="str">
        <f aca="false">IF(G838&lt;&gt;"",G838,E838)</f>
        <v>40, 40, MACHOKE</v>
      </c>
    </row>
    <row r="839" customFormat="false" ht="12.75" hidden="false" customHeight="true" outlineLevel="0" collapsed="false">
      <c r="A839" s="4" t="s">
        <v>3096</v>
      </c>
      <c r="B839" s="5" t="s">
        <v>3096</v>
      </c>
      <c r="C839" s="1" t="str">
        <f aca="false">IF(B839="NEW ROUTE",1,"")</f>
        <v/>
      </c>
      <c r="E839" s="5" t="s">
        <v>3096</v>
      </c>
      <c r="F839" s="6" t="e">
        <f aca="false">VLOOKUP(E839,$K$2:$L$426,2,FALSE())</f>
        <v>#N/A</v>
      </c>
      <c r="G839" s="1" t="str">
        <f aca="false">IF(ISNA(F839),"",F839)</f>
        <v/>
      </c>
      <c r="H839" s="5" t="str">
        <f aca="false">IF(G839&lt;&gt;"",G839,E839)</f>
        <v>40, 40, MACHOKE</v>
      </c>
    </row>
    <row r="840" customFormat="false" ht="12.75" hidden="false" customHeight="true" outlineLevel="0" collapsed="false">
      <c r="A840" s="4" t="s">
        <v>2999</v>
      </c>
      <c r="B840" s="5" t="s">
        <v>2999</v>
      </c>
      <c r="C840" s="1" t="str">
        <f aca="false">IF(B840="NEW ROUTE",1,"")</f>
        <v/>
      </c>
      <c r="E840" s="5" t="s">
        <v>2999</v>
      </c>
      <c r="F840" s="6" t="e">
        <f aca="false">VLOOKUP(E840,$K$2:$L$426,2,FALSE())</f>
        <v>#N/A</v>
      </c>
      <c r="G840" s="1" t="str">
        <f aca="false">IF(ISNA(F840),"",F840)</f>
        <v/>
      </c>
      <c r="H840" s="5" t="str">
        <f aca="false">IF(G840&lt;&gt;"",G840,E840)</f>
        <v>50, 5, 20, GEODUDE</v>
      </c>
    </row>
    <row r="841" customFormat="false" ht="12.75" hidden="false" customHeight="true" outlineLevel="0" collapsed="false">
      <c r="A841" s="4" t="s">
        <v>3000</v>
      </c>
      <c r="B841" s="5" t="s">
        <v>3000</v>
      </c>
      <c r="C841" s="1" t="str">
        <f aca="false">IF(B841="NEW ROUTE",1,"")</f>
        <v/>
      </c>
      <c r="E841" s="5" t="s">
        <v>3000</v>
      </c>
      <c r="F841" s="6" t="e">
        <f aca="false">VLOOKUP(E841,$K$2:$L$426,2,FALSE())</f>
        <v>#N/A</v>
      </c>
      <c r="G841" s="1" t="str">
        <f aca="false">IF(ISNA(F841),"",F841)</f>
        <v/>
      </c>
      <c r="H841" s="5" t="str">
        <f aca="false">IF(G841&lt;&gt;"",G841,E841)</f>
        <v>10, 20, GEODUDE</v>
      </c>
    </row>
    <row r="842" customFormat="false" ht="12.75" hidden="false" customHeight="true" outlineLevel="0" collapsed="false">
      <c r="A842" s="4" t="s">
        <v>3001</v>
      </c>
      <c r="B842" s="5" t="s">
        <v>3001</v>
      </c>
      <c r="C842" s="1" t="str">
        <f aca="false">IF(B842="NEW ROUTE",1,"")</f>
        <v/>
      </c>
      <c r="E842" s="5" t="s">
        <v>3001</v>
      </c>
      <c r="F842" s="6" t="e">
        <f aca="false">VLOOKUP(E842,$K$2:$L$426,2,FALSE())</f>
        <v>#N/A</v>
      </c>
      <c r="G842" s="1" t="str">
        <f aca="false">IF(ISNA(F842),"",F842)</f>
        <v/>
      </c>
      <c r="H842" s="5" t="str">
        <f aca="false">IF(G842&lt;&gt;"",G842,E842)</f>
        <v>15, 30, GEODUDE</v>
      </c>
    </row>
    <row r="843" customFormat="false" ht="12.75" hidden="false" customHeight="true" outlineLevel="0" collapsed="false">
      <c r="A843" s="4" t="s">
        <v>3002</v>
      </c>
      <c r="B843" s="5" t="s">
        <v>3002</v>
      </c>
      <c r="C843" s="1" t="str">
        <f aca="false">IF(B843="NEW ROUTE",1,"")</f>
        <v/>
      </c>
      <c r="E843" s="5" t="s">
        <v>3002</v>
      </c>
      <c r="F843" s="6" t="e">
        <f aca="false">VLOOKUP(E843,$K$2:$L$426,2,FALSE())</f>
        <v>#N/A</v>
      </c>
      <c r="G843" s="1" t="str">
        <f aca="false">IF(ISNA(F843),"",F843)</f>
        <v/>
      </c>
      <c r="H843" s="5" t="str">
        <f aca="false">IF(G843&lt;&gt;"",G843,E843)</f>
        <v>25, 40, GRAVELER</v>
      </c>
    </row>
    <row r="844" customFormat="false" ht="12.75" hidden="false" customHeight="true" outlineLevel="0" collapsed="false">
      <c r="A844" s="4" t="s">
        <v>3233</v>
      </c>
      <c r="B844" s="5" t="s">
        <v>3233</v>
      </c>
      <c r="C844" s="1" t="str">
        <f aca="false">IF(B844="NEW ROUTE",1,"")</f>
        <v/>
      </c>
      <c r="E844" s="5" t="s">
        <v>3233</v>
      </c>
      <c r="F844" s="6" t="e">
        <f aca="false">VLOOKUP(E844,$K$2:$L$426,2,FALSE())</f>
        <v>#N/A</v>
      </c>
      <c r="G844" s="1" t="str">
        <f aca="false">IF(ISNA(F844),"",F844)</f>
        <v/>
      </c>
      <c r="H844" s="5" t="str">
        <f aca="false">IF(G844&lt;&gt;"",G844,E844)</f>
        <v>30, 40, GRAVELER</v>
      </c>
    </row>
    <row r="845" customFormat="false" ht="12.75" hidden="false" customHeight="true" outlineLevel="0" collapsed="false">
      <c r="A845" s="4" t="s">
        <v>2536</v>
      </c>
      <c r="B845" s="5" t="s">
        <v>2536</v>
      </c>
      <c r="C845" s="1" t="n">
        <f aca="false">IF(B845="NEW ROUTE",1,"")</f>
        <v>1</v>
      </c>
      <c r="E845" s="5" t="s">
        <v>2536</v>
      </c>
      <c r="F845" s="6" t="e">
        <f aca="false">VLOOKUP(E845,$K$2:$L$426,2,FALSE())</f>
        <v>#N/A</v>
      </c>
      <c r="G845" s="1" t="str">
        <f aca="false">IF(ISNA(F845),"",F845)</f>
        <v/>
      </c>
      <c r="H845" s="5" t="str">
        <f aca="false">IF(G845&lt;&gt;"",G845,E845)</f>
        <v>NEW ROUTE</v>
      </c>
    </row>
    <row r="846" customFormat="false" ht="12.75" hidden="false" customHeight="true" outlineLevel="0" collapsed="false">
      <c r="A846" s="4" t="s">
        <v>212</v>
      </c>
      <c r="B846" s="5" t="s">
        <v>212</v>
      </c>
      <c r="C846" s="1" t="str">
        <f aca="false">IF(B846="NEW ROUTE",1,"")</f>
        <v/>
      </c>
      <c r="E846" s="5" t="s">
        <v>212</v>
      </c>
      <c r="F846" s="6" t="str">
        <f aca="false">VLOOKUP(E846,$K$2:$L$426,2,FALSE())</f>
        <v>Mt. Ember Summit Path 3F</v>
      </c>
      <c r="G846" s="1" t="str">
        <f aca="false">IF(ISNA(F846),"",F846)</f>
        <v>Mt. Ember Summit Path 3F</v>
      </c>
      <c r="H846" s="5" t="str">
        <f aca="false">IF(G846&lt;&gt;"",G846,E846)</f>
        <v>Mt. Ember Summit Path 3F</v>
      </c>
    </row>
    <row r="847" customFormat="false" ht="12.75" hidden="false" customHeight="true" outlineLevel="0" collapsed="false">
      <c r="A847" s="4" t="s">
        <v>2799</v>
      </c>
      <c r="B847" s="5" t="n">
        <v>0.2</v>
      </c>
      <c r="C847" s="1" t="str">
        <f aca="false">IF(B847="NEW ROUTE",1,"")</f>
        <v/>
      </c>
      <c r="E847" s="5" t="n">
        <v>0.2</v>
      </c>
      <c r="F847" s="6" t="e">
        <f aca="false">VLOOKUP(E847,$K$2:$L$426,2,FALSE())</f>
        <v>#N/A</v>
      </c>
      <c r="G847" s="1" t="str">
        <f aca="false">IF(ISNA(F847),"",F847)</f>
        <v/>
      </c>
      <c r="H847" s="5" t="n">
        <f aca="false">IF(G847&lt;&gt;"",G847,E847)</f>
        <v>0.2</v>
      </c>
    </row>
    <row r="848" customFormat="false" ht="12.75" hidden="false" customHeight="true" outlineLevel="0" collapsed="false">
      <c r="A848" s="4" t="s">
        <v>1507</v>
      </c>
      <c r="B848" s="5" t="s">
        <v>1507</v>
      </c>
      <c r="C848" s="1" t="str">
        <f aca="false">IF(B848="NEW ROUTE",1,"")</f>
        <v/>
      </c>
      <c r="E848" s="5" t="s">
        <v>1507</v>
      </c>
      <c r="F848" s="6" t="e">
        <f aca="false">VLOOKUP(E848,$K$2:$L$426,2,FALSE())</f>
        <v>#N/A</v>
      </c>
      <c r="G848" s="1" t="str">
        <f aca="false">IF(ISNA(F848),"",F848)</f>
        <v/>
      </c>
      <c r="H848" s="5" t="str">
        <f aca="false">IF(G848&lt;&gt;"",G848,E848)</f>
        <v>33, 33, GEODUDE</v>
      </c>
    </row>
    <row r="849" customFormat="false" ht="12.75" hidden="false" customHeight="true" outlineLevel="0" collapsed="false">
      <c r="A849" s="4" t="s">
        <v>3072</v>
      </c>
      <c r="B849" s="5" t="s">
        <v>3072</v>
      </c>
      <c r="C849" s="1" t="str">
        <f aca="false">IF(B849="NEW ROUTE",1,"")</f>
        <v/>
      </c>
      <c r="E849" s="5" t="s">
        <v>3072</v>
      </c>
      <c r="F849" s="6" t="e">
        <f aca="false">VLOOKUP(E849,$K$2:$L$426,2,FALSE())</f>
        <v>#N/A</v>
      </c>
      <c r="G849" s="1" t="str">
        <f aca="false">IF(ISNA(F849),"",F849)</f>
        <v/>
      </c>
      <c r="H849" s="5" t="str">
        <f aca="false">IF(G849&lt;&gt;"",G849,E849)</f>
        <v>35, 35, MACHOP</v>
      </c>
    </row>
    <row r="850" customFormat="false" ht="12.75" hidden="false" customHeight="true" outlineLevel="0" collapsed="false">
      <c r="A850" s="4" t="s">
        <v>2801</v>
      </c>
      <c r="B850" s="5" t="n">
        <v>0.1</v>
      </c>
      <c r="C850" s="1" t="str">
        <f aca="false">IF(B850="NEW ROUTE",1,"")</f>
        <v/>
      </c>
      <c r="E850" s="5" t="n">
        <v>0.1</v>
      </c>
      <c r="F850" s="6" t="e">
        <f aca="false">VLOOKUP(E850,$K$2:$L$426,2,FALSE())</f>
        <v>#N/A</v>
      </c>
      <c r="G850" s="1" t="str">
        <f aca="false">IF(ISNA(F850),"",F850)</f>
        <v/>
      </c>
      <c r="H850" s="5" t="n">
        <f aca="false">IF(G850&lt;&gt;"",G850,E850)</f>
        <v>0.1</v>
      </c>
    </row>
    <row r="851" customFormat="false" ht="12.75" hidden="false" customHeight="true" outlineLevel="0" collapsed="false">
      <c r="A851" s="4" t="s">
        <v>3080</v>
      </c>
      <c r="B851" s="5" t="s">
        <v>3080</v>
      </c>
      <c r="C851" s="1" t="str">
        <f aca="false">IF(B851="NEW ROUTE",1,"")</f>
        <v/>
      </c>
      <c r="E851" s="5" t="s">
        <v>3080</v>
      </c>
      <c r="F851" s="6" t="e">
        <f aca="false">VLOOKUP(E851,$K$2:$L$426,2,FALSE())</f>
        <v>#N/A</v>
      </c>
      <c r="G851" s="1" t="str">
        <f aca="false">IF(ISNA(F851),"",F851)</f>
        <v/>
      </c>
      <c r="H851" s="5" t="str">
        <f aca="false">IF(G851&lt;&gt;"",G851,E851)</f>
        <v>29, 29, GEODUDE</v>
      </c>
    </row>
    <row r="852" customFormat="false" ht="12.75" hidden="false" customHeight="true" outlineLevel="0" collapsed="false">
      <c r="A852" s="4" t="s">
        <v>3081</v>
      </c>
      <c r="B852" s="5" t="s">
        <v>3081</v>
      </c>
      <c r="C852" s="1" t="str">
        <f aca="false">IF(B852="NEW ROUTE",1,"")</f>
        <v/>
      </c>
      <c r="E852" s="5" t="s">
        <v>3081</v>
      </c>
      <c r="F852" s="6" t="e">
        <f aca="false">VLOOKUP(E852,$K$2:$L$426,2,FALSE())</f>
        <v>#N/A</v>
      </c>
      <c r="G852" s="1" t="str">
        <f aca="false">IF(ISNA(F852),"",F852)</f>
        <v/>
      </c>
      <c r="H852" s="5" t="str">
        <f aca="false">IF(G852&lt;&gt;"",G852,E852)</f>
        <v>31, 31, GEODUDE</v>
      </c>
    </row>
    <row r="853" customFormat="false" ht="12.75" hidden="false" customHeight="true" outlineLevel="0" collapsed="false">
      <c r="A853" s="4" t="s">
        <v>3082</v>
      </c>
      <c r="B853" s="5" t="s">
        <v>3082</v>
      </c>
      <c r="C853" s="1" t="str">
        <f aca="false">IF(B853="NEW ROUTE",1,"")</f>
        <v/>
      </c>
      <c r="E853" s="5" t="s">
        <v>3082</v>
      </c>
      <c r="F853" s="6" t="e">
        <f aca="false">VLOOKUP(E853,$K$2:$L$426,2,FALSE())</f>
        <v>#N/A</v>
      </c>
      <c r="G853" s="1" t="str">
        <f aca="false">IF(ISNA(F853),"",F853)</f>
        <v/>
      </c>
      <c r="H853" s="5" t="str">
        <f aca="false">IF(G853&lt;&gt;"",G853,E853)</f>
        <v>31, 31, MACHOP</v>
      </c>
    </row>
    <row r="854" customFormat="false" ht="12.75" hidden="false" customHeight="true" outlineLevel="0" collapsed="false">
      <c r="A854" s="4" t="s">
        <v>3083</v>
      </c>
      <c r="B854" s="5" t="s">
        <v>3083</v>
      </c>
      <c r="C854" s="1" t="str">
        <f aca="false">IF(B854="NEW ROUTE",1,"")</f>
        <v/>
      </c>
      <c r="E854" s="5" t="s">
        <v>3083</v>
      </c>
      <c r="F854" s="6" t="e">
        <f aca="false">VLOOKUP(E854,$K$2:$L$426,2,FALSE())</f>
        <v>#N/A</v>
      </c>
      <c r="G854" s="1" t="str">
        <f aca="false">IF(ISNA(F854),"",F854)</f>
        <v/>
      </c>
      <c r="H854" s="5" t="str">
        <f aca="false">IF(G854&lt;&gt;"",G854,E854)</f>
        <v>33, 33, MACHOP</v>
      </c>
    </row>
    <row r="855" customFormat="false" ht="12.75" hidden="false" customHeight="true" outlineLevel="0" collapsed="false">
      <c r="A855" s="4" t="s">
        <v>2806</v>
      </c>
      <c r="B855" s="5" t="n">
        <v>0.05</v>
      </c>
      <c r="C855" s="1" t="str">
        <f aca="false">IF(B855="NEW ROUTE",1,"")</f>
        <v/>
      </c>
      <c r="E855" s="5" t="n">
        <v>0.05</v>
      </c>
      <c r="F855" s="6" t="e">
        <f aca="false">VLOOKUP(E855,$K$2:$L$426,2,FALSE())</f>
        <v>#N/A</v>
      </c>
      <c r="G855" s="1" t="str">
        <f aca="false">IF(ISNA(F855),"",F855)</f>
        <v/>
      </c>
      <c r="H855" s="5" t="n">
        <f aca="false">IF(G855&lt;&gt;"",G855,E855)</f>
        <v>0.05</v>
      </c>
    </row>
    <row r="856" customFormat="false" ht="12.75" hidden="false" customHeight="true" outlineLevel="0" collapsed="false">
      <c r="A856" s="4" t="s">
        <v>3084</v>
      </c>
      <c r="B856" s="5" t="s">
        <v>3084</v>
      </c>
      <c r="C856" s="1" t="str">
        <f aca="false">IF(B856="NEW ROUTE",1,"")</f>
        <v/>
      </c>
      <c r="E856" s="5" t="s">
        <v>3084</v>
      </c>
      <c r="F856" s="6" t="e">
        <f aca="false">VLOOKUP(E856,$K$2:$L$426,2,FALSE())</f>
        <v>#N/A</v>
      </c>
      <c r="G856" s="1" t="str">
        <f aca="false">IF(ISNA(F856),"",F856)</f>
        <v/>
      </c>
      <c r="H856" s="5" t="str">
        <f aca="false">IF(G856&lt;&gt;"",G856,E856)</f>
        <v>35, 35, GEODUDE</v>
      </c>
    </row>
    <row r="857" customFormat="false" ht="12.75" hidden="false" customHeight="true" outlineLevel="0" collapsed="false">
      <c r="A857" s="4" t="s">
        <v>3085</v>
      </c>
      <c r="B857" s="5" t="s">
        <v>3085</v>
      </c>
      <c r="C857" s="1" t="str">
        <f aca="false">IF(B857="NEW ROUTE",1,"")</f>
        <v/>
      </c>
      <c r="E857" s="5" t="s">
        <v>3085</v>
      </c>
      <c r="F857" s="6" t="e">
        <f aca="false">VLOOKUP(E857,$K$2:$L$426,2,FALSE())</f>
        <v>#N/A</v>
      </c>
      <c r="G857" s="1" t="str">
        <f aca="false">IF(ISNA(F857),"",F857)</f>
        <v/>
      </c>
      <c r="H857" s="5" t="str">
        <f aca="false">IF(G857&lt;&gt;"",G857,E857)</f>
        <v>37, 37, MACHOP</v>
      </c>
    </row>
    <row r="858" customFormat="false" ht="12.75" hidden="false" customHeight="true" outlineLevel="0" collapsed="false">
      <c r="A858" s="4" t="s">
        <v>2809</v>
      </c>
      <c r="B858" s="5" t="n">
        <v>0.04</v>
      </c>
      <c r="C858" s="1" t="str">
        <f aca="false">IF(B858="NEW ROUTE",1,"")</f>
        <v/>
      </c>
      <c r="E858" s="5" t="n">
        <v>0.04</v>
      </c>
      <c r="F858" s="6" t="e">
        <f aca="false">VLOOKUP(E858,$K$2:$L$426,2,FALSE())</f>
        <v>#N/A</v>
      </c>
      <c r="G858" s="1" t="str">
        <f aca="false">IF(ISNA(F858),"",F858)</f>
        <v/>
      </c>
      <c r="H858" s="5" t="n">
        <f aca="false">IF(G858&lt;&gt;"",G858,E858)</f>
        <v>0.04</v>
      </c>
    </row>
    <row r="859" customFormat="false" ht="12.75" hidden="false" customHeight="true" outlineLevel="0" collapsed="false">
      <c r="A859" s="4" t="s">
        <v>3086</v>
      </c>
      <c r="B859" s="5" t="s">
        <v>3086</v>
      </c>
      <c r="C859" s="1" t="str">
        <f aca="false">IF(B859="NEW ROUTE",1,"")</f>
        <v/>
      </c>
      <c r="E859" s="5" t="s">
        <v>3086</v>
      </c>
      <c r="F859" s="6" t="e">
        <f aca="false">VLOOKUP(E859,$K$2:$L$426,2,FALSE())</f>
        <v>#N/A</v>
      </c>
      <c r="G859" s="1" t="str">
        <f aca="false">IF(ISNA(F859),"",F859)</f>
        <v/>
      </c>
      <c r="H859" s="5" t="str">
        <f aca="false">IF(G859&lt;&gt;"",G859,E859)</f>
        <v>37, 37, GEODUDE</v>
      </c>
    </row>
    <row r="860" customFormat="false" ht="12.75" hidden="false" customHeight="true" outlineLevel="0" collapsed="false">
      <c r="A860" s="4" t="s">
        <v>3087</v>
      </c>
      <c r="B860" s="5" t="s">
        <v>3087</v>
      </c>
      <c r="C860" s="1" t="str">
        <f aca="false">IF(B860="NEW ROUTE",1,"")</f>
        <v/>
      </c>
      <c r="E860" s="5" t="s">
        <v>3087</v>
      </c>
      <c r="F860" s="6" t="e">
        <f aca="false">VLOOKUP(E860,$K$2:$L$426,2,FALSE())</f>
        <v>#N/A</v>
      </c>
      <c r="G860" s="1" t="str">
        <f aca="false">IF(ISNA(F860),"",F860)</f>
        <v/>
      </c>
      <c r="H860" s="5" t="str">
        <f aca="false">IF(G860&lt;&gt;"",G860,E860)</f>
        <v>39, 39, MACHOP</v>
      </c>
    </row>
    <row r="861" customFormat="false" ht="12.75" hidden="false" customHeight="true" outlineLevel="0" collapsed="false">
      <c r="A861" s="4" t="s">
        <v>2812</v>
      </c>
      <c r="B861" s="5" t="n">
        <v>0.01</v>
      </c>
      <c r="C861" s="1" t="str">
        <f aca="false">IF(B861="NEW ROUTE",1,"")</f>
        <v/>
      </c>
      <c r="E861" s="5" t="n">
        <v>0.01</v>
      </c>
      <c r="F861" s="6" t="e">
        <f aca="false">VLOOKUP(E861,$K$2:$L$426,2,FALSE())</f>
        <v>#N/A</v>
      </c>
      <c r="G861" s="1" t="str">
        <f aca="false">IF(ISNA(F861),"",F861)</f>
        <v/>
      </c>
      <c r="H861" s="5" t="n">
        <f aca="false">IF(G861&lt;&gt;"",G861,E861)</f>
        <v>0.01</v>
      </c>
    </row>
    <row r="862" customFormat="false" ht="12.75" hidden="false" customHeight="true" outlineLevel="0" collapsed="false">
      <c r="A862" s="4" t="s">
        <v>3086</v>
      </c>
      <c r="B862" s="5" t="s">
        <v>3086</v>
      </c>
      <c r="C862" s="1" t="str">
        <f aca="false">IF(B862="NEW ROUTE",1,"")</f>
        <v/>
      </c>
      <c r="E862" s="5" t="s">
        <v>3086</v>
      </c>
      <c r="F862" s="6" t="e">
        <f aca="false">VLOOKUP(E862,$K$2:$L$426,2,FALSE())</f>
        <v>#N/A</v>
      </c>
      <c r="G862" s="1" t="str">
        <f aca="false">IF(ISNA(F862),"",F862)</f>
        <v/>
      </c>
      <c r="H862" s="5" t="str">
        <f aca="false">IF(G862&lt;&gt;"",G862,E862)</f>
        <v>37, 37, GEODUDE</v>
      </c>
    </row>
    <row r="863" customFormat="false" ht="12.75" hidden="false" customHeight="true" outlineLevel="0" collapsed="false">
      <c r="A863" s="4" t="s">
        <v>3087</v>
      </c>
      <c r="B863" s="5" t="s">
        <v>3087</v>
      </c>
      <c r="C863" s="1" t="str">
        <f aca="false">IF(B863="NEW ROUTE",1,"")</f>
        <v/>
      </c>
      <c r="E863" s="5" t="s">
        <v>3087</v>
      </c>
      <c r="F863" s="6" t="e">
        <f aca="false">VLOOKUP(E863,$K$2:$L$426,2,FALSE())</f>
        <v>#N/A</v>
      </c>
      <c r="G863" s="1" t="str">
        <f aca="false">IF(ISNA(F863),"",F863)</f>
        <v/>
      </c>
      <c r="H863" s="5" t="str">
        <f aca="false">IF(G863&lt;&gt;"",G863,E863)</f>
        <v>39, 39, MACHOP</v>
      </c>
    </row>
    <row r="864" customFormat="false" ht="12.75" hidden="false" customHeight="true" outlineLevel="0" collapsed="false">
      <c r="A864" s="4" t="s">
        <v>2536</v>
      </c>
      <c r="B864" s="5" t="s">
        <v>2536</v>
      </c>
      <c r="C864" s="1" t="n">
        <f aca="false">IF(B864="NEW ROUTE",1,"")</f>
        <v>1</v>
      </c>
      <c r="E864" s="5" t="s">
        <v>2536</v>
      </c>
      <c r="F864" s="6" t="e">
        <f aca="false">VLOOKUP(E864,$K$2:$L$426,2,FALSE())</f>
        <v>#N/A</v>
      </c>
      <c r="G864" s="1" t="str">
        <f aca="false">IF(ISNA(F864),"",F864)</f>
        <v/>
      </c>
      <c r="H864" s="5" t="str">
        <f aca="false">IF(G864&lt;&gt;"",G864,E864)</f>
        <v>NEW ROUTE</v>
      </c>
    </row>
    <row r="865" customFormat="false" ht="12.75" hidden="false" customHeight="true" outlineLevel="0" collapsed="false">
      <c r="A865" s="4" t="s">
        <v>218</v>
      </c>
      <c r="B865" s="5" t="s">
        <v>218</v>
      </c>
      <c r="C865" s="1" t="str">
        <f aca="false">IF(B865="NEW ROUTE",1,"")</f>
        <v/>
      </c>
      <c r="E865" s="5" t="s">
        <v>218</v>
      </c>
      <c r="F865" s="6" t="str">
        <f aca="false">VLOOKUP(E865,$K$2:$L$426,2,FALSE())</f>
        <v>Mt. Ember Ruby Path 1F</v>
      </c>
      <c r="G865" s="1" t="str">
        <f aca="false">IF(ISNA(F865),"",F865)</f>
        <v>Mt. Ember Ruby Path 1F</v>
      </c>
      <c r="H865" s="5" t="str">
        <f aca="false">IF(G865&lt;&gt;"",G865,E865)</f>
        <v>Mt. Ember Ruby Path 1F</v>
      </c>
    </row>
    <row r="866" customFormat="false" ht="12.75" hidden="false" customHeight="true" outlineLevel="0" collapsed="false">
      <c r="A866" s="4" t="s">
        <v>2799</v>
      </c>
      <c r="B866" s="5" t="n">
        <v>0.2</v>
      </c>
      <c r="C866" s="1" t="str">
        <f aca="false">IF(B866="NEW ROUTE",1,"")</f>
        <v/>
      </c>
      <c r="E866" s="5" t="n">
        <v>0.2</v>
      </c>
      <c r="F866" s="6" t="e">
        <f aca="false">VLOOKUP(E866,$K$2:$L$426,2,FALSE())</f>
        <v>#N/A</v>
      </c>
      <c r="G866" s="1" t="str">
        <f aca="false">IF(ISNA(F866),"",F866)</f>
        <v/>
      </c>
      <c r="H866" s="5" t="n">
        <f aca="false">IF(G866&lt;&gt;"",G866,E866)</f>
        <v>0.2</v>
      </c>
    </row>
    <row r="867" customFormat="false" ht="12.75" hidden="false" customHeight="true" outlineLevel="0" collapsed="false">
      <c r="A867" s="4" t="s">
        <v>1529</v>
      </c>
      <c r="B867" s="5" t="s">
        <v>1529</v>
      </c>
      <c r="C867" s="1" t="str">
        <f aca="false">IF(B867="NEW ROUTE",1,"")</f>
        <v/>
      </c>
      <c r="E867" s="5" t="s">
        <v>1529</v>
      </c>
      <c r="F867" s="6" t="e">
        <f aca="false">VLOOKUP(E867,$K$2:$L$426,2,FALSE())</f>
        <v>#N/A</v>
      </c>
      <c r="G867" s="1" t="str">
        <f aca="false">IF(ISNA(F867),"",F867)</f>
        <v/>
      </c>
      <c r="H867" s="5" t="str">
        <f aca="false">IF(G867&lt;&gt;"",G867,E867)</f>
        <v>36, 36, GEODUDE</v>
      </c>
    </row>
    <row r="868" customFormat="false" ht="12.75" hidden="false" customHeight="true" outlineLevel="0" collapsed="false">
      <c r="A868" s="4" t="s">
        <v>3099</v>
      </c>
      <c r="B868" s="5" t="s">
        <v>3099</v>
      </c>
      <c r="C868" s="1" t="str">
        <f aca="false">IF(B868="NEW ROUTE",1,"")</f>
        <v/>
      </c>
      <c r="E868" s="5" t="s">
        <v>3099</v>
      </c>
      <c r="F868" s="6" t="e">
        <f aca="false">VLOOKUP(E868,$K$2:$L$426,2,FALSE())</f>
        <v>#N/A</v>
      </c>
      <c r="G868" s="1" t="str">
        <f aca="false">IF(ISNA(F868),"",F868)</f>
        <v/>
      </c>
      <c r="H868" s="5" t="str">
        <f aca="false">IF(G868&lt;&gt;"",G868,E868)</f>
        <v>38, 38, MACHOP</v>
      </c>
    </row>
    <row r="869" customFormat="false" ht="12.75" hidden="false" customHeight="true" outlineLevel="0" collapsed="false">
      <c r="A869" s="4" t="s">
        <v>2801</v>
      </c>
      <c r="B869" s="5" t="n">
        <v>0.1</v>
      </c>
      <c r="C869" s="1" t="str">
        <f aca="false">IF(B869="NEW ROUTE",1,"")</f>
        <v/>
      </c>
      <c r="E869" s="5" t="n">
        <v>0.1</v>
      </c>
      <c r="F869" s="6" t="e">
        <f aca="false">VLOOKUP(E869,$K$2:$L$426,2,FALSE())</f>
        <v>#N/A</v>
      </c>
      <c r="G869" s="1" t="str">
        <f aca="false">IF(ISNA(F869),"",F869)</f>
        <v/>
      </c>
      <c r="H869" s="5" t="n">
        <f aca="false">IF(G869&lt;&gt;"",G869,E869)</f>
        <v>0.1</v>
      </c>
    </row>
    <row r="870" customFormat="false" ht="12.75" hidden="false" customHeight="true" outlineLevel="0" collapsed="false">
      <c r="A870" s="4" t="s">
        <v>3092</v>
      </c>
      <c r="B870" s="5" t="s">
        <v>3092</v>
      </c>
      <c r="C870" s="1" t="str">
        <f aca="false">IF(B870="NEW ROUTE",1,"")</f>
        <v/>
      </c>
      <c r="E870" s="5" t="s">
        <v>3092</v>
      </c>
      <c r="F870" s="6" t="e">
        <f aca="false">VLOOKUP(E870,$K$2:$L$426,2,FALSE())</f>
        <v>#N/A</v>
      </c>
      <c r="G870" s="1" t="str">
        <f aca="false">IF(ISNA(F870),"",F870)</f>
        <v/>
      </c>
      <c r="H870" s="5" t="str">
        <f aca="false">IF(G870&lt;&gt;"",G870,E870)</f>
        <v>32, 32, GEODUDE</v>
      </c>
    </row>
    <row r="871" customFormat="false" ht="12.75" hidden="false" customHeight="true" outlineLevel="0" collapsed="false">
      <c r="A871" s="4" t="s">
        <v>1518</v>
      </c>
      <c r="B871" s="5" t="s">
        <v>1518</v>
      </c>
      <c r="C871" s="1" t="str">
        <f aca="false">IF(B871="NEW ROUTE",1,"")</f>
        <v/>
      </c>
      <c r="E871" s="5" t="s">
        <v>1518</v>
      </c>
      <c r="F871" s="6" t="e">
        <f aca="false">VLOOKUP(E871,$K$2:$L$426,2,FALSE())</f>
        <v>#N/A</v>
      </c>
      <c r="G871" s="1" t="str">
        <f aca="false">IF(ISNA(F871),"",F871)</f>
        <v/>
      </c>
      <c r="H871" s="5" t="str">
        <f aca="false">IF(G871&lt;&gt;"",G871,E871)</f>
        <v>34, 34, GEODUDE</v>
      </c>
    </row>
    <row r="872" customFormat="false" ht="12.75" hidden="false" customHeight="true" outlineLevel="0" collapsed="false">
      <c r="A872" s="4" t="s">
        <v>3094</v>
      </c>
      <c r="B872" s="5" t="s">
        <v>3094</v>
      </c>
      <c r="C872" s="1" t="str">
        <f aca="false">IF(B872="NEW ROUTE",1,"")</f>
        <v/>
      </c>
      <c r="E872" s="5" t="s">
        <v>3094</v>
      </c>
      <c r="F872" s="6" t="e">
        <f aca="false">VLOOKUP(E872,$K$2:$L$426,2,FALSE())</f>
        <v>#N/A</v>
      </c>
      <c r="G872" s="1" t="str">
        <f aca="false">IF(ISNA(F872),"",F872)</f>
        <v/>
      </c>
      <c r="H872" s="5" t="str">
        <f aca="false">IF(G872&lt;&gt;"",G872,E872)</f>
        <v>34, 34, MACHOP</v>
      </c>
    </row>
    <row r="873" customFormat="false" ht="12.75" hidden="false" customHeight="true" outlineLevel="0" collapsed="false">
      <c r="A873" s="4" t="s">
        <v>3090</v>
      </c>
      <c r="B873" s="5" t="s">
        <v>3090</v>
      </c>
      <c r="C873" s="1" t="str">
        <f aca="false">IF(B873="NEW ROUTE",1,"")</f>
        <v/>
      </c>
      <c r="E873" s="5" t="s">
        <v>3090</v>
      </c>
      <c r="F873" s="6" t="e">
        <f aca="false">VLOOKUP(E873,$K$2:$L$426,2,FALSE())</f>
        <v>#N/A</v>
      </c>
      <c r="G873" s="1" t="str">
        <f aca="false">IF(ISNA(F873),"",F873)</f>
        <v/>
      </c>
      <c r="H873" s="5" t="str">
        <f aca="false">IF(G873&lt;&gt;"",G873,E873)</f>
        <v>36, 36, MACHOP</v>
      </c>
    </row>
    <row r="874" customFormat="false" ht="12.75" hidden="false" customHeight="true" outlineLevel="0" collapsed="false">
      <c r="A874" s="4" t="s">
        <v>2806</v>
      </c>
      <c r="B874" s="5" t="n">
        <v>0.05</v>
      </c>
      <c r="C874" s="1" t="str">
        <f aca="false">IF(B874="NEW ROUTE",1,"")</f>
        <v/>
      </c>
      <c r="E874" s="5" t="n">
        <v>0.05</v>
      </c>
      <c r="F874" s="6" t="e">
        <f aca="false">VLOOKUP(E874,$K$2:$L$426,2,FALSE())</f>
        <v>#N/A</v>
      </c>
      <c r="G874" s="1" t="str">
        <f aca="false">IF(ISNA(F874),"",F874)</f>
        <v/>
      </c>
      <c r="H874" s="5" t="n">
        <f aca="false">IF(G874&lt;&gt;"",G874,E874)</f>
        <v>0.05</v>
      </c>
    </row>
    <row r="875" customFormat="false" ht="12.75" hidden="false" customHeight="true" outlineLevel="0" collapsed="false">
      <c r="A875" s="4" t="s">
        <v>1541</v>
      </c>
      <c r="B875" s="5" t="s">
        <v>1541</v>
      </c>
      <c r="C875" s="1" t="str">
        <f aca="false">IF(B875="NEW ROUTE",1,"")</f>
        <v/>
      </c>
      <c r="E875" s="5" t="s">
        <v>1541</v>
      </c>
      <c r="F875" s="6" t="e">
        <f aca="false">VLOOKUP(E875,$K$2:$L$426,2,FALSE())</f>
        <v>#N/A</v>
      </c>
      <c r="G875" s="1" t="str">
        <f aca="false">IF(ISNA(F875),"",F875)</f>
        <v/>
      </c>
      <c r="H875" s="5" t="str">
        <f aca="false">IF(G875&lt;&gt;"",G875,E875)</f>
        <v>38, 38, GEODUDE</v>
      </c>
    </row>
    <row r="876" customFormat="false" ht="12.75" hidden="false" customHeight="true" outlineLevel="0" collapsed="false">
      <c r="A876" s="4" t="s">
        <v>3096</v>
      </c>
      <c r="B876" s="5" t="s">
        <v>3096</v>
      </c>
      <c r="C876" s="1" t="str">
        <f aca="false">IF(B876="NEW ROUTE",1,"")</f>
        <v/>
      </c>
      <c r="E876" s="5" t="s">
        <v>3096</v>
      </c>
      <c r="F876" s="6" t="e">
        <f aca="false">VLOOKUP(E876,$K$2:$L$426,2,FALSE())</f>
        <v>#N/A</v>
      </c>
      <c r="G876" s="1" t="str">
        <f aca="false">IF(ISNA(F876),"",F876)</f>
        <v/>
      </c>
      <c r="H876" s="5" t="str">
        <f aca="false">IF(G876&lt;&gt;"",G876,E876)</f>
        <v>40, 40, MACHOKE</v>
      </c>
    </row>
    <row r="877" customFormat="false" ht="12.75" hidden="false" customHeight="true" outlineLevel="0" collapsed="false">
      <c r="A877" s="4" t="s">
        <v>2809</v>
      </c>
      <c r="B877" s="5" t="n">
        <v>0.04</v>
      </c>
      <c r="C877" s="1" t="str">
        <f aca="false">IF(B877="NEW ROUTE",1,"")</f>
        <v/>
      </c>
      <c r="E877" s="5" t="n">
        <v>0.04</v>
      </c>
      <c r="F877" s="6" t="e">
        <f aca="false">VLOOKUP(E877,$K$2:$L$426,2,FALSE())</f>
        <v>#N/A</v>
      </c>
      <c r="G877" s="1" t="str">
        <f aca="false">IF(ISNA(F877),"",F877)</f>
        <v/>
      </c>
      <c r="H877" s="5" t="n">
        <f aca="false">IF(G877&lt;&gt;"",G877,E877)</f>
        <v>0.04</v>
      </c>
    </row>
    <row r="878" customFormat="false" ht="12.75" hidden="false" customHeight="true" outlineLevel="0" collapsed="false">
      <c r="A878" s="4" t="s">
        <v>1550</v>
      </c>
      <c r="B878" s="5" t="s">
        <v>1550</v>
      </c>
      <c r="C878" s="1" t="str">
        <f aca="false">IF(B878="NEW ROUTE",1,"")</f>
        <v/>
      </c>
      <c r="E878" s="5" t="s">
        <v>1550</v>
      </c>
      <c r="F878" s="6" t="e">
        <f aca="false">VLOOKUP(E878,$K$2:$L$426,2,FALSE())</f>
        <v>#N/A</v>
      </c>
      <c r="G878" s="1" t="str">
        <f aca="false">IF(ISNA(F878),"",F878)</f>
        <v/>
      </c>
      <c r="H878" s="5" t="str">
        <f aca="false">IF(G878&lt;&gt;"",G878,E878)</f>
        <v>40, 40, GEODUDE</v>
      </c>
    </row>
    <row r="879" customFormat="false" ht="12.75" hidden="false" customHeight="true" outlineLevel="0" collapsed="false">
      <c r="A879" s="4" t="s">
        <v>3100</v>
      </c>
      <c r="B879" s="5" t="s">
        <v>3100</v>
      </c>
      <c r="C879" s="1" t="str">
        <f aca="false">IF(B879="NEW ROUTE",1,"")</f>
        <v/>
      </c>
      <c r="E879" s="5" t="s">
        <v>3100</v>
      </c>
      <c r="F879" s="6" t="e">
        <f aca="false">VLOOKUP(E879,$K$2:$L$426,2,FALSE())</f>
        <v>#N/A</v>
      </c>
      <c r="G879" s="1" t="str">
        <f aca="false">IF(ISNA(F879),"",F879)</f>
        <v/>
      </c>
      <c r="H879" s="5" t="str">
        <f aca="false">IF(G879&lt;&gt;"",G879,E879)</f>
        <v>42, 42, MACHOKE</v>
      </c>
    </row>
    <row r="880" customFormat="false" ht="12.75" hidden="false" customHeight="true" outlineLevel="0" collapsed="false">
      <c r="A880" s="4" t="s">
        <v>2812</v>
      </c>
      <c r="B880" s="5" t="n">
        <v>0.01</v>
      </c>
      <c r="C880" s="1" t="str">
        <f aca="false">IF(B880="NEW ROUTE",1,"")</f>
        <v/>
      </c>
      <c r="E880" s="5" t="n">
        <v>0.01</v>
      </c>
      <c r="F880" s="6" t="e">
        <f aca="false">VLOOKUP(E880,$K$2:$L$426,2,FALSE())</f>
        <v>#N/A</v>
      </c>
      <c r="G880" s="1" t="str">
        <f aca="false">IF(ISNA(F880),"",F880)</f>
        <v/>
      </c>
      <c r="H880" s="5" t="n">
        <f aca="false">IF(G880&lt;&gt;"",G880,E880)</f>
        <v>0.01</v>
      </c>
    </row>
    <row r="881" customFormat="false" ht="12.75" hidden="false" customHeight="true" outlineLevel="0" collapsed="false">
      <c r="A881" s="4" t="s">
        <v>1550</v>
      </c>
      <c r="B881" s="5" t="s">
        <v>1550</v>
      </c>
      <c r="C881" s="1" t="str">
        <f aca="false">IF(B881="NEW ROUTE",1,"")</f>
        <v/>
      </c>
      <c r="E881" s="5" t="s">
        <v>1550</v>
      </c>
      <c r="F881" s="6" t="e">
        <f aca="false">VLOOKUP(E881,$K$2:$L$426,2,FALSE())</f>
        <v>#N/A</v>
      </c>
      <c r="G881" s="1" t="str">
        <f aca="false">IF(ISNA(F881),"",F881)</f>
        <v/>
      </c>
      <c r="H881" s="5" t="str">
        <f aca="false">IF(G881&lt;&gt;"",G881,E881)</f>
        <v>40, 40, GEODUDE</v>
      </c>
    </row>
    <row r="882" customFormat="false" ht="12.75" hidden="false" customHeight="true" outlineLevel="0" collapsed="false">
      <c r="A882" s="4" t="s">
        <v>3100</v>
      </c>
      <c r="B882" s="5" t="s">
        <v>3100</v>
      </c>
      <c r="C882" s="1" t="str">
        <f aca="false">IF(B882="NEW ROUTE",1,"")</f>
        <v/>
      </c>
      <c r="E882" s="5" t="s">
        <v>3100</v>
      </c>
      <c r="F882" s="6" t="e">
        <f aca="false">VLOOKUP(E882,$K$2:$L$426,2,FALSE())</f>
        <v>#N/A</v>
      </c>
      <c r="G882" s="1" t="str">
        <f aca="false">IF(ISNA(F882),"",F882)</f>
        <v/>
      </c>
      <c r="H882" s="5" t="str">
        <f aca="false">IF(G882&lt;&gt;"",G882,E882)</f>
        <v>42, 42, MACHOKE</v>
      </c>
    </row>
    <row r="883" customFormat="false" ht="12.75" hidden="false" customHeight="true" outlineLevel="0" collapsed="false">
      <c r="A883" s="4" t="s">
        <v>3101</v>
      </c>
      <c r="B883" s="5" t="s">
        <v>3101</v>
      </c>
      <c r="C883" s="1" t="str">
        <f aca="false">IF(B883="NEW ROUTE",1,"")</f>
        <v/>
      </c>
      <c r="E883" s="5" t="s">
        <v>3101</v>
      </c>
      <c r="F883" s="6" t="e">
        <f aca="false">VLOOKUP(E883,$K$2:$L$426,2,FALSE())</f>
        <v>#N/A</v>
      </c>
      <c r="G883" s="1" t="str">
        <f aca="false">IF(ISNA(F883),"",F883)</f>
        <v/>
      </c>
      <c r="H883" s="5" t="str">
        <f aca="false">IF(G883&lt;&gt;"",G883,E883)</f>
        <v>50, 25, 35, GEODUDE</v>
      </c>
    </row>
    <row r="884" customFormat="false" ht="12.75" hidden="false" customHeight="true" outlineLevel="0" collapsed="false">
      <c r="A884" s="4" t="s">
        <v>3102</v>
      </c>
      <c r="B884" s="5" t="s">
        <v>3102</v>
      </c>
      <c r="C884" s="1" t="str">
        <f aca="false">IF(B884="NEW ROUTE",1,"")</f>
        <v/>
      </c>
      <c r="E884" s="5" t="s">
        <v>3102</v>
      </c>
      <c r="F884" s="6" t="e">
        <f aca="false">VLOOKUP(E884,$K$2:$L$426,2,FALSE())</f>
        <v>#N/A</v>
      </c>
      <c r="G884" s="1" t="str">
        <f aca="false">IF(ISNA(F884),"",F884)</f>
        <v/>
      </c>
      <c r="H884" s="5" t="str">
        <f aca="false">IF(G884&lt;&gt;"",G884,E884)</f>
        <v>30, 45, GRAVELER</v>
      </c>
    </row>
    <row r="885" customFormat="false" ht="12.75" hidden="false" customHeight="true" outlineLevel="0" collapsed="false">
      <c r="A885" s="4" t="s">
        <v>3103</v>
      </c>
      <c r="B885" s="5" t="s">
        <v>3103</v>
      </c>
      <c r="C885" s="1" t="str">
        <f aca="false">IF(B885="NEW ROUTE",1,"")</f>
        <v/>
      </c>
      <c r="E885" s="5" t="s">
        <v>3103</v>
      </c>
      <c r="F885" s="6" t="e">
        <f aca="false">VLOOKUP(E885,$K$2:$L$426,2,FALSE())</f>
        <v>#N/A</v>
      </c>
      <c r="G885" s="1" t="str">
        <f aca="false">IF(ISNA(F885),"",F885)</f>
        <v/>
      </c>
      <c r="H885" s="5" t="str">
        <f aca="false">IF(G885&lt;&gt;"",G885,E885)</f>
        <v>35, 50, GRAVELER</v>
      </c>
    </row>
    <row r="886" customFormat="false" ht="12.75" hidden="false" customHeight="true" outlineLevel="0" collapsed="false">
      <c r="A886" s="4" t="s">
        <v>3104</v>
      </c>
      <c r="B886" s="5" t="s">
        <v>3104</v>
      </c>
      <c r="C886" s="1" t="str">
        <f aca="false">IF(B886="NEW ROUTE",1,"")</f>
        <v/>
      </c>
      <c r="E886" s="5" t="s">
        <v>3104</v>
      </c>
      <c r="F886" s="6" t="e">
        <f aca="false">VLOOKUP(E886,$K$2:$L$426,2,FALSE())</f>
        <v>#N/A</v>
      </c>
      <c r="G886" s="1" t="str">
        <f aca="false">IF(ISNA(F886),"",F886)</f>
        <v/>
      </c>
      <c r="H886" s="5" t="str">
        <f aca="false">IF(G886&lt;&gt;"",G886,E886)</f>
        <v>30, 40, GEODUDE</v>
      </c>
    </row>
    <row r="887" customFormat="false" ht="12.75" hidden="false" customHeight="true" outlineLevel="0" collapsed="false">
      <c r="A887" s="4" t="s">
        <v>3104</v>
      </c>
      <c r="B887" s="5" t="s">
        <v>3104</v>
      </c>
      <c r="C887" s="1" t="str">
        <f aca="false">IF(B887="NEW ROUTE",1,"")</f>
        <v/>
      </c>
      <c r="E887" s="5" t="s">
        <v>3104</v>
      </c>
      <c r="F887" s="6" t="e">
        <f aca="false">VLOOKUP(E887,$K$2:$L$426,2,FALSE())</f>
        <v>#N/A</v>
      </c>
      <c r="G887" s="1" t="str">
        <f aca="false">IF(ISNA(F887),"",F887)</f>
        <v/>
      </c>
      <c r="H887" s="5" t="str">
        <f aca="false">IF(G887&lt;&gt;"",G887,E887)</f>
        <v>30, 40, GEODUDE</v>
      </c>
    </row>
    <row r="888" customFormat="false" ht="12.75" hidden="false" customHeight="true" outlineLevel="0" collapsed="false">
      <c r="A888" s="4" t="s">
        <v>2536</v>
      </c>
      <c r="B888" s="5" t="s">
        <v>2536</v>
      </c>
      <c r="C888" s="1" t="n">
        <f aca="false">IF(B888="NEW ROUTE",1,"")</f>
        <v>1</v>
      </c>
      <c r="E888" s="5" t="s">
        <v>2536</v>
      </c>
      <c r="F888" s="6" t="e">
        <f aca="false">VLOOKUP(E888,$K$2:$L$426,2,FALSE())</f>
        <v>#N/A</v>
      </c>
      <c r="G888" s="1" t="str">
        <f aca="false">IF(ISNA(F888),"",F888)</f>
        <v/>
      </c>
      <c r="H888" s="5" t="str">
        <f aca="false">IF(G888&lt;&gt;"",G888,E888)</f>
        <v>NEW ROUTE</v>
      </c>
    </row>
    <row r="889" customFormat="false" ht="12.75" hidden="false" customHeight="true" outlineLevel="0" collapsed="false">
      <c r="A889" s="4" t="s">
        <v>220</v>
      </c>
      <c r="B889" s="5" t="s">
        <v>220</v>
      </c>
      <c r="C889" s="1" t="str">
        <f aca="false">IF(B889="NEW ROUTE",1,"")</f>
        <v/>
      </c>
      <c r="E889" s="5" t="s">
        <v>220</v>
      </c>
      <c r="F889" s="6" t="str">
        <f aca="false">VLOOKUP(E889,$K$2:$L$426,2,FALSE())</f>
        <v>Mt. Ember Ruby Path B1F</v>
      </c>
      <c r="G889" s="1" t="str">
        <f aca="false">IF(ISNA(F889),"",F889)</f>
        <v>Mt. Ember Ruby Path B1F</v>
      </c>
      <c r="H889" s="5" t="str">
        <f aca="false">IF(G889&lt;&gt;"",G889,E889)</f>
        <v>Mt. Ember Ruby Path B1F</v>
      </c>
    </row>
    <row r="890" customFormat="false" ht="12.75" hidden="false" customHeight="true" outlineLevel="0" collapsed="false">
      <c r="A890" s="4" t="s">
        <v>2799</v>
      </c>
      <c r="B890" s="5" t="n">
        <v>0.2</v>
      </c>
      <c r="C890" s="1" t="str">
        <f aca="false">IF(B890="NEW ROUTE",1,"")</f>
        <v/>
      </c>
      <c r="E890" s="5" t="n">
        <v>0.2</v>
      </c>
      <c r="F890" s="6" t="e">
        <f aca="false">VLOOKUP(E890,$K$2:$L$426,2,FALSE())</f>
        <v>#N/A</v>
      </c>
      <c r="G890" s="1" t="str">
        <f aca="false">IF(ISNA(F890),"",F890)</f>
        <v/>
      </c>
      <c r="H890" s="5" t="n">
        <f aca="false">IF(G890&lt;&gt;"",G890,E890)</f>
        <v>0.2</v>
      </c>
    </row>
    <row r="891" customFormat="false" ht="12.75" hidden="false" customHeight="true" outlineLevel="0" collapsed="false">
      <c r="A891" s="4" t="s">
        <v>1541</v>
      </c>
      <c r="B891" s="5" t="s">
        <v>1541</v>
      </c>
      <c r="C891" s="1" t="str">
        <f aca="false">IF(B891="NEW ROUTE",1,"")</f>
        <v/>
      </c>
      <c r="E891" s="5" t="s">
        <v>1541</v>
      </c>
      <c r="F891" s="6" t="e">
        <f aca="false">VLOOKUP(E891,$K$2:$L$426,2,FALSE())</f>
        <v>#N/A</v>
      </c>
      <c r="G891" s="1" t="str">
        <f aca="false">IF(ISNA(F891),"",F891)</f>
        <v/>
      </c>
      <c r="H891" s="5" t="str">
        <f aca="false">IF(G891&lt;&gt;"",G891,E891)</f>
        <v>38, 38, GEODUDE</v>
      </c>
    </row>
    <row r="892" customFormat="false" ht="12.75" hidden="false" customHeight="true" outlineLevel="0" collapsed="false">
      <c r="A892" s="4" t="s">
        <v>1529</v>
      </c>
      <c r="B892" s="5" t="s">
        <v>1529</v>
      </c>
      <c r="C892" s="1" t="str">
        <f aca="false">IF(B892="NEW ROUTE",1,"")</f>
        <v/>
      </c>
      <c r="E892" s="5" t="s">
        <v>1529</v>
      </c>
      <c r="F892" s="6" t="e">
        <f aca="false">VLOOKUP(E892,$K$2:$L$426,2,FALSE())</f>
        <v>#N/A</v>
      </c>
      <c r="G892" s="1" t="str">
        <f aca="false">IF(ISNA(F892),"",F892)</f>
        <v/>
      </c>
      <c r="H892" s="5" t="str">
        <f aca="false">IF(G892&lt;&gt;"",G892,E892)</f>
        <v>36, 36, GEODUDE</v>
      </c>
    </row>
    <row r="893" customFormat="false" ht="12.75" hidden="false" customHeight="true" outlineLevel="0" collapsed="false">
      <c r="A893" s="4" t="s">
        <v>2801</v>
      </c>
      <c r="B893" s="5" t="n">
        <v>0.1</v>
      </c>
      <c r="C893" s="1" t="str">
        <f aca="false">IF(B893="NEW ROUTE",1,"")</f>
        <v/>
      </c>
      <c r="E893" s="5" t="n">
        <v>0.1</v>
      </c>
      <c r="F893" s="6" t="e">
        <f aca="false">VLOOKUP(E893,$K$2:$L$426,2,FALSE())</f>
        <v>#N/A</v>
      </c>
      <c r="G893" s="1" t="str">
        <f aca="false">IF(ISNA(F893),"",F893)</f>
        <v/>
      </c>
      <c r="H893" s="5" t="n">
        <f aca="false">IF(G893&lt;&gt;"",G893,E893)</f>
        <v>0.1</v>
      </c>
    </row>
    <row r="894" customFormat="false" ht="12.75" hidden="false" customHeight="true" outlineLevel="0" collapsed="false">
      <c r="A894" s="4" t="s">
        <v>1518</v>
      </c>
      <c r="B894" s="5" t="s">
        <v>1518</v>
      </c>
      <c r="C894" s="1" t="str">
        <f aca="false">IF(B894="NEW ROUTE",1,"")</f>
        <v/>
      </c>
      <c r="E894" s="5" t="s">
        <v>1518</v>
      </c>
      <c r="F894" s="6" t="e">
        <f aca="false">VLOOKUP(E894,$K$2:$L$426,2,FALSE())</f>
        <v>#N/A</v>
      </c>
      <c r="G894" s="1" t="str">
        <f aca="false">IF(ISNA(F894),"",F894)</f>
        <v/>
      </c>
      <c r="H894" s="5" t="str">
        <f aca="false">IF(G894&lt;&gt;"",G894,E894)</f>
        <v>34, 34, GEODUDE</v>
      </c>
    </row>
    <row r="895" customFormat="false" ht="12.75" hidden="false" customHeight="true" outlineLevel="0" collapsed="false">
      <c r="A895" s="4" t="s">
        <v>1550</v>
      </c>
      <c r="B895" s="5" t="s">
        <v>1550</v>
      </c>
      <c r="C895" s="1" t="str">
        <f aca="false">IF(B895="NEW ROUTE",1,"")</f>
        <v/>
      </c>
      <c r="E895" s="5" t="s">
        <v>1550</v>
      </c>
      <c r="F895" s="6" t="e">
        <f aca="false">VLOOKUP(E895,$K$2:$L$426,2,FALSE())</f>
        <v>#N/A</v>
      </c>
      <c r="G895" s="1" t="str">
        <f aca="false">IF(ISNA(F895),"",F895)</f>
        <v/>
      </c>
      <c r="H895" s="5" t="str">
        <f aca="false">IF(G895&lt;&gt;"",G895,E895)</f>
        <v>40, 40, GEODUDE</v>
      </c>
    </row>
    <row r="896" customFormat="false" ht="12.75" hidden="false" customHeight="true" outlineLevel="0" collapsed="false">
      <c r="A896" s="4" t="s">
        <v>3107</v>
      </c>
      <c r="B896" s="5" t="s">
        <v>3107</v>
      </c>
      <c r="C896" s="1" t="str">
        <f aca="false">IF(B896="NEW ROUTE",1,"")</f>
        <v/>
      </c>
      <c r="E896" s="5" t="s">
        <v>3107</v>
      </c>
      <c r="F896" s="6" t="e">
        <f aca="false">VLOOKUP(E896,$K$2:$L$426,2,FALSE())</f>
        <v>#N/A</v>
      </c>
      <c r="G896" s="1" t="str">
        <f aca="false">IF(ISNA(F896),"",F896)</f>
        <v/>
      </c>
      <c r="H896" s="5" t="str">
        <f aca="false">IF(G896&lt;&gt;"",G896,E896)</f>
        <v>24, 24, SLUGMA</v>
      </c>
    </row>
    <row r="897" customFormat="false" ht="12.75" hidden="false" customHeight="true" outlineLevel="0" collapsed="false">
      <c r="A897" s="4" t="s">
        <v>1556</v>
      </c>
      <c r="B897" s="5" t="s">
        <v>1556</v>
      </c>
      <c r="C897" s="1" t="str">
        <f aca="false">IF(B897="NEW ROUTE",1,"")</f>
        <v/>
      </c>
      <c r="E897" s="5" t="s">
        <v>1556</v>
      </c>
      <c r="F897" s="6" t="e">
        <f aca="false">VLOOKUP(E897,$K$2:$L$426,2,FALSE())</f>
        <v>#N/A</v>
      </c>
      <c r="G897" s="1" t="str">
        <f aca="false">IF(ISNA(F897),"",F897)</f>
        <v/>
      </c>
      <c r="H897" s="5" t="str">
        <f aca="false">IF(G897&lt;&gt;"",G897,E897)</f>
        <v>26, 26, SLUGMA</v>
      </c>
    </row>
    <row r="898" customFormat="false" ht="12.75" hidden="false" customHeight="true" outlineLevel="0" collapsed="false">
      <c r="A898" s="4" t="s">
        <v>2806</v>
      </c>
      <c r="B898" s="5" t="n">
        <v>0.05</v>
      </c>
      <c r="C898" s="1" t="str">
        <f aca="false">IF(B898="NEW ROUTE",1,"")</f>
        <v/>
      </c>
      <c r="E898" s="5" t="n">
        <v>0.05</v>
      </c>
      <c r="F898" s="6" t="e">
        <f aca="false">VLOOKUP(E898,$K$2:$L$426,2,FALSE())</f>
        <v>#N/A</v>
      </c>
      <c r="G898" s="1" t="str">
        <f aca="false">IF(ISNA(F898),"",F898)</f>
        <v/>
      </c>
      <c r="H898" s="5" t="n">
        <f aca="false">IF(G898&lt;&gt;"",G898,E898)</f>
        <v>0.05</v>
      </c>
    </row>
    <row r="899" customFormat="false" ht="12.75" hidden="false" customHeight="true" outlineLevel="0" collapsed="false">
      <c r="A899" s="4" t="s">
        <v>3108</v>
      </c>
      <c r="B899" s="5" t="s">
        <v>3108</v>
      </c>
      <c r="C899" s="1" t="str">
        <f aca="false">IF(B899="NEW ROUTE",1,"")</f>
        <v/>
      </c>
      <c r="E899" s="5" t="s">
        <v>3108</v>
      </c>
      <c r="F899" s="6" t="e">
        <f aca="false">VLOOKUP(E899,$K$2:$L$426,2,FALSE())</f>
        <v>#N/A</v>
      </c>
      <c r="G899" s="1" t="str">
        <f aca="false">IF(ISNA(F899),"",F899)</f>
        <v/>
      </c>
      <c r="H899" s="5" t="str">
        <f aca="false">IF(G899&lt;&gt;"",G899,E899)</f>
        <v>42, 42, GEODUDE</v>
      </c>
    </row>
    <row r="900" customFormat="false" ht="12.75" hidden="false" customHeight="true" outlineLevel="0" collapsed="false">
      <c r="A900" s="4" t="s">
        <v>3109</v>
      </c>
      <c r="B900" s="5" t="s">
        <v>3109</v>
      </c>
      <c r="C900" s="1" t="str">
        <f aca="false">IF(B900="NEW ROUTE",1,"")</f>
        <v/>
      </c>
      <c r="E900" s="5" t="s">
        <v>3109</v>
      </c>
      <c r="F900" s="6" t="e">
        <f aca="false">VLOOKUP(E900,$K$2:$L$426,2,FALSE())</f>
        <v>#N/A</v>
      </c>
      <c r="G900" s="1" t="str">
        <f aca="false">IF(ISNA(F900),"",F900)</f>
        <v/>
      </c>
      <c r="H900" s="5" t="str">
        <f aca="false">IF(G900&lt;&gt;"",G900,E900)</f>
        <v>28, 28, SLUGMA</v>
      </c>
    </row>
    <row r="901" customFormat="false" ht="12.75" hidden="false" customHeight="true" outlineLevel="0" collapsed="false">
      <c r="A901" s="4" t="s">
        <v>2809</v>
      </c>
      <c r="B901" s="5" t="n">
        <v>0.04</v>
      </c>
      <c r="C901" s="1" t="str">
        <f aca="false">IF(B901="NEW ROUTE",1,"")</f>
        <v/>
      </c>
      <c r="E901" s="5" t="n">
        <v>0.04</v>
      </c>
      <c r="F901" s="6" t="e">
        <f aca="false">VLOOKUP(E901,$K$2:$L$426,2,FALSE())</f>
        <v>#N/A</v>
      </c>
      <c r="G901" s="1" t="str">
        <f aca="false">IF(ISNA(F901),"",F901)</f>
        <v/>
      </c>
      <c r="H901" s="5" t="n">
        <f aca="false">IF(G901&lt;&gt;"",G901,E901)</f>
        <v>0.04</v>
      </c>
    </row>
    <row r="902" customFormat="false" ht="12.75" hidden="false" customHeight="true" outlineLevel="0" collapsed="false">
      <c r="A902" s="4" t="s">
        <v>3108</v>
      </c>
      <c r="B902" s="5" t="s">
        <v>3108</v>
      </c>
      <c r="C902" s="1" t="str">
        <f aca="false">IF(B902="NEW ROUTE",1,"")</f>
        <v/>
      </c>
      <c r="E902" s="5" t="s">
        <v>3108</v>
      </c>
      <c r="F902" s="6" t="e">
        <f aca="false">VLOOKUP(E902,$K$2:$L$426,2,FALSE())</f>
        <v>#N/A</v>
      </c>
      <c r="G902" s="1" t="str">
        <f aca="false">IF(ISNA(F902),"",F902)</f>
        <v/>
      </c>
      <c r="H902" s="5" t="str">
        <f aca="false">IF(G902&lt;&gt;"",G902,E902)</f>
        <v>42, 42, GEODUDE</v>
      </c>
    </row>
    <row r="903" customFormat="false" ht="12.75" hidden="false" customHeight="true" outlineLevel="0" collapsed="false">
      <c r="A903" s="4" t="s">
        <v>3110</v>
      </c>
      <c r="B903" s="5" t="s">
        <v>3110</v>
      </c>
      <c r="C903" s="1" t="str">
        <f aca="false">IF(B903="NEW ROUTE",1,"")</f>
        <v/>
      </c>
      <c r="E903" s="5" t="s">
        <v>3110</v>
      </c>
      <c r="F903" s="6" t="e">
        <f aca="false">VLOOKUP(E903,$K$2:$L$426,2,FALSE())</f>
        <v>#N/A</v>
      </c>
      <c r="G903" s="1" t="str">
        <f aca="false">IF(ISNA(F903),"",F903)</f>
        <v/>
      </c>
      <c r="H903" s="5" t="str">
        <f aca="false">IF(G903&lt;&gt;"",G903,E903)</f>
        <v>30, 30, SLUGMA</v>
      </c>
    </row>
    <row r="904" customFormat="false" ht="12.75" hidden="false" customHeight="true" outlineLevel="0" collapsed="false">
      <c r="A904" s="4" t="s">
        <v>2812</v>
      </c>
      <c r="B904" s="5" t="n">
        <v>0.01</v>
      </c>
      <c r="C904" s="1" t="str">
        <f aca="false">IF(B904="NEW ROUTE",1,"")</f>
        <v/>
      </c>
      <c r="E904" s="5" t="n">
        <v>0.01</v>
      </c>
      <c r="F904" s="6" t="e">
        <f aca="false">VLOOKUP(E904,$K$2:$L$426,2,FALSE())</f>
        <v>#N/A</v>
      </c>
      <c r="G904" s="1" t="str">
        <f aca="false">IF(ISNA(F904),"",F904)</f>
        <v/>
      </c>
      <c r="H904" s="5" t="n">
        <f aca="false">IF(G904&lt;&gt;"",G904,E904)</f>
        <v>0.01</v>
      </c>
    </row>
    <row r="905" customFormat="false" ht="12.75" hidden="false" customHeight="true" outlineLevel="0" collapsed="false">
      <c r="A905" s="4" t="s">
        <v>3108</v>
      </c>
      <c r="B905" s="5" t="s">
        <v>3108</v>
      </c>
      <c r="C905" s="1" t="str">
        <f aca="false">IF(B905="NEW ROUTE",1,"")</f>
        <v/>
      </c>
      <c r="E905" s="5" t="s">
        <v>3108</v>
      </c>
      <c r="F905" s="6" t="e">
        <f aca="false">VLOOKUP(E905,$K$2:$L$426,2,FALSE())</f>
        <v>#N/A</v>
      </c>
      <c r="G905" s="1" t="str">
        <f aca="false">IF(ISNA(F905),"",F905)</f>
        <v/>
      </c>
      <c r="H905" s="5" t="str">
        <f aca="false">IF(G905&lt;&gt;"",G905,E905)</f>
        <v>42, 42, GEODUDE</v>
      </c>
    </row>
    <row r="906" customFormat="false" ht="12.75" hidden="false" customHeight="true" outlineLevel="0" collapsed="false">
      <c r="A906" s="4" t="s">
        <v>3110</v>
      </c>
      <c r="B906" s="5" t="s">
        <v>3110</v>
      </c>
      <c r="C906" s="1" t="str">
        <f aca="false">IF(B906="NEW ROUTE",1,"")</f>
        <v/>
      </c>
      <c r="E906" s="5" t="s">
        <v>3110</v>
      </c>
      <c r="F906" s="6" t="e">
        <f aca="false">VLOOKUP(E906,$K$2:$L$426,2,FALSE())</f>
        <v>#N/A</v>
      </c>
      <c r="G906" s="1" t="str">
        <f aca="false">IF(ISNA(F906),"",F906)</f>
        <v/>
      </c>
      <c r="H906" s="5" t="str">
        <f aca="false">IF(G906&lt;&gt;"",G906,E906)</f>
        <v>30, 30, SLUGMA</v>
      </c>
    </row>
    <row r="907" customFormat="false" ht="12.75" hidden="false" customHeight="true" outlineLevel="0" collapsed="false">
      <c r="A907" s="4" t="s">
        <v>3101</v>
      </c>
      <c r="B907" s="5" t="s">
        <v>3101</v>
      </c>
      <c r="C907" s="1" t="str">
        <f aca="false">IF(B907="NEW ROUTE",1,"")</f>
        <v/>
      </c>
      <c r="E907" s="5" t="s">
        <v>3101</v>
      </c>
      <c r="F907" s="6" t="e">
        <f aca="false">VLOOKUP(E907,$K$2:$L$426,2,FALSE())</f>
        <v>#N/A</v>
      </c>
      <c r="G907" s="1" t="str">
        <f aca="false">IF(ISNA(F907),"",F907)</f>
        <v/>
      </c>
      <c r="H907" s="5" t="str">
        <f aca="false">IF(G907&lt;&gt;"",G907,E907)</f>
        <v>50, 25, 35, GEODUDE</v>
      </c>
    </row>
    <row r="908" customFormat="false" ht="12.75" hidden="false" customHeight="true" outlineLevel="0" collapsed="false">
      <c r="A908" s="4" t="s">
        <v>3102</v>
      </c>
      <c r="B908" s="5" t="s">
        <v>3102</v>
      </c>
      <c r="C908" s="1" t="str">
        <f aca="false">IF(B908="NEW ROUTE",1,"")</f>
        <v/>
      </c>
      <c r="E908" s="5" t="s">
        <v>3102</v>
      </c>
      <c r="F908" s="6" t="e">
        <f aca="false">VLOOKUP(E908,$K$2:$L$426,2,FALSE())</f>
        <v>#N/A</v>
      </c>
      <c r="G908" s="1" t="str">
        <f aca="false">IF(ISNA(F908),"",F908)</f>
        <v/>
      </c>
      <c r="H908" s="5" t="str">
        <f aca="false">IF(G908&lt;&gt;"",G908,E908)</f>
        <v>30, 45, GRAVELER</v>
      </c>
    </row>
    <row r="909" customFormat="false" ht="12.75" hidden="false" customHeight="true" outlineLevel="0" collapsed="false">
      <c r="A909" s="4" t="s">
        <v>3103</v>
      </c>
      <c r="B909" s="5" t="s">
        <v>3103</v>
      </c>
      <c r="C909" s="1" t="str">
        <f aca="false">IF(B909="NEW ROUTE",1,"")</f>
        <v/>
      </c>
      <c r="E909" s="5" t="s">
        <v>3103</v>
      </c>
      <c r="F909" s="6" t="e">
        <f aca="false">VLOOKUP(E909,$K$2:$L$426,2,FALSE())</f>
        <v>#N/A</v>
      </c>
      <c r="G909" s="1" t="str">
        <f aca="false">IF(ISNA(F909),"",F909)</f>
        <v/>
      </c>
      <c r="H909" s="5" t="str">
        <f aca="false">IF(G909&lt;&gt;"",G909,E909)</f>
        <v>35, 50, GRAVELER</v>
      </c>
    </row>
    <row r="910" customFormat="false" ht="12.75" hidden="false" customHeight="true" outlineLevel="0" collapsed="false">
      <c r="A910" s="4" t="s">
        <v>3104</v>
      </c>
      <c r="B910" s="5" t="s">
        <v>3104</v>
      </c>
      <c r="C910" s="1" t="str">
        <f aca="false">IF(B910="NEW ROUTE",1,"")</f>
        <v/>
      </c>
      <c r="E910" s="5" t="s">
        <v>3104</v>
      </c>
      <c r="F910" s="6" t="e">
        <f aca="false">VLOOKUP(E910,$K$2:$L$426,2,FALSE())</f>
        <v>#N/A</v>
      </c>
      <c r="G910" s="1" t="str">
        <f aca="false">IF(ISNA(F910),"",F910)</f>
        <v/>
      </c>
      <c r="H910" s="5" t="str">
        <f aca="false">IF(G910&lt;&gt;"",G910,E910)</f>
        <v>30, 40, GEODUDE</v>
      </c>
    </row>
    <row r="911" customFormat="false" ht="12.75" hidden="false" customHeight="true" outlineLevel="0" collapsed="false">
      <c r="A911" s="4" t="s">
        <v>3104</v>
      </c>
      <c r="B911" s="5" t="s">
        <v>3104</v>
      </c>
      <c r="C911" s="1" t="str">
        <f aca="false">IF(B911="NEW ROUTE",1,"")</f>
        <v/>
      </c>
      <c r="E911" s="5" t="s">
        <v>3104</v>
      </c>
      <c r="F911" s="6" t="e">
        <f aca="false">VLOOKUP(E911,$K$2:$L$426,2,FALSE())</f>
        <v>#N/A</v>
      </c>
      <c r="G911" s="1" t="str">
        <f aca="false">IF(ISNA(F911),"",F911)</f>
        <v/>
      </c>
      <c r="H911" s="5" t="str">
        <f aca="false">IF(G911&lt;&gt;"",G911,E911)</f>
        <v>30, 40, GEODUDE</v>
      </c>
    </row>
    <row r="912" customFormat="false" ht="12.75" hidden="false" customHeight="true" outlineLevel="0" collapsed="false">
      <c r="A912" s="4" t="s">
        <v>2536</v>
      </c>
      <c r="B912" s="5" t="s">
        <v>2536</v>
      </c>
      <c r="C912" s="1" t="n">
        <f aca="false">IF(B912="NEW ROUTE",1,"")</f>
        <v>1</v>
      </c>
      <c r="E912" s="5" t="s">
        <v>2536</v>
      </c>
      <c r="F912" s="6" t="e">
        <f aca="false">VLOOKUP(E912,$K$2:$L$426,2,FALSE())</f>
        <v>#N/A</v>
      </c>
      <c r="G912" s="1" t="str">
        <f aca="false">IF(ISNA(F912),"",F912)</f>
        <v/>
      </c>
      <c r="H912" s="5" t="str">
        <f aca="false">IF(G912&lt;&gt;"",G912,E912)</f>
        <v>NEW ROUTE</v>
      </c>
    </row>
    <row r="913" customFormat="false" ht="12.75" hidden="false" customHeight="true" outlineLevel="0" collapsed="false">
      <c r="A913" s="4" t="s">
        <v>222</v>
      </c>
      <c r="B913" s="5" t="s">
        <v>222</v>
      </c>
      <c r="C913" s="1" t="str">
        <f aca="false">IF(B913="NEW ROUTE",1,"")</f>
        <v/>
      </c>
      <c r="E913" s="5" t="s">
        <v>222</v>
      </c>
      <c r="F913" s="6" t="str">
        <f aca="false">VLOOKUP(E913,$K$2:$L$426,2,FALSE())</f>
        <v>Mt. Ember Ruby Path B2F</v>
      </c>
      <c r="G913" s="1" t="str">
        <f aca="false">IF(ISNA(F913),"",F913)</f>
        <v>Mt. Ember Ruby Path B2F</v>
      </c>
      <c r="H913" s="5" t="str">
        <f aca="false">IF(G913&lt;&gt;"",G913,E913)</f>
        <v>Mt. Ember Ruby Path B2F</v>
      </c>
    </row>
    <row r="914" customFormat="false" ht="12.75" hidden="false" customHeight="true" outlineLevel="0" collapsed="false">
      <c r="A914" s="4" t="s">
        <v>2799</v>
      </c>
      <c r="B914" s="5" t="n">
        <v>0.2</v>
      </c>
      <c r="C914" s="1" t="str">
        <f aca="false">IF(B914="NEW ROUTE",1,"")</f>
        <v/>
      </c>
      <c r="E914" s="5" t="n">
        <v>0.2</v>
      </c>
      <c r="F914" s="6" t="e">
        <f aca="false">VLOOKUP(E914,$K$2:$L$426,2,FALSE())</f>
        <v>#N/A</v>
      </c>
      <c r="G914" s="1" t="str">
        <f aca="false">IF(ISNA(F914),"",F914)</f>
        <v/>
      </c>
      <c r="H914" s="5" t="n">
        <f aca="false">IF(G914&lt;&gt;"",G914,E914)</f>
        <v>0.2</v>
      </c>
    </row>
    <row r="915" customFormat="false" ht="12.75" hidden="false" customHeight="true" outlineLevel="0" collapsed="false">
      <c r="A915" s="4" t="s">
        <v>1550</v>
      </c>
      <c r="B915" s="5" t="s">
        <v>1550</v>
      </c>
      <c r="C915" s="1" t="str">
        <f aca="false">IF(B915="NEW ROUTE",1,"")</f>
        <v/>
      </c>
      <c r="E915" s="5" t="s">
        <v>1550</v>
      </c>
      <c r="F915" s="6" t="e">
        <f aca="false">VLOOKUP(E915,$K$2:$L$426,2,FALSE())</f>
        <v>#N/A</v>
      </c>
      <c r="G915" s="1" t="str">
        <f aca="false">IF(ISNA(F915),"",F915)</f>
        <v/>
      </c>
      <c r="H915" s="5" t="str">
        <f aca="false">IF(G915&lt;&gt;"",G915,E915)</f>
        <v>40, 40, GEODUDE</v>
      </c>
    </row>
    <row r="916" customFormat="false" ht="12.75" hidden="false" customHeight="true" outlineLevel="0" collapsed="false">
      <c r="A916" s="4" t="s">
        <v>1556</v>
      </c>
      <c r="B916" s="5" t="s">
        <v>1556</v>
      </c>
      <c r="C916" s="1" t="str">
        <f aca="false">IF(B916="NEW ROUTE",1,"")</f>
        <v/>
      </c>
      <c r="E916" s="5" t="s">
        <v>1556</v>
      </c>
      <c r="F916" s="6" t="e">
        <f aca="false">VLOOKUP(E916,$K$2:$L$426,2,FALSE())</f>
        <v>#N/A</v>
      </c>
      <c r="G916" s="1" t="str">
        <f aca="false">IF(ISNA(F916),"",F916)</f>
        <v/>
      </c>
      <c r="H916" s="5" t="str">
        <f aca="false">IF(G916&lt;&gt;"",G916,E916)</f>
        <v>26, 26, SLUGMA</v>
      </c>
    </row>
    <row r="917" customFormat="false" ht="12.75" hidden="false" customHeight="true" outlineLevel="0" collapsed="false">
      <c r="A917" s="4" t="s">
        <v>2801</v>
      </c>
      <c r="B917" s="5" t="n">
        <v>0.1</v>
      </c>
      <c r="C917" s="1" t="str">
        <f aca="false">IF(B917="NEW ROUTE",1,"")</f>
        <v/>
      </c>
      <c r="E917" s="5" t="n">
        <v>0.1</v>
      </c>
      <c r="F917" s="6" t="e">
        <f aca="false">VLOOKUP(E917,$K$2:$L$426,2,FALSE())</f>
        <v>#N/A</v>
      </c>
      <c r="G917" s="1" t="str">
        <f aca="false">IF(ISNA(F917),"",F917)</f>
        <v/>
      </c>
      <c r="H917" s="5" t="n">
        <f aca="false">IF(G917&lt;&gt;"",G917,E917)</f>
        <v>0.1</v>
      </c>
    </row>
    <row r="918" customFormat="false" ht="12.75" hidden="false" customHeight="true" outlineLevel="0" collapsed="false">
      <c r="A918" s="4" t="s">
        <v>3108</v>
      </c>
      <c r="B918" s="5" t="s">
        <v>3108</v>
      </c>
      <c r="C918" s="1" t="str">
        <f aca="false">IF(B918="NEW ROUTE",1,"")</f>
        <v/>
      </c>
      <c r="E918" s="5" t="s">
        <v>3108</v>
      </c>
      <c r="F918" s="6" t="e">
        <f aca="false">VLOOKUP(E918,$K$2:$L$426,2,FALSE())</f>
        <v>#N/A</v>
      </c>
      <c r="G918" s="1" t="str">
        <f aca="false">IF(ISNA(F918),"",F918)</f>
        <v/>
      </c>
      <c r="H918" s="5" t="str">
        <f aca="false">IF(G918&lt;&gt;"",G918,E918)</f>
        <v>42, 42, GEODUDE</v>
      </c>
    </row>
    <row r="919" customFormat="false" ht="12.75" hidden="false" customHeight="true" outlineLevel="0" collapsed="false">
      <c r="A919" s="4" t="s">
        <v>3107</v>
      </c>
      <c r="B919" s="5" t="s">
        <v>3107</v>
      </c>
      <c r="C919" s="1" t="str">
        <f aca="false">IF(B919="NEW ROUTE",1,"")</f>
        <v/>
      </c>
      <c r="E919" s="5" t="s">
        <v>3107</v>
      </c>
      <c r="F919" s="6" t="e">
        <f aca="false">VLOOKUP(E919,$K$2:$L$426,2,FALSE())</f>
        <v>#N/A</v>
      </c>
      <c r="G919" s="1" t="str">
        <f aca="false">IF(ISNA(F919),"",F919)</f>
        <v/>
      </c>
      <c r="H919" s="5" t="str">
        <f aca="false">IF(G919&lt;&gt;"",G919,E919)</f>
        <v>24, 24, SLUGMA</v>
      </c>
    </row>
    <row r="920" customFormat="false" ht="12.75" hidden="false" customHeight="true" outlineLevel="0" collapsed="false">
      <c r="A920" s="4" t="s">
        <v>3109</v>
      </c>
      <c r="B920" s="5" t="s">
        <v>3109</v>
      </c>
      <c r="C920" s="1" t="str">
        <f aca="false">IF(B920="NEW ROUTE",1,"")</f>
        <v/>
      </c>
      <c r="E920" s="5" t="s">
        <v>3109</v>
      </c>
      <c r="F920" s="6" t="e">
        <f aca="false">VLOOKUP(E920,$K$2:$L$426,2,FALSE())</f>
        <v>#N/A</v>
      </c>
      <c r="G920" s="1" t="str">
        <f aca="false">IF(ISNA(F920),"",F920)</f>
        <v/>
      </c>
      <c r="H920" s="5" t="str">
        <f aca="false">IF(G920&lt;&gt;"",G920,E920)</f>
        <v>28, 28, SLUGMA</v>
      </c>
    </row>
    <row r="921" customFormat="false" ht="12.75" hidden="false" customHeight="true" outlineLevel="0" collapsed="false">
      <c r="A921" s="4" t="s">
        <v>3110</v>
      </c>
      <c r="B921" s="5" t="s">
        <v>3110</v>
      </c>
      <c r="C921" s="1" t="str">
        <f aca="false">IF(B921="NEW ROUTE",1,"")</f>
        <v/>
      </c>
      <c r="E921" s="5" t="s">
        <v>3110</v>
      </c>
      <c r="F921" s="6" t="e">
        <f aca="false">VLOOKUP(E921,$K$2:$L$426,2,FALSE())</f>
        <v>#N/A</v>
      </c>
      <c r="G921" s="1" t="str">
        <f aca="false">IF(ISNA(F921),"",F921)</f>
        <v/>
      </c>
      <c r="H921" s="5" t="str">
        <f aca="false">IF(G921&lt;&gt;"",G921,E921)</f>
        <v>30, 30, SLUGMA</v>
      </c>
    </row>
    <row r="922" customFormat="false" ht="12.75" hidden="false" customHeight="true" outlineLevel="0" collapsed="false">
      <c r="A922" s="4" t="s">
        <v>2806</v>
      </c>
      <c r="B922" s="5" t="n">
        <v>0.05</v>
      </c>
      <c r="C922" s="1" t="str">
        <f aca="false">IF(B922="NEW ROUTE",1,"")</f>
        <v/>
      </c>
      <c r="E922" s="5" t="n">
        <v>0.05</v>
      </c>
      <c r="F922" s="6" t="e">
        <f aca="false">VLOOKUP(E922,$K$2:$L$426,2,FALSE())</f>
        <v>#N/A</v>
      </c>
      <c r="G922" s="1" t="str">
        <f aca="false">IF(ISNA(F922),"",F922)</f>
        <v/>
      </c>
      <c r="H922" s="5" t="n">
        <f aca="false">IF(G922&lt;&gt;"",G922,E922)</f>
        <v>0.05</v>
      </c>
    </row>
    <row r="923" customFormat="false" ht="12.75" hidden="false" customHeight="true" outlineLevel="0" collapsed="false">
      <c r="A923" s="4" t="s">
        <v>3112</v>
      </c>
      <c r="B923" s="5" t="s">
        <v>3112</v>
      </c>
      <c r="C923" s="1" t="str">
        <f aca="false">IF(B923="NEW ROUTE",1,"")</f>
        <v/>
      </c>
      <c r="E923" s="5" t="s">
        <v>3112</v>
      </c>
      <c r="F923" s="6" t="e">
        <f aca="false">VLOOKUP(E923,$K$2:$L$426,2,FALSE())</f>
        <v>#N/A</v>
      </c>
      <c r="G923" s="1" t="str">
        <f aca="false">IF(ISNA(F923),"",F923)</f>
        <v/>
      </c>
      <c r="H923" s="5" t="str">
        <f aca="false">IF(G923&lt;&gt;"",G923,E923)</f>
        <v>44, 44, GEODUDE</v>
      </c>
    </row>
    <row r="924" customFormat="false" ht="12.75" hidden="false" customHeight="true" outlineLevel="0" collapsed="false">
      <c r="A924" s="4" t="s">
        <v>3113</v>
      </c>
      <c r="B924" s="5" t="s">
        <v>3113</v>
      </c>
      <c r="C924" s="1" t="str">
        <f aca="false">IF(B924="NEW ROUTE",1,"")</f>
        <v/>
      </c>
      <c r="E924" s="5" t="s">
        <v>3113</v>
      </c>
      <c r="F924" s="6" t="e">
        <f aca="false">VLOOKUP(E924,$K$2:$L$426,2,FALSE())</f>
        <v>#N/A</v>
      </c>
      <c r="G924" s="1" t="str">
        <f aca="false">IF(ISNA(F924),"",F924)</f>
        <v/>
      </c>
      <c r="H924" s="5" t="str">
        <f aca="false">IF(G924&lt;&gt;"",G924,E924)</f>
        <v>32, 32, SLUGMA</v>
      </c>
    </row>
    <row r="925" customFormat="false" ht="12.75" hidden="false" customHeight="true" outlineLevel="0" collapsed="false">
      <c r="A925" s="4" t="s">
        <v>2809</v>
      </c>
      <c r="B925" s="5" t="n">
        <v>0.04</v>
      </c>
      <c r="C925" s="1" t="str">
        <f aca="false">IF(B925="NEW ROUTE",1,"")</f>
        <v/>
      </c>
      <c r="E925" s="5" t="n">
        <v>0.04</v>
      </c>
      <c r="F925" s="6" t="e">
        <f aca="false">VLOOKUP(E925,$K$2:$L$426,2,FALSE())</f>
        <v>#N/A</v>
      </c>
      <c r="G925" s="1" t="str">
        <f aca="false">IF(ISNA(F925),"",F925)</f>
        <v/>
      </c>
      <c r="H925" s="5" t="n">
        <f aca="false">IF(G925&lt;&gt;"",G925,E925)</f>
        <v>0.04</v>
      </c>
    </row>
    <row r="926" customFormat="false" ht="12.75" hidden="false" customHeight="true" outlineLevel="0" collapsed="false">
      <c r="A926" s="4" t="s">
        <v>3112</v>
      </c>
      <c r="B926" s="5" t="s">
        <v>3112</v>
      </c>
      <c r="C926" s="1" t="str">
        <f aca="false">IF(B926="NEW ROUTE",1,"")</f>
        <v/>
      </c>
      <c r="E926" s="5" t="s">
        <v>3112</v>
      </c>
      <c r="F926" s="6" t="e">
        <f aca="false">VLOOKUP(E926,$K$2:$L$426,2,FALSE())</f>
        <v>#N/A</v>
      </c>
      <c r="G926" s="1" t="str">
        <f aca="false">IF(ISNA(F926),"",F926)</f>
        <v/>
      </c>
      <c r="H926" s="5" t="str">
        <f aca="false">IF(G926&lt;&gt;"",G926,E926)</f>
        <v>44, 44, GEODUDE</v>
      </c>
    </row>
    <row r="927" customFormat="false" ht="12.75" hidden="false" customHeight="true" outlineLevel="0" collapsed="false">
      <c r="A927" s="4" t="s">
        <v>3114</v>
      </c>
      <c r="B927" s="5" t="s">
        <v>3114</v>
      </c>
      <c r="C927" s="1" t="str">
        <f aca="false">IF(B927="NEW ROUTE",1,"")</f>
        <v/>
      </c>
      <c r="E927" s="5" t="s">
        <v>3114</v>
      </c>
      <c r="F927" s="6" t="e">
        <f aca="false">VLOOKUP(E927,$K$2:$L$426,2,FALSE())</f>
        <v>#N/A</v>
      </c>
      <c r="G927" s="1" t="str">
        <f aca="false">IF(ISNA(F927),"",F927)</f>
        <v/>
      </c>
      <c r="H927" s="5" t="str">
        <f aca="false">IF(G927&lt;&gt;"",G927,E927)</f>
        <v>22, 22, SLUGMA</v>
      </c>
    </row>
    <row r="928" customFormat="false" ht="12.75" hidden="false" customHeight="true" outlineLevel="0" collapsed="false">
      <c r="A928" s="4" t="s">
        <v>2812</v>
      </c>
      <c r="B928" s="5" t="n">
        <v>0.01</v>
      </c>
      <c r="C928" s="1" t="str">
        <f aca="false">IF(B928="NEW ROUTE",1,"")</f>
        <v/>
      </c>
      <c r="E928" s="5" t="n">
        <v>0.01</v>
      </c>
      <c r="F928" s="6" t="e">
        <f aca="false">VLOOKUP(E928,$K$2:$L$426,2,FALSE())</f>
        <v>#N/A</v>
      </c>
      <c r="G928" s="1" t="str">
        <f aca="false">IF(ISNA(F928),"",F928)</f>
        <v/>
      </c>
      <c r="H928" s="5" t="n">
        <f aca="false">IF(G928&lt;&gt;"",G928,E928)</f>
        <v>0.01</v>
      </c>
    </row>
    <row r="929" customFormat="false" ht="12.75" hidden="false" customHeight="true" outlineLevel="0" collapsed="false">
      <c r="A929" s="4" t="s">
        <v>3112</v>
      </c>
      <c r="B929" s="5" t="s">
        <v>3112</v>
      </c>
      <c r="C929" s="1" t="str">
        <f aca="false">IF(B929="NEW ROUTE",1,"")</f>
        <v/>
      </c>
      <c r="E929" s="5" t="s">
        <v>3112</v>
      </c>
      <c r="F929" s="6" t="e">
        <f aca="false">VLOOKUP(E929,$K$2:$L$426,2,FALSE())</f>
        <v>#N/A</v>
      </c>
      <c r="G929" s="1" t="str">
        <f aca="false">IF(ISNA(F929),"",F929)</f>
        <v/>
      </c>
      <c r="H929" s="5" t="str">
        <f aca="false">IF(G929&lt;&gt;"",G929,E929)</f>
        <v>44, 44, GEODUDE</v>
      </c>
    </row>
    <row r="930" customFormat="false" ht="12.75" hidden="false" customHeight="true" outlineLevel="0" collapsed="false">
      <c r="A930" s="4" t="s">
        <v>3114</v>
      </c>
      <c r="B930" s="5" t="s">
        <v>3114</v>
      </c>
      <c r="C930" s="1" t="str">
        <f aca="false">IF(B930="NEW ROUTE",1,"")</f>
        <v/>
      </c>
      <c r="E930" s="5" t="s">
        <v>3114</v>
      </c>
      <c r="F930" s="6" t="e">
        <f aca="false">VLOOKUP(E930,$K$2:$L$426,2,FALSE())</f>
        <v>#N/A</v>
      </c>
      <c r="G930" s="1" t="str">
        <f aca="false">IF(ISNA(F930),"",F930)</f>
        <v/>
      </c>
      <c r="H930" s="5" t="str">
        <f aca="false">IF(G930&lt;&gt;"",G930,E930)</f>
        <v>22, 22, SLUGMA</v>
      </c>
    </row>
    <row r="931" customFormat="false" ht="12.75" hidden="false" customHeight="true" outlineLevel="0" collapsed="false">
      <c r="A931" s="4" t="s">
        <v>3101</v>
      </c>
      <c r="B931" s="5" t="s">
        <v>3101</v>
      </c>
      <c r="C931" s="1" t="str">
        <f aca="false">IF(B931="NEW ROUTE",1,"")</f>
        <v/>
      </c>
      <c r="E931" s="5" t="s">
        <v>3101</v>
      </c>
      <c r="F931" s="6" t="e">
        <f aca="false">VLOOKUP(E931,$K$2:$L$426,2,FALSE())</f>
        <v>#N/A</v>
      </c>
      <c r="G931" s="1" t="str">
        <f aca="false">IF(ISNA(F931),"",F931)</f>
        <v/>
      </c>
      <c r="H931" s="5" t="str">
        <f aca="false">IF(G931&lt;&gt;"",G931,E931)</f>
        <v>50, 25, 35, GEODUDE</v>
      </c>
    </row>
    <row r="932" customFormat="false" ht="12.75" hidden="false" customHeight="true" outlineLevel="0" collapsed="false">
      <c r="A932" s="4" t="s">
        <v>3102</v>
      </c>
      <c r="B932" s="5" t="s">
        <v>3102</v>
      </c>
      <c r="C932" s="1" t="str">
        <f aca="false">IF(B932="NEW ROUTE",1,"")</f>
        <v/>
      </c>
      <c r="E932" s="5" t="s">
        <v>3102</v>
      </c>
      <c r="F932" s="6" t="e">
        <f aca="false">VLOOKUP(E932,$K$2:$L$426,2,FALSE())</f>
        <v>#N/A</v>
      </c>
      <c r="G932" s="1" t="str">
        <f aca="false">IF(ISNA(F932),"",F932)</f>
        <v/>
      </c>
      <c r="H932" s="5" t="str">
        <f aca="false">IF(G932&lt;&gt;"",G932,E932)</f>
        <v>30, 45, GRAVELER</v>
      </c>
    </row>
    <row r="933" customFormat="false" ht="12.75" hidden="false" customHeight="true" outlineLevel="0" collapsed="false">
      <c r="A933" s="4" t="s">
        <v>3103</v>
      </c>
      <c r="B933" s="5" t="s">
        <v>3103</v>
      </c>
      <c r="C933" s="1" t="str">
        <f aca="false">IF(B933="NEW ROUTE",1,"")</f>
        <v/>
      </c>
      <c r="E933" s="5" t="s">
        <v>3103</v>
      </c>
      <c r="F933" s="6" t="e">
        <f aca="false">VLOOKUP(E933,$K$2:$L$426,2,FALSE())</f>
        <v>#N/A</v>
      </c>
      <c r="G933" s="1" t="str">
        <f aca="false">IF(ISNA(F933),"",F933)</f>
        <v/>
      </c>
      <c r="H933" s="5" t="str">
        <f aca="false">IF(G933&lt;&gt;"",G933,E933)</f>
        <v>35, 50, GRAVELER</v>
      </c>
    </row>
    <row r="934" customFormat="false" ht="12.75" hidden="false" customHeight="true" outlineLevel="0" collapsed="false">
      <c r="A934" s="4" t="s">
        <v>3104</v>
      </c>
      <c r="B934" s="5" t="s">
        <v>3104</v>
      </c>
      <c r="C934" s="1" t="str">
        <f aca="false">IF(B934="NEW ROUTE",1,"")</f>
        <v/>
      </c>
      <c r="E934" s="5" t="s">
        <v>3104</v>
      </c>
      <c r="F934" s="6" t="e">
        <f aca="false">VLOOKUP(E934,$K$2:$L$426,2,FALSE())</f>
        <v>#N/A</v>
      </c>
      <c r="G934" s="1" t="str">
        <f aca="false">IF(ISNA(F934),"",F934)</f>
        <v/>
      </c>
      <c r="H934" s="5" t="str">
        <f aca="false">IF(G934&lt;&gt;"",G934,E934)</f>
        <v>30, 40, GEODUDE</v>
      </c>
    </row>
    <row r="935" customFormat="false" ht="12.75" hidden="false" customHeight="true" outlineLevel="0" collapsed="false">
      <c r="A935" s="4" t="s">
        <v>3104</v>
      </c>
      <c r="B935" s="5" t="s">
        <v>3104</v>
      </c>
      <c r="C935" s="1" t="str">
        <f aca="false">IF(B935="NEW ROUTE",1,"")</f>
        <v/>
      </c>
      <c r="E935" s="5" t="s">
        <v>3104</v>
      </c>
      <c r="F935" s="6" t="e">
        <f aca="false">VLOOKUP(E935,$K$2:$L$426,2,FALSE())</f>
        <v>#N/A</v>
      </c>
      <c r="G935" s="1" t="str">
        <f aca="false">IF(ISNA(F935),"",F935)</f>
        <v/>
      </c>
      <c r="H935" s="5" t="str">
        <f aca="false">IF(G935&lt;&gt;"",G935,E935)</f>
        <v>30, 40, GEODUDE</v>
      </c>
    </row>
    <row r="936" customFormat="false" ht="12.75" hidden="false" customHeight="true" outlineLevel="0" collapsed="false">
      <c r="A936" s="4" t="s">
        <v>2536</v>
      </c>
      <c r="B936" s="5" t="s">
        <v>2536</v>
      </c>
      <c r="C936" s="1" t="n">
        <f aca="false">IF(B936="NEW ROUTE",1,"")</f>
        <v>1</v>
      </c>
      <c r="E936" s="5" t="s">
        <v>2536</v>
      </c>
      <c r="F936" s="6" t="e">
        <f aca="false">VLOOKUP(E936,$K$2:$L$426,2,FALSE())</f>
        <v>#N/A</v>
      </c>
      <c r="G936" s="1" t="str">
        <f aca="false">IF(ISNA(F936),"",F936)</f>
        <v/>
      </c>
      <c r="H936" s="5" t="str">
        <f aca="false">IF(G936&lt;&gt;"",G936,E936)</f>
        <v>NEW ROUTE</v>
      </c>
    </row>
    <row r="937" customFormat="false" ht="12.75" hidden="false" customHeight="true" outlineLevel="0" collapsed="false">
      <c r="A937" s="4" t="s">
        <v>224</v>
      </c>
      <c r="B937" s="5" t="s">
        <v>224</v>
      </c>
      <c r="C937" s="1" t="str">
        <f aca="false">IF(B937="NEW ROUTE",1,"")</f>
        <v/>
      </c>
      <c r="E937" s="5" t="s">
        <v>224</v>
      </c>
      <c r="F937" s="6" t="str">
        <f aca="false">VLOOKUP(E937,$K$2:$L$426,2,FALSE())</f>
        <v>Mt. Ember Ruby Path B3F</v>
      </c>
      <c r="G937" s="1" t="str">
        <f aca="false">IF(ISNA(F937),"",F937)</f>
        <v>Mt. Ember Ruby Path B3F</v>
      </c>
      <c r="H937" s="5" t="str">
        <f aca="false">IF(G937&lt;&gt;"",G937,E937)</f>
        <v>Mt. Ember Ruby Path B3F</v>
      </c>
    </row>
    <row r="938" customFormat="false" ht="12.75" hidden="false" customHeight="true" outlineLevel="0" collapsed="false">
      <c r="A938" s="4" t="s">
        <v>2799</v>
      </c>
      <c r="B938" s="5" t="n">
        <v>0.2</v>
      </c>
      <c r="C938" s="1" t="str">
        <f aca="false">IF(B938="NEW ROUTE",1,"")</f>
        <v/>
      </c>
      <c r="E938" s="5" t="n">
        <v>0.2</v>
      </c>
      <c r="F938" s="6" t="e">
        <f aca="false">VLOOKUP(E938,$K$2:$L$426,2,FALSE())</f>
        <v>#N/A</v>
      </c>
      <c r="G938" s="1" t="str">
        <f aca="false">IF(ISNA(F938),"",F938)</f>
        <v/>
      </c>
      <c r="H938" s="5" t="n">
        <f aca="false">IF(G938&lt;&gt;"",G938,E938)</f>
        <v>0.2</v>
      </c>
    </row>
    <row r="939" customFormat="false" ht="12.75" hidden="false" customHeight="true" outlineLevel="0" collapsed="false">
      <c r="A939" s="4" t="s">
        <v>1556</v>
      </c>
      <c r="B939" s="5" t="s">
        <v>1556</v>
      </c>
      <c r="C939" s="1" t="str">
        <f aca="false">IF(B939="NEW ROUTE",1,"")</f>
        <v/>
      </c>
      <c r="E939" s="5" t="s">
        <v>1556</v>
      </c>
      <c r="F939" s="6" t="e">
        <f aca="false">VLOOKUP(E939,$K$2:$L$426,2,FALSE())</f>
        <v>#N/A</v>
      </c>
      <c r="G939" s="1" t="str">
        <f aca="false">IF(ISNA(F939),"",F939)</f>
        <v/>
      </c>
      <c r="H939" s="5" t="str">
        <f aca="false">IF(G939&lt;&gt;"",G939,E939)</f>
        <v>26, 26, SLUGMA</v>
      </c>
    </row>
    <row r="940" customFormat="false" ht="12.75" hidden="false" customHeight="true" outlineLevel="0" collapsed="false">
      <c r="A940" s="4" t="s">
        <v>3109</v>
      </c>
      <c r="B940" s="5" t="s">
        <v>3109</v>
      </c>
      <c r="C940" s="1" t="str">
        <f aca="false">IF(B940="NEW ROUTE",1,"")</f>
        <v/>
      </c>
      <c r="E940" s="5" t="s">
        <v>3109</v>
      </c>
      <c r="F940" s="6" t="e">
        <f aca="false">VLOOKUP(E940,$K$2:$L$426,2,FALSE())</f>
        <v>#N/A</v>
      </c>
      <c r="G940" s="1" t="str">
        <f aca="false">IF(ISNA(F940),"",F940)</f>
        <v/>
      </c>
      <c r="H940" s="5" t="str">
        <f aca="false">IF(G940&lt;&gt;"",G940,E940)</f>
        <v>28, 28, SLUGMA</v>
      </c>
    </row>
    <row r="941" customFormat="false" ht="12.75" hidden="false" customHeight="true" outlineLevel="0" collapsed="false">
      <c r="A941" s="4" t="s">
        <v>2801</v>
      </c>
      <c r="B941" s="5" t="n">
        <v>0.1</v>
      </c>
      <c r="C941" s="1" t="str">
        <f aca="false">IF(B941="NEW ROUTE",1,"")</f>
        <v/>
      </c>
      <c r="E941" s="5" t="n">
        <v>0.1</v>
      </c>
      <c r="F941" s="6" t="e">
        <f aca="false">VLOOKUP(E941,$K$2:$L$426,2,FALSE())</f>
        <v>#N/A</v>
      </c>
      <c r="G941" s="1" t="str">
        <f aca="false">IF(ISNA(F941),"",F941)</f>
        <v/>
      </c>
      <c r="H941" s="5" t="n">
        <f aca="false">IF(G941&lt;&gt;"",G941,E941)</f>
        <v>0.1</v>
      </c>
    </row>
    <row r="942" customFormat="false" ht="12.75" hidden="false" customHeight="true" outlineLevel="0" collapsed="false">
      <c r="A942" s="4" t="s">
        <v>3110</v>
      </c>
      <c r="B942" s="5" t="s">
        <v>3110</v>
      </c>
      <c r="C942" s="1" t="str">
        <f aca="false">IF(B942="NEW ROUTE",1,"")</f>
        <v/>
      </c>
      <c r="E942" s="5" t="s">
        <v>3110</v>
      </c>
      <c r="F942" s="6" t="e">
        <f aca="false">VLOOKUP(E942,$K$2:$L$426,2,FALSE())</f>
        <v>#N/A</v>
      </c>
      <c r="G942" s="1" t="str">
        <f aca="false">IF(ISNA(F942),"",F942)</f>
        <v/>
      </c>
      <c r="H942" s="5" t="str">
        <f aca="false">IF(G942&lt;&gt;"",G942,E942)</f>
        <v>30, 30, SLUGMA</v>
      </c>
    </row>
    <row r="943" customFormat="false" ht="12.75" hidden="false" customHeight="true" outlineLevel="0" collapsed="false">
      <c r="A943" s="4" t="s">
        <v>3113</v>
      </c>
      <c r="B943" s="5" t="s">
        <v>3113</v>
      </c>
      <c r="C943" s="1" t="str">
        <f aca="false">IF(B943="NEW ROUTE",1,"")</f>
        <v/>
      </c>
      <c r="E943" s="5" t="s">
        <v>3113</v>
      </c>
      <c r="F943" s="6" t="e">
        <f aca="false">VLOOKUP(E943,$K$2:$L$426,2,FALSE())</f>
        <v>#N/A</v>
      </c>
      <c r="G943" s="1" t="str">
        <f aca="false">IF(ISNA(F943),"",F943)</f>
        <v/>
      </c>
      <c r="H943" s="5" t="str">
        <f aca="false">IF(G943&lt;&gt;"",G943,E943)</f>
        <v>32, 32, SLUGMA</v>
      </c>
    </row>
    <row r="944" customFormat="false" ht="12.75" hidden="false" customHeight="true" outlineLevel="0" collapsed="false">
      <c r="A944" s="4" t="s">
        <v>3107</v>
      </c>
      <c r="B944" s="5" t="s">
        <v>3107</v>
      </c>
      <c r="C944" s="1" t="str">
        <f aca="false">IF(B944="NEW ROUTE",1,"")</f>
        <v/>
      </c>
      <c r="E944" s="5" t="s">
        <v>3107</v>
      </c>
      <c r="F944" s="6" t="e">
        <f aca="false">VLOOKUP(E944,$K$2:$L$426,2,FALSE())</f>
        <v>#N/A</v>
      </c>
      <c r="G944" s="1" t="str">
        <f aca="false">IF(ISNA(F944),"",F944)</f>
        <v/>
      </c>
      <c r="H944" s="5" t="str">
        <f aca="false">IF(G944&lt;&gt;"",G944,E944)</f>
        <v>24, 24, SLUGMA</v>
      </c>
    </row>
    <row r="945" customFormat="false" ht="12.75" hidden="false" customHeight="true" outlineLevel="0" collapsed="false">
      <c r="A945" s="4" t="s">
        <v>3114</v>
      </c>
      <c r="B945" s="5" t="s">
        <v>3114</v>
      </c>
      <c r="C945" s="1" t="str">
        <f aca="false">IF(B945="NEW ROUTE",1,"")</f>
        <v/>
      </c>
      <c r="E945" s="5" t="s">
        <v>3114</v>
      </c>
      <c r="F945" s="6" t="e">
        <f aca="false">VLOOKUP(E945,$K$2:$L$426,2,FALSE())</f>
        <v>#N/A</v>
      </c>
      <c r="G945" s="1" t="str">
        <f aca="false">IF(ISNA(F945),"",F945)</f>
        <v/>
      </c>
      <c r="H945" s="5" t="str">
        <f aca="false">IF(G945&lt;&gt;"",G945,E945)</f>
        <v>22, 22, SLUGMA</v>
      </c>
    </row>
    <row r="946" customFormat="false" ht="12.75" hidden="false" customHeight="true" outlineLevel="0" collapsed="false">
      <c r="A946" s="4" t="s">
        <v>2806</v>
      </c>
      <c r="B946" s="5" t="n">
        <v>0.05</v>
      </c>
      <c r="C946" s="1" t="str">
        <f aca="false">IF(B946="NEW ROUTE",1,"")</f>
        <v/>
      </c>
      <c r="E946" s="5" t="n">
        <v>0.05</v>
      </c>
      <c r="F946" s="6" t="e">
        <f aca="false">VLOOKUP(E946,$K$2:$L$426,2,FALSE())</f>
        <v>#N/A</v>
      </c>
      <c r="G946" s="1" t="str">
        <f aca="false">IF(ISNA(F946),"",F946)</f>
        <v/>
      </c>
      <c r="H946" s="5" t="n">
        <f aca="false">IF(G946&lt;&gt;"",G946,E946)</f>
        <v>0.05</v>
      </c>
    </row>
    <row r="947" customFormat="false" ht="12.75" hidden="false" customHeight="true" outlineLevel="0" collapsed="false">
      <c r="A947" s="4" t="s">
        <v>3116</v>
      </c>
      <c r="B947" s="5" t="s">
        <v>3116</v>
      </c>
      <c r="C947" s="1" t="str">
        <f aca="false">IF(B947="NEW ROUTE",1,"")</f>
        <v/>
      </c>
      <c r="E947" s="5" t="s">
        <v>3116</v>
      </c>
      <c r="F947" s="6" t="e">
        <f aca="false">VLOOKUP(E947,$K$2:$L$426,2,FALSE())</f>
        <v>#N/A</v>
      </c>
      <c r="G947" s="1" t="str">
        <f aca="false">IF(ISNA(F947),"",F947)</f>
        <v/>
      </c>
      <c r="H947" s="5" t="str">
        <f aca="false">IF(G947&lt;&gt;"",G947,E947)</f>
        <v>20, 20, SLUGMA</v>
      </c>
    </row>
    <row r="948" customFormat="false" ht="12.75" hidden="false" customHeight="true" outlineLevel="0" collapsed="false">
      <c r="A948" s="4" t="s">
        <v>3117</v>
      </c>
      <c r="B948" s="5" t="s">
        <v>3117</v>
      </c>
      <c r="C948" s="1" t="str">
        <f aca="false">IF(B948="NEW ROUTE",1,"")</f>
        <v/>
      </c>
      <c r="E948" s="5" t="s">
        <v>3117</v>
      </c>
      <c r="F948" s="6" t="e">
        <f aca="false">VLOOKUP(E948,$K$2:$L$426,2,FALSE())</f>
        <v>#N/A</v>
      </c>
      <c r="G948" s="1" t="str">
        <f aca="false">IF(ISNA(F948),"",F948)</f>
        <v/>
      </c>
      <c r="H948" s="5" t="str">
        <f aca="false">IF(G948&lt;&gt;"",G948,E948)</f>
        <v>34, 34, SLUGMA</v>
      </c>
    </row>
    <row r="949" customFormat="false" ht="12.75" hidden="false" customHeight="true" outlineLevel="0" collapsed="false">
      <c r="A949" s="4" t="s">
        <v>2809</v>
      </c>
      <c r="B949" s="5" t="n">
        <v>0.04</v>
      </c>
      <c r="C949" s="1" t="str">
        <f aca="false">IF(B949="NEW ROUTE",1,"")</f>
        <v/>
      </c>
      <c r="E949" s="5" t="n">
        <v>0.04</v>
      </c>
      <c r="F949" s="6" t="e">
        <f aca="false">VLOOKUP(E949,$K$2:$L$426,2,FALSE())</f>
        <v>#N/A</v>
      </c>
      <c r="G949" s="1" t="str">
        <f aca="false">IF(ISNA(F949),"",F949)</f>
        <v/>
      </c>
      <c r="H949" s="5" t="n">
        <f aca="false">IF(G949&lt;&gt;"",G949,E949)</f>
        <v>0.04</v>
      </c>
    </row>
    <row r="950" customFormat="false" ht="12.75" hidden="false" customHeight="true" outlineLevel="0" collapsed="false">
      <c r="A950" s="4" t="s">
        <v>3118</v>
      </c>
      <c r="B950" s="5" t="s">
        <v>3118</v>
      </c>
      <c r="C950" s="1" t="str">
        <f aca="false">IF(B950="NEW ROUTE",1,"")</f>
        <v/>
      </c>
      <c r="E950" s="5" t="s">
        <v>3118</v>
      </c>
      <c r="F950" s="6" t="e">
        <f aca="false">VLOOKUP(E950,$K$2:$L$426,2,FALSE())</f>
        <v>#N/A</v>
      </c>
      <c r="G950" s="1" t="str">
        <f aca="false">IF(ISNA(F950),"",F950)</f>
        <v/>
      </c>
      <c r="H950" s="5" t="str">
        <f aca="false">IF(G950&lt;&gt;"",G950,E950)</f>
        <v>36, 36, SLUGMA</v>
      </c>
    </row>
    <row r="951" customFormat="false" ht="12.75" hidden="false" customHeight="true" outlineLevel="0" collapsed="false">
      <c r="A951" s="4" t="s">
        <v>3119</v>
      </c>
      <c r="B951" s="5" t="s">
        <v>3119</v>
      </c>
      <c r="C951" s="1" t="str">
        <f aca="false">IF(B951="NEW ROUTE",1,"")</f>
        <v/>
      </c>
      <c r="E951" s="5" t="s">
        <v>3119</v>
      </c>
      <c r="F951" s="6" t="e">
        <f aca="false">VLOOKUP(E951,$K$2:$L$426,2,FALSE())</f>
        <v>#N/A</v>
      </c>
      <c r="G951" s="1" t="str">
        <f aca="false">IF(ISNA(F951),"",F951)</f>
        <v/>
      </c>
      <c r="H951" s="5" t="str">
        <f aca="false">IF(G951&lt;&gt;"",G951,E951)</f>
        <v>18, 18, SLUGMA</v>
      </c>
    </row>
    <row r="952" customFormat="false" ht="12.75" hidden="false" customHeight="true" outlineLevel="0" collapsed="false">
      <c r="A952" s="4" t="s">
        <v>2812</v>
      </c>
      <c r="B952" s="5" t="n">
        <v>0.01</v>
      </c>
      <c r="C952" s="1" t="str">
        <f aca="false">IF(B952="NEW ROUTE",1,"")</f>
        <v/>
      </c>
      <c r="E952" s="5" t="n">
        <v>0.01</v>
      </c>
      <c r="F952" s="6" t="e">
        <f aca="false">VLOOKUP(E952,$K$2:$L$426,2,FALSE())</f>
        <v>#N/A</v>
      </c>
      <c r="G952" s="1" t="str">
        <f aca="false">IF(ISNA(F952),"",F952)</f>
        <v/>
      </c>
      <c r="H952" s="5" t="n">
        <f aca="false">IF(G952&lt;&gt;"",G952,E952)</f>
        <v>0.01</v>
      </c>
    </row>
    <row r="953" customFormat="false" ht="12.75" hidden="false" customHeight="true" outlineLevel="0" collapsed="false">
      <c r="A953" s="4" t="s">
        <v>3118</v>
      </c>
      <c r="B953" s="5" t="s">
        <v>3118</v>
      </c>
      <c r="C953" s="1" t="str">
        <f aca="false">IF(B953="NEW ROUTE",1,"")</f>
        <v/>
      </c>
      <c r="E953" s="5" t="s">
        <v>3118</v>
      </c>
      <c r="F953" s="6" t="e">
        <f aca="false">VLOOKUP(E953,$K$2:$L$426,2,FALSE())</f>
        <v>#N/A</v>
      </c>
      <c r="G953" s="1" t="str">
        <f aca="false">IF(ISNA(F953),"",F953)</f>
        <v/>
      </c>
      <c r="H953" s="5" t="str">
        <f aca="false">IF(G953&lt;&gt;"",G953,E953)</f>
        <v>36, 36, SLUGMA</v>
      </c>
    </row>
    <row r="954" customFormat="false" ht="12.75" hidden="false" customHeight="true" outlineLevel="0" collapsed="false">
      <c r="A954" s="4" t="s">
        <v>3119</v>
      </c>
      <c r="B954" s="5" t="s">
        <v>3119</v>
      </c>
      <c r="C954" s="1" t="str">
        <f aca="false">IF(B954="NEW ROUTE",1,"")</f>
        <v/>
      </c>
      <c r="E954" s="5" t="s">
        <v>3119</v>
      </c>
      <c r="F954" s="6" t="e">
        <f aca="false">VLOOKUP(E954,$K$2:$L$426,2,FALSE())</f>
        <v>#N/A</v>
      </c>
      <c r="G954" s="1" t="str">
        <f aca="false">IF(ISNA(F954),"",F954)</f>
        <v/>
      </c>
      <c r="H954" s="5" t="str">
        <f aca="false">IF(G954&lt;&gt;"",G954,E954)</f>
        <v>18, 18, SLUGMA</v>
      </c>
    </row>
    <row r="955" customFormat="false" ht="12.75" hidden="false" customHeight="true" outlineLevel="0" collapsed="false">
      <c r="A955" s="4" t="s">
        <v>3120</v>
      </c>
      <c r="B955" s="5" t="s">
        <v>3120</v>
      </c>
      <c r="C955" s="1" t="str">
        <f aca="false">IF(B955="NEW ROUTE",1,"")</f>
        <v/>
      </c>
      <c r="E955" s="5" t="s">
        <v>3120</v>
      </c>
      <c r="F955" s="6" t="e">
        <f aca="false">VLOOKUP(E955,$K$2:$L$426,2,FALSE())</f>
        <v>#N/A</v>
      </c>
      <c r="G955" s="1" t="str">
        <f aca="false">IF(ISNA(F955),"",F955)</f>
        <v/>
      </c>
      <c r="H955" s="5" t="str">
        <f aca="false">IF(G955&lt;&gt;"",G955,E955)</f>
        <v>50, 15, 25, SLUGMA</v>
      </c>
    </row>
    <row r="956" customFormat="false" ht="12.75" hidden="false" customHeight="true" outlineLevel="0" collapsed="false">
      <c r="A956" s="4" t="s">
        <v>3121</v>
      </c>
      <c r="B956" s="5" t="s">
        <v>3121</v>
      </c>
      <c r="C956" s="1" t="str">
        <f aca="false">IF(B956="NEW ROUTE",1,"")</f>
        <v/>
      </c>
      <c r="E956" s="5" t="s">
        <v>3121</v>
      </c>
      <c r="F956" s="6" t="e">
        <f aca="false">VLOOKUP(E956,$K$2:$L$426,2,FALSE())</f>
        <v>#N/A</v>
      </c>
      <c r="G956" s="1" t="str">
        <f aca="false">IF(ISNA(F956),"",F956)</f>
        <v/>
      </c>
      <c r="H956" s="5" t="str">
        <f aca="false">IF(G956&lt;&gt;"",G956,E956)</f>
        <v>25, 35, SLUGMA</v>
      </c>
    </row>
    <row r="957" customFormat="false" ht="12.75" hidden="false" customHeight="true" outlineLevel="0" collapsed="false">
      <c r="A957" s="4" t="s">
        <v>3122</v>
      </c>
      <c r="B957" s="5" t="s">
        <v>3122</v>
      </c>
      <c r="C957" s="1" t="str">
        <f aca="false">IF(B957="NEW ROUTE",1,"")</f>
        <v/>
      </c>
      <c r="E957" s="5" t="s">
        <v>3122</v>
      </c>
      <c r="F957" s="6" t="e">
        <f aca="false">VLOOKUP(E957,$K$2:$L$426,2,FALSE())</f>
        <v>#N/A</v>
      </c>
      <c r="G957" s="1" t="str">
        <f aca="false">IF(ISNA(F957),"",F957)</f>
        <v/>
      </c>
      <c r="H957" s="5" t="str">
        <f aca="false">IF(G957&lt;&gt;"",G957,E957)</f>
        <v>40, 45, MAGCARGO</v>
      </c>
    </row>
    <row r="958" customFormat="false" ht="12.75" hidden="false" customHeight="true" outlineLevel="0" collapsed="false">
      <c r="A958" s="4" t="s">
        <v>3123</v>
      </c>
      <c r="B958" s="5" t="s">
        <v>3123</v>
      </c>
      <c r="C958" s="1" t="str">
        <f aca="false">IF(B958="NEW ROUTE",1,"")</f>
        <v/>
      </c>
      <c r="E958" s="5" t="s">
        <v>3123</v>
      </c>
      <c r="F958" s="6" t="e">
        <f aca="false">VLOOKUP(E958,$K$2:$L$426,2,FALSE())</f>
        <v>#N/A</v>
      </c>
      <c r="G958" s="1" t="str">
        <f aca="false">IF(ISNA(F958),"",F958)</f>
        <v/>
      </c>
      <c r="H958" s="5" t="str">
        <f aca="false">IF(G958&lt;&gt;"",G958,E958)</f>
        <v>35, 45, MAGCARGO</v>
      </c>
    </row>
    <row r="959" customFormat="false" ht="12.75" hidden="false" customHeight="true" outlineLevel="0" collapsed="false">
      <c r="A959" s="4" t="s">
        <v>3719</v>
      </c>
      <c r="B959" s="5" t="s">
        <v>3719</v>
      </c>
      <c r="C959" s="1" t="str">
        <f aca="false">IF(B959="NEW ROUTE",1,"")</f>
        <v/>
      </c>
      <c r="E959" s="5" t="s">
        <v>3719</v>
      </c>
      <c r="F959" s="6" t="e">
        <f aca="false">VLOOKUP(E959,$K$2:$L$426,2,FALSE())</f>
        <v>#N/A</v>
      </c>
      <c r="G959" s="1" t="str">
        <f aca="false">IF(ISNA(F959),"",F959)</f>
        <v/>
      </c>
      <c r="H959" s="5" t="str">
        <f aca="false">IF(G959&lt;&gt;"",G959,E959)</f>
        <v>25, 35, MAGCARGO</v>
      </c>
    </row>
    <row r="960" customFormat="false" ht="12.75" hidden="false" customHeight="true" outlineLevel="0" collapsed="false">
      <c r="A960" s="4" t="s">
        <v>2536</v>
      </c>
      <c r="B960" s="5" t="s">
        <v>2536</v>
      </c>
      <c r="C960" s="1" t="n">
        <f aca="false">IF(B960="NEW ROUTE",1,"")</f>
        <v>1</v>
      </c>
      <c r="E960" s="5" t="s">
        <v>2536</v>
      </c>
      <c r="F960" s="6" t="e">
        <f aca="false">VLOOKUP(E960,$K$2:$L$426,2,FALSE())</f>
        <v>#N/A</v>
      </c>
      <c r="G960" s="1" t="str">
        <f aca="false">IF(ISNA(F960),"",F960)</f>
        <v/>
      </c>
      <c r="H960" s="5" t="str">
        <f aca="false">IF(G960&lt;&gt;"",G960,E960)</f>
        <v>NEW ROUTE</v>
      </c>
    </row>
    <row r="961" customFormat="false" ht="12.75" hidden="false" customHeight="true" outlineLevel="0" collapsed="false">
      <c r="A961" s="4" t="s">
        <v>226</v>
      </c>
      <c r="B961" s="5" t="s">
        <v>226</v>
      </c>
      <c r="C961" s="1" t="str">
        <f aca="false">IF(B961="NEW ROUTE",1,"")</f>
        <v/>
      </c>
      <c r="E961" s="5" t="s">
        <v>226</v>
      </c>
      <c r="F961" s="6" t="str">
        <f aca="false">VLOOKUP(E961,$K$2:$L$426,2,FALSE())</f>
        <v>Mt. Ember Ruby Path B1F Stairs</v>
      </c>
      <c r="G961" s="1" t="str">
        <f aca="false">IF(ISNA(F961),"",F961)</f>
        <v>Mt. Ember Ruby Path B1F Stairs</v>
      </c>
      <c r="H961" s="5" t="str">
        <f aca="false">IF(G961&lt;&gt;"",G961,E961)</f>
        <v>Mt. Ember Ruby Path B1F Stairs</v>
      </c>
    </row>
    <row r="962" customFormat="false" ht="12.75" hidden="false" customHeight="true" outlineLevel="0" collapsed="false">
      <c r="A962" s="4" t="s">
        <v>2799</v>
      </c>
      <c r="B962" s="5" t="n">
        <v>0.2</v>
      </c>
      <c r="C962" s="1" t="str">
        <f aca="false">IF(B962="NEW ROUTE",1,"")</f>
        <v/>
      </c>
      <c r="E962" s="5" t="n">
        <v>0.2</v>
      </c>
      <c r="F962" s="6" t="e">
        <f aca="false">VLOOKUP(E962,$K$2:$L$426,2,FALSE())</f>
        <v>#N/A</v>
      </c>
      <c r="G962" s="1" t="str">
        <f aca="false">IF(ISNA(F962),"",F962)</f>
        <v/>
      </c>
      <c r="H962" s="5" t="n">
        <f aca="false">IF(G962&lt;&gt;"",G962,E962)</f>
        <v>0.2</v>
      </c>
    </row>
    <row r="963" customFormat="false" ht="12.75" hidden="false" customHeight="true" outlineLevel="0" collapsed="false">
      <c r="A963" s="4" t="s">
        <v>1550</v>
      </c>
      <c r="B963" s="5" t="s">
        <v>1550</v>
      </c>
      <c r="C963" s="1" t="str">
        <f aca="false">IF(B963="NEW ROUTE",1,"")</f>
        <v/>
      </c>
      <c r="E963" s="5" t="s">
        <v>1550</v>
      </c>
      <c r="F963" s="6" t="e">
        <f aca="false">VLOOKUP(E963,$K$2:$L$426,2,FALSE())</f>
        <v>#N/A</v>
      </c>
      <c r="G963" s="1" t="str">
        <f aca="false">IF(ISNA(F963),"",F963)</f>
        <v/>
      </c>
      <c r="H963" s="5" t="str">
        <f aca="false">IF(G963&lt;&gt;"",G963,E963)</f>
        <v>40, 40, GEODUDE</v>
      </c>
    </row>
    <row r="964" customFormat="false" ht="12.75" hidden="false" customHeight="true" outlineLevel="0" collapsed="false">
      <c r="A964" s="4" t="s">
        <v>1556</v>
      </c>
      <c r="B964" s="5" t="s">
        <v>1556</v>
      </c>
      <c r="C964" s="1" t="str">
        <f aca="false">IF(B964="NEW ROUTE",1,"")</f>
        <v/>
      </c>
      <c r="E964" s="5" t="s">
        <v>1556</v>
      </c>
      <c r="F964" s="6" t="e">
        <f aca="false">VLOOKUP(E964,$K$2:$L$426,2,FALSE())</f>
        <v>#N/A</v>
      </c>
      <c r="G964" s="1" t="str">
        <f aca="false">IF(ISNA(F964),"",F964)</f>
        <v/>
      </c>
      <c r="H964" s="5" t="str">
        <f aca="false">IF(G964&lt;&gt;"",G964,E964)</f>
        <v>26, 26, SLUGMA</v>
      </c>
    </row>
    <row r="965" customFormat="false" ht="12.75" hidden="false" customHeight="true" outlineLevel="0" collapsed="false">
      <c r="A965" s="4" t="s">
        <v>2801</v>
      </c>
      <c r="B965" s="5" t="n">
        <v>0.1</v>
      </c>
      <c r="C965" s="1" t="str">
        <f aca="false">IF(B965="NEW ROUTE",1,"")</f>
        <v/>
      </c>
      <c r="E965" s="5" t="n">
        <v>0.1</v>
      </c>
      <c r="F965" s="6" t="e">
        <f aca="false">VLOOKUP(E965,$K$2:$L$426,2,FALSE())</f>
        <v>#N/A</v>
      </c>
      <c r="G965" s="1" t="str">
        <f aca="false">IF(ISNA(F965),"",F965)</f>
        <v/>
      </c>
      <c r="H965" s="5" t="n">
        <f aca="false">IF(G965&lt;&gt;"",G965,E965)</f>
        <v>0.1</v>
      </c>
    </row>
    <row r="966" customFormat="false" ht="12.75" hidden="false" customHeight="true" outlineLevel="0" collapsed="false">
      <c r="A966" s="4" t="s">
        <v>3108</v>
      </c>
      <c r="B966" s="5" t="s">
        <v>3108</v>
      </c>
      <c r="C966" s="1" t="str">
        <f aca="false">IF(B966="NEW ROUTE",1,"")</f>
        <v/>
      </c>
      <c r="E966" s="5" t="s">
        <v>3108</v>
      </c>
      <c r="F966" s="6" t="e">
        <f aca="false">VLOOKUP(E966,$K$2:$L$426,2,FALSE())</f>
        <v>#N/A</v>
      </c>
      <c r="G966" s="1" t="str">
        <f aca="false">IF(ISNA(F966),"",F966)</f>
        <v/>
      </c>
      <c r="H966" s="5" t="str">
        <f aca="false">IF(G966&lt;&gt;"",G966,E966)</f>
        <v>42, 42, GEODUDE</v>
      </c>
    </row>
    <row r="967" customFormat="false" ht="12.75" hidden="false" customHeight="true" outlineLevel="0" collapsed="false">
      <c r="A967" s="4" t="s">
        <v>3107</v>
      </c>
      <c r="B967" s="5" t="s">
        <v>3107</v>
      </c>
      <c r="C967" s="1" t="str">
        <f aca="false">IF(B967="NEW ROUTE",1,"")</f>
        <v/>
      </c>
      <c r="E967" s="5" t="s">
        <v>3107</v>
      </c>
      <c r="F967" s="6" t="e">
        <f aca="false">VLOOKUP(E967,$K$2:$L$426,2,FALSE())</f>
        <v>#N/A</v>
      </c>
      <c r="G967" s="1" t="str">
        <f aca="false">IF(ISNA(F967),"",F967)</f>
        <v/>
      </c>
      <c r="H967" s="5" t="str">
        <f aca="false">IF(G967&lt;&gt;"",G967,E967)</f>
        <v>24, 24, SLUGMA</v>
      </c>
    </row>
    <row r="968" customFormat="false" ht="12.75" hidden="false" customHeight="true" outlineLevel="0" collapsed="false">
      <c r="A968" s="4" t="s">
        <v>3109</v>
      </c>
      <c r="B968" s="5" t="s">
        <v>3109</v>
      </c>
      <c r="C968" s="1" t="str">
        <f aca="false">IF(B968="NEW ROUTE",1,"")</f>
        <v/>
      </c>
      <c r="E968" s="5" t="s">
        <v>3109</v>
      </c>
      <c r="F968" s="6" t="e">
        <f aca="false">VLOOKUP(E968,$K$2:$L$426,2,FALSE())</f>
        <v>#N/A</v>
      </c>
      <c r="G968" s="1" t="str">
        <f aca="false">IF(ISNA(F968),"",F968)</f>
        <v/>
      </c>
      <c r="H968" s="5" t="str">
        <f aca="false">IF(G968&lt;&gt;"",G968,E968)</f>
        <v>28, 28, SLUGMA</v>
      </c>
    </row>
    <row r="969" customFormat="false" ht="12.75" hidden="false" customHeight="true" outlineLevel="0" collapsed="false">
      <c r="A969" s="4" t="s">
        <v>3110</v>
      </c>
      <c r="B969" s="5" t="s">
        <v>3110</v>
      </c>
      <c r="C969" s="1" t="str">
        <f aca="false">IF(B969="NEW ROUTE",1,"")</f>
        <v/>
      </c>
      <c r="E969" s="5" t="s">
        <v>3110</v>
      </c>
      <c r="F969" s="6" t="e">
        <f aca="false">VLOOKUP(E969,$K$2:$L$426,2,FALSE())</f>
        <v>#N/A</v>
      </c>
      <c r="G969" s="1" t="str">
        <f aca="false">IF(ISNA(F969),"",F969)</f>
        <v/>
      </c>
      <c r="H969" s="5" t="str">
        <f aca="false">IF(G969&lt;&gt;"",G969,E969)</f>
        <v>30, 30, SLUGMA</v>
      </c>
    </row>
    <row r="970" customFormat="false" ht="12.75" hidden="false" customHeight="true" outlineLevel="0" collapsed="false">
      <c r="A970" s="4" t="s">
        <v>2806</v>
      </c>
      <c r="B970" s="5" t="n">
        <v>0.05</v>
      </c>
      <c r="C970" s="1" t="str">
        <f aca="false">IF(B970="NEW ROUTE",1,"")</f>
        <v/>
      </c>
      <c r="E970" s="5" t="n">
        <v>0.05</v>
      </c>
      <c r="F970" s="6" t="e">
        <f aca="false">VLOOKUP(E970,$K$2:$L$426,2,FALSE())</f>
        <v>#N/A</v>
      </c>
      <c r="G970" s="1" t="str">
        <f aca="false">IF(ISNA(F970),"",F970)</f>
        <v/>
      </c>
      <c r="H970" s="5" t="n">
        <f aca="false">IF(G970&lt;&gt;"",G970,E970)</f>
        <v>0.05</v>
      </c>
    </row>
    <row r="971" customFormat="false" ht="12.75" hidden="false" customHeight="true" outlineLevel="0" collapsed="false">
      <c r="A971" s="4" t="s">
        <v>3112</v>
      </c>
      <c r="B971" s="5" t="s">
        <v>3112</v>
      </c>
      <c r="C971" s="1" t="str">
        <f aca="false">IF(B971="NEW ROUTE",1,"")</f>
        <v/>
      </c>
      <c r="E971" s="5" t="s">
        <v>3112</v>
      </c>
      <c r="F971" s="6" t="e">
        <f aca="false">VLOOKUP(E971,$K$2:$L$426,2,FALSE())</f>
        <v>#N/A</v>
      </c>
      <c r="G971" s="1" t="str">
        <f aca="false">IF(ISNA(F971),"",F971)</f>
        <v/>
      </c>
      <c r="H971" s="5" t="str">
        <f aca="false">IF(G971&lt;&gt;"",G971,E971)</f>
        <v>44, 44, GEODUDE</v>
      </c>
    </row>
    <row r="972" customFormat="false" ht="12.75" hidden="false" customHeight="true" outlineLevel="0" collapsed="false">
      <c r="A972" s="4" t="s">
        <v>3113</v>
      </c>
      <c r="B972" s="5" t="s">
        <v>3113</v>
      </c>
      <c r="C972" s="1" t="str">
        <f aca="false">IF(B972="NEW ROUTE",1,"")</f>
        <v/>
      </c>
      <c r="E972" s="5" t="s">
        <v>3113</v>
      </c>
      <c r="F972" s="6" t="e">
        <f aca="false">VLOOKUP(E972,$K$2:$L$426,2,FALSE())</f>
        <v>#N/A</v>
      </c>
      <c r="G972" s="1" t="str">
        <f aca="false">IF(ISNA(F972),"",F972)</f>
        <v/>
      </c>
      <c r="H972" s="5" t="str">
        <f aca="false">IF(G972&lt;&gt;"",G972,E972)</f>
        <v>32, 32, SLUGMA</v>
      </c>
    </row>
    <row r="973" customFormat="false" ht="12.75" hidden="false" customHeight="true" outlineLevel="0" collapsed="false">
      <c r="A973" s="4" t="s">
        <v>2809</v>
      </c>
      <c r="B973" s="5" t="n">
        <v>0.04</v>
      </c>
      <c r="C973" s="1" t="str">
        <f aca="false">IF(B973="NEW ROUTE",1,"")</f>
        <v/>
      </c>
      <c r="E973" s="5" t="n">
        <v>0.04</v>
      </c>
      <c r="F973" s="6" t="e">
        <f aca="false">VLOOKUP(E973,$K$2:$L$426,2,FALSE())</f>
        <v>#N/A</v>
      </c>
      <c r="G973" s="1" t="str">
        <f aca="false">IF(ISNA(F973),"",F973)</f>
        <v/>
      </c>
      <c r="H973" s="5" t="n">
        <f aca="false">IF(G973&lt;&gt;"",G973,E973)</f>
        <v>0.04</v>
      </c>
    </row>
    <row r="974" customFormat="false" ht="12.75" hidden="false" customHeight="true" outlineLevel="0" collapsed="false">
      <c r="A974" s="4" t="s">
        <v>3112</v>
      </c>
      <c r="B974" s="5" t="s">
        <v>3112</v>
      </c>
      <c r="C974" s="1" t="str">
        <f aca="false">IF(B974="NEW ROUTE",1,"")</f>
        <v/>
      </c>
      <c r="E974" s="5" t="s">
        <v>3112</v>
      </c>
      <c r="F974" s="6" t="e">
        <f aca="false">VLOOKUP(E974,$K$2:$L$426,2,FALSE())</f>
        <v>#N/A</v>
      </c>
      <c r="G974" s="1" t="str">
        <f aca="false">IF(ISNA(F974),"",F974)</f>
        <v/>
      </c>
      <c r="H974" s="5" t="str">
        <f aca="false">IF(G974&lt;&gt;"",G974,E974)</f>
        <v>44, 44, GEODUDE</v>
      </c>
    </row>
    <row r="975" customFormat="false" ht="12.75" hidden="false" customHeight="true" outlineLevel="0" collapsed="false">
      <c r="A975" s="4" t="s">
        <v>3114</v>
      </c>
      <c r="B975" s="5" t="s">
        <v>3114</v>
      </c>
      <c r="C975" s="1" t="str">
        <f aca="false">IF(B975="NEW ROUTE",1,"")</f>
        <v/>
      </c>
      <c r="E975" s="5" t="s">
        <v>3114</v>
      </c>
      <c r="F975" s="6" t="e">
        <f aca="false">VLOOKUP(E975,$K$2:$L$426,2,FALSE())</f>
        <v>#N/A</v>
      </c>
      <c r="G975" s="1" t="str">
        <f aca="false">IF(ISNA(F975),"",F975)</f>
        <v/>
      </c>
      <c r="H975" s="5" t="str">
        <f aca="false">IF(G975&lt;&gt;"",G975,E975)</f>
        <v>22, 22, SLUGMA</v>
      </c>
    </row>
    <row r="976" customFormat="false" ht="12.75" hidden="false" customHeight="true" outlineLevel="0" collapsed="false">
      <c r="A976" s="4" t="s">
        <v>2812</v>
      </c>
      <c r="B976" s="5" t="n">
        <v>0.01</v>
      </c>
      <c r="C976" s="1" t="str">
        <f aca="false">IF(B976="NEW ROUTE",1,"")</f>
        <v/>
      </c>
      <c r="E976" s="5" t="n">
        <v>0.01</v>
      </c>
      <c r="F976" s="6" t="e">
        <f aca="false">VLOOKUP(E976,$K$2:$L$426,2,FALSE())</f>
        <v>#N/A</v>
      </c>
      <c r="G976" s="1" t="str">
        <f aca="false">IF(ISNA(F976),"",F976)</f>
        <v/>
      </c>
      <c r="H976" s="5" t="n">
        <f aca="false">IF(G976&lt;&gt;"",G976,E976)</f>
        <v>0.01</v>
      </c>
    </row>
    <row r="977" customFormat="false" ht="12.75" hidden="false" customHeight="true" outlineLevel="0" collapsed="false">
      <c r="A977" s="4" t="s">
        <v>3112</v>
      </c>
      <c r="B977" s="5" t="s">
        <v>3112</v>
      </c>
      <c r="C977" s="1" t="str">
        <f aca="false">IF(B977="NEW ROUTE",1,"")</f>
        <v/>
      </c>
      <c r="E977" s="5" t="s">
        <v>3112</v>
      </c>
      <c r="F977" s="6" t="e">
        <f aca="false">VLOOKUP(E977,$K$2:$L$426,2,FALSE())</f>
        <v>#N/A</v>
      </c>
      <c r="G977" s="1" t="str">
        <f aca="false">IF(ISNA(F977),"",F977)</f>
        <v/>
      </c>
      <c r="H977" s="5" t="str">
        <f aca="false">IF(G977&lt;&gt;"",G977,E977)</f>
        <v>44, 44, GEODUDE</v>
      </c>
    </row>
    <row r="978" customFormat="false" ht="12.75" hidden="false" customHeight="true" outlineLevel="0" collapsed="false">
      <c r="A978" s="4" t="s">
        <v>3114</v>
      </c>
      <c r="B978" s="5" t="s">
        <v>3114</v>
      </c>
      <c r="C978" s="1" t="str">
        <f aca="false">IF(B978="NEW ROUTE",1,"")</f>
        <v/>
      </c>
      <c r="E978" s="5" t="s">
        <v>3114</v>
      </c>
      <c r="F978" s="6" t="e">
        <f aca="false">VLOOKUP(E978,$K$2:$L$426,2,FALSE())</f>
        <v>#N/A</v>
      </c>
      <c r="G978" s="1" t="str">
        <f aca="false">IF(ISNA(F978),"",F978)</f>
        <v/>
      </c>
      <c r="H978" s="5" t="str">
        <f aca="false">IF(G978&lt;&gt;"",G978,E978)</f>
        <v>22, 22, SLUGMA</v>
      </c>
    </row>
    <row r="979" customFormat="false" ht="12.75" hidden="false" customHeight="true" outlineLevel="0" collapsed="false">
      <c r="A979" s="4" t="s">
        <v>3101</v>
      </c>
      <c r="B979" s="5" t="s">
        <v>3101</v>
      </c>
      <c r="C979" s="1" t="str">
        <f aca="false">IF(B979="NEW ROUTE",1,"")</f>
        <v/>
      </c>
      <c r="E979" s="5" t="s">
        <v>3101</v>
      </c>
      <c r="F979" s="6" t="e">
        <f aca="false">VLOOKUP(E979,$K$2:$L$426,2,FALSE())</f>
        <v>#N/A</v>
      </c>
      <c r="G979" s="1" t="str">
        <f aca="false">IF(ISNA(F979),"",F979)</f>
        <v/>
      </c>
      <c r="H979" s="5" t="str">
        <f aca="false">IF(G979&lt;&gt;"",G979,E979)</f>
        <v>50, 25, 35, GEODUDE</v>
      </c>
    </row>
    <row r="980" customFormat="false" ht="12.75" hidden="false" customHeight="true" outlineLevel="0" collapsed="false">
      <c r="A980" s="4" t="s">
        <v>3102</v>
      </c>
      <c r="B980" s="5" t="s">
        <v>3102</v>
      </c>
      <c r="C980" s="1" t="str">
        <f aca="false">IF(B980="NEW ROUTE",1,"")</f>
        <v/>
      </c>
      <c r="E980" s="5" t="s">
        <v>3102</v>
      </c>
      <c r="F980" s="6" t="e">
        <f aca="false">VLOOKUP(E980,$K$2:$L$426,2,FALSE())</f>
        <v>#N/A</v>
      </c>
      <c r="G980" s="1" t="str">
        <f aca="false">IF(ISNA(F980),"",F980)</f>
        <v/>
      </c>
      <c r="H980" s="5" t="str">
        <f aca="false">IF(G980&lt;&gt;"",G980,E980)</f>
        <v>30, 45, GRAVELER</v>
      </c>
    </row>
    <row r="981" customFormat="false" ht="12.75" hidden="false" customHeight="true" outlineLevel="0" collapsed="false">
      <c r="A981" s="4" t="s">
        <v>3103</v>
      </c>
      <c r="B981" s="5" t="s">
        <v>3103</v>
      </c>
      <c r="C981" s="1" t="str">
        <f aca="false">IF(B981="NEW ROUTE",1,"")</f>
        <v/>
      </c>
      <c r="E981" s="5" t="s">
        <v>3103</v>
      </c>
      <c r="F981" s="6" t="e">
        <f aca="false">VLOOKUP(E981,$K$2:$L$426,2,FALSE())</f>
        <v>#N/A</v>
      </c>
      <c r="G981" s="1" t="str">
        <f aca="false">IF(ISNA(F981),"",F981)</f>
        <v/>
      </c>
      <c r="H981" s="5" t="str">
        <f aca="false">IF(G981&lt;&gt;"",G981,E981)</f>
        <v>35, 50, GRAVELER</v>
      </c>
    </row>
    <row r="982" customFormat="false" ht="12.75" hidden="false" customHeight="true" outlineLevel="0" collapsed="false">
      <c r="A982" s="4" t="s">
        <v>3104</v>
      </c>
      <c r="B982" s="5" t="s">
        <v>3104</v>
      </c>
      <c r="C982" s="1" t="str">
        <f aca="false">IF(B982="NEW ROUTE",1,"")</f>
        <v/>
      </c>
      <c r="E982" s="5" t="s">
        <v>3104</v>
      </c>
      <c r="F982" s="6" t="e">
        <f aca="false">VLOOKUP(E982,$K$2:$L$426,2,FALSE())</f>
        <v>#N/A</v>
      </c>
      <c r="G982" s="1" t="str">
        <f aca="false">IF(ISNA(F982),"",F982)</f>
        <v/>
      </c>
      <c r="H982" s="5" t="str">
        <f aca="false">IF(G982&lt;&gt;"",G982,E982)</f>
        <v>30, 40, GEODUDE</v>
      </c>
    </row>
    <row r="983" customFormat="false" ht="12.75" hidden="false" customHeight="true" outlineLevel="0" collapsed="false">
      <c r="A983" s="4" t="s">
        <v>3104</v>
      </c>
      <c r="B983" s="5" t="s">
        <v>3104</v>
      </c>
      <c r="C983" s="1" t="str">
        <f aca="false">IF(B983="NEW ROUTE",1,"")</f>
        <v/>
      </c>
      <c r="E983" s="5" t="s">
        <v>3104</v>
      </c>
      <c r="F983" s="6" t="e">
        <f aca="false">VLOOKUP(E983,$K$2:$L$426,2,FALSE())</f>
        <v>#N/A</v>
      </c>
      <c r="G983" s="1" t="str">
        <f aca="false">IF(ISNA(F983),"",F983)</f>
        <v/>
      </c>
      <c r="H983" s="5" t="str">
        <f aca="false">IF(G983&lt;&gt;"",G983,E983)</f>
        <v>30, 40, GEODUDE</v>
      </c>
    </row>
    <row r="984" customFormat="false" ht="12.75" hidden="false" customHeight="true" outlineLevel="0" collapsed="false">
      <c r="A984" s="4" t="s">
        <v>2536</v>
      </c>
      <c r="B984" s="5" t="s">
        <v>2536</v>
      </c>
      <c r="C984" s="1" t="n">
        <f aca="false">IF(B984="NEW ROUTE",1,"")</f>
        <v>1</v>
      </c>
      <c r="E984" s="5" t="s">
        <v>2536</v>
      </c>
      <c r="F984" s="6" t="e">
        <f aca="false">VLOOKUP(E984,$K$2:$L$426,2,FALSE())</f>
        <v>#N/A</v>
      </c>
      <c r="G984" s="1" t="str">
        <f aca="false">IF(ISNA(F984),"",F984)</f>
        <v/>
      </c>
      <c r="H984" s="5" t="str">
        <f aca="false">IF(G984&lt;&gt;"",G984,E984)</f>
        <v>NEW ROUTE</v>
      </c>
    </row>
    <row r="985" customFormat="false" ht="12.75" hidden="false" customHeight="true" outlineLevel="0" collapsed="false">
      <c r="A985" s="4" t="s">
        <v>228</v>
      </c>
      <c r="B985" s="5" t="s">
        <v>228</v>
      </c>
      <c r="C985" s="1" t="str">
        <f aca="false">IF(B985="NEW ROUTE",1,"")</f>
        <v/>
      </c>
      <c r="E985" s="5" t="s">
        <v>228</v>
      </c>
      <c r="F985" s="6" t="str">
        <f aca="false">VLOOKUP(E985,$K$2:$L$426,2,FALSE())</f>
        <v>Mt. Ember Ruby Path B2F Stairs</v>
      </c>
      <c r="G985" s="1" t="str">
        <f aca="false">IF(ISNA(F985),"",F985)</f>
        <v>Mt. Ember Ruby Path B2F Stairs</v>
      </c>
      <c r="H985" s="5" t="str">
        <f aca="false">IF(G985&lt;&gt;"",G985,E985)</f>
        <v>Mt. Ember Ruby Path B2F Stairs</v>
      </c>
    </row>
    <row r="986" customFormat="false" ht="12.75" hidden="false" customHeight="true" outlineLevel="0" collapsed="false">
      <c r="A986" s="4" t="s">
        <v>2799</v>
      </c>
      <c r="B986" s="5" t="n">
        <v>0.2</v>
      </c>
      <c r="C986" s="1" t="str">
        <f aca="false">IF(B986="NEW ROUTE",1,"")</f>
        <v/>
      </c>
      <c r="E986" s="5" t="n">
        <v>0.2</v>
      </c>
      <c r="F986" s="6" t="e">
        <f aca="false">VLOOKUP(E986,$K$2:$L$426,2,FALSE())</f>
        <v>#N/A</v>
      </c>
      <c r="G986" s="1" t="str">
        <f aca="false">IF(ISNA(F986),"",F986)</f>
        <v/>
      </c>
      <c r="H986" s="5" t="n">
        <f aca="false">IF(G986&lt;&gt;"",G986,E986)</f>
        <v>0.2</v>
      </c>
    </row>
    <row r="987" customFormat="false" ht="12.75" hidden="false" customHeight="true" outlineLevel="0" collapsed="false">
      <c r="A987" s="4" t="s">
        <v>1541</v>
      </c>
      <c r="B987" s="5" t="s">
        <v>1541</v>
      </c>
      <c r="C987" s="1" t="str">
        <f aca="false">IF(B987="NEW ROUTE",1,"")</f>
        <v/>
      </c>
      <c r="E987" s="5" t="s">
        <v>1541</v>
      </c>
      <c r="F987" s="6" t="e">
        <f aca="false">VLOOKUP(E987,$K$2:$L$426,2,FALSE())</f>
        <v>#N/A</v>
      </c>
      <c r="G987" s="1" t="str">
        <f aca="false">IF(ISNA(F987),"",F987)</f>
        <v/>
      </c>
      <c r="H987" s="5" t="str">
        <f aca="false">IF(G987&lt;&gt;"",G987,E987)</f>
        <v>38, 38, GEODUDE</v>
      </c>
    </row>
    <row r="988" customFormat="false" ht="12.75" hidden="false" customHeight="true" outlineLevel="0" collapsed="false">
      <c r="A988" s="4" t="s">
        <v>1529</v>
      </c>
      <c r="B988" s="5" t="s">
        <v>1529</v>
      </c>
      <c r="C988" s="1" t="str">
        <f aca="false">IF(B988="NEW ROUTE",1,"")</f>
        <v/>
      </c>
      <c r="E988" s="5" t="s">
        <v>1529</v>
      </c>
      <c r="F988" s="6" t="e">
        <f aca="false">VLOOKUP(E988,$K$2:$L$426,2,FALSE())</f>
        <v>#N/A</v>
      </c>
      <c r="G988" s="1" t="str">
        <f aca="false">IF(ISNA(F988),"",F988)</f>
        <v/>
      </c>
      <c r="H988" s="5" t="str">
        <f aca="false">IF(G988&lt;&gt;"",G988,E988)</f>
        <v>36, 36, GEODUDE</v>
      </c>
    </row>
    <row r="989" customFormat="false" ht="12.75" hidden="false" customHeight="true" outlineLevel="0" collapsed="false">
      <c r="A989" s="4" t="s">
        <v>2801</v>
      </c>
      <c r="B989" s="5" t="n">
        <v>0.1</v>
      </c>
      <c r="C989" s="1" t="str">
        <f aca="false">IF(B989="NEW ROUTE",1,"")</f>
        <v/>
      </c>
      <c r="E989" s="5" t="n">
        <v>0.1</v>
      </c>
      <c r="F989" s="6" t="e">
        <f aca="false">VLOOKUP(E989,$K$2:$L$426,2,FALSE())</f>
        <v>#N/A</v>
      </c>
      <c r="G989" s="1" t="str">
        <f aca="false">IF(ISNA(F989),"",F989)</f>
        <v/>
      </c>
      <c r="H989" s="5" t="n">
        <f aca="false">IF(G989&lt;&gt;"",G989,E989)</f>
        <v>0.1</v>
      </c>
    </row>
    <row r="990" customFormat="false" ht="12.75" hidden="false" customHeight="true" outlineLevel="0" collapsed="false">
      <c r="A990" s="4" t="s">
        <v>1518</v>
      </c>
      <c r="B990" s="5" t="s">
        <v>1518</v>
      </c>
      <c r="C990" s="1" t="str">
        <f aca="false">IF(B990="NEW ROUTE",1,"")</f>
        <v/>
      </c>
      <c r="E990" s="5" t="s">
        <v>1518</v>
      </c>
      <c r="F990" s="6" t="e">
        <f aca="false">VLOOKUP(E990,$K$2:$L$426,2,FALSE())</f>
        <v>#N/A</v>
      </c>
      <c r="G990" s="1" t="str">
        <f aca="false">IF(ISNA(F990),"",F990)</f>
        <v/>
      </c>
      <c r="H990" s="5" t="str">
        <f aca="false">IF(G990&lt;&gt;"",G990,E990)</f>
        <v>34, 34, GEODUDE</v>
      </c>
    </row>
    <row r="991" customFormat="false" ht="12.75" hidden="false" customHeight="true" outlineLevel="0" collapsed="false">
      <c r="A991" s="4" t="s">
        <v>1550</v>
      </c>
      <c r="B991" s="5" t="s">
        <v>1550</v>
      </c>
      <c r="C991" s="1" t="str">
        <f aca="false">IF(B991="NEW ROUTE",1,"")</f>
        <v/>
      </c>
      <c r="E991" s="5" t="s">
        <v>1550</v>
      </c>
      <c r="F991" s="6" t="e">
        <f aca="false">VLOOKUP(E991,$K$2:$L$426,2,FALSE())</f>
        <v>#N/A</v>
      </c>
      <c r="G991" s="1" t="str">
        <f aca="false">IF(ISNA(F991),"",F991)</f>
        <v/>
      </c>
      <c r="H991" s="5" t="str">
        <f aca="false">IF(G991&lt;&gt;"",G991,E991)</f>
        <v>40, 40, GEODUDE</v>
      </c>
    </row>
    <row r="992" customFormat="false" ht="12.75" hidden="false" customHeight="true" outlineLevel="0" collapsed="false">
      <c r="A992" s="4" t="s">
        <v>3107</v>
      </c>
      <c r="B992" s="5" t="s">
        <v>3107</v>
      </c>
      <c r="C992" s="1" t="str">
        <f aca="false">IF(B992="NEW ROUTE",1,"")</f>
        <v/>
      </c>
      <c r="E992" s="5" t="s">
        <v>3107</v>
      </c>
      <c r="F992" s="6" t="e">
        <f aca="false">VLOOKUP(E992,$K$2:$L$426,2,FALSE())</f>
        <v>#N/A</v>
      </c>
      <c r="G992" s="1" t="str">
        <f aca="false">IF(ISNA(F992),"",F992)</f>
        <v/>
      </c>
      <c r="H992" s="5" t="str">
        <f aca="false">IF(G992&lt;&gt;"",G992,E992)</f>
        <v>24, 24, SLUGMA</v>
      </c>
    </row>
    <row r="993" customFormat="false" ht="12.75" hidden="false" customHeight="true" outlineLevel="0" collapsed="false">
      <c r="A993" s="4" t="s">
        <v>1556</v>
      </c>
      <c r="B993" s="5" t="s">
        <v>1556</v>
      </c>
      <c r="C993" s="1" t="str">
        <f aca="false">IF(B993="NEW ROUTE",1,"")</f>
        <v/>
      </c>
      <c r="E993" s="5" t="s">
        <v>1556</v>
      </c>
      <c r="F993" s="6" t="e">
        <f aca="false">VLOOKUP(E993,$K$2:$L$426,2,FALSE())</f>
        <v>#N/A</v>
      </c>
      <c r="G993" s="1" t="str">
        <f aca="false">IF(ISNA(F993),"",F993)</f>
        <v/>
      </c>
      <c r="H993" s="5" t="str">
        <f aca="false">IF(G993&lt;&gt;"",G993,E993)</f>
        <v>26, 26, SLUGMA</v>
      </c>
    </row>
    <row r="994" customFormat="false" ht="12.75" hidden="false" customHeight="true" outlineLevel="0" collapsed="false">
      <c r="A994" s="4" t="s">
        <v>2806</v>
      </c>
      <c r="B994" s="5" t="n">
        <v>0.05</v>
      </c>
      <c r="C994" s="1" t="str">
        <f aca="false">IF(B994="NEW ROUTE",1,"")</f>
        <v/>
      </c>
      <c r="E994" s="5" t="n">
        <v>0.05</v>
      </c>
      <c r="F994" s="6" t="e">
        <f aca="false">VLOOKUP(E994,$K$2:$L$426,2,FALSE())</f>
        <v>#N/A</v>
      </c>
      <c r="G994" s="1" t="str">
        <f aca="false">IF(ISNA(F994),"",F994)</f>
        <v/>
      </c>
      <c r="H994" s="5" t="n">
        <f aca="false">IF(G994&lt;&gt;"",G994,E994)</f>
        <v>0.05</v>
      </c>
    </row>
    <row r="995" customFormat="false" ht="12.75" hidden="false" customHeight="true" outlineLevel="0" collapsed="false">
      <c r="A995" s="4" t="s">
        <v>3108</v>
      </c>
      <c r="B995" s="5" t="s">
        <v>3108</v>
      </c>
      <c r="C995" s="1" t="str">
        <f aca="false">IF(B995="NEW ROUTE",1,"")</f>
        <v/>
      </c>
      <c r="E995" s="5" t="s">
        <v>3108</v>
      </c>
      <c r="F995" s="6" t="e">
        <f aca="false">VLOOKUP(E995,$K$2:$L$426,2,FALSE())</f>
        <v>#N/A</v>
      </c>
      <c r="G995" s="1" t="str">
        <f aca="false">IF(ISNA(F995),"",F995)</f>
        <v/>
      </c>
      <c r="H995" s="5" t="str">
        <f aca="false">IF(G995&lt;&gt;"",G995,E995)</f>
        <v>42, 42, GEODUDE</v>
      </c>
    </row>
    <row r="996" customFormat="false" ht="12.75" hidden="false" customHeight="true" outlineLevel="0" collapsed="false">
      <c r="A996" s="4" t="s">
        <v>3109</v>
      </c>
      <c r="B996" s="5" t="s">
        <v>3109</v>
      </c>
      <c r="C996" s="1" t="str">
        <f aca="false">IF(B996="NEW ROUTE",1,"")</f>
        <v/>
      </c>
      <c r="E996" s="5" t="s">
        <v>3109</v>
      </c>
      <c r="F996" s="6" t="e">
        <f aca="false">VLOOKUP(E996,$K$2:$L$426,2,FALSE())</f>
        <v>#N/A</v>
      </c>
      <c r="G996" s="1" t="str">
        <f aca="false">IF(ISNA(F996),"",F996)</f>
        <v/>
      </c>
      <c r="H996" s="5" t="str">
        <f aca="false">IF(G996&lt;&gt;"",G996,E996)</f>
        <v>28, 28, SLUGMA</v>
      </c>
    </row>
    <row r="997" customFormat="false" ht="12.75" hidden="false" customHeight="true" outlineLevel="0" collapsed="false">
      <c r="A997" s="4" t="s">
        <v>2809</v>
      </c>
      <c r="B997" s="5" t="n">
        <v>0.04</v>
      </c>
      <c r="C997" s="1" t="str">
        <f aca="false">IF(B997="NEW ROUTE",1,"")</f>
        <v/>
      </c>
      <c r="E997" s="5" t="n">
        <v>0.04</v>
      </c>
      <c r="F997" s="6" t="e">
        <f aca="false">VLOOKUP(E997,$K$2:$L$426,2,FALSE())</f>
        <v>#N/A</v>
      </c>
      <c r="G997" s="1" t="str">
        <f aca="false">IF(ISNA(F997),"",F997)</f>
        <v/>
      </c>
      <c r="H997" s="5" t="n">
        <f aca="false">IF(G997&lt;&gt;"",G997,E997)</f>
        <v>0.04</v>
      </c>
    </row>
    <row r="998" customFormat="false" ht="12.75" hidden="false" customHeight="true" outlineLevel="0" collapsed="false">
      <c r="A998" s="4" t="s">
        <v>3108</v>
      </c>
      <c r="B998" s="5" t="s">
        <v>3108</v>
      </c>
      <c r="C998" s="1" t="str">
        <f aca="false">IF(B998="NEW ROUTE",1,"")</f>
        <v/>
      </c>
      <c r="E998" s="5" t="s">
        <v>3108</v>
      </c>
      <c r="F998" s="6" t="e">
        <f aca="false">VLOOKUP(E998,$K$2:$L$426,2,FALSE())</f>
        <v>#N/A</v>
      </c>
      <c r="G998" s="1" t="str">
        <f aca="false">IF(ISNA(F998),"",F998)</f>
        <v/>
      </c>
      <c r="H998" s="5" t="str">
        <f aca="false">IF(G998&lt;&gt;"",G998,E998)</f>
        <v>42, 42, GEODUDE</v>
      </c>
    </row>
    <row r="999" customFormat="false" ht="12.75" hidden="false" customHeight="true" outlineLevel="0" collapsed="false">
      <c r="A999" s="4" t="s">
        <v>3110</v>
      </c>
      <c r="B999" s="5" t="s">
        <v>3110</v>
      </c>
      <c r="C999" s="1" t="str">
        <f aca="false">IF(B999="NEW ROUTE",1,"")</f>
        <v/>
      </c>
      <c r="E999" s="5" t="s">
        <v>3110</v>
      </c>
      <c r="F999" s="6" t="e">
        <f aca="false">VLOOKUP(E999,$K$2:$L$426,2,FALSE())</f>
        <v>#N/A</v>
      </c>
      <c r="G999" s="1" t="str">
        <f aca="false">IF(ISNA(F999),"",F999)</f>
        <v/>
      </c>
      <c r="H999" s="5" t="str">
        <f aca="false">IF(G999&lt;&gt;"",G999,E999)</f>
        <v>30, 30, SLUGMA</v>
      </c>
    </row>
    <row r="1000" customFormat="false" ht="12.75" hidden="false" customHeight="true" outlineLevel="0" collapsed="false">
      <c r="A1000" s="4" t="s">
        <v>2812</v>
      </c>
      <c r="B1000" s="5" t="n">
        <v>0.01</v>
      </c>
      <c r="C1000" s="1" t="str">
        <f aca="false">IF(B1000="NEW ROUTE",1,"")</f>
        <v/>
      </c>
      <c r="E1000" s="5" t="n">
        <v>0.01</v>
      </c>
      <c r="F1000" s="6" t="e">
        <f aca="false">VLOOKUP(E1000,$K$2:$L$426,2,FALSE())</f>
        <v>#N/A</v>
      </c>
      <c r="G1000" s="1" t="str">
        <f aca="false">IF(ISNA(F1000),"",F1000)</f>
        <v/>
      </c>
      <c r="H1000" s="5" t="n">
        <f aca="false">IF(G1000&lt;&gt;"",G1000,E1000)</f>
        <v>0.01</v>
      </c>
    </row>
    <row r="1001" customFormat="false" ht="12.75" hidden="false" customHeight="true" outlineLevel="0" collapsed="false">
      <c r="A1001" s="4" t="s">
        <v>3108</v>
      </c>
      <c r="B1001" s="5" t="s">
        <v>3108</v>
      </c>
      <c r="C1001" s="1" t="str">
        <f aca="false">IF(B1001="NEW ROUTE",1,"")</f>
        <v/>
      </c>
      <c r="E1001" s="5" t="s">
        <v>3108</v>
      </c>
      <c r="F1001" s="6" t="e">
        <f aca="false">VLOOKUP(E1001,$K$2:$L$426,2,FALSE())</f>
        <v>#N/A</v>
      </c>
      <c r="G1001" s="1" t="str">
        <f aca="false">IF(ISNA(F1001),"",F1001)</f>
        <v/>
      </c>
      <c r="H1001" s="5" t="str">
        <f aca="false">IF(G1001&lt;&gt;"",G1001,E1001)</f>
        <v>42, 42, GEODUDE</v>
      </c>
    </row>
    <row r="1002" customFormat="false" ht="12.75" hidden="false" customHeight="true" outlineLevel="0" collapsed="false">
      <c r="A1002" s="4" t="s">
        <v>3110</v>
      </c>
      <c r="B1002" s="5" t="s">
        <v>3110</v>
      </c>
      <c r="C1002" s="1" t="str">
        <f aca="false">IF(B1002="NEW ROUTE",1,"")</f>
        <v/>
      </c>
      <c r="E1002" s="5" t="s">
        <v>3110</v>
      </c>
      <c r="F1002" s="6" t="e">
        <f aca="false">VLOOKUP(E1002,$K$2:$L$426,2,FALSE())</f>
        <v>#N/A</v>
      </c>
      <c r="G1002" s="1" t="str">
        <f aca="false">IF(ISNA(F1002),"",F1002)</f>
        <v/>
      </c>
      <c r="H1002" s="5" t="str">
        <f aca="false">IF(G1002&lt;&gt;"",G1002,E1002)</f>
        <v>30, 30, SLUGMA</v>
      </c>
    </row>
    <row r="1003" customFormat="false" ht="12.75" hidden="false" customHeight="true" outlineLevel="0" collapsed="false">
      <c r="A1003" s="4" t="s">
        <v>3101</v>
      </c>
      <c r="B1003" s="5" t="s">
        <v>3101</v>
      </c>
      <c r="C1003" s="1" t="str">
        <f aca="false">IF(B1003="NEW ROUTE",1,"")</f>
        <v/>
      </c>
      <c r="E1003" s="5" t="s">
        <v>3101</v>
      </c>
      <c r="F1003" s="6" t="e">
        <f aca="false">VLOOKUP(E1003,$K$2:$L$426,2,FALSE())</f>
        <v>#N/A</v>
      </c>
      <c r="G1003" s="1" t="str">
        <f aca="false">IF(ISNA(F1003),"",F1003)</f>
        <v/>
      </c>
      <c r="H1003" s="5" t="str">
        <f aca="false">IF(G1003&lt;&gt;"",G1003,E1003)</f>
        <v>50, 25, 35, GEODUDE</v>
      </c>
    </row>
    <row r="1004" customFormat="false" ht="12.75" hidden="false" customHeight="true" outlineLevel="0" collapsed="false">
      <c r="A1004" s="4" t="s">
        <v>3102</v>
      </c>
      <c r="B1004" s="5" t="s">
        <v>3102</v>
      </c>
      <c r="C1004" s="1" t="str">
        <f aca="false">IF(B1004="NEW ROUTE",1,"")</f>
        <v/>
      </c>
      <c r="E1004" s="5" t="s">
        <v>3102</v>
      </c>
      <c r="F1004" s="6" t="e">
        <f aca="false">VLOOKUP(E1004,$K$2:$L$426,2,FALSE())</f>
        <v>#N/A</v>
      </c>
      <c r="G1004" s="1" t="str">
        <f aca="false">IF(ISNA(F1004),"",F1004)</f>
        <v/>
      </c>
      <c r="H1004" s="5" t="str">
        <f aca="false">IF(G1004&lt;&gt;"",G1004,E1004)</f>
        <v>30, 45, GRAVELER</v>
      </c>
    </row>
    <row r="1005" customFormat="false" ht="12.75" hidden="false" customHeight="true" outlineLevel="0" collapsed="false">
      <c r="A1005" s="4" t="s">
        <v>3103</v>
      </c>
      <c r="B1005" s="5" t="s">
        <v>3103</v>
      </c>
      <c r="C1005" s="1" t="str">
        <f aca="false">IF(B1005="NEW ROUTE",1,"")</f>
        <v/>
      </c>
      <c r="E1005" s="5" t="s">
        <v>3103</v>
      </c>
      <c r="F1005" s="6" t="e">
        <f aca="false">VLOOKUP(E1005,$K$2:$L$426,2,FALSE())</f>
        <v>#N/A</v>
      </c>
      <c r="G1005" s="1" t="str">
        <f aca="false">IF(ISNA(F1005),"",F1005)</f>
        <v/>
      </c>
      <c r="H1005" s="5" t="str">
        <f aca="false">IF(G1005&lt;&gt;"",G1005,E1005)</f>
        <v>35, 50, GRAVELER</v>
      </c>
    </row>
    <row r="1006" customFormat="false" ht="12.75" hidden="false" customHeight="true" outlineLevel="0" collapsed="false">
      <c r="A1006" s="4" t="s">
        <v>3104</v>
      </c>
      <c r="B1006" s="5" t="s">
        <v>3104</v>
      </c>
      <c r="C1006" s="1" t="str">
        <f aca="false">IF(B1006="NEW ROUTE",1,"")</f>
        <v/>
      </c>
      <c r="E1006" s="5" t="s">
        <v>3104</v>
      </c>
      <c r="F1006" s="6" t="e">
        <f aca="false">VLOOKUP(E1006,$K$2:$L$426,2,FALSE())</f>
        <v>#N/A</v>
      </c>
      <c r="G1006" s="1" t="str">
        <f aca="false">IF(ISNA(F1006),"",F1006)</f>
        <v/>
      </c>
      <c r="H1006" s="5" t="str">
        <f aca="false">IF(G1006&lt;&gt;"",G1006,E1006)</f>
        <v>30, 40, GEODUDE</v>
      </c>
    </row>
    <row r="1007" customFormat="false" ht="12.75" hidden="false" customHeight="true" outlineLevel="0" collapsed="false">
      <c r="A1007" s="4" t="s">
        <v>3104</v>
      </c>
      <c r="B1007" s="5" t="s">
        <v>3104</v>
      </c>
      <c r="C1007" s="1" t="str">
        <f aca="false">IF(B1007="NEW ROUTE",1,"")</f>
        <v/>
      </c>
      <c r="E1007" s="5" t="s">
        <v>3104</v>
      </c>
      <c r="F1007" s="6" t="e">
        <f aca="false">VLOOKUP(E1007,$K$2:$L$426,2,FALSE())</f>
        <v>#N/A</v>
      </c>
      <c r="G1007" s="1" t="str">
        <f aca="false">IF(ISNA(F1007),"",F1007)</f>
        <v/>
      </c>
      <c r="H1007" s="5" t="str">
        <f aca="false">IF(G1007&lt;&gt;"",G1007,E1007)</f>
        <v>30, 40, GEODUDE</v>
      </c>
    </row>
    <row r="1008" customFormat="false" ht="12.75" hidden="false" customHeight="true" outlineLevel="0" collapsed="false">
      <c r="A1008" s="4" t="s">
        <v>2536</v>
      </c>
      <c r="B1008" s="5" t="s">
        <v>2536</v>
      </c>
      <c r="C1008" s="1" t="n">
        <f aca="false">IF(B1008="NEW ROUTE",1,"")</f>
        <v>1</v>
      </c>
      <c r="E1008" s="5" t="s">
        <v>2536</v>
      </c>
      <c r="F1008" s="6" t="e">
        <f aca="false">VLOOKUP(E1008,$K$2:$L$426,2,FALSE())</f>
        <v>#N/A</v>
      </c>
      <c r="G1008" s="1" t="str">
        <f aca="false">IF(ISNA(F1008),"",F1008)</f>
        <v/>
      </c>
      <c r="H1008" s="5" t="str">
        <f aca="false">IF(G1008&lt;&gt;"",G1008,E1008)</f>
        <v>NEW ROUTE</v>
      </c>
    </row>
    <row r="1009" customFormat="false" ht="12.75" hidden="false" customHeight="true" outlineLevel="0" collapsed="false">
      <c r="A1009" s="4" t="s">
        <v>230</v>
      </c>
      <c r="B1009" s="5" t="s">
        <v>230</v>
      </c>
      <c r="C1009" s="1" t="str">
        <f aca="false">IF(B1009="NEW ROUTE",1,"")</f>
        <v/>
      </c>
      <c r="E1009" s="5" t="s">
        <v>230</v>
      </c>
      <c r="F1009" s="6" t="str">
        <f aca="false">VLOOKUP(E1009,$K$2:$L$426,2,FALSE())</f>
        <v>Three Island Berry Forest</v>
      </c>
      <c r="G1009" s="1" t="str">
        <f aca="false">IF(ISNA(F1009),"",F1009)</f>
        <v>Three Island Berry Forest</v>
      </c>
      <c r="H1009" s="5" t="str">
        <f aca="false">IF(G1009&lt;&gt;"",G1009,E1009)</f>
        <v>Three Island Berry Forest</v>
      </c>
    </row>
    <row r="1010" customFormat="false" ht="12.75" hidden="false" customHeight="true" outlineLevel="0" collapsed="false">
      <c r="A1010" s="4" t="s">
        <v>2799</v>
      </c>
      <c r="B1010" s="5" t="n">
        <v>0.2</v>
      </c>
      <c r="C1010" s="1" t="str">
        <f aca="false">IF(B1010="NEW ROUTE",1,"")</f>
        <v/>
      </c>
      <c r="E1010" s="5" t="n">
        <v>0.2</v>
      </c>
      <c r="F1010" s="6" t="e">
        <f aca="false">VLOOKUP(E1010,$K$2:$L$426,2,FALSE())</f>
        <v>#N/A</v>
      </c>
      <c r="G1010" s="1" t="str">
        <f aca="false">IF(ISNA(F1010),"",F1010)</f>
        <v/>
      </c>
      <c r="H1010" s="5" t="n">
        <f aca="false">IF(G1010&lt;&gt;"",G1010,E1010)</f>
        <v>0.2</v>
      </c>
    </row>
    <row r="1011" customFormat="false" ht="12.75" hidden="false" customHeight="true" outlineLevel="0" collapsed="false">
      <c r="A1011" s="4" t="s">
        <v>1569</v>
      </c>
      <c r="B1011" s="5" t="s">
        <v>1569</v>
      </c>
      <c r="C1011" s="1" t="str">
        <f aca="false">IF(B1011="NEW ROUTE",1,"")</f>
        <v/>
      </c>
      <c r="E1011" s="5" t="s">
        <v>1569</v>
      </c>
      <c r="F1011" s="6" t="e">
        <f aca="false">VLOOKUP(E1011,$K$2:$L$426,2,FALSE())</f>
        <v>#N/A</v>
      </c>
      <c r="G1011" s="1" t="str">
        <f aca="false">IF(ISNA(F1011),"",F1011)</f>
        <v/>
      </c>
      <c r="H1011" s="5" t="str">
        <f aca="false">IF(G1011&lt;&gt;"",G1011,E1011)</f>
        <v>37, 37, PIDGEOTTO</v>
      </c>
    </row>
    <row r="1012" customFormat="false" ht="12.75" hidden="false" customHeight="true" outlineLevel="0" collapsed="false">
      <c r="A1012" s="4" t="s">
        <v>3128</v>
      </c>
      <c r="B1012" s="5" t="s">
        <v>3128</v>
      </c>
      <c r="C1012" s="1" t="str">
        <f aca="false">IF(B1012="NEW ROUTE",1,"")</f>
        <v/>
      </c>
      <c r="E1012" s="5" t="s">
        <v>3128</v>
      </c>
      <c r="F1012" s="6" t="e">
        <f aca="false">VLOOKUP(E1012,$K$2:$L$426,2,FALSE())</f>
        <v>#N/A</v>
      </c>
      <c r="G1012" s="1" t="str">
        <f aca="false">IF(ISNA(F1012),"",F1012)</f>
        <v/>
      </c>
      <c r="H1012" s="5" t="str">
        <f aca="false">IF(G1012&lt;&gt;"",G1012,E1012)</f>
        <v>35, 35, WEEPINBELL</v>
      </c>
    </row>
    <row r="1013" customFormat="false" ht="12.75" hidden="false" customHeight="true" outlineLevel="0" collapsed="false">
      <c r="A1013" s="4" t="s">
        <v>2801</v>
      </c>
      <c r="B1013" s="5" t="n">
        <v>0.1</v>
      </c>
      <c r="C1013" s="1" t="str">
        <f aca="false">IF(B1013="NEW ROUTE",1,"")</f>
        <v/>
      </c>
      <c r="E1013" s="5" t="n">
        <v>0.1</v>
      </c>
      <c r="F1013" s="6" t="e">
        <f aca="false">VLOOKUP(E1013,$K$2:$L$426,2,FALSE())</f>
        <v>#N/A</v>
      </c>
      <c r="G1013" s="1" t="str">
        <f aca="false">IF(ISNA(F1013),"",F1013)</f>
        <v/>
      </c>
      <c r="H1013" s="5" t="n">
        <f aca="false">IF(G1013&lt;&gt;"",G1013,E1013)</f>
        <v>0.1</v>
      </c>
    </row>
    <row r="1014" customFormat="false" ht="12.75" hidden="false" customHeight="true" outlineLevel="0" collapsed="false">
      <c r="A1014" s="4" t="s">
        <v>1695</v>
      </c>
      <c r="B1014" s="5" t="s">
        <v>1695</v>
      </c>
      <c r="C1014" s="1" t="str">
        <f aca="false">IF(B1014="NEW ROUTE",1,"")</f>
        <v/>
      </c>
      <c r="E1014" s="5" t="s">
        <v>1695</v>
      </c>
      <c r="F1014" s="6" t="e">
        <f aca="false">VLOOKUP(E1014,$K$2:$L$426,2,FALSE())</f>
        <v>#N/A</v>
      </c>
      <c r="G1014" s="1" t="str">
        <f aca="false">IF(ISNA(F1014),"",F1014)</f>
        <v/>
      </c>
      <c r="H1014" s="5" t="str">
        <f aca="false">IF(G1014&lt;&gt;"",G1014,E1014)</f>
        <v>32, 32, PIDGEY</v>
      </c>
    </row>
    <row r="1015" customFormat="false" ht="12.75" hidden="false" customHeight="true" outlineLevel="0" collapsed="false">
      <c r="A1015" s="4" t="s">
        <v>3129</v>
      </c>
      <c r="B1015" s="5" t="s">
        <v>3129</v>
      </c>
      <c r="C1015" s="1" t="str">
        <f aca="false">IF(B1015="NEW ROUTE",1,"")</f>
        <v/>
      </c>
      <c r="E1015" s="5" t="s">
        <v>3129</v>
      </c>
      <c r="F1015" s="6" t="e">
        <f aca="false">VLOOKUP(E1015,$K$2:$L$426,2,FALSE())</f>
        <v>#N/A</v>
      </c>
      <c r="G1015" s="1" t="str">
        <f aca="false">IF(ISNA(F1015),"",F1015)</f>
        <v/>
      </c>
      <c r="H1015" s="5" t="str">
        <f aca="false">IF(G1015&lt;&gt;"",G1015,E1015)</f>
        <v>30, 30, BELLSPROUT</v>
      </c>
    </row>
    <row r="1016" customFormat="false" ht="12.75" hidden="false" customHeight="true" outlineLevel="0" collapsed="false">
      <c r="A1016" s="4" t="s">
        <v>3130</v>
      </c>
      <c r="B1016" s="5" t="s">
        <v>3130</v>
      </c>
      <c r="C1016" s="1" t="str">
        <f aca="false">IF(B1016="NEW ROUTE",1,"")</f>
        <v/>
      </c>
      <c r="E1016" s="5" t="s">
        <v>3130</v>
      </c>
      <c r="F1016" s="6" t="e">
        <f aca="false">VLOOKUP(E1016,$K$2:$L$426,2,FALSE())</f>
        <v>#N/A</v>
      </c>
      <c r="G1016" s="1" t="str">
        <f aca="false">IF(ISNA(F1016),"",F1016)</f>
        <v/>
      </c>
      <c r="H1016" s="5" t="str">
        <f aca="false">IF(G1016&lt;&gt;"",G1016,E1016)</f>
        <v>34, 34, VENONAT</v>
      </c>
    </row>
    <row r="1017" customFormat="false" ht="12.75" hidden="false" customHeight="true" outlineLevel="0" collapsed="false">
      <c r="A1017" s="4" t="s">
        <v>3131</v>
      </c>
      <c r="B1017" s="5" t="s">
        <v>3131</v>
      </c>
      <c r="C1017" s="1" t="str">
        <f aca="false">IF(B1017="NEW ROUTE",1,"")</f>
        <v/>
      </c>
      <c r="E1017" s="5" t="s">
        <v>3131</v>
      </c>
      <c r="F1017" s="6" t="e">
        <f aca="false">VLOOKUP(E1017,$K$2:$L$426,2,FALSE())</f>
        <v>#N/A</v>
      </c>
      <c r="G1017" s="1" t="str">
        <f aca="false">IF(ISNA(F1017),"",F1017)</f>
        <v/>
      </c>
      <c r="H1017" s="5" t="str">
        <f aca="false">IF(G1017&lt;&gt;"",G1017,E1017)</f>
        <v>34, 34, DROWZEE</v>
      </c>
    </row>
    <row r="1018" customFormat="false" ht="12.75" hidden="false" customHeight="true" outlineLevel="0" collapsed="false">
      <c r="A1018" s="4" t="s">
        <v>2806</v>
      </c>
      <c r="B1018" s="5" t="n">
        <v>0.05</v>
      </c>
      <c r="C1018" s="1" t="str">
        <f aca="false">IF(B1018="NEW ROUTE",1,"")</f>
        <v/>
      </c>
      <c r="E1018" s="5" t="n">
        <v>0.05</v>
      </c>
      <c r="F1018" s="6" t="e">
        <f aca="false">VLOOKUP(E1018,$K$2:$L$426,2,FALSE())</f>
        <v>#N/A</v>
      </c>
      <c r="G1018" s="1" t="str">
        <f aca="false">IF(ISNA(F1018),"",F1018)</f>
        <v/>
      </c>
      <c r="H1018" s="5" t="n">
        <f aca="false">IF(G1018&lt;&gt;"",G1018,E1018)</f>
        <v>0.05</v>
      </c>
    </row>
    <row r="1019" customFormat="false" ht="12.75" hidden="false" customHeight="true" outlineLevel="0" collapsed="false">
      <c r="A1019" s="4" t="s">
        <v>3132</v>
      </c>
      <c r="B1019" s="5" t="s">
        <v>3132</v>
      </c>
      <c r="C1019" s="1" t="str">
        <f aca="false">IF(B1019="NEW ROUTE",1,"")</f>
        <v/>
      </c>
      <c r="E1019" s="5" t="s">
        <v>3132</v>
      </c>
      <c r="F1019" s="6" t="e">
        <f aca="false">VLOOKUP(E1019,$K$2:$L$426,2,FALSE())</f>
        <v>#N/A</v>
      </c>
      <c r="G1019" s="1" t="str">
        <f aca="false">IF(ISNA(F1019),"",F1019)</f>
        <v/>
      </c>
      <c r="H1019" s="5" t="str">
        <f aca="false">IF(G1019&lt;&gt;"",G1019,E1019)</f>
        <v>35, 35, EXEGGCUTE</v>
      </c>
    </row>
    <row r="1020" customFormat="false" ht="12.75" hidden="false" customHeight="true" outlineLevel="0" collapsed="false">
      <c r="A1020" s="4" t="s">
        <v>3133</v>
      </c>
      <c r="B1020" s="5" t="s">
        <v>3133</v>
      </c>
      <c r="C1020" s="1" t="str">
        <f aca="false">IF(B1020="NEW ROUTE",1,"")</f>
        <v/>
      </c>
      <c r="E1020" s="5" t="s">
        <v>3133</v>
      </c>
      <c r="F1020" s="6" t="e">
        <f aca="false">VLOOKUP(E1020,$K$2:$L$426,2,FALSE())</f>
        <v>#N/A</v>
      </c>
      <c r="G1020" s="1" t="str">
        <f aca="false">IF(ISNA(F1020),"",F1020)</f>
        <v/>
      </c>
      <c r="H1020" s="5" t="str">
        <f aca="false">IF(G1020&lt;&gt;"",G1020,E1020)</f>
        <v>31, 31, SLOWPOKE</v>
      </c>
    </row>
    <row r="1021" customFormat="false" ht="12.75" hidden="false" customHeight="true" outlineLevel="0" collapsed="false">
      <c r="A1021" s="4" t="s">
        <v>2809</v>
      </c>
      <c r="B1021" s="5" t="n">
        <v>0.04</v>
      </c>
      <c r="C1021" s="1" t="str">
        <f aca="false">IF(B1021="NEW ROUTE",1,"")</f>
        <v/>
      </c>
      <c r="E1021" s="5" t="n">
        <v>0.04</v>
      </c>
      <c r="F1021" s="6" t="e">
        <f aca="false">VLOOKUP(E1021,$K$2:$L$426,2,FALSE())</f>
        <v>#N/A</v>
      </c>
      <c r="G1021" s="1" t="str">
        <f aca="false">IF(ISNA(F1021),"",F1021)</f>
        <v/>
      </c>
      <c r="H1021" s="5" t="n">
        <f aca="false">IF(G1021&lt;&gt;"",G1021,E1021)</f>
        <v>0.04</v>
      </c>
    </row>
    <row r="1022" customFormat="false" ht="12.75" hidden="false" customHeight="true" outlineLevel="0" collapsed="false">
      <c r="A1022" s="4" t="s">
        <v>3134</v>
      </c>
      <c r="B1022" s="5" t="s">
        <v>3134</v>
      </c>
      <c r="C1022" s="1" t="str">
        <f aca="false">IF(B1022="NEW ROUTE",1,"")</f>
        <v/>
      </c>
      <c r="E1022" s="5" t="s">
        <v>3134</v>
      </c>
      <c r="F1022" s="6" t="e">
        <f aca="false">VLOOKUP(E1022,$K$2:$L$426,2,FALSE())</f>
        <v>#N/A</v>
      </c>
      <c r="G1022" s="1" t="str">
        <f aca="false">IF(ISNA(F1022),"",F1022)</f>
        <v/>
      </c>
      <c r="H1022" s="5" t="str">
        <f aca="false">IF(G1022&lt;&gt;"",G1022,E1022)</f>
        <v>37, 37, VENOMOTH</v>
      </c>
    </row>
    <row r="1023" customFormat="false" ht="12.75" hidden="false" customHeight="true" outlineLevel="0" collapsed="false">
      <c r="A1023" s="4" t="s">
        <v>3135</v>
      </c>
      <c r="B1023" s="5" t="s">
        <v>3135</v>
      </c>
      <c r="C1023" s="1" t="str">
        <f aca="false">IF(B1023="NEW ROUTE",1,"")</f>
        <v/>
      </c>
      <c r="E1023" s="5" t="s">
        <v>3135</v>
      </c>
      <c r="F1023" s="6" t="e">
        <f aca="false">VLOOKUP(E1023,$K$2:$L$426,2,FALSE())</f>
        <v>#N/A</v>
      </c>
      <c r="G1023" s="1" t="str">
        <f aca="false">IF(ISNA(F1023),"",F1023)</f>
        <v/>
      </c>
      <c r="H1023" s="5" t="str">
        <f aca="false">IF(G1023&lt;&gt;"",G1023,E1023)</f>
        <v>37, 37, HYPNO</v>
      </c>
    </row>
    <row r="1024" customFormat="false" ht="12.75" hidden="false" customHeight="true" outlineLevel="0" collapsed="false">
      <c r="A1024" s="4" t="s">
        <v>2812</v>
      </c>
      <c r="B1024" s="5" t="n">
        <v>0.01</v>
      </c>
      <c r="C1024" s="1" t="str">
        <f aca="false">IF(B1024="NEW ROUTE",1,"")</f>
        <v/>
      </c>
      <c r="E1024" s="5" t="n">
        <v>0.01</v>
      </c>
      <c r="F1024" s="6" t="e">
        <f aca="false">VLOOKUP(E1024,$K$2:$L$426,2,FALSE())</f>
        <v>#N/A</v>
      </c>
      <c r="G1024" s="1" t="str">
        <f aca="false">IF(ISNA(F1024),"",F1024)</f>
        <v/>
      </c>
      <c r="H1024" s="5" t="n">
        <f aca="false">IF(G1024&lt;&gt;"",G1024,E1024)</f>
        <v>0.01</v>
      </c>
    </row>
    <row r="1025" customFormat="false" ht="12.75" hidden="false" customHeight="true" outlineLevel="0" collapsed="false">
      <c r="A1025" s="4" t="s">
        <v>3136</v>
      </c>
      <c r="B1025" s="5" t="s">
        <v>3136</v>
      </c>
      <c r="C1025" s="1" t="str">
        <f aca="false">IF(B1025="NEW ROUTE",1,"")</f>
        <v/>
      </c>
      <c r="E1025" s="5" t="s">
        <v>3136</v>
      </c>
      <c r="F1025" s="6" t="e">
        <f aca="false">VLOOKUP(E1025,$K$2:$L$426,2,FALSE())</f>
        <v>#N/A</v>
      </c>
      <c r="G1025" s="1" t="str">
        <f aca="false">IF(ISNA(F1025),"",F1025)</f>
        <v/>
      </c>
      <c r="H1025" s="5" t="str">
        <f aca="false">IF(G1025&lt;&gt;"",G1025,E1025)</f>
        <v>40, 40, VENOMOTH</v>
      </c>
    </row>
    <row r="1026" customFormat="false" ht="12.75" hidden="false" customHeight="true" outlineLevel="0" collapsed="false">
      <c r="A1026" s="4" t="s">
        <v>3137</v>
      </c>
      <c r="B1026" s="5" t="s">
        <v>3137</v>
      </c>
      <c r="C1026" s="1" t="str">
        <f aca="false">IF(B1026="NEW ROUTE",1,"")</f>
        <v/>
      </c>
      <c r="E1026" s="5" t="s">
        <v>3137</v>
      </c>
      <c r="F1026" s="6" t="e">
        <f aca="false">VLOOKUP(E1026,$K$2:$L$426,2,FALSE())</f>
        <v>#N/A</v>
      </c>
      <c r="G1026" s="1" t="str">
        <f aca="false">IF(ISNA(F1026),"",F1026)</f>
        <v/>
      </c>
      <c r="H1026" s="5" t="str">
        <f aca="false">IF(G1026&lt;&gt;"",G1026,E1026)</f>
        <v>40, 40, HYPNO</v>
      </c>
    </row>
    <row r="1027" customFormat="false" ht="12.75" hidden="false" customHeight="true" outlineLevel="0" collapsed="false">
      <c r="A1027" s="4" t="s">
        <v>3138</v>
      </c>
      <c r="B1027" s="5" t="s">
        <v>3138</v>
      </c>
      <c r="C1027" s="1" t="str">
        <f aca="false">IF(B1027="NEW ROUTE",1,"")</f>
        <v/>
      </c>
      <c r="E1027" s="5" t="s">
        <v>3138</v>
      </c>
      <c r="F1027" s="6" t="e">
        <f aca="false">VLOOKUP(E1027,$K$2:$L$426,2,FALSE())</f>
        <v>#N/A</v>
      </c>
      <c r="G1027" s="1" t="str">
        <f aca="false">IF(ISNA(F1027),"",F1027)</f>
        <v/>
      </c>
      <c r="H1027" s="5" t="str">
        <f aca="false">IF(G1027&lt;&gt;"",G1027,E1027)</f>
        <v>2, 5, 20, SLOWPOKE</v>
      </c>
    </row>
    <row r="1028" customFormat="false" ht="12.75" hidden="false" customHeight="true" outlineLevel="0" collapsed="false">
      <c r="A1028" s="4" t="s">
        <v>3139</v>
      </c>
      <c r="B1028" s="5" t="s">
        <v>3139</v>
      </c>
      <c r="C1028" s="1" t="str">
        <f aca="false">IF(B1028="NEW ROUTE",1,"")</f>
        <v/>
      </c>
      <c r="E1028" s="5" t="s">
        <v>3139</v>
      </c>
      <c r="F1028" s="6" t="e">
        <f aca="false">VLOOKUP(E1028,$K$2:$L$426,2,FALSE())</f>
        <v>#N/A</v>
      </c>
      <c r="G1028" s="1" t="str">
        <f aca="false">IF(ISNA(F1028),"",F1028)</f>
        <v/>
      </c>
      <c r="H1028" s="5" t="str">
        <f aca="false">IF(G1028&lt;&gt;"",G1028,E1028)</f>
        <v>20, 35, SLOWPOKE</v>
      </c>
    </row>
    <row r="1029" customFormat="false" ht="12.75" hidden="false" customHeight="true" outlineLevel="0" collapsed="false">
      <c r="A1029" s="4" t="s">
        <v>3140</v>
      </c>
      <c r="B1029" s="5" t="s">
        <v>3140</v>
      </c>
      <c r="C1029" s="1" t="str">
        <f aca="false">IF(B1029="NEW ROUTE",1,"")</f>
        <v/>
      </c>
      <c r="E1029" s="5" t="s">
        <v>3140</v>
      </c>
      <c r="F1029" s="6" t="e">
        <f aca="false">VLOOKUP(E1029,$K$2:$L$426,2,FALSE())</f>
        <v>#N/A</v>
      </c>
      <c r="G1029" s="1" t="str">
        <f aca="false">IF(ISNA(F1029),"",F1029)</f>
        <v/>
      </c>
      <c r="H1029" s="5" t="str">
        <f aca="false">IF(G1029&lt;&gt;"",G1029,E1029)</f>
        <v>35, 40, SLOWPOKE</v>
      </c>
    </row>
    <row r="1030" customFormat="false" ht="12.75" hidden="false" customHeight="true" outlineLevel="0" collapsed="false">
      <c r="A1030" s="4" t="s">
        <v>3141</v>
      </c>
      <c r="B1030" s="5" t="s">
        <v>3141</v>
      </c>
      <c r="C1030" s="1" t="str">
        <f aca="false">IF(B1030="NEW ROUTE",1,"")</f>
        <v/>
      </c>
      <c r="E1030" s="5" t="s">
        <v>3141</v>
      </c>
      <c r="F1030" s="6" t="e">
        <f aca="false">VLOOKUP(E1030,$K$2:$L$426,2,FALSE())</f>
        <v>#N/A</v>
      </c>
      <c r="G1030" s="1" t="str">
        <f aca="false">IF(ISNA(F1030),"",F1030)</f>
        <v/>
      </c>
      <c r="H1030" s="5" t="str">
        <f aca="false">IF(G1030&lt;&gt;"",G1030,E1030)</f>
        <v>35, 40, SLOWBRO</v>
      </c>
    </row>
    <row r="1031" customFormat="false" ht="12.75" hidden="false" customHeight="true" outlineLevel="0" collapsed="false">
      <c r="A1031" s="4" t="s">
        <v>3141</v>
      </c>
      <c r="B1031" s="5" t="s">
        <v>3141</v>
      </c>
      <c r="C1031" s="1" t="str">
        <f aca="false">IF(B1031="NEW ROUTE",1,"")</f>
        <v/>
      </c>
      <c r="E1031" s="5" t="s">
        <v>3141</v>
      </c>
      <c r="F1031" s="6" t="e">
        <f aca="false">VLOOKUP(E1031,$K$2:$L$426,2,FALSE())</f>
        <v>#N/A</v>
      </c>
      <c r="G1031" s="1" t="str">
        <f aca="false">IF(ISNA(F1031),"",F1031)</f>
        <v/>
      </c>
      <c r="H1031" s="5" t="str">
        <f aca="false">IF(G1031&lt;&gt;"",G1031,E1031)</f>
        <v>35, 40, SLOWBRO</v>
      </c>
    </row>
    <row r="1032" customFormat="false" ht="12.75" hidden="false" customHeight="true" outlineLevel="0" collapsed="false">
      <c r="A1032" s="4" t="s">
        <v>2925</v>
      </c>
      <c r="B1032" s="5" t="s">
        <v>2925</v>
      </c>
      <c r="C1032" s="1" t="str">
        <f aca="false">IF(B1032="NEW ROUTE",1,"")</f>
        <v/>
      </c>
      <c r="E1032" s="5" t="s">
        <v>2925</v>
      </c>
      <c r="F1032" s="6" t="e">
        <f aca="false">VLOOKUP(E1032,$K$2:$L$426,2,FALSE())</f>
        <v>#N/A</v>
      </c>
      <c r="G1032" s="1" t="str">
        <f aca="false">IF(ISNA(F1032),"",F1032)</f>
        <v/>
      </c>
      <c r="H1032" s="5" t="str">
        <f aca="false">IF(G1032&lt;&gt;"",G1032,E1032)</f>
        <v>20, old rod:</v>
      </c>
    </row>
    <row r="1033" customFormat="false" ht="12.75" hidden="false" customHeight="true" outlineLevel="0" collapsed="false">
      <c r="A1033" s="4" t="s">
        <v>1266</v>
      </c>
      <c r="B1033" s="5" t="s">
        <v>1266</v>
      </c>
      <c r="C1033" s="1" t="str">
        <f aca="false">IF(B1033="NEW ROUTE",1,"")</f>
        <v/>
      </c>
      <c r="E1033" s="5" t="s">
        <v>1266</v>
      </c>
      <c r="F1033" s="6" t="e">
        <f aca="false">VLOOKUP(E1033,$K$2:$L$426,2,FALSE())</f>
        <v>#N/A</v>
      </c>
      <c r="G1033" s="1" t="str">
        <f aca="false">IF(ISNA(F1033),"",F1033)</f>
        <v/>
      </c>
      <c r="H1033" s="5" t="str">
        <f aca="false">IF(G1033&lt;&gt;"",G1033,E1033)</f>
        <v>5, 5, MAGIKARP</v>
      </c>
    </row>
    <row r="1034" customFormat="false" ht="12.75" hidden="false" customHeight="true" outlineLevel="0" collapsed="false">
      <c r="A1034" s="4" t="s">
        <v>1266</v>
      </c>
      <c r="B1034" s="5" t="s">
        <v>1266</v>
      </c>
      <c r="C1034" s="1" t="str">
        <f aca="false">IF(B1034="NEW ROUTE",1,"")</f>
        <v/>
      </c>
      <c r="E1034" s="5" t="s">
        <v>1266</v>
      </c>
      <c r="F1034" s="6" t="e">
        <f aca="false">VLOOKUP(E1034,$K$2:$L$426,2,FALSE())</f>
        <v>#N/A</v>
      </c>
      <c r="G1034" s="1" t="str">
        <f aca="false">IF(ISNA(F1034),"",F1034)</f>
        <v/>
      </c>
      <c r="H1034" s="5" t="str">
        <f aca="false">IF(G1034&lt;&gt;"",G1034,E1034)</f>
        <v>5, 5, MAGIKARP</v>
      </c>
    </row>
    <row r="1035" customFormat="false" ht="12.75" hidden="false" customHeight="true" outlineLevel="0" collapsed="false">
      <c r="A1035" s="4" t="s">
        <v>2846</v>
      </c>
      <c r="B1035" s="5" t="s">
        <v>2846</v>
      </c>
      <c r="C1035" s="1" t="str">
        <f aca="false">IF(B1035="NEW ROUTE",1,"")</f>
        <v/>
      </c>
      <c r="E1035" s="5" t="s">
        <v>2846</v>
      </c>
      <c r="F1035" s="6" t="e">
        <f aca="false">VLOOKUP(E1035,$K$2:$L$426,2,FALSE())</f>
        <v>#N/A</v>
      </c>
      <c r="G1035" s="1" t="str">
        <f aca="false">IF(ISNA(F1035),"",F1035)</f>
        <v/>
      </c>
      <c r="H1035" s="5" t="str">
        <f aca="false">IF(G1035&lt;&gt;"",G1035,E1035)</f>
        <v>good rod:</v>
      </c>
    </row>
    <row r="1036" customFormat="false" ht="12.75" hidden="false" customHeight="true" outlineLevel="0" collapsed="false">
      <c r="A1036" s="4" t="s">
        <v>3142</v>
      </c>
      <c r="B1036" s="5" t="s">
        <v>3142</v>
      </c>
      <c r="C1036" s="1" t="str">
        <f aca="false">IF(B1036="NEW ROUTE",1,"")</f>
        <v/>
      </c>
      <c r="E1036" s="5" t="s">
        <v>3142</v>
      </c>
      <c r="F1036" s="6" t="e">
        <f aca="false">VLOOKUP(E1036,$K$2:$L$426,2,FALSE())</f>
        <v>#N/A</v>
      </c>
      <c r="G1036" s="1" t="str">
        <f aca="false">IF(ISNA(F1036),"",F1036)</f>
        <v/>
      </c>
      <c r="H1036" s="5" t="str">
        <f aca="false">IF(G1036&lt;&gt;"",G1036,E1036)</f>
        <v>5, 15, GOLDEEN</v>
      </c>
    </row>
    <row r="1037" customFormat="false" ht="12.75" hidden="false" customHeight="true" outlineLevel="0" collapsed="false">
      <c r="A1037" s="4" t="s">
        <v>2848</v>
      </c>
      <c r="B1037" s="5" t="s">
        <v>2848</v>
      </c>
      <c r="C1037" s="1" t="str">
        <f aca="false">IF(B1037="NEW ROUTE",1,"")</f>
        <v/>
      </c>
      <c r="E1037" s="5" t="s">
        <v>2848</v>
      </c>
      <c r="F1037" s="6" t="e">
        <f aca="false">VLOOKUP(E1037,$K$2:$L$426,2,FALSE())</f>
        <v>#N/A</v>
      </c>
      <c r="G1037" s="1" t="str">
        <f aca="false">IF(ISNA(F1037),"",F1037)</f>
        <v/>
      </c>
      <c r="H1037" s="5" t="str">
        <f aca="false">IF(G1037&lt;&gt;"",G1037,E1037)</f>
        <v>5, 15, MAGIKARP</v>
      </c>
    </row>
    <row r="1038" customFormat="false" ht="12.75" hidden="false" customHeight="true" outlineLevel="0" collapsed="false">
      <c r="A1038" s="4" t="s">
        <v>3143</v>
      </c>
      <c r="B1038" s="5" t="s">
        <v>3143</v>
      </c>
      <c r="C1038" s="1" t="str">
        <f aca="false">IF(B1038="NEW ROUTE",1,"")</f>
        <v/>
      </c>
      <c r="E1038" s="5" t="s">
        <v>3143</v>
      </c>
      <c r="F1038" s="6" t="e">
        <f aca="false">VLOOKUP(E1038,$K$2:$L$426,2,FALSE())</f>
        <v>#N/A</v>
      </c>
      <c r="G1038" s="1" t="str">
        <f aca="false">IF(ISNA(F1038),"",F1038)</f>
        <v/>
      </c>
      <c r="H1038" s="5" t="str">
        <f aca="false">IF(G1038&lt;&gt;"",G1038,E1038)</f>
        <v>5, 15, POLIWAG</v>
      </c>
    </row>
    <row r="1039" customFormat="false" ht="12.75" hidden="false" customHeight="true" outlineLevel="0" collapsed="false">
      <c r="A1039" s="4" t="s">
        <v>2850</v>
      </c>
      <c r="B1039" s="5" t="s">
        <v>2850</v>
      </c>
      <c r="C1039" s="1" t="str">
        <f aca="false">IF(B1039="NEW ROUTE",1,"")</f>
        <v/>
      </c>
      <c r="E1039" s="5" t="s">
        <v>2850</v>
      </c>
      <c r="F1039" s="6" t="e">
        <f aca="false">VLOOKUP(E1039,$K$2:$L$426,2,FALSE())</f>
        <v>#N/A</v>
      </c>
      <c r="G1039" s="1" t="str">
        <f aca="false">IF(ISNA(F1039),"",F1039)</f>
        <v/>
      </c>
      <c r="H1039" s="5" t="str">
        <f aca="false">IF(G1039&lt;&gt;"",G1039,E1039)</f>
        <v>super rod:</v>
      </c>
    </row>
    <row r="1040" customFormat="false" ht="12.75" hidden="false" customHeight="true" outlineLevel="0" collapsed="false">
      <c r="A1040" s="4" t="s">
        <v>3144</v>
      </c>
      <c r="B1040" s="5" t="s">
        <v>3144</v>
      </c>
      <c r="C1040" s="1" t="str">
        <f aca="false">IF(B1040="NEW ROUTE",1,"")</f>
        <v/>
      </c>
      <c r="E1040" s="5" t="s">
        <v>3144</v>
      </c>
      <c r="F1040" s="6" t="e">
        <f aca="false">VLOOKUP(E1040,$K$2:$L$426,2,FALSE())</f>
        <v>#N/A</v>
      </c>
      <c r="G1040" s="1" t="str">
        <f aca="false">IF(ISNA(F1040),"",F1040)</f>
        <v/>
      </c>
      <c r="H1040" s="5" t="str">
        <f aca="false">IF(G1040&lt;&gt;"",G1040,E1040)</f>
        <v>15, 25, GOLDEEN</v>
      </c>
    </row>
    <row r="1041" customFormat="false" ht="12.75" hidden="false" customHeight="true" outlineLevel="0" collapsed="false">
      <c r="A1041" s="4" t="s">
        <v>3145</v>
      </c>
      <c r="B1041" s="5" t="s">
        <v>3145</v>
      </c>
      <c r="C1041" s="1" t="str">
        <f aca="false">IF(B1041="NEW ROUTE",1,"")</f>
        <v/>
      </c>
      <c r="E1041" s="5" t="s">
        <v>3145</v>
      </c>
      <c r="F1041" s="6" t="e">
        <f aca="false">VLOOKUP(E1041,$K$2:$L$426,2,FALSE())</f>
        <v>#N/A</v>
      </c>
      <c r="G1041" s="1" t="str">
        <f aca="false">IF(ISNA(F1041),"",F1041)</f>
        <v/>
      </c>
      <c r="H1041" s="5" t="str">
        <f aca="false">IF(G1041&lt;&gt;"",G1041,E1041)</f>
        <v>20, 30, SEAKING</v>
      </c>
    </row>
    <row r="1042" customFormat="false" ht="12.75" hidden="false" customHeight="true" outlineLevel="0" collapsed="false">
      <c r="A1042" s="4" t="s">
        <v>2853</v>
      </c>
      <c r="B1042" s="5" t="s">
        <v>2853</v>
      </c>
      <c r="C1042" s="1" t="str">
        <f aca="false">IF(B1042="NEW ROUTE",1,"")</f>
        <v/>
      </c>
      <c r="E1042" s="5" t="s">
        <v>2853</v>
      </c>
      <c r="F1042" s="6" t="e">
        <f aca="false">VLOOKUP(E1042,$K$2:$L$426,2,FALSE())</f>
        <v>#N/A</v>
      </c>
      <c r="G1042" s="1" t="str">
        <f aca="false">IF(ISNA(F1042),"",F1042)</f>
        <v/>
      </c>
      <c r="H1042" s="5" t="str">
        <f aca="false">IF(G1042&lt;&gt;"",G1042,E1042)</f>
        <v>15, 25, GYARADOS</v>
      </c>
    </row>
    <row r="1043" customFormat="false" ht="12.75" hidden="false" customHeight="true" outlineLevel="0" collapsed="false">
      <c r="A1043" s="4" t="s">
        <v>3146</v>
      </c>
      <c r="B1043" s="5" t="s">
        <v>3146</v>
      </c>
      <c r="C1043" s="1" t="str">
        <f aca="false">IF(B1043="NEW ROUTE",1,"")</f>
        <v/>
      </c>
      <c r="E1043" s="5" t="s">
        <v>3146</v>
      </c>
      <c r="F1043" s="6" t="e">
        <f aca="false">VLOOKUP(E1043,$K$2:$L$426,2,FALSE())</f>
        <v>#N/A</v>
      </c>
      <c r="G1043" s="1" t="str">
        <f aca="false">IF(ISNA(F1043),"",F1043)</f>
        <v/>
      </c>
      <c r="H1043" s="5" t="str">
        <f aca="false">IF(G1043&lt;&gt;"",G1043,E1043)</f>
        <v>15, 25, SLOWPOKE</v>
      </c>
    </row>
    <row r="1044" customFormat="false" ht="12.75" hidden="false" customHeight="true" outlineLevel="0" collapsed="false">
      <c r="A1044" s="4" t="s">
        <v>2855</v>
      </c>
      <c r="B1044" s="5" t="s">
        <v>2855</v>
      </c>
      <c r="C1044" s="1" t="str">
        <f aca="false">IF(B1044="NEW ROUTE",1,"")</f>
        <v/>
      </c>
      <c r="E1044" s="5" t="s">
        <v>2855</v>
      </c>
      <c r="F1044" s="6" t="e">
        <f aca="false">VLOOKUP(E1044,$K$2:$L$426,2,FALSE())</f>
        <v>#N/A</v>
      </c>
      <c r="G1044" s="1" t="str">
        <f aca="false">IF(ISNA(F1044),"",F1044)</f>
        <v/>
      </c>
      <c r="H1044" s="5" t="str">
        <f aca="false">IF(G1044&lt;&gt;"",G1044,E1044)</f>
        <v>25, 35, SLOWPOKE</v>
      </c>
    </row>
    <row r="1045" customFormat="false" ht="12.75" hidden="false" customHeight="true" outlineLevel="0" collapsed="false">
      <c r="A1045" s="4" t="s">
        <v>2536</v>
      </c>
      <c r="B1045" s="5" t="s">
        <v>2536</v>
      </c>
      <c r="C1045" s="1" t="n">
        <f aca="false">IF(B1045="NEW ROUTE",1,"")</f>
        <v>1</v>
      </c>
      <c r="E1045" s="5" t="s">
        <v>2536</v>
      </c>
      <c r="F1045" s="6" t="e">
        <f aca="false">VLOOKUP(E1045,$K$2:$L$426,2,FALSE())</f>
        <v>#N/A</v>
      </c>
      <c r="G1045" s="1" t="str">
        <f aca="false">IF(ISNA(F1045),"",F1045)</f>
        <v/>
      </c>
      <c r="H1045" s="5" t="str">
        <f aca="false">IF(G1045&lt;&gt;"",G1045,E1045)</f>
        <v>NEW ROUTE</v>
      </c>
    </row>
    <row r="1046" customFormat="false" ht="12.75" hidden="false" customHeight="true" outlineLevel="0" collapsed="false">
      <c r="A1046" s="4" t="s">
        <v>232</v>
      </c>
      <c r="B1046" s="5" t="s">
        <v>232</v>
      </c>
      <c r="C1046" s="1" t="str">
        <f aca="false">IF(B1046="NEW ROUTE",1,"")</f>
        <v/>
      </c>
      <c r="E1046" s="5" t="s">
        <v>232</v>
      </c>
      <c r="F1046" s="6" t="str">
        <f aca="false">VLOOKUP(E1046,$K$2:$L$426,2,FALSE())</f>
        <v>Four Island Icefall Cave Entrance</v>
      </c>
      <c r="G1046" s="1" t="str">
        <f aca="false">IF(ISNA(F1046),"",F1046)</f>
        <v>Four Island Icefall Cave Entrance</v>
      </c>
      <c r="H1046" s="5" t="str">
        <f aca="false">IF(G1046&lt;&gt;"",G1046,E1046)</f>
        <v>Four Island Icefall Cave Entrance</v>
      </c>
    </row>
    <row r="1047" customFormat="false" ht="12.75" hidden="false" customHeight="true" outlineLevel="0" collapsed="false">
      <c r="A1047" s="4" t="s">
        <v>2799</v>
      </c>
      <c r="B1047" s="5" t="n">
        <v>0.2</v>
      </c>
      <c r="C1047" s="1" t="str">
        <f aca="false">IF(B1047="NEW ROUTE",1,"")</f>
        <v/>
      </c>
      <c r="E1047" s="5" t="n">
        <v>0.2</v>
      </c>
      <c r="F1047" s="6" t="e">
        <f aca="false">VLOOKUP(E1047,$K$2:$L$426,2,FALSE())</f>
        <v>#N/A</v>
      </c>
      <c r="G1047" s="1" t="str">
        <f aca="false">IF(ISNA(F1047),"",F1047)</f>
        <v/>
      </c>
      <c r="H1047" s="5" t="n">
        <f aca="false">IF(G1047&lt;&gt;"",G1047,E1047)</f>
        <v>0.2</v>
      </c>
    </row>
    <row r="1048" customFormat="false" ht="12.75" hidden="false" customHeight="true" outlineLevel="0" collapsed="false">
      <c r="A1048" s="4" t="s">
        <v>1591</v>
      </c>
      <c r="B1048" s="5" t="s">
        <v>1591</v>
      </c>
      <c r="C1048" s="1" t="str">
        <f aca="false">IF(B1048="NEW ROUTE",1,"")</f>
        <v/>
      </c>
      <c r="E1048" s="5" t="s">
        <v>1591</v>
      </c>
      <c r="F1048" s="6" t="e">
        <f aca="false">VLOOKUP(E1048,$K$2:$L$426,2,FALSE())</f>
        <v>#N/A</v>
      </c>
      <c r="G1048" s="1" t="str">
        <f aca="false">IF(ISNA(F1048),"",F1048)</f>
        <v/>
      </c>
      <c r="H1048" s="5" t="str">
        <f aca="false">IF(G1048&lt;&gt;"",G1048,E1048)</f>
        <v>43, 43, SEEL</v>
      </c>
    </row>
    <row r="1049" customFormat="false" ht="12.75" hidden="false" customHeight="true" outlineLevel="0" collapsed="false">
      <c r="A1049" s="4" t="s">
        <v>3148</v>
      </c>
      <c r="B1049" s="5" t="s">
        <v>3148</v>
      </c>
      <c r="C1049" s="1" t="str">
        <f aca="false">IF(B1049="NEW ROUTE",1,"")</f>
        <v/>
      </c>
      <c r="E1049" s="5" t="s">
        <v>3148</v>
      </c>
      <c r="F1049" s="6" t="e">
        <f aca="false">VLOOKUP(E1049,$K$2:$L$426,2,FALSE())</f>
        <v>#N/A</v>
      </c>
      <c r="G1049" s="1" t="str">
        <f aca="false">IF(ISNA(F1049),"",F1049)</f>
        <v/>
      </c>
      <c r="H1049" s="5" t="str">
        <f aca="false">IF(G1049&lt;&gt;"",G1049,E1049)</f>
        <v>45, 45, GOLBAT</v>
      </c>
    </row>
    <row r="1050" customFormat="false" ht="12.75" hidden="false" customHeight="true" outlineLevel="0" collapsed="false">
      <c r="A1050" s="4" t="s">
        <v>2801</v>
      </c>
      <c r="B1050" s="5" t="n">
        <v>0.1</v>
      </c>
      <c r="C1050" s="1" t="str">
        <f aca="false">IF(B1050="NEW ROUTE",1,"")</f>
        <v/>
      </c>
      <c r="E1050" s="5" t="n">
        <v>0.1</v>
      </c>
      <c r="F1050" s="6" t="e">
        <f aca="false">VLOOKUP(E1050,$K$2:$L$426,2,FALSE())</f>
        <v>#N/A</v>
      </c>
      <c r="G1050" s="1" t="str">
        <f aca="false">IF(ISNA(F1050),"",F1050)</f>
        <v/>
      </c>
      <c r="H1050" s="5" t="n">
        <f aca="false">IF(G1050&lt;&gt;"",G1050,E1050)</f>
        <v>0.1</v>
      </c>
    </row>
    <row r="1051" customFormat="false" ht="12.75" hidden="false" customHeight="true" outlineLevel="0" collapsed="false">
      <c r="A1051" s="4" t="s">
        <v>3149</v>
      </c>
      <c r="B1051" s="5" t="s">
        <v>3149</v>
      </c>
      <c r="C1051" s="1" t="str">
        <f aca="false">IF(B1051="NEW ROUTE",1,"")</f>
        <v/>
      </c>
      <c r="E1051" s="5" t="s">
        <v>3149</v>
      </c>
      <c r="F1051" s="6" t="e">
        <f aca="false">VLOOKUP(E1051,$K$2:$L$426,2,FALSE())</f>
        <v>#N/A</v>
      </c>
      <c r="G1051" s="1" t="str">
        <f aca="false">IF(ISNA(F1051),"",F1051)</f>
        <v/>
      </c>
      <c r="H1051" s="5" t="str">
        <f aca="false">IF(G1051&lt;&gt;"",G1051,E1051)</f>
        <v>45, 45, SEEL</v>
      </c>
    </row>
    <row r="1052" customFormat="false" ht="12.75" hidden="false" customHeight="true" outlineLevel="0" collapsed="false">
      <c r="A1052" s="4" t="s">
        <v>3150</v>
      </c>
      <c r="B1052" s="5" t="s">
        <v>3150</v>
      </c>
      <c r="C1052" s="1" t="str">
        <f aca="false">IF(B1052="NEW ROUTE",1,"")</f>
        <v/>
      </c>
      <c r="E1052" s="5" t="s">
        <v>3150</v>
      </c>
      <c r="F1052" s="6" t="e">
        <f aca="false">VLOOKUP(E1052,$K$2:$L$426,2,FALSE())</f>
        <v>#N/A</v>
      </c>
      <c r="G1052" s="1" t="str">
        <f aca="false">IF(ISNA(F1052),"",F1052)</f>
        <v/>
      </c>
      <c r="H1052" s="5" t="str">
        <f aca="false">IF(G1052&lt;&gt;"",G1052,E1052)</f>
        <v>47, 47, SEEL</v>
      </c>
    </row>
    <row r="1053" customFormat="false" ht="12.75" hidden="false" customHeight="true" outlineLevel="0" collapsed="false">
      <c r="A1053" s="4" t="s">
        <v>3151</v>
      </c>
      <c r="B1053" s="5" t="s">
        <v>3151</v>
      </c>
      <c r="C1053" s="1" t="str">
        <f aca="false">IF(B1053="NEW ROUTE",1,"")</f>
        <v/>
      </c>
      <c r="E1053" s="5" t="s">
        <v>3151</v>
      </c>
      <c r="F1053" s="6" t="e">
        <f aca="false">VLOOKUP(E1053,$K$2:$L$426,2,FALSE())</f>
        <v>#N/A</v>
      </c>
      <c r="G1053" s="1" t="str">
        <f aca="false">IF(ISNA(F1053),"",F1053)</f>
        <v/>
      </c>
      <c r="H1053" s="5" t="str">
        <f aca="false">IF(G1053&lt;&gt;"",G1053,E1053)</f>
        <v>40, 40, ZUBAT</v>
      </c>
    </row>
    <row r="1054" customFormat="false" ht="12.75" hidden="false" customHeight="true" outlineLevel="0" collapsed="false">
      <c r="A1054" s="4" t="s">
        <v>3152</v>
      </c>
      <c r="B1054" s="5" t="s">
        <v>3152</v>
      </c>
      <c r="C1054" s="1" t="str">
        <f aca="false">IF(B1054="NEW ROUTE",1,"")</f>
        <v/>
      </c>
      <c r="E1054" s="5" t="s">
        <v>3152</v>
      </c>
      <c r="F1054" s="6" t="e">
        <f aca="false">VLOOKUP(E1054,$K$2:$L$426,2,FALSE())</f>
        <v>#N/A</v>
      </c>
      <c r="G1054" s="1" t="str">
        <f aca="false">IF(ISNA(F1054),"",F1054)</f>
        <v/>
      </c>
      <c r="H1054" s="5" t="str">
        <f aca="false">IF(G1054&lt;&gt;"",G1054,E1054)</f>
        <v>49, 49, DEWGONG</v>
      </c>
    </row>
    <row r="1055" customFormat="false" ht="12.75" hidden="false" customHeight="true" outlineLevel="0" collapsed="false">
      <c r="A1055" s="4" t="s">
        <v>2806</v>
      </c>
      <c r="B1055" s="5" t="n">
        <v>0.05</v>
      </c>
      <c r="C1055" s="1" t="str">
        <f aca="false">IF(B1055="NEW ROUTE",1,"")</f>
        <v/>
      </c>
      <c r="E1055" s="5" t="n">
        <v>0.05</v>
      </c>
      <c r="F1055" s="6" t="e">
        <f aca="false">VLOOKUP(E1055,$K$2:$L$426,2,FALSE())</f>
        <v>#N/A</v>
      </c>
      <c r="G1055" s="1" t="str">
        <f aca="false">IF(ISNA(F1055),"",F1055)</f>
        <v/>
      </c>
      <c r="H1055" s="5" t="n">
        <f aca="false">IF(G1055&lt;&gt;"",G1055,E1055)</f>
        <v>0.05</v>
      </c>
    </row>
    <row r="1056" customFormat="false" ht="12.75" hidden="false" customHeight="true" outlineLevel="0" collapsed="false">
      <c r="A1056" s="4" t="s">
        <v>3153</v>
      </c>
      <c r="B1056" s="5" t="s">
        <v>3153</v>
      </c>
      <c r="C1056" s="1" t="str">
        <f aca="false">IF(B1056="NEW ROUTE",1,"")</f>
        <v/>
      </c>
      <c r="E1056" s="5" t="s">
        <v>3153</v>
      </c>
      <c r="F1056" s="6" t="e">
        <f aca="false">VLOOKUP(E1056,$K$2:$L$426,2,FALSE())</f>
        <v>#N/A</v>
      </c>
      <c r="G1056" s="1" t="str">
        <f aca="false">IF(ISNA(F1056),"",F1056)</f>
        <v/>
      </c>
      <c r="H1056" s="5" t="str">
        <f aca="false">IF(G1056&lt;&gt;"",G1056,E1056)</f>
        <v>51, 51, DEWGONG</v>
      </c>
    </row>
    <row r="1057" customFormat="false" ht="12.75" hidden="false" customHeight="true" outlineLevel="0" collapsed="false">
      <c r="A1057" s="4" t="s">
        <v>3154</v>
      </c>
      <c r="B1057" s="5" t="s">
        <v>3154</v>
      </c>
      <c r="C1057" s="1" t="str">
        <f aca="false">IF(B1057="NEW ROUTE",1,"")</f>
        <v/>
      </c>
      <c r="E1057" s="5" t="s">
        <v>3154</v>
      </c>
      <c r="F1057" s="6" t="e">
        <f aca="false">VLOOKUP(E1057,$K$2:$L$426,2,FALSE())</f>
        <v>#N/A</v>
      </c>
      <c r="G1057" s="1" t="str">
        <f aca="false">IF(ISNA(F1057),"",F1057)</f>
        <v/>
      </c>
      <c r="H1057" s="5" t="str">
        <f aca="false">IF(G1057&lt;&gt;"",G1057,E1057)</f>
        <v>41, 41, SLOWPOKE</v>
      </c>
    </row>
    <row r="1058" customFormat="false" ht="12.75" hidden="false" customHeight="true" outlineLevel="0" collapsed="false">
      <c r="A1058" s="4" t="s">
        <v>2809</v>
      </c>
      <c r="B1058" s="5" t="n">
        <v>0.04</v>
      </c>
      <c r="C1058" s="1" t="str">
        <f aca="false">IF(B1058="NEW ROUTE",1,"")</f>
        <v/>
      </c>
      <c r="E1058" s="5" t="n">
        <v>0.04</v>
      </c>
      <c r="F1058" s="6" t="e">
        <f aca="false">VLOOKUP(E1058,$K$2:$L$426,2,FALSE())</f>
        <v>#N/A</v>
      </c>
      <c r="G1058" s="1" t="str">
        <f aca="false">IF(ISNA(F1058),"",F1058)</f>
        <v/>
      </c>
      <c r="H1058" s="5" t="n">
        <f aca="false">IF(G1058&lt;&gt;"",G1058,E1058)</f>
        <v>0.04</v>
      </c>
    </row>
    <row r="1059" customFormat="false" ht="12.75" hidden="false" customHeight="true" outlineLevel="0" collapsed="false">
      <c r="A1059" s="4" t="s">
        <v>3155</v>
      </c>
      <c r="B1059" s="5" t="s">
        <v>3155</v>
      </c>
      <c r="C1059" s="1" t="str">
        <f aca="false">IF(B1059="NEW ROUTE",1,"")</f>
        <v/>
      </c>
      <c r="E1059" s="5" t="s">
        <v>3155</v>
      </c>
      <c r="F1059" s="6" t="e">
        <f aca="false">VLOOKUP(E1059,$K$2:$L$426,2,FALSE())</f>
        <v>#N/A</v>
      </c>
      <c r="G1059" s="1" t="str">
        <f aca="false">IF(ISNA(F1059),"",F1059)</f>
        <v/>
      </c>
      <c r="H1059" s="5" t="str">
        <f aca="false">IF(G1059&lt;&gt;"",G1059,E1059)</f>
        <v>48, 48, GOLBAT</v>
      </c>
    </row>
    <row r="1060" customFormat="false" ht="12.75" hidden="false" customHeight="true" outlineLevel="0" collapsed="false">
      <c r="A1060" s="4" t="s">
        <v>3156</v>
      </c>
      <c r="B1060" s="5" t="s">
        <v>3156</v>
      </c>
      <c r="C1060" s="1" t="str">
        <f aca="false">IF(B1060="NEW ROUTE",1,"")</f>
        <v/>
      </c>
      <c r="E1060" s="5" t="s">
        <v>3156</v>
      </c>
      <c r="F1060" s="6" t="e">
        <f aca="false">VLOOKUP(E1060,$K$2:$L$426,2,FALSE())</f>
        <v>#N/A</v>
      </c>
      <c r="G1060" s="1" t="str">
        <f aca="false">IF(ISNA(F1060),"",F1060)</f>
        <v/>
      </c>
      <c r="H1060" s="5" t="str">
        <f aca="false">IF(G1060&lt;&gt;"",G1060,E1060)</f>
        <v>53, 53, DEWGONG</v>
      </c>
    </row>
    <row r="1061" customFormat="false" ht="12.75" hidden="false" customHeight="true" outlineLevel="0" collapsed="false">
      <c r="A1061" s="4" t="s">
        <v>2812</v>
      </c>
      <c r="B1061" s="5" t="n">
        <v>0.01</v>
      </c>
      <c r="C1061" s="1" t="str">
        <f aca="false">IF(B1061="NEW ROUTE",1,"")</f>
        <v/>
      </c>
      <c r="E1061" s="5" t="n">
        <v>0.01</v>
      </c>
      <c r="F1061" s="6" t="e">
        <f aca="false">VLOOKUP(E1061,$K$2:$L$426,2,FALSE())</f>
        <v>#N/A</v>
      </c>
      <c r="G1061" s="1" t="str">
        <f aca="false">IF(ISNA(F1061),"",F1061)</f>
        <v/>
      </c>
      <c r="H1061" s="5" t="n">
        <f aca="false">IF(G1061&lt;&gt;"",G1061,E1061)</f>
        <v>0.01</v>
      </c>
    </row>
    <row r="1062" customFormat="false" ht="12.75" hidden="false" customHeight="true" outlineLevel="0" collapsed="false">
      <c r="A1062" s="4" t="s">
        <v>3155</v>
      </c>
      <c r="B1062" s="5" t="s">
        <v>3155</v>
      </c>
      <c r="C1062" s="1" t="str">
        <f aca="false">IF(B1062="NEW ROUTE",1,"")</f>
        <v/>
      </c>
      <c r="E1062" s="5" t="s">
        <v>3155</v>
      </c>
      <c r="F1062" s="6" t="e">
        <f aca="false">VLOOKUP(E1062,$K$2:$L$426,2,FALSE())</f>
        <v>#N/A</v>
      </c>
      <c r="G1062" s="1" t="str">
        <f aca="false">IF(ISNA(F1062),"",F1062)</f>
        <v/>
      </c>
      <c r="H1062" s="5" t="str">
        <f aca="false">IF(G1062&lt;&gt;"",G1062,E1062)</f>
        <v>48, 48, GOLBAT</v>
      </c>
    </row>
    <row r="1063" customFormat="false" ht="12.75" hidden="false" customHeight="true" outlineLevel="0" collapsed="false">
      <c r="A1063" s="4" t="s">
        <v>3156</v>
      </c>
      <c r="B1063" s="5" t="s">
        <v>3156</v>
      </c>
      <c r="C1063" s="1" t="str">
        <f aca="false">IF(B1063="NEW ROUTE",1,"")</f>
        <v/>
      </c>
      <c r="E1063" s="5" t="s">
        <v>3156</v>
      </c>
      <c r="F1063" s="6" t="e">
        <f aca="false">VLOOKUP(E1063,$K$2:$L$426,2,FALSE())</f>
        <v>#N/A</v>
      </c>
      <c r="G1063" s="1" t="str">
        <f aca="false">IF(ISNA(F1063),"",F1063)</f>
        <v/>
      </c>
      <c r="H1063" s="5" t="str">
        <f aca="false">IF(G1063&lt;&gt;"",G1063,E1063)</f>
        <v>53, 53, DEWGONG</v>
      </c>
    </row>
    <row r="1064" customFormat="false" ht="12.75" hidden="false" customHeight="true" outlineLevel="0" collapsed="false">
      <c r="A1064" s="4" t="s">
        <v>3157</v>
      </c>
      <c r="B1064" s="5" t="s">
        <v>3157</v>
      </c>
      <c r="C1064" s="1" t="str">
        <f aca="false">IF(B1064="NEW ROUTE",1,"")</f>
        <v/>
      </c>
      <c r="E1064" s="5" t="s">
        <v>3157</v>
      </c>
      <c r="F1064" s="6" t="e">
        <f aca="false">VLOOKUP(E1064,$K$2:$L$426,2,FALSE())</f>
        <v>#N/A</v>
      </c>
      <c r="G1064" s="1" t="str">
        <f aca="false">IF(ISNA(F1064),"",F1064)</f>
        <v/>
      </c>
      <c r="H1064" s="5" t="str">
        <f aca="false">IF(G1064&lt;&gt;"",G1064,E1064)</f>
        <v>2, 5, 35, SEEL</v>
      </c>
    </row>
    <row r="1065" customFormat="false" ht="12.75" hidden="false" customHeight="true" outlineLevel="0" collapsed="false">
      <c r="A1065" s="4" t="s">
        <v>3158</v>
      </c>
      <c r="B1065" s="5" t="s">
        <v>3158</v>
      </c>
      <c r="C1065" s="1" t="str">
        <f aca="false">IF(B1065="NEW ROUTE",1,"")</f>
        <v/>
      </c>
      <c r="E1065" s="5" t="s">
        <v>3158</v>
      </c>
      <c r="F1065" s="6" t="e">
        <f aca="false">VLOOKUP(E1065,$K$2:$L$426,2,FALSE())</f>
        <v>#N/A</v>
      </c>
      <c r="G1065" s="1" t="str">
        <f aca="false">IF(ISNA(F1065),"",F1065)</f>
        <v/>
      </c>
      <c r="H1065" s="5" t="str">
        <f aca="false">IF(G1065&lt;&gt;"",G1065,E1065)</f>
        <v>5, 35, SLOWPOKE</v>
      </c>
    </row>
    <row r="1066" customFormat="false" ht="12.75" hidden="false" customHeight="true" outlineLevel="0" collapsed="false">
      <c r="A1066" s="4" t="s">
        <v>3159</v>
      </c>
      <c r="B1066" s="5" t="s">
        <v>3159</v>
      </c>
      <c r="C1066" s="1" t="str">
        <f aca="false">IF(B1066="NEW ROUTE",1,"")</f>
        <v/>
      </c>
      <c r="E1066" s="5" t="s">
        <v>3159</v>
      </c>
      <c r="F1066" s="6" t="e">
        <f aca="false">VLOOKUP(E1066,$K$2:$L$426,2,FALSE())</f>
        <v>#N/A</v>
      </c>
      <c r="G1066" s="1" t="str">
        <f aca="false">IF(ISNA(F1066),"",F1066)</f>
        <v/>
      </c>
      <c r="H1066" s="5" t="str">
        <f aca="false">IF(G1066&lt;&gt;"",G1066,E1066)</f>
        <v>35, 40, DEWGONG</v>
      </c>
    </row>
    <row r="1067" customFormat="false" ht="12.75" hidden="false" customHeight="true" outlineLevel="0" collapsed="false">
      <c r="A1067" s="4" t="s">
        <v>3160</v>
      </c>
      <c r="B1067" s="5" t="s">
        <v>3160</v>
      </c>
      <c r="C1067" s="1" t="str">
        <f aca="false">IF(B1067="NEW ROUTE",1,"")</f>
        <v/>
      </c>
      <c r="E1067" s="5" t="s">
        <v>3160</v>
      </c>
      <c r="F1067" s="6" t="e">
        <f aca="false">VLOOKUP(E1067,$K$2:$L$426,2,FALSE())</f>
        <v>#N/A</v>
      </c>
      <c r="G1067" s="1" t="str">
        <f aca="false">IF(ISNA(F1067),"",F1067)</f>
        <v/>
      </c>
      <c r="H1067" s="5" t="str">
        <f aca="false">IF(G1067&lt;&gt;"",G1067,E1067)</f>
        <v>5, 15, MARILL</v>
      </c>
    </row>
    <row r="1068" customFormat="false" ht="12.75" hidden="false" customHeight="true" outlineLevel="0" collapsed="false">
      <c r="A1068" s="4" t="s">
        <v>3160</v>
      </c>
      <c r="B1068" s="5" t="s">
        <v>3160</v>
      </c>
      <c r="C1068" s="1" t="str">
        <f aca="false">IF(B1068="NEW ROUTE",1,"")</f>
        <v/>
      </c>
      <c r="E1068" s="5" t="s">
        <v>3160</v>
      </c>
      <c r="F1068" s="6" t="e">
        <f aca="false">VLOOKUP(E1068,$K$2:$L$426,2,FALSE())</f>
        <v>#N/A</v>
      </c>
      <c r="G1068" s="1" t="str">
        <f aca="false">IF(ISNA(F1068),"",F1068)</f>
        <v/>
      </c>
      <c r="H1068" s="5" t="str">
        <f aca="false">IF(G1068&lt;&gt;"",G1068,E1068)</f>
        <v>5, 15, MARILL</v>
      </c>
    </row>
    <row r="1069" customFormat="false" ht="12.75" hidden="false" customHeight="true" outlineLevel="0" collapsed="false">
      <c r="A1069" s="4" t="s">
        <v>2925</v>
      </c>
      <c r="B1069" s="5" t="s">
        <v>2925</v>
      </c>
      <c r="C1069" s="1" t="str">
        <f aca="false">IF(B1069="NEW ROUTE",1,"")</f>
        <v/>
      </c>
      <c r="E1069" s="5" t="s">
        <v>2925</v>
      </c>
      <c r="F1069" s="6" t="e">
        <f aca="false">VLOOKUP(E1069,$K$2:$L$426,2,FALSE())</f>
        <v>#N/A</v>
      </c>
      <c r="G1069" s="1" t="str">
        <f aca="false">IF(ISNA(F1069),"",F1069)</f>
        <v/>
      </c>
      <c r="H1069" s="5" t="str">
        <f aca="false">IF(G1069&lt;&gt;"",G1069,E1069)</f>
        <v>20, old rod:</v>
      </c>
    </row>
    <row r="1070" customFormat="false" ht="12.75" hidden="false" customHeight="true" outlineLevel="0" collapsed="false">
      <c r="A1070" s="4" t="s">
        <v>1266</v>
      </c>
      <c r="B1070" s="5" t="s">
        <v>1266</v>
      </c>
      <c r="C1070" s="1" t="str">
        <f aca="false">IF(B1070="NEW ROUTE",1,"")</f>
        <v/>
      </c>
      <c r="E1070" s="5" t="s">
        <v>1266</v>
      </c>
      <c r="F1070" s="6" t="e">
        <f aca="false">VLOOKUP(E1070,$K$2:$L$426,2,FALSE())</f>
        <v>#N/A</v>
      </c>
      <c r="G1070" s="1" t="str">
        <f aca="false">IF(ISNA(F1070),"",F1070)</f>
        <v/>
      </c>
      <c r="H1070" s="5" t="str">
        <f aca="false">IF(G1070&lt;&gt;"",G1070,E1070)</f>
        <v>5, 5, MAGIKARP</v>
      </c>
    </row>
    <row r="1071" customFormat="false" ht="12.75" hidden="false" customHeight="true" outlineLevel="0" collapsed="false">
      <c r="A1071" s="4" t="s">
        <v>1266</v>
      </c>
      <c r="B1071" s="5" t="s">
        <v>1266</v>
      </c>
      <c r="C1071" s="1" t="str">
        <f aca="false">IF(B1071="NEW ROUTE",1,"")</f>
        <v/>
      </c>
      <c r="E1071" s="5" t="s">
        <v>1266</v>
      </c>
      <c r="F1071" s="6" t="e">
        <f aca="false">VLOOKUP(E1071,$K$2:$L$426,2,FALSE())</f>
        <v>#N/A</v>
      </c>
      <c r="G1071" s="1" t="str">
        <f aca="false">IF(ISNA(F1071),"",F1071)</f>
        <v/>
      </c>
      <c r="H1071" s="5" t="str">
        <f aca="false">IF(G1071&lt;&gt;"",G1071,E1071)</f>
        <v>5, 5, MAGIKARP</v>
      </c>
    </row>
    <row r="1072" customFormat="false" ht="12.75" hidden="false" customHeight="true" outlineLevel="0" collapsed="false">
      <c r="A1072" s="4" t="s">
        <v>2846</v>
      </c>
      <c r="B1072" s="5" t="s">
        <v>2846</v>
      </c>
      <c r="C1072" s="1" t="str">
        <f aca="false">IF(B1072="NEW ROUTE",1,"")</f>
        <v/>
      </c>
      <c r="E1072" s="5" t="s">
        <v>2846</v>
      </c>
      <c r="F1072" s="6" t="e">
        <f aca="false">VLOOKUP(E1072,$K$2:$L$426,2,FALSE())</f>
        <v>#N/A</v>
      </c>
      <c r="G1072" s="1" t="str">
        <f aca="false">IF(ISNA(F1072),"",F1072)</f>
        <v/>
      </c>
      <c r="H1072" s="5" t="str">
        <f aca="false">IF(G1072&lt;&gt;"",G1072,E1072)</f>
        <v>good rod:</v>
      </c>
    </row>
    <row r="1073" customFormat="false" ht="12.75" hidden="false" customHeight="true" outlineLevel="0" collapsed="false">
      <c r="A1073" s="4" t="s">
        <v>3143</v>
      </c>
      <c r="B1073" s="5" t="s">
        <v>3143</v>
      </c>
      <c r="C1073" s="1" t="str">
        <f aca="false">IF(B1073="NEW ROUTE",1,"")</f>
        <v/>
      </c>
      <c r="E1073" s="5" t="s">
        <v>3143</v>
      </c>
      <c r="F1073" s="6" t="e">
        <f aca="false">VLOOKUP(E1073,$K$2:$L$426,2,FALSE())</f>
        <v>#N/A</v>
      </c>
      <c r="G1073" s="1" t="str">
        <f aca="false">IF(ISNA(F1073),"",F1073)</f>
        <v/>
      </c>
      <c r="H1073" s="5" t="str">
        <f aca="false">IF(G1073&lt;&gt;"",G1073,E1073)</f>
        <v>5, 15, POLIWAG</v>
      </c>
    </row>
    <row r="1074" customFormat="false" ht="12.75" hidden="false" customHeight="true" outlineLevel="0" collapsed="false">
      <c r="A1074" s="4" t="s">
        <v>2848</v>
      </c>
      <c r="B1074" s="5" t="s">
        <v>2848</v>
      </c>
      <c r="C1074" s="1" t="str">
        <f aca="false">IF(B1074="NEW ROUTE",1,"")</f>
        <v/>
      </c>
      <c r="E1074" s="5" t="s">
        <v>2848</v>
      </c>
      <c r="F1074" s="6" t="e">
        <f aca="false">VLOOKUP(E1074,$K$2:$L$426,2,FALSE())</f>
        <v>#N/A</v>
      </c>
      <c r="G1074" s="1" t="str">
        <f aca="false">IF(ISNA(F1074),"",F1074)</f>
        <v/>
      </c>
      <c r="H1074" s="5" t="str">
        <f aca="false">IF(G1074&lt;&gt;"",G1074,E1074)</f>
        <v>5, 15, MAGIKARP</v>
      </c>
    </row>
    <row r="1075" customFormat="false" ht="12.75" hidden="false" customHeight="true" outlineLevel="0" collapsed="false">
      <c r="A1075" s="4" t="s">
        <v>3142</v>
      </c>
      <c r="B1075" s="5" t="s">
        <v>3142</v>
      </c>
      <c r="C1075" s="1" t="str">
        <f aca="false">IF(B1075="NEW ROUTE",1,"")</f>
        <v/>
      </c>
      <c r="E1075" s="5" t="s">
        <v>3142</v>
      </c>
      <c r="F1075" s="6" t="e">
        <f aca="false">VLOOKUP(E1075,$K$2:$L$426,2,FALSE())</f>
        <v>#N/A</v>
      </c>
      <c r="G1075" s="1" t="str">
        <f aca="false">IF(ISNA(F1075),"",F1075)</f>
        <v/>
      </c>
      <c r="H1075" s="5" t="str">
        <f aca="false">IF(G1075&lt;&gt;"",G1075,E1075)</f>
        <v>5, 15, GOLDEEN</v>
      </c>
    </row>
    <row r="1076" customFormat="false" ht="12.75" hidden="false" customHeight="true" outlineLevel="0" collapsed="false">
      <c r="A1076" s="4" t="s">
        <v>2850</v>
      </c>
      <c r="B1076" s="5" t="s">
        <v>2850</v>
      </c>
      <c r="C1076" s="1" t="str">
        <f aca="false">IF(B1076="NEW ROUTE",1,"")</f>
        <v/>
      </c>
      <c r="E1076" s="5" t="s">
        <v>2850</v>
      </c>
      <c r="F1076" s="6" t="e">
        <f aca="false">VLOOKUP(E1076,$K$2:$L$426,2,FALSE())</f>
        <v>#N/A</v>
      </c>
      <c r="G1076" s="1" t="str">
        <f aca="false">IF(ISNA(F1076),"",F1076)</f>
        <v/>
      </c>
      <c r="H1076" s="5" t="str">
        <f aca="false">IF(G1076&lt;&gt;"",G1076,E1076)</f>
        <v>super rod:</v>
      </c>
    </row>
    <row r="1077" customFormat="false" ht="12.75" hidden="false" customHeight="true" outlineLevel="0" collapsed="false">
      <c r="A1077" s="4" t="s">
        <v>3161</v>
      </c>
      <c r="B1077" s="5" t="s">
        <v>3161</v>
      </c>
      <c r="C1077" s="1" t="str">
        <f aca="false">IF(B1077="NEW ROUTE",1,"")</f>
        <v/>
      </c>
      <c r="E1077" s="5" t="s">
        <v>3161</v>
      </c>
      <c r="F1077" s="6" t="e">
        <f aca="false">VLOOKUP(E1077,$K$2:$L$426,2,FALSE())</f>
        <v>#N/A</v>
      </c>
      <c r="G1077" s="1" t="str">
        <f aca="false">IF(ISNA(F1077),"",F1077)</f>
        <v/>
      </c>
      <c r="H1077" s="5" t="str">
        <f aca="false">IF(G1077&lt;&gt;"",G1077,E1077)</f>
        <v>15, 25, POLIWAG</v>
      </c>
    </row>
    <row r="1078" customFormat="false" ht="12.75" hidden="false" customHeight="true" outlineLevel="0" collapsed="false">
      <c r="A1078" s="4" t="s">
        <v>3162</v>
      </c>
      <c r="B1078" s="5" t="s">
        <v>3162</v>
      </c>
      <c r="C1078" s="1" t="str">
        <f aca="false">IF(B1078="NEW ROUTE",1,"")</f>
        <v/>
      </c>
      <c r="E1078" s="5" t="s">
        <v>3162</v>
      </c>
      <c r="F1078" s="6" t="e">
        <f aca="false">VLOOKUP(E1078,$K$2:$L$426,2,FALSE())</f>
        <v>#N/A</v>
      </c>
      <c r="G1078" s="1" t="str">
        <f aca="false">IF(ISNA(F1078),"",F1078)</f>
        <v/>
      </c>
      <c r="H1078" s="5" t="str">
        <f aca="false">IF(G1078&lt;&gt;"",G1078,E1078)</f>
        <v>20, 30, POLIWHIRL</v>
      </c>
    </row>
    <row r="1079" customFormat="false" ht="12.75" hidden="false" customHeight="true" outlineLevel="0" collapsed="false">
      <c r="A1079" s="4" t="s">
        <v>2853</v>
      </c>
      <c r="B1079" s="5" t="s">
        <v>2853</v>
      </c>
      <c r="C1079" s="1" t="str">
        <f aca="false">IF(B1079="NEW ROUTE",1,"")</f>
        <v/>
      </c>
      <c r="E1079" s="5" t="s">
        <v>2853</v>
      </c>
      <c r="F1079" s="6" t="e">
        <f aca="false">VLOOKUP(E1079,$K$2:$L$426,2,FALSE())</f>
        <v>#N/A</v>
      </c>
      <c r="G1079" s="1" t="str">
        <f aca="false">IF(ISNA(F1079),"",F1079)</f>
        <v/>
      </c>
      <c r="H1079" s="5" t="str">
        <f aca="false">IF(G1079&lt;&gt;"",G1079,E1079)</f>
        <v>15, 25, GYARADOS</v>
      </c>
    </row>
    <row r="1080" customFormat="false" ht="12.75" hidden="false" customHeight="true" outlineLevel="0" collapsed="false">
      <c r="A1080" s="4" t="s">
        <v>3146</v>
      </c>
      <c r="B1080" s="5" t="s">
        <v>3146</v>
      </c>
      <c r="C1080" s="1" t="str">
        <f aca="false">IF(B1080="NEW ROUTE",1,"")</f>
        <v/>
      </c>
      <c r="E1080" s="5" t="s">
        <v>3146</v>
      </c>
      <c r="F1080" s="6" t="e">
        <f aca="false">VLOOKUP(E1080,$K$2:$L$426,2,FALSE())</f>
        <v>#N/A</v>
      </c>
      <c r="G1080" s="1" t="str">
        <f aca="false">IF(ISNA(F1080),"",F1080)</f>
        <v/>
      </c>
      <c r="H1080" s="5" t="str">
        <f aca="false">IF(G1080&lt;&gt;"",G1080,E1080)</f>
        <v>15, 25, SLOWPOKE</v>
      </c>
    </row>
    <row r="1081" customFormat="false" ht="12.75" hidden="false" customHeight="true" outlineLevel="0" collapsed="false">
      <c r="A1081" s="4" t="s">
        <v>2855</v>
      </c>
      <c r="B1081" s="5" t="s">
        <v>2855</v>
      </c>
      <c r="C1081" s="1" t="str">
        <f aca="false">IF(B1081="NEW ROUTE",1,"")</f>
        <v/>
      </c>
      <c r="E1081" s="5" t="s">
        <v>2855</v>
      </c>
      <c r="F1081" s="6" t="e">
        <f aca="false">VLOOKUP(E1081,$K$2:$L$426,2,FALSE())</f>
        <v>#N/A</v>
      </c>
      <c r="G1081" s="1" t="str">
        <f aca="false">IF(ISNA(F1081),"",F1081)</f>
        <v/>
      </c>
      <c r="H1081" s="5" t="str">
        <f aca="false">IF(G1081&lt;&gt;"",G1081,E1081)</f>
        <v>25, 35, SLOWPOKE</v>
      </c>
    </row>
    <row r="1082" customFormat="false" ht="12.75" hidden="false" customHeight="true" outlineLevel="0" collapsed="false">
      <c r="A1082" s="4" t="s">
        <v>2536</v>
      </c>
      <c r="B1082" s="5" t="s">
        <v>2536</v>
      </c>
      <c r="C1082" s="1" t="n">
        <f aca="false">IF(B1082="NEW ROUTE",1,"")</f>
        <v>1</v>
      </c>
      <c r="E1082" s="5" t="s">
        <v>2536</v>
      </c>
      <c r="F1082" s="6" t="e">
        <f aca="false">VLOOKUP(E1082,$K$2:$L$426,2,FALSE())</f>
        <v>#N/A</v>
      </c>
      <c r="G1082" s="1" t="str">
        <f aca="false">IF(ISNA(F1082),"",F1082)</f>
        <v/>
      </c>
      <c r="H1082" s="5" t="str">
        <f aca="false">IF(G1082&lt;&gt;"",G1082,E1082)</f>
        <v>NEW ROUTE</v>
      </c>
    </row>
    <row r="1083" customFormat="false" ht="12.75" hidden="false" customHeight="true" outlineLevel="0" collapsed="false">
      <c r="A1083" s="4" t="s">
        <v>234</v>
      </c>
      <c r="B1083" s="5" t="s">
        <v>234</v>
      </c>
      <c r="C1083" s="1" t="str">
        <f aca="false">IF(B1083="NEW ROUTE",1,"")</f>
        <v/>
      </c>
      <c r="E1083" s="5" t="s">
        <v>234</v>
      </c>
      <c r="F1083" s="6" t="str">
        <f aca="false">VLOOKUP(E1083,$K$2:$L$426,2,FALSE())</f>
        <v>Four Island Icefall Cave 1F</v>
      </c>
      <c r="G1083" s="1" t="str">
        <f aca="false">IF(ISNA(F1083),"",F1083)</f>
        <v>Four Island Icefall Cave 1F</v>
      </c>
      <c r="H1083" s="5" t="str">
        <f aca="false">IF(G1083&lt;&gt;"",G1083,E1083)</f>
        <v>Four Island Icefall Cave 1F</v>
      </c>
    </row>
    <row r="1084" customFormat="false" ht="12.75" hidden="false" customHeight="true" outlineLevel="0" collapsed="false">
      <c r="A1084" s="4" t="s">
        <v>2799</v>
      </c>
      <c r="B1084" s="5" t="n">
        <v>0.2</v>
      </c>
      <c r="C1084" s="1" t="str">
        <f aca="false">IF(B1084="NEW ROUTE",1,"")</f>
        <v/>
      </c>
      <c r="E1084" s="5" t="n">
        <v>0.2</v>
      </c>
      <c r="F1084" s="6" t="e">
        <f aca="false">VLOOKUP(E1084,$K$2:$L$426,2,FALSE())</f>
        <v>#N/A</v>
      </c>
      <c r="G1084" s="1" t="str">
        <f aca="false">IF(ISNA(F1084),"",F1084)</f>
        <v/>
      </c>
      <c r="H1084" s="5" t="n">
        <f aca="false">IF(G1084&lt;&gt;"",G1084,E1084)</f>
        <v>0.2</v>
      </c>
    </row>
    <row r="1085" customFormat="false" ht="12.75" hidden="false" customHeight="true" outlineLevel="0" collapsed="false">
      <c r="A1085" s="4" t="s">
        <v>1609</v>
      </c>
      <c r="B1085" s="5" t="s">
        <v>1609</v>
      </c>
      <c r="C1085" s="1" t="str">
        <f aca="false">IF(B1085="NEW ROUTE",1,"")</f>
        <v/>
      </c>
      <c r="E1085" s="5" t="s">
        <v>1609</v>
      </c>
      <c r="F1085" s="6" t="e">
        <f aca="false">VLOOKUP(E1085,$K$2:$L$426,2,FALSE())</f>
        <v>#N/A</v>
      </c>
      <c r="G1085" s="1" t="str">
        <f aca="false">IF(ISNA(F1085),"",F1085)</f>
        <v/>
      </c>
      <c r="H1085" s="5" t="str">
        <f aca="false">IF(G1085&lt;&gt;"",G1085,E1085)</f>
        <v>25, 25, SWINUB</v>
      </c>
    </row>
    <row r="1086" customFormat="false" ht="12.75" hidden="false" customHeight="true" outlineLevel="0" collapsed="false">
      <c r="A1086" s="4" t="s">
        <v>3148</v>
      </c>
      <c r="B1086" s="5" t="s">
        <v>3148</v>
      </c>
      <c r="C1086" s="1" t="str">
        <f aca="false">IF(B1086="NEW ROUTE",1,"")</f>
        <v/>
      </c>
      <c r="E1086" s="5" t="s">
        <v>3148</v>
      </c>
      <c r="F1086" s="6" t="e">
        <f aca="false">VLOOKUP(E1086,$K$2:$L$426,2,FALSE())</f>
        <v>#N/A</v>
      </c>
      <c r="G1086" s="1" t="str">
        <f aca="false">IF(ISNA(F1086),"",F1086)</f>
        <v/>
      </c>
      <c r="H1086" s="5" t="str">
        <f aca="false">IF(G1086&lt;&gt;"",G1086,E1086)</f>
        <v>45, 45, GOLBAT</v>
      </c>
    </row>
    <row r="1087" customFormat="false" ht="12.75" hidden="false" customHeight="true" outlineLevel="0" collapsed="false">
      <c r="A1087" s="4" t="s">
        <v>2801</v>
      </c>
      <c r="B1087" s="5" t="n">
        <v>0.1</v>
      </c>
      <c r="C1087" s="1" t="str">
        <f aca="false">IF(B1087="NEW ROUTE",1,"")</f>
        <v/>
      </c>
      <c r="E1087" s="5" t="n">
        <v>0.1</v>
      </c>
      <c r="F1087" s="6" t="e">
        <f aca="false">VLOOKUP(E1087,$K$2:$L$426,2,FALSE())</f>
        <v>#N/A</v>
      </c>
      <c r="G1087" s="1" t="str">
        <f aca="false">IF(ISNA(F1087),"",F1087)</f>
        <v/>
      </c>
      <c r="H1087" s="5" t="n">
        <f aca="false">IF(G1087&lt;&gt;"",G1087,E1087)</f>
        <v>0.1</v>
      </c>
    </row>
    <row r="1088" customFormat="false" ht="12.75" hidden="false" customHeight="true" outlineLevel="0" collapsed="false">
      <c r="A1088" s="4" t="s">
        <v>3149</v>
      </c>
      <c r="B1088" s="5" t="s">
        <v>3149</v>
      </c>
      <c r="C1088" s="1" t="str">
        <f aca="false">IF(B1088="NEW ROUTE",1,"")</f>
        <v/>
      </c>
      <c r="E1088" s="5" t="s">
        <v>3149</v>
      </c>
      <c r="F1088" s="6" t="e">
        <f aca="false">VLOOKUP(E1088,$K$2:$L$426,2,FALSE())</f>
        <v>#N/A</v>
      </c>
      <c r="G1088" s="1" t="str">
        <f aca="false">IF(ISNA(F1088),"",F1088)</f>
        <v/>
      </c>
      <c r="H1088" s="5" t="str">
        <f aca="false">IF(G1088&lt;&gt;"",G1088,E1088)</f>
        <v>45, 45, SEEL</v>
      </c>
    </row>
    <row r="1089" customFormat="false" ht="12.75" hidden="false" customHeight="true" outlineLevel="0" collapsed="false">
      <c r="A1089" s="4" t="s">
        <v>3164</v>
      </c>
      <c r="B1089" s="5" t="s">
        <v>3164</v>
      </c>
      <c r="C1089" s="1" t="str">
        <f aca="false">IF(B1089="NEW ROUTE",1,"")</f>
        <v/>
      </c>
      <c r="E1089" s="5" t="s">
        <v>3164</v>
      </c>
      <c r="F1089" s="6" t="e">
        <f aca="false">VLOOKUP(E1089,$K$2:$L$426,2,FALSE())</f>
        <v>#N/A</v>
      </c>
      <c r="G1089" s="1" t="str">
        <f aca="false">IF(ISNA(F1089),"",F1089)</f>
        <v/>
      </c>
      <c r="H1089" s="5" t="str">
        <f aca="false">IF(G1089&lt;&gt;"",G1089,E1089)</f>
        <v>27, 27, SWINUB</v>
      </c>
    </row>
    <row r="1090" customFormat="false" ht="12.75" hidden="false" customHeight="true" outlineLevel="0" collapsed="false">
      <c r="A1090" s="4" t="s">
        <v>3151</v>
      </c>
      <c r="B1090" s="5" t="s">
        <v>3151</v>
      </c>
      <c r="C1090" s="1" t="str">
        <f aca="false">IF(B1090="NEW ROUTE",1,"")</f>
        <v/>
      </c>
      <c r="E1090" s="5" t="s">
        <v>3151</v>
      </c>
      <c r="F1090" s="6" t="e">
        <f aca="false">VLOOKUP(E1090,$K$2:$L$426,2,FALSE())</f>
        <v>#N/A</v>
      </c>
      <c r="G1090" s="1" t="str">
        <f aca="false">IF(ISNA(F1090),"",F1090)</f>
        <v/>
      </c>
      <c r="H1090" s="5" t="str">
        <f aca="false">IF(G1090&lt;&gt;"",G1090,E1090)</f>
        <v>40, 40, ZUBAT</v>
      </c>
    </row>
    <row r="1091" customFormat="false" ht="12.75" hidden="false" customHeight="true" outlineLevel="0" collapsed="false">
      <c r="A1091" s="4" t="s">
        <v>3165</v>
      </c>
      <c r="B1091" s="5" t="s">
        <v>3165</v>
      </c>
      <c r="C1091" s="1" t="str">
        <f aca="false">IF(B1091="NEW ROUTE",1,"")</f>
        <v/>
      </c>
      <c r="E1091" s="5" t="s">
        <v>3165</v>
      </c>
      <c r="F1091" s="6" t="e">
        <f aca="false">VLOOKUP(E1091,$K$2:$L$426,2,FALSE())</f>
        <v>#N/A</v>
      </c>
      <c r="G1091" s="1" t="str">
        <f aca="false">IF(ISNA(F1091),"",F1091)</f>
        <v/>
      </c>
      <c r="H1091" s="5" t="str">
        <f aca="false">IF(G1091&lt;&gt;"",G1091,E1091)</f>
        <v>29, 29, SWINUB</v>
      </c>
    </row>
    <row r="1092" customFormat="false" ht="12.75" hidden="false" customHeight="true" outlineLevel="0" collapsed="false">
      <c r="A1092" s="4" t="s">
        <v>2806</v>
      </c>
      <c r="B1092" s="5" t="n">
        <v>0.05</v>
      </c>
      <c r="C1092" s="1" t="str">
        <f aca="false">IF(B1092="NEW ROUTE",1,"")</f>
        <v/>
      </c>
      <c r="E1092" s="5" t="n">
        <v>0.05</v>
      </c>
      <c r="F1092" s="6" t="e">
        <f aca="false">VLOOKUP(E1092,$K$2:$L$426,2,FALSE())</f>
        <v>#N/A</v>
      </c>
      <c r="G1092" s="1" t="str">
        <f aca="false">IF(ISNA(F1092),"",F1092)</f>
        <v/>
      </c>
      <c r="H1092" s="5" t="n">
        <f aca="false">IF(G1092&lt;&gt;"",G1092,E1092)</f>
        <v>0.05</v>
      </c>
    </row>
    <row r="1093" customFormat="false" ht="12.75" hidden="false" customHeight="true" outlineLevel="0" collapsed="false">
      <c r="A1093" s="4" t="s">
        <v>3166</v>
      </c>
      <c r="B1093" s="5" t="s">
        <v>3166</v>
      </c>
      <c r="C1093" s="1" t="str">
        <f aca="false">IF(B1093="NEW ROUTE",1,"")</f>
        <v/>
      </c>
      <c r="E1093" s="5" t="s">
        <v>3166</v>
      </c>
      <c r="F1093" s="6" t="e">
        <f aca="false">VLOOKUP(E1093,$K$2:$L$426,2,FALSE())</f>
        <v>#N/A</v>
      </c>
      <c r="G1093" s="1" t="str">
        <f aca="false">IF(ISNA(F1093),"",F1093)</f>
        <v/>
      </c>
      <c r="H1093" s="5" t="str">
        <f aca="false">IF(G1093&lt;&gt;"",G1093,E1093)</f>
        <v>30, 30, SNEASEL</v>
      </c>
    </row>
    <row r="1094" customFormat="false" ht="12.75" hidden="false" customHeight="true" outlineLevel="0" collapsed="false">
      <c r="A1094" s="4" t="s">
        <v>3167</v>
      </c>
      <c r="B1094" s="5" t="s">
        <v>3167</v>
      </c>
      <c r="C1094" s="1" t="str">
        <f aca="false">IF(B1094="NEW ROUTE",1,"")</f>
        <v/>
      </c>
      <c r="E1094" s="5" t="s">
        <v>3167</v>
      </c>
      <c r="F1094" s="6" t="e">
        <f aca="false">VLOOKUP(E1094,$K$2:$L$426,2,FALSE())</f>
        <v>#N/A</v>
      </c>
      <c r="G1094" s="1" t="str">
        <f aca="false">IF(ISNA(F1094),"",F1094)</f>
        <v/>
      </c>
      <c r="H1094" s="5" t="str">
        <f aca="false">IF(G1094&lt;&gt;"",G1094,E1094)</f>
        <v>31, 31, SWINUB</v>
      </c>
    </row>
    <row r="1095" customFormat="false" ht="12.75" hidden="false" customHeight="true" outlineLevel="0" collapsed="false">
      <c r="A1095" s="4" t="s">
        <v>2809</v>
      </c>
      <c r="B1095" s="5" t="n">
        <v>0.04</v>
      </c>
      <c r="C1095" s="1" t="str">
        <f aca="false">IF(B1095="NEW ROUTE",1,"")</f>
        <v/>
      </c>
      <c r="E1095" s="5" t="n">
        <v>0.04</v>
      </c>
      <c r="F1095" s="6" t="e">
        <f aca="false">VLOOKUP(E1095,$K$2:$L$426,2,FALSE())</f>
        <v>#N/A</v>
      </c>
      <c r="G1095" s="1" t="str">
        <f aca="false">IF(ISNA(F1095),"",F1095)</f>
        <v/>
      </c>
      <c r="H1095" s="5" t="n">
        <f aca="false">IF(G1095&lt;&gt;"",G1095,E1095)</f>
        <v>0.04</v>
      </c>
    </row>
    <row r="1096" customFormat="false" ht="12.75" hidden="false" customHeight="true" outlineLevel="0" collapsed="false">
      <c r="A1096" s="4" t="s">
        <v>3155</v>
      </c>
      <c r="B1096" s="5" t="s">
        <v>3155</v>
      </c>
      <c r="C1096" s="1" t="str">
        <f aca="false">IF(B1096="NEW ROUTE",1,"")</f>
        <v/>
      </c>
      <c r="E1096" s="5" t="s">
        <v>3155</v>
      </c>
      <c r="F1096" s="6" t="e">
        <f aca="false">VLOOKUP(E1096,$K$2:$L$426,2,FALSE())</f>
        <v>#N/A</v>
      </c>
      <c r="G1096" s="1" t="str">
        <f aca="false">IF(ISNA(F1096),"",F1096)</f>
        <v/>
      </c>
      <c r="H1096" s="5" t="str">
        <f aca="false">IF(G1096&lt;&gt;"",G1096,E1096)</f>
        <v>48, 48, GOLBAT</v>
      </c>
    </row>
    <row r="1097" customFormat="false" ht="12.75" hidden="false" customHeight="true" outlineLevel="0" collapsed="false">
      <c r="A1097" s="4" t="s">
        <v>3168</v>
      </c>
      <c r="B1097" s="5" t="s">
        <v>3168</v>
      </c>
      <c r="C1097" s="1" t="str">
        <f aca="false">IF(B1097="NEW ROUTE",1,"")</f>
        <v/>
      </c>
      <c r="E1097" s="5" t="s">
        <v>3168</v>
      </c>
      <c r="F1097" s="6" t="e">
        <f aca="false">VLOOKUP(E1097,$K$2:$L$426,2,FALSE())</f>
        <v>#N/A</v>
      </c>
      <c r="G1097" s="1" t="str">
        <f aca="false">IF(ISNA(F1097),"",F1097)</f>
        <v/>
      </c>
      <c r="H1097" s="5" t="str">
        <f aca="false">IF(G1097&lt;&gt;"",G1097,E1097)</f>
        <v>23, 23, SWINUB</v>
      </c>
    </row>
    <row r="1098" customFormat="false" ht="12.75" hidden="false" customHeight="true" outlineLevel="0" collapsed="false">
      <c r="A1098" s="4" t="s">
        <v>2812</v>
      </c>
      <c r="B1098" s="5" t="n">
        <v>0.01</v>
      </c>
      <c r="C1098" s="1" t="str">
        <f aca="false">IF(B1098="NEW ROUTE",1,"")</f>
        <v/>
      </c>
      <c r="E1098" s="5" t="n">
        <v>0.01</v>
      </c>
      <c r="F1098" s="6" t="e">
        <f aca="false">VLOOKUP(E1098,$K$2:$L$426,2,FALSE())</f>
        <v>#N/A</v>
      </c>
      <c r="G1098" s="1" t="str">
        <f aca="false">IF(ISNA(F1098),"",F1098)</f>
        <v/>
      </c>
      <c r="H1098" s="5" t="n">
        <f aca="false">IF(G1098&lt;&gt;"",G1098,E1098)</f>
        <v>0.01</v>
      </c>
    </row>
    <row r="1099" customFormat="false" ht="12.75" hidden="false" customHeight="true" outlineLevel="0" collapsed="false">
      <c r="A1099" s="4" t="s">
        <v>3155</v>
      </c>
      <c r="B1099" s="5" t="s">
        <v>3155</v>
      </c>
      <c r="C1099" s="1" t="str">
        <f aca="false">IF(B1099="NEW ROUTE",1,"")</f>
        <v/>
      </c>
      <c r="E1099" s="5" t="s">
        <v>3155</v>
      </c>
      <c r="F1099" s="6" t="e">
        <f aca="false">VLOOKUP(E1099,$K$2:$L$426,2,FALSE())</f>
        <v>#N/A</v>
      </c>
      <c r="G1099" s="1" t="str">
        <f aca="false">IF(ISNA(F1099),"",F1099)</f>
        <v/>
      </c>
      <c r="H1099" s="5" t="str">
        <f aca="false">IF(G1099&lt;&gt;"",G1099,E1099)</f>
        <v>48, 48, GOLBAT</v>
      </c>
    </row>
    <row r="1100" customFormat="false" ht="12.75" hidden="false" customHeight="true" outlineLevel="0" collapsed="false">
      <c r="A1100" s="4" t="s">
        <v>3168</v>
      </c>
      <c r="B1100" s="5" t="s">
        <v>3168</v>
      </c>
      <c r="C1100" s="1" t="str">
        <f aca="false">IF(B1100="NEW ROUTE",1,"")</f>
        <v/>
      </c>
      <c r="E1100" s="5" t="s">
        <v>3168</v>
      </c>
      <c r="F1100" s="6" t="e">
        <f aca="false">VLOOKUP(E1100,$K$2:$L$426,2,FALSE())</f>
        <v>#N/A</v>
      </c>
      <c r="G1100" s="1" t="str">
        <f aca="false">IF(ISNA(F1100),"",F1100)</f>
        <v/>
      </c>
      <c r="H1100" s="5" t="str">
        <f aca="false">IF(G1100&lt;&gt;"",G1100,E1100)</f>
        <v>23, 23, SWINUB</v>
      </c>
    </row>
    <row r="1101" customFormat="false" ht="12.75" hidden="false" customHeight="true" outlineLevel="0" collapsed="false">
      <c r="A1101" s="4" t="s">
        <v>2536</v>
      </c>
      <c r="B1101" s="5" t="s">
        <v>2536</v>
      </c>
      <c r="C1101" s="1" t="n">
        <f aca="false">IF(B1101="NEW ROUTE",1,"")</f>
        <v>1</v>
      </c>
      <c r="E1101" s="5" t="s">
        <v>2536</v>
      </c>
      <c r="F1101" s="6" t="e">
        <f aca="false">VLOOKUP(E1101,$K$2:$L$426,2,FALSE())</f>
        <v>#N/A</v>
      </c>
      <c r="G1101" s="1" t="str">
        <f aca="false">IF(ISNA(F1101),"",F1101)</f>
        <v/>
      </c>
      <c r="H1101" s="5" t="str">
        <f aca="false">IF(G1101&lt;&gt;"",G1101,E1101)</f>
        <v>NEW ROUTE</v>
      </c>
    </row>
    <row r="1102" customFormat="false" ht="12.75" hidden="false" customHeight="true" outlineLevel="0" collapsed="false">
      <c r="A1102" s="4" t="s">
        <v>236</v>
      </c>
      <c r="B1102" s="5" t="s">
        <v>236</v>
      </c>
      <c r="C1102" s="1" t="str">
        <f aca="false">IF(B1102="NEW ROUTE",1,"")</f>
        <v/>
      </c>
      <c r="E1102" s="5" t="s">
        <v>236</v>
      </c>
      <c r="F1102" s="6" t="str">
        <f aca="false">VLOOKUP(E1102,$K$2:$L$426,2,FALSE())</f>
        <v>Four Island Icefall Cave B1F</v>
      </c>
      <c r="G1102" s="1" t="str">
        <f aca="false">IF(ISNA(F1102),"",F1102)</f>
        <v>Four Island Icefall Cave B1F</v>
      </c>
      <c r="H1102" s="5" t="str">
        <f aca="false">IF(G1102&lt;&gt;"",G1102,E1102)</f>
        <v>Four Island Icefall Cave B1F</v>
      </c>
    </row>
    <row r="1103" customFormat="false" ht="12.75" hidden="false" customHeight="true" outlineLevel="0" collapsed="false">
      <c r="A1103" s="4" t="s">
        <v>2799</v>
      </c>
      <c r="B1103" s="5" t="n">
        <v>0.2</v>
      </c>
      <c r="C1103" s="1" t="str">
        <f aca="false">IF(B1103="NEW ROUTE",1,"")</f>
        <v/>
      </c>
      <c r="E1103" s="5" t="n">
        <v>0.2</v>
      </c>
      <c r="F1103" s="6" t="e">
        <f aca="false">VLOOKUP(E1103,$K$2:$L$426,2,FALSE())</f>
        <v>#N/A</v>
      </c>
      <c r="G1103" s="1" t="str">
        <f aca="false">IF(ISNA(F1103),"",F1103)</f>
        <v/>
      </c>
      <c r="H1103" s="5" t="n">
        <f aca="false">IF(G1103&lt;&gt;"",G1103,E1103)</f>
        <v>0.2</v>
      </c>
    </row>
    <row r="1104" customFormat="false" ht="12.75" hidden="false" customHeight="true" outlineLevel="0" collapsed="false">
      <c r="A1104" s="4" t="s">
        <v>1609</v>
      </c>
      <c r="B1104" s="5" t="s">
        <v>1609</v>
      </c>
      <c r="C1104" s="1" t="str">
        <f aca="false">IF(B1104="NEW ROUTE",1,"")</f>
        <v/>
      </c>
      <c r="E1104" s="5" t="s">
        <v>1609</v>
      </c>
      <c r="F1104" s="6" t="e">
        <f aca="false">VLOOKUP(E1104,$K$2:$L$426,2,FALSE())</f>
        <v>#N/A</v>
      </c>
      <c r="G1104" s="1" t="str">
        <f aca="false">IF(ISNA(F1104),"",F1104)</f>
        <v/>
      </c>
      <c r="H1104" s="5" t="str">
        <f aca="false">IF(G1104&lt;&gt;"",G1104,E1104)</f>
        <v>25, 25, SWINUB</v>
      </c>
    </row>
    <row r="1105" customFormat="false" ht="12.75" hidden="false" customHeight="true" outlineLevel="0" collapsed="false">
      <c r="A1105" s="4" t="s">
        <v>3148</v>
      </c>
      <c r="B1105" s="5" t="s">
        <v>3148</v>
      </c>
      <c r="C1105" s="1" t="str">
        <f aca="false">IF(B1105="NEW ROUTE",1,"")</f>
        <v/>
      </c>
      <c r="E1105" s="5" t="s">
        <v>3148</v>
      </c>
      <c r="F1105" s="6" t="e">
        <f aca="false">VLOOKUP(E1105,$K$2:$L$426,2,FALSE())</f>
        <v>#N/A</v>
      </c>
      <c r="G1105" s="1" t="str">
        <f aca="false">IF(ISNA(F1105),"",F1105)</f>
        <v/>
      </c>
      <c r="H1105" s="5" t="str">
        <f aca="false">IF(G1105&lt;&gt;"",G1105,E1105)</f>
        <v>45, 45, GOLBAT</v>
      </c>
    </row>
    <row r="1106" customFormat="false" ht="12.75" hidden="false" customHeight="true" outlineLevel="0" collapsed="false">
      <c r="A1106" s="4" t="s">
        <v>2801</v>
      </c>
      <c r="B1106" s="5" t="n">
        <v>0.1</v>
      </c>
      <c r="C1106" s="1" t="str">
        <f aca="false">IF(B1106="NEW ROUTE",1,"")</f>
        <v/>
      </c>
      <c r="E1106" s="5" t="n">
        <v>0.1</v>
      </c>
      <c r="F1106" s="6" t="e">
        <f aca="false">VLOOKUP(E1106,$K$2:$L$426,2,FALSE())</f>
        <v>#N/A</v>
      </c>
      <c r="G1106" s="1" t="str">
        <f aca="false">IF(ISNA(F1106),"",F1106)</f>
        <v/>
      </c>
      <c r="H1106" s="5" t="n">
        <f aca="false">IF(G1106&lt;&gt;"",G1106,E1106)</f>
        <v>0.1</v>
      </c>
    </row>
    <row r="1107" customFormat="false" ht="12.75" hidden="false" customHeight="true" outlineLevel="0" collapsed="false">
      <c r="A1107" s="4" t="s">
        <v>3149</v>
      </c>
      <c r="B1107" s="5" t="s">
        <v>3149</v>
      </c>
      <c r="C1107" s="1" t="str">
        <f aca="false">IF(B1107="NEW ROUTE",1,"")</f>
        <v/>
      </c>
      <c r="E1107" s="5" t="s">
        <v>3149</v>
      </c>
      <c r="F1107" s="6" t="e">
        <f aca="false">VLOOKUP(E1107,$K$2:$L$426,2,FALSE())</f>
        <v>#N/A</v>
      </c>
      <c r="G1107" s="1" t="str">
        <f aca="false">IF(ISNA(F1107),"",F1107)</f>
        <v/>
      </c>
      <c r="H1107" s="5" t="str">
        <f aca="false">IF(G1107&lt;&gt;"",G1107,E1107)</f>
        <v>45, 45, SEEL</v>
      </c>
    </row>
    <row r="1108" customFormat="false" ht="12.75" hidden="false" customHeight="true" outlineLevel="0" collapsed="false">
      <c r="A1108" s="4" t="s">
        <v>3164</v>
      </c>
      <c r="B1108" s="5" t="s">
        <v>3164</v>
      </c>
      <c r="C1108" s="1" t="str">
        <f aca="false">IF(B1108="NEW ROUTE",1,"")</f>
        <v/>
      </c>
      <c r="E1108" s="5" t="s">
        <v>3164</v>
      </c>
      <c r="F1108" s="6" t="e">
        <f aca="false">VLOOKUP(E1108,$K$2:$L$426,2,FALSE())</f>
        <v>#N/A</v>
      </c>
      <c r="G1108" s="1" t="str">
        <f aca="false">IF(ISNA(F1108),"",F1108)</f>
        <v/>
      </c>
      <c r="H1108" s="5" t="str">
        <f aca="false">IF(G1108&lt;&gt;"",G1108,E1108)</f>
        <v>27, 27, SWINUB</v>
      </c>
    </row>
    <row r="1109" customFormat="false" ht="12.75" hidden="false" customHeight="true" outlineLevel="0" collapsed="false">
      <c r="A1109" s="4" t="s">
        <v>3151</v>
      </c>
      <c r="B1109" s="5" t="s">
        <v>3151</v>
      </c>
      <c r="C1109" s="1" t="str">
        <f aca="false">IF(B1109="NEW ROUTE",1,"")</f>
        <v/>
      </c>
      <c r="E1109" s="5" t="s">
        <v>3151</v>
      </c>
      <c r="F1109" s="6" t="e">
        <f aca="false">VLOOKUP(E1109,$K$2:$L$426,2,FALSE())</f>
        <v>#N/A</v>
      </c>
      <c r="G1109" s="1" t="str">
        <f aca="false">IF(ISNA(F1109),"",F1109)</f>
        <v/>
      </c>
      <c r="H1109" s="5" t="str">
        <f aca="false">IF(G1109&lt;&gt;"",G1109,E1109)</f>
        <v>40, 40, ZUBAT</v>
      </c>
    </row>
    <row r="1110" customFormat="false" ht="12.75" hidden="false" customHeight="true" outlineLevel="0" collapsed="false">
      <c r="A1110" s="4" t="s">
        <v>3165</v>
      </c>
      <c r="B1110" s="5" t="s">
        <v>3165</v>
      </c>
      <c r="C1110" s="1" t="str">
        <f aca="false">IF(B1110="NEW ROUTE",1,"")</f>
        <v/>
      </c>
      <c r="E1110" s="5" t="s">
        <v>3165</v>
      </c>
      <c r="F1110" s="6" t="e">
        <f aca="false">VLOOKUP(E1110,$K$2:$L$426,2,FALSE())</f>
        <v>#N/A</v>
      </c>
      <c r="G1110" s="1" t="str">
        <f aca="false">IF(ISNA(F1110),"",F1110)</f>
        <v/>
      </c>
      <c r="H1110" s="5" t="str">
        <f aca="false">IF(G1110&lt;&gt;"",G1110,E1110)</f>
        <v>29, 29, SWINUB</v>
      </c>
    </row>
    <row r="1111" customFormat="false" ht="12.75" hidden="false" customHeight="true" outlineLevel="0" collapsed="false">
      <c r="A1111" s="4" t="s">
        <v>2806</v>
      </c>
      <c r="B1111" s="5" t="n">
        <v>0.05</v>
      </c>
      <c r="C1111" s="1" t="str">
        <f aca="false">IF(B1111="NEW ROUTE",1,"")</f>
        <v/>
      </c>
      <c r="E1111" s="5" t="n">
        <v>0.05</v>
      </c>
      <c r="F1111" s="6" t="e">
        <f aca="false">VLOOKUP(E1111,$K$2:$L$426,2,FALSE())</f>
        <v>#N/A</v>
      </c>
      <c r="G1111" s="1" t="str">
        <f aca="false">IF(ISNA(F1111),"",F1111)</f>
        <v/>
      </c>
      <c r="H1111" s="5" t="n">
        <f aca="false">IF(G1111&lt;&gt;"",G1111,E1111)</f>
        <v>0.05</v>
      </c>
    </row>
    <row r="1112" customFormat="false" ht="12.75" hidden="false" customHeight="true" outlineLevel="0" collapsed="false">
      <c r="A1112" s="4" t="s">
        <v>3166</v>
      </c>
      <c r="B1112" s="5" t="s">
        <v>3166</v>
      </c>
      <c r="C1112" s="1" t="str">
        <f aca="false">IF(B1112="NEW ROUTE",1,"")</f>
        <v/>
      </c>
      <c r="E1112" s="5" t="s">
        <v>3166</v>
      </c>
      <c r="F1112" s="6" t="e">
        <f aca="false">VLOOKUP(E1112,$K$2:$L$426,2,FALSE())</f>
        <v>#N/A</v>
      </c>
      <c r="G1112" s="1" t="str">
        <f aca="false">IF(ISNA(F1112),"",F1112)</f>
        <v/>
      </c>
      <c r="H1112" s="5" t="str">
        <f aca="false">IF(G1112&lt;&gt;"",G1112,E1112)</f>
        <v>30, 30, SNEASEL</v>
      </c>
    </row>
    <row r="1113" customFormat="false" ht="12.75" hidden="false" customHeight="true" outlineLevel="0" collapsed="false">
      <c r="A1113" s="4" t="s">
        <v>3167</v>
      </c>
      <c r="B1113" s="5" t="s">
        <v>3167</v>
      </c>
      <c r="C1113" s="1" t="str">
        <f aca="false">IF(B1113="NEW ROUTE",1,"")</f>
        <v/>
      </c>
      <c r="E1113" s="5" t="s">
        <v>3167</v>
      </c>
      <c r="F1113" s="6" t="e">
        <f aca="false">VLOOKUP(E1113,$K$2:$L$426,2,FALSE())</f>
        <v>#N/A</v>
      </c>
      <c r="G1113" s="1" t="str">
        <f aca="false">IF(ISNA(F1113),"",F1113)</f>
        <v/>
      </c>
      <c r="H1113" s="5" t="str">
        <f aca="false">IF(G1113&lt;&gt;"",G1113,E1113)</f>
        <v>31, 31, SWINUB</v>
      </c>
    </row>
    <row r="1114" customFormat="false" ht="12.75" hidden="false" customHeight="true" outlineLevel="0" collapsed="false">
      <c r="A1114" s="4" t="s">
        <v>2809</v>
      </c>
      <c r="B1114" s="5" t="n">
        <v>0.04</v>
      </c>
      <c r="C1114" s="1" t="str">
        <f aca="false">IF(B1114="NEW ROUTE",1,"")</f>
        <v/>
      </c>
      <c r="E1114" s="5" t="n">
        <v>0.04</v>
      </c>
      <c r="F1114" s="6" t="e">
        <f aca="false">VLOOKUP(E1114,$K$2:$L$426,2,FALSE())</f>
        <v>#N/A</v>
      </c>
      <c r="G1114" s="1" t="str">
        <f aca="false">IF(ISNA(F1114),"",F1114)</f>
        <v/>
      </c>
      <c r="H1114" s="5" t="n">
        <f aca="false">IF(G1114&lt;&gt;"",G1114,E1114)</f>
        <v>0.04</v>
      </c>
    </row>
    <row r="1115" customFormat="false" ht="12.75" hidden="false" customHeight="true" outlineLevel="0" collapsed="false">
      <c r="A1115" s="4" t="s">
        <v>3155</v>
      </c>
      <c r="B1115" s="5" t="s">
        <v>3155</v>
      </c>
      <c r="C1115" s="1" t="str">
        <f aca="false">IF(B1115="NEW ROUTE",1,"")</f>
        <v/>
      </c>
      <c r="E1115" s="5" t="s">
        <v>3155</v>
      </c>
      <c r="F1115" s="6" t="e">
        <f aca="false">VLOOKUP(E1115,$K$2:$L$426,2,FALSE())</f>
        <v>#N/A</v>
      </c>
      <c r="G1115" s="1" t="str">
        <f aca="false">IF(ISNA(F1115),"",F1115)</f>
        <v/>
      </c>
      <c r="H1115" s="5" t="str">
        <f aca="false">IF(G1115&lt;&gt;"",G1115,E1115)</f>
        <v>48, 48, GOLBAT</v>
      </c>
    </row>
    <row r="1116" customFormat="false" ht="12.75" hidden="false" customHeight="true" outlineLevel="0" collapsed="false">
      <c r="A1116" s="4" t="s">
        <v>3168</v>
      </c>
      <c r="B1116" s="5" t="s">
        <v>3168</v>
      </c>
      <c r="C1116" s="1" t="str">
        <f aca="false">IF(B1116="NEW ROUTE",1,"")</f>
        <v/>
      </c>
      <c r="E1116" s="5" t="s">
        <v>3168</v>
      </c>
      <c r="F1116" s="6" t="e">
        <f aca="false">VLOOKUP(E1116,$K$2:$L$426,2,FALSE())</f>
        <v>#N/A</v>
      </c>
      <c r="G1116" s="1" t="str">
        <f aca="false">IF(ISNA(F1116),"",F1116)</f>
        <v/>
      </c>
      <c r="H1116" s="5" t="str">
        <f aca="false">IF(G1116&lt;&gt;"",G1116,E1116)</f>
        <v>23, 23, SWINUB</v>
      </c>
    </row>
    <row r="1117" customFormat="false" ht="12.75" hidden="false" customHeight="true" outlineLevel="0" collapsed="false">
      <c r="A1117" s="4" t="s">
        <v>2812</v>
      </c>
      <c r="B1117" s="5" t="n">
        <v>0.01</v>
      </c>
      <c r="C1117" s="1" t="str">
        <f aca="false">IF(B1117="NEW ROUTE",1,"")</f>
        <v/>
      </c>
      <c r="E1117" s="5" t="n">
        <v>0.01</v>
      </c>
      <c r="F1117" s="6" t="e">
        <f aca="false">VLOOKUP(E1117,$K$2:$L$426,2,FALSE())</f>
        <v>#N/A</v>
      </c>
      <c r="G1117" s="1" t="str">
        <f aca="false">IF(ISNA(F1117),"",F1117)</f>
        <v/>
      </c>
      <c r="H1117" s="5" t="n">
        <f aca="false">IF(G1117&lt;&gt;"",G1117,E1117)</f>
        <v>0.01</v>
      </c>
    </row>
    <row r="1118" customFormat="false" ht="12.75" hidden="false" customHeight="true" outlineLevel="0" collapsed="false">
      <c r="A1118" s="4" t="s">
        <v>3155</v>
      </c>
      <c r="B1118" s="5" t="s">
        <v>3155</v>
      </c>
      <c r="C1118" s="1" t="str">
        <f aca="false">IF(B1118="NEW ROUTE",1,"")</f>
        <v/>
      </c>
      <c r="E1118" s="5" t="s">
        <v>3155</v>
      </c>
      <c r="F1118" s="6" t="e">
        <f aca="false">VLOOKUP(E1118,$K$2:$L$426,2,FALSE())</f>
        <v>#N/A</v>
      </c>
      <c r="G1118" s="1" t="str">
        <f aca="false">IF(ISNA(F1118),"",F1118)</f>
        <v/>
      </c>
      <c r="H1118" s="5" t="str">
        <f aca="false">IF(G1118&lt;&gt;"",G1118,E1118)</f>
        <v>48, 48, GOLBAT</v>
      </c>
    </row>
    <row r="1119" customFormat="false" ht="12.75" hidden="false" customHeight="true" outlineLevel="0" collapsed="false">
      <c r="A1119" s="4" t="s">
        <v>3168</v>
      </c>
      <c r="B1119" s="5" t="s">
        <v>3168</v>
      </c>
      <c r="C1119" s="1" t="str">
        <f aca="false">IF(B1119="NEW ROUTE",1,"")</f>
        <v/>
      </c>
      <c r="E1119" s="5" t="s">
        <v>3168</v>
      </c>
      <c r="F1119" s="6" t="e">
        <f aca="false">VLOOKUP(E1119,$K$2:$L$426,2,FALSE())</f>
        <v>#N/A</v>
      </c>
      <c r="G1119" s="1" t="str">
        <f aca="false">IF(ISNA(F1119),"",F1119)</f>
        <v/>
      </c>
      <c r="H1119" s="5" t="str">
        <f aca="false">IF(G1119&lt;&gt;"",G1119,E1119)</f>
        <v>23, 23, SWINUB</v>
      </c>
    </row>
    <row r="1120" customFormat="false" ht="12.75" hidden="false" customHeight="true" outlineLevel="0" collapsed="false">
      <c r="A1120" s="4" t="s">
        <v>2536</v>
      </c>
      <c r="B1120" s="5" t="s">
        <v>2536</v>
      </c>
      <c r="C1120" s="1" t="n">
        <f aca="false">IF(B1120="NEW ROUTE",1,"")</f>
        <v>1</v>
      </c>
      <c r="E1120" s="5" t="s">
        <v>2536</v>
      </c>
      <c r="F1120" s="6" t="e">
        <f aca="false">VLOOKUP(E1120,$K$2:$L$426,2,FALSE())</f>
        <v>#N/A</v>
      </c>
      <c r="G1120" s="1" t="str">
        <f aca="false">IF(ISNA(F1120),"",F1120)</f>
        <v/>
      </c>
      <c r="H1120" s="5" t="str">
        <f aca="false">IF(G1120&lt;&gt;"",G1120,E1120)</f>
        <v>NEW ROUTE</v>
      </c>
    </row>
    <row r="1121" customFormat="false" ht="12.75" hidden="false" customHeight="true" outlineLevel="0" collapsed="false">
      <c r="A1121" s="4" t="s">
        <v>238</v>
      </c>
      <c r="B1121" s="5" t="s">
        <v>238</v>
      </c>
      <c r="C1121" s="1" t="str">
        <f aca="false">IF(B1121="NEW ROUTE",1,"")</f>
        <v/>
      </c>
      <c r="E1121" s="5" t="s">
        <v>238</v>
      </c>
      <c r="F1121" s="6" t="str">
        <f aca="false">VLOOKUP(E1121,$K$2:$L$426,2,FALSE())</f>
        <v>Four Island Icefall Cave Back</v>
      </c>
      <c r="G1121" s="1" t="str">
        <f aca="false">IF(ISNA(F1121),"",F1121)</f>
        <v>Four Island Icefall Cave Back</v>
      </c>
      <c r="H1121" s="5" t="str">
        <f aca="false">IF(G1121&lt;&gt;"",G1121,E1121)</f>
        <v>Four Island Icefall Cave Back</v>
      </c>
    </row>
    <row r="1122" customFormat="false" ht="12.75" hidden="false" customHeight="true" outlineLevel="0" collapsed="false">
      <c r="A1122" s="4" t="s">
        <v>2799</v>
      </c>
      <c r="B1122" s="5" t="n">
        <v>0.2</v>
      </c>
      <c r="C1122" s="1" t="str">
        <f aca="false">IF(B1122="NEW ROUTE",1,"")</f>
        <v/>
      </c>
      <c r="E1122" s="5" t="n">
        <v>0.2</v>
      </c>
      <c r="F1122" s="6" t="e">
        <f aca="false">VLOOKUP(E1122,$K$2:$L$426,2,FALSE())</f>
        <v>#N/A</v>
      </c>
      <c r="G1122" s="1" t="str">
        <f aca="false">IF(ISNA(F1122),"",F1122)</f>
        <v/>
      </c>
      <c r="H1122" s="5" t="n">
        <f aca="false">IF(G1122&lt;&gt;"",G1122,E1122)</f>
        <v>0.2</v>
      </c>
    </row>
    <row r="1123" customFormat="false" ht="12.75" hidden="false" customHeight="true" outlineLevel="0" collapsed="false">
      <c r="A1123" s="4" t="s">
        <v>1591</v>
      </c>
      <c r="B1123" s="5" t="s">
        <v>1591</v>
      </c>
      <c r="C1123" s="1" t="str">
        <f aca="false">IF(B1123="NEW ROUTE",1,"")</f>
        <v/>
      </c>
      <c r="E1123" s="5" t="s">
        <v>1591</v>
      </c>
      <c r="F1123" s="6" t="e">
        <f aca="false">VLOOKUP(E1123,$K$2:$L$426,2,FALSE())</f>
        <v>#N/A</v>
      </c>
      <c r="G1123" s="1" t="str">
        <f aca="false">IF(ISNA(F1123),"",F1123)</f>
        <v/>
      </c>
      <c r="H1123" s="5" t="str">
        <f aca="false">IF(G1123&lt;&gt;"",G1123,E1123)</f>
        <v>43, 43, SEEL</v>
      </c>
    </row>
    <row r="1124" customFormat="false" ht="12.75" hidden="false" customHeight="true" outlineLevel="0" collapsed="false">
      <c r="A1124" s="4" t="s">
        <v>3148</v>
      </c>
      <c r="B1124" s="5" t="s">
        <v>3148</v>
      </c>
      <c r="C1124" s="1" t="str">
        <f aca="false">IF(B1124="NEW ROUTE",1,"")</f>
        <v/>
      </c>
      <c r="E1124" s="5" t="s">
        <v>3148</v>
      </c>
      <c r="F1124" s="6" t="e">
        <f aca="false">VLOOKUP(E1124,$K$2:$L$426,2,FALSE())</f>
        <v>#N/A</v>
      </c>
      <c r="G1124" s="1" t="str">
        <f aca="false">IF(ISNA(F1124),"",F1124)</f>
        <v/>
      </c>
      <c r="H1124" s="5" t="str">
        <f aca="false">IF(G1124&lt;&gt;"",G1124,E1124)</f>
        <v>45, 45, GOLBAT</v>
      </c>
    </row>
    <row r="1125" customFormat="false" ht="12.75" hidden="false" customHeight="true" outlineLevel="0" collapsed="false">
      <c r="A1125" s="4" t="s">
        <v>2801</v>
      </c>
      <c r="B1125" s="5" t="n">
        <v>0.1</v>
      </c>
      <c r="C1125" s="1" t="str">
        <f aca="false">IF(B1125="NEW ROUTE",1,"")</f>
        <v/>
      </c>
      <c r="E1125" s="5" t="n">
        <v>0.1</v>
      </c>
      <c r="F1125" s="6" t="e">
        <f aca="false">VLOOKUP(E1125,$K$2:$L$426,2,FALSE())</f>
        <v>#N/A</v>
      </c>
      <c r="G1125" s="1" t="str">
        <f aca="false">IF(ISNA(F1125),"",F1125)</f>
        <v/>
      </c>
      <c r="H1125" s="5" t="n">
        <f aca="false">IF(G1125&lt;&gt;"",G1125,E1125)</f>
        <v>0.1</v>
      </c>
    </row>
    <row r="1126" customFormat="false" ht="12.75" hidden="false" customHeight="true" outlineLevel="0" collapsed="false">
      <c r="A1126" s="4" t="s">
        <v>3149</v>
      </c>
      <c r="B1126" s="5" t="s">
        <v>3149</v>
      </c>
      <c r="C1126" s="1" t="str">
        <f aca="false">IF(B1126="NEW ROUTE",1,"")</f>
        <v/>
      </c>
      <c r="E1126" s="5" t="s">
        <v>3149</v>
      </c>
      <c r="F1126" s="6" t="e">
        <f aca="false">VLOOKUP(E1126,$K$2:$L$426,2,FALSE())</f>
        <v>#N/A</v>
      </c>
      <c r="G1126" s="1" t="str">
        <f aca="false">IF(ISNA(F1126),"",F1126)</f>
        <v/>
      </c>
      <c r="H1126" s="5" t="str">
        <f aca="false">IF(G1126&lt;&gt;"",G1126,E1126)</f>
        <v>45, 45, SEEL</v>
      </c>
    </row>
    <row r="1127" customFormat="false" ht="12.75" hidden="false" customHeight="true" outlineLevel="0" collapsed="false">
      <c r="A1127" s="4" t="s">
        <v>3150</v>
      </c>
      <c r="B1127" s="5" t="s">
        <v>3150</v>
      </c>
      <c r="C1127" s="1" t="str">
        <f aca="false">IF(B1127="NEW ROUTE",1,"")</f>
        <v/>
      </c>
      <c r="E1127" s="5" t="s">
        <v>3150</v>
      </c>
      <c r="F1127" s="6" t="e">
        <f aca="false">VLOOKUP(E1127,$K$2:$L$426,2,FALSE())</f>
        <v>#N/A</v>
      </c>
      <c r="G1127" s="1" t="str">
        <f aca="false">IF(ISNA(F1127),"",F1127)</f>
        <v/>
      </c>
      <c r="H1127" s="5" t="str">
        <f aca="false">IF(G1127&lt;&gt;"",G1127,E1127)</f>
        <v>47, 47, SEEL</v>
      </c>
    </row>
    <row r="1128" customFormat="false" ht="12.75" hidden="false" customHeight="true" outlineLevel="0" collapsed="false">
      <c r="A1128" s="4" t="s">
        <v>3151</v>
      </c>
      <c r="B1128" s="5" t="s">
        <v>3151</v>
      </c>
      <c r="C1128" s="1" t="str">
        <f aca="false">IF(B1128="NEW ROUTE",1,"")</f>
        <v/>
      </c>
      <c r="E1128" s="5" t="s">
        <v>3151</v>
      </c>
      <c r="F1128" s="6" t="e">
        <f aca="false">VLOOKUP(E1128,$K$2:$L$426,2,FALSE())</f>
        <v>#N/A</v>
      </c>
      <c r="G1128" s="1" t="str">
        <f aca="false">IF(ISNA(F1128),"",F1128)</f>
        <v/>
      </c>
      <c r="H1128" s="5" t="str">
        <f aca="false">IF(G1128&lt;&gt;"",G1128,E1128)</f>
        <v>40, 40, ZUBAT</v>
      </c>
    </row>
    <row r="1129" customFormat="false" ht="12.75" hidden="false" customHeight="true" outlineLevel="0" collapsed="false">
      <c r="A1129" s="4" t="s">
        <v>3152</v>
      </c>
      <c r="B1129" s="5" t="s">
        <v>3152</v>
      </c>
      <c r="C1129" s="1" t="str">
        <f aca="false">IF(B1129="NEW ROUTE",1,"")</f>
        <v/>
      </c>
      <c r="E1129" s="5" t="s">
        <v>3152</v>
      </c>
      <c r="F1129" s="6" t="e">
        <f aca="false">VLOOKUP(E1129,$K$2:$L$426,2,FALSE())</f>
        <v>#N/A</v>
      </c>
      <c r="G1129" s="1" t="str">
        <f aca="false">IF(ISNA(F1129),"",F1129)</f>
        <v/>
      </c>
      <c r="H1129" s="5" t="str">
        <f aca="false">IF(G1129&lt;&gt;"",G1129,E1129)</f>
        <v>49, 49, DEWGONG</v>
      </c>
    </row>
    <row r="1130" customFormat="false" ht="12.75" hidden="false" customHeight="true" outlineLevel="0" collapsed="false">
      <c r="A1130" s="4" t="s">
        <v>2806</v>
      </c>
      <c r="B1130" s="5" t="n">
        <v>0.05</v>
      </c>
      <c r="C1130" s="1" t="str">
        <f aca="false">IF(B1130="NEW ROUTE",1,"")</f>
        <v/>
      </c>
      <c r="E1130" s="5" t="n">
        <v>0.05</v>
      </c>
      <c r="F1130" s="6" t="e">
        <f aca="false">VLOOKUP(E1130,$K$2:$L$426,2,FALSE())</f>
        <v>#N/A</v>
      </c>
      <c r="G1130" s="1" t="str">
        <f aca="false">IF(ISNA(F1130),"",F1130)</f>
        <v/>
      </c>
      <c r="H1130" s="5" t="n">
        <f aca="false">IF(G1130&lt;&gt;"",G1130,E1130)</f>
        <v>0.05</v>
      </c>
    </row>
    <row r="1131" customFormat="false" ht="12.75" hidden="false" customHeight="true" outlineLevel="0" collapsed="false">
      <c r="A1131" s="4" t="s">
        <v>3153</v>
      </c>
      <c r="B1131" s="5" t="s">
        <v>3153</v>
      </c>
      <c r="C1131" s="1" t="str">
        <f aca="false">IF(B1131="NEW ROUTE",1,"")</f>
        <v/>
      </c>
      <c r="E1131" s="5" t="s">
        <v>3153</v>
      </c>
      <c r="F1131" s="6" t="e">
        <f aca="false">VLOOKUP(E1131,$K$2:$L$426,2,FALSE())</f>
        <v>#N/A</v>
      </c>
      <c r="G1131" s="1" t="str">
        <f aca="false">IF(ISNA(F1131),"",F1131)</f>
        <v/>
      </c>
      <c r="H1131" s="5" t="str">
        <f aca="false">IF(G1131&lt;&gt;"",G1131,E1131)</f>
        <v>51, 51, DEWGONG</v>
      </c>
    </row>
    <row r="1132" customFormat="false" ht="12.75" hidden="false" customHeight="true" outlineLevel="0" collapsed="false">
      <c r="A1132" s="4" t="s">
        <v>3154</v>
      </c>
      <c r="B1132" s="5" t="s">
        <v>3154</v>
      </c>
      <c r="C1132" s="1" t="str">
        <f aca="false">IF(B1132="NEW ROUTE",1,"")</f>
        <v/>
      </c>
      <c r="E1132" s="5" t="s">
        <v>3154</v>
      </c>
      <c r="F1132" s="6" t="e">
        <f aca="false">VLOOKUP(E1132,$K$2:$L$426,2,FALSE())</f>
        <v>#N/A</v>
      </c>
      <c r="G1132" s="1" t="str">
        <f aca="false">IF(ISNA(F1132),"",F1132)</f>
        <v/>
      </c>
      <c r="H1132" s="5" t="str">
        <f aca="false">IF(G1132&lt;&gt;"",G1132,E1132)</f>
        <v>41, 41, SLOWPOKE</v>
      </c>
    </row>
    <row r="1133" customFormat="false" ht="12.75" hidden="false" customHeight="true" outlineLevel="0" collapsed="false">
      <c r="A1133" s="4" t="s">
        <v>2809</v>
      </c>
      <c r="B1133" s="5" t="n">
        <v>0.04</v>
      </c>
      <c r="C1133" s="1" t="str">
        <f aca="false">IF(B1133="NEW ROUTE",1,"")</f>
        <v/>
      </c>
      <c r="E1133" s="5" t="n">
        <v>0.04</v>
      </c>
      <c r="F1133" s="6" t="e">
        <f aca="false">VLOOKUP(E1133,$K$2:$L$426,2,FALSE())</f>
        <v>#N/A</v>
      </c>
      <c r="G1133" s="1" t="str">
        <f aca="false">IF(ISNA(F1133),"",F1133)</f>
        <v/>
      </c>
      <c r="H1133" s="5" t="n">
        <f aca="false">IF(G1133&lt;&gt;"",G1133,E1133)</f>
        <v>0.04</v>
      </c>
    </row>
    <row r="1134" customFormat="false" ht="12.75" hidden="false" customHeight="true" outlineLevel="0" collapsed="false">
      <c r="A1134" s="4" t="s">
        <v>3155</v>
      </c>
      <c r="B1134" s="5" t="s">
        <v>3155</v>
      </c>
      <c r="C1134" s="1" t="str">
        <f aca="false">IF(B1134="NEW ROUTE",1,"")</f>
        <v/>
      </c>
      <c r="E1134" s="5" t="s">
        <v>3155</v>
      </c>
      <c r="F1134" s="6" t="e">
        <f aca="false">VLOOKUP(E1134,$K$2:$L$426,2,FALSE())</f>
        <v>#N/A</v>
      </c>
      <c r="G1134" s="1" t="str">
        <f aca="false">IF(ISNA(F1134),"",F1134)</f>
        <v/>
      </c>
      <c r="H1134" s="5" t="str">
        <f aca="false">IF(G1134&lt;&gt;"",G1134,E1134)</f>
        <v>48, 48, GOLBAT</v>
      </c>
    </row>
    <row r="1135" customFormat="false" ht="12.75" hidden="false" customHeight="true" outlineLevel="0" collapsed="false">
      <c r="A1135" s="4" t="s">
        <v>3156</v>
      </c>
      <c r="B1135" s="5" t="s">
        <v>3156</v>
      </c>
      <c r="C1135" s="1" t="str">
        <f aca="false">IF(B1135="NEW ROUTE",1,"")</f>
        <v/>
      </c>
      <c r="E1135" s="5" t="s">
        <v>3156</v>
      </c>
      <c r="F1135" s="6" t="e">
        <f aca="false">VLOOKUP(E1135,$K$2:$L$426,2,FALSE())</f>
        <v>#N/A</v>
      </c>
      <c r="G1135" s="1" t="str">
        <f aca="false">IF(ISNA(F1135),"",F1135)</f>
        <v/>
      </c>
      <c r="H1135" s="5" t="str">
        <f aca="false">IF(G1135&lt;&gt;"",G1135,E1135)</f>
        <v>53, 53, DEWGONG</v>
      </c>
    </row>
    <row r="1136" customFormat="false" ht="12.75" hidden="false" customHeight="true" outlineLevel="0" collapsed="false">
      <c r="A1136" s="4" t="s">
        <v>2812</v>
      </c>
      <c r="B1136" s="5" t="n">
        <v>0.01</v>
      </c>
      <c r="C1136" s="1" t="str">
        <f aca="false">IF(B1136="NEW ROUTE",1,"")</f>
        <v/>
      </c>
      <c r="E1136" s="5" t="n">
        <v>0.01</v>
      </c>
      <c r="F1136" s="6" t="e">
        <f aca="false">VLOOKUP(E1136,$K$2:$L$426,2,FALSE())</f>
        <v>#N/A</v>
      </c>
      <c r="G1136" s="1" t="str">
        <f aca="false">IF(ISNA(F1136),"",F1136)</f>
        <v/>
      </c>
      <c r="H1136" s="5" t="n">
        <f aca="false">IF(G1136&lt;&gt;"",G1136,E1136)</f>
        <v>0.01</v>
      </c>
    </row>
    <row r="1137" customFormat="false" ht="12.75" hidden="false" customHeight="true" outlineLevel="0" collapsed="false">
      <c r="A1137" s="4" t="s">
        <v>3155</v>
      </c>
      <c r="B1137" s="5" t="s">
        <v>3155</v>
      </c>
      <c r="C1137" s="1" t="str">
        <f aca="false">IF(B1137="NEW ROUTE",1,"")</f>
        <v/>
      </c>
      <c r="E1137" s="5" t="s">
        <v>3155</v>
      </c>
      <c r="F1137" s="6" t="e">
        <f aca="false">VLOOKUP(E1137,$K$2:$L$426,2,FALSE())</f>
        <v>#N/A</v>
      </c>
      <c r="G1137" s="1" t="str">
        <f aca="false">IF(ISNA(F1137),"",F1137)</f>
        <v/>
      </c>
      <c r="H1137" s="5" t="str">
        <f aca="false">IF(G1137&lt;&gt;"",G1137,E1137)</f>
        <v>48, 48, GOLBAT</v>
      </c>
    </row>
    <row r="1138" customFormat="false" ht="12.75" hidden="false" customHeight="true" outlineLevel="0" collapsed="false">
      <c r="A1138" s="4" t="s">
        <v>3156</v>
      </c>
      <c r="B1138" s="5" t="s">
        <v>3156</v>
      </c>
      <c r="C1138" s="1" t="str">
        <f aca="false">IF(B1138="NEW ROUTE",1,"")</f>
        <v/>
      </c>
      <c r="E1138" s="5" t="s">
        <v>3156</v>
      </c>
      <c r="F1138" s="6" t="e">
        <f aca="false">VLOOKUP(E1138,$K$2:$L$426,2,FALSE())</f>
        <v>#N/A</v>
      </c>
      <c r="G1138" s="1" t="str">
        <f aca="false">IF(ISNA(F1138),"",F1138)</f>
        <v/>
      </c>
      <c r="H1138" s="5" t="str">
        <f aca="false">IF(G1138&lt;&gt;"",G1138,E1138)</f>
        <v>53, 53, DEWGONG</v>
      </c>
    </row>
    <row r="1139" customFormat="false" ht="12.75" hidden="false" customHeight="true" outlineLevel="0" collapsed="false">
      <c r="A1139" s="4" t="s">
        <v>3172</v>
      </c>
      <c r="B1139" s="5" t="s">
        <v>3172</v>
      </c>
      <c r="C1139" s="1" t="str">
        <f aca="false">IF(B1139="NEW ROUTE",1,"")</f>
        <v/>
      </c>
      <c r="E1139" s="5" t="s">
        <v>3172</v>
      </c>
      <c r="F1139" s="6" t="e">
        <f aca="false">VLOOKUP(E1139,$K$2:$L$426,2,FALSE())</f>
        <v>#N/A</v>
      </c>
      <c r="G1139" s="1" t="str">
        <f aca="false">IF(ISNA(F1139),"",F1139)</f>
        <v/>
      </c>
      <c r="H1139" s="5" t="str">
        <f aca="false">IF(G1139&lt;&gt;"",G1139,E1139)</f>
        <v>2, 5, 20, TENTACOOL</v>
      </c>
    </row>
    <row r="1140" customFormat="false" ht="12.75" hidden="false" customHeight="true" outlineLevel="0" collapsed="false">
      <c r="A1140" s="4" t="s">
        <v>3173</v>
      </c>
      <c r="B1140" s="5" t="s">
        <v>3173</v>
      </c>
      <c r="C1140" s="1" t="str">
        <f aca="false">IF(B1140="NEW ROUTE",1,"")</f>
        <v/>
      </c>
      <c r="E1140" s="5" t="s">
        <v>3173</v>
      </c>
      <c r="F1140" s="6" t="e">
        <f aca="false">VLOOKUP(E1140,$K$2:$L$426,2,FALSE())</f>
        <v>#N/A</v>
      </c>
      <c r="G1140" s="1" t="str">
        <f aca="false">IF(ISNA(F1140),"",F1140)</f>
        <v/>
      </c>
      <c r="H1140" s="5" t="str">
        <f aca="false">IF(G1140&lt;&gt;"",G1140,E1140)</f>
        <v>20, 35, TENTACOOL</v>
      </c>
    </row>
    <row r="1141" customFormat="false" ht="12.75" hidden="false" customHeight="true" outlineLevel="0" collapsed="false">
      <c r="A1141" s="4" t="s">
        <v>3174</v>
      </c>
      <c r="B1141" s="5" t="s">
        <v>3174</v>
      </c>
      <c r="C1141" s="1" t="str">
        <f aca="false">IF(B1141="NEW ROUTE",1,"")</f>
        <v/>
      </c>
      <c r="E1141" s="5" t="s">
        <v>3174</v>
      </c>
      <c r="F1141" s="6" t="e">
        <f aca="false">VLOOKUP(E1141,$K$2:$L$426,2,FALSE())</f>
        <v>#N/A</v>
      </c>
      <c r="G1141" s="1" t="str">
        <f aca="false">IF(ISNA(F1141),"",F1141)</f>
        <v/>
      </c>
      <c r="H1141" s="5" t="str">
        <f aca="false">IF(G1141&lt;&gt;"",G1141,E1141)</f>
        <v>35, 45, TENTACOOL</v>
      </c>
    </row>
    <row r="1142" customFormat="false" ht="12.75" hidden="false" customHeight="true" outlineLevel="0" collapsed="false">
      <c r="A1142" s="4" t="s">
        <v>3175</v>
      </c>
      <c r="B1142" s="5" t="s">
        <v>3175</v>
      </c>
      <c r="C1142" s="1" t="str">
        <f aca="false">IF(B1142="NEW ROUTE",1,"")</f>
        <v/>
      </c>
      <c r="E1142" s="5" t="s">
        <v>3175</v>
      </c>
      <c r="F1142" s="6" t="e">
        <f aca="false">VLOOKUP(E1142,$K$2:$L$426,2,FALSE())</f>
        <v>#N/A</v>
      </c>
      <c r="G1142" s="1" t="str">
        <f aca="false">IF(ISNA(F1142),"",F1142)</f>
        <v/>
      </c>
      <c r="H1142" s="5" t="str">
        <f aca="false">IF(G1142&lt;&gt;"",G1142,E1142)</f>
        <v>35, 45, TENTACRUEL</v>
      </c>
    </row>
    <row r="1143" customFormat="false" ht="12.75" hidden="false" customHeight="true" outlineLevel="0" collapsed="false">
      <c r="A1143" s="4" t="s">
        <v>3176</v>
      </c>
      <c r="B1143" s="5" t="s">
        <v>3176</v>
      </c>
      <c r="C1143" s="1" t="str">
        <f aca="false">IF(B1143="NEW ROUTE",1,"")</f>
        <v/>
      </c>
      <c r="E1143" s="5" t="s">
        <v>3176</v>
      </c>
      <c r="F1143" s="6" t="e">
        <f aca="false">VLOOKUP(E1143,$K$2:$L$426,2,FALSE())</f>
        <v>#N/A</v>
      </c>
      <c r="G1143" s="1" t="str">
        <f aca="false">IF(ISNA(F1143),"",F1143)</f>
        <v/>
      </c>
      <c r="H1143" s="5" t="str">
        <f aca="false">IF(G1143&lt;&gt;"",G1143,E1143)</f>
        <v>30, 45, LAPRAS</v>
      </c>
    </row>
    <row r="1144" customFormat="false" ht="12.75" hidden="false" customHeight="true" outlineLevel="0" collapsed="false">
      <c r="A1144" s="4" t="s">
        <v>2925</v>
      </c>
      <c r="B1144" s="5" t="s">
        <v>2925</v>
      </c>
      <c r="C1144" s="1" t="str">
        <f aca="false">IF(B1144="NEW ROUTE",1,"")</f>
        <v/>
      </c>
      <c r="E1144" s="5" t="s">
        <v>2925</v>
      </c>
      <c r="F1144" s="6" t="e">
        <f aca="false">VLOOKUP(E1144,$K$2:$L$426,2,FALSE())</f>
        <v>#N/A</v>
      </c>
      <c r="G1144" s="1" t="str">
        <f aca="false">IF(ISNA(F1144),"",F1144)</f>
        <v/>
      </c>
      <c r="H1144" s="5" t="str">
        <f aca="false">IF(G1144&lt;&gt;"",G1144,E1144)</f>
        <v>20, old rod:</v>
      </c>
    </row>
    <row r="1145" customFormat="false" ht="12.75" hidden="false" customHeight="true" outlineLevel="0" collapsed="false">
      <c r="A1145" s="4" t="s">
        <v>1266</v>
      </c>
      <c r="B1145" s="5" t="s">
        <v>1266</v>
      </c>
      <c r="C1145" s="1" t="str">
        <f aca="false">IF(B1145="NEW ROUTE",1,"")</f>
        <v/>
      </c>
      <c r="E1145" s="5" t="s">
        <v>1266</v>
      </c>
      <c r="F1145" s="6" t="e">
        <f aca="false">VLOOKUP(E1145,$K$2:$L$426,2,FALSE())</f>
        <v>#N/A</v>
      </c>
      <c r="G1145" s="1" t="str">
        <f aca="false">IF(ISNA(F1145),"",F1145)</f>
        <v/>
      </c>
      <c r="H1145" s="5" t="str">
        <f aca="false">IF(G1145&lt;&gt;"",G1145,E1145)</f>
        <v>5, 5, MAGIKARP</v>
      </c>
    </row>
    <row r="1146" customFormat="false" ht="12.75" hidden="false" customHeight="true" outlineLevel="0" collapsed="false">
      <c r="A1146" s="4" t="s">
        <v>1266</v>
      </c>
      <c r="B1146" s="5" t="s">
        <v>1266</v>
      </c>
      <c r="C1146" s="1" t="str">
        <f aca="false">IF(B1146="NEW ROUTE",1,"")</f>
        <v/>
      </c>
      <c r="E1146" s="5" t="s">
        <v>1266</v>
      </c>
      <c r="F1146" s="6" t="e">
        <f aca="false">VLOOKUP(E1146,$K$2:$L$426,2,FALSE())</f>
        <v>#N/A</v>
      </c>
      <c r="G1146" s="1" t="str">
        <f aca="false">IF(ISNA(F1146),"",F1146)</f>
        <v/>
      </c>
      <c r="H1146" s="5" t="str">
        <f aca="false">IF(G1146&lt;&gt;"",G1146,E1146)</f>
        <v>5, 5, MAGIKARP</v>
      </c>
    </row>
    <row r="1147" customFormat="false" ht="12.75" hidden="false" customHeight="true" outlineLevel="0" collapsed="false">
      <c r="A1147" s="4" t="s">
        <v>2846</v>
      </c>
      <c r="B1147" s="5" t="s">
        <v>2846</v>
      </c>
      <c r="C1147" s="1" t="str">
        <f aca="false">IF(B1147="NEW ROUTE",1,"")</f>
        <v/>
      </c>
      <c r="E1147" s="5" t="s">
        <v>2846</v>
      </c>
      <c r="F1147" s="6" t="e">
        <f aca="false">VLOOKUP(E1147,$K$2:$L$426,2,FALSE())</f>
        <v>#N/A</v>
      </c>
      <c r="G1147" s="1" t="str">
        <f aca="false">IF(ISNA(F1147),"",F1147)</f>
        <v/>
      </c>
      <c r="H1147" s="5" t="str">
        <f aca="false">IF(G1147&lt;&gt;"",G1147,E1147)</f>
        <v>good rod:</v>
      </c>
    </row>
    <row r="1148" customFormat="false" ht="12.75" hidden="false" customHeight="true" outlineLevel="0" collapsed="false">
      <c r="A1148" s="4" t="s">
        <v>2847</v>
      </c>
      <c r="B1148" s="5" t="s">
        <v>2847</v>
      </c>
      <c r="C1148" s="1" t="str">
        <f aca="false">IF(B1148="NEW ROUTE",1,"")</f>
        <v/>
      </c>
      <c r="E1148" s="5" t="s">
        <v>2847</v>
      </c>
      <c r="F1148" s="6" t="e">
        <f aca="false">VLOOKUP(E1148,$K$2:$L$426,2,FALSE())</f>
        <v>#N/A</v>
      </c>
      <c r="G1148" s="1" t="str">
        <f aca="false">IF(ISNA(F1148),"",F1148)</f>
        <v/>
      </c>
      <c r="H1148" s="5" t="str">
        <f aca="false">IF(G1148&lt;&gt;"",G1148,E1148)</f>
        <v>5, 15, KRABBY</v>
      </c>
    </row>
    <row r="1149" customFormat="false" ht="12.75" hidden="false" customHeight="true" outlineLevel="0" collapsed="false">
      <c r="A1149" s="4" t="s">
        <v>2848</v>
      </c>
      <c r="B1149" s="5" t="s">
        <v>2848</v>
      </c>
      <c r="C1149" s="1" t="str">
        <f aca="false">IF(B1149="NEW ROUTE",1,"")</f>
        <v/>
      </c>
      <c r="E1149" s="5" t="s">
        <v>2848</v>
      </c>
      <c r="F1149" s="6" t="e">
        <f aca="false">VLOOKUP(E1149,$K$2:$L$426,2,FALSE())</f>
        <v>#N/A</v>
      </c>
      <c r="G1149" s="1" t="str">
        <f aca="false">IF(ISNA(F1149),"",F1149)</f>
        <v/>
      </c>
      <c r="H1149" s="5" t="str">
        <f aca="false">IF(G1149&lt;&gt;"",G1149,E1149)</f>
        <v>5, 15, MAGIKARP</v>
      </c>
    </row>
    <row r="1150" customFormat="false" ht="12.75" hidden="false" customHeight="true" outlineLevel="0" collapsed="false">
      <c r="A1150" s="4" t="s">
        <v>2847</v>
      </c>
      <c r="B1150" s="5" t="s">
        <v>2847</v>
      </c>
      <c r="C1150" s="1" t="str">
        <f aca="false">IF(B1150="NEW ROUTE",1,"")</f>
        <v/>
      </c>
      <c r="E1150" s="5" t="s">
        <v>2847</v>
      </c>
      <c r="F1150" s="6" t="e">
        <f aca="false">VLOOKUP(E1150,$K$2:$L$426,2,FALSE())</f>
        <v>#N/A</v>
      </c>
      <c r="G1150" s="1" t="str">
        <f aca="false">IF(ISNA(F1150),"",F1150)</f>
        <v/>
      </c>
      <c r="H1150" s="5" t="str">
        <f aca="false">IF(G1150&lt;&gt;"",G1150,E1150)</f>
        <v>5, 15, KRABBY</v>
      </c>
    </row>
    <row r="1151" customFormat="false" ht="12.75" hidden="false" customHeight="true" outlineLevel="0" collapsed="false">
      <c r="A1151" s="4" t="s">
        <v>2850</v>
      </c>
      <c r="B1151" s="5" t="s">
        <v>2850</v>
      </c>
      <c r="C1151" s="1" t="str">
        <f aca="false">IF(B1151="NEW ROUTE",1,"")</f>
        <v/>
      </c>
      <c r="E1151" s="5" t="s">
        <v>2850</v>
      </c>
      <c r="F1151" s="6" t="e">
        <f aca="false">VLOOKUP(E1151,$K$2:$L$426,2,FALSE())</f>
        <v>#N/A</v>
      </c>
      <c r="G1151" s="1" t="str">
        <f aca="false">IF(ISNA(F1151),"",F1151)</f>
        <v/>
      </c>
      <c r="H1151" s="5" t="str">
        <f aca="false">IF(G1151&lt;&gt;"",G1151,E1151)</f>
        <v>super rod:</v>
      </c>
    </row>
    <row r="1152" customFormat="false" ht="12.75" hidden="false" customHeight="true" outlineLevel="0" collapsed="false">
      <c r="A1152" s="4" t="s">
        <v>2851</v>
      </c>
      <c r="B1152" s="5" t="s">
        <v>2851</v>
      </c>
      <c r="C1152" s="1" t="str">
        <f aca="false">IF(B1152="NEW ROUTE",1,"")</f>
        <v/>
      </c>
      <c r="E1152" s="5" t="s">
        <v>2851</v>
      </c>
      <c r="F1152" s="6" t="e">
        <f aca="false">VLOOKUP(E1152,$K$2:$L$426,2,FALSE())</f>
        <v>#N/A</v>
      </c>
      <c r="G1152" s="1" t="str">
        <f aca="false">IF(ISNA(F1152),"",F1152)</f>
        <v/>
      </c>
      <c r="H1152" s="5" t="str">
        <f aca="false">IF(G1152&lt;&gt;"",G1152,E1152)</f>
        <v>15, 25, KRABBY</v>
      </c>
    </row>
    <row r="1153" customFormat="false" ht="12.75" hidden="false" customHeight="true" outlineLevel="0" collapsed="false">
      <c r="A1153" s="4" t="s">
        <v>2852</v>
      </c>
      <c r="B1153" s="5" t="s">
        <v>2852</v>
      </c>
      <c r="C1153" s="1" t="str">
        <f aca="false">IF(B1153="NEW ROUTE",1,"")</f>
        <v/>
      </c>
      <c r="E1153" s="5" t="s">
        <v>2852</v>
      </c>
      <c r="F1153" s="6" t="e">
        <f aca="false">VLOOKUP(E1153,$K$2:$L$426,2,FALSE())</f>
        <v>#N/A</v>
      </c>
      <c r="G1153" s="1" t="str">
        <f aca="false">IF(ISNA(F1153),"",F1153)</f>
        <v/>
      </c>
      <c r="H1153" s="5" t="str">
        <f aca="false">IF(G1153&lt;&gt;"",G1153,E1153)</f>
        <v>15, 25, STARYU</v>
      </c>
    </row>
    <row r="1154" customFormat="false" ht="12.75" hidden="false" customHeight="true" outlineLevel="0" collapsed="false">
      <c r="A1154" s="4" t="s">
        <v>2853</v>
      </c>
      <c r="B1154" s="5" t="s">
        <v>2853</v>
      </c>
      <c r="C1154" s="1" t="str">
        <f aca="false">IF(B1154="NEW ROUTE",1,"")</f>
        <v/>
      </c>
      <c r="E1154" s="5" t="s">
        <v>2853</v>
      </c>
      <c r="F1154" s="6" t="e">
        <f aca="false">VLOOKUP(E1154,$K$2:$L$426,2,FALSE())</f>
        <v>#N/A</v>
      </c>
      <c r="G1154" s="1" t="str">
        <f aca="false">IF(ISNA(F1154),"",F1154)</f>
        <v/>
      </c>
      <c r="H1154" s="5" t="str">
        <f aca="false">IF(G1154&lt;&gt;"",G1154,E1154)</f>
        <v>15, 25, GYARADOS</v>
      </c>
    </row>
    <row r="1155" customFormat="false" ht="12.75" hidden="false" customHeight="true" outlineLevel="0" collapsed="false">
      <c r="A1155" s="4" t="s">
        <v>3177</v>
      </c>
      <c r="B1155" s="5" t="s">
        <v>3177</v>
      </c>
      <c r="C1155" s="1" t="str">
        <f aca="false">IF(B1155="NEW ROUTE",1,"")</f>
        <v/>
      </c>
      <c r="E1155" s="5" t="s">
        <v>3177</v>
      </c>
      <c r="F1155" s="6" t="e">
        <f aca="false">VLOOKUP(E1155,$K$2:$L$426,2,FALSE())</f>
        <v>#N/A</v>
      </c>
      <c r="G1155" s="1" t="str">
        <f aca="false">IF(ISNA(F1155),"",F1155)</f>
        <v/>
      </c>
      <c r="H1155" s="5" t="str">
        <f aca="false">IF(G1155&lt;&gt;"",G1155,E1155)</f>
        <v>25, 35, KINGLER</v>
      </c>
    </row>
    <row r="1156" customFormat="false" ht="12.75" hidden="false" customHeight="true" outlineLevel="0" collapsed="false">
      <c r="A1156" s="4" t="s">
        <v>2855</v>
      </c>
      <c r="B1156" s="5" t="s">
        <v>2855</v>
      </c>
      <c r="C1156" s="1" t="str">
        <f aca="false">IF(B1156="NEW ROUTE",1,"")</f>
        <v/>
      </c>
      <c r="E1156" s="5" t="s">
        <v>2855</v>
      </c>
      <c r="F1156" s="6" t="e">
        <f aca="false">VLOOKUP(E1156,$K$2:$L$426,2,FALSE())</f>
        <v>#N/A</v>
      </c>
      <c r="G1156" s="1" t="str">
        <f aca="false">IF(ISNA(F1156),"",F1156)</f>
        <v/>
      </c>
      <c r="H1156" s="5" t="str">
        <f aca="false">IF(G1156&lt;&gt;"",G1156,E1156)</f>
        <v>25, 35, SLOWPOKE</v>
      </c>
    </row>
    <row r="1157" customFormat="false" ht="12.75" hidden="false" customHeight="true" outlineLevel="0" collapsed="false">
      <c r="A1157" s="4" t="s">
        <v>2536</v>
      </c>
      <c r="B1157" s="5" t="s">
        <v>2536</v>
      </c>
      <c r="C1157" s="1" t="n">
        <f aca="false">IF(B1157="NEW ROUTE",1,"")</f>
        <v>1</v>
      </c>
      <c r="E1157" s="5" t="s">
        <v>2536</v>
      </c>
      <c r="F1157" s="6" t="e">
        <f aca="false">VLOOKUP(E1157,$K$2:$L$426,2,FALSE())</f>
        <v>#N/A</v>
      </c>
      <c r="G1157" s="1" t="str">
        <f aca="false">IF(ISNA(F1157),"",F1157)</f>
        <v/>
      </c>
      <c r="H1157" s="5" t="str">
        <f aca="false">IF(G1157&lt;&gt;"",G1157,E1157)</f>
        <v>NEW ROUTE</v>
      </c>
    </row>
    <row r="1158" customFormat="false" ht="12.75" hidden="false" customHeight="true" outlineLevel="0" collapsed="false">
      <c r="A1158" s="4" t="s">
        <v>254</v>
      </c>
      <c r="B1158" s="5" t="s">
        <v>254</v>
      </c>
      <c r="C1158" s="1" t="str">
        <f aca="false">IF(B1158="NEW ROUTE",1,"")</f>
        <v/>
      </c>
      <c r="E1158" s="5" t="s">
        <v>254</v>
      </c>
      <c r="F1158" s="6" t="str">
        <f aca="false">VLOOKUP(E1158,$K$2:$L$426,2,FALSE())</f>
        <v>Six Island Pattern Bush</v>
      </c>
      <c r="G1158" s="1" t="str">
        <f aca="false">IF(ISNA(F1158),"",F1158)</f>
        <v>Six Island Pattern Bush</v>
      </c>
      <c r="H1158" s="5" t="str">
        <f aca="false">IF(G1158&lt;&gt;"",G1158,E1158)</f>
        <v>Six Island Pattern Bush</v>
      </c>
    </row>
    <row r="1159" customFormat="false" ht="12.75" hidden="false" customHeight="true" outlineLevel="0" collapsed="false">
      <c r="A1159" s="4" t="s">
        <v>2799</v>
      </c>
      <c r="B1159" s="5" t="n">
        <v>0.2</v>
      </c>
      <c r="C1159" s="1" t="str">
        <f aca="false">IF(B1159="NEW ROUTE",1,"")</f>
        <v/>
      </c>
      <c r="E1159" s="5" t="n">
        <v>0.2</v>
      </c>
      <c r="F1159" s="6" t="e">
        <f aca="false">VLOOKUP(E1159,$K$2:$L$426,2,FALSE())</f>
        <v>#N/A</v>
      </c>
      <c r="G1159" s="1" t="str">
        <f aca="false">IF(ISNA(F1159),"",F1159)</f>
        <v/>
      </c>
      <c r="H1159" s="5" t="n">
        <f aca="false">IF(G1159&lt;&gt;"",G1159,E1159)</f>
        <v>0.2</v>
      </c>
    </row>
    <row r="1160" customFormat="false" ht="12.75" hidden="false" customHeight="true" outlineLevel="0" collapsed="false">
      <c r="A1160" s="4" t="s">
        <v>1625</v>
      </c>
      <c r="B1160" s="5" t="s">
        <v>1625</v>
      </c>
      <c r="C1160" s="1" t="str">
        <f aca="false">IF(B1160="NEW ROUTE",1,"")</f>
        <v/>
      </c>
      <c r="E1160" s="5" t="s">
        <v>1625</v>
      </c>
      <c r="F1160" s="6" t="e">
        <f aca="false">VLOOKUP(E1160,$K$2:$L$426,2,FALSE())</f>
        <v>#N/A</v>
      </c>
      <c r="G1160" s="1" t="str">
        <f aca="false">IF(ISNA(F1160),"",F1160)</f>
        <v/>
      </c>
      <c r="H1160" s="5" t="str">
        <f aca="false">IF(G1160&lt;&gt;"",G1160,E1160)</f>
        <v>9, 9, LEDYBA</v>
      </c>
    </row>
    <row r="1161" customFormat="false" ht="12.75" hidden="false" customHeight="true" outlineLevel="0" collapsed="false">
      <c r="A1161" s="4" t="s">
        <v>3179</v>
      </c>
      <c r="B1161" s="5" t="s">
        <v>3179</v>
      </c>
      <c r="C1161" s="1" t="str">
        <f aca="false">IF(B1161="NEW ROUTE",1,"")</f>
        <v/>
      </c>
      <c r="E1161" s="5" t="s">
        <v>3179</v>
      </c>
      <c r="F1161" s="6" t="e">
        <f aca="false">VLOOKUP(E1161,$K$2:$L$426,2,FALSE())</f>
        <v>#N/A</v>
      </c>
      <c r="G1161" s="1" t="str">
        <f aca="false">IF(ISNA(F1161),"",F1161)</f>
        <v/>
      </c>
      <c r="H1161" s="5" t="str">
        <f aca="false">IF(G1161&lt;&gt;"",G1161,E1161)</f>
        <v>9, 9, KAKUNA</v>
      </c>
    </row>
    <row r="1162" customFormat="false" ht="12.75" hidden="false" customHeight="true" outlineLevel="0" collapsed="false">
      <c r="A1162" s="4" t="s">
        <v>2801</v>
      </c>
      <c r="B1162" s="5" t="n">
        <v>0.1</v>
      </c>
      <c r="C1162" s="1" t="str">
        <f aca="false">IF(B1162="NEW ROUTE",1,"")</f>
        <v/>
      </c>
      <c r="E1162" s="5" t="n">
        <v>0.1</v>
      </c>
      <c r="F1162" s="6" t="e">
        <f aca="false">VLOOKUP(E1162,$K$2:$L$426,2,FALSE())</f>
        <v>#N/A</v>
      </c>
      <c r="G1162" s="1" t="str">
        <f aca="false">IF(ISNA(F1162),"",F1162)</f>
        <v/>
      </c>
      <c r="H1162" s="5" t="n">
        <f aca="false">IF(G1162&lt;&gt;"",G1162,E1162)</f>
        <v>0.1</v>
      </c>
    </row>
    <row r="1163" customFormat="false" ht="12.75" hidden="false" customHeight="true" outlineLevel="0" collapsed="false">
      <c r="A1163" s="4" t="s">
        <v>3180</v>
      </c>
      <c r="B1163" s="5" t="s">
        <v>3180</v>
      </c>
      <c r="C1163" s="1" t="str">
        <f aca="false">IF(B1163="NEW ROUTE",1,"")</f>
        <v/>
      </c>
      <c r="E1163" s="5" t="s">
        <v>3180</v>
      </c>
      <c r="F1163" s="6" t="e">
        <f aca="false">VLOOKUP(E1163,$K$2:$L$426,2,FALSE())</f>
        <v>#N/A</v>
      </c>
      <c r="G1163" s="1" t="str">
        <f aca="false">IF(ISNA(F1163),"",F1163)</f>
        <v/>
      </c>
      <c r="H1163" s="5" t="str">
        <f aca="false">IF(G1163&lt;&gt;"",G1163,E1163)</f>
        <v>14, 14, LEDYBA</v>
      </c>
    </row>
    <row r="1164" customFormat="false" ht="12.75" hidden="false" customHeight="true" outlineLevel="0" collapsed="false">
      <c r="A1164" s="4" t="s">
        <v>3181</v>
      </c>
      <c r="B1164" s="5" t="s">
        <v>3181</v>
      </c>
      <c r="C1164" s="1" t="str">
        <f aca="false">IF(B1164="NEW ROUTE",1,"")</f>
        <v/>
      </c>
      <c r="E1164" s="5" t="s">
        <v>3181</v>
      </c>
      <c r="F1164" s="6" t="e">
        <f aca="false">VLOOKUP(E1164,$K$2:$L$426,2,FALSE())</f>
        <v>#N/A</v>
      </c>
      <c r="G1164" s="1" t="str">
        <f aca="false">IF(ISNA(F1164),"",F1164)</f>
        <v/>
      </c>
      <c r="H1164" s="5" t="str">
        <f aca="false">IF(G1164&lt;&gt;"",G1164,E1164)</f>
        <v>6, 6, CATERPIE</v>
      </c>
    </row>
    <row r="1165" customFormat="false" ht="12.75" hidden="false" customHeight="true" outlineLevel="0" collapsed="false">
      <c r="A1165" s="4" t="s">
        <v>3182</v>
      </c>
      <c r="B1165" s="5" t="s">
        <v>3182</v>
      </c>
      <c r="C1165" s="1" t="str">
        <f aca="false">IF(B1165="NEW ROUTE",1,"")</f>
        <v/>
      </c>
      <c r="E1165" s="5" t="s">
        <v>3182</v>
      </c>
      <c r="F1165" s="6" t="e">
        <f aca="false">VLOOKUP(E1165,$K$2:$L$426,2,FALSE())</f>
        <v>#N/A</v>
      </c>
      <c r="G1165" s="1" t="str">
        <f aca="false">IF(ISNA(F1165),"",F1165)</f>
        <v/>
      </c>
      <c r="H1165" s="5" t="str">
        <f aca="false">IF(G1165&lt;&gt;"",G1165,E1165)</f>
        <v>6, 6, WEEDLE</v>
      </c>
    </row>
    <row r="1166" customFormat="false" ht="12.75" hidden="false" customHeight="true" outlineLevel="0" collapsed="false">
      <c r="A1166" s="4" t="s">
        <v>3183</v>
      </c>
      <c r="B1166" s="5" t="s">
        <v>3183</v>
      </c>
      <c r="C1166" s="1" t="str">
        <f aca="false">IF(B1166="NEW ROUTE",1,"")</f>
        <v/>
      </c>
      <c r="E1166" s="5" t="s">
        <v>3183</v>
      </c>
      <c r="F1166" s="6" t="e">
        <f aca="false">VLOOKUP(E1166,$K$2:$L$426,2,FALSE())</f>
        <v>#N/A</v>
      </c>
      <c r="G1166" s="1" t="str">
        <f aca="false">IF(ISNA(F1166),"",F1166)</f>
        <v/>
      </c>
      <c r="H1166" s="5" t="str">
        <f aca="false">IF(G1166&lt;&gt;"",G1166,E1166)</f>
        <v>15, 15, HERACROSS</v>
      </c>
    </row>
    <row r="1167" customFormat="false" ht="12.75" hidden="false" customHeight="true" outlineLevel="0" collapsed="false">
      <c r="A1167" s="4" t="s">
        <v>2806</v>
      </c>
      <c r="B1167" s="5" t="n">
        <v>0.05</v>
      </c>
      <c r="C1167" s="1" t="str">
        <f aca="false">IF(B1167="NEW ROUTE",1,"")</f>
        <v/>
      </c>
      <c r="E1167" s="5" t="n">
        <v>0.05</v>
      </c>
      <c r="F1167" s="6" t="e">
        <f aca="false">VLOOKUP(E1167,$K$2:$L$426,2,FALSE())</f>
        <v>#N/A</v>
      </c>
      <c r="G1167" s="1" t="str">
        <f aca="false">IF(ISNA(F1167),"",F1167)</f>
        <v/>
      </c>
      <c r="H1167" s="5" t="n">
        <f aca="false">IF(G1167&lt;&gt;"",G1167,E1167)</f>
        <v>0.05</v>
      </c>
    </row>
    <row r="1168" customFormat="false" ht="12.75" hidden="false" customHeight="true" outlineLevel="0" collapsed="false">
      <c r="A1168" s="4" t="s">
        <v>3184</v>
      </c>
      <c r="B1168" s="5" t="s">
        <v>3184</v>
      </c>
      <c r="C1168" s="1" t="str">
        <f aca="false">IF(B1168="NEW ROUTE",1,"")</f>
        <v/>
      </c>
      <c r="E1168" s="5" t="s">
        <v>3184</v>
      </c>
      <c r="F1168" s="6" t="e">
        <f aca="false">VLOOKUP(E1168,$K$2:$L$426,2,FALSE())</f>
        <v>#N/A</v>
      </c>
      <c r="G1168" s="1" t="str">
        <f aca="false">IF(ISNA(F1168),"",F1168)</f>
        <v/>
      </c>
      <c r="H1168" s="5" t="str">
        <f aca="false">IF(G1168&lt;&gt;"",G1168,E1168)</f>
        <v>9, 9, METAPOD</v>
      </c>
    </row>
    <row r="1169" customFormat="false" ht="12.75" hidden="false" customHeight="true" outlineLevel="0" collapsed="false">
      <c r="A1169" s="4" t="s">
        <v>3185</v>
      </c>
      <c r="B1169" s="5" t="s">
        <v>3185</v>
      </c>
      <c r="C1169" s="1" t="str">
        <f aca="false">IF(B1169="NEW ROUTE",1,"")</f>
        <v/>
      </c>
      <c r="E1169" s="5" t="s">
        <v>3185</v>
      </c>
      <c r="F1169" s="6" t="e">
        <f aca="false">VLOOKUP(E1169,$K$2:$L$426,2,FALSE())</f>
        <v>#N/A</v>
      </c>
      <c r="G1169" s="1" t="str">
        <f aca="false">IF(ISNA(F1169),"",F1169)</f>
        <v/>
      </c>
      <c r="H1169" s="5" t="str">
        <f aca="false">IF(G1169&lt;&gt;"",G1169,E1169)</f>
        <v>20, 20, HERACROSS</v>
      </c>
    </row>
    <row r="1170" customFormat="false" ht="12.75" hidden="false" customHeight="true" outlineLevel="0" collapsed="false">
      <c r="A1170" s="4" t="s">
        <v>2809</v>
      </c>
      <c r="B1170" s="5" t="n">
        <v>0.04</v>
      </c>
      <c r="C1170" s="1" t="str">
        <f aca="false">IF(B1170="NEW ROUTE",1,"")</f>
        <v/>
      </c>
      <c r="E1170" s="5" t="n">
        <v>0.04</v>
      </c>
      <c r="F1170" s="6" t="e">
        <f aca="false">VLOOKUP(E1170,$K$2:$L$426,2,FALSE())</f>
        <v>#N/A</v>
      </c>
      <c r="G1170" s="1" t="str">
        <f aca="false">IF(ISNA(F1170),"",F1170)</f>
        <v/>
      </c>
      <c r="H1170" s="5" t="n">
        <f aca="false">IF(G1170&lt;&gt;"",G1170,E1170)</f>
        <v>0.04</v>
      </c>
    </row>
    <row r="1171" customFormat="false" ht="12.75" hidden="false" customHeight="true" outlineLevel="0" collapsed="false">
      <c r="A1171" s="4" t="s">
        <v>3186</v>
      </c>
      <c r="B1171" s="5" t="s">
        <v>3186</v>
      </c>
      <c r="C1171" s="1" t="str">
        <f aca="false">IF(B1171="NEW ROUTE",1,"")</f>
        <v/>
      </c>
      <c r="E1171" s="5" t="s">
        <v>3186</v>
      </c>
      <c r="F1171" s="6" t="e">
        <f aca="false">VLOOKUP(E1171,$K$2:$L$426,2,FALSE())</f>
        <v>#N/A</v>
      </c>
      <c r="G1171" s="1" t="str">
        <f aca="false">IF(ISNA(F1171),"",F1171)</f>
        <v/>
      </c>
      <c r="H1171" s="5" t="str">
        <f aca="false">IF(G1171&lt;&gt;"",G1171,E1171)</f>
        <v>9, 9, SPINARAK</v>
      </c>
    </row>
    <row r="1172" customFormat="false" ht="12.75" hidden="false" customHeight="true" outlineLevel="0" collapsed="false">
      <c r="A1172" s="4" t="s">
        <v>3187</v>
      </c>
      <c r="B1172" s="5" t="s">
        <v>3187</v>
      </c>
      <c r="C1172" s="1" t="str">
        <f aca="false">IF(B1172="NEW ROUTE",1,"")</f>
        <v/>
      </c>
      <c r="E1172" s="5" t="s">
        <v>3187</v>
      </c>
      <c r="F1172" s="6" t="e">
        <f aca="false">VLOOKUP(E1172,$K$2:$L$426,2,FALSE())</f>
        <v>#N/A</v>
      </c>
      <c r="G1172" s="1" t="str">
        <f aca="false">IF(ISNA(F1172),"",F1172)</f>
        <v/>
      </c>
      <c r="H1172" s="5" t="str">
        <f aca="false">IF(G1172&lt;&gt;"",G1172,E1172)</f>
        <v>25, 25, HERACROSS</v>
      </c>
    </row>
    <row r="1173" customFormat="false" ht="12.75" hidden="false" customHeight="true" outlineLevel="0" collapsed="false">
      <c r="A1173" s="4" t="s">
        <v>2812</v>
      </c>
      <c r="B1173" s="5" t="n">
        <v>0.01</v>
      </c>
      <c r="C1173" s="1" t="str">
        <f aca="false">IF(B1173="NEW ROUTE",1,"")</f>
        <v/>
      </c>
      <c r="E1173" s="5" t="n">
        <v>0.01</v>
      </c>
      <c r="F1173" s="6" t="e">
        <f aca="false">VLOOKUP(E1173,$K$2:$L$426,2,FALSE())</f>
        <v>#N/A</v>
      </c>
      <c r="G1173" s="1" t="str">
        <f aca="false">IF(ISNA(F1173),"",F1173)</f>
        <v/>
      </c>
      <c r="H1173" s="5" t="n">
        <f aca="false">IF(G1173&lt;&gt;"",G1173,E1173)</f>
        <v>0.01</v>
      </c>
    </row>
    <row r="1174" customFormat="false" ht="12.75" hidden="false" customHeight="true" outlineLevel="0" collapsed="false">
      <c r="A1174" s="4" t="s">
        <v>3188</v>
      </c>
      <c r="B1174" s="5" t="s">
        <v>3188</v>
      </c>
      <c r="C1174" s="1" t="str">
        <f aca="false">IF(B1174="NEW ROUTE",1,"")</f>
        <v/>
      </c>
      <c r="E1174" s="5" t="s">
        <v>3188</v>
      </c>
      <c r="F1174" s="6" t="e">
        <f aca="false">VLOOKUP(E1174,$K$2:$L$426,2,FALSE())</f>
        <v>#N/A</v>
      </c>
      <c r="G1174" s="1" t="str">
        <f aca="false">IF(ISNA(F1174),"",F1174)</f>
        <v/>
      </c>
      <c r="H1174" s="5" t="str">
        <f aca="false">IF(G1174&lt;&gt;"",G1174,E1174)</f>
        <v>14, 14, SPINARAK</v>
      </c>
    </row>
    <row r="1175" customFormat="false" ht="12.75" hidden="false" customHeight="true" outlineLevel="0" collapsed="false">
      <c r="A1175" s="4" t="s">
        <v>3720</v>
      </c>
      <c r="B1175" s="5" t="s">
        <v>3720</v>
      </c>
      <c r="C1175" s="1" t="str">
        <f aca="false">IF(B1175="NEW ROUTE",1,"")</f>
        <v/>
      </c>
      <c r="E1175" s="5" t="s">
        <v>3720</v>
      </c>
      <c r="F1175" s="6" t="e">
        <f aca="false">VLOOKUP(E1175,$K$2:$L$426,2,FALSE())</f>
        <v>#N/A</v>
      </c>
      <c r="G1175" s="1" t="str">
        <f aca="false">IF(ISNA(F1175),"",F1175)</f>
        <v/>
      </c>
      <c r="H1175" s="5" t="str">
        <f aca="false">IF(G1175&lt;&gt;"",G1175,E1175)</f>
        <v>30, 30, HERACROSS</v>
      </c>
    </row>
    <row r="1176" customFormat="false" ht="12.75" hidden="false" customHeight="true" outlineLevel="0" collapsed="false">
      <c r="A1176" s="4" t="s">
        <v>2536</v>
      </c>
      <c r="B1176" s="5" t="s">
        <v>2536</v>
      </c>
      <c r="C1176" s="1" t="n">
        <f aca="false">IF(B1176="NEW ROUTE",1,"")</f>
        <v>1</v>
      </c>
      <c r="E1176" s="5" t="s">
        <v>2536</v>
      </c>
      <c r="F1176" s="6" t="e">
        <f aca="false">VLOOKUP(E1176,$K$2:$L$426,2,FALSE())</f>
        <v>#N/A</v>
      </c>
      <c r="G1176" s="1" t="str">
        <f aca="false">IF(ISNA(F1176),"",F1176)</f>
        <v/>
      </c>
      <c r="H1176" s="5" t="str">
        <f aca="false">IF(G1176&lt;&gt;"",G1176,E1176)</f>
        <v>NEW ROUTE</v>
      </c>
    </row>
    <row r="1177" customFormat="false" ht="12.75" hidden="false" customHeight="true" outlineLevel="0" collapsed="false">
      <c r="A1177" s="4" t="s">
        <v>284</v>
      </c>
      <c r="B1177" s="5" t="s">
        <v>284</v>
      </c>
      <c r="C1177" s="1" t="str">
        <f aca="false">IF(B1177="NEW ROUTE",1,"")</f>
        <v/>
      </c>
      <c r="E1177" s="5" t="s">
        <v>284</v>
      </c>
      <c r="F1177" s="6" t="str">
        <f aca="false">VLOOKUP(E1177,$K$2:$L$426,2,FALSE())</f>
        <v>Five Island Lost Cave Room 1</v>
      </c>
      <c r="G1177" s="1" t="str">
        <f aca="false">IF(ISNA(F1177),"",F1177)</f>
        <v>Five Island Lost Cave Room 1</v>
      </c>
      <c r="H1177" s="5" t="str">
        <f aca="false">IF(G1177&lt;&gt;"",G1177,E1177)</f>
        <v>Five Island Lost Cave Room 1</v>
      </c>
    </row>
    <row r="1178" customFormat="false" ht="12.75" hidden="false" customHeight="true" outlineLevel="0" collapsed="false">
      <c r="A1178" s="4" t="s">
        <v>2799</v>
      </c>
      <c r="B1178" s="5" t="n">
        <v>0.2</v>
      </c>
      <c r="C1178" s="1" t="str">
        <f aca="false">IF(B1178="NEW ROUTE",1,"")</f>
        <v/>
      </c>
      <c r="E1178" s="5" t="n">
        <v>0.2</v>
      </c>
      <c r="F1178" s="6" t="e">
        <f aca="false">VLOOKUP(E1178,$K$2:$L$426,2,FALSE())</f>
        <v>#N/A</v>
      </c>
      <c r="G1178" s="1" t="str">
        <f aca="false">IF(ISNA(F1178),"",F1178)</f>
        <v/>
      </c>
      <c r="H1178" s="5" t="n">
        <f aca="false">IF(G1178&lt;&gt;"",G1178,E1178)</f>
        <v>0.2</v>
      </c>
    </row>
    <row r="1179" customFormat="false" ht="12.75" hidden="false" customHeight="true" outlineLevel="0" collapsed="false">
      <c r="A1179" s="4" t="s">
        <v>1638</v>
      </c>
      <c r="B1179" s="5" t="s">
        <v>1638</v>
      </c>
      <c r="C1179" s="1" t="str">
        <f aca="false">IF(B1179="NEW ROUTE",1,"")</f>
        <v/>
      </c>
      <c r="E1179" s="5" t="s">
        <v>1638</v>
      </c>
      <c r="F1179" s="6" t="e">
        <f aca="false">VLOOKUP(E1179,$K$2:$L$426,2,FALSE())</f>
        <v>#N/A</v>
      </c>
      <c r="G1179" s="1" t="str">
        <f aca="false">IF(ISNA(F1179),"",F1179)</f>
        <v/>
      </c>
      <c r="H1179" s="5" t="str">
        <f aca="false">IF(G1179&lt;&gt;"",G1179,E1179)</f>
        <v>40, 40, GASTLY</v>
      </c>
    </row>
    <row r="1180" customFormat="false" ht="12.75" hidden="false" customHeight="true" outlineLevel="0" collapsed="false">
      <c r="A1180" s="4" t="s">
        <v>3192</v>
      </c>
      <c r="B1180" s="5" t="s">
        <v>3192</v>
      </c>
      <c r="C1180" s="1" t="str">
        <f aca="false">IF(B1180="NEW ROUTE",1,"")</f>
        <v/>
      </c>
      <c r="E1180" s="5" t="s">
        <v>3192</v>
      </c>
      <c r="F1180" s="6" t="e">
        <f aca="false">VLOOKUP(E1180,$K$2:$L$426,2,FALSE())</f>
        <v>#N/A</v>
      </c>
      <c r="G1180" s="1" t="str">
        <f aca="false">IF(ISNA(F1180),"",F1180)</f>
        <v/>
      </c>
      <c r="H1180" s="5" t="str">
        <f aca="false">IF(G1180&lt;&gt;"",G1180,E1180)</f>
        <v>37, 37, ZUBAT</v>
      </c>
    </row>
    <row r="1181" customFormat="false" ht="12.75" hidden="false" customHeight="true" outlineLevel="0" collapsed="false">
      <c r="A1181" s="4" t="s">
        <v>2801</v>
      </c>
      <c r="B1181" s="5" t="n">
        <v>0.1</v>
      </c>
      <c r="C1181" s="1" t="str">
        <f aca="false">IF(B1181="NEW ROUTE",1,"")</f>
        <v/>
      </c>
      <c r="E1181" s="5" t="n">
        <v>0.1</v>
      </c>
      <c r="F1181" s="6" t="e">
        <f aca="false">VLOOKUP(E1181,$K$2:$L$426,2,FALSE())</f>
        <v>#N/A</v>
      </c>
      <c r="G1181" s="1" t="str">
        <f aca="false">IF(ISNA(F1181),"",F1181)</f>
        <v/>
      </c>
      <c r="H1181" s="5" t="n">
        <f aca="false">IF(G1181&lt;&gt;"",G1181,E1181)</f>
        <v>0.1</v>
      </c>
    </row>
    <row r="1182" customFormat="false" ht="12.75" hidden="false" customHeight="true" outlineLevel="0" collapsed="false">
      <c r="A1182" s="4" t="s">
        <v>3193</v>
      </c>
      <c r="B1182" s="5" t="s">
        <v>3193</v>
      </c>
      <c r="C1182" s="1" t="str">
        <f aca="false">IF(B1182="NEW ROUTE",1,"")</f>
        <v/>
      </c>
      <c r="E1182" s="5" t="s">
        <v>3193</v>
      </c>
      <c r="F1182" s="6" t="e">
        <f aca="false">VLOOKUP(E1182,$K$2:$L$426,2,FALSE())</f>
        <v>#N/A</v>
      </c>
      <c r="G1182" s="1" t="str">
        <f aca="false">IF(ISNA(F1182),"",F1182)</f>
        <v/>
      </c>
      <c r="H1182" s="5" t="str">
        <f aca="false">IF(G1182&lt;&gt;"",G1182,E1182)</f>
        <v>44, 44, HAUNTER</v>
      </c>
    </row>
    <row r="1183" customFormat="false" ht="12.75" hidden="false" customHeight="true" outlineLevel="0" collapsed="false">
      <c r="A1183" s="4" t="s">
        <v>3194</v>
      </c>
      <c r="B1183" s="5" t="s">
        <v>3194</v>
      </c>
      <c r="C1183" s="1" t="str">
        <f aca="false">IF(B1183="NEW ROUTE",1,"")</f>
        <v/>
      </c>
      <c r="E1183" s="5" t="s">
        <v>3194</v>
      </c>
      <c r="F1183" s="6" t="e">
        <f aca="false">VLOOKUP(E1183,$K$2:$L$426,2,FALSE())</f>
        <v>#N/A</v>
      </c>
      <c r="G1183" s="1" t="str">
        <f aca="false">IF(ISNA(F1183),"",F1183)</f>
        <v/>
      </c>
      <c r="H1183" s="5" t="str">
        <f aca="false">IF(G1183&lt;&gt;"",G1183,E1183)</f>
        <v>46, 46, HAUNTER</v>
      </c>
    </row>
    <row r="1184" customFormat="false" ht="12.75" hidden="false" customHeight="true" outlineLevel="0" collapsed="false">
      <c r="A1184" s="4" t="s">
        <v>3195</v>
      </c>
      <c r="B1184" s="5" t="s">
        <v>3195</v>
      </c>
      <c r="C1184" s="1" t="str">
        <f aca="false">IF(B1184="NEW ROUTE",1,"")</f>
        <v/>
      </c>
      <c r="E1184" s="5" t="s">
        <v>3195</v>
      </c>
      <c r="F1184" s="6" t="e">
        <f aca="false">VLOOKUP(E1184,$K$2:$L$426,2,FALSE())</f>
        <v>#N/A</v>
      </c>
      <c r="G1184" s="1" t="str">
        <f aca="false">IF(ISNA(F1184),"",F1184)</f>
        <v/>
      </c>
      <c r="H1184" s="5" t="str">
        <f aca="false">IF(G1184&lt;&gt;"",G1184,E1184)</f>
        <v>41, 41, GOLBAT</v>
      </c>
    </row>
    <row r="1185" customFormat="false" ht="12.75" hidden="false" customHeight="true" outlineLevel="0" collapsed="false">
      <c r="A1185" s="4" t="s">
        <v>3196</v>
      </c>
      <c r="B1185" s="5" t="s">
        <v>3196</v>
      </c>
      <c r="C1185" s="1" t="str">
        <f aca="false">IF(B1185="NEW ROUTE",1,"")</f>
        <v/>
      </c>
      <c r="E1185" s="5" t="s">
        <v>3196</v>
      </c>
      <c r="F1185" s="6" t="e">
        <f aca="false">VLOOKUP(E1185,$K$2:$L$426,2,FALSE())</f>
        <v>#N/A</v>
      </c>
      <c r="G1185" s="1" t="str">
        <f aca="false">IF(ISNA(F1185),"",F1185)</f>
        <v/>
      </c>
      <c r="H1185" s="5" t="str">
        <f aca="false">IF(G1185&lt;&gt;"",G1185,E1185)</f>
        <v>43, 43, GOLBAT</v>
      </c>
    </row>
    <row r="1186" customFormat="false" ht="12.75" hidden="false" customHeight="true" outlineLevel="0" collapsed="false">
      <c r="A1186" s="4" t="s">
        <v>2806</v>
      </c>
      <c r="B1186" s="5" t="n">
        <v>0.05</v>
      </c>
      <c r="C1186" s="1" t="str">
        <f aca="false">IF(B1186="NEW ROUTE",1,"")</f>
        <v/>
      </c>
      <c r="E1186" s="5" t="n">
        <v>0.05</v>
      </c>
      <c r="F1186" s="6" t="e">
        <f aca="false">VLOOKUP(E1186,$K$2:$L$426,2,FALSE())</f>
        <v>#N/A</v>
      </c>
      <c r="G1186" s="1" t="str">
        <f aca="false">IF(ISNA(F1186),"",F1186)</f>
        <v/>
      </c>
      <c r="H1186" s="5" t="n">
        <f aca="false">IF(G1186&lt;&gt;"",G1186,E1186)</f>
        <v>0.05</v>
      </c>
    </row>
    <row r="1187" customFormat="false" ht="12.75" hidden="false" customHeight="true" outlineLevel="0" collapsed="false">
      <c r="A1187" s="4" t="s">
        <v>3197</v>
      </c>
      <c r="B1187" s="5" t="s">
        <v>3197</v>
      </c>
      <c r="C1187" s="1" t="str">
        <f aca="false">IF(B1187="NEW ROUTE",1,"")</f>
        <v/>
      </c>
      <c r="E1187" s="5" t="s">
        <v>3197</v>
      </c>
      <c r="F1187" s="6" t="e">
        <f aca="false">VLOOKUP(E1187,$K$2:$L$426,2,FALSE())</f>
        <v>#N/A</v>
      </c>
      <c r="G1187" s="1" t="str">
        <f aca="false">IF(ISNA(F1187),"",F1187)</f>
        <v/>
      </c>
      <c r="H1187" s="5" t="str">
        <f aca="false">IF(G1187&lt;&gt;"",G1187,E1187)</f>
        <v>38, 38, GASTLY</v>
      </c>
    </row>
    <row r="1188" customFormat="false" ht="12.75" hidden="false" customHeight="true" outlineLevel="0" collapsed="false">
      <c r="A1188" s="4" t="s">
        <v>3198</v>
      </c>
      <c r="B1188" s="5" t="s">
        <v>3198</v>
      </c>
      <c r="C1188" s="1" t="str">
        <f aca="false">IF(B1188="NEW ROUTE",1,"")</f>
        <v/>
      </c>
      <c r="E1188" s="5" t="s">
        <v>3198</v>
      </c>
      <c r="F1188" s="6" t="e">
        <f aca="false">VLOOKUP(E1188,$K$2:$L$426,2,FALSE())</f>
        <v>#N/A</v>
      </c>
      <c r="G1188" s="1" t="str">
        <f aca="false">IF(ISNA(F1188),"",F1188)</f>
        <v/>
      </c>
      <c r="H1188" s="5" t="str">
        <f aca="false">IF(G1188&lt;&gt;"",G1188,E1188)</f>
        <v>48, 48, HAUNTER</v>
      </c>
    </row>
    <row r="1189" customFormat="false" ht="12.75" hidden="false" customHeight="true" outlineLevel="0" collapsed="false">
      <c r="A1189" s="4" t="s">
        <v>2809</v>
      </c>
      <c r="B1189" s="5" t="n">
        <v>0.04</v>
      </c>
      <c r="C1189" s="1" t="str">
        <f aca="false">IF(B1189="NEW ROUTE",1,"")</f>
        <v/>
      </c>
      <c r="E1189" s="5" t="n">
        <v>0.04</v>
      </c>
      <c r="F1189" s="6" t="e">
        <f aca="false">VLOOKUP(E1189,$K$2:$L$426,2,FALSE())</f>
        <v>#N/A</v>
      </c>
      <c r="G1189" s="1" t="str">
        <f aca="false">IF(ISNA(F1189),"",F1189)</f>
        <v/>
      </c>
      <c r="H1189" s="5" t="n">
        <f aca="false">IF(G1189&lt;&gt;"",G1189,E1189)</f>
        <v>0.04</v>
      </c>
    </row>
    <row r="1190" customFormat="false" ht="12.75" hidden="false" customHeight="true" outlineLevel="0" collapsed="false">
      <c r="A1190" s="4" t="s">
        <v>3199</v>
      </c>
      <c r="B1190" s="5" t="s">
        <v>3199</v>
      </c>
      <c r="C1190" s="1" t="str">
        <f aca="false">IF(B1190="NEW ROUTE",1,"")</f>
        <v/>
      </c>
      <c r="E1190" s="5" t="s">
        <v>3199</v>
      </c>
      <c r="F1190" s="6" t="e">
        <f aca="false">VLOOKUP(E1190,$K$2:$L$426,2,FALSE())</f>
        <v>#N/A</v>
      </c>
      <c r="G1190" s="1" t="str">
        <f aca="false">IF(ISNA(F1190),"",F1190)</f>
        <v/>
      </c>
      <c r="H1190" s="5" t="str">
        <f aca="false">IF(G1190&lt;&gt;"",G1190,E1190)</f>
        <v>50, 50, HAUNTER</v>
      </c>
    </row>
    <row r="1191" customFormat="false" ht="12.75" hidden="false" customHeight="true" outlineLevel="0" collapsed="false">
      <c r="A1191" s="4" t="s">
        <v>3200</v>
      </c>
      <c r="B1191" s="5" t="s">
        <v>3200</v>
      </c>
      <c r="C1191" s="1" t="str">
        <f aca="false">IF(B1191="NEW ROUTE",1,"")</f>
        <v/>
      </c>
      <c r="E1191" s="5" t="s">
        <v>3200</v>
      </c>
      <c r="F1191" s="6" t="e">
        <f aca="false">VLOOKUP(E1191,$K$2:$L$426,2,FALSE())</f>
        <v>#N/A</v>
      </c>
      <c r="G1191" s="1" t="str">
        <f aca="false">IF(ISNA(F1191),"",F1191)</f>
        <v/>
      </c>
      <c r="H1191" s="5" t="str">
        <f aca="false">IF(G1191&lt;&gt;"",G1191,E1191)</f>
        <v>22, 22, MISDREAVUS</v>
      </c>
    </row>
    <row r="1192" customFormat="false" ht="12.75" hidden="false" customHeight="true" outlineLevel="0" collapsed="false">
      <c r="A1192" s="4" t="s">
        <v>2812</v>
      </c>
      <c r="B1192" s="5" t="n">
        <v>0.01</v>
      </c>
      <c r="C1192" s="1" t="str">
        <f aca="false">IF(B1192="NEW ROUTE",1,"")</f>
        <v/>
      </c>
      <c r="E1192" s="5" t="n">
        <v>0.01</v>
      </c>
      <c r="F1192" s="6" t="e">
        <f aca="false">VLOOKUP(E1192,$K$2:$L$426,2,FALSE())</f>
        <v>#N/A</v>
      </c>
      <c r="G1192" s="1" t="str">
        <f aca="false">IF(ISNA(F1192),"",F1192)</f>
        <v/>
      </c>
      <c r="H1192" s="5" t="n">
        <f aca="false">IF(G1192&lt;&gt;"",G1192,E1192)</f>
        <v>0.01</v>
      </c>
    </row>
    <row r="1193" customFormat="false" ht="12.75" hidden="false" customHeight="true" outlineLevel="0" collapsed="false">
      <c r="A1193" s="4" t="s">
        <v>3201</v>
      </c>
      <c r="B1193" s="5" t="s">
        <v>3201</v>
      </c>
      <c r="C1193" s="1" t="str">
        <f aca="false">IF(B1193="NEW ROUTE",1,"")</f>
        <v/>
      </c>
      <c r="E1193" s="5" t="s">
        <v>3201</v>
      </c>
      <c r="F1193" s="6" t="e">
        <f aca="false">VLOOKUP(E1193,$K$2:$L$426,2,FALSE())</f>
        <v>#N/A</v>
      </c>
      <c r="G1193" s="1" t="str">
        <f aca="false">IF(ISNA(F1193),"",F1193)</f>
        <v/>
      </c>
      <c r="H1193" s="5" t="str">
        <f aca="false">IF(G1193&lt;&gt;"",G1193,E1193)</f>
        <v>52, 52, HAUNTER</v>
      </c>
    </row>
    <row r="1194" customFormat="false" ht="12.75" hidden="false" customHeight="true" outlineLevel="0" collapsed="false">
      <c r="A1194" s="4" t="s">
        <v>3200</v>
      </c>
      <c r="B1194" s="5" t="s">
        <v>3200</v>
      </c>
      <c r="C1194" s="1" t="str">
        <f aca="false">IF(B1194="NEW ROUTE",1,"")</f>
        <v/>
      </c>
      <c r="E1194" s="5" t="s">
        <v>3200</v>
      </c>
      <c r="F1194" s="6" t="e">
        <f aca="false">VLOOKUP(E1194,$K$2:$L$426,2,FALSE())</f>
        <v>#N/A</v>
      </c>
      <c r="G1194" s="1" t="str">
        <f aca="false">IF(ISNA(F1194),"",F1194)</f>
        <v/>
      </c>
      <c r="H1194" s="5" t="str">
        <f aca="false">IF(G1194&lt;&gt;"",G1194,E1194)</f>
        <v>22, 22, MISDREAVUS</v>
      </c>
    </row>
    <row r="1195" customFormat="false" ht="12.75" hidden="false" customHeight="true" outlineLevel="0" collapsed="false">
      <c r="A1195" s="4" t="s">
        <v>2536</v>
      </c>
      <c r="B1195" s="5" t="s">
        <v>2536</v>
      </c>
      <c r="C1195" s="1" t="n">
        <f aca="false">IF(B1195="NEW ROUTE",1,"")</f>
        <v>1</v>
      </c>
      <c r="E1195" s="5" t="s">
        <v>2536</v>
      </c>
      <c r="F1195" s="6" t="e">
        <f aca="false">VLOOKUP(E1195,$K$2:$L$426,2,FALSE())</f>
        <v>#N/A</v>
      </c>
      <c r="G1195" s="1" t="str">
        <f aca="false">IF(ISNA(F1195),"",F1195)</f>
        <v/>
      </c>
      <c r="H1195" s="5" t="str">
        <f aca="false">IF(G1195&lt;&gt;"",G1195,E1195)</f>
        <v>NEW ROUTE</v>
      </c>
    </row>
    <row r="1196" customFormat="false" ht="12.75" hidden="false" customHeight="true" outlineLevel="0" collapsed="false">
      <c r="A1196" s="4" t="s">
        <v>286</v>
      </c>
      <c r="B1196" s="5" t="s">
        <v>286</v>
      </c>
      <c r="C1196" s="1" t="str">
        <f aca="false">IF(B1196="NEW ROUTE",1,"")</f>
        <v/>
      </c>
      <c r="E1196" s="5" t="s">
        <v>286</v>
      </c>
      <c r="F1196" s="6" t="str">
        <f aca="false">VLOOKUP(E1196,$K$2:$L$426,2,FALSE())</f>
        <v>Five Island Lost Cave Room 2</v>
      </c>
      <c r="G1196" s="1" t="str">
        <f aca="false">IF(ISNA(F1196),"",F1196)</f>
        <v>Five Island Lost Cave Room 2</v>
      </c>
      <c r="H1196" s="5" t="str">
        <f aca="false">IF(G1196&lt;&gt;"",G1196,E1196)</f>
        <v>Five Island Lost Cave Room 2</v>
      </c>
    </row>
    <row r="1197" customFormat="false" ht="12.75" hidden="false" customHeight="true" outlineLevel="0" collapsed="false">
      <c r="A1197" s="4" t="s">
        <v>2799</v>
      </c>
      <c r="B1197" s="5" t="n">
        <v>0.2</v>
      </c>
      <c r="C1197" s="1" t="str">
        <f aca="false">IF(B1197="NEW ROUTE",1,"")</f>
        <v/>
      </c>
      <c r="E1197" s="5" t="n">
        <v>0.2</v>
      </c>
      <c r="F1197" s="6" t="e">
        <f aca="false">VLOOKUP(E1197,$K$2:$L$426,2,FALSE())</f>
        <v>#N/A</v>
      </c>
      <c r="G1197" s="1" t="str">
        <f aca="false">IF(ISNA(F1197),"",F1197)</f>
        <v/>
      </c>
      <c r="H1197" s="5" t="n">
        <f aca="false">IF(G1197&lt;&gt;"",G1197,E1197)</f>
        <v>0.2</v>
      </c>
    </row>
    <row r="1198" customFormat="false" ht="12.75" hidden="false" customHeight="true" outlineLevel="0" collapsed="false">
      <c r="A1198" s="4" t="s">
        <v>1638</v>
      </c>
      <c r="B1198" s="5" t="s">
        <v>1638</v>
      </c>
      <c r="C1198" s="1" t="str">
        <f aca="false">IF(B1198="NEW ROUTE",1,"")</f>
        <v/>
      </c>
      <c r="E1198" s="5" t="s">
        <v>1638</v>
      </c>
      <c r="F1198" s="6" t="e">
        <f aca="false">VLOOKUP(E1198,$K$2:$L$426,2,FALSE())</f>
        <v>#N/A</v>
      </c>
      <c r="G1198" s="1" t="str">
        <f aca="false">IF(ISNA(F1198),"",F1198)</f>
        <v/>
      </c>
      <c r="H1198" s="5" t="str">
        <f aca="false">IF(G1198&lt;&gt;"",G1198,E1198)</f>
        <v>40, 40, GASTLY</v>
      </c>
    </row>
    <row r="1199" customFormat="false" ht="12.75" hidden="false" customHeight="true" outlineLevel="0" collapsed="false">
      <c r="A1199" s="4" t="s">
        <v>3192</v>
      </c>
      <c r="B1199" s="5" t="s">
        <v>3192</v>
      </c>
      <c r="C1199" s="1" t="str">
        <f aca="false">IF(B1199="NEW ROUTE",1,"")</f>
        <v/>
      </c>
      <c r="E1199" s="5" t="s">
        <v>3192</v>
      </c>
      <c r="F1199" s="6" t="e">
        <f aca="false">VLOOKUP(E1199,$K$2:$L$426,2,FALSE())</f>
        <v>#N/A</v>
      </c>
      <c r="G1199" s="1" t="str">
        <f aca="false">IF(ISNA(F1199),"",F1199)</f>
        <v/>
      </c>
      <c r="H1199" s="5" t="str">
        <f aca="false">IF(G1199&lt;&gt;"",G1199,E1199)</f>
        <v>37, 37, ZUBAT</v>
      </c>
    </row>
    <row r="1200" customFormat="false" ht="12.75" hidden="false" customHeight="true" outlineLevel="0" collapsed="false">
      <c r="A1200" s="4" t="s">
        <v>2801</v>
      </c>
      <c r="B1200" s="5" t="n">
        <v>0.1</v>
      </c>
      <c r="C1200" s="1" t="str">
        <f aca="false">IF(B1200="NEW ROUTE",1,"")</f>
        <v/>
      </c>
      <c r="E1200" s="5" t="n">
        <v>0.1</v>
      </c>
      <c r="F1200" s="6" t="e">
        <f aca="false">VLOOKUP(E1200,$K$2:$L$426,2,FALSE())</f>
        <v>#N/A</v>
      </c>
      <c r="G1200" s="1" t="str">
        <f aca="false">IF(ISNA(F1200),"",F1200)</f>
        <v/>
      </c>
      <c r="H1200" s="5" t="n">
        <f aca="false">IF(G1200&lt;&gt;"",G1200,E1200)</f>
        <v>0.1</v>
      </c>
    </row>
    <row r="1201" customFormat="false" ht="12.75" hidden="false" customHeight="true" outlineLevel="0" collapsed="false">
      <c r="A1201" s="4" t="s">
        <v>3193</v>
      </c>
      <c r="B1201" s="5" t="s">
        <v>3193</v>
      </c>
      <c r="C1201" s="1" t="str">
        <f aca="false">IF(B1201="NEW ROUTE",1,"")</f>
        <v/>
      </c>
      <c r="E1201" s="5" t="s">
        <v>3193</v>
      </c>
      <c r="F1201" s="6" t="e">
        <f aca="false">VLOOKUP(E1201,$K$2:$L$426,2,FALSE())</f>
        <v>#N/A</v>
      </c>
      <c r="G1201" s="1" t="str">
        <f aca="false">IF(ISNA(F1201),"",F1201)</f>
        <v/>
      </c>
      <c r="H1201" s="5" t="str">
        <f aca="false">IF(G1201&lt;&gt;"",G1201,E1201)</f>
        <v>44, 44, HAUNTER</v>
      </c>
    </row>
    <row r="1202" customFormat="false" ht="12.75" hidden="false" customHeight="true" outlineLevel="0" collapsed="false">
      <c r="A1202" s="4" t="s">
        <v>3194</v>
      </c>
      <c r="B1202" s="5" t="s">
        <v>3194</v>
      </c>
      <c r="C1202" s="1" t="str">
        <f aca="false">IF(B1202="NEW ROUTE",1,"")</f>
        <v/>
      </c>
      <c r="E1202" s="5" t="s">
        <v>3194</v>
      </c>
      <c r="F1202" s="6" t="e">
        <f aca="false">VLOOKUP(E1202,$K$2:$L$426,2,FALSE())</f>
        <v>#N/A</v>
      </c>
      <c r="G1202" s="1" t="str">
        <f aca="false">IF(ISNA(F1202),"",F1202)</f>
        <v/>
      </c>
      <c r="H1202" s="5" t="str">
        <f aca="false">IF(G1202&lt;&gt;"",G1202,E1202)</f>
        <v>46, 46, HAUNTER</v>
      </c>
    </row>
    <row r="1203" customFormat="false" ht="12.75" hidden="false" customHeight="true" outlineLevel="0" collapsed="false">
      <c r="A1203" s="4" t="s">
        <v>3195</v>
      </c>
      <c r="B1203" s="5" t="s">
        <v>3195</v>
      </c>
      <c r="C1203" s="1" t="str">
        <f aca="false">IF(B1203="NEW ROUTE",1,"")</f>
        <v/>
      </c>
      <c r="E1203" s="5" t="s">
        <v>3195</v>
      </c>
      <c r="F1203" s="6" t="e">
        <f aca="false">VLOOKUP(E1203,$K$2:$L$426,2,FALSE())</f>
        <v>#N/A</v>
      </c>
      <c r="G1203" s="1" t="str">
        <f aca="false">IF(ISNA(F1203),"",F1203)</f>
        <v/>
      </c>
      <c r="H1203" s="5" t="str">
        <f aca="false">IF(G1203&lt;&gt;"",G1203,E1203)</f>
        <v>41, 41, GOLBAT</v>
      </c>
    </row>
    <row r="1204" customFormat="false" ht="12.75" hidden="false" customHeight="true" outlineLevel="0" collapsed="false">
      <c r="A1204" s="4" t="s">
        <v>3196</v>
      </c>
      <c r="B1204" s="5" t="s">
        <v>3196</v>
      </c>
      <c r="C1204" s="1" t="str">
        <f aca="false">IF(B1204="NEW ROUTE",1,"")</f>
        <v/>
      </c>
      <c r="E1204" s="5" t="s">
        <v>3196</v>
      </c>
      <c r="F1204" s="6" t="e">
        <f aca="false">VLOOKUP(E1204,$K$2:$L$426,2,FALSE())</f>
        <v>#N/A</v>
      </c>
      <c r="G1204" s="1" t="str">
        <f aca="false">IF(ISNA(F1204),"",F1204)</f>
        <v/>
      </c>
      <c r="H1204" s="5" t="str">
        <f aca="false">IF(G1204&lt;&gt;"",G1204,E1204)</f>
        <v>43, 43, GOLBAT</v>
      </c>
    </row>
    <row r="1205" customFormat="false" ht="12.75" hidden="false" customHeight="true" outlineLevel="0" collapsed="false">
      <c r="A1205" s="4" t="s">
        <v>2806</v>
      </c>
      <c r="B1205" s="5" t="n">
        <v>0.05</v>
      </c>
      <c r="C1205" s="1" t="str">
        <f aca="false">IF(B1205="NEW ROUTE",1,"")</f>
        <v/>
      </c>
      <c r="E1205" s="5" t="n">
        <v>0.05</v>
      </c>
      <c r="F1205" s="6" t="e">
        <f aca="false">VLOOKUP(E1205,$K$2:$L$426,2,FALSE())</f>
        <v>#N/A</v>
      </c>
      <c r="G1205" s="1" t="str">
        <f aca="false">IF(ISNA(F1205),"",F1205)</f>
        <v/>
      </c>
      <c r="H1205" s="5" t="n">
        <f aca="false">IF(G1205&lt;&gt;"",G1205,E1205)</f>
        <v>0.05</v>
      </c>
    </row>
    <row r="1206" customFormat="false" ht="12.75" hidden="false" customHeight="true" outlineLevel="0" collapsed="false">
      <c r="A1206" s="4" t="s">
        <v>3197</v>
      </c>
      <c r="B1206" s="5" t="s">
        <v>3197</v>
      </c>
      <c r="C1206" s="1" t="str">
        <f aca="false">IF(B1206="NEW ROUTE",1,"")</f>
        <v/>
      </c>
      <c r="E1206" s="5" t="s">
        <v>3197</v>
      </c>
      <c r="F1206" s="6" t="e">
        <f aca="false">VLOOKUP(E1206,$K$2:$L$426,2,FALSE())</f>
        <v>#N/A</v>
      </c>
      <c r="G1206" s="1" t="str">
        <f aca="false">IF(ISNA(F1206),"",F1206)</f>
        <v/>
      </c>
      <c r="H1206" s="5" t="str">
        <f aca="false">IF(G1206&lt;&gt;"",G1206,E1206)</f>
        <v>38, 38, GASTLY</v>
      </c>
    </row>
    <row r="1207" customFormat="false" ht="12.75" hidden="false" customHeight="true" outlineLevel="0" collapsed="false">
      <c r="A1207" s="4" t="s">
        <v>3198</v>
      </c>
      <c r="B1207" s="5" t="s">
        <v>3198</v>
      </c>
      <c r="C1207" s="1" t="str">
        <f aca="false">IF(B1207="NEW ROUTE",1,"")</f>
        <v/>
      </c>
      <c r="E1207" s="5" t="s">
        <v>3198</v>
      </c>
      <c r="F1207" s="6" t="e">
        <f aca="false">VLOOKUP(E1207,$K$2:$L$426,2,FALSE())</f>
        <v>#N/A</v>
      </c>
      <c r="G1207" s="1" t="str">
        <f aca="false">IF(ISNA(F1207),"",F1207)</f>
        <v/>
      </c>
      <c r="H1207" s="5" t="str">
        <f aca="false">IF(G1207&lt;&gt;"",G1207,E1207)</f>
        <v>48, 48, HAUNTER</v>
      </c>
    </row>
    <row r="1208" customFormat="false" ht="12.75" hidden="false" customHeight="true" outlineLevel="0" collapsed="false">
      <c r="A1208" s="4" t="s">
        <v>2809</v>
      </c>
      <c r="B1208" s="5" t="n">
        <v>0.04</v>
      </c>
      <c r="C1208" s="1" t="str">
        <f aca="false">IF(B1208="NEW ROUTE",1,"")</f>
        <v/>
      </c>
      <c r="E1208" s="5" t="n">
        <v>0.04</v>
      </c>
      <c r="F1208" s="6" t="e">
        <f aca="false">VLOOKUP(E1208,$K$2:$L$426,2,FALSE())</f>
        <v>#N/A</v>
      </c>
      <c r="G1208" s="1" t="str">
        <f aca="false">IF(ISNA(F1208),"",F1208)</f>
        <v/>
      </c>
      <c r="H1208" s="5" t="n">
        <f aca="false">IF(G1208&lt;&gt;"",G1208,E1208)</f>
        <v>0.04</v>
      </c>
    </row>
    <row r="1209" customFormat="false" ht="12.75" hidden="false" customHeight="true" outlineLevel="0" collapsed="false">
      <c r="A1209" s="4" t="s">
        <v>3199</v>
      </c>
      <c r="B1209" s="5" t="s">
        <v>3199</v>
      </c>
      <c r="C1209" s="1" t="str">
        <f aca="false">IF(B1209="NEW ROUTE",1,"")</f>
        <v/>
      </c>
      <c r="E1209" s="5" t="s">
        <v>3199</v>
      </c>
      <c r="F1209" s="6" t="e">
        <f aca="false">VLOOKUP(E1209,$K$2:$L$426,2,FALSE())</f>
        <v>#N/A</v>
      </c>
      <c r="G1209" s="1" t="str">
        <f aca="false">IF(ISNA(F1209),"",F1209)</f>
        <v/>
      </c>
      <c r="H1209" s="5" t="str">
        <f aca="false">IF(G1209&lt;&gt;"",G1209,E1209)</f>
        <v>50, 50, HAUNTER</v>
      </c>
    </row>
    <row r="1210" customFormat="false" ht="12.75" hidden="false" customHeight="true" outlineLevel="0" collapsed="false">
      <c r="A1210" s="4" t="s">
        <v>3200</v>
      </c>
      <c r="B1210" s="5" t="s">
        <v>3200</v>
      </c>
      <c r="C1210" s="1" t="str">
        <f aca="false">IF(B1210="NEW ROUTE",1,"")</f>
        <v/>
      </c>
      <c r="E1210" s="5" t="s">
        <v>3200</v>
      </c>
      <c r="F1210" s="6" t="e">
        <f aca="false">VLOOKUP(E1210,$K$2:$L$426,2,FALSE())</f>
        <v>#N/A</v>
      </c>
      <c r="G1210" s="1" t="str">
        <f aca="false">IF(ISNA(F1210),"",F1210)</f>
        <v/>
      </c>
      <c r="H1210" s="5" t="str">
        <f aca="false">IF(G1210&lt;&gt;"",G1210,E1210)</f>
        <v>22, 22, MISDREAVUS</v>
      </c>
    </row>
    <row r="1211" customFormat="false" ht="12.75" hidden="false" customHeight="true" outlineLevel="0" collapsed="false">
      <c r="A1211" s="4" t="s">
        <v>2812</v>
      </c>
      <c r="B1211" s="5" t="n">
        <v>0.01</v>
      </c>
      <c r="C1211" s="1" t="str">
        <f aca="false">IF(B1211="NEW ROUTE",1,"")</f>
        <v/>
      </c>
      <c r="E1211" s="5" t="n">
        <v>0.01</v>
      </c>
      <c r="F1211" s="6" t="e">
        <f aca="false">VLOOKUP(E1211,$K$2:$L$426,2,FALSE())</f>
        <v>#N/A</v>
      </c>
      <c r="G1211" s="1" t="str">
        <f aca="false">IF(ISNA(F1211),"",F1211)</f>
        <v/>
      </c>
      <c r="H1211" s="5" t="n">
        <f aca="false">IF(G1211&lt;&gt;"",G1211,E1211)</f>
        <v>0.01</v>
      </c>
    </row>
    <row r="1212" customFormat="false" ht="12.75" hidden="false" customHeight="true" outlineLevel="0" collapsed="false">
      <c r="A1212" s="4" t="s">
        <v>3201</v>
      </c>
      <c r="B1212" s="5" t="s">
        <v>3201</v>
      </c>
      <c r="C1212" s="1" t="str">
        <f aca="false">IF(B1212="NEW ROUTE",1,"")</f>
        <v/>
      </c>
      <c r="E1212" s="5" t="s">
        <v>3201</v>
      </c>
      <c r="F1212" s="6" t="e">
        <f aca="false">VLOOKUP(E1212,$K$2:$L$426,2,FALSE())</f>
        <v>#N/A</v>
      </c>
      <c r="G1212" s="1" t="str">
        <f aca="false">IF(ISNA(F1212),"",F1212)</f>
        <v/>
      </c>
      <c r="H1212" s="5" t="str">
        <f aca="false">IF(G1212&lt;&gt;"",G1212,E1212)</f>
        <v>52, 52, HAUNTER</v>
      </c>
    </row>
    <row r="1213" customFormat="false" ht="12.75" hidden="false" customHeight="true" outlineLevel="0" collapsed="false">
      <c r="A1213" s="4" t="s">
        <v>3200</v>
      </c>
      <c r="B1213" s="5" t="s">
        <v>3200</v>
      </c>
      <c r="C1213" s="1" t="str">
        <f aca="false">IF(B1213="NEW ROUTE",1,"")</f>
        <v/>
      </c>
      <c r="E1213" s="5" t="s">
        <v>3200</v>
      </c>
      <c r="F1213" s="6" t="e">
        <f aca="false">VLOOKUP(E1213,$K$2:$L$426,2,FALSE())</f>
        <v>#N/A</v>
      </c>
      <c r="G1213" s="1" t="str">
        <f aca="false">IF(ISNA(F1213),"",F1213)</f>
        <v/>
      </c>
      <c r="H1213" s="5" t="str">
        <f aca="false">IF(G1213&lt;&gt;"",G1213,E1213)</f>
        <v>22, 22, MISDREAVUS</v>
      </c>
    </row>
    <row r="1214" customFormat="false" ht="12.75" hidden="false" customHeight="true" outlineLevel="0" collapsed="false">
      <c r="A1214" s="4" t="s">
        <v>2536</v>
      </c>
      <c r="B1214" s="5" t="s">
        <v>2536</v>
      </c>
      <c r="C1214" s="1" t="n">
        <f aca="false">IF(B1214="NEW ROUTE",1,"")</f>
        <v>1</v>
      </c>
      <c r="E1214" s="5" t="s">
        <v>2536</v>
      </c>
      <c r="F1214" s="6" t="e">
        <f aca="false">VLOOKUP(E1214,$K$2:$L$426,2,FALSE())</f>
        <v>#N/A</v>
      </c>
      <c r="G1214" s="1" t="str">
        <f aca="false">IF(ISNA(F1214),"",F1214)</f>
        <v/>
      </c>
      <c r="H1214" s="5" t="str">
        <f aca="false">IF(G1214&lt;&gt;"",G1214,E1214)</f>
        <v>NEW ROUTE</v>
      </c>
    </row>
    <row r="1215" customFormat="false" ht="12.75" hidden="false" customHeight="true" outlineLevel="0" collapsed="false">
      <c r="A1215" s="4" t="s">
        <v>288</v>
      </c>
      <c r="B1215" s="5" t="s">
        <v>288</v>
      </c>
      <c r="C1215" s="1" t="str">
        <f aca="false">IF(B1215="NEW ROUTE",1,"")</f>
        <v/>
      </c>
      <c r="E1215" s="5" t="s">
        <v>288</v>
      </c>
      <c r="F1215" s="6" t="str">
        <f aca="false">VLOOKUP(E1215,$K$2:$L$426,2,FALSE())</f>
        <v>Five Island Lost Cave Room 3</v>
      </c>
      <c r="G1215" s="1" t="str">
        <f aca="false">IF(ISNA(F1215),"",F1215)</f>
        <v>Five Island Lost Cave Room 3</v>
      </c>
      <c r="H1215" s="5" t="str">
        <f aca="false">IF(G1215&lt;&gt;"",G1215,E1215)</f>
        <v>Five Island Lost Cave Room 3</v>
      </c>
    </row>
    <row r="1216" customFormat="false" ht="12.75" hidden="false" customHeight="true" outlineLevel="0" collapsed="false">
      <c r="A1216" s="4" t="s">
        <v>2799</v>
      </c>
      <c r="B1216" s="5" t="n">
        <v>0.2</v>
      </c>
      <c r="C1216" s="1" t="str">
        <f aca="false">IF(B1216="NEW ROUTE",1,"")</f>
        <v/>
      </c>
      <c r="E1216" s="5" t="n">
        <v>0.2</v>
      </c>
      <c r="F1216" s="6" t="e">
        <f aca="false">VLOOKUP(E1216,$K$2:$L$426,2,FALSE())</f>
        <v>#N/A</v>
      </c>
      <c r="G1216" s="1" t="str">
        <f aca="false">IF(ISNA(F1216),"",F1216)</f>
        <v/>
      </c>
      <c r="H1216" s="5" t="n">
        <f aca="false">IF(G1216&lt;&gt;"",G1216,E1216)</f>
        <v>0.2</v>
      </c>
    </row>
    <row r="1217" customFormat="false" ht="12.75" hidden="false" customHeight="true" outlineLevel="0" collapsed="false">
      <c r="A1217" s="4" t="s">
        <v>1638</v>
      </c>
      <c r="B1217" s="5" t="s">
        <v>1638</v>
      </c>
      <c r="C1217" s="1" t="str">
        <f aca="false">IF(B1217="NEW ROUTE",1,"")</f>
        <v/>
      </c>
      <c r="E1217" s="5" t="s">
        <v>1638</v>
      </c>
      <c r="F1217" s="6" t="e">
        <f aca="false">VLOOKUP(E1217,$K$2:$L$426,2,FALSE())</f>
        <v>#N/A</v>
      </c>
      <c r="G1217" s="1" t="str">
        <f aca="false">IF(ISNA(F1217),"",F1217)</f>
        <v/>
      </c>
      <c r="H1217" s="5" t="str">
        <f aca="false">IF(G1217&lt;&gt;"",G1217,E1217)</f>
        <v>40, 40, GASTLY</v>
      </c>
    </row>
    <row r="1218" customFormat="false" ht="12.75" hidden="false" customHeight="true" outlineLevel="0" collapsed="false">
      <c r="A1218" s="4" t="s">
        <v>3192</v>
      </c>
      <c r="B1218" s="5" t="s">
        <v>3192</v>
      </c>
      <c r="C1218" s="1" t="str">
        <f aca="false">IF(B1218="NEW ROUTE",1,"")</f>
        <v/>
      </c>
      <c r="E1218" s="5" t="s">
        <v>3192</v>
      </c>
      <c r="F1218" s="6" t="e">
        <f aca="false">VLOOKUP(E1218,$K$2:$L$426,2,FALSE())</f>
        <v>#N/A</v>
      </c>
      <c r="G1218" s="1" t="str">
        <f aca="false">IF(ISNA(F1218),"",F1218)</f>
        <v/>
      </c>
      <c r="H1218" s="5" t="str">
        <f aca="false">IF(G1218&lt;&gt;"",G1218,E1218)</f>
        <v>37, 37, ZUBAT</v>
      </c>
    </row>
    <row r="1219" customFormat="false" ht="12.75" hidden="false" customHeight="true" outlineLevel="0" collapsed="false">
      <c r="A1219" s="4" t="s">
        <v>2801</v>
      </c>
      <c r="B1219" s="5" t="n">
        <v>0.1</v>
      </c>
      <c r="C1219" s="1" t="str">
        <f aca="false">IF(B1219="NEW ROUTE",1,"")</f>
        <v/>
      </c>
      <c r="E1219" s="5" t="n">
        <v>0.1</v>
      </c>
      <c r="F1219" s="6" t="e">
        <f aca="false">VLOOKUP(E1219,$K$2:$L$426,2,FALSE())</f>
        <v>#N/A</v>
      </c>
      <c r="G1219" s="1" t="str">
        <f aca="false">IF(ISNA(F1219),"",F1219)</f>
        <v/>
      </c>
      <c r="H1219" s="5" t="n">
        <f aca="false">IF(G1219&lt;&gt;"",G1219,E1219)</f>
        <v>0.1</v>
      </c>
    </row>
    <row r="1220" customFormat="false" ht="12.75" hidden="false" customHeight="true" outlineLevel="0" collapsed="false">
      <c r="A1220" s="4" t="s">
        <v>3193</v>
      </c>
      <c r="B1220" s="5" t="s">
        <v>3193</v>
      </c>
      <c r="C1220" s="1" t="str">
        <f aca="false">IF(B1220="NEW ROUTE",1,"")</f>
        <v/>
      </c>
      <c r="E1220" s="5" t="s">
        <v>3193</v>
      </c>
      <c r="F1220" s="6" t="e">
        <f aca="false">VLOOKUP(E1220,$K$2:$L$426,2,FALSE())</f>
        <v>#N/A</v>
      </c>
      <c r="G1220" s="1" t="str">
        <f aca="false">IF(ISNA(F1220),"",F1220)</f>
        <v/>
      </c>
      <c r="H1220" s="5" t="str">
        <f aca="false">IF(G1220&lt;&gt;"",G1220,E1220)</f>
        <v>44, 44, HAUNTER</v>
      </c>
    </row>
    <row r="1221" customFormat="false" ht="12.75" hidden="false" customHeight="true" outlineLevel="0" collapsed="false">
      <c r="A1221" s="4" t="s">
        <v>3194</v>
      </c>
      <c r="B1221" s="5" t="s">
        <v>3194</v>
      </c>
      <c r="C1221" s="1" t="str">
        <f aca="false">IF(B1221="NEW ROUTE",1,"")</f>
        <v/>
      </c>
      <c r="E1221" s="5" t="s">
        <v>3194</v>
      </c>
      <c r="F1221" s="6" t="e">
        <f aca="false">VLOOKUP(E1221,$K$2:$L$426,2,FALSE())</f>
        <v>#N/A</v>
      </c>
      <c r="G1221" s="1" t="str">
        <f aca="false">IF(ISNA(F1221),"",F1221)</f>
        <v/>
      </c>
      <c r="H1221" s="5" t="str">
        <f aca="false">IF(G1221&lt;&gt;"",G1221,E1221)</f>
        <v>46, 46, HAUNTER</v>
      </c>
    </row>
    <row r="1222" customFormat="false" ht="12.75" hidden="false" customHeight="true" outlineLevel="0" collapsed="false">
      <c r="A1222" s="4" t="s">
        <v>3195</v>
      </c>
      <c r="B1222" s="5" t="s">
        <v>3195</v>
      </c>
      <c r="C1222" s="1" t="str">
        <f aca="false">IF(B1222="NEW ROUTE",1,"")</f>
        <v/>
      </c>
      <c r="E1222" s="5" t="s">
        <v>3195</v>
      </c>
      <c r="F1222" s="6" t="e">
        <f aca="false">VLOOKUP(E1222,$K$2:$L$426,2,FALSE())</f>
        <v>#N/A</v>
      </c>
      <c r="G1222" s="1" t="str">
        <f aca="false">IF(ISNA(F1222),"",F1222)</f>
        <v/>
      </c>
      <c r="H1222" s="5" t="str">
        <f aca="false">IF(G1222&lt;&gt;"",G1222,E1222)</f>
        <v>41, 41, GOLBAT</v>
      </c>
    </row>
    <row r="1223" customFormat="false" ht="12.75" hidden="false" customHeight="true" outlineLevel="0" collapsed="false">
      <c r="A1223" s="4" t="s">
        <v>3196</v>
      </c>
      <c r="B1223" s="5" t="s">
        <v>3196</v>
      </c>
      <c r="C1223" s="1" t="str">
        <f aca="false">IF(B1223="NEW ROUTE",1,"")</f>
        <v/>
      </c>
      <c r="E1223" s="5" t="s">
        <v>3196</v>
      </c>
      <c r="F1223" s="6" t="e">
        <f aca="false">VLOOKUP(E1223,$K$2:$L$426,2,FALSE())</f>
        <v>#N/A</v>
      </c>
      <c r="G1223" s="1" t="str">
        <f aca="false">IF(ISNA(F1223),"",F1223)</f>
        <v/>
      </c>
      <c r="H1223" s="5" t="str">
        <f aca="false">IF(G1223&lt;&gt;"",G1223,E1223)</f>
        <v>43, 43, GOLBAT</v>
      </c>
    </row>
    <row r="1224" customFormat="false" ht="12.75" hidden="false" customHeight="true" outlineLevel="0" collapsed="false">
      <c r="A1224" s="4" t="s">
        <v>2806</v>
      </c>
      <c r="B1224" s="5" t="n">
        <v>0.05</v>
      </c>
      <c r="C1224" s="1" t="str">
        <f aca="false">IF(B1224="NEW ROUTE",1,"")</f>
        <v/>
      </c>
      <c r="E1224" s="5" t="n">
        <v>0.05</v>
      </c>
      <c r="F1224" s="6" t="e">
        <f aca="false">VLOOKUP(E1224,$K$2:$L$426,2,FALSE())</f>
        <v>#N/A</v>
      </c>
      <c r="G1224" s="1" t="str">
        <f aca="false">IF(ISNA(F1224),"",F1224)</f>
        <v/>
      </c>
      <c r="H1224" s="5" t="n">
        <f aca="false">IF(G1224&lt;&gt;"",G1224,E1224)</f>
        <v>0.05</v>
      </c>
    </row>
    <row r="1225" customFormat="false" ht="12.75" hidden="false" customHeight="true" outlineLevel="0" collapsed="false">
      <c r="A1225" s="4" t="s">
        <v>3197</v>
      </c>
      <c r="B1225" s="5" t="s">
        <v>3197</v>
      </c>
      <c r="C1225" s="1" t="str">
        <f aca="false">IF(B1225="NEW ROUTE",1,"")</f>
        <v/>
      </c>
      <c r="E1225" s="5" t="s">
        <v>3197</v>
      </c>
      <c r="F1225" s="6" t="e">
        <f aca="false">VLOOKUP(E1225,$K$2:$L$426,2,FALSE())</f>
        <v>#N/A</v>
      </c>
      <c r="G1225" s="1" t="str">
        <f aca="false">IF(ISNA(F1225),"",F1225)</f>
        <v/>
      </c>
      <c r="H1225" s="5" t="str">
        <f aca="false">IF(G1225&lt;&gt;"",G1225,E1225)</f>
        <v>38, 38, GASTLY</v>
      </c>
    </row>
    <row r="1226" customFormat="false" ht="12.75" hidden="false" customHeight="true" outlineLevel="0" collapsed="false">
      <c r="A1226" s="4" t="s">
        <v>3198</v>
      </c>
      <c r="B1226" s="5" t="s">
        <v>3198</v>
      </c>
      <c r="C1226" s="1" t="str">
        <f aca="false">IF(B1226="NEW ROUTE",1,"")</f>
        <v/>
      </c>
      <c r="E1226" s="5" t="s">
        <v>3198</v>
      </c>
      <c r="F1226" s="6" t="e">
        <f aca="false">VLOOKUP(E1226,$K$2:$L$426,2,FALSE())</f>
        <v>#N/A</v>
      </c>
      <c r="G1226" s="1" t="str">
        <f aca="false">IF(ISNA(F1226),"",F1226)</f>
        <v/>
      </c>
      <c r="H1226" s="5" t="str">
        <f aca="false">IF(G1226&lt;&gt;"",G1226,E1226)</f>
        <v>48, 48, HAUNTER</v>
      </c>
    </row>
    <row r="1227" customFormat="false" ht="12.75" hidden="false" customHeight="true" outlineLevel="0" collapsed="false">
      <c r="A1227" s="4" t="s">
        <v>2809</v>
      </c>
      <c r="B1227" s="5" t="n">
        <v>0.04</v>
      </c>
      <c r="C1227" s="1" t="str">
        <f aca="false">IF(B1227="NEW ROUTE",1,"")</f>
        <v/>
      </c>
      <c r="E1227" s="5" t="n">
        <v>0.04</v>
      </c>
      <c r="F1227" s="6" t="e">
        <f aca="false">VLOOKUP(E1227,$K$2:$L$426,2,FALSE())</f>
        <v>#N/A</v>
      </c>
      <c r="G1227" s="1" t="str">
        <f aca="false">IF(ISNA(F1227),"",F1227)</f>
        <v/>
      </c>
      <c r="H1227" s="5" t="n">
        <f aca="false">IF(G1227&lt;&gt;"",G1227,E1227)</f>
        <v>0.04</v>
      </c>
    </row>
    <row r="1228" customFormat="false" ht="12.75" hidden="false" customHeight="true" outlineLevel="0" collapsed="false">
      <c r="A1228" s="4" t="s">
        <v>3199</v>
      </c>
      <c r="B1228" s="5" t="s">
        <v>3199</v>
      </c>
      <c r="C1228" s="1" t="str">
        <f aca="false">IF(B1228="NEW ROUTE",1,"")</f>
        <v/>
      </c>
      <c r="E1228" s="5" t="s">
        <v>3199</v>
      </c>
      <c r="F1228" s="6" t="e">
        <f aca="false">VLOOKUP(E1228,$K$2:$L$426,2,FALSE())</f>
        <v>#N/A</v>
      </c>
      <c r="G1228" s="1" t="str">
        <f aca="false">IF(ISNA(F1228),"",F1228)</f>
        <v/>
      </c>
      <c r="H1228" s="5" t="str">
        <f aca="false">IF(G1228&lt;&gt;"",G1228,E1228)</f>
        <v>50, 50, HAUNTER</v>
      </c>
    </row>
    <row r="1229" customFormat="false" ht="12.75" hidden="false" customHeight="true" outlineLevel="0" collapsed="false">
      <c r="A1229" s="4" t="s">
        <v>3200</v>
      </c>
      <c r="B1229" s="5" t="s">
        <v>3200</v>
      </c>
      <c r="C1229" s="1" t="str">
        <f aca="false">IF(B1229="NEW ROUTE",1,"")</f>
        <v/>
      </c>
      <c r="E1229" s="5" t="s">
        <v>3200</v>
      </c>
      <c r="F1229" s="6" t="e">
        <f aca="false">VLOOKUP(E1229,$K$2:$L$426,2,FALSE())</f>
        <v>#N/A</v>
      </c>
      <c r="G1229" s="1" t="str">
        <f aca="false">IF(ISNA(F1229),"",F1229)</f>
        <v/>
      </c>
      <c r="H1229" s="5" t="str">
        <f aca="false">IF(G1229&lt;&gt;"",G1229,E1229)</f>
        <v>22, 22, MISDREAVUS</v>
      </c>
    </row>
    <row r="1230" customFormat="false" ht="12.75" hidden="false" customHeight="true" outlineLevel="0" collapsed="false">
      <c r="A1230" s="4" t="s">
        <v>2812</v>
      </c>
      <c r="B1230" s="5" t="n">
        <v>0.01</v>
      </c>
      <c r="C1230" s="1" t="str">
        <f aca="false">IF(B1230="NEW ROUTE",1,"")</f>
        <v/>
      </c>
      <c r="E1230" s="5" t="n">
        <v>0.01</v>
      </c>
      <c r="F1230" s="6" t="e">
        <f aca="false">VLOOKUP(E1230,$K$2:$L$426,2,FALSE())</f>
        <v>#N/A</v>
      </c>
      <c r="G1230" s="1" t="str">
        <f aca="false">IF(ISNA(F1230),"",F1230)</f>
        <v/>
      </c>
      <c r="H1230" s="5" t="n">
        <f aca="false">IF(G1230&lt;&gt;"",G1230,E1230)</f>
        <v>0.01</v>
      </c>
    </row>
    <row r="1231" customFormat="false" ht="12.75" hidden="false" customHeight="true" outlineLevel="0" collapsed="false">
      <c r="A1231" s="4" t="s">
        <v>3201</v>
      </c>
      <c r="B1231" s="5" t="s">
        <v>3201</v>
      </c>
      <c r="C1231" s="1" t="str">
        <f aca="false">IF(B1231="NEW ROUTE",1,"")</f>
        <v/>
      </c>
      <c r="E1231" s="5" t="s">
        <v>3201</v>
      </c>
      <c r="F1231" s="6" t="e">
        <f aca="false">VLOOKUP(E1231,$K$2:$L$426,2,FALSE())</f>
        <v>#N/A</v>
      </c>
      <c r="G1231" s="1" t="str">
        <f aca="false">IF(ISNA(F1231),"",F1231)</f>
        <v/>
      </c>
      <c r="H1231" s="5" t="str">
        <f aca="false">IF(G1231&lt;&gt;"",G1231,E1231)</f>
        <v>52, 52, HAUNTER</v>
      </c>
    </row>
    <row r="1232" customFormat="false" ht="12.75" hidden="false" customHeight="true" outlineLevel="0" collapsed="false">
      <c r="A1232" s="4" t="s">
        <v>3200</v>
      </c>
      <c r="B1232" s="5" t="s">
        <v>3200</v>
      </c>
      <c r="C1232" s="1" t="str">
        <f aca="false">IF(B1232="NEW ROUTE",1,"")</f>
        <v/>
      </c>
      <c r="E1232" s="5" t="s">
        <v>3200</v>
      </c>
      <c r="F1232" s="6" t="e">
        <f aca="false">VLOOKUP(E1232,$K$2:$L$426,2,FALSE())</f>
        <v>#N/A</v>
      </c>
      <c r="G1232" s="1" t="str">
        <f aca="false">IF(ISNA(F1232),"",F1232)</f>
        <v/>
      </c>
      <c r="H1232" s="5" t="str">
        <f aca="false">IF(G1232&lt;&gt;"",G1232,E1232)</f>
        <v>22, 22, MISDREAVUS</v>
      </c>
    </row>
    <row r="1233" customFormat="false" ht="12.75" hidden="false" customHeight="true" outlineLevel="0" collapsed="false">
      <c r="A1233" s="4" t="s">
        <v>2536</v>
      </c>
      <c r="B1233" s="5" t="s">
        <v>2536</v>
      </c>
      <c r="C1233" s="1" t="n">
        <f aca="false">IF(B1233="NEW ROUTE",1,"")</f>
        <v>1</v>
      </c>
      <c r="E1233" s="5" t="s">
        <v>2536</v>
      </c>
      <c r="F1233" s="6" t="e">
        <f aca="false">VLOOKUP(E1233,$K$2:$L$426,2,FALSE())</f>
        <v>#N/A</v>
      </c>
      <c r="G1233" s="1" t="str">
        <f aca="false">IF(ISNA(F1233),"",F1233)</f>
        <v/>
      </c>
      <c r="H1233" s="5" t="str">
        <f aca="false">IF(G1233&lt;&gt;"",G1233,E1233)</f>
        <v>NEW ROUTE</v>
      </c>
    </row>
    <row r="1234" customFormat="false" ht="12.75" hidden="false" customHeight="true" outlineLevel="0" collapsed="false">
      <c r="A1234" s="4" t="s">
        <v>290</v>
      </c>
      <c r="B1234" s="5" t="s">
        <v>290</v>
      </c>
      <c r="C1234" s="1" t="str">
        <f aca="false">IF(B1234="NEW ROUTE",1,"")</f>
        <v/>
      </c>
      <c r="E1234" s="5" t="s">
        <v>290</v>
      </c>
      <c r="F1234" s="6" t="str">
        <f aca="false">VLOOKUP(E1234,$K$2:$L$426,2,FALSE())</f>
        <v>Five Island Lost Cave Room 4</v>
      </c>
      <c r="G1234" s="1" t="str">
        <f aca="false">IF(ISNA(F1234),"",F1234)</f>
        <v>Five Island Lost Cave Room 4</v>
      </c>
      <c r="H1234" s="5" t="str">
        <f aca="false">IF(G1234&lt;&gt;"",G1234,E1234)</f>
        <v>Five Island Lost Cave Room 4</v>
      </c>
    </row>
    <row r="1235" customFormat="false" ht="12.75" hidden="false" customHeight="true" outlineLevel="0" collapsed="false">
      <c r="A1235" s="4" t="s">
        <v>2799</v>
      </c>
      <c r="B1235" s="5" t="n">
        <v>0.2</v>
      </c>
      <c r="C1235" s="1" t="str">
        <f aca="false">IF(B1235="NEW ROUTE",1,"")</f>
        <v/>
      </c>
      <c r="E1235" s="5" t="n">
        <v>0.2</v>
      </c>
      <c r="F1235" s="6" t="e">
        <f aca="false">VLOOKUP(E1235,$K$2:$L$426,2,FALSE())</f>
        <v>#N/A</v>
      </c>
      <c r="G1235" s="1" t="str">
        <f aca="false">IF(ISNA(F1235),"",F1235)</f>
        <v/>
      </c>
      <c r="H1235" s="5" t="n">
        <f aca="false">IF(G1235&lt;&gt;"",G1235,E1235)</f>
        <v>0.2</v>
      </c>
    </row>
    <row r="1236" customFormat="false" ht="12.75" hidden="false" customHeight="true" outlineLevel="0" collapsed="false">
      <c r="A1236" s="4" t="s">
        <v>1638</v>
      </c>
      <c r="B1236" s="5" t="s">
        <v>1638</v>
      </c>
      <c r="C1236" s="1" t="str">
        <f aca="false">IF(B1236="NEW ROUTE",1,"")</f>
        <v/>
      </c>
      <c r="E1236" s="5" t="s">
        <v>1638</v>
      </c>
      <c r="F1236" s="6" t="e">
        <f aca="false">VLOOKUP(E1236,$K$2:$L$426,2,FALSE())</f>
        <v>#N/A</v>
      </c>
      <c r="G1236" s="1" t="str">
        <f aca="false">IF(ISNA(F1236),"",F1236)</f>
        <v/>
      </c>
      <c r="H1236" s="5" t="str">
        <f aca="false">IF(G1236&lt;&gt;"",G1236,E1236)</f>
        <v>40, 40, GASTLY</v>
      </c>
    </row>
    <row r="1237" customFormat="false" ht="12.75" hidden="false" customHeight="true" outlineLevel="0" collapsed="false">
      <c r="A1237" s="4" t="s">
        <v>3192</v>
      </c>
      <c r="B1237" s="5" t="s">
        <v>3192</v>
      </c>
      <c r="C1237" s="1" t="str">
        <f aca="false">IF(B1237="NEW ROUTE",1,"")</f>
        <v/>
      </c>
      <c r="E1237" s="5" t="s">
        <v>3192</v>
      </c>
      <c r="F1237" s="6" t="e">
        <f aca="false">VLOOKUP(E1237,$K$2:$L$426,2,FALSE())</f>
        <v>#N/A</v>
      </c>
      <c r="G1237" s="1" t="str">
        <f aca="false">IF(ISNA(F1237),"",F1237)</f>
        <v/>
      </c>
      <c r="H1237" s="5" t="str">
        <f aca="false">IF(G1237&lt;&gt;"",G1237,E1237)</f>
        <v>37, 37, ZUBAT</v>
      </c>
    </row>
    <row r="1238" customFormat="false" ht="12.75" hidden="false" customHeight="true" outlineLevel="0" collapsed="false">
      <c r="A1238" s="4" t="s">
        <v>2801</v>
      </c>
      <c r="B1238" s="5" t="n">
        <v>0.1</v>
      </c>
      <c r="C1238" s="1" t="str">
        <f aca="false">IF(B1238="NEW ROUTE",1,"")</f>
        <v/>
      </c>
      <c r="E1238" s="5" t="n">
        <v>0.1</v>
      </c>
      <c r="F1238" s="6" t="e">
        <f aca="false">VLOOKUP(E1238,$K$2:$L$426,2,FALSE())</f>
        <v>#N/A</v>
      </c>
      <c r="G1238" s="1" t="str">
        <f aca="false">IF(ISNA(F1238),"",F1238)</f>
        <v/>
      </c>
      <c r="H1238" s="5" t="n">
        <f aca="false">IF(G1238&lt;&gt;"",G1238,E1238)</f>
        <v>0.1</v>
      </c>
    </row>
    <row r="1239" customFormat="false" ht="12.75" hidden="false" customHeight="true" outlineLevel="0" collapsed="false">
      <c r="A1239" s="4" t="s">
        <v>3193</v>
      </c>
      <c r="B1239" s="5" t="s">
        <v>3193</v>
      </c>
      <c r="C1239" s="1" t="str">
        <f aca="false">IF(B1239="NEW ROUTE",1,"")</f>
        <v/>
      </c>
      <c r="E1239" s="5" t="s">
        <v>3193</v>
      </c>
      <c r="F1239" s="6" t="e">
        <f aca="false">VLOOKUP(E1239,$K$2:$L$426,2,FALSE())</f>
        <v>#N/A</v>
      </c>
      <c r="G1239" s="1" t="str">
        <f aca="false">IF(ISNA(F1239),"",F1239)</f>
        <v/>
      </c>
      <c r="H1239" s="5" t="str">
        <f aca="false">IF(G1239&lt;&gt;"",G1239,E1239)</f>
        <v>44, 44, HAUNTER</v>
      </c>
    </row>
    <row r="1240" customFormat="false" ht="12.75" hidden="false" customHeight="true" outlineLevel="0" collapsed="false">
      <c r="A1240" s="4" t="s">
        <v>3194</v>
      </c>
      <c r="B1240" s="5" t="s">
        <v>3194</v>
      </c>
      <c r="C1240" s="1" t="str">
        <f aca="false">IF(B1240="NEW ROUTE",1,"")</f>
        <v/>
      </c>
      <c r="E1240" s="5" t="s">
        <v>3194</v>
      </c>
      <c r="F1240" s="6" t="e">
        <f aca="false">VLOOKUP(E1240,$K$2:$L$426,2,FALSE())</f>
        <v>#N/A</v>
      </c>
      <c r="G1240" s="1" t="str">
        <f aca="false">IF(ISNA(F1240),"",F1240)</f>
        <v/>
      </c>
      <c r="H1240" s="5" t="str">
        <f aca="false">IF(G1240&lt;&gt;"",G1240,E1240)</f>
        <v>46, 46, HAUNTER</v>
      </c>
    </row>
    <row r="1241" customFormat="false" ht="12.75" hidden="false" customHeight="true" outlineLevel="0" collapsed="false">
      <c r="A1241" s="4" t="s">
        <v>3195</v>
      </c>
      <c r="B1241" s="5" t="s">
        <v>3195</v>
      </c>
      <c r="C1241" s="1" t="str">
        <f aca="false">IF(B1241="NEW ROUTE",1,"")</f>
        <v/>
      </c>
      <c r="E1241" s="5" t="s">
        <v>3195</v>
      </c>
      <c r="F1241" s="6" t="e">
        <f aca="false">VLOOKUP(E1241,$K$2:$L$426,2,FALSE())</f>
        <v>#N/A</v>
      </c>
      <c r="G1241" s="1" t="str">
        <f aca="false">IF(ISNA(F1241),"",F1241)</f>
        <v/>
      </c>
      <c r="H1241" s="5" t="str">
        <f aca="false">IF(G1241&lt;&gt;"",G1241,E1241)</f>
        <v>41, 41, GOLBAT</v>
      </c>
    </row>
    <row r="1242" customFormat="false" ht="12.75" hidden="false" customHeight="true" outlineLevel="0" collapsed="false">
      <c r="A1242" s="4" t="s">
        <v>3196</v>
      </c>
      <c r="B1242" s="5" t="s">
        <v>3196</v>
      </c>
      <c r="C1242" s="1" t="str">
        <f aca="false">IF(B1242="NEW ROUTE",1,"")</f>
        <v/>
      </c>
      <c r="E1242" s="5" t="s">
        <v>3196</v>
      </c>
      <c r="F1242" s="6" t="e">
        <f aca="false">VLOOKUP(E1242,$K$2:$L$426,2,FALSE())</f>
        <v>#N/A</v>
      </c>
      <c r="G1242" s="1" t="str">
        <f aca="false">IF(ISNA(F1242),"",F1242)</f>
        <v/>
      </c>
      <c r="H1242" s="5" t="str">
        <f aca="false">IF(G1242&lt;&gt;"",G1242,E1242)</f>
        <v>43, 43, GOLBAT</v>
      </c>
    </row>
    <row r="1243" customFormat="false" ht="12.75" hidden="false" customHeight="true" outlineLevel="0" collapsed="false">
      <c r="A1243" s="4" t="s">
        <v>2806</v>
      </c>
      <c r="B1243" s="5" t="n">
        <v>0.05</v>
      </c>
      <c r="C1243" s="1" t="str">
        <f aca="false">IF(B1243="NEW ROUTE",1,"")</f>
        <v/>
      </c>
      <c r="E1243" s="5" t="n">
        <v>0.05</v>
      </c>
      <c r="F1243" s="6" t="e">
        <f aca="false">VLOOKUP(E1243,$K$2:$L$426,2,FALSE())</f>
        <v>#N/A</v>
      </c>
      <c r="G1243" s="1" t="str">
        <f aca="false">IF(ISNA(F1243),"",F1243)</f>
        <v/>
      </c>
      <c r="H1243" s="5" t="n">
        <f aca="false">IF(G1243&lt;&gt;"",G1243,E1243)</f>
        <v>0.05</v>
      </c>
    </row>
    <row r="1244" customFormat="false" ht="12.75" hidden="false" customHeight="true" outlineLevel="0" collapsed="false">
      <c r="A1244" s="4" t="s">
        <v>3197</v>
      </c>
      <c r="B1244" s="5" t="s">
        <v>3197</v>
      </c>
      <c r="C1244" s="1" t="str">
        <f aca="false">IF(B1244="NEW ROUTE",1,"")</f>
        <v/>
      </c>
      <c r="E1244" s="5" t="s">
        <v>3197</v>
      </c>
      <c r="F1244" s="6" t="e">
        <f aca="false">VLOOKUP(E1244,$K$2:$L$426,2,FALSE())</f>
        <v>#N/A</v>
      </c>
      <c r="G1244" s="1" t="str">
        <f aca="false">IF(ISNA(F1244),"",F1244)</f>
        <v/>
      </c>
      <c r="H1244" s="5" t="str">
        <f aca="false">IF(G1244&lt;&gt;"",G1244,E1244)</f>
        <v>38, 38, GASTLY</v>
      </c>
    </row>
    <row r="1245" customFormat="false" ht="12.75" hidden="false" customHeight="true" outlineLevel="0" collapsed="false">
      <c r="A1245" s="4" t="s">
        <v>3198</v>
      </c>
      <c r="B1245" s="5" t="s">
        <v>3198</v>
      </c>
      <c r="C1245" s="1" t="str">
        <f aca="false">IF(B1245="NEW ROUTE",1,"")</f>
        <v/>
      </c>
      <c r="E1245" s="5" t="s">
        <v>3198</v>
      </c>
      <c r="F1245" s="6" t="e">
        <f aca="false">VLOOKUP(E1245,$K$2:$L$426,2,FALSE())</f>
        <v>#N/A</v>
      </c>
      <c r="G1245" s="1" t="str">
        <f aca="false">IF(ISNA(F1245),"",F1245)</f>
        <v/>
      </c>
      <c r="H1245" s="5" t="str">
        <f aca="false">IF(G1245&lt;&gt;"",G1245,E1245)</f>
        <v>48, 48, HAUNTER</v>
      </c>
    </row>
    <row r="1246" customFormat="false" ht="12.75" hidden="false" customHeight="true" outlineLevel="0" collapsed="false">
      <c r="A1246" s="4" t="s">
        <v>2809</v>
      </c>
      <c r="B1246" s="5" t="n">
        <v>0.04</v>
      </c>
      <c r="C1246" s="1" t="str">
        <f aca="false">IF(B1246="NEW ROUTE",1,"")</f>
        <v/>
      </c>
      <c r="E1246" s="5" t="n">
        <v>0.04</v>
      </c>
      <c r="F1246" s="6" t="e">
        <f aca="false">VLOOKUP(E1246,$K$2:$L$426,2,FALSE())</f>
        <v>#N/A</v>
      </c>
      <c r="G1246" s="1" t="str">
        <f aca="false">IF(ISNA(F1246),"",F1246)</f>
        <v/>
      </c>
      <c r="H1246" s="5" t="n">
        <f aca="false">IF(G1246&lt;&gt;"",G1246,E1246)</f>
        <v>0.04</v>
      </c>
    </row>
    <row r="1247" customFormat="false" ht="12.75" hidden="false" customHeight="true" outlineLevel="0" collapsed="false">
      <c r="A1247" s="4" t="s">
        <v>3199</v>
      </c>
      <c r="B1247" s="5" t="s">
        <v>3199</v>
      </c>
      <c r="C1247" s="1" t="str">
        <f aca="false">IF(B1247="NEW ROUTE",1,"")</f>
        <v/>
      </c>
      <c r="E1247" s="5" t="s">
        <v>3199</v>
      </c>
      <c r="F1247" s="6" t="e">
        <f aca="false">VLOOKUP(E1247,$K$2:$L$426,2,FALSE())</f>
        <v>#N/A</v>
      </c>
      <c r="G1247" s="1" t="str">
        <f aca="false">IF(ISNA(F1247),"",F1247)</f>
        <v/>
      </c>
      <c r="H1247" s="5" t="str">
        <f aca="false">IF(G1247&lt;&gt;"",G1247,E1247)</f>
        <v>50, 50, HAUNTER</v>
      </c>
    </row>
    <row r="1248" customFormat="false" ht="12.75" hidden="false" customHeight="true" outlineLevel="0" collapsed="false">
      <c r="A1248" s="4" t="s">
        <v>3200</v>
      </c>
      <c r="B1248" s="5" t="s">
        <v>3200</v>
      </c>
      <c r="C1248" s="1" t="str">
        <f aca="false">IF(B1248="NEW ROUTE",1,"")</f>
        <v/>
      </c>
      <c r="E1248" s="5" t="s">
        <v>3200</v>
      </c>
      <c r="F1248" s="6" t="e">
        <f aca="false">VLOOKUP(E1248,$K$2:$L$426,2,FALSE())</f>
        <v>#N/A</v>
      </c>
      <c r="G1248" s="1" t="str">
        <f aca="false">IF(ISNA(F1248),"",F1248)</f>
        <v/>
      </c>
      <c r="H1248" s="5" t="str">
        <f aca="false">IF(G1248&lt;&gt;"",G1248,E1248)</f>
        <v>22, 22, MISDREAVUS</v>
      </c>
    </row>
    <row r="1249" customFormat="false" ht="12.75" hidden="false" customHeight="true" outlineLevel="0" collapsed="false">
      <c r="A1249" s="4" t="s">
        <v>2812</v>
      </c>
      <c r="B1249" s="5" t="n">
        <v>0.01</v>
      </c>
      <c r="C1249" s="1" t="str">
        <f aca="false">IF(B1249="NEW ROUTE",1,"")</f>
        <v/>
      </c>
      <c r="E1249" s="5" t="n">
        <v>0.01</v>
      </c>
      <c r="F1249" s="6" t="e">
        <f aca="false">VLOOKUP(E1249,$K$2:$L$426,2,FALSE())</f>
        <v>#N/A</v>
      </c>
      <c r="G1249" s="1" t="str">
        <f aca="false">IF(ISNA(F1249),"",F1249)</f>
        <v/>
      </c>
      <c r="H1249" s="5" t="n">
        <f aca="false">IF(G1249&lt;&gt;"",G1249,E1249)</f>
        <v>0.01</v>
      </c>
    </row>
    <row r="1250" customFormat="false" ht="12.75" hidden="false" customHeight="true" outlineLevel="0" collapsed="false">
      <c r="A1250" s="4" t="s">
        <v>3201</v>
      </c>
      <c r="B1250" s="5" t="s">
        <v>3201</v>
      </c>
      <c r="C1250" s="1" t="str">
        <f aca="false">IF(B1250="NEW ROUTE",1,"")</f>
        <v/>
      </c>
      <c r="E1250" s="5" t="s">
        <v>3201</v>
      </c>
      <c r="F1250" s="6" t="e">
        <f aca="false">VLOOKUP(E1250,$K$2:$L$426,2,FALSE())</f>
        <v>#N/A</v>
      </c>
      <c r="G1250" s="1" t="str">
        <f aca="false">IF(ISNA(F1250),"",F1250)</f>
        <v/>
      </c>
      <c r="H1250" s="5" t="str">
        <f aca="false">IF(G1250&lt;&gt;"",G1250,E1250)</f>
        <v>52, 52, HAUNTER</v>
      </c>
    </row>
    <row r="1251" customFormat="false" ht="12.75" hidden="false" customHeight="true" outlineLevel="0" collapsed="false">
      <c r="A1251" s="4" t="s">
        <v>3200</v>
      </c>
      <c r="B1251" s="5" t="s">
        <v>3200</v>
      </c>
      <c r="C1251" s="1" t="str">
        <f aca="false">IF(B1251="NEW ROUTE",1,"")</f>
        <v/>
      </c>
      <c r="E1251" s="5" t="s">
        <v>3200</v>
      </c>
      <c r="F1251" s="6" t="e">
        <f aca="false">VLOOKUP(E1251,$K$2:$L$426,2,FALSE())</f>
        <v>#N/A</v>
      </c>
      <c r="G1251" s="1" t="str">
        <f aca="false">IF(ISNA(F1251),"",F1251)</f>
        <v/>
      </c>
      <c r="H1251" s="5" t="str">
        <f aca="false">IF(G1251&lt;&gt;"",G1251,E1251)</f>
        <v>22, 22, MISDREAVUS</v>
      </c>
    </row>
    <row r="1252" customFormat="false" ht="12.75" hidden="false" customHeight="true" outlineLevel="0" collapsed="false">
      <c r="A1252" s="4" t="s">
        <v>2536</v>
      </c>
      <c r="B1252" s="5" t="s">
        <v>2536</v>
      </c>
      <c r="C1252" s="1" t="n">
        <f aca="false">IF(B1252="NEW ROUTE",1,"")</f>
        <v>1</v>
      </c>
      <c r="E1252" s="5" t="s">
        <v>2536</v>
      </c>
      <c r="F1252" s="6" t="e">
        <f aca="false">VLOOKUP(E1252,$K$2:$L$426,2,FALSE())</f>
        <v>#N/A</v>
      </c>
      <c r="G1252" s="1" t="str">
        <f aca="false">IF(ISNA(F1252),"",F1252)</f>
        <v/>
      </c>
      <c r="H1252" s="5" t="str">
        <f aca="false">IF(G1252&lt;&gt;"",G1252,E1252)</f>
        <v>NEW ROUTE</v>
      </c>
    </row>
    <row r="1253" customFormat="false" ht="12.75" hidden="false" customHeight="true" outlineLevel="0" collapsed="false">
      <c r="A1253" s="4" t="s">
        <v>292</v>
      </c>
      <c r="B1253" s="5" t="s">
        <v>292</v>
      </c>
      <c r="C1253" s="1" t="str">
        <f aca="false">IF(B1253="NEW ROUTE",1,"")</f>
        <v/>
      </c>
      <c r="E1253" s="5" t="s">
        <v>292</v>
      </c>
      <c r="F1253" s="6" t="str">
        <f aca="false">VLOOKUP(E1253,$K$2:$L$426,2,FALSE())</f>
        <v>Five Island Lost Cave Room 5</v>
      </c>
      <c r="G1253" s="1" t="str">
        <f aca="false">IF(ISNA(F1253),"",F1253)</f>
        <v>Five Island Lost Cave Room 5</v>
      </c>
      <c r="H1253" s="5" t="str">
        <f aca="false">IF(G1253&lt;&gt;"",G1253,E1253)</f>
        <v>Five Island Lost Cave Room 5</v>
      </c>
    </row>
    <row r="1254" customFormat="false" ht="12.75" hidden="false" customHeight="true" outlineLevel="0" collapsed="false">
      <c r="A1254" s="4" t="s">
        <v>2799</v>
      </c>
      <c r="B1254" s="5" t="n">
        <v>0.2</v>
      </c>
      <c r="C1254" s="1" t="str">
        <f aca="false">IF(B1254="NEW ROUTE",1,"")</f>
        <v/>
      </c>
      <c r="E1254" s="5" t="n">
        <v>0.2</v>
      </c>
      <c r="F1254" s="6" t="e">
        <f aca="false">VLOOKUP(E1254,$K$2:$L$426,2,FALSE())</f>
        <v>#N/A</v>
      </c>
      <c r="G1254" s="1" t="str">
        <f aca="false">IF(ISNA(F1254),"",F1254)</f>
        <v/>
      </c>
      <c r="H1254" s="5" t="n">
        <f aca="false">IF(G1254&lt;&gt;"",G1254,E1254)</f>
        <v>0.2</v>
      </c>
    </row>
    <row r="1255" customFormat="false" ht="12.75" hidden="false" customHeight="true" outlineLevel="0" collapsed="false">
      <c r="A1255" s="4" t="s">
        <v>1638</v>
      </c>
      <c r="B1255" s="5" t="s">
        <v>1638</v>
      </c>
      <c r="C1255" s="1" t="str">
        <f aca="false">IF(B1255="NEW ROUTE",1,"")</f>
        <v/>
      </c>
      <c r="E1255" s="5" t="s">
        <v>1638</v>
      </c>
      <c r="F1255" s="6" t="e">
        <f aca="false">VLOOKUP(E1255,$K$2:$L$426,2,FALSE())</f>
        <v>#N/A</v>
      </c>
      <c r="G1255" s="1" t="str">
        <f aca="false">IF(ISNA(F1255),"",F1255)</f>
        <v/>
      </c>
      <c r="H1255" s="5" t="str">
        <f aca="false">IF(G1255&lt;&gt;"",G1255,E1255)</f>
        <v>40, 40, GASTLY</v>
      </c>
    </row>
    <row r="1256" customFormat="false" ht="12.75" hidden="false" customHeight="true" outlineLevel="0" collapsed="false">
      <c r="A1256" s="4" t="s">
        <v>3192</v>
      </c>
      <c r="B1256" s="5" t="s">
        <v>3192</v>
      </c>
      <c r="C1256" s="1" t="str">
        <f aca="false">IF(B1256="NEW ROUTE",1,"")</f>
        <v/>
      </c>
      <c r="E1256" s="5" t="s">
        <v>3192</v>
      </c>
      <c r="F1256" s="6" t="e">
        <f aca="false">VLOOKUP(E1256,$K$2:$L$426,2,FALSE())</f>
        <v>#N/A</v>
      </c>
      <c r="G1256" s="1" t="str">
        <f aca="false">IF(ISNA(F1256),"",F1256)</f>
        <v/>
      </c>
      <c r="H1256" s="5" t="str">
        <f aca="false">IF(G1256&lt;&gt;"",G1256,E1256)</f>
        <v>37, 37, ZUBAT</v>
      </c>
    </row>
    <row r="1257" customFormat="false" ht="12.75" hidden="false" customHeight="true" outlineLevel="0" collapsed="false">
      <c r="A1257" s="4" t="s">
        <v>2801</v>
      </c>
      <c r="B1257" s="5" t="n">
        <v>0.1</v>
      </c>
      <c r="C1257" s="1" t="str">
        <f aca="false">IF(B1257="NEW ROUTE",1,"")</f>
        <v/>
      </c>
      <c r="E1257" s="5" t="n">
        <v>0.1</v>
      </c>
      <c r="F1257" s="6" t="e">
        <f aca="false">VLOOKUP(E1257,$K$2:$L$426,2,FALSE())</f>
        <v>#N/A</v>
      </c>
      <c r="G1257" s="1" t="str">
        <f aca="false">IF(ISNA(F1257),"",F1257)</f>
        <v/>
      </c>
      <c r="H1257" s="5" t="n">
        <f aca="false">IF(G1257&lt;&gt;"",G1257,E1257)</f>
        <v>0.1</v>
      </c>
    </row>
    <row r="1258" customFormat="false" ht="12.75" hidden="false" customHeight="true" outlineLevel="0" collapsed="false">
      <c r="A1258" s="4" t="s">
        <v>3193</v>
      </c>
      <c r="B1258" s="5" t="s">
        <v>3193</v>
      </c>
      <c r="C1258" s="1" t="str">
        <f aca="false">IF(B1258="NEW ROUTE",1,"")</f>
        <v/>
      </c>
      <c r="E1258" s="5" t="s">
        <v>3193</v>
      </c>
      <c r="F1258" s="6" t="e">
        <f aca="false">VLOOKUP(E1258,$K$2:$L$426,2,FALSE())</f>
        <v>#N/A</v>
      </c>
      <c r="G1258" s="1" t="str">
        <f aca="false">IF(ISNA(F1258),"",F1258)</f>
        <v/>
      </c>
      <c r="H1258" s="5" t="str">
        <f aca="false">IF(G1258&lt;&gt;"",G1258,E1258)</f>
        <v>44, 44, HAUNTER</v>
      </c>
    </row>
    <row r="1259" customFormat="false" ht="12.75" hidden="false" customHeight="true" outlineLevel="0" collapsed="false">
      <c r="A1259" s="4" t="s">
        <v>3194</v>
      </c>
      <c r="B1259" s="5" t="s">
        <v>3194</v>
      </c>
      <c r="C1259" s="1" t="str">
        <f aca="false">IF(B1259="NEW ROUTE",1,"")</f>
        <v/>
      </c>
      <c r="E1259" s="5" t="s">
        <v>3194</v>
      </c>
      <c r="F1259" s="6" t="e">
        <f aca="false">VLOOKUP(E1259,$K$2:$L$426,2,FALSE())</f>
        <v>#N/A</v>
      </c>
      <c r="G1259" s="1" t="str">
        <f aca="false">IF(ISNA(F1259),"",F1259)</f>
        <v/>
      </c>
      <c r="H1259" s="5" t="str">
        <f aca="false">IF(G1259&lt;&gt;"",G1259,E1259)</f>
        <v>46, 46, HAUNTER</v>
      </c>
    </row>
    <row r="1260" customFormat="false" ht="12.75" hidden="false" customHeight="true" outlineLevel="0" collapsed="false">
      <c r="A1260" s="4" t="s">
        <v>3195</v>
      </c>
      <c r="B1260" s="5" t="s">
        <v>3195</v>
      </c>
      <c r="C1260" s="1" t="str">
        <f aca="false">IF(B1260="NEW ROUTE",1,"")</f>
        <v/>
      </c>
      <c r="E1260" s="5" t="s">
        <v>3195</v>
      </c>
      <c r="F1260" s="6" t="e">
        <f aca="false">VLOOKUP(E1260,$K$2:$L$426,2,FALSE())</f>
        <v>#N/A</v>
      </c>
      <c r="G1260" s="1" t="str">
        <f aca="false">IF(ISNA(F1260),"",F1260)</f>
        <v/>
      </c>
      <c r="H1260" s="5" t="str">
        <f aca="false">IF(G1260&lt;&gt;"",G1260,E1260)</f>
        <v>41, 41, GOLBAT</v>
      </c>
    </row>
    <row r="1261" customFormat="false" ht="12.75" hidden="false" customHeight="true" outlineLevel="0" collapsed="false">
      <c r="A1261" s="4" t="s">
        <v>3196</v>
      </c>
      <c r="B1261" s="5" t="s">
        <v>3196</v>
      </c>
      <c r="C1261" s="1" t="str">
        <f aca="false">IF(B1261="NEW ROUTE",1,"")</f>
        <v/>
      </c>
      <c r="E1261" s="5" t="s">
        <v>3196</v>
      </c>
      <c r="F1261" s="6" t="e">
        <f aca="false">VLOOKUP(E1261,$K$2:$L$426,2,FALSE())</f>
        <v>#N/A</v>
      </c>
      <c r="G1261" s="1" t="str">
        <f aca="false">IF(ISNA(F1261),"",F1261)</f>
        <v/>
      </c>
      <c r="H1261" s="5" t="str">
        <f aca="false">IF(G1261&lt;&gt;"",G1261,E1261)</f>
        <v>43, 43, GOLBAT</v>
      </c>
    </row>
    <row r="1262" customFormat="false" ht="12.75" hidden="false" customHeight="true" outlineLevel="0" collapsed="false">
      <c r="A1262" s="4" t="s">
        <v>2806</v>
      </c>
      <c r="B1262" s="5" t="n">
        <v>0.05</v>
      </c>
      <c r="C1262" s="1" t="str">
        <f aca="false">IF(B1262="NEW ROUTE",1,"")</f>
        <v/>
      </c>
      <c r="E1262" s="5" t="n">
        <v>0.05</v>
      </c>
      <c r="F1262" s="6" t="e">
        <f aca="false">VLOOKUP(E1262,$K$2:$L$426,2,FALSE())</f>
        <v>#N/A</v>
      </c>
      <c r="G1262" s="1" t="str">
        <f aca="false">IF(ISNA(F1262),"",F1262)</f>
        <v/>
      </c>
      <c r="H1262" s="5" t="n">
        <f aca="false">IF(G1262&lt;&gt;"",G1262,E1262)</f>
        <v>0.05</v>
      </c>
    </row>
    <row r="1263" customFormat="false" ht="12.75" hidden="false" customHeight="true" outlineLevel="0" collapsed="false">
      <c r="A1263" s="4" t="s">
        <v>3197</v>
      </c>
      <c r="B1263" s="5" t="s">
        <v>3197</v>
      </c>
      <c r="C1263" s="1" t="str">
        <f aca="false">IF(B1263="NEW ROUTE",1,"")</f>
        <v/>
      </c>
      <c r="E1263" s="5" t="s">
        <v>3197</v>
      </c>
      <c r="F1263" s="6" t="e">
        <f aca="false">VLOOKUP(E1263,$K$2:$L$426,2,FALSE())</f>
        <v>#N/A</v>
      </c>
      <c r="G1263" s="1" t="str">
        <f aca="false">IF(ISNA(F1263),"",F1263)</f>
        <v/>
      </c>
      <c r="H1263" s="5" t="str">
        <f aca="false">IF(G1263&lt;&gt;"",G1263,E1263)</f>
        <v>38, 38, GASTLY</v>
      </c>
    </row>
    <row r="1264" customFormat="false" ht="12.75" hidden="false" customHeight="true" outlineLevel="0" collapsed="false">
      <c r="A1264" s="4" t="s">
        <v>3198</v>
      </c>
      <c r="B1264" s="5" t="s">
        <v>3198</v>
      </c>
      <c r="C1264" s="1" t="str">
        <f aca="false">IF(B1264="NEW ROUTE",1,"")</f>
        <v/>
      </c>
      <c r="E1264" s="5" t="s">
        <v>3198</v>
      </c>
      <c r="F1264" s="6" t="e">
        <f aca="false">VLOOKUP(E1264,$K$2:$L$426,2,FALSE())</f>
        <v>#N/A</v>
      </c>
      <c r="G1264" s="1" t="str">
        <f aca="false">IF(ISNA(F1264),"",F1264)</f>
        <v/>
      </c>
      <c r="H1264" s="5" t="str">
        <f aca="false">IF(G1264&lt;&gt;"",G1264,E1264)</f>
        <v>48, 48, HAUNTER</v>
      </c>
    </row>
    <row r="1265" customFormat="false" ht="12.75" hidden="false" customHeight="true" outlineLevel="0" collapsed="false">
      <c r="A1265" s="4" t="s">
        <v>2809</v>
      </c>
      <c r="B1265" s="5" t="n">
        <v>0.04</v>
      </c>
      <c r="C1265" s="1" t="str">
        <f aca="false">IF(B1265="NEW ROUTE",1,"")</f>
        <v/>
      </c>
      <c r="E1265" s="5" t="n">
        <v>0.04</v>
      </c>
      <c r="F1265" s="6" t="e">
        <f aca="false">VLOOKUP(E1265,$K$2:$L$426,2,FALSE())</f>
        <v>#N/A</v>
      </c>
      <c r="G1265" s="1" t="str">
        <f aca="false">IF(ISNA(F1265),"",F1265)</f>
        <v/>
      </c>
      <c r="H1265" s="5" t="n">
        <f aca="false">IF(G1265&lt;&gt;"",G1265,E1265)</f>
        <v>0.04</v>
      </c>
    </row>
    <row r="1266" customFormat="false" ht="12.75" hidden="false" customHeight="true" outlineLevel="0" collapsed="false">
      <c r="A1266" s="4" t="s">
        <v>3199</v>
      </c>
      <c r="B1266" s="5" t="s">
        <v>3199</v>
      </c>
      <c r="C1266" s="1" t="str">
        <f aca="false">IF(B1266="NEW ROUTE",1,"")</f>
        <v/>
      </c>
      <c r="E1266" s="5" t="s">
        <v>3199</v>
      </c>
      <c r="F1266" s="6" t="e">
        <f aca="false">VLOOKUP(E1266,$K$2:$L$426,2,FALSE())</f>
        <v>#N/A</v>
      </c>
      <c r="G1266" s="1" t="str">
        <f aca="false">IF(ISNA(F1266),"",F1266)</f>
        <v/>
      </c>
      <c r="H1266" s="5" t="str">
        <f aca="false">IF(G1266&lt;&gt;"",G1266,E1266)</f>
        <v>50, 50, HAUNTER</v>
      </c>
    </row>
    <row r="1267" customFormat="false" ht="12.75" hidden="false" customHeight="true" outlineLevel="0" collapsed="false">
      <c r="A1267" s="4" t="s">
        <v>3200</v>
      </c>
      <c r="B1267" s="5" t="s">
        <v>3200</v>
      </c>
      <c r="C1267" s="1" t="str">
        <f aca="false">IF(B1267="NEW ROUTE",1,"")</f>
        <v/>
      </c>
      <c r="E1267" s="5" t="s">
        <v>3200</v>
      </c>
      <c r="F1267" s="6" t="e">
        <f aca="false">VLOOKUP(E1267,$K$2:$L$426,2,FALSE())</f>
        <v>#N/A</v>
      </c>
      <c r="G1267" s="1" t="str">
        <f aca="false">IF(ISNA(F1267),"",F1267)</f>
        <v/>
      </c>
      <c r="H1267" s="5" t="str">
        <f aca="false">IF(G1267&lt;&gt;"",G1267,E1267)</f>
        <v>22, 22, MISDREAVUS</v>
      </c>
    </row>
    <row r="1268" customFormat="false" ht="12.75" hidden="false" customHeight="true" outlineLevel="0" collapsed="false">
      <c r="A1268" s="4" t="s">
        <v>2812</v>
      </c>
      <c r="B1268" s="5" t="n">
        <v>0.01</v>
      </c>
      <c r="C1268" s="1" t="str">
        <f aca="false">IF(B1268="NEW ROUTE",1,"")</f>
        <v/>
      </c>
      <c r="E1268" s="5" t="n">
        <v>0.01</v>
      </c>
      <c r="F1268" s="6" t="e">
        <f aca="false">VLOOKUP(E1268,$K$2:$L$426,2,FALSE())</f>
        <v>#N/A</v>
      </c>
      <c r="G1268" s="1" t="str">
        <f aca="false">IF(ISNA(F1268),"",F1268)</f>
        <v/>
      </c>
      <c r="H1268" s="5" t="n">
        <f aca="false">IF(G1268&lt;&gt;"",G1268,E1268)</f>
        <v>0.01</v>
      </c>
    </row>
    <row r="1269" customFormat="false" ht="12.75" hidden="false" customHeight="true" outlineLevel="0" collapsed="false">
      <c r="A1269" s="4" t="s">
        <v>3201</v>
      </c>
      <c r="B1269" s="5" t="s">
        <v>3201</v>
      </c>
      <c r="C1269" s="1" t="str">
        <f aca="false">IF(B1269="NEW ROUTE",1,"")</f>
        <v/>
      </c>
      <c r="E1269" s="5" t="s">
        <v>3201</v>
      </c>
      <c r="F1269" s="6" t="e">
        <f aca="false">VLOOKUP(E1269,$K$2:$L$426,2,FALSE())</f>
        <v>#N/A</v>
      </c>
      <c r="G1269" s="1" t="str">
        <f aca="false">IF(ISNA(F1269),"",F1269)</f>
        <v/>
      </c>
      <c r="H1269" s="5" t="str">
        <f aca="false">IF(G1269&lt;&gt;"",G1269,E1269)</f>
        <v>52, 52, HAUNTER</v>
      </c>
    </row>
    <row r="1270" customFormat="false" ht="12.75" hidden="false" customHeight="true" outlineLevel="0" collapsed="false">
      <c r="A1270" s="4" t="s">
        <v>3200</v>
      </c>
      <c r="B1270" s="5" t="s">
        <v>3200</v>
      </c>
      <c r="C1270" s="1" t="str">
        <f aca="false">IF(B1270="NEW ROUTE",1,"")</f>
        <v/>
      </c>
      <c r="E1270" s="5" t="s">
        <v>3200</v>
      </c>
      <c r="F1270" s="6" t="e">
        <f aca="false">VLOOKUP(E1270,$K$2:$L$426,2,FALSE())</f>
        <v>#N/A</v>
      </c>
      <c r="G1270" s="1" t="str">
        <f aca="false">IF(ISNA(F1270),"",F1270)</f>
        <v/>
      </c>
      <c r="H1270" s="5" t="str">
        <f aca="false">IF(G1270&lt;&gt;"",G1270,E1270)</f>
        <v>22, 22, MISDREAVUS</v>
      </c>
    </row>
    <row r="1271" customFormat="false" ht="12.75" hidden="false" customHeight="true" outlineLevel="0" collapsed="false">
      <c r="A1271" s="4" t="s">
        <v>2536</v>
      </c>
      <c r="B1271" s="5" t="s">
        <v>2536</v>
      </c>
      <c r="C1271" s="1" t="n">
        <f aca="false">IF(B1271="NEW ROUTE",1,"")</f>
        <v>1</v>
      </c>
      <c r="E1271" s="5" t="s">
        <v>2536</v>
      </c>
      <c r="F1271" s="6" t="e">
        <f aca="false">VLOOKUP(E1271,$K$2:$L$426,2,FALSE())</f>
        <v>#N/A</v>
      </c>
      <c r="G1271" s="1" t="str">
        <f aca="false">IF(ISNA(F1271),"",F1271)</f>
        <v/>
      </c>
      <c r="H1271" s="5" t="str">
        <f aca="false">IF(G1271&lt;&gt;"",G1271,E1271)</f>
        <v>NEW ROUTE</v>
      </c>
    </row>
    <row r="1272" customFormat="false" ht="12.75" hidden="false" customHeight="true" outlineLevel="0" collapsed="false">
      <c r="A1272" s="4" t="s">
        <v>294</v>
      </c>
      <c r="B1272" s="5" t="s">
        <v>294</v>
      </c>
      <c r="C1272" s="1" t="str">
        <f aca="false">IF(B1272="NEW ROUTE",1,"")</f>
        <v/>
      </c>
      <c r="E1272" s="5" t="s">
        <v>294</v>
      </c>
      <c r="F1272" s="6" t="str">
        <f aca="false">VLOOKUP(E1272,$K$2:$L$426,2,FALSE())</f>
        <v>Five Island Lost Cave Room 6</v>
      </c>
      <c r="G1272" s="1" t="str">
        <f aca="false">IF(ISNA(F1272),"",F1272)</f>
        <v>Five Island Lost Cave Room 6</v>
      </c>
      <c r="H1272" s="5" t="str">
        <f aca="false">IF(G1272&lt;&gt;"",G1272,E1272)</f>
        <v>Five Island Lost Cave Room 6</v>
      </c>
    </row>
    <row r="1273" customFormat="false" ht="12.75" hidden="false" customHeight="true" outlineLevel="0" collapsed="false">
      <c r="A1273" s="4" t="s">
        <v>2799</v>
      </c>
      <c r="B1273" s="5" t="n">
        <v>0.2</v>
      </c>
      <c r="C1273" s="1" t="str">
        <f aca="false">IF(B1273="NEW ROUTE",1,"")</f>
        <v/>
      </c>
      <c r="E1273" s="5" t="n">
        <v>0.2</v>
      </c>
      <c r="F1273" s="6" t="e">
        <f aca="false">VLOOKUP(E1273,$K$2:$L$426,2,FALSE())</f>
        <v>#N/A</v>
      </c>
      <c r="G1273" s="1" t="str">
        <f aca="false">IF(ISNA(F1273),"",F1273)</f>
        <v/>
      </c>
      <c r="H1273" s="5" t="n">
        <f aca="false">IF(G1273&lt;&gt;"",G1273,E1273)</f>
        <v>0.2</v>
      </c>
    </row>
    <row r="1274" customFormat="false" ht="12.75" hidden="false" customHeight="true" outlineLevel="0" collapsed="false">
      <c r="A1274" s="4" t="s">
        <v>1638</v>
      </c>
      <c r="B1274" s="5" t="s">
        <v>1638</v>
      </c>
      <c r="C1274" s="1" t="str">
        <f aca="false">IF(B1274="NEW ROUTE",1,"")</f>
        <v/>
      </c>
      <c r="E1274" s="5" t="s">
        <v>1638</v>
      </c>
      <c r="F1274" s="6" t="e">
        <f aca="false">VLOOKUP(E1274,$K$2:$L$426,2,FALSE())</f>
        <v>#N/A</v>
      </c>
      <c r="G1274" s="1" t="str">
        <f aca="false">IF(ISNA(F1274),"",F1274)</f>
        <v/>
      </c>
      <c r="H1274" s="5" t="str">
        <f aca="false">IF(G1274&lt;&gt;"",G1274,E1274)</f>
        <v>40, 40, GASTLY</v>
      </c>
    </row>
    <row r="1275" customFormat="false" ht="12.75" hidden="false" customHeight="true" outlineLevel="0" collapsed="false">
      <c r="A1275" s="4" t="s">
        <v>3192</v>
      </c>
      <c r="B1275" s="5" t="s">
        <v>3192</v>
      </c>
      <c r="C1275" s="1" t="str">
        <f aca="false">IF(B1275="NEW ROUTE",1,"")</f>
        <v/>
      </c>
      <c r="E1275" s="5" t="s">
        <v>3192</v>
      </c>
      <c r="F1275" s="6" t="e">
        <f aca="false">VLOOKUP(E1275,$K$2:$L$426,2,FALSE())</f>
        <v>#N/A</v>
      </c>
      <c r="G1275" s="1" t="str">
        <f aca="false">IF(ISNA(F1275),"",F1275)</f>
        <v/>
      </c>
      <c r="H1275" s="5" t="str">
        <f aca="false">IF(G1275&lt;&gt;"",G1275,E1275)</f>
        <v>37, 37, ZUBAT</v>
      </c>
    </row>
    <row r="1276" customFormat="false" ht="12.75" hidden="false" customHeight="true" outlineLevel="0" collapsed="false">
      <c r="A1276" s="4" t="s">
        <v>2801</v>
      </c>
      <c r="B1276" s="5" t="n">
        <v>0.1</v>
      </c>
      <c r="C1276" s="1" t="str">
        <f aca="false">IF(B1276="NEW ROUTE",1,"")</f>
        <v/>
      </c>
      <c r="E1276" s="5" t="n">
        <v>0.1</v>
      </c>
      <c r="F1276" s="6" t="e">
        <f aca="false">VLOOKUP(E1276,$K$2:$L$426,2,FALSE())</f>
        <v>#N/A</v>
      </c>
      <c r="G1276" s="1" t="str">
        <f aca="false">IF(ISNA(F1276),"",F1276)</f>
        <v/>
      </c>
      <c r="H1276" s="5" t="n">
        <f aca="false">IF(G1276&lt;&gt;"",G1276,E1276)</f>
        <v>0.1</v>
      </c>
    </row>
    <row r="1277" customFormat="false" ht="12.75" hidden="false" customHeight="true" outlineLevel="0" collapsed="false">
      <c r="A1277" s="4" t="s">
        <v>3193</v>
      </c>
      <c r="B1277" s="5" t="s">
        <v>3193</v>
      </c>
      <c r="C1277" s="1" t="str">
        <f aca="false">IF(B1277="NEW ROUTE",1,"")</f>
        <v/>
      </c>
      <c r="E1277" s="5" t="s">
        <v>3193</v>
      </c>
      <c r="F1277" s="6" t="e">
        <f aca="false">VLOOKUP(E1277,$K$2:$L$426,2,FALSE())</f>
        <v>#N/A</v>
      </c>
      <c r="G1277" s="1" t="str">
        <f aca="false">IF(ISNA(F1277),"",F1277)</f>
        <v/>
      </c>
      <c r="H1277" s="5" t="str">
        <f aca="false">IF(G1277&lt;&gt;"",G1277,E1277)</f>
        <v>44, 44, HAUNTER</v>
      </c>
    </row>
    <row r="1278" customFormat="false" ht="12.75" hidden="false" customHeight="true" outlineLevel="0" collapsed="false">
      <c r="A1278" s="4" t="s">
        <v>3194</v>
      </c>
      <c r="B1278" s="5" t="s">
        <v>3194</v>
      </c>
      <c r="C1278" s="1" t="str">
        <f aca="false">IF(B1278="NEW ROUTE",1,"")</f>
        <v/>
      </c>
      <c r="E1278" s="5" t="s">
        <v>3194</v>
      </c>
      <c r="F1278" s="6" t="e">
        <f aca="false">VLOOKUP(E1278,$K$2:$L$426,2,FALSE())</f>
        <v>#N/A</v>
      </c>
      <c r="G1278" s="1" t="str">
        <f aca="false">IF(ISNA(F1278),"",F1278)</f>
        <v/>
      </c>
      <c r="H1278" s="5" t="str">
        <f aca="false">IF(G1278&lt;&gt;"",G1278,E1278)</f>
        <v>46, 46, HAUNTER</v>
      </c>
    </row>
    <row r="1279" customFormat="false" ht="12.75" hidden="false" customHeight="true" outlineLevel="0" collapsed="false">
      <c r="A1279" s="4" t="s">
        <v>3195</v>
      </c>
      <c r="B1279" s="5" t="s">
        <v>3195</v>
      </c>
      <c r="C1279" s="1" t="str">
        <f aca="false">IF(B1279="NEW ROUTE",1,"")</f>
        <v/>
      </c>
      <c r="E1279" s="5" t="s">
        <v>3195</v>
      </c>
      <c r="F1279" s="6" t="e">
        <f aca="false">VLOOKUP(E1279,$K$2:$L$426,2,FALSE())</f>
        <v>#N/A</v>
      </c>
      <c r="G1279" s="1" t="str">
        <f aca="false">IF(ISNA(F1279),"",F1279)</f>
        <v/>
      </c>
      <c r="H1279" s="5" t="str">
        <f aca="false">IF(G1279&lt;&gt;"",G1279,E1279)</f>
        <v>41, 41, GOLBAT</v>
      </c>
    </row>
    <row r="1280" customFormat="false" ht="12.75" hidden="false" customHeight="true" outlineLevel="0" collapsed="false">
      <c r="A1280" s="4" t="s">
        <v>3196</v>
      </c>
      <c r="B1280" s="5" t="s">
        <v>3196</v>
      </c>
      <c r="C1280" s="1" t="str">
        <f aca="false">IF(B1280="NEW ROUTE",1,"")</f>
        <v/>
      </c>
      <c r="E1280" s="5" t="s">
        <v>3196</v>
      </c>
      <c r="F1280" s="6" t="e">
        <f aca="false">VLOOKUP(E1280,$K$2:$L$426,2,FALSE())</f>
        <v>#N/A</v>
      </c>
      <c r="G1280" s="1" t="str">
        <f aca="false">IF(ISNA(F1280),"",F1280)</f>
        <v/>
      </c>
      <c r="H1280" s="5" t="str">
        <f aca="false">IF(G1280&lt;&gt;"",G1280,E1280)</f>
        <v>43, 43, GOLBAT</v>
      </c>
    </row>
    <row r="1281" customFormat="false" ht="12.75" hidden="false" customHeight="true" outlineLevel="0" collapsed="false">
      <c r="A1281" s="4" t="s">
        <v>2806</v>
      </c>
      <c r="B1281" s="5" t="n">
        <v>0.05</v>
      </c>
      <c r="C1281" s="1" t="str">
        <f aca="false">IF(B1281="NEW ROUTE",1,"")</f>
        <v/>
      </c>
      <c r="E1281" s="5" t="n">
        <v>0.05</v>
      </c>
      <c r="F1281" s="6" t="e">
        <f aca="false">VLOOKUP(E1281,$K$2:$L$426,2,FALSE())</f>
        <v>#N/A</v>
      </c>
      <c r="G1281" s="1" t="str">
        <f aca="false">IF(ISNA(F1281),"",F1281)</f>
        <v/>
      </c>
      <c r="H1281" s="5" t="n">
        <f aca="false">IF(G1281&lt;&gt;"",G1281,E1281)</f>
        <v>0.05</v>
      </c>
    </row>
    <row r="1282" customFormat="false" ht="12.75" hidden="false" customHeight="true" outlineLevel="0" collapsed="false">
      <c r="A1282" s="4" t="s">
        <v>3197</v>
      </c>
      <c r="B1282" s="5" t="s">
        <v>3197</v>
      </c>
      <c r="C1282" s="1" t="str">
        <f aca="false">IF(B1282="NEW ROUTE",1,"")</f>
        <v/>
      </c>
      <c r="E1282" s="5" t="s">
        <v>3197</v>
      </c>
      <c r="F1282" s="6" t="e">
        <f aca="false">VLOOKUP(E1282,$K$2:$L$426,2,FALSE())</f>
        <v>#N/A</v>
      </c>
      <c r="G1282" s="1" t="str">
        <f aca="false">IF(ISNA(F1282),"",F1282)</f>
        <v/>
      </c>
      <c r="H1282" s="5" t="str">
        <f aca="false">IF(G1282&lt;&gt;"",G1282,E1282)</f>
        <v>38, 38, GASTLY</v>
      </c>
    </row>
    <row r="1283" customFormat="false" ht="12.75" hidden="false" customHeight="true" outlineLevel="0" collapsed="false">
      <c r="A1283" s="4" t="s">
        <v>3198</v>
      </c>
      <c r="B1283" s="5" t="s">
        <v>3198</v>
      </c>
      <c r="C1283" s="1" t="str">
        <f aca="false">IF(B1283="NEW ROUTE",1,"")</f>
        <v/>
      </c>
      <c r="E1283" s="5" t="s">
        <v>3198</v>
      </c>
      <c r="F1283" s="6" t="e">
        <f aca="false">VLOOKUP(E1283,$K$2:$L$426,2,FALSE())</f>
        <v>#N/A</v>
      </c>
      <c r="G1283" s="1" t="str">
        <f aca="false">IF(ISNA(F1283),"",F1283)</f>
        <v/>
      </c>
      <c r="H1283" s="5" t="str">
        <f aca="false">IF(G1283&lt;&gt;"",G1283,E1283)</f>
        <v>48, 48, HAUNTER</v>
      </c>
    </row>
    <row r="1284" customFormat="false" ht="12.75" hidden="false" customHeight="true" outlineLevel="0" collapsed="false">
      <c r="A1284" s="4" t="s">
        <v>2809</v>
      </c>
      <c r="B1284" s="5" t="n">
        <v>0.04</v>
      </c>
      <c r="C1284" s="1" t="str">
        <f aca="false">IF(B1284="NEW ROUTE",1,"")</f>
        <v/>
      </c>
      <c r="E1284" s="5" t="n">
        <v>0.04</v>
      </c>
      <c r="F1284" s="6" t="e">
        <f aca="false">VLOOKUP(E1284,$K$2:$L$426,2,FALSE())</f>
        <v>#N/A</v>
      </c>
      <c r="G1284" s="1" t="str">
        <f aca="false">IF(ISNA(F1284),"",F1284)</f>
        <v/>
      </c>
      <c r="H1284" s="5" t="n">
        <f aca="false">IF(G1284&lt;&gt;"",G1284,E1284)</f>
        <v>0.04</v>
      </c>
    </row>
    <row r="1285" customFormat="false" ht="12.75" hidden="false" customHeight="true" outlineLevel="0" collapsed="false">
      <c r="A1285" s="4" t="s">
        <v>3199</v>
      </c>
      <c r="B1285" s="5" t="s">
        <v>3199</v>
      </c>
      <c r="C1285" s="1" t="str">
        <f aca="false">IF(B1285="NEW ROUTE",1,"")</f>
        <v/>
      </c>
      <c r="E1285" s="5" t="s">
        <v>3199</v>
      </c>
      <c r="F1285" s="6" t="e">
        <f aca="false">VLOOKUP(E1285,$K$2:$L$426,2,FALSE())</f>
        <v>#N/A</v>
      </c>
      <c r="G1285" s="1" t="str">
        <f aca="false">IF(ISNA(F1285),"",F1285)</f>
        <v/>
      </c>
      <c r="H1285" s="5" t="str">
        <f aca="false">IF(G1285&lt;&gt;"",G1285,E1285)</f>
        <v>50, 50, HAUNTER</v>
      </c>
    </row>
    <row r="1286" customFormat="false" ht="12.75" hidden="false" customHeight="true" outlineLevel="0" collapsed="false">
      <c r="A1286" s="4" t="s">
        <v>3200</v>
      </c>
      <c r="B1286" s="5" t="s">
        <v>3200</v>
      </c>
      <c r="C1286" s="1" t="str">
        <f aca="false">IF(B1286="NEW ROUTE",1,"")</f>
        <v/>
      </c>
      <c r="E1286" s="5" t="s">
        <v>3200</v>
      </c>
      <c r="F1286" s="6" t="e">
        <f aca="false">VLOOKUP(E1286,$K$2:$L$426,2,FALSE())</f>
        <v>#N/A</v>
      </c>
      <c r="G1286" s="1" t="str">
        <f aca="false">IF(ISNA(F1286),"",F1286)</f>
        <v/>
      </c>
      <c r="H1286" s="5" t="str">
        <f aca="false">IF(G1286&lt;&gt;"",G1286,E1286)</f>
        <v>22, 22, MISDREAVUS</v>
      </c>
    </row>
    <row r="1287" customFormat="false" ht="12.75" hidden="false" customHeight="true" outlineLevel="0" collapsed="false">
      <c r="A1287" s="4" t="s">
        <v>2812</v>
      </c>
      <c r="B1287" s="5" t="n">
        <v>0.01</v>
      </c>
      <c r="C1287" s="1" t="str">
        <f aca="false">IF(B1287="NEW ROUTE",1,"")</f>
        <v/>
      </c>
      <c r="E1287" s="5" t="n">
        <v>0.01</v>
      </c>
      <c r="F1287" s="6" t="e">
        <f aca="false">VLOOKUP(E1287,$K$2:$L$426,2,FALSE())</f>
        <v>#N/A</v>
      </c>
      <c r="G1287" s="1" t="str">
        <f aca="false">IF(ISNA(F1287),"",F1287)</f>
        <v/>
      </c>
      <c r="H1287" s="5" t="n">
        <f aca="false">IF(G1287&lt;&gt;"",G1287,E1287)</f>
        <v>0.01</v>
      </c>
    </row>
    <row r="1288" customFormat="false" ht="12.75" hidden="false" customHeight="true" outlineLevel="0" collapsed="false">
      <c r="A1288" s="4" t="s">
        <v>3201</v>
      </c>
      <c r="B1288" s="5" t="s">
        <v>3201</v>
      </c>
      <c r="C1288" s="1" t="str">
        <f aca="false">IF(B1288="NEW ROUTE",1,"")</f>
        <v/>
      </c>
      <c r="E1288" s="5" t="s">
        <v>3201</v>
      </c>
      <c r="F1288" s="6" t="e">
        <f aca="false">VLOOKUP(E1288,$K$2:$L$426,2,FALSE())</f>
        <v>#N/A</v>
      </c>
      <c r="G1288" s="1" t="str">
        <f aca="false">IF(ISNA(F1288),"",F1288)</f>
        <v/>
      </c>
      <c r="H1288" s="5" t="str">
        <f aca="false">IF(G1288&lt;&gt;"",G1288,E1288)</f>
        <v>52, 52, HAUNTER</v>
      </c>
    </row>
    <row r="1289" customFormat="false" ht="12.75" hidden="false" customHeight="true" outlineLevel="0" collapsed="false">
      <c r="A1289" s="4" t="s">
        <v>3200</v>
      </c>
      <c r="B1289" s="5" t="s">
        <v>3200</v>
      </c>
      <c r="C1289" s="1" t="str">
        <f aca="false">IF(B1289="NEW ROUTE",1,"")</f>
        <v/>
      </c>
      <c r="E1289" s="5" t="s">
        <v>3200</v>
      </c>
      <c r="F1289" s="6" t="e">
        <f aca="false">VLOOKUP(E1289,$K$2:$L$426,2,FALSE())</f>
        <v>#N/A</v>
      </c>
      <c r="G1289" s="1" t="str">
        <f aca="false">IF(ISNA(F1289),"",F1289)</f>
        <v/>
      </c>
      <c r="H1289" s="5" t="str">
        <f aca="false">IF(G1289&lt;&gt;"",G1289,E1289)</f>
        <v>22, 22, MISDREAVUS</v>
      </c>
    </row>
    <row r="1290" customFormat="false" ht="12.75" hidden="false" customHeight="true" outlineLevel="0" collapsed="false">
      <c r="A1290" s="4" t="s">
        <v>2536</v>
      </c>
      <c r="B1290" s="5" t="s">
        <v>2536</v>
      </c>
      <c r="C1290" s="1" t="n">
        <f aca="false">IF(B1290="NEW ROUTE",1,"")</f>
        <v>1</v>
      </c>
      <c r="E1290" s="5" t="s">
        <v>2536</v>
      </c>
      <c r="F1290" s="6" t="e">
        <f aca="false">VLOOKUP(E1290,$K$2:$L$426,2,FALSE())</f>
        <v>#N/A</v>
      </c>
      <c r="G1290" s="1" t="str">
        <f aca="false">IF(ISNA(F1290),"",F1290)</f>
        <v/>
      </c>
      <c r="H1290" s="5" t="str">
        <f aca="false">IF(G1290&lt;&gt;"",G1290,E1290)</f>
        <v>NEW ROUTE</v>
      </c>
    </row>
    <row r="1291" customFormat="false" ht="12.75" hidden="false" customHeight="true" outlineLevel="0" collapsed="false">
      <c r="A1291" s="4" t="s">
        <v>296</v>
      </c>
      <c r="B1291" s="5" t="s">
        <v>296</v>
      </c>
      <c r="C1291" s="1" t="str">
        <f aca="false">IF(B1291="NEW ROUTE",1,"")</f>
        <v/>
      </c>
      <c r="E1291" s="5" t="s">
        <v>296</v>
      </c>
      <c r="F1291" s="6" t="str">
        <f aca="false">VLOOKUP(E1291,$K$2:$L$426,2,FALSE())</f>
        <v>Five Island Lost Cave Room 7</v>
      </c>
      <c r="G1291" s="1" t="str">
        <f aca="false">IF(ISNA(F1291),"",F1291)</f>
        <v>Five Island Lost Cave Room 7</v>
      </c>
      <c r="H1291" s="5" t="str">
        <f aca="false">IF(G1291&lt;&gt;"",G1291,E1291)</f>
        <v>Five Island Lost Cave Room 7</v>
      </c>
    </row>
    <row r="1292" customFormat="false" ht="12.75" hidden="false" customHeight="true" outlineLevel="0" collapsed="false">
      <c r="A1292" s="4" t="s">
        <v>2799</v>
      </c>
      <c r="B1292" s="5" t="n">
        <v>0.2</v>
      </c>
      <c r="C1292" s="1" t="str">
        <f aca="false">IF(B1292="NEW ROUTE",1,"")</f>
        <v/>
      </c>
      <c r="E1292" s="5" t="n">
        <v>0.2</v>
      </c>
      <c r="F1292" s="6" t="e">
        <f aca="false">VLOOKUP(E1292,$K$2:$L$426,2,FALSE())</f>
        <v>#N/A</v>
      </c>
      <c r="G1292" s="1" t="str">
        <f aca="false">IF(ISNA(F1292),"",F1292)</f>
        <v/>
      </c>
      <c r="H1292" s="5" t="n">
        <f aca="false">IF(G1292&lt;&gt;"",G1292,E1292)</f>
        <v>0.2</v>
      </c>
    </row>
    <row r="1293" customFormat="false" ht="12.75" hidden="false" customHeight="true" outlineLevel="0" collapsed="false">
      <c r="A1293" s="4" t="s">
        <v>1638</v>
      </c>
      <c r="B1293" s="5" t="s">
        <v>1638</v>
      </c>
      <c r="C1293" s="1" t="str">
        <f aca="false">IF(B1293="NEW ROUTE",1,"")</f>
        <v/>
      </c>
      <c r="E1293" s="5" t="s">
        <v>1638</v>
      </c>
      <c r="F1293" s="6" t="e">
        <f aca="false">VLOOKUP(E1293,$K$2:$L$426,2,FALSE())</f>
        <v>#N/A</v>
      </c>
      <c r="G1293" s="1" t="str">
        <f aca="false">IF(ISNA(F1293),"",F1293)</f>
        <v/>
      </c>
      <c r="H1293" s="5" t="str">
        <f aca="false">IF(G1293&lt;&gt;"",G1293,E1293)</f>
        <v>40, 40, GASTLY</v>
      </c>
    </row>
    <row r="1294" customFormat="false" ht="12.75" hidden="false" customHeight="true" outlineLevel="0" collapsed="false">
      <c r="A1294" s="4" t="s">
        <v>3192</v>
      </c>
      <c r="B1294" s="5" t="s">
        <v>3192</v>
      </c>
      <c r="C1294" s="1" t="str">
        <f aca="false">IF(B1294="NEW ROUTE",1,"")</f>
        <v/>
      </c>
      <c r="E1294" s="5" t="s">
        <v>3192</v>
      </c>
      <c r="F1294" s="6" t="e">
        <f aca="false">VLOOKUP(E1294,$K$2:$L$426,2,FALSE())</f>
        <v>#N/A</v>
      </c>
      <c r="G1294" s="1" t="str">
        <f aca="false">IF(ISNA(F1294),"",F1294)</f>
        <v/>
      </c>
      <c r="H1294" s="5" t="str">
        <f aca="false">IF(G1294&lt;&gt;"",G1294,E1294)</f>
        <v>37, 37, ZUBAT</v>
      </c>
    </row>
    <row r="1295" customFormat="false" ht="12.75" hidden="false" customHeight="true" outlineLevel="0" collapsed="false">
      <c r="A1295" s="4" t="s">
        <v>2801</v>
      </c>
      <c r="B1295" s="5" t="n">
        <v>0.1</v>
      </c>
      <c r="C1295" s="1" t="str">
        <f aca="false">IF(B1295="NEW ROUTE",1,"")</f>
        <v/>
      </c>
      <c r="E1295" s="5" t="n">
        <v>0.1</v>
      </c>
      <c r="F1295" s="6" t="e">
        <f aca="false">VLOOKUP(E1295,$K$2:$L$426,2,FALSE())</f>
        <v>#N/A</v>
      </c>
      <c r="G1295" s="1" t="str">
        <f aca="false">IF(ISNA(F1295),"",F1295)</f>
        <v/>
      </c>
      <c r="H1295" s="5" t="n">
        <f aca="false">IF(G1295&lt;&gt;"",G1295,E1295)</f>
        <v>0.1</v>
      </c>
    </row>
    <row r="1296" customFormat="false" ht="12.75" hidden="false" customHeight="true" outlineLevel="0" collapsed="false">
      <c r="A1296" s="4" t="s">
        <v>3193</v>
      </c>
      <c r="B1296" s="5" t="s">
        <v>3193</v>
      </c>
      <c r="C1296" s="1" t="str">
        <f aca="false">IF(B1296="NEW ROUTE",1,"")</f>
        <v/>
      </c>
      <c r="E1296" s="5" t="s">
        <v>3193</v>
      </c>
      <c r="F1296" s="6" t="e">
        <f aca="false">VLOOKUP(E1296,$K$2:$L$426,2,FALSE())</f>
        <v>#N/A</v>
      </c>
      <c r="G1296" s="1" t="str">
        <f aca="false">IF(ISNA(F1296),"",F1296)</f>
        <v/>
      </c>
      <c r="H1296" s="5" t="str">
        <f aca="false">IF(G1296&lt;&gt;"",G1296,E1296)</f>
        <v>44, 44, HAUNTER</v>
      </c>
    </row>
    <row r="1297" customFormat="false" ht="12.75" hidden="false" customHeight="true" outlineLevel="0" collapsed="false">
      <c r="A1297" s="4" t="s">
        <v>3194</v>
      </c>
      <c r="B1297" s="5" t="s">
        <v>3194</v>
      </c>
      <c r="C1297" s="1" t="str">
        <f aca="false">IF(B1297="NEW ROUTE",1,"")</f>
        <v/>
      </c>
      <c r="E1297" s="5" t="s">
        <v>3194</v>
      </c>
      <c r="F1297" s="6" t="e">
        <f aca="false">VLOOKUP(E1297,$K$2:$L$426,2,FALSE())</f>
        <v>#N/A</v>
      </c>
      <c r="G1297" s="1" t="str">
        <f aca="false">IF(ISNA(F1297),"",F1297)</f>
        <v/>
      </c>
      <c r="H1297" s="5" t="str">
        <f aca="false">IF(G1297&lt;&gt;"",G1297,E1297)</f>
        <v>46, 46, HAUNTER</v>
      </c>
    </row>
    <row r="1298" customFormat="false" ht="12.75" hidden="false" customHeight="true" outlineLevel="0" collapsed="false">
      <c r="A1298" s="4" t="s">
        <v>3195</v>
      </c>
      <c r="B1298" s="5" t="s">
        <v>3195</v>
      </c>
      <c r="C1298" s="1" t="str">
        <f aca="false">IF(B1298="NEW ROUTE",1,"")</f>
        <v/>
      </c>
      <c r="E1298" s="5" t="s">
        <v>3195</v>
      </c>
      <c r="F1298" s="6" t="e">
        <f aca="false">VLOOKUP(E1298,$K$2:$L$426,2,FALSE())</f>
        <v>#N/A</v>
      </c>
      <c r="G1298" s="1" t="str">
        <f aca="false">IF(ISNA(F1298),"",F1298)</f>
        <v/>
      </c>
      <c r="H1298" s="5" t="str">
        <f aca="false">IF(G1298&lt;&gt;"",G1298,E1298)</f>
        <v>41, 41, GOLBAT</v>
      </c>
    </row>
    <row r="1299" customFormat="false" ht="12.75" hidden="false" customHeight="true" outlineLevel="0" collapsed="false">
      <c r="A1299" s="4" t="s">
        <v>3196</v>
      </c>
      <c r="B1299" s="5" t="s">
        <v>3196</v>
      </c>
      <c r="C1299" s="1" t="str">
        <f aca="false">IF(B1299="NEW ROUTE",1,"")</f>
        <v/>
      </c>
      <c r="E1299" s="5" t="s">
        <v>3196</v>
      </c>
      <c r="F1299" s="6" t="e">
        <f aca="false">VLOOKUP(E1299,$K$2:$L$426,2,FALSE())</f>
        <v>#N/A</v>
      </c>
      <c r="G1299" s="1" t="str">
        <f aca="false">IF(ISNA(F1299),"",F1299)</f>
        <v/>
      </c>
      <c r="H1299" s="5" t="str">
        <f aca="false">IF(G1299&lt;&gt;"",G1299,E1299)</f>
        <v>43, 43, GOLBAT</v>
      </c>
    </row>
    <row r="1300" customFormat="false" ht="12.75" hidden="false" customHeight="true" outlineLevel="0" collapsed="false">
      <c r="A1300" s="4" t="s">
        <v>2806</v>
      </c>
      <c r="B1300" s="5" t="n">
        <v>0.05</v>
      </c>
      <c r="C1300" s="1" t="str">
        <f aca="false">IF(B1300="NEW ROUTE",1,"")</f>
        <v/>
      </c>
      <c r="E1300" s="5" t="n">
        <v>0.05</v>
      </c>
      <c r="F1300" s="6" t="e">
        <f aca="false">VLOOKUP(E1300,$K$2:$L$426,2,FALSE())</f>
        <v>#N/A</v>
      </c>
      <c r="G1300" s="1" t="str">
        <f aca="false">IF(ISNA(F1300),"",F1300)</f>
        <v/>
      </c>
      <c r="H1300" s="5" t="n">
        <f aca="false">IF(G1300&lt;&gt;"",G1300,E1300)</f>
        <v>0.05</v>
      </c>
    </row>
    <row r="1301" customFormat="false" ht="12.75" hidden="false" customHeight="true" outlineLevel="0" collapsed="false">
      <c r="A1301" s="4" t="s">
        <v>3197</v>
      </c>
      <c r="B1301" s="5" t="s">
        <v>3197</v>
      </c>
      <c r="C1301" s="1" t="str">
        <f aca="false">IF(B1301="NEW ROUTE",1,"")</f>
        <v/>
      </c>
      <c r="E1301" s="5" t="s">
        <v>3197</v>
      </c>
      <c r="F1301" s="6" t="e">
        <f aca="false">VLOOKUP(E1301,$K$2:$L$426,2,FALSE())</f>
        <v>#N/A</v>
      </c>
      <c r="G1301" s="1" t="str">
        <f aca="false">IF(ISNA(F1301),"",F1301)</f>
        <v/>
      </c>
      <c r="H1301" s="5" t="str">
        <f aca="false">IF(G1301&lt;&gt;"",G1301,E1301)</f>
        <v>38, 38, GASTLY</v>
      </c>
    </row>
    <row r="1302" customFormat="false" ht="12.75" hidden="false" customHeight="true" outlineLevel="0" collapsed="false">
      <c r="A1302" s="4" t="s">
        <v>3198</v>
      </c>
      <c r="B1302" s="5" t="s">
        <v>3198</v>
      </c>
      <c r="C1302" s="1" t="str">
        <f aca="false">IF(B1302="NEW ROUTE",1,"")</f>
        <v/>
      </c>
      <c r="E1302" s="5" t="s">
        <v>3198</v>
      </c>
      <c r="F1302" s="6" t="e">
        <f aca="false">VLOOKUP(E1302,$K$2:$L$426,2,FALSE())</f>
        <v>#N/A</v>
      </c>
      <c r="G1302" s="1" t="str">
        <f aca="false">IF(ISNA(F1302),"",F1302)</f>
        <v/>
      </c>
      <c r="H1302" s="5" t="str">
        <f aca="false">IF(G1302&lt;&gt;"",G1302,E1302)</f>
        <v>48, 48, HAUNTER</v>
      </c>
    </row>
    <row r="1303" customFormat="false" ht="12.75" hidden="false" customHeight="true" outlineLevel="0" collapsed="false">
      <c r="A1303" s="4" t="s">
        <v>2809</v>
      </c>
      <c r="B1303" s="5" t="n">
        <v>0.04</v>
      </c>
      <c r="C1303" s="1" t="str">
        <f aca="false">IF(B1303="NEW ROUTE",1,"")</f>
        <v/>
      </c>
      <c r="E1303" s="5" t="n">
        <v>0.04</v>
      </c>
      <c r="F1303" s="6" t="e">
        <f aca="false">VLOOKUP(E1303,$K$2:$L$426,2,FALSE())</f>
        <v>#N/A</v>
      </c>
      <c r="G1303" s="1" t="str">
        <f aca="false">IF(ISNA(F1303),"",F1303)</f>
        <v/>
      </c>
      <c r="H1303" s="5" t="n">
        <f aca="false">IF(G1303&lt;&gt;"",G1303,E1303)</f>
        <v>0.04</v>
      </c>
    </row>
    <row r="1304" customFormat="false" ht="12.75" hidden="false" customHeight="true" outlineLevel="0" collapsed="false">
      <c r="A1304" s="4" t="s">
        <v>3199</v>
      </c>
      <c r="B1304" s="5" t="s">
        <v>3199</v>
      </c>
      <c r="C1304" s="1" t="str">
        <f aca="false">IF(B1304="NEW ROUTE",1,"")</f>
        <v/>
      </c>
      <c r="E1304" s="5" t="s">
        <v>3199</v>
      </c>
      <c r="F1304" s="6" t="e">
        <f aca="false">VLOOKUP(E1304,$K$2:$L$426,2,FALSE())</f>
        <v>#N/A</v>
      </c>
      <c r="G1304" s="1" t="str">
        <f aca="false">IF(ISNA(F1304),"",F1304)</f>
        <v/>
      </c>
      <c r="H1304" s="5" t="str">
        <f aca="false">IF(G1304&lt;&gt;"",G1304,E1304)</f>
        <v>50, 50, HAUNTER</v>
      </c>
    </row>
    <row r="1305" customFormat="false" ht="12.75" hidden="false" customHeight="true" outlineLevel="0" collapsed="false">
      <c r="A1305" s="4" t="s">
        <v>3200</v>
      </c>
      <c r="B1305" s="5" t="s">
        <v>3200</v>
      </c>
      <c r="C1305" s="1" t="str">
        <f aca="false">IF(B1305="NEW ROUTE",1,"")</f>
        <v/>
      </c>
      <c r="E1305" s="5" t="s">
        <v>3200</v>
      </c>
      <c r="F1305" s="6" t="e">
        <f aca="false">VLOOKUP(E1305,$K$2:$L$426,2,FALSE())</f>
        <v>#N/A</v>
      </c>
      <c r="G1305" s="1" t="str">
        <f aca="false">IF(ISNA(F1305),"",F1305)</f>
        <v/>
      </c>
      <c r="H1305" s="5" t="str">
        <f aca="false">IF(G1305&lt;&gt;"",G1305,E1305)</f>
        <v>22, 22, MISDREAVUS</v>
      </c>
    </row>
    <row r="1306" customFormat="false" ht="12.75" hidden="false" customHeight="true" outlineLevel="0" collapsed="false">
      <c r="A1306" s="4" t="s">
        <v>2812</v>
      </c>
      <c r="B1306" s="5" t="n">
        <v>0.01</v>
      </c>
      <c r="C1306" s="1" t="str">
        <f aca="false">IF(B1306="NEW ROUTE",1,"")</f>
        <v/>
      </c>
      <c r="E1306" s="5" t="n">
        <v>0.01</v>
      </c>
      <c r="F1306" s="6" t="e">
        <f aca="false">VLOOKUP(E1306,$K$2:$L$426,2,FALSE())</f>
        <v>#N/A</v>
      </c>
      <c r="G1306" s="1" t="str">
        <f aca="false">IF(ISNA(F1306),"",F1306)</f>
        <v/>
      </c>
      <c r="H1306" s="5" t="n">
        <f aca="false">IF(G1306&lt;&gt;"",G1306,E1306)</f>
        <v>0.01</v>
      </c>
    </row>
    <row r="1307" customFormat="false" ht="12.75" hidden="false" customHeight="true" outlineLevel="0" collapsed="false">
      <c r="A1307" s="4" t="s">
        <v>3201</v>
      </c>
      <c r="B1307" s="5" t="s">
        <v>3201</v>
      </c>
      <c r="C1307" s="1" t="str">
        <f aca="false">IF(B1307="NEW ROUTE",1,"")</f>
        <v/>
      </c>
      <c r="E1307" s="5" t="s">
        <v>3201</v>
      </c>
      <c r="F1307" s="6" t="e">
        <f aca="false">VLOOKUP(E1307,$K$2:$L$426,2,FALSE())</f>
        <v>#N/A</v>
      </c>
      <c r="G1307" s="1" t="str">
        <f aca="false">IF(ISNA(F1307),"",F1307)</f>
        <v/>
      </c>
      <c r="H1307" s="5" t="str">
        <f aca="false">IF(G1307&lt;&gt;"",G1307,E1307)</f>
        <v>52, 52, HAUNTER</v>
      </c>
    </row>
    <row r="1308" customFormat="false" ht="12.75" hidden="false" customHeight="true" outlineLevel="0" collapsed="false">
      <c r="A1308" s="4" t="s">
        <v>3200</v>
      </c>
      <c r="B1308" s="5" t="s">
        <v>3200</v>
      </c>
      <c r="C1308" s="1" t="str">
        <f aca="false">IF(B1308="NEW ROUTE",1,"")</f>
        <v/>
      </c>
      <c r="E1308" s="5" t="s">
        <v>3200</v>
      </c>
      <c r="F1308" s="6" t="e">
        <f aca="false">VLOOKUP(E1308,$K$2:$L$426,2,FALSE())</f>
        <v>#N/A</v>
      </c>
      <c r="G1308" s="1" t="str">
        <f aca="false">IF(ISNA(F1308),"",F1308)</f>
        <v/>
      </c>
      <c r="H1308" s="5" t="str">
        <f aca="false">IF(G1308&lt;&gt;"",G1308,E1308)</f>
        <v>22, 22, MISDREAVUS</v>
      </c>
    </row>
    <row r="1309" customFormat="false" ht="12.75" hidden="false" customHeight="true" outlineLevel="0" collapsed="false">
      <c r="A1309" s="4" t="s">
        <v>2536</v>
      </c>
      <c r="B1309" s="5" t="s">
        <v>2536</v>
      </c>
      <c r="C1309" s="1" t="n">
        <f aca="false">IF(B1309="NEW ROUTE",1,"")</f>
        <v>1</v>
      </c>
      <c r="E1309" s="5" t="s">
        <v>2536</v>
      </c>
      <c r="F1309" s="6" t="e">
        <f aca="false">VLOOKUP(E1309,$K$2:$L$426,2,FALSE())</f>
        <v>#N/A</v>
      </c>
      <c r="G1309" s="1" t="str">
        <f aca="false">IF(ISNA(F1309),"",F1309)</f>
        <v/>
      </c>
      <c r="H1309" s="5" t="str">
        <f aca="false">IF(G1309&lt;&gt;"",G1309,E1309)</f>
        <v>NEW ROUTE</v>
      </c>
    </row>
    <row r="1310" customFormat="false" ht="12.75" hidden="false" customHeight="true" outlineLevel="0" collapsed="false">
      <c r="A1310" s="4" t="s">
        <v>298</v>
      </c>
      <c r="B1310" s="5" t="s">
        <v>298</v>
      </c>
      <c r="C1310" s="1" t="str">
        <f aca="false">IF(B1310="NEW ROUTE",1,"")</f>
        <v/>
      </c>
      <c r="E1310" s="5" t="s">
        <v>298</v>
      </c>
      <c r="F1310" s="6" t="str">
        <f aca="false">VLOOKUP(E1310,$K$2:$L$426,2,FALSE())</f>
        <v>Five Island Lost Cave Room 8</v>
      </c>
      <c r="G1310" s="1" t="str">
        <f aca="false">IF(ISNA(F1310),"",F1310)</f>
        <v>Five Island Lost Cave Room 8</v>
      </c>
      <c r="H1310" s="5" t="str">
        <f aca="false">IF(G1310&lt;&gt;"",G1310,E1310)</f>
        <v>Five Island Lost Cave Room 8</v>
      </c>
    </row>
    <row r="1311" customFormat="false" ht="12.75" hidden="false" customHeight="true" outlineLevel="0" collapsed="false">
      <c r="A1311" s="4" t="s">
        <v>2799</v>
      </c>
      <c r="B1311" s="5" t="n">
        <v>0.2</v>
      </c>
      <c r="C1311" s="1" t="str">
        <f aca="false">IF(B1311="NEW ROUTE",1,"")</f>
        <v/>
      </c>
      <c r="E1311" s="5" t="n">
        <v>0.2</v>
      </c>
      <c r="F1311" s="6" t="e">
        <f aca="false">VLOOKUP(E1311,$K$2:$L$426,2,FALSE())</f>
        <v>#N/A</v>
      </c>
      <c r="G1311" s="1" t="str">
        <f aca="false">IF(ISNA(F1311),"",F1311)</f>
        <v/>
      </c>
      <c r="H1311" s="5" t="n">
        <f aca="false">IF(G1311&lt;&gt;"",G1311,E1311)</f>
        <v>0.2</v>
      </c>
    </row>
    <row r="1312" customFormat="false" ht="12.75" hidden="false" customHeight="true" outlineLevel="0" collapsed="false">
      <c r="A1312" s="4" t="s">
        <v>1638</v>
      </c>
      <c r="B1312" s="5" t="s">
        <v>1638</v>
      </c>
      <c r="C1312" s="1" t="str">
        <f aca="false">IF(B1312="NEW ROUTE",1,"")</f>
        <v/>
      </c>
      <c r="E1312" s="5" t="s">
        <v>1638</v>
      </c>
      <c r="F1312" s="6" t="e">
        <f aca="false">VLOOKUP(E1312,$K$2:$L$426,2,FALSE())</f>
        <v>#N/A</v>
      </c>
      <c r="G1312" s="1" t="str">
        <f aca="false">IF(ISNA(F1312),"",F1312)</f>
        <v/>
      </c>
      <c r="H1312" s="5" t="str">
        <f aca="false">IF(G1312&lt;&gt;"",G1312,E1312)</f>
        <v>40, 40, GASTLY</v>
      </c>
    </row>
    <row r="1313" customFormat="false" ht="12.75" hidden="false" customHeight="true" outlineLevel="0" collapsed="false">
      <c r="A1313" s="4" t="s">
        <v>3192</v>
      </c>
      <c r="B1313" s="5" t="s">
        <v>3192</v>
      </c>
      <c r="C1313" s="1" t="str">
        <f aca="false">IF(B1313="NEW ROUTE",1,"")</f>
        <v/>
      </c>
      <c r="E1313" s="5" t="s">
        <v>3192</v>
      </c>
      <c r="F1313" s="6" t="e">
        <f aca="false">VLOOKUP(E1313,$K$2:$L$426,2,FALSE())</f>
        <v>#N/A</v>
      </c>
      <c r="G1313" s="1" t="str">
        <f aca="false">IF(ISNA(F1313),"",F1313)</f>
        <v/>
      </c>
      <c r="H1313" s="5" t="str">
        <f aca="false">IF(G1313&lt;&gt;"",G1313,E1313)</f>
        <v>37, 37, ZUBAT</v>
      </c>
    </row>
    <row r="1314" customFormat="false" ht="12.75" hidden="false" customHeight="true" outlineLevel="0" collapsed="false">
      <c r="A1314" s="4" t="s">
        <v>2801</v>
      </c>
      <c r="B1314" s="5" t="n">
        <v>0.1</v>
      </c>
      <c r="C1314" s="1" t="str">
        <f aca="false">IF(B1314="NEW ROUTE",1,"")</f>
        <v/>
      </c>
      <c r="E1314" s="5" t="n">
        <v>0.1</v>
      </c>
      <c r="F1314" s="6" t="e">
        <f aca="false">VLOOKUP(E1314,$K$2:$L$426,2,FALSE())</f>
        <v>#N/A</v>
      </c>
      <c r="G1314" s="1" t="str">
        <f aca="false">IF(ISNA(F1314),"",F1314)</f>
        <v/>
      </c>
      <c r="H1314" s="5" t="n">
        <f aca="false">IF(G1314&lt;&gt;"",G1314,E1314)</f>
        <v>0.1</v>
      </c>
    </row>
    <row r="1315" customFormat="false" ht="12.75" hidden="false" customHeight="true" outlineLevel="0" collapsed="false">
      <c r="A1315" s="4" t="s">
        <v>3193</v>
      </c>
      <c r="B1315" s="5" t="s">
        <v>3193</v>
      </c>
      <c r="C1315" s="1" t="str">
        <f aca="false">IF(B1315="NEW ROUTE",1,"")</f>
        <v/>
      </c>
      <c r="E1315" s="5" t="s">
        <v>3193</v>
      </c>
      <c r="F1315" s="6" t="e">
        <f aca="false">VLOOKUP(E1315,$K$2:$L$426,2,FALSE())</f>
        <v>#N/A</v>
      </c>
      <c r="G1315" s="1" t="str">
        <f aca="false">IF(ISNA(F1315),"",F1315)</f>
        <v/>
      </c>
      <c r="H1315" s="5" t="str">
        <f aca="false">IF(G1315&lt;&gt;"",G1315,E1315)</f>
        <v>44, 44, HAUNTER</v>
      </c>
    </row>
    <row r="1316" customFormat="false" ht="12.75" hidden="false" customHeight="true" outlineLevel="0" collapsed="false">
      <c r="A1316" s="4" t="s">
        <v>3194</v>
      </c>
      <c r="B1316" s="5" t="s">
        <v>3194</v>
      </c>
      <c r="C1316" s="1" t="str">
        <f aca="false">IF(B1316="NEW ROUTE",1,"")</f>
        <v/>
      </c>
      <c r="E1316" s="5" t="s">
        <v>3194</v>
      </c>
      <c r="F1316" s="6" t="e">
        <f aca="false">VLOOKUP(E1316,$K$2:$L$426,2,FALSE())</f>
        <v>#N/A</v>
      </c>
      <c r="G1316" s="1" t="str">
        <f aca="false">IF(ISNA(F1316),"",F1316)</f>
        <v/>
      </c>
      <c r="H1316" s="5" t="str">
        <f aca="false">IF(G1316&lt;&gt;"",G1316,E1316)</f>
        <v>46, 46, HAUNTER</v>
      </c>
    </row>
    <row r="1317" customFormat="false" ht="12.75" hidden="false" customHeight="true" outlineLevel="0" collapsed="false">
      <c r="A1317" s="4" t="s">
        <v>3195</v>
      </c>
      <c r="B1317" s="5" t="s">
        <v>3195</v>
      </c>
      <c r="C1317" s="1" t="str">
        <f aca="false">IF(B1317="NEW ROUTE",1,"")</f>
        <v/>
      </c>
      <c r="E1317" s="5" t="s">
        <v>3195</v>
      </c>
      <c r="F1317" s="6" t="e">
        <f aca="false">VLOOKUP(E1317,$K$2:$L$426,2,FALSE())</f>
        <v>#N/A</v>
      </c>
      <c r="G1317" s="1" t="str">
        <f aca="false">IF(ISNA(F1317),"",F1317)</f>
        <v/>
      </c>
      <c r="H1317" s="5" t="str">
        <f aca="false">IF(G1317&lt;&gt;"",G1317,E1317)</f>
        <v>41, 41, GOLBAT</v>
      </c>
    </row>
    <row r="1318" customFormat="false" ht="12.75" hidden="false" customHeight="true" outlineLevel="0" collapsed="false">
      <c r="A1318" s="4" t="s">
        <v>3196</v>
      </c>
      <c r="B1318" s="5" t="s">
        <v>3196</v>
      </c>
      <c r="C1318" s="1" t="str">
        <f aca="false">IF(B1318="NEW ROUTE",1,"")</f>
        <v/>
      </c>
      <c r="E1318" s="5" t="s">
        <v>3196</v>
      </c>
      <c r="F1318" s="6" t="e">
        <f aca="false">VLOOKUP(E1318,$K$2:$L$426,2,FALSE())</f>
        <v>#N/A</v>
      </c>
      <c r="G1318" s="1" t="str">
        <f aca="false">IF(ISNA(F1318),"",F1318)</f>
        <v/>
      </c>
      <c r="H1318" s="5" t="str">
        <f aca="false">IF(G1318&lt;&gt;"",G1318,E1318)</f>
        <v>43, 43, GOLBAT</v>
      </c>
    </row>
    <row r="1319" customFormat="false" ht="12.75" hidden="false" customHeight="true" outlineLevel="0" collapsed="false">
      <c r="A1319" s="4" t="s">
        <v>2806</v>
      </c>
      <c r="B1319" s="5" t="n">
        <v>0.05</v>
      </c>
      <c r="C1319" s="1" t="str">
        <f aca="false">IF(B1319="NEW ROUTE",1,"")</f>
        <v/>
      </c>
      <c r="E1319" s="5" t="n">
        <v>0.05</v>
      </c>
      <c r="F1319" s="6" t="e">
        <f aca="false">VLOOKUP(E1319,$K$2:$L$426,2,FALSE())</f>
        <v>#N/A</v>
      </c>
      <c r="G1319" s="1" t="str">
        <f aca="false">IF(ISNA(F1319),"",F1319)</f>
        <v/>
      </c>
      <c r="H1319" s="5" t="n">
        <f aca="false">IF(G1319&lt;&gt;"",G1319,E1319)</f>
        <v>0.05</v>
      </c>
    </row>
    <row r="1320" customFormat="false" ht="12.75" hidden="false" customHeight="true" outlineLevel="0" collapsed="false">
      <c r="A1320" s="4" t="s">
        <v>3197</v>
      </c>
      <c r="B1320" s="5" t="s">
        <v>3197</v>
      </c>
      <c r="C1320" s="1" t="str">
        <f aca="false">IF(B1320="NEW ROUTE",1,"")</f>
        <v/>
      </c>
      <c r="E1320" s="5" t="s">
        <v>3197</v>
      </c>
      <c r="F1320" s="6" t="e">
        <f aca="false">VLOOKUP(E1320,$K$2:$L$426,2,FALSE())</f>
        <v>#N/A</v>
      </c>
      <c r="G1320" s="1" t="str">
        <f aca="false">IF(ISNA(F1320),"",F1320)</f>
        <v/>
      </c>
      <c r="H1320" s="5" t="str">
        <f aca="false">IF(G1320&lt;&gt;"",G1320,E1320)</f>
        <v>38, 38, GASTLY</v>
      </c>
    </row>
    <row r="1321" customFormat="false" ht="12.75" hidden="false" customHeight="true" outlineLevel="0" collapsed="false">
      <c r="A1321" s="4" t="s">
        <v>3198</v>
      </c>
      <c r="B1321" s="5" t="s">
        <v>3198</v>
      </c>
      <c r="C1321" s="1" t="str">
        <f aca="false">IF(B1321="NEW ROUTE",1,"")</f>
        <v/>
      </c>
      <c r="E1321" s="5" t="s">
        <v>3198</v>
      </c>
      <c r="F1321" s="6" t="e">
        <f aca="false">VLOOKUP(E1321,$K$2:$L$426,2,FALSE())</f>
        <v>#N/A</v>
      </c>
      <c r="G1321" s="1" t="str">
        <f aca="false">IF(ISNA(F1321),"",F1321)</f>
        <v/>
      </c>
      <c r="H1321" s="5" t="str">
        <f aca="false">IF(G1321&lt;&gt;"",G1321,E1321)</f>
        <v>48, 48, HAUNTER</v>
      </c>
    </row>
    <row r="1322" customFormat="false" ht="12.75" hidden="false" customHeight="true" outlineLevel="0" collapsed="false">
      <c r="A1322" s="4" t="s">
        <v>2809</v>
      </c>
      <c r="B1322" s="5" t="n">
        <v>0.04</v>
      </c>
      <c r="C1322" s="1" t="str">
        <f aca="false">IF(B1322="NEW ROUTE",1,"")</f>
        <v/>
      </c>
      <c r="E1322" s="5" t="n">
        <v>0.04</v>
      </c>
      <c r="F1322" s="6" t="e">
        <f aca="false">VLOOKUP(E1322,$K$2:$L$426,2,FALSE())</f>
        <v>#N/A</v>
      </c>
      <c r="G1322" s="1" t="str">
        <f aca="false">IF(ISNA(F1322),"",F1322)</f>
        <v/>
      </c>
      <c r="H1322" s="5" t="n">
        <f aca="false">IF(G1322&lt;&gt;"",G1322,E1322)</f>
        <v>0.04</v>
      </c>
    </row>
    <row r="1323" customFormat="false" ht="12.75" hidden="false" customHeight="true" outlineLevel="0" collapsed="false">
      <c r="A1323" s="4" t="s">
        <v>3199</v>
      </c>
      <c r="B1323" s="5" t="s">
        <v>3199</v>
      </c>
      <c r="C1323" s="1" t="str">
        <f aca="false">IF(B1323="NEW ROUTE",1,"")</f>
        <v/>
      </c>
      <c r="E1323" s="5" t="s">
        <v>3199</v>
      </c>
      <c r="F1323" s="6" t="e">
        <f aca="false">VLOOKUP(E1323,$K$2:$L$426,2,FALSE())</f>
        <v>#N/A</v>
      </c>
      <c r="G1323" s="1" t="str">
        <f aca="false">IF(ISNA(F1323),"",F1323)</f>
        <v/>
      </c>
      <c r="H1323" s="5" t="str">
        <f aca="false">IF(G1323&lt;&gt;"",G1323,E1323)</f>
        <v>50, 50, HAUNTER</v>
      </c>
    </row>
    <row r="1324" customFormat="false" ht="12.75" hidden="false" customHeight="true" outlineLevel="0" collapsed="false">
      <c r="A1324" s="4" t="s">
        <v>3200</v>
      </c>
      <c r="B1324" s="5" t="s">
        <v>3200</v>
      </c>
      <c r="C1324" s="1" t="str">
        <f aca="false">IF(B1324="NEW ROUTE",1,"")</f>
        <v/>
      </c>
      <c r="E1324" s="5" t="s">
        <v>3200</v>
      </c>
      <c r="F1324" s="6" t="e">
        <f aca="false">VLOOKUP(E1324,$K$2:$L$426,2,FALSE())</f>
        <v>#N/A</v>
      </c>
      <c r="G1324" s="1" t="str">
        <f aca="false">IF(ISNA(F1324),"",F1324)</f>
        <v/>
      </c>
      <c r="H1324" s="5" t="str">
        <f aca="false">IF(G1324&lt;&gt;"",G1324,E1324)</f>
        <v>22, 22, MISDREAVUS</v>
      </c>
    </row>
    <row r="1325" customFormat="false" ht="12.75" hidden="false" customHeight="true" outlineLevel="0" collapsed="false">
      <c r="A1325" s="4" t="s">
        <v>2812</v>
      </c>
      <c r="B1325" s="5" t="n">
        <v>0.01</v>
      </c>
      <c r="C1325" s="1" t="str">
        <f aca="false">IF(B1325="NEW ROUTE",1,"")</f>
        <v/>
      </c>
      <c r="E1325" s="5" t="n">
        <v>0.01</v>
      </c>
      <c r="F1325" s="6" t="e">
        <f aca="false">VLOOKUP(E1325,$K$2:$L$426,2,FALSE())</f>
        <v>#N/A</v>
      </c>
      <c r="G1325" s="1" t="str">
        <f aca="false">IF(ISNA(F1325),"",F1325)</f>
        <v/>
      </c>
      <c r="H1325" s="5" t="n">
        <f aca="false">IF(G1325&lt;&gt;"",G1325,E1325)</f>
        <v>0.01</v>
      </c>
    </row>
    <row r="1326" customFormat="false" ht="12.75" hidden="false" customHeight="true" outlineLevel="0" collapsed="false">
      <c r="A1326" s="4" t="s">
        <v>3201</v>
      </c>
      <c r="B1326" s="5" t="s">
        <v>3201</v>
      </c>
      <c r="C1326" s="1" t="str">
        <f aca="false">IF(B1326="NEW ROUTE",1,"")</f>
        <v/>
      </c>
      <c r="E1326" s="5" t="s">
        <v>3201</v>
      </c>
      <c r="F1326" s="6" t="e">
        <f aca="false">VLOOKUP(E1326,$K$2:$L$426,2,FALSE())</f>
        <v>#N/A</v>
      </c>
      <c r="G1326" s="1" t="str">
        <f aca="false">IF(ISNA(F1326),"",F1326)</f>
        <v/>
      </c>
      <c r="H1326" s="5" t="str">
        <f aca="false">IF(G1326&lt;&gt;"",G1326,E1326)</f>
        <v>52, 52, HAUNTER</v>
      </c>
    </row>
    <row r="1327" customFormat="false" ht="12.75" hidden="false" customHeight="true" outlineLevel="0" collapsed="false">
      <c r="A1327" s="4" t="s">
        <v>3200</v>
      </c>
      <c r="B1327" s="5" t="s">
        <v>3200</v>
      </c>
      <c r="C1327" s="1" t="str">
        <f aca="false">IF(B1327="NEW ROUTE",1,"")</f>
        <v/>
      </c>
      <c r="E1327" s="5" t="s">
        <v>3200</v>
      </c>
      <c r="F1327" s="6" t="e">
        <f aca="false">VLOOKUP(E1327,$K$2:$L$426,2,FALSE())</f>
        <v>#N/A</v>
      </c>
      <c r="G1327" s="1" t="str">
        <f aca="false">IF(ISNA(F1327),"",F1327)</f>
        <v/>
      </c>
      <c r="H1327" s="5" t="str">
        <f aca="false">IF(G1327&lt;&gt;"",G1327,E1327)</f>
        <v>22, 22, MISDREAVUS</v>
      </c>
    </row>
    <row r="1328" customFormat="false" ht="12.75" hidden="false" customHeight="true" outlineLevel="0" collapsed="false">
      <c r="A1328" s="4" t="s">
        <v>2536</v>
      </c>
      <c r="B1328" s="5" t="s">
        <v>2536</v>
      </c>
      <c r="C1328" s="1" t="n">
        <f aca="false">IF(B1328="NEW ROUTE",1,"")</f>
        <v>1</v>
      </c>
      <c r="E1328" s="5" t="s">
        <v>2536</v>
      </c>
      <c r="F1328" s="6" t="e">
        <f aca="false">VLOOKUP(E1328,$K$2:$L$426,2,FALSE())</f>
        <v>#N/A</v>
      </c>
      <c r="G1328" s="1" t="str">
        <f aca="false">IF(ISNA(F1328),"",F1328)</f>
        <v/>
      </c>
      <c r="H1328" s="5" t="str">
        <f aca="false">IF(G1328&lt;&gt;"",G1328,E1328)</f>
        <v>NEW ROUTE</v>
      </c>
    </row>
    <row r="1329" customFormat="false" ht="12.75" hidden="false" customHeight="true" outlineLevel="0" collapsed="false">
      <c r="A1329" s="4" t="s">
        <v>300</v>
      </c>
      <c r="B1329" s="5" t="s">
        <v>300</v>
      </c>
      <c r="C1329" s="1" t="str">
        <f aca="false">IF(B1329="NEW ROUTE",1,"")</f>
        <v/>
      </c>
      <c r="E1329" s="5" t="s">
        <v>300</v>
      </c>
      <c r="F1329" s="6" t="str">
        <f aca="false">VLOOKUP(E1329,$K$2:$L$426,2,FALSE())</f>
        <v>Five Island Lost Cave Room 9</v>
      </c>
      <c r="G1329" s="1" t="str">
        <f aca="false">IF(ISNA(F1329),"",F1329)</f>
        <v>Five Island Lost Cave Room 9</v>
      </c>
      <c r="H1329" s="5" t="str">
        <f aca="false">IF(G1329&lt;&gt;"",G1329,E1329)</f>
        <v>Five Island Lost Cave Room 9</v>
      </c>
    </row>
    <row r="1330" customFormat="false" ht="12.75" hidden="false" customHeight="true" outlineLevel="0" collapsed="false">
      <c r="A1330" s="4" t="s">
        <v>2799</v>
      </c>
      <c r="B1330" s="5" t="n">
        <v>0.2</v>
      </c>
      <c r="C1330" s="1" t="str">
        <f aca="false">IF(B1330="NEW ROUTE",1,"")</f>
        <v/>
      </c>
      <c r="E1330" s="5" t="n">
        <v>0.2</v>
      </c>
      <c r="F1330" s="6" t="e">
        <f aca="false">VLOOKUP(E1330,$K$2:$L$426,2,FALSE())</f>
        <v>#N/A</v>
      </c>
      <c r="G1330" s="1" t="str">
        <f aca="false">IF(ISNA(F1330),"",F1330)</f>
        <v/>
      </c>
      <c r="H1330" s="5" t="n">
        <f aca="false">IF(G1330&lt;&gt;"",G1330,E1330)</f>
        <v>0.2</v>
      </c>
    </row>
    <row r="1331" customFormat="false" ht="12.75" hidden="false" customHeight="true" outlineLevel="0" collapsed="false">
      <c r="A1331" s="4" t="s">
        <v>1638</v>
      </c>
      <c r="B1331" s="5" t="s">
        <v>1638</v>
      </c>
      <c r="C1331" s="1" t="str">
        <f aca="false">IF(B1331="NEW ROUTE",1,"")</f>
        <v/>
      </c>
      <c r="E1331" s="5" t="s">
        <v>1638</v>
      </c>
      <c r="F1331" s="6" t="e">
        <f aca="false">VLOOKUP(E1331,$K$2:$L$426,2,FALSE())</f>
        <v>#N/A</v>
      </c>
      <c r="G1331" s="1" t="str">
        <f aca="false">IF(ISNA(F1331),"",F1331)</f>
        <v/>
      </c>
      <c r="H1331" s="5" t="str">
        <f aca="false">IF(G1331&lt;&gt;"",G1331,E1331)</f>
        <v>40, 40, GASTLY</v>
      </c>
    </row>
    <row r="1332" customFormat="false" ht="12.75" hidden="false" customHeight="true" outlineLevel="0" collapsed="false">
      <c r="A1332" s="4" t="s">
        <v>3192</v>
      </c>
      <c r="B1332" s="5" t="s">
        <v>3192</v>
      </c>
      <c r="C1332" s="1" t="str">
        <f aca="false">IF(B1332="NEW ROUTE",1,"")</f>
        <v/>
      </c>
      <c r="E1332" s="5" t="s">
        <v>3192</v>
      </c>
      <c r="F1332" s="6" t="e">
        <f aca="false">VLOOKUP(E1332,$K$2:$L$426,2,FALSE())</f>
        <v>#N/A</v>
      </c>
      <c r="G1332" s="1" t="str">
        <f aca="false">IF(ISNA(F1332),"",F1332)</f>
        <v/>
      </c>
      <c r="H1332" s="5" t="str">
        <f aca="false">IF(G1332&lt;&gt;"",G1332,E1332)</f>
        <v>37, 37, ZUBAT</v>
      </c>
    </row>
    <row r="1333" customFormat="false" ht="12.75" hidden="false" customHeight="true" outlineLevel="0" collapsed="false">
      <c r="A1333" s="4" t="s">
        <v>2801</v>
      </c>
      <c r="B1333" s="5" t="n">
        <v>0.1</v>
      </c>
      <c r="C1333" s="1" t="str">
        <f aca="false">IF(B1333="NEW ROUTE",1,"")</f>
        <v/>
      </c>
      <c r="E1333" s="5" t="n">
        <v>0.1</v>
      </c>
      <c r="F1333" s="6" t="e">
        <f aca="false">VLOOKUP(E1333,$K$2:$L$426,2,FALSE())</f>
        <v>#N/A</v>
      </c>
      <c r="G1333" s="1" t="str">
        <f aca="false">IF(ISNA(F1333),"",F1333)</f>
        <v/>
      </c>
      <c r="H1333" s="5" t="n">
        <f aca="false">IF(G1333&lt;&gt;"",G1333,E1333)</f>
        <v>0.1</v>
      </c>
    </row>
    <row r="1334" customFormat="false" ht="12.75" hidden="false" customHeight="true" outlineLevel="0" collapsed="false">
      <c r="A1334" s="4" t="s">
        <v>3193</v>
      </c>
      <c r="B1334" s="5" t="s">
        <v>3193</v>
      </c>
      <c r="C1334" s="1" t="str">
        <f aca="false">IF(B1334="NEW ROUTE",1,"")</f>
        <v/>
      </c>
      <c r="E1334" s="5" t="s">
        <v>3193</v>
      </c>
      <c r="F1334" s="6" t="e">
        <f aca="false">VLOOKUP(E1334,$K$2:$L$426,2,FALSE())</f>
        <v>#N/A</v>
      </c>
      <c r="G1334" s="1" t="str">
        <f aca="false">IF(ISNA(F1334),"",F1334)</f>
        <v/>
      </c>
      <c r="H1334" s="5" t="str">
        <f aca="false">IF(G1334&lt;&gt;"",G1334,E1334)</f>
        <v>44, 44, HAUNTER</v>
      </c>
    </row>
    <row r="1335" customFormat="false" ht="12.75" hidden="false" customHeight="true" outlineLevel="0" collapsed="false">
      <c r="A1335" s="4" t="s">
        <v>3194</v>
      </c>
      <c r="B1335" s="5" t="s">
        <v>3194</v>
      </c>
      <c r="C1335" s="1" t="str">
        <f aca="false">IF(B1335="NEW ROUTE",1,"")</f>
        <v/>
      </c>
      <c r="E1335" s="5" t="s">
        <v>3194</v>
      </c>
      <c r="F1335" s="6" t="e">
        <f aca="false">VLOOKUP(E1335,$K$2:$L$426,2,FALSE())</f>
        <v>#N/A</v>
      </c>
      <c r="G1335" s="1" t="str">
        <f aca="false">IF(ISNA(F1335),"",F1335)</f>
        <v/>
      </c>
      <c r="H1335" s="5" t="str">
        <f aca="false">IF(G1335&lt;&gt;"",G1335,E1335)</f>
        <v>46, 46, HAUNTER</v>
      </c>
    </row>
    <row r="1336" customFormat="false" ht="12.75" hidden="false" customHeight="true" outlineLevel="0" collapsed="false">
      <c r="A1336" s="4" t="s">
        <v>3195</v>
      </c>
      <c r="B1336" s="5" t="s">
        <v>3195</v>
      </c>
      <c r="C1336" s="1" t="str">
        <f aca="false">IF(B1336="NEW ROUTE",1,"")</f>
        <v/>
      </c>
      <c r="E1336" s="5" t="s">
        <v>3195</v>
      </c>
      <c r="F1336" s="6" t="e">
        <f aca="false">VLOOKUP(E1336,$K$2:$L$426,2,FALSE())</f>
        <v>#N/A</v>
      </c>
      <c r="G1336" s="1" t="str">
        <f aca="false">IF(ISNA(F1336),"",F1336)</f>
        <v/>
      </c>
      <c r="H1336" s="5" t="str">
        <f aca="false">IF(G1336&lt;&gt;"",G1336,E1336)</f>
        <v>41, 41, GOLBAT</v>
      </c>
    </row>
    <row r="1337" customFormat="false" ht="12.75" hidden="false" customHeight="true" outlineLevel="0" collapsed="false">
      <c r="A1337" s="4" t="s">
        <v>3196</v>
      </c>
      <c r="B1337" s="5" t="s">
        <v>3196</v>
      </c>
      <c r="C1337" s="1" t="str">
        <f aca="false">IF(B1337="NEW ROUTE",1,"")</f>
        <v/>
      </c>
      <c r="E1337" s="5" t="s">
        <v>3196</v>
      </c>
      <c r="F1337" s="6" t="e">
        <f aca="false">VLOOKUP(E1337,$K$2:$L$426,2,FALSE())</f>
        <v>#N/A</v>
      </c>
      <c r="G1337" s="1" t="str">
        <f aca="false">IF(ISNA(F1337),"",F1337)</f>
        <v/>
      </c>
      <c r="H1337" s="5" t="str">
        <f aca="false">IF(G1337&lt;&gt;"",G1337,E1337)</f>
        <v>43, 43, GOLBAT</v>
      </c>
    </row>
    <row r="1338" customFormat="false" ht="12.75" hidden="false" customHeight="true" outlineLevel="0" collapsed="false">
      <c r="A1338" s="4" t="s">
        <v>2806</v>
      </c>
      <c r="B1338" s="5" t="n">
        <v>0.05</v>
      </c>
      <c r="C1338" s="1" t="str">
        <f aca="false">IF(B1338="NEW ROUTE",1,"")</f>
        <v/>
      </c>
      <c r="E1338" s="5" t="n">
        <v>0.05</v>
      </c>
      <c r="F1338" s="6" t="e">
        <f aca="false">VLOOKUP(E1338,$K$2:$L$426,2,FALSE())</f>
        <v>#N/A</v>
      </c>
      <c r="G1338" s="1" t="str">
        <f aca="false">IF(ISNA(F1338),"",F1338)</f>
        <v/>
      </c>
      <c r="H1338" s="5" t="n">
        <f aca="false">IF(G1338&lt;&gt;"",G1338,E1338)</f>
        <v>0.05</v>
      </c>
    </row>
    <row r="1339" customFormat="false" ht="12.75" hidden="false" customHeight="true" outlineLevel="0" collapsed="false">
      <c r="A1339" s="4" t="s">
        <v>3197</v>
      </c>
      <c r="B1339" s="5" t="s">
        <v>3197</v>
      </c>
      <c r="C1339" s="1" t="str">
        <f aca="false">IF(B1339="NEW ROUTE",1,"")</f>
        <v/>
      </c>
      <c r="E1339" s="5" t="s">
        <v>3197</v>
      </c>
      <c r="F1339" s="6" t="e">
        <f aca="false">VLOOKUP(E1339,$K$2:$L$426,2,FALSE())</f>
        <v>#N/A</v>
      </c>
      <c r="G1339" s="1" t="str">
        <f aca="false">IF(ISNA(F1339),"",F1339)</f>
        <v/>
      </c>
      <c r="H1339" s="5" t="str">
        <f aca="false">IF(G1339&lt;&gt;"",G1339,E1339)</f>
        <v>38, 38, GASTLY</v>
      </c>
    </row>
    <row r="1340" customFormat="false" ht="12.75" hidden="false" customHeight="true" outlineLevel="0" collapsed="false">
      <c r="A1340" s="4" t="s">
        <v>3198</v>
      </c>
      <c r="B1340" s="5" t="s">
        <v>3198</v>
      </c>
      <c r="C1340" s="1" t="str">
        <f aca="false">IF(B1340="NEW ROUTE",1,"")</f>
        <v/>
      </c>
      <c r="E1340" s="5" t="s">
        <v>3198</v>
      </c>
      <c r="F1340" s="6" t="e">
        <f aca="false">VLOOKUP(E1340,$K$2:$L$426,2,FALSE())</f>
        <v>#N/A</v>
      </c>
      <c r="G1340" s="1" t="str">
        <f aca="false">IF(ISNA(F1340),"",F1340)</f>
        <v/>
      </c>
      <c r="H1340" s="5" t="str">
        <f aca="false">IF(G1340&lt;&gt;"",G1340,E1340)</f>
        <v>48, 48, HAUNTER</v>
      </c>
    </row>
    <row r="1341" customFormat="false" ht="12.75" hidden="false" customHeight="true" outlineLevel="0" collapsed="false">
      <c r="A1341" s="4" t="s">
        <v>2809</v>
      </c>
      <c r="B1341" s="5" t="n">
        <v>0.04</v>
      </c>
      <c r="C1341" s="1" t="str">
        <f aca="false">IF(B1341="NEW ROUTE",1,"")</f>
        <v/>
      </c>
      <c r="E1341" s="5" t="n">
        <v>0.04</v>
      </c>
      <c r="F1341" s="6" t="e">
        <f aca="false">VLOOKUP(E1341,$K$2:$L$426,2,FALSE())</f>
        <v>#N/A</v>
      </c>
      <c r="G1341" s="1" t="str">
        <f aca="false">IF(ISNA(F1341),"",F1341)</f>
        <v/>
      </c>
      <c r="H1341" s="5" t="n">
        <f aca="false">IF(G1341&lt;&gt;"",G1341,E1341)</f>
        <v>0.04</v>
      </c>
    </row>
    <row r="1342" customFormat="false" ht="12.75" hidden="false" customHeight="true" outlineLevel="0" collapsed="false">
      <c r="A1342" s="4" t="s">
        <v>3199</v>
      </c>
      <c r="B1342" s="5" t="s">
        <v>3199</v>
      </c>
      <c r="C1342" s="1" t="str">
        <f aca="false">IF(B1342="NEW ROUTE",1,"")</f>
        <v/>
      </c>
      <c r="E1342" s="5" t="s">
        <v>3199</v>
      </c>
      <c r="F1342" s="6" t="e">
        <f aca="false">VLOOKUP(E1342,$K$2:$L$426,2,FALSE())</f>
        <v>#N/A</v>
      </c>
      <c r="G1342" s="1" t="str">
        <f aca="false">IF(ISNA(F1342),"",F1342)</f>
        <v/>
      </c>
      <c r="H1342" s="5" t="str">
        <f aca="false">IF(G1342&lt;&gt;"",G1342,E1342)</f>
        <v>50, 50, HAUNTER</v>
      </c>
    </row>
    <row r="1343" customFormat="false" ht="12.75" hidden="false" customHeight="true" outlineLevel="0" collapsed="false">
      <c r="A1343" s="4" t="s">
        <v>3200</v>
      </c>
      <c r="B1343" s="5" t="s">
        <v>3200</v>
      </c>
      <c r="C1343" s="1" t="str">
        <f aca="false">IF(B1343="NEW ROUTE",1,"")</f>
        <v/>
      </c>
      <c r="E1343" s="5" t="s">
        <v>3200</v>
      </c>
      <c r="F1343" s="6" t="e">
        <f aca="false">VLOOKUP(E1343,$K$2:$L$426,2,FALSE())</f>
        <v>#N/A</v>
      </c>
      <c r="G1343" s="1" t="str">
        <f aca="false">IF(ISNA(F1343),"",F1343)</f>
        <v/>
      </c>
      <c r="H1343" s="5" t="str">
        <f aca="false">IF(G1343&lt;&gt;"",G1343,E1343)</f>
        <v>22, 22, MISDREAVUS</v>
      </c>
    </row>
    <row r="1344" customFormat="false" ht="12.75" hidden="false" customHeight="true" outlineLevel="0" collapsed="false">
      <c r="A1344" s="4" t="s">
        <v>2812</v>
      </c>
      <c r="B1344" s="5" t="n">
        <v>0.01</v>
      </c>
      <c r="C1344" s="1" t="str">
        <f aca="false">IF(B1344="NEW ROUTE",1,"")</f>
        <v/>
      </c>
      <c r="E1344" s="5" t="n">
        <v>0.01</v>
      </c>
      <c r="F1344" s="6" t="e">
        <f aca="false">VLOOKUP(E1344,$K$2:$L$426,2,FALSE())</f>
        <v>#N/A</v>
      </c>
      <c r="G1344" s="1" t="str">
        <f aca="false">IF(ISNA(F1344),"",F1344)</f>
        <v/>
      </c>
      <c r="H1344" s="5" t="n">
        <f aca="false">IF(G1344&lt;&gt;"",G1344,E1344)</f>
        <v>0.01</v>
      </c>
    </row>
    <row r="1345" customFormat="false" ht="12.75" hidden="false" customHeight="true" outlineLevel="0" collapsed="false">
      <c r="A1345" s="4" t="s">
        <v>3201</v>
      </c>
      <c r="B1345" s="5" t="s">
        <v>3201</v>
      </c>
      <c r="C1345" s="1" t="str">
        <f aca="false">IF(B1345="NEW ROUTE",1,"")</f>
        <v/>
      </c>
      <c r="E1345" s="5" t="s">
        <v>3201</v>
      </c>
      <c r="F1345" s="6" t="e">
        <f aca="false">VLOOKUP(E1345,$K$2:$L$426,2,FALSE())</f>
        <v>#N/A</v>
      </c>
      <c r="G1345" s="1" t="str">
        <f aca="false">IF(ISNA(F1345),"",F1345)</f>
        <v/>
      </c>
      <c r="H1345" s="5" t="str">
        <f aca="false">IF(G1345&lt;&gt;"",G1345,E1345)</f>
        <v>52, 52, HAUNTER</v>
      </c>
    </row>
    <row r="1346" customFormat="false" ht="12.75" hidden="false" customHeight="true" outlineLevel="0" collapsed="false">
      <c r="A1346" s="4" t="s">
        <v>3200</v>
      </c>
      <c r="B1346" s="5" t="s">
        <v>3200</v>
      </c>
      <c r="C1346" s="1" t="str">
        <f aca="false">IF(B1346="NEW ROUTE",1,"")</f>
        <v/>
      </c>
      <c r="E1346" s="5" t="s">
        <v>3200</v>
      </c>
      <c r="F1346" s="6" t="e">
        <f aca="false">VLOOKUP(E1346,$K$2:$L$426,2,FALSE())</f>
        <v>#N/A</v>
      </c>
      <c r="G1346" s="1" t="str">
        <f aca="false">IF(ISNA(F1346),"",F1346)</f>
        <v/>
      </c>
      <c r="H1346" s="5" t="str">
        <f aca="false">IF(G1346&lt;&gt;"",G1346,E1346)</f>
        <v>22, 22, MISDREAVUS</v>
      </c>
    </row>
    <row r="1347" customFormat="false" ht="12.75" hidden="false" customHeight="true" outlineLevel="0" collapsed="false">
      <c r="A1347" s="4" t="s">
        <v>2536</v>
      </c>
      <c r="B1347" s="5" t="s">
        <v>2536</v>
      </c>
      <c r="C1347" s="1" t="n">
        <f aca="false">IF(B1347="NEW ROUTE",1,"")</f>
        <v>1</v>
      </c>
      <c r="E1347" s="5" t="s">
        <v>2536</v>
      </c>
      <c r="F1347" s="6" t="e">
        <f aca="false">VLOOKUP(E1347,$K$2:$L$426,2,FALSE())</f>
        <v>#N/A</v>
      </c>
      <c r="G1347" s="1" t="str">
        <f aca="false">IF(ISNA(F1347),"",F1347)</f>
        <v/>
      </c>
      <c r="H1347" s="5" t="str">
        <f aca="false">IF(G1347&lt;&gt;"",G1347,E1347)</f>
        <v>NEW ROUTE</v>
      </c>
    </row>
    <row r="1348" customFormat="false" ht="12.75" hidden="false" customHeight="true" outlineLevel="0" collapsed="false">
      <c r="A1348" s="4" t="s">
        <v>302</v>
      </c>
      <c r="B1348" s="5" t="s">
        <v>302</v>
      </c>
      <c r="C1348" s="1" t="str">
        <f aca="false">IF(B1348="NEW ROUTE",1,"")</f>
        <v/>
      </c>
      <c r="E1348" s="5" t="s">
        <v>302</v>
      </c>
      <c r="F1348" s="6" t="str">
        <f aca="false">VLOOKUP(E1348,$K$2:$L$426,2,FALSE())</f>
        <v>Five Island Lost Cave Room 10</v>
      </c>
      <c r="G1348" s="1" t="str">
        <f aca="false">IF(ISNA(F1348),"",F1348)</f>
        <v>Five Island Lost Cave Room 10</v>
      </c>
      <c r="H1348" s="5" t="str">
        <f aca="false">IF(G1348&lt;&gt;"",G1348,E1348)</f>
        <v>Five Island Lost Cave Room 10</v>
      </c>
    </row>
    <row r="1349" customFormat="false" ht="12.75" hidden="false" customHeight="true" outlineLevel="0" collapsed="false">
      <c r="A1349" s="4" t="s">
        <v>2799</v>
      </c>
      <c r="B1349" s="5" t="n">
        <v>0.2</v>
      </c>
      <c r="C1349" s="1" t="str">
        <f aca="false">IF(B1349="NEW ROUTE",1,"")</f>
        <v/>
      </c>
      <c r="E1349" s="5" t="n">
        <v>0.2</v>
      </c>
      <c r="F1349" s="6" t="e">
        <f aca="false">VLOOKUP(E1349,$K$2:$L$426,2,FALSE())</f>
        <v>#N/A</v>
      </c>
      <c r="G1349" s="1" t="str">
        <f aca="false">IF(ISNA(F1349),"",F1349)</f>
        <v/>
      </c>
      <c r="H1349" s="5" t="n">
        <f aca="false">IF(G1349&lt;&gt;"",G1349,E1349)</f>
        <v>0.2</v>
      </c>
    </row>
    <row r="1350" customFormat="false" ht="12.75" hidden="false" customHeight="true" outlineLevel="0" collapsed="false">
      <c r="A1350" s="4" t="s">
        <v>1638</v>
      </c>
      <c r="B1350" s="5" t="s">
        <v>1638</v>
      </c>
      <c r="C1350" s="1" t="str">
        <f aca="false">IF(B1350="NEW ROUTE",1,"")</f>
        <v/>
      </c>
      <c r="E1350" s="5" t="s">
        <v>1638</v>
      </c>
      <c r="F1350" s="6" t="e">
        <f aca="false">VLOOKUP(E1350,$K$2:$L$426,2,FALSE())</f>
        <v>#N/A</v>
      </c>
      <c r="G1350" s="1" t="str">
        <f aca="false">IF(ISNA(F1350),"",F1350)</f>
        <v/>
      </c>
      <c r="H1350" s="5" t="str">
        <f aca="false">IF(G1350&lt;&gt;"",G1350,E1350)</f>
        <v>40, 40, GASTLY</v>
      </c>
    </row>
    <row r="1351" customFormat="false" ht="12.75" hidden="false" customHeight="true" outlineLevel="0" collapsed="false">
      <c r="A1351" s="4" t="s">
        <v>3192</v>
      </c>
      <c r="B1351" s="5" t="s">
        <v>3192</v>
      </c>
      <c r="C1351" s="1" t="str">
        <f aca="false">IF(B1351="NEW ROUTE",1,"")</f>
        <v/>
      </c>
      <c r="E1351" s="5" t="s">
        <v>3192</v>
      </c>
      <c r="F1351" s="6" t="e">
        <f aca="false">VLOOKUP(E1351,$K$2:$L$426,2,FALSE())</f>
        <v>#N/A</v>
      </c>
      <c r="G1351" s="1" t="str">
        <f aca="false">IF(ISNA(F1351),"",F1351)</f>
        <v/>
      </c>
      <c r="H1351" s="5" t="str">
        <f aca="false">IF(G1351&lt;&gt;"",G1351,E1351)</f>
        <v>37, 37, ZUBAT</v>
      </c>
    </row>
    <row r="1352" customFormat="false" ht="12.75" hidden="false" customHeight="true" outlineLevel="0" collapsed="false">
      <c r="A1352" s="4" t="s">
        <v>2801</v>
      </c>
      <c r="B1352" s="5" t="n">
        <v>0.1</v>
      </c>
      <c r="C1352" s="1" t="str">
        <f aca="false">IF(B1352="NEW ROUTE",1,"")</f>
        <v/>
      </c>
      <c r="E1352" s="5" t="n">
        <v>0.1</v>
      </c>
      <c r="F1352" s="6" t="e">
        <f aca="false">VLOOKUP(E1352,$K$2:$L$426,2,FALSE())</f>
        <v>#N/A</v>
      </c>
      <c r="G1352" s="1" t="str">
        <f aca="false">IF(ISNA(F1352),"",F1352)</f>
        <v/>
      </c>
      <c r="H1352" s="5" t="n">
        <f aca="false">IF(G1352&lt;&gt;"",G1352,E1352)</f>
        <v>0.1</v>
      </c>
    </row>
    <row r="1353" customFormat="false" ht="12.75" hidden="false" customHeight="true" outlineLevel="0" collapsed="false">
      <c r="A1353" s="4" t="s">
        <v>3193</v>
      </c>
      <c r="B1353" s="5" t="s">
        <v>3193</v>
      </c>
      <c r="C1353" s="1" t="str">
        <f aca="false">IF(B1353="NEW ROUTE",1,"")</f>
        <v/>
      </c>
      <c r="E1353" s="5" t="s">
        <v>3193</v>
      </c>
      <c r="F1353" s="6" t="e">
        <f aca="false">VLOOKUP(E1353,$K$2:$L$426,2,FALSE())</f>
        <v>#N/A</v>
      </c>
      <c r="G1353" s="1" t="str">
        <f aca="false">IF(ISNA(F1353),"",F1353)</f>
        <v/>
      </c>
      <c r="H1353" s="5" t="str">
        <f aca="false">IF(G1353&lt;&gt;"",G1353,E1353)</f>
        <v>44, 44, HAUNTER</v>
      </c>
    </row>
    <row r="1354" customFormat="false" ht="12.75" hidden="false" customHeight="true" outlineLevel="0" collapsed="false">
      <c r="A1354" s="4" t="s">
        <v>3194</v>
      </c>
      <c r="B1354" s="5" t="s">
        <v>3194</v>
      </c>
      <c r="C1354" s="1" t="str">
        <f aca="false">IF(B1354="NEW ROUTE",1,"")</f>
        <v/>
      </c>
      <c r="E1354" s="5" t="s">
        <v>3194</v>
      </c>
      <c r="F1354" s="6" t="e">
        <f aca="false">VLOOKUP(E1354,$K$2:$L$426,2,FALSE())</f>
        <v>#N/A</v>
      </c>
      <c r="G1354" s="1" t="str">
        <f aca="false">IF(ISNA(F1354),"",F1354)</f>
        <v/>
      </c>
      <c r="H1354" s="5" t="str">
        <f aca="false">IF(G1354&lt;&gt;"",G1354,E1354)</f>
        <v>46, 46, HAUNTER</v>
      </c>
    </row>
    <row r="1355" customFormat="false" ht="12.75" hidden="false" customHeight="true" outlineLevel="0" collapsed="false">
      <c r="A1355" s="4" t="s">
        <v>3195</v>
      </c>
      <c r="B1355" s="5" t="s">
        <v>3195</v>
      </c>
      <c r="C1355" s="1" t="str">
        <f aca="false">IF(B1355="NEW ROUTE",1,"")</f>
        <v/>
      </c>
      <c r="E1355" s="5" t="s">
        <v>3195</v>
      </c>
      <c r="F1355" s="6" t="e">
        <f aca="false">VLOOKUP(E1355,$K$2:$L$426,2,FALSE())</f>
        <v>#N/A</v>
      </c>
      <c r="G1355" s="1" t="str">
        <f aca="false">IF(ISNA(F1355),"",F1355)</f>
        <v/>
      </c>
      <c r="H1355" s="5" t="str">
        <f aca="false">IF(G1355&lt;&gt;"",G1355,E1355)</f>
        <v>41, 41, GOLBAT</v>
      </c>
    </row>
    <row r="1356" customFormat="false" ht="12.75" hidden="false" customHeight="true" outlineLevel="0" collapsed="false">
      <c r="A1356" s="4" t="s">
        <v>3196</v>
      </c>
      <c r="B1356" s="5" t="s">
        <v>3196</v>
      </c>
      <c r="C1356" s="1" t="str">
        <f aca="false">IF(B1356="NEW ROUTE",1,"")</f>
        <v/>
      </c>
      <c r="E1356" s="5" t="s">
        <v>3196</v>
      </c>
      <c r="F1356" s="6" t="e">
        <f aca="false">VLOOKUP(E1356,$K$2:$L$426,2,FALSE())</f>
        <v>#N/A</v>
      </c>
      <c r="G1356" s="1" t="str">
        <f aca="false">IF(ISNA(F1356),"",F1356)</f>
        <v/>
      </c>
      <c r="H1356" s="5" t="str">
        <f aca="false">IF(G1356&lt;&gt;"",G1356,E1356)</f>
        <v>43, 43, GOLBAT</v>
      </c>
    </row>
    <row r="1357" customFormat="false" ht="12.75" hidden="false" customHeight="true" outlineLevel="0" collapsed="false">
      <c r="A1357" s="4" t="s">
        <v>2806</v>
      </c>
      <c r="B1357" s="5" t="n">
        <v>0.05</v>
      </c>
      <c r="C1357" s="1" t="str">
        <f aca="false">IF(B1357="NEW ROUTE",1,"")</f>
        <v/>
      </c>
      <c r="E1357" s="5" t="n">
        <v>0.05</v>
      </c>
      <c r="F1357" s="6" t="e">
        <f aca="false">VLOOKUP(E1357,$K$2:$L$426,2,FALSE())</f>
        <v>#N/A</v>
      </c>
      <c r="G1357" s="1" t="str">
        <f aca="false">IF(ISNA(F1357),"",F1357)</f>
        <v/>
      </c>
      <c r="H1357" s="5" t="n">
        <f aca="false">IF(G1357&lt;&gt;"",G1357,E1357)</f>
        <v>0.05</v>
      </c>
    </row>
    <row r="1358" customFormat="false" ht="12.75" hidden="false" customHeight="true" outlineLevel="0" collapsed="false">
      <c r="A1358" s="4" t="s">
        <v>3197</v>
      </c>
      <c r="B1358" s="5" t="s">
        <v>3197</v>
      </c>
      <c r="C1358" s="1" t="str">
        <f aca="false">IF(B1358="NEW ROUTE",1,"")</f>
        <v/>
      </c>
      <c r="E1358" s="5" t="s">
        <v>3197</v>
      </c>
      <c r="F1358" s="6" t="e">
        <f aca="false">VLOOKUP(E1358,$K$2:$L$426,2,FALSE())</f>
        <v>#N/A</v>
      </c>
      <c r="G1358" s="1" t="str">
        <f aca="false">IF(ISNA(F1358),"",F1358)</f>
        <v/>
      </c>
      <c r="H1358" s="5" t="str">
        <f aca="false">IF(G1358&lt;&gt;"",G1358,E1358)</f>
        <v>38, 38, GASTLY</v>
      </c>
    </row>
    <row r="1359" customFormat="false" ht="12.75" hidden="false" customHeight="true" outlineLevel="0" collapsed="false">
      <c r="A1359" s="4" t="s">
        <v>3198</v>
      </c>
      <c r="B1359" s="5" t="s">
        <v>3198</v>
      </c>
      <c r="C1359" s="1" t="str">
        <f aca="false">IF(B1359="NEW ROUTE",1,"")</f>
        <v/>
      </c>
      <c r="E1359" s="5" t="s">
        <v>3198</v>
      </c>
      <c r="F1359" s="6" t="e">
        <f aca="false">VLOOKUP(E1359,$K$2:$L$426,2,FALSE())</f>
        <v>#N/A</v>
      </c>
      <c r="G1359" s="1" t="str">
        <f aca="false">IF(ISNA(F1359),"",F1359)</f>
        <v/>
      </c>
      <c r="H1359" s="5" t="str">
        <f aca="false">IF(G1359&lt;&gt;"",G1359,E1359)</f>
        <v>48, 48, HAUNTER</v>
      </c>
    </row>
    <row r="1360" customFormat="false" ht="12.75" hidden="false" customHeight="true" outlineLevel="0" collapsed="false">
      <c r="A1360" s="4" t="s">
        <v>2809</v>
      </c>
      <c r="B1360" s="5" t="n">
        <v>0.04</v>
      </c>
      <c r="C1360" s="1" t="str">
        <f aca="false">IF(B1360="NEW ROUTE",1,"")</f>
        <v/>
      </c>
      <c r="E1360" s="5" t="n">
        <v>0.04</v>
      </c>
      <c r="F1360" s="6" t="e">
        <f aca="false">VLOOKUP(E1360,$K$2:$L$426,2,FALSE())</f>
        <v>#N/A</v>
      </c>
      <c r="G1360" s="1" t="str">
        <f aca="false">IF(ISNA(F1360),"",F1360)</f>
        <v/>
      </c>
      <c r="H1360" s="5" t="n">
        <f aca="false">IF(G1360&lt;&gt;"",G1360,E1360)</f>
        <v>0.04</v>
      </c>
    </row>
    <row r="1361" customFormat="false" ht="12.75" hidden="false" customHeight="true" outlineLevel="0" collapsed="false">
      <c r="A1361" s="4" t="s">
        <v>3199</v>
      </c>
      <c r="B1361" s="5" t="s">
        <v>3199</v>
      </c>
      <c r="C1361" s="1" t="str">
        <f aca="false">IF(B1361="NEW ROUTE",1,"")</f>
        <v/>
      </c>
      <c r="E1361" s="5" t="s">
        <v>3199</v>
      </c>
      <c r="F1361" s="6" t="e">
        <f aca="false">VLOOKUP(E1361,$K$2:$L$426,2,FALSE())</f>
        <v>#N/A</v>
      </c>
      <c r="G1361" s="1" t="str">
        <f aca="false">IF(ISNA(F1361),"",F1361)</f>
        <v/>
      </c>
      <c r="H1361" s="5" t="str">
        <f aca="false">IF(G1361&lt;&gt;"",G1361,E1361)</f>
        <v>50, 50, HAUNTER</v>
      </c>
    </row>
    <row r="1362" customFormat="false" ht="12.75" hidden="false" customHeight="true" outlineLevel="0" collapsed="false">
      <c r="A1362" s="4" t="s">
        <v>3200</v>
      </c>
      <c r="B1362" s="5" t="s">
        <v>3200</v>
      </c>
      <c r="C1362" s="1" t="str">
        <f aca="false">IF(B1362="NEW ROUTE",1,"")</f>
        <v/>
      </c>
      <c r="E1362" s="5" t="s">
        <v>3200</v>
      </c>
      <c r="F1362" s="6" t="e">
        <f aca="false">VLOOKUP(E1362,$K$2:$L$426,2,FALSE())</f>
        <v>#N/A</v>
      </c>
      <c r="G1362" s="1" t="str">
        <f aca="false">IF(ISNA(F1362),"",F1362)</f>
        <v/>
      </c>
      <c r="H1362" s="5" t="str">
        <f aca="false">IF(G1362&lt;&gt;"",G1362,E1362)</f>
        <v>22, 22, MISDREAVUS</v>
      </c>
    </row>
    <row r="1363" customFormat="false" ht="12.75" hidden="false" customHeight="true" outlineLevel="0" collapsed="false">
      <c r="A1363" s="4" t="s">
        <v>2812</v>
      </c>
      <c r="B1363" s="5" t="n">
        <v>0.01</v>
      </c>
      <c r="C1363" s="1" t="str">
        <f aca="false">IF(B1363="NEW ROUTE",1,"")</f>
        <v/>
      </c>
      <c r="E1363" s="5" t="n">
        <v>0.01</v>
      </c>
      <c r="F1363" s="6" t="e">
        <f aca="false">VLOOKUP(E1363,$K$2:$L$426,2,FALSE())</f>
        <v>#N/A</v>
      </c>
      <c r="G1363" s="1" t="str">
        <f aca="false">IF(ISNA(F1363),"",F1363)</f>
        <v/>
      </c>
      <c r="H1363" s="5" t="n">
        <f aca="false">IF(G1363&lt;&gt;"",G1363,E1363)</f>
        <v>0.01</v>
      </c>
    </row>
    <row r="1364" customFormat="false" ht="12.75" hidden="false" customHeight="true" outlineLevel="0" collapsed="false">
      <c r="A1364" s="4" t="s">
        <v>3201</v>
      </c>
      <c r="B1364" s="5" t="s">
        <v>3201</v>
      </c>
      <c r="C1364" s="1" t="str">
        <f aca="false">IF(B1364="NEW ROUTE",1,"")</f>
        <v/>
      </c>
      <c r="E1364" s="5" t="s">
        <v>3201</v>
      </c>
      <c r="F1364" s="6" t="e">
        <f aca="false">VLOOKUP(E1364,$K$2:$L$426,2,FALSE())</f>
        <v>#N/A</v>
      </c>
      <c r="G1364" s="1" t="str">
        <f aca="false">IF(ISNA(F1364),"",F1364)</f>
        <v/>
      </c>
      <c r="H1364" s="5" t="str">
        <f aca="false">IF(G1364&lt;&gt;"",G1364,E1364)</f>
        <v>52, 52, HAUNTER</v>
      </c>
    </row>
    <row r="1365" customFormat="false" ht="12.75" hidden="false" customHeight="true" outlineLevel="0" collapsed="false">
      <c r="A1365" s="4" t="s">
        <v>3200</v>
      </c>
      <c r="B1365" s="5" t="s">
        <v>3200</v>
      </c>
      <c r="C1365" s="1" t="str">
        <f aca="false">IF(B1365="NEW ROUTE",1,"")</f>
        <v/>
      </c>
      <c r="E1365" s="5" t="s">
        <v>3200</v>
      </c>
      <c r="F1365" s="6" t="e">
        <f aca="false">VLOOKUP(E1365,$K$2:$L$426,2,FALSE())</f>
        <v>#N/A</v>
      </c>
      <c r="G1365" s="1" t="str">
        <f aca="false">IF(ISNA(F1365),"",F1365)</f>
        <v/>
      </c>
      <c r="H1365" s="5" t="str">
        <f aca="false">IF(G1365&lt;&gt;"",G1365,E1365)</f>
        <v>22, 22, MISDREAVUS</v>
      </c>
    </row>
    <row r="1366" customFormat="false" ht="12.75" hidden="false" customHeight="true" outlineLevel="0" collapsed="false">
      <c r="A1366" s="4" t="s">
        <v>2536</v>
      </c>
      <c r="B1366" s="5" t="s">
        <v>2536</v>
      </c>
      <c r="C1366" s="1" t="n">
        <f aca="false">IF(B1366="NEW ROUTE",1,"")</f>
        <v>1</v>
      </c>
      <c r="E1366" s="5" t="s">
        <v>2536</v>
      </c>
      <c r="F1366" s="6" t="e">
        <f aca="false">VLOOKUP(E1366,$K$2:$L$426,2,FALSE())</f>
        <v>#N/A</v>
      </c>
      <c r="G1366" s="1" t="str">
        <f aca="false">IF(ISNA(F1366),"",F1366)</f>
        <v/>
      </c>
      <c r="H1366" s="5" t="str">
        <f aca="false">IF(G1366&lt;&gt;"",G1366,E1366)</f>
        <v>NEW ROUTE</v>
      </c>
    </row>
    <row r="1367" customFormat="false" ht="12.75" hidden="false" customHeight="true" outlineLevel="0" collapsed="false">
      <c r="A1367" s="4" t="s">
        <v>304</v>
      </c>
      <c r="B1367" s="5" t="s">
        <v>304</v>
      </c>
      <c r="C1367" s="1" t="str">
        <f aca="false">IF(B1367="NEW ROUTE",1,"")</f>
        <v/>
      </c>
      <c r="E1367" s="5" t="s">
        <v>304</v>
      </c>
      <c r="F1367" s="6" t="str">
        <f aca="false">VLOOKUP(E1367,$K$2:$L$426,2,FALSE())</f>
        <v>Five Island Lost Cave Room 11</v>
      </c>
      <c r="G1367" s="1" t="str">
        <f aca="false">IF(ISNA(F1367),"",F1367)</f>
        <v>Five Island Lost Cave Room 11</v>
      </c>
      <c r="H1367" s="5" t="str">
        <f aca="false">IF(G1367&lt;&gt;"",G1367,E1367)</f>
        <v>Five Island Lost Cave Room 11</v>
      </c>
    </row>
    <row r="1368" customFormat="false" ht="12.75" hidden="false" customHeight="true" outlineLevel="0" collapsed="false">
      <c r="A1368" s="4" t="s">
        <v>2799</v>
      </c>
      <c r="B1368" s="5" t="n">
        <v>0.2</v>
      </c>
      <c r="C1368" s="1" t="str">
        <f aca="false">IF(B1368="NEW ROUTE",1,"")</f>
        <v/>
      </c>
      <c r="E1368" s="5" t="n">
        <v>0.2</v>
      </c>
      <c r="F1368" s="6" t="e">
        <f aca="false">VLOOKUP(E1368,$K$2:$L$426,2,FALSE())</f>
        <v>#N/A</v>
      </c>
      <c r="G1368" s="1" t="str">
        <f aca="false">IF(ISNA(F1368),"",F1368)</f>
        <v/>
      </c>
      <c r="H1368" s="5" t="n">
        <f aca="false">IF(G1368&lt;&gt;"",G1368,E1368)</f>
        <v>0.2</v>
      </c>
    </row>
    <row r="1369" customFormat="false" ht="12.75" hidden="false" customHeight="true" outlineLevel="0" collapsed="false">
      <c r="A1369" s="4" t="s">
        <v>1638</v>
      </c>
      <c r="B1369" s="5" t="s">
        <v>1638</v>
      </c>
      <c r="C1369" s="1" t="str">
        <f aca="false">IF(B1369="NEW ROUTE",1,"")</f>
        <v/>
      </c>
      <c r="E1369" s="5" t="s">
        <v>1638</v>
      </c>
      <c r="F1369" s="6" t="e">
        <f aca="false">VLOOKUP(E1369,$K$2:$L$426,2,FALSE())</f>
        <v>#N/A</v>
      </c>
      <c r="G1369" s="1" t="str">
        <f aca="false">IF(ISNA(F1369),"",F1369)</f>
        <v/>
      </c>
      <c r="H1369" s="5" t="str">
        <f aca="false">IF(G1369&lt;&gt;"",G1369,E1369)</f>
        <v>40, 40, GASTLY</v>
      </c>
    </row>
    <row r="1370" customFormat="false" ht="12.75" hidden="false" customHeight="true" outlineLevel="0" collapsed="false">
      <c r="A1370" s="4" t="s">
        <v>3192</v>
      </c>
      <c r="B1370" s="5" t="s">
        <v>3192</v>
      </c>
      <c r="C1370" s="1" t="str">
        <f aca="false">IF(B1370="NEW ROUTE",1,"")</f>
        <v/>
      </c>
      <c r="E1370" s="5" t="s">
        <v>3192</v>
      </c>
      <c r="F1370" s="6" t="e">
        <f aca="false">VLOOKUP(E1370,$K$2:$L$426,2,FALSE())</f>
        <v>#N/A</v>
      </c>
      <c r="G1370" s="1" t="str">
        <f aca="false">IF(ISNA(F1370),"",F1370)</f>
        <v/>
      </c>
      <c r="H1370" s="5" t="str">
        <f aca="false">IF(G1370&lt;&gt;"",G1370,E1370)</f>
        <v>37, 37, ZUBAT</v>
      </c>
    </row>
    <row r="1371" customFormat="false" ht="12.75" hidden="false" customHeight="true" outlineLevel="0" collapsed="false">
      <c r="A1371" s="4" t="s">
        <v>2801</v>
      </c>
      <c r="B1371" s="5" t="n">
        <v>0.1</v>
      </c>
      <c r="C1371" s="1" t="str">
        <f aca="false">IF(B1371="NEW ROUTE",1,"")</f>
        <v/>
      </c>
      <c r="E1371" s="5" t="n">
        <v>0.1</v>
      </c>
      <c r="F1371" s="6" t="e">
        <f aca="false">VLOOKUP(E1371,$K$2:$L$426,2,FALSE())</f>
        <v>#N/A</v>
      </c>
      <c r="G1371" s="1" t="str">
        <f aca="false">IF(ISNA(F1371),"",F1371)</f>
        <v/>
      </c>
      <c r="H1371" s="5" t="n">
        <f aca="false">IF(G1371&lt;&gt;"",G1371,E1371)</f>
        <v>0.1</v>
      </c>
    </row>
    <row r="1372" customFormat="false" ht="12.75" hidden="false" customHeight="true" outlineLevel="0" collapsed="false">
      <c r="A1372" s="4" t="s">
        <v>3193</v>
      </c>
      <c r="B1372" s="5" t="s">
        <v>3193</v>
      </c>
      <c r="C1372" s="1" t="str">
        <f aca="false">IF(B1372="NEW ROUTE",1,"")</f>
        <v/>
      </c>
      <c r="E1372" s="5" t="s">
        <v>3193</v>
      </c>
      <c r="F1372" s="6" t="e">
        <f aca="false">VLOOKUP(E1372,$K$2:$L$426,2,FALSE())</f>
        <v>#N/A</v>
      </c>
      <c r="G1372" s="1" t="str">
        <f aca="false">IF(ISNA(F1372),"",F1372)</f>
        <v/>
      </c>
      <c r="H1372" s="5" t="str">
        <f aca="false">IF(G1372&lt;&gt;"",G1372,E1372)</f>
        <v>44, 44, HAUNTER</v>
      </c>
    </row>
    <row r="1373" customFormat="false" ht="12.75" hidden="false" customHeight="true" outlineLevel="0" collapsed="false">
      <c r="A1373" s="4" t="s">
        <v>3194</v>
      </c>
      <c r="B1373" s="5" t="s">
        <v>3194</v>
      </c>
      <c r="C1373" s="1" t="str">
        <f aca="false">IF(B1373="NEW ROUTE",1,"")</f>
        <v/>
      </c>
      <c r="E1373" s="5" t="s">
        <v>3194</v>
      </c>
      <c r="F1373" s="6" t="e">
        <f aca="false">VLOOKUP(E1373,$K$2:$L$426,2,FALSE())</f>
        <v>#N/A</v>
      </c>
      <c r="G1373" s="1" t="str">
        <f aca="false">IF(ISNA(F1373),"",F1373)</f>
        <v/>
      </c>
      <c r="H1373" s="5" t="str">
        <f aca="false">IF(G1373&lt;&gt;"",G1373,E1373)</f>
        <v>46, 46, HAUNTER</v>
      </c>
    </row>
    <row r="1374" customFormat="false" ht="12.75" hidden="false" customHeight="true" outlineLevel="0" collapsed="false">
      <c r="A1374" s="4" t="s">
        <v>3195</v>
      </c>
      <c r="B1374" s="5" t="s">
        <v>3195</v>
      </c>
      <c r="C1374" s="1" t="str">
        <f aca="false">IF(B1374="NEW ROUTE",1,"")</f>
        <v/>
      </c>
      <c r="E1374" s="5" t="s">
        <v>3195</v>
      </c>
      <c r="F1374" s="6" t="e">
        <f aca="false">VLOOKUP(E1374,$K$2:$L$426,2,FALSE())</f>
        <v>#N/A</v>
      </c>
      <c r="G1374" s="1" t="str">
        <f aca="false">IF(ISNA(F1374),"",F1374)</f>
        <v/>
      </c>
      <c r="H1374" s="5" t="str">
        <f aca="false">IF(G1374&lt;&gt;"",G1374,E1374)</f>
        <v>41, 41, GOLBAT</v>
      </c>
    </row>
    <row r="1375" customFormat="false" ht="12.75" hidden="false" customHeight="true" outlineLevel="0" collapsed="false">
      <c r="A1375" s="4" t="s">
        <v>3215</v>
      </c>
      <c r="B1375" s="5" t="s">
        <v>3215</v>
      </c>
      <c r="C1375" s="1" t="str">
        <f aca="false">IF(B1375="NEW ROUTE",1,"")</f>
        <v/>
      </c>
      <c r="E1375" s="5" t="s">
        <v>3215</v>
      </c>
      <c r="F1375" s="6" t="e">
        <f aca="false">VLOOKUP(E1375,$K$2:$L$426,2,FALSE())</f>
        <v>#N/A</v>
      </c>
      <c r="G1375" s="1" t="str">
        <f aca="false">IF(ISNA(F1375),"",F1375)</f>
        <v/>
      </c>
      <c r="H1375" s="5" t="str">
        <f aca="false">IF(G1375&lt;&gt;"",G1375,E1375)</f>
        <v>15, 15, MISDREAVUS</v>
      </c>
    </row>
    <row r="1376" customFormat="false" ht="12.75" hidden="false" customHeight="true" outlineLevel="0" collapsed="false">
      <c r="A1376" s="4" t="s">
        <v>2806</v>
      </c>
      <c r="B1376" s="5" t="n">
        <v>0.05</v>
      </c>
      <c r="C1376" s="1" t="str">
        <f aca="false">IF(B1376="NEW ROUTE",1,"")</f>
        <v/>
      </c>
      <c r="E1376" s="5" t="n">
        <v>0.05</v>
      </c>
      <c r="F1376" s="6" t="e">
        <f aca="false">VLOOKUP(E1376,$K$2:$L$426,2,FALSE())</f>
        <v>#N/A</v>
      </c>
      <c r="G1376" s="1" t="str">
        <f aca="false">IF(ISNA(F1376),"",F1376)</f>
        <v/>
      </c>
      <c r="H1376" s="5" t="n">
        <f aca="false">IF(G1376&lt;&gt;"",G1376,E1376)</f>
        <v>0.05</v>
      </c>
    </row>
    <row r="1377" customFormat="false" ht="12.75" hidden="false" customHeight="true" outlineLevel="0" collapsed="false">
      <c r="A1377" s="4" t="s">
        <v>3216</v>
      </c>
      <c r="B1377" s="5" t="s">
        <v>3216</v>
      </c>
      <c r="C1377" s="1" t="str">
        <f aca="false">IF(B1377="NEW ROUTE",1,"")</f>
        <v/>
      </c>
      <c r="E1377" s="5" t="s">
        <v>3216</v>
      </c>
      <c r="F1377" s="6" t="e">
        <f aca="false">VLOOKUP(E1377,$K$2:$L$426,2,FALSE())</f>
        <v>#N/A</v>
      </c>
      <c r="G1377" s="1" t="str">
        <f aca="false">IF(ISNA(F1377),"",F1377)</f>
        <v/>
      </c>
      <c r="H1377" s="5" t="str">
        <f aca="false">IF(G1377&lt;&gt;"",G1377,E1377)</f>
        <v>20, 20, MISDREAVUS</v>
      </c>
    </row>
    <row r="1378" customFormat="false" ht="12.75" hidden="false" customHeight="true" outlineLevel="0" collapsed="false">
      <c r="A1378" s="4" t="s">
        <v>3198</v>
      </c>
      <c r="B1378" s="5" t="s">
        <v>3198</v>
      </c>
      <c r="C1378" s="1" t="str">
        <f aca="false">IF(B1378="NEW ROUTE",1,"")</f>
        <v/>
      </c>
      <c r="E1378" s="5" t="s">
        <v>3198</v>
      </c>
      <c r="F1378" s="6" t="e">
        <f aca="false">VLOOKUP(E1378,$K$2:$L$426,2,FALSE())</f>
        <v>#N/A</v>
      </c>
      <c r="G1378" s="1" t="str">
        <f aca="false">IF(ISNA(F1378),"",F1378)</f>
        <v/>
      </c>
      <c r="H1378" s="5" t="str">
        <f aca="false">IF(G1378&lt;&gt;"",G1378,E1378)</f>
        <v>48, 48, HAUNTER</v>
      </c>
    </row>
    <row r="1379" customFormat="false" ht="12.75" hidden="false" customHeight="true" outlineLevel="0" collapsed="false">
      <c r="A1379" s="4" t="s">
        <v>2809</v>
      </c>
      <c r="B1379" s="5" t="n">
        <v>0.04</v>
      </c>
      <c r="C1379" s="1" t="str">
        <f aca="false">IF(B1379="NEW ROUTE",1,"")</f>
        <v/>
      </c>
      <c r="E1379" s="5" t="n">
        <v>0.04</v>
      </c>
      <c r="F1379" s="6" t="e">
        <f aca="false">VLOOKUP(E1379,$K$2:$L$426,2,FALSE())</f>
        <v>#N/A</v>
      </c>
      <c r="G1379" s="1" t="str">
        <f aca="false">IF(ISNA(F1379),"",F1379)</f>
        <v/>
      </c>
      <c r="H1379" s="5" t="n">
        <f aca="false">IF(G1379&lt;&gt;"",G1379,E1379)</f>
        <v>0.04</v>
      </c>
    </row>
    <row r="1380" customFormat="false" ht="12.75" hidden="false" customHeight="true" outlineLevel="0" collapsed="false">
      <c r="A1380" s="4" t="s">
        <v>3199</v>
      </c>
      <c r="B1380" s="5" t="s">
        <v>3199</v>
      </c>
      <c r="C1380" s="1" t="str">
        <f aca="false">IF(B1380="NEW ROUTE",1,"")</f>
        <v/>
      </c>
      <c r="E1380" s="5" t="s">
        <v>3199</v>
      </c>
      <c r="F1380" s="6" t="e">
        <f aca="false">VLOOKUP(E1380,$K$2:$L$426,2,FALSE())</f>
        <v>#N/A</v>
      </c>
      <c r="G1380" s="1" t="str">
        <f aca="false">IF(ISNA(F1380),"",F1380)</f>
        <v/>
      </c>
      <c r="H1380" s="5" t="str">
        <f aca="false">IF(G1380&lt;&gt;"",G1380,E1380)</f>
        <v>50, 50, HAUNTER</v>
      </c>
    </row>
    <row r="1381" customFormat="false" ht="12.75" hidden="false" customHeight="true" outlineLevel="0" collapsed="false">
      <c r="A1381" s="4" t="s">
        <v>3200</v>
      </c>
      <c r="B1381" s="5" t="s">
        <v>3200</v>
      </c>
      <c r="C1381" s="1" t="str">
        <f aca="false">IF(B1381="NEW ROUTE",1,"")</f>
        <v/>
      </c>
      <c r="E1381" s="5" t="s">
        <v>3200</v>
      </c>
      <c r="F1381" s="6" t="e">
        <f aca="false">VLOOKUP(E1381,$K$2:$L$426,2,FALSE())</f>
        <v>#N/A</v>
      </c>
      <c r="G1381" s="1" t="str">
        <f aca="false">IF(ISNA(F1381),"",F1381)</f>
        <v/>
      </c>
      <c r="H1381" s="5" t="str">
        <f aca="false">IF(G1381&lt;&gt;"",G1381,E1381)</f>
        <v>22, 22, MISDREAVUS</v>
      </c>
    </row>
    <row r="1382" customFormat="false" ht="12.75" hidden="false" customHeight="true" outlineLevel="0" collapsed="false">
      <c r="A1382" s="4" t="s">
        <v>2812</v>
      </c>
      <c r="B1382" s="5" t="n">
        <v>0.01</v>
      </c>
      <c r="C1382" s="1" t="str">
        <f aca="false">IF(B1382="NEW ROUTE",1,"")</f>
        <v/>
      </c>
      <c r="E1382" s="5" t="n">
        <v>0.01</v>
      </c>
      <c r="F1382" s="6" t="e">
        <f aca="false">VLOOKUP(E1382,$K$2:$L$426,2,FALSE())</f>
        <v>#N/A</v>
      </c>
      <c r="G1382" s="1" t="str">
        <f aca="false">IF(ISNA(F1382),"",F1382)</f>
        <v/>
      </c>
      <c r="H1382" s="5" t="n">
        <f aca="false">IF(G1382&lt;&gt;"",G1382,E1382)</f>
        <v>0.01</v>
      </c>
    </row>
    <row r="1383" customFormat="false" ht="12.75" hidden="false" customHeight="true" outlineLevel="0" collapsed="false">
      <c r="A1383" s="4" t="s">
        <v>3201</v>
      </c>
      <c r="B1383" s="5" t="s">
        <v>3201</v>
      </c>
      <c r="C1383" s="1" t="str">
        <f aca="false">IF(B1383="NEW ROUTE",1,"")</f>
        <v/>
      </c>
      <c r="E1383" s="5" t="s">
        <v>3201</v>
      </c>
      <c r="F1383" s="6" t="e">
        <f aca="false">VLOOKUP(E1383,$K$2:$L$426,2,FALSE())</f>
        <v>#N/A</v>
      </c>
      <c r="G1383" s="1" t="str">
        <f aca="false">IF(ISNA(F1383),"",F1383)</f>
        <v/>
      </c>
      <c r="H1383" s="5" t="str">
        <f aca="false">IF(G1383&lt;&gt;"",G1383,E1383)</f>
        <v>52, 52, HAUNTER</v>
      </c>
    </row>
    <row r="1384" customFormat="false" ht="12.75" hidden="false" customHeight="true" outlineLevel="0" collapsed="false">
      <c r="A1384" s="4" t="s">
        <v>3200</v>
      </c>
      <c r="B1384" s="5" t="s">
        <v>3200</v>
      </c>
      <c r="C1384" s="1" t="str">
        <f aca="false">IF(B1384="NEW ROUTE",1,"")</f>
        <v/>
      </c>
      <c r="E1384" s="5" t="s">
        <v>3200</v>
      </c>
      <c r="F1384" s="6" t="e">
        <f aca="false">VLOOKUP(E1384,$K$2:$L$426,2,FALSE())</f>
        <v>#N/A</v>
      </c>
      <c r="G1384" s="1" t="str">
        <f aca="false">IF(ISNA(F1384),"",F1384)</f>
        <v/>
      </c>
      <c r="H1384" s="5" t="str">
        <f aca="false">IF(G1384&lt;&gt;"",G1384,E1384)</f>
        <v>22, 22, MISDREAVUS</v>
      </c>
    </row>
    <row r="1385" customFormat="false" ht="12.75" hidden="false" customHeight="true" outlineLevel="0" collapsed="false">
      <c r="A1385" s="4" t="s">
        <v>2536</v>
      </c>
      <c r="B1385" s="5" t="s">
        <v>2536</v>
      </c>
      <c r="C1385" s="1" t="n">
        <f aca="false">IF(B1385="NEW ROUTE",1,"")</f>
        <v>1</v>
      </c>
      <c r="E1385" s="5" t="s">
        <v>2536</v>
      </c>
      <c r="F1385" s="6" t="e">
        <f aca="false">VLOOKUP(E1385,$K$2:$L$426,2,FALSE())</f>
        <v>#N/A</v>
      </c>
      <c r="G1385" s="1" t="str">
        <f aca="false">IF(ISNA(F1385),"",F1385)</f>
        <v/>
      </c>
      <c r="H1385" s="5" t="str">
        <f aca="false">IF(G1385&lt;&gt;"",G1385,E1385)</f>
        <v>NEW ROUTE</v>
      </c>
    </row>
    <row r="1386" customFormat="false" ht="12.75" hidden="false" customHeight="true" outlineLevel="0" collapsed="false">
      <c r="A1386" s="4" t="s">
        <v>306</v>
      </c>
      <c r="B1386" s="5" t="s">
        <v>306</v>
      </c>
      <c r="C1386" s="1" t="str">
        <f aca="false">IF(B1386="NEW ROUTE",1,"")</f>
        <v/>
      </c>
      <c r="E1386" s="5" t="s">
        <v>306</v>
      </c>
      <c r="F1386" s="6" t="str">
        <f aca="false">VLOOKUP(E1386,$K$2:$L$426,2,FALSE())</f>
        <v>Five Island Lost Cave Room 12</v>
      </c>
      <c r="G1386" s="1" t="str">
        <f aca="false">IF(ISNA(F1386),"",F1386)</f>
        <v>Five Island Lost Cave Room 12</v>
      </c>
      <c r="H1386" s="5" t="str">
        <f aca="false">IF(G1386&lt;&gt;"",G1386,E1386)</f>
        <v>Five Island Lost Cave Room 12</v>
      </c>
    </row>
    <row r="1387" customFormat="false" ht="12.75" hidden="false" customHeight="true" outlineLevel="0" collapsed="false">
      <c r="A1387" s="4" t="s">
        <v>2799</v>
      </c>
      <c r="B1387" s="5" t="n">
        <v>0.2</v>
      </c>
      <c r="C1387" s="1" t="str">
        <f aca="false">IF(B1387="NEW ROUTE",1,"")</f>
        <v/>
      </c>
      <c r="E1387" s="5" t="n">
        <v>0.2</v>
      </c>
      <c r="F1387" s="6" t="e">
        <f aca="false">VLOOKUP(E1387,$K$2:$L$426,2,FALSE())</f>
        <v>#N/A</v>
      </c>
      <c r="G1387" s="1" t="str">
        <f aca="false">IF(ISNA(F1387),"",F1387)</f>
        <v/>
      </c>
      <c r="H1387" s="5" t="n">
        <f aca="false">IF(G1387&lt;&gt;"",G1387,E1387)</f>
        <v>0.2</v>
      </c>
    </row>
    <row r="1388" customFormat="false" ht="12.75" hidden="false" customHeight="true" outlineLevel="0" collapsed="false">
      <c r="A1388" s="4" t="s">
        <v>1638</v>
      </c>
      <c r="B1388" s="5" t="s">
        <v>1638</v>
      </c>
      <c r="C1388" s="1" t="str">
        <f aca="false">IF(B1388="NEW ROUTE",1,"")</f>
        <v/>
      </c>
      <c r="E1388" s="5" t="s">
        <v>1638</v>
      </c>
      <c r="F1388" s="6" t="e">
        <f aca="false">VLOOKUP(E1388,$K$2:$L$426,2,FALSE())</f>
        <v>#N/A</v>
      </c>
      <c r="G1388" s="1" t="str">
        <f aca="false">IF(ISNA(F1388),"",F1388)</f>
        <v/>
      </c>
      <c r="H1388" s="5" t="str">
        <f aca="false">IF(G1388&lt;&gt;"",G1388,E1388)</f>
        <v>40, 40, GASTLY</v>
      </c>
    </row>
    <row r="1389" customFormat="false" ht="12.75" hidden="false" customHeight="true" outlineLevel="0" collapsed="false">
      <c r="A1389" s="4" t="s">
        <v>3192</v>
      </c>
      <c r="B1389" s="5" t="s">
        <v>3192</v>
      </c>
      <c r="C1389" s="1" t="str">
        <f aca="false">IF(B1389="NEW ROUTE",1,"")</f>
        <v/>
      </c>
      <c r="E1389" s="5" t="s">
        <v>3192</v>
      </c>
      <c r="F1389" s="6" t="e">
        <f aca="false">VLOOKUP(E1389,$K$2:$L$426,2,FALSE())</f>
        <v>#N/A</v>
      </c>
      <c r="G1389" s="1" t="str">
        <f aca="false">IF(ISNA(F1389),"",F1389)</f>
        <v/>
      </c>
      <c r="H1389" s="5" t="str">
        <f aca="false">IF(G1389&lt;&gt;"",G1389,E1389)</f>
        <v>37, 37, ZUBAT</v>
      </c>
    </row>
    <row r="1390" customFormat="false" ht="12.75" hidden="false" customHeight="true" outlineLevel="0" collapsed="false">
      <c r="A1390" s="4" t="s">
        <v>2801</v>
      </c>
      <c r="B1390" s="5" t="n">
        <v>0.1</v>
      </c>
      <c r="C1390" s="1" t="str">
        <f aca="false">IF(B1390="NEW ROUTE",1,"")</f>
        <v/>
      </c>
      <c r="E1390" s="5" t="n">
        <v>0.1</v>
      </c>
      <c r="F1390" s="6" t="e">
        <f aca="false">VLOOKUP(E1390,$K$2:$L$426,2,FALSE())</f>
        <v>#N/A</v>
      </c>
      <c r="G1390" s="1" t="str">
        <f aca="false">IF(ISNA(F1390),"",F1390)</f>
        <v/>
      </c>
      <c r="H1390" s="5" t="n">
        <f aca="false">IF(G1390&lt;&gt;"",G1390,E1390)</f>
        <v>0.1</v>
      </c>
    </row>
    <row r="1391" customFormat="false" ht="12.75" hidden="false" customHeight="true" outlineLevel="0" collapsed="false">
      <c r="A1391" s="4" t="s">
        <v>3193</v>
      </c>
      <c r="B1391" s="5" t="s">
        <v>3193</v>
      </c>
      <c r="C1391" s="1" t="str">
        <f aca="false">IF(B1391="NEW ROUTE",1,"")</f>
        <v/>
      </c>
      <c r="E1391" s="5" t="s">
        <v>3193</v>
      </c>
      <c r="F1391" s="6" t="e">
        <f aca="false">VLOOKUP(E1391,$K$2:$L$426,2,FALSE())</f>
        <v>#N/A</v>
      </c>
      <c r="G1391" s="1" t="str">
        <f aca="false">IF(ISNA(F1391),"",F1391)</f>
        <v/>
      </c>
      <c r="H1391" s="5" t="str">
        <f aca="false">IF(G1391&lt;&gt;"",G1391,E1391)</f>
        <v>44, 44, HAUNTER</v>
      </c>
    </row>
    <row r="1392" customFormat="false" ht="12.75" hidden="false" customHeight="true" outlineLevel="0" collapsed="false">
      <c r="A1392" s="4" t="s">
        <v>3194</v>
      </c>
      <c r="B1392" s="5" t="s">
        <v>3194</v>
      </c>
      <c r="C1392" s="1" t="str">
        <f aca="false">IF(B1392="NEW ROUTE",1,"")</f>
        <v/>
      </c>
      <c r="E1392" s="5" t="s">
        <v>3194</v>
      </c>
      <c r="F1392" s="6" t="e">
        <f aca="false">VLOOKUP(E1392,$K$2:$L$426,2,FALSE())</f>
        <v>#N/A</v>
      </c>
      <c r="G1392" s="1" t="str">
        <f aca="false">IF(ISNA(F1392),"",F1392)</f>
        <v/>
      </c>
      <c r="H1392" s="5" t="str">
        <f aca="false">IF(G1392&lt;&gt;"",G1392,E1392)</f>
        <v>46, 46, HAUNTER</v>
      </c>
    </row>
    <row r="1393" customFormat="false" ht="12.75" hidden="false" customHeight="true" outlineLevel="0" collapsed="false">
      <c r="A1393" s="4" t="s">
        <v>3195</v>
      </c>
      <c r="B1393" s="5" t="s">
        <v>3195</v>
      </c>
      <c r="C1393" s="1" t="str">
        <f aca="false">IF(B1393="NEW ROUTE",1,"")</f>
        <v/>
      </c>
      <c r="E1393" s="5" t="s">
        <v>3195</v>
      </c>
      <c r="F1393" s="6" t="e">
        <f aca="false">VLOOKUP(E1393,$K$2:$L$426,2,FALSE())</f>
        <v>#N/A</v>
      </c>
      <c r="G1393" s="1" t="str">
        <f aca="false">IF(ISNA(F1393),"",F1393)</f>
        <v/>
      </c>
      <c r="H1393" s="5" t="str">
        <f aca="false">IF(G1393&lt;&gt;"",G1393,E1393)</f>
        <v>41, 41, GOLBAT</v>
      </c>
    </row>
    <row r="1394" customFormat="false" ht="12.75" hidden="false" customHeight="true" outlineLevel="0" collapsed="false">
      <c r="A1394" s="4" t="s">
        <v>3215</v>
      </c>
      <c r="B1394" s="5" t="s">
        <v>3215</v>
      </c>
      <c r="C1394" s="1" t="str">
        <f aca="false">IF(B1394="NEW ROUTE",1,"")</f>
        <v/>
      </c>
      <c r="E1394" s="5" t="s">
        <v>3215</v>
      </c>
      <c r="F1394" s="6" t="e">
        <f aca="false">VLOOKUP(E1394,$K$2:$L$426,2,FALSE())</f>
        <v>#N/A</v>
      </c>
      <c r="G1394" s="1" t="str">
        <f aca="false">IF(ISNA(F1394),"",F1394)</f>
        <v/>
      </c>
      <c r="H1394" s="5" t="str">
        <f aca="false">IF(G1394&lt;&gt;"",G1394,E1394)</f>
        <v>15, 15, MISDREAVUS</v>
      </c>
    </row>
    <row r="1395" customFormat="false" ht="12.75" hidden="false" customHeight="true" outlineLevel="0" collapsed="false">
      <c r="A1395" s="4" t="s">
        <v>2806</v>
      </c>
      <c r="B1395" s="5" t="n">
        <v>0.05</v>
      </c>
      <c r="C1395" s="1" t="str">
        <f aca="false">IF(B1395="NEW ROUTE",1,"")</f>
        <v/>
      </c>
      <c r="E1395" s="5" t="n">
        <v>0.05</v>
      </c>
      <c r="F1395" s="6" t="e">
        <f aca="false">VLOOKUP(E1395,$K$2:$L$426,2,FALSE())</f>
        <v>#N/A</v>
      </c>
      <c r="G1395" s="1" t="str">
        <f aca="false">IF(ISNA(F1395),"",F1395)</f>
        <v/>
      </c>
      <c r="H1395" s="5" t="n">
        <f aca="false">IF(G1395&lt;&gt;"",G1395,E1395)</f>
        <v>0.05</v>
      </c>
    </row>
    <row r="1396" customFormat="false" ht="12.75" hidden="false" customHeight="true" outlineLevel="0" collapsed="false">
      <c r="A1396" s="4" t="s">
        <v>3216</v>
      </c>
      <c r="B1396" s="5" t="s">
        <v>3216</v>
      </c>
      <c r="C1396" s="1" t="str">
        <f aca="false">IF(B1396="NEW ROUTE",1,"")</f>
        <v/>
      </c>
      <c r="E1396" s="5" t="s">
        <v>3216</v>
      </c>
      <c r="F1396" s="6" t="e">
        <f aca="false">VLOOKUP(E1396,$K$2:$L$426,2,FALSE())</f>
        <v>#N/A</v>
      </c>
      <c r="G1396" s="1" t="str">
        <f aca="false">IF(ISNA(F1396),"",F1396)</f>
        <v/>
      </c>
      <c r="H1396" s="5" t="str">
        <f aca="false">IF(G1396&lt;&gt;"",G1396,E1396)</f>
        <v>20, 20, MISDREAVUS</v>
      </c>
    </row>
    <row r="1397" customFormat="false" ht="12.75" hidden="false" customHeight="true" outlineLevel="0" collapsed="false">
      <c r="A1397" s="4" t="s">
        <v>3198</v>
      </c>
      <c r="B1397" s="5" t="s">
        <v>3198</v>
      </c>
      <c r="C1397" s="1" t="str">
        <f aca="false">IF(B1397="NEW ROUTE",1,"")</f>
        <v/>
      </c>
      <c r="E1397" s="5" t="s">
        <v>3198</v>
      </c>
      <c r="F1397" s="6" t="e">
        <f aca="false">VLOOKUP(E1397,$K$2:$L$426,2,FALSE())</f>
        <v>#N/A</v>
      </c>
      <c r="G1397" s="1" t="str">
        <f aca="false">IF(ISNA(F1397),"",F1397)</f>
        <v/>
      </c>
      <c r="H1397" s="5" t="str">
        <f aca="false">IF(G1397&lt;&gt;"",G1397,E1397)</f>
        <v>48, 48, HAUNTER</v>
      </c>
    </row>
    <row r="1398" customFormat="false" ht="12.75" hidden="false" customHeight="true" outlineLevel="0" collapsed="false">
      <c r="A1398" s="4" t="s">
        <v>2809</v>
      </c>
      <c r="B1398" s="5" t="n">
        <v>0.04</v>
      </c>
      <c r="C1398" s="1" t="str">
        <f aca="false">IF(B1398="NEW ROUTE",1,"")</f>
        <v/>
      </c>
      <c r="E1398" s="5" t="n">
        <v>0.04</v>
      </c>
      <c r="F1398" s="6" t="e">
        <f aca="false">VLOOKUP(E1398,$K$2:$L$426,2,FALSE())</f>
        <v>#N/A</v>
      </c>
      <c r="G1398" s="1" t="str">
        <f aca="false">IF(ISNA(F1398),"",F1398)</f>
        <v/>
      </c>
      <c r="H1398" s="5" t="n">
        <f aca="false">IF(G1398&lt;&gt;"",G1398,E1398)</f>
        <v>0.04</v>
      </c>
    </row>
    <row r="1399" customFormat="false" ht="12.75" hidden="false" customHeight="true" outlineLevel="0" collapsed="false">
      <c r="A1399" s="4" t="s">
        <v>3199</v>
      </c>
      <c r="B1399" s="5" t="s">
        <v>3199</v>
      </c>
      <c r="C1399" s="1" t="str">
        <f aca="false">IF(B1399="NEW ROUTE",1,"")</f>
        <v/>
      </c>
      <c r="E1399" s="5" t="s">
        <v>3199</v>
      </c>
      <c r="F1399" s="6" t="e">
        <f aca="false">VLOOKUP(E1399,$K$2:$L$426,2,FALSE())</f>
        <v>#N/A</v>
      </c>
      <c r="G1399" s="1" t="str">
        <f aca="false">IF(ISNA(F1399),"",F1399)</f>
        <v/>
      </c>
      <c r="H1399" s="5" t="str">
        <f aca="false">IF(G1399&lt;&gt;"",G1399,E1399)</f>
        <v>50, 50, HAUNTER</v>
      </c>
    </row>
    <row r="1400" customFormat="false" ht="12.75" hidden="false" customHeight="true" outlineLevel="0" collapsed="false">
      <c r="A1400" s="4" t="s">
        <v>3200</v>
      </c>
      <c r="B1400" s="5" t="s">
        <v>3200</v>
      </c>
      <c r="C1400" s="1" t="str">
        <f aca="false">IF(B1400="NEW ROUTE",1,"")</f>
        <v/>
      </c>
      <c r="E1400" s="5" t="s">
        <v>3200</v>
      </c>
      <c r="F1400" s="6" t="e">
        <f aca="false">VLOOKUP(E1400,$K$2:$L$426,2,FALSE())</f>
        <v>#N/A</v>
      </c>
      <c r="G1400" s="1" t="str">
        <f aca="false">IF(ISNA(F1400),"",F1400)</f>
        <v/>
      </c>
      <c r="H1400" s="5" t="str">
        <f aca="false">IF(G1400&lt;&gt;"",G1400,E1400)</f>
        <v>22, 22, MISDREAVUS</v>
      </c>
    </row>
    <row r="1401" customFormat="false" ht="12.75" hidden="false" customHeight="true" outlineLevel="0" collapsed="false">
      <c r="A1401" s="4" t="s">
        <v>2812</v>
      </c>
      <c r="B1401" s="5" t="n">
        <v>0.01</v>
      </c>
      <c r="C1401" s="1" t="str">
        <f aca="false">IF(B1401="NEW ROUTE",1,"")</f>
        <v/>
      </c>
      <c r="E1401" s="5" t="n">
        <v>0.01</v>
      </c>
      <c r="F1401" s="6" t="e">
        <f aca="false">VLOOKUP(E1401,$K$2:$L$426,2,FALSE())</f>
        <v>#N/A</v>
      </c>
      <c r="G1401" s="1" t="str">
        <f aca="false">IF(ISNA(F1401),"",F1401)</f>
        <v/>
      </c>
      <c r="H1401" s="5" t="n">
        <f aca="false">IF(G1401&lt;&gt;"",G1401,E1401)</f>
        <v>0.01</v>
      </c>
    </row>
    <row r="1402" customFormat="false" ht="12.75" hidden="false" customHeight="true" outlineLevel="0" collapsed="false">
      <c r="A1402" s="4" t="s">
        <v>3201</v>
      </c>
      <c r="B1402" s="5" t="s">
        <v>3201</v>
      </c>
      <c r="C1402" s="1" t="str">
        <f aca="false">IF(B1402="NEW ROUTE",1,"")</f>
        <v/>
      </c>
      <c r="E1402" s="5" t="s">
        <v>3201</v>
      </c>
      <c r="F1402" s="6" t="e">
        <f aca="false">VLOOKUP(E1402,$K$2:$L$426,2,FALSE())</f>
        <v>#N/A</v>
      </c>
      <c r="G1402" s="1" t="str">
        <f aca="false">IF(ISNA(F1402),"",F1402)</f>
        <v/>
      </c>
      <c r="H1402" s="5" t="str">
        <f aca="false">IF(G1402&lt;&gt;"",G1402,E1402)</f>
        <v>52, 52, HAUNTER</v>
      </c>
    </row>
    <row r="1403" customFormat="false" ht="12.75" hidden="false" customHeight="true" outlineLevel="0" collapsed="false">
      <c r="A1403" s="4" t="s">
        <v>3200</v>
      </c>
      <c r="B1403" s="5" t="s">
        <v>3200</v>
      </c>
      <c r="C1403" s="1" t="str">
        <f aca="false">IF(B1403="NEW ROUTE",1,"")</f>
        <v/>
      </c>
      <c r="E1403" s="5" t="s">
        <v>3200</v>
      </c>
      <c r="F1403" s="6" t="e">
        <f aca="false">VLOOKUP(E1403,$K$2:$L$426,2,FALSE())</f>
        <v>#N/A</v>
      </c>
      <c r="G1403" s="1" t="str">
        <f aca="false">IF(ISNA(F1403),"",F1403)</f>
        <v/>
      </c>
      <c r="H1403" s="5" t="str">
        <f aca="false">IF(G1403&lt;&gt;"",G1403,E1403)</f>
        <v>22, 22, MISDREAVUS</v>
      </c>
    </row>
    <row r="1404" customFormat="false" ht="12.75" hidden="false" customHeight="true" outlineLevel="0" collapsed="false">
      <c r="A1404" s="4" t="s">
        <v>2536</v>
      </c>
      <c r="B1404" s="5" t="s">
        <v>2536</v>
      </c>
      <c r="C1404" s="1" t="n">
        <f aca="false">IF(B1404="NEW ROUTE",1,"")</f>
        <v>1</v>
      </c>
      <c r="E1404" s="5" t="s">
        <v>2536</v>
      </c>
      <c r="F1404" s="6" t="e">
        <f aca="false">VLOOKUP(E1404,$K$2:$L$426,2,FALSE())</f>
        <v>#N/A</v>
      </c>
      <c r="G1404" s="1" t="str">
        <f aca="false">IF(ISNA(F1404),"",F1404)</f>
        <v/>
      </c>
      <c r="H1404" s="5" t="str">
        <f aca="false">IF(G1404&lt;&gt;"",G1404,E1404)</f>
        <v>NEW ROUTE</v>
      </c>
    </row>
    <row r="1405" customFormat="false" ht="12.75" hidden="false" customHeight="true" outlineLevel="0" collapsed="false">
      <c r="A1405" s="4" t="s">
        <v>308</v>
      </c>
      <c r="B1405" s="5" t="s">
        <v>308</v>
      </c>
      <c r="C1405" s="1" t="str">
        <f aca="false">IF(B1405="NEW ROUTE",1,"")</f>
        <v/>
      </c>
      <c r="E1405" s="5" t="s">
        <v>308</v>
      </c>
      <c r="F1405" s="6" t="str">
        <f aca="false">VLOOKUP(E1405,$K$2:$L$426,2,FALSE())</f>
        <v>Five Island Lost Cave Room 13</v>
      </c>
      <c r="G1405" s="1" t="str">
        <f aca="false">IF(ISNA(F1405),"",F1405)</f>
        <v>Five Island Lost Cave Room 13</v>
      </c>
      <c r="H1405" s="5" t="str">
        <f aca="false">IF(G1405&lt;&gt;"",G1405,E1405)</f>
        <v>Five Island Lost Cave Room 13</v>
      </c>
    </row>
    <row r="1406" customFormat="false" ht="12.75" hidden="false" customHeight="true" outlineLevel="0" collapsed="false">
      <c r="A1406" s="4" t="s">
        <v>2799</v>
      </c>
      <c r="B1406" s="5" t="n">
        <v>0.2</v>
      </c>
      <c r="C1406" s="1" t="str">
        <f aca="false">IF(B1406="NEW ROUTE",1,"")</f>
        <v/>
      </c>
      <c r="E1406" s="5" t="n">
        <v>0.2</v>
      </c>
      <c r="F1406" s="6" t="e">
        <f aca="false">VLOOKUP(E1406,$K$2:$L$426,2,FALSE())</f>
        <v>#N/A</v>
      </c>
      <c r="G1406" s="1" t="str">
        <f aca="false">IF(ISNA(F1406),"",F1406)</f>
        <v/>
      </c>
      <c r="H1406" s="5" t="n">
        <f aca="false">IF(G1406&lt;&gt;"",G1406,E1406)</f>
        <v>0.2</v>
      </c>
    </row>
    <row r="1407" customFormat="false" ht="12.75" hidden="false" customHeight="true" outlineLevel="0" collapsed="false">
      <c r="A1407" s="4" t="s">
        <v>1638</v>
      </c>
      <c r="B1407" s="5" t="s">
        <v>1638</v>
      </c>
      <c r="C1407" s="1" t="str">
        <f aca="false">IF(B1407="NEW ROUTE",1,"")</f>
        <v/>
      </c>
      <c r="E1407" s="5" t="s">
        <v>1638</v>
      </c>
      <c r="F1407" s="6" t="e">
        <f aca="false">VLOOKUP(E1407,$K$2:$L$426,2,FALSE())</f>
        <v>#N/A</v>
      </c>
      <c r="G1407" s="1" t="str">
        <f aca="false">IF(ISNA(F1407),"",F1407)</f>
        <v/>
      </c>
      <c r="H1407" s="5" t="str">
        <f aca="false">IF(G1407&lt;&gt;"",G1407,E1407)</f>
        <v>40, 40, GASTLY</v>
      </c>
    </row>
    <row r="1408" customFormat="false" ht="12.75" hidden="false" customHeight="true" outlineLevel="0" collapsed="false">
      <c r="A1408" s="4" t="s">
        <v>3192</v>
      </c>
      <c r="B1408" s="5" t="s">
        <v>3192</v>
      </c>
      <c r="C1408" s="1" t="str">
        <f aca="false">IF(B1408="NEW ROUTE",1,"")</f>
        <v/>
      </c>
      <c r="E1408" s="5" t="s">
        <v>3192</v>
      </c>
      <c r="F1408" s="6" t="e">
        <f aca="false">VLOOKUP(E1408,$K$2:$L$426,2,FALSE())</f>
        <v>#N/A</v>
      </c>
      <c r="G1408" s="1" t="str">
        <f aca="false">IF(ISNA(F1408),"",F1408)</f>
        <v/>
      </c>
      <c r="H1408" s="5" t="str">
        <f aca="false">IF(G1408&lt;&gt;"",G1408,E1408)</f>
        <v>37, 37, ZUBAT</v>
      </c>
    </row>
    <row r="1409" customFormat="false" ht="12.75" hidden="false" customHeight="true" outlineLevel="0" collapsed="false">
      <c r="A1409" s="4" t="s">
        <v>2801</v>
      </c>
      <c r="B1409" s="5" t="n">
        <v>0.1</v>
      </c>
      <c r="C1409" s="1" t="str">
        <f aca="false">IF(B1409="NEW ROUTE",1,"")</f>
        <v/>
      </c>
      <c r="E1409" s="5" t="n">
        <v>0.1</v>
      </c>
      <c r="F1409" s="6" t="e">
        <f aca="false">VLOOKUP(E1409,$K$2:$L$426,2,FALSE())</f>
        <v>#N/A</v>
      </c>
      <c r="G1409" s="1" t="str">
        <f aca="false">IF(ISNA(F1409),"",F1409)</f>
        <v/>
      </c>
      <c r="H1409" s="5" t="n">
        <f aca="false">IF(G1409&lt;&gt;"",G1409,E1409)</f>
        <v>0.1</v>
      </c>
    </row>
    <row r="1410" customFormat="false" ht="12.75" hidden="false" customHeight="true" outlineLevel="0" collapsed="false">
      <c r="A1410" s="4" t="s">
        <v>3193</v>
      </c>
      <c r="B1410" s="5" t="s">
        <v>3193</v>
      </c>
      <c r="C1410" s="1" t="str">
        <f aca="false">IF(B1410="NEW ROUTE",1,"")</f>
        <v/>
      </c>
      <c r="E1410" s="5" t="s">
        <v>3193</v>
      </c>
      <c r="F1410" s="6" t="e">
        <f aca="false">VLOOKUP(E1410,$K$2:$L$426,2,FALSE())</f>
        <v>#N/A</v>
      </c>
      <c r="G1410" s="1" t="str">
        <f aca="false">IF(ISNA(F1410),"",F1410)</f>
        <v/>
      </c>
      <c r="H1410" s="5" t="str">
        <f aca="false">IF(G1410&lt;&gt;"",G1410,E1410)</f>
        <v>44, 44, HAUNTER</v>
      </c>
    </row>
    <row r="1411" customFormat="false" ht="12.75" hidden="false" customHeight="true" outlineLevel="0" collapsed="false">
      <c r="A1411" s="4" t="s">
        <v>3194</v>
      </c>
      <c r="B1411" s="5" t="s">
        <v>3194</v>
      </c>
      <c r="C1411" s="1" t="str">
        <f aca="false">IF(B1411="NEW ROUTE",1,"")</f>
        <v/>
      </c>
      <c r="E1411" s="5" t="s">
        <v>3194</v>
      </c>
      <c r="F1411" s="6" t="e">
        <f aca="false">VLOOKUP(E1411,$K$2:$L$426,2,FALSE())</f>
        <v>#N/A</v>
      </c>
      <c r="G1411" s="1" t="str">
        <f aca="false">IF(ISNA(F1411),"",F1411)</f>
        <v/>
      </c>
      <c r="H1411" s="5" t="str">
        <f aca="false">IF(G1411&lt;&gt;"",G1411,E1411)</f>
        <v>46, 46, HAUNTER</v>
      </c>
    </row>
    <row r="1412" customFormat="false" ht="12.75" hidden="false" customHeight="true" outlineLevel="0" collapsed="false">
      <c r="A1412" s="4" t="s">
        <v>3195</v>
      </c>
      <c r="B1412" s="5" t="s">
        <v>3195</v>
      </c>
      <c r="C1412" s="1" t="str">
        <f aca="false">IF(B1412="NEW ROUTE",1,"")</f>
        <v/>
      </c>
      <c r="E1412" s="5" t="s">
        <v>3195</v>
      </c>
      <c r="F1412" s="6" t="e">
        <f aca="false">VLOOKUP(E1412,$K$2:$L$426,2,FALSE())</f>
        <v>#N/A</v>
      </c>
      <c r="G1412" s="1" t="str">
        <f aca="false">IF(ISNA(F1412),"",F1412)</f>
        <v/>
      </c>
      <c r="H1412" s="5" t="str">
        <f aca="false">IF(G1412&lt;&gt;"",G1412,E1412)</f>
        <v>41, 41, GOLBAT</v>
      </c>
    </row>
    <row r="1413" customFormat="false" ht="12.75" hidden="false" customHeight="true" outlineLevel="0" collapsed="false">
      <c r="A1413" s="4" t="s">
        <v>3215</v>
      </c>
      <c r="B1413" s="5" t="s">
        <v>3215</v>
      </c>
      <c r="C1413" s="1" t="str">
        <f aca="false">IF(B1413="NEW ROUTE",1,"")</f>
        <v/>
      </c>
      <c r="E1413" s="5" t="s">
        <v>3215</v>
      </c>
      <c r="F1413" s="6" t="e">
        <f aca="false">VLOOKUP(E1413,$K$2:$L$426,2,FALSE())</f>
        <v>#N/A</v>
      </c>
      <c r="G1413" s="1" t="str">
        <f aca="false">IF(ISNA(F1413),"",F1413)</f>
        <v/>
      </c>
      <c r="H1413" s="5" t="str">
        <f aca="false">IF(G1413&lt;&gt;"",G1413,E1413)</f>
        <v>15, 15, MISDREAVUS</v>
      </c>
    </row>
    <row r="1414" customFormat="false" ht="12.75" hidden="false" customHeight="true" outlineLevel="0" collapsed="false">
      <c r="A1414" s="4" t="s">
        <v>2806</v>
      </c>
      <c r="B1414" s="5" t="n">
        <v>0.05</v>
      </c>
      <c r="C1414" s="1" t="str">
        <f aca="false">IF(B1414="NEW ROUTE",1,"")</f>
        <v/>
      </c>
      <c r="E1414" s="5" t="n">
        <v>0.05</v>
      </c>
      <c r="F1414" s="6" t="e">
        <f aca="false">VLOOKUP(E1414,$K$2:$L$426,2,FALSE())</f>
        <v>#N/A</v>
      </c>
      <c r="G1414" s="1" t="str">
        <f aca="false">IF(ISNA(F1414),"",F1414)</f>
        <v/>
      </c>
      <c r="H1414" s="5" t="n">
        <f aca="false">IF(G1414&lt;&gt;"",G1414,E1414)</f>
        <v>0.05</v>
      </c>
    </row>
    <row r="1415" customFormat="false" ht="12.75" hidden="false" customHeight="true" outlineLevel="0" collapsed="false">
      <c r="A1415" s="4" t="s">
        <v>3216</v>
      </c>
      <c r="B1415" s="5" t="s">
        <v>3216</v>
      </c>
      <c r="C1415" s="1" t="str">
        <f aca="false">IF(B1415="NEW ROUTE",1,"")</f>
        <v/>
      </c>
      <c r="E1415" s="5" t="s">
        <v>3216</v>
      </c>
      <c r="F1415" s="6" t="e">
        <f aca="false">VLOOKUP(E1415,$K$2:$L$426,2,FALSE())</f>
        <v>#N/A</v>
      </c>
      <c r="G1415" s="1" t="str">
        <f aca="false">IF(ISNA(F1415),"",F1415)</f>
        <v/>
      </c>
      <c r="H1415" s="5" t="str">
        <f aca="false">IF(G1415&lt;&gt;"",G1415,E1415)</f>
        <v>20, 20, MISDREAVUS</v>
      </c>
    </row>
    <row r="1416" customFormat="false" ht="12.75" hidden="false" customHeight="true" outlineLevel="0" collapsed="false">
      <c r="A1416" s="4" t="s">
        <v>3198</v>
      </c>
      <c r="B1416" s="5" t="s">
        <v>3198</v>
      </c>
      <c r="C1416" s="1" t="str">
        <f aca="false">IF(B1416="NEW ROUTE",1,"")</f>
        <v/>
      </c>
      <c r="E1416" s="5" t="s">
        <v>3198</v>
      </c>
      <c r="F1416" s="6" t="e">
        <f aca="false">VLOOKUP(E1416,$K$2:$L$426,2,FALSE())</f>
        <v>#N/A</v>
      </c>
      <c r="G1416" s="1" t="str">
        <f aca="false">IF(ISNA(F1416),"",F1416)</f>
        <v/>
      </c>
      <c r="H1416" s="5" t="str">
        <f aca="false">IF(G1416&lt;&gt;"",G1416,E1416)</f>
        <v>48, 48, HAUNTER</v>
      </c>
    </row>
    <row r="1417" customFormat="false" ht="12.75" hidden="false" customHeight="true" outlineLevel="0" collapsed="false">
      <c r="A1417" s="4" t="s">
        <v>2809</v>
      </c>
      <c r="B1417" s="5" t="n">
        <v>0.04</v>
      </c>
      <c r="C1417" s="1" t="str">
        <f aca="false">IF(B1417="NEW ROUTE",1,"")</f>
        <v/>
      </c>
      <c r="E1417" s="5" t="n">
        <v>0.04</v>
      </c>
      <c r="F1417" s="6" t="e">
        <f aca="false">VLOOKUP(E1417,$K$2:$L$426,2,FALSE())</f>
        <v>#N/A</v>
      </c>
      <c r="G1417" s="1" t="str">
        <f aca="false">IF(ISNA(F1417),"",F1417)</f>
        <v/>
      </c>
      <c r="H1417" s="5" t="n">
        <f aca="false">IF(G1417&lt;&gt;"",G1417,E1417)</f>
        <v>0.04</v>
      </c>
    </row>
    <row r="1418" customFormat="false" ht="12.75" hidden="false" customHeight="true" outlineLevel="0" collapsed="false">
      <c r="A1418" s="4" t="s">
        <v>3199</v>
      </c>
      <c r="B1418" s="5" t="s">
        <v>3199</v>
      </c>
      <c r="C1418" s="1" t="str">
        <f aca="false">IF(B1418="NEW ROUTE",1,"")</f>
        <v/>
      </c>
      <c r="E1418" s="5" t="s">
        <v>3199</v>
      </c>
      <c r="F1418" s="6" t="e">
        <f aca="false">VLOOKUP(E1418,$K$2:$L$426,2,FALSE())</f>
        <v>#N/A</v>
      </c>
      <c r="G1418" s="1" t="str">
        <f aca="false">IF(ISNA(F1418),"",F1418)</f>
        <v/>
      </c>
      <c r="H1418" s="5" t="str">
        <f aca="false">IF(G1418&lt;&gt;"",G1418,E1418)</f>
        <v>50, 50, HAUNTER</v>
      </c>
    </row>
    <row r="1419" customFormat="false" ht="12.75" hidden="false" customHeight="true" outlineLevel="0" collapsed="false">
      <c r="A1419" s="4" t="s">
        <v>3200</v>
      </c>
      <c r="B1419" s="5" t="s">
        <v>3200</v>
      </c>
      <c r="C1419" s="1" t="str">
        <f aca="false">IF(B1419="NEW ROUTE",1,"")</f>
        <v/>
      </c>
      <c r="E1419" s="5" t="s">
        <v>3200</v>
      </c>
      <c r="F1419" s="6" t="e">
        <f aca="false">VLOOKUP(E1419,$K$2:$L$426,2,FALSE())</f>
        <v>#N/A</v>
      </c>
      <c r="G1419" s="1" t="str">
        <f aca="false">IF(ISNA(F1419),"",F1419)</f>
        <v/>
      </c>
      <c r="H1419" s="5" t="str">
        <f aca="false">IF(G1419&lt;&gt;"",G1419,E1419)</f>
        <v>22, 22, MISDREAVUS</v>
      </c>
    </row>
    <row r="1420" customFormat="false" ht="12.75" hidden="false" customHeight="true" outlineLevel="0" collapsed="false">
      <c r="A1420" s="4" t="s">
        <v>2812</v>
      </c>
      <c r="B1420" s="5" t="n">
        <v>0.01</v>
      </c>
      <c r="C1420" s="1" t="str">
        <f aca="false">IF(B1420="NEW ROUTE",1,"")</f>
        <v/>
      </c>
      <c r="E1420" s="5" t="n">
        <v>0.01</v>
      </c>
      <c r="F1420" s="6" t="e">
        <f aca="false">VLOOKUP(E1420,$K$2:$L$426,2,FALSE())</f>
        <v>#N/A</v>
      </c>
      <c r="G1420" s="1" t="str">
        <f aca="false">IF(ISNA(F1420),"",F1420)</f>
        <v/>
      </c>
      <c r="H1420" s="5" t="n">
        <f aca="false">IF(G1420&lt;&gt;"",G1420,E1420)</f>
        <v>0.01</v>
      </c>
    </row>
    <row r="1421" customFormat="false" ht="12.75" hidden="false" customHeight="true" outlineLevel="0" collapsed="false">
      <c r="A1421" s="4" t="s">
        <v>3201</v>
      </c>
      <c r="B1421" s="5" t="s">
        <v>3201</v>
      </c>
      <c r="C1421" s="1" t="str">
        <f aca="false">IF(B1421="NEW ROUTE",1,"")</f>
        <v/>
      </c>
      <c r="E1421" s="5" t="s">
        <v>3201</v>
      </c>
      <c r="F1421" s="6" t="e">
        <f aca="false">VLOOKUP(E1421,$K$2:$L$426,2,FALSE())</f>
        <v>#N/A</v>
      </c>
      <c r="G1421" s="1" t="str">
        <f aca="false">IF(ISNA(F1421),"",F1421)</f>
        <v/>
      </c>
      <c r="H1421" s="5" t="str">
        <f aca="false">IF(G1421&lt;&gt;"",G1421,E1421)</f>
        <v>52, 52, HAUNTER</v>
      </c>
    </row>
    <row r="1422" customFormat="false" ht="12.75" hidden="false" customHeight="true" outlineLevel="0" collapsed="false">
      <c r="A1422" s="4" t="s">
        <v>3200</v>
      </c>
      <c r="B1422" s="5" t="s">
        <v>3200</v>
      </c>
      <c r="C1422" s="1" t="str">
        <f aca="false">IF(B1422="NEW ROUTE",1,"")</f>
        <v/>
      </c>
      <c r="E1422" s="5" t="s">
        <v>3200</v>
      </c>
      <c r="F1422" s="6" t="e">
        <f aca="false">VLOOKUP(E1422,$K$2:$L$426,2,FALSE())</f>
        <v>#N/A</v>
      </c>
      <c r="G1422" s="1" t="str">
        <f aca="false">IF(ISNA(F1422),"",F1422)</f>
        <v/>
      </c>
      <c r="H1422" s="5" t="str">
        <f aca="false">IF(G1422&lt;&gt;"",G1422,E1422)</f>
        <v>22, 22, MISDREAVUS</v>
      </c>
    </row>
    <row r="1423" customFormat="false" ht="12.75" hidden="false" customHeight="true" outlineLevel="0" collapsed="false">
      <c r="A1423" s="4" t="s">
        <v>2536</v>
      </c>
      <c r="B1423" s="5" t="s">
        <v>2536</v>
      </c>
      <c r="C1423" s="1" t="n">
        <f aca="false">IF(B1423="NEW ROUTE",1,"")</f>
        <v>1</v>
      </c>
      <c r="E1423" s="5" t="s">
        <v>2536</v>
      </c>
      <c r="F1423" s="6" t="e">
        <f aca="false">VLOOKUP(E1423,$K$2:$L$426,2,FALSE())</f>
        <v>#N/A</v>
      </c>
      <c r="G1423" s="1" t="str">
        <f aca="false">IF(ISNA(F1423),"",F1423)</f>
        <v/>
      </c>
      <c r="H1423" s="5" t="str">
        <f aca="false">IF(G1423&lt;&gt;"",G1423,E1423)</f>
        <v>NEW ROUTE</v>
      </c>
    </row>
    <row r="1424" customFormat="false" ht="12.75" hidden="false" customHeight="true" outlineLevel="0" collapsed="false">
      <c r="A1424" s="4" t="s">
        <v>310</v>
      </c>
      <c r="B1424" s="5" t="s">
        <v>310</v>
      </c>
      <c r="C1424" s="1" t="str">
        <f aca="false">IF(B1424="NEW ROUTE",1,"")</f>
        <v/>
      </c>
      <c r="E1424" s="5" t="s">
        <v>310</v>
      </c>
      <c r="F1424" s="6" t="str">
        <f aca="false">VLOOKUP(E1424,$K$2:$L$426,2,FALSE())</f>
        <v>Five Island Lost Cave Room 14</v>
      </c>
      <c r="G1424" s="1" t="str">
        <f aca="false">IF(ISNA(F1424),"",F1424)</f>
        <v>Five Island Lost Cave Room 14</v>
      </c>
      <c r="H1424" s="5" t="str">
        <f aca="false">IF(G1424&lt;&gt;"",G1424,E1424)</f>
        <v>Five Island Lost Cave Room 14</v>
      </c>
    </row>
    <row r="1425" customFormat="false" ht="12.75" hidden="false" customHeight="true" outlineLevel="0" collapsed="false">
      <c r="A1425" s="4" t="s">
        <v>2799</v>
      </c>
      <c r="B1425" s="5" t="n">
        <v>0.2</v>
      </c>
      <c r="C1425" s="1" t="str">
        <f aca="false">IF(B1425="NEW ROUTE",1,"")</f>
        <v/>
      </c>
      <c r="E1425" s="5" t="n">
        <v>0.2</v>
      </c>
      <c r="F1425" s="6" t="e">
        <f aca="false">VLOOKUP(E1425,$K$2:$L$426,2,FALSE())</f>
        <v>#N/A</v>
      </c>
      <c r="G1425" s="1" t="str">
        <f aca="false">IF(ISNA(F1425),"",F1425)</f>
        <v/>
      </c>
      <c r="H1425" s="5" t="n">
        <f aca="false">IF(G1425&lt;&gt;"",G1425,E1425)</f>
        <v>0.2</v>
      </c>
    </row>
    <row r="1426" customFormat="false" ht="12.75" hidden="false" customHeight="true" outlineLevel="0" collapsed="false">
      <c r="A1426" s="4" t="s">
        <v>1638</v>
      </c>
      <c r="B1426" s="5" t="s">
        <v>1638</v>
      </c>
      <c r="C1426" s="1" t="str">
        <f aca="false">IF(B1426="NEW ROUTE",1,"")</f>
        <v/>
      </c>
      <c r="E1426" s="5" t="s">
        <v>1638</v>
      </c>
      <c r="F1426" s="6" t="e">
        <f aca="false">VLOOKUP(E1426,$K$2:$L$426,2,FALSE())</f>
        <v>#N/A</v>
      </c>
      <c r="G1426" s="1" t="str">
        <f aca="false">IF(ISNA(F1426),"",F1426)</f>
        <v/>
      </c>
      <c r="H1426" s="5" t="str">
        <f aca="false">IF(G1426&lt;&gt;"",G1426,E1426)</f>
        <v>40, 40, GASTLY</v>
      </c>
    </row>
    <row r="1427" customFormat="false" ht="12.75" hidden="false" customHeight="true" outlineLevel="0" collapsed="false">
      <c r="A1427" s="4" t="s">
        <v>3192</v>
      </c>
      <c r="B1427" s="5" t="s">
        <v>3192</v>
      </c>
      <c r="C1427" s="1" t="str">
        <f aca="false">IF(B1427="NEW ROUTE",1,"")</f>
        <v/>
      </c>
      <c r="E1427" s="5" t="s">
        <v>3192</v>
      </c>
      <c r="F1427" s="6" t="e">
        <f aca="false">VLOOKUP(E1427,$K$2:$L$426,2,FALSE())</f>
        <v>#N/A</v>
      </c>
      <c r="G1427" s="1" t="str">
        <f aca="false">IF(ISNA(F1427),"",F1427)</f>
        <v/>
      </c>
      <c r="H1427" s="5" t="str">
        <f aca="false">IF(G1427&lt;&gt;"",G1427,E1427)</f>
        <v>37, 37, ZUBAT</v>
      </c>
    </row>
    <row r="1428" customFormat="false" ht="12.75" hidden="false" customHeight="true" outlineLevel="0" collapsed="false">
      <c r="A1428" s="4" t="s">
        <v>2801</v>
      </c>
      <c r="B1428" s="5" t="n">
        <v>0.1</v>
      </c>
      <c r="C1428" s="1" t="str">
        <f aca="false">IF(B1428="NEW ROUTE",1,"")</f>
        <v/>
      </c>
      <c r="E1428" s="5" t="n">
        <v>0.1</v>
      </c>
      <c r="F1428" s="6" t="e">
        <f aca="false">VLOOKUP(E1428,$K$2:$L$426,2,FALSE())</f>
        <v>#N/A</v>
      </c>
      <c r="G1428" s="1" t="str">
        <f aca="false">IF(ISNA(F1428),"",F1428)</f>
        <v/>
      </c>
      <c r="H1428" s="5" t="n">
        <f aca="false">IF(G1428&lt;&gt;"",G1428,E1428)</f>
        <v>0.1</v>
      </c>
    </row>
    <row r="1429" customFormat="false" ht="12.75" hidden="false" customHeight="true" outlineLevel="0" collapsed="false">
      <c r="A1429" s="4" t="s">
        <v>3193</v>
      </c>
      <c r="B1429" s="5" t="s">
        <v>3193</v>
      </c>
      <c r="C1429" s="1" t="str">
        <f aca="false">IF(B1429="NEW ROUTE",1,"")</f>
        <v/>
      </c>
      <c r="E1429" s="5" t="s">
        <v>3193</v>
      </c>
      <c r="F1429" s="6" t="e">
        <f aca="false">VLOOKUP(E1429,$K$2:$L$426,2,FALSE())</f>
        <v>#N/A</v>
      </c>
      <c r="G1429" s="1" t="str">
        <f aca="false">IF(ISNA(F1429),"",F1429)</f>
        <v/>
      </c>
      <c r="H1429" s="5" t="str">
        <f aca="false">IF(G1429&lt;&gt;"",G1429,E1429)</f>
        <v>44, 44, HAUNTER</v>
      </c>
    </row>
    <row r="1430" customFormat="false" ht="12.75" hidden="false" customHeight="true" outlineLevel="0" collapsed="false">
      <c r="A1430" s="4" t="s">
        <v>3194</v>
      </c>
      <c r="B1430" s="5" t="s">
        <v>3194</v>
      </c>
      <c r="C1430" s="1" t="str">
        <f aca="false">IF(B1430="NEW ROUTE",1,"")</f>
        <v/>
      </c>
      <c r="E1430" s="5" t="s">
        <v>3194</v>
      </c>
      <c r="F1430" s="6" t="e">
        <f aca="false">VLOOKUP(E1430,$K$2:$L$426,2,FALSE())</f>
        <v>#N/A</v>
      </c>
      <c r="G1430" s="1" t="str">
        <f aca="false">IF(ISNA(F1430),"",F1430)</f>
        <v/>
      </c>
      <c r="H1430" s="5" t="str">
        <f aca="false">IF(G1430&lt;&gt;"",G1430,E1430)</f>
        <v>46, 46, HAUNTER</v>
      </c>
    </row>
    <row r="1431" customFormat="false" ht="12.75" hidden="false" customHeight="true" outlineLevel="0" collapsed="false">
      <c r="A1431" s="4" t="s">
        <v>3195</v>
      </c>
      <c r="B1431" s="5" t="s">
        <v>3195</v>
      </c>
      <c r="C1431" s="1" t="str">
        <f aca="false">IF(B1431="NEW ROUTE",1,"")</f>
        <v/>
      </c>
      <c r="E1431" s="5" t="s">
        <v>3195</v>
      </c>
      <c r="F1431" s="6" t="e">
        <f aca="false">VLOOKUP(E1431,$K$2:$L$426,2,FALSE())</f>
        <v>#N/A</v>
      </c>
      <c r="G1431" s="1" t="str">
        <f aca="false">IF(ISNA(F1431),"",F1431)</f>
        <v/>
      </c>
      <c r="H1431" s="5" t="str">
        <f aca="false">IF(G1431&lt;&gt;"",G1431,E1431)</f>
        <v>41, 41, GOLBAT</v>
      </c>
    </row>
    <row r="1432" customFormat="false" ht="12.75" hidden="false" customHeight="true" outlineLevel="0" collapsed="false">
      <c r="A1432" s="4" t="s">
        <v>3215</v>
      </c>
      <c r="B1432" s="5" t="s">
        <v>3215</v>
      </c>
      <c r="C1432" s="1" t="str">
        <f aca="false">IF(B1432="NEW ROUTE",1,"")</f>
        <v/>
      </c>
      <c r="E1432" s="5" t="s">
        <v>3215</v>
      </c>
      <c r="F1432" s="6" t="e">
        <f aca="false">VLOOKUP(E1432,$K$2:$L$426,2,FALSE())</f>
        <v>#N/A</v>
      </c>
      <c r="G1432" s="1" t="str">
        <f aca="false">IF(ISNA(F1432),"",F1432)</f>
        <v/>
      </c>
      <c r="H1432" s="5" t="str">
        <f aca="false">IF(G1432&lt;&gt;"",G1432,E1432)</f>
        <v>15, 15, MISDREAVUS</v>
      </c>
    </row>
    <row r="1433" customFormat="false" ht="12.75" hidden="false" customHeight="true" outlineLevel="0" collapsed="false">
      <c r="A1433" s="4" t="s">
        <v>2806</v>
      </c>
      <c r="B1433" s="5" t="n">
        <v>0.05</v>
      </c>
      <c r="C1433" s="1" t="str">
        <f aca="false">IF(B1433="NEW ROUTE",1,"")</f>
        <v/>
      </c>
      <c r="E1433" s="5" t="n">
        <v>0.05</v>
      </c>
      <c r="F1433" s="6" t="e">
        <f aca="false">VLOOKUP(E1433,$K$2:$L$426,2,FALSE())</f>
        <v>#N/A</v>
      </c>
      <c r="G1433" s="1" t="str">
        <f aca="false">IF(ISNA(F1433),"",F1433)</f>
        <v/>
      </c>
      <c r="H1433" s="5" t="n">
        <f aca="false">IF(G1433&lt;&gt;"",G1433,E1433)</f>
        <v>0.05</v>
      </c>
    </row>
    <row r="1434" customFormat="false" ht="12.75" hidden="false" customHeight="true" outlineLevel="0" collapsed="false">
      <c r="A1434" s="4" t="s">
        <v>3216</v>
      </c>
      <c r="B1434" s="5" t="s">
        <v>3216</v>
      </c>
      <c r="C1434" s="1" t="str">
        <f aca="false">IF(B1434="NEW ROUTE",1,"")</f>
        <v/>
      </c>
      <c r="E1434" s="5" t="s">
        <v>3216</v>
      </c>
      <c r="F1434" s="6" t="e">
        <f aca="false">VLOOKUP(E1434,$K$2:$L$426,2,FALSE())</f>
        <v>#N/A</v>
      </c>
      <c r="G1434" s="1" t="str">
        <f aca="false">IF(ISNA(F1434),"",F1434)</f>
        <v/>
      </c>
      <c r="H1434" s="5" t="str">
        <f aca="false">IF(G1434&lt;&gt;"",G1434,E1434)</f>
        <v>20, 20, MISDREAVUS</v>
      </c>
    </row>
    <row r="1435" customFormat="false" ht="12.75" hidden="false" customHeight="true" outlineLevel="0" collapsed="false">
      <c r="A1435" s="4" t="s">
        <v>3198</v>
      </c>
      <c r="B1435" s="5" t="s">
        <v>3198</v>
      </c>
      <c r="C1435" s="1" t="str">
        <f aca="false">IF(B1435="NEW ROUTE",1,"")</f>
        <v/>
      </c>
      <c r="E1435" s="5" t="s">
        <v>3198</v>
      </c>
      <c r="F1435" s="6" t="e">
        <f aca="false">VLOOKUP(E1435,$K$2:$L$426,2,FALSE())</f>
        <v>#N/A</v>
      </c>
      <c r="G1435" s="1" t="str">
        <f aca="false">IF(ISNA(F1435),"",F1435)</f>
        <v/>
      </c>
      <c r="H1435" s="5" t="str">
        <f aca="false">IF(G1435&lt;&gt;"",G1435,E1435)</f>
        <v>48, 48, HAUNTER</v>
      </c>
    </row>
    <row r="1436" customFormat="false" ht="12.75" hidden="false" customHeight="true" outlineLevel="0" collapsed="false">
      <c r="A1436" s="4" t="s">
        <v>2809</v>
      </c>
      <c r="B1436" s="5" t="n">
        <v>0.04</v>
      </c>
      <c r="C1436" s="1" t="str">
        <f aca="false">IF(B1436="NEW ROUTE",1,"")</f>
        <v/>
      </c>
      <c r="E1436" s="5" t="n">
        <v>0.04</v>
      </c>
      <c r="F1436" s="6" t="e">
        <f aca="false">VLOOKUP(E1436,$K$2:$L$426,2,FALSE())</f>
        <v>#N/A</v>
      </c>
      <c r="G1436" s="1" t="str">
        <f aca="false">IF(ISNA(F1436),"",F1436)</f>
        <v/>
      </c>
      <c r="H1436" s="5" t="n">
        <f aca="false">IF(G1436&lt;&gt;"",G1436,E1436)</f>
        <v>0.04</v>
      </c>
    </row>
    <row r="1437" customFormat="false" ht="12.75" hidden="false" customHeight="true" outlineLevel="0" collapsed="false">
      <c r="A1437" s="4" t="s">
        <v>3199</v>
      </c>
      <c r="B1437" s="5" t="s">
        <v>3199</v>
      </c>
      <c r="C1437" s="1" t="str">
        <f aca="false">IF(B1437="NEW ROUTE",1,"")</f>
        <v/>
      </c>
      <c r="E1437" s="5" t="s">
        <v>3199</v>
      </c>
      <c r="F1437" s="6" t="e">
        <f aca="false">VLOOKUP(E1437,$K$2:$L$426,2,FALSE())</f>
        <v>#N/A</v>
      </c>
      <c r="G1437" s="1" t="str">
        <f aca="false">IF(ISNA(F1437),"",F1437)</f>
        <v/>
      </c>
      <c r="H1437" s="5" t="str">
        <f aca="false">IF(G1437&lt;&gt;"",G1437,E1437)</f>
        <v>50, 50, HAUNTER</v>
      </c>
    </row>
    <row r="1438" customFormat="false" ht="12.75" hidden="false" customHeight="true" outlineLevel="0" collapsed="false">
      <c r="A1438" s="4" t="s">
        <v>3200</v>
      </c>
      <c r="B1438" s="5" t="s">
        <v>3200</v>
      </c>
      <c r="C1438" s="1" t="str">
        <f aca="false">IF(B1438="NEW ROUTE",1,"")</f>
        <v/>
      </c>
      <c r="E1438" s="5" t="s">
        <v>3200</v>
      </c>
      <c r="F1438" s="6" t="e">
        <f aca="false">VLOOKUP(E1438,$K$2:$L$426,2,FALSE())</f>
        <v>#N/A</v>
      </c>
      <c r="G1438" s="1" t="str">
        <f aca="false">IF(ISNA(F1438),"",F1438)</f>
        <v/>
      </c>
      <c r="H1438" s="5" t="str">
        <f aca="false">IF(G1438&lt;&gt;"",G1438,E1438)</f>
        <v>22, 22, MISDREAVUS</v>
      </c>
    </row>
    <row r="1439" customFormat="false" ht="12.75" hidden="false" customHeight="true" outlineLevel="0" collapsed="false">
      <c r="A1439" s="4" t="s">
        <v>2812</v>
      </c>
      <c r="B1439" s="5" t="n">
        <v>0.01</v>
      </c>
      <c r="C1439" s="1" t="str">
        <f aca="false">IF(B1439="NEW ROUTE",1,"")</f>
        <v/>
      </c>
      <c r="E1439" s="5" t="n">
        <v>0.01</v>
      </c>
      <c r="F1439" s="6" t="e">
        <f aca="false">VLOOKUP(E1439,$K$2:$L$426,2,FALSE())</f>
        <v>#N/A</v>
      </c>
      <c r="G1439" s="1" t="str">
        <f aca="false">IF(ISNA(F1439),"",F1439)</f>
        <v/>
      </c>
      <c r="H1439" s="5" t="n">
        <f aca="false">IF(G1439&lt;&gt;"",G1439,E1439)</f>
        <v>0.01</v>
      </c>
    </row>
    <row r="1440" customFormat="false" ht="12.75" hidden="false" customHeight="true" outlineLevel="0" collapsed="false">
      <c r="A1440" s="4" t="s">
        <v>3201</v>
      </c>
      <c r="B1440" s="5" t="s">
        <v>3201</v>
      </c>
      <c r="C1440" s="1" t="str">
        <f aca="false">IF(B1440="NEW ROUTE",1,"")</f>
        <v/>
      </c>
      <c r="E1440" s="5" t="s">
        <v>3201</v>
      </c>
      <c r="F1440" s="6" t="e">
        <f aca="false">VLOOKUP(E1440,$K$2:$L$426,2,FALSE())</f>
        <v>#N/A</v>
      </c>
      <c r="G1440" s="1" t="str">
        <f aca="false">IF(ISNA(F1440),"",F1440)</f>
        <v/>
      </c>
      <c r="H1440" s="5" t="str">
        <f aca="false">IF(G1440&lt;&gt;"",G1440,E1440)</f>
        <v>52, 52, HAUNTER</v>
      </c>
    </row>
    <row r="1441" customFormat="false" ht="12.75" hidden="false" customHeight="true" outlineLevel="0" collapsed="false">
      <c r="A1441" s="4" t="s">
        <v>3200</v>
      </c>
      <c r="B1441" s="5" t="s">
        <v>3200</v>
      </c>
      <c r="C1441" s="1" t="str">
        <f aca="false">IF(B1441="NEW ROUTE",1,"")</f>
        <v/>
      </c>
      <c r="E1441" s="5" t="s">
        <v>3200</v>
      </c>
      <c r="F1441" s="6" t="e">
        <f aca="false">VLOOKUP(E1441,$K$2:$L$426,2,FALSE())</f>
        <v>#N/A</v>
      </c>
      <c r="G1441" s="1" t="str">
        <f aca="false">IF(ISNA(F1441),"",F1441)</f>
        <v/>
      </c>
      <c r="H1441" s="5" t="str">
        <f aca="false">IF(G1441&lt;&gt;"",G1441,E1441)</f>
        <v>22, 22, MISDREAVUS</v>
      </c>
    </row>
    <row r="1442" customFormat="false" ht="12.75" hidden="false" customHeight="true" outlineLevel="0" collapsed="false">
      <c r="A1442" s="4" t="s">
        <v>2536</v>
      </c>
      <c r="B1442" s="5" t="s">
        <v>2536</v>
      </c>
      <c r="C1442" s="1" t="n">
        <f aca="false">IF(B1442="NEW ROUTE",1,"")</f>
        <v>1</v>
      </c>
      <c r="E1442" s="5" t="s">
        <v>2536</v>
      </c>
      <c r="F1442" s="6" t="e">
        <f aca="false">VLOOKUP(E1442,$K$2:$L$426,2,FALSE())</f>
        <v>#N/A</v>
      </c>
      <c r="G1442" s="1" t="str">
        <f aca="false">IF(ISNA(F1442),"",F1442)</f>
        <v/>
      </c>
      <c r="H1442" s="5" t="str">
        <f aca="false">IF(G1442&lt;&gt;"",G1442,E1442)</f>
        <v>NEW ROUTE</v>
      </c>
    </row>
    <row r="1443" customFormat="false" ht="12.75" hidden="false" customHeight="true" outlineLevel="0" collapsed="false">
      <c r="A1443" s="4" t="s">
        <v>468</v>
      </c>
      <c r="B1443" s="5" t="s">
        <v>468</v>
      </c>
      <c r="C1443" s="1" t="str">
        <f aca="false">IF(B1443="NEW ROUTE",1,"")</f>
        <v/>
      </c>
      <c r="E1443" s="5" t="s">
        <v>468</v>
      </c>
      <c r="F1443" s="6" t="str">
        <f aca="false">VLOOKUP(E1443,$K$2:$L$426,2,FALSE())</f>
        <v>One Island Kindle Road</v>
      </c>
      <c r="G1443" s="1" t="str">
        <f aca="false">IF(ISNA(F1443),"",F1443)</f>
        <v>One Island Kindle Road</v>
      </c>
      <c r="H1443" s="5" t="str">
        <f aca="false">IF(G1443&lt;&gt;"",G1443,E1443)</f>
        <v>One Island Kindle Road</v>
      </c>
    </row>
    <row r="1444" customFormat="false" ht="12.75" hidden="false" customHeight="true" outlineLevel="0" collapsed="false">
      <c r="A1444" s="4" t="s">
        <v>2799</v>
      </c>
      <c r="B1444" s="5" t="n">
        <v>0.2</v>
      </c>
      <c r="C1444" s="1" t="str">
        <f aca="false">IF(B1444="NEW ROUTE",1,"")</f>
        <v/>
      </c>
      <c r="E1444" s="5" t="n">
        <v>0.2</v>
      </c>
      <c r="F1444" s="6" t="e">
        <f aca="false">VLOOKUP(E1444,$K$2:$L$426,2,FALSE())</f>
        <v>#N/A</v>
      </c>
      <c r="G1444" s="1" t="str">
        <f aca="false">IF(ISNA(F1444),"",F1444)</f>
        <v/>
      </c>
      <c r="H1444" s="5" t="n">
        <f aca="false">IF(G1444&lt;&gt;"",G1444,E1444)</f>
        <v>0.2</v>
      </c>
    </row>
    <row r="1445" customFormat="false" ht="12.75" hidden="false" customHeight="true" outlineLevel="0" collapsed="false">
      <c r="A1445" s="4" t="s">
        <v>1666</v>
      </c>
      <c r="B1445" s="5" t="s">
        <v>1666</v>
      </c>
      <c r="C1445" s="1" t="str">
        <f aca="false">IF(B1445="NEW ROUTE",1,"")</f>
        <v/>
      </c>
      <c r="E1445" s="5" t="s">
        <v>1666</v>
      </c>
      <c r="F1445" s="6" t="e">
        <f aca="false">VLOOKUP(E1445,$K$2:$L$426,2,FALSE())</f>
        <v>#N/A</v>
      </c>
      <c r="G1445" s="1" t="str">
        <f aca="false">IF(ISNA(F1445),"",F1445)</f>
        <v/>
      </c>
      <c r="H1445" s="5" t="str">
        <f aca="false">IF(G1445&lt;&gt;"",G1445,E1445)</f>
        <v>32, 32, SPEAROW</v>
      </c>
    </row>
    <row r="1446" customFormat="false" ht="12.75" hidden="false" customHeight="true" outlineLevel="0" collapsed="false">
      <c r="A1446" s="4" t="s">
        <v>3221</v>
      </c>
      <c r="B1446" s="5" t="s">
        <v>3221</v>
      </c>
      <c r="C1446" s="1" t="str">
        <f aca="false">IF(B1446="NEW ROUTE",1,"")</f>
        <v/>
      </c>
      <c r="E1446" s="5" t="s">
        <v>3221</v>
      </c>
      <c r="F1446" s="6" t="e">
        <f aca="false">VLOOKUP(E1446,$K$2:$L$426,2,FALSE())</f>
        <v>#N/A</v>
      </c>
      <c r="G1446" s="1" t="str">
        <f aca="false">IF(ISNA(F1446),"",F1446)</f>
        <v/>
      </c>
      <c r="H1446" s="5" t="str">
        <f aca="false">IF(G1446&lt;&gt;"",G1446,E1446)</f>
        <v>34, 34, PONYTA</v>
      </c>
    </row>
    <row r="1447" customFormat="false" ht="12.75" hidden="false" customHeight="true" outlineLevel="0" collapsed="false">
      <c r="A1447" s="4" t="s">
        <v>2801</v>
      </c>
      <c r="B1447" s="5" t="n">
        <v>0.1</v>
      </c>
      <c r="C1447" s="1" t="str">
        <f aca="false">IF(B1447="NEW ROUTE",1,"")</f>
        <v/>
      </c>
      <c r="E1447" s="5" t="n">
        <v>0.1</v>
      </c>
      <c r="F1447" s="6" t="e">
        <f aca="false">VLOOKUP(E1447,$K$2:$L$426,2,FALSE())</f>
        <v>#N/A</v>
      </c>
      <c r="G1447" s="1" t="str">
        <f aca="false">IF(ISNA(F1447),"",F1447)</f>
        <v/>
      </c>
      <c r="H1447" s="5" t="n">
        <f aca="false">IF(G1447&lt;&gt;"",G1447,E1447)</f>
        <v>0.1</v>
      </c>
    </row>
    <row r="1448" customFormat="false" ht="12.75" hidden="false" customHeight="true" outlineLevel="0" collapsed="false">
      <c r="A1448" s="4" t="s">
        <v>3222</v>
      </c>
      <c r="B1448" s="5" t="s">
        <v>3222</v>
      </c>
      <c r="C1448" s="1" t="str">
        <f aca="false">IF(B1448="NEW ROUTE",1,"")</f>
        <v/>
      </c>
      <c r="E1448" s="5" t="s">
        <v>3222</v>
      </c>
      <c r="F1448" s="6" t="e">
        <f aca="false">VLOOKUP(E1448,$K$2:$L$426,2,FALSE())</f>
        <v>#N/A</v>
      </c>
      <c r="G1448" s="1" t="str">
        <f aca="false">IF(ISNA(F1448),"",F1448)</f>
        <v/>
      </c>
      <c r="H1448" s="5" t="str">
        <f aca="false">IF(G1448&lt;&gt;"",G1448,E1448)</f>
        <v>36, 36, FEAROW</v>
      </c>
    </row>
    <row r="1449" customFormat="false" ht="12.75" hidden="false" customHeight="true" outlineLevel="0" collapsed="false">
      <c r="A1449" s="4" t="s">
        <v>3223</v>
      </c>
      <c r="B1449" s="5" t="s">
        <v>3223</v>
      </c>
      <c r="C1449" s="1" t="str">
        <f aca="false">IF(B1449="NEW ROUTE",1,"")</f>
        <v/>
      </c>
      <c r="E1449" s="5" t="s">
        <v>3223</v>
      </c>
      <c r="F1449" s="6" t="e">
        <f aca="false">VLOOKUP(E1449,$K$2:$L$426,2,FALSE())</f>
        <v>#N/A</v>
      </c>
      <c r="G1449" s="1" t="str">
        <f aca="false">IF(ISNA(F1449),"",F1449)</f>
        <v/>
      </c>
      <c r="H1449" s="5" t="str">
        <f aca="false">IF(G1449&lt;&gt;"",G1449,E1449)</f>
        <v>31, 31, PONYTA</v>
      </c>
    </row>
    <row r="1450" customFormat="false" ht="12.75" hidden="false" customHeight="true" outlineLevel="0" collapsed="false">
      <c r="A1450" s="4" t="s">
        <v>3081</v>
      </c>
      <c r="B1450" s="5" t="s">
        <v>3081</v>
      </c>
      <c r="C1450" s="1" t="str">
        <f aca="false">IF(B1450="NEW ROUTE",1,"")</f>
        <v/>
      </c>
      <c r="E1450" s="5" t="s">
        <v>3081</v>
      </c>
      <c r="F1450" s="6" t="e">
        <f aca="false">VLOOKUP(E1450,$K$2:$L$426,2,FALSE())</f>
        <v>#N/A</v>
      </c>
      <c r="G1450" s="1" t="str">
        <f aca="false">IF(ISNA(F1450),"",F1450)</f>
        <v/>
      </c>
      <c r="H1450" s="5" t="str">
        <f aca="false">IF(G1450&lt;&gt;"",G1450,E1450)</f>
        <v>31, 31, GEODUDE</v>
      </c>
    </row>
    <row r="1451" customFormat="false" ht="12.75" hidden="false" customHeight="true" outlineLevel="0" collapsed="false">
      <c r="A1451" s="4" t="s">
        <v>3224</v>
      </c>
      <c r="B1451" s="5" t="s">
        <v>3224</v>
      </c>
      <c r="C1451" s="1" t="str">
        <f aca="false">IF(B1451="NEW ROUTE",1,"")</f>
        <v/>
      </c>
      <c r="E1451" s="5" t="s">
        <v>3224</v>
      </c>
      <c r="F1451" s="6" t="e">
        <f aca="false">VLOOKUP(E1451,$K$2:$L$426,2,FALSE())</f>
        <v>#N/A</v>
      </c>
      <c r="G1451" s="1" t="str">
        <f aca="false">IF(ISNA(F1451),"",F1451)</f>
        <v/>
      </c>
      <c r="H1451" s="5" t="str">
        <f aca="false">IF(G1451&lt;&gt;"",G1451,E1451)</f>
        <v>31, 31, MEOWTH</v>
      </c>
    </row>
    <row r="1452" customFormat="false" ht="12.75" hidden="false" customHeight="true" outlineLevel="0" collapsed="false">
      <c r="A1452" s="4" t="s">
        <v>2806</v>
      </c>
      <c r="B1452" s="5" t="n">
        <v>0.05</v>
      </c>
      <c r="C1452" s="1" t="str">
        <f aca="false">IF(B1452="NEW ROUTE",1,"")</f>
        <v/>
      </c>
      <c r="E1452" s="5" t="n">
        <v>0.05</v>
      </c>
      <c r="F1452" s="6" t="e">
        <f aca="false">VLOOKUP(E1452,$K$2:$L$426,2,FALSE())</f>
        <v>#N/A</v>
      </c>
      <c r="G1452" s="1" t="str">
        <f aca="false">IF(ISNA(F1452),"",F1452)</f>
        <v/>
      </c>
      <c r="H1452" s="5" t="n">
        <f aca="false">IF(G1452&lt;&gt;"",G1452,E1452)</f>
        <v>0.05</v>
      </c>
    </row>
    <row r="1453" customFormat="false" ht="12.75" hidden="false" customHeight="true" outlineLevel="0" collapsed="false">
      <c r="A1453" s="4" t="s">
        <v>3225</v>
      </c>
      <c r="B1453" s="5" t="s">
        <v>3225</v>
      </c>
      <c r="C1453" s="1" t="str">
        <f aca="false">IF(B1453="NEW ROUTE",1,"")</f>
        <v/>
      </c>
      <c r="E1453" s="5" t="s">
        <v>3225</v>
      </c>
      <c r="F1453" s="6" t="e">
        <f aca="false">VLOOKUP(E1453,$K$2:$L$426,2,FALSE())</f>
        <v>#N/A</v>
      </c>
      <c r="G1453" s="1" t="str">
        <f aca="false">IF(ISNA(F1453),"",F1453)</f>
        <v/>
      </c>
      <c r="H1453" s="5" t="str">
        <f aca="false">IF(G1453&lt;&gt;"",G1453,E1453)</f>
        <v>30, 30, SPEAROW</v>
      </c>
    </row>
    <row r="1454" customFormat="false" ht="12.75" hidden="false" customHeight="true" outlineLevel="0" collapsed="false">
      <c r="A1454" s="4" t="s">
        <v>3226</v>
      </c>
      <c r="B1454" s="5" t="s">
        <v>3226</v>
      </c>
      <c r="C1454" s="1" t="str">
        <f aca="false">IF(B1454="NEW ROUTE",1,"")</f>
        <v/>
      </c>
      <c r="E1454" s="5" t="s">
        <v>3226</v>
      </c>
      <c r="F1454" s="6" t="e">
        <f aca="false">VLOOKUP(E1454,$K$2:$L$426,2,FALSE())</f>
        <v>#N/A</v>
      </c>
      <c r="G1454" s="1" t="str">
        <f aca="false">IF(ISNA(F1454),"",F1454)</f>
        <v/>
      </c>
      <c r="H1454" s="5" t="str">
        <f aca="false">IF(G1454&lt;&gt;"",G1454,E1454)</f>
        <v>34, 34, SLOWPOKE</v>
      </c>
    </row>
    <row r="1455" customFormat="false" ht="12.75" hidden="false" customHeight="true" outlineLevel="0" collapsed="false">
      <c r="A1455" s="4" t="s">
        <v>2809</v>
      </c>
      <c r="B1455" s="5" t="n">
        <v>0.04</v>
      </c>
      <c r="C1455" s="1" t="str">
        <f aca="false">IF(B1455="NEW ROUTE",1,"")</f>
        <v/>
      </c>
      <c r="E1455" s="5" t="n">
        <v>0.04</v>
      </c>
      <c r="F1455" s="6" t="e">
        <f aca="false">VLOOKUP(E1455,$K$2:$L$426,2,FALSE())</f>
        <v>#N/A</v>
      </c>
      <c r="G1455" s="1" t="str">
        <f aca="false">IF(ISNA(F1455),"",F1455)</f>
        <v/>
      </c>
      <c r="H1455" s="5" t="n">
        <f aca="false">IF(G1455&lt;&gt;"",G1455,E1455)</f>
        <v>0.04</v>
      </c>
    </row>
    <row r="1456" customFormat="false" ht="12.75" hidden="false" customHeight="true" outlineLevel="0" collapsed="false">
      <c r="A1456" s="4" t="s">
        <v>3227</v>
      </c>
      <c r="B1456" s="5" t="s">
        <v>3227</v>
      </c>
      <c r="C1456" s="1" t="str">
        <f aca="false">IF(B1456="NEW ROUTE",1,"")</f>
        <v/>
      </c>
      <c r="E1456" s="5" t="s">
        <v>3227</v>
      </c>
      <c r="F1456" s="6" t="e">
        <f aca="false">VLOOKUP(E1456,$K$2:$L$426,2,FALSE())</f>
        <v>#N/A</v>
      </c>
      <c r="G1456" s="1" t="str">
        <f aca="false">IF(ISNA(F1456),"",F1456)</f>
        <v/>
      </c>
      <c r="H1456" s="5" t="str">
        <f aca="false">IF(G1456&lt;&gt;"",G1456,E1456)</f>
        <v>37, 37, RAPIDASH</v>
      </c>
    </row>
    <row r="1457" customFormat="false" ht="12.75" hidden="false" customHeight="true" outlineLevel="0" collapsed="false">
      <c r="A1457" s="4" t="s">
        <v>3228</v>
      </c>
      <c r="B1457" s="5" t="s">
        <v>3228</v>
      </c>
      <c r="C1457" s="1" t="str">
        <f aca="false">IF(B1457="NEW ROUTE",1,"")</f>
        <v/>
      </c>
      <c r="E1457" s="5" t="s">
        <v>3228</v>
      </c>
      <c r="F1457" s="6" t="e">
        <f aca="false">VLOOKUP(E1457,$K$2:$L$426,2,FALSE())</f>
        <v>#N/A</v>
      </c>
      <c r="G1457" s="1" t="str">
        <f aca="false">IF(ISNA(F1457),"",F1457)</f>
        <v/>
      </c>
      <c r="H1457" s="5" t="str">
        <f aca="false">IF(G1457&lt;&gt;"",G1457,E1457)</f>
        <v>37, 37, PERSIAN</v>
      </c>
    </row>
    <row r="1458" customFormat="false" ht="12.75" hidden="false" customHeight="true" outlineLevel="0" collapsed="false">
      <c r="A1458" s="4" t="s">
        <v>2812</v>
      </c>
      <c r="B1458" s="5" t="n">
        <v>0.01</v>
      </c>
      <c r="C1458" s="1" t="str">
        <f aca="false">IF(B1458="NEW ROUTE",1,"")</f>
        <v/>
      </c>
      <c r="E1458" s="5" t="n">
        <v>0.01</v>
      </c>
      <c r="F1458" s="6" t="e">
        <f aca="false">VLOOKUP(E1458,$K$2:$L$426,2,FALSE())</f>
        <v>#N/A</v>
      </c>
      <c r="G1458" s="1" t="str">
        <f aca="false">IF(ISNA(F1458),"",F1458)</f>
        <v/>
      </c>
      <c r="H1458" s="5" t="n">
        <f aca="false">IF(G1458&lt;&gt;"",G1458,E1458)</f>
        <v>0.01</v>
      </c>
    </row>
    <row r="1459" customFormat="false" ht="12.75" hidden="false" customHeight="true" outlineLevel="0" collapsed="false">
      <c r="A1459" s="4" t="s">
        <v>3229</v>
      </c>
      <c r="B1459" s="5" t="s">
        <v>3229</v>
      </c>
      <c r="C1459" s="1" t="str">
        <f aca="false">IF(B1459="NEW ROUTE",1,"")</f>
        <v/>
      </c>
      <c r="E1459" s="5" t="s">
        <v>3229</v>
      </c>
      <c r="F1459" s="6" t="e">
        <f aca="false">VLOOKUP(E1459,$K$2:$L$426,2,FALSE())</f>
        <v>#N/A</v>
      </c>
      <c r="G1459" s="1" t="str">
        <f aca="false">IF(ISNA(F1459),"",F1459)</f>
        <v/>
      </c>
      <c r="H1459" s="5" t="str">
        <f aca="false">IF(G1459&lt;&gt;"",G1459,E1459)</f>
        <v>40, 40, RAPIDASH</v>
      </c>
    </row>
    <row r="1460" customFormat="false" ht="12.75" hidden="false" customHeight="true" outlineLevel="0" collapsed="false">
      <c r="A1460" s="4" t="s">
        <v>3230</v>
      </c>
      <c r="B1460" s="5" t="s">
        <v>3230</v>
      </c>
      <c r="C1460" s="1" t="str">
        <f aca="false">IF(B1460="NEW ROUTE",1,"")</f>
        <v/>
      </c>
      <c r="E1460" s="5" t="s">
        <v>3230</v>
      </c>
      <c r="F1460" s="6" t="e">
        <f aca="false">VLOOKUP(E1460,$K$2:$L$426,2,FALSE())</f>
        <v>#N/A</v>
      </c>
      <c r="G1460" s="1" t="str">
        <f aca="false">IF(ISNA(F1460),"",F1460)</f>
        <v/>
      </c>
      <c r="H1460" s="5" t="str">
        <f aca="false">IF(G1460&lt;&gt;"",G1460,E1460)</f>
        <v>40, 40, PERSIAN</v>
      </c>
    </row>
    <row r="1461" customFormat="false" ht="12.75" hidden="false" customHeight="true" outlineLevel="0" collapsed="false">
      <c r="A1461" s="4" t="s">
        <v>3172</v>
      </c>
      <c r="B1461" s="5" t="s">
        <v>3172</v>
      </c>
      <c r="C1461" s="1" t="str">
        <f aca="false">IF(B1461="NEW ROUTE",1,"")</f>
        <v/>
      </c>
      <c r="E1461" s="5" t="s">
        <v>3172</v>
      </c>
      <c r="F1461" s="6" t="e">
        <f aca="false">VLOOKUP(E1461,$K$2:$L$426,2,FALSE())</f>
        <v>#N/A</v>
      </c>
      <c r="G1461" s="1" t="str">
        <f aca="false">IF(ISNA(F1461),"",F1461)</f>
        <v/>
      </c>
      <c r="H1461" s="5" t="str">
        <f aca="false">IF(G1461&lt;&gt;"",G1461,E1461)</f>
        <v>2, 5, 20, TENTACOOL</v>
      </c>
    </row>
    <row r="1462" customFormat="false" ht="12.75" hidden="false" customHeight="true" outlineLevel="0" collapsed="false">
      <c r="A1462" s="4" t="s">
        <v>3173</v>
      </c>
      <c r="B1462" s="5" t="s">
        <v>3173</v>
      </c>
      <c r="C1462" s="1" t="str">
        <f aca="false">IF(B1462="NEW ROUTE",1,"")</f>
        <v/>
      </c>
      <c r="E1462" s="5" t="s">
        <v>3173</v>
      </c>
      <c r="F1462" s="6" t="e">
        <f aca="false">VLOOKUP(E1462,$K$2:$L$426,2,FALSE())</f>
        <v>#N/A</v>
      </c>
      <c r="G1462" s="1" t="str">
        <f aca="false">IF(ISNA(F1462),"",F1462)</f>
        <v/>
      </c>
      <c r="H1462" s="5" t="str">
        <f aca="false">IF(G1462&lt;&gt;"",G1462,E1462)</f>
        <v>20, 35, TENTACOOL</v>
      </c>
    </row>
    <row r="1463" customFormat="false" ht="12.75" hidden="false" customHeight="true" outlineLevel="0" collapsed="false">
      <c r="A1463" s="4" t="s">
        <v>2844</v>
      </c>
      <c r="B1463" s="5" t="s">
        <v>2844</v>
      </c>
      <c r="C1463" s="1" t="str">
        <f aca="false">IF(B1463="NEW ROUTE",1,"")</f>
        <v/>
      </c>
      <c r="E1463" s="5" t="s">
        <v>2844</v>
      </c>
      <c r="F1463" s="6" t="e">
        <f aca="false">VLOOKUP(E1463,$K$2:$L$426,2,FALSE())</f>
        <v>#N/A</v>
      </c>
      <c r="G1463" s="1" t="str">
        <f aca="false">IF(ISNA(F1463),"",F1463)</f>
        <v/>
      </c>
      <c r="H1463" s="5" t="str">
        <f aca="false">IF(G1463&lt;&gt;"",G1463,E1463)</f>
        <v>35, 40, TENTACOOL</v>
      </c>
    </row>
    <row r="1464" customFormat="false" ht="12.75" hidden="false" customHeight="true" outlineLevel="0" collapsed="false">
      <c r="A1464" s="4" t="s">
        <v>3231</v>
      </c>
      <c r="B1464" s="5" t="s">
        <v>3231</v>
      </c>
      <c r="C1464" s="1" t="str">
        <f aca="false">IF(B1464="NEW ROUTE",1,"")</f>
        <v/>
      </c>
      <c r="E1464" s="5" t="s">
        <v>3231</v>
      </c>
      <c r="F1464" s="6" t="e">
        <f aca="false">VLOOKUP(E1464,$K$2:$L$426,2,FALSE())</f>
        <v>#N/A</v>
      </c>
      <c r="G1464" s="1" t="str">
        <f aca="false">IF(ISNA(F1464),"",F1464)</f>
        <v/>
      </c>
      <c r="H1464" s="5" t="str">
        <f aca="false">IF(G1464&lt;&gt;"",G1464,E1464)</f>
        <v>35, 40, TENTACRUEL</v>
      </c>
    </row>
    <row r="1465" customFormat="false" ht="12.75" hidden="false" customHeight="true" outlineLevel="0" collapsed="false">
      <c r="A1465" s="4" t="s">
        <v>3231</v>
      </c>
      <c r="B1465" s="5" t="s">
        <v>3231</v>
      </c>
      <c r="C1465" s="1" t="str">
        <f aca="false">IF(B1465="NEW ROUTE",1,"")</f>
        <v/>
      </c>
      <c r="E1465" s="5" t="s">
        <v>3231</v>
      </c>
      <c r="F1465" s="6" t="e">
        <f aca="false">VLOOKUP(E1465,$K$2:$L$426,2,FALSE())</f>
        <v>#N/A</v>
      </c>
      <c r="G1465" s="1" t="str">
        <f aca="false">IF(ISNA(F1465),"",F1465)</f>
        <v/>
      </c>
      <c r="H1465" s="5" t="str">
        <f aca="false">IF(G1465&lt;&gt;"",G1465,E1465)</f>
        <v>35, 40, TENTACRUEL</v>
      </c>
    </row>
    <row r="1466" customFormat="false" ht="12.75" hidden="false" customHeight="true" outlineLevel="0" collapsed="false">
      <c r="A1466" s="4" t="s">
        <v>3232</v>
      </c>
      <c r="B1466" s="5" t="s">
        <v>3232</v>
      </c>
      <c r="C1466" s="1" t="str">
        <f aca="false">IF(B1466="NEW ROUTE",1,"")</f>
        <v/>
      </c>
      <c r="E1466" s="5" t="s">
        <v>3232</v>
      </c>
      <c r="F1466" s="6" t="e">
        <f aca="false">VLOOKUP(E1466,$K$2:$L$426,2,FALSE())</f>
        <v>#N/A</v>
      </c>
      <c r="G1466" s="1" t="str">
        <f aca="false">IF(ISNA(F1466),"",F1466)</f>
        <v/>
      </c>
      <c r="H1466" s="5" t="str">
        <f aca="false">IF(G1466&lt;&gt;"",G1466,E1466)</f>
        <v>25, 5, 20, GEODUDE</v>
      </c>
    </row>
    <row r="1467" customFormat="false" ht="12.75" hidden="false" customHeight="true" outlineLevel="0" collapsed="false">
      <c r="A1467" s="4" t="s">
        <v>3000</v>
      </c>
      <c r="B1467" s="5" t="s">
        <v>3000</v>
      </c>
      <c r="C1467" s="1" t="str">
        <f aca="false">IF(B1467="NEW ROUTE",1,"")</f>
        <v/>
      </c>
      <c r="E1467" s="5" t="s">
        <v>3000</v>
      </c>
      <c r="F1467" s="6" t="e">
        <f aca="false">VLOOKUP(E1467,$K$2:$L$426,2,FALSE())</f>
        <v>#N/A</v>
      </c>
      <c r="G1467" s="1" t="str">
        <f aca="false">IF(ISNA(F1467),"",F1467)</f>
        <v/>
      </c>
      <c r="H1467" s="5" t="str">
        <f aca="false">IF(G1467&lt;&gt;"",G1467,E1467)</f>
        <v>10, 20, GEODUDE</v>
      </c>
    </row>
    <row r="1468" customFormat="false" ht="12.75" hidden="false" customHeight="true" outlineLevel="0" collapsed="false">
      <c r="A1468" s="4" t="s">
        <v>3001</v>
      </c>
      <c r="B1468" s="5" t="s">
        <v>3001</v>
      </c>
      <c r="C1468" s="1" t="str">
        <f aca="false">IF(B1468="NEW ROUTE",1,"")</f>
        <v/>
      </c>
      <c r="E1468" s="5" t="s">
        <v>3001</v>
      </c>
      <c r="F1468" s="6" t="e">
        <f aca="false">VLOOKUP(E1468,$K$2:$L$426,2,FALSE())</f>
        <v>#N/A</v>
      </c>
      <c r="G1468" s="1" t="str">
        <f aca="false">IF(ISNA(F1468),"",F1468)</f>
        <v/>
      </c>
      <c r="H1468" s="5" t="str">
        <f aca="false">IF(G1468&lt;&gt;"",G1468,E1468)</f>
        <v>15, 30, GEODUDE</v>
      </c>
    </row>
    <row r="1469" customFormat="false" ht="12.75" hidden="false" customHeight="true" outlineLevel="0" collapsed="false">
      <c r="A1469" s="4" t="s">
        <v>3002</v>
      </c>
      <c r="B1469" s="5" t="s">
        <v>3002</v>
      </c>
      <c r="C1469" s="1" t="str">
        <f aca="false">IF(B1469="NEW ROUTE",1,"")</f>
        <v/>
      </c>
      <c r="E1469" s="5" t="s">
        <v>3002</v>
      </c>
      <c r="F1469" s="6" t="e">
        <f aca="false">VLOOKUP(E1469,$K$2:$L$426,2,FALSE())</f>
        <v>#N/A</v>
      </c>
      <c r="G1469" s="1" t="str">
        <f aca="false">IF(ISNA(F1469),"",F1469)</f>
        <v/>
      </c>
      <c r="H1469" s="5" t="str">
        <f aca="false">IF(G1469&lt;&gt;"",G1469,E1469)</f>
        <v>25, 40, GRAVELER</v>
      </c>
    </row>
    <row r="1470" customFormat="false" ht="12.75" hidden="false" customHeight="true" outlineLevel="0" collapsed="false">
      <c r="A1470" s="4" t="s">
        <v>3233</v>
      </c>
      <c r="B1470" s="5" t="s">
        <v>3233</v>
      </c>
      <c r="C1470" s="1" t="str">
        <f aca="false">IF(B1470="NEW ROUTE",1,"")</f>
        <v/>
      </c>
      <c r="E1470" s="5" t="s">
        <v>3233</v>
      </c>
      <c r="F1470" s="6" t="e">
        <f aca="false">VLOOKUP(E1470,$K$2:$L$426,2,FALSE())</f>
        <v>#N/A</v>
      </c>
      <c r="G1470" s="1" t="str">
        <f aca="false">IF(ISNA(F1470),"",F1470)</f>
        <v/>
      </c>
      <c r="H1470" s="5" t="str">
        <f aca="false">IF(G1470&lt;&gt;"",G1470,E1470)</f>
        <v>30, 40, GRAVELER</v>
      </c>
    </row>
    <row r="1471" customFormat="false" ht="12.75" hidden="false" customHeight="true" outlineLevel="0" collapsed="false">
      <c r="A1471" s="4" t="s">
        <v>2925</v>
      </c>
      <c r="B1471" s="5" t="s">
        <v>2925</v>
      </c>
      <c r="C1471" s="1" t="str">
        <f aca="false">IF(B1471="NEW ROUTE",1,"")</f>
        <v/>
      </c>
      <c r="E1471" s="5" t="s">
        <v>2925</v>
      </c>
      <c r="F1471" s="6" t="e">
        <f aca="false">VLOOKUP(E1471,$K$2:$L$426,2,FALSE())</f>
        <v>#N/A</v>
      </c>
      <c r="G1471" s="1" t="str">
        <f aca="false">IF(ISNA(F1471),"",F1471)</f>
        <v/>
      </c>
      <c r="H1471" s="5" t="str">
        <f aca="false">IF(G1471&lt;&gt;"",G1471,E1471)</f>
        <v>20, old rod:</v>
      </c>
    </row>
    <row r="1472" customFormat="false" ht="12.75" hidden="false" customHeight="true" outlineLevel="0" collapsed="false">
      <c r="A1472" s="4" t="s">
        <v>1266</v>
      </c>
      <c r="B1472" s="5" t="s">
        <v>1266</v>
      </c>
      <c r="C1472" s="1" t="str">
        <f aca="false">IF(B1472="NEW ROUTE",1,"")</f>
        <v/>
      </c>
      <c r="E1472" s="5" t="s">
        <v>1266</v>
      </c>
      <c r="F1472" s="6" t="e">
        <f aca="false">VLOOKUP(E1472,$K$2:$L$426,2,FALSE())</f>
        <v>#N/A</v>
      </c>
      <c r="G1472" s="1" t="str">
        <f aca="false">IF(ISNA(F1472),"",F1472)</f>
        <v/>
      </c>
      <c r="H1472" s="5" t="str">
        <f aca="false">IF(G1472&lt;&gt;"",G1472,E1472)</f>
        <v>5, 5, MAGIKARP</v>
      </c>
    </row>
    <row r="1473" customFormat="false" ht="12.75" hidden="false" customHeight="true" outlineLevel="0" collapsed="false">
      <c r="A1473" s="4" t="s">
        <v>1266</v>
      </c>
      <c r="B1473" s="5" t="s">
        <v>1266</v>
      </c>
      <c r="C1473" s="1" t="str">
        <f aca="false">IF(B1473="NEW ROUTE",1,"")</f>
        <v/>
      </c>
      <c r="E1473" s="5" t="s">
        <v>1266</v>
      </c>
      <c r="F1473" s="6" t="e">
        <f aca="false">VLOOKUP(E1473,$K$2:$L$426,2,FALSE())</f>
        <v>#N/A</v>
      </c>
      <c r="G1473" s="1" t="str">
        <f aca="false">IF(ISNA(F1473),"",F1473)</f>
        <v/>
      </c>
      <c r="H1473" s="5" t="str">
        <f aca="false">IF(G1473&lt;&gt;"",G1473,E1473)</f>
        <v>5, 5, MAGIKARP</v>
      </c>
    </row>
    <row r="1474" customFormat="false" ht="12.75" hidden="false" customHeight="true" outlineLevel="0" collapsed="false">
      <c r="A1474" s="4" t="s">
        <v>2846</v>
      </c>
      <c r="B1474" s="5" t="s">
        <v>2846</v>
      </c>
      <c r="C1474" s="1" t="str">
        <f aca="false">IF(B1474="NEW ROUTE",1,"")</f>
        <v/>
      </c>
      <c r="E1474" s="5" t="s">
        <v>2846</v>
      </c>
      <c r="F1474" s="6" t="e">
        <f aca="false">VLOOKUP(E1474,$K$2:$L$426,2,FALSE())</f>
        <v>#N/A</v>
      </c>
      <c r="G1474" s="1" t="str">
        <f aca="false">IF(ISNA(F1474),"",F1474)</f>
        <v/>
      </c>
      <c r="H1474" s="5" t="str">
        <f aca="false">IF(G1474&lt;&gt;"",G1474,E1474)</f>
        <v>good rod:</v>
      </c>
    </row>
    <row r="1475" customFormat="false" ht="12.75" hidden="false" customHeight="true" outlineLevel="0" collapsed="false">
      <c r="A1475" s="4" t="s">
        <v>2847</v>
      </c>
      <c r="B1475" s="5" t="s">
        <v>2847</v>
      </c>
      <c r="C1475" s="1" t="str">
        <f aca="false">IF(B1475="NEW ROUTE",1,"")</f>
        <v/>
      </c>
      <c r="E1475" s="5" t="s">
        <v>2847</v>
      </c>
      <c r="F1475" s="6" t="e">
        <f aca="false">VLOOKUP(E1475,$K$2:$L$426,2,FALSE())</f>
        <v>#N/A</v>
      </c>
      <c r="G1475" s="1" t="str">
        <f aca="false">IF(ISNA(F1475),"",F1475)</f>
        <v/>
      </c>
      <c r="H1475" s="5" t="str">
        <f aca="false">IF(G1475&lt;&gt;"",G1475,E1475)</f>
        <v>5, 15, KRABBY</v>
      </c>
    </row>
    <row r="1476" customFormat="false" ht="12.75" hidden="false" customHeight="true" outlineLevel="0" collapsed="false">
      <c r="A1476" s="4" t="s">
        <v>2848</v>
      </c>
      <c r="B1476" s="5" t="s">
        <v>2848</v>
      </c>
      <c r="C1476" s="1" t="str">
        <f aca="false">IF(B1476="NEW ROUTE",1,"")</f>
        <v/>
      </c>
      <c r="E1476" s="5" t="s">
        <v>2848</v>
      </c>
      <c r="F1476" s="6" t="e">
        <f aca="false">VLOOKUP(E1476,$K$2:$L$426,2,FALSE())</f>
        <v>#N/A</v>
      </c>
      <c r="G1476" s="1" t="str">
        <f aca="false">IF(ISNA(F1476),"",F1476)</f>
        <v/>
      </c>
      <c r="H1476" s="5" t="str">
        <f aca="false">IF(G1476&lt;&gt;"",G1476,E1476)</f>
        <v>5, 15, MAGIKARP</v>
      </c>
    </row>
    <row r="1477" customFormat="false" ht="12.75" hidden="false" customHeight="true" outlineLevel="0" collapsed="false">
      <c r="A1477" s="4" t="s">
        <v>2847</v>
      </c>
      <c r="B1477" s="5" t="s">
        <v>2847</v>
      </c>
      <c r="C1477" s="1" t="str">
        <f aca="false">IF(B1477="NEW ROUTE",1,"")</f>
        <v/>
      </c>
      <c r="E1477" s="5" t="s">
        <v>2847</v>
      </c>
      <c r="F1477" s="6" t="e">
        <f aca="false">VLOOKUP(E1477,$K$2:$L$426,2,FALSE())</f>
        <v>#N/A</v>
      </c>
      <c r="G1477" s="1" t="str">
        <f aca="false">IF(ISNA(F1477),"",F1477)</f>
        <v/>
      </c>
      <c r="H1477" s="5" t="str">
        <f aca="false">IF(G1477&lt;&gt;"",G1477,E1477)</f>
        <v>5, 15, KRABBY</v>
      </c>
    </row>
    <row r="1478" customFormat="false" ht="12.75" hidden="false" customHeight="true" outlineLevel="0" collapsed="false">
      <c r="A1478" s="4" t="s">
        <v>2850</v>
      </c>
      <c r="B1478" s="5" t="s">
        <v>2850</v>
      </c>
      <c r="C1478" s="1" t="str">
        <f aca="false">IF(B1478="NEW ROUTE",1,"")</f>
        <v/>
      </c>
      <c r="E1478" s="5" t="s">
        <v>2850</v>
      </c>
      <c r="F1478" s="6" t="e">
        <f aca="false">VLOOKUP(E1478,$K$2:$L$426,2,FALSE())</f>
        <v>#N/A</v>
      </c>
      <c r="G1478" s="1" t="str">
        <f aca="false">IF(ISNA(F1478),"",F1478)</f>
        <v/>
      </c>
      <c r="H1478" s="5" t="str">
        <f aca="false">IF(G1478&lt;&gt;"",G1478,E1478)</f>
        <v>super rod:</v>
      </c>
    </row>
    <row r="1479" customFormat="false" ht="12.75" hidden="false" customHeight="true" outlineLevel="0" collapsed="false">
      <c r="A1479" s="4" t="s">
        <v>2851</v>
      </c>
      <c r="B1479" s="5" t="s">
        <v>2851</v>
      </c>
      <c r="C1479" s="1" t="str">
        <f aca="false">IF(B1479="NEW ROUTE",1,"")</f>
        <v/>
      </c>
      <c r="E1479" s="5" t="s">
        <v>2851</v>
      </c>
      <c r="F1479" s="6" t="e">
        <f aca="false">VLOOKUP(E1479,$K$2:$L$426,2,FALSE())</f>
        <v>#N/A</v>
      </c>
      <c r="G1479" s="1" t="str">
        <f aca="false">IF(ISNA(F1479),"",F1479)</f>
        <v/>
      </c>
      <c r="H1479" s="5" t="str">
        <f aca="false">IF(G1479&lt;&gt;"",G1479,E1479)</f>
        <v>15, 25, KRABBY</v>
      </c>
    </row>
    <row r="1480" customFormat="false" ht="12.75" hidden="false" customHeight="true" outlineLevel="0" collapsed="false">
      <c r="A1480" s="4" t="s">
        <v>2851</v>
      </c>
      <c r="B1480" s="5" t="s">
        <v>2851</v>
      </c>
      <c r="C1480" s="1" t="str">
        <f aca="false">IF(B1480="NEW ROUTE",1,"")</f>
        <v/>
      </c>
      <c r="E1480" s="5" t="s">
        <v>2851</v>
      </c>
      <c r="F1480" s="6" t="e">
        <f aca="false">VLOOKUP(E1480,$K$2:$L$426,2,FALSE())</f>
        <v>#N/A</v>
      </c>
      <c r="G1480" s="1" t="str">
        <f aca="false">IF(ISNA(F1480),"",F1480)</f>
        <v/>
      </c>
      <c r="H1480" s="5" t="str">
        <f aca="false">IF(G1480&lt;&gt;"",G1480,E1480)</f>
        <v>15, 25, KRABBY</v>
      </c>
    </row>
    <row r="1481" customFormat="false" ht="12.75" hidden="false" customHeight="true" outlineLevel="0" collapsed="false">
      <c r="A1481" s="4" t="s">
        <v>2853</v>
      </c>
      <c r="B1481" s="5" t="s">
        <v>2853</v>
      </c>
      <c r="C1481" s="1" t="str">
        <f aca="false">IF(B1481="NEW ROUTE",1,"")</f>
        <v/>
      </c>
      <c r="E1481" s="5" t="s">
        <v>2853</v>
      </c>
      <c r="F1481" s="6" t="e">
        <f aca="false">VLOOKUP(E1481,$K$2:$L$426,2,FALSE())</f>
        <v>#N/A</v>
      </c>
      <c r="G1481" s="1" t="str">
        <f aca="false">IF(ISNA(F1481),"",F1481)</f>
        <v/>
      </c>
      <c r="H1481" s="5" t="str">
        <f aca="false">IF(G1481&lt;&gt;"",G1481,E1481)</f>
        <v>15, 25, GYARADOS</v>
      </c>
    </row>
    <row r="1482" customFormat="false" ht="12.75" hidden="false" customHeight="true" outlineLevel="0" collapsed="false">
      <c r="A1482" s="4" t="s">
        <v>3177</v>
      </c>
      <c r="B1482" s="5" t="s">
        <v>3177</v>
      </c>
      <c r="C1482" s="1" t="str">
        <f aca="false">IF(B1482="NEW ROUTE",1,"")</f>
        <v/>
      </c>
      <c r="E1482" s="5" t="s">
        <v>3177</v>
      </c>
      <c r="F1482" s="6" t="e">
        <f aca="false">VLOOKUP(E1482,$K$2:$L$426,2,FALSE())</f>
        <v>#N/A</v>
      </c>
      <c r="G1482" s="1" t="str">
        <f aca="false">IF(ISNA(F1482),"",F1482)</f>
        <v/>
      </c>
      <c r="H1482" s="5" t="str">
        <f aca="false">IF(G1482&lt;&gt;"",G1482,E1482)</f>
        <v>25, 35, KINGLER</v>
      </c>
    </row>
    <row r="1483" customFormat="false" ht="12.75" hidden="false" customHeight="true" outlineLevel="0" collapsed="false">
      <c r="A1483" s="4" t="s">
        <v>2855</v>
      </c>
      <c r="B1483" s="5" t="s">
        <v>2855</v>
      </c>
      <c r="C1483" s="1" t="str">
        <f aca="false">IF(B1483="NEW ROUTE",1,"")</f>
        <v/>
      </c>
      <c r="E1483" s="5" t="s">
        <v>2855</v>
      </c>
      <c r="F1483" s="6" t="e">
        <f aca="false">VLOOKUP(E1483,$K$2:$L$426,2,FALSE())</f>
        <v>#N/A</v>
      </c>
      <c r="G1483" s="1" t="str">
        <f aca="false">IF(ISNA(F1483),"",F1483)</f>
        <v/>
      </c>
      <c r="H1483" s="5" t="str">
        <f aca="false">IF(G1483&lt;&gt;"",G1483,E1483)</f>
        <v>25, 35, SLOWPOKE</v>
      </c>
    </row>
    <row r="1484" customFormat="false" ht="12.75" hidden="false" customHeight="true" outlineLevel="0" collapsed="false">
      <c r="A1484" s="4" t="s">
        <v>2536</v>
      </c>
      <c r="B1484" s="5" t="s">
        <v>2536</v>
      </c>
      <c r="C1484" s="1" t="n">
        <f aca="false">IF(B1484="NEW ROUTE",1,"")</f>
        <v>1</v>
      </c>
      <c r="E1484" s="5" t="s">
        <v>2536</v>
      </c>
      <c r="F1484" s="6" t="e">
        <f aca="false">VLOOKUP(E1484,$K$2:$L$426,2,FALSE())</f>
        <v>#N/A</v>
      </c>
      <c r="G1484" s="1" t="str">
        <f aca="false">IF(ISNA(F1484),"",F1484)</f>
        <v/>
      </c>
      <c r="H1484" s="5" t="str">
        <f aca="false">IF(G1484&lt;&gt;"",G1484,E1484)</f>
        <v>NEW ROUTE</v>
      </c>
    </row>
    <row r="1485" customFormat="false" ht="12.75" hidden="false" customHeight="true" outlineLevel="0" collapsed="false">
      <c r="A1485" s="4" t="s">
        <v>470</v>
      </c>
      <c r="B1485" s="5" t="s">
        <v>470</v>
      </c>
      <c r="C1485" s="1" t="str">
        <f aca="false">IF(B1485="NEW ROUTE",1,"")</f>
        <v/>
      </c>
      <c r="E1485" s="5" t="s">
        <v>470</v>
      </c>
      <c r="F1485" s="6" t="str">
        <f aca="false">VLOOKUP(E1485,$K$2:$L$426,2,FALSE())</f>
        <v>One Island Treasure Beach</v>
      </c>
      <c r="G1485" s="1" t="str">
        <f aca="false">IF(ISNA(F1485),"",F1485)</f>
        <v>One Island Treasure Beach</v>
      </c>
      <c r="H1485" s="5" t="str">
        <f aca="false">IF(G1485&lt;&gt;"",G1485,E1485)</f>
        <v>One Island Treasure Beach</v>
      </c>
    </row>
    <row r="1486" customFormat="false" ht="12.75" hidden="false" customHeight="true" outlineLevel="0" collapsed="false">
      <c r="A1486" s="4" t="s">
        <v>2799</v>
      </c>
      <c r="B1486" s="5" t="n">
        <v>0.2</v>
      </c>
      <c r="C1486" s="1" t="str">
        <f aca="false">IF(B1486="NEW ROUTE",1,"")</f>
        <v/>
      </c>
      <c r="E1486" s="5" t="n">
        <v>0.2</v>
      </c>
      <c r="F1486" s="6" t="e">
        <f aca="false">VLOOKUP(E1486,$K$2:$L$426,2,FALSE())</f>
        <v>#N/A</v>
      </c>
      <c r="G1486" s="1" t="str">
        <f aca="false">IF(ISNA(F1486),"",F1486)</f>
        <v/>
      </c>
      <c r="H1486" s="5" t="n">
        <f aca="false">IF(G1486&lt;&gt;"",G1486,E1486)</f>
        <v>0.2</v>
      </c>
    </row>
    <row r="1487" customFormat="false" ht="12.75" hidden="false" customHeight="true" outlineLevel="0" collapsed="false">
      <c r="A1487" s="4" t="s">
        <v>1666</v>
      </c>
      <c r="B1487" s="5" t="s">
        <v>1666</v>
      </c>
      <c r="C1487" s="1" t="str">
        <f aca="false">IF(B1487="NEW ROUTE",1,"")</f>
        <v/>
      </c>
      <c r="E1487" s="5" t="s">
        <v>1666</v>
      </c>
      <c r="F1487" s="6" t="e">
        <f aca="false">VLOOKUP(E1487,$K$2:$L$426,2,FALSE())</f>
        <v>#N/A</v>
      </c>
      <c r="G1487" s="1" t="str">
        <f aca="false">IF(ISNA(F1487),"",F1487)</f>
        <v/>
      </c>
      <c r="H1487" s="5" t="str">
        <f aca="false">IF(G1487&lt;&gt;"",G1487,E1487)</f>
        <v>32, 32, SPEAROW</v>
      </c>
    </row>
    <row r="1488" customFormat="false" ht="12.75" hidden="false" customHeight="true" outlineLevel="0" collapsed="false">
      <c r="A1488" s="4" t="s">
        <v>3235</v>
      </c>
      <c r="B1488" s="5" t="s">
        <v>3235</v>
      </c>
      <c r="C1488" s="1" t="str">
        <f aca="false">IF(B1488="NEW ROUTE",1,"")</f>
        <v/>
      </c>
      <c r="E1488" s="5" t="s">
        <v>3235</v>
      </c>
      <c r="F1488" s="6" t="e">
        <f aca="false">VLOOKUP(E1488,$K$2:$L$426,2,FALSE())</f>
        <v>#N/A</v>
      </c>
      <c r="G1488" s="1" t="str">
        <f aca="false">IF(ISNA(F1488),"",F1488)</f>
        <v/>
      </c>
      <c r="H1488" s="5" t="str">
        <f aca="false">IF(G1488&lt;&gt;"",G1488,E1488)</f>
        <v>33, 33, TANGELA</v>
      </c>
    </row>
    <row r="1489" customFormat="false" ht="12.75" hidden="false" customHeight="true" outlineLevel="0" collapsed="false">
      <c r="A1489" s="4" t="s">
        <v>2801</v>
      </c>
      <c r="B1489" s="5" t="n">
        <v>0.1</v>
      </c>
      <c r="C1489" s="1" t="str">
        <f aca="false">IF(B1489="NEW ROUTE",1,"")</f>
        <v/>
      </c>
      <c r="E1489" s="5" t="n">
        <v>0.1</v>
      </c>
      <c r="F1489" s="6" t="e">
        <f aca="false">VLOOKUP(E1489,$K$2:$L$426,2,FALSE())</f>
        <v>#N/A</v>
      </c>
      <c r="G1489" s="1" t="str">
        <f aca="false">IF(ISNA(F1489),"",F1489)</f>
        <v/>
      </c>
      <c r="H1489" s="5" t="n">
        <f aca="false">IF(G1489&lt;&gt;"",G1489,E1489)</f>
        <v>0.1</v>
      </c>
    </row>
    <row r="1490" customFormat="false" ht="12.75" hidden="false" customHeight="true" outlineLevel="0" collapsed="false">
      <c r="A1490" s="4" t="s">
        <v>1687</v>
      </c>
      <c r="B1490" s="5" t="s">
        <v>1687</v>
      </c>
      <c r="C1490" s="1" t="str">
        <f aca="false">IF(B1490="NEW ROUTE",1,"")</f>
        <v/>
      </c>
      <c r="E1490" s="5" t="s">
        <v>1687</v>
      </c>
      <c r="F1490" s="6" t="e">
        <f aca="false">VLOOKUP(E1490,$K$2:$L$426,2,FALSE())</f>
        <v>#N/A</v>
      </c>
      <c r="G1490" s="1" t="str">
        <f aca="false">IF(ISNA(F1490),"",F1490)</f>
        <v/>
      </c>
      <c r="H1490" s="5" t="str">
        <f aca="false">IF(G1490&lt;&gt;"",G1490,E1490)</f>
        <v>31, 31, SPEAROW</v>
      </c>
    </row>
    <row r="1491" customFormat="false" ht="12.75" hidden="false" customHeight="true" outlineLevel="0" collapsed="false">
      <c r="A1491" s="4" t="s">
        <v>3236</v>
      </c>
      <c r="B1491" s="5" t="s">
        <v>3236</v>
      </c>
      <c r="C1491" s="1" t="str">
        <f aca="false">IF(B1491="NEW ROUTE",1,"")</f>
        <v/>
      </c>
      <c r="E1491" s="5" t="s">
        <v>3236</v>
      </c>
      <c r="F1491" s="6" t="e">
        <f aca="false">VLOOKUP(E1491,$K$2:$L$426,2,FALSE())</f>
        <v>#N/A</v>
      </c>
      <c r="G1491" s="1" t="str">
        <f aca="false">IF(ISNA(F1491),"",F1491)</f>
        <v/>
      </c>
      <c r="H1491" s="5" t="str">
        <f aca="false">IF(G1491&lt;&gt;"",G1491,E1491)</f>
        <v>35, 35, TANGELA</v>
      </c>
    </row>
    <row r="1492" customFormat="false" ht="12.75" hidden="false" customHeight="true" outlineLevel="0" collapsed="false">
      <c r="A1492" s="4" t="s">
        <v>3222</v>
      </c>
      <c r="B1492" s="5" t="s">
        <v>3222</v>
      </c>
      <c r="C1492" s="1" t="str">
        <f aca="false">IF(B1492="NEW ROUTE",1,"")</f>
        <v/>
      </c>
      <c r="E1492" s="5" t="s">
        <v>3222</v>
      </c>
      <c r="F1492" s="6" t="e">
        <f aca="false">VLOOKUP(E1492,$K$2:$L$426,2,FALSE())</f>
        <v>#N/A</v>
      </c>
      <c r="G1492" s="1" t="str">
        <f aca="false">IF(ISNA(F1492),"",F1492)</f>
        <v/>
      </c>
      <c r="H1492" s="5" t="str">
        <f aca="false">IF(G1492&lt;&gt;"",G1492,E1492)</f>
        <v>36, 36, FEAROW</v>
      </c>
    </row>
    <row r="1493" customFormat="false" ht="12.75" hidden="false" customHeight="true" outlineLevel="0" collapsed="false">
      <c r="A1493" s="4" t="s">
        <v>3224</v>
      </c>
      <c r="B1493" s="5" t="s">
        <v>3224</v>
      </c>
      <c r="C1493" s="1" t="str">
        <f aca="false">IF(B1493="NEW ROUTE",1,"")</f>
        <v/>
      </c>
      <c r="E1493" s="5" t="s">
        <v>3224</v>
      </c>
      <c r="F1493" s="6" t="e">
        <f aca="false">VLOOKUP(E1493,$K$2:$L$426,2,FALSE())</f>
        <v>#N/A</v>
      </c>
      <c r="G1493" s="1" t="str">
        <f aca="false">IF(ISNA(F1493),"",F1493)</f>
        <v/>
      </c>
      <c r="H1493" s="5" t="str">
        <f aca="false">IF(G1493&lt;&gt;"",G1493,E1493)</f>
        <v>31, 31, MEOWTH</v>
      </c>
    </row>
    <row r="1494" customFormat="false" ht="12.75" hidden="false" customHeight="true" outlineLevel="0" collapsed="false">
      <c r="A1494" s="4" t="s">
        <v>2806</v>
      </c>
      <c r="B1494" s="5" t="n">
        <v>0.05</v>
      </c>
      <c r="C1494" s="1" t="str">
        <f aca="false">IF(B1494="NEW ROUTE",1,"")</f>
        <v/>
      </c>
      <c r="E1494" s="5" t="n">
        <v>0.05</v>
      </c>
      <c r="F1494" s="6" t="e">
        <f aca="false">VLOOKUP(E1494,$K$2:$L$426,2,FALSE())</f>
        <v>#N/A</v>
      </c>
      <c r="G1494" s="1" t="str">
        <f aca="false">IF(ISNA(F1494),"",F1494)</f>
        <v/>
      </c>
      <c r="H1494" s="5" t="n">
        <f aca="false">IF(G1494&lt;&gt;"",G1494,E1494)</f>
        <v>0.05</v>
      </c>
    </row>
    <row r="1495" customFormat="false" ht="12.75" hidden="false" customHeight="true" outlineLevel="0" collapsed="false">
      <c r="A1495" s="4" t="s">
        <v>3070</v>
      </c>
      <c r="B1495" s="5" t="s">
        <v>3070</v>
      </c>
      <c r="C1495" s="1" t="str">
        <f aca="false">IF(B1495="NEW ROUTE",1,"")</f>
        <v/>
      </c>
      <c r="E1495" s="5" t="s">
        <v>3070</v>
      </c>
      <c r="F1495" s="6" t="e">
        <f aca="false">VLOOKUP(E1495,$K$2:$L$426,2,FALSE())</f>
        <v>#N/A</v>
      </c>
      <c r="G1495" s="1" t="str">
        <f aca="false">IF(ISNA(F1495),"",F1495)</f>
        <v/>
      </c>
      <c r="H1495" s="5" t="str">
        <f aca="false">IF(G1495&lt;&gt;"",G1495,E1495)</f>
        <v>38, 38, FEAROW</v>
      </c>
    </row>
    <row r="1496" customFormat="false" ht="12.75" hidden="false" customHeight="true" outlineLevel="0" collapsed="false">
      <c r="A1496" s="4" t="s">
        <v>3133</v>
      </c>
      <c r="B1496" s="5" t="s">
        <v>3133</v>
      </c>
      <c r="C1496" s="1" t="str">
        <f aca="false">IF(B1496="NEW ROUTE",1,"")</f>
        <v/>
      </c>
      <c r="E1496" s="5" t="s">
        <v>3133</v>
      </c>
      <c r="F1496" s="6" t="e">
        <f aca="false">VLOOKUP(E1496,$K$2:$L$426,2,FALSE())</f>
        <v>#N/A</v>
      </c>
      <c r="G1496" s="1" t="str">
        <f aca="false">IF(ISNA(F1496),"",F1496)</f>
        <v/>
      </c>
      <c r="H1496" s="5" t="str">
        <f aca="false">IF(G1496&lt;&gt;"",G1496,E1496)</f>
        <v>31, 31, SLOWPOKE</v>
      </c>
    </row>
    <row r="1497" customFormat="false" ht="12.75" hidden="false" customHeight="true" outlineLevel="0" collapsed="false">
      <c r="A1497" s="4" t="s">
        <v>2809</v>
      </c>
      <c r="B1497" s="5" t="n">
        <v>0.04</v>
      </c>
      <c r="C1497" s="1" t="str">
        <f aca="false">IF(B1497="NEW ROUTE",1,"")</f>
        <v/>
      </c>
      <c r="E1497" s="5" t="n">
        <v>0.04</v>
      </c>
      <c r="F1497" s="6" t="e">
        <f aca="false">VLOOKUP(E1497,$K$2:$L$426,2,FALSE())</f>
        <v>#N/A</v>
      </c>
      <c r="G1497" s="1" t="str">
        <f aca="false">IF(ISNA(F1497),"",F1497)</f>
        <v/>
      </c>
      <c r="H1497" s="5" t="n">
        <f aca="false">IF(G1497&lt;&gt;"",G1497,E1497)</f>
        <v>0.04</v>
      </c>
    </row>
    <row r="1498" customFormat="false" ht="12.75" hidden="false" customHeight="true" outlineLevel="0" collapsed="false">
      <c r="A1498" s="4" t="s">
        <v>3074</v>
      </c>
      <c r="B1498" s="5" t="s">
        <v>3074</v>
      </c>
      <c r="C1498" s="1" t="str">
        <f aca="false">IF(B1498="NEW ROUTE",1,"")</f>
        <v/>
      </c>
      <c r="E1498" s="5" t="s">
        <v>3074</v>
      </c>
      <c r="F1498" s="6" t="e">
        <f aca="false">VLOOKUP(E1498,$K$2:$L$426,2,FALSE())</f>
        <v>#N/A</v>
      </c>
      <c r="G1498" s="1" t="str">
        <f aca="false">IF(ISNA(F1498),"",F1498)</f>
        <v/>
      </c>
      <c r="H1498" s="5" t="str">
        <f aca="false">IF(G1498&lt;&gt;"",G1498,E1498)</f>
        <v>40, 40, FEAROW</v>
      </c>
    </row>
    <row r="1499" customFormat="false" ht="12.75" hidden="false" customHeight="true" outlineLevel="0" collapsed="false">
      <c r="A1499" s="4" t="s">
        <v>3228</v>
      </c>
      <c r="B1499" s="5" t="s">
        <v>3228</v>
      </c>
      <c r="C1499" s="1" t="str">
        <f aca="false">IF(B1499="NEW ROUTE",1,"")</f>
        <v/>
      </c>
      <c r="E1499" s="5" t="s">
        <v>3228</v>
      </c>
      <c r="F1499" s="6" t="e">
        <f aca="false">VLOOKUP(E1499,$K$2:$L$426,2,FALSE())</f>
        <v>#N/A</v>
      </c>
      <c r="G1499" s="1" t="str">
        <f aca="false">IF(ISNA(F1499),"",F1499)</f>
        <v/>
      </c>
      <c r="H1499" s="5" t="str">
        <f aca="false">IF(G1499&lt;&gt;"",G1499,E1499)</f>
        <v>37, 37, PERSIAN</v>
      </c>
    </row>
    <row r="1500" customFormat="false" ht="12.75" hidden="false" customHeight="true" outlineLevel="0" collapsed="false">
      <c r="A1500" s="4" t="s">
        <v>2812</v>
      </c>
      <c r="B1500" s="5" t="n">
        <v>0.01</v>
      </c>
      <c r="C1500" s="1" t="str">
        <f aca="false">IF(B1500="NEW ROUTE",1,"")</f>
        <v/>
      </c>
      <c r="E1500" s="5" t="n">
        <v>0.01</v>
      </c>
      <c r="F1500" s="6" t="e">
        <f aca="false">VLOOKUP(E1500,$K$2:$L$426,2,FALSE())</f>
        <v>#N/A</v>
      </c>
      <c r="G1500" s="1" t="str">
        <f aca="false">IF(ISNA(F1500),"",F1500)</f>
        <v/>
      </c>
      <c r="H1500" s="5" t="n">
        <f aca="false">IF(G1500&lt;&gt;"",G1500,E1500)</f>
        <v>0.01</v>
      </c>
    </row>
    <row r="1501" customFormat="false" ht="12.75" hidden="false" customHeight="true" outlineLevel="0" collapsed="false">
      <c r="A1501" s="4" t="s">
        <v>3074</v>
      </c>
      <c r="B1501" s="5" t="s">
        <v>3074</v>
      </c>
      <c r="C1501" s="1" t="str">
        <f aca="false">IF(B1501="NEW ROUTE",1,"")</f>
        <v/>
      </c>
      <c r="E1501" s="5" t="s">
        <v>3074</v>
      </c>
      <c r="F1501" s="6" t="e">
        <f aca="false">VLOOKUP(E1501,$K$2:$L$426,2,FALSE())</f>
        <v>#N/A</v>
      </c>
      <c r="G1501" s="1" t="str">
        <f aca="false">IF(ISNA(F1501),"",F1501)</f>
        <v/>
      </c>
      <c r="H1501" s="5" t="str">
        <f aca="false">IF(G1501&lt;&gt;"",G1501,E1501)</f>
        <v>40, 40, FEAROW</v>
      </c>
    </row>
    <row r="1502" customFormat="false" ht="12.75" hidden="false" customHeight="true" outlineLevel="0" collapsed="false">
      <c r="A1502" s="4" t="s">
        <v>3230</v>
      </c>
      <c r="B1502" s="5" t="s">
        <v>3230</v>
      </c>
      <c r="C1502" s="1" t="str">
        <f aca="false">IF(B1502="NEW ROUTE",1,"")</f>
        <v/>
      </c>
      <c r="E1502" s="5" t="s">
        <v>3230</v>
      </c>
      <c r="F1502" s="6" t="e">
        <f aca="false">VLOOKUP(E1502,$K$2:$L$426,2,FALSE())</f>
        <v>#N/A</v>
      </c>
      <c r="G1502" s="1" t="str">
        <f aca="false">IF(ISNA(F1502),"",F1502)</f>
        <v/>
      </c>
      <c r="H1502" s="5" t="str">
        <f aca="false">IF(G1502&lt;&gt;"",G1502,E1502)</f>
        <v>40, 40, PERSIAN</v>
      </c>
    </row>
    <row r="1503" customFormat="false" ht="12.75" hidden="false" customHeight="true" outlineLevel="0" collapsed="false">
      <c r="A1503" s="4" t="s">
        <v>3172</v>
      </c>
      <c r="B1503" s="5" t="s">
        <v>3172</v>
      </c>
      <c r="C1503" s="1" t="str">
        <f aca="false">IF(B1503="NEW ROUTE",1,"")</f>
        <v/>
      </c>
      <c r="E1503" s="5" t="s">
        <v>3172</v>
      </c>
      <c r="F1503" s="6" t="e">
        <f aca="false">VLOOKUP(E1503,$K$2:$L$426,2,FALSE())</f>
        <v>#N/A</v>
      </c>
      <c r="G1503" s="1" t="str">
        <f aca="false">IF(ISNA(F1503),"",F1503)</f>
        <v/>
      </c>
      <c r="H1503" s="5" t="str">
        <f aca="false">IF(G1503&lt;&gt;"",G1503,E1503)</f>
        <v>2, 5, 20, TENTACOOL</v>
      </c>
    </row>
    <row r="1504" customFormat="false" ht="12.75" hidden="false" customHeight="true" outlineLevel="0" collapsed="false">
      <c r="A1504" s="4" t="s">
        <v>3173</v>
      </c>
      <c r="B1504" s="5" t="s">
        <v>3173</v>
      </c>
      <c r="C1504" s="1" t="str">
        <f aca="false">IF(B1504="NEW ROUTE",1,"")</f>
        <v/>
      </c>
      <c r="E1504" s="5" t="s">
        <v>3173</v>
      </c>
      <c r="F1504" s="6" t="e">
        <f aca="false">VLOOKUP(E1504,$K$2:$L$426,2,FALSE())</f>
        <v>#N/A</v>
      </c>
      <c r="G1504" s="1" t="str">
        <f aca="false">IF(ISNA(F1504),"",F1504)</f>
        <v/>
      </c>
      <c r="H1504" s="5" t="str">
        <f aca="false">IF(G1504&lt;&gt;"",G1504,E1504)</f>
        <v>20, 35, TENTACOOL</v>
      </c>
    </row>
    <row r="1505" customFormat="false" ht="12.75" hidden="false" customHeight="true" outlineLevel="0" collapsed="false">
      <c r="A1505" s="4" t="s">
        <v>2844</v>
      </c>
      <c r="B1505" s="5" t="s">
        <v>2844</v>
      </c>
      <c r="C1505" s="1" t="str">
        <f aca="false">IF(B1505="NEW ROUTE",1,"")</f>
        <v/>
      </c>
      <c r="E1505" s="5" t="s">
        <v>2844</v>
      </c>
      <c r="F1505" s="6" t="e">
        <f aca="false">VLOOKUP(E1505,$K$2:$L$426,2,FALSE())</f>
        <v>#N/A</v>
      </c>
      <c r="G1505" s="1" t="str">
        <f aca="false">IF(ISNA(F1505),"",F1505)</f>
        <v/>
      </c>
      <c r="H1505" s="5" t="str">
        <f aca="false">IF(G1505&lt;&gt;"",G1505,E1505)</f>
        <v>35, 40, TENTACOOL</v>
      </c>
    </row>
    <row r="1506" customFormat="false" ht="12.75" hidden="false" customHeight="true" outlineLevel="0" collapsed="false">
      <c r="A1506" s="4" t="s">
        <v>3231</v>
      </c>
      <c r="B1506" s="5" t="s">
        <v>3231</v>
      </c>
      <c r="C1506" s="1" t="str">
        <f aca="false">IF(B1506="NEW ROUTE",1,"")</f>
        <v/>
      </c>
      <c r="E1506" s="5" t="s">
        <v>3231</v>
      </c>
      <c r="F1506" s="6" t="e">
        <f aca="false">VLOOKUP(E1506,$K$2:$L$426,2,FALSE())</f>
        <v>#N/A</v>
      </c>
      <c r="G1506" s="1" t="str">
        <f aca="false">IF(ISNA(F1506),"",F1506)</f>
        <v/>
      </c>
      <c r="H1506" s="5" t="str">
        <f aca="false">IF(G1506&lt;&gt;"",G1506,E1506)</f>
        <v>35, 40, TENTACRUEL</v>
      </c>
    </row>
    <row r="1507" customFormat="false" ht="12.75" hidden="false" customHeight="true" outlineLevel="0" collapsed="false">
      <c r="A1507" s="4" t="s">
        <v>3231</v>
      </c>
      <c r="B1507" s="5" t="s">
        <v>3231</v>
      </c>
      <c r="C1507" s="1" t="str">
        <f aca="false">IF(B1507="NEW ROUTE",1,"")</f>
        <v/>
      </c>
      <c r="E1507" s="5" t="s">
        <v>3231</v>
      </c>
      <c r="F1507" s="6" t="e">
        <f aca="false">VLOOKUP(E1507,$K$2:$L$426,2,FALSE())</f>
        <v>#N/A</v>
      </c>
      <c r="G1507" s="1" t="str">
        <f aca="false">IF(ISNA(F1507),"",F1507)</f>
        <v/>
      </c>
      <c r="H1507" s="5" t="str">
        <f aca="false">IF(G1507&lt;&gt;"",G1507,E1507)</f>
        <v>35, 40, TENTACRUEL</v>
      </c>
    </row>
    <row r="1508" customFormat="false" ht="12.75" hidden="false" customHeight="true" outlineLevel="0" collapsed="false">
      <c r="A1508" s="4" t="s">
        <v>2925</v>
      </c>
      <c r="B1508" s="5" t="s">
        <v>2925</v>
      </c>
      <c r="C1508" s="1" t="str">
        <f aca="false">IF(B1508="NEW ROUTE",1,"")</f>
        <v/>
      </c>
      <c r="E1508" s="5" t="s">
        <v>2925</v>
      </c>
      <c r="F1508" s="6" t="e">
        <f aca="false">VLOOKUP(E1508,$K$2:$L$426,2,FALSE())</f>
        <v>#N/A</v>
      </c>
      <c r="G1508" s="1" t="str">
        <f aca="false">IF(ISNA(F1508),"",F1508)</f>
        <v/>
      </c>
      <c r="H1508" s="5" t="str">
        <f aca="false">IF(G1508&lt;&gt;"",G1508,E1508)</f>
        <v>20, old rod:</v>
      </c>
    </row>
    <row r="1509" customFormat="false" ht="12.75" hidden="false" customHeight="true" outlineLevel="0" collapsed="false">
      <c r="A1509" s="4" t="s">
        <v>1266</v>
      </c>
      <c r="B1509" s="5" t="s">
        <v>1266</v>
      </c>
      <c r="C1509" s="1" t="str">
        <f aca="false">IF(B1509="NEW ROUTE",1,"")</f>
        <v/>
      </c>
      <c r="E1509" s="5" t="s">
        <v>1266</v>
      </c>
      <c r="F1509" s="6" t="e">
        <f aca="false">VLOOKUP(E1509,$K$2:$L$426,2,FALSE())</f>
        <v>#N/A</v>
      </c>
      <c r="G1509" s="1" t="str">
        <f aca="false">IF(ISNA(F1509),"",F1509)</f>
        <v/>
      </c>
      <c r="H1509" s="5" t="str">
        <f aca="false">IF(G1509&lt;&gt;"",G1509,E1509)</f>
        <v>5, 5, MAGIKARP</v>
      </c>
    </row>
    <row r="1510" customFormat="false" ht="12.75" hidden="false" customHeight="true" outlineLevel="0" collapsed="false">
      <c r="A1510" s="4" t="s">
        <v>1266</v>
      </c>
      <c r="B1510" s="5" t="s">
        <v>1266</v>
      </c>
      <c r="C1510" s="1" t="str">
        <f aca="false">IF(B1510="NEW ROUTE",1,"")</f>
        <v/>
      </c>
      <c r="E1510" s="5" t="s">
        <v>1266</v>
      </c>
      <c r="F1510" s="6" t="e">
        <f aca="false">VLOOKUP(E1510,$K$2:$L$426,2,FALSE())</f>
        <v>#N/A</v>
      </c>
      <c r="G1510" s="1" t="str">
        <f aca="false">IF(ISNA(F1510),"",F1510)</f>
        <v/>
      </c>
      <c r="H1510" s="5" t="str">
        <f aca="false">IF(G1510&lt;&gt;"",G1510,E1510)</f>
        <v>5, 5, MAGIKARP</v>
      </c>
    </row>
    <row r="1511" customFormat="false" ht="12.75" hidden="false" customHeight="true" outlineLevel="0" collapsed="false">
      <c r="A1511" s="4" t="s">
        <v>2846</v>
      </c>
      <c r="B1511" s="5" t="s">
        <v>2846</v>
      </c>
      <c r="C1511" s="1" t="str">
        <f aca="false">IF(B1511="NEW ROUTE",1,"")</f>
        <v/>
      </c>
      <c r="E1511" s="5" t="s">
        <v>2846</v>
      </c>
      <c r="F1511" s="6" t="e">
        <f aca="false">VLOOKUP(E1511,$K$2:$L$426,2,FALSE())</f>
        <v>#N/A</v>
      </c>
      <c r="G1511" s="1" t="str">
        <f aca="false">IF(ISNA(F1511),"",F1511)</f>
        <v/>
      </c>
      <c r="H1511" s="5" t="str">
        <f aca="false">IF(G1511&lt;&gt;"",G1511,E1511)</f>
        <v>good rod:</v>
      </c>
    </row>
    <row r="1512" customFormat="false" ht="12.75" hidden="false" customHeight="true" outlineLevel="0" collapsed="false">
      <c r="A1512" s="4" t="s">
        <v>2847</v>
      </c>
      <c r="B1512" s="5" t="s">
        <v>2847</v>
      </c>
      <c r="C1512" s="1" t="str">
        <f aca="false">IF(B1512="NEW ROUTE",1,"")</f>
        <v/>
      </c>
      <c r="E1512" s="5" t="s">
        <v>2847</v>
      </c>
      <c r="F1512" s="6" t="e">
        <f aca="false">VLOOKUP(E1512,$K$2:$L$426,2,FALSE())</f>
        <v>#N/A</v>
      </c>
      <c r="G1512" s="1" t="str">
        <f aca="false">IF(ISNA(F1512),"",F1512)</f>
        <v/>
      </c>
      <c r="H1512" s="5" t="str">
        <f aca="false">IF(G1512&lt;&gt;"",G1512,E1512)</f>
        <v>5, 15, KRABBY</v>
      </c>
    </row>
    <row r="1513" customFormat="false" ht="12.75" hidden="false" customHeight="true" outlineLevel="0" collapsed="false">
      <c r="A1513" s="4" t="s">
        <v>2848</v>
      </c>
      <c r="B1513" s="5" t="s">
        <v>2848</v>
      </c>
      <c r="C1513" s="1" t="str">
        <f aca="false">IF(B1513="NEW ROUTE",1,"")</f>
        <v/>
      </c>
      <c r="E1513" s="5" t="s">
        <v>2848</v>
      </c>
      <c r="F1513" s="6" t="e">
        <f aca="false">VLOOKUP(E1513,$K$2:$L$426,2,FALSE())</f>
        <v>#N/A</v>
      </c>
      <c r="G1513" s="1" t="str">
        <f aca="false">IF(ISNA(F1513),"",F1513)</f>
        <v/>
      </c>
      <c r="H1513" s="5" t="str">
        <f aca="false">IF(G1513&lt;&gt;"",G1513,E1513)</f>
        <v>5, 15, MAGIKARP</v>
      </c>
    </row>
    <row r="1514" customFormat="false" ht="12.75" hidden="false" customHeight="true" outlineLevel="0" collapsed="false">
      <c r="A1514" s="4" t="s">
        <v>2847</v>
      </c>
      <c r="B1514" s="5" t="s">
        <v>2847</v>
      </c>
      <c r="C1514" s="1" t="str">
        <f aca="false">IF(B1514="NEW ROUTE",1,"")</f>
        <v/>
      </c>
      <c r="E1514" s="5" t="s">
        <v>2847</v>
      </c>
      <c r="F1514" s="6" t="e">
        <f aca="false">VLOOKUP(E1514,$K$2:$L$426,2,FALSE())</f>
        <v>#N/A</v>
      </c>
      <c r="G1514" s="1" t="str">
        <f aca="false">IF(ISNA(F1514),"",F1514)</f>
        <v/>
      </c>
      <c r="H1514" s="5" t="str">
        <f aca="false">IF(G1514&lt;&gt;"",G1514,E1514)</f>
        <v>5, 15, KRABBY</v>
      </c>
    </row>
    <row r="1515" customFormat="false" ht="12.75" hidden="false" customHeight="true" outlineLevel="0" collapsed="false">
      <c r="A1515" s="4" t="s">
        <v>2850</v>
      </c>
      <c r="B1515" s="5" t="s">
        <v>2850</v>
      </c>
      <c r="C1515" s="1" t="str">
        <f aca="false">IF(B1515="NEW ROUTE",1,"")</f>
        <v/>
      </c>
      <c r="E1515" s="5" t="s">
        <v>2850</v>
      </c>
      <c r="F1515" s="6" t="e">
        <f aca="false">VLOOKUP(E1515,$K$2:$L$426,2,FALSE())</f>
        <v>#N/A</v>
      </c>
      <c r="G1515" s="1" t="str">
        <f aca="false">IF(ISNA(F1515),"",F1515)</f>
        <v/>
      </c>
      <c r="H1515" s="5" t="str">
        <f aca="false">IF(G1515&lt;&gt;"",G1515,E1515)</f>
        <v>super rod:</v>
      </c>
    </row>
    <row r="1516" customFormat="false" ht="12.75" hidden="false" customHeight="true" outlineLevel="0" collapsed="false">
      <c r="A1516" s="4" t="s">
        <v>2851</v>
      </c>
      <c r="B1516" s="5" t="s">
        <v>2851</v>
      </c>
      <c r="C1516" s="1" t="str">
        <f aca="false">IF(B1516="NEW ROUTE",1,"")</f>
        <v/>
      </c>
      <c r="E1516" s="5" t="s">
        <v>2851</v>
      </c>
      <c r="F1516" s="6" t="e">
        <f aca="false">VLOOKUP(E1516,$K$2:$L$426,2,FALSE())</f>
        <v>#N/A</v>
      </c>
      <c r="G1516" s="1" t="str">
        <f aca="false">IF(ISNA(F1516),"",F1516)</f>
        <v/>
      </c>
      <c r="H1516" s="5" t="str">
        <f aca="false">IF(G1516&lt;&gt;"",G1516,E1516)</f>
        <v>15, 25, KRABBY</v>
      </c>
    </row>
    <row r="1517" customFormat="false" ht="12.75" hidden="false" customHeight="true" outlineLevel="0" collapsed="false">
      <c r="A1517" s="4" t="s">
        <v>2851</v>
      </c>
      <c r="B1517" s="5" t="s">
        <v>2851</v>
      </c>
      <c r="C1517" s="1" t="str">
        <f aca="false">IF(B1517="NEW ROUTE",1,"")</f>
        <v/>
      </c>
      <c r="E1517" s="5" t="s">
        <v>2851</v>
      </c>
      <c r="F1517" s="6" t="e">
        <f aca="false">VLOOKUP(E1517,$K$2:$L$426,2,FALSE())</f>
        <v>#N/A</v>
      </c>
      <c r="G1517" s="1" t="str">
        <f aca="false">IF(ISNA(F1517),"",F1517)</f>
        <v/>
      </c>
      <c r="H1517" s="5" t="str">
        <f aca="false">IF(G1517&lt;&gt;"",G1517,E1517)</f>
        <v>15, 25, KRABBY</v>
      </c>
    </row>
    <row r="1518" customFormat="false" ht="12.75" hidden="false" customHeight="true" outlineLevel="0" collapsed="false">
      <c r="A1518" s="4" t="s">
        <v>2853</v>
      </c>
      <c r="B1518" s="5" t="s">
        <v>2853</v>
      </c>
      <c r="C1518" s="1" t="str">
        <f aca="false">IF(B1518="NEW ROUTE",1,"")</f>
        <v/>
      </c>
      <c r="E1518" s="5" t="s">
        <v>2853</v>
      </c>
      <c r="F1518" s="6" t="e">
        <f aca="false">VLOOKUP(E1518,$K$2:$L$426,2,FALSE())</f>
        <v>#N/A</v>
      </c>
      <c r="G1518" s="1" t="str">
        <f aca="false">IF(ISNA(F1518),"",F1518)</f>
        <v/>
      </c>
      <c r="H1518" s="5" t="str">
        <f aca="false">IF(G1518&lt;&gt;"",G1518,E1518)</f>
        <v>15, 25, GYARADOS</v>
      </c>
    </row>
    <row r="1519" customFormat="false" ht="12.75" hidden="false" customHeight="true" outlineLevel="0" collapsed="false">
      <c r="A1519" s="4" t="s">
        <v>3177</v>
      </c>
      <c r="B1519" s="5" t="s">
        <v>3177</v>
      </c>
      <c r="C1519" s="1" t="str">
        <f aca="false">IF(B1519="NEW ROUTE",1,"")</f>
        <v/>
      </c>
      <c r="E1519" s="5" t="s">
        <v>3177</v>
      </c>
      <c r="F1519" s="6" t="e">
        <f aca="false">VLOOKUP(E1519,$K$2:$L$426,2,FALSE())</f>
        <v>#N/A</v>
      </c>
      <c r="G1519" s="1" t="str">
        <f aca="false">IF(ISNA(F1519),"",F1519)</f>
        <v/>
      </c>
      <c r="H1519" s="5" t="str">
        <f aca="false">IF(G1519&lt;&gt;"",G1519,E1519)</f>
        <v>25, 35, KINGLER</v>
      </c>
    </row>
    <row r="1520" customFormat="false" ht="12.75" hidden="false" customHeight="true" outlineLevel="0" collapsed="false">
      <c r="A1520" s="4" t="s">
        <v>2855</v>
      </c>
      <c r="B1520" s="5" t="s">
        <v>2855</v>
      </c>
      <c r="C1520" s="1" t="str">
        <f aca="false">IF(B1520="NEW ROUTE",1,"")</f>
        <v/>
      </c>
      <c r="E1520" s="5" t="s">
        <v>2855</v>
      </c>
      <c r="F1520" s="6" t="e">
        <f aca="false">VLOOKUP(E1520,$K$2:$L$426,2,FALSE())</f>
        <v>#N/A</v>
      </c>
      <c r="G1520" s="1" t="str">
        <f aca="false">IF(ISNA(F1520),"",F1520)</f>
        <v/>
      </c>
      <c r="H1520" s="5" t="str">
        <f aca="false">IF(G1520&lt;&gt;"",G1520,E1520)</f>
        <v>25, 35, SLOWPOKE</v>
      </c>
    </row>
    <row r="1521" customFormat="false" ht="12.75" hidden="false" customHeight="true" outlineLevel="0" collapsed="false">
      <c r="A1521" s="4" t="s">
        <v>2536</v>
      </c>
      <c r="B1521" s="5" t="s">
        <v>2536</v>
      </c>
      <c r="C1521" s="1" t="n">
        <f aca="false">IF(B1521="NEW ROUTE",1,"")</f>
        <v>1</v>
      </c>
      <c r="E1521" s="5" t="s">
        <v>2536</v>
      </c>
      <c r="F1521" s="6" t="e">
        <f aca="false">VLOOKUP(E1521,$K$2:$L$426,2,FALSE())</f>
        <v>#N/A</v>
      </c>
      <c r="G1521" s="1" t="str">
        <f aca="false">IF(ISNA(F1521),"",F1521)</f>
        <v/>
      </c>
      <c r="H1521" s="5" t="str">
        <f aca="false">IF(G1521&lt;&gt;"",G1521,E1521)</f>
        <v>NEW ROUTE</v>
      </c>
    </row>
    <row r="1522" customFormat="false" ht="12.75" hidden="false" customHeight="true" outlineLevel="0" collapsed="false">
      <c r="A1522" s="4" t="s">
        <v>472</v>
      </c>
      <c r="B1522" s="5" t="s">
        <v>472</v>
      </c>
      <c r="C1522" s="1" t="str">
        <f aca="false">IF(B1522="NEW ROUTE",1,"")</f>
        <v/>
      </c>
      <c r="E1522" s="5" t="s">
        <v>472</v>
      </c>
      <c r="F1522" s="6" t="str">
        <f aca="false">VLOOKUP(E1522,$K$2:$L$426,2,FALSE())</f>
        <v>Two Island Cape Brink</v>
      </c>
      <c r="G1522" s="1" t="str">
        <f aca="false">IF(ISNA(F1522),"",F1522)</f>
        <v>Two Island Cape Brink</v>
      </c>
      <c r="H1522" s="5" t="str">
        <f aca="false">IF(G1522&lt;&gt;"",G1522,E1522)</f>
        <v>Two Island Cape Brink</v>
      </c>
    </row>
    <row r="1523" customFormat="false" ht="12.75" hidden="false" customHeight="true" outlineLevel="0" collapsed="false">
      <c r="A1523" s="4" t="s">
        <v>2799</v>
      </c>
      <c r="B1523" s="5" t="n">
        <v>0.2</v>
      </c>
      <c r="C1523" s="1" t="str">
        <f aca="false">IF(B1523="NEW ROUTE",1,"")</f>
        <v/>
      </c>
      <c r="E1523" s="5" t="n">
        <v>0.2</v>
      </c>
      <c r="F1523" s="6" t="e">
        <f aca="false">VLOOKUP(E1523,$K$2:$L$426,2,FALSE())</f>
        <v>#N/A</v>
      </c>
      <c r="G1523" s="1" t="str">
        <f aca="false">IF(ISNA(F1523),"",F1523)</f>
        <v/>
      </c>
      <c r="H1523" s="5" t="n">
        <f aca="false">IF(G1523&lt;&gt;"",G1523,E1523)</f>
        <v>0.2</v>
      </c>
    </row>
    <row r="1524" customFormat="false" ht="12.75" hidden="false" customHeight="true" outlineLevel="0" collapsed="false">
      <c r="A1524" s="4" t="s">
        <v>1687</v>
      </c>
      <c r="B1524" s="5" t="s">
        <v>1687</v>
      </c>
      <c r="C1524" s="1" t="str">
        <f aca="false">IF(B1524="NEW ROUTE",1,"")</f>
        <v/>
      </c>
      <c r="E1524" s="5" t="s">
        <v>1687</v>
      </c>
      <c r="F1524" s="6" t="e">
        <f aca="false">VLOOKUP(E1524,$K$2:$L$426,2,FALSE())</f>
        <v>#N/A</v>
      </c>
      <c r="G1524" s="1" t="str">
        <f aca="false">IF(ISNA(F1524),"",F1524)</f>
        <v/>
      </c>
      <c r="H1524" s="5" t="str">
        <f aca="false">IF(G1524&lt;&gt;"",G1524,E1524)</f>
        <v>31, 31, SPEAROW</v>
      </c>
    </row>
    <row r="1525" customFormat="false" ht="12.75" hidden="false" customHeight="true" outlineLevel="0" collapsed="false">
      <c r="A1525" s="4" t="s">
        <v>3129</v>
      </c>
      <c r="B1525" s="5" t="s">
        <v>3129</v>
      </c>
      <c r="C1525" s="1" t="str">
        <f aca="false">IF(B1525="NEW ROUTE",1,"")</f>
        <v/>
      </c>
      <c r="E1525" s="5" t="s">
        <v>3129</v>
      </c>
      <c r="F1525" s="6" t="e">
        <f aca="false">VLOOKUP(E1525,$K$2:$L$426,2,FALSE())</f>
        <v>#N/A</v>
      </c>
      <c r="G1525" s="1" t="str">
        <f aca="false">IF(ISNA(F1525),"",F1525)</f>
        <v/>
      </c>
      <c r="H1525" s="5" t="str">
        <f aca="false">IF(G1525&lt;&gt;"",G1525,E1525)</f>
        <v>30, 30, BELLSPROUT</v>
      </c>
    </row>
    <row r="1526" customFormat="false" ht="12.75" hidden="false" customHeight="true" outlineLevel="0" collapsed="false">
      <c r="A1526" s="4" t="s">
        <v>2801</v>
      </c>
      <c r="B1526" s="5" t="n">
        <v>0.1</v>
      </c>
      <c r="C1526" s="1" t="str">
        <f aca="false">IF(B1526="NEW ROUTE",1,"")</f>
        <v/>
      </c>
      <c r="E1526" s="5" t="n">
        <v>0.1</v>
      </c>
      <c r="F1526" s="6" t="e">
        <f aca="false">VLOOKUP(E1526,$K$2:$L$426,2,FALSE())</f>
        <v>#N/A</v>
      </c>
      <c r="G1526" s="1" t="str">
        <f aca="false">IF(ISNA(F1526),"",F1526)</f>
        <v/>
      </c>
      <c r="H1526" s="5" t="n">
        <f aca="false">IF(G1526&lt;&gt;"",G1526,E1526)</f>
        <v>0.1</v>
      </c>
    </row>
    <row r="1527" customFormat="false" ht="12.75" hidden="false" customHeight="true" outlineLevel="0" collapsed="false">
      <c r="A1527" s="4" t="s">
        <v>3238</v>
      </c>
      <c r="B1527" s="5" t="s">
        <v>3238</v>
      </c>
      <c r="C1527" s="1" t="str">
        <f aca="false">IF(B1527="NEW ROUTE",1,"")</f>
        <v/>
      </c>
      <c r="E1527" s="5" t="s">
        <v>3238</v>
      </c>
      <c r="F1527" s="6" t="e">
        <f aca="false">VLOOKUP(E1527,$K$2:$L$426,2,FALSE())</f>
        <v>#N/A</v>
      </c>
      <c r="G1527" s="1" t="str">
        <f aca="false">IF(ISNA(F1527),"",F1527)</f>
        <v/>
      </c>
      <c r="H1527" s="5" t="str">
        <f aca="false">IF(G1527&lt;&gt;"",G1527,E1527)</f>
        <v>32, 32, BELLSPROUT</v>
      </c>
    </row>
    <row r="1528" customFormat="false" ht="12.75" hidden="false" customHeight="true" outlineLevel="0" collapsed="false">
      <c r="A1528" s="4" t="s">
        <v>3239</v>
      </c>
      <c r="B1528" s="5" t="s">
        <v>3239</v>
      </c>
      <c r="C1528" s="1" t="str">
        <f aca="false">IF(B1528="NEW ROUTE",1,"")</f>
        <v/>
      </c>
      <c r="E1528" s="5" t="s">
        <v>3239</v>
      </c>
      <c r="F1528" s="6" t="e">
        <f aca="false">VLOOKUP(E1528,$K$2:$L$426,2,FALSE())</f>
        <v>#N/A</v>
      </c>
      <c r="G1528" s="1" t="str">
        <f aca="false">IF(ISNA(F1528),"",F1528)</f>
        <v/>
      </c>
      <c r="H1528" s="5" t="str">
        <f aca="false">IF(G1528&lt;&gt;"",G1528,E1528)</f>
        <v>36, 36, WEEPINBELL</v>
      </c>
    </row>
    <row r="1529" customFormat="false" ht="12.75" hidden="false" customHeight="true" outlineLevel="0" collapsed="false">
      <c r="A1529" s="4" t="s">
        <v>3222</v>
      </c>
      <c r="B1529" s="5" t="s">
        <v>3222</v>
      </c>
      <c r="C1529" s="1" t="str">
        <f aca="false">IF(B1529="NEW ROUTE",1,"")</f>
        <v/>
      </c>
      <c r="E1529" s="5" t="s">
        <v>3222</v>
      </c>
      <c r="F1529" s="6" t="e">
        <f aca="false">VLOOKUP(E1529,$K$2:$L$426,2,FALSE())</f>
        <v>#N/A</v>
      </c>
      <c r="G1529" s="1" t="str">
        <f aca="false">IF(ISNA(F1529),"",F1529)</f>
        <v/>
      </c>
      <c r="H1529" s="5" t="str">
        <f aca="false">IF(G1529&lt;&gt;"",G1529,E1529)</f>
        <v>36, 36, FEAROW</v>
      </c>
    </row>
    <row r="1530" customFormat="false" ht="12.75" hidden="false" customHeight="true" outlineLevel="0" collapsed="false">
      <c r="A1530" s="4" t="s">
        <v>3224</v>
      </c>
      <c r="B1530" s="5" t="s">
        <v>3224</v>
      </c>
      <c r="C1530" s="1" t="str">
        <f aca="false">IF(B1530="NEW ROUTE",1,"")</f>
        <v/>
      </c>
      <c r="E1530" s="5" t="s">
        <v>3224</v>
      </c>
      <c r="F1530" s="6" t="e">
        <f aca="false">VLOOKUP(E1530,$K$2:$L$426,2,FALSE())</f>
        <v>#N/A</v>
      </c>
      <c r="G1530" s="1" t="str">
        <f aca="false">IF(ISNA(F1530),"",F1530)</f>
        <v/>
      </c>
      <c r="H1530" s="5" t="str">
        <f aca="false">IF(G1530&lt;&gt;"",G1530,E1530)</f>
        <v>31, 31, MEOWTH</v>
      </c>
    </row>
    <row r="1531" customFormat="false" ht="12.75" hidden="false" customHeight="true" outlineLevel="0" collapsed="false">
      <c r="A1531" s="4" t="s">
        <v>2806</v>
      </c>
      <c r="B1531" s="5" t="n">
        <v>0.05</v>
      </c>
      <c r="C1531" s="1" t="str">
        <f aca="false">IF(B1531="NEW ROUTE",1,"")</f>
        <v/>
      </c>
      <c r="E1531" s="5" t="n">
        <v>0.05</v>
      </c>
      <c r="F1531" s="6" t="e">
        <f aca="false">VLOOKUP(E1531,$K$2:$L$426,2,FALSE())</f>
        <v>#N/A</v>
      </c>
      <c r="G1531" s="1" t="str">
        <f aca="false">IF(ISNA(F1531),"",F1531)</f>
        <v/>
      </c>
      <c r="H1531" s="5" t="n">
        <f aca="false">IF(G1531&lt;&gt;"",G1531,E1531)</f>
        <v>0.05</v>
      </c>
    </row>
    <row r="1532" customFormat="false" ht="12.75" hidden="false" customHeight="true" outlineLevel="0" collapsed="false">
      <c r="A1532" s="4" t="s">
        <v>3240</v>
      </c>
      <c r="B1532" s="5" t="s">
        <v>3240</v>
      </c>
      <c r="C1532" s="1" t="str">
        <f aca="false">IF(B1532="NEW ROUTE",1,"")</f>
        <v/>
      </c>
      <c r="E1532" s="5" t="s">
        <v>3240</v>
      </c>
      <c r="F1532" s="6" t="e">
        <f aca="false">VLOOKUP(E1532,$K$2:$L$426,2,FALSE())</f>
        <v>#N/A</v>
      </c>
      <c r="G1532" s="1" t="str">
        <f aca="false">IF(ISNA(F1532),"",F1532)</f>
        <v/>
      </c>
      <c r="H1532" s="5" t="str">
        <f aca="false">IF(G1532&lt;&gt;"",G1532,E1532)</f>
        <v>38, 38, WEEPINBELL</v>
      </c>
    </row>
    <row r="1533" customFormat="false" ht="12.75" hidden="false" customHeight="true" outlineLevel="0" collapsed="false">
      <c r="A1533" s="4" t="s">
        <v>3133</v>
      </c>
      <c r="B1533" s="5" t="s">
        <v>3133</v>
      </c>
      <c r="C1533" s="1" t="str">
        <f aca="false">IF(B1533="NEW ROUTE",1,"")</f>
        <v/>
      </c>
      <c r="E1533" s="5" t="s">
        <v>3133</v>
      </c>
      <c r="F1533" s="6" t="e">
        <f aca="false">VLOOKUP(E1533,$K$2:$L$426,2,FALSE())</f>
        <v>#N/A</v>
      </c>
      <c r="G1533" s="1" t="str">
        <f aca="false">IF(ISNA(F1533),"",F1533)</f>
        <v/>
      </c>
      <c r="H1533" s="5" t="str">
        <f aca="false">IF(G1533&lt;&gt;"",G1533,E1533)</f>
        <v>31, 31, SLOWPOKE</v>
      </c>
    </row>
    <row r="1534" customFormat="false" ht="12.75" hidden="false" customHeight="true" outlineLevel="0" collapsed="false">
      <c r="A1534" s="4" t="s">
        <v>2809</v>
      </c>
      <c r="B1534" s="5" t="n">
        <v>0.04</v>
      </c>
      <c r="C1534" s="1" t="str">
        <f aca="false">IF(B1534="NEW ROUTE",1,"")</f>
        <v/>
      </c>
      <c r="E1534" s="5" t="n">
        <v>0.04</v>
      </c>
      <c r="F1534" s="6" t="e">
        <f aca="false">VLOOKUP(E1534,$K$2:$L$426,2,FALSE())</f>
        <v>#N/A</v>
      </c>
      <c r="G1534" s="1" t="str">
        <f aca="false">IF(ISNA(F1534),"",F1534)</f>
        <v/>
      </c>
      <c r="H1534" s="5" t="n">
        <f aca="false">IF(G1534&lt;&gt;"",G1534,E1534)</f>
        <v>0.04</v>
      </c>
    </row>
    <row r="1535" customFormat="false" ht="12.75" hidden="false" customHeight="true" outlineLevel="0" collapsed="false">
      <c r="A1535" s="4" t="s">
        <v>3241</v>
      </c>
      <c r="B1535" s="5" t="s">
        <v>3241</v>
      </c>
      <c r="C1535" s="1" t="str">
        <f aca="false">IF(B1535="NEW ROUTE",1,"")</f>
        <v/>
      </c>
      <c r="E1535" s="5" t="s">
        <v>3241</v>
      </c>
      <c r="F1535" s="6" t="e">
        <f aca="false">VLOOKUP(E1535,$K$2:$L$426,2,FALSE())</f>
        <v>#N/A</v>
      </c>
      <c r="G1535" s="1" t="str">
        <f aca="false">IF(ISNA(F1535),"",F1535)</f>
        <v/>
      </c>
      <c r="H1535" s="5" t="str">
        <f aca="false">IF(G1535&lt;&gt;"",G1535,E1535)</f>
        <v>37, 37, SLOWBRO</v>
      </c>
    </row>
    <row r="1536" customFormat="false" ht="12.75" hidden="false" customHeight="true" outlineLevel="0" collapsed="false">
      <c r="A1536" s="4" t="s">
        <v>3228</v>
      </c>
      <c r="B1536" s="5" t="s">
        <v>3228</v>
      </c>
      <c r="C1536" s="1" t="str">
        <f aca="false">IF(B1536="NEW ROUTE",1,"")</f>
        <v/>
      </c>
      <c r="E1536" s="5" t="s">
        <v>3228</v>
      </c>
      <c r="F1536" s="6" t="e">
        <f aca="false">VLOOKUP(E1536,$K$2:$L$426,2,FALSE())</f>
        <v>#N/A</v>
      </c>
      <c r="G1536" s="1" t="str">
        <f aca="false">IF(ISNA(F1536),"",F1536)</f>
        <v/>
      </c>
      <c r="H1536" s="5" t="str">
        <f aca="false">IF(G1536&lt;&gt;"",G1536,E1536)</f>
        <v>37, 37, PERSIAN</v>
      </c>
    </row>
    <row r="1537" customFormat="false" ht="12.75" hidden="false" customHeight="true" outlineLevel="0" collapsed="false">
      <c r="A1537" s="4" t="s">
        <v>2812</v>
      </c>
      <c r="B1537" s="5" t="n">
        <v>0.01</v>
      </c>
      <c r="C1537" s="1" t="str">
        <f aca="false">IF(B1537="NEW ROUTE",1,"")</f>
        <v/>
      </c>
      <c r="E1537" s="5" t="n">
        <v>0.01</v>
      </c>
      <c r="F1537" s="6" t="e">
        <f aca="false">VLOOKUP(E1537,$K$2:$L$426,2,FALSE())</f>
        <v>#N/A</v>
      </c>
      <c r="G1537" s="1" t="str">
        <f aca="false">IF(ISNA(F1537),"",F1537)</f>
        <v/>
      </c>
      <c r="H1537" s="5" t="n">
        <f aca="false">IF(G1537&lt;&gt;"",G1537,E1537)</f>
        <v>0.01</v>
      </c>
    </row>
    <row r="1538" customFormat="false" ht="12.75" hidden="false" customHeight="true" outlineLevel="0" collapsed="false">
      <c r="A1538" s="4" t="s">
        <v>3242</v>
      </c>
      <c r="B1538" s="5" t="s">
        <v>3242</v>
      </c>
      <c r="C1538" s="1" t="str">
        <f aca="false">IF(B1538="NEW ROUTE",1,"")</f>
        <v/>
      </c>
      <c r="E1538" s="5" t="s">
        <v>3242</v>
      </c>
      <c r="F1538" s="6" t="e">
        <f aca="false">VLOOKUP(E1538,$K$2:$L$426,2,FALSE())</f>
        <v>#N/A</v>
      </c>
      <c r="G1538" s="1" t="str">
        <f aca="false">IF(ISNA(F1538),"",F1538)</f>
        <v/>
      </c>
      <c r="H1538" s="5" t="str">
        <f aca="false">IF(G1538&lt;&gt;"",G1538,E1538)</f>
        <v>40, 40, SLOWBRO</v>
      </c>
    </row>
    <row r="1539" customFormat="false" ht="12.75" hidden="false" customHeight="true" outlineLevel="0" collapsed="false">
      <c r="A1539" s="4" t="s">
        <v>3230</v>
      </c>
      <c r="B1539" s="5" t="s">
        <v>3230</v>
      </c>
      <c r="C1539" s="1" t="str">
        <f aca="false">IF(B1539="NEW ROUTE",1,"")</f>
        <v/>
      </c>
      <c r="E1539" s="5" t="s">
        <v>3230</v>
      </c>
      <c r="F1539" s="6" t="e">
        <f aca="false">VLOOKUP(E1539,$K$2:$L$426,2,FALSE())</f>
        <v>#N/A</v>
      </c>
      <c r="G1539" s="1" t="str">
        <f aca="false">IF(ISNA(F1539),"",F1539)</f>
        <v/>
      </c>
      <c r="H1539" s="5" t="str">
        <f aca="false">IF(G1539&lt;&gt;"",G1539,E1539)</f>
        <v>40, 40, PERSIAN</v>
      </c>
    </row>
    <row r="1540" customFormat="false" ht="12.75" hidden="false" customHeight="true" outlineLevel="0" collapsed="false">
      <c r="A1540" s="4" t="s">
        <v>3138</v>
      </c>
      <c r="B1540" s="5" t="s">
        <v>3138</v>
      </c>
      <c r="C1540" s="1" t="str">
        <f aca="false">IF(B1540="NEW ROUTE",1,"")</f>
        <v/>
      </c>
      <c r="E1540" s="5" t="s">
        <v>3138</v>
      </c>
      <c r="F1540" s="6" t="e">
        <f aca="false">VLOOKUP(E1540,$K$2:$L$426,2,FALSE())</f>
        <v>#N/A</v>
      </c>
      <c r="G1540" s="1" t="str">
        <f aca="false">IF(ISNA(F1540),"",F1540)</f>
        <v/>
      </c>
      <c r="H1540" s="5" t="str">
        <f aca="false">IF(G1540&lt;&gt;"",G1540,E1540)</f>
        <v>2, 5, 20, SLOWPOKE</v>
      </c>
    </row>
    <row r="1541" customFormat="false" ht="12.75" hidden="false" customHeight="true" outlineLevel="0" collapsed="false">
      <c r="A1541" s="4" t="s">
        <v>3139</v>
      </c>
      <c r="B1541" s="5" t="s">
        <v>3139</v>
      </c>
      <c r="C1541" s="1" t="str">
        <f aca="false">IF(B1541="NEW ROUTE",1,"")</f>
        <v/>
      </c>
      <c r="E1541" s="5" t="s">
        <v>3139</v>
      </c>
      <c r="F1541" s="6" t="e">
        <f aca="false">VLOOKUP(E1541,$K$2:$L$426,2,FALSE())</f>
        <v>#N/A</v>
      </c>
      <c r="G1541" s="1" t="str">
        <f aca="false">IF(ISNA(F1541),"",F1541)</f>
        <v/>
      </c>
      <c r="H1541" s="5" t="str">
        <f aca="false">IF(G1541&lt;&gt;"",G1541,E1541)</f>
        <v>20, 35, SLOWPOKE</v>
      </c>
    </row>
    <row r="1542" customFormat="false" ht="12.75" hidden="false" customHeight="true" outlineLevel="0" collapsed="false">
      <c r="A1542" s="4" t="s">
        <v>3140</v>
      </c>
      <c r="B1542" s="5" t="s">
        <v>3140</v>
      </c>
      <c r="C1542" s="1" t="str">
        <f aca="false">IF(B1542="NEW ROUTE",1,"")</f>
        <v/>
      </c>
      <c r="E1542" s="5" t="s">
        <v>3140</v>
      </c>
      <c r="F1542" s="6" t="e">
        <f aca="false">VLOOKUP(E1542,$K$2:$L$426,2,FALSE())</f>
        <v>#N/A</v>
      </c>
      <c r="G1542" s="1" t="str">
        <f aca="false">IF(ISNA(F1542),"",F1542)</f>
        <v/>
      </c>
      <c r="H1542" s="5" t="str">
        <f aca="false">IF(G1542&lt;&gt;"",G1542,E1542)</f>
        <v>35, 40, SLOWPOKE</v>
      </c>
    </row>
    <row r="1543" customFormat="false" ht="12.75" hidden="false" customHeight="true" outlineLevel="0" collapsed="false">
      <c r="A1543" s="4" t="s">
        <v>3141</v>
      </c>
      <c r="B1543" s="5" t="s">
        <v>3141</v>
      </c>
      <c r="C1543" s="1" t="str">
        <f aca="false">IF(B1543="NEW ROUTE",1,"")</f>
        <v/>
      </c>
      <c r="E1543" s="5" t="s">
        <v>3141</v>
      </c>
      <c r="F1543" s="6" t="e">
        <f aca="false">VLOOKUP(E1543,$K$2:$L$426,2,FALSE())</f>
        <v>#N/A</v>
      </c>
      <c r="G1543" s="1" t="str">
        <f aca="false">IF(ISNA(F1543),"",F1543)</f>
        <v/>
      </c>
      <c r="H1543" s="5" t="str">
        <f aca="false">IF(G1543&lt;&gt;"",G1543,E1543)</f>
        <v>35, 40, SLOWBRO</v>
      </c>
    </row>
    <row r="1544" customFormat="false" ht="12.75" hidden="false" customHeight="true" outlineLevel="0" collapsed="false">
      <c r="A1544" s="4" t="s">
        <v>3141</v>
      </c>
      <c r="B1544" s="5" t="s">
        <v>3141</v>
      </c>
      <c r="C1544" s="1" t="str">
        <f aca="false">IF(B1544="NEW ROUTE",1,"")</f>
        <v/>
      </c>
      <c r="E1544" s="5" t="s">
        <v>3141</v>
      </c>
      <c r="F1544" s="6" t="e">
        <f aca="false">VLOOKUP(E1544,$K$2:$L$426,2,FALSE())</f>
        <v>#N/A</v>
      </c>
      <c r="G1544" s="1" t="str">
        <f aca="false">IF(ISNA(F1544),"",F1544)</f>
        <v/>
      </c>
      <c r="H1544" s="5" t="str">
        <f aca="false">IF(G1544&lt;&gt;"",G1544,E1544)</f>
        <v>35, 40, SLOWBRO</v>
      </c>
    </row>
    <row r="1545" customFormat="false" ht="12.75" hidden="false" customHeight="true" outlineLevel="0" collapsed="false">
      <c r="A1545" s="4" t="s">
        <v>2925</v>
      </c>
      <c r="B1545" s="5" t="s">
        <v>2925</v>
      </c>
      <c r="C1545" s="1" t="str">
        <f aca="false">IF(B1545="NEW ROUTE",1,"")</f>
        <v/>
      </c>
      <c r="E1545" s="5" t="s">
        <v>2925</v>
      </c>
      <c r="F1545" s="6" t="e">
        <f aca="false">VLOOKUP(E1545,$K$2:$L$426,2,FALSE())</f>
        <v>#N/A</v>
      </c>
      <c r="G1545" s="1" t="str">
        <f aca="false">IF(ISNA(F1545),"",F1545)</f>
        <v/>
      </c>
      <c r="H1545" s="5" t="str">
        <f aca="false">IF(G1545&lt;&gt;"",G1545,E1545)</f>
        <v>20, old rod:</v>
      </c>
    </row>
    <row r="1546" customFormat="false" ht="12.75" hidden="false" customHeight="true" outlineLevel="0" collapsed="false">
      <c r="A1546" s="4" t="s">
        <v>1266</v>
      </c>
      <c r="B1546" s="5" t="s">
        <v>1266</v>
      </c>
      <c r="C1546" s="1" t="str">
        <f aca="false">IF(B1546="NEW ROUTE",1,"")</f>
        <v/>
      </c>
      <c r="E1546" s="5" t="s">
        <v>1266</v>
      </c>
      <c r="F1546" s="6" t="e">
        <f aca="false">VLOOKUP(E1546,$K$2:$L$426,2,FALSE())</f>
        <v>#N/A</v>
      </c>
      <c r="G1546" s="1" t="str">
        <f aca="false">IF(ISNA(F1546),"",F1546)</f>
        <v/>
      </c>
      <c r="H1546" s="5" t="str">
        <f aca="false">IF(G1546&lt;&gt;"",G1546,E1546)</f>
        <v>5, 5, MAGIKARP</v>
      </c>
    </row>
    <row r="1547" customFormat="false" ht="12.75" hidden="false" customHeight="true" outlineLevel="0" collapsed="false">
      <c r="A1547" s="4" t="s">
        <v>1266</v>
      </c>
      <c r="B1547" s="5" t="s">
        <v>1266</v>
      </c>
      <c r="C1547" s="1" t="str">
        <f aca="false">IF(B1547="NEW ROUTE",1,"")</f>
        <v/>
      </c>
      <c r="E1547" s="5" t="s">
        <v>1266</v>
      </c>
      <c r="F1547" s="6" t="e">
        <f aca="false">VLOOKUP(E1547,$K$2:$L$426,2,FALSE())</f>
        <v>#N/A</v>
      </c>
      <c r="G1547" s="1" t="str">
        <f aca="false">IF(ISNA(F1547),"",F1547)</f>
        <v/>
      </c>
      <c r="H1547" s="5" t="str">
        <f aca="false">IF(G1547&lt;&gt;"",G1547,E1547)</f>
        <v>5, 5, MAGIKARP</v>
      </c>
    </row>
    <row r="1548" customFormat="false" ht="12.75" hidden="false" customHeight="true" outlineLevel="0" collapsed="false">
      <c r="A1548" s="4" t="s">
        <v>2846</v>
      </c>
      <c r="B1548" s="5" t="s">
        <v>2846</v>
      </c>
      <c r="C1548" s="1" t="str">
        <f aca="false">IF(B1548="NEW ROUTE",1,"")</f>
        <v/>
      </c>
      <c r="E1548" s="5" t="s">
        <v>2846</v>
      </c>
      <c r="F1548" s="6" t="e">
        <f aca="false">VLOOKUP(E1548,$K$2:$L$426,2,FALSE())</f>
        <v>#N/A</v>
      </c>
      <c r="G1548" s="1" t="str">
        <f aca="false">IF(ISNA(F1548),"",F1548)</f>
        <v/>
      </c>
      <c r="H1548" s="5" t="str">
        <f aca="false">IF(G1548&lt;&gt;"",G1548,E1548)</f>
        <v>good rod:</v>
      </c>
    </row>
    <row r="1549" customFormat="false" ht="12.75" hidden="false" customHeight="true" outlineLevel="0" collapsed="false">
      <c r="A1549" s="4" t="s">
        <v>3143</v>
      </c>
      <c r="B1549" s="5" t="s">
        <v>3143</v>
      </c>
      <c r="C1549" s="1" t="str">
        <f aca="false">IF(B1549="NEW ROUTE",1,"")</f>
        <v/>
      </c>
      <c r="E1549" s="5" t="s">
        <v>3143</v>
      </c>
      <c r="F1549" s="6" t="e">
        <f aca="false">VLOOKUP(E1549,$K$2:$L$426,2,FALSE())</f>
        <v>#N/A</v>
      </c>
      <c r="G1549" s="1" t="str">
        <f aca="false">IF(ISNA(F1549),"",F1549)</f>
        <v/>
      </c>
      <c r="H1549" s="5" t="str">
        <f aca="false">IF(G1549&lt;&gt;"",G1549,E1549)</f>
        <v>5, 15, POLIWAG</v>
      </c>
    </row>
    <row r="1550" customFormat="false" ht="12.75" hidden="false" customHeight="true" outlineLevel="0" collapsed="false">
      <c r="A1550" s="4" t="s">
        <v>2848</v>
      </c>
      <c r="B1550" s="5" t="s">
        <v>2848</v>
      </c>
      <c r="C1550" s="1" t="str">
        <f aca="false">IF(B1550="NEW ROUTE",1,"")</f>
        <v/>
      </c>
      <c r="E1550" s="5" t="s">
        <v>2848</v>
      </c>
      <c r="F1550" s="6" t="e">
        <f aca="false">VLOOKUP(E1550,$K$2:$L$426,2,FALSE())</f>
        <v>#N/A</v>
      </c>
      <c r="G1550" s="1" t="str">
        <f aca="false">IF(ISNA(F1550),"",F1550)</f>
        <v/>
      </c>
      <c r="H1550" s="5" t="str">
        <f aca="false">IF(G1550&lt;&gt;"",G1550,E1550)</f>
        <v>5, 15, MAGIKARP</v>
      </c>
    </row>
    <row r="1551" customFormat="false" ht="12.75" hidden="false" customHeight="true" outlineLevel="0" collapsed="false">
      <c r="A1551" s="4" t="s">
        <v>3142</v>
      </c>
      <c r="B1551" s="5" t="s">
        <v>3142</v>
      </c>
      <c r="C1551" s="1" t="str">
        <f aca="false">IF(B1551="NEW ROUTE",1,"")</f>
        <v/>
      </c>
      <c r="E1551" s="5" t="s">
        <v>3142</v>
      </c>
      <c r="F1551" s="6" t="e">
        <f aca="false">VLOOKUP(E1551,$K$2:$L$426,2,FALSE())</f>
        <v>#N/A</v>
      </c>
      <c r="G1551" s="1" t="str">
        <f aca="false">IF(ISNA(F1551),"",F1551)</f>
        <v/>
      </c>
      <c r="H1551" s="5" t="str">
        <f aca="false">IF(G1551&lt;&gt;"",G1551,E1551)</f>
        <v>5, 15, GOLDEEN</v>
      </c>
    </row>
    <row r="1552" customFormat="false" ht="12.75" hidden="false" customHeight="true" outlineLevel="0" collapsed="false">
      <c r="A1552" s="4" t="s">
        <v>2850</v>
      </c>
      <c r="B1552" s="5" t="s">
        <v>2850</v>
      </c>
      <c r="C1552" s="1" t="str">
        <f aca="false">IF(B1552="NEW ROUTE",1,"")</f>
        <v/>
      </c>
      <c r="E1552" s="5" t="s">
        <v>2850</v>
      </c>
      <c r="F1552" s="6" t="e">
        <f aca="false">VLOOKUP(E1552,$K$2:$L$426,2,FALSE())</f>
        <v>#N/A</v>
      </c>
      <c r="G1552" s="1" t="str">
        <f aca="false">IF(ISNA(F1552),"",F1552)</f>
        <v/>
      </c>
      <c r="H1552" s="5" t="str">
        <f aca="false">IF(G1552&lt;&gt;"",G1552,E1552)</f>
        <v>super rod:</v>
      </c>
    </row>
    <row r="1553" customFormat="false" ht="12.75" hidden="false" customHeight="true" outlineLevel="0" collapsed="false">
      <c r="A1553" s="4" t="s">
        <v>3161</v>
      </c>
      <c r="B1553" s="5" t="s">
        <v>3161</v>
      </c>
      <c r="C1553" s="1" t="str">
        <f aca="false">IF(B1553="NEW ROUTE",1,"")</f>
        <v/>
      </c>
      <c r="E1553" s="5" t="s">
        <v>3161</v>
      </c>
      <c r="F1553" s="6" t="e">
        <f aca="false">VLOOKUP(E1553,$K$2:$L$426,2,FALSE())</f>
        <v>#N/A</v>
      </c>
      <c r="G1553" s="1" t="str">
        <f aca="false">IF(ISNA(F1553),"",F1553)</f>
        <v/>
      </c>
      <c r="H1553" s="5" t="str">
        <f aca="false">IF(G1553&lt;&gt;"",G1553,E1553)</f>
        <v>15, 25, POLIWAG</v>
      </c>
    </row>
    <row r="1554" customFormat="false" ht="12.75" hidden="false" customHeight="true" outlineLevel="0" collapsed="false">
      <c r="A1554" s="4" t="s">
        <v>3162</v>
      </c>
      <c r="B1554" s="5" t="s">
        <v>3162</v>
      </c>
      <c r="C1554" s="1" t="str">
        <f aca="false">IF(B1554="NEW ROUTE",1,"")</f>
        <v/>
      </c>
      <c r="E1554" s="5" t="s">
        <v>3162</v>
      </c>
      <c r="F1554" s="6" t="e">
        <f aca="false">VLOOKUP(E1554,$K$2:$L$426,2,FALSE())</f>
        <v>#N/A</v>
      </c>
      <c r="G1554" s="1" t="str">
        <f aca="false">IF(ISNA(F1554),"",F1554)</f>
        <v/>
      </c>
      <c r="H1554" s="5" t="str">
        <f aca="false">IF(G1554&lt;&gt;"",G1554,E1554)</f>
        <v>20, 30, POLIWHIRL</v>
      </c>
    </row>
    <row r="1555" customFormat="false" ht="12.75" hidden="false" customHeight="true" outlineLevel="0" collapsed="false">
      <c r="A1555" s="4" t="s">
        <v>2853</v>
      </c>
      <c r="B1555" s="5" t="s">
        <v>2853</v>
      </c>
      <c r="C1555" s="1" t="str">
        <f aca="false">IF(B1555="NEW ROUTE",1,"")</f>
        <v/>
      </c>
      <c r="E1555" s="5" t="s">
        <v>2853</v>
      </c>
      <c r="F1555" s="6" t="e">
        <f aca="false">VLOOKUP(E1555,$K$2:$L$426,2,FALSE())</f>
        <v>#N/A</v>
      </c>
      <c r="G1555" s="1" t="str">
        <f aca="false">IF(ISNA(F1555),"",F1555)</f>
        <v/>
      </c>
      <c r="H1555" s="5" t="str">
        <f aca="false">IF(G1555&lt;&gt;"",G1555,E1555)</f>
        <v>15, 25, GYARADOS</v>
      </c>
    </row>
    <row r="1556" customFormat="false" ht="12.75" hidden="false" customHeight="true" outlineLevel="0" collapsed="false">
      <c r="A1556" s="4" t="s">
        <v>3146</v>
      </c>
      <c r="B1556" s="5" t="s">
        <v>3146</v>
      </c>
      <c r="C1556" s="1" t="str">
        <f aca="false">IF(B1556="NEW ROUTE",1,"")</f>
        <v/>
      </c>
      <c r="E1556" s="5" t="s">
        <v>3146</v>
      </c>
      <c r="F1556" s="6" t="e">
        <f aca="false">VLOOKUP(E1556,$K$2:$L$426,2,FALSE())</f>
        <v>#N/A</v>
      </c>
      <c r="G1556" s="1" t="str">
        <f aca="false">IF(ISNA(F1556),"",F1556)</f>
        <v/>
      </c>
      <c r="H1556" s="5" t="str">
        <f aca="false">IF(G1556&lt;&gt;"",G1556,E1556)</f>
        <v>15, 25, SLOWPOKE</v>
      </c>
    </row>
    <row r="1557" customFormat="false" ht="12.75" hidden="false" customHeight="true" outlineLevel="0" collapsed="false">
      <c r="A1557" s="4" t="s">
        <v>2855</v>
      </c>
      <c r="B1557" s="5" t="s">
        <v>2855</v>
      </c>
      <c r="C1557" s="1" t="str">
        <f aca="false">IF(B1557="NEW ROUTE",1,"")</f>
        <v/>
      </c>
      <c r="E1557" s="5" t="s">
        <v>2855</v>
      </c>
      <c r="F1557" s="6" t="e">
        <f aca="false">VLOOKUP(E1557,$K$2:$L$426,2,FALSE())</f>
        <v>#N/A</v>
      </c>
      <c r="G1557" s="1" t="str">
        <f aca="false">IF(ISNA(F1557),"",F1557)</f>
        <v/>
      </c>
      <c r="H1557" s="5" t="str">
        <f aca="false">IF(G1557&lt;&gt;"",G1557,E1557)</f>
        <v>25, 35, SLOWPOKE</v>
      </c>
    </row>
    <row r="1558" customFormat="false" ht="12.75" hidden="false" customHeight="true" outlineLevel="0" collapsed="false">
      <c r="A1558" s="4" t="s">
        <v>2536</v>
      </c>
      <c r="B1558" s="5" t="s">
        <v>2536</v>
      </c>
      <c r="C1558" s="1" t="n">
        <f aca="false">IF(B1558="NEW ROUTE",1,"")</f>
        <v>1</v>
      </c>
      <c r="E1558" s="5" t="s">
        <v>2536</v>
      </c>
      <c r="F1558" s="6" t="e">
        <f aca="false">VLOOKUP(E1558,$K$2:$L$426,2,FALSE())</f>
        <v>#N/A</v>
      </c>
      <c r="G1558" s="1" t="str">
        <f aca="false">IF(ISNA(F1558),"",F1558)</f>
        <v/>
      </c>
      <c r="H1558" s="5" t="str">
        <f aca="false">IF(G1558&lt;&gt;"",G1558,E1558)</f>
        <v>NEW ROUTE</v>
      </c>
    </row>
    <row r="1559" customFormat="false" ht="12.75" hidden="false" customHeight="true" outlineLevel="0" collapsed="false">
      <c r="A1559" s="4" t="s">
        <v>474</v>
      </c>
      <c r="B1559" s="5" t="s">
        <v>474</v>
      </c>
      <c r="C1559" s="1" t="str">
        <f aca="false">IF(B1559="NEW ROUTE",1,"")</f>
        <v/>
      </c>
      <c r="E1559" s="5" t="s">
        <v>474</v>
      </c>
      <c r="F1559" s="6" t="str">
        <f aca="false">VLOOKUP(E1559,$K$2:$L$426,2,FALSE())</f>
        <v>Three Island Bond Bridge</v>
      </c>
      <c r="G1559" s="1" t="str">
        <f aca="false">IF(ISNA(F1559),"",F1559)</f>
        <v>Three Island Bond Bridge</v>
      </c>
      <c r="H1559" s="5" t="str">
        <f aca="false">IF(G1559&lt;&gt;"",G1559,E1559)</f>
        <v>Three Island Bond Bridge</v>
      </c>
    </row>
    <row r="1560" customFormat="false" ht="12.75" hidden="false" customHeight="true" outlineLevel="0" collapsed="false">
      <c r="A1560" s="4" t="s">
        <v>2799</v>
      </c>
      <c r="B1560" s="5" t="n">
        <v>0.2</v>
      </c>
      <c r="C1560" s="1" t="str">
        <f aca="false">IF(B1560="NEW ROUTE",1,"")</f>
        <v/>
      </c>
      <c r="E1560" s="5" t="n">
        <v>0.2</v>
      </c>
      <c r="F1560" s="6" t="e">
        <f aca="false">VLOOKUP(E1560,$K$2:$L$426,2,FALSE())</f>
        <v>#N/A</v>
      </c>
      <c r="G1560" s="1" t="str">
        <f aca="false">IF(ISNA(F1560),"",F1560)</f>
        <v/>
      </c>
      <c r="H1560" s="5" t="n">
        <f aca="false">IF(G1560&lt;&gt;"",G1560,E1560)</f>
        <v>0.2</v>
      </c>
    </row>
    <row r="1561" customFormat="false" ht="12.75" hidden="false" customHeight="true" outlineLevel="0" collapsed="false">
      <c r="A1561" s="4" t="s">
        <v>1695</v>
      </c>
      <c r="B1561" s="5" t="s">
        <v>1695</v>
      </c>
      <c r="C1561" s="1" t="str">
        <f aca="false">IF(B1561="NEW ROUTE",1,"")</f>
        <v/>
      </c>
      <c r="E1561" s="5" t="s">
        <v>1695</v>
      </c>
      <c r="F1561" s="6" t="e">
        <f aca="false">VLOOKUP(E1561,$K$2:$L$426,2,FALSE())</f>
        <v>#N/A</v>
      </c>
      <c r="G1561" s="1" t="str">
        <f aca="false">IF(ISNA(F1561),"",F1561)</f>
        <v/>
      </c>
      <c r="H1561" s="5" t="str">
        <f aca="false">IF(G1561&lt;&gt;"",G1561,E1561)</f>
        <v>32, 32, PIDGEY</v>
      </c>
    </row>
    <row r="1562" customFormat="false" ht="12.75" hidden="false" customHeight="true" outlineLevel="0" collapsed="false">
      <c r="A1562" s="4" t="s">
        <v>3244</v>
      </c>
      <c r="B1562" s="5" t="s">
        <v>3244</v>
      </c>
      <c r="C1562" s="1" t="str">
        <f aca="false">IF(B1562="NEW ROUTE",1,"")</f>
        <v/>
      </c>
      <c r="E1562" s="5" t="s">
        <v>3244</v>
      </c>
      <c r="F1562" s="6" t="e">
        <f aca="false">VLOOKUP(E1562,$K$2:$L$426,2,FALSE())</f>
        <v>#N/A</v>
      </c>
      <c r="G1562" s="1" t="str">
        <f aca="false">IF(ISNA(F1562),"",F1562)</f>
        <v/>
      </c>
      <c r="H1562" s="5" t="str">
        <f aca="false">IF(G1562&lt;&gt;"",G1562,E1562)</f>
        <v>31, 31, BELLSPROUT</v>
      </c>
    </row>
    <row r="1563" customFormat="false" ht="12.75" hidden="false" customHeight="true" outlineLevel="0" collapsed="false">
      <c r="A1563" s="4" t="s">
        <v>2801</v>
      </c>
      <c r="B1563" s="5" t="n">
        <v>0.1</v>
      </c>
      <c r="C1563" s="1" t="str">
        <f aca="false">IF(B1563="NEW ROUTE",1,"")</f>
        <v/>
      </c>
      <c r="E1563" s="5" t="n">
        <v>0.1</v>
      </c>
      <c r="F1563" s="6" t="e">
        <f aca="false">VLOOKUP(E1563,$K$2:$L$426,2,FALSE())</f>
        <v>#N/A</v>
      </c>
      <c r="G1563" s="1" t="str">
        <f aca="false">IF(ISNA(F1563),"",F1563)</f>
        <v/>
      </c>
      <c r="H1563" s="5" t="n">
        <f aca="false">IF(G1563&lt;&gt;"",G1563,E1563)</f>
        <v>0.1</v>
      </c>
    </row>
    <row r="1564" customFormat="false" ht="12.75" hidden="false" customHeight="true" outlineLevel="0" collapsed="false">
      <c r="A1564" s="4" t="s">
        <v>3245</v>
      </c>
      <c r="B1564" s="5" t="s">
        <v>3245</v>
      </c>
      <c r="C1564" s="1" t="str">
        <f aca="false">IF(B1564="NEW ROUTE",1,"")</f>
        <v/>
      </c>
      <c r="E1564" s="5" t="s">
        <v>3245</v>
      </c>
      <c r="F1564" s="6" t="e">
        <f aca="false">VLOOKUP(E1564,$K$2:$L$426,2,FALSE())</f>
        <v>#N/A</v>
      </c>
      <c r="G1564" s="1" t="str">
        <f aca="false">IF(ISNA(F1564),"",F1564)</f>
        <v/>
      </c>
      <c r="H1564" s="5" t="str">
        <f aca="false">IF(G1564&lt;&gt;"",G1564,E1564)</f>
        <v>29, 29, PIDGEY</v>
      </c>
    </row>
    <row r="1565" customFormat="false" ht="12.75" hidden="false" customHeight="true" outlineLevel="0" collapsed="false">
      <c r="A1565" s="4" t="s">
        <v>3239</v>
      </c>
      <c r="B1565" s="5" t="s">
        <v>3239</v>
      </c>
      <c r="C1565" s="1" t="str">
        <f aca="false">IF(B1565="NEW ROUTE",1,"")</f>
        <v/>
      </c>
      <c r="E1565" s="5" t="s">
        <v>3239</v>
      </c>
      <c r="F1565" s="6" t="e">
        <f aca="false">VLOOKUP(E1565,$K$2:$L$426,2,FALSE())</f>
        <v>#N/A</v>
      </c>
      <c r="G1565" s="1" t="str">
        <f aca="false">IF(ISNA(F1565),"",F1565)</f>
        <v/>
      </c>
      <c r="H1565" s="5" t="str">
        <f aca="false">IF(G1565&lt;&gt;"",G1565,E1565)</f>
        <v>36, 36, WEEPINBELL</v>
      </c>
    </row>
    <row r="1566" customFormat="false" ht="12.75" hidden="false" customHeight="true" outlineLevel="0" collapsed="false">
      <c r="A1566" s="4" t="s">
        <v>3246</v>
      </c>
      <c r="B1566" s="5" t="s">
        <v>3246</v>
      </c>
      <c r="C1566" s="1" t="str">
        <f aca="false">IF(B1566="NEW ROUTE",1,"")</f>
        <v/>
      </c>
      <c r="E1566" s="5" t="s">
        <v>3246</v>
      </c>
      <c r="F1566" s="6" t="e">
        <f aca="false">VLOOKUP(E1566,$K$2:$L$426,2,FALSE())</f>
        <v>#N/A</v>
      </c>
      <c r="G1566" s="1" t="str">
        <f aca="false">IF(ISNA(F1566),"",F1566)</f>
        <v/>
      </c>
      <c r="H1566" s="5" t="str">
        <f aca="false">IF(G1566&lt;&gt;"",G1566,E1566)</f>
        <v>34, 34, PIDGEOTTO</v>
      </c>
    </row>
    <row r="1567" customFormat="false" ht="12.75" hidden="false" customHeight="true" outlineLevel="0" collapsed="false">
      <c r="A1567" s="4" t="s">
        <v>3224</v>
      </c>
      <c r="B1567" s="5" t="s">
        <v>3224</v>
      </c>
      <c r="C1567" s="1" t="str">
        <f aca="false">IF(B1567="NEW ROUTE",1,"")</f>
        <v/>
      </c>
      <c r="E1567" s="5" t="s">
        <v>3224</v>
      </c>
      <c r="F1567" s="6" t="e">
        <f aca="false">VLOOKUP(E1567,$K$2:$L$426,2,FALSE())</f>
        <v>#N/A</v>
      </c>
      <c r="G1567" s="1" t="str">
        <f aca="false">IF(ISNA(F1567),"",F1567)</f>
        <v/>
      </c>
      <c r="H1567" s="5" t="str">
        <f aca="false">IF(G1567&lt;&gt;"",G1567,E1567)</f>
        <v>31, 31, MEOWTH</v>
      </c>
    </row>
    <row r="1568" customFormat="false" ht="12.75" hidden="false" customHeight="true" outlineLevel="0" collapsed="false">
      <c r="A1568" s="4" t="s">
        <v>2806</v>
      </c>
      <c r="B1568" s="5" t="n">
        <v>0.05</v>
      </c>
      <c r="C1568" s="1" t="str">
        <f aca="false">IF(B1568="NEW ROUTE",1,"")</f>
        <v/>
      </c>
      <c r="E1568" s="5" t="n">
        <v>0.05</v>
      </c>
      <c r="F1568" s="6" t="e">
        <f aca="false">VLOOKUP(E1568,$K$2:$L$426,2,FALSE())</f>
        <v>#N/A</v>
      </c>
      <c r="G1568" s="1" t="str">
        <f aca="false">IF(ISNA(F1568),"",F1568)</f>
        <v/>
      </c>
      <c r="H1568" s="5" t="n">
        <f aca="false">IF(G1568&lt;&gt;"",G1568,E1568)</f>
        <v>0.05</v>
      </c>
    </row>
    <row r="1569" customFormat="false" ht="12.75" hidden="false" customHeight="true" outlineLevel="0" collapsed="false">
      <c r="A1569" s="4" t="s">
        <v>3130</v>
      </c>
      <c r="B1569" s="5" t="s">
        <v>3130</v>
      </c>
      <c r="C1569" s="1" t="str">
        <f aca="false">IF(B1569="NEW ROUTE",1,"")</f>
        <v/>
      </c>
      <c r="E1569" s="5" t="s">
        <v>3130</v>
      </c>
      <c r="F1569" s="6" t="e">
        <f aca="false">VLOOKUP(E1569,$K$2:$L$426,2,FALSE())</f>
        <v>#N/A</v>
      </c>
      <c r="G1569" s="1" t="str">
        <f aca="false">IF(ISNA(F1569),"",F1569)</f>
        <v/>
      </c>
      <c r="H1569" s="5" t="str">
        <f aca="false">IF(G1569&lt;&gt;"",G1569,E1569)</f>
        <v>34, 34, VENONAT</v>
      </c>
    </row>
    <row r="1570" customFormat="false" ht="12.75" hidden="false" customHeight="true" outlineLevel="0" collapsed="false">
      <c r="A1570" s="4" t="s">
        <v>3133</v>
      </c>
      <c r="B1570" s="5" t="s">
        <v>3133</v>
      </c>
      <c r="C1570" s="1" t="str">
        <f aca="false">IF(B1570="NEW ROUTE",1,"")</f>
        <v/>
      </c>
      <c r="E1570" s="5" t="s">
        <v>3133</v>
      </c>
      <c r="F1570" s="6" t="e">
        <f aca="false">VLOOKUP(E1570,$K$2:$L$426,2,FALSE())</f>
        <v>#N/A</v>
      </c>
      <c r="G1570" s="1" t="str">
        <f aca="false">IF(ISNA(F1570),"",F1570)</f>
        <v/>
      </c>
      <c r="H1570" s="5" t="str">
        <f aca="false">IF(G1570&lt;&gt;"",G1570,E1570)</f>
        <v>31, 31, SLOWPOKE</v>
      </c>
    </row>
    <row r="1571" customFormat="false" ht="12.75" hidden="false" customHeight="true" outlineLevel="0" collapsed="false">
      <c r="A1571" s="4" t="s">
        <v>2809</v>
      </c>
      <c r="B1571" s="5" t="n">
        <v>0.04</v>
      </c>
      <c r="C1571" s="1" t="str">
        <f aca="false">IF(B1571="NEW ROUTE",1,"")</f>
        <v/>
      </c>
      <c r="E1571" s="5" t="n">
        <v>0.04</v>
      </c>
      <c r="F1571" s="6" t="e">
        <f aca="false">VLOOKUP(E1571,$K$2:$L$426,2,FALSE())</f>
        <v>#N/A</v>
      </c>
      <c r="G1571" s="1" t="str">
        <f aca="false">IF(ISNA(F1571),"",F1571)</f>
        <v/>
      </c>
      <c r="H1571" s="5" t="n">
        <f aca="false">IF(G1571&lt;&gt;"",G1571,E1571)</f>
        <v>0.04</v>
      </c>
    </row>
    <row r="1572" customFormat="false" ht="12.75" hidden="false" customHeight="true" outlineLevel="0" collapsed="false">
      <c r="A1572" s="4" t="s">
        <v>1569</v>
      </c>
      <c r="B1572" s="5" t="s">
        <v>1569</v>
      </c>
      <c r="C1572" s="1" t="str">
        <f aca="false">IF(B1572="NEW ROUTE",1,"")</f>
        <v/>
      </c>
      <c r="E1572" s="5" t="s">
        <v>1569</v>
      </c>
      <c r="F1572" s="6" t="e">
        <f aca="false">VLOOKUP(E1572,$K$2:$L$426,2,FALSE())</f>
        <v>#N/A</v>
      </c>
      <c r="G1572" s="1" t="str">
        <f aca="false">IF(ISNA(F1572),"",F1572)</f>
        <v/>
      </c>
      <c r="H1572" s="5" t="str">
        <f aca="false">IF(G1572&lt;&gt;"",G1572,E1572)</f>
        <v>37, 37, PIDGEOTTO</v>
      </c>
    </row>
    <row r="1573" customFormat="false" ht="12.75" hidden="false" customHeight="true" outlineLevel="0" collapsed="false">
      <c r="A1573" s="4" t="s">
        <v>3228</v>
      </c>
      <c r="B1573" s="5" t="s">
        <v>3228</v>
      </c>
      <c r="C1573" s="1" t="str">
        <f aca="false">IF(B1573="NEW ROUTE",1,"")</f>
        <v/>
      </c>
      <c r="E1573" s="5" t="s">
        <v>3228</v>
      </c>
      <c r="F1573" s="6" t="e">
        <f aca="false">VLOOKUP(E1573,$K$2:$L$426,2,FALSE())</f>
        <v>#N/A</v>
      </c>
      <c r="G1573" s="1" t="str">
        <f aca="false">IF(ISNA(F1573),"",F1573)</f>
        <v/>
      </c>
      <c r="H1573" s="5" t="str">
        <f aca="false">IF(G1573&lt;&gt;"",G1573,E1573)</f>
        <v>37, 37, PERSIAN</v>
      </c>
    </row>
    <row r="1574" customFormat="false" ht="12.75" hidden="false" customHeight="true" outlineLevel="0" collapsed="false">
      <c r="A1574" s="4" t="s">
        <v>2812</v>
      </c>
      <c r="B1574" s="5" t="n">
        <v>0.01</v>
      </c>
      <c r="C1574" s="1" t="str">
        <f aca="false">IF(B1574="NEW ROUTE",1,"")</f>
        <v/>
      </c>
      <c r="E1574" s="5" t="n">
        <v>0.01</v>
      </c>
      <c r="F1574" s="6" t="e">
        <f aca="false">VLOOKUP(E1574,$K$2:$L$426,2,FALSE())</f>
        <v>#N/A</v>
      </c>
      <c r="G1574" s="1" t="str">
        <f aca="false">IF(ISNA(F1574),"",F1574)</f>
        <v/>
      </c>
      <c r="H1574" s="5" t="n">
        <f aca="false">IF(G1574&lt;&gt;"",G1574,E1574)</f>
        <v>0.01</v>
      </c>
    </row>
    <row r="1575" customFormat="false" ht="12.75" hidden="false" customHeight="true" outlineLevel="0" collapsed="false">
      <c r="A1575" s="4" t="s">
        <v>3247</v>
      </c>
      <c r="B1575" s="5" t="s">
        <v>3247</v>
      </c>
      <c r="C1575" s="1" t="str">
        <f aca="false">IF(B1575="NEW ROUTE",1,"")</f>
        <v/>
      </c>
      <c r="E1575" s="5" t="s">
        <v>3247</v>
      </c>
      <c r="F1575" s="6" t="e">
        <f aca="false">VLOOKUP(E1575,$K$2:$L$426,2,FALSE())</f>
        <v>#N/A</v>
      </c>
      <c r="G1575" s="1" t="str">
        <f aca="false">IF(ISNA(F1575),"",F1575)</f>
        <v/>
      </c>
      <c r="H1575" s="5" t="str">
        <f aca="false">IF(G1575&lt;&gt;"",G1575,E1575)</f>
        <v>40, 40, PIDGEOTTO</v>
      </c>
    </row>
    <row r="1576" customFormat="false" ht="12.75" hidden="false" customHeight="true" outlineLevel="0" collapsed="false">
      <c r="A1576" s="4" t="s">
        <v>3230</v>
      </c>
      <c r="B1576" s="5" t="s">
        <v>3230</v>
      </c>
      <c r="C1576" s="1" t="str">
        <f aca="false">IF(B1576="NEW ROUTE",1,"")</f>
        <v/>
      </c>
      <c r="E1576" s="5" t="s">
        <v>3230</v>
      </c>
      <c r="F1576" s="6" t="e">
        <f aca="false">VLOOKUP(E1576,$K$2:$L$426,2,FALSE())</f>
        <v>#N/A</v>
      </c>
      <c r="G1576" s="1" t="str">
        <f aca="false">IF(ISNA(F1576),"",F1576)</f>
        <v/>
      </c>
      <c r="H1576" s="5" t="str">
        <f aca="false">IF(G1576&lt;&gt;"",G1576,E1576)</f>
        <v>40, 40, PERSIAN</v>
      </c>
    </row>
    <row r="1577" customFormat="false" ht="12.75" hidden="false" customHeight="true" outlineLevel="0" collapsed="false">
      <c r="A1577" s="4" t="s">
        <v>3172</v>
      </c>
      <c r="B1577" s="5" t="s">
        <v>3172</v>
      </c>
      <c r="C1577" s="1" t="str">
        <f aca="false">IF(B1577="NEW ROUTE",1,"")</f>
        <v/>
      </c>
      <c r="E1577" s="5" t="s">
        <v>3172</v>
      </c>
      <c r="F1577" s="6" t="e">
        <f aca="false">VLOOKUP(E1577,$K$2:$L$426,2,FALSE())</f>
        <v>#N/A</v>
      </c>
      <c r="G1577" s="1" t="str">
        <f aca="false">IF(ISNA(F1577),"",F1577)</f>
        <v/>
      </c>
      <c r="H1577" s="5" t="str">
        <f aca="false">IF(G1577&lt;&gt;"",G1577,E1577)</f>
        <v>2, 5, 20, TENTACOOL</v>
      </c>
    </row>
    <row r="1578" customFormat="false" ht="12.75" hidden="false" customHeight="true" outlineLevel="0" collapsed="false">
      <c r="A1578" s="4" t="s">
        <v>3173</v>
      </c>
      <c r="B1578" s="5" t="s">
        <v>3173</v>
      </c>
      <c r="C1578" s="1" t="str">
        <f aca="false">IF(B1578="NEW ROUTE",1,"")</f>
        <v/>
      </c>
      <c r="E1578" s="5" t="s">
        <v>3173</v>
      </c>
      <c r="F1578" s="6" t="e">
        <f aca="false">VLOOKUP(E1578,$K$2:$L$426,2,FALSE())</f>
        <v>#N/A</v>
      </c>
      <c r="G1578" s="1" t="str">
        <f aca="false">IF(ISNA(F1578),"",F1578)</f>
        <v/>
      </c>
      <c r="H1578" s="5" t="str">
        <f aca="false">IF(G1578&lt;&gt;"",G1578,E1578)</f>
        <v>20, 35, TENTACOOL</v>
      </c>
    </row>
    <row r="1579" customFormat="false" ht="12.75" hidden="false" customHeight="true" outlineLevel="0" collapsed="false">
      <c r="A1579" s="4" t="s">
        <v>2844</v>
      </c>
      <c r="B1579" s="5" t="s">
        <v>2844</v>
      </c>
      <c r="C1579" s="1" t="str">
        <f aca="false">IF(B1579="NEW ROUTE",1,"")</f>
        <v/>
      </c>
      <c r="E1579" s="5" t="s">
        <v>2844</v>
      </c>
      <c r="F1579" s="6" t="e">
        <f aca="false">VLOOKUP(E1579,$K$2:$L$426,2,FALSE())</f>
        <v>#N/A</v>
      </c>
      <c r="G1579" s="1" t="str">
        <f aca="false">IF(ISNA(F1579),"",F1579)</f>
        <v/>
      </c>
      <c r="H1579" s="5" t="str">
        <f aca="false">IF(G1579&lt;&gt;"",G1579,E1579)</f>
        <v>35, 40, TENTACOOL</v>
      </c>
    </row>
    <row r="1580" customFormat="false" ht="12.75" hidden="false" customHeight="true" outlineLevel="0" collapsed="false">
      <c r="A1580" s="4" t="s">
        <v>3231</v>
      </c>
      <c r="B1580" s="5" t="s">
        <v>3231</v>
      </c>
      <c r="C1580" s="1" t="str">
        <f aca="false">IF(B1580="NEW ROUTE",1,"")</f>
        <v/>
      </c>
      <c r="E1580" s="5" t="s">
        <v>3231</v>
      </c>
      <c r="F1580" s="6" t="e">
        <f aca="false">VLOOKUP(E1580,$K$2:$L$426,2,FALSE())</f>
        <v>#N/A</v>
      </c>
      <c r="G1580" s="1" t="str">
        <f aca="false">IF(ISNA(F1580),"",F1580)</f>
        <v/>
      </c>
      <c r="H1580" s="5" t="str">
        <f aca="false">IF(G1580&lt;&gt;"",G1580,E1580)</f>
        <v>35, 40, TENTACRUEL</v>
      </c>
    </row>
    <row r="1581" customFormat="false" ht="12.75" hidden="false" customHeight="true" outlineLevel="0" collapsed="false">
      <c r="A1581" s="4" t="s">
        <v>3231</v>
      </c>
      <c r="B1581" s="5" t="s">
        <v>3231</v>
      </c>
      <c r="C1581" s="1" t="str">
        <f aca="false">IF(B1581="NEW ROUTE",1,"")</f>
        <v/>
      </c>
      <c r="E1581" s="5" t="s">
        <v>3231</v>
      </c>
      <c r="F1581" s="6" t="e">
        <f aca="false">VLOOKUP(E1581,$K$2:$L$426,2,FALSE())</f>
        <v>#N/A</v>
      </c>
      <c r="G1581" s="1" t="str">
        <f aca="false">IF(ISNA(F1581),"",F1581)</f>
        <v/>
      </c>
      <c r="H1581" s="5" t="str">
        <f aca="false">IF(G1581&lt;&gt;"",G1581,E1581)</f>
        <v>35, 40, TENTACRUEL</v>
      </c>
    </row>
    <row r="1582" customFormat="false" ht="12.75" hidden="false" customHeight="true" outlineLevel="0" collapsed="false">
      <c r="A1582" s="4" t="s">
        <v>2925</v>
      </c>
      <c r="B1582" s="5" t="s">
        <v>2925</v>
      </c>
      <c r="C1582" s="1" t="str">
        <f aca="false">IF(B1582="NEW ROUTE",1,"")</f>
        <v/>
      </c>
      <c r="E1582" s="5" t="s">
        <v>2925</v>
      </c>
      <c r="F1582" s="6" t="e">
        <f aca="false">VLOOKUP(E1582,$K$2:$L$426,2,FALSE())</f>
        <v>#N/A</v>
      </c>
      <c r="G1582" s="1" t="str">
        <f aca="false">IF(ISNA(F1582),"",F1582)</f>
        <v/>
      </c>
      <c r="H1582" s="5" t="str">
        <f aca="false">IF(G1582&lt;&gt;"",G1582,E1582)</f>
        <v>20, old rod:</v>
      </c>
    </row>
    <row r="1583" customFormat="false" ht="12.75" hidden="false" customHeight="true" outlineLevel="0" collapsed="false">
      <c r="A1583" s="4" t="s">
        <v>1266</v>
      </c>
      <c r="B1583" s="5" t="s">
        <v>1266</v>
      </c>
      <c r="C1583" s="1" t="str">
        <f aca="false">IF(B1583="NEW ROUTE",1,"")</f>
        <v/>
      </c>
      <c r="E1583" s="5" t="s">
        <v>1266</v>
      </c>
      <c r="F1583" s="6" t="e">
        <f aca="false">VLOOKUP(E1583,$K$2:$L$426,2,FALSE())</f>
        <v>#N/A</v>
      </c>
      <c r="G1583" s="1" t="str">
        <f aca="false">IF(ISNA(F1583),"",F1583)</f>
        <v/>
      </c>
      <c r="H1583" s="5" t="str">
        <f aca="false">IF(G1583&lt;&gt;"",G1583,E1583)</f>
        <v>5, 5, MAGIKARP</v>
      </c>
    </row>
    <row r="1584" customFormat="false" ht="12.75" hidden="false" customHeight="true" outlineLevel="0" collapsed="false">
      <c r="A1584" s="4" t="s">
        <v>1266</v>
      </c>
      <c r="B1584" s="5" t="s">
        <v>1266</v>
      </c>
      <c r="C1584" s="1" t="str">
        <f aca="false">IF(B1584="NEW ROUTE",1,"")</f>
        <v/>
      </c>
      <c r="E1584" s="5" t="s">
        <v>1266</v>
      </c>
      <c r="F1584" s="6" t="e">
        <f aca="false">VLOOKUP(E1584,$K$2:$L$426,2,FALSE())</f>
        <v>#N/A</v>
      </c>
      <c r="G1584" s="1" t="str">
        <f aca="false">IF(ISNA(F1584),"",F1584)</f>
        <v/>
      </c>
      <c r="H1584" s="5" t="str">
        <f aca="false">IF(G1584&lt;&gt;"",G1584,E1584)</f>
        <v>5, 5, MAGIKARP</v>
      </c>
    </row>
    <row r="1585" customFormat="false" ht="12.75" hidden="false" customHeight="true" outlineLevel="0" collapsed="false">
      <c r="A1585" s="4" t="s">
        <v>2846</v>
      </c>
      <c r="B1585" s="5" t="s">
        <v>2846</v>
      </c>
      <c r="C1585" s="1" t="str">
        <f aca="false">IF(B1585="NEW ROUTE",1,"")</f>
        <v/>
      </c>
      <c r="E1585" s="5" t="s">
        <v>2846</v>
      </c>
      <c r="F1585" s="6" t="e">
        <f aca="false">VLOOKUP(E1585,$K$2:$L$426,2,FALSE())</f>
        <v>#N/A</v>
      </c>
      <c r="G1585" s="1" t="str">
        <f aca="false">IF(ISNA(F1585),"",F1585)</f>
        <v/>
      </c>
      <c r="H1585" s="5" t="str">
        <f aca="false">IF(G1585&lt;&gt;"",G1585,E1585)</f>
        <v>good rod:</v>
      </c>
    </row>
    <row r="1586" customFormat="false" ht="12.75" hidden="false" customHeight="true" outlineLevel="0" collapsed="false">
      <c r="A1586" s="4" t="s">
        <v>2847</v>
      </c>
      <c r="B1586" s="5" t="s">
        <v>2847</v>
      </c>
      <c r="C1586" s="1" t="str">
        <f aca="false">IF(B1586="NEW ROUTE",1,"")</f>
        <v/>
      </c>
      <c r="E1586" s="5" t="s">
        <v>2847</v>
      </c>
      <c r="F1586" s="6" t="e">
        <f aca="false">VLOOKUP(E1586,$K$2:$L$426,2,FALSE())</f>
        <v>#N/A</v>
      </c>
      <c r="G1586" s="1" t="str">
        <f aca="false">IF(ISNA(F1586),"",F1586)</f>
        <v/>
      </c>
      <c r="H1586" s="5" t="str">
        <f aca="false">IF(G1586&lt;&gt;"",G1586,E1586)</f>
        <v>5, 15, KRABBY</v>
      </c>
    </row>
    <row r="1587" customFormat="false" ht="12.75" hidden="false" customHeight="true" outlineLevel="0" collapsed="false">
      <c r="A1587" s="4" t="s">
        <v>2848</v>
      </c>
      <c r="B1587" s="5" t="s">
        <v>2848</v>
      </c>
      <c r="C1587" s="1" t="str">
        <f aca="false">IF(B1587="NEW ROUTE",1,"")</f>
        <v/>
      </c>
      <c r="E1587" s="5" t="s">
        <v>2848</v>
      </c>
      <c r="F1587" s="6" t="e">
        <f aca="false">VLOOKUP(E1587,$K$2:$L$426,2,FALSE())</f>
        <v>#N/A</v>
      </c>
      <c r="G1587" s="1" t="str">
        <f aca="false">IF(ISNA(F1587),"",F1587)</f>
        <v/>
      </c>
      <c r="H1587" s="5" t="str">
        <f aca="false">IF(G1587&lt;&gt;"",G1587,E1587)</f>
        <v>5, 15, MAGIKARP</v>
      </c>
    </row>
    <row r="1588" customFormat="false" ht="12.75" hidden="false" customHeight="true" outlineLevel="0" collapsed="false">
      <c r="A1588" s="4" t="s">
        <v>2847</v>
      </c>
      <c r="B1588" s="5" t="s">
        <v>2847</v>
      </c>
      <c r="C1588" s="1" t="str">
        <f aca="false">IF(B1588="NEW ROUTE",1,"")</f>
        <v/>
      </c>
      <c r="E1588" s="5" t="s">
        <v>2847</v>
      </c>
      <c r="F1588" s="6" t="e">
        <f aca="false">VLOOKUP(E1588,$K$2:$L$426,2,FALSE())</f>
        <v>#N/A</v>
      </c>
      <c r="G1588" s="1" t="str">
        <f aca="false">IF(ISNA(F1588),"",F1588)</f>
        <v/>
      </c>
      <c r="H1588" s="5" t="str">
        <f aca="false">IF(G1588&lt;&gt;"",G1588,E1588)</f>
        <v>5, 15, KRABBY</v>
      </c>
    </row>
    <row r="1589" customFormat="false" ht="12.75" hidden="false" customHeight="true" outlineLevel="0" collapsed="false">
      <c r="A1589" s="4" t="s">
        <v>2850</v>
      </c>
      <c r="B1589" s="5" t="s">
        <v>2850</v>
      </c>
      <c r="C1589" s="1" t="str">
        <f aca="false">IF(B1589="NEW ROUTE",1,"")</f>
        <v/>
      </c>
      <c r="E1589" s="5" t="s">
        <v>2850</v>
      </c>
      <c r="F1589" s="6" t="e">
        <f aca="false">VLOOKUP(E1589,$K$2:$L$426,2,FALSE())</f>
        <v>#N/A</v>
      </c>
      <c r="G1589" s="1" t="str">
        <f aca="false">IF(ISNA(F1589),"",F1589)</f>
        <v/>
      </c>
      <c r="H1589" s="5" t="str">
        <f aca="false">IF(G1589&lt;&gt;"",G1589,E1589)</f>
        <v>super rod:</v>
      </c>
    </row>
    <row r="1590" customFormat="false" ht="12.75" hidden="false" customHeight="true" outlineLevel="0" collapsed="false">
      <c r="A1590" s="4" t="s">
        <v>2851</v>
      </c>
      <c r="B1590" s="5" t="s">
        <v>2851</v>
      </c>
      <c r="C1590" s="1" t="str">
        <f aca="false">IF(B1590="NEW ROUTE",1,"")</f>
        <v/>
      </c>
      <c r="E1590" s="5" t="s">
        <v>2851</v>
      </c>
      <c r="F1590" s="6" t="e">
        <f aca="false">VLOOKUP(E1590,$K$2:$L$426,2,FALSE())</f>
        <v>#N/A</v>
      </c>
      <c r="G1590" s="1" t="str">
        <f aca="false">IF(ISNA(F1590),"",F1590)</f>
        <v/>
      </c>
      <c r="H1590" s="5" t="str">
        <f aca="false">IF(G1590&lt;&gt;"",G1590,E1590)</f>
        <v>15, 25, KRABBY</v>
      </c>
    </row>
    <row r="1591" customFormat="false" ht="12.75" hidden="false" customHeight="true" outlineLevel="0" collapsed="false">
      <c r="A1591" s="4" t="s">
        <v>2851</v>
      </c>
      <c r="B1591" s="5" t="s">
        <v>2851</v>
      </c>
      <c r="C1591" s="1" t="str">
        <f aca="false">IF(B1591="NEW ROUTE",1,"")</f>
        <v/>
      </c>
      <c r="E1591" s="5" t="s">
        <v>2851</v>
      </c>
      <c r="F1591" s="6" t="e">
        <f aca="false">VLOOKUP(E1591,$K$2:$L$426,2,FALSE())</f>
        <v>#N/A</v>
      </c>
      <c r="G1591" s="1" t="str">
        <f aca="false">IF(ISNA(F1591),"",F1591)</f>
        <v/>
      </c>
      <c r="H1591" s="5" t="str">
        <f aca="false">IF(G1591&lt;&gt;"",G1591,E1591)</f>
        <v>15, 25, KRABBY</v>
      </c>
    </row>
    <row r="1592" customFormat="false" ht="12.75" hidden="false" customHeight="true" outlineLevel="0" collapsed="false">
      <c r="A1592" s="4" t="s">
        <v>2853</v>
      </c>
      <c r="B1592" s="5" t="s">
        <v>2853</v>
      </c>
      <c r="C1592" s="1" t="str">
        <f aca="false">IF(B1592="NEW ROUTE",1,"")</f>
        <v/>
      </c>
      <c r="E1592" s="5" t="s">
        <v>2853</v>
      </c>
      <c r="F1592" s="6" t="e">
        <f aca="false">VLOOKUP(E1592,$K$2:$L$426,2,FALSE())</f>
        <v>#N/A</v>
      </c>
      <c r="G1592" s="1" t="str">
        <f aca="false">IF(ISNA(F1592),"",F1592)</f>
        <v/>
      </c>
      <c r="H1592" s="5" t="str">
        <f aca="false">IF(G1592&lt;&gt;"",G1592,E1592)</f>
        <v>15, 25, GYARADOS</v>
      </c>
    </row>
    <row r="1593" customFormat="false" ht="12.75" hidden="false" customHeight="true" outlineLevel="0" collapsed="false">
      <c r="A1593" s="4" t="s">
        <v>3177</v>
      </c>
      <c r="B1593" s="5" t="s">
        <v>3177</v>
      </c>
      <c r="C1593" s="1" t="str">
        <f aca="false">IF(B1593="NEW ROUTE",1,"")</f>
        <v/>
      </c>
      <c r="E1593" s="5" t="s">
        <v>3177</v>
      </c>
      <c r="F1593" s="6" t="e">
        <f aca="false">VLOOKUP(E1593,$K$2:$L$426,2,FALSE())</f>
        <v>#N/A</v>
      </c>
      <c r="G1593" s="1" t="str">
        <f aca="false">IF(ISNA(F1593),"",F1593)</f>
        <v/>
      </c>
      <c r="H1593" s="5" t="str">
        <f aca="false">IF(G1593&lt;&gt;"",G1593,E1593)</f>
        <v>25, 35, KINGLER</v>
      </c>
    </row>
    <row r="1594" customFormat="false" ht="12.75" hidden="false" customHeight="true" outlineLevel="0" collapsed="false">
      <c r="A1594" s="4" t="s">
        <v>2855</v>
      </c>
      <c r="B1594" s="5" t="s">
        <v>2855</v>
      </c>
      <c r="C1594" s="1" t="str">
        <f aca="false">IF(B1594="NEW ROUTE",1,"")</f>
        <v/>
      </c>
      <c r="E1594" s="5" t="s">
        <v>2855</v>
      </c>
      <c r="F1594" s="6" t="e">
        <f aca="false">VLOOKUP(E1594,$K$2:$L$426,2,FALSE())</f>
        <v>#N/A</v>
      </c>
      <c r="G1594" s="1" t="str">
        <f aca="false">IF(ISNA(F1594),"",F1594)</f>
        <v/>
      </c>
      <c r="H1594" s="5" t="str">
        <f aca="false">IF(G1594&lt;&gt;"",G1594,E1594)</f>
        <v>25, 35, SLOWPOKE</v>
      </c>
    </row>
    <row r="1595" customFormat="false" ht="12.75" hidden="false" customHeight="true" outlineLevel="0" collapsed="false">
      <c r="A1595" s="4" t="s">
        <v>2536</v>
      </c>
      <c r="B1595" s="5" t="s">
        <v>2536</v>
      </c>
      <c r="C1595" s="1" t="n">
        <f aca="false">IF(B1595="NEW ROUTE",1,"")</f>
        <v>1</v>
      </c>
      <c r="E1595" s="5" t="s">
        <v>2536</v>
      </c>
      <c r="F1595" s="6" t="e">
        <f aca="false">VLOOKUP(E1595,$K$2:$L$426,2,FALSE())</f>
        <v>#N/A</v>
      </c>
      <c r="G1595" s="1" t="str">
        <f aca="false">IF(ISNA(F1595),"",F1595)</f>
        <v/>
      </c>
      <c r="H1595" s="5" t="str">
        <f aca="false">IF(G1595&lt;&gt;"",G1595,E1595)</f>
        <v>NEW ROUTE</v>
      </c>
    </row>
    <row r="1596" customFormat="false" ht="12.75" hidden="false" customHeight="true" outlineLevel="0" collapsed="false">
      <c r="A1596" s="4" t="s">
        <v>476</v>
      </c>
      <c r="B1596" s="5" t="s">
        <v>476</v>
      </c>
      <c r="C1596" s="1" t="str">
        <f aca="false">IF(B1596="NEW ROUTE",1,"")</f>
        <v/>
      </c>
      <c r="E1596" s="5" t="s">
        <v>476</v>
      </c>
      <c r="F1596" s="6" t="str">
        <f aca="false">VLOOKUP(E1596,$K$2:$L$426,2,FALSE())</f>
        <v>Three Island Port</v>
      </c>
      <c r="G1596" s="1" t="str">
        <f aca="false">IF(ISNA(F1596),"",F1596)</f>
        <v>Three Island Port</v>
      </c>
      <c r="H1596" s="5" t="str">
        <f aca="false">IF(G1596&lt;&gt;"",G1596,E1596)</f>
        <v>Three Island Port</v>
      </c>
    </row>
    <row r="1597" customFormat="false" ht="12.75" hidden="false" customHeight="true" outlineLevel="0" collapsed="false">
      <c r="A1597" s="4" t="s">
        <v>2799</v>
      </c>
      <c r="B1597" s="5" t="n">
        <v>0.2</v>
      </c>
      <c r="C1597" s="1" t="str">
        <f aca="false">IF(B1597="NEW ROUTE",1,"")</f>
        <v/>
      </c>
      <c r="E1597" s="5" t="n">
        <v>0.2</v>
      </c>
      <c r="F1597" s="6" t="e">
        <f aca="false">VLOOKUP(E1597,$K$2:$L$426,2,FALSE())</f>
        <v>#N/A</v>
      </c>
      <c r="G1597" s="1" t="str">
        <f aca="false">IF(ISNA(F1597),"",F1597)</f>
        <v/>
      </c>
      <c r="H1597" s="5" t="n">
        <f aca="false">IF(G1597&lt;&gt;"",G1597,E1597)</f>
        <v>0.2</v>
      </c>
    </row>
    <row r="1598" customFormat="false" ht="12.75" hidden="false" customHeight="true" outlineLevel="0" collapsed="false">
      <c r="A1598" s="4" t="s">
        <v>1702</v>
      </c>
      <c r="B1598" s="5" t="s">
        <v>1702</v>
      </c>
      <c r="C1598" s="1" t="str">
        <f aca="false">IF(B1598="NEW ROUTE",1,"")</f>
        <v/>
      </c>
      <c r="E1598" s="5" t="s">
        <v>1702</v>
      </c>
      <c r="F1598" s="6" t="e">
        <f aca="false">VLOOKUP(E1598,$K$2:$L$426,2,FALSE())</f>
        <v>#N/A</v>
      </c>
      <c r="G1598" s="1" t="str">
        <f aca="false">IF(ISNA(F1598),"",F1598)</f>
        <v/>
      </c>
      <c r="H1598" s="5" t="str">
        <f aca="false">IF(G1598&lt;&gt;"",G1598,E1598)</f>
        <v>15, 15, DUNSPARCE</v>
      </c>
    </row>
    <row r="1599" customFormat="false" ht="12.75" hidden="false" customHeight="true" outlineLevel="0" collapsed="false">
      <c r="A1599" s="4" t="s">
        <v>1702</v>
      </c>
      <c r="B1599" s="5" t="s">
        <v>1702</v>
      </c>
      <c r="C1599" s="1" t="str">
        <f aca="false">IF(B1599="NEW ROUTE",1,"")</f>
        <v/>
      </c>
      <c r="E1599" s="5" t="s">
        <v>1702</v>
      </c>
      <c r="F1599" s="6" t="e">
        <f aca="false">VLOOKUP(E1599,$K$2:$L$426,2,FALSE())</f>
        <v>#N/A</v>
      </c>
      <c r="G1599" s="1" t="str">
        <f aca="false">IF(ISNA(F1599),"",F1599)</f>
        <v/>
      </c>
      <c r="H1599" s="5" t="str">
        <f aca="false">IF(G1599&lt;&gt;"",G1599,E1599)</f>
        <v>15, 15, DUNSPARCE</v>
      </c>
    </row>
    <row r="1600" customFormat="false" ht="12.75" hidden="false" customHeight="true" outlineLevel="0" collapsed="false">
      <c r="A1600" s="4" t="s">
        <v>2801</v>
      </c>
      <c r="B1600" s="5" t="n">
        <v>0.1</v>
      </c>
      <c r="C1600" s="1" t="str">
        <f aca="false">IF(B1600="NEW ROUTE",1,"")</f>
        <v/>
      </c>
      <c r="E1600" s="5" t="n">
        <v>0.1</v>
      </c>
      <c r="F1600" s="6" t="e">
        <f aca="false">VLOOKUP(E1600,$K$2:$L$426,2,FALSE())</f>
        <v>#N/A</v>
      </c>
      <c r="G1600" s="1" t="str">
        <f aca="false">IF(ISNA(F1600),"",F1600)</f>
        <v/>
      </c>
      <c r="H1600" s="5" t="n">
        <f aca="false">IF(G1600&lt;&gt;"",G1600,E1600)</f>
        <v>0.1</v>
      </c>
    </row>
    <row r="1601" customFormat="false" ht="12.75" hidden="false" customHeight="true" outlineLevel="0" collapsed="false">
      <c r="A1601" s="4" t="s">
        <v>3249</v>
      </c>
      <c r="B1601" s="5" t="s">
        <v>3249</v>
      </c>
      <c r="C1601" s="1" t="str">
        <f aca="false">IF(B1601="NEW ROUTE",1,"")</f>
        <v/>
      </c>
      <c r="E1601" s="5" t="s">
        <v>3249</v>
      </c>
      <c r="F1601" s="6" t="e">
        <f aca="false">VLOOKUP(E1601,$K$2:$L$426,2,FALSE())</f>
        <v>#N/A</v>
      </c>
      <c r="G1601" s="1" t="str">
        <f aca="false">IF(ISNA(F1601),"",F1601)</f>
        <v/>
      </c>
      <c r="H1601" s="5" t="str">
        <f aca="false">IF(G1601&lt;&gt;"",G1601,E1601)</f>
        <v>10, 10, DUNSPARCE</v>
      </c>
    </row>
    <row r="1602" customFormat="false" ht="12.75" hidden="false" customHeight="true" outlineLevel="0" collapsed="false">
      <c r="A1602" s="4" t="s">
        <v>3249</v>
      </c>
      <c r="B1602" s="5" t="s">
        <v>3249</v>
      </c>
      <c r="C1602" s="1" t="str">
        <f aca="false">IF(B1602="NEW ROUTE",1,"")</f>
        <v/>
      </c>
      <c r="E1602" s="5" t="s">
        <v>3249</v>
      </c>
      <c r="F1602" s="6" t="e">
        <f aca="false">VLOOKUP(E1602,$K$2:$L$426,2,FALSE())</f>
        <v>#N/A</v>
      </c>
      <c r="G1602" s="1" t="str">
        <f aca="false">IF(ISNA(F1602),"",F1602)</f>
        <v/>
      </c>
      <c r="H1602" s="5" t="str">
        <f aca="false">IF(G1602&lt;&gt;"",G1602,E1602)</f>
        <v>10, 10, DUNSPARCE</v>
      </c>
    </row>
    <row r="1603" customFormat="false" ht="12.75" hidden="false" customHeight="true" outlineLevel="0" collapsed="false">
      <c r="A1603" s="4" t="s">
        <v>3250</v>
      </c>
      <c r="B1603" s="5" t="s">
        <v>3250</v>
      </c>
      <c r="C1603" s="1" t="str">
        <f aca="false">IF(B1603="NEW ROUTE",1,"")</f>
        <v/>
      </c>
      <c r="E1603" s="5" t="s">
        <v>3250</v>
      </c>
      <c r="F1603" s="6" t="e">
        <f aca="false">VLOOKUP(E1603,$K$2:$L$426,2,FALSE())</f>
        <v>#N/A</v>
      </c>
      <c r="G1603" s="1" t="str">
        <f aca="false">IF(ISNA(F1603),"",F1603)</f>
        <v/>
      </c>
      <c r="H1603" s="5" t="str">
        <f aca="false">IF(G1603&lt;&gt;"",G1603,E1603)</f>
        <v>20, 20, DUNSPARCE</v>
      </c>
    </row>
    <row r="1604" customFormat="false" ht="12.75" hidden="false" customHeight="true" outlineLevel="0" collapsed="false">
      <c r="A1604" s="4" t="s">
        <v>3250</v>
      </c>
      <c r="B1604" s="5" t="s">
        <v>3250</v>
      </c>
      <c r="C1604" s="1" t="str">
        <f aca="false">IF(B1604="NEW ROUTE",1,"")</f>
        <v/>
      </c>
      <c r="E1604" s="5" t="s">
        <v>3250</v>
      </c>
      <c r="F1604" s="6" t="e">
        <f aca="false">VLOOKUP(E1604,$K$2:$L$426,2,FALSE())</f>
        <v>#N/A</v>
      </c>
      <c r="G1604" s="1" t="str">
        <f aca="false">IF(ISNA(F1604),"",F1604)</f>
        <v/>
      </c>
      <c r="H1604" s="5" t="str">
        <f aca="false">IF(G1604&lt;&gt;"",G1604,E1604)</f>
        <v>20, 20, DUNSPARCE</v>
      </c>
    </row>
    <row r="1605" customFormat="false" ht="12.75" hidden="false" customHeight="true" outlineLevel="0" collapsed="false">
      <c r="A1605" s="4" t="s">
        <v>2806</v>
      </c>
      <c r="B1605" s="5" t="n">
        <v>0.05</v>
      </c>
      <c r="C1605" s="1" t="str">
        <f aca="false">IF(B1605="NEW ROUTE",1,"")</f>
        <v/>
      </c>
      <c r="E1605" s="5" t="n">
        <v>0.05</v>
      </c>
      <c r="F1605" s="6" t="e">
        <f aca="false">VLOOKUP(E1605,$K$2:$L$426,2,FALSE())</f>
        <v>#N/A</v>
      </c>
      <c r="G1605" s="1" t="str">
        <f aca="false">IF(ISNA(F1605),"",F1605)</f>
        <v/>
      </c>
      <c r="H1605" s="5" t="n">
        <f aca="false">IF(G1605&lt;&gt;"",G1605,E1605)</f>
        <v>0.05</v>
      </c>
    </row>
    <row r="1606" customFormat="false" ht="12.75" hidden="false" customHeight="true" outlineLevel="0" collapsed="false">
      <c r="A1606" s="4" t="s">
        <v>3251</v>
      </c>
      <c r="B1606" s="5" t="s">
        <v>3251</v>
      </c>
      <c r="C1606" s="1" t="str">
        <f aca="false">IF(B1606="NEW ROUTE",1,"")</f>
        <v/>
      </c>
      <c r="E1606" s="5" t="s">
        <v>3251</v>
      </c>
      <c r="F1606" s="6" t="e">
        <f aca="false">VLOOKUP(E1606,$K$2:$L$426,2,FALSE())</f>
        <v>#N/A</v>
      </c>
      <c r="G1606" s="1" t="str">
        <f aca="false">IF(ISNA(F1606),"",F1606)</f>
        <v/>
      </c>
      <c r="H1606" s="5" t="str">
        <f aca="false">IF(G1606&lt;&gt;"",G1606,E1606)</f>
        <v>25, 25, DUNSPARCE</v>
      </c>
    </row>
    <row r="1607" customFormat="false" ht="12.75" hidden="false" customHeight="true" outlineLevel="0" collapsed="false">
      <c r="A1607" s="4" t="s">
        <v>3252</v>
      </c>
      <c r="B1607" s="5" t="s">
        <v>3252</v>
      </c>
      <c r="C1607" s="1" t="str">
        <f aca="false">IF(B1607="NEW ROUTE",1,"")</f>
        <v/>
      </c>
      <c r="E1607" s="5" t="s">
        <v>3252</v>
      </c>
      <c r="F1607" s="6" t="e">
        <f aca="false">VLOOKUP(E1607,$K$2:$L$426,2,FALSE())</f>
        <v>#N/A</v>
      </c>
      <c r="G1607" s="1" t="str">
        <f aca="false">IF(ISNA(F1607),"",F1607)</f>
        <v/>
      </c>
      <c r="H1607" s="5" t="str">
        <f aca="false">IF(G1607&lt;&gt;"",G1607,E1607)</f>
        <v>30, 30, DUNSPARCE</v>
      </c>
    </row>
    <row r="1608" customFormat="false" ht="12.75" hidden="false" customHeight="true" outlineLevel="0" collapsed="false">
      <c r="A1608" s="4" t="s">
        <v>2809</v>
      </c>
      <c r="B1608" s="5" t="n">
        <v>0.04</v>
      </c>
      <c r="C1608" s="1" t="str">
        <f aca="false">IF(B1608="NEW ROUTE",1,"")</f>
        <v/>
      </c>
      <c r="E1608" s="5" t="n">
        <v>0.04</v>
      </c>
      <c r="F1608" s="6" t="e">
        <f aca="false">VLOOKUP(E1608,$K$2:$L$426,2,FALSE())</f>
        <v>#N/A</v>
      </c>
      <c r="G1608" s="1" t="str">
        <f aca="false">IF(ISNA(F1608),"",F1608)</f>
        <v/>
      </c>
      <c r="H1608" s="5" t="n">
        <f aca="false">IF(G1608&lt;&gt;"",G1608,E1608)</f>
        <v>0.04</v>
      </c>
    </row>
    <row r="1609" customFormat="false" ht="12.75" hidden="false" customHeight="true" outlineLevel="0" collapsed="false">
      <c r="A1609" s="4" t="s">
        <v>3251</v>
      </c>
      <c r="B1609" s="5" t="s">
        <v>3251</v>
      </c>
      <c r="C1609" s="1" t="str">
        <f aca="false">IF(B1609="NEW ROUTE",1,"")</f>
        <v/>
      </c>
      <c r="E1609" s="5" t="s">
        <v>3251</v>
      </c>
      <c r="F1609" s="6" t="e">
        <f aca="false">VLOOKUP(E1609,$K$2:$L$426,2,FALSE())</f>
        <v>#N/A</v>
      </c>
      <c r="G1609" s="1" t="str">
        <f aca="false">IF(ISNA(F1609),"",F1609)</f>
        <v/>
      </c>
      <c r="H1609" s="5" t="str">
        <f aca="false">IF(G1609&lt;&gt;"",G1609,E1609)</f>
        <v>25, 25, DUNSPARCE</v>
      </c>
    </row>
    <row r="1610" customFormat="false" ht="12.75" hidden="false" customHeight="true" outlineLevel="0" collapsed="false">
      <c r="A1610" s="4" t="s">
        <v>3252</v>
      </c>
      <c r="B1610" s="5" t="s">
        <v>3252</v>
      </c>
      <c r="C1610" s="1" t="str">
        <f aca="false">IF(B1610="NEW ROUTE",1,"")</f>
        <v/>
      </c>
      <c r="E1610" s="5" t="s">
        <v>3252</v>
      </c>
      <c r="F1610" s="6" t="e">
        <f aca="false">VLOOKUP(E1610,$K$2:$L$426,2,FALSE())</f>
        <v>#N/A</v>
      </c>
      <c r="G1610" s="1" t="str">
        <f aca="false">IF(ISNA(F1610),"",F1610)</f>
        <v/>
      </c>
      <c r="H1610" s="5" t="str">
        <f aca="false">IF(G1610&lt;&gt;"",G1610,E1610)</f>
        <v>30, 30, DUNSPARCE</v>
      </c>
    </row>
    <row r="1611" customFormat="false" ht="12.75" hidden="false" customHeight="true" outlineLevel="0" collapsed="false">
      <c r="A1611" s="4" t="s">
        <v>2812</v>
      </c>
      <c r="B1611" s="5" t="n">
        <v>0.01</v>
      </c>
      <c r="C1611" s="1" t="str">
        <f aca="false">IF(B1611="NEW ROUTE",1,"")</f>
        <v/>
      </c>
      <c r="E1611" s="5" t="n">
        <v>0.01</v>
      </c>
      <c r="F1611" s="6" t="e">
        <f aca="false">VLOOKUP(E1611,$K$2:$L$426,2,FALSE())</f>
        <v>#N/A</v>
      </c>
      <c r="G1611" s="1" t="str">
        <f aca="false">IF(ISNA(F1611),"",F1611)</f>
        <v/>
      </c>
      <c r="H1611" s="5" t="n">
        <f aca="false">IF(G1611&lt;&gt;"",G1611,E1611)</f>
        <v>0.01</v>
      </c>
    </row>
    <row r="1612" customFormat="false" ht="12.75" hidden="false" customHeight="true" outlineLevel="0" collapsed="false">
      <c r="A1612" s="4" t="s">
        <v>3253</v>
      </c>
      <c r="B1612" s="5" t="s">
        <v>3253</v>
      </c>
      <c r="C1612" s="1" t="str">
        <f aca="false">IF(B1612="NEW ROUTE",1,"")</f>
        <v/>
      </c>
      <c r="E1612" s="5" t="s">
        <v>3253</v>
      </c>
      <c r="F1612" s="6" t="e">
        <f aca="false">VLOOKUP(E1612,$K$2:$L$426,2,FALSE())</f>
        <v>#N/A</v>
      </c>
      <c r="G1612" s="1" t="str">
        <f aca="false">IF(ISNA(F1612),"",F1612)</f>
        <v/>
      </c>
      <c r="H1612" s="5" t="str">
        <f aca="false">IF(G1612&lt;&gt;"",G1612,E1612)</f>
        <v>5, 5, DUNSPARCE</v>
      </c>
    </row>
    <row r="1613" customFormat="false" ht="12.75" hidden="false" customHeight="true" outlineLevel="0" collapsed="false">
      <c r="A1613" s="4" t="s">
        <v>3721</v>
      </c>
      <c r="B1613" s="5" t="s">
        <v>3721</v>
      </c>
      <c r="C1613" s="1" t="str">
        <f aca="false">IF(B1613="NEW ROUTE",1,"")</f>
        <v/>
      </c>
      <c r="E1613" s="5" t="s">
        <v>3721</v>
      </c>
      <c r="F1613" s="6" t="e">
        <f aca="false">VLOOKUP(E1613,$K$2:$L$426,2,FALSE())</f>
        <v>#N/A</v>
      </c>
      <c r="G1613" s="1" t="str">
        <f aca="false">IF(ISNA(F1613),"",F1613)</f>
        <v/>
      </c>
      <c r="H1613" s="5" t="str">
        <f aca="false">IF(G1613&lt;&gt;"",G1613,E1613)</f>
        <v>35, 35, DUNSPARCE</v>
      </c>
    </row>
    <row r="1614" customFormat="false" ht="12.75" hidden="false" customHeight="true" outlineLevel="0" collapsed="false">
      <c r="A1614" s="4" t="s">
        <v>2536</v>
      </c>
      <c r="B1614" s="5" t="s">
        <v>2536</v>
      </c>
      <c r="C1614" s="1" t="n">
        <f aca="false">IF(B1614="NEW ROUTE",1,"")</f>
        <v>1</v>
      </c>
      <c r="E1614" s="5" t="s">
        <v>2536</v>
      </c>
      <c r="F1614" s="6" t="e">
        <f aca="false">VLOOKUP(E1614,$K$2:$L$426,2,FALSE())</f>
        <v>#N/A</v>
      </c>
      <c r="G1614" s="1" t="str">
        <f aca="false">IF(ISNA(F1614),"",F1614)</f>
        <v/>
      </c>
      <c r="H1614" s="5" t="str">
        <f aca="false">IF(G1614&lt;&gt;"",G1614,E1614)</f>
        <v>NEW ROUTE</v>
      </c>
    </row>
    <row r="1615" customFormat="false" ht="12.75" hidden="false" customHeight="true" outlineLevel="0" collapsed="false">
      <c r="A1615" s="4" t="s">
        <v>486</v>
      </c>
      <c r="B1615" s="5" t="s">
        <v>486</v>
      </c>
      <c r="C1615" s="1" t="str">
        <f aca="false">IF(B1615="NEW ROUTE",1,"")</f>
        <v/>
      </c>
      <c r="E1615" s="5" t="s">
        <v>486</v>
      </c>
      <c r="F1615" s="6" t="str">
        <f aca="false">VLOOKUP(E1615,$K$2:$L$426,2,FALSE())</f>
        <v>Five Island Resort Gorgeous</v>
      </c>
      <c r="G1615" s="1" t="str">
        <f aca="false">IF(ISNA(F1615),"",F1615)</f>
        <v>Five Island Resort Gorgeous</v>
      </c>
      <c r="H1615" s="5" t="str">
        <f aca="false">IF(G1615&lt;&gt;"",G1615,E1615)</f>
        <v>Five Island Resort Gorgeous</v>
      </c>
    </row>
    <row r="1616" customFormat="false" ht="12.75" hidden="false" customHeight="true" outlineLevel="0" collapsed="false">
      <c r="A1616" s="4" t="s">
        <v>3256</v>
      </c>
      <c r="B1616" s="5" t="s">
        <v>3256</v>
      </c>
      <c r="C1616" s="1" t="str">
        <f aca="false">IF(B1616="NEW ROUTE",1,"")</f>
        <v/>
      </c>
      <c r="E1616" s="5" t="s">
        <v>3256</v>
      </c>
      <c r="F1616" s="6" t="e">
        <f aca="false">VLOOKUP(E1616,$K$2:$L$426,2,FALSE())</f>
        <v>#N/A</v>
      </c>
      <c r="G1616" s="1" t="str">
        <f aca="false">IF(ISNA(F1616),"",F1616)</f>
        <v/>
      </c>
      <c r="H1616" s="5" t="str">
        <f aca="false">IF(G1616&lt;&gt;"",G1616,E1616)</f>
        <v>2, 5, 35, TENTACOOL</v>
      </c>
    </row>
    <row r="1617" customFormat="false" ht="12.75" hidden="false" customHeight="true" outlineLevel="0" collapsed="false">
      <c r="A1617" s="4" t="s">
        <v>3257</v>
      </c>
      <c r="B1617" s="5" t="s">
        <v>3257</v>
      </c>
      <c r="C1617" s="1" t="str">
        <f aca="false">IF(B1617="NEW ROUTE",1,"")</f>
        <v/>
      </c>
      <c r="E1617" s="5" t="s">
        <v>3257</v>
      </c>
      <c r="F1617" s="6" t="e">
        <f aca="false">VLOOKUP(E1617,$K$2:$L$426,2,FALSE())</f>
        <v>#N/A</v>
      </c>
      <c r="G1617" s="1" t="str">
        <f aca="false">IF(ISNA(F1617),"",F1617)</f>
        <v/>
      </c>
      <c r="H1617" s="5" t="str">
        <f aca="false">IF(G1617&lt;&gt;"",G1617,E1617)</f>
        <v>5, 15, HOPPIP</v>
      </c>
    </row>
    <row r="1618" customFormat="false" ht="12.75" hidden="false" customHeight="true" outlineLevel="0" collapsed="false">
      <c r="A1618" s="4" t="s">
        <v>2844</v>
      </c>
      <c r="B1618" s="5" t="s">
        <v>2844</v>
      </c>
      <c r="C1618" s="1" t="str">
        <f aca="false">IF(B1618="NEW ROUTE",1,"")</f>
        <v/>
      </c>
      <c r="E1618" s="5" t="s">
        <v>2844</v>
      </c>
      <c r="F1618" s="6" t="e">
        <f aca="false">VLOOKUP(E1618,$K$2:$L$426,2,FALSE())</f>
        <v>#N/A</v>
      </c>
      <c r="G1618" s="1" t="str">
        <f aca="false">IF(ISNA(F1618),"",F1618)</f>
        <v/>
      </c>
      <c r="H1618" s="5" t="str">
        <f aca="false">IF(G1618&lt;&gt;"",G1618,E1618)</f>
        <v>35, 40, TENTACOOL</v>
      </c>
    </row>
    <row r="1619" customFormat="false" ht="12.75" hidden="false" customHeight="true" outlineLevel="0" collapsed="false">
      <c r="A1619" s="4" t="s">
        <v>3231</v>
      </c>
      <c r="B1619" s="5" t="s">
        <v>3231</v>
      </c>
      <c r="C1619" s="1" t="str">
        <f aca="false">IF(B1619="NEW ROUTE",1,"")</f>
        <v/>
      </c>
      <c r="E1619" s="5" t="s">
        <v>3231</v>
      </c>
      <c r="F1619" s="6" t="e">
        <f aca="false">VLOOKUP(E1619,$K$2:$L$426,2,FALSE())</f>
        <v>#N/A</v>
      </c>
      <c r="G1619" s="1" t="str">
        <f aca="false">IF(ISNA(F1619),"",F1619)</f>
        <v/>
      </c>
      <c r="H1619" s="5" t="str">
        <f aca="false">IF(G1619&lt;&gt;"",G1619,E1619)</f>
        <v>35, 40, TENTACRUEL</v>
      </c>
    </row>
    <row r="1620" customFormat="false" ht="12.75" hidden="false" customHeight="true" outlineLevel="0" collapsed="false">
      <c r="A1620" s="4" t="s">
        <v>3231</v>
      </c>
      <c r="B1620" s="5" t="s">
        <v>3231</v>
      </c>
      <c r="C1620" s="1" t="str">
        <f aca="false">IF(B1620="NEW ROUTE",1,"")</f>
        <v/>
      </c>
      <c r="E1620" s="5" t="s">
        <v>3231</v>
      </c>
      <c r="F1620" s="6" t="e">
        <f aca="false">VLOOKUP(E1620,$K$2:$L$426,2,FALSE())</f>
        <v>#N/A</v>
      </c>
      <c r="G1620" s="1" t="str">
        <f aca="false">IF(ISNA(F1620),"",F1620)</f>
        <v/>
      </c>
      <c r="H1620" s="5" t="str">
        <f aca="false">IF(G1620&lt;&gt;"",G1620,E1620)</f>
        <v>35, 40, TENTACRUEL</v>
      </c>
    </row>
    <row r="1621" customFormat="false" ht="12.75" hidden="false" customHeight="true" outlineLevel="0" collapsed="false">
      <c r="A1621" s="4" t="s">
        <v>2925</v>
      </c>
      <c r="B1621" s="5" t="s">
        <v>2925</v>
      </c>
      <c r="C1621" s="1" t="str">
        <f aca="false">IF(B1621="NEW ROUTE",1,"")</f>
        <v/>
      </c>
      <c r="E1621" s="5" t="s">
        <v>2925</v>
      </c>
      <c r="F1621" s="6" t="e">
        <f aca="false">VLOOKUP(E1621,$K$2:$L$426,2,FALSE())</f>
        <v>#N/A</v>
      </c>
      <c r="G1621" s="1" t="str">
        <f aca="false">IF(ISNA(F1621),"",F1621)</f>
        <v/>
      </c>
      <c r="H1621" s="5" t="str">
        <f aca="false">IF(G1621&lt;&gt;"",G1621,E1621)</f>
        <v>20, old rod:</v>
      </c>
    </row>
    <row r="1622" customFormat="false" ht="12.75" hidden="false" customHeight="true" outlineLevel="0" collapsed="false">
      <c r="A1622" s="4" t="s">
        <v>1266</v>
      </c>
      <c r="B1622" s="5" t="s">
        <v>1266</v>
      </c>
      <c r="C1622" s="1" t="str">
        <f aca="false">IF(B1622="NEW ROUTE",1,"")</f>
        <v/>
      </c>
      <c r="E1622" s="5" t="s">
        <v>1266</v>
      </c>
      <c r="F1622" s="6" t="e">
        <f aca="false">VLOOKUP(E1622,$K$2:$L$426,2,FALSE())</f>
        <v>#N/A</v>
      </c>
      <c r="G1622" s="1" t="str">
        <f aca="false">IF(ISNA(F1622),"",F1622)</f>
        <v/>
      </c>
      <c r="H1622" s="5" t="str">
        <f aca="false">IF(G1622&lt;&gt;"",G1622,E1622)</f>
        <v>5, 5, MAGIKARP</v>
      </c>
    </row>
    <row r="1623" customFormat="false" ht="12.75" hidden="false" customHeight="true" outlineLevel="0" collapsed="false">
      <c r="A1623" s="4" t="s">
        <v>1266</v>
      </c>
      <c r="B1623" s="5" t="s">
        <v>1266</v>
      </c>
      <c r="C1623" s="1" t="str">
        <f aca="false">IF(B1623="NEW ROUTE",1,"")</f>
        <v/>
      </c>
      <c r="E1623" s="5" t="s">
        <v>1266</v>
      </c>
      <c r="F1623" s="6" t="e">
        <f aca="false">VLOOKUP(E1623,$K$2:$L$426,2,FALSE())</f>
        <v>#N/A</v>
      </c>
      <c r="G1623" s="1" t="str">
        <f aca="false">IF(ISNA(F1623),"",F1623)</f>
        <v/>
      </c>
      <c r="H1623" s="5" t="str">
        <f aca="false">IF(G1623&lt;&gt;"",G1623,E1623)</f>
        <v>5, 5, MAGIKARP</v>
      </c>
    </row>
    <row r="1624" customFormat="false" ht="12.75" hidden="false" customHeight="true" outlineLevel="0" collapsed="false">
      <c r="A1624" s="4" t="s">
        <v>2846</v>
      </c>
      <c r="B1624" s="5" t="s">
        <v>2846</v>
      </c>
      <c r="C1624" s="1" t="str">
        <f aca="false">IF(B1624="NEW ROUTE",1,"")</f>
        <v/>
      </c>
      <c r="E1624" s="5" t="s">
        <v>2846</v>
      </c>
      <c r="F1624" s="6" t="e">
        <f aca="false">VLOOKUP(E1624,$K$2:$L$426,2,FALSE())</f>
        <v>#N/A</v>
      </c>
      <c r="G1624" s="1" t="str">
        <f aca="false">IF(ISNA(F1624),"",F1624)</f>
        <v/>
      </c>
      <c r="H1624" s="5" t="str">
        <f aca="false">IF(G1624&lt;&gt;"",G1624,E1624)</f>
        <v>good rod:</v>
      </c>
    </row>
    <row r="1625" customFormat="false" ht="12.75" hidden="false" customHeight="true" outlineLevel="0" collapsed="false">
      <c r="A1625" s="4" t="s">
        <v>2847</v>
      </c>
      <c r="B1625" s="5" t="s">
        <v>2847</v>
      </c>
      <c r="C1625" s="1" t="str">
        <f aca="false">IF(B1625="NEW ROUTE",1,"")</f>
        <v/>
      </c>
      <c r="E1625" s="5" t="s">
        <v>2847</v>
      </c>
      <c r="F1625" s="6" t="e">
        <f aca="false">VLOOKUP(E1625,$K$2:$L$426,2,FALSE())</f>
        <v>#N/A</v>
      </c>
      <c r="G1625" s="1" t="str">
        <f aca="false">IF(ISNA(F1625),"",F1625)</f>
        <v/>
      </c>
      <c r="H1625" s="5" t="str">
        <f aca="false">IF(G1625&lt;&gt;"",G1625,E1625)</f>
        <v>5, 15, KRABBY</v>
      </c>
    </row>
    <row r="1626" customFormat="false" ht="12.75" hidden="false" customHeight="true" outlineLevel="0" collapsed="false">
      <c r="A1626" s="4" t="s">
        <v>2848</v>
      </c>
      <c r="B1626" s="5" t="s">
        <v>2848</v>
      </c>
      <c r="C1626" s="1" t="str">
        <f aca="false">IF(B1626="NEW ROUTE",1,"")</f>
        <v/>
      </c>
      <c r="E1626" s="5" t="s">
        <v>2848</v>
      </c>
      <c r="F1626" s="6" t="e">
        <f aca="false">VLOOKUP(E1626,$K$2:$L$426,2,FALSE())</f>
        <v>#N/A</v>
      </c>
      <c r="G1626" s="1" t="str">
        <f aca="false">IF(ISNA(F1626),"",F1626)</f>
        <v/>
      </c>
      <c r="H1626" s="5" t="str">
        <f aca="false">IF(G1626&lt;&gt;"",G1626,E1626)</f>
        <v>5, 15, MAGIKARP</v>
      </c>
    </row>
    <row r="1627" customFormat="false" ht="12.75" hidden="false" customHeight="true" outlineLevel="0" collapsed="false">
      <c r="A1627" s="4" t="s">
        <v>2847</v>
      </c>
      <c r="B1627" s="5" t="s">
        <v>2847</v>
      </c>
      <c r="C1627" s="1" t="str">
        <f aca="false">IF(B1627="NEW ROUTE",1,"")</f>
        <v/>
      </c>
      <c r="E1627" s="5" t="s">
        <v>2847</v>
      </c>
      <c r="F1627" s="6" t="e">
        <f aca="false">VLOOKUP(E1627,$K$2:$L$426,2,FALSE())</f>
        <v>#N/A</v>
      </c>
      <c r="G1627" s="1" t="str">
        <f aca="false">IF(ISNA(F1627),"",F1627)</f>
        <v/>
      </c>
      <c r="H1627" s="5" t="str">
        <f aca="false">IF(G1627&lt;&gt;"",G1627,E1627)</f>
        <v>5, 15, KRABBY</v>
      </c>
    </row>
    <row r="1628" customFormat="false" ht="12.75" hidden="false" customHeight="true" outlineLevel="0" collapsed="false">
      <c r="A1628" s="4" t="s">
        <v>2850</v>
      </c>
      <c r="B1628" s="5" t="s">
        <v>2850</v>
      </c>
      <c r="C1628" s="1" t="str">
        <f aca="false">IF(B1628="NEW ROUTE",1,"")</f>
        <v/>
      </c>
      <c r="E1628" s="5" t="s">
        <v>2850</v>
      </c>
      <c r="F1628" s="6" t="e">
        <f aca="false">VLOOKUP(E1628,$K$2:$L$426,2,FALSE())</f>
        <v>#N/A</v>
      </c>
      <c r="G1628" s="1" t="str">
        <f aca="false">IF(ISNA(F1628),"",F1628)</f>
        <v/>
      </c>
      <c r="H1628" s="5" t="str">
        <f aca="false">IF(G1628&lt;&gt;"",G1628,E1628)</f>
        <v>super rod:</v>
      </c>
    </row>
    <row r="1629" customFormat="false" ht="12.75" hidden="false" customHeight="true" outlineLevel="0" collapsed="false">
      <c r="A1629" s="4" t="s">
        <v>2851</v>
      </c>
      <c r="B1629" s="5" t="s">
        <v>2851</v>
      </c>
      <c r="C1629" s="1" t="str">
        <f aca="false">IF(B1629="NEW ROUTE",1,"")</f>
        <v/>
      </c>
      <c r="E1629" s="5" t="s">
        <v>2851</v>
      </c>
      <c r="F1629" s="6" t="e">
        <f aca="false">VLOOKUP(E1629,$K$2:$L$426,2,FALSE())</f>
        <v>#N/A</v>
      </c>
      <c r="G1629" s="1" t="str">
        <f aca="false">IF(ISNA(F1629),"",F1629)</f>
        <v/>
      </c>
      <c r="H1629" s="5" t="str">
        <f aca="false">IF(G1629&lt;&gt;"",G1629,E1629)</f>
        <v>15, 25, KRABBY</v>
      </c>
    </row>
    <row r="1630" customFormat="false" ht="12.75" hidden="false" customHeight="true" outlineLevel="0" collapsed="false">
      <c r="A1630" s="4" t="s">
        <v>3258</v>
      </c>
      <c r="B1630" s="5" t="s">
        <v>3258</v>
      </c>
      <c r="C1630" s="1" t="str">
        <f aca="false">IF(B1630="NEW ROUTE",1,"")</f>
        <v/>
      </c>
      <c r="E1630" s="5" t="s">
        <v>3258</v>
      </c>
      <c r="F1630" s="6" t="e">
        <f aca="false">VLOOKUP(E1630,$K$2:$L$426,2,FALSE())</f>
        <v>#N/A</v>
      </c>
      <c r="G1630" s="1" t="str">
        <f aca="false">IF(ISNA(F1630),"",F1630)</f>
        <v/>
      </c>
      <c r="H1630" s="5" t="str">
        <f aca="false">IF(G1630&lt;&gt;"",G1630,E1630)</f>
        <v>15, 25, REMORAID</v>
      </c>
    </row>
    <row r="1631" customFormat="false" ht="12.75" hidden="false" customHeight="true" outlineLevel="0" collapsed="false">
      <c r="A1631" s="4" t="s">
        <v>2853</v>
      </c>
      <c r="B1631" s="5" t="s">
        <v>2853</v>
      </c>
      <c r="C1631" s="1" t="str">
        <f aca="false">IF(B1631="NEW ROUTE",1,"")</f>
        <v/>
      </c>
      <c r="E1631" s="5" t="s">
        <v>2853</v>
      </c>
      <c r="F1631" s="6" t="e">
        <f aca="false">VLOOKUP(E1631,$K$2:$L$426,2,FALSE())</f>
        <v>#N/A</v>
      </c>
      <c r="G1631" s="1" t="str">
        <f aca="false">IF(ISNA(F1631),"",F1631)</f>
        <v/>
      </c>
      <c r="H1631" s="5" t="str">
        <f aca="false">IF(G1631&lt;&gt;"",G1631,E1631)</f>
        <v>15, 25, GYARADOS</v>
      </c>
    </row>
    <row r="1632" customFormat="false" ht="12.75" hidden="false" customHeight="true" outlineLevel="0" collapsed="false">
      <c r="A1632" s="4" t="s">
        <v>3177</v>
      </c>
      <c r="B1632" s="5" t="s">
        <v>3177</v>
      </c>
      <c r="C1632" s="1" t="str">
        <f aca="false">IF(B1632="NEW ROUTE",1,"")</f>
        <v/>
      </c>
      <c r="E1632" s="5" t="s">
        <v>3177</v>
      </c>
      <c r="F1632" s="6" t="e">
        <f aca="false">VLOOKUP(E1632,$K$2:$L$426,2,FALSE())</f>
        <v>#N/A</v>
      </c>
      <c r="G1632" s="1" t="str">
        <f aca="false">IF(ISNA(F1632),"",F1632)</f>
        <v/>
      </c>
      <c r="H1632" s="5" t="str">
        <f aca="false">IF(G1632&lt;&gt;"",G1632,E1632)</f>
        <v>25, 35, KINGLER</v>
      </c>
    </row>
    <row r="1633" customFormat="false" ht="12.75" hidden="false" customHeight="true" outlineLevel="0" collapsed="false">
      <c r="A1633" s="4" t="s">
        <v>2855</v>
      </c>
      <c r="B1633" s="5" t="s">
        <v>2855</v>
      </c>
      <c r="C1633" s="1" t="str">
        <f aca="false">IF(B1633="NEW ROUTE",1,"")</f>
        <v/>
      </c>
      <c r="E1633" s="5" t="s">
        <v>2855</v>
      </c>
      <c r="F1633" s="6" t="e">
        <f aca="false">VLOOKUP(E1633,$K$2:$L$426,2,FALSE())</f>
        <v>#N/A</v>
      </c>
      <c r="G1633" s="1" t="str">
        <f aca="false">IF(ISNA(F1633),"",F1633)</f>
        <v/>
      </c>
      <c r="H1633" s="5" t="str">
        <f aca="false">IF(G1633&lt;&gt;"",G1633,E1633)</f>
        <v>25, 35, SLOWPOKE</v>
      </c>
    </row>
    <row r="1634" customFormat="false" ht="12.75" hidden="false" customHeight="true" outlineLevel="0" collapsed="false">
      <c r="A1634" s="4" t="s">
        <v>2536</v>
      </c>
      <c r="B1634" s="5" t="s">
        <v>2536</v>
      </c>
      <c r="C1634" s="1" t="n">
        <f aca="false">IF(B1634="NEW ROUTE",1,"")</f>
        <v>1</v>
      </c>
      <c r="E1634" s="5" t="s">
        <v>2536</v>
      </c>
      <c r="F1634" s="6" t="e">
        <f aca="false">VLOOKUP(E1634,$K$2:$L$426,2,FALSE())</f>
        <v>#N/A</v>
      </c>
      <c r="G1634" s="1" t="str">
        <f aca="false">IF(ISNA(F1634),"",F1634)</f>
        <v/>
      </c>
      <c r="H1634" s="5" t="str">
        <f aca="false">IF(G1634&lt;&gt;"",G1634,E1634)</f>
        <v>NEW ROUTE</v>
      </c>
    </row>
    <row r="1635" customFormat="false" ht="12.75" hidden="false" customHeight="true" outlineLevel="0" collapsed="false">
      <c r="A1635" s="4" t="s">
        <v>488</v>
      </c>
      <c r="B1635" s="5" t="s">
        <v>488</v>
      </c>
      <c r="C1635" s="1" t="str">
        <f aca="false">IF(B1635="NEW ROUTE",1,"")</f>
        <v/>
      </c>
      <c r="E1635" s="5" t="s">
        <v>488</v>
      </c>
      <c r="F1635" s="6" t="str">
        <f aca="false">VLOOKUP(E1635,$K$2:$L$426,2,FALSE())</f>
        <v>Five Island Water Labyrinth</v>
      </c>
      <c r="G1635" s="1" t="str">
        <f aca="false">IF(ISNA(F1635),"",F1635)</f>
        <v>Five Island Water Labyrinth</v>
      </c>
      <c r="H1635" s="5" t="str">
        <f aca="false">IF(G1635&lt;&gt;"",G1635,E1635)</f>
        <v>Five Island Water Labyrinth</v>
      </c>
    </row>
    <row r="1636" customFormat="false" ht="12.75" hidden="false" customHeight="true" outlineLevel="0" collapsed="false">
      <c r="A1636" s="4" t="s">
        <v>3256</v>
      </c>
      <c r="B1636" s="5" t="s">
        <v>3256</v>
      </c>
      <c r="C1636" s="1" t="str">
        <f aca="false">IF(B1636="NEW ROUTE",1,"")</f>
        <v/>
      </c>
      <c r="E1636" s="5" t="s">
        <v>3256</v>
      </c>
      <c r="F1636" s="6" t="e">
        <f aca="false">VLOOKUP(E1636,$K$2:$L$426,2,FALSE())</f>
        <v>#N/A</v>
      </c>
      <c r="G1636" s="1" t="str">
        <f aca="false">IF(ISNA(F1636),"",F1636)</f>
        <v/>
      </c>
      <c r="H1636" s="5" t="str">
        <f aca="false">IF(G1636&lt;&gt;"",G1636,E1636)</f>
        <v>2, 5, 35, TENTACOOL</v>
      </c>
    </row>
    <row r="1637" customFormat="false" ht="12.75" hidden="false" customHeight="true" outlineLevel="0" collapsed="false">
      <c r="A1637" s="4" t="s">
        <v>3257</v>
      </c>
      <c r="B1637" s="5" t="s">
        <v>3257</v>
      </c>
      <c r="C1637" s="1" t="str">
        <f aca="false">IF(B1637="NEW ROUTE",1,"")</f>
        <v/>
      </c>
      <c r="E1637" s="5" t="s">
        <v>3257</v>
      </c>
      <c r="F1637" s="6" t="e">
        <f aca="false">VLOOKUP(E1637,$K$2:$L$426,2,FALSE())</f>
        <v>#N/A</v>
      </c>
      <c r="G1637" s="1" t="str">
        <f aca="false">IF(ISNA(F1637),"",F1637)</f>
        <v/>
      </c>
      <c r="H1637" s="5" t="str">
        <f aca="false">IF(G1637&lt;&gt;"",G1637,E1637)</f>
        <v>5, 15, HOPPIP</v>
      </c>
    </row>
    <row r="1638" customFormat="false" ht="12.75" hidden="false" customHeight="true" outlineLevel="0" collapsed="false">
      <c r="A1638" s="4" t="s">
        <v>2844</v>
      </c>
      <c r="B1638" s="5" t="s">
        <v>2844</v>
      </c>
      <c r="C1638" s="1" t="str">
        <f aca="false">IF(B1638="NEW ROUTE",1,"")</f>
        <v/>
      </c>
      <c r="E1638" s="5" t="s">
        <v>2844</v>
      </c>
      <c r="F1638" s="6" t="e">
        <f aca="false">VLOOKUP(E1638,$K$2:$L$426,2,FALSE())</f>
        <v>#N/A</v>
      </c>
      <c r="G1638" s="1" t="str">
        <f aca="false">IF(ISNA(F1638),"",F1638)</f>
        <v/>
      </c>
      <c r="H1638" s="5" t="str">
        <f aca="false">IF(G1638&lt;&gt;"",G1638,E1638)</f>
        <v>35, 40, TENTACOOL</v>
      </c>
    </row>
    <row r="1639" customFormat="false" ht="12.75" hidden="false" customHeight="true" outlineLevel="0" collapsed="false">
      <c r="A1639" s="4" t="s">
        <v>3231</v>
      </c>
      <c r="B1639" s="5" t="s">
        <v>3231</v>
      </c>
      <c r="C1639" s="1" t="str">
        <f aca="false">IF(B1639="NEW ROUTE",1,"")</f>
        <v/>
      </c>
      <c r="E1639" s="5" t="s">
        <v>3231</v>
      </c>
      <c r="F1639" s="6" t="e">
        <f aca="false">VLOOKUP(E1639,$K$2:$L$426,2,FALSE())</f>
        <v>#N/A</v>
      </c>
      <c r="G1639" s="1" t="str">
        <f aca="false">IF(ISNA(F1639),"",F1639)</f>
        <v/>
      </c>
      <c r="H1639" s="5" t="str">
        <f aca="false">IF(G1639&lt;&gt;"",G1639,E1639)</f>
        <v>35, 40, TENTACRUEL</v>
      </c>
    </row>
    <row r="1640" customFormat="false" ht="12.75" hidden="false" customHeight="true" outlineLevel="0" collapsed="false">
      <c r="A1640" s="4" t="s">
        <v>3231</v>
      </c>
      <c r="B1640" s="5" t="s">
        <v>3231</v>
      </c>
      <c r="C1640" s="1" t="str">
        <f aca="false">IF(B1640="NEW ROUTE",1,"")</f>
        <v/>
      </c>
      <c r="E1640" s="5" t="s">
        <v>3231</v>
      </c>
      <c r="F1640" s="6" t="e">
        <f aca="false">VLOOKUP(E1640,$K$2:$L$426,2,FALSE())</f>
        <v>#N/A</v>
      </c>
      <c r="G1640" s="1" t="str">
        <f aca="false">IF(ISNA(F1640),"",F1640)</f>
        <v/>
      </c>
      <c r="H1640" s="5" t="str">
        <f aca="false">IF(G1640&lt;&gt;"",G1640,E1640)</f>
        <v>35, 40, TENTACRUEL</v>
      </c>
    </row>
    <row r="1641" customFormat="false" ht="12.75" hidden="false" customHeight="true" outlineLevel="0" collapsed="false">
      <c r="A1641" s="4" t="s">
        <v>2925</v>
      </c>
      <c r="B1641" s="5" t="s">
        <v>2925</v>
      </c>
      <c r="C1641" s="1" t="str">
        <f aca="false">IF(B1641="NEW ROUTE",1,"")</f>
        <v/>
      </c>
      <c r="E1641" s="5" t="s">
        <v>2925</v>
      </c>
      <c r="F1641" s="6" t="e">
        <f aca="false">VLOOKUP(E1641,$K$2:$L$426,2,FALSE())</f>
        <v>#N/A</v>
      </c>
      <c r="G1641" s="1" t="str">
        <f aca="false">IF(ISNA(F1641),"",F1641)</f>
        <v/>
      </c>
      <c r="H1641" s="5" t="str">
        <f aca="false">IF(G1641&lt;&gt;"",G1641,E1641)</f>
        <v>20, old rod:</v>
      </c>
    </row>
    <row r="1642" customFormat="false" ht="12.75" hidden="false" customHeight="true" outlineLevel="0" collapsed="false">
      <c r="A1642" s="4" t="s">
        <v>1266</v>
      </c>
      <c r="B1642" s="5" t="s">
        <v>1266</v>
      </c>
      <c r="C1642" s="1" t="str">
        <f aca="false">IF(B1642="NEW ROUTE",1,"")</f>
        <v/>
      </c>
      <c r="E1642" s="5" t="s">
        <v>1266</v>
      </c>
      <c r="F1642" s="6" t="e">
        <f aca="false">VLOOKUP(E1642,$K$2:$L$426,2,FALSE())</f>
        <v>#N/A</v>
      </c>
      <c r="G1642" s="1" t="str">
        <f aca="false">IF(ISNA(F1642),"",F1642)</f>
        <v/>
      </c>
      <c r="H1642" s="5" t="str">
        <f aca="false">IF(G1642&lt;&gt;"",G1642,E1642)</f>
        <v>5, 5, MAGIKARP</v>
      </c>
    </row>
    <row r="1643" customFormat="false" ht="12.75" hidden="false" customHeight="true" outlineLevel="0" collapsed="false">
      <c r="A1643" s="4" t="s">
        <v>1266</v>
      </c>
      <c r="B1643" s="5" t="s">
        <v>1266</v>
      </c>
      <c r="C1643" s="1" t="str">
        <f aca="false">IF(B1643="NEW ROUTE",1,"")</f>
        <v/>
      </c>
      <c r="E1643" s="5" t="s">
        <v>1266</v>
      </c>
      <c r="F1643" s="6" t="e">
        <f aca="false">VLOOKUP(E1643,$K$2:$L$426,2,FALSE())</f>
        <v>#N/A</v>
      </c>
      <c r="G1643" s="1" t="str">
        <f aca="false">IF(ISNA(F1643),"",F1643)</f>
        <v/>
      </c>
      <c r="H1643" s="5" t="str">
        <f aca="false">IF(G1643&lt;&gt;"",G1643,E1643)</f>
        <v>5, 5, MAGIKARP</v>
      </c>
    </row>
    <row r="1644" customFormat="false" ht="12.75" hidden="false" customHeight="true" outlineLevel="0" collapsed="false">
      <c r="A1644" s="4" t="s">
        <v>2846</v>
      </c>
      <c r="B1644" s="5" t="s">
        <v>2846</v>
      </c>
      <c r="C1644" s="1" t="str">
        <f aca="false">IF(B1644="NEW ROUTE",1,"")</f>
        <v/>
      </c>
      <c r="E1644" s="5" t="s">
        <v>2846</v>
      </c>
      <c r="F1644" s="6" t="e">
        <f aca="false">VLOOKUP(E1644,$K$2:$L$426,2,FALSE())</f>
        <v>#N/A</v>
      </c>
      <c r="G1644" s="1" t="str">
        <f aca="false">IF(ISNA(F1644),"",F1644)</f>
        <v/>
      </c>
      <c r="H1644" s="5" t="str">
        <f aca="false">IF(G1644&lt;&gt;"",G1644,E1644)</f>
        <v>good rod:</v>
      </c>
    </row>
    <row r="1645" customFormat="false" ht="12.75" hidden="false" customHeight="true" outlineLevel="0" collapsed="false">
      <c r="A1645" s="4" t="s">
        <v>2847</v>
      </c>
      <c r="B1645" s="5" t="s">
        <v>2847</v>
      </c>
      <c r="C1645" s="1" t="str">
        <f aca="false">IF(B1645="NEW ROUTE",1,"")</f>
        <v/>
      </c>
      <c r="E1645" s="5" t="s">
        <v>2847</v>
      </c>
      <c r="F1645" s="6" t="e">
        <f aca="false">VLOOKUP(E1645,$K$2:$L$426,2,FALSE())</f>
        <v>#N/A</v>
      </c>
      <c r="G1645" s="1" t="str">
        <f aca="false">IF(ISNA(F1645),"",F1645)</f>
        <v/>
      </c>
      <c r="H1645" s="5" t="str">
        <f aca="false">IF(G1645&lt;&gt;"",G1645,E1645)</f>
        <v>5, 15, KRABBY</v>
      </c>
    </row>
    <row r="1646" customFormat="false" ht="12.75" hidden="false" customHeight="true" outlineLevel="0" collapsed="false">
      <c r="A1646" s="4" t="s">
        <v>2848</v>
      </c>
      <c r="B1646" s="5" t="s">
        <v>2848</v>
      </c>
      <c r="C1646" s="1" t="str">
        <f aca="false">IF(B1646="NEW ROUTE",1,"")</f>
        <v/>
      </c>
      <c r="E1646" s="5" t="s">
        <v>2848</v>
      </c>
      <c r="F1646" s="6" t="e">
        <f aca="false">VLOOKUP(E1646,$K$2:$L$426,2,FALSE())</f>
        <v>#N/A</v>
      </c>
      <c r="G1646" s="1" t="str">
        <f aca="false">IF(ISNA(F1646),"",F1646)</f>
        <v/>
      </c>
      <c r="H1646" s="5" t="str">
        <f aca="false">IF(G1646&lt;&gt;"",G1646,E1646)</f>
        <v>5, 15, MAGIKARP</v>
      </c>
    </row>
    <row r="1647" customFormat="false" ht="12.75" hidden="false" customHeight="true" outlineLevel="0" collapsed="false">
      <c r="A1647" s="4" t="s">
        <v>2847</v>
      </c>
      <c r="B1647" s="5" t="s">
        <v>2847</v>
      </c>
      <c r="C1647" s="1" t="str">
        <f aca="false">IF(B1647="NEW ROUTE",1,"")</f>
        <v/>
      </c>
      <c r="E1647" s="5" t="s">
        <v>2847</v>
      </c>
      <c r="F1647" s="6" t="e">
        <f aca="false">VLOOKUP(E1647,$K$2:$L$426,2,FALSE())</f>
        <v>#N/A</v>
      </c>
      <c r="G1647" s="1" t="str">
        <f aca="false">IF(ISNA(F1647),"",F1647)</f>
        <v/>
      </c>
      <c r="H1647" s="5" t="str">
        <f aca="false">IF(G1647&lt;&gt;"",G1647,E1647)</f>
        <v>5, 15, KRABBY</v>
      </c>
    </row>
    <row r="1648" customFormat="false" ht="12.75" hidden="false" customHeight="true" outlineLevel="0" collapsed="false">
      <c r="A1648" s="4" t="s">
        <v>2850</v>
      </c>
      <c r="B1648" s="5" t="s">
        <v>2850</v>
      </c>
      <c r="C1648" s="1" t="str">
        <f aca="false">IF(B1648="NEW ROUTE",1,"")</f>
        <v/>
      </c>
      <c r="E1648" s="5" t="s">
        <v>2850</v>
      </c>
      <c r="F1648" s="6" t="e">
        <f aca="false">VLOOKUP(E1648,$K$2:$L$426,2,FALSE())</f>
        <v>#N/A</v>
      </c>
      <c r="G1648" s="1" t="str">
        <f aca="false">IF(ISNA(F1648),"",F1648)</f>
        <v/>
      </c>
      <c r="H1648" s="5" t="str">
        <f aca="false">IF(G1648&lt;&gt;"",G1648,E1648)</f>
        <v>super rod:</v>
      </c>
    </row>
    <row r="1649" customFormat="false" ht="12.75" hidden="false" customHeight="true" outlineLevel="0" collapsed="false">
      <c r="A1649" s="4" t="s">
        <v>2851</v>
      </c>
      <c r="B1649" s="5" t="s">
        <v>2851</v>
      </c>
      <c r="C1649" s="1" t="str">
        <f aca="false">IF(B1649="NEW ROUTE",1,"")</f>
        <v/>
      </c>
      <c r="E1649" s="5" t="s">
        <v>2851</v>
      </c>
      <c r="F1649" s="6" t="e">
        <f aca="false">VLOOKUP(E1649,$K$2:$L$426,2,FALSE())</f>
        <v>#N/A</v>
      </c>
      <c r="G1649" s="1" t="str">
        <f aca="false">IF(ISNA(F1649),"",F1649)</f>
        <v/>
      </c>
      <c r="H1649" s="5" t="str">
        <f aca="false">IF(G1649&lt;&gt;"",G1649,E1649)</f>
        <v>15, 25, KRABBY</v>
      </c>
    </row>
    <row r="1650" customFormat="false" ht="12.75" hidden="false" customHeight="true" outlineLevel="0" collapsed="false">
      <c r="A1650" s="4" t="s">
        <v>3258</v>
      </c>
      <c r="B1650" s="5" t="s">
        <v>3258</v>
      </c>
      <c r="C1650" s="1" t="str">
        <f aca="false">IF(B1650="NEW ROUTE",1,"")</f>
        <v/>
      </c>
      <c r="E1650" s="5" t="s">
        <v>3258</v>
      </c>
      <c r="F1650" s="6" t="e">
        <f aca="false">VLOOKUP(E1650,$K$2:$L$426,2,FALSE())</f>
        <v>#N/A</v>
      </c>
      <c r="G1650" s="1" t="str">
        <f aca="false">IF(ISNA(F1650),"",F1650)</f>
        <v/>
      </c>
      <c r="H1650" s="5" t="str">
        <f aca="false">IF(G1650&lt;&gt;"",G1650,E1650)</f>
        <v>15, 25, REMORAID</v>
      </c>
    </row>
    <row r="1651" customFormat="false" ht="12.75" hidden="false" customHeight="true" outlineLevel="0" collapsed="false">
      <c r="A1651" s="4" t="s">
        <v>2853</v>
      </c>
      <c r="B1651" s="5" t="s">
        <v>2853</v>
      </c>
      <c r="C1651" s="1" t="str">
        <f aca="false">IF(B1651="NEW ROUTE",1,"")</f>
        <v/>
      </c>
      <c r="E1651" s="5" t="s">
        <v>2853</v>
      </c>
      <c r="F1651" s="6" t="e">
        <f aca="false">VLOOKUP(E1651,$K$2:$L$426,2,FALSE())</f>
        <v>#N/A</v>
      </c>
      <c r="G1651" s="1" t="str">
        <f aca="false">IF(ISNA(F1651),"",F1651)</f>
        <v/>
      </c>
      <c r="H1651" s="5" t="str">
        <f aca="false">IF(G1651&lt;&gt;"",G1651,E1651)</f>
        <v>15, 25, GYARADOS</v>
      </c>
    </row>
    <row r="1652" customFormat="false" ht="12.75" hidden="false" customHeight="true" outlineLevel="0" collapsed="false">
      <c r="A1652" s="4" t="s">
        <v>3177</v>
      </c>
      <c r="B1652" s="5" t="s">
        <v>3177</v>
      </c>
      <c r="C1652" s="1" t="str">
        <f aca="false">IF(B1652="NEW ROUTE",1,"")</f>
        <v/>
      </c>
      <c r="E1652" s="5" t="s">
        <v>3177</v>
      </c>
      <c r="F1652" s="6" t="e">
        <f aca="false">VLOOKUP(E1652,$K$2:$L$426,2,FALSE())</f>
        <v>#N/A</v>
      </c>
      <c r="G1652" s="1" t="str">
        <f aca="false">IF(ISNA(F1652),"",F1652)</f>
        <v/>
      </c>
      <c r="H1652" s="5" t="str">
        <f aca="false">IF(G1652&lt;&gt;"",G1652,E1652)</f>
        <v>25, 35, KINGLER</v>
      </c>
    </row>
    <row r="1653" customFormat="false" ht="12.75" hidden="false" customHeight="true" outlineLevel="0" collapsed="false">
      <c r="A1653" s="4" t="s">
        <v>2855</v>
      </c>
      <c r="B1653" s="5" t="s">
        <v>2855</v>
      </c>
      <c r="C1653" s="1" t="str">
        <f aca="false">IF(B1653="NEW ROUTE",1,"")</f>
        <v/>
      </c>
      <c r="E1653" s="5" t="s">
        <v>2855</v>
      </c>
      <c r="F1653" s="6" t="e">
        <f aca="false">VLOOKUP(E1653,$K$2:$L$426,2,FALSE())</f>
        <v>#N/A</v>
      </c>
      <c r="G1653" s="1" t="str">
        <f aca="false">IF(ISNA(F1653),"",F1653)</f>
        <v/>
      </c>
      <c r="H1653" s="5" t="str">
        <f aca="false">IF(G1653&lt;&gt;"",G1653,E1653)</f>
        <v>25, 35, SLOWPOKE</v>
      </c>
    </row>
    <row r="1654" customFormat="false" ht="12.75" hidden="false" customHeight="true" outlineLevel="0" collapsed="false">
      <c r="A1654" s="4" t="s">
        <v>2536</v>
      </c>
      <c r="B1654" s="5" t="s">
        <v>2536</v>
      </c>
      <c r="C1654" s="1" t="n">
        <f aca="false">IF(B1654="NEW ROUTE",1,"")</f>
        <v>1</v>
      </c>
      <c r="E1654" s="5" t="s">
        <v>2536</v>
      </c>
      <c r="F1654" s="6" t="e">
        <f aca="false">VLOOKUP(E1654,$K$2:$L$426,2,FALSE())</f>
        <v>#N/A</v>
      </c>
      <c r="G1654" s="1" t="str">
        <f aca="false">IF(ISNA(F1654),"",F1654)</f>
        <v/>
      </c>
      <c r="H1654" s="5" t="str">
        <f aca="false">IF(G1654&lt;&gt;"",G1654,E1654)</f>
        <v>NEW ROUTE</v>
      </c>
    </row>
    <row r="1655" customFormat="false" ht="12.75" hidden="false" customHeight="true" outlineLevel="0" collapsed="false">
      <c r="A1655" s="4" t="s">
        <v>490</v>
      </c>
      <c r="B1655" s="5" t="s">
        <v>490</v>
      </c>
      <c r="C1655" s="1" t="str">
        <f aca="false">IF(B1655="NEW ROUTE",1,"")</f>
        <v/>
      </c>
      <c r="E1655" s="5" t="s">
        <v>490</v>
      </c>
      <c r="F1655" s="6" t="str">
        <f aca="false">VLOOKUP(E1655,$K$2:$L$426,2,FALSE())</f>
        <v>Five Island Meadow</v>
      </c>
      <c r="G1655" s="1" t="str">
        <f aca="false">IF(ISNA(F1655),"",F1655)</f>
        <v>Five Island Meadow</v>
      </c>
      <c r="H1655" s="5" t="str">
        <f aca="false">IF(G1655&lt;&gt;"",G1655,E1655)</f>
        <v>Five Island Meadow</v>
      </c>
    </row>
    <row r="1656" customFormat="false" ht="12.75" hidden="false" customHeight="true" outlineLevel="0" collapsed="false">
      <c r="A1656" s="4" t="s">
        <v>2799</v>
      </c>
      <c r="B1656" s="5" t="n">
        <v>0.2</v>
      </c>
      <c r="C1656" s="1" t="str">
        <f aca="false">IF(B1656="NEW ROUTE",1,"")</f>
        <v/>
      </c>
      <c r="E1656" s="5" t="n">
        <v>0.2</v>
      </c>
      <c r="F1656" s="6" t="e">
        <f aca="false">VLOOKUP(E1656,$K$2:$L$426,2,FALSE())</f>
        <v>#N/A</v>
      </c>
      <c r="G1656" s="1" t="str">
        <f aca="false">IF(ISNA(F1656),"",F1656)</f>
        <v/>
      </c>
      <c r="H1656" s="5" t="n">
        <f aca="false">IF(G1656&lt;&gt;"",G1656,E1656)</f>
        <v>0.2</v>
      </c>
    </row>
    <row r="1657" customFormat="false" ht="12.75" hidden="false" customHeight="true" outlineLevel="0" collapsed="false">
      <c r="A1657" s="4" t="s">
        <v>1715</v>
      </c>
      <c r="B1657" s="5" t="s">
        <v>1715</v>
      </c>
      <c r="C1657" s="1" t="str">
        <f aca="false">IF(B1657="NEW ROUTE",1,"")</f>
        <v/>
      </c>
      <c r="E1657" s="5" t="s">
        <v>1715</v>
      </c>
      <c r="F1657" s="6" t="e">
        <f aca="false">VLOOKUP(E1657,$K$2:$L$426,2,FALSE())</f>
        <v>#N/A</v>
      </c>
      <c r="G1657" s="1" t="str">
        <f aca="false">IF(ISNA(F1657),"",F1657)</f>
        <v/>
      </c>
      <c r="H1657" s="5" t="str">
        <f aca="false">IF(G1657&lt;&gt;"",G1657,E1657)</f>
        <v>44, 44, PIDGEY</v>
      </c>
    </row>
    <row r="1658" customFormat="false" ht="12.75" hidden="false" customHeight="true" outlineLevel="0" collapsed="false">
      <c r="A1658" s="4" t="s">
        <v>3261</v>
      </c>
      <c r="B1658" s="5" t="s">
        <v>3261</v>
      </c>
      <c r="C1658" s="1" t="str">
        <f aca="false">IF(B1658="NEW ROUTE",1,"")</f>
        <v/>
      </c>
      <c r="E1658" s="5" t="s">
        <v>3261</v>
      </c>
      <c r="F1658" s="6" t="e">
        <f aca="false">VLOOKUP(E1658,$K$2:$L$426,2,FALSE())</f>
        <v>#N/A</v>
      </c>
      <c r="G1658" s="1" t="str">
        <f aca="false">IF(ISNA(F1658),"",F1658)</f>
        <v/>
      </c>
      <c r="H1658" s="5" t="str">
        <f aca="false">IF(G1658&lt;&gt;"",G1658,E1658)</f>
        <v>10, 10, SENTRET</v>
      </c>
    </row>
    <row r="1659" customFormat="false" ht="12.75" hidden="false" customHeight="true" outlineLevel="0" collapsed="false">
      <c r="A1659" s="4" t="s">
        <v>2801</v>
      </c>
      <c r="B1659" s="5" t="n">
        <v>0.1</v>
      </c>
      <c r="C1659" s="1" t="str">
        <f aca="false">IF(B1659="NEW ROUTE",1,"")</f>
        <v/>
      </c>
      <c r="E1659" s="5" t="n">
        <v>0.1</v>
      </c>
      <c r="F1659" s="6" t="e">
        <f aca="false">VLOOKUP(E1659,$K$2:$L$426,2,FALSE())</f>
        <v>#N/A</v>
      </c>
      <c r="G1659" s="1" t="str">
        <f aca="false">IF(ISNA(F1659),"",F1659)</f>
        <v/>
      </c>
      <c r="H1659" s="5" t="n">
        <f aca="false">IF(G1659&lt;&gt;"",G1659,E1659)</f>
        <v>0.1</v>
      </c>
    </row>
    <row r="1660" customFormat="false" ht="12.75" hidden="false" customHeight="true" outlineLevel="0" collapsed="false">
      <c r="A1660" s="4" t="s">
        <v>3262</v>
      </c>
      <c r="B1660" s="5" t="s">
        <v>3262</v>
      </c>
      <c r="C1660" s="1" t="str">
        <f aca="false">IF(B1660="NEW ROUTE",1,"")</f>
        <v/>
      </c>
      <c r="E1660" s="5" t="s">
        <v>3262</v>
      </c>
      <c r="F1660" s="6" t="e">
        <f aca="false">VLOOKUP(E1660,$K$2:$L$426,2,FALSE())</f>
        <v>#N/A</v>
      </c>
      <c r="G1660" s="1" t="str">
        <f aca="false">IF(ISNA(F1660),"",F1660)</f>
        <v/>
      </c>
      <c r="H1660" s="5" t="str">
        <f aca="false">IF(G1660&lt;&gt;"",G1660,E1660)</f>
        <v>48, 48, PIDGEOTTO</v>
      </c>
    </row>
    <row r="1661" customFormat="false" ht="12.75" hidden="false" customHeight="true" outlineLevel="0" collapsed="false">
      <c r="A1661" s="4" t="s">
        <v>1726</v>
      </c>
      <c r="B1661" s="5" t="s">
        <v>1726</v>
      </c>
      <c r="C1661" s="1" t="str">
        <f aca="false">IF(B1661="NEW ROUTE",1,"")</f>
        <v/>
      </c>
      <c r="E1661" s="5" t="s">
        <v>1726</v>
      </c>
      <c r="F1661" s="6" t="e">
        <f aca="false">VLOOKUP(E1661,$K$2:$L$426,2,FALSE())</f>
        <v>#N/A</v>
      </c>
      <c r="G1661" s="1" t="str">
        <f aca="false">IF(ISNA(F1661),"",F1661)</f>
        <v/>
      </c>
      <c r="H1661" s="5" t="str">
        <f aca="false">IF(G1661&lt;&gt;"",G1661,E1661)</f>
        <v>10, 10, HOPPIP</v>
      </c>
    </row>
    <row r="1662" customFormat="false" ht="12.75" hidden="false" customHeight="true" outlineLevel="0" collapsed="false">
      <c r="A1662" s="4" t="s">
        <v>3263</v>
      </c>
      <c r="B1662" s="5" t="s">
        <v>3263</v>
      </c>
      <c r="C1662" s="1" t="str">
        <f aca="false">IF(B1662="NEW ROUTE",1,"")</f>
        <v/>
      </c>
      <c r="E1662" s="5" t="s">
        <v>3263</v>
      </c>
      <c r="F1662" s="6" t="e">
        <f aca="false">VLOOKUP(E1662,$K$2:$L$426,2,FALSE())</f>
        <v>#N/A</v>
      </c>
      <c r="G1662" s="1" t="str">
        <f aca="false">IF(ISNA(F1662),"",F1662)</f>
        <v/>
      </c>
      <c r="H1662" s="5" t="str">
        <f aca="false">IF(G1662&lt;&gt;"",G1662,E1662)</f>
        <v>15, 15, SENTRET</v>
      </c>
    </row>
    <row r="1663" customFormat="false" ht="12.75" hidden="false" customHeight="true" outlineLevel="0" collapsed="false">
      <c r="A1663" s="4" t="s">
        <v>3264</v>
      </c>
      <c r="B1663" s="5" t="s">
        <v>3264</v>
      </c>
      <c r="C1663" s="1" t="str">
        <f aca="false">IF(B1663="NEW ROUTE",1,"")</f>
        <v/>
      </c>
      <c r="E1663" s="5" t="s">
        <v>3264</v>
      </c>
      <c r="F1663" s="6" t="e">
        <f aca="false">VLOOKUP(E1663,$K$2:$L$426,2,FALSE())</f>
        <v>#N/A</v>
      </c>
      <c r="G1663" s="1" t="str">
        <f aca="false">IF(ISNA(F1663),"",F1663)</f>
        <v/>
      </c>
      <c r="H1663" s="5" t="str">
        <f aca="false">IF(G1663&lt;&gt;"",G1663,E1663)</f>
        <v>41, 41, MEOWTH</v>
      </c>
    </row>
    <row r="1664" customFormat="false" ht="12.75" hidden="false" customHeight="true" outlineLevel="0" collapsed="false">
      <c r="A1664" s="4" t="s">
        <v>2806</v>
      </c>
      <c r="B1664" s="5" t="n">
        <v>0.05</v>
      </c>
      <c r="C1664" s="1" t="str">
        <f aca="false">IF(B1664="NEW ROUTE",1,"")</f>
        <v/>
      </c>
      <c r="E1664" s="5" t="n">
        <v>0.05</v>
      </c>
      <c r="F1664" s="6" t="e">
        <f aca="false">VLOOKUP(E1664,$K$2:$L$426,2,FALSE())</f>
        <v>#N/A</v>
      </c>
      <c r="G1664" s="1" t="str">
        <f aca="false">IF(ISNA(F1664),"",F1664)</f>
        <v/>
      </c>
      <c r="H1664" s="5" t="n">
        <f aca="false">IF(G1664&lt;&gt;"",G1664,E1664)</f>
        <v>0.05</v>
      </c>
    </row>
    <row r="1665" customFormat="false" ht="12.75" hidden="false" customHeight="true" outlineLevel="0" collapsed="false">
      <c r="A1665" s="4" t="s">
        <v>3265</v>
      </c>
      <c r="B1665" s="5" t="s">
        <v>3265</v>
      </c>
      <c r="C1665" s="1" t="str">
        <f aca="false">IF(B1665="NEW ROUTE",1,"")</f>
        <v/>
      </c>
      <c r="E1665" s="5" t="s">
        <v>3265</v>
      </c>
      <c r="F1665" s="6" t="e">
        <f aca="false">VLOOKUP(E1665,$K$2:$L$426,2,FALSE())</f>
        <v>#N/A</v>
      </c>
      <c r="G1665" s="1" t="str">
        <f aca="false">IF(ISNA(F1665),"",F1665)</f>
        <v/>
      </c>
      <c r="H1665" s="5" t="str">
        <f aca="false">IF(G1665&lt;&gt;"",G1665,E1665)</f>
        <v>15, 15, HOPPIP</v>
      </c>
    </row>
    <row r="1666" customFormat="false" ht="12.75" hidden="false" customHeight="true" outlineLevel="0" collapsed="false">
      <c r="A1666" s="4" t="s">
        <v>3154</v>
      </c>
      <c r="B1666" s="5" t="s">
        <v>3154</v>
      </c>
      <c r="C1666" s="1" t="str">
        <f aca="false">IF(B1666="NEW ROUTE",1,"")</f>
        <v/>
      </c>
      <c r="E1666" s="5" t="s">
        <v>3154</v>
      </c>
      <c r="F1666" s="6" t="e">
        <f aca="false">VLOOKUP(E1666,$K$2:$L$426,2,FALSE())</f>
        <v>#N/A</v>
      </c>
      <c r="G1666" s="1" t="str">
        <f aca="false">IF(ISNA(F1666),"",F1666)</f>
        <v/>
      </c>
      <c r="H1666" s="5" t="str">
        <f aca="false">IF(G1666&lt;&gt;"",G1666,E1666)</f>
        <v>41, 41, SLOWPOKE</v>
      </c>
    </row>
    <row r="1667" customFormat="false" ht="12.75" hidden="false" customHeight="true" outlineLevel="0" collapsed="false">
      <c r="A1667" s="4" t="s">
        <v>2809</v>
      </c>
      <c r="B1667" s="5" t="n">
        <v>0.04</v>
      </c>
      <c r="C1667" s="1" t="str">
        <f aca="false">IF(B1667="NEW ROUTE",1,"")</f>
        <v/>
      </c>
      <c r="E1667" s="5" t="n">
        <v>0.04</v>
      </c>
      <c r="F1667" s="6" t="e">
        <f aca="false">VLOOKUP(E1667,$K$2:$L$426,2,FALSE())</f>
        <v>#N/A</v>
      </c>
      <c r="G1667" s="1" t="str">
        <f aca="false">IF(ISNA(F1667),"",F1667)</f>
        <v/>
      </c>
      <c r="H1667" s="5" t="n">
        <f aca="false">IF(G1667&lt;&gt;"",G1667,E1667)</f>
        <v>0.04</v>
      </c>
    </row>
    <row r="1668" customFormat="false" ht="12.75" hidden="false" customHeight="true" outlineLevel="0" collapsed="false">
      <c r="A1668" s="4" t="s">
        <v>3266</v>
      </c>
      <c r="B1668" s="5" t="s">
        <v>3266</v>
      </c>
      <c r="C1668" s="1" t="str">
        <f aca="false">IF(B1668="NEW ROUTE",1,"")</f>
        <v/>
      </c>
      <c r="E1668" s="5" t="s">
        <v>3266</v>
      </c>
      <c r="F1668" s="6" t="e">
        <f aca="false">VLOOKUP(E1668,$K$2:$L$426,2,FALSE())</f>
        <v>#N/A</v>
      </c>
      <c r="G1668" s="1" t="str">
        <f aca="false">IF(ISNA(F1668),"",F1668)</f>
        <v/>
      </c>
      <c r="H1668" s="5" t="str">
        <f aca="false">IF(G1668&lt;&gt;"",G1668,E1668)</f>
        <v>50, 50, PIDGEOTTO</v>
      </c>
    </row>
    <row r="1669" customFormat="false" ht="12.75" hidden="false" customHeight="true" outlineLevel="0" collapsed="false">
      <c r="A1669" s="4" t="s">
        <v>3267</v>
      </c>
      <c r="B1669" s="5" t="s">
        <v>3267</v>
      </c>
      <c r="C1669" s="1" t="str">
        <f aca="false">IF(B1669="NEW ROUTE",1,"")</f>
        <v/>
      </c>
      <c r="E1669" s="5" t="s">
        <v>3267</v>
      </c>
      <c r="F1669" s="6" t="e">
        <f aca="false">VLOOKUP(E1669,$K$2:$L$426,2,FALSE())</f>
        <v>#N/A</v>
      </c>
      <c r="G1669" s="1" t="str">
        <f aca="false">IF(ISNA(F1669),"",F1669)</f>
        <v/>
      </c>
      <c r="H1669" s="5" t="str">
        <f aca="false">IF(G1669&lt;&gt;"",G1669,E1669)</f>
        <v>47, 47, PERSIAN</v>
      </c>
    </row>
    <row r="1670" customFormat="false" ht="12.75" hidden="false" customHeight="true" outlineLevel="0" collapsed="false">
      <c r="A1670" s="4" t="s">
        <v>2812</v>
      </c>
      <c r="B1670" s="5" t="n">
        <v>0.01</v>
      </c>
      <c r="C1670" s="1" t="str">
        <f aca="false">IF(B1670="NEW ROUTE",1,"")</f>
        <v/>
      </c>
      <c r="E1670" s="5" t="n">
        <v>0.01</v>
      </c>
      <c r="F1670" s="6" t="e">
        <f aca="false">VLOOKUP(E1670,$K$2:$L$426,2,FALSE())</f>
        <v>#N/A</v>
      </c>
      <c r="G1670" s="1" t="str">
        <f aca="false">IF(ISNA(F1670),"",F1670)</f>
        <v/>
      </c>
      <c r="H1670" s="5" t="n">
        <f aca="false">IF(G1670&lt;&gt;"",G1670,E1670)</f>
        <v>0.01</v>
      </c>
    </row>
    <row r="1671" customFormat="false" ht="12.75" hidden="false" customHeight="true" outlineLevel="0" collapsed="false">
      <c r="A1671" s="4" t="s">
        <v>3266</v>
      </c>
      <c r="B1671" s="5" t="s">
        <v>3266</v>
      </c>
      <c r="C1671" s="1" t="str">
        <f aca="false">IF(B1671="NEW ROUTE",1,"")</f>
        <v/>
      </c>
      <c r="E1671" s="5" t="s">
        <v>3266</v>
      </c>
      <c r="F1671" s="6" t="e">
        <f aca="false">VLOOKUP(E1671,$K$2:$L$426,2,FALSE())</f>
        <v>#N/A</v>
      </c>
      <c r="G1671" s="1" t="str">
        <f aca="false">IF(ISNA(F1671),"",F1671)</f>
        <v/>
      </c>
      <c r="H1671" s="5" t="str">
        <f aca="false">IF(G1671&lt;&gt;"",G1671,E1671)</f>
        <v>50, 50, PIDGEOTTO</v>
      </c>
    </row>
    <row r="1672" customFormat="false" ht="12.75" hidden="false" customHeight="true" outlineLevel="0" collapsed="false">
      <c r="A1672" s="4" t="s">
        <v>3268</v>
      </c>
      <c r="B1672" s="5" t="s">
        <v>3268</v>
      </c>
      <c r="C1672" s="1" t="str">
        <f aca="false">IF(B1672="NEW ROUTE",1,"")</f>
        <v/>
      </c>
      <c r="E1672" s="5" t="s">
        <v>3268</v>
      </c>
      <c r="F1672" s="6" t="e">
        <f aca="false">VLOOKUP(E1672,$K$2:$L$426,2,FALSE())</f>
        <v>#N/A</v>
      </c>
      <c r="G1672" s="1" t="str">
        <f aca="false">IF(ISNA(F1672),"",F1672)</f>
        <v/>
      </c>
      <c r="H1672" s="5" t="str">
        <f aca="false">IF(G1672&lt;&gt;"",G1672,E1672)</f>
        <v>50, 50, PERSIAN</v>
      </c>
    </row>
    <row r="1673" customFormat="false" ht="12.75" hidden="false" customHeight="true" outlineLevel="0" collapsed="false">
      <c r="A1673" s="4" t="s">
        <v>3256</v>
      </c>
      <c r="B1673" s="5" t="s">
        <v>3256</v>
      </c>
      <c r="C1673" s="1" t="str">
        <f aca="false">IF(B1673="NEW ROUTE",1,"")</f>
        <v/>
      </c>
      <c r="E1673" s="5" t="s">
        <v>3256</v>
      </c>
      <c r="F1673" s="6" t="e">
        <f aca="false">VLOOKUP(E1673,$K$2:$L$426,2,FALSE())</f>
        <v>#N/A</v>
      </c>
      <c r="G1673" s="1" t="str">
        <f aca="false">IF(ISNA(F1673),"",F1673)</f>
        <v/>
      </c>
      <c r="H1673" s="5" t="str">
        <f aca="false">IF(G1673&lt;&gt;"",G1673,E1673)</f>
        <v>2, 5, 35, TENTACOOL</v>
      </c>
    </row>
    <row r="1674" customFormat="false" ht="12.75" hidden="false" customHeight="true" outlineLevel="0" collapsed="false">
      <c r="A1674" s="4" t="s">
        <v>3257</v>
      </c>
      <c r="B1674" s="5" t="s">
        <v>3257</v>
      </c>
      <c r="C1674" s="1" t="str">
        <f aca="false">IF(B1674="NEW ROUTE",1,"")</f>
        <v/>
      </c>
      <c r="E1674" s="5" t="s">
        <v>3257</v>
      </c>
      <c r="F1674" s="6" t="e">
        <f aca="false">VLOOKUP(E1674,$K$2:$L$426,2,FALSE())</f>
        <v>#N/A</v>
      </c>
      <c r="G1674" s="1" t="str">
        <f aca="false">IF(ISNA(F1674),"",F1674)</f>
        <v/>
      </c>
      <c r="H1674" s="5" t="str">
        <f aca="false">IF(G1674&lt;&gt;"",G1674,E1674)</f>
        <v>5, 15, HOPPIP</v>
      </c>
    </row>
    <row r="1675" customFormat="false" ht="12.75" hidden="false" customHeight="true" outlineLevel="0" collapsed="false">
      <c r="A1675" s="4" t="s">
        <v>2844</v>
      </c>
      <c r="B1675" s="5" t="s">
        <v>2844</v>
      </c>
      <c r="C1675" s="1" t="str">
        <f aca="false">IF(B1675="NEW ROUTE",1,"")</f>
        <v/>
      </c>
      <c r="E1675" s="5" t="s">
        <v>2844</v>
      </c>
      <c r="F1675" s="6" t="e">
        <f aca="false">VLOOKUP(E1675,$K$2:$L$426,2,FALSE())</f>
        <v>#N/A</v>
      </c>
      <c r="G1675" s="1" t="str">
        <f aca="false">IF(ISNA(F1675),"",F1675)</f>
        <v/>
      </c>
      <c r="H1675" s="5" t="str">
        <f aca="false">IF(G1675&lt;&gt;"",G1675,E1675)</f>
        <v>35, 40, TENTACOOL</v>
      </c>
    </row>
    <row r="1676" customFormat="false" ht="12.75" hidden="false" customHeight="true" outlineLevel="0" collapsed="false">
      <c r="A1676" s="4" t="s">
        <v>3231</v>
      </c>
      <c r="B1676" s="5" t="s">
        <v>3231</v>
      </c>
      <c r="C1676" s="1" t="str">
        <f aca="false">IF(B1676="NEW ROUTE",1,"")</f>
        <v/>
      </c>
      <c r="E1676" s="5" t="s">
        <v>3231</v>
      </c>
      <c r="F1676" s="6" t="e">
        <f aca="false">VLOOKUP(E1676,$K$2:$L$426,2,FALSE())</f>
        <v>#N/A</v>
      </c>
      <c r="G1676" s="1" t="str">
        <f aca="false">IF(ISNA(F1676),"",F1676)</f>
        <v/>
      </c>
      <c r="H1676" s="5" t="str">
        <f aca="false">IF(G1676&lt;&gt;"",G1676,E1676)</f>
        <v>35, 40, TENTACRUEL</v>
      </c>
    </row>
    <row r="1677" customFormat="false" ht="12.75" hidden="false" customHeight="true" outlineLevel="0" collapsed="false">
      <c r="A1677" s="4" t="s">
        <v>3231</v>
      </c>
      <c r="B1677" s="5" t="s">
        <v>3231</v>
      </c>
      <c r="C1677" s="1" t="str">
        <f aca="false">IF(B1677="NEW ROUTE",1,"")</f>
        <v/>
      </c>
      <c r="E1677" s="5" t="s">
        <v>3231</v>
      </c>
      <c r="F1677" s="6" t="e">
        <f aca="false">VLOOKUP(E1677,$K$2:$L$426,2,FALSE())</f>
        <v>#N/A</v>
      </c>
      <c r="G1677" s="1" t="str">
        <f aca="false">IF(ISNA(F1677),"",F1677)</f>
        <v/>
      </c>
      <c r="H1677" s="5" t="str">
        <f aca="false">IF(G1677&lt;&gt;"",G1677,E1677)</f>
        <v>35, 40, TENTACRUEL</v>
      </c>
    </row>
    <row r="1678" customFormat="false" ht="12.75" hidden="false" customHeight="true" outlineLevel="0" collapsed="false">
      <c r="A1678" s="4" t="s">
        <v>2925</v>
      </c>
      <c r="B1678" s="5" t="s">
        <v>2925</v>
      </c>
      <c r="C1678" s="1" t="str">
        <f aca="false">IF(B1678="NEW ROUTE",1,"")</f>
        <v/>
      </c>
      <c r="E1678" s="5" t="s">
        <v>2925</v>
      </c>
      <c r="F1678" s="6" t="e">
        <f aca="false">VLOOKUP(E1678,$K$2:$L$426,2,FALSE())</f>
        <v>#N/A</v>
      </c>
      <c r="G1678" s="1" t="str">
        <f aca="false">IF(ISNA(F1678),"",F1678)</f>
        <v/>
      </c>
      <c r="H1678" s="5" t="str">
        <f aca="false">IF(G1678&lt;&gt;"",G1678,E1678)</f>
        <v>20, old rod:</v>
      </c>
    </row>
    <row r="1679" customFormat="false" ht="12.75" hidden="false" customHeight="true" outlineLevel="0" collapsed="false">
      <c r="A1679" s="4" t="s">
        <v>1266</v>
      </c>
      <c r="B1679" s="5" t="s">
        <v>1266</v>
      </c>
      <c r="C1679" s="1" t="str">
        <f aca="false">IF(B1679="NEW ROUTE",1,"")</f>
        <v/>
      </c>
      <c r="E1679" s="5" t="s">
        <v>1266</v>
      </c>
      <c r="F1679" s="6" t="e">
        <f aca="false">VLOOKUP(E1679,$K$2:$L$426,2,FALSE())</f>
        <v>#N/A</v>
      </c>
      <c r="G1679" s="1" t="str">
        <f aca="false">IF(ISNA(F1679),"",F1679)</f>
        <v/>
      </c>
      <c r="H1679" s="5" t="str">
        <f aca="false">IF(G1679&lt;&gt;"",G1679,E1679)</f>
        <v>5, 5, MAGIKARP</v>
      </c>
    </row>
    <row r="1680" customFormat="false" ht="12.75" hidden="false" customHeight="true" outlineLevel="0" collapsed="false">
      <c r="A1680" s="4" t="s">
        <v>1266</v>
      </c>
      <c r="B1680" s="5" t="s">
        <v>1266</v>
      </c>
      <c r="C1680" s="1" t="str">
        <f aca="false">IF(B1680="NEW ROUTE",1,"")</f>
        <v/>
      </c>
      <c r="E1680" s="5" t="s">
        <v>1266</v>
      </c>
      <c r="F1680" s="6" t="e">
        <f aca="false">VLOOKUP(E1680,$K$2:$L$426,2,FALSE())</f>
        <v>#N/A</v>
      </c>
      <c r="G1680" s="1" t="str">
        <f aca="false">IF(ISNA(F1680),"",F1680)</f>
        <v/>
      </c>
      <c r="H1680" s="5" t="str">
        <f aca="false">IF(G1680&lt;&gt;"",G1680,E1680)</f>
        <v>5, 5, MAGIKARP</v>
      </c>
    </row>
    <row r="1681" customFormat="false" ht="12.75" hidden="false" customHeight="true" outlineLevel="0" collapsed="false">
      <c r="A1681" s="4" t="s">
        <v>2846</v>
      </c>
      <c r="B1681" s="5" t="s">
        <v>2846</v>
      </c>
      <c r="C1681" s="1" t="str">
        <f aca="false">IF(B1681="NEW ROUTE",1,"")</f>
        <v/>
      </c>
      <c r="E1681" s="5" t="s">
        <v>2846</v>
      </c>
      <c r="F1681" s="6" t="e">
        <f aca="false">VLOOKUP(E1681,$K$2:$L$426,2,FALSE())</f>
        <v>#N/A</v>
      </c>
      <c r="G1681" s="1" t="str">
        <f aca="false">IF(ISNA(F1681),"",F1681)</f>
        <v/>
      </c>
      <c r="H1681" s="5" t="str">
        <f aca="false">IF(G1681&lt;&gt;"",G1681,E1681)</f>
        <v>good rod:</v>
      </c>
    </row>
    <row r="1682" customFormat="false" ht="12.75" hidden="false" customHeight="true" outlineLevel="0" collapsed="false">
      <c r="A1682" s="4" t="s">
        <v>2847</v>
      </c>
      <c r="B1682" s="5" t="s">
        <v>2847</v>
      </c>
      <c r="C1682" s="1" t="str">
        <f aca="false">IF(B1682="NEW ROUTE",1,"")</f>
        <v/>
      </c>
      <c r="E1682" s="5" t="s">
        <v>2847</v>
      </c>
      <c r="F1682" s="6" t="e">
        <f aca="false">VLOOKUP(E1682,$K$2:$L$426,2,FALSE())</f>
        <v>#N/A</v>
      </c>
      <c r="G1682" s="1" t="str">
        <f aca="false">IF(ISNA(F1682),"",F1682)</f>
        <v/>
      </c>
      <c r="H1682" s="5" t="str">
        <f aca="false">IF(G1682&lt;&gt;"",G1682,E1682)</f>
        <v>5, 15, KRABBY</v>
      </c>
    </row>
    <row r="1683" customFormat="false" ht="12.75" hidden="false" customHeight="true" outlineLevel="0" collapsed="false">
      <c r="A1683" s="4" t="s">
        <v>2848</v>
      </c>
      <c r="B1683" s="5" t="s">
        <v>2848</v>
      </c>
      <c r="C1683" s="1" t="str">
        <f aca="false">IF(B1683="NEW ROUTE",1,"")</f>
        <v/>
      </c>
      <c r="E1683" s="5" t="s">
        <v>2848</v>
      </c>
      <c r="F1683" s="6" t="e">
        <f aca="false">VLOOKUP(E1683,$K$2:$L$426,2,FALSE())</f>
        <v>#N/A</v>
      </c>
      <c r="G1683" s="1" t="str">
        <f aca="false">IF(ISNA(F1683),"",F1683)</f>
        <v/>
      </c>
      <c r="H1683" s="5" t="str">
        <f aca="false">IF(G1683&lt;&gt;"",G1683,E1683)</f>
        <v>5, 15, MAGIKARP</v>
      </c>
    </row>
    <row r="1684" customFormat="false" ht="12.75" hidden="false" customHeight="true" outlineLevel="0" collapsed="false">
      <c r="A1684" s="4" t="s">
        <v>2847</v>
      </c>
      <c r="B1684" s="5" t="s">
        <v>2847</v>
      </c>
      <c r="C1684" s="1" t="str">
        <f aca="false">IF(B1684="NEW ROUTE",1,"")</f>
        <v/>
      </c>
      <c r="E1684" s="5" t="s">
        <v>2847</v>
      </c>
      <c r="F1684" s="6" t="e">
        <f aca="false">VLOOKUP(E1684,$K$2:$L$426,2,FALSE())</f>
        <v>#N/A</v>
      </c>
      <c r="G1684" s="1" t="str">
        <f aca="false">IF(ISNA(F1684),"",F1684)</f>
        <v/>
      </c>
      <c r="H1684" s="5" t="str">
        <f aca="false">IF(G1684&lt;&gt;"",G1684,E1684)</f>
        <v>5, 15, KRABBY</v>
      </c>
    </row>
    <row r="1685" customFormat="false" ht="12.75" hidden="false" customHeight="true" outlineLevel="0" collapsed="false">
      <c r="A1685" s="4" t="s">
        <v>2850</v>
      </c>
      <c r="B1685" s="5" t="s">
        <v>2850</v>
      </c>
      <c r="C1685" s="1" t="str">
        <f aca="false">IF(B1685="NEW ROUTE",1,"")</f>
        <v/>
      </c>
      <c r="E1685" s="5" t="s">
        <v>2850</v>
      </c>
      <c r="F1685" s="6" t="e">
        <f aca="false">VLOOKUP(E1685,$K$2:$L$426,2,FALSE())</f>
        <v>#N/A</v>
      </c>
      <c r="G1685" s="1" t="str">
        <f aca="false">IF(ISNA(F1685),"",F1685)</f>
        <v/>
      </c>
      <c r="H1685" s="5" t="str">
        <f aca="false">IF(G1685&lt;&gt;"",G1685,E1685)</f>
        <v>super rod:</v>
      </c>
    </row>
    <row r="1686" customFormat="false" ht="12.75" hidden="false" customHeight="true" outlineLevel="0" collapsed="false">
      <c r="A1686" s="4" t="s">
        <v>2851</v>
      </c>
      <c r="B1686" s="5" t="s">
        <v>2851</v>
      </c>
      <c r="C1686" s="1" t="str">
        <f aca="false">IF(B1686="NEW ROUTE",1,"")</f>
        <v/>
      </c>
      <c r="E1686" s="5" t="s">
        <v>2851</v>
      </c>
      <c r="F1686" s="6" t="e">
        <f aca="false">VLOOKUP(E1686,$K$2:$L$426,2,FALSE())</f>
        <v>#N/A</v>
      </c>
      <c r="G1686" s="1" t="str">
        <f aca="false">IF(ISNA(F1686),"",F1686)</f>
        <v/>
      </c>
      <c r="H1686" s="5" t="str">
        <f aca="false">IF(G1686&lt;&gt;"",G1686,E1686)</f>
        <v>15, 25, KRABBY</v>
      </c>
    </row>
    <row r="1687" customFormat="false" ht="12.75" hidden="false" customHeight="true" outlineLevel="0" collapsed="false">
      <c r="A1687" s="4" t="s">
        <v>3258</v>
      </c>
      <c r="B1687" s="5" t="s">
        <v>3258</v>
      </c>
      <c r="C1687" s="1" t="str">
        <f aca="false">IF(B1687="NEW ROUTE",1,"")</f>
        <v/>
      </c>
      <c r="E1687" s="5" t="s">
        <v>3258</v>
      </c>
      <c r="F1687" s="6" t="e">
        <f aca="false">VLOOKUP(E1687,$K$2:$L$426,2,FALSE())</f>
        <v>#N/A</v>
      </c>
      <c r="G1687" s="1" t="str">
        <f aca="false">IF(ISNA(F1687),"",F1687)</f>
        <v/>
      </c>
      <c r="H1687" s="5" t="str">
        <f aca="false">IF(G1687&lt;&gt;"",G1687,E1687)</f>
        <v>15, 25, REMORAID</v>
      </c>
    </row>
    <row r="1688" customFormat="false" ht="12.75" hidden="false" customHeight="true" outlineLevel="0" collapsed="false">
      <c r="A1688" s="4" t="s">
        <v>2853</v>
      </c>
      <c r="B1688" s="5" t="s">
        <v>2853</v>
      </c>
      <c r="C1688" s="1" t="str">
        <f aca="false">IF(B1688="NEW ROUTE",1,"")</f>
        <v/>
      </c>
      <c r="E1688" s="5" t="s">
        <v>2853</v>
      </c>
      <c r="F1688" s="6" t="e">
        <f aca="false">VLOOKUP(E1688,$K$2:$L$426,2,FALSE())</f>
        <v>#N/A</v>
      </c>
      <c r="G1688" s="1" t="str">
        <f aca="false">IF(ISNA(F1688),"",F1688)</f>
        <v/>
      </c>
      <c r="H1688" s="5" t="str">
        <f aca="false">IF(G1688&lt;&gt;"",G1688,E1688)</f>
        <v>15, 25, GYARADOS</v>
      </c>
    </row>
    <row r="1689" customFormat="false" ht="12.75" hidden="false" customHeight="true" outlineLevel="0" collapsed="false">
      <c r="A1689" s="4" t="s">
        <v>3177</v>
      </c>
      <c r="B1689" s="5" t="s">
        <v>3177</v>
      </c>
      <c r="C1689" s="1" t="str">
        <f aca="false">IF(B1689="NEW ROUTE",1,"")</f>
        <v/>
      </c>
      <c r="E1689" s="5" t="s">
        <v>3177</v>
      </c>
      <c r="F1689" s="6" t="e">
        <f aca="false">VLOOKUP(E1689,$K$2:$L$426,2,FALSE())</f>
        <v>#N/A</v>
      </c>
      <c r="G1689" s="1" t="str">
        <f aca="false">IF(ISNA(F1689),"",F1689)</f>
        <v/>
      </c>
      <c r="H1689" s="5" t="str">
        <f aca="false">IF(G1689&lt;&gt;"",G1689,E1689)</f>
        <v>25, 35, KINGLER</v>
      </c>
    </row>
    <row r="1690" customFormat="false" ht="12.75" hidden="false" customHeight="true" outlineLevel="0" collapsed="false">
      <c r="A1690" s="4" t="s">
        <v>2855</v>
      </c>
      <c r="B1690" s="5" t="s">
        <v>2855</v>
      </c>
      <c r="C1690" s="1" t="str">
        <f aca="false">IF(B1690="NEW ROUTE",1,"")</f>
        <v/>
      </c>
      <c r="E1690" s="5" t="s">
        <v>2855</v>
      </c>
      <c r="F1690" s="6" t="e">
        <f aca="false">VLOOKUP(E1690,$K$2:$L$426,2,FALSE())</f>
        <v>#N/A</v>
      </c>
      <c r="G1690" s="1" t="str">
        <f aca="false">IF(ISNA(F1690),"",F1690)</f>
        <v/>
      </c>
      <c r="H1690" s="5" t="str">
        <f aca="false">IF(G1690&lt;&gt;"",G1690,E1690)</f>
        <v>25, 35, SLOWPOKE</v>
      </c>
    </row>
    <row r="1691" customFormat="false" ht="12.75" hidden="false" customHeight="true" outlineLevel="0" collapsed="false">
      <c r="A1691" s="4" t="s">
        <v>2536</v>
      </c>
      <c r="B1691" s="5" t="s">
        <v>2536</v>
      </c>
      <c r="C1691" s="1" t="n">
        <f aca="false">IF(B1691="NEW ROUTE",1,"")</f>
        <v>1</v>
      </c>
      <c r="E1691" s="5" t="s">
        <v>2536</v>
      </c>
      <c r="F1691" s="6" t="e">
        <f aca="false">VLOOKUP(E1691,$K$2:$L$426,2,FALSE())</f>
        <v>#N/A</v>
      </c>
      <c r="G1691" s="1" t="str">
        <f aca="false">IF(ISNA(F1691),"",F1691)</f>
        <v/>
      </c>
      <c r="H1691" s="5" t="str">
        <f aca="false">IF(G1691&lt;&gt;"",G1691,E1691)</f>
        <v>NEW ROUTE</v>
      </c>
    </row>
    <row r="1692" customFormat="false" ht="12.75" hidden="false" customHeight="true" outlineLevel="0" collapsed="false">
      <c r="A1692" s="4" t="s">
        <v>492</v>
      </c>
      <c r="B1692" s="5" t="s">
        <v>492</v>
      </c>
      <c r="C1692" s="1" t="str">
        <f aca="false">IF(B1692="NEW ROUTE",1,"")</f>
        <v/>
      </c>
      <c r="E1692" s="5" t="s">
        <v>492</v>
      </c>
      <c r="F1692" s="6" t="str">
        <f aca="false">VLOOKUP(E1692,$K$2:$L$426,2,FALSE())</f>
        <v>Five Island Memorial Pillar</v>
      </c>
      <c r="G1692" s="1" t="str">
        <f aca="false">IF(ISNA(F1692),"",F1692)</f>
        <v>Five Island Memorial Pillar</v>
      </c>
      <c r="H1692" s="5" t="str">
        <f aca="false">IF(G1692&lt;&gt;"",G1692,E1692)</f>
        <v>Five Island Memorial Pillar</v>
      </c>
    </row>
    <row r="1693" customFormat="false" ht="12.75" hidden="false" customHeight="true" outlineLevel="0" collapsed="false">
      <c r="A1693" s="4" t="s">
        <v>2799</v>
      </c>
      <c r="B1693" s="5" t="n">
        <v>0.2</v>
      </c>
      <c r="C1693" s="1" t="str">
        <f aca="false">IF(B1693="NEW ROUTE",1,"")</f>
        <v/>
      </c>
      <c r="E1693" s="5" t="n">
        <v>0.2</v>
      </c>
      <c r="F1693" s="6" t="e">
        <f aca="false">VLOOKUP(E1693,$K$2:$L$426,2,FALSE())</f>
        <v>#N/A</v>
      </c>
      <c r="G1693" s="1" t="str">
        <f aca="false">IF(ISNA(F1693),"",F1693)</f>
        <v/>
      </c>
      <c r="H1693" s="5" t="n">
        <f aca="false">IF(G1693&lt;&gt;"",G1693,E1693)</f>
        <v>0.2</v>
      </c>
    </row>
    <row r="1694" customFormat="false" ht="12.75" hidden="false" customHeight="true" outlineLevel="0" collapsed="false">
      <c r="A1694" s="4" t="s">
        <v>1726</v>
      </c>
      <c r="B1694" s="5" t="s">
        <v>1726</v>
      </c>
      <c r="C1694" s="1" t="str">
        <f aca="false">IF(B1694="NEW ROUTE",1,"")</f>
        <v/>
      </c>
      <c r="E1694" s="5" t="s">
        <v>1726</v>
      </c>
      <c r="F1694" s="6" t="e">
        <f aca="false">VLOOKUP(E1694,$K$2:$L$426,2,FALSE())</f>
        <v>#N/A</v>
      </c>
      <c r="G1694" s="1" t="str">
        <f aca="false">IF(ISNA(F1694),"",F1694)</f>
        <v/>
      </c>
      <c r="H1694" s="5" t="str">
        <f aca="false">IF(G1694&lt;&gt;"",G1694,E1694)</f>
        <v>10, 10, HOPPIP</v>
      </c>
    </row>
    <row r="1695" customFormat="false" ht="12.75" hidden="false" customHeight="true" outlineLevel="0" collapsed="false">
      <c r="A1695" s="4" t="s">
        <v>3270</v>
      </c>
      <c r="B1695" s="5" t="s">
        <v>3270</v>
      </c>
      <c r="C1695" s="1" t="str">
        <f aca="false">IF(B1695="NEW ROUTE",1,"")</f>
        <v/>
      </c>
      <c r="E1695" s="5" t="s">
        <v>3270</v>
      </c>
      <c r="F1695" s="6" t="e">
        <f aca="false">VLOOKUP(E1695,$K$2:$L$426,2,FALSE())</f>
        <v>#N/A</v>
      </c>
      <c r="G1695" s="1" t="str">
        <f aca="false">IF(ISNA(F1695),"",F1695)</f>
        <v/>
      </c>
      <c r="H1695" s="5" t="str">
        <f aca="false">IF(G1695&lt;&gt;"",G1695,E1695)</f>
        <v>12, 12, HOPPIP</v>
      </c>
    </row>
    <row r="1696" customFormat="false" ht="12.75" hidden="false" customHeight="true" outlineLevel="0" collapsed="false">
      <c r="A1696" s="4" t="s">
        <v>2801</v>
      </c>
      <c r="B1696" s="5" t="n">
        <v>0.1</v>
      </c>
      <c r="C1696" s="1" t="str">
        <f aca="false">IF(B1696="NEW ROUTE",1,"")</f>
        <v/>
      </c>
      <c r="E1696" s="5" t="n">
        <v>0.1</v>
      </c>
      <c r="F1696" s="6" t="e">
        <f aca="false">VLOOKUP(E1696,$K$2:$L$426,2,FALSE())</f>
        <v>#N/A</v>
      </c>
      <c r="G1696" s="1" t="str">
        <f aca="false">IF(ISNA(F1696),"",F1696)</f>
        <v/>
      </c>
      <c r="H1696" s="5" t="n">
        <f aca="false">IF(G1696&lt;&gt;"",G1696,E1696)</f>
        <v>0.1</v>
      </c>
    </row>
    <row r="1697" customFormat="false" ht="12.75" hidden="false" customHeight="true" outlineLevel="0" collapsed="false">
      <c r="A1697" s="4" t="s">
        <v>3271</v>
      </c>
      <c r="B1697" s="5" t="s">
        <v>3271</v>
      </c>
      <c r="C1697" s="1" t="str">
        <f aca="false">IF(B1697="NEW ROUTE",1,"")</f>
        <v/>
      </c>
      <c r="E1697" s="5" t="s">
        <v>3271</v>
      </c>
      <c r="F1697" s="6" t="e">
        <f aca="false">VLOOKUP(E1697,$K$2:$L$426,2,FALSE())</f>
        <v>#N/A</v>
      </c>
      <c r="G1697" s="1" t="str">
        <f aca="false">IF(ISNA(F1697),"",F1697)</f>
        <v/>
      </c>
      <c r="H1697" s="5" t="str">
        <f aca="false">IF(G1697&lt;&gt;"",G1697,E1697)</f>
        <v>8, 8, HOPPIP</v>
      </c>
    </row>
    <row r="1698" customFormat="false" ht="12.75" hidden="false" customHeight="true" outlineLevel="0" collapsed="false">
      <c r="A1698" s="4" t="s">
        <v>3272</v>
      </c>
      <c r="B1698" s="5" t="s">
        <v>3272</v>
      </c>
      <c r="C1698" s="1" t="str">
        <f aca="false">IF(B1698="NEW ROUTE",1,"")</f>
        <v/>
      </c>
      <c r="E1698" s="5" t="s">
        <v>3272</v>
      </c>
      <c r="F1698" s="6" t="e">
        <f aca="false">VLOOKUP(E1698,$K$2:$L$426,2,FALSE())</f>
        <v>#N/A</v>
      </c>
      <c r="G1698" s="1" t="str">
        <f aca="false">IF(ISNA(F1698),"",F1698)</f>
        <v/>
      </c>
      <c r="H1698" s="5" t="str">
        <f aca="false">IF(G1698&lt;&gt;"",G1698,E1698)</f>
        <v>14, 14, HOPPIP</v>
      </c>
    </row>
    <row r="1699" customFormat="false" ht="12.75" hidden="false" customHeight="true" outlineLevel="0" collapsed="false">
      <c r="A1699" s="4" t="s">
        <v>1726</v>
      </c>
      <c r="B1699" s="5" t="s">
        <v>1726</v>
      </c>
      <c r="C1699" s="1" t="str">
        <f aca="false">IF(B1699="NEW ROUTE",1,"")</f>
        <v/>
      </c>
      <c r="E1699" s="5" t="s">
        <v>1726</v>
      </c>
      <c r="F1699" s="6" t="e">
        <f aca="false">VLOOKUP(E1699,$K$2:$L$426,2,FALSE())</f>
        <v>#N/A</v>
      </c>
      <c r="G1699" s="1" t="str">
        <f aca="false">IF(ISNA(F1699),"",F1699)</f>
        <v/>
      </c>
      <c r="H1699" s="5" t="str">
        <f aca="false">IF(G1699&lt;&gt;"",G1699,E1699)</f>
        <v>10, 10, HOPPIP</v>
      </c>
    </row>
    <row r="1700" customFormat="false" ht="12.75" hidden="false" customHeight="true" outlineLevel="0" collapsed="false">
      <c r="A1700" s="4" t="s">
        <v>3270</v>
      </c>
      <c r="B1700" s="5" t="s">
        <v>3270</v>
      </c>
      <c r="C1700" s="1" t="str">
        <f aca="false">IF(B1700="NEW ROUTE",1,"")</f>
        <v/>
      </c>
      <c r="E1700" s="5" t="s">
        <v>3270</v>
      </c>
      <c r="F1700" s="6" t="e">
        <f aca="false">VLOOKUP(E1700,$K$2:$L$426,2,FALSE())</f>
        <v>#N/A</v>
      </c>
      <c r="G1700" s="1" t="str">
        <f aca="false">IF(ISNA(F1700),"",F1700)</f>
        <v/>
      </c>
      <c r="H1700" s="5" t="str">
        <f aca="false">IF(G1700&lt;&gt;"",G1700,E1700)</f>
        <v>12, 12, HOPPIP</v>
      </c>
    </row>
    <row r="1701" customFormat="false" ht="12.75" hidden="false" customHeight="true" outlineLevel="0" collapsed="false">
      <c r="A1701" s="4" t="s">
        <v>2806</v>
      </c>
      <c r="B1701" s="5" t="n">
        <v>0.05</v>
      </c>
      <c r="C1701" s="1" t="str">
        <f aca="false">IF(B1701="NEW ROUTE",1,"")</f>
        <v/>
      </c>
      <c r="E1701" s="5" t="n">
        <v>0.05</v>
      </c>
      <c r="F1701" s="6" t="e">
        <f aca="false">VLOOKUP(E1701,$K$2:$L$426,2,FALSE())</f>
        <v>#N/A</v>
      </c>
      <c r="G1701" s="1" t="str">
        <f aca="false">IF(ISNA(F1701),"",F1701)</f>
        <v/>
      </c>
      <c r="H1701" s="5" t="n">
        <f aca="false">IF(G1701&lt;&gt;"",G1701,E1701)</f>
        <v>0.05</v>
      </c>
    </row>
    <row r="1702" customFormat="false" ht="12.75" hidden="false" customHeight="true" outlineLevel="0" collapsed="false">
      <c r="A1702" s="4" t="s">
        <v>3273</v>
      </c>
      <c r="B1702" s="5" t="s">
        <v>3273</v>
      </c>
      <c r="C1702" s="1" t="str">
        <f aca="false">IF(B1702="NEW ROUTE",1,"")</f>
        <v/>
      </c>
      <c r="E1702" s="5" t="s">
        <v>3273</v>
      </c>
      <c r="F1702" s="6" t="e">
        <f aca="false">VLOOKUP(E1702,$K$2:$L$426,2,FALSE())</f>
        <v>#N/A</v>
      </c>
      <c r="G1702" s="1" t="str">
        <f aca="false">IF(ISNA(F1702),"",F1702)</f>
        <v/>
      </c>
      <c r="H1702" s="5" t="str">
        <f aca="false">IF(G1702&lt;&gt;"",G1702,E1702)</f>
        <v>16, 16, HOPPIP</v>
      </c>
    </row>
    <row r="1703" customFormat="false" ht="12.75" hidden="false" customHeight="true" outlineLevel="0" collapsed="false">
      <c r="A1703" s="4" t="s">
        <v>3274</v>
      </c>
      <c r="B1703" s="5" t="s">
        <v>3274</v>
      </c>
      <c r="C1703" s="1" t="str">
        <f aca="false">IF(B1703="NEW ROUTE",1,"")</f>
        <v/>
      </c>
      <c r="E1703" s="5" t="s">
        <v>3274</v>
      </c>
      <c r="F1703" s="6" t="e">
        <f aca="false">VLOOKUP(E1703,$K$2:$L$426,2,FALSE())</f>
        <v>#N/A</v>
      </c>
      <c r="G1703" s="1" t="str">
        <f aca="false">IF(ISNA(F1703),"",F1703)</f>
        <v/>
      </c>
      <c r="H1703" s="5" t="str">
        <f aca="false">IF(G1703&lt;&gt;"",G1703,E1703)</f>
        <v>6, 6, HOPPIP</v>
      </c>
    </row>
    <row r="1704" customFormat="false" ht="12.75" hidden="false" customHeight="true" outlineLevel="0" collapsed="false">
      <c r="A1704" s="4" t="s">
        <v>2809</v>
      </c>
      <c r="B1704" s="5" t="n">
        <v>0.04</v>
      </c>
      <c r="C1704" s="1" t="str">
        <f aca="false">IF(B1704="NEW ROUTE",1,"")</f>
        <v/>
      </c>
      <c r="E1704" s="5" t="n">
        <v>0.04</v>
      </c>
      <c r="F1704" s="6" t="e">
        <f aca="false">VLOOKUP(E1704,$K$2:$L$426,2,FALSE())</f>
        <v>#N/A</v>
      </c>
      <c r="G1704" s="1" t="str">
        <f aca="false">IF(ISNA(F1704),"",F1704)</f>
        <v/>
      </c>
      <c r="H1704" s="5" t="n">
        <f aca="false">IF(G1704&lt;&gt;"",G1704,E1704)</f>
        <v>0.04</v>
      </c>
    </row>
    <row r="1705" customFormat="false" ht="12.75" hidden="false" customHeight="true" outlineLevel="0" collapsed="false">
      <c r="A1705" s="4" t="s">
        <v>3271</v>
      </c>
      <c r="B1705" s="5" t="s">
        <v>3271</v>
      </c>
      <c r="C1705" s="1" t="str">
        <f aca="false">IF(B1705="NEW ROUTE",1,"")</f>
        <v/>
      </c>
      <c r="E1705" s="5" t="s">
        <v>3271</v>
      </c>
      <c r="F1705" s="6" t="e">
        <f aca="false">VLOOKUP(E1705,$K$2:$L$426,2,FALSE())</f>
        <v>#N/A</v>
      </c>
      <c r="G1705" s="1" t="str">
        <f aca="false">IF(ISNA(F1705),"",F1705)</f>
        <v/>
      </c>
      <c r="H1705" s="5" t="str">
        <f aca="false">IF(G1705&lt;&gt;"",G1705,E1705)</f>
        <v>8, 8, HOPPIP</v>
      </c>
    </row>
    <row r="1706" customFormat="false" ht="12.75" hidden="false" customHeight="true" outlineLevel="0" collapsed="false">
      <c r="A1706" s="4" t="s">
        <v>3272</v>
      </c>
      <c r="B1706" s="5" t="s">
        <v>3272</v>
      </c>
      <c r="C1706" s="1" t="str">
        <f aca="false">IF(B1706="NEW ROUTE",1,"")</f>
        <v/>
      </c>
      <c r="E1706" s="5" t="s">
        <v>3272</v>
      </c>
      <c r="F1706" s="6" t="e">
        <f aca="false">VLOOKUP(E1706,$K$2:$L$426,2,FALSE())</f>
        <v>#N/A</v>
      </c>
      <c r="G1706" s="1" t="str">
        <f aca="false">IF(ISNA(F1706),"",F1706)</f>
        <v/>
      </c>
      <c r="H1706" s="5" t="str">
        <f aca="false">IF(G1706&lt;&gt;"",G1706,E1706)</f>
        <v>14, 14, HOPPIP</v>
      </c>
    </row>
    <row r="1707" customFormat="false" ht="12.75" hidden="false" customHeight="true" outlineLevel="0" collapsed="false">
      <c r="A1707" s="4" t="s">
        <v>2812</v>
      </c>
      <c r="B1707" s="5" t="n">
        <v>0.01</v>
      </c>
      <c r="C1707" s="1" t="str">
        <f aca="false">IF(B1707="NEW ROUTE",1,"")</f>
        <v/>
      </c>
      <c r="E1707" s="5" t="n">
        <v>0.01</v>
      </c>
      <c r="F1707" s="6" t="e">
        <f aca="false">VLOOKUP(E1707,$K$2:$L$426,2,FALSE())</f>
        <v>#N/A</v>
      </c>
      <c r="G1707" s="1" t="str">
        <f aca="false">IF(ISNA(F1707),"",F1707)</f>
        <v/>
      </c>
      <c r="H1707" s="5" t="n">
        <f aca="false">IF(G1707&lt;&gt;"",G1707,E1707)</f>
        <v>0.01</v>
      </c>
    </row>
    <row r="1708" customFormat="false" ht="12.75" hidden="false" customHeight="true" outlineLevel="0" collapsed="false">
      <c r="A1708" s="4" t="s">
        <v>3271</v>
      </c>
      <c r="B1708" s="5" t="s">
        <v>3271</v>
      </c>
      <c r="C1708" s="1" t="str">
        <f aca="false">IF(B1708="NEW ROUTE",1,"")</f>
        <v/>
      </c>
      <c r="E1708" s="5" t="s">
        <v>3271</v>
      </c>
      <c r="F1708" s="6" t="e">
        <f aca="false">VLOOKUP(E1708,$K$2:$L$426,2,FALSE())</f>
        <v>#N/A</v>
      </c>
      <c r="G1708" s="1" t="str">
        <f aca="false">IF(ISNA(F1708),"",F1708)</f>
        <v/>
      </c>
      <c r="H1708" s="5" t="str">
        <f aca="false">IF(G1708&lt;&gt;"",G1708,E1708)</f>
        <v>8, 8, HOPPIP</v>
      </c>
    </row>
    <row r="1709" customFormat="false" ht="12.75" hidden="false" customHeight="true" outlineLevel="0" collapsed="false">
      <c r="A1709" s="4" t="s">
        <v>3272</v>
      </c>
      <c r="B1709" s="5" t="s">
        <v>3272</v>
      </c>
      <c r="C1709" s="1" t="str">
        <f aca="false">IF(B1709="NEW ROUTE",1,"")</f>
        <v/>
      </c>
      <c r="E1709" s="5" t="s">
        <v>3272</v>
      </c>
      <c r="F1709" s="6" t="e">
        <f aca="false">VLOOKUP(E1709,$K$2:$L$426,2,FALSE())</f>
        <v>#N/A</v>
      </c>
      <c r="G1709" s="1" t="str">
        <f aca="false">IF(ISNA(F1709),"",F1709)</f>
        <v/>
      </c>
      <c r="H1709" s="5" t="str">
        <f aca="false">IF(G1709&lt;&gt;"",G1709,E1709)</f>
        <v>14, 14, HOPPIP</v>
      </c>
    </row>
    <row r="1710" customFormat="false" ht="12.75" hidden="false" customHeight="true" outlineLevel="0" collapsed="false">
      <c r="A1710" s="4" t="s">
        <v>3256</v>
      </c>
      <c r="B1710" s="5" t="s">
        <v>3256</v>
      </c>
      <c r="C1710" s="1" t="str">
        <f aca="false">IF(B1710="NEW ROUTE",1,"")</f>
        <v/>
      </c>
      <c r="E1710" s="5" t="s">
        <v>3256</v>
      </c>
      <c r="F1710" s="6" t="e">
        <f aca="false">VLOOKUP(E1710,$K$2:$L$426,2,FALSE())</f>
        <v>#N/A</v>
      </c>
      <c r="G1710" s="1" t="str">
        <f aca="false">IF(ISNA(F1710),"",F1710)</f>
        <v/>
      </c>
      <c r="H1710" s="5" t="str">
        <f aca="false">IF(G1710&lt;&gt;"",G1710,E1710)</f>
        <v>2, 5, 35, TENTACOOL</v>
      </c>
    </row>
    <row r="1711" customFormat="false" ht="12.75" hidden="false" customHeight="true" outlineLevel="0" collapsed="false">
      <c r="A1711" s="4" t="s">
        <v>3257</v>
      </c>
      <c r="B1711" s="5" t="s">
        <v>3257</v>
      </c>
      <c r="C1711" s="1" t="str">
        <f aca="false">IF(B1711="NEW ROUTE",1,"")</f>
        <v/>
      </c>
      <c r="E1711" s="5" t="s">
        <v>3257</v>
      </c>
      <c r="F1711" s="6" t="e">
        <f aca="false">VLOOKUP(E1711,$K$2:$L$426,2,FALSE())</f>
        <v>#N/A</v>
      </c>
      <c r="G1711" s="1" t="str">
        <f aca="false">IF(ISNA(F1711),"",F1711)</f>
        <v/>
      </c>
      <c r="H1711" s="5" t="str">
        <f aca="false">IF(G1711&lt;&gt;"",G1711,E1711)</f>
        <v>5, 15, HOPPIP</v>
      </c>
    </row>
    <row r="1712" customFormat="false" ht="12.75" hidden="false" customHeight="true" outlineLevel="0" collapsed="false">
      <c r="A1712" s="4" t="s">
        <v>2844</v>
      </c>
      <c r="B1712" s="5" t="s">
        <v>2844</v>
      </c>
      <c r="C1712" s="1" t="str">
        <f aca="false">IF(B1712="NEW ROUTE",1,"")</f>
        <v/>
      </c>
      <c r="E1712" s="5" t="s">
        <v>2844</v>
      </c>
      <c r="F1712" s="6" t="e">
        <f aca="false">VLOOKUP(E1712,$K$2:$L$426,2,FALSE())</f>
        <v>#N/A</v>
      </c>
      <c r="G1712" s="1" t="str">
        <f aca="false">IF(ISNA(F1712),"",F1712)</f>
        <v/>
      </c>
      <c r="H1712" s="5" t="str">
        <f aca="false">IF(G1712&lt;&gt;"",G1712,E1712)</f>
        <v>35, 40, TENTACOOL</v>
      </c>
    </row>
    <row r="1713" customFormat="false" ht="12.75" hidden="false" customHeight="true" outlineLevel="0" collapsed="false">
      <c r="A1713" s="4" t="s">
        <v>3231</v>
      </c>
      <c r="B1713" s="5" t="s">
        <v>3231</v>
      </c>
      <c r="C1713" s="1" t="str">
        <f aca="false">IF(B1713="NEW ROUTE",1,"")</f>
        <v/>
      </c>
      <c r="E1713" s="5" t="s">
        <v>3231</v>
      </c>
      <c r="F1713" s="6" t="e">
        <f aca="false">VLOOKUP(E1713,$K$2:$L$426,2,FALSE())</f>
        <v>#N/A</v>
      </c>
      <c r="G1713" s="1" t="str">
        <f aca="false">IF(ISNA(F1713),"",F1713)</f>
        <v/>
      </c>
      <c r="H1713" s="5" t="str">
        <f aca="false">IF(G1713&lt;&gt;"",G1713,E1713)</f>
        <v>35, 40, TENTACRUEL</v>
      </c>
    </row>
    <row r="1714" customFormat="false" ht="12.75" hidden="false" customHeight="true" outlineLevel="0" collapsed="false">
      <c r="A1714" s="4" t="s">
        <v>3231</v>
      </c>
      <c r="B1714" s="5" t="s">
        <v>3231</v>
      </c>
      <c r="C1714" s="1" t="str">
        <f aca="false">IF(B1714="NEW ROUTE",1,"")</f>
        <v/>
      </c>
      <c r="E1714" s="5" t="s">
        <v>3231</v>
      </c>
      <c r="F1714" s="6" t="e">
        <f aca="false">VLOOKUP(E1714,$K$2:$L$426,2,FALSE())</f>
        <v>#N/A</v>
      </c>
      <c r="G1714" s="1" t="str">
        <f aca="false">IF(ISNA(F1714),"",F1714)</f>
        <v/>
      </c>
      <c r="H1714" s="5" t="str">
        <f aca="false">IF(G1714&lt;&gt;"",G1714,E1714)</f>
        <v>35, 40, TENTACRUEL</v>
      </c>
    </row>
    <row r="1715" customFormat="false" ht="12.75" hidden="false" customHeight="true" outlineLevel="0" collapsed="false">
      <c r="A1715" s="4" t="s">
        <v>2925</v>
      </c>
      <c r="B1715" s="5" t="s">
        <v>2925</v>
      </c>
      <c r="C1715" s="1" t="str">
        <f aca="false">IF(B1715="NEW ROUTE",1,"")</f>
        <v/>
      </c>
      <c r="E1715" s="5" t="s">
        <v>2925</v>
      </c>
      <c r="F1715" s="6" t="e">
        <f aca="false">VLOOKUP(E1715,$K$2:$L$426,2,FALSE())</f>
        <v>#N/A</v>
      </c>
      <c r="G1715" s="1" t="str">
        <f aca="false">IF(ISNA(F1715),"",F1715)</f>
        <v/>
      </c>
      <c r="H1715" s="5" t="str">
        <f aca="false">IF(G1715&lt;&gt;"",G1715,E1715)</f>
        <v>20, old rod:</v>
      </c>
    </row>
    <row r="1716" customFormat="false" ht="12.75" hidden="false" customHeight="true" outlineLevel="0" collapsed="false">
      <c r="A1716" s="4" t="s">
        <v>1266</v>
      </c>
      <c r="B1716" s="5" t="s">
        <v>1266</v>
      </c>
      <c r="C1716" s="1" t="str">
        <f aca="false">IF(B1716="NEW ROUTE",1,"")</f>
        <v/>
      </c>
      <c r="E1716" s="5" t="s">
        <v>1266</v>
      </c>
      <c r="F1716" s="6" t="e">
        <f aca="false">VLOOKUP(E1716,$K$2:$L$426,2,FALSE())</f>
        <v>#N/A</v>
      </c>
      <c r="G1716" s="1" t="str">
        <f aca="false">IF(ISNA(F1716),"",F1716)</f>
        <v/>
      </c>
      <c r="H1716" s="5" t="str">
        <f aca="false">IF(G1716&lt;&gt;"",G1716,E1716)</f>
        <v>5, 5, MAGIKARP</v>
      </c>
    </row>
    <row r="1717" customFormat="false" ht="12.75" hidden="false" customHeight="true" outlineLevel="0" collapsed="false">
      <c r="A1717" s="4" t="s">
        <v>1266</v>
      </c>
      <c r="B1717" s="5" t="s">
        <v>1266</v>
      </c>
      <c r="C1717" s="1" t="str">
        <f aca="false">IF(B1717="NEW ROUTE",1,"")</f>
        <v/>
      </c>
      <c r="E1717" s="5" t="s">
        <v>1266</v>
      </c>
      <c r="F1717" s="6" t="e">
        <f aca="false">VLOOKUP(E1717,$K$2:$L$426,2,FALSE())</f>
        <v>#N/A</v>
      </c>
      <c r="G1717" s="1" t="str">
        <f aca="false">IF(ISNA(F1717),"",F1717)</f>
        <v/>
      </c>
      <c r="H1717" s="5" t="str">
        <f aca="false">IF(G1717&lt;&gt;"",G1717,E1717)</f>
        <v>5, 5, MAGIKARP</v>
      </c>
    </row>
    <row r="1718" customFormat="false" ht="12.75" hidden="false" customHeight="true" outlineLevel="0" collapsed="false">
      <c r="A1718" s="4" t="s">
        <v>2846</v>
      </c>
      <c r="B1718" s="5" t="s">
        <v>2846</v>
      </c>
      <c r="C1718" s="1" t="str">
        <f aca="false">IF(B1718="NEW ROUTE",1,"")</f>
        <v/>
      </c>
      <c r="E1718" s="5" t="s">
        <v>2846</v>
      </c>
      <c r="F1718" s="6" t="e">
        <f aca="false">VLOOKUP(E1718,$K$2:$L$426,2,FALSE())</f>
        <v>#N/A</v>
      </c>
      <c r="G1718" s="1" t="str">
        <f aca="false">IF(ISNA(F1718),"",F1718)</f>
        <v/>
      </c>
      <c r="H1718" s="5" t="str">
        <f aca="false">IF(G1718&lt;&gt;"",G1718,E1718)</f>
        <v>good rod:</v>
      </c>
    </row>
    <row r="1719" customFormat="false" ht="12.75" hidden="false" customHeight="true" outlineLevel="0" collapsed="false">
      <c r="A1719" s="4" t="s">
        <v>2847</v>
      </c>
      <c r="B1719" s="5" t="s">
        <v>2847</v>
      </c>
      <c r="C1719" s="1" t="str">
        <f aca="false">IF(B1719="NEW ROUTE",1,"")</f>
        <v/>
      </c>
      <c r="E1719" s="5" t="s">
        <v>2847</v>
      </c>
      <c r="F1719" s="6" t="e">
        <f aca="false">VLOOKUP(E1719,$K$2:$L$426,2,FALSE())</f>
        <v>#N/A</v>
      </c>
      <c r="G1719" s="1" t="str">
        <f aca="false">IF(ISNA(F1719),"",F1719)</f>
        <v/>
      </c>
      <c r="H1719" s="5" t="str">
        <f aca="false">IF(G1719&lt;&gt;"",G1719,E1719)</f>
        <v>5, 15, KRABBY</v>
      </c>
    </row>
    <row r="1720" customFormat="false" ht="12.75" hidden="false" customHeight="true" outlineLevel="0" collapsed="false">
      <c r="A1720" s="4" t="s">
        <v>2848</v>
      </c>
      <c r="B1720" s="5" t="s">
        <v>2848</v>
      </c>
      <c r="C1720" s="1" t="str">
        <f aca="false">IF(B1720="NEW ROUTE",1,"")</f>
        <v/>
      </c>
      <c r="E1720" s="5" t="s">
        <v>2848</v>
      </c>
      <c r="F1720" s="6" t="e">
        <f aca="false">VLOOKUP(E1720,$K$2:$L$426,2,FALSE())</f>
        <v>#N/A</v>
      </c>
      <c r="G1720" s="1" t="str">
        <f aca="false">IF(ISNA(F1720),"",F1720)</f>
        <v/>
      </c>
      <c r="H1720" s="5" t="str">
        <f aca="false">IF(G1720&lt;&gt;"",G1720,E1720)</f>
        <v>5, 15, MAGIKARP</v>
      </c>
    </row>
    <row r="1721" customFormat="false" ht="12.75" hidden="false" customHeight="true" outlineLevel="0" collapsed="false">
      <c r="A1721" s="4" t="s">
        <v>2847</v>
      </c>
      <c r="B1721" s="5" t="s">
        <v>2847</v>
      </c>
      <c r="C1721" s="1" t="str">
        <f aca="false">IF(B1721="NEW ROUTE",1,"")</f>
        <v/>
      </c>
      <c r="E1721" s="5" t="s">
        <v>2847</v>
      </c>
      <c r="F1721" s="6" t="e">
        <f aca="false">VLOOKUP(E1721,$K$2:$L$426,2,FALSE())</f>
        <v>#N/A</v>
      </c>
      <c r="G1721" s="1" t="str">
        <f aca="false">IF(ISNA(F1721),"",F1721)</f>
        <v/>
      </c>
      <c r="H1721" s="5" t="str">
        <f aca="false">IF(G1721&lt;&gt;"",G1721,E1721)</f>
        <v>5, 15, KRABBY</v>
      </c>
    </row>
    <row r="1722" customFormat="false" ht="12.75" hidden="false" customHeight="true" outlineLevel="0" collapsed="false">
      <c r="A1722" s="4" t="s">
        <v>2850</v>
      </c>
      <c r="B1722" s="5" t="s">
        <v>2850</v>
      </c>
      <c r="C1722" s="1" t="str">
        <f aca="false">IF(B1722="NEW ROUTE",1,"")</f>
        <v/>
      </c>
      <c r="E1722" s="5" t="s">
        <v>2850</v>
      </c>
      <c r="F1722" s="6" t="e">
        <f aca="false">VLOOKUP(E1722,$K$2:$L$426,2,FALSE())</f>
        <v>#N/A</v>
      </c>
      <c r="G1722" s="1" t="str">
        <f aca="false">IF(ISNA(F1722),"",F1722)</f>
        <v/>
      </c>
      <c r="H1722" s="5" t="str">
        <f aca="false">IF(G1722&lt;&gt;"",G1722,E1722)</f>
        <v>super rod:</v>
      </c>
    </row>
    <row r="1723" customFormat="false" ht="12.75" hidden="false" customHeight="true" outlineLevel="0" collapsed="false">
      <c r="A1723" s="4" t="s">
        <v>2851</v>
      </c>
      <c r="B1723" s="5" t="s">
        <v>2851</v>
      </c>
      <c r="C1723" s="1" t="str">
        <f aca="false">IF(B1723="NEW ROUTE",1,"")</f>
        <v/>
      </c>
      <c r="E1723" s="5" t="s">
        <v>2851</v>
      </c>
      <c r="F1723" s="6" t="e">
        <f aca="false">VLOOKUP(E1723,$K$2:$L$426,2,FALSE())</f>
        <v>#N/A</v>
      </c>
      <c r="G1723" s="1" t="str">
        <f aca="false">IF(ISNA(F1723),"",F1723)</f>
        <v/>
      </c>
      <c r="H1723" s="5" t="str">
        <f aca="false">IF(G1723&lt;&gt;"",G1723,E1723)</f>
        <v>15, 25, KRABBY</v>
      </c>
    </row>
    <row r="1724" customFormat="false" ht="12.75" hidden="false" customHeight="true" outlineLevel="0" collapsed="false">
      <c r="A1724" s="4" t="s">
        <v>3258</v>
      </c>
      <c r="B1724" s="5" t="s">
        <v>3258</v>
      </c>
      <c r="C1724" s="1" t="str">
        <f aca="false">IF(B1724="NEW ROUTE",1,"")</f>
        <v/>
      </c>
      <c r="E1724" s="5" t="s">
        <v>3258</v>
      </c>
      <c r="F1724" s="6" t="e">
        <f aca="false">VLOOKUP(E1724,$K$2:$L$426,2,FALSE())</f>
        <v>#N/A</v>
      </c>
      <c r="G1724" s="1" t="str">
        <f aca="false">IF(ISNA(F1724),"",F1724)</f>
        <v/>
      </c>
      <c r="H1724" s="5" t="str">
        <f aca="false">IF(G1724&lt;&gt;"",G1724,E1724)</f>
        <v>15, 25, REMORAID</v>
      </c>
    </row>
    <row r="1725" customFormat="false" ht="12.75" hidden="false" customHeight="true" outlineLevel="0" collapsed="false">
      <c r="A1725" s="4" t="s">
        <v>2853</v>
      </c>
      <c r="B1725" s="5" t="s">
        <v>2853</v>
      </c>
      <c r="C1725" s="1" t="str">
        <f aca="false">IF(B1725="NEW ROUTE",1,"")</f>
        <v/>
      </c>
      <c r="E1725" s="5" t="s">
        <v>2853</v>
      </c>
      <c r="F1725" s="6" t="e">
        <f aca="false">VLOOKUP(E1725,$K$2:$L$426,2,FALSE())</f>
        <v>#N/A</v>
      </c>
      <c r="G1725" s="1" t="str">
        <f aca="false">IF(ISNA(F1725),"",F1725)</f>
        <v/>
      </c>
      <c r="H1725" s="5" t="str">
        <f aca="false">IF(G1725&lt;&gt;"",G1725,E1725)</f>
        <v>15, 25, GYARADOS</v>
      </c>
    </row>
    <row r="1726" customFormat="false" ht="12.75" hidden="false" customHeight="true" outlineLevel="0" collapsed="false">
      <c r="A1726" s="4" t="s">
        <v>3177</v>
      </c>
      <c r="B1726" s="5" t="s">
        <v>3177</v>
      </c>
      <c r="C1726" s="1" t="str">
        <f aca="false">IF(B1726="NEW ROUTE",1,"")</f>
        <v/>
      </c>
      <c r="E1726" s="5" t="s">
        <v>3177</v>
      </c>
      <c r="F1726" s="6" t="e">
        <f aca="false">VLOOKUP(E1726,$K$2:$L$426,2,FALSE())</f>
        <v>#N/A</v>
      </c>
      <c r="G1726" s="1" t="str">
        <f aca="false">IF(ISNA(F1726),"",F1726)</f>
        <v/>
      </c>
      <c r="H1726" s="5" t="str">
        <f aca="false">IF(G1726&lt;&gt;"",G1726,E1726)</f>
        <v>25, 35, KINGLER</v>
      </c>
    </row>
    <row r="1727" customFormat="false" ht="12.75" hidden="false" customHeight="true" outlineLevel="0" collapsed="false">
      <c r="A1727" s="4" t="s">
        <v>2855</v>
      </c>
      <c r="B1727" s="5" t="s">
        <v>2855</v>
      </c>
      <c r="C1727" s="1" t="str">
        <f aca="false">IF(B1727="NEW ROUTE",1,"")</f>
        <v/>
      </c>
      <c r="E1727" s="5" t="s">
        <v>2855</v>
      </c>
      <c r="F1727" s="6" t="e">
        <f aca="false">VLOOKUP(E1727,$K$2:$L$426,2,FALSE())</f>
        <v>#N/A</v>
      </c>
      <c r="G1727" s="1" t="str">
        <f aca="false">IF(ISNA(F1727),"",F1727)</f>
        <v/>
      </c>
      <c r="H1727" s="5" t="str">
        <f aca="false">IF(G1727&lt;&gt;"",G1727,E1727)</f>
        <v>25, 35, SLOWPOKE</v>
      </c>
    </row>
    <row r="1728" customFormat="false" ht="12.75" hidden="false" customHeight="true" outlineLevel="0" collapsed="false">
      <c r="A1728" s="4" t="s">
        <v>2536</v>
      </c>
      <c r="B1728" s="5" t="s">
        <v>2536</v>
      </c>
      <c r="C1728" s="1" t="n">
        <f aca="false">IF(B1728="NEW ROUTE",1,"")</f>
        <v>1</v>
      </c>
      <c r="E1728" s="5" t="s">
        <v>2536</v>
      </c>
      <c r="F1728" s="6" t="e">
        <f aca="false">VLOOKUP(E1728,$K$2:$L$426,2,FALSE())</f>
        <v>#N/A</v>
      </c>
      <c r="G1728" s="1" t="str">
        <f aca="false">IF(ISNA(F1728),"",F1728)</f>
        <v/>
      </c>
      <c r="H1728" s="5" t="str">
        <f aca="false">IF(G1728&lt;&gt;"",G1728,E1728)</f>
        <v>NEW ROUTE</v>
      </c>
    </row>
    <row r="1729" customFormat="false" ht="12.75" hidden="false" customHeight="true" outlineLevel="0" collapsed="false">
      <c r="A1729" s="4" t="s">
        <v>494</v>
      </c>
      <c r="B1729" s="5" t="s">
        <v>494</v>
      </c>
      <c r="C1729" s="1" t="str">
        <f aca="false">IF(B1729="NEW ROUTE",1,"")</f>
        <v/>
      </c>
      <c r="E1729" s="5" t="s">
        <v>494</v>
      </c>
      <c r="F1729" s="6" t="str">
        <f aca="false">VLOOKUP(E1729,$K$2:$L$426,2,FALSE())</f>
        <v>Six Island Outcast Island</v>
      </c>
      <c r="G1729" s="1" t="str">
        <f aca="false">IF(ISNA(F1729),"",F1729)</f>
        <v>Six Island Outcast Island</v>
      </c>
      <c r="H1729" s="5" t="str">
        <f aca="false">IF(G1729&lt;&gt;"",G1729,E1729)</f>
        <v>Six Island Outcast Island</v>
      </c>
    </row>
    <row r="1730" customFormat="false" ht="12.75" hidden="false" customHeight="true" outlineLevel="0" collapsed="false">
      <c r="A1730" s="4" t="s">
        <v>3172</v>
      </c>
      <c r="B1730" s="5" t="s">
        <v>3172</v>
      </c>
      <c r="C1730" s="1" t="str">
        <f aca="false">IF(B1730="NEW ROUTE",1,"")</f>
        <v/>
      </c>
      <c r="E1730" s="5" t="s">
        <v>3172</v>
      </c>
      <c r="F1730" s="6" t="e">
        <f aca="false">VLOOKUP(E1730,$K$2:$L$426,2,FALSE())</f>
        <v>#N/A</v>
      </c>
      <c r="G1730" s="1" t="str">
        <f aca="false">IF(ISNA(F1730),"",F1730)</f>
        <v/>
      </c>
      <c r="H1730" s="5" t="str">
        <f aca="false">IF(G1730&lt;&gt;"",G1730,E1730)</f>
        <v>2, 5, 20, TENTACOOL</v>
      </c>
    </row>
    <row r="1731" customFormat="false" ht="12.75" hidden="false" customHeight="true" outlineLevel="0" collapsed="false">
      <c r="A1731" s="4" t="s">
        <v>3173</v>
      </c>
      <c r="B1731" s="5" t="s">
        <v>3173</v>
      </c>
      <c r="C1731" s="1" t="str">
        <f aca="false">IF(B1731="NEW ROUTE",1,"")</f>
        <v/>
      </c>
      <c r="E1731" s="5" t="s">
        <v>3173</v>
      </c>
      <c r="F1731" s="6" t="e">
        <f aca="false">VLOOKUP(E1731,$K$2:$L$426,2,FALSE())</f>
        <v>#N/A</v>
      </c>
      <c r="G1731" s="1" t="str">
        <f aca="false">IF(ISNA(F1731),"",F1731)</f>
        <v/>
      </c>
      <c r="H1731" s="5" t="str">
        <f aca="false">IF(G1731&lt;&gt;"",G1731,E1731)</f>
        <v>20, 35, TENTACOOL</v>
      </c>
    </row>
    <row r="1732" customFormat="false" ht="12.75" hidden="false" customHeight="true" outlineLevel="0" collapsed="false">
      <c r="A1732" s="4" t="s">
        <v>2844</v>
      </c>
      <c r="B1732" s="5" t="s">
        <v>2844</v>
      </c>
      <c r="C1732" s="1" t="str">
        <f aca="false">IF(B1732="NEW ROUTE",1,"")</f>
        <v/>
      </c>
      <c r="E1732" s="5" t="s">
        <v>2844</v>
      </c>
      <c r="F1732" s="6" t="e">
        <f aca="false">VLOOKUP(E1732,$K$2:$L$426,2,FALSE())</f>
        <v>#N/A</v>
      </c>
      <c r="G1732" s="1" t="str">
        <f aca="false">IF(ISNA(F1732),"",F1732)</f>
        <v/>
      </c>
      <c r="H1732" s="5" t="str">
        <f aca="false">IF(G1732&lt;&gt;"",G1732,E1732)</f>
        <v>35, 40, TENTACOOL</v>
      </c>
    </row>
    <row r="1733" customFormat="false" ht="12.75" hidden="false" customHeight="true" outlineLevel="0" collapsed="false">
      <c r="A1733" s="4" t="s">
        <v>3231</v>
      </c>
      <c r="B1733" s="5" t="s">
        <v>3231</v>
      </c>
      <c r="C1733" s="1" t="str">
        <f aca="false">IF(B1733="NEW ROUTE",1,"")</f>
        <v/>
      </c>
      <c r="E1733" s="5" t="s">
        <v>3231</v>
      </c>
      <c r="F1733" s="6" t="e">
        <f aca="false">VLOOKUP(E1733,$K$2:$L$426,2,FALSE())</f>
        <v>#N/A</v>
      </c>
      <c r="G1733" s="1" t="str">
        <f aca="false">IF(ISNA(F1733),"",F1733)</f>
        <v/>
      </c>
      <c r="H1733" s="5" t="str">
        <f aca="false">IF(G1733&lt;&gt;"",G1733,E1733)</f>
        <v>35, 40, TENTACRUEL</v>
      </c>
    </row>
    <row r="1734" customFormat="false" ht="12.75" hidden="false" customHeight="true" outlineLevel="0" collapsed="false">
      <c r="A1734" s="4" t="s">
        <v>3231</v>
      </c>
      <c r="B1734" s="5" t="s">
        <v>3231</v>
      </c>
      <c r="C1734" s="1" t="str">
        <f aca="false">IF(B1734="NEW ROUTE",1,"")</f>
        <v/>
      </c>
      <c r="E1734" s="5" t="s">
        <v>3231</v>
      </c>
      <c r="F1734" s="6" t="e">
        <f aca="false">VLOOKUP(E1734,$K$2:$L$426,2,FALSE())</f>
        <v>#N/A</v>
      </c>
      <c r="G1734" s="1" t="str">
        <f aca="false">IF(ISNA(F1734),"",F1734)</f>
        <v/>
      </c>
      <c r="H1734" s="5" t="str">
        <f aca="false">IF(G1734&lt;&gt;"",G1734,E1734)</f>
        <v>35, 40, TENTACRUEL</v>
      </c>
    </row>
    <row r="1735" customFormat="false" ht="12.75" hidden="false" customHeight="true" outlineLevel="0" collapsed="false">
      <c r="A1735" s="4" t="s">
        <v>2925</v>
      </c>
      <c r="B1735" s="5" t="s">
        <v>2925</v>
      </c>
      <c r="C1735" s="1" t="str">
        <f aca="false">IF(B1735="NEW ROUTE",1,"")</f>
        <v/>
      </c>
      <c r="E1735" s="5" t="s">
        <v>2925</v>
      </c>
      <c r="F1735" s="6" t="e">
        <f aca="false">VLOOKUP(E1735,$K$2:$L$426,2,FALSE())</f>
        <v>#N/A</v>
      </c>
      <c r="G1735" s="1" t="str">
        <f aca="false">IF(ISNA(F1735),"",F1735)</f>
        <v/>
      </c>
      <c r="H1735" s="5" t="str">
        <f aca="false">IF(G1735&lt;&gt;"",G1735,E1735)</f>
        <v>20, old rod:</v>
      </c>
    </row>
    <row r="1736" customFormat="false" ht="12.75" hidden="false" customHeight="true" outlineLevel="0" collapsed="false">
      <c r="A1736" s="4" t="s">
        <v>1266</v>
      </c>
      <c r="B1736" s="5" t="s">
        <v>1266</v>
      </c>
      <c r="C1736" s="1" t="str">
        <f aca="false">IF(B1736="NEW ROUTE",1,"")</f>
        <v/>
      </c>
      <c r="E1736" s="5" t="s">
        <v>1266</v>
      </c>
      <c r="F1736" s="6" t="e">
        <f aca="false">VLOOKUP(E1736,$K$2:$L$426,2,FALSE())</f>
        <v>#N/A</v>
      </c>
      <c r="G1736" s="1" t="str">
        <f aca="false">IF(ISNA(F1736),"",F1736)</f>
        <v/>
      </c>
      <c r="H1736" s="5" t="str">
        <f aca="false">IF(G1736&lt;&gt;"",G1736,E1736)</f>
        <v>5, 5, MAGIKARP</v>
      </c>
    </row>
    <row r="1737" customFormat="false" ht="12.75" hidden="false" customHeight="true" outlineLevel="0" collapsed="false">
      <c r="A1737" s="4" t="s">
        <v>1266</v>
      </c>
      <c r="B1737" s="5" t="s">
        <v>1266</v>
      </c>
      <c r="C1737" s="1" t="str">
        <f aca="false">IF(B1737="NEW ROUTE",1,"")</f>
        <v/>
      </c>
      <c r="E1737" s="5" t="s">
        <v>1266</v>
      </c>
      <c r="F1737" s="6" t="e">
        <f aca="false">VLOOKUP(E1737,$K$2:$L$426,2,FALSE())</f>
        <v>#N/A</v>
      </c>
      <c r="G1737" s="1" t="str">
        <f aca="false">IF(ISNA(F1737),"",F1737)</f>
        <v/>
      </c>
      <c r="H1737" s="5" t="str">
        <f aca="false">IF(G1737&lt;&gt;"",G1737,E1737)</f>
        <v>5, 5, MAGIKARP</v>
      </c>
    </row>
    <row r="1738" customFormat="false" ht="12.75" hidden="false" customHeight="true" outlineLevel="0" collapsed="false">
      <c r="A1738" s="4" t="s">
        <v>2846</v>
      </c>
      <c r="B1738" s="5" t="s">
        <v>2846</v>
      </c>
      <c r="C1738" s="1" t="str">
        <f aca="false">IF(B1738="NEW ROUTE",1,"")</f>
        <v/>
      </c>
      <c r="E1738" s="5" t="s">
        <v>2846</v>
      </c>
      <c r="F1738" s="6" t="e">
        <f aca="false">VLOOKUP(E1738,$K$2:$L$426,2,FALSE())</f>
        <v>#N/A</v>
      </c>
      <c r="G1738" s="1" t="str">
        <f aca="false">IF(ISNA(F1738),"",F1738)</f>
        <v/>
      </c>
      <c r="H1738" s="5" t="str">
        <f aca="false">IF(G1738&lt;&gt;"",G1738,E1738)</f>
        <v>good rod:</v>
      </c>
    </row>
    <row r="1739" customFormat="false" ht="12.75" hidden="false" customHeight="true" outlineLevel="0" collapsed="false">
      <c r="A1739" s="4" t="s">
        <v>2847</v>
      </c>
      <c r="B1739" s="5" t="s">
        <v>2847</v>
      </c>
      <c r="C1739" s="1" t="str">
        <f aca="false">IF(B1739="NEW ROUTE",1,"")</f>
        <v/>
      </c>
      <c r="E1739" s="5" t="s">
        <v>2847</v>
      </c>
      <c r="F1739" s="6" t="e">
        <f aca="false">VLOOKUP(E1739,$K$2:$L$426,2,FALSE())</f>
        <v>#N/A</v>
      </c>
      <c r="G1739" s="1" t="str">
        <f aca="false">IF(ISNA(F1739),"",F1739)</f>
        <v/>
      </c>
      <c r="H1739" s="5" t="str">
        <f aca="false">IF(G1739&lt;&gt;"",G1739,E1739)</f>
        <v>5, 15, KRABBY</v>
      </c>
    </row>
    <row r="1740" customFormat="false" ht="12.75" hidden="false" customHeight="true" outlineLevel="0" collapsed="false">
      <c r="A1740" s="4" t="s">
        <v>2848</v>
      </c>
      <c r="B1740" s="5" t="s">
        <v>2848</v>
      </c>
      <c r="C1740" s="1" t="str">
        <f aca="false">IF(B1740="NEW ROUTE",1,"")</f>
        <v/>
      </c>
      <c r="E1740" s="5" t="s">
        <v>2848</v>
      </c>
      <c r="F1740" s="6" t="e">
        <f aca="false">VLOOKUP(E1740,$K$2:$L$426,2,FALSE())</f>
        <v>#N/A</v>
      </c>
      <c r="G1740" s="1" t="str">
        <f aca="false">IF(ISNA(F1740),"",F1740)</f>
        <v/>
      </c>
      <c r="H1740" s="5" t="str">
        <f aca="false">IF(G1740&lt;&gt;"",G1740,E1740)</f>
        <v>5, 15, MAGIKARP</v>
      </c>
    </row>
    <row r="1741" customFormat="false" ht="12.75" hidden="false" customHeight="true" outlineLevel="0" collapsed="false">
      <c r="A1741" s="4" t="s">
        <v>2847</v>
      </c>
      <c r="B1741" s="5" t="s">
        <v>2847</v>
      </c>
      <c r="C1741" s="1" t="str">
        <f aca="false">IF(B1741="NEW ROUTE",1,"")</f>
        <v/>
      </c>
      <c r="E1741" s="5" t="s">
        <v>2847</v>
      </c>
      <c r="F1741" s="6" t="e">
        <f aca="false">VLOOKUP(E1741,$K$2:$L$426,2,FALSE())</f>
        <v>#N/A</v>
      </c>
      <c r="G1741" s="1" t="str">
        <f aca="false">IF(ISNA(F1741),"",F1741)</f>
        <v/>
      </c>
      <c r="H1741" s="5" t="str">
        <f aca="false">IF(G1741&lt;&gt;"",G1741,E1741)</f>
        <v>5, 15, KRABBY</v>
      </c>
    </row>
    <row r="1742" customFormat="false" ht="12.75" hidden="false" customHeight="true" outlineLevel="0" collapsed="false">
      <c r="A1742" s="4" t="s">
        <v>2850</v>
      </c>
      <c r="B1742" s="5" t="s">
        <v>2850</v>
      </c>
      <c r="C1742" s="1" t="str">
        <f aca="false">IF(B1742="NEW ROUTE",1,"")</f>
        <v/>
      </c>
      <c r="E1742" s="5" t="s">
        <v>2850</v>
      </c>
      <c r="F1742" s="6" t="e">
        <f aca="false">VLOOKUP(E1742,$K$2:$L$426,2,FALSE())</f>
        <v>#N/A</v>
      </c>
      <c r="G1742" s="1" t="str">
        <f aca="false">IF(ISNA(F1742),"",F1742)</f>
        <v/>
      </c>
      <c r="H1742" s="5" t="str">
        <f aca="false">IF(G1742&lt;&gt;"",G1742,E1742)</f>
        <v>super rod:</v>
      </c>
    </row>
    <row r="1743" customFormat="false" ht="12.75" hidden="false" customHeight="true" outlineLevel="0" collapsed="false">
      <c r="A1743" s="4" t="s">
        <v>2851</v>
      </c>
      <c r="B1743" s="5" t="s">
        <v>2851</v>
      </c>
      <c r="C1743" s="1" t="str">
        <f aca="false">IF(B1743="NEW ROUTE",1,"")</f>
        <v/>
      </c>
      <c r="E1743" s="5" t="s">
        <v>2851</v>
      </c>
      <c r="F1743" s="6" t="e">
        <f aca="false">VLOOKUP(E1743,$K$2:$L$426,2,FALSE())</f>
        <v>#N/A</v>
      </c>
      <c r="G1743" s="1" t="str">
        <f aca="false">IF(ISNA(F1743),"",F1743)</f>
        <v/>
      </c>
      <c r="H1743" s="5" t="str">
        <f aca="false">IF(G1743&lt;&gt;"",G1743,E1743)</f>
        <v>15, 25, KRABBY</v>
      </c>
    </row>
    <row r="1744" customFormat="false" ht="12.75" hidden="false" customHeight="true" outlineLevel="0" collapsed="false">
      <c r="A1744" s="4" t="s">
        <v>3258</v>
      </c>
      <c r="B1744" s="5" t="s">
        <v>3258</v>
      </c>
      <c r="C1744" s="1" t="str">
        <f aca="false">IF(B1744="NEW ROUTE",1,"")</f>
        <v/>
      </c>
      <c r="E1744" s="5" t="s">
        <v>3258</v>
      </c>
      <c r="F1744" s="6" t="e">
        <f aca="false">VLOOKUP(E1744,$K$2:$L$426,2,FALSE())</f>
        <v>#N/A</v>
      </c>
      <c r="G1744" s="1" t="str">
        <f aca="false">IF(ISNA(F1744),"",F1744)</f>
        <v/>
      </c>
      <c r="H1744" s="5" t="str">
        <f aca="false">IF(G1744&lt;&gt;"",G1744,E1744)</f>
        <v>15, 25, REMORAID</v>
      </c>
    </row>
    <row r="1745" customFormat="false" ht="12.75" hidden="false" customHeight="true" outlineLevel="0" collapsed="false">
      <c r="A1745" s="4" t="s">
        <v>2853</v>
      </c>
      <c r="B1745" s="5" t="s">
        <v>2853</v>
      </c>
      <c r="C1745" s="1" t="str">
        <f aca="false">IF(B1745="NEW ROUTE",1,"")</f>
        <v/>
      </c>
      <c r="E1745" s="5" t="s">
        <v>2853</v>
      </c>
      <c r="F1745" s="6" t="e">
        <f aca="false">VLOOKUP(E1745,$K$2:$L$426,2,FALSE())</f>
        <v>#N/A</v>
      </c>
      <c r="G1745" s="1" t="str">
        <f aca="false">IF(ISNA(F1745),"",F1745)</f>
        <v/>
      </c>
      <c r="H1745" s="5" t="str">
        <f aca="false">IF(G1745&lt;&gt;"",G1745,E1745)</f>
        <v>15, 25, GYARADOS</v>
      </c>
    </row>
    <row r="1746" customFormat="false" ht="12.75" hidden="false" customHeight="true" outlineLevel="0" collapsed="false">
      <c r="A1746" s="4" t="s">
        <v>3177</v>
      </c>
      <c r="B1746" s="5" t="s">
        <v>3177</v>
      </c>
      <c r="C1746" s="1" t="str">
        <f aca="false">IF(B1746="NEW ROUTE",1,"")</f>
        <v/>
      </c>
      <c r="E1746" s="5" t="s">
        <v>3177</v>
      </c>
      <c r="F1746" s="6" t="e">
        <f aca="false">VLOOKUP(E1746,$K$2:$L$426,2,FALSE())</f>
        <v>#N/A</v>
      </c>
      <c r="G1746" s="1" t="str">
        <f aca="false">IF(ISNA(F1746),"",F1746)</f>
        <v/>
      </c>
      <c r="H1746" s="5" t="str">
        <f aca="false">IF(G1746&lt;&gt;"",G1746,E1746)</f>
        <v>25, 35, KINGLER</v>
      </c>
    </row>
    <row r="1747" customFormat="false" ht="12.75" hidden="false" customHeight="true" outlineLevel="0" collapsed="false">
      <c r="A1747" s="4" t="s">
        <v>2855</v>
      </c>
      <c r="B1747" s="5" t="s">
        <v>2855</v>
      </c>
      <c r="C1747" s="1" t="str">
        <f aca="false">IF(B1747="NEW ROUTE",1,"")</f>
        <v/>
      </c>
      <c r="E1747" s="5" t="s">
        <v>2855</v>
      </c>
      <c r="F1747" s="6" t="e">
        <f aca="false">VLOOKUP(E1747,$K$2:$L$426,2,FALSE())</f>
        <v>#N/A</v>
      </c>
      <c r="G1747" s="1" t="str">
        <f aca="false">IF(ISNA(F1747),"",F1747)</f>
        <v/>
      </c>
      <c r="H1747" s="5" t="str">
        <f aca="false">IF(G1747&lt;&gt;"",G1747,E1747)</f>
        <v>25, 35, SLOWPOKE</v>
      </c>
    </row>
    <row r="1748" customFormat="false" ht="12.75" hidden="false" customHeight="true" outlineLevel="0" collapsed="false">
      <c r="A1748" s="4" t="s">
        <v>2536</v>
      </c>
      <c r="B1748" s="5" t="s">
        <v>2536</v>
      </c>
      <c r="C1748" s="1" t="n">
        <f aca="false">IF(B1748="NEW ROUTE",1,"")</f>
        <v>1</v>
      </c>
      <c r="E1748" s="5" t="s">
        <v>2536</v>
      </c>
      <c r="F1748" s="6" t="e">
        <f aca="false">VLOOKUP(E1748,$K$2:$L$426,2,FALSE())</f>
        <v>#N/A</v>
      </c>
      <c r="G1748" s="1" t="str">
        <f aca="false">IF(ISNA(F1748),"",F1748)</f>
        <v/>
      </c>
      <c r="H1748" s="5" t="str">
        <f aca="false">IF(G1748&lt;&gt;"",G1748,E1748)</f>
        <v>NEW ROUTE</v>
      </c>
    </row>
    <row r="1749" customFormat="false" ht="12.75" hidden="false" customHeight="true" outlineLevel="0" collapsed="false">
      <c r="A1749" s="4" t="s">
        <v>496</v>
      </c>
      <c r="B1749" s="5" t="s">
        <v>496</v>
      </c>
      <c r="C1749" s="1" t="str">
        <f aca="false">IF(B1749="NEW ROUTE",1,"")</f>
        <v/>
      </c>
      <c r="E1749" s="5" t="s">
        <v>496</v>
      </c>
      <c r="F1749" s="6" t="str">
        <f aca="false">VLOOKUP(E1749,$K$2:$L$426,2,FALSE())</f>
        <v>Six Island Green Path</v>
      </c>
      <c r="G1749" s="1" t="str">
        <f aca="false">IF(ISNA(F1749),"",F1749)</f>
        <v>Six Island Green Path</v>
      </c>
      <c r="H1749" s="5" t="str">
        <f aca="false">IF(G1749&lt;&gt;"",G1749,E1749)</f>
        <v>Six Island Green Path</v>
      </c>
    </row>
    <row r="1750" customFormat="false" ht="12.75" hidden="false" customHeight="true" outlineLevel="0" collapsed="false">
      <c r="A1750" s="4" t="s">
        <v>3172</v>
      </c>
      <c r="B1750" s="5" t="s">
        <v>3172</v>
      </c>
      <c r="C1750" s="1" t="str">
        <f aca="false">IF(B1750="NEW ROUTE",1,"")</f>
        <v/>
      </c>
      <c r="E1750" s="5" t="s">
        <v>3172</v>
      </c>
      <c r="F1750" s="6" t="e">
        <f aca="false">VLOOKUP(E1750,$K$2:$L$426,2,FALSE())</f>
        <v>#N/A</v>
      </c>
      <c r="G1750" s="1" t="str">
        <f aca="false">IF(ISNA(F1750),"",F1750)</f>
        <v/>
      </c>
      <c r="H1750" s="5" t="str">
        <f aca="false">IF(G1750&lt;&gt;"",G1750,E1750)</f>
        <v>2, 5, 20, TENTACOOL</v>
      </c>
    </row>
    <row r="1751" customFormat="false" ht="12.75" hidden="false" customHeight="true" outlineLevel="0" collapsed="false">
      <c r="A1751" s="4" t="s">
        <v>3173</v>
      </c>
      <c r="B1751" s="5" t="s">
        <v>3173</v>
      </c>
      <c r="C1751" s="1" t="str">
        <f aca="false">IF(B1751="NEW ROUTE",1,"")</f>
        <v/>
      </c>
      <c r="E1751" s="5" t="s">
        <v>3173</v>
      </c>
      <c r="F1751" s="6" t="e">
        <f aca="false">VLOOKUP(E1751,$K$2:$L$426,2,FALSE())</f>
        <v>#N/A</v>
      </c>
      <c r="G1751" s="1" t="str">
        <f aca="false">IF(ISNA(F1751),"",F1751)</f>
        <v/>
      </c>
      <c r="H1751" s="5" t="str">
        <f aca="false">IF(G1751&lt;&gt;"",G1751,E1751)</f>
        <v>20, 35, TENTACOOL</v>
      </c>
    </row>
    <row r="1752" customFormat="false" ht="12.75" hidden="false" customHeight="true" outlineLevel="0" collapsed="false">
      <c r="A1752" s="4" t="s">
        <v>2844</v>
      </c>
      <c r="B1752" s="5" t="s">
        <v>2844</v>
      </c>
      <c r="C1752" s="1" t="str">
        <f aca="false">IF(B1752="NEW ROUTE",1,"")</f>
        <v/>
      </c>
      <c r="E1752" s="5" t="s">
        <v>2844</v>
      </c>
      <c r="F1752" s="6" t="e">
        <f aca="false">VLOOKUP(E1752,$K$2:$L$426,2,FALSE())</f>
        <v>#N/A</v>
      </c>
      <c r="G1752" s="1" t="str">
        <f aca="false">IF(ISNA(F1752),"",F1752)</f>
        <v/>
      </c>
      <c r="H1752" s="5" t="str">
        <f aca="false">IF(G1752&lt;&gt;"",G1752,E1752)</f>
        <v>35, 40, TENTACOOL</v>
      </c>
    </row>
    <row r="1753" customFormat="false" ht="12.75" hidden="false" customHeight="true" outlineLevel="0" collapsed="false">
      <c r="A1753" s="4" t="s">
        <v>3231</v>
      </c>
      <c r="B1753" s="5" t="s">
        <v>3231</v>
      </c>
      <c r="C1753" s="1" t="str">
        <f aca="false">IF(B1753="NEW ROUTE",1,"")</f>
        <v/>
      </c>
      <c r="E1753" s="5" t="s">
        <v>3231</v>
      </c>
      <c r="F1753" s="6" t="e">
        <f aca="false">VLOOKUP(E1753,$K$2:$L$426,2,FALSE())</f>
        <v>#N/A</v>
      </c>
      <c r="G1753" s="1" t="str">
        <f aca="false">IF(ISNA(F1753),"",F1753)</f>
        <v/>
      </c>
      <c r="H1753" s="5" t="str">
        <f aca="false">IF(G1753&lt;&gt;"",G1753,E1753)</f>
        <v>35, 40, TENTACRUEL</v>
      </c>
    </row>
    <row r="1754" customFormat="false" ht="12.75" hidden="false" customHeight="true" outlineLevel="0" collapsed="false">
      <c r="A1754" s="4" t="s">
        <v>3231</v>
      </c>
      <c r="B1754" s="5" t="s">
        <v>3231</v>
      </c>
      <c r="C1754" s="1" t="str">
        <f aca="false">IF(B1754="NEW ROUTE",1,"")</f>
        <v/>
      </c>
      <c r="E1754" s="5" t="s">
        <v>3231</v>
      </c>
      <c r="F1754" s="6" t="e">
        <f aca="false">VLOOKUP(E1754,$K$2:$L$426,2,FALSE())</f>
        <v>#N/A</v>
      </c>
      <c r="G1754" s="1" t="str">
        <f aca="false">IF(ISNA(F1754),"",F1754)</f>
        <v/>
      </c>
      <c r="H1754" s="5" t="str">
        <f aca="false">IF(G1754&lt;&gt;"",G1754,E1754)</f>
        <v>35, 40, TENTACRUEL</v>
      </c>
    </row>
    <row r="1755" customFormat="false" ht="12.75" hidden="false" customHeight="true" outlineLevel="0" collapsed="false">
      <c r="A1755" s="4" t="s">
        <v>2925</v>
      </c>
      <c r="B1755" s="5" t="s">
        <v>2925</v>
      </c>
      <c r="C1755" s="1" t="str">
        <f aca="false">IF(B1755="NEW ROUTE",1,"")</f>
        <v/>
      </c>
      <c r="E1755" s="5" t="s">
        <v>2925</v>
      </c>
      <c r="F1755" s="6" t="e">
        <f aca="false">VLOOKUP(E1755,$K$2:$L$426,2,FALSE())</f>
        <v>#N/A</v>
      </c>
      <c r="G1755" s="1" t="str">
        <f aca="false">IF(ISNA(F1755),"",F1755)</f>
        <v/>
      </c>
      <c r="H1755" s="5" t="str">
        <f aca="false">IF(G1755&lt;&gt;"",G1755,E1755)</f>
        <v>20, old rod:</v>
      </c>
    </row>
    <row r="1756" customFormat="false" ht="12.75" hidden="false" customHeight="true" outlineLevel="0" collapsed="false">
      <c r="A1756" s="4" t="s">
        <v>1266</v>
      </c>
      <c r="B1756" s="5" t="s">
        <v>1266</v>
      </c>
      <c r="C1756" s="1" t="str">
        <f aca="false">IF(B1756="NEW ROUTE",1,"")</f>
        <v/>
      </c>
      <c r="E1756" s="5" t="s">
        <v>1266</v>
      </c>
      <c r="F1756" s="6" t="e">
        <f aca="false">VLOOKUP(E1756,$K$2:$L$426,2,FALSE())</f>
        <v>#N/A</v>
      </c>
      <c r="G1756" s="1" t="str">
        <f aca="false">IF(ISNA(F1756),"",F1756)</f>
        <v/>
      </c>
      <c r="H1756" s="5" t="str">
        <f aca="false">IF(G1756&lt;&gt;"",G1756,E1756)</f>
        <v>5, 5, MAGIKARP</v>
      </c>
    </row>
    <row r="1757" customFormat="false" ht="12.75" hidden="false" customHeight="true" outlineLevel="0" collapsed="false">
      <c r="A1757" s="4" t="s">
        <v>1266</v>
      </c>
      <c r="B1757" s="5" t="s">
        <v>1266</v>
      </c>
      <c r="C1757" s="1" t="str">
        <f aca="false">IF(B1757="NEW ROUTE",1,"")</f>
        <v/>
      </c>
      <c r="E1757" s="5" t="s">
        <v>1266</v>
      </c>
      <c r="F1757" s="6" t="e">
        <f aca="false">VLOOKUP(E1757,$K$2:$L$426,2,FALSE())</f>
        <v>#N/A</v>
      </c>
      <c r="G1757" s="1" t="str">
        <f aca="false">IF(ISNA(F1757),"",F1757)</f>
        <v/>
      </c>
      <c r="H1757" s="5" t="str">
        <f aca="false">IF(G1757&lt;&gt;"",G1757,E1757)</f>
        <v>5, 5, MAGIKARP</v>
      </c>
    </row>
    <row r="1758" customFormat="false" ht="12.75" hidden="false" customHeight="true" outlineLevel="0" collapsed="false">
      <c r="A1758" s="4" t="s">
        <v>2846</v>
      </c>
      <c r="B1758" s="5" t="s">
        <v>2846</v>
      </c>
      <c r="C1758" s="1" t="str">
        <f aca="false">IF(B1758="NEW ROUTE",1,"")</f>
        <v/>
      </c>
      <c r="E1758" s="5" t="s">
        <v>2846</v>
      </c>
      <c r="F1758" s="6" t="e">
        <f aca="false">VLOOKUP(E1758,$K$2:$L$426,2,FALSE())</f>
        <v>#N/A</v>
      </c>
      <c r="G1758" s="1" t="str">
        <f aca="false">IF(ISNA(F1758),"",F1758)</f>
        <v/>
      </c>
      <c r="H1758" s="5" t="str">
        <f aca="false">IF(G1758&lt;&gt;"",G1758,E1758)</f>
        <v>good rod:</v>
      </c>
    </row>
    <row r="1759" customFormat="false" ht="12.75" hidden="false" customHeight="true" outlineLevel="0" collapsed="false">
      <c r="A1759" s="4" t="s">
        <v>2847</v>
      </c>
      <c r="B1759" s="5" t="s">
        <v>2847</v>
      </c>
      <c r="C1759" s="1" t="str">
        <f aca="false">IF(B1759="NEW ROUTE",1,"")</f>
        <v/>
      </c>
      <c r="E1759" s="5" t="s">
        <v>2847</v>
      </c>
      <c r="F1759" s="6" t="e">
        <f aca="false">VLOOKUP(E1759,$K$2:$L$426,2,FALSE())</f>
        <v>#N/A</v>
      </c>
      <c r="G1759" s="1" t="str">
        <f aca="false">IF(ISNA(F1759),"",F1759)</f>
        <v/>
      </c>
      <c r="H1759" s="5" t="str">
        <f aca="false">IF(G1759&lt;&gt;"",G1759,E1759)</f>
        <v>5, 15, KRABBY</v>
      </c>
    </row>
    <row r="1760" customFormat="false" ht="12.75" hidden="false" customHeight="true" outlineLevel="0" collapsed="false">
      <c r="A1760" s="4" t="s">
        <v>2848</v>
      </c>
      <c r="B1760" s="5" t="s">
        <v>2848</v>
      </c>
      <c r="C1760" s="1" t="str">
        <f aca="false">IF(B1760="NEW ROUTE",1,"")</f>
        <v/>
      </c>
      <c r="E1760" s="5" t="s">
        <v>2848</v>
      </c>
      <c r="F1760" s="6" t="e">
        <f aca="false">VLOOKUP(E1760,$K$2:$L$426,2,FALSE())</f>
        <v>#N/A</v>
      </c>
      <c r="G1760" s="1" t="str">
        <f aca="false">IF(ISNA(F1760),"",F1760)</f>
        <v/>
      </c>
      <c r="H1760" s="5" t="str">
        <f aca="false">IF(G1760&lt;&gt;"",G1760,E1760)</f>
        <v>5, 15, MAGIKARP</v>
      </c>
    </row>
    <row r="1761" customFormat="false" ht="12.75" hidden="false" customHeight="true" outlineLevel="0" collapsed="false">
      <c r="A1761" s="4" t="s">
        <v>2847</v>
      </c>
      <c r="B1761" s="5" t="s">
        <v>2847</v>
      </c>
      <c r="C1761" s="1" t="str">
        <f aca="false">IF(B1761="NEW ROUTE",1,"")</f>
        <v/>
      </c>
      <c r="E1761" s="5" t="s">
        <v>2847</v>
      </c>
      <c r="F1761" s="6" t="e">
        <f aca="false">VLOOKUP(E1761,$K$2:$L$426,2,FALSE())</f>
        <v>#N/A</v>
      </c>
      <c r="G1761" s="1" t="str">
        <f aca="false">IF(ISNA(F1761),"",F1761)</f>
        <v/>
      </c>
      <c r="H1761" s="5" t="str">
        <f aca="false">IF(G1761&lt;&gt;"",G1761,E1761)</f>
        <v>5, 15, KRABBY</v>
      </c>
    </row>
    <row r="1762" customFormat="false" ht="12.75" hidden="false" customHeight="true" outlineLevel="0" collapsed="false">
      <c r="A1762" s="4" t="s">
        <v>2850</v>
      </c>
      <c r="B1762" s="5" t="s">
        <v>2850</v>
      </c>
      <c r="C1762" s="1" t="str">
        <f aca="false">IF(B1762="NEW ROUTE",1,"")</f>
        <v/>
      </c>
      <c r="E1762" s="5" t="s">
        <v>2850</v>
      </c>
      <c r="F1762" s="6" t="e">
        <f aca="false">VLOOKUP(E1762,$K$2:$L$426,2,FALSE())</f>
        <v>#N/A</v>
      </c>
      <c r="G1762" s="1" t="str">
        <f aca="false">IF(ISNA(F1762),"",F1762)</f>
        <v/>
      </c>
      <c r="H1762" s="5" t="str">
        <f aca="false">IF(G1762&lt;&gt;"",G1762,E1762)</f>
        <v>super rod:</v>
      </c>
    </row>
    <row r="1763" customFormat="false" ht="12.75" hidden="false" customHeight="true" outlineLevel="0" collapsed="false">
      <c r="A1763" s="4" t="s">
        <v>2851</v>
      </c>
      <c r="B1763" s="5" t="s">
        <v>2851</v>
      </c>
      <c r="C1763" s="1" t="str">
        <f aca="false">IF(B1763="NEW ROUTE",1,"")</f>
        <v/>
      </c>
      <c r="E1763" s="5" t="s">
        <v>2851</v>
      </c>
      <c r="F1763" s="6" t="e">
        <f aca="false">VLOOKUP(E1763,$K$2:$L$426,2,FALSE())</f>
        <v>#N/A</v>
      </c>
      <c r="G1763" s="1" t="str">
        <f aca="false">IF(ISNA(F1763),"",F1763)</f>
        <v/>
      </c>
      <c r="H1763" s="5" t="str">
        <f aca="false">IF(G1763&lt;&gt;"",G1763,E1763)</f>
        <v>15, 25, KRABBY</v>
      </c>
    </row>
    <row r="1764" customFormat="false" ht="12.75" hidden="false" customHeight="true" outlineLevel="0" collapsed="false">
      <c r="A1764" s="4" t="s">
        <v>3258</v>
      </c>
      <c r="B1764" s="5" t="s">
        <v>3258</v>
      </c>
      <c r="C1764" s="1" t="str">
        <f aca="false">IF(B1764="NEW ROUTE",1,"")</f>
        <v/>
      </c>
      <c r="E1764" s="5" t="s">
        <v>3258</v>
      </c>
      <c r="F1764" s="6" t="e">
        <f aca="false">VLOOKUP(E1764,$K$2:$L$426,2,FALSE())</f>
        <v>#N/A</v>
      </c>
      <c r="G1764" s="1" t="str">
        <f aca="false">IF(ISNA(F1764),"",F1764)</f>
        <v/>
      </c>
      <c r="H1764" s="5" t="str">
        <f aca="false">IF(G1764&lt;&gt;"",G1764,E1764)</f>
        <v>15, 25, REMORAID</v>
      </c>
    </row>
    <row r="1765" customFormat="false" ht="12.75" hidden="false" customHeight="true" outlineLevel="0" collapsed="false">
      <c r="A1765" s="4" t="s">
        <v>2853</v>
      </c>
      <c r="B1765" s="5" t="s">
        <v>2853</v>
      </c>
      <c r="C1765" s="1" t="str">
        <f aca="false">IF(B1765="NEW ROUTE",1,"")</f>
        <v/>
      </c>
      <c r="E1765" s="5" t="s">
        <v>2853</v>
      </c>
      <c r="F1765" s="6" t="e">
        <f aca="false">VLOOKUP(E1765,$K$2:$L$426,2,FALSE())</f>
        <v>#N/A</v>
      </c>
      <c r="G1765" s="1" t="str">
        <f aca="false">IF(ISNA(F1765),"",F1765)</f>
        <v/>
      </c>
      <c r="H1765" s="5" t="str">
        <f aca="false">IF(G1765&lt;&gt;"",G1765,E1765)</f>
        <v>15, 25, GYARADOS</v>
      </c>
    </row>
    <row r="1766" customFormat="false" ht="12.75" hidden="false" customHeight="true" outlineLevel="0" collapsed="false">
      <c r="A1766" s="4" t="s">
        <v>3177</v>
      </c>
      <c r="B1766" s="5" t="s">
        <v>3177</v>
      </c>
      <c r="C1766" s="1" t="str">
        <f aca="false">IF(B1766="NEW ROUTE",1,"")</f>
        <v/>
      </c>
      <c r="E1766" s="5" t="s">
        <v>3177</v>
      </c>
      <c r="F1766" s="6" t="e">
        <f aca="false">VLOOKUP(E1766,$K$2:$L$426,2,FALSE())</f>
        <v>#N/A</v>
      </c>
      <c r="G1766" s="1" t="str">
        <f aca="false">IF(ISNA(F1766),"",F1766)</f>
        <v/>
      </c>
      <c r="H1766" s="5" t="str">
        <f aca="false">IF(G1766&lt;&gt;"",G1766,E1766)</f>
        <v>25, 35, KINGLER</v>
      </c>
    </row>
    <row r="1767" customFormat="false" ht="12.75" hidden="false" customHeight="true" outlineLevel="0" collapsed="false">
      <c r="A1767" s="4" t="s">
        <v>2855</v>
      </c>
      <c r="B1767" s="5" t="s">
        <v>2855</v>
      </c>
      <c r="C1767" s="1" t="str">
        <f aca="false">IF(B1767="NEW ROUTE",1,"")</f>
        <v/>
      </c>
      <c r="E1767" s="5" t="s">
        <v>2855</v>
      </c>
      <c r="F1767" s="6" t="e">
        <f aca="false">VLOOKUP(E1767,$K$2:$L$426,2,FALSE())</f>
        <v>#N/A</v>
      </c>
      <c r="G1767" s="1" t="str">
        <f aca="false">IF(ISNA(F1767),"",F1767)</f>
        <v/>
      </c>
      <c r="H1767" s="5" t="str">
        <f aca="false">IF(G1767&lt;&gt;"",G1767,E1767)</f>
        <v>25, 35, SLOWPOKE</v>
      </c>
    </row>
    <row r="1768" customFormat="false" ht="12.75" hidden="false" customHeight="true" outlineLevel="0" collapsed="false">
      <c r="A1768" s="4" t="s">
        <v>2536</v>
      </c>
      <c r="B1768" s="5" t="s">
        <v>2536</v>
      </c>
      <c r="C1768" s="1" t="n">
        <f aca="false">IF(B1768="NEW ROUTE",1,"")</f>
        <v>1</v>
      </c>
      <c r="E1768" s="5" t="s">
        <v>2536</v>
      </c>
      <c r="F1768" s="6" t="e">
        <f aca="false">VLOOKUP(E1768,$K$2:$L$426,2,FALSE())</f>
        <v>#N/A</v>
      </c>
      <c r="G1768" s="1" t="str">
        <f aca="false">IF(ISNA(F1768),"",F1768)</f>
        <v/>
      </c>
      <c r="H1768" s="5" t="str">
        <f aca="false">IF(G1768&lt;&gt;"",G1768,E1768)</f>
        <v>NEW ROUTE</v>
      </c>
    </row>
    <row r="1769" customFormat="false" ht="12.75" hidden="false" customHeight="true" outlineLevel="0" collapsed="false">
      <c r="A1769" s="4" t="s">
        <v>498</v>
      </c>
      <c r="B1769" s="5" t="s">
        <v>498</v>
      </c>
      <c r="C1769" s="1" t="str">
        <f aca="false">IF(B1769="NEW ROUTE",1,"")</f>
        <v/>
      </c>
      <c r="E1769" s="5" t="s">
        <v>498</v>
      </c>
      <c r="F1769" s="6" t="str">
        <f aca="false">VLOOKUP(E1769,$K$2:$L$426,2,FALSE())</f>
        <v>Six Island Water Path</v>
      </c>
      <c r="G1769" s="1" t="str">
        <f aca="false">IF(ISNA(F1769),"",F1769)</f>
        <v>Six Island Water Path</v>
      </c>
      <c r="H1769" s="5" t="str">
        <f aca="false">IF(G1769&lt;&gt;"",G1769,E1769)</f>
        <v>Six Island Water Path</v>
      </c>
    </row>
    <row r="1770" customFormat="false" ht="12.75" hidden="false" customHeight="true" outlineLevel="0" collapsed="false">
      <c r="A1770" s="4" t="s">
        <v>2799</v>
      </c>
      <c r="B1770" s="5" t="n">
        <v>0.2</v>
      </c>
      <c r="C1770" s="1" t="str">
        <f aca="false">IF(B1770="NEW ROUTE",1,"")</f>
        <v/>
      </c>
      <c r="E1770" s="5" t="n">
        <v>0.2</v>
      </c>
      <c r="F1770" s="6" t="e">
        <f aca="false">VLOOKUP(E1770,$K$2:$L$426,2,FALSE())</f>
        <v>#N/A</v>
      </c>
      <c r="G1770" s="1" t="str">
        <f aca="false">IF(ISNA(F1770),"",F1770)</f>
        <v/>
      </c>
      <c r="H1770" s="5" t="n">
        <f aca="false">IF(G1770&lt;&gt;"",G1770,E1770)</f>
        <v>0.2</v>
      </c>
    </row>
    <row r="1771" customFormat="false" ht="12.75" hidden="false" customHeight="true" outlineLevel="0" collapsed="false">
      <c r="A1771" s="4" t="s">
        <v>1736</v>
      </c>
      <c r="B1771" s="5" t="s">
        <v>1736</v>
      </c>
      <c r="C1771" s="1" t="str">
        <f aca="false">IF(B1771="NEW ROUTE",1,"")</f>
        <v/>
      </c>
      <c r="E1771" s="5" t="s">
        <v>1736</v>
      </c>
      <c r="F1771" s="6" t="e">
        <f aca="false">VLOOKUP(E1771,$K$2:$L$426,2,FALSE())</f>
        <v>#N/A</v>
      </c>
      <c r="G1771" s="1" t="str">
        <f aca="false">IF(ISNA(F1771),"",F1771)</f>
        <v/>
      </c>
      <c r="H1771" s="5" t="str">
        <f aca="false">IF(G1771&lt;&gt;"",G1771,E1771)</f>
        <v>44, 44, SPEAROW</v>
      </c>
    </row>
    <row r="1772" customFormat="false" ht="12.75" hidden="false" customHeight="true" outlineLevel="0" collapsed="false">
      <c r="A1772" s="4" t="s">
        <v>3261</v>
      </c>
      <c r="B1772" s="5" t="s">
        <v>3261</v>
      </c>
      <c r="C1772" s="1" t="str">
        <f aca="false">IF(B1772="NEW ROUTE",1,"")</f>
        <v/>
      </c>
      <c r="E1772" s="5" t="s">
        <v>3261</v>
      </c>
      <c r="F1772" s="6" t="e">
        <f aca="false">VLOOKUP(E1772,$K$2:$L$426,2,FALSE())</f>
        <v>#N/A</v>
      </c>
      <c r="G1772" s="1" t="str">
        <f aca="false">IF(ISNA(F1772),"",F1772)</f>
        <v/>
      </c>
      <c r="H1772" s="5" t="str">
        <f aca="false">IF(G1772&lt;&gt;"",G1772,E1772)</f>
        <v>10, 10, SENTRET</v>
      </c>
    </row>
    <row r="1773" customFormat="false" ht="12.75" hidden="false" customHeight="true" outlineLevel="0" collapsed="false">
      <c r="A1773" s="4" t="s">
        <v>2801</v>
      </c>
      <c r="B1773" s="5" t="n">
        <v>0.1</v>
      </c>
      <c r="C1773" s="1" t="str">
        <f aca="false">IF(B1773="NEW ROUTE",1,"")</f>
        <v/>
      </c>
      <c r="E1773" s="5" t="n">
        <v>0.1</v>
      </c>
      <c r="F1773" s="6" t="e">
        <f aca="false">VLOOKUP(E1773,$K$2:$L$426,2,FALSE())</f>
        <v>#N/A</v>
      </c>
      <c r="G1773" s="1" t="str">
        <f aca="false">IF(ISNA(F1773),"",F1773)</f>
        <v/>
      </c>
      <c r="H1773" s="5" t="n">
        <f aca="false">IF(G1773&lt;&gt;"",G1773,E1773)</f>
        <v>0.1</v>
      </c>
    </row>
    <row r="1774" customFormat="false" ht="12.75" hidden="false" customHeight="true" outlineLevel="0" collapsed="false">
      <c r="A1774" s="4" t="s">
        <v>3278</v>
      </c>
      <c r="B1774" s="5" t="s">
        <v>3278</v>
      </c>
      <c r="C1774" s="1" t="str">
        <f aca="false">IF(B1774="NEW ROUTE",1,"")</f>
        <v/>
      </c>
      <c r="E1774" s="5" t="s">
        <v>3278</v>
      </c>
      <c r="F1774" s="6" t="e">
        <f aca="false">VLOOKUP(E1774,$K$2:$L$426,2,FALSE())</f>
        <v>#N/A</v>
      </c>
      <c r="G1774" s="1" t="str">
        <f aca="false">IF(ISNA(F1774),"",F1774)</f>
        <v/>
      </c>
      <c r="H1774" s="5" t="str">
        <f aca="false">IF(G1774&lt;&gt;"",G1774,E1774)</f>
        <v>44, 44, BELLSPROUT</v>
      </c>
    </row>
    <row r="1775" customFormat="false" ht="12.75" hidden="false" customHeight="true" outlineLevel="0" collapsed="false">
      <c r="A1775" s="4" t="s">
        <v>3279</v>
      </c>
      <c r="B1775" s="5" t="s">
        <v>3279</v>
      </c>
      <c r="C1775" s="1" t="str">
        <f aca="false">IF(B1775="NEW ROUTE",1,"")</f>
        <v/>
      </c>
      <c r="E1775" s="5" t="s">
        <v>3279</v>
      </c>
      <c r="F1775" s="6" t="e">
        <f aca="false">VLOOKUP(E1775,$K$2:$L$426,2,FALSE())</f>
        <v>#N/A</v>
      </c>
      <c r="G1775" s="1" t="str">
        <f aca="false">IF(ISNA(F1775),"",F1775)</f>
        <v/>
      </c>
      <c r="H1775" s="5" t="str">
        <f aca="false">IF(G1775&lt;&gt;"",G1775,E1775)</f>
        <v>48, 48, FEAROW</v>
      </c>
    </row>
    <row r="1776" customFormat="false" ht="12.75" hidden="false" customHeight="true" outlineLevel="0" collapsed="false">
      <c r="A1776" s="4" t="s">
        <v>3263</v>
      </c>
      <c r="B1776" s="5" t="s">
        <v>3263</v>
      </c>
      <c r="C1776" s="1" t="str">
        <f aca="false">IF(B1776="NEW ROUTE",1,"")</f>
        <v/>
      </c>
      <c r="E1776" s="5" t="s">
        <v>3263</v>
      </c>
      <c r="F1776" s="6" t="e">
        <f aca="false">VLOOKUP(E1776,$K$2:$L$426,2,FALSE())</f>
        <v>#N/A</v>
      </c>
      <c r="G1776" s="1" t="str">
        <f aca="false">IF(ISNA(F1776),"",F1776)</f>
        <v/>
      </c>
      <c r="H1776" s="5" t="str">
        <f aca="false">IF(G1776&lt;&gt;"",G1776,E1776)</f>
        <v>15, 15, SENTRET</v>
      </c>
    </row>
    <row r="1777" customFormat="false" ht="12.75" hidden="false" customHeight="true" outlineLevel="0" collapsed="false">
      <c r="A1777" s="4" t="s">
        <v>3264</v>
      </c>
      <c r="B1777" s="5" t="s">
        <v>3264</v>
      </c>
      <c r="C1777" s="1" t="str">
        <f aca="false">IF(B1777="NEW ROUTE",1,"")</f>
        <v/>
      </c>
      <c r="E1777" s="5" t="s">
        <v>3264</v>
      </c>
      <c r="F1777" s="6" t="e">
        <f aca="false">VLOOKUP(E1777,$K$2:$L$426,2,FALSE())</f>
        <v>#N/A</v>
      </c>
      <c r="G1777" s="1" t="str">
        <f aca="false">IF(ISNA(F1777),"",F1777)</f>
        <v/>
      </c>
      <c r="H1777" s="5" t="str">
        <f aca="false">IF(G1777&lt;&gt;"",G1777,E1777)</f>
        <v>41, 41, MEOWTH</v>
      </c>
    </row>
    <row r="1778" customFormat="false" ht="12.75" hidden="false" customHeight="true" outlineLevel="0" collapsed="false">
      <c r="A1778" s="4" t="s">
        <v>2806</v>
      </c>
      <c r="B1778" s="5" t="n">
        <v>0.05</v>
      </c>
      <c r="C1778" s="1" t="str">
        <f aca="false">IF(B1778="NEW ROUTE",1,"")</f>
        <v/>
      </c>
      <c r="E1778" s="5" t="n">
        <v>0.05</v>
      </c>
      <c r="F1778" s="6" t="e">
        <f aca="false">VLOOKUP(E1778,$K$2:$L$426,2,FALSE())</f>
        <v>#N/A</v>
      </c>
      <c r="G1778" s="1" t="str">
        <f aca="false">IF(ISNA(F1778),"",F1778)</f>
        <v/>
      </c>
      <c r="H1778" s="5" t="n">
        <f aca="false">IF(G1778&lt;&gt;"",G1778,E1778)</f>
        <v>0.05</v>
      </c>
    </row>
    <row r="1779" customFormat="false" ht="12.75" hidden="false" customHeight="true" outlineLevel="0" collapsed="false">
      <c r="A1779" s="4" t="s">
        <v>3280</v>
      </c>
      <c r="B1779" s="5" t="s">
        <v>3280</v>
      </c>
      <c r="C1779" s="1" t="str">
        <f aca="false">IF(B1779="NEW ROUTE",1,"")</f>
        <v/>
      </c>
      <c r="E1779" s="5" t="s">
        <v>3280</v>
      </c>
      <c r="F1779" s="6" t="e">
        <f aca="false">VLOOKUP(E1779,$K$2:$L$426,2,FALSE())</f>
        <v>#N/A</v>
      </c>
      <c r="G1779" s="1" t="str">
        <f aca="false">IF(ISNA(F1779),"",F1779)</f>
        <v/>
      </c>
      <c r="H1779" s="5" t="str">
        <f aca="false">IF(G1779&lt;&gt;"",G1779,E1779)</f>
        <v>48, 48, WEEPINBELL</v>
      </c>
    </row>
    <row r="1780" customFormat="false" ht="12.75" hidden="false" customHeight="true" outlineLevel="0" collapsed="false">
      <c r="A1780" s="4" t="s">
        <v>3154</v>
      </c>
      <c r="B1780" s="5" t="s">
        <v>3154</v>
      </c>
      <c r="C1780" s="1" t="str">
        <f aca="false">IF(B1780="NEW ROUTE",1,"")</f>
        <v/>
      </c>
      <c r="E1780" s="5" t="s">
        <v>3154</v>
      </c>
      <c r="F1780" s="6" t="e">
        <f aca="false">VLOOKUP(E1780,$K$2:$L$426,2,FALSE())</f>
        <v>#N/A</v>
      </c>
      <c r="G1780" s="1" t="str">
        <f aca="false">IF(ISNA(F1780),"",F1780)</f>
        <v/>
      </c>
      <c r="H1780" s="5" t="str">
        <f aca="false">IF(G1780&lt;&gt;"",G1780,E1780)</f>
        <v>41, 41, SLOWPOKE</v>
      </c>
    </row>
    <row r="1781" customFormat="false" ht="12.75" hidden="false" customHeight="true" outlineLevel="0" collapsed="false">
      <c r="A1781" s="4" t="s">
        <v>2809</v>
      </c>
      <c r="B1781" s="5" t="n">
        <v>0.04</v>
      </c>
      <c r="C1781" s="1" t="str">
        <f aca="false">IF(B1781="NEW ROUTE",1,"")</f>
        <v/>
      </c>
      <c r="E1781" s="5" t="n">
        <v>0.04</v>
      </c>
      <c r="F1781" s="6" t="e">
        <f aca="false">VLOOKUP(E1781,$K$2:$L$426,2,FALSE())</f>
        <v>#N/A</v>
      </c>
      <c r="G1781" s="1" t="str">
        <f aca="false">IF(ISNA(F1781),"",F1781)</f>
        <v/>
      </c>
      <c r="H1781" s="5" t="n">
        <f aca="false">IF(G1781&lt;&gt;"",G1781,E1781)</f>
        <v>0.04</v>
      </c>
    </row>
    <row r="1782" customFormat="false" ht="12.75" hidden="false" customHeight="true" outlineLevel="0" collapsed="false">
      <c r="A1782" s="4" t="s">
        <v>3281</v>
      </c>
      <c r="B1782" s="5" t="s">
        <v>3281</v>
      </c>
      <c r="C1782" s="1" t="str">
        <f aca="false">IF(B1782="NEW ROUTE",1,"")</f>
        <v/>
      </c>
      <c r="E1782" s="5" t="s">
        <v>3281</v>
      </c>
      <c r="F1782" s="6" t="e">
        <f aca="false">VLOOKUP(E1782,$K$2:$L$426,2,FALSE())</f>
        <v>#N/A</v>
      </c>
      <c r="G1782" s="1" t="str">
        <f aca="false">IF(ISNA(F1782),"",F1782)</f>
        <v/>
      </c>
      <c r="H1782" s="5" t="str">
        <f aca="false">IF(G1782&lt;&gt;"",G1782,E1782)</f>
        <v>50, 50, FEAROW</v>
      </c>
    </row>
    <row r="1783" customFormat="false" ht="12.75" hidden="false" customHeight="true" outlineLevel="0" collapsed="false">
      <c r="A1783" s="4" t="s">
        <v>3267</v>
      </c>
      <c r="B1783" s="5" t="s">
        <v>3267</v>
      </c>
      <c r="C1783" s="1" t="str">
        <f aca="false">IF(B1783="NEW ROUTE",1,"")</f>
        <v/>
      </c>
      <c r="E1783" s="5" t="s">
        <v>3267</v>
      </c>
      <c r="F1783" s="6" t="e">
        <f aca="false">VLOOKUP(E1783,$K$2:$L$426,2,FALSE())</f>
        <v>#N/A</v>
      </c>
      <c r="G1783" s="1" t="str">
        <f aca="false">IF(ISNA(F1783),"",F1783)</f>
        <v/>
      </c>
      <c r="H1783" s="5" t="str">
        <f aca="false">IF(G1783&lt;&gt;"",G1783,E1783)</f>
        <v>47, 47, PERSIAN</v>
      </c>
    </row>
    <row r="1784" customFormat="false" ht="12.75" hidden="false" customHeight="true" outlineLevel="0" collapsed="false">
      <c r="A1784" s="4" t="s">
        <v>2812</v>
      </c>
      <c r="B1784" s="5" t="n">
        <v>0.01</v>
      </c>
      <c r="C1784" s="1" t="str">
        <f aca="false">IF(B1784="NEW ROUTE",1,"")</f>
        <v/>
      </c>
      <c r="E1784" s="5" t="n">
        <v>0.01</v>
      </c>
      <c r="F1784" s="6" t="e">
        <f aca="false">VLOOKUP(E1784,$K$2:$L$426,2,FALSE())</f>
        <v>#N/A</v>
      </c>
      <c r="G1784" s="1" t="str">
        <f aca="false">IF(ISNA(F1784),"",F1784)</f>
        <v/>
      </c>
      <c r="H1784" s="5" t="n">
        <f aca="false">IF(G1784&lt;&gt;"",G1784,E1784)</f>
        <v>0.01</v>
      </c>
    </row>
    <row r="1785" customFormat="false" ht="12.75" hidden="false" customHeight="true" outlineLevel="0" collapsed="false">
      <c r="A1785" s="4" t="s">
        <v>3281</v>
      </c>
      <c r="B1785" s="5" t="s">
        <v>3281</v>
      </c>
      <c r="C1785" s="1" t="str">
        <f aca="false">IF(B1785="NEW ROUTE",1,"")</f>
        <v/>
      </c>
      <c r="E1785" s="5" t="s">
        <v>3281</v>
      </c>
      <c r="F1785" s="6" t="e">
        <f aca="false">VLOOKUP(E1785,$K$2:$L$426,2,FALSE())</f>
        <v>#N/A</v>
      </c>
      <c r="G1785" s="1" t="str">
        <f aca="false">IF(ISNA(F1785),"",F1785)</f>
        <v/>
      </c>
      <c r="H1785" s="5" t="str">
        <f aca="false">IF(G1785&lt;&gt;"",G1785,E1785)</f>
        <v>50, 50, FEAROW</v>
      </c>
    </row>
    <row r="1786" customFormat="false" ht="12.75" hidden="false" customHeight="true" outlineLevel="0" collapsed="false">
      <c r="A1786" s="4" t="s">
        <v>3268</v>
      </c>
      <c r="B1786" s="5" t="s">
        <v>3268</v>
      </c>
      <c r="C1786" s="1" t="str">
        <f aca="false">IF(B1786="NEW ROUTE",1,"")</f>
        <v/>
      </c>
      <c r="E1786" s="5" t="s">
        <v>3268</v>
      </c>
      <c r="F1786" s="6" t="e">
        <f aca="false">VLOOKUP(E1786,$K$2:$L$426,2,FALSE())</f>
        <v>#N/A</v>
      </c>
      <c r="G1786" s="1" t="str">
        <f aca="false">IF(ISNA(F1786),"",F1786)</f>
        <v/>
      </c>
      <c r="H1786" s="5" t="str">
        <f aca="false">IF(G1786&lt;&gt;"",G1786,E1786)</f>
        <v>50, 50, PERSIAN</v>
      </c>
    </row>
    <row r="1787" customFormat="false" ht="12.75" hidden="false" customHeight="true" outlineLevel="0" collapsed="false">
      <c r="A1787" s="4" t="s">
        <v>3172</v>
      </c>
      <c r="B1787" s="5" t="s">
        <v>3172</v>
      </c>
      <c r="C1787" s="1" t="str">
        <f aca="false">IF(B1787="NEW ROUTE",1,"")</f>
        <v/>
      </c>
      <c r="E1787" s="5" t="s">
        <v>3172</v>
      </c>
      <c r="F1787" s="6" t="e">
        <f aca="false">VLOOKUP(E1787,$K$2:$L$426,2,FALSE())</f>
        <v>#N/A</v>
      </c>
      <c r="G1787" s="1" t="str">
        <f aca="false">IF(ISNA(F1787),"",F1787)</f>
        <v/>
      </c>
      <c r="H1787" s="5" t="str">
        <f aca="false">IF(G1787&lt;&gt;"",G1787,E1787)</f>
        <v>2, 5, 20, TENTACOOL</v>
      </c>
    </row>
    <row r="1788" customFormat="false" ht="12.75" hidden="false" customHeight="true" outlineLevel="0" collapsed="false">
      <c r="A1788" s="4" t="s">
        <v>3173</v>
      </c>
      <c r="B1788" s="5" t="s">
        <v>3173</v>
      </c>
      <c r="C1788" s="1" t="str">
        <f aca="false">IF(B1788="NEW ROUTE",1,"")</f>
        <v/>
      </c>
      <c r="E1788" s="5" t="s">
        <v>3173</v>
      </c>
      <c r="F1788" s="6" t="e">
        <f aca="false">VLOOKUP(E1788,$K$2:$L$426,2,FALSE())</f>
        <v>#N/A</v>
      </c>
      <c r="G1788" s="1" t="str">
        <f aca="false">IF(ISNA(F1788),"",F1788)</f>
        <v/>
      </c>
      <c r="H1788" s="5" t="str">
        <f aca="false">IF(G1788&lt;&gt;"",G1788,E1788)</f>
        <v>20, 35, TENTACOOL</v>
      </c>
    </row>
    <row r="1789" customFormat="false" ht="12.75" hidden="false" customHeight="true" outlineLevel="0" collapsed="false">
      <c r="A1789" s="4" t="s">
        <v>2844</v>
      </c>
      <c r="B1789" s="5" t="s">
        <v>2844</v>
      </c>
      <c r="C1789" s="1" t="str">
        <f aca="false">IF(B1789="NEW ROUTE",1,"")</f>
        <v/>
      </c>
      <c r="E1789" s="5" t="s">
        <v>2844</v>
      </c>
      <c r="F1789" s="6" t="e">
        <f aca="false">VLOOKUP(E1789,$K$2:$L$426,2,FALSE())</f>
        <v>#N/A</v>
      </c>
      <c r="G1789" s="1" t="str">
        <f aca="false">IF(ISNA(F1789),"",F1789)</f>
        <v/>
      </c>
      <c r="H1789" s="5" t="str">
        <f aca="false">IF(G1789&lt;&gt;"",G1789,E1789)</f>
        <v>35, 40, TENTACOOL</v>
      </c>
    </row>
    <row r="1790" customFormat="false" ht="12.75" hidden="false" customHeight="true" outlineLevel="0" collapsed="false">
      <c r="A1790" s="4" t="s">
        <v>3231</v>
      </c>
      <c r="B1790" s="5" t="s">
        <v>3231</v>
      </c>
      <c r="C1790" s="1" t="str">
        <f aca="false">IF(B1790="NEW ROUTE",1,"")</f>
        <v/>
      </c>
      <c r="E1790" s="5" t="s">
        <v>3231</v>
      </c>
      <c r="F1790" s="6" t="e">
        <f aca="false">VLOOKUP(E1790,$K$2:$L$426,2,FALSE())</f>
        <v>#N/A</v>
      </c>
      <c r="G1790" s="1" t="str">
        <f aca="false">IF(ISNA(F1790),"",F1790)</f>
        <v/>
      </c>
      <c r="H1790" s="5" t="str">
        <f aca="false">IF(G1790&lt;&gt;"",G1790,E1790)</f>
        <v>35, 40, TENTACRUEL</v>
      </c>
    </row>
    <row r="1791" customFormat="false" ht="12.75" hidden="false" customHeight="true" outlineLevel="0" collapsed="false">
      <c r="A1791" s="4" t="s">
        <v>3231</v>
      </c>
      <c r="B1791" s="5" t="s">
        <v>3231</v>
      </c>
      <c r="C1791" s="1" t="str">
        <f aca="false">IF(B1791="NEW ROUTE",1,"")</f>
        <v/>
      </c>
      <c r="E1791" s="5" t="s">
        <v>3231</v>
      </c>
      <c r="F1791" s="6" t="e">
        <f aca="false">VLOOKUP(E1791,$K$2:$L$426,2,FALSE())</f>
        <v>#N/A</v>
      </c>
      <c r="G1791" s="1" t="str">
        <f aca="false">IF(ISNA(F1791),"",F1791)</f>
        <v/>
      </c>
      <c r="H1791" s="5" t="str">
        <f aca="false">IF(G1791&lt;&gt;"",G1791,E1791)</f>
        <v>35, 40, TENTACRUEL</v>
      </c>
    </row>
    <row r="1792" customFormat="false" ht="12.75" hidden="false" customHeight="true" outlineLevel="0" collapsed="false">
      <c r="A1792" s="4" t="s">
        <v>2925</v>
      </c>
      <c r="B1792" s="5" t="s">
        <v>2925</v>
      </c>
      <c r="C1792" s="1" t="str">
        <f aca="false">IF(B1792="NEW ROUTE",1,"")</f>
        <v/>
      </c>
      <c r="E1792" s="5" t="s">
        <v>2925</v>
      </c>
      <c r="F1792" s="6" t="e">
        <f aca="false">VLOOKUP(E1792,$K$2:$L$426,2,FALSE())</f>
        <v>#N/A</v>
      </c>
      <c r="G1792" s="1" t="str">
        <f aca="false">IF(ISNA(F1792),"",F1792)</f>
        <v/>
      </c>
      <c r="H1792" s="5" t="str">
        <f aca="false">IF(G1792&lt;&gt;"",G1792,E1792)</f>
        <v>20, old rod:</v>
      </c>
    </row>
    <row r="1793" customFormat="false" ht="12.75" hidden="false" customHeight="true" outlineLevel="0" collapsed="false">
      <c r="A1793" s="4" t="s">
        <v>1266</v>
      </c>
      <c r="B1793" s="5" t="s">
        <v>1266</v>
      </c>
      <c r="C1793" s="1" t="str">
        <f aca="false">IF(B1793="NEW ROUTE",1,"")</f>
        <v/>
      </c>
      <c r="E1793" s="5" t="s">
        <v>1266</v>
      </c>
      <c r="F1793" s="6" t="e">
        <f aca="false">VLOOKUP(E1793,$K$2:$L$426,2,FALSE())</f>
        <v>#N/A</v>
      </c>
      <c r="G1793" s="1" t="str">
        <f aca="false">IF(ISNA(F1793),"",F1793)</f>
        <v/>
      </c>
      <c r="H1793" s="5" t="str">
        <f aca="false">IF(G1793&lt;&gt;"",G1793,E1793)</f>
        <v>5, 5, MAGIKARP</v>
      </c>
    </row>
    <row r="1794" customFormat="false" ht="12.75" hidden="false" customHeight="true" outlineLevel="0" collapsed="false">
      <c r="A1794" s="4" t="s">
        <v>1266</v>
      </c>
      <c r="B1794" s="5" t="s">
        <v>1266</v>
      </c>
      <c r="C1794" s="1" t="str">
        <f aca="false">IF(B1794="NEW ROUTE",1,"")</f>
        <v/>
      </c>
      <c r="E1794" s="5" t="s">
        <v>1266</v>
      </c>
      <c r="F1794" s="6" t="e">
        <f aca="false">VLOOKUP(E1794,$K$2:$L$426,2,FALSE())</f>
        <v>#N/A</v>
      </c>
      <c r="G1794" s="1" t="str">
        <f aca="false">IF(ISNA(F1794),"",F1794)</f>
        <v/>
      </c>
      <c r="H1794" s="5" t="str">
        <f aca="false">IF(G1794&lt;&gt;"",G1794,E1794)</f>
        <v>5, 5, MAGIKARP</v>
      </c>
    </row>
    <row r="1795" customFormat="false" ht="12.75" hidden="false" customHeight="true" outlineLevel="0" collapsed="false">
      <c r="A1795" s="4" t="s">
        <v>2846</v>
      </c>
      <c r="B1795" s="5" t="s">
        <v>2846</v>
      </c>
      <c r="C1795" s="1" t="str">
        <f aca="false">IF(B1795="NEW ROUTE",1,"")</f>
        <v/>
      </c>
      <c r="E1795" s="5" t="s">
        <v>2846</v>
      </c>
      <c r="F1795" s="6" t="e">
        <f aca="false">VLOOKUP(E1795,$K$2:$L$426,2,FALSE())</f>
        <v>#N/A</v>
      </c>
      <c r="G1795" s="1" t="str">
        <f aca="false">IF(ISNA(F1795),"",F1795)</f>
        <v/>
      </c>
      <c r="H1795" s="5" t="str">
        <f aca="false">IF(G1795&lt;&gt;"",G1795,E1795)</f>
        <v>good rod:</v>
      </c>
    </row>
    <row r="1796" customFormat="false" ht="12.75" hidden="false" customHeight="true" outlineLevel="0" collapsed="false">
      <c r="A1796" s="4" t="s">
        <v>2847</v>
      </c>
      <c r="B1796" s="5" t="s">
        <v>2847</v>
      </c>
      <c r="C1796" s="1" t="str">
        <f aca="false">IF(B1796="NEW ROUTE",1,"")</f>
        <v/>
      </c>
      <c r="E1796" s="5" t="s">
        <v>2847</v>
      </c>
      <c r="F1796" s="6" t="e">
        <f aca="false">VLOOKUP(E1796,$K$2:$L$426,2,FALSE())</f>
        <v>#N/A</v>
      </c>
      <c r="G1796" s="1" t="str">
        <f aca="false">IF(ISNA(F1796),"",F1796)</f>
        <v/>
      </c>
      <c r="H1796" s="5" t="str">
        <f aca="false">IF(G1796&lt;&gt;"",G1796,E1796)</f>
        <v>5, 15, KRABBY</v>
      </c>
    </row>
    <row r="1797" customFormat="false" ht="12.75" hidden="false" customHeight="true" outlineLevel="0" collapsed="false">
      <c r="A1797" s="4" t="s">
        <v>2848</v>
      </c>
      <c r="B1797" s="5" t="s">
        <v>2848</v>
      </c>
      <c r="C1797" s="1" t="str">
        <f aca="false">IF(B1797="NEW ROUTE",1,"")</f>
        <v/>
      </c>
      <c r="E1797" s="5" t="s">
        <v>2848</v>
      </c>
      <c r="F1797" s="6" t="e">
        <f aca="false">VLOOKUP(E1797,$K$2:$L$426,2,FALSE())</f>
        <v>#N/A</v>
      </c>
      <c r="G1797" s="1" t="str">
        <f aca="false">IF(ISNA(F1797),"",F1797)</f>
        <v/>
      </c>
      <c r="H1797" s="5" t="str">
        <f aca="false">IF(G1797&lt;&gt;"",G1797,E1797)</f>
        <v>5, 15, MAGIKARP</v>
      </c>
    </row>
    <row r="1798" customFormat="false" ht="12.75" hidden="false" customHeight="true" outlineLevel="0" collapsed="false">
      <c r="A1798" s="4" t="s">
        <v>2847</v>
      </c>
      <c r="B1798" s="5" t="s">
        <v>2847</v>
      </c>
      <c r="C1798" s="1" t="str">
        <f aca="false">IF(B1798="NEW ROUTE",1,"")</f>
        <v/>
      </c>
      <c r="E1798" s="5" t="s">
        <v>2847</v>
      </c>
      <c r="F1798" s="6" t="e">
        <f aca="false">VLOOKUP(E1798,$K$2:$L$426,2,FALSE())</f>
        <v>#N/A</v>
      </c>
      <c r="G1798" s="1" t="str">
        <f aca="false">IF(ISNA(F1798),"",F1798)</f>
        <v/>
      </c>
      <c r="H1798" s="5" t="str">
        <f aca="false">IF(G1798&lt;&gt;"",G1798,E1798)</f>
        <v>5, 15, KRABBY</v>
      </c>
    </row>
    <row r="1799" customFormat="false" ht="12.75" hidden="false" customHeight="true" outlineLevel="0" collapsed="false">
      <c r="A1799" s="4" t="s">
        <v>2850</v>
      </c>
      <c r="B1799" s="5" t="s">
        <v>2850</v>
      </c>
      <c r="C1799" s="1" t="str">
        <f aca="false">IF(B1799="NEW ROUTE",1,"")</f>
        <v/>
      </c>
      <c r="E1799" s="5" t="s">
        <v>2850</v>
      </c>
      <c r="F1799" s="6" t="e">
        <f aca="false">VLOOKUP(E1799,$K$2:$L$426,2,FALSE())</f>
        <v>#N/A</v>
      </c>
      <c r="G1799" s="1" t="str">
        <f aca="false">IF(ISNA(F1799),"",F1799)</f>
        <v/>
      </c>
      <c r="H1799" s="5" t="str">
        <f aca="false">IF(G1799&lt;&gt;"",G1799,E1799)</f>
        <v>super rod:</v>
      </c>
    </row>
    <row r="1800" customFormat="false" ht="12.75" hidden="false" customHeight="true" outlineLevel="0" collapsed="false">
      <c r="A1800" s="4" t="s">
        <v>2851</v>
      </c>
      <c r="B1800" s="5" t="s">
        <v>2851</v>
      </c>
      <c r="C1800" s="1" t="str">
        <f aca="false">IF(B1800="NEW ROUTE",1,"")</f>
        <v/>
      </c>
      <c r="E1800" s="5" t="s">
        <v>2851</v>
      </c>
      <c r="F1800" s="6" t="e">
        <f aca="false">VLOOKUP(E1800,$K$2:$L$426,2,FALSE())</f>
        <v>#N/A</v>
      </c>
      <c r="G1800" s="1" t="str">
        <f aca="false">IF(ISNA(F1800),"",F1800)</f>
        <v/>
      </c>
      <c r="H1800" s="5" t="str">
        <f aca="false">IF(G1800&lt;&gt;"",G1800,E1800)</f>
        <v>15, 25, KRABBY</v>
      </c>
    </row>
    <row r="1801" customFormat="false" ht="12.75" hidden="false" customHeight="true" outlineLevel="0" collapsed="false">
      <c r="A1801" s="4" t="s">
        <v>3258</v>
      </c>
      <c r="B1801" s="5" t="s">
        <v>3258</v>
      </c>
      <c r="C1801" s="1" t="str">
        <f aca="false">IF(B1801="NEW ROUTE",1,"")</f>
        <v/>
      </c>
      <c r="E1801" s="5" t="s">
        <v>3258</v>
      </c>
      <c r="F1801" s="6" t="e">
        <f aca="false">VLOOKUP(E1801,$K$2:$L$426,2,FALSE())</f>
        <v>#N/A</v>
      </c>
      <c r="G1801" s="1" t="str">
        <f aca="false">IF(ISNA(F1801),"",F1801)</f>
        <v/>
      </c>
      <c r="H1801" s="5" t="str">
        <f aca="false">IF(G1801&lt;&gt;"",G1801,E1801)</f>
        <v>15, 25, REMORAID</v>
      </c>
    </row>
    <row r="1802" customFormat="false" ht="12.75" hidden="false" customHeight="true" outlineLevel="0" collapsed="false">
      <c r="A1802" s="4" t="s">
        <v>2853</v>
      </c>
      <c r="B1802" s="5" t="s">
        <v>2853</v>
      </c>
      <c r="C1802" s="1" t="str">
        <f aca="false">IF(B1802="NEW ROUTE",1,"")</f>
        <v/>
      </c>
      <c r="E1802" s="5" t="s">
        <v>2853</v>
      </c>
      <c r="F1802" s="6" t="e">
        <f aca="false">VLOOKUP(E1802,$K$2:$L$426,2,FALSE())</f>
        <v>#N/A</v>
      </c>
      <c r="G1802" s="1" t="str">
        <f aca="false">IF(ISNA(F1802),"",F1802)</f>
        <v/>
      </c>
      <c r="H1802" s="5" t="str">
        <f aca="false">IF(G1802&lt;&gt;"",G1802,E1802)</f>
        <v>15, 25, GYARADOS</v>
      </c>
    </row>
    <row r="1803" customFormat="false" ht="12.75" hidden="false" customHeight="true" outlineLevel="0" collapsed="false">
      <c r="A1803" s="4" t="s">
        <v>3177</v>
      </c>
      <c r="B1803" s="5" t="s">
        <v>3177</v>
      </c>
      <c r="C1803" s="1" t="str">
        <f aca="false">IF(B1803="NEW ROUTE",1,"")</f>
        <v/>
      </c>
      <c r="E1803" s="5" t="s">
        <v>3177</v>
      </c>
      <c r="F1803" s="6" t="e">
        <f aca="false">VLOOKUP(E1803,$K$2:$L$426,2,FALSE())</f>
        <v>#N/A</v>
      </c>
      <c r="G1803" s="1" t="str">
        <f aca="false">IF(ISNA(F1803),"",F1803)</f>
        <v/>
      </c>
      <c r="H1803" s="5" t="str">
        <f aca="false">IF(G1803&lt;&gt;"",G1803,E1803)</f>
        <v>25, 35, KINGLER</v>
      </c>
    </row>
    <row r="1804" customFormat="false" ht="12.75" hidden="false" customHeight="true" outlineLevel="0" collapsed="false">
      <c r="A1804" s="4" t="s">
        <v>2855</v>
      </c>
      <c r="B1804" s="5" t="s">
        <v>2855</v>
      </c>
      <c r="C1804" s="1" t="str">
        <f aca="false">IF(B1804="NEW ROUTE",1,"")</f>
        <v/>
      </c>
      <c r="E1804" s="5" t="s">
        <v>2855</v>
      </c>
      <c r="F1804" s="6" t="e">
        <f aca="false">VLOOKUP(E1804,$K$2:$L$426,2,FALSE())</f>
        <v>#N/A</v>
      </c>
      <c r="G1804" s="1" t="str">
        <f aca="false">IF(ISNA(F1804),"",F1804)</f>
        <v/>
      </c>
      <c r="H1804" s="5" t="str">
        <f aca="false">IF(G1804&lt;&gt;"",G1804,E1804)</f>
        <v>25, 35, SLOWPOKE</v>
      </c>
    </row>
    <row r="1805" customFormat="false" ht="12.75" hidden="false" customHeight="true" outlineLevel="0" collapsed="false">
      <c r="A1805" s="4" t="s">
        <v>2536</v>
      </c>
      <c r="B1805" s="5" t="s">
        <v>2536</v>
      </c>
      <c r="C1805" s="1" t="n">
        <f aca="false">IF(B1805="NEW ROUTE",1,"")</f>
        <v>1</v>
      </c>
      <c r="E1805" s="5" t="s">
        <v>2536</v>
      </c>
      <c r="F1805" s="6" t="e">
        <f aca="false">VLOOKUP(E1805,$K$2:$L$426,2,FALSE())</f>
        <v>#N/A</v>
      </c>
      <c r="G1805" s="1" t="str">
        <f aca="false">IF(ISNA(F1805),"",F1805)</f>
        <v/>
      </c>
      <c r="H1805" s="5" t="str">
        <f aca="false">IF(G1805&lt;&gt;"",G1805,E1805)</f>
        <v>NEW ROUTE</v>
      </c>
    </row>
    <row r="1806" customFormat="false" ht="12.75" hidden="false" customHeight="true" outlineLevel="0" collapsed="false">
      <c r="A1806" s="4" t="s">
        <v>500</v>
      </c>
      <c r="B1806" s="5" t="s">
        <v>500</v>
      </c>
      <c r="C1806" s="1" t="str">
        <f aca="false">IF(B1806="NEW ROUTE",1,"")</f>
        <v/>
      </c>
      <c r="E1806" s="5" t="s">
        <v>500</v>
      </c>
      <c r="F1806" s="6" t="str">
        <f aca="false">VLOOKUP(E1806,$K$2:$L$426,2,FALSE())</f>
        <v>Six Island Ruin Valley</v>
      </c>
      <c r="G1806" s="1" t="str">
        <f aca="false">IF(ISNA(F1806),"",F1806)</f>
        <v>Six Island Ruin Valley</v>
      </c>
      <c r="H1806" s="5" t="str">
        <f aca="false">IF(G1806&lt;&gt;"",G1806,E1806)</f>
        <v>Six Island Ruin Valley</v>
      </c>
    </row>
    <row r="1807" customFormat="false" ht="12.75" hidden="false" customHeight="true" outlineLevel="0" collapsed="false">
      <c r="A1807" s="4" t="s">
        <v>2799</v>
      </c>
      <c r="B1807" s="5" t="n">
        <v>0.2</v>
      </c>
      <c r="C1807" s="1" t="str">
        <f aca="false">IF(B1807="NEW ROUTE",1,"")</f>
        <v/>
      </c>
      <c r="E1807" s="5" t="n">
        <v>0.2</v>
      </c>
      <c r="F1807" s="6" t="e">
        <f aca="false">VLOOKUP(E1807,$K$2:$L$426,2,FALSE())</f>
        <v>#N/A</v>
      </c>
      <c r="G1807" s="1" t="str">
        <f aca="false">IF(ISNA(F1807),"",F1807)</f>
        <v/>
      </c>
      <c r="H1807" s="5" t="n">
        <f aca="false">IF(G1807&lt;&gt;"",G1807,E1807)</f>
        <v>0.2</v>
      </c>
    </row>
    <row r="1808" customFormat="false" ht="12.75" hidden="false" customHeight="true" outlineLevel="0" collapsed="false">
      <c r="A1808" s="4" t="s">
        <v>1743</v>
      </c>
      <c r="B1808" s="5" t="s">
        <v>1743</v>
      </c>
      <c r="C1808" s="1" t="str">
        <f aca="false">IF(B1808="NEW ROUTE",1,"")</f>
        <v/>
      </c>
      <c r="E1808" s="5" t="s">
        <v>1743</v>
      </c>
      <c r="F1808" s="6" t="e">
        <f aca="false">VLOOKUP(E1808,$K$2:$L$426,2,FALSE())</f>
        <v>#N/A</v>
      </c>
      <c r="G1808" s="1" t="str">
        <f aca="false">IF(ISNA(F1808),"",F1808)</f>
        <v/>
      </c>
      <c r="H1808" s="5" t="str">
        <f aca="false">IF(G1808&lt;&gt;"",G1808,E1808)</f>
        <v>15, 15, NATU</v>
      </c>
    </row>
    <row r="1809" customFormat="false" ht="12.75" hidden="false" customHeight="true" outlineLevel="0" collapsed="false">
      <c r="A1809" s="4" t="s">
        <v>1736</v>
      </c>
      <c r="B1809" s="5" t="s">
        <v>1736</v>
      </c>
      <c r="C1809" s="1" t="str">
        <f aca="false">IF(B1809="NEW ROUTE",1,"")</f>
        <v/>
      </c>
      <c r="E1809" s="5" t="s">
        <v>1736</v>
      </c>
      <c r="F1809" s="6" t="e">
        <f aca="false">VLOOKUP(E1809,$K$2:$L$426,2,FALSE())</f>
        <v>#N/A</v>
      </c>
      <c r="G1809" s="1" t="str">
        <f aca="false">IF(ISNA(F1809),"",F1809)</f>
        <v/>
      </c>
      <c r="H1809" s="5" t="str">
        <f aca="false">IF(G1809&lt;&gt;"",G1809,E1809)</f>
        <v>44, 44, SPEAROW</v>
      </c>
    </row>
    <row r="1810" customFormat="false" ht="12.75" hidden="false" customHeight="true" outlineLevel="0" collapsed="false">
      <c r="A1810" s="4" t="s">
        <v>2801</v>
      </c>
      <c r="B1810" s="5" t="n">
        <v>0.1</v>
      </c>
      <c r="C1810" s="1" t="str">
        <f aca="false">IF(B1810="NEW ROUTE",1,"")</f>
        <v/>
      </c>
      <c r="E1810" s="5" t="n">
        <v>0.1</v>
      </c>
      <c r="F1810" s="6" t="e">
        <f aca="false">VLOOKUP(E1810,$K$2:$L$426,2,FALSE())</f>
        <v>#N/A</v>
      </c>
      <c r="G1810" s="1" t="str">
        <f aca="false">IF(ISNA(F1810),"",F1810)</f>
        <v/>
      </c>
      <c r="H1810" s="5" t="n">
        <f aca="false">IF(G1810&lt;&gt;"",G1810,E1810)</f>
        <v>0.1</v>
      </c>
    </row>
    <row r="1811" customFormat="false" ht="12.75" hidden="false" customHeight="true" outlineLevel="0" collapsed="false">
      <c r="A1811" s="4" t="s">
        <v>3283</v>
      </c>
      <c r="B1811" s="5" t="s">
        <v>3283</v>
      </c>
      <c r="C1811" s="1" t="str">
        <f aca="false">IF(B1811="NEW ROUTE",1,"")</f>
        <v/>
      </c>
      <c r="E1811" s="5" t="s">
        <v>3283</v>
      </c>
      <c r="F1811" s="6" t="e">
        <f aca="false">VLOOKUP(E1811,$K$2:$L$426,2,FALSE())</f>
        <v>#N/A</v>
      </c>
      <c r="G1811" s="1" t="str">
        <f aca="false">IF(ISNA(F1811),"",F1811)</f>
        <v/>
      </c>
      <c r="H1811" s="5" t="str">
        <f aca="false">IF(G1811&lt;&gt;"",G1811,E1811)</f>
        <v>18, 18, YANMA</v>
      </c>
    </row>
    <row r="1812" customFormat="false" ht="12.75" hidden="false" customHeight="true" outlineLevel="0" collapsed="false">
      <c r="A1812" s="4" t="s">
        <v>3284</v>
      </c>
      <c r="B1812" s="5" t="s">
        <v>3284</v>
      </c>
      <c r="C1812" s="1" t="str">
        <f aca="false">IF(B1812="NEW ROUTE",1,"")</f>
        <v/>
      </c>
      <c r="E1812" s="5" t="s">
        <v>3284</v>
      </c>
      <c r="F1812" s="6" t="e">
        <f aca="false">VLOOKUP(E1812,$K$2:$L$426,2,FALSE())</f>
        <v>#N/A</v>
      </c>
      <c r="G1812" s="1" t="str">
        <f aca="false">IF(ISNA(F1812),"",F1812)</f>
        <v/>
      </c>
      <c r="H1812" s="5" t="str">
        <f aca="false">IF(G1812&lt;&gt;"",G1812,E1812)</f>
        <v>15, 15, MARILL</v>
      </c>
    </row>
    <row r="1813" customFormat="false" ht="12.75" hidden="false" customHeight="true" outlineLevel="0" collapsed="false">
      <c r="A1813" s="4" t="s">
        <v>3285</v>
      </c>
      <c r="B1813" s="5" t="s">
        <v>3285</v>
      </c>
      <c r="C1813" s="1" t="str">
        <f aca="false">IF(B1813="NEW ROUTE",1,"")</f>
        <v/>
      </c>
      <c r="E1813" s="5" t="s">
        <v>3285</v>
      </c>
      <c r="F1813" s="6" t="e">
        <f aca="false">VLOOKUP(E1813,$K$2:$L$426,2,FALSE())</f>
        <v>#N/A</v>
      </c>
      <c r="G1813" s="1" t="str">
        <f aca="false">IF(ISNA(F1813),"",F1813)</f>
        <v/>
      </c>
      <c r="H1813" s="5" t="str">
        <f aca="false">IF(G1813&lt;&gt;"",G1813,E1813)</f>
        <v>49, 49, FEAROW</v>
      </c>
    </row>
    <row r="1814" customFormat="false" ht="12.75" hidden="false" customHeight="true" outlineLevel="0" collapsed="false">
      <c r="A1814" s="4" t="s">
        <v>3286</v>
      </c>
      <c r="B1814" s="5" t="s">
        <v>3286</v>
      </c>
      <c r="C1814" s="1" t="str">
        <f aca="false">IF(B1814="NEW ROUTE",1,"")</f>
        <v/>
      </c>
      <c r="E1814" s="5" t="s">
        <v>3286</v>
      </c>
      <c r="F1814" s="6" t="e">
        <f aca="false">VLOOKUP(E1814,$K$2:$L$426,2,FALSE())</f>
        <v>#N/A</v>
      </c>
      <c r="G1814" s="1" t="str">
        <f aca="false">IF(ISNA(F1814),"",F1814)</f>
        <v/>
      </c>
      <c r="H1814" s="5" t="str">
        <f aca="false">IF(G1814&lt;&gt;"",G1814,E1814)</f>
        <v>43, 43, MEOWTH</v>
      </c>
    </row>
    <row r="1815" customFormat="false" ht="12.75" hidden="false" customHeight="true" outlineLevel="0" collapsed="false">
      <c r="A1815" s="4" t="s">
        <v>2806</v>
      </c>
      <c r="B1815" s="5" t="n">
        <v>0.05</v>
      </c>
      <c r="C1815" s="1" t="str">
        <f aca="false">IF(B1815="NEW ROUTE",1,"")</f>
        <v/>
      </c>
      <c r="E1815" s="5" t="n">
        <v>0.05</v>
      </c>
      <c r="F1815" s="6" t="e">
        <f aca="false">VLOOKUP(E1815,$K$2:$L$426,2,FALSE())</f>
        <v>#N/A</v>
      </c>
      <c r="G1815" s="1" t="str">
        <f aca="false">IF(ISNA(F1815),"",F1815)</f>
        <v/>
      </c>
      <c r="H1815" s="5" t="n">
        <f aca="false">IF(G1815&lt;&gt;"",G1815,E1815)</f>
        <v>0.05</v>
      </c>
    </row>
    <row r="1816" customFormat="false" ht="12.75" hidden="false" customHeight="true" outlineLevel="0" collapsed="false">
      <c r="A1816" s="4" t="s">
        <v>3287</v>
      </c>
      <c r="B1816" s="5" t="s">
        <v>3287</v>
      </c>
      <c r="C1816" s="1" t="str">
        <f aca="false">IF(B1816="NEW ROUTE",1,"")</f>
        <v/>
      </c>
      <c r="E1816" s="5" t="s">
        <v>3287</v>
      </c>
      <c r="F1816" s="6" t="e">
        <f aca="false">VLOOKUP(E1816,$K$2:$L$426,2,FALSE())</f>
        <v>#N/A</v>
      </c>
      <c r="G1816" s="1" t="str">
        <f aca="false">IF(ISNA(F1816),"",F1816)</f>
        <v/>
      </c>
      <c r="H1816" s="5" t="str">
        <f aca="false">IF(G1816&lt;&gt;"",G1816,E1816)</f>
        <v>25, 25, WOBBUFFET</v>
      </c>
    </row>
    <row r="1817" customFormat="false" ht="12.75" hidden="false" customHeight="true" outlineLevel="0" collapsed="false">
      <c r="A1817" s="4" t="s">
        <v>3154</v>
      </c>
      <c r="B1817" s="5" t="s">
        <v>3154</v>
      </c>
      <c r="C1817" s="1" t="str">
        <f aca="false">IF(B1817="NEW ROUTE",1,"")</f>
        <v/>
      </c>
      <c r="E1817" s="5" t="s">
        <v>3154</v>
      </c>
      <c r="F1817" s="6" t="e">
        <f aca="false">VLOOKUP(E1817,$K$2:$L$426,2,FALSE())</f>
        <v>#N/A</v>
      </c>
      <c r="G1817" s="1" t="str">
        <f aca="false">IF(ISNA(F1817),"",F1817)</f>
        <v/>
      </c>
      <c r="H1817" s="5" t="str">
        <f aca="false">IF(G1817&lt;&gt;"",G1817,E1817)</f>
        <v>41, 41, SLOWPOKE</v>
      </c>
    </row>
    <row r="1818" customFormat="false" ht="12.75" hidden="false" customHeight="true" outlineLevel="0" collapsed="false">
      <c r="A1818" s="4" t="s">
        <v>2809</v>
      </c>
      <c r="B1818" s="5" t="n">
        <v>0.04</v>
      </c>
      <c r="C1818" s="1" t="str">
        <f aca="false">IF(B1818="NEW ROUTE",1,"")</f>
        <v/>
      </c>
      <c r="E1818" s="5" t="n">
        <v>0.04</v>
      </c>
      <c r="F1818" s="6" t="e">
        <f aca="false">VLOOKUP(E1818,$K$2:$L$426,2,FALSE())</f>
        <v>#N/A</v>
      </c>
      <c r="G1818" s="1" t="str">
        <f aca="false">IF(ISNA(F1818),"",F1818)</f>
        <v/>
      </c>
      <c r="H1818" s="5" t="n">
        <f aca="false">IF(G1818&lt;&gt;"",G1818,E1818)</f>
        <v>0.04</v>
      </c>
    </row>
    <row r="1819" customFormat="false" ht="12.75" hidden="false" customHeight="true" outlineLevel="0" collapsed="false">
      <c r="A1819" s="4" t="s">
        <v>3288</v>
      </c>
      <c r="B1819" s="5" t="s">
        <v>3288</v>
      </c>
      <c r="C1819" s="1" t="str">
        <f aca="false">IF(B1819="NEW ROUTE",1,"")</f>
        <v/>
      </c>
      <c r="E1819" s="5" t="s">
        <v>3288</v>
      </c>
      <c r="F1819" s="6" t="e">
        <f aca="false">VLOOKUP(E1819,$K$2:$L$426,2,FALSE())</f>
        <v>#N/A</v>
      </c>
      <c r="G1819" s="1" t="str">
        <f aca="false">IF(ISNA(F1819),"",F1819)</f>
        <v/>
      </c>
      <c r="H1819" s="5" t="str">
        <f aca="false">IF(G1819&lt;&gt;"",G1819,E1819)</f>
        <v>20, 20, NATU</v>
      </c>
    </row>
    <row r="1820" customFormat="false" ht="12.75" hidden="false" customHeight="true" outlineLevel="0" collapsed="false">
      <c r="A1820" s="4" t="s">
        <v>3289</v>
      </c>
      <c r="B1820" s="5" t="s">
        <v>3289</v>
      </c>
      <c r="C1820" s="1" t="str">
        <f aca="false">IF(B1820="NEW ROUTE",1,"")</f>
        <v/>
      </c>
      <c r="E1820" s="5" t="s">
        <v>3289</v>
      </c>
      <c r="F1820" s="6" t="e">
        <f aca="false">VLOOKUP(E1820,$K$2:$L$426,2,FALSE())</f>
        <v>#N/A</v>
      </c>
      <c r="G1820" s="1" t="str">
        <f aca="false">IF(ISNA(F1820),"",F1820)</f>
        <v/>
      </c>
      <c r="H1820" s="5" t="str">
        <f aca="false">IF(G1820&lt;&gt;"",G1820,E1820)</f>
        <v>49, 49, PERSIAN</v>
      </c>
    </row>
    <row r="1821" customFormat="false" ht="12.75" hidden="false" customHeight="true" outlineLevel="0" collapsed="false">
      <c r="A1821" s="4" t="s">
        <v>2812</v>
      </c>
      <c r="B1821" s="5" t="n">
        <v>0.01</v>
      </c>
      <c r="C1821" s="1" t="str">
        <f aca="false">IF(B1821="NEW ROUTE",1,"")</f>
        <v/>
      </c>
      <c r="E1821" s="5" t="n">
        <v>0.01</v>
      </c>
      <c r="F1821" s="6" t="e">
        <f aca="false">VLOOKUP(E1821,$K$2:$L$426,2,FALSE())</f>
        <v>#N/A</v>
      </c>
      <c r="G1821" s="1" t="str">
        <f aca="false">IF(ISNA(F1821),"",F1821)</f>
        <v/>
      </c>
      <c r="H1821" s="5" t="n">
        <f aca="false">IF(G1821&lt;&gt;"",G1821,E1821)</f>
        <v>0.01</v>
      </c>
    </row>
    <row r="1822" customFormat="false" ht="12.75" hidden="false" customHeight="true" outlineLevel="0" collapsed="false">
      <c r="A1822" s="4" t="s">
        <v>3288</v>
      </c>
      <c r="B1822" s="5" t="s">
        <v>3288</v>
      </c>
      <c r="C1822" s="1" t="str">
        <f aca="false">IF(B1822="NEW ROUTE",1,"")</f>
        <v/>
      </c>
      <c r="E1822" s="5" t="s">
        <v>3288</v>
      </c>
      <c r="F1822" s="6" t="e">
        <f aca="false">VLOOKUP(E1822,$K$2:$L$426,2,FALSE())</f>
        <v>#N/A</v>
      </c>
      <c r="G1822" s="1" t="str">
        <f aca="false">IF(ISNA(F1822),"",F1822)</f>
        <v/>
      </c>
      <c r="H1822" s="5" t="str">
        <f aca="false">IF(G1822&lt;&gt;"",G1822,E1822)</f>
        <v>20, 20, NATU</v>
      </c>
    </row>
    <row r="1823" customFormat="false" ht="12.75" hidden="false" customHeight="true" outlineLevel="0" collapsed="false">
      <c r="A1823" s="4" t="s">
        <v>3290</v>
      </c>
      <c r="B1823" s="5" t="s">
        <v>3290</v>
      </c>
      <c r="C1823" s="1" t="str">
        <f aca="false">IF(B1823="NEW ROUTE",1,"")</f>
        <v/>
      </c>
      <c r="E1823" s="5" t="s">
        <v>3290</v>
      </c>
      <c r="F1823" s="6" t="e">
        <f aca="false">VLOOKUP(E1823,$K$2:$L$426,2,FALSE())</f>
        <v>#N/A</v>
      </c>
      <c r="G1823" s="1" t="str">
        <f aca="false">IF(ISNA(F1823),"",F1823)</f>
        <v/>
      </c>
      <c r="H1823" s="5" t="str">
        <f aca="false">IF(G1823&lt;&gt;"",G1823,E1823)</f>
        <v>52, 52, PERSIAN</v>
      </c>
    </row>
    <row r="1824" customFormat="false" ht="12.75" hidden="false" customHeight="true" outlineLevel="0" collapsed="false">
      <c r="A1824" s="4" t="s">
        <v>3291</v>
      </c>
      <c r="B1824" s="5" t="s">
        <v>3291</v>
      </c>
      <c r="C1824" s="1" t="str">
        <f aca="false">IF(B1824="NEW ROUTE",1,"")</f>
        <v/>
      </c>
      <c r="E1824" s="5" t="s">
        <v>3291</v>
      </c>
      <c r="F1824" s="6" t="e">
        <f aca="false">VLOOKUP(E1824,$K$2:$L$426,2,FALSE())</f>
        <v>#N/A</v>
      </c>
      <c r="G1824" s="1" t="str">
        <f aca="false">IF(ISNA(F1824),"",F1824)</f>
        <v/>
      </c>
      <c r="H1824" s="5" t="str">
        <f aca="false">IF(G1824&lt;&gt;"",G1824,E1824)</f>
        <v>2, 5, 20, MARILL</v>
      </c>
    </row>
    <row r="1825" customFormat="false" ht="12.75" hidden="false" customHeight="true" outlineLevel="0" collapsed="false">
      <c r="A1825" s="4" t="s">
        <v>3292</v>
      </c>
      <c r="B1825" s="5" t="s">
        <v>3292</v>
      </c>
      <c r="C1825" s="1" t="str">
        <f aca="false">IF(B1825="NEW ROUTE",1,"")</f>
        <v/>
      </c>
      <c r="E1825" s="5" t="s">
        <v>3292</v>
      </c>
      <c r="F1825" s="6" t="e">
        <f aca="false">VLOOKUP(E1825,$K$2:$L$426,2,FALSE())</f>
        <v>#N/A</v>
      </c>
      <c r="G1825" s="1" t="str">
        <f aca="false">IF(ISNA(F1825),"",F1825)</f>
        <v/>
      </c>
      <c r="H1825" s="5" t="str">
        <f aca="false">IF(G1825&lt;&gt;"",G1825,E1825)</f>
        <v>10, 20, MARILL</v>
      </c>
    </row>
    <row r="1826" customFormat="false" ht="12.75" hidden="false" customHeight="true" outlineLevel="0" collapsed="false">
      <c r="A1826" s="4" t="s">
        <v>3293</v>
      </c>
      <c r="B1826" s="5" t="s">
        <v>3293</v>
      </c>
      <c r="C1826" s="1" t="str">
        <f aca="false">IF(B1826="NEW ROUTE",1,"")</f>
        <v/>
      </c>
      <c r="E1826" s="5" t="s">
        <v>3293</v>
      </c>
      <c r="F1826" s="6" t="e">
        <f aca="false">VLOOKUP(E1826,$K$2:$L$426,2,FALSE())</f>
        <v>#N/A</v>
      </c>
      <c r="G1826" s="1" t="str">
        <f aca="false">IF(ISNA(F1826),"",F1826)</f>
        <v/>
      </c>
      <c r="H1826" s="5" t="str">
        <f aca="false">IF(G1826&lt;&gt;"",G1826,E1826)</f>
        <v>15, 25, MARILL</v>
      </c>
    </row>
    <row r="1827" customFormat="false" ht="12.75" hidden="false" customHeight="true" outlineLevel="0" collapsed="false">
      <c r="A1827" s="4" t="s">
        <v>3294</v>
      </c>
      <c r="B1827" s="5" t="s">
        <v>3294</v>
      </c>
      <c r="C1827" s="1" t="str">
        <f aca="false">IF(B1827="NEW ROUTE",1,"")</f>
        <v/>
      </c>
      <c r="E1827" s="5" t="s">
        <v>3294</v>
      </c>
      <c r="F1827" s="6" t="e">
        <f aca="false">VLOOKUP(E1827,$K$2:$L$426,2,FALSE())</f>
        <v>#N/A</v>
      </c>
      <c r="G1827" s="1" t="str">
        <f aca="false">IF(ISNA(F1827),"",F1827)</f>
        <v/>
      </c>
      <c r="H1827" s="5" t="str">
        <f aca="false">IF(G1827&lt;&gt;"",G1827,E1827)</f>
        <v>20, 25, MARILL</v>
      </c>
    </row>
    <row r="1828" customFormat="false" ht="12.75" hidden="false" customHeight="true" outlineLevel="0" collapsed="false">
      <c r="A1828" s="4" t="s">
        <v>3294</v>
      </c>
      <c r="B1828" s="5" t="s">
        <v>3294</v>
      </c>
      <c r="C1828" s="1" t="str">
        <f aca="false">IF(B1828="NEW ROUTE",1,"")</f>
        <v/>
      </c>
      <c r="E1828" s="5" t="s">
        <v>3294</v>
      </c>
      <c r="F1828" s="6" t="e">
        <f aca="false">VLOOKUP(E1828,$K$2:$L$426,2,FALSE())</f>
        <v>#N/A</v>
      </c>
      <c r="G1828" s="1" t="str">
        <f aca="false">IF(ISNA(F1828),"",F1828)</f>
        <v/>
      </c>
      <c r="H1828" s="5" t="str">
        <f aca="false">IF(G1828&lt;&gt;"",G1828,E1828)</f>
        <v>20, 25, MARILL</v>
      </c>
    </row>
    <row r="1829" customFormat="false" ht="12.75" hidden="false" customHeight="true" outlineLevel="0" collapsed="false">
      <c r="A1829" s="4" t="s">
        <v>2925</v>
      </c>
      <c r="B1829" s="5" t="s">
        <v>2925</v>
      </c>
      <c r="C1829" s="1" t="str">
        <f aca="false">IF(B1829="NEW ROUTE",1,"")</f>
        <v/>
      </c>
      <c r="E1829" s="5" t="s">
        <v>2925</v>
      </c>
      <c r="F1829" s="6" t="e">
        <f aca="false">VLOOKUP(E1829,$K$2:$L$426,2,FALSE())</f>
        <v>#N/A</v>
      </c>
      <c r="G1829" s="1" t="str">
        <f aca="false">IF(ISNA(F1829),"",F1829)</f>
        <v/>
      </c>
      <c r="H1829" s="5" t="str">
        <f aca="false">IF(G1829&lt;&gt;"",G1829,E1829)</f>
        <v>20, old rod:</v>
      </c>
    </row>
    <row r="1830" customFormat="false" ht="12.75" hidden="false" customHeight="true" outlineLevel="0" collapsed="false">
      <c r="A1830" s="4" t="s">
        <v>1266</v>
      </c>
      <c r="B1830" s="5" t="s">
        <v>1266</v>
      </c>
      <c r="C1830" s="1" t="str">
        <f aca="false">IF(B1830="NEW ROUTE",1,"")</f>
        <v/>
      </c>
      <c r="E1830" s="5" t="s">
        <v>1266</v>
      </c>
      <c r="F1830" s="6" t="e">
        <f aca="false">VLOOKUP(E1830,$K$2:$L$426,2,FALSE())</f>
        <v>#N/A</v>
      </c>
      <c r="G1830" s="1" t="str">
        <f aca="false">IF(ISNA(F1830),"",F1830)</f>
        <v/>
      </c>
      <c r="H1830" s="5" t="str">
        <f aca="false">IF(G1830&lt;&gt;"",G1830,E1830)</f>
        <v>5, 5, MAGIKARP</v>
      </c>
    </row>
    <row r="1831" customFormat="false" ht="12.75" hidden="false" customHeight="true" outlineLevel="0" collapsed="false">
      <c r="A1831" s="4" t="s">
        <v>1266</v>
      </c>
      <c r="B1831" s="5" t="s">
        <v>1266</v>
      </c>
      <c r="C1831" s="1" t="str">
        <f aca="false">IF(B1831="NEW ROUTE",1,"")</f>
        <v/>
      </c>
      <c r="E1831" s="5" t="s">
        <v>1266</v>
      </c>
      <c r="F1831" s="6" t="e">
        <f aca="false">VLOOKUP(E1831,$K$2:$L$426,2,FALSE())</f>
        <v>#N/A</v>
      </c>
      <c r="G1831" s="1" t="str">
        <f aca="false">IF(ISNA(F1831),"",F1831)</f>
        <v/>
      </c>
      <c r="H1831" s="5" t="str">
        <f aca="false">IF(G1831&lt;&gt;"",G1831,E1831)</f>
        <v>5, 5, MAGIKARP</v>
      </c>
    </row>
    <row r="1832" customFormat="false" ht="12.75" hidden="false" customHeight="true" outlineLevel="0" collapsed="false">
      <c r="A1832" s="4" t="s">
        <v>2846</v>
      </c>
      <c r="B1832" s="5" t="s">
        <v>2846</v>
      </c>
      <c r="C1832" s="1" t="str">
        <f aca="false">IF(B1832="NEW ROUTE",1,"")</f>
        <v/>
      </c>
      <c r="E1832" s="5" t="s">
        <v>2846</v>
      </c>
      <c r="F1832" s="6" t="e">
        <f aca="false">VLOOKUP(E1832,$K$2:$L$426,2,FALSE())</f>
        <v>#N/A</v>
      </c>
      <c r="G1832" s="1" t="str">
        <f aca="false">IF(ISNA(F1832),"",F1832)</f>
        <v/>
      </c>
      <c r="H1832" s="5" t="str">
        <f aca="false">IF(G1832&lt;&gt;"",G1832,E1832)</f>
        <v>good rod:</v>
      </c>
    </row>
    <row r="1833" customFormat="false" ht="12.75" hidden="false" customHeight="true" outlineLevel="0" collapsed="false">
      <c r="A1833" s="4" t="s">
        <v>3143</v>
      </c>
      <c r="B1833" s="5" t="s">
        <v>3143</v>
      </c>
      <c r="C1833" s="1" t="str">
        <f aca="false">IF(B1833="NEW ROUTE",1,"")</f>
        <v/>
      </c>
      <c r="E1833" s="5" t="s">
        <v>3143</v>
      </c>
      <c r="F1833" s="6" t="e">
        <f aca="false">VLOOKUP(E1833,$K$2:$L$426,2,FALSE())</f>
        <v>#N/A</v>
      </c>
      <c r="G1833" s="1" t="str">
        <f aca="false">IF(ISNA(F1833),"",F1833)</f>
        <v/>
      </c>
      <c r="H1833" s="5" t="str">
        <f aca="false">IF(G1833&lt;&gt;"",G1833,E1833)</f>
        <v>5, 15, POLIWAG</v>
      </c>
    </row>
    <row r="1834" customFormat="false" ht="12.75" hidden="false" customHeight="true" outlineLevel="0" collapsed="false">
      <c r="A1834" s="4" t="s">
        <v>2848</v>
      </c>
      <c r="B1834" s="5" t="s">
        <v>2848</v>
      </c>
      <c r="C1834" s="1" t="str">
        <f aca="false">IF(B1834="NEW ROUTE",1,"")</f>
        <v/>
      </c>
      <c r="E1834" s="5" t="s">
        <v>2848</v>
      </c>
      <c r="F1834" s="6" t="e">
        <f aca="false">VLOOKUP(E1834,$K$2:$L$426,2,FALSE())</f>
        <v>#N/A</v>
      </c>
      <c r="G1834" s="1" t="str">
        <f aca="false">IF(ISNA(F1834),"",F1834)</f>
        <v/>
      </c>
      <c r="H1834" s="5" t="str">
        <f aca="false">IF(G1834&lt;&gt;"",G1834,E1834)</f>
        <v>5, 15, MAGIKARP</v>
      </c>
    </row>
    <row r="1835" customFormat="false" ht="12.75" hidden="false" customHeight="true" outlineLevel="0" collapsed="false">
      <c r="A1835" s="4" t="s">
        <v>3142</v>
      </c>
      <c r="B1835" s="5" t="s">
        <v>3142</v>
      </c>
      <c r="C1835" s="1" t="str">
        <f aca="false">IF(B1835="NEW ROUTE",1,"")</f>
        <v/>
      </c>
      <c r="E1835" s="5" t="s">
        <v>3142</v>
      </c>
      <c r="F1835" s="6" t="e">
        <f aca="false">VLOOKUP(E1835,$K$2:$L$426,2,FALSE())</f>
        <v>#N/A</v>
      </c>
      <c r="G1835" s="1" t="str">
        <f aca="false">IF(ISNA(F1835),"",F1835)</f>
        <v/>
      </c>
      <c r="H1835" s="5" t="str">
        <f aca="false">IF(G1835&lt;&gt;"",G1835,E1835)</f>
        <v>5, 15, GOLDEEN</v>
      </c>
    </row>
    <row r="1836" customFormat="false" ht="12.75" hidden="false" customHeight="true" outlineLevel="0" collapsed="false">
      <c r="A1836" s="4" t="s">
        <v>2850</v>
      </c>
      <c r="B1836" s="5" t="s">
        <v>2850</v>
      </c>
      <c r="C1836" s="1" t="str">
        <f aca="false">IF(B1836="NEW ROUTE",1,"")</f>
        <v/>
      </c>
      <c r="E1836" s="5" t="s">
        <v>2850</v>
      </c>
      <c r="F1836" s="6" t="e">
        <f aca="false">VLOOKUP(E1836,$K$2:$L$426,2,FALSE())</f>
        <v>#N/A</v>
      </c>
      <c r="G1836" s="1" t="str">
        <f aca="false">IF(ISNA(F1836),"",F1836)</f>
        <v/>
      </c>
      <c r="H1836" s="5" t="str">
        <f aca="false">IF(G1836&lt;&gt;"",G1836,E1836)</f>
        <v>super rod:</v>
      </c>
    </row>
    <row r="1837" customFormat="false" ht="12.75" hidden="false" customHeight="true" outlineLevel="0" collapsed="false">
      <c r="A1837" s="4" t="s">
        <v>3161</v>
      </c>
      <c r="B1837" s="5" t="s">
        <v>3161</v>
      </c>
      <c r="C1837" s="1" t="str">
        <f aca="false">IF(B1837="NEW ROUTE",1,"")</f>
        <v/>
      </c>
      <c r="E1837" s="5" t="s">
        <v>3161</v>
      </c>
      <c r="F1837" s="6" t="e">
        <f aca="false">VLOOKUP(E1837,$K$2:$L$426,2,FALSE())</f>
        <v>#N/A</v>
      </c>
      <c r="G1837" s="1" t="str">
        <f aca="false">IF(ISNA(F1837),"",F1837)</f>
        <v/>
      </c>
      <c r="H1837" s="5" t="str">
        <f aca="false">IF(G1837&lt;&gt;"",G1837,E1837)</f>
        <v>15, 25, POLIWAG</v>
      </c>
    </row>
    <row r="1838" customFormat="false" ht="12.75" hidden="false" customHeight="true" outlineLevel="0" collapsed="false">
      <c r="A1838" s="4" t="s">
        <v>3162</v>
      </c>
      <c r="B1838" s="5" t="s">
        <v>3162</v>
      </c>
      <c r="C1838" s="1" t="str">
        <f aca="false">IF(B1838="NEW ROUTE",1,"")</f>
        <v/>
      </c>
      <c r="E1838" s="5" t="s">
        <v>3162</v>
      </c>
      <c r="F1838" s="6" t="e">
        <f aca="false">VLOOKUP(E1838,$K$2:$L$426,2,FALSE())</f>
        <v>#N/A</v>
      </c>
      <c r="G1838" s="1" t="str">
        <f aca="false">IF(ISNA(F1838),"",F1838)</f>
        <v/>
      </c>
      <c r="H1838" s="5" t="str">
        <f aca="false">IF(G1838&lt;&gt;"",G1838,E1838)</f>
        <v>20, 30, POLIWHIRL</v>
      </c>
    </row>
    <row r="1839" customFormat="false" ht="12.75" hidden="false" customHeight="true" outlineLevel="0" collapsed="false">
      <c r="A1839" s="4" t="s">
        <v>2853</v>
      </c>
      <c r="B1839" s="5" t="s">
        <v>2853</v>
      </c>
      <c r="C1839" s="1" t="str">
        <f aca="false">IF(B1839="NEW ROUTE",1,"")</f>
        <v/>
      </c>
      <c r="E1839" s="5" t="s">
        <v>2853</v>
      </c>
      <c r="F1839" s="6" t="e">
        <f aca="false">VLOOKUP(E1839,$K$2:$L$426,2,FALSE())</f>
        <v>#N/A</v>
      </c>
      <c r="G1839" s="1" t="str">
        <f aca="false">IF(ISNA(F1839),"",F1839)</f>
        <v/>
      </c>
      <c r="H1839" s="5" t="str">
        <f aca="false">IF(G1839&lt;&gt;"",G1839,E1839)</f>
        <v>15, 25, GYARADOS</v>
      </c>
    </row>
    <row r="1840" customFormat="false" ht="12.75" hidden="false" customHeight="true" outlineLevel="0" collapsed="false">
      <c r="A1840" s="4" t="s">
        <v>3146</v>
      </c>
      <c r="B1840" s="5" t="s">
        <v>3146</v>
      </c>
      <c r="C1840" s="1" t="str">
        <f aca="false">IF(B1840="NEW ROUTE",1,"")</f>
        <v/>
      </c>
      <c r="E1840" s="5" t="s">
        <v>3146</v>
      </c>
      <c r="F1840" s="6" t="e">
        <f aca="false">VLOOKUP(E1840,$K$2:$L$426,2,FALSE())</f>
        <v>#N/A</v>
      </c>
      <c r="G1840" s="1" t="str">
        <f aca="false">IF(ISNA(F1840),"",F1840)</f>
        <v/>
      </c>
      <c r="H1840" s="5" t="str">
        <f aca="false">IF(G1840&lt;&gt;"",G1840,E1840)</f>
        <v>15, 25, SLOWPOKE</v>
      </c>
    </row>
    <row r="1841" customFormat="false" ht="12.75" hidden="false" customHeight="true" outlineLevel="0" collapsed="false">
      <c r="A1841" s="4" t="s">
        <v>2855</v>
      </c>
      <c r="B1841" s="5" t="s">
        <v>2855</v>
      </c>
      <c r="C1841" s="1" t="str">
        <f aca="false">IF(B1841="NEW ROUTE",1,"")</f>
        <v/>
      </c>
      <c r="E1841" s="5" t="s">
        <v>2855</v>
      </c>
      <c r="F1841" s="6" t="e">
        <f aca="false">VLOOKUP(E1841,$K$2:$L$426,2,FALSE())</f>
        <v>#N/A</v>
      </c>
      <c r="G1841" s="1" t="str">
        <f aca="false">IF(ISNA(F1841),"",F1841)</f>
        <v/>
      </c>
      <c r="H1841" s="5" t="str">
        <f aca="false">IF(G1841&lt;&gt;"",G1841,E1841)</f>
        <v>25, 35, SLOWPOKE</v>
      </c>
    </row>
    <row r="1842" customFormat="false" ht="12.75" hidden="false" customHeight="true" outlineLevel="0" collapsed="false">
      <c r="A1842" s="4" t="s">
        <v>2536</v>
      </c>
      <c r="B1842" s="5" t="s">
        <v>2536</v>
      </c>
      <c r="C1842" s="1" t="n">
        <f aca="false">IF(B1842="NEW ROUTE",1,"")</f>
        <v>1</v>
      </c>
      <c r="E1842" s="5" t="s">
        <v>2536</v>
      </c>
      <c r="F1842" s="6" t="e">
        <f aca="false">VLOOKUP(E1842,$K$2:$L$426,2,FALSE())</f>
        <v>#N/A</v>
      </c>
      <c r="G1842" s="1" t="str">
        <f aca="false">IF(ISNA(F1842),"",F1842)</f>
        <v/>
      </c>
      <c r="H1842" s="5" t="str">
        <f aca="false">IF(G1842&lt;&gt;"",G1842,E1842)</f>
        <v>NEW ROUTE</v>
      </c>
    </row>
    <row r="1843" customFormat="false" ht="12.75" hidden="false" customHeight="true" outlineLevel="0" collapsed="false">
      <c r="A1843" s="4" t="s">
        <v>502</v>
      </c>
      <c r="B1843" s="5" t="s">
        <v>502</v>
      </c>
      <c r="C1843" s="1" t="str">
        <f aca="false">IF(B1843="NEW ROUTE",1,"")</f>
        <v/>
      </c>
      <c r="E1843" s="5" t="s">
        <v>502</v>
      </c>
      <c r="F1843" s="6" t="str">
        <f aca="false">VLOOKUP(E1843,$K$2:$L$426,2,FALSE())</f>
        <v>Seven Island Trainer Tower</v>
      </c>
      <c r="G1843" s="1" t="str">
        <f aca="false">IF(ISNA(F1843),"",F1843)</f>
        <v>Seven Island Trainer Tower</v>
      </c>
      <c r="H1843" s="5" t="str">
        <f aca="false">IF(G1843&lt;&gt;"",G1843,E1843)</f>
        <v>Seven Island Trainer Tower</v>
      </c>
    </row>
    <row r="1844" customFormat="false" ht="12.75" hidden="false" customHeight="true" outlineLevel="0" collapsed="false">
      <c r="A1844" s="4" t="s">
        <v>3172</v>
      </c>
      <c r="B1844" s="5" t="s">
        <v>3172</v>
      </c>
      <c r="C1844" s="1" t="str">
        <f aca="false">IF(B1844="NEW ROUTE",1,"")</f>
        <v/>
      </c>
      <c r="E1844" s="5" t="s">
        <v>3172</v>
      </c>
      <c r="F1844" s="6" t="e">
        <f aca="false">VLOOKUP(E1844,$K$2:$L$426,2,FALSE())</f>
        <v>#N/A</v>
      </c>
      <c r="G1844" s="1" t="str">
        <f aca="false">IF(ISNA(F1844),"",F1844)</f>
        <v/>
      </c>
      <c r="H1844" s="5" t="str">
        <f aca="false">IF(G1844&lt;&gt;"",G1844,E1844)</f>
        <v>2, 5, 20, TENTACOOL</v>
      </c>
    </row>
    <row r="1845" customFormat="false" ht="12.75" hidden="false" customHeight="true" outlineLevel="0" collapsed="false">
      <c r="A1845" s="4" t="s">
        <v>3173</v>
      </c>
      <c r="B1845" s="5" t="s">
        <v>3173</v>
      </c>
      <c r="C1845" s="1" t="str">
        <f aca="false">IF(B1845="NEW ROUTE",1,"")</f>
        <v/>
      </c>
      <c r="E1845" s="5" t="s">
        <v>3173</v>
      </c>
      <c r="F1845" s="6" t="e">
        <f aca="false">VLOOKUP(E1845,$K$2:$L$426,2,FALSE())</f>
        <v>#N/A</v>
      </c>
      <c r="G1845" s="1" t="str">
        <f aca="false">IF(ISNA(F1845),"",F1845)</f>
        <v/>
      </c>
      <c r="H1845" s="5" t="str">
        <f aca="false">IF(G1845&lt;&gt;"",G1845,E1845)</f>
        <v>20, 35, TENTACOOL</v>
      </c>
    </row>
    <row r="1846" customFormat="false" ht="12.75" hidden="false" customHeight="true" outlineLevel="0" collapsed="false">
      <c r="A1846" s="4" t="s">
        <v>3296</v>
      </c>
      <c r="B1846" s="5" t="s">
        <v>3296</v>
      </c>
      <c r="C1846" s="1" t="str">
        <f aca="false">IF(B1846="NEW ROUTE",1,"")</f>
        <v/>
      </c>
      <c r="E1846" s="5" t="s">
        <v>3296</v>
      </c>
      <c r="F1846" s="6" t="e">
        <f aca="false">VLOOKUP(E1846,$K$2:$L$426,2,FALSE())</f>
        <v>#N/A</v>
      </c>
      <c r="G1846" s="1" t="str">
        <f aca="false">IF(ISNA(F1846),"",F1846)</f>
        <v/>
      </c>
      <c r="H1846" s="5" t="str">
        <f aca="false">IF(G1846&lt;&gt;"",G1846,E1846)</f>
        <v>35, 40, MANTINE</v>
      </c>
    </row>
    <row r="1847" customFormat="false" ht="12.75" hidden="false" customHeight="true" outlineLevel="0" collapsed="false">
      <c r="A1847" s="4" t="s">
        <v>3231</v>
      </c>
      <c r="B1847" s="5" t="s">
        <v>3231</v>
      </c>
      <c r="C1847" s="1" t="str">
        <f aca="false">IF(B1847="NEW ROUTE",1,"")</f>
        <v/>
      </c>
      <c r="E1847" s="5" t="s">
        <v>3231</v>
      </c>
      <c r="F1847" s="6" t="e">
        <f aca="false">VLOOKUP(E1847,$K$2:$L$426,2,FALSE())</f>
        <v>#N/A</v>
      </c>
      <c r="G1847" s="1" t="str">
        <f aca="false">IF(ISNA(F1847),"",F1847)</f>
        <v/>
      </c>
      <c r="H1847" s="5" t="str">
        <f aca="false">IF(G1847&lt;&gt;"",G1847,E1847)</f>
        <v>35, 40, TENTACRUEL</v>
      </c>
    </row>
    <row r="1848" customFormat="false" ht="12.75" hidden="false" customHeight="true" outlineLevel="0" collapsed="false">
      <c r="A1848" s="4" t="s">
        <v>3231</v>
      </c>
      <c r="B1848" s="5" t="s">
        <v>3231</v>
      </c>
      <c r="C1848" s="1" t="str">
        <f aca="false">IF(B1848="NEW ROUTE",1,"")</f>
        <v/>
      </c>
      <c r="E1848" s="5" t="s">
        <v>3231</v>
      </c>
      <c r="F1848" s="6" t="e">
        <f aca="false">VLOOKUP(E1848,$K$2:$L$426,2,FALSE())</f>
        <v>#N/A</v>
      </c>
      <c r="G1848" s="1" t="str">
        <f aca="false">IF(ISNA(F1848),"",F1848)</f>
        <v/>
      </c>
      <c r="H1848" s="5" t="str">
        <f aca="false">IF(G1848&lt;&gt;"",G1848,E1848)</f>
        <v>35, 40, TENTACRUEL</v>
      </c>
    </row>
    <row r="1849" customFormat="false" ht="12.75" hidden="false" customHeight="true" outlineLevel="0" collapsed="false">
      <c r="A1849" s="4" t="s">
        <v>2925</v>
      </c>
      <c r="B1849" s="5" t="s">
        <v>2925</v>
      </c>
      <c r="C1849" s="1" t="str">
        <f aca="false">IF(B1849="NEW ROUTE",1,"")</f>
        <v/>
      </c>
      <c r="E1849" s="5" t="s">
        <v>2925</v>
      </c>
      <c r="F1849" s="6" t="e">
        <f aca="false">VLOOKUP(E1849,$K$2:$L$426,2,FALSE())</f>
        <v>#N/A</v>
      </c>
      <c r="G1849" s="1" t="str">
        <f aca="false">IF(ISNA(F1849),"",F1849)</f>
        <v/>
      </c>
      <c r="H1849" s="5" t="str">
        <f aca="false">IF(G1849&lt;&gt;"",G1849,E1849)</f>
        <v>20, old rod:</v>
      </c>
    </row>
    <row r="1850" customFormat="false" ht="12.75" hidden="false" customHeight="true" outlineLevel="0" collapsed="false">
      <c r="A1850" s="4" t="s">
        <v>1266</v>
      </c>
      <c r="B1850" s="5" t="s">
        <v>1266</v>
      </c>
      <c r="C1850" s="1" t="str">
        <f aca="false">IF(B1850="NEW ROUTE",1,"")</f>
        <v/>
      </c>
      <c r="E1850" s="5" t="s">
        <v>1266</v>
      </c>
      <c r="F1850" s="6" t="e">
        <f aca="false">VLOOKUP(E1850,$K$2:$L$426,2,FALSE())</f>
        <v>#N/A</v>
      </c>
      <c r="G1850" s="1" t="str">
        <f aca="false">IF(ISNA(F1850),"",F1850)</f>
        <v/>
      </c>
      <c r="H1850" s="5" t="str">
        <f aca="false">IF(G1850&lt;&gt;"",G1850,E1850)</f>
        <v>5, 5, MAGIKARP</v>
      </c>
    </row>
    <row r="1851" customFormat="false" ht="12.75" hidden="false" customHeight="true" outlineLevel="0" collapsed="false">
      <c r="A1851" s="4" t="s">
        <v>1266</v>
      </c>
      <c r="B1851" s="5" t="s">
        <v>1266</v>
      </c>
      <c r="C1851" s="1" t="str">
        <f aca="false">IF(B1851="NEW ROUTE",1,"")</f>
        <v/>
      </c>
      <c r="E1851" s="5" t="s">
        <v>1266</v>
      </c>
      <c r="F1851" s="6" t="e">
        <f aca="false">VLOOKUP(E1851,$K$2:$L$426,2,FALSE())</f>
        <v>#N/A</v>
      </c>
      <c r="G1851" s="1" t="str">
        <f aca="false">IF(ISNA(F1851),"",F1851)</f>
        <v/>
      </c>
      <c r="H1851" s="5" t="str">
        <f aca="false">IF(G1851&lt;&gt;"",G1851,E1851)</f>
        <v>5, 5, MAGIKARP</v>
      </c>
    </row>
    <row r="1852" customFormat="false" ht="12.75" hidden="false" customHeight="true" outlineLevel="0" collapsed="false">
      <c r="A1852" s="4" t="s">
        <v>2846</v>
      </c>
      <c r="B1852" s="5" t="s">
        <v>2846</v>
      </c>
      <c r="C1852" s="1" t="str">
        <f aca="false">IF(B1852="NEW ROUTE",1,"")</f>
        <v/>
      </c>
      <c r="E1852" s="5" t="s">
        <v>2846</v>
      </c>
      <c r="F1852" s="6" t="e">
        <f aca="false">VLOOKUP(E1852,$K$2:$L$426,2,FALSE())</f>
        <v>#N/A</v>
      </c>
      <c r="G1852" s="1" t="str">
        <f aca="false">IF(ISNA(F1852),"",F1852)</f>
        <v/>
      </c>
      <c r="H1852" s="5" t="str">
        <f aca="false">IF(G1852&lt;&gt;"",G1852,E1852)</f>
        <v>good rod:</v>
      </c>
    </row>
    <row r="1853" customFormat="false" ht="12.75" hidden="false" customHeight="true" outlineLevel="0" collapsed="false">
      <c r="A1853" s="4" t="s">
        <v>2847</v>
      </c>
      <c r="B1853" s="5" t="s">
        <v>2847</v>
      </c>
      <c r="C1853" s="1" t="str">
        <f aca="false">IF(B1853="NEW ROUTE",1,"")</f>
        <v/>
      </c>
      <c r="E1853" s="5" t="s">
        <v>2847</v>
      </c>
      <c r="F1853" s="6" t="e">
        <f aca="false">VLOOKUP(E1853,$K$2:$L$426,2,FALSE())</f>
        <v>#N/A</v>
      </c>
      <c r="G1853" s="1" t="str">
        <f aca="false">IF(ISNA(F1853),"",F1853)</f>
        <v/>
      </c>
      <c r="H1853" s="5" t="str">
        <f aca="false">IF(G1853&lt;&gt;"",G1853,E1853)</f>
        <v>5, 15, KRABBY</v>
      </c>
    </row>
    <row r="1854" customFormat="false" ht="12.75" hidden="false" customHeight="true" outlineLevel="0" collapsed="false">
      <c r="A1854" s="4" t="s">
        <v>2848</v>
      </c>
      <c r="B1854" s="5" t="s">
        <v>2848</v>
      </c>
      <c r="C1854" s="1" t="str">
        <f aca="false">IF(B1854="NEW ROUTE",1,"")</f>
        <v/>
      </c>
      <c r="E1854" s="5" t="s">
        <v>2848</v>
      </c>
      <c r="F1854" s="6" t="e">
        <f aca="false">VLOOKUP(E1854,$K$2:$L$426,2,FALSE())</f>
        <v>#N/A</v>
      </c>
      <c r="G1854" s="1" t="str">
        <f aca="false">IF(ISNA(F1854),"",F1854)</f>
        <v/>
      </c>
      <c r="H1854" s="5" t="str">
        <f aca="false">IF(G1854&lt;&gt;"",G1854,E1854)</f>
        <v>5, 15, MAGIKARP</v>
      </c>
    </row>
    <row r="1855" customFormat="false" ht="12.75" hidden="false" customHeight="true" outlineLevel="0" collapsed="false">
      <c r="A1855" s="4" t="s">
        <v>2847</v>
      </c>
      <c r="B1855" s="5" t="s">
        <v>2847</v>
      </c>
      <c r="C1855" s="1" t="str">
        <f aca="false">IF(B1855="NEW ROUTE",1,"")</f>
        <v/>
      </c>
      <c r="E1855" s="5" t="s">
        <v>2847</v>
      </c>
      <c r="F1855" s="6" t="e">
        <f aca="false">VLOOKUP(E1855,$K$2:$L$426,2,FALSE())</f>
        <v>#N/A</v>
      </c>
      <c r="G1855" s="1" t="str">
        <f aca="false">IF(ISNA(F1855),"",F1855)</f>
        <v/>
      </c>
      <c r="H1855" s="5" t="str">
        <f aca="false">IF(G1855&lt;&gt;"",G1855,E1855)</f>
        <v>5, 15, KRABBY</v>
      </c>
    </row>
    <row r="1856" customFormat="false" ht="12.75" hidden="false" customHeight="true" outlineLevel="0" collapsed="false">
      <c r="A1856" s="4" t="s">
        <v>2850</v>
      </c>
      <c r="B1856" s="5" t="s">
        <v>2850</v>
      </c>
      <c r="C1856" s="1" t="str">
        <f aca="false">IF(B1856="NEW ROUTE",1,"")</f>
        <v/>
      </c>
      <c r="E1856" s="5" t="s">
        <v>2850</v>
      </c>
      <c r="F1856" s="6" t="e">
        <f aca="false">VLOOKUP(E1856,$K$2:$L$426,2,FALSE())</f>
        <v>#N/A</v>
      </c>
      <c r="G1856" s="1" t="str">
        <f aca="false">IF(ISNA(F1856),"",F1856)</f>
        <v/>
      </c>
      <c r="H1856" s="5" t="str">
        <f aca="false">IF(G1856&lt;&gt;"",G1856,E1856)</f>
        <v>super rod:</v>
      </c>
    </row>
    <row r="1857" customFormat="false" ht="12.75" hidden="false" customHeight="true" outlineLevel="0" collapsed="false">
      <c r="A1857" s="4" t="s">
        <v>2851</v>
      </c>
      <c r="B1857" s="5" t="s">
        <v>2851</v>
      </c>
      <c r="C1857" s="1" t="str">
        <f aca="false">IF(B1857="NEW ROUTE",1,"")</f>
        <v/>
      </c>
      <c r="E1857" s="5" t="s">
        <v>2851</v>
      </c>
      <c r="F1857" s="6" t="e">
        <f aca="false">VLOOKUP(E1857,$K$2:$L$426,2,FALSE())</f>
        <v>#N/A</v>
      </c>
      <c r="G1857" s="1" t="str">
        <f aca="false">IF(ISNA(F1857),"",F1857)</f>
        <v/>
      </c>
      <c r="H1857" s="5" t="str">
        <f aca="false">IF(G1857&lt;&gt;"",G1857,E1857)</f>
        <v>15, 25, KRABBY</v>
      </c>
    </row>
    <row r="1858" customFormat="false" ht="12.75" hidden="false" customHeight="true" outlineLevel="0" collapsed="false">
      <c r="A1858" s="4" t="s">
        <v>3258</v>
      </c>
      <c r="B1858" s="5" t="s">
        <v>3258</v>
      </c>
      <c r="C1858" s="1" t="str">
        <f aca="false">IF(B1858="NEW ROUTE",1,"")</f>
        <v/>
      </c>
      <c r="E1858" s="5" t="s">
        <v>3258</v>
      </c>
      <c r="F1858" s="6" t="e">
        <f aca="false">VLOOKUP(E1858,$K$2:$L$426,2,FALSE())</f>
        <v>#N/A</v>
      </c>
      <c r="G1858" s="1" t="str">
        <f aca="false">IF(ISNA(F1858),"",F1858)</f>
        <v/>
      </c>
      <c r="H1858" s="5" t="str">
        <f aca="false">IF(G1858&lt;&gt;"",G1858,E1858)</f>
        <v>15, 25, REMORAID</v>
      </c>
    </row>
    <row r="1859" customFormat="false" ht="12.75" hidden="false" customHeight="true" outlineLevel="0" collapsed="false">
      <c r="A1859" s="4" t="s">
        <v>2853</v>
      </c>
      <c r="B1859" s="5" t="s">
        <v>2853</v>
      </c>
      <c r="C1859" s="1" t="str">
        <f aca="false">IF(B1859="NEW ROUTE",1,"")</f>
        <v/>
      </c>
      <c r="E1859" s="5" t="s">
        <v>2853</v>
      </c>
      <c r="F1859" s="6" t="e">
        <f aca="false">VLOOKUP(E1859,$K$2:$L$426,2,FALSE())</f>
        <v>#N/A</v>
      </c>
      <c r="G1859" s="1" t="str">
        <f aca="false">IF(ISNA(F1859),"",F1859)</f>
        <v/>
      </c>
      <c r="H1859" s="5" t="str">
        <f aca="false">IF(G1859&lt;&gt;"",G1859,E1859)</f>
        <v>15, 25, GYARADOS</v>
      </c>
    </row>
    <row r="1860" customFormat="false" ht="12.75" hidden="false" customHeight="true" outlineLevel="0" collapsed="false">
      <c r="A1860" s="4" t="s">
        <v>3177</v>
      </c>
      <c r="B1860" s="5" t="s">
        <v>3177</v>
      </c>
      <c r="C1860" s="1" t="str">
        <f aca="false">IF(B1860="NEW ROUTE",1,"")</f>
        <v/>
      </c>
      <c r="E1860" s="5" t="s">
        <v>3177</v>
      </c>
      <c r="F1860" s="6" t="e">
        <f aca="false">VLOOKUP(E1860,$K$2:$L$426,2,FALSE())</f>
        <v>#N/A</v>
      </c>
      <c r="G1860" s="1" t="str">
        <f aca="false">IF(ISNA(F1860),"",F1860)</f>
        <v/>
      </c>
      <c r="H1860" s="5" t="str">
        <f aca="false">IF(G1860&lt;&gt;"",G1860,E1860)</f>
        <v>25, 35, KINGLER</v>
      </c>
    </row>
    <row r="1861" customFormat="false" ht="12.75" hidden="false" customHeight="true" outlineLevel="0" collapsed="false">
      <c r="A1861" s="4" t="s">
        <v>2855</v>
      </c>
      <c r="B1861" s="5" t="s">
        <v>2855</v>
      </c>
      <c r="C1861" s="1" t="str">
        <f aca="false">IF(B1861="NEW ROUTE",1,"")</f>
        <v/>
      </c>
      <c r="E1861" s="5" t="s">
        <v>2855</v>
      </c>
      <c r="F1861" s="6" t="e">
        <f aca="false">VLOOKUP(E1861,$K$2:$L$426,2,FALSE())</f>
        <v>#N/A</v>
      </c>
      <c r="G1861" s="1" t="str">
        <f aca="false">IF(ISNA(F1861),"",F1861)</f>
        <v/>
      </c>
      <c r="H1861" s="5" t="str">
        <f aca="false">IF(G1861&lt;&gt;"",G1861,E1861)</f>
        <v>25, 35, SLOWPOKE</v>
      </c>
    </row>
    <row r="1862" customFormat="false" ht="12.75" hidden="false" customHeight="true" outlineLevel="0" collapsed="false">
      <c r="A1862" s="4" t="s">
        <v>2536</v>
      </c>
      <c r="B1862" s="5" t="s">
        <v>2536</v>
      </c>
      <c r="C1862" s="1" t="n">
        <f aca="false">IF(B1862="NEW ROUTE",1,"")</f>
        <v>1</v>
      </c>
      <c r="E1862" s="5" t="s">
        <v>2536</v>
      </c>
      <c r="F1862" s="6" t="e">
        <f aca="false">VLOOKUP(E1862,$K$2:$L$426,2,FALSE())</f>
        <v>#N/A</v>
      </c>
      <c r="G1862" s="1" t="str">
        <f aca="false">IF(ISNA(F1862),"",F1862)</f>
        <v/>
      </c>
      <c r="H1862" s="5" t="str">
        <f aca="false">IF(G1862&lt;&gt;"",G1862,E1862)</f>
        <v>NEW ROUTE</v>
      </c>
    </row>
    <row r="1863" customFormat="false" ht="12.75" hidden="false" customHeight="true" outlineLevel="0" collapsed="false">
      <c r="A1863" s="4" t="s">
        <v>504</v>
      </c>
      <c r="B1863" s="5" t="s">
        <v>504</v>
      </c>
      <c r="C1863" s="1" t="str">
        <f aca="false">IF(B1863="NEW ROUTE",1,"")</f>
        <v/>
      </c>
      <c r="E1863" s="5" t="s">
        <v>504</v>
      </c>
      <c r="F1863" s="6" t="str">
        <f aca="false">VLOOKUP(E1863,$K$2:$L$426,2,FALSE())</f>
        <v>Seven Island Sevault Canyon Entrance</v>
      </c>
      <c r="G1863" s="1" t="str">
        <f aca="false">IF(ISNA(F1863),"",F1863)</f>
        <v>Seven Island Sevault Canyon Entrance</v>
      </c>
      <c r="H1863" s="5" t="str">
        <f aca="false">IF(G1863&lt;&gt;"",G1863,E1863)</f>
        <v>Seven Island Sevault Canyon Entrance</v>
      </c>
    </row>
    <row r="1864" customFormat="false" ht="12.75" hidden="false" customHeight="true" outlineLevel="0" collapsed="false">
      <c r="A1864" s="4" t="s">
        <v>2799</v>
      </c>
      <c r="B1864" s="5" t="n">
        <v>0.2</v>
      </c>
      <c r="C1864" s="1" t="str">
        <f aca="false">IF(B1864="NEW ROUTE",1,"")</f>
        <v/>
      </c>
      <c r="E1864" s="5" t="n">
        <v>0.2</v>
      </c>
      <c r="F1864" s="6" t="e">
        <f aca="false">VLOOKUP(E1864,$K$2:$L$426,2,FALSE())</f>
        <v>#N/A</v>
      </c>
      <c r="G1864" s="1" t="str">
        <f aca="false">IF(ISNA(F1864),"",F1864)</f>
        <v/>
      </c>
      <c r="H1864" s="5" t="n">
        <f aca="false">IF(G1864&lt;&gt;"",G1864,E1864)</f>
        <v>0.2</v>
      </c>
    </row>
    <row r="1865" customFormat="false" ht="12.75" hidden="false" customHeight="true" outlineLevel="0" collapsed="false">
      <c r="A1865" s="4" t="s">
        <v>1736</v>
      </c>
      <c r="B1865" s="5" t="s">
        <v>1736</v>
      </c>
      <c r="C1865" s="1" t="str">
        <f aca="false">IF(B1865="NEW ROUTE",1,"")</f>
        <v/>
      </c>
      <c r="E1865" s="5" t="s">
        <v>1736</v>
      </c>
      <c r="F1865" s="6" t="e">
        <f aca="false">VLOOKUP(E1865,$K$2:$L$426,2,FALSE())</f>
        <v>#N/A</v>
      </c>
      <c r="G1865" s="1" t="str">
        <f aca="false">IF(ISNA(F1865),"",F1865)</f>
        <v/>
      </c>
      <c r="H1865" s="5" t="str">
        <f aca="false">IF(G1865&lt;&gt;"",G1865,E1865)</f>
        <v>44, 44, SPEAROW</v>
      </c>
    </row>
    <row r="1866" customFormat="false" ht="12.75" hidden="false" customHeight="true" outlineLevel="0" collapsed="false">
      <c r="A1866" s="4" t="s">
        <v>3261</v>
      </c>
      <c r="B1866" s="5" t="s">
        <v>3261</v>
      </c>
      <c r="C1866" s="1" t="str">
        <f aca="false">IF(B1866="NEW ROUTE",1,"")</f>
        <v/>
      </c>
      <c r="E1866" s="5" t="s">
        <v>3261</v>
      </c>
      <c r="F1866" s="6" t="e">
        <f aca="false">VLOOKUP(E1866,$K$2:$L$426,2,FALSE())</f>
        <v>#N/A</v>
      </c>
      <c r="G1866" s="1" t="str">
        <f aca="false">IF(ISNA(F1866),"",F1866)</f>
        <v/>
      </c>
      <c r="H1866" s="5" t="str">
        <f aca="false">IF(G1866&lt;&gt;"",G1866,E1866)</f>
        <v>10, 10, SENTRET</v>
      </c>
    </row>
    <row r="1867" customFormat="false" ht="12.75" hidden="false" customHeight="true" outlineLevel="0" collapsed="false">
      <c r="A1867" s="4" t="s">
        <v>2801</v>
      </c>
      <c r="B1867" s="5" t="n">
        <v>0.1</v>
      </c>
      <c r="C1867" s="1" t="str">
        <f aca="false">IF(B1867="NEW ROUTE",1,"")</f>
        <v/>
      </c>
      <c r="E1867" s="5" t="n">
        <v>0.1</v>
      </c>
      <c r="F1867" s="6" t="e">
        <f aca="false">VLOOKUP(E1867,$K$2:$L$426,2,FALSE())</f>
        <v>#N/A</v>
      </c>
      <c r="G1867" s="1" t="str">
        <f aca="false">IF(ISNA(F1867),"",F1867)</f>
        <v/>
      </c>
      <c r="H1867" s="5" t="n">
        <f aca="false">IF(G1867&lt;&gt;"",G1867,E1867)</f>
        <v>0.1</v>
      </c>
    </row>
    <row r="1868" customFormat="false" ht="12.75" hidden="false" customHeight="true" outlineLevel="0" collapsed="false">
      <c r="A1868" s="4" t="s">
        <v>3298</v>
      </c>
      <c r="B1868" s="5" t="s">
        <v>3298</v>
      </c>
      <c r="C1868" s="1" t="str">
        <f aca="false">IF(B1868="NEW ROUTE",1,"")</f>
        <v/>
      </c>
      <c r="E1868" s="5" t="s">
        <v>3298</v>
      </c>
      <c r="F1868" s="6" t="e">
        <f aca="false">VLOOKUP(E1868,$K$2:$L$426,2,FALSE())</f>
        <v>#N/A</v>
      </c>
      <c r="G1868" s="1" t="str">
        <f aca="false">IF(ISNA(F1868),"",F1868)</f>
        <v/>
      </c>
      <c r="H1868" s="5" t="str">
        <f aca="false">IF(G1868&lt;&gt;"",G1868,E1868)</f>
        <v>10, 10, PHANPY</v>
      </c>
    </row>
    <row r="1869" customFormat="false" ht="12.75" hidden="false" customHeight="true" outlineLevel="0" collapsed="false">
      <c r="A1869" s="4" t="s">
        <v>3279</v>
      </c>
      <c r="B1869" s="5" t="s">
        <v>3279</v>
      </c>
      <c r="C1869" s="1" t="str">
        <f aca="false">IF(B1869="NEW ROUTE",1,"")</f>
        <v/>
      </c>
      <c r="E1869" s="5" t="s">
        <v>3279</v>
      </c>
      <c r="F1869" s="6" t="e">
        <f aca="false">VLOOKUP(E1869,$K$2:$L$426,2,FALSE())</f>
        <v>#N/A</v>
      </c>
      <c r="G1869" s="1" t="str">
        <f aca="false">IF(ISNA(F1869),"",F1869)</f>
        <v/>
      </c>
      <c r="H1869" s="5" t="str">
        <f aca="false">IF(G1869&lt;&gt;"",G1869,E1869)</f>
        <v>48, 48, FEAROW</v>
      </c>
    </row>
    <row r="1870" customFormat="false" ht="12.75" hidden="false" customHeight="true" outlineLevel="0" collapsed="false">
      <c r="A1870" s="4" t="s">
        <v>3263</v>
      </c>
      <c r="B1870" s="5" t="s">
        <v>3263</v>
      </c>
      <c r="C1870" s="1" t="str">
        <f aca="false">IF(B1870="NEW ROUTE",1,"")</f>
        <v/>
      </c>
      <c r="E1870" s="5" t="s">
        <v>3263</v>
      </c>
      <c r="F1870" s="6" t="e">
        <f aca="false">VLOOKUP(E1870,$K$2:$L$426,2,FALSE())</f>
        <v>#N/A</v>
      </c>
      <c r="G1870" s="1" t="str">
        <f aca="false">IF(ISNA(F1870),"",F1870)</f>
        <v/>
      </c>
      <c r="H1870" s="5" t="str">
        <f aca="false">IF(G1870&lt;&gt;"",G1870,E1870)</f>
        <v>15, 15, SENTRET</v>
      </c>
    </row>
    <row r="1871" customFormat="false" ht="12.75" hidden="false" customHeight="true" outlineLevel="0" collapsed="false">
      <c r="A1871" s="4" t="s">
        <v>3264</v>
      </c>
      <c r="B1871" s="5" t="s">
        <v>3264</v>
      </c>
      <c r="C1871" s="1" t="str">
        <f aca="false">IF(B1871="NEW ROUTE",1,"")</f>
        <v/>
      </c>
      <c r="E1871" s="5" t="s">
        <v>3264</v>
      </c>
      <c r="F1871" s="6" t="e">
        <f aca="false">VLOOKUP(E1871,$K$2:$L$426,2,FALSE())</f>
        <v>#N/A</v>
      </c>
      <c r="G1871" s="1" t="str">
        <f aca="false">IF(ISNA(F1871),"",F1871)</f>
        <v/>
      </c>
      <c r="H1871" s="5" t="str">
        <f aca="false">IF(G1871&lt;&gt;"",G1871,E1871)</f>
        <v>41, 41, MEOWTH</v>
      </c>
    </row>
    <row r="1872" customFormat="false" ht="12.75" hidden="false" customHeight="true" outlineLevel="0" collapsed="false">
      <c r="A1872" s="4" t="s">
        <v>2806</v>
      </c>
      <c r="B1872" s="5" t="n">
        <v>0.05</v>
      </c>
      <c r="C1872" s="1" t="str">
        <f aca="false">IF(B1872="NEW ROUTE",1,"")</f>
        <v/>
      </c>
      <c r="E1872" s="5" t="n">
        <v>0.05</v>
      </c>
      <c r="F1872" s="6" t="e">
        <f aca="false">VLOOKUP(E1872,$K$2:$L$426,2,FALSE())</f>
        <v>#N/A</v>
      </c>
      <c r="G1872" s="1" t="str">
        <f aca="false">IF(ISNA(F1872),"",F1872)</f>
        <v/>
      </c>
      <c r="H1872" s="5" t="n">
        <f aca="false">IF(G1872&lt;&gt;"",G1872,E1872)</f>
        <v>0.05</v>
      </c>
    </row>
    <row r="1873" customFormat="false" ht="12.75" hidden="false" customHeight="true" outlineLevel="0" collapsed="false">
      <c r="A1873" s="4" t="s">
        <v>3281</v>
      </c>
      <c r="B1873" s="5" t="s">
        <v>3281</v>
      </c>
      <c r="C1873" s="1" t="str">
        <f aca="false">IF(B1873="NEW ROUTE",1,"")</f>
        <v/>
      </c>
      <c r="E1873" s="5" t="s">
        <v>3281</v>
      </c>
      <c r="F1873" s="6" t="e">
        <f aca="false">VLOOKUP(E1873,$K$2:$L$426,2,FALSE())</f>
        <v>#N/A</v>
      </c>
      <c r="G1873" s="1" t="str">
        <f aca="false">IF(ISNA(F1873),"",F1873)</f>
        <v/>
      </c>
      <c r="H1873" s="5" t="str">
        <f aca="false">IF(G1873&lt;&gt;"",G1873,E1873)</f>
        <v>50, 50, FEAROW</v>
      </c>
    </row>
    <row r="1874" customFormat="false" ht="12.75" hidden="false" customHeight="true" outlineLevel="0" collapsed="false">
      <c r="A1874" s="4" t="s">
        <v>3154</v>
      </c>
      <c r="B1874" s="5" t="s">
        <v>3154</v>
      </c>
      <c r="C1874" s="1" t="str">
        <f aca="false">IF(B1874="NEW ROUTE",1,"")</f>
        <v/>
      </c>
      <c r="E1874" s="5" t="s">
        <v>3154</v>
      </c>
      <c r="F1874" s="6" t="e">
        <f aca="false">VLOOKUP(E1874,$K$2:$L$426,2,FALSE())</f>
        <v>#N/A</v>
      </c>
      <c r="G1874" s="1" t="str">
        <f aca="false">IF(ISNA(F1874),"",F1874)</f>
        <v/>
      </c>
      <c r="H1874" s="5" t="str">
        <f aca="false">IF(G1874&lt;&gt;"",G1874,E1874)</f>
        <v>41, 41, SLOWPOKE</v>
      </c>
    </row>
    <row r="1875" customFormat="false" ht="12.75" hidden="false" customHeight="true" outlineLevel="0" collapsed="false">
      <c r="A1875" s="4" t="s">
        <v>2809</v>
      </c>
      <c r="B1875" s="5" t="n">
        <v>0.04</v>
      </c>
      <c r="C1875" s="1" t="str">
        <f aca="false">IF(B1875="NEW ROUTE",1,"")</f>
        <v/>
      </c>
      <c r="E1875" s="5" t="n">
        <v>0.04</v>
      </c>
      <c r="F1875" s="6" t="e">
        <f aca="false">VLOOKUP(E1875,$K$2:$L$426,2,FALSE())</f>
        <v>#N/A</v>
      </c>
      <c r="G1875" s="1" t="str">
        <f aca="false">IF(ISNA(F1875),"",F1875)</f>
        <v/>
      </c>
      <c r="H1875" s="5" t="n">
        <f aca="false">IF(G1875&lt;&gt;"",G1875,E1875)</f>
        <v>0.04</v>
      </c>
    </row>
    <row r="1876" customFormat="false" ht="12.75" hidden="false" customHeight="true" outlineLevel="0" collapsed="false">
      <c r="A1876" s="4" t="s">
        <v>3299</v>
      </c>
      <c r="B1876" s="5" t="s">
        <v>3299</v>
      </c>
      <c r="C1876" s="1" t="str">
        <f aca="false">IF(B1876="NEW ROUTE",1,"")</f>
        <v/>
      </c>
      <c r="E1876" s="5" t="s">
        <v>3299</v>
      </c>
      <c r="F1876" s="6" t="e">
        <f aca="false">VLOOKUP(E1876,$K$2:$L$426,2,FALSE())</f>
        <v>#N/A</v>
      </c>
      <c r="G1876" s="1" t="str">
        <f aca="false">IF(ISNA(F1876),"",F1876)</f>
        <v/>
      </c>
      <c r="H1876" s="5" t="str">
        <f aca="false">IF(G1876&lt;&gt;"",G1876,E1876)</f>
        <v>15, 15, PHANPY</v>
      </c>
    </row>
    <row r="1877" customFormat="false" ht="12.75" hidden="false" customHeight="true" outlineLevel="0" collapsed="false">
      <c r="A1877" s="4" t="s">
        <v>3267</v>
      </c>
      <c r="B1877" s="5" t="s">
        <v>3267</v>
      </c>
      <c r="C1877" s="1" t="str">
        <f aca="false">IF(B1877="NEW ROUTE",1,"")</f>
        <v/>
      </c>
      <c r="E1877" s="5" t="s">
        <v>3267</v>
      </c>
      <c r="F1877" s="6" t="e">
        <f aca="false">VLOOKUP(E1877,$K$2:$L$426,2,FALSE())</f>
        <v>#N/A</v>
      </c>
      <c r="G1877" s="1" t="str">
        <f aca="false">IF(ISNA(F1877),"",F1877)</f>
        <v/>
      </c>
      <c r="H1877" s="5" t="str">
        <f aca="false">IF(G1877&lt;&gt;"",G1877,E1877)</f>
        <v>47, 47, PERSIAN</v>
      </c>
    </row>
    <row r="1878" customFormat="false" ht="12.75" hidden="false" customHeight="true" outlineLevel="0" collapsed="false">
      <c r="A1878" s="4" t="s">
        <v>2812</v>
      </c>
      <c r="B1878" s="5" t="n">
        <v>0.01</v>
      </c>
      <c r="C1878" s="1" t="str">
        <f aca="false">IF(B1878="NEW ROUTE",1,"")</f>
        <v/>
      </c>
      <c r="E1878" s="5" t="n">
        <v>0.01</v>
      </c>
      <c r="F1878" s="6" t="e">
        <f aca="false">VLOOKUP(E1878,$K$2:$L$426,2,FALSE())</f>
        <v>#N/A</v>
      </c>
      <c r="G1878" s="1" t="str">
        <f aca="false">IF(ISNA(F1878),"",F1878)</f>
        <v/>
      </c>
      <c r="H1878" s="5" t="n">
        <f aca="false">IF(G1878&lt;&gt;"",G1878,E1878)</f>
        <v>0.01</v>
      </c>
    </row>
    <row r="1879" customFormat="false" ht="12.75" hidden="false" customHeight="true" outlineLevel="0" collapsed="false">
      <c r="A1879" s="4" t="s">
        <v>3299</v>
      </c>
      <c r="B1879" s="5" t="s">
        <v>3299</v>
      </c>
      <c r="C1879" s="1" t="str">
        <f aca="false">IF(B1879="NEW ROUTE",1,"")</f>
        <v/>
      </c>
      <c r="E1879" s="5" t="s">
        <v>3299</v>
      </c>
      <c r="F1879" s="6" t="e">
        <f aca="false">VLOOKUP(E1879,$K$2:$L$426,2,FALSE())</f>
        <v>#N/A</v>
      </c>
      <c r="G1879" s="1" t="str">
        <f aca="false">IF(ISNA(F1879),"",F1879)</f>
        <v/>
      </c>
      <c r="H1879" s="5" t="str">
        <f aca="false">IF(G1879&lt;&gt;"",G1879,E1879)</f>
        <v>15, 15, PHANPY</v>
      </c>
    </row>
    <row r="1880" customFormat="false" ht="12.75" hidden="false" customHeight="true" outlineLevel="0" collapsed="false">
      <c r="A1880" s="4" t="s">
        <v>3268</v>
      </c>
      <c r="B1880" s="5" t="s">
        <v>3268</v>
      </c>
      <c r="C1880" s="1" t="str">
        <f aca="false">IF(B1880="NEW ROUTE",1,"")</f>
        <v/>
      </c>
      <c r="E1880" s="5" t="s">
        <v>3268</v>
      </c>
      <c r="F1880" s="6" t="e">
        <f aca="false">VLOOKUP(E1880,$K$2:$L$426,2,FALSE())</f>
        <v>#N/A</v>
      </c>
      <c r="G1880" s="1" t="str">
        <f aca="false">IF(ISNA(F1880),"",F1880)</f>
        <v/>
      </c>
      <c r="H1880" s="5" t="str">
        <f aca="false">IF(G1880&lt;&gt;"",G1880,E1880)</f>
        <v>50, 50, PERSIAN</v>
      </c>
    </row>
    <row r="1881" customFormat="false" ht="12.75" hidden="false" customHeight="true" outlineLevel="0" collapsed="false">
      <c r="A1881" s="4" t="s">
        <v>2536</v>
      </c>
      <c r="B1881" s="5" t="s">
        <v>2536</v>
      </c>
      <c r="C1881" s="1" t="n">
        <f aca="false">IF(B1881="NEW ROUTE",1,"")</f>
        <v>1</v>
      </c>
      <c r="E1881" s="5" t="s">
        <v>2536</v>
      </c>
      <c r="F1881" s="6" t="e">
        <f aca="false">VLOOKUP(E1881,$K$2:$L$426,2,FALSE())</f>
        <v>#N/A</v>
      </c>
      <c r="G1881" s="1" t="str">
        <f aca="false">IF(ISNA(F1881),"",F1881)</f>
        <v/>
      </c>
      <c r="H1881" s="5" t="str">
        <f aca="false">IF(G1881&lt;&gt;"",G1881,E1881)</f>
        <v>NEW ROUTE</v>
      </c>
    </row>
    <row r="1882" customFormat="false" ht="12.75" hidden="false" customHeight="true" outlineLevel="0" collapsed="false">
      <c r="A1882" s="4" t="s">
        <v>506</v>
      </c>
      <c r="B1882" s="5" t="s">
        <v>506</v>
      </c>
      <c r="C1882" s="1" t="str">
        <f aca="false">IF(B1882="NEW ROUTE",1,"")</f>
        <v/>
      </c>
      <c r="E1882" s="5" t="s">
        <v>506</v>
      </c>
      <c r="F1882" s="6" t="str">
        <f aca="false">VLOOKUP(E1882,$K$2:$L$426,2,FALSE())</f>
        <v>Seven Island Sevault Canyon</v>
      </c>
      <c r="G1882" s="1" t="str">
        <f aca="false">IF(ISNA(F1882),"",F1882)</f>
        <v>Seven Island Sevault Canyon</v>
      </c>
      <c r="H1882" s="5" t="str">
        <f aca="false">IF(G1882&lt;&gt;"",G1882,E1882)</f>
        <v>Seven Island Sevault Canyon</v>
      </c>
    </row>
    <row r="1883" customFormat="false" ht="12.75" hidden="false" customHeight="true" outlineLevel="0" collapsed="false">
      <c r="A1883" s="4" t="s">
        <v>2799</v>
      </c>
      <c r="B1883" s="5" t="n">
        <v>0.2</v>
      </c>
      <c r="C1883" s="1" t="str">
        <f aca="false">IF(B1883="NEW ROUTE",1,"")</f>
        <v/>
      </c>
      <c r="E1883" s="5" t="n">
        <v>0.2</v>
      </c>
      <c r="F1883" s="6" t="e">
        <f aca="false">VLOOKUP(E1883,$K$2:$L$426,2,FALSE())</f>
        <v>#N/A</v>
      </c>
      <c r="G1883" s="1" t="str">
        <f aca="false">IF(ISNA(F1883),"",F1883)</f>
        <v/>
      </c>
      <c r="H1883" s="5" t="n">
        <f aca="false">IF(G1883&lt;&gt;"",G1883,E1883)</f>
        <v>0.2</v>
      </c>
    </row>
    <row r="1884" customFormat="false" ht="12.75" hidden="false" customHeight="true" outlineLevel="0" collapsed="false">
      <c r="A1884" s="4" t="s">
        <v>1764</v>
      </c>
      <c r="B1884" s="5" t="s">
        <v>1764</v>
      </c>
      <c r="C1884" s="1" t="str">
        <f aca="false">IF(B1884="NEW ROUTE",1,"")</f>
        <v/>
      </c>
      <c r="E1884" s="5" t="s">
        <v>1764</v>
      </c>
      <c r="F1884" s="6" t="e">
        <f aca="false">VLOOKUP(E1884,$K$2:$L$426,2,FALSE())</f>
        <v>#N/A</v>
      </c>
      <c r="G1884" s="1" t="str">
        <f aca="false">IF(ISNA(F1884),"",F1884)</f>
        <v/>
      </c>
      <c r="H1884" s="5" t="str">
        <f aca="false">IF(G1884&lt;&gt;"",G1884,E1884)</f>
        <v>46, 46, GEODUDE</v>
      </c>
    </row>
    <row r="1885" customFormat="false" ht="12.75" hidden="false" customHeight="true" outlineLevel="0" collapsed="false">
      <c r="A1885" s="4" t="s">
        <v>3299</v>
      </c>
      <c r="B1885" s="5" t="s">
        <v>3299</v>
      </c>
      <c r="C1885" s="1" t="str">
        <f aca="false">IF(B1885="NEW ROUTE",1,"")</f>
        <v/>
      </c>
      <c r="E1885" s="5" t="s">
        <v>3299</v>
      </c>
      <c r="F1885" s="6" t="e">
        <f aca="false">VLOOKUP(E1885,$K$2:$L$426,2,FALSE())</f>
        <v>#N/A</v>
      </c>
      <c r="G1885" s="1" t="str">
        <f aca="false">IF(ISNA(F1885),"",F1885)</f>
        <v/>
      </c>
      <c r="H1885" s="5" t="str">
        <f aca="false">IF(G1885&lt;&gt;"",G1885,E1885)</f>
        <v>15, 15, PHANPY</v>
      </c>
    </row>
    <row r="1886" customFormat="false" ht="12.75" hidden="false" customHeight="true" outlineLevel="0" collapsed="false">
      <c r="A1886" s="4" t="s">
        <v>2801</v>
      </c>
      <c r="B1886" s="5" t="n">
        <v>0.1</v>
      </c>
      <c r="C1886" s="1" t="str">
        <f aca="false">IF(B1886="NEW ROUTE",1,"")</f>
        <v/>
      </c>
      <c r="E1886" s="5" t="n">
        <v>0.1</v>
      </c>
      <c r="F1886" s="6" t="e">
        <f aca="false">VLOOKUP(E1886,$K$2:$L$426,2,FALSE())</f>
        <v>#N/A</v>
      </c>
      <c r="G1886" s="1" t="str">
        <f aca="false">IF(ISNA(F1886),"",F1886)</f>
        <v/>
      </c>
      <c r="H1886" s="5" t="n">
        <f aca="false">IF(G1886&lt;&gt;"",G1886,E1886)</f>
        <v>0.1</v>
      </c>
    </row>
    <row r="1887" customFormat="false" ht="12.75" hidden="false" customHeight="true" outlineLevel="0" collapsed="false">
      <c r="A1887" s="4" t="s">
        <v>3302</v>
      </c>
      <c r="B1887" s="5" t="s">
        <v>3302</v>
      </c>
      <c r="C1887" s="1" t="str">
        <f aca="false">IF(B1887="NEW ROUTE",1,"")</f>
        <v/>
      </c>
      <c r="E1887" s="5" t="s">
        <v>3302</v>
      </c>
      <c r="F1887" s="6" t="e">
        <f aca="false">VLOOKUP(E1887,$K$2:$L$426,2,FALSE())</f>
        <v>#N/A</v>
      </c>
      <c r="G1887" s="1" t="str">
        <f aca="false">IF(ISNA(F1887),"",F1887)</f>
        <v/>
      </c>
      <c r="H1887" s="5" t="str">
        <f aca="false">IF(G1887&lt;&gt;"",G1887,E1887)</f>
        <v>46, 46, CUBONE</v>
      </c>
    </row>
    <row r="1888" customFormat="false" ht="12.75" hidden="false" customHeight="true" outlineLevel="0" collapsed="false">
      <c r="A1888" s="4" t="s">
        <v>3281</v>
      </c>
      <c r="B1888" s="5" t="s">
        <v>3281</v>
      </c>
      <c r="C1888" s="1" t="str">
        <f aca="false">IF(B1888="NEW ROUTE",1,"")</f>
        <v/>
      </c>
      <c r="E1888" s="5" t="s">
        <v>3281</v>
      </c>
      <c r="F1888" s="6" t="e">
        <f aca="false">VLOOKUP(E1888,$K$2:$L$426,2,FALSE())</f>
        <v>#N/A</v>
      </c>
      <c r="G1888" s="1" t="str">
        <f aca="false">IF(ISNA(F1888),"",F1888)</f>
        <v/>
      </c>
      <c r="H1888" s="5" t="str">
        <f aca="false">IF(G1888&lt;&gt;"",G1888,E1888)</f>
        <v>50, 50, FEAROW</v>
      </c>
    </row>
    <row r="1889" customFormat="false" ht="12.75" hidden="false" customHeight="true" outlineLevel="0" collapsed="false">
      <c r="A1889" s="4" t="s">
        <v>3303</v>
      </c>
      <c r="B1889" s="5" t="s">
        <v>3303</v>
      </c>
      <c r="C1889" s="1" t="str">
        <f aca="false">IF(B1889="NEW ROUTE",1,"")</f>
        <v/>
      </c>
      <c r="E1889" s="5" t="s">
        <v>3303</v>
      </c>
      <c r="F1889" s="6" t="e">
        <f aca="false">VLOOKUP(E1889,$K$2:$L$426,2,FALSE())</f>
        <v>#N/A</v>
      </c>
      <c r="G1889" s="1" t="str">
        <f aca="false">IF(ISNA(F1889),"",F1889)</f>
        <v/>
      </c>
      <c r="H1889" s="5" t="str">
        <f aca="false">IF(G1889&lt;&gt;"",G1889,E1889)</f>
        <v>52, 52, MAROWAK</v>
      </c>
    </row>
    <row r="1890" customFormat="false" ht="12.75" hidden="false" customHeight="true" outlineLevel="0" collapsed="false">
      <c r="A1890" s="4" t="s">
        <v>3286</v>
      </c>
      <c r="B1890" s="5" t="s">
        <v>3286</v>
      </c>
      <c r="C1890" s="1" t="str">
        <f aca="false">IF(B1890="NEW ROUTE",1,"")</f>
        <v/>
      </c>
      <c r="E1890" s="5" t="s">
        <v>3286</v>
      </c>
      <c r="F1890" s="6" t="e">
        <f aca="false">VLOOKUP(E1890,$K$2:$L$426,2,FALSE())</f>
        <v>#N/A</v>
      </c>
      <c r="G1890" s="1" t="str">
        <f aca="false">IF(ISNA(F1890),"",F1890)</f>
        <v/>
      </c>
      <c r="H1890" s="5" t="str">
        <f aca="false">IF(G1890&lt;&gt;"",G1890,E1890)</f>
        <v>43, 43, MEOWTH</v>
      </c>
    </row>
    <row r="1891" customFormat="false" ht="12.75" hidden="false" customHeight="true" outlineLevel="0" collapsed="false">
      <c r="A1891" s="4" t="s">
        <v>2806</v>
      </c>
      <c r="B1891" s="5" t="n">
        <v>0.05</v>
      </c>
      <c r="C1891" s="1" t="str">
        <f aca="false">IF(B1891="NEW ROUTE",1,"")</f>
        <v/>
      </c>
      <c r="E1891" s="5" t="n">
        <v>0.05</v>
      </c>
      <c r="F1891" s="6" t="e">
        <f aca="false">VLOOKUP(E1891,$K$2:$L$426,2,FALSE())</f>
        <v>#N/A</v>
      </c>
      <c r="G1891" s="1" t="str">
        <f aca="false">IF(ISNA(F1891),"",F1891)</f>
        <v/>
      </c>
      <c r="H1891" s="5" t="n">
        <f aca="false">IF(G1891&lt;&gt;"",G1891,E1891)</f>
        <v>0.05</v>
      </c>
    </row>
    <row r="1892" customFormat="false" ht="12.75" hidden="false" customHeight="true" outlineLevel="0" collapsed="false">
      <c r="A1892" s="4" t="s">
        <v>3304</v>
      </c>
      <c r="B1892" s="5" t="s">
        <v>3304</v>
      </c>
      <c r="C1892" s="1" t="str">
        <f aca="false">IF(B1892="NEW ROUTE",1,"")</f>
        <v/>
      </c>
      <c r="E1892" s="5" t="s">
        <v>3304</v>
      </c>
      <c r="F1892" s="6" t="e">
        <f aca="false">VLOOKUP(E1892,$K$2:$L$426,2,FALSE())</f>
        <v>#N/A</v>
      </c>
      <c r="G1892" s="1" t="str">
        <f aca="false">IF(ISNA(F1892),"",F1892)</f>
        <v/>
      </c>
      <c r="H1892" s="5" t="str">
        <f aca="false">IF(G1892&lt;&gt;"",G1892,E1892)</f>
        <v>54, 54, ONIX</v>
      </c>
    </row>
    <row r="1893" customFormat="false" ht="12.75" hidden="false" customHeight="true" outlineLevel="0" collapsed="false">
      <c r="A1893" s="4" t="s">
        <v>3281</v>
      </c>
      <c r="B1893" s="5" t="s">
        <v>3281</v>
      </c>
      <c r="C1893" s="1" t="str">
        <f aca="false">IF(B1893="NEW ROUTE",1,"")</f>
        <v/>
      </c>
      <c r="E1893" s="5" t="s">
        <v>3281</v>
      </c>
      <c r="F1893" s="6" t="e">
        <f aca="false">VLOOKUP(E1893,$K$2:$L$426,2,FALSE())</f>
        <v>#N/A</v>
      </c>
      <c r="G1893" s="1" t="str">
        <f aca="false">IF(ISNA(F1893),"",F1893)</f>
        <v/>
      </c>
      <c r="H1893" s="5" t="str">
        <f aca="false">IF(G1893&lt;&gt;"",G1893,E1893)</f>
        <v>50, 50, FEAROW</v>
      </c>
    </row>
    <row r="1894" customFormat="false" ht="12.75" hidden="false" customHeight="true" outlineLevel="0" collapsed="false">
      <c r="A1894" s="4" t="s">
        <v>2809</v>
      </c>
      <c r="B1894" s="5" t="n">
        <v>0.04</v>
      </c>
      <c r="C1894" s="1" t="str">
        <f aca="false">IF(B1894="NEW ROUTE",1,"")</f>
        <v/>
      </c>
      <c r="E1894" s="5" t="n">
        <v>0.04</v>
      </c>
      <c r="F1894" s="6" t="e">
        <f aca="false">VLOOKUP(E1894,$K$2:$L$426,2,FALSE())</f>
        <v>#N/A</v>
      </c>
      <c r="G1894" s="1" t="str">
        <f aca="false">IF(ISNA(F1894),"",F1894)</f>
        <v/>
      </c>
      <c r="H1894" s="5" t="n">
        <f aca="false">IF(G1894&lt;&gt;"",G1894,E1894)</f>
        <v>0.04</v>
      </c>
    </row>
    <row r="1895" customFormat="false" ht="12.75" hidden="false" customHeight="true" outlineLevel="0" collapsed="false">
      <c r="A1895" s="4" t="s">
        <v>3305</v>
      </c>
      <c r="B1895" s="5" t="s">
        <v>3305</v>
      </c>
      <c r="C1895" s="1" t="str">
        <f aca="false">IF(B1895="NEW ROUTE",1,"")</f>
        <v/>
      </c>
      <c r="E1895" s="5" t="s">
        <v>3305</v>
      </c>
      <c r="F1895" s="6" t="e">
        <f aca="false">VLOOKUP(E1895,$K$2:$L$426,2,FALSE())</f>
        <v>#N/A</v>
      </c>
      <c r="G1895" s="1" t="str">
        <f aca="false">IF(ISNA(F1895),"",F1895)</f>
        <v/>
      </c>
      <c r="H1895" s="5" t="str">
        <f aca="false">IF(G1895&lt;&gt;"",G1895,E1895)</f>
        <v>15, 15, LARVITAR</v>
      </c>
    </row>
    <row r="1896" customFormat="false" ht="12.75" hidden="false" customHeight="true" outlineLevel="0" collapsed="false">
      <c r="A1896" s="4" t="s">
        <v>3289</v>
      </c>
      <c r="B1896" s="5" t="s">
        <v>3289</v>
      </c>
      <c r="C1896" s="1" t="str">
        <f aca="false">IF(B1896="NEW ROUTE",1,"")</f>
        <v/>
      </c>
      <c r="E1896" s="5" t="s">
        <v>3289</v>
      </c>
      <c r="F1896" s="6" t="e">
        <f aca="false">VLOOKUP(E1896,$K$2:$L$426,2,FALSE())</f>
        <v>#N/A</v>
      </c>
      <c r="G1896" s="1" t="str">
        <f aca="false">IF(ISNA(F1896),"",F1896)</f>
        <v/>
      </c>
      <c r="H1896" s="5" t="str">
        <f aca="false">IF(G1896&lt;&gt;"",G1896,E1896)</f>
        <v>49, 49, PERSIAN</v>
      </c>
    </row>
    <row r="1897" customFormat="false" ht="12.75" hidden="false" customHeight="true" outlineLevel="0" collapsed="false">
      <c r="A1897" s="4" t="s">
        <v>2812</v>
      </c>
      <c r="B1897" s="5" t="n">
        <v>0.01</v>
      </c>
      <c r="C1897" s="1" t="str">
        <f aca="false">IF(B1897="NEW ROUTE",1,"")</f>
        <v/>
      </c>
      <c r="E1897" s="5" t="n">
        <v>0.01</v>
      </c>
      <c r="F1897" s="6" t="e">
        <f aca="false">VLOOKUP(E1897,$K$2:$L$426,2,FALSE())</f>
        <v>#N/A</v>
      </c>
      <c r="G1897" s="1" t="str">
        <f aca="false">IF(ISNA(F1897),"",F1897)</f>
        <v/>
      </c>
      <c r="H1897" s="5" t="n">
        <f aca="false">IF(G1897&lt;&gt;"",G1897,E1897)</f>
        <v>0.01</v>
      </c>
    </row>
    <row r="1898" customFormat="false" ht="12.75" hidden="false" customHeight="true" outlineLevel="0" collapsed="false">
      <c r="A1898" s="4" t="s">
        <v>3306</v>
      </c>
      <c r="B1898" s="5" t="s">
        <v>3306</v>
      </c>
      <c r="C1898" s="1" t="str">
        <f aca="false">IF(B1898="NEW ROUTE",1,"")</f>
        <v/>
      </c>
      <c r="E1898" s="5" t="s">
        <v>3306</v>
      </c>
      <c r="F1898" s="6" t="e">
        <f aca="false">VLOOKUP(E1898,$K$2:$L$426,2,FALSE())</f>
        <v>#N/A</v>
      </c>
      <c r="G1898" s="1" t="str">
        <f aca="false">IF(ISNA(F1898),"",F1898)</f>
        <v/>
      </c>
      <c r="H1898" s="5" t="str">
        <f aca="false">IF(G1898&lt;&gt;"",G1898,E1898)</f>
        <v>20, 20, LARVITAR</v>
      </c>
    </row>
    <row r="1899" customFormat="false" ht="12.75" hidden="false" customHeight="true" outlineLevel="0" collapsed="false">
      <c r="A1899" s="4" t="s">
        <v>3290</v>
      </c>
      <c r="B1899" s="5" t="s">
        <v>3290</v>
      </c>
      <c r="C1899" s="1" t="str">
        <f aca="false">IF(B1899="NEW ROUTE",1,"")</f>
        <v/>
      </c>
      <c r="E1899" s="5" t="s">
        <v>3290</v>
      </c>
      <c r="F1899" s="6" t="e">
        <f aca="false">VLOOKUP(E1899,$K$2:$L$426,2,FALSE())</f>
        <v>#N/A</v>
      </c>
      <c r="G1899" s="1" t="str">
        <f aca="false">IF(ISNA(F1899),"",F1899)</f>
        <v/>
      </c>
      <c r="H1899" s="5" t="str">
        <f aca="false">IF(G1899&lt;&gt;"",G1899,E1899)</f>
        <v>52, 52, PERSIAN</v>
      </c>
    </row>
    <row r="1900" customFormat="false" ht="12.75" hidden="false" customHeight="true" outlineLevel="0" collapsed="false">
      <c r="A1900" s="4" t="s">
        <v>3307</v>
      </c>
      <c r="B1900" s="5" t="s">
        <v>3307</v>
      </c>
      <c r="C1900" s="1" t="str">
        <f aca="false">IF(B1900="NEW ROUTE",1,"")</f>
        <v/>
      </c>
      <c r="E1900" s="5" t="s">
        <v>3307</v>
      </c>
      <c r="F1900" s="6" t="e">
        <f aca="false">VLOOKUP(E1900,$K$2:$L$426,2,FALSE())</f>
        <v>#N/A</v>
      </c>
      <c r="G1900" s="1" t="str">
        <f aca="false">IF(ISNA(F1900),"",F1900)</f>
        <v/>
      </c>
      <c r="H1900" s="5" t="str">
        <f aca="false">IF(G1900&lt;&gt;"",G1900,E1900)</f>
        <v>25, 25, 35, GEODUDE</v>
      </c>
    </row>
    <row r="1901" customFormat="false" ht="12.75" hidden="false" customHeight="true" outlineLevel="0" collapsed="false">
      <c r="A1901" s="4" t="s">
        <v>3102</v>
      </c>
      <c r="B1901" s="5" t="s">
        <v>3102</v>
      </c>
      <c r="C1901" s="1" t="str">
        <f aca="false">IF(B1901="NEW ROUTE",1,"")</f>
        <v/>
      </c>
      <c r="E1901" s="5" t="s">
        <v>3102</v>
      </c>
      <c r="F1901" s="6" t="e">
        <f aca="false">VLOOKUP(E1901,$K$2:$L$426,2,FALSE())</f>
        <v>#N/A</v>
      </c>
      <c r="G1901" s="1" t="str">
        <f aca="false">IF(ISNA(F1901),"",F1901)</f>
        <v/>
      </c>
      <c r="H1901" s="5" t="str">
        <f aca="false">IF(G1901&lt;&gt;"",G1901,E1901)</f>
        <v>30, 45, GRAVELER</v>
      </c>
    </row>
    <row r="1902" customFormat="false" ht="12.75" hidden="false" customHeight="true" outlineLevel="0" collapsed="false">
      <c r="A1902" s="4" t="s">
        <v>3103</v>
      </c>
      <c r="B1902" s="5" t="s">
        <v>3103</v>
      </c>
      <c r="C1902" s="1" t="str">
        <f aca="false">IF(B1902="NEW ROUTE",1,"")</f>
        <v/>
      </c>
      <c r="E1902" s="5" t="s">
        <v>3103</v>
      </c>
      <c r="F1902" s="6" t="e">
        <f aca="false">VLOOKUP(E1902,$K$2:$L$426,2,FALSE())</f>
        <v>#N/A</v>
      </c>
      <c r="G1902" s="1" t="str">
        <f aca="false">IF(ISNA(F1902),"",F1902)</f>
        <v/>
      </c>
      <c r="H1902" s="5" t="str">
        <f aca="false">IF(G1902&lt;&gt;"",G1902,E1902)</f>
        <v>35, 50, GRAVELER</v>
      </c>
    </row>
    <row r="1903" customFormat="false" ht="12.75" hidden="false" customHeight="true" outlineLevel="0" collapsed="false">
      <c r="A1903" s="4" t="s">
        <v>3104</v>
      </c>
      <c r="B1903" s="5" t="s">
        <v>3104</v>
      </c>
      <c r="C1903" s="1" t="str">
        <f aca="false">IF(B1903="NEW ROUTE",1,"")</f>
        <v/>
      </c>
      <c r="E1903" s="5" t="s">
        <v>3104</v>
      </c>
      <c r="F1903" s="6" t="e">
        <f aca="false">VLOOKUP(E1903,$K$2:$L$426,2,FALSE())</f>
        <v>#N/A</v>
      </c>
      <c r="G1903" s="1" t="str">
        <f aca="false">IF(ISNA(F1903),"",F1903)</f>
        <v/>
      </c>
      <c r="H1903" s="5" t="str">
        <f aca="false">IF(G1903&lt;&gt;"",G1903,E1903)</f>
        <v>30, 40, GEODUDE</v>
      </c>
    </row>
    <row r="1904" customFormat="false" ht="12.75" hidden="false" customHeight="true" outlineLevel="0" collapsed="false">
      <c r="A1904" s="4" t="s">
        <v>3104</v>
      </c>
      <c r="B1904" s="5" t="s">
        <v>3104</v>
      </c>
      <c r="C1904" s="1" t="str">
        <f aca="false">IF(B1904="NEW ROUTE",1,"")</f>
        <v/>
      </c>
      <c r="E1904" s="5" t="s">
        <v>3104</v>
      </c>
      <c r="F1904" s="6" t="e">
        <f aca="false">VLOOKUP(E1904,$K$2:$L$426,2,FALSE())</f>
        <v>#N/A</v>
      </c>
      <c r="G1904" s="1" t="str">
        <f aca="false">IF(ISNA(F1904),"",F1904)</f>
        <v/>
      </c>
      <c r="H1904" s="5" t="str">
        <f aca="false">IF(G1904&lt;&gt;"",G1904,E1904)</f>
        <v>30, 40, GEODUDE</v>
      </c>
    </row>
    <row r="1905" customFormat="false" ht="12.75" hidden="false" customHeight="true" outlineLevel="0" collapsed="false">
      <c r="A1905" s="4" t="s">
        <v>2536</v>
      </c>
      <c r="B1905" s="5" t="s">
        <v>2536</v>
      </c>
      <c r="C1905" s="1" t="n">
        <f aca="false">IF(B1905="NEW ROUTE",1,"")</f>
        <v>1</v>
      </c>
      <c r="E1905" s="5" t="s">
        <v>2536</v>
      </c>
      <c r="F1905" s="6" t="e">
        <f aca="false">VLOOKUP(E1905,$K$2:$L$426,2,FALSE())</f>
        <v>#N/A</v>
      </c>
      <c r="G1905" s="1" t="str">
        <f aca="false">IF(ISNA(F1905),"",F1905)</f>
        <v/>
      </c>
      <c r="H1905" s="5" t="str">
        <f aca="false">IF(G1905&lt;&gt;"",G1905,E1905)</f>
        <v>NEW ROUTE</v>
      </c>
    </row>
    <row r="1906" customFormat="false" ht="12.75" hidden="false" customHeight="true" outlineLevel="0" collapsed="false">
      <c r="A1906" s="4" t="s">
        <v>508</v>
      </c>
      <c r="B1906" s="5" t="s">
        <v>508</v>
      </c>
      <c r="C1906" s="1" t="str">
        <f aca="false">IF(B1906="NEW ROUTE",1,"")</f>
        <v/>
      </c>
      <c r="E1906" s="5" t="s">
        <v>508</v>
      </c>
      <c r="F1906" s="6" t="str">
        <f aca="false">VLOOKUP(E1906,$K$2:$L$426,2,FALSE())</f>
        <v>Seven Island Tanoby Ruins</v>
      </c>
      <c r="G1906" s="1" t="str">
        <f aca="false">IF(ISNA(F1906),"",F1906)</f>
        <v>Seven Island Tanoby Ruins</v>
      </c>
      <c r="H1906" s="5" t="str">
        <f aca="false">IF(G1906&lt;&gt;"",G1906,E1906)</f>
        <v>Seven Island Tanoby Ruins</v>
      </c>
    </row>
    <row r="1907" customFormat="false" ht="12.75" hidden="false" customHeight="true" outlineLevel="0" collapsed="false">
      <c r="A1907" s="4" t="s">
        <v>3172</v>
      </c>
      <c r="B1907" s="5" t="s">
        <v>3172</v>
      </c>
      <c r="C1907" s="1" t="str">
        <f aca="false">IF(B1907="NEW ROUTE",1,"")</f>
        <v/>
      </c>
      <c r="E1907" s="5" t="s">
        <v>3172</v>
      </c>
      <c r="F1907" s="6" t="e">
        <f aca="false">VLOOKUP(E1907,$K$2:$L$426,2,FALSE())</f>
        <v>#N/A</v>
      </c>
      <c r="G1907" s="1" t="str">
        <f aca="false">IF(ISNA(F1907),"",F1907)</f>
        <v/>
      </c>
      <c r="H1907" s="5" t="str">
        <f aca="false">IF(G1907&lt;&gt;"",G1907,E1907)</f>
        <v>2, 5, 20, TENTACOOL</v>
      </c>
    </row>
    <row r="1908" customFormat="false" ht="12.75" hidden="false" customHeight="true" outlineLevel="0" collapsed="false">
      <c r="A1908" s="4" t="s">
        <v>3173</v>
      </c>
      <c r="B1908" s="5" t="s">
        <v>3173</v>
      </c>
      <c r="C1908" s="1" t="str">
        <f aca="false">IF(B1908="NEW ROUTE",1,"")</f>
        <v/>
      </c>
      <c r="E1908" s="5" t="s">
        <v>3173</v>
      </c>
      <c r="F1908" s="6" t="e">
        <f aca="false">VLOOKUP(E1908,$K$2:$L$426,2,FALSE())</f>
        <v>#N/A</v>
      </c>
      <c r="G1908" s="1" t="str">
        <f aca="false">IF(ISNA(F1908),"",F1908)</f>
        <v/>
      </c>
      <c r="H1908" s="5" t="str">
        <f aca="false">IF(G1908&lt;&gt;"",G1908,E1908)</f>
        <v>20, 35, TENTACOOL</v>
      </c>
    </row>
    <row r="1909" customFormat="false" ht="12.75" hidden="false" customHeight="true" outlineLevel="0" collapsed="false">
      <c r="A1909" s="4" t="s">
        <v>3296</v>
      </c>
      <c r="B1909" s="5" t="s">
        <v>3296</v>
      </c>
      <c r="C1909" s="1" t="str">
        <f aca="false">IF(B1909="NEW ROUTE",1,"")</f>
        <v/>
      </c>
      <c r="E1909" s="5" t="s">
        <v>3296</v>
      </c>
      <c r="F1909" s="6" t="e">
        <f aca="false">VLOOKUP(E1909,$K$2:$L$426,2,FALSE())</f>
        <v>#N/A</v>
      </c>
      <c r="G1909" s="1" t="str">
        <f aca="false">IF(ISNA(F1909),"",F1909)</f>
        <v/>
      </c>
      <c r="H1909" s="5" t="str">
        <f aca="false">IF(G1909&lt;&gt;"",G1909,E1909)</f>
        <v>35, 40, MANTINE</v>
      </c>
    </row>
    <row r="1910" customFormat="false" ht="12.75" hidden="false" customHeight="true" outlineLevel="0" collapsed="false">
      <c r="A1910" s="4" t="s">
        <v>3231</v>
      </c>
      <c r="B1910" s="5" t="s">
        <v>3231</v>
      </c>
      <c r="C1910" s="1" t="str">
        <f aca="false">IF(B1910="NEW ROUTE",1,"")</f>
        <v/>
      </c>
      <c r="E1910" s="5" t="s">
        <v>3231</v>
      </c>
      <c r="F1910" s="6" t="e">
        <f aca="false">VLOOKUP(E1910,$K$2:$L$426,2,FALSE())</f>
        <v>#N/A</v>
      </c>
      <c r="G1910" s="1" t="str">
        <f aca="false">IF(ISNA(F1910),"",F1910)</f>
        <v/>
      </c>
      <c r="H1910" s="5" t="str">
        <f aca="false">IF(G1910&lt;&gt;"",G1910,E1910)</f>
        <v>35, 40, TENTACRUEL</v>
      </c>
    </row>
    <row r="1911" customFormat="false" ht="12.75" hidden="false" customHeight="true" outlineLevel="0" collapsed="false">
      <c r="A1911" s="4" t="s">
        <v>3231</v>
      </c>
      <c r="B1911" s="5" t="s">
        <v>3231</v>
      </c>
      <c r="C1911" s="1" t="str">
        <f aca="false">IF(B1911="NEW ROUTE",1,"")</f>
        <v/>
      </c>
      <c r="E1911" s="5" t="s">
        <v>3231</v>
      </c>
      <c r="F1911" s="6" t="e">
        <f aca="false">VLOOKUP(E1911,$K$2:$L$426,2,FALSE())</f>
        <v>#N/A</v>
      </c>
      <c r="G1911" s="1" t="str">
        <f aca="false">IF(ISNA(F1911),"",F1911)</f>
        <v/>
      </c>
      <c r="H1911" s="5" t="str">
        <f aca="false">IF(G1911&lt;&gt;"",G1911,E1911)</f>
        <v>35, 40, TENTACRUEL</v>
      </c>
    </row>
    <row r="1912" customFormat="false" ht="12.75" hidden="false" customHeight="true" outlineLevel="0" collapsed="false">
      <c r="A1912" s="4" t="s">
        <v>2925</v>
      </c>
      <c r="B1912" s="5" t="s">
        <v>2925</v>
      </c>
      <c r="C1912" s="1" t="str">
        <f aca="false">IF(B1912="NEW ROUTE",1,"")</f>
        <v/>
      </c>
      <c r="E1912" s="5" t="s">
        <v>2925</v>
      </c>
      <c r="F1912" s="6" t="e">
        <f aca="false">VLOOKUP(E1912,$K$2:$L$426,2,FALSE())</f>
        <v>#N/A</v>
      </c>
      <c r="G1912" s="1" t="str">
        <f aca="false">IF(ISNA(F1912),"",F1912)</f>
        <v/>
      </c>
      <c r="H1912" s="5" t="str">
        <f aca="false">IF(G1912&lt;&gt;"",G1912,E1912)</f>
        <v>20, old rod:</v>
      </c>
    </row>
    <row r="1913" customFormat="false" ht="12.75" hidden="false" customHeight="true" outlineLevel="0" collapsed="false">
      <c r="A1913" s="4" t="s">
        <v>1266</v>
      </c>
      <c r="B1913" s="5" t="s">
        <v>1266</v>
      </c>
      <c r="C1913" s="1" t="str">
        <f aca="false">IF(B1913="NEW ROUTE",1,"")</f>
        <v/>
      </c>
      <c r="E1913" s="5" t="s">
        <v>1266</v>
      </c>
      <c r="F1913" s="6" t="e">
        <f aca="false">VLOOKUP(E1913,$K$2:$L$426,2,FALSE())</f>
        <v>#N/A</v>
      </c>
      <c r="G1913" s="1" t="str">
        <f aca="false">IF(ISNA(F1913),"",F1913)</f>
        <v/>
      </c>
      <c r="H1913" s="5" t="str">
        <f aca="false">IF(G1913&lt;&gt;"",G1913,E1913)</f>
        <v>5, 5, MAGIKARP</v>
      </c>
    </row>
    <row r="1914" customFormat="false" ht="12.75" hidden="false" customHeight="true" outlineLevel="0" collapsed="false">
      <c r="A1914" s="4" t="s">
        <v>1266</v>
      </c>
      <c r="B1914" s="5" t="s">
        <v>1266</v>
      </c>
      <c r="C1914" s="1" t="str">
        <f aca="false">IF(B1914="NEW ROUTE",1,"")</f>
        <v/>
      </c>
      <c r="E1914" s="5" t="s">
        <v>1266</v>
      </c>
      <c r="F1914" s="6" t="e">
        <f aca="false">VLOOKUP(E1914,$K$2:$L$426,2,FALSE())</f>
        <v>#N/A</v>
      </c>
      <c r="G1914" s="1" t="str">
        <f aca="false">IF(ISNA(F1914),"",F1914)</f>
        <v/>
      </c>
      <c r="H1914" s="5" t="str">
        <f aca="false">IF(G1914&lt;&gt;"",G1914,E1914)</f>
        <v>5, 5, MAGIKARP</v>
      </c>
    </row>
    <row r="1915" customFormat="false" ht="12.75" hidden="false" customHeight="true" outlineLevel="0" collapsed="false">
      <c r="A1915" s="4" t="s">
        <v>2846</v>
      </c>
      <c r="B1915" s="5" t="s">
        <v>2846</v>
      </c>
      <c r="C1915" s="1" t="str">
        <f aca="false">IF(B1915="NEW ROUTE",1,"")</f>
        <v/>
      </c>
      <c r="E1915" s="5" t="s">
        <v>2846</v>
      </c>
      <c r="F1915" s="6" t="e">
        <f aca="false">VLOOKUP(E1915,$K$2:$L$426,2,FALSE())</f>
        <v>#N/A</v>
      </c>
      <c r="G1915" s="1" t="str">
        <f aca="false">IF(ISNA(F1915),"",F1915)</f>
        <v/>
      </c>
      <c r="H1915" s="5" t="str">
        <f aca="false">IF(G1915&lt;&gt;"",G1915,E1915)</f>
        <v>good rod:</v>
      </c>
    </row>
    <row r="1916" customFormat="false" ht="12.75" hidden="false" customHeight="true" outlineLevel="0" collapsed="false">
      <c r="A1916" s="4" t="s">
        <v>2847</v>
      </c>
      <c r="B1916" s="5" t="s">
        <v>2847</v>
      </c>
      <c r="C1916" s="1" t="str">
        <f aca="false">IF(B1916="NEW ROUTE",1,"")</f>
        <v/>
      </c>
      <c r="E1916" s="5" t="s">
        <v>2847</v>
      </c>
      <c r="F1916" s="6" t="e">
        <f aca="false">VLOOKUP(E1916,$K$2:$L$426,2,FALSE())</f>
        <v>#N/A</v>
      </c>
      <c r="G1916" s="1" t="str">
        <f aca="false">IF(ISNA(F1916),"",F1916)</f>
        <v/>
      </c>
      <c r="H1916" s="5" t="str">
        <f aca="false">IF(G1916&lt;&gt;"",G1916,E1916)</f>
        <v>5, 15, KRABBY</v>
      </c>
    </row>
    <row r="1917" customFormat="false" ht="12.75" hidden="false" customHeight="true" outlineLevel="0" collapsed="false">
      <c r="A1917" s="4" t="s">
        <v>2848</v>
      </c>
      <c r="B1917" s="5" t="s">
        <v>2848</v>
      </c>
      <c r="C1917" s="1" t="str">
        <f aca="false">IF(B1917="NEW ROUTE",1,"")</f>
        <v/>
      </c>
      <c r="E1917" s="5" t="s">
        <v>2848</v>
      </c>
      <c r="F1917" s="6" t="e">
        <f aca="false">VLOOKUP(E1917,$K$2:$L$426,2,FALSE())</f>
        <v>#N/A</v>
      </c>
      <c r="G1917" s="1" t="str">
        <f aca="false">IF(ISNA(F1917),"",F1917)</f>
        <v/>
      </c>
      <c r="H1917" s="5" t="str">
        <f aca="false">IF(G1917&lt;&gt;"",G1917,E1917)</f>
        <v>5, 15, MAGIKARP</v>
      </c>
    </row>
    <row r="1918" customFormat="false" ht="12.75" hidden="false" customHeight="true" outlineLevel="0" collapsed="false">
      <c r="A1918" s="4" t="s">
        <v>2847</v>
      </c>
      <c r="B1918" s="5" t="s">
        <v>2847</v>
      </c>
      <c r="C1918" s="1" t="str">
        <f aca="false">IF(B1918="NEW ROUTE",1,"")</f>
        <v/>
      </c>
      <c r="E1918" s="5" t="s">
        <v>2847</v>
      </c>
      <c r="F1918" s="6" t="e">
        <f aca="false">VLOOKUP(E1918,$K$2:$L$426,2,FALSE())</f>
        <v>#N/A</v>
      </c>
      <c r="G1918" s="1" t="str">
        <f aca="false">IF(ISNA(F1918),"",F1918)</f>
        <v/>
      </c>
      <c r="H1918" s="5" t="str">
        <f aca="false">IF(G1918&lt;&gt;"",G1918,E1918)</f>
        <v>5, 15, KRABBY</v>
      </c>
    </row>
    <row r="1919" customFormat="false" ht="12.75" hidden="false" customHeight="true" outlineLevel="0" collapsed="false">
      <c r="A1919" s="4" t="s">
        <v>2850</v>
      </c>
      <c r="B1919" s="5" t="s">
        <v>2850</v>
      </c>
      <c r="C1919" s="1" t="str">
        <f aca="false">IF(B1919="NEW ROUTE",1,"")</f>
        <v/>
      </c>
      <c r="E1919" s="5" t="s">
        <v>2850</v>
      </c>
      <c r="F1919" s="6" t="e">
        <f aca="false">VLOOKUP(E1919,$K$2:$L$426,2,FALSE())</f>
        <v>#N/A</v>
      </c>
      <c r="G1919" s="1" t="str">
        <f aca="false">IF(ISNA(F1919),"",F1919)</f>
        <v/>
      </c>
      <c r="H1919" s="5" t="str">
        <f aca="false">IF(G1919&lt;&gt;"",G1919,E1919)</f>
        <v>super rod:</v>
      </c>
    </row>
    <row r="1920" customFormat="false" ht="12.75" hidden="false" customHeight="true" outlineLevel="0" collapsed="false">
      <c r="A1920" s="4" t="s">
        <v>2851</v>
      </c>
      <c r="B1920" s="5" t="s">
        <v>2851</v>
      </c>
      <c r="C1920" s="1" t="str">
        <f aca="false">IF(B1920="NEW ROUTE",1,"")</f>
        <v/>
      </c>
      <c r="E1920" s="5" t="s">
        <v>2851</v>
      </c>
      <c r="F1920" s="6" t="e">
        <f aca="false">VLOOKUP(E1920,$K$2:$L$426,2,FALSE())</f>
        <v>#N/A</v>
      </c>
      <c r="G1920" s="1" t="str">
        <f aca="false">IF(ISNA(F1920),"",F1920)</f>
        <v/>
      </c>
      <c r="H1920" s="5" t="str">
        <f aca="false">IF(G1920&lt;&gt;"",G1920,E1920)</f>
        <v>15, 25, KRABBY</v>
      </c>
    </row>
    <row r="1921" customFormat="false" ht="12.75" hidden="false" customHeight="true" outlineLevel="0" collapsed="false">
      <c r="A1921" s="4" t="s">
        <v>3258</v>
      </c>
      <c r="B1921" s="5" t="s">
        <v>3258</v>
      </c>
      <c r="C1921" s="1" t="str">
        <f aca="false">IF(B1921="NEW ROUTE",1,"")</f>
        <v/>
      </c>
      <c r="E1921" s="5" t="s">
        <v>3258</v>
      </c>
      <c r="F1921" s="6" t="e">
        <f aca="false">VLOOKUP(E1921,$K$2:$L$426,2,FALSE())</f>
        <v>#N/A</v>
      </c>
      <c r="G1921" s="1" t="str">
        <f aca="false">IF(ISNA(F1921),"",F1921)</f>
        <v/>
      </c>
      <c r="H1921" s="5" t="str">
        <f aca="false">IF(G1921&lt;&gt;"",G1921,E1921)</f>
        <v>15, 25, REMORAID</v>
      </c>
    </row>
    <row r="1922" customFormat="false" ht="12.75" hidden="false" customHeight="true" outlineLevel="0" collapsed="false">
      <c r="A1922" s="4" t="s">
        <v>2853</v>
      </c>
      <c r="B1922" s="5" t="s">
        <v>2853</v>
      </c>
      <c r="C1922" s="1" t="str">
        <f aca="false">IF(B1922="NEW ROUTE",1,"")</f>
        <v/>
      </c>
      <c r="E1922" s="5" t="s">
        <v>2853</v>
      </c>
      <c r="F1922" s="6" t="e">
        <f aca="false">VLOOKUP(E1922,$K$2:$L$426,2,FALSE())</f>
        <v>#N/A</v>
      </c>
      <c r="G1922" s="1" t="str">
        <f aca="false">IF(ISNA(F1922),"",F1922)</f>
        <v/>
      </c>
      <c r="H1922" s="5" t="str">
        <f aca="false">IF(G1922&lt;&gt;"",G1922,E1922)</f>
        <v>15, 25, GYARADOS</v>
      </c>
    </row>
    <row r="1923" customFormat="false" ht="12.75" hidden="false" customHeight="true" outlineLevel="0" collapsed="false">
      <c r="A1923" s="4" t="s">
        <v>3177</v>
      </c>
      <c r="B1923" s="5" t="s">
        <v>3177</v>
      </c>
      <c r="C1923" s="1" t="str">
        <f aca="false">IF(B1923="NEW ROUTE",1,"")</f>
        <v/>
      </c>
      <c r="E1923" s="5" t="s">
        <v>3177</v>
      </c>
      <c r="F1923" s="6" t="e">
        <f aca="false">VLOOKUP(E1923,$K$2:$L$426,2,FALSE())</f>
        <v>#N/A</v>
      </c>
      <c r="G1923" s="1" t="str">
        <f aca="false">IF(ISNA(F1923),"",F1923)</f>
        <v/>
      </c>
      <c r="H1923" s="5" t="str">
        <f aca="false">IF(G1923&lt;&gt;"",G1923,E1923)</f>
        <v>25, 35, KINGLER</v>
      </c>
    </row>
    <row r="1924" customFormat="false" ht="12.75" hidden="false" customHeight="true" outlineLevel="0" collapsed="false">
      <c r="A1924" s="4" t="s">
        <v>2855</v>
      </c>
      <c r="B1924" s="5" t="s">
        <v>2855</v>
      </c>
      <c r="C1924" s="1" t="str">
        <f aca="false">IF(B1924="NEW ROUTE",1,"")</f>
        <v/>
      </c>
      <c r="E1924" s="5" t="s">
        <v>2855</v>
      </c>
      <c r="F1924" s="6" t="e">
        <f aca="false">VLOOKUP(E1924,$K$2:$L$426,2,FALSE())</f>
        <v>#N/A</v>
      </c>
      <c r="G1924" s="1" t="str">
        <f aca="false">IF(ISNA(F1924),"",F1924)</f>
        <v/>
      </c>
      <c r="H1924" s="5" t="str">
        <f aca="false">IF(G1924&lt;&gt;"",G1924,E1924)</f>
        <v>25, 35, SLOWPOKE</v>
      </c>
    </row>
    <row r="1925" customFormat="false" ht="12.75" hidden="false" customHeight="true" outlineLevel="0" collapsed="false">
      <c r="A1925" s="4" t="s">
        <v>2536</v>
      </c>
      <c r="B1925" s="5" t="s">
        <v>2536</v>
      </c>
      <c r="C1925" s="1" t="n">
        <f aca="false">IF(B1925="NEW ROUTE",1,"")</f>
        <v>1</v>
      </c>
      <c r="E1925" s="5" t="s">
        <v>2536</v>
      </c>
      <c r="F1925" s="6" t="e">
        <f aca="false">VLOOKUP(E1925,$K$2:$L$426,2,FALSE())</f>
        <v>#N/A</v>
      </c>
      <c r="G1925" s="1" t="str">
        <f aca="false">IF(ISNA(F1925),"",F1925)</f>
        <v/>
      </c>
      <c r="H1925" s="5" t="str">
        <f aca="false">IF(G1925&lt;&gt;"",G1925,E1925)</f>
        <v>NEW ROUTE</v>
      </c>
    </row>
    <row r="1926" customFormat="false" ht="12.75" hidden="false" customHeight="true" outlineLevel="0" collapsed="false">
      <c r="A1926" s="4" t="s">
        <v>416</v>
      </c>
      <c r="B1926" s="5" t="s">
        <v>416</v>
      </c>
      <c r="C1926" s="1" t="str">
        <f aca="false">IF(B1926="NEW ROUTE",1,"")</f>
        <v/>
      </c>
      <c r="E1926" s="5" t="s">
        <v>416</v>
      </c>
      <c r="F1926" s="6" t="str">
        <f aca="false">VLOOKUP(E1926,$K$2:$L$426,2,FALSE())</f>
        <v>Route 1</v>
      </c>
      <c r="G1926" s="1" t="str">
        <f aca="false">IF(ISNA(F1926),"",F1926)</f>
        <v>Route 1</v>
      </c>
      <c r="H1926" s="5" t="str">
        <f aca="false">IF(G1926&lt;&gt;"",G1926,E1926)</f>
        <v>Route 1</v>
      </c>
    </row>
    <row r="1927" customFormat="false" ht="12.75" hidden="false" customHeight="true" outlineLevel="0" collapsed="false">
      <c r="A1927" s="4" t="s">
        <v>2799</v>
      </c>
      <c r="B1927" s="5" t="n">
        <v>0.2</v>
      </c>
      <c r="C1927" s="1" t="str">
        <f aca="false">IF(B1927="NEW ROUTE",1,"")</f>
        <v/>
      </c>
      <c r="E1927" s="5" t="n">
        <v>0.2</v>
      </c>
      <c r="F1927" s="6" t="e">
        <f aca="false">VLOOKUP(E1927,$K$2:$L$426,2,FALSE())</f>
        <v>#N/A</v>
      </c>
      <c r="G1927" s="1" t="str">
        <f aca="false">IF(ISNA(F1927),"",F1927)</f>
        <v/>
      </c>
      <c r="H1927" s="5" t="n">
        <f aca="false">IF(G1927&lt;&gt;"",G1927,E1927)</f>
        <v>0.2</v>
      </c>
    </row>
    <row r="1928" customFormat="false" ht="12.75" hidden="false" customHeight="true" outlineLevel="0" collapsed="false">
      <c r="A1928" s="4" t="s">
        <v>1773</v>
      </c>
      <c r="B1928" s="5" t="s">
        <v>1773</v>
      </c>
      <c r="C1928" s="1" t="str">
        <f aca="false">IF(B1928="NEW ROUTE",1,"")</f>
        <v/>
      </c>
      <c r="E1928" s="5" t="s">
        <v>1773</v>
      </c>
      <c r="F1928" s="6" t="e">
        <f aca="false">VLOOKUP(E1928,$K$2:$L$426,2,FALSE())</f>
        <v>#N/A</v>
      </c>
      <c r="G1928" s="1" t="str">
        <f aca="false">IF(ISNA(F1928),"",F1928)</f>
        <v/>
      </c>
      <c r="H1928" s="5" t="str">
        <f aca="false">IF(G1928&lt;&gt;"",G1928,E1928)</f>
        <v>2, 5, PIDGEY</v>
      </c>
    </row>
    <row r="1929" customFormat="false" ht="12.75" hidden="false" customHeight="true" outlineLevel="0" collapsed="false">
      <c r="A1929" s="4" t="s">
        <v>1773</v>
      </c>
      <c r="B1929" s="5" t="s">
        <v>1773</v>
      </c>
      <c r="C1929" s="1" t="str">
        <f aca="false">IF(B1929="NEW ROUTE",1,"")</f>
        <v/>
      </c>
      <c r="E1929" s="5" t="s">
        <v>1773</v>
      </c>
      <c r="F1929" s="6" t="e">
        <f aca="false">VLOOKUP(E1929,$K$2:$L$426,2,FALSE())</f>
        <v>#N/A</v>
      </c>
      <c r="G1929" s="1" t="str">
        <f aca="false">IF(ISNA(F1929),"",F1929)</f>
        <v/>
      </c>
      <c r="H1929" s="5" t="str">
        <f aca="false">IF(G1929&lt;&gt;"",G1929,E1929)</f>
        <v>2, 5, PIDGEY</v>
      </c>
    </row>
    <row r="1930" customFormat="false" ht="12.75" hidden="false" customHeight="true" outlineLevel="0" collapsed="false">
      <c r="A1930" s="4" t="s">
        <v>2801</v>
      </c>
      <c r="B1930" s="5" t="n">
        <v>0.1</v>
      </c>
      <c r="C1930" s="1" t="str">
        <f aca="false">IF(B1930="NEW ROUTE",1,"")</f>
        <v/>
      </c>
      <c r="E1930" s="5" t="n">
        <v>0.1</v>
      </c>
      <c r="F1930" s="6" t="e">
        <f aca="false">VLOOKUP(E1930,$K$2:$L$426,2,FALSE())</f>
        <v>#N/A</v>
      </c>
      <c r="G1930" s="1" t="str">
        <f aca="false">IF(ISNA(F1930),"",F1930)</f>
        <v/>
      </c>
      <c r="H1930" s="5" t="n">
        <f aca="false">IF(G1930&lt;&gt;"",G1930,E1930)</f>
        <v>0.1</v>
      </c>
    </row>
    <row r="1931" customFormat="false" ht="12.75" hidden="false" customHeight="true" outlineLevel="0" collapsed="false">
      <c r="A1931" s="4" t="s">
        <v>3310</v>
      </c>
      <c r="B1931" s="5" t="s">
        <v>3310</v>
      </c>
      <c r="C1931" s="1" t="str">
        <f aca="false">IF(B1931="NEW ROUTE",1,"")</f>
        <v/>
      </c>
      <c r="E1931" s="5" t="s">
        <v>3310</v>
      </c>
      <c r="F1931" s="6" t="e">
        <f aca="false">VLOOKUP(E1931,$K$2:$L$426,2,FALSE())</f>
        <v>#N/A</v>
      </c>
      <c r="G1931" s="1" t="str">
        <f aca="false">IF(ISNA(F1931),"",F1931)</f>
        <v/>
      </c>
      <c r="H1931" s="5" t="str">
        <f aca="false">IF(G1931&lt;&gt;"",G1931,E1931)</f>
        <v>2, 4, RATTATA</v>
      </c>
    </row>
    <row r="1932" customFormat="false" ht="12.75" hidden="false" customHeight="true" outlineLevel="0" collapsed="false">
      <c r="A1932" s="4" t="s">
        <v>3310</v>
      </c>
      <c r="B1932" s="5" t="s">
        <v>3310</v>
      </c>
      <c r="C1932" s="1" t="str">
        <f aca="false">IF(B1932="NEW ROUTE",1,"")</f>
        <v/>
      </c>
      <c r="E1932" s="5" t="s">
        <v>3310</v>
      </c>
      <c r="F1932" s="6" t="e">
        <f aca="false">VLOOKUP(E1932,$K$2:$L$426,2,FALSE())</f>
        <v>#N/A</v>
      </c>
      <c r="G1932" s="1" t="str">
        <f aca="false">IF(ISNA(F1932),"",F1932)</f>
        <v/>
      </c>
      <c r="H1932" s="5" t="str">
        <f aca="false">IF(G1932&lt;&gt;"",G1932,E1932)</f>
        <v>2, 4, RATTATA</v>
      </c>
    </row>
    <row r="1933" customFormat="false" ht="12.75" hidden="false" customHeight="true" outlineLevel="0" collapsed="false">
      <c r="A1933" s="4" t="s">
        <v>3311</v>
      </c>
      <c r="B1933" s="5" t="s">
        <v>3311</v>
      </c>
      <c r="C1933" s="1" t="str">
        <f aca="false">IF(B1933="NEW ROUTE",1,"")</f>
        <v/>
      </c>
      <c r="E1933" s="5" t="s">
        <v>3311</v>
      </c>
      <c r="F1933" s="6" t="e">
        <f aca="false">VLOOKUP(E1933,$K$2:$L$426,2,FALSE())</f>
        <v>#N/A</v>
      </c>
      <c r="G1933" s="1" t="str">
        <f aca="false">IF(ISNA(F1933),"",F1933)</f>
        <v/>
      </c>
      <c r="H1933" s="5" t="str">
        <f aca="false">IF(G1933&lt;&gt;"",G1933,E1933)</f>
        <v>2, 4, BELLSPROUT</v>
      </c>
    </row>
    <row r="1934" customFormat="false" ht="12.75" hidden="false" customHeight="true" outlineLevel="0" collapsed="false">
      <c r="A1934" s="4" t="s">
        <v>3311</v>
      </c>
      <c r="B1934" s="5" t="s">
        <v>3311</v>
      </c>
      <c r="C1934" s="1" t="str">
        <f aca="false">IF(B1934="NEW ROUTE",1,"")</f>
        <v/>
      </c>
      <c r="E1934" s="5" t="s">
        <v>3311</v>
      </c>
      <c r="F1934" s="6" t="e">
        <f aca="false">VLOOKUP(E1934,$K$2:$L$426,2,FALSE())</f>
        <v>#N/A</v>
      </c>
      <c r="G1934" s="1" t="str">
        <f aca="false">IF(ISNA(F1934),"",F1934)</f>
        <v/>
      </c>
      <c r="H1934" s="5" t="str">
        <f aca="false">IF(G1934&lt;&gt;"",G1934,E1934)</f>
        <v>2, 4, BELLSPROUT</v>
      </c>
    </row>
    <row r="1935" customFormat="false" ht="12.75" hidden="false" customHeight="true" outlineLevel="0" collapsed="false">
      <c r="A1935" s="4" t="s">
        <v>2806</v>
      </c>
      <c r="B1935" s="5" t="n">
        <v>0.05</v>
      </c>
      <c r="C1935" s="1" t="str">
        <f aca="false">IF(B1935="NEW ROUTE",1,"")</f>
        <v/>
      </c>
      <c r="E1935" s="5" t="n">
        <v>0.05</v>
      </c>
      <c r="F1935" s="6" t="e">
        <f aca="false">VLOOKUP(E1935,$K$2:$L$426,2,FALSE())</f>
        <v>#N/A</v>
      </c>
      <c r="G1935" s="1" t="str">
        <f aca="false">IF(ISNA(F1935),"",F1935)</f>
        <v/>
      </c>
      <c r="H1935" s="5" t="n">
        <f aca="false">IF(G1935&lt;&gt;"",G1935,E1935)</f>
        <v>0.05</v>
      </c>
    </row>
    <row r="1936" customFormat="false" ht="12.75" hidden="false" customHeight="true" outlineLevel="0" collapsed="false">
      <c r="A1936" s="4" t="s">
        <v>3312</v>
      </c>
      <c r="B1936" s="5" t="s">
        <v>3312</v>
      </c>
      <c r="C1936" s="1" t="str">
        <f aca="false">IF(B1936="NEW ROUTE",1,"")</f>
        <v/>
      </c>
      <c r="E1936" s="5" t="s">
        <v>3312</v>
      </c>
      <c r="F1936" s="6" t="e">
        <f aca="false">VLOOKUP(E1936,$K$2:$L$426,2,FALSE())</f>
        <v>#N/A</v>
      </c>
      <c r="G1936" s="1" t="str">
        <f aca="false">IF(ISNA(F1936),"",F1936)</f>
        <v/>
      </c>
      <c r="H1936" s="5" t="str">
        <f aca="false">IF(G1936&lt;&gt;"",G1936,E1936)</f>
        <v>2, 4, ODDISH</v>
      </c>
    </row>
    <row r="1937" customFormat="false" ht="12.75" hidden="false" customHeight="true" outlineLevel="0" collapsed="false">
      <c r="A1937" s="4" t="s">
        <v>3312</v>
      </c>
      <c r="B1937" s="5" t="s">
        <v>3312</v>
      </c>
      <c r="C1937" s="1" t="str">
        <f aca="false">IF(B1937="NEW ROUTE",1,"")</f>
        <v/>
      </c>
      <c r="E1937" s="5" t="s">
        <v>3312</v>
      </c>
      <c r="F1937" s="6" t="e">
        <f aca="false">VLOOKUP(E1937,$K$2:$L$426,2,FALSE())</f>
        <v>#N/A</v>
      </c>
      <c r="G1937" s="1" t="str">
        <f aca="false">IF(ISNA(F1937),"",F1937)</f>
        <v/>
      </c>
      <c r="H1937" s="5" t="str">
        <f aca="false">IF(G1937&lt;&gt;"",G1937,E1937)</f>
        <v>2, 4, ODDISH</v>
      </c>
    </row>
    <row r="1938" customFormat="false" ht="12.75" hidden="false" customHeight="true" outlineLevel="0" collapsed="false">
      <c r="A1938" s="4" t="s">
        <v>2809</v>
      </c>
      <c r="B1938" s="5" t="n">
        <v>0.04</v>
      </c>
      <c r="C1938" s="1" t="str">
        <f aca="false">IF(B1938="NEW ROUTE",1,"")</f>
        <v/>
      </c>
      <c r="E1938" s="5" t="n">
        <v>0.04</v>
      </c>
      <c r="F1938" s="6" t="e">
        <f aca="false">VLOOKUP(E1938,$K$2:$L$426,2,FALSE())</f>
        <v>#N/A</v>
      </c>
      <c r="G1938" s="1" t="str">
        <f aca="false">IF(ISNA(F1938),"",F1938)</f>
        <v/>
      </c>
      <c r="H1938" s="5" t="n">
        <f aca="false">IF(G1938&lt;&gt;"",G1938,E1938)</f>
        <v>0.04</v>
      </c>
    </row>
    <row r="1939" customFormat="false" ht="12.75" hidden="false" customHeight="true" outlineLevel="0" collapsed="false">
      <c r="A1939" s="4" t="s">
        <v>3313</v>
      </c>
      <c r="B1939" s="5" t="s">
        <v>3313</v>
      </c>
      <c r="C1939" s="1" t="str">
        <f aca="false">IF(B1939="NEW ROUTE",1,"")</f>
        <v/>
      </c>
      <c r="E1939" s="5" t="s">
        <v>3313</v>
      </c>
      <c r="F1939" s="6" t="e">
        <f aca="false">VLOOKUP(E1939,$K$2:$L$426,2,FALSE())</f>
        <v>#N/A</v>
      </c>
      <c r="G1939" s="1" t="str">
        <f aca="false">IF(ISNA(F1939),"",F1939)</f>
        <v/>
      </c>
      <c r="H1939" s="5" t="str">
        <f aca="false">IF(G1939&lt;&gt;"",G1939,E1939)</f>
        <v>2, 4, VENONAT</v>
      </c>
    </row>
    <row r="1940" customFormat="false" ht="12.75" hidden="false" customHeight="true" outlineLevel="0" collapsed="false">
      <c r="A1940" s="4" t="s">
        <v>3313</v>
      </c>
      <c r="B1940" s="5" t="s">
        <v>3313</v>
      </c>
      <c r="C1940" s="1" t="str">
        <f aca="false">IF(B1940="NEW ROUTE",1,"")</f>
        <v/>
      </c>
      <c r="E1940" s="5" t="s">
        <v>3313</v>
      </c>
      <c r="F1940" s="6" t="e">
        <f aca="false">VLOOKUP(E1940,$K$2:$L$426,2,FALSE())</f>
        <v>#N/A</v>
      </c>
      <c r="G1940" s="1" t="str">
        <f aca="false">IF(ISNA(F1940),"",F1940)</f>
        <v/>
      </c>
      <c r="H1940" s="5" t="str">
        <f aca="false">IF(G1940&lt;&gt;"",G1940,E1940)</f>
        <v>2, 4, VENONAT</v>
      </c>
    </row>
    <row r="1941" customFormat="false" ht="12.75" hidden="false" customHeight="true" outlineLevel="0" collapsed="false">
      <c r="A1941" s="4" t="s">
        <v>2812</v>
      </c>
      <c r="B1941" s="5" t="n">
        <v>0.01</v>
      </c>
      <c r="C1941" s="1" t="str">
        <f aca="false">IF(B1941="NEW ROUTE",1,"")</f>
        <v/>
      </c>
      <c r="E1941" s="5" t="n">
        <v>0.01</v>
      </c>
      <c r="F1941" s="6" t="e">
        <f aca="false">VLOOKUP(E1941,$K$2:$L$426,2,FALSE())</f>
        <v>#N/A</v>
      </c>
      <c r="G1941" s="1" t="str">
        <f aca="false">IF(ISNA(F1941),"",F1941)</f>
        <v/>
      </c>
      <c r="H1941" s="5" t="n">
        <f aca="false">IF(G1941&lt;&gt;"",G1941,E1941)</f>
        <v>0.01</v>
      </c>
    </row>
    <row r="1942" customFormat="false" ht="12.75" hidden="false" customHeight="true" outlineLevel="0" collapsed="false">
      <c r="A1942" s="4" t="s">
        <v>3314</v>
      </c>
      <c r="B1942" s="5" t="s">
        <v>3314</v>
      </c>
      <c r="C1942" s="1" t="str">
        <f aca="false">IF(B1942="NEW ROUTE",1,"")</f>
        <v/>
      </c>
      <c r="E1942" s="5" t="s">
        <v>3314</v>
      </c>
      <c r="F1942" s="6" t="e">
        <f aca="false">VLOOKUP(E1942,$K$2:$L$426,2,FALSE())</f>
        <v>#N/A</v>
      </c>
      <c r="G1942" s="1" t="str">
        <f aca="false">IF(ISNA(F1942),"",F1942)</f>
        <v/>
      </c>
      <c r="H1942" s="5" t="str">
        <f aca="false">IF(G1942&lt;&gt;"",G1942,E1942)</f>
        <v>3, 3, EEVEE</v>
      </c>
    </row>
    <row r="1943" customFormat="false" ht="12.75" hidden="false" customHeight="true" outlineLevel="0" collapsed="false">
      <c r="A1943" s="4" t="s">
        <v>3314</v>
      </c>
      <c r="B1943" s="5" t="s">
        <v>3314</v>
      </c>
      <c r="C1943" s="1" t="str">
        <f aca="false">IF(B1943="NEW ROUTE",1,"")</f>
        <v/>
      </c>
      <c r="E1943" s="5" t="s">
        <v>3314</v>
      </c>
      <c r="F1943" s="6" t="e">
        <f aca="false">VLOOKUP(E1943,$K$2:$L$426,2,FALSE())</f>
        <v>#N/A</v>
      </c>
      <c r="G1943" s="1" t="str">
        <f aca="false">IF(ISNA(F1943),"",F1943)</f>
        <v/>
      </c>
      <c r="H1943" s="5" t="str">
        <f aca="false">IF(G1943&lt;&gt;"",G1943,E1943)</f>
        <v>3, 3, EEVEE</v>
      </c>
    </row>
    <row r="1944" customFormat="false" ht="12.75" hidden="false" customHeight="true" outlineLevel="0" collapsed="false">
      <c r="A1944" s="4" t="s">
        <v>2536</v>
      </c>
      <c r="B1944" s="5" t="s">
        <v>2536</v>
      </c>
      <c r="C1944" s="1" t="n">
        <f aca="false">IF(B1944="NEW ROUTE",1,"")</f>
        <v>1</v>
      </c>
      <c r="E1944" s="5" t="s">
        <v>2536</v>
      </c>
      <c r="F1944" s="6" t="e">
        <f aca="false">VLOOKUP(E1944,$K$2:$L$426,2,FALSE())</f>
        <v>#N/A</v>
      </c>
      <c r="G1944" s="1" t="str">
        <f aca="false">IF(ISNA(F1944),"",F1944)</f>
        <v/>
      </c>
      <c r="H1944" s="5" t="str">
        <f aca="false">IF(G1944&lt;&gt;"",G1944,E1944)</f>
        <v>NEW ROUTE</v>
      </c>
    </row>
    <row r="1945" customFormat="false" ht="12.75" hidden="false" customHeight="true" outlineLevel="0" collapsed="false">
      <c r="A1945" s="4" t="s">
        <v>418</v>
      </c>
      <c r="B1945" s="5" t="s">
        <v>418</v>
      </c>
      <c r="C1945" s="1" t="str">
        <f aca="false">IF(B1945="NEW ROUTE",1,"")</f>
        <v/>
      </c>
      <c r="E1945" s="5" t="s">
        <v>418</v>
      </c>
      <c r="F1945" s="6" t="str">
        <f aca="false">VLOOKUP(E1945,$K$2:$L$426,2,FALSE())</f>
        <v>Route 2</v>
      </c>
      <c r="G1945" s="1" t="str">
        <f aca="false">IF(ISNA(F1945),"",F1945)</f>
        <v>Route 2</v>
      </c>
      <c r="H1945" s="5" t="str">
        <f aca="false">IF(G1945&lt;&gt;"",G1945,E1945)</f>
        <v>Route 2</v>
      </c>
    </row>
    <row r="1946" customFormat="false" ht="12.75" hidden="false" customHeight="true" outlineLevel="0" collapsed="false">
      <c r="A1946" s="4" t="s">
        <v>2799</v>
      </c>
      <c r="B1946" s="5" t="n">
        <v>0.2</v>
      </c>
      <c r="C1946" s="1" t="str">
        <f aca="false">IF(B1946="NEW ROUTE",1,"")</f>
        <v/>
      </c>
      <c r="E1946" s="5" t="n">
        <v>0.2</v>
      </c>
      <c r="F1946" s="6" t="e">
        <f aca="false">VLOOKUP(E1946,$K$2:$L$426,2,FALSE())</f>
        <v>#N/A</v>
      </c>
      <c r="G1946" s="1" t="str">
        <f aca="false">IF(ISNA(F1946),"",F1946)</f>
        <v/>
      </c>
      <c r="H1946" s="5" t="n">
        <f aca="false">IF(G1946&lt;&gt;"",G1946,E1946)</f>
        <v>0.2</v>
      </c>
    </row>
    <row r="1947" customFormat="false" ht="12.75" hidden="false" customHeight="true" outlineLevel="0" collapsed="false">
      <c r="A1947" s="4" t="s">
        <v>1782</v>
      </c>
      <c r="B1947" s="5" t="s">
        <v>1782</v>
      </c>
      <c r="C1947" s="1" t="str">
        <f aca="false">IF(B1947="NEW ROUTE",1,"")</f>
        <v/>
      </c>
      <c r="E1947" s="5" t="s">
        <v>1782</v>
      </c>
      <c r="F1947" s="6" t="e">
        <f aca="false">VLOOKUP(E1947,$K$2:$L$426,2,FALSE())</f>
        <v>#N/A</v>
      </c>
      <c r="G1947" s="1" t="str">
        <f aca="false">IF(ISNA(F1947),"",F1947)</f>
        <v/>
      </c>
      <c r="H1947" s="5" t="str">
        <f aca="false">IF(G1947&lt;&gt;"",G1947,E1947)</f>
        <v>3, 5, CATERPIE</v>
      </c>
    </row>
    <row r="1948" customFormat="false" ht="12.75" hidden="false" customHeight="true" outlineLevel="0" collapsed="false">
      <c r="A1948" s="4" t="s">
        <v>3317</v>
      </c>
      <c r="B1948" s="5" t="s">
        <v>3317</v>
      </c>
      <c r="C1948" s="1" t="str">
        <f aca="false">IF(B1948="NEW ROUTE",1,"")</f>
        <v/>
      </c>
      <c r="E1948" s="5" t="s">
        <v>3317</v>
      </c>
      <c r="F1948" s="6" t="e">
        <f aca="false">VLOOKUP(E1948,$K$2:$L$426,2,FALSE())</f>
        <v>#N/A</v>
      </c>
      <c r="G1948" s="1" t="str">
        <f aca="false">IF(ISNA(F1948),"",F1948)</f>
        <v/>
      </c>
      <c r="H1948" s="5" t="str">
        <f aca="false">IF(G1948&lt;&gt;"",G1948,E1948)</f>
        <v>3, 5, WEEDLE</v>
      </c>
    </row>
    <row r="1949" customFormat="false" ht="12.75" hidden="false" customHeight="true" outlineLevel="0" collapsed="false">
      <c r="A1949" s="4" t="s">
        <v>2801</v>
      </c>
      <c r="B1949" s="5" t="n">
        <v>0.1</v>
      </c>
      <c r="C1949" s="1" t="str">
        <f aca="false">IF(B1949="NEW ROUTE",1,"")</f>
        <v/>
      </c>
      <c r="E1949" s="5" t="n">
        <v>0.1</v>
      </c>
      <c r="F1949" s="6" t="e">
        <f aca="false">VLOOKUP(E1949,$K$2:$L$426,2,FALSE())</f>
        <v>#N/A</v>
      </c>
      <c r="G1949" s="1" t="str">
        <f aca="false">IF(ISNA(F1949),"",F1949)</f>
        <v/>
      </c>
      <c r="H1949" s="5" t="n">
        <f aca="false">IF(G1949&lt;&gt;"",G1949,E1949)</f>
        <v>0.1</v>
      </c>
    </row>
    <row r="1950" customFormat="false" ht="12.75" hidden="false" customHeight="true" outlineLevel="0" collapsed="false">
      <c r="A1950" s="4" t="s">
        <v>3318</v>
      </c>
      <c r="B1950" s="5" t="s">
        <v>3318</v>
      </c>
      <c r="C1950" s="1" t="str">
        <f aca="false">IF(B1950="NEW ROUTE",1,"")</f>
        <v/>
      </c>
      <c r="E1950" s="5" t="s">
        <v>3318</v>
      </c>
      <c r="F1950" s="6" t="e">
        <f aca="false">VLOOKUP(E1950,$K$2:$L$426,2,FALSE())</f>
        <v>#N/A</v>
      </c>
      <c r="G1950" s="1" t="str">
        <f aca="false">IF(ISNA(F1950),"",F1950)</f>
        <v/>
      </c>
      <c r="H1950" s="5" t="str">
        <f aca="false">IF(G1950&lt;&gt;"",G1950,E1950)</f>
        <v>4, 6, PIDGEY</v>
      </c>
    </row>
    <row r="1951" customFormat="false" ht="12.75" hidden="false" customHeight="true" outlineLevel="0" collapsed="false">
      <c r="A1951" s="4" t="s">
        <v>3319</v>
      </c>
      <c r="B1951" s="5" t="s">
        <v>3319</v>
      </c>
      <c r="C1951" s="1" t="str">
        <f aca="false">IF(B1951="NEW ROUTE",1,"")</f>
        <v/>
      </c>
      <c r="E1951" s="5" t="s">
        <v>3319</v>
      </c>
      <c r="F1951" s="6" t="e">
        <f aca="false">VLOOKUP(E1951,$K$2:$L$426,2,FALSE())</f>
        <v>#N/A</v>
      </c>
      <c r="G1951" s="1" t="str">
        <f aca="false">IF(ISNA(F1951),"",F1951)</f>
        <v/>
      </c>
      <c r="H1951" s="5" t="str">
        <f aca="false">IF(G1951&lt;&gt;"",G1951,E1951)</f>
        <v>4, 6, RATTATA</v>
      </c>
    </row>
    <row r="1952" customFormat="false" ht="12.75" hidden="false" customHeight="true" outlineLevel="0" collapsed="false">
      <c r="A1952" s="4" t="s">
        <v>3319</v>
      </c>
      <c r="B1952" s="5" t="s">
        <v>3319</v>
      </c>
      <c r="C1952" s="1" t="str">
        <f aca="false">IF(B1952="NEW ROUTE",1,"")</f>
        <v/>
      </c>
      <c r="E1952" s="5" t="s">
        <v>3319</v>
      </c>
      <c r="F1952" s="6" t="e">
        <f aca="false">VLOOKUP(E1952,$K$2:$L$426,2,FALSE())</f>
        <v>#N/A</v>
      </c>
      <c r="G1952" s="1" t="str">
        <f aca="false">IF(ISNA(F1952),"",F1952)</f>
        <v/>
      </c>
      <c r="H1952" s="5" t="str">
        <f aca="false">IF(G1952&lt;&gt;"",G1952,E1952)</f>
        <v>4, 6, RATTATA</v>
      </c>
    </row>
    <row r="1953" customFormat="false" ht="12.75" hidden="false" customHeight="true" outlineLevel="0" collapsed="false">
      <c r="A1953" s="4" t="s">
        <v>3318</v>
      </c>
      <c r="B1953" s="5" t="s">
        <v>3318</v>
      </c>
      <c r="C1953" s="1" t="str">
        <f aca="false">IF(B1953="NEW ROUTE",1,"")</f>
        <v/>
      </c>
      <c r="E1953" s="5" t="s">
        <v>3318</v>
      </c>
      <c r="F1953" s="6" t="e">
        <f aca="false">VLOOKUP(E1953,$K$2:$L$426,2,FALSE())</f>
        <v>#N/A</v>
      </c>
      <c r="G1953" s="1" t="str">
        <f aca="false">IF(ISNA(F1953),"",F1953)</f>
        <v/>
      </c>
      <c r="H1953" s="5" t="str">
        <f aca="false">IF(G1953&lt;&gt;"",G1953,E1953)</f>
        <v>4, 6, PIDGEY</v>
      </c>
    </row>
    <row r="1954" customFormat="false" ht="12.75" hidden="false" customHeight="true" outlineLevel="0" collapsed="false">
      <c r="A1954" s="4" t="s">
        <v>2806</v>
      </c>
      <c r="B1954" s="5" t="n">
        <v>0.05</v>
      </c>
      <c r="C1954" s="1" t="str">
        <f aca="false">IF(B1954="NEW ROUTE",1,"")</f>
        <v/>
      </c>
      <c r="E1954" s="5" t="n">
        <v>0.05</v>
      </c>
      <c r="F1954" s="6" t="e">
        <f aca="false">VLOOKUP(E1954,$K$2:$L$426,2,FALSE())</f>
        <v>#N/A</v>
      </c>
      <c r="G1954" s="1" t="str">
        <f aca="false">IF(ISNA(F1954),"",F1954)</f>
        <v/>
      </c>
      <c r="H1954" s="5" t="n">
        <f aca="false">IF(G1954&lt;&gt;"",G1954,E1954)</f>
        <v>0.05</v>
      </c>
    </row>
    <row r="1955" customFormat="false" ht="12.75" hidden="false" customHeight="true" outlineLevel="0" collapsed="false">
      <c r="A1955" s="4" t="s">
        <v>3320</v>
      </c>
      <c r="B1955" s="5" t="s">
        <v>3320</v>
      </c>
      <c r="C1955" s="1" t="str">
        <f aca="false">IF(B1955="NEW ROUTE",1,"")</f>
        <v/>
      </c>
      <c r="E1955" s="5" t="s">
        <v>3320</v>
      </c>
      <c r="F1955" s="6" t="e">
        <f aca="false">VLOOKUP(E1955,$K$2:$L$426,2,FALSE())</f>
        <v>#N/A</v>
      </c>
      <c r="G1955" s="1" t="str">
        <f aca="false">IF(ISNA(F1955),"",F1955)</f>
        <v/>
      </c>
      <c r="H1955" s="5" t="str">
        <f aca="false">IF(G1955&lt;&gt;"",G1955,E1955)</f>
        <v>5, 8, MEOWTH</v>
      </c>
    </row>
    <row r="1956" customFormat="false" ht="12.75" hidden="false" customHeight="true" outlineLevel="0" collapsed="false">
      <c r="A1956" s="4" t="s">
        <v>3321</v>
      </c>
      <c r="B1956" s="5" t="s">
        <v>3321</v>
      </c>
      <c r="C1956" s="1" t="str">
        <f aca="false">IF(B1956="NEW ROUTE",1,"")</f>
        <v/>
      </c>
      <c r="E1956" s="5" t="s">
        <v>3321</v>
      </c>
      <c r="F1956" s="6" t="e">
        <f aca="false">VLOOKUP(E1956,$K$2:$L$426,2,FALSE())</f>
        <v>#N/A</v>
      </c>
      <c r="G1956" s="1" t="str">
        <f aca="false">IF(ISNA(F1956),"",F1956)</f>
        <v/>
      </c>
      <c r="H1956" s="5" t="str">
        <f aca="false">IF(G1956&lt;&gt;"",G1956,E1956)</f>
        <v>5, 8, FARFETCH'D</v>
      </c>
    </row>
    <row r="1957" customFormat="false" ht="12.75" hidden="false" customHeight="true" outlineLevel="0" collapsed="false">
      <c r="A1957" s="4" t="s">
        <v>2809</v>
      </c>
      <c r="B1957" s="5" t="n">
        <v>0.04</v>
      </c>
      <c r="C1957" s="1" t="str">
        <f aca="false">IF(B1957="NEW ROUTE",1,"")</f>
        <v/>
      </c>
      <c r="E1957" s="5" t="n">
        <v>0.04</v>
      </c>
      <c r="F1957" s="6" t="e">
        <f aca="false">VLOOKUP(E1957,$K$2:$L$426,2,FALSE())</f>
        <v>#N/A</v>
      </c>
      <c r="G1957" s="1" t="str">
        <f aca="false">IF(ISNA(F1957),"",F1957)</f>
        <v/>
      </c>
      <c r="H1957" s="5" t="n">
        <f aca="false">IF(G1957&lt;&gt;"",G1957,E1957)</f>
        <v>0.04</v>
      </c>
    </row>
    <row r="1958" customFormat="false" ht="12.75" hidden="false" customHeight="true" outlineLevel="0" collapsed="false">
      <c r="A1958" s="4" t="s">
        <v>3322</v>
      </c>
      <c r="B1958" s="5" t="s">
        <v>3322</v>
      </c>
      <c r="C1958" s="1" t="str">
        <f aca="false">IF(B1958="NEW ROUTE",1,"")</f>
        <v/>
      </c>
      <c r="E1958" s="5" t="s">
        <v>3322</v>
      </c>
      <c r="F1958" s="6" t="e">
        <f aca="false">VLOOKUP(E1958,$K$2:$L$426,2,FALSE())</f>
        <v>#N/A</v>
      </c>
      <c r="G1958" s="1" t="str">
        <f aca="false">IF(ISNA(F1958),"",F1958)</f>
        <v/>
      </c>
      <c r="H1958" s="5" t="str">
        <f aca="false">IF(G1958&lt;&gt;"",G1958,E1958)</f>
        <v>5, 8, MAGNEMITE</v>
      </c>
    </row>
    <row r="1959" customFormat="false" ht="12.75" hidden="false" customHeight="true" outlineLevel="0" collapsed="false">
      <c r="A1959" s="4" t="s">
        <v>3323</v>
      </c>
      <c r="B1959" s="5" t="s">
        <v>3323</v>
      </c>
      <c r="C1959" s="1" t="str">
        <f aca="false">IF(B1959="NEW ROUTE",1,"")</f>
        <v/>
      </c>
      <c r="E1959" s="5" t="s">
        <v>3323</v>
      </c>
      <c r="F1959" s="6" t="e">
        <f aca="false">VLOOKUP(E1959,$K$2:$L$426,2,FALSE())</f>
        <v>#N/A</v>
      </c>
      <c r="G1959" s="1" t="str">
        <f aca="false">IF(ISNA(F1959),"",F1959)</f>
        <v/>
      </c>
      <c r="H1959" s="5" t="str">
        <f aca="false">IF(G1959&lt;&gt;"",G1959,E1959)</f>
        <v>5, 8, GROWLITHE</v>
      </c>
    </row>
    <row r="1960" customFormat="false" ht="12.75" hidden="false" customHeight="true" outlineLevel="0" collapsed="false">
      <c r="A1960" s="4" t="s">
        <v>2812</v>
      </c>
      <c r="B1960" s="5" t="n">
        <v>0.01</v>
      </c>
      <c r="C1960" s="1" t="str">
        <f aca="false">IF(B1960="NEW ROUTE",1,"")</f>
        <v/>
      </c>
      <c r="E1960" s="5" t="n">
        <v>0.01</v>
      </c>
      <c r="F1960" s="6" t="e">
        <f aca="false">VLOOKUP(E1960,$K$2:$L$426,2,FALSE())</f>
        <v>#N/A</v>
      </c>
      <c r="G1960" s="1" t="str">
        <f aca="false">IF(ISNA(F1960),"",F1960)</f>
        <v/>
      </c>
      <c r="H1960" s="5" t="n">
        <f aca="false">IF(G1960&lt;&gt;"",G1960,E1960)</f>
        <v>0.01</v>
      </c>
    </row>
    <row r="1961" customFormat="false" ht="12.75" hidden="false" customHeight="true" outlineLevel="0" collapsed="false">
      <c r="A1961" s="4" t="s">
        <v>3324</v>
      </c>
      <c r="B1961" s="5" t="s">
        <v>3324</v>
      </c>
      <c r="C1961" s="1" t="str">
        <f aca="false">IF(B1961="NEW ROUTE",1,"")</f>
        <v/>
      </c>
      <c r="E1961" s="5" t="s">
        <v>3324</v>
      </c>
      <c r="F1961" s="6" t="e">
        <f aca="false">VLOOKUP(E1961,$K$2:$L$426,2,FALSE())</f>
        <v>#N/A</v>
      </c>
      <c r="G1961" s="1" t="str">
        <f aca="false">IF(ISNA(F1961),"",F1961)</f>
        <v/>
      </c>
      <c r="H1961" s="5" t="str">
        <f aca="false">IF(G1961&lt;&gt;"",G1961,E1961)</f>
        <v>7, 7, MAGNEMITE</v>
      </c>
    </row>
    <row r="1962" customFormat="false" ht="12.75" hidden="false" customHeight="true" outlineLevel="0" collapsed="false">
      <c r="A1962" s="4" t="s">
        <v>3722</v>
      </c>
      <c r="B1962" s="5" t="s">
        <v>3722</v>
      </c>
      <c r="C1962" s="1" t="str">
        <f aca="false">IF(B1962="NEW ROUTE",1,"")</f>
        <v/>
      </c>
      <c r="E1962" s="5" t="s">
        <v>3722</v>
      </c>
      <c r="F1962" s="6" t="e">
        <f aca="false">VLOOKUP(E1962,$K$2:$L$426,2,FALSE())</f>
        <v>#N/A</v>
      </c>
      <c r="G1962" s="1" t="str">
        <f aca="false">IF(ISNA(F1962),"",F1962)</f>
        <v/>
      </c>
      <c r="H1962" s="5" t="str">
        <f aca="false">IF(G1962&lt;&gt;"",G1962,E1962)</f>
        <v>7, 7, GROWLITHE</v>
      </c>
    </row>
    <row r="1963" customFormat="false" ht="12.75" hidden="false" customHeight="true" outlineLevel="0" collapsed="false">
      <c r="A1963" s="4" t="s">
        <v>2536</v>
      </c>
      <c r="B1963" s="5" t="s">
        <v>2536</v>
      </c>
      <c r="C1963" s="1" t="n">
        <f aca="false">IF(B1963="NEW ROUTE",1,"")</f>
        <v>1</v>
      </c>
      <c r="E1963" s="5" t="s">
        <v>2536</v>
      </c>
      <c r="F1963" s="6" t="e">
        <f aca="false">VLOOKUP(E1963,$K$2:$L$426,2,FALSE())</f>
        <v>#N/A</v>
      </c>
      <c r="G1963" s="1" t="str">
        <f aca="false">IF(ISNA(F1963),"",F1963)</f>
        <v/>
      </c>
      <c r="H1963" s="5" t="str">
        <f aca="false">IF(G1963&lt;&gt;"",G1963,E1963)</f>
        <v>NEW ROUTE</v>
      </c>
    </row>
    <row r="1964" customFormat="false" ht="12.75" hidden="false" customHeight="true" outlineLevel="0" collapsed="false">
      <c r="A1964" s="4" t="s">
        <v>420</v>
      </c>
      <c r="B1964" s="5" t="s">
        <v>420</v>
      </c>
      <c r="C1964" s="1" t="str">
        <f aca="false">IF(B1964="NEW ROUTE",1,"")</f>
        <v/>
      </c>
      <c r="E1964" s="5" t="s">
        <v>420</v>
      </c>
      <c r="F1964" s="6" t="str">
        <f aca="false">VLOOKUP(E1964,$K$2:$L$426,2,FALSE())</f>
        <v>Route 3</v>
      </c>
      <c r="G1964" s="1" t="str">
        <f aca="false">IF(ISNA(F1964),"",F1964)</f>
        <v>Route 3</v>
      </c>
      <c r="H1964" s="5" t="str">
        <f aca="false">IF(G1964&lt;&gt;"",G1964,E1964)</f>
        <v>Route 3</v>
      </c>
    </row>
    <row r="1965" customFormat="false" ht="12.75" hidden="false" customHeight="true" outlineLevel="0" collapsed="false">
      <c r="A1965" s="4" t="s">
        <v>2799</v>
      </c>
      <c r="B1965" s="5" t="n">
        <v>0.2</v>
      </c>
      <c r="C1965" s="1" t="str">
        <f aca="false">IF(B1965="NEW ROUTE",1,"")</f>
        <v/>
      </c>
      <c r="E1965" s="5" t="n">
        <v>0.2</v>
      </c>
      <c r="F1965" s="6" t="e">
        <f aca="false">VLOOKUP(E1965,$K$2:$L$426,2,FALSE())</f>
        <v>#N/A</v>
      </c>
      <c r="G1965" s="1" t="str">
        <f aca="false">IF(ISNA(F1965),"",F1965)</f>
        <v/>
      </c>
      <c r="H1965" s="5" t="n">
        <f aca="false">IF(G1965&lt;&gt;"",G1965,E1965)</f>
        <v>0.2</v>
      </c>
    </row>
    <row r="1966" customFormat="false" ht="12.75" hidden="false" customHeight="true" outlineLevel="0" collapsed="false">
      <c r="A1966" s="4" t="s">
        <v>1793</v>
      </c>
      <c r="B1966" s="5" t="s">
        <v>1793</v>
      </c>
      <c r="C1966" s="1" t="str">
        <f aca="false">IF(B1966="NEW ROUTE",1,"")</f>
        <v/>
      </c>
      <c r="E1966" s="5" t="s">
        <v>1793</v>
      </c>
      <c r="F1966" s="6" t="e">
        <f aca="false">VLOOKUP(E1966,$K$2:$L$426,2,FALSE())</f>
        <v>#N/A</v>
      </c>
      <c r="G1966" s="1" t="str">
        <f aca="false">IF(ISNA(F1966),"",F1966)</f>
        <v/>
      </c>
      <c r="H1966" s="5" t="str">
        <f aca="false">IF(G1966&lt;&gt;"",G1966,E1966)</f>
        <v>7, 9, SPEAROW</v>
      </c>
    </row>
    <row r="1967" customFormat="false" ht="12.75" hidden="false" customHeight="true" outlineLevel="0" collapsed="false">
      <c r="A1967" s="4" t="s">
        <v>3327</v>
      </c>
      <c r="B1967" s="5" t="s">
        <v>3327</v>
      </c>
      <c r="C1967" s="1" t="str">
        <f aca="false">IF(B1967="NEW ROUTE",1,"")</f>
        <v/>
      </c>
      <c r="E1967" s="5" t="s">
        <v>3327</v>
      </c>
      <c r="F1967" s="6" t="e">
        <f aca="false">VLOOKUP(E1967,$K$2:$L$426,2,FALSE())</f>
        <v>#N/A</v>
      </c>
      <c r="G1967" s="1" t="str">
        <f aca="false">IF(ISNA(F1967),"",F1967)</f>
        <v/>
      </c>
      <c r="H1967" s="5" t="str">
        <f aca="false">IF(G1967&lt;&gt;"",G1967,E1967)</f>
        <v>7, 9, PIDGEY</v>
      </c>
    </row>
    <row r="1968" customFormat="false" ht="12.75" hidden="false" customHeight="true" outlineLevel="0" collapsed="false">
      <c r="A1968" s="4" t="s">
        <v>2801</v>
      </c>
      <c r="B1968" s="5" t="n">
        <v>0.1</v>
      </c>
      <c r="C1968" s="1" t="str">
        <f aca="false">IF(B1968="NEW ROUTE",1,"")</f>
        <v/>
      </c>
      <c r="E1968" s="5" t="n">
        <v>0.1</v>
      </c>
      <c r="F1968" s="6" t="e">
        <f aca="false">VLOOKUP(E1968,$K$2:$L$426,2,FALSE())</f>
        <v>#N/A</v>
      </c>
      <c r="G1968" s="1" t="str">
        <f aca="false">IF(ISNA(F1968),"",F1968)</f>
        <v/>
      </c>
      <c r="H1968" s="5" t="n">
        <f aca="false">IF(G1968&lt;&gt;"",G1968,E1968)</f>
        <v>0.1</v>
      </c>
    </row>
    <row r="1969" customFormat="false" ht="12.75" hidden="false" customHeight="true" outlineLevel="0" collapsed="false">
      <c r="A1969" s="4" t="s">
        <v>3328</v>
      </c>
      <c r="B1969" s="5" t="s">
        <v>3328</v>
      </c>
      <c r="C1969" s="1" t="str">
        <f aca="false">IF(B1969="NEW ROUTE",1,"")</f>
        <v/>
      </c>
      <c r="E1969" s="5" t="s">
        <v>3328</v>
      </c>
      <c r="F1969" s="6" t="e">
        <f aca="false">VLOOKUP(E1969,$K$2:$L$426,2,FALSE())</f>
        <v>#N/A</v>
      </c>
      <c r="G1969" s="1" t="str">
        <f aca="false">IF(ISNA(F1969),"",F1969)</f>
        <v/>
      </c>
      <c r="H1969" s="5" t="str">
        <f aca="false">IF(G1969&lt;&gt;"",G1969,E1969)</f>
        <v>8, 10, NIDORAN\sf</v>
      </c>
    </row>
    <row r="1970" customFormat="false" ht="12.75" hidden="false" customHeight="true" outlineLevel="0" collapsed="false">
      <c r="A1970" s="4" t="s">
        <v>3329</v>
      </c>
      <c r="B1970" s="5" t="s">
        <v>3329</v>
      </c>
      <c r="C1970" s="1" t="str">
        <f aca="false">IF(B1970="NEW ROUTE",1,"")</f>
        <v/>
      </c>
      <c r="E1970" s="5" t="s">
        <v>3329</v>
      </c>
      <c r="F1970" s="6" t="e">
        <f aca="false">VLOOKUP(E1970,$K$2:$L$426,2,FALSE())</f>
        <v>#N/A</v>
      </c>
      <c r="G1970" s="1" t="str">
        <f aca="false">IF(ISNA(F1970),"",F1970)</f>
        <v/>
      </c>
      <c r="H1970" s="5" t="str">
        <f aca="false">IF(G1970&lt;&gt;"",G1970,E1970)</f>
        <v>8, 10, NIDORAN\sm</v>
      </c>
    </row>
    <row r="1971" customFormat="false" ht="12.75" hidden="false" customHeight="true" outlineLevel="0" collapsed="false">
      <c r="A1971" s="4" t="s">
        <v>3330</v>
      </c>
      <c r="B1971" s="5" t="s">
        <v>3330</v>
      </c>
      <c r="C1971" s="1" t="str">
        <f aca="false">IF(B1971="NEW ROUTE",1,"")</f>
        <v/>
      </c>
      <c r="E1971" s="5" t="s">
        <v>3330</v>
      </c>
      <c r="F1971" s="6" t="e">
        <f aca="false">VLOOKUP(E1971,$K$2:$L$426,2,FALSE())</f>
        <v>#N/A</v>
      </c>
      <c r="G1971" s="1" t="str">
        <f aca="false">IF(ISNA(F1971),"",F1971)</f>
        <v/>
      </c>
      <c r="H1971" s="5" t="str">
        <f aca="false">IF(G1971&lt;&gt;"",G1971,E1971)</f>
        <v>8, 10, EKANS</v>
      </c>
    </row>
    <row r="1972" customFormat="false" ht="12.75" hidden="false" customHeight="true" outlineLevel="0" collapsed="false">
      <c r="A1972" s="4" t="s">
        <v>3331</v>
      </c>
      <c r="B1972" s="5" t="s">
        <v>3331</v>
      </c>
      <c r="C1972" s="1" t="str">
        <f aca="false">IF(B1972="NEW ROUTE",1,"")</f>
        <v/>
      </c>
      <c r="E1972" s="5" t="s">
        <v>3331</v>
      </c>
      <c r="F1972" s="6" t="e">
        <f aca="false">VLOOKUP(E1972,$K$2:$L$426,2,FALSE())</f>
        <v>#N/A</v>
      </c>
      <c r="G1972" s="1" t="str">
        <f aca="false">IF(ISNA(F1972),"",F1972)</f>
        <v/>
      </c>
      <c r="H1972" s="5" t="str">
        <f aca="false">IF(G1972&lt;&gt;"",G1972,E1972)</f>
        <v>8, 10, SANDSHREW</v>
      </c>
    </row>
    <row r="1973" customFormat="false" ht="12.75" hidden="false" customHeight="true" outlineLevel="0" collapsed="false">
      <c r="A1973" s="4" t="s">
        <v>2806</v>
      </c>
      <c r="B1973" s="5" t="n">
        <v>0.05</v>
      </c>
      <c r="C1973" s="1" t="str">
        <f aca="false">IF(B1973="NEW ROUTE",1,"")</f>
        <v/>
      </c>
      <c r="E1973" s="5" t="n">
        <v>0.05</v>
      </c>
      <c r="F1973" s="6" t="e">
        <f aca="false">VLOOKUP(E1973,$K$2:$L$426,2,FALSE())</f>
        <v>#N/A</v>
      </c>
      <c r="G1973" s="1" t="str">
        <f aca="false">IF(ISNA(F1973),"",F1973)</f>
        <v/>
      </c>
      <c r="H1973" s="5" t="n">
        <f aca="false">IF(G1973&lt;&gt;"",G1973,E1973)</f>
        <v>0.05</v>
      </c>
    </row>
    <row r="1974" customFormat="false" ht="12.75" hidden="false" customHeight="true" outlineLevel="0" collapsed="false">
      <c r="A1974" s="4" t="s">
        <v>3332</v>
      </c>
      <c r="B1974" s="5" t="s">
        <v>3332</v>
      </c>
      <c r="C1974" s="1" t="str">
        <f aca="false">IF(B1974="NEW ROUTE",1,"")</f>
        <v/>
      </c>
      <c r="E1974" s="5" t="s">
        <v>3332</v>
      </c>
      <c r="F1974" s="6" t="e">
        <f aca="false">VLOOKUP(E1974,$K$2:$L$426,2,FALSE())</f>
        <v>#N/A</v>
      </c>
      <c r="G1974" s="1" t="str">
        <f aca="false">IF(ISNA(F1974),"",F1974)</f>
        <v/>
      </c>
      <c r="H1974" s="5" t="str">
        <f aca="false">IF(G1974&lt;&gt;"",G1974,E1974)</f>
        <v>9, 10, JIGGLYPUFF</v>
      </c>
    </row>
    <row r="1975" customFormat="false" ht="12.75" hidden="false" customHeight="true" outlineLevel="0" collapsed="false">
      <c r="A1975" s="4" t="s">
        <v>3333</v>
      </c>
      <c r="B1975" s="5" t="s">
        <v>3333</v>
      </c>
      <c r="C1975" s="1" t="str">
        <f aca="false">IF(B1975="NEW ROUTE",1,"")</f>
        <v/>
      </c>
      <c r="E1975" s="5" t="s">
        <v>3333</v>
      </c>
      <c r="F1975" s="6" t="e">
        <f aca="false">VLOOKUP(E1975,$K$2:$L$426,2,FALSE())</f>
        <v>#N/A</v>
      </c>
      <c r="G1975" s="1" t="str">
        <f aca="false">IF(ISNA(F1975),"",F1975)</f>
        <v/>
      </c>
      <c r="H1975" s="5" t="str">
        <f aca="false">IF(G1975&lt;&gt;"",G1975,E1975)</f>
        <v>9, 10, CLEFAIRY</v>
      </c>
    </row>
    <row r="1976" customFormat="false" ht="12.75" hidden="false" customHeight="true" outlineLevel="0" collapsed="false">
      <c r="A1976" s="4" t="s">
        <v>2809</v>
      </c>
      <c r="B1976" s="5" t="n">
        <v>0.04</v>
      </c>
      <c r="C1976" s="1" t="str">
        <f aca="false">IF(B1976="NEW ROUTE",1,"")</f>
        <v/>
      </c>
      <c r="E1976" s="5" t="n">
        <v>0.04</v>
      </c>
      <c r="F1976" s="6" t="e">
        <f aca="false">VLOOKUP(E1976,$K$2:$L$426,2,FALSE())</f>
        <v>#N/A</v>
      </c>
      <c r="G1976" s="1" t="str">
        <f aca="false">IF(ISNA(F1976),"",F1976)</f>
        <v/>
      </c>
      <c r="H1976" s="5" t="n">
        <f aca="false">IF(G1976&lt;&gt;"",G1976,E1976)</f>
        <v>0.04</v>
      </c>
    </row>
    <row r="1977" customFormat="false" ht="12.75" hidden="false" customHeight="true" outlineLevel="0" collapsed="false">
      <c r="A1977" s="4" t="s">
        <v>3334</v>
      </c>
      <c r="B1977" s="5" t="s">
        <v>3334</v>
      </c>
      <c r="C1977" s="1" t="str">
        <f aca="false">IF(B1977="NEW ROUTE",1,"")</f>
        <v/>
      </c>
      <c r="E1977" s="5" t="s">
        <v>3334</v>
      </c>
      <c r="F1977" s="6" t="e">
        <f aca="false">VLOOKUP(E1977,$K$2:$L$426,2,FALSE())</f>
        <v>#N/A</v>
      </c>
      <c r="G1977" s="1" t="str">
        <f aca="false">IF(ISNA(F1977),"",F1977)</f>
        <v/>
      </c>
      <c r="H1977" s="5" t="str">
        <f aca="false">IF(G1977&lt;&gt;"",G1977,E1977)</f>
        <v>9, 11, MACHOP</v>
      </c>
    </row>
    <row r="1978" customFormat="false" ht="12.75" hidden="false" customHeight="true" outlineLevel="0" collapsed="false">
      <c r="A1978" s="4" t="s">
        <v>3334</v>
      </c>
      <c r="B1978" s="5" t="s">
        <v>3334</v>
      </c>
      <c r="C1978" s="1" t="str">
        <f aca="false">IF(B1978="NEW ROUTE",1,"")</f>
        <v/>
      </c>
      <c r="E1978" s="5" t="s">
        <v>3334</v>
      </c>
      <c r="F1978" s="6" t="e">
        <f aca="false">VLOOKUP(E1978,$K$2:$L$426,2,FALSE())</f>
        <v>#N/A</v>
      </c>
      <c r="G1978" s="1" t="str">
        <f aca="false">IF(ISNA(F1978),"",F1978)</f>
        <v/>
      </c>
      <c r="H1978" s="5" t="str">
        <f aca="false">IF(G1978&lt;&gt;"",G1978,E1978)</f>
        <v>9, 11, MACHOP</v>
      </c>
    </row>
    <row r="1979" customFormat="false" ht="12.75" hidden="false" customHeight="true" outlineLevel="0" collapsed="false">
      <c r="A1979" s="4" t="s">
        <v>2812</v>
      </c>
      <c r="B1979" s="5" t="n">
        <v>0.01</v>
      </c>
      <c r="C1979" s="1" t="str">
        <f aca="false">IF(B1979="NEW ROUTE",1,"")</f>
        <v/>
      </c>
      <c r="E1979" s="5" t="n">
        <v>0.01</v>
      </c>
      <c r="F1979" s="6" t="e">
        <f aca="false">VLOOKUP(E1979,$K$2:$L$426,2,FALSE())</f>
        <v>#N/A</v>
      </c>
      <c r="G1979" s="1" t="str">
        <f aca="false">IF(ISNA(F1979),"",F1979)</f>
        <v/>
      </c>
      <c r="H1979" s="5" t="n">
        <f aca="false">IF(G1979&lt;&gt;"",G1979,E1979)</f>
        <v>0.01</v>
      </c>
    </row>
    <row r="1980" customFormat="false" ht="12.75" hidden="false" customHeight="true" outlineLevel="0" collapsed="false">
      <c r="A1980" s="4" t="s">
        <v>3335</v>
      </c>
      <c r="B1980" s="5" t="s">
        <v>3335</v>
      </c>
      <c r="C1980" s="1" t="str">
        <f aca="false">IF(B1980="NEW ROUTE",1,"")</f>
        <v/>
      </c>
      <c r="E1980" s="5" t="s">
        <v>3335</v>
      </c>
      <c r="F1980" s="6" t="e">
        <f aca="false">VLOOKUP(E1980,$K$2:$L$426,2,FALSE())</f>
        <v>#N/A</v>
      </c>
      <c r="G1980" s="1" t="str">
        <f aca="false">IF(ISNA(F1980),"",F1980)</f>
        <v/>
      </c>
      <c r="H1980" s="5" t="str">
        <f aca="false">IF(G1980&lt;&gt;"",G1980,E1980)</f>
        <v>10, 13, NIDORAN\sf</v>
      </c>
    </row>
    <row r="1981" customFormat="false" ht="12.75" hidden="false" customHeight="true" outlineLevel="0" collapsed="false">
      <c r="A1981" s="4" t="s">
        <v>3723</v>
      </c>
      <c r="B1981" s="5" t="s">
        <v>3723</v>
      </c>
      <c r="C1981" s="1" t="str">
        <f aca="false">IF(B1981="NEW ROUTE",1,"")</f>
        <v/>
      </c>
      <c r="E1981" s="5" t="s">
        <v>3723</v>
      </c>
      <c r="F1981" s="6" t="e">
        <f aca="false">VLOOKUP(E1981,$K$2:$L$426,2,FALSE())</f>
        <v>#N/A</v>
      </c>
      <c r="G1981" s="1" t="str">
        <f aca="false">IF(ISNA(F1981),"",F1981)</f>
        <v/>
      </c>
      <c r="H1981" s="5" t="str">
        <f aca="false">IF(G1981&lt;&gt;"",G1981,E1981)</f>
        <v>10, 13, NIDORAN\sm</v>
      </c>
    </row>
    <row r="1982" customFormat="false" ht="12.75" hidden="false" customHeight="true" outlineLevel="0" collapsed="false">
      <c r="A1982" s="4" t="s">
        <v>2536</v>
      </c>
      <c r="B1982" s="5" t="s">
        <v>2536</v>
      </c>
      <c r="C1982" s="1" t="n">
        <f aca="false">IF(B1982="NEW ROUTE",1,"")</f>
        <v>1</v>
      </c>
      <c r="E1982" s="5" t="s">
        <v>2536</v>
      </c>
      <c r="F1982" s="6" t="e">
        <f aca="false">VLOOKUP(E1982,$K$2:$L$426,2,FALSE())</f>
        <v>#N/A</v>
      </c>
      <c r="G1982" s="1" t="str">
        <f aca="false">IF(ISNA(F1982),"",F1982)</f>
        <v/>
      </c>
      <c r="H1982" s="5" t="str">
        <f aca="false">IF(G1982&lt;&gt;"",G1982,E1982)</f>
        <v>NEW ROUTE</v>
      </c>
    </row>
    <row r="1983" customFormat="false" ht="12.75" hidden="false" customHeight="true" outlineLevel="0" collapsed="false">
      <c r="A1983" s="4" t="s">
        <v>422</v>
      </c>
      <c r="B1983" s="5" t="s">
        <v>422</v>
      </c>
      <c r="C1983" s="1" t="str">
        <f aca="false">IF(B1983="NEW ROUTE",1,"")</f>
        <v/>
      </c>
      <c r="E1983" s="5" t="s">
        <v>422</v>
      </c>
      <c r="F1983" s="6" t="str">
        <f aca="false">VLOOKUP(E1983,$K$2:$L$426,2,FALSE())</f>
        <v>Route 4</v>
      </c>
      <c r="G1983" s="1" t="str">
        <f aca="false">IF(ISNA(F1983),"",F1983)</f>
        <v>Route 4</v>
      </c>
      <c r="H1983" s="5" t="str">
        <f aca="false">IF(G1983&lt;&gt;"",G1983,E1983)</f>
        <v>Route 4</v>
      </c>
    </row>
    <row r="1984" customFormat="false" ht="12.75" hidden="false" customHeight="true" outlineLevel="0" collapsed="false">
      <c r="A1984" s="4" t="s">
        <v>2799</v>
      </c>
      <c r="B1984" s="5" t="n">
        <v>0.2</v>
      </c>
      <c r="C1984" s="1" t="str">
        <f aca="false">IF(B1984="NEW ROUTE",1,"")</f>
        <v/>
      </c>
      <c r="E1984" s="5" t="n">
        <v>0.2</v>
      </c>
      <c r="F1984" s="6" t="e">
        <f aca="false">VLOOKUP(E1984,$K$2:$L$426,2,FALSE())</f>
        <v>#N/A</v>
      </c>
      <c r="G1984" s="1" t="str">
        <f aca="false">IF(ISNA(F1984),"",F1984)</f>
        <v/>
      </c>
      <c r="H1984" s="5" t="n">
        <f aca="false">IF(G1984&lt;&gt;"",G1984,E1984)</f>
        <v>0.2</v>
      </c>
    </row>
    <row r="1985" customFormat="false" ht="12.75" hidden="false" customHeight="true" outlineLevel="0" collapsed="false">
      <c r="A1985" s="4" t="s">
        <v>1805</v>
      </c>
      <c r="B1985" s="5" t="s">
        <v>1805</v>
      </c>
      <c r="C1985" s="1" t="str">
        <f aca="false">IF(B1985="NEW ROUTE",1,"")</f>
        <v/>
      </c>
      <c r="E1985" s="5" t="s">
        <v>1805</v>
      </c>
      <c r="F1985" s="6" t="e">
        <f aca="false">VLOOKUP(E1985,$K$2:$L$426,2,FALSE())</f>
        <v>#N/A</v>
      </c>
      <c r="G1985" s="1" t="str">
        <f aca="false">IF(ISNA(F1985),"",F1985)</f>
        <v/>
      </c>
      <c r="H1985" s="5" t="str">
        <f aca="false">IF(G1985&lt;&gt;"",G1985,E1985)</f>
        <v>13, 16, RATTATA</v>
      </c>
    </row>
    <row r="1986" customFormat="false" ht="12.75" hidden="false" customHeight="true" outlineLevel="0" collapsed="false">
      <c r="A1986" s="4" t="s">
        <v>3338</v>
      </c>
      <c r="B1986" s="5" t="s">
        <v>3338</v>
      </c>
      <c r="C1986" s="1" t="str">
        <f aca="false">IF(B1986="NEW ROUTE",1,"")</f>
        <v/>
      </c>
      <c r="E1986" s="5" t="s">
        <v>3338</v>
      </c>
      <c r="F1986" s="6" t="e">
        <f aca="false">VLOOKUP(E1986,$K$2:$L$426,2,FALSE())</f>
        <v>#N/A</v>
      </c>
      <c r="G1986" s="1" t="str">
        <f aca="false">IF(ISNA(F1986),"",F1986)</f>
        <v/>
      </c>
      <c r="H1986" s="5" t="str">
        <f aca="false">IF(G1986&lt;&gt;"",G1986,E1986)</f>
        <v>13, 16, SPEAROW</v>
      </c>
    </row>
    <row r="1987" customFormat="false" ht="12.75" hidden="false" customHeight="true" outlineLevel="0" collapsed="false">
      <c r="A1987" s="4" t="s">
        <v>2801</v>
      </c>
      <c r="B1987" s="5" t="n">
        <v>0.1</v>
      </c>
      <c r="C1987" s="1" t="str">
        <f aca="false">IF(B1987="NEW ROUTE",1,"")</f>
        <v/>
      </c>
      <c r="E1987" s="5" t="n">
        <v>0.1</v>
      </c>
      <c r="F1987" s="6" t="e">
        <f aca="false">VLOOKUP(E1987,$K$2:$L$426,2,FALSE())</f>
        <v>#N/A</v>
      </c>
      <c r="G1987" s="1" t="str">
        <f aca="false">IF(ISNA(F1987),"",F1987)</f>
        <v/>
      </c>
      <c r="H1987" s="5" t="n">
        <f aca="false">IF(G1987&lt;&gt;"",G1987,E1987)</f>
        <v>0.1</v>
      </c>
    </row>
    <row r="1988" customFormat="false" ht="12.75" hidden="false" customHeight="true" outlineLevel="0" collapsed="false">
      <c r="A1988" s="4" t="s">
        <v>3339</v>
      </c>
      <c r="B1988" s="5" t="s">
        <v>3339</v>
      </c>
      <c r="C1988" s="1" t="str">
        <f aca="false">IF(B1988="NEW ROUTE",1,"")</f>
        <v/>
      </c>
      <c r="E1988" s="5" t="s">
        <v>3339</v>
      </c>
      <c r="F1988" s="6" t="e">
        <f aca="false">VLOOKUP(E1988,$K$2:$L$426,2,FALSE())</f>
        <v>#N/A</v>
      </c>
      <c r="G1988" s="1" t="str">
        <f aca="false">IF(ISNA(F1988),"",F1988)</f>
        <v/>
      </c>
      <c r="H1988" s="5" t="str">
        <f aca="false">IF(G1988&lt;&gt;"",G1988,E1988)</f>
        <v>14, 16, PSYDUCK</v>
      </c>
    </row>
    <row r="1989" customFormat="false" ht="12.75" hidden="false" customHeight="true" outlineLevel="0" collapsed="false">
      <c r="A1989" s="4" t="s">
        <v>3340</v>
      </c>
      <c r="B1989" s="5" t="s">
        <v>3340</v>
      </c>
      <c r="C1989" s="1" t="str">
        <f aca="false">IF(B1989="NEW ROUTE",1,"")</f>
        <v/>
      </c>
      <c r="E1989" s="5" t="s">
        <v>3340</v>
      </c>
      <c r="F1989" s="6" t="e">
        <f aca="false">VLOOKUP(E1989,$K$2:$L$426,2,FALSE())</f>
        <v>#N/A</v>
      </c>
      <c r="G1989" s="1" t="str">
        <f aca="false">IF(ISNA(F1989),"",F1989)</f>
        <v/>
      </c>
      <c r="H1989" s="5" t="str">
        <f aca="false">IF(G1989&lt;&gt;"",G1989,E1989)</f>
        <v>14, 16, NIDORAN\sm</v>
      </c>
    </row>
    <row r="1990" customFormat="false" ht="12.75" hidden="false" customHeight="true" outlineLevel="0" collapsed="false">
      <c r="A1990" s="4" t="s">
        <v>3341</v>
      </c>
      <c r="B1990" s="5" t="s">
        <v>3341</v>
      </c>
      <c r="C1990" s="1" t="str">
        <f aca="false">IF(B1990="NEW ROUTE",1,"")</f>
        <v/>
      </c>
      <c r="E1990" s="5" t="s">
        <v>3341</v>
      </c>
      <c r="F1990" s="6" t="e">
        <f aca="false">VLOOKUP(E1990,$K$2:$L$426,2,FALSE())</f>
        <v>#N/A</v>
      </c>
      <c r="G1990" s="1" t="str">
        <f aca="false">IF(ISNA(F1990),"",F1990)</f>
        <v/>
      </c>
      <c r="H1990" s="5" t="str">
        <f aca="false">IF(G1990&lt;&gt;"",G1990,E1990)</f>
        <v>14, 16, NIDORAN\sf</v>
      </c>
    </row>
    <row r="1991" customFormat="false" ht="12.75" hidden="false" customHeight="true" outlineLevel="0" collapsed="false">
      <c r="A1991" s="4" t="s">
        <v>3342</v>
      </c>
      <c r="B1991" s="5" t="s">
        <v>3342</v>
      </c>
      <c r="C1991" s="1" t="str">
        <f aca="false">IF(B1991="NEW ROUTE",1,"")</f>
        <v/>
      </c>
      <c r="E1991" s="5" t="s">
        <v>3342</v>
      </c>
      <c r="F1991" s="6" t="e">
        <f aca="false">VLOOKUP(E1991,$K$2:$L$426,2,FALSE())</f>
        <v>#N/A</v>
      </c>
      <c r="G1991" s="1" t="str">
        <f aca="false">IF(ISNA(F1991),"",F1991)</f>
        <v/>
      </c>
      <c r="H1991" s="5" t="str">
        <f aca="false">IF(G1991&lt;&gt;"",G1991,E1991)</f>
        <v>14, 16, EKANS</v>
      </c>
    </row>
    <row r="1992" customFormat="false" ht="12.75" hidden="false" customHeight="true" outlineLevel="0" collapsed="false">
      <c r="A1992" s="4" t="s">
        <v>2806</v>
      </c>
      <c r="B1992" s="5" t="n">
        <v>0.05</v>
      </c>
      <c r="C1992" s="1" t="str">
        <f aca="false">IF(B1992="NEW ROUTE",1,"")</f>
        <v/>
      </c>
      <c r="E1992" s="5" t="n">
        <v>0.05</v>
      </c>
      <c r="F1992" s="6" t="e">
        <f aca="false">VLOOKUP(E1992,$K$2:$L$426,2,FALSE())</f>
        <v>#N/A</v>
      </c>
      <c r="G1992" s="1" t="str">
        <f aca="false">IF(ISNA(F1992),"",F1992)</f>
        <v/>
      </c>
      <c r="H1992" s="5" t="n">
        <f aca="false">IF(G1992&lt;&gt;"",G1992,E1992)</f>
        <v>0.05</v>
      </c>
    </row>
    <row r="1993" customFormat="false" ht="12.75" hidden="false" customHeight="true" outlineLevel="0" collapsed="false">
      <c r="A1993" s="4" t="s">
        <v>3343</v>
      </c>
      <c r="B1993" s="5" t="s">
        <v>3343</v>
      </c>
      <c r="C1993" s="1" t="str">
        <f aca="false">IF(B1993="NEW ROUTE",1,"")</f>
        <v/>
      </c>
      <c r="E1993" s="5" t="s">
        <v>3343</v>
      </c>
      <c r="F1993" s="6" t="e">
        <f aca="false">VLOOKUP(E1993,$K$2:$L$426,2,FALSE())</f>
        <v>#N/A</v>
      </c>
      <c r="G1993" s="1" t="str">
        <f aca="false">IF(ISNA(F1993),"",F1993)</f>
        <v/>
      </c>
      <c r="H1993" s="5" t="str">
        <f aca="false">IF(G1993&lt;&gt;"",G1993,E1993)</f>
        <v>15, 15, JIGGLYPUFF</v>
      </c>
    </row>
    <row r="1994" customFormat="false" ht="12.75" hidden="false" customHeight="true" outlineLevel="0" collapsed="false">
      <c r="A1994" s="4" t="s">
        <v>3344</v>
      </c>
      <c r="B1994" s="5" t="s">
        <v>3344</v>
      </c>
      <c r="C1994" s="1" t="str">
        <f aca="false">IF(B1994="NEW ROUTE",1,"")</f>
        <v/>
      </c>
      <c r="E1994" s="5" t="s">
        <v>3344</v>
      </c>
      <c r="F1994" s="6" t="e">
        <f aca="false">VLOOKUP(E1994,$K$2:$L$426,2,FALSE())</f>
        <v>#N/A</v>
      </c>
      <c r="G1994" s="1" t="str">
        <f aca="false">IF(ISNA(F1994),"",F1994)</f>
        <v/>
      </c>
      <c r="H1994" s="5" t="str">
        <f aca="false">IF(G1994&lt;&gt;"",G1994,E1994)</f>
        <v>15, 15, CLEFAIRY</v>
      </c>
    </row>
    <row r="1995" customFormat="false" ht="12.75" hidden="false" customHeight="true" outlineLevel="0" collapsed="false">
      <c r="A1995" s="4" t="s">
        <v>2809</v>
      </c>
      <c r="B1995" s="5" t="n">
        <v>0.04</v>
      </c>
      <c r="C1995" s="1" t="str">
        <f aca="false">IF(B1995="NEW ROUTE",1,"")</f>
        <v/>
      </c>
      <c r="E1995" s="5" t="n">
        <v>0.04</v>
      </c>
      <c r="F1995" s="6" t="e">
        <f aca="false">VLOOKUP(E1995,$K$2:$L$426,2,FALSE())</f>
        <v>#N/A</v>
      </c>
      <c r="G1995" s="1" t="str">
        <f aca="false">IF(ISNA(F1995),"",F1995)</f>
        <v/>
      </c>
      <c r="H1995" s="5" t="n">
        <f aca="false">IF(G1995&lt;&gt;"",G1995,E1995)</f>
        <v>0.04</v>
      </c>
    </row>
    <row r="1996" customFormat="false" ht="12.75" hidden="false" customHeight="true" outlineLevel="0" collapsed="false">
      <c r="A1996" s="4" t="s">
        <v>3345</v>
      </c>
      <c r="B1996" s="5" t="s">
        <v>3345</v>
      </c>
      <c r="C1996" s="1" t="str">
        <f aca="false">IF(B1996="NEW ROUTE",1,"")</f>
        <v/>
      </c>
      <c r="E1996" s="5" t="s">
        <v>3345</v>
      </c>
      <c r="F1996" s="6" t="e">
        <f aca="false">VLOOKUP(E1996,$K$2:$L$426,2,FALSE())</f>
        <v>#N/A</v>
      </c>
      <c r="G1996" s="1" t="str">
        <f aca="false">IF(ISNA(F1996),"",F1996)</f>
        <v/>
      </c>
      <c r="H1996" s="5" t="str">
        <f aca="false">IF(G1996&lt;&gt;"",G1996,E1996)</f>
        <v>13, 18, MANKEY</v>
      </c>
    </row>
    <row r="1997" customFormat="false" ht="12.75" hidden="false" customHeight="true" outlineLevel="0" collapsed="false">
      <c r="A1997" s="4" t="s">
        <v>3346</v>
      </c>
      <c r="B1997" s="5" t="s">
        <v>3346</v>
      </c>
      <c r="C1997" s="1" t="str">
        <f aca="false">IF(B1997="NEW ROUTE",1,"")</f>
        <v/>
      </c>
      <c r="E1997" s="5" t="s">
        <v>3346</v>
      </c>
      <c r="F1997" s="6" t="e">
        <f aca="false">VLOOKUP(E1997,$K$2:$L$426,2,FALSE())</f>
        <v>#N/A</v>
      </c>
      <c r="G1997" s="1" t="str">
        <f aca="false">IF(ISNA(F1997),"",F1997)</f>
        <v/>
      </c>
      <c r="H1997" s="5" t="str">
        <f aca="false">IF(G1997&lt;&gt;"",G1997,E1997)</f>
        <v>13, 18, MACHOP</v>
      </c>
    </row>
    <row r="1998" customFormat="false" ht="12.75" hidden="false" customHeight="true" outlineLevel="0" collapsed="false">
      <c r="A1998" s="4" t="s">
        <v>2812</v>
      </c>
      <c r="B1998" s="5" t="n">
        <v>0.01</v>
      </c>
      <c r="C1998" s="1" t="str">
        <f aca="false">IF(B1998="NEW ROUTE",1,"")</f>
        <v/>
      </c>
      <c r="E1998" s="5" t="n">
        <v>0.01</v>
      </c>
      <c r="F1998" s="6" t="e">
        <f aca="false">VLOOKUP(E1998,$K$2:$L$426,2,FALSE())</f>
        <v>#N/A</v>
      </c>
      <c r="G1998" s="1" t="str">
        <f aca="false">IF(ISNA(F1998),"",F1998)</f>
        <v/>
      </c>
      <c r="H1998" s="5" t="n">
        <f aca="false">IF(G1998&lt;&gt;"",G1998,E1998)</f>
        <v>0.01</v>
      </c>
    </row>
    <row r="1999" customFormat="false" ht="12.75" hidden="false" customHeight="true" outlineLevel="0" collapsed="false">
      <c r="A1999" s="4" t="s">
        <v>3347</v>
      </c>
      <c r="B1999" s="5" t="s">
        <v>3347</v>
      </c>
      <c r="C1999" s="1" t="str">
        <f aca="false">IF(B1999="NEW ROUTE",1,"")</f>
        <v/>
      </c>
      <c r="E1999" s="5" t="s">
        <v>3347</v>
      </c>
      <c r="F1999" s="6" t="e">
        <f aca="false">VLOOKUP(E1999,$K$2:$L$426,2,FALSE())</f>
        <v>#N/A</v>
      </c>
      <c r="G1999" s="1" t="str">
        <f aca="false">IF(ISNA(F1999),"",F1999)</f>
        <v/>
      </c>
      <c r="H1999" s="5" t="str">
        <f aca="false">IF(G1999&lt;&gt;"",G1999,E1999)</f>
        <v>16, 16, NIDORINO</v>
      </c>
    </row>
    <row r="2000" customFormat="false" ht="12.75" hidden="false" customHeight="true" outlineLevel="0" collapsed="false">
      <c r="A2000" s="4" t="s">
        <v>3348</v>
      </c>
      <c r="B2000" s="5" t="s">
        <v>3348</v>
      </c>
      <c r="C2000" s="1" t="str">
        <f aca="false">IF(B2000="NEW ROUTE",1,"")</f>
        <v/>
      </c>
      <c r="E2000" s="5" t="s">
        <v>3348</v>
      </c>
      <c r="F2000" s="6" t="e">
        <f aca="false">VLOOKUP(E2000,$K$2:$L$426,2,FALSE())</f>
        <v>#N/A</v>
      </c>
      <c r="G2000" s="1" t="str">
        <f aca="false">IF(ISNA(F2000),"",F2000)</f>
        <v/>
      </c>
      <c r="H2000" s="5" t="str">
        <f aca="false">IF(G2000&lt;&gt;"",G2000,E2000)</f>
        <v>16, 16, NIDORINA</v>
      </c>
    </row>
    <row r="2001" customFormat="false" ht="12.75" hidden="false" customHeight="true" outlineLevel="0" collapsed="false">
      <c r="A2001" s="4" t="s">
        <v>3349</v>
      </c>
      <c r="B2001" s="5" t="s">
        <v>3349</v>
      </c>
      <c r="C2001" s="1" t="str">
        <f aca="false">IF(B2001="NEW ROUTE",1,"")</f>
        <v/>
      </c>
      <c r="E2001" s="5" t="s">
        <v>3349</v>
      </c>
      <c r="F2001" s="6" t="e">
        <f aca="false">VLOOKUP(E2001,$K$2:$L$426,2,FALSE())</f>
        <v>#N/A</v>
      </c>
      <c r="G2001" s="1" t="str">
        <f aca="false">IF(ISNA(F2001),"",F2001)</f>
        <v/>
      </c>
      <c r="H2001" s="5" t="str">
        <f aca="false">IF(G2001&lt;&gt;"",G2001,E2001)</f>
        <v>2, 38, 42, TENTACOOL</v>
      </c>
    </row>
    <row r="2002" customFormat="false" ht="12.75" hidden="false" customHeight="true" outlineLevel="0" collapsed="false">
      <c r="A2002" s="4" t="s">
        <v>3350</v>
      </c>
      <c r="B2002" s="5" t="s">
        <v>3350</v>
      </c>
      <c r="C2002" s="1" t="str">
        <f aca="false">IF(B2002="NEW ROUTE",1,"")</f>
        <v/>
      </c>
      <c r="E2002" s="5" t="s">
        <v>3350</v>
      </c>
      <c r="F2002" s="6" t="e">
        <f aca="false">VLOOKUP(E2002,$K$2:$L$426,2,FALSE())</f>
        <v>#N/A</v>
      </c>
      <c r="G2002" s="1" t="str">
        <f aca="false">IF(ISNA(F2002),"",F2002)</f>
        <v/>
      </c>
      <c r="H2002" s="5" t="str">
        <f aca="false">IF(G2002&lt;&gt;"",G2002,E2002)</f>
        <v>40, 44, PSYDUCK</v>
      </c>
    </row>
    <row r="2003" customFormat="false" ht="12.75" hidden="false" customHeight="true" outlineLevel="0" collapsed="false">
      <c r="A2003" s="4" t="s">
        <v>3351</v>
      </c>
      <c r="B2003" s="5" t="s">
        <v>3351</v>
      </c>
      <c r="C2003" s="1" t="str">
        <f aca="false">IF(B2003="NEW ROUTE",1,"")</f>
        <v/>
      </c>
      <c r="E2003" s="5" t="s">
        <v>3351</v>
      </c>
      <c r="F2003" s="6" t="e">
        <f aca="false">VLOOKUP(E2003,$K$2:$L$426,2,FALSE())</f>
        <v>#N/A</v>
      </c>
      <c r="G2003" s="1" t="str">
        <f aca="false">IF(ISNA(F2003),"",F2003)</f>
        <v/>
      </c>
      <c r="H2003" s="5" t="str">
        <f aca="false">IF(G2003&lt;&gt;"",G2003,E2003)</f>
        <v>42, 46, TENTACRUEL</v>
      </c>
    </row>
    <row r="2004" customFormat="false" ht="12.75" hidden="false" customHeight="true" outlineLevel="0" collapsed="false">
      <c r="A2004" s="4" t="s">
        <v>2923</v>
      </c>
      <c r="B2004" s="5" t="s">
        <v>2923</v>
      </c>
      <c r="C2004" s="1" t="str">
        <f aca="false">IF(B2004="NEW ROUTE",1,"")</f>
        <v/>
      </c>
      <c r="E2004" s="5" t="s">
        <v>2923</v>
      </c>
      <c r="F2004" s="6" t="e">
        <f aca="false">VLOOKUP(E2004,$K$2:$L$426,2,FALSE())</f>
        <v>#N/A</v>
      </c>
      <c r="G2004" s="1" t="str">
        <f aca="false">IF(ISNA(F2004),"",F2004)</f>
        <v/>
      </c>
      <c r="H2004" s="5" t="str">
        <f aca="false">IF(G2004&lt;&gt;"",G2004,E2004)</f>
        <v>42, 46, GOLDUCK</v>
      </c>
    </row>
    <row r="2005" customFormat="false" ht="12.75" hidden="false" customHeight="true" outlineLevel="0" collapsed="false">
      <c r="A2005" s="4" t="s">
        <v>2924</v>
      </c>
      <c r="B2005" s="5" t="s">
        <v>2924</v>
      </c>
      <c r="C2005" s="1" t="str">
        <f aca="false">IF(B2005="NEW ROUTE",1,"")</f>
        <v/>
      </c>
      <c r="E2005" s="5" t="s">
        <v>2924</v>
      </c>
      <c r="F2005" s="6" t="e">
        <f aca="false">VLOOKUP(E2005,$K$2:$L$426,2,FALSE())</f>
        <v>#N/A</v>
      </c>
      <c r="G2005" s="1" t="str">
        <f aca="false">IF(ISNA(F2005),"",F2005)</f>
        <v/>
      </c>
      <c r="H2005" s="5" t="str">
        <f aca="false">IF(G2005&lt;&gt;"",G2005,E2005)</f>
        <v>44, 48, VAPOREON</v>
      </c>
    </row>
    <row r="2006" customFormat="false" ht="12.75" hidden="false" customHeight="true" outlineLevel="0" collapsed="false">
      <c r="A2006" s="4" t="s">
        <v>2925</v>
      </c>
      <c r="B2006" s="5" t="s">
        <v>2925</v>
      </c>
      <c r="C2006" s="1" t="str">
        <f aca="false">IF(B2006="NEW ROUTE",1,"")</f>
        <v/>
      </c>
      <c r="E2006" s="5" t="s">
        <v>2925</v>
      </c>
      <c r="F2006" s="6" t="e">
        <f aca="false">VLOOKUP(E2006,$K$2:$L$426,2,FALSE())</f>
        <v>#N/A</v>
      </c>
      <c r="G2006" s="1" t="str">
        <f aca="false">IF(ISNA(F2006),"",F2006)</f>
        <v/>
      </c>
      <c r="H2006" s="5" t="str">
        <f aca="false">IF(G2006&lt;&gt;"",G2006,E2006)</f>
        <v>20, old rod:</v>
      </c>
    </row>
    <row r="2007" customFormat="false" ht="12.75" hidden="false" customHeight="true" outlineLevel="0" collapsed="false">
      <c r="A2007" s="4" t="s">
        <v>1349</v>
      </c>
      <c r="B2007" s="5" t="s">
        <v>1349</v>
      </c>
      <c r="C2007" s="1" t="str">
        <f aca="false">IF(B2007="NEW ROUTE",1,"")</f>
        <v/>
      </c>
      <c r="E2007" s="5" t="s">
        <v>1349</v>
      </c>
      <c r="F2007" s="6" t="e">
        <f aca="false">VLOOKUP(E2007,$K$2:$L$426,2,FALSE())</f>
        <v>#N/A</v>
      </c>
      <c r="G2007" s="1" t="str">
        <f aca="false">IF(ISNA(F2007),"",F2007)</f>
        <v/>
      </c>
      <c r="H2007" s="5" t="str">
        <f aca="false">IF(G2007&lt;&gt;"",G2007,E2007)</f>
        <v>19, 26, MAGIKARP</v>
      </c>
    </row>
    <row r="2008" customFormat="false" ht="12.75" hidden="false" customHeight="true" outlineLevel="0" collapsed="false">
      <c r="A2008" s="4" t="s">
        <v>3352</v>
      </c>
      <c r="B2008" s="5" t="s">
        <v>3352</v>
      </c>
      <c r="C2008" s="1" t="str">
        <f aca="false">IF(B2008="NEW ROUTE",1,"")</f>
        <v/>
      </c>
      <c r="E2008" s="5" t="s">
        <v>3352</v>
      </c>
      <c r="F2008" s="6" t="e">
        <f aca="false">VLOOKUP(E2008,$K$2:$L$426,2,FALSE())</f>
        <v>#N/A</v>
      </c>
      <c r="G2008" s="1" t="str">
        <f aca="false">IF(ISNA(F2008),"",F2008)</f>
        <v/>
      </c>
      <c r="H2008" s="5" t="str">
        <f aca="false">IF(G2008&lt;&gt;"",G2008,E2008)</f>
        <v>19, 26, GYARADOS</v>
      </c>
    </row>
    <row r="2009" customFormat="false" ht="12.75" hidden="false" customHeight="true" outlineLevel="0" collapsed="false">
      <c r="A2009" s="4" t="s">
        <v>2846</v>
      </c>
      <c r="B2009" s="5" t="s">
        <v>2846</v>
      </c>
      <c r="C2009" s="1" t="str">
        <f aca="false">IF(B2009="NEW ROUTE",1,"")</f>
        <v/>
      </c>
      <c r="E2009" s="5" t="s">
        <v>2846</v>
      </c>
      <c r="F2009" s="6" t="e">
        <f aca="false">VLOOKUP(E2009,$K$2:$L$426,2,FALSE())</f>
        <v>#N/A</v>
      </c>
      <c r="G2009" s="1" t="str">
        <f aca="false">IF(ISNA(F2009),"",F2009)</f>
        <v/>
      </c>
      <c r="H2009" s="5" t="str">
        <f aca="false">IF(G2009&lt;&gt;"",G2009,E2009)</f>
        <v>good rod:</v>
      </c>
    </row>
    <row r="2010" customFormat="false" ht="12.75" hidden="false" customHeight="true" outlineLevel="0" collapsed="false">
      <c r="A2010" s="4" t="s">
        <v>3353</v>
      </c>
      <c r="B2010" s="5" t="s">
        <v>3353</v>
      </c>
      <c r="C2010" s="1" t="str">
        <f aca="false">IF(B2010="NEW ROUTE",1,"")</f>
        <v/>
      </c>
      <c r="E2010" s="5" t="s">
        <v>3353</v>
      </c>
      <c r="F2010" s="6" t="e">
        <f aca="false">VLOOKUP(E2010,$K$2:$L$426,2,FALSE())</f>
        <v>#N/A</v>
      </c>
      <c r="G2010" s="1" t="str">
        <f aca="false">IF(ISNA(F2010),"",F2010)</f>
        <v/>
      </c>
      <c r="H2010" s="5" t="str">
        <f aca="false">IF(G2010&lt;&gt;"",G2010,E2010)</f>
        <v>29, 33, SLOWPOKE</v>
      </c>
    </row>
    <row r="2011" customFormat="false" ht="12.75" hidden="false" customHeight="true" outlineLevel="0" collapsed="false">
      <c r="A2011" s="4" t="s">
        <v>3027</v>
      </c>
      <c r="B2011" s="5" t="s">
        <v>3027</v>
      </c>
      <c r="C2011" s="1" t="str">
        <f aca="false">IF(B2011="NEW ROUTE",1,"")</f>
        <v/>
      </c>
      <c r="E2011" s="5" t="s">
        <v>3027</v>
      </c>
      <c r="F2011" s="6" t="e">
        <f aca="false">VLOOKUP(E2011,$K$2:$L$426,2,FALSE())</f>
        <v>#N/A</v>
      </c>
      <c r="G2011" s="1" t="str">
        <f aca="false">IF(ISNA(F2011),"",F2011)</f>
        <v/>
      </c>
      <c r="H2011" s="5" t="str">
        <f aca="false">IF(G2011&lt;&gt;"",G2011,E2011)</f>
        <v>30, 35, KRABBY</v>
      </c>
    </row>
    <row r="2012" customFormat="false" ht="12.75" hidden="false" customHeight="true" outlineLevel="0" collapsed="false">
      <c r="A2012" s="4" t="s">
        <v>3354</v>
      </c>
      <c r="B2012" s="5" t="s">
        <v>3354</v>
      </c>
      <c r="C2012" s="1" t="str">
        <f aca="false">IF(B2012="NEW ROUTE",1,"")</f>
        <v/>
      </c>
      <c r="E2012" s="5" t="s">
        <v>3354</v>
      </c>
      <c r="F2012" s="6" t="e">
        <f aca="false">VLOOKUP(E2012,$K$2:$L$426,2,FALSE())</f>
        <v>#N/A</v>
      </c>
      <c r="G2012" s="1" t="str">
        <f aca="false">IF(ISNA(F2012),"",F2012)</f>
        <v/>
      </c>
      <c r="H2012" s="5" t="str">
        <f aca="false">IF(G2012&lt;&gt;"",G2012,E2012)</f>
        <v>30, 35, PSYDUCK</v>
      </c>
    </row>
    <row r="2013" customFormat="false" ht="12.75" hidden="false" customHeight="true" outlineLevel="0" collapsed="false">
      <c r="A2013" s="4" t="s">
        <v>2850</v>
      </c>
      <c r="B2013" s="5" t="s">
        <v>2850</v>
      </c>
      <c r="C2013" s="1" t="str">
        <f aca="false">IF(B2013="NEW ROUTE",1,"")</f>
        <v/>
      </c>
      <c r="E2013" s="5" t="s">
        <v>2850</v>
      </c>
      <c r="F2013" s="6" t="e">
        <f aca="false">VLOOKUP(E2013,$K$2:$L$426,2,FALSE())</f>
        <v>#N/A</v>
      </c>
      <c r="G2013" s="1" t="str">
        <f aca="false">IF(ISNA(F2013),"",F2013)</f>
        <v/>
      </c>
      <c r="H2013" s="5" t="str">
        <f aca="false">IF(G2013&lt;&gt;"",G2013,E2013)</f>
        <v>super rod:</v>
      </c>
    </row>
    <row r="2014" customFormat="false" ht="12.75" hidden="false" customHeight="true" outlineLevel="0" collapsed="false">
      <c r="A2014" s="4" t="s">
        <v>3355</v>
      </c>
      <c r="B2014" s="5" t="s">
        <v>3355</v>
      </c>
      <c r="C2014" s="1" t="str">
        <f aca="false">IF(B2014="NEW ROUTE",1,"")</f>
        <v/>
      </c>
      <c r="E2014" s="5" t="s">
        <v>3355</v>
      </c>
      <c r="F2014" s="6" t="e">
        <f aca="false">VLOOKUP(E2014,$K$2:$L$426,2,FALSE())</f>
        <v>#N/A</v>
      </c>
      <c r="G2014" s="1" t="str">
        <f aca="false">IF(ISNA(F2014),"",F2014)</f>
        <v/>
      </c>
      <c r="H2014" s="5" t="str">
        <f aca="false">IF(G2014&lt;&gt;"",G2014,E2014)</f>
        <v>36, 40, SLOWBRO</v>
      </c>
    </row>
    <row r="2015" customFormat="false" ht="12.75" hidden="false" customHeight="true" outlineLevel="0" collapsed="false">
      <c r="A2015" s="4" t="s">
        <v>3356</v>
      </c>
      <c r="B2015" s="5" t="s">
        <v>3356</v>
      </c>
      <c r="C2015" s="1" t="str">
        <f aca="false">IF(B2015="NEW ROUTE",1,"")</f>
        <v/>
      </c>
      <c r="E2015" s="5" t="s">
        <v>3356</v>
      </c>
      <c r="F2015" s="6" t="e">
        <f aca="false">VLOOKUP(E2015,$K$2:$L$426,2,FALSE())</f>
        <v>#N/A</v>
      </c>
      <c r="G2015" s="1" t="str">
        <f aca="false">IF(ISNA(F2015),"",F2015)</f>
        <v/>
      </c>
      <c r="H2015" s="5" t="str">
        <f aca="false">IF(G2015&lt;&gt;"",G2015,E2015)</f>
        <v>36, 40, GYARADOS</v>
      </c>
    </row>
    <row r="2016" customFormat="false" ht="12.75" hidden="false" customHeight="true" outlineLevel="0" collapsed="false">
      <c r="A2016" s="4" t="s">
        <v>3357</v>
      </c>
      <c r="B2016" s="5" t="s">
        <v>3357</v>
      </c>
      <c r="C2016" s="1" t="str">
        <f aca="false">IF(B2016="NEW ROUTE",1,"")</f>
        <v/>
      </c>
      <c r="E2016" s="5" t="s">
        <v>3357</v>
      </c>
      <c r="F2016" s="6" t="e">
        <f aca="false">VLOOKUP(E2016,$K$2:$L$426,2,FALSE())</f>
        <v>#N/A</v>
      </c>
      <c r="G2016" s="1" t="str">
        <f aca="false">IF(ISNA(F2016),"",F2016)</f>
        <v/>
      </c>
      <c r="H2016" s="5" t="str">
        <f aca="false">IF(G2016&lt;&gt;"",G2016,E2016)</f>
        <v>38, 42, GOLDUCK</v>
      </c>
    </row>
    <row r="2017" customFormat="false" ht="12.75" hidden="false" customHeight="true" outlineLevel="0" collapsed="false">
      <c r="A2017" s="4" t="s">
        <v>3358</v>
      </c>
      <c r="B2017" s="5" t="s">
        <v>3358</v>
      </c>
      <c r="C2017" s="1" t="str">
        <f aca="false">IF(B2017="NEW ROUTE",1,"")</f>
        <v/>
      </c>
      <c r="E2017" s="5" t="s">
        <v>3358</v>
      </c>
      <c r="F2017" s="6" t="e">
        <f aca="false">VLOOKUP(E2017,$K$2:$L$426,2,FALSE())</f>
        <v>#N/A</v>
      </c>
      <c r="G2017" s="1" t="str">
        <f aca="false">IF(ISNA(F2017),"",F2017)</f>
        <v/>
      </c>
      <c r="H2017" s="5" t="str">
        <f aca="false">IF(G2017&lt;&gt;"",G2017,E2017)</f>
        <v>38, 42, KINGLER</v>
      </c>
    </row>
    <row r="2018" customFormat="false" ht="12.75" hidden="false" customHeight="true" outlineLevel="0" collapsed="false">
      <c r="A2018" s="4" t="s">
        <v>3359</v>
      </c>
      <c r="B2018" s="5" t="s">
        <v>3359</v>
      </c>
      <c r="C2018" s="1" t="str">
        <f aca="false">IF(B2018="NEW ROUTE",1,"")</f>
        <v/>
      </c>
      <c r="E2018" s="5" t="s">
        <v>3359</v>
      </c>
      <c r="F2018" s="6" t="e">
        <f aca="false">VLOOKUP(E2018,$K$2:$L$426,2,FALSE())</f>
        <v>#N/A</v>
      </c>
      <c r="G2018" s="1" t="str">
        <f aca="false">IF(ISNA(F2018),"",F2018)</f>
        <v/>
      </c>
      <c r="H2018" s="5" t="str">
        <f aca="false">IF(G2018&lt;&gt;"",G2018,E2018)</f>
        <v>40, 44, SLOWMATE</v>
      </c>
    </row>
    <row r="2019" customFormat="false" ht="12.75" hidden="false" customHeight="true" outlineLevel="0" collapsed="false">
      <c r="A2019" s="4" t="s">
        <v>2536</v>
      </c>
      <c r="B2019" s="5" t="s">
        <v>2536</v>
      </c>
      <c r="C2019" s="1" t="n">
        <f aca="false">IF(B2019="NEW ROUTE",1,"")</f>
        <v>1</v>
      </c>
      <c r="E2019" s="5" t="s">
        <v>2536</v>
      </c>
      <c r="F2019" s="6" t="e">
        <f aca="false">VLOOKUP(E2019,$K$2:$L$426,2,FALSE())</f>
        <v>#N/A</v>
      </c>
      <c r="G2019" s="1" t="str">
        <f aca="false">IF(ISNA(F2019),"",F2019)</f>
        <v/>
      </c>
      <c r="H2019" s="5" t="str">
        <f aca="false">IF(G2019&lt;&gt;"",G2019,E2019)</f>
        <v>NEW ROUTE</v>
      </c>
    </row>
    <row r="2020" customFormat="false" ht="12.75" hidden="false" customHeight="true" outlineLevel="0" collapsed="false">
      <c r="A2020" s="4" t="s">
        <v>424</v>
      </c>
      <c r="B2020" s="5" t="s">
        <v>424</v>
      </c>
      <c r="C2020" s="1" t="str">
        <f aca="false">IF(B2020="NEW ROUTE",1,"")</f>
        <v/>
      </c>
      <c r="E2020" s="5" t="s">
        <v>424</v>
      </c>
      <c r="F2020" s="6" t="str">
        <f aca="false">VLOOKUP(E2020,$K$2:$L$426,2,FALSE())</f>
        <v>Route 5</v>
      </c>
      <c r="G2020" s="1" t="str">
        <f aca="false">IF(ISNA(F2020),"",F2020)</f>
        <v>Route 5</v>
      </c>
      <c r="H2020" s="5" t="str">
        <f aca="false">IF(G2020&lt;&gt;"",G2020,E2020)</f>
        <v>Route 5</v>
      </c>
    </row>
    <row r="2021" customFormat="false" ht="12.75" hidden="false" customHeight="true" outlineLevel="0" collapsed="false">
      <c r="A2021" s="4" t="s">
        <v>2799</v>
      </c>
      <c r="B2021" s="5" t="n">
        <v>0.2</v>
      </c>
      <c r="C2021" s="1" t="str">
        <f aca="false">IF(B2021="NEW ROUTE",1,"")</f>
        <v/>
      </c>
      <c r="E2021" s="5" t="n">
        <v>0.2</v>
      </c>
      <c r="F2021" s="6" t="e">
        <f aca="false">VLOOKUP(E2021,$K$2:$L$426,2,FALSE())</f>
        <v>#N/A</v>
      </c>
      <c r="G2021" s="1" t="str">
        <f aca="false">IF(ISNA(F2021),"",F2021)</f>
        <v/>
      </c>
      <c r="H2021" s="5" t="n">
        <f aca="false">IF(G2021&lt;&gt;"",G2021,E2021)</f>
        <v>0.2</v>
      </c>
    </row>
    <row r="2022" customFormat="false" ht="12.75" hidden="false" customHeight="true" outlineLevel="0" collapsed="false">
      <c r="A2022" s="4" t="s">
        <v>1828</v>
      </c>
      <c r="B2022" s="5" t="s">
        <v>1828</v>
      </c>
      <c r="C2022" s="1" t="str">
        <f aca="false">IF(B2022="NEW ROUTE",1,"")</f>
        <v/>
      </c>
      <c r="E2022" s="5" t="s">
        <v>1828</v>
      </c>
      <c r="F2022" s="6" t="e">
        <f aca="false">VLOOKUP(E2022,$K$2:$L$426,2,FALSE())</f>
        <v>#N/A</v>
      </c>
      <c r="G2022" s="1" t="str">
        <f aca="false">IF(ISNA(F2022),"",F2022)</f>
        <v/>
      </c>
      <c r="H2022" s="5" t="str">
        <f aca="false">IF(G2022&lt;&gt;"",G2022,E2022)</f>
        <v>15, 17, PIDGEY</v>
      </c>
    </row>
    <row r="2023" customFormat="false" ht="12.75" hidden="false" customHeight="true" outlineLevel="0" collapsed="false">
      <c r="A2023" s="4" t="s">
        <v>3361</v>
      </c>
      <c r="B2023" s="5" t="s">
        <v>3361</v>
      </c>
      <c r="C2023" s="1" t="str">
        <f aca="false">IF(B2023="NEW ROUTE",1,"")</f>
        <v/>
      </c>
      <c r="E2023" s="5" t="s">
        <v>3361</v>
      </c>
      <c r="F2023" s="6" t="e">
        <f aca="false">VLOOKUP(E2023,$K$2:$L$426,2,FALSE())</f>
        <v>#N/A</v>
      </c>
      <c r="G2023" s="1" t="str">
        <f aca="false">IF(ISNA(F2023),"",F2023)</f>
        <v/>
      </c>
      <c r="H2023" s="5" t="str">
        <f aca="false">IF(G2023&lt;&gt;"",G2023,E2023)</f>
        <v>15, 17, MEOWTH</v>
      </c>
    </row>
    <row r="2024" customFormat="false" ht="12.75" hidden="false" customHeight="true" outlineLevel="0" collapsed="false">
      <c r="A2024" s="4" t="s">
        <v>2801</v>
      </c>
      <c r="B2024" s="5" t="n">
        <v>0.1</v>
      </c>
      <c r="C2024" s="1" t="str">
        <f aca="false">IF(B2024="NEW ROUTE",1,"")</f>
        <v/>
      </c>
      <c r="E2024" s="5" t="n">
        <v>0.1</v>
      </c>
      <c r="F2024" s="6" t="e">
        <f aca="false">VLOOKUP(E2024,$K$2:$L$426,2,FALSE())</f>
        <v>#N/A</v>
      </c>
      <c r="G2024" s="1" t="str">
        <f aca="false">IF(ISNA(F2024),"",F2024)</f>
        <v/>
      </c>
      <c r="H2024" s="5" t="n">
        <f aca="false">IF(G2024&lt;&gt;"",G2024,E2024)</f>
        <v>0.1</v>
      </c>
    </row>
    <row r="2025" customFormat="false" ht="12.75" hidden="false" customHeight="true" outlineLevel="0" collapsed="false">
      <c r="A2025" s="4" t="s">
        <v>3362</v>
      </c>
      <c r="B2025" s="5" t="s">
        <v>3362</v>
      </c>
      <c r="C2025" s="1" t="str">
        <f aca="false">IF(B2025="NEW ROUTE",1,"")</f>
        <v/>
      </c>
      <c r="E2025" s="5" t="s">
        <v>3362</v>
      </c>
      <c r="F2025" s="6" t="e">
        <f aca="false">VLOOKUP(E2025,$K$2:$L$426,2,FALSE())</f>
        <v>#N/A</v>
      </c>
      <c r="G2025" s="1" t="str">
        <f aca="false">IF(ISNA(F2025),"",F2025)</f>
        <v/>
      </c>
      <c r="H2025" s="5" t="str">
        <f aca="false">IF(G2025&lt;&gt;"",G2025,E2025)</f>
        <v>16, 19, ODDISH</v>
      </c>
    </row>
    <row r="2026" customFormat="false" ht="12.75" hidden="false" customHeight="true" outlineLevel="0" collapsed="false">
      <c r="A2026" s="4" t="s">
        <v>3363</v>
      </c>
      <c r="B2026" s="5" t="s">
        <v>3363</v>
      </c>
      <c r="C2026" s="1" t="str">
        <f aca="false">IF(B2026="NEW ROUTE",1,"")</f>
        <v/>
      </c>
      <c r="E2026" s="5" t="s">
        <v>3363</v>
      </c>
      <c r="F2026" s="6" t="e">
        <f aca="false">VLOOKUP(E2026,$K$2:$L$426,2,FALSE())</f>
        <v>#N/A</v>
      </c>
      <c r="G2026" s="1" t="str">
        <f aca="false">IF(ISNA(F2026),"",F2026)</f>
        <v/>
      </c>
      <c r="H2026" s="5" t="str">
        <f aca="false">IF(G2026&lt;&gt;"",G2026,E2026)</f>
        <v>16, 19, BELLSPROUT</v>
      </c>
    </row>
    <row r="2027" customFormat="false" ht="12.75" hidden="false" customHeight="true" outlineLevel="0" collapsed="false">
      <c r="A2027" s="4" t="s">
        <v>3364</v>
      </c>
      <c r="B2027" s="5" t="s">
        <v>3364</v>
      </c>
      <c r="C2027" s="1" t="str">
        <f aca="false">IF(B2027="NEW ROUTE",1,"")</f>
        <v/>
      </c>
      <c r="E2027" s="5" t="s">
        <v>3364</v>
      </c>
      <c r="F2027" s="6" t="e">
        <f aca="false">VLOOKUP(E2027,$K$2:$L$426,2,FALSE())</f>
        <v>#N/A</v>
      </c>
      <c r="G2027" s="1" t="str">
        <f aca="false">IF(ISNA(F2027),"",F2027)</f>
        <v/>
      </c>
      <c r="H2027" s="5" t="str">
        <f aca="false">IF(G2027&lt;&gt;"",G2027,E2027)</f>
        <v>16, 19, EKANS</v>
      </c>
    </row>
    <row r="2028" customFormat="false" ht="12.75" hidden="false" customHeight="true" outlineLevel="0" collapsed="false">
      <c r="A2028" s="4" t="s">
        <v>3365</v>
      </c>
      <c r="B2028" s="5" t="s">
        <v>3365</v>
      </c>
      <c r="C2028" s="1" t="str">
        <f aca="false">IF(B2028="NEW ROUTE",1,"")</f>
        <v/>
      </c>
      <c r="E2028" s="5" t="s">
        <v>3365</v>
      </c>
      <c r="F2028" s="6" t="e">
        <f aca="false">VLOOKUP(E2028,$K$2:$L$426,2,FALSE())</f>
        <v>#N/A</v>
      </c>
      <c r="G2028" s="1" t="str">
        <f aca="false">IF(ISNA(F2028),"",F2028)</f>
        <v/>
      </c>
      <c r="H2028" s="5" t="str">
        <f aca="false">IF(G2028&lt;&gt;"",G2028,E2028)</f>
        <v>16, 19, PARAS</v>
      </c>
    </row>
    <row r="2029" customFormat="false" ht="12.75" hidden="false" customHeight="true" outlineLevel="0" collapsed="false">
      <c r="A2029" s="4" t="s">
        <v>2806</v>
      </c>
      <c r="B2029" s="5" t="n">
        <v>0.05</v>
      </c>
      <c r="C2029" s="1" t="str">
        <f aca="false">IF(B2029="NEW ROUTE",1,"")</f>
        <v/>
      </c>
      <c r="E2029" s="5" t="n">
        <v>0.05</v>
      </c>
      <c r="F2029" s="6" t="e">
        <f aca="false">VLOOKUP(E2029,$K$2:$L$426,2,FALSE())</f>
        <v>#N/A</v>
      </c>
      <c r="G2029" s="1" t="str">
        <f aca="false">IF(ISNA(F2029),"",F2029)</f>
        <v/>
      </c>
      <c r="H2029" s="5" t="n">
        <f aca="false">IF(G2029&lt;&gt;"",G2029,E2029)</f>
        <v>0.05</v>
      </c>
    </row>
    <row r="2030" customFormat="false" ht="12.75" hidden="false" customHeight="true" outlineLevel="0" collapsed="false">
      <c r="A2030" s="4" t="s">
        <v>3366</v>
      </c>
      <c r="B2030" s="5" t="s">
        <v>3366</v>
      </c>
      <c r="C2030" s="1" t="str">
        <f aca="false">IF(B2030="NEW ROUTE",1,"")</f>
        <v/>
      </c>
      <c r="E2030" s="5" t="s">
        <v>3366</v>
      </c>
      <c r="F2030" s="6" t="e">
        <f aca="false">VLOOKUP(E2030,$K$2:$L$426,2,FALSE())</f>
        <v>#N/A</v>
      </c>
      <c r="G2030" s="1" t="str">
        <f aca="false">IF(ISNA(F2030),"",F2030)</f>
        <v/>
      </c>
      <c r="H2030" s="5" t="str">
        <f aca="false">IF(G2030&lt;&gt;"",G2030,E2030)</f>
        <v>17, 17, VULPIX</v>
      </c>
    </row>
    <row r="2031" customFormat="false" ht="12.75" hidden="false" customHeight="true" outlineLevel="0" collapsed="false">
      <c r="A2031" s="4" t="s">
        <v>3367</v>
      </c>
      <c r="B2031" s="5" t="s">
        <v>3367</v>
      </c>
      <c r="C2031" s="1" t="str">
        <f aca="false">IF(B2031="NEW ROUTE",1,"")</f>
        <v/>
      </c>
      <c r="E2031" s="5" t="s">
        <v>3367</v>
      </c>
      <c r="F2031" s="6" t="e">
        <f aca="false">VLOOKUP(E2031,$K$2:$L$426,2,FALSE())</f>
        <v>#N/A</v>
      </c>
      <c r="G2031" s="1" t="str">
        <f aca="false">IF(ISNA(F2031),"",F2031)</f>
        <v/>
      </c>
      <c r="H2031" s="5" t="str">
        <f aca="false">IF(G2031&lt;&gt;"",G2031,E2031)</f>
        <v>17, 17, GROWLITHE</v>
      </c>
    </row>
    <row r="2032" customFormat="false" ht="12.75" hidden="false" customHeight="true" outlineLevel="0" collapsed="false">
      <c r="A2032" s="4" t="s">
        <v>2809</v>
      </c>
      <c r="B2032" s="5" t="n">
        <v>0.04</v>
      </c>
      <c r="C2032" s="1" t="str">
        <f aca="false">IF(B2032="NEW ROUTE",1,"")</f>
        <v/>
      </c>
      <c r="E2032" s="5" t="n">
        <v>0.04</v>
      </c>
      <c r="F2032" s="6" t="e">
        <f aca="false">VLOOKUP(E2032,$K$2:$L$426,2,FALSE())</f>
        <v>#N/A</v>
      </c>
      <c r="G2032" s="1" t="str">
        <f aca="false">IF(ISNA(F2032),"",F2032)</f>
        <v/>
      </c>
      <c r="H2032" s="5" t="n">
        <f aca="false">IF(G2032&lt;&gt;"",G2032,E2032)</f>
        <v>0.04</v>
      </c>
    </row>
    <row r="2033" customFormat="false" ht="12.75" hidden="false" customHeight="true" outlineLevel="0" collapsed="false">
      <c r="A2033" s="4" t="s">
        <v>3368</v>
      </c>
      <c r="B2033" s="5" t="s">
        <v>3368</v>
      </c>
      <c r="C2033" s="1" t="str">
        <f aca="false">IF(B2033="NEW ROUTE",1,"")</f>
        <v/>
      </c>
      <c r="E2033" s="5" t="s">
        <v>3368</v>
      </c>
      <c r="F2033" s="6" t="e">
        <f aca="false">VLOOKUP(E2033,$K$2:$L$426,2,FALSE())</f>
        <v>#N/A</v>
      </c>
      <c r="G2033" s="1" t="str">
        <f aca="false">IF(ISNA(F2033),"",F2033)</f>
        <v/>
      </c>
      <c r="H2033" s="5" t="str">
        <f aca="false">IF(G2033&lt;&gt;"",G2033,E2033)</f>
        <v>16, 18, PIKACHU</v>
      </c>
    </row>
    <row r="2034" customFormat="false" ht="12.75" hidden="false" customHeight="true" outlineLevel="0" collapsed="false">
      <c r="A2034" s="4" t="s">
        <v>3369</v>
      </c>
      <c r="B2034" s="5" t="s">
        <v>3369</v>
      </c>
      <c r="C2034" s="1" t="str">
        <f aca="false">IF(B2034="NEW ROUTE",1,"")</f>
        <v/>
      </c>
      <c r="E2034" s="5" t="s">
        <v>3369</v>
      </c>
      <c r="F2034" s="6" t="e">
        <f aca="false">VLOOKUP(E2034,$K$2:$L$426,2,FALSE())</f>
        <v>#N/A</v>
      </c>
      <c r="G2034" s="1" t="str">
        <f aca="false">IF(ISNA(F2034),"",F2034)</f>
        <v/>
      </c>
      <c r="H2034" s="5" t="str">
        <f aca="false">IF(G2034&lt;&gt;"",G2034,E2034)</f>
        <v>16, 18, EEVEE</v>
      </c>
    </row>
    <row r="2035" customFormat="false" ht="12.75" hidden="false" customHeight="true" outlineLevel="0" collapsed="false">
      <c r="A2035" s="4" t="s">
        <v>2812</v>
      </c>
      <c r="B2035" s="5" t="n">
        <v>0.01</v>
      </c>
      <c r="C2035" s="1" t="str">
        <f aca="false">IF(B2035="NEW ROUTE",1,"")</f>
        <v/>
      </c>
      <c r="E2035" s="5" t="n">
        <v>0.01</v>
      </c>
      <c r="F2035" s="6" t="e">
        <f aca="false">VLOOKUP(E2035,$K$2:$L$426,2,FALSE())</f>
        <v>#N/A</v>
      </c>
      <c r="G2035" s="1" t="str">
        <f aca="false">IF(ISNA(F2035),"",F2035)</f>
        <v/>
      </c>
      <c r="H2035" s="5" t="n">
        <f aca="false">IF(G2035&lt;&gt;"",G2035,E2035)</f>
        <v>0.01</v>
      </c>
    </row>
    <row r="2036" customFormat="false" ht="12.75" hidden="false" customHeight="true" outlineLevel="0" collapsed="false">
      <c r="A2036" s="4" t="s">
        <v>3370</v>
      </c>
      <c r="B2036" s="5" t="s">
        <v>3370</v>
      </c>
      <c r="C2036" s="1" t="str">
        <f aca="false">IF(B2036="NEW ROUTE",1,"")</f>
        <v/>
      </c>
      <c r="E2036" s="5" t="s">
        <v>3370</v>
      </c>
      <c r="F2036" s="6" t="e">
        <f aca="false">VLOOKUP(E2036,$K$2:$L$426,2,FALSE())</f>
        <v>#N/A</v>
      </c>
      <c r="G2036" s="1" t="str">
        <f aca="false">IF(ISNA(F2036),"",F2036)</f>
        <v/>
      </c>
      <c r="H2036" s="5" t="str">
        <f aca="false">IF(G2036&lt;&gt;"",G2036,E2036)</f>
        <v>20, 20, FEAROW</v>
      </c>
    </row>
    <row r="2037" customFormat="false" ht="12.75" hidden="false" customHeight="true" outlineLevel="0" collapsed="false">
      <c r="A2037" s="4" t="s">
        <v>3373</v>
      </c>
      <c r="B2037" s="5" t="s">
        <v>3373</v>
      </c>
      <c r="C2037" s="1" t="str">
        <f aca="false">IF(B2037="NEW ROUTE",1,"")</f>
        <v/>
      </c>
      <c r="E2037" s="5" t="s">
        <v>3373</v>
      </c>
      <c r="F2037" s="6" t="e">
        <f aca="false">VLOOKUP(E2037,$K$2:$L$426,2,FALSE())</f>
        <v>#N/A</v>
      </c>
      <c r="G2037" s="1" t="str">
        <f aca="false">IF(ISNA(F2037),"",F2037)</f>
        <v/>
      </c>
      <c r="H2037" s="5" t="str">
        <f aca="false">IF(G2037&lt;&gt;"",G2037,E2037)</f>
        <v>20, 20, WEEPINBELL</v>
      </c>
    </row>
    <row r="2038" customFormat="false" ht="12.75" hidden="false" customHeight="true" outlineLevel="0" collapsed="false">
      <c r="A2038" s="4" t="s">
        <v>2536</v>
      </c>
      <c r="B2038" s="5" t="s">
        <v>2536</v>
      </c>
      <c r="C2038" s="1" t="n">
        <f aca="false">IF(B2038="NEW ROUTE",1,"")</f>
        <v>1</v>
      </c>
      <c r="E2038" s="5" t="s">
        <v>2536</v>
      </c>
      <c r="F2038" s="6" t="e">
        <f aca="false">VLOOKUP(E2038,$K$2:$L$426,2,FALSE())</f>
        <v>#N/A</v>
      </c>
      <c r="G2038" s="1" t="str">
        <f aca="false">IF(ISNA(F2038),"",F2038)</f>
        <v/>
      </c>
      <c r="H2038" s="5" t="str">
        <f aca="false">IF(G2038&lt;&gt;"",G2038,E2038)</f>
        <v>NEW ROUTE</v>
      </c>
    </row>
    <row r="2039" customFormat="false" ht="12.75" hidden="false" customHeight="true" outlineLevel="0" collapsed="false">
      <c r="A2039" s="4" t="s">
        <v>426</v>
      </c>
      <c r="B2039" s="5" t="s">
        <v>426</v>
      </c>
      <c r="C2039" s="1" t="str">
        <f aca="false">IF(B2039="NEW ROUTE",1,"")</f>
        <v/>
      </c>
      <c r="E2039" s="5" t="s">
        <v>426</v>
      </c>
      <c r="F2039" s="6" t="str">
        <f aca="false">VLOOKUP(E2039,$K$2:$L$426,2,FALSE())</f>
        <v>Route 6</v>
      </c>
      <c r="G2039" s="1" t="str">
        <f aca="false">IF(ISNA(F2039),"",F2039)</f>
        <v>Route 6</v>
      </c>
      <c r="H2039" s="5" t="str">
        <f aca="false">IF(G2039&lt;&gt;"",G2039,E2039)</f>
        <v>Route 6</v>
      </c>
    </row>
    <row r="2040" customFormat="false" ht="12.75" hidden="false" customHeight="true" outlineLevel="0" collapsed="false">
      <c r="A2040" s="4" t="s">
        <v>2799</v>
      </c>
      <c r="B2040" s="5" t="n">
        <v>0.2</v>
      </c>
      <c r="C2040" s="1" t="str">
        <f aca="false">IF(B2040="NEW ROUTE",1,"")</f>
        <v/>
      </c>
      <c r="E2040" s="5" t="n">
        <v>0.2</v>
      </c>
      <c r="F2040" s="6" t="e">
        <f aca="false">VLOOKUP(E2040,$K$2:$L$426,2,FALSE())</f>
        <v>#N/A</v>
      </c>
      <c r="G2040" s="1" t="str">
        <f aca="false">IF(ISNA(F2040),"",F2040)</f>
        <v/>
      </c>
      <c r="H2040" s="5" t="n">
        <f aca="false">IF(G2040&lt;&gt;"",G2040,E2040)</f>
        <v>0.2</v>
      </c>
    </row>
    <row r="2041" customFormat="false" ht="12.75" hidden="false" customHeight="true" outlineLevel="0" collapsed="false">
      <c r="A2041" s="4" t="s">
        <v>1828</v>
      </c>
      <c r="B2041" s="5" t="s">
        <v>1828</v>
      </c>
      <c r="C2041" s="1" t="str">
        <f aca="false">IF(B2041="NEW ROUTE",1,"")</f>
        <v/>
      </c>
      <c r="E2041" s="5" t="s">
        <v>1828</v>
      </c>
      <c r="F2041" s="6" t="e">
        <f aca="false">VLOOKUP(E2041,$K$2:$L$426,2,FALSE())</f>
        <v>#N/A</v>
      </c>
      <c r="G2041" s="1" t="str">
        <f aca="false">IF(ISNA(F2041),"",F2041)</f>
        <v/>
      </c>
      <c r="H2041" s="5" t="str">
        <f aca="false">IF(G2041&lt;&gt;"",G2041,E2041)</f>
        <v>15, 17, PIDGEY</v>
      </c>
    </row>
    <row r="2042" customFormat="false" ht="12.75" hidden="false" customHeight="true" outlineLevel="0" collapsed="false">
      <c r="A2042" s="4" t="s">
        <v>3361</v>
      </c>
      <c r="B2042" s="5" t="s">
        <v>3361</v>
      </c>
      <c r="C2042" s="1" t="str">
        <f aca="false">IF(B2042="NEW ROUTE",1,"")</f>
        <v/>
      </c>
      <c r="E2042" s="5" t="s">
        <v>3361</v>
      </c>
      <c r="F2042" s="6" t="e">
        <f aca="false">VLOOKUP(E2042,$K$2:$L$426,2,FALSE())</f>
        <v>#N/A</v>
      </c>
      <c r="G2042" s="1" t="str">
        <f aca="false">IF(ISNA(F2042),"",F2042)</f>
        <v/>
      </c>
      <c r="H2042" s="5" t="str">
        <f aca="false">IF(G2042&lt;&gt;"",G2042,E2042)</f>
        <v>15, 17, MEOWTH</v>
      </c>
    </row>
    <row r="2043" customFormat="false" ht="12.75" hidden="false" customHeight="true" outlineLevel="0" collapsed="false">
      <c r="A2043" s="4" t="s">
        <v>2801</v>
      </c>
      <c r="B2043" s="5" t="n">
        <v>0.1</v>
      </c>
      <c r="C2043" s="1" t="str">
        <f aca="false">IF(B2043="NEW ROUTE",1,"")</f>
        <v/>
      </c>
      <c r="E2043" s="5" t="n">
        <v>0.1</v>
      </c>
      <c r="F2043" s="6" t="e">
        <f aca="false">VLOOKUP(E2043,$K$2:$L$426,2,FALSE())</f>
        <v>#N/A</v>
      </c>
      <c r="G2043" s="1" t="str">
        <f aca="false">IF(ISNA(F2043),"",F2043)</f>
        <v/>
      </c>
      <c r="H2043" s="5" t="n">
        <f aca="false">IF(G2043&lt;&gt;"",G2043,E2043)</f>
        <v>0.1</v>
      </c>
    </row>
    <row r="2044" customFormat="false" ht="12.75" hidden="false" customHeight="true" outlineLevel="0" collapsed="false">
      <c r="A2044" s="4" t="s">
        <v>3362</v>
      </c>
      <c r="B2044" s="5" t="s">
        <v>3362</v>
      </c>
      <c r="C2044" s="1" t="str">
        <f aca="false">IF(B2044="NEW ROUTE",1,"")</f>
        <v/>
      </c>
      <c r="E2044" s="5" t="s">
        <v>3362</v>
      </c>
      <c r="F2044" s="6" t="e">
        <f aca="false">VLOOKUP(E2044,$K$2:$L$426,2,FALSE())</f>
        <v>#N/A</v>
      </c>
      <c r="G2044" s="1" t="str">
        <f aca="false">IF(ISNA(F2044),"",F2044)</f>
        <v/>
      </c>
      <c r="H2044" s="5" t="str">
        <f aca="false">IF(G2044&lt;&gt;"",G2044,E2044)</f>
        <v>16, 19, ODDISH</v>
      </c>
    </row>
    <row r="2045" customFormat="false" ht="12.75" hidden="false" customHeight="true" outlineLevel="0" collapsed="false">
      <c r="A2045" s="4" t="s">
        <v>3363</v>
      </c>
      <c r="B2045" s="5" t="s">
        <v>3363</v>
      </c>
      <c r="C2045" s="1" t="str">
        <f aca="false">IF(B2045="NEW ROUTE",1,"")</f>
        <v/>
      </c>
      <c r="E2045" s="5" t="s">
        <v>3363</v>
      </c>
      <c r="F2045" s="6" t="e">
        <f aca="false">VLOOKUP(E2045,$K$2:$L$426,2,FALSE())</f>
        <v>#N/A</v>
      </c>
      <c r="G2045" s="1" t="str">
        <f aca="false">IF(ISNA(F2045),"",F2045)</f>
        <v/>
      </c>
      <c r="H2045" s="5" t="str">
        <f aca="false">IF(G2045&lt;&gt;"",G2045,E2045)</f>
        <v>16, 19, BELLSPROUT</v>
      </c>
    </row>
    <row r="2046" customFormat="false" ht="12.75" hidden="false" customHeight="true" outlineLevel="0" collapsed="false">
      <c r="A2046" s="4" t="s">
        <v>3364</v>
      </c>
      <c r="B2046" s="5" t="s">
        <v>3364</v>
      </c>
      <c r="C2046" s="1" t="str">
        <f aca="false">IF(B2046="NEW ROUTE",1,"")</f>
        <v/>
      </c>
      <c r="E2046" s="5" t="s">
        <v>3364</v>
      </c>
      <c r="F2046" s="6" t="e">
        <f aca="false">VLOOKUP(E2046,$K$2:$L$426,2,FALSE())</f>
        <v>#N/A</v>
      </c>
      <c r="G2046" s="1" t="str">
        <f aca="false">IF(ISNA(F2046),"",F2046)</f>
        <v/>
      </c>
      <c r="H2046" s="5" t="str">
        <f aca="false">IF(G2046&lt;&gt;"",G2046,E2046)</f>
        <v>16, 19, EKANS</v>
      </c>
    </row>
    <row r="2047" customFormat="false" ht="12.75" hidden="false" customHeight="true" outlineLevel="0" collapsed="false">
      <c r="A2047" s="4" t="s">
        <v>3365</v>
      </c>
      <c r="B2047" s="5" t="s">
        <v>3365</v>
      </c>
      <c r="C2047" s="1" t="str">
        <f aca="false">IF(B2047="NEW ROUTE",1,"")</f>
        <v/>
      </c>
      <c r="E2047" s="5" t="s">
        <v>3365</v>
      </c>
      <c r="F2047" s="6" t="e">
        <f aca="false">VLOOKUP(E2047,$K$2:$L$426,2,FALSE())</f>
        <v>#N/A</v>
      </c>
      <c r="G2047" s="1" t="str">
        <f aca="false">IF(ISNA(F2047),"",F2047)</f>
        <v/>
      </c>
      <c r="H2047" s="5" t="str">
        <f aca="false">IF(G2047&lt;&gt;"",G2047,E2047)</f>
        <v>16, 19, PARAS</v>
      </c>
    </row>
    <row r="2048" customFormat="false" ht="12.75" hidden="false" customHeight="true" outlineLevel="0" collapsed="false">
      <c r="A2048" s="4" t="s">
        <v>2806</v>
      </c>
      <c r="B2048" s="5" t="n">
        <v>0.05</v>
      </c>
      <c r="C2048" s="1" t="str">
        <f aca="false">IF(B2048="NEW ROUTE",1,"")</f>
        <v/>
      </c>
      <c r="E2048" s="5" t="n">
        <v>0.05</v>
      </c>
      <c r="F2048" s="6" t="e">
        <f aca="false">VLOOKUP(E2048,$K$2:$L$426,2,FALSE())</f>
        <v>#N/A</v>
      </c>
      <c r="G2048" s="1" t="str">
        <f aca="false">IF(ISNA(F2048),"",F2048)</f>
        <v/>
      </c>
      <c r="H2048" s="5" t="n">
        <f aca="false">IF(G2048&lt;&gt;"",G2048,E2048)</f>
        <v>0.05</v>
      </c>
    </row>
    <row r="2049" customFormat="false" ht="12.75" hidden="false" customHeight="true" outlineLevel="0" collapsed="false">
      <c r="A2049" s="4" t="s">
        <v>3366</v>
      </c>
      <c r="B2049" s="5" t="s">
        <v>3366</v>
      </c>
      <c r="C2049" s="1" t="str">
        <f aca="false">IF(B2049="NEW ROUTE",1,"")</f>
        <v/>
      </c>
      <c r="E2049" s="5" t="s">
        <v>3366</v>
      </c>
      <c r="F2049" s="6" t="e">
        <f aca="false">VLOOKUP(E2049,$K$2:$L$426,2,FALSE())</f>
        <v>#N/A</v>
      </c>
      <c r="G2049" s="1" t="str">
        <f aca="false">IF(ISNA(F2049),"",F2049)</f>
        <v/>
      </c>
      <c r="H2049" s="5" t="str">
        <f aca="false">IF(G2049&lt;&gt;"",G2049,E2049)</f>
        <v>17, 17, VULPIX</v>
      </c>
    </row>
    <row r="2050" customFormat="false" ht="12.75" hidden="false" customHeight="true" outlineLevel="0" collapsed="false">
      <c r="A2050" s="4" t="s">
        <v>3367</v>
      </c>
      <c r="B2050" s="5" t="s">
        <v>3367</v>
      </c>
      <c r="C2050" s="1" t="str">
        <f aca="false">IF(B2050="NEW ROUTE",1,"")</f>
        <v/>
      </c>
      <c r="E2050" s="5" t="s">
        <v>3367</v>
      </c>
      <c r="F2050" s="6" t="e">
        <f aca="false">VLOOKUP(E2050,$K$2:$L$426,2,FALSE())</f>
        <v>#N/A</v>
      </c>
      <c r="G2050" s="1" t="str">
        <f aca="false">IF(ISNA(F2050),"",F2050)</f>
        <v/>
      </c>
      <c r="H2050" s="5" t="str">
        <f aca="false">IF(G2050&lt;&gt;"",G2050,E2050)</f>
        <v>17, 17, GROWLITHE</v>
      </c>
    </row>
    <row r="2051" customFormat="false" ht="12.75" hidden="false" customHeight="true" outlineLevel="0" collapsed="false">
      <c r="A2051" s="4" t="s">
        <v>2809</v>
      </c>
      <c r="B2051" s="5" t="n">
        <v>0.04</v>
      </c>
      <c r="C2051" s="1" t="str">
        <f aca="false">IF(B2051="NEW ROUTE",1,"")</f>
        <v/>
      </c>
      <c r="E2051" s="5" t="n">
        <v>0.04</v>
      </c>
      <c r="F2051" s="6" t="e">
        <f aca="false">VLOOKUP(E2051,$K$2:$L$426,2,FALSE())</f>
        <v>#N/A</v>
      </c>
      <c r="G2051" s="1" t="str">
        <f aca="false">IF(ISNA(F2051),"",F2051)</f>
        <v/>
      </c>
      <c r="H2051" s="5" t="n">
        <f aca="false">IF(G2051&lt;&gt;"",G2051,E2051)</f>
        <v>0.04</v>
      </c>
    </row>
    <row r="2052" customFormat="false" ht="12.75" hidden="false" customHeight="true" outlineLevel="0" collapsed="false">
      <c r="A2052" s="4" t="s">
        <v>3368</v>
      </c>
      <c r="B2052" s="5" t="s">
        <v>3368</v>
      </c>
      <c r="C2052" s="1" t="str">
        <f aca="false">IF(B2052="NEW ROUTE",1,"")</f>
        <v/>
      </c>
      <c r="E2052" s="5" t="s">
        <v>3368</v>
      </c>
      <c r="F2052" s="6" t="e">
        <f aca="false">VLOOKUP(E2052,$K$2:$L$426,2,FALSE())</f>
        <v>#N/A</v>
      </c>
      <c r="G2052" s="1" t="str">
        <f aca="false">IF(ISNA(F2052),"",F2052)</f>
        <v/>
      </c>
      <c r="H2052" s="5" t="str">
        <f aca="false">IF(G2052&lt;&gt;"",G2052,E2052)</f>
        <v>16, 18, PIKACHU</v>
      </c>
    </row>
    <row r="2053" customFormat="false" ht="12.75" hidden="false" customHeight="true" outlineLevel="0" collapsed="false">
      <c r="A2053" s="4" t="s">
        <v>3369</v>
      </c>
      <c r="B2053" s="5" t="s">
        <v>3369</v>
      </c>
      <c r="C2053" s="1" t="str">
        <f aca="false">IF(B2053="NEW ROUTE",1,"")</f>
        <v/>
      </c>
      <c r="E2053" s="5" t="s">
        <v>3369</v>
      </c>
      <c r="F2053" s="6" t="e">
        <f aca="false">VLOOKUP(E2053,$K$2:$L$426,2,FALSE())</f>
        <v>#N/A</v>
      </c>
      <c r="G2053" s="1" t="str">
        <f aca="false">IF(ISNA(F2053),"",F2053)</f>
        <v/>
      </c>
      <c r="H2053" s="5" t="str">
        <f aca="false">IF(G2053&lt;&gt;"",G2053,E2053)</f>
        <v>16, 18, EEVEE</v>
      </c>
    </row>
    <row r="2054" customFormat="false" ht="12.75" hidden="false" customHeight="true" outlineLevel="0" collapsed="false">
      <c r="A2054" s="4" t="s">
        <v>2812</v>
      </c>
      <c r="B2054" s="5" t="n">
        <v>0.01</v>
      </c>
      <c r="C2054" s="1" t="str">
        <f aca="false">IF(B2054="NEW ROUTE",1,"")</f>
        <v/>
      </c>
      <c r="E2054" s="5" t="n">
        <v>0.01</v>
      </c>
      <c r="F2054" s="6" t="e">
        <f aca="false">VLOOKUP(E2054,$K$2:$L$426,2,FALSE())</f>
        <v>#N/A</v>
      </c>
      <c r="G2054" s="1" t="str">
        <f aca="false">IF(ISNA(F2054),"",F2054)</f>
        <v/>
      </c>
      <c r="H2054" s="5" t="n">
        <f aca="false">IF(G2054&lt;&gt;"",G2054,E2054)</f>
        <v>0.01</v>
      </c>
    </row>
    <row r="2055" customFormat="false" ht="12.75" hidden="false" customHeight="true" outlineLevel="0" collapsed="false">
      <c r="A2055" s="4" t="s">
        <v>3370</v>
      </c>
      <c r="B2055" s="5" t="s">
        <v>3370</v>
      </c>
      <c r="C2055" s="1" t="str">
        <f aca="false">IF(B2055="NEW ROUTE",1,"")</f>
        <v/>
      </c>
      <c r="E2055" s="5" t="s">
        <v>3370</v>
      </c>
      <c r="F2055" s="6" t="e">
        <f aca="false">VLOOKUP(E2055,$K$2:$L$426,2,FALSE())</f>
        <v>#N/A</v>
      </c>
      <c r="G2055" s="1" t="str">
        <f aca="false">IF(ISNA(F2055),"",F2055)</f>
        <v/>
      </c>
      <c r="H2055" s="5" t="str">
        <f aca="false">IF(G2055&lt;&gt;"",G2055,E2055)</f>
        <v>20, 20, FEAROW</v>
      </c>
    </row>
    <row r="2056" customFormat="false" ht="12.75" hidden="false" customHeight="true" outlineLevel="0" collapsed="false">
      <c r="A2056" s="4" t="s">
        <v>3373</v>
      </c>
      <c r="B2056" s="5" t="s">
        <v>3373</v>
      </c>
      <c r="C2056" s="1" t="str">
        <f aca="false">IF(B2056="NEW ROUTE",1,"")</f>
        <v/>
      </c>
      <c r="E2056" s="5" t="s">
        <v>3373</v>
      </c>
      <c r="F2056" s="6" t="e">
        <f aca="false">VLOOKUP(E2056,$K$2:$L$426,2,FALSE())</f>
        <v>#N/A</v>
      </c>
      <c r="G2056" s="1" t="str">
        <f aca="false">IF(ISNA(F2056),"",F2056)</f>
        <v/>
      </c>
      <c r="H2056" s="5" t="str">
        <f aca="false">IF(G2056&lt;&gt;"",G2056,E2056)</f>
        <v>20, 20, WEEPINBELL</v>
      </c>
    </row>
    <row r="2057" customFormat="false" ht="12.75" hidden="false" customHeight="true" outlineLevel="0" collapsed="false">
      <c r="A2057" s="4" t="s">
        <v>3349</v>
      </c>
      <c r="B2057" s="5" t="s">
        <v>3349</v>
      </c>
      <c r="C2057" s="1" t="str">
        <f aca="false">IF(B2057="NEW ROUTE",1,"")</f>
        <v/>
      </c>
      <c r="E2057" s="5" t="s">
        <v>3349</v>
      </c>
      <c r="F2057" s="6" t="e">
        <f aca="false">VLOOKUP(E2057,$K$2:$L$426,2,FALSE())</f>
        <v>#N/A</v>
      </c>
      <c r="G2057" s="1" t="str">
        <f aca="false">IF(ISNA(F2057),"",F2057)</f>
        <v/>
      </c>
      <c r="H2057" s="5" t="str">
        <f aca="false">IF(G2057&lt;&gt;"",G2057,E2057)</f>
        <v>2, 38, 42, TENTACOOL</v>
      </c>
    </row>
    <row r="2058" customFormat="false" ht="12.75" hidden="false" customHeight="true" outlineLevel="0" collapsed="false">
      <c r="A2058" s="4" t="s">
        <v>3374</v>
      </c>
      <c r="B2058" s="5" t="s">
        <v>3374</v>
      </c>
      <c r="C2058" s="1" t="str">
        <f aca="false">IF(B2058="NEW ROUTE",1,"")</f>
        <v/>
      </c>
      <c r="E2058" s="5" t="s">
        <v>3374</v>
      </c>
      <c r="F2058" s="6" t="e">
        <f aca="false">VLOOKUP(E2058,$K$2:$L$426,2,FALSE())</f>
        <v>#N/A</v>
      </c>
      <c r="G2058" s="1" t="str">
        <f aca="false">IF(ISNA(F2058),"",F2058)</f>
        <v/>
      </c>
      <c r="H2058" s="5" t="str">
        <f aca="false">IF(G2058&lt;&gt;"",G2058,E2058)</f>
        <v>40, 44, SLOWPOKE</v>
      </c>
    </row>
    <row r="2059" customFormat="false" ht="12.75" hidden="false" customHeight="true" outlineLevel="0" collapsed="false">
      <c r="A2059" s="4" t="s">
        <v>3351</v>
      </c>
      <c r="B2059" s="5" t="s">
        <v>3351</v>
      </c>
      <c r="C2059" s="1" t="str">
        <f aca="false">IF(B2059="NEW ROUTE",1,"")</f>
        <v/>
      </c>
      <c r="E2059" s="5" t="s">
        <v>3351</v>
      </c>
      <c r="F2059" s="6" t="e">
        <f aca="false">VLOOKUP(E2059,$K$2:$L$426,2,FALSE())</f>
        <v>#N/A</v>
      </c>
      <c r="G2059" s="1" t="str">
        <f aca="false">IF(ISNA(F2059),"",F2059)</f>
        <v/>
      </c>
      <c r="H2059" s="5" t="str">
        <f aca="false">IF(G2059&lt;&gt;"",G2059,E2059)</f>
        <v>42, 46, TENTACRUEL</v>
      </c>
    </row>
    <row r="2060" customFormat="false" ht="12.75" hidden="false" customHeight="true" outlineLevel="0" collapsed="false">
      <c r="A2060" s="4" t="s">
        <v>2923</v>
      </c>
      <c r="B2060" s="5" t="s">
        <v>2923</v>
      </c>
      <c r="C2060" s="1" t="str">
        <f aca="false">IF(B2060="NEW ROUTE",1,"")</f>
        <v/>
      </c>
      <c r="E2060" s="5" t="s">
        <v>2923</v>
      </c>
      <c r="F2060" s="6" t="e">
        <f aca="false">VLOOKUP(E2060,$K$2:$L$426,2,FALSE())</f>
        <v>#N/A</v>
      </c>
      <c r="G2060" s="1" t="str">
        <f aca="false">IF(ISNA(F2060),"",F2060)</f>
        <v/>
      </c>
      <c r="H2060" s="5" t="str">
        <f aca="false">IF(G2060&lt;&gt;"",G2060,E2060)</f>
        <v>42, 46, GOLDUCK</v>
      </c>
    </row>
    <row r="2061" customFormat="false" ht="12.75" hidden="false" customHeight="true" outlineLevel="0" collapsed="false">
      <c r="A2061" s="4" t="s">
        <v>3375</v>
      </c>
      <c r="B2061" s="5" t="s">
        <v>3375</v>
      </c>
      <c r="C2061" s="1" t="str">
        <f aca="false">IF(B2061="NEW ROUTE",1,"")</f>
        <v/>
      </c>
      <c r="E2061" s="5" t="s">
        <v>3375</v>
      </c>
      <c r="F2061" s="6" t="e">
        <f aca="false">VLOOKUP(E2061,$K$2:$L$426,2,FALSE())</f>
        <v>#N/A</v>
      </c>
      <c r="G2061" s="1" t="str">
        <f aca="false">IF(ISNA(F2061),"",F2061)</f>
        <v/>
      </c>
      <c r="H2061" s="5" t="str">
        <f aca="false">IF(G2061&lt;&gt;"",G2061,E2061)</f>
        <v>44, 48, SLOWBRO</v>
      </c>
    </row>
    <row r="2062" customFormat="false" ht="12.75" hidden="false" customHeight="true" outlineLevel="0" collapsed="false">
      <c r="A2062" s="4" t="s">
        <v>2925</v>
      </c>
      <c r="B2062" s="5" t="s">
        <v>2925</v>
      </c>
      <c r="C2062" s="1" t="str">
        <f aca="false">IF(B2062="NEW ROUTE",1,"")</f>
        <v/>
      </c>
      <c r="E2062" s="5" t="s">
        <v>2925</v>
      </c>
      <c r="F2062" s="6" t="e">
        <f aca="false">VLOOKUP(E2062,$K$2:$L$426,2,FALSE())</f>
        <v>#N/A</v>
      </c>
      <c r="G2062" s="1" t="str">
        <f aca="false">IF(ISNA(F2062),"",F2062)</f>
        <v/>
      </c>
      <c r="H2062" s="5" t="str">
        <f aca="false">IF(G2062&lt;&gt;"",G2062,E2062)</f>
        <v>20, old rod:</v>
      </c>
    </row>
    <row r="2063" customFormat="false" ht="12.75" hidden="false" customHeight="true" outlineLevel="0" collapsed="false">
      <c r="A2063" s="4" t="s">
        <v>1349</v>
      </c>
      <c r="B2063" s="5" t="s">
        <v>1349</v>
      </c>
      <c r="C2063" s="1" t="str">
        <f aca="false">IF(B2063="NEW ROUTE",1,"")</f>
        <v/>
      </c>
      <c r="E2063" s="5" t="s">
        <v>1349</v>
      </c>
      <c r="F2063" s="6" t="e">
        <f aca="false">VLOOKUP(E2063,$K$2:$L$426,2,FALSE())</f>
        <v>#N/A</v>
      </c>
      <c r="G2063" s="1" t="str">
        <f aca="false">IF(ISNA(F2063),"",F2063)</f>
        <v/>
      </c>
      <c r="H2063" s="5" t="str">
        <f aca="false">IF(G2063&lt;&gt;"",G2063,E2063)</f>
        <v>19, 26, MAGIKARP</v>
      </c>
    </row>
    <row r="2064" customFormat="false" ht="12.75" hidden="false" customHeight="true" outlineLevel="0" collapsed="false">
      <c r="A2064" s="4" t="s">
        <v>3352</v>
      </c>
      <c r="B2064" s="5" t="s">
        <v>3352</v>
      </c>
      <c r="C2064" s="1" t="str">
        <f aca="false">IF(B2064="NEW ROUTE",1,"")</f>
        <v/>
      </c>
      <c r="E2064" s="5" t="s">
        <v>3352</v>
      </c>
      <c r="F2064" s="6" t="e">
        <f aca="false">VLOOKUP(E2064,$K$2:$L$426,2,FALSE())</f>
        <v>#N/A</v>
      </c>
      <c r="G2064" s="1" t="str">
        <f aca="false">IF(ISNA(F2064),"",F2064)</f>
        <v/>
      </c>
      <c r="H2064" s="5" t="str">
        <f aca="false">IF(G2064&lt;&gt;"",G2064,E2064)</f>
        <v>19, 26, GYARADOS</v>
      </c>
    </row>
    <row r="2065" customFormat="false" ht="12.75" hidden="false" customHeight="true" outlineLevel="0" collapsed="false">
      <c r="A2065" s="4" t="s">
        <v>2846</v>
      </c>
      <c r="B2065" s="5" t="s">
        <v>2846</v>
      </c>
      <c r="C2065" s="1" t="str">
        <f aca="false">IF(B2065="NEW ROUTE",1,"")</f>
        <v/>
      </c>
      <c r="E2065" s="5" t="s">
        <v>2846</v>
      </c>
      <c r="F2065" s="6" t="e">
        <f aca="false">VLOOKUP(E2065,$K$2:$L$426,2,FALSE())</f>
        <v>#N/A</v>
      </c>
      <c r="G2065" s="1" t="str">
        <f aca="false">IF(ISNA(F2065),"",F2065)</f>
        <v/>
      </c>
      <c r="H2065" s="5" t="str">
        <f aca="false">IF(G2065&lt;&gt;"",G2065,E2065)</f>
        <v>good rod:</v>
      </c>
    </row>
    <row r="2066" customFormat="false" ht="12.75" hidden="false" customHeight="true" outlineLevel="0" collapsed="false">
      <c r="A2066" s="4" t="s">
        <v>3376</v>
      </c>
      <c r="B2066" s="5" t="s">
        <v>3376</v>
      </c>
      <c r="C2066" s="1" t="str">
        <f aca="false">IF(B2066="NEW ROUTE",1,"")</f>
        <v/>
      </c>
      <c r="E2066" s="5" t="s">
        <v>3376</v>
      </c>
      <c r="F2066" s="6" t="e">
        <f aca="false">VLOOKUP(E2066,$K$2:$L$426,2,FALSE())</f>
        <v>#N/A</v>
      </c>
      <c r="G2066" s="1" t="str">
        <f aca="false">IF(ISNA(F2066),"",F2066)</f>
        <v/>
      </c>
      <c r="H2066" s="5" t="str">
        <f aca="false">IF(G2066&lt;&gt;"",G2066,E2066)</f>
        <v>29, 33, POLIWAG</v>
      </c>
    </row>
    <row r="2067" customFormat="false" ht="12.75" hidden="false" customHeight="true" outlineLevel="0" collapsed="false">
      <c r="A2067" s="4" t="s">
        <v>2929</v>
      </c>
      <c r="B2067" s="5" t="s">
        <v>2929</v>
      </c>
      <c r="C2067" s="1" t="str">
        <f aca="false">IF(B2067="NEW ROUTE",1,"")</f>
        <v/>
      </c>
      <c r="E2067" s="5" t="s">
        <v>2929</v>
      </c>
      <c r="F2067" s="6" t="e">
        <f aca="false">VLOOKUP(E2067,$K$2:$L$426,2,FALSE())</f>
        <v>#N/A</v>
      </c>
      <c r="G2067" s="1" t="str">
        <f aca="false">IF(ISNA(F2067),"",F2067)</f>
        <v/>
      </c>
      <c r="H2067" s="5" t="str">
        <f aca="false">IF(G2067&lt;&gt;"",G2067,E2067)</f>
        <v>30, 35, GOLDEEN</v>
      </c>
    </row>
    <row r="2068" customFormat="false" ht="12.75" hidden="false" customHeight="true" outlineLevel="0" collapsed="false">
      <c r="A2068" s="4" t="s">
        <v>3354</v>
      </c>
      <c r="B2068" s="5" t="s">
        <v>3354</v>
      </c>
      <c r="C2068" s="1" t="str">
        <f aca="false">IF(B2068="NEW ROUTE",1,"")</f>
        <v/>
      </c>
      <c r="E2068" s="5" t="s">
        <v>3354</v>
      </c>
      <c r="F2068" s="6" t="e">
        <f aca="false">VLOOKUP(E2068,$K$2:$L$426,2,FALSE())</f>
        <v>#N/A</v>
      </c>
      <c r="G2068" s="1" t="str">
        <f aca="false">IF(ISNA(F2068),"",F2068)</f>
        <v/>
      </c>
      <c r="H2068" s="5" t="str">
        <f aca="false">IF(G2068&lt;&gt;"",G2068,E2068)</f>
        <v>30, 35, PSYDUCK</v>
      </c>
    </row>
    <row r="2069" customFormat="false" ht="12.75" hidden="false" customHeight="true" outlineLevel="0" collapsed="false">
      <c r="A2069" s="4" t="s">
        <v>2850</v>
      </c>
      <c r="B2069" s="5" t="s">
        <v>2850</v>
      </c>
      <c r="C2069" s="1" t="str">
        <f aca="false">IF(B2069="NEW ROUTE",1,"")</f>
        <v/>
      </c>
      <c r="E2069" s="5" t="s">
        <v>2850</v>
      </c>
      <c r="F2069" s="6" t="e">
        <f aca="false">VLOOKUP(E2069,$K$2:$L$426,2,FALSE())</f>
        <v>#N/A</v>
      </c>
      <c r="G2069" s="1" t="str">
        <f aca="false">IF(ISNA(F2069),"",F2069)</f>
        <v/>
      </c>
      <c r="H2069" s="5" t="str">
        <f aca="false">IF(G2069&lt;&gt;"",G2069,E2069)</f>
        <v>super rod:</v>
      </c>
    </row>
    <row r="2070" customFormat="false" ht="12.75" hidden="false" customHeight="true" outlineLevel="0" collapsed="false">
      <c r="A2070" s="4" t="s">
        <v>2930</v>
      </c>
      <c r="B2070" s="5" t="s">
        <v>2930</v>
      </c>
      <c r="C2070" s="1" t="str">
        <f aca="false">IF(B2070="NEW ROUTE",1,"")</f>
        <v/>
      </c>
      <c r="E2070" s="5" t="s">
        <v>2930</v>
      </c>
      <c r="F2070" s="6" t="e">
        <f aca="false">VLOOKUP(E2070,$K$2:$L$426,2,FALSE())</f>
        <v>#N/A</v>
      </c>
      <c r="G2070" s="1" t="str">
        <f aca="false">IF(ISNA(F2070),"",F2070)</f>
        <v/>
      </c>
      <c r="H2070" s="5" t="str">
        <f aca="false">IF(G2070&lt;&gt;"",G2070,E2070)</f>
        <v>36, 40, POLIWHIRL</v>
      </c>
    </row>
    <row r="2071" customFormat="false" ht="12.75" hidden="false" customHeight="true" outlineLevel="0" collapsed="false">
      <c r="A2071" s="4" t="s">
        <v>2931</v>
      </c>
      <c r="B2071" s="5" t="s">
        <v>2931</v>
      </c>
      <c r="C2071" s="1" t="str">
        <f aca="false">IF(B2071="NEW ROUTE",1,"")</f>
        <v/>
      </c>
      <c r="E2071" s="5" t="s">
        <v>2931</v>
      </c>
      <c r="F2071" s="6" t="e">
        <f aca="false">VLOOKUP(E2071,$K$2:$L$426,2,FALSE())</f>
        <v>#N/A</v>
      </c>
      <c r="G2071" s="1" t="str">
        <f aca="false">IF(ISNA(F2071),"",F2071)</f>
        <v/>
      </c>
      <c r="H2071" s="5" t="str">
        <f aca="false">IF(G2071&lt;&gt;"",G2071,E2071)</f>
        <v>36, 40, SEAKING</v>
      </c>
    </row>
    <row r="2072" customFormat="false" ht="12.75" hidden="false" customHeight="true" outlineLevel="0" collapsed="false">
      <c r="A2072" s="4" t="s">
        <v>3377</v>
      </c>
      <c r="B2072" s="5" t="s">
        <v>3377</v>
      </c>
      <c r="C2072" s="1" t="str">
        <f aca="false">IF(B2072="NEW ROUTE",1,"")</f>
        <v/>
      </c>
      <c r="E2072" s="5" t="s">
        <v>3377</v>
      </c>
      <c r="F2072" s="6" t="e">
        <f aca="false">VLOOKUP(E2072,$K$2:$L$426,2,FALSE())</f>
        <v>#N/A</v>
      </c>
      <c r="G2072" s="1" t="str">
        <f aca="false">IF(ISNA(F2072),"",F2072)</f>
        <v/>
      </c>
      <c r="H2072" s="5" t="str">
        <f aca="false">IF(G2072&lt;&gt;"",G2072,E2072)</f>
        <v>38, 42, GYARADOS</v>
      </c>
    </row>
    <row r="2073" customFormat="false" ht="12.75" hidden="false" customHeight="true" outlineLevel="0" collapsed="false">
      <c r="A2073" s="4" t="s">
        <v>3378</v>
      </c>
      <c r="B2073" s="5" t="s">
        <v>3378</v>
      </c>
      <c r="C2073" s="1" t="str">
        <f aca="false">IF(B2073="NEW ROUTE",1,"")</f>
        <v/>
      </c>
      <c r="E2073" s="5" t="s">
        <v>3378</v>
      </c>
      <c r="F2073" s="6" t="e">
        <f aca="false">VLOOKUP(E2073,$K$2:$L$426,2,FALSE())</f>
        <v>#N/A</v>
      </c>
      <c r="G2073" s="1" t="str">
        <f aca="false">IF(ISNA(F2073),"",F2073)</f>
        <v/>
      </c>
      <c r="H2073" s="5" t="str">
        <f aca="false">IF(G2073&lt;&gt;"",G2073,E2073)</f>
        <v>38, 42, POLIWRATH</v>
      </c>
    </row>
    <row r="2074" customFormat="false" ht="12.75" hidden="false" customHeight="true" outlineLevel="0" collapsed="false">
      <c r="A2074" s="4" t="s">
        <v>3379</v>
      </c>
      <c r="B2074" s="5" t="s">
        <v>3379</v>
      </c>
      <c r="C2074" s="1" t="str">
        <f aca="false">IF(B2074="NEW ROUTE",1,"")</f>
        <v/>
      </c>
      <c r="E2074" s="5" t="s">
        <v>3379</v>
      </c>
      <c r="F2074" s="6" t="e">
        <f aca="false">VLOOKUP(E2074,$K$2:$L$426,2,FALSE())</f>
        <v>#N/A</v>
      </c>
      <c r="G2074" s="1" t="str">
        <f aca="false">IF(ISNA(F2074),"",F2074)</f>
        <v/>
      </c>
      <c r="H2074" s="5" t="str">
        <f aca="false">IF(G2074&lt;&gt;"",G2074,E2074)</f>
        <v>40, 44, POLITOES</v>
      </c>
    </row>
    <row r="2075" customFormat="false" ht="12.75" hidden="false" customHeight="true" outlineLevel="0" collapsed="false">
      <c r="A2075" s="4" t="s">
        <v>2536</v>
      </c>
      <c r="B2075" s="5" t="s">
        <v>2536</v>
      </c>
      <c r="C2075" s="1" t="n">
        <f aca="false">IF(B2075="NEW ROUTE",1,"")</f>
        <v>1</v>
      </c>
      <c r="E2075" s="5" t="s">
        <v>2536</v>
      </c>
      <c r="F2075" s="6" t="e">
        <f aca="false">VLOOKUP(E2075,$K$2:$L$426,2,FALSE())</f>
        <v>#N/A</v>
      </c>
      <c r="G2075" s="1" t="str">
        <f aca="false">IF(ISNA(F2075),"",F2075)</f>
        <v/>
      </c>
      <c r="H2075" s="5" t="str">
        <f aca="false">IF(G2075&lt;&gt;"",G2075,E2075)</f>
        <v>NEW ROUTE</v>
      </c>
    </row>
    <row r="2076" customFormat="false" ht="12.75" hidden="false" customHeight="true" outlineLevel="0" collapsed="false">
      <c r="A2076" s="4" t="s">
        <v>428</v>
      </c>
      <c r="B2076" s="5" t="s">
        <v>428</v>
      </c>
      <c r="C2076" s="1" t="str">
        <f aca="false">IF(B2076="NEW ROUTE",1,"")</f>
        <v/>
      </c>
      <c r="E2076" s="5" t="s">
        <v>428</v>
      </c>
      <c r="F2076" s="6" t="str">
        <f aca="false">VLOOKUP(E2076,$K$2:$L$426,2,FALSE())</f>
        <v>Route 7</v>
      </c>
      <c r="G2076" s="1" t="str">
        <f aca="false">IF(ISNA(F2076),"",F2076)</f>
        <v>Route 7</v>
      </c>
      <c r="H2076" s="5" t="str">
        <f aca="false">IF(G2076&lt;&gt;"",G2076,E2076)</f>
        <v>Route 7</v>
      </c>
    </row>
    <row r="2077" customFormat="false" ht="12.75" hidden="false" customHeight="true" outlineLevel="0" collapsed="false">
      <c r="A2077" s="4" t="s">
        <v>2799</v>
      </c>
      <c r="B2077" s="5" t="n">
        <v>0.2</v>
      </c>
      <c r="C2077" s="1" t="str">
        <f aca="false">IF(B2077="NEW ROUTE",1,"")</f>
        <v/>
      </c>
      <c r="E2077" s="5" t="n">
        <v>0.2</v>
      </c>
      <c r="F2077" s="6" t="e">
        <f aca="false">VLOOKUP(E2077,$K$2:$L$426,2,FALSE())</f>
        <v>#N/A</v>
      </c>
      <c r="G2077" s="1" t="str">
        <f aca="false">IF(ISNA(F2077),"",F2077)</f>
        <v/>
      </c>
      <c r="H2077" s="5" t="n">
        <f aca="false">IF(G2077&lt;&gt;"",G2077,E2077)</f>
        <v>0.2</v>
      </c>
    </row>
    <row r="2078" customFormat="false" ht="12.75" hidden="false" customHeight="true" outlineLevel="0" collapsed="false">
      <c r="A2078" s="4" t="s">
        <v>1849</v>
      </c>
      <c r="B2078" s="5" t="s">
        <v>1849</v>
      </c>
      <c r="C2078" s="1" t="str">
        <f aca="false">IF(B2078="NEW ROUTE",1,"")</f>
        <v/>
      </c>
      <c r="E2078" s="5" t="s">
        <v>1849</v>
      </c>
      <c r="F2078" s="6" t="e">
        <f aca="false">VLOOKUP(E2078,$K$2:$L$426,2,FALSE())</f>
        <v>#N/A</v>
      </c>
      <c r="G2078" s="1" t="str">
        <f aca="false">IF(ISNA(F2078),"",F2078)</f>
        <v/>
      </c>
      <c r="H2078" s="5" t="str">
        <f aca="false">IF(G2078&lt;&gt;"",G2078,E2078)</f>
        <v>24, 26, PONYTA</v>
      </c>
    </row>
    <row r="2079" customFormat="false" ht="12.75" hidden="false" customHeight="true" outlineLevel="0" collapsed="false">
      <c r="A2079" s="4" t="s">
        <v>3381</v>
      </c>
      <c r="B2079" s="5" t="s">
        <v>3381</v>
      </c>
      <c r="C2079" s="1" t="str">
        <f aca="false">IF(B2079="NEW ROUTE",1,"")</f>
        <v/>
      </c>
      <c r="E2079" s="5" t="s">
        <v>3381</v>
      </c>
      <c r="F2079" s="6" t="e">
        <f aca="false">VLOOKUP(E2079,$K$2:$L$426,2,FALSE())</f>
        <v>#N/A</v>
      </c>
      <c r="G2079" s="1" t="str">
        <f aca="false">IF(ISNA(F2079),"",F2079)</f>
        <v/>
      </c>
      <c r="H2079" s="5" t="str">
        <f aca="false">IF(G2079&lt;&gt;"",G2079,E2079)</f>
        <v>24, 26, KOFFING</v>
      </c>
    </row>
    <row r="2080" customFormat="false" ht="12.75" hidden="false" customHeight="true" outlineLevel="0" collapsed="false">
      <c r="A2080" s="4" t="s">
        <v>2801</v>
      </c>
      <c r="B2080" s="5" t="n">
        <v>0.1</v>
      </c>
      <c r="C2080" s="1" t="str">
        <f aca="false">IF(B2080="NEW ROUTE",1,"")</f>
        <v/>
      </c>
      <c r="E2080" s="5" t="n">
        <v>0.1</v>
      </c>
      <c r="F2080" s="6" t="e">
        <f aca="false">VLOOKUP(E2080,$K$2:$L$426,2,FALSE())</f>
        <v>#N/A</v>
      </c>
      <c r="G2080" s="1" t="str">
        <f aca="false">IF(ISNA(F2080),"",F2080)</f>
        <v/>
      </c>
      <c r="H2080" s="5" t="n">
        <f aca="false">IF(G2080&lt;&gt;"",G2080,E2080)</f>
        <v>0.1</v>
      </c>
    </row>
    <row r="2081" customFormat="false" ht="12.75" hidden="false" customHeight="true" outlineLevel="0" collapsed="false">
      <c r="A2081" s="4" t="s">
        <v>3382</v>
      </c>
      <c r="B2081" s="5" t="s">
        <v>3382</v>
      </c>
      <c r="C2081" s="1" t="str">
        <f aca="false">IF(B2081="NEW ROUTE",1,"")</f>
        <v/>
      </c>
      <c r="E2081" s="5" t="s">
        <v>3382</v>
      </c>
      <c r="F2081" s="6" t="e">
        <f aca="false">VLOOKUP(E2081,$K$2:$L$426,2,FALSE())</f>
        <v>#N/A</v>
      </c>
      <c r="G2081" s="1" t="str">
        <f aca="false">IF(ISNA(F2081),"",F2081)</f>
        <v/>
      </c>
      <c r="H2081" s="5" t="str">
        <f aca="false">IF(G2081&lt;&gt;"",G2081,E2081)</f>
        <v>25, 27, SANDSHREW</v>
      </c>
    </row>
    <row r="2082" customFormat="false" ht="12.75" hidden="false" customHeight="true" outlineLevel="0" collapsed="false">
      <c r="A2082" s="4" t="s">
        <v>3383</v>
      </c>
      <c r="B2082" s="5" t="s">
        <v>3383</v>
      </c>
      <c r="C2082" s="1" t="str">
        <f aca="false">IF(B2082="NEW ROUTE",1,"")</f>
        <v/>
      </c>
      <c r="E2082" s="5" t="s">
        <v>3383</v>
      </c>
      <c r="F2082" s="6" t="e">
        <f aca="false">VLOOKUP(E2082,$K$2:$L$426,2,FALSE())</f>
        <v>#N/A</v>
      </c>
      <c r="G2082" s="1" t="str">
        <f aca="false">IF(ISNA(F2082),"",F2082)</f>
        <v/>
      </c>
      <c r="H2082" s="5" t="str">
        <f aca="false">IF(G2082&lt;&gt;"",G2082,E2082)</f>
        <v>25, 27, MEOWTH</v>
      </c>
    </row>
    <row r="2083" customFormat="false" ht="12.75" hidden="false" customHeight="true" outlineLevel="0" collapsed="false">
      <c r="A2083" s="4" t="s">
        <v>3384</v>
      </c>
      <c r="B2083" s="5" t="s">
        <v>3384</v>
      </c>
      <c r="C2083" s="1" t="str">
        <f aca="false">IF(B2083="NEW ROUTE",1,"")</f>
        <v/>
      </c>
      <c r="E2083" s="5" t="s">
        <v>3384</v>
      </c>
      <c r="F2083" s="6" t="e">
        <f aca="false">VLOOKUP(E2083,$K$2:$L$426,2,FALSE())</f>
        <v>#N/A</v>
      </c>
      <c r="G2083" s="1" t="str">
        <f aca="false">IF(ISNA(F2083),"",F2083)</f>
        <v/>
      </c>
      <c r="H2083" s="5" t="str">
        <f aca="false">IF(G2083&lt;&gt;"",G2083,E2083)</f>
        <v>25, 27, PARAS</v>
      </c>
    </row>
    <row r="2084" customFormat="false" ht="12.75" hidden="false" customHeight="true" outlineLevel="0" collapsed="false">
      <c r="A2084" s="4" t="s">
        <v>3385</v>
      </c>
      <c r="B2084" s="5" t="s">
        <v>3385</v>
      </c>
      <c r="C2084" s="1" t="str">
        <f aca="false">IF(B2084="NEW ROUTE",1,"")</f>
        <v/>
      </c>
      <c r="E2084" s="5" t="s">
        <v>3385</v>
      </c>
      <c r="F2084" s="6" t="e">
        <f aca="false">VLOOKUP(E2084,$K$2:$L$426,2,FALSE())</f>
        <v>#N/A</v>
      </c>
      <c r="G2084" s="1" t="str">
        <f aca="false">IF(ISNA(F2084),"",F2084)</f>
        <v/>
      </c>
      <c r="H2084" s="5" t="str">
        <f aca="false">IF(G2084&lt;&gt;"",G2084,E2084)</f>
        <v>25, 27, VULPIX</v>
      </c>
    </row>
    <row r="2085" customFormat="false" ht="12.75" hidden="false" customHeight="true" outlineLevel="0" collapsed="false">
      <c r="A2085" s="4" t="s">
        <v>2806</v>
      </c>
      <c r="B2085" s="5" t="n">
        <v>0.05</v>
      </c>
      <c r="C2085" s="1" t="str">
        <f aca="false">IF(B2085="NEW ROUTE",1,"")</f>
        <v/>
      </c>
      <c r="E2085" s="5" t="n">
        <v>0.05</v>
      </c>
      <c r="F2085" s="6" t="e">
        <f aca="false">VLOOKUP(E2085,$K$2:$L$426,2,FALSE())</f>
        <v>#N/A</v>
      </c>
      <c r="G2085" s="1" t="str">
        <f aca="false">IF(ISNA(F2085),"",F2085)</f>
        <v/>
      </c>
      <c r="H2085" s="5" t="n">
        <f aca="false">IF(G2085&lt;&gt;"",G2085,E2085)</f>
        <v>0.05</v>
      </c>
    </row>
    <row r="2086" customFormat="false" ht="12.75" hidden="false" customHeight="true" outlineLevel="0" collapsed="false">
      <c r="A2086" s="4" t="s">
        <v>3386</v>
      </c>
      <c r="B2086" s="5" t="s">
        <v>3386</v>
      </c>
      <c r="C2086" s="1" t="str">
        <f aca="false">IF(B2086="NEW ROUTE",1,"")</f>
        <v/>
      </c>
      <c r="E2086" s="5" t="s">
        <v>3386</v>
      </c>
      <c r="F2086" s="6" t="e">
        <f aca="false">VLOOKUP(E2086,$K$2:$L$426,2,FALSE())</f>
        <v>#N/A</v>
      </c>
      <c r="G2086" s="1" t="str">
        <f aca="false">IF(ISNA(F2086),"",F2086)</f>
        <v/>
      </c>
      <c r="H2086" s="5" t="str">
        <f aca="false">IF(G2086&lt;&gt;"",G2086,E2086)</f>
        <v>24, 28, WEEZING</v>
      </c>
    </row>
    <row r="2087" customFormat="false" ht="12.75" hidden="false" customHeight="true" outlineLevel="0" collapsed="false">
      <c r="A2087" s="4" t="s">
        <v>3387</v>
      </c>
      <c r="B2087" s="5" t="s">
        <v>3387</v>
      </c>
      <c r="C2087" s="1" t="str">
        <f aca="false">IF(B2087="NEW ROUTE",1,"")</f>
        <v/>
      </c>
      <c r="E2087" s="5" t="s">
        <v>3387</v>
      </c>
      <c r="F2087" s="6" t="e">
        <f aca="false">VLOOKUP(E2087,$K$2:$L$426,2,FALSE())</f>
        <v>#N/A</v>
      </c>
      <c r="G2087" s="1" t="str">
        <f aca="false">IF(ISNA(F2087),"",F2087)</f>
        <v/>
      </c>
      <c r="H2087" s="5" t="str">
        <f aca="false">IF(G2087&lt;&gt;"",G2087,E2087)</f>
        <v>24, 28, LICKITUNG</v>
      </c>
    </row>
    <row r="2088" customFormat="false" ht="12.75" hidden="false" customHeight="true" outlineLevel="0" collapsed="false">
      <c r="A2088" s="4" t="s">
        <v>2809</v>
      </c>
      <c r="B2088" s="5" t="n">
        <v>0.04</v>
      </c>
      <c r="C2088" s="1" t="str">
        <f aca="false">IF(B2088="NEW ROUTE",1,"")</f>
        <v/>
      </c>
      <c r="E2088" s="5" t="n">
        <v>0.04</v>
      </c>
      <c r="F2088" s="6" t="e">
        <f aca="false">VLOOKUP(E2088,$K$2:$L$426,2,FALSE())</f>
        <v>#N/A</v>
      </c>
      <c r="G2088" s="1" t="str">
        <f aca="false">IF(ISNA(F2088),"",F2088)</f>
        <v/>
      </c>
      <c r="H2088" s="5" t="n">
        <f aca="false">IF(G2088&lt;&gt;"",G2088,E2088)</f>
        <v>0.04</v>
      </c>
    </row>
    <row r="2089" customFormat="false" ht="12.75" hidden="false" customHeight="true" outlineLevel="0" collapsed="false">
      <c r="A2089" s="4" t="s">
        <v>3388</v>
      </c>
      <c r="B2089" s="5" t="s">
        <v>3388</v>
      </c>
      <c r="C2089" s="1" t="str">
        <f aca="false">IF(B2089="NEW ROUTE",1,"")</f>
        <v/>
      </c>
      <c r="E2089" s="5" t="s">
        <v>3388</v>
      </c>
      <c r="F2089" s="6" t="e">
        <f aca="false">VLOOKUP(E2089,$K$2:$L$426,2,FALSE())</f>
        <v>#N/A</v>
      </c>
      <c r="G2089" s="1" t="str">
        <f aca="false">IF(ISNA(F2089),"",F2089)</f>
        <v/>
      </c>
      <c r="H2089" s="5" t="str">
        <f aca="false">IF(G2089&lt;&gt;"",G2089,E2089)</f>
        <v>26, 26, PERSIAN</v>
      </c>
    </row>
    <row r="2090" customFormat="false" ht="12.75" hidden="false" customHeight="true" outlineLevel="0" collapsed="false">
      <c r="A2090" s="4" t="s">
        <v>3389</v>
      </c>
      <c r="B2090" s="5" t="s">
        <v>3389</v>
      </c>
      <c r="C2090" s="1" t="str">
        <f aca="false">IF(B2090="NEW ROUTE",1,"")</f>
        <v/>
      </c>
      <c r="E2090" s="5" t="s">
        <v>3389</v>
      </c>
      <c r="F2090" s="6" t="e">
        <f aca="false">VLOOKUP(E2090,$K$2:$L$426,2,FALSE())</f>
        <v>#N/A</v>
      </c>
      <c r="G2090" s="1" t="str">
        <f aca="false">IF(ISNA(F2090),"",F2090)</f>
        <v/>
      </c>
      <c r="H2090" s="5" t="str">
        <f aca="false">IF(G2090&lt;&gt;"",G2090,E2090)</f>
        <v>21, 26, EEVEE</v>
      </c>
    </row>
    <row r="2091" customFormat="false" ht="12.75" hidden="false" customHeight="true" outlineLevel="0" collapsed="false">
      <c r="A2091" s="4" t="s">
        <v>2812</v>
      </c>
      <c r="B2091" s="5" t="n">
        <v>0.01</v>
      </c>
      <c r="C2091" s="1" t="str">
        <f aca="false">IF(B2091="NEW ROUTE",1,"")</f>
        <v/>
      </c>
      <c r="E2091" s="5" t="n">
        <v>0.01</v>
      </c>
      <c r="F2091" s="6" t="e">
        <f aca="false">VLOOKUP(E2091,$K$2:$L$426,2,FALSE())</f>
        <v>#N/A</v>
      </c>
      <c r="G2091" s="1" t="str">
        <f aca="false">IF(ISNA(F2091),"",F2091)</f>
        <v/>
      </c>
      <c r="H2091" s="5" t="n">
        <f aca="false">IF(G2091&lt;&gt;"",G2091,E2091)</f>
        <v>0.01</v>
      </c>
    </row>
    <row r="2092" customFormat="false" ht="12.75" hidden="false" customHeight="true" outlineLevel="0" collapsed="false">
      <c r="A2092" s="4" t="s">
        <v>3390</v>
      </c>
      <c r="B2092" s="5" t="s">
        <v>3390</v>
      </c>
      <c r="C2092" s="1" t="str">
        <f aca="false">IF(B2092="NEW ROUTE",1,"")</f>
        <v/>
      </c>
      <c r="E2092" s="5" t="s">
        <v>3390</v>
      </c>
      <c r="F2092" s="6" t="e">
        <f aca="false">VLOOKUP(E2092,$K$2:$L$426,2,FALSE())</f>
        <v>#N/A</v>
      </c>
      <c r="G2092" s="1" t="str">
        <f aca="false">IF(ISNA(F2092),"",F2092)</f>
        <v/>
      </c>
      <c r="H2092" s="5" t="str">
        <f aca="false">IF(G2092&lt;&gt;"",G2092,E2092)</f>
        <v>24, 28, SANDSLASH</v>
      </c>
    </row>
    <row r="2093" customFormat="false" ht="12.75" hidden="false" customHeight="true" outlineLevel="0" collapsed="false">
      <c r="A2093" s="4" t="s">
        <v>3724</v>
      </c>
      <c r="B2093" s="5" t="s">
        <v>3724</v>
      </c>
      <c r="C2093" s="1" t="str">
        <f aca="false">IF(B2093="NEW ROUTE",1,"")</f>
        <v/>
      </c>
      <c r="E2093" s="5" t="s">
        <v>3724</v>
      </c>
      <c r="F2093" s="6" t="e">
        <f aca="false">VLOOKUP(E2093,$K$2:$L$426,2,FALSE())</f>
        <v>#N/A</v>
      </c>
      <c r="G2093" s="1" t="str">
        <f aca="false">IF(ISNA(F2093),"",F2093)</f>
        <v/>
      </c>
      <c r="H2093" s="5" t="str">
        <f aca="false">IF(G2093&lt;&gt;"",G2093,E2093)</f>
        <v>24, 28, PARASECT</v>
      </c>
    </row>
    <row r="2094" customFormat="false" ht="12.75" hidden="false" customHeight="true" outlineLevel="0" collapsed="false">
      <c r="A2094" s="4" t="s">
        <v>2536</v>
      </c>
      <c r="B2094" s="5" t="s">
        <v>2536</v>
      </c>
      <c r="C2094" s="1" t="n">
        <f aca="false">IF(B2094="NEW ROUTE",1,"")</f>
        <v>1</v>
      </c>
      <c r="E2094" s="5" t="s">
        <v>2536</v>
      </c>
      <c r="F2094" s="6" t="e">
        <f aca="false">VLOOKUP(E2094,$K$2:$L$426,2,FALSE())</f>
        <v>#N/A</v>
      </c>
      <c r="G2094" s="1" t="str">
        <f aca="false">IF(ISNA(F2094),"",F2094)</f>
        <v/>
      </c>
      <c r="H2094" s="5" t="str">
        <f aca="false">IF(G2094&lt;&gt;"",G2094,E2094)</f>
        <v>NEW ROUTE</v>
      </c>
    </row>
    <row r="2095" customFormat="false" ht="12.75" hidden="false" customHeight="true" outlineLevel="0" collapsed="false">
      <c r="A2095" s="4" t="s">
        <v>430</v>
      </c>
      <c r="B2095" s="5" t="s">
        <v>430</v>
      </c>
      <c r="C2095" s="1" t="str">
        <f aca="false">IF(B2095="NEW ROUTE",1,"")</f>
        <v/>
      </c>
      <c r="E2095" s="5" t="s">
        <v>430</v>
      </c>
      <c r="F2095" s="6" t="str">
        <f aca="false">VLOOKUP(E2095,$K$2:$L$426,2,FALSE())</f>
        <v>Route 8</v>
      </c>
      <c r="G2095" s="1" t="str">
        <f aca="false">IF(ISNA(F2095),"",F2095)</f>
        <v>Route 8</v>
      </c>
      <c r="H2095" s="5" t="str">
        <f aca="false">IF(G2095&lt;&gt;"",G2095,E2095)</f>
        <v>Route 8</v>
      </c>
    </row>
    <row r="2096" customFormat="false" ht="12.75" hidden="false" customHeight="true" outlineLevel="0" collapsed="false">
      <c r="A2096" s="4" t="s">
        <v>2799</v>
      </c>
      <c r="B2096" s="5" t="n">
        <v>0.2</v>
      </c>
      <c r="C2096" s="1" t="str">
        <f aca="false">IF(B2096="NEW ROUTE",1,"")</f>
        <v/>
      </c>
      <c r="E2096" s="5" t="n">
        <v>0.2</v>
      </c>
      <c r="F2096" s="6" t="e">
        <f aca="false">VLOOKUP(E2096,$K$2:$L$426,2,FALSE())</f>
        <v>#N/A</v>
      </c>
      <c r="G2096" s="1" t="str">
        <f aca="false">IF(ISNA(F2096),"",F2096)</f>
        <v/>
      </c>
      <c r="H2096" s="5" t="n">
        <f aca="false">IF(G2096&lt;&gt;"",G2096,E2096)</f>
        <v>0.2</v>
      </c>
    </row>
    <row r="2097" customFormat="false" ht="12.75" hidden="false" customHeight="true" outlineLevel="0" collapsed="false">
      <c r="A2097" s="4" t="s">
        <v>1862</v>
      </c>
      <c r="B2097" s="5" t="s">
        <v>1862</v>
      </c>
      <c r="C2097" s="1" t="str">
        <f aca="false">IF(B2097="NEW ROUTE",1,"")</f>
        <v/>
      </c>
      <c r="E2097" s="5" t="s">
        <v>1862</v>
      </c>
      <c r="F2097" s="6" t="e">
        <f aca="false">VLOOKUP(E2097,$K$2:$L$426,2,FALSE())</f>
        <v>#N/A</v>
      </c>
      <c r="G2097" s="1" t="str">
        <f aca="false">IF(ISNA(F2097),"",F2097)</f>
        <v/>
      </c>
      <c r="H2097" s="5" t="str">
        <f aca="false">IF(G2097&lt;&gt;"",G2097,E2097)</f>
        <v>23, 25, PONYTA</v>
      </c>
    </row>
    <row r="2098" customFormat="false" ht="12.75" hidden="false" customHeight="true" outlineLevel="0" collapsed="false">
      <c r="A2098" s="4" t="s">
        <v>3393</v>
      </c>
      <c r="B2098" s="5" t="s">
        <v>3393</v>
      </c>
      <c r="C2098" s="1" t="str">
        <f aca="false">IF(B2098="NEW ROUTE",1,"")</f>
        <v/>
      </c>
      <c r="E2098" s="5" t="s">
        <v>3393</v>
      </c>
      <c r="F2098" s="6" t="e">
        <f aca="false">VLOOKUP(E2098,$K$2:$L$426,2,FALSE())</f>
        <v>#N/A</v>
      </c>
      <c r="G2098" s="1" t="str">
        <f aca="false">IF(ISNA(F2098),"",F2098)</f>
        <v/>
      </c>
      <c r="H2098" s="5" t="str">
        <f aca="false">IF(G2098&lt;&gt;"",G2098,E2098)</f>
        <v>23, 25, EKANS</v>
      </c>
    </row>
    <row r="2099" customFormat="false" ht="12.75" hidden="false" customHeight="true" outlineLevel="0" collapsed="false">
      <c r="A2099" s="4" t="s">
        <v>2801</v>
      </c>
      <c r="B2099" s="5" t="n">
        <v>0.1</v>
      </c>
      <c r="C2099" s="1" t="str">
        <f aca="false">IF(B2099="NEW ROUTE",1,"")</f>
        <v/>
      </c>
      <c r="E2099" s="5" t="n">
        <v>0.1</v>
      </c>
      <c r="F2099" s="6" t="e">
        <f aca="false">VLOOKUP(E2099,$K$2:$L$426,2,FALSE())</f>
        <v>#N/A</v>
      </c>
      <c r="G2099" s="1" t="str">
        <f aca="false">IF(ISNA(F2099),"",F2099)</f>
        <v/>
      </c>
      <c r="H2099" s="5" t="n">
        <f aca="false">IF(G2099&lt;&gt;"",G2099,E2099)</f>
        <v>0.1</v>
      </c>
    </row>
    <row r="2100" customFormat="false" ht="12.75" hidden="false" customHeight="true" outlineLevel="0" collapsed="false">
      <c r="A2100" s="4" t="s">
        <v>3394</v>
      </c>
      <c r="B2100" s="5" t="s">
        <v>3394</v>
      </c>
      <c r="C2100" s="1" t="str">
        <f aca="false">IF(B2100="NEW ROUTE",1,"")</f>
        <v/>
      </c>
      <c r="E2100" s="5" t="s">
        <v>3394</v>
      </c>
      <c r="F2100" s="6" t="e">
        <f aca="false">VLOOKUP(E2100,$K$2:$L$426,2,FALSE())</f>
        <v>#N/A</v>
      </c>
      <c r="G2100" s="1" t="str">
        <f aca="false">IF(ISNA(F2100),"",F2100)</f>
        <v/>
      </c>
      <c r="H2100" s="5" t="str">
        <f aca="false">IF(G2100&lt;&gt;"",G2100,E2100)</f>
        <v>24, 26, SANDSHREW</v>
      </c>
    </row>
    <row r="2101" customFormat="false" ht="12.75" hidden="false" customHeight="true" outlineLevel="0" collapsed="false">
      <c r="A2101" s="4" t="s">
        <v>3395</v>
      </c>
      <c r="B2101" s="5" t="s">
        <v>3395</v>
      </c>
      <c r="C2101" s="1" t="str">
        <f aca="false">IF(B2101="NEW ROUTE",1,"")</f>
        <v/>
      </c>
      <c r="E2101" s="5" t="s">
        <v>3395</v>
      </c>
      <c r="F2101" s="6" t="e">
        <f aca="false">VLOOKUP(E2101,$K$2:$L$426,2,FALSE())</f>
        <v>#N/A</v>
      </c>
      <c r="G2101" s="1" t="str">
        <f aca="false">IF(ISNA(F2101),"",F2101)</f>
        <v/>
      </c>
      <c r="H2101" s="5" t="str">
        <f aca="false">IF(G2101&lt;&gt;"",G2101,E2101)</f>
        <v>24, 26, MEOWTH</v>
      </c>
    </row>
    <row r="2102" customFormat="false" ht="12.75" hidden="false" customHeight="true" outlineLevel="0" collapsed="false">
      <c r="A2102" s="4" t="s">
        <v>3396</v>
      </c>
      <c r="B2102" s="5" t="s">
        <v>3396</v>
      </c>
      <c r="C2102" s="1" t="str">
        <f aca="false">IF(B2102="NEW ROUTE",1,"")</f>
        <v/>
      </c>
      <c r="E2102" s="5" t="s">
        <v>3396</v>
      </c>
      <c r="F2102" s="6" t="e">
        <f aca="false">VLOOKUP(E2102,$K$2:$L$426,2,FALSE())</f>
        <v>#N/A</v>
      </c>
      <c r="G2102" s="1" t="str">
        <f aca="false">IF(ISNA(F2102),"",F2102)</f>
        <v/>
      </c>
      <c r="H2102" s="5" t="str">
        <f aca="false">IF(G2102&lt;&gt;"",G2102,E2102)</f>
        <v>24, 26, VENONAT</v>
      </c>
    </row>
    <row r="2103" customFormat="false" ht="12.75" hidden="false" customHeight="true" outlineLevel="0" collapsed="false">
      <c r="A2103" s="4" t="s">
        <v>3397</v>
      </c>
      <c r="B2103" s="5" t="s">
        <v>3397</v>
      </c>
      <c r="C2103" s="1" t="str">
        <f aca="false">IF(B2103="NEW ROUTE",1,"")</f>
        <v/>
      </c>
      <c r="E2103" s="5" t="s">
        <v>3397</v>
      </c>
      <c r="F2103" s="6" t="e">
        <f aca="false">VLOOKUP(E2103,$K$2:$L$426,2,FALSE())</f>
        <v>#N/A</v>
      </c>
      <c r="G2103" s="1" t="str">
        <f aca="false">IF(ISNA(F2103),"",F2103)</f>
        <v/>
      </c>
      <c r="H2103" s="5" t="str">
        <f aca="false">IF(G2103&lt;&gt;"",G2103,E2103)</f>
        <v>24, 26, GROWLITHE</v>
      </c>
    </row>
    <row r="2104" customFormat="false" ht="12.75" hidden="false" customHeight="true" outlineLevel="0" collapsed="false">
      <c r="A2104" s="4" t="s">
        <v>2806</v>
      </c>
      <c r="B2104" s="5" t="n">
        <v>0.05</v>
      </c>
      <c r="C2104" s="1" t="str">
        <f aca="false">IF(B2104="NEW ROUTE",1,"")</f>
        <v/>
      </c>
      <c r="E2104" s="5" t="n">
        <v>0.05</v>
      </c>
      <c r="F2104" s="6" t="e">
        <f aca="false">VLOOKUP(E2104,$K$2:$L$426,2,FALSE())</f>
        <v>#N/A</v>
      </c>
      <c r="G2104" s="1" t="str">
        <f aca="false">IF(ISNA(F2104),"",F2104)</f>
        <v/>
      </c>
      <c r="H2104" s="5" t="n">
        <f aca="false">IF(G2104&lt;&gt;"",G2104,E2104)</f>
        <v>0.05</v>
      </c>
    </row>
    <row r="2105" customFormat="false" ht="12.75" hidden="false" customHeight="true" outlineLevel="0" collapsed="false">
      <c r="A2105" s="4" t="s">
        <v>3398</v>
      </c>
      <c r="B2105" s="5" t="s">
        <v>3398</v>
      </c>
      <c r="C2105" s="1" t="str">
        <f aca="false">IF(B2105="NEW ROUTE",1,"")</f>
        <v/>
      </c>
      <c r="E2105" s="5" t="s">
        <v>3398</v>
      </c>
      <c r="F2105" s="6" t="e">
        <f aca="false">VLOOKUP(E2105,$K$2:$L$426,2,FALSE())</f>
        <v>#N/A</v>
      </c>
      <c r="G2105" s="1" t="str">
        <f aca="false">IF(ISNA(F2105),"",F2105)</f>
        <v/>
      </c>
      <c r="H2105" s="5" t="str">
        <f aca="false">IF(G2105&lt;&gt;"",G2105,E2105)</f>
        <v>23, 27, ARBOK</v>
      </c>
    </row>
    <row r="2106" customFormat="false" ht="12.75" hidden="false" customHeight="true" outlineLevel="0" collapsed="false">
      <c r="A2106" s="4" t="s">
        <v>3399</v>
      </c>
      <c r="B2106" s="5" t="s">
        <v>3399</v>
      </c>
      <c r="C2106" s="1" t="str">
        <f aca="false">IF(B2106="NEW ROUTE",1,"")</f>
        <v/>
      </c>
      <c r="E2106" s="5" t="s">
        <v>3399</v>
      </c>
      <c r="F2106" s="6" t="e">
        <f aca="false">VLOOKUP(E2106,$K$2:$L$426,2,FALSE())</f>
        <v>#N/A</v>
      </c>
      <c r="G2106" s="1" t="str">
        <f aca="false">IF(ISNA(F2106),"",F2106)</f>
        <v/>
      </c>
      <c r="H2106" s="5" t="str">
        <f aca="false">IF(G2106&lt;&gt;"",G2106,E2106)</f>
        <v>23, 27, LICKITUNG</v>
      </c>
    </row>
    <row r="2107" customFormat="false" ht="12.75" hidden="false" customHeight="true" outlineLevel="0" collapsed="false">
      <c r="A2107" s="4" t="s">
        <v>2809</v>
      </c>
      <c r="B2107" s="5" t="n">
        <v>0.04</v>
      </c>
      <c r="C2107" s="1" t="str">
        <f aca="false">IF(B2107="NEW ROUTE",1,"")</f>
        <v/>
      </c>
      <c r="E2107" s="5" t="n">
        <v>0.04</v>
      </c>
      <c r="F2107" s="6" t="e">
        <f aca="false">VLOOKUP(E2107,$K$2:$L$426,2,FALSE())</f>
        <v>#N/A</v>
      </c>
      <c r="G2107" s="1" t="str">
        <f aca="false">IF(ISNA(F2107),"",F2107)</f>
        <v/>
      </c>
      <c r="H2107" s="5" t="n">
        <f aca="false">IF(G2107&lt;&gt;"",G2107,E2107)</f>
        <v>0.04</v>
      </c>
    </row>
    <row r="2108" customFormat="false" ht="12.75" hidden="false" customHeight="true" outlineLevel="0" collapsed="false">
      <c r="A2108" s="4" t="s">
        <v>3400</v>
      </c>
      <c r="B2108" s="5" t="s">
        <v>3400</v>
      </c>
      <c r="C2108" s="1" t="str">
        <f aca="false">IF(B2108="NEW ROUTE",1,"")</f>
        <v/>
      </c>
      <c r="E2108" s="5" t="s">
        <v>3400</v>
      </c>
      <c r="F2108" s="6" t="e">
        <f aca="false">VLOOKUP(E2108,$K$2:$L$426,2,FALSE())</f>
        <v>#N/A</v>
      </c>
      <c r="G2108" s="1" t="str">
        <f aca="false">IF(ISNA(F2108),"",F2108)</f>
        <v/>
      </c>
      <c r="H2108" s="5" t="str">
        <f aca="false">IF(G2108&lt;&gt;"",G2108,E2108)</f>
        <v>25, 25, PERSIAN</v>
      </c>
    </row>
    <row r="2109" customFormat="false" ht="12.75" hidden="false" customHeight="true" outlineLevel="0" collapsed="false">
      <c r="A2109" s="4" t="s">
        <v>3401</v>
      </c>
      <c r="B2109" s="5" t="s">
        <v>3401</v>
      </c>
      <c r="C2109" s="1" t="str">
        <f aca="false">IF(B2109="NEW ROUTE",1,"")</f>
        <v/>
      </c>
      <c r="E2109" s="5" t="s">
        <v>3401</v>
      </c>
      <c r="F2109" s="6" t="e">
        <f aca="false">VLOOKUP(E2109,$K$2:$L$426,2,FALSE())</f>
        <v>#N/A</v>
      </c>
      <c r="G2109" s="1" t="str">
        <f aca="false">IF(ISNA(F2109),"",F2109)</f>
        <v/>
      </c>
      <c r="H2109" s="5" t="str">
        <f aca="false">IF(G2109&lt;&gt;"",G2109,E2109)</f>
        <v>20, 25, EEVEE</v>
      </c>
    </row>
    <row r="2110" customFormat="false" ht="12.75" hidden="false" customHeight="true" outlineLevel="0" collapsed="false">
      <c r="A2110" s="4" t="s">
        <v>2812</v>
      </c>
      <c r="B2110" s="5" t="n">
        <v>0.01</v>
      </c>
      <c r="C2110" s="1" t="str">
        <f aca="false">IF(B2110="NEW ROUTE",1,"")</f>
        <v/>
      </c>
      <c r="E2110" s="5" t="n">
        <v>0.01</v>
      </c>
      <c r="F2110" s="6" t="e">
        <f aca="false">VLOOKUP(E2110,$K$2:$L$426,2,FALSE())</f>
        <v>#N/A</v>
      </c>
      <c r="G2110" s="1" t="str">
        <f aca="false">IF(ISNA(F2110),"",F2110)</f>
        <v/>
      </c>
      <c r="H2110" s="5" t="n">
        <f aca="false">IF(G2110&lt;&gt;"",G2110,E2110)</f>
        <v>0.01</v>
      </c>
    </row>
    <row r="2111" customFormat="false" ht="12.75" hidden="false" customHeight="true" outlineLevel="0" collapsed="false">
      <c r="A2111" s="4" t="s">
        <v>3402</v>
      </c>
      <c r="B2111" s="5" t="s">
        <v>3402</v>
      </c>
      <c r="C2111" s="1" t="str">
        <f aca="false">IF(B2111="NEW ROUTE",1,"")</f>
        <v/>
      </c>
      <c r="E2111" s="5" t="s">
        <v>3402</v>
      </c>
      <c r="F2111" s="6" t="e">
        <f aca="false">VLOOKUP(E2111,$K$2:$L$426,2,FALSE())</f>
        <v>#N/A</v>
      </c>
      <c r="G2111" s="1" t="str">
        <f aca="false">IF(ISNA(F2111),"",F2111)</f>
        <v/>
      </c>
      <c r="H2111" s="5" t="str">
        <f aca="false">IF(G2111&lt;&gt;"",G2111,E2111)</f>
        <v>23, 27, SANDSLASH</v>
      </c>
    </row>
    <row r="2112" customFormat="false" ht="12.75" hidden="false" customHeight="true" outlineLevel="0" collapsed="false">
      <c r="A2112" s="4" t="s">
        <v>3725</v>
      </c>
      <c r="B2112" s="5" t="s">
        <v>3725</v>
      </c>
      <c r="C2112" s="1" t="str">
        <f aca="false">IF(B2112="NEW ROUTE",1,"")</f>
        <v/>
      </c>
      <c r="E2112" s="5" t="s">
        <v>3725</v>
      </c>
      <c r="F2112" s="6" t="e">
        <f aca="false">VLOOKUP(E2112,$K$2:$L$426,2,FALSE())</f>
        <v>#N/A</v>
      </c>
      <c r="G2112" s="1" t="str">
        <f aca="false">IF(ISNA(F2112),"",F2112)</f>
        <v/>
      </c>
      <c r="H2112" s="5" t="str">
        <f aca="false">IF(G2112&lt;&gt;"",G2112,E2112)</f>
        <v>23, 27, VENOMOTH</v>
      </c>
    </row>
    <row r="2113" customFormat="false" ht="12.75" hidden="false" customHeight="true" outlineLevel="0" collapsed="false">
      <c r="A2113" s="4" t="s">
        <v>2536</v>
      </c>
      <c r="B2113" s="5" t="s">
        <v>2536</v>
      </c>
      <c r="C2113" s="1" t="n">
        <f aca="false">IF(B2113="NEW ROUTE",1,"")</f>
        <v>1</v>
      </c>
      <c r="E2113" s="5" t="s">
        <v>2536</v>
      </c>
      <c r="F2113" s="6" t="e">
        <f aca="false">VLOOKUP(E2113,$K$2:$L$426,2,FALSE())</f>
        <v>#N/A</v>
      </c>
      <c r="G2113" s="1" t="str">
        <f aca="false">IF(ISNA(F2113),"",F2113)</f>
        <v/>
      </c>
      <c r="H2113" s="5" t="str">
        <f aca="false">IF(G2113&lt;&gt;"",G2113,E2113)</f>
        <v>NEW ROUTE</v>
      </c>
    </row>
    <row r="2114" customFormat="false" ht="12.75" hidden="false" customHeight="true" outlineLevel="0" collapsed="false">
      <c r="A2114" s="4" t="s">
        <v>432</v>
      </c>
      <c r="B2114" s="5" t="s">
        <v>432</v>
      </c>
      <c r="C2114" s="1" t="str">
        <f aca="false">IF(B2114="NEW ROUTE",1,"")</f>
        <v/>
      </c>
      <c r="E2114" s="5" t="s">
        <v>432</v>
      </c>
      <c r="F2114" s="6" t="str">
        <f aca="false">VLOOKUP(E2114,$K$2:$L$426,2,FALSE())</f>
        <v>Route 9</v>
      </c>
      <c r="G2114" s="1" t="str">
        <f aca="false">IF(ISNA(F2114),"",F2114)</f>
        <v>Route 9</v>
      </c>
      <c r="H2114" s="5" t="str">
        <f aca="false">IF(G2114&lt;&gt;"",G2114,E2114)</f>
        <v>Route 9</v>
      </c>
    </row>
    <row r="2115" customFormat="false" ht="12.75" hidden="false" customHeight="true" outlineLevel="0" collapsed="false">
      <c r="A2115" s="4" t="s">
        <v>2799</v>
      </c>
      <c r="B2115" s="5" t="n">
        <v>0.2</v>
      </c>
      <c r="C2115" s="1" t="str">
        <f aca="false">IF(B2115="NEW ROUTE",1,"")</f>
        <v/>
      </c>
      <c r="E2115" s="5" t="n">
        <v>0.2</v>
      </c>
      <c r="F2115" s="6" t="e">
        <f aca="false">VLOOKUP(E2115,$K$2:$L$426,2,FALSE())</f>
        <v>#N/A</v>
      </c>
      <c r="G2115" s="1" t="str">
        <f aca="false">IF(ISNA(F2115),"",F2115)</f>
        <v/>
      </c>
      <c r="H2115" s="5" t="n">
        <f aca="false">IF(G2115&lt;&gt;"",G2115,E2115)</f>
        <v>0.2</v>
      </c>
    </row>
    <row r="2116" customFormat="false" ht="12.75" hidden="false" customHeight="true" outlineLevel="0" collapsed="false">
      <c r="A2116" s="4" t="s">
        <v>1875</v>
      </c>
      <c r="B2116" s="5" t="s">
        <v>1875</v>
      </c>
      <c r="C2116" s="1" t="str">
        <f aca="false">IF(B2116="NEW ROUTE",1,"")</f>
        <v/>
      </c>
      <c r="E2116" s="5" t="s">
        <v>1875</v>
      </c>
      <c r="F2116" s="6" t="e">
        <f aca="false">VLOOKUP(E2116,$K$2:$L$426,2,FALSE())</f>
        <v>#N/A</v>
      </c>
      <c r="G2116" s="1" t="str">
        <f aca="false">IF(ISNA(F2116),"",F2116)</f>
        <v/>
      </c>
      <c r="H2116" s="5" t="str">
        <f aca="false">IF(G2116&lt;&gt;"",G2116,E2116)</f>
        <v>17, 22, NIDORINA</v>
      </c>
    </row>
    <row r="2117" customFormat="false" ht="12.75" hidden="false" customHeight="true" outlineLevel="0" collapsed="false">
      <c r="A2117" s="4" t="s">
        <v>3405</v>
      </c>
      <c r="B2117" s="5" t="s">
        <v>3405</v>
      </c>
      <c r="C2117" s="1" t="str">
        <f aca="false">IF(B2117="NEW ROUTE",1,"")</f>
        <v/>
      </c>
      <c r="E2117" s="5" t="s">
        <v>3405</v>
      </c>
      <c r="F2117" s="6" t="e">
        <f aca="false">VLOOKUP(E2117,$K$2:$L$426,2,FALSE())</f>
        <v>#N/A</v>
      </c>
      <c r="G2117" s="1" t="str">
        <f aca="false">IF(ISNA(F2117),"",F2117)</f>
        <v/>
      </c>
      <c r="H2117" s="5" t="str">
        <f aca="false">IF(G2117&lt;&gt;"",G2117,E2117)</f>
        <v>17, 22, NIDORINO</v>
      </c>
    </row>
    <row r="2118" customFormat="false" ht="12.75" hidden="false" customHeight="true" outlineLevel="0" collapsed="false">
      <c r="A2118" s="4" t="s">
        <v>2801</v>
      </c>
      <c r="B2118" s="5" t="n">
        <v>0.1</v>
      </c>
      <c r="C2118" s="1" t="str">
        <f aca="false">IF(B2118="NEW ROUTE",1,"")</f>
        <v/>
      </c>
      <c r="E2118" s="5" t="n">
        <v>0.1</v>
      </c>
      <c r="F2118" s="6" t="e">
        <f aca="false">VLOOKUP(E2118,$K$2:$L$426,2,FALSE())</f>
        <v>#N/A</v>
      </c>
      <c r="G2118" s="1" t="str">
        <f aca="false">IF(ISNA(F2118),"",F2118)</f>
        <v/>
      </c>
      <c r="H2118" s="5" t="n">
        <f aca="false">IF(G2118&lt;&gt;"",G2118,E2118)</f>
        <v>0.1</v>
      </c>
    </row>
    <row r="2119" customFormat="false" ht="12.75" hidden="false" customHeight="true" outlineLevel="0" collapsed="false">
      <c r="A2119" s="4" t="s">
        <v>3406</v>
      </c>
      <c r="B2119" s="5" t="s">
        <v>3406</v>
      </c>
      <c r="C2119" s="1" t="str">
        <f aca="false">IF(B2119="NEW ROUTE",1,"")</f>
        <v/>
      </c>
      <c r="E2119" s="5" t="s">
        <v>3406</v>
      </c>
      <c r="F2119" s="6" t="e">
        <f aca="false">VLOOKUP(E2119,$K$2:$L$426,2,FALSE())</f>
        <v>#N/A</v>
      </c>
      <c r="G2119" s="1" t="str">
        <f aca="false">IF(ISNA(F2119),"",F2119)</f>
        <v/>
      </c>
      <c r="H2119" s="5" t="str">
        <f aca="false">IF(G2119&lt;&gt;"",G2119,E2119)</f>
        <v>16, 19, SPEAROW</v>
      </c>
    </row>
    <row r="2120" customFormat="false" ht="12.75" hidden="false" customHeight="true" outlineLevel="0" collapsed="false">
      <c r="A2120" s="4" t="s">
        <v>3407</v>
      </c>
      <c r="B2120" s="5" t="s">
        <v>3407</v>
      </c>
      <c r="C2120" s="1" t="str">
        <f aca="false">IF(B2120="NEW ROUTE",1,"")</f>
        <v/>
      </c>
      <c r="E2120" s="5" t="s">
        <v>3407</v>
      </c>
      <c r="F2120" s="6" t="e">
        <f aca="false">VLOOKUP(E2120,$K$2:$L$426,2,FALSE())</f>
        <v>#N/A</v>
      </c>
      <c r="G2120" s="1" t="str">
        <f aca="false">IF(ISNA(F2120),"",F2120)</f>
        <v/>
      </c>
      <c r="H2120" s="5" t="str">
        <f aca="false">IF(G2120&lt;&gt;"",G2120,E2120)</f>
        <v>16, 19, CUBONE</v>
      </c>
    </row>
    <row r="2121" customFormat="false" ht="12.75" hidden="false" customHeight="true" outlineLevel="0" collapsed="false">
      <c r="A2121" s="4" t="s">
        <v>3408</v>
      </c>
      <c r="B2121" s="5" t="s">
        <v>3408</v>
      </c>
      <c r="C2121" s="1" t="str">
        <f aca="false">IF(B2121="NEW ROUTE",1,"")</f>
        <v/>
      </c>
      <c r="E2121" s="5" t="s">
        <v>3408</v>
      </c>
      <c r="F2121" s="6" t="e">
        <f aca="false">VLOOKUP(E2121,$K$2:$L$426,2,FALSE())</f>
        <v>#N/A</v>
      </c>
      <c r="G2121" s="1" t="str">
        <f aca="false">IF(ISNA(F2121),"",F2121)</f>
        <v/>
      </c>
      <c r="H2121" s="5" t="str">
        <f aca="false">IF(G2121&lt;&gt;"",G2121,E2121)</f>
        <v>16, 19, MACHOP</v>
      </c>
    </row>
    <row r="2122" customFormat="false" ht="12.75" hidden="false" customHeight="true" outlineLevel="0" collapsed="false">
      <c r="A2122" s="4" t="s">
        <v>3409</v>
      </c>
      <c r="B2122" s="5" t="s">
        <v>3409</v>
      </c>
      <c r="C2122" s="1" t="str">
        <f aca="false">IF(B2122="NEW ROUTE",1,"")</f>
        <v/>
      </c>
      <c r="E2122" s="5" t="s">
        <v>3409</v>
      </c>
      <c r="F2122" s="6" t="e">
        <f aca="false">VLOOKUP(E2122,$K$2:$L$426,2,FALSE())</f>
        <v>#N/A</v>
      </c>
      <c r="G2122" s="1" t="str">
        <f aca="false">IF(ISNA(F2122),"",F2122)</f>
        <v/>
      </c>
      <c r="H2122" s="5" t="str">
        <f aca="false">IF(G2122&lt;&gt;"",G2122,E2122)</f>
        <v>16, 19, SANDSHREW</v>
      </c>
    </row>
    <row r="2123" customFormat="false" ht="12.75" hidden="false" customHeight="true" outlineLevel="0" collapsed="false">
      <c r="A2123" s="4" t="s">
        <v>2806</v>
      </c>
      <c r="B2123" s="5" t="n">
        <v>0.05</v>
      </c>
      <c r="C2123" s="1" t="str">
        <f aca="false">IF(B2123="NEW ROUTE",1,"")</f>
        <v/>
      </c>
      <c r="E2123" s="5" t="n">
        <v>0.05</v>
      </c>
      <c r="F2123" s="6" t="e">
        <f aca="false">VLOOKUP(E2123,$K$2:$L$426,2,FALSE())</f>
        <v>#N/A</v>
      </c>
      <c r="G2123" s="1" t="str">
        <f aca="false">IF(ISNA(F2123),"",F2123)</f>
        <v/>
      </c>
      <c r="H2123" s="5" t="n">
        <f aca="false">IF(G2123&lt;&gt;"",G2123,E2123)</f>
        <v>0.05</v>
      </c>
    </row>
    <row r="2124" customFormat="false" ht="12.75" hidden="false" customHeight="true" outlineLevel="0" collapsed="false">
      <c r="A2124" s="4" t="s">
        <v>3410</v>
      </c>
      <c r="B2124" s="5" t="s">
        <v>3410</v>
      </c>
      <c r="C2124" s="1" t="str">
        <f aca="false">IF(B2124="NEW ROUTE",1,"")</f>
        <v/>
      </c>
      <c r="E2124" s="5" t="s">
        <v>3410</v>
      </c>
      <c r="F2124" s="6" t="e">
        <f aca="false">VLOOKUP(E2124,$K$2:$L$426,2,FALSE())</f>
        <v>#N/A</v>
      </c>
      <c r="G2124" s="1" t="str">
        <f aca="false">IF(ISNA(F2124),"",F2124)</f>
        <v/>
      </c>
      <c r="H2124" s="5" t="str">
        <f aca="false">IF(G2124&lt;&gt;"",G2124,E2124)</f>
        <v>17, 18, DODUO</v>
      </c>
    </row>
    <row r="2125" customFormat="false" ht="12.75" hidden="false" customHeight="true" outlineLevel="0" collapsed="false">
      <c r="A2125" s="4" t="s">
        <v>3411</v>
      </c>
      <c r="B2125" s="5" t="s">
        <v>3411</v>
      </c>
      <c r="C2125" s="1" t="str">
        <f aca="false">IF(B2125="NEW ROUTE",1,"")</f>
        <v/>
      </c>
      <c r="E2125" s="5" t="s">
        <v>3411</v>
      </c>
      <c r="F2125" s="6" t="e">
        <f aca="false">VLOOKUP(E2125,$K$2:$L$426,2,FALSE())</f>
        <v>#N/A</v>
      </c>
      <c r="G2125" s="1" t="str">
        <f aca="false">IF(ISNA(F2125),"",F2125)</f>
        <v/>
      </c>
      <c r="H2125" s="5" t="str">
        <f aca="false">IF(G2125&lt;&gt;"",G2125,E2125)</f>
        <v>17, 18, DROWZEE</v>
      </c>
    </row>
    <row r="2126" customFormat="false" ht="12.75" hidden="false" customHeight="true" outlineLevel="0" collapsed="false">
      <c r="A2126" s="4" t="s">
        <v>2809</v>
      </c>
      <c r="B2126" s="5" t="n">
        <v>0.04</v>
      </c>
      <c r="C2126" s="1" t="str">
        <f aca="false">IF(B2126="NEW ROUTE",1,"")</f>
        <v/>
      </c>
      <c r="E2126" s="5" t="n">
        <v>0.04</v>
      </c>
      <c r="F2126" s="6" t="e">
        <f aca="false">VLOOKUP(E2126,$K$2:$L$426,2,FALSE())</f>
        <v>#N/A</v>
      </c>
      <c r="G2126" s="1" t="str">
        <f aca="false">IF(ISNA(F2126),"",F2126)</f>
        <v/>
      </c>
      <c r="H2126" s="5" t="n">
        <f aca="false">IF(G2126&lt;&gt;"",G2126,E2126)</f>
        <v>0.04</v>
      </c>
    </row>
    <row r="2127" customFormat="false" ht="12.75" hidden="false" customHeight="true" outlineLevel="0" collapsed="false">
      <c r="A2127" s="4" t="s">
        <v>3412</v>
      </c>
      <c r="B2127" s="5" t="s">
        <v>3412</v>
      </c>
      <c r="C2127" s="1" t="str">
        <f aca="false">IF(B2127="NEW ROUTE",1,"")</f>
        <v/>
      </c>
      <c r="E2127" s="5" t="s">
        <v>3412</v>
      </c>
      <c r="F2127" s="6" t="e">
        <f aca="false">VLOOKUP(E2127,$K$2:$L$426,2,FALSE())</f>
        <v>#N/A</v>
      </c>
      <c r="G2127" s="1" t="str">
        <f aca="false">IF(ISNA(F2127),"",F2127)</f>
        <v/>
      </c>
      <c r="H2127" s="5" t="str">
        <f aca="false">IF(G2127&lt;&gt;"",G2127,E2127)</f>
        <v>16, 25, FEAROW</v>
      </c>
    </row>
    <row r="2128" customFormat="false" ht="12.75" hidden="false" customHeight="true" outlineLevel="0" collapsed="false">
      <c r="A2128" s="4" t="s">
        <v>3413</v>
      </c>
      <c r="B2128" s="5" t="s">
        <v>3413</v>
      </c>
      <c r="C2128" s="1" t="str">
        <f aca="false">IF(B2128="NEW ROUTE",1,"")</f>
        <v/>
      </c>
      <c r="E2128" s="5" t="s">
        <v>3413</v>
      </c>
      <c r="F2128" s="6" t="e">
        <f aca="false">VLOOKUP(E2128,$K$2:$L$426,2,FALSE())</f>
        <v>#N/A</v>
      </c>
      <c r="G2128" s="1" t="str">
        <f aca="false">IF(ISNA(F2128),"",F2128)</f>
        <v/>
      </c>
      <c r="H2128" s="5" t="str">
        <f aca="false">IF(G2128&lt;&gt;"",G2128,E2128)</f>
        <v>22, 22, SANDSLASH</v>
      </c>
    </row>
    <row r="2129" customFormat="false" ht="12.75" hidden="false" customHeight="true" outlineLevel="0" collapsed="false">
      <c r="A2129" s="4" t="s">
        <v>2812</v>
      </c>
      <c r="B2129" s="5" t="n">
        <v>0.01</v>
      </c>
      <c r="C2129" s="1" t="str">
        <f aca="false">IF(B2129="NEW ROUTE",1,"")</f>
        <v/>
      </c>
      <c r="E2129" s="5" t="n">
        <v>0.01</v>
      </c>
      <c r="F2129" s="6" t="e">
        <f aca="false">VLOOKUP(E2129,$K$2:$L$426,2,FALSE())</f>
        <v>#N/A</v>
      </c>
      <c r="G2129" s="1" t="str">
        <f aca="false">IF(ISNA(F2129),"",F2129)</f>
        <v/>
      </c>
      <c r="H2129" s="5" t="n">
        <f aca="false">IF(G2129&lt;&gt;"",G2129,E2129)</f>
        <v>0.01</v>
      </c>
    </row>
    <row r="2130" customFormat="false" ht="12.75" hidden="false" customHeight="true" outlineLevel="0" collapsed="false">
      <c r="A2130" s="4" t="s">
        <v>3414</v>
      </c>
      <c r="B2130" s="5" t="s">
        <v>3414</v>
      </c>
      <c r="C2130" s="1" t="str">
        <f aca="false">IF(B2130="NEW ROUTE",1,"")</f>
        <v/>
      </c>
      <c r="E2130" s="5" t="s">
        <v>3414</v>
      </c>
      <c r="F2130" s="6" t="e">
        <f aca="false">VLOOKUP(E2130,$K$2:$L$426,2,FALSE())</f>
        <v>#N/A</v>
      </c>
      <c r="G2130" s="1" t="str">
        <f aca="false">IF(ISNA(F2130),"",F2130)</f>
        <v/>
      </c>
      <c r="H2130" s="5" t="str">
        <f aca="false">IF(G2130&lt;&gt;"",G2130,E2130)</f>
        <v>14, 17, KANGAKID</v>
      </c>
    </row>
    <row r="2131" customFormat="false" ht="12.75" hidden="false" customHeight="true" outlineLevel="0" collapsed="false">
      <c r="A2131" s="4" t="s">
        <v>3726</v>
      </c>
      <c r="B2131" s="5" t="s">
        <v>3726</v>
      </c>
      <c r="C2131" s="1" t="str">
        <f aca="false">IF(B2131="NEW ROUTE",1,"")</f>
        <v/>
      </c>
      <c r="E2131" s="5" t="s">
        <v>3726</v>
      </c>
      <c r="F2131" s="6" t="e">
        <f aca="false">VLOOKUP(E2131,$K$2:$L$426,2,FALSE())</f>
        <v>#N/A</v>
      </c>
      <c r="G2131" s="1" t="str">
        <f aca="false">IF(ISNA(F2131),"",F2131)</f>
        <v/>
      </c>
      <c r="H2131" s="5" t="str">
        <f aca="false">IF(G2131&lt;&gt;"",G2131,E2131)</f>
        <v>18, 18, KANGAKID</v>
      </c>
    </row>
    <row r="2132" customFormat="false" ht="12.75" hidden="false" customHeight="true" outlineLevel="0" collapsed="false">
      <c r="A2132" s="4" t="s">
        <v>2536</v>
      </c>
      <c r="B2132" s="5" t="s">
        <v>2536</v>
      </c>
      <c r="C2132" s="1" t="n">
        <f aca="false">IF(B2132="NEW ROUTE",1,"")</f>
        <v>1</v>
      </c>
      <c r="E2132" s="5" t="s">
        <v>2536</v>
      </c>
      <c r="F2132" s="6" t="e">
        <f aca="false">VLOOKUP(E2132,$K$2:$L$426,2,FALSE())</f>
        <v>#N/A</v>
      </c>
      <c r="G2132" s="1" t="str">
        <f aca="false">IF(ISNA(F2132),"",F2132)</f>
        <v/>
      </c>
      <c r="H2132" s="5" t="str">
        <f aca="false">IF(G2132&lt;&gt;"",G2132,E2132)</f>
        <v>NEW ROUTE</v>
      </c>
    </row>
    <row r="2133" customFormat="false" ht="12.75" hidden="false" customHeight="true" outlineLevel="0" collapsed="false">
      <c r="A2133" s="4" t="s">
        <v>434</v>
      </c>
      <c r="B2133" s="5" t="s">
        <v>434</v>
      </c>
      <c r="C2133" s="1" t="str">
        <f aca="false">IF(B2133="NEW ROUTE",1,"")</f>
        <v/>
      </c>
      <c r="E2133" s="5" t="s">
        <v>434</v>
      </c>
      <c r="F2133" s="6" t="str">
        <f aca="false">VLOOKUP(E2133,$K$2:$L$426,2,FALSE())</f>
        <v>Route 10</v>
      </c>
      <c r="G2133" s="1" t="str">
        <f aca="false">IF(ISNA(F2133),"",F2133)</f>
        <v>Route 10</v>
      </c>
      <c r="H2133" s="5" t="str">
        <f aca="false">IF(G2133&lt;&gt;"",G2133,E2133)</f>
        <v>Route 10</v>
      </c>
    </row>
    <row r="2134" customFormat="false" ht="12.75" hidden="false" customHeight="true" outlineLevel="0" collapsed="false">
      <c r="A2134" s="4" t="s">
        <v>2799</v>
      </c>
      <c r="B2134" s="5" t="n">
        <v>0.2</v>
      </c>
      <c r="C2134" s="1" t="str">
        <f aca="false">IF(B2134="NEW ROUTE",1,"")</f>
        <v/>
      </c>
      <c r="E2134" s="5" t="n">
        <v>0.2</v>
      </c>
      <c r="F2134" s="6" t="e">
        <f aca="false">VLOOKUP(E2134,$K$2:$L$426,2,FALSE())</f>
        <v>#N/A</v>
      </c>
      <c r="G2134" s="1" t="str">
        <f aca="false">IF(ISNA(F2134),"",F2134)</f>
        <v/>
      </c>
      <c r="H2134" s="5" t="n">
        <f aca="false">IF(G2134&lt;&gt;"",G2134,E2134)</f>
        <v>0.2</v>
      </c>
    </row>
    <row r="2135" customFormat="false" ht="12.75" hidden="false" customHeight="true" outlineLevel="0" collapsed="false">
      <c r="A2135" s="4" t="s">
        <v>1888</v>
      </c>
      <c r="B2135" s="5" t="s">
        <v>1888</v>
      </c>
      <c r="C2135" s="1" t="str">
        <f aca="false">IF(B2135="NEW ROUTE",1,"")</f>
        <v/>
      </c>
      <c r="E2135" s="5" t="s">
        <v>1888</v>
      </c>
      <c r="F2135" s="6" t="e">
        <f aca="false">VLOOKUP(E2135,$K$2:$L$426,2,FALSE())</f>
        <v>#N/A</v>
      </c>
      <c r="G2135" s="1" t="str">
        <f aca="false">IF(ISNA(F2135),"",F2135)</f>
        <v/>
      </c>
      <c r="H2135" s="5" t="str">
        <f aca="false">IF(G2135&lt;&gt;"",G2135,E2135)</f>
        <v>19, 23, NIDORINA</v>
      </c>
    </row>
    <row r="2136" customFormat="false" ht="12.75" hidden="false" customHeight="true" outlineLevel="0" collapsed="false">
      <c r="A2136" s="4" t="s">
        <v>3417</v>
      </c>
      <c r="B2136" s="5" t="s">
        <v>3417</v>
      </c>
      <c r="C2136" s="1" t="str">
        <f aca="false">IF(B2136="NEW ROUTE",1,"")</f>
        <v/>
      </c>
      <c r="E2136" s="5" t="s">
        <v>3417</v>
      </c>
      <c r="F2136" s="6" t="e">
        <f aca="false">VLOOKUP(E2136,$K$2:$L$426,2,FALSE())</f>
        <v>#N/A</v>
      </c>
      <c r="G2136" s="1" t="str">
        <f aca="false">IF(ISNA(F2136),"",F2136)</f>
        <v/>
      </c>
      <c r="H2136" s="5" t="str">
        <f aca="false">IF(G2136&lt;&gt;"",G2136,E2136)</f>
        <v>19, 23, NIDORINO</v>
      </c>
    </row>
    <row r="2137" customFormat="false" ht="12.75" hidden="false" customHeight="true" outlineLevel="0" collapsed="false">
      <c r="A2137" s="4" t="s">
        <v>2801</v>
      </c>
      <c r="B2137" s="5" t="n">
        <v>0.1</v>
      </c>
      <c r="C2137" s="1" t="str">
        <f aca="false">IF(B2137="NEW ROUTE",1,"")</f>
        <v/>
      </c>
      <c r="E2137" s="5" t="n">
        <v>0.1</v>
      </c>
      <c r="F2137" s="6" t="e">
        <f aca="false">VLOOKUP(E2137,$K$2:$L$426,2,FALSE())</f>
        <v>#N/A</v>
      </c>
      <c r="G2137" s="1" t="str">
        <f aca="false">IF(ISNA(F2137),"",F2137)</f>
        <v/>
      </c>
      <c r="H2137" s="5" t="n">
        <f aca="false">IF(G2137&lt;&gt;"",G2137,E2137)</f>
        <v>0.1</v>
      </c>
    </row>
    <row r="2138" customFormat="false" ht="12.75" hidden="false" customHeight="true" outlineLevel="0" collapsed="false">
      <c r="A2138" s="4" t="s">
        <v>3418</v>
      </c>
      <c r="B2138" s="5" t="s">
        <v>3418</v>
      </c>
      <c r="C2138" s="1" t="str">
        <f aca="false">IF(B2138="NEW ROUTE",1,"")</f>
        <v/>
      </c>
      <c r="E2138" s="5" t="s">
        <v>3418</v>
      </c>
      <c r="F2138" s="6" t="e">
        <f aca="false">VLOOKUP(E2138,$K$2:$L$426,2,FALSE())</f>
        <v>#N/A</v>
      </c>
      <c r="G2138" s="1" t="str">
        <f aca="false">IF(ISNA(F2138),"",F2138)</f>
        <v/>
      </c>
      <c r="H2138" s="5" t="str">
        <f aca="false">IF(G2138&lt;&gt;"",G2138,E2138)</f>
        <v>18, 20, SPEAROW</v>
      </c>
    </row>
    <row r="2139" customFormat="false" ht="12.75" hidden="false" customHeight="true" outlineLevel="0" collapsed="false">
      <c r="A2139" s="4" t="s">
        <v>3419</v>
      </c>
      <c r="B2139" s="5" t="s">
        <v>3419</v>
      </c>
      <c r="C2139" s="1" t="str">
        <f aca="false">IF(B2139="NEW ROUTE",1,"")</f>
        <v/>
      </c>
      <c r="E2139" s="5" t="s">
        <v>3419</v>
      </c>
      <c r="F2139" s="6" t="e">
        <f aca="false">VLOOKUP(E2139,$K$2:$L$426,2,FALSE())</f>
        <v>#N/A</v>
      </c>
      <c r="G2139" s="1" t="str">
        <f aca="false">IF(ISNA(F2139),"",F2139)</f>
        <v/>
      </c>
      <c r="H2139" s="5" t="str">
        <f aca="false">IF(G2139&lt;&gt;"",G2139,E2139)</f>
        <v>18, 20, CUBONE</v>
      </c>
    </row>
    <row r="2140" customFormat="false" ht="12.75" hidden="false" customHeight="true" outlineLevel="0" collapsed="false">
      <c r="A2140" s="4" t="s">
        <v>3420</v>
      </c>
      <c r="B2140" s="5" t="s">
        <v>3420</v>
      </c>
      <c r="C2140" s="1" t="str">
        <f aca="false">IF(B2140="NEW ROUTE",1,"")</f>
        <v/>
      </c>
      <c r="E2140" s="5" t="s">
        <v>3420</v>
      </c>
      <c r="F2140" s="6" t="e">
        <f aca="false">VLOOKUP(E2140,$K$2:$L$426,2,FALSE())</f>
        <v>#N/A</v>
      </c>
      <c r="G2140" s="1" t="str">
        <f aca="false">IF(ISNA(F2140),"",F2140)</f>
        <v/>
      </c>
      <c r="H2140" s="5" t="str">
        <f aca="false">IF(G2140&lt;&gt;"",G2140,E2140)</f>
        <v>18, 20, MAGNEMITE</v>
      </c>
    </row>
    <row r="2141" customFormat="false" ht="12.75" hidden="false" customHeight="true" outlineLevel="0" collapsed="false">
      <c r="A2141" s="4" t="s">
        <v>3421</v>
      </c>
      <c r="B2141" s="5" t="s">
        <v>3421</v>
      </c>
      <c r="C2141" s="1" t="str">
        <f aca="false">IF(B2141="NEW ROUTE",1,"")</f>
        <v/>
      </c>
      <c r="E2141" s="5" t="s">
        <v>3421</v>
      </c>
      <c r="F2141" s="6" t="e">
        <f aca="false">VLOOKUP(E2141,$K$2:$L$426,2,FALSE())</f>
        <v>#N/A</v>
      </c>
      <c r="G2141" s="1" t="str">
        <f aca="false">IF(ISNA(F2141),"",F2141)</f>
        <v/>
      </c>
      <c r="H2141" s="5" t="str">
        <f aca="false">IF(G2141&lt;&gt;"",G2141,E2141)</f>
        <v>18, 20, POLIWAG</v>
      </c>
    </row>
    <row r="2142" customFormat="false" ht="12.75" hidden="false" customHeight="true" outlineLevel="0" collapsed="false">
      <c r="A2142" s="4" t="s">
        <v>2806</v>
      </c>
      <c r="B2142" s="5" t="n">
        <v>0.05</v>
      </c>
      <c r="C2142" s="1" t="str">
        <f aca="false">IF(B2142="NEW ROUTE",1,"")</f>
        <v/>
      </c>
      <c r="E2142" s="5" t="n">
        <v>0.05</v>
      </c>
      <c r="F2142" s="6" t="e">
        <f aca="false">VLOOKUP(E2142,$K$2:$L$426,2,FALSE())</f>
        <v>#N/A</v>
      </c>
      <c r="G2142" s="1" t="str">
        <f aca="false">IF(ISNA(F2142),"",F2142)</f>
        <v/>
      </c>
      <c r="H2142" s="5" t="n">
        <f aca="false">IF(G2142&lt;&gt;"",G2142,E2142)</f>
        <v>0.05</v>
      </c>
    </row>
    <row r="2143" customFormat="false" ht="12.75" hidden="false" customHeight="true" outlineLevel="0" collapsed="false">
      <c r="A2143" s="4" t="s">
        <v>3422</v>
      </c>
      <c r="B2143" s="5" t="s">
        <v>3422</v>
      </c>
      <c r="C2143" s="1" t="str">
        <f aca="false">IF(B2143="NEW ROUTE",1,"")</f>
        <v/>
      </c>
      <c r="E2143" s="5" t="s">
        <v>3422</v>
      </c>
      <c r="F2143" s="6" t="e">
        <f aca="false">VLOOKUP(E2143,$K$2:$L$426,2,FALSE())</f>
        <v>#N/A</v>
      </c>
      <c r="G2143" s="1" t="str">
        <f aca="false">IF(ISNA(F2143),"",F2143)</f>
        <v/>
      </c>
      <c r="H2143" s="5" t="str">
        <f aca="false">IF(G2143&lt;&gt;"",G2143,E2143)</f>
        <v>19, 19, DODUO</v>
      </c>
    </row>
    <row r="2144" customFormat="false" ht="12.75" hidden="false" customHeight="true" outlineLevel="0" collapsed="false">
      <c r="A2144" s="4" t="s">
        <v>3423</v>
      </c>
      <c r="B2144" s="5" t="s">
        <v>3423</v>
      </c>
      <c r="C2144" s="1" t="str">
        <f aca="false">IF(B2144="NEW ROUTE",1,"")</f>
        <v/>
      </c>
      <c r="E2144" s="5" t="s">
        <v>3423</v>
      </c>
      <c r="F2144" s="6" t="e">
        <f aca="false">VLOOKUP(E2144,$K$2:$L$426,2,FALSE())</f>
        <v>#N/A</v>
      </c>
      <c r="G2144" s="1" t="str">
        <f aca="false">IF(ISNA(F2144),"",F2144)</f>
        <v/>
      </c>
      <c r="H2144" s="5" t="str">
        <f aca="false">IF(G2144&lt;&gt;"",G2144,E2144)</f>
        <v>19, 19, VOLTORB</v>
      </c>
    </row>
    <row r="2145" customFormat="false" ht="12.75" hidden="false" customHeight="true" outlineLevel="0" collapsed="false">
      <c r="A2145" s="4" t="s">
        <v>2809</v>
      </c>
      <c r="B2145" s="5" t="n">
        <v>0.04</v>
      </c>
      <c r="C2145" s="1" t="str">
        <f aca="false">IF(B2145="NEW ROUTE",1,"")</f>
        <v/>
      </c>
      <c r="E2145" s="5" t="n">
        <v>0.04</v>
      </c>
      <c r="F2145" s="6" t="e">
        <f aca="false">VLOOKUP(E2145,$K$2:$L$426,2,FALSE())</f>
        <v>#N/A</v>
      </c>
      <c r="G2145" s="1" t="str">
        <f aca="false">IF(ISNA(F2145),"",F2145)</f>
        <v/>
      </c>
      <c r="H2145" s="5" t="n">
        <f aca="false">IF(G2145&lt;&gt;"",G2145,E2145)</f>
        <v>0.04</v>
      </c>
    </row>
    <row r="2146" customFormat="false" ht="12.75" hidden="false" customHeight="true" outlineLevel="0" collapsed="false">
      <c r="A2146" s="4" t="s">
        <v>3424</v>
      </c>
      <c r="B2146" s="5" t="s">
        <v>3424</v>
      </c>
      <c r="C2146" s="1" t="str">
        <f aca="false">IF(B2146="NEW ROUTE",1,"")</f>
        <v/>
      </c>
      <c r="E2146" s="5" t="s">
        <v>3424</v>
      </c>
      <c r="F2146" s="6" t="e">
        <f aca="false">VLOOKUP(E2146,$K$2:$L$426,2,FALSE())</f>
        <v>#N/A</v>
      </c>
      <c r="G2146" s="1" t="str">
        <f aca="false">IF(ISNA(F2146),"",F2146)</f>
        <v/>
      </c>
      <c r="H2146" s="5" t="str">
        <f aca="false">IF(G2146&lt;&gt;"",G2146,E2146)</f>
        <v>20, 25, FEAROW</v>
      </c>
    </row>
    <row r="2147" customFormat="false" ht="12.75" hidden="false" customHeight="true" outlineLevel="0" collapsed="false">
      <c r="A2147" s="4" t="s">
        <v>3425</v>
      </c>
      <c r="B2147" s="5" t="s">
        <v>3425</v>
      </c>
      <c r="C2147" s="1" t="str">
        <f aca="false">IF(B2147="NEW ROUTE",1,"")</f>
        <v/>
      </c>
      <c r="E2147" s="5" t="s">
        <v>3425</v>
      </c>
      <c r="F2147" s="6" t="e">
        <f aca="false">VLOOKUP(E2147,$K$2:$L$426,2,FALSE())</f>
        <v>#N/A</v>
      </c>
      <c r="G2147" s="1" t="str">
        <f aca="false">IF(ISNA(F2147),"",F2147)</f>
        <v/>
      </c>
      <c r="H2147" s="5" t="str">
        <f aca="false">IF(G2147&lt;&gt;"",G2147,E2147)</f>
        <v>22, 22, POLIWHIRL</v>
      </c>
    </row>
    <row r="2148" customFormat="false" ht="12.75" hidden="false" customHeight="true" outlineLevel="0" collapsed="false">
      <c r="A2148" s="4" t="s">
        <v>2812</v>
      </c>
      <c r="B2148" s="5" t="n">
        <v>0.01</v>
      </c>
      <c r="C2148" s="1" t="str">
        <f aca="false">IF(B2148="NEW ROUTE",1,"")</f>
        <v/>
      </c>
      <c r="E2148" s="5" t="n">
        <v>0.01</v>
      </c>
      <c r="F2148" s="6" t="e">
        <f aca="false">VLOOKUP(E2148,$K$2:$L$426,2,FALSE())</f>
        <v>#N/A</v>
      </c>
      <c r="G2148" s="1" t="str">
        <f aca="false">IF(ISNA(F2148),"",F2148)</f>
        <v/>
      </c>
      <c r="H2148" s="5" t="n">
        <f aca="false">IF(G2148&lt;&gt;"",G2148,E2148)</f>
        <v>0.01</v>
      </c>
    </row>
    <row r="2149" customFormat="false" ht="12.75" hidden="false" customHeight="true" outlineLevel="0" collapsed="false">
      <c r="A2149" s="4" t="s">
        <v>3426</v>
      </c>
      <c r="B2149" s="5" t="s">
        <v>3426</v>
      </c>
      <c r="C2149" s="1" t="str">
        <f aca="false">IF(B2149="NEW ROUTE",1,"")</f>
        <v/>
      </c>
      <c r="E2149" s="5" t="s">
        <v>3426</v>
      </c>
      <c r="F2149" s="6" t="e">
        <f aca="false">VLOOKUP(E2149,$K$2:$L$426,2,FALSE())</f>
        <v>#N/A</v>
      </c>
      <c r="G2149" s="1" t="str">
        <f aca="false">IF(ISNA(F2149),"",F2149)</f>
        <v/>
      </c>
      <c r="H2149" s="5" t="str">
        <f aca="false">IF(G2149&lt;&gt;"",G2149,E2149)</f>
        <v>19, 21, TANGELA</v>
      </c>
    </row>
    <row r="2150" customFormat="false" ht="12.75" hidden="false" customHeight="true" outlineLevel="0" collapsed="false">
      <c r="A2150" s="4" t="s">
        <v>3427</v>
      </c>
      <c r="B2150" s="5" t="s">
        <v>3427</v>
      </c>
      <c r="C2150" s="1" t="str">
        <f aca="false">IF(B2150="NEW ROUTE",1,"")</f>
        <v/>
      </c>
      <c r="E2150" s="5" t="s">
        <v>3427</v>
      </c>
      <c r="F2150" s="6" t="e">
        <f aca="false">VLOOKUP(E2150,$K$2:$L$426,2,FALSE())</f>
        <v>#N/A</v>
      </c>
      <c r="G2150" s="1" t="str">
        <f aca="false">IF(ISNA(F2150),"",F2150)</f>
        <v/>
      </c>
      <c r="H2150" s="5" t="str">
        <f aca="false">IF(G2150&lt;&gt;"",G2150,E2150)</f>
        <v>19, 21, PONYTA</v>
      </c>
    </row>
    <row r="2151" customFormat="false" ht="12.75" hidden="false" customHeight="true" outlineLevel="0" collapsed="false">
      <c r="A2151" s="4" t="s">
        <v>3349</v>
      </c>
      <c r="B2151" s="5" t="s">
        <v>3349</v>
      </c>
      <c r="C2151" s="1" t="str">
        <f aca="false">IF(B2151="NEW ROUTE",1,"")</f>
        <v/>
      </c>
      <c r="E2151" s="5" t="s">
        <v>3349</v>
      </c>
      <c r="F2151" s="6" t="e">
        <f aca="false">VLOOKUP(E2151,$K$2:$L$426,2,FALSE())</f>
        <v>#N/A</v>
      </c>
      <c r="G2151" s="1" t="str">
        <f aca="false">IF(ISNA(F2151),"",F2151)</f>
        <v/>
      </c>
      <c r="H2151" s="5" t="str">
        <f aca="false">IF(G2151&lt;&gt;"",G2151,E2151)</f>
        <v>2, 38, 42, TENTACOOL</v>
      </c>
    </row>
    <row r="2152" customFormat="false" ht="12.75" hidden="false" customHeight="true" outlineLevel="0" collapsed="false">
      <c r="A2152" s="4" t="s">
        <v>3428</v>
      </c>
      <c r="B2152" s="5" t="s">
        <v>3428</v>
      </c>
      <c r="C2152" s="1" t="str">
        <f aca="false">IF(B2152="NEW ROUTE",1,"")</f>
        <v/>
      </c>
      <c r="E2152" s="5" t="s">
        <v>3428</v>
      </c>
      <c r="F2152" s="6" t="e">
        <f aca="false">VLOOKUP(E2152,$K$2:$L$426,2,FALSE())</f>
        <v>#N/A</v>
      </c>
      <c r="G2152" s="1" t="str">
        <f aca="false">IF(ISNA(F2152),"",F2152)</f>
        <v/>
      </c>
      <c r="H2152" s="5" t="str">
        <f aca="false">IF(G2152&lt;&gt;"",G2152,E2152)</f>
        <v>40, 44, TENTACRUEL</v>
      </c>
    </row>
    <row r="2153" customFormat="false" ht="12.75" hidden="false" customHeight="true" outlineLevel="0" collapsed="false">
      <c r="A2153" s="4" t="s">
        <v>3024</v>
      </c>
      <c r="B2153" s="5" t="s">
        <v>3024</v>
      </c>
      <c r="C2153" s="1" t="str">
        <f aca="false">IF(B2153="NEW ROUTE",1,"")</f>
        <v/>
      </c>
      <c r="E2153" s="5" t="s">
        <v>3024</v>
      </c>
      <c r="F2153" s="6" t="e">
        <f aca="false">VLOOKUP(E2153,$K$2:$L$426,2,FALSE())</f>
        <v>#N/A</v>
      </c>
      <c r="G2153" s="1" t="str">
        <f aca="false">IF(ISNA(F2153),"",F2153)</f>
        <v/>
      </c>
      <c r="H2153" s="5" t="str">
        <f aca="false">IF(G2153&lt;&gt;"",G2153,E2153)</f>
        <v>42, 46, LAPRAS</v>
      </c>
    </row>
    <row r="2154" customFormat="false" ht="12.75" hidden="false" customHeight="true" outlineLevel="0" collapsed="false">
      <c r="A2154" s="4" t="s">
        <v>3429</v>
      </c>
      <c r="B2154" s="5" t="s">
        <v>3429</v>
      </c>
      <c r="C2154" s="1" t="str">
        <f aca="false">IF(B2154="NEW ROUTE",1,"")</f>
        <v/>
      </c>
      <c r="E2154" s="5" t="s">
        <v>3429</v>
      </c>
      <c r="F2154" s="6" t="e">
        <f aca="false">VLOOKUP(E2154,$K$2:$L$426,2,FALSE())</f>
        <v>#N/A</v>
      </c>
      <c r="G2154" s="1" t="str">
        <f aca="false">IF(ISNA(F2154),"",F2154)</f>
        <v/>
      </c>
      <c r="H2154" s="5" t="str">
        <f aca="false">IF(G2154&lt;&gt;"",G2154,E2154)</f>
        <v>42, 46, TENTACATE</v>
      </c>
    </row>
    <row r="2155" customFormat="false" ht="12.75" hidden="false" customHeight="true" outlineLevel="0" collapsed="false">
      <c r="A2155" s="4" t="s">
        <v>2924</v>
      </c>
      <c r="B2155" s="5" t="s">
        <v>2924</v>
      </c>
      <c r="C2155" s="1" t="str">
        <f aca="false">IF(B2155="NEW ROUTE",1,"")</f>
        <v/>
      </c>
      <c r="E2155" s="5" t="s">
        <v>2924</v>
      </c>
      <c r="F2155" s="6" t="e">
        <f aca="false">VLOOKUP(E2155,$K$2:$L$426,2,FALSE())</f>
        <v>#N/A</v>
      </c>
      <c r="G2155" s="1" t="str">
        <f aca="false">IF(ISNA(F2155),"",F2155)</f>
        <v/>
      </c>
      <c r="H2155" s="5" t="str">
        <f aca="false">IF(G2155&lt;&gt;"",G2155,E2155)</f>
        <v>44, 48, VAPOREON</v>
      </c>
    </row>
    <row r="2156" customFormat="false" ht="12.75" hidden="false" customHeight="true" outlineLevel="0" collapsed="false">
      <c r="A2156" s="4" t="s">
        <v>2925</v>
      </c>
      <c r="B2156" s="5" t="s">
        <v>2925</v>
      </c>
      <c r="C2156" s="1" t="str">
        <f aca="false">IF(B2156="NEW ROUTE",1,"")</f>
        <v/>
      </c>
      <c r="E2156" s="5" t="s">
        <v>2925</v>
      </c>
      <c r="F2156" s="6" t="e">
        <f aca="false">VLOOKUP(E2156,$K$2:$L$426,2,FALSE())</f>
        <v>#N/A</v>
      </c>
      <c r="G2156" s="1" t="str">
        <f aca="false">IF(ISNA(F2156),"",F2156)</f>
        <v/>
      </c>
      <c r="H2156" s="5" t="str">
        <f aca="false">IF(G2156&lt;&gt;"",G2156,E2156)</f>
        <v>20, old rod:</v>
      </c>
    </row>
    <row r="2157" customFormat="false" ht="12.75" hidden="false" customHeight="true" outlineLevel="0" collapsed="false">
      <c r="A2157" s="4" t="s">
        <v>1451</v>
      </c>
      <c r="B2157" s="5" t="s">
        <v>1451</v>
      </c>
      <c r="C2157" s="1" t="str">
        <f aca="false">IF(B2157="NEW ROUTE",1,"")</f>
        <v/>
      </c>
      <c r="E2157" s="5" t="s">
        <v>1451</v>
      </c>
      <c r="F2157" s="6" t="e">
        <f aca="false">VLOOKUP(E2157,$K$2:$L$426,2,FALSE())</f>
        <v>#N/A</v>
      </c>
      <c r="G2157" s="1" t="str">
        <f aca="false">IF(ISNA(F2157),"",F2157)</f>
        <v/>
      </c>
      <c r="H2157" s="5" t="str">
        <f aca="false">IF(G2157&lt;&gt;"",G2157,E2157)</f>
        <v>19, 26, HORSEA</v>
      </c>
    </row>
    <row r="2158" customFormat="false" ht="12.75" hidden="false" customHeight="true" outlineLevel="0" collapsed="false">
      <c r="A2158" s="4" t="s">
        <v>2008</v>
      </c>
      <c r="B2158" s="5" t="s">
        <v>2008</v>
      </c>
      <c r="C2158" s="1" t="str">
        <f aca="false">IF(B2158="NEW ROUTE",1,"")</f>
        <v/>
      </c>
      <c r="E2158" s="5" t="s">
        <v>2008</v>
      </c>
      <c r="F2158" s="6" t="e">
        <f aca="false">VLOOKUP(E2158,$K$2:$L$426,2,FALSE())</f>
        <v>#N/A</v>
      </c>
      <c r="G2158" s="1" t="str">
        <f aca="false">IF(ISNA(F2158),"",F2158)</f>
        <v/>
      </c>
      <c r="H2158" s="5" t="str">
        <f aca="false">IF(G2158&lt;&gt;"",G2158,E2158)</f>
        <v>19, 26, PSYDUCK</v>
      </c>
    </row>
    <row r="2159" customFormat="false" ht="12.75" hidden="false" customHeight="true" outlineLevel="0" collapsed="false">
      <c r="A2159" s="4" t="s">
        <v>2846</v>
      </c>
      <c r="B2159" s="5" t="s">
        <v>2846</v>
      </c>
      <c r="C2159" s="1" t="str">
        <f aca="false">IF(B2159="NEW ROUTE",1,"")</f>
        <v/>
      </c>
      <c r="E2159" s="5" t="s">
        <v>2846</v>
      </c>
      <c r="F2159" s="6" t="e">
        <f aca="false">VLOOKUP(E2159,$K$2:$L$426,2,FALSE())</f>
        <v>#N/A</v>
      </c>
      <c r="G2159" s="1" t="str">
        <f aca="false">IF(ISNA(F2159),"",F2159)</f>
        <v/>
      </c>
      <c r="H2159" s="5" t="str">
        <f aca="false">IF(G2159&lt;&gt;"",G2159,E2159)</f>
        <v>good rod:</v>
      </c>
    </row>
    <row r="2160" customFormat="false" ht="12.75" hidden="false" customHeight="true" outlineLevel="0" collapsed="false">
      <c r="A2160" s="4" t="s">
        <v>3430</v>
      </c>
      <c r="B2160" s="5" t="s">
        <v>3430</v>
      </c>
      <c r="C2160" s="1" t="str">
        <f aca="false">IF(B2160="NEW ROUTE",1,"")</f>
        <v/>
      </c>
      <c r="E2160" s="5" t="s">
        <v>3430</v>
      </c>
      <c r="F2160" s="6" t="e">
        <f aca="false">VLOOKUP(E2160,$K$2:$L$426,2,FALSE())</f>
        <v>#N/A</v>
      </c>
      <c r="G2160" s="1" t="str">
        <f aca="false">IF(ISNA(F2160),"",F2160)</f>
        <v/>
      </c>
      <c r="H2160" s="5" t="str">
        <f aca="false">IF(G2160&lt;&gt;"",G2160,E2160)</f>
        <v>29, 33, HORSEA</v>
      </c>
    </row>
    <row r="2161" customFormat="false" ht="12.75" hidden="false" customHeight="true" outlineLevel="0" collapsed="false">
      <c r="A2161" s="4" t="s">
        <v>3431</v>
      </c>
      <c r="B2161" s="5" t="s">
        <v>3431</v>
      </c>
      <c r="C2161" s="1" t="str">
        <f aca="false">IF(B2161="NEW ROUTE",1,"")</f>
        <v/>
      </c>
      <c r="E2161" s="5" t="s">
        <v>3431</v>
      </c>
      <c r="F2161" s="6" t="e">
        <f aca="false">VLOOKUP(E2161,$K$2:$L$426,2,FALSE())</f>
        <v>#N/A</v>
      </c>
      <c r="G2161" s="1" t="str">
        <f aca="false">IF(ISNA(F2161),"",F2161)</f>
        <v/>
      </c>
      <c r="H2161" s="5" t="str">
        <f aca="false">IF(G2161&lt;&gt;"",G2161,E2161)</f>
        <v>30, 35, SLOWPOKE</v>
      </c>
    </row>
    <row r="2162" customFormat="false" ht="12.75" hidden="false" customHeight="true" outlineLevel="0" collapsed="false">
      <c r="A2162" s="4" t="s">
        <v>3354</v>
      </c>
      <c r="B2162" s="5" t="s">
        <v>3354</v>
      </c>
      <c r="C2162" s="1" t="str">
        <f aca="false">IF(B2162="NEW ROUTE",1,"")</f>
        <v/>
      </c>
      <c r="E2162" s="5" t="s">
        <v>3354</v>
      </c>
      <c r="F2162" s="6" t="e">
        <f aca="false">VLOOKUP(E2162,$K$2:$L$426,2,FALSE())</f>
        <v>#N/A</v>
      </c>
      <c r="G2162" s="1" t="str">
        <f aca="false">IF(ISNA(F2162),"",F2162)</f>
        <v/>
      </c>
      <c r="H2162" s="5" t="str">
        <f aca="false">IF(G2162&lt;&gt;"",G2162,E2162)</f>
        <v>30, 35, PSYDUCK</v>
      </c>
    </row>
    <row r="2163" customFormat="false" ht="12.75" hidden="false" customHeight="true" outlineLevel="0" collapsed="false">
      <c r="A2163" s="4" t="s">
        <v>2850</v>
      </c>
      <c r="B2163" s="5" t="s">
        <v>2850</v>
      </c>
      <c r="C2163" s="1" t="str">
        <f aca="false">IF(B2163="NEW ROUTE",1,"")</f>
        <v/>
      </c>
      <c r="E2163" s="5" t="s">
        <v>2850</v>
      </c>
      <c r="F2163" s="6" t="e">
        <f aca="false">VLOOKUP(E2163,$K$2:$L$426,2,FALSE())</f>
        <v>#N/A</v>
      </c>
      <c r="G2163" s="1" t="str">
        <f aca="false">IF(ISNA(F2163),"",F2163)</f>
        <v/>
      </c>
      <c r="H2163" s="5" t="str">
        <f aca="false">IF(G2163&lt;&gt;"",G2163,E2163)</f>
        <v>super rod:</v>
      </c>
    </row>
    <row r="2164" customFormat="false" ht="12.75" hidden="false" customHeight="true" outlineLevel="0" collapsed="false">
      <c r="A2164" s="4" t="s">
        <v>3432</v>
      </c>
      <c r="B2164" s="5" t="s">
        <v>3432</v>
      </c>
      <c r="C2164" s="1" t="str">
        <f aca="false">IF(B2164="NEW ROUTE",1,"")</f>
        <v/>
      </c>
      <c r="E2164" s="5" t="s">
        <v>3432</v>
      </c>
      <c r="F2164" s="6" t="e">
        <f aca="false">VLOOKUP(E2164,$K$2:$L$426,2,FALSE())</f>
        <v>#N/A</v>
      </c>
      <c r="G2164" s="1" t="str">
        <f aca="false">IF(ISNA(F2164),"",F2164)</f>
        <v/>
      </c>
      <c r="H2164" s="5" t="str">
        <f aca="false">IF(G2164&lt;&gt;"",G2164,E2164)</f>
        <v>36, 40, SEADRA</v>
      </c>
    </row>
    <row r="2165" customFormat="false" ht="12.75" hidden="false" customHeight="true" outlineLevel="0" collapsed="false">
      <c r="A2165" s="4" t="s">
        <v>3433</v>
      </c>
      <c r="B2165" s="5" t="s">
        <v>3433</v>
      </c>
      <c r="C2165" s="1" t="str">
        <f aca="false">IF(B2165="NEW ROUTE",1,"")</f>
        <v/>
      </c>
      <c r="E2165" s="5" t="s">
        <v>3433</v>
      </c>
      <c r="F2165" s="6" t="e">
        <f aca="false">VLOOKUP(E2165,$K$2:$L$426,2,FALSE())</f>
        <v>#N/A</v>
      </c>
      <c r="G2165" s="1" t="str">
        <f aca="false">IF(ISNA(F2165),"",F2165)</f>
        <v/>
      </c>
      <c r="H2165" s="5" t="str">
        <f aca="false">IF(G2165&lt;&gt;"",G2165,E2165)</f>
        <v>36, 40, GOLDUCK</v>
      </c>
    </row>
    <row r="2166" customFormat="false" ht="12.75" hidden="false" customHeight="true" outlineLevel="0" collapsed="false">
      <c r="A2166" s="4" t="s">
        <v>3434</v>
      </c>
      <c r="B2166" s="5" t="s">
        <v>3434</v>
      </c>
      <c r="C2166" s="1" t="str">
        <f aca="false">IF(B2166="NEW ROUTE",1,"")</f>
        <v/>
      </c>
      <c r="E2166" s="5" t="s">
        <v>3434</v>
      </c>
      <c r="F2166" s="6" t="e">
        <f aca="false">VLOOKUP(E2166,$K$2:$L$426,2,FALSE())</f>
        <v>#N/A</v>
      </c>
      <c r="G2166" s="1" t="str">
        <f aca="false">IF(ISNA(F2166),"",F2166)</f>
        <v/>
      </c>
      <c r="H2166" s="5" t="str">
        <f aca="false">IF(G2166&lt;&gt;"",G2166,E2166)</f>
        <v>38, 42, SLOWBRO</v>
      </c>
    </row>
    <row r="2167" customFormat="false" ht="12.75" hidden="false" customHeight="true" outlineLevel="0" collapsed="false">
      <c r="A2167" s="4" t="s">
        <v>3435</v>
      </c>
      <c r="B2167" s="5" t="s">
        <v>3435</v>
      </c>
      <c r="C2167" s="1" t="str">
        <f aca="false">IF(B2167="NEW ROUTE",1,"")</f>
        <v/>
      </c>
      <c r="E2167" s="5" t="s">
        <v>3435</v>
      </c>
      <c r="F2167" s="6" t="e">
        <f aca="false">VLOOKUP(E2167,$K$2:$L$426,2,FALSE())</f>
        <v>#N/A</v>
      </c>
      <c r="G2167" s="1" t="str">
        <f aca="false">IF(ISNA(F2167),"",F2167)</f>
        <v/>
      </c>
      <c r="H2167" s="5" t="str">
        <f aca="false">IF(G2167&lt;&gt;"",G2167,E2167)</f>
        <v>38, 42, KINGDRA</v>
      </c>
    </row>
    <row r="2168" customFormat="false" ht="12.75" hidden="false" customHeight="true" outlineLevel="0" collapsed="false">
      <c r="A2168" s="4" t="s">
        <v>3436</v>
      </c>
      <c r="B2168" s="5" t="s">
        <v>3436</v>
      </c>
      <c r="C2168" s="1" t="str">
        <f aca="false">IF(B2168="NEW ROUTE",1,"")</f>
        <v/>
      </c>
      <c r="E2168" s="5" t="s">
        <v>3436</v>
      </c>
      <c r="F2168" s="6" t="e">
        <f aca="false">VLOOKUP(E2168,$K$2:$L$426,2,FALSE())</f>
        <v>#N/A</v>
      </c>
      <c r="G2168" s="1" t="str">
        <f aca="false">IF(ISNA(F2168),"",F2168)</f>
        <v/>
      </c>
      <c r="H2168" s="5" t="str">
        <f aca="false">IF(G2168&lt;&gt;"",G2168,E2168)</f>
        <v>40, 44, GILDUCK</v>
      </c>
    </row>
    <row r="2169" customFormat="false" ht="12.75" hidden="false" customHeight="true" outlineLevel="0" collapsed="false">
      <c r="A2169" s="4" t="s">
        <v>2536</v>
      </c>
      <c r="B2169" s="5" t="s">
        <v>2536</v>
      </c>
      <c r="C2169" s="1" t="n">
        <f aca="false">IF(B2169="NEW ROUTE",1,"")</f>
        <v>1</v>
      </c>
      <c r="E2169" s="5" t="s">
        <v>2536</v>
      </c>
      <c r="F2169" s="6" t="e">
        <f aca="false">VLOOKUP(E2169,$K$2:$L$426,2,FALSE())</f>
        <v>#N/A</v>
      </c>
      <c r="G2169" s="1" t="str">
        <f aca="false">IF(ISNA(F2169),"",F2169)</f>
        <v/>
      </c>
      <c r="H2169" s="5" t="str">
        <f aca="false">IF(G2169&lt;&gt;"",G2169,E2169)</f>
        <v>NEW ROUTE</v>
      </c>
    </row>
    <row r="2170" customFormat="false" ht="12.75" hidden="false" customHeight="true" outlineLevel="0" collapsed="false">
      <c r="A2170" s="4" t="s">
        <v>436</v>
      </c>
      <c r="B2170" s="5" t="s">
        <v>436</v>
      </c>
      <c r="C2170" s="1" t="str">
        <f aca="false">IF(B2170="NEW ROUTE",1,"")</f>
        <v/>
      </c>
      <c r="E2170" s="5" t="s">
        <v>436</v>
      </c>
      <c r="F2170" s="6" t="str">
        <f aca="false">VLOOKUP(E2170,$K$2:$L$426,2,FALSE())</f>
        <v>Route 11</v>
      </c>
      <c r="G2170" s="1" t="str">
        <f aca="false">IF(ISNA(F2170),"",F2170)</f>
        <v>Route 11</v>
      </c>
      <c r="H2170" s="5" t="str">
        <f aca="false">IF(G2170&lt;&gt;"",G2170,E2170)</f>
        <v>Route 11</v>
      </c>
    </row>
    <row r="2171" customFormat="false" ht="12.75" hidden="false" customHeight="true" outlineLevel="0" collapsed="false">
      <c r="A2171" s="4" t="s">
        <v>2799</v>
      </c>
      <c r="B2171" s="5" t="n">
        <v>0.2</v>
      </c>
      <c r="C2171" s="1" t="str">
        <f aca="false">IF(B2171="NEW ROUTE",1,"")</f>
        <v/>
      </c>
      <c r="E2171" s="5" t="n">
        <v>0.2</v>
      </c>
      <c r="F2171" s="6" t="e">
        <f aca="false">VLOOKUP(E2171,$K$2:$L$426,2,FALSE())</f>
        <v>#N/A</v>
      </c>
      <c r="G2171" s="1" t="str">
        <f aca="false">IF(ISNA(F2171),"",F2171)</f>
        <v/>
      </c>
      <c r="H2171" s="5" t="n">
        <f aca="false">IF(G2171&lt;&gt;"",G2171,E2171)</f>
        <v>0.2</v>
      </c>
    </row>
    <row r="2172" customFormat="false" ht="12.75" hidden="false" customHeight="true" outlineLevel="0" collapsed="false">
      <c r="A2172" s="4" t="s">
        <v>1911</v>
      </c>
      <c r="B2172" s="5" t="s">
        <v>1911</v>
      </c>
      <c r="C2172" s="1" t="str">
        <f aca="false">IF(B2172="NEW ROUTE",1,"")</f>
        <v/>
      </c>
      <c r="E2172" s="5" t="s">
        <v>1911</v>
      </c>
      <c r="F2172" s="6" t="e">
        <f aca="false">VLOOKUP(E2172,$K$2:$L$426,2,FALSE())</f>
        <v>#N/A</v>
      </c>
      <c r="G2172" s="1" t="str">
        <f aca="false">IF(ISNA(F2172),"",F2172)</f>
        <v/>
      </c>
      <c r="H2172" s="5" t="str">
        <f aca="false">IF(G2172&lt;&gt;"",G2172,E2172)</f>
        <v>16, 18, EKANS</v>
      </c>
    </row>
    <row r="2173" customFormat="false" ht="12.75" hidden="false" customHeight="true" outlineLevel="0" collapsed="false">
      <c r="A2173" s="4" t="s">
        <v>3438</v>
      </c>
      <c r="B2173" s="5" t="s">
        <v>3438</v>
      </c>
      <c r="C2173" s="1" t="str">
        <f aca="false">IF(B2173="NEW ROUTE",1,"")</f>
        <v/>
      </c>
      <c r="E2173" s="5" t="s">
        <v>3438</v>
      </c>
      <c r="F2173" s="6" t="e">
        <f aca="false">VLOOKUP(E2173,$K$2:$L$426,2,FALSE())</f>
        <v>#N/A</v>
      </c>
      <c r="G2173" s="1" t="str">
        <f aca="false">IF(ISNA(F2173),"",F2173)</f>
        <v/>
      </c>
      <c r="H2173" s="5" t="str">
        <f aca="false">IF(G2173&lt;&gt;"",G2173,E2173)</f>
        <v>16, 18, SPEAROW</v>
      </c>
    </row>
    <row r="2174" customFormat="false" ht="12.75" hidden="false" customHeight="true" outlineLevel="0" collapsed="false">
      <c r="A2174" s="4" t="s">
        <v>2801</v>
      </c>
      <c r="B2174" s="5" t="n">
        <v>0.1</v>
      </c>
      <c r="C2174" s="1" t="str">
        <f aca="false">IF(B2174="NEW ROUTE",1,"")</f>
        <v/>
      </c>
      <c r="E2174" s="5" t="n">
        <v>0.1</v>
      </c>
      <c r="F2174" s="6" t="e">
        <f aca="false">VLOOKUP(E2174,$K$2:$L$426,2,FALSE())</f>
        <v>#N/A</v>
      </c>
      <c r="G2174" s="1" t="str">
        <f aca="false">IF(ISNA(F2174),"",F2174)</f>
        <v/>
      </c>
      <c r="H2174" s="5" t="n">
        <f aca="false">IF(G2174&lt;&gt;"",G2174,E2174)</f>
        <v>0.1</v>
      </c>
    </row>
    <row r="2175" customFormat="false" ht="12.75" hidden="false" customHeight="true" outlineLevel="0" collapsed="false">
      <c r="A2175" s="4" t="s">
        <v>3439</v>
      </c>
      <c r="B2175" s="5" t="s">
        <v>3439</v>
      </c>
      <c r="C2175" s="1" t="str">
        <f aca="false">IF(B2175="NEW ROUTE",1,"")</f>
        <v/>
      </c>
      <c r="E2175" s="5" t="s">
        <v>3439</v>
      </c>
      <c r="F2175" s="6" t="e">
        <f aca="false">VLOOKUP(E2175,$K$2:$L$426,2,FALSE())</f>
        <v>#N/A</v>
      </c>
      <c r="G2175" s="1" t="str">
        <f aca="false">IF(ISNA(F2175),"",F2175)</f>
        <v/>
      </c>
      <c r="H2175" s="5" t="str">
        <f aca="false">IF(G2175&lt;&gt;"",G2175,E2175)</f>
        <v>17, 20, SANDSHREW</v>
      </c>
    </row>
    <row r="2176" customFormat="false" ht="12.75" hidden="false" customHeight="true" outlineLevel="0" collapsed="false">
      <c r="A2176" s="4" t="s">
        <v>3440</v>
      </c>
      <c r="B2176" s="5" t="s">
        <v>3440</v>
      </c>
      <c r="C2176" s="1" t="str">
        <f aca="false">IF(B2176="NEW ROUTE",1,"")</f>
        <v/>
      </c>
      <c r="E2176" s="5" t="s">
        <v>3440</v>
      </c>
      <c r="F2176" s="6" t="e">
        <f aca="false">VLOOKUP(E2176,$K$2:$L$426,2,FALSE())</f>
        <v>#N/A</v>
      </c>
      <c r="G2176" s="1" t="str">
        <f aca="false">IF(ISNA(F2176),"",F2176)</f>
        <v/>
      </c>
      <c r="H2176" s="5" t="str">
        <f aca="false">IF(G2176&lt;&gt;"",G2176,E2176)</f>
        <v>17, 20, DROWZEE</v>
      </c>
    </row>
    <row r="2177" customFormat="false" ht="12.75" hidden="false" customHeight="true" outlineLevel="0" collapsed="false">
      <c r="A2177" s="4" t="s">
        <v>3441</v>
      </c>
      <c r="B2177" s="5" t="s">
        <v>3441</v>
      </c>
      <c r="C2177" s="1" t="str">
        <f aca="false">IF(B2177="NEW ROUTE",1,"")</f>
        <v/>
      </c>
      <c r="E2177" s="5" t="s">
        <v>3441</v>
      </c>
      <c r="F2177" s="6" t="e">
        <f aca="false">VLOOKUP(E2177,$K$2:$L$426,2,FALSE())</f>
        <v>#N/A</v>
      </c>
      <c r="G2177" s="1" t="str">
        <f aca="false">IF(ISNA(F2177),"",F2177)</f>
        <v/>
      </c>
      <c r="H2177" s="5" t="str">
        <f aca="false">IF(G2177&lt;&gt;"",G2177,E2177)</f>
        <v>17, 20, MAGNEMITE</v>
      </c>
    </row>
    <row r="2178" customFormat="false" ht="12.75" hidden="false" customHeight="true" outlineLevel="0" collapsed="false">
      <c r="A2178" s="4" t="s">
        <v>3442</v>
      </c>
      <c r="B2178" s="5" t="s">
        <v>3442</v>
      </c>
      <c r="C2178" s="1" t="str">
        <f aca="false">IF(B2178="NEW ROUTE",1,"")</f>
        <v/>
      </c>
      <c r="E2178" s="5" t="s">
        <v>3442</v>
      </c>
      <c r="F2178" s="6" t="e">
        <f aca="false">VLOOKUP(E2178,$K$2:$L$426,2,FALSE())</f>
        <v>#N/A</v>
      </c>
      <c r="G2178" s="1" t="str">
        <f aca="false">IF(ISNA(F2178),"",F2178)</f>
        <v/>
      </c>
      <c r="H2178" s="5" t="str">
        <f aca="false">IF(G2178&lt;&gt;"",G2178,E2178)</f>
        <v>17, 20, VOLTORB</v>
      </c>
    </row>
    <row r="2179" customFormat="false" ht="12.75" hidden="false" customHeight="true" outlineLevel="0" collapsed="false">
      <c r="A2179" s="4" t="s">
        <v>2806</v>
      </c>
      <c r="B2179" s="5" t="n">
        <v>0.05</v>
      </c>
      <c r="C2179" s="1" t="str">
        <f aca="false">IF(B2179="NEW ROUTE",1,"")</f>
        <v/>
      </c>
      <c r="E2179" s="5" t="n">
        <v>0.05</v>
      </c>
      <c r="F2179" s="6" t="e">
        <f aca="false">VLOOKUP(E2179,$K$2:$L$426,2,FALSE())</f>
        <v>#N/A</v>
      </c>
      <c r="G2179" s="1" t="str">
        <f aca="false">IF(ISNA(F2179),"",F2179)</f>
        <v/>
      </c>
      <c r="H2179" s="5" t="n">
        <f aca="false">IF(G2179&lt;&gt;"",G2179,E2179)</f>
        <v>0.05</v>
      </c>
    </row>
    <row r="2180" customFormat="false" ht="12.75" hidden="false" customHeight="true" outlineLevel="0" collapsed="false">
      <c r="A2180" s="4" t="s">
        <v>3443</v>
      </c>
      <c r="B2180" s="5" t="s">
        <v>3443</v>
      </c>
      <c r="C2180" s="1" t="str">
        <f aca="false">IF(B2180="NEW ROUTE",1,"")</f>
        <v/>
      </c>
      <c r="E2180" s="5" t="s">
        <v>3443</v>
      </c>
      <c r="F2180" s="6" t="e">
        <f aca="false">VLOOKUP(E2180,$K$2:$L$426,2,FALSE())</f>
        <v>#N/A</v>
      </c>
      <c r="G2180" s="1" t="str">
        <f aca="false">IF(ISNA(F2180),"",F2180)</f>
        <v/>
      </c>
      <c r="H2180" s="5" t="str">
        <f aca="false">IF(G2180&lt;&gt;"",G2180,E2180)</f>
        <v>18, 18, FARFETCH'D</v>
      </c>
    </row>
    <row r="2181" customFormat="false" ht="12.75" hidden="false" customHeight="true" outlineLevel="0" collapsed="false">
      <c r="A2181" s="4" t="s">
        <v>3444</v>
      </c>
      <c r="B2181" s="5" t="s">
        <v>3444</v>
      </c>
      <c r="C2181" s="1" t="str">
        <f aca="false">IF(B2181="NEW ROUTE",1,"")</f>
        <v/>
      </c>
      <c r="E2181" s="5" t="s">
        <v>3444</v>
      </c>
      <c r="F2181" s="6" t="e">
        <f aca="false">VLOOKUP(E2181,$K$2:$L$426,2,FALSE())</f>
        <v>#N/A</v>
      </c>
      <c r="G2181" s="1" t="str">
        <f aca="false">IF(ISNA(F2181),"",F2181)</f>
        <v/>
      </c>
      <c r="H2181" s="5" t="str">
        <f aca="false">IF(G2181&lt;&gt;"",G2181,E2181)</f>
        <v>18, 18, ABRA</v>
      </c>
    </row>
    <row r="2182" customFormat="false" ht="12.75" hidden="false" customHeight="true" outlineLevel="0" collapsed="false">
      <c r="A2182" s="4" t="s">
        <v>2809</v>
      </c>
      <c r="B2182" s="5" t="n">
        <v>0.04</v>
      </c>
      <c r="C2182" s="1" t="str">
        <f aca="false">IF(B2182="NEW ROUTE",1,"")</f>
        <v/>
      </c>
      <c r="E2182" s="5" t="n">
        <v>0.04</v>
      </c>
      <c r="F2182" s="6" t="e">
        <f aca="false">VLOOKUP(E2182,$K$2:$L$426,2,FALSE())</f>
        <v>#N/A</v>
      </c>
      <c r="G2182" s="1" t="str">
        <f aca="false">IF(ISNA(F2182),"",F2182)</f>
        <v/>
      </c>
      <c r="H2182" s="5" t="n">
        <f aca="false">IF(G2182&lt;&gt;"",G2182,E2182)</f>
        <v>0.04</v>
      </c>
    </row>
    <row r="2183" customFormat="false" ht="12.75" hidden="false" customHeight="true" outlineLevel="0" collapsed="false">
      <c r="A2183" s="4" t="s">
        <v>3445</v>
      </c>
      <c r="B2183" s="5" t="s">
        <v>3445</v>
      </c>
      <c r="C2183" s="1" t="str">
        <f aca="false">IF(B2183="NEW ROUTE",1,"")</f>
        <v/>
      </c>
      <c r="E2183" s="5" t="s">
        <v>3445</v>
      </c>
      <c r="F2183" s="6" t="e">
        <f aca="false">VLOOKUP(E2183,$K$2:$L$426,2,FALSE())</f>
        <v>#N/A</v>
      </c>
      <c r="G2183" s="1" t="str">
        <f aca="false">IF(ISNA(F2183),"",F2183)</f>
        <v/>
      </c>
      <c r="H2183" s="5" t="str">
        <f aca="false">IF(G2183&lt;&gt;"",G2183,E2183)</f>
        <v>15, 19, PIKACHU</v>
      </c>
    </row>
    <row r="2184" customFormat="false" ht="12.75" hidden="false" customHeight="true" outlineLevel="0" collapsed="false">
      <c r="A2184" s="4" t="s">
        <v>3446</v>
      </c>
      <c r="B2184" s="5" t="s">
        <v>3446</v>
      </c>
      <c r="C2184" s="1" t="str">
        <f aca="false">IF(B2184="NEW ROUTE",1,"")</f>
        <v/>
      </c>
      <c r="E2184" s="5" t="s">
        <v>3446</v>
      </c>
      <c r="F2184" s="6" t="e">
        <f aca="false">VLOOKUP(E2184,$K$2:$L$426,2,FALSE())</f>
        <v>#N/A</v>
      </c>
      <c r="G2184" s="1" t="str">
        <f aca="false">IF(ISNA(F2184),"",F2184)</f>
        <v/>
      </c>
      <c r="H2184" s="5" t="str">
        <f aca="false">IF(G2184&lt;&gt;"",G2184,E2184)</f>
        <v>15, 19, KADABRA</v>
      </c>
    </row>
    <row r="2185" customFormat="false" ht="12.75" hidden="false" customHeight="true" outlineLevel="0" collapsed="false">
      <c r="A2185" s="4" t="s">
        <v>2812</v>
      </c>
      <c r="B2185" s="5" t="n">
        <v>0.01</v>
      </c>
      <c r="C2185" s="1" t="str">
        <f aca="false">IF(B2185="NEW ROUTE",1,"")</f>
        <v/>
      </c>
      <c r="E2185" s="5" t="n">
        <v>0.01</v>
      </c>
      <c r="F2185" s="6" t="e">
        <f aca="false">VLOOKUP(E2185,$K$2:$L$426,2,FALSE())</f>
        <v>#N/A</v>
      </c>
      <c r="G2185" s="1" t="str">
        <f aca="false">IF(ISNA(F2185),"",F2185)</f>
        <v/>
      </c>
      <c r="H2185" s="5" t="n">
        <f aca="false">IF(G2185&lt;&gt;"",G2185,E2185)</f>
        <v>0.01</v>
      </c>
    </row>
    <row r="2186" customFormat="false" ht="12.75" hidden="false" customHeight="true" outlineLevel="0" collapsed="false">
      <c r="A2186" s="4" t="s">
        <v>3447</v>
      </c>
      <c r="B2186" s="5" t="s">
        <v>3447</v>
      </c>
      <c r="C2186" s="1" t="str">
        <f aca="false">IF(B2186="NEW ROUTE",1,"")</f>
        <v/>
      </c>
      <c r="E2186" s="5" t="s">
        <v>3447</v>
      </c>
      <c r="F2186" s="6" t="e">
        <f aca="false">VLOOKUP(E2186,$K$2:$L$426,2,FALSE())</f>
        <v>#N/A</v>
      </c>
      <c r="G2186" s="1" t="str">
        <f aca="false">IF(ISNA(F2186),"",F2186)</f>
        <v/>
      </c>
      <c r="H2186" s="5" t="str">
        <f aca="false">IF(G2186&lt;&gt;"",G2186,E2186)</f>
        <v>22, 22, ARBOK</v>
      </c>
    </row>
    <row r="2187" customFormat="false" ht="12.75" hidden="false" customHeight="true" outlineLevel="0" collapsed="false">
      <c r="A2187" s="4" t="s">
        <v>3448</v>
      </c>
      <c r="B2187" s="5" t="s">
        <v>3448</v>
      </c>
      <c r="C2187" s="1" t="str">
        <f aca="false">IF(B2187="NEW ROUTE",1,"")</f>
        <v/>
      </c>
      <c r="E2187" s="5" t="s">
        <v>3448</v>
      </c>
      <c r="F2187" s="6" t="e">
        <f aca="false">VLOOKUP(E2187,$K$2:$L$426,2,FALSE())</f>
        <v>#N/A</v>
      </c>
      <c r="G2187" s="1" t="str">
        <f aca="false">IF(ISNA(F2187),"",F2187)</f>
        <v/>
      </c>
      <c r="H2187" s="5" t="str">
        <f aca="false">IF(G2187&lt;&gt;"",G2187,E2187)</f>
        <v>22, 22, LICKITUNG</v>
      </c>
    </row>
    <row r="2188" customFormat="false" ht="12.75" hidden="false" customHeight="true" outlineLevel="0" collapsed="false">
      <c r="A2188" s="4" t="s">
        <v>3349</v>
      </c>
      <c r="B2188" s="5" t="s">
        <v>3349</v>
      </c>
      <c r="C2188" s="1" t="str">
        <f aca="false">IF(B2188="NEW ROUTE",1,"")</f>
        <v/>
      </c>
      <c r="E2188" s="5" t="s">
        <v>3349</v>
      </c>
      <c r="F2188" s="6" t="e">
        <f aca="false">VLOOKUP(E2188,$K$2:$L$426,2,FALSE())</f>
        <v>#N/A</v>
      </c>
      <c r="G2188" s="1" t="str">
        <f aca="false">IF(ISNA(F2188),"",F2188)</f>
        <v/>
      </c>
      <c r="H2188" s="5" t="str">
        <f aca="false">IF(G2188&lt;&gt;"",G2188,E2188)</f>
        <v>2, 38, 42, TENTACOOL</v>
      </c>
    </row>
    <row r="2189" customFormat="false" ht="12.75" hidden="false" customHeight="true" outlineLevel="0" collapsed="false">
      <c r="A2189" s="4" t="s">
        <v>3428</v>
      </c>
      <c r="B2189" s="5" t="s">
        <v>3428</v>
      </c>
      <c r="C2189" s="1" t="str">
        <f aca="false">IF(B2189="NEW ROUTE",1,"")</f>
        <v/>
      </c>
      <c r="E2189" s="5" t="s">
        <v>3428</v>
      </c>
      <c r="F2189" s="6" t="e">
        <f aca="false">VLOOKUP(E2189,$K$2:$L$426,2,FALSE())</f>
        <v>#N/A</v>
      </c>
      <c r="G2189" s="1" t="str">
        <f aca="false">IF(ISNA(F2189),"",F2189)</f>
        <v/>
      </c>
      <c r="H2189" s="5" t="str">
        <f aca="false">IF(G2189&lt;&gt;"",G2189,E2189)</f>
        <v>40, 44, TENTACRUEL</v>
      </c>
    </row>
    <row r="2190" customFormat="false" ht="12.75" hidden="false" customHeight="true" outlineLevel="0" collapsed="false">
      <c r="A2190" s="4" t="s">
        <v>3024</v>
      </c>
      <c r="B2190" s="5" t="s">
        <v>3024</v>
      </c>
      <c r="C2190" s="1" t="str">
        <f aca="false">IF(B2190="NEW ROUTE",1,"")</f>
        <v/>
      </c>
      <c r="E2190" s="5" t="s">
        <v>3024</v>
      </c>
      <c r="F2190" s="6" t="e">
        <f aca="false">VLOOKUP(E2190,$K$2:$L$426,2,FALSE())</f>
        <v>#N/A</v>
      </c>
      <c r="G2190" s="1" t="str">
        <f aca="false">IF(ISNA(F2190),"",F2190)</f>
        <v/>
      </c>
      <c r="H2190" s="5" t="str">
        <f aca="false">IF(G2190&lt;&gt;"",G2190,E2190)</f>
        <v>42, 46, LAPRAS</v>
      </c>
    </row>
    <row r="2191" customFormat="false" ht="12.75" hidden="false" customHeight="true" outlineLevel="0" collapsed="false">
      <c r="A2191" s="4" t="s">
        <v>3429</v>
      </c>
      <c r="B2191" s="5" t="s">
        <v>3429</v>
      </c>
      <c r="C2191" s="1" t="str">
        <f aca="false">IF(B2191="NEW ROUTE",1,"")</f>
        <v/>
      </c>
      <c r="E2191" s="5" t="s">
        <v>3429</v>
      </c>
      <c r="F2191" s="6" t="e">
        <f aca="false">VLOOKUP(E2191,$K$2:$L$426,2,FALSE())</f>
        <v>#N/A</v>
      </c>
      <c r="G2191" s="1" t="str">
        <f aca="false">IF(ISNA(F2191),"",F2191)</f>
        <v/>
      </c>
      <c r="H2191" s="5" t="str">
        <f aca="false">IF(G2191&lt;&gt;"",G2191,E2191)</f>
        <v>42, 46, TENTACATE</v>
      </c>
    </row>
    <row r="2192" customFormat="false" ht="12.75" hidden="false" customHeight="true" outlineLevel="0" collapsed="false">
      <c r="A2192" s="4" t="s">
        <v>3449</v>
      </c>
      <c r="B2192" s="5" t="s">
        <v>3449</v>
      </c>
      <c r="C2192" s="1" t="str">
        <f aca="false">IF(B2192="NEW ROUTE",1,"")</f>
        <v/>
      </c>
      <c r="E2192" s="5" t="s">
        <v>3449</v>
      </c>
      <c r="F2192" s="6" t="e">
        <f aca="false">VLOOKUP(E2192,$K$2:$L$426,2,FALSE())</f>
        <v>#N/A</v>
      </c>
      <c r="G2192" s="1" t="str">
        <f aca="false">IF(ISNA(F2192),"",F2192)</f>
        <v/>
      </c>
      <c r="H2192" s="5" t="str">
        <f aca="false">IF(G2192&lt;&gt;"",G2192,E2192)</f>
        <v>44, 48, LOCHLASS</v>
      </c>
    </row>
    <row r="2193" customFormat="false" ht="12.75" hidden="false" customHeight="true" outlineLevel="0" collapsed="false">
      <c r="A2193" s="4" t="s">
        <v>2925</v>
      </c>
      <c r="B2193" s="5" t="s">
        <v>2925</v>
      </c>
      <c r="C2193" s="1" t="str">
        <f aca="false">IF(B2193="NEW ROUTE",1,"")</f>
        <v/>
      </c>
      <c r="E2193" s="5" t="s">
        <v>2925</v>
      </c>
      <c r="F2193" s="6" t="e">
        <f aca="false">VLOOKUP(E2193,$K$2:$L$426,2,FALSE())</f>
        <v>#N/A</v>
      </c>
      <c r="G2193" s="1" t="str">
        <f aca="false">IF(ISNA(F2193),"",F2193)</f>
        <v/>
      </c>
      <c r="H2193" s="5" t="str">
        <f aca="false">IF(G2193&lt;&gt;"",G2193,E2193)</f>
        <v>20, old rod:</v>
      </c>
    </row>
    <row r="2194" customFormat="false" ht="12.75" hidden="false" customHeight="true" outlineLevel="0" collapsed="false">
      <c r="A2194" s="4" t="s">
        <v>1349</v>
      </c>
      <c r="B2194" s="5" t="s">
        <v>1349</v>
      </c>
      <c r="C2194" s="1" t="str">
        <f aca="false">IF(B2194="NEW ROUTE",1,"")</f>
        <v/>
      </c>
      <c r="E2194" s="5" t="s">
        <v>1349</v>
      </c>
      <c r="F2194" s="6" t="e">
        <f aca="false">VLOOKUP(E2194,$K$2:$L$426,2,FALSE())</f>
        <v>#N/A</v>
      </c>
      <c r="G2194" s="1" t="str">
        <f aca="false">IF(ISNA(F2194),"",F2194)</f>
        <v/>
      </c>
      <c r="H2194" s="5" t="str">
        <f aca="false">IF(G2194&lt;&gt;"",G2194,E2194)</f>
        <v>19, 26, MAGIKARP</v>
      </c>
    </row>
    <row r="2195" customFormat="false" ht="12.75" hidden="false" customHeight="true" outlineLevel="0" collapsed="false">
      <c r="A2195" s="4" t="s">
        <v>3352</v>
      </c>
      <c r="B2195" s="5" t="s">
        <v>3352</v>
      </c>
      <c r="C2195" s="1" t="str">
        <f aca="false">IF(B2195="NEW ROUTE",1,"")</f>
        <v/>
      </c>
      <c r="E2195" s="5" t="s">
        <v>3352</v>
      </c>
      <c r="F2195" s="6" t="e">
        <f aca="false">VLOOKUP(E2195,$K$2:$L$426,2,FALSE())</f>
        <v>#N/A</v>
      </c>
      <c r="G2195" s="1" t="str">
        <f aca="false">IF(ISNA(F2195),"",F2195)</f>
        <v/>
      </c>
      <c r="H2195" s="5" t="str">
        <f aca="false">IF(G2195&lt;&gt;"",G2195,E2195)</f>
        <v>19, 26, GYARADOS</v>
      </c>
    </row>
    <row r="2196" customFormat="false" ht="12.75" hidden="false" customHeight="true" outlineLevel="0" collapsed="false">
      <c r="A2196" s="4" t="s">
        <v>2846</v>
      </c>
      <c r="B2196" s="5" t="s">
        <v>2846</v>
      </c>
      <c r="C2196" s="1" t="str">
        <f aca="false">IF(B2196="NEW ROUTE",1,"")</f>
        <v/>
      </c>
      <c r="E2196" s="5" t="s">
        <v>2846</v>
      </c>
      <c r="F2196" s="6" t="e">
        <f aca="false">VLOOKUP(E2196,$K$2:$L$426,2,FALSE())</f>
        <v>#N/A</v>
      </c>
      <c r="G2196" s="1" t="str">
        <f aca="false">IF(ISNA(F2196),"",F2196)</f>
        <v/>
      </c>
      <c r="H2196" s="5" t="str">
        <f aca="false">IF(G2196&lt;&gt;"",G2196,E2196)</f>
        <v>good rod:</v>
      </c>
    </row>
    <row r="2197" customFormat="false" ht="12.75" hidden="false" customHeight="true" outlineLevel="0" collapsed="false">
      <c r="A2197" s="4" t="s">
        <v>3430</v>
      </c>
      <c r="B2197" s="5" t="s">
        <v>3430</v>
      </c>
      <c r="C2197" s="1" t="str">
        <f aca="false">IF(B2197="NEW ROUTE",1,"")</f>
        <v/>
      </c>
      <c r="E2197" s="5" t="s">
        <v>3430</v>
      </c>
      <c r="F2197" s="6" t="e">
        <f aca="false">VLOOKUP(E2197,$K$2:$L$426,2,FALSE())</f>
        <v>#N/A</v>
      </c>
      <c r="G2197" s="1" t="str">
        <f aca="false">IF(ISNA(F2197),"",F2197)</f>
        <v/>
      </c>
      <c r="H2197" s="5" t="str">
        <f aca="false">IF(G2197&lt;&gt;"",G2197,E2197)</f>
        <v>29, 33, HORSEA</v>
      </c>
    </row>
    <row r="2198" customFormat="false" ht="12.75" hidden="false" customHeight="true" outlineLevel="0" collapsed="false">
      <c r="A2198" s="4" t="s">
        <v>3450</v>
      </c>
      <c r="B2198" s="5" t="s">
        <v>3450</v>
      </c>
      <c r="C2198" s="1" t="str">
        <f aca="false">IF(B2198="NEW ROUTE",1,"")</f>
        <v/>
      </c>
      <c r="E2198" s="5" t="s">
        <v>3450</v>
      </c>
      <c r="F2198" s="6" t="e">
        <f aca="false">VLOOKUP(E2198,$K$2:$L$426,2,FALSE())</f>
        <v>#N/A</v>
      </c>
      <c r="G2198" s="1" t="str">
        <f aca="false">IF(ISNA(F2198),"",F2198)</f>
        <v/>
      </c>
      <c r="H2198" s="5" t="str">
        <f aca="false">IF(G2198&lt;&gt;"",G2198,E2198)</f>
        <v>30, 35, SHELLDER</v>
      </c>
    </row>
    <row r="2199" customFormat="false" ht="12.75" hidden="false" customHeight="true" outlineLevel="0" collapsed="false">
      <c r="A2199" s="4" t="s">
        <v>3451</v>
      </c>
      <c r="B2199" s="5" t="s">
        <v>3451</v>
      </c>
      <c r="C2199" s="1" t="str">
        <f aca="false">IF(B2199="NEW ROUTE",1,"")</f>
        <v/>
      </c>
      <c r="E2199" s="5" t="s">
        <v>3451</v>
      </c>
      <c r="F2199" s="6" t="e">
        <f aca="false">VLOOKUP(E2199,$K$2:$L$426,2,FALSE())</f>
        <v>#N/A</v>
      </c>
      <c r="G2199" s="1" t="str">
        <f aca="false">IF(ISNA(F2199),"",F2199)</f>
        <v/>
      </c>
      <c r="H2199" s="5" t="str">
        <f aca="false">IF(G2199&lt;&gt;"",G2199,E2199)</f>
        <v>30, 35, STARYU</v>
      </c>
    </row>
    <row r="2200" customFormat="false" ht="12.75" hidden="false" customHeight="true" outlineLevel="0" collapsed="false">
      <c r="A2200" s="4" t="s">
        <v>2850</v>
      </c>
      <c r="B2200" s="5" t="s">
        <v>2850</v>
      </c>
      <c r="C2200" s="1" t="str">
        <f aca="false">IF(B2200="NEW ROUTE",1,"")</f>
        <v/>
      </c>
      <c r="E2200" s="5" t="s">
        <v>2850</v>
      </c>
      <c r="F2200" s="6" t="e">
        <f aca="false">VLOOKUP(E2200,$K$2:$L$426,2,FALSE())</f>
        <v>#N/A</v>
      </c>
      <c r="G2200" s="1" t="str">
        <f aca="false">IF(ISNA(F2200),"",F2200)</f>
        <v/>
      </c>
      <c r="H2200" s="5" t="str">
        <f aca="false">IF(G2200&lt;&gt;"",G2200,E2200)</f>
        <v>super rod:</v>
      </c>
    </row>
    <row r="2201" customFormat="false" ht="12.75" hidden="false" customHeight="true" outlineLevel="0" collapsed="false">
      <c r="A2201" s="4" t="s">
        <v>3026</v>
      </c>
      <c r="B2201" s="5" t="s">
        <v>3026</v>
      </c>
      <c r="C2201" s="1" t="str">
        <f aca="false">IF(B2201="NEW ROUTE",1,"")</f>
        <v/>
      </c>
      <c r="E2201" s="5" t="s">
        <v>3026</v>
      </c>
      <c r="F2201" s="6" t="e">
        <f aca="false">VLOOKUP(E2201,$K$2:$L$426,2,FALSE())</f>
        <v>#N/A</v>
      </c>
      <c r="G2201" s="1" t="str">
        <f aca="false">IF(ISNA(F2201),"",F2201)</f>
        <v/>
      </c>
      <c r="H2201" s="5" t="str">
        <f aca="false">IF(G2201&lt;&gt;"",G2201,E2201)</f>
        <v>29, 33, SEADRA</v>
      </c>
    </row>
    <row r="2202" customFormat="false" ht="12.75" hidden="false" customHeight="true" outlineLevel="0" collapsed="false">
      <c r="A2202" s="4" t="s">
        <v>3356</v>
      </c>
      <c r="B2202" s="5" t="s">
        <v>3356</v>
      </c>
      <c r="C2202" s="1" t="str">
        <f aca="false">IF(B2202="NEW ROUTE",1,"")</f>
        <v/>
      </c>
      <c r="E2202" s="5" t="s">
        <v>3356</v>
      </c>
      <c r="F2202" s="6" t="e">
        <f aca="false">VLOOKUP(E2202,$K$2:$L$426,2,FALSE())</f>
        <v>#N/A</v>
      </c>
      <c r="G2202" s="1" t="str">
        <f aca="false">IF(ISNA(F2202),"",F2202)</f>
        <v/>
      </c>
      <c r="H2202" s="5" t="str">
        <f aca="false">IF(G2202&lt;&gt;"",G2202,E2202)</f>
        <v>36, 40, GYARADOS</v>
      </c>
    </row>
    <row r="2203" customFormat="false" ht="12.75" hidden="false" customHeight="true" outlineLevel="0" collapsed="false">
      <c r="A2203" s="4" t="s">
        <v>3452</v>
      </c>
      <c r="B2203" s="5" t="s">
        <v>3452</v>
      </c>
      <c r="C2203" s="1" t="str">
        <f aca="false">IF(B2203="NEW ROUTE",1,"")</f>
        <v/>
      </c>
      <c r="E2203" s="5" t="s">
        <v>3452</v>
      </c>
      <c r="F2203" s="6" t="e">
        <f aca="false">VLOOKUP(E2203,$K$2:$L$426,2,FALSE())</f>
        <v>#N/A</v>
      </c>
      <c r="G2203" s="1" t="str">
        <f aca="false">IF(ISNA(F2203),"",F2203)</f>
        <v/>
      </c>
      <c r="H2203" s="5" t="str">
        <f aca="false">IF(G2203&lt;&gt;"",G2203,E2203)</f>
        <v>38, 42, STARMIE</v>
      </c>
    </row>
    <row r="2204" customFormat="false" ht="12.75" hidden="false" customHeight="true" outlineLevel="0" collapsed="false">
      <c r="A2204" s="4" t="s">
        <v>3453</v>
      </c>
      <c r="B2204" s="5" t="s">
        <v>3453</v>
      </c>
      <c r="C2204" s="1" t="str">
        <f aca="false">IF(B2204="NEW ROUTE",1,"")</f>
        <v/>
      </c>
      <c r="E2204" s="5" t="s">
        <v>3453</v>
      </c>
      <c r="F2204" s="6" t="e">
        <f aca="false">VLOOKUP(E2204,$K$2:$L$426,2,FALSE())</f>
        <v>#N/A</v>
      </c>
      <c r="G2204" s="1" t="str">
        <f aca="false">IF(ISNA(F2204),"",F2204)</f>
        <v/>
      </c>
      <c r="H2204" s="5" t="str">
        <f aca="false">IF(G2204&lt;&gt;"",G2204,E2204)</f>
        <v>38, 42, CLOYSTER</v>
      </c>
    </row>
    <row r="2205" customFormat="false" ht="12.75" hidden="false" customHeight="true" outlineLevel="0" collapsed="false">
      <c r="A2205" s="4" t="s">
        <v>3454</v>
      </c>
      <c r="B2205" s="5" t="s">
        <v>3454</v>
      </c>
      <c r="C2205" s="1" t="str">
        <f aca="false">IF(B2205="NEW ROUTE",1,"")</f>
        <v/>
      </c>
      <c r="E2205" s="5" t="s">
        <v>3454</v>
      </c>
      <c r="F2205" s="6" t="e">
        <f aca="false">VLOOKUP(E2205,$K$2:$L$426,2,FALSE())</f>
        <v>#N/A</v>
      </c>
      <c r="G2205" s="1" t="str">
        <f aca="false">IF(ISNA(F2205),"",F2205)</f>
        <v/>
      </c>
      <c r="H2205" s="5" t="str">
        <f aca="false">IF(G2205&lt;&gt;"",G2205,E2205)</f>
        <v>38, 42, STARUS</v>
      </c>
    </row>
    <row r="2206" customFormat="false" ht="12.75" hidden="false" customHeight="true" outlineLevel="0" collapsed="false">
      <c r="A2206" s="4" t="s">
        <v>2536</v>
      </c>
      <c r="B2206" s="5" t="s">
        <v>2536</v>
      </c>
      <c r="C2206" s="1" t="n">
        <f aca="false">IF(B2206="NEW ROUTE",1,"")</f>
        <v>1</v>
      </c>
      <c r="E2206" s="5" t="s">
        <v>2536</v>
      </c>
      <c r="F2206" s="6" t="e">
        <f aca="false">VLOOKUP(E2206,$K$2:$L$426,2,FALSE())</f>
        <v>#N/A</v>
      </c>
      <c r="G2206" s="1" t="str">
        <f aca="false">IF(ISNA(F2206),"",F2206)</f>
        <v/>
      </c>
      <c r="H2206" s="5" t="str">
        <f aca="false">IF(G2206&lt;&gt;"",G2206,E2206)</f>
        <v>NEW ROUTE</v>
      </c>
    </row>
    <row r="2207" customFormat="false" ht="12.75" hidden="false" customHeight="true" outlineLevel="0" collapsed="false">
      <c r="A2207" s="4" t="s">
        <v>438</v>
      </c>
      <c r="B2207" s="5" t="s">
        <v>438</v>
      </c>
      <c r="C2207" s="1" t="str">
        <f aca="false">IF(B2207="NEW ROUTE",1,"")</f>
        <v/>
      </c>
      <c r="E2207" s="5" t="s">
        <v>438</v>
      </c>
      <c r="F2207" s="6" t="str">
        <f aca="false">VLOOKUP(E2207,$K$2:$L$426,2,FALSE())</f>
        <v>Route 12</v>
      </c>
      <c r="G2207" s="1" t="str">
        <f aca="false">IF(ISNA(F2207),"",F2207)</f>
        <v>Route 12</v>
      </c>
      <c r="H2207" s="5" t="str">
        <f aca="false">IF(G2207&lt;&gt;"",G2207,E2207)</f>
        <v>Route 12</v>
      </c>
    </row>
    <row r="2208" customFormat="false" ht="12.75" hidden="false" customHeight="true" outlineLevel="0" collapsed="false">
      <c r="A2208" s="4" t="s">
        <v>2799</v>
      </c>
      <c r="B2208" s="5" t="n">
        <v>0.2</v>
      </c>
      <c r="C2208" s="1" t="str">
        <f aca="false">IF(B2208="NEW ROUTE",1,"")</f>
        <v/>
      </c>
      <c r="E2208" s="5" t="n">
        <v>0.2</v>
      </c>
      <c r="F2208" s="6" t="e">
        <f aca="false">VLOOKUP(E2208,$K$2:$L$426,2,FALSE())</f>
        <v>#N/A</v>
      </c>
      <c r="G2208" s="1" t="str">
        <f aca="false">IF(ISNA(F2208),"",F2208)</f>
        <v/>
      </c>
      <c r="H2208" s="5" t="n">
        <f aca="false">IF(G2208&lt;&gt;"",G2208,E2208)</f>
        <v>0.2</v>
      </c>
    </row>
    <row r="2209" customFormat="false" ht="12.75" hidden="false" customHeight="true" outlineLevel="0" collapsed="false">
      <c r="A2209" s="4" t="s">
        <v>1930</v>
      </c>
      <c r="B2209" s="5" t="s">
        <v>1930</v>
      </c>
      <c r="C2209" s="1" t="str">
        <f aca="false">IF(B2209="NEW ROUTE",1,"")</f>
        <v/>
      </c>
      <c r="E2209" s="5" t="s">
        <v>1930</v>
      </c>
      <c r="F2209" s="6" t="e">
        <f aca="false">VLOOKUP(E2209,$K$2:$L$426,2,FALSE())</f>
        <v>#N/A</v>
      </c>
      <c r="G2209" s="1" t="str">
        <f aca="false">IF(ISNA(F2209),"",F2209)</f>
        <v/>
      </c>
      <c r="H2209" s="5" t="str">
        <f aca="false">IF(G2209&lt;&gt;"",G2209,E2209)</f>
        <v>29, 34, BELLSPROUT</v>
      </c>
    </row>
    <row r="2210" customFormat="false" ht="12.75" hidden="false" customHeight="true" outlineLevel="0" collapsed="false">
      <c r="A2210" s="4" t="s">
        <v>3456</v>
      </c>
      <c r="B2210" s="5" t="s">
        <v>3456</v>
      </c>
      <c r="C2210" s="1" t="str">
        <f aca="false">IF(B2210="NEW ROUTE",1,"")</f>
        <v/>
      </c>
      <c r="E2210" s="5" t="s">
        <v>3456</v>
      </c>
      <c r="F2210" s="6" t="e">
        <f aca="false">VLOOKUP(E2210,$K$2:$L$426,2,FALSE())</f>
        <v>#N/A</v>
      </c>
      <c r="G2210" s="1" t="str">
        <f aca="false">IF(ISNA(F2210),"",F2210)</f>
        <v/>
      </c>
      <c r="H2210" s="5" t="str">
        <f aca="false">IF(G2210&lt;&gt;"",G2210,E2210)</f>
        <v>29, 34, PIDGEOTTO</v>
      </c>
    </row>
    <row r="2211" customFormat="false" ht="12.75" hidden="false" customHeight="true" outlineLevel="0" collapsed="false">
      <c r="A2211" s="4" t="s">
        <v>2801</v>
      </c>
      <c r="B2211" s="5" t="n">
        <v>0.1</v>
      </c>
      <c r="C2211" s="1" t="str">
        <f aca="false">IF(B2211="NEW ROUTE",1,"")</f>
        <v/>
      </c>
      <c r="E2211" s="5" t="n">
        <v>0.1</v>
      </c>
      <c r="F2211" s="6" t="e">
        <f aca="false">VLOOKUP(E2211,$K$2:$L$426,2,FALSE())</f>
        <v>#N/A</v>
      </c>
      <c r="G2211" s="1" t="str">
        <f aca="false">IF(ISNA(F2211),"",F2211)</f>
        <v/>
      </c>
      <c r="H2211" s="5" t="n">
        <f aca="false">IF(G2211&lt;&gt;"",G2211,E2211)</f>
        <v>0.1</v>
      </c>
    </row>
    <row r="2212" customFormat="false" ht="12.75" hidden="false" customHeight="true" outlineLevel="0" collapsed="false">
      <c r="A2212" s="4" t="s">
        <v>3457</v>
      </c>
      <c r="B2212" s="5" t="s">
        <v>3457</v>
      </c>
      <c r="C2212" s="1" t="str">
        <f aca="false">IF(B2212="NEW ROUTE",1,"")</f>
        <v/>
      </c>
      <c r="E2212" s="5" t="s">
        <v>3457</v>
      </c>
      <c r="F2212" s="6" t="e">
        <f aca="false">VLOOKUP(E2212,$K$2:$L$426,2,FALSE())</f>
        <v>#N/A</v>
      </c>
      <c r="G2212" s="1" t="str">
        <f aca="false">IF(ISNA(F2212),"",F2212)</f>
        <v/>
      </c>
      <c r="H2212" s="5" t="str">
        <f aca="false">IF(G2212&lt;&gt;"",G2212,E2212)</f>
        <v>29, 31, WEEPINBELL</v>
      </c>
    </row>
    <row r="2213" customFormat="false" ht="12.75" hidden="false" customHeight="true" outlineLevel="0" collapsed="false">
      <c r="A2213" s="4" t="s">
        <v>3458</v>
      </c>
      <c r="B2213" s="5" t="s">
        <v>3458</v>
      </c>
      <c r="C2213" s="1" t="str">
        <f aca="false">IF(B2213="NEW ROUTE",1,"")</f>
        <v/>
      </c>
      <c r="E2213" s="5" t="s">
        <v>3458</v>
      </c>
      <c r="F2213" s="6" t="e">
        <f aca="false">VLOOKUP(E2213,$K$2:$L$426,2,FALSE())</f>
        <v>#N/A</v>
      </c>
      <c r="G2213" s="1" t="str">
        <f aca="false">IF(ISNA(F2213),"",F2213)</f>
        <v/>
      </c>
      <c r="H2213" s="5" t="str">
        <f aca="false">IF(G2213&lt;&gt;"",G2213,E2213)</f>
        <v>29, 31, DODUO</v>
      </c>
    </row>
    <row r="2214" customFormat="false" ht="12.75" hidden="false" customHeight="true" outlineLevel="0" collapsed="false">
      <c r="A2214" s="4" t="s">
        <v>3459</v>
      </c>
      <c r="B2214" s="5" t="s">
        <v>3459</v>
      </c>
      <c r="C2214" s="1" t="str">
        <f aca="false">IF(B2214="NEW ROUTE",1,"")</f>
        <v/>
      </c>
      <c r="E2214" s="5" t="s">
        <v>3459</v>
      </c>
      <c r="F2214" s="6" t="e">
        <f aca="false">VLOOKUP(E2214,$K$2:$L$426,2,FALSE())</f>
        <v>#N/A</v>
      </c>
      <c r="G2214" s="1" t="str">
        <f aca="false">IF(ISNA(F2214),"",F2214)</f>
        <v/>
      </c>
      <c r="H2214" s="5" t="str">
        <f aca="false">IF(G2214&lt;&gt;"",G2214,E2214)</f>
        <v>31, 31, PIDGEOT</v>
      </c>
    </row>
    <row r="2215" customFormat="false" ht="12.75" hidden="false" customHeight="true" outlineLevel="0" collapsed="false">
      <c r="A2215" s="4" t="s">
        <v>3460</v>
      </c>
      <c r="B2215" s="5" t="s">
        <v>3460</v>
      </c>
      <c r="C2215" s="1" t="str">
        <f aca="false">IF(B2215="NEW ROUTE",1,"")</f>
        <v/>
      </c>
      <c r="E2215" s="5" t="s">
        <v>3460</v>
      </c>
      <c r="F2215" s="6" t="e">
        <f aca="false">VLOOKUP(E2215,$K$2:$L$426,2,FALSE())</f>
        <v>#N/A</v>
      </c>
      <c r="G2215" s="1" t="str">
        <f aca="false">IF(ISNA(F2215),"",F2215)</f>
        <v/>
      </c>
      <c r="H2215" s="5" t="str">
        <f aca="false">IF(G2215&lt;&gt;"",G2215,E2215)</f>
        <v>29, 31, EXEGGCUTE</v>
      </c>
    </row>
    <row r="2216" customFormat="false" ht="12.75" hidden="false" customHeight="true" outlineLevel="0" collapsed="false">
      <c r="A2216" s="4" t="s">
        <v>2806</v>
      </c>
      <c r="B2216" s="5" t="n">
        <v>0.05</v>
      </c>
      <c r="C2216" s="1" t="str">
        <f aca="false">IF(B2216="NEW ROUTE",1,"")</f>
        <v/>
      </c>
      <c r="E2216" s="5" t="n">
        <v>0.05</v>
      </c>
      <c r="F2216" s="6" t="e">
        <f aca="false">VLOOKUP(E2216,$K$2:$L$426,2,FALSE())</f>
        <v>#N/A</v>
      </c>
      <c r="G2216" s="1" t="str">
        <f aca="false">IF(ISNA(F2216),"",F2216)</f>
        <v/>
      </c>
      <c r="H2216" s="5" t="n">
        <f aca="false">IF(G2216&lt;&gt;"",G2216,E2216)</f>
        <v>0.05</v>
      </c>
    </row>
    <row r="2217" customFormat="false" ht="12.75" hidden="false" customHeight="true" outlineLevel="0" collapsed="false">
      <c r="A2217" s="4" t="s">
        <v>3461</v>
      </c>
      <c r="B2217" s="5" t="s">
        <v>3461</v>
      </c>
      <c r="C2217" s="1" t="str">
        <f aca="false">IF(B2217="NEW ROUTE",1,"")</f>
        <v/>
      </c>
      <c r="E2217" s="5" t="s">
        <v>3461</v>
      </c>
      <c r="F2217" s="6" t="e">
        <f aca="false">VLOOKUP(E2217,$K$2:$L$426,2,FALSE())</f>
        <v>#N/A</v>
      </c>
      <c r="G2217" s="1" t="str">
        <f aca="false">IF(ISNA(F2217),"",F2217)</f>
        <v/>
      </c>
      <c r="H2217" s="5" t="str">
        <f aca="false">IF(G2217&lt;&gt;"",G2217,E2217)</f>
        <v>30, 34, SCYTHER</v>
      </c>
    </row>
    <row r="2218" customFormat="false" ht="12.75" hidden="false" customHeight="true" outlineLevel="0" collapsed="false">
      <c r="A2218" s="4" t="s">
        <v>3462</v>
      </c>
      <c r="B2218" s="5" t="s">
        <v>3462</v>
      </c>
      <c r="C2218" s="1" t="str">
        <f aca="false">IF(B2218="NEW ROUTE",1,"")</f>
        <v/>
      </c>
      <c r="E2218" s="5" t="s">
        <v>3462</v>
      </c>
      <c r="F2218" s="6" t="e">
        <f aca="false">VLOOKUP(E2218,$K$2:$L$426,2,FALSE())</f>
        <v>#N/A</v>
      </c>
      <c r="G2218" s="1" t="str">
        <f aca="false">IF(ISNA(F2218),"",F2218)</f>
        <v/>
      </c>
      <c r="H2218" s="5" t="str">
        <f aca="false">IF(G2218&lt;&gt;"",G2218,E2218)</f>
        <v>30, 34, JYNX</v>
      </c>
    </row>
    <row r="2219" customFormat="false" ht="12.75" hidden="false" customHeight="true" outlineLevel="0" collapsed="false">
      <c r="A2219" s="4" t="s">
        <v>2809</v>
      </c>
      <c r="B2219" s="5" t="n">
        <v>0.04</v>
      </c>
      <c r="C2219" s="1" t="str">
        <f aca="false">IF(B2219="NEW ROUTE",1,"")</f>
        <v/>
      </c>
      <c r="E2219" s="5" t="n">
        <v>0.04</v>
      </c>
      <c r="F2219" s="6" t="e">
        <f aca="false">VLOOKUP(E2219,$K$2:$L$426,2,FALSE())</f>
        <v>#N/A</v>
      </c>
      <c r="G2219" s="1" t="str">
        <f aca="false">IF(ISNA(F2219),"",F2219)</f>
        <v/>
      </c>
      <c r="H2219" s="5" t="n">
        <f aca="false">IF(G2219&lt;&gt;"",G2219,E2219)</f>
        <v>0.04</v>
      </c>
    </row>
    <row r="2220" customFormat="false" ht="12.75" hidden="false" customHeight="true" outlineLevel="0" collapsed="false">
      <c r="A2220" s="4" t="s">
        <v>3463</v>
      </c>
      <c r="B2220" s="5" t="s">
        <v>3463</v>
      </c>
      <c r="C2220" s="1" t="str">
        <f aca="false">IF(B2220="NEW ROUTE",1,"")</f>
        <v/>
      </c>
      <c r="E2220" s="5" t="s">
        <v>3463</v>
      </c>
      <c r="F2220" s="6" t="e">
        <f aca="false">VLOOKUP(E2220,$K$2:$L$426,2,FALSE())</f>
        <v>#N/A</v>
      </c>
      <c r="G2220" s="1" t="str">
        <f aca="false">IF(ISNA(F2220),"",F2220)</f>
        <v/>
      </c>
      <c r="H2220" s="5" t="str">
        <f aca="false">IF(G2220&lt;&gt;"",G2220,E2220)</f>
        <v>31, 31, DODRIO</v>
      </c>
    </row>
    <row r="2221" customFormat="false" ht="12.75" hidden="false" customHeight="true" outlineLevel="0" collapsed="false">
      <c r="A2221" s="4" t="s">
        <v>3464</v>
      </c>
      <c r="B2221" s="5" t="s">
        <v>3464</v>
      </c>
      <c r="C2221" s="1" t="str">
        <f aca="false">IF(B2221="NEW ROUTE",1,"")</f>
        <v/>
      </c>
      <c r="E2221" s="5" t="s">
        <v>3464</v>
      </c>
      <c r="F2221" s="6" t="e">
        <f aca="false">VLOOKUP(E2221,$K$2:$L$426,2,FALSE())</f>
        <v>#N/A</v>
      </c>
      <c r="G2221" s="1" t="str">
        <f aca="false">IF(ISNA(F2221),"",F2221)</f>
        <v/>
      </c>
      <c r="H2221" s="5" t="str">
        <f aca="false">IF(G2221&lt;&gt;"",G2221,E2221)</f>
        <v>31, 31, EXEGGUTOR</v>
      </c>
    </row>
    <row r="2222" customFormat="false" ht="12.75" hidden="false" customHeight="true" outlineLevel="0" collapsed="false">
      <c r="A2222" s="4" t="s">
        <v>2812</v>
      </c>
      <c r="B2222" s="5" t="n">
        <v>0.01</v>
      </c>
      <c r="C2222" s="1" t="str">
        <f aca="false">IF(B2222="NEW ROUTE",1,"")</f>
        <v/>
      </c>
      <c r="E2222" s="5" t="n">
        <v>0.01</v>
      </c>
      <c r="F2222" s="6" t="e">
        <f aca="false">VLOOKUP(E2222,$K$2:$L$426,2,FALSE())</f>
        <v>#N/A</v>
      </c>
      <c r="G2222" s="1" t="str">
        <f aca="false">IF(ISNA(F2222),"",F2222)</f>
        <v/>
      </c>
      <c r="H2222" s="5" t="n">
        <f aca="false">IF(G2222&lt;&gt;"",G2222,E2222)</f>
        <v>0.01</v>
      </c>
    </row>
    <row r="2223" customFormat="false" ht="12.75" hidden="false" customHeight="true" outlineLevel="0" collapsed="false">
      <c r="A2223" s="4" t="s">
        <v>3465</v>
      </c>
      <c r="B2223" s="5" t="s">
        <v>3465</v>
      </c>
      <c r="C2223" s="1" t="str">
        <f aca="false">IF(B2223="NEW ROUTE",1,"")</f>
        <v/>
      </c>
      <c r="E2223" s="5" t="s">
        <v>3465</v>
      </c>
      <c r="F2223" s="6" t="e">
        <f aca="false">VLOOKUP(E2223,$K$2:$L$426,2,FALSE())</f>
        <v>#N/A</v>
      </c>
      <c r="G2223" s="1" t="str">
        <f aca="false">IF(ISNA(F2223),"",F2223)</f>
        <v/>
      </c>
      <c r="H2223" s="5" t="str">
        <f aca="false">IF(G2223&lt;&gt;"",G2223,E2223)</f>
        <v>29, 34, VICTREEBEL</v>
      </c>
    </row>
    <row r="2224" customFormat="false" ht="12.75" hidden="false" customHeight="true" outlineLevel="0" collapsed="false">
      <c r="A2224" s="4" t="s">
        <v>3466</v>
      </c>
      <c r="B2224" s="5" t="s">
        <v>3466</v>
      </c>
      <c r="C2224" s="1" t="str">
        <f aca="false">IF(B2224="NEW ROUTE",1,"")</f>
        <v/>
      </c>
      <c r="E2224" s="5" t="s">
        <v>3466</v>
      </c>
      <c r="F2224" s="6" t="e">
        <f aca="false">VLOOKUP(E2224,$K$2:$L$426,2,FALSE())</f>
        <v>#N/A</v>
      </c>
      <c r="G2224" s="1" t="str">
        <f aca="false">IF(ISNA(F2224),"",F2224)</f>
        <v/>
      </c>
      <c r="H2224" s="5" t="str">
        <f aca="false">IF(G2224&lt;&gt;"",G2224,E2224)</f>
        <v>20, 25, SQUIRTLE</v>
      </c>
    </row>
    <row r="2225" customFormat="false" ht="12.75" hidden="false" customHeight="true" outlineLevel="0" collapsed="false">
      <c r="A2225" s="4" t="s">
        <v>3349</v>
      </c>
      <c r="B2225" s="5" t="s">
        <v>3349</v>
      </c>
      <c r="C2225" s="1" t="str">
        <f aca="false">IF(B2225="NEW ROUTE",1,"")</f>
        <v/>
      </c>
      <c r="E2225" s="5" t="s">
        <v>3349</v>
      </c>
      <c r="F2225" s="6" t="e">
        <f aca="false">VLOOKUP(E2225,$K$2:$L$426,2,FALSE())</f>
        <v>#N/A</v>
      </c>
      <c r="G2225" s="1" t="str">
        <f aca="false">IF(ISNA(F2225),"",F2225)</f>
        <v/>
      </c>
      <c r="H2225" s="5" t="str">
        <f aca="false">IF(G2225&lt;&gt;"",G2225,E2225)</f>
        <v>2, 38, 42, TENTACOOL</v>
      </c>
    </row>
    <row r="2226" customFormat="false" ht="12.75" hidden="false" customHeight="true" outlineLevel="0" collapsed="false">
      <c r="A2226" s="4" t="s">
        <v>3428</v>
      </c>
      <c r="B2226" s="5" t="s">
        <v>3428</v>
      </c>
      <c r="C2226" s="1" t="str">
        <f aca="false">IF(B2226="NEW ROUTE",1,"")</f>
        <v/>
      </c>
      <c r="E2226" s="5" t="s">
        <v>3428</v>
      </c>
      <c r="F2226" s="6" t="e">
        <f aca="false">VLOOKUP(E2226,$K$2:$L$426,2,FALSE())</f>
        <v>#N/A</v>
      </c>
      <c r="G2226" s="1" t="str">
        <f aca="false">IF(ISNA(F2226),"",F2226)</f>
        <v/>
      </c>
      <c r="H2226" s="5" t="str">
        <f aca="false">IF(G2226&lt;&gt;"",G2226,E2226)</f>
        <v>40, 44, TENTACRUEL</v>
      </c>
    </row>
    <row r="2227" customFormat="false" ht="12.75" hidden="false" customHeight="true" outlineLevel="0" collapsed="false">
      <c r="A2227" s="4" t="s">
        <v>3024</v>
      </c>
      <c r="B2227" s="5" t="s">
        <v>3024</v>
      </c>
      <c r="C2227" s="1" t="str">
        <f aca="false">IF(B2227="NEW ROUTE",1,"")</f>
        <v/>
      </c>
      <c r="E2227" s="5" t="s">
        <v>3024</v>
      </c>
      <c r="F2227" s="6" t="e">
        <f aca="false">VLOOKUP(E2227,$K$2:$L$426,2,FALSE())</f>
        <v>#N/A</v>
      </c>
      <c r="G2227" s="1" t="str">
        <f aca="false">IF(ISNA(F2227),"",F2227)</f>
        <v/>
      </c>
      <c r="H2227" s="5" t="str">
        <f aca="false">IF(G2227&lt;&gt;"",G2227,E2227)</f>
        <v>42, 46, LAPRAS</v>
      </c>
    </row>
    <row r="2228" customFormat="false" ht="12.75" hidden="false" customHeight="true" outlineLevel="0" collapsed="false">
      <c r="A2228" s="4" t="s">
        <v>3429</v>
      </c>
      <c r="B2228" s="5" t="s">
        <v>3429</v>
      </c>
      <c r="C2228" s="1" t="str">
        <f aca="false">IF(B2228="NEW ROUTE",1,"")</f>
        <v/>
      </c>
      <c r="E2228" s="5" t="s">
        <v>3429</v>
      </c>
      <c r="F2228" s="6" t="e">
        <f aca="false">VLOOKUP(E2228,$K$2:$L$426,2,FALSE())</f>
        <v>#N/A</v>
      </c>
      <c r="G2228" s="1" t="str">
        <f aca="false">IF(ISNA(F2228),"",F2228)</f>
        <v/>
      </c>
      <c r="H2228" s="5" t="str">
        <f aca="false">IF(G2228&lt;&gt;"",G2228,E2228)</f>
        <v>42, 46, TENTACATE</v>
      </c>
    </row>
    <row r="2229" customFormat="false" ht="12.75" hidden="false" customHeight="true" outlineLevel="0" collapsed="false">
      <c r="A2229" s="4" t="s">
        <v>3449</v>
      </c>
      <c r="B2229" s="5" t="s">
        <v>3449</v>
      </c>
      <c r="C2229" s="1" t="str">
        <f aca="false">IF(B2229="NEW ROUTE",1,"")</f>
        <v/>
      </c>
      <c r="E2229" s="5" t="s">
        <v>3449</v>
      </c>
      <c r="F2229" s="6" t="e">
        <f aca="false">VLOOKUP(E2229,$K$2:$L$426,2,FALSE())</f>
        <v>#N/A</v>
      </c>
      <c r="G2229" s="1" t="str">
        <f aca="false">IF(ISNA(F2229),"",F2229)</f>
        <v/>
      </c>
      <c r="H2229" s="5" t="str">
        <f aca="false">IF(G2229&lt;&gt;"",G2229,E2229)</f>
        <v>44, 48, LOCHLASS</v>
      </c>
    </row>
    <row r="2230" customFormat="false" ht="12.75" hidden="false" customHeight="true" outlineLevel="0" collapsed="false">
      <c r="A2230" s="4" t="s">
        <v>3467</v>
      </c>
      <c r="B2230" s="5" t="s">
        <v>3467</v>
      </c>
      <c r="C2230" s="1" t="str">
        <f aca="false">IF(B2230="NEW ROUTE",1,"")</f>
        <v/>
      </c>
      <c r="E2230" s="5" t="s">
        <v>3467</v>
      </c>
      <c r="F2230" s="6" t="e">
        <f aca="false">VLOOKUP(E2230,$K$2:$L$426,2,FALSE())</f>
        <v>#N/A</v>
      </c>
      <c r="G2230" s="1" t="str">
        <f aca="false">IF(ISNA(F2230),"",F2230)</f>
        <v/>
      </c>
      <c r="H2230" s="5" t="str">
        <f aca="false">IF(G2230&lt;&gt;"",G2230,E2230)</f>
        <v>60, old rod:</v>
      </c>
    </row>
    <row r="2231" customFormat="false" ht="12.75" hidden="false" customHeight="true" outlineLevel="0" collapsed="false">
      <c r="A2231" s="4" t="s">
        <v>1349</v>
      </c>
      <c r="B2231" s="5" t="s">
        <v>1349</v>
      </c>
      <c r="C2231" s="1" t="str">
        <f aca="false">IF(B2231="NEW ROUTE",1,"")</f>
        <v/>
      </c>
      <c r="E2231" s="5" t="s">
        <v>1349</v>
      </c>
      <c r="F2231" s="6" t="e">
        <f aca="false">VLOOKUP(E2231,$K$2:$L$426,2,FALSE())</f>
        <v>#N/A</v>
      </c>
      <c r="G2231" s="1" t="str">
        <f aca="false">IF(ISNA(F2231),"",F2231)</f>
        <v/>
      </c>
      <c r="H2231" s="5" t="str">
        <f aca="false">IF(G2231&lt;&gt;"",G2231,E2231)</f>
        <v>19, 26, MAGIKARP</v>
      </c>
    </row>
    <row r="2232" customFormat="false" ht="12.75" hidden="false" customHeight="true" outlineLevel="0" collapsed="false">
      <c r="A2232" s="4" t="s">
        <v>3352</v>
      </c>
      <c r="B2232" s="5" t="s">
        <v>3352</v>
      </c>
      <c r="C2232" s="1" t="str">
        <f aca="false">IF(B2232="NEW ROUTE",1,"")</f>
        <v/>
      </c>
      <c r="E2232" s="5" t="s">
        <v>3352</v>
      </c>
      <c r="F2232" s="6" t="e">
        <f aca="false">VLOOKUP(E2232,$K$2:$L$426,2,FALSE())</f>
        <v>#N/A</v>
      </c>
      <c r="G2232" s="1" t="str">
        <f aca="false">IF(ISNA(F2232),"",F2232)</f>
        <v/>
      </c>
      <c r="H2232" s="5" t="str">
        <f aca="false">IF(G2232&lt;&gt;"",G2232,E2232)</f>
        <v>19, 26, GYARADOS</v>
      </c>
    </row>
    <row r="2233" customFormat="false" ht="12.75" hidden="false" customHeight="true" outlineLevel="0" collapsed="false">
      <c r="A2233" s="4" t="s">
        <v>2846</v>
      </c>
      <c r="B2233" s="5" t="s">
        <v>2846</v>
      </c>
      <c r="C2233" s="1" t="str">
        <f aca="false">IF(B2233="NEW ROUTE",1,"")</f>
        <v/>
      </c>
      <c r="E2233" s="5" t="s">
        <v>2846</v>
      </c>
      <c r="F2233" s="6" t="e">
        <f aca="false">VLOOKUP(E2233,$K$2:$L$426,2,FALSE())</f>
        <v>#N/A</v>
      </c>
      <c r="G2233" s="1" t="str">
        <f aca="false">IF(ISNA(F2233),"",F2233)</f>
        <v/>
      </c>
      <c r="H2233" s="5" t="str">
        <f aca="false">IF(G2233&lt;&gt;"",G2233,E2233)</f>
        <v>good rod:</v>
      </c>
    </row>
    <row r="2234" customFormat="false" ht="12.75" hidden="false" customHeight="true" outlineLevel="0" collapsed="false">
      <c r="A2234" s="4" t="s">
        <v>3430</v>
      </c>
      <c r="B2234" s="5" t="s">
        <v>3430</v>
      </c>
      <c r="C2234" s="1" t="str">
        <f aca="false">IF(B2234="NEW ROUTE",1,"")</f>
        <v/>
      </c>
      <c r="E2234" s="5" t="s">
        <v>3430</v>
      </c>
      <c r="F2234" s="6" t="e">
        <f aca="false">VLOOKUP(E2234,$K$2:$L$426,2,FALSE())</f>
        <v>#N/A</v>
      </c>
      <c r="G2234" s="1" t="str">
        <f aca="false">IF(ISNA(F2234),"",F2234)</f>
        <v/>
      </c>
      <c r="H2234" s="5" t="str">
        <f aca="false">IF(G2234&lt;&gt;"",G2234,E2234)</f>
        <v>29, 33, HORSEA</v>
      </c>
    </row>
    <row r="2235" customFormat="false" ht="12.75" hidden="false" customHeight="true" outlineLevel="0" collapsed="false">
      <c r="A2235" s="4" t="s">
        <v>3027</v>
      </c>
      <c r="B2235" s="5" t="s">
        <v>3027</v>
      </c>
      <c r="C2235" s="1" t="str">
        <f aca="false">IF(B2235="NEW ROUTE",1,"")</f>
        <v/>
      </c>
      <c r="E2235" s="5" t="s">
        <v>3027</v>
      </c>
      <c r="F2235" s="6" t="e">
        <f aca="false">VLOOKUP(E2235,$K$2:$L$426,2,FALSE())</f>
        <v>#N/A</v>
      </c>
      <c r="G2235" s="1" t="str">
        <f aca="false">IF(ISNA(F2235),"",F2235)</f>
        <v/>
      </c>
      <c r="H2235" s="5" t="str">
        <f aca="false">IF(G2235&lt;&gt;"",G2235,E2235)</f>
        <v>30, 35, KRABBY</v>
      </c>
    </row>
    <row r="2236" customFormat="false" ht="12.75" hidden="false" customHeight="true" outlineLevel="0" collapsed="false">
      <c r="A2236" s="4" t="s">
        <v>3354</v>
      </c>
      <c r="B2236" s="5" t="s">
        <v>3354</v>
      </c>
      <c r="C2236" s="1" t="str">
        <f aca="false">IF(B2236="NEW ROUTE",1,"")</f>
        <v/>
      </c>
      <c r="E2236" s="5" t="s">
        <v>3354</v>
      </c>
      <c r="F2236" s="6" t="e">
        <f aca="false">VLOOKUP(E2236,$K$2:$L$426,2,FALSE())</f>
        <v>#N/A</v>
      </c>
      <c r="G2236" s="1" t="str">
        <f aca="false">IF(ISNA(F2236),"",F2236)</f>
        <v/>
      </c>
      <c r="H2236" s="5" t="str">
        <f aca="false">IF(G2236&lt;&gt;"",G2236,E2236)</f>
        <v>30, 35, PSYDUCK</v>
      </c>
    </row>
    <row r="2237" customFormat="false" ht="12.75" hidden="false" customHeight="true" outlineLevel="0" collapsed="false">
      <c r="A2237" s="4" t="s">
        <v>2850</v>
      </c>
      <c r="B2237" s="5" t="s">
        <v>2850</v>
      </c>
      <c r="C2237" s="1" t="str">
        <f aca="false">IF(B2237="NEW ROUTE",1,"")</f>
        <v/>
      </c>
      <c r="E2237" s="5" t="s">
        <v>2850</v>
      </c>
      <c r="F2237" s="6" t="e">
        <f aca="false">VLOOKUP(E2237,$K$2:$L$426,2,FALSE())</f>
        <v>#N/A</v>
      </c>
      <c r="G2237" s="1" t="str">
        <f aca="false">IF(ISNA(F2237),"",F2237)</f>
        <v/>
      </c>
      <c r="H2237" s="5" t="str">
        <f aca="false">IF(G2237&lt;&gt;"",G2237,E2237)</f>
        <v>super rod:</v>
      </c>
    </row>
    <row r="2238" customFormat="false" ht="12.75" hidden="false" customHeight="true" outlineLevel="0" collapsed="false">
      <c r="A2238" s="4" t="s">
        <v>3432</v>
      </c>
      <c r="B2238" s="5" t="s">
        <v>3432</v>
      </c>
      <c r="C2238" s="1" t="str">
        <f aca="false">IF(B2238="NEW ROUTE",1,"")</f>
        <v/>
      </c>
      <c r="E2238" s="5" t="s">
        <v>3432</v>
      </c>
      <c r="F2238" s="6" t="e">
        <f aca="false">VLOOKUP(E2238,$K$2:$L$426,2,FALSE())</f>
        <v>#N/A</v>
      </c>
      <c r="G2238" s="1" t="str">
        <f aca="false">IF(ISNA(F2238),"",F2238)</f>
        <v/>
      </c>
      <c r="H2238" s="5" t="str">
        <f aca="false">IF(G2238&lt;&gt;"",G2238,E2238)</f>
        <v>36, 40, SEADRA</v>
      </c>
    </row>
    <row r="2239" customFormat="false" ht="12.75" hidden="false" customHeight="true" outlineLevel="0" collapsed="false">
      <c r="A2239" s="4" t="s">
        <v>3356</v>
      </c>
      <c r="B2239" s="5" t="s">
        <v>3356</v>
      </c>
      <c r="C2239" s="1" t="str">
        <f aca="false">IF(B2239="NEW ROUTE",1,"")</f>
        <v/>
      </c>
      <c r="E2239" s="5" t="s">
        <v>3356</v>
      </c>
      <c r="F2239" s="6" t="e">
        <f aca="false">VLOOKUP(E2239,$K$2:$L$426,2,FALSE())</f>
        <v>#N/A</v>
      </c>
      <c r="G2239" s="1" t="str">
        <f aca="false">IF(ISNA(F2239),"",F2239)</f>
        <v/>
      </c>
      <c r="H2239" s="5" t="str">
        <f aca="false">IF(G2239&lt;&gt;"",G2239,E2239)</f>
        <v>36, 40, GYARADOS</v>
      </c>
    </row>
    <row r="2240" customFormat="false" ht="12.75" hidden="false" customHeight="true" outlineLevel="0" collapsed="false">
      <c r="A2240" s="4" t="s">
        <v>3357</v>
      </c>
      <c r="B2240" s="5" t="s">
        <v>3357</v>
      </c>
      <c r="C2240" s="1" t="str">
        <f aca="false">IF(B2240="NEW ROUTE",1,"")</f>
        <v/>
      </c>
      <c r="E2240" s="5" t="s">
        <v>3357</v>
      </c>
      <c r="F2240" s="6" t="e">
        <f aca="false">VLOOKUP(E2240,$K$2:$L$426,2,FALSE())</f>
        <v>#N/A</v>
      </c>
      <c r="G2240" s="1" t="str">
        <f aca="false">IF(ISNA(F2240),"",F2240)</f>
        <v/>
      </c>
      <c r="H2240" s="5" t="str">
        <f aca="false">IF(G2240&lt;&gt;"",G2240,E2240)</f>
        <v>38, 42, GOLDUCK</v>
      </c>
    </row>
    <row r="2241" customFormat="false" ht="12.75" hidden="false" customHeight="true" outlineLevel="0" collapsed="false">
      <c r="A2241" s="4" t="s">
        <v>3358</v>
      </c>
      <c r="B2241" s="5" t="s">
        <v>3358</v>
      </c>
      <c r="C2241" s="1" t="str">
        <f aca="false">IF(B2241="NEW ROUTE",1,"")</f>
        <v/>
      </c>
      <c r="E2241" s="5" t="s">
        <v>3358</v>
      </c>
      <c r="F2241" s="6" t="e">
        <f aca="false">VLOOKUP(E2241,$K$2:$L$426,2,FALSE())</f>
        <v>#N/A</v>
      </c>
      <c r="G2241" s="1" t="str">
        <f aca="false">IF(ISNA(F2241),"",F2241)</f>
        <v/>
      </c>
      <c r="H2241" s="5" t="str">
        <f aca="false">IF(G2241&lt;&gt;"",G2241,E2241)</f>
        <v>38, 42, KINGLER</v>
      </c>
    </row>
    <row r="2242" customFormat="false" ht="12.75" hidden="false" customHeight="true" outlineLevel="0" collapsed="false">
      <c r="A2242" s="4" t="s">
        <v>3436</v>
      </c>
      <c r="B2242" s="5" t="s">
        <v>3436</v>
      </c>
      <c r="C2242" s="1" t="str">
        <f aca="false">IF(B2242="NEW ROUTE",1,"")</f>
        <v/>
      </c>
      <c r="E2242" s="5" t="s">
        <v>3436</v>
      </c>
      <c r="F2242" s="6" t="e">
        <f aca="false">VLOOKUP(E2242,$K$2:$L$426,2,FALSE())</f>
        <v>#N/A</v>
      </c>
      <c r="G2242" s="1" t="str">
        <f aca="false">IF(ISNA(F2242),"",F2242)</f>
        <v/>
      </c>
      <c r="H2242" s="5" t="str">
        <f aca="false">IF(G2242&lt;&gt;"",G2242,E2242)</f>
        <v>40, 44, GILDUCK</v>
      </c>
    </row>
    <row r="2243" customFormat="false" ht="12.75" hidden="false" customHeight="true" outlineLevel="0" collapsed="false">
      <c r="A2243" s="4" t="s">
        <v>2536</v>
      </c>
      <c r="B2243" s="5" t="s">
        <v>2536</v>
      </c>
      <c r="C2243" s="1" t="n">
        <f aca="false">IF(B2243="NEW ROUTE",1,"")</f>
        <v>1</v>
      </c>
      <c r="E2243" s="5" t="s">
        <v>2536</v>
      </c>
      <c r="F2243" s="6" t="e">
        <f aca="false">VLOOKUP(E2243,$K$2:$L$426,2,FALSE())</f>
        <v>#N/A</v>
      </c>
      <c r="G2243" s="1" t="str">
        <f aca="false">IF(ISNA(F2243),"",F2243)</f>
        <v/>
      </c>
      <c r="H2243" s="5" t="str">
        <f aca="false">IF(G2243&lt;&gt;"",G2243,E2243)</f>
        <v>NEW ROUTE</v>
      </c>
    </row>
    <row r="2244" customFormat="false" ht="12.75" hidden="false" customHeight="true" outlineLevel="0" collapsed="false">
      <c r="A2244" s="4" t="s">
        <v>440</v>
      </c>
      <c r="B2244" s="5" t="s">
        <v>440</v>
      </c>
      <c r="C2244" s="1" t="str">
        <f aca="false">IF(B2244="NEW ROUTE",1,"")</f>
        <v/>
      </c>
      <c r="E2244" s="5" t="s">
        <v>440</v>
      </c>
      <c r="F2244" s="6" t="str">
        <f aca="false">VLOOKUP(E2244,$K$2:$L$426,2,FALSE())</f>
        <v>Route 13</v>
      </c>
      <c r="G2244" s="1" t="str">
        <f aca="false">IF(ISNA(F2244),"",F2244)</f>
        <v>Route 13</v>
      </c>
      <c r="H2244" s="5" t="str">
        <f aca="false">IF(G2244&lt;&gt;"",G2244,E2244)</f>
        <v>Route 13</v>
      </c>
    </row>
    <row r="2245" customFormat="false" ht="12.75" hidden="false" customHeight="true" outlineLevel="0" collapsed="false">
      <c r="A2245" s="4" t="s">
        <v>2799</v>
      </c>
      <c r="B2245" s="5" t="n">
        <v>0.2</v>
      </c>
      <c r="C2245" s="1" t="str">
        <f aca="false">IF(B2245="NEW ROUTE",1,"")</f>
        <v/>
      </c>
      <c r="E2245" s="5" t="n">
        <v>0.2</v>
      </c>
      <c r="F2245" s="6" t="e">
        <f aca="false">VLOOKUP(E2245,$K$2:$L$426,2,FALSE())</f>
        <v>#N/A</v>
      </c>
      <c r="G2245" s="1" t="str">
        <f aca="false">IF(ISNA(F2245),"",F2245)</f>
        <v/>
      </c>
      <c r="H2245" s="5" t="n">
        <f aca="false">IF(G2245&lt;&gt;"",G2245,E2245)</f>
        <v>0.2</v>
      </c>
    </row>
    <row r="2246" customFormat="false" ht="12.75" hidden="false" customHeight="true" outlineLevel="0" collapsed="false">
      <c r="A2246" s="4" t="s">
        <v>1944</v>
      </c>
      <c r="B2246" s="5" t="s">
        <v>1944</v>
      </c>
      <c r="C2246" s="1" t="str">
        <f aca="false">IF(B2246="NEW ROUTE",1,"")</f>
        <v/>
      </c>
      <c r="E2246" s="5" t="s">
        <v>1944</v>
      </c>
      <c r="F2246" s="6" t="e">
        <f aca="false">VLOOKUP(E2246,$K$2:$L$426,2,FALSE())</f>
        <v>#N/A</v>
      </c>
      <c r="G2246" s="1" t="str">
        <f aca="false">IF(ISNA(F2246),"",F2246)</f>
        <v/>
      </c>
      <c r="H2246" s="5" t="str">
        <f aca="false">IF(G2246&lt;&gt;"",G2246,E2246)</f>
        <v>30, 35, BELLSPROUT</v>
      </c>
    </row>
    <row r="2247" customFormat="false" ht="12.75" hidden="false" customHeight="true" outlineLevel="0" collapsed="false">
      <c r="A2247" s="4" t="s">
        <v>3469</v>
      </c>
      <c r="B2247" s="5" t="s">
        <v>3469</v>
      </c>
      <c r="C2247" s="1" t="str">
        <f aca="false">IF(B2247="NEW ROUTE",1,"")</f>
        <v/>
      </c>
      <c r="E2247" s="5" t="s">
        <v>3469</v>
      </c>
      <c r="F2247" s="6" t="e">
        <f aca="false">VLOOKUP(E2247,$K$2:$L$426,2,FALSE())</f>
        <v>#N/A</v>
      </c>
      <c r="G2247" s="1" t="str">
        <f aca="false">IF(ISNA(F2247),"",F2247)</f>
        <v/>
      </c>
      <c r="H2247" s="5" t="str">
        <f aca="false">IF(G2247&lt;&gt;"",G2247,E2247)</f>
        <v>30, 35, PIDGEOTTO</v>
      </c>
    </row>
    <row r="2248" customFormat="false" ht="12.75" hidden="false" customHeight="true" outlineLevel="0" collapsed="false">
      <c r="A2248" s="4" t="s">
        <v>2801</v>
      </c>
      <c r="B2248" s="5" t="n">
        <v>0.1</v>
      </c>
      <c r="C2248" s="1" t="str">
        <f aca="false">IF(B2248="NEW ROUTE",1,"")</f>
        <v/>
      </c>
      <c r="E2248" s="5" t="n">
        <v>0.1</v>
      </c>
      <c r="F2248" s="6" t="e">
        <f aca="false">VLOOKUP(E2248,$K$2:$L$426,2,FALSE())</f>
        <v>#N/A</v>
      </c>
      <c r="G2248" s="1" t="str">
        <f aca="false">IF(ISNA(F2248),"",F2248)</f>
        <v/>
      </c>
      <c r="H2248" s="5" t="n">
        <f aca="false">IF(G2248&lt;&gt;"",G2248,E2248)</f>
        <v>0.1</v>
      </c>
    </row>
    <row r="2249" customFormat="false" ht="12.75" hidden="false" customHeight="true" outlineLevel="0" collapsed="false">
      <c r="A2249" s="4" t="s">
        <v>3470</v>
      </c>
      <c r="B2249" s="5" t="s">
        <v>3470</v>
      </c>
      <c r="C2249" s="1" t="str">
        <f aca="false">IF(B2249="NEW ROUTE",1,"")</f>
        <v/>
      </c>
      <c r="E2249" s="5" t="s">
        <v>3470</v>
      </c>
      <c r="F2249" s="6" t="e">
        <f aca="false">VLOOKUP(E2249,$K$2:$L$426,2,FALSE())</f>
        <v>#N/A</v>
      </c>
      <c r="G2249" s="1" t="str">
        <f aca="false">IF(ISNA(F2249),"",F2249)</f>
        <v/>
      </c>
      <c r="H2249" s="5" t="str">
        <f aca="false">IF(G2249&lt;&gt;"",G2249,E2249)</f>
        <v>30, 32, WEEPINBELL</v>
      </c>
    </row>
    <row r="2250" customFormat="false" ht="12.75" hidden="false" customHeight="true" outlineLevel="0" collapsed="false">
      <c r="A2250" s="4" t="s">
        <v>3471</v>
      </c>
      <c r="B2250" s="5" t="s">
        <v>3471</v>
      </c>
      <c r="C2250" s="1" t="str">
        <f aca="false">IF(B2250="NEW ROUTE",1,"")</f>
        <v/>
      </c>
      <c r="E2250" s="5" t="s">
        <v>3471</v>
      </c>
      <c r="F2250" s="6" t="e">
        <f aca="false">VLOOKUP(E2250,$K$2:$L$426,2,FALSE())</f>
        <v>#N/A</v>
      </c>
      <c r="G2250" s="1" t="str">
        <f aca="false">IF(ISNA(F2250),"",F2250)</f>
        <v/>
      </c>
      <c r="H2250" s="5" t="str">
        <f aca="false">IF(G2250&lt;&gt;"",G2250,E2250)</f>
        <v>30, 32, DODUO</v>
      </c>
    </row>
    <row r="2251" customFormat="false" ht="12.75" hidden="false" customHeight="true" outlineLevel="0" collapsed="false">
      <c r="A2251" s="4" t="s">
        <v>3472</v>
      </c>
      <c r="B2251" s="5" t="s">
        <v>3472</v>
      </c>
      <c r="C2251" s="1" t="str">
        <f aca="false">IF(B2251="NEW ROUTE",1,"")</f>
        <v/>
      </c>
      <c r="E2251" s="5" t="s">
        <v>3472</v>
      </c>
      <c r="F2251" s="6" t="e">
        <f aca="false">VLOOKUP(E2251,$K$2:$L$426,2,FALSE())</f>
        <v>#N/A</v>
      </c>
      <c r="G2251" s="1" t="str">
        <f aca="false">IF(ISNA(F2251),"",F2251)</f>
        <v/>
      </c>
      <c r="H2251" s="5" t="str">
        <f aca="false">IF(G2251&lt;&gt;"",G2251,E2251)</f>
        <v>32, 32, PIDGEOT</v>
      </c>
    </row>
    <row r="2252" customFormat="false" ht="12.75" hidden="false" customHeight="true" outlineLevel="0" collapsed="false">
      <c r="A2252" s="4" t="s">
        <v>3473</v>
      </c>
      <c r="B2252" s="5" t="s">
        <v>3473</v>
      </c>
      <c r="C2252" s="1" t="str">
        <f aca="false">IF(B2252="NEW ROUTE",1,"")</f>
        <v/>
      </c>
      <c r="E2252" s="5" t="s">
        <v>3473</v>
      </c>
      <c r="F2252" s="6" t="e">
        <f aca="false">VLOOKUP(E2252,$K$2:$L$426,2,FALSE())</f>
        <v>#N/A</v>
      </c>
      <c r="G2252" s="1" t="str">
        <f aca="false">IF(ISNA(F2252),"",F2252)</f>
        <v/>
      </c>
      <c r="H2252" s="5" t="str">
        <f aca="false">IF(G2252&lt;&gt;"",G2252,E2252)</f>
        <v>30, 32, EXEGGCUTE</v>
      </c>
    </row>
    <row r="2253" customFormat="false" ht="12.75" hidden="false" customHeight="true" outlineLevel="0" collapsed="false">
      <c r="A2253" s="4" t="s">
        <v>2806</v>
      </c>
      <c r="B2253" s="5" t="n">
        <v>0.05</v>
      </c>
      <c r="C2253" s="1" t="str">
        <f aca="false">IF(B2253="NEW ROUTE",1,"")</f>
        <v/>
      </c>
      <c r="E2253" s="5" t="n">
        <v>0.05</v>
      </c>
      <c r="F2253" s="6" t="e">
        <f aca="false">VLOOKUP(E2253,$K$2:$L$426,2,FALSE())</f>
        <v>#N/A</v>
      </c>
      <c r="G2253" s="1" t="str">
        <f aca="false">IF(ISNA(F2253),"",F2253)</f>
        <v/>
      </c>
      <c r="H2253" s="5" t="n">
        <f aca="false">IF(G2253&lt;&gt;"",G2253,E2253)</f>
        <v>0.05</v>
      </c>
    </row>
    <row r="2254" customFormat="false" ht="12.75" hidden="false" customHeight="true" outlineLevel="0" collapsed="false">
      <c r="A2254" s="4" t="s">
        <v>3474</v>
      </c>
      <c r="B2254" s="5" t="s">
        <v>3474</v>
      </c>
      <c r="C2254" s="1" t="str">
        <f aca="false">IF(B2254="NEW ROUTE",1,"")</f>
        <v/>
      </c>
      <c r="E2254" s="5" t="s">
        <v>3474</v>
      </c>
      <c r="F2254" s="6" t="e">
        <f aca="false">VLOOKUP(E2254,$K$2:$L$426,2,FALSE())</f>
        <v>#N/A</v>
      </c>
      <c r="G2254" s="1" t="str">
        <f aca="false">IF(ISNA(F2254),"",F2254)</f>
        <v/>
      </c>
      <c r="H2254" s="5" t="str">
        <f aca="false">IF(G2254&lt;&gt;"",G2254,E2254)</f>
        <v>31, 35, SCYTHER</v>
      </c>
    </row>
    <row r="2255" customFormat="false" ht="12.75" hidden="false" customHeight="true" outlineLevel="0" collapsed="false">
      <c r="A2255" s="4" t="s">
        <v>3475</v>
      </c>
      <c r="B2255" s="5" t="s">
        <v>3475</v>
      </c>
      <c r="C2255" s="1" t="str">
        <f aca="false">IF(B2255="NEW ROUTE",1,"")</f>
        <v/>
      </c>
      <c r="E2255" s="5" t="s">
        <v>3475</v>
      </c>
      <c r="F2255" s="6" t="e">
        <f aca="false">VLOOKUP(E2255,$K$2:$L$426,2,FALSE())</f>
        <v>#N/A</v>
      </c>
      <c r="G2255" s="1" t="str">
        <f aca="false">IF(ISNA(F2255),"",F2255)</f>
        <v/>
      </c>
      <c r="H2255" s="5" t="str">
        <f aca="false">IF(G2255&lt;&gt;"",G2255,E2255)</f>
        <v>31, 35, JYNX</v>
      </c>
    </row>
    <row r="2256" customFormat="false" ht="12.75" hidden="false" customHeight="true" outlineLevel="0" collapsed="false">
      <c r="A2256" s="4" t="s">
        <v>2809</v>
      </c>
      <c r="B2256" s="5" t="n">
        <v>0.04</v>
      </c>
      <c r="C2256" s="1" t="str">
        <f aca="false">IF(B2256="NEW ROUTE",1,"")</f>
        <v/>
      </c>
      <c r="E2256" s="5" t="n">
        <v>0.04</v>
      </c>
      <c r="F2256" s="6" t="e">
        <f aca="false">VLOOKUP(E2256,$K$2:$L$426,2,FALSE())</f>
        <v>#N/A</v>
      </c>
      <c r="G2256" s="1" t="str">
        <f aca="false">IF(ISNA(F2256),"",F2256)</f>
        <v/>
      </c>
      <c r="H2256" s="5" t="n">
        <f aca="false">IF(G2256&lt;&gt;"",G2256,E2256)</f>
        <v>0.04</v>
      </c>
    </row>
    <row r="2257" customFormat="false" ht="12.75" hidden="false" customHeight="true" outlineLevel="0" collapsed="false">
      <c r="A2257" s="4" t="s">
        <v>3476</v>
      </c>
      <c r="B2257" s="5" t="s">
        <v>3476</v>
      </c>
      <c r="C2257" s="1" t="str">
        <f aca="false">IF(B2257="NEW ROUTE",1,"")</f>
        <v/>
      </c>
      <c r="E2257" s="5" t="s">
        <v>3476</v>
      </c>
      <c r="F2257" s="6" t="e">
        <f aca="false">VLOOKUP(E2257,$K$2:$L$426,2,FALSE())</f>
        <v>#N/A</v>
      </c>
      <c r="G2257" s="1" t="str">
        <f aca="false">IF(ISNA(F2257),"",F2257)</f>
        <v/>
      </c>
      <c r="H2257" s="5" t="str">
        <f aca="false">IF(G2257&lt;&gt;"",G2257,E2257)</f>
        <v>32, 32, DODRIO</v>
      </c>
    </row>
    <row r="2258" customFormat="false" ht="12.75" hidden="false" customHeight="true" outlineLevel="0" collapsed="false">
      <c r="A2258" s="4" t="s">
        <v>3477</v>
      </c>
      <c r="B2258" s="5" t="s">
        <v>3477</v>
      </c>
      <c r="C2258" s="1" t="str">
        <f aca="false">IF(B2258="NEW ROUTE",1,"")</f>
        <v/>
      </c>
      <c r="E2258" s="5" t="s">
        <v>3477</v>
      </c>
      <c r="F2258" s="6" t="e">
        <f aca="false">VLOOKUP(E2258,$K$2:$L$426,2,FALSE())</f>
        <v>#N/A</v>
      </c>
      <c r="G2258" s="1" t="str">
        <f aca="false">IF(ISNA(F2258),"",F2258)</f>
        <v/>
      </c>
      <c r="H2258" s="5" t="str">
        <f aca="false">IF(G2258&lt;&gt;"",G2258,E2258)</f>
        <v>32, 32, EXEGGUTOR</v>
      </c>
    </row>
    <row r="2259" customFormat="false" ht="12.75" hidden="false" customHeight="true" outlineLevel="0" collapsed="false">
      <c r="A2259" s="4" t="s">
        <v>2812</v>
      </c>
      <c r="B2259" s="5" t="n">
        <v>0.01</v>
      </c>
      <c r="C2259" s="1" t="str">
        <f aca="false">IF(B2259="NEW ROUTE",1,"")</f>
        <v/>
      </c>
      <c r="E2259" s="5" t="n">
        <v>0.01</v>
      </c>
      <c r="F2259" s="6" t="e">
        <f aca="false">VLOOKUP(E2259,$K$2:$L$426,2,FALSE())</f>
        <v>#N/A</v>
      </c>
      <c r="G2259" s="1" t="str">
        <f aca="false">IF(ISNA(F2259),"",F2259)</f>
        <v/>
      </c>
      <c r="H2259" s="5" t="n">
        <f aca="false">IF(G2259&lt;&gt;"",G2259,E2259)</f>
        <v>0.01</v>
      </c>
    </row>
    <row r="2260" customFormat="false" ht="12.75" hidden="false" customHeight="true" outlineLevel="0" collapsed="false">
      <c r="A2260" s="4" t="s">
        <v>3478</v>
      </c>
      <c r="B2260" s="5" t="s">
        <v>3478</v>
      </c>
      <c r="C2260" s="1" t="str">
        <f aca="false">IF(B2260="NEW ROUTE",1,"")</f>
        <v/>
      </c>
      <c r="E2260" s="5" t="s">
        <v>3478</v>
      </c>
      <c r="F2260" s="6" t="e">
        <f aca="false">VLOOKUP(E2260,$K$2:$L$426,2,FALSE())</f>
        <v>#N/A</v>
      </c>
      <c r="G2260" s="1" t="str">
        <f aca="false">IF(ISNA(F2260),"",F2260)</f>
        <v/>
      </c>
      <c r="H2260" s="5" t="str">
        <f aca="false">IF(G2260&lt;&gt;"",G2260,E2260)</f>
        <v>30, 35, VICTREEBEL</v>
      </c>
    </row>
    <row r="2261" customFormat="false" ht="12.75" hidden="false" customHeight="true" outlineLevel="0" collapsed="false">
      <c r="A2261" s="4" t="s">
        <v>3466</v>
      </c>
      <c r="B2261" s="5" t="s">
        <v>3466</v>
      </c>
      <c r="C2261" s="1" t="str">
        <f aca="false">IF(B2261="NEW ROUTE",1,"")</f>
        <v/>
      </c>
      <c r="E2261" s="5" t="s">
        <v>3466</v>
      </c>
      <c r="F2261" s="6" t="e">
        <f aca="false">VLOOKUP(E2261,$K$2:$L$426,2,FALSE())</f>
        <v>#N/A</v>
      </c>
      <c r="G2261" s="1" t="str">
        <f aca="false">IF(ISNA(F2261),"",F2261)</f>
        <v/>
      </c>
      <c r="H2261" s="5" t="str">
        <f aca="false">IF(G2261&lt;&gt;"",G2261,E2261)</f>
        <v>20, 25, SQUIRTLE</v>
      </c>
    </row>
    <row r="2262" customFormat="false" ht="12.75" hidden="false" customHeight="true" outlineLevel="0" collapsed="false">
      <c r="A2262" s="4" t="s">
        <v>3349</v>
      </c>
      <c r="B2262" s="5" t="s">
        <v>3349</v>
      </c>
      <c r="C2262" s="1" t="str">
        <f aca="false">IF(B2262="NEW ROUTE",1,"")</f>
        <v/>
      </c>
      <c r="E2262" s="5" t="s">
        <v>3349</v>
      </c>
      <c r="F2262" s="6" t="e">
        <f aca="false">VLOOKUP(E2262,$K$2:$L$426,2,FALSE())</f>
        <v>#N/A</v>
      </c>
      <c r="G2262" s="1" t="str">
        <f aca="false">IF(ISNA(F2262),"",F2262)</f>
        <v/>
      </c>
      <c r="H2262" s="5" t="str">
        <f aca="false">IF(G2262&lt;&gt;"",G2262,E2262)</f>
        <v>2, 38, 42, TENTACOOL</v>
      </c>
    </row>
    <row r="2263" customFormat="false" ht="12.75" hidden="false" customHeight="true" outlineLevel="0" collapsed="false">
      <c r="A2263" s="4" t="s">
        <v>3428</v>
      </c>
      <c r="B2263" s="5" t="s">
        <v>3428</v>
      </c>
      <c r="C2263" s="1" t="str">
        <f aca="false">IF(B2263="NEW ROUTE",1,"")</f>
        <v/>
      </c>
      <c r="E2263" s="5" t="s">
        <v>3428</v>
      </c>
      <c r="F2263" s="6" t="e">
        <f aca="false">VLOOKUP(E2263,$K$2:$L$426,2,FALSE())</f>
        <v>#N/A</v>
      </c>
      <c r="G2263" s="1" t="str">
        <f aca="false">IF(ISNA(F2263),"",F2263)</f>
        <v/>
      </c>
      <c r="H2263" s="5" t="str">
        <f aca="false">IF(G2263&lt;&gt;"",G2263,E2263)</f>
        <v>40, 44, TENTACRUEL</v>
      </c>
    </row>
    <row r="2264" customFormat="false" ht="12.75" hidden="false" customHeight="true" outlineLevel="0" collapsed="false">
      <c r="A2264" s="4" t="s">
        <v>3024</v>
      </c>
      <c r="B2264" s="5" t="s">
        <v>3024</v>
      </c>
      <c r="C2264" s="1" t="str">
        <f aca="false">IF(B2264="NEW ROUTE",1,"")</f>
        <v/>
      </c>
      <c r="E2264" s="5" t="s">
        <v>3024</v>
      </c>
      <c r="F2264" s="6" t="e">
        <f aca="false">VLOOKUP(E2264,$K$2:$L$426,2,FALSE())</f>
        <v>#N/A</v>
      </c>
      <c r="G2264" s="1" t="str">
        <f aca="false">IF(ISNA(F2264),"",F2264)</f>
        <v/>
      </c>
      <c r="H2264" s="5" t="str">
        <f aca="false">IF(G2264&lt;&gt;"",G2264,E2264)</f>
        <v>42, 46, LAPRAS</v>
      </c>
    </row>
    <row r="2265" customFormat="false" ht="12.75" hidden="false" customHeight="true" outlineLevel="0" collapsed="false">
      <c r="A2265" s="4" t="s">
        <v>3429</v>
      </c>
      <c r="B2265" s="5" t="s">
        <v>3429</v>
      </c>
      <c r="C2265" s="1" t="str">
        <f aca="false">IF(B2265="NEW ROUTE",1,"")</f>
        <v/>
      </c>
      <c r="E2265" s="5" t="s">
        <v>3429</v>
      </c>
      <c r="F2265" s="6" t="e">
        <f aca="false">VLOOKUP(E2265,$K$2:$L$426,2,FALSE())</f>
        <v>#N/A</v>
      </c>
      <c r="G2265" s="1" t="str">
        <f aca="false">IF(ISNA(F2265),"",F2265)</f>
        <v/>
      </c>
      <c r="H2265" s="5" t="str">
        <f aca="false">IF(G2265&lt;&gt;"",G2265,E2265)</f>
        <v>42, 46, TENTACATE</v>
      </c>
    </row>
    <row r="2266" customFormat="false" ht="12.75" hidden="false" customHeight="true" outlineLevel="0" collapsed="false">
      <c r="A2266" s="4" t="s">
        <v>3449</v>
      </c>
      <c r="B2266" s="5" t="s">
        <v>3449</v>
      </c>
      <c r="C2266" s="1" t="str">
        <f aca="false">IF(B2266="NEW ROUTE",1,"")</f>
        <v/>
      </c>
      <c r="E2266" s="5" t="s">
        <v>3449</v>
      </c>
      <c r="F2266" s="6" t="e">
        <f aca="false">VLOOKUP(E2266,$K$2:$L$426,2,FALSE())</f>
        <v>#N/A</v>
      </c>
      <c r="G2266" s="1" t="str">
        <f aca="false">IF(ISNA(F2266),"",F2266)</f>
        <v/>
      </c>
      <c r="H2266" s="5" t="str">
        <f aca="false">IF(G2266&lt;&gt;"",G2266,E2266)</f>
        <v>44, 48, LOCHLASS</v>
      </c>
    </row>
    <row r="2267" customFormat="false" ht="12.75" hidden="false" customHeight="true" outlineLevel="0" collapsed="false">
      <c r="A2267" s="4" t="s">
        <v>2925</v>
      </c>
      <c r="B2267" s="5" t="s">
        <v>2925</v>
      </c>
      <c r="C2267" s="1" t="str">
        <f aca="false">IF(B2267="NEW ROUTE",1,"")</f>
        <v/>
      </c>
      <c r="E2267" s="5" t="s">
        <v>2925</v>
      </c>
      <c r="F2267" s="6" t="e">
        <f aca="false">VLOOKUP(E2267,$K$2:$L$426,2,FALSE())</f>
        <v>#N/A</v>
      </c>
      <c r="G2267" s="1" t="str">
        <f aca="false">IF(ISNA(F2267),"",F2267)</f>
        <v/>
      </c>
      <c r="H2267" s="5" t="str">
        <f aca="false">IF(G2267&lt;&gt;"",G2267,E2267)</f>
        <v>20, old rod:</v>
      </c>
    </row>
    <row r="2268" customFormat="false" ht="12.75" hidden="false" customHeight="true" outlineLevel="0" collapsed="false">
      <c r="A2268" s="4" t="s">
        <v>1349</v>
      </c>
      <c r="B2268" s="5" t="s">
        <v>1349</v>
      </c>
      <c r="C2268" s="1" t="str">
        <f aca="false">IF(B2268="NEW ROUTE",1,"")</f>
        <v/>
      </c>
      <c r="E2268" s="5" t="s">
        <v>1349</v>
      </c>
      <c r="F2268" s="6" t="e">
        <f aca="false">VLOOKUP(E2268,$K$2:$L$426,2,FALSE())</f>
        <v>#N/A</v>
      </c>
      <c r="G2268" s="1" t="str">
        <f aca="false">IF(ISNA(F2268),"",F2268)</f>
        <v/>
      </c>
      <c r="H2268" s="5" t="str">
        <f aca="false">IF(G2268&lt;&gt;"",G2268,E2268)</f>
        <v>19, 26, MAGIKARP</v>
      </c>
    </row>
    <row r="2269" customFormat="false" ht="12.75" hidden="false" customHeight="true" outlineLevel="0" collapsed="false">
      <c r="A2269" s="4" t="s">
        <v>3352</v>
      </c>
      <c r="B2269" s="5" t="s">
        <v>3352</v>
      </c>
      <c r="C2269" s="1" t="str">
        <f aca="false">IF(B2269="NEW ROUTE",1,"")</f>
        <v/>
      </c>
      <c r="E2269" s="5" t="s">
        <v>3352</v>
      </c>
      <c r="F2269" s="6" t="e">
        <f aca="false">VLOOKUP(E2269,$K$2:$L$426,2,FALSE())</f>
        <v>#N/A</v>
      </c>
      <c r="G2269" s="1" t="str">
        <f aca="false">IF(ISNA(F2269),"",F2269)</f>
        <v/>
      </c>
      <c r="H2269" s="5" t="str">
        <f aca="false">IF(G2269&lt;&gt;"",G2269,E2269)</f>
        <v>19, 26, GYARADOS</v>
      </c>
    </row>
    <row r="2270" customFormat="false" ht="12.75" hidden="false" customHeight="true" outlineLevel="0" collapsed="false">
      <c r="A2270" s="4" t="s">
        <v>2846</v>
      </c>
      <c r="B2270" s="5" t="s">
        <v>2846</v>
      </c>
      <c r="C2270" s="1" t="str">
        <f aca="false">IF(B2270="NEW ROUTE",1,"")</f>
        <v/>
      </c>
      <c r="E2270" s="5" t="s">
        <v>2846</v>
      </c>
      <c r="F2270" s="6" t="e">
        <f aca="false">VLOOKUP(E2270,$K$2:$L$426,2,FALSE())</f>
        <v>#N/A</v>
      </c>
      <c r="G2270" s="1" t="str">
        <f aca="false">IF(ISNA(F2270),"",F2270)</f>
        <v/>
      </c>
      <c r="H2270" s="5" t="str">
        <f aca="false">IF(G2270&lt;&gt;"",G2270,E2270)</f>
        <v>good rod:</v>
      </c>
    </row>
    <row r="2271" customFormat="false" ht="12.75" hidden="false" customHeight="true" outlineLevel="0" collapsed="false">
      <c r="A2271" s="4" t="s">
        <v>3430</v>
      </c>
      <c r="B2271" s="5" t="s">
        <v>3430</v>
      </c>
      <c r="C2271" s="1" t="str">
        <f aca="false">IF(B2271="NEW ROUTE",1,"")</f>
        <v/>
      </c>
      <c r="E2271" s="5" t="s">
        <v>3430</v>
      </c>
      <c r="F2271" s="6" t="e">
        <f aca="false">VLOOKUP(E2271,$K$2:$L$426,2,FALSE())</f>
        <v>#N/A</v>
      </c>
      <c r="G2271" s="1" t="str">
        <f aca="false">IF(ISNA(F2271),"",F2271)</f>
        <v/>
      </c>
      <c r="H2271" s="5" t="str">
        <f aca="false">IF(G2271&lt;&gt;"",G2271,E2271)</f>
        <v>29, 33, HORSEA</v>
      </c>
    </row>
    <row r="2272" customFormat="false" ht="12.75" hidden="false" customHeight="true" outlineLevel="0" collapsed="false">
      <c r="A2272" s="4" t="s">
        <v>3027</v>
      </c>
      <c r="B2272" s="5" t="s">
        <v>3027</v>
      </c>
      <c r="C2272" s="1" t="str">
        <f aca="false">IF(B2272="NEW ROUTE",1,"")</f>
        <v/>
      </c>
      <c r="E2272" s="5" t="s">
        <v>3027</v>
      </c>
      <c r="F2272" s="6" t="e">
        <f aca="false">VLOOKUP(E2272,$K$2:$L$426,2,FALSE())</f>
        <v>#N/A</v>
      </c>
      <c r="G2272" s="1" t="str">
        <f aca="false">IF(ISNA(F2272),"",F2272)</f>
        <v/>
      </c>
      <c r="H2272" s="5" t="str">
        <f aca="false">IF(G2272&lt;&gt;"",G2272,E2272)</f>
        <v>30, 35, KRABBY</v>
      </c>
    </row>
    <row r="2273" customFormat="false" ht="12.75" hidden="false" customHeight="true" outlineLevel="0" collapsed="false">
      <c r="A2273" s="4" t="s">
        <v>3354</v>
      </c>
      <c r="B2273" s="5" t="s">
        <v>3354</v>
      </c>
      <c r="C2273" s="1" t="str">
        <f aca="false">IF(B2273="NEW ROUTE",1,"")</f>
        <v/>
      </c>
      <c r="E2273" s="5" t="s">
        <v>3354</v>
      </c>
      <c r="F2273" s="6" t="e">
        <f aca="false">VLOOKUP(E2273,$K$2:$L$426,2,FALSE())</f>
        <v>#N/A</v>
      </c>
      <c r="G2273" s="1" t="str">
        <f aca="false">IF(ISNA(F2273),"",F2273)</f>
        <v/>
      </c>
      <c r="H2273" s="5" t="str">
        <f aca="false">IF(G2273&lt;&gt;"",G2273,E2273)</f>
        <v>30, 35, PSYDUCK</v>
      </c>
    </row>
    <row r="2274" customFormat="false" ht="12.75" hidden="false" customHeight="true" outlineLevel="0" collapsed="false">
      <c r="A2274" s="4" t="s">
        <v>2850</v>
      </c>
      <c r="B2274" s="5" t="s">
        <v>2850</v>
      </c>
      <c r="C2274" s="1" t="str">
        <f aca="false">IF(B2274="NEW ROUTE",1,"")</f>
        <v/>
      </c>
      <c r="E2274" s="5" t="s">
        <v>2850</v>
      </c>
      <c r="F2274" s="6" t="e">
        <f aca="false">VLOOKUP(E2274,$K$2:$L$426,2,FALSE())</f>
        <v>#N/A</v>
      </c>
      <c r="G2274" s="1" t="str">
        <f aca="false">IF(ISNA(F2274),"",F2274)</f>
        <v/>
      </c>
      <c r="H2274" s="5" t="str">
        <f aca="false">IF(G2274&lt;&gt;"",G2274,E2274)</f>
        <v>super rod:</v>
      </c>
    </row>
    <row r="2275" customFormat="false" ht="12.75" hidden="false" customHeight="true" outlineLevel="0" collapsed="false">
      <c r="A2275" s="4" t="s">
        <v>3432</v>
      </c>
      <c r="B2275" s="5" t="s">
        <v>3432</v>
      </c>
      <c r="C2275" s="1" t="str">
        <f aca="false">IF(B2275="NEW ROUTE",1,"")</f>
        <v/>
      </c>
      <c r="E2275" s="5" t="s">
        <v>3432</v>
      </c>
      <c r="F2275" s="6" t="e">
        <f aca="false">VLOOKUP(E2275,$K$2:$L$426,2,FALSE())</f>
        <v>#N/A</v>
      </c>
      <c r="G2275" s="1" t="str">
        <f aca="false">IF(ISNA(F2275),"",F2275)</f>
        <v/>
      </c>
      <c r="H2275" s="5" t="str">
        <f aca="false">IF(G2275&lt;&gt;"",G2275,E2275)</f>
        <v>36, 40, SEADRA</v>
      </c>
    </row>
    <row r="2276" customFormat="false" ht="12.75" hidden="false" customHeight="true" outlineLevel="0" collapsed="false">
      <c r="A2276" s="4" t="s">
        <v>3356</v>
      </c>
      <c r="B2276" s="5" t="s">
        <v>3356</v>
      </c>
      <c r="C2276" s="1" t="str">
        <f aca="false">IF(B2276="NEW ROUTE",1,"")</f>
        <v/>
      </c>
      <c r="E2276" s="5" t="s">
        <v>3356</v>
      </c>
      <c r="F2276" s="6" t="e">
        <f aca="false">VLOOKUP(E2276,$K$2:$L$426,2,FALSE())</f>
        <v>#N/A</v>
      </c>
      <c r="G2276" s="1" t="str">
        <f aca="false">IF(ISNA(F2276),"",F2276)</f>
        <v/>
      </c>
      <c r="H2276" s="5" t="str">
        <f aca="false">IF(G2276&lt;&gt;"",G2276,E2276)</f>
        <v>36, 40, GYARADOS</v>
      </c>
    </row>
    <row r="2277" customFormat="false" ht="12.75" hidden="false" customHeight="true" outlineLevel="0" collapsed="false">
      <c r="A2277" s="4" t="s">
        <v>3357</v>
      </c>
      <c r="B2277" s="5" t="s">
        <v>3357</v>
      </c>
      <c r="C2277" s="1" t="str">
        <f aca="false">IF(B2277="NEW ROUTE",1,"")</f>
        <v/>
      </c>
      <c r="E2277" s="5" t="s">
        <v>3357</v>
      </c>
      <c r="F2277" s="6" t="e">
        <f aca="false">VLOOKUP(E2277,$K$2:$L$426,2,FALSE())</f>
        <v>#N/A</v>
      </c>
      <c r="G2277" s="1" t="str">
        <f aca="false">IF(ISNA(F2277),"",F2277)</f>
        <v/>
      </c>
      <c r="H2277" s="5" t="str">
        <f aca="false">IF(G2277&lt;&gt;"",G2277,E2277)</f>
        <v>38, 42, GOLDUCK</v>
      </c>
    </row>
    <row r="2278" customFormat="false" ht="12.75" hidden="false" customHeight="true" outlineLevel="0" collapsed="false">
      <c r="A2278" s="4" t="s">
        <v>3358</v>
      </c>
      <c r="B2278" s="5" t="s">
        <v>3358</v>
      </c>
      <c r="C2278" s="1" t="str">
        <f aca="false">IF(B2278="NEW ROUTE",1,"")</f>
        <v/>
      </c>
      <c r="E2278" s="5" t="s">
        <v>3358</v>
      </c>
      <c r="F2278" s="6" t="e">
        <f aca="false">VLOOKUP(E2278,$K$2:$L$426,2,FALSE())</f>
        <v>#N/A</v>
      </c>
      <c r="G2278" s="1" t="str">
        <f aca="false">IF(ISNA(F2278),"",F2278)</f>
        <v/>
      </c>
      <c r="H2278" s="5" t="str">
        <f aca="false">IF(G2278&lt;&gt;"",G2278,E2278)</f>
        <v>38, 42, KINGLER</v>
      </c>
    </row>
    <row r="2279" customFormat="false" ht="12.75" hidden="false" customHeight="true" outlineLevel="0" collapsed="false">
      <c r="A2279" s="4" t="s">
        <v>3436</v>
      </c>
      <c r="B2279" s="5" t="s">
        <v>3436</v>
      </c>
      <c r="C2279" s="1" t="str">
        <f aca="false">IF(B2279="NEW ROUTE",1,"")</f>
        <v/>
      </c>
      <c r="E2279" s="5" t="s">
        <v>3436</v>
      </c>
      <c r="F2279" s="6" t="e">
        <f aca="false">VLOOKUP(E2279,$K$2:$L$426,2,FALSE())</f>
        <v>#N/A</v>
      </c>
      <c r="G2279" s="1" t="str">
        <f aca="false">IF(ISNA(F2279),"",F2279)</f>
        <v/>
      </c>
      <c r="H2279" s="5" t="str">
        <f aca="false">IF(G2279&lt;&gt;"",G2279,E2279)</f>
        <v>40, 44, GILDUCK</v>
      </c>
    </row>
    <row r="2280" customFormat="false" ht="12.75" hidden="false" customHeight="true" outlineLevel="0" collapsed="false">
      <c r="A2280" s="4" t="s">
        <v>2536</v>
      </c>
      <c r="B2280" s="5" t="s">
        <v>2536</v>
      </c>
      <c r="C2280" s="1" t="n">
        <f aca="false">IF(B2280="NEW ROUTE",1,"")</f>
        <v>1</v>
      </c>
      <c r="E2280" s="5" t="s">
        <v>2536</v>
      </c>
      <c r="F2280" s="6" t="e">
        <f aca="false">VLOOKUP(E2280,$K$2:$L$426,2,FALSE())</f>
        <v>#N/A</v>
      </c>
      <c r="G2280" s="1" t="str">
        <f aca="false">IF(ISNA(F2280),"",F2280)</f>
        <v/>
      </c>
      <c r="H2280" s="5" t="str">
        <f aca="false">IF(G2280&lt;&gt;"",G2280,E2280)</f>
        <v>NEW ROUTE</v>
      </c>
    </row>
    <row r="2281" customFormat="false" ht="12.75" hidden="false" customHeight="true" outlineLevel="0" collapsed="false">
      <c r="A2281" s="4" t="s">
        <v>442</v>
      </c>
      <c r="B2281" s="5" t="s">
        <v>442</v>
      </c>
      <c r="C2281" s="1" t="str">
        <f aca="false">IF(B2281="NEW ROUTE",1,"")</f>
        <v/>
      </c>
      <c r="E2281" s="5" t="s">
        <v>442</v>
      </c>
      <c r="F2281" s="6" t="str">
        <f aca="false">VLOOKUP(E2281,$K$2:$L$426,2,FALSE())</f>
        <v>Route 14</v>
      </c>
      <c r="G2281" s="1" t="str">
        <f aca="false">IF(ISNA(F2281),"",F2281)</f>
        <v>Route 14</v>
      </c>
      <c r="H2281" s="5" t="str">
        <f aca="false">IF(G2281&lt;&gt;"",G2281,E2281)</f>
        <v>Route 14</v>
      </c>
    </row>
    <row r="2282" customFormat="false" ht="12.75" hidden="false" customHeight="true" outlineLevel="0" collapsed="false">
      <c r="A2282" s="4" t="s">
        <v>2799</v>
      </c>
      <c r="B2282" s="5" t="n">
        <v>0.2</v>
      </c>
      <c r="C2282" s="1" t="str">
        <f aca="false">IF(B2282="NEW ROUTE",1,"")</f>
        <v/>
      </c>
      <c r="E2282" s="5" t="n">
        <v>0.2</v>
      </c>
      <c r="F2282" s="6" t="e">
        <f aca="false">VLOOKUP(E2282,$K$2:$L$426,2,FALSE())</f>
        <v>#N/A</v>
      </c>
      <c r="G2282" s="1" t="str">
        <f aca="false">IF(ISNA(F2282),"",F2282)</f>
        <v/>
      </c>
      <c r="H2282" s="5" t="n">
        <f aca="false">IF(G2282&lt;&gt;"",G2282,E2282)</f>
        <v>0.2</v>
      </c>
    </row>
    <row r="2283" customFormat="false" ht="12.75" hidden="false" customHeight="true" outlineLevel="0" collapsed="false">
      <c r="A2283" s="4" t="s">
        <v>1956</v>
      </c>
      <c r="B2283" s="5" t="s">
        <v>1956</v>
      </c>
      <c r="C2283" s="1" t="str">
        <f aca="false">IF(B2283="NEW ROUTE",1,"")</f>
        <v/>
      </c>
      <c r="E2283" s="5" t="s">
        <v>1956</v>
      </c>
      <c r="F2283" s="6" t="e">
        <f aca="false">VLOOKUP(E2283,$K$2:$L$426,2,FALSE())</f>
        <v>#N/A</v>
      </c>
      <c r="G2283" s="1" t="str">
        <f aca="false">IF(ISNA(F2283),"",F2283)</f>
        <v/>
      </c>
      <c r="H2283" s="5" t="str">
        <f aca="false">IF(G2283&lt;&gt;"",G2283,E2283)</f>
        <v>32, 36, BELLSPROUT</v>
      </c>
    </row>
    <row r="2284" customFormat="false" ht="12.75" hidden="false" customHeight="true" outlineLevel="0" collapsed="false">
      <c r="A2284" s="4" t="s">
        <v>3480</v>
      </c>
      <c r="B2284" s="5" t="s">
        <v>3480</v>
      </c>
      <c r="C2284" s="1" t="str">
        <f aca="false">IF(B2284="NEW ROUTE",1,"")</f>
        <v/>
      </c>
      <c r="E2284" s="5" t="s">
        <v>3480</v>
      </c>
      <c r="F2284" s="6" t="e">
        <f aca="false">VLOOKUP(E2284,$K$2:$L$426,2,FALSE())</f>
        <v>#N/A</v>
      </c>
      <c r="G2284" s="1" t="str">
        <f aca="false">IF(ISNA(F2284),"",F2284)</f>
        <v/>
      </c>
      <c r="H2284" s="5" t="str">
        <f aca="false">IF(G2284&lt;&gt;"",G2284,E2284)</f>
        <v>32, 36, PIDGEOTTO</v>
      </c>
    </row>
    <row r="2285" customFormat="false" ht="12.75" hidden="false" customHeight="true" outlineLevel="0" collapsed="false">
      <c r="A2285" s="4" t="s">
        <v>2801</v>
      </c>
      <c r="B2285" s="5" t="n">
        <v>0.1</v>
      </c>
      <c r="C2285" s="1" t="str">
        <f aca="false">IF(B2285="NEW ROUTE",1,"")</f>
        <v/>
      </c>
      <c r="E2285" s="5" t="n">
        <v>0.1</v>
      </c>
      <c r="F2285" s="6" t="e">
        <f aca="false">VLOOKUP(E2285,$K$2:$L$426,2,FALSE())</f>
        <v>#N/A</v>
      </c>
      <c r="G2285" s="1" t="str">
        <f aca="false">IF(ISNA(F2285),"",F2285)</f>
        <v/>
      </c>
      <c r="H2285" s="5" t="n">
        <f aca="false">IF(G2285&lt;&gt;"",G2285,E2285)</f>
        <v>0.1</v>
      </c>
    </row>
    <row r="2286" customFormat="false" ht="12.75" hidden="false" customHeight="true" outlineLevel="0" collapsed="false">
      <c r="A2286" s="4" t="s">
        <v>3481</v>
      </c>
      <c r="B2286" s="5" t="s">
        <v>3481</v>
      </c>
      <c r="C2286" s="1" t="str">
        <f aca="false">IF(B2286="NEW ROUTE",1,"")</f>
        <v/>
      </c>
      <c r="E2286" s="5" t="s">
        <v>3481</v>
      </c>
      <c r="F2286" s="6" t="e">
        <f aca="false">VLOOKUP(E2286,$K$2:$L$426,2,FALSE())</f>
        <v>#N/A</v>
      </c>
      <c r="G2286" s="1" t="str">
        <f aca="false">IF(ISNA(F2286),"",F2286)</f>
        <v/>
      </c>
      <c r="H2286" s="5" t="str">
        <f aca="false">IF(G2286&lt;&gt;"",G2286,E2286)</f>
        <v>31, 33, WEEPINBELL</v>
      </c>
    </row>
    <row r="2287" customFormat="false" ht="12.75" hidden="false" customHeight="true" outlineLevel="0" collapsed="false">
      <c r="A2287" s="4" t="s">
        <v>3482</v>
      </c>
      <c r="B2287" s="5" t="s">
        <v>3482</v>
      </c>
      <c r="C2287" s="1" t="str">
        <f aca="false">IF(B2287="NEW ROUTE",1,"")</f>
        <v/>
      </c>
      <c r="E2287" s="5" t="s">
        <v>3482</v>
      </c>
      <c r="F2287" s="6" t="e">
        <f aca="false">VLOOKUP(E2287,$K$2:$L$426,2,FALSE())</f>
        <v>#N/A</v>
      </c>
      <c r="G2287" s="1" t="str">
        <f aca="false">IF(ISNA(F2287),"",F2287)</f>
        <v/>
      </c>
      <c r="H2287" s="5" t="str">
        <f aca="false">IF(G2287&lt;&gt;"",G2287,E2287)</f>
        <v>31, 33, DODUO</v>
      </c>
    </row>
    <row r="2288" customFormat="false" ht="12.75" hidden="false" customHeight="true" outlineLevel="0" collapsed="false">
      <c r="A2288" s="4" t="s">
        <v>3483</v>
      </c>
      <c r="B2288" s="5" t="s">
        <v>3483</v>
      </c>
      <c r="C2288" s="1" t="str">
        <f aca="false">IF(B2288="NEW ROUTE",1,"")</f>
        <v/>
      </c>
      <c r="E2288" s="5" t="s">
        <v>3483</v>
      </c>
      <c r="F2288" s="6" t="e">
        <f aca="false">VLOOKUP(E2288,$K$2:$L$426,2,FALSE())</f>
        <v>#N/A</v>
      </c>
      <c r="G2288" s="1" t="str">
        <f aca="false">IF(ISNA(F2288),"",F2288)</f>
        <v/>
      </c>
      <c r="H2288" s="5" t="str">
        <f aca="false">IF(G2288&lt;&gt;"",G2288,E2288)</f>
        <v>33, 33, PIDGEOT</v>
      </c>
    </row>
    <row r="2289" customFormat="false" ht="12.75" hidden="false" customHeight="true" outlineLevel="0" collapsed="false">
      <c r="A2289" s="4" t="s">
        <v>3484</v>
      </c>
      <c r="B2289" s="5" t="s">
        <v>3484</v>
      </c>
      <c r="C2289" s="1" t="str">
        <f aca="false">IF(B2289="NEW ROUTE",1,"")</f>
        <v/>
      </c>
      <c r="E2289" s="5" t="s">
        <v>3484</v>
      </c>
      <c r="F2289" s="6" t="e">
        <f aca="false">VLOOKUP(E2289,$K$2:$L$426,2,FALSE())</f>
        <v>#N/A</v>
      </c>
      <c r="G2289" s="1" t="str">
        <f aca="false">IF(ISNA(F2289),"",F2289)</f>
        <v/>
      </c>
      <c r="H2289" s="5" t="str">
        <f aca="false">IF(G2289&lt;&gt;"",G2289,E2289)</f>
        <v>31, 33, EXEGGCUTE</v>
      </c>
    </row>
    <row r="2290" customFormat="false" ht="12.75" hidden="false" customHeight="true" outlineLevel="0" collapsed="false">
      <c r="A2290" s="4" t="s">
        <v>2806</v>
      </c>
      <c r="B2290" s="5" t="n">
        <v>0.05</v>
      </c>
      <c r="C2290" s="1" t="str">
        <f aca="false">IF(B2290="NEW ROUTE",1,"")</f>
        <v/>
      </c>
      <c r="E2290" s="5" t="n">
        <v>0.05</v>
      </c>
      <c r="F2290" s="6" t="e">
        <f aca="false">VLOOKUP(E2290,$K$2:$L$426,2,FALSE())</f>
        <v>#N/A</v>
      </c>
      <c r="G2290" s="1" t="str">
        <f aca="false">IF(ISNA(F2290),"",F2290)</f>
        <v/>
      </c>
      <c r="H2290" s="5" t="n">
        <f aca="false">IF(G2290&lt;&gt;"",G2290,E2290)</f>
        <v>0.05</v>
      </c>
    </row>
    <row r="2291" customFormat="false" ht="12.75" hidden="false" customHeight="true" outlineLevel="0" collapsed="false">
      <c r="A2291" s="4" t="s">
        <v>3485</v>
      </c>
      <c r="B2291" s="5" t="s">
        <v>3485</v>
      </c>
      <c r="C2291" s="1" t="str">
        <f aca="false">IF(B2291="NEW ROUTE",1,"")</f>
        <v/>
      </c>
      <c r="E2291" s="5" t="s">
        <v>3485</v>
      </c>
      <c r="F2291" s="6" t="e">
        <f aca="false">VLOOKUP(E2291,$K$2:$L$426,2,FALSE())</f>
        <v>#N/A</v>
      </c>
      <c r="G2291" s="1" t="str">
        <f aca="false">IF(ISNA(F2291),"",F2291)</f>
        <v/>
      </c>
      <c r="H2291" s="5" t="str">
        <f aca="false">IF(G2291&lt;&gt;"",G2291,E2291)</f>
        <v>32, 36, SCYTHER</v>
      </c>
    </row>
    <row r="2292" customFormat="false" ht="12.75" hidden="false" customHeight="true" outlineLevel="0" collapsed="false">
      <c r="A2292" s="4" t="s">
        <v>3486</v>
      </c>
      <c r="B2292" s="5" t="s">
        <v>3486</v>
      </c>
      <c r="C2292" s="1" t="str">
        <f aca="false">IF(B2292="NEW ROUTE",1,"")</f>
        <v/>
      </c>
      <c r="E2292" s="5" t="s">
        <v>3486</v>
      </c>
      <c r="F2292" s="6" t="e">
        <f aca="false">VLOOKUP(E2292,$K$2:$L$426,2,FALSE())</f>
        <v>#N/A</v>
      </c>
      <c r="G2292" s="1" t="str">
        <f aca="false">IF(ISNA(F2292),"",F2292)</f>
        <v/>
      </c>
      <c r="H2292" s="5" t="str">
        <f aca="false">IF(G2292&lt;&gt;"",G2292,E2292)</f>
        <v>32, 36, JYNX</v>
      </c>
    </row>
    <row r="2293" customFormat="false" ht="12.75" hidden="false" customHeight="true" outlineLevel="0" collapsed="false">
      <c r="A2293" s="4" t="s">
        <v>2809</v>
      </c>
      <c r="B2293" s="5" t="n">
        <v>0.04</v>
      </c>
      <c r="C2293" s="1" t="str">
        <f aca="false">IF(B2293="NEW ROUTE",1,"")</f>
        <v/>
      </c>
      <c r="E2293" s="5" t="n">
        <v>0.04</v>
      </c>
      <c r="F2293" s="6" t="e">
        <f aca="false">VLOOKUP(E2293,$K$2:$L$426,2,FALSE())</f>
        <v>#N/A</v>
      </c>
      <c r="G2293" s="1" t="str">
        <f aca="false">IF(ISNA(F2293),"",F2293)</f>
        <v/>
      </c>
      <c r="H2293" s="5" t="n">
        <f aca="false">IF(G2293&lt;&gt;"",G2293,E2293)</f>
        <v>0.04</v>
      </c>
    </row>
    <row r="2294" customFormat="false" ht="12.75" hidden="false" customHeight="true" outlineLevel="0" collapsed="false">
      <c r="A2294" s="4" t="s">
        <v>3487</v>
      </c>
      <c r="B2294" s="5" t="s">
        <v>3487</v>
      </c>
      <c r="C2294" s="1" t="str">
        <f aca="false">IF(B2294="NEW ROUTE",1,"")</f>
        <v/>
      </c>
      <c r="E2294" s="5" t="s">
        <v>3487</v>
      </c>
      <c r="F2294" s="6" t="e">
        <f aca="false">VLOOKUP(E2294,$K$2:$L$426,2,FALSE())</f>
        <v>#N/A</v>
      </c>
      <c r="G2294" s="1" t="str">
        <f aca="false">IF(ISNA(F2294),"",F2294)</f>
        <v/>
      </c>
      <c r="H2294" s="5" t="str">
        <f aca="false">IF(G2294&lt;&gt;"",G2294,E2294)</f>
        <v>33, 33, DODRIO</v>
      </c>
    </row>
    <row r="2295" customFormat="false" ht="12.75" hidden="false" customHeight="true" outlineLevel="0" collapsed="false">
      <c r="A2295" s="4" t="s">
        <v>3488</v>
      </c>
      <c r="B2295" s="5" t="s">
        <v>3488</v>
      </c>
      <c r="C2295" s="1" t="str">
        <f aca="false">IF(B2295="NEW ROUTE",1,"")</f>
        <v/>
      </c>
      <c r="E2295" s="5" t="s">
        <v>3488</v>
      </c>
      <c r="F2295" s="6" t="e">
        <f aca="false">VLOOKUP(E2295,$K$2:$L$426,2,FALSE())</f>
        <v>#N/A</v>
      </c>
      <c r="G2295" s="1" t="str">
        <f aca="false">IF(ISNA(F2295),"",F2295)</f>
        <v/>
      </c>
      <c r="H2295" s="5" t="str">
        <f aca="false">IF(G2295&lt;&gt;"",G2295,E2295)</f>
        <v>33, 33, EXEGGUTOR</v>
      </c>
    </row>
    <row r="2296" customFormat="false" ht="12.75" hidden="false" customHeight="true" outlineLevel="0" collapsed="false">
      <c r="A2296" s="4" t="s">
        <v>2812</v>
      </c>
      <c r="B2296" s="5" t="n">
        <v>0.01</v>
      </c>
      <c r="C2296" s="1" t="str">
        <f aca="false">IF(B2296="NEW ROUTE",1,"")</f>
        <v/>
      </c>
      <c r="E2296" s="5" t="n">
        <v>0.01</v>
      </c>
      <c r="F2296" s="6" t="e">
        <f aca="false">VLOOKUP(E2296,$K$2:$L$426,2,FALSE())</f>
        <v>#N/A</v>
      </c>
      <c r="G2296" s="1" t="str">
        <f aca="false">IF(ISNA(F2296),"",F2296)</f>
        <v/>
      </c>
      <c r="H2296" s="5" t="n">
        <f aca="false">IF(G2296&lt;&gt;"",G2296,E2296)</f>
        <v>0.01</v>
      </c>
    </row>
    <row r="2297" customFormat="false" ht="12.75" hidden="false" customHeight="true" outlineLevel="0" collapsed="false">
      <c r="A2297" s="4" t="s">
        <v>3489</v>
      </c>
      <c r="B2297" s="5" t="s">
        <v>3489</v>
      </c>
      <c r="C2297" s="1" t="str">
        <f aca="false">IF(B2297="NEW ROUTE",1,"")</f>
        <v/>
      </c>
      <c r="E2297" s="5" t="s">
        <v>3489</v>
      </c>
      <c r="F2297" s="6" t="e">
        <f aca="false">VLOOKUP(E2297,$K$2:$L$426,2,FALSE())</f>
        <v>#N/A</v>
      </c>
      <c r="G2297" s="1" t="str">
        <f aca="false">IF(ISNA(F2297),"",F2297)</f>
        <v/>
      </c>
      <c r="H2297" s="5" t="str">
        <f aca="false">IF(G2297&lt;&gt;"",G2297,E2297)</f>
        <v>31, 36, VICTREEBEL</v>
      </c>
    </row>
    <row r="2298" customFormat="false" ht="12.75" hidden="false" customHeight="true" outlineLevel="0" collapsed="false">
      <c r="A2298" s="4" t="s">
        <v>3466</v>
      </c>
      <c r="B2298" s="5" t="s">
        <v>3466</v>
      </c>
      <c r="C2298" s="1" t="str">
        <f aca="false">IF(B2298="NEW ROUTE",1,"")</f>
        <v/>
      </c>
      <c r="E2298" s="5" t="s">
        <v>3466</v>
      </c>
      <c r="F2298" s="6" t="e">
        <f aca="false">VLOOKUP(E2298,$K$2:$L$426,2,FALSE())</f>
        <v>#N/A</v>
      </c>
      <c r="G2298" s="1" t="str">
        <f aca="false">IF(ISNA(F2298),"",F2298)</f>
        <v/>
      </c>
      <c r="H2298" s="5" t="str">
        <f aca="false">IF(G2298&lt;&gt;"",G2298,E2298)</f>
        <v>20, 25, SQUIRTLE</v>
      </c>
    </row>
    <row r="2299" customFormat="false" ht="12.75" hidden="false" customHeight="true" outlineLevel="0" collapsed="false">
      <c r="A2299" s="4" t="s">
        <v>2536</v>
      </c>
      <c r="B2299" s="5" t="s">
        <v>2536</v>
      </c>
      <c r="C2299" s="1" t="n">
        <f aca="false">IF(B2299="NEW ROUTE",1,"")</f>
        <v>1</v>
      </c>
      <c r="E2299" s="5" t="s">
        <v>2536</v>
      </c>
      <c r="F2299" s="6" t="e">
        <f aca="false">VLOOKUP(E2299,$K$2:$L$426,2,FALSE())</f>
        <v>#N/A</v>
      </c>
      <c r="G2299" s="1" t="str">
        <f aca="false">IF(ISNA(F2299),"",F2299)</f>
        <v/>
      </c>
      <c r="H2299" s="5" t="str">
        <f aca="false">IF(G2299&lt;&gt;"",G2299,E2299)</f>
        <v>NEW ROUTE</v>
      </c>
    </row>
    <row r="2300" customFormat="false" ht="12.75" hidden="false" customHeight="true" outlineLevel="0" collapsed="false">
      <c r="A2300" s="4" t="s">
        <v>444</v>
      </c>
      <c r="B2300" s="5" t="s">
        <v>444</v>
      </c>
      <c r="C2300" s="1" t="str">
        <f aca="false">IF(B2300="NEW ROUTE",1,"")</f>
        <v/>
      </c>
      <c r="E2300" s="5" t="s">
        <v>444</v>
      </c>
      <c r="F2300" s="6" t="str">
        <f aca="false">VLOOKUP(E2300,$K$2:$L$426,2,FALSE())</f>
        <v>Route 15</v>
      </c>
      <c r="G2300" s="1" t="str">
        <f aca="false">IF(ISNA(F2300),"",F2300)</f>
        <v>Route 15</v>
      </c>
      <c r="H2300" s="5" t="str">
        <f aca="false">IF(G2300&lt;&gt;"",G2300,E2300)</f>
        <v>Route 15</v>
      </c>
    </row>
    <row r="2301" customFormat="false" ht="12.75" hidden="false" customHeight="true" outlineLevel="0" collapsed="false">
      <c r="A2301" s="4" t="s">
        <v>2799</v>
      </c>
      <c r="B2301" s="5" t="n">
        <v>0.2</v>
      </c>
      <c r="C2301" s="1" t="str">
        <f aca="false">IF(B2301="NEW ROUTE",1,"")</f>
        <v/>
      </c>
      <c r="E2301" s="5" t="n">
        <v>0.2</v>
      </c>
      <c r="F2301" s="6" t="e">
        <f aca="false">VLOOKUP(E2301,$K$2:$L$426,2,FALSE())</f>
        <v>#N/A</v>
      </c>
      <c r="G2301" s="1" t="str">
        <f aca="false">IF(ISNA(F2301),"",F2301)</f>
        <v/>
      </c>
      <c r="H2301" s="5" t="n">
        <f aca="false">IF(G2301&lt;&gt;"",G2301,E2301)</f>
        <v>0.2</v>
      </c>
    </row>
    <row r="2302" customFormat="false" ht="12.75" hidden="false" customHeight="true" outlineLevel="0" collapsed="false">
      <c r="A2302" s="4" t="s">
        <v>1969</v>
      </c>
      <c r="B2302" s="5" t="s">
        <v>1969</v>
      </c>
      <c r="C2302" s="1" t="str">
        <f aca="false">IF(B2302="NEW ROUTE",1,"")</f>
        <v/>
      </c>
      <c r="E2302" s="5" t="s">
        <v>1969</v>
      </c>
      <c r="F2302" s="6" t="e">
        <f aca="false">VLOOKUP(E2302,$K$2:$L$426,2,FALSE())</f>
        <v>#N/A</v>
      </c>
      <c r="G2302" s="1" t="str">
        <f aca="false">IF(ISNA(F2302),"",F2302)</f>
        <v/>
      </c>
      <c r="H2302" s="5" t="str">
        <f aca="false">IF(G2302&lt;&gt;"",G2302,E2302)</f>
        <v>33, 37, BELLSPROUT</v>
      </c>
    </row>
    <row r="2303" customFormat="false" ht="12.75" hidden="false" customHeight="true" outlineLevel="0" collapsed="false">
      <c r="A2303" s="4" t="s">
        <v>3492</v>
      </c>
      <c r="B2303" s="5" t="s">
        <v>3492</v>
      </c>
      <c r="C2303" s="1" t="str">
        <f aca="false">IF(B2303="NEW ROUTE",1,"")</f>
        <v/>
      </c>
      <c r="E2303" s="5" t="s">
        <v>3492</v>
      </c>
      <c r="F2303" s="6" t="e">
        <f aca="false">VLOOKUP(E2303,$K$2:$L$426,2,FALSE())</f>
        <v>#N/A</v>
      </c>
      <c r="G2303" s="1" t="str">
        <f aca="false">IF(ISNA(F2303),"",F2303)</f>
        <v/>
      </c>
      <c r="H2303" s="5" t="str">
        <f aca="false">IF(G2303&lt;&gt;"",G2303,E2303)</f>
        <v>33, 37, PIDGEOTTO</v>
      </c>
    </row>
    <row r="2304" customFormat="false" ht="12.75" hidden="false" customHeight="true" outlineLevel="0" collapsed="false">
      <c r="A2304" s="4" t="s">
        <v>2801</v>
      </c>
      <c r="B2304" s="5" t="n">
        <v>0.1</v>
      </c>
      <c r="C2304" s="1" t="str">
        <f aca="false">IF(B2304="NEW ROUTE",1,"")</f>
        <v/>
      </c>
      <c r="E2304" s="5" t="n">
        <v>0.1</v>
      </c>
      <c r="F2304" s="6" t="e">
        <f aca="false">VLOOKUP(E2304,$K$2:$L$426,2,FALSE())</f>
        <v>#N/A</v>
      </c>
      <c r="G2304" s="1" t="str">
        <f aca="false">IF(ISNA(F2304),"",F2304)</f>
        <v/>
      </c>
      <c r="H2304" s="5" t="n">
        <f aca="false">IF(G2304&lt;&gt;"",G2304,E2304)</f>
        <v>0.1</v>
      </c>
    </row>
    <row r="2305" customFormat="false" ht="12.75" hidden="false" customHeight="true" outlineLevel="0" collapsed="false">
      <c r="A2305" s="4" t="s">
        <v>3493</v>
      </c>
      <c r="B2305" s="5" t="s">
        <v>3493</v>
      </c>
      <c r="C2305" s="1" t="str">
        <f aca="false">IF(B2305="NEW ROUTE",1,"")</f>
        <v/>
      </c>
      <c r="E2305" s="5" t="s">
        <v>3493</v>
      </c>
      <c r="F2305" s="6" t="e">
        <f aca="false">VLOOKUP(E2305,$K$2:$L$426,2,FALSE())</f>
        <v>#N/A</v>
      </c>
      <c r="G2305" s="1" t="str">
        <f aca="false">IF(ISNA(F2305),"",F2305)</f>
        <v/>
      </c>
      <c r="H2305" s="5" t="str">
        <f aca="false">IF(G2305&lt;&gt;"",G2305,E2305)</f>
        <v>32, 34, WEEPINBELL</v>
      </c>
    </row>
    <row r="2306" customFormat="false" ht="12.75" hidden="false" customHeight="true" outlineLevel="0" collapsed="false">
      <c r="A2306" s="4" t="s">
        <v>3494</v>
      </c>
      <c r="B2306" s="5" t="s">
        <v>3494</v>
      </c>
      <c r="C2306" s="1" t="str">
        <f aca="false">IF(B2306="NEW ROUTE",1,"")</f>
        <v/>
      </c>
      <c r="E2306" s="5" t="s">
        <v>3494</v>
      </c>
      <c r="F2306" s="6" t="e">
        <f aca="false">VLOOKUP(E2306,$K$2:$L$426,2,FALSE())</f>
        <v>#N/A</v>
      </c>
      <c r="G2306" s="1" t="str">
        <f aca="false">IF(ISNA(F2306),"",F2306)</f>
        <v/>
      </c>
      <c r="H2306" s="5" t="str">
        <f aca="false">IF(G2306&lt;&gt;"",G2306,E2306)</f>
        <v>32, 34, DODUO</v>
      </c>
    </row>
    <row r="2307" customFormat="false" ht="12.75" hidden="false" customHeight="true" outlineLevel="0" collapsed="false">
      <c r="A2307" s="4" t="s">
        <v>3495</v>
      </c>
      <c r="B2307" s="5" t="s">
        <v>3495</v>
      </c>
      <c r="C2307" s="1" t="str">
        <f aca="false">IF(B2307="NEW ROUTE",1,"")</f>
        <v/>
      </c>
      <c r="E2307" s="5" t="s">
        <v>3495</v>
      </c>
      <c r="F2307" s="6" t="e">
        <f aca="false">VLOOKUP(E2307,$K$2:$L$426,2,FALSE())</f>
        <v>#N/A</v>
      </c>
      <c r="G2307" s="1" t="str">
        <f aca="false">IF(ISNA(F2307),"",F2307)</f>
        <v/>
      </c>
      <c r="H2307" s="5" t="str">
        <f aca="false">IF(G2307&lt;&gt;"",G2307,E2307)</f>
        <v>34, 34, PIDGEOT</v>
      </c>
    </row>
    <row r="2308" customFormat="false" ht="12.75" hidden="false" customHeight="true" outlineLevel="0" collapsed="false">
      <c r="A2308" s="4" t="s">
        <v>3496</v>
      </c>
      <c r="B2308" s="5" t="s">
        <v>3496</v>
      </c>
      <c r="C2308" s="1" t="str">
        <f aca="false">IF(B2308="NEW ROUTE",1,"")</f>
        <v/>
      </c>
      <c r="E2308" s="5" t="s">
        <v>3496</v>
      </c>
      <c r="F2308" s="6" t="e">
        <f aca="false">VLOOKUP(E2308,$K$2:$L$426,2,FALSE())</f>
        <v>#N/A</v>
      </c>
      <c r="G2308" s="1" t="str">
        <f aca="false">IF(ISNA(F2308),"",F2308)</f>
        <v/>
      </c>
      <c r="H2308" s="5" t="str">
        <f aca="false">IF(G2308&lt;&gt;"",G2308,E2308)</f>
        <v>32, 34, EXEGGCUTE</v>
      </c>
    </row>
    <row r="2309" customFormat="false" ht="12.75" hidden="false" customHeight="true" outlineLevel="0" collapsed="false">
      <c r="A2309" s="4" t="s">
        <v>2806</v>
      </c>
      <c r="B2309" s="5" t="n">
        <v>0.05</v>
      </c>
      <c r="C2309" s="1" t="str">
        <f aca="false">IF(B2309="NEW ROUTE",1,"")</f>
        <v/>
      </c>
      <c r="E2309" s="5" t="n">
        <v>0.05</v>
      </c>
      <c r="F2309" s="6" t="e">
        <f aca="false">VLOOKUP(E2309,$K$2:$L$426,2,FALSE())</f>
        <v>#N/A</v>
      </c>
      <c r="G2309" s="1" t="str">
        <f aca="false">IF(ISNA(F2309),"",F2309)</f>
        <v/>
      </c>
      <c r="H2309" s="5" t="n">
        <f aca="false">IF(G2309&lt;&gt;"",G2309,E2309)</f>
        <v>0.05</v>
      </c>
    </row>
    <row r="2310" customFormat="false" ht="12.75" hidden="false" customHeight="true" outlineLevel="0" collapsed="false">
      <c r="A2310" s="4" t="s">
        <v>3497</v>
      </c>
      <c r="B2310" s="5" t="s">
        <v>3497</v>
      </c>
      <c r="C2310" s="1" t="str">
        <f aca="false">IF(B2310="NEW ROUTE",1,"")</f>
        <v/>
      </c>
      <c r="E2310" s="5" t="s">
        <v>3497</v>
      </c>
      <c r="F2310" s="6" t="e">
        <f aca="false">VLOOKUP(E2310,$K$2:$L$426,2,FALSE())</f>
        <v>#N/A</v>
      </c>
      <c r="G2310" s="1" t="str">
        <f aca="false">IF(ISNA(F2310),"",F2310)</f>
        <v/>
      </c>
      <c r="H2310" s="5" t="str">
        <f aca="false">IF(G2310&lt;&gt;"",G2310,E2310)</f>
        <v>33, 37, SCYTHER</v>
      </c>
    </row>
    <row r="2311" customFormat="false" ht="12.75" hidden="false" customHeight="true" outlineLevel="0" collapsed="false">
      <c r="A2311" s="4" t="s">
        <v>3498</v>
      </c>
      <c r="B2311" s="5" t="s">
        <v>3498</v>
      </c>
      <c r="C2311" s="1" t="str">
        <f aca="false">IF(B2311="NEW ROUTE",1,"")</f>
        <v/>
      </c>
      <c r="E2311" s="5" t="s">
        <v>3498</v>
      </c>
      <c r="F2311" s="6" t="e">
        <f aca="false">VLOOKUP(E2311,$K$2:$L$426,2,FALSE())</f>
        <v>#N/A</v>
      </c>
      <c r="G2311" s="1" t="str">
        <f aca="false">IF(ISNA(F2311),"",F2311)</f>
        <v/>
      </c>
      <c r="H2311" s="5" t="str">
        <f aca="false">IF(G2311&lt;&gt;"",G2311,E2311)</f>
        <v>33, 37, JYNX</v>
      </c>
    </row>
    <row r="2312" customFormat="false" ht="12.75" hidden="false" customHeight="true" outlineLevel="0" collapsed="false">
      <c r="A2312" s="4" t="s">
        <v>2809</v>
      </c>
      <c r="B2312" s="5" t="n">
        <v>0.04</v>
      </c>
      <c r="C2312" s="1" t="str">
        <f aca="false">IF(B2312="NEW ROUTE",1,"")</f>
        <v/>
      </c>
      <c r="E2312" s="5" t="n">
        <v>0.04</v>
      </c>
      <c r="F2312" s="6" t="e">
        <f aca="false">VLOOKUP(E2312,$K$2:$L$426,2,FALSE())</f>
        <v>#N/A</v>
      </c>
      <c r="G2312" s="1" t="str">
        <f aca="false">IF(ISNA(F2312),"",F2312)</f>
        <v/>
      </c>
      <c r="H2312" s="5" t="n">
        <f aca="false">IF(G2312&lt;&gt;"",G2312,E2312)</f>
        <v>0.04</v>
      </c>
    </row>
    <row r="2313" customFormat="false" ht="12.75" hidden="false" customHeight="true" outlineLevel="0" collapsed="false">
      <c r="A2313" s="4" t="s">
        <v>3499</v>
      </c>
      <c r="B2313" s="5" t="s">
        <v>3499</v>
      </c>
      <c r="C2313" s="1" t="str">
        <f aca="false">IF(B2313="NEW ROUTE",1,"")</f>
        <v/>
      </c>
      <c r="E2313" s="5" t="s">
        <v>3499</v>
      </c>
      <c r="F2313" s="6" t="e">
        <f aca="false">VLOOKUP(E2313,$K$2:$L$426,2,FALSE())</f>
        <v>#N/A</v>
      </c>
      <c r="G2313" s="1" t="str">
        <f aca="false">IF(ISNA(F2313),"",F2313)</f>
        <v/>
      </c>
      <c r="H2313" s="5" t="str">
        <f aca="false">IF(G2313&lt;&gt;"",G2313,E2313)</f>
        <v>34, 34, DODRIO</v>
      </c>
    </row>
    <row r="2314" customFormat="false" ht="12.75" hidden="false" customHeight="true" outlineLevel="0" collapsed="false">
      <c r="A2314" s="4" t="s">
        <v>3500</v>
      </c>
      <c r="B2314" s="5" t="s">
        <v>3500</v>
      </c>
      <c r="C2314" s="1" t="str">
        <f aca="false">IF(B2314="NEW ROUTE",1,"")</f>
        <v/>
      </c>
      <c r="E2314" s="5" t="s">
        <v>3500</v>
      </c>
      <c r="F2314" s="6" t="e">
        <f aca="false">VLOOKUP(E2314,$K$2:$L$426,2,FALSE())</f>
        <v>#N/A</v>
      </c>
      <c r="G2314" s="1" t="str">
        <f aca="false">IF(ISNA(F2314),"",F2314)</f>
        <v/>
      </c>
      <c r="H2314" s="5" t="str">
        <f aca="false">IF(G2314&lt;&gt;"",G2314,E2314)</f>
        <v>34, 34, EXEGGUTOR</v>
      </c>
    </row>
    <row r="2315" customFormat="false" ht="12.75" hidden="false" customHeight="true" outlineLevel="0" collapsed="false">
      <c r="A2315" s="4" t="s">
        <v>2812</v>
      </c>
      <c r="B2315" s="5" t="n">
        <v>0.01</v>
      </c>
      <c r="C2315" s="1" t="str">
        <f aca="false">IF(B2315="NEW ROUTE",1,"")</f>
        <v/>
      </c>
      <c r="E2315" s="5" t="n">
        <v>0.01</v>
      </c>
      <c r="F2315" s="6" t="e">
        <f aca="false">VLOOKUP(E2315,$K$2:$L$426,2,FALSE())</f>
        <v>#N/A</v>
      </c>
      <c r="G2315" s="1" t="str">
        <f aca="false">IF(ISNA(F2315),"",F2315)</f>
        <v/>
      </c>
      <c r="H2315" s="5" t="n">
        <f aca="false">IF(G2315&lt;&gt;"",G2315,E2315)</f>
        <v>0.01</v>
      </c>
    </row>
    <row r="2316" customFormat="false" ht="12.75" hidden="false" customHeight="true" outlineLevel="0" collapsed="false">
      <c r="A2316" s="4" t="s">
        <v>3501</v>
      </c>
      <c r="B2316" s="5" t="s">
        <v>3501</v>
      </c>
      <c r="C2316" s="1" t="str">
        <f aca="false">IF(B2316="NEW ROUTE",1,"")</f>
        <v/>
      </c>
      <c r="E2316" s="5" t="s">
        <v>3501</v>
      </c>
      <c r="F2316" s="6" t="e">
        <f aca="false">VLOOKUP(E2316,$K$2:$L$426,2,FALSE())</f>
        <v>#N/A</v>
      </c>
      <c r="G2316" s="1" t="str">
        <f aca="false">IF(ISNA(F2316),"",F2316)</f>
        <v/>
      </c>
      <c r="H2316" s="5" t="str">
        <f aca="false">IF(G2316&lt;&gt;"",G2316,E2316)</f>
        <v>32, 37, VICTREEBEL</v>
      </c>
    </row>
    <row r="2317" customFormat="false" ht="12.75" hidden="false" customHeight="true" outlineLevel="0" collapsed="false">
      <c r="A2317" s="4" t="s">
        <v>3466</v>
      </c>
      <c r="B2317" s="5" t="s">
        <v>3466</v>
      </c>
      <c r="C2317" s="1" t="str">
        <f aca="false">IF(B2317="NEW ROUTE",1,"")</f>
        <v/>
      </c>
      <c r="E2317" s="5" t="s">
        <v>3466</v>
      </c>
      <c r="F2317" s="6" t="e">
        <f aca="false">VLOOKUP(E2317,$K$2:$L$426,2,FALSE())</f>
        <v>#N/A</v>
      </c>
      <c r="G2317" s="1" t="str">
        <f aca="false">IF(ISNA(F2317),"",F2317)</f>
        <v/>
      </c>
      <c r="H2317" s="5" t="str">
        <f aca="false">IF(G2317&lt;&gt;"",G2317,E2317)</f>
        <v>20, 25, SQUIRTLE</v>
      </c>
    </row>
    <row r="2318" customFormat="false" ht="12.75" hidden="false" customHeight="true" outlineLevel="0" collapsed="false">
      <c r="A2318" s="4" t="s">
        <v>2536</v>
      </c>
      <c r="B2318" s="5" t="s">
        <v>2536</v>
      </c>
      <c r="C2318" s="1" t="n">
        <f aca="false">IF(B2318="NEW ROUTE",1,"")</f>
        <v>1</v>
      </c>
      <c r="E2318" s="5" t="s">
        <v>2536</v>
      </c>
      <c r="F2318" s="6" t="e">
        <f aca="false">VLOOKUP(E2318,$K$2:$L$426,2,FALSE())</f>
        <v>#N/A</v>
      </c>
      <c r="G2318" s="1" t="str">
        <f aca="false">IF(ISNA(F2318),"",F2318)</f>
        <v/>
      </c>
      <c r="H2318" s="5" t="str">
        <f aca="false">IF(G2318&lt;&gt;"",G2318,E2318)</f>
        <v>NEW ROUTE</v>
      </c>
    </row>
    <row r="2319" customFormat="false" ht="12.75" hidden="false" customHeight="true" outlineLevel="0" collapsed="false">
      <c r="A2319" s="4" t="s">
        <v>446</v>
      </c>
      <c r="B2319" s="5" t="s">
        <v>446</v>
      </c>
      <c r="C2319" s="1" t="str">
        <f aca="false">IF(B2319="NEW ROUTE",1,"")</f>
        <v/>
      </c>
      <c r="E2319" s="5" t="s">
        <v>446</v>
      </c>
      <c r="F2319" s="6" t="str">
        <f aca="false">VLOOKUP(E2319,$K$2:$L$426,2,FALSE())</f>
        <v>Route 16</v>
      </c>
      <c r="G2319" s="1" t="str">
        <f aca="false">IF(ISNA(F2319),"",F2319)</f>
        <v>Route 16</v>
      </c>
      <c r="H2319" s="5" t="str">
        <f aca="false">IF(G2319&lt;&gt;"",G2319,E2319)</f>
        <v>Route 16</v>
      </c>
    </row>
    <row r="2320" customFormat="false" ht="12.75" hidden="false" customHeight="true" outlineLevel="0" collapsed="false">
      <c r="A2320" s="4" t="s">
        <v>2799</v>
      </c>
      <c r="B2320" s="5" t="n">
        <v>0.2</v>
      </c>
      <c r="C2320" s="1" t="str">
        <f aca="false">IF(B2320="NEW ROUTE",1,"")</f>
        <v/>
      </c>
      <c r="E2320" s="5" t="n">
        <v>0.2</v>
      </c>
      <c r="F2320" s="6" t="e">
        <f aca="false">VLOOKUP(E2320,$K$2:$L$426,2,FALSE())</f>
        <v>#N/A</v>
      </c>
      <c r="G2320" s="1" t="str">
        <f aca="false">IF(ISNA(F2320),"",F2320)</f>
        <v/>
      </c>
      <c r="H2320" s="5" t="n">
        <f aca="false">IF(G2320&lt;&gt;"",G2320,E2320)</f>
        <v>0.2</v>
      </c>
    </row>
    <row r="2321" customFormat="false" ht="12.75" hidden="false" customHeight="true" outlineLevel="0" collapsed="false">
      <c r="A2321" s="4" t="s">
        <v>1981</v>
      </c>
      <c r="B2321" s="5" t="s">
        <v>1981</v>
      </c>
      <c r="C2321" s="1" t="str">
        <f aca="false">IF(B2321="NEW ROUTE",1,"")</f>
        <v/>
      </c>
      <c r="E2321" s="5" t="s">
        <v>1981</v>
      </c>
      <c r="F2321" s="6" t="e">
        <f aca="false">VLOOKUP(E2321,$K$2:$L$426,2,FALSE())</f>
        <v>#N/A</v>
      </c>
      <c r="G2321" s="1" t="str">
        <f aca="false">IF(ISNA(F2321),"",F2321)</f>
        <v/>
      </c>
      <c r="H2321" s="5" t="str">
        <f aca="false">IF(G2321&lt;&gt;"",G2321,E2321)</f>
        <v>29, 34, ODDISH</v>
      </c>
    </row>
    <row r="2322" customFormat="false" ht="12.75" hidden="false" customHeight="true" outlineLevel="0" collapsed="false">
      <c r="A2322" s="4" t="s">
        <v>3456</v>
      </c>
      <c r="B2322" s="5" t="s">
        <v>3456</v>
      </c>
      <c r="C2322" s="1" t="str">
        <f aca="false">IF(B2322="NEW ROUTE",1,"")</f>
        <v/>
      </c>
      <c r="E2322" s="5" t="s">
        <v>3456</v>
      </c>
      <c r="F2322" s="6" t="e">
        <f aca="false">VLOOKUP(E2322,$K$2:$L$426,2,FALSE())</f>
        <v>#N/A</v>
      </c>
      <c r="G2322" s="1" t="str">
        <f aca="false">IF(ISNA(F2322),"",F2322)</f>
        <v/>
      </c>
      <c r="H2322" s="5" t="str">
        <f aca="false">IF(G2322&lt;&gt;"",G2322,E2322)</f>
        <v>29, 34, PIDGEOTTO</v>
      </c>
    </row>
    <row r="2323" customFormat="false" ht="12.75" hidden="false" customHeight="true" outlineLevel="0" collapsed="false">
      <c r="A2323" s="4" t="s">
        <v>2801</v>
      </c>
      <c r="B2323" s="5" t="n">
        <v>0.1</v>
      </c>
      <c r="C2323" s="1" t="str">
        <f aca="false">IF(B2323="NEW ROUTE",1,"")</f>
        <v/>
      </c>
      <c r="E2323" s="5" t="n">
        <v>0.1</v>
      </c>
      <c r="F2323" s="6" t="e">
        <f aca="false">VLOOKUP(E2323,$K$2:$L$426,2,FALSE())</f>
        <v>#N/A</v>
      </c>
      <c r="G2323" s="1" t="str">
        <f aca="false">IF(ISNA(F2323),"",F2323)</f>
        <v/>
      </c>
      <c r="H2323" s="5" t="n">
        <f aca="false">IF(G2323&lt;&gt;"",G2323,E2323)</f>
        <v>0.1</v>
      </c>
    </row>
    <row r="2324" customFormat="false" ht="12.75" hidden="false" customHeight="true" outlineLevel="0" collapsed="false">
      <c r="A2324" s="4" t="s">
        <v>3503</v>
      </c>
      <c r="B2324" s="5" t="s">
        <v>3503</v>
      </c>
      <c r="C2324" s="1" t="str">
        <f aca="false">IF(B2324="NEW ROUTE",1,"")</f>
        <v/>
      </c>
      <c r="E2324" s="5" t="s">
        <v>3503</v>
      </c>
      <c r="F2324" s="6" t="e">
        <f aca="false">VLOOKUP(E2324,$K$2:$L$426,2,FALSE())</f>
        <v>#N/A</v>
      </c>
      <c r="G2324" s="1" t="str">
        <f aca="false">IF(ISNA(F2324),"",F2324)</f>
        <v/>
      </c>
      <c r="H2324" s="5" t="str">
        <f aca="false">IF(G2324&lt;&gt;"",G2324,E2324)</f>
        <v>29, 31, GLOOM</v>
      </c>
    </row>
    <row r="2325" customFormat="false" ht="12.75" hidden="false" customHeight="true" outlineLevel="0" collapsed="false">
      <c r="A2325" s="4" t="s">
        <v>3458</v>
      </c>
      <c r="B2325" s="5" t="s">
        <v>3458</v>
      </c>
      <c r="C2325" s="1" t="str">
        <f aca="false">IF(B2325="NEW ROUTE",1,"")</f>
        <v/>
      </c>
      <c r="E2325" s="5" t="s">
        <v>3458</v>
      </c>
      <c r="F2325" s="6" t="e">
        <f aca="false">VLOOKUP(E2325,$K$2:$L$426,2,FALSE())</f>
        <v>#N/A</v>
      </c>
      <c r="G2325" s="1" t="str">
        <f aca="false">IF(ISNA(F2325),"",F2325)</f>
        <v/>
      </c>
      <c r="H2325" s="5" t="str">
        <f aca="false">IF(G2325&lt;&gt;"",G2325,E2325)</f>
        <v>29, 31, DODUO</v>
      </c>
    </row>
    <row r="2326" customFormat="false" ht="12.75" hidden="false" customHeight="true" outlineLevel="0" collapsed="false">
      <c r="A2326" s="4" t="s">
        <v>3459</v>
      </c>
      <c r="B2326" s="5" t="s">
        <v>3459</v>
      </c>
      <c r="C2326" s="1" t="str">
        <f aca="false">IF(B2326="NEW ROUTE",1,"")</f>
        <v/>
      </c>
      <c r="E2326" s="5" t="s">
        <v>3459</v>
      </c>
      <c r="F2326" s="6" t="e">
        <f aca="false">VLOOKUP(E2326,$K$2:$L$426,2,FALSE())</f>
        <v>#N/A</v>
      </c>
      <c r="G2326" s="1" t="str">
        <f aca="false">IF(ISNA(F2326),"",F2326)</f>
        <v/>
      </c>
      <c r="H2326" s="5" t="str">
        <f aca="false">IF(G2326&lt;&gt;"",G2326,E2326)</f>
        <v>31, 31, PIDGEOT</v>
      </c>
    </row>
    <row r="2327" customFormat="false" ht="12.75" hidden="false" customHeight="true" outlineLevel="0" collapsed="false">
      <c r="A2327" s="4" t="s">
        <v>3504</v>
      </c>
      <c r="B2327" s="5" t="s">
        <v>3504</v>
      </c>
      <c r="C2327" s="1" t="str">
        <f aca="false">IF(B2327="NEW ROUTE",1,"")</f>
        <v/>
      </c>
      <c r="E2327" s="5" t="s">
        <v>3504</v>
      </c>
      <c r="F2327" s="6" t="e">
        <f aca="false">VLOOKUP(E2327,$K$2:$L$426,2,FALSE())</f>
        <v>#N/A</v>
      </c>
      <c r="G2327" s="1" t="str">
        <f aca="false">IF(ISNA(F2327),"",F2327)</f>
        <v/>
      </c>
      <c r="H2327" s="5" t="str">
        <f aca="false">IF(G2327&lt;&gt;"",G2327,E2327)</f>
        <v>29, 31, LICKITUNG</v>
      </c>
    </row>
    <row r="2328" customFormat="false" ht="12.75" hidden="false" customHeight="true" outlineLevel="0" collapsed="false">
      <c r="A2328" s="4" t="s">
        <v>2806</v>
      </c>
      <c r="B2328" s="5" t="n">
        <v>0.05</v>
      </c>
      <c r="C2328" s="1" t="str">
        <f aca="false">IF(B2328="NEW ROUTE",1,"")</f>
        <v/>
      </c>
      <c r="E2328" s="5" t="n">
        <v>0.05</v>
      </c>
      <c r="F2328" s="6" t="e">
        <f aca="false">VLOOKUP(E2328,$K$2:$L$426,2,FALSE())</f>
        <v>#N/A</v>
      </c>
      <c r="G2328" s="1" t="str">
        <f aca="false">IF(ISNA(F2328),"",F2328)</f>
        <v/>
      </c>
      <c r="H2328" s="5" t="n">
        <f aca="false">IF(G2328&lt;&gt;"",G2328,E2328)</f>
        <v>0.05</v>
      </c>
    </row>
    <row r="2329" customFormat="false" ht="12.75" hidden="false" customHeight="true" outlineLevel="0" collapsed="false">
      <c r="A2329" s="4" t="s">
        <v>3505</v>
      </c>
      <c r="B2329" s="5" t="s">
        <v>3505</v>
      </c>
      <c r="C2329" s="1" t="str">
        <f aca="false">IF(B2329="NEW ROUTE",1,"")</f>
        <v/>
      </c>
      <c r="E2329" s="5" t="s">
        <v>3505</v>
      </c>
      <c r="F2329" s="6" t="e">
        <f aca="false">VLOOKUP(E2329,$K$2:$L$426,2,FALSE())</f>
        <v>#N/A</v>
      </c>
      <c r="G2329" s="1" t="str">
        <f aca="false">IF(ISNA(F2329),"",F2329)</f>
        <v/>
      </c>
      <c r="H2329" s="5" t="str">
        <f aca="false">IF(G2329&lt;&gt;"",G2329,E2329)</f>
        <v>30, 34, TAUROS</v>
      </c>
    </row>
    <row r="2330" customFormat="false" ht="12.75" hidden="false" customHeight="true" outlineLevel="0" collapsed="false">
      <c r="A2330" s="4" t="s">
        <v>3506</v>
      </c>
      <c r="B2330" s="5" t="s">
        <v>3506</v>
      </c>
      <c r="C2330" s="1" t="str">
        <f aca="false">IF(B2330="NEW ROUTE",1,"")</f>
        <v/>
      </c>
      <c r="E2330" s="5" t="s">
        <v>3506</v>
      </c>
      <c r="F2330" s="6" t="e">
        <f aca="false">VLOOKUP(E2330,$K$2:$L$426,2,FALSE())</f>
        <v>#N/A</v>
      </c>
      <c r="G2330" s="1" t="str">
        <f aca="false">IF(ISNA(F2330),"",F2330)</f>
        <v/>
      </c>
      <c r="H2330" s="5" t="str">
        <f aca="false">IF(G2330&lt;&gt;"",G2330,E2330)</f>
        <v>30, 34, "MR. MIME"</v>
      </c>
    </row>
    <row r="2331" customFormat="false" ht="12.75" hidden="false" customHeight="true" outlineLevel="0" collapsed="false">
      <c r="A2331" s="4" t="s">
        <v>2809</v>
      </c>
      <c r="B2331" s="5" t="n">
        <v>0.04</v>
      </c>
      <c r="C2331" s="1" t="str">
        <f aca="false">IF(B2331="NEW ROUTE",1,"")</f>
        <v/>
      </c>
      <c r="E2331" s="5" t="n">
        <v>0.04</v>
      </c>
      <c r="F2331" s="6" t="e">
        <f aca="false">VLOOKUP(E2331,$K$2:$L$426,2,FALSE())</f>
        <v>#N/A</v>
      </c>
      <c r="G2331" s="1" t="str">
        <f aca="false">IF(ISNA(F2331),"",F2331)</f>
        <v/>
      </c>
      <c r="H2331" s="5" t="n">
        <f aca="false">IF(G2331&lt;&gt;"",G2331,E2331)</f>
        <v>0.04</v>
      </c>
    </row>
    <row r="2332" customFormat="false" ht="12.75" hidden="false" customHeight="true" outlineLevel="0" collapsed="false">
      <c r="A2332" s="4" t="s">
        <v>3463</v>
      </c>
      <c r="B2332" s="5" t="s">
        <v>3463</v>
      </c>
      <c r="C2332" s="1" t="str">
        <f aca="false">IF(B2332="NEW ROUTE",1,"")</f>
        <v/>
      </c>
      <c r="E2332" s="5" t="s">
        <v>3463</v>
      </c>
      <c r="F2332" s="6" t="e">
        <f aca="false">VLOOKUP(E2332,$K$2:$L$426,2,FALSE())</f>
        <v>#N/A</v>
      </c>
      <c r="G2332" s="1" t="str">
        <f aca="false">IF(ISNA(F2332),"",F2332)</f>
        <v/>
      </c>
      <c r="H2332" s="5" t="str">
        <f aca="false">IF(G2332&lt;&gt;"",G2332,E2332)</f>
        <v>31, 31, DODRIO</v>
      </c>
    </row>
    <row r="2333" customFormat="false" ht="12.75" hidden="false" customHeight="true" outlineLevel="0" collapsed="false">
      <c r="A2333" s="4" t="s">
        <v>3507</v>
      </c>
      <c r="B2333" s="5" t="s">
        <v>3507</v>
      </c>
      <c r="C2333" s="1" t="str">
        <f aca="false">IF(B2333="NEW ROUTE",1,"")</f>
        <v/>
      </c>
      <c r="E2333" s="5" t="s">
        <v>3507</v>
      </c>
      <c r="F2333" s="6" t="e">
        <f aca="false">VLOOKUP(E2333,$K$2:$L$426,2,FALSE())</f>
        <v>#N/A</v>
      </c>
      <c r="G2333" s="1" t="str">
        <f aca="false">IF(ISNA(F2333),"",F2333)</f>
        <v/>
      </c>
      <c r="H2333" s="5" t="str">
        <f aca="false">IF(G2333&lt;&gt;"",G2333,E2333)</f>
        <v>31, 31, LICKILICKY</v>
      </c>
    </row>
    <row r="2334" customFormat="false" ht="12.75" hidden="false" customHeight="true" outlineLevel="0" collapsed="false">
      <c r="A2334" s="4" t="s">
        <v>2812</v>
      </c>
      <c r="B2334" s="5" t="n">
        <v>0.01</v>
      </c>
      <c r="C2334" s="1" t="str">
        <f aca="false">IF(B2334="NEW ROUTE",1,"")</f>
        <v/>
      </c>
      <c r="E2334" s="5" t="n">
        <v>0.01</v>
      </c>
      <c r="F2334" s="6" t="e">
        <f aca="false">VLOOKUP(E2334,$K$2:$L$426,2,FALSE())</f>
        <v>#N/A</v>
      </c>
      <c r="G2334" s="1" t="str">
        <f aca="false">IF(ISNA(F2334),"",F2334)</f>
        <v/>
      </c>
      <c r="H2334" s="5" t="n">
        <f aca="false">IF(G2334&lt;&gt;"",G2334,E2334)</f>
        <v>0.01</v>
      </c>
    </row>
    <row r="2335" customFormat="false" ht="12.75" hidden="false" customHeight="true" outlineLevel="0" collapsed="false">
      <c r="A2335" s="4" t="s">
        <v>3508</v>
      </c>
      <c r="B2335" s="5" t="s">
        <v>3508</v>
      </c>
      <c r="C2335" s="1" t="str">
        <f aca="false">IF(B2335="NEW ROUTE",1,"")</f>
        <v/>
      </c>
      <c r="E2335" s="5" t="s">
        <v>3508</v>
      </c>
      <c r="F2335" s="6" t="e">
        <f aca="false">VLOOKUP(E2335,$K$2:$L$426,2,FALSE())</f>
        <v>#N/A</v>
      </c>
      <c r="G2335" s="1" t="str">
        <f aca="false">IF(ISNA(F2335),"",F2335)</f>
        <v/>
      </c>
      <c r="H2335" s="5" t="str">
        <f aca="false">IF(G2335&lt;&gt;"",G2335,E2335)</f>
        <v>29, 34, VILEPLUME</v>
      </c>
    </row>
    <row r="2336" customFormat="false" ht="12.75" hidden="false" customHeight="true" outlineLevel="0" collapsed="false">
      <c r="A2336" s="4" t="s">
        <v>3727</v>
      </c>
      <c r="B2336" s="5" t="s">
        <v>3727</v>
      </c>
      <c r="C2336" s="1" t="str">
        <f aca="false">IF(B2336="NEW ROUTE",1,"")</f>
        <v/>
      </c>
      <c r="E2336" s="5" t="s">
        <v>3727</v>
      </c>
      <c r="F2336" s="6" t="e">
        <f aca="false">VLOOKUP(E2336,$K$2:$L$426,2,FALSE())</f>
        <v>#N/A</v>
      </c>
      <c r="G2336" s="1" t="str">
        <f aca="false">IF(ISNA(F2336),"",F2336)</f>
        <v/>
      </c>
      <c r="H2336" s="5" t="str">
        <f aca="false">IF(G2336&lt;&gt;"",G2336,E2336)</f>
        <v>20, 25, BULBASAUR</v>
      </c>
    </row>
    <row r="2337" customFormat="false" ht="12.75" hidden="false" customHeight="true" outlineLevel="0" collapsed="false">
      <c r="A2337" s="4" t="s">
        <v>2536</v>
      </c>
      <c r="B2337" s="5" t="s">
        <v>2536</v>
      </c>
      <c r="C2337" s="1" t="n">
        <f aca="false">IF(B2337="NEW ROUTE",1,"")</f>
        <v>1</v>
      </c>
      <c r="E2337" s="5" t="s">
        <v>2536</v>
      </c>
      <c r="F2337" s="6" t="e">
        <f aca="false">VLOOKUP(E2337,$K$2:$L$426,2,FALSE())</f>
        <v>#N/A</v>
      </c>
      <c r="G2337" s="1" t="str">
        <f aca="false">IF(ISNA(F2337),"",F2337)</f>
        <v/>
      </c>
      <c r="H2337" s="5" t="str">
        <f aca="false">IF(G2337&lt;&gt;"",G2337,E2337)</f>
        <v>NEW ROUTE</v>
      </c>
    </row>
    <row r="2338" customFormat="false" ht="12.75" hidden="false" customHeight="true" outlineLevel="0" collapsed="false">
      <c r="A2338" s="4" t="s">
        <v>448</v>
      </c>
      <c r="B2338" s="5" t="s">
        <v>448</v>
      </c>
      <c r="C2338" s="1" t="str">
        <f aca="false">IF(B2338="NEW ROUTE",1,"")</f>
        <v/>
      </c>
      <c r="E2338" s="5" t="s">
        <v>448</v>
      </c>
      <c r="F2338" s="6" t="str">
        <f aca="false">VLOOKUP(E2338,$K$2:$L$426,2,FALSE())</f>
        <v>Route 17</v>
      </c>
      <c r="G2338" s="1" t="str">
        <f aca="false">IF(ISNA(F2338),"",F2338)</f>
        <v>Route 17</v>
      </c>
      <c r="H2338" s="5" t="str">
        <f aca="false">IF(G2338&lt;&gt;"",G2338,E2338)</f>
        <v>Route 17</v>
      </c>
    </row>
    <row r="2339" customFormat="false" ht="12.75" hidden="false" customHeight="true" outlineLevel="0" collapsed="false">
      <c r="A2339" s="4" t="s">
        <v>2799</v>
      </c>
      <c r="B2339" s="5" t="n">
        <v>0.2</v>
      </c>
      <c r="C2339" s="1" t="str">
        <f aca="false">IF(B2339="NEW ROUTE",1,"")</f>
        <v/>
      </c>
      <c r="E2339" s="5" t="n">
        <v>0.2</v>
      </c>
      <c r="F2339" s="6" t="e">
        <f aca="false">VLOOKUP(E2339,$K$2:$L$426,2,FALSE())</f>
        <v>#N/A</v>
      </c>
      <c r="G2339" s="1" t="str">
        <f aca="false">IF(ISNA(F2339),"",F2339)</f>
        <v/>
      </c>
      <c r="H2339" s="5" t="n">
        <f aca="false">IF(G2339&lt;&gt;"",G2339,E2339)</f>
        <v>0.2</v>
      </c>
    </row>
    <row r="2340" customFormat="false" ht="12.75" hidden="false" customHeight="true" outlineLevel="0" collapsed="false">
      <c r="A2340" s="4" t="s">
        <v>1990</v>
      </c>
      <c r="B2340" s="5" t="s">
        <v>1990</v>
      </c>
      <c r="C2340" s="1" t="str">
        <f aca="false">IF(B2340="NEW ROUTE",1,"")</f>
        <v/>
      </c>
      <c r="E2340" s="5" t="s">
        <v>1990</v>
      </c>
      <c r="F2340" s="6" t="e">
        <f aca="false">VLOOKUP(E2340,$K$2:$L$426,2,FALSE())</f>
        <v>#N/A</v>
      </c>
      <c r="G2340" s="1" t="str">
        <f aca="false">IF(ISNA(F2340),"",F2340)</f>
        <v/>
      </c>
      <c r="H2340" s="5" t="str">
        <f aca="false">IF(G2340&lt;&gt;"",G2340,E2340)</f>
        <v>30, 35, ODDISH</v>
      </c>
    </row>
    <row r="2341" customFormat="false" ht="12.75" hidden="false" customHeight="true" outlineLevel="0" collapsed="false">
      <c r="A2341" s="4" t="s">
        <v>3469</v>
      </c>
      <c r="B2341" s="5" t="s">
        <v>3469</v>
      </c>
      <c r="C2341" s="1" t="str">
        <f aca="false">IF(B2341="NEW ROUTE",1,"")</f>
        <v/>
      </c>
      <c r="E2341" s="5" t="s">
        <v>3469</v>
      </c>
      <c r="F2341" s="6" t="e">
        <f aca="false">VLOOKUP(E2341,$K$2:$L$426,2,FALSE())</f>
        <v>#N/A</v>
      </c>
      <c r="G2341" s="1" t="str">
        <f aca="false">IF(ISNA(F2341),"",F2341)</f>
        <v/>
      </c>
      <c r="H2341" s="5" t="str">
        <f aca="false">IF(G2341&lt;&gt;"",G2341,E2341)</f>
        <v>30, 35, PIDGEOTTO</v>
      </c>
    </row>
    <row r="2342" customFormat="false" ht="12.75" hidden="false" customHeight="true" outlineLevel="0" collapsed="false">
      <c r="A2342" s="4" t="s">
        <v>2801</v>
      </c>
      <c r="B2342" s="5" t="n">
        <v>0.1</v>
      </c>
      <c r="C2342" s="1" t="str">
        <f aca="false">IF(B2342="NEW ROUTE",1,"")</f>
        <v/>
      </c>
      <c r="E2342" s="5" t="n">
        <v>0.1</v>
      </c>
      <c r="F2342" s="6" t="e">
        <f aca="false">VLOOKUP(E2342,$K$2:$L$426,2,FALSE())</f>
        <v>#N/A</v>
      </c>
      <c r="G2342" s="1" t="str">
        <f aca="false">IF(ISNA(F2342),"",F2342)</f>
        <v/>
      </c>
      <c r="H2342" s="5" t="n">
        <f aca="false">IF(G2342&lt;&gt;"",G2342,E2342)</f>
        <v>0.1</v>
      </c>
    </row>
    <row r="2343" customFormat="false" ht="12.75" hidden="false" customHeight="true" outlineLevel="0" collapsed="false">
      <c r="A2343" s="4" t="s">
        <v>3511</v>
      </c>
      <c r="B2343" s="5" t="s">
        <v>3511</v>
      </c>
      <c r="C2343" s="1" t="str">
        <f aca="false">IF(B2343="NEW ROUTE",1,"")</f>
        <v/>
      </c>
      <c r="E2343" s="5" t="s">
        <v>3511</v>
      </c>
      <c r="F2343" s="6" t="e">
        <f aca="false">VLOOKUP(E2343,$K$2:$L$426,2,FALSE())</f>
        <v>#N/A</v>
      </c>
      <c r="G2343" s="1" t="str">
        <f aca="false">IF(ISNA(F2343),"",F2343)</f>
        <v/>
      </c>
      <c r="H2343" s="5" t="str">
        <f aca="false">IF(G2343&lt;&gt;"",G2343,E2343)</f>
        <v>30, 35, GLOOM</v>
      </c>
    </row>
    <row r="2344" customFormat="false" ht="12.75" hidden="false" customHeight="true" outlineLevel="0" collapsed="false">
      <c r="A2344" s="4" t="s">
        <v>3512</v>
      </c>
      <c r="B2344" s="5" t="s">
        <v>3512</v>
      </c>
      <c r="C2344" s="1" t="str">
        <f aca="false">IF(B2344="NEW ROUTE",1,"")</f>
        <v/>
      </c>
      <c r="E2344" s="5" t="s">
        <v>3512</v>
      </c>
      <c r="F2344" s="6" t="e">
        <f aca="false">VLOOKUP(E2344,$K$2:$L$426,2,FALSE())</f>
        <v>#N/A</v>
      </c>
      <c r="G2344" s="1" t="str">
        <f aca="false">IF(ISNA(F2344),"",F2344)</f>
        <v/>
      </c>
      <c r="H2344" s="5" t="str">
        <f aca="false">IF(G2344&lt;&gt;"",G2344,E2344)</f>
        <v>30, 35, DODUO</v>
      </c>
    </row>
    <row r="2345" customFormat="false" ht="12.75" hidden="false" customHeight="true" outlineLevel="0" collapsed="false">
      <c r="A2345" s="4" t="s">
        <v>3472</v>
      </c>
      <c r="B2345" s="5" t="s">
        <v>3472</v>
      </c>
      <c r="C2345" s="1" t="str">
        <f aca="false">IF(B2345="NEW ROUTE",1,"")</f>
        <v/>
      </c>
      <c r="E2345" s="5" t="s">
        <v>3472</v>
      </c>
      <c r="F2345" s="6" t="e">
        <f aca="false">VLOOKUP(E2345,$K$2:$L$426,2,FALSE())</f>
        <v>#N/A</v>
      </c>
      <c r="G2345" s="1" t="str">
        <f aca="false">IF(ISNA(F2345),"",F2345)</f>
        <v/>
      </c>
      <c r="H2345" s="5" t="str">
        <f aca="false">IF(G2345&lt;&gt;"",G2345,E2345)</f>
        <v>32, 32, PIDGEOT</v>
      </c>
    </row>
    <row r="2346" customFormat="false" ht="12.75" hidden="false" customHeight="true" outlineLevel="0" collapsed="false">
      <c r="A2346" s="4" t="s">
        <v>3513</v>
      </c>
      <c r="B2346" s="5" t="s">
        <v>3513</v>
      </c>
      <c r="C2346" s="1" t="str">
        <f aca="false">IF(B2346="NEW ROUTE",1,"")</f>
        <v/>
      </c>
      <c r="E2346" s="5" t="s">
        <v>3513</v>
      </c>
      <c r="F2346" s="6" t="e">
        <f aca="false">VLOOKUP(E2346,$K$2:$L$426,2,FALSE())</f>
        <v>#N/A</v>
      </c>
      <c r="G2346" s="1" t="str">
        <f aca="false">IF(ISNA(F2346),"",F2346)</f>
        <v/>
      </c>
      <c r="H2346" s="5" t="str">
        <f aca="false">IF(G2346&lt;&gt;"",G2346,E2346)</f>
        <v>30, 32, LICKITUNG</v>
      </c>
    </row>
    <row r="2347" customFormat="false" ht="12.75" hidden="false" customHeight="true" outlineLevel="0" collapsed="false">
      <c r="A2347" s="4" t="s">
        <v>2806</v>
      </c>
      <c r="B2347" s="5" t="n">
        <v>0.05</v>
      </c>
      <c r="C2347" s="1" t="str">
        <f aca="false">IF(B2347="NEW ROUTE",1,"")</f>
        <v/>
      </c>
      <c r="E2347" s="5" t="n">
        <v>0.05</v>
      </c>
      <c r="F2347" s="6" t="e">
        <f aca="false">VLOOKUP(E2347,$K$2:$L$426,2,FALSE())</f>
        <v>#N/A</v>
      </c>
      <c r="G2347" s="1" t="str">
        <f aca="false">IF(ISNA(F2347),"",F2347)</f>
        <v/>
      </c>
      <c r="H2347" s="5" t="n">
        <f aca="false">IF(G2347&lt;&gt;"",G2347,E2347)</f>
        <v>0.05</v>
      </c>
    </row>
    <row r="2348" customFormat="false" ht="12.75" hidden="false" customHeight="true" outlineLevel="0" collapsed="false">
      <c r="A2348" s="4" t="s">
        <v>3514</v>
      </c>
      <c r="B2348" s="5" t="s">
        <v>3514</v>
      </c>
      <c r="C2348" s="1" t="str">
        <f aca="false">IF(B2348="NEW ROUTE",1,"")</f>
        <v/>
      </c>
      <c r="E2348" s="5" t="s">
        <v>3514</v>
      </c>
      <c r="F2348" s="6" t="e">
        <f aca="false">VLOOKUP(E2348,$K$2:$L$426,2,FALSE())</f>
        <v>#N/A</v>
      </c>
      <c r="G2348" s="1" t="str">
        <f aca="false">IF(ISNA(F2348),"",F2348)</f>
        <v/>
      </c>
      <c r="H2348" s="5" t="str">
        <f aca="false">IF(G2348&lt;&gt;"",G2348,E2348)</f>
        <v>31, 35, TAUROS</v>
      </c>
    </row>
    <row r="2349" customFormat="false" ht="12.75" hidden="false" customHeight="true" outlineLevel="0" collapsed="false">
      <c r="A2349" s="4" t="s">
        <v>3515</v>
      </c>
      <c r="B2349" s="5" t="s">
        <v>3515</v>
      </c>
      <c r="C2349" s="1" t="str">
        <f aca="false">IF(B2349="NEW ROUTE",1,"")</f>
        <v/>
      </c>
      <c r="E2349" s="5" t="s">
        <v>3515</v>
      </c>
      <c r="F2349" s="6" t="e">
        <f aca="false">VLOOKUP(E2349,$K$2:$L$426,2,FALSE())</f>
        <v>#N/A</v>
      </c>
      <c r="G2349" s="1" t="str">
        <f aca="false">IF(ISNA(F2349),"",F2349)</f>
        <v/>
      </c>
      <c r="H2349" s="5" t="str">
        <f aca="false">IF(G2349&lt;&gt;"",G2349,E2349)</f>
        <v>31, 35, "MR. MIME"</v>
      </c>
    </row>
    <row r="2350" customFormat="false" ht="12.75" hidden="false" customHeight="true" outlineLevel="0" collapsed="false">
      <c r="A2350" s="4" t="s">
        <v>2809</v>
      </c>
      <c r="B2350" s="5" t="n">
        <v>0.04</v>
      </c>
      <c r="C2350" s="1" t="str">
        <f aca="false">IF(B2350="NEW ROUTE",1,"")</f>
        <v/>
      </c>
      <c r="E2350" s="5" t="n">
        <v>0.04</v>
      </c>
      <c r="F2350" s="6" t="e">
        <f aca="false">VLOOKUP(E2350,$K$2:$L$426,2,FALSE())</f>
        <v>#N/A</v>
      </c>
      <c r="G2350" s="1" t="str">
        <f aca="false">IF(ISNA(F2350),"",F2350)</f>
        <v/>
      </c>
      <c r="H2350" s="5" t="n">
        <f aca="false">IF(G2350&lt;&gt;"",G2350,E2350)</f>
        <v>0.04</v>
      </c>
    </row>
    <row r="2351" customFormat="false" ht="12.75" hidden="false" customHeight="true" outlineLevel="0" collapsed="false">
      <c r="A2351" s="4" t="s">
        <v>3476</v>
      </c>
      <c r="B2351" s="5" t="s">
        <v>3476</v>
      </c>
      <c r="C2351" s="1" t="str">
        <f aca="false">IF(B2351="NEW ROUTE",1,"")</f>
        <v/>
      </c>
      <c r="E2351" s="5" t="s">
        <v>3476</v>
      </c>
      <c r="F2351" s="6" t="e">
        <f aca="false">VLOOKUP(E2351,$K$2:$L$426,2,FALSE())</f>
        <v>#N/A</v>
      </c>
      <c r="G2351" s="1" t="str">
        <f aca="false">IF(ISNA(F2351),"",F2351)</f>
        <v/>
      </c>
      <c r="H2351" s="5" t="str">
        <f aca="false">IF(G2351&lt;&gt;"",G2351,E2351)</f>
        <v>32, 32, DODRIO</v>
      </c>
    </row>
    <row r="2352" customFormat="false" ht="12.75" hidden="false" customHeight="true" outlineLevel="0" collapsed="false">
      <c r="A2352" s="4" t="s">
        <v>3516</v>
      </c>
      <c r="B2352" s="5" t="s">
        <v>3516</v>
      </c>
      <c r="C2352" s="1" t="str">
        <f aca="false">IF(B2352="NEW ROUTE",1,"")</f>
        <v/>
      </c>
      <c r="E2352" s="5" t="s">
        <v>3516</v>
      </c>
      <c r="F2352" s="6" t="e">
        <f aca="false">VLOOKUP(E2352,$K$2:$L$426,2,FALSE())</f>
        <v>#N/A</v>
      </c>
      <c r="G2352" s="1" t="str">
        <f aca="false">IF(ISNA(F2352),"",F2352)</f>
        <v/>
      </c>
      <c r="H2352" s="5" t="str">
        <f aca="false">IF(G2352&lt;&gt;"",G2352,E2352)</f>
        <v>32, 32, LICKILICKY</v>
      </c>
    </row>
    <row r="2353" customFormat="false" ht="12.75" hidden="false" customHeight="true" outlineLevel="0" collapsed="false">
      <c r="A2353" s="4" t="s">
        <v>2812</v>
      </c>
      <c r="B2353" s="5" t="n">
        <v>0.01</v>
      </c>
      <c r="C2353" s="1" t="str">
        <f aca="false">IF(B2353="NEW ROUTE",1,"")</f>
        <v/>
      </c>
      <c r="E2353" s="5" t="n">
        <v>0.01</v>
      </c>
      <c r="F2353" s="6" t="e">
        <f aca="false">VLOOKUP(E2353,$K$2:$L$426,2,FALSE())</f>
        <v>#N/A</v>
      </c>
      <c r="G2353" s="1" t="str">
        <f aca="false">IF(ISNA(F2353),"",F2353)</f>
        <v/>
      </c>
      <c r="H2353" s="5" t="n">
        <f aca="false">IF(G2353&lt;&gt;"",G2353,E2353)</f>
        <v>0.01</v>
      </c>
    </row>
    <row r="2354" customFormat="false" ht="12.75" hidden="false" customHeight="true" outlineLevel="0" collapsed="false">
      <c r="A2354" s="4" t="s">
        <v>3517</v>
      </c>
      <c r="B2354" s="5" t="s">
        <v>3517</v>
      </c>
      <c r="C2354" s="1" t="str">
        <f aca="false">IF(B2354="NEW ROUTE",1,"")</f>
        <v/>
      </c>
      <c r="E2354" s="5" t="s">
        <v>3517</v>
      </c>
      <c r="F2354" s="6" t="e">
        <f aca="false">VLOOKUP(E2354,$K$2:$L$426,2,FALSE())</f>
        <v>#N/A</v>
      </c>
      <c r="G2354" s="1" t="str">
        <f aca="false">IF(ISNA(F2354),"",F2354)</f>
        <v/>
      </c>
      <c r="H2354" s="5" t="str">
        <f aca="false">IF(G2354&lt;&gt;"",G2354,E2354)</f>
        <v>30, 35, VILEPLUME</v>
      </c>
    </row>
    <row r="2355" customFormat="false" ht="12.75" hidden="false" customHeight="true" outlineLevel="0" collapsed="false">
      <c r="A2355" s="4" t="s">
        <v>3727</v>
      </c>
      <c r="B2355" s="5" t="s">
        <v>3727</v>
      </c>
      <c r="C2355" s="1" t="str">
        <f aca="false">IF(B2355="NEW ROUTE",1,"")</f>
        <v/>
      </c>
      <c r="E2355" s="5" t="s">
        <v>3727</v>
      </c>
      <c r="F2355" s="6" t="e">
        <f aca="false">VLOOKUP(E2355,$K$2:$L$426,2,FALSE())</f>
        <v>#N/A</v>
      </c>
      <c r="G2355" s="1" t="str">
        <f aca="false">IF(ISNA(F2355),"",F2355)</f>
        <v/>
      </c>
      <c r="H2355" s="5" t="str">
        <f aca="false">IF(G2355&lt;&gt;"",G2355,E2355)</f>
        <v>20, 25, BULBASAUR</v>
      </c>
    </row>
    <row r="2356" customFormat="false" ht="12.75" hidden="false" customHeight="true" outlineLevel="0" collapsed="false">
      <c r="A2356" s="4" t="s">
        <v>2536</v>
      </c>
      <c r="B2356" s="5" t="s">
        <v>2536</v>
      </c>
      <c r="C2356" s="1" t="n">
        <f aca="false">IF(B2356="NEW ROUTE",1,"")</f>
        <v>1</v>
      </c>
      <c r="E2356" s="5" t="s">
        <v>2536</v>
      </c>
      <c r="F2356" s="6" t="e">
        <f aca="false">VLOOKUP(E2356,$K$2:$L$426,2,FALSE())</f>
        <v>#N/A</v>
      </c>
      <c r="G2356" s="1" t="str">
        <f aca="false">IF(ISNA(F2356),"",F2356)</f>
        <v/>
      </c>
      <c r="H2356" s="5" t="str">
        <f aca="false">IF(G2356&lt;&gt;"",G2356,E2356)</f>
        <v>NEW ROUTE</v>
      </c>
    </row>
    <row r="2357" customFormat="false" ht="12.75" hidden="false" customHeight="true" outlineLevel="0" collapsed="false">
      <c r="A2357" s="4" t="s">
        <v>450</v>
      </c>
      <c r="B2357" s="5" t="s">
        <v>450</v>
      </c>
      <c r="C2357" s="1" t="str">
        <f aca="false">IF(B2357="NEW ROUTE",1,"")</f>
        <v/>
      </c>
      <c r="E2357" s="5" t="s">
        <v>450</v>
      </c>
      <c r="F2357" s="6" t="str">
        <f aca="false">VLOOKUP(E2357,$K$2:$L$426,2,FALSE())</f>
        <v>Route 18</v>
      </c>
      <c r="G2357" s="1" t="str">
        <f aca="false">IF(ISNA(F2357),"",F2357)</f>
        <v>Route 18</v>
      </c>
      <c r="H2357" s="5" t="str">
        <f aca="false">IF(G2357&lt;&gt;"",G2357,E2357)</f>
        <v>Route 18</v>
      </c>
    </row>
    <row r="2358" customFormat="false" ht="12.75" hidden="false" customHeight="true" outlineLevel="0" collapsed="false">
      <c r="A2358" s="4" t="s">
        <v>2799</v>
      </c>
      <c r="B2358" s="5" t="n">
        <v>0.2</v>
      </c>
      <c r="C2358" s="1" t="str">
        <f aca="false">IF(B2358="NEW ROUTE",1,"")</f>
        <v/>
      </c>
      <c r="E2358" s="5" t="n">
        <v>0.2</v>
      </c>
      <c r="F2358" s="6" t="e">
        <f aca="false">VLOOKUP(E2358,$K$2:$L$426,2,FALSE())</f>
        <v>#N/A</v>
      </c>
      <c r="G2358" s="1" t="str">
        <f aca="false">IF(ISNA(F2358),"",F2358)</f>
        <v/>
      </c>
      <c r="H2358" s="5" t="n">
        <f aca="false">IF(G2358&lt;&gt;"",G2358,E2358)</f>
        <v>0.2</v>
      </c>
    </row>
    <row r="2359" customFormat="false" ht="12.75" hidden="false" customHeight="true" outlineLevel="0" collapsed="false">
      <c r="A2359" s="4" t="s">
        <v>1999</v>
      </c>
      <c r="B2359" s="5" t="s">
        <v>1999</v>
      </c>
      <c r="C2359" s="1" t="str">
        <f aca="false">IF(B2359="NEW ROUTE",1,"")</f>
        <v/>
      </c>
      <c r="E2359" s="5" t="s">
        <v>1999</v>
      </c>
      <c r="F2359" s="6" t="e">
        <f aca="false">VLOOKUP(E2359,$K$2:$L$426,2,FALSE())</f>
        <v>#N/A</v>
      </c>
      <c r="G2359" s="1" t="str">
        <f aca="false">IF(ISNA(F2359),"",F2359)</f>
        <v/>
      </c>
      <c r="H2359" s="5" t="str">
        <f aca="false">IF(G2359&lt;&gt;"",G2359,E2359)</f>
        <v>32, 36, ODDISH</v>
      </c>
    </row>
    <row r="2360" customFormat="false" ht="12.75" hidden="false" customHeight="true" outlineLevel="0" collapsed="false">
      <c r="A2360" s="4" t="s">
        <v>3480</v>
      </c>
      <c r="B2360" s="5" t="s">
        <v>3480</v>
      </c>
      <c r="C2360" s="1" t="str">
        <f aca="false">IF(B2360="NEW ROUTE",1,"")</f>
        <v/>
      </c>
      <c r="E2360" s="5" t="s">
        <v>3480</v>
      </c>
      <c r="F2360" s="6" t="e">
        <f aca="false">VLOOKUP(E2360,$K$2:$L$426,2,FALSE())</f>
        <v>#N/A</v>
      </c>
      <c r="G2360" s="1" t="str">
        <f aca="false">IF(ISNA(F2360),"",F2360)</f>
        <v/>
      </c>
      <c r="H2360" s="5" t="str">
        <f aca="false">IF(G2360&lt;&gt;"",G2360,E2360)</f>
        <v>32, 36, PIDGEOTTO</v>
      </c>
    </row>
    <row r="2361" customFormat="false" ht="12.75" hidden="false" customHeight="true" outlineLevel="0" collapsed="false">
      <c r="A2361" s="4" t="s">
        <v>2801</v>
      </c>
      <c r="B2361" s="5" t="n">
        <v>0.1</v>
      </c>
      <c r="C2361" s="1" t="str">
        <f aca="false">IF(B2361="NEW ROUTE",1,"")</f>
        <v/>
      </c>
      <c r="E2361" s="5" t="n">
        <v>0.1</v>
      </c>
      <c r="F2361" s="6" t="e">
        <f aca="false">VLOOKUP(E2361,$K$2:$L$426,2,FALSE())</f>
        <v>#N/A</v>
      </c>
      <c r="G2361" s="1" t="str">
        <f aca="false">IF(ISNA(F2361),"",F2361)</f>
        <v/>
      </c>
      <c r="H2361" s="5" t="n">
        <f aca="false">IF(G2361&lt;&gt;"",G2361,E2361)</f>
        <v>0.1</v>
      </c>
    </row>
    <row r="2362" customFormat="false" ht="12.75" hidden="false" customHeight="true" outlineLevel="0" collapsed="false">
      <c r="A2362" s="4" t="s">
        <v>3519</v>
      </c>
      <c r="B2362" s="5" t="s">
        <v>3519</v>
      </c>
      <c r="C2362" s="1" t="str">
        <f aca="false">IF(B2362="NEW ROUTE",1,"")</f>
        <v/>
      </c>
      <c r="E2362" s="5" t="s">
        <v>3519</v>
      </c>
      <c r="F2362" s="6" t="e">
        <f aca="false">VLOOKUP(E2362,$K$2:$L$426,2,FALSE())</f>
        <v>#N/A</v>
      </c>
      <c r="G2362" s="1" t="str">
        <f aca="false">IF(ISNA(F2362),"",F2362)</f>
        <v/>
      </c>
      <c r="H2362" s="5" t="str">
        <f aca="false">IF(G2362&lt;&gt;"",G2362,E2362)</f>
        <v>31, 33, GLOOM</v>
      </c>
    </row>
    <row r="2363" customFormat="false" ht="12.75" hidden="false" customHeight="true" outlineLevel="0" collapsed="false">
      <c r="A2363" s="4" t="s">
        <v>3482</v>
      </c>
      <c r="B2363" s="5" t="s">
        <v>3482</v>
      </c>
      <c r="C2363" s="1" t="str">
        <f aca="false">IF(B2363="NEW ROUTE",1,"")</f>
        <v/>
      </c>
      <c r="E2363" s="5" t="s">
        <v>3482</v>
      </c>
      <c r="F2363" s="6" t="e">
        <f aca="false">VLOOKUP(E2363,$K$2:$L$426,2,FALSE())</f>
        <v>#N/A</v>
      </c>
      <c r="G2363" s="1" t="str">
        <f aca="false">IF(ISNA(F2363),"",F2363)</f>
        <v/>
      </c>
      <c r="H2363" s="5" t="str">
        <f aca="false">IF(G2363&lt;&gt;"",G2363,E2363)</f>
        <v>31, 33, DODUO</v>
      </c>
    </row>
    <row r="2364" customFormat="false" ht="12.75" hidden="false" customHeight="true" outlineLevel="0" collapsed="false">
      <c r="A2364" s="4" t="s">
        <v>3483</v>
      </c>
      <c r="B2364" s="5" t="s">
        <v>3483</v>
      </c>
      <c r="C2364" s="1" t="str">
        <f aca="false">IF(B2364="NEW ROUTE",1,"")</f>
        <v/>
      </c>
      <c r="E2364" s="5" t="s">
        <v>3483</v>
      </c>
      <c r="F2364" s="6" t="e">
        <f aca="false">VLOOKUP(E2364,$K$2:$L$426,2,FALSE())</f>
        <v>#N/A</v>
      </c>
      <c r="G2364" s="1" t="str">
        <f aca="false">IF(ISNA(F2364),"",F2364)</f>
        <v/>
      </c>
      <c r="H2364" s="5" t="str">
        <f aca="false">IF(G2364&lt;&gt;"",G2364,E2364)</f>
        <v>33, 33, PIDGEOT</v>
      </c>
    </row>
    <row r="2365" customFormat="false" ht="12.75" hidden="false" customHeight="true" outlineLevel="0" collapsed="false">
      <c r="A2365" s="4" t="s">
        <v>3520</v>
      </c>
      <c r="B2365" s="5" t="s">
        <v>3520</v>
      </c>
      <c r="C2365" s="1" t="str">
        <f aca="false">IF(B2365="NEW ROUTE",1,"")</f>
        <v/>
      </c>
      <c r="E2365" s="5" t="s">
        <v>3520</v>
      </c>
      <c r="F2365" s="6" t="e">
        <f aca="false">VLOOKUP(E2365,$K$2:$L$426,2,FALSE())</f>
        <v>#N/A</v>
      </c>
      <c r="G2365" s="1" t="str">
        <f aca="false">IF(ISNA(F2365),"",F2365)</f>
        <v/>
      </c>
      <c r="H2365" s="5" t="str">
        <f aca="false">IF(G2365&lt;&gt;"",G2365,E2365)</f>
        <v>31, 33, LICKITUNG</v>
      </c>
    </row>
    <row r="2366" customFormat="false" ht="12.75" hidden="false" customHeight="true" outlineLevel="0" collapsed="false">
      <c r="A2366" s="4" t="s">
        <v>2806</v>
      </c>
      <c r="B2366" s="5" t="n">
        <v>0.05</v>
      </c>
      <c r="C2366" s="1" t="str">
        <f aca="false">IF(B2366="NEW ROUTE",1,"")</f>
        <v/>
      </c>
      <c r="E2366" s="5" t="n">
        <v>0.05</v>
      </c>
      <c r="F2366" s="6" t="e">
        <f aca="false">VLOOKUP(E2366,$K$2:$L$426,2,FALSE())</f>
        <v>#N/A</v>
      </c>
      <c r="G2366" s="1" t="str">
        <f aca="false">IF(ISNA(F2366),"",F2366)</f>
        <v/>
      </c>
      <c r="H2366" s="5" t="n">
        <f aca="false">IF(G2366&lt;&gt;"",G2366,E2366)</f>
        <v>0.05</v>
      </c>
    </row>
    <row r="2367" customFormat="false" ht="12.75" hidden="false" customHeight="true" outlineLevel="0" collapsed="false">
      <c r="A2367" s="4" t="s">
        <v>3521</v>
      </c>
      <c r="B2367" s="5" t="s">
        <v>3521</v>
      </c>
      <c r="C2367" s="1" t="str">
        <f aca="false">IF(B2367="NEW ROUTE",1,"")</f>
        <v/>
      </c>
      <c r="E2367" s="5" t="s">
        <v>3521</v>
      </c>
      <c r="F2367" s="6" t="e">
        <f aca="false">VLOOKUP(E2367,$K$2:$L$426,2,FALSE())</f>
        <v>#N/A</v>
      </c>
      <c r="G2367" s="1" t="str">
        <f aca="false">IF(ISNA(F2367),"",F2367)</f>
        <v/>
      </c>
      <c r="H2367" s="5" t="str">
        <f aca="false">IF(G2367&lt;&gt;"",G2367,E2367)</f>
        <v>32, 36, TAUROS</v>
      </c>
    </row>
    <row r="2368" customFormat="false" ht="12.75" hidden="false" customHeight="true" outlineLevel="0" collapsed="false">
      <c r="A2368" s="4" t="s">
        <v>3522</v>
      </c>
      <c r="B2368" s="5" t="s">
        <v>3522</v>
      </c>
      <c r="C2368" s="1" t="str">
        <f aca="false">IF(B2368="NEW ROUTE",1,"")</f>
        <v/>
      </c>
      <c r="E2368" s="5" t="s">
        <v>3522</v>
      </c>
      <c r="F2368" s="6" t="e">
        <f aca="false">VLOOKUP(E2368,$K$2:$L$426,2,FALSE())</f>
        <v>#N/A</v>
      </c>
      <c r="G2368" s="1" t="str">
        <f aca="false">IF(ISNA(F2368),"",F2368)</f>
        <v/>
      </c>
      <c r="H2368" s="5" t="str">
        <f aca="false">IF(G2368&lt;&gt;"",G2368,E2368)</f>
        <v>32, 36, "MR. MIME"</v>
      </c>
    </row>
    <row r="2369" customFormat="false" ht="12.75" hidden="false" customHeight="true" outlineLevel="0" collapsed="false">
      <c r="A2369" s="4" t="s">
        <v>2809</v>
      </c>
      <c r="B2369" s="5" t="n">
        <v>0.04</v>
      </c>
      <c r="C2369" s="1" t="str">
        <f aca="false">IF(B2369="NEW ROUTE",1,"")</f>
        <v/>
      </c>
      <c r="E2369" s="5" t="n">
        <v>0.04</v>
      </c>
      <c r="F2369" s="6" t="e">
        <f aca="false">VLOOKUP(E2369,$K$2:$L$426,2,FALSE())</f>
        <v>#N/A</v>
      </c>
      <c r="G2369" s="1" t="str">
        <f aca="false">IF(ISNA(F2369),"",F2369)</f>
        <v/>
      </c>
      <c r="H2369" s="5" t="n">
        <f aca="false">IF(G2369&lt;&gt;"",G2369,E2369)</f>
        <v>0.04</v>
      </c>
    </row>
    <row r="2370" customFormat="false" ht="12.75" hidden="false" customHeight="true" outlineLevel="0" collapsed="false">
      <c r="A2370" s="4" t="s">
        <v>3523</v>
      </c>
      <c r="B2370" s="5" t="s">
        <v>3523</v>
      </c>
      <c r="C2370" s="1" t="str">
        <f aca="false">IF(B2370="NEW ROUTE",1,"")</f>
        <v/>
      </c>
      <c r="E2370" s="5" t="s">
        <v>3523</v>
      </c>
      <c r="F2370" s="6" t="e">
        <f aca="false">VLOOKUP(E2370,$K$2:$L$426,2,FALSE())</f>
        <v>#N/A</v>
      </c>
      <c r="G2370" s="1" t="str">
        <f aca="false">IF(ISNA(F2370),"",F2370)</f>
        <v/>
      </c>
      <c r="H2370" s="5" t="str">
        <f aca="false">IF(G2370&lt;&gt;"",G2370,E2370)</f>
        <v>34, 36, DODRIO</v>
      </c>
    </row>
    <row r="2371" customFormat="false" ht="12.75" hidden="false" customHeight="true" outlineLevel="0" collapsed="false">
      <c r="A2371" s="4" t="s">
        <v>3524</v>
      </c>
      <c r="B2371" s="5" t="s">
        <v>3524</v>
      </c>
      <c r="C2371" s="1" t="str">
        <f aca="false">IF(B2371="NEW ROUTE",1,"")</f>
        <v/>
      </c>
      <c r="E2371" s="5" t="s">
        <v>3524</v>
      </c>
      <c r="F2371" s="6" t="e">
        <f aca="false">VLOOKUP(E2371,$K$2:$L$426,2,FALSE())</f>
        <v>#N/A</v>
      </c>
      <c r="G2371" s="1" t="str">
        <f aca="false">IF(ISNA(F2371),"",F2371)</f>
        <v/>
      </c>
      <c r="H2371" s="5" t="str">
        <f aca="false">IF(G2371&lt;&gt;"",G2371,E2371)</f>
        <v>33, 33, LICKILICKY</v>
      </c>
    </row>
    <row r="2372" customFormat="false" ht="12.75" hidden="false" customHeight="true" outlineLevel="0" collapsed="false">
      <c r="A2372" s="4" t="s">
        <v>2812</v>
      </c>
      <c r="B2372" s="5" t="n">
        <v>0.01</v>
      </c>
      <c r="C2372" s="1" t="str">
        <f aca="false">IF(B2372="NEW ROUTE",1,"")</f>
        <v/>
      </c>
      <c r="E2372" s="5" t="n">
        <v>0.01</v>
      </c>
      <c r="F2372" s="6" t="e">
        <f aca="false">VLOOKUP(E2372,$K$2:$L$426,2,FALSE())</f>
        <v>#N/A</v>
      </c>
      <c r="G2372" s="1" t="str">
        <f aca="false">IF(ISNA(F2372),"",F2372)</f>
        <v/>
      </c>
      <c r="H2372" s="5" t="n">
        <f aca="false">IF(G2372&lt;&gt;"",G2372,E2372)</f>
        <v>0.01</v>
      </c>
    </row>
    <row r="2373" customFormat="false" ht="12.75" hidden="false" customHeight="true" outlineLevel="0" collapsed="false">
      <c r="A2373" s="4" t="s">
        <v>3525</v>
      </c>
      <c r="B2373" s="5" t="s">
        <v>3525</v>
      </c>
      <c r="C2373" s="1" t="str">
        <f aca="false">IF(B2373="NEW ROUTE",1,"")</f>
        <v/>
      </c>
      <c r="E2373" s="5" t="s">
        <v>3525</v>
      </c>
      <c r="F2373" s="6" t="e">
        <f aca="false">VLOOKUP(E2373,$K$2:$L$426,2,FALSE())</f>
        <v>#N/A</v>
      </c>
      <c r="G2373" s="1" t="str">
        <f aca="false">IF(ISNA(F2373),"",F2373)</f>
        <v/>
      </c>
      <c r="H2373" s="5" t="str">
        <f aca="false">IF(G2373&lt;&gt;"",G2373,E2373)</f>
        <v>31, 36, VILEPLUME</v>
      </c>
    </row>
    <row r="2374" customFormat="false" ht="12.75" hidden="false" customHeight="true" outlineLevel="0" collapsed="false">
      <c r="A2374" s="4" t="s">
        <v>3727</v>
      </c>
      <c r="B2374" s="5" t="s">
        <v>3727</v>
      </c>
      <c r="C2374" s="1" t="str">
        <f aca="false">IF(B2374="NEW ROUTE",1,"")</f>
        <v/>
      </c>
      <c r="E2374" s="5" t="s">
        <v>3727</v>
      </c>
      <c r="F2374" s="6" t="e">
        <f aca="false">VLOOKUP(E2374,$K$2:$L$426,2,FALSE())</f>
        <v>#N/A</v>
      </c>
      <c r="G2374" s="1" t="str">
        <f aca="false">IF(ISNA(F2374),"",F2374)</f>
        <v/>
      </c>
      <c r="H2374" s="5" t="str">
        <f aca="false">IF(G2374&lt;&gt;"",G2374,E2374)</f>
        <v>20, 25, BULBASAUR</v>
      </c>
    </row>
    <row r="2375" customFormat="false" ht="12.75" hidden="false" customHeight="true" outlineLevel="0" collapsed="false">
      <c r="A2375" s="4" t="s">
        <v>2536</v>
      </c>
      <c r="B2375" s="5" t="s">
        <v>2536</v>
      </c>
      <c r="C2375" s="1" t="n">
        <f aca="false">IF(B2375="NEW ROUTE",1,"")</f>
        <v>1</v>
      </c>
      <c r="E2375" s="5" t="s">
        <v>2536</v>
      </c>
      <c r="F2375" s="6" t="e">
        <f aca="false">VLOOKUP(E2375,$K$2:$L$426,2,FALSE())</f>
        <v>#N/A</v>
      </c>
      <c r="G2375" s="1" t="str">
        <f aca="false">IF(ISNA(F2375),"",F2375)</f>
        <v/>
      </c>
      <c r="H2375" s="5" t="str">
        <f aca="false">IF(G2375&lt;&gt;"",G2375,E2375)</f>
        <v>NEW ROUTE</v>
      </c>
    </row>
    <row r="2376" customFormat="false" ht="12.75" hidden="false" customHeight="true" outlineLevel="0" collapsed="false">
      <c r="A2376" s="4" t="s">
        <v>452</v>
      </c>
      <c r="B2376" s="5" t="s">
        <v>452</v>
      </c>
      <c r="C2376" s="1" t="str">
        <f aca="false">IF(B2376="NEW ROUTE",1,"")</f>
        <v/>
      </c>
      <c r="E2376" s="5" t="s">
        <v>452</v>
      </c>
      <c r="F2376" s="6" t="str">
        <f aca="false">VLOOKUP(E2376,$K$2:$L$426,2,FALSE())</f>
        <v>Route 19</v>
      </c>
      <c r="G2376" s="1" t="str">
        <f aca="false">IF(ISNA(F2376),"",F2376)</f>
        <v>Route 19</v>
      </c>
      <c r="H2376" s="5" t="str">
        <f aca="false">IF(G2376&lt;&gt;"",G2376,E2376)</f>
        <v>Route 19</v>
      </c>
    </row>
    <row r="2377" customFormat="false" ht="12.75" hidden="false" customHeight="true" outlineLevel="0" collapsed="false">
      <c r="A2377" s="4" t="s">
        <v>3349</v>
      </c>
      <c r="B2377" s="5" t="s">
        <v>3349</v>
      </c>
      <c r="C2377" s="1" t="str">
        <f aca="false">IF(B2377="NEW ROUTE",1,"")</f>
        <v/>
      </c>
      <c r="E2377" s="5" t="s">
        <v>3349</v>
      </c>
      <c r="F2377" s="6" t="e">
        <f aca="false">VLOOKUP(E2377,$K$2:$L$426,2,FALSE())</f>
        <v>#N/A</v>
      </c>
      <c r="G2377" s="1" t="str">
        <f aca="false">IF(ISNA(F2377),"",F2377)</f>
        <v/>
      </c>
      <c r="H2377" s="5" t="str">
        <f aca="false">IF(G2377&lt;&gt;"",G2377,E2377)</f>
        <v>2, 38, 42, TENTACOOL</v>
      </c>
    </row>
    <row r="2378" customFormat="false" ht="12.75" hidden="false" customHeight="true" outlineLevel="0" collapsed="false">
      <c r="A2378" s="4" t="s">
        <v>3428</v>
      </c>
      <c r="B2378" s="5" t="s">
        <v>3428</v>
      </c>
      <c r="C2378" s="1" t="str">
        <f aca="false">IF(B2378="NEW ROUTE",1,"")</f>
        <v/>
      </c>
      <c r="E2378" s="5" t="s">
        <v>3428</v>
      </c>
      <c r="F2378" s="6" t="e">
        <f aca="false">VLOOKUP(E2378,$K$2:$L$426,2,FALSE())</f>
        <v>#N/A</v>
      </c>
      <c r="G2378" s="1" t="str">
        <f aca="false">IF(ISNA(F2378),"",F2378)</f>
        <v/>
      </c>
      <c r="H2378" s="5" t="str">
        <f aca="false">IF(G2378&lt;&gt;"",G2378,E2378)</f>
        <v>40, 44, TENTACRUEL</v>
      </c>
    </row>
    <row r="2379" customFormat="false" ht="12.75" hidden="false" customHeight="true" outlineLevel="0" collapsed="false">
      <c r="A2379" s="4" t="s">
        <v>3429</v>
      </c>
      <c r="B2379" s="5" t="s">
        <v>3429</v>
      </c>
      <c r="C2379" s="1" t="str">
        <f aca="false">IF(B2379="NEW ROUTE",1,"")</f>
        <v/>
      </c>
      <c r="E2379" s="5" t="s">
        <v>3429</v>
      </c>
      <c r="F2379" s="6" t="e">
        <f aca="false">VLOOKUP(E2379,$K$2:$L$426,2,FALSE())</f>
        <v>#N/A</v>
      </c>
      <c r="G2379" s="1" t="str">
        <f aca="false">IF(ISNA(F2379),"",F2379)</f>
        <v/>
      </c>
      <c r="H2379" s="5" t="str">
        <f aca="false">IF(G2379&lt;&gt;"",G2379,E2379)</f>
        <v>42, 46, TENTACATE</v>
      </c>
    </row>
    <row r="2380" customFormat="false" ht="12.75" hidden="false" customHeight="true" outlineLevel="0" collapsed="false">
      <c r="A2380" s="4" t="s">
        <v>3024</v>
      </c>
      <c r="B2380" s="5" t="s">
        <v>3024</v>
      </c>
      <c r="C2380" s="1" t="str">
        <f aca="false">IF(B2380="NEW ROUTE",1,"")</f>
        <v/>
      </c>
      <c r="E2380" s="5" t="s">
        <v>3024</v>
      </c>
      <c r="F2380" s="6" t="e">
        <f aca="false">VLOOKUP(E2380,$K$2:$L$426,2,FALSE())</f>
        <v>#N/A</v>
      </c>
      <c r="G2380" s="1" t="str">
        <f aca="false">IF(ISNA(F2380),"",F2380)</f>
        <v/>
      </c>
      <c r="H2380" s="5" t="str">
        <f aca="false">IF(G2380&lt;&gt;"",G2380,E2380)</f>
        <v>42, 46, LAPRAS</v>
      </c>
    </row>
    <row r="2381" customFormat="false" ht="12.75" hidden="false" customHeight="true" outlineLevel="0" collapsed="false">
      <c r="A2381" s="4" t="s">
        <v>3449</v>
      </c>
      <c r="B2381" s="5" t="s">
        <v>3449</v>
      </c>
      <c r="C2381" s="1" t="str">
        <f aca="false">IF(B2381="NEW ROUTE",1,"")</f>
        <v/>
      </c>
      <c r="E2381" s="5" t="s">
        <v>3449</v>
      </c>
      <c r="F2381" s="6" t="e">
        <f aca="false">VLOOKUP(E2381,$K$2:$L$426,2,FALSE())</f>
        <v>#N/A</v>
      </c>
      <c r="G2381" s="1" t="str">
        <f aca="false">IF(ISNA(F2381),"",F2381)</f>
        <v/>
      </c>
      <c r="H2381" s="5" t="str">
        <f aca="false">IF(G2381&lt;&gt;"",G2381,E2381)</f>
        <v>44, 48, LOCHLASS</v>
      </c>
    </row>
    <row r="2382" customFormat="false" ht="12.75" hidden="false" customHeight="true" outlineLevel="0" collapsed="false">
      <c r="A2382" s="4" t="s">
        <v>2925</v>
      </c>
      <c r="B2382" s="5" t="s">
        <v>2925</v>
      </c>
      <c r="C2382" s="1" t="str">
        <f aca="false">IF(B2382="NEW ROUTE",1,"")</f>
        <v/>
      </c>
      <c r="E2382" s="5" t="s">
        <v>2925</v>
      </c>
      <c r="F2382" s="6" t="e">
        <f aca="false">VLOOKUP(E2382,$K$2:$L$426,2,FALSE())</f>
        <v>#N/A</v>
      </c>
      <c r="G2382" s="1" t="str">
        <f aca="false">IF(ISNA(F2382),"",F2382)</f>
        <v/>
      </c>
      <c r="H2382" s="5" t="str">
        <f aca="false">IF(G2382&lt;&gt;"",G2382,E2382)</f>
        <v>20, old rod:</v>
      </c>
    </row>
    <row r="2383" customFormat="false" ht="12.75" hidden="false" customHeight="true" outlineLevel="0" collapsed="false">
      <c r="A2383" s="4" t="s">
        <v>2008</v>
      </c>
      <c r="B2383" s="5" t="s">
        <v>2008</v>
      </c>
      <c r="C2383" s="1" t="str">
        <f aca="false">IF(B2383="NEW ROUTE",1,"")</f>
        <v/>
      </c>
      <c r="E2383" s="5" t="s">
        <v>2008</v>
      </c>
      <c r="F2383" s="6" t="e">
        <f aca="false">VLOOKUP(E2383,$K$2:$L$426,2,FALSE())</f>
        <v>#N/A</v>
      </c>
      <c r="G2383" s="1" t="str">
        <f aca="false">IF(ISNA(F2383),"",F2383)</f>
        <v/>
      </c>
      <c r="H2383" s="5" t="str">
        <f aca="false">IF(G2383&lt;&gt;"",G2383,E2383)</f>
        <v>19, 26, PSYDUCK</v>
      </c>
    </row>
    <row r="2384" customFormat="false" ht="12.75" hidden="false" customHeight="true" outlineLevel="0" collapsed="false">
      <c r="A2384" s="4" t="s">
        <v>1451</v>
      </c>
      <c r="B2384" s="5" t="s">
        <v>1451</v>
      </c>
      <c r="C2384" s="1" t="str">
        <f aca="false">IF(B2384="NEW ROUTE",1,"")</f>
        <v/>
      </c>
      <c r="E2384" s="5" t="s">
        <v>1451</v>
      </c>
      <c r="F2384" s="6" t="e">
        <f aca="false">VLOOKUP(E2384,$K$2:$L$426,2,FALSE())</f>
        <v>#N/A</v>
      </c>
      <c r="G2384" s="1" t="str">
        <f aca="false">IF(ISNA(F2384),"",F2384)</f>
        <v/>
      </c>
      <c r="H2384" s="5" t="str">
        <f aca="false">IF(G2384&lt;&gt;"",G2384,E2384)</f>
        <v>19, 26, HORSEA</v>
      </c>
    </row>
    <row r="2385" customFormat="false" ht="12.75" hidden="false" customHeight="true" outlineLevel="0" collapsed="false">
      <c r="A2385" s="4" t="s">
        <v>2846</v>
      </c>
      <c r="B2385" s="5" t="s">
        <v>2846</v>
      </c>
      <c r="C2385" s="1" t="str">
        <f aca="false">IF(B2385="NEW ROUTE",1,"")</f>
        <v/>
      </c>
      <c r="E2385" s="5" t="s">
        <v>2846</v>
      </c>
      <c r="F2385" s="6" t="e">
        <f aca="false">VLOOKUP(E2385,$K$2:$L$426,2,FALSE())</f>
        <v>#N/A</v>
      </c>
      <c r="G2385" s="1" t="str">
        <f aca="false">IF(ISNA(F2385),"",F2385)</f>
        <v/>
      </c>
      <c r="H2385" s="5" t="str">
        <f aca="false">IF(G2385&lt;&gt;"",G2385,E2385)</f>
        <v>good rod:</v>
      </c>
    </row>
    <row r="2386" customFormat="false" ht="12.75" hidden="false" customHeight="true" outlineLevel="0" collapsed="false">
      <c r="A2386" s="4" t="s">
        <v>3026</v>
      </c>
      <c r="B2386" s="5" t="s">
        <v>3026</v>
      </c>
      <c r="C2386" s="1" t="str">
        <f aca="false">IF(B2386="NEW ROUTE",1,"")</f>
        <v/>
      </c>
      <c r="E2386" s="5" t="s">
        <v>3026</v>
      </c>
      <c r="F2386" s="6" t="e">
        <f aca="false">VLOOKUP(E2386,$K$2:$L$426,2,FALSE())</f>
        <v>#N/A</v>
      </c>
      <c r="G2386" s="1" t="str">
        <f aca="false">IF(ISNA(F2386),"",F2386)</f>
        <v/>
      </c>
      <c r="H2386" s="5" t="str">
        <f aca="false">IF(G2386&lt;&gt;"",G2386,E2386)</f>
        <v>29, 33, SEADRA</v>
      </c>
    </row>
    <row r="2387" customFormat="false" ht="12.75" hidden="false" customHeight="true" outlineLevel="0" collapsed="false">
      <c r="A2387" s="4" t="s">
        <v>3027</v>
      </c>
      <c r="B2387" s="5" t="s">
        <v>3027</v>
      </c>
      <c r="C2387" s="1" t="str">
        <f aca="false">IF(B2387="NEW ROUTE",1,"")</f>
        <v/>
      </c>
      <c r="E2387" s="5" t="s">
        <v>3027</v>
      </c>
      <c r="F2387" s="6" t="e">
        <f aca="false">VLOOKUP(E2387,$K$2:$L$426,2,FALSE())</f>
        <v>#N/A</v>
      </c>
      <c r="G2387" s="1" t="str">
        <f aca="false">IF(ISNA(F2387),"",F2387)</f>
        <v/>
      </c>
      <c r="H2387" s="5" t="str">
        <f aca="false">IF(G2387&lt;&gt;"",G2387,E2387)</f>
        <v>30, 35, KRABBY</v>
      </c>
    </row>
    <row r="2388" customFormat="false" ht="12.75" hidden="false" customHeight="true" outlineLevel="0" collapsed="false">
      <c r="A2388" s="4" t="s">
        <v>3028</v>
      </c>
      <c r="B2388" s="5" t="s">
        <v>3028</v>
      </c>
      <c r="C2388" s="1" t="str">
        <f aca="false">IF(B2388="NEW ROUTE",1,"")</f>
        <v/>
      </c>
      <c r="E2388" s="5" t="s">
        <v>3028</v>
      </c>
      <c r="F2388" s="6" t="e">
        <f aca="false">VLOOKUP(E2388,$K$2:$L$426,2,FALSE())</f>
        <v>#N/A</v>
      </c>
      <c r="G2388" s="1" t="str">
        <f aca="false">IF(ISNA(F2388),"",F2388)</f>
        <v/>
      </c>
      <c r="H2388" s="5" t="str">
        <f aca="false">IF(G2388&lt;&gt;"",G2388,E2388)</f>
        <v>30, 35, GOLDUCK</v>
      </c>
    </row>
    <row r="2389" customFormat="false" ht="12.75" hidden="false" customHeight="true" outlineLevel="0" collapsed="false">
      <c r="A2389" s="4" t="s">
        <v>2850</v>
      </c>
      <c r="B2389" s="5" t="s">
        <v>2850</v>
      </c>
      <c r="C2389" s="1" t="str">
        <f aca="false">IF(B2389="NEW ROUTE",1,"")</f>
        <v/>
      </c>
      <c r="E2389" s="5" t="s">
        <v>2850</v>
      </c>
      <c r="F2389" s="6" t="e">
        <f aca="false">VLOOKUP(E2389,$K$2:$L$426,2,FALSE())</f>
        <v>#N/A</v>
      </c>
      <c r="G2389" s="1" t="str">
        <f aca="false">IF(ISNA(F2389),"",F2389)</f>
        <v/>
      </c>
      <c r="H2389" s="5" t="str">
        <f aca="false">IF(G2389&lt;&gt;"",G2389,E2389)</f>
        <v>super rod:</v>
      </c>
    </row>
    <row r="2390" customFormat="false" ht="12.75" hidden="false" customHeight="true" outlineLevel="0" collapsed="false">
      <c r="A2390" s="4" t="s">
        <v>3029</v>
      </c>
      <c r="B2390" s="5" t="s">
        <v>3029</v>
      </c>
      <c r="C2390" s="1" t="str">
        <f aca="false">IF(B2390="NEW ROUTE",1,"")</f>
        <v/>
      </c>
      <c r="E2390" s="5" t="s">
        <v>3029</v>
      </c>
      <c r="F2390" s="6" t="e">
        <f aca="false">VLOOKUP(E2390,$K$2:$L$426,2,FALSE())</f>
        <v>#N/A</v>
      </c>
      <c r="G2390" s="1" t="str">
        <f aca="false">IF(ISNA(F2390),"",F2390)</f>
        <v/>
      </c>
      <c r="H2390" s="5" t="str">
        <f aca="false">IF(G2390&lt;&gt;"",G2390,E2390)</f>
        <v>36, 40, KINGDRA</v>
      </c>
    </row>
    <row r="2391" customFormat="false" ht="12.75" hidden="false" customHeight="true" outlineLevel="0" collapsed="false">
      <c r="A2391" s="4" t="s">
        <v>3527</v>
      </c>
      <c r="B2391" s="5" t="s">
        <v>3527</v>
      </c>
      <c r="C2391" s="1" t="str">
        <f aca="false">IF(B2391="NEW ROUTE",1,"")</f>
        <v/>
      </c>
      <c r="E2391" s="5" t="s">
        <v>3527</v>
      </c>
      <c r="F2391" s="6" t="e">
        <f aca="false">VLOOKUP(E2391,$K$2:$L$426,2,FALSE())</f>
        <v>#N/A</v>
      </c>
      <c r="G2391" s="1" t="str">
        <f aca="false">IF(ISNA(F2391),"",F2391)</f>
        <v/>
      </c>
      <c r="H2391" s="5" t="str">
        <f aca="false">IF(G2391&lt;&gt;"",G2391,E2391)</f>
        <v>36, 40, KINGLER</v>
      </c>
    </row>
    <row r="2392" customFormat="false" ht="12.75" hidden="false" customHeight="true" outlineLevel="0" collapsed="false">
      <c r="A2392" s="4" t="s">
        <v>3031</v>
      </c>
      <c r="B2392" s="5" t="s">
        <v>3031</v>
      </c>
      <c r="C2392" s="1" t="str">
        <f aca="false">IF(B2392="NEW ROUTE",1,"")</f>
        <v/>
      </c>
      <c r="E2392" s="5" t="s">
        <v>3031</v>
      </c>
      <c r="F2392" s="6" t="e">
        <f aca="false">VLOOKUP(E2392,$K$2:$L$426,2,FALSE())</f>
        <v>#N/A</v>
      </c>
      <c r="G2392" s="1" t="str">
        <f aca="false">IF(ISNA(F2392),"",F2392)</f>
        <v/>
      </c>
      <c r="H2392" s="5" t="str">
        <f aca="false">IF(G2392&lt;&gt;"",G2392,E2392)</f>
        <v>38, 42, GILDUCK</v>
      </c>
    </row>
    <row r="2393" customFormat="false" ht="12.75" hidden="false" customHeight="true" outlineLevel="0" collapsed="false">
      <c r="A2393" s="4" t="s">
        <v>3032</v>
      </c>
      <c r="B2393" s="5" t="s">
        <v>3032</v>
      </c>
      <c r="C2393" s="1" t="str">
        <f aca="false">IF(B2393="NEW ROUTE",1,"")</f>
        <v/>
      </c>
      <c r="E2393" s="5" t="s">
        <v>3032</v>
      </c>
      <c r="F2393" s="6" t="e">
        <f aca="false">VLOOKUP(E2393,$K$2:$L$426,2,FALSE())</f>
        <v>#N/A</v>
      </c>
      <c r="G2393" s="1" t="str">
        <f aca="false">IF(ISNA(F2393),"",F2393)</f>
        <v/>
      </c>
      <c r="H2393" s="5" t="str">
        <f aca="false">IF(G2393&lt;&gt;"",G2393,E2393)</f>
        <v>38, 42, KRAKLAW</v>
      </c>
    </row>
    <row r="2394" customFormat="false" ht="12.75" hidden="false" customHeight="true" outlineLevel="0" collapsed="false">
      <c r="A2394" s="4" t="s">
        <v>3033</v>
      </c>
      <c r="B2394" s="5" t="s">
        <v>3033</v>
      </c>
      <c r="C2394" s="1" t="str">
        <f aca="false">IF(B2394="NEW ROUTE",1,"")</f>
        <v/>
      </c>
      <c r="E2394" s="5" t="s">
        <v>3033</v>
      </c>
      <c r="F2394" s="6" t="e">
        <f aca="false">VLOOKUP(E2394,$K$2:$L$426,2,FALSE())</f>
        <v>#N/A</v>
      </c>
      <c r="G2394" s="1" t="str">
        <f aca="false">IF(ISNA(F2394),"",F2394)</f>
        <v/>
      </c>
      <c r="H2394" s="5" t="str">
        <f aca="false">IF(G2394&lt;&gt;"",G2394,E2394)</f>
        <v>40, 44, LORDRA</v>
      </c>
    </row>
    <row r="2395" customFormat="false" ht="12.75" hidden="false" customHeight="true" outlineLevel="0" collapsed="false">
      <c r="A2395" s="4" t="s">
        <v>2536</v>
      </c>
      <c r="B2395" s="5" t="s">
        <v>2536</v>
      </c>
      <c r="C2395" s="1" t="n">
        <f aca="false">IF(B2395="NEW ROUTE",1,"")</f>
        <v>1</v>
      </c>
      <c r="E2395" s="5" t="s">
        <v>2536</v>
      </c>
      <c r="F2395" s="6" t="e">
        <f aca="false">VLOOKUP(E2395,$K$2:$L$426,2,FALSE())</f>
        <v>#N/A</v>
      </c>
      <c r="G2395" s="1" t="str">
        <f aca="false">IF(ISNA(F2395),"",F2395)</f>
        <v/>
      </c>
      <c r="H2395" s="5" t="str">
        <f aca="false">IF(G2395&lt;&gt;"",G2395,E2395)</f>
        <v>NEW ROUTE</v>
      </c>
    </row>
    <row r="2396" customFormat="false" ht="12.75" hidden="false" customHeight="true" outlineLevel="0" collapsed="false">
      <c r="A2396" s="4" t="s">
        <v>454</v>
      </c>
      <c r="B2396" s="5" t="s">
        <v>454</v>
      </c>
      <c r="C2396" s="1" t="str">
        <f aca="false">IF(B2396="NEW ROUTE",1,"")</f>
        <v/>
      </c>
      <c r="E2396" s="5" t="s">
        <v>454</v>
      </c>
      <c r="F2396" s="6" t="str">
        <f aca="false">VLOOKUP(E2396,$K$2:$L$426,2,FALSE())</f>
        <v>Route 20</v>
      </c>
      <c r="G2396" s="1" t="str">
        <f aca="false">IF(ISNA(F2396),"",F2396)</f>
        <v>Route 20</v>
      </c>
      <c r="H2396" s="5" t="str">
        <f aca="false">IF(G2396&lt;&gt;"",G2396,E2396)</f>
        <v>Route 20</v>
      </c>
    </row>
    <row r="2397" customFormat="false" ht="12.75" hidden="false" customHeight="true" outlineLevel="0" collapsed="false">
      <c r="A2397" s="4" t="s">
        <v>3349</v>
      </c>
      <c r="B2397" s="5" t="s">
        <v>3349</v>
      </c>
      <c r="C2397" s="1" t="str">
        <f aca="false">IF(B2397="NEW ROUTE",1,"")</f>
        <v/>
      </c>
      <c r="E2397" s="5" t="s">
        <v>3349</v>
      </c>
      <c r="F2397" s="6" t="e">
        <f aca="false">VLOOKUP(E2397,$K$2:$L$426,2,FALSE())</f>
        <v>#N/A</v>
      </c>
      <c r="G2397" s="1" t="str">
        <f aca="false">IF(ISNA(F2397),"",F2397)</f>
        <v/>
      </c>
      <c r="H2397" s="5" t="str">
        <f aca="false">IF(G2397&lt;&gt;"",G2397,E2397)</f>
        <v>2, 38, 42, TENTACOOL</v>
      </c>
    </row>
    <row r="2398" customFormat="false" ht="12.75" hidden="false" customHeight="true" outlineLevel="0" collapsed="false">
      <c r="A2398" s="4" t="s">
        <v>3428</v>
      </c>
      <c r="B2398" s="5" t="s">
        <v>3428</v>
      </c>
      <c r="C2398" s="1" t="str">
        <f aca="false">IF(B2398="NEW ROUTE",1,"")</f>
        <v/>
      </c>
      <c r="E2398" s="5" t="s">
        <v>3428</v>
      </c>
      <c r="F2398" s="6" t="e">
        <f aca="false">VLOOKUP(E2398,$K$2:$L$426,2,FALSE())</f>
        <v>#N/A</v>
      </c>
      <c r="G2398" s="1" t="str">
        <f aca="false">IF(ISNA(F2398),"",F2398)</f>
        <v/>
      </c>
      <c r="H2398" s="5" t="str">
        <f aca="false">IF(G2398&lt;&gt;"",G2398,E2398)</f>
        <v>40, 44, TENTACRUEL</v>
      </c>
    </row>
    <row r="2399" customFormat="false" ht="12.75" hidden="false" customHeight="true" outlineLevel="0" collapsed="false">
      <c r="A2399" s="4" t="s">
        <v>3429</v>
      </c>
      <c r="B2399" s="5" t="s">
        <v>3429</v>
      </c>
      <c r="C2399" s="1" t="str">
        <f aca="false">IF(B2399="NEW ROUTE",1,"")</f>
        <v/>
      </c>
      <c r="E2399" s="5" t="s">
        <v>3429</v>
      </c>
      <c r="F2399" s="6" t="e">
        <f aca="false">VLOOKUP(E2399,$K$2:$L$426,2,FALSE())</f>
        <v>#N/A</v>
      </c>
      <c r="G2399" s="1" t="str">
        <f aca="false">IF(ISNA(F2399),"",F2399)</f>
        <v/>
      </c>
      <c r="H2399" s="5" t="str">
        <f aca="false">IF(G2399&lt;&gt;"",G2399,E2399)</f>
        <v>42, 46, TENTACATE</v>
      </c>
    </row>
    <row r="2400" customFormat="false" ht="12.75" hidden="false" customHeight="true" outlineLevel="0" collapsed="false">
      <c r="A2400" s="4" t="s">
        <v>3024</v>
      </c>
      <c r="B2400" s="5" t="s">
        <v>3024</v>
      </c>
      <c r="C2400" s="1" t="str">
        <f aca="false">IF(B2400="NEW ROUTE",1,"")</f>
        <v/>
      </c>
      <c r="E2400" s="5" t="s">
        <v>3024</v>
      </c>
      <c r="F2400" s="6" t="e">
        <f aca="false">VLOOKUP(E2400,$K$2:$L$426,2,FALSE())</f>
        <v>#N/A</v>
      </c>
      <c r="G2400" s="1" t="str">
        <f aca="false">IF(ISNA(F2400),"",F2400)</f>
        <v/>
      </c>
      <c r="H2400" s="5" t="str">
        <f aca="false">IF(G2400&lt;&gt;"",G2400,E2400)</f>
        <v>42, 46, LAPRAS</v>
      </c>
    </row>
    <row r="2401" customFormat="false" ht="12.75" hidden="false" customHeight="true" outlineLevel="0" collapsed="false">
      <c r="A2401" s="4" t="s">
        <v>3449</v>
      </c>
      <c r="B2401" s="5" t="s">
        <v>3449</v>
      </c>
      <c r="C2401" s="1" t="str">
        <f aca="false">IF(B2401="NEW ROUTE",1,"")</f>
        <v/>
      </c>
      <c r="E2401" s="5" t="s">
        <v>3449</v>
      </c>
      <c r="F2401" s="6" t="e">
        <f aca="false">VLOOKUP(E2401,$K$2:$L$426,2,FALSE())</f>
        <v>#N/A</v>
      </c>
      <c r="G2401" s="1" t="str">
        <f aca="false">IF(ISNA(F2401),"",F2401)</f>
        <v/>
      </c>
      <c r="H2401" s="5" t="str">
        <f aca="false">IF(G2401&lt;&gt;"",G2401,E2401)</f>
        <v>44, 48, LOCHLASS</v>
      </c>
    </row>
    <row r="2402" customFormat="false" ht="12.75" hidden="false" customHeight="true" outlineLevel="0" collapsed="false">
      <c r="A2402" s="4" t="s">
        <v>2925</v>
      </c>
      <c r="B2402" s="5" t="s">
        <v>2925</v>
      </c>
      <c r="C2402" s="1" t="str">
        <f aca="false">IF(B2402="NEW ROUTE",1,"")</f>
        <v/>
      </c>
      <c r="E2402" s="5" t="s">
        <v>2925</v>
      </c>
      <c r="F2402" s="6" t="e">
        <f aca="false">VLOOKUP(E2402,$K$2:$L$426,2,FALSE())</f>
        <v>#N/A</v>
      </c>
      <c r="G2402" s="1" t="str">
        <f aca="false">IF(ISNA(F2402),"",F2402)</f>
        <v/>
      </c>
      <c r="H2402" s="5" t="str">
        <f aca="false">IF(G2402&lt;&gt;"",G2402,E2402)</f>
        <v>20, old rod:</v>
      </c>
    </row>
    <row r="2403" customFormat="false" ht="12.75" hidden="false" customHeight="true" outlineLevel="0" collapsed="false">
      <c r="A2403" s="4" t="s">
        <v>2008</v>
      </c>
      <c r="B2403" s="5" t="s">
        <v>2008</v>
      </c>
      <c r="C2403" s="1" t="str">
        <f aca="false">IF(B2403="NEW ROUTE",1,"")</f>
        <v/>
      </c>
      <c r="E2403" s="5" t="s">
        <v>2008</v>
      </c>
      <c r="F2403" s="6" t="e">
        <f aca="false">VLOOKUP(E2403,$K$2:$L$426,2,FALSE())</f>
        <v>#N/A</v>
      </c>
      <c r="G2403" s="1" t="str">
        <f aca="false">IF(ISNA(F2403),"",F2403)</f>
        <v/>
      </c>
      <c r="H2403" s="5" t="str">
        <f aca="false">IF(G2403&lt;&gt;"",G2403,E2403)</f>
        <v>19, 26, PSYDUCK</v>
      </c>
    </row>
    <row r="2404" customFormat="false" ht="12.75" hidden="false" customHeight="true" outlineLevel="0" collapsed="false">
      <c r="A2404" s="4" t="s">
        <v>1451</v>
      </c>
      <c r="B2404" s="5" t="s">
        <v>1451</v>
      </c>
      <c r="C2404" s="1" t="str">
        <f aca="false">IF(B2404="NEW ROUTE",1,"")</f>
        <v/>
      </c>
      <c r="E2404" s="5" t="s">
        <v>1451</v>
      </c>
      <c r="F2404" s="6" t="e">
        <f aca="false">VLOOKUP(E2404,$K$2:$L$426,2,FALSE())</f>
        <v>#N/A</v>
      </c>
      <c r="G2404" s="1" t="str">
        <f aca="false">IF(ISNA(F2404),"",F2404)</f>
        <v/>
      </c>
      <c r="H2404" s="5" t="str">
        <f aca="false">IF(G2404&lt;&gt;"",G2404,E2404)</f>
        <v>19, 26, HORSEA</v>
      </c>
    </row>
    <row r="2405" customFormat="false" ht="12.75" hidden="false" customHeight="true" outlineLevel="0" collapsed="false">
      <c r="A2405" s="4" t="s">
        <v>2846</v>
      </c>
      <c r="B2405" s="5" t="s">
        <v>2846</v>
      </c>
      <c r="C2405" s="1" t="str">
        <f aca="false">IF(B2405="NEW ROUTE",1,"")</f>
        <v/>
      </c>
      <c r="E2405" s="5" t="s">
        <v>2846</v>
      </c>
      <c r="F2405" s="6" t="e">
        <f aca="false">VLOOKUP(E2405,$K$2:$L$426,2,FALSE())</f>
        <v>#N/A</v>
      </c>
      <c r="G2405" s="1" t="str">
        <f aca="false">IF(ISNA(F2405),"",F2405)</f>
        <v/>
      </c>
      <c r="H2405" s="5" t="str">
        <f aca="false">IF(G2405&lt;&gt;"",G2405,E2405)</f>
        <v>good rod:</v>
      </c>
    </row>
    <row r="2406" customFormat="false" ht="12.75" hidden="false" customHeight="true" outlineLevel="0" collapsed="false">
      <c r="A2406" s="4" t="s">
        <v>3026</v>
      </c>
      <c r="B2406" s="5" t="s">
        <v>3026</v>
      </c>
      <c r="C2406" s="1" t="str">
        <f aca="false">IF(B2406="NEW ROUTE",1,"")</f>
        <v/>
      </c>
      <c r="E2406" s="5" t="s">
        <v>3026</v>
      </c>
      <c r="F2406" s="6" t="e">
        <f aca="false">VLOOKUP(E2406,$K$2:$L$426,2,FALSE())</f>
        <v>#N/A</v>
      </c>
      <c r="G2406" s="1" t="str">
        <f aca="false">IF(ISNA(F2406),"",F2406)</f>
        <v/>
      </c>
      <c r="H2406" s="5" t="str">
        <f aca="false">IF(G2406&lt;&gt;"",G2406,E2406)</f>
        <v>29, 33, SEADRA</v>
      </c>
    </row>
    <row r="2407" customFormat="false" ht="12.75" hidden="false" customHeight="true" outlineLevel="0" collapsed="false">
      <c r="A2407" s="4" t="s">
        <v>3027</v>
      </c>
      <c r="B2407" s="5" t="s">
        <v>3027</v>
      </c>
      <c r="C2407" s="1" t="str">
        <f aca="false">IF(B2407="NEW ROUTE",1,"")</f>
        <v/>
      </c>
      <c r="E2407" s="5" t="s">
        <v>3027</v>
      </c>
      <c r="F2407" s="6" t="e">
        <f aca="false">VLOOKUP(E2407,$K$2:$L$426,2,FALSE())</f>
        <v>#N/A</v>
      </c>
      <c r="G2407" s="1" t="str">
        <f aca="false">IF(ISNA(F2407),"",F2407)</f>
        <v/>
      </c>
      <c r="H2407" s="5" t="str">
        <f aca="false">IF(G2407&lt;&gt;"",G2407,E2407)</f>
        <v>30, 35, KRABBY</v>
      </c>
    </row>
    <row r="2408" customFormat="false" ht="12.75" hidden="false" customHeight="true" outlineLevel="0" collapsed="false">
      <c r="A2408" s="4" t="s">
        <v>3028</v>
      </c>
      <c r="B2408" s="5" t="s">
        <v>3028</v>
      </c>
      <c r="C2408" s="1" t="str">
        <f aca="false">IF(B2408="NEW ROUTE",1,"")</f>
        <v/>
      </c>
      <c r="E2408" s="5" t="s">
        <v>3028</v>
      </c>
      <c r="F2408" s="6" t="e">
        <f aca="false">VLOOKUP(E2408,$K$2:$L$426,2,FALSE())</f>
        <v>#N/A</v>
      </c>
      <c r="G2408" s="1" t="str">
        <f aca="false">IF(ISNA(F2408),"",F2408)</f>
        <v/>
      </c>
      <c r="H2408" s="5" t="str">
        <f aca="false">IF(G2408&lt;&gt;"",G2408,E2408)</f>
        <v>30, 35, GOLDUCK</v>
      </c>
    </row>
    <row r="2409" customFormat="false" ht="12.75" hidden="false" customHeight="true" outlineLevel="0" collapsed="false">
      <c r="A2409" s="4" t="s">
        <v>2850</v>
      </c>
      <c r="B2409" s="5" t="s">
        <v>2850</v>
      </c>
      <c r="C2409" s="1" t="str">
        <f aca="false">IF(B2409="NEW ROUTE",1,"")</f>
        <v/>
      </c>
      <c r="E2409" s="5" t="s">
        <v>2850</v>
      </c>
      <c r="F2409" s="6" t="e">
        <f aca="false">VLOOKUP(E2409,$K$2:$L$426,2,FALSE())</f>
        <v>#N/A</v>
      </c>
      <c r="G2409" s="1" t="str">
        <f aca="false">IF(ISNA(F2409),"",F2409)</f>
        <v/>
      </c>
      <c r="H2409" s="5" t="str">
        <f aca="false">IF(G2409&lt;&gt;"",G2409,E2409)</f>
        <v>super rod:</v>
      </c>
    </row>
    <row r="2410" customFormat="false" ht="12.75" hidden="false" customHeight="true" outlineLevel="0" collapsed="false">
      <c r="A2410" s="4" t="s">
        <v>3029</v>
      </c>
      <c r="B2410" s="5" t="s">
        <v>3029</v>
      </c>
      <c r="C2410" s="1" t="str">
        <f aca="false">IF(B2410="NEW ROUTE",1,"")</f>
        <v/>
      </c>
      <c r="E2410" s="5" t="s">
        <v>3029</v>
      </c>
      <c r="F2410" s="6" t="e">
        <f aca="false">VLOOKUP(E2410,$K$2:$L$426,2,FALSE())</f>
        <v>#N/A</v>
      </c>
      <c r="G2410" s="1" t="str">
        <f aca="false">IF(ISNA(F2410),"",F2410)</f>
        <v/>
      </c>
      <c r="H2410" s="5" t="str">
        <f aca="false">IF(G2410&lt;&gt;"",G2410,E2410)</f>
        <v>36, 40, KINGDRA</v>
      </c>
    </row>
    <row r="2411" customFormat="false" ht="12.75" hidden="false" customHeight="true" outlineLevel="0" collapsed="false">
      <c r="A2411" s="4" t="s">
        <v>3527</v>
      </c>
      <c r="B2411" s="5" t="s">
        <v>3527</v>
      </c>
      <c r="C2411" s="1" t="str">
        <f aca="false">IF(B2411="NEW ROUTE",1,"")</f>
        <v/>
      </c>
      <c r="E2411" s="5" t="s">
        <v>3527</v>
      </c>
      <c r="F2411" s="6" t="e">
        <f aca="false">VLOOKUP(E2411,$K$2:$L$426,2,FALSE())</f>
        <v>#N/A</v>
      </c>
      <c r="G2411" s="1" t="str">
        <f aca="false">IF(ISNA(F2411),"",F2411)</f>
        <v/>
      </c>
      <c r="H2411" s="5" t="str">
        <f aca="false">IF(G2411&lt;&gt;"",G2411,E2411)</f>
        <v>36, 40, KINGLER</v>
      </c>
    </row>
    <row r="2412" customFormat="false" ht="12.75" hidden="false" customHeight="true" outlineLevel="0" collapsed="false">
      <c r="A2412" s="4" t="s">
        <v>3031</v>
      </c>
      <c r="B2412" s="5" t="s">
        <v>3031</v>
      </c>
      <c r="C2412" s="1" t="str">
        <f aca="false">IF(B2412="NEW ROUTE",1,"")</f>
        <v/>
      </c>
      <c r="E2412" s="5" t="s">
        <v>3031</v>
      </c>
      <c r="F2412" s="6" t="e">
        <f aca="false">VLOOKUP(E2412,$K$2:$L$426,2,FALSE())</f>
        <v>#N/A</v>
      </c>
      <c r="G2412" s="1" t="str">
        <f aca="false">IF(ISNA(F2412),"",F2412)</f>
        <v/>
      </c>
      <c r="H2412" s="5" t="str">
        <f aca="false">IF(G2412&lt;&gt;"",G2412,E2412)</f>
        <v>38, 42, GILDUCK</v>
      </c>
    </row>
    <row r="2413" customFormat="false" ht="12.75" hidden="false" customHeight="true" outlineLevel="0" collapsed="false">
      <c r="A2413" s="4" t="s">
        <v>3032</v>
      </c>
      <c r="B2413" s="5" t="s">
        <v>3032</v>
      </c>
      <c r="C2413" s="1" t="str">
        <f aca="false">IF(B2413="NEW ROUTE",1,"")</f>
        <v/>
      </c>
      <c r="E2413" s="5" t="s">
        <v>3032</v>
      </c>
      <c r="F2413" s="6" t="e">
        <f aca="false">VLOOKUP(E2413,$K$2:$L$426,2,FALSE())</f>
        <v>#N/A</v>
      </c>
      <c r="G2413" s="1" t="str">
        <f aca="false">IF(ISNA(F2413),"",F2413)</f>
        <v/>
      </c>
      <c r="H2413" s="5" t="str">
        <f aca="false">IF(G2413&lt;&gt;"",G2413,E2413)</f>
        <v>38, 42, KRAKLAW</v>
      </c>
    </row>
    <row r="2414" customFormat="false" ht="12.75" hidden="false" customHeight="true" outlineLevel="0" collapsed="false">
      <c r="A2414" s="4" t="s">
        <v>3033</v>
      </c>
      <c r="B2414" s="5" t="s">
        <v>3033</v>
      </c>
      <c r="C2414" s="1" t="str">
        <f aca="false">IF(B2414="NEW ROUTE",1,"")</f>
        <v/>
      </c>
      <c r="E2414" s="5" t="s">
        <v>3033</v>
      </c>
      <c r="F2414" s="6" t="e">
        <f aca="false">VLOOKUP(E2414,$K$2:$L$426,2,FALSE())</f>
        <v>#N/A</v>
      </c>
      <c r="G2414" s="1" t="str">
        <f aca="false">IF(ISNA(F2414),"",F2414)</f>
        <v/>
      </c>
      <c r="H2414" s="5" t="str">
        <f aca="false">IF(G2414&lt;&gt;"",G2414,E2414)</f>
        <v>40, 44, LORDRA</v>
      </c>
    </row>
    <row r="2415" customFormat="false" ht="12.75" hidden="false" customHeight="true" outlineLevel="0" collapsed="false">
      <c r="A2415" s="4" t="s">
        <v>2536</v>
      </c>
      <c r="B2415" s="5" t="s">
        <v>2536</v>
      </c>
      <c r="C2415" s="1" t="n">
        <f aca="false">IF(B2415="NEW ROUTE",1,"")</f>
        <v>1</v>
      </c>
      <c r="E2415" s="5" t="s">
        <v>2536</v>
      </c>
      <c r="F2415" s="6" t="e">
        <f aca="false">VLOOKUP(E2415,$K$2:$L$426,2,FALSE())</f>
        <v>#N/A</v>
      </c>
      <c r="G2415" s="1" t="str">
        <f aca="false">IF(ISNA(F2415),"",F2415)</f>
        <v/>
      </c>
      <c r="H2415" s="5" t="str">
        <f aca="false">IF(G2415&lt;&gt;"",G2415,E2415)</f>
        <v>NEW ROUTE</v>
      </c>
    </row>
    <row r="2416" customFormat="false" ht="12.75" hidden="false" customHeight="true" outlineLevel="0" collapsed="false">
      <c r="A2416" s="4" t="s">
        <v>456</v>
      </c>
      <c r="B2416" s="5" t="s">
        <v>456</v>
      </c>
      <c r="C2416" s="1" t="str">
        <f aca="false">IF(B2416="NEW ROUTE",1,"")</f>
        <v/>
      </c>
      <c r="E2416" s="5" t="s">
        <v>456</v>
      </c>
      <c r="F2416" s="6" t="str">
        <f aca="false">VLOOKUP(E2416,$K$2:$L$426,2,FALSE())</f>
        <v>Route 21 North</v>
      </c>
      <c r="G2416" s="1" t="str">
        <f aca="false">IF(ISNA(F2416),"",F2416)</f>
        <v>Route 21 North</v>
      </c>
      <c r="H2416" s="5" t="str">
        <f aca="false">IF(G2416&lt;&gt;"",G2416,E2416)</f>
        <v>Route 21 North</v>
      </c>
    </row>
    <row r="2417" customFormat="false" ht="12.75" hidden="false" customHeight="true" outlineLevel="0" collapsed="false">
      <c r="A2417" s="4" t="s">
        <v>2799</v>
      </c>
      <c r="B2417" s="5" t="n">
        <v>0.2</v>
      </c>
      <c r="C2417" s="1" t="str">
        <f aca="false">IF(B2417="NEW ROUTE",1,"")</f>
        <v/>
      </c>
      <c r="E2417" s="5" t="n">
        <v>0.2</v>
      </c>
      <c r="F2417" s="6" t="e">
        <f aca="false">VLOOKUP(E2417,$K$2:$L$426,2,FALSE())</f>
        <v>#N/A</v>
      </c>
      <c r="G2417" s="1" t="str">
        <f aca="false">IF(ISNA(F2417),"",F2417)</f>
        <v/>
      </c>
      <c r="H2417" s="5" t="n">
        <f aca="false">IF(G2417&lt;&gt;"",G2417,E2417)</f>
        <v>0.2</v>
      </c>
    </row>
    <row r="2418" customFormat="false" ht="12.75" hidden="false" customHeight="true" outlineLevel="0" collapsed="false">
      <c r="A2418" s="4" t="s">
        <v>2013</v>
      </c>
      <c r="B2418" s="5" t="s">
        <v>2013</v>
      </c>
      <c r="C2418" s="1" t="str">
        <f aca="false">IF(B2418="NEW ROUTE",1,"")</f>
        <v/>
      </c>
      <c r="E2418" s="5" t="s">
        <v>2013</v>
      </c>
      <c r="F2418" s="6" t="e">
        <f aca="false">VLOOKUP(E2418,$K$2:$L$426,2,FALSE())</f>
        <v>#N/A</v>
      </c>
      <c r="G2418" s="1" t="str">
        <f aca="false">IF(ISNA(F2418),"",F2418)</f>
        <v/>
      </c>
      <c r="H2418" s="5" t="str">
        <f aca="false">IF(G2418&lt;&gt;"",G2418,E2418)</f>
        <v>39, 46, TANGROWTH</v>
      </c>
    </row>
    <row r="2419" customFormat="false" ht="12.75" hidden="false" customHeight="true" outlineLevel="0" collapsed="false">
      <c r="A2419" s="4" t="s">
        <v>3530</v>
      </c>
      <c r="B2419" s="5" t="s">
        <v>3530</v>
      </c>
      <c r="C2419" s="1" t="str">
        <f aca="false">IF(B2419="NEW ROUTE",1,"")</f>
        <v/>
      </c>
      <c r="E2419" s="5" t="s">
        <v>3530</v>
      </c>
      <c r="F2419" s="6" t="e">
        <f aca="false">VLOOKUP(E2419,$K$2:$L$426,2,FALSE())</f>
        <v>#N/A</v>
      </c>
      <c r="G2419" s="1" t="str">
        <f aca="false">IF(ISNA(F2419),"",F2419)</f>
        <v/>
      </c>
      <c r="H2419" s="5" t="str">
        <f aca="false">IF(G2419&lt;&gt;"",G2419,E2419)</f>
        <v>39, 46, EXEGGUTOR</v>
      </c>
    </row>
    <row r="2420" customFormat="false" ht="12.75" hidden="false" customHeight="true" outlineLevel="0" collapsed="false">
      <c r="A2420" s="4" t="s">
        <v>2801</v>
      </c>
      <c r="B2420" s="5" t="n">
        <v>0.1</v>
      </c>
      <c r="C2420" s="1" t="str">
        <f aca="false">IF(B2420="NEW ROUTE",1,"")</f>
        <v/>
      </c>
      <c r="E2420" s="5" t="n">
        <v>0.1</v>
      </c>
      <c r="F2420" s="6" t="e">
        <f aca="false">VLOOKUP(E2420,$K$2:$L$426,2,FALSE())</f>
        <v>#N/A</v>
      </c>
      <c r="G2420" s="1" t="str">
        <f aca="false">IF(ISNA(F2420),"",F2420)</f>
        <v/>
      </c>
      <c r="H2420" s="5" t="n">
        <f aca="false">IF(G2420&lt;&gt;"",G2420,E2420)</f>
        <v>0.1</v>
      </c>
    </row>
    <row r="2421" customFormat="false" ht="12.75" hidden="false" customHeight="true" outlineLevel="0" collapsed="false">
      <c r="A2421" s="4" t="s">
        <v>3531</v>
      </c>
      <c r="B2421" s="5" t="s">
        <v>3531</v>
      </c>
      <c r="C2421" s="1" t="str">
        <f aca="false">IF(B2421="NEW ROUTE",1,"")</f>
        <v/>
      </c>
      <c r="E2421" s="5" t="s">
        <v>3531</v>
      </c>
      <c r="F2421" s="6" t="e">
        <f aca="false">VLOOKUP(E2421,$K$2:$L$426,2,FALSE())</f>
        <v>#N/A</v>
      </c>
      <c r="G2421" s="1" t="str">
        <f aca="false">IF(ISNA(F2421),"",F2421)</f>
        <v/>
      </c>
      <c r="H2421" s="5" t="str">
        <f aca="false">IF(G2421&lt;&gt;"",G2421,E2421)</f>
        <v>39, 42, DODRIO</v>
      </c>
    </row>
    <row r="2422" customFormat="false" ht="12.75" hidden="false" customHeight="true" outlineLevel="0" collapsed="false">
      <c r="A2422" s="4" t="s">
        <v>3532</v>
      </c>
      <c r="B2422" s="5" t="s">
        <v>3532</v>
      </c>
      <c r="C2422" s="1" t="str">
        <f aca="false">IF(B2422="NEW ROUTE",1,"")</f>
        <v/>
      </c>
      <c r="E2422" s="5" t="s">
        <v>3532</v>
      </c>
      <c r="F2422" s="6" t="e">
        <f aca="false">VLOOKUP(E2422,$K$2:$L$426,2,FALSE())</f>
        <v>#N/A</v>
      </c>
      <c r="G2422" s="1" t="str">
        <f aca="false">IF(ISNA(F2422),"",F2422)</f>
        <v/>
      </c>
      <c r="H2422" s="5" t="str">
        <f aca="false">IF(G2422&lt;&gt;"",G2422,E2422)</f>
        <v>39, 42, GOLDUCK</v>
      </c>
    </row>
    <row r="2423" customFormat="false" ht="12.75" hidden="false" customHeight="true" outlineLevel="0" collapsed="false">
      <c r="A2423" s="4" t="s">
        <v>3533</v>
      </c>
      <c r="B2423" s="5" t="s">
        <v>3533</v>
      </c>
      <c r="C2423" s="1" t="str">
        <f aca="false">IF(B2423="NEW ROUTE",1,"")</f>
        <v/>
      </c>
      <c r="E2423" s="5" t="s">
        <v>3533</v>
      </c>
      <c r="F2423" s="6" t="e">
        <f aca="false">VLOOKUP(E2423,$K$2:$L$426,2,FALSE())</f>
        <v>#N/A</v>
      </c>
      <c r="G2423" s="1" t="str">
        <f aca="false">IF(ISNA(F2423),"",F2423)</f>
        <v/>
      </c>
      <c r="H2423" s="5" t="str">
        <f aca="false">IF(G2423&lt;&gt;"",G2423,E2423)</f>
        <v>43, 46, DODRIO</v>
      </c>
    </row>
    <row r="2424" customFormat="false" ht="12.75" hidden="false" customHeight="true" outlineLevel="0" collapsed="false">
      <c r="A2424" s="4" t="s">
        <v>3534</v>
      </c>
      <c r="B2424" s="5" t="s">
        <v>3534</v>
      </c>
      <c r="C2424" s="1" t="str">
        <f aca="false">IF(B2424="NEW ROUTE",1,"")</f>
        <v/>
      </c>
      <c r="E2424" s="5" t="s">
        <v>3534</v>
      </c>
      <c r="F2424" s="6" t="e">
        <f aca="false">VLOOKUP(E2424,$K$2:$L$426,2,FALSE())</f>
        <v>#N/A</v>
      </c>
      <c r="G2424" s="1" t="str">
        <f aca="false">IF(ISNA(F2424),"",F2424)</f>
        <v/>
      </c>
      <c r="H2424" s="5" t="str">
        <f aca="false">IF(G2424&lt;&gt;"",G2424,E2424)</f>
        <v>43, 46, GOLDUCK</v>
      </c>
    </row>
    <row r="2425" customFormat="false" ht="12.75" hidden="false" customHeight="true" outlineLevel="0" collapsed="false">
      <c r="A2425" s="4" t="s">
        <v>2806</v>
      </c>
      <c r="B2425" s="5" t="n">
        <v>0.05</v>
      </c>
      <c r="C2425" s="1" t="str">
        <f aca="false">IF(B2425="NEW ROUTE",1,"")</f>
        <v/>
      </c>
      <c r="E2425" s="5" t="n">
        <v>0.05</v>
      </c>
      <c r="F2425" s="6" t="e">
        <f aca="false">VLOOKUP(E2425,$K$2:$L$426,2,FALSE())</f>
        <v>#N/A</v>
      </c>
      <c r="G2425" s="1" t="str">
        <f aca="false">IF(ISNA(F2425),"",F2425)</f>
        <v/>
      </c>
      <c r="H2425" s="5" t="n">
        <f aca="false">IF(G2425&lt;&gt;"",G2425,E2425)</f>
        <v>0.05</v>
      </c>
    </row>
    <row r="2426" customFormat="false" ht="12.75" hidden="false" customHeight="true" outlineLevel="0" collapsed="false">
      <c r="A2426" s="4" t="s">
        <v>3535</v>
      </c>
      <c r="B2426" s="5" t="s">
        <v>3535</v>
      </c>
      <c r="C2426" s="1" t="str">
        <f aca="false">IF(B2426="NEW ROUTE",1,"")</f>
        <v/>
      </c>
      <c r="E2426" s="5" t="s">
        <v>3535</v>
      </c>
      <c r="F2426" s="6" t="e">
        <f aca="false">VLOOKUP(E2426,$K$2:$L$426,2,FALSE())</f>
        <v>#N/A</v>
      </c>
      <c r="G2426" s="1" t="str">
        <f aca="false">IF(ISNA(F2426),"",F2426)</f>
        <v/>
      </c>
      <c r="H2426" s="5" t="str">
        <f aca="false">IF(G2426&lt;&gt;"",G2426,E2426)</f>
        <v>43, 50, TANGATHER</v>
      </c>
    </row>
    <row r="2427" customFormat="false" ht="12.75" hidden="false" customHeight="true" outlineLevel="0" collapsed="false">
      <c r="A2427" s="4" t="s">
        <v>3536</v>
      </c>
      <c r="B2427" s="5" t="s">
        <v>3536</v>
      </c>
      <c r="C2427" s="1" t="str">
        <f aca="false">IF(B2427="NEW ROUTE",1,"")</f>
        <v/>
      </c>
      <c r="E2427" s="5" t="s">
        <v>3536</v>
      </c>
      <c r="F2427" s="6" t="e">
        <f aca="false">VLOOKUP(E2427,$K$2:$L$426,2,FALSE())</f>
        <v>#N/A</v>
      </c>
      <c r="G2427" s="1" t="str">
        <f aca="false">IF(ISNA(F2427),"",F2427)</f>
        <v/>
      </c>
      <c r="H2427" s="5" t="str">
        <f aca="false">IF(G2427&lt;&gt;"",G2427,E2427)</f>
        <v>43, 50, EXEGGITY</v>
      </c>
    </row>
    <row r="2428" customFormat="false" ht="12.75" hidden="false" customHeight="true" outlineLevel="0" collapsed="false">
      <c r="A2428" s="4" t="s">
        <v>2809</v>
      </c>
      <c r="B2428" s="5" t="n">
        <v>0.04</v>
      </c>
      <c r="C2428" s="1" t="str">
        <f aca="false">IF(B2428="NEW ROUTE",1,"")</f>
        <v/>
      </c>
      <c r="E2428" s="5" t="n">
        <v>0.04</v>
      </c>
      <c r="F2428" s="6" t="e">
        <f aca="false">VLOOKUP(E2428,$K$2:$L$426,2,FALSE())</f>
        <v>#N/A</v>
      </c>
      <c r="G2428" s="1" t="str">
        <f aca="false">IF(ISNA(F2428),"",F2428)</f>
        <v/>
      </c>
      <c r="H2428" s="5" t="n">
        <f aca="false">IF(G2428&lt;&gt;"",G2428,E2428)</f>
        <v>0.04</v>
      </c>
    </row>
    <row r="2429" customFormat="false" ht="12.75" hidden="false" customHeight="true" outlineLevel="0" collapsed="false">
      <c r="A2429" s="4" t="s">
        <v>3537</v>
      </c>
      <c r="B2429" s="5" t="s">
        <v>3537</v>
      </c>
      <c r="C2429" s="1" t="str">
        <f aca="false">IF(B2429="NEW ROUTE",1,"")</f>
        <v/>
      </c>
      <c r="E2429" s="5" t="s">
        <v>3537</v>
      </c>
      <c r="F2429" s="6" t="e">
        <f aca="false">VLOOKUP(E2429,$K$2:$L$426,2,FALSE())</f>
        <v>#N/A</v>
      </c>
      <c r="G2429" s="1" t="str">
        <f aca="false">IF(ISNA(F2429),"",F2429)</f>
        <v/>
      </c>
      <c r="H2429" s="5" t="str">
        <f aca="false">IF(G2429&lt;&gt;"",G2429,E2429)</f>
        <v>43, 50, GILDUCK</v>
      </c>
    </row>
    <row r="2430" customFormat="false" ht="12.75" hidden="false" customHeight="true" outlineLevel="0" collapsed="false">
      <c r="A2430" s="4" t="s">
        <v>3538</v>
      </c>
      <c r="B2430" s="5" t="s">
        <v>3538</v>
      </c>
      <c r="C2430" s="1" t="str">
        <f aca="false">IF(B2430="NEW ROUTE",1,"")</f>
        <v/>
      </c>
      <c r="E2430" s="5" t="s">
        <v>3538</v>
      </c>
      <c r="F2430" s="6" t="e">
        <f aca="false">VLOOKUP(E2430,$K$2:$L$426,2,FALSE())</f>
        <v>#N/A</v>
      </c>
      <c r="G2430" s="1" t="str">
        <f aca="false">IF(ISNA(F2430),"",F2430)</f>
        <v/>
      </c>
      <c r="H2430" s="5" t="str">
        <f aca="false">IF(G2430&lt;&gt;"",G2430,E2430)</f>
        <v>43, 50, QUADODO</v>
      </c>
    </row>
    <row r="2431" customFormat="false" ht="12.75" hidden="false" customHeight="true" outlineLevel="0" collapsed="false">
      <c r="A2431" s="4" t="s">
        <v>2812</v>
      </c>
      <c r="B2431" s="5" t="n">
        <v>0.01</v>
      </c>
      <c r="C2431" s="1" t="str">
        <f aca="false">IF(B2431="NEW ROUTE",1,"")</f>
        <v/>
      </c>
      <c r="E2431" s="5" t="n">
        <v>0.01</v>
      </c>
      <c r="F2431" s="6" t="e">
        <f aca="false">VLOOKUP(E2431,$K$2:$L$426,2,FALSE())</f>
        <v>#N/A</v>
      </c>
      <c r="G2431" s="1" t="str">
        <f aca="false">IF(ISNA(F2431),"",F2431)</f>
        <v/>
      </c>
      <c r="H2431" s="5" t="n">
        <f aca="false">IF(G2431&lt;&gt;"",G2431,E2431)</f>
        <v>0.01</v>
      </c>
    </row>
    <row r="2432" customFormat="false" ht="12.75" hidden="false" customHeight="true" outlineLevel="0" collapsed="false">
      <c r="A2432" s="4" t="s">
        <v>3539</v>
      </c>
      <c r="B2432" s="5" t="s">
        <v>3539</v>
      </c>
      <c r="C2432" s="1" t="str">
        <f aca="false">IF(B2432="NEW ROUTE",1,"")</f>
        <v/>
      </c>
      <c r="E2432" s="5" t="s">
        <v>3539</v>
      </c>
      <c r="F2432" s="6" t="e">
        <f aca="false">VLOOKUP(E2432,$K$2:$L$426,2,FALSE())</f>
        <v>#N/A</v>
      </c>
      <c r="G2432" s="1" t="str">
        <f aca="false">IF(ISNA(F2432),"",F2432)</f>
        <v/>
      </c>
      <c r="H2432" s="5" t="str">
        <f aca="false">IF(G2432&lt;&gt;"",G2432,E2432)</f>
        <v>45, 52, TANGOLIATH</v>
      </c>
    </row>
    <row r="2433" customFormat="false" ht="12.75" hidden="false" customHeight="true" outlineLevel="0" collapsed="false">
      <c r="A2433" s="4" t="s">
        <v>3540</v>
      </c>
      <c r="B2433" s="5" t="s">
        <v>3540</v>
      </c>
      <c r="C2433" s="1" t="str">
        <f aca="false">IF(B2433="NEW ROUTE",1,"")</f>
        <v/>
      </c>
      <c r="E2433" s="5" t="s">
        <v>3540</v>
      </c>
      <c r="F2433" s="6" t="e">
        <f aca="false">VLOOKUP(E2433,$K$2:$L$426,2,FALSE())</f>
        <v>#N/A</v>
      </c>
      <c r="G2433" s="1" t="str">
        <f aca="false">IF(ISNA(F2433),"",F2433)</f>
        <v/>
      </c>
      <c r="H2433" s="5" t="str">
        <f aca="false">IF(G2433&lt;&gt;"",G2433,E2433)</f>
        <v>44, 44, TANGOLIATH</v>
      </c>
    </row>
    <row r="2434" customFormat="false" ht="12.75" hidden="false" customHeight="true" outlineLevel="0" collapsed="false">
      <c r="A2434" s="4" t="s">
        <v>3349</v>
      </c>
      <c r="B2434" s="5" t="s">
        <v>3349</v>
      </c>
      <c r="C2434" s="1" t="str">
        <f aca="false">IF(B2434="NEW ROUTE",1,"")</f>
        <v/>
      </c>
      <c r="E2434" s="5" t="s">
        <v>3349</v>
      </c>
      <c r="F2434" s="6" t="e">
        <f aca="false">VLOOKUP(E2434,$K$2:$L$426,2,FALSE())</f>
        <v>#N/A</v>
      </c>
      <c r="G2434" s="1" t="str">
        <f aca="false">IF(ISNA(F2434),"",F2434)</f>
        <v/>
      </c>
      <c r="H2434" s="5" t="str">
        <f aca="false">IF(G2434&lt;&gt;"",G2434,E2434)</f>
        <v>2, 38, 42, TENTACOOL</v>
      </c>
    </row>
    <row r="2435" customFormat="false" ht="12.75" hidden="false" customHeight="true" outlineLevel="0" collapsed="false">
      <c r="A2435" s="4" t="s">
        <v>3428</v>
      </c>
      <c r="B2435" s="5" t="s">
        <v>3428</v>
      </c>
      <c r="C2435" s="1" t="str">
        <f aca="false">IF(B2435="NEW ROUTE",1,"")</f>
        <v/>
      </c>
      <c r="E2435" s="5" t="s">
        <v>3428</v>
      </c>
      <c r="F2435" s="6" t="e">
        <f aca="false">VLOOKUP(E2435,$K$2:$L$426,2,FALSE())</f>
        <v>#N/A</v>
      </c>
      <c r="G2435" s="1" t="str">
        <f aca="false">IF(ISNA(F2435),"",F2435)</f>
        <v/>
      </c>
      <c r="H2435" s="5" t="str">
        <f aca="false">IF(G2435&lt;&gt;"",G2435,E2435)</f>
        <v>40, 44, TENTACRUEL</v>
      </c>
    </row>
    <row r="2436" customFormat="false" ht="12.75" hidden="false" customHeight="true" outlineLevel="0" collapsed="false">
      <c r="A2436" s="4" t="s">
        <v>3429</v>
      </c>
      <c r="B2436" s="5" t="s">
        <v>3429</v>
      </c>
      <c r="C2436" s="1" t="str">
        <f aca="false">IF(B2436="NEW ROUTE",1,"")</f>
        <v/>
      </c>
      <c r="E2436" s="5" t="s">
        <v>3429</v>
      </c>
      <c r="F2436" s="6" t="e">
        <f aca="false">VLOOKUP(E2436,$K$2:$L$426,2,FALSE())</f>
        <v>#N/A</v>
      </c>
      <c r="G2436" s="1" t="str">
        <f aca="false">IF(ISNA(F2436),"",F2436)</f>
        <v/>
      </c>
      <c r="H2436" s="5" t="str">
        <f aca="false">IF(G2436&lt;&gt;"",G2436,E2436)</f>
        <v>42, 46, TENTACATE</v>
      </c>
    </row>
    <row r="2437" customFormat="false" ht="12.75" hidden="false" customHeight="true" outlineLevel="0" collapsed="false">
      <c r="A2437" s="4" t="s">
        <v>3024</v>
      </c>
      <c r="B2437" s="5" t="s">
        <v>3024</v>
      </c>
      <c r="C2437" s="1" t="str">
        <f aca="false">IF(B2437="NEW ROUTE",1,"")</f>
        <v/>
      </c>
      <c r="E2437" s="5" t="s">
        <v>3024</v>
      </c>
      <c r="F2437" s="6" t="e">
        <f aca="false">VLOOKUP(E2437,$K$2:$L$426,2,FALSE())</f>
        <v>#N/A</v>
      </c>
      <c r="G2437" s="1" t="str">
        <f aca="false">IF(ISNA(F2437),"",F2437)</f>
        <v/>
      </c>
      <c r="H2437" s="5" t="str">
        <f aca="false">IF(G2437&lt;&gt;"",G2437,E2437)</f>
        <v>42, 46, LAPRAS</v>
      </c>
    </row>
    <row r="2438" customFormat="false" ht="12.75" hidden="false" customHeight="true" outlineLevel="0" collapsed="false">
      <c r="A2438" s="4" t="s">
        <v>3449</v>
      </c>
      <c r="B2438" s="5" t="s">
        <v>3449</v>
      </c>
      <c r="C2438" s="1" t="str">
        <f aca="false">IF(B2438="NEW ROUTE",1,"")</f>
        <v/>
      </c>
      <c r="E2438" s="5" t="s">
        <v>3449</v>
      </c>
      <c r="F2438" s="6" t="e">
        <f aca="false">VLOOKUP(E2438,$K$2:$L$426,2,FALSE())</f>
        <v>#N/A</v>
      </c>
      <c r="G2438" s="1" t="str">
        <f aca="false">IF(ISNA(F2438),"",F2438)</f>
        <v/>
      </c>
      <c r="H2438" s="5" t="str">
        <f aca="false">IF(G2438&lt;&gt;"",G2438,E2438)</f>
        <v>44, 48, LOCHLASS</v>
      </c>
    </row>
    <row r="2439" customFormat="false" ht="12.75" hidden="false" customHeight="true" outlineLevel="0" collapsed="false">
      <c r="A2439" s="4" t="s">
        <v>2925</v>
      </c>
      <c r="B2439" s="5" t="s">
        <v>2925</v>
      </c>
      <c r="C2439" s="1" t="str">
        <f aca="false">IF(B2439="NEW ROUTE",1,"")</f>
        <v/>
      </c>
      <c r="E2439" s="5" t="s">
        <v>2925</v>
      </c>
      <c r="F2439" s="6" t="e">
        <f aca="false">VLOOKUP(E2439,$K$2:$L$426,2,FALSE())</f>
        <v>#N/A</v>
      </c>
      <c r="G2439" s="1" t="str">
        <f aca="false">IF(ISNA(F2439),"",F2439)</f>
        <v/>
      </c>
      <c r="H2439" s="5" t="str">
        <f aca="false">IF(G2439&lt;&gt;"",G2439,E2439)</f>
        <v>20, old rod:</v>
      </c>
    </row>
    <row r="2440" customFormat="false" ht="12.75" hidden="false" customHeight="true" outlineLevel="0" collapsed="false">
      <c r="A2440" s="4" t="s">
        <v>2008</v>
      </c>
      <c r="B2440" s="5" t="s">
        <v>2008</v>
      </c>
      <c r="C2440" s="1" t="str">
        <f aca="false">IF(B2440="NEW ROUTE",1,"")</f>
        <v/>
      </c>
      <c r="E2440" s="5" t="s">
        <v>2008</v>
      </c>
      <c r="F2440" s="6" t="e">
        <f aca="false">VLOOKUP(E2440,$K$2:$L$426,2,FALSE())</f>
        <v>#N/A</v>
      </c>
      <c r="G2440" s="1" t="str">
        <f aca="false">IF(ISNA(F2440),"",F2440)</f>
        <v/>
      </c>
      <c r="H2440" s="5" t="str">
        <f aca="false">IF(G2440&lt;&gt;"",G2440,E2440)</f>
        <v>19, 26, PSYDUCK</v>
      </c>
    </row>
    <row r="2441" customFormat="false" ht="12.75" hidden="false" customHeight="true" outlineLevel="0" collapsed="false">
      <c r="A2441" s="4" t="s">
        <v>1451</v>
      </c>
      <c r="B2441" s="5" t="s">
        <v>1451</v>
      </c>
      <c r="C2441" s="1" t="str">
        <f aca="false">IF(B2441="NEW ROUTE",1,"")</f>
        <v/>
      </c>
      <c r="E2441" s="5" t="s">
        <v>1451</v>
      </c>
      <c r="F2441" s="6" t="e">
        <f aca="false">VLOOKUP(E2441,$K$2:$L$426,2,FALSE())</f>
        <v>#N/A</v>
      </c>
      <c r="G2441" s="1" t="str">
        <f aca="false">IF(ISNA(F2441),"",F2441)</f>
        <v/>
      </c>
      <c r="H2441" s="5" t="str">
        <f aca="false">IF(G2441&lt;&gt;"",G2441,E2441)</f>
        <v>19, 26, HORSEA</v>
      </c>
    </row>
    <row r="2442" customFormat="false" ht="12.75" hidden="false" customHeight="true" outlineLevel="0" collapsed="false">
      <c r="A2442" s="4" t="s">
        <v>2846</v>
      </c>
      <c r="B2442" s="5" t="s">
        <v>2846</v>
      </c>
      <c r="C2442" s="1" t="str">
        <f aca="false">IF(B2442="NEW ROUTE",1,"")</f>
        <v/>
      </c>
      <c r="E2442" s="5" t="s">
        <v>2846</v>
      </c>
      <c r="F2442" s="6" t="e">
        <f aca="false">VLOOKUP(E2442,$K$2:$L$426,2,FALSE())</f>
        <v>#N/A</v>
      </c>
      <c r="G2442" s="1" t="str">
        <f aca="false">IF(ISNA(F2442),"",F2442)</f>
        <v/>
      </c>
      <c r="H2442" s="5" t="str">
        <f aca="false">IF(G2442&lt;&gt;"",G2442,E2442)</f>
        <v>good rod:</v>
      </c>
    </row>
    <row r="2443" customFormat="false" ht="12.75" hidden="false" customHeight="true" outlineLevel="0" collapsed="false">
      <c r="A2443" s="4" t="s">
        <v>3026</v>
      </c>
      <c r="B2443" s="5" t="s">
        <v>3026</v>
      </c>
      <c r="C2443" s="1" t="str">
        <f aca="false">IF(B2443="NEW ROUTE",1,"")</f>
        <v/>
      </c>
      <c r="E2443" s="5" t="s">
        <v>3026</v>
      </c>
      <c r="F2443" s="6" t="e">
        <f aca="false">VLOOKUP(E2443,$K$2:$L$426,2,FALSE())</f>
        <v>#N/A</v>
      </c>
      <c r="G2443" s="1" t="str">
        <f aca="false">IF(ISNA(F2443),"",F2443)</f>
        <v/>
      </c>
      <c r="H2443" s="5" t="str">
        <f aca="false">IF(G2443&lt;&gt;"",G2443,E2443)</f>
        <v>29, 33, SEADRA</v>
      </c>
    </row>
    <row r="2444" customFormat="false" ht="12.75" hidden="false" customHeight="true" outlineLevel="0" collapsed="false">
      <c r="A2444" s="4" t="s">
        <v>3027</v>
      </c>
      <c r="B2444" s="5" t="s">
        <v>3027</v>
      </c>
      <c r="C2444" s="1" t="str">
        <f aca="false">IF(B2444="NEW ROUTE",1,"")</f>
        <v/>
      </c>
      <c r="E2444" s="5" t="s">
        <v>3027</v>
      </c>
      <c r="F2444" s="6" t="e">
        <f aca="false">VLOOKUP(E2444,$K$2:$L$426,2,FALSE())</f>
        <v>#N/A</v>
      </c>
      <c r="G2444" s="1" t="str">
        <f aca="false">IF(ISNA(F2444),"",F2444)</f>
        <v/>
      </c>
      <c r="H2444" s="5" t="str">
        <f aca="false">IF(G2444&lt;&gt;"",G2444,E2444)</f>
        <v>30, 35, KRABBY</v>
      </c>
    </row>
    <row r="2445" customFormat="false" ht="12.75" hidden="false" customHeight="true" outlineLevel="0" collapsed="false">
      <c r="A2445" s="4" t="s">
        <v>3028</v>
      </c>
      <c r="B2445" s="5" t="s">
        <v>3028</v>
      </c>
      <c r="C2445" s="1" t="str">
        <f aca="false">IF(B2445="NEW ROUTE",1,"")</f>
        <v/>
      </c>
      <c r="E2445" s="5" t="s">
        <v>3028</v>
      </c>
      <c r="F2445" s="6" t="e">
        <f aca="false">VLOOKUP(E2445,$K$2:$L$426,2,FALSE())</f>
        <v>#N/A</v>
      </c>
      <c r="G2445" s="1" t="str">
        <f aca="false">IF(ISNA(F2445),"",F2445)</f>
        <v/>
      </c>
      <c r="H2445" s="5" t="str">
        <f aca="false">IF(G2445&lt;&gt;"",G2445,E2445)</f>
        <v>30, 35, GOLDUCK</v>
      </c>
    </row>
    <row r="2446" customFormat="false" ht="12.75" hidden="false" customHeight="true" outlineLevel="0" collapsed="false">
      <c r="A2446" s="4" t="s">
        <v>2850</v>
      </c>
      <c r="B2446" s="5" t="s">
        <v>2850</v>
      </c>
      <c r="C2446" s="1" t="str">
        <f aca="false">IF(B2446="NEW ROUTE",1,"")</f>
        <v/>
      </c>
      <c r="E2446" s="5" t="s">
        <v>2850</v>
      </c>
      <c r="F2446" s="6" t="e">
        <f aca="false">VLOOKUP(E2446,$K$2:$L$426,2,FALSE())</f>
        <v>#N/A</v>
      </c>
      <c r="G2446" s="1" t="str">
        <f aca="false">IF(ISNA(F2446),"",F2446)</f>
        <v/>
      </c>
      <c r="H2446" s="5" t="str">
        <f aca="false">IF(G2446&lt;&gt;"",G2446,E2446)</f>
        <v>super rod:</v>
      </c>
    </row>
    <row r="2447" customFormat="false" ht="12.75" hidden="false" customHeight="true" outlineLevel="0" collapsed="false">
      <c r="A2447" s="4" t="s">
        <v>3029</v>
      </c>
      <c r="B2447" s="5" t="s">
        <v>3029</v>
      </c>
      <c r="C2447" s="1" t="str">
        <f aca="false">IF(B2447="NEW ROUTE",1,"")</f>
        <v/>
      </c>
      <c r="E2447" s="5" t="s">
        <v>3029</v>
      </c>
      <c r="F2447" s="6" t="e">
        <f aca="false">VLOOKUP(E2447,$K$2:$L$426,2,FALSE())</f>
        <v>#N/A</v>
      </c>
      <c r="G2447" s="1" t="str">
        <f aca="false">IF(ISNA(F2447),"",F2447)</f>
        <v/>
      </c>
      <c r="H2447" s="5" t="str">
        <f aca="false">IF(G2447&lt;&gt;"",G2447,E2447)</f>
        <v>36, 40, KINGDRA</v>
      </c>
    </row>
    <row r="2448" customFormat="false" ht="12.75" hidden="false" customHeight="true" outlineLevel="0" collapsed="false">
      <c r="A2448" s="4" t="s">
        <v>3527</v>
      </c>
      <c r="B2448" s="5" t="s">
        <v>3527</v>
      </c>
      <c r="C2448" s="1" t="str">
        <f aca="false">IF(B2448="NEW ROUTE",1,"")</f>
        <v/>
      </c>
      <c r="E2448" s="5" t="s">
        <v>3527</v>
      </c>
      <c r="F2448" s="6" t="e">
        <f aca="false">VLOOKUP(E2448,$K$2:$L$426,2,FALSE())</f>
        <v>#N/A</v>
      </c>
      <c r="G2448" s="1" t="str">
        <f aca="false">IF(ISNA(F2448),"",F2448)</f>
        <v/>
      </c>
      <c r="H2448" s="5" t="str">
        <f aca="false">IF(G2448&lt;&gt;"",G2448,E2448)</f>
        <v>36, 40, KINGLER</v>
      </c>
    </row>
    <row r="2449" customFormat="false" ht="12.75" hidden="false" customHeight="true" outlineLevel="0" collapsed="false">
      <c r="A2449" s="4" t="s">
        <v>3031</v>
      </c>
      <c r="B2449" s="5" t="s">
        <v>3031</v>
      </c>
      <c r="C2449" s="1" t="str">
        <f aca="false">IF(B2449="NEW ROUTE",1,"")</f>
        <v/>
      </c>
      <c r="E2449" s="5" t="s">
        <v>3031</v>
      </c>
      <c r="F2449" s="6" t="e">
        <f aca="false">VLOOKUP(E2449,$K$2:$L$426,2,FALSE())</f>
        <v>#N/A</v>
      </c>
      <c r="G2449" s="1" t="str">
        <f aca="false">IF(ISNA(F2449),"",F2449)</f>
        <v/>
      </c>
      <c r="H2449" s="5" t="str">
        <f aca="false">IF(G2449&lt;&gt;"",G2449,E2449)</f>
        <v>38, 42, GILDUCK</v>
      </c>
    </row>
    <row r="2450" customFormat="false" ht="12.75" hidden="false" customHeight="true" outlineLevel="0" collapsed="false">
      <c r="A2450" s="4" t="s">
        <v>3032</v>
      </c>
      <c r="B2450" s="5" t="s">
        <v>3032</v>
      </c>
      <c r="C2450" s="1" t="str">
        <f aca="false">IF(B2450="NEW ROUTE",1,"")</f>
        <v/>
      </c>
      <c r="E2450" s="5" t="s">
        <v>3032</v>
      </c>
      <c r="F2450" s="6" t="e">
        <f aca="false">VLOOKUP(E2450,$K$2:$L$426,2,FALSE())</f>
        <v>#N/A</v>
      </c>
      <c r="G2450" s="1" t="str">
        <f aca="false">IF(ISNA(F2450),"",F2450)</f>
        <v/>
      </c>
      <c r="H2450" s="5" t="str">
        <f aca="false">IF(G2450&lt;&gt;"",G2450,E2450)</f>
        <v>38, 42, KRAKLAW</v>
      </c>
    </row>
    <row r="2451" customFormat="false" ht="12.75" hidden="false" customHeight="true" outlineLevel="0" collapsed="false">
      <c r="A2451" s="4" t="s">
        <v>3033</v>
      </c>
      <c r="B2451" s="5" t="s">
        <v>3033</v>
      </c>
      <c r="C2451" s="1" t="str">
        <f aca="false">IF(B2451="NEW ROUTE",1,"")</f>
        <v/>
      </c>
      <c r="E2451" s="5" t="s">
        <v>3033</v>
      </c>
      <c r="F2451" s="6" t="e">
        <f aca="false">VLOOKUP(E2451,$K$2:$L$426,2,FALSE())</f>
        <v>#N/A</v>
      </c>
      <c r="G2451" s="1" t="str">
        <f aca="false">IF(ISNA(F2451),"",F2451)</f>
        <v/>
      </c>
      <c r="H2451" s="5" t="str">
        <f aca="false">IF(G2451&lt;&gt;"",G2451,E2451)</f>
        <v>40, 44, LORDRA</v>
      </c>
    </row>
    <row r="2452" customFormat="false" ht="12.75" hidden="false" customHeight="true" outlineLevel="0" collapsed="false">
      <c r="A2452" s="4" t="s">
        <v>2536</v>
      </c>
      <c r="B2452" s="5" t="s">
        <v>2536</v>
      </c>
      <c r="C2452" s="1" t="n">
        <f aca="false">IF(B2452="NEW ROUTE",1,"")</f>
        <v>1</v>
      </c>
      <c r="E2452" s="5" t="s">
        <v>2536</v>
      </c>
      <c r="F2452" s="6" t="e">
        <f aca="false">VLOOKUP(E2452,$K$2:$L$426,2,FALSE())</f>
        <v>#N/A</v>
      </c>
      <c r="G2452" s="1" t="str">
        <f aca="false">IF(ISNA(F2452),"",F2452)</f>
        <v/>
      </c>
      <c r="H2452" s="5" t="str">
        <f aca="false">IF(G2452&lt;&gt;"",G2452,E2452)</f>
        <v>NEW ROUTE</v>
      </c>
    </row>
    <row r="2453" customFormat="false" ht="12.75" hidden="false" customHeight="true" outlineLevel="0" collapsed="false">
      <c r="A2453" s="4" t="s">
        <v>458</v>
      </c>
      <c r="B2453" s="5" t="s">
        <v>458</v>
      </c>
      <c r="C2453" s="1" t="str">
        <f aca="false">IF(B2453="NEW ROUTE",1,"")</f>
        <v/>
      </c>
      <c r="E2453" s="5" t="s">
        <v>458</v>
      </c>
      <c r="F2453" s="6" t="str">
        <f aca="false">VLOOKUP(E2453,$K$2:$L$426,2,FALSE())</f>
        <v>Route 21 South</v>
      </c>
      <c r="G2453" s="1" t="str">
        <f aca="false">IF(ISNA(F2453),"",F2453)</f>
        <v>Route 21 South</v>
      </c>
      <c r="H2453" s="5" t="str">
        <f aca="false">IF(G2453&lt;&gt;"",G2453,E2453)</f>
        <v>Route 21 South</v>
      </c>
    </row>
    <row r="2454" customFormat="false" ht="12.75" hidden="false" customHeight="true" outlineLevel="0" collapsed="false">
      <c r="A2454" s="4" t="s">
        <v>2799</v>
      </c>
      <c r="B2454" s="5" t="n">
        <v>0.2</v>
      </c>
      <c r="C2454" s="1" t="str">
        <f aca="false">IF(B2454="NEW ROUTE",1,"")</f>
        <v/>
      </c>
      <c r="E2454" s="5" t="n">
        <v>0.2</v>
      </c>
      <c r="F2454" s="6" t="e">
        <f aca="false">VLOOKUP(E2454,$K$2:$L$426,2,FALSE())</f>
        <v>#N/A</v>
      </c>
      <c r="G2454" s="1" t="str">
        <f aca="false">IF(ISNA(F2454),"",F2454)</f>
        <v/>
      </c>
      <c r="H2454" s="5" t="n">
        <f aca="false">IF(G2454&lt;&gt;"",G2454,E2454)</f>
        <v>0.2</v>
      </c>
    </row>
    <row r="2455" customFormat="false" ht="12.75" hidden="false" customHeight="true" outlineLevel="0" collapsed="false">
      <c r="A2455" s="4" t="s">
        <v>2013</v>
      </c>
      <c r="B2455" s="5" t="s">
        <v>2013</v>
      </c>
      <c r="C2455" s="1" t="str">
        <f aca="false">IF(B2455="NEW ROUTE",1,"")</f>
        <v/>
      </c>
      <c r="E2455" s="5" t="s">
        <v>2013</v>
      </c>
      <c r="F2455" s="6" t="e">
        <f aca="false">VLOOKUP(E2455,$K$2:$L$426,2,FALSE())</f>
        <v>#N/A</v>
      </c>
      <c r="G2455" s="1" t="str">
        <f aca="false">IF(ISNA(F2455),"",F2455)</f>
        <v/>
      </c>
      <c r="H2455" s="5" t="str">
        <f aca="false">IF(G2455&lt;&gt;"",G2455,E2455)</f>
        <v>39, 46, TANGROWTH</v>
      </c>
    </row>
    <row r="2456" customFormat="false" ht="12.75" hidden="false" customHeight="true" outlineLevel="0" collapsed="false">
      <c r="A2456" s="4" t="s">
        <v>3530</v>
      </c>
      <c r="B2456" s="5" t="s">
        <v>3530</v>
      </c>
      <c r="C2456" s="1" t="str">
        <f aca="false">IF(B2456="NEW ROUTE",1,"")</f>
        <v/>
      </c>
      <c r="E2456" s="5" t="s">
        <v>3530</v>
      </c>
      <c r="F2456" s="6" t="e">
        <f aca="false">VLOOKUP(E2456,$K$2:$L$426,2,FALSE())</f>
        <v>#N/A</v>
      </c>
      <c r="G2456" s="1" t="str">
        <f aca="false">IF(ISNA(F2456),"",F2456)</f>
        <v/>
      </c>
      <c r="H2456" s="5" t="str">
        <f aca="false">IF(G2456&lt;&gt;"",G2456,E2456)</f>
        <v>39, 46, EXEGGUTOR</v>
      </c>
    </row>
    <row r="2457" customFormat="false" ht="12.75" hidden="false" customHeight="true" outlineLevel="0" collapsed="false">
      <c r="A2457" s="4" t="s">
        <v>2801</v>
      </c>
      <c r="B2457" s="5" t="n">
        <v>0.1</v>
      </c>
      <c r="C2457" s="1" t="str">
        <f aca="false">IF(B2457="NEW ROUTE",1,"")</f>
        <v/>
      </c>
      <c r="E2457" s="5" t="n">
        <v>0.1</v>
      </c>
      <c r="F2457" s="6" t="e">
        <f aca="false">VLOOKUP(E2457,$K$2:$L$426,2,FALSE())</f>
        <v>#N/A</v>
      </c>
      <c r="G2457" s="1" t="str">
        <f aca="false">IF(ISNA(F2457),"",F2457)</f>
        <v/>
      </c>
      <c r="H2457" s="5" t="n">
        <f aca="false">IF(G2457&lt;&gt;"",G2457,E2457)</f>
        <v>0.1</v>
      </c>
    </row>
    <row r="2458" customFormat="false" ht="12.75" hidden="false" customHeight="true" outlineLevel="0" collapsed="false">
      <c r="A2458" s="4" t="s">
        <v>3531</v>
      </c>
      <c r="B2458" s="5" t="s">
        <v>3531</v>
      </c>
      <c r="C2458" s="1" t="str">
        <f aca="false">IF(B2458="NEW ROUTE",1,"")</f>
        <v/>
      </c>
      <c r="E2458" s="5" t="s">
        <v>3531</v>
      </c>
      <c r="F2458" s="6" t="e">
        <f aca="false">VLOOKUP(E2458,$K$2:$L$426,2,FALSE())</f>
        <v>#N/A</v>
      </c>
      <c r="G2458" s="1" t="str">
        <f aca="false">IF(ISNA(F2458),"",F2458)</f>
        <v/>
      </c>
      <c r="H2458" s="5" t="str">
        <f aca="false">IF(G2458&lt;&gt;"",G2458,E2458)</f>
        <v>39, 42, DODRIO</v>
      </c>
    </row>
    <row r="2459" customFormat="false" ht="12.75" hidden="false" customHeight="true" outlineLevel="0" collapsed="false">
      <c r="A2459" s="4" t="s">
        <v>3532</v>
      </c>
      <c r="B2459" s="5" t="s">
        <v>3532</v>
      </c>
      <c r="C2459" s="1" t="str">
        <f aca="false">IF(B2459="NEW ROUTE",1,"")</f>
        <v/>
      </c>
      <c r="E2459" s="5" t="s">
        <v>3532</v>
      </c>
      <c r="F2459" s="6" t="e">
        <f aca="false">VLOOKUP(E2459,$K$2:$L$426,2,FALSE())</f>
        <v>#N/A</v>
      </c>
      <c r="G2459" s="1" t="str">
        <f aca="false">IF(ISNA(F2459),"",F2459)</f>
        <v/>
      </c>
      <c r="H2459" s="5" t="str">
        <f aca="false">IF(G2459&lt;&gt;"",G2459,E2459)</f>
        <v>39, 42, GOLDUCK</v>
      </c>
    </row>
    <row r="2460" customFormat="false" ht="12.75" hidden="false" customHeight="true" outlineLevel="0" collapsed="false">
      <c r="A2460" s="4" t="s">
        <v>3533</v>
      </c>
      <c r="B2460" s="5" t="s">
        <v>3533</v>
      </c>
      <c r="C2460" s="1" t="str">
        <f aca="false">IF(B2460="NEW ROUTE",1,"")</f>
        <v/>
      </c>
      <c r="E2460" s="5" t="s">
        <v>3533</v>
      </c>
      <c r="F2460" s="6" t="e">
        <f aca="false">VLOOKUP(E2460,$K$2:$L$426,2,FALSE())</f>
        <v>#N/A</v>
      </c>
      <c r="G2460" s="1" t="str">
        <f aca="false">IF(ISNA(F2460),"",F2460)</f>
        <v/>
      </c>
      <c r="H2460" s="5" t="str">
        <f aca="false">IF(G2460&lt;&gt;"",G2460,E2460)</f>
        <v>43, 46, DODRIO</v>
      </c>
    </row>
    <row r="2461" customFormat="false" ht="12.75" hidden="false" customHeight="true" outlineLevel="0" collapsed="false">
      <c r="A2461" s="4" t="s">
        <v>3534</v>
      </c>
      <c r="B2461" s="5" t="s">
        <v>3534</v>
      </c>
      <c r="C2461" s="1" t="str">
        <f aca="false">IF(B2461="NEW ROUTE",1,"")</f>
        <v/>
      </c>
      <c r="E2461" s="5" t="s">
        <v>3534</v>
      </c>
      <c r="F2461" s="6" t="e">
        <f aca="false">VLOOKUP(E2461,$K$2:$L$426,2,FALSE())</f>
        <v>#N/A</v>
      </c>
      <c r="G2461" s="1" t="str">
        <f aca="false">IF(ISNA(F2461),"",F2461)</f>
        <v/>
      </c>
      <c r="H2461" s="5" t="str">
        <f aca="false">IF(G2461&lt;&gt;"",G2461,E2461)</f>
        <v>43, 46, GOLDUCK</v>
      </c>
    </row>
    <row r="2462" customFormat="false" ht="12.75" hidden="false" customHeight="true" outlineLevel="0" collapsed="false">
      <c r="A2462" s="4" t="s">
        <v>2806</v>
      </c>
      <c r="B2462" s="5" t="n">
        <v>0.05</v>
      </c>
      <c r="C2462" s="1" t="str">
        <f aca="false">IF(B2462="NEW ROUTE",1,"")</f>
        <v/>
      </c>
      <c r="E2462" s="5" t="n">
        <v>0.05</v>
      </c>
      <c r="F2462" s="6" t="e">
        <f aca="false">VLOOKUP(E2462,$K$2:$L$426,2,FALSE())</f>
        <v>#N/A</v>
      </c>
      <c r="G2462" s="1" t="str">
        <f aca="false">IF(ISNA(F2462),"",F2462)</f>
        <v/>
      </c>
      <c r="H2462" s="5" t="n">
        <f aca="false">IF(G2462&lt;&gt;"",G2462,E2462)</f>
        <v>0.05</v>
      </c>
    </row>
    <row r="2463" customFormat="false" ht="12.75" hidden="false" customHeight="true" outlineLevel="0" collapsed="false">
      <c r="A2463" s="4" t="s">
        <v>3535</v>
      </c>
      <c r="B2463" s="5" t="s">
        <v>3535</v>
      </c>
      <c r="C2463" s="1" t="str">
        <f aca="false">IF(B2463="NEW ROUTE",1,"")</f>
        <v/>
      </c>
      <c r="E2463" s="5" t="s">
        <v>3535</v>
      </c>
      <c r="F2463" s="6" t="e">
        <f aca="false">VLOOKUP(E2463,$K$2:$L$426,2,FALSE())</f>
        <v>#N/A</v>
      </c>
      <c r="G2463" s="1" t="str">
        <f aca="false">IF(ISNA(F2463),"",F2463)</f>
        <v/>
      </c>
      <c r="H2463" s="5" t="str">
        <f aca="false">IF(G2463&lt;&gt;"",G2463,E2463)</f>
        <v>43, 50, TANGATHER</v>
      </c>
    </row>
    <row r="2464" customFormat="false" ht="12.75" hidden="false" customHeight="true" outlineLevel="0" collapsed="false">
      <c r="A2464" s="4" t="s">
        <v>3536</v>
      </c>
      <c r="B2464" s="5" t="s">
        <v>3536</v>
      </c>
      <c r="C2464" s="1" t="str">
        <f aca="false">IF(B2464="NEW ROUTE",1,"")</f>
        <v/>
      </c>
      <c r="E2464" s="5" t="s">
        <v>3536</v>
      </c>
      <c r="F2464" s="6" t="e">
        <f aca="false">VLOOKUP(E2464,$K$2:$L$426,2,FALSE())</f>
        <v>#N/A</v>
      </c>
      <c r="G2464" s="1" t="str">
        <f aca="false">IF(ISNA(F2464),"",F2464)</f>
        <v/>
      </c>
      <c r="H2464" s="5" t="str">
        <f aca="false">IF(G2464&lt;&gt;"",G2464,E2464)</f>
        <v>43, 50, EXEGGITY</v>
      </c>
    </row>
    <row r="2465" customFormat="false" ht="12.75" hidden="false" customHeight="true" outlineLevel="0" collapsed="false">
      <c r="A2465" s="4" t="s">
        <v>2809</v>
      </c>
      <c r="B2465" s="5" t="n">
        <v>0.04</v>
      </c>
      <c r="C2465" s="1" t="str">
        <f aca="false">IF(B2465="NEW ROUTE",1,"")</f>
        <v/>
      </c>
      <c r="E2465" s="5" t="n">
        <v>0.04</v>
      </c>
      <c r="F2465" s="6" t="e">
        <f aca="false">VLOOKUP(E2465,$K$2:$L$426,2,FALSE())</f>
        <v>#N/A</v>
      </c>
      <c r="G2465" s="1" t="str">
        <f aca="false">IF(ISNA(F2465),"",F2465)</f>
        <v/>
      </c>
      <c r="H2465" s="5" t="n">
        <f aca="false">IF(G2465&lt;&gt;"",G2465,E2465)</f>
        <v>0.04</v>
      </c>
    </row>
    <row r="2466" customFormat="false" ht="12.75" hidden="false" customHeight="true" outlineLevel="0" collapsed="false">
      <c r="A2466" s="4" t="s">
        <v>3537</v>
      </c>
      <c r="B2466" s="5" t="s">
        <v>3537</v>
      </c>
      <c r="C2466" s="1" t="str">
        <f aca="false">IF(B2466="NEW ROUTE",1,"")</f>
        <v/>
      </c>
      <c r="E2466" s="5" t="s">
        <v>3537</v>
      </c>
      <c r="F2466" s="6" t="e">
        <f aca="false">VLOOKUP(E2466,$K$2:$L$426,2,FALSE())</f>
        <v>#N/A</v>
      </c>
      <c r="G2466" s="1" t="str">
        <f aca="false">IF(ISNA(F2466),"",F2466)</f>
        <v/>
      </c>
      <c r="H2466" s="5" t="str">
        <f aca="false">IF(G2466&lt;&gt;"",G2466,E2466)</f>
        <v>43, 50, GILDUCK</v>
      </c>
    </row>
    <row r="2467" customFormat="false" ht="12.75" hidden="false" customHeight="true" outlineLevel="0" collapsed="false">
      <c r="A2467" s="4" t="s">
        <v>3538</v>
      </c>
      <c r="B2467" s="5" t="s">
        <v>3538</v>
      </c>
      <c r="C2467" s="1" t="str">
        <f aca="false">IF(B2467="NEW ROUTE",1,"")</f>
        <v/>
      </c>
      <c r="E2467" s="5" t="s">
        <v>3538</v>
      </c>
      <c r="F2467" s="6" t="e">
        <f aca="false">VLOOKUP(E2467,$K$2:$L$426,2,FALSE())</f>
        <v>#N/A</v>
      </c>
      <c r="G2467" s="1" t="str">
        <f aca="false">IF(ISNA(F2467),"",F2467)</f>
        <v/>
      </c>
      <c r="H2467" s="5" t="str">
        <f aca="false">IF(G2467&lt;&gt;"",G2467,E2467)</f>
        <v>43, 50, QUADODO</v>
      </c>
    </row>
    <row r="2468" customFormat="false" ht="12.75" hidden="false" customHeight="true" outlineLevel="0" collapsed="false">
      <c r="A2468" s="4" t="s">
        <v>2812</v>
      </c>
      <c r="B2468" s="5" t="n">
        <v>0.01</v>
      </c>
      <c r="C2468" s="1" t="str">
        <f aca="false">IF(B2468="NEW ROUTE",1,"")</f>
        <v/>
      </c>
      <c r="E2468" s="5" t="n">
        <v>0.01</v>
      </c>
      <c r="F2468" s="6" t="e">
        <f aca="false">VLOOKUP(E2468,$K$2:$L$426,2,FALSE())</f>
        <v>#N/A</v>
      </c>
      <c r="G2468" s="1" t="str">
        <f aca="false">IF(ISNA(F2468),"",F2468)</f>
        <v/>
      </c>
      <c r="H2468" s="5" t="n">
        <f aca="false">IF(G2468&lt;&gt;"",G2468,E2468)</f>
        <v>0.01</v>
      </c>
    </row>
    <row r="2469" customFormat="false" ht="12.75" hidden="false" customHeight="true" outlineLevel="0" collapsed="false">
      <c r="A2469" s="4" t="s">
        <v>3539</v>
      </c>
      <c r="B2469" s="5" t="s">
        <v>3539</v>
      </c>
      <c r="C2469" s="1" t="str">
        <f aca="false">IF(B2469="NEW ROUTE",1,"")</f>
        <v/>
      </c>
      <c r="E2469" s="5" t="s">
        <v>3539</v>
      </c>
      <c r="F2469" s="6" t="e">
        <f aca="false">VLOOKUP(E2469,$K$2:$L$426,2,FALSE())</f>
        <v>#N/A</v>
      </c>
      <c r="G2469" s="1" t="str">
        <f aca="false">IF(ISNA(F2469),"",F2469)</f>
        <v/>
      </c>
      <c r="H2469" s="5" t="str">
        <f aca="false">IF(G2469&lt;&gt;"",G2469,E2469)</f>
        <v>45, 52, TANGOLIATH</v>
      </c>
    </row>
    <row r="2470" customFormat="false" ht="12.75" hidden="false" customHeight="true" outlineLevel="0" collapsed="false">
      <c r="A2470" s="4" t="s">
        <v>3540</v>
      </c>
      <c r="B2470" s="5" t="s">
        <v>3540</v>
      </c>
      <c r="C2470" s="1" t="str">
        <f aca="false">IF(B2470="NEW ROUTE",1,"")</f>
        <v/>
      </c>
      <c r="E2470" s="5" t="s">
        <v>3540</v>
      </c>
      <c r="F2470" s="6" t="e">
        <f aca="false">VLOOKUP(E2470,$K$2:$L$426,2,FALSE())</f>
        <v>#N/A</v>
      </c>
      <c r="G2470" s="1" t="str">
        <f aca="false">IF(ISNA(F2470),"",F2470)</f>
        <v/>
      </c>
      <c r="H2470" s="5" t="str">
        <f aca="false">IF(G2470&lt;&gt;"",G2470,E2470)</f>
        <v>44, 44, TANGOLIATH</v>
      </c>
    </row>
    <row r="2471" customFormat="false" ht="12.75" hidden="false" customHeight="true" outlineLevel="0" collapsed="false">
      <c r="A2471" s="4" t="s">
        <v>3349</v>
      </c>
      <c r="B2471" s="5" t="s">
        <v>3349</v>
      </c>
      <c r="C2471" s="1" t="str">
        <f aca="false">IF(B2471="NEW ROUTE",1,"")</f>
        <v/>
      </c>
      <c r="E2471" s="5" t="s">
        <v>3349</v>
      </c>
      <c r="F2471" s="6" t="e">
        <f aca="false">VLOOKUP(E2471,$K$2:$L$426,2,FALSE())</f>
        <v>#N/A</v>
      </c>
      <c r="G2471" s="1" t="str">
        <f aca="false">IF(ISNA(F2471),"",F2471)</f>
        <v/>
      </c>
      <c r="H2471" s="5" t="str">
        <f aca="false">IF(G2471&lt;&gt;"",G2471,E2471)</f>
        <v>2, 38, 42, TENTACOOL</v>
      </c>
    </row>
    <row r="2472" customFormat="false" ht="12.75" hidden="false" customHeight="true" outlineLevel="0" collapsed="false">
      <c r="A2472" s="4" t="s">
        <v>3428</v>
      </c>
      <c r="B2472" s="5" t="s">
        <v>3428</v>
      </c>
      <c r="C2472" s="1" t="str">
        <f aca="false">IF(B2472="NEW ROUTE",1,"")</f>
        <v/>
      </c>
      <c r="E2472" s="5" t="s">
        <v>3428</v>
      </c>
      <c r="F2472" s="6" t="e">
        <f aca="false">VLOOKUP(E2472,$K$2:$L$426,2,FALSE())</f>
        <v>#N/A</v>
      </c>
      <c r="G2472" s="1" t="str">
        <f aca="false">IF(ISNA(F2472),"",F2472)</f>
        <v/>
      </c>
      <c r="H2472" s="5" t="str">
        <f aca="false">IF(G2472&lt;&gt;"",G2472,E2472)</f>
        <v>40, 44, TENTACRUEL</v>
      </c>
    </row>
    <row r="2473" customFormat="false" ht="12.75" hidden="false" customHeight="true" outlineLevel="0" collapsed="false">
      <c r="A2473" s="4" t="s">
        <v>3429</v>
      </c>
      <c r="B2473" s="5" t="s">
        <v>3429</v>
      </c>
      <c r="C2473" s="1" t="str">
        <f aca="false">IF(B2473="NEW ROUTE",1,"")</f>
        <v/>
      </c>
      <c r="E2473" s="5" t="s">
        <v>3429</v>
      </c>
      <c r="F2473" s="6" t="e">
        <f aca="false">VLOOKUP(E2473,$K$2:$L$426,2,FALSE())</f>
        <v>#N/A</v>
      </c>
      <c r="G2473" s="1" t="str">
        <f aca="false">IF(ISNA(F2473),"",F2473)</f>
        <v/>
      </c>
      <c r="H2473" s="5" t="str">
        <f aca="false">IF(G2473&lt;&gt;"",G2473,E2473)</f>
        <v>42, 46, TENTACATE</v>
      </c>
    </row>
    <row r="2474" customFormat="false" ht="12.75" hidden="false" customHeight="true" outlineLevel="0" collapsed="false">
      <c r="A2474" s="4" t="s">
        <v>3024</v>
      </c>
      <c r="B2474" s="5" t="s">
        <v>3024</v>
      </c>
      <c r="C2474" s="1" t="str">
        <f aca="false">IF(B2474="NEW ROUTE",1,"")</f>
        <v/>
      </c>
      <c r="E2474" s="5" t="s">
        <v>3024</v>
      </c>
      <c r="F2474" s="6" t="e">
        <f aca="false">VLOOKUP(E2474,$K$2:$L$426,2,FALSE())</f>
        <v>#N/A</v>
      </c>
      <c r="G2474" s="1" t="str">
        <f aca="false">IF(ISNA(F2474),"",F2474)</f>
        <v/>
      </c>
      <c r="H2474" s="5" t="str">
        <f aca="false">IF(G2474&lt;&gt;"",G2474,E2474)</f>
        <v>42, 46, LAPRAS</v>
      </c>
    </row>
    <row r="2475" customFormat="false" ht="12.75" hidden="false" customHeight="true" outlineLevel="0" collapsed="false">
      <c r="A2475" s="4" t="s">
        <v>3449</v>
      </c>
      <c r="B2475" s="5" t="s">
        <v>3449</v>
      </c>
      <c r="C2475" s="1" t="str">
        <f aca="false">IF(B2475="NEW ROUTE",1,"")</f>
        <v/>
      </c>
      <c r="E2475" s="5" t="s">
        <v>3449</v>
      </c>
      <c r="F2475" s="6" t="e">
        <f aca="false">VLOOKUP(E2475,$K$2:$L$426,2,FALSE())</f>
        <v>#N/A</v>
      </c>
      <c r="G2475" s="1" t="str">
        <f aca="false">IF(ISNA(F2475),"",F2475)</f>
        <v/>
      </c>
      <c r="H2475" s="5" t="str">
        <f aca="false">IF(G2475&lt;&gt;"",G2475,E2475)</f>
        <v>44, 48, LOCHLASS</v>
      </c>
    </row>
    <row r="2476" customFormat="false" ht="12.75" hidden="false" customHeight="true" outlineLevel="0" collapsed="false">
      <c r="A2476" s="4" t="s">
        <v>2925</v>
      </c>
      <c r="B2476" s="5" t="s">
        <v>2925</v>
      </c>
      <c r="C2476" s="1" t="str">
        <f aca="false">IF(B2476="NEW ROUTE",1,"")</f>
        <v/>
      </c>
      <c r="E2476" s="5" t="s">
        <v>2925</v>
      </c>
      <c r="F2476" s="6" t="e">
        <f aca="false">VLOOKUP(E2476,$K$2:$L$426,2,FALSE())</f>
        <v>#N/A</v>
      </c>
      <c r="G2476" s="1" t="str">
        <f aca="false">IF(ISNA(F2476),"",F2476)</f>
        <v/>
      </c>
      <c r="H2476" s="5" t="str">
        <f aca="false">IF(G2476&lt;&gt;"",G2476,E2476)</f>
        <v>20, old rod:</v>
      </c>
    </row>
    <row r="2477" customFormat="false" ht="12.75" hidden="false" customHeight="true" outlineLevel="0" collapsed="false">
      <c r="A2477" s="4" t="s">
        <v>2008</v>
      </c>
      <c r="B2477" s="5" t="s">
        <v>2008</v>
      </c>
      <c r="C2477" s="1" t="str">
        <f aca="false">IF(B2477="NEW ROUTE",1,"")</f>
        <v/>
      </c>
      <c r="E2477" s="5" t="s">
        <v>2008</v>
      </c>
      <c r="F2477" s="6" t="e">
        <f aca="false">VLOOKUP(E2477,$K$2:$L$426,2,FALSE())</f>
        <v>#N/A</v>
      </c>
      <c r="G2477" s="1" t="str">
        <f aca="false">IF(ISNA(F2477),"",F2477)</f>
        <v/>
      </c>
      <c r="H2477" s="5" t="str">
        <f aca="false">IF(G2477&lt;&gt;"",G2477,E2477)</f>
        <v>19, 26, PSYDUCK</v>
      </c>
    </row>
    <row r="2478" customFormat="false" ht="12.75" hidden="false" customHeight="true" outlineLevel="0" collapsed="false">
      <c r="A2478" s="4" t="s">
        <v>1451</v>
      </c>
      <c r="B2478" s="5" t="s">
        <v>1451</v>
      </c>
      <c r="C2478" s="1" t="str">
        <f aca="false">IF(B2478="NEW ROUTE",1,"")</f>
        <v/>
      </c>
      <c r="E2478" s="5" t="s">
        <v>1451</v>
      </c>
      <c r="F2478" s="6" t="e">
        <f aca="false">VLOOKUP(E2478,$K$2:$L$426,2,FALSE())</f>
        <v>#N/A</v>
      </c>
      <c r="G2478" s="1" t="str">
        <f aca="false">IF(ISNA(F2478),"",F2478)</f>
        <v/>
      </c>
      <c r="H2478" s="5" t="str">
        <f aca="false">IF(G2478&lt;&gt;"",G2478,E2478)</f>
        <v>19, 26, HORSEA</v>
      </c>
    </row>
    <row r="2479" customFormat="false" ht="12.75" hidden="false" customHeight="true" outlineLevel="0" collapsed="false">
      <c r="A2479" s="4" t="s">
        <v>2846</v>
      </c>
      <c r="B2479" s="5" t="s">
        <v>2846</v>
      </c>
      <c r="C2479" s="1" t="str">
        <f aca="false">IF(B2479="NEW ROUTE",1,"")</f>
        <v/>
      </c>
      <c r="E2479" s="5" t="s">
        <v>2846</v>
      </c>
      <c r="F2479" s="6" t="e">
        <f aca="false">VLOOKUP(E2479,$K$2:$L$426,2,FALSE())</f>
        <v>#N/A</v>
      </c>
      <c r="G2479" s="1" t="str">
        <f aca="false">IF(ISNA(F2479),"",F2479)</f>
        <v/>
      </c>
      <c r="H2479" s="5" t="str">
        <f aca="false">IF(G2479&lt;&gt;"",G2479,E2479)</f>
        <v>good rod:</v>
      </c>
    </row>
    <row r="2480" customFormat="false" ht="12.75" hidden="false" customHeight="true" outlineLevel="0" collapsed="false">
      <c r="A2480" s="4" t="s">
        <v>3026</v>
      </c>
      <c r="B2480" s="5" t="s">
        <v>3026</v>
      </c>
      <c r="C2480" s="1" t="str">
        <f aca="false">IF(B2480="NEW ROUTE",1,"")</f>
        <v/>
      </c>
      <c r="E2480" s="5" t="s">
        <v>3026</v>
      </c>
      <c r="F2480" s="6" t="e">
        <f aca="false">VLOOKUP(E2480,$K$2:$L$426,2,FALSE())</f>
        <v>#N/A</v>
      </c>
      <c r="G2480" s="1" t="str">
        <f aca="false">IF(ISNA(F2480),"",F2480)</f>
        <v/>
      </c>
      <c r="H2480" s="5" t="str">
        <f aca="false">IF(G2480&lt;&gt;"",G2480,E2480)</f>
        <v>29, 33, SEADRA</v>
      </c>
    </row>
    <row r="2481" customFormat="false" ht="12.75" hidden="false" customHeight="true" outlineLevel="0" collapsed="false">
      <c r="A2481" s="4" t="s">
        <v>3027</v>
      </c>
      <c r="B2481" s="5" t="s">
        <v>3027</v>
      </c>
      <c r="C2481" s="1" t="str">
        <f aca="false">IF(B2481="NEW ROUTE",1,"")</f>
        <v/>
      </c>
      <c r="E2481" s="5" t="s">
        <v>3027</v>
      </c>
      <c r="F2481" s="6" t="e">
        <f aca="false">VLOOKUP(E2481,$K$2:$L$426,2,FALSE())</f>
        <v>#N/A</v>
      </c>
      <c r="G2481" s="1" t="str">
        <f aca="false">IF(ISNA(F2481),"",F2481)</f>
        <v/>
      </c>
      <c r="H2481" s="5" t="str">
        <f aca="false">IF(G2481&lt;&gt;"",G2481,E2481)</f>
        <v>30, 35, KRABBY</v>
      </c>
    </row>
    <row r="2482" customFormat="false" ht="12.75" hidden="false" customHeight="true" outlineLevel="0" collapsed="false">
      <c r="A2482" s="4" t="s">
        <v>3028</v>
      </c>
      <c r="B2482" s="5" t="s">
        <v>3028</v>
      </c>
      <c r="C2482" s="1" t="str">
        <f aca="false">IF(B2482="NEW ROUTE",1,"")</f>
        <v/>
      </c>
      <c r="E2482" s="5" t="s">
        <v>3028</v>
      </c>
      <c r="F2482" s="6" t="e">
        <f aca="false">VLOOKUP(E2482,$K$2:$L$426,2,FALSE())</f>
        <v>#N/A</v>
      </c>
      <c r="G2482" s="1" t="str">
        <f aca="false">IF(ISNA(F2482),"",F2482)</f>
        <v/>
      </c>
      <c r="H2482" s="5" t="str">
        <f aca="false">IF(G2482&lt;&gt;"",G2482,E2482)</f>
        <v>30, 35, GOLDUCK</v>
      </c>
    </row>
    <row r="2483" customFormat="false" ht="12.75" hidden="false" customHeight="true" outlineLevel="0" collapsed="false">
      <c r="A2483" s="4" t="s">
        <v>2850</v>
      </c>
      <c r="B2483" s="5" t="s">
        <v>2850</v>
      </c>
      <c r="C2483" s="1" t="str">
        <f aca="false">IF(B2483="NEW ROUTE",1,"")</f>
        <v/>
      </c>
      <c r="E2483" s="5" t="s">
        <v>2850</v>
      </c>
      <c r="F2483" s="6" t="e">
        <f aca="false">VLOOKUP(E2483,$K$2:$L$426,2,FALSE())</f>
        <v>#N/A</v>
      </c>
      <c r="G2483" s="1" t="str">
        <f aca="false">IF(ISNA(F2483),"",F2483)</f>
        <v/>
      </c>
      <c r="H2483" s="5" t="str">
        <f aca="false">IF(G2483&lt;&gt;"",G2483,E2483)</f>
        <v>super rod:</v>
      </c>
    </row>
    <row r="2484" customFormat="false" ht="12.75" hidden="false" customHeight="true" outlineLevel="0" collapsed="false">
      <c r="A2484" s="4" t="s">
        <v>3029</v>
      </c>
      <c r="B2484" s="5" t="s">
        <v>3029</v>
      </c>
      <c r="C2484" s="1" t="str">
        <f aca="false">IF(B2484="NEW ROUTE",1,"")</f>
        <v/>
      </c>
      <c r="E2484" s="5" t="s">
        <v>3029</v>
      </c>
      <c r="F2484" s="6" t="e">
        <f aca="false">VLOOKUP(E2484,$K$2:$L$426,2,FALSE())</f>
        <v>#N/A</v>
      </c>
      <c r="G2484" s="1" t="str">
        <f aca="false">IF(ISNA(F2484),"",F2484)</f>
        <v/>
      </c>
      <c r="H2484" s="5" t="str">
        <f aca="false">IF(G2484&lt;&gt;"",G2484,E2484)</f>
        <v>36, 40, KINGDRA</v>
      </c>
    </row>
    <row r="2485" customFormat="false" ht="12.75" hidden="false" customHeight="true" outlineLevel="0" collapsed="false">
      <c r="A2485" s="4" t="s">
        <v>3527</v>
      </c>
      <c r="B2485" s="5" t="s">
        <v>3527</v>
      </c>
      <c r="C2485" s="1" t="str">
        <f aca="false">IF(B2485="NEW ROUTE",1,"")</f>
        <v/>
      </c>
      <c r="E2485" s="5" t="s">
        <v>3527</v>
      </c>
      <c r="F2485" s="6" t="e">
        <f aca="false">VLOOKUP(E2485,$K$2:$L$426,2,FALSE())</f>
        <v>#N/A</v>
      </c>
      <c r="G2485" s="1" t="str">
        <f aca="false">IF(ISNA(F2485),"",F2485)</f>
        <v/>
      </c>
      <c r="H2485" s="5" t="str">
        <f aca="false">IF(G2485&lt;&gt;"",G2485,E2485)</f>
        <v>36, 40, KINGLER</v>
      </c>
    </row>
    <row r="2486" customFormat="false" ht="12.75" hidden="false" customHeight="true" outlineLevel="0" collapsed="false">
      <c r="A2486" s="4" t="s">
        <v>3031</v>
      </c>
      <c r="B2486" s="5" t="s">
        <v>3031</v>
      </c>
      <c r="C2486" s="1" t="str">
        <f aca="false">IF(B2486="NEW ROUTE",1,"")</f>
        <v/>
      </c>
      <c r="E2486" s="5" t="s">
        <v>3031</v>
      </c>
      <c r="F2486" s="6" t="e">
        <f aca="false">VLOOKUP(E2486,$K$2:$L$426,2,FALSE())</f>
        <v>#N/A</v>
      </c>
      <c r="G2486" s="1" t="str">
        <f aca="false">IF(ISNA(F2486),"",F2486)</f>
        <v/>
      </c>
      <c r="H2486" s="5" t="str">
        <f aca="false">IF(G2486&lt;&gt;"",G2486,E2486)</f>
        <v>38, 42, GILDUCK</v>
      </c>
    </row>
    <row r="2487" customFormat="false" ht="12.75" hidden="false" customHeight="true" outlineLevel="0" collapsed="false">
      <c r="A2487" s="4" t="s">
        <v>3032</v>
      </c>
      <c r="B2487" s="5" t="s">
        <v>3032</v>
      </c>
      <c r="C2487" s="1" t="str">
        <f aca="false">IF(B2487="NEW ROUTE",1,"")</f>
        <v/>
      </c>
      <c r="E2487" s="5" t="s">
        <v>3032</v>
      </c>
      <c r="F2487" s="6" t="e">
        <f aca="false">VLOOKUP(E2487,$K$2:$L$426,2,FALSE())</f>
        <v>#N/A</v>
      </c>
      <c r="G2487" s="1" t="str">
        <f aca="false">IF(ISNA(F2487),"",F2487)</f>
        <v/>
      </c>
      <c r="H2487" s="5" t="str">
        <f aca="false">IF(G2487&lt;&gt;"",G2487,E2487)</f>
        <v>38, 42, KRAKLAW</v>
      </c>
    </row>
    <row r="2488" customFormat="false" ht="12.75" hidden="false" customHeight="true" outlineLevel="0" collapsed="false">
      <c r="A2488" s="4" t="s">
        <v>3033</v>
      </c>
      <c r="B2488" s="5" t="s">
        <v>3033</v>
      </c>
      <c r="C2488" s="1" t="str">
        <f aca="false">IF(B2488="NEW ROUTE",1,"")</f>
        <v/>
      </c>
      <c r="E2488" s="5" t="s">
        <v>3033</v>
      </c>
      <c r="F2488" s="6" t="e">
        <f aca="false">VLOOKUP(E2488,$K$2:$L$426,2,FALSE())</f>
        <v>#N/A</v>
      </c>
      <c r="G2488" s="1" t="str">
        <f aca="false">IF(ISNA(F2488),"",F2488)</f>
        <v/>
      </c>
      <c r="H2488" s="5" t="str">
        <f aca="false">IF(G2488&lt;&gt;"",G2488,E2488)</f>
        <v>40, 44, LORDRA</v>
      </c>
    </row>
    <row r="2489" customFormat="false" ht="12.75" hidden="false" customHeight="true" outlineLevel="0" collapsed="false">
      <c r="A2489" s="4" t="s">
        <v>2536</v>
      </c>
      <c r="B2489" s="5" t="s">
        <v>2536</v>
      </c>
      <c r="C2489" s="1" t="n">
        <f aca="false">IF(B2489="NEW ROUTE",1,"")</f>
        <v>1</v>
      </c>
      <c r="E2489" s="5" t="s">
        <v>2536</v>
      </c>
      <c r="F2489" s="6" t="e">
        <f aca="false">VLOOKUP(E2489,$K$2:$L$426,2,FALSE())</f>
        <v>#N/A</v>
      </c>
      <c r="G2489" s="1" t="str">
        <f aca="false">IF(ISNA(F2489),"",F2489)</f>
        <v/>
      </c>
      <c r="H2489" s="5" t="str">
        <f aca="false">IF(G2489&lt;&gt;"",G2489,E2489)</f>
        <v>NEW ROUTE</v>
      </c>
    </row>
    <row r="2490" customFormat="false" ht="12.75" hidden="false" customHeight="true" outlineLevel="0" collapsed="false">
      <c r="A2490" s="4" t="s">
        <v>460</v>
      </c>
      <c r="B2490" s="5" t="s">
        <v>460</v>
      </c>
      <c r="C2490" s="1" t="str">
        <f aca="false">IF(B2490="NEW ROUTE",1,"")</f>
        <v/>
      </c>
      <c r="E2490" s="5" t="s">
        <v>460</v>
      </c>
      <c r="F2490" s="6" t="str">
        <f aca="false">VLOOKUP(E2490,$K$2:$L$426,2,FALSE())</f>
        <v>Route 22</v>
      </c>
      <c r="G2490" s="1" t="str">
        <f aca="false">IF(ISNA(F2490),"",F2490)</f>
        <v>Route 22</v>
      </c>
      <c r="H2490" s="5" t="str">
        <f aca="false">IF(G2490&lt;&gt;"",G2490,E2490)</f>
        <v>Route 22</v>
      </c>
    </row>
    <row r="2491" customFormat="false" ht="12.75" hidden="false" customHeight="true" outlineLevel="0" collapsed="false">
      <c r="A2491" s="4" t="s">
        <v>2799</v>
      </c>
      <c r="B2491" s="5" t="n">
        <v>0.2</v>
      </c>
      <c r="C2491" s="1" t="str">
        <f aca="false">IF(B2491="NEW ROUTE",1,"")</f>
        <v/>
      </c>
      <c r="E2491" s="5" t="n">
        <v>0.2</v>
      </c>
      <c r="F2491" s="6" t="e">
        <f aca="false">VLOOKUP(E2491,$K$2:$L$426,2,FALSE())</f>
        <v>#N/A</v>
      </c>
      <c r="G2491" s="1" t="str">
        <f aca="false">IF(ISNA(F2491),"",F2491)</f>
        <v/>
      </c>
      <c r="H2491" s="5" t="n">
        <f aca="false">IF(G2491&lt;&gt;"",G2491,E2491)</f>
        <v>0.2</v>
      </c>
    </row>
    <row r="2492" customFormat="false" ht="12.75" hidden="false" customHeight="true" outlineLevel="0" collapsed="false">
      <c r="A2492" s="4" t="s">
        <v>2027</v>
      </c>
      <c r="B2492" s="5" t="s">
        <v>2027</v>
      </c>
      <c r="C2492" s="1" t="str">
        <f aca="false">IF(B2492="NEW ROUTE",1,"")</f>
        <v/>
      </c>
      <c r="E2492" s="5" t="s">
        <v>2027</v>
      </c>
      <c r="F2492" s="6" t="e">
        <f aca="false">VLOOKUP(E2492,$K$2:$L$426,2,FALSE())</f>
        <v>#N/A</v>
      </c>
      <c r="G2492" s="1" t="str">
        <f aca="false">IF(ISNA(F2492),"",F2492)</f>
        <v/>
      </c>
      <c r="H2492" s="5" t="str">
        <f aca="false">IF(G2492&lt;&gt;"",G2492,E2492)</f>
        <v>2, 3, RATTATA</v>
      </c>
    </row>
    <row r="2493" customFormat="false" ht="12.75" hidden="false" customHeight="true" outlineLevel="0" collapsed="false">
      <c r="A2493" s="4" t="s">
        <v>3543</v>
      </c>
      <c r="B2493" s="5" t="s">
        <v>3543</v>
      </c>
      <c r="C2493" s="1" t="str">
        <f aca="false">IF(B2493="NEW ROUTE",1,"")</f>
        <v/>
      </c>
      <c r="E2493" s="5" t="s">
        <v>3543</v>
      </c>
      <c r="F2493" s="6" t="e">
        <f aca="false">VLOOKUP(E2493,$K$2:$L$426,2,FALSE())</f>
        <v>#N/A</v>
      </c>
      <c r="G2493" s="1" t="str">
        <f aca="false">IF(ISNA(F2493),"",F2493)</f>
        <v/>
      </c>
      <c r="H2493" s="5" t="str">
        <f aca="false">IF(G2493&lt;&gt;"",G2493,E2493)</f>
        <v>4, 5, RATTATA</v>
      </c>
    </row>
    <row r="2494" customFormat="false" ht="12.75" hidden="false" customHeight="true" outlineLevel="0" collapsed="false">
      <c r="A2494" s="4" t="s">
        <v>2801</v>
      </c>
      <c r="B2494" s="5" t="n">
        <v>0.1</v>
      </c>
      <c r="C2494" s="1" t="str">
        <f aca="false">IF(B2494="NEW ROUTE",1,"")</f>
        <v/>
      </c>
      <c r="E2494" s="5" t="n">
        <v>0.1</v>
      </c>
      <c r="F2494" s="6" t="e">
        <f aca="false">VLOOKUP(E2494,$K$2:$L$426,2,FALSE())</f>
        <v>#N/A</v>
      </c>
      <c r="G2494" s="1" t="str">
        <f aca="false">IF(ISNA(F2494),"",F2494)</f>
        <v/>
      </c>
      <c r="H2494" s="5" t="n">
        <f aca="false">IF(G2494&lt;&gt;"",G2494,E2494)</f>
        <v>0.1</v>
      </c>
    </row>
    <row r="2495" customFormat="false" ht="12.75" hidden="false" customHeight="true" outlineLevel="0" collapsed="false">
      <c r="A2495" s="4" t="s">
        <v>3544</v>
      </c>
      <c r="B2495" s="5" t="s">
        <v>3544</v>
      </c>
      <c r="C2495" s="1" t="str">
        <f aca="false">IF(B2495="NEW ROUTE",1,"")</f>
        <v/>
      </c>
      <c r="E2495" s="5" t="s">
        <v>3544</v>
      </c>
      <c r="F2495" s="6" t="e">
        <f aca="false">VLOOKUP(E2495,$K$2:$L$426,2,FALSE())</f>
        <v>#N/A</v>
      </c>
      <c r="G2495" s="1" t="str">
        <f aca="false">IF(ISNA(F2495),"",F2495)</f>
        <v/>
      </c>
      <c r="H2495" s="5" t="str">
        <f aca="false">IF(G2495&lt;&gt;"",G2495,E2495)</f>
        <v>2, 3, MEOWTH</v>
      </c>
    </row>
    <row r="2496" customFormat="false" ht="12.75" hidden="false" customHeight="true" outlineLevel="0" collapsed="false">
      <c r="A2496" s="4" t="s">
        <v>3545</v>
      </c>
      <c r="B2496" s="5" t="s">
        <v>3545</v>
      </c>
      <c r="C2496" s="1" t="str">
        <f aca="false">IF(B2496="NEW ROUTE",1,"")</f>
        <v/>
      </c>
      <c r="E2496" s="5" t="s">
        <v>3545</v>
      </c>
      <c r="F2496" s="6" t="e">
        <f aca="false">VLOOKUP(E2496,$K$2:$L$426,2,FALSE())</f>
        <v>#N/A</v>
      </c>
      <c r="G2496" s="1" t="str">
        <f aca="false">IF(ISNA(F2496),"",F2496)</f>
        <v/>
      </c>
      <c r="H2496" s="5" t="str">
        <f aca="false">IF(G2496&lt;&gt;"",G2496,E2496)</f>
        <v>4, 5, MEOWTH</v>
      </c>
    </row>
    <row r="2497" customFormat="false" ht="12.75" hidden="false" customHeight="true" outlineLevel="0" collapsed="false">
      <c r="A2497" s="4" t="s">
        <v>3546</v>
      </c>
      <c r="B2497" s="5" t="s">
        <v>3546</v>
      </c>
      <c r="C2497" s="1" t="str">
        <f aca="false">IF(B2497="NEW ROUTE",1,"")</f>
        <v/>
      </c>
      <c r="E2497" s="5" t="s">
        <v>3546</v>
      </c>
      <c r="F2497" s="6" t="e">
        <f aca="false">VLOOKUP(E2497,$K$2:$L$426,2,FALSE())</f>
        <v>#N/A</v>
      </c>
      <c r="G2497" s="1" t="str">
        <f aca="false">IF(ISNA(F2497),"",F2497)</f>
        <v/>
      </c>
      <c r="H2497" s="5" t="str">
        <f aca="false">IF(G2497&lt;&gt;"",G2497,E2497)</f>
        <v>2, 3, SPEAROW</v>
      </c>
    </row>
    <row r="2498" customFormat="false" ht="12.75" hidden="false" customHeight="true" outlineLevel="0" collapsed="false">
      <c r="A2498" s="4" t="s">
        <v>3547</v>
      </c>
      <c r="B2498" s="5" t="s">
        <v>3547</v>
      </c>
      <c r="C2498" s="1" t="str">
        <f aca="false">IF(B2498="NEW ROUTE",1,"")</f>
        <v/>
      </c>
      <c r="E2498" s="5" t="s">
        <v>3547</v>
      </c>
      <c r="F2498" s="6" t="e">
        <f aca="false">VLOOKUP(E2498,$K$2:$L$426,2,FALSE())</f>
        <v>#N/A</v>
      </c>
      <c r="G2498" s="1" t="str">
        <f aca="false">IF(ISNA(F2498),"",F2498)</f>
        <v/>
      </c>
      <c r="H2498" s="5" t="str">
        <f aca="false">IF(G2498&lt;&gt;"",G2498,E2498)</f>
        <v>4, 5, SPEAROW</v>
      </c>
    </row>
    <row r="2499" customFormat="false" ht="12.75" hidden="false" customHeight="true" outlineLevel="0" collapsed="false">
      <c r="A2499" s="4" t="s">
        <v>2806</v>
      </c>
      <c r="B2499" s="5" t="n">
        <v>0.05</v>
      </c>
      <c r="C2499" s="1" t="str">
        <f aca="false">IF(B2499="NEW ROUTE",1,"")</f>
        <v/>
      </c>
      <c r="E2499" s="5" t="n">
        <v>0.05</v>
      </c>
      <c r="F2499" s="6" t="e">
        <f aca="false">VLOOKUP(E2499,$K$2:$L$426,2,FALSE())</f>
        <v>#N/A</v>
      </c>
      <c r="G2499" s="1" t="str">
        <f aca="false">IF(ISNA(F2499),"",F2499)</f>
        <v/>
      </c>
      <c r="H2499" s="5" t="n">
        <f aca="false">IF(G2499&lt;&gt;"",G2499,E2499)</f>
        <v>0.05</v>
      </c>
    </row>
    <row r="2500" customFormat="false" ht="12.75" hidden="false" customHeight="true" outlineLevel="0" collapsed="false">
      <c r="A2500" s="4" t="s">
        <v>3548</v>
      </c>
      <c r="B2500" s="5" t="s">
        <v>3548</v>
      </c>
      <c r="C2500" s="1" t="str">
        <f aca="false">IF(B2500="NEW ROUTE",1,"")</f>
        <v/>
      </c>
      <c r="E2500" s="5" t="s">
        <v>3548</v>
      </c>
      <c r="F2500" s="6" t="e">
        <f aca="false">VLOOKUP(E2500,$K$2:$L$426,2,FALSE())</f>
        <v>#N/A</v>
      </c>
      <c r="G2500" s="1" t="str">
        <f aca="false">IF(ISNA(F2500),"",F2500)</f>
        <v/>
      </c>
      <c r="H2500" s="5" t="str">
        <f aca="false">IF(G2500&lt;&gt;"",G2500,E2500)</f>
        <v>2, 3, GROWLITHE</v>
      </c>
    </row>
    <row r="2501" customFormat="false" ht="12.75" hidden="false" customHeight="true" outlineLevel="0" collapsed="false">
      <c r="A2501" s="4" t="s">
        <v>3549</v>
      </c>
      <c r="B2501" s="5" t="s">
        <v>3549</v>
      </c>
      <c r="C2501" s="1" t="str">
        <f aca="false">IF(B2501="NEW ROUTE",1,"")</f>
        <v/>
      </c>
      <c r="E2501" s="5" t="s">
        <v>3549</v>
      </c>
      <c r="F2501" s="6" t="e">
        <f aca="false">VLOOKUP(E2501,$K$2:$L$426,2,FALSE())</f>
        <v>#N/A</v>
      </c>
      <c r="G2501" s="1" t="str">
        <f aca="false">IF(ISNA(F2501),"",F2501)</f>
        <v/>
      </c>
      <c r="H2501" s="5" t="str">
        <f aca="false">IF(G2501&lt;&gt;"",G2501,E2501)</f>
        <v>4, 5, GROWLITHE</v>
      </c>
    </row>
    <row r="2502" customFormat="false" ht="12.75" hidden="false" customHeight="true" outlineLevel="0" collapsed="false">
      <c r="A2502" s="4" t="s">
        <v>2809</v>
      </c>
      <c r="B2502" s="5" t="n">
        <v>0.04</v>
      </c>
      <c r="C2502" s="1" t="str">
        <f aca="false">IF(B2502="NEW ROUTE",1,"")</f>
        <v/>
      </c>
      <c r="E2502" s="5" t="n">
        <v>0.04</v>
      </c>
      <c r="F2502" s="6" t="e">
        <f aca="false">VLOOKUP(E2502,$K$2:$L$426,2,FALSE())</f>
        <v>#N/A</v>
      </c>
      <c r="G2502" s="1" t="str">
        <f aca="false">IF(ISNA(F2502),"",F2502)</f>
        <v/>
      </c>
      <c r="H2502" s="5" t="n">
        <f aca="false">IF(G2502&lt;&gt;"",G2502,E2502)</f>
        <v>0.04</v>
      </c>
    </row>
    <row r="2503" customFormat="false" ht="12.75" hidden="false" customHeight="true" outlineLevel="0" collapsed="false">
      <c r="A2503" s="4" t="s">
        <v>3550</v>
      </c>
      <c r="B2503" s="5" t="s">
        <v>3550</v>
      </c>
      <c r="C2503" s="1" t="str">
        <f aca="false">IF(B2503="NEW ROUTE",1,"")</f>
        <v/>
      </c>
      <c r="E2503" s="5" t="s">
        <v>3550</v>
      </c>
      <c r="F2503" s="6" t="e">
        <f aca="false">VLOOKUP(E2503,$K$2:$L$426,2,FALSE())</f>
        <v>#N/A</v>
      </c>
      <c r="G2503" s="1" t="str">
        <f aca="false">IF(ISNA(F2503),"",F2503)</f>
        <v/>
      </c>
      <c r="H2503" s="5" t="str">
        <f aca="false">IF(G2503&lt;&gt;"",G2503,E2503)</f>
        <v>2, 5, ABRA</v>
      </c>
    </row>
    <row r="2504" customFormat="false" ht="12.75" hidden="false" customHeight="true" outlineLevel="0" collapsed="false">
      <c r="A2504" s="4" t="s">
        <v>3551</v>
      </c>
      <c r="B2504" s="5" t="s">
        <v>3551</v>
      </c>
      <c r="C2504" s="1" t="str">
        <f aca="false">IF(B2504="NEW ROUTE",1,"")</f>
        <v/>
      </c>
      <c r="E2504" s="5" t="s">
        <v>3551</v>
      </c>
      <c r="F2504" s="6" t="e">
        <f aca="false">VLOOKUP(E2504,$K$2:$L$426,2,FALSE())</f>
        <v>#N/A</v>
      </c>
      <c r="G2504" s="1" t="str">
        <f aca="false">IF(ISNA(F2504),"",F2504)</f>
        <v/>
      </c>
      <c r="H2504" s="5" t="str">
        <f aca="false">IF(G2504&lt;&gt;"",G2504,E2504)</f>
        <v>2, 5, KANGAKID</v>
      </c>
    </row>
    <row r="2505" customFormat="false" ht="12.75" hidden="false" customHeight="true" outlineLevel="0" collapsed="false">
      <c r="A2505" s="4" t="s">
        <v>2812</v>
      </c>
      <c r="B2505" s="5" t="n">
        <v>0.01</v>
      </c>
      <c r="C2505" s="1" t="str">
        <f aca="false">IF(B2505="NEW ROUTE",1,"")</f>
        <v/>
      </c>
      <c r="E2505" s="5" t="n">
        <v>0.01</v>
      </c>
      <c r="F2505" s="6" t="e">
        <f aca="false">VLOOKUP(E2505,$K$2:$L$426,2,FALSE())</f>
        <v>#N/A</v>
      </c>
      <c r="G2505" s="1" t="str">
        <f aca="false">IF(ISNA(F2505),"",F2505)</f>
        <v/>
      </c>
      <c r="H2505" s="5" t="n">
        <f aca="false">IF(G2505&lt;&gt;"",G2505,E2505)</f>
        <v>0.01</v>
      </c>
    </row>
    <row r="2506" customFormat="false" ht="12.75" hidden="false" customHeight="true" outlineLevel="0" collapsed="false">
      <c r="A2506" s="4" t="s">
        <v>3552</v>
      </c>
      <c r="B2506" s="5" t="s">
        <v>3552</v>
      </c>
      <c r="C2506" s="1" t="str">
        <f aca="false">IF(B2506="NEW ROUTE",1,"")</f>
        <v/>
      </c>
      <c r="E2506" s="5" t="s">
        <v>3552</v>
      </c>
      <c r="F2506" s="6" t="e">
        <f aca="false">VLOOKUP(E2506,$K$2:$L$426,2,FALSE())</f>
        <v>#N/A</v>
      </c>
      <c r="G2506" s="1" t="str">
        <f aca="false">IF(ISNA(F2506),"",F2506)</f>
        <v/>
      </c>
      <c r="H2506" s="5" t="str">
        <f aca="false">IF(G2506&lt;&gt;"",G2506,E2506)</f>
        <v>2, 5, EEVEE</v>
      </c>
    </row>
    <row r="2507" customFormat="false" ht="12.75" hidden="false" customHeight="true" outlineLevel="0" collapsed="false">
      <c r="A2507" s="4" t="s">
        <v>3553</v>
      </c>
      <c r="B2507" s="5" t="s">
        <v>3553</v>
      </c>
      <c r="C2507" s="1" t="str">
        <f aca="false">IF(B2507="NEW ROUTE",1,"")</f>
        <v/>
      </c>
      <c r="E2507" s="5" t="s">
        <v>3553</v>
      </c>
      <c r="F2507" s="6" t="e">
        <f aca="false">VLOOKUP(E2507,$K$2:$L$426,2,FALSE())</f>
        <v>#N/A</v>
      </c>
      <c r="G2507" s="1" t="str">
        <f aca="false">IF(ISNA(F2507),"",F2507)</f>
        <v/>
      </c>
      <c r="H2507" s="5" t="str">
        <f aca="false">IF(G2507&lt;&gt;"",G2507,E2507)</f>
        <v>2, 5, SCYTHER</v>
      </c>
    </row>
    <row r="2508" customFormat="false" ht="12.75" hidden="false" customHeight="true" outlineLevel="0" collapsed="false">
      <c r="A2508" s="4" t="s">
        <v>3554</v>
      </c>
      <c r="B2508" s="5" t="s">
        <v>3554</v>
      </c>
      <c r="C2508" s="1" t="str">
        <f aca="false">IF(B2508="NEW ROUTE",1,"")</f>
        <v/>
      </c>
      <c r="E2508" s="5" t="s">
        <v>3554</v>
      </c>
      <c r="F2508" s="6" t="e">
        <f aca="false">VLOOKUP(E2508,$K$2:$L$426,2,FALSE())</f>
        <v>#N/A</v>
      </c>
      <c r="G2508" s="1" t="str">
        <f aca="false">IF(ISNA(F2508),"",F2508)</f>
        <v/>
      </c>
      <c r="H2508" s="5" t="str">
        <f aca="false">IF(G2508&lt;&gt;"",G2508,E2508)</f>
        <v>2, 40, 44, PSYDUCK</v>
      </c>
    </row>
    <row r="2509" customFormat="false" ht="12.75" hidden="false" customHeight="true" outlineLevel="0" collapsed="false">
      <c r="A2509" s="4" t="s">
        <v>3555</v>
      </c>
      <c r="B2509" s="5" t="s">
        <v>3555</v>
      </c>
      <c r="C2509" s="1" t="str">
        <f aca="false">IF(B2509="NEW ROUTE",1,"")</f>
        <v/>
      </c>
      <c r="E2509" s="5" t="s">
        <v>3555</v>
      </c>
      <c r="F2509" s="6" t="e">
        <f aca="false">VLOOKUP(E2509,$K$2:$L$426,2,FALSE())</f>
        <v>#N/A</v>
      </c>
      <c r="G2509" s="1" t="str">
        <f aca="false">IF(ISNA(F2509),"",F2509)</f>
        <v/>
      </c>
      <c r="H2509" s="5" t="str">
        <f aca="false">IF(G2509&lt;&gt;"",G2509,E2509)</f>
        <v>42, 46, SLOWPOKE</v>
      </c>
    </row>
    <row r="2510" customFormat="false" ht="12.75" hidden="false" customHeight="true" outlineLevel="0" collapsed="false">
      <c r="A2510" s="4" t="s">
        <v>3556</v>
      </c>
      <c r="B2510" s="5" t="s">
        <v>3556</v>
      </c>
      <c r="C2510" s="1" t="str">
        <f aca="false">IF(B2510="NEW ROUTE",1,"")</f>
        <v/>
      </c>
      <c r="E2510" s="5" t="s">
        <v>3556</v>
      </c>
      <c r="F2510" s="6" t="e">
        <f aca="false">VLOOKUP(E2510,$K$2:$L$426,2,FALSE())</f>
        <v>#N/A</v>
      </c>
      <c r="G2510" s="1" t="str">
        <f aca="false">IF(ISNA(F2510),"",F2510)</f>
        <v/>
      </c>
      <c r="H2510" s="5" t="str">
        <f aca="false">IF(G2510&lt;&gt;"",G2510,E2510)</f>
        <v>44, 47, GOLDUCK</v>
      </c>
    </row>
    <row r="2511" customFormat="false" ht="12.75" hidden="false" customHeight="true" outlineLevel="0" collapsed="false">
      <c r="A2511" s="4" t="s">
        <v>3557</v>
      </c>
      <c r="B2511" s="5" t="s">
        <v>3557</v>
      </c>
      <c r="C2511" s="1" t="str">
        <f aca="false">IF(B2511="NEW ROUTE",1,"")</f>
        <v/>
      </c>
      <c r="E2511" s="5" t="s">
        <v>3557</v>
      </c>
      <c r="F2511" s="6" t="e">
        <f aca="false">VLOOKUP(E2511,$K$2:$L$426,2,FALSE())</f>
        <v>#N/A</v>
      </c>
      <c r="G2511" s="1" t="str">
        <f aca="false">IF(ISNA(F2511),"",F2511)</f>
        <v/>
      </c>
      <c r="H2511" s="5" t="str">
        <f aca="false">IF(G2511&lt;&gt;"",G2511,E2511)</f>
        <v>44, 47, SLOWBRO</v>
      </c>
    </row>
    <row r="2512" customFormat="false" ht="12.75" hidden="false" customHeight="true" outlineLevel="0" collapsed="false">
      <c r="A2512" s="4" t="s">
        <v>3558</v>
      </c>
      <c r="B2512" s="5" t="s">
        <v>3558</v>
      </c>
      <c r="C2512" s="1" t="str">
        <f aca="false">IF(B2512="NEW ROUTE",1,"")</f>
        <v/>
      </c>
      <c r="E2512" s="5" t="s">
        <v>3558</v>
      </c>
      <c r="F2512" s="6" t="e">
        <f aca="false">VLOOKUP(E2512,$K$2:$L$426,2,FALSE())</f>
        <v>#N/A</v>
      </c>
      <c r="G2512" s="1" t="str">
        <f aca="false">IF(ISNA(F2512),"",F2512)</f>
        <v/>
      </c>
      <c r="H2512" s="5" t="str">
        <f aca="false">IF(G2512&lt;&gt;"",G2512,E2512)</f>
        <v>45, 50, GILDUCK</v>
      </c>
    </row>
    <row r="2513" customFormat="false" ht="12.75" hidden="false" customHeight="true" outlineLevel="0" collapsed="false">
      <c r="A2513" s="4" t="s">
        <v>2925</v>
      </c>
      <c r="B2513" s="5" t="s">
        <v>2925</v>
      </c>
      <c r="C2513" s="1" t="str">
        <f aca="false">IF(B2513="NEW ROUTE",1,"")</f>
        <v/>
      </c>
      <c r="E2513" s="5" t="s">
        <v>2925</v>
      </c>
      <c r="F2513" s="6" t="e">
        <f aca="false">VLOOKUP(E2513,$K$2:$L$426,2,FALSE())</f>
        <v>#N/A</v>
      </c>
      <c r="G2513" s="1" t="str">
        <f aca="false">IF(ISNA(F2513),"",F2513)</f>
        <v/>
      </c>
      <c r="H2513" s="5" t="str">
        <f aca="false">IF(G2513&lt;&gt;"",G2513,E2513)</f>
        <v>20, old rod:</v>
      </c>
    </row>
    <row r="2514" customFormat="false" ht="12.75" hidden="false" customHeight="true" outlineLevel="0" collapsed="false">
      <c r="A2514" s="4" t="s">
        <v>1349</v>
      </c>
      <c r="B2514" s="5" t="s">
        <v>1349</v>
      </c>
      <c r="C2514" s="1" t="str">
        <f aca="false">IF(B2514="NEW ROUTE",1,"")</f>
        <v/>
      </c>
      <c r="E2514" s="5" t="s">
        <v>1349</v>
      </c>
      <c r="F2514" s="6" t="e">
        <f aca="false">VLOOKUP(E2514,$K$2:$L$426,2,FALSE())</f>
        <v>#N/A</v>
      </c>
      <c r="G2514" s="1" t="str">
        <f aca="false">IF(ISNA(F2514),"",F2514)</f>
        <v/>
      </c>
      <c r="H2514" s="5" t="str">
        <f aca="false">IF(G2514&lt;&gt;"",G2514,E2514)</f>
        <v>19, 26, MAGIKARP</v>
      </c>
    </row>
    <row r="2515" customFormat="false" ht="12.75" hidden="false" customHeight="true" outlineLevel="0" collapsed="false">
      <c r="A2515" s="4" t="s">
        <v>2926</v>
      </c>
      <c r="B2515" s="5" t="s">
        <v>2926</v>
      </c>
      <c r="C2515" s="1" t="str">
        <f aca="false">IF(B2515="NEW ROUTE",1,"")</f>
        <v/>
      </c>
      <c r="E2515" s="5" t="s">
        <v>2926</v>
      </c>
      <c r="F2515" s="6" t="e">
        <f aca="false">VLOOKUP(E2515,$K$2:$L$426,2,FALSE())</f>
        <v>#N/A</v>
      </c>
      <c r="G2515" s="1" t="str">
        <f aca="false">IF(ISNA(F2515),"",F2515)</f>
        <v/>
      </c>
      <c r="H2515" s="5" t="str">
        <f aca="false">IF(G2515&lt;&gt;"",G2515,E2515)</f>
        <v>19, 26, POLIWAG</v>
      </c>
    </row>
    <row r="2516" customFormat="false" ht="12.75" hidden="false" customHeight="true" outlineLevel="0" collapsed="false">
      <c r="A2516" s="4" t="s">
        <v>2846</v>
      </c>
      <c r="B2516" s="5" t="s">
        <v>2846</v>
      </c>
      <c r="C2516" s="1" t="str">
        <f aca="false">IF(B2516="NEW ROUTE",1,"")</f>
        <v/>
      </c>
      <c r="E2516" s="5" t="s">
        <v>2846</v>
      </c>
      <c r="F2516" s="6" t="e">
        <f aca="false">VLOOKUP(E2516,$K$2:$L$426,2,FALSE())</f>
        <v>#N/A</v>
      </c>
      <c r="G2516" s="1" t="str">
        <f aca="false">IF(ISNA(F2516),"",F2516)</f>
        <v/>
      </c>
      <c r="H2516" s="5" t="str">
        <f aca="false">IF(G2516&lt;&gt;"",G2516,E2516)</f>
        <v>good rod:</v>
      </c>
    </row>
    <row r="2517" customFormat="false" ht="12.75" hidden="false" customHeight="true" outlineLevel="0" collapsed="false">
      <c r="A2517" s="4" t="s">
        <v>3559</v>
      </c>
      <c r="B2517" s="5" t="s">
        <v>3559</v>
      </c>
      <c r="C2517" s="1" t="str">
        <f aca="false">IF(B2517="NEW ROUTE",1,"")</f>
        <v/>
      </c>
      <c r="E2517" s="5" t="s">
        <v>3559</v>
      </c>
      <c r="F2517" s="6" t="e">
        <f aca="false">VLOOKUP(E2517,$K$2:$L$426,2,FALSE())</f>
        <v>#N/A</v>
      </c>
      <c r="G2517" s="1" t="str">
        <f aca="false">IF(ISNA(F2517),"",F2517)</f>
        <v/>
      </c>
      <c r="H2517" s="5" t="str">
        <f aca="false">IF(G2517&lt;&gt;"",G2517,E2517)</f>
        <v>29, 33, MAGIKARP</v>
      </c>
    </row>
    <row r="2518" customFormat="false" ht="12.75" hidden="false" customHeight="true" outlineLevel="0" collapsed="false">
      <c r="A2518" s="4" t="s">
        <v>3560</v>
      </c>
      <c r="B2518" s="5" t="s">
        <v>3560</v>
      </c>
      <c r="C2518" s="1" t="str">
        <f aca="false">IF(B2518="NEW ROUTE",1,"")</f>
        <v/>
      </c>
      <c r="E2518" s="5" t="s">
        <v>3560</v>
      </c>
      <c r="F2518" s="6" t="e">
        <f aca="false">VLOOKUP(E2518,$K$2:$L$426,2,FALSE())</f>
        <v>#N/A</v>
      </c>
      <c r="G2518" s="1" t="str">
        <f aca="false">IF(ISNA(F2518),"",F2518)</f>
        <v/>
      </c>
      <c r="H2518" s="5" t="str">
        <f aca="false">IF(G2518&lt;&gt;"",G2518,E2518)</f>
        <v>30, 35, GYARADOS</v>
      </c>
    </row>
    <row r="2519" customFormat="false" ht="12.75" hidden="false" customHeight="true" outlineLevel="0" collapsed="false">
      <c r="A2519" s="4" t="s">
        <v>3561</v>
      </c>
      <c r="B2519" s="5" t="s">
        <v>3561</v>
      </c>
      <c r="C2519" s="1" t="str">
        <f aca="false">IF(B2519="NEW ROUTE",1,"")</f>
        <v/>
      </c>
      <c r="E2519" s="5" t="s">
        <v>3561</v>
      </c>
      <c r="F2519" s="6" t="e">
        <f aca="false">VLOOKUP(E2519,$K$2:$L$426,2,FALSE())</f>
        <v>#N/A</v>
      </c>
      <c r="G2519" s="1" t="str">
        <f aca="false">IF(ISNA(F2519),"",F2519)</f>
        <v/>
      </c>
      <c r="H2519" s="5" t="str">
        <f aca="false">IF(G2519&lt;&gt;"",G2519,E2519)</f>
        <v>30, 35, POLIWHIRL</v>
      </c>
    </row>
    <row r="2520" customFormat="false" ht="12.75" hidden="false" customHeight="true" outlineLevel="0" collapsed="false">
      <c r="A2520" s="4" t="s">
        <v>2850</v>
      </c>
      <c r="B2520" s="5" t="s">
        <v>2850</v>
      </c>
      <c r="C2520" s="1" t="str">
        <f aca="false">IF(B2520="NEW ROUTE",1,"")</f>
        <v/>
      </c>
      <c r="E2520" s="5" t="s">
        <v>2850</v>
      </c>
      <c r="F2520" s="6" t="e">
        <f aca="false">VLOOKUP(E2520,$K$2:$L$426,2,FALSE())</f>
        <v>#N/A</v>
      </c>
      <c r="G2520" s="1" t="str">
        <f aca="false">IF(ISNA(F2520),"",F2520)</f>
        <v/>
      </c>
      <c r="H2520" s="5" t="str">
        <f aca="false">IF(G2520&lt;&gt;"",G2520,E2520)</f>
        <v>super rod:</v>
      </c>
    </row>
    <row r="2521" customFormat="false" ht="12.75" hidden="false" customHeight="true" outlineLevel="0" collapsed="false">
      <c r="A2521" s="4" t="s">
        <v>3562</v>
      </c>
      <c r="B2521" s="5" t="s">
        <v>3562</v>
      </c>
      <c r="C2521" s="1" t="str">
        <f aca="false">IF(B2521="NEW ROUTE",1,"")</f>
        <v/>
      </c>
      <c r="E2521" s="5" t="s">
        <v>3562</v>
      </c>
      <c r="F2521" s="6" t="e">
        <f aca="false">VLOOKUP(E2521,$K$2:$L$426,2,FALSE())</f>
        <v>#N/A</v>
      </c>
      <c r="G2521" s="1" t="str">
        <f aca="false">IF(ISNA(F2521),"",F2521)</f>
        <v/>
      </c>
      <c r="H2521" s="5" t="str">
        <f aca="false">IF(G2521&lt;&gt;"",G2521,E2521)</f>
        <v>36, 40, MAGIKARP</v>
      </c>
    </row>
    <row r="2522" customFormat="false" ht="12.75" hidden="false" customHeight="true" outlineLevel="0" collapsed="false">
      <c r="A2522" s="4" t="s">
        <v>3356</v>
      </c>
      <c r="B2522" s="5" t="s">
        <v>3356</v>
      </c>
      <c r="C2522" s="1" t="str">
        <f aca="false">IF(B2522="NEW ROUTE",1,"")</f>
        <v/>
      </c>
      <c r="E2522" s="5" t="s">
        <v>3356</v>
      </c>
      <c r="F2522" s="6" t="e">
        <f aca="false">VLOOKUP(E2522,$K$2:$L$426,2,FALSE())</f>
        <v>#N/A</v>
      </c>
      <c r="G2522" s="1" t="str">
        <f aca="false">IF(ISNA(F2522),"",F2522)</f>
        <v/>
      </c>
      <c r="H2522" s="5" t="str">
        <f aca="false">IF(G2522&lt;&gt;"",G2522,E2522)</f>
        <v>36, 40, GYARADOS</v>
      </c>
    </row>
    <row r="2523" customFormat="false" ht="12.75" hidden="false" customHeight="true" outlineLevel="0" collapsed="false">
      <c r="A2523" s="4" t="s">
        <v>3563</v>
      </c>
      <c r="B2523" s="5" t="s">
        <v>3563</v>
      </c>
      <c r="C2523" s="1" t="str">
        <f aca="false">IF(B2523="NEW ROUTE",1,"")</f>
        <v/>
      </c>
      <c r="E2523" s="5" t="s">
        <v>3563</v>
      </c>
      <c r="F2523" s="6" t="e">
        <f aca="false">VLOOKUP(E2523,$K$2:$L$426,2,FALSE())</f>
        <v>#N/A</v>
      </c>
      <c r="G2523" s="1" t="str">
        <f aca="false">IF(ISNA(F2523),"",F2523)</f>
        <v/>
      </c>
      <c r="H2523" s="5" t="str">
        <f aca="false">IF(G2523&lt;&gt;"",G2523,E2523)</f>
        <v>38, 42, POLIWHIRL</v>
      </c>
    </row>
    <row r="2524" customFormat="false" ht="12.75" hidden="false" customHeight="true" outlineLevel="0" collapsed="false">
      <c r="A2524" s="4" t="s">
        <v>3378</v>
      </c>
      <c r="B2524" s="5" t="s">
        <v>3378</v>
      </c>
      <c r="C2524" s="1" t="str">
        <f aca="false">IF(B2524="NEW ROUTE",1,"")</f>
        <v/>
      </c>
      <c r="E2524" s="5" t="s">
        <v>3378</v>
      </c>
      <c r="F2524" s="6" t="e">
        <f aca="false">VLOOKUP(E2524,$K$2:$L$426,2,FALSE())</f>
        <v>#N/A</v>
      </c>
      <c r="G2524" s="1" t="str">
        <f aca="false">IF(ISNA(F2524),"",F2524)</f>
        <v/>
      </c>
      <c r="H2524" s="5" t="str">
        <f aca="false">IF(G2524&lt;&gt;"",G2524,E2524)</f>
        <v>38, 42, POLIWRATH</v>
      </c>
    </row>
    <row r="2525" customFormat="false" ht="12.75" hidden="false" customHeight="true" outlineLevel="0" collapsed="false">
      <c r="A2525" s="4" t="s">
        <v>3379</v>
      </c>
      <c r="B2525" s="5" t="s">
        <v>3379</v>
      </c>
      <c r="C2525" s="1" t="str">
        <f aca="false">IF(B2525="NEW ROUTE",1,"")</f>
        <v/>
      </c>
      <c r="E2525" s="5" t="s">
        <v>3379</v>
      </c>
      <c r="F2525" s="6" t="e">
        <f aca="false">VLOOKUP(E2525,$K$2:$L$426,2,FALSE())</f>
        <v>#N/A</v>
      </c>
      <c r="G2525" s="1" t="str">
        <f aca="false">IF(ISNA(F2525),"",F2525)</f>
        <v/>
      </c>
      <c r="H2525" s="5" t="str">
        <f aca="false">IF(G2525&lt;&gt;"",G2525,E2525)</f>
        <v>40, 44, POLITOES</v>
      </c>
    </row>
    <row r="2526" customFormat="false" ht="12.75" hidden="false" customHeight="true" outlineLevel="0" collapsed="false">
      <c r="A2526" s="4" t="s">
        <v>2536</v>
      </c>
      <c r="B2526" s="5" t="s">
        <v>2536</v>
      </c>
      <c r="C2526" s="1" t="n">
        <f aca="false">IF(B2526="NEW ROUTE",1,"")</f>
        <v>1</v>
      </c>
      <c r="E2526" s="5" t="s">
        <v>2536</v>
      </c>
      <c r="F2526" s="6" t="e">
        <f aca="false">VLOOKUP(E2526,$K$2:$L$426,2,FALSE())</f>
        <v>#N/A</v>
      </c>
      <c r="G2526" s="1" t="str">
        <f aca="false">IF(ISNA(F2526),"",F2526)</f>
        <v/>
      </c>
      <c r="H2526" s="5" t="str">
        <f aca="false">IF(G2526&lt;&gt;"",G2526,E2526)</f>
        <v>NEW ROUTE</v>
      </c>
    </row>
    <row r="2527" customFormat="false" ht="12.75" hidden="false" customHeight="true" outlineLevel="0" collapsed="false">
      <c r="A2527" s="4" t="s">
        <v>462</v>
      </c>
      <c r="B2527" s="5" t="s">
        <v>462</v>
      </c>
      <c r="C2527" s="1" t="str">
        <f aca="false">IF(B2527="NEW ROUTE",1,"")</f>
        <v/>
      </c>
      <c r="E2527" s="5" t="s">
        <v>462</v>
      </c>
      <c r="F2527" s="6" t="str">
        <f aca="false">VLOOKUP(E2527,$K$2:$L$426,2,FALSE())</f>
        <v>Route 23</v>
      </c>
      <c r="G2527" s="1" t="str">
        <f aca="false">IF(ISNA(F2527),"",F2527)</f>
        <v>Route 23</v>
      </c>
      <c r="H2527" s="5" t="str">
        <f aca="false">IF(G2527&lt;&gt;"",G2527,E2527)</f>
        <v>Route 23</v>
      </c>
    </row>
    <row r="2528" customFormat="false" ht="12.75" hidden="false" customHeight="true" outlineLevel="0" collapsed="false">
      <c r="A2528" s="4" t="s">
        <v>2799</v>
      </c>
      <c r="B2528" s="5" t="n">
        <v>0.2</v>
      </c>
      <c r="C2528" s="1" t="str">
        <f aca="false">IF(B2528="NEW ROUTE",1,"")</f>
        <v/>
      </c>
      <c r="E2528" s="5" t="n">
        <v>0.2</v>
      </c>
      <c r="F2528" s="6" t="e">
        <f aca="false">VLOOKUP(E2528,$K$2:$L$426,2,FALSE())</f>
        <v>#N/A</v>
      </c>
      <c r="G2528" s="1" t="str">
        <f aca="false">IF(ISNA(F2528),"",F2528)</f>
        <v/>
      </c>
      <c r="H2528" s="5" t="n">
        <f aca="false">IF(G2528&lt;&gt;"",G2528,E2528)</f>
        <v>0.2</v>
      </c>
    </row>
    <row r="2529" customFormat="false" ht="12.75" hidden="false" customHeight="true" outlineLevel="0" collapsed="false">
      <c r="A2529" s="4" t="s">
        <v>2049</v>
      </c>
      <c r="B2529" s="5" t="s">
        <v>2049</v>
      </c>
      <c r="C2529" s="1" t="str">
        <f aca="false">IF(B2529="NEW ROUTE",1,"")</f>
        <v/>
      </c>
      <c r="E2529" s="5" t="s">
        <v>2049</v>
      </c>
      <c r="F2529" s="6" t="e">
        <f aca="false">VLOOKUP(E2529,$K$2:$L$426,2,FALSE())</f>
        <v>#N/A</v>
      </c>
      <c r="G2529" s="1" t="str">
        <f aca="false">IF(ISNA(F2529),"",F2529)</f>
        <v/>
      </c>
      <c r="H2529" s="5" t="str">
        <f aca="false">IF(G2529&lt;&gt;"",G2529,E2529)</f>
        <v>51, 56, PRIMEAPE</v>
      </c>
    </row>
    <row r="2530" customFormat="false" ht="12.75" hidden="false" customHeight="true" outlineLevel="0" collapsed="false">
      <c r="A2530" s="4" t="s">
        <v>3565</v>
      </c>
      <c r="B2530" s="5" t="s">
        <v>3565</v>
      </c>
      <c r="C2530" s="1" t="str">
        <f aca="false">IF(B2530="NEW ROUTE",1,"")</f>
        <v/>
      </c>
      <c r="E2530" s="5" t="s">
        <v>3565</v>
      </c>
      <c r="F2530" s="6" t="e">
        <f aca="false">VLOOKUP(E2530,$K$2:$L$426,2,FALSE())</f>
        <v>#N/A</v>
      </c>
      <c r="G2530" s="1" t="str">
        <f aca="false">IF(ISNA(F2530),"",F2530)</f>
        <v/>
      </c>
      <c r="H2530" s="5" t="str">
        <f aca="false">IF(G2530&lt;&gt;"",G2530,E2530)</f>
        <v>51, 56, SNEEROW</v>
      </c>
    </row>
    <row r="2531" customFormat="false" ht="12.75" hidden="false" customHeight="true" outlineLevel="0" collapsed="false">
      <c r="A2531" s="4" t="s">
        <v>2801</v>
      </c>
      <c r="B2531" s="5" t="n">
        <v>0.1</v>
      </c>
      <c r="C2531" s="1" t="str">
        <f aca="false">IF(B2531="NEW ROUTE",1,"")</f>
        <v/>
      </c>
      <c r="E2531" s="5" t="n">
        <v>0.1</v>
      </c>
      <c r="F2531" s="6" t="e">
        <f aca="false">VLOOKUP(E2531,$K$2:$L$426,2,FALSE())</f>
        <v>#N/A</v>
      </c>
      <c r="G2531" s="1" t="str">
        <f aca="false">IF(ISNA(F2531),"",F2531)</f>
        <v/>
      </c>
      <c r="H2531" s="5" t="n">
        <f aca="false">IF(G2531&lt;&gt;"",G2531,E2531)</f>
        <v>0.1</v>
      </c>
    </row>
    <row r="2532" customFormat="false" ht="12.75" hidden="false" customHeight="true" outlineLevel="0" collapsed="false">
      <c r="A2532" s="4" t="s">
        <v>3566</v>
      </c>
      <c r="B2532" s="5" t="s">
        <v>3566</v>
      </c>
      <c r="C2532" s="1" t="str">
        <f aca="false">IF(B2532="NEW ROUTE",1,"")</f>
        <v/>
      </c>
      <c r="E2532" s="5" t="s">
        <v>3566</v>
      </c>
      <c r="F2532" s="6" t="e">
        <f aca="false">VLOOKUP(E2532,$K$2:$L$426,2,FALSE())</f>
        <v>#N/A</v>
      </c>
      <c r="G2532" s="1" t="str">
        <f aca="false">IF(ISNA(F2532),"",F2532)</f>
        <v/>
      </c>
      <c r="H2532" s="5" t="str">
        <f aca="false">IF(G2532&lt;&gt;"",G2532,E2532)</f>
        <v>53, 57, GORILLASH</v>
      </c>
    </row>
    <row r="2533" customFormat="false" ht="12.75" hidden="false" customHeight="true" outlineLevel="0" collapsed="false">
      <c r="A2533" s="4" t="s">
        <v>3567</v>
      </c>
      <c r="B2533" s="5" t="s">
        <v>3567</v>
      </c>
      <c r="C2533" s="1" t="str">
        <f aca="false">IF(B2533="NEW ROUTE",1,"")</f>
        <v/>
      </c>
      <c r="E2533" s="5" t="s">
        <v>3567</v>
      </c>
      <c r="F2533" s="6" t="e">
        <f aca="false">VLOOKUP(E2533,$K$2:$L$426,2,FALSE())</f>
        <v>#N/A</v>
      </c>
      <c r="G2533" s="1" t="str">
        <f aca="false">IF(ISNA(F2533),"",F2533)</f>
        <v/>
      </c>
      <c r="H2533" s="5" t="str">
        <f aca="false">IF(G2533&lt;&gt;"",G2533,E2533)</f>
        <v>53, 57, ORNITHOW</v>
      </c>
    </row>
    <row r="2534" customFormat="false" ht="12.75" hidden="false" customHeight="true" outlineLevel="0" collapsed="false">
      <c r="A2534" s="4" t="s">
        <v>2872</v>
      </c>
      <c r="B2534" s="5" t="s">
        <v>2872</v>
      </c>
      <c r="C2534" s="1" t="str">
        <f aca="false">IF(B2534="NEW ROUTE",1,"")</f>
        <v/>
      </c>
      <c r="E2534" s="5" t="s">
        <v>2872</v>
      </c>
      <c r="F2534" s="6" t="e">
        <f aca="false">VLOOKUP(E2534,$K$2:$L$426,2,FALSE())</f>
        <v>#N/A</v>
      </c>
      <c r="G2534" s="1" t="str">
        <f aca="false">IF(ISNA(F2534),"",F2534)</f>
        <v/>
      </c>
      <c r="H2534" s="5" t="str">
        <f aca="false">IF(G2534&lt;&gt;"",G2534,E2534)</f>
        <v>53, 57, ADNOKANA</v>
      </c>
    </row>
    <row r="2535" customFormat="false" ht="12.75" hidden="false" customHeight="true" outlineLevel="0" collapsed="false">
      <c r="A2535" s="4" t="s">
        <v>3568</v>
      </c>
      <c r="B2535" s="5" t="s">
        <v>3568</v>
      </c>
      <c r="C2535" s="1" t="str">
        <f aca="false">IF(B2535="NEW ROUTE",1,"")</f>
        <v/>
      </c>
      <c r="E2535" s="5" t="s">
        <v>3568</v>
      </c>
      <c r="F2535" s="6" t="e">
        <f aca="false">VLOOKUP(E2535,$K$2:$L$426,2,FALSE())</f>
        <v>#N/A</v>
      </c>
      <c r="G2535" s="1" t="str">
        <f aca="false">IF(ISNA(F2535),"",F2535)</f>
        <v/>
      </c>
      <c r="H2535" s="5" t="str">
        <f aca="false">IF(G2535&lt;&gt;"",G2535,E2535)</f>
        <v>53, 57, SANDSLAM</v>
      </c>
    </row>
    <row r="2536" customFormat="false" ht="12.75" hidden="false" customHeight="true" outlineLevel="0" collapsed="false">
      <c r="A2536" s="4" t="s">
        <v>2806</v>
      </c>
      <c r="B2536" s="5" t="n">
        <v>0.05</v>
      </c>
      <c r="C2536" s="1" t="str">
        <f aca="false">IF(B2536="NEW ROUTE",1,"")</f>
        <v/>
      </c>
      <c r="E2536" s="5" t="n">
        <v>0.05</v>
      </c>
      <c r="F2536" s="6" t="e">
        <f aca="false">VLOOKUP(E2536,$K$2:$L$426,2,FALSE())</f>
        <v>#N/A</v>
      </c>
      <c r="G2536" s="1" t="str">
        <f aca="false">IF(ISNA(F2536),"",F2536)</f>
        <v/>
      </c>
      <c r="H2536" s="5" t="n">
        <f aca="false">IF(G2536&lt;&gt;"",G2536,E2536)</f>
        <v>0.05</v>
      </c>
    </row>
    <row r="2537" customFormat="false" ht="12.75" hidden="false" customHeight="true" outlineLevel="0" collapsed="false">
      <c r="A2537" s="4" t="s">
        <v>3569</v>
      </c>
      <c r="B2537" s="5" t="s">
        <v>3569</v>
      </c>
      <c r="C2537" s="1" t="str">
        <f aca="false">IF(B2537="NEW ROUTE",1,"")</f>
        <v/>
      </c>
      <c r="E2537" s="5" t="s">
        <v>3569</v>
      </c>
      <c r="F2537" s="6" t="e">
        <f aca="false">VLOOKUP(E2537,$K$2:$L$426,2,FALSE())</f>
        <v>#N/A</v>
      </c>
      <c r="G2537" s="1" t="str">
        <f aca="false">IF(ISNA(F2537),"",F2537)</f>
        <v/>
      </c>
      <c r="H2537" s="5" t="str">
        <f aca="false">IF(G2537&lt;&gt;"",G2537,E2537)</f>
        <v>54, 56, "MR. JEST"</v>
      </c>
    </row>
    <row r="2538" customFormat="false" ht="12.75" hidden="false" customHeight="true" outlineLevel="0" collapsed="false">
      <c r="A2538" s="4" t="s">
        <v>3570</v>
      </c>
      <c r="B2538" s="5" t="s">
        <v>3570</v>
      </c>
      <c r="C2538" s="1" t="str">
        <f aca="false">IF(B2538="NEW ROUTE",1,"")</f>
        <v/>
      </c>
      <c r="E2538" s="5" t="s">
        <v>3570</v>
      </c>
      <c r="F2538" s="6" t="e">
        <f aca="false">VLOOKUP(E2538,$K$2:$L$426,2,FALSE())</f>
        <v>#N/A</v>
      </c>
      <c r="G2538" s="1" t="str">
        <f aca="false">IF(ISNA(F2538),"",F2538)</f>
        <v/>
      </c>
      <c r="H2538" s="5" t="str">
        <f aca="false">IF(G2538&lt;&gt;"",G2538,E2538)</f>
        <v>54, 56, ELECTIVINE</v>
      </c>
    </row>
    <row r="2539" customFormat="false" ht="12.75" hidden="false" customHeight="true" outlineLevel="0" collapsed="false">
      <c r="A2539" s="4" t="s">
        <v>2809</v>
      </c>
      <c r="B2539" s="5" t="n">
        <v>0.04</v>
      </c>
      <c r="C2539" s="1" t="str">
        <f aca="false">IF(B2539="NEW ROUTE",1,"")</f>
        <v/>
      </c>
      <c r="E2539" s="5" t="n">
        <v>0.04</v>
      </c>
      <c r="F2539" s="6" t="e">
        <f aca="false">VLOOKUP(E2539,$K$2:$L$426,2,FALSE())</f>
        <v>#N/A</v>
      </c>
      <c r="G2539" s="1" t="str">
        <f aca="false">IF(ISNA(F2539),"",F2539)</f>
        <v/>
      </c>
      <c r="H2539" s="5" t="n">
        <f aca="false">IF(G2539&lt;&gt;"",G2539,E2539)</f>
        <v>0.04</v>
      </c>
    </row>
    <row r="2540" customFormat="false" ht="12.75" hidden="false" customHeight="true" outlineLevel="0" collapsed="false">
      <c r="A2540" s="4" t="s">
        <v>3571</v>
      </c>
      <c r="B2540" s="5" t="s">
        <v>3571</v>
      </c>
      <c r="C2540" s="1" t="str">
        <f aca="false">IF(B2540="NEW ROUTE",1,"")</f>
        <v/>
      </c>
      <c r="E2540" s="5" t="s">
        <v>3571</v>
      </c>
      <c r="F2540" s="6" t="e">
        <f aca="false">VLOOKUP(E2540,$K$2:$L$426,2,FALSE())</f>
        <v>#N/A</v>
      </c>
      <c r="G2540" s="1" t="str">
        <f aca="false">IF(ISNA(F2540),"",F2540)</f>
        <v/>
      </c>
      <c r="H2540" s="5" t="str">
        <f aca="false">IF(G2540&lt;&gt;"",G2540,E2540)</f>
        <v>54, 55, FELANKH</v>
      </c>
    </row>
    <row r="2541" customFormat="false" ht="12.75" hidden="false" customHeight="true" outlineLevel="0" collapsed="false">
      <c r="A2541" s="4" t="s">
        <v>3572</v>
      </c>
      <c r="B2541" s="5" t="s">
        <v>3572</v>
      </c>
      <c r="C2541" s="1" t="str">
        <f aca="false">IF(B2541="NEW ROUTE",1,"")</f>
        <v/>
      </c>
      <c r="E2541" s="5" t="s">
        <v>3572</v>
      </c>
      <c r="F2541" s="6" t="e">
        <f aca="false">VLOOKUP(E2541,$K$2:$L$426,2,FALSE())</f>
        <v>#N/A</v>
      </c>
      <c r="G2541" s="1" t="str">
        <f aca="false">IF(ISNA(F2541),"",F2541)</f>
        <v/>
      </c>
      <c r="H2541" s="5" t="str">
        <f aca="false">IF(G2541&lt;&gt;"",G2541,E2541)</f>
        <v>56, 57, FELANKH</v>
      </c>
    </row>
    <row r="2542" customFormat="false" ht="12.75" hidden="false" customHeight="true" outlineLevel="0" collapsed="false">
      <c r="A2542" s="4" t="s">
        <v>2812</v>
      </c>
      <c r="B2542" s="5" t="n">
        <v>0.01</v>
      </c>
      <c r="C2542" s="1" t="str">
        <f aca="false">IF(B2542="NEW ROUTE",1,"")</f>
        <v/>
      </c>
      <c r="E2542" s="5" t="n">
        <v>0.01</v>
      </c>
      <c r="F2542" s="6" t="e">
        <f aca="false">VLOOKUP(E2542,$K$2:$L$426,2,FALSE())</f>
        <v>#N/A</v>
      </c>
      <c r="G2542" s="1" t="str">
        <f aca="false">IF(ISNA(F2542),"",F2542)</f>
        <v/>
      </c>
      <c r="H2542" s="5" t="n">
        <f aca="false">IF(G2542&lt;&gt;"",G2542,E2542)</f>
        <v>0.01</v>
      </c>
    </row>
    <row r="2543" customFormat="false" ht="12.75" hidden="false" customHeight="true" outlineLevel="0" collapsed="false">
      <c r="A2543" s="4" t="s">
        <v>3573</v>
      </c>
      <c r="B2543" s="5" t="s">
        <v>3573</v>
      </c>
      <c r="C2543" s="1" t="str">
        <f aca="false">IF(B2543="NEW ROUTE",1,"")</f>
        <v/>
      </c>
      <c r="E2543" s="5" t="s">
        <v>3573</v>
      </c>
      <c r="F2543" s="6" t="e">
        <f aca="false">VLOOKUP(E2543,$K$2:$L$426,2,FALSE())</f>
        <v>#N/A</v>
      </c>
      <c r="G2543" s="1" t="str">
        <f aca="false">IF(ISNA(F2543),"",F2543)</f>
        <v/>
      </c>
      <c r="H2543" s="5" t="str">
        <f aca="false">IF(G2543&lt;&gt;"",G2543,E2543)</f>
        <v>40, 50, AERODACTYL</v>
      </c>
    </row>
    <row r="2544" customFormat="false" ht="12.75" hidden="false" customHeight="true" outlineLevel="0" collapsed="false">
      <c r="A2544" s="4" t="s">
        <v>3574</v>
      </c>
      <c r="B2544" s="5" t="s">
        <v>3574</v>
      </c>
      <c r="C2544" s="1" t="str">
        <f aca="false">IF(B2544="NEW ROUTE",1,"")</f>
        <v/>
      </c>
      <c r="E2544" s="5" t="s">
        <v>3574</v>
      </c>
      <c r="F2544" s="6" t="e">
        <f aca="false">VLOOKUP(E2544,$K$2:$L$426,2,FALSE())</f>
        <v>#N/A</v>
      </c>
      <c r="G2544" s="1" t="str">
        <f aca="false">IF(ISNA(F2544),"",F2544)</f>
        <v/>
      </c>
      <c r="H2544" s="5" t="str">
        <f aca="false">IF(G2544&lt;&gt;"",G2544,E2544)</f>
        <v>57, 59, LUKKEY</v>
      </c>
    </row>
    <row r="2545" customFormat="false" ht="12.75" hidden="false" customHeight="true" outlineLevel="0" collapsed="false">
      <c r="A2545" s="4" t="s">
        <v>3575</v>
      </c>
      <c r="B2545" s="5" t="s">
        <v>3575</v>
      </c>
      <c r="C2545" s="1" t="str">
        <f aca="false">IF(B2545="NEW ROUTE",1,"")</f>
        <v/>
      </c>
      <c r="E2545" s="5" t="s">
        <v>3575</v>
      </c>
      <c r="F2545" s="6" t="e">
        <f aca="false">VLOOKUP(E2545,$K$2:$L$426,2,FALSE())</f>
        <v>#N/A</v>
      </c>
      <c r="G2545" s="1" t="str">
        <f aca="false">IF(ISNA(F2545),"",F2545)</f>
        <v/>
      </c>
      <c r="H2545" s="5" t="str">
        <f aca="false">IF(G2545&lt;&gt;"",G2545,E2545)</f>
        <v>2, 50, 55, GILDUCK</v>
      </c>
    </row>
    <row r="2546" customFormat="false" ht="12.75" hidden="false" customHeight="true" outlineLevel="0" collapsed="false">
      <c r="A2546" s="4" t="s">
        <v>3576</v>
      </c>
      <c r="B2546" s="5" t="s">
        <v>3576</v>
      </c>
      <c r="C2546" s="1" t="str">
        <f aca="false">IF(B2546="NEW ROUTE",1,"")</f>
        <v/>
      </c>
      <c r="E2546" s="5" t="s">
        <v>3576</v>
      </c>
      <c r="F2546" s="6" t="e">
        <f aca="false">VLOOKUP(E2546,$K$2:$L$426,2,FALSE())</f>
        <v>#N/A</v>
      </c>
      <c r="G2546" s="1" t="str">
        <f aca="false">IF(ISNA(F2546),"",F2546)</f>
        <v/>
      </c>
      <c r="H2546" s="5" t="str">
        <f aca="false">IF(G2546&lt;&gt;"",G2546,E2546)</f>
        <v>50, 55, POLITOES</v>
      </c>
    </row>
    <row r="2547" customFormat="false" ht="12.75" hidden="false" customHeight="true" outlineLevel="0" collapsed="false">
      <c r="A2547" s="4" t="s">
        <v>3577</v>
      </c>
      <c r="B2547" s="5" t="s">
        <v>3577</v>
      </c>
      <c r="C2547" s="1" t="str">
        <f aca="false">IF(B2547="NEW ROUTE",1,"")</f>
        <v/>
      </c>
      <c r="E2547" s="5" t="s">
        <v>3577</v>
      </c>
      <c r="F2547" s="6" t="e">
        <f aca="false">VLOOKUP(E2547,$K$2:$L$426,2,FALSE())</f>
        <v>#N/A</v>
      </c>
      <c r="G2547" s="1" t="str">
        <f aca="false">IF(ISNA(F2547),"",F2547)</f>
        <v/>
      </c>
      <c r="H2547" s="5" t="str">
        <f aca="false">IF(G2547&lt;&gt;"",G2547,E2547)</f>
        <v>52, 57, SLOWMATE</v>
      </c>
    </row>
    <row r="2548" customFormat="false" ht="12.75" hidden="false" customHeight="true" outlineLevel="0" collapsed="false">
      <c r="A2548" s="4" t="s">
        <v>2970</v>
      </c>
      <c r="B2548" s="5" t="s">
        <v>2970</v>
      </c>
      <c r="C2548" s="1" t="str">
        <f aca="false">IF(B2548="NEW ROUTE",1,"")</f>
        <v/>
      </c>
      <c r="E2548" s="5" t="s">
        <v>2970</v>
      </c>
      <c r="F2548" s="6" t="e">
        <f aca="false">VLOOKUP(E2548,$K$2:$L$426,2,FALSE())</f>
        <v>#N/A</v>
      </c>
      <c r="G2548" s="1" t="str">
        <f aca="false">IF(ISNA(F2548),"",F2548)</f>
        <v/>
      </c>
      <c r="H2548" s="5" t="str">
        <f aca="false">IF(G2548&lt;&gt;"",G2548,E2548)</f>
        <v>52, 57, POLIWISE</v>
      </c>
    </row>
    <row r="2549" customFormat="false" ht="12.75" hidden="false" customHeight="true" outlineLevel="0" collapsed="false">
      <c r="A2549" s="4" t="s">
        <v>3578</v>
      </c>
      <c r="B2549" s="5" t="s">
        <v>3578</v>
      </c>
      <c r="C2549" s="1" t="str">
        <f aca="false">IF(B2549="NEW ROUTE",1,"")</f>
        <v/>
      </c>
      <c r="E2549" s="5" t="s">
        <v>3578</v>
      </c>
      <c r="F2549" s="6" t="e">
        <f aca="false">VLOOKUP(E2549,$K$2:$L$426,2,FALSE())</f>
        <v>#N/A</v>
      </c>
      <c r="G2549" s="1" t="str">
        <f aca="false">IF(ISNA(F2549),"",F2549)</f>
        <v/>
      </c>
      <c r="H2549" s="5" t="str">
        <f aca="false">IF(G2549&lt;&gt;"",G2549,E2549)</f>
        <v>53, 58, PLATINUPUS</v>
      </c>
    </row>
    <row r="2550" customFormat="false" ht="12.75" hidden="false" customHeight="true" outlineLevel="0" collapsed="false">
      <c r="A2550" s="4" t="s">
        <v>2925</v>
      </c>
      <c r="B2550" s="5" t="s">
        <v>2925</v>
      </c>
      <c r="C2550" s="1" t="str">
        <f aca="false">IF(B2550="NEW ROUTE",1,"")</f>
        <v/>
      </c>
      <c r="E2550" s="5" t="s">
        <v>2925</v>
      </c>
      <c r="F2550" s="6" t="e">
        <f aca="false">VLOOKUP(E2550,$K$2:$L$426,2,FALSE())</f>
        <v>#N/A</v>
      </c>
      <c r="G2550" s="1" t="str">
        <f aca="false">IF(ISNA(F2550),"",F2550)</f>
        <v/>
      </c>
      <c r="H2550" s="5" t="str">
        <f aca="false">IF(G2550&lt;&gt;"",G2550,E2550)</f>
        <v>20, old rod:</v>
      </c>
    </row>
    <row r="2551" customFormat="false" ht="12.75" hidden="false" customHeight="true" outlineLevel="0" collapsed="false">
      <c r="A2551" s="4" t="s">
        <v>2063</v>
      </c>
      <c r="B2551" s="5" t="s">
        <v>2063</v>
      </c>
      <c r="C2551" s="1" t="str">
        <f aca="false">IF(B2551="NEW ROUTE",1,"")</f>
        <v/>
      </c>
      <c r="E2551" s="5" t="s">
        <v>2063</v>
      </c>
      <c r="F2551" s="6" t="e">
        <f aca="false">VLOOKUP(E2551,$K$2:$L$426,2,FALSE())</f>
        <v>#N/A</v>
      </c>
      <c r="G2551" s="1" t="str">
        <f aca="false">IF(ISNA(F2551),"",F2551)</f>
        <v/>
      </c>
      <c r="H2551" s="5" t="str">
        <f aca="false">IF(G2551&lt;&gt;"",G2551,E2551)</f>
        <v>24, 36, GOLDEEN</v>
      </c>
    </row>
    <row r="2552" customFormat="false" ht="12.75" hidden="false" customHeight="true" outlineLevel="0" collapsed="false">
      <c r="A2552" s="4" t="s">
        <v>3579</v>
      </c>
      <c r="B2552" s="5" t="s">
        <v>3579</v>
      </c>
      <c r="C2552" s="1" t="str">
        <f aca="false">IF(B2552="NEW ROUTE",1,"")</f>
        <v/>
      </c>
      <c r="E2552" s="5" t="s">
        <v>3579</v>
      </c>
      <c r="F2552" s="6" t="e">
        <f aca="false">VLOOKUP(E2552,$K$2:$L$426,2,FALSE())</f>
        <v>#N/A</v>
      </c>
      <c r="G2552" s="1" t="str">
        <f aca="false">IF(ISNA(F2552),"",F2552)</f>
        <v/>
      </c>
      <c r="H2552" s="5" t="str">
        <f aca="false">IF(G2552&lt;&gt;"",G2552,E2552)</f>
        <v>23, 36, KRABBY</v>
      </c>
    </row>
    <row r="2553" customFormat="false" ht="12.75" hidden="false" customHeight="true" outlineLevel="0" collapsed="false">
      <c r="A2553" s="4" t="s">
        <v>2846</v>
      </c>
      <c r="B2553" s="5" t="s">
        <v>2846</v>
      </c>
      <c r="C2553" s="1" t="str">
        <f aca="false">IF(B2553="NEW ROUTE",1,"")</f>
        <v/>
      </c>
      <c r="E2553" s="5" t="s">
        <v>2846</v>
      </c>
      <c r="F2553" s="6" t="e">
        <f aca="false">VLOOKUP(E2553,$K$2:$L$426,2,FALSE())</f>
        <v>#N/A</v>
      </c>
      <c r="G2553" s="1" t="str">
        <f aca="false">IF(ISNA(F2553),"",F2553)</f>
        <v/>
      </c>
      <c r="H2553" s="5" t="str">
        <f aca="false">IF(G2553&lt;&gt;"",G2553,E2553)</f>
        <v>good rod:</v>
      </c>
    </row>
    <row r="2554" customFormat="false" ht="12.75" hidden="false" customHeight="true" outlineLevel="0" collapsed="false">
      <c r="A2554" s="4" t="s">
        <v>3580</v>
      </c>
      <c r="B2554" s="5" t="s">
        <v>3580</v>
      </c>
      <c r="C2554" s="1" t="str">
        <f aca="false">IF(B2554="NEW ROUTE",1,"")</f>
        <v/>
      </c>
      <c r="E2554" s="5" t="s">
        <v>3580</v>
      </c>
      <c r="F2554" s="6" t="e">
        <f aca="false">VLOOKUP(E2554,$K$2:$L$426,2,FALSE())</f>
        <v>#N/A</v>
      </c>
      <c r="G2554" s="1" t="str">
        <f aca="false">IF(ISNA(F2554),"",F2554)</f>
        <v/>
      </c>
      <c r="H2554" s="5" t="str">
        <f aca="false">IF(G2554&lt;&gt;"",G2554,E2554)</f>
        <v>30, 38, SEAKING</v>
      </c>
    </row>
    <row r="2555" customFormat="false" ht="12.75" hidden="false" customHeight="true" outlineLevel="0" collapsed="false">
      <c r="A2555" s="4" t="s">
        <v>3581</v>
      </c>
      <c r="B2555" s="5" t="s">
        <v>3581</v>
      </c>
      <c r="C2555" s="1" t="str">
        <f aca="false">IF(B2555="NEW ROUTE",1,"")</f>
        <v/>
      </c>
      <c r="E2555" s="5" t="s">
        <v>3581</v>
      </c>
      <c r="F2555" s="6" t="e">
        <f aca="false">VLOOKUP(E2555,$K$2:$L$426,2,FALSE())</f>
        <v>#N/A</v>
      </c>
      <c r="G2555" s="1" t="str">
        <f aca="false">IF(ISNA(F2555),"",F2555)</f>
        <v/>
      </c>
      <c r="H2555" s="5" t="str">
        <f aca="false">IF(G2555&lt;&gt;"",G2555,E2555)</f>
        <v>32, 40, KINGLER</v>
      </c>
    </row>
    <row r="2556" customFormat="false" ht="12.75" hidden="false" customHeight="true" outlineLevel="0" collapsed="false">
      <c r="A2556" s="4" t="s">
        <v>3582</v>
      </c>
      <c r="B2556" s="5" t="s">
        <v>3582</v>
      </c>
      <c r="C2556" s="1" t="str">
        <f aca="false">IF(B2556="NEW ROUTE",1,"")</f>
        <v/>
      </c>
      <c r="E2556" s="5" t="s">
        <v>3582</v>
      </c>
      <c r="F2556" s="6" t="e">
        <f aca="false">VLOOKUP(E2556,$K$2:$L$426,2,FALSE())</f>
        <v>#N/A</v>
      </c>
      <c r="G2556" s="1" t="str">
        <f aca="false">IF(ISNA(F2556),"",F2556)</f>
        <v/>
      </c>
      <c r="H2556" s="5" t="str">
        <f aca="false">IF(G2556&lt;&gt;"",G2556,E2556)</f>
        <v>32, 40, DRAGONAIR</v>
      </c>
    </row>
    <row r="2557" customFormat="false" ht="12.75" hidden="false" customHeight="true" outlineLevel="0" collapsed="false">
      <c r="A2557" s="4" t="s">
        <v>2850</v>
      </c>
      <c r="B2557" s="5" t="s">
        <v>2850</v>
      </c>
      <c r="C2557" s="1" t="str">
        <f aca="false">IF(B2557="NEW ROUTE",1,"")</f>
        <v/>
      </c>
      <c r="E2557" s="5" t="s">
        <v>2850</v>
      </c>
      <c r="F2557" s="6" t="e">
        <f aca="false">VLOOKUP(E2557,$K$2:$L$426,2,FALSE())</f>
        <v>#N/A</v>
      </c>
      <c r="G2557" s="1" t="str">
        <f aca="false">IF(ISNA(F2557),"",F2557)</f>
        <v/>
      </c>
      <c r="H2557" s="5" t="str">
        <f aca="false">IF(G2557&lt;&gt;"",G2557,E2557)</f>
        <v>super rod:</v>
      </c>
    </row>
    <row r="2558" customFormat="false" ht="12.75" hidden="false" customHeight="true" outlineLevel="0" collapsed="false">
      <c r="A2558" s="4" t="s">
        <v>3583</v>
      </c>
      <c r="B2558" s="5" t="s">
        <v>3583</v>
      </c>
      <c r="C2558" s="1" t="str">
        <f aca="false">IF(B2558="NEW ROUTE",1,"")</f>
        <v/>
      </c>
      <c r="E2558" s="5" t="s">
        <v>3583</v>
      </c>
      <c r="F2558" s="6" t="e">
        <f aca="false">VLOOKUP(E2558,$K$2:$L$426,2,FALSE())</f>
        <v>#N/A</v>
      </c>
      <c r="G2558" s="1" t="str">
        <f aca="false">IF(ISNA(F2558),"",F2558)</f>
        <v/>
      </c>
      <c r="H2558" s="5" t="str">
        <f aca="false">IF(G2558&lt;&gt;"",G2558,E2558)</f>
        <v>50, 55, SEAREX</v>
      </c>
    </row>
    <row r="2559" customFormat="false" ht="12.75" hidden="false" customHeight="true" outlineLevel="0" collapsed="false">
      <c r="A2559" s="4" t="s">
        <v>2969</v>
      </c>
      <c r="B2559" s="5" t="s">
        <v>2969</v>
      </c>
      <c r="C2559" s="1" t="str">
        <f aca="false">IF(B2559="NEW ROUTE",1,"")</f>
        <v/>
      </c>
      <c r="E2559" s="5" t="s">
        <v>2969</v>
      </c>
      <c r="F2559" s="6" t="e">
        <f aca="false">VLOOKUP(E2559,$K$2:$L$426,2,FALSE())</f>
        <v>#N/A</v>
      </c>
      <c r="G2559" s="1" t="str">
        <f aca="false">IF(ISNA(F2559),"",F2559)</f>
        <v/>
      </c>
      <c r="H2559" s="5" t="str">
        <f aca="false">IF(G2559&lt;&gt;"",G2559,E2559)</f>
        <v>50, 55, DRAGONITE</v>
      </c>
    </row>
    <row r="2560" customFormat="false" ht="12.75" hidden="false" customHeight="true" outlineLevel="0" collapsed="false">
      <c r="A2560" s="4" t="s">
        <v>3584</v>
      </c>
      <c r="B2560" s="5" t="s">
        <v>3584</v>
      </c>
      <c r="C2560" s="1" t="str">
        <f aca="false">IF(B2560="NEW ROUTE",1,"")</f>
        <v/>
      </c>
      <c r="E2560" s="5" t="s">
        <v>3584</v>
      </c>
      <c r="F2560" s="6" t="e">
        <f aca="false">VLOOKUP(E2560,$K$2:$L$426,2,FALSE())</f>
        <v>#N/A</v>
      </c>
      <c r="G2560" s="1" t="str">
        <f aca="false">IF(ISNA(F2560),"",F2560)</f>
        <v/>
      </c>
      <c r="H2560" s="5" t="str">
        <f aca="false">IF(G2560&lt;&gt;"",G2560,E2560)</f>
        <v>52, 57, KRAKLAW</v>
      </c>
    </row>
    <row r="2561" customFormat="false" ht="12.75" hidden="false" customHeight="true" outlineLevel="0" collapsed="false">
      <c r="A2561" s="4" t="s">
        <v>3585</v>
      </c>
      <c r="B2561" s="5" t="s">
        <v>3585</v>
      </c>
      <c r="C2561" s="1" t="str">
        <f aca="false">IF(B2561="NEW ROUTE",1,"")</f>
        <v/>
      </c>
      <c r="E2561" s="5" t="s">
        <v>3585</v>
      </c>
      <c r="F2561" s="6" t="e">
        <f aca="false">VLOOKUP(E2561,$K$2:$L$426,2,FALSE())</f>
        <v>#N/A</v>
      </c>
      <c r="G2561" s="1" t="str">
        <f aca="false">IF(ISNA(F2561),"",F2561)</f>
        <v/>
      </c>
      <c r="H2561" s="5" t="str">
        <f aca="false">IF(G2561&lt;&gt;"",G2561,E2561)</f>
        <v>52, 57, CAPRISEA</v>
      </c>
    </row>
    <row r="2562" customFormat="false" ht="12.75" hidden="false" customHeight="true" outlineLevel="0" collapsed="false">
      <c r="A2562" s="4" t="s">
        <v>3586</v>
      </c>
      <c r="B2562" s="5" t="s">
        <v>3586</v>
      </c>
      <c r="C2562" s="1" t="str">
        <f aca="false">IF(B2562="NEW ROUTE",1,"")</f>
        <v/>
      </c>
      <c r="E2562" s="5" t="s">
        <v>3586</v>
      </c>
      <c r="F2562" s="6" t="e">
        <f aca="false">VLOOKUP(E2562,$K$2:$L$426,2,FALSE())</f>
        <v>#N/A</v>
      </c>
      <c r="G2562" s="1" t="str">
        <f aca="false">IF(ISNA(F2562),"",F2562)</f>
        <v/>
      </c>
      <c r="H2562" s="5" t="str">
        <f aca="false">IF(G2562&lt;&gt;"",G2562,E2562)</f>
        <v>53, 58, DRAGONIER</v>
      </c>
    </row>
    <row r="2563" customFormat="false" ht="12.75" hidden="false" customHeight="true" outlineLevel="0" collapsed="false">
      <c r="A2563" s="4" t="s">
        <v>2536</v>
      </c>
      <c r="B2563" s="5" t="s">
        <v>2536</v>
      </c>
      <c r="C2563" s="1" t="n">
        <f aca="false">IF(B2563="NEW ROUTE",1,"")</f>
        <v>1</v>
      </c>
      <c r="E2563" s="5" t="s">
        <v>2536</v>
      </c>
      <c r="F2563" s="6" t="e">
        <f aca="false">VLOOKUP(E2563,$K$2:$L$426,2,FALSE())</f>
        <v>#N/A</v>
      </c>
      <c r="G2563" s="1" t="str">
        <f aca="false">IF(ISNA(F2563),"",F2563)</f>
        <v/>
      </c>
      <c r="H2563" s="5" t="str">
        <f aca="false">IF(G2563&lt;&gt;"",G2563,E2563)</f>
        <v>NEW ROUTE</v>
      </c>
    </row>
    <row r="2564" customFormat="false" ht="12.75" hidden="false" customHeight="true" outlineLevel="0" collapsed="false">
      <c r="A2564" s="4" t="s">
        <v>464</v>
      </c>
      <c r="B2564" s="5" t="s">
        <v>464</v>
      </c>
      <c r="C2564" s="1" t="str">
        <f aca="false">IF(B2564="NEW ROUTE",1,"")</f>
        <v/>
      </c>
      <c r="E2564" s="5" t="s">
        <v>464</v>
      </c>
      <c r="F2564" s="6" t="str">
        <f aca="false">VLOOKUP(E2564,$K$2:$L$426,2,FALSE())</f>
        <v>Route 24</v>
      </c>
      <c r="G2564" s="1" t="str">
        <f aca="false">IF(ISNA(F2564),"",F2564)</f>
        <v>Route 24</v>
      </c>
      <c r="H2564" s="5" t="str">
        <f aca="false">IF(G2564&lt;&gt;"",G2564,E2564)</f>
        <v>Route 24</v>
      </c>
    </row>
    <row r="2565" customFormat="false" ht="12.75" hidden="false" customHeight="true" outlineLevel="0" collapsed="false">
      <c r="A2565" s="4" t="s">
        <v>2799</v>
      </c>
      <c r="B2565" s="5" t="n">
        <v>0.2</v>
      </c>
      <c r="C2565" s="1" t="str">
        <f aca="false">IF(B2565="NEW ROUTE",1,"")</f>
        <v/>
      </c>
      <c r="E2565" s="5" t="n">
        <v>0.2</v>
      </c>
      <c r="F2565" s="6" t="e">
        <f aca="false">VLOOKUP(E2565,$K$2:$L$426,2,FALSE())</f>
        <v>#N/A</v>
      </c>
      <c r="G2565" s="1" t="str">
        <f aca="false">IF(ISNA(F2565),"",F2565)</f>
        <v/>
      </c>
      <c r="H2565" s="5" t="n">
        <f aca="false">IF(G2565&lt;&gt;"",G2565,E2565)</f>
        <v>0.2</v>
      </c>
    </row>
    <row r="2566" customFormat="false" ht="12.75" hidden="false" customHeight="true" outlineLevel="0" collapsed="false">
      <c r="A2566" s="4" t="s">
        <v>2073</v>
      </c>
      <c r="B2566" s="5" t="s">
        <v>2073</v>
      </c>
      <c r="C2566" s="1" t="str">
        <f aca="false">IF(B2566="NEW ROUTE",1,"")</f>
        <v/>
      </c>
      <c r="E2566" s="5" t="s">
        <v>2073</v>
      </c>
      <c r="F2566" s="6" t="e">
        <f aca="false">VLOOKUP(E2566,$K$2:$L$426,2,FALSE())</f>
        <v>#N/A</v>
      </c>
      <c r="G2566" s="1" t="str">
        <f aca="false">IF(ISNA(F2566),"",F2566)</f>
        <v/>
      </c>
      <c r="H2566" s="5" t="str">
        <f aca="false">IF(G2566&lt;&gt;"",G2566,E2566)</f>
        <v>13, 17, PIDGEY</v>
      </c>
    </row>
    <row r="2567" customFormat="false" ht="12.75" hidden="false" customHeight="true" outlineLevel="0" collapsed="false">
      <c r="A2567" s="4" t="s">
        <v>3588</v>
      </c>
      <c r="B2567" s="5" t="s">
        <v>3588</v>
      </c>
      <c r="C2567" s="1" t="str">
        <f aca="false">IF(B2567="NEW ROUTE",1,"")</f>
        <v/>
      </c>
      <c r="E2567" s="5" t="s">
        <v>3588</v>
      </c>
      <c r="F2567" s="6" t="e">
        <f aca="false">VLOOKUP(E2567,$K$2:$L$426,2,FALSE())</f>
        <v>#N/A</v>
      </c>
      <c r="G2567" s="1" t="str">
        <f aca="false">IF(ISNA(F2567),"",F2567)</f>
        <v/>
      </c>
      <c r="H2567" s="5" t="str">
        <f aca="false">IF(G2567&lt;&gt;"",G2567,E2567)</f>
        <v>13, 17, ODDISH</v>
      </c>
    </row>
    <row r="2568" customFormat="false" ht="12.75" hidden="false" customHeight="true" outlineLevel="0" collapsed="false">
      <c r="A2568" s="4" t="s">
        <v>2801</v>
      </c>
      <c r="B2568" s="5" t="n">
        <v>0.1</v>
      </c>
      <c r="C2568" s="1" t="str">
        <f aca="false">IF(B2568="NEW ROUTE",1,"")</f>
        <v/>
      </c>
      <c r="E2568" s="5" t="n">
        <v>0.1</v>
      </c>
      <c r="F2568" s="6" t="e">
        <f aca="false">VLOOKUP(E2568,$K$2:$L$426,2,FALSE())</f>
        <v>#N/A</v>
      </c>
      <c r="G2568" s="1" t="str">
        <f aca="false">IF(ISNA(F2568),"",F2568)</f>
        <v/>
      </c>
      <c r="H2568" s="5" t="n">
        <f aca="false">IF(G2568&lt;&gt;"",G2568,E2568)</f>
        <v>0.1</v>
      </c>
    </row>
    <row r="2569" customFormat="false" ht="12.75" hidden="false" customHeight="true" outlineLevel="0" collapsed="false">
      <c r="A2569" s="4" t="s">
        <v>3589</v>
      </c>
      <c r="B2569" s="5" t="s">
        <v>3589</v>
      </c>
      <c r="C2569" s="1" t="str">
        <f aca="false">IF(B2569="NEW ROUTE",1,"")</f>
        <v/>
      </c>
      <c r="E2569" s="5" t="s">
        <v>3589</v>
      </c>
      <c r="F2569" s="6" t="e">
        <f aca="false">VLOOKUP(E2569,$K$2:$L$426,2,FALSE())</f>
        <v>#N/A</v>
      </c>
      <c r="G2569" s="1" t="str">
        <f aca="false">IF(ISNA(F2569),"",F2569)</f>
        <v/>
      </c>
      <c r="H2569" s="5" t="str">
        <f aca="false">IF(G2569&lt;&gt;"",G2569,E2569)</f>
        <v>14, 17, BELLSPROUT</v>
      </c>
    </row>
    <row r="2570" customFormat="false" ht="12.75" hidden="false" customHeight="true" outlineLevel="0" collapsed="false">
      <c r="A2570" s="4" t="s">
        <v>3590</v>
      </c>
      <c r="B2570" s="5" t="s">
        <v>3590</v>
      </c>
      <c r="C2570" s="1" t="str">
        <f aca="false">IF(B2570="NEW ROUTE",1,"")</f>
        <v/>
      </c>
      <c r="E2570" s="5" t="s">
        <v>3590</v>
      </c>
      <c r="F2570" s="6" t="e">
        <f aca="false">VLOOKUP(E2570,$K$2:$L$426,2,FALSE())</f>
        <v>#N/A</v>
      </c>
      <c r="G2570" s="1" t="str">
        <f aca="false">IF(ISNA(F2570),"",F2570)</f>
        <v/>
      </c>
      <c r="H2570" s="5" t="str">
        <f aca="false">IF(G2570&lt;&gt;"",G2570,E2570)</f>
        <v>14, 17, MEOWTH</v>
      </c>
    </row>
    <row r="2571" customFormat="false" ht="12.75" hidden="false" customHeight="true" outlineLevel="0" collapsed="false">
      <c r="A2571" s="4" t="s">
        <v>3591</v>
      </c>
      <c r="B2571" s="5" t="s">
        <v>3591</v>
      </c>
      <c r="C2571" s="1" t="str">
        <f aca="false">IF(B2571="NEW ROUTE",1,"")</f>
        <v/>
      </c>
      <c r="E2571" s="5" t="s">
        <v>3591</v>
      </c>
      <c r="F2571" s="6" t="e">
        <f aca="false">VLOOKUP(E2571,$K$2:$L$426,2,FALSE())</f>
        <v>#N/A</v>
      </c>
      <c r="G2571" s="1" t="str">
        <f aca="false">IF(ISNA(F2571),"",F2571)</f>
        <v/>
      </c>
      <c r="H2571" s="5" t="str">
        <f aca="false">IF(G2571&lt;&gt;"",G2571,E2571)</f>
        <v>14, 17, PSYDUCK</v>
      </c>
    </row>
    <row r="2572" customFormat="false" ht="12.75" hidden="false" customHeight="true" outlineLevel="0" collapsed="false">
      <c r="A2572" s="4" t="s">
        <v>3592</v>
      </c>
      <c r="B2572" s="5" t="s">
        <v>3592</v>
      </c>
      <c r="C2572" s="1" t="str">
        <f aca="false">IF(B2572="NEW ROUTE",1,"")</f>
        <v/>
      </c>
      <c r="E2572" s="5" t="s">
        <v>3592</v>
      </c>
      <c r="F2572" s="6" t="e">
        <f aca="false">VLOOKUP(E2572,$K$2:$L$426,2,FALSE())</f>
        <v>#N/A</v>
      </c>
      <c r="G2572" s="1" t="str">
        <f aca="false">IF(ISNA(F2572),"",F2572)</f>
        <v/>
      </c>
      <c r="H2572" s="5" t="str">
        <f aca="false">IF(G2572&lt;&gt;"",G2572,E2572)</f>
        <v>14, 17, PIDGEOTTO</v>
      </c>
    </row>
    <row r="2573" customFormat="false" ht="12.75" hidden="false" customHeight="true" outlineLevel="0" collapsed="false">
      <c r="A2573" s="4" t="s">
        <v>2806</v>
      </c>
      <c r="B2573" s="5" t="n">
        <v>0.05</v>
      </c>
      <c r="C2573" s="1" t="str">
        <f aca="false">IF(B2573="NEW ROUTE",1,"")</f>
        <v/>
      </c>
      <c r="E2573" s="5" t="n">
        <v>0.05</v>
      </c>
      <c r="F2573" s="6" t="e">
        <f aca="false">VLOOKUP(E2573,$K$2:$L$426,2,FALSE())</f>
        <v>#N/A</v>
      </c>
      <c r="G2573" s="1" t="str">
        <f aca="false">IF(ISNA(F2573),"",F2573)</f>
        <v/>
      </c>
      <c r="H2573" s="5" t="n">
        <f aca="false">IF(G2573&lt;&gt;"",G2573,E2573)</f>
        <v>0.05</v>
      </c>
    </row>
    <row r="2574" customFormat="false" ht="12.75" hidden="false" customHeight="true" outlineLevel="0" collapsed="false">
      <c r="A2574" s="4" t="s">
        <v>3593</v>
      </c>
      <c r="B2574" s="5" t="s">
        <v>3593</v>
      </c>
      <c r="C2574" s="1" t="str">
        <f aca="false">IF(B2574="NEW ROUTE",1,"")</f>
        <v/>
      </c>
      <c r="E2574" s="5" t="s">
        <v>3593</v>
      </c>
      <c r="F2574" s="6" t="e">
        <f aca="false">VLOOKUP(E2574,$K$2:$L$426,2,FALSE())</f>
        <v>#N/A</v>
      </c>
      <c r="G2574" s="1" t="str">
        <f aca="false">IF(ISNA(F2574),"",F2574)</f>
        <v/>
      </c>
      <c r="H2574" s="5" t="str">
        <f aca="false">IF(G2574&lt;&gt;"",G2574,E2574)</f>
        <v>16, 16, PIKACHU</v>
      </c>
    </row>
    <row r="2575" customFormat="false" ht="12.75" hidden="false" customHeight="true" outlineLevel="0" collapsed="false">
      <c r="A2575" s="4" t="s">
        <v>3594</v>
      </c>
      <c r="B2575" s="5" t="s">
        <v>3594</v>
      </c>
      <c r="C2575" s="1" t="str">
        <f aca="false">IF(B2575="NEW ROUTE",1,"")</f>
        <v/>
      </c>
      <c r="E2575" s="5" t="s">
        <v>3594</v>
      </c>
      <c r="F2575" s="6" t="e">
        <f aca="false">VLOOKUP(E2575,$K$2:$L$426,2,FALSE())</f>
        <v>#N/A</v>
      </c>
      <c r="G2575" s="1" t="str">
        <f aca="false">IF(ISNA(F2575),"",F2575)</f>
        <v/>
      </c>
      <c r="H2575" s="5" t="str">
        <f aca="false">IF(G2575&lt;&gt;"",G2575,E2575)</f>
        <v>16, 16, ABRA</v>
      </c>
    </row>
    <row r="2576" customFormat="false" ht="12.75" hidden="false" customHeight="true" outlineLevel="0" collapsed="false">
      <c r="A2576" s="4" t="s">
        <v>2809</v>
      </c>
      <c r="B2576" s="5" t="n">
        <v>0.04</v>
      </c>
      <c r="C2576" s="1" t="str">
        <f aca="false">IF(B2576="NEW ROUTE",1,"")</f>
        <v/>
      </c>
      <c r="E2576" s="5" t="n">
        <v>0.04</v>
      </c>
      <c r="F2576" s="6" t="e">
        <f aca="false">VLOOKUP(E2576,$K$2:$L$426,2,FALSE())</f>
        <v>#N/A</v>
      </c>
      <c r="G2576" s="1" t="str">
        <f aca="false">IF(ISNA(F2576),"",F2576)</f>
        <v/>
      </c>
      <c r="H2576" s="5" t="n">
        <f aca="false">IF(G2576&lt;&gt;"",G2576,E2576)</f>
        <v>0.04</v>
      </c>
    </row>
    <row r="2577" customFormat="false" ht="12.75" hidden="false" customHeight="true" outlineLevel="0" collapsed="false">
      <c r="A2577" s="4" t="s">
        <v>3595</v>
      </c>
      <c r="B2577" s="5" t="s">
        <v>3595</v>
      </c>
      <c r="C2577" s="1" t="str">
        <f aca="false">IF(B2577="NEW ROUTE",1,"")</f>
        <v/>
      </c>
      <c r="E2577" s="5" t="s">
        <v>3595</v>
      </c>
      <c r="F2577" s="6" t="e">
        <f aca="false">VLOOKUP(E2577,$K$2:$L$426,2,FALSE())</f>
        <v>#N/A</v>
      </c>
      <c r="G2577" s="1" t="str">
        <f aca="false">IF(ISNA(F2577),"",F2577)</f>
        <v/>
      </c>
      <c r="H2577" s="5" t="str">
        <f aca="false">IF(G2577&lt;&gt;"",G2577,E2577)</f>
        <v>15, 18, VENONAT</v>
      </c>
    </row>
    <row r="2578" customFormat="false" ht="12.75" hidden="false" customHeight="true" outlineLevel="0" collapsed="false">
      <c r="A2578" s="4" t="s">
        <v>3596</v>
      </c>
      <c r="B2578" s="5" t="s">
        <v>3596</v>
      </c>
      <c r="C2578" s="1" t="str">
        <f aca="false">IF(B2578="NEW ROUTE",1,"")</f>
        <v/>
      </c>
      <c r="E2578" s="5" t="s">
        <v>3596</v>
      </c>
      <c r="F2578" s="6" t="e">
        <f aca="false">VLOOKUP(E2578,$K$2:$L$426,2,FALSE())</f>
        <v>#N/A</v>
      </c>
      <c r="G2578" s="1" t="str">
        <f aca="false">IF(ISNA(F2578),"",F2578)</f>
        <v/>
      </c>
      <c r="H2578" s="5" t="str">
        <f aca="false">IF(G2578&lt;&gt;"",G2578,E2578)</f>
        <v>15, 18, GLOOM</v>
      </c>
    </row>
    <row r="2579" customFormat="false" ht="12.75" hidden="false" customHeight="true" outlineLevel="0" collapsed="false">
      <c r="A2579" s="4" t="s">
        <v>2812</v>
      </c>
      <c r="B2579" s="5" t="n">
        <v>0.01</v>
      </c>
      <c r="C2579" s="1" t="str">
        <f aca="false">IF(B2579="NEW ROUTE",1,"")</f>
        <v/>
      </c>
      <c r="E2579" s="5" t="n">
        <v>0.01</v>
      </c>
      <c r="F2579" s="6" t="e">
        <f aca="false">VLOOKUP(E2579,$K$2:$L$426,2,FALSE())</f>
        <v>#N/A</v>
      </c>
      <c r="G2579" s="1" t="str">
        <f aca="false">IF(ISNA(F2579),"",F2579)</f>
        <v/>
      </c>
      <c r="H2579" s="5" t="n">
        <f aca="false">IF(G2579&lt;&gt;"",G2579,E2579)</f>
        <v>0.01</v>
      </c>
    </row>
    <row r="2580" customFormat="false" ht="12.75" hidden="false" customHeight="true" outlineLevel="0" collapsed="false">
      <c r="A2580" s="4" t="s">
        <v>3597</v>
      </c>
      <c r="B2580" s="5" t="s">
        <v>3597</v>
      </c>
      <c r="C2580" s="1" t="str">
        <f aca="false">IF(B2580="NEW ROUTE",1,"")</f>
        <v/>
      </c>
      <c r="E2580" s="5" t="s">
        <v>3597</v>
      </c>
      <c r="F2580" s="6" t="e">
        <f aca="false">VLOOKUP(E2580,$K$2:$L$426,2,FALSE())</f>
        <v>#N/A</v>
      </c>
      <c r="G2580" s="1" t="str">
        <f aca="false">IF(ISNA(F2580),"",F2580)</f>
        <v/>
      </c>
      <c r="H2580" s="5" t="str">
        <f aca="false">IF(G2580&lt;&gt;"",G2580,E2580)</f>
        <v>17, 17, KADABRA</v>
      </c>
    </row>
    <row r="2581" customFormat="false" ht="12.75" hidden="false" customHeight="true" outlineLevel="0" collapsed="false">
      <c r="A2581" s="4" t="s">
        <v>3597</v>
      </c>
      <c r="B2581" s="5" t="s">
        <v>3597</v>
      </c>
      <c r="C2581" s="1" t="str">
        <f aca="false">IF(B2581="NEW ROUTE",1,"")</f>
        <v/>
      </c>
      <c r="E2581" s="5" t="s">
        <v>3597</v>
      </c>
      <c r="F2581" s="6" t="e">
        <f aca="false">VLOOKUP(E2581,$K$2:$L$426,2,FALSE())</f>
        <v>#N/A</v>
      </c>
      <c r="G2581" s="1" t="str">
        <f aca="false">IF(ISNA(F2581),"",F2581)</f>
        <v/>
      </c>
      <c r="H2581" s="5" t="str">
        <f aca="false">IF(G2581&lt;&gt;"",G2581,E2581)</f>
        <v>17, 17, KADABRA</v>
      </c>
    </row>
    <row r="2582" customFormat="false" ht="12.75" hidden="false" customHeight="true" outlineLevel="0" collapsed="false">
      <c r="A2582" s="4" t="s">
        <v>3598</v>
      </c>
      <c r="B2582" s="5" t="s">
        <v>3598</v>
      </c>
      <c r="C2582" s="1" t="str">
        <f aca="false">IF(B2582="NEW ROUTE",1,"")</f>
        <v/>
      </c>
      <c r="E2582" s="5" t="s">
        <v>3598</v>
      </c>
      <c r="F2582" s="6" t="e">
        <f aca="false">VLOOKUP(E2582,$K$2:$L$426,2,FALSE())</f>
        <v>#N/A</v>
      </c>
      <c r="G2582" s="1" t="str">
        <f aca="false">IF(ISNA(F2582),"",F2582)</f>
        <v/>
      </c>
      <c r="H2582" s="5" t="str">
        <f aca="false">IF(G2582&lt;&gt;"",G2582,E2582)</f>
        <v>2, 34, 40, TENTACOOL</v>
      </c>
    </row>
    <row r="2583" customFormat="false" ht="12.75" hidden="false" customHeight="true" outlineLevel="0" collapsed="false">
      <c r="A2583" s="4" t="s">
        <v>3599</v>
      </c>
      <c r="B2583" s="5" t="s">
        <v>3599</v>
      </c>
      <c r="C2583" s="1" t="str">
        <f aca="false">IF(B2583="NEW ROUTE",1,"")</f>
        <v/>
      </c>
      <c r="E2583" s="5" t="s">
        <v>3599</v>
      </c>
      <c r="F2583" s="6" t="e">
        <f aca="false">VLOOKUP(E2583,$K$2:$L$426,2,FALSE())</f>
        <v>#N/A</v>
      </c>
      <c r="G2583" s="1" t="str">
        <f aca="false">IF(ISNA(F2583),"",F2583)</f>
        <v/>
      </c>
      <c r="H2583" s="5" t="str">
        <f aca="false">IF(G2583&lt;&gt;"",G2583,E2583)</f>
        <v>34, 40, PSYDUCK</v>
      </c>
    </row>
    <row r="2584" customFormat="false" ht="12.75" hidden="false" customHeight="true" outlineLevel="0" collapsed="false">
      <c r="A2584" s="4" t="s">
        <v>3600</v>
      </c>
      <c r="B2584" s="5" t="s">
        <v>3600</v>
      </c>
      <c r="C2584" s="1" t="str">
        <f aca="false">IF(B2584="NEW ROUTE",1,"")</f>
        <v/>
      </c>
      <c r="E2584" s="5" t="s">
        <v>3600</v>
      </c>
      <c r="F2584" s="6" t="e">
        <f aca="false">VLOOKUP(E2584,$K$2:$L$426,2,FALSE())</f>
        <v>#N/A</v>
      </c>
      <c r="G2584" s="1" t="str">
        <f aca="false">IF(ISNA(F2584),"",F2584)</f>
        <v/>
      </c>
      <c r="H2584" s="5" t="str">
        <f aca="false">IF(G2584&lt;&gt;"",G2584,E2584)</f>
        <v>36, 42, TENTACRUEL</v>
      </c>
    </row>
    <row r="2585" customFormat="false" ht="12.75" hidden="false" customHeight="true" outlineLevel="0" collapsed="false">
      <c r="A2585" s="4" t="s">
        <v>3532</v>
      </c>
      <c r="B2585" s="5" t="s">
        <v>3532</v>
      </c>
      <c r="C2585" s="1" t="str">
        <f aca="false">IF(B2585="NEW ROUTE",1,"")</f>
        <v/>
      </c>
      <c r="E2585" s="5" t="s">
        <v>3532</v>
      </c>
      <c r="F2585" s="6" t="e">
        <f aca="false">VLOOKUP(E2585,$K$2:$L$426,2,FALSE())</f>
        <v>#N/A</v>
      </c>
      <c r="G2585" s="1" t="str">
        <f aca="false">IF(ISNA(F2585),"",F2585)</f>
        <v/>
      </c>
      <c r="H2585" s="5" t="str">
        <f aca="false">IF(G2585&lt;&gt;"",G2585,E2585)</f>
        <v>39, 42, GOLDUCK</v>
      </c>
    </row>
    <row r="2586" customFormat="false" ht="12.75" hidden="false" customHeight="true" outlineLevel="0" collapsed="false">
      <c r="A2586" s="4" t="s">
        <v>3601</v>
      </c>
      <c r="B2586" s="5" t="s">
        <v>3601</v>
      </c>
      <c r="C2586" s="1" t="str">
        <f aca="false">IF(B2586="NEW ROUTE",1,"")</f>
        <v/>
      </c>
      <c r="E2586" s="5" t="s">
        <v>3601</v>
      </c>
      <c r="F2586" s="6" t="e">
        <f aca="false">VLOOKUP(E2586,$K$2:$L$426,2,FALSE())</f>
        <v>#N/A</v>
      </c>
      <c r="G2586" s="1" t="str">
        <f aca="false">IF(ISNA(F2586),"",F2586)</f>
        <v/>
      </c>
      <c r="H2586" s="5" t="str">
        <f aca="false">IF(G2586&lt;&gt;"",G2586,E2586)</f>
        <v>39, 42, VAPOREON</v>
      </c>
    </row>
    <row r="2587" customFormat="false" ht="12.75" hidden="false" customHeight="true" outlineLevel="0" collapsed="false">
      <c r="A2587" s="4" t="s">
        <v>2925</v>
      </c>
      <c r="B2587" s="5" t="s">
        <v>2925</v>
      </c>
      <c r="C2587" s="1" t="str">
        <f aca="false">IF(B2587="NEW ROUTE",1,"")</f>
        <v/>
      </c>
      <c r="E2587" s="5" t="s">
        <v>2925</v>
      </c>
      <c r="F2587" s="6" t="e">
        <f aca="false">VLOOKUP(E2587,$K$2:$L$426,2,FALSE())</f>
        <v>#N/A</v>
      </c>
      <c r="G2587" s="1" t="str">
        <f aca="false">IF(ISNA(F2587),"",F2587)</f>
        <v/>
      </c>
      <c r="H2587" s="5" t="str">
        <f aca="false">IF(G2587&lt;&gt;"",G2587,E2587)</f>
        <v>20, old rod:</v>
      </c>
    </row>
    <row r="2588" customFormat="false" ht="12.75" hidden="false" customHeight="true" outlineLevel="0" collapsed="false">
      <c r="A2588" s="4" t="s">
        <v>1349</v>
      </c>
      <c r="B2588" s="5" t="s">
        <v>1349</v>
      </c>
      <c r="C2588" s="1" t="str">
        <f aca="false">IF(B2588="NEW ROUTE",1,"")</f>
        <v/>
      </c>
      <c r="E2588" s="5" t="s">
        <v>1349</v>
      </c>
      <c r="F2588" s="6" t="e">
        <f aca="false">VLOOKUP(E2588,$K$2:$L$426,2,FALSE())</f>
        <v>#N/A</v>
      </c>
      <c r="G2588" s="1" t="str">
        <f aca="false">IF(ISNA(F2588),"",F2588)</f>
        <v/>
      </c>
      <c r="H2588" s="5" t="str">
        <f aca="false">IF(G2588&lt;&gt;"",G2588,E2588)</f>
        <v>19, 26, MAGIKARP</v>
      </c>
    </row>
    <row r="2589" customFormat="false" ht="12.75" hidden="false" customHeight="true" outlineLevel="0" collapsed="false">
      <c r="A2589" s="4" t="s">
        <v>3352</v>
      </c>
      <c r="B2589" s="5" t="s">
        <v>3352</v>
      </c>
      <c r="C2589" s="1" t="str">
        <f aca="false">IF(B2589="NEW ROUTE",1,"")</f>
        <v/>
      </c>
      <c r="E2589" s="5" t="s">
        <v>3352</v>
      </c>
      <c r="F2589" s="6" t="e">
        <f aca="false">VLOOKUP(E2589,$K$2:$L$426,2,FALSE())</f>
        <v>#N/A</v>
      </c>
      <c r="G2589" s="1" t="str">
        <f aca="false">IF(ISNA(F2589),"",F2589)</f>
        <v/>
      </c>
      <c r="H2589" s="5" t="str">
        <f aca="false">IF(G2589&lt;&gt;"",G2589,E2589)</f>
        <v>19, 26, GYARADOS</v>
      </c>
    </row>
    <row r="2590" customFormat="false" ht="12.75" hidden="false" customHeight="true" outlineLevel="0" collapsed="false">
      <c r="A2590" s="4" t="s">
        <v>2846</v>
      </c>
      <c r="B2590" s="5" t="s">
        <v>2846</v>
      </c>
      <c r="C2590" s="1" t="str">
        <f aca="false">IF(B2590="NEW ROUTE",1,"")</f>
        <v/>
      </c>
      <c r="E2590" s="5" t="s">
        <v>2846</v>
      </c>
      <c r="F2590" s="6" t="e">
        <f aca="false">VLOOKUP(E2590,$K$2:$L$426,2,FALSE())</f>
        <v>#N/A</v>
      </c>
      <c r="G2590" s="1" t="str">
        <f aca="false">IF(ISNA(F2590),"",F2590)</f>
        <v/>
      </c>
      <c r="H2590" s="5" t="str">
        <f aca="false">IF(G2590&lt;&gt;"",G2590,E2590)</f>
        <v>good rod:</v>
      </c>
    </row>
    <row r="2591" customFormat="false" ht="12.75" hidden="false" customHeight="true" outlineLevel="0" collapsed="false">
      <c r="A2591" s="4" t="s">
        <v>3353</v>
      </c>
      <c r="B2591" s="5" t="s">
        <v>3353</v>
      </c>
      <c r="C2591" s="1" t="str">
        <f aca="false">IF(B2591="NEW ROUTE",1,"")</f>
        <v/>
      </c>
      <c r="E2591" s="5" t="s">
        <v>3353</v>
      </c>
      <c r="F2591" s="6" t="e">
        <f aca="false">VLOOKUP(E2591,$K$2:$L$426,2,FALSE())</f>
        <v>#N/A</v>
      </c>
      <c r="G2591" s="1" t="str">
        <f aca="false">IF(ISNA(F2591),"",F2591)</f>
        <v/>
      </c>
      <c r="H2591" s="5" t="str">
        <f aca="false">IF(G2591&lt;&gt;"",G2591,E2591)</f>
        <v>29, 33, SLOWPOKE</v>
      </c>
    </row>
    <row r="2592" customFormat="false" ht="12.75" hidden="false" customHeight="true" outlineLevel="0" collapsed="false">
      <c r="A2592" s="4" t="s">
        <v>3027</v>
      </c>
      <c r="B2592" s="5" t="s">
        <v>3027</v>
      </c>
      <c r="C2592" s="1" t="str">
        <f aca="false">IF(B2592="NEW ROUTE",1,"")</f>
        <v/>
      </c>
      <c r="E2592" s="5" t="s">
        <v>3027</v>
      </c>
      <c r="F2592" s="6" t="e">
        <f aca="false">VLOOKUP(E2592,$K$2:$L$426,2,FALSE())</f>
        <v>#N/A</v>
      </c>
      <c r="G2592" s="1" t="str">
        <f aca="false">IF(ISNA(F2592),"",F2592)</f>
        <v/>
      </c>
      <c r="H2592" s="5" t="str">
        <f aca="false">IF(G2592&lt;&gt;"",G2592,E2592)</f>
        <v>30, 35, KRABBY</v>
      </c>
    </row>
    <row r="2593" customFormat="false" ht="12.75" hidden="false" customHeight="true" outlineLevel="0" collapsed="false">
      <c r="A2593" s="4" t="s">
        <v>3354</v>
      </c>
      <c r="B2593" s="5" t="s">
        <v>3354</v>
      </c>
      <c r="C2593" s="1" t="str">
        <f aca="false">IF(B2593="NEW ROUTE",1,"")</f>
        <v/>
      </c>
      <c r="E2593" s="5" t="s">
        <v>3354</v>
      </c>
      <c r="F2593" s="6" t="e">
        <f aca="false">VLOOKUP(E2593,$K$2:$L$426,2,FALSE())</f>
        <v>#N/A</v>
      </c>
      <c r="G2593" s="1" t="str">
        <f aca="false">IF(ISNA(F2593),"",F2593)</f>
        <v/>
      </c>
      <c r="H2593" s="5" t="str">
        <f aca="false">IF(G2593&lt;&gt;"",G2593,E2593)</f>
        <v>30, 35, PSYDUCK</v>
      </c>
    </row>
    <row r="2594" customFormat="false" ht="12.75" hidden="false" customHeight="true" outlineLevel="0" collapsed="false">
      <c r="A2594" s="4" t="s">
        <v>2850</v>
      </c>
      <c r="B2594" s="5" t="s">
        <v>2850</v>
      </c>
      <c r="C2594" s="1" t="str">
        <f aca="false">IF(B2594="NEW ROUTE",1,"")</f>
        <v/>
      </c>
      <c r="E2594" s="5" t="s">
        <v>2850</v>
      </c>
      <c r="F2594" s="6" t="e">
        <f aca="false">VLOOKUP(E2594,$K$2:$L$426,2,FALSE())</f>
        <v>#N/A</v>
      </c>
      <c r="G2594" s="1" t="str">
        <f aca="false">IF(ISNA(F2594),"",F2594)</f>
        <v/>
      </c>
      <c r="H2594" s="5" t="str">
        <f aca="false">IF(G2594&lt;&gt;"",G2594,E2594)</f>
        <v>super rod:</v>
      </c>
    </row>
    <row r="2595" customFormat="false" ht="12.75" hidden="false" customHeight="true" outlineLevel="0" collapsed="false">
      <c r="A2595" s="4" t="s">
        <v>3355</v>
      </c>
      <c r="B2595" s="5" t="s">
        <v>3355</v>
      </c>
      <c r="C2595" s="1" t="str">
        <f aca="false">IF(B2595="NEW ROUTE",1,"")</f>
        <v/>
      </c>
      <c r="E2595" s="5" t="s">
        <v>3355</v>
      </c>
      <c r="F2595" s="6" t="e">
        <f aca="false">VLOOKUP(E2595,$K$2:$L$426,2,FALSE())</f>
        <v>#N/A</v>
      </c>
      <c r="G2595" s="1" t="str">
        <f aca="false">IF(ISNA(F2595),"",F2595)</f>
        <v/>
      </c>
      <c r="H2595" s="5" t="str">
        <f aca="false">IF(G2595&lt;&gt;"",G2595,E2595)</f>
        <v>36, 40, SLOWBRO</v>
      </c>
    </row>
    <row r="2596" customFormat="false" ht="12.75" hidden="false" customHeight="true" outlineLevel="0" collapsed="false">
      <c r="A2596" s="4" t="s">
        <v>3356</v>
      </c>
      <c r="B2596" s="5" t="s">
        <v>3356</v>
      </c>
      <c r="C2596" s="1" t="str">
        <f aca="false">IF(B2596="NEW ROUTE",1,"")</f>
        <v/>
      </c>
      <c r="E2596" s="5" t="s">
        <v>3356</v>
      </c>
      <c r="F2596" s="6" t="e">
        <f aca="false">VLOOKUP(E2596,$K$2:$L$426,2,FALSE())</f>
        <v>#N/A</v>
      </c>
      <c r="G2596" s="1" t="str">
        <f aca="false">IF(ISNA(F2596),"",F2596)</f>
        <v/>
      </c>
      <c r="H2596" s="5" t="str">
        <f aca="false">IF(G2596&lt;&gt;"",G2596,E2596)</f>
        <v>36, 40, GYARADOS</v>
      </c>
    </row>
    <row r="2597" customFormat="false" ht="12.75" hidden="false" customHeight="true" outlineLevel="0" collapsed="false">
      <c r="A2597" s="4" t="s">
        <v>3357</v>
      </c>
      <c r="B2597" s="5" t="s">
        <v>3357</v>
      </c>
      <c r="C2597" s="1" t="str">
        <f aca="false">IF(B2597="NEW ROUTE",1,"")</f>
        <v/>
      </c>
      <c r="E2597" s="5" t="s">
        <v>3357</v>
      </c>
      <c r="F2597" s="6" t="e">
        <f aca="false">VLOOKUP(E2597,$K$2:$L$426,2,FALSE())</f>
        <v>#N/A</v>
      </c>
      <c r="G2597" s="1" t="str">
        <f aca="false">IF(ISNA(F2597),"",F2597)</f>
        <v/>
      </c>
      <c r="H2597" s="5" t="str">
        <f aca="false">IF(G2597&lt;&gt;"",G2597,E2597)</f>
        <v>38, 42, GOLDUCK</v>
      </c>
    </row>
    <row r="2598" customFormat="false" ht="12.75" hidden="false" customHeight="true" outlineLevel="0" collapsed="false">
      <c r="A2598" s="4" t="s">
        <v>3358</v>
      </c>
      <c r="B2598" s="5" t="s">
        <v>3358</v>
      </c>
      <c r="C2598" s="1" t="str">
        <f aca="false">IF(B2598="NEW ROUTE",1,"")</f>
        <v/>
      </c>
      <c r="E2598" s="5" t="s">
        <v>3358</v>
      </c>
      <c r="F2598" s="6" t="e">
        <f aca="false">VLOOKUP(E2598,$K$2:$L$426,2,FALSE())</f>
        <v>#N/A</v>
      </c>
      <c r="G2598" s="1" t="str">
        <f aca="false">IF(ISNA(F2598),"",F2598)</f>
        <v/>
      </c>
      <c r="H2598" s="5" t="str">
        <f aca="false">IF(G2598&lt;&gt;"",G2598,E2598)</f>
        <v>38, 42, KINGLER</v>
      </c>
    </row>
    <row r="2599" customFormat="false" ht="12.75" hidden="false" customHeight="true" outlineLevel="0" collapsed="false">
      <c r="A2599" s="4" t="s">
        <v>3359</v>
      </c>
      <c r="B2599" s="5" t="s">
        <v>3359</v>
      </c>
      <c r="C2599" s="1" t="str">
        <f aca="false">IF(B2599="NEW ROUTE",1,"")</f>
        <v/>
      </c>
      <c r="E2599" s="5" t="s">
        <v>3359</v>
      </c>
      <c r="F2599" s="6" t="e">
        <f aca="false">VLOOKUP(E2599,$K$2:$L$426,2,FALSE())</f>
        <v>#N/A</v>
      </c>
      <c r="G2599" s="1" t="str">
        <f aca="false">IF(ISNA(F2599),"",F2599)</f>
        <v/>
      </c>
      <c r="H2599" s="5" t="str">
        <f aca="false">IF(G2599&lt;&gt;"",G2599,E2599)</f>
        <v>40, 44, SLOWMATE</v>
      </c>
    </row>
    <row r="2600" customFormat="false" ht="12.75" hidden="false" customHeight="true" outlineLevel="0" collapsed="false">
      <c r="A2600" s="4" t="s">
        <v>2536</v>
      </c>
      <c r="B2600" s="5" t="s">
        <v>2536</v>
      </c>
      <c r="C2600" s="1" t="n">
        <f aca="false">IF(B2600="NEW ROUTE",1,"")</f>
        <v>1</v>
      </c>
      <c r="E2600" s="5" t="s">
        <v>2536</v>
      </c>
      <c r="F2600" s="6" t="e">
        <f aca="false">VLOOKUP(E2600,$K$2:$L$426,2,FALSE())</f>
        <v>#N/A</v>
      </c>
      <c r="G2600" s="1" t="str">
        <f aca="false">IF(ISNA(F2600),"",F2600)</f>
        <v/>
      </c>
      <c r="H2600" s="5" t="str">
        <f aca="false">IF(G2600&lt;&gt;"",G2600,E2600)</f>
        <v>NEW ROUTE</v>
      </c>
    </row>
    <row r="2601" customFormat="false" ht="12.75" hidden="false" customHeight="true" outlineLevel="0" collapsed="false">
      <c r="A2601" s="4" t="s">
        <v>466</v>
      </c>
      <c r="B2601" s="5" t="s">
        <v>466</v>
      </c>
      <c r="C2601" s="1" t="str">
        <f aca="false">IF(B2601="NEW ROUTE",1,"")</f>
        <v/>
      </c>
      <c r="E2601" s="5" t="s">
        <v>466</v>
      </c>
      <c r="F2601" s="6" t="str">
        <f aca="false">VLOOKUP(E2601,$K$2:$L$426,2,FALSE())</f>
        <v>Route 25</v>
      </c>
      <c r="G2601" s="1" t="str">
        <f aca="false">IF(ISNA(F2601),"",F2601)</f>
        <v>Route 25</v>
      </c>
      <c r="H2601" s="5" t="str">
        <f aca="false">IF(G2601&lt;&gt;"",G2601,E2601)</f>
        <v>Route 25</v>
      </c>
    </row>
    <row r="2602" customFormat="false" ht="12.75" hidden="false" customHeight="true" outlineLevel="0" collapsed="false">
      <c r="A2602" s="4" t="s">
        <v>2799</v>
      </c>
      <c r="B2602" s="5" t="n">
        <v>0.2</v>
      </c>
      <c r="C2602" s="1" t="str">
        <f aca="false">IF(B2602="NEW ROUTE",1,"")</f>
        <v/>
      </c>
      <c r="E2602" s="5" t="n">
        <v>0.2</v>
      </c>
      <c r="F2602" s="6" t="e">
        <f aca="false">VLOOKUP(E2602,$K$2:$L$426,2,FALSE())</f>
        <v>#N/A</v>
      </c>
      <c r="G2602" s="1" t="str">
        <f aca="false">IF(ISNA(F2602),"",F2602)</f>
        <v/>
      </c>
      <c r="H2602" s="5" t="n">
        <f aca="false">IF(G2602&lt;&gt;"",G2602,E2602)</f>
        <v>0.2</v>
      </c>
    </row>
    <row r="2603" customFormat="false" ht="12.75" hidden="false" customHeight="true" outlineLevel="0" collapsed="false">
      <c r="A2603" s="4" t="s">
        <v>2089</v>
      </c>
      <c r="B2603" s="5" t="s">
        <v>2089</v>
      </c>
      <c r="C2603" s="1" t="str">
        <f aca="false">IF(B2603="NEW ROUTE",1,"")</f>
        <v/>
      </c>
      <c r="E2603" s="5" t="s">
        <v>2089</v>
      </c>
      <c r="F2603" s="6" t="e">
        <f aca="false">VLOOKUP(E2603,$K$2:$L$426,2,FALSE())</f>
        <v>#N/A</v>
      </c>
      <c r="G2603" s="1" t="str">
        <f aca="false">IF(ISNA(F2603),"",F2603)</f>
        <v/>
      </c>
      <c r="H2603" s="5" t="str">
        <f aca="false">IF(G2603&lt;&gt;"",G2603,E2603)</f>
        <v>14, 17, PIDGEY</v>
      </c>
    </row>
    <row r="2604" customFormat="false" ht="12.75" hidden="false" customHeight="true" outlineLevel="0" collapsed="false">
      <c r="A2604" s="4" t="s">
        <v>3603</v>
      </c>
      <c r="B2604" s="5" t="s">
        <v>3603</v>
      </c>
      <c r="C2604" s="1" t="str">
        <f aca="false">IF(B2604="NEW ROUTE",1,"")</f>
        <v/>
      </c>
      <c r="E2604" s="5" t="s">
        <v>3603</v>
      </c>
      <c r="F2604" s="6" t="e">
        <f aca="false">VLOOKUP(E2604,$K$2:$L$426,2,FALSE())</f>
        <v>#N/A</v>
      </c>
      <c r="G2604" s="1" t="str">
        <f aca="false">IF(ISNA(F2604),"",F2604)</f>
        <v/>
      </c>
      <c r="H2604" s="5" t="str">
        <f aca="false">IF(G2604&lt;&gt;"",G2604,E2604)</f>
        <v>14, 17, ODDISH</v>
      </c>
    </row>
    <row r="2605" customFormat="false" ht="12.75" hidden="false" customHeight="true" outlineLevel="0" collapsed="false">
      <c r="A2605" s="4" t="s">
        <v>2801</v>
      </c>
      <c r="B2605" s="5" t="n">
        <v>0.1</v>
      </c>
      <c r="C2605" s="1" t="str">
        <f aca="false">IF(B2605="NEW ROUTE",1,"")</f>
        <v/>
      </c>
      <c r="E2605" s="5" t="n">
        <v>0.1</v>
      </c>
      <c r="F2605" s="6" t="e">
        <f aca="false">VLOOKUP(E2605,$K$2:$L$426,2,FALSE())</f>
        <v>#N/A</v>
      </c>
      <c r="G2605" s="1" t="str">
        <f aca="false">IF(ISNA(F2605),"",F2605)</f>
        <v/>
      </c>
      <c r="H2605" s="5" t="n">
        <f aca="false">IF(G2605&lt;&gt;"",G2605,E2605)</f>
        <v>0.1</v>
      </c>
    </row>
    <row r="2606" customFormat="false" ht="12.75" hidden="false" customHeight="true" outlineLevel="0" collapsed="false">
      <c r="A2606" s="4" t="s">
        <v>3604</v>
      </c>
      <c r="B2606" s="5" t="s">
        <v>3604</v>
      </c>
      <c r="C2606" s="1" t="str">
        <f aca="false">IF(B2606="NEW ROUTE",1,"")</f>
        <v/>
      </c>
      <c r="E2606" s="5" t="s">
        <v>3604</v>
      </c>
      <c r="F2606" s="6" t="e">
        <f aca="false">VLOOKUP(E2606,$K$2:$L$426,2,FALSE())</f>
        <v>#N/A</v>
      </c>
      <c r="G2606" s="1" t="str">
        <f aca="false">IF(ISNA(F2606),"",F2606)</f>
        <v/>
      </c>
      <c r="H2606" s="5" t="str">
        <f aca="false">IF(G2606&lt;&gt;"",G2606,E2606)</f>
        <v>15, 17, BELLSPROUT</v>
      </c>
    </row>
    <row r="2607" customFormat="false" ht="12.75" hidden="false" customHeight="true" outlineLevel="0" collapsed="false">
      <c r="A2607" s="4" t="s">
        <v>3361</v>
      </c>
      <c r="B2607" s="5" t="s">
        <v>3361</v>
      </c>
      <c r="C2607" s="1" t="str">
        <f aca="false">IF(B2607="NEW ROUTE",1,"")</f>
        <v/>
      </c>
      <c r="E2607" s="5" t="s">
        <v>3361</v>
      </c>
      <c r="F2607" s="6" t="e">
        <f aca="false">VLOOKUP(E2607,$K$2:$L$426,2,FALSE())</f>
        <v>#N/A</v>
      </c>
      <c r="G2607" s="1" t="str">
        <f aca="false">IF(ISNA(F2607),"",F2607)</f>
        <v/>
      </c>
      <c r="H2607" s="5" t="str">
        <f aca="false">IF(G2607&lt;&gt;"",G2607,E2607)</f>
        <v>15, 17, MEOWTH</v>
      </c>
    </row>
    <row r="2608" customFormat="false" ht="12.75" hidden="false" customHeight="true" outlineLevel="0" collapsed="false">
      <c r="A2608" s="4" t="s">
        <v>3605</v>
      </c>
      <c r="B2608" s="5" t="s">
        <v>3605</v>
      </c>
      <c r="C2608" s="1" t="str">
        <f aca="false">IF(B2608="NEW ROUTE",1,"")</f>
        <v/>
      </c>
      <c r="E2608" s="5" t="s">
        <v>3605</v>
      </c>
      <c r="F2608" s="6" t="e">
        <f aca="false">VLOOKUP(E2608,$K$2:$L$426,2,FALSE())</f>
        <v>#N/A</v>
      </c>
      <c r="G2608" s="1" t="str">
        <f aca="false">IF(ISNA(F2608),"",F2608)</f>
        <v/>
      </c>
      <c r="H2608" s="5" t="str">
        <f aca="false">IF(G2608&lt;&gt;"",G2608,E2608)</f>
        <v>15, 17, PSYDUCK</v>
      </c>
    </row>
    <row r="2609" customFormat="false" ht="12.75" hidden="false" customHeight="true" outlineLevel="0" collapsed="false">
      <c r="A2609" s="4" t="s">
        <v>3606</v>
      </c>
      <c r="B2609" s="5" t="s">
        <v>3606</v>
      </c>
      <c r="C2609" s="1" t="str">
        <f aca="false">IF(B2609="NEW ROUTE",1,"")</f>
        <v/>
      </c>
      <c r="E2609" s="5" t="s">
        <v>3606</v>
      </c>
      <c r="F2609" s="6" t="e">
        <f aca="false">VLOOKUP(E2609,$K$2:$L$426,2,FALSE())</f>
        <v>#N/A</v>
      </c>
      <c r="G2609" s="1" t="str">
        <f aca="false">IF(ISNA(F2609),"",F2609)</f>
        <v/>
      </c>
      <c r="H2609" s="5" t="str">
        <f aca="false">IF(G2609&lt;&gt;"",G2609,E2609)</f>
        <v>15, 17, PIDGEOTTO</v>
      </c>
    </row>
    <row r="2610" customFormat="false" ht="12.75" hidden="false" customHeight="true" outlineLevel="0" collapsed="false">
      <c r="A2610" s="4" t="s">
        <v>2806</v>
      </c>
      <c r="B2610" s="5" t="n">
        <v>0.05</v>
      </c>
      <c r="C2610" s="1" t="str">
        <f aca="false">IF(B2610="NEW ROUTE",1,"")</f>
        <v/>
      </c>
      <c r="E2610" s="5" t="n">
        <v>0.05</v>
      </c>
      <c r="F2610" s="6" t="e">
        <f aca="false">VLOOKUP(E2610,$K$2:$L$426,2,FALSE())</f>
        <v>#N/A</v>
      </c>
      <c r="G2610" s="1" t="str">
        <f aca="false">IF(ISNA(F2610),"",F2610)</f>
        <v/>
      </c>
      <c r="H2610" s="5" t="n">
        <f aca="false">IF(G2610&lt;&gt;"",G2610,E2610)</f>
        <v>0.05</v>
      </c>
    </row>
    <row r="2611" customFormat="false" ht="12.75" hidden="false" customHeight="true" outlineLevel="0" collapsed="false">
      <c r="A2611" s="4" t="s">
        <v>3593</v>
      </c>
      <c r="B2611" s="5" t="s">
        <v>3593</v>
      </c>
      <c r="C2611" s="1" t="str">
        <f aca="false">IF(B2611="NEW ROUTE",1,"")</f>
        <v/>
      </c>
      <c r="E2611" s="5" t="s">
        <v>3593</v>
      </c>
      <c r="F2611" s="6" t="e">
        <f aca="false">VLOOKUP(E2611,$K$2:$L$426,2,FALSE())</f>
        <v>#N/A</v>
      </c>
      <c r="G2611" s="1" t="str">
        <f aca="false">IF(ISNA(F2611),"",F2611)</f>
        <v/>
      </c>
      <c r="H2611" s="5" t="str">
        <f aca="false">IF(G2611&lt;&gt;"",G2611,E2611)</f>
        <v>16, 16, PIKACHU</v>
      </c>
    </row>
    <row r="2612" customFormat="false" ht="12.75" hidden="false" customHeight="true" outlineLevel="0" collapsed="false">
      <c r="A2612" s="4" t="s">
        <v>3594</v>
      </c>
      <c r="B2612" s="5" t="s">
        <v>3594</v>
      </c>
      <c r="C2612" s="1" t="str">
        <f aca="false">IF(B2612="NEW ROUTE",1,"")</f>
        <v/>
      </c>
      <c r="E2612" s="5" t="s">
        <v>3594</v>
      </c>
      <c r="F2612" s="6" t="e">
        <f aca="false">VLOOKUP(E2612,$K$2:$L$426,2,FALSE())</f>
        <v>#N/A</v>
      </c>
      <c r="G2612" s="1" t="str">
        <f aca="false">IF(ISNA(F2612),"",F2612)</f>
        <v/>
      </c>
      <c r="H2612" s="5" t="str">
        <f aca="false">IF(G2612&lt;&gt;"",G2612,E2612)</f>
        <v>16, 16, ABRA</v>
      </c>
    </row>
    <row r="2613" customFormat="false" ht="12.75" hidden="false" customHeight="true" outlineLevel="0" collapsed="false">
      <c r="A2613" s="4" t="s">
        <v>2809</v>
      </c>
      <c r="B2613" s="5" t="n">
        <v>0.04</v>
      </c>
      <c r="C2613" s="1" t="str">
        <f aca="false">IF(B2613="NEW ROUTE",1,"")</f>
        <v/>
      </c>
      <c r="E2613" s="5" t="n">
        <v>0.04</v>
      </c>
      <c r="F2613" s="6" t="e">
        <f aca="false">VLOOKUP(E2613,$K$2:$L$426,2,FALSE())</f>
        <v>#N/A</v>
      </c>
      <c r="G2613" s="1" t="str">
        <f aca="false">IF(ISNA(F2613),"",F2613)</f>
        <v/>
      </c>
      <c r="H2613" s="5" t="n">
        <f aca="false">IF(G2613&lt;&gt;"",G2613,E2613)</f>
        <v>0.04</v>
      </c>
    </row>
    <row r="2614" customFormat="false" ht="12.75" hidden="false" customHeight="true" outlineLevel="0" collapsed="false">
      <c r="A2614" s="4" t="s">
        <v>3595</v>
      </c>
      <c r="B2614" s="5" t="s">
        <v>3595</v>
      </c>
      <c r="C2614" s="1" t="str">
        <f aca="false">IF(B2614="NEW ROUTE",1,"")</f>
        <v/>
      </c>
      <c r="E2614" s="5" t="s">
        <v>3595</v>
      </c>
      <c r="F2614" s="6" t="e">
        <f aca="false">VLOOKUP(E2614,$K$2:$L$426,2,FALSE())</f>
        <v>#N/A</v>
      </c>
      <c r="G2614" s="1" t="str">
        <f aca="false">IF(ISNA(F2614),"",F2614)</f>
        <v/>
      </c>
      <c r="H2614" s="5" t="str">
        <f aca="false">IF(G2614&lt;&gt;"",G2614,E2614)</f>
        <v>15, 18, VENONAT</v>
      </c>
    </row>
    <row r="2615" customFormat="false" ht="12.75" hidden="false" customHeight="true" outlineLevel="0" collapsed="false">
      <c r="A2615" s="4" t="s">
        <v>3596</v>
      </c>
      <c r="B2615" s="5" t="s">
        <v>3596</v>
      </c>
      <c r="C2615" s="1" t="str">
        <f aca="false">IF(B2615="NEW ROUTE",1,"")</f>
        <v/>
      </c>
      <c r="E2615" s="5" t="s">
        <v>3596</v>
      </c>
      <c r="F2615" s="6" t="e">
        <f aca="false">VLOOKUP(E2615,$K$2:$L$426,2,FALSE())</f>
        <v>#N/A</v>
      </c>
      <c r="G2615" s="1" t="str">
        <f aca="false">IF(ISNA(F2615),"",F2615)</f>
        <v/>
      </c>
      <c r="H2615" s="5" t="str">
        <f aca="false">IF(G2615&lt;&gt;"",G2615,E2615)</f>
        <v>15, 18, GLOOM</v>
      </c>
    </row>
    <row r="2616" customFormat="false" ht="12.75" hidden="false" customHeight="true" outlineLevel="0" collapsed="false">
      <c r="A2616" s="4" t="s">
        <v>2812</v>
      </c>
      <c r="B2616" s="5" t="n">
        <v>0.01</v>
      </c>
      <c r="C2616" s="1" t="str">
        <f aca="false">IF(B2616="NEW ROUTE",1,"")</f>
        <v/>
      </c>
      <c r="E2616" s="5" t="n">
        <v>0.01</v>
      </c>
      <c r="F2616" s="6" t="e">
        <f aca="false">VLOOKUP(E2616,$K$2:$L$426,2,FALSE())</f>
        <v>#N/A</v>
      </c>
      <c r="G2616" s="1" t="str">
        <f aca="false">IF(ISNA(F2616),"",F2616)</f>
        <v/>
      </c>
      <c r="H2616" s="5" t="n">
        <f aca="false">IF(G2616&lt;&gt;"",G2616,E2616)</f>
        <v>0.01</v>
      </c>
    </row>
    <row r="2617" customFormat="false" ht="12.75" hidden="false" customHeight="true" outlineLevel="0" collapsed="false">
      <c r="A2617" s="4" t="s">
        <v>3607</v>
      </c>
      <c r="B2617" s="5" t="s">
        <v>3607</v>
      </c>
      <c r="C2617" s="1" t="str">
        <f aca="false">IF(B2617="NEW ROUTE",1,"")</f>
        <v/>
      </c>
      <c r="E2617" s="5" t="s">
        <v>3607</v>
      </c>
      <c r="F2617" s="6" t="e">
        <f aca="false">VLOOKUP(E2617,$K$2:$L$426,2,FALSE())</f>
        <v>#N/A</v>
      </c>
      <c r="G2617" s="1" t="str">
        <f aca="false">IF(ISNA(F2617),"",F2617)</f>
        <v/>
      </c>
      <c r="H2617" s="5" t="str">
        <f aca="false">IF(G2617&lt;&gt;"",G2617,E2617)</f>
        <v>18, 18, KADABRA</v>
      </c>
    </row>
    <row r="2618" customFormat="false" ht="12.75" hidden="false" customHeight="true" outlineLevel="0" collapsed="false">
      <c r="A2618" s="4" t="s">
        <v>3607</v>
      </c>
      <c r="B2618" s="5" t="s">
        <v>3607</v>
      </c>
      <c r="C2618" s="1" t="str">
        <f aca="false">IF(B2618="NEW ROUTE",1,"")</f>
        <v/>
      </c>
      <c r="E2618" s="5" t="s">
        <v>3607</v>
      </c>
      <c r="F2618" s="6" t="e">
        <f aca="false">VLOOKUP(E2618,$K$2:$L$426,2,FALSE())</f>
        <v>#N/A</v>
      </c>
      <c r="G2618" s="1" t="str">
        <f aca="false">IF(ISNA(F2618),"",F2618)</f>
        <v/>
      </c>
      <c r="H2618" s="5" t="str">
        <f aca="false">IF(G2618&lt;&gt;"",G2618,E2618)</f>
        <v>18, 18, KADABRA</v>
      </c>
    </row>
    <row r="2619" customFormat="false" ht="12.75" hidden="false" customHeight="true" outlineLevel="0" collapsed="false">
      <c r="A2619" s="4" t="s">
        <v>3598</v>
      </c>
      <c r="B2619" s="5" t="s">
        <v>3598</v>
      </c>
      <c r="C2619" s="1" t="str">
        <f aca="false">IF(B2619="NEW ROUTE",1,"")</f>
        <v/>
      </c>
      <c r="E2619" s="5" t="s">
        <v>3598</v>
      </c>
      <c r="F2619" s="6" t="e">
        <f aca="false">VLOOKUP(E2619,$K$2:$L$426,2,FALSE())</f>
        <v>#N/A</v>
      </c>
      <c r="G2619" s="1" t="str">
        <f aca="false">IF(ISNA(F2619),"",F2619)</f>
        <v/>
      </c>
      <c r="H2619" s="5" t="str">
        <f aca="false">IF(G2619&lt;&gt;"",G2619,E2619)</f>
        <v>2, 34, 40, TENTACOOL</v>
      </c>
    </row>
    <row r="2620" customFormat="false" ht="12.75" hidden="false" customHeight="true" outlineLevel="0" collapsed="false">
      <c r="A2620" s="4" t="s">
        <v>3599</v>
      </c>
      <c r="B2620" s="5" t="s">
        <v>3599</v>
      </c>
      <c r="C2620" s="1" t="str">
        <f aca="false">IF(B2620="NEW ROUTE",1,"")</f>
        <v/>
      </c>
      <c r="E2620" s="5" t="s">
        <v>3599</v>
      </c>
      <c r="F2620" s="6" t="e">
        <f aca="false">VLOOKUP(E2620,$K$2:$L$426,2,FALSE())</f>
        <v>#N/A</v>
      </c>
      <c r="G2620" s="1" t="str">
        <f aca="false">IF(ISNA(F2620),"",F2620)</f>
        <v/>
      </c>
      <c r="H2620" s="5" t="str">
        <f aca="false">IF(G2620&lt;&gt;"",G2620,E2620)</f>
        <v>34, 40, PSYDUCK</v>
      </c>
    </row>
    <row r="2621" customFormat="false" ht="12.75" hidden="false" customHeight="true" outlineLevel="0" collapsed="false">
      <c r="A2621" s="4" t="s">
        <v>3600</v>
      </c>
      <c r="B2621" s="5" t="s">
        <v>3600</v>
      </c>
      <c r="C2621" s="1" t="str">
        <f aca="false">IF(B2621="NEW ROUTE",1,"")</f>
        <v/>
      </c>
      <c r="E2621" s="5" t="s">
        <v>3600</v>
      </c>
      <c r="F2621" s="6" t="e">
        <f aca="false">VLOOKUP(E2621,$K$2:$L$426,2,FALSE())</f>
        <v>#N/A</v>
      </c>
      <c r="G2621" s="1" t="str">
        <f aca="false">IF(ISNA(F2621),"",F2621)</f>
        <v/>
      </c>
      <c r="H2621" s="5" t="str">
        <f aca="false">IF(G2621&lt;&gt;"",G2621,E2621)</f>
        <v>36, 42, TENTACRUEL</v>
      </c>
    </row>
    <row r="2622" customFormat="false" ht="12.75" hidden="false" customHeight="true" outlineLevel="0" collapsed="false">
      <c r="A2622" s="4" t="s">
        <v>3532</v>
      </c>
      <c r="B2622" s="5" t="s">
        <v>3532</v>
      </c>
      <c r="C2622" s="1" t="str">
        <f aca="false">IF(B2622="NEW ROUTE",1,"")</f>
        <v/>
      </c>
      <c r="E2622" s="5" t="s">
        <v>3532</v>
      </c>
      <c r="F2622" s="6" t="e">
        <f aca="false">VLOOKUP(E2622,$K$2:$L$426,2,FALSE())</f>
        <v>#N/A</v>
      </c>
      <c r="G2622" s="1" t="str">
        <f aca="false">IF(ISNA(F2622),"",F2622)</f>
        <v/>
      </c>
      <c r="H2622" s="5" t="str">
        <f aca="false">IF(G2622&lt;&gt;"",G2622,E2622)</f>
        <v>39, 42, GOLDUCK</v>
      </c>
    </row>
    <row r="2623" customFormat="false" ht="12.75" hidden="false" customHeight="true" outlineLevel="0" collapsed="false">
      <c r="A2623" s="4" t="s">
        <v>3601</v>
      </c>
      <c r="B2623" s="5" t="s">
        <v>3601</v>
      </c>
      <c r="C2623" s="1" t="str">
        <f aca="false">IF(B2623="NEW ROUTE",1,"")</f>
        <v/>
      </c>
      <c r="E2623" s="5" t="s">
        <v>3601</v>
      </c>
      <c r="F2623" s="6" t="e">
        <f aca="false">VLOOKUP(E2623,$K$2:$L$426,2,FALSE())</f>
        <v>#N/A</v>
      </c>
      <c r="G2623" s="1" t="str">
        <f aca="false">IF(ISNA(F2623),"",F2623)</f>
        <v/>
      </c>
      <c r="H2623" s="5" t="str">
        <f aca="false">IF(G2623&lt;&gt;"",G2623,E2623)</f>
        <v>39, 42, VAPOREON</v>
      </c>
    </row>
    <row r="2624" customFormat="false" ht="12.75" hidden="false" customHeight="true" outlineLevel="0" collapsed="false">
      <c r="A2624" s="4" t="s">
        <v>2925</v>
      </c>
      <c r="B2624" s="5" t="s">
        <v>2925</v>
      </c>
      <c r="C2624" s="1" t="str">
        <f aca="false">IF(B2624="NEW ROUTE",1,"")</f>
        <v/>
      </c>
      <c r="E2624" s="5" t="s">
        <v>2925</v>
      </c>
      <c r="F2624" s="6" t="e">
        <f aca="false">VLOOKUP(E2624,$K$2:$L$426,2,FALSE())</f>
        <v>#N/A</v>
      </c>
      <c r="G2624" s="1" t="str">
        <f aca="false">IF(ISNA(F2624),"",F2624)</f>
        <v/>
      </c>
      <c r="H2624" s="5" t="str">
        <f aca="false">IF(G2624&lt;&gt;"",G2624,E2624)</f>
        <v>20, old rod:</v>
      </c>
    </row>
    <row r="2625" customFormat="false" ht="12.75" hidden="false" customHeight="true" outlineLevel="0" collapsed="false">
      <c r="A2625" s="4" t="s">
        <v>1349</v>
      </c>
      <c r="B2625" s="5" t="s">
        <v>1349</v>
      </c>
      <c r="C2625" s="1" t="str">
        <f aca="false">IF(B2625="NEW ROUTE",1,"")</f>
        <v/>
      </c>
      <c r="E2625" s="5" t="s">
        <v>1349</v>
      </c>
      <c r="F2625" s="6" t="e">
        <f aca="false">VLOOKUP(E2625,$K$2:$L$426,2,FALSE())</f>
        <v>#N/A</v>
      </c>
      <c r="G2625" s="1" t="str">
        <f aca="false">IF(ISNA(F2625),"",F2625)</f>
        <v/>
      </c>
      <c r="H2625" s="5" t="str">
        <f aca="false">IF(G2625&lt;&gt;"",G2625,E2625)</f>
        <v>19, 26, MAGIKARP</v>
      </c>
    </row>
    <row r="2626" customFormat="false" ht="12.75" hidden="false" customHeight="true" outlineLevel="0" collapsed="false">
      <c r="A2626" s="4" t="s">
        <v>3352</v>
      </c>
      <c r="B2626" s="5" t="s">
        <v>3352</v>
      </c>
      <c r="C2626" s="1" t="str">
        <f aca="false">IF(B2626="NEW ROUTE",1,"")</f>
        <v/>
      </c>
      <c r="E2626" s="5" t="s">
        <v>3352</v>
      </c>
      <c r="F2626" s="6" t="e">
        <f aca="false">VLOOKUP(E2626,$K$2:$L$426,2,FALSE())</f>
        <v>#N/A</v>
      </c>
      <c r="G2626" s="1" t="str">
        <f aca="false">IF(ISNA(F2626),"",F2626)</f>
        <v/>
      </c>
      <c r="H2626" s="5" t="str">
        <f aca="false">IF(G2626&lt;&gt;"",G2626,E2626)</f>
        <v>19, 26, GYARADOS</v>
      </c>
    </row>
    <row r="2627" customFormat="false" ht="12.75" hidden="false" customHeight="true" outlineLevel="0" collapsed="false">
      <c r="A2627" s="4" t="s">
        <v>2846</v>
      </c>
      <c r="B2627" s="5" t="s">
        <v>2846</v>
      </c>
      <c r="C2627" s="1" t="str">
        <f aca="false">IF(B2627="NEW ROUTE",1,"")</f>
        <v/>
      </c>
      <c r="E2627" s="5" t="s">
        <v>2846</v>
      </c>
      <c r="F2627" s="6" t="e">
        <f aca="false">VLOOKUP(E2627,$K$2:$L$426,2,FALSE())</f>
        <v>#N/A</v>
      </c>
      <c r="G2627" s="1" t="str">
        <f aca="false">IF(ISNA(F2627),"",F2627)</f>
        <v/>
      </c>
      <c r="H2627" s="5" t="str">
        <f aca="false">IF(G2627&lt;&gt;"",G2627,E2627)</f>
        <v>good rod:</v>
      </c>
    </row>
    <row r="2628" customFormat="false" ht="12.75" hidden="false" customHeight="true" outlineLevel="0" collapsed="false">
      <c r="A2628" s="4" t="s">
        <v>3353</v>
      </c>
      <c r="B2628" s="5" t="s">
        <v>3353</v>
      </c>
      <c r="C2628" s="1" t="str">
        <f aca="false">IF(B2628="NEW ROUTE",1,"")</f>
        <v/>
      </c>
      <c r="E2628" s="5" t="s">
        <v>3353</v>
      </c>
      <c r="F2628" s="6" t="e">
        <f aca="false">VLOOKUP(E2628,$K$2:$L$426,2,FALSE())</f>
        <v>#N/A</v>
      </c>
      <c r="G2628" s="1" t="str">
        <f aca="false">IF(ISNA(F2628),"",F2628)</f>
        <v/>
      </c>
      <c r="H2628" s="5" t="str">
        <f aca="false">IF(G2628&lt;&gt;"",G2628,E2628)</f>
        <v>29, 33, SLOWPOKE</v>
      </c>
    </row>
    <row r="2629" customFormat="false" ht="12.75" hidden="false" customHeight="true" outlineLevel="0" collapsed="false">
      <c r="A2629" s="4" t="s">
        <v>3027</v>
      </c>
      <c r="B2629" s="5" t="s">
        <v>3027</v>
      </c>
      <c r="C2629" s="1" t="str">
        <f aca="false">IF(B2629="NEW ROUTE",1,"")</f>
        <v/>
      </c>
      <c r="E2629" s="5" t="s">
        <v>3027</v>
      </c>
      <c r="F2629" s="6" t="e">
        <f aca="false">VLOOKUP(E2629,$K$2:$L$426,2,FALSE())</f>
        <v>#N/A</v>
      </c>
      <c r="G2629" s="1" t="str">
        <f aca="false">IF(ISNA(F2629),"",F2629)</f>
        <v/>
      </c>
      <c r="H2629" s="5" t="str">
        <f aca="false">IF(G2629&lt;&gt;"",G2629,E2629)</f>
        <v>30, 35, KRABBY</v>
      </c>
    </row>
    <row r="2630" customFormat="false" ht="12.75" hidden="false" customHeight="true" outlineLevel="0" collapsed="false">
      <c r="A2630" s="4" t="s">
        <v>3354</v>
      </c>
      <c r="B2630" s="5" t="s">
        <v>3354</v>
      </c>
      <c r="C2630" s="1" t="str">
        <f aca="false">IF(B2630="NEW ROUTE",1,"")</f>
        <v/>
      </c>
      <c r="E2630" s="5" t="s">
        <v>3354</v>
      </c>
      <c r="F2630" s="6" t="e">
        <f aca="false">VLOOKUP(E2630,$K$2:$L$426,2,FALSE())</f>
        <v>#N/A</v>
      </c>
      <c r="G2630" s="1" t="str">
        <f aca="false">IF(ISNA(F2630),"",F2630)</f>
        <v/>
      </c>
      <c r="H2630" s="5" t="str">
        <f aca="false">IF(G2630&lt;&gt;"",G2630,E2630)</f>
        <v>30, 35, PSYDUCK</v>
      </c>
    </row>
    <row r="2631" customFormat="false" ht="12.75" hidden="false" customHeight="true" outlineLevel="0" collapsed="false">
      <c r="A2631" s="4" t="s">
        <v>2850</v>
      </c>
      <c r="B2631" s="5" t="s">
        <v>2850</v>
      </c>
      <c r="C2631" s="1" t="str">
        <f aca="false">IF(B2631="NEW ROUTE",1,"")</f>
        <v/>
      </c>
      <c r="E2631" s="5" t="s">
        <v>2850</v>
      </c>
      <c r="F2631" s="6" t="e">
        <f aca="false">VLOOKUP(E2631,$K$2:$L$426,2,FALSE())</f>
        <v>#N/A</v>
      </c>
      <c r="G2631" s="1" t="str">
        <f aca="false">IF(ISNA(F2631),"",F2631)</f>
        <v/>
      </c>
      <c r="H2631" s="5" t="str">
        <f aca="false">IF(G2631&lt;&gt;"",G2631,E2631)</f>
        <v>super rod:</v>
      </c>
    </row>
    <row r="2632" customFormat="false" ht="12.75" hidden="false" customHeight="true" outlineLevel="0" collapsed="false">
      <c r="A2632" s="4" t="s">
        <v>3355</v>
      </c>
      <c r="B2632" s="5" t="s">
        <v>3355</v>
      </c>
      <c r="C2632" s="1" t="str">
        <f aca="false">IF(B2632="NEW ROUTE",1,"")</f>
        <v/>
      </c>
      <c r="E2632" s="5" t="s">
        <v>3355</v>
      </c>
      <c r="F2632" s="6" t="e">
        <f aca="false">VLOOKUP(E2632,$K$2:$L$426,2,FALSE())</f>
        <v>#N/A</v>
      </c>
      <c r="G2632" s="1" t="str">
        <f aca="false">IF(ISNA(F2632),"",F2632)</f>
        <v/>
      </c>
      <c r="H2632" s="5" t="str">
        <f aca="false">IF(G2632&lt;&gt;"",G2632,E2632)</f>
        <v>36, 40, SLOWBRO</v>
      </c>
    </row>
    <row r="2633" customFormat="false" ht="12.75" hidden="false" customHeight="true" outlineLevel="0" collapsed="false">
      <c r="A2633" s="4" t="s">
        <v>3356</v>
      </c>
      <c r="B2633" s="5" t="s">
        <v>3356</v>
      </c>
      <c r="C2633" s="1" t="str">
        <f aca="false">IF(B2633="NEW ROUTE",1,"")</f>
        <v/>
      </c>
      <c r="E2633" s="5" t="s">
        <v>3356</v>
      </c>
      <c r="F2633" s="6" t="e">
        <f aca="false">VLOOKUP(E2633,$K$2:$L$426,2,FALSE())</f>
        <v>#N/A</v>
      </c>
      <c r="G2633" s="1" t="str">
        <f aca="false">IF(ISNA(F2633),"",F2633)</f>
        <v/>
      </c>
      <c r="H2633" s="5" t="str">
        <f aca="false">IF(G2633&lt;&gt;"",G2633,E2633)</f>
        <v>36, 40, GYARADOS</v>
      </c>
    </row>
    <row r="2634" customFormat="false" ht="12.75" hidden="false" customHeight="true" outlineLevel="0" collapsed="false">
      <c r="A2634" s="4" t="s">
        <v>3357</v>
      </c>
      <c r="B2634" s="5" t="s">
        <v>3357</v>
      </c>
      <c r="C2634" s="1" t="str">
        <f aca="false">IF(B2634="NEW ROUTE",1,"")</f>
        <v/>
      </c>
      <c r="E2634" s="5" t="s">
        <v>3357</v>
      </c>
      <c r="F2634" s="6" t="e">
        <f aca="false">VLOOKUP(E2634,$K$2:$L$426,2,FALSE())</f>
        <v>#N/A</v>
      </c>
      <c r="G2634" s="1" t="str">
        <f aca="false">IF(ISNA(F2634),"",F2634)</f>
        <v/>
      </c>
      <c r="H2634" s="5" t="str">
        <f aca="false">IF(G2634&lt;&gt;"",G2634,E2634)</f>
        <v>38, 42, GOLDUCK</v>
      </c>
    </row>
    <row r="2635" customFormat="false" ht="12.75" hidden="false" customHeight="true" outlineLevel="0" collapsed="false">
      <c r="A2635" s="4" t="s">
        <v>3358</v>
      </c>
      <c r="B2635" s="5" t="s">
        <v>3358</v>
      </c>
      <c r="C2635" s="1" t="str">
        <f aca="false">IF(B2635="NEW ROUTE",1,"")</f>
        <v/>
      </c>
      <c r="E2635" s="5" t="s">
        <v>3358</v>
      </c>
      <c r="F2635" s="6" t="e">
        <f aca="false">VLOOKUP(E2635,$K$2:$L$426,2,FALSE())</f>
        <v>#N/A</v>
      </c>
      <c r="G2635" s="1" t="str">
        <f aca="false">IF(ISNA(F2635),"",F2635)</f>
        <v/>
      </c>
      <c r="H2635" s="5" t="str">
        <f aca="false">IF(G2635&lt;&gt;"",G2635,E2635)</f>
        <v>38, 42, KINGLER</v>
      </c>
    </row>
    <row r="2636" customFormat="false" ht="12.75" hidden="false" customHeight="true" outlineLevel="0" collapsed="false">
      <c r="A2636" s="4" t="s">
        <v>3359</v>
      </c>
      <c r="B2636" s="5" t="s">
        <v>3359</v>
      </c>
      <c r="C2636" s="1" t="str">
        <f aca="false">IF(B2636="NEW ROUTE",1,"")</f>
        <v/>
      </c>
      <c r="E2636" s="5" t="s">
        <v>3359</v>
      </c>
      <c r="F2636" s="6" t="e">
        <f aca="false">VLOOKUP(E2636,$K$2:$L$426,2,FALSE())</f>
        <v>#N/A</v>
      </c>
      <c r="G2636" s="1" t="str">
        <f aca="false">IF(ISNA(F2636),"",F2636)</f>
        <v/>
      </c>
      <c r="H2636" s="5" t="str">
        <f aca="false">IF(G2636&lt;&gt;"",G2636,E2636)</f>
        <v>40, 44, SLOWMATE</v>
      </c>
    </row>
    <row r="2637" customFormat="false" ht="12.75" hidden="false" customHeight="true" outlineLevel="0" collapsed="false">
      <c r="A2637" s="4" t="s">
        <v>2536</v>
      </c>
      <c r="B2637" s="5" t="s">
        <v>2536</v>
      </c>
      <c r="C2637" s="1" t="n">
        <f aca="false">IF(B2637="NEW ROUTE",1,"")</f>
        <v>1</v>
      </c>
      <c r="E2637" s="5" t="s">
        <v>2536</v>
      </c>
      <c r="F2637" s="6" t="e">
        <f aca="false">VLOOKUP(E2637,$K$2:$L$426,2,FALSE())</f>
        <v>#N/A</v>
      </c>
      <c r="G2637" s="1" t="str">
        <f aca="false">IF(ISNA(F2637),"",F2637)</f>
        <v/>
      </c>
      <c r="H2637" s="5" t="str">
        <f aca="false">IF(G2637&lt;&gt;"",G2637,E2637)</f>
        <v>NEW ROUTE</v>
      </c>
    </row>
    <row r="2638" customFormat="false" ht="12.75" hidden="false" customHeight="true" outlineLevel="0" collapsed="false">
      <c r="A2638" s="4" t="s">
        <v>378</v>
      </c>
      <c r="B2638" s="5" t="s">
        <v>378</v>
      </c>
      <c r="C2638" s="1" t="str">
        <f aca="false">IF(B2638="NEW ROUTE",1,"")</f>
        <v/>
      </c>
      <c r="E2638" s="5" t="s">
        <v>378</v>
      </c>
      <c r="F2638" s="6" t="str">
        <f aca="false">VLOOKUP(E2638,$K$2:$L$426,2,FALSE())</f>
        <v>Pallet Town</v>
      </c>
      <c r="G2638" s="1" t="str">
        <f aca="false">IF(ISNA(F2638),"",F2638)</f>
        <v>Pallet Town</v>
      </c>
      <c r="H2638" s="5" t="str">
        <f aca="false">IF(G2638&lt;&gt;"",G2638,E2638)</f>
        <v>Pallet Town</v>
      </c>
    </row>
    <row r="2639" customFormat="false" ht="12.75" hidden="false" customHeight="true" outlineLevel="0" collapsed="false">
      <c r="A2639" s="4" t="s">
        <v>3609</v>
      </c>
      <c r="B2639" s="5" t="s">
        <v>3609</v>
      </c>
      <c r="C2639" s="1" t="str">
        <f aca="false">IF(B2639="NEW ROUTE",1,"")</f>
        <v/>
      </c>
      <c r="E2639" s="5" t="s">
        <v>3609</v>
      </c>
      <c r="F2639" s="6" t="e">
        <f aca="false">VLOOKUP(E2639,$K$2:$L$426,2,FALSE())</f>
        <v>#N/A</v>
      </c>
      <c r="G2639" s="1" t="str">
        <f aca="false">IF(ISNA(F2639),"",F2639)</f>
        <v/>
      </c>
      <c r="H2639" s="5" t="str">
        <f aca="false">IF(G2639&lt;&gt;"",G2639,E2639)</f>
        <v>1, 38, 42, TENTACOOL</v>
      </c>
    </row>
    <row r="2640" customFormat="false" ht="12.75" hidden="false" customHeight="true" outlineLevel="0" collapsed="false">
      <c r="A2640" s="4" t="s">
        <v>3428</v>
      </c>
      <c r="B2640" s="5" t="s">
        <v>3428</v>
      </c>
      <c r="C2640" s="1" t="str">
        <f aca="false">IF(B2640="NEW ROUTE",1,"")</f>
        <v/>
      </c>
      <c r="E2640" s="5" t="s">
        <v>3428</v>
      </c>
      <c r="F2640" s="6" t="e">
        <f aca="false">VLOOKUP(E2640,$K$2:$L$426,2,FALSE())</f>
        <v>#N/A</v>
      </c>
      <c r="G2640" s="1" t="str">
        <f aca="false">IF(ISNA(F2640),"",F2640)</f>
        <v/>
      </c>
      <c r="H2640" s="5" t="str">
        <f aca="false">IF(G2640&lt;&gt;"",G2640,E2640)</f>
        <v>40, 44, TENTACRUEL</v>
      </c>
    </row>
    <row r="2641" customFormat="false" ht="12.75" hidden="false" customHeight="true" outlineLevel="0" collapsed="false">
      <c r="A2641" s="4" t="s">
        <v>3024</v>
      </c>
      <c r="B2641" s="5" t="s">
        <v>3024</v>
      </c>
      <c r="C2641" s="1" t="str">
        <f aca="false">IF(B2641="NEW ROUTE",1,"")</f>
        <v/>
      </c>
      <c r="E2641" s="5" t="s">
        <v>3024</v>
      </c>
      <c r="F2641" s="6" t="e">
        <f aca="false">VLOOKUP(E2641,$K$2:$L$426,2,FALSE())</f>
        <v>#N/A</v>
      </c>
      <c r="G2641" s="1" t="str">
        <f aca="false">IF(ISNA(F2641),"",F2641)</f>
        <v/>
      </c>
      <c r="H2641" s="5" t="str">
        <f aca="false">IF(G2641&lt;&gt;"",G2641,E2641)</f>
        <v>42, 46, LAPRAS</v>
      </c>
    </row>
    <row r="2642" customFormat="false" ht="12.75" hidden="false" customHeight="true" outlineLevel="0" collapsed="false">
      <c r="A2642" s="4" t="s">
        <v>3429</v>
      </c>
      <c r="B2642" s="5" t="s">
        <v>3429</v>
      </c>
      <c r="C2642" s="1" t="str">
        <f aca="false">IF(B2642="NEW ROUTE",1,"")</f>
        <v/>
      </c>
      <c r="E2642" s="5" t="s">
        <v>3429</v>
      </c>
      <c r="F2642" s="6" t="e">
        <f aca="false">VLOOKUP(E2642,$K$2:$L$426,2,FALSE())</f>
        <v>#N/A</v>
      </c>
      <c r="G2642" s="1" t="str">
        <f aca="false">IF(ISNA(F2642),"",F2642)</f>
        <v/>
      </c>
      <c r="H2642" s="5" t="str">
        <f aca="false">IF(G2642&lt;&gt;"",G2642,E2642)</f>
        <v>42, 46, TENTACATE</v>
      </c>
    </row>
    <row r="2643" customFormat="false" ht="12.75" hidden="false" customHeight="true" outlineLevel="0" collapsed="false">
      <c r="A2643" s="4" t="s">
        <v>3449</v>
      </c>
      <c r="B2643" s="5" t="s">
        <v>3449</v>
      </c>
      <c r="C2643" s="1" t="str">
        <f aca="false">IF(B2643="NEW ROUTE",1,"")</f>
        <v/>
      </c>
      <c r="E2643" s="5" t="s">
        <v>3449</v>
      </c>
      <c r="F2643" s="6" t="e">
        <f aca="false">VLOOKUP(E2643,$K$2:$L$426,2,FALSE())</f>
        <v>#N/A</v>
      </c>
      <c r="G2643" s="1" t="str">
        <f aca="false">IF(ISNA(F2643),"",F2643)</f>
        <v/>
      </c>
      <c r="H2643" s="5" t="str">
        <f aca="false">IF(G2643&lt;&gt;"",G2643,E2643)</f>
        <v>44, 48, LOCHLASS</v>
      </c>
    </row>
    <row r="2644" customFormat="false" ht="12.75" hidden="false" customHeight="true" outlineLevel="0" collapsed="false">
      <c r="A2644" s="4" t="s">
        <v>2845</v>
      </c>
      <c r="B2644" s="5" t="s">
        <v>2845</v>
      </c>
      <c r="C2644" s="1" t="str">
        <f aca="false">IF(B2644="NEW ROUTE",1,"")</f>
        <v/>
      </c>
      <c r="E2644" s="5" t="s">
        <v>2845</v>
      </c>
      <c r="F2644" s="6" t="e">
        <f aca="false">VLOOKUP(E2644,$K$2:$L$426,2,FALSE())</f>
        <v>#N/A</v>
      </c>
      <c r="G2644" s="1" t="str">
        <f aca="false">IF(ISNA(F2644),"",F2644)</f>
        <v/>
      </c>
      <c r="H2644" s="5" t="str">
        <f aca="false">IF(G2644&lt;&gt;"",G2644,E2644)</f>
        <v>10, old rod:</v>
      </c>
    </row>
    <row r="2645" customFormat="false" ht="12.75" hidden="false" customHeight="true" outlineLevel="0" collapsed="false">
      <c r="A2645" s="4" t="s">
        <v>1349</v>
      </c>
      <c r="B2645" s="5" t="s">
        <v>1349</v>
      </c>
      <c r="C2645" s="1" t="str">
        <f aca="false">IF(B2645="NEW ROUTE",1,"")</f>
        <v/>
      </c>
      <c r="E2645" s="5" t="s">
        <v>1349</v>
      </c>
      <c r="F2645" s="6" t="e">
        <f aca="false">VLOOKUP(E2645,$K$2:$L$426,2,FALSE())</f>
        <v>#N/A</v>
      </c>
      <c r="G2645" s="1" t="str">
        <f aca="false">IF(ISNA(F2645),"",F2645)</f>
        <v/>
      </c>
      <c r="H2645" s="5" t="str">
        <f aca="false">IF(G2645&lt;&gt;"",G2645,E2645)</f>
        <v>19, 26, MAGIKARP</v>
      </c>
    </row>
    <row r="2646" customFormat="false" ht="12.75" hidden="false" customHeight="true" outlineLevel="0" collapsed="false">
      <c r="A2646" s="4" t="s">
        <v>3352</v>
      </c>
      <c r="B2646" s="5" t="s">
        <v>3352</v>
      </c>
      <c r="C2646" s="1" t="str">
        <f aca="false">IF(B2646="NEW ROUTE",1,"")</f>
        <v/>
      </c>
      <c r="E2646" s="5" t="s">
        <v>3352</v>
      </c>
      <c r="F2646" s="6" t="e">
        <f aca="false">VLOOKUP(E2646,$K$2:$L$426,2,FALSE())</f>
        <v>#N/A</v>
      </c>
      <c r="G2646" s="1" t="str">
        <f aca="false">IF(ISNA(F2646),"",F2646)</f>
        <v/>
      </c>
      <c r="H2646" s="5" t="str">
        <f aca="false">IF(G2646&lt;&gt;"",G2646,E2646)</f>
        <v>19, 26, GYARADOS</v>
      </c>
    </row>
    <row r="2647" customFormat="false" ht="12.75" hidden="false" customHeight="true" outlineLevel="0" collapsed="false">
      <c r="A2647" s="4" t="s">
        <v>2846</v>
      </c>
      <c r="B2647" s="5" t="s">
        <v>2846</v>
      </c>
      <c r="C2647" s="1" t="str">
        <f aca="false">IF(B2647="NEW ROUTE",1,"")</f>
        <v/>
      </c>
      <c r="E2647" s="5" t="s">
        <v>2846</v>
      </c>
      <c r="F2647" s="6" t="e">
        <f aca="false">VLOOKUP(E2647,$K$2:$L$426,2,FALSE())</f>
        <v>#N/A</v>
      </c>
      <c r="G2647" s="1" t="str">
        <f aca="false">IF(ISNA(F2647),"",F2647)</f>
        <v/>
      </c>
      <c r="H2647" s="5" t="str">
        <f aca="false">IF(G2647&lt;&gt;"",G2647,E2647)</f>
        <v>good rod:</v>
      </c>
    </row>
    <row r="2648" customFormat="false" ht="12.75" hidden="false" customHeight="true" outlineLevel="0" collapsed="false">
      <c r="A2648" s="4" t="s">
        <v>3430</v>
      </c>
      <c r="B2648" s="5" t="s">
        <v>3430</v>
      </c>
      <c r="C2648" s="1" t="str">
        <f aca="false">IF(B2648="NEW ROUTE",1,"")</f>
        <v/>
      </c>
      <c r="E2648" s="5" t="s">
        <v>3430</v>
      </c>
      <c r="F2648" s="6" t="e">
        <f aca="false">VLOOKUP(E2648,$K$2:$L$426,2,FALSE())</f>
        <v>#N/A</v>
      </c>
      <c r="G2648" s="1" t="str">
        <f aca="false">IF(ISNA(F2648),"",F2648)</f>
        <v/>
      </c>
      <c r="H2648" s="5" t="str">
        <f aca="false">IF(G2648&lt;&gt;"",G2648,E2648)</f>
        <v>29, 33, HORSEA</v>
      </c>
    </row>
    <row r="2649" customFormat="false" ht="12.75" hidden="false" customHeight="true" outlineLevel="0" collapsed="false">
      <c r="A2649" s="4" t="s">
        <v>3027</v>
      </c>
      <c r="B2649" s="5" t="s">
        <v>3027</v>
      </c>
      <c r="C2649" s="1" t="str">
        <f aca="false">IF(B2649="NEW ROUTE",1,"")</f>
        <v/>
      </c>
      <c r="E2649" s="5" t="s">
        <v>3027</v>
      </c>
      <c r="F2649" s="6" t="e">
        <f aca="false">VLOOKUP(E2649,$K$2:$L$426,2,FALSE())</f>
        <v>#N/A</v>
      </c>
      <c r="G2649" s="1" t="str">
        <f aca="false">IF(ISNA(F2649),"",F2649)</f>
        <v/>
      </c>
      <c r="H2649" s="5" t="str">
        <f aca="false">IF(G2649&lt;&gt;"",G2649,E2649)</f>
        <v>30, 35, KRABBY</v>
      </c>
    </row>
    <row r="2650" customFormat="false" ht="12.75" hidden="false" customHeight="true" outlineLevel="0" collapsed="false">
      <c r="A2650" s="4" t="s">
        <v>3451</v>
      </c>
      <c r="B2650" s="5" t="s">
        <v>3451</v>
      </c>
      <c r="C2650" s="1" t="str">
        <f aca="false">IF(B2650="NEW ROUTE",1,"")</f>
        <v/>
      </c>
      <c r="E2650" s="5" t="s">
        <v>3451</v>
      </c>
      <c r="F2650" s="6" t="e">
        <f aca="false">VLOOKUP(E2650,$K$2:$L$426,2,FALSE())</f>
        <v>#N/A</v>
      </c>
      <c r="G2650" s="1" t="str">
        <f aca="false">IF(ISNA(F2650),"",F2650)</f>
        <v/>
      </c>
      <c r="H2650" s="5" t="str">
        <f aca="false">IF(G2650&lt;&gt;"",G2650,E2650)</f>
        <v>30, 35, STARYU</v>
      </c>
    </row>
    <row r="2651" customFormat="false" ht="12.75" hidden="false" customHeight="true" outlineLevel="0" collapsed="false">
      <c r="A2651" s="4" t="s">
        <v>2850</v>
      </c>
      <c r="B2651" s="5" t="s">
        <v>2850</v>
      </c>
      <c r="C2651" s="1" t="str">
        <f aca="false">IF(B2651="NEW ROUTE",1,"")</f>
        <v/>
      </c>
      <c r="E2651" s="5" t="s">
        <v>2850</v>
      </c>
      <c r="F2651" s="6" t="e">
        <f aca="false">VLOOKUP(E2651,$K$2:$L$426,2,FALSE())</f>
        <v>#N/A</v>
      </c>
      <c r="G2651" s="1" t="str">
        <f aca="false">IF(ISNA(F2651),"",F2651)</f>
        <v/>
      </c>
      <c r="H2651" s="5" t="str">
        <f aca="false">IF(G2651&lt;&gt;"",G2651,E2651)</f>
        <v>super rod:</v>
      </c>
    </row>
    <row r="2652" customFormat="false" ht="12.75" hidden="false" customHeight="true" outlineLevel="0" collapsed="false">
      <c r="A2652" s="4" t="s">
        <v>3432</v>
      </c>
      <c r="B2652" s="5" t="s">
        <v>3432</v>
      </c>
      <c r="C2652" s="1" t="str">
        <f aca="false">IF(B2652="NEW ROUTE",1,"")</f>
        <v/>
      </c>
      <c r="E2652" s="5" t="s">
        <v>3432</v>
      </c>
      <c r="F2652" s="6" t="e">
        <f aca="false">VLOOKUP(E2652,$K$2:$L$426,2,FALSE())</f>
        <v>#N/A</v>
      </c>
      <c r="G2652" s="1" t="str">
        <f aca="false">IF(ISNA(F2652),"",F2652)</f>
        <v/>
      </c>
      <c r="H2652" s="5" t="str">
        <f aca="false">IF(G2652&lt;&gt;"",G2652,E2652)</f>
        <v>36, 40, SEADRA</v>
      </c>
    </row>
    <row r="2653" customFormat="false" ht="12.75" hidden="false" customHeight="true" outlineLevel="0" collapsed="false">
      <c r="A2653" s="4" t="s">
        <v>3356</v>
      </c>
      <c r="B2653" s="5" t="s">
        <v>3356</v>
      </c>
      <c r="C2653" s="1" t="str">
        <f aca="false">IF(B2653="NEW ROUTE",1,"")</f>
        <v/>
      </c>
      <c r="E2653" s="5" t="s">
        <v>3356</v>
      </c>
      <c r="F2653" s="6" t="e">
        <f aca="false">VLOOKUP(E2653,$K$2:$L$426,2,FALSE())</f>
        <v>#N/A</v>
      </c>
      <c r="G2653" s="1" t="str">
        <f aca="false">IF(ISNA(F2653),"",F2653)</f>
        <v/>
      </c>
      <c r="H2653" s="5" t="str">
        <f aca="false">IF(G2653&lt;&gt;"",G2653,E2653)</f>
        <v>36, 40, GYARADOS</v>
      </c>
    </row>
    <row r="2654" customFormat="false" ht="12.75" hidden="false" customHeight="true" outlineLevel="0" collapsed="false">
      <c r="A2654" s="4" t="s">
        <v>3452</v>
      </c>
      <c r="B2654" s="5" t="s">
        <v>3452</v>
      </c>
      <c r="C2654" s="1" t="str">
        <f aca="false">IF(B2654="NEW ROUTE",1,"")</f>
        <v/>
      </c>
      <c r="E2654" s="5" t="s">
        <v>3452</v>
      </c>
      <c r="F2654" s="6" t="e">
        <f aca="false">VLOOKUP(E2654,$K$2:$L$426,2,FALSE())</f>
        <v>#N/A</v>
      </c>
      <c r="G2654" s="1" t="str">
        <f aca="false">IF(ISNA(F2654),"",F2654)</f>
        <v/>
      </c>
      <c r="H2654" s="5" t="str">
        <f aca="false">IF(G2654&lt;&gt;"",G2654,E2654)</f>
        <v>38, 42, STARMIE</v>
      </c>
    </row>
    <row r="2655" customFormat="false" ht="12.75" hidden="false" customHeight="true" outlineLevel="0" collapsed="false">
      <c r="A2655" s="4" t="s">
        <v>3358</v>
      </c>
      <c r="B2655" s="5" t="s">
        <v>3358</v>
      </c>
      <c r="C2655" s="1" t="str">
        <f aca="false">IF(B2655="NEW ROUTE",1,"")</f>
        <v/>
      </c>
      <c r="E2655" s="5" t="s">
        <v>3358</v>
      </c>
      <c r="F2655" s="6" t="e">
        <f aca="false">VLOOKUP(E2655,$K$2:$L$426,2,FALSE())</f>
        <v>#N/A</v>
      </c>
      <c r="G2655" s="1" t="str">
        <f aca="false">IF(ISNA(F2655),"",F2655)</f>
        <v/>
      </c>
      <c r="H2655" s="5" t="str">
        <f aca="false">IF(G2655&lt;&gt;"",G2655,E2655)</f>
        <v>38, 42, KINGLER</v>
      </c>
    </row>
    <row r="2656" customFormat="false" ht="12.75" hidden="false" customHeight="true" outlineLevel="0" collapsed="false">
      <c r="A2656" s="4" t="s">
        <v>3610</v>
      </c>
      <c r="B2656" s="5" t="s">
        <v>3610</v>
      </c>
      <c r="C2656" s="1" t="str">
        <f aca="false">IF(B2656="NEW ROUTE",1,"")</f>
        <v/>
      </c>
      <c r="E2656" s="5" t="s">
        <v>3610</v>
      </c>
      <c r="F2656" s="6" t="e">
        <f aca="false">VLOOKUP(E2656,$K$2:$L$426,2,FALSE())</f>
        <v>#N/A</v>
      </c>
      <c r="G2656" s="1" t="str">
        <f aca="false">IF(ISNA(F2656),"",F2656)</f>
        <v/>
      </c>
      <c r="H2656" s="5" t="str">
        <f aca="false">IF(G2656&lt;&gt;"",G2656,E2656)</f>
        <v>40, 44, STARUS</v>
      </c>
    </row>
    <row r="2657" customFormat="false" ht="12.75" hidden="false" customHeight="true" outlineLevel="0" collapsed="false">
      <c r="A2657" s="4" t="s">
        <v>2536</v>
      </c>
      <c r="B2657" s="5" t="s">
        <v>2536</v>
      </c>
      <c r="C2657" s="1" t="n">
        <f aca="false">IF(B2657="NEW ROUTE",1,"")</f>
        <v>1</v>
      </c>
      <c r="E2657" s="5" t="s">
        <v>2536</v>
      </c>
      <c r="F2657" s="6" t="e">
        <f aca="false">VLOOKUP(E2657,$K$2:$L$426,2,FALSE())</f>
        <v>#N/A</v>
      </c>
      <c r="G2657" s="1" t="str">
        <f aca="false">IF(ISNA(F2657),"",F2657)</f>
        <v/>
      </c>
      <c r="H2657" s="5" t="str">
        <f aca="false">IF(G2657&lt;&gt;"",G2657,E2657)</f>
        <v>NEW ROUTE</v>
      </c>
    </row>
    <row r="2658" customFormat="false" ht="12.75" hidden="false" customHeight="true" outlineLevel="0" collapsed="false">
      <c r="A2658" s="4" t="s">
        <v>380</v>
      </c>
      <c r="B2658" s="5" t="s">
        <v>380</v>
      </c>
      <c r="C2658" s="1" t="str">
        <f aca="false">IF(B2658="NEW ROUTE",1,"")</f>
        <v/>
      </c>
      <c r="E2658" s="5" t="s">
        <v>380</v>
      </c>
      <c r="F2658" s="6" t="str">
        <f aca="false">VLOOKUP(E2658,$K$2:$L$426,2,FALSE())</f>
        <v>Viridian City</v>
      </c>
      <c r="G2658" s="1" t="str">
        <f aca="false">IF(ISNA(F2658),"",F2658)</f>
        <v>Viridian City</v>
      </c>
      <c r="H2658" s="5" t="str">
        <f aca="false">IF(G2658&lt;&gt;"",G2658,E2658)</f>
        <v>Viridian City</v>
      </c>
    </row>
    <row r="2659" customFormat="false" ht="12.75" hidden="false" customHeight="true" outlineLevel="0" collapsed="false">
      <c r="A2659" s="4" t="s">
        <v>3612</v>
      </c>
      <c r="B2659" s="5" t="s">
        <v>3612</v>
      </c>
      <c r="C2659" s="1" t="str">
        <f aca="false">IF(B2659="NEW ROUTE",1,"")</f>
        <v/>
      </c>
      <c r="E2659" s="5" t="s">
        <v>3612</v>
      </c>
      <c r="F2659" s="6" t="e">
        <f aca="false">VLOOKUP(E2659,$K$2:$L$426,2,FALSE())</f>
        <v>#N/A</v>
      </c>
      <c r="G2659" s="1" t="str">
        <f aca="false">IF(ISNA(F2659),"",F2659)</f>
        <v/>
      </c>
      <c r="H2659" s="5" t="str">
        <f aca="false">IF(G2659&lt;&gt;"",G2659,E2659)</f>
        <v>1, 38, 42, PSYDUCK</v>
      </c>
    </row>
    <row r="2660" customFormat="false" ht="12.75" hidden="false" customHeight="true" outlineLevel="0" collapsed="false">
      <c r="A2660" s="4" t="s">
        <v>3374</v>
      </c>
      <c r="B2660" s="5" t="s">
        <v>3374</v>
      </c>
      <c r="C2660" s="1" t="str">
        <f aca="false">IF(B2660="NEW ROUTE",1,"")</f>
        <v/>
      </c>
      <c r="E2660" s="5" t="s">
        <v>3374</v>
      </c>
      <c r="F2660" s="6" t="e">
        <f aca="false">VLOOKUP(E2660,$K$2:$L$426,2,FALSE())</f>
        <v>#N/A</v>
      </c>
      <c r="G2660" s="1" t="str">
        <f aca="false">IF(ISNA(F2660),"",F2660)</f>
        <v/>
      </c>
      <c r="H2660" s="5" t="str">
        <f aca="false">IF(G2660&lt;&gt;"",G2660,E2660)</f>
        <v>40, 44, SLOWPOKE</v>
      </c>
    </row>
    <row r="2661" customFormat="false" ht="12.75" hidden="false" customHeight="true" outlineLevel="0" collapsed="false">
      <c r="A2661" s="4" t="s">
        <v>2923</v>
      </c>
      <c r="B2661" s="5" t="s">
        <v>2923</v>
      </c>
      <c r="C2661" s="1" t="str">
        <f aca="false">IF(B2661="NEW ROUTE",1,"")</f>
        <v/>
      </c>
      <c r="E2661" s="5" t="s">
        <v>2923</v>
      </c>
      <c r="F2661" s="6" t="e">
        <f aca="false">VLOOKUP(E2661,$K$2:$L$426,2,FALSE())</f>
        <v>#N/A</v>
      </c>
      <c r="G2661" s="1" t="str">
        <f aca="false">IF(ISNA(F2661),"",F2661)</f>
        <v/>
      </c>
      <c r="H2661" s="5" t="str">
        <f aca="false">IF(G2661&lt;&gt;"",G2661,E2661)</f>
        <v>42, 46, GOLDUCK</v>
      </c>
    </row>
    <row r="2662" customFormat="false" ht="12.75" hidden="false" customHeight="true" outlineLevel="0" collapsed="false">
      <c r="A2662" s="4" t="s">
        <v>2922</v>
      </c>
      <c r="B2662" s="5" t="s">
        <v>2922</v>
      </c>
      <c r="C2662" s="1" t="str">
        <f aca="false">IF(B2662="NEW ROUTE",1,"")</f>
        <v/>
      </c>
      <c r="E2662" s="5" t="s">
        <v>2922</v>
      </c>
      <c r="F2662" s="6" t="e">
        <f aca="false">VLOOKUP(E2662,$K$2:$L$426,2,FALSE())</f>
        <v>#N/A</v>
      </c>
      <c r="G2662" s="1" t="str">
        <f aca="false">IF(ISNA(F2662),"",F2662)</f>
        <v/>
      </c>
      <c r="H2662" s="5" t="str">
        <f aca="false">IF(G2662&lt;&gt;"",G2662,E2662)</f>
        <v>42, 46, SLOWBRO</v>
      </c>
    </row>
    <row r="2663" customFormat="false" ht="12.75" hidden="false" customHeight="true" outlineLevel="0" collapsed="false">
      <c r="A2663" s="4" t="s">
        <v>3613</v>
      </c>
      <c r="B2663" s="5" t="s">
        <v>3613</v>
      </c>
      <c r="C2663" s="1" t="str">
        <f aca="false">IF(B2663="NEW ROUTE",1,"")</f>
        <v/>
      </c>
      <c r="E2663" s="5" t="s">
        <v>3613</v>
      </c>
      <c r="F2663" s="6" t="e">
        <f aca="false">VLOOKUP(E2663,$K$2:$L$426,2,FALSE())</f>
        <v>#N/A</v>
      </c>
      <c r="G2663" s="1" t="str">
        <f aca="false">IF(ISNA(F2663),"",F2663)</f>
        <v/>
      </c>
      <c r="H2663" s="5" t="str">
        <f aca="false">IF(G2663&lt;&gt;"",G2663,E2663)</f>
        <v>44, 48, GILDUCK</v>
      </c>
    </row>
    <row r="2664" customFormat="false" ht="12.75" hidden="false" customHeight="true" outlineLevel="0" collapsed="false">
      <c r="A2664" s="4" t="s">
        <v>2845</v>
      </c>
      <c r="B2664" s="5" t="s">
        <v>2845</v>
      </c>
      <c r="C2664" s="1" t="str">
        <f aca="false">IF(B2664="NEW ROUTE",1,"")</f>
        <v/>
      </c>
      <c r="E2664" s="5" t="s">
        <v>2845</v>
      </c>
      <c r="F2664" s="6" t="e">
        <f aca="false">VLOOKUP(E2664,$K$2:$L$426,2,FALSE())</f>
        <v>#N/A</v>
      </c>
      <c r="G2664" s="1" t="str">
        <f aca="false">IF(ISNA(F2664),"",F2664)</f>
        <v/>
      </c>
      <c r="H2664" s="5" t="str">
        <f aca="false">IF(G2664&lt;&gt;"",G2664,E2664)</f>
        <v>10, old rod:</v>
      </c>
    </row>
    <row r="2665" customFormat="false" ht="12.75" hidden="false" customHeight="true" outlineLevel="0" collapsed="false">
      <c r="A2665" s="4" t="s">
        <v>1349</v>
      </c>
      <c r="B2665" s="5" t="s">
        <v>1349</v>
      </c>
      <c r="C2665" s="1" t="str">
        <f aca="false">IF(B2665="NEW ROUTE",1,"")</f>
        <v/>
      </c>
      <c r="E2665" s="5" t="s">
        <v>1349</v>
      </c>
      <c r="F2665" s="6" t="e">
        <f aca="false">VLOOKUP(E2665,$K$2:$L$426,2,FALSE())</f>
        <v>#N/A</v>
      </c>
      <c r="G2665" s="1" t="str">
        <f aca="false">IF(ISNA(F2665),"",F2665)</f>
        <v/>
      </c>
      <c r="H2665" s="5" t="str">
        <f aca="false">IF(G2665&lt;&gt;"",G2665,E2665)</f>
        <v>19, 26, MAGIKARP</v>
      </c>
    </row>
    <row r="2666" customFormat="false" ht="12.75" hidden="false" customHeight="true" outlineLevel="0" collapsed="false">
      <c r="A2666" s="4" t="s">
        <v>2926</v>
      </c>
      <c r="B2666" s="5" t="s">
        <v>2926</v>
      </c>
      <c r="C2666" s="1" t="str">
        <f aca="false">IF(B2666="NEW ROUTE",1,"")</f>
        <v/>
      </c>
      <c r="E2666" s="5" t="s">
        <v>2926</v>
      </c>
      <c r="F2666" s="6" t="e">
        <f aca="false">VLOOKUP(E2666,$K$2:$L$426,2,FALSE())</f>
        <v>#N/A</v>
      </c>
      <c r="G2666" s="1" t="str">
        <f aca="false">IF(ISNA(F2666),"",F2666)</f>
        <v/>
      </c>
      <c r="H2666" s="5" t="str">
        <f aca="false">IF(G2666&lt;&gt;"",G2666,E2666)</f>
        <v>19, 26, POLIWAG</v>
      </c>
    </row>
    <row r="2667" customFormat="false" ht="12.75" hidden="false" customHeight="true" outlineLevel="0" collapsed="false">
      <c r="A2667" s="4" t="s">
        <v>2846</v>
      </c>
      <c r="B2667" s="5" t="s">
        <v>2846</v>
      </c>
      <c r="C2667" s="1" t="str">
        <f aca="false">IF(B2667="NEW ROUTE",1,"")</f>
        <v/>
      </c>
      <c r="E2667" s="5" t="s">
        <v>2846</v>
      </c>
      <c r="F2667" s="6" t="e">
        <f aca="false">VLOOKUP(E2667,$K$2:$L$426,2,FALSE())</f>
        <v>#N/A</v>
      </c>
      <c r="G2667" s="1" t="str">
        <f aca="false">IF(ISNA(F2667),"",F2667)</f>
        <v/>
      </c>
      <c r="H2667" s="5" t="str">
        <f aca="false">IF(G2667&lt;&gt;"",G2667,E2667)</f>
        <v>good rod:</v>
      </c>
    </row>
    <row r="2668" customFormat="false" ht="12.75" hidden="false" customHeight="true" outlineLevel="0" collapsed="false">
      <c r="A2668" s="4" t="s">
        <v>3559</v>
      </c>
      <c r="B2668" s="5" t="s">
        <v>3559</v>
      </c>
      <c r="C2668" s="1" t="str">
        <f aca="false">IF(B2668="NEW ROUTE",1,"")</f>
        <v/>
      </c>
      <c r="E2668" s="5" t="s">
        <v>3559</v>
      </c>
      <c r="F2668" s="6" t="e">
        <f aca="false">VLOOKUP(E2668,$K$2:$L$426,2,FALSE())</f>
        <v>#N/A</v>
      </c>
      <c r="G2668" s="1" t="str">
        <f aca="false">IF(ISNA(F2668),"",F2668)</f>
        <v/>
      </c>
      <c r="H2668" s="5" t="str">
        <f aca="false">IF(G2668&lt;&gt;"",G2668,E2668)</f>
        <v>29, 33, MAGIKARP</v>
      </c>
    </row>
    <row r="2669" customFormat="false" ht="12.75" hidden="false" customHeight="true" outlineLevel="0" collapsed="false">
      <c r="A2669" s="4" t="s">
        <v>3560</v>
      </c>
      <c r="B2669" s="5" t="s">
        <v>3560</v>
      </c>
      <c r="C2669" s="1" t="str">
        <f aca="false">IF(B2669="NEW ROUTE",1,"")</f>
        <v/>
      </c>
      <c r="E2669" s="5" t="s">
        <v>3560</v>
      </c>
      <c r="F2669" s="6" t="e">
        <f aca="false">VLOOKUP(E2669,$K$2:$L$426,2,FALSE())</f>
        <v>#N/A</v>
      </c>
      <c r="G2669" s="1" t="str">
        <f aca="false">IF(ISNA(F2669),"",F2669)</f>
        <v/>
      </c>
      <c r="H2669" s="5" t="str">
        <f aca="false">IF(G2669&lt;&gt;"",G2669,E2669)</f>
        <v>30, 35, GYARADOS</v>
      </c>
    </row>
    <row r="2670" customFormat="false" ht="12.75" hidden="false" customHeight="true" outlineLevel="0" collapsed="false">
      <c r="A2670" s="4" t="s">
        <v>3561</v>
      </c>
      <c r="B2670" s="5" t="s">
        <v>3561</v>
      </c>
      <c r="C2670" s="1" t="str">
        <f aca="false">IF(B2670="NEW ROUTE",1,"")</f>
        <v/>
      </c>
      <c r="E2670" s="5" t="s">
        <v>3561</v>
      </c>
      <c r="F2670" s="6" t="e">
        <f aca="false">VLOOKUP(E2670,$K$2:$L$426,2,FALSE())</f>
        <v>#N/A</v>
      </c>
      <c r="G2670" s="1" t="str">
        <f aca="false">IF(ISNA(F2670),"",F2670)</f>
        <v/>
      </c>
      <c r="H2670" s="5" t="str">
        <f aca="false">IF(G2670&lt;&gt;"",G2670,E2670)</f>
        <v>30, 35, POLIWHIRL</v>
      </c>
    </row>
    <row r="2671" customFormat="false" ht="12.75" hidden="false" customHeight="true" outlineLevel="0" collapsed="false">
      <c r="A2671" s="4" t="s">
        <v>2850</v>
      </c>
      <c r="B2671" s="5" t="s">
        <v>2850</v>
      </c>
      <c r="C2671" s="1" t="str">
        <f aca="false">IF(B2671="NEW ROUTE",1,"")</f>
        <v/>
      </c>
      <c r="E2671" s="5" t="s">
        <v>2850</v>
      </c>
      <c r="F2671" s="6" t="e">
        <f aca="false">VLOOKUP(E2671,$K$2:$L$426,2,FALSE())</f>
        <v>#N/A</v>
      </c>
      <c r="G2671" s="1" t="str">
        <f aca="false">IF(ISNA(F2671),"",F2671)</f>
        <v/>
      </c>
      <c r="H2671" s="5" t="str">
        <f aca="false">IF(G2671&lt;&gt;"",G2671,E2671)</f>
        <v>super rod:</v>
      </c>
    </row>
    <row r="2672" customFormat="false" ht="12.75" hidden="false" customHeight="true" outlineLevel="0" collapsed="false">
      <c r="A2672" s="4" t="s">
        <v>3562</v>
      </c>
      <c r="B2672" s="5" t="s">
        <v>3562</v>
      </c>
      <c r="C2672" s="1" t="str">
        <f aca="false">IF(B2672="NEW ROUTE",1,"")</f>
        <v/>
      </c>
      <c r="E2672" s="5" t="s">
        <v>3562</v>
      </c>
      <c r="F2672" s="6" t="e">
        <f aca="false">VLOOKUP(E2672,$K$2:$L$426,2,FALSE())</f>
        <v>#N/A</v>
      </c>
      <c r="G2672" s="1" t="str">
        <f aca="false">IF(ISNA(F2672),"",F2672)</f>
        <v/>
      </c>
      <c r="H2672" s="5" t="str">
        <f aca="false">IF(G2672&lt;&gt;"",G2672,E2672)</f>
        <v>36, 40, MAGIKARP</v>
      </c>
    </row>
    <row r="2673" customFormat="false" ht="12.75" hidden="false" customHeight="true" outlineLevel="0" collapsed="false">
      <c r="A2673" s="4" t="s">
        <v>3356</v>
      </c>
      <c r="B2673" s="5" t="s">
        <v>3356</v>
      </c>
      <c r="C2673" s="1" t="str">
        <f aca="false">IF(B2673="NEW ROUTE",1,"")</f>
        <v/>
      </c>
      <c r="E2673" s="5" t="s">
        <v>3356</v>
      </c>
      <c r="F2673" s="6" t="e">
        <f aca="false">VLOOKUP(E2673,$K$2:$L$426,2,FALSE())</f>
        <v>#N/A</v>
      </c>
      <c r="G2673" s="1" t="str">
        <f aca="false">IF(ISNA(F2673),"",F2673)</f>
        <v/>
      </c>
      <c r="H2673" s="5" t="str">
        <f aca="false">IF(G2673&lt;&gt;"",G2673,E2673)</f>
        <v>36, 40, GYARADOS</v>
      </c>
    </row>
    <row r="2674" customFormat="false" ht="12.75" hidden="false" customHeight="true" outlineLevel="0" collapsed="false">
      <c r="A2674" s="4" t="s">
        <v>3563</v>
      </c>
      <c r="B2674" s="5" t="s">
        <v>3563</v>
      </c>
      <c r="C2674" s="1" t="str">
        <f aca="false">IF(B2674="NEW ROUTE",1,"")</f>
        <v/>
      </c>
      <c r="E2674" s="5" t="s">
        <v>3563</v>
      </c>
      <c r="F2674" s="6" t="e">
        <f aca="false">VLOOKUP(E2674,$K$2:$L$426,2,FALSE())</f>
        <v>#N/A</v>
      </c>
      <c r="G2674" s="1" t="str">
        <f aca="false">IF(ISNA(F2674),"",F2674)</f>
        <v/>
      </c>
      <c r="H2674" s="5" t="str">
        <f aca="false">IF(G2674&lt;&gt;"",G2674,E2674)</f>
        <v>38, 42, POLIWHIRL</v>
      </c>
    </row>
    <row r="2675" customFormat="false" ht="12.75" hidden="false" customHeight="true" outlineLevel="0" collapsed="false">
      <c r="A2675" s="4" t="s">
        <v>3378</v>
      </c>
      <c r="B2675" s="5" t="s">
        <v>3378</v>
      </c>
      <c r="C2675" s="1" t="str">
        <f aca="false">IF(B2675="NEW ROUTE",1,"")</f>
        <v/>
      </c>
      <c r="E2675" s="5" t="s">
        <v>3378</v>
      </c>
      <c r="F2675" s="6" t="e">
        <f aca="false">VLOOKUP(E2675,$K$2:$L$426,2,FALSE())</f>
        <v>#N/A</v>
      </c>
      <c r="G2675" s="1" t="str">
        <f aca="false">IF(ISNA(F2675),"",F2675)</f>
        <v/>
      </c>
      <c r="H2675" s="5" t="str">
        <f aca="false">IF(G2675&lt;&gt;"",G2675,E2675)</f>
        <v>38, 42, POLIWRATH</v>
      </c>
    </row>
    <row r="2676" customFormat="false" ht="12.75" hidden="false" customHeight="true" outlineLevel="0" collapsed="false">
      <c r="A2676" s="4" t="s">
        <v>3379</v>
      </c>
      <c r="B2676" s="5" t="s">
        <v>3379</v>
      </c>
      <c r="C2676" s="1" t="str">
        <f aca="false">IF(B2676="NEW ROUTE",1,"")</f>
        <v/>
      </c>
      <c r="E2676" s="5" t="s">
        <v>3379</v>
      </c>
      <c r="F2676" s="6" t="e">
        <f aca="false">VLOOKUP(E2676,$K$2:$L$426,2,FALSE())</f>
        <v>#N/A</v>
      </c>
      <c r="G2676" s="1" t="str">
        <f aca="false">IF(ISNA(F2676),"",F2676)</f>
        <v/>
      </c>
      <c r="H2676" s="5" t="str">
        <f aca="false">IF(G2676&lt;&gt;"",G2676,E2676)</f>
        <v>40, 44, POLITOES</v>
      </c>
    </row>
    <row r="2677" customFormat="false" ht="12.75" hidden="false" customHeight="true" outlineLevel="0" collapsed="false">
      <c r="A2677" s="4" t="s">
        <v>2536</v>
      </c>
      <c r="B2677" s="5" t="s">
        <v>2536</v>
      </c>
      <c r="C2677" s="1" t="n">
        <f aca="false">IF(B2677="NEW ROUTE",1,"")</f>
        <v>1</v>
      </c>
      <c r="E2677" s="5" t="s">
        <v>2536</v>
      </c>
      <c r="F2677" s="6" t="e">
        <f aca="false">VLOOKUP(E2677,$K$2:$L$426,2,FALSE())</f>
        <v>#N/A</v>
      </c>
      <c r="G2677" s="1" t="str">
        <f aca="false">IF(ISNA(F2677),"",F2677)</f>
        <v/>
      </c>
      <c r="H2677" s="5" t="str">
        <f aca="false">IF(G2677&lt;&gt;"",G2677,E2677)</f>
        <v>NEW ROUTE</v>
      </c>
    </row>
    <row r="2678" customFormat="false" ht="12.75" hidden="false" customHeight="true" outlineLevel="0" collapsed="false">
      <c r="A2678" s="4" t="s">
        <v>384</v>
      </c>
      <c r="B2678" s="5" t="s">
        <v>384</v>
      </c>
      <c r="C2678" s="1" t="str">
        <f aca="false">IF(B2678="NEW ROUTE",1,"")</f>
        <v/>
      </c>
      <c r="E2678" s="5" t="s">
        <v>384</v>
      </c>
      <c r="F2678" s="6" t="str">
        <f aca="false">VLOOKUP(E2678,$K$2:$L$426,2,FALSE())</f>
        <v>Celurean City</v>
      </c>
      <c r="G2678" s="1" t="str">
        <f aca="false">IF(ISNA(F2678),"",F2678)</f>
        <v>Celurean City</v>
      </c>
      <c r="H2678" s="5" t="str">
        <f aca="false">IF(G2678&lt;&gt;"",G2678,E2678)</f>
        <v>Celurean City</v>
      </c>
    </row>
    <row r="2679" customFormat="false" ht="12.75" hidden="false" customHeight="true" outlineLevel="0" collapsed="false">
      <c r="A2679" s="4" t="s">
        <v>3609</v>
      </c>
      <c r="B2679" s="5" t="s">
        <v>3609</v>
      </c>
      <c r="C2679" s="1" t="str">
        <f aca="false">IF(B2679="NEW ROUTE",1,"")</f>
        <v/>
      </c>
      <c r="E2679" s="5" t="s">
        <v>3609</v>
      </c>
      <c r="F2679" s="6" t="e">
        <f aca="false">VLOOKUP(E2679,$K$2:$L$426,2,FALSE())</f>
        <v>#N/A</v>
      </c>
      <c r="G2679" s="1" t="str">
        <f aca="false">IF(ISNA(F2679),"",F2679)</f>
        <v/>
      </c>
      <c r="H2679" s="5" t="str">
        <f aca="false">IF(G2679&lt;&gt;"",G2679,E2679)</f>
        <v>1, 38, 42, TENTACOOL</v>
      </c>
    </row>
    <row r="2680" customFormat="false" ht="12.75" hidden="false" customHeight="true" outlineLevel="0" collapsed="false">
      <c r="A2680" s="4" t="s">
        <v>3350</v>
      </c>
      <c r="B2680" s="5" t="s">
        <v>3350</v>
      </c>
      <c r="C2680" s="1" t="str">
        <f aca="false">IF(B2680="NEW ROUTE",1,"")</f>
        <v/>
      </c>
      <c r="E2680" s="5" t="s">
        <v>3350</v>
      </c>
      <c r="F2680" s="6" t="e">
        <f aca="false">VLOOKUP(E2680,$K$2:$L$426,2,FALSE())</f>
        <v>#N/A</v>
      </c>
      <c r="G2680" s="1" t="str">
        <f aca="false">IF(ISNA(F2680),"",F2680)</f>
        <v/>
      </c>
      <c r="H2680" s="5" t="str">
        <f aca="false">IF(G2680&lt;&gt;"",G2680,E2680)</f>
        <v>40, 44, PSYDUCK</v>
      </c>
    </row>
    <row r="2681" customFormat="false" ht="12.75" hidden="false" customHeight="true" outlineLevel="0" collapsed="false">
      <c r="A2681" s="4" t="s">
        <v>3351</v>
      </c>
      <c r="B2681" s="5" t="s">
        <v>3351</v>
      </c>
      <c r="C2681" s="1" t="str">
        <f aca="false">IF(B2681="NEW ROUTE",1,"")</f>
        <v/>
      </c>
      <c r="E2681" s="5" t="s">
        <v>3351</v>
      </c>
      <c r="F2681" s="6" t="e">
        <f aca="false">VLOOKUP(E2681,$K$2:$L$426,2,FALSE())</f>
        <v>#N/A</v>
      </c>
      <c r="G2681" s="1" t="str">
        <f aca="false">IF(ISNA(F2681),"",F2681)</f>
        <v/>
      </c>
      <c r="H2681" s="5" t="str">
        <f aca="false">IF(G2681&lt;&gt;"",G2681,E2681)</f>
        <v>42, 46, TENTACRUEL</v>
      </c>
    </row>
    <row r="2682" customFormat="false" ht="12.75" hidden="false" customHeight="true" outlineLevel="0" collapsed="false">
      <c r="A2682" s="4" t="s">
        <v>2923</v>
      </c>
      <c r="B2682" s="5" t="s">
        <v>2923</v>
      </c>
      <c r="C2682" s="1" t="str">
        <f aca="false">IF(B2682="NEW ROUTE",1,"")</f>
        <v/>
      </c>
      <c r="E2682" s="5" t="s">
        <v>2923</v>
      </c>
      <c r="F2682" s="6" t="e">
        <f aca="false">VLOOKUP(E2682,$K$2:$L$426,2,FALSE())</f>
        <v>#N/A</v>
      </c>
      <c r="G2682" s="1" t="str">
        <f aca="false">IF(ISNA(F2682),"",F2682)</f>
        <v/>
      </c>
      <c r="H2682" s="5" t="str">
        <f aca="false">IF(G2682&lt;&gt;"",G2682,E2682)</f>
        <v>42, 46, GOLDUCK</v>
      </c>
    </row>
    <row r="2683" customFormat="false" ht="12.75" hidden="false" customHeight="true" outlineLevel="0" collapsed="false">
      <c r="A2683" s="4" t="s">
        <v>2924</v>
      </c>
      <c r="B2683" s="5" t="s">
        <v>2924</v>
      </c>
      <c r="C2683" s="1" t="str">
        <f aca="false">IF(B2683="NEW ROUTE",1,"")</f>
        <v/>
      </c>
      <c r="E2683" s="5" t="s">
        <v>2924</v>
      </c>
      <c r="F2683" s="6" t="e">
        <f aca="false">VLOOKUP(E2683,$K$2:$L$426,2,FALSE())</f>
        <v>#N/A</v>
      </c>
      <c r="G2683" s="1" t="str">
        <f aca="false">IF(ISNA(F2683),"",F2683)</f>
        <v/>
      </c>
      <c r="H2683" s="5" t="str">
        <f aca="false">IF(G2683&lt;&gt;"",G2683,E2683)</f>
        <v>44, 48, VAPOREON</v>
      </c>
    </row>
    <row r="2684" customFormat="false" ht="12.75" hidden="false" customHeight="true" outlineLevel="0" collapsed="false">
      <c r="A2684" s="4" t="s">
        <v>2845</v>
      </c>
      <c r="B2684" s="5" t="s">
        <v>2845</v>
      </c>
      <c r="C2684" s="1" t="str">
        <f aca="false">IF(B2684="NEW ROUTE",1,"")</f>
        <v/>
      </c>
      <c r="E2684" s="5" t="s">
        <v>2845</v>
      </c>
      <c r="F2684" s="6" t="e">
        <f aca="false">VLOOKUP(E2684,$K$2:$L$426,2,FALSE())</f>
        <v>#N/A</v>
      </c>
      <c r="G2684" s="1" t="str">
        <f aca="false">IF(ISNA(F2684),"",F2684)</f>
        <v/>
      </c>
      <c r="H2684" s="5" t="str">
        <f aca="false">IF(G2684&lt;&gt;"",G2684,E2684)</f>
        <v>10, old rod:</v>
      </c>
    </row>
    <row r="2685" customFormat="false" ht="12.75" hidden="false" customHeight="true" outlineLevel="0" collapsed="false">
      <c r="A2685" s="4" t="s">
        <v>1349</v>
      </c>
      <c r="B2685" s="5" t="s">
        <v>1349</v>
      </c>
      <c r="C2685" s="1" t="str">
        <f aca="false">IF(B2685="NEW ROUTE",1,"")</f>
        <v/>
      </c>
      <c r="E2685" s="5" t="s">
        <v>1349</v>
      </c>
      <c r="F2685" s="6" t="e">
        <f aca="false">VLOOKUP(E2685,$K$2:$L$426,2,FALSE())</f>
        <v>#N/A</v>
      </c>
      <c r="G2685" s="1" t="str">
        <f aca="false">IF(ISNA(F2685),"",F2685)</f>
        <v/>
      </c>
      <c r="H2685" s="5" t="str">
        <f aca="false">IF(G2685&lt;&gt;"",G2685,E2685)</f>
        <v>19, 26, MAGIKARP</v>
      </c>
    </row>
    <row r="2686" customFormat="false" ht="12.75" hidden="false" customHeight="true" outlineLevel="0" collapsed="false">
      <c r="A2686" s="4" t="s">
        <v>3352</v>
      </c>
      <c r="B2686" s="5" t="s">
        <v>3352</v>
      </c>
      <c r="C2686" s="1" t="str">
        <f aca="false">IF(B2686="NEW ROUTE",1,"")</f>
        <v/>
      </c>
      <c r="E2686" s="5" t="s">
        <v>3352</v>
      </c>
      <c r="F2686" s="6" t="e">
        <f aca="false">VLOOKUP(E2686,$K$2:$L$426,2,FALSE())</f>
        <v>#N/A</v>
      </c>
      <c r="G2686" s="1" t="str">
        <f aca="false">IF(ISNA(F2686),"",F2686)</f>
        <v/>
      </c>
      <c r="H2686" s="5" t="str">
        <f aca="false">IF(G2686&lt;&gt;"",G2686,E2686)</f>
        <v>19, 26, GYARADOS</v>
      </c>
    </row>
    <row r="2687" customFormat="false" ht="12.75" hidden="false" customHeight="true" outlineLevel="0" collapsed="false">
      <c r="A2687" s="4" t="s">
        <v>2846</v>
      </c>
      <c r="B2687" s="5" t="s">
        <v>2846</v>
      </c>
      <c r="C2687" s="1" t="str">
        <f aca="false">IF(B2687="NEW ROUTE",1,"")</f>
        <v/>
      </c>
      <c r="E2687" s="5" t="s">
        <v>2846</v>
      </c>
      <c r="F2687" s="6" t="e">
        <f aca="false">VLOOKUP(E2687,$K$2:$L$426,2,FALSE())</f>
        <v>#N/A</v>
      </c>
      <c r="G2687" s="1" t="str">
        <f aca="false">IF(ISNA(F2687),"",F2687)</f>
        <v/>
      </c>
      <c r="H2687" s="5" t="str">
        <f aca="false">IF(G2687&lt;&gt;"",G2687,E2687)</f>
        <v>good rod:</v>
      </c>
    </row>
    <row r="2688" customFormat="false" ht="12.75" hidden="false" customHeight="true" outlineLevel="0" collapsed="false">
      <c r="A2688" s="4" t="s">
        <v>3353</v>
      </c>
      <c r="B2688" s="5" t="s">
        <v>3353</v>
      </c>
      <c r="C2688" s="1" t="str">
        <f aca="false">IF(B2688="NEW ROUTE",1,"")</f>
        <v/>
      </c>
      <c r="E2688" s="5" t="s">
        <v>3353</v>
      </c>
      <c r="F2688" s="6" t="e">
        <f aca="false">VLOOKUP(E2688,$K$2:$L$426,2,FALSE())</f>
        <v>#N/A</v>
      </c>
      <c r="G2688" s="1" t="str">
        <f aca="false">IF(ISNA(F2688),"",F2688)</f>
        <v/>
      </c>
      <c r="H2688" s="5" t="str">
        <f aca="false">IF(G2688&lt;&gt;"",G2688,E2688)</f>
        <v>29, 33, SLOWPOKE</v>
      </c>
    </row>
    <row r="2689" customFormat="false" ht="12.75" hidden="false" customHeight="true" outlineLevel="0" collapsed="false">
      <c r="A2689" s="4" t="s">
        <v>3027</v>
      </c>
      <c r="B2689" s="5" t="s">
        <v>3027</v>
      </c>
      <c r="C2689" s="1" t="str">
        <f aca="false">IF(B2689="NEW ROUTE",1,"")</f>
        <v/>
      </c>
      <c r="E2689" s="5" t="s">
        <v>3027</v>
      </c>
      <c r="F2689" s="6" t="e">
        <f aca="false">VLOOKUP(E2689,$K$2:$L$426,2,FALSE())</f>
        <v>#N/A</v>
      </c>
      <c r="G2689" s="1" t="str">
        <f aca="false">IF(ISNA(F2689),"",F2689)</f>
        <v/>
      </c>
      <c r="H2689" s="5" t="str">
        <f aca="false">IF(G2689&lt;&gt;"",G2689,E2689)</f>
        <v>30, 35, KRABBY</v>
      </c>
    </row>
    <row r="2690" customFormat="false" ht="12.75" hidden="false" customHeight="true" outlineLevel="0" collapsed="false">
      <c r="A2690" s="4" t="s">
        <v>3354</v>
      </c>
      <c r="B2690" s="5" t="s">
        <v>3354</v>
      </c>
      <c r="C2690" s="1" t="str">
        <f aca="false">IF(B2690="NEW ROUTE",1,"")</f>
        <v/>
      </c>
      <c r="E2690" s="5" t="s">
        <v>3354</v>
      </c>
      <c r="F2690" s="6" t="e">
        <f aca="false">VLOOKUP(E2690,$K$2:$L$426,2,FALSE())</f>
        <v>#N/A</v>
      </c>
      <c r="G2690" s="1" t="str">
        <f aca="false">IF(ISNA(F2690),"",F2690)</f>
        <v/>
      </c>
      <c r="H2690" s="5" t="str">
        <f aca="false">IF(G2690&lt;&gt;"",G2690,E2690)</f>
        <v>30, 35, PSYDUCK</v>
      </c>
    </row>
    <row r="2691" customFormat="false" ht="12.75" hidden="false" customHeight="true" outlineLevel="0" collapsed="false">
      <c r="A2691" s="4" t="s">
        <v>2850</v>
      </c>
      <c r="B2691" s="5" t="s">
        <v>2850</v>
      </c>
      <c r="C2691" s="1" t="str">
        <f aca="false">IF(B2691="NEW ROUTE",1,"")</f>
        <v/>
      </c>
      <c r="E2691" s="5" t="s">
        <v>2850</v>
      </c>
      <c r="F2691" s="6" t="e">
        <f aca="false">VLOOKUP(E2691,$K$2:$L$426,2,FALSE())</f>
        <v>#N/A</v>
      </c>
      <c r="G2691" s="1" t="str">
        <f aca="false">IF(ISNA(F2691),"",F2691)</f>
        <v/>
      </c>
      <c r="H2691" s="5" t="str">
        <f aca="false">IF(G2691&lt;&gt;"",G2691,E2691)</f>
        <v>super rod:</v>
      </c>
    </row>
    <row r="2692" customFormat="false" ht="12.75" hidden="false" customHeight="true" outlineLevel="0" collapsed="false">
      <c r="A2692" s="4" t="s">
        <v>3355</v>
      </c>
      <c r="B2692" s="5" t="s">
        <v>3355</v>
      </c>
      <c r="C2692" s="1" t="str">
        <f aca="false">IF(B2692="NEW ROUTE",1,"")</f>
        <v/>
      </c>
      <c r="E2692" s="5" t="s">
        <v>3355</v>
      </c>
      <c r="F2692" s="6" t="e">
        <f aca="false">VLOOKUP(E2692,$K$2:$L$426,2,FALSE())</f>
        <v>#N/A</v>
      </c>
      <c r="G2692" s="1" t="str">
        <f aca="false">IF(ISNA(F2692),"",F2692)</f>
        <v/>
      </c>
      <c r="H2692" s="5" t="str">
        <f aca="false">IF(G2692&lt;&gt;"",G2692,E2692)</f>
        <v>36, 40, SLOWBRO</v>
      </c>
    </row>
    <row r="2693" customFormat="false" ht="12.75" hidden="false" customHeight="true" outlineLevel="0" collapsed="false">
      <c r="A2693" s="4" t="s">
        <v>3356</v>
      </c>
      <c r="B2693" s="5" t="s">
        <v>3356</v>
      </c>
      <c r="C2693" s="1" t="str">
        <f aca="false">IF(B2693="NEW ROUTE",1,"")</f>
        <v/>
      </c>
      <c r="E2693" s="5" t="s">
        <v>3356</v>
      </c>
      <c r="F2693" s="6" t="e">
        <f aca="false">VLOOKUP(E2693,$K$2:$L$426,2,FALSE())</f>
        <v>#N/A</v>
      </c>
      <c r="G2693" s="1" t="str">
        <f aca="false">IF(ISNA(F2693),"",F2693)</f>
        <v/>
      </c>
      <c r="H2693" s="5" t="str">
        <f aca="false">IF(G2693&lt;&gt;"",G2693,E2693)</f>
        <v>36, 40, GYARADOS</v>
      </c>
    </row>
    <row r="2694" customFormat="false" ht="12.75" hidden="false" customHeight="true" outlineLevel="0" collapsed="false">
      <c r="A2694" s="4" t="s">
        <v>3357</v>
      </c>
      <c r="B2694" s="5" t="s">
        <v>3357</v>
      </c>
      <c r="C2694" s="1" t="str">
        <f aca="false">IF(B2694="NEW ROUTE",1,"")</f>
        <v/>
      </c>
      <c r="E2694" s="5" t="s">
        <v>3357</v>
      </c>
      <c r="F2694" s="6" t="e">
        <f aca="false">VLOOKUP(E2694,$K$2:$L$426,2,FALSE())</f>
        <v>#N/A</v>
      </c>
      <c r="G2694" s="1" t="str">
        <f aca="false">IF(ISNA(F2694),"",F2694)</f>
        <v/>
      </c>
      <c r="H2694" s="5" t="str">
        <f aca="false">IF(G2694&lt;&gt;"",G2694,E2694)</f>
        <v>38, 42, GOLDUCK</v>
      </c>
    </row>
    <row r="2695" customFormat="false" ht="12.75" hidden="false" customHeight="true" outlineLevel="0" collapsed="false">
      <c r="A2695" s="4" t="s">
        <v>3358</v>
      </c>
      <c r="B2695" s="5" t="s">
        <v>3358</v>
      </c>
      <c r="C2695" s="1" t="str">
        <f aca="false">IF(B2695="NEW ROUTE",1,"")</f>
        <v/>
      </c>
      <c r="E2695" s="5" t="s">
        <v>3358</v>
      </c>
      <c r="F2695" s="6" t="e">
        <f aca="false">VLOOKUP(E2695,$K$2:$L$426,2,FALSE())</f>
        <v>#N/A</v>
      </c>
      <c r="G2695" s="1" t="str">
        <f aca="false">IF(ISNA(F2695),"",F2695)</f>
        <v/>
      </c>
      <c r="H2695" s="5" t="str">
        <f aca="false">IF(G2695&lt;&gt;"",G2695,E2695)</f>
        <v>38, 42, KINGLER</v>
      </c>
    </row>
    <row r="2696" customFormat="false" ht="12.75" hidden="false" customHeight="true" outlineLevel="0" collapsed="false">
      <c r="A2696" s="4" t="s">
        <v>3359</v>
      </c>
      <c r="B2696" s="5" t="s">
        <v>3359</v>
      </c>
      <c r="C2696" s="1" t="str">
        <f aca="false">IF(B2696="NEW ROUTE",1,"")</f>
        <v/>
      </c>
      <c r="E2696" s="5" t="s">
        <v>3359</v>
      </c>
      <c r="F2696" s="6" t="e">
        <f aca="false">VLOOKUP(E2696,$K$2:$L$426,2,FALSE())</f>
        <v>#N/A</v>
      </c>
      <c r="G2696" s="1" t="str">
        <f aca="false">IF(ISNA(F2696),"",F2696)</f>
        <v/>
      </c>
      <c r="H2696" s="5" t="str">
        <f aca="false">IF(G2696&lt;&gt;"",G2696,E2696)</f>
        <v>40, 44, SLOWMATE</v>
      </c>
    </row>
    <row r="2697" customFormat="false" ht="12.75" hidden="false" customHeight="true" outlineLevel="0" collapsed="false">
      <c r="A2697" s="4" t="s">
        <v>2536</v>
      </c>
      <c r="B2697" s="5" t="s">
        <v>2536</v>
      </c>
      <c r="C2697" s="1" t="n">
        <f aca="false">IF(B2697="NEW ROUTE",1,"")</f>
        <v>1</v>
      </c>
      <c r="E2697" s="5" t="s">
        <v>2536</v>
      </c>
      <c r="F2697" s="6" t="e">
        <f aca="false">VLOOKUP(E2697,$K$2:$L$426,2,FALSE())</f>
        <v>#N/A</v>
      </c>
      <c r="G2697" s="1" t="str">
        <f aca="false">IF(ISNA(F2697),"",F2697)</f>
        <v/>
      </c>
      <c r="H2697" s="5" t="str">
        <f aca="false">IF(G2697&lt;&gt;"",G2697,E2697)</f>
        <v>NEW ROUTE</v>
      </c>
    </row>
    <row r="2698" customFormat="false" ht="12.75" hidden="false" customHeight="true" outlineLevel="0" collapsed="false">
      <c r="A2698" s="4" t="s">
        <v>388</v>
      </c>
      <c r="B2698" s="5" t="s">
        <v>388</v>
      </c>
      <c r="C2698" s="1" t="str">
        <f aca="false">IF(B2698="NEW ROUTE",1,"")</f>
        <v/>
      </c>
      <c r="E2698" s="5" t="s">
        <v>388</v>
      </c>
      <c r="F2698" s="6" t="str">
        <f aca="false">VLOOKUP(E2698,$K$2:$L$426,2,FALSE())</f>
        <v>Vermilion City</v>
      </c>
      <c r="G2698" s="1" t="str">
        <f aca="false">IF(ISNA(F2698),"",F2698)</f>
        <v>Vermilion City</v>
      </c>
      <c r="H2698" s="5" t="str">
        <f aca="false">IF(G2698&lt;&gt;"",G2698,E2698)</f>
        <v>Vermilion City</v>
      </c>
    </row>
    <row r="2699" customFormat="false" ht="12.75" hidden="false" customHeight="true" outlineLevel="0" collapsed="false">
      <c r="A2699" s="4" t="s">
        <v>3609</v>
      </c>
      <c r="B2699" s="5" t="s">
        <v>3609</v>
      </c>
      <c r="C2699" s="1" t="str">
        <f aca="false">IF(B2699="NEW ROUTE",1,"")</f>
        <v/>
      </c>
      <c r="E2699" s="5" t="s">
        <v>3609</v>
      </c>
      <c r="F2699" s="6" t="e">
        <f aca="false">VLOOKUP(E2699,$K$2:$L$426,2,FALSE())</f>
        <v>#N/A</v>
      </c>
      <c r="G2699" s="1" t="str">
        <f aca="false">IF(ISNA(F2699),"",F2699)</f>
        <v/>
      </c>
      <c r="H2699" s="5" t="str">
        <f aca="false">IF(G2699&lt;&gt;"",G2699,E2699)</f>
        <v>1, 38, 42, TENTACOOL</v>
      </c>
    </row>
    <row r="2700" customFormat="false" ht="12.75" hidden="false" customHeight="true" outlineLevel="0" collapsed="false">
      <c r="A2700" s="4" t="s">
        <v>3428</v>
      </c>
      <c r="B2700" s="5" t="s">
        <v>3428</v>
      </c>
      <c r="C2700" s="1" t="str">
        <f aca="false">IF(B2700="NEW ROUTE",1,"")</f>
        <v/>
      </c>
      <c r="E2700" s="5" t="s">
        <v>3428</v>
      </c>
      <c r="F2700" s="6" t="e">
        <f aca="false">VLOOKUP(E2700,$K$2:$L$426,2,FALSE())</f>
        <v>#N/A</v>
      </c>
      <c r="G2700" s="1" t="str">
        <f aca="false">IF(ISNA(F2700),"",F2700)</f>
        <v/>
      </c>
      <c r="H2700" s="5" t="str">
        <f aca="false">IF(G2700&lt;&gt;"",G2700,E2700)</f>
        <v>40, 44, TENTACRUEL</v>
      </c>
    </row>
    <row r="2701" customFormat="false" ht="12.75" hidden="false" customHeight="true" outlineLevel="0" collapsed="false">
      <c r="A2701" s="4" t="s">
        <v>3024</v>
      </c>
      <c r="B2701" s="5" t="s">
        <v>3024</v>
      </c>
      <c r="C2701" s="1" t="str">
        <f aca="false">IF(B2701="NEW ROUTE",1,"")</f>
        <v/>
      </c>
      <c r="E2701" s="5" t="s">
        <v>3024</v>
      </c>
      <c r="F2701" s="6" t="e">
        <f aca="false">VLOOKUP(E2701,$K$2:$L$426,2,FALSE())</f>
        <v>#N/A</v>
      </c>
      <c r="G2701" s="1" t="str">
        <f aca="false">IF(ISNA(F2701),"",F2701)</f>
        <v/>
      </c>
      <c r="H2701" s="5" t="str">
        <f aca="false">IF(G2701&lt;&gt;"",G2701,E2701)</f>
        <v>42, 46, LAPRAS</v>
      </c>
    </row>
    <row r="2702" customFormat="false" ht="12.75" hidden="false" customHeight="true" outlineLevel="0" collapsed="false">
      <c r="A2702" s="4" t="s">
        <v>3429</v>
      </c>
      <c r="B2702" s="5" t="s">
        <v>3429</v>
      </c>
      <c r="C2702" s="1" t="str">
        <f aca="false">IF(B2702="NEW ROUTE",1,"")</f>
        <v/>
      </c>
      <c r="E2702" s="5" t="s">
        <v>3429</v>
      </c>
      <c r="F2702" s="6" t="e">
        <f aca="false">VLOOKUP(E2702,$K$2:$L$426,2,FALSE())</f>
        <v>#N/A</v>
      </c>
      <c r="G2702" s="1" t="str">
        <f aca="false">IF(ISNA(F2702),"",F2702)</f>
        <v/>
      </c>
      <c r="H2702" s="5" t="str">
        <f aca="false">IF(G2702&lt;&gt;"",G2702,E2702)</f>
        <v>42, 46, TENTACATE</v>
      </c>
    </row>
    <row r="2703" customFormat="false" ht="12.75" hidden="false" customHeight="true" outlineLevel="0" collapsed="false">
      <c r="A2703" s="4" t="s">
        <v>3449</v>
      </c>
      <c r="B2703" s="5" t="s">
        <v>3449</v>
      </c>
      <c r="C2703" s="1" t="str">
        <f aca="false">IF(B2703="NEW ROUTE",1,"")</f>
        <v/>
      </c>
      <c r="E2703" s="5" t="s">
        <v>3449</v>
      </c>
      <c r="F2703" s="6" t="e">
        <f aca="false">VLOOKUP(E2703,$K$2:$L$426,2,FALSE())</f>
        <v>#N/A</v>
      </c>
      <c r="G2703" s="1" t="str">
        <f aca="false">IF(ISNA(F2703),"",F2703)</f>
        <v/>
      </c>
      <c r="H2703" s="5" t="str">
        <f aca="false">IF(G2703&lt;&gt;"",G2703,E2703)</f>
        <v>44, 48, LOCHLASS</v>
      </c>
    </row>
    <row r="2704" customFormat="false" ht="12.75" hidden="false" customHeight="true" outlineLevel="0" collapsed="false">
      <c r="A2704" s="4" t="s">
        <v>2845</v>
      </c>
      <c r="B2704" s="5" t="s">
        <v>2845</v>
      </c>
      <c r="C2704" s="1" t="str">
        <f aca="false">IF(B2704="NEW ROUTE",1,"")</f>
        <v/>
      </c>
      <c r="E2704" s="5" t="s">
        <v>2845</v>
      </c>
      <c r="F2704" s="6" t="e">
        <f aca="false">VLOOKUP(E2704,$K$2:$L$426,2,FALSE())</f>
        <v>#N/A</v>
      </c>
      <c r="G2704" s="1" t="str">
        <f aca="false">IF(ISNA(F2704),"",F2704)</f>
        <v/>
      </c>
      <c r="H2704" s="5" t="str">
        <f aca="false">IF(G2704&lt;&gt;"",G2704,E2704)</f>
        <v>10, old rod:</v>
      </c>
    </row>
    <row r="2705" customFormat="false" ht="12.75" hidden="false" customHeight="true" outlineLevel="0" collapsed="false">
      <c r="A2705" s="4" t="s">
        <v>1349</v>
      </c>
      <c r="B2705" s="5" t="s">
        <v>1349</v>
      </c>
      <c r="C2705" s="1" t="str">
        <f aca="false">IF(B2705="NEW ROUTE",1,"")</f>
        <v/>
      </c>
      <c r="E2705" s="5" t="s">
        <v>1349</v>
      </c>
      <c r="F2705" s="6" t="e">
        <f aca="false">VLOOKUP(E2705,$K$2:$L$426,2,FALSE())</f>
        <v>#N/A</v>
      </c>
      <c r="G2705" s="1" t="str">
        <f aca="false">IF(ISNA(F2705),"",F2705)</f>
        <v/>
      </c>
      <c r="H2705" s="5" t="str">
        <f aca="false">IF(G2705&lt;&gt;"",G2705,E2705)</f>
        <v>19, 26, MAGIKARP</v>
      </c>
    </row>
    <row r="2706" customFormat="false" ht="12.75" hidden="false" customHeight="true" outlineLevel="0" collapsed="false">
      <c r="A2706" s="4" t="s">
        <v>3352</v>
      </c>
      <c r="B2706" s="5" t="s">
        <v>3352</v>
      </c>
      <c r="C2706" s="1" t="str">
        <f aca="false">IF(B2706="NEW ROUTE",1,"")</f>
        <v/>
      </c>
      <c r="E2706" s="5" t="s">
        <v>3352</v>
      </c>
      <c r="F2706" s="6" t="e">
        <f aca="false">VLOOKUP(E2706,$K$2:$L$426,2,FALSE())</f>
        <v>#N/A</v>
      </c>
      <c r="G2706" s="1" t="str">
        <f aca="false">IF(ISNA(F2706),"",F2706)</f>
        <v/>
      </c>
      <c r="H2706" s="5" t="str">
        <f aca="false">IF(G2706&lt;&gt;"",G2706,E2706)</f>
        <v>19, 26, GYARADOS</v>
      </c>
    </row>
    <row r="2707" customFormat="false" ht="12.75" hidden="false" customHeight="true" outlineLevel="0" collapsed="false">
      <c r="A2707" s="4" t="s">
        <v>2846</v>
      </c>
      <c r="B2707" s="5" t="s">
        <v>2846</v>
      </c>
      <c r="C2707" s="1" t="str">
        <f aca="false">IF(B2707="NEW ROUTE",1,"")</f>
        <v/>
      </c>
      <c r="E2707" s="5" t="s">
        <v>2846</v>
      </c>
      <c r="F2707" s="6" t="e">
        <f aca="false">VLOOKUP(E2707,$K$2:$L$426,2,FALSE())</f>
        <v>#N/A</v>
      </c>
      <c r="G2707" s="1" t="str">
        <f aca="false">IF(ISNA(F2707),"",F2707)</f>
        <v/>
      </c>
      <c r="H2707" s="5" t="str">
        <f aca="false">IF(G2707&lt;&gt;"",G2707,E2707)</f>
        <v>good rod:</v>
      </c>
    </row>
    <row r="2708" customFormat="false" ht="12.75" hidden="false" customHeight="true" outlineLevel="0" collapsed="false">
      <c r="A2708" s="4" t="s">
        <v>3430</v>
      </c>
      <c r="B2708" s="5" t="s">
        <v>3430</v>
      </c>
      <c r="C2708" s="1" t="str">
        <f aca="false">IF(B2708="NEW ROUTE",1,"")</f>
        <v/>
      </c>
      <c r="E2708" s="5" t="s">
        <v>3430</v>
      </c>
      <c r="F2708" s="6" t="e">
        <f aca="false">VLOOKUP(E2708,$K$2:$L$426,2,FALSE())</f>
        <v>#N/A</v>
      </c>
      <c r="G2708" s="1" t="str">
        <f aca="false">IF(ISNA(F2708),"",F2708)</f>
        <v/>
      </c>
      <c r="H2708" s="5" t="str">
        <f aca="false">IF(G2708&lt;&gt;"",G2708,E2708)</f>
        <v>29, 33, HORSEA</v>
      </c>
    </row>
    <row r="2709" customFormat="false" ht="12.75" hidden="false" customHeight="true" outlineLevel="0" collapsed="false">
      <c r="A2709" s="4" t="s">
        <v>3450</v>
      </c>
      <c r="B2709" s="5" t="s">
        <v>3450</v>
      </c>
      <c r="C2709" s="1" t="str">
        <f aca="false">IF(B2709="NEW ROUTE",1,"")</f>
        <v/>
      </c>
      <c r="E2709" s="5" t="s">
        <v>3450</v>
      </c>
      <c r="F2709" s="6" t="e">
        <f aca="false">VLOOKUP(E2709,$K$2:$L$426,2,FALSE())</f>
        <v>#N/A</v>
      </c>
      <c r="G2709" s="1" t="str">
        <f aca="false">IF(ISNA(F2709),"",F2709)</f>
        <v/>
      </c>
      <c r="H2709" s="5" t="str">
        <f aca="false">IF(G2709&lt;&gt;"",G2709,E2709)</f>
        <v>30, 35, SHELLDER</v>
      </c>
    </row>
    <row r="2710" customFormat="false" ht="12.75" hidden="false" customHeight="true" outlineLevel="0" collapsed="false">
      <c r="A2710" s="4" t="s">
        <v>3451</v>
      </c>
      <c r="B2710" s="5" t="s">
        <v>3451</v>
      </c>
      <c r="C2710" s="1" t="str">
        <f aca="false">IF(B2710="NEW ROUTE",1,"")</f>
        <v/>
      </c>
      <c r="E2710" s="5" t="s">
        <v>3451</v>
      </c>
      <c r="F2710" s="6" t="e">
        <f aca="false">VLOOKUP(E2710,$K$2:$L$426,2,FALSE())</f>
        <v>#N/A</v>
      </c>
      <c r="G2710" s="1" t="str">
        <f aca="false">IF(ISNA(F2710),"",F2710)</f>
        <v/>
      </c>
      <c r="H2710" s="5" t="str">
        <f aca="false">IF(G2710&lt;&gt;"",G2710,E2710)</f>
        <v>30, 35, STARYU</v>
      </c>
    </row>
    <row r="2711" customFormat="false" ht="12.75" hidden="false" customHeight="true" outlineLevel="0" collapsed="false">
      <c r="A2711" s="4" t="s">
        <v>2850</v>
      </c>
      <c r="B2711" s="5" t="s">
        <v>2850</v>
      </c>
      <c r="C2711" s="1" t="str">
        <f aca="false">IF(B2711="NEW ROUTE",1,"")</f>
        <v/>
      </c>
      <c r="E2711" s="5" t="s">
        <v>2850</v>
      </c>
      <c r="F2711" s="6" t="e">
        <f aca="false">VLOOKUP(E2711,$K$2:$L$426,2,FALSE())</f>
        <v>#N/A</v>
      </c>
      <c r="G2711" s="1" t="str">
        <f aca="false">IF(ISNA(F2711),"",F2711)</f>
        <v/>
      </c>
      <c r="H2711" s="5" t="str">
        <f aca="false">IF(G2711&lt;&gt;"",G2711,E2711)</f>
        <v>super rod:</v>
      </c>
    </row>
    <row r="2712" customFormat="false" ht="12.75" hidden="false" customHeight="true" outlineLevel="0" collapsed="false">
      <c r="A2712" s="4" t="s">
        <v>3026</v>
      </c>
      <c r="B2712" s="5" t="s">
        <v>3026</v>
      </c>
      <c r="C2712" s="1" t="str">
        <f aca="false">IF(B2712="NEW ROUTE",1,"")</f>
        <v/>
      </c>
      <c r="E2712" s="5" t="s">
        <v>3026</v>
      </c>
      <c r="F2712" s="6" t="e">
        <f aca="false">VLOOKUP(E2712,$K$2:$L$426,2,FALSE())</f>
        <v>#N/A</v>
      </c>
      <c r="G2712" s="1" t="str">
        <f aca="false">IF(ISNA(F2712),"",F2712)</f>
        <v/>
      </c>
      <c r="H2712" s="5" t="str">
        <f aca="false">IF(G2712&lt;&gt;"",G2712,E2712)</f>
        <v>29, 33, SEADRA</v>
      </c>
    </row>
    <row r="2713" customFormat="false" ht="12.75" hidden="false" customHeight="true" outlineLevel="0" collapsed="false">
      <c r="A2713" s="4" t="s">
        <v>3356</v>
      </c>
      <c r="B2713" s="5" t="s">
        <v>3356</v>
      </c>
      <c r="C2713" s="1" t="str">
        <f aca="false">IF(B2713="NEW ROUTE",1,"")</f>
        <v/>
      </c>
      <c r="E2713" s="5" t="s">
        <v>3356</v>
      </c>
      <c r="F2713" s="6" t="e">
        <f aca="false">VLOOKUP(E2713,$K$2:$L$426,2,FALSE())</f>
        <v>#N/A</v>
      </c>
      <c r="G2713" s="1" t="str">
        <f aca="false">IF(ISNA(F2713),"",F2713)</f>
        <v/>
      </c>
      <c r="H2713" s="5" t="str">
        <f aca="false">IF(G2713&lt;&gt;"",G2713,E2713)</f>
        <v>36, 40, GYARADOS</v>
      </c>
    </row>
    <row r="2714" customFormat="false" ht="12.75" hidden="false" customHeight="true" outlineLevel="0" collapsed="false">
      <c r="A2714" s="4" t="s">
        <v>3452</v>
      </c>
      <c r="B2714" s="5" t="s">
        <v>3452</v>
      </c>
      <c r="C2714" s="1" t="str">
        <f aca="false">IF(B2714="NEW ROUTE",1,"")</f>
        <v/>
      </c>
      <c r="E2714" s="5" t="s">
        <v>3452</v>
      </c>
      <c r="F2714" s="6" t="e">
        <f aca="false">VLOOKUP(E2714,$K$2:$L$426,2,FALSE())</f>
        <v>#N/A</v>
      </c>
      <c r="G2714" s="1" t="str">
        <f aca="false">IF(ISNA(F2714),"",F2714)</f>
        <v/>
      </c>
      <c r="H2714" s="5" t="str">
        <f aca="false">IF(G2714&lt;&gt;"",G2714,E2714)</f>
        <v>38, 42, STARMIE</v>
      </c>
    </row>
    <row r="2715" customFormat="false" ht="12.75" hidden="false" customHeight="true" outlineLevel="0" collapsed="false">
      <c r="A2715" s="4" t="s">
        <v>3453</v>
      </c>
      <c r="B2715" s="5" t="s">
        <v>3453</v>
      </c>
      <c r="C2715" s="1" t="str">
        <f aca="false">IF(B2715="NEW ROUTE",1,"")</f>
        <v/>
      </c>
      <c r="E2715" s="5" t="s">
        <v>3453</v>
      </c>
      <c r="F2715" s="6" t="e">
        <f aca="false">VLOOKUP(E2715,$K$2:$L$426,2,FALSE())</f>
        <v>#N/A</v>
      </c>
      <c r="G2715" s="1" t="str">
        <f aca="false">IF(ISNA(F2715),"",F2715)</f>
        <v/>
      </c>
      <c r="H2715" s="5" t="str">
        <f aca="false">IF(G2715&lt;&gt;"",G2715,E2715)</f>
        <v>38, 42, CLOYSTER</v>
      </c>
    </row>
    <row r="2716" customFormat="false" ht="12.75" hidden="false" customHeight="true" outlineLevel="0" collapsed="false">
      <c r="A2716" s="4" t="s">
        <v>3454</v>
      </c>
      <c r="B2716" s="5" t="s">
        <v>3454</v>
      </c>
      <c r="C2716" s="1" t="str">
        <f aca="false">IF(B2716="NEW ROUTE",1,"")</f>
        <v/>
      </c>
      <c r="E2716" s="5" t="s">
        <v>3454</v>
      </c>
      <c r="F2716" s="6" t="e">
        <f aca="false">VLOOKUP(E2716,$K$2:$L$426,2,FALSE())</f>
        <v>#N/A</v>
      </c>
      <c r="G2716" s="1" t="str">
        <f aca="false">IF(ISNA(F2716),"",F2716)</f>
        <v/>
      </c>
      <c r="H2716" s="5" t="str">
        <f aca="false">IF(G2716&lt;&gt;"",G2716,E2716)</f>
        <v>38, 42, STARUS</v>
      </c>
    </row>
    <row r="2717" customFormat="false" ht="12.75" hidden="false" customHeight="true" outlineLevel="0" collapsed="false">
      <c r="A2717" s="4" t="s">
        <v>2536</v>
      </c>
      <c r="B2717" s="5" t="s">
        <v>2536</v>
      </c>
      <c r="C2717" s="1" t="n">
        <f aca="false">IF(B2717="NEW ROUTE",1,"")</f>
        <v>1</v>
      </c>
      <c r="E2717" s="5" t="s">
        <v>2536</v>
      </c>
      <c r="F2717" s="6" t="e">
        <f aca="false">VLOOKUP(E2717,$K$2:$L$426,2,FALSE())</f>
        <v>#N/A</v>
      </c>
      <c r="G2717" s="1" t="str">
        <f aca="false">IF(ISNA(F2717),"",F2717)</f>
        <v/>
      </c>
      <c r="H2717" s="5" t="str">
        <f aca="false">IF(G2717&lt;&gt;"",G2717,E2717)</f>
        <v>NEW ROUTE</v>
      </c>
    </row>
    <row r="2718" customFormat="false" ht="12.75" hidden="false" customHeight="true" outlineLevel="0" collapsed="false">
      <c r="A2718" s="4" t="s">
        <v>390</v>
      </c>
      <c r="B2718" s="5" t="s">
        <v>390</v>
      </c>
      <c r="C2718" s="1" t="str">
        <f aca="false">IF(B2718="NEW ROUTE",1,"")</f>
        <v/>
      </c>
      <c r="E2718" s="5" t="s">
        <v>390</v>
      </c>
      <c r="F2718" s="6" t="str">
        <f aca="false">VLOOKUP(E2718,$K$2:$L$426,2,FALSE())</f>
        <v>Celadon City</v>
      </c>
      <c r="G2718" s="1" t="str">
        <f aca="false">IF(ISNA(F2718),"",F2718)</f>
        <v>Celadon City</v>
      </c>
      <c r="H2718" s="5" t="str">
        <f aca="false">IF(G2718&lt;&gt;"",G2718,E2718)</f>
        <v>Celadon City</v>
      </c>
    </row>
    <row r="2719" customFormat="false" ht="12.75" hidden="false" customHeight="true" outlineLevel="0" collapsed="false">
      <c r="A2719" s="4" t="s">
        <v>3612</v>
      </c>
      <c r="B2719" s="5" t="s">
        <v>3612</v>
      </c>
      <c r="C2719" s="1" t="str">
        <f aca="false">IF(B2719="NEW ROUTE",1,"")</f>
        <v/>
      </c>
      <c r="E2719" s="5" t="s">
        <v>3612</v>
      </c>
      <c r="F2719" s="6" t="e">
        <f aca="false">VLOOKUP(E2719,$K$2:$L$426,2,FALSE())</f>
        <v>#N/A</v>
      </c>
      <c r="G2719" s="1" t="str">
        <f aca="false">IF(ISNA(F2719),"",F2719)</f>
        <v/>
      </c>
      <c r="H2719" s="5" t="str">
        <f aca="false">IF(G2719&lt;&gt;"",G2719,E2719)</f>
        <v>1, 38, 42, PSYDUCK</v>
      </c>
    </row>
    <row r="2720" customFormat="false" ht="12.75" hidden="false" customHeight="true" outlineLevel="0" collapsed="false">
      <c r="A2720" s="4" t="s">
        <v>3374</v>
      </c>
      <c r="B2720" s="5" t="s">
        <v>3374</v>
      </c>
      <c r="C2720" s="1" t="str">
        <f aca="false">IF(B2720="NEW ROUTE",1,"")</f>
        <v/>
      </c>
      <c r="E2720" s="5" t="s">
        <v>3374</v>
      </c>
      <c r="F2720" s="6" t="e">
        <f aca="false">VLOOKUP(E2720,$K$2:$L$426,2,FALSE())</f>
        <v>#N/A</v>
      </c>
      <c r="G2720" s="1" t="str">
        <f aca="false">IF(ISNA(F2720),"",F2720)</f>
        <v/>
      </c>
      <c r="H2720" s="5" t="str">
        <f aca="false">IF(G2720&lt;&gt;"",G2720,E2720)</f>
        <v>40, 44, SLOWPOKE</v>
      </c>
    </row>
    <row r="2721" customFormat="false" ht="12.75" hidden="false" customHeight="true" outlineLevel="0" collapsed="false">
      <c r="A2721" s="4" t="s">
        <v>3617</v>
      </c>
      <c r="B2721" s="5" t="s">
        <v>3617</v>
      </c>
      <c r="C2721" s="1" t="str">
        <f aca="false">IF(B2721="NEW ROUTE",1,"")</f>
        <v/>
      </c>
      <c r="E2721" s="5" t="s">
        <v>3617</v>
      </c>
      <c r="F2721" s="6" t="e">
        <f aca="false">VLOOKUP(E2721,$K$2:$L$426,2,FALSE())</f>
        <v>#N/A</v>
      </c>
      <c r="G2721" s="1" t="str">
        <f aca="false">IF(ISNA(F2721),"",F2721)</f>
        <v/>
      </c>
      <c r="H2721" s="5" t="str">
        <f aca="false">IF(G2721&lt;&gt;"",G2721,E2721)</f>
        <v>42, 46, KOFFING</v>
      </c>
    </row>
    <row r="2722" customFormat="false" ht="12.75" hidden="false" customHeight="true" outlineLevel="0" collapsed="false">
      <c r="A2722" s="4" t="s">
        <v>2923</v>
      </c>
      <c r="B2722" s="5" t="s">
        <v>2923</v>
      </c>
      <c r="C2722" s="1" t="str">
        <f aca="false">IF(B2722="NEW ROUTE",1,"")</f>
        <v/>
      </c>
      <c r="E2722" s="5" t="s">
        <v>2923</v>
      </c>
      <c r="F2722" s="6" t="e">
        <f aca="false">VLOOKUP(E2722,$K$2:$L$426,2,FALSE())</f>
        <v>#N/A</v>
      </c>
      <c r="G2722" s="1" t="str">
        <f aca="false">IF(ISNA(F2722),"",F2722)</f>
        <v/>
      </c>
      <c r="H2722" s="5" t="str">
        <f aca="false">IF(G2722&lt;&gt;"",G2722,E2722)</f>
        <v>42, 46, GOLDUCK</v>
      </c>
    </row>
    <row r="2723" customFormat="false" ht="12.75" hidden="false" customHeight="true" outlineLevel="0" collapsed="false">
      <c r="A2723" s="4" t="s">
        <v>3618</v>
      </c>
      <c r="B2723" s="5" t="s">
        <v>3618</v>
      </c>
      <c r="C2723" s="1" t="str">
        <f aca="false">IF(B2723="NEW ROUTE",1,"")</f>
        <v/>
      </c>
      <c r="E2723" s="5" t="s">
        <v>3618</v>
      </c>
      <c r="F2723" s="6" t="e">
        <f aca="false">VLOOKUP(E2723,$K$2:$L$426,2,FALSE())</f>
        <v>#N/A</v>
      </c>
      <c r="G2723" s="1" t="str">
        <f aca="false">IF(ISNA(F2723),"",F2723)</f>
        <v/>
      </c>
      <c r="H2723" s="5" t="str">
        <f aca="false">IF(G2723&lt;&gt;"",G2723,E2723)</f>
        <v>44, 48, WEEZING</v>
      </c>
    </row>
    <row r="2724" customFormat="false" ht="12.75" hidden="false" customHeight="true" outlineLevel="0" collapsed="false">
      <c r="A2724" s="4" t="s">
        <v>2845</v>
      </c>
      <c r="B2724" s="5" t="s">
        <v>2845</v>
      </c>
      <c r="C2724" s="1" t="str">
        <f aca="false">IF(B2724="NEW ROUTE",1,"")</f>
        <v/>
      </c>
      <c r="E2724" s="5" t="s">
        <v>2845</v>
      </c>
      <c r="F2724" s="6" t="e">
        <f aca="false">VLOOKUP(E2724,$K$2:$L$426,2,FALSE())</f>
        <v>#N/A</v>
      </c>
      <c r="G2724" s="1" t="str">
        <f aca="false">IF(ISNA(F2724),"",F2724)</f>
        <v/>
      </c>
      <c r="H2724" s="5" t="str">
        <f aca="false">IF(G2724&lt;&gt;"",G2724,E2724)</f>
        <v>10, old rod:</v>
      </c>
    </row>
    <row r="2725" customFormat="false" ht="12.75" hidden="false" customHeight="true" outlineLevel="0" collapsed="false">
      <c r="A2725" s="4" t="s">
        <v>1349</v>
      </c>
      <c r="B2725" s="5" t="s">
        <v>1349</v>
      </c>
      <c r="C2725" s="1" t="str">
        <f aca="false">IF(B2725="NEW ROUTE",1,"")</f>
        <v/>
      </c>
      <c r="E2725" s="5" t="s">
        <v>1349</v>
      </c>
      <c r="F2725" s="6" t="e">
        <f aca="false">VLOOKUP(E2725,$K$2:$L$426,2,FALSE())</f>
        <v>#N/A</v>
      </c>
      <c r="G2725" s="1" t="str">
        <f aca="false">IF(ISNA(F2725),"",F2725)</f>
        <v/>
      </c>
      <c r="H2725" s="5" t="str">
        <f aca="false">IF(G2725&lt;&gt;"",G2725,E2725)</f>
        <v>19, 26, MAGIKARP</v>
      </c>
    </row>
    <row r="2726" customFormat="false" ht="12.75" hidden="false" customHeight="true" outlineLevel="0" collapsed="false">
      <c r="A2726" s="4" t="s">
        <v>3619</v>
      </c>
      <c r="B2726" s="5" t="s">
        <v>3619</v>
      </c>
      <c r="C2726" s="1" t="str">
        <f aca="false">IF(B2726="NEW ROUTE",1,"")</f>
        <v/>
      </c>
      <c r="E2726" s="5" t="s">
        <v>3619</v>
      </c>
      <c r="F2726" s="6" t="e">
        <f aca="false">VLOOKUP(E2726,$K$2:$L$426,2,FALSE())</f>
        <v>#N/A</v>
      </c>
      <c r="G2726" s="1" t="str">
        <f aca="false">IF(ISNA(F2726),"",F2726)</f>
        <v/>
      </c>
      <c r="H2726" s="5" t="str">
        <f aca="false">IF(G2726&lt;&gt;"",G2726,E2726)</f>
        <v>19, 26, GRIMER</v>
      </c>
    </row>
    <row r="2727" customFormat="false" ht="12.75" hidden="false" customHeight="true" outlineLevel="0" collapsed="false">
      <c r="A2727" s="4" t="s">
        <v>2846</v>
      </c>
      <c r="B2727" s="5" t="s">
        <v>2846</v>
      </c>
      <c r="C2727" s="1" t="str">
        <f aca="false">IF(B2727="NEW ROUTE",1,"")</f>
        <v/>
      </c>
      <c r="E2727" s="5" t="s">
        <v>2846</v>
      </c>
      <c r="F2727" s="6" t="e">
        <f aca="false">VLOOKUP(E2727,$K$2:$L$426,2,FALSE())</f>
        <v>#N/A</v>
      </c>
      <c r="G2727" s="1" t="str">
        <f aca="false">IF(ISNA(F2727),"",F2727)</f>
        <v/>
      </c>
      <c r="H2727" s="5" t="str">
        <f aca="false">IF(G2727&lt;&gt;"",G2727,E2727)</f>
        <v>good rod:</v>
      </c>
    </row>
    <row r="2728" customFormat="false" ht="12.75" hidden="false" customHeight="true" outlineLevel="0" collapsed="false">
      <c r="A2728" s="4" t="s">
        <v>3559</v>
      </c>
      <c r="B2728" s="5" t="s">
        <v>3559</v>
      </c>
      <c r="C2728" s="1" t="str">
        <f aca="false">IF(B2728="NEW ROUTE",1,"")</f>
        <v/>
      </c>
      <c r="E2728" s="5" t="s">
        <v>3559</v>
      </c>
      <c r="F2728" s="6" t="e">
        <f aca="false">VLOOKUP(E2728,$K$2:$L$426,2,FALSE())</f>
        <v>#N/A</v>
      </c>
      <c r="G2728" s="1" t="str">
        <f aca="false">IF(ISNA(F2728),"",F2728)</f>
        <v/>
      </c>
      <c r="H2728" s="5" t="str">
        <f aca="false">IF(G2728&lt;&gt;"",G2728,E2728)</f>
        <v>29, 33, MAGIKARP</v>
      </c>
    </row>
    <row r="2729" customFormat="false" ht="12.75" hidden="false" customHeight="true" outlineLevel="0" collapsed="false">
      <c r="A2729" s="4" t="s">
        <v>3560</v>
      </c>
      <c r="B2729" s="5" t="s">
        <v>3560</v>
      </c>
      <c r="C2729" s="1" t="str">
        <f aca="false">IF(B2729="NEW ROUTE",1,"")</f>
        <v/>
      </c>
      <c r="E2729" s="5" t="s">
        <v>3560</v>
      </c>
      <c r="F2729" s="6" t="e">
        <f aca="false">VLOOKUP(E2729,$K$2:$L$426,2,FALSE())</f>
        <v>#N/A</v>
      </c>
      <c r="G2729" s="1" t="str">
        <f aca="false">IF(ISNA(F2729),"",F2729)</f>
        <v/>
      </c>
      <c r="H2729" s="5" t="str">
        <f aca="false">IF(G2729&lt;&gt;"",G2729,E2729)</f>
        <v>30, 35, GYARADOS</v>
      </c>
    </row>
    <row r="2730" customFormat="false" ht="12.75" hidden="false" customHeight="true" outlineLevel="0" collapsed="false">
      <c r="A2730" s="4" t="s">
        <v>3620</v>
      </c>
      <c r="B2730" s="5" t="s">
        <v>3620</v>
      </c>
      <c r="C2730" s="1" t="str">
        <f aca="false">IF(B2730="NEW ROUTE",1,"")</f>
        <v/>
      </c>
      <c r="E2730" s="5" t="s">
        <v>3620</v>
      </c>
      <c r="F2730" s="6" t="e">
        <f aca="false">VLOOKUP(E2730,$K$2:$L$426,2,FALSE())</f>
        <v>#N/A</v>
      </c>
      <c r="G2730" s="1" t="str">
        <f aca="false">IF(ISNA(F2730),"",F2730)</f>
        <v/>
      </c>
      <c r="H2730" s="5" t="str">
        <f aca="false">IF(G2730&lt;&gt;"",G2730,E2730)</f>
        <v>30, 35, MUK</v>
      </c>
    </row>
    <row r="2731" customFormat="false" ht="12.75" hidden="false" customHeight="true" outlineLevel="0" collapsed="false">
      <c r="A2731" s="4" t="s">
        <v>2850</v>
      </c>
      <c r="B2731" s="5" t="s">
        <v>2850</v>
      </c>
      <c r="C2731" s="1" t="str">
        <f aca="false">IF(B2731="NEW ROUTE",1,"")</f>
        <v/>
      </c>
      <c r="E2731" s="5" t="s">
        <v>2850</v>
      </c>
      <c r="F2731" s="6" t="e">
        <f aca="false">VLOOKUP(E2731,$K$2:$L$426,2,FALSE())</f>
        <v>#N/A</v>
      </c>
      <c r="G2731" s="1" t="str">
        <f aca="false">IF(ISNA(F2731),"",F2731)</f>
        <v/>
      </c>
      <c r="H2731" s="5" t="str">
        <f aca="false">IF(G2731&lt;&gt;"",G2731,E2731)</f>
        <v>super rod:</v>
      </c>
    </row>
    <row r="2732" customFormat="false" ht="12.75" hidden="false" customHeight="true" outlineLevel="0" collapsed="false">
      <c r="A2732" s="4" t="s">
        <v>3356</v>
      </c>
      <c r="B2732" s="5" t="s">
        <v>3356</v>
      </c>
      <c r="C2732" s="1" t="str">
        <f aca="false">IF(B2732="NEW ROUTE",1,"")</f>
        <v/>
      </c>
      <c r="E2732" s="5" t="s">
        <v>3356</v>
      </c>
      <c r="F2732" s="6" t="e">
        <f aca="false">VLOOKUP(E2732,$K$2:$L$426,2,FALSE())</f>
        <v>#N/A</v>
      </c>
      <c r="G2732" s="1" t="str">
        <f aca="false">IF(ISNA(F2732),"",F2732)</f>
        <v/>
      </c>
      <c r="H2732" s="5" t="str">
        <f aca="false">IF(G2732&lt;&gt;"",G2732,E2732)</f>
        <v>36, 40, GYARADOS</v>
      </c>
    </row>
    <row r="2733" customFormat="false" ht="12.75" hidden="false" customHeight="true" outlineLevel="0" collapsed="false">
      <c r="A2733" s="4" t="s">
        <v>3621</v>
      </c>
      <c r="B2733" s="5" t="s">
        <v>3621</v>
      </c>
      <c r="C2733" s="1" t="str">
        <f aca="false">IF(B2733="NEW ROUTE",1,"")</f>
        <v/>
      </c>
      <c r="E2733" s="5" t="s">
        <v>3621</v>
      </c>
      <c r="F2733" s="6" t="e">
        <f aca="false">VLOOKUP(E2733,$K$2:$L$426,2,FALSE())</f>
        <v>#N/A</v>
      </c>
      <c r="G2733" s="1" t="str">
        <f aca="false">IF(ISNA(F2733),"",F2733)</f>
        <v/>
      </c>
      <c r="H2733" s="5" t="str">
        <f aca="false">IF(G2733&lt;&gt;"",G2733,E2733)</f>
        <v>36, 40, MUK</v>
      </c>
    </row>
    <row r="2734" customFormat="false" ht="12.75" hidden="false" customHeight="true" outlineLevel="0" collapsed="false">
      <c r="A2734" s="4" t="s">
        <v>3622</v>
      </c>
      <c r="B2734" s="5" t="s">
        <v>3622</v>
      </c>
      <c r="C2734" s="1" t="str">
        <f aca="false">IF(B2734="NEW ROUTE",1,"")</f>
        <v/>
      </c>
      <c r="E2734" s="5" t="s">
        <v>3622</v>
      </c>
      <c r="F2734" s="6" t="e">
        <f aca="false">VLOOKUP(E2734,$K$2:$L$426,2,FALSE())</f>
        <v>#N/A</v>
      </c>
      <c r="G2734" s="1" t="str">
        <f aca="false">IF(ISNA(F2734),"",F2734)</f>
        <v/>
      </c>
      <c r="H2734" s="5" t="str">
        <f aca="false">IF(G2734&lt;&gt;"",G2734,E2734)</f>
        <v>41, 41, GYARADOS</v>
      </c>
    </row>
    <row r="2735" customFormat="false" ht="12.75" hidden="false" customHeight="true" outlineLevel="0" collapsed="false">
      <c r="A2735" s="4" t="s">
        <v>3623</v>
      </c>
      <c r="B2735" s="5" t="s">
        <v>3623</v>
      </c>
      <c r="C2735" s="1" t="str">
        <f aca="false">IF(B2735="NEW ROUTE",1,"")</f>
        <v/>
      </c>
      <c r="E2735" s="5" t="s">
        <v>3623</v>
      </c>
      <c r="F2735" s="6" t="e">
        <f aca="false">VLOOKUP(E2735,$K$2:$L$426,2,FALSE())</f>
        <v>#N/A</v>
      </c>
      <c r="G2735" s="1" t="str">
        <f aca="false">IF(ISNA(F2735),"",F2735)</f>
        <v/>
      </c>
      <c r="H2735" s="5" t="str">
        <f aca="false">IF(G2735&lt;&gt;"",G2735,E2735)</f>
        <v>38, 42, HYDRADOS</v>
      </c>
    </row>
    <row r="2736" customFormat="false" ht="12.75" hidden="false" customHeight="true" outlineLevel="0" collapsed="false">
      <c r="A2736" s="4" t="s">
        <v>3624</v>
      </c>
      <c r="B2736" s="5" t="s">
        <v>3624</v>
      </c>
      <c r="C2736" s="1" t="str">
        <f aca="false">IF(B2736="NEW ROUTE",1,"")</f>
        <v/>
      </c>
      <c r="E2736" s="5" t="s">
        <v>3624</v>
      </c>
      <c r="F2736" s="6" t="e">
        <f aca="false">VLOOKUP(E2736,$K$2:$L$426,2,FALSE())</f>
        <v>#N/A</v>
      </c>
      <c r="G2736" s="1" t="str">
        <f aca="false">IF(ISNA(F2736),"",F2736)</f>
        <v/>
      </c>
      <c r="H2736" s="5" t="str">
        <f aca="false">IF(G2736&lt;&gt;"",G2736,E2736)</f>
        <v>40, 44, GUNK</v>
      </c>
    </row>
    <row r="2737" customFormat="false" ht="12.75" hidden="false" customHeight="true" outlineLevel="0" collapsed="false">
      <c r="A2737" s="4" t="s">
        <v>2536</v>
      </c>
      <c r="B2737" s="5" t="s">
        <v>2536</v>
      </c>
      <c r="C2737" s="1" t="n">
        <f aca="false">IF(B2737="NEW ROUTE",1,"")</f>
        <v>1</v>
      </c>
      <c r="E2737" s="5" t="s">
        <v>2536</v>
      </c>
      <c r="F2737" s="6" t="e">
        <f aca="false">VLOOKUP(E2737,$K$2:$L$426,2,FALSE())</f>
        <v>#N/A</v>
      </c>
      <c r="G2737" s="1" t="str">
        <f aca="false">IF(ISNA(F2737),"",F2737)</f>
        <v/>
      </c>
      <c r="H2737" s="5" t="str">
        <f aca="false">IF(G2737&lt;&gt;"",G2737,E2737)</f>
        <v>NEW ROUTE</v>
      </c>
    </row>
    <row r="2738" customFormat="false" ht="12.75" hidden="false" customHeight="true" outlineLevel="0" collapsed="false">
      <c r="A2738" s="4" t="s">
        <v>392</v>
      </c>
      <c r="B2738" s="5" t="s">
        <v>392</v>
      </c>
      <c r="C2738" s="1" t="str">
        <f aca="false">IF(B2738="NEW ROUTE",1,"")</f>
        <v/>
      </c>
      <c r="E2738" s="5" t="s">
        <v>392</v>
      </c>
      <c r="F2738" s="6" t="str">
        <f aca="false">VLOOKUP(E2738,$K$2:$L$426,2,FALSE())</f>
        <v>Fuchsia City</v>
      </c>
      <c r="G2738" s="1" t="str">
        <f aca="false">IF(ISNA(F2738),"",F2738)</f>
        <v>Fuchsia City</v>
      </c>
      <c r="H2738" s="5" t="str">
        <f aca="false">IF(G2738&lt;&gt;"",G2738,E2738)</f>
        <v>Fuchsia City</v>
      </c>
    </row>
    <row r="2739" customFormat="false" ht="12.75" hidden="false" customHeight="true" outlineLevel="0" collapsed="false">
      <c r="A2739" s="4" t="s">
        <v>3609</v>
      </c>
      <c r="B2739" s="5" t="s">
        <v>3609</v>
      </c>
      <c r="C2739" s="1" t="str">
        <f aca="false">IF(B2739="NEW ROUTE",1,"")</f>
        <v/>
      </c>
      <c r="E2739" s="5" t="s">
        <v>3609</v>
      </c>
      <c r="F2739" s="6" t="e">
        <f aca="false">VLOOKUP(E2739,$K$2:$L$426,2,FALSE())</f>
        <v>#N/A</v>
      </c>
      <c r="G2739" s="1" t="str">
        <f aca="false">IF(ISNA(F2739),"",F2739)</f>
        <v/>
      </c>
      <c r="H2739" s="5" t="str">
        <f aca="false">IF(G2739&lt;&gt;"",G2739,E2739)</f>
        <v>1, 38, 42, TENTACOOL</v>
      </c>
    </row>
    <row r="2740" customFormat="false" ht="12.75" hidden="false" customHeight="true" outlineLevel="0" collapsed="false">
      <c r="A2740" s="4" t="s">
        <v>3350</v>
      </c>
      <c r="B2740" s="5" t="s">
        <v>3350</v>
      </c>
      <c r="C2740" s="1" t="str">
        <f aca="false">IF(B2740="NEW ROUTE",1,"")</f>
        <v/>
      </c>
      <c r="E2740" s="5" t="s">
        <v>3350</v>
      </c>
      <c r="F2740" s="6" t="e">
        <f aca="false">VLOOKUP(E2740,$K$2:$L$426,2,FALSE())</f>
        <v>#N/A</v>
      </c>
      <c r="G2740" s="1" t="str">
        <f aca="false">IF(ISNA(F2740),"",F2740)</f>
        <v/>
      </c>
      <c r="H2740" s="5" t="str">
        <f aca="false">IF(G2740&lt;&gt;"",G2740,E2740)</f>
        <v>40, 44, PSYDUCK</v>
      </c>
    </row>
    <row r="2741" customFormat="false" ht="12.75" hidden="false" customHeight="true" outlineLevel="0" collapsed="false">
      <c r="A2741" s="4" t="s">
        <v>3351</v>
      </c>
      <c r="B2741" s="5" t="s">
        <v>3351</v>
      </c>
      <c r="C2741" s="1" t="str">
        <f aca="false">IF(B2741="NEW ROUTE",1,"")</f>
        <v/>
      </c>
      <c r="E2741" s="5" t="s">
        <v>3351</v>
      </c>
      <c r="F2741" s="6" t="e">
        <f aca="false">VLOOKUP(E2741,$K$2:$L$426,2,FALSE())</f>
        <v>#N/A</v>
      </c>
      <c r="G2741" s="1" t="str">
        <f aca="false">IF(ISNA(F2741),"",F2741)</f>
        <v/>
      </c>
      <c r="H2741" s="5" t="str">
        <f aca="false">IF(G2741&lt;&gt;"",G2741,E2741)</f>
        <v>42, 46, TENTACRUEL</v>
      </c>
    </row>
    <row r="2742" customFormat="false" ht="12.75" hidden="false" customHeight="true" outlineLevel="0" collapsed="false">
      <c r="A2742" s="4" t="s">
        <v>2923</v>
      </c>
      <c r="B2742" s="5" t="s">
        <v>2923</v>
      </c>
      <c r="C2742" s="1" t="str">
        <f aca="false">IF(B2742="NEW ROUTE",1,"")</f>
        <v/>
      </c>
      <c r="E2742" s="5" t="s">
        <v>2923</v>
      </c>
      <c r="F2742" s="6" t="e">
        <f aca="false">VLOOKUP(E2742,$K$2:$L$426,2,FALSE())</f>
        <v>#N/A</v>
      </c>
      <c r="G2742" s="1" t="str">
        <f aca="false">IF(ISNA(F2742),"",F2742)</f>
        <v/>
      </c>
      <c r="H2742" s="5" t="str">
        <f aca="false">IF(G2742&lt;&gt;"",G2742,E2742)</f>
        <v>42, 46, GOLDUCK</v>
      </c>
    </row>
    <row r="2743" customFormat="false" ht="12.75" hidden="false" customHeight="true" outlineLevel="0" collapsed="false">
      <c r="A2743" s="4" t="s">
        <v>2924</v>
      </c>
      <c r="B2743" s="5" t="s">
        <v>2924</v>
      </c>
      <c r="C2743" s="1" t="str">
        <f aca="false">IF(B2743="NEW ROUTE",1,"")</f>
        <v/>
      </c>
      <c r="E2743" s="5" t="s">
        <v>2924</v>
      </c>
      <c r="F2743" s="6" t="e">
        <f aca="false">VLOOKUP(E2743,$K$2:$L$426,2,FALSE())</f>
        <v>#N/A</v>
      </c>
      <c r="G2743" s="1" t="str">
        <f aca="false">IF(ISNA(F2743),"",F2743)</f>
        <v/>
      </c>
      <c r="H2743" s="5" t="str">
        <f aca="false">IF(G2743&lt;&gt;"",G2743,E2743)</f>
        <v>44, 48, VAPOREON</v>
      </c>
    </row>
    <row r="2744" customFormat="false" ht="12.75" hidden="false" customHeight="true" outlineLevel="0" collapsed="false">
      <c r="A2744" s="4" t="s">
        <v>2845</v>
      </c>
      <c r="B2744" s="5" t="s">
        <v>2845</v>
      </c>
      <c r="C2744" s="1" t="str">
        <f aca="false">IF(B2744="NEW ROUTE",1,"")</f>
        <v/>
      </c>
      <c r="E2744" s="5" t="s">
        <v>2845</v>
      </c>
      <c r="F2744" s="6" t="e">
        <f aca="false">VLOOKUP(E2744,$K$2:$L$426,2,FALSE())</f>
        <v>#N/A</v>
      </c>
      <c r="G2744" s="1" t="str">
        <f aca="false">IF(ISNA(F2744),"",F2744)</f>
        <v/>
      </c>
      <c r="H2744" s="5" t="str">
        <f aca="false">IF(G2744&lt;&gt;"",G2744,E2744)</f>
        <v>10, old rod:</v>
      </c>
    </row>
    <row r="2745" customFormat="false" ht="12.75" hidden="false" customHeight="true" outlineLevel="0" collapsed="false">
      <c r="A2745" s="4" t="s">
        <v>2114</v>
      </c>
      <c r="B2745" s="5" t="s">
        <v>2114</v>
      </c>
      <c r="C2745" s="1" t="str">
        <f aca="false">IF(B2745="NEW ROUTE",1,"")</f>
        <v/>
      </c>
      <c r="E2745" s="5" t="s">
        <v>2114</v>
      </c>
      <c r="F2745" s="6" t="e">
        <f aca="false">VLOOKUP(E2745,$K$2:$L$426,2,FALSE())</f>
        <v>#N/A</v>
      </c>
      <c r="G2745" s="1" t="str">
        <f aca="false">IF(ISNA(F2745),"",F2745)</f>
        <v/>
      </c>
      <c r="H2745" s="5" t="str">
        <f aca="false">IF(G2745&lt;&gt;"",G2745,E2745)</f>
        <v>19, 26, SEEL</v>
      </c>
    </row>
    <row r="2746" customFormat="false" ht="12.75" hidden="false" customHeight="true" outlineLevel="0" collapsed="false">
      <c r="A2746" s="4" t="s">
        <v>2926</v>
      </c>
      <c r="B2746" s="5" t="s">
        <v>2926</v>
      </c>
      <c r="C2746" s="1" t="str">
        <f aca="false">IF(B2746="NEW ROUTE",1,"")</f>
        <v/>
      </c>
      <c r="E2746" s="5" t="s">
        <v>2926</v>
      </c>
      <c r="F2746" s="6" t="e">
        <f aca="false">VLOOKUP(E2746,$K$2:$L$426,2,FALSE())</f>
        <v>#N/A</v>
      </c>
      <c r="G2746" s="1" t="str">
        <f aca="false">IF(ISNA(F2746),"",F2746)</f>
        <v/>
      </c>
      <c r="H2746" s="5" t="str">
        <f aca="false">IF(G2746&lt;&gt;"",G2746,E2746)</f>
        <v>19, 26, POLIWAG</v>
      </c>
    </row>
    <row r="2747" customFormat="false" ht="12.75" hidden="false" customHeight="true" outlineLevel="0" collapsed="false">
      <c r="A2747" s="4" t="s">
        <v>2846</v>
      </c>
      <c r="B2747" s="5" t="s">
        <v>2846</v>
      </c>
      <c r="C2747" s="1" t="str">
        <f aca="false">IF(B2747="NEW ROUTE",1,"")</f>
        <v/>
      </c>
      <c r="E2747" s="5" t="s">
        <v>2846</v>
      </c>
      <c r="F2747" s="6" t="e">
        <f aca="false">VLOOKUP(E2747,$K$2:$L$426,2,FALSE())</f>
        <v>#N/A</v>
      </c>
      <c r="G2747" s="1" t="str">
        <f aca="false">IF(ISNA(F2747),"",F2747)</f>
        <v/>
      </c>
      <c r="H2747" s="5" t="str">
        <f aca="false">IF(G2747&lt;&gt;"",G2747,E2747)</f>
        <v>good rod:</v>
      </c>
    </row>
    <row r="2748" customFormat="false" ht="12.75" hidden="false" customHeight="true" outlineLevel="0" collapsed="false">
      <c r="A2748" s="4" t="s">
        <v>3626</v>
      </c>
      <c r="B2748" s="5" t="s">
        <v>3626</v>
      </c>
      <c r="C2748" s="1" t="str">
        <f aca="false">IF(B2748="NEW ROUTE",1,"")</f>
        <v/>
      </c>
      <c r="E2748" s="5" t="s">
        <v>3626</v>
      </c>
      <c r="F2748" s="6" t="e">
        <f aca="false">VLOOKUP(E2748,$K$2:$L$426,2,FALSE())</f>
        <v>#N/A</v>
      </c>
      <c r="G2748" s="1" t="str">
        <f aca="false">IF(ISNA(F2748),"",F2748)</f>
        <v/>
      </c>
      <c r="H2748" s="5" t="str">
        <f aca="false">IF(G2748&lt;&gt;"",G2748,E2748)</f>
        <v>29, 33, SEEL</v>
      </c>
    </row>
    <row r="2749" customFormat="false" ht="12.75" hidden="false" customHeight="true" outlineLevel="0" collapsed="false">
      <c r="A2749" s="4" t="s">
        <v>2928</v>
      </c>
      <c r="B2749" s="5" t="s">
        <v>2928</v>
      </c>
      <c r="C2749" s="1" t="str">
        <f aca="false">IF(B2749="NEW ROUTE",1,"")</f>
        <v/>
      </c>
      <c r="E2749" s="5" t="s">
        <v>2928</v>
      </c>
      <c r="F2749" s="6" t="e">
        <f aca="false">VLOOKUP(E2749,$K$2:$L$426,2,FALSE())</f>
        <v>#N/A</v>
      </c>
      <c r="G2749" s="1" t="str">
        <f aca="false">IF(ISNA(F2749),"",F2749)</f>
        <v/>
      </c>
      <c r="H2749" s="5" t="str">
        <f aca="false">IF(G2749&lt;&gt;"",G2749,E2749)</f>
        <v>30, 35, POLIWAG</v>
      </c>
    </row>
    <row r="2750" customFormat="false" ht="12.75" hidden="false" customHeight="true" outlineLevel="0" collapsed="false">
      <c r="A2750" s="4" t="s">
        <v>2929</v>
      </c>
      <c r="B2750" s="5" t="s">
        <v>2929</v>
      </c>
      <c r="C2750" s="1" t="str">
        <f aca="false">IF(B2750="NEW ROUTE",1,"")</f>
        <v/>
      </c>
      <c r="E2750" s="5" t="s">
        <v>2929</v>
      </c>
      <c r="F2750" s="6" t="e">
        <f aca="false">VLOOKUP(E2750,$K$2:$L$426,2,FALSE())</f>
        <v>#N/A</v>
      </c>
      <c r="G2750" s="1" t="str">
        <f aca="false">IF(ISNA(F2750),"",F2750)</f>
        <v/>
      </c>
      <c r="H2750" s="5" t="str">
        <f aca="false">IF(G2750&lt;&gt;"",G2750,E2750)</f>
        <v>30, 35, GOLDEEN</v>
      </c>
    </row>
    <row r="2751" customFormat="false" ht="12.75" hidden="false" customHeight="true" outlineLevel="0" collapsed="false">
      <c r="A2751" s="4" t="s">
        <v>2850</v>
      </c>
      <c r="B2751" s="5" t="s">
        <v>2850</v>
      </c>
      <c r="C2751" s="1" t="str">
        <f aca="false">IF(B2751="NEW ROUTE",1,"")</f>
        <v/>
      </c>
      <c r="E2751" s="5" t="s">
        <v>2850</v>
      </c>
      <c r="F2751" s="6" t="e">
        <f aca="false">VLOOKUP(E2751,$K$2:$L$426,2,FALSE())</f>
        <v>#N/A</v>
      </c>
      <c r="G2751" s="1" t="str">
        <f aca="false">IF(ISNA(F2751),"",F2751)</f>
        <v/>
      </c>
      <c r="H2751" s="5" t="str">
        <f aca="false">IF(G2751&lt;&gt;"",G2751,E2751)</f>
        <v>super rod:</v>
      </c>
    </row>
    <row r="2752" customFormat="false" ht="12.75" hidden="false" customHeight="true" outlineLevel="0" collapsed="false">
      <c r="A2752" s="4" t="s">
        <v>2930</v>
      </c>
      <c r="B2752" s="5" t="s">
        <v>2930</v>
      </c>
      <c r="C2752" s="1" t="str">
        <f aca="false">IF(B2752="NEW ROUTE",1,"")</f>
        <v/>
      </c>
      <c r="E2752" s="5" t="s">
        <v>2930</v>
      </c>
      <c r="F2752" s="6" t="e">
        <f aca="false">VLOOKUP(E2752,$K$2:$L$426,2,FALSE())</f>
        <v>#N/A</v>
      </c>
      <c r="G2752" s="1" t="str">
        <f aca="false">IF(ISNA(F2752),"",F2752)</f>
        <v/>
      </c>
      <c r="H2752" s="5" t="str">
        <f aca="false">IF(G2752&lt;&gt;"",G2752,E2752)</f>
        <v>36, 40, POLIWHIRL</v>
      </c>
    </row>
    <row r="2753" customFormat="false" ht="12.75" hidden="false" customHeight="true" outlineLevel="0" collapsed="false">
      <c r="A2753" s="4" t="s">
        <v>3627</v>
      </c>
      <c r="B2753" s="5" t="s">
        <v>3627</v>
      </c>
      <c r="C2753" s="1" t="str">
        <f aca="false">IF(B2753="NEW ROUTE",1,"")</f>
        <v/>
      </c>
      <c r="E2753" s="5" t="s">
        <v>3627</v>
      </c>
      <c r="F2753" s="6" t="e">
        <f aca="false">VLOOKUP(E2753,$K$2:$L$426,2,FALSE())</f>
        <v>#N/A</v>
      </c>
      <c r="G2753" s="1" t="str">
        <f aca="false">IF(ISNA(F2753),"",F2753)</f>
        <v/>
      </c>
      <c r="H2753" s="5" t="str">
        <f aca="false">IF(G2753&lt;&gt;"",G2753,E2753)</f>
        <v>36, 40, DEWGONG</v>
      </c>
    </row>
    <row r="2754" customFormat="false" ht="12.75" hidden="false" customHeight="true" outlineLevel="0" collapsed="false">
      <c r="A2754" s="4" t="s">
        <v>3628</v>
      </c>
      <c r="B2754" s="5" t="s">
        <v>3628</v>
      </c>
      <c r="C2754" s="1" t="str">
        <f aca="false">IF(B2754="NEW ROUTE",1,"")</f>
        <v/>
      </c>
      <c r="E2754" s="5" t="s">
        <v>3628</v>
      </c>
      <c r="F2754" s="6" t="e">
        <f aca="false">VLOOKUP(E2754,$K$2:$L$426,2,FALSE())</f>
        <v>#N/A</v>
      </c>
      <c r="G2754" s="1" t="str">
        <f aca="false">IF(ISNA(F2754),"",F2754)</f>
        <v/>
      </c>
      <c r="H2754" s="5" t="str">
        <f aca="false">IF(G2754&lt;&gt;"",G2754,E2754)</f>
        <v>38, 42, SEAKING</v>
      </c>
    </row>
    <row r="2755" customFormat="false" ht="12.75" hidden="false" customHeight="true" outlineLevel="0" collapsed="false">
      <c r="A2755" s="4" t="s">
        <v>3378</v>
      </c>
      <c r="B2755" s="5" t="s">
        <v>3378</v>
      </c>
      <c r="C2755" s="1" t="str">
        <f aca="false">IF(B2755="NEW ROUTE",1,"")</f>
        <v/>
      </c>
      <c r="E2755" s="5" t="s">
        <v>3378</v>
      </c>
      <c r="F2755" s="6" t="e">
        <f aca="false">VLOOKUP(E2755,$K$2:$L$426,2,FALSE())</f>
        <v>#N/A</v>
      </c>
      <c r="G2755" s="1" t="str">
        <f aca="false">IF(ISNA(F2755),"",F2755)</f>
        <v/>
      </c>
      <c r="H2755" s="5" t="str">
        <f aca="false">IF(G2755&lt;&gt;"",G2755,E2755)</f>
        <v>38, 42, POLIWRATH</v>
      </c>
    </row>
    <row r="2756" customFormat="false" ht="12.75" hidden="false" customHeight="true" outlineLevel="0" collapsed="false">
      <c r="A2756" s="4" t="s">
        <v>3629</v>
      </c>
      <c r="B2756" s="5" t="s">
        <v>3629</v>
      </c>
      <c r="C2756" s="1" t="str">
        <f aca="false">IF(B2756="NEW ROUTE",1,"")</f>
        <v/>
      </c>
      <c r="E2756" s="5" t="s">
        <v>3629</v>
      </c>
      <c r="F2756" s="6" t="e">
        <f aca="false">VLOOKUP(E2756,$K$2:$L$426,2,FALSE())</f>
        <v>#N/A</v>
      </c>
      <c r="G2756" s="1" t="str">
        <f aca="false">IF(ISNA(F2756),"",F2756)</f>
        <v/>
      </c>
      <c r="H2756" s="5" t="str">
        <f aca="false">IF(G2756&lt;&gt;"",G2756,E2756)</f>
        <v>40, 44, SEAREX</v>
      </c>
    </row>
    <row r="2757" customFormat="false" ht="12.75" hidden="false" customHeight="true" outlineLevel="0" collapsed="false">
      <c r="A2757" s="4" t="s">
        <v>2536</v>
      </c>
      <c r="B2757" s="5" t="s">
        <v>2536</v>
      </c>
      <c r="C2757" s="1" t="n">
        <f aca="false">IF(B2757="NEW ROUTE",1,"")</f>
        <v>1</v>
      </c>
      <c r="E2757" s="5" t="s">
        <v>2536</v>
      </c>
      <c r="F2757" s="6" t="e">
        <f aca="false">VLOOKUP(E2757,$K$2:$L$426,2,FALSE())</f>
        <v>#N/A</v>
      </c>
      <c r="G2757" s="1" t="str">
        <f aca="false">IF(ISNA(F2757),"",F2757)</f>
        <v/>
      </c>
      <c r="H2757" s="5" t="str">
        <f aca="false">IF(G2757&lt;&gt;"",G2757,E2757)</f>
        <v>NEW ROUTE</v>
      </c>
    </row>
    <row r="2758" customFormat="false" ht="12.75" hidden="false" customHeight="true" outlineLevel="0" collapsed="false">
      <c r="A2758" s="4" t="s">
        <v>394</v>
      </c>
      <c r="B2758" s="5" t="s">
        <v>394</v>
      </c>
      <c r="C2758" s="1" t="str">
        <f aca="false">IF(B2758="NEW ROUTE",1,"")</f>
        <v/>
      </c>
      <c r="E2758" s="5" t="s">
        <v>394</v>
      </c>
      <c r="F2758" s="6" t="str">
        <f aca="false">VLOOKUP(E2758,$K$2:$L$426,2,FALSE())</f>
        <v>Cinnabar Island</v>
      </c>
      <c r="G2758" s="1" t="str">
        <f aca="false">IF(ISNA(F2758),"",F2758)</f>
        <v>Cinnabar Island</v>
      </c>
      <c r="H2758" s="5" t="str">
        <f aca="false">IF(G2758&lt;&gt;"",G2758,E2758)</f>
        <v>Cinnabar Island</v>
      </c>
    </row>
    <row r="2759" customFormat="false" ht="12.75" hidden="false" customHeight="true" outlineLevel="0" collapsed="false">
      <c r="A2759" s="4" t="s">
        <v>3631</v>
      </c>
      <c r="B2759" s="5" t="s">
        <v>3631</v>
      </c>
      <c r="C2759" s="1" t="str">
        <f aca="false">IF(B2759="NEW ROUTE",1,"")</f>
        <v/>
      </c>
      <c r="E2759" s="5" t="s">
        <v>3631</v>
      </c>
      <c r="F2759" s="6" t="e">
        <f aca="false">VLOOKUP(E2759,$K$2:$L$426,2,FALSE())</f>
        <v>#N/A</v>
      </c>
      <c r="G2759" s="1" t="str">
        <f aca="false">IF(ISNA(F2759),"",F2759)</f>
        <v/>
      </c>
      <c r="H2759" s="5" t="str">
        <f aca="false">IF(G2759&lt;&gt;"",G2759,E2759)</f>
        <v>1, 40, 44, DEWGONG</v>
      </c>
    </row>
    <row r="2760" customFormat="false" ht="12.75" hidden="false" customHeight="true" outlineLevel="0" collapsed="false">
      <c r="A2760" s="4" t="s">
        <v>3024</v>
      </c>
      <c r="B2760" s="5" t="s">
        <v>3024</v>
      </c>
      <c r="C2760" s="1" t="str">
        <f aca="false">IF(B2760="NEW ROUTE",1,"")</f>
        <v/>
      </c>
      <c r="E2760" s="5" t="s">
        <v>3024</v>
      </c>
      <c r="F2760" s="6" t="e">
        <f aca="false">VLOOKUP(E2760,$K$2:$L$426,2,FALSE())</f>
        <v>#N/A</v>
      </c>
      <c r="G2760" s="1" t="str">
        <f aca="false">IF(ISNA(F2760),"",F2760)</f>
        <v/>
      </c>
      <c r="H2760" s="5" t="str">
        <f aca="false">IF(G2760&lt;&gt;"",G2760,E2760)</f>
        <v>42, 46, LAPRAS</v>
      </c>
    </row>
    <row r="2761" customFormat="false" ht="12.75" hidden="false" customHeight="true" outlineLevel="0" collapsed="false">
      <c r="A2761" s="4" t="s">
        <v>3013</v>
      </c>
      <c r="B2761" s="5" t="s">
        <v>3013</v>
      </c>
      <c r="C2761" s="1" t="str">
        <f aca="false">IF(B2761="NEW ROUTE",1,"")</f>
        <v/>
      </c>
      <c r="E2761" s="5" t="s">
        <v>3013</v>
      </c>
      <c r="F2761" s="6" t="e">
        <f aca="false">VLOOKUP(E2761,$K$2:$L$426,2,FALSE())</f>
        <v>#N/A</v>
      </c>
      <c r="G2761" s="1" t="str">
        <f aca="false">IF(ISNA(F2761),"",F2761)</f>
        <v/>
      </c>
      <c r="H2761" s="5" t="str">
        <f aca="false">IF(G2761&lt;&gt;"",G2761,E2761)</f>
        <v>44, 47, PRECIPED</v>
      </c>
    </row>
    <row r="2762" customFormat="false" ht="12.75" hidden="false" customHeight="true" outlineLevel="0" collapsed="false">
      <c r="A2762" s="4" t="s">
        <v>3632</v>
      </c>
      <c r="B2762" s="5" t="s">
        <v>3632</v>
      </c>
      <c r="C2762" s="1" t="str">
        <f aca="false">IF(B2762="NEW ROUTE",1,"")</f>
        <v/>
      </c>
      <c r="E2762" s="5" t="s">
        <v>3632</v>
      </c>
      <c r="F2762" s="6" t="e">
        <f aca="false">VLOOKUP(E2762,$K$2:$L$426,2,FALSE())</f>
        <v>#N/A</v>
      </c>
      <c r="G2762" s="1" t="str">
        <f aca="false">IF(ISNA(F2762),"",F2762)</f>
        <v/>
      </c>
      <c r="H2762" s="5" t="str">
        <f aca="false">IF(G2762&lt;&gt;"",G2762,E2762)</f>
        <v>44, 47, TENTACATE</v>
      </c>
    </row>
    <row r="2763" customFormat="false" ht="12.75" hidden="false" customHeight="true" outlineLevel="0" collapsed="false">
      <c r="A2763" s="4" t="s">
        <v>3633</v>
      </c>
      <c r="B2763" s="5" t="s">
        <v>3633</v>
      </c>
      <c r="C2763" s="1" t="str">
        <f aca="false">IF(B2763="NEW ROUTE",1,"")</f>
        <v/>
      </c>
      <c r="E2763" s="5" t="s">
        <v>3633</v>
      </c>
      <c r="F2763" s="6" t="e">
        <f aca="false">VLOOKUP(E2763,$K$2:$L$426,2,FALSE())</f>
        <v>#N/A</v>
      </c>
      <c r="G2763" s="1" t="str">
        <f aca="false">IF(ISNA(F2763),"",F2763)</f>
        <v/>
      </c>
      <c r="H2763" s="5" t="str">
        <f aca="false">IF(G2763&lt;&gt;"",G2763,E2763)</f>
        <v>45, 50, LOCHLASS</v>
      </c>
    </row>
    <row r="2764" customFormat="false" ht="12.75" hidden="false" customHeight="true" outlineLevel="0" collapsed="false">
      <c r="A2764" s="4" t="s">
        <v>2845</v>
      </c>
      <c r="B2764" s="5" t="s">
        <v>2845</v>
      </c>
      <c r="C2764" s="1" t="str">
        <f aca="false">IF(B2764="NEW ROUTE",1,"")</f>
        <v/>
      </c>
      <c r="E2764" s="5" t="s">
        <v>2845</v>
      </c>
      <c r="F2764" s="6" t="e">
        <f aca="false">VLOOKUP(E2764,$K$2:$L$426,2,FALSE())</f>
        <v>#N/A</v>
      </c>
      <c r="G2764" s="1" t="str">
        <f aca="false">IF(ISNA(F2764),"",F2764)</f>
        <v/>
      </c>
      <c r="H2764" s="5" t="str">
        <f aca="false">IF(G2764&lt;&gt;"",G2764,E2764)</f>
        <v>10, old rod:</v>
      </c>
    </row>
    <row r="2765" customFormat="false" ht="12.75" hidden="false" customHeight="true" outlineLevel="0" collapsed="false">
      <c r="A2765" s="4" t="s">
        <v>2122</v>
      </c>
      <c r="B2765" s="5" t="s">
        <v>2122</v>
      </c>
      <c r="C2765" s="1" t="str">
        <f aca="false">IF(B2765="NEW ROUTE",1,"")</f>
        <v/>
      </c>
      <c r="E2765" s="5" t="s">
        <v>2122</v>
      </c>
      <c r="F2765" s="6" t="e">
        <f aca="false">VLOOKUP(E2765,$K$2:$L$426,2,FALSE())</f>
        <v>#N/A</v>
      </c>
      <c r="G2765" s="1" t="str">
        <f aca="false">IF(ISNA(F2765),"",F2765)</f>
        <v/>
      </c>
      <c r="H2765" s="5" t="str">
        <f aca="false">IF(G2765&lt;&gt;"",G2765,E2765)</f>
        <v>24, 30, HORSEA</v>
      </c>
    </row>
    <row r="2766" customFormat="false" ht="12.75" hidden="false" customHeight="true" outlineLevel="0" collapsed="false">
      <c r="A2766" s="4" t="s">
        <v>3634</v>
      </c>
      <c r="B2766" s="5" t="s">
        <v>3634</v>
      </c>
      <c r="C2766" s="1" t="str">
        <f aca="false">IF(B2766="NEW ROUTE",1,"")</f>
        <v/>
      </c>
      <c r="E2766" s="5" t="s">
        <v>3634</v>
      </c>
      <c r="F2766" s="6" t="e">
        <f aca="false">VLOOKUP(E2766,$K$2:$L$426,2,FALSE())</f>
        <v>#N/A</v>
      </c>
      <c r="G2766" s="1" t="str">
        <f aca="false">IF(ISNA(F2766),"",F2766)</f>
        <v/>
      </c>
      <c r="H2766" s="5" t="str">
        <f aca="false">IF(G2766&lt;&gt;"",G2766,E2766)</f>
        <v>24, 30, SHELLDER</v>
      </c>
    </row>
    <row r="2767" customFormat="false" ht="12.75" hidden="false" customHeight="true" outlineLevel="0" collapsed="false">
      <c r="A2767" s="4" t="s">
        <v>2846</v>
      </c>
      <c r="B2767" s="5" t="s">
        <v>2846</v>
      </c>
      <c r="C2767" s="1" t="str">
        <f aca="false">IF(B2767="NEW ROUTE",1,"")</f>
        <v/>
      </c>
      <c r="E2767" s="5" t="s">
        <v>2846</v>
      </c>
      <c r="F2767" s="6" t="e">
        <f aca="false">VLOOKUP(E2767,$K$2:$L$426,2,FALSE())</f>
        <v>#N/A</v>
      </c>
      <c r="G2767" s="1" t="str">
        <f aca="false">IF(ISNA(F2767),"",F2767)</f>
        <v/>
      </c>
      <c r="H2767" s="5" t="str">
        <f aca="false">IF(G2767&lt;&gt;"",G2767,E2767)</f>
        <v>good rod:</v>
      </c>
    </row>
    <row r="2768" customFormat="false" ht="12.75" hidden="false" customHeight="true" outlineLevel="0" collapsed="false">
      <c r="A2768" s="4" t="s">
        <v>3635</v>
      </c>
      <c r="B2768" s="5" t="s">
        <v>3635</v>
      </c>
      <c r="C2768" s="1" t="str">
        <f aca="false">IF(B2768="NEW ROUTE",1,"")</f>
        <v/>
      </c>
      <c r="E2768" s="5" t="s">
        <v>3635</v>
      </c>
      <c r="F2768" s="6" t="e">
        <f aca="false">VLOOKUP(E2768,$K$2:$L$426,2,FALSE())</f>
        <v>#N/A</v>
      </c>
      <c r="G2768" s="1" t="str">
        <f aca="false">IF(ISNA(F2768),"",F2768)</f>
        <v/>
      </c>
      <c r="H2768" s="5" t="str">
        <f aca="false">IF(G2768&lt;&gt;"",G2768,E2768)</f>
        <v>35, 40, SEADRA</v>
      </c>
    </row>
    <row r="2769" customFormat="false" ht="12.75" hidden="false" customHeight="true" outlineLevel="0" collapsed="false">
      <c r="A2769" s="4" t="s">
        <v>3636</v>
      </c>
      <c r="B2769" s="5" t="s">
        <v>3636</v>
      </c>
      <c r="C2769" s="1" t="str">
        <f aca="false">IF(B2769="NEW ROUTE",1,"")</f>
        <v/>
      </c>
      <c r="E2769" s="5" t="s">
        <v>3636</v>
      </c>
      <c r="F2769" s="6" t="e">
        <f aca="false">VLOOKUP(E2769,$K$2:$L$426,2,FALSE())</f>
        <v>#N/A</v>
      </c>
      <c r="G2769" s="1" t="str">
        <f aca="false">IF(ISNA(F2769),"",F2769)</f>
        <v/>
      </c>
      <c r="H2769" s="5" t="str">
        <f aca="false">IF(G2769&lt;&gt;"",G2769,E2769)</f>
        <v>37, 42, KRABBY</v>
      </c>
    </row>
    <row r="2770" customFormat="false" ht="12.75" hidden="false" customHeight="true" outlineLevel="0" collapsed="false">
      <c r="A2770" s="4" t="s">
        <v>3637</v>
      </c>
      <c r="B2770" s="5" t="s">
        <v>3637</v>
      </c>
      <c r="C2770" s="1" t="str">
        <f aca="false">IF(B2770="NEW ROUTE",1,"")</f>
        <v/>
      </c>
      <c r="E2770" s="5" t="s">
        <v>3637</v>
      </c>
      <c r="F2770" s="6" t="e">
        <f aca="false">VLOOKUP(E2770,$K$2:$L$426,2,FALSE())</f>
        <v>#N/A</v>
      </c>
      <c r="G2770" s="1" t="str">
        <f aca="false">IF(ISNA(F2770),"",F2770)</f>
        <v/>
      </c>
      <c r="H2770" s="5" t="str">
        <f aca="false">IF(G2770&lt;&gt;"",G2770,E2770)</f>
        <v>37, 42, CLOYSTER</v>
      </c>
    </row>
    <row r="2771" customFormat="false" ht="12.75" hidden="false" customHeight="true" outlineLevel="0" collapsed="false">
      <c r="A2771" s="4" t="s">
        <v>2850</v>
      </c>
      <c r="B2771" s="5" t="s">
        <v>2850</v>
      </c>
      <c r="C2771" s="1" t="str">
        <f aca="false">IF(B2771="NEW ROUTE",1,"")</f>
        <v/>
      </c>
      <c r="E2771" s="5" t="s">
        <v>2850</v>
      </c>
      <c r="F2771" s="6" t="e">
        <f aca="false">VLOOKUP(E2771,$K$2:$L$426,2,FALSE())</f>
        <v>#N/A</v>
      </c>
      <c r="G2771" s="1" t="str">
        <f aca="false">IF(ISNA(F2771),"",F2771)</f>
        <v/>
      </c>
      <c r="H2771" s="5" t="str">
        <f aca="false">IF(G2771&lt;&gt;"",G2771,E2771)</f>
        <v>super rod:</v>
      </c>
    </row>
    <row r="2772" customFormat="false" ht="12.75" hidden="false" customHeight="true" outlineLevel="0" collapsed="false">
      <c r="A2772" s="4" t="s">
        <v>3638</v>
      </c>
      <c r="B2772" s="5" t="s">
        <v>3638</v>
      </c>
      <c r="C2772" s="1" t="str">
        <f aca="false">IF(B2772="NEW ROUTE",1,"")</f>
        <v/>
      </c>
      <c r="E2772" s="5" t="s">
        <v>3638</v>
      </c>
      <c r="F2772" s="6" t="e">
        <f aca="false">VLOOKUP(E2772,$K$2:$L$426,2,FALSE())</f>
        <v>#N/A</v>
      </c>
      <c r="G2772" s="1" t="str">
        <f aca="false">IF(ISNA(F2772),"",F2772)</f>
        <v/>
      </c>
      <c r="H2772" s="5" t="str">
        <f aca="false">IF(G2772&lt;&gt;"",G2772,E2772)</f>
        <v>39, 45, KINGDRA</v>
      </c>
    </row>
    <row r="2773" customFormat="false" ht="12.75" hidden="false" customHeight="true" outlineLevel="0" collapsed="false">
      <c r="A2773" s="4" t="s">
        <v>3639</v>
      </c>
      <c r="B2773" s="5" t="s">
        <v>3639</v>
      </c>
      <c r="C2773" s="1" t="str">
        <f aca="false">IF(B2773="NEW ROUTE",1,"")</f>
        <v/>
      </c>
      <c r="E2773" s="5" t="s">
        <v>3639</v>
      </c>
      <c r="F2773" s="6" t="e">
        <f aca="false">VLOOKUP(E2773,$K$2:$L$426,2,FALSE())</f>
        <v>#N/A</v>
      </c>
      <c r="G2773" s="1" t="str">
        <f aca="false">IF(ISNA(F2773),"",F2773)</f>
        <v/>
      </c>
      <c r="H2773" s="5" t="str">
        <f aca="false">IF(G2773&lt;&gt;"",G2773,E2773)</f>
        <v>39, 45, KINGLER</v>
      </c>
    </row>
    <row r="2774" customFormat="false" ht="12.75" hidden="false" customHeight="true" outlineLevel="0" collapsed="false">
      <c r="A2774" s="4" t="s">
        <v>3640</v>
      </c>
      <c r="B2774" s="5" t="s">
        <v>3640</v>
      </c>
      <c r="C2774" s="1" t="str">
        <f aca="false">IF(B2774="NEW ROUTE",1,"")</f>
        <v/>
      </c>
      <c r="E2774" s="5" t="s">
        <v>3640</v>
      </c>
      <c r="F2774" s="6" t="e">
        <f aca="false">VLOOKUP(E2774,$K$2:$L$426,2,FALSE())</f>
        <v>#N/A</v>
      </c>
      <c r="G2774" s="1" t="str">
        <f aca="false">IF(ISNA(F2774),"",F2774)</f>
        <v/>
      </c>
      <c r="H2774" s="5" t="str">
        <f aca="false">IF(G2774&lt;&gt;"",G2774,E2774)</f>
        <v>43, 46, AN'ENEMY</v>
      </c>
    </row>
    <row r="2775" customFormat="false" ht="12.75" hidden="false" customHeight="true" outlineLevel="0" collapsed="false">
      <c r="A2775" s="4" t="s">
        <v>3641</v>
      </c>
      <c r="B2775" s="5" t="s">
        <v>3641</v>
      </c>
      <c r="C2775" s="1" t="str">
        <f aca="false">IF(B2775="NEW ROUTE",1,"")</f>
        <v/>
      </c>
      <c r="E2775" s="5" t="s">
        <v>3641</v>
      </c>
      <c r="F2775" s="6" t="e">
        <f aca="false">VLOOKUP(E2775,$K$2:$L$426,2,FALSE())</f>
        <v>#N/A</v>
      </c>
      <c r="G2775" s="1" t="str">
        <f aca="false">IF(ISNA(F2775),"",F2775)</f>
        <v/>
      </c>
      <c r="H2775" s="5" t="str">
        <f aca="false">IF(G2775&lt;&gt;"",G2775,E2775)</f>
        <v>43, 46, KRAKLAW</v>
      </c>
    </row>
    <row r="2776" customFormat="false" ht="12.75" hidden="false" customHeight="true" outlineLevel="0" collapsed="false">
      <c r="A2776" s="4" t="s">
        <v>3642</v>
      </c>
      <c r="B2776" s="5" t="s">
        <v>3642</v>
      </c>
      <c r="C2776" s="1" t="str">
        <f aca="false">IF(B2776="NEW ROUTE",1,"")</f>
        <v/>
      </c>
      <c r="E2776" s="5" t="s">
        <v>3642</v>
      </c>
      <c r="F2776" s="6" t="e">
        <f aca="false">VLOOKUP(E2776,$K$2:$L$426,2,FALSE())</f>
        <v>#N/A</v>
      </c>
      <c r="G2776" s="1" t="str">
        <f aca="false">IF(ISNA(F2776),"",F2776)</f>
        <v/>
      </c>
      <c r="H2776" s="5" t="str">
        <f aca="false">IF(G2776&lt;&gt;"",G2776,E2776)</f>
        <v>45, 52, LORDRA</v>
      </c>
    </row>
    <row r="2777" customFormat="false" ht="12.75" hidden="false" customHeight="true" outlineLevel="0" collapsed="false">
      <c r="A2777" s="4" t="s">
        <v>2536</v>
      </c>
      <c r="B2777" s="5" t="s">
        <v>2536</v>
      </c>
      <c r="C2777" s="1" t="n">
        <f aca="false">IF(B2777="NEW ROUTE",1,"")</f>
        <v>1</v>
      </c>
      <c r="E2777" s="5" t="s">
        <v>2536</v>
      </c>
      <c r="F2777" s="6" t="e">
        <f aca="false">VLOOKUP(E2777,$K$2:$L$426,2,FALSE())</f>
        <v>#N/A</v>
      </c>
      <c r="G2777" s="1" t="str">
        <f aca="false">IF(ISNA(F2777),"",F2777)</f>
        <v/>
      </c>
      <c r="H2777" s="5" t="str">
        <f aca="false">IF(G2777&lt;&gt;"",G2777,E2777)</f>
        <v>NEW ROUTE</v>
      </c>
    </row>
    <row r="2778" customFormat="false" ht="12.75" hidden="false" customHeight="true" outlineLevel="0" collapsed="false">
      <c r="A2778" s="4" t="s">
        <v>402</v>
      </c>
      <c r="B2778" s="5" t="s">
        <v>402</v>
      </c>
      <c r="C2778" s="1" t="str">
        <f aca="false">IF(B2778="NEW ROUTE",1,"")</f>
        <v/>
      </c>
      <c r="E2778" s="5" t="s">
        <v>402</v>
      </c>
      <c r="F2778" s="6" t="str">
        <f aca="false">VLOOKUP(E2778,$K$2:$L$426,2,FALSE())</f>
        <v>One Island</v>
      </c>
      <c r="G2778" s="1" t="str">
        <f aca="false">IF(ISNA(F2778),"",F2778)</f>
        <v>One Island</v>
      </c>
      <c r="H2778" s="5" t="str">
        <f aca="false">IF(G2778&lt;&gt;"",G2778,E2778)</f>
        <v>One Island</v>
      </c>
    </row>
    <row r="2779" customFormat="false" ht="12.75" hidden="false" customHeight="true" outlineLevel="0" collapsed="false">
      <c r="A2779" s="4" t="s">
        <v>3644</v>
      </c>
      <c r="B2779" s="5" t="s">
        <v>3644</v>
      </c>
      <c r="C2779" s="1" t="str">
        <f aca="false">IF(B2779="NEW ROUTE",1,"")</f>
        <v/>
      </c>
      <c r="E2779" s="5" t="s">
        <v>3644</v>
      </c>
      <c r="F2779" s="6" t="e">
        <f aca="false">VLOOKUP(E2779,$K$2:$L$426,2,FALSE())</f>
        <v>#N/A</v>
      </c>
      <c r="G2779" s="1" t="str">
        <f aca="false">IF(ISNA(F2779),"",F2779)</f>
        <v/>
      </c>
      <c r="H2779" s="5" t="str">
        <f aca="false">IF(G2779&lt;&gt;"",G2779,E2779)</f>
        <v>1, 5, 20, TENTACOOL</v>
      </c>
    </row>
    <row r="2780" customFormat="false" ht="12.75" hidden="false" customHeight="true" outlineLevel="0" collapsed="false">
      <c r="A2780" s="4" t="s">
        <v>3173</v>
      </c>
      <c r="B2780" s="5" t="s">
        <v>3173</v>
      </c>
      <c r="C2780" s="1" t="str">
        <f aca="false">IF(B2780="NEW ROUTE",1,"")</f>
        <v/>
      </c>
      <c r="E2780" s="5" t="s">
        <v>3173</v>
      </c>
      <c r="F2780" s="6" t="e">
        <f aca="false">VLOOKUP(E2780,$K$2:$L$426,2,FALSE())</f>
        <v>#N/A</v>
      </c>
      <c r="G2780" s="1" t="str">
        <f aca="false">IF(ISNA(F2780),"",F2780)</f>
        <v/>
      </c>
      <c r="H2780" s="5" t="str">
        <f aca="false">IF(G2780&lt;&gt;"",G2780,E2780)</f>
        <v>20, 35, TENTACOOL</v>
      </c>
    </row>
    <row r="2781" customFormat="false" ht="12.75" hidden="false" customHeight="true" outlineLevel="0" collapsed="false">
      <c r="A2781" s="4" t="s">
        <v>2844</v>
      </c>
      <c r="B2781" s="5" t="s">
        <v>2844</v>
      </c>
      <c r="C2781" s="1" t="str">
        <f aca="false">IF(B2781="NEW ROUTE",1,"")</f>
        <v/>
      </c>
      <c r="E2781" s="5" t="s">
        <v>2844</v>
      </c>
      <c r="F2781" s="6" t="e">
        <f aca="false">VLOOKUP(E2781,$K$2:$L$426,2,FALSE())</f>
        <v>#N/A</v>
      </c>
      <c r="G2781" s="1" t="str">
        <f aca="false">IF(ISNA(F2781),"",F2781)</f>
        <v/>
      </c>
      <c r="H2781" s="5" t="str">
        <f aca="false">IF(G2781&lt;&gt;"",G2781,E2781)</f>
        <v>35, 40, TENTACOOL</v>
      </c>
    </row>
    <row r="2782" customFormat="false" ht="12.75" hidden="false" customHeight="true" outlineLevel="0" collapsed="false">
      <c r="A2782" s="4" t="s">
        <v>3231</v>
      </c>
      <c r="B2782" s="5" t="s">
        <v>3231</v>
      </c>
      <c r="C2782" s="1" t="str">
        <f aca="false">IF(B2782="NEW ROUTE",1,"")</f>
        <v/>
      </c>
      <c r="E2782" s="5" t="s">
        <v>3231</v>
      </c>
      <c r="F2782" s="6" t="e">
        <f aca="false">VLOOKUP(E2782,$K$2:$L$426,2,FALSE())</f>
        <v>#N/A</v>
      </c>
      <c r="G2782" s="1" t="str">
        <f aca="false">IF(ISNA(F2782),"",F2782)</f>
        <v/>
      </c>
      <c r="H2782" s="5" t="str">
        <f aca="false">IF(G2782&lt;&gt;"",G2782,E2782)</f>
        <v>35, 40, TENTACRUEL</v>
      </c>
    </row>
    <row r="2783" customFormat="false" ht="12.75" hidden="false" customHeight="true" outlineLevel="0" collapsed="false">
      <c r="A2783" s="4" t="s">
        <v>3231</v>
      </c>
      <c r="B2783" s="5" t="s">
        <v>3231</v>
      </c>
      <c r="C2783" s="1" t="str">
        <f aca="false">IF(B2783="NEW ROUTE",1,"")</f>
        <v/>
      </c>
      <c r="E2783" s="5" t="s">
        <v>3231</v>
      </c>
      <c r="F2783" s="6" t="e">
        <f aca="false">VLOOKUP(E2783,$K$2:$L$426,2,FALSE())</f>
        <v>#N/A</v>
      </c>
      <c r="G2783" s="1" t="str">
        <f aca="false">IF(ISNA(F2783),"",F2783)</f>
        <v/>
      </c>
      <c r="H2783" s="5" t="str">
        <f aca="false">IF(G2783&lt;&gt;"",G2783,E2783)</f>
        <v>35, 40, TENTACRUEL</v>
      </c>
    </row>
    <row r="2784" customFormat="false" ht="12.75" hidden="false" customHeight="true" outlineLevel="0" collapsed="false">
      <c r="A2784" s="4" t="s">
        <v>2845</v>
      </c>
      <c r="B2784" s="5" t="s">
        <v>2845</v>
      </c>
      <c r="C2784" s="1" t="str">
        <f aca="false">IF(B2784="NEW ROUTE",1,"")</f>
        <v/>
      </c>
      <c r="E2784" s="5" t="s">
        <v>2845</v>
      </c>
      <c r="F2784" s="6" t="e">
        <f aca="false">VLOOKUP(E2784,$K$2:$L$426,2,FALSE())</f>
        <v>#N/A</v>
      </c>
      <c r="G2784" s="1" t="str">
        <f aca="false">IF(ISNA(F2784),"",F2784)</f>
        <v/>
      </c>
      <c r="H2784" s="5" t="str">
        <f aca="false">IF(G2784&lt;&gt;"",G2784,E2784)</f>
        <v>10, old rod:</v>
      </c>
    </row>
    <row r="2785" customFormat="false" ht="12.75" hidden="false" customHeight="true" outlineLevel="0" collapsed="false">
      <c r="A2785" s="4" t="s">
        <v>1266</v>
      </c>
      <c r="B2785" s="5" t="s">
        <v>1266</v>
      </c>
      <c r="C2785" s="1" t="str">
        <f aca="false">IF(B2785="NEW ROUTE",1,"")</f>
        <v/>
      </c>
      <c r="E2785" s="5" t="s">
        <v>1266</v>
      </c>
      <c r="F2785" s="6" t="e">
        <f aca="false">VLOOKUP(E2785,$K$2:$L$426,2,FALSE())</f>
        <v>#N/A</v>
      </c>
      <c r="G2785" s="1" t="str">
        <f aca="false">IF(ISNA(F2785),"",F2785)</f>
        <v/>
      </c>
      <c r="H2785" s="5" t="str">
        <f aca="false">IF(G2785&lt;&gt;"",G2785,E2785)</f>
        <v>5, 5, MAGIKARP</v>
      </c>
    </row>
    <row r="2786" customFormat="false" ht="12.75" hidden="false" customHeight="true" outlineLevel="0" collapsed="false">
      <c r="A2786" s="4" t="s">
        <v>1266</v>
      </c>
      <c r="B2786" s="5" t="s">
        <v>1266</v>
      </c>
      <c r="C2786" s="1" t="str">
        <f aca="false">IF(B2786="NEW ROUTE",1,"")</f>
        <v/>
      </c>
      <c r="E2786" s="5" t="s">
        <v>1266</v>
      </c>
      <c r="F2786" s="6" t="e">
        <f aca="false">VLOOKUP(E2786,$K$2:$L$426,2,FALSE())</f>
        <v>#N/A</v>
      </c>
      <c r="G2786" s="1" t="str">
        <f aca="false">IF(ISNA(F2786),"",F2786)</f>
        <v/>
      </c>
      <c r="H2786" s="5" t="str">
        <f aca="false">IF(G2786&lt;&gt;"",G2786,E2786)</f>
        <v>5, 5, MAGIKARP</v>
      </c>
    </row>
    <row r="2787" customFormat="false" ht="12.75" hidden="false" customHeight="true" outlineLevel="0" collapsed="false">
      <c r="A2787" s="4" t="s">
        <v>2846</v>
      </c>
      <c r="B2787" s="5" t="s">
        <v>2846</v>
      </c>
      <c r="C2787" s="1" t="str">
        <f aca="false">IF(B2787="NEW ROUTE",1,"")</f>
        <v/>
      </c>
      <c r="E2787" s="5" t="s">
        <v>2846</v>
      </c>
      <c r="F2787" s="6" t="e">
        <f aca="false">VLOOKUP(E2787,$K$2:$L$426,2,FALSE())</f>
        <v>#N/A</v>
      </c>
      <c r="G2787" s="1" t="str">
        <f aca="false">IF(ISNA(F2787),"",F2787)</f>
        <v/>
      </c>
      <c r="H2787" s="5" t="str">
        <f aca="false">IF(G2787&lt;&gt;"",G2787,E2787)</f>
        <v>good rod:</v>
      </c>
    </row>
    <row r="2788" customFormat="false" ht="12.75" hidden="false" customHeight="true" outlineLevel="0" collapsed="false">
      <c r="A2788" s="4" t="s">
        <v>2847</v>
      </c>
      <c r="B2788" s="5" t="s">
        <v>2847</v>
      </c>
      <c r="C2788" s="1" t="str">
        <f aca="false">IF(B2788="NEW ROUTE",1,"")</f>
        <v/>
      </c>
      <c r="E2788" s="5" t="s">
        <v>2847</v>
      </c>
      <c r="F2788" s="6" t="e">
        <f aca="false">VLOOKUP(E2788,$K$2:$L$426,2,FALSE())</f>
        <v>#N/A</v>
      </c>
      <c r="G2788" s="1" t="str">
        <f aca="false">IF(ISNA(F2788),"",F2788)</f>
        <v/>
      </c>
      <c r="H2788" s="5" t="str">
        <f aca="false">IF(G2788&lt;&gt;"",G2788,E2788)</f>
        <v>5, 15, KRABBY</v>
      </c>
    </row>
    <row r="2789" customFormat="false" ht="12.75" hidden="false" customHeight="true" outlineLevel="0" collapsed="false">
      <c r="A2789" s="4" t="s">
        <v>2848</v>
      </c>
      <c r="B2789" s="5" t="s">
        <v>2848</v>
      </c>
      <c r="C2789" s="1" t="str">
        <f aca="false">IF(B2789="NEW ROUTE",1,"")</f>
        <v/>
      </c>
      <c r="E2789" s="5" t="s">
        <v>2848</v>
      </c>
      <c r="F2789" s="6" t="e">
        <f aca="false">VLOOKUP(E2789,$K$2:$L$426,2,FALSE())</f>
        <v>#N/A</v>
      </c>
      <c r="G2789" s="1" t="str">
        <f aca="false">IF(ISNA(F2789),"",F2789)</f>
        <v/>
      </c>
      <c r="H2789" s="5" t="str">
        <f aca="false">IF(G2789&lt;&gt;"",G2789,E2789)</f>
        <v>5, 15, MAGIKARP</v>
      </c>
    </row>
    <row r="2790" customFormat="false" ht="12.75" hidden="false" customHeight="true" outlineLevel="0" collapsed="false">
      <c r="A2790" s="4" t="s">
        <v>2847</v>
      </c>
      <c r="B2790" s="5" t="s">
        <v>2847</v>
      </c>
      <c r="C2790" s="1" t="str">
        <f aca="false">IF(B2790="NEW ROUTE",1,"")</f>
        <v/>
      </c>
      <c r="E2790" s="5" t="s">
        <v>2847</v>
      </c>
      <c r="F2790" s="6" t="e">
        <f aca="false">VLOOKUP(E2790,$K$2:$L$426,2,FALSE())</f>
        <v>#N/A</v>
      </c>
      <c r="G2790" s="1" t="str">
        <f aca="false">IF(ISNA(F2790),"",F2790)</f>
        <v/>
      </c>
      <c r="H2790" s="5" t="str">
        <f aca="false">IF(G2790&lt;&gt;"",G2790,E2790)</f>
        <v>5, 15, KRABBY</v>
      </c>
    </row>
    <row r="2791" customFormat="false" ht="12.75" hidden="false" customHeight="true" outlineLevel="0" collapsed="false">
      <c r="A2791" s="4" t="s">
        <v>2850</v>
      </c>
      <c r="B2791" s="5" t="s">
        <v>2850</v>
      </c>
      <c r="C2791" s="1" t="str">
        <f aca="false">IF(B2791="NEW ROUTE",1,"")</f>
        <v/>
      </c>
      <c r="E2791" s="5" t="s">
        <v>2850</v>
      </c>
      <c r="F2791" s="6" t="e">
        <f aca="false">VLOOKUP(E2791,$K$2:$L$426,2,FALSE())</f>
        <v>#N/A</v>
      </c>
      <c r="G2791" s="1" t="str">
        <f aca="false">IF(ISNA(F2791),"",F2791)</f>
        <v/>
      </c>
      <c r="H2791" s="5" t="str">
        <f aca="false">IF(G2791&lt;&gt;"",G2791,E2791)</f>
        <v>super rod:</v>
      </c>
    </row>
    <row r="2792" customFormat="false" ht="12.75" hidden="false" customHeight="true" outlineLevel="0" collapsed="false">
      <c r="A2792" s="4" t="s">
        <v>2851</v>
      </c>
      <c r="B2792" s="5" t="s">
        <v>2851</v>
      </c>
      <c r="C2792" s="1" t="str">
        <f aca="false">IF(B2792="NEW ROUTE",1,"")</f>
        <v/>
      </c>
      <c r="E2792" s="5" t="s">
        <v>2851</v>
      </c>
      <c r="F2792" s="6" t="e">
        <f aca="false">VLOOKUP(E2792,$K$2:$L$426,2,FALSE())</f>
        <v>#N/A</v>
      </c>
      <c r="G2792" s="1" t="str">
        <f aca="false">IF(ISNA(F2792),"",F2792)</f>
        <v/>
      </c>
      <c r="H2792" s="5" t="str">
        <f aca="false">IF(G2792&lt;&gt;"",G2792,E2792)</f>
        <v>15, 25, KRABBY</v>
      </c>
    </row>
    <row r="2793" customFormat="false" ht="12.75" hidden="false" customHeight="true" outlineLevel="0" collapsed="false">
      <c r="A2793" s="4" t="s">
        <v>2852</v>
      </c>
      <c r="B2793" s="5" t="s">
        <v>2852</v>
      </c>
      <c r="C2793" s="1" t="str">
        <f aca="false">IF(B2793="NEW ROUTE",1,"")</f>
        <v/>
      </c>
      <c r="E2793" s="5" t="s">
        <v>2852</v>
      </c>
      <c r="F2793" s="6" t="e">
        <f aca="false">VLOOKUP(E2793,$K$2:$L$426,2,FALSE())</f>
        <v>#N/A</v>
      </c>
      <c r="G2793" s="1" t="str">
        <f aca="false">IF(ISNA(F2793),"",F2793)</f>
        <v/>
      </c>
      <c r="H2793" s="5" t="str">
        <f aca="false">IF(G2793&lt;&gt;"",G2793,E2793)</f>
        <v>15, 25, STARYU</v>
      </c>
    </row>
    <row r="2794" customFormat="false" ht="12.75" hidden="false" customHeight="true" outlineLevel="0" collapsed="false">
      <c r="A2794" s="4" t="s">
        <v>2853</v>
      </c>
      <c r="B2794" s="5" t="s">
        <v>2853</v>
      </c>
      <c r="C2794" s="1" t="str">
        <f aca="false">IF(B2794="NEW ROUTE",1,"")</f>
        <v/>
      </c>
      <c r="E2794" s="5" t="s">
        <v>2853</v>
      </c>
      <c r="F2794" s="6" t="e">
        <f aca="false">VLOOKUP(E2794,$K$2:$L$426,2,FALSE())</f>
        <v>#N/A</v>
      </c>
      <c r="G2794" s="1" t="str">
        <f aca="false">IF(ISNA(F2794),"",F2794)</f>
        <v/>
      </c>
      <c r="H2794" s="5" t="str">
        <f aca="false">IF(G2794&lt;&gt;"",G2794,E2794)</f>
        <v>15, 25, GYARADOS</v>
      </c>
    </row>
    <row r="2795" customFormat="false" ht="12.75" hidden="false" customHeight="true" outlineLevel="0" collapsed="false">
      <c r="A2795" s="4" t="s">
        <v>3177</v>
      </c>
      <c r="B2795" s="5" t="s">
        <v>3177</v>
      </c>
      <c r="C2795" s="1" t="str">
        <f aca="false">IF(B2795="NEW ROUTE",1,"")</f>
        <v/>
      </c>
      <c r="E2795" s="5" t="s">
        <v>3177</v>
      </c>
      <c r="F2795" s="6" t="e">
        <f aca="false">VLOOKUP(E2795,$K$2:$L$426,2,FALSE())</f>
        <v>#N/A</v>
      </c>
      <c r="G2795" s="1" t="str">
        <f aca="false">IF(ISNA(F2795),"",F2795)</f>
        <v/>
      </c>
      <c r="H2795" s="5" t="str">
        <f aca="false">IF(G2795&lt;&gt;"",G2795,E2795)</f>
        <v>25, 35, KINGLER</v>
      </c>
    </row>
    <row r="2796" customFormat="false" ht="12.75" hidden="false" customHeight="true" outlineLevel="0" collapsed="false">
      <c r="A2796" s="4" t="s">
        <v>2855</v>
      </c>
      <c r="B2796" s="5" t="s">
        <v>2855</v>
      </c>
      <c r="C2796" s="1" t="str">
        <f aca="false">IF(B2796="NEW ROUTE",1,"")</f>
        <v/>
      </c>
      <c r="E2796" s="5" t="s">
        <v>2855</v>
      </c>
      <c r="F2796" s="6" t="e">
        <f aca="false">VLOOKUP(E2796,$K$2:$L$426,2,FALSE())</f>
        <v>#N/A</v>
      </c>
      <c r="G2796" s="1" t="str">
        <f aca="false">IF(ISNA(F2796),"",F2796)</f>
        <v/>
      </c>
      <c r="H2796" s="5" t="str">
        <f aca="false">IF(G2796&lt;&gt;"",G2796,E2796)</f>
        <v>25, 35, SLOWPOKE</v>
      </c>
    </row>
    <row r="2797" customFormat="false" ht="12.75" hidden="false" customHeight="true" outlineLevel="0" collapsed="false">
      <c r="A2797" s="4" t="s">
        <v>2536</v>
      </c>
      <c r="B2797" s="5" t="s">
        <v>2536</v>
      </c>
      <c r="C2797" s="1" t="n">
        <f aca="false">IF(B2797="NEW ROUTE",1,"")</f>
        <v>1</v>
      </c>
      <c r="E2797" s="5" t="s">
        <v>2536</v>
      </c>
      <c r="F2797" s="6" t="e">
        <f aca="false">VLOOKUP(E2797,$K$2:$L$426,2,FALSE())</f>
        <v>#N/A</v>
      </c>
      <c r="G2797" s="1" t="str">
        <f aca="false">IF(ISNA(F2797),"",F2797)</f>
        <v/>
      </c>
      <c r="H2797" s="5" t="str">
        <f aca="false">IF(G2797&lt;&gt;"",G2797,E2797)</f>
        <v>NEW ROUTE</v>
      </c>
    </row>
    <row r="2798" customFormat="false" ht="12.75" hidden="false" customHeight="true" outlineLevel="0" collapsed="false">
      <c r="A2798" s="4" t="s">
        <v>408</v>
      </c>
      <c r="B2798" s="5" t="s">
        <v>408</v>
      </c>
      <c r="C2798" s="1" t="str">
        <f aca="false">IF(B2798="NEW ROUTE",1,"")</f>
        <v/>
      </c>
      <c r="E2798" s="5" t="s">
        <v>408</v>
      </c>
      <c r="F2798" s="6" t="str">
        <f aca="false">VLOOKUP(E2798,$K$2:$L$426,2,FALSE())</f>
        <v>Four Island</v>
      </c>
      <c r="G2798" s="1" t="str">
        <f aca="false">IF(ISNA(F2798),"",F2798)</f>
        <v>Four Island</v>
      </c>
      <c r="H2798" s="5" t="str">
        <f aca="false">IF(G2798&lt;&gt;"",G2798,E2798)</f>
        <v>Four Island</v>
      </c>
    </row>
    <row r="2799" customFormat="false" ht="12.75" hidden="false" customHeight="true" outlineLevel="0" collapsed="false">
      <c r="A2799" s="4" t="s">
        <v>3646</v>
      </c>
      <c r="B2799" s="5" t="s">
        <v>3646</v>
      </c>
      <c r="C2799" s="1" t="str">
        <f aca="false">IF(B2799="NEW ROUTE",1,"")</f>
        <v/>
      </c>
      <c r="E2799" s="5" t="s">
        <v>3646</v>
      </c>
      <c r="F2799" s="6" t="e">
        <f aca="false">VLOOKUP(E2799,$K$2:$L$426,2,FALSE())</f>
        <v>#N/A</v>
      </c>
      <c r="G2799" s="1" t="str">
        <f aca="false">IF(ISNA(F2799),"",F2799)</f>
        <v/>
      </c>
      <c r="H2799" s="5" t="str">
        <f aca="false">IF(G2799&lt;&gt;"",G2799,E2799)</f>
        <v>2, 5, 15, MARILL</v>
      </c>
    </row>
    <row r="2800" customFormat="false" ht="12.75" hidden="false" customHeight="true" outlineLevel="0" collapsed="false">
      <c r="A2800" s="4" t="s">
        <v>3158</v>
      </c>
      <c r="B2800" s="5" t="s">
        <v>3158</v>
      </c>
      <c r="C2800" s="1" t="str">
        <f aca="false">IF(B2800="NEW ROUTE",1,"")</f>
        <v/>
      </c>
      <c r="E2800" s="5" t="s">
        <v>3158</v>
      </c>
      <c r="F2800" s="6" t="e">
        <f aca="false">VLOOKUP(E2800,$K$2:$L$426,2,FALSE())</f>
        <v>#N/A</v>
      </c>
      <c r="G2800" s="1" t="str">
        <f aca="false">IF(ISNA(F2800),"",F2800)</f>
        <v/>
      </c>
      <c r="H2800" s="5" t="str">
        <f aca="false">IF(G2800&lt;&gt;"",G2800,E2800)</f>
        <v>5, 35, SLOWPOKE</v>
      </c>
    </row>
    <row r="2801" customFormat="false" ht="12.75" hidden="false" customHeight="true" outlineLevel="0" collapsed="false">
      <c r="A2801" s="4" t="s">
        <v>3293</v>
      </c>
      <c r="B2801" s="5" t="s">
        <v>3293</v>
      </c>
      <c r="C2801" s="1" t="str">
        <f aca="false">IF(B2801="NEW ROUTE",1,"")</f>
        <v/>
      </c>
      <c r="E2801" s="5" t="s">
        <v>3293</v>
      </c>
      <c r="F2801" s="6" t="e">
        <f aca="false">VLOOKUP(E2801,$K$2:$L$426,2,FALSE())</f>
        <v>#N/A</v>
      </c>
      <c r="G2801" s="1" t="str">
        <f aca="false">IF(ISNA(F2801),"",F2801)</f>
        <v/>
      </c>
      <c r="H2801" s="5" t="str">
        <f aca="false">IF(G2801&lt;&gt;"",G2801,E2801)</f>
        <v>15, 25, MARILL</v>
      </c>
    </row>
    <row r="2802" customFormat="false" ht="12.75" hidden="false" customHeight="true" outlineLevel="0" collapsed="false">
      <c r="A2802" s="4" t="s">
        <v>3293</v>
      </c>
      <c r="B2802" s="5" t="s">
        <v>3293</v>
      </c>
      <c r="C2802" s="1" t="str">
        <f aca="false">IF(B2802="NEW ROUTE",1,"")</f>
        <v/>
      </c>
      <c r="E2802" s="5" t="s">
        <v>3293</v>
      </c>
      <c r="F2802" s="6" t="e">
        <f aca="false">VLOOKUP(E2802,$K$2:$L$426,2,FALSE())</f>
        <v>#N/A</v>
      </c>
      <c r="G2802" s="1" t="str">
        <f aca="false">IF(ISNA(F2802),"",F2802)</f>
        <v/>
      </c>
      <c r="H2802" s="5" t="str">
        <f aca="false">IF(G2802&lt;&gt;"",G2802,E2802)</f>
        <v>15, 25, MARILL</v>
      </c>
    </row>
    <row r="2803" customFormat="false" ht="12.75" hidden="false" customHeight="true" outlineLevel="0" collapsed="false">
      <c r="A2803" s="4" t="s">
        <v>3293</v>
      </c>
      <c r="B2803" s="5" t="s">
        <v>3293</v>
      </c>
      <c r="C2803" s="1" t="str">
        <f aca="false">IF(B2803="NEW ROUTE",1,"")</f>
        <v/>
      </c>
      <c r="E2803" s="5" t="s">
        <v>3293</v>
      </c>
      <c r="F2803" s="6" t="e">
        <f aca="false">VLOOKUP(E2803,$K$2:$L$426,2,FALSE())</f>
        <v>#N/A</v>
      </c>
      <c r="G2803" s="1" t="str">
        <f aca="false">IF(ISNA(F2803),"",F2803)</f>
        <v/>
      </c>
      <c r="H2803" s="5" t="str">
        <f aca="false">IF(G2803&lt;&gt;"",G2803,E2803)</f>
        <v>15, 25, MARILL</v>
      </c>
    </row>
    <row r="2804" customFormat="false" ht="12.75" hidden="false" customHeight="true" outlineLevel="0" collapsed="false">
      <c r="A2804" s="4" t="s">
        <v>2925</v>
      </c>
      <c r="B2804" s="5" t="s">
        <v>2925</v>
      </c>
      <c r="C2804" s="1" t="str">
        <f aca="false">IF(B2804="NEW ROUTE",1,"")</f>
        <v/>
      </c>
      <c r="E2804" s="5" t="s">
        <v>2925</v>
      </c>
      <c r="F2804" s="6" t="e">
        <f aca="false">VLOOKUP(E2804,$K$2:$L$426,2,FALSE())</f>
        <v>#N/A</v>
      </c>
      <c r="G2804" s="1" t="str">
        <f aca="false">IF(ISNA(F2804),"",F2804)</f>
        <v/>
      </c>
      <c r="H2804" s="5" t="str">
        <f aca="false">IF(G2804&lt;&gt;"",G2804,E2804)</f>
        <v>20, old rod:</v>
      </c>
    </row>
    <row r="2805" customFormat="false" ht="12.75" hidden="false" customHeight="true" outlineLevel="0" collapsed="false">
      <c r="A2805" s="4" t="s">
        <v>1266</v>
      </c>
      <c r="B2805" s="5" t="s">
        <v>1266</v>
      </c>
      <c r="C2805" s="1" t="str">
        <f aca="false">IF(B2805="NEW ROUTE",1,"")</f>
        <v/>
      </c>
      <c r="E2805" s="5" t="s">
        <v>1266</v>
      </c>
      <c r="F2805" s="6" t="e">
        <f aca="false">VLOOKUP(E2805,$K$2:$L$426,2,FALSE())</f>
        <v>#N/A</v>
      </c>
      <c r="G2805" s="1" t="str">
        <f aca="false">IF(ISNA(F2805),"",F2805)</f>
        <v/>
      </c>
      <c r="H2805" s="5" t="str">
        <f aca="false">IF(G2805&lt;&gt;"",G2805,E2805)</f>
        <v>5, 5, MAGIKARP</v>
      </c>
    </row>
    <row r="2806" customFormat="false" ht="12.75" hidden="false" customHeight="true" outlineLevel="0" collapsed="false">
      <c r="A2806" s="4" t="s">
        <v>1266</v>
      </c>
      <c r="B2806" s="5" t="s">
        <v>1266</v>
      </c>
      <c r="C2806" s="1" t="str">
        <f aca="false">IF(B2806="NEW ROUTE",1,"")</f>
        <v/>
      </c>
      <c r="E2806" s="5" t="s">
        <v>1266</v>
      </c>
      <c r="F2806" s="6" t="e">
        <f aca="false">VLOOKUP(E2806,$K$2:$L$426,2,FALSE())</f>
        <v>#N/A</v>
      </c>
      <c r="G2806" s="1" t="str">
        <f aca="false">IF(ISNA(F2806),"",F2806)</f>
        <v/>
      </c>
      <c r="H2806" s="5" t="str">
        <f aca="false">IF(G2806&lt;&gt;"",G2806,E2806)</f>
        <v>5, 5, MAGIKARP</v>
      </c>
    </row>
    <row r="2807" customFormat="false" ht="12.75" hidden="false" customHeight="true" outlineLevel="0" collapsed="false">
      <c r="A2807" s="4" t="s">
        <v>2846</v>
      </c>
      <c r="B2807" s="5" t="s">
        <v>2846</v>
      </c>
      <c r="C2807" s="1" t="str">
        <f aca="false">IF(B2807="NEW ROUTE",1,"")</f>
        <v/>
      </c>
      <c r="E2807" s="5" t="s">
        <v>2846</v>
      </c>
      <c r="F2807" s="6" t="e">
        <f aca="false">VLOOKUP(E2807,$K$2:$L$426,2,FALSE())</f>
        <v>#N/A</v>
      </c>
      <c r="G2807" s="1" t="str">
        <f aca="false">IF(ISNA(F2807),"",F2807)</f>
        <v/>
      </c>
      <c r="H2807" s="5" t="str">
        <f aca="false">IF(G2807&lt;&gt;"",G2807,E2807)</f>
        <v>good rod:</v>
      </c>
    </row>
    <row r="2808" customFormat="false" ht="12.75" hidden="false" customHeight="true" outlineLevel="0" collapsed="false">
      <c r="A2808" s="4" t="s">
        <v>3143</v>
      </c>
      <c r="B2808" s="5" t="s">
        <v>3143</v>
      </c>
      <c r="C2808" s="1" t="str">
        <f aca="false">IF(B2808="NEW ROUTE",1,"")</f>
        <v/>
      </c>
      <c r="E2808" s="5" t="s">
        <v>3143</v>
      </c>
      <c r="F2808" s="6" t="e">
        <f aca="false">VLOOKUP(E2808,$K$2:$L$426,2,FALSE())</f>
        <v>#N/A</v>
      </c>
      <c r="G2808" s="1" t="str">
        <f aca="false">IF(ISNA(F2808),"",F2808)</f>
        <v/>
      </c>
      <c r="H2808" s="5" t="str">
        <f aca="false">IF(G2808&lt;&gt;"",G2808,E2808)</f>
        <v>5, 15, POLIWAG</v>
      </c>
    </row>
    <row r="2809" customFormat="false" ht="12.75" hidden="false" customHeight="true" outlineLevel="0" collapsed="false">
      <c r="A2809" s="4" t="s">
        <v>2848</v>
      </c>
      <c r="B2809" s="5" t="s">
        <v>2848</v>
      </c>
      <c r="C2809" s="1" t="str">
        <f aca="false">IF(B2809="NEW ROUTE",1,"")</f>
        <v/>
      </c>
      <c r="E2809" s="5" t="s">
        <v>2848</v>
      </c>
      <c r="F2809" s="6" t="e">
        <f aca="false">VLOOKUP(E2809,$K$2:$L$426,2,FALSE())</f>
        <v>#N/A</v>
      </c>
      <c r="G2809" s="1" t="str">
        <f aca="false">IF(ISNA(F2809),"",F2809)</f>
        <v/>
      </c>
      <c r="H2809" s="5" t="str">
        <f aca="false">IF(G2809&lt;&gt;"",G2809,E2809)</f>
        <v>5, 15, MAGIKARP</v>
      </c>
    </row>
    <row r="2810" customFormat="false" ht="12.75" hidden="false" customHeight="true" outlineLevel="0" collapsed="false">
      <c r="A2810" s="4" t="s">
        <v>3142</v>
      </c>
      <c r="B2810" s="5" t="s">
        <v>3142</v>
      </c>
      <c r="C2810" s="1" t="str">
        <f aca="false">IF(B2810="NEW ROUTE",1,"")</f>
        <v/>
      </c>
      <c r="E2810" s="5" t="s">
        <v>3142</v>
      </c>
      <c r="F2810" s="6" t="e">
        <f aca="false">VLOOKUP(E2810,$K$2:$L$426,2,FALSE())</f>
        <v>#N/A</v>
      </c>
      <c r="G2810" s="1" t="str">
        <f aca="false">IF(ISNA(F2810),"",F2810)</f>
        <v/>
      </c>
      <c r="H2810" s="5" t="str">
        <f aca="false">IF(G2810&lt;&gt;"",G2810,E2810)</f>
        <v>5, 15, GOLDEEN</v>
      </c>
    </row>
    <row r="2811" customFormat="false" ht="12.75" hidden="false" customHeight="true" outlineLevel="0" collapsed="false">
      <c r="A2811" s="4" t="s">
        <v>2850</v>
      </c>
      <c r="B2811" s="5" t="s">
        <v>2850</v>
      </c>
      <c r="C2811" s="1" t="str">
        <f aca="false">IF(B2811="NEW ROUTE",1,"")</f>
        <v/>
      </c>
      <c r="E2811" s="5" t="s">
        <v>2850</v>
      </c>
      <c r="F2811" s="6" t="e">
        <f aca="false">VLOOKUP(E2811,$K$2:$L$426,2,FALSE())</f>
        <v>#N/A</v>
      </c>
      <c r="G2811" s="1" t="str">
        <f aca="false">IF(ISNA(F2811),"",F2811)</f>
        <v/>
      </c>
      <c r="H2811" s="5" t="str">
        <f aca="false">IF(G2811&lt;&gt;"",G2811,E2811)</f>
        <v>super rod:</v>
      </c>
    </row>
    <row r="2812" customFormat="false" ht="12.75" hidden="false" customHeight="true" outlineLevel="0" collapsed="false">
      <c r="A2812" s="4" t="s">
        <v>3161</v>
      </c>
      <c r="B2812" s="5" t="s">
        <v>3161</v>
      </c>
      <c r="C2812" s="1" t="str">
        <f aca="false">IF(B2812="NEW ROUTE",1,"")</f>
        <v/>
      </c>
      <c r="E2812" s="5" t="s">
        <v>3161</v>
      </c>
      <c r="F2812" s="6" t="e">
        <f aca="false">VLOOKUP(E2812,$K$2:$L$426,2,FALSE())</f>
        <v>#N/A</v>
      </c>
      <c r="G2812" s="1" t="str">
        <f aca="false">IF(ISNA(F2812),"",F2812)</f>
        <v/>
      </c>
      <c r="H2812" s="5" t="str">
        <f aca="false">IF(G2812&lt;&gt;"",G2812,E2812)</f>
        <v>15, 25, POLIWAG</v>
      </c>
    </row>
    <row r="2813" customFormat="false" ht="12.75" hidden="false" customHeight="true" outlineLevel="0" collapsed="false">
      <c r="A2813" s="4" t="s">
        <v>3162</v>
      </c>
      <c r="B2813" s="5" t="s">
        <v>3162</v>
      </c>
      <c r="C2813" s="1" t="str">
        <f aca="false">IF(B2813="NEW ROUTE",1,"")</f>
        <v/>
      </c>
      <c r="E2813" s="5" t="s">
        <v>3162</v>
      </c>
      <c r="F2813" s="6" t="e">
        <f aca="false">VLOOKUP(E2813,$K$2:$L$426,2,FALSE())</f>
        <v>#N/A</v>
      </c>
      <c r="G2813" s="1" t="str">
        <f aca="false">IF(ISNA(F2813),"",F2813)</f>
        <v/>
      </c>
      <c r="H2813" s="5" t="str">
        <f aca="false">IF(G2813&lt;&gt;"",G2813,E2813)</f>
        <v>20, 30, POLIWHIRL</v>
      </c>
    </row>
    <row r="2814" customFormat="false" ht="12.75" hidden="false" customHeight="true" outlineLevel="0" collapsed="false">
      <c r="A2814" s="4" t="s">
        <v>2853</v>
      </c>
      <c r="B2814" s="5" t="s">
        <v>2853</v>
      </c>
      <c r="C2814" s="1" t="str">
        <f aca="false">IF(B2814="NEW ROUTE",1,"")</f>
        <v/>
      </c>
      <c r="E2814" s="5" t="s">
        <v>2853</v>
      </c>
      <c r="F2814" s="6" t="e">
        <f aca="false">VLOOKUP(E2814,$K$2:$L$426,2,FALSE())</f>
        <v>#N/A</v>
      </c>
      <c r="G2814" s="1" t="str">
        <f aca="false">IF(ISNA(F2814),"",F2814)</f>
        <v/>
      </c>
      <c r="H2814" s="5" t="str">
        <f aca="false">IF(G2814&lt;&gt;"",G2814,E2814)</f>
        <v>15, 25, GYARADOS</v>
      </c>
    </row>
    <row r="2815" customFormat="false" ht="12.75" hidden="false" customHeight="true" outlineLevel="0" collapsed="false">
      <c r="A2815" s="4" t="s">
        <v>3146</v>
      </c>
      <c r="B2815" s="5" t="s">
        <v>3146</v>
      </c>
      <c r="C2815" s="1" t="str">
        <f aca="false">IF(B2815="NEW ROUTE",1,"")</f>
        <v/>
      </c>
      <c r="E2815" s="5" t="s">
        <v>3146</v>
      </c>
      <c r="F2815" s="6" t="e">
        <f aca="false">VLOOKUP(E2815,$K$2:$L$426,2,FALSE())</f>
        <v>#N/A</v>
      </c>
      <c r="G2815" s="1" t="str">
        <f aca="false">IF(ISNA(F2815),"",F2815)</f>
        <v/>
      </c>
      <c r="H2815" s="5" t="str">
        <f aca="false">IF(G2815&lt;&gt;"",G2815,E2815)</f>
        <v>15, 25, SLOWPOKE</v>
      </c>
    </row>
    <row r="2816" customFormat="false" ht="12.75" hidden="false" customHeight="true" outlineLevel="0" collapsed="false">
      <c r="A2816" s="4" t="s">
        <v>2855</v>
      </c>
      <c r="B2816" s="5" t="s">
        <v>2855</v>
      </c>
      <c r="C2816" s="1" t="str">
        <f aca="false">IF(B2816="NEW ROUTE",1,"")</f>
        <v/>
      </c>
      <c r="E2816" s="5" t="s">
        <v>2855</v>
      </c>
      <c r="F2816" s="6" t="e">
        <f aca="false">VLOOKUP(E2816,$K$2:$L$426,2,FALSE())</f>
        <v>#N/A</v>
      </c>
      <c r="G2816" s="1" t="str">
        <f aca="false">IF(ISNA(F2816),"",F2816)</f>
        <v/>
      </c>
      <c r="H2816" s="5" t="str">
        <f aca="false">IF(G2816&lt;&gt;"",G2816,E2816)</f>
        <v>25, 35, SLOWPOKE</v>
      </c>
    </row>
    <row r="2817" customFormat="false" ht="12.75" hidden="false" customHeight="true" outlineLevel="0" collapsed="false">
      <c r="A2817" s="4" t="s">
        <v>2536</v>
      </c>
      <c r="B2817" s="5" t="s">
        <v>2536</v>
      </c>
      <c r="C2817" s="1" t="n">
        <f aca="false">IF(B2817="NEW ROUTE",1,"")</f>
        <v>1</v>
      </c>
      <c r="E2817" s="5" t="s">
        <v>2536</v>
      </c>
      <c r="F2817" s="6" t="e">
        <f aca="false">VLOOKUP(E2817,$K$2:$L$426,2,FALSE())</f>
        <v>#N/A</v>
      </c>
      <c r="G2817" s="1" t="str">
        <f aca="false">IF(ISNA(F2817),"",F2817)</f>
        <v/>
      </c>
      <c r="H2817" s="5" t="str">
        <f aca="false">IF(G2817&lt;&gt;"",G2817,E2817)</f>
        <v>NEW ROUTE</v>
      </c>
    </row>
    <row r="2818" customFormat="false" ht="12.75" hidden="false" customHeight="true" outlineLevel="0" collapsed="false">
      <c r="A2818" s="4" t="s">
        <v>410</v>
      </c>
      <c r="B2818" s="5" t="s">
        <v>410</v>
      </c>
      <c r="C2818" s="1" t="str">
        <f aca="false">IF(B2818="NEW ROUTE",1,"")</f>
        <v/>
      </c>
      <c r="E2818" s="5" t="s">
        <v>410</v>
      </c>
      <c r="F2818" s="6" t="str">
        <f aca="false">VLOOKUP(E2818,$K$2:$L$426,2,FALSE())</f>
        <v>Five Island</v>
      </c>
      <c r="G2818" s="1" t="str">
        <f aca="false">IF(ISNA(F2818),"",F2818)</f>
        <v>Five Island</v>
      </c>
      <c r="H2818" s="5" t="str">
        <f aca="false">IF(G2818&lt;&gt;"",G2818,E2818)</f>
        <v>Five Island</v>
      </c>
    </row>
    <row r="2819" customFormat="false" ht="12.75" hidden="false" customHeight="true" outlineLevel="0" collapsed="false">
      <c r="A2819" s="4" t="s">
        <v>3648</v>
      </c>
      <c r="B2819" s="5" t="s">
        <v>3648</v>
      </c>
      <c r="C2819" s="1" t="str">
        <f aca="false">IF(B2819="NEW ROUTE",1,"")</f>
        <v/>
      </c>
      <c r="E2819" s="5" t="s">
        <v>3648</v>
      </c>
      <c r="F2819" s="6" t="e">
        <f aca="false">VLOOKUP(E2819,$K$2:$L$426,2,FALSE())</f>
        <v>#N/A</v>
      </c>
      <c r="G2819" s="1" t="str">
        <f aca="false">IF(ISNA(F2819),"",F2819)</f>
        <v/>
      </c>
      <c r="H2819" s="5" t="str">
        <f aca="false">IF(G2819&lt;&gt;"",G2819,E2819)</f>
        <v>1, 5, 35, TENTACOOL</v>
      </c>
    </row>
    <row r="2820" customFormat="false" ht="12.75" hidden="false" customHeight="true" outlineLevel="0" collapsed="false">
      <c r="A2820" s="4" t="s">
        <v>3257</v>
      </c>
      <c r="B2820" s="5" t="s">
        <v>3257</v>
      </c>
      <c r="C2820" s="1" t="str">
        <f aca="false">IF(B2820="NEW ROUTE",1,"")</f>
        <v/>
      </c>
      <c r="E2820" s="5" t="s">
        <v>3257</v>
      </c>
      <c r="F2820" s="6" t="e">
        <f aca="false">VLOOKUP(E2820,$K$2:$L$426,2,FALSE())</f>
        <v>#N/A</v>
      </c>
      <c r="G2820" s="1" t="str">
        <f aca="false">IF(ISNA(F2820),"",F2820)</f>
        <v/>
      </c>
      <c r="H2820" s="5" t="str">
        <f aca="false">IF(G2820&lt;&gt;"",G2820,E2820)</f>
        <v>5, 15, HOPPIP</v>
      </c>
    </row>
    <row r="2821" customFormat="false" ht="12.75" hidden="false" customHeight="true" outlineLevel="0" collapsed="false">
      <c r="A2821" s="4" t="s">
        <v>2844</v>
      </c>
      <c r="B2821" s="5" t="s">
        <v>2844</v>
      </c>
      <c r="C2821" s="1" t="str">
        <f aca="false">IF(B2821="NEW ROUTE",1,"")</f>
        <v/>
      </c>
      <c r="E2821" s="5" t="s">
        <v>2844</v>
      </c>
      <c r="F2821" s="6" t="e">
        <f aca="false">VLOOKUP(E2821,$K$2:$L$426,2,FALSE())</f>
        <v>#N/A</v>
      </c>
      <c r="G2821" s="1" t="str">
        <f aca="false">IF(ISNA(F2821),"",F2821)</f>
        <v/>
      </c>
      <c r="H2821" s="5" t="str">
        <f aca="false">IF(G2821&lt;&gt;"",G2821,E2821)</f>
        <v>35, 40, TENTACOOL</v>
      </c>
    </row>
    <row r="2822" customFormat="false" ht="12.75" hidden="false" customHeight="true" outlineLevel="0" collapsed="false">
      <c r="A2822" s="4" t="s">
        <v>3231</v>
      </c>
      <c r="B2822" s="5" t="s">
        <v>3231</v>
      </c>
      <c r="C2822" s="1" t="str">
        <f aca="false">IF(B2822="NEW ROUTE",1,"")</f>
        <v/>
      </c>
      <c r="E2822" s="5" t="s">
        <v>3231</v>
      </c>
      <c r="F2822" s="6" t="e">
        <f aca="false">VLOOKUP(E2822,$K$2:$L$426,2,FALSE())</f>
        <v>#N/A</v>
      </c>
      <c r="G2822" s="1" t="str">
        <f aca="false">IF(ISNA(F2822),"",F2822)</f>
        <v/>
      </c>
      <c r="H2822" s="5" t="str">
        <f aca="false">IF(G2822&lt;&gt;"",G2822,E2822)</f>
        <v>35, 40, TENTACRUEL</v>
      </c>
    </row>
    <row r="2823" customFormat="false" ht="12.75" hidden="false" customHeight="true" outlineLevel="0" collapsed="false">
      <c r="A2823" s="4" t="s">
        <v>3231</v>
      </c>
      <c r="B2823" s="5" t="s">
        <v>3231</v>
      </c>
      <c r="C2823" s="1" t="str">
        <f aca="false">IF(B2823="NEW ROUTE",1,"")</f>
        <v/>
      </c>
      <c r="E2823" s="5" t="s">
        <v>3231</v>
      </c>
      <c r="F2823" s="6" t="e">
        <f aca="false">VLOOKUP(E2823,$K$2:$L$426,2,FALSE())</f>
        <v>#N/A</v>
      </c>
      <c r="G2823" s="1" t="str">
        <f aca="false">IF(ISNA(F2823),"",F2823)</f>
        <v/>
      </c>
      <c r="H2823" s="5" t="str">
        <f aca="false">IF(G2823&lt;&gt;"",G2823,E2823)</f>
        <v>35, 40, TENTACRUEL</v>
      </c>
    </row>
    <row r="2824" customFormat="false" ht="12.75" hidden="false" customHeight="true" outlineLevel="0" collapsed="false">
      <c r="A2824" s="4" t="s">
        <v>2845</v>
      </c>
      <c r="B2824" s="5" t="s">
        <v>2845</v>
      </c>
      <c r="C2824" s="1" t="str">
        <f aca="false">IF(B2824="NEW ROUTE",1,"")</f>
        <v/>
      </c>
      <c r="E2824" s="5" t="s">
        <v>2845</v>
      </c>
      <c r="F2824" s="6" t="e">
        <f aca="false">VLOOKUP(E2824,$K$2:$L$426,2,FALSE())</f>
        <v>#N/A</v>
      </c>
      <c r="G2824" s="1" t="str">
        <f aca="false">IF(ISNA(F2824),"",F2824)</f>
        <v/>
      </c>
      <c r="H2824" s="5" t="str">
        <f aca="false">IF(G2824&lt;&gt;"",G2824,E2824)</f>
        <v>10, old rod:</v>
      </c>
    </row>
    <row r="2825" customFormat="false" ht="12.75" hidden="false" customHeight="true" outlineLevel="0" collapsed="false">
      <c r="A2825" s="4" t="s">
        <v>1266</v>
      </c>
      <c r="B2825" s="5" t="s">
        <v>1266</v>
      </c>
      <c r="C2825" s="1" t="str">
        <f aca="false">IF(B2825="NEW ROUTE",1,"")</f>
        <v/>
      </c>
      <c r="E2825" s="5" t="s">
        <v>1266</v>
      </c>
      <c r="F2825" s="6" t="e">
        <f aca="false">VLOOKUP(E2825,$K$2:$L$426,2,FALSE())</f>
        <v>#N/A</v>
      </c>
      <c r="G2825" s="1" t="str">
        <f aca="false">IF(ISNA(F2825),"",F2825)</f>
        <v/>
      </c>
      <c r="H2825" s="5" t="str">
        <f aca="false">IF(G2825&lt;&gt;"",G2825,E2825)</f>
        <v>5, 5, MAGIKARP</v>
      </c>
    </row>
    <row r="2826" customFormat="false" ht="12.75" hidden="false" customHeight="true" outlineLevel="0" collapsed="false">
      <c r="A2826" s="4" t="s">
        <v>1266</v>
      </c>
      <c r="B2826" s="5" t="s">
        <v>1266</v>
      </c>
      <c r="C2826" s="1" t="str">
        <f aca="false">IF(B2826="NEW ROUTE",1,"")</f>
        <v/>
      </c>
      <c r="E2826" s="5" t="s">
        <v>1266</v>
      </c>
      <c r="F2826" s="6" t="e">
        <f aca="false">VLOOKUP(E2826,$K$2:$L$426,2,FALSE())</f>
        <v>#N/A</v>
      </c>
      <c r="G2826" s="1" t="str">
        <f aca="false">IF(ISNA(F2826),"",F2826)</f>
        <v/>
      </c>
      <c r="H2826" s="5" t="str">
        <f aca="false">IF(G2826&lt;&gt;"",G2826,E2826)</f>
        <v>5, 5, MAGIKARP</v>
      </c>
    </row>
    <row r="2827" customFormat="false" ht="12.75" hidden="false" customHeight="true" outlineLevel="0" collapsed="false">
      <c r="A2827" s="4" t="s">
        <v>2846</v>
      </c>
      <c r="B2827" s="5" t="s">
        <v>2846</v>
      </c>
      <c r="C2827" s="1" t="str">
        <f aca="false">IF(B2827="NEW ROUTE",1,"")</f>
        <v/>
      </c>
      <c r="E2827" s="5" t="s">
        <v>2846</v>
      </c>
      <c r="F2827" s="6" t="e">
        <f aca="false">VLOOKUP(E2827,$K$2:$L$426,2,FALSE())</f>
        <v>#N/A</v>
      </c>
      <c r="G2827" s="1" t="str">
        <f aca="false">IF(ISNA(F2827),"",F2827)</f>
        <v/>
      </c>
      <c r="H2827" s="5" t="str">
        <f aca="false">IF(G2827&lt;&gt;"",G2827,E2827)</f>
        <v>good rod:</v>
      </c>
    </row>
    <row r="2828" customFormat="false" ht="12.75" hidden="false" customHeight="true" outlineLevel="0" collapsed="false">
      <c r="A2828" s="4" t="s">
        <v>2847</v>
      </c>
      <c r="B2828" s="5" t="s">
        <v>2847</v>
      </c>
      <c r="C2828" s="1" t="str">
        <f aca="false">IF(B2828="NEW ROUTE",1,"")</f>
        <v/>
      </c>
      <c r="E2828" s="5" t="s">
        <v>2847</v>
      </c>
      <c r="F2828" s="6" t="e">
        <f aca="false">VLOOKUP(E2828,$K$2:$L$426,2,FALSE())</f>
        <v>#N/A</v>
      </c>
      <c r="G2828" s="1" t="str">
        <f aca="false">IF(ISNA(F2828),"",F2828)</f>
        <v/>
      </c>
      <c r="H2828" s="5" t="str">
        <f aca="false">IF(G2828&lt;&gt;"",G2828,E2828)</f>
        <v>5, 15, KRABBY</v>
      </c>
    </row>
    <row r="2829" customFormat="false" ht="12.75" hidden="false" customHeight="true" outlineLevel="0" collapsed="false">
      <c r="A2829" s="4" t="s">
        <v>2848</v>
      </c>
      <c r="B2829" s="5" t="s">
        <v>2848</v>
      </c>
      <c r="C2829" s="1" t="str">
        <f aca="false">IF(B2829="NEW ROUTE",1,"")</f>
        <v/>
      </c>
      <c r="E2829" s="5" t="s">
        <v>2848</v>
      </c>
      <c r="F2829" s="6" t="e">
        <f aca="false">VLOOKUP(E2829,$K$2:$L$426,2,FALSE())</f>
        <v>#N/A</v>
      </c>
      <c r="G2829" s="1" t="str">
        <f aca="false">IF(ISNA(F2829),"",F2829)</f>
        <v/>
      </c>
      <c r="H2829" s="5" t="str">
        <f aca="false">IF(G2829&lt;&gt;"",G2829,E2829)</f>
        <v>5, 15, MAGIKARP</v>
      </c>
    </row>
    <row r="2830" customFormat="false" ht="12.75" hidden="false" customHeight="true" outlineLevel="0" collapsed="false">
      <c r="A2830" s="4" t="s">
        <v>2847</v>
      </c>
      <c r="B2830" s="5" t="s">
        <v>2847</v>
      </c>
      <c r="C2830" s="1" t="str">
        <f aca="false">IF(B2830="NEW ROUTE",1,"")</f>
        <v/>
      </c>
      <c r="E2830" s="5" t="s">
        <v>2847</v>
      </c>
      <c r="F2830" s="6" t="e">
        <f aca="false">VLOOKUP(E2830,$K$2:$L$426,2,FALSE())</f>
        <v>#N/A</v>
      </c>
      <c r="G2830" s="1" t="str">
        <f aca="false">IF(ISNA(F2830),"",F2830)</f>
        <v/>
      </c>
      <c r="H2830" s="5" t="str">
        <f aca="false">IF(G2830&lt;&gt;"",G2830,E2830)</f>
        <v>5, 15, KRABBY</v>
      </c>
    </row>
    <row r="2831" customFormat="false" ht="12.75" hidden="false" customHeight="true" outlineLevel="0" collapsed="false">
      <c r="A2831" s="4" t="s">
        <v>2850</v>
      </c>
      <c r="B2831" s="5" t="s">
        <v>2850</v>
      </c>
      <c r="C2831" s="1" t="str">
        <f aca="false">IF(B2831="NEW ROUTE",1,"")</f>
        <v/>
      </c>
      <c r="E2831" s="5" t="s">
        <v>2850</v>
      </c>
      <c r="F2831" s="6" t="e">
        <f aca="false">VLOOKUP(E2831,$K$2:$L$426,2,FALSE())</f>
        <v>#N/A</v>
      </c>
      <c r="G2831" s="1" t="str">
        <f aca="false">IF(ISNA(F2831),"",F2831)</f>
        <v/>
      </c>
      <c r="H2831" s="5" t="str">
        <f aca="false">IF(G2831&lt;&gt;"",G2831,E2831)</f>
        <v>super rod:</v>
      </c>
    </row>
    <row r="2832" customFormat="false" ht="12.75" hidden="false" customHeight="true" outlineLevel="0" collapsed="false">
      <c r="A2832" s="4" t="s">
        <v>2851</v>
      </c>
      <c r="B2832" s="5" t="s">
        <v>2851</v>
      </c>
      <c r="C2832" s="1" t="str">
        <f aca="false">IF(B2832="NEW ROUTE",1,"")</f>
        <v/>
      </c>
      <c r="E2832" s="5" t="s">
        <v>2851</v>
      </c>
      <c r="F2832" s="6" t="e">
        <f aca="false">VLOOKUP(E2832,$K$2:$L$426,2,FALSE())</f>
        <v>#N/A</v>
      </c>
      <c r="G2832" s="1" t="str">
        <f aca="false">IF(ISNA(F2832),"",F2832)</f>
        <v/>
      </c>
      <c r="H2832" s="5" t="str">
        <f aca="false">IF(G2832&lt;&gt;"",G2832,E2832)</f>
        <v>15, 25, KRABBY</v>
      </c>
    </row>
    <row r="2833" customFormat="false" ht="12.75" hidden="false" customHeight="true" outlineLevel="0" collapsed="false">
      <c r="A2833" s="4" t="s">
        <v>2852</v>
      </c>
      <c r="B2833" s="5" t="s">
        <v>2852</v>
      </c>
      <c r="C2833" s="1" t="str">
        <f aca="false">IF(B2833="NEW ROUTE",1,"")</f>
        <v/>
      </c>
      <c r="E2833" s="5" t="s">
        <v>2852</v>
      </c>
      <c r="F2833" s="6" t="e">
        <f aca="false">VLOOKUP(E2833,$K$2:$L$426,2,FALSE())</f>
        <v>#N/A</v>
      </c>
      <c r="G2833" s="1" t="str">
        <f aca="false">IF(ISNA(F2833),"",F2833)</f>
        <v/>
      </c>
      <c r="H2833" s="5" t="str">
        <f aca="false">IF(G2833&lt;&gt;"",G2833,E2833)</f>
        <v>15, 25, STARYU</v>
      </c>
    </row>
    <row r="2834" customFormat="false" ht="12.75" hidden="false" customHeight="true" outlineLevel="0" collapsed="false">
      <c r="A2834" s="4" t="s">
        <v>2853</v>
      </c>
      <c r="B2834" s="5" t="s">
        <v>2853</v>
      </c>
      <c r="C2834" s="1" t="str">
        <f aca="false">IF(B2834="NEW ROUTE",1,"")</f>
        <v/>
      </c>
      <c r="E2834" s="5" t="s">
        <v>2853</v>
      </c>
      <c r="F2834" s="6" t="e">
        <f aca="false">VLOOKUP(E2834,$K$2:$L$426,2,FALSE())</f>
        <v>#N/A</v>
      </c>
      <c r="G2834" s="1" t="str">
        <f aca="false">IF(ISNA(F2834),"",F2834)</f>
        <v/>
      </c>
      <c r="H2834" s="5" t="str">
        <f aca="false">IF(G2834&lt;&gt;"",G2834,E2834)</f>
        <v>15, 25, GYARADOS</v>
      </c>
    </row>
    <row r="2835" customFormat="false" ht="12.75" hidden="false" customHeight="true" outlineLevel="0" collapsed="false">
      <c r="A2835" s="4" t="s">
        <v>3177</v>
      </c>
      <c r="B2835" s="5" t="s">
        <v>3177</v>
      </c>
      <c r="C2835" s="1" t="str">
        <f aca="false">IF(B2835="NEW ROUTE",1,"")</f>
        <v/>
      </c>
      <c r="E2835" s="5" t="s">
        <v>3177</v>
      </c>
      <c r="F2835" s="6" t="e">
        <f aca="false">VLOOKUP(E2835,$K$2:$L$426,2,FALSE())</f>
        <v>#N/A</v>
      </c>
      <c r="G2835" s="1" t="str">
        <f aca="false">IF(ISNA(F2835),"",F2835)</f>
        <v/>
      </c>
      <c r="H2835" s="5" t="str">
        <f aca="false">IF(G2835&lt;&gt;"",G2835,E2835)</f>
        <v>25, 35, KINGLER</v>
      </c>
    </row>
    <row r="2836" customFormat="false" ht="12.75" hidden="false" customHeight="true" outlineLevel="0" collapsed="false">
      <c r="A2836" s="4" t="s">
        <v>2855</v>
      </c>
      <c r="B2836" s="5" t="s">
        <v>2855</v>
      </c>
      <c r="C2836" s="1" t="str">
        <f aca="false">IF(B2836="NEW ROUTE",1,"")</f>
        <v/>
      </c>
      <c r="E2836" s="5" t="s">
        <v>2855</v>
      </c>
      <c r="F2836" s="6" t="e">
        <f aca="false">VLOOKUP(E2836,$K$2:$L$426,2,FALSE())</f>
        <v>#N/A</v>
      </c>
      <c r="G2836" s="1" t="str">
        <f aca="false">IF(ISNA(F2836),"",F2836)</f>
        <v/>
      </c>
      <c r="H2836" s="5" t="str">
        <f aca="false">IF(G2836&lt;&gt;"",G2836,E2836)</f>
        <v>25, 35, SLOWPOKE</v>
      </c>
    </row>
    <row r="2837" customFormat="false" ht="12.75" hidden="false" customHeight="true" outlineLevel="0" collapsed="false">
      <c r="A2837" s="4" t="s">
        <v>2536</v>
      </c>
      <c r="B2837" s="5" t="s">
        <v>2536</v>
      </c>
      <c r="C2837" s="1" t="n">
        <f aca="false">IF(B2837="NEW ROUTE",1,"")</f>
        <v>1</v>
      </c>
      <c r="E2837" s="5" t="s">
        <v>2536</v>
      </c>
      <c r="F2837" s="6" t="e">
        <f aca="false">VLOOKUP(E2837,$K$2:$L$426,2,FALSE())</f>
        <v>#N/A</v>
      </c>
      <c r="G2837" s="1" t="str">
        <f aca="false">IF(ISNA(F2837),"",F2837)</f>
        <v/>
      </c>
      <c r="H2837" s="5" t="str">
        <f aca="false">IF(G2837&lt;&gt;"",G2837,E2837)</f>
        <v>NEW ROUTE</v>
      </c>
    </row>
    <row r="2838" customFormat="false" ht="12.75" hidden="false" customHeight="true" outlineLevel="0" collapsed="false">
      <c r="A2838" s="4" t="s">
        <v>256</v>
      </c>
      <c r="B2838" s="5" t="s">
        <v>256</v>
      </c>
      <c r="C2838" s="1" t="str">
        <f aca="false">IF(B2838="NEW ROUTE",1,"")</f>
        <v/>
      </c>
      <c r="E2838" s="5" t="s">
        <v>256</v>
      </c>
      <c r="F2838" s="6" t="str">
        <f aca="false">VLOOKUP(E2838,$K$2:$L$426,2,FALSE())</f>
        <v>Six Island Altering Cave</v>
      </c>
      <c r="G2838" s="1" t="str">
        <f aca="false">IF(ISNA(F2838),"",F2838)</f>
        <v>Six Island Altering Cave</v>
      </c>
      <c r="H2838" s="5" t="str">
        <f aca="false">IF(G2838&lt;&gt;"",G2838,E2838)</f>
        <v>Six Island Altering Cave</v>
      </c>
    </row>
    <row r="2839" customFormat="false" ht="12.75" hidden="false" customHeight="true" outlineLevel="0" collapsed="false">
      <c r="A2839" s="4" t="s">
        <v>2799</v>
      </c>
      <c r="B2839" s="5" t="n">
        <v>0.2</v>
      </c>
      <c r="C2839" s="1" t="str">
        <f aca="false">IF(B2839="NEW ROUTE",1,"")</f>
        <v/>
      </c>
      <c r="E2839" s="5" t="n">
        <v>0.2</v>
      </c>
      <c r="F2839" s="6" t="e">
        <f aca="false">VLOOKUP(E2839,$K$2:$L$426,2,FALSE())</f>
        <v>#N/A</v>
      </c>
      <c r="G2839" s="1" t="str">
        <f aca="false">IF(ISNA(F2839),"",F2839)</f>
        <v/>
      </c>
      <c r="H2839" s="5" t="n">
        <f aca="false">IF(G2839&lt;&gt;"",G2839,E2839)</f>
        <v>0.2</v>
      </c>
    </row>
    <row r="2840" customFormat="false" ht="12.75" hidden="false" customHeight="true" outlineLevel="0" collapsed="false">
      <c r="A2840" s="4" t="s">
        <v>2138</v>
      </c>
      <c r="B2840" s="5" t="s">
        <v>2138</v>
      </c>
      <c r="C2840" s="1" t="str">
        <f aca="false">IF(B2840="NEW ROUTE",1,"")</f>
        <v/>
      </c>
      <c r="E2840" s="5" t="s">
        <v>2138</v>
      </c>
      <c r="F2840" s="6" t="e">
        <f aca="false">VLOOKUP(E2840,$K$2:$L$426,2,FALSE())</f>
        <v>#N/A</v>
      </c>
      <c r="G2840" s="1" t="str">
        <f aca="false">IF(ISNA(F2840),"",F2840)</f>
        <v/>
      </c>
      <c r="H2840" s="5" t="str">
        <f aca="false">IF(G2840&lt;&gt;"",G2840,E2840)</f>
        <v>10, 10, ZUBAT</v>
      </c>
    </row>
    <row r="2841" customFormat="false" ht="12.75" hidden="false" customHeight="true" outlineLevel="0" collapsed="false">
      <c r="A2841" s="4" t="s">
        <v>3650</v>
      </c>
      <c r="B2841" s="5" t="s">
        <v>3650</v>
      </c>
      <c r="C2841" s="1" t="str">
        <f aca="false">IF(B2841="NEW ROUTE",1,"")</f>
        <v/>
      </c>
      <c r="E2841" s="5" t="s">
        <v>3650</v>
      </c>
      <c r="F2841" s="6" t="e">
        <f aca="false">VLOOKUP(E2841,$K$2:$L$426,2,FALSE())</f>
        <v>#N/A</v>
      </c>
      <c r="G2841" s="1" t="str">
        <f aca="false">IF(ISNA(F2841),"",F2841)</f>
        <v/>
      </c>
      <c r="H2841" s="5" t="str">
        <f aca="false">IF(G2841&lt;&gt;"",G2841,E2841)</f>
        <v>12, 12, ZUBAT</v>
      </c>
    </row>
    <row r="2842" customFormat="false" ht="12.75" hidden="false" customHeight="true" outlineLevel="0" collapsed="false">
      <c r="A2842" s="4" t="s">
        <v>2801</v>
      </c>
      <c r="B2842" s="5" t="n">
        <v>0.1</v>
      </c>
      <c r="C2842" s="1" t="str">
        <f aca="false">IF(B2842="NEW ROUTE",1,"")</f>
        <v/>
      </c>
      <c r="E2842" s="5" t="n">
        <v>0.1</v>
      </c>
      <c r="F2842" s="6" t="e">
        <f aca="false">VLOOKUP(E2842,$K$2:$L$426,2,FALSE())</f>
        <v>#N/A</v>
      </c>
      <c r="G2842" s="1" t="str">
        <f aca="false">IF(ISNA(F2842),"",F2842)</f>
        <v/>
      </c>
      <c r="H2842" s="5" t="n">
        <f aca="false">IF(G2842&lt;&gt;"",G2842,E2842)</f>
        <v>0.1</v>
      </c>
    </row>
    <row r="2843" customFormat="false" ht="12.75" hidden="false" customHeight="true" outlineLevel="0" collapsed="false">
      <c r="A2843" s="4" t="s">
        <v>3651</v>
      </c>
      <c r="B2843" s="5" t="s">
        <v>3651</v>
      </c>
      <c r="C2843" s="1" t="str">
        <f aca="false">IF(B2843="NEW ROUTE",1,"")</f>
        <v/>
      </c>
      <c r="E2843" s="5" t="s">
        <v>3651</v>
      </c>
      <c r="F2843" s="6" t="e">
        <f aca="false">VLOOKUP(E2843,$K$2:$L$426,2,FALSE())</f>
        <v>#N/A</v>
      </c>
      <c r="G2843" s="1" t="str">
        <f aca="false">IF(ISNA(F2843),"",F2843)</f>
        <v/>
      </c>
      <c r="H2843" s="5" t="str">
        <f aca="false">IF(G2843&lt;&gt;"",G2843,E2843)</f>
        <v>8, 8, ZUBAT</v>
      </c>
    </row>
    <row r="2844" customFormat="false" ht="12.75" hidden="false" customHeight="true" outlineLevel="0" collapsed="false">
      <c r="A2844" s="4" t="s">
        <v>3652</v>
      </c>
      <c r="B2844" s="5" t="s">
        <v>3652</v>
      </c>
      <c r="C2844" s="1" t="str">
        <f aca="false">IF(B2844="NEW ROUTE",1,"")</f>
        <v/>
      </c>
      <c r="E2844" s="5" t="s">
        <v>3652</v>
      </c>
      <c r="F2844" s="6" t="e">
        <f aca="false">VLOOKUP(E2844,$K$2:$L$426,2,FALSE())</f>
        <v>#N/A</v>
      </c>
      <c r="G2844" s="1" t="str">
        <f aca="false">IF(ISNA(F2844),"",F2844)</f>
        <v/>
      </c>
      <c r="H2844" s="5" t="str">
        <f aca="false">IF(G2844&lt;&gt;"",G2844,E2844)</f>
        <v>14, 14, ZUBAT</v>
      </c>
    </row>
    <row r="2845" customFormat="false" ht="12.75" hidden="false" customHeight="true" outlineLevel="0" collapsed="false">
      <c r="A2845" s="4" t="s">
        <v>2138</v>
      </c>
      <c r="B2845" s="5" t="s">
        <v>2138</v>
      </c>
      <c r="C2845" s="1" t="str">
        <f aca="false">IF(B2845="NEW ROUTE",1,"")</f>
        <v/>
      </c>
      <c r="E2845" s="5" t="s">
        <v>2138</v>
      </c>
      <c r="F2845" s="6" t="e">
        <f aca="false">VLOOKUP(E2845,$K$2:$L$426,2,FALSE())</f>
        <v>#N/A</v>
      </c>
      <c r="G2845" s="1" t="str">
        <f aca="false">IF(ISNA(F2845),"",F2845)</f>
        <v/>
      </c>
      <c r="H2845" s="5" t="str">
        <f aca="false">IF(G2845&lt;&gt;"",G2845,E2845)</f>
        <v>10, 10, ZUBAT</v>
      </c>
    </row>
    <row r="2846" customFormat="false" ht="12.75" hidden="false" customHeight="true" outlineLevel="0" collapsed="false">
      <c r="A2846" s="4" t="s">
        <v>3650</v>
      </c>
      <c r="B2846" s="5" t="s">
        <v>3650</v>
      </c>
      <c r="C2846" s="1" t="str">
        <f aca="false">IF(B2846="NEW ROUTE",1,"")</f>
        <v/>
      </c>
      <c r="E2846" s="5" t="s">
        <v>3650</v>
      </c>
      <c r="F2846" s="6" t="e">
        <f aca="false">VLOOKUP(E2846,$K$2:$L$426,2,FALSE())</f>
        <v>#N/A</v>
      </c>
      <c r="G2846" s="1" t="str">
        <f aca="false">IF(ISNA(F2846),"",F2846)</f>
        <v/>
      </c>
      <c r="H2846" s="5" t="str">
        <f aca="false">IF(G2846&lt;&gt;"",G2846,E2846)</f>
        <v>12, 12, ZUBAT</v>
      </c>
    </row>
    <row r="2847" customFormat="false" ht="12.75" hidden="false" customHeight="true" outlineLevel="0" collapsed="false">
      <c r="A2847" s="4" t="s">
        <v>2806</v>
      </c>
      <c r="B2847" s="5" t="n">
        <v>0.05</v>
      </c>
      <c r="C2847" s="1" t="str">
        <f aca="false">IF(B2847="NEW ROUTE",1,"")</f>
        <v/>
      </c>
      <c r="E2847" s="5" t="n">
        <v>0.05</v>
      </c>
      <c r="F2847" s="6" t="e">
        <f aca="false">VLOOKUP(E2847,$K$2:$L$426,2,FALSE())</f>
        <v>#N/A</v>
      </c>
      <c r="G2847" s="1" t="str">
        <f aca="false">IF(ISNA(F2847),"",F2847)</f>
        <v/>
      </c>
      <c r="H2847" s="5" t="n">
        <f aca="false">IF(G2847&lt;&gt;"",G2847,E2847)</f>
        <v>0.05</v>
      </c>
    </row>
    <row r="2848" customFormat="false" ht="12.75" hidden="false" customHeight="true" outlineLevel="0" collapsed="false">
      <c r="A2848" s="4" t="s">
        <v>3653</v>
      </c>
      <c r="B2848" s="5" t="s">
        <v>3653</v>
      </c>
      <c r="C2848" s="1" t="str">
        <f aca="false">IF(B2848="NEW ROUTE",1,"")</f>
        <v/>
      </c>
      <c r="E2848" s="5" t="s">
        <v>3653</v>
      </c>
      <c r="F2848" s="6" t="e">
        <f aca="false">VLOOKUP(E2848,$K$2:$L$426,2,FALSE())</f>
        <v>#N/A</v>
      </c>
      <c r="G2848" s="1" t="str">
        <f aca="false">IF(ISNA(F2848),"",F2848)</f>
        <v/>
      </c>
      <c r="H2848" s="5" t="str">
        <f aca="false">IF(G2848&lt;&gt;"",G2848,E2848)</f>
        <v>16, 16, ZUBAT</v>
      </c>
    </row>
    <row r="2849" customFormat="false" ht="12.75" hidden="false" customHeight="true" outlineLevel="0" collapsed="false">
      <c r="A2849" s="4" t="s">
        <v>3654</v>
      </c>
      <c r="B2849" s="5" t="s">
        <v>3654</v>
      </c>
      <c r="C2849" s="1" t="str">
        <f aca="false">IF(B2849="NEW ROUTE",1,"")</f>
        <v/>
      </c>
      <c r="E2849" s="5" t="s">
        <v>3654</v>
      </c>
      <c r="F2849" s="6" t="e">
        <f aca="false">VLOOKUP(E2849,$K$2:$L$426,2,FALSE())</f>
        <v>#N/A</v>
      </c>
      <c r="G2849" s="1" t="str">
        <f aca="false">IF(ISNA(F2849),"",F2849)</f>
        <v/>
      </c>
      <c r="H2849" s="5" t="str">
        <f aca="false">IF(G2849&lt;&gt;"",G2849,E2849)</f>
        <v>6, 6, ZUBAT</v>
      </c>
    </row>
    <row r="2850" customFormat="false" ht="12.75" hidden="false" customHeight="true" outlineLevel="0" collapsed="false">
      <c r="A2850" s="4" t="s">
        <v>2809</v>
      </c>
      <c r="B2850" s="5" t="n">
        <v>0.04</v>
      </c>
      <c r="C2850" s="1" t="str">
        <f aca="false">IF(B2850="NEW ROUTE",1,"")</f>
        <v/>
      </c>
      <c r="E2850" s="5" t="n">
        <v>0.04</v>
      </c>
      <c r="F2850" s="6" t="e">
        <f aca="false">VLOOKUP(E2850,$K$2:$L$426,2,FALSE())</f>
        <v>#N/A</v>
      </c>
      <c r="G2850" s="1" t="str">
        <f aca="false">IF(ISNA(F2850),"",F2850)</f>
        <v/>
      </c>
      <c r="H2850" s="5" t="n">
        <f aca="false">IF(G2850&lt;&gt;"",G2850,E2850)</f>
        <v>0.04</v>
      </c>
    </row>
    <row r="2851" customFormat="false" ht="12.75" hidden="false" customHeight="true" outlineLevel="0" collapsed="false">
      <c r="A2851" s="4" t="s">
        <v>3651</v>
      </c>
      <c r="B2851" s="5" t="s">
        <v>3651</v>
      </c>
      <c r="C2851" s="1" t="str">
        <f aca="false">IF(B2851="NEW ROUTE",1,"")</f>
        <v/>
      </c>
      <c r="E2851" s="5" t="s">
        <v>3651</v>
      </c>
      <c r="F2851" s="6" t="e">
        <f aca="false">VLOOKUP(E2851,$K$2:$L$426,2,FALSE())</f>
        <v>#N/A</v>
      </c>
      <c r="G2851" s="1" t="str">
        <f aca="false">IF(ISNA(F2851),"",F2851)</f>
        <v/>
      </c>
      <c r="H2851" s="5" t="str">
        <f aca="false">IF(G2851&lt;&gt;"",G2851,E2851)</f>
        <v>8, 8, ZUBAT</v>
      </c>
    </row>
    <row r="2852" customFormat="false" ht="12.75" hidden="false" customHeight="true" outlineLevel="0" collapsed="false">
      <c r="A2852" s="4" t="s">
        <v>3652</v>
      </c>
      <c r="B2852" s="5" t="s">
        <v>3652</v>
      </c>
      <c r="C2852" s="1" t="str">
        <f aca="false">IF(B2852="NEW ROUTE",1,"")</f>
        <v/>
      </c>
      <c r="E2852" s="5" t="s">
        <v>3652</v>
      </c>
      <c r="F2852" s="6" t="e">
        <f aca="false">VLOOKUP(E2852,$K$2:$L$426,2,FALSE())</f>
        <v>#N/A</v>
      </c>
      <c r="G2852" s="1" t="str">
        <f aca="false">IF(ISNA(F2852),"",F2852)</f>
        <v/>
      </c>
      <c r="H2852" s="5" t="str">
        <f aca="false">IF(G2852&lt;&gt;"",G2852,E2852)</f>
        <v>14, 14, ZUBAT</v>
      </c>
    </row>
    <row r="2853" customFormat="false" ht="12.75" hidden="false" customHeight="true" outlineLevel="0" collapsed="false">
      <c r="A2853" s="4" t="s">
        <v>2812</v>
      </c>
      <c r="B2853" s="5" t="n">
        <v>0.01</v>
      </c>
      <c r="C2853" s="1" t="str">
        <f aca="false">IF(B2853="NEW ROUTE",1,"")</f>
        <v/>
      </c>
      <c r="E2853" s="5" t="n">
        <v>0.01</v>
      </c>
      <c r="F2853" s="6" t="e">
        <f aca="false">VLOOKUP(E2853,$K$2:$L$426,2,FALSE())</f>
        <v>#N/A</v>
      </c>
      <c r="G2853" s="1" t="str">
        <f aca="false">IF(ISNA(F2853),"",F2853)</f>
        <v/>
      </c>
      <c r="H2853" s="5" t="n">
        <f aca="false">IF(G2853&lt;&gt;"",G2853,E2853)</f>
        <v>0.01</v>
      </c>
    </row>
    <row r="2854" customFormat="false" ht="12.75" hidden="false" customHeight="true" outlineLevel="0" collapsed="false">
      <c r="A2854" s="4" t="s">
        <v>3651</v>
      </c>
      <c r="B2854" s="5" t="s">
        <v>3651</v>
      </c>
      <c r="C2854" s="1" t="str">
        <f aca="false">IF(B2854="NEW ROUTE",1,"")</f>
        <v/>
      </c>
      <c r="E2854" s="5" t="s">
        <v>3651</v>
      </c>
      <c r="F2854" s="6" t="e">
        <f aca="false">VLOOKUP(E2854,$K$2:$L$426,2,FALSE())</f>
        <v>#N/A</v>
      </c>
      <c r="G2854" s="1" t="str">
        <f aca="false">IF(ISNA(F2854),"",F2854)</f>
        <v/>
      </c>
      <c r="H2854" s="5" t="str">
        <f aca="false">IF(G2854&lt;&gt;"",G2854,E2854)</f>
        <v>8, 8, ZUBAT</v>
      </c>
    </row>
    <row r="2855" customFormat="false" ht="12.75" hidden="false" customHeight="true" outlineLevel="0" collapsed="false">
      <c r="A2855" s="4" t="s">
        <v>3652</v>
      </c>
      <c r="B2855" s="5" t="s">
        <v>3652</v>
      </c>
      <c r="C2855" s="1" t="str">
        <f aca="false">IF(B2855="NEW ROUTE",1,"")</f>
        <v/>
      </c>
      <c r="E2855" s="5" t="s">
        <v>3652</v>
      </c>
      <c r="F2855" s="6" t="e">
        <f aca="false">VLOOKUP(E2855,$K$2:$L$426,2,FALSE())</f>
        <v>#N/A</v>
      </c>
      <c r="G2855" s="1" t="str">
        <f aca="false">IF(ISNA(F2855),"",F2855)</f>
        <v/>
      </c>
      <c r="H2855" s="5" t="str">
        <f aca="false">IF(G2855&lt;&gt;"",G2855,E2855)</f>
        <v>14, 14, ZUBAT</v>
      </c>
    </row>
    <row r="2856" customFormat="false" ht="12.75" hidden="false" customHeight="true" outlineLevel="0" collapsed="false">
      <c r="A2856" s="4" t="s">
        <v>2536</v>
      </c>
      <c r="B2856" s="5" t="s">
        <v>2536</v>
      </c>
      <c r="C2856" s="1" t="n">
        <f aca="false">IF(B2856="NEW ROUTE",1,"")</f>
        <v>1</v>
      </c>
      <c r="E2856" s="5" t="s">
        <v>2536</v>
      </c>
      <c r="F2856" s="6" t="e">
        <f aca="false">VLOOKUP(E2856,$K$2:$L$426,2,FALSE())</f>
        <v>#N/A</v>
      </c>
      <c r="G2856" s="1" t="str">
        <f aca="false">IF(ISNA(F2856),"",F2856)</f>
        <v/>
      </c>
      <c r="H2856" s="5" t="str">
        <f aca="false">IF(G2856&lt;&gt;"",G2856,E2856)</f>
        <v>NEW ROUTE</v>
      </c>
    </row>
    <row r="2857" customFormat="false" ht="12.75" hidden="false" customHeight="true" outlineLevel="0" collapsed="false">
      <c r="A2857" s="4" t="s">
        <v>256</v>
      </c>
      <c r="B2857" s="5" t="s">
        <v>256</v>
      </c>
      <c r="C2857" s="1" t="str">
        <f aca="false">IF(B2857="NEW ROUTE",1,"")</f>
        <v/>
      </c>
      <c r="E2857" s="5" t="s">
        <v>256</v>
      </c>
      <c r="F2857" s="6" t="str">
        <f aca="false">VLOOKUP(E2857,$K$2:$L$426,2,FALSE())</f>
        <v>Six Island Altering Cave</v>
      </c>
      <c r="G2857" s="1" t="str">
        <f aca="false">IF(ISNA(F2857),"",F2857)</f>
        <v>Six Island Altering Cave</v>
      </c>
      <c r="H2857" s="5" t="str">
        <f aca="false">IF(G2857&lt;&gt;"",G2857,E2857)</f>
        <v>Six Island Altering Cave</v>
      </c>
    </row>
    <row r="2858" customFormat="false" ht="12.75" hidden="false" customHeight="true" outlineLevel="0" collapsed="false">
      <c r="A2858" s="4" t="s">
        <v>2799</v>
      </c>
      <c r="B2858" s="5" t="n">
        <v>0.2</v>
      </c>
      <c r="C2858" s="1" t="str">
        <f aca="false">IF(B2858="NEW ROUTE",1,"")</f>
        <v/>
      </c>
      <c r="E2858" s="5" t="n">
        <v>0.2</v>
      </c>
      <c r="F2858" s="6" t="e">
        <f aca="false">VLOOKUP(E2858,$K$2:$L$426,2,FALSE())</f>
        <v>#N/A</v>
      </c>
      <c r="G2858" s="1" t="str">
        <f aca="false">IF(ISNA(F2858),"",F2858)</f>
        <v/>
      </c>
      <c r="H2858" s="5" t="n">
        <f aca="false">IF(G2858&lt;&gt;"",G2858,E2858)</f>
        <v>0.2</v>
      </c>
    </row>
    <row r="2859" customFormat="false" ht="12.75" hidden="false" customHeight="true" outlineLevel="0" collapsed="false">
      <c r="A2859" s="4" t="s">
        <v>2146</v>
      </c>
      <c r="B2859" s="5" t="s">
        <v>2146</v>
      </c>
      <c r="C2859" s="1" t="str">
        <f aca="false">IF(B2859="NEW ROUTE",1,"")</f>
        <v/>
      </c>
      <c r="E2859" s="5" t="s">
        <v>2146</v>
      </c>
      <c r="F2859" s="6" t="e">
        <f aca="false">VLOOKUP(E2859,$K$2:$L$426,2,FALSE())</f>
        <v>#N/A</v>
      </c>
      <c r="G2859" s="1" t="str">
        <f aca="false">IF(ISNA(F2859),"",F2859)</f>
        <v/>
      </c>
      <c r="H2859" s="5" t="str">
        <f aca="false">IF(G2859&lt;&gt;"",G2859,E2859)</f>
        <v>7, 7, MAREEP</v>
      </c>
    </row>
    <row r="2860" customFormat="false" ht="12.75" hidden="false" customHeight="true" outlineLevel="0" collapsed="false">
      <c r="A2860" s="4" t="s">
        <v>3656</v>
      </c>
      <c r="B2860" s="5" t="s">
        <v>3656</v>
      </c>
      <c r="C2860" s="1" t="str">
        <f aca="false">IF(B2860="NEW ROUTE",1,"")</f>
        <v/>
      </c>
      <c r="E2860" s="5" t="s">
        <v>3656</v>
      </c>
      <c r="F2860" s="6" t="e">
        <f aca="false">VLOOKUP(E2860,$K$2:$L$426,2,FALSE())</f>
        <v>#N/A</v>
      </c>
      <c r="G2860" s="1" t="str">
        <f aca="false">IF(ISNA(F2860),"",F2860)</f>
        <v/>
      </c>
      <c r="H2860" s="5" t="str">
        <f aca="false">IF(G2860&lt;&gt;"",G2860,E2860)</f>
        <v>9, 9, MAREEP</v>
      </c>
    </row>
    <row r="2861" customFormat="false" ht="12.75" hidden="false" customHeight="true" outlineLevel="0" collapsed="false">
      <c r="A2861" s="4" t="s">
        <v>2801</v>
      </c>
      <c r="B2861" s="5" t="n">
        <v>0.1</v>
      </c>
      <c r="C2861" s="1" t="str">
        <f aca="false">IF(B2861="NEW ROUTE",1,"")</f>
        <v/>
      </c>
      <c r="E2861" s="5" t="n">
        <v>0.1</v>
      </c>
      <c r="F2861" s="6" t="e">
        <f aca="false">VLOOKUP(E2861,$K$2:$L$426,2,FALSE())</f>
        <v>#N/A</v>
      </c>
      <c r="G2861" s="1" t="str">
        <f aca="false">IF(ISNA(F2861),"",F2861)</f>
        <v/>
      </c>
      <c r="H2861" s="5" t="n">
        <f aca="false">IF(G2861&lt;&gt;"",G2861,E2861)</f>
        <v>0.1</v>
      </c>
    </row>
    <row r="2862" customFormat="false" ht="12.75" hidden="false" customHeight="true" outlineLevel="0" collapsed="false">
      <c r="A2862" s="4" t="s">
        <v>3657</v>
      </c>
      <c r="B2862" s="5" t="s">
        <v>3657</v>
      </c>
      <c r="C2862" s="1" t="str">
        <f aca="false">IF(B2862="NEW ROUTE",1,"")</f>
        <v/>
      </c>
      <c r="E2862" s="5" t="s">
        <v>3657</v>
      </c>
      <c r="F2862" s="6" t="e">
        <f aca="false">VLOOKUP(E2862,$K$2:$L$426,2,FALSE())</f>
        <v>#N/A</v>
      </c>
      <c r="G2862" s="1" t="str">
        <f aca="false">IF(ISNA(F2862),"",F2862)</f>
        <v/>
      </c>
      <c r="H2862" s="5" t="str">
        <f aca="false">IF(G2862&lt;&gt;"",G2862,E2862)</f>
        <v>5, 5, MAREEP</v>
      </c>
    </row>
    <row r="2863" customFormat="false" ht="12.75" hidden="false" customHeight="true" outlineLevel="0" collapsed="false">
      <c r="A2863" s="4" t="s">
        <v>3658</v>
      </c>
      <c r="B2863" s="5" t="s">
        <v>3658</v>
      </c>
      <c r="C2863" s="1" t="str">
        <f aca="false">IF(B2863="NEW ROUTE",1,"")</f>
        <v/>
      </c>
      <c r="E2863" s="5" t="s">
        <v>3658</v>
      </c>
      <c r="F2863" s="6" t="e">
        <f aca="false">VLOOKUP(E2863,$K$2:$L$426,2,FALSE())</f>
        <v>#N/A</v>
      </c>
      <c r="G2863" s="1" t="str">
        <f aca="false">IF(ISNA(F2863),"",F2863)</f>
        <v/>
      </c>
      <c r="H2863" s="5" t="str">
        <f aca="false">IF(G2863&lt;&gt;"",G2863,E2863)</f>
        <v>11, 11, MAREEP</v>
      </c>
    </row>
    <row r="2864" customFormat="false" ht="12.75" hidden="false" customHeight="true" outlineLevel="0" collapsed="false">
      <c r="A2864" s="4" t="s">
        <v>2146</v>
      </c>
      <c r="B2864" s="5" t="s">
        <v>2146</v>
      </c>
      <c r="C2864" s="1" t="str">
        <f aca="false">IF(B2864="NEW ROUTE",1,"")</f>
        <v/>
      </c>
      <c r="E2864" s="5" t="s">
        <v>2146</v>
      </c>
      <c r="F2864" s="6" t="e">
        <f aca="false">VLOOKUP(E2864,$K$2:$L$426,2,FALSE())</f>
        <v>#N/A</v>
      </c>
      <c r="G2864" s="1" t="str">
        <f aca="false">IF(ISNA(F2864),"",F2864)</f>
        <v/>
      </c>
      <c r="H2864" s="5" t="str">
        <f aca="false">IF(G2864&lt;&gt;"",G2864,E2864)</f>
        <v>7, 7, MAREEP</v>
      </c>
    </row>
    <row r="2865" customFormat="false" ht="12.75" hidden="false" customHeight="true" outlineLevel="0" collapsed="false">
      <c r="A2865" s="4" t="s">
        <v>3656</v>
      </c>
      <c r="B2865" s="5" t="s">
        <v>3656</v>
      </c>
      <c r="C2865" s="1" t="str">
        <f aca="false">IF(B2865="NEW ROUTE",1,"")</f>
        <v/>
      </c>
      <c r="E2865" s="5" t="s">
        <v>3656</v>
      </c>
      <c r="F2865" s="6" t="e">
        <f aca="false">VLOOKUP(E2865,$K$2:$L$426,2,FALSE())</f>
        <v>#N/A</v>
      </c>
      <c r="G2865" s="1" t="str">
        <f aca="false">IF(ISNA(F2865),"",F2865)</f>
        <v/>
      </c>
      <c r="H2865" s="5" t="str">
        <f aca="false">IF(G2865&lt;&gt;"",G2865,E2865)</f>
        <v>9, 9, MAREEP</v>
      </c>
    </row>
    <row r="2866" customFormat="false" ht="12.75" hidden="false" customHeight="true" outlineLevel="0" collapsed="false">
      <c r="A2866" s="4" t="s">
        <v>2806</v>
      </c>
      <c r="B2866" s="5" t="n">
        <v>0.05</v>
      </c>
      <c r="C2866" s="1" t="str">
        <f aca="false">IF(B2866="NEW ROUTE",1,"")</f>
        <v/>
      </c>
      <c r="E2866" s="5" t="n">
        <v>0.05</v>
      </c>
      <c r="F2866" s="6" t="e">
        <f aca="false">VLOOKUP(E2866,$K$2:$L$426,2,FALSE())</f>
        <v>#N/A</v>
      </c>
      <c r="G2866" s="1" t="str">
        <f aca="false">IF(ISNA(F2866),"",F2866)</f>
        <v/>
      </c>
      <c r="H2866" s="5" t="n">
        <f aca="false">IF(G2866&lt;&gt;"",G2866,E2866)</f>
        <v>0.05</v>
      </c>
    </row>
    <row r="2867" customFormat="false" ht="12.75" hidden="false" customHeight="true" outlineLevel="0" collapsed="false">
      <c r="A2867" s="4" t="s">
        <v>3659</v>
      </c>
      <c r="B2867" s="5" t="s">
        <v>3659</v>
      </c>
      <c r="C2867" s="1" t="str">
        <f aca="false">IF(B2867="NEW ROUTE",1,"")</f>
        <v/>
      </c>
      <c r="E2867" s="5" t="s">
        <v>3659</v>
      </c>
      <c r="F2867" s="6" t="e">
        <f aca="false">VLOOKUP(E2867,$K$2:$L$426,2,FALSE())</f>
        <v>#N/A</v>
      </c>
      <c r="G2867" s="1" t="str">
        <f aca="false">IF(ISNA(F2867),"",F2867)</f>
        <v/>
      </c>
      <c r="H2867" s="5" t="str">
        <f aca="false">IF(G2867&lt;&gt;"",G2867,E2867)</f>
        <v>13, 13, MAREEP</v>
      </c>
    </row>
    <row r="2868" customFormat="false" ht="12.75" hidden="false" customHeight="true" outlineLevel="0" collapsed="false">
      <c r="A2868" s="4" t="s">
        <v>3660</v>
      </c>
      <c r="B2868" s="5" t="s">
        <v>3660</v>
      </c>
      <c r="C2868" s="1" t="str">
        <f aca="false">IF(B2868="NEW ROUTE",1,"")</f>
        <v/>
      </c>
      <c r="E2868" s="5" t="s">
        <v>3660</v>
      </c>
      <c r="F2868" s="6" t="e">
        <f aca="false">VLOOKUP(E2868,$K$2:$L$426,2,FALSE())</f>
        <v>#N/A</v>
      </c>
      <c r="G2868" s="1" t="str">
        <f aca="false">IF(ISNA(F2868),"",F2868)</f>
        <v/>
      </c>
      <c r="H2868" s="5" t="str">
        <f aca="false">IF(G2868&lt;&gt;"",G2868,E2868)</f>
        <v>3, 3, MAREEP</v>
      </c>
    </row>
    <row r="2869" customFormat="false" ht="12.75" hidden="false" customHeight="true" outlineLevel="0" collapsed="false">
      <c r="A2869" s="4" t="s">
        <v>2809</v>
      </c>
      <c r="B2869" s="5" t="n">
        <v>0.04</v>
      </c>
      <c r="C2869" s="1" t="str">
        <f aca="false">IF(B2869="NEW ROUTE",1,"")</f>
        <v/>
      </c>
      <c r="E2869" s="5" t="n">
        <v>0.04</v>
      </c>
      <c r="F2869" s="6" t="e">
        <f aca="false">VLOOKUP(E2869,$K$2:$L$426,2,FALSE())</f>
        <v>#N/A</v>
      </c>
      <c r="G2869" s="1" t="str">
        <f aca="false">IF(ISNA(F2869),"",F2869)</f>
        <v/>
      </c>
      <c r="H2869" s="5" t="n">
        <f aca="false">IF(G2869&lt;&gt;"",G2869,E2869)</f>
        <v>0.04</v>
      </c>
    </row>
    <row r="2870" customFormat="false" ht="12.75" hidden="false" customHeight="true" outlineLevel="0" collapsed="false">
      <c r="A2870" s="4" t="s">
        <v>3657</v>
      </c>
      <c r="B2870" s="5" t="s">
        <v>3657</v>
      </c>
      <c r="C2870" s="1" t="str">
        <f aca="false">IF(B2870="NEW ROUTE",1,"")</f>
        <v/>
      </c>
      <c r="E2870" s="5" t="s">
        <v>3657</v>
      </c>
      <c r="F2870" s="6" t="e">
        <f aca="false">VLOOKUP(E2870,$K$2:$L$426,2,FALSE())</f>
        <v>#N/A</v>
      </c>
      <c r="G2870" s="1" t="str">
        <f aca="false">IF(ISNA(F2870),"",F2870)</f>
        <v/>
      </c>
      <c r="H2870" s="5" t="str">
        <f aca="false">IF(G2870&lt;&gt;"",G2870,E2870)</f>
        <v>5, 5, MAREEP</v>
      </c>
    </row>
    <row r="2871" customFormat="false" ht="12.75" hidden="false" customHeight="true" outlineLevel="0" collapsed="false">
      <c r="A2871" s="4" t="s">
        <v>3658</v>
      </c>
      <c r="B2871" s="5" t="s">
        <v>3658</v>
      </c>
      <c r="C2871" s="1" t="str">
        <f aca="false">IF(B2871="NEW ROUTE",1,"")</f>
        <v/>
      </c>
      <c r="E2871" s="5" t="s">
        <v>3658</v>
      </c>
      <c r="F2871" s="6" t="e">
        <f aca="false">VLOOKUP(E2871,$K$2:$L$426,2,FALSE())</f>
        <v>#N/A</v>
      </c>
      <c r="G2871" s="1" t="str">
        <f aca="false">IF(ISNA(F2871),"",F2871)</f>
        <v/>
      </c>
      <c r="H2871" s="5" t="str">
        <f aca="false">IF(G2871&lt;&gt;"",G2871,E2871)</f>
        <v>11, 11, MAREEP</v>
      </c>
    </row>
    <row r="2872" customFormat="false" ht="12.75" hidden="false" customHeight="true" outlineLevel="0" collapsed="false">
      <c r="A2872" s="4" t="s">
        <v>2812</v>
      </c>
      <c r="B2872" s="5" t="n">
        <v>0.01</v>
      </c>
      <c r="C2872" s="1" t="str">
        <f aca="false">IF(B2872="NEW ROUTE",1,"")</f>
        <v/>
      </c>
      <c r="E2872" s="5" t="n">
        <v>0.01</v>
      </c>
      <c r="F2872" s="6" t="e">
        <f aca="false">VLOOKUP(E2872,$K$2:$L$426,2,FALSE())</f>
        <v>#N/A</v>
      </c>
      <c r="G2872" s="1" t="str">
        <f aca="false">IF(ISNA(F2872),"",F2872)</f>
        <v/>
      </c>
      <c r="H2872" s="5" t="n">
        <f aca="false">IF(G2872&lt;&gt;"",G2872,E2872)</f>
        <v>0.01</v>
      </c>
    </row>
    <row r="2873" customFormat="false" ht="12.75" hidden="false" customHeight="true" outlineLevel="0" collapsed="false">
      <c r="A2873" s="4" t="s">
        <v>3657</v>
      </c>
      <c r="B2873" s="5" t="s">
        <v>3657</v>
      </c>
      <c r="C2873" s="1" t="str">
        <f aca="false">IF(B2873="NEW ROUTE",1,"")</f>
        <v/>
      </c>
      <c r="E2873" s="5" t="s">
        <v>3657</v>
      </c>
      <c r="F2873" s="6" t="e">
        <f aca="false">VLOOKUP(E2873,$K$2:$L$426,2,FALSE())</f>
        <v>#N/A</v>
      </c>
      <c r="G2873" s="1" t="str">
        <f aca="false">IF(ISNA(F2873),"",F2873)</f>
        <v/>
      </c>
      <c r="H2873" s="5" t="str">
        <f aca="false">IF(G2873&lt;&gt;"",G2873,E2873)</f>
        <v>5, 5, MAREEP</v>
      </c>
    </row>
    <row r="2874" customFormat="false" ht="12.75" hidden="false" customHeight="true" outlineLevel="0" collapsed="false">
      <c r="A2874" s="4" t="s">
        <v>3658</v>
      </c>
      <c r="B2874" s="5" t="s">
        <v>3658</v>
      </c>
      <c r="C2874" s="1" t="str">
        <f aca="false">IF(B2874="NEW ROUTE",1,"")</f>
        <v/>
      </c>
      <c r="E2874" s="5" t="s">
        <v>3658</v>
      </c>
      <c r="F2874" s="6" t="e">
        <f aca="false">VLOOKUP(E2874,$K$2:$L$426,2,FALSE())</f>
        <v>#N/A</v>
      </c>
      <c r="G2874" s="1" t="str">
        <f aca="false">IF(ISNA(F2874),"",F2874)</f>
        <v/>
      </c>
      <c r="H2874" s="5" t="str">
        <f aca="false">IF(G2874&lt;&gt;"",G2874,E2874)</f>
        <v>11, 11, MAREEP</v>
      </c>
    </row>
    <row r="2875" customFormat="false" ht="12.75" hidden="false" customHeight="true" outlineLevel="0" collapsed="false">
      <c r="A2875" s="4" t="s">
        <v>2536</v>
      </c>
      <c r="B2875" s="5" t="s">
        <v>2536</v>
      </c>
      <c r="C2875" s="1" t="n">
        <f aca="false">IF(B2875="NEW ROUTE",1,"")</f>
        <v>1</v>
      </c>
      <c r="E2875" s="5" t="s">
        <v>2536</v>
      </c>
      <c r="F2875" s="6" t="e">
        <f aca="false">VLOOKUP(E2875,$K$2:$L$426,2,FALSE())</f>
        <v>#N/A</v>
      </c>
      <c r="G2875" s="1" t="str">
        <f aca="false">IF(ISNA(F2875),"",F2875)</f>
        <v/>
      </c>
      <c r="H2875" s="5" t="str">
        <f aca="false">IF(G2875&lt;&gt;"",G2875,E2875)</f>
        <v>NEW ROUTE</v>
      </c>
    </row>
    <row r="2876" customFormat="false" ht="12.75" hidden="false" customHeight="true" outlineLevel="0" collapsed="false">
      <c r="A2876" s="4" t="s">
        <v>256</v>
      </c>
      <c r="B2876" s="5" t="s">
        <v>256</v>
      </c>
      <c r="C2876" s="1" t="str">
        <f aca="false">IF(B2876="NEW ROUTE",1,"")</f>
        <v/>
      </c>
      <c r="E2876" s="5" t="s">
        <v>256</v>
      </c>
      <c r="F2876" s="6" t="str">
        <f aca="false">VLOOKUP(E2876,$K$2:$L$426,2,FALSE())</f>
        <v>Six Island Altering Cave</v>
      </c>
      <c r="G2876" s="1" t="str">
        <f aca="false">IF(ISNA(F2876),"",F2876)</f>
        <v>Six Island Altering Cave</v>
      </c>
      <c r="H2876" s="5" t="str">
        <f aca="false">IF(G2876&lt;&gt;"",G2876,E2876)</f>
        <v>Six Island Altering Cave</v>
      </c>
    </row>
    <row r="2877" customFormat="false" ht="12.75" hidden="false" customHeight="true" outlineLevel="0" collapsed="false">
      <c r="A2877" s="4" t="s">
        <v>2799</v>
      </c>
      <c r="B2877" s="5" t="n">
        <v>0.2</v>
      </c>
      <c r="C2877" s="1" t="str">
        <f aca="false">IF(B2877="NEW ROUTE",1,"")</f>
        <v/>
      </c>
      <c r="E2877" s="5" t="n">
        <v>0.2</v>
      </c>
      <c r="F2877" s="6" t="e">
        <f aca="false">VLOOKUP(E2877,$K$2:$L$426,2,FALSE())</f>
        <v>#N/A</v>
      </c>
      <c r="G2877" s="1" t="str">
        <f aca="false">IF(ISNA(F2877),"",F2877)</f>
        <v/>
      </c>
      <c r="H2877" s="5" t="n">
        <f aca="false">IF(G2877&lt;&gt;"",G2877,E2877)</f>
        <v>0.2</v>
      </c>
    </row>
    <row r="2878" customFormat="false" ht="12.75" hidden="false" customHeight="true" outlineLevel="0" collapsed="false">
      <c r="A2878" s="4" t="s">
        <v>2154</v>
      </c>
      <c r="B2878" s="5" t="s">
        <v>2154</v>
      </c>
      <c r="C2878" s="1" t="str">
        <f aca="false">IF(B2878="NEW ROUTE",1,"")</f>
        <v/>
      </c>
      <c r="E2878" s="5" t="s">
        <v>2154</v>
      </c>
      <c r="F2878" s="6" t="e">
        <f aca="false">VLOOKUP(E2878,$K$2:$L$426,2,FALSE())</f>
        <v>#N/A</v>
      </c>
      <c r="G2878" s="1" t="str">
        <f aca="false">IF(ISNA(F2878),"",F2878)</f>
        <v/>
      </c>
      <c r="H2878" s="5" t="str">
        <f aca="false">IF(G2878&lt;&gt;"",G2878,E2878)</f>
        <v>23, 23, PINECO</v>
      </c>
    </row>
    <row r="2879" customFormat="false" ht="12.75" hidden="false" customHeight="true" outlineLevel="0" collapsed="false">
      <c r="A2879" s="4" t="s">
        <v>3662</v>
      </c>
      <c r="B2879" s="5" t="s">
        <v>3662</v>
      </c>
      <c r="C2879" s="1" t="str">
        <f aca="false">IF(B2879="NEW ROUTE",1,"")</f>
        <v/>
      </c>
      <c r="E2879" s="5" t="s">
        <v>3662</v>
      </c>
      <c r="F2879" s="6" t="e">
        <f aca="false">VLOOKUP(E2879,$K$2:$L$426,2,FALSE())</f>
        <v>#N/A</v>
      </c>
      <c r="G2879" s="1" t="str">
        <f aca="false">IF(ISNA(F2879),"",F2879)</f>
        <v/>
      </c>
      <c r="H2879" s="5" t="str">
        <f aca="false">IF(G2879&lt;&gt;"",G2879,E2879)</f>
        <v>25, 25, PINECO</v>
      </c>
    </row>
    <row r="2880" customFormat="false" ht="12.75" hidden="false" customHeight="true" outlineLevel="0" collapsed="false">
      <c r="A2880" s="4" t="s">
        <v>2801</v>
      </c>
      <c r="B2880" s="5" t="n">
        <v>0.1</v>
      </c>
      <c r="C2880" s="1" t="str">
        <f aca="false">IF(B2880="NEW ROUTE",1,"")</f>
        <v/>
      </c>
      <c r="E2880" s="5" t="n">
        <v>0.1</v>
      </c>
      <c r="F2880" s="6" t="e">
        <f aca="false">VLOOKUP(E2880,$K$2:$L$426,2,FALSE())</f>
        <v>#N/A</v>
      </c>
      <c r="G2880" s="1" t="str">
        <f aca="false">IF(ISNA(F2880),"",F2880)</f>
        <v/>
      </c>
      <c r="H2880" s="5" t="n">
        <f aca="false">IF(G2880&lt;&gt;"",G2880,E2880)</f>
        <v>0.1</v>
      </c>
    </row>
    <row r="2881" customFormat="false" ht="12.75" hidden="false" customHeight="true" outlineLevel="0" collapsed="false">
      <c r="A2881" s="4" t="s">
        <v>3663</v>
      </c>
      <c r="B2881" s="5" t="s">
        <v>3663</v>
      </c>
      <c r="C2881" s="1" t="str">
        <f aca="false">IF(B2881="NEW ROUTE",1,"")</f>
        <v/>
      </c>
      <c r="E2881" s="5" t="s">
        <v>3663</v>
      </c>
      <c r="F2881" s="6" t="e">
        <f aca="false">VLOOKUP(E2881,$K$2:$L$426,2,FALSE())</f>
        <v>#N/A</v>
      </c>
      <c r="G2881" s="1" t="str">
        <f aca="false">IF(ISNA(F2881),"",F2881)</f>
        <v/>
      </c>
      <c r="H2881" s="5" t="str">
        <f aca="false">IF(G2881&lt;&gt;"",G2881,E2881)</f>
        <v>22, 22, PINECO</v>
      </c>
    </row>
    <row r="2882" customFormat="false" ht="12.75" hidden="false" customHeight="true" outlineLevel="0" collapsed="false">
      <c r="A2882" s="4" t="s">
        <v>3664</v>
      </c>
      <c r="B2882" s="5" t="s">
        <v>3664</v>
      </c>
      <c r="C2882" s="1" t="str">
        <f aca="false">IF(B2882="NEW ROUTE",1,"")</f>
        <v/>
      </c>
      <c r="E2882" s="5" t="s">
        <v>3664</v>
      </c>
      <c r="F2882" s="6" t="e">
        <f aca="false">VLOOKUP(E2882,$K$2:$L$426,2,FALSE())</f>
        <v>#N/A</v>
      </c>
      <c r="G2882" s="1" t="str">
        <f aca="false">IF(ISNA(F2882),"",F2882)</f>
        <v/>
      </c>
      <c r="H2882" s="5" t="str">
        <f aca="false">IF(G2882&lt;&gt;"",G2882,E2882)</f>
        <v>27, 27, PINECO</v>
      </c>
    </row>
    <row r="2883" customFormat="false" ht="12.75" hidden="false" customHeight="true" outlineLevel="0" collapsed="false">
      <c r="A2883" s="4" t="s">
        <v>2154</v>
      </c>
      <c r="B2883" s="5" t="s">
        <v>2154</v>
      </c>
      <c r="C2883" s="1" t="str">
        <f aca="false">IF(B2883="NEW ROUTE",1,"")</f>
        <v/>
      </c>
      <c r="E2883" s="5" t="s">
        <v>2154</v>
      </c>
      <c r="F2883" s="6" t="e">
        <f aca="false">VLOOKUP(E2883,$K$2:$L$426,2,FALSE())</f>
        <v>#N/A</v>
      </c>
      <c r="G2883" s="1" t="str">
        <f aca="false">IF(ISNA(F2883),"",F2883)</f>
        <v/>
      </c>
      <c r="H2883" s="5" t="str">
        <f aca="false">IF(G2883&lt;&gt;"",G2883,E2883)</f>
        <v>23, 23, PINECO</v>
      </c>
    </row>
    <row r="2884" customFormat="false" ht="12.75" hidden="false" customHeight="true" outlineLevel="0" collapsed="false">
      <c r="A2884" s="4" t="s">
        <v>3662</v>
      </c>
      <c r="B2884" s="5" t="s">
        <v>3662</v>
      </c>
      <c r="C2884" s="1" t="str">
        <f aca="false">IF(B2884="NEW ROUTE",1,"")</f>
        <v/>
      </c>
      <c r="E2884" s="5" t="s">
        <v>3662</v>
      </c>
      <c r="F2884" s="6" t="e">
        <f aca="false">VLOOKUP(E2884,$K$2:$L$426,2,FALSE())</f>
        <v>#N/A</v>
      </c>
      <c r="G2884" s="1" t="str">
        <f aca="false">IF(ISNA(F2884),"",F2884)</f>
        <v/>
      </c>
      <c r="H2884" s="5" t="str">
        <f aca="false">IF(G2884&lt;&gt;"",G2884,E2884)</f>
        <v>25, 25, PINECO</v>
      </c>
    </row>
    <row r="2885" customFormat="false" ht="12.75" hidden="false" customHeight="true" outlineLevel="0" collapsed="false">
      <c r="A2885" s="4" t="s">
        <v>2806</v>
      </c>
      <c r="B2885" s="5" t="n">
        <v>0.05</v>
      </c>
      <c r="C2885" s="1" t="str">
        <f aca="false">IF(B2885="NEW ROUTE",1,"")</f>
        <v/>
      </c>
      <c r="E2885" s="5" t="n">
        <v>0.05</v>
      </c>
      <c r="F2885" s="6" t="e">
        <f aca="false">VLOOKUP(E2885,$K$2:$L$426,2,FALSE())</f>
        <v>#N/A</v>
      </c>
      <c r="G2885" s="1" t="str">
        <f aca="false">IF(ISNA(F2885),"",F2885)</f>
        <v/>
      </c>
      <c r="H2885" s="5" t="n">
        <f aca="false">IF(G2885&lt;&gt;"",G2885,E2885)</f>
        <v>0.05</v>
      </c>
    </row>
    <row r="2886" customFormat="false" ht="12.75" hidden="false" customHeight="true" outlineLevel="0" collapsed="false">
      <c r="A2886" s="4" t="s">
        <v>3665</v>
      </c>
      <c r="B2886" s="5" t="s">
        <v>3665</v>
      </c>
      <c r="C2886" s="1" t="str">
        <f aca="false">IF(B2886="NEW ROUTE",1,"")</f>
        <v/>
      </c>
      <c r="E2886" s="5" t="s">
        <v>3665</v>
      </c>
      <c r="F2886" s="6" t="e">
        <f aca="false">VLOOKUP(E2886,$K$2:$L$426,2,FALSE())</f>
        <v>#N/A</v>
      </c>
      <c r="G2886" s="1" t="str">
        <f aca="false">IF(ISNA(F2886),"",F2886)</f>
        <v/>
      </c>
      <c r="H2886" s="5" t="str">
        <f aca="false">IF(G2886&lt;&gt;"",G2886,E2886)</f>
        <v>29, 29, PINECO</v>
      </c>
    </row>
    <row r="2887" customFormat="false" ht="12.75" hidden="false" customHeight="true" outlineLevel="0" collapsed="false">
      <c r="A2887" s="4" t="s">
        <v>3666</v>
      </c>
      <c r="B2887" s="5" t="s">
        <v>3666</v>
      </c>
      <c r="C2887" s="1" t="str">
        <f aca="false">IF(B2887="NEW ROUTE",1,"")</f>
        <v/>
      </c>
      <c r="E2887" s="5" t="s">
        <v>3666</v>
      </c>
      <c r="F2887" s="6" t="e">
        <f aca="false">VLOOKUP(E2887,$K$2:$L$426,2,FALSE())</f>
        <v>#N/A</v>
      </c>
      <c r="G2887" s="1" t="str">
        <f aca="false">IF(ISNA(F2887),"",F2887)</f>
        <v/>
      </c>
      <c r="H2887" s="5" t="str">
        <f aca="false">IF(G2887&lt;&gt;"",G2887,E2887)</f>
        <v>19, 19, PINECO</v>
      </c>
    </row>
    <row r="2888" customFormat="false" ht="12.75" hidden="false" customHeight="true" outlineLevel="0" collapsed="false">
      <c r="A2888" s="4" t="s">
        <v>2809</v>
      </c>
      <c r="B2888" s="5" t="n">
        <v>0.04</v>
      </c>
      <c r="C2888" s="1" t="str">
        <f aca="false">IF(B2888="NEW ROUTE",1,"")</f>
        <v/>
      </c>
      <c r="E2888" s="5" t="n">
        <v>0.04</v>
      </c>
      <c r="F2888" s="6" t="e">
        <f aca="false">VLOOKUP(E2888,$K$2:$L$426,2,FALSE())</f>
        <v>#N/A</v>
      </c>
      <c r="G2888" s="1" t="str">
        <f aca="false">IF(ISNA(F2888),"",F2888)</f>
        <v/>
      </c>
      <c r="H2888" s="5" t="n">
        <f aca="false">IF(G2888&lt;&gt;"",G2888,E2888)</f>
        <v>0.04</v>
      </c>
    </row>
    <row r="2889" customFormat="false" ht="12.75" hidden="false" customHeight="true" outlineLevel="0" collapsed="false">
      <c r="A2889" s="4" t="s">
        <v>3667</v>
      </c>
      <c r="B2889" s="5" t="s">
        <v>3667</v>
      </c>
      <c r="C2889" s="1" t="str">
        <f aca="false">IF(B2889="NEW ROUTE",1,"")</f>
        <v/>
      </c>
      <c r="E2889" s="5" t="s">
        <v>3667</v>
      </c>
      <c r="F2889" s="6" t="e">
        <f aca="false">VLOOKUP(E2889,$K$2:$L$426,2,FALSE())</f>
        <v>#N/A</v>
      </c>
      <c r="G2889" s="1" t="str">
        <f aca="false">IF(ISNA(F2889),"",F2889)</f>
        <v/>
      </c>
      <c r="H2889" s="5" t="str">
        <f aca="false">IF(G2889&lt;&gt;"",G2889,E2889)</f>
        <v>21, 21, PINECO</v>
      </c>
    </row>
    <row r="2890" customFormat="false" ht="12.75" hidden="false" customHeight="true" outlineLevel="0" collapsed="false">
      <c r="A2890" s="4" t="s">
        <v>3664</v>
      </c>
      <c r="B2890" s="5" t="s">
        <v>3664</v>
      </c>
      <c r="C2890" s="1" t="str">
        <f aca="false">IF(B2890="NEW ROUTE",1,"")</f>
        <v/>
      </c>
      <c r="E2890" s="5" t="s">
        <v>3664</v>
      </c>
      <c r="F2890" s="6" t="e">
        <f aca="false">VLOOKUP(E2890,$K$2:$L$426,2,FALSE())</f>
        <v>#N/A</v>
      </c>
      <c r="G2890" s="1" t="str">
        <f aca="false">IF(ISNA(F2890),"",F2890)</f>
        <v/>
      </c>
      <c r="H2890" s="5" t="str">
        <f aca="false">IF(G2890&lt;&gt;"",G2890,E2890)</f>
        <v>27, 27, PINECO</v>
      </c>
    </row>
    <row r="2891" customFormat="false" ht="12.75" hidden="false" customHeight="true" outlineLevel="0" collapsed="false">
      <c r="A2891" s="4" t="s">
        <v>2812</v>
      </c>
      <c r="B2891" s="5" t="n">
        <v>0.01</v>
      </c>
      <c r="C2891" s="1" t="str">
        <f aca="false">IF(B2891="NEW ROUTE",1,"")</f>
        <v/>
      </c>
      <c r="E2891" s="5" t="n">
        <v>0.01</v>
      </c>
      <c r="F2891" s="6" t="e">
        <f aca="false">VLOOKUP(E2891,$K$2:$L$426,2,FALSE())</f>
        <v>#N/A</v>
      </c>
      <c r="G2891" s="1" t="str">
        <f aca="false">IF(ISNA(F2891),"",F2891)</f>
        <v/>
      </c>
      <c r="H2891" s="5" t="n">
        <f aca="false">IF(G2891&lt;&gt;"",G2891,E2891)</f>
        <v>0.01</v>
      </c>
    </row>
    <row r="2892" customFormat="false" ht="12.75" hidden="false" customHeight="true" outlineLevel="0" collapsed="false">
      <c r="A2892" s="4" t="s">
        <v>3667</v>
      </c>
      <c r="B2892" s="5" t="s">
        <v>3667</v>
      </c>
      <c r="C2892" s="1" t="str">
        <f aca="false">IF(B2892="NEW ROUTE",1,"")</f>
        <v/>
      </c>
      <c r="E2892" s="5" t="s">
        <v>3667</v>
      </c>
      <c r="F2892" s="6" t="e">
        <f aca="false">VLOOKUP(E2892,$K$2:$L$426,2,FALSE())</f>
        <v>#N/A</v>
      </c>
      <c r="G2892" s="1" t="str">
        <f aca="false">IF(ISNA(F2892),"",F2892)</f>
        <v/>
      </c>
      <c r="H2892" s="5" t="str">
        <f aca="false">IF(G2892&lt;&gt;"",G2892,E2892)</f>
        <v>21, 21, PINECO</v>
      </c>
    </row>
    <row r="2893" customFormat="false" ht="12.75" hidden="false" customHeight="true" outlineLevel="0" collapsed="false">
      <c r="A2893" s="4" t="s">
        <v>3664</v>
      </c>
      <c r="B2893" s="5" t="s">
        <v>3664</v>
      </c>
      <c r="C2893" s="1" t="str">
        <f aca="false">IF(B2893="NEW ROUTE",1,"")</f>
        <v/>
      </c>
      <c r="E2893" s="5" t="s">
        <v>3664</v>
      </c>
      <c r="F2893" s="6" t="e">
        <f aca="false">VLOOKUP(E2893,$K$2:$L$426,2,FALSE())</f>
        <v>#N/A</v>
      </c>
      <c r="G2893" s="1" t="str">
        <f aca="false">IF(ISNA(F2893),"",F2893)</f>
        <v/>
      </c>
      <c r="H2893" s="5" t="str">
        <f aca="false">IF(G2893&lt;&gt;"",G2893,E2893)</f>
        <v>27, 27, PINECO</v>
      </c>
    </row>
    <row r="2894" customFormat="false" ht="12.75" hidden="false" customHeight="true" outlineLevel="0" collapsed="false">
      <c r="A2894" s="4" t="s">
        <v>2536</v>
      </c>
      <c r="B2894" s="5" t="s">
        <v>2536</v>
      </c>
      <c r="C2894" s="1" t="n">
        <f aca="false">IF(B2894="NEW ROUTE",1,"")</f>
        <v>1</v>
      </c>
      <c r="E2894" s="5" t="s">
        <v>2536</v>
      </c>
      <c r="F2894" s="6" t="e">
        <f aca="false">VLOOKUP(E2894,$K$2:$L$426,2,FALSE())</f>
        <v>#N/A</v>
      </c>
      <c r="G2894" s="1" t="str">
        <f aca="false">IF(ISNA(F2894),"",F2894)</f>
        <v/>
      </c>
      <c r="H2894" s="5" t="str">
        <f aca="false">IF(G2894&lt;&gt;"",G2894,E2894)</f>
        <v>NEW ROUTE</v>
      </c>
    </row>
    <row r="2895" customFormat="false" ht="12.75" hidden="false" customHeight="true" outlineLevel="0" collapsed="false">
      <c r="A2895" s="4" t="s">
        <v>256</v>
      </c>
      <c r="B2895" s="5" t="s">
        <v>256</v>
      </c>
      <c r="C2895" s="1" t="str">
        <f aca="false">IF(B2895="NEW ROUTE",1,"")</f>
        <v/>
      </c>
      <c r="E2895" s="5" t="s">
        <v>256</v>
      </c>
      <c r="F2895" s="6" t="str">
        <f aca="false">VLOOKUP(E2895,$K$2:$L$426,2,FALSE())</f>
        <v>Six Island Altering Cave</v>
      </c>
      <c r="G2895" s="1" t="str">
        <f aca="false">IF(ISNA(F2895),"",F2895)</f>
        <v>Six Island Altering Cave</v>
      </c>
      <c r="H2895" s="5" t="str">
        <f aca="false">IF(G2895&lt;&gt;"",G2895,E2895)</f>
        <v>Six Island Altering Cave</v>
      </c>
    </row>
    <row r="2896" customFormat="false" ht="12.75" hidden="false" customHeight="true" outlineLevel="0" collapsed="false">
      <c r="A2896" s="4" t="s">
        <v>2799</v>
      </c>
      <c r="B2896" s="5" t="n">
        <v>0.2</v>
      </c>
      <c r="C2896" s="1" t="str">
        <f aca="false">IF(B2896="NEW ROUTE",1,"")</f>
        <v/>
      </c>
      <c r="E2896" s="5" t="n">
        <v>0.2</v>
      </c>
      <c r="F2896" s="6" t="e">
        <f aca="false">VLOOKUP(E2896,$K$2:$L$426,2,FALSE())</f>
        <v>#N/A</v>
      </c>
      <c r="G2896" s="1" t="str">
        <f aca="false">IF(ISNA(F2896),"",F2896)</f>
        <v/>
      </c>
      <c r="H2896" s="5" t="n">
        <f aca="false">IF(G2896&lt;&gt;"",G2896,E2896)</f>
        <v>0.2</v>
      </c>
    </row>
    <row r="2897" customFormat="false" ht="12.75" hidden="false" customHeight="true" outlineLevel="0" collapsed="false">
      <c r="A2897" s="4" t="s">
        <v>2163</v>
      </c>
      <c r="B2897" s="5" t="s">
        <v>2163</v>
      </c>
      <c r="C2897" s="1" t="str">
        <f aca="false">IF(B2897="NEW ROUTE",1,"")</f>
        <v/>
      </c>
      <c r="E2897" s="5" t="s">
        <v>2163</v>
      </c>
      <c r="F2897" s="6" t="e">
        <f aca="false">VLOOKUP(E2897,$K$2:$L$426,2,FALSE())</f>
        <v>#N/A</v>
      </c>
      <c r="G2897" s="1" t="str">
        <f aca="false">IF(ISNA(F2897),"",F2897)</f>
        <v/>
      </c>
      <c r="H2897" s="5" t="str">
        <f aca="false">IF(G2897&lt;&gt;"",G2897,E2897)</f>
        <v>16, 16, HOUNDOUR</v>
      </c>
    </row>
    <row r="2898" customFormat="false" ht="12.75" hidden="false" customHeight="true" outlineLevel="0" collapsed="false">
      <c r="A2898" s="4" t="s">
        <v>3669</v>
      </c>
      <c r="B2898" s="5" t="s">
        <v>3669</v>
      </c>
      <c r="C2898" s="1" t="str">
        <f aca="false">IF(B2898="NEW ROUTE",1,"")</f>
        <v/>
      </c>
      <c r="E2898" s="5" t="s">
        <v>3669</v>
      </c>
      <c r="F2898" s="6" t="e">
        <f aca="false">VLOOKUP(E2898,$K$2:$L$426,2,FALSE())</f>
        <v>#N/A</v>
      </c>
      <c r="G2898" s="1" t="str">
        <f aca="false">IF(ISNA(F2898),"",F2898)</f>
        <v/>
      </c>
      <c r="H2898" s="5" t="str">
        <f aca="false">IF(G2898&lt;&gt;"",G2898,E2898)</f>
        <v>18, 18, HOUNDOUR</v>
      </c>
    </row>
    <row r="2899" customFormat="false" ht="12.75" hidden="false" customHeight="true" outlineLevel="0" collapsed="false">
      <c r="A2899" s="4" t="s">
        <v>2801</v>
      </c>
      <c r="B2899" s="5" t="n">
        <v>0.1</v>
      </c>
      <c r="C2899" s="1" t="str">
        <f aca="false">IF(B2899="NEW ROUTE",1,"")</f>
        <v/>
      </c>
      <c r="E2899" s="5" t="n">
        <v>0.1</v>
      </c>
      <c r="F2899" s="6" t="e">
        <f aca="false">VLOOKUP(E2899,$K$2:$L$426,2,FALSE())</f>
        <v>#N/A</v>
      </c>
      <c r="G2899" s="1" t="str">
        <f aca="false">IF(ISNA(F2899),"",F2899)</f>
        <v/>
      </c>
      <c r="H2899" s="5" t="n">
        <f aca="false">IF(G2899&lt;&gt;"",G2899,E2899)</f>
        <v>0.1</v>
      </c>
    </row>
    <row r="2900" customFormat="false" ht="12.75" hidden="false" customHeight="true" outlineLevel="0" collapsed="false">
      <c r="A2900" s="4" t="s">
        <v>3670</v>
      </c>
      <c r="B2900" s="5" t="s">
        <v>3670</v>
      </c>
      <c r="C2900" s="1" t="str">
        <f aca="false">IF(B2900="NEW ROUTE",1,"")</f>
        <v/>
      </c>
      <c r="E2900" s="5" t="s">
        <v>3670</v>
      </c>
      <c r="F2900" s="6" t="e">
        <f aca="false">VLOOKUP(E2900,$K$2:$L$426,2,FALSE())</f>
        <v>#N/A</v>
      </c>
      <c r="G2900" s="1" t="str">
        <f aca="false">IF(ISNA(F2900),"",F2900)</f>
        <v/>
      </c>
      <c r="H2900" s="5" t="str">
        <f aca="false">IF(G2900&lt;&gt;"",G2900,E2900)</f>
        <v>14, 14, HOUNDOUR</v>
      </c>
    </row>
    <row r="2901" customFormat="false" ht="12.75" hidden="false" customHeight="true" outlineLevel="0" collapsed="false">
      <c r="A2901" s="4" t="s">
        <v>3671</v>
      </c>
      <c r="B2901" s="5" t="s">
        <v>3671</v>
      </c>
      <c r="C2901" s="1" t="str">
        <f aca="false">IF(B2901="NEW ROUTE",1,"")</f>
        <v/>
      </c>
      <c r="E2901" s="5" t="s">
        <v>3671</v>
      </c>
      <c r="F2901" s="6" t="e">
        <f aca="false">VLOOKUP(E2901,$K$2:$L$426,2,FALSE())</f>
        <v>#N/A</v>
      </c>
      <c r="G2901" s="1" t="str">
        <f aca="false">IF(ISNA(F2901),"",F2901)</f>
        <v/>
      </c>
      <c r="H2901" s="5" t="str">
        <f aca="false">IF(G2901&lt;&gt;"",G2901,E2901)</f>
        <v>20, 20, HOUNDOUR</v>
      </c>
    </row>
    <row r="2902" customFormat="false" ht="12.75" hidden="false" customHeight="true" outlineLevel="0" collapsed="false">
      <c r="A2902" s="4" t="s">
        <v>2163</v>
      </c>
      <c r="B2902" s="5" t="s">
        <v>2163</v>
      </c>
      <c r="C2902" s="1" t="str">
        <f aca="false">IF(B2902="NEW ROUTE",1,"")</f>
        <v/>
      </c>
      <c r="E2902" s="5" t="s">
        <v>2163</v>
      </c>
      <c r="F2902" s="6" t="e">
        <f aca="false">VLOOKUP(E2902,$K$2:$L$426,2,FALSE())</f>
        <v>#N/A</v>
      </c>
      <c r="G2902" s="1" t="str">
        <f aca="false">IF(ISNA(F2902),"",F2902)</f>
        <v/>
      </c>
      <c r="H2902" s="5" t="str">
        <f aca="false">IF(G2902&lt;&gt;"",G2902,E2902)</f>
        <v>16, 16, HOUNDOUR</v>
      </c>
    </row>
    <row r="2903" customFormat="false" ht="12.75" hidden="false" customHeight="true" outlineLevel="0" collapsed="false">
      <c r="A2903" s="4" t="s">
        <v>3669</v>
      </c>
      <c r="B2903" s="5" t="s">
        <v>3669</v>
      </c>
      <c r="C2903" s="1" t="str">
        <f aca="false">IF(B2903="NEW ROUTE",1,"")</f>
        <v/>
      </c>
      <c r="E2903" s="5" t="s">
        <v>3669</v>
      </c>
      <c r="F2903" s="6" t="e">
        <f aca="false">VLOOKUP(E2903,$K$2:$L$426,2,FALSE())</f>
        <v>#N/A</v>
      </c>
      <c r="G2903" s="1" t="str">
        <f aca="false">IF(ISNA(F2903),"",F2903)</f>
        <v/>
      </c>
      <c r="H2903" s="5" t="str">
        <f aca="false">IF(G2903&lt;&gt;"",G2903,E2903)</f>
        <v>18, 18, HOUNDOUR</v>
      </c>
    </row>
    <row r="2904" customFormat="false" ht="12.75" hidden="false" customHeight="true" outlineLevel="0" collapsed="false">
      <c r="A2904" s="4" t="s">
        <v>2806</v>
      </c>
      <c r="B2904" s="5" t="n">
        <v>0.05</v>
      </c>
      <c r="C2904" s="1" t="str">
        <f aca="false">IF(B2904="NEW ROUTE",1,"")</f>
        <v/>
      </c>
      <c r="E2904" s="5" t="n">
        <v>0.05</v>
      </c>
      <c r="F2904" s="6" t="e">
        <f aca="false">VLOOKUP(E2904,$K$2:$L$426,2,FALSE())</f>
        <v>#N/A</v>
      </c>
      <c r="G2904" s="1" t="str">
        <f aca="false">IF(ISNA(F2904),"",F2904)</f>
        <v/>
      </c>
      <c r="H2904" s="5" t="n">
        <f aca="false">IF(G2904&lt;&gt;"",G2904,E2904)</f>
        <v>0.05</v>
      </c>
    </row>
    <row r="2905" customFormat="false" ht="12.75" hidden="false" customHeight="true" outlineLevel="0" collapsed="false">
      <c r="A2905" s="4" t="s">
        <v>3672</v>
      </c>
      <c r="B2905" s="5" t="s">
        <v>3672</v>
      </c>
      <c r="C2905" s="1" t="str">
        <f aca="false">IF(B2905="NEW ROUTE",1,"")</f>
        <v/>
      </c>
      <c r="E2905" s="5" t="s">
        <v>3672</v>
      </c>
      <c r="F2905" s="6" t="e">
        <f aca="false">VLOOKUP(E2905,$K$2:$L$426,2,FALSE())</f>
        <v>#N/A</v>
      </c>
      <c r="G2905" s="1" t="str">
        <f aca="false">IF(ISNA(F2905),"",F2905)</f>
        <v/>
      </c>
      <c r="H2905" s="5" t="str">
        <f aca="false">IF(G2905&lt;&gt;"",G2905,E2905)</f>
        <v>22, 22, HOUNDOUR</v>
      </c>
    </row>
    <row r="2906" customFormat="false" ht="12.75" hidden="false" customHeight="true" outlineLevel="0" collapsed="false">
      <c r="A2906" s="4" t="s">
        <v>3673</v>
      </c>
      <c r="B2906" s="5" t="s">
        <v>3673</v>
      </c>
      <c r="C2906" s="1" t="str">
        <f aca="false">IF(B2906="NEW ROUTE",1,"")</f>
        <v/>
      </c>
      <c r="E2906" s="5" t="s">
        <v>3673</v>
      </c>
      <c r="F2906" s="6" t="e">
        <f aca="false">VLOOKUP(E2906,$K$2:$L$426,2,FALSE())</f>
        <v>#N/A</v>
      </c>
      <c r="G2906" s="1" t="str">
        <f aca="false">IF(ISNA(F2906),"",F2906)</f>
        <v/>
      </c>
      <c r="H2906" s="5" t="str">
        <f aca="false">IF(G2906&lt;&gt;"",G2906,E2906)</f>
        <v>12, 12, HOUNDOUR</v>
      </c>
    </row>
    <row r="2907" customFormat="false" ht="12.75" hidden="false" customHeight="true" outlineLevel="0" collapsed="false">
      <c r="A2907" s="4" t="s">
        <v>2809</v>
      </c>
      <c r="B2907" s="5" t="n">
        <v>0.04</v>
      </c>
      <c r="C2907" s="1" t="str">
        <f aca="false">IF(B2907="NEW ROUTE",1,"")</f>
        <v/>
      </c>
      <c r="E2907" s="5" t="n">
        <v>0.04</v>
      </c>
      <c r="F2907" s="6" t="e">
        <f aca="false">VLOOKUP(E2907,$K$2:$L$426,2,FALSE())</f>
        <v>#N/A</v>
      </c>
      <c r="G2907" s="1" t="str">
        <f aca="false">IF(ISNA(F2907),"",F2907)</f>
        <v/>
      </c>
      <c r="H2907" s="5" t="n">
        <f aca="false">IF(G2907&lt;&gt;"",G2907,E2907)</f>
        <v>0.04</v>
      </c>
    </row>
    <row r="2908" customFormat="false" ht="12.75" hidden="false" customHeight="true" outlineLevel="0" collapsed="false">
      <c r="A2908" s="4" t="s">
        <v>3670</v>
      </c>
      <c r="B2908" s="5" t="s">
        <v>3670</v>
      </c>
      <c r="C2908" s="1" t="str">
        <f aca="false">IF(B2908="NEW ROUTE",1,"")</f>
        <v/>
      </c>
      <c r="E2908" s="5" t="s">
        <v>3670</v>
      </c>
      <c r="F2908" s="6" t="e">
        <f aca="false">VLOOKUP(E2908,$K$2:$L$426,2,FALSE())</f>
        <v>#N/A</v>
      </c>
      <c r="G2908" s="1" t="str">
        <f aca="false">IF(ISNA(F2908),"",F2908)</f>
        <v/>
      </c>
      <c r="H2908" s="5" t="str">
        <f aca="false">IF(G2908&lt;&gt;"",G2908,E2908)</f>
        <v>14, 14, HOUNDOUR</v>
      </c>
    </row>
    <row r="2909" customFormat="false" ht="12.75" hidden="false" customHeight="true" outlineLevel="0" collapsed="false">
      <c r="A2909" s="4" t="s">
        <v>3671</v>
      </c>
      <c r="B2909" s="5" t="s">
        <v>3671</v>
      </c>
      <c r="C2909" s="1" t="str">
        <f aca="false">IF(B2909="NEW ROUTE",1,"")</f>
        <v/>
      </c>
      <c r="E2909" s="5" t="s">
        <v>3671</v>
      </c>
      <c r="F2909" s="6" t="e">
        <f aca="false">VLOOKUP(E2909,$K$2:$L$426,2,FALSE())</f>
        <v>#N/A</v>
      </c>
      <c r="G2909" s="1" t="str">
        <f aca="false">IF(ISNA(F2909),"",F2909)</f>
        <v/>
      </c>
      <c r="H2909" s="5" t="str">
        <f aca="false">IF(G2909&lt;&gt;"",G2909,E2909)</f>
        <v>20, 20, HOUNDOUR</v>
      </c>
    </row>
    <row r="2910" customFormat="false" ht="12.75" hidden="false" customHeight="true" outlineLevel="0" collapsed="false">
      <c r="A2910" s="4" t="s">
        <v>2812</v>
      </c>
      <c r="B2910" s="5" t="n">
        <v>0.01</v>
      </c>
      <c r="C2910" s="1" t="str">
        <f aca="false">IF(B2910="NEW ROUTE",1,"")</f>
        <v/>
      </c>
      <c r="E2910" s="5" t="n">
        <v>0.01</v>
      </c>
      <c r="F2910" s="6" t="e">
        <f aca="false">VLOOKUP(E2910,$K$2:$L$426,2,FALSE())</f>
        <v>#N/A</v>
      </c>
      <c r="G2910" s="1" t="str">
        <f aca="false">IF(ISNA(F2910),"",F2910)</f>
        <v/>
      </c>
      <c r="H2910" s="5" t="n">
        <f aca="false">IF(G2910&lt;&gt;"",G2910,E2910)</f>
        <v>0.01</v>
      </c>
    </row>
    <row r="2911" customFormat="false" ht="12.75" hidden="false" customHeight="true" outlineLevel="0" collapsed="false">
      <c r="A2911" s="4" t="s">
        <v>3670</v>
      </c>
      <c r="B2911" s="5" t="s">
        <v>3670</v>
      </c>
      <c r="C2911" s="1" t="str">
        <f aca="false">IF(B2911="NEW ROUTE",1,"")</f>
        <v/>
      </c>
      <c r="E2911" s="5" t="s">
        <v>3670</v>
      </c>
      <c r="F2911" s="6" t="e">
        <f aca="false">VLOOKUP(E2911,$K$2:$L$426,2,FALSE())</f>
        <v>#N/A</v>
      </c>
      <c r="G2911" s="1" t="str">
        <f aca="false">IF(ISNA(F2911),"",F2911)</f>
        <v/>
      </c>
      <c r="H2911" s="5" t="str">
        <f aca="false">IF(G2911&lt;&gt;"",G2911,E2911)</f>
        <v>14, 14, HOUNDOUR</v>
      </c>
    </row>
    <row r="2912" customFormat="false" ht="12.75" hidden="false" customHeight="true" outlineLevel="0" collapsed="false">
      <c r="A2912" s="4" t="s">
        <v>3671</v>
      </c>
      <c r="B2912" s="5" t="s">
        <v>3671</v>
      </c>
      <c r="C2912" s="1" t="str">
        <f aca="false">IF(B2912="NEW ROUTE",1,"")</f>
        <v/>
      </c>
      <c r="E2912" s="5" t="s">
        <v>3671</v>
      </c>
      <c r="F2912" s="6" t="e">
        <f aca="false">VLOOKUP(E2912,$K$2:$L$426,2,FALSE())</f>
        <v>#N/A</v>
      </c>
      <c r="G2912" s="1" t="str">
        <f aca="false">IF(ISNA(F2912),"",F2912)</f>
        <v/>
      </c>
      <c r="H2912" s="5" t="str">
        <f aca="false">IF(G2912&lt;&gt;"",G2912,E2912)</f>
        <v>20, 20, HOUNDOUR</v>
      </c>
    </row>
    <row r="2913" customFormat="false" ht="12.75" hidden="false" customHeight="true" outlineLevel="0" collapsed="false">
      <c r="A2913" s="4" t="s">
        <v>2536</v>
      </c>
      <c r="B2913" s="5" t="s">
        <v>2536</v>
      </c>
      <c r="C2913" s="1" t="n">
        <f aca="false">IF(B2913="NEW ROUTE",1,"")</f>
        <v>1</v>
      </c>
      <c r="E2913" s="5" t="s">
        <v>2536</v>
      </c>
      <c r="F2913" s="6" t="e">
        <f aca="false">VLOOKUP(E2913,$K$2:$L$426,2,FALSE())</f>
        <v>#N/A</v>
      </c>
      <c r="G2913" s="1" t="str">
        <f aca="false">IF(ISNA(F2913),"",F2913)</f>
        <v/>
      </c>
      <c r="H2913" s="5" t="str">
        <f aca="false">IF(G2913&lt;&gt;"",G2913,E2913)</f>
        <v>NEW ROUTE</v>
      </c>
    </row>
    <row r="2914" customFormat="false" ht="12.75" hidden="false" customHeight="true" outlineLevel="0" collapsed="false">
      <c r="A2914" s="4" t="s">
        <v>256</v>
      </c>
      <c r="B2914" s="5" t="s">
        <v>256</v>
      </c>
      <c r="C2914" s="1" t="str">
        <f aca="false">IF(B2914="NEW ROUTE",1,"")</f>
        <v/>
      </c>
      <c r="E2914" s="5" t="s">
        <v>256</v>
      </c>
      <c r="F2914" s="6" t="str">
        <f aca="false">VLOOKUP(E2914,$K$2:$L$426,2,FALSE())</f>
        <v>Six Island Altering Cave</v>
      </c>
      <c r="G2914" s="1" t="str">
        <f aca="false">IF(ISNA(F2914),"",F2914)</f>
        <v>Six Island Altering Cave</v>
      </c>
      <c r="H2914" s="5" t="str">
        <f aca="false">IF(G2914&lt;&gt;"",G2914,E2914)</f>
        <v>Six Island Altering Cave</v>
      </c>
    </row>
    <row r="2915" customFormat="false" ht="12.75" hidden="false" customHeight="true" outlineLevel="0" collapsed="false">
      <c r="A2915" s="4" t="s">
        <v>2799</v>
      </c>
      <c r="B2915" s="5" t="n">
        <v>0.2</v>
      </c>
      <c r="C2915" s="1" t="str">
        <f aca="false">IF(B2915="NEW ROUTE",1,"")</f>
        <v/>
      </c>
      <c r="E2915" s="5" t="n">
        <v>0.2</v>
      </c>
      <c r="F2915" s="6" t="e">
        <f aca="false">VLOOKUP(E2915,$K$2:$L$426,2,FALSE())</f>
        <v>#N/A</v>
      </c>
      <c r="G2915" s="1" t="str">
        <f aca="false">IF(ISNA(F2915),"",F2915)</f>
        <v/>
      </c>
      <c r="H2915" s="5" t="n">
        <f aca="false">IF(G2915&lt;&gt;"",G2915,E2915)</f>
        <v>0.2</v>
      </c>
    </row>
    <row r="2916" customFormat="false" ht="12.75" hidden="false" customHeight="true" outlineLevel="0" collapsed="false">
      <c r="A2916" s="4" t="s">
        <v>2171</v>
      </c>
      <c r="B2916" s="5" t="s">
        <v>2171</v>
      </c>
      <c r="C2916" s="1" t="str">
        <f aca="false">IF(B2916="NEW ROUTE",1,"")</f>
        <v/>
      </c>
      <c r="E2916" s="5" t="s">
        <v>2171</v>
      </c>
      <c r="F2916" s="6" t="e">
        <f aca="false">VLOOKUP(E2916,$K$2:$L$426,2,FALSE())</f>
        <v>#N/A</v>
      </c>
      <c r="G2916" s="1" t="str">
        <f aca="false">IF(ISNA(F2916),"",F2916)</f>
        <v/>
      </c>
      <c r="H2916" s="5" t="str">
        <f aca="false">IF(G2916&lt;&gt;"",G2916,E2916)</f>
        <v>22, 22, TEDDIURSA</v>
      </c>
    </row>
    <row r="2917" customFormat="false" ht="12.75" hidden="false" customHeight="true" outlineLevel="0" collapsed="false">
      <c r="A2917" s="4" t="s">
        <v>3675</v>
      </c>
      <c r="B2917" s="5" t="s">
        <v>3675</v>
      </c>
      <c r="C2917" s="1" t="str">
        <f aca="false">IF(B2917="NEW ROUTE",1,"")</f>
        <v/>
      </c>
      <c r="E2917" s="5" t="s">
        <v>3675</v>
      </c>
      <c r="F2917" s="6" t="e">
        <f aca="false">VLOOKUP(E2917,$K$2:$L$426,2,FALSE())</f>
        <v>#N/A</v>
      </c>
      <c r="G2917" s="1" t="str">
        <f aca="false">IF(ISNA(F2917),"",F2917)</f>
        <v/>
      </c>
      <c r="H2917" s="5" t="str">
        <f aca="false">IF(G2917&lt;&gt;"",G2917,E2917)</f>
        <v>24, 24, TEDDIURSA</v>
      </c>
    </row>
    <row r="2918" customFormat="false" ht="12.75" hidden="false" customHeight="true" outlineLevel="0" collapsed="false">
      <c r="A2918" s="4" t="s">
        <v>2801</v>
      </c>
      <c r="B2918" s="5" t="n">
        <v>0.1</v>
      </c>
      <c r="C2918" s="1" t="str">
        <f aca="false">IF(B2918="NEW ROUTE",1,"")</f>
        <v/>
      </c>
      <c r="E2918" s="5" t="n">
        <v>0.1</v>
      </c>
      <c r="F2918" s="6" t="e">
        <f aca="false">VLOOKUP(E2918,$K$2:$L$426,2,FALSE())</f>
        <v>#N/A</v>
      </c>
      <c r="G2918" s="1" t="str">
        <f aca="false">IF(ISNA(F2918),"",F2918)</f>
        <v/>
      </c>
      <c r="H2918" s="5" t="n">
        <f aca="false">IF(G2918&lt;&gt;"",G2918,E2918)</f>
        <v>0.1</v>
      </c>
    </row>
    <row r="2919" customFormat="false" ht="12.75" hidden="false" customHeight="true" outlineLevel="0" collapsed="false">
      <c r="A2919" s="4" t="s">
        <v>3676</v>
      </c>
      <c r="B2919" s="5" t="s">
        <v>3676</v>
      </c>
      <c r="C2919" s="1" t="str">
        <f aca="false">IF(B2919="NEW ROUTE",1,"")</f>
        <v/>
      </c>
      <c r="E2919" s="5" t="s">
        <v>3676</v>
      </c>
      <c r="F2919" s="6" t="e">
        <f aca="false">VLOOKUP(E2919,$K$2:$L$426,2,FALSE())</f>
        <v>#N/A</v>
      </c>
      <c r="G2919" s="1" t="str">
        <f aca="false">IF(ISNA(F2919),"",F2919)</f>
        <v/>
      </c>
      <c r="H2919" s="5" t="str">
        <f aca="false">IF(G2919&lt;&gt;"",G2919,E2919)</f>
        <v>20, 20, TEDDIURSA</v>
      </c>
    </row>
    <row r="2920" customFormat="false" ht="12.75" hidden="false" customHeight="true" outlineLevel="0" collapsed="false">
      <c r="A2920" s="4" t="s">
        <v>3677</v>
      </c>
      <c r="B2920" s="5" t="s">
        <v>3677</v>
      </c>
      <c r="C2920" s="1" t="str">
        <f aca="false">IF(B2920="NEW ROUTE",1,"")</f>
        <v/>
      </c>
      <c r="E2920" s="5" t="s">
        <v>3677</v>
      </c>
      <c r="F2920" s="6" t="e">
        <f aca="false">VLOOKUP(E2920,$K$2:$L$426,2,FALSE())</f>
        <v>#N/A</v>
      </c>
      <c r="G2920" s="1" t="str">
        <f aca="false">IF(ISNA(F2920),"",F2920)</f>
        <v/>
      </c>
      <c r="H2920" s="5" t="str">
        <f aca="false">IF(G2920&lt;&gt;"",G2920,E2920)</f>
        <v>26, 26, TEDDIURSA</v>
      </c>
    </row>
    <row r="2921" customFormat="false" ht="12.75" hidden="false" customHeight="true" outlineLevel="0" collapsed="false">
      <c r="A2921" s="4" t="s">
        <v>2171</v>
      </c>
      <c r="B2921" s="5" t="s">
        <v>2171</v>
      </c>
      <c r="C2921" s="1" t="str">
        <f aca="false">IF(B2921="NEW ROUTE",1,"")</f>
        <v/>
      </c>
      <c r="E2921" s="5" t="s">
        <v>2171</v>
      </c>
      <c r="F2921" s="6" t="e">
        <f aca="false">VLOOKUP(E2921,$K$2:$L$426,2,FALSE())</f>
        <v>#N/A</v>
      </c>
      <c r="G2921" s="1" t="str">
        <f aca="false">IF(ISNA(F2921),"",F2921)</f>
        <v/>
      </c>
      <c r="H2921" s="5" t="str">
        <f aca="false">IF(G2921&lt;&gt;"",G2921,E2921)</f>
        <v>22, 22, TEDDIURSA</v>
      </c>
    </row>
    <row r="2922" customFormat="false" ht="12.75" hidden="false" customHeight="true" outlineLevel="0" collapsed="false">
      <c r="A2922" s="4" t="s">
        <v>3675</v>
      </c>
      <c r="B2922" s="5" t="s">
        <v>3675</v>
      </c>
      <c r="C2922" s="1" t="str">
        <f aca="false">IF(B2922="NEW ROUTE",1,"")</f>
        <v/>
      </c>
      <c r="E2922" s="5" t="s">
        <v>3675</v>
      </c>
      <c r="F2922" s="6" t="e">
        <f aca="false">VLOOKUP(E2922,$K$2:$L$426,2,FALSE())</f>
        <v>#N/A</v>
      </c>
      <c r="G2922" s="1" t="str">
        <f aca="false">IF(ISNA(F2922),"",F2922)</f>
        <v/>
      </c>
      <c r="H2922" s="5" t="str">
        <f aca="false">IF(G2922&lt;&gt;"",G2922,E2922)</f>
        <v>24, 24, TEDDIURSA</v>
      </c>
    </row>
    <row r="2923" customFormat="false" ht="12.75" hidden="false" customHeight="true" outlineLevel="0" collapsed="false">
      <c r="A2923" s="4" t="s">
        <v>2806</v>
      </c>
      <c r="B2923" s="5" t="n">
        <v>0.05</v>
      </c>
      <c r="C2923" s="1" t="str">
        <f aca="false">IF(B2923="NEW ROUTE",1,"")</f>
        <v/>
      </c>
      <c r="E2923" s="5" t="n">
        <v>0.05</v>
      </c>
      <c r="F2923" s="6" t="e">
        <f aca="false">VLOOKUP(E2923,$K$2:$L$426,2,FALSE())</f>
        <v>#N/A</v>
      </c>
      <c r="G2923" s="1" t="str">
        <f aca="false">IF(ISNA(F2923),"",F2923)</f>
        <v/>
      </c>
      <c r="H2923" s="5" t="n">
        <f aca="false">IF(G2923&lt;&gt;"",G2923,E2923)</f>
        <v>0.05</v>
      </c>
    </row>
    <row r="2924" customFormat="false" ht="12.75" hidden="false" customHeight="true" outlineLevel="0" collapsed="false">
      <c r="A2924" s="4" t="s">
        <v>3678</v>
      </c>
      <c r="B2924" s="5" t="s">
        <v>3678</v>
      </c>
      <c r="C2924" s="1" t="str">
        <f aca="false">IF(B2924="NEW ROUTE",1,"")</f>
        <v/>
      </c>
      <c r="E2924" s="5" t="s">
        <v>3678</v>
      </c>
      <c r="F2924" s="6" t="e">
        <f aca="false">VLOOKUP(E2924,$K$2:$L$426,2,FALSE())</f>
        <v>#N/A</v>
      </c>
      <c r="G2924" s="1" t="str">
        <f aca="false">IF(ISNA(F2924),"",F2924)</f>
        <v/>
      </c>
      <c r="H2924" s="5" t="str">
        <f aca="false">IF(G2924&lt;&gt;"",G2924,E2924)</f>
        <v>28, 28, TEDDIURSA</v>
      </c>
    </row>
    <row r="2925" customFormat="false" ht="12.75" hidden="false" customHeight="true" outlineLevel="0" collapsed="false">
      <c r="A2925" s="4" t="s">
        <v>3679</v>
      </c>
      <c r="B2925" s="5" t="s">
        <v>3679</v>
      </c>
      <c r="C2925" s="1" t="str">
        <f aca="false">IF(B2925="NEW ROUTE",1,"")</f>
        <v/>
      </c>
      <c r="E2925" s="5" t="s">
        <v>3679</v>
      </c>
      <c r="F2925" s="6" t="e">
        <f aca="false">VLOOKUP(E2925,$K$2:$L$426,2,FALSE())</f>
        <v>#N/A</v>
      </c>
      <c r="G2925" s="1" t="str">
        <f aca="false">IF(ISNA(F2925),"",F2925)</f>
        <v/>
      </c>
      <c r="H2925" s="5" t="str">
        <f aca="false">IF(G2925&lt;&gt;"",G2925,E2925)</f>
        <v>18, 18, TEDDIURSA</v>
      </c>
    </row>
    <row r="2926" customFormat="false" ht="12.75" hidden="false" customHeight="true" outlineLevel="0" collapsed="false">
      <c r="A2926" s="4" t="s">
        <v>2809</v>
      </c>
      <c r="B2926" s="5" t="n">
        <v>0.04</v>
      </c>
      <c r="C2926" s="1" t="str">
        <f aca="false">IF(B2926="NEW ROUTE",1,"")</f>
        <v/>
      </c>
      <c r="E2926" s="5" t="n">
        <v>0.04</v>
      </c>
      <c r="F2926" s="6" t="e">
        <f aca="false">VLOOKUP(E2926,$K$2:$L$426,2,FALSE())</f>
        <v>#N/A</v>
      </c>
      <c r="G2926" s="1" t="str">
        <f aca="false">IF(ISNA(F2926),"",F2926)</f>
        <v/>
      </c>
      <c r="H2926" s="5" t="n">
        <f aca="false">IF(G2926&lt;&gt;"",G2926,E2926)</f>
        <v>0.04</v>
      </c>
    </row>
    <row r="2927" customFormat="false" ht="12.75" hidden="false" customHeight="true" outlineLevel="0" collapsed="false">
      <c r="A2927" s="4" t="s">
        <v>3676</v>
      </c>
      <c r="B2927" s="5" t="s">
        <v>3676</v>
      </c>
      <c r="C2927" s="1" t="str">
        <f aca="false">IF(B2927="NEW ROUTE",1,"")</f>
        <v/>
      </c>
      <c r="E2927" s="5" t="s">
        <v>3676</v>
      </c>
      <c r="F2927" s="6" t="e">
        <f aca="false">VLOOKUP(E2927,$K$2:$L$426,2,FALSE())</f>
        <v>#N/A</v>
      </c>
      <c r="G2927" s="1" t="str">
        <f aca="false">IF(ISNA(F2927),"",F2927)</f>
        <v/>
      </c>
      <c r="H2927" s="5" t="str">
        <f aca="false">IF(G2927&lt;&gt;"",G2927,E2927)</f>
        <v>20, 20, TEDDIURSA</v>
      </c>
    </row>
    <row r="2928" customFormat="false" ht="12.75" hidden="false" customHeight="true" outlineLevel="0" collapsed="false">
      <c r="A2928" s="4" t="s">
        <v>3677</v>
      </c>
      <c r="B2928" s="5" t="s">
        <v>3677</v>
      </c>
      <c r="C2928" s="1" t="str">
        <f aca="false">IF(B2928="NEW ROUTE",1,"")</f>
        <v/>
      </c>
      <c r="E2928" s="5" t="s">
        <v>3677</v>
      </c>
      <c r="F2928" s="6" t="e">
        <f aca="false">VLOOKUP(E2928,$K$2:$L$426,2,FALSE())</f>
        <v>#N/A</v>
      </c>
      <c r="G2928" s="1" t="str">
        <f aca="false">IF(ISNA(F2928),"",F2928)</f>
        <v/>
      </c>
      <c r="H2928" s="5" t="str">
        <f aca="false">IF(G2928&lt;&gt;"",G2928,E2928)</f>
        <v>26, 26, TEDDIURSA</v>
      </c>
    </row>
    <row r="2929" customFormat="false" ht="12.75" hidden="false" customHeight="true" outlineLevel="0" collapsed="false">
      <c r="A2929" s="4" t="s">
        <v>2812</v>
      </c>
      <c r="B2929" s="5" t="n">
        <v>0.01</v>
      </c>
      <c r="C2929" s="1" t="str">
        <f aca="false">IF(B2929="NEW ROUTE",1,"")</f>
        <v/>
      </c>
      <c r="E2929" s="5" t="n">
        <v>0.01</v>
      </c>
      <c r="F2929" s="6" t="e">
        <f aca="false">VLOOKUP(E2929,$K$2:$L$426,2,FALSE())</f>
        <v>#N/A</v>
      </c>
      <c r="G2929" s="1" t="str">
        <f aca="false">IF(ISNA(F2929),"",F2929)</f>
        <v/>
      </c>
      <c r="H2929" s="5" t="n">
        <f aca="false">IF(G2929&lt;&gt;"",G2929,E2929)</f>
        <v>0.01</v>
      </c>
    </row>
    <row r="2930" customFormat="false" ht="12.75" hidden="false" customHeight="true" outlineLevel="0" collapsed="false">
      <c r="A2930" s="4" t="s">
        <v>3676</v>
      </c>
      <c r="B2930" s="5" t="s">
        <v>3676</v>
      </c>
      <c r="C2930" s="1" t="str">
        <f aca="false">IF(B2930="NEW ROUTE",1,"")</f>
        <v/>
      </c>
      <c r="E2930" s="5" t="s">
        <v>3676</v>
      </c>
      <c r="F2930" s="6" t="e">
        <f aca="false">VLOOKUP(E2930,$K$2:$L$426,2,FALSE())</f>
        <v>#N/A</v>
      </c>
      <c r="G2930" s="1" t="str">
        <f aca="false">IF(ISNA(F2930),"",F2930)</f>
        <v/>
      </c>
      <c r="H2930" s="5" t="str">
        <f aca="false">IF(G2930&lt;&gt;"",G2930,E2930)</f>
        <v>20, 20, TEDDIURSA</v>
      </c>
    </row>
    <row r="2931" customFormat="false" ht="12.75" hidden="false" customHeight="true" outlineLevel="0" collapsed="false">
      <c r="A2931" s="4" t="s">
        <v>3677</v>
      </c>
      <c r="B2931" s="5" t="s">
        <v>3677</v>
      </c>
      <c r="C2931" s="1" t="str">
        <f aca="false">IF(B2931="NEW ROUTE",1,"")</f>
        <v/>
      </c>
      <c r="E2931" s="5" t="s">
        <v>3677</v>
      </c>
      <c r="F2931" s="6" t="e">
        <f aca="false">VLOOKUP(E2931,$K$2:$L$426,2,FALSE())</f>
        <v>#N/A</v>
      </c>
      <c r="G2931" s="1" t="str">
        <f aca="false">IF(ISNA(F2931),"",F2931)</f>
        <v/>
      </c>
      <c r="H2931" s="5" t="str">
        <f aca="false">IF(G2931&lt;&gt;"",G2931,E2931)</f>
        <v>26, 26, TEDDIURSA</v>
      </c>
    </row>
    <row r="2932" customFormat="false" ht="12.75" hidden="false" customHeight="true" outlineLevel="0" collapsed="false">
      <c r="A2932" s="4" t="s">
        <v>2536</v>
      </c>
      <c r="B2932" s="5" t="s">
        <v>2536</v>
      </c>
      <c r="C2932" s="1" t="n">
        <f aca="false">IF(B2932="NEW ROUTE",1,"")</f>
        <v>1</v>
      </c>
      <c r="E2932" s="5" t="s">
        <v>2536</v>
      </c>
      <c r="F2932" s="6" t="e">
        <f aca="false">VLOOKUP(E2932,$K$2:$L$426,2,FALSE())</f>
        <v>#N/A</v>
      </c>
      <c r="G2932" s="1" t="str">
        <f aca="false">IF(ISNA(F2932),"",F2932)</f>
        <v/>
      </c>
      <c r="H2932" s="5" t="str">
        <f aca="false">IF(G2932&lt;&gt;"",G2932,E2932)</f>
        <v>NEW ROUTE</v>
      </c>
    </row>
    <row r="2933" customFormat="false" ht="12.75" hidden="false" customHeight="true" outlineLevel="0" collapsed="false">
      <c r="A2933" s="4" t="s">
        <v>256</v>
      </c>
      <c r="B2933" s="5" t="s">
        <v>256</v>
      </c>
      <c r="C2933" s="1" t="str">
        <f aca="false">IF(B2933="NEW ROUTE",1,"")</f>
        <v/>
      </c>
      <c r="E2933" s="5" t="s">
        <v>256</v>
      </c>
      <c r="F2933" s="6" t="str">
        <f aca="false">VLOOKUP(E2933,$K$2:$L$426,2,FALSE())</f>
        <v>Six Island Altering Cave</v>
      </c>
      <c r="G2933" s="1" t="str">
        <f aca="false">IF(ISNA(F2933),"",F2933)</f>
        <v>Six Island Altering Cave</v>
      </c>
      <c r="H2933" s="5" t="str">
        <f aca="false">IF(G2933&lt;&gt;"",G2933,E2933)</f>
        <v>Six Island Altering Cave</v>
      </c>
    </row>
    <row r="2934" customFormat="false" ht="12.75" hidden="false" customHeight="true" outlineLevel="0" collapsed="false">
      <c r="A2934" s="4" t="s">
        <v>2799</v>
      </c>
      <c r="B2934" s="5" t="n">
        <v>0.2</v>
      </c>
      <c r="C2934" s="1" t="str">
        <f aca="false">IF(B2934="NEW ROUTE",1,"")</f>
        <v/>
      </c>
      <c r="E2934" s="5" t="n">
        <v>0.2</v>
      </c>
      <c r="F2934" s="6" t="e">
        <f aca="false">VLOOKUP(E2934,$K$2:$L$426,2,FALSE())</f>
        <v>#N/A</v>
      </c>
      <c r="G2934" s="1" t="str">
        <f aca="false">IF(ISNA(F2934),"",F2934)</f>
        <v/>
      </c>
      <c r="H2934" s="5" t="n">
        <f aca="false">IF(G2934&lt;&gt;"",G2934,E2934)</f>
        <v>0.2</v>
      </c>
    </row>
    <row r="2935" customFormat="false" ht="12.75" hidden="false" customHeight="true" outlineLevel="0" collapsed="false">
      <c r="A2935" s="4" t="s">
        <v>2179</v>
      </c>
      <c r="B2935" s="5" t="s">
        <v>2179</v>
      </c>
      <c r="C2935" s="1" t="str">
        <f aca="false">IF(B2935="NEW ROUTE",1,"")</f>
        <v/>
      </c>
      <c r="E2935" s="5" t="s">
        <v>2179</v>
      </c>
      <c r="F2935" s="6" t="e">
        <f aca="false">VLOOKUP(E2935,$K$2:$L$426,2,FALSE())</f>
        <v>#N/A</v>
      </c>
      <c r="G2935" s="1" t="str">
        <f aca="false">IF(ISNA(F2935),"",F2935)</f>
        <v/>
      </c>
      <c r="H2935" s="5" t="str">
        <f aca="false">IF(G2935&lt;&gt;"",G2935,E2935)</f>
        <v>22, 22, AIPOM</v>
      </c>
    </row>
    <row r="2936" customFormat="false" ht="12.75" hidden="false" customHeight="true" outlineLevel="0" collapsed="false">
      <c r="A2936" s="4" t="s">
        <v>3681</v>
      </c>
      <c r="B2936" s="5" t="s">
        <v>3681</v>
      </c>
      <c r="C2936" s="1" t="str">
        <f aca="false">IF(B2936="NEW ROUTE",1,"")</f>
        <v/>
      </c>
      <c r="E2936" s="5" t="s">
        <v>3681</v>
      </c>
      <c r="F2936" s="6" t="e">
        <f aca="false">VLOOKUP(E2936,$K$2:$L$426,2,FALSE())</f>
        <v>#N/A</v>
      </c>
      <c r="G2936" s="1" t="str">
        <f aca="false">IF(ISNA(F2936),"",F2936)</f>
        <v/>
      </c>
      <c r="H2936" s="5" t="str">
        <f aca="false">IF(G2936&lt;&gt;"",G2936,E2936)</f>
        <v>24, 24, AIPOM</v>
      </c>
    </row>
    <row r="2937" customFormat="false" ht="12.75" hidden="false" customHeight="true" outlineLevel="0" collapsed="false">
      <c r="A2937" s="4" t="s">
        <v>2801</v>
      </c>
      <c r="B2937" s="5" t="n">
        <v>0.1</v>
      </c>
      <c r="C2937" s="1" t="str">
        <f aca="false">IF(B2937="NEW ROUTE",1,"")</f>
        <v/>
      </c>
      <c r="E2937" s="5" t="n">
        <v>0.1</v>
      </c>
      <c r="F2937" s="6" t="e">
        <f aca="false">VLOOKUP(E2937,$K$2:$L$426,2,FALSE())</f>
        <v>#N/A</v>
      </c>
      <c r="G2937" s="1" t="str">
        <f aca="false">IF(ISNA(F2937),"",F2937)</f>
        <v/>
      </c>
      <c r="H2937" s="5" t="n">
        <f aca="false">IF(G2937&lt;&gt;"",G2937,E2937)</f>
        <v>0.1</v>
      </c>
    </row>
    <row r="2938" customFormat="false" ht="12.75" hidden="false" customHeight="true" outlineLevel="0" collapsed="false">
      <c r="A2938" s="4" t="s">
        <v>3682</v>
      </c>
      <c r="B2938" s="5" t="s">
        <v>3682</v>
      </c>
      <c r="C2938" s="1" t="str">
        <f aca="false">IF(B2938="NEW ROUTE",1,"")</f>
        <v/>
      </c>
      <c r="E2938" s="5" t="s">
        <v>3682</v>
      </c>
      <c r="F2938" s="6" t="e">
        <f aca="false">VLOOKUP(E2938,$K$2:$L$426,2,FALSE())</f>
        <v>#N/A</v>
      </c>
      <c r="G2938" s="1" t="str">
        <f aca="false">IF(ISNA(F2938),"",F2938)</f>
        <v/>
      </c>
      <c r="H2938" s="5" t="str">
        <f aca="false">IF(G2938&lt;&gt;"",G2938,E2938)</f>
        <v>20, 20, AIPOM</v>
      </c>
    </row>
    <row r="2939" customFormat="false" ht="12.75" hidden="false" customHeight="true" outlineLevel="0" collapsed="false">
      <c r="A2939" s="4" t="s">
        <v>3683</v>
      </c>
      <c r="B2939" s="5" t="s">
        <v>3683</v>
      </c>
      <c r="C2939" s="1" t="str">
        <f aca="false">IF(B2939="NEW ROUTE",1,"")</f>
        <v/>
      </c>
      <c r="E2939" s="5" t="s">
        <v>3683</v>
      </c>
      <c r="F2939" s="6" t="e">
        <f aca="false">VLOOKUP(E2939,$K$2:$L$426,2,FALSE())</f>
        <v>#N/A</v>
      </c>
      <c r="G2939" s="1" t="str">
        <f aca="false">IF(ISNA(F2939),"",F2939)</f>
        <v/>
      </c>
      <c r="H2939" s="5" t="str">
        <f aca="false">IF(G2939&lt;&gt;"",G2939,E2939)</f>
        <v>26, 26, AIPOM</v>
      </c>
    </row>
    <row r="2940" customFormat="false" ht="12.75" hidden="false" customHeight="true" outlineLevel="0" collapsed="false">
      <c r="A2940" s="4" t="s">
        <v>2179</v>
      </c>
      <c r="B2940" s="5" t="s">
        <v>2179</v>
      </c>
      <c r="C2940" s="1" t="str">
        <f aca="false">IF(B2940="NEW ROUTE",1,"")</f>
        <v/>
      </c>
      <c r="E2940" s="5" t="s">
        <v>2179</v>
      </c>
      <c r="F2940" s="6" t="e">
        <f aca="false">VLOOKUP(E2940,$K$2:$L$426,2,FALSE())</f>
        <v>#N/A</v>
      </c>
      <c r="G2940" s="1" t="str">
        <f aca="false">IF(ISNA(F2940),"",F2940)</f>
        <v/>
      </c>
      <c r="H2940" s="5" t="str">
        <f aca="false">IF(G2940&lt;&gt;"",G2940,E2940)</f>
        <v>22, 22, AIPOM</v>
      </c>
    </row>
    <row r="2941" customFormat="false" ht="12.75" hidden="false" customHeight="true" outlineLevel="0" collapsed="false">
      <c r="A2941" s="4" t="s">
        <v>3681</v>
      </c>
      <c r="B2941" s="5" t="s">
        <v>3681</v>
      </c>
      <c r="C2941" s="1" t="str">
        <f aca="false">IF(B2941="NEW ROUTE",1,"")</f>
        <v/>
      </c>
      <c r="E2941" s="5" t="s">
        <v>3681</v>
      </c>
      <c r="F2941" s="6" t="e">
        <f aca="false">VLOOKUP(E2941,$K$2:$L$426,2,FALSE())</f>
        <v>#N/A</v>
      </c>
      <c r="G2941" s="1" t="str">
        <f aca="false">IF(ISNA(F2941),"",F2941)</f>
        <v/>
      </c>
      <c r="H2941" s="5" t="str">
        <f aca="false">IF(G2941&lt;&gt;"",G2941,E2941)</f>
        <v>24, 24, AIPOM</v>
      </c>
    </row>
    <row r="2942" customFormat="false" ht="12.75" hidden="false" customHeight="true" outlineLevel="0" collapsed="false">
      <c r="A2942" s="4" t="s">
        <v>2806</v>
      </c>
      <c r="B2942" s="5" t="n">
        <v>0.05</v>
      </c>
      <c r="C2942" s="1" t="str">
        <f aca="false">IF(B2942="NEW ROUTE",1,"")</f>
        <v/>
      </c>
      <c r="E2942" s="5" t="n">
        <v>0.05</v>
      </c>
      <c r="F2942" s="6" t="e">
        <f aca="false">VLOOKUP(E2942,$K$2:$L$426,2,FALSE())</f>
        <v>#N/A</v>
      </c>
      <c r="G2942" s="1" t="str">
        <f aca="false">IF(ISNA(F2942),"",F2942)</f>
        <v/>
      </c>
      <c r="H2942" s="5" t="n">
        <f aca="false">IF(G2942&lt;&gt;"",G2942,E2942)</f>
        <v>0.05</v>
      </c>
    </row>
    <row r="2943" customFormat="false" ht="12.75" hidden="false" customHeight="true" outlineLevel="0" collapsed="false">
      <c r="A2943" s="4" t="s">
        <v>3684</v>
      </c>
      <c r="B2943" s="5" t="s">
        <v>3684</v>
      </c>
      <c r="C2943" s="1" t="str">
        <f aca="false">IF(B2943="NEW ROUTE",1,"")</f>
        <v/>
      </c>
      <c r="E2943" s="5" t="s">
        <v>3684</v>
      </c>
      <c r="F2943" s="6" t="e">
        <f aca="false">VLOOKUP(E2943,$K$2:$L$426,2,FALSE())</f>
        <v>#N/A</v>
      </c>
      <c r="G2943" s="1" t="str">
        <f aca="false">IF(ISNA(F2943),"",F2943)</f>
        <v/>
      </c>
      <c r="H2943" s="5" t="str">
        <f aca="false">IF(G2943&lt;&gt;"",G2943,E2943)</f>
        <v>28, 28, AIPOM</v>
      </c>
    </row>
    <row r="2944" customFormat="false" ht="12.75" hidden="false" customHeight="true" outlineLevel="0" collapsed="false">
      <c r="A2944" s="4" t="s">
        <v>3685</v>
      </c>
      <c r="B2944" s="5" t="s">
        <v>3685</v>
      </c>
      <c r="C2944" s="1" t="str">
        <f aca="false">IF(B2944="NEW ROUTE",1,"")</f>
        <v/>
      </c>
      <c r="E2944" s="5" t="s">
        <v>3685</v>
      </c>
      <c r="F2944" s="6" t="e">
        <f aca="false">VLOOKUP(E2944,$K$2:$L$426,2,FALSE())</f>
        <v>#N/A</v>
      </c>
      <c r="G2944" s="1" t="str">
        <f aca="false">IF(ISNA(F2944),"",F2944)</f>
        <v/>
      </c>
      <c r="H2944" s="5" t="str">
        <f aca="false">IF(G2944&lt;&gt;"",G2944,E2944)</f>
        <v>18, 18, AIPOM</v>
      </c>
    </row>
    <row r="2945" customFormat="false" ht="12.75" hidden="false" customHeight="true" outlineLevel="0" collapsed="false">
      <c r="A2945" s="4" t="s">
        <v>2809</v>
      </c>
      <c r="B2945" s="5" t="n">
        <v>0.04</v>
      </c>
      <c r="C2945" s="1" t="str">
        <f aca="false">IF(B2945="NEW ROUTE",1,"")</f>
        <v/>
      </c>
      <c r="E2945" s="5" t="n">
        <v>0.04</v>
      </c>
      <c r="F2945" s="6" t="e">
        <f aca="false">VLOOKUP(E2945,$K$2:$L$426,2,FALSE())</f>
        <v>#N/A</v>
      </c>
      <c r="G2945" s="1" t="str">
        <f aca="false">IF(ISNA(F2945),"",F2945)</f>
        <v/>
      </c>
      <c r="H2945" s="5" t="n">
        <f aca="false">IF(G2945&lt;&gt;"",G2945,E2945)</f>
        <v>0.04</v>
      </c>
    </row>
    <row r="2946" customFormat="false" ht="12.75" hidden="false" customHeight="true" outlineLevel="0" collapsed="false">
      <c r="A2946" s="4" t="s">
        <v>3682</v>
      </c>
      <c r="B2946" s="5" t="s">
        <v>3682</v>
      </c>
      <c r="C2946" s="1" t="str">
        <f aca="false">IF(B2946="NEW ROUTE",1,"")</f>
        <v/>
      </c>
      <c r="E2946" s="5" t="s">
        <v>3682</v>
      </c>
      <c r="F2946" s="6" t="e">
        <f aca="false">VLOOKUP(E2946,$K$2:$L$426,2,FALSE())</f>
        <v>#N/A</v>
      </c>
      <c r="G2946" s="1" t="str">
        <f aca="false">IF(ISNA(F2946),"",F2946)</f>
        <v/>
      </c>
      <c r="H2946" s="5" t="str">
        <f aca="false">IF(G2946&lt;&gt;"",G2946,E2946)</f>
        <v>20, 20, AIPOM</v>
      </c>
    </row>
    <row r="2947" customFormat="false" ht="12.75" hidden="false" customHeight="true" outlineLevel="0" collapsed="false">
      <c r="A2947" s="4" t="s">
        <v>3683</v>
      </c>
      <c r="B2947" s="5" t="s">
        <v>3683</v>
      </c>
      <c r="C2947" s="1" t="str">
        <f aca="false">IF(B2947="NEW ROUTE",1,"")</f>
        <v/>
      </c>
      <c r="E2947" s="5" t="s">
        <v>3683</v>
      </c>
      <c r="F2947" s="6" t="e">
        <f aca="false">VLOOKUP(E2947,$K$2:$L$426,2,FALSE())</f>
        <v>#N/A</v>
      </c>
      <c r="G2947" s="1" t="str">
        <f aca="false">IF(ISNA(F2947),"",F2947)</f>
        <v/>
      </c>
      <c r="H2947" s="5" t="str">
        <f aca="false">IF(G2947&lt;&gt;"",G2947,E2947)</f>
        <v>26, 26, AIPOM</v>
      </c>
    </row>
    <row r="2948" customFormat="false" ht="12.75" hidden="false" customHeight="true" outlineLevel="0" collapsed="false">
      <c r="A2948" s="4" t="s">
        <v>2812</v>
      </c>
      <c r="B2948" s="5" t="n">
        <v>0.01</v>
      </c>
      <c r="C2948" s="1" t="str">
        <f aca="false">IF(B2948="NEW ROUTE",1,"")</f>
        <v/>
      </c>
      <c r="E2948" s="5" t="n">
        <v>0.01</v>
      </c>
      <c r="F2948" s="6" t="e">
        <f aca="false">VLOOKUP(E2948,$K$2:$L$426,2,FALSE())</f>
        <v>#N/A</v>
      </c>
      <c r="G2948" s="1" t="str">
        <f aca="false">IF(ISNA(F2948),"",F2948)</f>
        <v/>
      </c>
      <c r="H2948" s="5" t="n">
        <f aca="false">IF(G2948&lt;&gt;"",G2948,E2948)</f>
        <v>0.01</v>
      </c>
    </row>
    <row r="2949" customFormat="false" ht="12.75" hidden="false" customHeight="true" outlineLevel="0" collapsed="false">
      <c r="A2949" s="4" t="s">
        <v>3682</v>
      </c>
      <c r="B2949" s="5" t="s">
        <v>3682</v>
      </c>
      <c r="C2949" s="1" t="str">
        <f aca="false">IF(B2949="NEW ROUTE",1,"")</f>
        <v/>
      </c>
      <c r="E2949" s="5" t="s">
        <v>3682</v>
      </c>
      <c r="F2949" s="6" t="e">
        <f aca="false">VLOOKUP(E2949,$K$2:$L$426,2,FALSE())</f>
        <v>#N/A</v>
      </c>
      <c r="G2949" s="1" t="str">
        <f aca="false">IF(ISNA(F2949),"",F2949)</f>
        <v/>
      </c>
      <c r="H2949" s="5" t="str">
        <f aca="false">IF(G2949&lt;&gt;"",G2949,E2949)</f>
        <v>20, 20, AIPOM</v>
      </c>
    </row>
    <row r="2950" customFormat="false" ht="12.75" hidden="false" customHeight="true" outlineLevel="0" collapsed="false">
      <c r="A2950" s="4" t="s">
        <v>3683</v>
      </c>
      <c r="B2950" s="5" t="s">
        <v>3683</v>
      </c>
      <c r="C2950" s="1" t="str">
        <f aca="false">IF(B2950="NEW ROUTE",1,"")</f>
        <v/>
      </c>
      <c r="E2950" s="5" t="s">
        <v>3683</v>
      </c>
      <c r="F2950" s="6" t="e">
        <f aca="false">VLOOKUP(E2950,$K$2:$L$426,2,FALSE())</f>
        <v>#N/A</v>
      </c>
      <c r="G2950" s="1" t="str">
        <f aca="false">IF(ISNA(F2950),"",F2950)</f>
        <v/>
      </c>
      <c r="H2950" s="5" t="str">
        <f aca="false">IF(G2950&lt;&gt;"",G2950,E2950)</f>
        <v>26, 26, AIPOM</v>
      </c>
    </row>
    <row r="2951" customFormat="false" ht="12.75" hidden="false" customHeight="true" outlineLevel="0" collapsed="false">
      <c r="A2951" s="4" t="s">
        <v>2536</v>
      </c>
      <c r="B2951" s="5" t="s">
        <v>2536</v>
      </c>
      <c r="C2951" s="1" t="n">
        <f aca="false">IF(B2951="NEW ROUTE",1,"")</f>
        <v>1</v>
      </c>
      <c r="E2951" s="5" t="s">
        <v>2536</v>
      </c>
      <c r="F2951" s="6" t="e">
        <f aca="false">VLOOKUP(E2951,$K$2:$L$426,2,FALSE())</f>
        <v>#N/A</v>
      </c>
      <c r="G2951" s="1" t="str">
        <f aca="false">IF(ISNA(F2951),"",F2951)</f>
        <v/>
      </c>
      <c r="H2951" s="5" t="str">
        <f aca="false">IF(G2951&lt;&gt;"",G2951,E2951)</f>
        <v>NEW ROUTE</v>
      </c>
    </row>
    <row r="2952" customFormat="false" ht="12.75" hidden="false" customHeight="true" outlineLevel="0" collapsed="false">
      <c r="A2952" s="4" t="s">
        <v>256</v>
      </c>
      <c r="B2952" s="5" t="s">
        <v>256</v>
      </c>
      <c r="C2952" s="1" t="str">
        <f aca="false">IF(B2952="NEW ROUTE",1,"")</f>
        <v/>
      </c>
      <c r="E2952" s="5" t="s">
        <v>256</v>
      </c>
      <c r="F2952" s="6" t="str">
        <f aca="false">VLOOKUP(E2952,$K$2:$L$426,2,FALSE())</f>
        <v>Six Island Altering Cave</v>
      </c>
      <c r="G2952" s="1" t="str">
        <f aca="false">IF(ISNA(F2952),"",F2952)</f>
        <v>Six Island Altering Cave</v>
      </c>
      <c r="H2952" s="5" t="str">
        <f aca="false">IF(G2952&lt;&gt;"",G2952,E2952)</f>
        <v>Six Island Altering Cave</v>
      </c>
    </row>
    <row r="2953" customFormat="false" ht="12.75" hidden="false" customHeight="true" outlineLevel="0" collapsed="false">
      <c r="A2953" s="4" t="s">
        <v>2799</v>
      </c>
      <c r="B2953" s="5" t="n">
        <v>0.2</v>
      </c>
      <c r="C2953" s="1" t="str">
        <f aca="false">IF(B2953="NEW ROUTE",1,"")</f>
        <v/>
      </c>
      <c r="E2953" s="5" t="n">
        <v>0.2</v>
      </c>
      <c r="F2953" s="6" t="e">
        <f aca="false">VLOOKUP(E2953,$K$2:$L$426,2,FALSE())</f>
        <v>#N/A</v>
      </c>
      <c r="G2953" s="1" t="str">
        <f aca="false">IF(ISNA(F2953),"",F2953)</f>
        <v/>
      </c>
      <c r="H2953" s="5" t="n">
        <f aca="false">IF(G2953&lt;&gt;"",G2953,E2953)</f>
        <v>0.2</v>
      </c>
    </row>
    <row r="2954" customFormat="false" ht="12.75" hidden="false" customHeight="true" outlineLevel="0" collapsed="false">
      <c r="A2954" s="4" t="s">
        <v>2187</v>
      </c>
      <c r="B2954" s="5" t="s">
        <v>2187</v>
      </c>
      <c r="C2954" s="1" t="str">
        <f aca="false">IF(B2954="NEW ROUTE",1,"")</f>
        <v/>
      </c>
      <c r="E2954" s="5" t="s">
        <v>2187</v>
      </c>
      <c r="F2954" s="6" t="e">
        <f aca="false">VLOOKUP(E2954,$K$2:$L$426,2,FALSE())</f>
        <v>#N/A</v>
      </c>
      <c r="G2954" s="1" t="str">
        <f aca="false">IF(ISNA(F2954),"",F2954)</f>
        <v/>
      </c>
      <c r="H2954" s="5" t="str">
        <f aca="false">IF(G2954&lt;&gt;"",G2954,E2954)</f>
        <v>22, 22, SHUCKLE</v>
      </c>
    </row>
    <row r="2955" customFormat="false" ht="12.75" hidden="false" customHeight="true" outlineLevel="0" collapsed="false">
      <c r="A2955" s="4" t="s">
        <v>3687</v>
      </c>
      <c r="B2955" s="5" t="s">
        <v>3687</v>
      </c>
      <c r="C2955" s="1" t="str">
        <f aca="false">IF(B2955="NEW ROUTE",1,"")</f>
        <v/>
      </c>
      <c r="E2955" s="5" t="s">
        <v>3687</v>
      </c>
      <c r="F2955" s="6" t="e">
        <f aca="false">VLOOKUP(E2955,$K$2:$L$426,2,FALSE())</f>
        <v>#N/A</v>
      </c>
      <c r="G2955" s="1" t="str">
        <f aca="false">IF(ISNA(F2955),"",F2955)</f>
        <v/>
      </c>
      <c r="H2955" s="5" t="str">
        <f aca="false">IF(G2955&lt;&gt;"",G2955,E2955)</f>
        <v>24, 24, SHUCKLE</v>
      </c>
    </row>
    <row r="2956" customFormat="false" ht="12.75" hidden="false" customHeight="true" outlineLevel="0" collapsed="false">
      <c r="A2956" s="4" t="s">
        <v>2801</v>
      </c>
      <c r="B2956" s="5" t="n">
        <v>0.1</v>
      </c>
      <c r="C2956" s="1" t="str">
        <f aca="false">IF(B2956="NEW ROUTE",1,"")</f>
        <v/>
      </c>
      <c r="E2956" s="5" t="n">
        <v>0.1</v>
      </c>
      <c r="F2956" s="6" t="e">
        <f aca="false">VLOOKUP(E2956,$K$2:$L$426,2,FALSE())</f>
        <v>#N/A</v>
      </c>
      <c r="G2956" s="1" t="str">
        <f aca="false">IF(ISNA(F2956),"",F2956)</f>
        <v/>
      </c>
      <c r="H2956" s="5" t="n">
        <f aca="false">IF(G2956&lt;&gt;"",G2956,E2956)</f>
        <v>0.1</v>
      </c>
    </row>
    <row r="2957" customFormat="false" ht="12.75" hidden="false" customHeight="true" outlineLevel="0" collapsed="false">
      <c r="A2957" s="4" t="s">
        <v>3688</v>
      </c>
      <c r="B2957" s="5" t="s">
        <v>3688</v>
      </c>
      <c r="C2957" s="1" t="str">
        <f aca="false">IF(B2957="NEW ROUTE",1,"")</f>
        <v/>
      </c>
      <c r="E2957" s="5" t="s">
        <v>3688</v>
      </c>
      <c r="F2957" s="6" t="e">
        <f aca="false">VLOOKUP(E2957,$K$2:$L$426,2,FALSE())</f>
        <v>#N/A</v>
      </c>
      <c r="G2957" s="1" t="str">
        <f aca="false">IF(ISNA(F2957),"",F2957)</f>
        <v/>
      </c>
      <c r="H2957" s="5" t="str">
        <f aca="false">IF(G2957&lt;&gt;"",G2957,E2957)</f>
        <v>20, 20, SHUCKLE</v>
      </c>
    </row>
    <row r="2958" customFormat="false" ht="12.75" hidden="false" customHeight="true" outlineLevel="0" collapsed="false">
      <c r="A2958" s="4" t="s">
        <v>3689</v>
      </c>
      <c r="B2958" s="5" t="s">
        <v>3689</v>
      </c>
      <c r="C2958" s="1" t="str">
        <f aca="false">IF(B2958="NEW ROUTE",1,"")</f>
        <v/>
      </c>
      <c r="E2958" s="5" t="s">
        <v>3689</v>
      </c>
      <c r="F2958" s="6" t="e">
        <f aca="false">VLOOKUP(E2958,$K$2:$L$426,2,FALSE())</f>
        <v>#N/A</v>
      </c>
      <c r="G2958" s="1" t="str">
        <f aca="false">IF(ISNA(F2958),"",F2958)</f>
        <v/>
      </c>
      <c r="H2958" s="5" t="str">
        <f aca="false">IF(G2958&lt;&gt;"",G2958,E2958)</f>
        <v>26, 26, SHUCKLE</v>
      </c>
    </row>
    <row r="2959" customFormat="false" ht="12.75" hidden="false" customHeight="true" outlineLevel="0" collapsed="false">
      <c r="A2959" s="4" t="s">
        <v>2187</v>
      </c>
      <c r="B2959" s="5" t="s">
        <v>2187</v>
      </c>
      <c r="C2959" s="1" t="str">
        <f aca="false">IF(B2959="NEW ROUTE",1,"")</f>
        <v/>
      </c>
      <c r="E2959" s="5" t="s">
        <v>2187</v>
      </c>
      <c r="F2959" s="6" t="e">
        <f aca="false">VLOOKUP(E2959,$K$2:$L$426,2,FALSE())</f>
        <v>#N/A</v>
      </c>
      <c r="G2959" s="1" t="str">
        <f aca="false">IF(ISNA(F2959),"",F2959)</f>
        <v/>
      </c>
      <c r="H2959" s="5" t="str">
        <f aca="false">IF(G2959&lt;&gt;"",G2959,E2959)</f>
        <v>22, 22, SHUCKLE</v>
      </c>
    </row>
    <row r="2960" customFormat="false" ht="12.75" hidden="false" customHeight="true" outlineLevel="0" collapsed="false">
      <c r="A2960" s="4" t="s">
        <v>3687</v>
      </c>
      <c r="B2960" s="5" t="s">
        <v>3687</v>
      </c>
      <c r="C2960" s="1" t="str">
        <f aca="false">IF(B2960="NEW ROUTE",1,"")</f>
        <v/>
      </c>
      <c r="E2960" s="5" t="s">
        <v>3687</v>
      </c>
      <c r="F2960" s="6" t="e">
        <f aca="false">VLOOKUP(E2960,$K$2:$L$426,2,FALSE())</f>
        <v>#N/A</v>
      </c>
      <c r="G2960" s="1" t="str">
        <f aca="false">IF(ISNA(F2960),"",F2960)</f>
        <v/>
      </c>
      <c r="H2960" s="5" t="str">
        <f aca="false">IF(G2960&lt;&gt;"",G2960,E2960)</f>
        <v>24, 24, SHUCKLE</v>
      </c>
    </row>
    <row r="2961" customFormat="false" ht="12.75" hidden="false" customHeight="true" outlineLevel="0" collapsed="false">
      <c r="A2961" s="4" t="s">
        <v>2806</v>
      </c>
      <c r="B2961" s="5" t="n">
        <v>0.05</v>
      </c>
      <c r="C2961" s="1" t="str">
        <f aca="false">IF(B2961="NEW ROUTE",1,"")</f>
        <v/>
      </c>
      <c r="E2961" s="5" t="n">
        <v>0.05</v>
      </c>
      <c r="F2961" s="6" t="e">
        <f aca="false">VLOOKUP(E2961,$K$2:$L$426,2,FALSE())</f>
        <v>#N/A</v>
      </c>
      <c r="G2961" s="1" t="str">
        <f aca="false">IF(ISNA(F2961),"",F2961)</f>
        <v/>
      </c>
      <c r="H2961" s="5" t="n">
        <f aca="false">IF(G2961&lt;&gt;"",G2961,E2961)</f>
        <v>0.05</v>
      </c>
    </row>
    <row r="2962" customFormat="false" ht="12.75" hidden="false" customHeight="true" outlineLevel="0" collapsed="false">
      <c r="A2962" s="4" t="s">
        <v>3690</v>
      </c>
      <c r="B2962" s="5" t="s">
        <v>3690</v>
      </c>
      <c r="C2962" s="1" t="str">
        <f aca="false">IF(B2962="NEW ROUTE",1,"")</f>
        <v/>
      </c>
      <c r="E2962" s="5" t="s">
        <v>3690</v>
      </c>
      <c r="F2962" s="6" t="e">
        <f aca="false">VLOOKUP(E2962,$K$2:$L$426,2,FALSE())</f>
        <v>#N/A</v>
      </c>
      <c r="G2962" s="1" t="str">
        <f aca="false">IF(ISNA(F2962),"",F2962)</f>
        <v/>
      </c>
      <c r="H2962" s="5" t="str">
        <f aca="false">IF(G2962&lt;&gt;"",G2962,E2962)</f>
        <v>28, 28, SHUCKLE</v>
      </c>
    </row>
    <row r="2963" customFormat="false" ht="12.75" hidden="false" customHeight="true" outlineLevel="0" collapsed="false">
      <c r="A2963" s="4" t="s">
        <v>3691</v>
      </c>
      <c r="B2963" s="5" t="s">
        <v>3691</v>
      </c>
      <c r="C2963" s="1" t="str">
        <f aca="false">IF(B2963="NEW ROUTE",1,"")</f>
        <v/>
      </c>
      <c r="E2963" s="5" t="s">
        <v>3691</v>
      </c>
      <c r="F2963" s="6" t="e">
        <f aca="false">VLOOKUP(E2963,$K$2:$L$426,2,FALSE())</f>
        <v>#N/A</v>
      </c>
      <c r="G2963" s="1" t="str">
        <f aca="false">IF(ISNA(F2963),"",F2963)</f>
        <v/>
      </c>
      <c r="H2963" s="5" t="str">
        <f aca="false">IF(G2963&lt;&gt;"",G2963,E2963)</f>
        <v>18, 18, SHUCKLE</v>
      </c>
    </row>
    <row r="2964" customFormat="false" ht="12.75" hidden="false" customHeight="true" outlineLevel="0" collapsed="false">
      <c r="A2964" s="4" t="s">
        <v>2809</v>
      </c>
      <c r="B2964" s="5" t="n">
        <v>0.04</v>
      </c>
      <c r="C2964" s="1" t="str">
        <f aca="false">IF(B2964="NEW ROUTE",1,"")</f>
        <v/>
      </c>
      <c r="E2964" s="5" t="n">
        <v>0.04</v>
      </c>
      <c r="F2964" s="6" t="e">
        <f aca="false">VLOOKUP(E2964,$K$2:$L$426,2,FALSE())</f>
        <v>#N/A</v>
      </c>
      <c r="G2964" s="1" t="str">
        <f aca="false">IF(ISNA(F2964),"",F2964)</f>
        <v/>
      </c>
      <c r="H2964" s="5" t="n">
        <f aca="false">IF(G2964&lt;&gt;"",G2964,E2964)</f>
        <v>0.04</v>
      </c>
    </row>
    <row r="2965" customFormat="false" ht="12.75" hidden="false" customHeight="true" outlineLevel="0" collapsed="false">
      <c r="A2965" s="4" t="s">
        <v>3688</v>
      </c>
      <c r="B2965" s="5" t="s">
        <v>3688</v>
      </c>
      <c r="C2965" s="1" t="str">
        <f aca="false">IF(B2965="NEW ROUTE",1,"")</f>
        <v/>
      </c>
      <c r="E2965" s="5" t="s">
        <v>3688</v>
      </c>
      <c r="F2965" s="6" t="e">
        <f aca="false">VLOOKUP(E2965,$K$2:$L$426,2,FALSE())</f>
        <v>#N/A</v>
      </c>
      <c r="G2965" s="1" t="str">
        <f aca="false">IF(ISNA(F2965),"",F2965)</f>
        <v/>
      </c>
      <c r="H2965" s="5" t="str">
        <f aca="false">IF(G2965&lt;&gt;"",G2965,E2965)</f>
        <v>20, 20, SHUCKLE</v>
      </c>
    </row>
    <row r="2966" customFormat="false" ht="12.75" hidden="false" customHeight="true" outlineLevel="0" collapsed="false">
      <c r="A2966" s="4" t="s">
        <v>3689</v>
      </c>
      <c r="B2966" s="5" t="s">
        <v>3689</v>
      </c>
      <c r="C2966" s="1" t="str">
        <f aca="false">IF(B2966="NEW ROUTE",1,"")</f>
        <v/>
      </c>
      <c r="E2966" s="5" t="s">
        <v>3689</v>
      </c>
      <c r="F2966" s="6" t="e">
        <f aca="false">VLOOKUP(E2966,$K$2:$L$426,2,FALSE())</f>
        <v>#N/A</v>
      </c>
      <c r="G2966" s="1" t="str">
        <f aca="false">IF(ISNA(F2966),"",F2966)</f>
        <v/>
      </c>
      <c r="H2966" s="5" t="str">
        <f aca="false">IF(G2966&lt;&gt;"",G2966,E2966)</f>
        <v>26, 26, SHUCKLE</v>
      </c>
    </row>
    <row r="2967" customFormat="false" ht="12.75" hidden="false" customHeight="true" outlineLevel="0" collapsed="false">
      <c r="A2967" s="4" t="s">
        <v>2812</v>
      </c>
      <c r="B2967" s="5" t="n">
        <v>0.01</v>
      </c>
      <c r="C2967" s="1" t="str">
        <f aca="false">IF(B2967="NEW ROUTE",1,"")</f>
        <v/>
      </c>
      <c r="E2967" s="5" t="n">
        <v>0.01</v>
      </c>
      <c r="F2967" s="6" t="e">
        <f aca="false">VLOOKUP(E2967,$K$2:$L$426,2,FALSE())</f>
        <v>#N/A</v>
      </c>
      <c r="G2967" s="1" t="str">
        <f aca="false">IF(ISNA(F2967),"",F2967)</f>
        <v/>
      </c>
      <c r="H2967" s="5" t="n">
        <f aca="false">IF(G2967&lt;&gt;"",G2967,E2967)</f>
        <v>0.01</v>
      </c>
    </row>
    <row r="2968" customFormat="false" ht="12.75" hidden="false" customHeight="true" outlineLevel="0" collapsed="false">
      <c r="A2968" s="4" t="s">
        <v>3688</v>
      </c>
      <c r="B2968" s="5" t="s">
        <v>3688</v>
      </c>
      <c r="C2968" s="1" t="str">
        <f aca="false">IF(B2968="NEW ROUTE",1,"")</f>
        <v/>
      </c>
      <c r="E2968" s="5" t="s">
        <v>3688</v>
      </c>
      <c r="F2968" s="6" t="e">
        <f aca="false">VLOOKUP(E2968,$K$2:$L$426,2,FALSE())</f>
        <v>#N/A</v>
      </c>
      <c r="G2968" s="1" t="str">
        <f aca="false">IF(ISNA(F2968),"",F2968)</f>
        <v/>
      </c>
      <c r="H2968" s="5" t="str">
        <f aca="false">IF(G2968&lt;&gt;"",G2968,E2968)</f>
        <v>20, 20, SHUCKLE</v>
      </c>
    </row>
    <row r="2969" customFormat="false" ht="12.75" hidden="false" customHeight="true" outlineLevel="0" collapsed="false">
      <c r="A2969" s="4" t="s">
        <v>3689</v>
      </c>
      <c r="B2969" s="5" t="s">
        <v>3689</v>
      </c>
      <c r="C2969" s="1" t="str">
        <f aca="false">IF(B2969="NEW ROUTE",1,"")</f>
        <v/>
      </c>
      <c r="E2969" s="5" t="s">
        <v>3689</v>
      </c>
      <c r="F2969" s="6" t="e">
        <f aca="false">VLOOKUP(E2969,$K$2:$L$426,2,FALSE())</f>
        <v>#N/A</v>
      </c>
      <c r="G2969" s="1" t="str">
        <f aca="false">IF(ISNA(F2969),"",F2969)</f>
        <v/>
      </c>
      <c r="H2969" s="5" t="str">
        <f aca="false">IF(G2969&lt;&gt;"",G2969,E2969)</f>
        <v>26, 26, SHUCKLE</v>
      </c>
    </row>
    <row r="2970" customFormat="false" ht="12.75" hidden="false" customHeight="true" outlineLevel="0" collapsed="false">
      <c r="A2970" s="4" t="s">
        <v>2536</v>
      </c>
      <c r="B2970" s="5" t="s">
        <v>2536</v>
      </c>
      <c r="C2970" s="1" t="n">
        <f aca="false">IF(B2970="NEW ROUTE",1,"")</f>
        <v>1</v>
      </c>
      <c r="E2970" s="5" t="s">
        <v>2536</v>
      </c>
      <c r="F2970" s="6" t="e">
        <f aca="false">VLOOKUP(E2970,$K$2:$L$426,2,FALSE())</f>
        <v>#N/A</v>
      </c>
      <c r="G2970" s="1" t="str">
        <f aca="false">IF(ISNA(F2970),"",F2970)</f>
        <v/>
      </c>
      <c r="H2970" s="5" t="str">
        <f aca="false">IF(G2970&lt;&gt;"",G2970,E2970)</f>
        <v>NEW ROUTE</v>
      </c>
    </row>
    <row r="2971" customFormat="false" ht="12.75" hidden="false" customHeight="true" outlineLevel="0" collapsed="false">
      <c r="A2971" s="4" t="s">
        <v>256</v>
      </c>
      <c r="B2971" s="5" t="s">
        <v>256</v>
      </c>
      <c r="C2971" s="1" t="str">
        <f aca="false">IF(B2971="NEW ROUTE",1,"")</f>
        <v/>
      </c>
      <c r="E2971" s="5" t="s">
        <v>256</v>
      </c>
      <c r="F2971" s="6" t="str">
        <f aca="false">VLOOKUP(E2971,$K$2:$L$426,2,FALSE())</f>
        <v>Six Island Altering Cave</v>
      </c>
      <c r="G2971" s="1" t="str">
        <f aca="false">IF(ISNA(F2971),"",F2971)</f>
        <v>Six Island Altering Cave</v>
      </c>
      <c r="H2971" s="5" t="str">
        <f aca="false">IF(G2971&lt;&gt;"",G2971,E2971)</f>
        <v>Six Island Altering Cave</v>
      </c>
    </row>
    <row r="2972" customFormat="false" ht="12.75" hidden="false" customHeight="true" outlineLevel="0" collapsed="false">
      <c r="A2972" s="4" t="s">
        <v>2799</v>
      </c>
      <c r="B2972" s="5" t="n">
        <v>0.2</v>
      </c>
      <c r="C2972" s="1" t="str">
        <f aca="false">IF(B2972="NEW ROUTE",1,"")</f>
        <v/>
      </c>
      <c r="E2972" s="5" t="n">
        <v>0.2</v>
      </c>
      <c r="F2972" s="6" t="e">
        <f aca="false">VLOOKUP(E2972,$K$2:$L$426,2,FALSE())</f>
        <v>#N/A</v>
      </c>
      <c r="G2972" s="1" t="str">
        <f aca="false">IF(ISNA(F2972),"",F2972)</f>
        <v/>
      </c>
      <c r="H2972" s="5" t="n">
        <f aca="false">IF(G2972&lt;&gt;"",G2972,E2972)</f>
        <v>0.2</v>
      </c>
    </row>
    <row r="2973" customFormat="false" ht="12.75" hidden="false" customHeight="true" outlineLevel="0" collapsed="false">
      <c r="A2973" s="4" t="s">
        <v>2195</v>
      </c>
      <c r="B2973" s="5" t="s">
        <v>2195</v>
      </c>
      <c r="C2973" s="1" t="str">
        <f aca="false">IF(B2973="NEW ROUTE",1,"")</f>
        <v/>
      </c>
      <c r="E2973" s="5" t="s">
        <v>2195</v>
      </c>
      <c r="F2973" s="6" t="e">
        <f aca="false">VLOOKUP(E2973,$K$2:$L$426,2,FALSE())</f>
        <v>#N/A</v>
      </c>
      <c r="G2973" s="1" t="str">
        <f aca="false">IF(ISNA(F2973),"",F2973)</f>
        <v/>
      </c>
      <c r="H2973" s="5" t="str">
        <f aca="false">IF(G2973&lt;&gt;"",G2973,E2973)</f>
        <v>22, 22, STANTLER</v>
      </c>
    </row>
    <row r="2974" customFormat="false" ht="12.75" hidden="false" customHeight="true" outlineLevel="0" collapsed="false">
      <c r="A2974" s="4" t="s">
        <v>3693</v>
      </c>
      <c r="B2974" s="5" t="s">
        <v>3693</v>
      </c>
      <c r="C2974" s="1" t="str">
        <f aca="false">IF(B2974="NEW ROUTE",1,"")</f>
        <v/>
      </c>
      <c r="E2974" s="5" t="s">
        <v>3693</v>
      </c>
      <c r="F2974" s="6" t="e">
        <f aca="false">VLOOKUP(E2974,$K$2:$L$426,2,FALSE())</f>
        <v>#N/A</v>
      </c>
      <c r="G2974" s="1" t="str">
        <f aca="false">IF(ISNA(F2974),"",F2974)</f>
        <v/>
      </c>
      <c r="H2974" s="5" t="str">
        <f aca="false">IF(G2974&lt;&gt;"",G2974,E2974)</f>
        <v>24, 24, STANTLER</v>
      </c>
    </row>
    <row r="2975" customFormat="false" ht="12.75" hidden="false" customHeight="true" outlineLevel="0" collapsed="false">
      <c r="A2975" s="4" t="s">
        <v>2801</v>
      </c>
      <c r="B2975" s="5" t="n">
        <v>0.1</v>
      </c>
      <c r="C2975" s="1" t="str">
        <f aca="false">IF(B2975="NEW ROUTE",1,"")</f>
        <v/>
      </c>
      <c r="E2975" s="5" t="n">
        <v>0.1</v>
      </c>
      <c r="F2975" s="6" t="e">
        <f aca="false">VLOOKUP(E2975,$K$2:$L$426,2,FALSE())</f>
        <v>#N/A</v>
      </c>
      <c r="G2975" s="1" t="str">
        <f aca="false">IF(ISNA(F2975),"",F2975)</f>
        <v/>
      </c>
      <c r="H2975" s="5" t="n">
        <f aca="false">IF(G2975&lt;&gt;"",G2975,E2975)</f>
        <v>0.1</v>
      </c>
    </row>
    <row r="2976" customFormat="false" ht="12.75" hidden="false" customHeight="true" outlineLevel="0" collapsed="false">
      <c r="A2976" s="4" t="s">
        <v>3694</v>
      </c>
      <c r="B2976" s="5" t="s">
        <v>3694</v>
      </c>
      <c r="C2976" s="1" t="str">
        <f aca="false">IF(B2976="NEW ROUTE",1,"")</f>
        <v/>
      </c>
      <c r="E2976" s="5" t="s">
        <v>3694</v>
      </c>
      <c r="F2976" s="6" t="e">
        <f aca="false">VLOOKUP(E2976,$K$2:$L$426,2,FALSE())</f>
        <v>#N/A</v>
      </c>
      <c r="G2976" s="1" t="str">
        <f aca="false">IF(ISNA(F2976),"",F2976)</f>
        <v/>
      </c>
      <c r="H2976" s="5" t="str">
        <f aca="false">IF(G2976&lt;&gt;"",G2976,E2976)</f>
        <v>20, 20, STANTLER</v>
      </c>
    </row>
    <row r="2977" customFormat="false" ht="12.75" hidden="false" customHeight="true" outlineLevel="0" collapsed="false">
      <c r="A2977" s="4" t="s">
        <v>3695</v>
      </c>
      <c r="B2977" s="5" t="s">
        <v>3695</v>
      </c>
      <c r="C2977" s="1" t="str">
        <f aca="false">IF(B2977="NEW ROUTE",1,"")</f>
        <v/>
      </c>
      <c r="E2977" s="5" t="s">
        <v>3695</v>
      </c>
      <c r="F2977" s="6" t="e">
        <f aca="false">VLOOKUP(E2977,$K$2:$L$426,2,FALSE())</f>
        <v>#N/A</v>
      </c>
      <c r="G2977" s="1" t="str">
        <f aca="false">IF(ISNA(F2977),"",F2977)</f>
        <v/>
      </c>
      <c r="H2977" s="5" t="str">
        <f aca="false">IF(G2977&lt;&gt;"",G2977,E2977)</f>
        <v>26, 26, STANTLER</v>
      </c>
    </row>
    <row r="2978" customFormat="false" ht="12.75" hidden="false" customHeight="true" outlineLevel="0" collapsed="false">
      <c r="A2978" s="4" t="s">
        <v>2195</v>
      </c>
      <c r="B2978" s="5" t="s">
        <v>2195</v>
      </c>
      <c r="C2978" s="1" t="str">
        <f aca="false">IF(B2978="NEW ROUTE",1,"")</f>
        <v/>
      </c>
      <c r="E2978" s="5" t="s">
        <v>2195</v>
      </c>
      <c r="F2978" s="6" t="e">
        <f aca="false">VLOOKUP(E2978,$K$2:$L$426,2,FALSE())</f>
        <v>#N/A</v>
      </c>
      <c r="G2978" s="1" t="str">
        <f aca="false">IF(ISNA(F2978),"",F2978)</f>
        <v/>
      </c>
      <c r="H2978" s="5" t="str">
        <f aca="false">IF(G2978&lt;&gt;"",G2978,E2978)</f>
        <v>22, 22, STANTLER</v>
      </c>
    </row>
    <row r="2979" customFormat="false" ht="12.75" hidden="false" customHeight="true" outlineLevel="0" collapsed="false">
      <c r="A2979" s="4" t="s">
        <v>3693</v>
      </c>
      <c r="B2979" s="5" t="s">
        <v>3693</v>
      </c>
      <c r="C2979" s="1" t="str">
        <f aca="false">IF(B2979="NEW ROUTE",1,"")</f>
        <v/>
      </c>
      <c r="E2979" s="5" t="s">
        <v>3693</v>
      </c>
      <c r="F2979" s="6" t="e">
        <f aca="false">VLOOKUP(E2979,$K$2:$L$426,2,FALSE())</f>
        <v>#N/A</v>
      </c>
      <c r="G2979" s="1" t="str">
        <f aca="false">IF(ISNA(F2979),"",F2979)</f>
        <v/>
      </c>
      <c r="H2979" s="5" t="str">
        <f aca="false">IF(G2979&lt;&gt;"",G2979,E2979)</f>
        <v>24, 24, STANTLER</v>
      </c>
    </row>
    <row r="2980" customFormat="false" ht="12.75" hidden="false" customHeight="true" outlineLevel="0" collapsed="false">
      <c r="A2980" s="4" t="s">
        <v>2806</v>
      </c>
      <c r="B2980" s="5" t="n">
        <v>0.05</v>
      </c>
      <c r="C2980" s="1" t="str">
        <f aca="false">IF(B2980="NEW ROUTE",1,"")</f>
        <v/>
      </c>
      <c r="E2980" s="5" t="n">
        <v>0.05</v>
      </c>
      <c r="F2980" s="6" t="e">
        <f aca="false">VLOOKUP(E2980,$K$2:$L$426,2,FALSE())</f>
        <v>#N/A</v>
      </c>
      <c r="G2980" s="1" t="str">
        <f aca="false">IF(ISNA(F2980),"",F2980)</f>
        <v/>
      </c>
      <c r="H2980" s="5" t="n">
        <f aca="false">IF(G2980&lt;&gt;"",G2980,E2980)</f>
        <v>0.05</v>
      </c>
    </row>
    <row r="2981" customFormat="false" ht="12.75" hidden="false" customHeight="true" outlineLevel="0" collapsed="false">
      <c r="A2981" s="4" t="s">
        <v>3696</v>
      </c>
      <c r="B2981" s="5" t="s">
        <v>3696</v>
      </c>
      <c r="C2981" s="1" t="str">
        <f aca="false">IF(B2981="NEW ROUTE",1,"")</f>
        <v/>
      </c>
      <c r="E2981" s="5" t="s">
        <v>3696</v>
      </c>
      <c r="F2981" s="6" t="e">
        <f aca="false">VLOOKUP(E2981,$K$2:$L$426,2,FALSE())</f>
        <v>#N/A</v>
      </c>
      <c r="G2981" s="1" t="str">
        <f aca="false">IF(ISNA(F2981),"",F2981)</f>
        <v/>
      </c>
      <c r="H2981" s="5" t="str">
        <f aca="false">IF(G2981&lt;&gt;"",G2981,E2981)</f>
        <v>28, 28, STANTLER</v>
      </c>
    </row>
    <row r="2982" customFormat="false" ht="12.75" hidden="false" customHeight="true" outlineLevel="0" collapsed="false">
      <c r="A2982" s="4" t="s">
        <v>3697</v>
      </c>
      <c r="B2982" s="5" t="s">
        <v>3697</v>
      </c>
      <c r="C2982" s="1" t="str">
        <f aca="false">IF(B2982="NEW ROUTE",1,"")</f>
        <v/>
      </c>
      <c r="E2982" s="5" t="s">
        <v>3697</v>
      </c>
      <c r="F2982" s="6" t="e">
        <f aca="false">VLOOKUP(E2982,$K$2:$L$426,2,FALSE())</f>
        <v>#N/A</v>
      </c>
      <c r="G2982" s="1" t="str">
        <f aca="false">IF(ISNA(F2982),"",F2982)</f>
        <v/>
      </c>
      <c r="H2982" s="5" t="str">
        <f aca="false">IF(G2982&lt;&gt;"",G2982,E2982)</f>
        <v>18, 18, STANTLER</v>
      </c>
    </row>
    <row r="2983" customFormat="false" ht="12.75" hidden="false" customHeight="true" outlineLevel="0" collapsed="false">
      <c r="A2983" s="4" t="s">
        <v>2809</v>
      </c>
      <c r="B2983" s="5" t="n">
        <v>0.04</v>
      </c>
      <c r="C2983" s="1" t="str">
        <f aca="false">IF(B2983="NEW ROUTE",1,"")</f>
        <v/>
      </c>
      <c r="E2983" s="5" t="n">
        <v>0.04</v>
      </c>
      <c r="F2983" s="6" t="e">
        <f aca="false">VLOOKUP(E2983,$K$2:$L$426,2,FALSE())</f>
        <v>#N/A</v>
      </c>
      <c r="G2983" s="1" t="str">
        <f aca="false">IF(ISNA(F2983),"",F2983)</f>
        <v/>
      </c>
      <c r="H2983" s="5" t="n">
        <f aca="false">IF(G2983&lt;&gt;"",G2983,E2983)</f>
        <v>0.04</v>
      </c>
    </row>
    <row r="2984" customFormat="false" ht="12.75" hidden="false" customHeight="true" outlineLevel="0" collapsed="false">
      <c r="A2984" s="4" t="s">
        <v>3694</v>
      </c>
      <c r="B2984" s="5" t="s">
        <v>3694</v>
      </c>
      <c r="C2984" s="1" t="str">
        <f aca="false">IF(B2984="NEW ROUTE",1,"")</f>
        <v/>
      </c>
      <c r="E2984" s="5" t="s">
        <v>3694</v>
      </c>
      <c r="F2984" s="6" t="e">
        <f aca="false">VLOOKUP(E2984,$K$2:$L$426,2,FALSE())</f>
        <v>#N/A</v>
      </c>
      <c r="G2984" s="1" t="str">
        <f aca="false">IF(ISNA(F2984),"",F2984)</f>
        <v/>
      </c>
      <c r="H2984" s="5" t="str">
        <f aca="false">IF(G2984&lt;&gt;"",G2984,E2984)</f>
        <v>20, 20, STANTLER</v>
      </c>
    </row>
    <row r="2985" customFormat="false" ht="12.75" hidden="false" customHeight="true" outlineLevel="0" collapsed="false">
      <c r="A2985" s="4" t="s">
        <v>3695</v>
      </c>
      <c r="B2985" s="5" t="s">
        <v>3695</v>
      </c>
      <c r="C2985" s="1" t="str">
        <f aca="false">IF(B2985="NEW ROUTE",1,"")</f>
        <v/>
      </c>
      <c r="E2985" s="5" t="s">
        <v>3695</v>
      </c>
      <c r="F2985" s="6" t="e">
        <f aca="false">VLOOKUP(E2985,$K$2:$L$426,2,FALSE())</f>
        <v>#N/A</v>
      </c>
      <c r="G2985" s="1" t="str">
        <f aca="false">IF(ISNA(F2985),"",F2985)</f>
        <v/>
      </c>
      <c r="H2985" s="5" t="str">
        <f aca="false">IF(G2985&lt;&gt;"",G2985,E2985)</f>
        <v>26, 26, STANTLER</v>
      </c>
    </row>
    <row r="2986" customFormat="false" ht="12.75" hidden="false" customHeight="true" outlineLevel="0" collapsed="false">
      <c r="A2986" s="4" t="s">
        <v>2812</v>
      </c>
      <c r="B2986" s="5" t="n">
        <v>0.01</v>
      </c>
      <c r="C2986" s="1" t="str">
        <f aca="false">IF(B2986="NEW ROUTE",1,"")</f>
        <v/>
      </c>
      <c r="E2986" s="5" t="n">
        <v>0.01</v>
      </c>
      <c r="F2986" s="6" t="e">
        <f aca="false">VLOOKUP(E2986,$K$2:$L$426,2,FALSE())</f>
        <v>#N/A</v>
      </c>
      <c r="G2986" s="1" t="str">
        <f aca="false">IF(ISNA(F2986),"",F2986)</f>
        <v/>
      </c>
      <c r="H2986" s="5" t="n">
        <f aca="false">IF(G2986&lt;&gt;"",G2986,E2986)</f>
        <v>0.01</v>
      </c>
    </row>
    <row r="2987" customFormat="false" ht="12.75" hidden="false" customHeight="true" outlineLevel="0" collapsed="false">
      <c r="A2987" s="4" t="s">
        <v>3694</v>
      </c>
      <c r="B2987" s="5" t="s">
        <v>3694</v>
      </c>
      <c r="C2987" s="1" t="str">
        <f aca="false">IF(B2987="NEW ROUTE",1,"")</f>
        <v/>
      </c>
      <c r="E2987" s="5" t="s">
        <v>3694</v>
      </c>
      <c r="F2987" s="6" t="e">
        <f aca="false">VLOOKUP(E2987,$K$2:$L$426,2,FALSE())</f>
        <v>#N/A</v>
      </c>
      <c r="G2987" s="1" t="str">
        <f aca="false">IF(ISNA(F2987),"",F2987)</f>
        <v/>
      </c>
      <c r="H2987" s="5" t="str">
        <f aca="false">IF(G2987&lt;&gt;"",G2987,E2987)</f>
        <v>20, 20, STANTLER</v>
      </c>
    </row>
    <row r="2988" customFormat="false" ht="12.75" hidden="false" customHeight="true" outlineLevel="0" collapsed="false">
      <c r="A2988" s="4" t="s">
        <v>3695</v>
      </c>
      <c r="B2988" s="5" t="s">
        <v>3695</v>
      </c>
      <c r="C2988" s="1" t="str">
        <f aca="false">IF(B2988="NEW ROUTE",1,"")</f>
        <v/>
      </c>
      <c r="E2988" s="5" t="s">
        <v>3695</v>
      </c>
      <c r="F2988" s="6" t="e">
        <f aca="false">VLOOKUP(E2988,$K$2:$L$426,2,FALSE())</f>
        <v>#N/A</v>
      </c>
      <c r="G2988" s="1" t="str">
        <f aca="false">IF(ISNA(F2988),"",F2988)</f>
        <v/>
      </c>
      <c r="H2988" s="5" t="str">
        <f aca="false">IF(G2988&lt;&gt;"",G2988,E2988)</f>
        <v>26, 26, STANTLER</v>
      </c>
    </row>
    <row r="2989" customFormat="false" ht="12.75" hidden="false" customHeight="true" outlineLevel="0" collapsed="false">
      <c r="A2989" s="4" t="s">
        <v>2536</v>
      </c>
      <c r="B2989" s="5" t="s">
        <v>2536</v>
      </c>
      <c r="C2989" s="1" t="n">
        <f aca="false">IF(B2989="NEW ROUTE",1,"")</f>
        <v>1</v>
      </c>
      <c r="E2989" s="5" t="s">
        <v>2536</v>
      </c>
      <c r="F2989" s="6" t="e">
        <f aca="false">VLOOKUP(E2989,$K$2:$L$426,2,FALSE())</f>
        <v>#N/A</v>
      </c>
      <c r="G2989" s="1" t="str">
        <f aca="false">IF(ISNA(F2989),"",F2989)</f>
        <v/>
      </c>
      <c r="H2989" s="5" t="str">
        <f aca="false">IF(G2989&lt;&gt;"",G2989,E2989)</f>
        <v>NEW ROUTE</v>
      </c>
    </row>
    <row r="2990" customFormat="false" ht="12.75" hidden="false" customHeight="true" outlineLevel="0" collapsed="false">
      <c r="A2990" s="4" t="s">
        <v>256</v>
      </c>
      <c r="B2990" s="5" t="s">
        <v>256</v>
      </c>
      <c r="C2990" s="1" t="str">
        <f aca="false">IF(B2990="NEW ROUTE",1,"")</f>
        <v/>
      </c>
      <c r="E2990" s="5" t="s">
        <v>256</v>
      </c>
      <c r="F2990" s="6" t="str">
        <f aca="false">VLOOKUP(E2990,$K$2:$L$426,2,FALSE())</f>
        <v>Six Island Altering Cave</v>
      </c>
      <c r="G2990" s="1" t="str">
        <f aca="false">IF(ISNA(F2990),"",F2990)</f>
        <v>Six Island Altering Cave</v>
      </c>
      <c r="H2990" s="5" t="str">
        <f aca="false">IF(G2990&lt;&gt;"",G2990,E2990)</f>
        <v>Six Island Altering Cave</v>
      </c>
    </row>
    <row r="2991" customFormat="false" ht="12.75" hidden="false" customHeight="true" outlineLevel="0" collapsed="false">
      <c r="A2991" s="4" t="s">
        <v>2799</v>
      </c>
      <c r="B2991" s="5" t="n">
        <v>0.2</v>
      </c>
      <c r="C2991" s="1" t="str">
        <f aca="false">IF(B2991="NEW ROUTE",1,"")</f>
        <v/>
      </c>
      <c r="E2991" s="5" t="n">
        <v>0.2</v>
      </c>
      <c r="F2991" s="6" t="e">
        <f aca="false">VLOOKUP(E2991,$K$2:$L$426,2,FALSE())</f>
        <v>#N/A</v>
      </c>
      <c r="G2991" s="1" t="str">
        <f aca="false">IF(ISNA(F2991),"",F2991)</f>
        <v/>
      </c>
      <c r="H2991" s="5" t="n">
        <f aca="false">IF(G2991&lt;&gt;"",G2991,E2991)</f>
        <v>0.2</v>
      </c>
    </row>
    <row r="2992" customFormat="false" ht="12.75" hidden="false" customHeight="true" outlineLevel="0" collapsed="false">
      <c r="A2992" s="4" t="s">
        <v>2203</v>
      </c>
      <c r="B2992" s="5" t="s">
        <v>2203</v>
      </c>
      <c r="C2992" s="1" t="str">
        <f aca="false">IF(B2992="NEW ROUTE",1,"")</f>
        <v/>
      </c>
      <c r="E2992" s="5" t="s">
        <v>2203</v>
      </c>
      <c r="F2992" s="6" t="e">
        <f aca="false">VLOOKUP(E2992,$K$2:$L$426,2,FALSE())</f>
        <v>#N/A</v>
      </c>
      <c r="G2992" s="1" t="str">
        <f aca="false">IF(ISNA(F2992),"",F2992)</f>
        <v/>
      </c>
      <c r="H2992" s="5" t="str">
        <f aca="false">IF(G2992&lt;&gt;"",G2992,E2992)</f>
        <v>22, 22, SMEARGLE</v>
      </c>
    </row>
    <row r="2993" customFormat="false" ht="12.75" hidden="false" customHeight="true" outlineLevel="0" collapsed="false">
      <c r="A2993" s="4" t="s">
        <v>3699</v>
      </c>
      <c r="B2993" s="5" t="s">
        <v>3699</v>
      </c>
      <c r="C2993" s="1" t="str">
        <f aca="false">IF(B2993="NEW ROUTE",1,"")</f>
        <v/>
      </c>
      <c r="E2993" s="5" t="s">
        <v>3699</v>
      </c>
      <c r="F2993" s="6" t="e">
        <f aca="false">VLOOKUP(E2993,$K$2:$L$426,2,FALSE())</f>
        <v>#N/A</v>
      </c>
      <c r="G2993" s="1" t="str">
        <f aca="false">IF(ISNA(F2993),"",F2993)</f>
        <v/>
      </c>
      <c r="H2993" s="5" t="str">
        <f aca="false">IF(G2993&lt;&gt;"",G2993,E2993)</f>
        <v>24, 24, SMEARGLE</v>
      </c>
    </row>
    <row r="2994" customFormat="false" ht="12.75" hidden="false" customHeight="true" outlineLevel="0" collapsed="false">
      <c r="A2994" s="4" t="s">
        <v>2801</v>
      </c>
      <c r="B2994" s="5" t="n">
        <v>0.1</v>
      </c>
      <c r="C2994" s="1" t="str">
        <f aca="false">IF(B2994="NEW ROUTE",1,"")</f>
        <v/>
      </c>
      <c r="E2994" s="5" t="n">
        <v>0.1</v>
      </c>
      <c r="F2994" s="6" t="e">
        <f aca="false">VLOOKUP(E2994,$K$2:$L$426,2,FALSE())</f>
        <v>#N/A</v>
      </c>
      <c r="G2994" s="1" t="str">
        <f aca="false">IF(ISNA(F2994),"",F2994)</f>
        <v/>
      </c>
      <c r="H2994" s="5" t="n">
        <f aca="false">IF(G2994&lt;&gt;"",G2994,E2994)</f>
        <v>0.1</v>
      </c>
    </row>
    <row r="2995" customFormat="false" ht="12.75" hidden="false" customHeight="true" outlineLevel="0" collapsed="false">
      <c r="A2995" s="4" t="s">
        <v>3700</v>
      </c>
      <c r="B2995" s="5" t="s">
        <v>3700</v>
      </c>
      <c r="C2995" s="1" t="str">
        <f aca="false">IF(B2995="NEW ROUTE",1,"")</f>
        <v/>
      </c>
      <c r="E2995" s="5" t="s">
        <v>3700</v>
      </c>
      <c r="F2995" s="6" t="e">
        <f aca="false">VLOOKUP(E2995,$K$2:$L$426,2,FALSE())</f>
        <v>#N/A</v>
      </c>
      <c r="G2995" s="1" t="str">
        <f aca="false">IF(ISNA(F2995),"",F2995)</f>
        <v/>
      </c>
      <c r="H2995" s="5" t="str">
        <f aca="false">IF(G2995&lt;&gt;"",G2995,E2995)</f>
        <v>20, 20, SMEARGLE</v>
      </c>
    </row>
    <row r="2996" customFormat="false" ht="12.75" hidden="false" customHeight="true" outlineLevel="0" collapsed="false">
      <c r="A2996" s="4" t="s">
        <v>3701</v>
      </c>
      <c r="B2996" s="5" t="s">
        <v>3701</v>
      </c>
      <c r="C2996" s="1" t="str">
        <f aca="false">IF(B2996="NEW ROUTE",1,"")</f>
        <v/>
      </c>
      <c r="E2996" s="5" t="s">
        <v>3701</v>
      </c>
      <c r="F2996" s="6" t="e">
        <f aca="false">VLOOKUP(E2996,$K$2:$L$426,2,FALSE())</f>
        <v>#N/A</v>
      </c>
      <c r="G2996" s="1" t="str">
        <f aca="false">IF(ISNA(F2996),"",F2996)</f>
        <v/>
      </c>
      <c r="H2996" s="5" t="str">
        <f aca="false">IF(G2996&lt;&gt;"",G2996,E2996)</f>
        <v>26, 26, SMEARGLE</v>
      </c>
    </row>
    <row r="2997" customFormat="false" ht="12.75" hidden="false" customHeight="true" outlineLevel="0" collapsed="false">
      <c r="A2997" s="4" t="s">
        <v>2203</v>
      </c>
      <c r="B2997" s="5" t="s">
        <v>2203</v>
      </c>
      <c r="C2997" s="1" t="str">
        <f aca="false">IF(B2997="NEW ROUTE",1,"")</f>
        <v/>
      </c>
      <c r="E2997" s="5" t="s">
        <v>2203</v>
      </c>
      <c r="F2997" s="6" t="e">
        <f aca="false">VLOOKUP(E2997,$K$2:$L$426,2,FALSE())</f>
        <v>#N/A</v>
      </c>
      <c r="G2997" s="1" t="str">
        <f aca="false">IF(ISNA(F2997),"",F2997)</f>
        <v/>
      </c>
      <c r="H2997" s="5" t="str">
        <f aca="false">IF(G2997&lt;&gt;"",G2997,E2997)</f>
        <v>22, 22, SMEARGLE</v>
      </c>
    </row>
    <row r="2998" customFormat="false" ht="12.75" hidden="false" customHeight="true" outlineLevel="0" collapsed="false">
      <c r="A2998" s="4" t="s">
        <v>3699</v>
      </c>
      <c r="B2998" s="5" t="s">
        <v>3699</v>
      </c>
      <c r="C2998" s="1" t="str">
        <f aca="false">IF(B2998="NEW ROUTE",1,"")</f>
        <v/>
      </c>
      <c r="E2998" s="5" t="s">
        <v>3699</v>
      </c>
      <c r="F2998" s="6" t="e">
        <f aca="false">VLOOKUP(E2998,$K$2:$L$426,2,FALSE())</f>
        <v>#N/A</v>
      </c>
      <c r="G2998" s="1" t="str">
        <f aca="false">IF(ISNA(F2998),"",F2998)</f>
        <v/>
      </c>
      <c r="H2998" s="5" t="str">
        <f aca="false">IF(G2998&lt;&gt;"",G2998,E2998)</f>
        <v>24, 24, SMEARGLE</v>
      </c>
    </row>
    <row r="2999" customFormat="false" ht="12.75" hidden="false" customHeight="true" outlineLevel="0" collapsed="false">
      <c r="A2999" s="4" t="s">
        <v>2806</v>
      </c>
      <c r="B2999" s="5" t="n">
        <v>0.05</v>
      </c>
      <c r="C2999" s="1" t="str">
        <f aca="false">IF(B2999="NEW ROUTE",1,"")</f>
        <v/>
      </c>
      <c r="E2999" s="5" t="n">
        <v>0.05</v>
      </c>
      <c r="F2999" s="6" t="e">
        <f aca="false">VLOOKUP(E2999,$K$2:$L$426,2,FALSE())</f>
        <v>#N/A</v>
      </c>
      <c r="G2999" s="1" t="str">
        <f aca="false">IF(ISNA(F2999),"",F2999)</f>
        <v/>
      </c>
      <c r="H2999" s="5" t="n">
        <f aca="false">IF(G2999&lt;&gt;"",G2999,E2999)</f>
        <v>0.05</v>
      </c>
    </row>
    <row r="3000" customFormat="false" ht="12.75" hidden="false" customHeight="true" outlineLevel="0" collapsed="false">
      <c r="A3000" s="4" t="s">
        <v>3702</v>
      </c>
      <c r="B3000" s="5" t="s">
        <v>3702</v>
      </c>
      <c r="C3000" s="1" t="str">
        <f aca="false">IF(B3000="NEW ROUTE",1,"")</f>
        <v/>
      </c>
      <c r="E3000" s="5" t="s">
        <v>3702</v>
      </c>
      <c r="F3000" s="6" t="e">
        <f aca="false">VLOOKUP(E3000,$K$2:$L$426,2,FALSE())</f>
        <v>#N/A</v>
      </c>
      <c r="G3000" s="1" t="str">
        <f aca="false">IF(ISNA(F3000),"",F3000)</f>
        <v/>
      </c>
      <c r="H3000" s="5" t="str">
        <f aca="false">IF(G3000&lt;&gt;"",G3000,E3000)</f>
        <v>28, 28, SMEARGLE</v>
      </c>
    </row>
    <row r="3001" customFormat="false" ht="12.75" hidden="false" customHeight="true" outlineLevel="0" collapsed="false">
      <c r="A3001" s="4" t="s">
        <v>3703</v>
      </c>
      <c r="B3001" s="5" t="s">
        <v>3703</v>
      </c>
      <c r="C3001" s="1" t="str">
        <f aca="false">IF(B3001="NEW ROUTE",1,"")</f>
        <v/>
      </c>
      <c r="E3001" s="5" t="s">
        <v>3703</v>
      </c>
      <c r="F3001" s="6" t="e">
        <f aca="false">VLOOKUP(E3001,$K$2:$L$426,2,FALSE())</f>
        <v>#N/A</v>
      </c>
      <c r="G3001" s="1" t="str">
        <f aca="false">IF(ISNA(F3001),"",F3001)</f>
        <v/>
      </c>
      <c r="H3001" s="5" t="str">
        <f aca="false">IF(G3001&lt;&gt;"",G3001,E3001)</f>
        <v>18, 18, SMEARGLE</v>
      </c>
    </row>
    <row r="3002" customFormat="false" ht="12.75" hidden="false" customHeight="true" outlineLevel="0" collapsed="false">
      <c r="A3002" s="4" t="s">
        <v>2809</v>
      </c>
      <c r="B3002" s="5" t="n">
        <v>0.04</v>
      </c>
      <c r="C3002" s="1" t="str">
        <f aca="false">IF(B3002="NEW ROUTE",1,"")</f>
        <v/>
      </c>
      <c r="E3002" s="5" t="n">
        <v>0.04</v>
      </c>
      <c r="F3002" s="6" t="e">
        <f aca="false">VLOOKUP(E3002,$K$2:$L$426,2,FALSE())</f>
        <v>#N/A</v>
      </c>
      <c r="G3002" s="1" t="str">
        <f aca="false">IF(ISNA(F3002),"",F3002)</f>
        <v/>
      </c>
      <c r="H3002" s="5" t="n">
        <f aca="false">IF(G3002&lt;&gt;"",G3002,E3002)</f>
        <v>0.04</v>
      </c>
    </row>
    <row r="3003" customFormat="false" ht="12.75" hidden="false" customHeight="true" outlineLevel="0" collapsed="false">
      <c r="A3003" s="4" t="s">
        <v>3700</v>
      </c>
      <c r="B3003" s="5" t="s">
        <v>3700</v>
      </c>
      <c r="C3003" s="1" t="str">
        <f aca="false">IF(B3003="NEW ROUTE",1,"")</f>
        <v/>
      </c>
      <c r="E3003" s="5" t="s">
        <v>3700</v>
      </c>
      <c r="F3003" s="6" t="e">
        <f aca="false">VLOOKUP(E3003,$K$2:$L$426,2,FALSE())</f>
        <v>#N/A</v>
      </c>
      <c r="G3003" s="1" t="str">
        <f aca="false">IF(ISNA(F3003),"",F3003)</f>
        <v/>
      </c>
      <c r="H3003" s="5" t="str">
        <f aca="false">IF(G3003&lt;&gt;"",G3003,E3003)</f>
        <v>20, 20, SMEARGLE</v>
      </c>
    </row>
    <row r="3004" customFormat="false" ht="12.75" hidden="false" customHeight="true" outlineLevel="0" collapsed="false">
      <c r="A3004" s="4" t="s">
        <v>3701</v>
      </c>
      <c r="B3004" s="5" t="s">
        <v>3701</v>
      </c>
      <c r="C3004" s="1" t="str">
        <f aca="false">IF(B3004="NEW ROUTE",1,"")</f>
        <v/>
      </c>
      <c r="E3004" s="5" t="s">
        <v>3701</v>
      </c>
      <c r="F3004" s="6" t="e">
        <f aca="false">VLOOKUP(E3004,$K$2:$L$426,2,FALSE())</f>
        <v>#N/A</v>
      </c>
      <c r="G3004" s="1" t="str">
        <f aca="false">IF(ISNA(F3004),"",F3004)</f>
        <v/>
      </c>
      <c r="H3004" s="5" t="str">
        <f aca="false">IF(G3004&lt;&gt;"",G3004,E3004)</f>
        <v>26, 26, SMEARGLE</v>
      </c>
    </row>
    <row r="3005" customFormat="false" ht="12.75" hidden="false" customHeight="true" outlineLevel="0" collapsed="false">
      <c r="A3005" s="4" t="s">
        <v>2812</v>
      </c>
      <c r="B3005" s="5" t="n">
        <v>0.01</v>
      </c>
      <c r="C3005" s="1" t="str">
        <f aca="false">IF(B3005="NEW ROUTE",1,"")</f>
        <v/>
      </c>
      <c r="E3005" s="5" t="n">
        <v>0.01</v>
      </c>
      <c r="F3005" s="6" t="e">
        <f aca="false">VLOOKUP(E3005,$K$2:$L$426,2,FALSE())</f>
        <v>#N/A</v>
      </c>
      <c r="G3005" s="1" t="str">
        <f aca="false">IF(ISNA(F3005),"",F3005)</f>
        <v/>
      </c>
      <c r="H3005" s="5" t="n">
        <f aca="false">IF(G3005&lt;&gt;"",G3005,E3005)</f>
        <v>0.01</v>
      </c>
    </row>
    <row r="3006" customFormat="false" ht="12.75" hidden="false" customHeight="true" outlineLevel="0" collapsed="false">
      <c r="A3006" s="4" t="s">
        <v>3700</v>
      </c>
      <c r="B3006" s="5" t="s">
        <v>3700</v>
      </c>
      <c r="C3006" s="1" t="str">
        <f aca="false">IF(B3006="NEW ROUTE",1,"")</f>
        <v/>
      </c>
      <c r="E3006" s="5" t="s">
        <v>3700</v>
      </c>
      <c r="F3006" s="6" t="e">
        <f aca="false">VLOOKUP(E3006,$K$2:$L$426,2,FALSE())</f>
        <v>#N/A</v>
      </c>
      <c r="G3006" s="1" t="str">
        <f aca="false">IF(ISNA(F3006),"",F3006)</f>
        <v/>
      </c>
      <c r="H3006" s="5" t="str">
        <f aca="false">IF(G3006&lt;&gt;"",G3006,E3006)</f>
        <v>20, 20, SMEARGLE</v>
      </c>
    </row>
    <row r="3007" customFormat="false" ht="12.75" hidden="false" customHeight="true" outlineLevel="0" collapsed="false">
      <c r="A3007" s="4" t="s">
        <v>3701</v>
      </c>
      <c r="B3007" s="5" t="s">
        <v>3701</v>
      </c>
      <c r="C3007" s="1" t="str">
        <f aca="false">IF(B3007="NEW ROUTE",1,"")</f>
        <v/>
      </c>
      <c r="E3007" s="5" t="s">
        <v>3701</v>
      </c>
      <c r="F3007" s="6" t="e">
        <f aca="false">VLOOKUP(E3007,$K$2:$L$426,2,FALSE())</f>
        <v>#N/A</v>
      </c>
      <c r="G3007" s="1" t="str">
        <f aca="false">IF(ISNA(F3007),"",F3007)</f>
        <v/>
      </c>
      <c r="H3007" s="5" t="str">
        <f aca="false">IF(G3007&lt;&gt;"",G3007,E3007)</f>
        <v>26, 26, SMEARGLE</v>
      </c>
    </row>
    <row r="3008" customFormat="false" ht="12.75" hidden="false" customHeight="true" outlineLevel="0" collapsed="false">
      <c r="A3008" s="4" t="s">
        <v>2536</v>
      </c>
      <c r="B3008" s="5" t="s">
        <v>2536</v>
      </c>
      <c r="C3008" s="1" t="n">
        <f aca="false">IF(B3008="NEW ROUTE",1,"")</f>
        <v>1</v>
      </c>
      <c r="E3008" s="5" t="s">
        <v>2536</v>
      </c>
      <c r="F3008" s="6" t="e">
        <f aca="false">VLOOKUP(E3008,$K$2:$L$426,2,FALSE())</f>
        <v>#N/A</v>
      </c>
      <c r="G3008" s="1" t="str">
        <f aca="false">IF(ISNA(F3008),"",F3008)</f>
        <v/>
      </c>
      <c r="H3008" s="5" t="str">
        <f aca="false">IF(G3008&lt;&gt;"",G3008,E3008)</f>
        <v>NEW ROUTE</v>
      </c>
    </row>
    <row r="3009" customFormat="false" ht="12.75" hidden="false" customHeight="true" outlineLevel="0" collapsed="false">
      <c r="A3009" s="4" t="s">
        <v>3728</v>
      </c>
      <c r="B3009" s="5" t="s">
        <v>3728</v>
      </c>
      <c r="C3009" s="1" t="str">
        <f aca="false">IF(B3009="NEW ROUTE",1,"")</f>
        <v/>
      </c>
      <c r="E3009" s="5" t="s">
        <v>3728</v>
      </c>
      <c r="F3009" s="6" t="e">
        <f aca="false">VLOOKUP(E3009,$K$2:$L$426,2,FALSE())</f>
        <v>#N/A</v>
      </c>
      <c r="G3009" s="1" t="str">
        <f aca="false">IF(ISNA(F3009),"",F3009)</f>
        <v/>
      </c>
      <c r="H3009" s="5" t="str">
        <f aca="false">IF(G3009&lt;&gt;"",G3009,E3009)</f>
        <v>0x1818</v>
      </c>
    </row>
    <row r="3010" customFormat="false" ht="12.75" hidden="false" customHeight="true" outlineLevel="0" collapsed="false">
      <c r="A3010" s="4" t="s">
        <v>2806</v>
      </c>
      <c r="B3010" s="5" t="n">
        <v>0.05</v>
      </c>
      <c r="C3010" s="1" t="str">
        <f aca="false">IF(B3010="NEW ROUTE",1,"")</f>
        <v/>
      </c>
      <c r="E3010" s="5" t="n">
        <v>0.05</v>
      </c>
      <c r="F3010" s="6" t="e">
        <f aca="false">VLOOKUP(E3010,$K$2:$L$426,2,FALSE())</f>
        <v>#N/A</v>
      </c>
      <c r="G3010" s="1" t="str">
        <f aca="false">IF(ISNA(F3010),"",F3010)</f>
        <v/>
      </c>
      <c r="H3010" s="5" t="n">
        <f aca="false">IF(G3010&lt;&gt;"",G3010,E3010)</f>
        <v>0.05</v>
      </c>
    </row>
    <row r="3011" customFormat="false" ht="12.75" hidden="false" customHeight="true" outlineLevel="0" collapsed="false">
      <c r="A3011" s="4" t="s">
        <v>3696</v>
      </c>
      <c r="B3011" s="5" t="s">
        <v>3696</v>
      </c>
      <c r="C3011" s="1" t="str">
        <f aca="false">IF(B3011="NEW ROUTE",1,"")</f>
        <v/>
      </c>
      <c r="E3011" s="5" t="s">
        <v>3696</v>
      </c>
      <c r="F3011" s="6" t="e">
        <f aca="false">VLOOKUP(E3011,$K$2:$L$426,2,FALSE())</f>
        <v>#N/A</v>
      </c>
      <c r="G3011" s="1" t="str">
        <f aca="false">IF(ISNA(F3011),"",F3011)</f>
        <v/>
      </c>
      <c r="H3011" s="5" t="str">
        <f aca="false">IF(G3011&lt;&gt;"",G3011,E3011)</f>
        <v>28, 28, STANTLER</v>
      </c>
    </row>
    <row r="3012" customFormat="false" ht="12.75" hidden="false" customHeight="true" outlineLevel="0" collapsed="false">
      <c r="A3012" s="4" t="s">
        <v>3697</v>
      </c>
      <c r="B3012" s="5" t="s">
        <v>3697</v>
      </c>
      <c r="C3012" s="1" t="str">
        <f aca="false">IF(B3012="NEW ROUTE",1,"")</f>
        <v/>
      </c>
      <c r="E3012" s="5" t="s">
        <v>3697</v>
      </c>
      <c r="F3012" s="6" t="e">
        <f aca="false">VLOOKUP(E3012,$K$2:$L$426,2,FALSE())</f>
        <v>#N/A</v>
      </c>
      <c r="G3012" s="1" t="str">
        <f aca="false">IF(ISNA(F3012),"",F3012)</f>
        <v/>
      </c>
      <c r="H3012" s="5" t="str">
        <f aca="false">IF(G3012&lt;&gt;"",G3012,E3012)</f>
        <v>18, 18, STANTLER</v>
      </c>
    </row>
    <row r="3013" customFormat="false" ht="12.75" hidden="false" customHeight="true" outlineLevel="0" collapsed="false">
      <c r="A3013" s="4" t="s">
        <v>2809</v>
      </c>
      <c r="B3013" s="5" t="n">
        <v>0.04</v>
      </c>
      <c r="C3013" s="1" t="str">
        <f aca="false">IF(B3013="NEW ROUTE",1,"")</f>
        <v/>
      </c>
      <c r="E3013" s="5" t="n">
        <v>0.04</v>
      </c>
      <c r="F3013" s="6" t="e">
        <f aca="false">VLOOKUP(E3013,$K$2:$L$426,2,FALSE())</f>
        <v>#N/A</v>
      </c>
      <c r="G3013" s="1" t="str">
        <f aca="false">IF(ISNA(F3013),"",F3013)</f>
        <v/>
      </c>
      <c r="H3013" s="5" t="n">
        <f aca="false">IF(G3013&lt;&gt;"",G3013,E3013)</f>
        <v>0.04</v>
      </c>
    </row>
    <row r="3014" customFormat="false" ht="12.75" hidden="false" customHeight="true" outlineLevel="0" collapsed="false">
      <c r="A3014" s="4" t="s">
        <v>3694</v>
      </c>
      <c r="B3014" s="5" t="s">
        <v>3694</v>
      </c>
      <c r="C3014" s="1" t="str">
        <f aca="false">IF(B3014="NEW ROUTE",1,"")</f>
        <v/>
      </c>
      <c r="E3014" s="5" t="s">
        <v>3694</v>
      </c>
      <c r="F3014" s="6" t="e">
        <f aca="false">VLOOKUP(E3014,$K$2:$L$426,2,FALSE())</f>
        <v>#N/A</v>
      </c>
      <c r="G3014" s="1" t="str">
        <f aca="false">IF(ISNA(F3014),"",F3014)</f>
        <v/>
      </c>
      <c r="H3014" s="5" t="str">
        <f aca="false">IF(G3014&lt;&gt;"",G3014,E3014)</f>
        <v>20, 20, STANTLER</v>
      </c>
    </row>
    <row r="3015" customFormat="false" ht="12.75" hidden="false" customHeight="true" outlineLevel="0" collapsed="false">
      <c r="A3015" s="4" t="s">
        <v>3695</v>
      </c>
      <c r="B3015" s="5" t="s">
        <v>3695</v>
      </c>
      <c r="C3015" s="1" t="str">
        <f aca="false">IF(B3015="NEW ROUTE",1,"")</f>
        <v/>
      </c>
      <c r="E3015" s="5" t="s">
        <v>3695</v>
      </c>
      <c r="F3015" s="6" t="e">
        <f aca="false">VLOOKUP(E3015,$K$2:$L$426,2,FALSE())</f>
        <v>#N/A</v>
      </c>
      <c r="G3015" s="1" t="str">
        <f aca="false">IF(ISNA(F3015),"",F3015)</f>
        <v/>
      </c>
      <c r="H3015" s="5" t="str">
        <f aca="false">IF(G3015&lt;&gt;"",G3015,E3015)</f>
        <v>26, 26, STANTLER</v>
      </c>
    </row>
    <row r="3016" customFormat="false" ht="12.75" hidden="false" customHeight="true" outlineLevel="0" collapsed="false">
      <c r="A3016" s="4" t="s">
        <v>2812</v>
      </c>
      <c r="B3016" s="5" t="n">
        <v>0.01</v>
      </c>
      <c r="C3016" s="1" t="str">
        <f aca="false">IF(B3016="NEW ROUTE",1,"")</f>
        <v/>
      </c>
      <c r="E3016" s="5" t="n">
        <v>0.01</v>
      </c>
      <c r="F3016" s="6" t="e">
        <f aca="false">VLOOKUP(E3016,$K$2:$L$426,2,FALSE())</f>
        <v>#N/A</v>
      </c>
      <c r="G3016" s="1" t="str">
        <f aca="false">IF(ISNA(F3016),"",F3016)</f>
        <v/>
      </c>
      <c r="H3016" s="5" t="n">
        <f aca="false">IF(G3016&lt;&gt;"",G3016,E3016)</f>
        <v>0.01</v>
      </c>
    </row>
    <row r="3017" customFormat="false" ht="12.75" hidden="false" customHeight="true" outlineLevel="0" collapsed="false">
      <c r="A3017" s="4" t="s">
        <v>3694</v>
      </c>
      <c r="B3017" s="5" t="s">
        <v>3694</v>
      </c>
      <c r="C3017" s="1" t="str">
        <f aca="false">IF(B3017="NEW ROUTE",1,"")</f>
        <v/>
      </c>
      <c r="E3017" s="5" t="s">
        <v>3694</v>
      </c>
      <c r="F3017" s="6" t="e">
        <f aca="false">VLOOKUP(E3017,$K$2:$L$426,2,FALSE())</f>
        <v>#N/A</v>
      </c>
      <c r="G3017" s="1" t="str">
        <f aca="false">IF(ISNA(F3017),"",F3017)</f>
        <v/>
      </c>
      <c r="H3017" s="5" t="str">
        <f aca="false">IF(G3017&lt;&gt;"",G3017,E3017)</f>
        <v>20, 20, STANTLER</v>
      </c>
    </row>
    <row r="3018" customFormat="false" ht="12.75" hidden="false" customHeight="true" outlineLevel="0" collapsed="false">
      <c r="A3018" s="4" t="s">
        <v>3695</v>
      </c>
      <c r="B3018" s="5" t="s">
        <v>3695</v>
      </c>
      <c r="C3018" s="1" t="str">
        <f aca="false">IF(B3018="NEW ROUTE",1,"")</f>
        <v/>
      </c>
      <c r="E3018" s="5" t="s">
        <v>3695</v>
      </c>
      <c r="F3018" s="6" t="e">
        <f aca="false">VLOOKUP(E3018,$K$2:$L$426,2,FALSE())</f>
        <v>#N/A</v>
      </c>
      <c r="G3018" s="1" t="str">
        <f aca="false">IF(ISNA(F3018),"",F3018)</f>
        <v/>
      </c>
      <c r="H3018" s="5" t="str">
        <f aca="false">IF(G3018&lt;&gt;"",G3018,E3018)</f>
        <v>26, 26, STANTLER</v>
      </c>
    </row>
    <row r="3019" customFormat="false" ht="12.75" hidden="false" customHeight="true" outlineLevel="0" collapsed="false">
      <c r="A3019" s="4" t="s">
        <v>2536</v>
      </c>
      <c r="B3019" s="5" t="s">
        <v>2536</v>
      </c>
      <c r="C3019" s="1" t="n">
        <f aca="false">IF(B3019="NEW ROUTE",1,"")</f>
        <v>1</v>
      </c>
      <c r="E3019" s="5" t="s">
        <v>2536</v>
      </c>
      <c r="F3019" s="6" t="e">
        <f aca="false">VLOOKUP(E3019,$K$2:$L$426,2,FALSE())</f>
        <v>#N/A</v>
      </c>
      <c r="G3019" s="1" t="str">
        <f aca="false">IF(ISNA(F3019),"",F3019)</f>
        <v/>
      </c>
      <c r="H3019" s="5" t="str">
        <f aca="false">IF(G3019&lt;&gt;"",G3019,E3019)</f>
        <v>NEW ROUTE</v>
      </c>
    </row>
    <row r="3020" customFormat="false" ht="12.75" hidden="false" customHeight="true" outlineLevel="0" collapsed="false">
      <c r="A3020" s="4" t="s">
        <v>256</v>
      </c>
      <c r="B3020" s="5" t="s">
        <v>256</v>
      </c>
      <c r="C3020" s="1" t="str">
        <f aca="false">IF(B3020="NEW ROUTE",1,"")</f>
        <v/>
      </c>
      <c r="E3020" s="5" t="s">
        <v>256</v>
      </c>
      <c r="F3020" s="6" t="str">
        <f aca="false">VLOOKUP(E3020,$K$2:$L$426,2,FALSE())</f>
        <v>Six Island Altering Cave</v>
      </c>
      <c r="G3020" s="1" t="str">
        <f aca="false">IF(ISNA(F3020),"",F3020)</f>
        <v>Six Island Altering Cave</v>
      </c>
      <c r="H3020" s="5" t="str">
        <f aca="false">IF(G3020&lt;&gt;"",G3020,E3020)</f>
        <v>Six Island Altering Cave</v>
      </c>
    </row>
    <row r="3021" customFormat="false" ht="12.75" hidden="false" customHeight="true" outlineLevel="0" collapsed="false">
      <c r="A3021" s="4" t="s">
        <v>2799</v>
      </c>
      <c r="B3021" s="5" t="n">
        <v>0.2</v>
      </c>
      <c r="C3021" s="1" t="str">
        <f aca="false">IF(B3021="NEW ROUTE",1,"")</f>
        <v/>
      </c>
      <c r="E3021" s="5" t="n">
        <v>0.2</v>
      </c>
      <c r="F3021" s="6" t="e">
        <f aca="false">VLOOKUP(E3021,$K$2:$L$426,2,FALSE())</f>
        <v>#N/A</v>
      </c>
      <c r="G3021" s="1" t="str">
        <f aca="false">IF(ISNA(F3021),"",F3021)</f>
        <v/>
      </c>
      <c r="H3021" s="5" t="n">
        <f aca="false">IF(G3021&lt;&gt;"",G3021,E3021)</f>
        <v>0.2</v>
      </c>
    </row>
    <row r="3022" customFormat="false" ht="12.75" hidden="false" customHeight="true" outlineLevel="0" collapsed="false">
      <c r="A3022" s="4" t="s">
        <v>2203</v>
      </c>
      <c r="B3022" s="5" t="s">
        <v>2203</v>
      </c>
      <c r="C3022" s="1" t="str">
        <f aca="false">IF(B3022="NEW ROUTE",1,"")</f>
        <v/>
      </c>
      <c r="E3022" s="5" t="s">
        <v>2203</v>
      </c>
      <c r="F3022" s="6" t="e">
        <f aca="false">VLOOKUP(E3022,$K$2:$L$426,2,FALSE())</f>
        <v>#N/A</v>
      </c>
      <c r="G3022" s="1" t="str">
        <f aca="false">IF(ISNA(F3022),"",F3022)</f>
        <v/>
      </c>
      <c r="H3022" s="5" t="str">
        <f aca="false">IF(G3022&lt;&gt;"",G3022,E3022)</f>
        <v>22, 22, SMEARGLE</v>
      </c>
    </row>
    <row r="3023" customFormat="false" ht="12.75" hidden="false" customHeight="true" outlineLevel="0" collapsed="false">
      <c r="A3023" s="4" t="s">
        <v>3699</v>
      </c>
      <c r="B3023" s="5" t="s">
        <v>3699</v>
      </c>
      <c r="C3023" s="1" t="str">
        <f aca="false">IF(B3023="NEW ROUTE",1,"")</f>
        <v/>
      </c>
      <c r="E3023" s="5" t="s">
        <v>3699</v>
      </c>
      <c r="F3023" s="6" t="e">
        <f aca="false">VLOOKUP(E3023,$K$2:$L$426,2,FALSE())</f>
        <v>#N/A</v>
      </c>
      <c r="G3023" s="1" t="str">
        <f aca="false">IF(ISNA(F3023),"",F3023)</f>
        <v/>
      </c>
      <c r="H3023" s="5" t="str">
        <f aca="false">IF(G3023&lt;&gt;"",G3023,E3023)</f>
        <v>24, 24, SMEARGLE</v>
      </c>
    </row>
    <row r="3024" customFormat="false" ht="12.75" hidden="false" customHeight="true" outlineLevel="0" collapsed="false">
      <c r="A3024" s="4" t="s">
        <v>2801</v>
      </c>
      <c r="B3024" s="5" t="n">
        <v>0.1</v>
      </c>
      <c r="C3024" s="1" t="str">
        <f aca="false">IF(B3024="NEW ROUTE",1,"")</f>
        <v/>
      </c>
      <c r="E3024" s="5" t="n">
        <v>0.1</v>
      </c>
      <c r="F3024" s="6" t="e">
        <f aca="false">VLOOKUP(E3024,$K$2:$L$426,2,FALSE())</f>
        <v>#N/A</v>
      </c>
      <c r="G3024" s="1" t="str">
        <f aca="false">IF(ISNA(F3024),"",F3024)</f>
        <v/>
      </c>
      <c r="H3024" s="5" t="n">
        <f aca="false">IF(G3024&lt;&gt;"",G3024,E3024)</f>
        <v>0.1</v>
      </c>
    </row>
    <row r="3025" customFormat="false" ht="12.75" hidden="false" customHeight="true" outlineLevel="0" collapsed="false">
      <c r="A3025" s="4" t="s">
        <v>3700</v>
      </c>
      <c r="B3025" s="5" t="s">
        <v>3700</v>
      </c>
      <c r="C3025" s="1" t="str">
        <f aca="false">IF(B3025="NEW ROUTE",1,"")</f>
        <v/>
      </c>
      <c r="E3025" s="5" t="s">
        <v>3700</v>
      </c>
      <c r="F3025" s="6" t="e">
        <f aca="false">VLOOKUP(E3025,$K$2:$L$426,2,FALSE())</f>
        <v>#N/A</v>
      </c>
      <c r="G3025" s="1" t="str">
        <f aca="false">IF(ISNA(F3025),"",F3025)</f>
        <v/>
      </c>
      <c r="H3025" s="5" t="str">
        <f aca="false">IF(G3025&lt;&gt;"",G3025,E3025)</f>
        <v>20, 20, SMEARGLE</v>
      </c>
    </row>
    <row r="3026" customFormat="false" ht="12.75" hidden="false" customHeight="true" outlineLevel="0" collapsed="false">
      <c r="A3026" s="4" t="s">
        <v>3701</v>
      </c>
      <c r="B3026" s="5" t="s">
        <v>3701</v>
      </c>
      <c r="C3026" s="1" t="str">
        <f aca="false">IF(B3026="NEW ROUTE",1,"")</f>
        <v/>
      </c>
      <c r="E3026" s="5" t="s">
        <v>3701</v>
      </c>
      <c r="F3026" s="6" t="e">
        <f aca="false">VLOOKUP(E3026,$K$2:$L$426,2,FALSE())</f>
        <v>#N/A</v>
      </c>
      <c r="G3026" s="1" t="str">
        <f aca="false">IF(ISNA(F3026),"",F3026)</f>
        <v/>
      </c>
      <c r="H3026" s="5" t="str">
        <f aca="false">IF(G3026&lt;&gt;"",G3026,E3026)</f>
        <v>26, 26, SMEARGLE</v>
      </c>
    </row>
    <row r="3027" customFormat="false" ht="12.75" hidden="false" customHeight="true" outlineLevel="0" collapsed="false">
      <c r="A3027" s="4" t="s">
        <v>2203</v>
      </c>
      <c r="B3027" s="5" t="s">
        <v>2203</v>
      </c>
      <c r="C3027" s="1" t="str">
        <f aca="false">IF(B3027="NEW ROUTE",1,"")</f>
        <v/>
      </c>
      <c r="E3027" s="5" t="s">
        <v>2203</v>
      </c>
      <c r="F3027" s="6" t="e">
        <f aca="false">VLOOKUP(E3027,$K$2:$L$426,2,FALSE())</f>
        <v>#N/A</v>
      </c>
      <c r="G3027" s="1" t="str">
        <f aca="false">IF(ISNA(F3027),"",F3027)</f>
        <v/>
      </c>
      <c r="H3027" s="5" t="str">
        <f aca="false">IF(G3027&lt;&gt;"",G3027,E3027)</f>
        <v>22, 22, SMEARGLE</v>
      </c>
    </row>
    <row r="3028" customFormat="false" ht="12.75" hidden="false" customHeight="true" outlineLevel="0" collapsed="false">
      <c r="A3028" s="4" t="s">
        <v>3699</v>
      </c>
      <c r="B3028" s="5" t="s">
        <v>3699</v>
      </c>
      <c r="C3028" s="1" t="str">
        <f aca="false">IF(B3028="NEW ROUTE",1,"")</f>
        <v/>
      </c>
      <c r="E3028" s="5" t="s">
        <v>3699</v>
      </c>
      <c r="F3028" s="6" t="e">
        <f aca="false">VLOOKUP(E3028,$K$2:$L$426,2,FALSE())</f>
        <v>#N/A</v>
      </c>
      <c r="G3028" s="1" t="str">
        <f aca="false">IF(ISNA(F3028),"",F3028)</f>
        <v/>
      </c>
      <c r="H3028" s="5" t="str">
        <f aca="false">IF(G3028&lt;&gt;"",G3028,E3028)</f>
        <v>24, 24, SMEARGLE</v>
      </c>
    </row>
    <row r="3029" customFormat="false" ht="12.75" hidden="false" customHeight="true" outlineLevel="0" collapsed="false">
      <c r="A3029" s="4" t="s">
        <v>2806</v>
      </c>
      <c r="B3029" s="5" t="n">
        <v>0.05</v>
      </c>
      <c r="C3029" s="1" t="str">
        <f aca="false">IF(B3029="NEW ROUTE",1,"")</f>
        <v/>
      </c>
      <c r="E3029" s="5" t="n">
        <v>0.05</v>
      </c>
      <c r="F3029" s="6" t="e">
        <f aca="false">VLOOKUP(E3029,$K$2:$L$426,2,FALSE())</f>
        <v>#N/A</v>
      </c>
      <c r="G3029" s="1" t="str">
        <f aca="false">IF(ISNA(F3029),"",F3029)</f>
        <v/>
      </c>
      <c r="H3029" s="5" t="n">
        <f aca="false">IF(G3029&lt;&gt;"",G3029,E3029)</f>
        <v>0.05</v>
      </c>
    </row>
    <row r="3030" customFormat="false" ht="12.75" hidden="false" customHeight="true" outlineLevel="0" collapsed="false">
      <c r="A3030" s="4" t="s">
        <v>3702</v>
      </c>
      <c r="B3030" s="5" t="s">
        <v>3702</v>
      </c>
      <c r="C3030" s="1" t="str">
        <f aca="false">IF(B3030="NEW ROUTE",1,"")</f>
        <v/>
      </c>
      <c r="E3030" s="5" t="s">
        <v>3702</v>
      </c>
      <c r="F3030" s="6" t="e">
        <f aca="false">VLOOKUP(E3030,$K$2:$L$426,2,FALSE())</f>
        <v>#N/A</v>
      </c>
      <c r="G3030" s="1" t="str">
        <f aca="false">IF(ISNA(F3030),"",F3030)</f>
        <v/>
      </c>
      <c r="H3030" s="5" t="str">
        <f aca="false">IF(G3030&lt;&gt;"",G3030,E3030)</f>
        <v>28, 28, SMEARGLE</v>
      </c>
    </row>
    <row r="3031" customFormat="false" ht="12.75" hidden="false" customHeight="true" outlineLevel="0" collapsed="false">
      <c r="A3031" s="4" t="s">
        <v>3703</v>
      </c>
      <c r="B3031" s="5" t="s">
        <v>3703</v>
      </c>
      <c r="C3031" s="1" t="str">
        <f aca="false">IF(B3031="NEW ROUTE",1,"")</f>
        <v/>
      </c>
      <c r="E3031" s="5" t="s">
        <v>3703</v>
      </c>
      <c r="F3031" s="6" t="e">
        <f aca="false">VLOOKUP(E3031,$K$2:$L$426,2,FALSE())</f>
        <v>#N/A</v>
      </c>
      <c r="G3031" s="1" t="str">
        <f aca="false">IF(ISNA(F3031),"",F3031)</f>
        <v/>
      </c>
      <c r="H3031" s="5" t="str">
        <f aca="false">IF(G3031&lt;&gt;"",G3031,E3031)</f>
        <v>18, 18, SMEARGLE</v>
      </c>
    </row>
    <row r="3032" customFormat="false" ht="12.75" hidden="false" customHeight="true" outlineLevel="0" collapsed="false">
      <c r="A3032" s="4" t="s">
        <v>2809</v>
      </c>
      <c r="B3032" s="5" t="n">
        <v>0.04</v>
      </c>
      <c r="C3032" s="1" t="str">
        <f aca="false">IF(B3032="NEW ROUTE",1,"")</f>
        <v/>
      </c>
      <c r="E3032" s="5" t="n">
        <v>0.04</v>
      </c>
      <c r="F3032" s="6" t="e">
        <f aca="false">VLOOKUP(E3032,$K$2:$L$426,2,FALSE())</f>
        <v>#N/A</v>
      </c>
      <c r="G3032" s="1" t="str">
        <f aca="false">IF(ISNA(F3032),"",F3032)</f>
        <v/>
      </c>
      <c r="H3032" s="5" t="n">
        <f aca="false">IF(G3032&lt;&gt;"",G3032,E3032)</f>
        <v>0.04</v>
      </c>
    </row>
    <row r="3033" customFormat="false" ht="12.75" hidden="false" customHeight="true" outlineLevel="0" collapsed="false">
      <c r="A3033" s="4" t="s">
        <v>3700</v>
      </c>
      <c r="B3033" s="5" t="s">
        <v>3700</v>
      </c>
      <c r="C3033" s="1" t="str">
        <f aca="false">IF(B3033="NEW ROUTE",1,"")</f>
        <v/>
      </c>
      <c r="E3033" s="5" t="s">
        <v>3700</v>
      </c>
      <c r="F3033" s="6" t="e">
        <f aca="false">VLOOKUP(E3033,$K$2:$L$426,2,FALSE())</f>
        <v>#N/A</v>
      </c>
      <c r="G3033" s="1" t="str">
        <f aca="false">IF(ISNA(F3033),"",F3033)</f>
        <v/>
      </c>
      <c r="H3033" s="5" t="str">
        <f aca="false">IF(G3033&lt;&gt;"",G3033,E3033)</f>
        <v>20, 20, SMEARGLE</v>
      </c>
    </row>
    <row r="3034" customFormat="false" ht="12.75" hidden="false" customHeight="true" outlineLevel="0" collapsed="false">
      <c r="A3034" s="4" t="s">
        <v>3701</v>
      </c>
      <c r="B3034" s="5" t="s">
        <v>3701</v>
      </c>
      <c r="C3034" s="1" t="str">
        <f aca="false">IF(B3034="NEW ROUTE",1,"")</f>
        <v/>
      </c>
      <c r="E3034" s="5" t="s">
        <v>3701</v>
      </c>
      <c r="F3034" s="6" t="e">
        <f aca="false">VLOOKUP(E3034,$K$2:$L$426,2,FALSE())</f>
        <v>#N/A</v>
      </c>
      <c r="G3034" s="1" t="str">
        <f aca="false">IF(ISNA(F3034),"",F3034)</f>
        <v/>
      </c>
      <c r="H3034" s="5" t="str">
        <f aca="false">IF(G3034&lt;&gt;"",G3034,E3034)</f>
        <v>26, 26, SMEARGLE</v>
      </c>
    </row>
    <row r="3035" customFormat="false" ht="12.75" hidden="false" customHeight="true" outlineLevel="0" collapsed="false">
      <c r="A3035" s="4" t="s">
        <v>2812</v>
      </c>
      <c r="B3035" s="5" t="n">
        <v>0.01</v>
      </c>
      <c r="C3035" s="1" t="str">
        <f aca="false">IF(B3035="NEW ROUTE",1,"")</f>
        <v/>
      </c>
      <c r="E3035" s="5" t="n">
        <v>0.01</v>
      </c>
      <c r="F3035" s="6" t="e">
        <f aca="false">VLOOKUP(E3035,$K$2:$L$426,2,FALSE())</f>
        <v>#N/A</v>
      </c>
      <c r="G3035" s="1" t="str">
        <f aca="false">IF(ISNA(F3035),"",F3035)</f>
        <v/>
      </c>
      <c r="H3035" s="5" t="n">
        <f aca="false">IF(G3035&lt;&gt;"",G3035,E3035)</f>
        <v>0.01</v>
      </c>
    </row>
    <row r="3036" customFormat="false" ht="12.75" hidden="false" customHeight="true" outlineLevel="0" collapsed="false">
      <c r="A3036" s="4" t="s">
        <v>3700</v>
      </c>
      <c r="B3036" s="5" t="s">
        <v>3700</v>
      </c>
      <c r="C3036" s="1" t="str">
        <f aca="false">IF(B3036="NEW ROUTE",1,"")</f>
        <v/>
      </c>
      <c r="E3036" s="5" t="s">
        <v>3700</v>
      </c>
      <c r="F3036" s="6" t="e">
        <f aca="false">VLOOKUP(E3036,$K$2:$L$426,2,FALSE())</f>
        <v>#N/A</v>
      </c>
      <c r="G3036" s="1" t="str">
        <f aca="false">IF(ISNA(F3036),"",F3036)</f>
        <v/>
      </c>
      <c r="H3036" s="5" t="str">
        <f aca="false">IF(G3036&lt;&gt;"",G3036,E3036)</f>
        <v>20, 20, SMEARGLE</v>
      </c>
    </row>
    <row r="3037" customFormat="false" ht="12.75" hidden="false" customHeight="true" outlineLevel="0" collapsed="false">
      <c r="A3037" s="4" t="s">
        <v>3701</v>
      </c>
      <c r="B3037" s="5" t="s">
        <v>3701</v>
      </c>
      <c r="C3037" s="1" t="str">
        <f aca="false">IF(B3037="NEW ROUTE",1,"")</f>
        <v/>
      </c>
      <c r="E3037" s="5" t="s">
        <v>3701</v>
      </c>
      <c r="F3037" s="6" t="e">
        <f aca="false">VLOOKUP(E3037,$K$2:$L$426,2,FALSE())</f>
        <v>#N/A</v>
      </c>
      <c r="G3037" s="1" t="str">
        <f aca="false">IF(ISNA(F3037),"",F3037)</f>
        <v/>
      </c>
      <c r="H3037" s="5" t="str">
        <f aca="false">IF(G3037&lt;&gt;"",G3037,E3037)</f>
        <v>26, 26, SMEARGLE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0" width="36.38"/>
    <col collapsed="false" customWidth="true" hidden="false" outlineLevel="0" max="3" min="3" style="0" width="8.38"/>
    <col collapsed="false" customWidth="true" hidden="false" outlineLevel="0" max="4" min="4" style="0" width="16.12"/>
    <col collapsed="false" customWidth="true" hidden="false" outlineLevel="0" max="5" min="5" style="0" width="13.75"/>
    <col collapsed="false" customWidth="true" hidden="false" outlineLevel="0" max="6" min="6" style="0" width="8.63"/>
    <col collapsed="false" customWidth="true" hidden="false" outlineLevel="0" max="7" min="7" style="0" width="36.38"/>
    <col collapsed="false" customWidth="true" hidden="false" outlineLevel="0" max="8" min="8" style="0" width="8.63"/>
    <col collapsed="false" customWidth="true" hidden="false" outlineLevel="0" max="9" min="9" style="0" width="36.38"/>
  </cols>
  <sheetData>
    <row r="1" customFormat="false" ht="12.75" hidden="false" customHeight="true" outlineLevel="0" collapsed="false">
      <c r="A1" s="5" t="s">
        <v>2536</v>
      </c>
      <c r="B1" s="7" t="s">
        <v>2536</v>
      </c>
      <c r="C1" s="7"/>
      <c r="D1" s="7"/>
      <c r="E1" s="7"/>
      <c r="G1" s="5" t="str">
        <f aca="false">IF(ISNUMBER(FIND("old rod:",A1)),"old rod:",A1)</f>
        <v>NEW ROUTE</v>
      </c>
      <c r="I1" s="5" t="s">
        <v>2536</v>
      </c>
    </row>
    <row r="2" customFormat="false" ht="12.75" hidden="false" customHeight="true" outlineLevel="0" collapsed="false">
      <c r="A2" s="5" t="s">
        <v>13</v>
      </c>
      <c r="B2" s="7" t="s">
        <v>13</v>
      </c>
      <c r="C2" s="7"/>
      <c r="D2" s="7"/>
      <c r="E2" s="7"/>
      <c r="G2" s="5" t="str">
        <f aca="false">IF(ISNUMBER(FIND("old rod:",A2)),"old rod:",A2)</f>
        <v>Viridian Forest</v>
      </c>
      <c r="I2" s="5" t="s">
        <v>13</v>
      </c>
    </row>
    <row r="3" customFormat="false" ht="12.75" hidden="false" customHeight="true" outlineLevel="0" collapsed="false">
      <c r="A3" s="5" t="n">
        <v>0.2</v>
      </c>
      <c r="B3" s="5" t="n">
        <v>0.2</v>
      </c>
      <c r="C3" s="7"/>
      <c r="D3" s="7"/>
      <c r="E3" s="7"/>
      <c r="G3" s="5" t="n">
        <f aca="false">IF(ISNUMBER(FIND("old rod:",A3)),"old rod:",A3)</f>
        <v>0.2</v>
      </c>
      <c r="I3" s="5" t="n">
        <v>0.2</v>
      </c>
    </row>
    <row r="4" customFormat="false" ht="12.75" hidden="false" customHeight="true" outlineLevel="0" collapsed="false">
      <c r="A4" s="5" t="s">
        <v>1221</v>
      </c>
      <c r="B4" s="7" t="n">
        <v>4</v>
      </c>
      <c r="C4" s="7" t="n">
        <v>6</v>
      </c>
      <c r="D4" s="7" t="s">
        <v>3729</v>
      </c>
      <c r="E4" s="7"/>
      <c r="G4" s="5" t="str">
        <f aca="false">IF(ISNUMBER(FIND("old rod:",A4)),"old rod:",A4)</f>
        <v>4, 6, CATERPIE</v>
      </c>
      <c r="I4" s="5" t="s">
        <v>1221</v>
      </c>
    </row>
    <row r="5" customFormat="false" ht="12.75" hidden="false" customHeight="true" outlineLevel="0" collapsed="false">
      <c r="A5" s="5" t="s">
        <v>2800</v>
      </c>
      <c r="B5" s="7" t="n">
        <v>4</v>
      </c>
      <c r="C5" s="7" t="n">
        <v>6</v>
      </c>
      <c r="D5" s="7" t="s">
        <v>3730</v>
      </c>
      <c r="E5" s="7"/>
      <c r="G5" s="5" t="str">
        <f aca="false">IF(ISNUMBER(FIND("old rod:",A5)),"old rod:",A5)</f>
        <v>4, 6, WEEDLE</v>
      </c>
      <c r="I5" s="5" t="s">
        <v>2800</v>
      </c>
    </row>
    <row r="6" customFormat="false" ht="12.75" hidden="false" customHeight="true" outlineLevel="0" collapsed="false">
      <c r="A6" s="5" t="n">
        <v>0.1</v>
      </c>
      <c r="B6" s="5" t="n">
        <v>0.1</v>
      </c>
      <c r="C6" s="7"/>
      <c r="D6" s="7"/>
      <c r="E6" s="7"/>
      <c r="G6" s="5" t="n">
        <f aca="false">IF(ISNUMBER(FIND("old rod:",A6)),"old rod:",A6)</f>
        <v>0.1</v>
      </c>
      <c r="I6" s="5" t="n">
        <v>0.1</v>
      </c>
    </row>
    <row r="7" customFormat="false" ht="12.75" hidden="false" customHeight="true" outlineLevel="0" collapsed="false">
      <c r="A7" s="5" t="s">
        <v>2802</v>
      </c>
      <c r="B7" s="7" t="n">
        <v>5</v>
      </c>
      <c r="C7" s="7" t="n">
        <v>7</v>
      </c>
      <c r="D7" s="7" t="s">
        <v>3731</v>
      </c>
      <c r="E7" s="7"/>
      <c r="G7" s="5" t="str">
        <f aca="false">IF(ISNUMBER(FIND("old rod:",A7)),"old rod:",A7)</f>
        <v>5, 7, ODDISH</v>
      </c>
      <c r="I7" s="5" t="s">
        <v>2802</v>
      </c>
    </row>
    <row r="8" customFormat="false" ht="12.75" hidden="false" customHeight="true" outlineLevel="0" collapsed="false">
      <c r="A8" s="5" t="s">
        <v>2803</v>
      </c>
      <c r="B8" s="7" t="n">
        <v>7</v>
      </c>
      <c r="C8" s="7" t="n">
        <v>9</v>
      </c>
      <c r="D8" s="7" t="s">
        <v>3732</v>
      </c>
      <c r="E8" s="7"/>
      <c r="G8" s="5" t="str">
        <f aca="false">IF(ISNUMBER(FIND("old rod:",A8)),"old rod:",A8)</f>
        <v>7, 9, METAPOD</v>
      </c>
      <c r="I8" s="5" t="s">
        <v>2803</v>
      </c>
    </row>
    <row r="9" customFormat="false" ht="12.75" hidden="false" customHeight="true" outlineLevel="0" collapsed="false">
      <c r="A9" s="5" t="s">
        <v>2804</v>
      </c>
      <c r="B9" s="7" t="n">
        <v>7</v>
      </c>
      <c r="C9" s="7" t="n">
        <v>9</v>
      </c>
      <c r="D9" s="7" t="s">
        <v>3733</v>
      </c>
      <c r="E9" s="7"/>
      <c r="G9" s="5" t="str">
        <f aca="false">IF(ISNUMBER(FIND("old rod:",A9)),"old rod:",A9)</f>
        <v>7, 9, KAKUNA</v>
      </c>
      <c r="I9" s="5" t="s">
        <v>2804</v>
      </c>
    </row>
    <row r="10" customFormat="false" ht="12.75" hidden="false" customHeight="true" outlineLevel="0" collapsed="false">
      <c r="A10" s="5" t="s">
        <v>2805</v>
      </c>
      <c r="B10" s="7" t="n">
        <v>5</v>
      </c>
      <c r="C10" s="7" t="n">
        <v>7</v>
      </c>
      <c r="D10" s="7" t="s">
        <v>3734</v>
      </c>
      <c r="E10" s="7"/>
      <c r="G10" s="5" t="str">
        <f aca="false">IF(ISNUMBER(FIND("old rod:",A10)),"old rod:",A10)</f>
        <v>5, 7, PIKACHU</v>
      </c>
      <c r="I10" s="5" t="s">
        <v>2805</v>
      </c>
    </row>
    <row r="11" customFormat="false" ht="12.75" hidden="false" customHeight="true" outlineLevel="0" collapsed="false">
      <c r="A11" s="5" t="n">
        <v>0.05</v>
      </c>
      <c r="B11" s="5" t="n">
        <v>0.05</v>
      </c>
      <c r="C11" s="7"/>
      <c r="D11" s="7"/>
      <c r="E11" s="7"/>
      <c r="G11" s="5" t="n">
        <f aca="false">IF(ISNUMBER(FIND("old rod:",A11)),"old rod:",A11)</f>
        <v>0.05</v>
      </c>
      <c r="I11" s="5" t="n">
        <v>0.05</v>
      </c>
    </row>
    <row r="12" customFormat="false" ht="12.75" hidden="false" customHeight="true" outlineLevel="0" collapsed="false">
      <c r="A12" s="5" t="s">
        <v>2807</v>
      </c>
      <c r="B12" s="7" t="n">
        <v>5</v>
      </c>
      <c r="C12" s="7" t="n">
        <v>7</v>
      </c>
      <c r="D12" s="7" t="s">
        <v>3735</v>
      </c>
      <c r="E12" s="7"/>
      <c r="G12" s="5" t="str">
        <f aca="false">IF(ISNUMBER(FIND("old rod:",A12)),"old rod:",A12)</f>
        <v>5, 7, MANKEY</v>
      </c>
      <c r="I12" s="5" t="s">
        <v>2807</v>
      </c>
    </row>
    <row r="13" customFormat="false" ht="12.75" hidden="false" customHeight="true" outlineLevel="0" collapsed="false">
      <c r="A13" s="5" t="s">
        <v>2808</v>
      </c>
      <c r="B13" s="7" t="n">
        <v>9</v>
      </c>
      <c r="C13" s="7" t="n">
        <v>10</v>
      </c>
      <c r="D13" s="7" t="s">
        <v>3736</v>
      </c>
      <c r="E13" s="7"/>
      <c r="G13" s="5" t="str">
        <f aca="false">IF(ISNUMBER(FIND("old rod:",A13)),"old rod:",A13)</f>
        <v>9, 10, BUTTERFREE</v>
      </c>
      <c r="I13" s="5" t="s">
        <v>2808</v>
      </c>
    </row>
    <row r="14" customFormat="false" ht="12.75" hidden="false" customHeight="true" outlineLevel="0" collapsed="false">
      <c r="A14" s="5" t="n">
        <v>0.04</v>
      </c>
      <c r="B14" s="5" t="n">
        <v>0.04</v>
      </c>
      <c r="C14" s="7"/>
      <c r="D14" s="7"/>
      <c r="E14" s="7"/>
      <c r="G14" s="5" t="n">
        <f aca="false">IF(ISNUMBER(FIND("old rod:",A14)),"old rod:",A14)</f>
        <v>0.04</v>
      </c>
      <c r="I14" s="5" t="n">
        <v>0.04</v>
      </c>
    </row>
    <row r="15" customFormat="false" ht="12.75" hidden="false" customHeight="true" outlineLevel="0" collapsed="false">
      <c r="A15" s="5" t="s">
        <v>2810</v>
      </c>
      <c r="B15" s="7" t="n">
        <v>9</v>
      </c>
      <c r="C15" s="7" t="n">
        <v>10</v>
      </c>
      <c r="D15" s="7" t="s">
        <v>3737</v>
      </c>
      <c r="E15" s="7"/>
      <c r="G15" s="5" t="str">
        <f aca="false">IF(ISNUMBER(FIND("old rod:",A15)),"old rod:",A15)</f>
        <v>9, 10, BEEDRILL</v>
      </c>
      <c r="I15" s="5" t="s">
        <v>2810</v>
      </c>
    </row>
    <row r="16" customFormat="false" ht="12.75" hidden="false" customHeight="true" outlineLevel="0" collapsed="false">
      <c r="A16" s="5" t="s">
        <v>2811</v>
      </c>
      <c r="B16" s="7" t="n">
        <v>6</v>
      </c>
      <c r="C16" s="7" t="n">
        <v>9</v>
      </c>
      <c r="D16" s="7" t="s">
        <v>3738</v>
      </c>
      <c r="E16" s="7"/>
      <c r="G16" s="5" t="str">
        <f aca="false">IF(ISNUMBER(FIND("old rod:",A16)),"old rod:",A16)</f>
        <v>6, 9, TANGELA</v>
      </c>
      <c r="I16" s="5" t="s">
        <v>2811</v>
      </c>
    </row>
    <row r="17" customFormat="false" ht="12.75" hidden="false" customHeight="true" outlineLevel="0" collapsed="false">
      <c r="A17" s="5" t="n">
        <v>0.01</v>
      </c>
      <c r="B17" s="5" t="n">
        <v>0.01</v>
      </c>
      <c r="C17" s="7"/>
      <c r="D17" s="7"/>
      <c r="E17" s="7"/>
      <c r="G17" s="5" t="n">
        <f aca="false">IF(ISNUMBER(FIND("old rod:",A17)),"old rod:",A17)</f>
        <v>0.01</v>
      </c>
      <c r="I17" s="5" t="n">
        <v>0.01</v>
      </c>
    </row>
    <row r="18" customFormat="false" ht="12.75" hidden="false" customHeight="true" outlineLevel="0" collapsed="false">
      <c r="A18" s="5" t="s">
        <v>2813</v>
      </c>
      <c r="B18" s="7" t="n">
        <v>11</v>
      </c>
      <c r="C18" s="7" t="n">
        <v>11</v>
      </c>
      <c r="D18" s="7" t="s">
        <v>3737</v>
      </c>
      <c r="E18" s="7"/>
      <c r="G18" s="5" t="str">
        <f aca="false">IF(ISNUMBER(FIND("old rod:",A18)),"old rod:",A18)</f>
        <v>11, 11, BEEDRILL</v>
      </c>
      <c r="I18" s="5" t="s">
        <v>2813</v>
      </c>
    </row>
    <row r="19" customFormat="false" ht="12.75" hidden="false" customHeight="true" outlineLevel="0" collapsed="false">
      <c r="A19" s="5" t="s">
        <v>3705</v>
      </c>
      <c r="B19" s="7" t="n">
        <v>10</v>
      </c>
      <c r="C19" s="7" t="n">
        <v>10</v>
      </c>
      <c r="D19" s="7" t="s">
        <v>3738</v>
      </c>
      <c r="E19" s="7"/>
      <c r="G19" s="5" t="str">
        <f aca="false">IF(ISNUMBER(FIND("old rod:",A19)),"old rod:",A19)</f>
        <v>10, 10, TANGELA</v>
      </c>
      <c r="I19" s="5" t="s">
        <v>3705</v>
      </c>
    </row>
    <row r="20" customFormat="false" ht="12.75" hidden="false" customHeight="true" outlineLevel="0" collapsed="false">
      <c r="A20" s="5" t="s">
        <v>2536</v>
      </c>
      <c r="B20" s="7" t="s">
        <v>2536</v>
      </c>
      <c r="C20" s="7"/>
      <c r="D20" s="7"/>
      <c r="E20" s="7"/>
      <c r="G20" s="5" t="str">
        <f aca="false">IF(ISNUMBER(FIND("old rod:",A20)),"old rod:",A20)</f>
        <v>NEW ROUTE</v>
      </c>
      <c r="I20" s="5" t="s">
        <v>2536</v>
      </c>
    </row>
    <row r="21" customFormat="false" ht="12.75" hidden="false" customHeight="true" outlineLevel="0" collapsed="false">
      <c r="A21" s="5" t="s">
        <v>15</v>
      </c>
      <c r="B21" s="7" t="s">
        <v>15</v>
      </c>
      <c r="C21" s="7"/>
      <c r="D21" s="7"/>
      <c r="E21" s="7"/>
      <c r="G21" s="5" t="str">
        <f aca="false">IF(ISNUMBER(FIND("old rod:",A21)),"old rod:",A21)</f>
        <v>Mt Moon 1F</v>
      </c>
      <c r="I21" s="5" t="s">
        <v>15</v>
      </c>
    </row>
    <row r="22" customFormat="false" ht="12.75" hidden="false" customHeight="true" outlineLevel="0" collapsed="false">
      <c r="A22" s="5" t="n">
        <v>0.2</v>
      </c>
      <c r="B22" s="5" t="n">
        <v>0.2</v>
      </c>
      <c r="C22" s="7"/>
      <c r="D22" s="7"/>
      <c r="E22" s="7"/>
      <c r="G22" s="5" t="n">
        <f aca="false">IF(ISNUMBER(FIND("old rod:",A22)),"old rod:",A22)</f>
        <v>0.2</v>
      </c>
      <c r="I22" s="5" t="n">
        <v>0.2</v>
      </c>
    </row>
    <row r="23" customFormat="false" ht="12.75" hidden="false" customHeight="true" outlineLevel="0" collapsed="false">
      <c r="A23" s="5" t="s">
        <v>1234</v>
      </c>
      <c r="B23" s="7" t="n">
        <v>9</v>
      </c>
      <c r="C23" s="7" t="n">
        <v>11</v>
      </c>
      <c r="D23" s="7" t="s">
        <v>3739</v>
      </c>
      <c r="E23" s="7"/>
      <c r="G23" s="5" t="str">
        <f aca="false">IF(ISNUMBER(FIND("old rod:",A23)),"old rod:",A23)</f>
        <v>9, 11, ZUBAT</v>
      </c>
      <c r="I23" s="5" t="s">
        <v>1234</v>
      </c>
    </row>
    <row r="24" customFormat="false" ht="12.75" hidden="false" customHeight="true" outlineLevel="0" collapsed="false">
      <c r="A24" s="5" t="s">
        <v>1234</v>
      </c>
      <c r="B24" s="7" t="n">
        <v>9</v>
      </c>
      <c r="C24" s="7" t="n">
        <v>11</v>
      </c>
      <c r="D24" s="7" t="s">
        <v>3739</v>
      </c>
      <c r="E24" s="7"/>
      <c r="G24" s="5" t="str">
        <f aca="false">IF(ISNUMBER(FIND("old rod:",A24)),"old rod:",A24)</f>
        <v>9, 11, ZUBAT</v>
      </c>
      <c r="I24" s="5" t="s">
        <v>1234</v>
      </c>
    </row>
    <row r="25" customFormat="false" ht="12.75" hidden="false" customHeight="true" outlineLevel="0" collapsed="false">
      <c r="A25" s="5" t="n">
        <v>0.1</v>
      </c>
      <c r="B25" s="5" t="n">
        <v>0.1</v>
      </c>
      <c r="C25" s="7"/>
      <c r="D25" s="7"/>
      <c r="E25" s="7"/>
      <c r="G25" s="5" t="n">
        <f aca="false">IF(ISNUMBER(FIND("old rod:",A25)),"old rod:",A25)</f>
        <v>0.1</v>
      </c>
      <c r="I25" s="5" t="n">
        <v>0.1</v>
      </c>
    </row>
    <row r="26" customFormat="false" ht="12.75" hidden="false" customHeight="true" outlineLevel="0" collapsed="false">
      <c r="A26" s="5" t="s">
        <v>1243</v>
      </c>
      <c r="B26" s="7" t="n">
        <v>10</v>
      </c>
      <c r="C26" s="7" t="n">
        <v>12</v>
      </c>
      <c r="D26" s="7" t="s">
        <v>3739</v>
      </c>
      <c r="E26" s="7"/>
      <c r="G26" s="5" t="str">
        <f aca="false">IF(ISNUMBER(FIND("old rod:",A26)),"old rod:",A26)</f>
        <v>10, 12, ZUBAT</v>
      </c>
      <c r="I26" s="5" t="s">
        <v>1243</v>
      </c>
    </row>
    <row r="27" customFormat="false" ht="12.75" hidden="false" customHeight="true" outlineLevel="0" collapsed="false">
      <c r="A27" s="5" t="s">
        <v>1243</v>
      </c>
      <c r="B27" s="7" t="n">
        <v>10</v>
      </c>
      <c r="C27" s="7" t="n">
        <v>12</v>
      </c>
      <c r="D27" s="7" t="s">
        <v>3739</v>
      </c>
      <c r="E27" s="7"/>
      <c r="G27" s="5" t="str">
        <f aca="false">IF(ISNUMBER(FIND("old rod:",A27)),"old rod:",A27)</f>
        <v>10, 12, ZUBAT</v>
      </c>
      <c r="I27" s="5" t="s">
        <v>1243</v>
      </c>
    </row>
    <row r="28" customFormat="false" ht="12.75" hidden="false" customHeight="true" outlineLevel="0" collapsed="false">
      <c r="A28" s="5" t="s">
        <v>2817</v>
      </c>
      <c r="B28" s="7" t="n">
        <v>10</v>
      </c>
      <c r="C28" s="7" t="n">
        <v>12</v>
      </c>
      <c r="D28" s="7" t="s">
        <v>3740</v>
      </c>
      <c r="E28" s="7"/>
      <c r="G28" s="5" t="str">
        <f aca="false">IF(ISNUMBER(FIND("old rod:",A28)),"old rod:",A28)</f>
        <v>10, 12, GEODUDE</v>
      </c>
      <c r="I28" s="5" t="s">
        <v>2817</v>
      </c>
    </row>
    <row r="29" customFormat="false" ht="12.75" hidden="false" customHeight="true" outlineLevel="0" collapsed="false">
      <c r="A29" s="5" t="s">
        <v>2817</v>
      </c>
      <c r="B29" s="7" t="n">
        <v>10</v>
      </c>
      <c r="C29" s="7" t="n">
        <v>12</v>
      </c>
      <c r="D29" s="7" t="s">
        <v>3740</v>
      </c>
      <c r="E29" s="7"/>
      <c r="G29" s="5" t="str">
        <f aca="false">IF(ISNUMBER(FIND("old rod:",A29)),"old rod:",A29)</f>
        <v>10, 12, GEODUDE</v>
      </c>
      <c r="I29" s="5" t="s">
        <v>2817</v>
      </c>
    </row>
    <row r="30" customFormat="false" ht="12.75" hidden="false" customHeight="true" outlineLevel="0" collapsed="false">
      <c r="A30" s="5" t="n">
        <v>0.05</v>
      </c>
      <c r="B30" s="5" t="n">
        <v>0.05</v>
      </c>
      <c r="C30" s="7"/>
      <c r="D30" s="7"/>
      <c r="E30" s="7"/>
      <c r="G30" s="5" t="n">
        <f aca="false">IF(ISNUMBER(FIND("old rod:",A30)),"old rod:",A30)</f>
        <v>0.05</v>
      </c>
      <c r="I30" s="5" t="n">
        <v>0.05</v>
      </c>
    </row>
    <row r="31" customFormat="false" ht="12.75" hidden="false" customHeight="true" outlineLevel="0" collapsed="false">
      <c r="A31" s="5" t="s">
        <v>2818</v>
      </c>
      <c r="B31" s="7" t="n">
        <v>11</v>
      </c>
      <c r="C31" s="7" t="n">
        <v>11</v>
      </c>
      <c r="D31" s="7" t="s">
        <v>3741</v>
      </c>
      <c r="E31" s="7"/>
      <c r="G31" s="5" t="str">
        <f aca="false">IF(ISNUMBER(FIND("old rod:",A31)),"old rod:",A31)</f>
        <v>11, 11, SANDSHREW</v>
      </c>
      <c r="I31" s="5" t="s">
        <v>2818</v>
      </c>
    </row>
    <row r="32" customFormat="false" ht="12.75" hidden="false" customHeight="true" outlineLevel="0" collapsed="false">
      <c r="A32" s="5" t="s">
        <v>2818</v>
      </c>
      <c r="B32" s="7" t="n">
        <v>11</v>
      </c>
      <c r="C32" s="7" t="n">
        <v>11</v>
      </c>
      <c r="D32" s="7" t="s">
        <v>3741</v>
      </c>
      <c r="E32" s="7"/>
      <c r="G32" s="5" t="str">
        <f aca="false">IF(ISNUMBER(FIND("old rod:",A32)),"old rod:",A32)</f>
        <v>11, 11, SANDSHREW</v>
      </c>
      <c r="I32" s="5" t="s">
        <v>2818</v>
      </c>
    </row>
    <row r="33" customFormat="false" ht="12.75" hidden="false" customHeight="true" outlineLevel="0" collapsed="false">
      <c r="A33" s="5" t="n">
        <v>0.04</v>
      </c>
      <c r="B33" s="5" t="n">
        <v>0.04</v>
      </c>
      <c r="C33" s="7"/>
      <c r="D33" s="7"/>
      <c r="E33" s="7"/>
      <c r="G33" s="5" t="n">
        <f aca="false">IF(ISNUMBER(FIND("old rod:",A33)),"old rod:",A33)</f>
        <v>0.04</v>
      </c>
      <c r="I33" s="5" t="n">
        <v>0.04</v>
      </c>
    </row>
    <row r="34" customFormat="false" ht="12.75" hidden="false" customHeight="true" outlineLevel="0" collapsed="false">
      <c r="A34" s="5" t="s">
        <v>2819</v>
      </c>
      <c r="B34" s="7" t="n">
        <v>11</v>
      </c>
      <c r="C34" s="7" t="n">
        <v>11</v>
      </c>
      <c r="D34" s="7" t="s">
        <v>3742</v>
      </c>
      <c r="E34" s="7"/>
      <c r="G34" s="5" t="str">
        <f aca="false">IF(ISNUMBER(FIND("old rod:",A34)),"old rod:",A34)</f>
        <v>11, 11, PARAS</v>
      </c>
      <c r="I34" s="5" t="s">
        <v>2819</v>
      </c>
    </row>
    <row r="35" customFormat="false" ht="12.75" hidden="false" customHeight="true" outlineLevel="0" collapsed="false">
      <c r="A35" s="5" t="s">
        <v>2819</v>
      </c>
      <c r="B35" s="7" t="n">
        <v>11</v>
      </c>
      <c r="C35" s="7" t="n">
        <v>11</v>
      </c>
      <c r="D35" s="7" t="s">
        <v>3742</v>
      </c>
      <c r="E35" s="7"/>
      <c r="G35" s="5" t="str">
        <f aca="false">IF(ISNUMBER(FIND("old rod:",A35)),"old rod:",A35)</f>
        <v>11, 11, PARAS</v>
      </c>
      <c r="I35" s="5" t="s">
        <v>2819</v>
      </c>
    </row>
    <row r="36" customFormat="false" ht="12.75" hidden="false" customHeight="true" outlineLevel="0" collapsed="false">
      <c r="A36" s="5" t="n">
        <v>0.01</v>
      </c>
      <c r="B36" s="5" t="n">
        <v>0.01</v>
      </c>
      <c r="C36" s="7"/>
      <c r="D36" s="7"/>
      <c r="E36" s="7"/>
      <c r="G36" s="5" t="n">
        <f aca="false">IF(ISNUMBER(FIND("old rod:",A36)),"old rod:",A36)</f>
        <v>0.01</v>
      </c>
      <c r="I36" s="5" t="n">
        <v>0.01</v>
      </c>
    </row>
    <row r="37" customFormat="false" ht="12.75" hidden="false" customHeight="true" outlineLevel="0" collapsed="false">
      <c r="A37" s="5" t="s">
        <v>2820</v>
      </c>
      <c r="B37" s="7" t="n">
        <v>11</v>
      </c>
      <c r="C37" s="7" t="n">
        <v>14</v>
      </c>
      <c r="D37" s="7" t="s">
        <v>3743</v>
      </c>
      <c r="E37" s="7"/>
      <c r="G37" s="5" t="str">
        <f aca="false">IF(ISNUMBER(FIND("old rod:",A37)),"old rod:",A37)</f>
        <v>11, 14, ONIX</v>
      </c>
      <c r="I37" s="5" t="s">
        <v>2820</v>
      </c>
    </row>
    <row r="38" customFormat="false" ht="12.75" hidden="false" customHeight="true" outlineLevel="0" collapsed="false">
      <c r="A38" s="5" t="s">
        <v>3706</v>
      </c>
      <c r="B38" s="7" t="n">
        <v>11</v>
      </c>
      <c r="C38" s="7" t="n">
        <v>14</v>
      </c>
      <c r="D38" s="7" t="s">
        <v>3744</v>
      </c>
      <c r="E38" s="7"/>
      <c r="G38" s="5" t="str">
        <f aca="false">IF(ISNUMBER(FIND("old rod:",A38)),"old rod:",A38)</f>
        <v>11, 14, CLEFAIRY</v>
      </c>
      <c r="I38" s="5" t="s">
        <v>3706</v>
      </c>
    </row>
    <row r="39" customFormat="false" ht="12.75" hidden="false" customHeight="true" outlineLevel="0" collapsed="false">
      <c r="A39" s="5" t="s">
        <v>2536</v>
      </c>
      <c r="B39" s="7" t="s">
        <v>2536</v>
      </c>
      <c r="C39" s="7"/>
      <c r="D39" s="7"/>
      <c r="E39" s="7"/>
      <c r="G39" s="5" t="str">
        <f aca="false">IF(ISNUMBER(FIND("old rod:",A39)),"old rod:",A39)</f>
        <v>NEW ROUTE</v>
      </c>
      <c r="I39" s="5" t="s">
        <v>2536</v>
      </c>
    </row>
    <row r="40" customFormat="false" ht="12.75" hidden="false" customHeight="true" outlineLevel="0" collapsed="false">
      <c r="A40" s="5" t="s">
        <v>17</v>
      </c>
      <c r="B40" s="7" t="s">
        <v>17</v>
      </c>
      <c r="C40" s="7"/>
      <c r="D40" s="7"/>
      <c r="E40" s="7"/>
      <c r="G40" s="5" t="str">
        <f aca="false">IF(ISNUMBER(FIND("old rod:",A40)),"old rod:",A40)</f>
        <v>Mt Moon B1F</v>
      </c>
      <c r="I40" s="5" t="s">
        <v>17</v>
      </c>
    </row>
    <row r="41" customFormat="false" ht="12.75" hidden="false" customHeight="true" outlineLevel="0" collapsed="false">
      <c r="A41" s="5" t="n">
        <v>0.2</v>
      </c>
      <c r="B41" s="5" t="n">
        <v>0.2</v>
      </c>
      <c r="C41" s="7"/>
      <c r="D41" s="7"/>
      <c r="E41" s="7"/>
      <c r="G41" s="5" t="n">
        <f aca="false">IF(ISNUMBER(FIND("old rod:",A41)),"old rod:",A41)</f>
        <v>0.2</v>
      </c>
      <c r="I41" s="5" t="n">
        <v>0.2</v>
      </c>
    </row>
    <row r="42" customFormat="false" ht="12.75" hidden="false" customHeight="true" outlineLevel="0" collapsed="false">
      <c r="A42" s="5" t="s">
        <v>1243</v>
      </c>
      <c r="B42" s="7" t="n">
        <v>10</v>
      </c>
      <c r="C42" s="7" t="n">
        <v>12</v>
      </c>
      <c r="D42" s="7" t="s">
        <v>3739</v>
      </c>
      <c r="E42" s="7"/>
      <c r="G42" s="5" t="str">
        <f aca="false">IF(ISNUMBER(FIND("old rod:",A42)),"old rod:",A42)</f>
        <v>10, 12, ZUBAT</v>
      </c>
      <c r="I42" s="5" t="s">
        <v>1243</v>
      </c>
    </row>
    <row r="43" customFormat="false" ht="12.75" hidden="false" customHeight="true" outlineLevel="0" collapsed="false">
      <c r="A43" s="5" t="s">
        <v>1243</v>
      </c>
      <c r="B43" s="7" t="n">
        <v>10</v>
      </c>
      <c r="C43" s="7" t="n">
        <v>12</v>
      </c>
      <c r="D43" s="7" t="s">
        <v>3739</v>
      </c>
      <c r="E43" s="7"/>
      <c r="G43" s="5" t="str">
        <f aca="false">IF(ISNUMBER(FIND("old rod:",A43)),"old rod:",A43)</f>
        <v>10, 12, ZUBAT</v>
      </c>
      <c r="I43" s="5" t="s">
        <v>1243</v>
      </c>
    </row>
    <row r="44" customFormat="false" ht="12.75" hidden="false" customHeight="true" outlineLevel="0" collapsed="false">
      <c r="A44" s="5" t="n">
        <v>0.1</v>
      </c>
      <c r="B44" s="5" t="n">
        <v>0.1</v>
      </c>
      <c r="C44" s="7"/>
      <c r="D44" s="7"/>
      <c r="E44" s="7"/>
      <c r="G44" s="5" t="n">
        <f aca="false">IF(ISNUMBER(FIND("old rod:",A44)),"old rod:",A44)</f>
        <v>0.1</v>
      </c>
      <c r="I44" s="5" t="n">
        <v>0.1</v>
      </c>
    </row>
    <row r="45" customFormat="false" ht="12.75" hidden="false" customHeight="true" outlineLevel="0" collapsed="false">
      <c r="A45" s="5" t="s">
        <v>2824</v>
      </c>
      <c r="B45" s="7" t="n">
        <v>11</v>
      </c>
      <c r="C45" s="7" t="n">
        <v>13</v>
      </c>
      <c r="D45" s="7" t="s">
        <v>3739</v>
      </c>
      <c r="E45" s="7"/>
      <c r="G45" s="5" t="str">
        <f aca="false">IF(ISNUMBER(FIND("old rod:",A45)),"old rod:",A45)</f>
        <v>11, 13, ZUBAT</v>
      </c>
      <c r="I45" s="5" t="s">
        <v>2824</v>
      </c>
    </row>
    <row r="46" customFormat="false" ht="12.75" hidden="false" customHeight="true" outlineLevel="0" collapsed="false">
      <c r="A46" s="5" t="s">
        <v>2824</v>
      </c>
      <c r="B46" s="7" t="n">
        <v>11</v>
      </c>
      <c r="C46" s="7" t="n">
        <v>13</v>
      </c>
      <c r="D46" s="7" t="s">
        <v>3739</v>
      </c>
      <c r="E46" s="7"/>
      <c r="G46" s="5" t="str">
        <f aca="false">IF(ISNUMBER(FIND("old rod:",A46)),"old rod:",A46)</f>
        <v>11, 13, ZUBAT</v>
      </c>
      <c r="I46" s="5" t="s">
        <v>2824</v>
      </c>
    </row>
    <row r="47" customFormat="false" ht="12.75" hidden="false" customHeight="true" outlineLevel="0" collapsed="false">
      <c r="A47" s="5" t="s">
        <v>2825</v>
      </c>
      <c r="B47" s="7" t="n">
        <v>11</v>
      </c>
      <c r="C47" s="7" t="n">
        <v>13</v>
      </c>
      <c r="D47" s="7" t="s">
        <v>3740</v>
      </c>
      <c r="E47" s="7"/>
      <c r="G47" s="5" t="str">
        <f aca="false">IF(ISNUMBER(FIND("old rod:",A47)),"old rod:",A47)</f>
        <v>11, 13, GEODUDE</v>
      </c>
      <c r="I47" s="5" t="s">
        <v>2825</v>
      </c>
    </row>
    <row r="48" customFormat="false" ht="12.75" hidden="false" customHeight="true" outlineLevel="0" collapsed="false">
      <c r="A48" s="5" t="s">
        <v>2825</v>
      </c>
      <c r="B48" s="7" t="n">
        <v>11</v>
      </c>
      <c r="C48" s="7" t="n">
        <v>13</v>
      </c>
      <c r="D48" s="7" t="s">
        <v>3740</v>
      </c>
      <c r="E48" s="7"/>
      <c r="G48" s="5" t="str">
        <f aca="false">IF(ISNUMBER(FIND("old rod:",A48)),"old rod:",A48)</f>
        <v>11, 13, GEODUDE</v>
      </c>
      <c r="I48" s="5" t="s">
        <v>2825</v>
      </c>
    </row>
    <row r="49" customFormat="false" ht="12.75" hidden="false" customHeight="true" outlineLevel="0" collapsed="false">
      <c r="A49" s="5" t="n">
        <v>0.05</v>
      </c>
      <c r="B49" s="5" t="n">
        <v>0.05</v>
      </c>
      <c r="C49" s="7"/>
      <c r="D49" s="7"/>
      <c r="E49" s="7"/>
      <c r="G49" s="5" t="n">
        <f aca="false">IF(ISNUMBER(FIND("old rod:",A49)),"old rod:",A49)</f>
        <v>0.05</v>
      </c>
      <c r="I49" s="5" t="n">
        <v>0.05</v>
      </c>
    </row>
    <row r="50" customFormat="false" ht="12.75" hidden="false" customHeight="true" outlineLevel="0" collapsed="false">
      <c r="A50" s="5" t="s">
        <v>2826</v>
      </c>
      <c r="B50" s="7" t="n">
        <v>12</v>
      </c>
      <c r="C50" s="7" t="n">
        <v>12</v>
      </c>
      <c r="D50" s="7" t="s">
        <v>3741</v>
      </c>
      <c r="E50" s="7"/>
      <c r="G50" s="5" t="str">
        <f aca="false">IF(ISNUMBER(FIND("old rod:",A50)),"old rod:",A50)</f>
        <v>12, 12, SANDSHREW</v>
      </c>
      <c r="I50" s="5" t="s">
        <v>2826</v>
      </c>
    </row>
    <row r="51" customFormat="false" ht="12.75" hidden="false" customHeight="true" outlineLevel="0" collapsed="false">
      <c r="A51" s="5" t="s">
        <v>2826</v>
      </c>
      <c r="B51" s="7" t="n">
        <v>12</v>
      </c>
      <c r="C51" s="7" t="n">
        <v>12</v>
      </c>
      <c r="D51" s="7" t="s">
        <v>3741</v>
      </c>
      <c r="E51" s="7"/>
      <c r="G51" s="5" t="str">
        <f aca="false">IF(ISNUMBER(FIND("old rod:",A51)),"old rod:",A51)</f>
        <v>12, 12, SANDSHREW</v>
      </c>
      <c r="I51" s="5" t="s">
        <v>2826</v>
      </c>
    </row>
    <row r="52" customFormat="false" ht="12.75" hidden="false" customHeight="true" outlineLevel="0" collapsed="false">
      <c r="A52" s="5" t="n">
        <v>0.04</v>
      </c>
      <c r="B52" s="5" t="n">
        <v>0.04</v>
      </c>
      <c r="C52" s="7"/>
      <c r="D52" s="7"/>
      <c r="E52" s="7"/>
      <c r="G52" s="5" t="n">
        <f aca="false">IF(ISNUMBER(FIND("old rod:",A52)),"old rod:",A52)</f>
        <v>0.04</v>
      </c>
      <c r="I52" s="5" t="n">
        <v>0.04</v>
      </c>
    </row>
    <row r="53" customFormat="false" ht="12.75" hidden="false" customHeight="true" outlineLevel="0" collapsed="false">
      <c r="A53" s="5" t="s">
        <v>2827</v>
      </c>
      <c r="B53" s="7" t="n">
        <v>12</v>
      </c>
      <c r="C53" s="7" t="n">
        <v>12</v>
      </c>
      <c r="D53" s="7" t="s">
        <v>3742</v>
      </c>
      <c r="E53" s="7"/>
      <c r="G53" s="5" t="str">
        <f aca="false">IF(ISNUMBER(FIND("old rod:",A53)),"old rod:",A53)</f>
        <v>12, 12, PARAS</v>
      </c>
      <c r="I53" s="5" t="s">
        <v>2827</v>
      </c>
    </row>
    <row r="54" customFormat="false" ht="12.75" hidden="false" customHeight="true" outlineLevel="0" collapsed="false">
      <c r="A54" s="5" t="s">
        <v>2827</v>
      </c>
      <c r="B54" s="7" t="n">
        <v>12</v>
      </c>
      <c r="C54" s="7" t="n">
        <v>12</v>
      </c>
      <c r="D54" s="7" t="s">
        <v>3742</v>
      </c>
      <c r="E54" s="7"/>
      <c r="G54" s="5" t="str">
        <f aca="false">IF(ISNUMBER(FIND("old rod:",A54)),"old rod:",A54)</f>
        <v>12, 12, PARAS</v>
      </c>
      <c r="I54" s="5" t="s">
        <v>2827</v>
      </c>
    </row>
    <row r="55" customFormat="false" ht="12.75" hidden="false" customHeight="true" outlineLevel="0" collapsed="false">
      <c r="A55" s="5" t="n">
        <v>0.01</v>
      </c>
      <c r="B55" s="5" t="n">
        <v>0.01</v>
      </c>
      <c r="C55" s="7"/>
      <c r="D55" s="7"/>
      <c r="E55" s="7"/>
      <c r="G55" s="5" t="n">
        <f aca="false">IF(ISNUMBER(FIND("old rod:",A55)),"old rod:",A55)</f>
        <v>0.01</v>
      </c>
      <c r="I55" s="5" t="n">
        <v>0.01</v>
      </c>
    </row>
    <row r="56" customFormat="false" ht="12.75" hidden="false" customHeight="true" outlineLevel="0" collapsed="false">
      <c r="A56" s="5" t="s">
        <v>2828</v>
      </c>
      <c r="B56" s="7" t="n">
        <v>12</v>
      </c>
      <c r="C56" s="7" t="n">
        <v>15</v>
      </c>
      <c r="D56" s="7" t="s">
        <v>3743</v>
      </c>
      <c r="E56" s="7"/>
      <c r="G56" s="5" t="str">
        <f aca="false">IF(ISNUMBER(FIND("old rod:",A56)),"old rod:",A56)</f>
        <v>12, 15, ONIX</v>
      </c>
      <c r="I56" s="5" t="s">
        <v>2828</v>
      </c>
    </row>
    <row r="57" customFormat="false" ht="12.75" hidden="false" customHeight="true" outlineLevel="0" collapsed="false">
      <c r="A57" s="5" t="s">
        <v>3707</v>
      </c>
      <c r="B57" s="7" t="n">
        <v>12</v>
      </c>
      <c r="C57" s="7" t="n">
        <v>15</v>
      </c>
      <c r="D57" s="7" t="s">
        <v>3744</v>
      </c>
      <c r="E57" s="7"/>
      <c r="G57" s="5" t="str">
        <f aca="false">IF(ISNUMBER(FIND("old rod:",A57)),"old rod:",A57)</f>
        <v>12, 15, CLEFAIRY</v>
      </c>
      <c r="I57" s="5" t="s">
        <v>3707</v>
      </c>
    </row>
    <row r="58" customFormat="false" ht="12.75" hidden="false" customHeight="true" outlineLevel="0" collapsed="false">
      <c r="A58" s="5" t="s">
        <v>2536</v>
      </c>
      <c r="B58" s="7" t="s">
        <v>2536</v>
      </c>
      <c r="C58" s="7"/>
      <c r="D58" s="7"/>
      <c r="E58" s="7"/>
      <c r="G58" s="5" t="str">
        <f aca="false">IF(ISNUMBER(FIND("old rod:",A58)),"old rod:",A58)</f>
        <v>NEW ROUTE</v>
      </c>
      <c r="I58" s="5" t="s">
        <v>2536</v>
      </c>
    </row>
    <row r="59" customFormat="false" ht="12.75" hidden="false" customHeight="true" outlineLevel="0" collapsed="false">
      <c r="A59" s="5" t="s">
        <v>19</v>
      </c>
      <c r="B59" s="7" t="s">
        <v>19</v>
      </c>
      <c r="C59" s="7"/>
      <c r="D59" s="7"/>
      <c r="E59" s="7"/>
      <c r="G59" s="5" t="str">
        <f aca="false">IF(ISNUMBER(FIND("old rod:",A59)),"old rod:",A59)</f>
        <v>Mt Moon B2F</v>
      </c>
      <c r="I59" s="5" t="s">
        <v>19</v>
      </c>
    </row>
    <row r="60" customFormat="false" ht="12.75" hidden="false" customHeight="true" outlineLevel="0" collapsed="false">
      <c r="A60" s="5" t="n">
        <v>0.2</v>
      </c>
      <c r="B60" s="5" t="n">
        <v>0.2</v>
      </c>
      <c r="C60" s="7"/>
      <c r="D60" s="7"/>
      <c r="E60" s="7"/>
      <c r="G60" s="5" t="n">
        <f aca="false">IF(ISNUMBER(FIND("old rod:",A60)),"old rod:",A60)</f>
        <v>0.2</v>
      </c>
      <c r="I60" s="5" t="n">
        <v>0.2</v>
      </c>
    </row>
    <row r="61" customFormat="false" ht="12.75" hidden="false" customHeight="true" outlineLevel="0" collapsed="false">
      <c r="A61" s="5" t="s">
        <v>1251</v>
      </c>
      <c r="B61" s="7" t="n">
        <v>10</v>
      </c>
      <c r="C61" s="7" t="n">
        <v>13</v>
      </c>
      <c r="D61" s="7" t="s">
        <v>3739</v>
      </c>
      <c r="E61" s="7"/>
      <c r="G61" s="5" t="str">
        <f aca="false">IF(ISNUMBER(FIND("old rod:",A61)),"old rod:",A61)</f>
        <v>10, 13, ZUBAT</v>
      </c>
      <c r="I61" s="5" t="s">
        <v>1251</v>
      </c>
    </row>
    <row r="62" customFormat="false" ht="12.75" hidden="false" customHeight="true" outlineLevel="0" collapsed="false">
      <c r="A62" s="5" t="s">
        <v>1251</v>
      </c>
      <c r="B62" s="7" t="n">
        <v>10</v>
      </c>
      <c r="C62" s="7" t="n">
        <v>13</v>
      </c>
      <c r="D62" s="7" t="s">
        <v>3739</v>
      </c>
      <c r="E62" s="7"/>
      <c r="G62" s="5" t="str">
        <f aca="false">IF(ISNUMBER(FIND("old rod:",A62)),"old rod:",A62)</f>
        <v>10, 13, ZUBAT</v>
      </c>
      <c r="I62" s="5" t="s">
        <v>1251</v>
      </c>
    </row>
    <row r="63" customFormat="false" ht="12.75" hidden="false" customHeight="true" outlineLevel="0" collapsed="false">
      <c r="A63" s="5" t="n">
        <v>0.1</v>
      </c>
      <c r="B63" s="5" t="n">
        <v>0.1</v>
      </c>
      <c r="C63" s="7"/>
      <c r="D63" s="7"/>
      <c r="E63" s="7"/>
      <c r="G63" s="5" t="n">
        <f aca="false">IF(ISNUMBER(FIND("old rod:",A63)),"old rod:",A63)</f>
        <v>0.1</v>
      </c>
      <c r="I63" s="5" t="n">
        <v>0.1</v>
      </c>
    </row>
    <row r="64" customFormat="false" ht="12.75" hidden="false" customHeight="true" outlineLevel="0" collapsed="false">
      <c r="A64" s="5" t="s">
        <v>2831</v>
      </c>
      <c r="B64" s="7" t="n">
        <v>11</v>
      </c>
      <c r="C64" s="7" t="n">
        <v>14</v>
      </c>
      <c r="D64" s="7" t="s">
        <v>3739</v>
      </c>
      <c r="E64" s="7"/>
      <c r="G64" s="5" t="str">
        <f aca="false">IF(ISNUMBER(FIND("old rod:",A64)),"old rod:",A64)</f>
        <v>11, 14, ZUBAT</v>
      </c>
      <c r="I64" s="5" t="s">
        <v>2831</v>
      </c>
    </row>
    <row r="65" customFormat="false" ht="12.75" hidden="false" customHeight="true" outlineLevel="0" collapsed="false">
      <c r="A65" s="5" t="s">
        <v>2832</v>
      </c>
      <c r="B65" s="7" t="n">
        <v>11</v>
      </c>
      <c r="C65" s="7" t="n">
        <v>14</v>
      </c>
      <c r="D65" s="7" t="s">
        <v>3740</v>
      </c>
      <c r="E65" s="7"/>
      <c r="G65" s="5" t="str">
        <f aca="false">IF(ISNUMBER(FIND("old rod:",A65)),"old rod:",A65)</f>
        <v>11, 14, GEODUDE</v>
      </c>
      <c r="I65" s="5" t="s">
        <v>2832</v>
      </c>
    </row>
    <row r="66" customFormat="false" ht="12.75" hidden="false" customHeight="true" outlineLevel="0" collapsed="false">
      <c r="A66" s="5" t="s">
        <v>2832</v>
      </c>
      <c r="B66" s="7" t="n">
        <v>11</v>
      </c>
      <c r="C66" s="7" t="n">
        <v>14</v>
      </c>
      <c r="D66" s="7" t="s">
        <v>3740</v>
      </c>
      <c r="E66" s="7"/>
      <c r="G66" s="5" t="str">
        <f aca="false">IF(ISNUMBER(FIND("old rod:",A66)),"old rod:",A66)</f>
        <v>11, 14, GEODUDE</v>
      </c>
      <c r="I66" s="5" t="s">
        <v>2832</v>
      </c>
    </row>
    <row r="67" customFormat="false" ht="12.75" hidden="false" customHeight="true" outlineLevel="0" collapsed="false">
      <c r="A67" s="5" t="s">
        <v>2833</v>
      </c>
      <c r="B67" s="7" t="n">
        <v>11</v>
      </c>
      <c r="C67" s="7" t="n">
        <v>14</v>
      </c>
      <c r="D67" s="7" t="s">
        <v>3741</v>
      </c>
      <c r="E67" s="7"/>
      <c r="G67" s="5" t="str">
        <f aca="false">IF(ISNUMBER(FIND("old rod:",A67)),"old rod:",A67)</f>
        <v>11, 14, SANDSHREW</v>
      </c>
      <c r="I67" s="5" t="s">
        <v>2833</v>
      </c>
    </row>
    <row r="68" customFormat="false" ht="12.75" hidden="false" customHeight="true" outlineLevel="0" collapsed="false">
      <c r="A68" s="5" t="n">
        <v>0.05</v>
      </c>
      <c r="B68" s="5" t="n">
        <v>0.05</v>
      </c>
      <c r="C68" s="7"/>
      <c r="D68" s="7"/>
      <c r="E68" s="7"/>
      <c r="G68" s="5" t="n">
        <f aca="false">IF(ISNUMBER(FIND("old rod:",A68)),"old rod:",A68)</f>
        <v>0.05</v>
      </c>
      <c r="I68" s="5" t="n">
        <v>0.05</v>
      </c>
    </row>
    <row r="69" customFormat="false" ht="12.75" hidden="false" customHeight="true" outlineLevel="0" collapsed="false">
      <c r="A69" s="5" t="s">
        <v>2834</v>
      </c>
      <c r="B69" s="7" t="n">
        <v>13</v>
      </c>
      <c r="C69" s="7" t="n">
        <v>13</v>
      </c>
      <c r="D69" s="7" t="s">
        <v>3742</v>
      </c>
      <c r="E69" s="7"/>
      <c r="G69" s="5" t="str">
        <f aca="false">IF(ISNUMBER(FIND("old rod:",A69)),"old rod:",A69)</f>
        <v>13, 13, PARAS</v>
      </c>
      <c r="I69" s="5" t="s">
        <v>2834</v>
      </c>
    </row>
    <row r="70" customFormat="false" ht="12.75" hidden="false" customHeight="true" outlineLevel="0" collapsed="false">
      <c r="A70" s="5" t="s">
        <v>2834</v>
      </c>
      <c r="B70" s="7" t="n">
        <v>13</v>
      </c>
      <c r="C70" s="7" t="n">
        <v>13</v>
      </c>
      <c r="D70" s="7" t="s">
        <v>3742</v>
      </c>
      <c r="E70" s="7"/>
      <c r="G70" s="5" t="str">
        <f aca="false">IF(ISNUMBER(FIND("old rod:",A70)),"old rod:",A70)</f>
        <v>13, 13, PARAS</v>
      </c>
      <c r="I70" s="5" t="s">
        <v>2834</v>
      </c>
    </row>
    <row r="71" customFormat="false" ht="12.75" hidden="false" customHeight="true" outlineLevel="0" collapsed="false">
      <c r="A71" s="5" t="n">
        <v>0.04</v>
      </c>
      <c r="B71" s="5" t="n">
        <v>0.04</v>
      </c>
      <c r="C71" s="7"/>
      <c r="D71" s="7"/>
      <c r="E71" s="7"/>
      <c r="G71" s="5" t="n">
        <f aca="false">IF(ISNUMBER(FIND("old rod:",A71)),"old rod:",A71)</f>
        <v>0.04</v>
      </c>
      <c r="I71" s="5" t="n">
        <v>0.04</v>
      </c>
    </row>
    <row r="72" customFormat="false" ht="12.75" hidden="false" customHeight="true" outlineLevel="0" collapsed="false">
      <c r="A72" s="5" t="s">
        <v>2835</v>
      </c>
      <c r="B72" s="7" t="n">
        <v>13</v>
      </c>
      <c r="C72" s="7" t="n">
        <v>13</v>
      </c>
      <c r="D72" s="7" t="s">
        <v>3743</v>
      </c>
      <c r="E72" s="7"/>
      <c r="G72" s="5" t="str">
        <f aca="false">IF(ISNUMBER(FIND("old rod:",A72)),"old rod:",A72)</f>
        <v>13, 13, ONIX</v>
      </c>
      <c r="I72" s="5" t="s">
        <v>2835</v>
      </c>
    </row>
    <row r="73" customFormat="false" ht="12.75" hidden="false" customHeight="true" outlineLevel="0" collapsed="false">
      <c r="A73" s="5" t="s">
        <v>2836</v>
      </c>
      <c r="B73" s="7" t="n">
        <v>13</v>
      </c>
      <c r="C73" s="7" t="n">
        <v>13</v>
      </c>
      <c r="D73" s="7" t="s">
        <v>3744</v>
      </c>
      <c r="E73" s="7"/>
      <c r="G73" s="5" t="str">
        <f aca="false">IF(ISNUMBER(FIND("old rod:",A73)),"old rod:",A73)</f>
        <v>13, 13, CLEFAIRY</v>
      </c>
      <c r="I73" s="5" t="s">
        <v>2836</v>
      </c>
    </row>
    <row r="74" customFormat="false" ht="12.75" hidden="false" customHeight="true" outlineLevel="0" collapsed="false">
      <c r="A74" s="5" t="n">
        <v>0.01</v>
      </c>
      <c r="B74" s="5" t="n">
        <v>0.01</v>
      </c>
      <c r="C74" s="7"/>
      <c r="D74" s="7"/>
      <c r="E74" s="7"/>
      <c r="G74" s="5" t="n">
        <f aca="false">IF(ISNUMBER(FIND("old rod:",A74)),"old rod:",A74)</f>
        <v>0.01</v>
      </c>
      <c r="I74" s="5" t="n">
        <v>0.01</v>
      </c>
    </row>
    <row r="75" customFormat="false" ht="12.75" hidden="false" customHeight="true" outlineLevel="0" collapsed="false">
      <c r="A75" s="5" t="s">
        <v>2837</v>
      </c>
      <c r="B75" s="7" t="n">
        <v>13</v>
      </c>
      <c r="C75" s="7" t="n">
        <v>16</v>
      </c>
      <c r="D75" s="7" t="s">
        <v>3745</v>
      </c>
      <c r="E75" s="7"/>
      <c r="G75" s="5" t="str">
        <f aca="false">IF(ISNUMBER(FIND("old rod:",A75)),"old rod:",A75)</f>
        <v>13, 16, GOLBAT</v>
      </c>
      <c r="I75" s="5" t="s">
        <v>2837</v>
      </c>
    </row>
    <row r="76" customFormat="false" ht="12.75" hidden="false" customHeight="true" outlineLevel="0" collapsed="false">
      <c r="A76" s="5" t="s">
        <v>3708</v>
      </c>
      <c r="B76" s="7" t="n">
        <v>13</v>
      </c>
      <c r="C76" s="7" t="n">
        <v>16</v>
      </c>
      <c r="D76" s="7" t="s">
        <v>3746</v>
      </c>
      <c r="E76" s="7"/>
      <c r="G76" s="5" t="str">
        <f aca="false">IF(ISNUMBER(FIND("old rod:",A76)),"old rod:",A76)</f>
        <v>13, 16, GRAVELER</v>
      </c>
      <c r="I76" s="5" t="s">
        <v>3708</v>
      </c>
    </row>
    <row r="77" customFormat="false" ht="12.75" hidden="false" customHeight="true" outlineLevel="0" collapsed="false">
      <c r="A77" s="5" t="s">
        <v>2536</v>
      </c>
      <c r="B77" s="7" t="s">
        <v>2536</v>
      </c>
      <c r="C77" s="7"/>
      <c r="D77" s="7"/>
      <c r="E77" s="7"/>
      <c r="G77" s="5" t="str">
        <f aca="false">IF(ISNUMBER(FIND("old rod:",A77)),"old rod:",A77)</f>
        <v>NEW ROUTE</v>
      </c>
      <c r="I77" s="5" t="s">
        <v>2536</v>
      </c>
    </row>
    <row r="78" customFormat="false" ht="12.75" hidden="false" customHeight="true" outlineLevel="0" collapsed="false">
      <c r="A78" s="5" t="s">
        <v>21</v>
      </c>
      <c r="B78" s="7" t="s">
        <v>21</v>
      </c>
      <c r="C78" s="7"/>
      <c r="D78" s="7"/>
      <c r="E78" s="7"/>
      <c r="G78" s="5" t="str">
        <f aca="false">IF(ISNUMBER(FIND("old rod:",A78)),"old rod:",A78)</f>
        <v>S.S. Anne Exterior</v>
      </c>
      <c r="I78" s="5" t="s">
        <v>21</v>
      </c>
    </row>
    <row r="79" customFormat="false" ht="12.75" hidden="false" customHeight="true" outlineLevel="0" collapsed="false">
      <c r="A79" s="5" t="s">
        <v>2840</v>
      </c>
      <c r="B79" s="7" t="n">
        <v>1</v>
      </c>
      <c r="C79" s="7" t="n">
        <v>5</v>
      </c>
      <c r="D79" s="7" t="n">
        <v>10</v>
      </c>
      <c r="E79" s="7" t="s">
        <v>3747</v>
      </c>
      <c r="G79" s="5" t="str">
        <f aca="false">IF(ISNUMBER(FIND("old rod:",A79)),"old rod:",A79)</f>
        <v>1, 5, 10, TENTACOOL</v>
      </c>
      <c r="I79" s="5" t="s">
        <v>2840</v>
      </c>
    </row>
    <row r="80" customFormat="false" ht="12.75" hidden="false" customHeight="true" outlineLevel="0" collapsed="false">
      <c r="A80" s="5" t="s">
        <v>2841</v>
      </c>
      <c r="B80" s="7" t="n">
        <v>10</v>
      </c>
      <c r="C80" s="7" t="n">
        <v>20</v>
      </c>
      <c r="D80" s="7" t="s">
        <v>3747</v>
      </c>
      <c r="E80" s="7"/>
      <c r="G80" s="5" t="str">
        <f aca="false">IF(ISNUMBER(FIND("old rod:",A80)),"old rod:",A80)</f>
        <v>10, 20, TENTACOOL</v>
      </c>
      <c r="I80" s="5" t="s">
        <v>2841</v>
      </c>
    </row>
    <row r="81" customFormat="false" ht="12.75" hidden="false" customHeight="true" outlineLevel="0" collapsed="false">
      <c r="A81" s="5" t="s">
        <v>2842</v>
      </c>
      <c r="B81" s="7" t="n">
        <v>20</v>
      </c>
      <c r="C81" s="7" t="n">
        <v>30</v>
      </c>
      <c r="D81" s="7" t="s">
        <v>3747</v>
      </c>
      <c r="E81" s="7"/>
      <c r="G81" s="5" t="str">
        <f aca="false">IF(ISNUMBER(FIND("old rod:",A81)),"old rod:",A81)</f>
        <v>20, 30, TENTACOOL</v>
      </c>
      <c r="I81" s="5" t="s">
        <v>2842</v>
      </c>
    </row>
    <row r="82" customFormat="false" ht="12.75" hidden="false" customHeight="true" outlineLevel="0" collapsed="false">
      <c r="A82" s="5" t="s">
        <v>2843</v>
      </c>
      <c r="B82" s="7" t="n">
        <v>30</v>
      </c>
      <c r="C82" s="7" t="n">
        <v>35</v>
      </c>
      <c r="D82" s="7" t="s">
        <v>3747</v>
      </c>
      <c r="E82" s="7"/>
      <c r="G82" s="5" t="str">
        <f aca="false">IF(ISNUMBER(FIND("old rod:",A82)),"old rod:",A82)</f>
        <v>30, 35, TENTACOOL</v>
      </c>
      <c r="I82" s="5" t="s">
        <v>2843</v>
      </c>
    </row>
    <row r="83" customFormat="false" ht="12.75" hidden="false" customHeight="true" outlineLevel="0" collapsed="false">
      <c r="A83" s="5" t="s">
        <v>2844</v>
      </c>
      <c r="B83" s="7" t="n">
        <v>35</v>
      </c>
      <c r="C83" s="7" t="n">
        <v>40</v>
      </c>
      <c r="D83" s="7" t="s">
        <v>3747</v>
      </c>
      <c r="E83" s="7"/>
      <c r="G83" s="5" t="str">
        <f aca="false">IF(ISNUMBER(FIND("old rod:",A83)),"old rod:",A83)</f>
        <v>35, 40, TENTACOOL</v>
      </c>
      <c r="I83" s="5" t="s">
        <v>2844</v>
      </c>
    </row>
    <row r="84" customFormat="false" ht="12.75" hidden="false" customHeight="true" outlineLevel="0" collapsed="false">
      <c r="A84" s="5" t="s">
        <v>2845</v>
      </c>
      <c r="B84" s="7" t="n">
        <v>10</v>
      </c>
      <c r="C84" s="7" t="s">
        <v>3748</v>
      </c>
      <c r="D84" s="7"/>
      <c r="E84" s="7"/>
      <c r="G84" s="5" t="str">
        <f aca="false">IF(ISNUMBER(FIND("old rod:",A84)),"old rod:",A84)</f>
        <v>old rod:</v>
      </c>
      <c r="I84" s="5" t="s">
        <v>3749</v>
      </c>
    </row>
    <row r="85" customFormat="false" ht="12.75" hidden="false" customHeight="true" outlineLevel="0" collapsed="false">
      <c r="A85" s="5" t="s">
        <v>1266</v>
      </c>
      <c r="B85" s="7" t="n">
        <v>5</v>
      </c>
      <c r="C85" s="7" t="n">
        <v>5</v>
      </c>
      <c r="D85" s="7" t="s">
        <v>3750</v>
      </c>
      <c r="E85" s="7"/>
      <c r="G85" s="5" t="str">
        <f aca="false">IF(ISNUMBER(FIND("old rod:",A85)),"old rod:",A85)</f>
        <v>5, 5, MAGIKARP</v>
      </c>
      <c r="I85" s="5" t="s">
        <v>1266</v>
      </c>
    </row>
    <row r="86" customFormat="false" ht="12.75" hidden="false" customHeight="true" outlineLevel="0" collapsed="false">
      <c r="A86" s="5" t="s">
        <v>1266</v>
      </c>
      <c r="B86" s="7" t="n">
        <v>5</v>
      </c>
      <c r="C86" s="7" t="n">
        <v>5</v>
      </c>
      <c r="D86" s="7" t="s">
        <v>3750</v>
      </c>
      <c r="E86" s="7"/>
      <c r="G86" s="5" t="str">
        <f aca="false">IF(ISNUMBER(FIND("old rod:",A86)),"old rod:",A86)</f>
        <v>5, 5, MAGIKARP</v>
      </c>
      <c r="I86" s="5" t="s">
        <v>1266</v>
      </c>
    </row>
    <row r="87" customFormat="false" ht="12.75" hidden="false" customHeight="true" outlineLevel="0" collapsed="false">
      <c r="A87" s="5" t="s">
        <v>2846</v>
      </c>
      <c r="B87" s="7" t="s">
        <v>2846</v>
      </c>
      <c r="C87" s="7"/>
      <c r="D87" s="7"/>
      <c r="E87" s="7"/>
      <c r="G87" s="5" t="str">
        <f aca="false">IF(ISNUMBER(FIND("old rod:",A87)),"old rod:",A87)</f>
        <v>good rod:</v>
      </c>
      <c r="I87" s="5" t="s">
        <v>2846</v>
      </c>
    </row>
    <row r="88" customFormat="false" ht="12.75" hidden="false" customHeight="true" outlineLevel="0" collapsed="false">
      <c r="A88" s="5" t="s">
        <v>2847</v>
      </c>
      <c r="B88" s="7" t="n">
        <v>5</v>
      </c>
      <c r="C88" s="7" t="n">
        <v>15</v>
      </c>
      <c r="D88" s="7" t="s">
        <v>3751</v>
      </c>
      <c r="E88" s="7"/>
      <c r="G88" s="5" t="str">
        <f aca="false">IF(ISNUMBER(FIND("old rod:",A88)),"old rod:",A88)</f>
        <v>5, 15, KRABBY</v>
      </c>
      <c r="I88" s="5" t="s">
        <v>2847</v>
      </c>
    </row>
    <row r="89" customFormat="false" ht="12.75" hidden="false" customHeight="true" outlineLevel="0" collapsed="false">
      <c r="A89" s="5" t="s">
        <v>2848</v>
      </c>
      <c r="B89" s="7" t="n">
        <v>5</v>
      </c>
      <c r="C89" s="7" t="n">
        <v>15</v>
      </c>
      <c r="D89" s="7" t="s">
        <v>3750</v>
      </c>
      <c r="E89" s="7"/>
      <c r="G89" s="5" t="str">
        <f aca="false">IF(ISNUMBER(FIND("old rod:",A89)),"old rod:",A89)</f>
        <v>5, 15, MAGIKARP</v>
      </c>
      <c r="I89" s="5" t="s">
        <v>2848</v>
      </c>
    </row>
    <row r="90" customFormat="false" ht="12.75" hidden="false" customHeight="true" outlineLevel="0" collapsed="false">
      <c r="A90" s="5" t="s">
        <v>2849</v>
      </c>
      <c r="B90" s="7" t="n">
        <v>5</v>
      </c>
      <c r="C90" s="7" t="n">
        <v>15</v>
      </c>
      <c r="D90" s="7" t="s">
        <v>3752</v>
      </c>
      <c r="E90" s="7"/>
      <c r="G90" s="5" t="str">
        <f aca="false">IF(ISNUMBER(FIND("old rod:",A90)),"old rod:",A90)</f>
        <v>5, 15, HORSEA</v>
      </c>
      <c r="I90" s="5" t="s">
        <v>2849</v>
      </c>
    </row>
    <row r="91" customFormat="false" ht="12.75" hidden="false" customHeight="true" outlineLevel="0" collapsed="false">
      <c r="A91" s="5" t="s">
        <v>2850</v>
      </c>
      <c r="B91" s="7" t="s">
        <v>2850</v>
      </c>
      <c r="C91" s="7"/>
      <c r="D91" s="7"/>
      <c r="E91" s="7"/>
      <c r="G91" s="5" t="str">
        <f aca="false">IF(ISNUMBER(FIND("old rod:",A91)),"old rod:",A91)</f>
        <v>super rod:</v>
      </c>
      <c r="I91" s="5" t="s">
        <v>2850</v>
      </c>
    </row>
    <row r="92" customFormat="false" ht="12.75" hidden="false" customHeight="true" outlineLevel="0" collapsed="false">
      <c r="A92" s="5" t="s">
        <v>2851</v>
      </c>
      <c r="B92" s="7" t="n">
        <v>15</v>
      </c>
      <c r="C92" s="7" t="n">
        <v>25</v>
      </c>
      <c r="D92" s="7" t="s">
        <v>3751</v>
      </c>
      <c r="E92" s="7"/>
      <c r="G92" s="5" t="str">
        <f aca="false">IF(ISNUMBER(FIND("old rod:",A92)),"old rod:",A92)</f>
        <v>15, 25, KRABBY</v>
      </c>
      <c r="I92" s="5" t="s">
        <v>2851</v>
      </c>
    </row>
    <row r="93" customFormat="false" ht="12.75" hidden="false" customHeight="true" outlineLevel="0" collapsed="false">
      <c r="A93" s="5" t="s">
        <v>2852</v>
      </c>
      <c r="B93" s="7" t="n">
        <v>15</v>
      </c>
      <c r="C93" s="7" t="n">
        <v>25</v>
      </c>
      <c r="D93" s="7" t="s">
        <v>3753</v>
      </c>
      <c r="E93" s="7"/>
      <c r="G93" s="5" t="str">
        <f aca="false">IF(ISNUMBER(FIND("old rod:",A93)),"old rod:",A93)</f>
        <v>15, 25, STARYU</v>
      </c>
      <c r="I93" s="5" t="s">
        <v>2852</v>
      </c>
    </row>
    <row r="94" customFormat="false" ht="12.75" hidden="false" customHeight="true" outlineLevel="0" collapsed="false">
      <c r="A94" s="5" t="s">
        <v>2853</v>
      </c>
      <c r="B94" s="7" t="n">
        <v>15</v>
      </c>
      <c r="C94" s="7" t="n">
        <v>25</v>
      </c>
      <c r="D94" s="7" t="s">
        <v>3754</v>
      </c>
      <c r="E94" s="7"/>
      <c r="G94" s="5" t="str">
        <f aca="false">IF(ISNUMBER(FIND("old rod:",A94)),"old rod:",A94)</f>
        <v>15, 25, GYARADOS</v>
      </c>
      <c r="I94" s="5" t="s">
        <v>2853</v>
      </c>
    </row>
    <row r="95" customFormat="false" ht="12.75" hidden="false" customHeight="true" outlineLevel="0" collapsed="false">
      <c r="A95" s="5" t="s">
        <v>2854</v>
      </c>
      <c r="B95" s="7" t="n">
        <v>25</v>
      </c>
      <c r="C95" s="7" t="n">
        <v>35</v>
      </c>
      <c r="D95" s="7" t="s">
        <v>3751</v>
      </c>
      <c r="E95" s="7"/>
      <c r="G95" s="5" t="str">
        <f aca="false">IF(ISNUMBER(FIND("old rod:",A95)),"old rod:",A95)</f>
        <v>25, 35, KRABBY</v>
      </c>
      <c r="I95" s="5" t="s">
        <v>2854</v>
      </c>
    </row>
    <row r="96" customFormat="false" ht="12.75" hidden="false" customHeight="true" outlineLevel="0" collapsed="false">
      <c r="A96" s="5" t="s">
        <v>2855</v>
      </c>
      <c r="B96" s="7" t="n">
        <v>25</v>
      </c>
      <c r="C96" s="7" t="n">
        <v>35</v>
      </c>
      <c r="D96" s="7" t="s">
        <v>3755</v>
      </c>
      <c r="E96" s="7"/>
      <c r="G96" s="5" t="str">
        <f aca="false">IF(ISNUMBER(FIND("old rod:",A96)),"old rod:",A96)</f>
        <v>25, 35, SLOWPOKE</v>
      </c>
      <c r="I96" s="5" t="s">
        <v>2855</v>
      </c>
    </row>
    <row r="97" customFormat="false" ht="12.75" hidden="false" customHeight="true" outlineLevel="0" collapsed="false">
      <c r="A97" s="5" t="s">
        <v>2536</v>
      </c>
      <c r="B97" s="7" t="s">
        <v>2536</v>
      </c>
      <c r="C97" s="7"/>
      <c r="D97" s="7"/>
      <c r="E97" s="7"/>
      <c r="G97" s="5" t="str">
        <f aca="false">IF(ISNUMBER(FIND("old rod:",A97)),"old rod:",A97)</f>
        <v>NEW ROUTE</v>
      </c>
      <c r="I97" s="5" t="s">
        <v>2536</v>
      </c>
    </row>
    <row r="98" customFormat="false" ht="12.75" hidden="false" customHeight="true" outlineLevel="0" collapsed="false">
      <c r="A98" s="5" t="s">
        <v>87</v>
      </c>
      <c r="B98" s="7" t="s">
        <v>87</v>
      </c>
      <c r="C98" s="7"/>
      <c r="D98" s="7"/>
      <c r="E98" s="7"/>
      <c r="G98" s="5" t="str">
        <f aca="false">IF(ISNUMBER(FIND("old rod:",A98)),"old rod:",A98)</f>
        <v>Diglett's Cave B1F</v>
      </c>
      <c r="I98" s="5" t="s">
        <v>87</v>
      </c>
    </row>
    <row r="99" customFormat="false" ht="12.75" hidden="false" customHeight="true" outlineLevel="0" collapsed="false">
      <c r="A99" s="5" t="n">
        <v>0.2</v>
      </c>
      <c r="B99" s="5" t="n">
        <v>0.2</v>
      </c>
      <c r="C99" s="7"/>
      <c r="D99" s="7"/>
      <c r="E99" s="7"/>
      <c r="G99" s="5" t="n">
        <f aca="false">IF(ISNUMBER(FIND("old rod:",A99)),"old rod:",A99)</f>
        <v>0.2</v>
      </c>
      <c r="I99" s="5" t="n">
        <v>0.2</v>
      </c>
    </row>
    <row r="100" customFormat="false" ht="12.75" hidden="false" customHeight="true" outlineLevel="0" collapsed="false">
      <c r="A100" s="5" t="s">
        <v>1279</v>
      </c>
      <c r="B100" s="7" t="n">
        <v>18</v>
      </c>
      <c r="C100" s="7" t="n">
        <v>18</v>
      </c>
      <c r="D100" s="7" t="s">
        <v>3756</v>
      </c>
      <c r="E100" s="7"/>
      <c r="G100" s="5" t="str">
        <f aca="false">IF(ISNUMBER(FIND("old rod:",A100)),"old rod:",A100)</f>
        <v>18, 18, DIGLETT</v>
      </c>
      <c r="I100" s="5" t="s">
        <v>1279</v>
      </c>
    </row>
    <row r="101" customFormat="false" ht="12.75" hidden="false" customHeight="true" outlineLevel="0" collapsed="false">
      <c r="A101" s="5" t="s">
        <v>2857</v>
      </c>
      <c r="B101" s="7" t="n">
        <v>19</v>
      </c>
      <c r="C101" s="7" t="n">
        <v>19</v>
      </c>
      <c r="D101" s="7" t="s">
        <v>3756</v>
      </c>
      <c r="E101" s="7"/>
      <c r="G101" s="5" t="str">
        <f aca="false">IF(ISNUMBER(FIND("old rod:",A101)),"old rod:",A101)</f>
        <v>19, 19, DIGLETT</v>
      </c>
      <c r="I101" s="5" t="s">
        <v>2857</v>
      </c>
    </row>
    <row r="102" customFormat="false" ht="12.75" hidden="false" customHeight="true" outlineLevel="0" collapsed="false">
      <c r="A102" s="5" t="n">
        <v>0.1</v>
      </c>
      <c r="B102" s="5" t="n">
        <v>0.1</v>
      </c>
      <c r="C102" s="7"/>
      <c r="D102" s="7"/>
      <c r="E102" s="7"/>
      <c r="G102" s="5" t="n">
        <f aca="false">IF(ISNUMBER(FIND("old rod:",A102)),"old rod:",A102)</f>
        <v>0.1</v>
      </c>
      <c r="I102" s="5" t="n">
        <v>0.1</v>
      </c>
    </row>
    <row r="103" customFormat="false" ht="12.75" hidden="false" customHeight="true" outlineLevel="0" collapsed="false">
      <c r="A103" s="5" t="s">
        <v>2858</v>
      </c>
      <c r="B103" s="7" t="n">
        <v>20</v>
      </c>
      <c r="C103" s="7" t="n">
        <v>20</v>
      </c>
      <c r="D103" s="7" t="s">
        <v>3756</v>
      </c>
      <c r="E103" s="7"/>
      <c r="G103" s="5" t="str">
        <f aca="false">IF(ISNUMBER(FIND("old rod:",A103)),"old rod:",A103)</f>
        <v>20, 20, DIGLETT</v>
      </c>
      <c r="I103" s="5" t="s">
        <v>2858</v>
      </c>
    </row>
    <row r="104" customFormat="false" ht="12.75" hidden="false" customHeight="true" outlineLevel="0" collapsed="false">
      <c r="A104" s="5" t="s">
        <v>2859</v>
      </c>
      <c r="B104" s="7" t="n">
        <v>21</v>
      </c>
      <c r="C104" s="7" t="n">
        <v>21</v>
      </c>
      <c r="D104" s="7" t="s">
        <v>3756</v>
      </c>
      <c r="E104" s="7"/>
      <c r="G104" s="5" t="str">
        <f aca="false">IF(ISNUMBER(FIND("old rod:",A104)),"old rod:",A104)</f>
        <v>21, 21, DIGLETT</v>
      </c>
      <c r="I104" s="5" t="s">
        <v>2859</v>
      </c>
    </row>
    <row r="105" customFormat="false" ht="12.75" hidden="false" customHeight="true" outlineLevel="0" collapsed="false">
      <c r="A105" s="5" t="s">
        <v>2860</v>
      </c>
      <c r="B105" s="7" t="n">
        <v>22</v>
      </c>
      <c r="C105" s="7" t="n">
        <v>22</v>
      </c>
      <c r="D105" s="7" t="s">
        <v>3756</v>
      </c>
      <c r="E105" s="7"/>
      <c r="G105" s="5" t="str">
        <f aca="false">IF(ISNUMBER(FIND("old rod:",A105)),"old rod:",A105)</f>
        <v>22, 22, DIGLETT</v>
      </c>
      <c r="I105" s="5" t="s">
        <v>2860</v>
      </c>
    </row>
    <row r="106" customFormat="false" ht="12.75" hidden="false" customHeight="true" outlineLevel="0" collapsed="false">
      <c r="A106" s="5" t="s">
        <v>2861</v>
      </c>
      <c r="B106" s="7" t="n">
        <v>19</v>
      </c>
      <c r="C106" s="7" t="n">
        <v>19</v>
      </c>
      <c r="D106" s="7" t="s">
        <v>3757</v>
      </c>
      <c r="E106" s="7"/>
      <c r="G106" s="5" t="str">
        <f aca="false">IF(ISNUMBER(FIND("old rod:",A106)),"old rod:",A106)</f>
        <v>19, 19, DUGTRIO</v>
      </c>
      <c r="I106" s="5" t="s">
        <v>2861</v>
      </c>
    </row>
    <row r="107" customFormat="false" ht="12.75" hidden="false" customHeight="true" outlineLevel="0" collapsed="false">
      <c r="A107" s="5" t="n">
        <v>0.05</v>
      </c>
      <c r="B107" s="5" t="n">
        <v>0.05</v>
      </c>
      <c r="C107" s="7"/>
      <c r="D107" s="7"/>
      <c r="E107" s="7"/>
      <c r="G107" s="5" t="n">
        <f aca="false">IF(ISNUMBER(FIND("old rod:",A107)),"old rod:",A107)</f>
        <v>0.05</v>
      </c>
      <c r="I107" s="5" t="n">
        <v>0.05</v>
      </c>
    </row>
    <row r="108" customFormat="false" ht="12.75" hidden="false" customHeight="true" outlineLevel="0" collapsed="false">
      <c r="A108" s="5" t="s">
        <v>2862</v>
      </c>
      <c r="B108" s="7" t="n">
        <v>23</v>
      </c>
      <c r="C108" s="7" t="n">
        <v>23</v>
      </c>
      <c r="D108" s="7" t="s">
        <v>3756</v>
      </c>
      <c r="E108" s="7"/>
      <c r="G108" s="5" t="str">
        <f aca="false">IF(ISNUMBER(FIND("old rod:",A108)),"old rod:",A108)</f>
        <v>23, 23, DIGLETT</v>
      </c>
      <c r="I108" s="5" t="s">
        <v>2862</v>
      </c>
    </row>
    <row r="109" customFormat="false" ht="12.75" hidden="false" customHeight="true" outlineLevel="0" collapsed="false">
      <c r="A109" s="5" t="s">
        <v>2863</v>
      </c>
      <c r="B109" s="7" t="n">
        <v>24</v>
      </c>
      <c r="C109" s="7" t="n">
        <v>24</v>
      </c>
      <c r="D109" s="7" t="s">
        <v>3756</v>
      </c>
      <c r="E109" s="7"/>
      <c r="G109" s="5" t="str">
        <f aca="false">IF(ISNUMBER(FIND("old rod:",A109)),"old rod:",A109)</f>
        <v>24, 24, DIGLETT</v>
      </c>
      <c r="I109" s="5" t="s">
        <v>2863</v>
      </c>
    </row>
    <row r="110" customFormat="false" ht="12.75" hidden="false" customHeight="true" outlineLevel="0" collapsed="false">
      <c r="A110" s="5" t="n">
        <v>0.04</v>
      </c>
      <c r="B110" s="5" t="n">
        <v>0.04</v>
      </c>
      <c r="C110" s="7"/>
      <c r="D110" s="7"/>
      <c r="E110" s="7"/>
      <c r="G110" s="5" t="n">
        <f aca="false">IF(ISNUMBER(FIND("old rod:",A110)),"old rod:",A110)</f>
        <v>0.04</v>
      </c>
      <c r="I110" s="5" t="n">
        <v>0.04</v>
      </c>
    </row>
    <row r="111" customFormat="false" ht="12.75" hidden="false" customHeight="true" outlineLevel="0" collapsed="false">
      <c r="A111" s="5" t="s">
        <v>2864</v>
      </c>
      <c r="B111" s="7" t="n">
        <v>20</v>
      </c>
      <c r="C111" s="7" t="n">
        <v>23</v>
      </c>
      <c r="D111" s="7" t="s">
        <v>3757</v>
      </c>
      <c r="E111" s="7"/>
      <c r="G111" s="5" t="str">
        <f aca="false">IF(ISNUMBER(FIND("old rod:",A111)),"old rod:",A111)</f>
        <v>20, 23, DUGTRIO</v>
      </c>
      <c r="I111" s="5" t="s">
        <v>2864</v>
      </c>
    </row>
    <row r="112" customFormat="false" ht="12.75" hidden="false" customHeight="true" outlineLevel="0" collapsed="false">
      <c r="A112" s="5" t="s">
        <v>2865</v>
      </c>
      <c r="B112" s="7" t="n">
        <v>24</v>
      </c>
      <c r="C112" s="7" t="n">
        <v>26</v>
      </c>
      <c r="D112" s="7" t="s">
        <v>3757</v>
      </c>
      <c r="E112" s="7"/>
      <c r="G112" s="5" t="str">
        <f aca="false">IF(ISNUMBER(FIND("old rod:",A112)),"old rod:",A112)</f>
        <v>24, 26, DUGTRIO</v>
      </c>
      <c r="I112" s="5" t="s">
        <v>2865</v>
      </c>
    </row>
    <row r="113" customFormat="false" ht="12.75" hidden="false" customHeight="true" outlineLevel="0" collapsed="false">
      <c r="A113" s="5" t="n">
        <v>0.01</v>
      </c>
      <c r="B113" s="5" t="n">
        <v>0.01</v>
      </c>
      <c r="C113" s="7"/>
      <c r="D113" s="7"/>
      <c r="E113" s="7"/>
      <c r="G113" s="5" t="n">
        <f aca="false">IF(ISNUMBER(FIND("old rod:",A113)),"old rod:",A113)</f>
        <v>0.01</v>
      </c>
      <c r="I113" s="5" t="n">
        <v>0.01</v>
      </c>
    </row>
    <row r="114" customFormat="false" ht="12.75" hidden="false" customHeight="true" outlineLevel="0" collapsed="false">
      <c r="A114" s="5" t="s">
        <v>2866</v>
      </c>
      <c r="B114" s="7" t="n">
        <v>27</v>
      </c>
      <c r="C114" s="7" t="n">
        <v>28</v>
      </c>
      <c r="D114" s="7" t="s">
        <v>3757</v>
      </c>
      <c r="E114" s="7"/>
      <c r="G114" s="5" t="str">
        <f aca="false">IF(ISNUMBER(FIND("old rod:",A114)),"old rod:",A114)</f>
        <v>27, 28, DUGTRIO</v>
      </c>
      <c r="I114" s="5" t="s">
        <v>2866</v>
      </c>
    </row>
    <row r="115" customFormat="false" ht="12.75" hidden="false" customHeight="true" outlineLevel="0" collapsed="false">
      <c r="A115" s="5" t="s">
        <v>3709</v>
      </c>
      <c r="B115" s="7" t="n">
        <v>30</v>
      </c>
      <c r="C115" s="7" t="n">
        <v>30</v>
      </c>
      <c r="D115" s="7" t="s">
        <v>3758</v>
      </c>
      <c r="E115" s="7"/>
      <c r="G115" s="5" t="str">
        <f aca="false">IF(ISNUMBER(FIND("old rod:",A115)),"old rod:",A115)</f>
        <v>30, 30, DUGROUPLE</v>
      </c>
      <c r="I115" s="5" t="s">
        <v>3709</v>
      </c>
    </row>
    <row r="116" customFormat="false" ht="12.75" hidden="false" customHeight="true" outlineLevel="0" collapsed="false">
      <c r="A116" s="5" t="s">
        <v>2536</v>
      </c>
      <c r="B116" s="7" t="s">
        <v>2536</v>
      </c>
      <c r="C116" s="7"/>
      <c r="D116" s="7"/>
      <c r="E116" s="7"/>
      <c r="G116" s="5" t="str">
        <f aca="false">IF(ISNUMBER(FIND("old rod:",A116)),"old rod:",A116)</f>
        <v>NEW ROUTE</v>
      </c>
      <c r="I116" s="5" t="s">
        <v>2536</v>
      </c>
    </row>
    <row r="117" customFormat="false" ht="12.75" hidden="false" customHeight="true" outlineLevel="0" collapsed="false">
      <c r="A117" s="5" t="s">
        <v>91</v>
      </c>
      <c r="B117" s="7" t="s">
        <v>91</v>
      </c>
      <c r="C117" s="7"/>
      <c r="D117" s="7"/>
      <c r="E117" s="7"/>
      <c r="G117" s="5" t="str">
        <f aca="false">IF(ISNUMBER(FIND("old rod:",A117)),"old rod:",A117)</f>
        <v>Victory Road 1F</v>
      </c>
      <c r="I117" s="5" t="s">
        <v>91</v>
      </c>
    </row>
    <row r="118" customFormat="false" ht="12.75" hidden="false" customHeight="true" outlineLevel="0" collapsed="false">
      <c r="A118" s="5" t="n">
        <v>0.2</v>
      </c>
      <c r="B118" s="5" t="n">
        <v>0.2</v>
      </c>
      <c r="C118" s="7"/>
      <c r="D118" s="7"/>
      <c r="E118" s="7"/>
      <c r="G118" s="5" t="n">
        <f aca="false">IF(ISNUMBER(FIND("old rod:",A118)),"old rod:",A118)</f>
        <v>0.2</v>
      </c>
      <c r="I118" s="5" t="n">
        <v>0.2</v>
      </c>
    </row>
    <row r="119" customFormat="false" ht="12.75" hidden="false" customHeight="true" outlineLevel="0" collapsed="false">
      <c r="A119" s="5" t="s">
        <v>1292</v>
      </c>
      <c r="B119" s="7" t="n">
        <v>51</v>
      </c>
      <c r="C119" s="7" t="n">
        <v>56</v>
      </c>
      <c r="D119" s="7" t="s">
        <v>3759</v>
      </c>
      <c r="E119" s="7"/>
      <c r="G119" s="5" t="str">
        <f aca="false">IF(ISNUMBER(FIND("old rod:",A119)),"old rod:",A119)</f>
        <v>51, 56, NOHTYP</v>
      </c>
      <c r="I119" s="5" t="s">
        <v>1292</v>
      </c>
    </row>
    <row r="120" customFormat="false" ht="12.75" hidden="false" customHeight="true" outlineLevel="0" collapsed="false">
      <c r="A120" s="5" t="s">
        <v>2869</v>
      </c>
      <c r="B120" s="7" t="n">
        <v>51</v>
      </c>
      <c r="C120" s="7" t="n">
        <v>56</v>
      </c>
      <c r="D120" s="7" t="s">
        <v>3760</v>
      </c>
      <c r="E120" s="7"/>
      <c r="G120" s="5" t="str">
        <f aca="false">IF(ISNUMBER(FIND("old rod:",A120)),"old rod:",A120)</f>
        <v>51, 56, CROBAT</v>
      </c>
      <c r="I120" s="5" t="s">
        <v>2869</v>
      </c>
    </row>
    <row r="121" customFormat="false" ht="12.75" hidden="false" customHeight="true" outlineLevel="0" collapsed="false">
      <c r="A121" s="5" t="n">
        <v>0.1</v>
      </c>
      <c r="B121" s="5" t="n">
        <v>0.1</v>
      </c>
      <c r="C121" s="7"/>
      <c r="D121" s="7"/>
      <c r="E121" s="7"/>
      <c r="G121" s="5" t="n">
        <f aca="false">IF(ISNUMBER(FIND("old rod:",A121)),"old rod:",A121)</f>
        <v>0.1</v>
      </c>
      <c r="I121" s="5" t="n">
        <v>0.1</v>
      </c>
    </row>
    <row r="122" customFormat="false" ht="12.75" hidden="false" customHeight="true" outlineLevel="0" collapsed="false">
      <c r="A122" s="5" t="s">
        <v>2870</v>
      </c>
      <c r="B122" s="7" t="n">
        <v>51</v>
      </c>
      <c r="C122" s="7" t="n">
        <v>56</v>
      </c>
      <c r="D122" s="7" t="s">
        <v>3761</v>
      </c>
      <c r="E122" s="7"/>
      <c r="G122" s="5" t="str">
        <f aca="false">IF(ISNUMBER(FIND("old rod:",A122)),"old rod:",A122)</f>
        <v>51, 56, MACHAMP</v>
      </c>
      <c r="I122" s="5" t="s">
        <v>2870</v>
      </c>
    </row>
    <row r="123" customFormat="false" ht="12.75" hidden="false" customHeight="true" outlineLevel="0" collapsed="false">
      <c r="A123" s="5" t="s">
        <v>2871</v>
      </c>
      <c r="B123" s="7" t="n">
        <v>51</v>
      </c>
      <c r="C123" s="7" t="n">
        <v>56</v>
      </c>
      <c r="D123" s="7" t="s">
        <v>3762</v>
      </c>
      <c r="E123" s="7"/>
      <c r="G123" s="5" t="str">
        <f aca="false">IF(ISNUMBER(FIND("old rod:",A123)),"old rod:",A123)</f>
        <v>51, 56, GOLEM</v>
      </c>
      <c r="I123" s="5" t="s">
        <v>2871</v>
      </c>
    </row>
    <row r="124" customFormat="false" ht="12.75" hidden="false" customHeight="true" outlineLevel="0" collapsed="false">
      <c r="A124" s="5" t="s">
        <v>2872</v>
      </c>
      <c r="B124" s="7" t="n">
        <v>53</v>
      </c>
      <c r="C124" s="7" t="n">
        <v>57</v>
      </c>
      <c r="D124" s="7" t="s">
        <v>3763</v>
      </c>
      <c r="E124" s="7"/>
      <c r="G124" s="5" t="str">
        <f aca="false">IF(ISNUMBER(FIND("old rod:",A124)),"old rod:",A124)</f>
        <v>53, 57, ADNOKANA</v>
      </c>
      <c r="I124" s="5" t="s">
        <v>2872</v>
      </c>
    </row>
    <row r="125" customFormat="false" ht="12.75" hidden="false" customHeight="true" outlineLevel="0" collapsed="false">
      <c r="A125" s="5" t="s">
        <v>2873</v>
      </c>
      <c r="B125" s="7" t="n">
        <v>53</v>
      </c>
      <c r="C125" s="7" t="n">
        <v>57</v>
      </c>
      <c r="D125" s="7" t="s">
        <v>3764</v>
      </c>
      <c r="E125" s="7"/>
      <c r="G125" s="5" t="str">
        <f aca="false">IF(ISNUMBER(FIND("old rod:",A125)),"old rod:",A125)</f>
        <v>53, 57, POLABAT</v>
      </c>
      <c r="I125" s="5" t="s">
        <v>2873</v>
      </c>
    </row>
    <row r="126" customFormat="false" ht="12.75" hidden="false" customHeight="true" outlineLevel="0" collapsed="false">
      <c r="A126" s="5" t="n">
        <v>0.05</v>
      </c>
      <c r="B126" s="5" t="n">
        <v>0.05</v>
      </c>
      <c r="C126" s="7"/>
      <c r="D126" s="7"/>
      <c r="E126" s="7"/>
      <c r="G126" s="5" t="n">
        <f aca="false">IF(ISNUMBER(FIND("old rod:",A126)),"old rod:",A126)</f>
        <v>0.05</v>
      </c>
      <c r="I126" s="5" t="n">
        <v>0.05</v>
      </c>
    </row>
    <row r="127" customFormat="false" ht="12.75" hidden="false" customHeight="true" outlineLevel="0" collapsed="false">
      <c r="A127" s="5" t="s">
        <v>2874</v>
      </c>
      <c r="B127" s="7" t="n">
        <v>53</v>
      </c>
      <c r="C127" s="7" t="n">
        <v>57</v>
      </c>
      <c r="D127" s="7" t="s">
        <v>3765</v>
      </c>
      <c r="E127" s="7"/>
      <c r="G127" s="5" t="str">
        <f aca="false">IF(ISNUMBER(FIND("old rod:",A127)),"old rod:",A127)</f>
        <v>53, 57, MACHULK</v>
      </c>
      <c r="I127" s="5" t="s">
        <v>2874</v>
      </c>
    </row>
    <row r="128" customFormat="false" ht="12.75" hidden="false" customHeight="true" outlineLevel="0" collapsed="false">
      <c r="A128" s="5" t="s">
        <v>2875</v>
      </c>
      <c r="B128" s="7" t="n">
        <v>53</v>
      </c>
      <c r="C128" s="7" t="n">
        <v>57</v>
      </c>
      <c r="D128" s="7" t="s">
        <v>3766</v>
      </c>
      <c r="E128" s="7"/>
      <c r="G128" s="5" t="str">
        <f aca="false">IF(ISNUMBER(FIND("old rod:",A128)),"old rod:",A128)</f>
        <v>53, 57, RHYMARKABL</v>
      </c>
      <c r="I128" s="5" t="s">
        <v>2875</v>
      </c>
    </row>
    <row r="129" customFormat="false" ht="12.75" hidden="false" customHeight="true" outlineLevel="0" collapsed="false">
      <c r="A129" s="5" t="n">
        <v>0.04</v>
      </c>
      <c r="B129" s="5" t="n">
        <v>0.04</v>
      </c>
      <c r="C129" s="7"/>
      <c r="D129" s="7"/>
      <c r="E129" s="7"/>
      <c r="G129" s="5" t="n">
        <f aca="false">IF(ISNUMBER(FIND("old rod:",A129)),"old rod:",A129)</f>
        <v>0.04</v>
      </c>
      <c r="I129" s="5" t="n">
        <v>0.04</v>
      </c>
    </row>
    <row r="130" customFormat="false" ht="12.75" hidden="false" customHeight="true" outlineLevel="0" collapsed="false">
      <c r="A130" s="5" t="s">
        <v>2876</v>
      </c>
      <c r="B130" s="7" t="n">
        <v>55</v>
      </c>
      <c r="C130" s="7" t="n">
        <v>57</v>
      </c>
      <c r="D130" s="7" t="s">
        <v>3767</v>
      </c>
      <c r="E130" s="7"/>
      <c r="G130" s="5" t="str">
        <f aca="false">IF(ISNUMBER(FIND("old rod:",A130)),"old rod:",A130)</f>
        <v>55, 57, PLATNIX</v>
      </c>
      <c r="I130" s="5" t="s">
        <v>2876</v>
      </c>
    </row>
    <row r="131" customFormat="false" ht="12.75" hidden="false" customHeight="true" outlineLevel="0" collapsed="false">
      <c r="A131" s="5" t="s">
        <v>2877</v>
      </c>
      <c r="B131" s="7" t="n">
        <v>55</v>
      </c>
      <c r="C131" s="7" t="n">
        <v>57</v>
      </c>
      <c r="D131" s="7" t="s">
        <v>3768</v>
      </c>
      <c r="E131" s="7"/>
      <c r="G131" s="5" t="str">
        <f aca="false">IF(ISNUMBER(FIND("old rod:",A131)),"old rod:",A131)</f>
        <v>55, 57, SLAGOLEM</v>
      </c>
      <c r="I131" s="5" t="s">
        <v>2877</v>
      </c>
    </row>
    <row r="132" customFormat="false" ht="12.75" hidden="false" customHeight="true" outlineLevel="0" collapsed="false">
      <c r="A132" s="5" t="n">
        <v>0.01</v>
      </c>
      <c r="B132" s="5" t="n">
        <v>0.01</v>
      </c>
      <c r="C132" s="7"/>
      <c r="D132" s="7"/>
      <c r="E132" s="7"/>
      <c r="G132" s="5" t="n">
        <f aca="false">IF(ISNUMBER(FIND("old rod:",A132)),"old rod:",A132)</f>
        <v>0.01</v>
      </c>
      <c r="I132" s="5" t="n">
        <v>0.01</v>
      </c>
    </row>
    <row r="133" customFormat="false" ht="12.75" hidden="false" customHeight="true" outlineLevel="0" collapsed="false">
      <c r="A133" s="5" t="s">
        <v>2878</v>
      </c>
      <c r="B133" s="7" t="n">
        <v>58</v>
      </c>
      <c r="C133" s="7" t="n">
        <v>60</v>
      </c>
      <c r="D133" s="7" t="s">
        <v>3769</v>
      </c>
      <c r="E133" s="7"/>
      <c r="G133" s="5" t="str">
        <f aca="false">IF(ISNUMBER(FIND("old rod:",A133)),"old rod:",A133)</f>
        <v>58, 60, MOLTREM</v>
      </c>
      <c r="I133" s="5" t="s">
        <v>2878</v>
      </c>
    </row>
    <row r="134" customFormat="false" ht="12.75" hidden="false" customHeight="true" outlineLevel="0" collapsed="false">
      <c r="A134" s="5" t="s">
        <v>3710</v>
      </c>
      <c r="B134" s="7" t="n">
        <v>58</v>
      </c>
      <c r="C134" s="7" t="n">
        <v>60</v>
      </c>
      <c r="D134" s="7" t="s">
        <v>3770</v>
      </c>
      <c r="E134" s="7"/>
      <c r="G134" s="5" t="str">
        <f aca="false">IF(ISNUMBER(FIND("old rod:",A134)),"old rod:",A134)</f>
        <v>58, 60, WRAIWRATH</v>
      </c>
      <c r="I134" s="5" t="s">
        <v>3710</v>
      </c>
    </row>
    <row r="135" customFormat="false" ht="12.75" hidden="false" customHeight="true" outlineLevel="0" collapsed="false">
      <c r="A135" s="5" t="s">
        <v>2536</v>
      </c>
      <c r="B135" s="7" t="s">
        <v>2536</v>
      </c>
      <c r="C135" s="7"/>
      <c r="D135" s="7"/>
      <c r="E135" s="7"/>
      <c r="G135" s="5" t="str">
        <f aca="false">IF(ISNUMBER(FIND("old rod:",A135)),"old rod:",A135)</f>
        <v>NEW ROUTE</v>
      </c>
      <c r="I135" s="5" t="s">
        <v>2536</v>
      </c>
    </row>
    <row r="136" customFormat="false" ht="12.75" hidden="false" customHeight="true" outlineLevel="0" collapsed="false">
      <c r="A136" s="5" t="s">
        <v>93</v>
      </c>
      <c r="B136" s="7" t="s">
        <v>93</v>
      </c>
      <c r="C136" s="7"/>
      <c r="D136" s="7"/>
      <c r="E136" s="7"/>
      <c r="G136" s="5" t="str">
        <f aca="false">IF(ISNUMBER(FIND("old rod:",A136)),"old rod:",A136)</f>
        <v>Victory Road 2F</v>
      </c>
      <c r="I136" s="5" t="s">
        <v>93</v>
      </c>
    </row>
    <row r="137" customFormat="false" ht="12.75" hidden="false" customHeight="true" outlineLevel="0" collapsed="false">
      <c r="A137" s="5" t="n">
        <v>0.2</v>
      </c>
      <c r="B137" s="5" t="n">
        <v>0.2</v>
      </c>
      <c r="C137" s="7"/>
      <c r="D137" s="7"/>
      <c r="E137" s="7"/>
      <c r="G137" s="5" t="n">
        <f aca="false">IF(ISNUMBER(FIND("old rod:",A137)),"old rod:",A137)</f>
        <v>0.2</v>
      </c>
      <c r="I137" s="5" t="n">
        <v>0.2</v>
      </c>
    </row>
    <row r="138" customFormat="false" ht="12.75" hidden="false" customHeight="true" outlineLevel="0" collapsed="false">
      <c r="A138" s="5" t="s">
        <v>1292</v>
      </c>
      <c r="B138" s="7" t="n">
        <v>51</v>
      </c>
      <c r="C138" s="7" t="n">
        <v>56</v>
      </c>
      <c r="D138" s="7" t="s">
        <v>3759</v>
      </c>
      <c r="E138" s="7"/>
      <c r="G138" s="5" t="str">
        <f aca="false">IF(ISNUMBER(FIND("old rod:",A138)),"old rod:",A138)</f>
        <v>51, 56, NOHTYP</v>
      </c>
      <c r="I138" s="5" t="s">
        <v>1292</v>
      </c>
    </row>
    <row r="139" customFormat="false" ht="12.75" hidden="false" customHeight="true" outlineLevel="0" collapsed="false">
      <c r="A139" s="5" t="s">
        <v>2869</v>
      </c>
      <c r="B139" s="7" t="n">
        <v>51</v>
      </c>
      <c r="C139" s="7" t="n">
        <v>56</v>
      </c>
      <c r="D139" s="7" t="s">
        <v>3760</v>
      </c>
      <c r="E139" s="7"/>
      <c r="G139" s="5" t="str">
        <f aca="false">IF(ISNUMBER(FIND("old rod:",A139)),"old rod:",A139)</f>
        <v>51, 56, CROBAT</v>
      </c>
      <c r="I139" s="5" t="s">
        <v>2869</v>
      </c>
    </row>
    <row r="140" customFormat="false" ht="12.75" hidden="false" customHeight="true" outlineLevel="0" collapsed="false">
      <c r="A140" s="5" t="n">
        <v>0.1</v>
      </c>
      <c r="B140" s="5" t="n">
        <v>0.1</v>
      </c>
      <c r="C140" s="7"/>
      <c r="D140" s="7"/>
      <c r="E140" s="7"/>
      <c r="G140" s="5" t="n">
        <f aca="false">IF(ISNUMBER(FIND("old rod:",A140)),"old rod:",A140)</f>
        <v>0.1</v>
      </c>
      <c r="I140" s="5" t="n">
        <v>0.1</v>
      </c>
    </row>
    <row r="141" customFormat="false" ht="12.75" hidden="false" customHeight="true" outlineLevel="0" collapsed="false">
      <c r="A141" s="5" t="s">
        <v>2870</v>
      </c>
      <c r="B141" s="7" t="n">
        <v>51</v>
      </c>
      <c r="C141" s="7" t="n">
        <v>56</v>
      </c>
      <c r="D141" s="7" t="s">
        <v>3761</v>
      </c>
      <c r="E141" s="7"/>
      <c r="G141" s="5" t="str">
        <f aca="false">IF(ISNUMBER(FIND("old rod:",A141)),"old rod:",A141)</f>
        <v>51, 56, MACHAMP</v>
      </c>
      <c r="I141" s="5" t="s">
        <v>2870</v>
      </c>
    </row>
    <row r="142" customFormat="false" ht="12.75" hidden="false" customHeight="true" outlineLevel="0" collapsed="false">
      <c r="A142" s="5" t="s">
        <v>2871</v>
      </c>
      <c r="B142" s="7" t="n">
        <v>51</v>
      </c>
      <c r="C142" s="7" t="n">
        <v>56</v>
      </c>
      <c r="D142" s="7" t="s">
        <v>3762</v>
      </c>
      <c r="E142" s="7"/>
      <c r="G142" s="5" t="str">
        <f aca="false">IF(ISNUMBER(FIND("old rod:",A142)),"old rod:",A142)</f>
        <v>51, 56, GOLEM</v>
      </c>
      <c r="I142" s="5" t="s">
        <v>2871</v>
      </c>
    </row>
    <row r="143" customFormat="false" ht="12.75" hidden="false" customHeight="true" outlineLevel="0" collapsed="false">
      <c r="A143" s="5" t="s">
        <v>2872</v>
      </c>
      <c r="B143" s="7" t="n">
        <v>53</v>
      </c>
      <c r="C143" s="7" t="n">
        <v>57</v>
      </c>
      <c r="D143" s="7" t="s">
        <v>3763</v>
      </c>
      <c r="E143" s="7"/>
      <c r="G143" s="5" t="str">
        <f aca="false">IF(ISNUMBER(FIND("old rod:",A143)),"old rod:",A143)</f>
        <v>53, 57, ADNOKANA</v>
      </c>
      <c r="I143" s="5" t="s">
        <v>2872</v>
      </c>
    </row>
    <row r="144" customFormat="false" ht="12.75" hidden="false" customHeight="true" outlineLevel="0" collapsed="false">
      <c r="A144" s="5" t="s">
        <v>2873</v>
      </c>
      <c r="B144" s="7" t="n">
        <v>53</v>
      </c>
      <c r="C144" s="7" t="n">
        <v>57</v>
      </c>
      <c r="D144" s="7" t="s">
        <v>3764</v>
      </c>
      <c r="E144" s="7"/>
      <c r="G144" s="5" t="str">
        <f aca="false">IF(ISNUMBER(FIND("old rod:",A144)),"old rod:",A144)</f>
        <v>53, 57, POLABAT</v>
      </c>
      <c r="I144" s="5" t="s">
        <v>2873</v>
      </c>
    </row>
    <row r="145" customFormat="false" ht="12.75" hidden="false" customHeight="true" outlineLevel="0" collapsed="false">
      <c r="A145" s="5" t="n">
        <v>0.05</v>
      </c>
      <c r="B145" s="5" t="n">
        <v>0.05</v>
      </c>
      <c r="C145" s="7"/>
      <c r="D145" s="7"/>
      <c r="E145" s="7"/>
      <c r="G145" s="5" t="n">
        <f aca="false">IF(ISNUMBER(FIND("old rod:",A145)),"old rod:",A145)</f>
        <v>0.05</v>
      </c>
      <c r="I145" s="5" t="n">
        <v>0.05</v>
      </c>
    </row>
    <row r="146" customFormat="false" ht="12.75" hidden="false" customHeight="true" outlineLevel="0" collapsed="false">
      <c r="A146" s="5" t="s">
        <v>2874</v>
      </c>
      <c r="B146" s="7" t="n">
        <v>53</v>
      </c>
      <c r="C146" s="7" t="n">
        <v>57</v>
      </c>
      <c r="D146" s="7" t="s">
        <v>3765</v>
      </c>
      <c r="E146" s="7"/>
      <c r="G146" s="5" t="str">
        <f aca="false">IF(ISNUMBER(FIND("old rod:",A146)),"old rod:",A146)</f>
        <v>53, 57, MACHULK</v>
      </c>
      <c r="I146" s="5" t="s">
        <v>2874</v>
      </c>
    </row>
    <row r="147" customFormat="false" ht="12.75" hidden="false" customHeight="true" outlineLevel="0" collapsed="false">
      <c r="A147" s="5" t="s">
        <v>2875</v>
      </c>
      <c r="B147" s="7" t="n">
        <v>53</v>
      </c>
      <c r="C147" s="7" t="n">
        <v>57</v>
      </c>
      <c r="D147" s="7" t="s">
        <v>3766</v>
      </c>
      <c r="E147" s="7"/>
      <c r="G147" s="5" t="str">
        <f aca="false">IF(ISNUMBER(FIND("old rod:",A147)),"old rod:",A147)</f>
        <v>53, 57, RHYMARKABL</v>
      </c>
      <c r="I147" s="5" t="s">
        <v>2875</v>
      </c>
    </row>
    <row r="148" customFormat="false" ht="12.75" hidden="false" customHeight="true" outlineLevel="0" collapsed="false">
      <c r="A148" s="5" t="n">
        <v>0.04</v>
      </c>
      <c r="B148" s="5" t="n">
        <v>0.04</v>
      </c>
      <c r="C148" s="7"/>
      <c r="D148" s="7"/>
      <c r="E148" s="7"/>
      <c r="G148" s="5" t="n">
        <f aca="false">IF(ISNUMBER(FIND("old rod:",A148)),"old rod:",A148)</f>
        <v>0.04</v>
      </c>
      <c r="I148" s="5" t="n">
        <v>0.04</v>
      </c>
    </row>
    <row r="149" customFormat="false" ht="12.75" hidden="false" customHeight="true" outlineLevel="0" collapsed="false">
      <c r="A149" s="5" t="s">
        <v>2876</v>
      </c>
      <c r="B149" s="7" t="n">
        <v>55</v>
      </c>
      <c r="C149" s="7" t="n">
        <v>57</v>
      </c>
      <c r="D149" s="7" t="s">
        <v>3767</v>
      </c>
      <c r="E149" s="7"/>
      <c r="G149" s="5" t="str">
        <f aca="false">IF(ISNUMBER(FIND("old rod:",A149)),"old rod:",A149)</f>
        <v>55, 57, PLATNIX</v>
      </c>
      <c r="I149" s="5" t="s">
        <v>2876</v>
      </c>
    </row>
    <row r="150" customFormat="false" ht="12.75" hidden="false" customHeight="true" outlineLevel="0" collapsed="false">
      <c r="A150" s="5" t="s">
        <v>2877</v>
      </c>
      <c r="B150" s="7" t="n">
        <v>55</v>
      </c>
      <c r="C150" s="7" t="n">
        <v>57</v>
      </c>
      <c r="D150" s="7" t="s">
        <v>3768</v>
      </c>
      <c r="E150" s="7"/>
      <c r="G150" s="5" t="str">
        <f aca="false">IF(ISNUMBER(FIND("old rod:",A150)),"old rod:",A150)</f>
        <v>55, 57, SLAGOLEM</v>
      </c>
      <c r="I150" s="5" t="s">
        <v>2877</v>
      </c>
    </row>
    <row r="151" customFormat="false" ht="12.75" hidden="false" customHeight="true" outlineLevel="0" collapsed="false">
      <c r="A151" s="5" t="n">
        <v>0.01</v>
      </c>
      <c r="B151" s="5" t="n">
        <v>0.01</v>
      </c>
      <c r="C151" s="7"/>
      <c r="D151" s="7"/>
      <c r="E151" s="7"/>
      <c r="G151" s="5" t="n">
        <f aca="false">IF(ISNUMBER(FIND("old rod:",A151)),"old rod:",A151)</f>
        <v>0.01</v>
      </c>
      <c r="I151" s="5" t="n">
        <v>0.01</v>
      </c>
    </row>
    <row r="152" customFormat="false" ht="12.75" hidden="false" customHeight="true" outlineLevel="0" collapsed="false">
      <c r="A152" s="5" t="s">
        <v>2881</v>
      </c>
      <c r="B152" s="7" t="n">
        <v>59</v>
      </c>
      <c r="C152" s="7" t="n">
        <v>61</v>
      </c>
      <c r="D152" s="7" t="s">
        <v>3769</v>
      </c>
      <c r="E152" s="7"/>
      <c r="G152" s="5" t="str">
        <f aca="false">IF(ISNUMBER(FIND("old rod:",A152)),"old rod:",A152)</f>
        <v>59, 61, MOLTREM</v>
      </c>
      <c r="I152" s="5" t="s">
        <v>2881</v>
      </c>
    </row>
    <row r="153" customFormat="false" ht="12.75" hidden="false" customHeight="true" outlineLevel="0" collapsed="false">
      <c r="A153" s="5" t="s">
        <v>3711</v>
      </c>
      <c r="B153" s="7" t="n">
        <v>59</v>
      </c>
      <c r="C153" s="7" t="n">
        <v>61</v>
      </c>
      <c r="D153" s="7" t="s">
        <v>3771</v>
      </c>
      <c r="E153" s="7"/>
      <c r="G153" s="5" t="str">
        <f aca="false">IF(ISNUMBER(FIND("old rod:",A153)),"old rod:",A153)</f>
        <v>59, 61, FERODILLO</v>
      </c>
      <c r="I153" s="5" t="s">
        <v>3711</v>
      </c>
    </row>
    <row r="154" customFormat="false" ht="12.75" hidden="false" customHeight="true" outlineLevel="0" collapsed="false">
      <c r="A154" s="5" t="s">
        <v>2536</v>
      </c>
      <c r="B154" s="7" t="s">
        <v>2536</v>
      </c>
      <c r="C154" s="7"/>
      <c r="D154" s="7"/>
      <c r="E154" s="7"/>
      <c r="G154" s="5" t="str">
        <f aca="false">IF(ISNUMBER(FIND("old rod:",A154)),"old rod:",A154)</f>
        <v>NEW ROUTE</v>
      </c>
      <c r="I154" s="5" t="s">
        <v>2536</v>
      </c>
    </row>
    <row r="155" customFormat="false" ht="12.75" hidden="false" customHeight="true" outlineLevel="0" collapsed="false">
      <c r="A155" s="5" t="s">
        <v>95</v>
      </c>
      <c r="B155" s="7" t="s">
        <v>95</v>
      </c>
      <c r="C155" s="7"/>
      <c r="D155" s="7"/>
      <c r="E155" s="7"/>
      <c r="G155" s="5" t="str">
        <f aca="false">IF(ISNUMBER(FIND("old rod:",A155)),"old rod:",A155)</f>
        <v>Victory Road 3F</v>
      </c>
      <c r="I155" s="5" t="s">
        <v>95</v>
      </c>
    </row>
    <row r="156" customFormat="false" ht="12.75" hidden="false" customHeight="true" outlineLevel="0" collapsed="false">
      <c r="A156" s="5" t="n">
        <v>0.2</v>
      </c>
      <c r="B156" s="5" t="n">
        <v>0.2</v>
      </c>
      <c r="C156" s="7"/>
      <c r="D156" s="7"/>
      <c r="E156" s="7"/>
      <c r="G156" s="5" t="n">
        <f aca="false">IF(ISNUMBER(FIND("old rod:",A156)),"old rod:",A156)</f>
        <v>0.2</v>
      </c>
      <c r="I156" s="5" t="n">
        <v>0.2</v>
      </c>
    </row>
    <row r="157" customFormat="false" ht="12.75" hidden="false" customHeight="true" outlineLevel="0" collapsed="false">
      <c r="A157" s="5" t="s">
        <v>1292</v>
      </c>
      <c r="B157" s="7" t="n">
        <v>51</v>
      </c>
      <c r="C157" s="7" t="n">
        <v>56</v>
      </c>
      <c r="D157" s="7" t="s">
        <v>3759</v>
      </c>
      <c r="E157" s="7"/>
      <c r="G157" s="5" t="str">
        <f aca="false">IF(ISNUMBER(FIND("old rod:",A157)),"old rod:",A157)</f>
        <v>51, 56, NOHTYP</v>
      </c>
      <c r="I157" s="5" t="s">
        <v>1292</v>
      </c>
    </row>
    <row r="158" customFormat="false" ht="12.75" hidden="false" customHeight="true" outlineLevel="0" collapsed="false">
      <c r="A158" s="5" t="s">
        <v>2869</v>
      </c>
      <c r="B158" s="7" t="n">
        <v>51</v>
      </c>
      <c r="C158" s="7" t="n">
        <v>56</v>
      </c>
      <c r="D158" s="7" t="s">
        <v>3760</v>
      </c>
      <c r="E158" s="7"/>
      <c r="G158" s="5" t="str">
        <f aca="false">IF(ISNUMBER(FIND("old rod:",A158)),"old rod:",A158)</f>
        <v>51, 56, CROBAT</v>
      </c>
      <c r="I158" s="5" t="s">
        <v>2869</v>
      </c>
    </row>
    <row r="159" customFormat="false" ht="12.75" hidden="false" customHeight="true" outlineLevel="0" collapsed="false">
      <c r="A159" s="5" t="n">
        <v>0.1</v>
      </c>
      <c r="B159" s="5" t="n">
        <v>0.1</v>
      </c>
      <c r="C159" s="7"/>
      <c r="D159" s="7"/>
      <c r="E159" s="7"/>
      <c r="G159" s="5" t="n">
        <f aca="false">IF(ISNUMBER(FIND("old rod:",A159)),"old rod:",A159)</f>
        <v>0.1</v>
      </c>
      <c r="I159" s="5" t="n">
        <v>0.1</v>
      </c>
    </row>
    <row r="160" customFormat="false" ht="12.75" hidden="false" customHeight="true" outlineLevel="0" collapsed="false">
      <c r="A160" s="5" t="s">
        <v>2870</v>
      </c>
      <c r="B160" s="7" t="n">
        <v>51</v>
      </c>
      <c r="C160" s="7" t="n">
        <v>56</v>
      </c>
      <c r="D160" s="7" t="s">
        <v>3761</v>
      </c>
      <c r="E160" s="7"/>
      <c r="G160" s="5" t="str">
        <f aca="false">IF(ISNUMBER(FIND("old rod:",A160)),"old rod:",A160)</f>
        <v>51, 56, MACHAMP</v>
      </c>
      <c r="I160" s="5" t="s">
        <v>2870</v>
      </c>
    </row>
    <row r="161" customFormat="false" ht="12.75" hidden="false" customHeight="true" outlineLevel="0" collapsed="false">
      <c r="A161" s="5" t="s">
        <v>2871</v>
      </c>
      <c r="B161" s="7" t="n">
        <v>51</v>
      </c>
      <c r="C161" s="7" t="n">
        <v>56</v>
      </c>
      <c r="D161" s="7" t="s">
        <v>3762</v>
      </c>
      <c r="E161" s="7"/>
      <c r="G161" s="5" t="str">
        <f aca="false">IF(ISNUMBER(FIND("old rod:",A161)),"old rod:",A161)</f>
        <v>51, 56, GOLEM</v>
      </c>
      <c r="I161" s="5" t="s">
        <v>2871</v>
      </c>
    </row>
    <row r="162" customFormat="false" ht="12.75" hidden="false" customHeight="true" outlineLevel="0" collapsed="false">
      <c r="A162" s="5" t="s">
        <v>2872</v>
      </c>
      <c r="B162" s="7" t="n">
        <v>53</v>
      </c>
      <c r="C162" s="7" t="n">
        <v>57</v>
      </c>
      <c r="D162" s="7" t="s">
        <v>3763</v>
      </c>
      <c r="E162" s="7"/>
      <c r="G162" s="5" t="str">
        <f aca="false">IF(ISNUMBER(FIND("old rod:",A162)),"old rod:",A162)</f>
        <v>53, 57, ADNOKANA</v>
      </c>
      <c r="I162" s="5" t="s">
        <v>2872</v>
      </c>
    </row>
    <row r="163" customFormat="false" ht="12.75" hidden="false" customHeight="true" outlineLevel="0" collapsed="false">
      <c r="A163" s="5" t="s">
        <v>2873</v>
      </c>
      <c r="B163" s="7" t="n">
        <v>53</v>
      </c>
      <c r="C163" s="7" t="n">
        <v>57</v>
      </c>
      <c r="D163" s="7" t="s">
        <v>3764</v>
      </c>
      <c r="E163" s="7"/>
      <c r="G163" s="5" t="str">
        <f aca="false">IF(ISNUMBER(FIND("old rod:",A163)),"old rod:",A163)</f>
        <v>53, 57, POLABAT</v>
      </c>
      <c r="I163" s="5" t="s">
        <v>2873</v>
      </c>
    </row>
    <row r="164" customFormat="false" ht="12.75" hidden="false" customHeight="true" outlineLevel="0" collapsed="false">
      <c r="A164" s="5" t="n">
        <v>0.05</v>
      </c>
      <c r="B164" s="5" t="n">
        <v>0.05</v>
      </c>
      <c r="C164" s="7"/>
      <c r="D164" s="7"/>
      <c r="E164" s="7"/>
      <c r="G164" s="5" t="n">
        <f aca="false">IF(ISNUMBER(FIND("old rod:",A164)),"old rod:",A164)</f>
        <v>0.05</v>
      </c>
      <c r="I164" s="5" t="n">
        <v>0.05</v>
      </c>
    </row>
    <row r="165" customFormat="false" ht="12.75" hidden="false" customHeight="true" outlineLevel="0" collapsed="false">
      <c r="A165" s="5" t="s">
        <v>2874</v>
      </c>
      <c r="B165" s="7" t="n">
        <v>53</v>
      </c>
      <c r="C165" s="7" t="n">
        <v>57</v>
      </c>
      <c r="D165" s="7" t="s">
        <v>3765</v>
      </c>
      <c r="E165" s="7"/>
      <c r="G165" s="5" t="str">
        <f aca="false">IF(ISNUMBER(FIND("old rod:",A165)),"old rod:",A165)</f>
        <v>53, 57, MACHULK</v>
      </c>
      <c r="I165" s="5" t="s">
        <v>2874</v>
      </c>
    </row>
    <row r="166" customFormat="false" ht="12.75" hidden="false" customHeight="true" outlineLevel="0" collapsed="false">
      <c r="A166" s="5" t="s">
        <v>2875</v>
      </c>
      <c r="B166" s="7" t="n">
        <v>53</v>
      </c>
      <c r="C166" s="7" t="n">
        <v>57</v>
      </c>
      <c r="D166" s="7" t="s">
        <v>3766</v>
      </c>
      <c r="E166" s="7"/>
      <c r="G166" s="5" t="str">
        <f aca="false">IF(ISNUMBER(FIND("old rod:",A166)),"old rod:",A166)</f>
        <v>53, 57, RHYMARKABL</v>
      </c>
      <c r="I166" s="5" t="s">
        <v>2875</v>
      </c>
    </row>
    <row r="167" customFormat="false" ht="12.75" hidden="false" customHeight="true" outlineLevel="0" collapsed="false">
      <c r="A167" s="5" t="n">
        <v>0.04</v>
      </c>
      <c r="B167" s="5" t="n">
        <v>0.04</v>
      </c>
      <c r="C167" s="7"/>
      <c r="D167" s="7"/>
      <c r="E167" s="7"/>
      <c r="G167" s="5" t="n">
        <f aca="false">IF(ISNUMBER(FIND("old rod:",A167)),"old rod:",A167)</f>
        <v>0.04</v>
      </c>
      <c r="I167" s="5" t="n">
        <v>0.04</v>
      </c>
    </row>
    <row r="168" customFormat="false" ht="12.75" hidden="false" customHeight="true" outlineLevel="0" collapsed="false">
      <c r="A168" s="5" t="s">
        <v>2876</v>
      </c>
      <c r="B168" s="7" t="n">
        <v>55</v>
      </c>
      <c r="C168" s="7" t="n">
        <v>57</v>
      </c>
      <c r="D168" s="7" t="s">
        <v>3767</v>
      </c>
      <c r="E168" s="7"/>
      <c r="G168" s="5" t="str">
        <f aca="false">IF(ISNUMBER(FIND("old rod:",A168)),"old rod:",A168)</f>
        <v>55, 57, PLATNIX</v>
      </c>
      <c r="I168" s="5" t="s">
        <v>2876</v>
      </c>
    </row>
    <row r="169" customFormat="false" ht="12.75" hidden="false" customHeight="true" outlineLevel="0" collapsed="false">
      <c r="A169" s="5" t="s">
        <v>2877</v>
      </c>
      <c r="B169" s="7" t="n">
        <v>55</v>
      </c>
      <c r="C169" s="7" t="n">
        <v>57</v>
      </c>
      <c r="D169" s="7" t="s">
        <v>3768</v>
      </c>
      <c r="E169" s="7"/>
      <c r="G169" s="5" t="str">
        <f aca="false">IF(ISNUMBER(FIND("old rod:",A169)),"old rod:",A169)</f>
        <v>55, 57, SLAGOLEM</v>
      </c>
      <c r="I169" s="5" t="s">
        <v>2877</v>
      </c>
    </row>
    <row r="170" customFormat="false" ht="12.75" hidden="false" customHeight="true" outlineLevel="0" collapsed="false">
      <c r="A170" s="5" t="n">
        <v>0.01</v>
      </c>
      <c r="B170" s="5" t="n">
        <v>0.01</v>
      </c>
      <c r="C170" s="7"/>
      <c r="D170" s="7"/>
      <c r="E170" s="7"/>
      <c r="G170" s="5" t="n">
        <f aca="false">IF(ISNUMBER(FIND("old rod:",A170)),"old rod:",A170)</f>
        <v>0.01</v>
      </c>
      <c r="I170" s="5" t="n">
        <v>0.01</v>
      </c>
    </row>
    <row r="171" customFormat="false" ht="12.75" hidden="false" customHeight="true" outlineLevel="0" collapsed="false">
      <c r="A171" s="5" t="s">
        <v>2884</v>
      </c>
      <c r="B171" s="7" t="n">
        <v>60</v>
      </c>
      <c r="C171" s="7" t="n">
        <v>62</v>
      </c>
      <c r="D171" s="7" t="s">
        <v>3769</v>
      </c>
      <c r="E171" s="7"/>
      <c r="G171" s="5" t="str">
        <f aca="false">IF(ISNUMBER(FIND("old rod:",A171)),"old rod:",A171)</f>
        <v>60, 62, MOLTREM</v>
      </c>
      <c r="I171" s="5" t="s">
        <v>2884</v>
      </c>
    </row>
    <row r="172" customFormat="false" ht="12.75" hidden="false" customHeight="true" outlineLevel="0" collapsed="false">
      <c r="A172" s="5" t="s">
        <v>3712</v>
      </c>
      <c r="B172" s="7" t="n">
        <v>60</v>
      </c>
      <c r="C172" s="7" t="n">
        <v>62</v>
      </c>
      <c r="D172" s="7" t="s">
        <v>3772</v>
      </c>
      <c r="E172" s="7"/>
      <c r="G172" s="5" t="str">
        <f aca="false">IF(ISNUMBER(FIND("old rod:",A172)),"old rod:",A172)</f>
        <v>60, 62, CLAYMOR</v>
      </c>
      <c r="I172" s="5" t="s">
        <v>3712</v>
      </c>
    </row>
    <row r="173" customFormat="false" ht="12.75" hidden="false" customHeight="true" outlineLevel="0" collapsed="false">
      <c r="A173" s="5" t="s">
        <v>2536</v>
      </c>
      <c r="B173" s="7" t="s">
        <v>2536</v>
      </c>
      <c r="C173" s="7"/>
      <c r="D173" s="7"/>
      <c r="E173" s="7"/>
      <c r="G173" s="5" t="str">
        <f aca="false">IF(ISNUMBER(FIND("old rod:",A173)),"old rod:",A173)</f>
        <v>NEW ROUTE</v>
      </c>
      <c r="I173" s="5" t="s">
        <v>2536</v>
      </c>
    </row>
    <row r="174" customFormat="false" ht="12.75" hidden="false" customHeight="true" outlineLevel="0" collapsed="false">
      <c r="A174" s="5" t="s">
        <v>131</v>
      </c>
      <c r="B174" s="7" t="s">
        <v>131</v>
      </c>
      <c r="C174" s="7"/>
      <c r="D174" s="7"/>
      <c r="E174" s="7"/>
      <c r="G174" s="5" t="str">
        <f aca="false">IF(ISNUMBER(FIND("old rod:",A174)),"old rod:",A174)</f>
        <v>Pokémon Mansion 1F</v>
      </c>
      <c r="I174" s="5" t="s">
        <v>131</v>
      </c>
    </row>
    <row r="175" customFormat="false" ht="12.75" hidden="false" customHeight="true" outlineLevel="0" collapsed="false">
      <c r="A175" s="5" t="n">
        <v>0.2</v>
      </c>
      <c r="B175" s="5" t="n">
        <v>0.2</v>
      </c>
      <c r="C175" s="7"/>
      <c r="D175" s="7"/>
      <c r="E175" s="7"/>
      <c r="G175" s="5" t="n">
        <f aca="false">IF(ISNUMBER(FIND("old rod:",A175)),"old rod:",A175)</f>
        <v>0.2</v>
      </c>
      <c r="I175" s="5" t="n">
        <v>0.2</v>
      </c>
    </row>
    <row r="176" customFormat="false" ht="12.75" hidden="false" customHeight="true" outlineLevel="0" collapsed="false">
      <c r="A176" s="5" t="s">
        <v>1311</v>
      </c>
      <c r="B176" s="7" t="n">
        <v>40</v>
      </c>
      <c r="C176" s="7" t="n">
        <v>44</v>
      </c>
      <c r="D176" s="7" t="s">
        <v>3773</v>
      </c>
      <c r="E176" s="7"/>
      <c r="G176" s="5" t="str">
        <f aca="false">IF(ISNUMBER(FIND("old rod:",A176)),"old rod:",A176)</f>
        <v>40, 44, RATTCHET</v>
      </c>
      <c r="I176" s="5" t="s">
        <v>1311</v>
      </c>
    </row>
    <row r="177" customFormat="false" ht="12.75" hidden="false" customHeight="true" outlineLevel="0" collapsed="false">
      <c r="A177" s="5" t="s">
        <v>2887</v>
      </c>
      <c r="B177" s="7" t="n">
        <v>40</v>
      </c>
      <c r="C177" s="7" t="n">
        <v>44</v>
      </c>
      <c r="D177" s="7" t="s">
        <v>3774</v>
      </c>
      <c r="E177" s="7"/>
      <c r="G177" s="5" t="str">
        <f aca="false">IF(ISNUMBER(FIND("old rod:",A177)),"old rod:",A177)</f>
        <v>40, 44, NINETALES</v>
      </c>
      <c r="I177" s="5" t="s">
        <v>2887</v>
      </c>
    </row>
    <row r="178" customFormat="false" ht="12.75" hidden="false" customHeight="true" outlineLevel="0" collapsed="false">
      <c r="A178" s="5" t="n">
        <v>0.1</v>
      </c>
      <c r="B178" s="5" t="n">
        <v>0.1</v>
      </c>
      <c r="C178" s="7"/>
      <c r="D178" s="7"/>
      <c r="E178" s="7"/>
      <c r="G178" s="5" t="n">
        <f aca="false">IF(ISNUMBER(FIND("old rod:",A178)),"old rod:",A178)</f>
        <v>0.1</v>
      </c>
      <c r="I178" s="5" t="n">
        <v>0.1</v>
      </c>
    </row>
    <row r="179" customFormat="false" ht="12.75" hidden="false" customHeight="true" outlineLevel="0" collapsed="false">
      <c r="A179" s="5" t="s">
        <v>2888</v>
      </c>
      <c r="B179" s="7" t="n">
        <v>41</v>
      </c>
      <c r="C179" s="7" t="n">
        <v>42</v>
      </c>
      <c r="D179" s="7" t="s">
        <v>3775</v>
      </c>
      <c r="E179" s="7"/>
      <c r="G179" s="5" t="str">
        <f aca="false">IF(ISNUMBER(FIND("old rod:",A179)),"old rod:",A179)</f>
        <v>41, 42, ARCANINE</v>
      </c>
      <c r="I179" s="5" t="s">
        <v>2888</v>
      </c>
    </row>
    <row r="180" customFormat="false" ht="12.75" hidden="false" customHeight="true" outlineLevel="0" collapsed="false">
      <c r="A180" s="5" t="s">
        <v>2889</v>
      </c>
      <c r="B180" s="7" t="n">
        <v>43</v>
      </c>
      <c r="C180" s="7" t="n">
        <v>44</v>
      </c>
      <c r="D180" s="7" t="s">
        <v>3775</v>
      </c>
      <c r="E180" s="7"/>
      <c r="G180" s="5" t="str">
        <f aca="false">IF(ISNUMBER(FIND("old rod:",A180)),"old rod:",A180)</f>
        <v>43, 44, ARCANINE</v>
      </c>
      <c r="I180" s="5" t="s">
        <v>2889</v>
      </c>
    </row>
    <row r="181" customFormat="false" ht="12.75" hidden="false" customHeight="true" outlineLevel="0" collapsed="false">
      <c r="A181" s="5" t="s">
        <v>2890</v>
      </c>
      <c r="B181" s="7" t="n">
        <v>42</v>
      </c>
      <c r="C181" s="7" t="n">
        <v>44</v>
      </c>
      <c r="D181" s="7" t="s">
        <v>3776</v>
      </c>
      <c r="E181" s="7"/>
      <c r="G181" s="5" t="str">
        <f aca="false">IF(ISNUMBER(FIND("old rod:",A181)),"old rod:",A181)</f>
        <v>42, 44, WEEZING</v>
      </c>
      <c r="I181" s="5" t="s">
        <v>2890</v>
      </c>
    </row>
    <row r="182" customFormat="false" ht="12.75" hidden="false" customHeight="true" outlineLevel="0" collapsed="false">
      <c r="A182" s="5" t="s">
        <v>2891</v>
      </c>
      <c r="B182" s="7" t="n">
        <v>42</v>
      </c>
      <c r="C182" s="7" t="n">
        <v>44</v>
      </c>
      <c r="D182" s="7" t="s">
        <v>3777</v>
      </c>
      <c r="E182" s="7"/>
      <c r="G182" s="5" t="str">
        <f aca="false">IF(ISNUMBER(FIND("old rod:",A182)),"old rod:",A182)</f>
        <v>42, 44, MUK</v>
      </c>
      <c r="I182" s="5" t="s">
        <v>2891</v>
      </c>
    </row>
    <row r="183" customFormat="false" ht="12.75" hidden="false" customHeight="true" outlineLevel="0" collapsed="false">
      <c r="A183" s="5" t="n">
        <v>0.05</v>
      </c>
      <c r="B183" s="5" t="n">
        <v>0.05</v>
      </c>
      <c r="C183" s="7"/>
      <c r="D183" s="7"/>
      <c r="E183" s="7"/>
      <c r="G183" s="5" t="n">
        <f aca="false">IF(ISNUMBER(FIND("old rod:",A183)),"old rod:",A183)</f>
        <v>0.05</v>
      </c>
      <c r="I183" s="5" t="n">
        <v>0.05</v>
      </c>
    </row>
    <row r="184" customFormat="false" ht="12.75" hidden="false" customHeight="true" outlineLevel="0" collapsed="false">
      <c r="A184" s="5" t="s">
        <v>2892</v>
      </c>
      <c r="B184" s="7" t="n">
        <v>43</v>
      </c>
      <c r="C184" s="7" t="n">
        <v>45</v>
      </c>
      <c r="D184" s="7" t="s">
        <v>3778</v>
      </c>
      <c r="E184" s="7"/>
      <c r="G184" s="5" t="str">
        <f aca="false">IF(ISNUMBER(FIND("old rod:",A184)),"old rod:",A184)</f>
        <v>43, 45, SINGESHA</v>
      </c>
      <c r="I184" s="5" t="s">
        <v>2892</v>
      </c>
    </row>
    <row r="185" customFormat="false" ht="12.75" hidden="false" customHeight="true" outlineLevel="0" collapsed="false">
      <c r="A185" s="5" t="s">
        <v>2893</v>
      </c>
      <c r="B185" s="7" t="n">
        <v>43</v>
      </c>
      <c r="C185" s="7" t="n">
        <v>45</v>
      </c>
      <c r="D185" s="7" t="s">
        <v>3779</v>
      </c>
      <c r="E185" s="7"/>
      <c r="G185" s="5" t="str">
        <f aca="false">IF(ISNUMBER(FIND("old rod:",A185)),"old rod:",A185)</f>
        <v>43, 45, SPIRITALES</v>
      </c>
      <c r="I185" s="5" t="s">
        <v>2893</v>
      </c>
    </row>
    <row r="186" customFormat="false" ht="12.75" hidden="false" customHeight="true" outlineLevel="0" collapsed="false">
      <c r="A186" s="5" t="n">
        <v>0.04</v>
      </c>
      <c r="B186" s="5" t="n">
        <v>0.04</v>
      </c>
      <c r="C186" s="7"/>
      <c r="D186" s="7"/>
      <c r="E186" s="7"/>
      <c r="G186" s="5" t="n">
        <f aca="false">IF(ISNUMBER(FIND("old rod:",A186)),"old rod:",A186)</f>
        <v>0.04</v>
      </c>
      <c r="I186" s="5" t="n">
        <v>0.04</v>
      </c>
    </row>
    <row r="187" customFormat="false" ht="12.75" hidden="false" customHeight="true" outlineLevel="0" collapsed="false">
      <c r="A187" s="5" t="s">
        <v>2894</v>
      </c>
      <c r="B187" s="7" t="n">
        <v>45</v>
      </c>
      <c r="C187" s="7" t="n">
        <v>46</v>
      </c>
      <c r="D187" s="7" t="s">
        <v>3780</v>
      </c>
      <c r="E187" s="7"/>
      <c r="G187" s="5" t="str">
        <f aca="false">IF(ISNUMBER(FIND("old rod:",A187)),"old rod:",A187)</f>
        <v>45, 46, GUNK</v>
      </c>
      <c r="I187" s="5" t="s">
        <v>2894</v>
      </c>
    </row>
    <row r="188" customFormat="false" ht="12.75" hidden="false" customHeight="true" outlineLevel="0" collapsed="false">
      <c r="A188" s="5" t="s">
        <v>2895</v>
      </c>
      <c r="B188" s="7" t="n">
        <v>45</v>
      </c>
      <c r="C188" s="7" t="n">
        <v>46</v>
      </c>
      <c r="D188" s="7" t="s">
        <v>3781</v>
      </c>
      <c r="E188" s="7"/>
      <c r="G188" s="5" t="str">
        <f aca="false">IF(ISNUMBER(FIND("old rod:",A188)),"old rod:",A188)</f>
        <v>45, 46, HEEVING</v>
      </c>
      <c r="I188" s="5" t="s">
        <v>2895</v>
      </c>
    </row>
    <row r="189" customFormat="false" ht="12.75" hidden="false" customHeight="true" outlineLevel="0" collapsed="false">
      <c r="A189" s="5" t="n">
        <v>0.01</v>
      </c>
      <c r="B189" s="5" t="n">
        <v>0.01</v>
      </c>
      <c r="C189" s="7"/>
      <c r="D189" s="7"/>
      <c r="E189" s="7"/>
      <c r="G189" s="5" t="n">
        <f aca="false">IF(ISNUMBER(FIND("old rod:",A189)),"old rod:",A189)</f>
        <v>0.01</v>
      </c>
      <c r="I189" s="5" t="n">
        <v>0.01</v>
      </c>
    </row>
    <row r="190" customFormat="false" ht="12.75" hidden="false" customHeight="true" outlineLevel="0" collapsed="false">
      <c r="A190" s="5" t="s">
        <v>2896</v>
      </c>
      <c r="B190" s="7" t="n">
        <v>44</v>
      </c>
      <c r="C190" s="7" t="n">
        <v>47</v>
      </c>
      <c r="D190" s="7" t="s">
        <v>3782</v>
      </c>
      <c r="E190" s="7"/>
      <c r="G190" s="5" t="str">
        <f aca="false">IF(ISNUMBER(FIND("old rod:",A190)),"old rod:",A190)</f>
        <v>44, 47, RATTARULE</v>
      </c>
      <c r="I190" s="5" t="s">
        <v>2896</v>
      </c>
    </row>
    <row r="191" customFormat="false" ht="12.75" hidden="false" customHeight="true" outlineLevel="0" collapsed="false">
      <c r="A191" s="5" t="s">
        <v>3713</v>
      </c>
      <c r="B191" s="7" t="n">
        <v>20</v>
      </c>
      <c r="C191" s="7" t="n">
        <v>25</v>
      </c>
      <c r="D191" s="7" t="s">
        <v>3783</v>
      </c>
      <c r="E191" s="7"/>
      <c r="G191" s="5" t="str">
        <f aca="false">IF(ISNUMBER(FIND("old rod:",A191)),"old rod:",A191)</f>
        <v>20, 25, CHARMANDER</v>
      </c>
      <c r="I191" s="5" t="s">
        <v>3713</v>
      </c>
    </row>
    <row r="192" customFormat="false" ht="12.75" hidden="false" customHeight="true" outlineLevel="0" collapsed="false">
      <c r="A192" s="5" t="s">
        <v>2536</v>
      </c>
      <c r="B192" s="7" t="s">
        <v>2536</v>
      </c>
      <c r="C192" s="7"/>
      <c r="D192" s="7"/>
      <c r="E192" s="7"/>
      <c r="G192" s="5" t="str">
        <f aca="false">IF(ISNUMBER(FIND("old rod:",A192)),"old rod:",A192)</f>
        <v>NEW ROUTE</v>
      </c>
      <c r="I192" s="5" t="s">
        <v>2536</v>
      </c>
    </row>
    <row r="193" customFormat="false" ht="12.75" hidden="false" customHeight="true" outlineLevel="0" collapsed="false">
      <c r="A193" s="5" t="s">
        <v>133</v>
      </c>
      <c r="B193" s="7" t="s">
        <v>133</v>
      </c>
      <c r="C193" s="7"/>
      <c r="D193" s="7"/>
      <c r="E193" s="7"/>
      <c r="G193" s="5" t="str">
        <f aca="false">IF(ISNUMBER(FIND("old rod:",A193)),"old rod:",A193)</f>
        <v>Pokémon Mansion 2F</v>
      </c>
      <c r="I193" s="5" t="s">
        <v>133</v>
      </c>
    </row>
    <row r="194" customFormat="false" ht="12.75" hidden="false" customHeight="true" outlineLevel="0" collapsed="false">
      <c r="A194" s="5" t="n">
        <v>0.2</v>
      </c>
      <c r="B194" s="5" t="n">
        <v>0.2</v>
      </c>
      <c r="C194" s="7"/>
      <c r="D194" s="7"/>
      <c r="E194" s="7"/>
      <c r="G194" s="5" t="n">
        <f aca="false">IF(ISNUMBER(FIND("old rod:",A194)),"old rod:",A194)</f>
        <v>0.2</v>
      </c>
      <c r="I194" s="5" t="n">
        <v>0.2</v>
      </c>
    </row>
    <row r="195" customFormat="false" ht="12.75" hidden="false" customHeight="true" outlineLevel="0" collapsed="false">
      <c r="A195" s="5" t="s">
        <v>1311</v>
      </c>
      <c r="B195" s="7" t="n">
        <v>40</v>
      </c>
      <c r="C195" s="7" t="n">
        <v>44</v>
      </c>
      <c r="D195" s="7" t="s">
        <v>3773</v>
      </c>
      <c r="E195" s="7"/>
      <c r="G195" s="5" t="str">
        <f aca="false">IF(ISNUMBER(FIND("old rod:",A195)),"old rod:",A195)</f>
        <v>40, 44, RATTCHET</v>
      </c>
      <c r="I195" s="5" t="s">
        <v>1311</v>
      </c>
    </row>
    <row r="196" customFormat="false" ht="12.75" hidden="false" customHeight="true" outlineLevel="0" collapsed="false">
      <c r="A196" s="5" t="s">
        <v>2887</v>
      </c>
      <c r="B196" s="7" t="n">
        <v>40</v>
      </c>
      <c r="C196" s="7" t="n">
        <v>44</v>
      </c>
      <c r="D196" s="7" t="s">
        <v>3774</v>
      </c>
      <c r="E196" s="7"/>
      <c r="G196" s="5" t="str">
        <f aca="false">IF(ISNUMBER(FIND("old rod:",A196)),"old rod:",A196)</f>
        <v>40, 44, NINETALES</v>
      </c>
      <c r="I196" s="5" t="s">
        <v>2887</v>
      </c>
    </row>
    <row r="197" customFormat="false" ht="12.75" hidden="false" customHeight="true" outlineLevel="0" collapsed="false">
      <c r="A197" s="5" t="n">
        <v>0.1</v>
      </c>
      <c r="B197" s="5" t="n">
        <v>0.1</v>
      </c>
      <c r="C197" s="7"/>
      <c r="D197" s="7"/>
      <c r="E197" s="7"/>
      <c r="G197" s="5" t="n">
        <f aca="false">IF(ISNUMBER(FIND("old rod:",A197)),"old rod:",A197)</f>
        <v>0.1</v>
      </c>
      <c r="I197" s="5" t="n">
        <v>0.1</v>
      </c>
    </row>
    <row r="198" customFormat="false" ht="12.75" hidden="false" customHeight="true" outlineLevel="0" collapsed="false">
      <c r="A198" s="5" t="s">
        <v>2888</v>
      </c>
      <c r="B198" s="7" t="n">
        <v>41</v>
      </c>
      <c r="C198" s="7" t="n">
        <v>42</v>
      </c>
      <c r="D198" s="7" t="s">
        <v>3775</v>
      </c>
      <c r="E198" s="7"/>
      <c r="G198" s="5" t="str">
        <f aca="false">IF(ISNUMBER(FIND("old rod:",A198)),"old rod:",A198)</f>
        <v>41, 42, ARCANINE</v>
      </c>
      <c r="I198" s="5" t="s">
        <v>2888</v>
      </c>
    </row>
    <row r="199" customFormat="false" ht="12.75" hidden="false" customHeight="true" outlineLevel="0" collapsed="false">
      <c r="A199" s="5" t="s">
        <v>2889</v>
      </c>
      <c r="B199" s="7" t="n">
        <v>43</v>
      </c>
      <c r="C199" s="7" t="n">
        <v>44</v>
      </c>
      <c r="D199" s="7" t="s">
        <v>3775</v>
      </c>
      <c r="E199" s="7"/>
      <c r="G199" s="5" t="str">
        <f aca="false">IF(ISNUMBER(FIND("old rod:",A199)),"old rod:",A199)</f>
        <v>43, 44, ARCANINE</v>
      </c>
      <c r="I199" s="5" t="s">
        <v>2889</v>
      </c>
    </row>
    <row r="200" customFormat="false" ht="12.75" hidden="false" customHeight="true" outlineLevel="0" collapsed="false">
      <c r="A200" s="5" t="s">
        <v>2890</v>
      </c>
      <c r="B200" s="7" t="n">
        <v>42</v>
      </c>
      <c r="C200" s="7" t="n">
        <v>44</v>
      </c>
      <c r="D200" s="7" t="s">
        <v>3776</v>
      </c>
      <c r="E200" s="7"/>
      <c r="G200" s="5" t="str">
        <f aca="false">IF(ISNUMBER(FIND("old rod:",A200)),"old rod:",A200)</f>
        <v>42, 44, WEEZING</v>
      </c>
      <c r="I200" s="5" t="s">
        <v>2890</v>
      </c>
    </row>
    <row r="201" customFormat="false" ht="12.75" hidden="false" customHeight="true" outlineLevel="0" collapsed="false">
      <c r="A201" s="5" t="s">
        <v>2891</v>
      </c>
      <c r="B201" s="7" t="n">
        <v>42</v>
      </c>
      <c r="C201" s="7" t="n">
        <v>44</v>
      </c>
      <c r="D201" s="7" t="s">
        <v>3777</v>
      </c>
      <c r="E201" s="7"/>
      <c r="G201" s="5" t="str">
        <f aca="false">IF(ISNUMBER(FIND("old rod:",A201)),"old rod:",A201)</f>
        <v>42, 44, MUK</v>
      </c>
      <c r="I201" s="5" t="s">
        <v>2891</v>
      </c>
    </row>
    <row r="202" customFormat="false" ht="12.75" hidden="false" customHeight="true" outlineLevel="0" collapsed="false">
      <c r="A202" s="5" t="n">
        <v>0.05</v>
      </c>
      <c r="B202" s="5" t="n">
        <v>0.05</v>
      </c>
      <c r="C202" s="7"/>
      <c r="D202" s="7"/>
      <c r="E202" s="7"/>
      <c r="G202" s="5" t="n">
        <f aca="false">IF(ISNUMBER(FIND("old rod:",A202)),"old rod:",A202)</f>
        <v>0.05</v>
      </c>
      <c r="I202" s="5" t="n">
        <v>0.05</v>
      </c>
    </row>
    <row r="203" customFormat="false" ht="12.75" hidden="false" customHeight="true" outlineLevel="0" collapsed="false">
      <c r="A203" s="5" t="s">
        <v>2892</v>
      </c>
      <c r="B203" s="7" t="n">
        <v>43</v>
      </c>
      <c r="C203" s="7" t="n">
        <v>45</v>
      </c>
      <c r="D203" s="7" t="s">
        <v>3778</v>
      </c>
      <c r="E203" s="7"/>
      <c r="G203" s="5" t="str">
        <f aca="false">IF(ISNUMBER(FIND("old rod:",A203)),"old rod:",A203)</f>
        <v>43, 45, SINGESHA</v>
      </c>
      <c r="I203" s="5" t="s">
        <v>2892</v>
      </c>
    </row>
    <row r="204" customFormat="false" ht="12.75" hidden="false" customHeight="true" outlineLevel="0" collapsed="false">
      <c r="A204" s="5" t="s">
        <v>2893</v>
      </c>
      <c r="B204" s="7" t="n">
        <v>43</v>
      </c>
      <c r="C204" s="7" t="n">
        <v>45</v>
      </c>
      <c r="D204" s="7" t="s">
        <v>3779</v>
      </c>
      <c r="E204" s="7"/>
      <c r="G204" s="5" t="str">
        <f aca="false">IF(ISNUMBER(FIND("old rod:",A204)),"old rod:",A204)</f>
        <v>43, 45, SPIRITALES</v>
      </c>
      <c r="I204" s="5" t="s">
        <v>2893</v>
      </c>
    </row>
    <row r="205" customFormat="false" ht="12.75" hidden="false" customHeight="true" outlineLevel="0" collapsed="false">
      <c r="A205" s="5" t="n">
        <v>0.04</v>
      </c>
      <c r="B205" s="5" t="n">
        <v>0.04</v>
      </c>
      <c r="C205" s="7"/>
      <c r="D205" s="7"/>
      <c r="E205" s="7"/>
      <c r="G205" s="5" t="n">
        <f aca="false">IF(ISNUMBER(FIND("old rod:",A205)),"old rod:",A205)</f>
        <v>0.04</v>
      </c>
      <c r="I205" s="5" t="n">
        <v>0.04</v>
      </c>
    </row>
    <row r="206" customFormat="false" ht="12.75" hidden="false" customHeight="true" outlineLevel="0" collapsed="false">
      <c r="A206" s="5" t="s">
        <v>2894</v>
      </c>
      <c r="B206" s="7" t="n">
        <v>45</v>
      </c>
      <c r="C206" s="7" t="n">
        <v>46</v>
      </c>
      <c r="D206" s="7" t="s">
        <v>3780</v>
      </c>
      <c r="E206" s="7"/>
      <c r="G206" s="5" t="str">
        <f aca="false">IF(ISNUMBER(FIND("old rod:",A206)),"old rod:",A206)</f>
        <v>45, 46, GUNK</v>
      </c>
      <c r="I206" s="5" t="s">
        <v>2894</v>
      </c>
    </row>
    <row r="207" customFormat="false" ht="12.75" hidden="false" customHeight="true" outlineLevel="0" collapsed="false">
      <c r="A207" s="5" t="s">
        <v>2895</v>
      </c>
      <c r="B207" s="7" t="n">
        <v>45</v>
      </c>
      <c r="C207" s="7" t="n">
        <v>46</v>
      </c>
      <c r="D207" s="7" t="s">
        <v>3781</v>
      </c>
      <c r="E207" s="7"/>
      <c r="G207" s="5" t="str">
        <f aca="false">IF(ISNUMBER(FIND("old rod:",A207)),"old rod:",A207)</f>
        <v>45, 46, HEEVING</v>
      </c>
      <c r="I207" s="5" t="s">
        <v>2895</v>
      </c>
    </row>
    <row r="208" customFormat="false" ht="12.75" hidden="false" customHeight="true" outlineLevel="0" collapsed="false">
      <c r="A208" s="5" t="n">
        <v>0.01</v>
      </c>
      <c r="B208" s="5" t="n">
        <v>0.01</v>
      </c>
      <c r="C208" s="7"/>
      <c r="D208" s="7"/>
      <c r="E208" s="7"/>
      <c r="G208" s="5" t="n">
        <f aca="false">IF(ISNUMBER(FIND("old rod:",A208)),"old rod:",A208)</f>
        <v>0.01</v>
      </c>
      <c r="I208" s="5" t="n">
        <v>0.01</v>
      </c>
    </row>
    <row r="209" customFormat="false" ht="12.75" hidden="false" customHeight="true" outlineLevel="0" collapsed="false">
      <c r="A209" s="5" t="s">
        <v>2896</v>
      </c>
      <c r="B209" s="7" t="n">
        <v>44</v>
      </c>
      <c r="C209" s="7" t="n">
        <v>47</v>
      </c>
      <c r="D209" s="7" t="s">
        <v>3782</v>
      </c>
      <c r="E209" s="7"/>
      <c r="G209" s="5" t="str">
        <f aca="false">IF(ISNUMBER(FIND("old rod:",A209)),"old rod:",A209)</f>
        <v>44, 47, RATTARULE</v>
      </c>
      <c r="I209" s="5" t="s">
        <v>2896</v>
      </c>
    </row>
    <row r="210" customFormat="false" ht="12.75" hidden="false" customHeight="true" outlineLevel="0" collapsed="false">
      <c r="A210" s="5" t="s">
        <v>3713</v>
      </c>
      <c r="B210" s="7" t="n">
        <v>20</v>
      </c>
      <c r="C210" s="7" t="n">
        <v>25</v>
      </c>
      <c r="D210" s="7" t="s">
        <v>3783</v>
      </c>
      <c r="E210" s="7"/>
      <c r="G210" s="5" t="str">
        <f aca="false">IF(ISNUMBER(FIND("old rod:",A210)),"old rod:",A210)</f>
        <v>20, 25, CHARMANDER</v>
      </c>
      <c r="I210" s="5" t="s">
        <v>3713</v>
      </c>
    </row>
    <row r="211" customFormat="false" ht="12.75" hidden="false" customHeight="true" outlineLevel="0" collapsed="false">
      <c r="A211" s="5" t="s">
        <v>2536</v>
      </c>
      <c r="B211" s="7" t="s">
        <v>2536</v>
      </c>
      <c r="C211" s="7"/>
      <c r="D211" s="7"/>
      <c r="E211" s="7"/>
      <c r="G211" s="5" t="str">
        <f aca="false">IF(ISNUMBER(FIND("old rod:",A211)),"old rod:",A211)</f>
        <v>NEW ROUTE</v>
      </c>
      <c r="I211" s="5" t="s">
        <v>2536</v>
      </c>
    </row>
    <row r="212" customFormat="false" ht="12.75" hidden="false" customHeight="true" outlineLevel="0" collapsed="false">
      <c r="A212" s="5" t="s">
        <v>135</v>
      </c>
      <c r="B212" s="7" t="s">
        <v>135</v>
      </c>
      <c r="C212" s="7"/>
      <c r="D212" s="7"/>
      <c r="E212" s="7"/>
      <c r="G212" s="5" t="str">
        <f aca="false">IF(ISNUMBER(FIND("old rod:",A212)),"old rod:",A212)</f>
        <v>Pokémon Mansion 3F</v>
      </c>
      <c r="I212" s="5" t="s">
        <v>135</v>
      </c>
    </row>
    <row r="213" customFormat="false" ht="12.75" hidden="false" customHeight="true" outlineLevel="0" collapsed="false">
      <c r="A213" s="5" t="n">
        <v>0.2</v>
      </c>
      <c r="B213" s="5" t="n">
        <v>0.2</v>
      </c>
      <c r="C213" s="7"/>
      <c r="D213" s="7"/>
      <c r="E213" s="7"/>
      <c r="G213" s="5" t="n">
        <f aca="false">IF(ISNUMBER(FIND("old rod:",A213)),"old rod:",A213)</f>
        <v>0.2</v>
      </c>
      <c r="I213" s="5" t="n">
        <v>0.2</v>
      </c>
    </row>
    <row r="214" customFormat="false" ht="12.75" hidden="false" customHeight="true" outlineLevel="0" collapsed="false">
      <c r="A214" s="5" t="s">
        <v>1311</v>
      </c>
      <c r="B214" s="7" t="n">
        <v>40</v>
      </c>
      <c r="C214" s="7" t="n">
        <v>44</v>
      </c>
      <c r="D214" s="7" t="s">
        <v>3773</v>
      </c>
      <c r="E214" s="7"/>
      <c r="G214" s="5" t="str">
        <f aca="false">IF(ISNUMBER(FIND("old rod:",A214)),"old rod:",A214)</f>
        <v>40, 44, RATTCHET</v>
      </c>
      <c r="I214" s="5" t="s">
        <v>1311</v>
      </c>
    </row>
    <row r="215" customFormat="false" ht="12.75" hidden="false" customHeight="true" outlineLevel="0" collapsed="false">
      <c r="A215" s="5" t="s">
        <v>2887</v>
      </c>
      <c r="B215" s="7" t="n">
        <v>40</v>
      </c>
      <c r="C215" s="7" t="n">
        <v>44</v>
      </c>
      <c r="D215" s="7" t="s">
        <v>3774</v>
      </c>
      <c r="E215" s="7"/>
      <c r="G215" s="5" t="str">
        <f aca="false">IF(ISNUMBER(FIND("old rod:",A215)),"old rod:",A215)</f>
        <v>40, 44, NINETALES</v>
      </c>
      <c r="I215" s="5" t="s">
        <v>2887</v>
      </c>
    </row>
    <row r="216" customFormat="false" ht="12.75" hidden="false" customHeight="true" outlineLevel="0" collapsed="false">
      <c r="A216" s="5" t="n">
        <v>0.1</v>
      </c>
      <c r="B216" s="5" t="n">
        <v>0.1</v>
      </c>
      <c r="C216" s="7"/>
      <c r="D216" s="7"/>
      <c r="E216" s="7"/>
      <c r="G216" s="5" t="n">
        <f aca="false">IF(ISNUMBER(FIND("old rod:",A216)),"old rod:",A216)</f>
        <v>0.1</v>
      </c>
      <c r="I216" s="5" t="n">
        <v>0.1</v>
      </c>
    </row>
    <row r="217" customFormat="false" ht="12.75" hidden="false" customHeight="true" outlineLevel="0" collapsed="false">
      <c r="A217" s="5" t="s">
        <v>2888</v>
      </c>
      <c r="B217" s="7" t="n">
        <v>41</v>
      </c>
      <c r="C217" s="7" t="n">
        <v>42</v>
      </c>
      <c r="D217" s="7" t="s">
        <v>3775</v>
      </c>
      <c r="E217" s="7"/>
      <c r="G217" s="5" t="str">
        <f aca="false">IF(ISNUMBER(FIND("old rod:",A217)),"old rod:",A217)</f>
        <v>41, 42, ARCANINE</v>
      </c>
      <c r="I217" s="5" t="s">
        <v>2888</v>
      </c>
    </row>
    <row r="218" customFormat="false" ht="12.75" hidden="false" customHeight="true" outlineLevel="0" collapsed="false">
      <c r="A218" s="5" t="s">
        <v>2889</v>
      </c>
      <c r="B218" s="7" t="n">
        <v>43</v>
      </c>
      <c r="C218" s="7" t="n">
        <v>44</v>
      </c>
      <c r="D218" s="7" t="s">
        <v>3775</v>
      </c>
      <c r="E218" s="7"/>
      <c r="G218" s="5" t="str">
        <f aca="false">IF(ISNUMBER(FIND("old rod:",A218)),"old rod:",A218)</f>
        <v>43, 44, ARCANINE</v>
      </c>
      <c r="I218" s="5" t="s">
        <v>2889</v>
      </c>
    </row>
    <row r="219" customFormat="false" ht="12.75" hidden="false" customHeight="true" outlineLevel="0" collapsed="false">
      <c r="A219" s="5" t="s">
        <v>2890</v>
      </c>
      <c r="B219" s="7" t="n">
        <v>42</v>
      </c>
      <c r="C219" s="7" t="n">
        <v>44</v>
      </c>
      <c r="D219" s="7" t="s">
        <v>3776</v>
      </c>
      <c r="E219" s="7"/>
      <c r="G219" s="5" t="str">
        <f aca="false">IF(ISNUMBER(FIND("old rod:",A219)),"old rod:",A219)</f>
        <v>42, 44, WEEZING</v>
      </c>
      <c r="I219" s="5" t="s">
        <v>2890</v>
      </c>
    </row>
    <row r="220" customFormat="false" ht="12.75" hidden="false" customHeight="true" outlineLevel="0" collapsed="false">
      <c r="A220" s="5" t="s">
        <v>2891</v>
      </c>
      <c r="B220" s="7" t="n">
        <v>42</v>
      </c>
      <c r="C220" s="7" t="n">
        <v>44</v>
      </c>
      <c r="D220" s="7" t="s">
        <v>3777</v>
      </c>
      <c r="E220" s="7"/>
      <c r="G220" s="5" t="str">
        <f aca="false">IF(ISNUMBER(FIND("old rod:",A220)),"old rod:",A220)</f>
        <v>42, 44, MUK</v>
      </c>
      <c r="I220" s="5" t="s">
        <v>2891</v>
      </c>
    </row>
    <row r="221" customFormat="false" ht="12.75" hidden="false" customHeight="true" outlineLevel="0" collapsed="false">
      <c r="A221" s="5" t="n">
        <v>0.05</v>
      </c>
      <c r="B221" s="5" t="n">
        <v>0.05</v>
      </c>
      <c r="C221" s="7"/>
      <c r="D221" s="7"/>
      <c r="E221" s="7"/>
      <c r="G221" s="5" t="n">
        <f aca="false">IF(ISNUMBER(FIND("old rod:",A221)),"old rod:",A221)</f>
        <v>0.05</v>
      </c>
      <c r="I221" s="5" t="n">
        <v>0.05</v>
      </c>
    </row>
    <row r="222" customFormat="false" ht="12.75" hidden="false" customHeight="true" outlineLevel="0" collapsed="false">
      <c r="A222" s="5" t="s">
        <v>2892</v>
      </c>
      <c r="B222" s="7" t="n">
        <v>43</v>
      </c>
      <c r="C222" s="7" t="n">
        <v>45</v>
      </c>
      <c r="D222" s="7" t="s">
        <v>3778</v>
      </c>
      <c r="E222" s="7"/>
      <c r="G222" s="5" t="str">
        <f aca="false">IF(ISNUMBER(FIND("old rod:",A222)),"old rod:",A222)</f>
        <v>43, 45, SINGESHA</v>
      </c>
      <c r="I222" s="5" t="s">
        <v>2892</v>
      </c>
    </row>
    <row r="223" customFormat="false" ht="12.75" hidden="false" customHeight="true" outlineLevel="0" collapsed="false">
      <c r="A223" s="5" t="s">
        <v>2893</v>
      </c>
      <c r="B223" s="7" t="n">
        <v>43</v>
      </c>
      <c r="C223" s="7" t="n">
        <v>45</v>
      </c>
      <c r="D223" s="7" t="s">
        <v>3779</v>
      </c>
      <c r="E223" s="7"/>
      <c r="G223" s="5" t="str">
        <f aca="false">IF(ISNUMBER(FIND("old rod:",A223)),"old rod:",A223)</f>
        <v>43, 45, SPIRITALES</v>
      </c>
      <c r="I223" s="5" t="s">
        <v>2893</v>
      </c>
    </row>
    <row r="224" customFormat="false" ht="12.75" hidden="false" customHeight="true" outlineLevel="0" collapsed="false">
      <c r="A224" s="5" t="n">
        <v>0.04</v>
      </c>
      <c r="B224" s="5" t="n">
        <v>0.04</v>
      </c>
      <c r="C224" s="7"/>
      <c r="D224" s="7"/>
      <c r="E224" s="7"/>
      <c r="G224" s="5" t="n">
        <f aca="false">IF(ISNUMBER(FIND("old rod:",A224)),"old rod:",A224)</f>
        <v>0.04</v>
      </c>
      <c r="I224" s="5" t="n">
        <v>0.04</v>
      </c>
    </row>
    <row r="225" customFormat="false" ht="12.75" hidden="false" customHeight="true" outlineLevel="0" collapsed="false">
      <c r="A225" s="5" t="s">
        <v>2894</v>
      </c>
      <c r="B225" s="7" t="n">
        <v>45</v>
      </c>
      <c r="C225" s="7" t="n">
        <v>46</v>
      </c>
      <c r="D225" s="7" t="s">
        <v>3780</v>
      </c>
      <c r="E225" s="7"/>
      <c r="G225" s="5" t="str">
        <f aca="false">IF(ISNUMBER(FIND("old rod:",A225)),"old rod:",A225)</f>
        <v>45, 46, GUNK</v>
      </c>
      <c r="I225" s="5" t="s">
        <v>2894</v>
      </c>
    </row>
    <row r="226" customFormat="false" ht="12.75" hidden="false" customHeight="true" outlineLevel="0" collapsed="false">
      <c r="A226" s="5" t="s">
        <v>2895</v>
      </c>
      <c r="B226" s="7" t="n">
        <v>45</v>
      </c>
      <c r="C226" s="7" t="n">
        <v>46</v>
      </c>
      <c r="D226" s="7" t="s">
        <v>3781</v>
      </c>
      <c r="E226" s="7"/>
      <c r="G226" s="5" t="str">
        <f aca="false">IF(ISNUMBER(FIND("old rod:",A226)),"old rod:",A226)</f>
        <v>45, 46, HEEVING</v>
      </c>
      <c r="I226" s="5" t="s">
        <v>2895</v>
      </c>
    </row>
    <row r="227" customFormat="false" ht="12.75" hidden="false" customHeight="true" outlineLevel="0" collapsed="false">
      <c r="A227" s="5" t="n">
        <v>0.01</v>
      </c>
      <c r="B227" s="5" t="n">
        <v>0.01</v>
      </c>
      <c r="C227" s="7"/>
      <c r="D227" s="7"/>
      <c r="E227" s="7"/>
      <c r="G227" s="5" t="n">
        <f aca="false">IF(ISNUMBER(FIND("old rod:",A227)),"old rod:",A227)</f>
        <v>0.01</v>
      </c>
      <c r="I227" s="5" t="n">
        <v>0.01</v>
      </c>
    </row>
    <row r="228" customFormat="false" ht="12.75" hidden="false" customHeight="true" outlineLevel="0" collapsed="false">
      <c r="A228" s="5" t="s">
        <v>2896</v>
      </c>
      <c r="B228" s="7" t="n">
        <v>44</v>
      </c>
      <c r="C228" s="7" t="n">
        <v>47</v>
      </c>
      <c r="D228" s="7" t="s">
        <v>3782</v>
      </c>
      <c r="E228" s="7"/>
      <c r="G228" s="5" t="str">
        <f aca="false">IF(ISNUMBER(FIND("old rod:",A228)),"old rod:",A228)</f>
        <v>44, 47, RATTARULE</v>
      </c>
      <c r="I228" s="5" t="s">
        <v>2896</v>
      </c>
    </row>
    <row r="229" customFormat="false" ht="12.75" hidden="false" customHeight="true" outlineLevel="0" collapsed="false">
      <c r="A229" s="5" t="s">
        <v>3713</v>
      </c>
      <c r="B229" s="7" t="n">
        <v>20</v>
      </c>
      <c r="C229" s="7" t="n">
        <v>25</v>
      </c>
      <c r="D229" s="7" t="s">
        <v>3783</v>
      </c>
      <c r="E229" s="7"/>
      <c r="G229" s="5" t="str">
        <f aca="false">IF(ISNUMBER(FIND("old rod:",A229)),"old rod:",A229)</f>
        <v>20, 25, CHARMANDER</v>
      </c>
      <c r="I229" s="5" t="s">
        <v>3713</v>
      </c>
    </row>
    <row r="230" customFormat="false" ht="12.75" hidden="false" customHeight="true" outlineLevel="0" collapsed="false">
      <c r="A230" s="5" t="s">
        <v>2536</v>
      </c>
      <c r="B230" s="7" t="s">
        <v>2536</v>
      </c>
      <c r="C230" s="7"/>
      <c r="D230" s="7"/>
      <c r="E230" s="7"/>
      <c r="G230" s="5" t="str">
        <f aca="false">IF(ISNUMBER(FIND("old rod:",A230)),"old rod:",A230)</f>
        <v>NEW ROUTE</v>
      </c>
      <c r="I230" s="5" t="s">
        <v>2536</v>
      </c>
    </row>
    <row r="231" customFormat="false" ht="12.75" hidden="false" customHeight="true" outlineLevel="0" collapsed="false">
      <c r="A231" s="5" t="s">
        <v>137</v>
      </c>
      <c r="B231" s="7" t="s">
        <v>137</v>
      </c>
      <c r="C231" s="7"/>
      <c r="D231" s="7"/>
      <c r="E231" s="7"/>
      <c r="G231" s="5" t="str">
        <f aca="false">IF(ISNUMBER(FIND("old rod:",A231)),"old rod:",A231)</f>
        <v>Pokémon Mansion B1F</v>
      </c>
      <c r="I231" s="5" t="s">
        <v>137</v>
      </c>
    </row>
    <row r="232" customFormat="false" ht="12.75" hidden="false" customHeight="true" outlineLevel="0" collapsed="false">
      <c r="A232" s="5" t="n">
        <v>0.2</v>
      </c>
      <c r="B232" s="5" t="n">
        <v>0.2</v>
      </c>
      <c r="C232" s="7"/>
      <c r="D232" s="7"/>
      <c r="E232" s="7"/>
      <c r="G232" s="5" t="n">
        <f aca="false">IF(ISNUMBER(FIND("old rod:",A232)),"old rod:",A232)</f>
        <v>0.2</v>
      </c>
      <c r="I232" s="5" t="n">
        <v>0.2</v>
      </c>
    </row>
    <row r="233" customFormat="false" ht="12.75" hidden="false" customHeight="true" outlineLevel="0" collapsed="false">
      <c r="A233" s="5" t="s">
        <v>1311</v>
      </c>
      <c r="B233" s="7" t="n">
        <v>40</v>
      </c>
      <c r="C233" s="7" t="n">
        <v>44</v>
      </c>
      <c r="D233" s="7" t="s">
        <v>3773</v>
      </c>
      <c r="E233" s="7"/>
      <c r="G233" s="5" t="str">
        <f aca="false">IF(ISNUMBER(FIND("old rod:",A233)),"old rod:",A233)</f>
        <v>40, 44, RATTCHET</v>
      </c>
      <c r="I233" s="5" t="s">
        <v>1311</v>
      </c>
    </row>
    <row r="234" customFormat="false" ht="12.75" hidden="false" customHeight="true" outlineLevel="0" collapsed="false">
      <c r="A234" s="5" t="s">
        <v>2887</v>
      </c>
      <c r="B234" s="7" t="n">
        <v>40</v>
      </c>
      <c r="C234" s="7" t="n">
        <v>44</v>
      </c>
      <c r="D234" s="7" t="s">
        <v>3774</v>
      </c>
      <c r="E234" s="7"/>
      <c r="G234" s="5" t="str">
        <f aca="false">IF(ISNUMBER(FIND("old rod:",A234)),"old rod:",A234)</f>
        <v>40, 44, NINETALES</v>
      </c>
      <c r="I234" s="5" t="s">
        <v>2887</v>
      </c>
    </row>
    <row r="235" customFormat="false" ht="12.75" hidden="false" customHeight="true" outlineLevel="0" collapsed="false">
      <c r="A235" s="5" t="n">
        <v>0.1</v>
      </c>
      <c r="B235" s="5" t="n">
        <v>0.1</v>
      </c>
      <c r="C235" s="7"/>
      <c r="D235" s="7"/>
      <c r="E235" s="7"/>
      <c r="G235" s="5" t="n">
        <f aca="false">IF(ISNUMBER(FIND("old rod:",A235)),"old rod:",A235)</f>
        <v>0.1</v>
      </c>
      <c r="I235" s="5" t="n">
        <v>0.1</v>
      </c>
    </row>
    <row r="236" customFormat="false" ht="12.75" hidden="false" customHeight="true" outlineLevel="0" collapsed="false">
      <c r="A236" s="5" t="s">
        <v>2888</v>
      </c>
      <c r="B236" s="7" t="n">
        <v>41</v>
      </c>
      <c r="C236" s="7" t="n">
        <v>42</v>
      </c>
      <c r="D236" s="7" t="s">
        <v>3775</v>
      </c>
      <c r="E236" s="7"/>
      <c r="G236" s="5" t="str">
        <f aca="false">IF(ISNUMBER(FIND("old rod:",A236)),"old rod:",A236)</f>
        <v>41, 42, ARCANINE</v>
      </c>
      <c r="I236" s="5" t="s">
        <v>2888</v>
      </c>
    </row>
    <row r="237" customFormat="false" ht="12.75" hidden="false" customHeight="true" outlineLevel="0" collapsed="false">
      <c r="A237" s="5" t="s">
        <v>2889</v>
      </c>
      <c r="B237" s="7" t="n">
        <v>43</v>
      </c>
      <c r="C237" s="7" t="n">
        <v>44</v>
      </c>
      <c r="D237" s="7" t="s">
        <v>3775</v>
      </c>
      <c r="E237" s="7"/>
      <c r="G237" s="5" t="str">
        <f aca="false">IF(ISNUMBER(FIND("old rod:",A237)),"old rod:",A237)</f>
        <v>43, 44, ARCANINE</v>
      </c>
      <c r="I237" s="5" t="s">
        <v>2889</v>
      </c>
    </row>
    <row r="238" customFormat="false" ht="12.75" hidden="false" customHeight="true" outlineLevel="0" collapsed="false">
      <c r="A238" s="5" t="s">
        <v>2890</v>
      </c>
      <c r="B238" s="7" t="n">
        <v>42</v>
      </c>
      <c r="C238" s="7" t="n">
        <v>44</v>
      </c>
      <c r="D238" s="7" t="s">
        <v>3776</v>
      </c>
      <c r="E238" s="7"/>
      <c r="G238" s="5" t="str">
        <f aca="false">IF(ISNUMBER(FIND("old rod:",A238)),"old rod:",A238)</f>
        <v>42, 44, WEEZING</v>
      </c>
      <c r="I238" s="5" t="s">
        <v>2890</v>
      </c>
    </row>
    <row r="239" customFormat="false" ht="12.75" hidden="false" customHeight="true" outlineLevel="0" collapsed="false">
      <c r="A239" s="5" t="s">
        <v>2891</v>
      </c>
      <c r="B239" s="7" t="n">
        <v>42</v>
      </c>
      <c r="C239" s="7" t="n">
        <v>44</v>
      </c>
      <c r="D239" s="7" t="s">
        <v>3777</v>
      </c>
      <c r="E239" s="7"/>
      <c r="G239" s="5" t="str">
        <f aca="false">IF(ISNUMBER(FIND("old rod:",A239)),"old rod:",A239)</f>
        <v>42, 44, MUK</v>
      </c>
      <c r="I239" s="5" t="s">
        <v>2891</v>
      </c>
    </row>
    <row r="240" customFormat="false" ht="12.75" hidden="false" customHeight="true" outlineLevel="0" collapsed="false">
      <c r="A240" s="5" t="n">
        <v>0.05</v>
      </c>
      <c r="B240" s="5" t="n">
        <v>0.05</v>
      </c>
      <c r="C240" s="7"/>
      <c r="D240" s="7"/>
      <c r="E240" s="7"/>
      <c r="G240" s="5" t="n">
        <f aca="false">IF(ISNUMBER(FIND("old rod:",A240)),"old rod:",A240)</f>
        <v>0.05</v>
      </c>
      <c r="I240" s="5" t="n">
        <v>0.05</v>
      </c>
    </row>
    <row r="241" customFormat="false" ht="12.75" hidden="false" customHeight="true" outlineLevel="0" collapsed="false">
      <c r="A241" s="5" t="s">
        <v>2901</v>
      </c>
      <c r="B241" s="7" t="n">
        <v>43</v>
      </c>
      <c r="C241" s="7" t="n">
        <v>45</v>
      </c>
      <c r="D241" s="7" t="s">
        <v>3780</v>
      </c>
      <c r="E241" s="7"/>
      <c r="G241" s="5" t="str">
        <f aca="false">IF(ISNUMBER(FIND("old rod:",A241)),"old rod:",A241)</f>
        <v>43, 45, GUNK</v>
      </c>
      <c r="I241" s="5" t="s">
        <v>2901</v>
      </c>
    </row>
    <row r="242" customFormat="false" ht="12.75" hidden="false" customHeight="true" outlineLevel="0" collapsed="false">
      <c r="A242" s="5" t="s">
        <v>2902</v>
      </c>
      <c r="B242" s="7" t="n">
        <v>43</v>
      </c>
      <c r="C242" s="7" t="n">
        <v>45</v>
      </c>
      <c r="D242" s="7" t="s">
        <v>3781</v>
      </c>
      <c r="E242" s="7"/>
      <c r="G242" s="5" t="str">
        <f aca="false">IF(ISNUMBER(FIND("old rod:",A242)),"old rod:",A242)</f>
        <v>43, 45, HEEVING</v>
      </c>
      <c r="I242" s="5" t="s">
        <v>2902</v>
      </c>
    </row>
    <row r="243" customFormat="false" ht="12.75" hidden="false" customHeight="true" outlineLevel="0" collapsed="false">
      <c r="A243" s="5" t="n">
        <v>0.04</v>
      </c>
      <c r="B243" s="5" t="n">
        <v>0.04</v>
      </c>
      <c r="C243" s="7"/>
      <c r="D243" s="7"/>
      <c r="E243" s="7"/>
      <c r="G243" s="5" t="n">
        <f aca="false">IF(ISNUMBER(FIND("old rod:",A243)),"old rod:",A243)</f>
        <v>0.04</v>
      </c>
      <c r="I243" s="5" t="n">
        <v>0.04</v>
      </c>
    </row>
    <row r="244" customFormat="false" ht="12.75" hidden="false" customHeight="true" outlineLevel="0" collapsed="false">
      <c r="A244" s="5" t="s">
        <v>2903</v>
      </c>
      <c r="B244" s="7" t="n">
        <v>45</v>
      </c>
      <c r="C244" s="7" t="n">
        <v>46</v>
      </c>
      <c r="D244" s="7" t="s">
        <v>3782</v>
      </c>
      <c r="E244" s="7"/>
      <c r="G244" s="5" t="str">
        <f aca="false">IF(ISNUMBER(FIND("old rod:",A244)),"old rod:",A244)</f>
        <v>45, 46, RATTARULE</v>
      </c>
      <c r="I244" s="5" t="s">
        <v>2903</v>
      </c>
    </row>
    <row r="245" customFormat="false" ht="12.75" hidden="false" customHeight="true" outlineLevel="0" collapsed="false">
      <c r="A245" s="5" t="s">
        <v>2904</v>
      </c>
      <c r="B245" s="7" t="n">
        <v>45</v>
      </c>
      <c r="C245" s="7" t="n">
        <v>46</v>
      </c>
      <c r="D245" s="7" t="s">
        <v>3784</v>
      </c>
      <c r="E245" s="7"/>
      <c r="G245" s="5" t="str">
        <f aca="false">IF(ISNUMBER(FIND("old rod:",A245)),"old rod:",A245)</f>
        <v>45, 46, DITTO</v>
      </c>
      <c r="I245" s="5" t="s">
        <v>2904</v>
      </c>
    </row>
    <row r="246" customFormat="false" ht="12.75" hidden="false" customHeight="true" outlineLevel="0" collapsed="false">
      <c r="A246" s="5" t="n">
        <v>0.01</v>
      </c>
      <c r="B246" s="5" t="n">
        <v>0.01</v>
      </c>
      <c r="C246" s="7"/>
      <c r="D246" s="7"/>
      <c r="E246" s="7"/>
      <c r="G246" s="5" t="n">
        <f aca="false">IF(ISNUMBER(FIND("old rod:",A246)),"old rod:",A246)</f>
        <v>0.01</v>
      </c>
      <c r="I246" s="5" t="n">
        <v>0.01</v>
      </c>
    </row>
    <row r="247" customFormat="false" ht="12.75" hidden="false" customHeight="true" outlineLevel="0" collapsed="false">
      <c r="A247" s="5" t="s">
        <v>2905</v>
      </c>
      <c r="B247" s="7" t="n">
        <v>20</v>
      </c>
      <c r="C247" s="7" t="n">
        <v>25</v>
      </c>
      <c r="D247" s="7" t="s">
        <v>3785</v>
      </c>
      <c r="E247" s="7"/>
      <c r="G247" s="5" t="str">
        <f aca="false">IF(ISNUMBER(FIND("old rod:",A247)),"old rod:",A247)</f>
        <v>20, 25, KABUTO</v>
      </c>
      <c r="I247" s="5" t="s">
        <v>2905</v>
      </c>
    </row>
    <row r="248" customFormat="false" ht="12.75" hidden="false" customHeight="true" outlineLevel="0" collapsed="false">
      <c r="A248" s="5" t="s">
        <v>3714</v>
      </c>
      <c r="B248" s="7" t="n">
        <v>20</v>
      </c>
      <c r="C248" s="7" t="n">
        <v>25</v>
      </c>
      <c r="D248" s="7" t="s">
        <v>3786</v>
      </c>
      <c r="E248" s="7"/>
      <c r="G248" s="5" t="str">
        <f aca="false">IF(ISNUMBER(FIND("old rod:",A248)),"old rod:",A248)</f>
        <v>20, 25, OMANYTE</v>
      </c>
      <c r="I248" s="5" t="s">
        <v>3714</v>
      </c>
    </row>
    <row r="249" customFormat="false" ht="12.75" hidden="false" customHeight="true" outlineLevel="0" collapsed="false">
      <c r="A249" s="5" t="s">
        <v>2536</v>
      </c>
      <c r="B249" s="7" t="s">
        <v>2536</v>
      </c>
      <c r="C249" s="7"/>
      <c r="D249" s="7"/>
      <c r="E249" s="7"/>
      <c r="G249" s="5" t="str">
        <f aca="false">IF(ISNUMBER(FIND("old rod:",A249)),"old rod:",A249)</f>
        <v>NEW ROUTE</v>
      </c>
      <c r="I249" s="5" t="s">
        <v>2536</v>
      </c>
    </row>
    <row r="250" customFormat="false" ht="12.75" hidden="false" customHeight="true" outlineLevel="0" collapsed="false">
      <c r="A250" s="5" t="s">
        <v>139</v>
      </c>
      <c r="B250" s="7" t="s">
        <v>139</v>
      </c>
      <c r="C250" s="7"/>
      <c r="D250" s="7"/>
      <c r="E250" s="7"/>
      <c r="G250" s="5" t="str">
        <f aca="false">IF(ISNUMBER(FIND("old rod:",A250)),"old rod:",A250)</f>
        <v>Safari Zone Center</v>
      </c>
      <c r="I250" s="5" t="s">
        <v>139</v>
      </c>
    </row>
    <row r="251" customFormat="false" ht="12.75" hidden="false" customHeight="true" outlineLevel="0" collapsed="false">
      <c r="A251" s="5" t="n">
        <v>0.2</v>
      </c>
      <c r="B251" s="5" t="n">
        <v>0.2</v>
      </c>
      <c r="C251" s="7"/>
      <c r="D251" s="7"/>
      <c r="E251" s="7"/>
      <c r="G251" s="5" t="n">
        <f aca="false">IF(ISNUMBER(FIND("old rod:",A251)),"old rod:",A251)</f>
        <v>0.2</v>
      </c>
      <c r="I251" s="5" t="n">
        <v>0.2</v>
      </c>
    </row>
    <row r="252" customFormat="false" ht="12.75" hidden="false" customHeight="true" outlineLevel="0" collapsed="false">
      <c r="A252" s="5" t="s">
        <v>1333</v>
      </c>
      <c r="B252" s="7" t="n">
        <v>35</v>
      </c>
      <c r="C252" s="7" t="n">
        <v>40</v>
      </c>
      <c r="D252" s="7" t="s">
        <v>3787</v>
      </c>
      <c r="E252" s="7"/>
      <c r="G252" s="5" t="str">
        <f aca="false">IF(ISNUMBER(FIND("old rod:",A252)),"old rod:",A252)</f>
        <v>35, 40, NIDOKING</v>
      </c>
      <c r="I252" s="5" t="s">
        <v>1333</v>
      </c>
    </row>
    <row r="253" customFormat="false" ht="12.75" hidden="false" customHeight="true" outlineLevel="0" collapsed="false">
      <c r="A253" s="5" t="s">
        <v>2909</v>
      </c>
      <c r="B253" s="7" t="n">
        <v>35</v>
      </c>
      <c r="C253" s="7" t="n">
        <v>40</v>
      </c>
      <c r="D253" s="7" t="s">
        <v>3788</v>
      </c>
      <c r="E253" s="7"/>
      <c r="G253" s="5" t="str">
        <f aca="false">IF(ISNUMBER(FIND("old rod:",A253)),"old rod:",A253)</f>
        <v>35, 40, NIDOQUEEN</v>
      </c>
      <c r="I253" s="5" t="s">
        <v>2909</v>
      </c>
    </row>
    <row r="254" customFormat="false" ht="12.75" hidden="false" customHeight="true" outlineLevel="0" collapsed="false">
      <c r="A254" s="5" t="n">
        <v>0.1</v>
      </c>
      <c r="B254" s="5" t="n">
        <v>0.1</v>
      </c>
      <c r="C254" s="7"/>
      <c r="D254" s="7"/>
      <c r="E254" s="7"/>
      <c r="G254" s="5" t="n">
        <f aca="false">IF(ISNUMBER(FIND("old rod:",A254)),"old rod:",A254)</f>
        <v>0.1</v>
      </c>
      <c r="I254" s="5" t="n">
        <v>0.1</v>
      </c>
    </row>
    <row r="255" customFormat="false" ht="12.75" hidden="false" customHeight="true" outlineLevel="0" collapsed="false">
      <c r="A255" s="5" t="s">
        <v>2910</v>
      </c>
      <c r="B255" s="7" t="n">
        <v>36</v>
      </c>
      <c r="C255" s="7" t="n">
        <v>41</v>
      </c>
      <c r="D255" s="7" t="s">
        <v>3789</v>
      </c>
      <c r="E255" s="7"/>
      <c r="G255" s="5" t="str">
        <f aca="false">IF(ISNUMBER(FIND("old rod:",A255)),"old rod:",A255)</f>
        <v>36, 41, PARASECT</v>
      </c>
      <c r="I255" s="5" t="s">
        <v>2910</v>
      </c>
    </row>
    <row r="256" customFormat="false" ht="12.75" hidden="false" customHeight="true" outlineLevel="0" collapsed="false">
      <c r="A256" s="5" t="s">
        <v>2911</v>
      </c>
      <c r="B256" s="7" t="n">
        <v>36</v>
      </c>
      <c r="C256" s="7" t="n">
        <v>41</v>
      </c>
      <c r="D256" s="7" t="s">
        <v>3790</v>
      </c>
      <c r="E256" s="7"/>
      <c r="G256" s="5" t="str">
        <f aca="false">IF(ISNUMBER(FIND("old rod:",A256)),"old rod:",A256)</f>
        <v>36, 41, VENOMOTH</v>
      </c>
      <c r="I256" s="5" t="s">
        <v>2911</v>
      </c>
    </row>
    <row r="257" customFormat="false" ht="12.75" hidden="false" customHeight="true" outlineLevel="0" collapsed="false">
      <c r="A257" s="5" t="s">
        <v>2912</v>
      </c>
      <c r="B257" s="7" t="n">
        <v>36</v>
      </c>
      <c r="C257" s="7" t="n">
        <v>41</v>
      </c>
      <c r="D257" s="7" t="s">
        <v>3791</v>
      </c>
      <c r="E257" s="7"/>
      <c r="G257" s="5" t="str">
        <f aca="false">IF(ISNUMBER(FIND("old rod:",A257)),"old rod:",A257)</f>
        <v>36, 41, EXEGGUTOR</v>
      </c>
      <c r="I257" s="5" t="s">
        <v>2912</v>
      </c>
    </row>
    <row r="258" customFormat="false" ht="12.75" hidden="false" customHeight="true" outlineLevel="0" collapsed="false">
      <c r="A258" s="5" t="s">
        <v>2913</v>
      </c>
      <c r="B258" s="7" t="n">
        <v>36</v>
      </c>
      <c r="C258" s="7" t="n">
        <v>41</v>
      </c>
      <c r="D258" s="7" t="s">
        <v>3792</v>
      </c>
      <c r="E258" s="7"/>
      <c r="G258" s="5" t="str">
        <f aca="false">IF(ISNUMBER(FIND("old rod:",A258)),"old rod:",A258)</f>
        <v>36, 41, RHYDON</v>
      </c>
      <c r="I258" s="5" t="s">
        <v>2913</v>
      </c>
    </row>
    <row r="259" customFormat="false" ht="12.75" hidden="false" customHeight="true" outlineLevel="0" collapsed="false">
      <c r="A259" s="5" t="n">
        <v>0.05</v>
      </c>
      <c r="B259" s="5" t="n">
        <v>0.05</v>
      </c>
      <c r="C259" s="7"/>
      <c r="D259" s="7"/>
      <c r="E259" s="7"/>
      <c r="G259" s="5" t="n">
        <f aca="false">IF(ISNUMBER(FIND("old rod:",A259)),"old rod:",A259)</f>
        <v>0.05</v>
      </c>
      <c r="I259" s="5" t="n">
        <v>0.05</v>
      </c>
    </row>
    <row r="260" customFormat="false" ht="12.75" hidden="false" customHeight="true" outlineLevel="0" collapsed="false">
      <c r="A260" s="5" t="s">
        <v>2914</v>
      </c>
      <c r="B260" s="7" t="n">
        <v>37</v>
      </c>
      <c r="C260" s="7" t="n">
        <v>39</v>
      </c>
      <c r="D260" s="7" t="s">
        <v>3793</v>
      </c>
      <c r="E260" s="7"/>
      <c r="G260" s="5" t="str">
        <f aca="false">IF(ISNUMBER(FIND("old rod:",A260)),"old rod:",A260)</f>
        <v>37, 39, SCIZOR</v>
      </c>
      <c r="I260" s="5" t="s">
        <v>2914</v>
      </c>
    </row>
    <row r="261" customFormat="false" ht="12.75" hidden="false" customHeight="true" outlineLevel="0" collapsed="false">
      <c r="A261" s="5" t="s">
        <v>2915</v>
      </c>
      <c r="B261" s="7" t="n">
        <v>37</v>
      </c>
      <c r="C261" s="7" t="n">
        <v>39</v>
      </c>
      <c r="D261" s="7" t="s">
        <v>3794</v>
      </c>
      <c r="E261" s="7"/>
      <c r="G261" s="5" t="str">
        <f aca="false">IF(ISNUMBER(FIND("old rod:",A261)),"old rod:",A261)</f>
        <v>37, 39, PINSIRIOR</v>
      </c>
      <c r="I261" s="5" t="s">
        <v>2915</v>
      </c>
    </row>
    <row r="262" customFormat="false" ht="12.75" hidden="false" customHeight="true" outlineLevel="0" collapsed="false">
      <c r="A262" s="5" t="n">
        <v>0.04</v>
      </c>
      <c r="B262" s="5" t="n">
        <v>0.04</v>
      </c>
      <c r="C262" s="7"/>
      <c r="D262" s="7"/>
      <c r="E262" s="7"/>
      <c r="G262" s="5" t="n">
        <f aca="false">IF(ISNUMBER(FIND("old rod:",A262)),"old rod:",A262)</f>
        <v>0.04</v>
      </c>
      <c r="I262" s="5" t="n">
        <v>0.04</v>
      </c>
    </row>
    <row r="263" customFormat="false" ht="12.75" hidden="false" customHeight="true" outlineLevel="0" collapsed="false">
      <c r="A263" s="5" t="s">
        <v>2916</v>
      </c>
      <c r="B263" s="7" t="n">
        <v>38</v>
      </c>
      <c r="C263" s="7" t="n">
        <v>42</v>
      </c>
      <c r="D263" s="7" t="s">
        <v>3795</v>
      </c>
      <c r="E263" s="7"/>
      <c r="G263" s="5" t="str">
        <f aca="false">IF(ISNUMBER(FIND("old rod:",A263)),"old rod:",A263)</f>
        <v>38, 42, CHANSEY</v>
      </c>
      <c r="I263" s="5" t="s">
        <v>2916</v>
      </c>
    </row>
    <row r="264" customFormat="false" ht="12.75" hidden="false" customHeight="true" outlineLevel="0" collapsed="false">
      <c r="A264" s="5" t="s">
        <v>2917</v>
      </c>
      <c r="B264" s="7" t="n">
        <v>38</v>
      </c>
      <c r="C264" s="7" t="n">
        <v>42</v>
      </c>
      <c r="D264" s="7" t="s">
        <v>3796</v>
      </c>
      <c r="E264" s="7"/>
      <c r="G264" s="5" t="str">
        <f aca="false">IF(ISNUMBER(FIND("old rod:",A264)),"old rod:",A264)</f>
        <v>38, 42, JOLTEON</v>
      </c>
      <c r="I264" s="5" t="s">
        <v>2917</v>
      </c>
    </row>
    <row r="265" customFormat="false" ht="12.75" hidden="false" customHeight="true" outlineLevel="0" collapsed="false">
      <c r="A265" s="5" t="n">
        <v>0.01</v>
      </c>
      <c r="B265" s="5" t="n">
        <v>0.01</v>
      </c>
      <c r="C265" s="7"/>
      <c r="D265" s="7"/>
      <c r="E265" s="7"/>
      <c r="G265" s="5" t="n">
        <f aca="false">IF(ISNUMBER(FIND("old rod:",A265)),"old rod:",A265)</f>
        <v>0.01</v>
      </c>
      <c r="I265" s="5" t="n">
        <v>0.01</v>
      </c>
    </row>
    <row r="266" customFormat="false" ht="12.75" hidden="false" customHeight="true" outlineLevel="0" collapsed="false">
      <c r="A266" s="5" t="s">
        <v>2918</v>
      </c>
      <c r="B266" s="7" t="n">
        <v>40</v>
      </c>
      <c r="C266" s="7" t="n">
        <v>40</v>
      </c>
      <c r="D266" s="7" t="s">
        <v>3797</v>
      </c>
      <c r="E266" s="7"/>
      <c r="G266" s="5" t="str">
        <f aca="false">IF(ISNUMBER(FIND("old rod:",A266)),"old rod:",A266)</f>
        <v>40, 40, BLISSEY</v>
      </c>
      <c r="I266" s="5" t="s">
        <v>2918</v>
      </c>
    </row>
    <row r="267" customFormat="false" ht="12.75" hidden="false" customHeight="true" outlineLevel="0" collapsed="false">
      <c r="A267" s="5" t="s">
        <v>2919</v>
      </c>
      <c r="B267" s="7" t="n">
        <v>40</v>
      </c>
      <c r="C267" s="7" t="n">
        <v>40</v>
      </c>
      <c r="D267" s="7" t="s">
        <v>3798</v>
      </c>
      <c r="E267" s="7"/>
      <c r="G267" s="5" t="str">
        <f aca="false">IF(ISNUMBER(FIND("old rod:",A267)),"old rod:",A267)</f>
        <v>40, 40, RHYPERIOR</v>
      </c>
      <c r="I267" s="5" t="s">
        <v>2919</v>
      </c>
    </row>
    <row r="268" customFormat="false" ht="12.75" hidden="false" customHeight="true" outlineLevel="0" collapsed="false">
      <c r="A268" s="5" t="s">
        <v>2920</v>
      </c>
      <c r="B268" s="7" t="n">
        <v>2</v>
      </c>
      <c r="C268" s="7" t="n">
        <v>38</v>
      </c>
      <c r="D268" s="7" t="n">
        <v>42</v>
      </c>
      <c r="E268" s="7" t="s">
        <v>3755</v>
      </c>
      <c r="G268" s="5" t="str">
        <f aca="false">IF(ISNUMBER(FIND("old rod:",A268)),"old rod:",A268)</f>
        <v>2, 38, 42, SLOWPOKE</v>
      </c>
      <c r="I268" s="5" t="s">
        <v>2920</v>
      </c>
    </row>
    <row r="269" customFormat="false" ht="12.75" hidden="false" customHeight="true" outlineLevel="0" collapsed="false">
      <c r="A269" s="5" t="s">
        <v>2921</v>
      </c>
      <c r="B269" s="7" t="n">
        <v>40</v>
      </c>
      <c r="C269" s="7" t="n">
        <v>42</v>
      </c>
      <c r="D269" s="7" t="s">
        <v>3799</v>
      </c>
      <c r="E269" s="7"/>
      <c r="G269" s="5" t="str">
        <f aca="false">IF(ISNUMBER(FIND("old rod:",A269)),"old rod:",A269)</f>
        <v>40, 42, PSYDUCK</v>
      </c>
      <c r="I269" s="5" t="s">
        <v>2921</v>
      </c>
    </row>
    <row r="270" customFormat="false" ht="12.75" hidden="false" customHeight="true" outlineLevel="0" collapsed="false">
      <c r="A270" s="5" t="s">
        <v>2922</v>
      </c>
      <c r="B270" s="7" t="n">
        <v>42</v>
      </c>
      <c r="C270" s="7" t="n">
        <v>46</v>
      </c>
      <c r="D270" s="7" t="s">
        <v>3800</v>
      </c>
      <c r="E270" s="7"/>
      <c r="G270" s="5" t="str">
        <f aca="false">IF(ISNUMBER(FIND("old rod:",A270)),"old rod:",A270)</f>
        <v>42, 46, SLOWBRO</v>
      </c>
      <c r="I270" s="5" t="s">
        <v>2922</v>
      </c>
    </row>
    <row r="271" customFormat="false" ht="12.75" hidden="false" customHeight="true" outlineLevel="0" collapsed="false">
      <c r="A271" s="5" t="s">
        <v>2923</v>
      </c>
      <c r="B271" s="7" t="n">
        <v>42</v>
      </c>
      <c r="C271" s="7" t="n">
        <v>46</v>
      </c>
      <c r="D271" s="7" t="s">
        <v>3801</v>
      </c>
      <c r="E271" s="7"/>
      <c r="G271" s="5" t="str">
        <f aca="false">IF(ISNUMBER(FIND("old rod:",A271)),"old rod:",A271)</f>
        <v>42, 46, GOLDUCK</v>
      </c>
      <c r="I271" s="5" t="s">
        <v>2923</v>
      </c>
    </row>
    <row r="272" customFormat="false" ht="12.75" hidden="false" customHeight="true" outlineLevel="0" collapsed="false">
      <c r="A272" s="5" t="s">
        <v>2924</v>
      </c>
      <c r="B272" s="7" t="n">
        <v>44</v>
      </c>
      <c r="C272" s="7" t="n">
        <v>48</v>
      </c>
      <c r="D272" s="7" t="s">
        <v>3802</v>
      </c>
      <c r="E272" s="7"/>
      <c r="G272" s="5" t="str">
        <f aca="false">IF(ISNUMBER(FIND("old rod:",A272)),"old rod:",A272)</f>
        <v>44, 48, VAPOREON</v>
      </c>
      <c r="I272" s="5" t="s">
        <v>2924</v>
      </c>
    </row>
    <row r="273" customFormat="false" ht="12.75" hidden="false" customHeight="true" outlineLevel="0" collapsed="false">
      <c r="A273" s="5" t="s">
        <v>2925</v>
      </c>
      <c r="B273" s="7" t="n">
        <v>20</v>
      </c>
      <c r="C273" s="7" t="s">
        <v>3748</v>
      </c>
      <c r="D273" s="7"/>
      <c r="E273" s="7"/>
      <c r="G273" s="5" t="str">
        <f aca="false">IF(ISNUMBER(FIND("old rod:",A273)),"old rod:",A273)</f>
        <v>old rod:</v>
      </c>
      <c r="I273" s="5" t="s">
        <v>3749</v>
      </c>
    </row>
    <row r="274" customFormat="false" ht="12.75" hidden="false" customHeight="true" outlineLevel="0" collapsed="false">
      <c r="A274" s="5" t="s">
        <v>1349</v>
      </c>
      <c r="B274" s="7" t="n">
        <v>19</v>
      </c>
      <c r="C274" s="7" t="n">
        <v>26</v>
      </c>
      <c r="D274" s="7" t="s">
        <v>3750</v>
      </c>
      <c r="E274" s="7"/>
      <c r="G274" s="5" t="str">
        <f aca="false">IF(ISNUMBER(FIND("old rod:",A274)),"old rod:",A274)</f>
        <v>19, 26, MAGIKARP</v>
      </c>
      <c r="I274" s="5" t="s">
        <v>1349</v>
      </c>
    </row>
    <row r="275" customFormat="false" ht="12.75" hidden="false" customHeight="true" outlineLevel="0" collapsed="false">
      <c r="A275" s="5" t="s">
        <v>2926</v>
      </c>
      <c r="B275" s="7" t="n">
        <v>19</v>
      </c>
      <c r="C275" s="7" t="n">
        <v>26</v>
      </c>
      <c r="D275" s="7" t="s">
        <v>3803</v>
      </c>
      <c r="E275" s="7"/>
      <c r="G275" s="5" t="str">
        <f aca="false">IF(ISNUMBER(FIND("old rod:",A275)),"old rod:",A275)</f>
        <v>19, 26, POLIWAG</v>
      </c>
      <c r="I275" s="5" t="s">
        <v>2926</v>
      </c>
    </row>
    <row r="276" customFormat="false" ht="12.75" hidden="false" customHeight="true" outlineLevel="0" collapsed="false">
      <c r="A276" s="5" t="s">
        <v>2846</v>
      </c>
      <c r="B276" s="7" t="s">
        <v>2846</v>
      </c>
      <c r="C276" s="7"/>
      <c r="D276" s="7"/>
      <c r="E276" s="7"/>
      <c r="G276" s="5" t="str">
        <f aca="false">IF(ISNUMBER(FIND("old rod:",A276)),"old rod:",A276)</f>
        <v>good rod:</v>
      </c>
      <c r="I276" s="5" t="s">
        <v>2846</v>
      </c>
    </row>
    <row r="277" customFormat="false" ht="12.75" hidden="false" customHeight="true" outlineLevel="0" collapsed="false">
      <c r="A277" s="5" t="s">
        <v>2927</v>
      </c>
      <c r="B277" s="7" t="n">
        <v>29</v>
      </c>
      <c r="C277" s="7" t="n">
        <v>33</v>
      </c>
      <c r="D277" s="7" t="s">
        <v>3754</v>
      </c>
      <c r="E277" s="7"/>
      <c r="G277" s="5" t="str">
        <f aca="false">IF(ISNUMBER(FIND("old rod:",A277)),"old rod:",A277)</f>
        <v>29, 33, GYARADOS</v>
      </c>
      <c r="I277" s="5" t="s">
        <v>2927</v>
      </c>
    </row>
    <row r="278" customFormat="false" ht="12.75" hidden="false" customHeight="true" outlineLevel="0" collapsed="false">
      <c r="A278" s="5" t="s">
        <v>2928</v>
      </c>
      <c r="B278" s="7" t="n">
        <v>30</v>
      </c>
      <c r="C278" s="7" t="n">
        <v>35</v>
      </c>
      <c r="D278" s="7" t="s">
        <v>3803</v>
      </c>
      <c r="E278" s="7"/>
      <c r="G278" s="5" t="str">
        <f aca="false">IF(ISNUMBER(FIND("old rod:",A278)),"old rod:",A278)</f>
        <v>30, 35, POLIWAG</v>
      </c>
      <c r="I278" s="5" t="s">
        <v>2928</v>
      </c>
    </row>
    <row r="279" customFormat="false" ht="12.75" hidden="false" customHeight="true" outlineLevel="0" collapsed="false">
      <c r="A279" s="5" t="s">
        <v>2929</v>
      </c>
      <c r="B279" s="7" t="n">
        <v>30</v>
      </c>
      <c r="C279" s="7" t="n">
        <v>35</v>
      </c>
      <c r="D279" s="7" t="s">
        <v>3804</v>
      </c>
      <c r="E279" s="7"/>
      <c r="G279" s="5" t="str">
        <f aca="false">IF(ISNUMBER(FIND("old rod:",A279)),"old rod:",A279)</f>
        <v>30, 35, GOLDEEN</v>
      </c>
      <c r="I279" s="5" t="s">
        <v>2929</v>
      </c>
    </row>
    <row r="280" customFormat="false" ht="12.75" hidden="false" customHeight="true" outlineLevel="0" collapsed="false">
      <c r="A280" s="5" t="s">
        <v>2850</v>
      </c>
      <c r="B280" s="7" t="s">
        <v>2850</v>
      </c>
      <c r="C280" s="7"/>
      <c r="D280" s="7"/>
      <c r="E280" s="7"/>
      <c r="G280" s="5" t="str">
        <f aca="false">IF(ISNUMBER(FIND("old rod:",A280)),"old rod:",A280)</f>
        <v>super rod:</v>
      </c>
      <c r="I280" s="5" t="s">
        <v>2850</v>
      </c>
    </row>
    <row r="281" customFormat="false" ht="12.75" hidden="false" customHeight="true" outlineLevel="0" collapsed="false">
      <c r="A281" s="5" t="s">
        <v>2930</v>
      </c>
      <c r="B281" s="7" t="n">
        <v>36</v>
      </c>
      <c r="C281" s="7" t="n">
        <v>40</v>
      </c>
      <c r="D281" s="7" t="s">
        <v>3805</v>
      </c>
      <c r="E281" s="7"/>
      <c r="G281" s="5" t="str">
        <f aca="false">IF(ISNUMBER(FIND("old rod:",A281)),"old rod:",A281)</f>
        <v>36, 40, POLIWHIRL</v>
      </c>
      <c r="I281" s="5" t="s">
        <v>2930</v>
      </c>
    </row>
    <row r="282" customFormat="false" ht="12.75" hidden="false" customHeight="true" outlineLevel="0" collapsed="false">
      <c r="A282" s="5" t="s">
        <v>2931</v>
      </c>
      <c r="B282" s="7" t="n">
        <v>36</v>
      </c>
      <c r="C282" s="7" t="n">
        <v>40</v>
      </c>
      <c r="D282" s="7" t="s">
        <v>3806</v>
      </c>
      <c r="E282" s="7"/>
      <c r="G282" s="5" t="str">
        <f aca="false">IF(ISNUMBER(FIND("old rod:",A282)),"old rod:",A282)</f>
        <v>36, 40, SEAKING</v>
      </c>
      <c r="I282" s="5" t="s">
        <v>2931</v>
      </c>
    </row>
    <row r="283" customFormat="false" ht="12.75" hidden="false" customHeight="true" outlineLevel="0" collapsed="false">
      <c r="A283" s="5" t="s">
        <v>2932</v>
      </c>
      <c r="B283" s="7" t="n">
        <v>38</v>
      </c>
      <c r="C283" s="7" t="n">
        <v>42</v>
      </c>
      <c r="D283" s="7" t="s">
        <v>3807</v>
      </c>
      <c r="E283" s="7"/>
      <c r="G283" s="5" t="str">
        <f aca="false">IF(ISNUMBER(FIND("old rod:",A283)),"old rod:",A283)</f>
        <v>38, 42, DRATINI</v>
      </c>
      <c r="I283" s="5" t="s">
        <v>2932</v>
      </c>
    </row>
    <row r="284" customFormat="false" ht="12.75" hidden="false" customHeight="true" outlineLevel="0" collapsed="false">
      <c r="A284" s="5" t="s">
        <v>2933</v>
      </c>
      <c r="B284" s="7" t="n">
        <v>38</v>
      </c>
      <c r="C284" s="7" t="n">
        <v>42</v>
      </c>
      <c r="D284" s="7" t="s">
        <v>3808</v>
      </c>
      <c r="E284" s="7"/>
      <c r="G284" s="5" t="str">
        <f aca="false">IF(ISNUMBER(FIND("old rod:",A284)),"old rod:",A284)</f>
        <v>38, 42, DRAGONAIR</v>
      </c>
      <c r="I284" s="5" t="s">
        <v>2933</v>
      </c>
    </row>
    <row r="285" customFormat="false" ht="12.75" hidden="false" customHeight="true" outlineLevel="0" collapsed="false">
      <c r="A285" s="5" t="s">
        <v>2934</v>
      </c>
      <c r="B285" s="7" t="n">
        <v>40</v>
      </c>
      <c r="C285" s="7" t="n">
        <v>44</v>
      </c>
      <c r="D285" s="7" t="s">
        <v>3809</v>
      </c>
      <c r="E285" s="7"/>
      <c r="G285" s="5" t="str">
        <f aca="false">IF(ISNUMBER(FIND("old rod:",A285)),"old rod:",A285)</f>
        <v>40, 44, DRAGONITE</v>
      </c>
      <c r="I285" s="5" t="s">
        <v>2934</v>
      </c>
    </row>
    <row r="286" customFormat="false" ht="12.75" hidden="false" customHeight="true" outlineLevel="0" collapsed="false">
      <c r="A286" s="5" t="s">
        <v>2536</v>
      </c>
      <c r="B286" s="7" t="s">
        <v>2536</v>
      </c>
      <c r="C286" s="7"/>
      <c r="D286" s="7"/>
      <c r="E286" s="7"/>
      <c r="G286" s="5" t="str">
        <f aca="false">IF(ISNUMBER(FIND("old rod:",A286)),"old rod:",A286)</f>
        <v>NEW ROUTE</v>
      </c>
      <c r="I286" s="5" t="s">
        <v>2536</v>
      </c>
    </row>
    <row r="287" customFormat="false" ht="12.75" hidden="false" customHeight="true" outlineLevel="0" collapsed="false">
      <c r="A287" s="5" t="s">
        <v>141</v>
      </c>
      <c r="B287" s="7" t="s">
        <v>141</v>
      </c>
      <c r="C287" s="7"/>
      <c r="D287" s="7"/>
      <c r="E287" s="7"/>
      <c r="G287" s="5" t="str">
        <f aca="false">IF(ISNUMBER(FIND("old rod:",A287)),"old rod:",A287)</f>
        <v>Safari Zone East</v>
      </c>
      <c r="I287" s="5" t="s">
        <v>141</v>
      </c>
    </row>
    <row r="288" customFormat="false" ht="12.75" hidden="false" customHeight="true" outlineLevel="0" collapsed="false">
      <c r="A288" s="5" t="n">
        <v>0.2</v>
      </c>
      <c r="B288" s="5" t="n">
        <v>0.2</v>
      </c>
      <c r="C288" s="7"/>
      <c r="D288" s="7"/>
      <c r="E288" s="7"/>
      <c r="G288" s="5" t="n">
        <f aca="false">IF(ISNUMBER(FIND("old rod:",A288)),"old rod:",A288)</f>
        <v>0.2</v>
      </c>
      <c r="I288" s="5" t="n">
        <v>0.2</v>
      </c>
    </row>
    <row r="289" customFormat="false" ht="12.75" hidden="false" customHeight="true" outlineLevel="0" collapsed="false">
      <c r="A289" s="5" t="s">
        <v>1333</v>
      </c>
      <c r="B289" s="7" t="n">
        <v>35</v>
      </c>
      <c r="C289" s="7" t="n">
        <v>40</v>
      </c>
      <c r="D289" s="7" t="s">
        <v>3787</v>
      </c>
      <c r="E289" s="7"/>
      <c r="G289" s="5" t="str">
        <f aca="false">IF(ISNUMBER(FIND("old rod:",A289)),"old rod:",A289)</f>
        <v>35, 40, NIDOKING</v>
      </c>
      <c r="I289" s="5" t="s">
        <v>1333</v>
      </c>
    </row>
    <row r="290" customFormat="false" ht="12.75" hidden="false" customHeight="true" outlineLevel="0" collapsed="false">
      <c r="A290" s="5" t="s">
        <v>2909</v>
      </c>
      <c r="B290" s="7" t="n">
        <v>35</v>
      </c>
      <c r="C290" s="7" t="n">
        <v>40</v>
      </c>
      <c r="D290" s="7" t="s">
        <v>3788</v>
      </c>
      <c r="E290" s="7"/>
      <c r="G290" s="5" t="str">
        <f aca="false">IF(ISNUMBER(FIND("old rod:",A290)),"old rod:",A290)</f>
        <v>35, 40, NIDOQUEEN</v>
      </c>
      <c r="I290" s="5" t="s">
        <v>2909</v>
      </c>
    </row>
    <row r="291" customFormat="false" ht="12.75" hidden="false" customHeight="true" outlineLevel="0" collapsed="false">
      <c r="A291" s="5" t="n">
        <v>0.1</v>
      </c>
      <c r="B291" s="5" t="n">
        <v>0.1</v>
      </c>
      <c r="C291" s="7"/>
      <c r="D291" s="7"/>
      <c r="E291" s="7"/>
      <c r="G291" s="5" t="n">
        <f aca="false">IF(ISNUMBER(FIND("old rod:",A291)),"old rod:",A291)</f>
        <v>0.1</v>
      </c>
      <c r="I291" s="5" t="n">
        <v>0.1</v>
      </c>
    </row>
    <row r="292" customFormat="false" ht="12.75" hidden="false" customHeight="true" outlineLevel="0" collapsed="false">
      <c r="A292" s="5" t="s">
        <v>2910</v>
      </c>
      <c r="B292" s="7" t="n">
        <v>36</v>
      </c>
      <c r="C292" s="7" t="n">
        <v>41</v>
      </c>
      <c r="D292" s="7" t="s">
        <v>3789</v>
      </c>
      <c r="E292" s="7"/>
      <c r="G292" s="5" t="str">
        <f aca="false">IF(ISNUMBER(FIND("old rod:",A292)),"old rod:",A292)</f>
        <v>36, 41, PARASECT</v>
      </c>
      <c r="I292" s="5" t="s">
        <v>2910</v>
      </c>
    </row>
    <row r="293" customFormat="false" ht="12.75" hidden="false" customHeight="true" outlineLevel="0" collapsed="false">
      <c r="A293" s="5" t="s">
        <v>2911</v>
      </c>
      <c r="B293" s="7" t="n">
        <v>36</v>
      </c>
      <c r="C293" s="7" t="n">
        <v>41</v>
      </c>
      <c r="D293" s="7" t="s">
        <v>3790</v>
      </c>
      <c r="E293" s="7"/>
      <c r="G293" s="5" t="str">
        <f aca="false">IF(ISNUMBER(FIND("old rod:",A293)),"old rod:",A293)</f>
        <v>36, 41, VENOMOTH</v>
      </c>
      <c r="I293" s="5" t="s">
        <v>2911</v>
      </c>
    </row>
    <row r="294" customFormat="false" ht="12.75" hidden="false" customHeight="true" outlineLevel="0" collapsed="false">
      <c r="A294" s="5" t="s">
        <v>2936</v>
      </c>
      <c r="B294" s="7" t="n">
        <v>36</v>
      </c>
      <c r="C294" s="7" t="n">
        <v>41</v>
      </c>
      <c r="D294" s="7" t="s">
        <v>3810</v>
      </c>
      <c r="E294" s="7"/>
      <c r="G294" s="5" t="str">
        <f aca="false">IF(ISNUMBER(FIND("old rod:",A294)),"old rod:",A294)</f>
        <v>36, 41, DODRIO</v>
      </c>
      <c r="I294" s="5" t="s">
        <v>2936</v>
      </c>
    </row>
    <row r="295" customFormat="false" ht="12.75" hidden="false" customHeight="true" outlineLevel="0" collapsed="false">
      <c r="A295" s="5" t="s">
        <v>2937</v>
      </c>
      <c r="B295" s="7" t="n">
        <v>36</v>
      </c>
      <c r="C295" s="7" t="n">
        <v>41</v>
      </c>
      <c r="D295" s="7" t="s">
        <v>3811</v>
      </c>
      <c r="E295" s="7"/>
      <c r="G295" s="5" t="str">
        <f aca="false">IF(ISNUMBER(FIND("old rod:",A295)),"old rod:",A295)</f>
        <v>36, 41, MAGMAR</v>
      </c>
      <c r="I295" s="5" t="s">
        <v>2937</v>
      </c>
    </row>
    <row r="296" customFormat="false" ht="12.75" hidden="false" customHeight="true" outlineLevel="0" collapsed="false">
      <c r="A296" s="5" t="n">
        <v>0.05</v>
      </c>
      <c r="B296" s="5" t="n">
        <v>0.05</v>
      </c>
      <c r="C296" s="7"/>
      <c r="D296" s="7"/>
      <c r="E296" s="7"/>
      <c r="G296" s="5" t="n">
        <f aca="false">IF(ISNUMBER(FIND("old rod:",A296)),"old rod:",A296)</f>
        <v>0.05</v>
      </c>
      <c r="I296" s="5" t="n">
        <v>0.05</v>
      </c>
    </row>
    <row r="297" customFormat="false" ht="12.75" hidden="false" customHeight="true" outlineLevel="0" collapsed="false">
      <c r="A297" s="5" t="s">
        <v>2914</v>
      </c>
      <c r="B297" s="7" t="n">
        <v>37</v>
      </c>
      <c r="C297" s="7" t="n">
        <v>39</v>
      </c>
      <c r="D297" s="7" t="s">
        <v>3793</v>
      </c>
      <c r="E297" s="7"/>
      <c r="G297" s="5" t="str">
        <f aca="false">IF(ISNUMBER(FIND("old rod:",A297)),"old rod:",A297)</f>
        <v>37, 39, SCIZOR</v>
      </c>
      <c r="I297" s="5" t="s">
        <v>2914</v>
      </c>
    </row>
    <row r="298" customFormat="false" ht="12.75" hidden="false" customHeight="true" outlineLevel="0" collapsed="false">
      <c r="A298" s="5" t="s">
        <v>2915</v>
      </c>
      <c r="B298" s="7" t="n">
        <v>37</v>
      </c>
      <c r="C298" s="7" t="n">
        <v>39</v>
      </c>
      <c r="D298" s="7" t="s">
        <v>3794</v>
      </c>
      <c r="E298" s="7"/>
      <c r="G298" s="5" t="str">
        <f aca="false">IF(ISNUMBER(FIND("old rod:",A298)),"old rod:",A298)</f>
        <v>37, 39, PINSIRIOR</v>
      </c>
      <c r="I298" s="5" t="s">
        <v>2915</v>
      </c>
    </row>
    <row r="299" customFormat="false" ht="12.75" hidden="false" customHeight="true" outlineLevel="0" collapsed="false">
      <c r="A299" s="5" t="n">
        <v>0.04</v>
      </c>
      <c r="B299" s="5" t="n">
        <v>0.04</v>
      </c>
      <c r="C299" s="7"/>
      <c r="D299" s="7"/>
      <c r="E299" s="7"/>
      <c r="G299" s="5" t="n">
        <f aca="false">IF(ISNUMBER(FIND("old rod:",A299)),"old rod:",A299)</f>
        <v>0.04</v>
      </c>
      <c r="I299" s="5" t="n">
        <v>0.04</v>
      </c>
    </row>
    <row r="300" customFormat="false" ht="12.75" hidden="false" customHeight="true" outlineLevel="0" collapsed="false">
      <c r="A300" s="5" t="s">
        <v>2938</v>
      </c>
      <c r="B300" s="7" t="n">
        <v>38</v>
      </c>
      <c r="C300" s="7" t="n">
        <v>42</v>
      </c>
      <c r="D300" s="7" t="s">
        <v>3812</v>
      </c>
      <c r="E300" s="7"/>
      <c r="G300" s="5" t="str">
        <f aca="false">IF(ISNUMBER(FIND("old rod:",A300)),"old rod:",A300)</f>
        <v>38, 42, KANGASKHAN</v>
      </c>
      <c r="I300" s="5" t="s">
        <v>2938</v>
      </c>
    </row>
    <row r="301" customFormat="false" ht="12.75" hidden="false" customHeight="true" outlineLevel="0" collapsed="false">
      <c r="A301" s="5" t="s">
        <v>2939</v>
      </c>
      <c r="B301" s="7" t="n">
        <v>38</v>
      </c>
      <c r="C301" s="7" t="n">
        <v>42</v>
      </c>
      <c r="D301" s="7" t="s">
        <v>3813</v>
      </c>
      <c r="E301" s="7"/>
      <c r="G301" s="5" t="str">
        <f aca="false">IF(ISNUMBER(FIND("old rod:",A301)),"old rod:",A301)</f>
        <v>38, 42, HITMONCHAN</v>
      </c>
      <c r="I301" s="5" t="s">
        <v>2939</v>
      </c>
    </row>
    <row r="302" customFormat="false" ht="12.75" hidden="false" customHeight="true" outlineLevel="0" collapsed="false">
      <c r="A302" s="5" t="n">
        <v>0.01</v>
      </c>
      <c r="B302" s="5" t="n">
        <v>0.01</v>
      </c>
      <c r="C302" s="7"/>
      <c r="D302" s="7"/>
      <c r="E302" s="7"/>
      <c r="G302" s="5" t="n">
        <f aca="false">IF(ISNUMBER(FIND("old rod:",A302)),"old rod:",A302)</f>
        <v>0.01</v>
      </c>
      <c r="I302" s="5" t="n">
        <v>0.01</v>
      </c>
    </row>
    <row r="303" customFormat="false" ht="12.75" hidden="false" customHeight="true" outlineLevel="0" collapsed="false">
      <c r="A303" s="5" t="s">
        <v>2940</v>
      </c>
      <c r="B303" s="7" t="n">
        <v>40</v>
      </c>
      <c r="C303" s="7" t="n">
        <v>40</v>
      </c>
      <c r="D303" s="7" t="s">
        <v>3814</v>
      </c>
      <c r="E303" s="7"/>
      <c r="G303" s="5" t="str">
        <f aca="false">IF(ISNUMBER(FIND("old rod:",A303)),"old rod:",A303)</f>
        <v>40, 40, KANGALLOUS</v>
      </c>
      <c r="I303" s="5" t="s">
        <v>2940</v>
      </c>
    </row>
    <row r="304" customFormat="false" ht="12.75" hidden="false" customHeight="true" outlineLevel="0" collapsed="false">
      <c r="A304" s="5" t="s">
        <v>2941</v>
      </c>
      <c r="B304" s="7" t="n">
        <v>40</v>
      </c>
      <c r="C304" s="7" t="n">
        <v>40</v>
      </c>
      <c r="D304" s="7" t="s">
        <v>3815</v>
      </c>
      <c r="E304" s="7"/>
      <c r="G304" s="5" t="str">
        <f aca="false">IF(ISNUMBER(FIND("old rod:",A304)),"old rod:",A304)</f>
        <v>40, 40, MAGMORTAR</v>
      </c>
      <c r="I304" s="5" t="s">
        <v>2941</v>
      </c>
    </row>
    <row r="305" customFormat="false" ht="12.75" hidden="false" customHeight="true" outlineLevel="0" collapsed="false">
      <c r="A305" s="5" t="s">
        <v>2920</v>
      </c>
      <c r="B305" s="7" t="n">
        <v>2</v>
      </c>
      <c r="C305" s="7" t="n">
        <v>38</v>
      </c>
      <c r="D305" s="7" t="n">
        <v>42</v>
      </c>
      <c r="E305" s="7" t="s">
        <v>3755</v>
      </c>
      <c r="G305" s="5" t="str">
        <f aca="false">IF(ISNUMBER(FIND("old rod:",A305)),"old rod:",A305)</f>
        <v>2, 38, 42, SLOWPOKE</v>
      </c>
      <c r="I305" s="5" t="s">
        <v>2920</v>
      </c>
    </row>
    <row r="306" customFormat="false" ht="12.75" hidden="false" customHeight="true" outlineLevel="0" collapsed="false">
      <c r="A306" s="5" t="s">
        <v>2921</v>
      </c>
      <c r="B306" s="7" t="n">
        <v>40</v>
      </c>
      <c r="C306" s="7" t="n">
        <v>42</v>
      </c>
      <c r="D306" s="7" t="s">
        <v>3799</v>
      </c>
      <c r="E306" s="7"/>
      <c r="G306" s="5" t="str">
        <f aca="false">IF(ISNUMBER(FIND("old rod:",A306)),"old rod:",A306)</f>
        <v>40, 42, PSYDUCK</v>
      </c>
      <c r="I306" s="5" t="s">
        <v>2921</v>
      </c>
    </row>
    <row r="307" customFormat="false" ht="12.75" hidden="false" customHeight="true" outlineLevel="0" collapsed="false">
      <c r="A307" s="5" t="s">
        <v>2922</v>
      </c>
      <c r="B307" s="7" t="n">
        <v>42</v>
      </c>
      <c r="C307" s="7" t="n">
        <v>46</v>
      </c>
      <c r="D307" s="7" t="s">
        <v>3800</v>
      </c>
      <c r="E307" s="7"/>
      <c r="G307" s="5" t="str">
        <f aca="false">IF(ISNUMBER(FIND("old rod:",A307)),"old rod:",A307)</f>
        <v>42, 46, SLOWBRO</v>
      </c>
      <c r="I307" s="5" t="s">
        <v>2922</v>
      </c>
    </row>
    <row r="308" customFormat="false" ht="12.75" hidden="false" customHeight="true" outlineLevel="0" collapsed="false">
      <c r="A308" s="5" t="s">
        <v>2923</v>
      </c>
      <c r="B308" s="7" t="n">
        <v>42</v>
      </c>
      <c r="C308" s="7" t="n">
        <v>46</v>
      </c>
      <c r="D308" s="7" t="s">
        <v>3801</v>
      </c>
      <c r="E308" s="7"/>
      <c r="G308" s="5" t="str">
        <f aca="false">IF(ISNUMBER(FIND("old rod:",A308)),"old rod:",A308)</f>
        <v>42, 46, GOLDUCK</v>
      </c>
      <c r="I308" s="5" t="s">
        <v>2923</v>
      </c>
    </row>
    <row r="309" customFormat="false" ht="12.75" hidden="false" customHeight="true" outlineLevel="0" collapsed="false">
      <c r="A309" s="5" t="s">
        <v>2924</v>
      </c>
      <c r="B309" s="7" t="n">
        <v>44</v>
      </c>
      <c r="C309" s="7" t="n">
        <v>48</v>
      </c>
      <c r="D309" s="7" t="s">
        <v>3802</v>
      </c>
      <c r="E309" s="7"/>
      <c r="G309" s="5" t="str">
        <f aca="false">IF(ISNUMBER(FIND("old rod:",A309)),"old rod:",A309)</f>
        <v>44, 48, VAPOREON</v>
      </c>
      <c r="I309" s="5" t="s">
        <v>2924</v>
      </c>
    </row>
    <row r="310" customFormat="false" ht="12.75" hidden="false" customHeight="true" outlineLevel="0" collapsed="false">
      <c r="A310" s="5" t="s">
        <v>2925</v>
      </c>
      <c r="B310" s="7" t="n">
        <v>20</v>
      </c>
      <c r="C310" s="7" t="s">
        <v>3748</v>
      </c>
      <c r="D310" s="7"/>
      <c r="E310" s="7"/>
      <c r="G310" s="5" t="str">
        <f aca="false">IF(ISNUMBER(FIND("old rod:",A310)),"old rod:",A310)</f>
        <v>old rod:</v>
      </c>
      <c r="I310" s="5" t="s">
        <v>3749</v>
      </c>
    </row>
    <row r="311" customFormat="false" ht="12.75" hidden="false" customHeight="true" outlineLevel="0" collapsed="false">
      <c r="A311" s="5" t="s">
        <v>1349</v>
      </c>
      <c r="B311" s="7" t="n">
        <v>19</v>
      </c>
      <c r="C311" s="7" t="n">
        <v>26</v>
      </c>
      <c r="D311" s="7" t="s">
        <v>3750</v>
      </c>
      <c r="E311" s="7"/>
      <c r="G311" s="5" t="str">
        <f aca="false">IF(ISNUMBER(FIND("old rod:",A311)),"old rod:",A311)</f>
        <v>19, 26, MAGIKARP</v>
      </c>
      <c r="I311" s="5" t="s">
        <v>1349</v>
      </c>
    </row>
    <row r="312" customFormat="false" ht="12.75" hidden="false" customHeight="true" outlineLevel="0" collapsed="false">
      <c r="A312" s="5" t="s">
        <v>2926</v>
      </c>
      <c r="B312" s="7" t="n">
        <v>19</v>
      </c>
      <c r="C312" s="7" t="n">
        <v>26</v>
      </c>
      <c r="D312" s="7" t="s">
        <v>3803</v>
      </c>
      <c r="E312" s="7"/>
      <c r="G312" s="5" t="str">
        <f aca="false">IF(ISNUMBER(FIND("old rod:",A312)),"old rod:",A312)</f>
        <v>19, 26, POLIWAG</v>
      </c>
      <c r="I312" s="5" t="s">
        <v>2926</v>
      </c>
    </row>
    <row r="313" customFormat="false" ht="12.75" hidden="false" customHeight="true" outlineLevel="0" collapsed="false">
      <c r="A313" s="5" t="s">
        <v>2846</v>
      </c>
      <c r="B313" s="7" t="s">
        <v>2846</v>
      </c>
      <c r="C313" s="7"/>
      <c r="D313" s="7"/>
      <c r="E313" s="7"/>
      <c r="G313" s="5" t="str">
        <f aca="false">IF(ISNUMBER(FIND("old rod:",A313)),"old rod:",A313)</f>
        <v>good rod:</v>
      </c>
      <c r="I313" s="5" t="s">
        <v>2846</v>
      </c>
    </row>
    <row r="314" customFormat="false" ht="12.75" hidden="false" customHeight="true" outlineLevel="0" collapsed="false">
      <c r="A314" s="5" t="s">
        <v>2927</v>
      </c>
      <c r="B314" s="7" t="n">
        <v>29</v>
      </c>
      <c r="C314" s="7" t="n">
        <v>33</v>
      </c>
      <c r="D314" s="7" t="s">
        <v>3754</v>
      </c>
      <c r="E314" s="7"/>
      <c r="G314" s="5" t="str">
        <f aca="false">IF(ISNUMBER(FIND("old rod:",A314)),"old rod:",A314)</f>
        <v>29, 33, GYARADOS</v>
      </c>
      <c r="I314" s="5" t="s">
        <v>2927</v>
      </c>
    </row>
    <row r="315" customFormat="false" ht="12.75" hidden="false" customHeight="true" outlineLevel="0" collapsed="false">
      <c r="A315" s="5" t="s">
        <v>2928</v>
      </c>
      <c r="B315" s="7" t="n">
        <v>30</v>
      </c>
      <c r="C315" s="7" t="n">
        <v>35</v>
      </c>
      <c r="D315" s="7" t="s">
        <v>3803</v>
      </c>
      <c r="E315" s="7"/>
      <c r="G315" s="5" t="str">
        <f aca="false">IF(ISNUMBER(FIND("old rod:",A315)),"old rod:",A315)</f>
        <v>30, 35, POLIWAG</v>
      </c>
      <c r="I315" s="5" t="s">
        <v>2928</v>
      </c>
    </row>
    <row r="316" customFormat="false" ht="12.75" hidden="false" customHeight="true" outlineLevel="0" collapsed="false">
      <c r="A316" s="5" t="s">
        <v>2929</v>
      </c>
      <c r="B316" s="7" t="n">
        <v>30</v>
      </c>
      <c r="C316" s="7" t="n">
        <v>35</v>
      </c>
      <c r="D316" s="7" t="s">
        <v>3804</v>
      </c>
      <c r="E316" s="7"/>
      <c r="G316" s="5" t="str">
        <f aca="false">IF(ISNUMBER(FIND("old rod:",A316)),"old rod:",A316)</f>
        <v>30, 35, GOLDEEN</v>
      </c>
      <c r="I316" s="5" t="s">
        <v>2929</v>
      </c>
    </row>
    <row r="317" customFormat="false" ht="12.75" hidden="false" customHeight="true" outlineLevel="0" collapsed="false">
      <c r="A317" s="5" t="s">
        <v>2850</v>
      </c>
      <c r="B317" s="7" t="s">
        <v>2850</v>
      </c>
      <c r="C317" s="7"/>
      <c r="D317" s="7"/>
      <c r="E317" s="7"/>
      <c r="G317" s="5" t="str">
        <f aca="false">IF(ISNUMBER(FIND("old rod:",A317)),"old rod:",A317)</f>
        <v>super rod:</v>
      </c>
      <c r="I317" s="5" t="s">
        <v>2850</v>
      </c>
    </row>
    <row r="318" customFormat="false" ht="12.75" hidden="false" customHeight="true" outlineLevel="0" collapsed="false">
      <c r="A318" s="5" t="s">
        <v>2930</v>
      </c>
      <c r="B318" s="7" t="n">
        <v>36</v>
      </c>
      <c r="C318" s="7" t="n">
        <v>40</v>
      </c>
      <c r="D318" s="7" t="s">
        <v>3805</v>
      </c>
      <c r="E318" s="7"/>
      <c r="G318" s="5" t="str">
        <f aca="false">IF(ISNUMBER(FIND("old rod:",A318)),"old rod:",A318)</f>
        <v>36, 40, POLIWHIRL</v>
      </c>
      <c r="I318" s="5" t="s">
        <v>2930</v>
      </c>
    </row>
    <row r="319" customFormat="false" ht="12.75" hidden="false" customHeight="true" outlineLevel="0" collapsed="false">
      <c r="A319" s="5" t="s">
        <v>2931</v>
      </c>
      <c r="B319" s="7" t="n">
        <v>36</v>
      </c>
      <c r="C319" s="7" t="n">
        <v>40</v>
      </c>
      <c r="D319" s="7" t="s">
        <v>3806</v>
      </c>
      <c r="E319" s="7"/>
      <c r="G319" s="5" t="str">
        <f aca="false">IF(ISNUMBER(FIND("old rod:",A319)),"old rod:",A319)</f>
        <v>36, 40, SEAKING</v>
      </c>
      <c r="I319" s="5" t="s">
        <v>2931</v>
      </c>
    </row>
    <row r="320" customFormat="false" ht="12.75" hidden="false" customHeight="true" outlineLevel="0" collapsed="false">
      <c r="A320" s="5" t="s">
        <v>2932</v>
      </c>
      <c r="B320" s="7" t="n">
        <v>38</v>
      </c>
      <c r="C320" s="7" t="n">
        <v>42</v>
      </c>
      <c r="D320" s="7" t="s">
        <v>3807</v>
      </c>
      <c r="E320" s="7"/>
      <c r="G320" s="5" t="str">
        <f aca="false">IF(ISNUMBER(FIND("old rod:",A320)),"old rod:",A320)</f>
        <v>38, 42, DRATINI</v>
      </c>
      <c r="I320" s="5" t="s">
        <v>2932</v>
      </c>
    </row>
    <row r="321" customFormat="false" ht="12.75" hidden="false" customHeight="true" outlineLevel="0" collapsed="false">
      <c r="A321" s="5" t="s">
        <v>2933</v>
      </c>
      <c r="B321" s="7" t="n">
        <v>38</v>
      </c>
      <c r="C321" s="7" t="n">
        <v>42</v>
      </c>
      <c r="D321" s="7" t="s">
        <v>3808</v>
      </c>
      <c r="E321" s="7"/>
      <c r="G321" s="5" t="str">
        <f aca="false">IF(ISNUMBER(FIND("old rod:",A321)),"old rod:",A321)</f>
        <v>38, 42, DRAGONAIR</v>
      </c>
      <c r="I321" s="5" t="s">
        <v>2933</v>
      </c>
    </row>
    <row r="322" customFormat="false" ht="12.75" hidden="false" customHeight="true" outlineLevel="0" collapsed="false">
      <c r="A322" s="5" t="s">
        <v>2934</v>
      </c>
      <c r="B322" s="7" t="n">
        <v>40</v>
      </c>
      <c r="C322" s="7" t="n">
        <v>44</v>
      </c>
      <c r="D322" s="7" t="s">
        <v>3809</v>
      </c>
      <c r="E322" s="7"/>
      <c r="G322" s="5" t="str">
        <f aca="false">IF(ISNUMBER(FIND("old rod:",A322)),"old rod:",A322)</f>
        <v>40, 44, DRAGONITE</v>
      </c>
      <c r="I322" s="5" t="s">
        <v>2934</v>
      </c>
    </row>
    <row r="323" customFormat="false" ht="12.75" hidden="false" customHeight="true" outlineLevel="0" collapsed="false">
      <c r="A323" s="5" t="s">
        <v>2536</v>
      </c>
      <c r="B323" s="7" t="s">
        <v>2536</v>
      </c>
      <c r="C323" s="7"/>
      <c r="D323" s="7"/>
      <c r="E323" s="7"/>
      <c r="G323" s="5" t="str">
        <f aca="false">IF(ISNUMBER(FIND("old rod:",A323)),"old rod:",A323)</f>
        <v>NEW ROUTE</v>
      </c>
      <c r="I323" s="5" t="s">
        <v>2536</v>
      </c>
    </row>
    <row r="324" customFormat="false" ht="12.75" hidden="false" customHeight="true" outlineLevel="0" collapsed="false">
      <c r="A324" s="5" t="s">
        <v>143</v>
      </c>
      <c r="B324" s="7" t="s">
        <v>143</v>
      </c>
      <c r="C324" s="7"/>
      <c r="D324" s="7"/>
      <c r="E324" s="7"/>
      <c r="G324" s="5" t="str">
        <f aca="false">IF(ISNUMBER(FIND("old rod:",A324)),"old rod:",A324)</f>
        <v>Safari Zone North</v>
      </c>
      <c r="I324" s="5" t="s">
        <v>143</v>
      </c>
    </row>
    <row r="325" customFormat="false" ht="12.75" hidden="false" customHeight="true" outlineLevel="0" collapsed="false">
      <c r="A325" s="5" t="n">
        <v>0.2</v>
      </c>
      <c r="B325" s="5" t="n">
        <v>0.2</v>
      </c>
      <c r="C325" s="7"/>
      <c r="D325" s="7"/>
      <c r="E325" s="7"/>
      <c r="G325" s="5" t="n">
        <f aca="false">IF(ISNUMBER(FIND("old rod:",A325)),"old rod:",A325)</f>
        <v>0.2</v>
      </c>
      <c r="I325" s="5" t="n">
        <v>0.2</v>
      </c>
    </row>
    <row r="326" customFormat="false" ht="12.75" hidden="false" customHeight="true" outlineLevel="0" collapsed="false">
      <c r="A326" s="5" t="s">
        <v>1333</v>
      </c>
      <c r="B326" s="7" t="n">
        <v>35</v>
      </c>
      <c r="C326" s="7" t="n">
        <v>40</v>
      </c>
      <c r="D326" s="7" t="s">
        <v>3787</v>
      </c>
      <c r="E326" s="7"/>
      <c r="G326" s="5" t="str">
        <f aca="false">IF(ISNUMBER(FIND("old rod:",A326)),"old rod:",A326)</f>
        <v>35, 40, NIDOKING</v>
      </c>
      <c r="I326" s="5" t="s">
        <v>1333</v>
      </c>
    </row>
    <row r="327" customFormat="false" ht="12.75" hidden="false" customHeight="true" outlineLevel="0" collapsed="false">
      <c r="A327" s="5" t="s">
        <v>2909</v>
      </c>
      <c r="B327" s="7" t="n">
        <v>35</v>
      </c>
      <c r="C327" s="7" t="n">
        <v>40</v>
      </c>
      <c r="D327" s="7" t="s">
        <v>3788</v>
      </c>
      <c r="E327" s="7"/>
      <c r="G327" s="5" t="str">
        <f aca="false">IF(ISNUMBER(FIND("old rod:",A327)),"old rod:",A327)</f>
        <v>35, 40, NIDOQUEEN</v>
      </c>
      <c r="I327" s="5" t="s">
        <v>2909</v>
      </c>
    </row>
    <row r="328" customFormat="false" ht="12.75" hidden="false" customHeight="true" outlineLevel="0" collapsed="false">
      <c r="A328" s="5" t="n">
        <v>0.1</v>
      </c>
      <c r="B328" s="5" t="n">
        <v>0.1</v>
      </c>
      <c r="C328" s="7"/>
      <c r="D328" s="7"/>
      <c r="E328" s="7"/>
      <c r="G328" s="5" t="n">
        <f aca="false">IF(ISNUMBER(FIND("old rod:",A328)),"old rod:",A328)</f>
        <v>0.1</v>
      </c>
      <c r="I328" s="5" t="n">
        <v>0.1</v>
      </c>
    </row>
    <row r="329" customFormat="false" ht="12.75" hidden="false" customHeight="true" outlineLevel="0" collapsed="false">
      <c r="A329" s="5" t="s">
        <v>2910</v>
      </c>
      <c r="B329" s="7" t="n">
        <v>36</v>
      </c>
      <c r="C329" s="7" t="n">
        <v>41</v>
      </c>
      <c r="D329" s="7" t="s">
        <v>3789</v>
      </c>
      <c r="E329" s="7"/>
      <c r="G329" s="5" t="str">
        <f aca="false">IF(ISNUMBER(FIND("old rod:",A329)),"old rod:",A329)</f>
        <v>36, 41, PARASECT</v>
      </c>
      <c r="I329" s="5" t="s">
        <v>2910</v>
      </c>
    </row>
    <row r="330" customFormat="false" ht="12.75" hidden="false" customHeight="true" outlineLevel="0" collapsed="false">
      <c r="A330" s="5" t="s">
        <v>2911</v>
      </c>
      <c r="B330" s="7" t="n">
        <v>36</v>
      </c>
      <c r="C330" s="7" t="n">
        <v>41</v>
      </c>
      <c r="D330" s="7" t="s">
        <v>3790</v>
      </c>
      <c r="E330" s="7"/>
      <c r="G330" s="5" t="str">
        <f aca="false">IF(ISNUMBER(FIND("old rod:",A330)),"old rod:",A330)</f>
        <v>36, 41, VENOMOTH</v>
      </c>
      <c r="I330" s="5" t="s">
        <v>2911</v>
      </c>
    </row>
    <row r="331" customFormat="false" ht="12.75" hidden="false" customHeight="true" outlineLevel="0" collapsed="false">
      <c r="A331" s="5" t="s">
        <v>2943</v>
      </c>
      <c r="B331" s="7" t="n">
        <v>36</v>
      </c>
      <c r="C331" s="7" t="n">
        <v>41</v>
      </c>
      <c r="D331" s="7" t="s">
        <v>3816</v>
      </c>
      <c r="E331" s="7"/>
      <c r="G331" s="5" t="str">
        <f aca="false">IF(ISNUMBER(FIND("old rod:",A331)),"old rod:",A331)</f>
        <v>36, 41, CLEFABLE</v>
      </c>
      <c r="I331" s="5" t="s">
        <v>2943</v>
      </c>
    </row>
    <row r="332" customFormat="false" ht="12.75" hidden="false" customHeight="true" outlineLevel="0" collapsed="false">
      <c r="A332" s="5" t="s">
        <v>2944</v>
      </c>
      <c r="B332" s="7" t="n">
        <v>36</v>
      </c>
      <c r="C332" s="7" t="n">
        <v>41</v>
      </c>
      <c r="D332" s="7" t="s">
        <v>3817</v>
      </c>
      <c r="E332" s="7"/>
      <c r="G332" s="5" t="str">
        <f aca="false">IF(ISNUMBER(FIND("old rod:",A332)),"old rod:",A332)</f>
        <v>36, 41, ELECTABUZZ</v>
      </c>
      <c r="I332" s="5" t="s">
        <v>2944</v>
      </c>
    </row>
    <row r="333" customFormat="false" ht="12.75" hidden="false" customHeight="true" outlineLevel="0" collapsed="false">
      <c r="A333" s="5" t="n">
        <v>0.05</v>
      </c>
      <c r="B333" s="5" t="n">
        <v>0.05</v>
      </c>
      <c r="C333" s="7"/>
      <c r="D333" s="7"/>
      <c r="E333" s="7"/>
      <c r="G333" s="5" t="n">
        <f aca="false">IF(ISNUMBER(FIND("old rod:",A333)),"old rod:",A333)</f>
        <v>0.05</v>
      </c>
      <c r="I333" s="5" t="n">
        <v>0.05</v>
      </c>
    </row>
    <row r="334" customFormat="false" ht="12.75" hidden="false" customHeight="true" outlineLevel="0" collapsed="false">
      <c r="A334" s="5" t="s">
        <v>2914</v>
      </c>
      <c r="B334" s="7" t="n">
        <v>37</v>
      </c>
      <c r="C334" s="7" t="n">
        <v>39</v>
      </c>
      <c r="D334" s="7" t="s">
        <v>3793</v>
      </c>
      <c r="E334" s="7"/>
      <c r="G334" s="5" t="str">
        <f aca="false">IF(ISNUMBER(FIND("old rod:",A334)),"old rod:",A334)</f>
        <v>37, 39, SCIZOR</v>
      </c>
      <c r="I334" s="5" t="s">
        <v>2914</v>
      </c>
    </row>
    <row r="335" customFormat="false" ht="12.75" hidden="false" customHeight="true" outlineLevel="0" collapsed="false">
      <c r="A335" s="5" t="s">
        <v>2915</v>
      </c>
      <c r="B335" s="7" t="n">
        <v>37</v>
      </c>
      <c r="C335" s="7" t="n">
        <v>39</v>
      </c>
      <c r="D335" s="7" t="s">
        <v>3794</v>
      </c>
      <c r="E335" s="7"/>
      <c r="G335" s="5" t="str">
        <f aca="false">IF(ISNUMBER(FIND("old rod:",A335)),"old rod:",A335)</f>
        <v>37, 39, PINSIRIOR</v>
      </c>
      <c r="I335" s="5" t="s">
        <v>2915</v>
      </c>
    </row>
    <row r="336" customFormat="false" ht="12.75" hidden="false" customHeight="true" outlineLevel="0" collapsed="false">
      <c r="A336" s="5" t="n">
        <v>0.04</v>
      </c>
      <c r="B336" s="5" t="n">
        <v>0.04</v>
      </c>
      <c r="C336" s="7"/>
      <c r="D336" s="7"/>
      <c r="E336" s="7"/>
      <c r="G336" s="5" t="n">
        <f aca="false">IF(ISNUMBER(FIND("old rod:",A336)),"old rod:",A336)</f>
        <v>0.04</v>
      </c>
      <c r="I336" s="5" t="n">
        <v>0.04</v>
      </c>
    </row>
    <row r="337" customFormat="false" ht="12.75" hidden="false" customHeight="true" outlineLevel="0" collapsed="false">
      <c r="A337" s="5" t="s">
        <v>2945</v>
      </c>
      <c r="B337" s="7" t="n">
        <v>38</v>
      </c>
      <c r="C337" s="7" t="n">
        <v>42</v>
      </c>
      <c r="D337" s="7" t="s">
        <v>3818</v>
      </c>
      <c r="E337" s="7"/>
      <c r="G337" s="5" t="str">
        <f aca="false">IF(ISNUMBER(FIND("old rod:",A337)),"old rod:",A337)</f>
        <v>38, 42, TAUROS</v>
      </c>
      <c r="I337" s="5" t="s">
        <v>2945</v>
      </c>
    </row>
    <row r="338" customFormat="false" ht="12.75" hidden="false" customHeight="true" outlineLevel="0" collapsed="false">
      <c r="A338" s="5" t="s">
        <v>2946</v>
      </c>
      <c r="B338" s="7" t="n">
        <v>38</v>
      </c>
      <c r="C338" s="7" t="n">
        <v>42</v>
      </c>
      <c r="D338" s="7" t="s">
        <v>3819</v>
      </c>
      <c r="E338" s="7"/>
      <c r="G338" s="5" t="str">
        <f aca="false">IF(ISNUMBER(FIND("old rod:",A338)),"old rod:",A338)</f>
        <v>38, 42, FLAREON</v>
      </c>
      <c r="I338" s="5" t="s">
        <v>2946</v>
      </c>
    </row>
    <row r="339" customFormat="false" ht="12.75" hidden="false" customHeight="true" outlineLevel="0" collapsed="false">
      <c r="A339" s="5" t="n">
        <v>0.01</v>
      </c>
      <c r="B339" s="5" t="n">
        <v>0.01</v>
      </c>
      <c r="C339" s="7"/>
      <c r="D339" s="7"/>
      <c r="E339" s="7"/>
      <c r="G339" s="5" t="n">
        <f aca="false">IF(ISNUMBER(FIND("old rod:",A339)),"old rod:",A339)</f>
        <v>0.01</v>
      </c>
      <c r="I339" s="5" t="n">
        <v>0.01</v>
      </c>
    </row>
    <row r="340" customFormat="false" ht="12.75" hidden="false" customHeight="true" outlineLevel="0" collapsed="false">
      <c r="A340" s="5" t="s">
        <v>2947</v>
      </c>
      <c r="B340" s="7" t="n">
        <v>40</v>
      </c>
      <c r="C340" s="7" t="n">
        <v>40</v>
      </c>
      <c r="D340" s="7" t="s">
        <v>3820</v>
      </c>
      <c r="E340" s="7"/>
      <c r="G340" s="5" t="str">
        <f aca="false">IF(ISNUMBER(FIND("old rod:",A340)),"old rod:",A340)</f>
        <v>40, 40, TAUROX</v>
      </c>
      <c r="I340" s="5" t="s">
        <v>2947</v>
      </c>
    </row>
    <row r="341" customFormat="false" ht="12.75" hidden="false" customHeight="true" outlineLevel="0" collapsed="false">
      <c r="A341" s="5" t="s">
        <v>2948</v>
      </c>
      <c r="B341" s="7" t="n">
        <v>40</v>
      </c>
      <c r="C341" s="7" t="n">
        <v>40</v>
      </c>
      <c r="D341" s="7" t="s">
        <v>3821</v>
      </c>
      <c r="E341" s="7"/>
      <c r="G341" s="5" t="str">
        <f aca="false">IF(ISNUMBER(FIND("old rod:",A341)),"old rod:",A341)</f>
        <v>40, 40, ELECTIVIRE</v>
      </c>
      <c r="I341" s="5" t="s">
        <v>2948</v>
      </c>
    </row>
    <row r="342" customFormat="false" ht="12.75" hidden="false" customHeight="true" outlineLevel="0" collapsed="false">
      <c r="A342" s="5" t="s">
        <v>2920</v>
      </c>
      <c r="B342" s="7" t="n">
        <v>2</v>
      </c>
      <c r="C342" s="7" t="n">
        <v>38</v>
      </c>
      <c r="D342" s="7" t="n">
        <v>42</v>
      </c>
      <c r="E342" s="7" t="s">
        <v>3755</v>
      </c>
      <c r="G342" s="5" t="str">
        <f aca="false">IF(ISNUMBER(FIND("old rod:",A342)),"old rod:",A342)</f>
        <v>2, 38, 42, SLOWPOKE</v>
      </c>
      <c r="I342" s="5" t="s">
        <v>2920</v>
      </c>
    </row>
    <row r="343" customFormat="false" ht="12.75" hidden="false" customHeight="true" outlineLevel="0" collapsed="false">
      <c r="A343" s="5" t="s">
        <v>2921</v>
      </c>
      <c r="B343" s="7" t="n">
        <v>40</v>
      </c>
      <c r="C343" s="7" t="n">
        <v>42</v>
      </c>
      <c r="D343" s="7" t="s">
        <v>3799</v>
      </c>
      <c r="E343" s="7"/>
      <c r="G343" s="5" t="str">
        <f aca="false">IF(ISNUMBER(FIND("old rod:",A343)),"old rod:",A343)</f>
        <v>40, 42, PSYDUCK</v>
      </c>
      <c r="I343" s="5" t="s">
        <v>2921</v>
      </c>
    </row>
    <row r="344" customFormat="false" ht="12.75" hidden="false" customHeight="true" outlineLevel="0" collapsed="false">
      <c r="A344" s="5" t="s">
        <v>2922</v>
      </c>
      <c r="B344" s="7" t="n">
        <v>42</v>
      </c>
      <c r="C344" s="7" t="n">
        <v>46</v>
      </c>
      <c r="D344" s="7" t="s">
        <v>3800</v>
      </c>
      <c r="E344" s="7"/>
      <c r="G344" s="5" t="str">
        <f aca="false">IF(ISNUMBER(FIND("old rod:",A344)),"old rod:",A344)</f>
        <v>42, 46, SLOWBRO</v>
      </c>
      <c r="I344" s="5" t="s">
        <v>2922</v>
      </c>
    </row>
    <row r="345" customFormat="false" ht="12.75" hidden="false" customHeight="true" outlineLevel="0" collapsed="false">
      <c r="A345" s="5" t="s">
        <v>2923</v>
      </c>
      <c r="B345" s="7" t="n">
        <v>42</v>
      </c>
      <c r="C345" s="7" t="n">
        <v>46</v>
      </c>
      <c r="D345" s="7" t="s">
        <v>3801</v>
      </c>
      <c r="E345" s="7"/>
      <c r="G345" s="5" t="str">
        <f aca="false">IF(ISNUMBER(FIND("old rod:",A345)),"old rod:",A345)</f>
        <v>42, 46, GOLDUCK</v>
      </c>
      <c r="I345" s="5" t="s">
        <v>2923</v>
      </c>
    </row>
    <row r="346" customFormat="false" ht="12.75" hidden="false" customHeight="true" outlineLevel="0" collapsed="false">
      <c r="A346" s="5" t="s">
        <v>2924</v>
      </c>
      <c r="B346" s="7" t="n">
        <v>44</v>
      </c>
      <c r="C346" s="7" t="n">
        <v>48</v>
      </c>
      <c r="D346" s="7" t="s">
        <v>3802</v>
      </c>
      <c r="E346" s="7"/>
      <c r="G346" s="5" t="str">
        <f aca="false">IF(ISNUMBER(FIND("old rod:",A346)),"old rod:",A346)</f>
        <v>44, 48, VAPOREON</v>
      </c>
      <c r="I346" s="5" t="s">
        <v>2924</v>
      </c>
    </row>
    <row r="347" customFormat="false" ht="12.75" hidden="false" customHeight="true" outlineLevel="0" collapsed="false">
      <c r="A347" s="5" t="s">
        <v>2925</v>
      </c>
      <c r="B347" s="7" t="n">
        <v>20</v>
      </c>
      <c r="C347" s="7" t="s">
        <v>3748</v>
      </c>
      <c r="D347" s="7"/>
      <c r="E347" s="7"/>
      <c r="G347" s="5" t="str">
        <f aca="false">IF(ISNUMBER(FIND("old rod:",A347)),"old rod:",A347)</f>
        <v>old rod:</v>
      </c>
      <c r="I347" s="5" t="s">
        <v>3749</v>
      </c>
    </row>
    <row r="348" customFormat="false" ht="12.75" hidden="false" customHeight="true" outlineLevel="0" collapsed="false">
      <c r="A348" s="5" t="s">
        <v>1349</v>
      </c>
      <c r="B348" s="7" t="n">
        <v>19</v>
      </c>
      <c r="C348" s="7" t="n">
        <v>26</v>
      </c>
      <c r="D348" s="7" t="s">
        <v>3750</v>
      </c>
      <c r="E348" s="7"/>
      <c r="G348" s="5" t="str">
        <f aca="false">IF(ISNUMBER(FIND("old rod:",A348)),"old rod:",A348)</f>
        <v>19, 26, MAGIKARP</v>
      </c>
      <c r="I348" s="5" t="s">
        <v>1349</v>
      </c>
    </row>
    <row r="349" customFormat="false" ht="12.75" hidden="false" customHeight="true" outlineLevel="0" collapsed="false">
      <c r="A349" s="5" t="s">
        <v>2926</v>
      </c>
      <c r="B349" s="7" t="n">
        <v>19</v>
      </c>
      <c r="C349" s="7" t="n">
        <v>26</v>
      </c>
      <c r="D349" s="7" t="s">
        <v>3803</v>
      </c>
      <c r="E349" s="7"/>
      <c r="G349" s="5" t="str">
        <f aca="false">IF(ISNUMBER(FIND("old rod:",A349)),"old rod:",A349)</f>
        <v>19, 26, POLIWAG</v>
      </c>
      <c r="I349" s="5" t="s">
        <v>2926</v>
      </c>
    </row>
    <row r="350" customFormat="false" ht="12.75" hidden="false" customHeight="true" outlineLevel="0" collapsed="false">
      <c r="A350" s="5" t="s">
        <v>2846</v>
      </c>
      <c r="B350" s="7" t="s">
        <v>2846</v>
      </c>
      <c r="C350" s="7"/>
      <c r="D350" s="7"/>
      <c r="E350" s="7"/>
      <c r="G350" s="5" t="str">
        <f aca="false">IF(ISNUMBER(FIND("old rod:",A350)),"old rod:",A350)</f>
        <v>good rod:</v>
      </c>
      <c r="I350" s="5" t="s">
        <v>2846</v>
      </c>
    </row>
    <row r="351" customFormat="false" ht="12.75" hidden="false" customHeight="true" outlineLevel="0" collapsed="false">
      <c r="A351" s="5" t="s">
        <v>2927</v>
      </c>
      <c r="B351" s="7" t="n">
        <v>29</v>
      </c>
      <c r="C351" s="7" t="n">
        <v>33</v>
      </c>
      <c r="D351" s="7" t="s">
        <v>3754</v>
      </c>
      <c r="E351" s="7"/>
      <c r="G351" s="5" t="str">
        <f aca="false">IF(ISNUMBER(FIND("old rod:",A351)),"old rod:",A351)</f>
        <v>29, 33, GYARADOS</v>
      </c>
      <c r="I351" s="5" t="s">
        <v>2927</v>
      </c>
    </row>
    <row r="352" customFormat="false" ht="12.75" hidden="false" customHeight="true" outlineLevel="0" collapsed="false">
      <c r="A352" s="5" t="s">
        <v>2928</v>
      </c>
      <c r="B352" s="7" t="n">
        <v>30</v>
      </c>
      <c r="C352" s="7" t="n">
        <v>35</v>
      </c>
      <c r="D352" s="7" t="s">
        <v>3803</v>
      </c>
      <c r="E352" s="7"/>
      <c r="G352" s="5" t="str">
        <f aca="false">IF(ISNUMBER(FIND("old rod:",A352)),"old rod:",A352)</f>
        <v>30, 35, POLIWAG</v>
      </c>
      <c r="I352" s="5" t="s">
        <v>2928</v>
      </c>
    </row>
    <row r="353" customFormat="false" ht="12.75" hidden="false" customHeight="true" outlineLevel="0" collapsed="false">
      <c r="A353" s="5" t="s">
        <v>2929</v>
      </c>
      <c r="B353" s="7" t="n">
        <v>30</v>
      </c>
      <c r="C353" s="7" t="n">
        <v>35</v>
      </c>
      <c r="D353" s="7" t="s">
        <v>3804</v>
      </c>
      <c r="E353" s="7"/>
      <c r="G353" s="5" t="str">
        <f aca="false">IF(ISNUMBER(FIND("old rod:",A353)),"old rod:",A353)</f>
        <v>30, 35, GOLDEEN</v>
      </c>
      <c r="I353" s="5" t="s">
        <v>2929</v>
      </c>
    </row>
    <row r="354" customFormat="false" ht="12.75" hidden="false" customHeight="true" outlineLevel="0" collapsed="false">
      <c r="A354" s="5" t="s">
        <v>2850</v>
      </c>
      <c r="B354" s="7" t="s">
        <v>2850</v>
      </c>
      <c r="C354" s="7"/>
      <c r="D354" s="7"/>
      <c r="E354" s="7"/>
      <c r="G354" s="5" t="str">
        <f aca="false">IF(ISNUMBER(FIND("old rod:",A354)),"old rod:",A354)</f>
        <v>super rod:</v>
      </c>
      <c r="I354" s="5" t="s">
        <v>2850</v>
      </c>
    </row>
    <row r="355" customFormat="false" ht="12.75" hidden="false" customHeight="true" outlineLevel="0" collapsed="false">
      <c r="A355" s="5" t="s">
        <v>2930</v>
      </c>
      <c r="B355" s="7" t="n">
        <v>36</v>
      </c>
      <c r="C355" s="7" t="n">
        <v>40</v>
      </c>
      <c r="D355" s="7" t="s">
        <v>3805</v>
      </c>
      <c r="E355" s="7"/>
      <c r="G355" s="5" t="str">
        <f aca="false">IF(ISNUMBER(FIND("old rod:",A355)),"old rod:",A355)</f>
        <v>36, 40, POLIWHIRL</v>
      </c>
      <c r="I355" s="5" t="s">
        <v>2930</v>
      </c>
    </row>
    <row r="356" customFormat="false" ht="12.75" hidden="false" customHeight="true" outlineLevel="0" collapsed="false">
      <c r="A356" s="5" t="s">
        <v>2931</v>
      </c>
      <c r="B356" s="7" t="n">
        <v>36</v>
      </c>
      <c r="C356" s="7" t="n">
        <v>40</v>
      </c>
      <c r="D356" s="7" t="s">
        <v>3806</v>
      </c>
      <c r="E356" s="7"/>
      <c r="G356" s="5" t="str">
        <f aca="false">IF(ISNUMBER(FIND("old rod:",A356)),"old rod:",A356)</f>
        <v>36, 40, SEAKING</v>
      </c>
      <c r="I356" s="5" t="s">
        <v>2931</v>
      </c>
    </row>
    <row r="357" customFormat="false" ht="12.75" hidden="false" customHeight="true" outlineLevel="0" collapsed="false">
      <c r="A357" s="5" t="s">
        <v>2932</v>
      </c>
      <c r="B357" s="7" t="n">
        <v>38</v>
      </c>
      <c r="C357" s="7" t="n">
        <v>42</v>
      </c>
      <c r="D357" s="7" t="s">
        <v>3807</v>
      </c>
      <c r="E357" s="7"/>
      <c r="G357" s="5" t="str">
        <f aca="false">IF(ISNUMBER(FIND("old rod:",A357)),"old rod:",A357)</f>
        <v>38, 42, DRATINI</v>
      </c>
      <c r="I357" s="5" t="s">
        <v>2932</v>
      </c>
    </row>
    <row r="358" customFormat="false" ht="12.75" hidden="false" customHeight="true" outlineLevel="0" collapsed="false">
      <c r="A358" s="5" t="s">
        <v>2933</v>
      </c>
      <c r="B358" s="7" t="n">
        <v>38</v>
      </c>
      <c r="C358" s="7" t="n">
        <v>42</v>
      </c>
      <c r="D358" s="7" t="s">
        <v>3808</v>
      </c>
      <c r="E358" s="7"/>
      <c r="G358" s="5" t="str">
        <f aca="false">IF(ISNUMBER(FIND("old rod:",A358)),"old rod:",A358)</f>
        <v>38, 42, DRAGONAIR</v>
      </c>
      <c r="I358" s="5" t="s">
        <v>2933</v>
      </c>
    </row>
    <row r="359" customFormat="false" ht="12.75" hidden="false" customHeight="true" outlineLevel="0" collapsed="false">
      <c r="A359" s="5" t="s">
        <v>2934</v>
      </c>
      <c r="B359" s="7" t="n">
        <v>40</v>
      </c>
      <c r="C359" s="7" t="n">
        <v>44</v>
      </c>
      <c r="D359" s="7" t="s">
        <v>3809</v>
      </c>
      <c r="E359" s="7"/>
      <c r="G359" s="5" t="str">
        <f aca="false">IF(ISNUMBER(FIND("old rod:",A359)),"old rod:",A359)</f>
        <v>40, 44, DRAGONITE</v>
      </c>
      <c r="I359" s="5" t="s">
        <v>2934</v>
      </c>
    </row>
    <row r="360" customFormat="false" ht="12.75" hidden="false" customHeight="true" outlineLevel="0" collapsed="false">
      <c r="A360" s="5" t="s">
        <v>2536</v>
      </c>
      <c r="B360" s="7" t="s">
        <v>2536</v>
      </c>
      <c r="C360" s="7"/>
      <c r="D360" s="7"/>
      <c r="E360" s="7"/>
      <c r="G360" s="5" t="str">
        <f aca="false">IF(ISNUMBER(FIND("old rod:",A360)),"old rod:",A360)</f>
        <v>NEW ROUTE</v>
      </c>
      <c r="I360" s="5" t="s">
        <v>2536</v>
      </c>
    </row>
    <row r="361" customFormat="false" ht="12.75" hidden="false" customHeight="true" outlineLevel="0" collapsed="false">
      <c r="A361" s="5" t="s">
        <v>145</v>
      </c>
      <c r="B361" s="7" t="s">
        <v>145</v>
      </c>
      <c r="C361" s="7"/>
      <c r="D361" s="7"/>
      <c r="E361" s="7"/>
      <c r="G361" s="5" t="str">
        <f aca="false">IF(ISNUMBER(FIND("old rod:",A361)),"old rod:",A361)</f>
        <v>Safari Zone West</v>
      </c>
      <c r="I361" s="5" t="s">
        <v>145</v>
      </c>
    </row>
    <row r="362" customFormat="false" ht="12.75" hidden="false" customHeight="true" outlineLevel="0" collapsed="false">
      <c r="A362" s="5" t="n">
        <v>0.2</v>
      </c>
      <c r="B362" s="5" t="n">
        <v>0.2</v>
      </c>
      <c r="C362" s="7"/>
      <c r="D362" s="7"/>
      <c r="E362" s="7"/>
      <c r="G362" s="5" t="n">
        <f aca="false">IF(ISNUMBER(FIND("old rod:",A362)),"old rod:",A362)</f>
        <v>0.2</v>
      </c>
      <c r="I362" s="5" t="n">
        <v>0.2</v>
      </c>
    </row>
    <row r="363" customFormat="false" ht="12.75" hidden="false" customHeight="true" outlineLevel="0" collapsed="false">
      <c r="A363" s="5" t="s">
        <v>1333</v>
      </c>
      <c r="B363" s="7" t="n">
        <v>35</v>
      </c>
      <c r="C363" s="7" t="n">
        <v>40</v>
      </c>
      <c r="D363" s="7" t="s">
        <v>3787</v>
      </c>
      <c r="E363" s="7"/>
      <c r="G363" s="5" t="str">
        <f aca="false">IF(ISNUMBER(FIND("old rod:",A363)),"old rod:",A363)</f>
        <v>35, 40, NIDOKING</v>
      </c>
      <c r="I363" s="5" t="s">
        <v>1333</v>
      </c>
    </row>
    <row r="364" customFormat="false" ht="12.75" hidden="false" customHeight="true" outlineLevel="0" collapsed="false">
      <c r="A364" s="5" t="s">
        <v>2909</v>
      </c>
      <c r="B364" s="7" t="n">
        <v>35</v>
      </c>
      <c r="C364" s="7" t="n">
        <v>40</v>
      </c>
      <c r="D364" s="7" t="s">
        <v>3788</v>
      </c>
      <c r="E364" s="7"/>
      <c r="G364" s="5" t="str">
        <f aca="false">IF(ISNUMBER(FIND("old rod:",A364)),"old rod:",A364)</f>
        <v>35, 40, NIDOQUEEN</v>
      </c>
      <c r="I364" s="5" t="s">
        <v>2909</v>
      </c>
    </row>
    <row r="365" customFormat="false" ht="12.75" hidden="false" customHeight="true" outlineLevel="0" collapsed="false">
      <c r="A365" s="5" t="n">
        <v>0.1</v>
      </c>
      <c r="B365" s="5" t="n">
        <v>0.1</v>
      </c>
      <c r="C365" s="7"/>
      <c r="D365" s="7"/>
      <c r="E365" s="7"/>
      <c r="G365" s="5" t="n">
        <f aca="false">IF(ISNUMBER(FIND("old rod:",A365)),"old rod:",A365)</f>
        <v>0.1</v>
      </c>
      <c r="I365" s="5" t="n">
        <v>0.1</v>
      </c>
    </row>
    <row r="366" customFormat="false" ht="12.75" hidden="false" customHeight="true" outlineLevel="0" collapsed="false">
      <c r="A366" s="5" t="s">
        <v>2910</v>
      </c>
      <c r="B366" s="7" t="n">
        <v>36</v>
      </c>
      <c r="C366" s="7" t="n">
        <v>41</v>
      </c>
      <c r="D366" s="7" t="s">
        <v>3789</v>
      </c>
      <c r="E366" s="7"/>
      <c r="G366" s="5" t="str">
        <f aca="false">IF(ISNUMBER(FIND("old rod:",A366)),"old rod:",A366)</f>
        <v>36, 41, PARASECT</v>
      </c>
      <c r="I366" s="5" t="s">
        <v>2910</v>
      </c>
    </row>
    <row r="367" customFormat="false" ht="12.75" hidden="false" customHeight="true" outlineLevel="0" collapsed="false">
      <c r="A367" s="5" t="s">
        <v>2911</v>
      </c>
      <c r="B367" s="7" t="n">
        <v>36</v>
      </c>
      <c r="C367" s="7" t="n">
        <v>41</v>
      </c>
      <c r="D367" s="7" t="s">
        <v>3790</v>
      </c>
      <c r="E367" s="7"/>
      <c r="G367" s="5" t="str">
        <f aca="false">IF(ISNUMBER(FIND("old rod:",A367)),"old rod:",A367)</f>
        <v>36, 41, VENOMOTH</v>
      </c>
      <c r="I367" s="5" t="s">
        <v>2911</v>
      </c>
    </row>
    <row r="368" customFormat="false" ht="12.75" hidden="false" customHeight="true" outlineLevel="0" collapsed="false">
      <c r="A368" s="5" t="s">
        <v>2950</v>
      </c>
      <c r="B368" s="7" t="n">
        <v>36</v>
      </c>
      <c r="C368" s="7" t="n">
        <v>41</v>
      </c>
      <c r="D368" s="7" t="s">
        <v>3822</v>
      </c>
      <c r="E368" s="7"/>
      <c r="G368" s="5" t="str">
        <f aca="false">IF(ISNUMBER(FIND("old rod:",A368)),"old rod:",A368)</f>
        <v>36, 41, RAPIDASH</v>
      </c>
      <c r="I368" s="5" t="s">
        <v>2950</v>
      </c>
    </row>
    <row r="369" customFormat="false" ht="12.75" hidden="false" customHeight="true" outlineLevel="0" collapsed="false">
      <c r="A369" s="5" t="s">
        <v>2951</v>
      </c>
      <c r="B369" s="7" t="n">
        <v>36</v>
      </c>
      <c r="C369" s="7" t="n">
        <v>41</v>
      </c>
      <c r="D369" s="7" t="s">
        <v>3738</v>
      </c>
      <c r="E369" s="7"/>
      <c r="G369" s="5" t="str">
        <f aca="false">IF(ISNUMBER(FIND("old rod:",A369)),"old rod:",A369)</f>
        <v>36, 41, TANGELA</v>
      </c>
      <c r="I369" s="5" t="s">
        <v>2951</v>
      </c>
    </row>
    <row r="370" customFormat="false" ht="12.75" hidden="false" customHeight="true" outlineLevel="0" collapsed="false">
      <c r="A370" s="5" t="n">
        <v>0.05</v>
      </c>
      <c r="B370" s="5" t="n">
        <v>0.05</v>
      </c>
      <c r="C370" s="7"/>
      <c r="D370" s="7"/>
      <c r="E370" s="7"/>
      <c r="G370" s="5" t="n">
        <f aca="false">IF(ISNUMBER(FIND("old rod:",A370)),"old rod:",A370)</f>
        <v>0.05</v>
      </c>
      <c r="I370" s="5" t="n">
        <v>0.05</v>
      </c>
    </row>
    <row r="371" customFormat="false" ht="12.75" hidden="false" customHeight="true" outlineLevel="0" collapsed="false">
      <c r="A371" s="5" t="s">
        <v>2914</v>
      </c>
      <c r="B371" s="7" t="n">
        <v>37</v>
      </c>
      <c r="C371" s="7" t="n">
        <v>39</v>
      </c>
      <c r="D371" s="7" t="s">
        <v>3793</v>
      </c>
      <c r="E371" s="7"/>
      <c r="G371" s="5" t="str">
        <f aca="false">IF(ISNUMBER(FIND("old rod:",A371)),"old rod:",A371)</f>
        <v>37, 39, SCIZOR</v>
      </c>
      <c r="I371" s="5" t="s">
        <v>2914</v>
      </c>
    </row>
    <row r="372" customFormat="false" ht="12.75" hidden="false" customHeight="true" outlineLevel="0" collapsed="false">
      <c r="A372" s="5" t="s">
        <v>2915</v>
      </c>
      <c r="B372" s="7" t="n">
        <v>37</v>
      </c>
      <c r="C372" s="7" t="n">
        <v>39</v>
      </c>
      <c r="D372" s="7" t="s">
        <v>3794</v>
      </c>
      <c r="E372" s="7"/>
      <c r="G372" s="5" t="str">
        <f aca="false">IF(ISNUMBER(FIND("old rod:",A372)),"old rod:",A372)</f>
        <v>37, 39, PINSIRIOR</v>
      </c>
      <c r="I372" s="5" t="s">
        <v>2915</v>
      </c>
    </row>
    <row r="373" customFormat="false" ht="12.75" hidden="false" customHeight="true" outlineLevel="0" collapsed="false">
      <c r="A373" s="5" t="n">
        <v>0.04</v>
      </c>
      <c r="B373" s="5" t="n">
        <v>0.04</v>
      </c>
      <c r="C373" s="7"/>
      <c r="D373" s="7"/>
      <c r="E373" s="7"/>
      <c r="G373" s="5" t="n">
        <f aca="false">IF(ISNUMBER(FIND("old rod:",A373)),"old rod:",A373)</f>
        <v>0.04</v>
      </c>
      <c r="I373" s="5" t="n">
        <v>0.04</v>
      </c>
    </row>
    <row r="374" customFormat="false" ht="12.75" hidden="false" customHeight="true" outlineLevel="0" collapsed="false">
      <c r="A374" s="5" t="s">
        <v>2952</v>
      </c>
      <c r="B374" s="7" t="n">
        <v>38</v>
      </c>
      <c r="C374" s="7" t="n">
        <v>42</v>
      </c>
      <c r="D374" s="7" t="s">
        <v>3823</v>
      </c>
      <c r="E374" s="7"/>
      <c r="G374" s="5" t="str">
        <f aca="false">IF(ISNUMBER(FIND("old rod:",A374)),"old rod:",A374)</f>
        <v>38, 42, SNORLAX</v>
      </c>
      <c r="I374" s="5" t="s">
        <v>2952</v>
      </c>
    </row>
    <row r="375" customFormat="false" ht="12.75" hidden="false" customHeight="true" outlineLevel="0" collapsed="false">
      <c r="A375" s="5" t="s">
        <v>2953</v>
      </c>
      <c r="B375" s="7" t="n">
        <v>38</v>
      </c>
      <c r="C375" s="7" t="n">
        <v>42</v>
      </c>
      <c r="D375" s="7" t="s">
        <v>3824</v>
      </c>
      <c r="E375" s="7"/>
      <c r="G375" s="5" t="str">
        <f aca="false">IF(ISNUMBER(FIND("old rod:",A375)),"old rod:",A375)</f>
        <v>38, 42, HITMONLEE</v>
      </c>
      <c r="I375" s="5" t="s">
        <v>2953</v>
      </c>
    </row>
    <row r="376" customFormat="false" ht="12.75" hidden="false" customHeight="true" outlineLevel="0" collapsed="false">
      <c r="A376" s="5" t="n">
        <v>0.01</v>
      </c>
      <c r="B376" s="5" t="n">
        <v>0.01</v>
      </c>
      <c r="C376" s="7"/>
      <c r="D376" s="7"/>
      <c r="E376" s="7"/>
      <c r="G376" s="5" t="n">
        <f aca="false">IF(ISNUMBER(FIND("old rod:",A376)),"old rod:",A376)</f>
        <v>0.01</v>
      </c>
      <c r="I376" s="5" t="n">
        <v>0.01</v>
      </c>
    </row>
    <row r="377" customFormat="false" ht="12.75" hidden="false" customHeight="true" outlineLevel="0" collapsed="false">
      <c r="A377" s="5" t="s">
        <v>2954</v>
      </c>
      <c r="B377" s="7" t="n">
        <v>40</v>
      </c>
      <c r="C377" s="7" t="n">
        <v>40</v>
      </c>
      <c r="D377" s="7" t="s">
        <v>3825</v>
      </c>
      <c r="E377" s="7"/>
      <c r="G377" s="5" t="str">
        <f aca="false">IF(ISNUMBER(FIND("old rod:",A377)),"old rod:",A377)</f>
        <v>40, 40, ACTLAX</v>
      </c>
      <c r="I377" s="5" t="s">
        <v>2954</v>
      </c>
    </row>
    <row r="378" customFormat="false" ht="12.75" hidden="false" customHeight="true" outlineLevel="0" collapsed="false">
      <c r="A378" s="5" t="s">
        <v>2955</v>
      </c>
      <c r="B378" s="7" t="n">
        <v>40</v>
      </c>
      <c r="C378" s="7" t="n">
        <v>40</v>
      </c>
      <c r="D378" s="7" t="s">
        <v>3826</v>
      </c>
      <c r="E378" s="7"/>
      <c r="G378" s="5" t="str">
        <f aca="false">IF(ISNUMBER(FIND("old rod:",A378)),"old rod:",A378)</f>
        <v>40, 40, TANGROWTH</v>
      </c>
      <c r="I378" s="5" t="s">
        <v>2955</v>
      </c>
    </row>
    <row r="379" customFormat="false" ht="12.75" hidden="false" customHeight="true" outlineLevel="0" collapsed="false">
      <c r="A379" s="5" t="s">
        <v>2920</v>
      </c>
      <c r="B379" s="7" t="n">
        <v>2</v>
      </c>
      <c r="C379" s="7" t="n">
        <v>38</v>
      </c>
      <c r="D379" s="7" t="n">
        <v>42</v>
      </c>
      <c r="E379" s="7" t="s">
        <v>3755</v>
      </c>
      <c r="G379" s="5" t="str">
        <f aca="false">IF(ISNUMBER(FIND("old rod:",A379)),"old rod:",A379)</f>
        <v>2, 38, 42, SLOWPOKE</v>
      </c>
      <c r="I379" s="5" t="s">
        <v>2920</v>
      </c>
    </row>
    <row r="380" customFormat="false" ht="12.75" hidden="false" customHeight="true" outlineLevel="0" collapsed="false">
      <c r="A380" s="5" t="s">
        <v>2921</v>
      </c>
      <c r="B380" s="7" t="n">
        <v>40</v>
      </c>
      <c r="C380" s="7" t="n">
        <v>42</v>
      </c>
      <c r="D380" s="7" t="s">
        <v>3799</v>
      </c>
      <c r="E380" s="7"/>
      <c r="G380" s="5" t="str">
        <f aca="false">IF(ISNUMBER(FIND("old rod:",A380)),"old rod:",A380)</f>
        <v>40, 42, PSYDUCK</v>
      </c>
      <c r="I380" s="5" t="s">
        <v>2921</v>
      </c>
    </row>
    <row r="381" customFormat="false" ht="12.75" hidden="false" customHeight="true" outlineLevel="0" collapsed="false">
      <c r="A381" s="5" t="s">
        <v>2922</v>
      </c>
      <c r="B381" s="7" t="n">
        <v>42</v>
      </c>
      <c r="C381" s="7" t="n">
        <v>46</v>
      </c>
      <c r="D381" s="7" t="s">
        <v>3800</v>
      </c>
      <c r="E381" s="7"/>
      <c r="G381" s="5" t="str">
        <f aca="false">IF(ISNUMBER(FIND("old rod:",A381)),"old rod:",A381)</f>
        <v>42, 46, SLOWBRO</v>
      </c>
      <c r="I381" s="5" t="s">
        <v>2922</v>
      </c>
    </row>
    <row r="382" customFormat="false" ht="12.75" hidden="false" customHeight="true" outlineLevel="0" collapsed="false">
      <c r="A382" s="5" t="s">
        <v>2923</v>
      </c>
      <c r="B382" s="7" t="n">
        <v>42</v>
      </c>
      <c r="C382" s="7" t="n">
        <v>46</v>
      </c>
      <c r="D382" s="7" t="s">
        <v>3801</v>
      </c>
      <c r="E382" s="7"/>
      <c r="G382" s="5" t="str">
        <f aca="false">IF(ISNUMBER(FIND("old rod:",A382)),"old rod:",A382)</f>
        <v>42, 46, GOLDUCK</v>
      </c>
      <c r="I382" s="5" t="s">
        <v>2923</v>
      </c>
    </row>
    <row r="383" customFormat="false" ht="12.75" hidden="false" customHeight="true" outlineLevel="0" collapsed="false">
      <c r="A383" s="5" t="s">
        <v>2924</v>
      </c>
      <c r="B383" s="7" t="n">
        <v>44</v>
      </c>
      <c r="C383" s="7" t="n">
        <v>48</v>
      </c>
      <c r="D383" s="7" t="s">
        <v>3802</v>
      </c>
      <c r="E383" s="7"/>
      <c r="G383" s="5" t="str">
        <f aca="false">IF(ISNUMBER(FIND("old rod:",A383)),"old rod:",A383)</f>
        <v>44, 48, VAPOREON</v>
      </c>
      <c r="I383" s="5" t="s">
        <v>2924</v>
      </c>
    </row>
    <row r="384" customFormat="false" ht="12.75" hidden="false" customHeight="true" outlineLevel="0" collapsed="false">
      <c r="A384" s="5" t="s">
        <v>2925</v>
      </c>
      <c r="B384" s="7" t="n">
        <v>20</v>
      </c>
      <c r="C384" s="7" t="s">
        <v>3748</v>
      </c>
      <c r="D384" s="7"/>
      <c r="E384" s="7"/>
      <c r="G384" s="5" t="str">
        <f aca="false">IF(ISNUMBER(FIND("old rod:",A384)),"old rod:",A384)</f>
        <v>old rod:</v>
      </c>
      <c r="I384" s="5" t="s">
        <v>3749</v>
      </c>
    </row>
    <row r="385" customFormat="false" ht="12.75" hidden="false" customHeight="true" outlineLevel="0" collapsed="false">
      <c r="A385" s="5" t="s">
        <v>1349</v>
      </c>
      <c r="B385" s="7" t="n">
        <v>19</v>
      </c>
      <c r="C385" s="7" t="n">
        <v>26</v>
      </c>
      <c r="D385" s="7" t="s">
        <v>3750</v>
      </c>
      <c r="E385" s="7"/>
      <c r="G385" s="5" t="str">
        <f aca="false">IF(ISNUMBER(FIND("old rod:",A385)),"old rod:",A385)</f>
        <v>19, 26, MAGIKARP</v>
      </c>
      <c r="I385" s="5" t="s">
        <v>1349</v>
      </c>
    </row>
    <row r="386" customFormat="false" ht="12.75" hidden="false" customHeight="true" outlineLevel="0" collapsed="false">
      <c r="A386" s="5" t="s">
        <v>2926</v>
      </c>
      <c r="B386" s="7" t="n">
        <v>19</v>
      </c>
      <c r="C386" s="7" t="n">
        <v>26</v>
      </c>
      <c r="D386" s="7" t="s">
        <v>3803</v>
      </c>
      <c r="E386" s="7"/>
      <c r="G386" s="5" t="str">
        <f aca="false">IF(ISNUMBER(FIND("old rod:",A386)),"old rod:",A386)</f>
        <v>19, 26, POLIWAG</v>
      </c>
      <c r="I386" s="5" t="s">
        <v>2926</v>
      </c>
    </row>
    <row r="387" customFormat="false" ht="12.75" hidden="false" customHeight="true" outlineLevel="0" collapsed="false">
      <c r="A387" s="5" t="s">
        <v>2846</v>
      </c>
      <c r="B387" s="7" t="s">
        <v>2846</v>
      </c>
      <c r="C387" s="7"/>
      <c r="D387" s="7"/>
      <c r="E387" s="7"/>
      <c r="G387" s="5" t="str">
        <f aca="false">IF(ISNUMBER(FIND("old rod:",A387)),"old rod:",A387)</f>
        <v>good rod:</v>
      </c>
      <c r="I387" s="5" t="s">
        <v>2846</v>
      </c>
    </row>
    <row r="388" customFormat="false" ht="12.75" hidden="false" customHeight="true" outlineLevel="0" collapsed="false">
      <c r="A388" s="5" t="s">
        <v>2927</v>
      </c>
      <c r="B388" s="7" t="n">
        <v>29</v>
      </c>
      <c r="C388" s="7" t="n">
        <v>33</v>
      </c>
      <c r="D388" s="7" t="s">
        <v>3754</v>
      </c>
      <c r="E388" s="7"/>
      <c r="G388" s="5" t="str">
        <f aca="false">IF(ISNUMBER(FIND("old rod:",A388)),"old rod:",A388)</f>
        <v>29, 33, GYARADOS</v>
      </c>
      <c r="I388" s="5" t="s">
        <v>2927</v>
      </c>
    </row>
    <row r="389" customFormat="false" ht="12.75" hidden="false" customHeight="true" outlineLevel="0" collapsed="false">
      <c r="A389" s="5" t="s">
        <v>2928</v>
      </c>
      <c r="B389" s="7" t="n">
        <v>30</v>
      </c>
      <c r="C389" s="7" t="n">
        <v>35</v>
      </c>
      <c r="D389" s="7" t="s">
        <v>3803</v>
      </c>
      <c r="E389" s="7"/>
      <c r="G389" s="5" t="str">
        <f aca="false">IF(ISNUMBER(FIND("old rod:",A389)),"old rod:",A389)</f>
        <v>30, 35, POLIWAG</v>
      </c>
      <c r="I389" s="5" t="s">
        <v>2928</v>
      </c>
    </row>
    <row r="390" customFormat="false" ht="12.75" hidden="false" customHeight="true" outlineLevel="0" collapsed="false">
      <c r="A390" s="5" t="s">
        <v>2929</v>
      </c>
      <c r="B390" s="7" t="n">
        <v>30</v>
      </c>
      <c r="C390" s="7" t="n">
        <v>35</v>
      </c>
      <c r="D390" s="7" t="s">
        <v>3804</v>
      </c>
      <c r="E390" s="7"/>
      <c r="G390" s="5" t="str">
        <f aca="false">IF(ISNUMBER(FIND("old rod:",A390)),"old rod:",A390)</f>
        <v>30, 35, GOLDEEN</v>
      </c>
      <c r="I390" s="5" t="s">
        <v>2929</v>
      </c>
    </row>
    <row r="391" customFormat="false" ht="12.75" hidden="false" customHeight="true" outlineLevel="0" collapsed="false">
      <c r="A391" s="5" t="s">
        <v>2850</v>
      </c>
      <c r="B391" s="7" t="s">
        <v>2850</v>
      </c>
      <c r="C391" s="7"/>
      <c r="D391" s="7"/>
      <c r="E391" s="7"/>
      <c r="G391" s="5" t="str">
        <f aca="false">IF(ISNUMBER(FIND("old rod:",A391)),"old rod:",A391)</f>
        <v>super rod:</v>
      </c>
      <c r="I391" s="5" t="s">
        <v>2850</v>
      </c>
    </row>
    <row r="392" customFormat="false" ht="12.75" hidden="false" customHeight="true" outlineLevel="0" collapsed="false">
      <c r="A392" s="5" t="s">
        <v>2930</v>
      </c>
      <c r="B392" s="7" t="n">
        <v>36</v>
      </c>
      <c r="C392" s="7" t="n">
        <v>40</v>
      </c>
      <c r="D392" s="7" t="s">
        <v>3805</v>
      </c>
      <c r="E392" s="7"/>
      <c r="G392" s="5" t="str">
        <f aca="false">IF(ISNUMBER(FIND("old rod:",A392)),"old rod:",A392)</f>
        <v>36, 40, POLIWHIRL</v>
      </c>
      <c r="I392" s="5" t="s">
        <v>2930</v>
      </c>
    </row>
    <row r="393" customFormat="false" ht="12.75" hidden="false" customHeight="true" outlineLevel="0" collapsed="false">
      <c r="A393" s="5" t="s">
        <v>2931</v>
      </c>
      <c r="B393" s="7" t="n">
        <v>36</v>
      </c>
      <c r="C393" s="7" t="n">
        <v>40</v>
      </c>
      <c r="D393" s="7" t="s">
        <v>3806</v>
      </c>
      <c r="E393" s="7"/>
      <c r="G393" s="5" t="str">
        <f aca="false">IF(ISNUMBER(FIND("old rod:",A393)),"old rod:",A393)</f>
        <v>36, 40, SEAKING</v>
      </c>
      <c r="I393" s="5" t="s">
        <v>2931</v>
      </c>
    </row>
    <row r="394" customFormat="false" ht="12.75" hidden="false" customHeight="true" outlineLevel="0" collapsed="false">
      <c r="A394" s="5" t="s">
        <v>2932</v>
      </c>
      <c r="B394" s="7" t="n">
        <v>38</v>
      </c>
      <c r="C394" s="7" t="n">
        <v>42</v>
      </c>
      <c r="D394" s="7" t="s">
        <v>3807</v>
      </c>
      <c r="E394" s="7"/>
      <c r="G394" s="5" t="str">
        <f aca="false">IF(ISNUMBER(FIND("old rod:",A394)),"old rod:",A394)</f>
        <v>38, 42, DRATINI</v>
      </c>
      <c r="I394" s="5" t="s">
        <v>2932</v>
      </c>
    </row>
    <row r="395" customFormat="false" ht="12.75" hidden="false" customHeight="true" outlineLevel="0" collapsed="false">
      <c r="A395" s="5" t="s">
        <v>2933</v>
      </c>
      <c r="B395" s="7" t="n">
        <v>38</v>
      </c>
      <c r="C395" s="7" t="n">
        <v>42</v>
      </c>
      <c r="D395" s="7" t="s">
        <v>3808</v>
      </c>
      <c r="E395" s="7"/>
      <c r="G395" s="5" t="str">
        <f aca="false">IF(ISNUMBER(FIND("old rod:",A395)),"old rod:",A395)</f>
        <v>38, 42, DRAGONAIR</v>
      </c>
      <c r="I395" s="5" t="s">
        <v>2933</v>
      </c>
    </row>
    <row r="396" customFormat="false" ht="12.75" hidden="false" customHeight="true" outlineLevel="0" collapsed="false">
      <c r="A396" s="5" t="s">
        <v>2934</v>
      </c>
      <c r="B396" s="7" t="n">
        <v>40</v>
      </c>
      <c r="C396" s="7" t="n">
        <v>44</v>
      </c>
      <c r="D396" s="7" t="s">
        <v>3809</v>
      </c>
      <c r="E396" s="7"/>
      <c r="G396" s="5" t="str">
        <f aca="false">IF(ISNUMBER(FIND("old rod:",A396)),"old rod:",A396)</f>
        <v>40, 44, DRAGONITE</v>
      </c>
      <c r="I396" s="5" t="s">
        <v>2934</v>
      </c>
    </row>
    <row r="397" customFormat="false" ht="12.75" hidden="false" customHeight="true" outlineLevel="0" collapsed="false">
      <c r="A397" s="5" t="s">
        <v>2536</v>
      </c>
      <c r="B397" s="7" t="s">
        <v>2536</v>
      </c>
      <c r="C397" s="7"/>
      <c r="D397" s="7"/>
      <c r="E397" s="7"/>
      <c r="G397" s="5" t="str">
        <f aca="false">IF(ISNUMBER(FIND("old rod:",A397)),"old rod:",A397)</f>
        <v>NEW ROUTE</v>
      </c>
      <c r="I397" s="5" t="s">
        <v>2536</v>
      </c>
    </row>
    <row r="398" customFormat="false" ht="12.75" hidden="false" customHeight="true" outlineLevel="0" collapsed="false">
      <c r="A398" s="5" t="s">
        <v>157</v>
      </c>
      <c r="B398" s="7" t="s">
        <v>157</v>
      </c>
      <c r="C398" s="7"/>
      <c r="D398" s="7"/>
      <c r="E398" s="7"/>
      <c r="G398" s="5" t="str">
        <f aca="false">IF(ISNUMBER(FIND("old rod:",A398)),"old rod:",A398)</f>
        <v>Cerulean Cave 1F</v>
      </c>
      <c r="I398" s="5" t="s">
        <v>157</v>
      </c>
    </row>
    <row r="399" customFormat="false" ht="12.75" hidden="false" customHeight="true" outlineLevel="0" collapsed="false">
      <c r="A399" s="5" t="n">
        <v>0.2</v>
      </c>
      <c r="B399" s="5" t="n">
        <v>0.2</v>
      </c>
      <c r="C399" s="7"/>
      <c r="D399" s="7"/>
      <c r="E399" s="7"/>
      <c r="G399" s="5" t="n">
        <f aca="false">IF(ISNUMBER(FIND("old rod:",A399)),"old rod:",A399)</f>
        <v>0.2</v>
      </c>
      <c r="I399" s="5" t="n">
        <v>0.2</v>
      </c>
    </row>
    <row r="400" customFormat="false" ht="12.75" hidden="false" customHeight="true" outlineLevel="0" collapsed="false">
      <c r="A400" s="5" t="s">
        <v>1381</v>
      </c>
      <c r="B400" s="7" t="n">
        <v>50</v>
      </c>
      <c r="C400" s="7" t="n">
        <v>55</v>
      </c>
      <c r="D400" s="7" t="s">
        <v>3758</v>
      </c>
      <c r="E400" s="7"/>
      <c r="G400" s="5" t="str">
        <f aca="false">IF(ISNUMBER(FIND("old rod:",A400)),"old rod:",A400)</f>
        <v>50, 55, DUGROUPLE</v>
      </c>
      <c r="I400" s="5" t="s">
        <v>1381</v>
      </c>
    </row>
    <row r="401" customFormat="false" ht="12.75" hidden="false" customHeight="true" outlineLevel="0" collapsed="false">
      <c r="A401" s="5" t="s">
        <v>2957</v>
      </c>
      <c r="B401" s="7" t="n">
        <v>50</v>
      </c>
      <c r="C401" s="7" t="n">
        <v>55</v>
      </c>
      <c r="D401" s="7" t="s">
        <v>3764</v>
      </c>
      <c r="E401" s="7"/>
      <c r="G401" s="5" t="str">
        <f aca="false">IF(ISNUMBER(FIND("old rod:",A401)),"old rod:",A401)</f>
        <v>50, 55, POLABAT</v>
      </c>
      <c r="I401" s="5" t="s">
        <v>2957</v>
      </c>
    </row>
    <row r="402" customFormat="false" ht="12.75" hidden="false" customHeight="true" outlineLevel="0" collapsed="false">
      <c r="A402" s="5" t="n">
        <v>0.1</v>
      </c>
      <c r="B402" s="5" t="n">
        <v>0.1</v>
      </c>
      <c r="C402" s="7"/>
      <c r="D402" s="7"/>
      <c r="E402" s="7"/>
      <c r="G402" s="5" t="n">
        <f aca="false">IF(ISNUMBER(FIND("old rod:",A402)),"old rod:",A402)</f>
        <v>0.1</v>
      </c>
      <c r="I402" s="5" t="n">
        <v>0.1</v>
      </c>
    </row>
    <row r="403" customFormat="false" ht="12.75" hidden="false" customHeight="true" outlineLevel="0" collapsed="false">
      <c r="A403" s="5" t="s">
        <v>2958</v>
      </c>
      <c r="B403" s="7" t="n">
        <v>52</v>
      </c>
      <c r="C403" s="7" t="n">
        <v>55</v>
      </c>
      <c r="D403" s="7" t="s">
        <v>3827</v>
      </c>
      <c r="E403" s="7"/>
      <c r="G403" s="5" t="str">
        <f aca="false">IF(ISNUMBER(FIND("old rod:",A403)),"old rod:",A403)</f>
        <v>52, 55, VENOMENON</v>
      </c>
      <c r="I403" s="5" t="s">
        <v>2958</v>
      </c>
    </row>
    <row r="404" customFormat="false" ht="12.75" hidden="false" customHeight="true" outlineLevel="0" collapsed="false">
      <c r="A404" s="5" t="s">
        <v>2959</v>
      </c>
      <c r="B404" s="7" t="n">
        <v>52</v>
      </c>
      <c r="C404" s="7" t="n">
        <v>55</v>
      </c>
      <c r="D404" s="7" t="s">
        <v>3828</v>
      </c>
      <c r="E404" s="7"/>
      <c r="G404" s="5" t="str">
        <f aca="false">IF(ISNUMBER(FIND("old rod:",A404)),"old rod:",A404)</f>
        <v>52, 55, "MR. JEST"</v>
      </c>
      <c r="I404" s="5" t="s">
        <v>2959</v>
      </c>
    </row>
    <row r="405" customFormat="false" ht="12.75" hidden="false" customHeight="true" outlineLevel="0" collapsed="false">
      <c r="A405" s="5" t="s">
        <v>2960</v>
      </c>
      <c r="B405" s="7" t="n">
        <v>52</v>
      </c>
      <c r="C405" s="7" t="n">
        <v>55</v>
      </c>
      <c r="D405" s="7" t="s">
        <v>3829</v>
      </c>
      <c r="E405" s="7"/>
      <c r="G405" s="5" t="str">
        <f aca="false">IF(ISNUMBER(FIND("old rod:",A405)),"old rod:",A405)</f>
        <v>52, 55, NIDORULY</v>
      </c>
      <c r="I405" s="5" t="s">
        <v>2960</v>
      </c>
    </row>
    <row r="406" customFormat="false" ht="12.75" hidden="false" customHeight="true" outlineLevel="0" collapsed="false">
      <c r="A406" s="5" t="s">
        <v>2961</v>
      </c>
      <c r="B406" s="7" t="n">
        <v>52</v>
      </c>
      <c r="C406" s="7" t="n">
        <v>55</v>
      </c>
      <c r="D406" s="7" t="s">
        <v>3830</v>
      </c>
      <c r="E406" s="7"/>
      <c r="G406" s="5" t="str">
        <f aca="false">IF(ISNUMBER(FIND("old rod:",A406)),"old rod:",A406)</f>
        <v>52, 55, NIDOREGAL</v>
      </c>
      <c r="I406" s="5" t="s">
        <v>2961</v>
      </c>
    </row>
    <row r="407" customFormat="false" ht="12.75" hidden="false" customHeight="true" outlineLevel="0" collapsed="false">
      <c r="A407" s="5" t="n">
        <v>0.05</v>
      </c>
      <c r="B407" s="5" t="n">
        <v>0.05</v>
      </c>
      <c r="C407" s="7"/>
      <c r="D407" s="7"/>
      <c r="E407" s="7"/>
      <c r="G407" s="5" t="n">
        <f aca="false">IF(ISNUMBER(FIND("old rod:",A407)),"old rod:",A407)</f>
        <v>0.05</v>
      </c>
      <c r="I407" s="5" t="n">
        <v>0.05</v>
      </c>
    </row>
    <row r="408" customFormat="false" ht="12.75" hidden="false" customHeight="true" outlineLevel="0" collapsed="false">
      <c r="A408" s="5" t="s">
        <v>2962</v>
      </c>
      <c r="B408" s="7" t="n">
        <v>54</v>
      </c>
      <c r="C408" s="7" t="n">
        <v>56</v>
      </c>
      <c r="D408" s="7" t="s">
        <v>3831</v>
      </c>
      <c r="E408" s="7"/>
      <c r="G408" s="5" t="str">
        <f aca="false">IF(ISNUMBER(FIND("old rod:",A408)),"old rod:",A408)</f>
        <v>54, 56, MORPHO</v>
      </c>
      <c r="I408" s="5" t="s">
        <v>2962</v>
      </c>
    </row>
    <row r="409" customFormat="false" ht="12.75" hidden="false" customHeight="true" outlineLevel="0" collapsed="false">
      <c r="A409" s="5" t="s">
        <v>2963</v>
      </c>
      <c r="B409" s="7" t="n">
        <v>54</v>
      </c>
      <c r="C409" s="7" t="n">
        <v>56</v>
      </c>
      <c r="D409" s="7" t="s">
        <v>3832</v>
      </c>
      <c r="E409" s="7"/>
      <c r="G409" s="5" t="str">
        <f aca="false">IF(ISNUMBER(FIND("old rod:",A409)),"old rod:",A409)</f>
        <v>54, 56, MAGNEMELD</v>
      </c>
      <c r="I409" s="5" t="s">
        <v>2963</v>
      </c>
    </row>
    <row r="410" customFormat="false" ht="12.75" hidden="false" customHeight="true" outlineLevel="0" collapsed="false">
      <c r="A410" s="5" t="n">
        <v>0.04</v>
      </c>
      <c r="B410" s="5" t="n">
        <v>0.04</v>
      </c>
      <c r="C410" s="7"/>
      <c r="D410" s="7"/>
      <c r="E410" s="7"/>
      <c r="G410" s="5" t="n">
        <f aca="false">IF(ISNUMBER(FIND("old rod:",A410)),"old rod:",A410)</f>
        <v>0.04</v>
      </c>
      <c r="I410" s="5" t="n">
        <v>0.04</v>
      </c>
    </row>
    <row r="411" customFormat="false" ht="12.75" hidden="false" customHeight="true" outlineLevel="0" collapsed="false">
      <c r="A411" s="5" t="s">
        <v>2964</v>
      </c>
      <c r="B411" s="7" t="n">
        <v>54</v>
      </c>
      <c r="C411" s="7" t="n">
        <v>56</v>
      </c>
      <c r="D411" s="7" t="s">
        <v>3833</v>
      </c>
      <c r="E411" s="7"/>
      <c r="G411" s="5" t="str">
        <f aca="false">IF(ISNUMBER(FIND("old rod:",A411)),"old rod:",A411)</f>
        <v>54, 56, VOHOO-DU</v>
      </c>
      <c r="I411" s="5" t="s">
        <v>2964</v>
      </c>
    </row>
    <row r="412" customFormat="false" ht="12.75" hidden="false" customHeight="true" outlineLevel="0" collapsed="false">
      <c r="A412" s="5" t="s">
        <v>2965</v>
      </c>
      <c r="B412" s="7" t="n">
        <v>54</v>
      </c>
      <c r="C412" s="7" t="n">
        <v>56</v>
      </c>
      <c r="D412" s="7" t="s">
        <v>3834</v>
      </c>
      <c r="E412" s="7"/>
      <c r="G412" s="5" t="str">
        <f aca="false">IF(ISNUMBER(FIND("old rod:",A412)),"old rod:",A412)</f>
        <v>54, 56, CLEFAEFAE</v>
      </c>
      <c r="I412" s="5" t="s">
        <v>2965</v>
      </c>
    </row>
    <row r="413" customFormat="false" ht="12.75" hidden="false" customHeight="true" outlineLevel="0" collapsed="false">
      <c r="A413" s="5" t="n">
        <v>0.01</v>
      </c>
      <c r="B413" s="5" t="n">
        <v>0.01</v>
      </c>
      <c r="C413" s="7"/>
      <c r="D413" s="7"/>
      <c r="E413" s="7"/>
      <c r="G413" s="5" t="n">
        <f aca="false">IF(ISNUMBER(FIND("old rod:",A413)),"old rod:",A413)</f>
        <v>0.01</v>
      </c>
      <c r="I413" s="5" t="n">
        <v>0.01</v>
      </c>
    </row>
    <row r="414" customFormat="false" ht="12.75" hidden="false" customHeight="true" outlineLevel="0" collapsed="false">
      <c r="A414" s="5" t="s">
        <v>2966</v>
      </c>
      <c r="B414" s="7" t="n">
        <v>55</v>
      </c>
      <c r="C414" s="7" t="n">
        <v>56</v>
      </c>
      <c r="D414" s="7" t="s">
        <v>3835</v>
      </c>
      <c r="E414" s="7"/>
      <c r="G414" s="5" t="str">
        <f aca="false">IF(ISNUMBER(FIND("old rod:",A414)),"old rod:",A414)</f>
        <v>55, 56, KABUTAK</v>
      </c>
      <c r="I414" s="5" t="s">
        <v>2966</v>
      </c>
    </row>
    <row r="415" customFormat="false" ht="12.75" hidden="false" customHeight="true" outlineLevel="0" collapsed="false">
      <c r="A415" s="5" t="s">
        <v>2967</v>
      </c>
      <c r="B415" s="7" t="n">
        <v>55</v>
      </c>
      <c r="C415" s="7" t="n">
        <v>56</v>
      </c>
      <c r="D415" s="7" t="s">
        <v>3836</v>
      </c>
      <c r="E415" s="7"/>
      <c r="G415" s="5" t="str">
        <f aca="false">IF(ISNUMBER(FIND("old rod:",A415)),"old rod:",A415)</f>
        <v>55, 56, OMAPAL</v>
      </c>
      <c r="I415" s="5" t="s">
        <v>2967</v>
      </c>
    </row>
    <row r="416" customFormat="false" ht="12.75" hidden="false" customHeight="true" outlineLevel="0" collapsed="false">
      <c r="A416" s="5" t="s">
        <v>2968</v>
      </c>
      <c r="B416" s="7" t="n">
        <v>2</v>
      </c>
      <c r="C416" s="7" t="n">
        <v>50</v>
      </c>
      <c r="D416" s="7" t="n">
        <v>55</v>
      </c>
      <c r="E416" s="7" t="s">
        <v>3837</v>
      </c>
      <c r="G416" s="5" t="str">
        <f aca="false">IF(ISNUMBER(FIND("old rod:",A416)),"old rod:",A416)</f>
        <v>2, 50, 55, POLITOES</v>
      </c>
      <c r="I416" s="5" t="s">
        <v>2968</v>
      </c>
    </row>
    <row r="417" customFormat="false" ht="12.75" hidden="false" customHeight="true" outlineLevel="0" collapsed="false">
      <c r="A417" s="5" t="s">
        <v>2969</v>
      </c>
      <c r="B417" s="7" t="n">
        <v>50</v>
      </c>
      <c r="C417" s="7" t="n">
        <v>55</v>
      </c>
      <c r="D417" s="7" t="s">
        <v>3809</v>
      </c>
      <c r="E417" s="7"/>
      <c r="G417" s="5" t="str">
        <f aca="false">IF(ISNUMBER(FIND("old rod:",A417)),"old rod:",A417)</f>
        <v>50, 55, DRAGONITE</v>
      </c>
      <c r="I417" s="5" t="s">
        <v>2969</v>
      </c>
    </row>
    <row r="418" customFormat="false" ht="12.75" hidden="false" customHeight="true" outlineLevel="0" collapsed="false">
      <c r="A418" s="5" t="s">
        <v>2970</v>
      </c>
      <c r="B418" s="7" t="n">
        <v>52</v>
      </c>
      <c r="C418" s="7" t="n">
        <v>57</v>
      </c>
      <c r="D418" s="7" t="s">
        <v>3838</v>
      </c>
      <c r="E418" s="7"/>
      <c r="G418" s="5" t="str">
        <f aca="false">IF(ISNUMBER(FIND("old rod:",A418)),"old rod:",A418)</f>
        <v>52, 57, POLIWISE</v>
      </c>
      <c r="I418" s="5" t="s">
        <v>2970</v>
      </c>
    </row>
    <row r="419" customFormat="false" ht="12.75" hidden="false" customHeight="true" outlineLevel="0" collapsed="false">
      <c r="A419" s="5" t="s">
        <v>2971</v>
      </c>
      <c r="B419" s="7" t="n">
        <v>52</v>
      </c>
      <c r="C419" s="7" t="n">
        <v>57</v>
      </c>
      <c r="D419" s="7" t="s">
        <v>3839</v>
      </c>
      <c r="E419" s="7"/>
      <c r="G419" s="5" t="str">
        <f aca="false">IF(ISNUMBER(FIND("old rod:",A419)),"old rod:",A419)</f>
        <v>52, 57, DRAGONIER</v>
      </c>
      <c r="I419" s="5" t="s">
        <v>2971</v>
      </c>
    </row>
    <row r="420" customFormat="false" ht="12.75" hidden="false" customHeight="true" outlineLevel="0" collapsed="false">
      <c r="A420" s="5" t="s">
        <v>2972</v>
      </c>
      <c r="B420" s="7" t="n">
        <v>53</v>
      </c>
      <c r="C420" s="7" t="n">
        <v>58</v>
      </c>
      <c r="D420" s="7" t="s">
        <v>3840</v>
      </c>
      <c r="E420" s="7"/>
      <c r="G420" s="5" t="str">
        <f aca="false">IF(ISNUMBER(FIND("old rod:",A420)),"old rod:",A420)</f>
        <v>53, 58, NESSEA</v>
      </c>
      <c r="I420" s="5" t="s">
        <v>2972</v>
      </c>
    </row>
    <row r="421" customFormat="false" ht="12.75" hidden="false" customHeight="true" outlineLevel="0" collapsed="false">
      <c r="A421" s="5" t="s">
        <v>2925</v>
      </c>
      <c r="B421" s="7" t="n">
        <v>20</v>
      </c>
      <c r="C421" s="7" t="s">
        <v>3748</v>
      </c>
      <c r="D421" s="7"/>
      <c r="E421" s="7"/>
      <c r="G421" s="5" t="str">
        <f aca="false">IF(ISNUMBER(FIND("old rod:",A421)),"old rod:",A421)</f>
        <v>old rod:</v>
      </c>
      <c r="I421" s="5" t="s">
        <v>3749</v>
      </c>
    </row>
    <row r="422" customFormat="false" ht="12.75" hidden="false" customHeight="true" outlineLevel="0" collapsed="false">
      <c r="A422" s="5" t="s">
        <v>1397</v>
      </c>
      <c r="B422" s="7" t="n">
        <v>23</v>
      </c>
      <c r="C422" s="7" t="n">
        <v>36</v>
      </c>
      <c r="D422" s="7" t="s">
        <v>3841</v>
      </c>
      <c r="E422" s="7"/>
      <c r="G422" s="5" t="str">
        <f aca="false">IF(ISNUMBER(FIND("old rod:",A422)),"old rod:",A422)</f>
        <v>23, 36, CLOYSTER</v>
      </c>
      <c r="I422" s="5" t="s">
        <v>1397</v>
      </c>
    </row>
    <row r="423" customFormat="false" ht="12.75" hidden="false" customHeight="true" outlineLevel="0" collapsed="false">
      <c r="A423" s="5" t="s">
        <v>2973</v>
      </c>
      <c r="B423" s="7" t="n">
        <v>23</v>
      </c>
      <c r="C423" s="7" t="n">
        <v>36</v>
      </c>
      <c r="D423" s="7" t="s">
        <v>3754</v>
      </c>
      <c r="E423" s="7"/>
      <c r="G423" s="5" t="str">
        <f aca="false">IF(ISNUMBER(FIND("old rod:",A423)),"old rod:",A423)</f>
        <v>23, 36, GYARADOS</v>
      </c>
      <c r="I423" s="5" t="s">
        <v>2973</v>
      </c>
    </row>
    <row r="424" customFormat="false" ht="12.75" hidden="false" customHeight="true" outlineLevel="0" collapsed="false">
      <c r="A424" s="5" t="s">
        <v>2846</v>
      </c>
      <c r="B424" s="7" t="s">
        <v>2846</v>
      </c>
      <c r="C424" s="7"/>
      <c r="D424" s="7"/>
      <c r="E424" s="7"/>
      <c r="G424" s="5" t="str">
        <f aca="false">IF(ISNUMBER(FIND("old rod:",A424)),"old rod:",A424)</f>
        <v>good rod:</v>
      </c>
      <c r="I424" s="5" t="s">
        <v>2846</v>
      </c>
    </row>
    <row r="425" customFormat="false" ht="12.75" hidden="false" customHeight="true" outlineLevel="0" collapsed="false">
      <c r="A425" s="5" t="s">
        <v>2974</v>
      </c>
      <c r="B425" s="7" t="n">
        <v>30</v>
      </c>
      <c r="C425" s="7" t="n">
        <v>38</v>
      </c>
      <c r="D425" s="7" t="s">
        <v>3841</v>
      </c>
      <c r="E425" s="7"/>
      <c r="G425" s="5" t="str">
        <f aca="false">IF(ISNUMBER(FIND("old rod:",A425)),"old rod:",A425)</f>
        <v>30, 38, CLOYSTER</v>
      </c>
      <c r="I425" s="5" t="s">
        <v>2974</v>
      </c>
    </row>
    <row r="426" customFormat="false" ht="12.75" hidden="false" customHeight="true" outlineLevel="0" collapsed="false">
      <c r="A426" s="5" t="s">
        <v>2975</v>
      </c>
      <c r="B426" s="7" t="n">
        <v>32</v>
      </c>
      <c r="C426" s="7" t="n">
        <v>40</v>
      </c>
      <c r="D426" s="7" t="s">
        <v>3842</v>
      </c>
      <c r="E426" s="7"/>
      <c r="G426" s="5" t="str">
        <f aca="false">IF(ISNUMBER(FIND("old rod:",A426)),"old rod:",A426)</f>
        <v>32, 40, KINGDRA</v>
      </c>
      <c r="I426" s="5" t="s">
        <v>2975</v>
      </c>
    </row>
    <row r="427" customFormat="false" ht="12.75" hidden="false" customHeight="true" outlineLevel="0" collapsed="false">
      <c r="A427" s="5" t="s">
        <v>2976</v>
      </c>
      <c r="B427" s="7" t="n">
        <v>32</v>
      </c>
      <c r="C427" s="7" t="n">
        <v>40</v>
      </c>
      <c r="D427" s="7" t="s">
        <v>3843</v>
      </c>
      <c r="E427" s="7"/>
      <c r="G427" s="5" t="str">
        <f aca="false">IF(ISNUMBER(FIND("old rod:",A427)),"old rod:",A427)</f>
        <v>32, 40, HYDRADOS</v>
      </c>
      <c r="I427" s="5" t="s">
        <v>2976</v>
      </c>
    </row>
    <row r="428" customFormat="false" ht="12.75" hidden="false" customHeight="true" outlineLevel="0" collapsed="false">
      <c r="A428" s="5" t="s">
        <v>2850</v>
      </c>
      <c r="B428" s="7" t="s">
        <v>2850</v>
      </c>
      <c r="C428" s="7"/>
      <c r="D428" s="7"/>
      <c r="E428" s="7"/>
      <c r="G428" s="5" t="str">
        <f aca="false">IF(ISNUMBER(FIND("old rod:",A428)),"old rod:",A428)</f>
        <v>super rod:</v>
      </c>
      <c r="I428" s="5" t="s">
        <v>2850</v>
      </c>
    </row>
    <row r="429" customFormat="false" ht="12.75" hidden="false" customHeight="true" outlineLevel="0" collapsed="false">
      <c r="A429" s="5" t="s">
        <v>2977</v>
      </c>
      <c r="B429" s="7" t="n">
        <v>50</v>
      </c>
      <c r="C429" s="7" t="n">
        <v>55</v>
      </c>
      <c r="D429" s="7" t="s">
        <v>3844</v>
      </c>
      <c r="E429" s="7"/>
      <c r="G429" s="5" t="str">
        <f aca="false">IF(ISNUMBER(FIND("old rod:",A429)),"old rod:",A429)</f>
        <v>50, 55, LORDRA</v>
      </c>
      <c r="I429" s="5" t="s">
        <v>2977</v>
      </c>
    </row>
    <row r="430" customFormat="false" ht="12.75" hidden="false" customHeight="true" outlineLevel="0" collapsed="false">
      <c r="A430" s="5" t="s">
        <v>2978</v>
      </c>
      <c r="B430" s="7" t="n">
        <v>50</v>
      </c>
      <c r="C430" s="7" t="n">
        <v>55</v>
      </c>
      <c r="D430" s="7" t="s">
        <v>3845</v>
      </c>
      <c r="E430" s="7"/>
      <c r="G430" s="5" t="str">
        <f aca="false">IF(ISNUMBER(FIND("old rod:",A430)),"old rod:",A430)</f>
        <v>50, 55, AN'ENEMY</v>
      </c>
      <c r="I430" s="5" t="s">
        <v>2978</v>
      </c>
    </row>
    <row r="431" customFormat="false" ht="12.75" hidden="false" customHeight="true" outlineLevel="0" collapsed="false">
      <c r="A431" s="5" t="s">
        <v>2979</v>
      </c>
      <c r="B431" s="7" t="n">
        <v>52</v>
      </c>
      <c r="C431" s="7" t="n">
        <v>57</v>
      </c>
      <c r="D431" s="7" t="s">
        <v>3846</v>
      </c>
      <c r="E431" s="7"/>
      <c r="G431" s="5" t="str">
        <f aca="false">IF(ISNUMBER(FIND("old rod:",A431)),"old rod:",A431)</f>
        <v>52, 57, DRACOSMIC</v>
      </c>
      <c r="I431" s="5" t="s">
        <v>2979</v>
      </c>
    </row>
    <row r="432" customFormat="false" ht="12.75" hidden="false" customHeight="true" outlineLevel="0" collapsed="false">
      <c r="A432" s="5" t="s">
        <v>2980</v>
      </c>
      <c r="B432" s="7" t="n">
        <v>52</v>
      </c>
      <c r="C432" s="7" t="n">
        <v>57</v>
      </c>
      <c r="D432" s="7" t="s">
        <v>3847</v>
      </c>
      <c r="E432" s="7"/>
      <c r="G432" s="5" t="str">
        <f aca="false">IF(ISNUMBER(FIND("old rod:",A432)),"old rod:",A432)</f>
        <v>52, 57, GLAISHELL</v>
      </c>
      <c r="I432" s="5" t="s">
        <v>2980</v>
      </c>
    </row>
    <row r="433" customFormat="false" ht="12.75" hidden="false" customHeight="true" outlineLevel="0" collapsed="false">
      <c r="A433" s="5" t="s">
        <v>2981</v>
      </c>
      <c r="B433" s="7" t="n">
        <v>53</v>
      </c>
      <c r="C433" s="7" t="n">
        <v>58</v>
      </c>
      <c r="D433" s="7" t="s">
        <v>3848</v>
      </c>
      <c r="E433" s="7"/>
      <c r="G433" s="5" t="str">
        <f aca="false">IF(ISNUMBER(FIND("old rod:",A433)),"old rod:",A433)</f>
        <v>53, 58, STARWE</v>
      </c>
      <c r="I433" s="5" t="s">
        <v>2981</v>
      </c>
    </row>
    <row r="434" customFormat="false" ht="12.75" hidden="false" customHeight="true" outlineLevel="0" collapsed="false">
      <c r="A434" s="5" t="s">
        <v>2536</v>
      </c>
      <c r="B434" s="7" t="s">
        <v>2536</v>
      </c>
      <c r="C434" s="7"/>
      <c r="D434" s="7"/>
      <c r="E434" s="7"/>
      <c r="G434" s="5" t="str">
        <f aca="false">IF(ISNUMBER(FIND("old rod:",A434)),"old rod:",A434)</f>
        <v>NEW ROUTE</v>
      </c>
      <c r="I434" s="5" t="s">
        <v>2536</v>
      </c>
    </row>
    <row r="435" customFormat="false" ht="12.75" hidden="false" customHeight="true" outlineLevel="0" collapsed="false">
      <c r="A435" s="5" t="s">
        <v>159</v>
      </c>
      <c r="B435" s="7" t="s">
        <v>159</v>
      </c>
      <c r="C435" s="7"/>
      <c r="D435" s="7"/>
      <c r="E435" s="7"/>
      <c r="G435" s="5" t="str">
        <f aca="false">IF(ISNUMBER(FIND("old rod:",A435)),"old rod:",A435)</f>
        <v>Cerulean Cave 2F</v>
      </c>
      <c r="I435" s="5" t="s">
        <v>159</v>
      </c>
    </row>
    <row r="436" customFormat="false" ht="12.75" hidden="false" customHeight="true" outlineLevel="0" collapsed="false">
      <c r="A436" s="5" t="n">
        <v>0.2</v>
      </c>
      <c r="B436" s="5" t="n">
        <v>0.2</v>
      </c>
      <c r="C436" s="7"/>
      <c r="D436" s="7"/>
      <c r="E436" s="7"/>
      <c r="G436" s="5" t="n">
        <f aca="false">IF(ISNUMBER(FIND("old rod:",A436)),"old rod:",A436)</f>
        <v>0.2</v>
      </c>
      <c r="I436" s="5" t="n">
        <v>0.2</v>
      </c>
    </row>
    <row r="437" customFormat="false" ht="12.75" hidden="false" customHeight="true" outlineLevel="0" collapsed="false">
      <c r="A437" s="5" t="s">
        <v>1381</v>
      </c>
      <c r="B437" s="7" t="n">
        <v>50</v>
      </c>
      <c r="C437" s="7" t="n">
        <v>55</v>
      </c>
      <c r="D437" s="7" t="s">
        <v>3758</v>
      </c>
      <c r="E437" s="7"/>
      <c r="G437" s="5" t="str">
        <f aca="false">IF(ISNUMBER(FIND("old rod:",A437)),"old rod:",A437)</f>
        <v>50, 55, DUGROUPLE</v>
      </c>
      <c r="I437" s="5" t="s">
        <v>1381</v>
      </c>
    </row>
    <row r="438" customFormat="false" ht="12.75" hidden="false" customHeight="true" outlineLevel="0" collapsed="false">
      <c r="A438" s="5" t="s">
        <v>2957</v>
      </c>
      <c r="B438" s="7" t="n">
        <v>50</v>
      </c>
      <c r="C438" s="7" t="n">
        <v>55</v>
      </c>
      <c r="D438" s="7" t="s">
        <v>3764</v>
      </c>
      <c r="E438" s="7"/>
      <c r="G438" s="5" t="str">
        <f aca="false">IF(ISNUMBER(FIND("old rod:",A438)),"old rod:",A438)</f>
        <v>50, 55, POLABAT</v>
      </c>
      <c r="I438" s="5" t="s">
        <v>2957</v>
      </c>
    </row>
    <row r="439" customFormat="false" ht="12.75" hidden="false" customHeight="true" outlineLevel="0" collapsed="false">
      <c r="A439" s="5" t="n">
        <v>0.1</v>
      </c>
      <c r="B439" s="5" t="n">
        <v>0.1</v>
      </c>
      <c r="C439" s="7"/>
      <c r="D439" s="7"/>
      <c r="E439" s="7"/>
      <c r="G439" s="5" t="n">
        <f aca="false">IF(ISNUMBER(FIND("old rod:",A439)),"old rod:",A439)</f>
        <v>0.1</v>
      </c>
      <c r="I439" s="5" t="n">
        <v>0.1</v>
      </c>
    </row>
    <row r="440" customFormat="false" ht="12.75" hidden="false" customHeight="true" outlineLevel="0" collapsed="false">
      <c r="A440" s="5" t="s">
        <v>2958</v>
      </c>
      <c r="B440" s="7" t="n">
        <v>52</v>
      </c>
      <c r="C440" s="7" t="n">
        <v>55</v>
      </c>
      <c r="D440" s="7" t="s">
        <v>3827</v>
      </c>
      <c r="E440" s="7"/>
      <c r="G440" s="5" t="str">
        <f aca="false">IF(ISNUMBER(FIND("old rod:",A440)),"old rod:",A440)</f>
        <v>52, 55, VENOMENON</v>
      </c>
      <c r="I440" s="5" t="s">
        <v>2958</v>
      </c>
    </row>
    <row r="441" customFormat="false" ht="12.75" hidden="false" customHeight="true" outlineLevel="0" collapsed="false">
      <c r="A441" s="5" t="s">
        <v>2959</v>
      </c>
      <c r="B441" s="7" t="n">
        <v>52</v>
      </c>
      <c r="C441" s="7" t="n">
        <v>55</v>
      </c>
      <c r="D441" s="7" t="s">
        <v>3828</v>
      </c>
      <c r="E441" s="7"/>
      <c r="G441" s="5" t="str">
        <f aca="false">IF(ISNUMBER(FIND("old rod:",A441)),"old rod:",A441)</f>
        <v>52, 55, "MR. JEST"</v>
      </c>
      <c r="I441" s="5" t="s">
        <v>2959</v>
      </c>
    </row>
    <row r="442" customFormat="false" ht="12.75" hidden="false" customHeight="true" outlineLevel="0" collapsed="false">
      <c r="A442" s="5" t="s">
        <v>2960</v>
      </c>
      <c r="B442" s="7" t="n">
        <v>52</v>
      </c>
      <c r="C442" s="7" t="n">
        <v>55</v>
      </c>
      <c r="D442" s="7" t="s">
        <v>3829</v>
      </c>
      <c r="E442" s="7"/>
      <c r="G442" s="5" t="str">
        <f aca="false">IF(ISNUMBER(FIND("old rod:",A442)),"old rod:",A442)</f>
        <v>52, 55, NIDORULY</v>
      </c>
      <c r="I442" s="5" t="s">
        <v>2960</v>
      </c>
    </row>
    <row r="443" customFormat="false" ht="12.75" hidden="false" customHeight="true" outlineLevel="0" collapsed="false">
      <c r="A443" s="5" t="s">
        <v>2961</v>
      </c>
      <c r="B443" s="7" t="n">
        <v>52</v>
      </c>
      <c r="C443" s="7" t="n">
        <v>55</v>
      </c>
      <c r="D443" s="7" t="s">
        <v>3830</v>
      </c>
      <c r="E443" s="7"/>
      <c r="G443" s="5" t="str">
        <f aca="false">IF(ISNUMBER(FIND("old rod:",A443)),"old rod:",A443)</f>
        <v>52, 55, NIDOREGAL</v>
      </c>
      <c r="I443" s="5" t="s">
        <v>2961</v>
      </c>
    </row>
    <row r="444" customFormat="false" ht="12.75" hidden="false" customHeight="true" outlineLevel="0" collapsed="false">
      <c r="A444" s="5" t="n">
        <v>0.05</v>
      </c>
      <c r="B444" s="5" t="n">
        <v>0.05</v>
      </c>
      <c r="C444" s="7"/>
      <c r="D444" s="7"/>
      <c r="E444" s="7"/>
      <c r="G444" s="5" t="n">
        <f aca="false">IF(ISNUMBER(FIND("old rod:",A444)),"old rod:",A444)</f>
        <v>0.05</v>
      </c>
      <c r="I444" s="5" t="n">
        <v>0.05</v>
      </c>
    </row>
    <row r="445" customFormat="false" ht="12.75" hidden="false" customHeight="true" outlineLevel="0" collapsed="false">
      <c r="A445" s="5" t="s">
        <v>2962</v>
      </c>
      <c r="B445" s="7" t="n">
        <v>54</v>
      </c>
      <c r="C445" s="7" t="n">
        <v>56</v>
      </c>
      <c r="D445" s="7" t="s">
        <v>3831</v>
      </c>
      <c r="E445" s="7"/>
      <c r="G445" s="5" t="str">
        <f aca="false">IF(ISNUMBER(FIND("old rod:",A445)),"old rod:",A445)</f>
        <v>54, 56, MORPHO</v>
      </c>
      <c r="I445" s="5" t="s">
        <v>2962</v>
      </c>
    </row>
    <row r="446" customFormat="false" ht="12.75" hidden="false" customHeight="true" outlineLevel="0" collapsed="false">
      <c r="A446" s="5" t="s">
        <v>2963</v>
      </c>
      <c r="B446" s="7" t="n">
        <v>54</v>
      </c>
      <c r="C446" s="7" t="n">
        <v>56</v>
      </c>
      <c r="D446" s="7" t="s">
        <v>3832</v>
      </c>
      <c r="E446" s="7"/>
      <c r="G446" s="5" t="str">
        <f aca="false">IF(ISNUMBER(FIND("old rod:",A446)),"old rod:",A446)</f>
        <v>54, 56, MAGNEMELD</v>
      </c>
      <c r="I446" s="5" t="s">
        <v>2963</v>
      </c>
    </row>
    <row r="447" customFormat="false" ht="12.75" hidden="false" customHeight="true" outlineLevel="0" collapsed="false">
      <c r="A447" s="5" t="n">
        <v>0.04</v>
      </c>
      <c r="B447" s="5" t="n">
        <v>0.04</v>
      </c>
      <c r="C447" s="7"/>
      <c r="D447" s="7"/>
      <c r="E447" s="7"/>
      <c r="G447" s="5" t="n">
        <f aca="false">IF(ISNUMBER(FIND("old rod:",A447)),"old rod:",A447)</f>
        <v>0.04</v>
      </c>
      <c r="I447" s="5" t="n">
        <v>0.04</v>
      </c>
    </row>
    <row r="448" customFormat="false" ht="12.75" hidden="false" customHeight="true" outlineLevel="0" collapsed="false">
      <c r="A448" s="5" t="s">
        <v>2964</v>
      </c>
      <c r="B448" s="7" t="n">
        <v>54</v>
      </c>
      <c r="C448" s="7" t="n">
        <v>56</v>
      </c>
      <c r="D448" s="7" t="s">
        <v>3833</v>
      </c>
      <c r="E448" s="7"/>
      <c r="G448" s="5" t="str">
        <f aca="false">IF(ISNUMBER(FIND("old rod:",A448)),"old rod:",A448)</f>
        <v>54, 56, VOHOO-DU</v>
      </c>
      <c r="I448" s="5" t="s">
        <v>2964</v>
      </c>
    </row>
    <row r="449" customFormat="false" ht="12.75" hidden="false" customHeight="true" outlineLevel="0" collapsed="false">
      <c r="A449" s="5" t="s">
        <v>2965</v>
      </c>
      <c r="B449" s="7" t="n">
        <v>54</v>
      </c>
      <c r="C449" s="7" t="n">
        <v>56</v>
      </c>
      <c r="D449" s="7" t="s">
        <v>3834</v>
      </c>
      <c r="E449" s="7"/>
      <c r="G449" s="5" t="str">
        <f aca="false">IF(ISNUMBER(FIND("old rod:",A449)),"old rod:",A449)</f>
        <v>54, 56, CLEFAEFAE</v>
      </c>
      <c r="I449" s="5" t="s">
        <v>2965</v>
      </c>
    </row>
    <row r="450" customFormat="false" ht="12.75" hidden="false" customHeight="true" outlineLevel="0" collapsed="false">
      <c r="A450" s="5" t="n">
        <v>0.01</v>
      </c>
      <c r="B450" s="5" t="n">
        <v>0.01</v>
      </c>
      <c r="C450" s="7"/>
      <c r="D450" s="7"/>
      <c r="E450" s="7"/>
      <c r="G450" s="5" t="n">
        <f aca="false">IF(ISNUMBER(FIND("old rod:",A450)),"old rod:",A450)</f>
        <v>0.01</v>
      </c>
      <c r="I450" s="5" t="n">
        <v>0.01</v>
      </c>
    </row>
    <row r="451" customFormat="false" ht="12.75" hidden="false" customHeight="true" outlineLevel="0" collapsed="false">
      <c r="A451" s="5" t="s">
        <v>2966</v>
      </c>
      <c r="B451" s="7" t="n">
        <v>55</v>
      </c>
      <c r="C451" s="7" t="n">
        <v>56</v>
      </c>
      <c r="D451" s="7" t="s">
        <v>3835</v>
      </c>
      <c r="E451" s="7"/>
      <c r="G451" s="5" t="str">
        <f aca="false">IF(ISNUMBER(FIND("old rod:",A451)),"old rod:",A451)</f>
        <v>55, 56, KABUTAK</v>
      </c>
      <c r="I451" s="5" t="s">
        <v>2966</v>
      </c>
    </row>
    <row r="452" customFormat="false" ht="12.75" hidden="false" customHeight="true" outlineLevel="0" collapsed="false">
      <c r="A452" s="5" t="s">
        <v>2967</v>
      </c>
      <c r="B452" s="7" t="n">
        <v>55</v>
      </c>
      <c r="C452" s="7" t="n">
        <v>56</v>
      </c>
      <c r="D452" s="7" t="s">
        <v>3836</v>
      </c>
      <c r="E452" s="7"/>
      <c r="G452" s="5" t="str">
        <f aca="false">IF(ISNUMBER(FIND("old rod:",A452)),"old rod:",A452)</f>
        <v>55, 56, OMAPAL</v>
      </c>
      <c r="I452" s="5" t="s">
        <v>2967</v>
      </c>
    </row>
    <row r="453" customFormat="false" ht="12.75" hidden="false" customHeight="true" outlineLevel="0" collapsed="false">
      <c r="A453" s="5" t="s">
        <v>2536</v>
      </c>
      <c r="B453" s="7" t="s">
        <v>2536</v>
      </c>
      <c r="C453" s="7"/>
      <c r="D453" s="7"/>
      <c r="E453" s="7"/>
      <c r="G453" s="5" t="str">
        <f aca="false">IF(ISNUMBER(FIND("old rod:",A453)),"old rod:",A453)</f>
        <v>NEW ROUTE</v>
      </c>
      <c r="I453" s="5" t="s">
        <v>2536</v>
      </c>
    </row>
    <row r="454" customFormat="false" ht="12.75" hidden="false" customHeight="true" outlineLevel="0" collapsed="false">
      <c r="A454" s="5" t="s">
        <v>161</v>
      </c>
      <c r="B454" s="7" t="s">
        <v>161</v>
      </c>
      <c r="C454" s="7"/>
      <c r="D454" s="7"/>
      <c r="E454" s="7"/>
      <c r="G454" s="5" t="str">
        <f aca="false">IF(ISNUMBER(FIND("old rod:",A454)),"old rod:",A454)</f>
        <v>Cerulean Cave B1F</v>
      </c>
      <c r="I454" s="5" t="s">
        <v>161</v>
      </c>
    </row>
    <row r="455" customFormat="false" ht="12.75" hidden="false" customHeight="true" outlineLevel="0" collapsed="false">
      <c r="A455" s="5" t="n">
        <v>0.2</v>
      </c>
      <c r="B455" s="5" t="n">
        <v>0.2</v>
      </c>
      <c r="C455" s="7"/>
      <c r="D455" s="7"/>
      <c r="E455" s="7"/>
      <c r="G455" s="5" t="n">
        <f aca="false">IF(ISNUMBER(FIND("old rod:",A455)),"old rod:",A455)</f>
        <v>0.2</v>
      </c>
      <c r="I455" s="5" t="n">
        <v>0.2</v>
      </c>
    </row>
    <row r="456" customFormat="false" ht="12.75" hidden="false" customHeight="true" outlineLevel="0" collapsed="false">
      <c r="A456" s="5" t="s">
        <v>1381</v>
      </c>
      <c r="B456" s="7" t="n">
        <v>50</v>
      </c>
      <c r="C456" s="7" t="n">
        <v>55</v>
      </c>
      <c r="D456" s="7" t="s">
        <v>3758</v>
      </c>
      <c r="E456" s="7"/>
      <c r="G456" s="5" t="str">
        <f aca="false">IF(ISNUMBER(FIND("old rod:",A456)),"old rod:",A456)</f>
        <v>50, 55, DUGROUPLE</v>
      </c>
      <c r="I456" s="5" t="s">
        <v>1381</v>
      </c>
    </row>
    <row r="457" customFormat="false" ht="12.75" hidden="false" customHeight="true" outlineLevel="0" collapsed="false">
      <c r="A457" s="5" t="s">
        <v>2957</v>
      </c>
      <c r="B457" s="7" t="n">
        <v>50</v>
      </c>
      <c r="C457" s="7" t="n">
        <v>55</v>
      </c>
      <c r="D457" s="7" t="s">
        <v>3764</v>
      </c>
      <c r="E457" s="7"/>
      <c r="G457" s="5" t="str">
        <f aca="false">IF(ISNUMBER(FIND("old rod:",A457)),"old rod:",A457)</f>
        <v>50, 55, POLABAT</v>
      </c>
      <c r="I457" s="5" t="s">
        <v>2957</v>
      </c>
    </row>
    <row r="458" customFormat="false" ht="12.75" hidden="false" customHeight="true" outlineLevel="0" collapsed="false">
      <c r="A458" s="5" t="n">
        <v>0.1</v>
      </c>
      <c r="B458" s="5" t="n">
        <v>0.1</v>
      </c>
      <c r="C458" s="7"/>
      <c r="D458" s="7"/>
      <c r="E458" s="7"/>
      <c r="G458" s="5" t="n">
        <f aca="false">IF(ISNUMBER(FIND("old rod:",A458)),"old rod:",A458)</f>
        <v>0.1</v>
      </c>
      <c r="I458" s="5" t="n">
        <v>0.1</v>
      </c>
    </row>
    <row r="459" customFormat="false" ht="12.75" hidden="false" customHeight="true" outlineLevel="0" collapsed="false">
      <c r="A459" s="5" t="s">
        <v>2958</v>
      </c>
      <c r="B459" s="7" t="n">
        <v>52</v>
      </c>
      <c r="C459" s="7" t="n">
        <v>55</v>
      </c>
      <c r="D459" s="7" t="s">
        <v>3827</v>
      </c>
      <c r="E459" s="7"/>
      <c r="G459" s="5" t="str">
        <f aca="false">IF(ISNUMBER(FIND("old rod:",A459)),"old rod:",A459)</f>
        <v>52, 55, VENOMENON</v>
      </c>
      <c r="I459" s="5" t="s">
        <v>2958</v>
      </c>
    </row>
    <row r="460" customFormat="false" ht="12.75" hidden="false" customHeight="true" outlineLevel="0" collapsed="false">
      <c r="A460" s="5" t="s">
        <v>2959</v>
      </c>
      <c r="B460" s="7" t="n">
        <v>52</v>
      </c>
      <c r="C460" s="7" t="n">
        <v>55</v>
      </c>
      <c r="D460" s="7" t="s">
        <v>3828</v>
      </c>
      <c r="E460" s="7"/>
      <c r="G460" s="5" t="str">
        <f aca="false">IF(ISNUMBER(FIND("old rod:",A460)),"old rod:",A460)</f>
        <v>52, 55, "MR. JEST"</v>
      </c>
      <c r="I460" s="5" t="s">
        <v>2959</v>
      </c>
    </row>
    <row r="461" customFormat="false" ht="12.75" hidden="false" customHeight="true" outlineLevel="0" collapsed="false">
      <c r="A461" s="5" t="s">
        <v>2960</v>
      </c>
      <c r="B461" s="7" t="n">
        <v>52</v>
      </c>
      <c r="C461" s="7" t="n">
        <v>55</v>
      </c>
      <c r="D461" s="7" t="s">
        <v>3829</v>
      </c>
      <c r="E461" s="7"/>
      <c r="G461" s="5" t="str">
        <f aca="false">IF(ISNUMBER(FIND("old rod:",A461)),"old rod:",A461)</f>
        <v>52, 55, NIDORULY</v>
      </c>
      <c r="I461" s="5" t="s">
        <v>2960</v>
      </c>
    </row>
    <row r="462" customFormat="false" ht="12.75" hidden="false" customHeight="true" outlineLevel="0" collapsed="false">
      <c r="A462" s="5" t="s">
        <v>2961</v>
      </c>
      <c r="B462" s="7" t="n">
        <v>52</v>
      </c>
      <c r="C462" s="7" t="n">
        <v>55</v>
      </c>
      <c r="D462" s="7" t="s">
        <v>3830</v>
      </c>
      <c r="E462" s="7"/>
      <c r="G462" s="5" t="str">
        <f aca="false">IF(ISNUMBER(FIND("old rod:",A462)),"old rod:",A462)</f>
        <v>52, 55, NIDOREGAL</v>
      </c>
      <c r="I462" s="5" t="s">
        <v>2961</v>
      </c>
    </row>
    <row r="463" customFormat="false" ht="12.75" hidden="false" customHeight="true" outlineLevel="0" collapsed="false">
      <c r="A463" s="5" t="n">
        <v>0.05</v>
      </c>
      <c r="B463" s="5" t="n">
        <v>0.05</v>
      </c>
      <c r="C463" s="7"/>
      <c r="D463" s="7"/>
      <c r="E463" s="7"/>
      <c r="G463" s="5" t="n">
        <f aca="false">IF(ISNUMBER(FIND("old rod:",A463)),"old rod:",A463)</f>
        <v>0.05</v>
      </c>
      <c r="I463" s="5" t="n">
        <v>0.05</v>
      </c>
    </row>
    <row r="464" customFormat="false" ht="12.75" hidden="false" customHeight="true" outlineLevel="0" collapsed="false">
      <c r="A464" s="5" t="s">
        <v>2962</v>
      </c>
      <c r="B464" s="7" t="n">
        <v>54</v>
      </c>
      <c r="C464" s="7" t="n">
        <v>56</v>
      </c>
      <c r="D464" s="7" t="s">
        <v>3831</v>
      </c>
      <c r="E464" s="7"/>
      <c r="G464" s="5" t="str">
        <f aca="false">IF(ISNUMBER(FIND("old rod:",A464)),"old rod:",A464)</f>
        <v>54, 56, MORPHO</v>
      </c>
      <c r="I464" s="5" t="s">
        <v>2962</v>
      </c>
    </row>
    <row r="465" customFormat="false" ht="12.75" hidden="false" customHeight="true" outlineLevel="0" collapsed="false">
      <c r="A465" s="5" t="s">
        <v>2963</v>
      </c>
      <c r="B465" s="7" t="n">
        <v>54</v>
      </c>
      <c r="C465" s="7" t="n">
        <v>56</v>
      </c>
      <c r="D465" s="7" t="s">
        <v>3832</v>
      </c>
      <c r="E465" s="7"/>
      <c r="G465" s="5" t="str">
        <f aca="false">IF(ISNUMBER(FIND("old rod:",A465)),"old rod:",A465)</f>
        <v>54, 56, MAGNEMELD</v>
      </c>
      <c r="I465" s="5" t="s">
        <v>2963</v>
      </c>
    </row>
    <row r="466" customFormat="false" ht="12.75" hidden="false" customHeight="true" outlineLevel="0" collapsed="false">
      <c r="A466" s="5" t="n">
        <v>0.04</v>
      </c>
      <c r="B466" s="5" t="n">
        <v>0.04</v>
      </c>
      <c r="C466" s="7"/>
      <c r="D466" s="7"/>
      <c r="E466" s="7"/>
      <c r="G466" s="5" t="n">
        <f aca="false">IF(ISNUMBER(FIND("old rod:",A466)),"old rod:",A466)</f>
        <v>0.04</v>
      </c>
      <c r="I466" s="5" t="n">
        <v>0.04</v>
      </c>
    </row>
    <row r="467" customFormat="false" ht="12.75" hidden="false" customHeight="true" outlineLevel="0" collapsed="false">
      <c r="A467" s="5" t="s">
        <v>2964</v>
      </c>
      <c r="B467" s="7" t="n">
        <v>54</v>
      </c>
      <c r="C467" s="7" t="n">
        <v>56</v>
      </c>
      <c r="D467" s="7" t="s">
        <v>3833</v>
      </c>
      <c r="E467" s="7"/>
      <c r="G467" s="5" t="str">
        <f aca="false">IF(ISNUMBER(FIND("old rod:",A467)),"old rod:",A467)</f>
        <v>54, 56, VOHOO-DU</v>
      </c>
      <c r="I467" s="5" t="s">
        <v>2964</v>
      </c>
    </row>
    <row r="468" customFormat="false" ht="12.75" hidden="false" customHeight="true" outlineLevel="0" collapsed="false">
      <c r="A468" s="5" t="s">
        <v>2965</v>
      </c>
      <c r="B468" s="7" t="n">
        <v>54</v>
      </c>
      <c r="C468" s="7" t="n">
        <v>56</v>
      </c>
      <c r="D468" s="7" t="s">
        <v>3834</v>
      </c>
      <c r="E468" s="7"/>
      <c r="G468" s="5" t="str">
        <f aca="false">IF(ISNUMBER(FIND("old rod:",A468)),"old rod:",A468)</f>
        <v>54, 56, CLEFAEFAE</v>
      </c>
      <c r="I468" s="5" t="s">
        <v>2965</v>
      </c>
    </row>
    <row r="469" customFormat="false" ht="12.75" hidden="false" customHeight="true" outlineLevel="0" collapsed="false">
      <c r="A469" s="5" t="n">
        <v>0.01</v>
      </c>
      <c r="B469" s="5" t="n">
        <v>0.01</v>
      </c>
      <c r="C469" s="7"/>
      <c r="D469" s="7"/>
      <c r="E469" s="7"/>
      <c r="G469" s="5" t="n">
        <f aca="false">IF(ISNUMBER(FIND("old rod:",A469)),"old rod:",A469)</f>
        <v>0.01</v>
      </c>
      <c r="I469" s="5" t="n">
        <v>0.01</v>
      </c>
    </row>
    <row r="470" customFormat="false" ht="12.75" hidden="false" customHeight="true" outlineLevel="0" collapsed="false">
      <c r="A470" s="5" t="s">
        <v>2966</v>
      </c>
      <c r="B470" s="7" t="n">
        <v>55</v>
      </c>
      <c r="C470" s="7" t="n">
        <v>56</v>
      </c>
      <c r="D470" s="7" t="s">
        <v>3835</v>
      </c>
      <c r="E470" s="7"/>
      <c r="G470" s="5" t="str">
        <f aca="false">IF(ISNUMBER(FIND("old rod:",A470)),"old rod:",A470)</f>
        <v>55, 56, KABUTAK</v>
      </c>
      <c r="I470" s="5" t="s">
        <v>2966</v>
      </c>
    </row>
    <row r="471" customFormat="false" ht="12.75" hidden="false" customHeight="true" outlineLevel="0" collapsed="false">
      <c r="A471" s="5" t="s">
        <v>2967</v>
      </c>
      <c r="B471" s="7" t="n">
        <v>55</v>
      </c>
      <c r="C471" s="7" t="n">
        <v>56</v>
      </c>
      <c r="D471" s="7" t="s">
        <v>3836</v>
      </c>
      <c r="E471" s="7"/>
      <c r="G471" s="5" t="str">
        <f aca="false">IF(ISNUMBER(FIND("old rod:",A471)),"old rod:",A471)</f>
        <v>55, 56, OMAPAL</v>
      </c>
      <c r="I471" s="5" t="s">
        <v>2967</v>
      </c>
    </row>
    <row r="472" customFormat="false" ht="12.75" hidden="false" customHeight="true" outlineLevel="0" collapsed="false">
      <c r="A472" s="5" t="s">
        <v>2968</v>
      </c>
      <c r="B472" s="7" t="n">
        <v>2</v>
      </c>
      <c r="C472" s="7" t="n">
        <v>50</v>
      </c>
      <c r="D472" s="7" t="n">
        <v>55</v>
      </c>
      <c r="E472" s="7" t="s">
        <v>3837</v>
      </c>
      <c r="G472" s="5" t="str">
        <f aca="false">IF(ISNUMBER(FIND("old rod:",A472)),"old rod:",A472)</f>
        <v>2, 50, 55, POLITOES</v>
      </c>
      <c r="I472" s="5" t="s">
        <v>2968</v>
      </c>
    </row>
    <row r="473" customFormat="false" ht="12.75" hidden="false" customHeight="true" outlineLevel="0" collapsed="false">
      <c r="A473" s="5" t="s">
        <v>2969</v>
      </c>
      <c r="B473" s="7" t="n">
        <v>50</v>
      </c>
      <c r="C473" s="7" t="n">
        <v>55</v>
      </c>
      <c r="D473" s="7" t="s">
        <v>3809</v>
      </c>
      <c r="E473" s="7"/>
      <c r="G473" s="5" t="str">
        <f aca="false">IF(ISNUMBER(FIND("old rod:",A473)),"old rod:",A473)</f>
        <v>50, 55, DRAGONITE</v>
      </c>
      <c r="I473" s="5" t="s">
        <v>2969</v>
      </c>
    </row>
    <row r="474" customFormat="false" ht="12.75" hidden="false" customHeight="true" outlineLevel="0" collapsed="false">
      <c r="A474" s="5" t="s">
        <v>2970</v>
      </c>
      <c r="B474" s="7" t="n">
        <v>52</v>
      </c>
      <c r="C474" s="7" t="n">
        <v>57</v>
      </c>
      <c r="D474" s="7" t="s">
        <v>3838</v>
      </c>
      <c r="E474" s="7"/>
      <c r="G474" s="5" t="str">
        <f aca="false">IF(ISNUMBER(FIND("old rod:",A474)),"old rod:",A474)</f>
        <v>52, 57, POLIWISE</v>
      </c>
      <c r="I474" s="5" t="s">
        <v>2970</v>
      </c>
    </row>
    <row r="475" customFormat="false" ht="12.75" hidden="false" customHeight="true" outlineLevel="0" collapsed="false">
      <c r="A475" s="5" t="s">
        <v>2971</v>
      </c>
      <c r="B475" s="7" t="n">
        <v>52</v>
      </c>
      <c r="C475" s="7" t="n">
        <v>57</v>
      </c>
      <c r="D475" s="7" t="s">
        <v>3839</v>
      </c>
      <c r="E475" s="7"/>
      <c r="G475" s="5" t="str">
        <f aca="false">IF(ISNUMBER(FIND("old rod:",A475)),"old rod:",A475)</f>
        <v>52, 57, DRAGONIER</v>
      </c>
      <c r="I475" s="5" t="s">
        <v>2971</v>
      </c>
    </row>
    <row r="476" customFormat="false" ht="12.75" hidden="false" customHeight="true" outlineLevel="0" collapsed="false">
      <c r="A476" s="5" t="s">
        <v>2972</v>
      </c>
      <c r="B476" s="7" t="n">
        <v>53</v>
      </c>
      <c r="C476" s="7" t="n">
        <v>58</v>
      </c>
      <c r="D476" s="7" t="s">
        <v>3840</v>
      </c>
      <c r="E476" s="7"/>
      <c r="G476" s="5" t="str">
        <f aca="false">IF(ISNUMBER(FIND("old rod:",A476)),"old rod:",A476)</f>
        <v>53, 58, NESSEA</v>
      </c>
      <c r="I476" s="5" t="s">
        <v>2972</v>
      </c>
    </row>
    <row r="477" customFormat="false" ht="12.75" hidden="false" customHeight="true" outlineLevel="0" collapsed="false">
      <c r="A477" s="5" t="s">
        <v>2925</v>
      </c>
      <c r="B477" s="7" t="n">
        <v>20</v>
      </c>
      <c r="C477" s="7" t="s">
        <v>3748</v>
      </c>
      <c r="D477" s="7"/>
      <c r="E477" s="7"/>
      <c r="G477" s="5" t="str">
        <f aca="false">IF(ISNUMBER(FIND("old rod:",A477)),"old rod:",A477)</f>
        <v>old rod:</v>
      </c>
      <c r="I477" s="5" t="s">
        <v>3749</v>
      </c>
    </row>
    <row r="478" customFormat="false" ht="12.75" hidden="false" customHeight="true" outlineLevel="0" collapsed="false">
      <c r="A478" s="5" t="s">
        <v>1397</v>
      </c>
      <c r="B478" s="7" t="n">
        <v>23</v>
      </c>
      <c r="C478" s="7" t="n">
        <v>36</v>
      </c>
      <c r="D478" s="7" t="s">
        <v>3841</v>
      </c>
      <c r="E478" s="7"/>
      <c r="G478" s="5" t="str">
        <f aca="false">IF(ISNUMBER(FIND("old rod:",A478)),"old rod:",A478)</f>
        <v>23, 36, CLOYSTER</v>
      </c>
      <c r="I478" s="5" t="s">
        <v>1397</v>
      </c>
    </row>
    <row r="479" customFormat="false" ht="12.75" hidden="false" customHeight="true" outlineLevel="0" collapsed="false">
      <c r="A479" s="5" t="s">
        <v>2973</v>
      </c>
      <c r="B479" s="7" t="n">
        <v>23</v>
      </c>
      <c r="C479" s="7" t="n">
        <v>36</v>
      </c>
      <c r="D479" s="7" t="s">
        <v>3754</v>
      </c>
      <c r="E479" s="7"/>
      <c r="G479" s="5" t="str">
        <f aca="false">IF(ISNUMBER(FIND("old rod:",A479)),"old rod:",A479)</f>
        <v>23, 36, GYARADOS</v>
      </c>
      <c r="I479" s="5" t="s">
        <v>2973</v>
      </c>
    </row>
    <row r="480" customFormat="false" ht="12.75" hidden="false" customHeight="true" outlineLevel="0" collapsed="false">
      <c r="A480" s="5" t="s">
        <v>2846</v>
      </c>
      <c r="B480" s="7" t="s">
        <v>2846</v>
      </c>
      <c r="C480" s="7"/>
      <c r="D480" s="7"/>
      <c r="E480" s="7"/>
      <c r="G480" s="5" t="str">
        <f aca="false">IF(ISNUMBER(FIND("old rod:",A480)),"old rod:",A480)</f>
        <v>good rod:</v>
      </c>
      <c r="I480" s="5" t="s">
        <v>2846</v>
      </c>
    </row>
    <row r="481" customFormat="false" ht="12.75" hidden="false" customHeight="true" outlineLevel="0" collapsed="false">
      <c r="A481" s="5" t="s">
        <v>2974</v>
      </c>
      <c r="B481" s="7" t="n">
        <v>30</v>
      </c>
      <c r="C481" s="7" t="n">
        <v>38</v>
      </c>
      <c r="D481" s="7" t="s">
        <v>3841</v>
      </c>
      <c r="E481" s="7"/>
      <c r="G481" s="5" t="str">
        <f aca="false">IF(ISNUMBER(FIND("old rod:",A481)),"old rod:",A481)</f>
        <v>30, 38, CLOYSTER</v>
      </c>
      <c r="I481" s="5" t="s">
        <v>2974</v>
      </c>
    </row>
    <row r="482" customFormat="false" ht="12.75" hidden="false" customHeight="true" outlineLevel="0" collapsed="false">
      <c r="A482" s="5" t="s">
        <v>2975</v>
      </c>
      <c r="B482" s="7" t="n">
        <v>32</v>
      </c>
      <c r="C482" s="7" t="n">
        <v>40</v>
      </c>
      <c r="D482" s="7" t="s">
        <v>3842</v>
      </c>
      <c r="E482" s="7"/>
      <c r="G482" s="5" t="str">
        <f aca="false">IF(ISNUMBER(FIND("old rod:",A482)),"old rod:",A482)</f>
        <v>32, 40, KINGDRA</v>
      </c>
      <c r="I482" s="5" t="s">
        <v>2975</v>
      </c>
    </row>
    <row r="483" customFormat="false" ht="12.75" hidden="false" customHeight="true" outlineLevel="0" collapsed="false">
      <c r="A483" s="5" t="s">
        <v>2976</v>
      </c>
      <c r="B483" s="7" t="n">
        <v>32</v>
      </c>
      <c r="C483" s="7" t="n">
        <v>40</v>
      </c>
      <c r="D483" s="7" t="s">
        <v>3843</v>
      </c>
      <c r="E483" s="7"/>
      <c r="G483" s="5" t="str">
        <f aca="false">IF(ISNUMBER(FIND("old rod:",A483)),"old rod:",A483)</f>
        <v>32, 40, HYDRADOS</v>
      </c>
      <c r="I483" s="5" t="s">
        <v>2976</v>
      </c>
    </row>
    <row r="484" customFormat="false" ht="12.75" hidden="false" customHeight="true" outlineLevel="0" collapsed="false">
      <c r="A484" s="5" t="s">
        <v>2850</v>
      </c>
      <c r="B484" s="7" t="s">
        <v>2850</v>
      </c>
      <c r="C484" s="7"/>
      <c r="D484" s="7"/>
      <c r="E484" s="7"/>
      <c r="G484" s="5" t="str">
        <f aca="false">IF(ISNUMBER(FIND("old rod:",A484)),"old rod:",A484)</f>
        <v>super rod:</v>
      </c>
      <c r="I484" s="5" t="s">
        <v>2850</v>
      </c>
    </row>
    <row r="485" customFormat="false" ht="12.75" hidden="false" customHeight="true" outlineLevel="0" collapsed="false">
      <c r="A485" s="5" t="s">
        <v>2977</v>
      </c>
      <c r="B485" s="7" t="n">
        <v>50</v>
      </c>
      <c r="C485" s="7" t="n">
        <v>55</v>
      </c>
      <c r="D485" s="7" t="s">
        <v>3844</v>
      </c>
      <c r="E485" s="7"/>
      <c r="G485" s="5" t="str">
        <f aca="false">IF(ISNUMBER(FIND("old rod:",A485)),"old rod:",A485)</f>
        <v>50, 55, LORDRA</v>
      </c>
      <c r="I485" s="5" t="s">
        <v>2977</v>
      </c>
    </row>
    <row r="486" customFormat="false" ht="12.75" hidden="false" customHeight="true" outlineLevel="0" collapsed="false">
      <c r="A486" s="5" t="s">
        <v>2978</v>
      </c>
      <c r="B486" s="7" t="n">
        <v>50</v>
      </c>
      <c r="C486" s="7" t="n">
        <v>55</v>
      </c>
      <c r="D486" s="7" t="s">
        <v>3845</v>
      </c>
      <c r="E486" s="7"/>
      <c r="G486" s="5" t="str">
        <f aca="false">IF(ISNUMBER(FIND("old rod:",A486)),"old rod:",A486)</f>
        <v>50, 55, AN'ENEMY</v>
      </c>
      <c r="I486" s="5" t="s">
        <v>2978</v>
      </c>
    </row>
    <row r="487" customFormat="false" ht="12.75" hidden="false" customHeight="true" outlineLevel="0" collapsed="false">
      <c r="A487" s="5" t="s">
        <v>2979</v>
      </c>
      <c r="B487" s="7" t="n">
        <v>52</v>
      </c>
      <c r="C487" s="7" t="n">
        <v>57</v>
      </c>
      <c r="D487" s="7" t="s">
        <v>3846</v>
      </c>
      <c r="E487" s="7"/>
      <c r="G487" s="5" t="str">
        <f aca="false">IF(ISNUMBER(FIND("old rod:",A487)),"old rod:",A487)</f>
        <v>52, 57, DRACOSMIC</v>
      </c>
      <c r="I487" s="5" t="s">
        <v>2979</v>
      </c>
    </row>
    <row r="488" customFormat="false" ht="12.75" hidden="false" customHeight="true" outlineLevel="0" collapsed="false">
      <c r="A488" s="5" t="s">
        <v>2980</v>
      </c>
      <c r="B488" s="7" t="n">
        <v>52</v>
      </c>
      <c r="C488" s="7" t="n">
        <v>57</v>
      </c>
      <c r="D488" s="7" t="s">
        <v>3847</v>
      </c>
      <c r="E488" s="7"/>
      <c r="G488" s="5" t="str">
        <f aca="false">IF(ISNUMBER(FIND("old rod:",A488)),"old rod:",A488)</f>
        <v>52, 57, GLAISHELL</v>
      </c>
      <c r="I488" s="5" t="s">
        <v>2980</v>
      </c>
    </row>
    <row r="489" customFormat="false" ht="12.75" hidden="false" customHeight="true" outlineLevel="0" collapsed="false">
      <c r="A489" s="5" t="s">
        <v>2981</v>
      </c>
      <c r="B489" s="7" t="n">
        <v>53</v>
      </c>
      <c r="C489" s="7" t="n">
        <v>58</v>
      </c>
      <c r="D489" s="7" t="s">
        <v>3848</v>
      </c>
      <c r="E489" s="7"/>
      <c r="G489" s="5" t="str">
        <f aca="false">IF(ISNUMBER(FIND("old rod:",A489)),"old rod:",A489)</f>
        <v>53, 58, STARWE</v>
      </c>
      <c r="I489" s="5" t="s">
        <v>2981</v>
      </c>
    </row>
    <row r="490" customFormat="false" ht="12.75" hidden="false" customHeight="true" outlineLevel="0" collapsed="false">
      <c r="A490" s="5" t="s">
        <v>2536</v>
      </c>
      <c r="B490" s="7" t="s">
        <v>2536</v>
      </c>
      <c r="C490" s="7"/>
      <c r="D490" s="7"/>
      <c r="E490" s="7"/>
      <c r="G490" s="5" t="str">
        <f aca="false">IF(ISNUMBER(FIND("old rod:",A490)),"old rod:",A490)</f>
        <v>NEW ROUTE</v>
      </c>
      <c r="I490" s="5" t="s">
        <v>2536</v>
      </c>
    </row>
    <row r="491" customFormat="false" ht="12.75" hidden="false" customHeight="true" outlineLevel="0" collapsed="false">
      <c r="A491" s="5" t="s">
        <v>175</v>
      </c>
      <c r="B491" s="7" t="s">
        <v>175</v>
      </c>
      <c r="C491" s="7"/>
      <c r="D491" s="7"/>
      <c r="E491" s="7"/>
      <c r="G491" s="5" t="str">
        <f aca="false">IF(ISNUMBER(FIND("old rod:",A491)),"old rod:",A491)</f>
        <v>Rock Tunnel 1F</v>
      </c>
      <c r="I491" s="5" t="s">
        <v>175</v>
      </c>
    </row>
    <row r="492" customFormat="false" ht="12.75" hidden="false" customHeight="true" outlineLevel="0" collapsed="false">
      <c r="A492" s="5" t="n">
        <v>0.2</v>
      </c>
      <c r="B492" s="5" t="n">
        <v>0.2</v>
      </c>
      <c r="C492" s="7"/>
      <c r="D492" s="7"/>
      <c r="E492" s="7"/>
      <c r="G492" s="5" t="n">
        <f aca="false">IF(ISNUMBER(FIND("old rod:",A492)),"old rod:",A492)</f>
        <v>0.2</v>
      </c>
      <c r="I492" s="5" t="n">
        <v>0.2</v>
      </c>
    </row>
    <row r="493" customFormat="false" ht="12.75" hidden="false" customHeight="true" outlineLevel="0" collapsed="false">
      <c r="A493" s="5" t="s">
        <v>1411</v>
      </c>
      <c r="B493" s="7" t="n">
        <v>20</v>
      </c>
      <c r="C493" s="7" t="n">
        <v>23</v>
      </c>
      <c r="D493" s="7" t="s">
        <v>3849</v>
      </c>
      <c r="E493" s="7"/>
      <c r="G493" s="5" t="str">
        <f aca="false">IF(ISNUMBER(FIND("old rod:",A493)),"old rod:",A493)</f>
        <v>20, 23, RHYHORN</v>
      </c>
      <c r="I493" s="5" t="s">
        <v>1411</v>
      </c>
    </row>
    <row r="494" customFormat="false" ht="12.75" hidden="false" customHeight="true" outlineLevel="0" collapsed="false">
      <c r="A494" s="5" t="s">
        <v>2986</v>
      </c>
      <c r="B494" s="7" t="n">
        <v>20</v>
      </c>
      <c r="C494" s="7" t="n">
        <v>23</v>
      </c>
      <c r="D494" s="7" t="s">
        <v>3740</v>
      </c>
      <c r="E494" s="7"/>
      <c r="G494" s="5" t="str">
        <f aca="false">IF(ISNUMBER(FIND("old rod:",A494)),"old rod:",A494)</f>
        <v>20, 23, GEODUDE</v>
      </c>
      <c r="I494" s="5" t="s">
        <v>2986</v>
      </c>
    </row>
    <row r="495" customFormat="false" ht="12.75" hidden="false" customHeight="true" outlineLevel="0" collapsed="false">
      <c r="A495" s="5" t="n">
        <v>0.1</v>
      </c>
      <c r="B495" s="5" t="n">
        <v>0.1</v>
      </c>
      <c r="C495" s="7"/>
      <c r="D495" s="7"/>
      <c r="E495" s="7"/>
      <c r="G495" s="5" t="n">
        <f aca="false">IF(ISNUMBER(FIND("old rod:",A495)),"old rod:",A495)</f>
        <v>0.1</v>
      </c>
      <c r="I495" s="5" t="n">
        <v>0.1</v>
      </c>
    </row>
    <row r="496" customFormat="false" ht="12.75" hidden="false" customHeight="true" outlineLevel="0" collapsed="false">
      <c r="A496" s="5" t="s">
        <v>2987</v>
      </c>
      <c r="B496" s="7" t="n">
        <v>20</v>
      </c>
      <c r="C496" s="7" t="n">
        <v>24</v>
      </c>
      <c r="D496" s="7" t="s">
        <v>3743</v>
      </c>
      <c r="E496" s="7"/>
      <c r="G496" s="5" t="str">
        <f aca="false">IF(ISNUMBER(FIND("old rod:",A496)),"old rod:",A496)</f>
        <v>20, 24, ONIX</v>
      </c>
      <c r="I496" s="5" t="s">
        <v>2987</v>
      </c>
    </row>
    <row r="497" customFormat="false" ht="12.75" hidden="false" customHeight="true" outlineLevel="0" collapsed="false">
      <c r="A497" s="5" t="s">
        <v>2988</v>
      </c>
      <c r="B497" s="7" t="n">
        <v>19</v>
      </c>
      <c r="C497" s="7" t="n">
        <v>23</v>
      </c>
      <c r="D497" s="7" t="s">
        <v>3735</v>
      </c>
      <c r="E497" s="7"/>
      <c r="G497" s="5" t="str">
        <f aca="false">IF(ISNUMBER(FIND("old rod:",A497)),"old rod:",A497)</f>
        <v>19, 23, MANKEY</v>
      </c>
      <c r="I497" s="5" t="s">
        <v>2988</v>
      </c>
    </row>
    <row r="498" customFormat="false" ht="12.75" hidden="false" customHeight="true" outlineLevel="0" collapsed="false">
      <c r="A498" s="5" t="s">
        <v>2989</v>
      </c>
      <c r="B498" s="7" t="n">
        <v>19</v>
      </c>
      <c r="C498" s="7" t="n">
        <v>23</v>
      </c>
      <c r="D498" s="7" t="s">
        <v>3850</v>
      </c>
      <c r="E498" s="7"/>
      <c r="G498" s="5" t="str">
        <f aca="false">IF(ISNUMBER(FIND("old rod:",A498)),"old rod:",A498)</f>
        <v>19, 23, MACHOP</v>
      </c>
      <c r="I498" s="5" t="s">
        <v>2989</v>
      </c>
    </row>
    <row r="499" customFormat="false" ht="12.75" hidden="false" customHeight="true" outlineLevel="0" collapsed="false">
      <c r="A499" s="5" t="s">
        <v>2990</v>
      </c>
      <c r="B499" s="7" t="n">
        <v>22</v>
      </c>
      <c r="C499" s="7" t="n">
        <v>24</v>
      </c>
      <c r="D499" s="7" t="s">
        <v>3745</v>
      </c>
      <c r="E499" s="7"/>
      <c r="G499" s="5" t="str">
        <f aca="false">IF(ISNUMBER(FIND("old rod:",A499)),"old rod:",A499)</f>
        <v>22, 24, GOLBAT</v>
      </c>
      <c r="I499" s="5" t="s">
        <v>2990</v>
      </c>
    </row>
    <row r="500" customFormat="false" ht="12.75" hidden="false" customHeight="true" outlineLevel="0" collapsed="false">
      <c r="A500" s="5" t="n">
        <v>0.05</v>
      </c>
      <c r="B500" s="5" t="n">
        <v>0.05</v>
      </c>
      <c r="C500" s="7"/>
      <c r="D500" s="7"/>
      <c r="E500" s="7"/>
      <c r="G500" s="5" t="n">
        <f aca="false">IF(ISNUMBER(FIND("old rod:",A500)),"old rod:",A500)</f>
        <v>0.05</v>
      </c>
      <c r="I500" s="5" t="n">
        <v>0.05</v>
      </c>
    </row>
    <row r="501" customFormat="false" ht="12.75" hidden="false" customHeight="true" outlineLevel="0" collapsed="false">
      <c r="A501" s="5" t="s">
        <v>2991</v>
      </c>
      <c r="B501" s="7" t="n">
        <v>24</v>
      </c>
      <c r="C501" s="7" t="n">
        <v>24</v>
      </c>
      <c r="D501" s="7" t="s">
        <v>3849</v>
      </c>
      <c r="E501" s="7"/>
      <c r="G501" s="5" t="str">
        <f aca="false">IF(ISNUMBER(FIND("old rod:",A501)),"old rod:",A501)</f>
        <v>24, 24, RHYHORN</v>
      </c>
      <c r="I501" s="5" t="s">
        <v>2991</v>
      </c>
    </row>
    <row r="502" customFormat="false" ht="12.75" hidden="false" customHeight="true" outlineLevel="0" collapsed="false">
      <c r="A502" s="5" t="s">
        <v>2992</v>
      </c>
      <c r="B502" s="7" t="n">
        <v>24</v>
      </c>
      <c r="C502" s="7" t="n">
        <v>24</v>
      </c>
      <c r="D502" s="7" t="s">
        <v>3740</v>
      </c>
      <c r="E502" s="7"/>
      <c r="G502" s="5" t="str">
        <f aca="false">IF(ISNUMBER(FIND("old rod:",A502)),"old rod:",A502)</f>
        <v>24, 24, GEODUDE</v>
      </c>
      <c r="I502" s="5" t="s">
        <v>2992</v>
      </c>
    </row>
    <row r="503" customFormat="false" ht="12.75" hidden="false" customHeight="true" outlineLevel="0" collapsed="false">
      <c r="A503" s="5" t="n">
        <v>0.04</v>
      </c>
      <c r="B503" s="5" t="n">
        <v>0.04</v>
      </c>
      <c r="C503" s="7"/>
      <c r="D503" s="7"/>
      <c r="E503" s="7"/>
      <c r="G503" s="5" t="n">
        <f aca="false">IF(ISNUMBER(FIND("old rod:",A503)),"old rod:",A503)</f>
        <v>0.04</v>
      </c>
      <c r="I503" s="5" t="n">
        <v>0.04</v>
      </c>
    </row>
    <row r="504" customFormat="false" ht="12.75" hidden="false" customHeight="true" outlineLevel="0" collapsed="false">
      <c r="A504" s="5" t="s">
        <v>2993</v>
      </c>
      <c r="B504" s="7" t="n">
        <v>20</v>
      </c>
      <c r="C504" s="7" t="n">
        <v>25</v>
      </c>
      <c r="D504" s="7" t="s">
        <v>3746</v>
      </c>
      <c r="E504" s="7"/>
      <c r="G504" s="5" t="str">
        <f aca="false">IF(ISNUMBER(FIND("old rod:",A504)),"old rod:",A504)</f>
        <v>20, 25, GRAVELER</v>
      </c>
      <c r="I504" s="5" t="s">
        <v>2993</v>
      </c>
    </row>
    <row r="505" customFormat="false" ht="12.75" hidden="false" customHeight="true" outlineLevel="0" collapsed="false">
      <c r="A505" s="5" t="s">
        <v>2994</v>
      </c>
      <c r="B505" s="7" t="n">
        <v>25</v>
      </c>
      <c r="C505" s="7" t="n">
        <v>25</v>
      </c>
      <c r="D505" s="7" t="s">
        <v>3745</v>
      </c>
      <c r="E505" s="7"/>
      <c r="G505" s="5" t="str">
        <f aca="false">IF(ISNUMBER(FIND("old rod:",A505)),"old rod:",A505)</f>
        <v>25, 25, GOLBAT</v>
      </c>
      <c r="I505" s="5" t="s">
        <v>2994</v>
      </c>
    </row>
    <row r="506" customFormat="false" ht="12.75" hidden="false" customHeight="true" outlineLevel="0" collapsed="false">
      <c r="A506" s="5" t="n">
        <v>0.01</v>
      </c>
      <c r="B506" s="5" t="n">
        <v>0.01</v>
      </c>
      <c r="C506" s="7"/>
      <c r="D506" s="7"/>
      <c r="E506" s="7"/>
      <c r="G506" s="5" t="n">
        <f aca="false">IF(ISNUMBER(FIND("old rod:",A506)),"old rod:",A506)</f>
        <v>0.01</v>
      </c>
      <c r="I506" s="5" t="n">
        <v>0.01</v>
      </c>
    </row>
    <row r="507" customFormat="false" ht="12.75" hidden="false" customHeight="true" outlineLevel="0" collapsed="false">
      <c r="A507" s="5" t="s">
        <v>2995</v>
      </c>
      <c r="B507" s="7" t="n">
        <v>20</v>
      </c>
      <c r="C507" s="7" t="n">
        <v>25</v>
      </c>
      <c r="D507" s="7" t="s">
        <v>3851</v>
      </c>
      <c r="E507" s="7"/>
      <c r="G507" s="5" t="str">
        <f aca="false">IF(ISNUMBER(FIND("old rod:",A507)),"old rod:",A507)</f>
        <v>20, 25, PINSIR</v>
      </c>
      <c r="I507" s="5" t="s">
        <v>2995</v>
      </c>
    </row>
    <row r="508" customFormat="false" ht="12.75" hidden="false" customHeight="true" outlineLevel="0" collapsed="false">
      <c r="A508" s="5" t="s">
        <v>3715</v>
      </c>
      <c r="B508" s="7" t="n">
        <v>20</v>
      </c>
      <c r="C508" s="7" t="n">
        <v>23</v>
      </c>
      <c r="D508" s="7" t="s">
        <v>3812</v>
      </c>
      <c r="E508" s="7"/>
      <c r="G508" s="5" t="str">
        <f aca="false">IF(ISNUMBER(FIND("old rod:",A508)),"old rod:",A508)</f>
        <v>20, 23, KANGASKHAN</v>
      </c>
      <c r="I508" s="5" t="s">
        <v>3715</v>
      </c>
    </row>
    <row r="509" customFormat="false" ht="12.75" hidden="false" customHeight="true" outlineLevel="0" collapsed="false">
      <c r="A509" s="5" t="s">
        <v>2536</v>
      </c>
      <c r="B509" s="7" t="s">
        <v>2536</v>
      </c>
      <c r="C509" s="7"/>
      <c r="D509" s="7"/>
      <c r="E509" s="7"/>
      <c r="G509" s="5" t="str">
        <f aca="false">IF(ISNUMBER(FIND("old rod:",A509)),"old rod:",A509)</f>
        <v>NEW ROUTE</v>
      </c>
      <c r="I509" s="5" t="s">
        <v>2536</v>
      </c>
    </row>
    <row r="510" customFormat="false" ht="12.75" hidden="false" customHeight="true" outlineLevel="0" collapsed="false">
      <c r="A510" s="5" t="s">
        <v>177</v>
      </c>
      <c r="B510" s="7" t="s">
        <v>177</v>
      </c>
      <c r="C510" s="7"/>
      <c r="D510" s="7"/>
      <c r="E510" s="7"/>
      <c r="G510" s="5" t="str">
        <f aca="false">IF(ISNUMBER(FIND("old rod:",A510)),"old rod:",A510)</f>
        <v>Rock Tunnel B1F</v>
      </c>
      <c r="I510" s="5" t="s">
        <v>177</v>
      </c>
    </row>
    <row r="511" customFormat="false" ht="12.75" hidden="false" customHeight="true" outlineLevel="0" collapsed="false">
      <c r="A511" s="5" t="n">
        <v>0.2</v>
      </c>
      <c r="B511" s="5" t="n">
        <v>0.2</v>
      </c>
      <c r="C511" s="7"/>
      <c r="D511" s="7"/>
      <c r="E511" s="7"/>
      <c r="G511" s="5" t="n">
        <f aca="false">IF(ISNUMBER(FIND("old rod:",A511)),"old rod:",A511)</f>
        <v>0.2</v>
      </c>
      <c r="I511" s="5" t="n">
        <v>0.2</v>
      </c>
    </row>
    <row r="512" customFormat="false" ht="12.75" hidden="false" customHeight="true" outlineLevel="0" collapsed="false">
      <c r="A512" s="5" t="s">
        <v>1411</v>
      </c>
      <c r="B512" s="7" t="n">
        <v>20</v>
      </c>
      <c r="C512" s="7" t="n">
        <v>23</v>
      </c>
      <c r="D512" s="7" t="s">
        <v>3849</v>
      </c>
      <c r="E512" s="7"/>
      <c r="G512" s="5" t="str">
        <f aca="false">IF(ISNUMBER(FIND("old rod:",A512)),"old rod:",A512)</f>
        <v>20, 23, RHYHORN</v>
      </c>
      <c r="I512" s="5" t="s">
        <v>1411</v>
      </c>
    </row>
    <row r="513" customFormat="false" ht="12.75" hidden="false" customHeight="true" outlineLevel="0" collapsed="false">
      <c r="A513" s="5" t="s">
        <v>2986</v>
      </c>
      <c r="B513" s="7" t="n">
        <v>20</v>
      </c>
      <c r="C513" s="7" t="n">
        <v>23</v>
      </c>
      <c r="D513" s="7" t="s">
        <v>3740</v>
      </c>
      <c r="E513" s="7"/>
      <c r="G513" s="5" t="str">
        <f aca="false">IF(ISNUMBER(FIND("old rod:",A513)),"old rod:",A513)</f>
        <v>20, 23, GEODUDE</v>
      </c>
      <c r="I513" s="5" t="s">
        <v>2986</v>
      </c>
    </row>
    <row r="514" customFormat="false" ht="12.75" hidden="false" customHeight="true" outlineLevel="0" collapsed="false">
      <c r="A514" s="5" t="n">
        <v>0.1</v>
      </c>
      <c r="B514" s="5" t="n">
        <v>0.1</v>
      </c>
      <c r="C514" s="7"/>
      <c r="D514" s="7"/>
      <c r="E514" s="7"/>
      <c r="G514" s="5" t="n">
        <f aca="false">IF(ISNUMBER(FIND("old rod:",A514)),"old rod:",A514)</f>
        <v>0.1</v>
      </c>
      <c r="I514" s="5" t="n">
        <v>0.1</v>
      </c>
    </row>
    <row r="515" customFormat="false" ht="12.75" hidden="false" customHeight="true" outlineLevel="0" collapsed="false">
      <c r="A515" s="5" t="s">
        <v>2987</v>
      </c>
      <c r="B515" s="7" t="n">
        <v>20</v>
      </c>
      <c r="C515" s="7" t="n">
        <v>24</v>
      </c>
      <c r="D515" s="7" t="s">
        <v>3743</v>
      </c>
      <c r="E515" s="7"/>
      <c r="G515" s="5" t="str">
        <f aca="false">IF(ISNUMBER(FIND("old rod:",A515)),"old rod:",A515)</f>
        <v>20, 24, ONIX</v>
      </c>
      <c r="I515" s="5" t="s">
        <v>2987</v>
      </c>
    </row>
    <row r="516" customFormat="false" ht="12.75" hidden="false" customHeight="true" outlineLevel="0" collapsed="false">
      <c r="A516" s="5" t="s">
        <v>2988</v>
      </c>
      <c r="B516" s="7" t="n">
        <v>19</v>
      </c>
      <c r="C516" s="7" t="n">
        <v>23</v>
      </c>
      <c r="D516" s="7" t="s">
        <v>3735</v>
      </c>
      <c r="E516" s="7"/>
      <c r="G516" s="5" t="str">
        <f aca="false">IF(ISNUMBER(FIND("old rod:",A516)),"old rod:",A516)</f>
        <v>19, 23, MANKEY</v>
      </c>
      <c r="I516" s="5" t="s">
        <v>2988</v>
      </c>
    </row>
    <row r="517" customFormat="false" ht="12.75" hidden="false" customHeight="true" outlineLevel="0" collapsed="false">
      <c r="A517" s="5" t="s">
        <v>2989</v>
      </c>
      <c r="B517" s="7" t="n">
        <v>19</v>
      </c>
      <c r="C517" s="7" t="n">
        <v>23</v>
      </c>
      <c r="D517" s="7" t="s">
        <v>3850</v>
      </c>
      <c r="E517" s="7"/>
      <c r="G517" s="5" t="str">
        <f aca="false">IF(ISNUMBER(FIND("old rod:",A517)),"old rod:",A517)</f>
        <v>19, 23, MACHOP</v>
      </c>
      <c r="I517" s="5" t="s">
        <v>2989</v>
      </c>
    </row>
    <row r="518" customFormat="false" ht="12.75" hidden="false" customHeight="true" outlineLevel="0" collapsed="false">
      <c r="A518" s="5" t="s">
        <v>2990</v>
      </c>
      <c r="B518" s="7" t="n">
        <v>22</v>
      </c>
      <c r="C518" s="7" t="n">
        <v>24</v>
      </c>
      <c r="D518" s="7" t="s">
        <v>3745</v>
      </c>
      <c r="E518" s="7"/>
      <c r="G518" s="5" t="str">
        <f aca="false">IF(ISNUMBER(FIND("old rod:",A518)),"old rod:",A518)</f>
        <v>22, 24, GOLBAT</v>
      </c>
      <c r="I518" s="5" t="s">
        <v>2990</v>
      </c>
    </row>
    <row r="519" customFormat="false" ht="12.75" hidden="false" customHeight="true" outlineLevel="0" collapsed="false">
      <c r="A519" s="5" t="n">
        <v>0.05</v>
      </c>
      <c r="B519" s="5" t="n">
        <v>0.05</v>
      </c>
      <c r="C519" s="7"/>
      <c r="D519" s="7"/>
      <c r="E519" s="7"/>
      <c r="G519" s="5" t="n">
        <f aca="false">IF(ISNUMBER(FIND("old rod:",A519)),"old rod:",A519)</f>
        <v>0.05</v>
      </c>
      <c r="I519" s="5" t="n">
        <v>0.05</v>
      </c>
    </row>
    <row r="520" customFormat="false" ht="12.75" hidden="false" customHeight="true" outlineLevel="0" collapsed="false">
      <c r="A520" s="5" t="s">
        <v>2991</v>
      </c>
      <c r="B520" s="7" t="n">
        <v>24</v>
      </c>
      <c r="C520" s="7" t="n">
        <v>24</v>
      </c>
      <c r="D520" s="7" t="s">
        <v>3849</v>
      </c>
      <c r="E520" s="7"/>
      <c r="G520" s="5" t="str">
        <f aca="false">IF(ISNUMBER(FIND("old rod:",A520)),"old rod:",A520)</f>
        <v>24, 24, RHYHORN</v>
      </c>
      <c r="I520" s="5" t="s">
        <v>2991</v>
      </c>
    </row>
    <row r="521" customFormat="false" ht="12.75" hidden="false" customHeight="true" outlineLevel="0" collapsed="false">
      <c r="A521" s="5" t="s">
        <v>2992</v>
      </c>
      <c r="B521" s="7" t="n">
        <v>24</v>
      </c>
      <c r="C521" s="7" t="n">
        <v>24</v>
      </c>
      <c r="D521" s="7" t="s">
        <v>3740</v>
      </c>
      <c r="E521" s="7"/>
      <c r="G521" s="5" t="str">
        <f aca="false">IF(ISNUMBER(FIND("old rod:",A521)),"old rod:",A521)</f>
        <v>24, 24, GEODUDE</v>
      </c>
      <c r="I521" s="5" t="s">
        <v>2992</v>
      </c>
    </row>
    <row r="522" customFormat="false" ht="12.75" hidden="false" customHeight="true" outlineLevel="0" collapsed="false">
      <c r="A522" s="5" t="n">
        <v>0.04</v>
      </c>
      <c r="B522" s="5" t="n">
        <v>0.04</v>
      </c>
      <c r="C522" s="7"/>
      <c r="D522" s="7"/>
      <c r="E522" s="7"/>
      <c r="G522" s="5" t="n">
        <f aca="false">IF(ISNUMBER(FIND("old rod:",A522)),"old rod:",A522)</f>
        <v>0.04</v>
      </c>
      <c r="I522" s="5" t="n">
        <v>0.04</v>
      </c>
    </row>
    <row r="523" customFormat="false" ht="12.75" hidden="false" customHeight="true" outlineLevel="0" collapsed="false">
      <c r="A523" s="5" t="s">
        <v>2993</v>
      </c>
      <c r="B523" s="7" t="n">
        <v>20</v>
      </c>
      <c r="C523" s="7" t="n">
        <v>25</v>
      </c>
      <c r="D523" s="7" t="s">
        <v>3746</v>
      </c>
      <c r="E523" s="7"/>
      <c r="G523" s="5" t="str">
        <f aca="false">IF(ISNUMBER(FIND("old rod:",A523)),"old rod:",A523)</f>
        <v>20, 25, GRAVELER</v>
      </c>
      <c r="I523" s="5" t="s">
        <v>2993</v>
      </c>
    </row>
    <row r="524" customFormat="false" ht="12.75" hidden="false" customHeight="true" outlineLevel="0" collapsed="false">
      <c r="A524" s="5" t="s">
        <v>2994</v>
      </c>
      <c r="B524" s="7" t="n">
        <v>25</v>
      </c>
      <c r="C524" s="7" t="n">
        <v>25</v>
      </c>
      <c r="D524" s="7" t="s">
        <v>3745</v>
      </c>
      <c r="E524" s="7"/>
      <c r="G524" s="5" t="str">
        <f aca="false">IF(ISNUMBER(FIND("old rod:",A524)),"old rod:",A524)</f>
        <v>25, 25, GOLBAT</v>
      </c>
      <c r="I524" s="5" t="s">
        <v>2994</v>
      </c>
    </row>
    <row r="525" customFormat="false" ht="12.75" hidden="false" customHeight="true" outlineLevel="0" collapsed="false">
      <c r="A525" s="5" t="n">
        <v>0.01</v>
      </c>
      <c r="B525" s="5" t="n">
        <v>0.01</v>
      </c>
      <c r="C525" s="7"/>
      <c r="D525" s="7"/>
      <c r="E525" s="7"/>
      <c r="G525" s="5" t="n">
        <f aca="false">IF(ISNUMBER(FIND("old rod:",A525)),"old rod:",A525)</f>
        <v>0.01</v>
      </c>
      <c r="I525" s="5" t="n">
        <v>0.01</v>
      </c>
    </row>
    <row r="526" customFormat="false" ht="12.75" hidden="false" customHeight="true" outlineLevel="0" collapsed="false">
      <c r="A526" s="5" t="s">
        <v>2995</v>
      </c>
      <c r="B526" s="7" t="n">
        <v>20</v>
      </c>
      <c r="C526" s="7" t="n">
        <v>25</v>
      </c>
      <c r="D526" s="7" t="s">
        <v>3851</v>
      </c>
      <c r="E526" s="7"/>
      <c r="G526" s="5" t="str">
        <f aca="false">IF(ISNUMBER(FIND("old rod:",A526)),"old rod:",A526)</f>
        <v>20, 25, PINSIR</v>
      </c>
      <c r="I526" s="5" t="s">
        <v>2995</v>
      </c>
    </row>
    <row r="527" customFormat="false" ht="12.75" hidden="false" customHeight="true" outlineLevel="0" collapsed="false">
      <c r="A527" s="5" t="s">
        <v>2998</v>
      </c>
      <c r="B527" s="7" t="n">
        <v>21</v>
      </c>
      <c r="C527" s="7" t="n">
        <v>24</v>
      </c>
      <c r="D527" s="7" t="s">
        <v>3812</v>
      </c>
      <c r="E527" s="7"/>
      <c r="G527" s="5" t="str">
        <f aca="false">IF(ISNUMBER(FIND("old rod:",A527)),"old rod:",A527)</f>
        <v>21, 24, KANGASKHAN</v>
      </c>
      <c r="I527" s="5" t="s">
        <v>2998</v>
      </c>
    </row>
    <row r="528" customFormat="false" ht="12.75" hidden="false" customHeight="true" outlineLevel="0" collapsed="false">
      <c r="A528" s="5" t="s">
        <v>2999</v>
      </c>
      <c r="B528" s="7" t="n">
        <v>50</v>
      </c>
      <c r="C528" s="7" t="n">
        <v>5</v>
      </c>
      <c r="D528" s="7" t="n">
        <v>20</v>
      </c>
      <c r="E528" s="7" t="s">
        <v>3740</v>
      </c>
      <c r="G528" s="5" t="str">
        <f aca="false">IF(ISNUMBER(FIND("old rod:",A528)),"old rod:",A528)</f>
        <v>50, 5, 20, GEODUDE</v>
      </c>
      <c r="I528" s="5" t="s">
        <v>2999</v>
      </c>
    </row>
    <row r="529" customFormat="false" ht="12.75" hidden="false" customHeight="true" outlineLevel="0" collapsed="false">
      <c r="A529" s="5" t="s">
        <v>3000</v>
      </c>
      <c r="B529" s="7" t="n">
        <v>10</v>
      </c>
      <c r="C529" s="7" t="n">
        <v>20</v>
      </c>
      <c r="D529" s="7" t="s">
        <v>3740</v>
      </c>
      <c r="E529" s="7"/>
      <c r="G529" s="5" t="str">
        <f aca="false">IF(ISNUMBER(FIND("old rod:",A529)),"old rod:",A529)</f>
        <v>10, 20, GEODUDE</v>
      </c>
      <c r="I529" s="5" t="s">
        <v>3000</v>
      </c>
    </row>
    <row r="530" customFormat="false" ht="12.75" hidden="false" customHeight="true" outlineLevel="0" collapsed="false">
      <c r="A530" s="5" t="s">
        <v>3001</v>
      </c>
      <c r="B530" s="7" t="n">
        <v>15</v>
      </c>
      <c r="C530" s="7" t="n">
        <v>30</v>
      </c>
      <c r="D530" s="7" t="s">
        <v>3740</v>
      </c>
      <c r="E530" s="7"/>
      <c r="G530" s="5" t="str">
        <f aca="false">IF(ISNUMBER(FIND("old rod:",A530)),"old rod:",A530)</f>
        <v>15, 30, GEODUDE</v>
      </c>
      <c r="I530" s="5" t="s">
        <v>3001</v>
      </c>
    </row>
    <row r="531" customFormat="false" ht="12.75" hidden="false" customHeight="true" outlineLevel="0" collapsed="false">
      <c r="A531" s="5" t="s">
        <v>3002</v>
      </c>
      <c r="B531" s="7" t="n">
        <v>25</v>
      </c>
      <c r="C531" s="7" t="n">
        <v>40</v>
      </c>
      <c r="D531" s="7" t="s">
        <v>3746</v>
      </c>
      <c r="E531" s="7"/>
      <c r="G531" s="5" t="str">
        <f aca="false">IF(ISNUMBER(FIND("old rod:",A531)),"old rod:",A531)</f>
        <v>25, 40, GRAVELER</v>
      </c>
      <c r="I531" s="5" t="s">
        <v>3002</v>
      </c>
    </row>
    <row r="532" customFormat="false" ht="12.75" hidden="false" customHeight="true" outlineLevel="0" collapsed="false">
      <c r="A532" s="5" t="s">
        <v>3233</v>
      </c>
      <c r="B532" s="7" t="n">
        <v>30</v>
      </c>
      <c r="C532" s="7" t="n">
        <v>40</v>
      </c>
      <c r="D532" s="7" t="s">
        <v>3746</v>
      </c>
      <c r="E532" s="7"/>
      <c r="G532" s="5" t="str">
        <f aca="false">IF(ISNUMBER(FIND("old rod:",A532)),"old rod:",A532)</f>
        <v>30, 40, GRAVELER</v>
      </c>
      <c r="I532" s="5" t="s">
        <v>3233</v>
      </c>
    </row>
    <row r="533" customFormat="false" ht="12.75" hidden="false" customHeight="true" outlineLevel="0" collapsed="false">
      <c r="A533" s="5" t="s">
        <v>2536</v>
      </c>
      <c r="B533" s="7" t="s">
        <v>2536</v>
      </c>
      <c r="C533" s="7"/>
      <c r="D533" s="7"/>
      <c r="E533" s="7"/>
      <c r="G533" s="5" t="str">
        <f aca="false">IF(ISNUMBER(FIND("old rod:",A533)),"old rod:",A533)</f>
        <v>NEW ROUTE</v>
      </c>
      <c r="I533" s="5" t="s">
        <v>2536</v>
      </c>
    </row>
    <row r="534" customFormat="false" ht="12.75" hidden="false" customHeight="true" outlineLevel="0" collapsed="false">
      <c r="A534" s="5" t="s">
        <v>179</v>
      </c>
      <c r="B534" s="7" t="s">
        <v>179</v>
      </c>
      <c r="C534" s="7"/>
      <c r="D534" s="7"/>
      <c r="E534" s="7"/>
      <c r="G534" s="5" t="str">
        <f aca="false">IF(ISNUMBER(FIND("old rod:",A534)),"old rod:",A534)</f>
        <v>Seafoam Islands 1F</v>
      </c>
      <c r="I534" s="5" t="s">
        <v>179</v>
      </c>
    </row>
    <row r="535" customFormat="false" ht="12.75" hidden="false" customHeight="true" outlineLevel="0" collapsed="false">
      <c r="A535" s="5" t="n">
        <v>0.2</v>
      </c>
      <c r="B535" s="5" t="n">
        <v>0.2</v>
      </c>
      <c r="C535" s="7"/>
      <c r="D535" s="7"/>
      <c r="E535" s="7"/>
      <c r="G535" s="5" t="n">
        <f aca="false">IF(ISNUMBER(FIND("old rod:",A535)),"old rod:",A535)</f>
        <v>0.2</v>
      </c>
      <c r="I535" s="5" t="n">
        <v>0.2</v>
      </c>
    </row>
    <row r="536" customFormat="false" ht="12.75" hidden="false" customHeight="true" outlineLevel="0" collapsed="false">
      <c r="A536" s="5" t="s">
        <v>1430</v>
      </c>
      <c r="B536" s="7" t="n">
        <v>40</v>
      </c>
      <c r="C536" s="7" t="n">
        <v>44</v>
      </c>
      <c r="D536" s="7" t="s">
        <v>3745</v>
      </c>
      <c r="E536" s="7"/>
      <c r="G536" s="5" t="str">
        <f aca="false">IF(ISNUMBER(FIND("old rod:",A536)),"old rod:",A536)</f>
        <v>40, 44, GOLBAT</v>
      </c>
      <c r="I536" s="5" t="s">
        <v>1430</v>
      </c>
    </row>
    <row r="537" customFormat="false" ht="12.75" hidden="false" customHeight="true" outlineLevel="0" collapsed="false">
      <c r="A537" s="5" t="s">
        <v>3005</v>
      </c>
      <c r="B537" s="7" t="n">
        <v>40</v>
      </c>
      <c r="C537" s="7" t="n">
        <v>44</v>
      </c>
      <c r="D537" s="7" t="s">
        <v>3801</v>
      </c>
      <c r="E537" s="7"/>
      <c r="G537" s="5" t="str">
        <f aca="false">IF(ISNUMBER(FIND("old rod:",A537)),"old rod:",A537)</f>
        <v>40, 44, GOLDUCK</v>
      </c>
      <c r="I537" s="5" t="s">
        <v>3005</v>
      </c>
    </row>
    <row r="538" customFormat="false" ht="12.75" hidden="false" customHeight="true" outlineLevel="0" collapsed="false">
      <c r="A538" s="5" t="n">
        <v>0.1</v>
      </c>
      <c r="B538" s="5" t="n">
        <v>0.1</v>
      </c>
      <c r="C538" s="7"/>
      <c r="D538" s="7"/>
      <c r="E538" s="7"/>
      <c r="G538" s="5" t="n">
        <f aca="false">IF(ISNUMBER(FIND("old rod:",A538)),"old rod:",A538)</f>
        <v>0.1</v>
      </c>
      <c r="I538" s="5" t="n">
        <v>0.1</v>
      </c>
    </row>
    <row r="539" customFormat="false" ht="12.75" hidden="false" customHeight="true" outlineLevel="0" collapsed="false">
      <c r="A539" s="5" t="s">
        <v>3006</v>
      </c>
      <c r="B539" s="7" t="n">
        <v>40</v>
      </c>
      <c r="C539" s="7" t="n">
        <v>44</v>
      </c>
      <c r="D539" s="7" t="s">
        <v>3800</v>
      </c>
      <c r="E539" s="7"/>
      <c r="G539" s="5" t="str">
        <f aca="false">IF(ISNUMBER(FIND("old rod:",A539)),"old rod:",A539)</f>
        <v>40, 44, SLOWBRO</v>
      </c>
      <c r="I539" s="5" t="s">
        <v>3006</v>
      </c>
    </row>
    <row r="540" customFormat="false" ht="12.75" hidden="false" customHeight="true" outlineLevel="0" collapsed="false">
      <c r="A540" s="5" t="s">
        <v>3007</v>
      </c>
      <c r="B540" s="7" t="n">
        <v>40</v>
      </c>
      <c r="C540" s="7" t="n">
        <v>44</v>
      </c>
      <c r="D540" s="7" t="s">
        <v>3760</v>
      </c>
      <c r="E540" s="7"/>
      <c r="G540" s="5" t="str">
        <f aca="false">IF(ISNUMBER(FIND("old rod:",A540)),"old rod:",A540)</f>
        <v>40, 44, CROBAT</v>
      </c>
      <c r="I540" s="5" t="s">
        <v>3007</v>
      </c>
    </row>
    <row r="541" customFormat="false" ht="12.75" hidden="false" customHeight="true" outlineLevel="0" collapsed="false">
      <c r="A541" s="5" t="s">
        <v>3008</v>
      </c>
      <c r="B541" s="7" t="n">
        <v>40</v>
      </c>
      <c r="C541" s="7" t="n">
        <v>44</v>
      </c>
      <c r="D541" s="7" t="s">
        <v>3852</v>
      </c>
      <c r="E541" s="7"/>
      <c r="G541" s="5" t="str">
        <f aca="false">IF(ISNUMBER(FIND("old rod:",A541)),"old rod:",A541)</f>
        <v>40, 44, DEWGONG</v>
      </c>
      <c r="I541" s="5" t="s">
        <v>3008</v>
      </c>
    </row>
    <row r="542" customFormat="false" ht="12.75" hidden="false" customHeight="true" outlineLevel="0" collapsed="false">
      <c r="A542" s="5" t="s">
        <v>3009</v>
      </c>
      <c r="B542" s="7" t="n">
        <v>40</v>
      </c>
      <c r="C542" s="7" t="n">
        <v>44</v>
      </c>
      <c r="D542" s="7" t="s">
        <v>3853</v>
      </c>
      <c r="E542" s="7"/>
      <c r="G542" s="5" t="str">
        <f aca="false">IF(ISNUMBER(FIND("old rod:",A542)),"old rod:",A542)</f>
        <v>40, 44, LICKILICKY</v>
      </c>
      <c r="I542" s="5" t="s">
        <v>3009</v>
      </c>
    </row>
    <row r="543" customFormat="false" ht="12.75" hidden="false" customHeight="true" outlineLevel="0" collapsed="false">
      <c r="A543" s="5" t="n">
        <v>0.05</v>
      </c>
      <c r="B543" s="5" t="n">
        <v>0.05</v>
      </c>
      <c r="C543" s="7"/>
      <c r="D543" s="7"/>
      <c r="E543" s="7"/>
      <c r="G543" s="5" t="n">
        <f aca="false">IF(ISNUMBER(FIND("old rod:",A543)),"old rod:",A543)</f>
        <v>0.05</v>
      </c>
      <c r="I543" s="5" t="n">
        <v>0.05</v>
      </c>
    </row>
    <row r="544" customFormat="false" ht="12.75" hidden="false" customHeight="true" outlineLevel="0" collapsed="false">
      <c r="A544" s="5" t="s">
        <v>3010</v>
      </c>
      <c r="B544" s="7" t="n">
        <v>42</v>
      </c>
      <c r="C544" s="7" t="n">
        <v>46</v>
      </c>
      <c r="D544" s="7" t="s">
        <v>3764</v>
      </c>
      <c r="E544" s="7"/>
      <c r="G544" s="5" t="str">
        <f aca="false">IF(ISNUMBER(FIND("old rod:",A544)),"old rod:",A544)</f>
        <v>42, 46, POLABAT</v>
      </c>
      <c r="I544" s="5" t="s">
        <v>3010</v>
      </c>
    </row>
    <row r="545" customFormat="false" ht="12.75" hidden="false" customHeight="true" outlineLevel="0" collapsed="false">
      <c r="A545" s="5" t="s">
        <v>3011</v>
      </c>
      <c r="B545" s="7" t="n">
        <v>42</v>
      </c>
      <c r="C545" s="7" t="n">
        <v>46</v>
      </c>
      <c r="D545" s="7" t="s">
        <v>3854</v>
      </c>
      <c r="E545" s="7"/>
      <c r="G545" s="5" t="str">
        <f aca="false">IF(ISNUMBER(FIND("old rod:",A545)),"old rod:",A545)</f>
        <v>42, 46, GILDUCK</v>
      </c>
      <c r="I545" s="5" t="s">
        <v>3011</v>
      </c>
    </row>
    <row r="546" customFormat="false" ht="12.75" hidden="false" customHeight="true" outlineLevel="0" collapsed="false">
      <c r="A546" s="5" t="n">
        <v>0.04</v>
      </c>
      <c r="B546" s="5" t="n">
        <v>0.04</v>
      </c>
      <c r="C546" s="7"/>
      <c r="D546" s="7"/>
      <c r="E546" s="7"/>
      <c r="G546" s="5" t="n">
        <f aca="false">IF(ISNUMBER(FIND("old rod:",A546)),"old rod:",A546)</f>
        <v>0.04</v>
      </c>
      <c r="I546" s="5" t="n">
        <v>0.04</v>
      </c>
    </row>
    <row r="547" customFormat="false" ht="12.75" hidden="false" customHeight="true" outlineLevel="0" collapsed="false">
      <c r="A547" s="5" t="s">
        <v>3012</v>
      </c>
      <c r="B547" s="7" t="n">
        <v>44</v>
      </c>
      <c r="C547" s="7" t="n">
        <v>47</v>
      </c>
      <c r="D547" s="7" t="s">
        <v>3855</v>
      </c>
      <c r="E547" s="7"/>
      <c r="G547" s="5" t="str">
        <f aca="false">IF(ISNUMBER(FIND("old rod:",A547)),"old rod:",A547)</f>
        <v>44, 47, SLOWMATE</v>
      </c>
      <c r="I547" s="5" t="s">
        <v>3012</v>
      </c>
    </row>
    <row r="548" customFormat="false" ht="12.75" hidden="false" customHeight="true" outlineLevel="0" collapsed="false">
      <c r="A548" s="5" t="s">
        <v>3013</v>
      </c>
      <c r="B548" s="7" t="n">
        <v>44</v>
      </c>
      <c r="C548" s="7" t="n">
        <v>47</v>
      </c>
      <c r="D548" s="7" t="s">
        <v>3856</v>
      </c>
      <c r="E548" s="7"/>
      <c r="G548" s="5" t="str">
        <f aca="false">IF(ISNUMBER(FIND("old rod:",A548)),"old rod:",A548)</f>
        <v>44, 47, PRECIPED</v>
      </c>
      <c r="I548" s="5" t="s">
        <v>3013</v>
      </c>
    </row>
    <row r="549" customFormat="false" ht="12.75" hidden="false" customHeight="true" outlineLevel="0" collapsed="false">
      <c r="A549" s="5" t="n">
        <v>0.01</v>
      </c>
      <c r="B549" s="5" t="n">
        <v>0.01</v>
      </c>
      <c r="C549" s="7"/>
      <c r="D549" s="7"/>
      <c r="E549" s="7"/>
      <c r="G549" s="5" t="n">
        <f aca="false">IF(ISNUMBER(FIND("old rod:",A549)),"old rod:",A549)</f>
        <v>0.01</v>
      </c>
      <c r="I549" s="5" t="n">
        <v>0.01</v>
      </c>
    </row>
    <row r="550" customFormat="false" ht="12.75" hidden="false" customHeight="true" outlineLevel="0" collapsed="false">
      <c r="A550" s="5" t="s">
        <v>3014</v>
      </c>
      <c r="B550" s="7" t="n">
        <v>45</v>
      </c>
      <c r="C550" s="7" t="n">
        <v>50</v>
      </c>
      <c r="D550" s="7" t="s">
        <v>3809</v>
      </c>
      <c r="E550" s="7"/>
      <c r="G550" s="5" t="str">
        <f aca="false">IF(ISNUMBER(FIND("old rod:",A550)),"old rod:",A550)</f>
        <v>45, 50, DRAGONITE</v>
      </c>
      <c r="I550" s="5" t="s">
        <v>3014</v>
      </c>
    </row>
    <row r="551" customFormat="false" ht="12.75" hidden="false" customHeight="true" outlineLevel="0" collapsed="false">
      <c r="A551" s="5" t="s">
        <v>3716</v>
      </c>
      <c r="B551" s="7" t="n">
        <v>45</v>
      </c>
      <c r="C551" s="7" t="n">
        <v>50</v>
      </c>
      <c r="D551" s="7" t="s">
        <v>3853</v>
      </c>
      <c r="E551" s="7"/>
      <c r="G551" s="5" t="str">
        <f aca="false">IF(ISNUMBER(FIND("old rod:",A551)),"old rod:",A551)</f>
        <v>45, 50, LICKILICKY</v>
      </c>
      <c r="I551" s="5" t="s">
        <v>3716</v>
      </c>
    </row>
    <row r="552" customFormat="false" ht="12.75" hidden="false" customHeight="true" outlineLevel="0" collapsed="false">
      <c r="A552" s="5" t="s">
        <v>2536</v>
      </c>
      <c r="B552" s="7" t="s">
        <v>2536</v>
      </c>
      <c r="C552" s="7"/>
      <c r="D552" s="7"/>
      <c r="E552" s="7"/>
      <c r="G552" s="5" t="str">
        <f aca="false">IF(ISNUMBER(FIND("old rod:",A552)),"old rod:",A552)</f>
        <v>NEW ROUTE</v>
      </c>
      <c r="I552" s="5" t="s">
        <v>2536</v>
      </c>
    </row>
    <row r="553" customFormat="false" ht="12.75" hidden="false" customHeight="true" outlineLevel="0" collapsed="false">
      <c r="A553" s="5" t="s">
        <v>181</v>
      </c>
      <c r="B553" s="7" t="s">
        <v>181</v>
      </c>
      <c r="C553" s="7"/>
      <c r="D553" s="7"/>
      <c r="E553" s="7"/>
      <c r="G553" s="5" t="str">
        <f aca="false">IF(ISNUMBER(FIND("old rod:",A553)),"old rod:",A553)</f>
        <v>Seafoam Islands B1F</v>
      </c>
      <c r="I553" s="5" t="s">
        <v>181</v>
      </c>
    </row>
    <row r="554" customFormat="false" ht="12.75" hidden="false" customHeight="true" outlineLevel="0" collapsed="false">
      <c r="A554" s="5" t="n">
        <v>0.2</v>
      </c>
      <c r="B554" s="5" t="n">
        <v>0.2</v>
      </c>
      <c r="C554" s="7"/>
      <c r="D554" s="7"/>
      <c r="E554" s="7"/>
      <c r="G554" s="5" t="n">
        <f aca="false">IF(ISNUMBER(FIND("old rod:",A554)),"old rod:",A554)</f>
        <v>0.2</v>
      </c>
      <c r="I554" s="5" t="n">
        <v>0.2</v>
      </c>
    </row>
    <row r="555" customFormat="false" ht="12.75" hidden="false" customHeight="true" outlineLevel="0" collapsed="false">
      <c r="A555" s="5" t="s">
        <v>1430</v>
      </c>
      <c r="B555" s="7" t="n">
        <v>40</v>
      </c>
      <c r="C555" s="7" t="n">
        <v>44</v>
      </c>
      <c r="D555" s="7" t="s">
        <v>3745</v>
      </c>
      <c r="E555" s="7"/>
      <c r="G555" s="5" t="str">
        <f aca="false">IF(ISNUMBER(FIND("old rod:",A555)),"old rod:",A555)</f>
        <v>40, 44, GOLBAT</v>
      </c>
      <c r="I555" s="5" t="s">
        <v>1430</v>
      </c>
    </row>
    <row r="556" customFormat="false" ht="12.75" hidden="false" customHeight="true" outlineLevel="0" collapsed="false">
      <c r="A556" s="5" t="s">
        <v>3005</v>
      </c>
      <c r="B556" s="7" t="n">
        <v>40</v>
      </c>
      <c r="C556" s="7" t="n">
        <v>44</v>
      </c>
      <c r="D556" s="7" t="s">
        <v>3801</v>
      </c>
      <c r="E556" s="7"/>
      <c r="G556" s="5" t="str">
        <f aca="false">IF(ISNUMBER(FIND("old rod:",A556)),"old rod:",A556)</f>
        <v>40, 44, GOLDUCK</v>
      </c>
      <c r="I556" s="5" t="s">
        <v>3005</v>
      </c>
    </row>
    <row r="557" customFormat="false" ht="12.75" hidden="false" customHeight="true" outlineLevel="0" collapsed="false">
      <c r="A557" s="5" t="n">
        <v>0.1</v>
      </c>
      <c r="B557" s="5" t="n">
        <v>0.1</v>
      </c>
      <c r="C557" s="7"/>
      <c r="D557" s="7"/>
      <c r="E557" s="7"/>
      <c r="G557" s="5" t="n">
        <f aca="false">IF(ISNUMBER(FIND("old rod:",A557)),"old rod:",A557)</f>
        <v>0.1</v>
      </c>
      <c r="I557" s="5" t="n">
        <v>0.1</v>
      </c>
    </row>
    <row r="558" customFormat="false" ht="12.75" hidden="false" customHeight="true" outlineLevel="0" collapsed="false">
      <c r="A558" s="5" t="s">
        <v>3006</v>
      </c>
      <c r="B558" s="7" t="n">
        <v>40</v>
      </c>
      <c r="C558" s="7" t="n">
        <v>44</v>
      </c>
      <c r="D558" s="7" t="s">
        <v>3800</v>
      </c>
      <c r="E558" s="7"/>
      <c r="G558" s="5" t="str">
        <f aca="false">IF(ISNUMBER(FIND("old rod:",A558)),"old rod:",A558)</f>
        <v>40, 44, SLOWBRO</v>
      </c>
      <c r="I558" s="5" t="s">
        <v>3006</v>
      </c>
    </row>
    <row r="559" customFormat="false" ht="12.75" hidden="false" customHeight="true" outlineLevel="0" collapsed="false">
      <c r="A559" s="5" t="s">
        <v>3007</v>
      </c>
      <c r="B559" s="7" t="n">
        <v>40</v>
      </c>
      <c r="C559" s="7" t="n">
        <v>44</v>
      </c>
      <c r="D559" s="7" t="s">
        <v>3760</v>
      </c>
      <c r="E559" s="7"/>
      <c r="G559" s="5" t="str">
        <f aca="false">IF(ISNUMBER(FIND("old rod:",A559)),"old rod:",A559)</f>
        <v>40, 44, CROBAT</v>
      </c>
      <c r="I559" s="5" t="s">
        <v>3007</v>
      </c>
    </row>
    <row r="560" customFormat="false" ht="12.75" hidden="false" customHeight="true" outlineLevel="0" collapsed="false">
      <c r="A560" s="5" t="s">
        <v>3008</v>
      </c>
      <c r="B560" s="7" t="n">
        <v>40</v>
      </c>
      <c r="C560" s="7" t="n">
        <v>44</v>
      </c>
      <c r="D560" s="7" t="s">
        <v>3852</v>
      </c>
      <c r="E560" s="7"/>
      <c r="G560" s="5" t="str">
        <f aca="false">IF(ISNUMBER(FIND("old rod:",A560)),"old rod:",A560)</f>
        <v>40, 44, DEWGONG</v>
      </c>
      <c r="I560" s="5" t="s">
        <v>3008</v>
      </c>
    </row>
    <row r="561" customFormat="false" ht="12.75" hidden="false" customHeight="true" outlineLevel="0" collapsed="false">
      <c r="A561" s="5" t="s">
        <v>3009</v>
      </c>
      <c r="B561" s="7" t="n">
        <v>40</v>
      </c>
      <c r="C561" s="7" t="n">
        <v>44</v>
      </c>
      <c r="D561" s="7" t="s">
        <v>3853</v>
      </c>
      <c r="E561" s="7"/>
      <c r="G561" s="5" t="str">
        <f aca="false">IF(ISNUMBER(FIND("old rod:",A561)),"old rod:",A561)</f>
        <v>40, 44, LICKILICKY</v>
      </c>
      <c r="I561" s="5" t="s">
        <v>3009</v>
      </c>
    </row>
    <row r="562" customFormat="false" ht="12.75" hidden="false" customHeight="true" outlineLevel="0" collapsed="false">
      <c r="A562" s="5" t="n">
        <v>0.05</v>
      </c>
      <c r="B562" s="5" t="n">
        <v>0.05</v>
      </c>
      <c r="C562" s="7"/>
      <c r="D562" s="7"/>
      <c r="E562" s="7"/>
      <c r="G562" s="5" t="n">
        <f aca="false">IF(ISNUMBER(FIND("old rod:",A562)),"old rod:",A562)</f>
        <v>0.05</v>
      </c>
      <c r="I562" s="5" t="n">
        <v>0.05</v>
      </c>
    </row>
    <row r="563" customFormat="false" ht="12.75" hidden="false" customHeight="true" outlineLevel="0" collapsed="false">
      <c r="A563" s="5" t="s">
        <v>3010</v>
      </c>
      <c r="B563" s="7" t="n">
        <v>42</v>
      </c>
      <c r="C563" s="7" t="n">
        <v>46</v>
      </c>
      <c r="D563" s="7" t="s">
        <v>3764</v>
      </c>
      <c r="E563" s="7"/>
      <c r="G563" s="5" t="str">
        <f aca="false">IF(ISNUMBER(FIND("old rod:",A563)),"old rod:",A563)</f>
        <v>42, 46, POLABAT</v>
      </c>
      <c r="I563" s="5" t="s">
        <v>3010</v>
      </c>
    </row>
    <row r="564" customFormat="false" ht="12.75" hidden="false" customHeight="true" outlineLevel="0" collapsed="false">
      <c r="A564" s="5" t="s">
        <v>3011</v>
      </c>
      <c r="B564" s="7" t="n">
        <v>42</v>
      </c>
      <c r="C564" s="7" t="n">
        <v>46</v>
      </c>
      <c r="D564" s="7" t="s">
        <v>3854</v>
      </c>
      <c r="E564" s="7"/>
      <c r="G564" s="5" t="str">
        <f aca="false">IF(ISNUMBER(FIND("old rod:",A564)),"old rod:",A564)</f>
        <v>42, 46, GILDUCK</v>
      </c>
      <c r="I564" s="5" t="s">
        <v>3011</v>
      </c>
    </row>
    <row r="565" customFormat="false" ht="12.75" hidden="false" customHeight="true" outlineLevel="0" collapsed="false">
      <c r="A565" s="5" t="n">
        <v>0.04</v>
      </c>
      <c r="B565" s="5" t="n">
        <v>0.04</v>
      </c>
      <c r="C565" s="7"/>
      <c r="D565" s="7"/>
      <c r="E565" s="7"/>
      <c r="G565" s="5" t="n">
        <f aca="false">IF(ISNUMBER(FIND("old rod:",A565)),"old rod:",A565)</f>
        <v>0.04</v>
      </c>
      <c r="I565" s="5" t="n">
        <v>0.04</v>
      </c>
    </row>
    <row r="566" customFormat="false" ht="12.75" hidden="false" customHeight="true" outlineLevel="0" collapsed="false">
      <c r="A566" s="5" t="s">
        <v>3012</v>
      </c>
      <c r="B566" s="7" t="n">
        <v>44</v>
      </c>
      <c r="C566" s="7" t="n">
        <v>47</v>
      </c>
      <c r="D566" s="7" t="s">
        <v>3855</v>
      </c>
      <c r="E566" s="7"/>
      <c r="G566" s="5" t="str">
        <f aca="false">IF(ISNUMBER(FIND("old rod:",A566)),"old rod:",A566)</f>
        <v>44, 47, SLOWMATE</v>
      </c>
      <c r="I566" s="5" t="s">
        <v>3012</v>
      </c>
    </row>
    <row r="567" customFormat="false" ht="12.75" hidden="false" customHeight="true" outlineLevel="0" collapsed="false">
      <c r="A567" s="5" t="s">
        <v>3013</v>
      </c>
      <c r="B567" s="7" t="n">
        <v>44</v>
      </c>
      <c r="C567" s="7" t="n">
        <v>47</v>
      </c>
      <c r="D567" s="7" t="s">
        <v>3856</v>
      </c>
      <c r="E567" s="7"/>
      <c r="G567" s="5" t="str">
        <f aca="false">IF(ISNUMBER(FIND("old rod:",A567)),"old rod:",A567)</f>
        <v>44, 47, PRECIPED</v>
      </c>
      <c r="I567" s="5" t="s">
        <v>3013</v>
      </c>
    </row>
    <row r="568" customFormat="false" ht="12.75" hidden="false" customHeight="true" outlineLevel="0" collapsed="false">
      <c r="A568" s="5" t="n">
        <v>0.01</v>
      </c>
      <c r="B568" s="5" t="n">
        <v>0.01</v>
      </c>
      <c r="C568" s="7"/>
      <c r="D568" s="7"/>
      <c r="E568" s="7"/>
      <c r="G568" s="5" t="n">
        <f aca="false">IF(ISNUMBER(FIND("old rod:",A568)),"old rod:",A568)</f>
        <v>0.01</v>
      </c>
      <c r="I568" s="5" t="n">
        <v>0.01</v>
      </c>
    </row>
    <row r="569" customFormat="false" ht="12.75" hidden="false" customHeight="true" outlineLevel="0" collapsed="false">
      <c r="A569" s="5" t="s">
        <v>3014</v>
      </c>
      <c r="B569" s="7" t="n">
        <v>45</v>
      </c>
      <c r="C569" s="7" t="n">
        <v>50</v>
      </c>
      <c r="D569" s="7" t="s">
        <v>3809</v>
      </c>
      <c r="E569" s="7"/>
      <c r="G569" s="5" t="str">
        <f aca="false">IF(ISNUMBER(FIND("old rod:",A569)),"old rod:",A569)</f>
        <v>45, 50, DRAGONITE</v>
      </c>
      <c r="I569" s="5" t="s">
        <v>3014</v>
      </c>
    </row>
    <row r="570" customFormat="false" ht="12.75" hidden="false" customHeight="true" outlineLevel="0" collapsed="false">
      <c r="A570" s="5" t="s">
        <v>3020</v>
      </c>
      <c r="B570" s="7" t="n">
        <v>45</v>
      </c>
      <c r="C570" s="7" t="n">
        <v>50</v>
      </c>
      <c r="D570" s="7" t="s">
        <v>3857</v>
      </c>
      <c r="E570" s="7"/>
      <c r="G570" s="5" t="str">
        <f aca="false">IF(ISNUMBER(FIND("old rod:",A570)),"old rod:",A570)</f>
        <v>45, 50, LICKILOLLY</v>
      </c>
      <c r="I570" s="5" t="s">
        <v>3020</v>
      </c>
    </row>
    <row r="571" customFormat="false" ht="12.75" hidden="false" customHeight="true" outlineLevel="0" collapsed="false">
      <c r="A571" s="5" t="s">
        <v>2536</v>
      </c>
      <c r="B571" s="7" t="s">
        <v>2536</v>
      </c>
      <c r="C571" s="7"/>
      <c r="D571" s="7"/>
      <c r="E571" s="7"/>
      <c r="G571" s="5" t="str">
        <f aca="false">IF(ISNUMBER(FIND("old rod:",A571)),"old rod:",A571)</f>
        <v>NEW ROUTE</v>
      </c>
      <c r="I571" s="5" t="s">
        <v>2536</v>
      </c>
    </row>
    <row r="572" customFormat="false" ht="12.75" hidden="false" customHeight="true" outlineLevel="0" collapsed="false">
      <c r="A572" s="5" t="s">
        <v>183</v>
      </c>
      <c r="B572" s="7" t="s">
        <v>183</v>
      </c>
      <c r="C572" s="7"/>
      <c r="D572" s="7"/>
      <c r="E572" s="7"/>
      <c r="G572" s="5" t="str">
        <f aca="false">IF(ISNUMBER(FIND("old rod:",A572)),"old rod:",A572)</f>
        <v>Seafoam Islands B2F</v>
      </c>
      <c r="I572" s="5" t="s">
        <v>183</v>
      </c>
    </row>
    <row r="573" customFormat="false" ht="12.75" hidden="false" customHeight="true" outlineLevel="0" collapsed="false">
      <c r="A573" s="5" t="n">
        <v>0.2</v>
      </c>
      <c r="B573" s="5" t="n">
        <v>0.2</v>
      </c>
      <c r="C573" s="7"/>
      <c r="D573" s="7"/>
      <c r="E573" s="7"/>
      <c r="G573" s="5" t="n">
        <f aca="false">IF(ISNUMBER(FIND("old rod:",A573)),"old rod:",A573)</f>
        <v>0.2</v>
      </c>
      <c r="I573" s="5" t="n">
        <v>0.2</v>
      </c>
    </row>
    <row r="574" customFormat="false" ht="12.75" hidden="false" customHeight="true" outlineLevel="0" collapsed="false">
      <c r="A574" s="5" t="s">
        <v>1430</v>
      </c>
      <c r="B574" s="7" t="n">
        <v>40</v>
      </c>
      <c r="C574" s="7" t="n">
        <v>44</v>
      </c>
      <c r="D574" s="7" t="s">
        <v>3745</v>
      </c>
      <c r="E574" s="7"/>
      <c r="G574" s="5" t="str">
        <f aca="false">IF(ISNUMBER(FIND("old rod:",A574)),"old rod:",A574)</f>
        <v>40, 44, GOLBAT</v>
      </c>
      <c r="I574" s="5" t="s">
        <v>1430</v>
      </c>
    </row>
    <row r="575" customFormat="false" ht="12.75" hidden="false" customHeight="true" outlineLevel="0" collapsed="false">
      <c r="A575" s="5" t="s">
        <v>3005</v>
      </c>
      <c r="B575" s="7" t="n">
        <v>40</v>
      </c>
      <c r="C575" s="7" t="n">
        <v>44</v>
      </c>
      <c r="D575" s="7" t="s">
        <v>3801</v>
      </c>
      <c r="E575" s="7"/>
      <c r="G575" s="5" t="str">
        <f aca="false">IF(ISNUMBER(FIND("old rod:",A575)),"old rod:",A575)</f>
        <v>40, 44, GOLDUCK</v>
      </c>
      <c r="I575" s="5" t="s">
        <v>3005</v>
      </c>
    </row>
    <row r="576" customFormat="false" ht="12.75" hidden="false" customHeight="true" outlineLevel="0" collapsed="false">
      <c r="A576" s="5" t="n">
        <v>0.1</v>
      </c>
      <c r="B576" s="5" t="n">
        <v>0.1</v>
      </c>
      <c r="C576" s="7"/>
      <c r="D576" s="7"/>
      <c r="E576" s="7"/>
      <c r="G576" s="5" t="n">
        <f aca="false">IF(ISNUMBER(FIND("old rod:",A576)),"old rod:",A576)</f>
        <v>0.1</v>
      </c>
      <c r="I576" s="5" t="n">
        <v>0.1</v>
      </c>
    </row>
    <row r="577" customFormat="false" ht="12.75" hidden="false" customHeight="true" outlineLevel="0" collapsed="false">
      <c r="A577" s="5" t="s">
        <v>3006</v>
      </c>
      <c r="B577" s="7" t="n">
        <v>40</v>
      </c>
      <c r="C577" s="7" t="n">
        <v>44</v>
      </c>
      <c r="D577" s="7" t="s">
        <v>3800</v>
      </c>
      <c r="E577" s="7"/>
      <c r="G577" s="5" t="str">
        <f aca="false">IF(ISNUMBER(FIND("old rod:",A577)),"old rod:",A577)</f>
        <v>40, 44, SLOWBRO</v>
      </c>
      <c r="I577" s="5" t="s">
        <v>3006</v>
      </c>
    </row>
    <row r="578" customFormat="false" ht="12.75" hidden="false" customHeight="true" outlineLevel="0" collapsed="false">
      <c r="A578" s="5" t="s">
        <v>3007</v>
      </c>
      <c r="B578" s="7" t="n">
        <v>40</v>
      </c>
      <c r="C578" s="7" t="n">
        <v>44</v>
      </c>
      <c r="D578" s="7" t="s">
        <v>3760</v>
      </c>
      <c r="E578" s="7"/>
      <c r="G578" s="5" t="str">
        <f aca="false">IF(ISNUMBER(FIND("old rod:",A578)),"old rod:",A578)</f>
        <v>40, 44, CROBAT</v>
      </c>
      <c r="I578" s="5" t="s">
        <v>3007</v>
      </c>
    </row>
    <row r="579" customFormat="false" ht="12.75" hidden="false" customHeight="true" outlineLevel="0" collapsed="false">
      <c r="A579" s="5" t="s">
        <v>3008</v>
      </c>
      <c r="B579" s="7" t="n">
        <v>40</v>
      </c>
      <c r="C579" s="7" t="n">
        <v>44</v>
      </c>
      <c r="D579" s="7" t="s">
        <v>3852</v>
      </c>
      <c r="E579" s="7"/>
      <c r="G579" s="5" t="str">
        <f aca="false">IF(ISNUMBER(FIND("old rod:",A579)),"old rod:",A579)</f>
        <v>40, 44, DEWGONG</v>
      </c>
      <c r="I579" s="5" t="s">
        <v>3008</v>
      </c>
    </row>
    <row r="580" customFormat="false" ht="12.75" hidden="false" customHeight="true" outlineLevel="0" collapsed="false">
      <c r="A580" s="5" t="s">
        <v>3009</v>
      </c>
      <c r="B580" s="7" t="n">
        <v>40</v>
      </c>
      <c r="C580" s="7" t="n">
        <v>44</v>
      </c>
      <c r="D580" s="7" t="s">
        <v>3853</v>
      </c>
      <c r="E580" s="7"/>
      <c r="G580" s="5" t="str">
        <f aca="false">IF(ISNUMBER(FIND("old rod:",A580)),"old rod:",A580)</f>
        <v>40, 44, LICKILICKY</v>
      </c>
      <c r="I580" s="5" t="s">
        <v>3009</v>
      </c>
    </row>
    <row r="581" customFormat="false" ht="12.75" hidden="false" customHeight="true" outlineLevel="0" collapsed="false">
      <c r="A581" s="5" t="n">
        <v>0.05</v>
      </c>
      <c r="B581" s="5" t="n">
        <v>0.05</v>
      </c>
      <c r="C581" s="7"/>
      <c r="D581" s="7"/>
      <c r="E581" s="7"/>
      <c r="G581" s="5" t="n">
        <f aca="false">IF(ISNUMBER(FIND("old rod:",A581)),"old rod:",A581)</f>
        <v>0.05</v>
      </c>
      <c r="I581" s="5" t="n">
        <v>0.05</v>
      </c>
    </row>
    <row r="582" customFormat="false" ht="12.75" hidden="false" customHeight="true" outlineLevel="0" collapsed="false">
      <c r="A582" s="5" t="s">
        <v>3010</v>
      </c>
      <c r="B582" s="7" t="n">
        <v>42</v>
      </c>
      <c r="C582" s="7" t="n">
        <v>46</v>
      </c>
      <c r="D582" s="7" t="s">
        <v>3764</v>
      </c>
      <c r="E582" s="7"/>
      <c r="G582" s="5" t="str">
        <f aca="false">IF(ISNUMBER(FIND("old rod:",A582)),"old rod:",A582)</f>
        <v>42, 46, POLABAT</v>
      </c>
      <c r="I582" s="5" t="s">
        <v>3010</v>
      </c>
    </row>
    <row r="583" customFormat="false" ht="12.75" hidden="false" customHeight="true" outlineLevel="0" collapsed="false">
      <c r="A583" s="5" t="s">
        <v>3011</v>
      </c>
      <c r="B583" s="7" t="n">
        <v>42</v>
      </c>
      <c r="C583" s="7" t="n">
        <v>46</v>
      </c>
      <c r="D583" s="7" t="s">
        <v>3854</v>
      </c>
      <c r="E583" s="7"/>
      <c r="G583" s="5" t="str">
        <f aca="false">IF(ISNUMBER(FIND("old rod:",A583)),"old rod:",A583)</f>
        <v>42, 46, GILDUCK</v>
      </c>
      <c r="I583" s="5" t="s">
        <v>3011</v>
      </c>
    </row>
    <row r="584" customFormat="false" ht="12.75" hidden="false" customHeight="true" outlineLevel="0" collapsed="false">
      <c r="A584" s="5" t="n">
        <v>0.04</v>
      </c>
      <c r="B584" s="5" t="n">
        <v>0.04</v>
      </c>
      <c r="C584" s="7"/>
      <c r="D584" s="7"/>
      <c r="E584" s="7"/>
      <c r="G584" s="5" t="n">
        <f aca="false">IF(ISNUMBER(FIND("old rod:",A584)),"old rod:",A584)</f>
        <v>0.04</v>
      </c>
      <c r="I584" s="5" t="n">
        <v>0.04</v>
      </c>
    </row>
    <row r="585" customFormat="false" ht="12.75" hidden="false" customHeight="true" outlineLevel="0" collapsed="false">
      <c r="A585" s="5" t="s">
        <v>3012</v>
      </c>
      <c r="B585" s="7" t="n">
        <v>44</v>
      </c>
      <c r="C585" s="7" t="n">
        <v>47</v>
      </c>
      <c r="D585" s="7" t="s">
        <v>3855</v>
      </c>
      <c r="E585" s="7"/>
      <c r="G585" s="5" t="str">
        <f aca="false">IF(ISNUMBER(FIND("old rod:",A585)),"old rod:",A585)</f>
        <v>44, 47, SLOWMATE</v>
      </c>
      <c r="I585" s="5" t="s">
        <v>3012</v>
      </c>
    </row>
    <row r="586" customFormat="false" ht="12.75" hidden="false" customHeight="true" outlineLevel="0" collapsed="false">
      <c r="A586" s="5" t="s">
        <v>3013</v>
      </c>
      <c r="B586" s="7" t="n">
        <v>44</v>
      </c>
      <c r="C586" s="7" t="n">
        <v>47</v>
      </c>
      <c r="D586" s="7" t="s">
        <v>3856</v>
      </c>
      <c r="E586" s="7"/>
      <c r="G586" s="5" t="str">
        <f aca="false">IF(ISNUMBER(FIND("old rod:",A586)),"old rod:",A586)</f>
        <v>44, 47, PRECIPED</v>
      </c>
      <c r="I586" s="5" t="s">
        <v>3013</v>
      </c>
    </row>
    <row r="587" customFormat="false" ht="12.75" hidden="false" customHeight="true" outlineLevel="0" collapsed="false">
      <c r="A587" s="5" t="n">
        <v>0.01</v>
      </c>
      <c r="B587" s="5" t="n">
        <v>0.01</v>
      </c>
      <c r="C587" s="7"/>
      <c r="D587" s="7"/>
      <c r="E587" s="7"/>
      <c r="G587" s="5" t="n">
        <f aca="false">IF(ISNUMBER(FIND("old rod:",A587)),"old rod:",A587)</f>
        <v>0.01</v>
      </c>
      <c r="I587" s="5" t="n">
        <v>0.01</v>
      </c>
    </row>
    <row r="588" customFormat="false" ht="12.75" hidden="false" customHeight="true" outlineLevel="0" collapsed="false">
      <c r="A588" s="5" t="s">
        <v>3014</v>
      </c>
      <c r="B588" s="7" t="n">
        <v>45</v>
      </c>
      <c r="C588" s="7" t="n">
        <v>50</v>
      </c>
      <c r="D588" s="7" t="s">
        <v>3809</v>
      </c>
      <c r="E588" s="7"/>
      <c r="G588" s="5" t="str">
        <f aca="false">IF(ISNUMBER(FIND("old rod:",A588)),"old rod:",A588)</f>
        <v>45, 50, DRAGONITE</v>
      </c>
      <c r="I588" s="5" t="s">
        <v>3014</v>
      </c>
    </row>
    <row r="589" customFormat="false" ht="12.75" hidden="false" customHeight="true" outlineLevel="0" collapsed="false">
      <c r="A589" s="5" t="s">
        <v>3020</v>
      </c>
      <c r="B589" s="7" t="n">
        <v>45</v>
      </c>
      <c r="C589" s="7" t="n">
        <v>50</v>
      </c>
      <c r="D589" s="7" t="s">
        <v>3857</v>
      </c>
      <c r="E589" s="7"/>
      <c r="G589" s="5" t="str">
        <f aca="false">IF(ISNUMBER(FIND("old rod:",A589)),"old rod:",A589)</f>
        <v>45, 50, LICKILOLLY</v>
      </c>
      <c r="I589" s="5" t="s">
        <v>3020</v>
      </c>
    </row>
    <row r="590" customFormat="false" ht="12.75" hidden="false" customHeight="true" outlineLevel="0" collapsed="false">
      <c r="A590" s="5" t="s">
        <v>2536</v>
      </c>
      <c r="B590" s="7" t="s">
        <v>2536</v>
      </c>
      <c r="C590" s="7"/>
      <c r="D590" s="7"/>
      <c r="E590" s="7"/>
      <c r="G590" s="5" t="str">
        <f aca="false">IF(ISNUMBER(FIND("old rod:",A590)),"old rod:",A590)</f>
        <v>NEW ROUTE</v>
      </c>
      <c r="I590" s="5" t="s">
        <v>2536</v>
      </c>
    </row>
    <row r="591" customFormat="false" ht="12.75" hidden="false" customHeight="true" outlineLevel="0" collapsed="false">
      <c r="A591" s="5" t="s">
        <v>185</v>
      </c>
      <c r="B591" s="7" t="s">
        <v>185</v>
      </c>
      <c r="C591" s="7"/>
      <c r="D591" s="7"/>
      <c r="E591" s="7"/>
      <c r="G591" s="5" t="str">
        <f aca="false">IF(ISNUMBER(FIND("old rod:",A591)),"old rod:",A591)</f>
        <v>Seafoam Islands B3F</v>
      </c>
      <c r="I591" s="5" t="s">
        <v>185</v>
      </c>
    </row>
    <row r="592" customFormat="false" ht="12.75" hidden="false" customHeight="true" outlineLevel="0" collapsed="false">
      <c r="A592" s="5" t="n">
        <v>0.2</v>
      </c>
      <c r="B592" s="5" t="n">
        <v>0.2</v>
      </c>
      <c r="C592" s="7"/>
      <c r="D592" s="7"/>
      <c r="E592" s="7"/>
      <c r="G592" s="5" t="n">
        <f aca="false">IF(ISNUMBER(FIND("old rod:",A592)),"old rod:",A592)</f>
        <v>0.2</v>
      </c>
      <c r="I592" s="5" t="n">
        <v>0.2</v>
      </c>
    </row>
    <row r="593" customFormat="false" ht="12.75" hidden="false" customHeight="true" outlineLevel="0" collapsed="false">
      <c r="A593" s="5" t="s">
        <v>1430</v>
      </c>
      <c r="B593" s="7" t="n">
        <v>40</v>
      </c>
      <c r="C593" s="7" t="n">
        <v>44</v>
      </c>
      <c r="D593" s="7" t="s">
        <v>3745</v>
      </c>
      <c r="E593" s="7"/>
      <c r="G593" s="5" t="str">
        <f aca="false">IF(ISNUMBER(FIND("old rod:",A593)),"old rod:",A593)</f>
        <v>40, 44, GOLBAT</v>
      </c>
      <c r="I593" s="5" t="s">
        <v>1430</v>
      </c>
    </row>
    <row r="594" customFormat="false" ht="12.75" hidden="false" customHeight="true" outlineLevel="0" collapsed="false">
      <c r="A594" s="5" t="s">
        <v>3005</v>
      </c>
      <c r="B594" s="7" t="n">
        <v>40</v>
      </c>
      <c r="C594" s="7" t="n">
        <v>44</v>
      </c>
      <c r="D594" s="7" t="s">
        <v>3801</v>
      </c>
      <c r="E594" s="7"/>
      <c r="G594" s="5" t="str">
        <f aca="false">IF(ISNUMBER(FIND("old rod:",A594)),"old rod:",A594)</f>
        <v>40, 44, GOLDUCK</v>
      </c>
      <c r="I594" s="5" t="s">
        <v>3005</v>
      </c>
    </row>
    <row r="595" customFormat="false" ht="12.75" hidden="false" customHeight="true" outlineLevel="0" collapsed="false">
      <c r="A595" s="5" t="n">
        <v>0.1</v>
      </c>
      <c r="B595" s="5" t="n">
        <v>0.1</v>
      </c>
      <c r="C595" s="7"/>
      <c r="D595" s="7"/>
      <c r="E595" s="7"/>
      <c r="G595" s="5" t="n">
        <f aca="false">IF(ISNUMBER(FIND("old rod:",A595)),"old rod:",A595)</f>
        <v>0.1</v>
      </c>
      <c r="I595" s="5" t="n">
        <v>0.1</v>
      </c>
    </row>
    <row r="596" customFormat="false" ht="12.75" hidden="false" customHeight="true" outlineLevel="0" collapsed="false">
      <c r="A596" s="5" t="s">
        <v>3006</v>
      </c>
      <c r="B596" s="7" t="n">
        <v>40</v>
      </c>
      <c r="C596" s="7" t="n">
        <v>44</v>
      </c>
      <c r="D596" s="7" t="s">
        <v>3800</v>
      </c>
      <c r="E596" s="7"/>
      <c r="G596" s="5" t="str">
        <f aca="false">IF(ISNUMBER(FIND("old rod:",A596)),"old rod:",A596)</f>
        <v>40, 44, SLOWBRO</v>
      </c>
      <c r="I596" s="5" t="s">
        <v>3006</v>
      </c>
    </row>
    <row r="597" customFormat="false" ht="12.75" hidden="false" customHeight="true" outlineLevel="0" collapsed="false">
      <c r="A597" s="5" t="s">
        <v>3007</v>
      </c>
      <c r="B597" s="7" t="n">
        <v>40</v>
      </c>
      <c r="C597" s="7" t="n">
        <v>44</v>
      </c>
      <c r="D597" s="7" t="s">
        <v>3760</v>
      </c>
      <c r="E597" s="7"/>
      <c r="G597" s="5" t="str">
        <f aca="false">IF(ISNUMBER(FIND("old rod:",A597)),"old rod:",A597)</f>
        <v>40, 44, CROBAT</v>
      </c>
      <c r="I597" s="5" t="s">
        <v>3007</v>
      </c>
    </row>
    <row r="598" customFormat="false" ht="12.75" hidden="false" customHeight="true" outlineLevel="0" collapsed="false">
      <c r="A598" s="5" t="s">
        <v>3008</v>
      </c>
      <c r="B598" s="7" t="n">
        <v>40</v>
      </c>
      <c r="C598" s="7" t="n">
        <v>44</v>
      </c>
      <c r="D598" s="7" t="s">
        <v>3852</v>
      </c>
      <c r="E598" s="7"/>
      <c r="G598" s="5" t="str">
        <f aca="false">IF(ISNUMBER(FIND("old rod:",A598)),"old rod:",A598)</f>
        <v>40, 44, DEWGONG</v>
      </c>
      <c r="I598" s="5" t="s">
        <v>3008</v>
      </c>
    </row>
    <row r="599" customFormat="false" ht="12.75" hidden="false" customHeight="true" outlineLevel="0" collapsed="false">
      <c r="A599" s="5" t="s">
        <v>3009</v>
      </c>
      <c r="B599" s="7" t="n">
        <v>40</v>
      </c>
      <c r="C599" s="7" t="n">
        <v>44</v>
      </c>
      <c r="D599" s="7" t="s">
        <v>3853</v>
      </c>
      <c r="E599" s="7"/>
      <c r="G599" s="5" t="str">
        <f aca="false">IF(ISNUMBER(FIND("old rod:",A599)),"old rod:",A599)</f>
        <v>40, 44, LICKILICKY</v>
      </c>
      <c r="I599" s="5" t="s">
        <v>3009</v>
      </c>
    </row>
    <row r="600" customFormat="false" ht="12.75" hidden="false" customHeight="true" outlineLevel="0" collapsed="false">
      <c r="A600" s="5" t="n">
        <v>0.05</v>
      </c>
      <c r="B600" s="5" t="n">
        <v>0.05</v>
      </c>
      <c r="C600" s="7"/>
      <c r="D600" s="7"/>
      <c r="E600" s="7"/>
      <c r="G600" s="5" t="n">
        <f aca="false">IF(ISNUMBER(FIND("old rod:",A600)),"old rod:",A600)</f>
        <v>0.05</v>
      </c>
      <c r="I600" s="5" t="n">
        <v>0.05</v>
      </c>
    </row>
    <row r="601" customFormat="false" ht="12.75" hidden="false" customHeight="true" outlineLevel="0" collapsed="false">
      <c r="A601" s="5" t="s">
        <v>3010</v>
      </c>
      <c r="B601" s="7" t="n">
        <v>42</v>
      </c>
      <c r="C601" s="7" t="n">
        <v>46</v>
      </c>
      <c r="D601" s="7" t="s">
        <v>3764</v>
      </c>
      <c r="E601" s="7"/>
      <c r="G601" s="5" t="str">
        <f aca="false">IF(ISNUMBER(FIND("old rod:",A601)),"old rod:",A601)</f>
        <v>42, 46, POLABAT</v>
      </c>
      <c r="I601" s="5" t="s">
        <v>3010</v>
      </c>
    </row>
    <row r="602" customFormat="false" ht="12.75" hidden="false" customHeight="true" outlineLevel="0" collapsed="false">
      <c r="A602" s="5" t="s">
        <v>3011</v>
      </c>
      <c r="B602" s="7" t="n">
        <v>42</v>
      </c>
      <c r="C602" s="7" t="n">
        <v>46</v>
      </c>
      <c r="D602" s="7" t="s">
        <v>3854</v>
      </c>
      <c r="E602" s="7"/>
      <c r="G602" s="5" t="str">
        <f aca="false">IF(ISNUMBER(FIND("old rod:",A602)),"old rod:",A602)</f>
        <v>42, 46, GILDUCK</v>
      </c>
      <c r="I602" s="5" t="s">
        <v>3011</v>
      </c>
    </row>
    <row r="603" customFormat="false" ht="12.75" hidden="false" customHeight="true" outlineLevel="0" collapsed="false">
      <c r="A603" s="5" t="n">
        <v>0.04</v>
      </c>
      <c r="B603" s="5" t="n">
        <v>0.04</v>
      </c>
      <c r="C603" s="7"/>
      <c r="D603" s="7"/>
      <c r="E603" s="7"/>
      <c r="G603" s="5" t="n">
        <f aca="false">IF(ISNUMBER(FIND("old rod:",A603)),"old rod:",A603)</f>
        <v>0.04</v>
      </c>
      <c r="I603" s="5" t="n">
        <v>0.04</v>
      </c>
    </row>
    <row r="604" customFormat="false" ht="12.75" hidden="false" customHeight="true" outlineLevel="0" collapsed="false">
      <c r="A604" s="5" t="s">
        <v>3012</v>
      </c>
      <c r="B604" s="7" t="n">
        <v>44</v>
      </c>
      <c r="C604" s="7" t="n">
        <v>47</v>
      </c>
      <c r="D604" s="7" t="s">
        <v>3855</v>
      </c>
      <c r="E604" s="7"/>
      <c r="G604" s="5" t="str">
        <f aca="false">IF(ISNUMBER(FIND("old rod:",A604)),"old rod:",A604)</f>
        <v>44, 47, SLOWMATE</v>
      </c>
      <c r="I604" s="5" t="s">
        <v>3012</v>
      </c>
    </row>
    <row r="605" customFormat="false" ht="12.75" hidden="false" customHeight="true" outlineLevel="0" collapsed="false">
      <c r="A605" s="5" t="s">
        <v>3013</v>
      </c>
      <c r="B605" s="7" t="n">
        <v>44</v>
      </c>
      <c r="C605" s="7" t="n">
        <v>47</v>
      </c>
      <c r="D605" s="7" t="s">
        <v>3856</v>
      </c>
      <c r="E605" s="7"/>
      <c r="G605" s="5" t="str">
        <f aca="false">IF(ISNUMBER(FIND("old rod:",A605)),"old rod:",A605)</f>
        <v>44, 47, PRECIPED</v>
      </c>
      <c r="I605" s="5" t="s">
        <v>3013</v>
      </c>
    </row>
    <row r="606" customFormat="false" ht="12.75" hidden="false" customHeight="true" outlineLevel="0" collapsed="false">
      <c r="A606" s="5" t="n">
        <v>0.01</v>
      </c>
      <c r="B606" s="5" t="n">
        <v>0.01</v>
      </c>
      <c r="C606" s="7"/>
      <c r="D606" s="7"/>
      <c r="E606" s="7"/>
      <c r="G606" s="5" t="n">
        <f aca="false">IF(ISNUMBER(FIND("old rod:",A606)),"old rod:",A606)</f>
        <v>0.01</v>
      </c>
      <c r="I606" s="5" t="n">
        <v>0.01</v>
      </c>
    </row>
    <row r="607" customFormat="false" ht="12.75" hidden="false" customHeight="true" outlineLevel="0" collapsed="false">
      <c r="A607" s="5" t="s">
        <v>3014</v>
      </c>
      <c r="B607" s="7" t="n">
        <v>45</v>
      </c>
      <c r="C607" s="7" t="n">
        <v>50</v>
      </c>
      <c r="D607" s="7" t="s">
        <v>3809</v>
      </c>
      <c r="E607" s="7"/>
      <c r="G607" s="5" t="str">
        <f aca="false">IF(ISNUMBER(FIND("old rod:",A607)),"old rod:",A607)</f>
        <v>45, 50, DRAGONITE</v>
      </c>
      <c r="I607" s="5" t="s">
        <v>3014</v>
      </c>
    </row>
    <row r="608" customFormat="false" ht="12.75" hidden="false" customHeight="true" outlineLevel="0" collapsed="false">
      <c r="A608" s="5" t="s">
        <v>3020</v>
      </c>
      <c r="B608" s="7" t="n">
        <v>45</v>
      </c>
      <c r="C608" s="7" t="n">
        <v>50</v>
      </c>
      <c r="D608" s="7" t="s">
        <v>3857</v>
      </c>
      <c r="E608" s="7"/>
      <c r="G608" s="5" t="str">
        <f aca="false">IF(ISNUMBER(FIND("old rod:",A608)),"old rod:",A608)</f>
        <v>45, 50, LICKILOLLY</v>
      </c>
      <c r="I608" s="5" t="s">
        <v>3020</v>
      </c>
    </row>
    <row r="609" customFormat="false" ht="12.75" hidden="false" customHeight="true" outlineLevel="0" collapsed="false">
      <c r="A609" s="5" t="s">
        <v>3021</v>
      </c>
      <c r="B609" s="7" t="n">
        <v>2</v>
      </c>
      <c r="C609" s="7" t="n">
        <v>38</v>
      </c>
      <c r="D609" s="7" t="n">
        <v>44</v>
      </c>
      <c r="E609" s="7" t="s">
        <v>3852</v>
      </c>
      <c r="G609" s="5" t="str">
        <f aca="false">IF(ISNUMBER(FIND("old rod:",A609)),"old rod:",A609)</f>
        <v>2, 38, 44, DEWGONG</v>
      </c>
      <c r="I609" s="5" t="s">
        <v>3021</v>
      </c>
    </row>
    <row r="610" customFormat="false" ht="12.75" hidden="false" customHeight="true" outlineLevel="0" collapsed="false">
      <c r="A610" s="5" t="s">
        <v>3022</v>
      </c>
      <c r="B610" s="7" t="n">
        <v>40</v>
      </c>
      <c r="C610" s="7" t="n">
        <v>44</v>
      </c>
      <c r="D610" s="7" t="s">
        <v>3858</v>
      </c>
      <c r="E610" s="7"/>
      <c r="G610" s="5" t="str">
        <f aca="false">IF(ISNUMBER(FIND("old rod:",A610)),"old rod:",A610)</f>
        <v>40, 44, SEADRA</v>
      </c>
      <c r="I610" s="5" t="s">
        <v>3022</v>
      </c>
    </row>
    <row r="611" customFormat="false" ht="12.75" hidden="false" customHeight="true" outlineLevel="0" collapsed="false">
      <c r="A611" s="5" t="s">
        <v>3023</v>
      </c>
      <c r="B611" s="7" t="n">
        <v>42</v>
      </c>
      <c r="C611" s="7" t="n">
        <v>46</v>
      </c>
      <c r="D611" s="7" t="s">
        <v>3859</v>
      </c>
      <c r="E611" s="7"/>
      <c r="G611" s="5" t="str">
        <f aca="false">IF(ISNUMBER(FIND("old rod:",A611)),"old rod:",A611)</f>
        <v>42, 46, KINGLER</v>
      </c>
      <c r="I611" s="5" t="s">
        <v>3023</v>
      </c>
    </row>
    <row r="612" customFormat="false" ht="12.75" hidden="false" customHeight="true" outlineLevel="0" collapsed="false">
      <c r="A612" s="5" t="s">
        <v>3024</v>
      </c>
      <c r="B612" s="7" t="n">
        <v>42</v>
      </c>
      <c r="C612" s="7" t="n">
        <v>46</v>
      </c>
      <c r="D612" s="7" t="s">
        <v>3860</v>
      </c>
      <c r="E612" s="7"/>
      <c r="G612" s="5" t="str">
        <f aca="false">IF(ISNUMBER(FIND("old rod:",A612)),"old rod:",A612)</f>
        <v>42, 46, LAPRAS</v>
      </c>
      <c r="I612" s="5" t="s">
        <v>3024</v>
      </c>
    </row>
    <row r="613" customFormat="false" ht="12.75" hidden="false" customHeight="true" outlineLevel="0" collapsed="false">
      <c r="A613" s="5" t="s">
        <v>2922</v>
      </c>
      <c r="B613" s="7" t="n">
        <v>42</v>
      </c>
      <c r="C613" s="7" t="n">
        <v>46</v>
      </c>
      <c r="D613" s="7" t="s">
        <v>3800</v>
      </c>
      <c r="E613" s="7"/>
      <c r="G613" s="5" t="str">
        <f aca="false">IF(ISNUMBER(FIND("old rod:",A613)),"old rod:",A613)</f>
        <v>42, 46, SLOWBRO</v>
      </c>
      <c r="I613" s="5" t="s">
        <v>2922</v>
      </c>
    </row>
    <row r="614" customFormat="false" ht="12.75" hidden="false" customHeight="true" outlineLevel="0" collapsed="false">
      <c r="A614" s="5" t="s">
        <v>2925</v>
      </c>
      <c r="B614" s="7" t="n">
        <v>20</v>
      </c>
      <c r="C614" s="7" t="s">
        <v>3748</v>
      </c>
      <c r="D614" s="7"/>
      <c r="E614" s="7"/>
      <c r="G614" s="5" t="str">
        <f aca="false">IF(ISNUMBER(FIND("old rod:",A614)),"old rod:",A614)</f>
        <v>old rod:</v>
      </c>
      <c r="I614" s="5" t="s">
        <v>3749</v>
      </c>
    </row>
    <row r="615" customFormat="false" ht="12.75" hidden="false" customHeight="true" outlineLevel="0" collapsed="false">
      <c r="A615" s="5" t="s">
        <v>1451</v>
      </c>
      <c r="B615" s="7" t="n">
        <v>19</v>
      </c>
      <c r="C615" s="7" t="n">
        <v>26</v>
      </c>
      <c r="D615" s="7" t="s">
        <v>3752</v>
      </c>
      <c r="E615" s="7"/>
      <c r="G615" s="5" t="str">
        <f aca="false">IF(ISNUMBER(FIND("old rod:",A615)),"old rod:",A615)</f>
        <v>19, 26, HORSEA</v>
      </c>
      <c r="I615" s="5" t="s">
        <v>1451</v>
      </c>
    </row>
    <row r="616" customFormat="false" ht="12.75" hidden="false" customHeight="true" outlineLevel="0" collapsed="false">
      <c r="A616" s="5" t="s">
        <v>3025</v>
      </c>
      <c r="B616" s="7" t="n">
        <v>19</v>
      </c>
      <c r="C616" s="7" t="n">
        <v>26</v>
      </c>
      <c r="D616" s="7" t="s">
        <v>3861</v>
      </c>
      <c r="E616" s="7"/>
      <c r="G616" s="5" t="str">
        <f aca="false">IF(ISNUMBER(FIND("old rod:",A616)),"old rod:",A616)</f>
        <v>19, 26, SHELLDER</v>
      </c>
      <c r="I616" s="5" t="s">
        <v>3025</v>
      </c>
    </row>
    <row r="617" customFormat="false" ht="12.75" hidden="false" customHeight="true" outlineLevel="0" collapsed="false">
      <c r="A617" s="5" t="s">
        <v>2846</v>
      </c>
      <c r="B617" s="7" t="s">
        <v>2846</v>
      </c>
      <c r="C617" s="7"/>
      <c r="D617" s="7"/>
      <c r="E617" s="7"/>
      <c r="G617" s="5" t="str">
        <f aca="false">IF(ISNUMBER(FIND("old rod:",A617)),"old rod:",A617)</f>
        <v>good rod:</v>
      </c>
      <c r="I617" s="5" t="s">
        <v>2846</v>
      </c>
    </row>
    <row r="618" customFormat="false" ht="12.75" hidden="false" customHeight="true" outlineLevel="0" collapsed="false">
      <c r="A618" s="5" t="s">
        <v>3026</v>
      </c>
      <c r="B618" s="7" t="n">
        <v>29</v>
      </c>
      <c r="C618" s="7" t="n">
        <v>33</v>
      </c>
      <c r="D618" s="7" t="s">
        <v>3858</v>
      </c>
      <c r="E618" s="7"/>
      <c r="G618" s="5" t="str">
        <f aca="false">IF(ISNUMBER(FIND("old rod:",A618)),"old rod:",A618)</f>
        <v>29, 33, SEADRA</v>
      </c>
      <c r="I618" s="5" t="s">
        <v>3026</v>
      </c>
    </row>
    <row r="619" customFormat="false" ht="12.75" hidden="false" customHeight="true" outlineLevel="0" collapsed="false">
      <c r="A619" s="5" t="s">
        <v>3027</v>
      </c>
      <c r="B619" s="7" t="n">
        <v>30</v>
      </c>
      <c r="C619" s="7" t="n">
        <v>35</v>
      </c>
      <c r="D619" s="7" t="s">
        <v>3751</v>
      </c>
      <c r="E619" s="7"/>
      <c r="G619" s="5" t="str">
        <f aca="false">IF(ISNUMBER(FIND("old rod:",A619)),"old rod:",A619)</f>
        <v>30, 35, KRABBY</v>
      </c>
      <c r="I619" s="5" t="s">
        <v>3027</v>
      </c>
    </row>
    <row r="620" customFormat="false" ht="12.75" hidden="false" customHeight="true" outlineLevel="0" collapsed="false">
      <c r="A620" s="5" t="s">
        <v>3028</v>
      </c>
      <c r="B620" s="7" t="n">
        <v>30</v>
      </c>
      <c r="C620" s="7" t="n">
        <v>35</v>
      </c>
      <c r="D620" s="7" t="s">
        <v>3801</v>
      </c>
      <c r="E620" s="7"/>
      <c r="G620" s="5" t="str">
        <f aca="false">IF(ISNUMBER(FIND("old rod:",A620)),"old rod:",A620)</f>
        <v>30, 35, GOLDUCK</v>
      </c>
      <c r="I620" s="5" t="s">
        <v>3028</v>
      </c>
    </row>
    <row r="621" customFormat="false" ht="12.75" hidden="false" customHeight="true" outlineLevel="0" collapsed="false">
      <c r="A621" s="5" t="s">
        <v>2850</v>
      </c>
      <c r="B621" s="7" t="s">
        <v>2850</v>
      </c>
      <c r="C621" s="7"/>
      <c r="D621" s="7"/>
      <c r="E621" s="7"/>
      <c r="G621" s="5" t="str">
        <f aca="false">IF(ISNUMBER(FIND("old rod:",A621)),"old rod:",A621)</f>
        <v>super rod:</v>
      </c>
      <c r="I621" s="5" t="s">
        <v>2850</v>
      </c>
    </row>
    <row r="622" customFormat="false" ht="12.75" hidden="false" customHeight="true" outlineLevel="0" collapsed="false">
      <c r="A622" s="5" t="s">
        <v>3029</v>
      </c>
      <c r="B622" s="7" t="n">
        <v>36</v>
      </c>
      <c r="C622" s="7" t="n">
        <v>40</v>
      </c>
      <c r="D622" s="7" t="s">
        <v>3842</v>
      </c>
      <c r="E622" s="7"/>
      <c r="G622" s="5" t="str">
        <f aca="false">IF(ISNUMBER(FIND("old rod:",A622)),"old rod:",A622)</f>
        <v>36, 40, KINGDRA</v>
      </c>
      <c r="I622" s="5" t="s">
        <v>3029</v>
      </c>
    </row>
    <row r="623" customFormat="false" ht="12.75" hidden="false" customHeight="true" outlineLevel="0" collapsed="false">
      <c r="A623" s="5" t="s">
        <v>3030</v>
      </c>
      <c r="B623" s="7" t="n">
        <v>36</v>
      </c>
      <c r="C623" s="7" t="n">
        <v>40</v>
      </c>
      <c r="D623" s="7" t="s">
        <v>3841</v>
      </c>
      <c r="E623" s="7"/>
      <c r="G623" s="5" t="str">
        <f aca="false">IF(ISNUMBER(FIND("old rod:",A623)),"old rod:",A623)</f>
        <v>36, 40, CLOYSTER</v>
      </c>
      <c r="I623" s="5" t="s">
        <v>3030</v>
      </c>
    </row>
    <row r="624" customFormat="false" ht="12.75" hidden="false" customHeight="true" outlineLevel="0" collapsed="false">
      <c r="A624" s="5" t="s">
        <v>3031</v>
      </c>
      <c r="B624" s="7" t="n">
        <v>38</v>
      </c>
      <c r="C624" s="7" t="n">
        <v>42</v>
      </c>
      <c r="D624" s="7" t="s">
        <v>3854</v>
      </c>
      <c r="E624" s="7"/>
      <c r="G624" s="5" t="str">
        <f aca="false">IF(ISNUMBER(FIND("old rod:",A624)),"old rod:",A624)</f>
        <v>38, 42, GILDUCK</v>
      </c>
      <c r="I624" s="5" t="s">
        <v>3031</v>
      </c>
    </row>
    <row r="625" customFormat="false" ht="12.75" hidden="false" customHeight="true" outlineLevel="0" collapsed="false">
      <c r="A625" s="5" t="s">
        <v>3032</v>
      </c>
      <c r="B625" s="7" t="n">
        <v>38</v>
      </c>
      <c r="C625" s="7" t="n">
        <v>42</v>
      </c>
      <c r="D625" s="7" t="s">
        <v>3862</v>
      </c>
      <c r="E625" s="7"/>
      <c r="G625" s="5" t="str">
        <f aca="false">IF(ISNUMBER(FIND("old rod:",A625)),"old rod:",A625)</f>
        <v>38, 42, KRAKLAW</v>
      </c>
      <c r="I625" s="5" t="s">
        <v>3032</v>
      </c>
    </row>
    <row r="626" customFormat="false" ht="12.75" hidden="false" customHeight="true" outlineLevel="0" collapsed="false">
      <c r="A626" s="5" t="s">
        <v>3033</v>
      </c>
      <c r="B626" s="7" t="n">
        <v>40</v>
      </c>
      <c r="C626" s="7" t="n">
        <v>44</v>
      </c>
      <c r="D626" s="7" t="s">
        <v>3844</v>
      </c>
      <c r="E626" s="7"/>
      <c r="G626" s="5" t="str">
        <f aca="false">IF(ISNUMBER(FIND("old rod:",A626)),"old rod:",A626)</f>
        <v>40, 44, LORDRA</v>
      </c>
      <c r="I626" s="5" t="s">
        <v>3033</v>
      </c>
    </row>
    <row r="627" customFormat="false" ht="12.75" hidden="false" customHeight="true" outlineLevel="0" collapsed="false">
      <c r="A627" s="5" t="s">
        <v>2536</v>
      </c>
      <c r="B627" s="7" t="s">
        <v>2536</v>
      </c>
      <c r="C627" s="7"/>
      <c r="D627" s="7"/>
      <c r="E627" s="7"/>
      <c r="G627" s="5" t="str">
        <f aca="false">IF(ISNUMBER(FIND("old rod:",A627)),"old rod:",A627)</f>
        <v>NEW ROUTE</v>
      </c>
      <c r="I627" s="5" t="s">
        <v>2536</v>
      </c>
    </row>
    <row r="628" customFormat="false" ht="12.75" hidden="false" customHeight="true" outlineLevel="0" collapsed="false">
      <c r="A628" s="5" t="s">
        <v>187</v>
      </c>
      <c r="B628" s="7" t="s">
        <v>187</v>
      </c>
      <c r="C628" s="7"/>
      <c r="D628" s="7"/>
      <c r="E628" s="7"/>
      <c r="G628" s="5" t="str">
        <f aca="false">IF(ISNUMBER(FIND("old rod:",A628)),"old rod:",A628)</f>
        <v>Seafoam Islands B4F</v>
      </c>
      <c r="I628" s="5" t="s">
        <v>187</v>
      </c>
    </row>
    <row r="629" customFormat="false" ht="12.75" hidden="false" customHeight="true" outlineLevel="0" collapsed="false">
      <c r="A629" s="5" t="n">
        <v>0.2</v>
      </c>
      <c r="B629" s="5" t="n">
        <v>0.2</v>
      </c>
      <c r="C629" s="7"/>
      <c r="D629" s="7"/>
      <c r="E629" s="7"/>
      <c r="G629" s="5" t="n">
        <f aca="false">IF(ISNUMBER(FIND("old rod:",A629)),"old rod:",A629)</f>
        <v>0.2</v>
      </c>
      <c r="I629" s="5" t="n">
        <v>0.2</v>
      </c>
    </row>
    <row r="630" customFormat="false" ht="12.75" hidden="false" customHeight="true" outlineLevel="0" collapsed="false">
      <c r="A630" s="5" t="s">
        <v>1430</v>
      </c>
      <c r="B630" s="7" t="n">
        <v>40</v>
      </c>
      <c r="C630" s="7" t="n">
        <v>44</v>
      </c>
      <c r="D630" s="7" t="s">
        <v>3745</v>
      </c>
      <c r="E630" s="7"/>
      <c r="G630" s="5" t="str">
        <f aca="false">IF(ISNUMBER(FIND("old rod:",A630)),"old rod:",A630)</f>
        <v>40, 44, GOLBAT</v>
      </c>
      <c r="I630" s="5" t="s">
        <v>1430</v>
      </c>
    </row>
    <row r="631" customFormat="false" ht="12.75" hidden="false" customHeight="true" outlineLevel="0" collapsed="false">
      <c r="A631" s="5" t="s">
        <v>3005</v>
      </c>
      <c r="B631" s="7" t="n">
        <v>40</v>
      </c>
      <c r="C631" s="7" t="n">
        <v>44</v>
      </c>
      <c r="D631" s="7" t="s">
        <v>3801</v>
      </c>
      <c r="E631" s="7"/>
      <c r="G631" s="5" t="str">
        <f aca="false">IF(ISNUMBER(FIND("old rod:",A631)),"old rod:",A631)</f>
        <v>40, 44, GOLDUCK</v>
      </c>
      <c r="I631" s="5" t="s">
        <v>3005</v>
      </c>
    </row>
    <row r="632" customFormat="false" ht="12.75" hidden="false" customHeight="true" outlineLevel="0" collapsed="false">
      <c r="A632" s="5" t="n">
        <v>0.1</v>
      </c>
      <c r="B632" s="5" t="n">
        <v>0.1</v>
      </c>
      <c r="C632" s="7"/>
      <c r="D632" s="7"/>
      <c r="E632" s="7"/>
      <c r="G632" s="5" t="n">
        <f aca="false">IF(ISNUMBER(FIND("old rod:",A632)),"old rod:",A632)</f>
        <v>0.1</v>
      </c>
      <c r="I632" s="5" t="n">
        <v>0.1</v>
      </c>
    </row>
    <row r="633" customFormat="false" ht="12.75" hidden="false" customHeight="true" outlineLevel="0" collapsed="false">
      <c r="A633" s="5" t="s">
        <v>3006</v>
      </c>
      <c r="B633" s="7" t="n">
        <v>40</v>
      </c>
      <c r="C633" s="7" t="n">
        <v>44</v>
      </c>
      <c r="D633" s="7" t="s">
        <v>3800</v>
      </c>
      <c r="E633" s="7"/>
      <c r="G633" s="5" t="str">
        <f aca="false">IF(ISNUMBER(FIND("old rod:",A633)),"old rod:",A633)</f>
        <v>40, 44, SLOWBRO</v>
      </c>
      <c r="I633" s="5" t="s">
        <v>3006</v>
      </c>
    </row>
    <row r="634" customFormat="false" ht="12.75" hidden="false" customHeight="true" outlineLevel="0" collapsed="false">
      <c r="A634" s="5" t="s">
        <v>3007</v>
      </c>
      <c r="B634" s="7" t="n">
        <v>40</v>
      </c>
      <c r="C634" s="7" t="n">
        <v>44</v>
      </c>
      <c r="D634" s="7" t="s">
        <v>3760</v>
      </c>
      <c r="E634" s="7"/>
      <c r="G634" s="5" t="str">
        <f aca="false">IF(ISNUMBER(FIND("old rod:",A634)),"old rod:",A634)</f>
        <v>40, 44, CROBAT</v>
      </c>
      <c r="I634" s="5" t="s">
        <v>3007</v>
      </c>
    </row>
    <row r="635" customFormat="false" ht="12.75" hidden="false" customHeight="true" outlineLevel="0" collapsed="false">
      <c r="A635" s="5" t="s">
        <v>3008</v>
      </c>
      <c r="B635" s="7" t="n">
        <v>40</v>
      </c>
      <c r="C635" s="7" t="n">
        <v>44</v>
      </c>
      <c r="D635" s="7" t="s">
        <v>3852</v>
      </c>
      <c r="E635" s="7"/>
      <c r="G635" s="5" t="str">
        <f aca="false">IF(ISNUMBER(FIND("old rod:",A635)),"old rod:",A635)</f>
        <v>40, 44, DEWGONG</v>
      </c>
      <c r="I635" s="5" t="s">
        <v>3008</v>
      </c>
    </row>
    <row r="636" customFormat="false" ht="12.75" hidden="false" customHeight="true" outlineLevel="0" collapsed="false">
      <c r="A636" s="5" t="s">
        <v>3009</v>
      </c>
      <c r="B636" s="7" t="n">
        <v>40</v>
      </c>
      <c r="C636" s="7" t="n">
        <v>44</v>
      </c>
      <c r="D636" s="7" t="s">
        <v>3853</v>
      </c>
      <c r="E636" s="7"/>
      <c r="G636" s="5" t="str">
        <f aca="false">IF(ISNUMBER(FIND("old rod:",A636)),"old rod:",A636)</f>
        <v>40, 44, LICKILICKY</v>
      </c>
      <c r="I636" s="5" t="s">
        <v>3009</v>
      </c>
    </row>
    <row r="637" customFormat="false" ht="12.75" hidden="false" customHeight="true" outlineLevel="0" collapsed="false">
      <c r="A637" s="5" t="n">
        <v>0.05</v>
      </c>
      <c r="B637" s="5" t="n">
        <v>0.05</v>
      </c>
      <c r="C637" s="7"/>
      <c r="D637" s="7"/>
      <c r="E637" s="7"/>
      <c r="G637" s="5" t="n">
        <f aca="false">IF(ISNUMBER(FIND("old rod:",A637)),"old rod:",A637)</f>
        <v>0.05</v>
      </c>
      <c r="I637" s="5" t="n">
        <v>0.05</v>
      </c>
    </row>
    <row r="638" customFormat="false" ht="12.75" hidden="false" customHeight="true" outlineLevel="0" collapsed="false">
      <c r="A638" s="5" t="s">
        <v>3010</v>
      </c>
      <c r="B638" s="7" t="n">
        <v>42</v>
      </c>
      <c r="C638" s="7" t="n">
        <v>46</v>
      </c>
      <c r="D638" s="7" t="s">
        <v>3764</v>
      </c>
      <c r="E638" s="7"/>
      <c r="G638" s="5" t="str">
        <f aca="false">IF(ISNUMBER(FIND("old rod:",A638)),"old rod:",A638)</f>
        <v>42, 46, POLABAT</v>
      </c>
      <c r="I638" s="5" t="s">
        <v>3010</v>
      </c>
    </row>
    <row r="639" customFormat="false" ht="12.75" hidden="false" customHeight="true" outlineLevel="0" collapsed="false">
      <c r="A639" s="5" t="s">
        <v>3011</v>
      </c>
      <c r="B639" s="7" t="n">
        <v>42</v>
      </c>
      <c r="C639" s="7" t="n">
        <v>46</v>
      </c>
      <c r="D639" s="7" t="s">
        <v>3854</v>
      </c>
      <c r="E639" s="7"/>
      <c r="G639" s="5" t="str">
        <f aca="false">IF(ISNUMBER(FIND("old rod:",A639)),"old rod:",A639)</f>
        <v>42, 46, GILDUCK</v>
      </c>
      <c r="I639" s="5" t="s">
        <v>3011</v>
      </c>
    </row>
    <row r="640" customFormat="false" ht="12.75" hidden="false" customHeight="true" outlineLevel="0" collapsed="false">
      <c r="A640" s="5" t="n">
        <v>0.04</v>
      </c>
      <c r="B640" s="5" t="n">
        <v>0.04</v>
      </c>
      <c r="C640" s="7"/>
      <c r="D640" s="7"/>
      <c r="E640" s="7"/>
      <c r="G640" s="5" t="n">
        <f aca="false">IF(ISNUMBER(FIND("old rod:",A640)),"old rod:",A640)</f>
        <v>0.04</v>
      </c>
      <c r="I640" s="5" t="n">
        <v>0.04</v>
      </c>
    </row>
    <row r="641" customFormat="false" ht="12.75" hidden="false" customHeight="true" outlineLevel="0" collapsed="false">
      <c r="A641" s="5" t="s">
        <v>3012</v>
      </c>
      <c r="B641" s="7" t="n">
        <v>44</v>
      </c>
      <c r="C641" s="7" t="n">
        <v>47</v>
      </c>
      <c r="D641" s="7" t="s">
        <v>3855</v>
      </c>
      <c r="E641" s="7"/>
      <c r="G641" s="5" t="str">
        <f aca="false">IF(ISNUMBER(FIND("old rod:",A641)),"old rod:",A641)</f>
        <v>44, 47, SLOWMATE</v>
      </c>
      <c r="I641" s="5" t="s">
        <v>3012</v>
      </c>
    </row>
    <row r="642" customFormat="false" ht="12.75" hidden="false" customHeight="true" outlineLevel="0" collapsed="false">
      <c r="A642" s="5" t="s">
        <v>3013</v>
      </c>
      <c r="B642" s="7" t="n">
        <v>44</v>
      </c>
      <c r="C642" s="7" t="n">
        <v>47</v>
      </c>
      <c r="D642" s="7" t="s">
        <v>3856</v>
      </c>
      <c r="E642" s="7"/>
      <c r="G642" s="5" t="str">
        <f aca="false">IF(ISNUMBER(FIND("old rod:",A642)),"old rod:",A642)</f>
        <v>44, 47, PRECIPED</v>
      </c>
      <c r="I642" s="5" t="s">
        <v>3013</v>
      </c>
    </row>
    <row r="643" customFormat="false" ht="12.75" hidden="false" customHeight="true" outlineLevel="0" collapsed="false">
      <c r="A643" s="5" t="n">
        <v>0.01</v>
      </c>
      <c r="B643" s="5" t="n">
        <v>0.01</v>
      </c>
      <c r="C643" s="7"/>
      <c r="D643" s="7"/>
      <c r="E643" s="7"/>
      <c r="G643" s="5" t="n">
        <f aca="false">IF(ISNUMBER(FIND("old rod:",A643)),"old rod:",A643)</f>
        <v>0.01</v>
      </c>
      <c r="I643" s="5" t="n">
        <v>0.01</v>
      </c>
    </row>
    <row r="644" customFormat="false" ht="12.75" hidden="false" customHeight="true" outlineLevel="0" collapsed="false">
      <c r="A644" s="5" t="s">
        <v>3014</v>
      </c>
      <c r="B644" s="7" t="n">
        <v>45</v>
      </c>
      <c r="C644" s="7" t="n">
        <v>50</v>
      </c>
      <c r="D644" s="7" t="s">
        <v>3809</v>
      </c>
      <c r="E644" s="7"/>
      <c r="G644" s="5" t="str">
        <f aca="false">IF(ISNUMBER(FIND("old rod:",A644)),"old rod:",A644)</f>
        <v>45, 50, DRAGONITE</v>
      </c>
      <c r="I644" s="5" t="s">
        <v>3014</v>
      </c>
    </row>
    <row r="645" customFormat="false" ht="12.75" hidden="false" customHeight="true" outlineLevel="0" collapsed="false">
      <c r="A645" s="5" t="s">
        <v>3020</v>
      </c>
      <c r="B645" s="7" t="n">
        <v>45</v>
      </c>
      <c r="C645" s="7" t="n">
        <v>50</v>
      </c>
      <c r="D645" s="7" t="s">
        <v>3857</v>
      </c>
      <c r="E645" s="7"/>
      <c r="G645" s="5" t="str">
        <f aca="false">IF(ISNUMBER(FIND("old rod:",A645)),"old rod:",A645)</f>
        <v>45, 50, LICKILOLLY</v>
      </c>
      <c r="I645" s="5" t="s">
        <v>3020</v>
      </c>
    </row>
    <row r="646" customFormat="false" ht="12.75" hidden="false" customHeight="true" outlineLevel="0" collapsed="false">
      <c r="A646" s="5" t="s">
        <v>3021</v>
      </c>
      <c r="B646" s="7" t="n">
        <v>2</v>
      </c>
      <c r="C646" s="7" t="n">
        <v>38</v>
      </c>
      <c r="D646" s="7" t="n">
        <v>44</v>
      </c>
      <c r="E646" s="7" t="s">
        <v>3852</v>
      </c>
      <c r="G646" s="5" t="str">
        <f aca="false">IF(ISNUMBER(FIND("old rod:",A646)),"old rod:",A646)</f>
        <v>2, 38, 44, DEWGONG</v>
      </c>
      <c r="I646" s="5" t="s">
        <v>3021</v>
      </c>
    </row>
    <row r="647" customFormat="false" ht="12.75" hidden="false" customHeight="true" outlineLevel="0" collapsed="false">
      <c r="A647" s="5" t="s">
        <v>3022</v>
      </c>
      <c r="B647" s="7" t="n">
        <v>40</v>
      </c>
      <c r="C647" s="7" t="n">
        <v>44</v>
      </c>
      <c r="D647" s="7" t="s">
        <v>3858</v>
      </c>
      <c r="E647" s="7"/>
      <c r="G647" s="5" t="str">
        <f aca="false">IF(ISNUMBER(FIND("old rod:",A647)),"old rod:",A647)</f>
        <v>40, 44, SEADRA</v>
      </c>
      <c r="I647" s="5" t="s">
        <v>3022</v>
      </c>
    </row>
    <row r="648" customFormat="false" ht="12.75" hidden="false" customHeight="true" outlineLevel="0" collapsed="false">
      <c r="A648" s="5" t="s">
        <v>3023</v>
      </c>
      <c r="B648" s="7" t="n">
        <v>42</v>
      </c>
      <c r="C648" s="7" t="n">
        <v>46</v>
      </c>
      <c r="D648" s="7" t="s">
        <v>3859</v>
      </c>
      <c r="E648" s="7"/>
      <c r="G648" s="5" t="str">
        <f aca="false">IF(ISNUMBER(FIND("old rod:",A648)),"old rod:",A648)</f>
        <v>42, 46, KINGLER</v>
      </c>
      <c r="I648" s="5" t="s">
        <v>3023</v>
      </c>
    </row>
    <row r="649" customFormat="false" ht="12.75" hidden="false" customHeight="true" outlineLevel="0" collapsed="false">
      <c r="A649" s="5" t="s">
        <v>3024</v>
      </c>
      <c r="B649" s="7" t="n">
        <v>42</v>
      </c>
      <c r="C649" s="7" t="n">
        <v>46</v>
      </c>
      <c r="D649" s="7" t="s">
        <v>3860</v>
      </c>
      <c r="E649" s="7"/>
      <c r="G649" s="5" t="str">
        <f aca="false">IF(ISNUMBER(FIND("old rod:",A649)),"old rod:",A649)</f>
        <v>42, 46, LAPRAS</v>
      </c>
      <c r="I649" s="5" t="s">
        <v>3024</v>
      </c>
    </row>
    <row r="650" customFormat="false" ht="12.75" hidden="false" customHeight="true" outlineLevel="0" collapsed="false">
      <c r="A650" s="5" t="s">
        <v>2922</v>
      </c>
      <c r="B650" s="7" t="n">
        <v>42</v>
      </c>
      <c r="C650" s="7" t="n">
        <v>46</v>
      </c>
      <c r="D650" s="7" t="s">
        <v>3800</v>
      </c>
      <c r="E650" s="7"/>
      <c r="G650" s="5" t="str">
        <f aca="false">IF(ISNUMBER(FIND("old rod:",A650)),"old rod:",A650)</f>
        <v>42, 46, SLOWBRO</v>
      </c>
      <c r="I650" s="5" t="s">
        <v>2922</v>
      </c>
    </row>
    <row r="651" customFormat="false" ht="12.75" hidden="false" customHeight="true" outlineLevel="0" collapsed="false">
      <c r="A651" s="5" t="s">
        <v>2925</v>
      </c>
      <c r="B651" s="7" t="n">
        <v>20</v>
      </c>
      <c r="C651" s="7" t="s">
        <v>3748</v>
      </c>
      <c r="D651" s="7"/>
      <c r="E651" s="7"/>
      <c r="G651" s="5" t="str">
        <f aca="false">IF(ISNUMBER(FIND("old rod:",A651)),"old rod:",A651)</f>
        <v>old rod:</v>
      </c>
      <c r="I651" s="5" t="s">
        <v>3749</v>
      </c>
    </row>
    <row r="652" customFormat="false" ht="12.75" hidden="false" customHeight="true" outlineLevel="0" collapsed="false">
      <c r="A652" s="5" t="s">
        <v>1451</v>
      </c>
      <c r="B652" s="7" t="n">
        <v>19</v>
      </c>
      <c r="C652" s="7" t="n">
        <v>26</v>
      </c>
      <c r="D652" s="7" t="s">
        <v>3752</v>
      </c>
      <c r="E652" s="7"/>
      <c r="G652" s="5" t="str">
        <f aca="false">IF(ISNUMBER(FIND("old rod:",A652)),"old rod:",A652)</f>
        <v>19, 26, HORSEA</v>
      </c>
      <c r="I652" s="5" t="s">
        <v>1451</v>
      </c>
    </row>
    <row r="653" customFormat="false" ht="12.75" hidden="false" customHeight="true" outlineLevel="0" collapsed="false">
      <c r="A653" s="5" t="s">
        <v>3025</v>
      </c>
      <c r="B653" s="7" t="n">
        <v>19</v>
      </c>
      <c r="C653" s="7" t="n">
        <v>26</v>
      </c>
      <c r="D653" s="7" t="s">
        <v>3861</v>
      </c>
      <c r="E653" s="7"/>
      <c r="G653" s="5" t="str">
        <f aca="false">IF(ISNUMBER(FIND("old rod:",A653)),"old rod:",A653)</f>
        <v>19, 26, SHELLDER</v>
      </c>
      <c r="I653" s="5" t="s">
        <v>3025</v>
      </c>
    </row>
    <row r="654" customFormat="false" ht="12.75" hidden="false" customHeight="true" outlineLevel="0" collapsed="false">
      <c r="A654" s="5" t="s">
        <v>2846</v>
      </c>
      <c r="B654" s="7" t="s">
        <v>2846</v>
      </c>
      <c r="C654" s="7"/>
      <c r="D654" s="7"/>
      <c r="E654" s="7"/>
      <c r="G654" s="5" t="str">
        <f aca="false">IF(ISNUMBER(FIND("old rod:",A654)),"old rod:",A654)</f>
        <v>good rod:</v>
      </c>
      <c r="I654" s="5" t="s">
        <v>2846</v>
      </c>
    </row>
    <row r="655" customFormat="false" ht="12.75" hidden="false" customHeight="true" outlineLevel="0" collapsed="false">
      <c r="A655" s="5" t="s">
        <v>3026</v>
      </c>
      <c r="B655" s="7" t="n">
        <v>29</v>
      </c>
      <c r="C655" s="7" t="n">
        <v>33</v>
      </c>
      <c r="D655" s="7" t="s">
        <v>3858</v>
      </c>
      <c r="E655" s="7"/>
      <c r="G655" s="5" t="str">
        <f aca="false">IF(ISNUMBER(FIND("old rod:",A655)),"old rod:",A655)</f>
        <v>29, 33, SEADRA</v>
      </c>
      <c r="I655" s="5" t="s">
        <v>3026</v>
      </c>
    </row>
    <row r="656" customFormat="false" ht="12.75" hidden="false" customHeight="true" outlineLevel="0" collapsed="false">
      <c r="A656" s="5" t="s">
        <v>3027</v>
      </c>
      <c r="B656" s="7" t="n">
        <v>30</v>
      </c>
      <c r="C656" s="7" t="n">
        <v>35</v>
      </c>
      <c r="D656" s="7" t="s">
        <v>3751</v>
      </c>
      <c r="E656" s="7"/>
      <c r="G656" s="5" t="str">
        <f aca="false">IF(ISNUMBER(FIND("old rod:",A656)),"old rod:",A656)</f>
        <v>30, 35, KRABBY</v>
      </c>
      <c r="I656" s="5" t="s">
        <v>3027</v>
      </c>
    </row>
    <row r="657" customFormat="false" ht="12.75" hidden="false" customHeight="true" outlineLevel="0" collapsed="false">
      <c r="A657" s="5" t="s">
        <v>3028</v>
      </c>
      <c r="B657" s="7" t="n">
        <v>30</v>
      </c>
      <c r="C657" s="7" t="n">
        <v>35</v>
      </c>
      <c r="D657" s="7" t="s">
        <v>3801</v>
      </c>
      <c r="E657" s="7"/>
      <c r="G657" s="5" t="str">
        <f aca="false">IF(ISNUMBER(FIND("old rod:",A657)),"old rod:",A657)</f>
        <v>30, 35, GOLDUCK</v>
      </c>
      <c r="I657" s="5" t="s">
        <v>3028</v>
      </c>
    </row>
    <row r="658" customFormat="false" ht="12.75" hidden="false" customHeight="true" outlineLevel="0" collapsed="false">
      <c r="A658" s="5" t="s">
        <v>2850</v>
      </c>
      <c r="B658" s="7" t="s">
        <v>2850</v>
      </c>
      <c r="C658" s="7"/>
      <c r="D658" s="7"/>
      <c r="E658" s="7"/>
      <c r="G658" s="5" t="str">
        <f aca="false">IF(ISNUMBER(FIND("old rod:",A658)),"old rod:",A658)</f>
        <v>super rod:</v>
      </c>
      <c r="I658" s="5" t="s">
        <v>2850</v>
      </c>
    </row>
    <row r="659" customFormat="false" ht="12.75" hidden="false" customHeight="true" outlineLevel="0" collapsed="false">
      <c r="A659" s="5" t="s">
        <v>3029</v>
      </c>
      <c r="B659" s="7" t="n">
        <v>36</v>
      </c>
      <c r="C659" s="7" t="n">
        <v>40</v>
      </c>
      <c r="D659" s="7" t="s">
        <v>3842</v>
      </c>
      <c r="E659" s="7"/>
      <c r="G659" s="5" t="str">
        <f aca="false">IF(ISNUMBER(FIND("old rod:",A659)),"old rod:",A659)</f>
        <v>36, 40, KINGDRA</v>
      </c>
      <c r="I659" s="5" t="s">
        <v>3029</v>
      </c>
    </row>
    <row r="660" customFormat="false" ht="12.75" hidden="false" customHeight="true" outlineLevel="0" collapsed="false">
      <c r="A660" s="5" t="s">
        <v>3030</v>
      </c>
      <c r="B660" s="7" t="n">
        <v>36</v>
      </c>
      <c r="C660" s="7" t="n">
        <v>40</v>
      </c>
      <c r="D660" s="7" t="s">
        <v>3841</v>
      </c>
      <c r="E660" s="7"/>
      <c r="G660" s="5" t="str">
        <f aca="false">IF(ISNUMBER(FIND("old rod:",A660)),"old rod:",A660)</f>
        <v>36, 40, CLOYSTER</v>
      </c>
      <c r="I660" s="5" t="s">
        <v>3030</v>
      </c>
    </row>
    <row r="661" customFormat="false" ht="12.75" hidden="false" customHeight="true" outlineLevel="0" collapsed="false">
      <c r="A661" s="5" t="s">
        <v>3031</v>
      </c>
      <c r="B661" s="7" t="n">
        <v>38</v>
      </c>
      <c r="C661" s="7" t="n">
        <v>42</v>
      </c>
      <c r="D661" s="7" t="s">
        <v>3854</v>
      </c>
      <c r="E661" s="7"/>
      <c r="G661" s="5" t="str">
        <f aca="false">IF(ISNUMBER(FIND("old rod:",A661)),"old rod:",A661)</f>
        <v>38, 42, GILDUCK</v>
      </c>
      <c r="I661" s="5" t="s">
        <v>3031</v>
      </c>
    </row>
    <row r="662" customFormat="false" ht="12.75" hidden="false" customHeight="true" outlineLevel="0" collapsed="false">
      <c r="A662" s="5" t="s">
        <v>3032</v>
      </c>
      <c r="B662" s="7" t="n">
        <v>38</v>
      </c>
      <c r="C662" s="7" t="n">
        <v>42</v>
      </c>
      <c r="D662" s="7" t="s">
        <v>3862</v>
      </c>
      <c r="E662" s="7"/>
      <c r="G662" s="5" t="str">
        <f aca="false">IF(ISNUMBER(FIND("old rod:",A662)),"old rod:",A662)</f>
        <v>38, 42, KRAKLAW</v>
      </c>
      <c r="I662" s="5" t="s">
        <v>3032</v>
      </c>
    </row>
    <row r="663" customFormat="false" ht="12.75" hidden="false" customHeight="true" outlineLevel="0" collapsed="false">
      <c r="A663" s="5" t="s">
        <v>3033</v>
      </c>
      <c r="B663" s="7" t="n">
        <v>40</v>
      </c>
      <c r="C663" s="7" t="n">
        <v>44</v>
      </c>
      <c r="D663" s="7" t="s">
        <v>3844</v>
      </c>
      <c r="E663" s="7"/>
      <c r="G663" s="5" t="str">
        <f aca="false">IF(ISNUMBER(FIND("old rod:",A663)),"old rod:",A663)</f>
        <v>40, 44, LORDRA</v>
      </c>
      <c r="I663" s="5" t="s">
        <v>3033</v>
      </c>
    </row>
    <row r="664" customFormat="false" ht="12.75" hidden="false" customHeight="true" outlineLevel="0" collapsed="false">
      <c r="A664" s="5" t="s">
        <v>2536</v>
      </c>
      <c r="B664" s="7" t="s">
        <v>2536</v>
      </c>
      <c r="C664" s="7"/>
      <c r="D664" s="7"/>
      <c r="E664" s="7"/>
      <c r="G664" s="5" t="str">
        <f aca="false">IF(ISNUMBER(FIND("old rod:",A664)),"old rod:",A664)</f>
        <v>NEW ROUTE</v>
      </c>
      <c r="I664" s="5" t="s">
        <v>2536</v>
      </c>
    </row>
    <row r="665" customFormat="false" ht="12.75" hidden="false" customHeight="true" outlineLevel="0" collapsed="false">
      <c r="A665" s="5" t="s">
        <v>193</v>
      </c>
      <c r="B665" s="7" t="s">
        <v>193</v>
      </c>
      <c r="C665" s="7"/>
      <c r="D665" s="7"/>
      <c r="E665" s="7"/>
      <c r="G665" s="5" t="str">
        <f aca="false">IF(ISNUMBER(FIND("old rod:",A665)),"old rod:",A665)</f>
        <v>Pokémon Tower 3F</v>
      </c>
      <c r="I665" s="5" t="s">
        <v>193</v>
      </c>
    </row>
    <row r="666" customFormat="false" ht="12.75" hidden="false" customHeight="true" outlineLevel="0" collapsed="false">
      <c r="A666" s="5" t="n">
        <v>0.2</v>
      </c>
      <c r="B666" s="5" t="n">
        <v>0.2</v>
      </c>
      <c r="C666" s="7"/>
      <c r="D666" s="7"/>
      <c r="E666" s="7"/>
      <c r="G666" s="5" t="n">
        <f aca="false">IF(ISNUMBER(FIND("old rod:",A666)),"old rod:",A666)</f>
        <v>0.2</v>
      </c>
      <c r="I666" s="5" t="n">
        <v>0.2</v>
      </c>
    </row>
    <row r="667" customFormat="false" ht="12.75" hidden="false" customHeight="true" outlineLevel="0" collapsed="false">
      <c r="A667" s="5" t="s">
        <v>1463</v>
      </c>
      <c r="B667" s="7" t="n">
        <v>28</v>
      </c>
      <c r="C667" s="7" t="n">
        <v>31</v>
      </c>
      <c r="D667" s="7" t="s">
        <v>3863</v>
      </c>
      <c r="E667" s="7"/>
      <c r="G667" s="5" t="str">
        <f aca="false">IF(ISNUMBER(FIND("old rod:",A667)),"old rod:",A667)</f>
        <v>28, 31, GASTLY</v>
      </c>
      <c r="I667" s="5" t="s">
        <v>1463</v>
      </c>
    </row>
    <row r="668" customFormat="false" ht="12.75" hidden="false" customHeight="true" outlineLevel="0" collapsed="false">
      <c r="A668" s="5" t="s">
        <v>3037</v>
      </c>
      <c r="B668" s="7" t="n">
        <v>29</v>
      </c>
      <c r="C668" s="7" t="n">
        <v>32</v>
      </c>
      <c r="D668" s="7" t="s">
        <v>3864</v>
      </c>
      <c r="E668" s="7"/>
      <c r="G668" s="5" t="str">
        <f aca="false">IF(ISNUMBER(FIND("old rod:",A668)),"old rod:",A668)</f>
        <v>29, 32, RATTATA</v>
      </c>
      <c r="I668" s="5" t="s">
        <v>3037</v>
      </c>
    </row>
    <row r="669" customFormat="false" ht="12.75" hidden="false" customHeight="true" outlineLevel="0" collapsed="false">
      <c r="A669" s="5" t="n">
        <v>0.1</v>
      </c>
      <c r="B669" s="5" t="n">
        <v>0.1</v>
      </c>
      <c r="C669" s="7"/>
      <c r="D669" s="7"/>
      <c r="E669" s="7"/>
      <c r="G669" s="5" t="n">
        <f aca="false">IF(ISNUMBER(FIND("old rod:",A669)),"old rod:",A669)</f>
        <v>0.1</v>
      </c>
      <c r="I669" s="5" t="n">
        <v>0.1</v>
      </c>
    </row>
    <row r="670" customFormat="false" ht="12.75" hidden="false" customHeight="true" outlineLevel="0" collapsed="false">
      <c r="A670" s="5" t="s">
        <v>3038</v>
      </c>
      <c r="B670" s="7" t="n">
        <v>27</v>
      </c>
      <c r="C670" s="7" t="n">
        <v>31</v>
      </c>
      <c r="D670" s="7" t="s">
        <v>3865</v>
      </c>
      <c r="E670" s="7"/>
      <c r="G670" s="5" t="str">
        <f aca="false">IF(ISNUMBER(FIND("old rod:",A670)),"old rod:",A670)</f>
        <v>27, 31, CUBONE</v>
      </c>
      <c r="I670" s="5" t="s">
        <v>3038</v>
      </c>
    </row>
    <row r="671" customFormat="false" ht="12.75" hidden="false" customHeight="true" outlineLevel="0" collapsed="false">
      <c r="A671" s="5" t="s">
        <v>3039</v>
      </c>
      <c r="B671" s="7" t="n">
        <v>29</v>
      </c>
      <c r="C671" s="7" t="n">
        <v>32</v>
      </c>
      <c r="D671" s="7" t="s">
        <v>3866</v>
      </c>
      <c r="E671" s="7"/>
      <c r="G671" s="5" t="str">
        <f aca="false">IF(ISNUMBER(FIND("old rod:",A671)),"old rod:",A671)</f>
        <v>29, 32, HAUNTER</v>
      </c>
      <c r="I671" s="5" t="s">
        <v>3039</v>
      </c>
    </row>
    <row r="672" customFormat="false" ht="12.75" hidden="false" customHeight="true" outlineLevel="0" collapsed="false">
      <c r="A672" s="5" t="s">
        <v>3040</v>
      </c>
      <c r="B672" s="7" t="n">
        <v>28</v>
      </c>
      <c r="C672" s="7" t="n">
        <v>31</v>
      </c>
      <c r="D672" s="7" t="s">
        <v>3867</v>
      </c>
      <c r="E672" s="7"/>
      <c r="G672" s="5" t="str">
        <f aca="false">IF(ISNUMBER(FIND("old rod:",A672)),"old rod:",A672)</f>
        <v>28, 31, DROWZEE</v>
      </c>
      <c r="I672" s="5" t="s">
        <v>3040</v>
      </c>
    </row>
    <row r="673" customFormat="false" ht="12.75" hidden="false" customHeight="true" outlineLevel="0" collapsed="false">
      <c r="A673" s="5" t="s">
        <v>3041</v>
      </c>
      <c r="B673" s="7" t="n">
        <v>28</v>
      </c>
      <c r="C673" s="7" t="n">
        <v>31</v>
      </c>
      <c r="D673" s="7" t="s">
        <v>3868</v>
      </c>
      <c r="E673" s="7"/>
      <c r="G673" s="5" t="str">
        <f aca="false">IF(ISNUMBER(FIND("old rod:",A673)),"old rod:",A673)</f>
        <v>28, 31, VULPIX</v>
      </c>
      <c r="I673" s="5" t="s">
        <v>3041</v>
      </c>
    </row>
    <row r="674" customFormat="false" ht="12.75" hidden="false" customHeight="true" outlineLevel="0" collapsed="false">
      <c r="A674" s="5" t="n">
        <v>0.05</v>
      </c>
      <c r="B674" s="5" t="n">
        <v>0.05</v>
      </c>
      <c r="C674" s="7"/>
      <c r="D674" s="7"/>
      <c r="E674" s="7"/>
      <c r="G674" s="5" t="n">
        <f aca="false">IF(ISNUMBER(FIND("old rod:",A674)),"old rod:",A674)</f>
        <v>0.05</v>
      </c>
      <c r="I674" s="5" t="n">
        <v>0.05</v>
      </c>
    </row>
    <row r="675" customFormat="false" ht="12.75" hidden="false" customHeight="true" outlineLevel="0" collapsed="false">
      <c r="A675" s="5" t="s">
        <v>3042</v>
      </c>
      <c r="B675" s="7" t="n">
        <v>29</v>
      </c>
      <c r="C675" s="7" t="n">
        <v>32</v>
      </c>
      <c r="D675" s="7" t="s">
        <v>3869</v>
      </c>
      <c r="E675" s="7"/>
      <c r="G675" s="5" t="str">
        <f aca="false">IF(ISNUMBER(FIND("old rod:",A675)),"old rod:",A675)</f>
        <v>29, 32, HYPNO</v>
      </c>
      <c r="I675" s="5" t="s">
        <v>3042</v>
      </c>
    </row>
    <row r="676" customFormat="false" ht="12.75" hidden="false" customHeight="true" outlineLevel="0" collapsed="false">
      <c r="A676" s="5" t="s">
        <v>3043</v>
      </c>
      <c r="B676" s="7" t="n">
        <v>28</v>
      </c>
      <c r="C676" s="7" t="n">
        <v>31</v>
      </c>
      <c r="D676" s="7" t="s">
        <v>3870</v>
      </c>
      <c r="E676" s="7"/>
      <c r="G676" s="5" t="str">
        <f aca="false">IF(ISNUMBER(FIND("old rod:",A676)),"old rod:",A676)</f>
        <v>28, 31, RATICATE</v>
      </c>
      <c r="I676" s="5" t="s">
        <v>3043</v>
      </c>
    </row>
    <row r="677" customFormat="false" ht="12.75" hidden="false" customHeight="true" outlineLevel="0" collapsed="false">
      <c r="A677" s="5" t="n">
        <v>0.04</v>
      </c>
      <c r="B677" s="5" t="n">
        <v>0.04</v>
      </c>
      <c r="C677" s="7"/>
      <c r="D677" s="7"/>
      <c r="E677" s="7"/>
      <c r="G677" s="5" t="n">
        <f aca="false">IF(ISNUMBER(FIND("old rod:",A677)),"old rod:",A677)</f>
        <v>0.04</v>
      </c>
      <c r="I677" s="5" t="n">
        <v>0.04</v>
      </c>
    </row>
    <row r="678" customFormat="false" ht="12.75" hidden="false" customHeight="true" outlineLevel="0" collapsed="false">
      <c r="A678" s="5" t="s">
        <v>3044</v>
      </c>
      <c r="B678" s="7" t="n">
        <v>29</v>
      </c>
      <c r="C678" s="7" t="n">
        <v>32</v>
      </c>
      <c r="D678" s="7" t="s">
        <v>3871</v>
      </c>
      <c r="E678" s="7"/>
      <c r="G678" s="5" t="str">
        <f aca="false">IF(ISNUMBER(FIND("old rod:",A678)),"old rod:",A678)</f>
        <v>29, 32, MAROWAK</v>
      </c>
      <c r="I678" s="5" t="s">
        <v>3044</v>
      </c>
    </row>
    <row r="679" customFormat="false" ht="12.75" hidden="false" customHeight="true" outlineLevel="0" collapsed="false">
      <c r="A679" s="5" t="s">
        <v>3045</v>
      </c>
      <c r="B679" s="7" t="n">
        <v>28</v>
      </c>
      <c r="C679" s="7" t="n">
        <v>31</v>
      </c>
      <c r="D679" s="7" t="s">
        <v>3773</v>
      </c>
      <c r="E679" s="7"/>
      <c r="G679" s="5" t="str">
        <f aca="false">IF(ISNUMBER(FIND("old rod:",A679)),"old rod:",A679)</f>
        <v>28, 31, RATTCHET</v>
      </c>
      <c r="I679" s="5" t="s">
        <v>3045</v>
      </c>
    </row>
    <row r="680" customFormat="false" ht="12.75" hidden="false" customHeight="true" outlineLevel="0" collapsed="false">
      <c r="A680" s="5" t="n">
        <v>0.01</v>
      </c>
      <c r="B680" s="5" t="n">
        <v>0.01</v>
      </c>
      <c r="C680" s="7"/>
      <c r="D680" s="7"/>
      <c r="E680" s="7"/>
      <c r="G680" s="5" t="n">
        <f aca="false">IF(ISNUMBER(FIND("old rod:",A680)),"old rod:",A680)</f>
        <v>0.01</v>
      </c>
      <c r="I680" s="5" t="n">
        <v>0.01</v>
      </c>
    </row>
    <row r="681" customFormat="false" ht="12.75" hidden="false" customHeight="true" outlineLevel="0" collapsed="false">
      <c r="A681" s="5" t="s">
        <v>3046</v>
      </c>
      <c r="B681" s="7" t="n">
        <v>33</v>
      </c>
      <c r="C681" s="7" t="n">
        <v>33</v>
      </c>
      <c r="D681" s="7" t="s">
        <v>3866</v>
      </c>
      <c r="E681" s="7"/>
      <c r="G681" s="5" t="str">
        <f aca="false">IF(ISNUMBER(FIND("old rod:",A681)),"old rod:",A681)</f>
        <v>33, 33, HAUNTER</v>
      </c>
      <c r="I681" s="5" t="s">
        <v>3046</v>
      </c>
    </row>
    <row r="682" customFormat="false" ht="12.75" hidden="false" customHeight="true" outlineLevel="0" collapsed="false">
      <c r="A682" s="5" t="s">
        <v>3717</v>
      </c>
      <c r="B682" s="7" t="n">
        <v>32</v>
      </c>
      <c r="C682" s="7" t="n">
        <v>33</v>
      </c>
      <c r="D682" s="7" t="s">
        <v>3774</v>
      </c>
      <c r="E682" s="7"/>
      <c r="G682" s="5" t="str">
        <f aca="false">IF(ISNUMBER(FIND("old rod:",A682)),"old rod:",A682)</f>
        <v>32, 33, NINETALES</v>
      </c>
      <c r="I682" s="5" t="s">
        <v>3717</v>
      </c>
    </row>
    <row r="683" customFormat="false" ht="12.75" hidden="false" customHeight="true" outlineLevel="0" collapsed="false">
      <c r="A683" s="5" t="s">
        <v>2536</v>
      </c>
      <c r="B683" s="7" t="s">
        <v>2536</v>
      </c>
      <c r="C683" s="7"/>
      <c r="D683" s="7"/>
      <c r="E683" s="7"/>
      <c r="G683" s="5" t="str">
        <f aca="false">IF(ISNUMBER(FIND("old rod:",A683)),"old rod:",A683)</f>
        <v>NEW ROUTE</v>
      </c>
      <c r="I683" s="5" t="s">
        <v>2536</v>
      </c>
    </row>
    <row r="684" customFormat="false" ht="12.75" hidden="false" customHeight="true" outlineLevel="0" collapsed="false">
      <c r="A684" s="5" t="s">
        <v>195</v>
      </c>
      <c r="B684" s="7" t="s">
        <v>195</v>
      </c>
      <c r="C684" s="7"/>
      <c r="D684" s="7"/>
      <c r="E684" s="7"/>
      <c r="G684" s="5" t="str">
        <f aca="false">IF(ISNUMBER(FIND("old rod:",A684)),"old rod:",A684)</f>
        <v>Pokémon Tower 4F</v>
      </c>
      <c r="I684" s="5" t="s">
        <v>195</v>
      </c>
    </row>
    <row r="685" customFormat="false" ht="12.75" hidden="false" customHeight="true" outlineLevel="0" collapsed="false">
      <c r="A685" s="5" t="n">
        <v>0.2</v>
      </c>
      <c r="B685" s="5" t="n">
        <v>0.2</v>
      </c>
      <c r="C685" s="7"/>
      <c r="D685" s="7"/>
      <c r="E685" s="7"/>
      <c r="G685" s="5" t="n">
        <f aca="false">IF(ISNUMBER(FIND("old rod:",A685)),"old rod:",A685)</f>
        <v>0.2</v>
      </c>
      <c r="I685" s="5" t="n">
        <v>0.2</v>
      </c>
    </row>
    <row r="686" customFormat="false" ht="12.75" hidden="false" customHeight="true" outlineLevel="0" collapsed="false">
      <c r="A686" s="5" t="s">
        <v>1463</v>
      </c>
      <c r="B686" s="7" t="n">
        <v>28</v>
      </c>
      <c r="C686" s="7" t="n">
        <v>31</v>
      </c>
      <c r="D686" s="7" t="s">
        <v>3863</v>
      </c>
      <c r="E686" s="7"/>
      <c r="G686" s="5" t="str">
        <f aca="false">IF(ISNUMBER(FIND("old rod:",A686)),"old rod:",A686)</f>
        <v>28, 31, GASTLY</v>
      </c>
      <c r="I686" s="5" t="s">
        <v>1463</v>
      </c>
    </row>
    <row r="687" customFormat="false" ht="12.75" hidden="false" customHeight="true" outlineLevel="0" collapsed="false">
      <c r="A687" s="5" t="s">
        <v>3037</v>
      </c>
      <c r="B687" s="7" t="n">
        <v>29</v>
      </c>
      <c r="C687" s="7" t="n">
        <v>32</v>
      </c>
      <c r="D687" s="7" t="s">
        <v>3864</v>
      </c>
      <c r="E687" s="7"/>
      <c r="G687" s="5" t="str">
        <f aca="false">IF(ISNUMBER(FIND("old rod:",A687)),"old rod:",A687)</f>
        <v>29, 32, RATTATA</v>
      </c>
      <c r="I687" s="5" t="s">
        <v>3037</v>
      </c>
    </row>
    <row r="688" customFormat="false" ht="12.75" hidden="false" customHeight="true" outlineLevel="0" collapsed="false">
      <c r="A688" s="5" t="n">
        <v>0.1</v>
      </c>
      <c r="B688" s="5" t="n">
        <v>0.1</v>
      </c>
      <c r="C688" s="7"/>
      <c r="D688" s="7"/>
      <c r="E688" s="7"/>
      <c r="G688" s="5" t="n">
        <f aca="false">IF(ISNUMBER(FIND("old rod:",A688)),"old rod:",A688)</f>
        <v>0.1</v>
      </c>
      <c r="I688" s="5" t="n">
        <v>0.1</v>
      </c>
    </row>
    <row r="689" customFormat="false" ht="12.75" hidden="false" customHeight="true" outlineLevel="0" collapsed="false">
      <c r="A689" s="5" t="s">
        <v>3038</v>
      </c>
      <c r="B689" s="7" t="n">
        <v>27</v>
      </c>
      <c r="C689" s="7" t="n">
        <v>31</v>
      </c>
      <c r="D689" s="7" t="s">
        <v>3865</v>
      </c>
      <c r="E689" s="7"/>
      <c r="G689" s="5" t="str">
        <f aca="false">IF(ISNUMBER(FIND("old rod:",A689)),"old rod:",A689)</f>
        <v>27, 31, CUBONE</v>
      </c>
      <c r="I689" s="5" t="s">
        <v>3038</v>
      </c>
    </row>
    <row r="690" customFormat="false" ht="12.75" hidden="false" customHeight="true" outlineLevel="0" collapsed="false">
      <c r="A690" s="5" t="s">
        <v>3039</v>
      </c>
      <c r="B690" s="7" t="n">
        <v>29</v>
      </c>
      <c r="C690" s="7" t="n">
        <v>32</v>
      </c>
      <c r="D690" s="7" t="s">
        <v>3866</v>
      </c>
      <c r="E690" s="7"/>
      <c r="G690" s="5" t="str">
        <f aca="false">IF(ISNUMBER(FIND("old rod:",A690)),"old rod:",A690)</f>
        <v>29, 32, HAUNTER</v>
      </c>
      <c r="I690" s="5" t="s">
        <v>3039</v>
      </c>
    </row>
    <row r="691" customFormat="false" ht="12.75" hidden="false" customHeight="true" outlineLevel="0" collapsed="false">
      <c r="A691" s="5" t="s">
        <v>3040</v>
      </c>
      <c r="B691" s="7" t="n">
        <v>28</v>
      </c>
      <c r="C691" s="7" t="n">
        <v>31</v>
      </c>
      <c r="D691" s="7" t="s">
        <v>3867</v>
      </c>
      <c r="E691" s="7"/>
      <c r="G691" s="5" t="str">
        <f aca="false">IF(ISNUMBER(FIND("old rod:",A691)),"old rod:",A691)</f>
        <v>28, 31, DROWZEE</v>
      </c>
      <c r="I691" s="5" t="s">
        <v>3040</v>
      </c>
    </row>
    <row r="692" customFormat="false" ht="12.75" hidden="false" customHeight="true" outlineLevel="0" collapsed="false">
      <c r="A692" s="5" t="s">
        <v>3041</v>
      </c>
      <c r="B692" s="7" t="n">
        <v>28</v>
      </c>
      <c r="C692" s="7" t="n">
        <v>31</v>
      </c>
      <c r="D692" s="7" t="s">
        <v>3868</v>
      </c>
      <c r="E692" s="7"/>
      <c r="G692" s="5" t="str">
        <f aca="false">IF(ISNUMBER(FIND("old rod:",A692)),"old rod:",A692)</f>
        <v>28, 31, VULPIX</v>
      </c>
      <c r="I692" s="5" t="s">
        <v>3041</v>
      </c>
    </row>
    <row r="693" customFormat="false" ht="12.75" hidden="false" customHeight="true" outlineLevel="0" collapsed="false">
      <c r="A693" s="5" t="n">
        <v>0.05</v>
      </c>
      <c r="B693" s="5" t="n">
        <v>0.05</v>
      </c>
      <c r="C693" s="7"/>
      <c r="D693" s="7"/>
      <c r="E693" s="7"/>
      <c r="G693" s="5" t="n">
        <f aca="false">IF(ISNUMBER(FIND("old rod:",A693)),"old rod:",A693)</f>
        <v>0.05</v>
      </c>
      <c r="I693" s="5" t="n">
        <v>0.05</v>
      </c>
    </row>
    <row r="694" customFormat="false" ht="12.75" hidden="false" customHeight="true" outlineLevel="0" collapsed="false">
      <c r="A694" s="5" t="s">
        <v>3042</v>
      </c>
      <c r="B694" s="7" t="n">
        <v>29</v>
      </c>
      <c r="C694" s="7" t="n">
        <v>32</v>
      </c>
      <c r="D694" s="7" t="s">
        <v>3869</v>
      </c>
      <c r="E694" s="7"/>
      <c r="G694" s="5" t="str">
        <f aca="false">IF(ISNUMBER(FIND("old rod:",A694)),"old rod:",A694)</f>
        <v>29, 32, HYPNO</v>
      </c>
      <c r="I694" s="5" t="s">
        <v>3042</v>
      </c>
    </row>
    <row r="695" customFormat="false" ht="12.75" hidden="false" customHeight="true" outlineLevel="0" collapsed="false">
      <c r="A695" s="5" t="s">
        <v>3043</v>
      </c>
      <c r="B695" s="7" t="n">
        <v>28</v>
      </c>
      <c r="C695" s="7" t="n">
        <v>31</v>
      </c>
      <c r="D695" s="7" t="s">
        <v>3870</v>
      </c>
      <c r="E695" s="7"/>
      <c r="G695" s="5" t="str">
        <f aca="false">IF(ISNUMBER(FIND("old rod:",A695)),"old rod:",A695)</f>
        <v>28, 31, RATICATE</v>
      </c>
      <c r="I695" s="5" t="s">
        <v>3043</v>
      </c>
    </row>
    <row r="696" customFormat="false" ht="12.75" hidden="false" customHeight="true" outlineLevel="0" collapsed="false">
      <c r="A696" s="5" t="n">
        <v>0.04</v>
      </c>
      <c r="B696" s="5" t="n">
        <v>0.04</v>
      </c>
      <c r="C696" s="7"/>
      <c r="D696" s="7"/>
      <c r="E696" s="7"/>
      <c r="G696" s="5" t="n">
        <f aca="false">IF(ISNUMBER(FIND("old rod:",A696)),"old rod:",A696)</f>
        <v>0.04</v>
      </c>
      <c r="I696" s="5" t="n">
        <v>0.04</v>
      </c>
    </row>
    <row r="697" customFormat="false" ht="12.75" hidden="false" customHeight="true" outlineLevel="0" collapsed="false">
      <c r="A697" s="5" t="s">
        <v>3044</v>
      </c>
      <c r="B697" s="7" t="n">
        <v>29</v>
      </c>
      <c r="C697" s="7" t="n">
        <v>32</v>
      </c>
      <c r="D697" s="7" t="s">
        <v>3871</v>
      </c>
      <c r="E697" s="7"/>
      <c r="G697" s="5" t="str">
        <f aca="false">IF(ISNUMBER(FIND("old rod:",A697)),"old rod:",A697)</f>
        <v>29, 32, MAROWAK</v>
      </c>
      <c r="I697" s="5" t="s">
        <v>3044</v>
      </c>
    </row>
    <row r="698" customFormat="false" ht="12.75" hidden="false" customHeight="true" outlineLevel="0" collapsed="false">
      <c r="A698" s="5" t="s">
        <v>3045</v>
      </c>
      <c r="B698" s="7" t="n">
        <v>28</v>
      </c>
      <c r="C698" s="7" t="n">
        <v>31</v>
      </c>
      <c r="D698" s="7" t="s">
        <v>3773</v>
      </c>
      <c r="E698" s="7"/>
      <c r="G698" s="5" t="str">
        <f aca="false">IF(ISNUMBER(FIND("old rod:",A698)),"old rod:",A698)</f>
        <v>28, 31, RATTCHET</v>
      </c>
      <c r="I698" s="5" t="s">
        <v>3045</v>
      </c>
    </row>
    <row r="699" customFormat="false" ht="12.75" hidden="false" customHeight="true" outlineLevel="0" collapsed="false">
      <c r="A699" s="5" t="n">
        <v>0.01</v>
      </c>
      <c r="B699" s="5" t="n">
        <v>0.01</v>
      </c>
      <c r="C699" s="7"/>
      <c r="D699" s="7"/>
      <c r="E699" s="7"/>
      <c r="G699" s="5" t="n">
        <f aca="false">IF(ISNUMBER(FIND("old rod:",A699)),"old rod:",A699)</f>
        <v>0.01</v>
      </c>
      <c r="I699" s="5" t="n">
        <v>0.01</v>
      </c>
    </row>
    <row r="700" customFormat="false" ht="12.75" hidden="false" customHeight="true" outlineLevel="0" collapsed="false">
      <c r="A700" s="5" t="s">
        <v>3046</v>
      </c>
      <c r="B700" s="7" t="n">
        <v>33</v>
      </c>
      <c r="C700" s="7" t="n">
        <v>33</v>
      </c>
      <c r="D700" s="7" t="s">
        <v>3866</v>
      </c>
      <c r="E700" s="7"/>
      <c r="G700" s="5" t="str">
        <f aca="false">IF(ISNUMBER(FIND("old rod:",A700)),"old rod:",A700)</f>
        <v>33, 33, HAUNTER</v>
      </c>
      <c r="I700" s="5" t="s">
        <v>3046</v>
      </c>
    </row>
    <row r="701" customFormat="false" ht="12.75" hidden="false" customHeight="true" outlineLevel="0" collapsed="false">
      <c r="A701" s="5" t="s">
        <v>3717</v>
      </c>
      <c r="B701" s="7" t="n">
        <v>32</v>
      </c>
      <c r="C701" s="7" t="n">
        <v>33</v>
      </c>
      <c r="D701" s="7" t="s">
        <v>3774</v>
      </c>
      <c r="E701" s="7"/>
      <c r="G701" s="5" t="str">
        <f aca="false">IF(ISNUMBER(FIND("old rod:",A701)),"old rod:",A701)</f>
        <v>32, 33, NINETALES</v>
      </c>
      <c r="I701" s="5" t="s">
        <v>3717</v>
      </c>
    </row>
    <row r="702" customFormat="false" ht="12.75" hidden="false" customHeight="true" outlineLevel="0" collapsed="false">
      <c r="A702" s="5" t="s">
        <v>2536</v>
      </c>
      <c r="B702" s="7" t="s">
        <v>2536</v>
      </c>
      <c r="C702" s="7"/>
      <c r="D702" s="7"/>
      <c r="E702" s="7"/>
      <c r="G702" s="5" t="str">
        <f aca="false">IF(ISNUMBER(FIND("old rod:",A702)),"old rod:",A702)</f>
        <v>NEW ROUTE</v>
      </c>
      <c r="I702" s="5" t="s">
        <v>2536</v>
      </c>
    </row>
    <row r="703" customFormat="false" ht="12.75" hidden="false" customHeight="true" outlineLevel="0" collapsed="false">
      <c r="A703" s="5" t="s">
        <v>197</v>
      </c>
      <c r="B703" s="7" t="s">
        <v>197</v>
      </c>
      <c r="C703" s="7"/>
      <c r="D703" s="7"/>
      <c r="E703" s="7"/>
      <c r="G703" s="5" t="str">
        <f aca="false">IF(ISNUMBER(FIND("old rod:",A703)),"old rod:",A703)</f>
        <v>Pokémon Tower 5F</v>
      </c>
      <c r="I703" s="5" t="s">
        <v>197</v>
      </c>
    </row>
    <row r="704" customFormat="false" ht="12.75" hidden="false" customHeight="true" outlineLevel="0" collapsed="false">
      <c r="A704" s="5" t="n">
        <v>0.2</v>
      </c>
      <c r="B704" s="5" t="n">
        <v>0.2</v>
      </c>
      <c r="C704" s="7"/>
      <c r="D704" s="7"/>
      <c r="E704" s="7"/>
      <c r="G704" s="5" t="n">
        <f aca="false">IF(ISNUMBER(FIND("old rod:",A704)),"old rod:",A704)</f>
        <v>0.2</v>
      </c>
      <c r="I704" s="5" t="n">
        <v>0.2</v>
      </c>
    </row>
    <row r="705" customFormat="false" ht="12.75" hidden="false" customHeight="true" outlineLevel="0" collapsed="false">
      <c r="A705" s="5" t="s">
        <v>1463</v>
      </c>
      <c r="B705" s="7" t="n">
        <v>28</v>
      </c>
      <c r="C705" s="7" t="n">
        <v>31</v>
      </c>
      <c r="D705" s="7" t="s">
        <v>3863</v>
      </c>
      <c r="E705" s="7"/>
      <c r="G705" s="5" t="str">
        <f aca="false">IF(ISNUMBER(FIND("old rod:",A705)),"old rod:",A705)</f>
        <v>28, 31, GASTLY</v>
      </c>
      <c r="I705" s="5" t="s">
        <v>1463</v>
      </c>
    </row>
    <row r="706" customFormat="false" ht="12.75" hidden="false" customHeight="true" outlineLevel="0" collapsed="false">
      <c r="A706" s="5" t="s">
        <v>3037</v>
      </c>
      <c r="B706" s="7" t="n">
        <v>29</v>
      </c>
      <c r="C706" s="7" t="n">
        <v>32</v>
      </c>
      <c r="D706" s="7" t="s">
        <v>3864</v>
      </c>
      <c r="E706" s="7"/>
      <c r="G706" s="5" t="str">
        <f aca="false">IF(ISNUMBER(FIND("old rod:",A706)),"old rod:",A706)</f>
        <v>29, 32, RATTATA</v>
      </c>
      <c r="I706" s="5" t="s">
        <v>3037</v>
      </c>
    </row>
    <row r="707" customFormat="false" ht="12.75" hidden="false" customHeight="true" outlineLevel="0" collapsed="false">
      <c r="A707" s="5" t="n">
        <v>0.1</v>
      </c>
      <c r="B707" s="5" t="n">
        <v>0.1</v>
      </c>
      <c r="C707" s="7"/>
      <c r="D707" s="7"/>
      <c r="E707" s="7"/>
      <c r="G707" s="5" t="n">
        <f aca="false">IF(ISNUMBER(FIND("old rod:",A707)),"old rod:",A707)</f>
        <v>0.1</v>
      </c>
      <c r="I707" s="5" t="n">
        <v>0.1</v>
      </c>
    </row>
    <row r="708" customFormat="false" ht="12.75" hidden="false" customHeight="true" outlineLevel="0" collapsed="false">
      <c r="A708" s="5" t="s">
        <v>3038</v>
      </c>
      <c r="B708" s="7" t="n">
        <v>27</v>
      </c>
      <c r="C708" s="7" t="n">
        <v>31</v>
      </c>
      <c r="D708" s="7" t="s">
        <v>3865</v>
      </c>
      <c r="E708" s="7"/>
      <c r="G708" s="5" t="str">
        <f aca="false">IF(ISNUMBER(FIND("old rod:",A708)),"old rod:",A708)</f>
        <v>27, 31, CUBONE</v>
      </c>
      <c r="I708" s="5" t="s">
        <v>3038</v>
      </c>
    </row>
    <row r="709" customFormat="false" ht="12.75" hidden="false" customHeight="true" outlineLevel="0" collapsed="false">
      <c r="A709" s="5" t="s">
        <v>3039</v>
      </c>
      <c r="B709" s="7" t="n">
        <v>29</v>
      </c>
      <c r="C709" s="7" t="n">
        <v>32</v>
      </c>
      <c r="D709" s="7" t="s">
        <v>3866</v>
      </c>
      <c r="E709" s="7"/>
      <c r="G709" s="5" t="str">
        <f aca="false">IF(ISNUMBER(FIND("old rod:",A709)),"old rod:",A709)</f>
        <v>29, 32, HAUNTER</v>
      </c>
      <c r="I709" s="5" t="s">
        <v>3039</v>
      </c>
    </row>
    <row r="710" customFormat="false" ht="12.75" hidden="false" customHeight="true" outlineLevel="0" collapsed="false">
      <c r="A710" s="5" t="s">
        <v>3040</v>
      </c>
      <c r="B710" s="7" t="n">
        <v>28</v>
      </c>
      <c r="C710" s="7" t="n">
        <v>31</v>
      </c>
      <c r="D710" s="7" t="s">
        <v>3867</v>
      </c>
      <c r="E710" s="7"/>
      <c r="G710" s="5" t="str">
        <f aca="false">IF(ISNUMBER(FIND("old rod:",A710)),"old rod:",A710)</f>
        <v>28, 31, DROWZEE</v>
      </c>
      <c r="I710" s="5" t="s">
        <v>3040</v>
      </c>
    </row>
    <row r="711" customFormat="false" ht="12.75" hidden="false" customHeight="true" outlineLevel="0" collapsed="false">
      <c r="A711" s="5" t="s">
        <v>3041</v>
      </c>
      <c r="B711" s="7" t="n">
        <v>28</v>
      </c>
      <c r="C711" s="7" t="n">
        <v>31</v>
      </c>
      <c r="D711" s="7" t="s">
        <v>3868</v>
      </c>
      <c r="E711" s="7"/>
      <c r="G711" s="5" t="str">
        <f aca="false">IF(ISNUMBER(FIND("old rod:",A711)),"old rod:",A711)</f>
        <v>28, 31, VULPIX</v>
      </c>
      <c r="I711" s="5" t="s">
        <v>3041</v>
      </c>
    </row>
    <row r="712" customFormat="false" ht="12.75" hidden="false" customHeight="true" outlineLevel="0" collapsed="false">
      <c r="A712" s="5" t="n">
        <v>0.05</v>
      </c>
      <c r="B712" s="5" t="n">
        <v>0.05</v>
      </c>
      <c r="C712" s="7"/>
      <c r="D712" s="7"/>
      <c r="E712" s="7"/>
      <c r="G712" s="5" t="n">
        <f aca="false">IF(ISNUMBER(FIND("old rod:",A712)),"old rod:",A712)</f>
        <v>0.05</v>
      </c>
      <c r="I712" s="5" t="n">
        <v>0.05</v>
      </c>
    </row>
    <row r="713" customFormat="false" ht="12.75" hidden="false" customHeight="true" outlineLevel="0" collapsed="false">
      <c r="A713" s="5" t="s">
        <v>3042</v>
      </c>
      <c r="B713" s="7" t="n">
        <v>29</v>
      </c>
      <c r="C713" s="7" t="n">
        <v>32</v>
      </c>
      <c r="D713" s="7" t="s">
        <v>3869</v>
      </c>
      <c r="E713" s="7"/>
      <c r="G713" s="5" t="str">
        <f aca="false">IF(ISNUMBER(FIND("old rod:",A713)),"old rod:",A713)</f>
        <v>29, 32, HYPNO</v>
      </c>
      <c r="I713" s="5" t="s">
        <v>3042</v>
      </c>
    </row>
    <row r="714" customFormat="false" ht="12.75" hidden="false" customHeight="true" outlineLevel="0" collapsed="false">
      <c r="A714" s="5" t="s">
        <v>3043</v>
      </c>
      <c r="B714" s="7" t="n">
        <v>28</v>
      </c>
      <c r="C714" s="7" t="n">
        <v>31</v>
      </c>
      <c r="D714" s="7" t="s">
        <v>3870</v>
      </c>
      <c r="E714" s="7"/>
      <c r="G714" s="5" t="str">
        <f aca="false">IF(ISNUMBER(FIND("old rod:",A714)),"old rod:",A714)</f>
        <v>28, 31, RATICATE</v>
      </c>
      <c r="I714" s="5" t="s">
        <v>3043</v>
      </c>
    </row>
    <row r="715" customFormat="false" ht="12.75" hidden="false" customHeight="true" outlineLevel="0" collapsed="false">
      <c r="A715" s="5" t="n">
        <v>0.04</v>
      </c>
      <c r="B715" s="5" t="n">
        <v>0.04</v>
      </c>
      <c r="C715" s="7"/>
      <c r="D715" s="7"/>
      <c r="E715" s="7"/>
      <c r="G715" s="5" t="n">
        <f aca="false">IF(ISNUMBER(FIND("old rod:",A715)),"old rod:",A715)</f>
        <v>0.04</v>
      </c>
      <c r="I715" s="5" t="n">
        <v>0.04</v>
      </c>
    </row>
    <row r="716" customFormat="false" ht="12.75" hidden="false" customHeight="true" outlineLevel="0" collapsed="false">
      <c r="A716" s="5" t="s">
        <v>3044</v>
      </c>
      <c r="B716" s="7" t="n">
        <v>29</v>
      </c>
      <c r="C716" s="7" t="n">
        <v>32</v>
      </c>
      <c r="D716" s="7" t="s">
        <v>3871</v>
      </c>
      <c r="E716" s="7"/>
      <c r="G716" s="5" t="str">
        <f aca="false">IF(ISNUMBER(FIND("old rod:",A716)),"old rod:",A716)</f>
        <v>29, 32, MAROWAK</v>
      </c>
      <c r="I716" s="5" t="s">
        <v>3044</v>
      </c>
    </row>
    <row r="717" customFormat="false" ht="12.75" hidden="false" customHeight="true" outlineLevel="0" collapsed="false">
      <c r="A717" s="5" t="s">
        <v>3045</v>
      </c>
      <c r="B717" s="7" t="n">
        <v>28</v>
      </c>
      <c r="C717" s="7" t="n">
        <v>31</v>
      </c>
      <c r="D717" s="7" t="s">
        <v>3773</v>
      </c>
      <c r="E717" s="7"/>
      <c r="G717" s="5" t="str">
        <f aca="false">IF(ISNUMBER(FIND("old rod:",A717)),"old rod:",A717)</f>
        <v>28, 31, RATTCHET</v>
      </c>
      <c r="I717" s="5" t="s">
        <v>3045</v>
      </c>
    </row>
    <row r="718" customFormat="false" ht="12.75" hidden="false" customHeight="true" outlineLevel="0" collapsed="false">
      <c r="A718" s="5" t="n">
        <v>0.01</v>
      </c>
      <c r="B718" s="5" t="n">
        <v>0.01</v>
      </c>
      <c r="C718" s="7"/>
      <c r="D718" s="7"/>
      <c r="E718" s="7"/>
      <c r="G718" s="5" t="n">
        <f aca="false">IF(ISNUMBER(FIND("old rod:",A718)),"old rod:",A718)</f>
        <v>0.01</v>
      </c>
      <c r="I718" s="5" t="n">
        <v>0.01</v>
      </c>
    </row>
    <row r="719" customFormat="false" ht="12.75" hidden="false" customHeight="true" outlineLevel="0" collapsed="false">
      <c r="A719" s="5" t="s">
        <v>3046</v>
      </c>
      <c r="B719" s="7" t="n">
        <v>33</v>
      </c>
      <c r="C719" s="7" t="n">
        <v>33</v>
      </c>
      <c r="D719" s="7" t="s">
        <v>3866</v>
      </c>
      <c r="E719" s="7"/>
      <c r="G719" s="5" t="str">
        <f aca="false">IF(ISNUMBER(FIND("old rod:",A719)),"old rod:",A719)</f>
        <v>33, 33, HAUNTER</v>
      </c>
      <c r="I719" s="5" t="s">
        <v>3046</v>
      </c>
    </row>
    <row r="720" customFormat="false" ht="12.75" hidden="false" customHeight="true" outlineLevel="0" collapsed="false">
      <c r="A720" s="5" t="s">
        <v>3717</v>
      </c>
      <c r="B720" s="7" t="n">
        <v>32</v>
      </c>
      <c r="C720" s="7" t="n">
        <v>33</v>
      </c>
      <c r="D720" s="7" t="s">
        <v>3774</v>
      </c>
      <c r="E720" s="7"/>
      <c r="G720" s="5" t="str">
        <f aca="false">IF(ISNUMBER(FIND("old rod:",A720)),"old rod:",A720)</f>
        <v>32, 33, NINETALES</v>
      </c>
      <c r="I720" s="5" t="s">
        <v>3717</v>
      </c>
    </row>
    <row r="721" customFormat="false" ht="12.75" hidden="false" customHeight="true" outlineLevel="0" collapsed="false">
      <c r="A721" s="5" t="s">
        <v>2536</v>
      </c>
      <c r="B721" s="7" t="s">
        <v>2536</v>
      </c>
      <c r="C721" s="7"/>
      <c r="D721" s="7"/>
      <c r="E721" s="7"/>
      <c r="G721" s="5" t="str">
        <f aca="false">IF(ISNUMBER(FIND("old rod:",A721)),"old rod:",A721)</f>
        <v>NEW ROUTE</v>
      </c>
      <c r="I721" s="5" t="s">
        <v>2536</v>
      </c>
    </row>
    <row r="722" customFormat="false" ht="12.75" hidden="false" customHeight="true" outlineLevel="0" collapsed="false">
      <c r="A722" s="5" t="s">
        <v>199</v>
      </c>
      <c r="B722" s="7" t="s">
        <v>199</v>
      </c>
      <c r="C722" s="7"/>
      <c r="D722" s="7"/>
      <c r="E722" s="7"/>
      <c r="G722" s="5" t="str">
        <f aca="false">IF(ISNUMBER(FIND("old rod:",A722)),"old rod:",A722)</f>
        <v>Pokémon Tower 6F</v>
      </c>
      <c r="I722" s="5" t="s">
        <v>199</v>
      </c>
    </row>
    <row r="723" customFormat="false" ht="12.75" hidden="false" customHeight="true" outlineLevel="0" collapsed="false">
      <c r="A723" s="5" t="n">
        <v>0.2</v>
      </c>
      <c r="B723" s="5" t="n">
        <v>0.2</v>
      </c>
      <c r="C723" s="7"/>
      <c r="D723" s="7"/>
      <c r="E723" s="7"/>
      <c r="G723" s="5" t="n">
        <f aca="false">IF(ISNUMBER(FIND("old rod:",A723)),"old rod:",A723)</f>
        <v>0.2</v>
      </c>
      <c r="I723" s="5" t="n">
        <v>0.2</v>
      </c>
    </row>
    <row r="724" customFormat="false" ht="12.75" hidden="false" customHeight="true" outlineLevel="0" collapsed="false">
      <c r="A724" s="5" t="s">
        <v>1463</v>
      </c>
      <c r="B724" s="7" t="n">
        <v>28</v>
      </c>
      <c r="C724" s="7" t="n">
        <v>31</v>
      </c>
      <c r="D724" s="7" t="s">
        <v>3863</v>
      </c>
      <c r="E724" s="7"/>
      <c r="G724" s="5" t="str">
        <f aca="false">IF(ISNUMBER(FIND("old rod:",A724)),"old rod:",A724)</f>
        <v>28, 31, GASTLY</v>
      </c>
      <c r="I724" s="5" t="s">
        <v>1463</v>
      </c>
    </row>
    <row r="725" customFormat="false" ht="12.75" hidden="false" customHeight="true" outlineLevel="0" collapsed="false">
      <c r="A725" s="5" t="s">
        <v>3037</v>
      </c>
      <c r="B725" s="7" t="n">
        <v>29</v>
      </c>
      <c r="C725" s="7" t="n">
        <v>32</v>
      </c>
      <c r="D725" s="7" t="s">
        <v>3864</v>
      </c>
      <c r="E725" s="7"/>
      <c r="G725" s="5" t="str">
        <f aca="false">IF(ISNUMBER(FIND("old rod:",A725)),"old rod:",A725)</f>
        <v>29, 32, RATTATA</v>
      </c>
      <c r="I725" s="5" t="s">
        <v>3037</v>
      </c>
    </row>
    <row r="726" customFormat="false" ht="12.75" hidden="false" customHeight="true" outlineLevel="0" collapsed="false">
      <c r="A726" s="5" t="n">
        <v>0.1</v>
      </c>
      <c r="B726" s="5" t="n">
        <v>0.1</v>
      </c>
      <c r="C726" s="7"/>
      <c r="D726" s="7"/>
      <c r="E726" s="7"/>
      <c r="G726" s="5" t="n">
        <f aca="false">IF(ISNUMBER(FIND("old rod:",A726)),"old rod:",A726)</f>
        <v>0.1</v>
      </c>
      <c r="I726" s="5" t="n">
        <v>0.1</v>
      </c>
    </row>
    <row r="727" customFormat="false" ht="12.75" hidden="false" customHeight="true" outlineLevel="0" collapsed="false">
      <c r="A727" s="5" t="s">
        <v>3038</v>
      </c>
      <c r="B727" s="7" t="n">
        <v>27</v>
      </c>
      <c r="C727" s="7" t="n">
        <v>31</v>
      </c>
      <c r="D727" s="7" t="s">
        <v>3865</v>
      </c>
      <c r="E727" s="7"/>
      <c r="G727" s="5" t="str">
        <f aca="false">IF(ISNUMBER(FIND("old rod:",A727)),"old rod:",A727)</f>
        <v>27, 31, CUBONE</v>
      </c>
      <c r="I727" s="5" t="s">
        <v>3038</v>
      </c>
    </row>
    <row r="728" customFormat="false" ht="12.75" hidden="false" customHeight="true" outlineLevel="0" collapsed="false">
      <c r="A728" s="5" t="s">
        <v>3039</v>
      </c>
      <c r="B728" s="7" t="n">
        <v>29</v>
      </c>
      <c r="C728" s="7" t="n">
        <v>32</v>
      </c>
      <c r="D728" s="7" t="s">
        <v>3866</v>
      </c>
      <c r="E728" s="7"/>
      <c r="G728" s="5" t="str">
        <f aca="false">IF(ISNUMBER(FIND("old rod:",A728)),"old rod:",A728)</f>
        <v>29, 32, HAUNTER</v>
      </c>
      <c r="I728" s="5" t="s">
        <v>3039</v>
      </c>
    </row>
    <row r="729" customFormat="false" ht="12.75" hidden="false" customHeight="true" outlineLevel="0" collapsed="false">
      <c r="A729" s="5" t="s">
        <v>3040</v>
      </c>
      <c r="B729" s="7" t="n">
        <v>28</v>
      </c>
      <c r="C729" s="7" t="n">
        <v>31</v>
      </c>
      <c r="D729" s="7" t="s">
        <v>3867</v>
      </c>
      <c r="E729" s="7"/>
      <c r="G729" s="5" t="str">
        <f aca="false">IF(ISNUMBER(FIND("old rod:",A729)),"old rod:",A729)</f>
        <v>28, 31, DROWZEE</v>
      </c>
      <c r="I729" s="5" t="s">
        <v>3040</v>
      </c>
    </row>
    <row r="730" customFormat="false" ht="12.75" hidden="false" customHeight="true" outlineLevel="0" collapsed="false">
      <c r="A730" s="5" t="s">
        <v>3041</v>
      </c>
      <c r="B730" s="7" t="n">
        <v>28</v>
      </c>
      <c r="C730" s="7" t="n">
        <v>31</v>
      </c>
      <c r="D730" s="7" t="s">
        <v>3868</v>
      </c>
      <c r="E730" s="7"/>
      <c r="G730" s="5" t="str">
        <f aca="false">IF(ISNUMBER(FIND("old rod:",A730)),"old rod:",A730)</f>
        <v>28, 31, VULPIX</v>
      </c>
      <c r="I730" s="5" t="s">
        <v>3041</v>
      </c>
    </row>
    <row r="731" customFormat="false" ht="12.75" hidden="false" customHeight="true" outlineLevel="0" collapsed="false">
      <c r="A731" s="5" t="n">
        <v>0.05</v>
      </c>
      <c r="B731" s="5" t="n">
        <v>0.05</v>
      </c>
      <c r="C731" s="7"/>
      <c r="D731" s="7"/>
      <c r="E731" s="7"/>
      <c r="G731" s="5" t="n">
        <f aca="false">IF(ISNUMBER(FIND("old rod:",A731)),"old rod:",A731)</f>
        <v>0.05</v>
      </c>
      <c r="I731" s="5" t="n">
        <v>0.05</v>
      </c>
    </row>
    <row r="732" customFormat="false" ht="12.75" hidden="false" customHeight="true" outlineLevel="0" collapsed="false">
      <c r="A732" s="5" t="s">
        <v>3042</v>
      </c>
      <c r="B732" s="7" t="n">
        <v>29</v>
      </c>
      <c r="C732" s="7" t="n">
        <v>32</v>
      </c>
      <c r="D732" s="7" t="s">
        <v>3869</v>
      </c>
      <c r="E732" s="7"/>
      <c r="G732" s="5" t="str">
        <f aca="false">IF(ISNUMBER(FIND("old rod:",A732)),"old rod:",A732)</f>
        <v>29, 32, HYPNO</v>
      </c>
      <c r="I732" s="5" t="s">
        <v>3042</v>
      </c>
    </row>
    <row r="733" customFormat="false" ht="12.75" hidden="false" customHeight="true" outlineLevel="0" collapsed="false">
      <c r="A733" s="5" t="s">
        <v>3043</v>
      </c>
      <c r="B733" s="7" t="n">
        <v>28</v>
      </c>
      <c r="C733" s="7" t="n">
        <v>31</v>
      </c>
      <c r="D733" s="7" t="s">
        <v>3870</v>
      </c>
      <c r="E733" s="7"/>
      <c r="G733" s="5" t="str">
        <f aca="false">IF(ISNUMBER(FIND("old rod:",A733)),"old rod:",A733)</f>
        <v>28, 31, RATICATE</v>
      </c>
      <c r="I733" s="5" t="s">
        <v>3043</v>
      </c>
    </row>
    <row r="734" customFormat="false" ht="12.75" hidden="false" customHeight="true" outlineLevel="0" collapsed="false">
      <c r="A734" s="5" t="n">
        <v>0.04</v>
      </c>
      <c r="B734" s="5" t="n">
        <v>0.04</v>
      </c>
      <c r="C734" s="7"/>
      <c r="D734" s="7"/>
      <c r="E734" s="7"/>
      <c r="G734" s="5" t="n">
        <f aca="false">IF(ISNUMBER(FIND("old rod:",A734)),"old rod:",A734)</f>
        <v>0.04</v>
      </c>
      <c r="I734" s="5" t="n">
        <v>0.04</v>
      </c>
    </row>
    <row r="735" customFormat="false" ht="12.75" hidden="false" customHeight="true" outlineLevel="0" collapsed="false">
      <c r="A735" s="5" t="s">
        <v>3044</v>
      </c>
      <c r="B735" s="7" t="n">
        <v>29</v>
      </c>
      <c r="C735" s="7" t="n">
        <v>32</v>
      </c>
      <c r="D735" s="7" t="s">
        <v>3871</v>
      </c>
      <c r="E735" s="7"/>
      <c r="G735" s="5" t="str">
        <f aca="false">IF(ISNUMBER(FIND("old rod:",A735)),"old rod:",A735)</f>
        <v>29, 32, MAROWAK</v>
      </c>
      <c r="I735" s="5" t="s">
        <v>3044</v>
      </c>
    </row>
    <row r="736" customFormat="false" ht="12.75" hidden="false" customHeight="true" outlineLevel="0" collapsed="false">
      <c r="A736" s="5" t="s">
        <v>3045</v>
      </c>
      <c r="B736" s="7" t="n">
        <v>28</v>
      </c>
      <c r="C736" s="7" t="n">
        <v>31</v>
      </c>
      <c r="D736" s="7" t="s">
        <v>3773</v>
      </c>
      <c r="E736" s="7"/>
      <c r="G736" s="5" t="str">
        <f aca="false">IF(ISNUMBER(FIND("old rod:",A736)),"old rod:",A736)</f>
        <v>28, 31, RATTCHET</v>
      </c>
      <c r="I736" s="5" t="s">
        <v>3045</v>
      </c>
    </row>
    <row r="737" customFormat="false" ht="12.75" hidden="false" customHeight="true" outlineLevel="0" collapsed="false">
      <c r="A737" s="5" t="n">
        <v>0.01</v>
      </c>
      <c r="B737" s="5" t="n">
        <v>0.01</v>
      </c>
      <c r="C737" s="7"/>
      <c r="D737" s="7"/>
      <c r="E737" s="7"/>
      <c r="G737" s="5" t="n">
        <f aca="false">IF(ISNUMBER(FIND("old rod:",A737)),"old rod:",A737)</f>
        <v>0.01</v>
      </c>
      <c r="I737" s="5" t="n">
        <v>0.01</v>
      </c>
    </row>
    <row r="738" customFormat="false" ht="12.75" hidden="false" customHeight="true" outlineLevel="0" collapsed="false">
      <c r="A738" s="5" t="s">
        <v>3046</v>
      </c>
      <c r="B738" s="7" t="n">
        <v>33</v>
      </c>
      <c r="C738" s="7" t="n">
        <v>33</v>
      </c>
      <c r="D738" s="7" t="s">
        <v>3866</v>
      </c>
      <c r="E738" s="7"/>
      <c r="G738" s="5" t="str">
        <f aca="false">IF(ISNUMBER(FIND("old rod:",A738)),"old rod:",A738)</f>
        <v>33, 33, HAUNTER</v>
      </c>
      <c r="I738" s="5" t="s">
        <v>3046</v>
      </c>
    </row>
    <row r="739" customFormat="false" ht="12.75" hidden="false" customHeight="true" outlineLevel="0" collapsed="false">
      <c r="A739" s="5" t="s">
        <v>3717</v>
      </c>
      <c r="B739" s="7" t="n">
        <v>32</v>
      </c>
      <c r="C739" s="7" t="n">
        <v>33</v>
      </c>
      <c r="D739" s="7" t="s">
        <v>3774</v>
      </c>
      <c r="E739" s="7"/>
      <c r="G739" s="5" t="str">
        <f aca="false">IF(ISNUMBER(FIND("old rod:",A739)),"old rod:",A739)</f>
        <v>32, 33, NINETALES</v>
      </c>
      <c r="I739" s="5" t="s">
        <v>3717</v>
      </c>
    </row>
    <row r="740" customFormat="false" ht="12.75" hidden="false" customHeight="true" outlineLevel="0" collapsed="false">
      <c r="A740" s="5" t="s">
        <v>2536</v>
      </c>
      <c r="B740" s="7" t="s">
        <v>2536</v>
      </c>
      <c r="C740" s="7"/>
      <c r="D740" s="7"/>
      <c r="E740" s="7"/>
      <c r="G740" s="5" t="str">
        <f aca="false">IF(ISNUMBER(FIND("old rod:",A740)),"old rod:",A740)</f>
        <v>NEW ROUTE</v>
      </c>
      <c r="I740" s="5" t="s">
        <v>2536</v>
      </c>
    </row>
    <row r="741" customFormat="false" ht="12.75" hidden="false" customHeight="true" outlineLevel="0" collapsed="false">
      <c r="A741" s="5" t="s">
        <v>201</v>
      </c>
      <c r="B741" s="7" t="s">
        <v>201</v>
      </c>
      <c r="C741" s="7"/>
      <c r="D741" s="7"/>
      <c r="E741" s="7"/>
      <c r="G741" s="5" t="str">
        <f aca="false">IF(ISNUMBER(FIND("old rod:",A741)),"old rod:",A741)</f>
        <v>Pokémon Tower 7F</v>
      </c>
      <c r="I741" s="5" t="s">
        <v>201</v>
      </c>
    </row>
    <row r="742" customFormat="false" ht="12.75" hidden="false" customHeight="true" outlineLevel="0" collapsed="false">
      <c r="A742" s="5" t="n">
        <v>0.2</v>
      </c>
      <c r="B742" s="5" t="n">
        <v>0.2</v>
      </c>
      <c r="C742" s="7"/>
      <c r="D742" s="7"/>
      <c r="E742" s="7"/>
      <c r="G742" s="5" t="n">
        <f aca="false">IF(ISNUMBER(FIND("old rod:",A742)),"old rod:",A742)</f>
        <v>0.2</v>
      </c>
      <c r="I742" s="5" t="n">
        <v>0.2</v>
      </c>
    </row>
    <row r="743" customFormat="false" ht="12.75" hidden="false" customHeight="true" outlineLevel="0" collapsed="false">
      <c r="A743" s="5" t="s">
        <v>1463</v>
      </c>
      <c r="B743" s="7" t="n">
        <v>28</v>
      </c>
      <c r="C743" s="7" t="n">
        <v>31</v>
      </c>
      <c r="D743" s="7" t="s">
        <v>3863</v>
      </c>
      <c r="E743" s="7"/>
      <c r="G743" s="5" t="str">
        <f aca="false">IF(ISNUMBER(FIND("old rod:",A743)),"old rod:",A743)</f>
        <v>28, 31, GASTLY</v>
      </c>
      <c r="I743" s="5" t="s">
        <v>1463</v>
      </c>
    </row>
    <row r="744" customFormat="false" ht="12.75" hidden="false" customHeight="true" outlineLevel="0" collapsed="false">
      <c r="A744" s="5" t="s">
        <v>3037</v>
      </c>
      <c r="B744" s="7" t="n">
        <v>29</v>
      </c>
      <c r="C744" s="7" t="n">
        <v>32</v>
      </c>
      <c r="D744" s="7" t="s">
        <v>3864</v>
      </c>
      <c r="E744" s="7"/>
      <c r="G744" s="5" t="str">
        <f aca="false">IF(ISNUMBER(FIND("old rod:",A744)),"old rod:",A744)</f>
        <v>29, 32, RATTATA</v>
      </c>
      <c r="I744" s="5" t="s">
        <v>3037</v>
      </c>
    </row>
    <row r="745" customFormat="false" ht="12.75" hidden="false" customHeight="true" outlineLevel="0" collapsed="false">
      <c r="A745" s="5" t="n">
        <v>0.1</v>
      </c>
      <c r="B745" s="5" t="n">
        <v>0.1</v>
      </c>
      <c r="C745" s="7"/>
      <c r="D745" s="7"/>
      <c r="E745" s="7"/>
      <c r="G745" s="5" t="n">
        <f aca="false">IF(ISNUMBER(FIND("old rod:",A745)),"old rod:",A745)</f>
        <v>0.1</v>
      </c>
      <c r="I745" s="5" t="n">
        <v>0.1</v>
      </c>
    </row>
    <row r="746" customFormat="false" ht="12.75" hidden="false" customHeight="true" outlineLevel="0" collapsed="false">
      <c r="A746" s="5" t="s">
        <v>3038</v>
      </c>
      <c r="B746" s="7" t="n">
        <v>27</v>
      </c>
      <c r="C746" s="7" t="n">
        <v>31</v>
      </c>
      <c r="D746" s="7" t="s">
        <v>3865</v>
      </c>
      <c r="E746" s="7"/>
      <c r="G746" s="5" t="str">
        <f aca="false">IF(ISNUMBER(FIND("old rod:",A746)),"old rod:",A746)</f>
        <v>27, 31, CUBONE</v>
      </c>
      <c r="I746" s="5" t="s">
        <v>3038</v>
      </c>
    </row>
    <row r="747" customFormat="false" ht="12.75" hidden="false" customHeight="true" outlineLevel="0" collapsed="false">
      <c r="A747" s="5" t="s">
        <v>3039</v>
      </c>
      <c r="B747" s="7" t="n">
        <v>29</v>
      </c>
      <c r="C747" s="7" t="n">
        <v>32</v>
      </c>
      <c r="D747" s="7" t="s">
        <v>3866</v>
      </c>
      <c r="E747" s="7"/>
      <c r="G747" s="5" t="str">
        <f aca="false">IF(ISNUMBER(FIND("old rod:",A747)),"old rod:",A747)</f>
        <v>29, 32, HAUNTER</v>
      </c>
      <c r="I747" s="5" t="s">
        <v>3039</v>
      </c>
    </row>
    <row r="748" customFormat="false" ht="12.75" hidden="false" customHeight="true" outlineLevel="0" collapsed="false">
      <c r="A748" s="5" t="s">
        <v>3040</v>
      </c>
      <c r="B748" s="7" t="n">
        <v>28</v>
      </c>
      <c r="C748" s="7" t="n">
        <v>31</v>
      </c>
      <c r="D748" s="7" t="s">
        <v>3867</v>
      </c>
      <c r="E748" s="7"/>
      <c r="G748" s="5" t="str">
        <f aca="false">IF(ISNUMBER(FIND("old rod:",A748)),"old rod:",A748)</f>
        <v>28, 31, DROWZEE</v>
      </c>
      <c r="I748" s="5" t="s">
        <v>3040</v>
      </c>
    </row>
    <row r="749" customFormat="false" ht="12.75" hidden="false" customHeight="true" outlineLevel="0" collapsed="false">
      <c r="A749" s="5" t="s">
        <v>3041</v>
      </c>
      <c r="B749" s="7" t="n">
        <v>28</v>
      </c>
      <c r="C749" s="7" t="n">
        <v>31</v>
      </c>
      <c r="D749" s="7" t="s">
        <v>3868</v>
      </c>
      <c r="E749" s="7"/>
      <c r="G749" s="5" t="str">
        <f aca="false">IF(ISNUMBER(FIND("old rod:",A749)),"old rod:",A749)</f>
        <v>28, 31, VULPIX</v>
      </c>
      <c r="I749" s="5" t="s">
        <v>3041</v>
      </c>
    </row>
    <row r="750" customFormat="false" ht="12.75" hidden="false" customHeight="true" outlineLevel="0" collapsed="false">
      <c r="A750" s="5" t="n">
        <v>0.05</v>
      </c>
      <c r="B750" s="5" t="n">
        <v>0.05</v>
      </c>
      <c r="C750" s="7"/>
      <c r="D750" s="7"/>
      <c r="E750" s="7"/>
      <c r="G750" s="5" t="n">
        <f aca="false">IF(ISNUMBER(FIND("old rod:",A750)),"old rod:",A750)</f>
        <v>0.05</v>
      </c>
      <c r="I750" s="5" t="n">
        <v>0.05</v>
      </c>
    </row>
    <row r="751" customFormat="false" ht="12.75" hidden="false" customHeight="true" outlineLevel="0" collapsed="false">
      <c r="A751" s="5" t="s">
        <v>3042</v>
      </c>
      <c r="B751" s="7" t="n">
        <v>29</v>
      </c>
      <c r="C751" s="7" t="n">
        <v>32</v>
      </c>
      <c r="D751" s="7" t="s">
        <v>3869</v>
      </c>
      <c r="E751" s="7"/>
      <c r="G751" s="5" t="str">
        <f aca="false">IF(ISNUMBER(FIND("old rod:",A751)),"old rod:",A751)</f>
        <v>29, 32, HYPNO</v>
      </c>
      <c r="I751" s="5" t="s">
        <v>3042</v>
      </c>
    </row>
    <row r="752" customFormat="false" ht="12.75" hidden="false" customHeight="true" outlineLevel="0" collapsed="false">
      <c r="A752" s="5" t="s">
        <v>3043</v>
      </c>
      <c r="B752" s="7" t="n">
        <v>28</v>
      </c>
      <c r="C752" s="7" t="n">
        <v>31</v>
      </c>
      <c r="D752" s="7" t="s">
        <v>3870</v>
      </c>
      <c r="E752" s="7"/>
      <c r="G752" s="5" t="str">
        <f aca="false">IF(ISNUMBER(FIND("old rod:",A752)),"old rod:",A752)</f>
        <v>28, 31, RATICATE</v>
      </c>
      <c r="I752" s="5" t="s">
        <v>3043</v>
      </c>
    </row>
    <row r="753" customFormat="false" ht="12.75" hidden="false" customHeight="true" outlineLevel="0" collapsed="false">
      <c r="A753" s="5" t="n">
        <v>0.04</v>
      </c>
      <c r="B753" s="5" t="n">
        <v>0.04</v>
      </c>
      <c r="C753" s="7"/>
      <c r="D753" s="7"/>
      <c r="E753" s="7"/>
      <c r="G753" s="5" t="n">
        <f aca="false">IF(ISNUMBER(FIND("old rod:",A753)),"old rod:",A753)</f>
        <v>0.04</v>
      </c>
      <c r="I753" s="5" t="n">
        <v>0.04</v>
      </c>
    </row>
    <row r="754" customFormat="false" ht="12.75" hidden="false" customHeight="true" outlineLevel="0" collapsed="false">
      <c r="A754" s="5" t="s">
        <v>3044</v>
      </c>
      <c r="B754" s="7" t="n">
        <v>29</v>
      </c>
      <c r="C754" s="7" t="n">
        <v>32</v>
      </c>
      <c r="D754" s="7" t="s">
        <v>3871</v>
      </c>
      <c r="E754" s="7"/>
      <c r="G754" s="5" t="str">
        <f aca="false">IF(ISNUMBER(FIND("old rod:",A754)),"old rod:",A754)</f>
        <v>29, 32, MAROWAK</v>
      </c>
      <c r="I754" s="5" t="s">
        <v>3044</v>
      </c>
    </row>
    <row r="755" customFormat="false" ht="12.75" hidden="false" customHeight="true" outlineLevel="0" collapsed="false">
      <c r="A755" s="5" t="s">
        <v>3045</v>
      </c>
      <c r="B755" s="7" t="n">
        <v>28</v>
      </c>
      <c r="C755" s="7" t="n">
        <v>31</v>
      </c>
      <c r="D755" s="7" t="s">
        <v>3773</v>
      </c>
      <c r="E755" s="7"/>
      <c r="G755" s="5" t="str">
        <f aca="false">IF(ISNUMBER(FIND("old rod:",A755)),"old rod:",A755)</f>
        <v>28, 31, RATTCHET</v>
      </c>
      <c r="I755" s="5" t="s">
        <v>3045</v>
      </c>
    </row>
    <row r="756" customFormat="false" ht="12.75" hidden="false" customHeight="true" outlineLevel="0" collapsed="false">
      <c r="A756" s="5" t="n">
        <v>0.01</v>
      </c>
      <c r="B756" s="5" t="n">
        <v>0.01</v>
      </c>
      <c r="C756" s="7"/>
      <c r="D756" s="7"/>
      <c r="E756" s="7"/>
      <c r="G756" s="5" t="n">
        <f aca="false">IF(ISNUMBER(FIND("old rod:",A756)),"old rod:",A756)</f>
        <v>0.01</v>
      </c>
      <c r="I756" s="5" t="n">
        <v>0.01</v>
      </c>
    </row>
    <row r="757" customFormat="false" ht="12.75" hidden="false" customHeight="true" outlineLevel="0" collapsed="false">
      <c r="A757" s="5" t="s">
        <v>3056</v>
      </c>
      <c r="B757" s="7" t="n">
        <v>32</v>
      </c>
      <c r="C757" s="7" t="n">
        <v>33</v>
      </c>
      <c r="D757" s="7" t="s">
        <v>3872</v>
      </c>
      <c r="E757" s="7"/>
      <c r="G757" s="5" t="str">
        <f aca="false">IF(ISNUMBER(FIND("old rod:",A757)),"old rod:",A757)</f>
        <v>32, 33, GENGAR</v>
      </c>
      <c r="I757" s="5" t="s">
        <v>3056</v>
      </c>
    </row>
    <row r="758" customFormat="false" ht="12.75" hidden="false" customHeight="true" outlineLevel="0" collapsed="false">
      <c r="A758" s="5" t="s">
        <v>3717</v>
      </c>
      <c r="B758" s="7" t="n">
        <v>32</v>
      </c>
      <c r="C758" s="7" t="n">
        <v>33</v>
      </c>
      <c r="D758" s="7" t="s">
        <v>3774</v>
      </c>
      <c r="E758" s="7"/>
      <c r="G758" s="5" t="str">
        <f aca="false">IF(ISNUMBER(FIND("old rod:",A758)),"old rod:",A758)</f>
        <v>32, 33, NINETALES</v>
      </c>
      <c r="I758" s="5" t="s">
        <v>3717</v>
      </c>
    </row>
    <row r="759" customFormat="false" ht="12.75" hidden="false" customHeight="true" outlineLevel="0" collapsed="false">
      <c r="A759" s="5" t="s">
        <v>2536</v>
      </c>
      <c r="B759" s="7" t="s">
        <v>2536</v>
      </c>
      <c r="C759" s="7"/>
      <c r="D759" s="7"/>
      <c r="E759" s="7"/>
      <c r="G759" s="5" t="str">
        <f aca="false">IF(ISNUMBER(FIND("old rod:",A759)),"old rod:",A759)</f>
        <v>NEW ROUTE</v>
      </c>
      <c r="I759" s="5" t="s">
        <v>2536</v>
      </c>
    </row>
    <row r="760" customFormat="false" ht="12.75" hidden="false" customHeight="true" outlineLevel="0" collapsed="false">
      <c r="A760" s="5" t="s">
        <v>203</v>
      </c>
      <c r="B760" s="7" t="s">
        <v>203</v>
      </c>
      <c r="C760" s="7"/>
      <c r="D760" s="7"/>
      <c r="E760" s="7"/>
      <c r="G760" s="5" t="str">
        <f aca="false">IF(ISNUMBER(FIND("old rod:",A760)),"old rod:",A760)</f>
        <v>Power Plant</v>
      </c>
      <c r="I760" s="5" t="s">
        <v>203</v>
      </c>
    </row>
    <row r="761" customFormat="false" ht="12.75" hidden="false" customHeight="true" outlineLevel="0" collapsed="false">
      <c r="A761" s="5" t="n">
        <v>0.2</v>
      </c>
      <c r="B761" s="5" t="n">
        <v>0.2</v>
      </c>
      <c r="C761" s="7"/>
      <c r="D761" s="7"/>
      <c r="E761" s="7"/>
      <c r="G761" s="5" t="n">
        <f aca="false">IF(ISNUMBER(FIND("old rod:",A761)),"old rod:",A761)</f>
        <v>0.2</v>
      </c>
      <c r="I761" s="5" t="n">
        <v>0.2</v>
      </c>
    </row>
    <row r="762" customFormat="false" ht="12.75" hidden="false" customHeight="true" outlineLevel="0" collapsed="false">
      <c r="A762" s="5" t="s">
        <v>1481</v>
      </c>
      <c r="B762" s="7" t="n">
        <v>39</v>
      </c>
      <c r="C762" s="7" t="n">
        <v>46</v>
      </c>
      <c r="D762" s="7" t="s">
        <v>3873</v>
      </c>
      <c r="E762" s="7"/>
      <c r="G762" s="5" t="str">
        <f aca="false">IF(ISNUMBER(FIND("old rod:",A762)),"old rod:",A762)</f>
        <v>39, 46, MAGNEMITE</v>
      </c>
      <c r="I762" s="5" t="s">
        <v>1481</v>
      </c>
    </row>
    <row r="763" customFormat="false" ht="12.75" hidden="false" customHeight="true" outlineLevel="0" collapsed="false">
      <c r="A763" s="5" t="s">
        <v>3058</v>
      </c>
      <c r="B763" s="7" t="n">
        <v>39</v>
      </c>
      <c r="C763" s="7" t="n">
        <v>46</v>
      </c>
      <c r="D763" s="7" t="s">
        <v>3734</v>
      </c>
      <c r="E763" s="7"/>
      <c r="G763" s="5" t="str">
        <f aca="false">IF(ISNUMBER(FIND("old rod:",A763)),"old rod:",A763)</f>
        <v>39, 46, PIKACHU</v>
      </c>
      <c r="I763" s="5" t="s">
        <v>3058</v>
      </c>
    </row>
    <row r="764" customFormat="false" ht="12.75" hidden="false" customHeight="true" outlineLevel="0" collapsed="false">
      <c r="A764" s="5" t="n">
        <v>0.1</v>
      </c>
      <c r="B764" s="5" t="n">
        <v>0.1</v>
      </c>
      <c r="C764" s="7"/>
      <c r="D764" s="7"/>
      <c r="E764" s="7"/>
      <c r="G764" s="5" t="n">
        <f aca="false">IF(ISNUMBER(FIND("old rod:",A764)),"old rod:",A764)</f>
        <v>0.1</v>
      </c>
      <c r="I764" s="5" t="n">
        <v>0.1</v>
      </c>
    </row>
    <row r="765" customFormat="false" ht="12.75" hidden="false" customHeight="true" outlineLevel="0" collapsed="false">
      <c r="A765" s="5" t="s">
        <v>3059</v>
      </c>
      <c r="B765" s="7" t="n">
        <v>41</v>
      </c>
      <c r="C765" s="7" t="n">
        <v>48</v>
      </c>
      <c r="D765" s="7" t="s">
        <v>3874</v>
      </c>
      <c r="E765" s="7"/>
      <c r="G765" s="5" t="str">
        <f aca="false">IF(ISNUMBER(FIND("old rod:",A765)),"old rod:",A765)</f>
        <v>41, 48, VOLTORB</v>
      </c>
      <c r="I765" s="5" t="s">
        <v>3059</v>
      </c>
    </row>
    <row r="766" customFormat="false" ht="12.75" hidden="false" customHeight="true" outlineLevel="0" collapsed="false">
      <c r="A766" s="5" t="s">
        <v>3060</v>
      </c>
      <c r="B766" s="7" t="n">
        <v>41</v>
      </c>
      <c r="C766" s="7" t="n">
        <v>46</v>
      </c>
      <c r="D766" s="7" t="s">
        <v>3817</v>
      </c>
      <c r="E766" s="7"/>
      <c r="G766" s="5" t="str">
        <f aca="false">IF(ISNUMBER(FIND("old rod:",A766)),"old rod:",A766)</f>
        <v>41, 46, ELECTABUZZ</v>
      </c>
      <c r="I766" s="5" t="s">
        <v>3060</v>
      </c>
    </row>
    <row r="767" customFormat="false" ht="12.75" hidden="false" customHeight="true" outlineLevel="0" collapsed="false">
      <c r="A767" s="5" t="s">
        <v>3061</v>
      </c>
      <c r="B767" s="7" t="n">
        <v>41</v>
      </c>
      <c r="C767" s="7" t="n">
        <v>48</v>
      </c>
      <c r="D767" s="7" t="s">
        <v>3875</v>
      </c>
      <c r="E767" s="7"/>
      <c r="G767" s="5" t="str">
        <f aca="false">IF(ISNUMBER(FIND("old rod:",A767)),"old rod:",A767)</f>
        <v>41, 48, PORYGON</v>
      </c>
      <c r="I767" s="5" t="s">
        <v>3061</v>
      </c>
    </row>
    <row r="768" customFormat="false" ht="12.75" hidden="false" customHeight="true" outlineLevel="0" collapsed="false">
      <c r="A768" s="5" t="s">
        <v>3062</v>
      </c>
      <c r="B768" s="7" t="n">
        <v>41</v>
      </c>
      <c r="C768" s="7" t="n">
        <v>48</v>
      </c>
      <c r="D768" s="7" t="s">
        <v>3876</v>
      </c>
      <c r="E768" s="7"/>
      <c r="G768" s="5" t="str">
        <f aca="false">IF(ISNUMBER(FIND("old rod:",A768)),"old rod:",A768)</f>
        <v>41, 48, MAGNETON</v>
      </c>
      <c r="I768" s="5" t="s">
        <v>3062</v>
      </c>
    </row>
    <row r="769" customFormat="false" ht="12.75" hidden="false" customHeight="true" outlineLevel="0" collapsed="false">
      <c r="A769" s="5" t="n">
        <v>0.05</v>
      </c>
      <c r="B769" s="5" t="n">
        <v>0.05</v>
      </c>
      <c r="C769" s="7"/>
      <c r="D769" s="7"/>
      <c r="E769" s="7"/>
      <c r="G769" s="5" t="n">
        <f aca="false">IF(ISNUMBER(FIND("old rod:",A769)),"old rod:",A769)</f>
        <v>0.05</v>
      </c>
      <c r="I769" s="5" t="n">
        <v>0.05</v>
      </c>
    </row>
    <row r="770" customFormat="false" ht="12.75" hidden="false" customHeight="true" outlineLevel="0" collapsed="false">
      <c r="A770" s="5" t="s">
        <v>3063</v>
      </c>
      <c r="B770" s="7" t="n">
        <v>43</v>
      </c>
      <c r="C770" s="7" t="n">
        <v>50</v>
      </c>
      <c r="D770" s="7" t="s">
        <v>3877</v>
      </c>
      <c r="E770" s="7"/>
      <c r="G770" s="5" t="str">
        <f aca="false">IF(ISNUMBER(FIND("old rod:",A770)),"old rod:",A770)</f>
        <v>43, 50, PORYGON2</v>
      </c>
      <c r="I770" s="5" t="s">
        <v>3063</v>
      </c>
    </row>
    <row r="771" customFormat="false" ht="12.75" hidden="false" customHeight="true" outlineLevel="0" collapsed="false">
      <c r="A771" s="5" t="s">
        <v>3064</v>
      </c>
      <c r="B771" s="7" t="n">
        <v>43</v>
      </c>
      <c r="C771" s="7" t="n">
        <v>50</v>
      </c>
      <c r="D771" s="7" t="s">
        <v>3878</v>
      </c>
      <c r="E771" s="7"/>
      <c r="G771" s="5" t="str">
        <f aca="false">IF(ISNUMBER(FIND("old rod:",A771)),"old rod:",A771)</f>
        <v>43, 50, ELECTRODE</v>
      </c>
      <c r="I771" s="5" t="s">
        <v>3064</v>
      </c>
    </row>
    <row r="772" customFormat="false" ht="12.75" hidden="false" customHeight="true" outlineLevel="0" collapsed="false">
      <c r="A772" s="5" t="n">
        <v>0.04</v>
      </c>
      <c r="B772" s="5" t="n">
        <v>0.04</v>
      </c>
      <c r="C772" s="7"/>
      <c r="D772" s="7"/>
      <c r="E772" s="7"/>
      <c r="G772" s="5" t="n">
        <f aca="false">IF(ISNUMBER(FIND("old rod:",A772)),"old rod:",A772)</f>
        <v>0.04</v>
      </c>
      <c r="I772" s="5" t="n">
        <v>0.04</v>
      </c>
    </row>
    <row r="773" customFormat="false" ht="12.75" hidden="false" customHeight="true" outlineLevel="0" collapsed="false">
      <c r="A773" s="5" t="s">
        <v>3065</v>
      </c>
      <c r="B773" s="7" t="n">
        <v>43</v>
      </c>
      <c r="C773" s="7" t="n">
        <v>50</v>
      </c>
      <c r="D773" s="7" t="s">
        <v>3796</v>
      </c>
      <c r="E773" s="7"/>
      <c r="G773" s="5" t="str">
        <f aca="false">IF(ISNUMBER(FIND("old rod:",A773)),"old rod:",A773)</f>
        <v>43, 50, JOLTEON</v>
      </c>
      <c r="I773" s="5" t="s">
        <v>3065</v>
      </c>
    </row>
    <row r="774" customFormat="false" ht="12.75" hidden="false" customHeight="true" outlineLevel="0" collapsed="false">
      <c r="A774" s="5" t="s">
        <v>3066</v>
      </c>
      <c r="B774" s="7" t="n">
        <v>43</v>
      </c>
      <c r="C774" s="7" t="n">
        <v>50</v>
      </c>
      <c r="D774" s="7" t="s">
        <v>3879</v>
      </c>
      <c r="E774" s="7"/>
      <c r="G774" s="5" t="str">
        <f aca="false">IF(ISNUMBER(FIND("old rod:",A774)),"old rod:",A774)</f>
        <v>43, 50, RAICHU</v>
      </c>
      <c r="I774" s="5" t="s">
        <v>3066</v>
      </c>
    </row>
    <row r="775" customFormat="false" ht="12.75" hidden="false" customHeight="true" outlineLevel="0" collapsed="false">
      <c r="A775" s="5" t="n">
        <v>0.01</v>
      </c>
      <c r="B775" s="5" t="n">
        <v>0.01</v>
      </c>
      <c r="C775" s="7"/>
      <c r="D775" s="7"/>
      <c r="E775" s="7"/>
      <c r="G775" s="5" t="n">
        <f aca="false">IF(ISNUMBER(FIND("old rod:",A775)),"old rod:",A775)</f>
        <v>0.01</v>
      </c>
      <c r="I775" s="5" t="n">
        <v>0.01</v>
      </c>
    </row>
    <row r="776" customFormat="false" ht="12.75" hidden="false" customHeight="true" outlineLevel="0" collapsed="false">
      <c r="A776" s="5" t="s">
        <v>3067</v>
      </c>
      <c r="B776" s="7" t="n">
        <v>45</v>
      </c>
      <c r="C776" s="7" t="n">
        <v>52</v>
      </c>
      <c r="D776" s="7" t="s">
        <v>3821</v>
      </c>
      <c r="E776" s="7"/>
      <c r="G776" s="5" t="str">
        <f aca="false">IF(ISNUMBER(FIND("old rod:",A776)),"old rod:",A776)</f>
        <v>45, 52, ELECTIVIRE</v>
      </c>
      <c r="I776" s="5" t="s">
        <v>3067</v>
      </c>
    </row>
    <row r="777" customFormat="false" ht="12.75" hidden="false" customHeight="true" outlineLevel="0" collapsed="false">
      <c r="A777" s="5" t="s">
        <v>3718</v>
      </c>
      <c r="B777" s="7" t="n">
        <v>45</v>
      </c>
      <c r="C777" s="7" t="n">
        <v>50</v>
      </c>
      <c r="D777" s="7" t="s">
        <v>3880</v>
      </c>
      <c r="E777" s="7"/>
      <c r="G777" s="5" t="str">
        <f aca="false">IF(ISNUMBER(FIND("old rod:",A777)),"old rod:",A777)</f>
        <v>45, 50, MAGNEZONE</v>
      </c>
      <c r="I777" s="5" t="s">
        <v>3718</v>
      </c>
    </row>
    <row r="778" customFormat="false" ht="12.75" hidden="false" customHeight="true" outlineLevel="0" collapsed="false">
      <c r="A778" s="5" t="s">
        <v>2536</v>
      </c>
      <c r="B778" s="7" t="s">
        <v>2536</v>
      </c>
      <c r="C778" s="7"/>
      <c r="D778" s="7"/>
      <c r="E778" s="7"/>
      <c r="G778" s="5" t="str">
        <f aca="false">IF(ISNUMBER(FIND("old rod:",A778)),"old rod:",A778)</f>
        <v>NEW ROUTE</v>
      </c>
      <c r="I778" s="5" t="s">
        <v>2536</v>
      </c>
    </row>
    <row r="779" customFormat="false" ht="12.75" hidden="false" customHeight="true" outlineLevel="0" collapsed="false">
      <c r="A779" s="5" t="s">
        <v>207</v>
      </c>
      <c r="B779" s="7" t="s">
        <v>207</v>
      </c>
      <c r="C779" s="7"/>
      <c r="D779" s="7"/>
      <c r="E779" s="7"/>
      <c r="G779" s="5" t="str">
        <f aca="false">IF(ISNUMBER(FIND("old rod:",A779)),"old rod:",A779)</f>
        <v>Mt. Ember Exterior</v>
      </c>
      <c r="I779" s="5" t="s">
        <v>207</v>
      </c>
    </row>
    <row r="780" customFormat="false" ht="12.75" hidden="false" customHeight="true" outlineLevel="0" collapsed="false">
      <c r="A780" s="5" t="n">
        <v>0.2</v>
      </c>
      <c r="B780" s="5" t="n">
        <v>0.2</v>
      </c>
      <c r="C780" s="7"/>
      <c r="D780" s="7"/>
      <c r="E780" s="7"/>
      <c r="G780" s="5" t="n">
        <f aca="false">IF(ISNUMBER(FIND("old rod:",A780)),"old rod:",A780)</f>
        <v>0.2</v>
      </c>
      <c r="I780" s="5" t="n">
        <v>0.2</v>
      </c>
    </row>
    <row r="781" customFormat="false" ht="12.75" hidden="false" customHeight="true" outlineLevel="0" collapsed="false">
      <c r="A781" s="5" t="s">
        <v>1494</v>
      </c>
      <c r="B781" s="7" t="n">
        <v>30</v>
      </c>
      <c r="C781" s="7" t="n">
        <v>30</v>
      </c>
      <c r="D781" s="7" t="s">
        <v>3881</v>
      </c>
      <c r="E781" s="7"/>
      <c r="G781" s="5" t="str">
        <f aca="false">IF(ISNUMBER(FIND("old rod:",A781)),"old rod:",A781)</f>
        <v>30, 30, PONYTA</v>
      </c>
      <c r="I781" s="5" t="s">
        <v>1494</v>
      </c>
    </row>
    <row r="782" customFormat="false" ht="12.75" hidden="false" customHeight="true" outlineLevel="0" collapsed="false">
      <c r="A782" s="5" t="s">
        <v>3070</v>
      </c>
      <c r="B782" s="7" t="n">
        <v>38</v>
      </c>
      <c r="C782" s="7" t="n">
        <v>38</v>
      </c>
      <c r="D782" s="7" t="s">
        <v>3882</v>
      </c>
      <c r="E782" s="7"/>
      <c r="G782" s="5" t="str">
        <f aca="false">IF(ISNUMBER(FIND("old rod:",A782)),"old rod:",A782)</f>
        <v>38, 38, FEAROW</v>
      </c>
      <c r="I782" s="5" t="s">
        <v>3070</v>
      </c>
    </row>
    <row r="783" customFormat="false" ht="12.75" hidden="false" customHeight="true" outlineLevel="0" collapsed="false">
      <c r="A783" s="5" t="n">
        <v>0.1</v>
      </c>
      <c r="B783" s="5" t="n">
        <v>0.1</v>
      </c>
      <c r="C783" s="7"/>
      <c r="D783" s="7"/>
      <c r="E783" s="7"/>
      <c r="G783" s="5" t="n">
        <f aca="false">IF(ISNUMBER(FIND("old rod:",A783)),"old rod:",A783)</f>
        <v>0.1</v>
      </c>
      <c r="I783" s="5" t="n">
        <v>0.1</v>
      </c>
    </row>
    <row r="784" customFormat="false" ht="12.75" hidden="false" customHeight="true" outlineLevel="0" collapsed="false">
      <c r="A784" s="5" t="s">
        <v>3071</v>
      </c>
      <c r="B784" s="7" t="n">
        <v>33</v>
      </c>
      <c r="C784" s="7" t="n">
        <v>33</v>
      </c>
      <c r="D784" s="7" t="s">
        <v>3881</v>
      </c>
      <c r="E784" s="7"/>
      <c r="G784" s="5" t="str">
        <f aca="false">IF(ISNUMBER(FIND("old rod:",A784)),"old rod:",A784)</f>
        <v>33, 33, PONYTA</v>
      </c>
      <c r="I784" s="5" t="s">
        <v>3071</v>
      </c>
    </row>
    <row r="785" customFormat="false" ht="12.75" hidden="false" customHeight="true" outlineLevel="0" collapsed="false">
      <c r="A785" s="5" t="s">
        <v>1666</v>
      </c>
      <c r="B785" s="7" t="n">
        <v>32</v>
      </c>
      <c r="C785" s="7" t="n">
        <v>32</v>
      </c>
      <c r="D785" s="7" t="s">
        <v>3883</v>
      </c>
      <c r="E785" s="7"/>
      <c r="G785" s="5" t="str">
        <f aca="false">IF(ISNUMBER(FIND("old rod:",A785)),"old rod:",A785)</f>
        <v>32, 32, SPEAROW</v>
      </c>
      <c r="I785" s="5" t="s">
        <v>1666</v>
      </c>
    </row>
    <row r="786" customFormat="false" ht="12.75" hidden="false" customHeight="true" outlineLevel="0" collapsed="false">
      <c r="A786" s="5" t="s">
        <v>3072</v>
      </c>
      <c r="B786" s="7" t="n">
        <v>35</v>
      </c>
      <c r="C786" s="7" t="n">
        <v>35</v>
      </c>
      <c r="D786" s="7" t="s">
        <v>3850</v>
      </c>
      <c r="E786" s="7"/>
      <c r="G786" s="5" t="str">
        <f aca="false">IF(ISNUMBER(FIND("old rod:",A786)),"old rod:",A786)</f>
        <v>35, 35, MACHOP</v>
      </c>
      <c r="I786" s="5" t="s">
        <v>3072</v>
      </c>
    </row>
    <row r="787" customFormat="false" ht="12.75" hidden="false" customHeight="true" outlineLevel="0" collapsed="false">
      <c r="A787" s="5" t="s">
        <v>1507</v>
      </c>
      <c r="B787" s="7" t="n">
        <v>33</v>
      </c>
      <c r="C787" s="7" t="n">
        <v>33</v>
      </c>
      <c r="D787" s="7" t="s">
        <v>3740</v>
      </c>
      <c r="E787" s="7"/>
      <c r="G787" s="5" t="str">
        <f aca="false">IF(ISNUMBER(FIND("old rod:",A787)),"old rod:",A787)</f>
        <v>33, 33, GEODUDE</v>
      </c>
      <c r="I787" s="5" t="s">
        <v>1507</v>
      </c>
    </row>
    <row r="788" customFormat="false" ht="12.75" hidden="false" customHeight="true" outlineLevel="0" collapsed="false">
      <c r="A788" s="5" t="n">
        <v>0.05</v>
      </c>
      <c r="B788" s="5" t="n">
        <v>0.05</v>
      </c>
      <c r="C788" s="7"/>
      <c r="D788" s="7"/>
      <c r="E788" s="7"/>
      <c r="G788" s="5" t="n">
        <f aca="false">IF(ISNUMBER(FIND("old rod:",A788)),"old rod:",A788)</f>
        <v>0.05</v>
      </c>
      <c r="I788" s="5" t="n">
        <v>0.05</v>
      </c>
    </row>
    <row r="789" customFormat="false" ht="12.75" hidden="false" customHeight="true" outlineLevel="0" collapsed="false">
      <c r="A789" s="5" t="s">
        <v>3073</v>
      </c>
      <c r="B789" s="7" t="n">
        <v>36</v>
      </c>
      <c r="C789" s="7" t="n">
        <v>36</v>
      </c>
      <c r="D789" s="7" t="s">
        <v>3881</v>
      </c>
      <c r="E789" s="7"/>
      <c r="G789" s="5" t="str">
        <f aca="false">IF(ISNUMBER(FIND("old rod:",A789)),"old rod:",A789)</f>
        <v>36, 36, PONYTA</v>
      </c>
      <c r="I789" s="5" t="s">
        <v>3073</v>
      </c>
    </row>
    <row r="790" customFormat="false" ht="12.75" hidden="false" customHeight="true" outlineLevel="0" collapsed="false">
      <c r="A790" s="5" t="s">
        <v>3074</v>
      </c>
      <c r="B790" s="7" t="n">
        <v>40</v>
      </c>
      <c r="C790" s="7" t="n">
        <v>40</v>
      </c>
      <c r="D790" s="7" t="s">
        <v>3882</v>
      </c>
      <c r="E790" s="7"/>
      <c r="G790" s="5" t="str">
        <f aca="false">IF(ISNUMBER(FIND("old rod:",A790)),"old rod:",A790)</f>
        <v>40, 40, FEAROW</v>
      </c>
      <c r="I790" s="5" t="s">
        <v>3074</v>
      </c>
    </row>
    <row r="791" customFormat="false" ht="12.75" hidden="false" customHeight="true" outlineLevel="0" collapsed="false">
      <c r="A791" s="5" t="n">
        <v>0.04</v>
      </c>
      <c r="B791" s="5" t="n">
        <v>0.04</v>
      </c>
      <c r="C791" s="7"/>
      <c r="D791" s="7"/>
      <c r="E791" s="7"/>
      <c r="G791" s="5" t="n">
        <f aca="false">IF(ISNUMBER(FIND("old rod:",A791)),"old rod:",A791)</f>
        <v>0.04</v>
      </c>
      <c r="I791" s="5" t="n">
        <v>0.04</v>
      </c>
    </row>
    <row r="792" customFormat="false" ht="12.75" hidden="false" customHeight="true" outlineLevel="0" collapsed="false">
      <c r="A792" s="5" t="s">
        <v>3075</v>
      </c>
      <c r="B792" s="7" t="n">
        <v>38</v>
      </c>
      <c r="C792" s="7" t="n">
        <v>38</v>
      </c>
      <c r="D792" s="7" t="s">
        <v>3811</v>
      </c>
      <c r="E792" s="7"/>
      <c r="G792" s="5" t="str">
        <f aca="false">IF(ISNUMBER(FIND("old rod:",A792)),"old rod:",A792)</f>
        <v>38, 38, MAGMAR</v>
      </c>
      <c r="I792" s="5" t="s">
        <v>3075</v>
      </c>
    </row>
    <row r="793" customFormat="false" ht="12.75" hidden="false" customHeight="true" outlineLevel="0" collapsed="false">
      <c r="A793" s="5" t="s">
        <v>3076</v>
      </c>
      <c r="B793" s="7" t="n">
        <v>39</v>
      </c>
      <c r="C793" s="7" t="n">
        <v>39</v>
      </c>
      <c r="D793" s="7" t="s">
        <v>3822</v>
      </c>
      <c r="E793" s="7"/>
      <c r="G793" s="5" t="str">
        <f aca="false">IF(ISNUMBER(FIND("old rod:",A793)),"old rod:",A793)</f>
        <v>39, 39, RAPIDASH</v>
      </c>
      <c r="I793" s="5" t="s">
        <v>3076</v>
      </c>
    </row>
    <row r="794" customFormat="false" ht="12.75" hidden="false" customHeight="true" outlineLevel="0" collapsed="false">
      <c r="A794" s="5" t="n">
        <v>0.01</v>
      </c>
      <c r="B794" s="5" t="n">
        <v>0.01</v>
      </c>
      <c r="C794" s="7"/>
      <c r="D794" s="7"/>
      <c r="E794" s="7"/>
      <c r="G794" s="5" t="n">
        <f aca="false">IF(ISNUMBER(FIND("old rod:",A794)),"old rod:",A794)</f>
        <v>0.01</v>
      </c>
      <c r="I794" s="5" t="n">
        <v>0.01</v>
      </c>
    </row>
    <row r="795" customFormat="false" ht="12.75" hidden="false" customHeight="true" outlineLevel="0" collapsed="false">
      <c r="A795" s="5" t="s">
        <v>3077</v>
      </c>
      <c r="B795" s="7" t="n">
        <v>40</v>
      </c>
      <c r="C795" s="7" t="n">
        <v>40</v>
      </c>
      <c r="D795" s="7" t="s">
        <v>3811</v>
      </c>
      <c r="E795" s="7"/>
      <c r="G795" s="5" t="str">
        <f aca="false">IF(ISNUMBER(FIND("old rod:",A795)),"old rod:",A795)</f>
        <v>40, 40, MAGMAR</v>
      </c>
      <c r="I795" s="5" t="s">
        <v>3077</v>
      </c>
    </row>
    <row r="796" customFormat="false" ht="12.75" hidden="false" customHeight="true" outlineLevel="0" collapsed="false">
      <c r="A796" s="5" t="s">
        <v>3078</v>
      </c>
      <c r="B796" s="7" t="n">
        <v>42</v>
      </c>
      <c r="C796" s="7" t="n">
        <v>42</v>
      </c>
      <c r="D796" s="7" t="s">
        <v>3822</v>
      </c>
      <c r="E796" s="7"/>
      <c r="G796" s="5" t="str">
        <f aca="false">IF(ISNUMBER(FIND("old rod:",A796)),"old rod:",A796)</f>
        <v>42, 42, RAPIDASH</v>
      </c>
      <c r="I796" s="5" t="s">
        <v>3078</v>
      </c>
    </row>
    <row r="797" customFormat="false" ht="12.75" hidden="false" customHeight="true" outlineLevel="0" collapsed="false">
      <c r="A797" s="5" t="s">
        <v>2999</v>
      </c>
      <c r="B797" s="7" t="n">
        <v>50</v>
      </c>
      <c r="C797" s="7" t="n">
        <v>5</v>
      </c>
      <c r="D797" s="7" t="n">
        <v>20</v>
      </c>
      <c r="E797" s="7" t="s">
        <v>3740</v>
      </c>
      <c r="G797" s="5" t="str">
        <f aca="false">IF(ISNUMBER(FIND("old rod:",A797)),"old rod:",A797)</f>
        <v>50, 5, 20, GEODUDE</v>
      </c>
      <c r="I797" s="5" t="s">
        <v>2999</v>
      </c>
    </row>
    <row r="798" customFormat="false" ht="12.75" hidden="false" customHeight="true" outlineLevel="0" collapsed="false">
      <c r="A798" s="5" t="s">
        <v>3000</v>
      </c>
      <c r="B798" s="7" t="n">
        <v>10</v>
      </c>
      <c r="C798" s="7" t="n">
        <v>20</v>
      </c>
      <c r="D798" s="7" t="s">
        <v>3740</v>
      </c>
      <c r="E798" s="7"/>
      <c r="G798" s="5" t="str">
        <f aca="false">IF(ISNUMBER(FIND("old rod:",A798)),"old rod:",A798)</f>
        <v>10, 20, GEODUDE</v>
      </c>
      <c r="I798" s="5" t="s">
        <v>3000</v>
      </c>
    </row>
    <row r="799" customFormat="false" ht="12.75" hidden="false" customHeight="true" outlineLevel="0" collapsed="false">
      <c r="A799" s="5" t="s">
        <v>3001</v>
      </c>
      <c r="B799" s="7" t="n">
        <v>15</v>
      </c>
      <c r="C799" s="7" t="n">
        <v>30</v>
      </c>
      <c r="D799" s="7" t="s">
        <v>3740</v>
      </c>
      <c r="E799" s="7"/>
      <c r="G799" s="5" t="str">
        <f aca="false">IF(ISNUMBER(FIND("old rod:",A799)),"old rod:",A799)</f>
        <v>15, 30, GEODUDE</v>
      </c>
      <c r="I799" s="5" t="s">
        <v>3001</v>
      </c>
    </row>
    <row r="800" customFormat="false" ht="12.75" hidden="false" customHeight="true" outlineLevel="0" collapsed="false">
      <c r="A800" s="5" t="s">
        <v>3002</v>
      </c>
      <c r="B800" s="7" t="n">
        <v>25</v>
      </c>
      <c r="C800" s="7" t="n">
        <v>40</v>
      </c>
      <c r="D800" s="7" t="s">
        <v>3746</v>
      </c>
      <c r="E800" s="7"/>
      <c r="G800" s="5" t="str">
        <f aca="false">IF(ISNUMBER(FIND("old rod:",A800)),"old rod:",A800)</f>
        <v>25, 40, GRAVELER</v>
      </c>
      <c r="I800" s="5" t="s">
        <v>3002</v>
      </c>
    </row>
    <row r="801" customFormat="false" ht="12.75" hidden="false" customHeight="true" outlineLevel="0" collapsed="false">
      <c r="A801" s="5" t="s">
        <v>3233</v>
      </c>
      <c r="B801" s="7" t="n">
        <v>30</v>
      </c>
      <c r="C801" s="7" t="n">
        <v>40</v>
      </c>
      <c r="D801" s="7" t="s">
        <v>3746</v>
      </c>
      <c r="E801" s="7"/>
      <c r="G801" s="5" t="str">
        <f aca="false">IF(ISNUMBER(FIND("old rod:",A801)),"old rod:",A801)</f>
        <v>30, 40, GRAVELER</v>
      </c>
      <c r="I801" s="5" t="s">
        <v>3233</v>
      </c>
    </row>
    <row r="802" customFormat="false" ht="12.75" hidden="false" customHeight="true" outlineLevel="0" collapsed="false">
      <c r="A802" s="5" t="s">
        <v>2536</v>
      </c>
      <c r="B802" s="7" t="s">
        <v>2536</v>
      </c>
      <c r="C802" s="7"/>
      <c r="D802" s="7"/>
      <c r="E802" s="7"/>
      <c r="G802" s="5" t="str">
        <f aca="false">IF(ISNUMBER(FIND("old rod:",A802)),"old rod:",A802)</f>
        <v>NEW ROUTE</v>
      </c>
      <c r="I802" s="5" t="s">
        <v>2536</v>
      </c>
    </row>
    <row r="803" customFormat="false" ht="12.75" hidden="false" customHeight="true" outlineLevel="0" collapsed="false">
      <c r="A803" s="5" t="s">
        <v>209</v>
      </c>
      <c r="B803" s="7" t="s">
        <v>209</v>
      </c>
      <c r="C803" s="7"/>
      <c r="D803" s="7"/>
      <c r="E803" s="7"/>
      <c r="G803" s="5" t="str">
        <f aca="false">IF(ISNUMBER(FIND("old rod:",A803)),"old rod:",A803)</f>
        <v>Mt. Ember Summit Path 1F</v>
      </c>
      <c r="I803" s="5" t="s">
        <v>209</v>
      </c>
    </row>
    <row r="804" customFormat="false" ht="12.75" hidden="false" customHeight="true" outlineLevel="0" collapsed="false">
      <c r="A804" s="5" t="n">
        <v>0.2</v>
      </c>
      <c r="B804" s="5" t="n">
        <v>0.2</v>
      </c>
      <c r="C804" s="7"/>
      <c r="D804" s="7"/>
      <c r="E804" s="7"/>
      <c r="G804" s="5" t="n">
        <f aca="false">IF(ISNUMBER(FIND("old rod:",A804)),"old rod:",A804)</f>
        <v>0.2</v>
      </c>
      <c r="I804" s="5" t="n">
        <v>0.2</v>
      </c>
    </row>
    <row r="805" customFormat="false" ht="12.75" hidden="false" customHeight="true" outlineLevel="0" collapsed="false">
      <c r="A805" s="5" t="s">
        <v>1507</v>
      </c>
      <c r="B805" s="7" t="n">
        <v>33</v>
      </c>
      <c r="C805" s="7" t="n">
        <v>33</v>
      </c>
      <c r="D805" s="7" t="s">
        <v>3740</v>
      </c>
      <c r="E805" s="7"/>
      <c r="G805" s="5" t="str">
        <f aca="false">IF(ISNUMBER(FIND("old rod:",A805)),"old rod:",A805)</f>
        <v>33, 33, GEODUDE</v>
      </c>
      <c r="I805" s="5" t="s">
        <v>1507</v>
      </c>
    </row>
    <row r="806" customFormat="false" ht="12.75" hidden="false" customHeight="true" outlineLevel="0" collapsed="false">
      <c r="A806" s="5" t="s">
        <v>3072</v>
      </c>
      <c r="B806" s="7" t="n">
        <v>35</v>
      </c>
      <c r="C806" s="7" t="n">
        <v>35</v>
      </c>
      <c r="D806" s="7" t="s">
        <v>3850</v>
      </c>
      <c r="E806" s="7"/>
      <c r="G806" s="5" t="str">
        <f aca="false">IF(ISNUMBER(FIND("old rod:",A806)),"old rod:",A806)</f>
        <v>35, 35, MACHOP</v>
      </c>
      <c r="I806" s="5" t="s">
        <v>3072</v>
      </c>
    </row>
    <row r="807" customFormat="false" ht="12.75" hidden="false" customHeight="true" outlineLevel="0" collapsed="false">
      <c r="A807" s="5" t="n">
        <v>0.1</v>
      </c>
      <c r="B807" s="5" t="n">
        <v>0.1</v>
      </c>
      <c r="C807" s="7"/>
      <c r="D807" s="7"/>
      <c r="E807" s="7"/>
      <c r="G807" s="5" t="n">
        <f aca="false">IF(ISNUMBER(FIND("old rod:",A807)),"old rod:",A807)</f>
        <v>0.1</v>
      </c>
      <c r="I807" s="5" t="n">
        <v>0.1</v>
      </c>
    </row>
    <row r="808" customFormat="false" ht="12.75" hidden="false" customHeight="true" outlineLevel="0" collapsed="false">
      <c r="A808" s="5" t="s">
        <v>3080</v>
      </c>
      <c r="B808" s="7" t="n">
        <v>29</v>
      </c>
      <c r="C808" s="7" t="n">
        <v>29</v>
      </c>
      <c r="D808" s="7" t="s">
        <v>3740</v>
      </c>
      <c r="E808" s="7"/>
      <c r="G808" s="5" t="str">
        <f aca="false">IF(ISNUMBER(FIND("old rod:",A808)),"old rod:",A808)</f>
        <v>29, 29, GEODUDE</v>
      </c>
      <c r="I808" s="5" t="s">
        <v>3080</v>
      </c>
    </row>
    <row r="809" customFormat="false" ht="12.75" hidden="false" customHeight="true" outlineLevel="0" collapsed="false">
      <c r="A809" s="5" t="s">
        <v>3081</v>
      </c>
      <c r="B809" s="7" t="n">
        <v>31</v>
      </c>
      <c r="C809" s="7" t="n">
        <v>31</v>
      </c>
      <c r="D809" s="7" t="s">
        <v>3740</v>
      </c>
      <c r="E809" s="7"/>
      <c r="G809" s="5" t="str">
        <f aca="false">IF(ISNUMBER(FIND("old rod:",A809)),"old rod:",A809)</f>
        <v>31, 31, GEODUDE</v>
      </c>
      <c r="I809" s="5" t="s">
        <v>3081</v>
      </c>
    </row>
    <row r="810" customFormat="false" ht="12.75" hidden="false" customHeight="true" outlineLevel="0" collapsed="false">
      <c r="A810" s="5" t="s">
        <v>3082</v>
      </c>
      <c r="B810" s="7" t="n">
        <v>31</v>
      </c>
      <c r="C810" s="7" t="n">
        <v>31</v>
      </c>
      <c r="D810" s="7" t="s">
        <v>3850</v>
      </c>
      <c r="E810" s="7"/>
      <c r="G810" s="5" t="str">
        <f aca="false">IF(ISNUMBER(FIND("old rod:",A810)),"old rod:",A810)</f>
        <v>31, 31, MACHOP</v>
      </c>
      <c r="I810" s="5" t="s">
        <v>3082</v>
      </c>
    </row>
    <row r="811" customFormat="false" ht="12.75" hidden="false" customHeight="true" outlineLevel="0" collapsed="false">
      <c r="A811" s="5" t="s">
        <v>3083</v>
      </c>
      <c r="B811" s="7" t="n">
        <v>33</v>
      </c>
      <c r="C811" s="7" t="n">
        <v>33</v>
      </c>
      <c r="D811" s="7" t="s">
        <v>3850</v>
      </c>
      <c r="E811" s="7"/>
      <c r="G811" s="5" t="str">
        <f aca="false">IF(ISNUMBER(FIND("old rod:",A811)),"old rod:",A811)</f>
        <v>33, 33, MACHOP</v>
      </c>
      <c r="I811" s="5" t="s">
        <v>3083</v>
      </c>
    </row>
    <row r="812" customFormat="false" ht="12.75" hidden="false" customHeight="true" outlineLevel="0" collapsed="false">
      <c r="A812" s="5" t="n">
        <v>0.05</v>
      </c>
      <c r="B812" s="5" t="n">
        <v>0.05</v>
      </c>
      <c r="C812" s="7"/>
      <c r="D812" s="7"/>
      <c r="E812" s="7"/>
      <c r="G812" s="5" t="n">
        <f aca="false">IF(ISNUMBER(FIND("old rod:",A812)),"old rod:",A812)</f>
        <v>0.05</v>
      </c>
      <c r="I812" s="5" t="n">
        <v>0.05</v>
      </c>
    </row>
    <row r="813" customFormat="false" ht="12.75" hidden="false" customHeight="true" outlineLevel="0" collapsed="false">
      <c r="A813" s="5" t="s">
        <v>3084</v>
      </c>
      <c r="B813" s="7" t="n">
        <v>35</v>
      </c>
      <c r="C813" s="7" t="n">
        <v>35</v>
      </c>
      <c r="D813" s="7" t="s">
        <v>3740</v>
      </c>
      <c r="E813" s="7"/>
      <c r="G813" s="5" t="str">
        <f aca="false">IF(ISNUMBER(FIND("old rod:",A813)),"old rod:",A813)</f>
        <v>35, 35, GEODUDE</v>
      </c>
      <c r="I813" s="5" t="s">
        <v>3084</v>
      </c>
    </row>
    <row r="814" customFormat="false" ht="12.75" hidden="false" customHeight="true" outlineLevel="0" collapsed="false">
      <c r="A814" s="5" t="s">
        <v>3085</v>
      </c>
      <c r="B814" s="7" t="n">
        <v>37</v>
      </c>
      <c r="C814" s="7" t="n">
        <v>37</v>
      </c>
      <c r="D814" s="7" t="s">
        <v>3850</v>
      </c>
      <c r="E814" s="7"/>
      <c r="G814" s="5" t="str">
        <f aca="false">IF(ISNUMBER(FIND("old rod:",A814)),"old rod:",A814)</f>
        <v>37, 37, MACHOP</v>
      </c>
      <c r="I814" s="5" t="s">
        <v>3085</v>
      </c>
    </row>
    <row r="815" customFormat="false" ht="12.75" hidden="false" customHeight="true" outlineLevel="0" collapsed="false">
      <c r="A815" s="5" t="n">
        <v>0.04</v>
      </c>
      <c r="B815" s="5" t="n">
        <v>0.04</v>
      </c>
      <c r="C815" s="7"/>
      <c r="D815" s="7"/>
      <c r="E815" s="7"/>
      <c r="G815" s="5" t="n">
        <f aca="false">IF(ISNUMBER(FIND("old rod:",A815)),"old rod:",A815)</f>
        <v>0.04</v>
      </c>
      <c r="I815" s="5" t="n">
        <v>0.04</v>
      </c>
    </row>
    <row r="816" customFormat="false" ht="12.75" hidden="false" customHeight="true" outlineLevel="0" collapsed="false">
      <c r="A816" s="5" t="s">
        <v>3086</v>
      </c>
      <c r="B816" s="7" t="n">
        <v>37</v>
      </c>
      <c r="C816" s="7" t="n">
        <v>37</v>
      </c>
      <c r="D816" s="7" t="s">
        <v>3740</v>
      </c>
      <c r="E816" s="7"/>
      <c r="G816" s="5" t="str">
        <f aca="false">IF(ISNUMBER(FIND("old rod:",A816)),"old rod:",A816)</f>
        <v>37, 37, GEODUDE</v>
      </c>
      <c r="I816" s="5" t="s">
        <v>3086</v>
      </c>
    </row>
    <row r="817" customFormat="false" ht="12.75" hidden="false" customHeight="true" outlineLevel="0" collapsed="false">
      <c r="A817" s="5" t="s">
        <v>3087</v>
      </c>
      <c r="B817" s="7" t="n">
        <v>39</v>
      </c>
      <c r="C817" s="7" t="n">
        <v>39</v>
      </c>
      <c r="D817" s="7" t="s">
        <v>3850</v>
      </c>
      <c r="E817" s="7"/>
      <c r="G817" s="5" t="str">
        <f aca="false">IF(ISNUMBER(FIND("old rod:",A817)),"old rod:",A817)</f>
        <v>39, 39, MACHOP</v>
      </c>
      <c r="I817" s="5" t="s">
        <v>3087</v>
      </c>
    </row>
    <row r="818" customFormat="false" ht="12.75" hidden="false" customHeight="true" outlineLevel="0" collapsed="false">
      <c r="A818" s="5" t="n">
        <v>0.01</v>
      </c>
      <c r="B818" s="5" t="n">
        <v>0.01</v>
      </c>
      <c r="C818" s="7"/>
      <c r="D818" s="7"/>
      <c r="E818" s="7"/>
      <c r="G818" s="5" t="n">
        <f aca="false">IF(ISNUMBER(FIND("old rod:",A818)),"old rod:",A818)</f>
        <v>0.01</v>
      </c>
      <c r="I818" s="5" t="n">
        <v>0.01</v>
      </c>
    </row>
    <row r="819" customFormat="false" ht="12.75" hidden="false" customHeight="true" outlineLevel="0" collapsed="false">
      <c r="A819" s="5" t="s">
        <v>3086</v>
      </c>
      <c r="B819" s="7" t="n">
        <v>37</v>
      </c>
      <c r="C819" s="7" t="n">
        <v>37</v>
      </c>
      <c r="D819" s="7" t="s">
        <v>3740</v>
      </c>
      <c r="E819" s="7"/>
      <c r="G819" s="5" t="str">
        <f aca="false">IF(ISNUMBER(FIND("old rod:",A819)),"old rod:",A819)</f>
        <v>37, 37, GEODUDE</v>
      </c>
      <c r="I819" s="5" t="s">
        <v>3086</v>
      </c>
    </row>
    <row r="820" customFormat="false" ht="12.75" hidden="false" customHeight="true" outlineLevel="0" collapsed="false">
      <c r="A820" s="5" t="s">
        <v>3087</v>
      </c>
      <c r="B820" s="7" t="n">
        <v>39</v>
      </c>
      <c r="C820" s="7" t="n">
        <v>39</v>
      </c>
      <c r="D820" s="7" t="s">
        <v>3850</v>
      </c>
      <c r="E820" s="7"/>
      <c r="G820" s="5" t="str">
        <f aca="false">IF(ISNUMBER(FIND("old rod:",A820)),"old rod:",A820)</f>
        <v>39, 39, MACHOP</v>
      </c>
      <c r="I820" s="5" t="s">
        <v>3087</v>
      </c>
    </row>
    <row r="821" customFormat="false" ht="12.75" hidden="false" customHeight="true" outlineLevel="0" collapsed="false">
      <c r="A821" s="5" t="s">
        <v>2536</v>
      </c>
      <c r="B821" s="7" t="s">
        <v>2536</v>
      </c>
      <c r="C821" s="7"/>
      <c r="D821" s="7"/>
      <c r="E821" s="7"/>
      <c r="G821" s="5" t="str">
        <f aca="false">IF(ISNUMBER(FIND("old rod:",A821)),"old rod:",A821)</f>
        <v>NEW ROUTE</v>
      </c>
      <c r="I821" s="5" t="s">
        <v>2536</v>
      </c>
    </row>
    <row r="822" customFormat="false" ht="12.75" hidden="false" customHeight="true" outlineLevel="0" collapsed="false">
      <c r="A822" s="5" t="s">
        <v>211</v>
      </c>
      <c r="B822" s="7" t="s">
        <v>211</v>
      </c>
      <c r="C822" s="7"/>
      <c r="D822" s="7"/>
      <c r="E822" s="7"/>
      <c r="G822" s="5" t="str">
        <f aca="false">IF(ISNUMBER(FIND("old rod:",A822)),"old rod:",A822)</f>
        <v>Mt. Ember Summit Path 2F</v>
      </c>
      <c r="I822" s="5" t="s">
        <v>211</v>
      </c>
    </row>
    <row r="823" customFormat="false" ht="12.75" hidden="false" customHeight="true" outlineLevel="0" collapsed="false">
      <c r="A823" s="5" t="n">
        <v>0.2</v>
      </c>
      <c r="B823" s="5" t="n">
        <v>0.2</v>
      </c>
      <c r="C823" s="7"/>
      <c r="D823" s="7"/>
      <c r="E823" s="7"/>
      <c r="G823" s="5" t="n">
        <f aca="false">IF(ISNUMBER(FIND("old rod:",A823)),"old rod:",A823)</f>
        <v>0.2</v>
      </c>
      <c r="I823" s="5" t="n">
        <v>0.2</v>
      </c>
    </row>
    <row r="824" customFormat="false" ht="12.75" hidden="false" customHeight="true" outlineLevel="0" collapsed="false">
      <c r="A824" s="5" t="s">
        <v>1518</v>
      </c>
      <c r="B824" s="7" t="n">
        <v>34</v>
      </c>
      <c r="C824" s="7" t="n">
        <v>34</v>
      </c>
      <c r="D824" s="7" t="s">
        <v>3740</v>
      </c>
      <c r="E824" s="7"/>
      <c r="G824" s="5" t="str">
        <f aca="false">IF(ISNUMBER(FIND("old rod:",A824)),"old rod:",A824)</f>
        <v>34, 34, GEODUDE</v>
      </c>
      <c r="I824" s="5" t="s">
        <v>1518</v>
      </c>
    </row>
    <row r="825" customFormat="false" ht="12.75" hidden="false" customHeight="true" outlineLevel="0" collapsed="false">
      <c r="A825" s="5" t="s">
        <v>3090</v>
      </c>
      <c r="B825" s="7" t="n">
        <v>36</v>
      </c>
      <c r="C825" s="7" t="n">
        <v>36</v>
      </c>
      <c r="D825" s="7" t="s">
        <v>3850</v>
      </c>
      <c r="E825" s="7"/>
      <c r="G825" s="5" t="str">
        <f aca="false">IF(ISNUMBER(FIND("old rod:",A825)),"old rod:",A825)</f>
        <v>36, 36, MACHOP</v>
      </c>
      <c r="I825" s="5" t="s">
        <v>3090</v>
      </c>
    </row>
    <row r="826" customFormat="false" ht="12.75" hidden="false" customHeight="true" outlineLevel="0" collapsed="false">
      <c r="A826" s="5" t="n">
        <v>0.1</v>
      </c>
      <c r="B826" s="5" t="n">
        <v>0.1</v>
      </c>
      <c r="C826" s="7"/>
      <c r="D826" s="7"/>
      <c r="E826" s="7"/>
      <c r="G826" s="5" t="n">
        <f aca="false">IF(ISNUMBER(FIND("old rod:",A826)),"old rod:",A826)</f>
        <v>0.1</v>
      </c>
      <c r="I826" s="5" t="n">
        <v>0.1</v>
      </c>
    </row>
    <row r="827" customFormat="false" ht="12.75" hidden="false" customHeight="true" outlineLevel="0" collapsed="false">
      <c r="A827" s="5" t="s">
        <v>3091</v>
      </c>
      <c r="B827" s="7" t="n">
        <v>30</v>
      </c>
      <c r="C827" s="7" t="n">
        <v>30</v>
      </c>
      <c r="D827" s="7" t="s">
        <v>3740</v>
      </c>
      <c r="E827" s="7"/>
      <c r="G827" s="5" t="str">
        <f aca="false">IF(ISNUMBER(FIND("old rod:",A827)),"old rod:",A827)</f>
        <v>30, 30, GEODUDE</v>
      </c>
      <c r="I827" s="5" t="s">
        <v>3091</v>
      </c>
    </row>
    <row r="828" customFormat="false" ht="12.75" hidden="false" customHeight="true" outlineLevel="0" collapsed="false">
      <c r="A828" s="5" t="s">
        <v>3092</v>
      </c>
      <c r="B828" s="7" t="n">
        <v>32</v>
      </c>
      <c r="C828" s="7" t="n">
        <v>32</v>
      </c>
      <c r="D828" s="7" t="s">
        <v>3740</v>
      </c>
      <c r="E828" s="7"/>
      <c r="G828" s="5" t="str">
        <f aca="false">IF(ISNUMBER(FIND("old rod:",A828)),"old rod:",A828)</f>
        <v>32, 32, GEODUDE</v>
      </c>
      <c r="I828" s="5" t="s">
        <v>3092</v>
      </c>
    </row>
    <row r="829" customFormat="false" ht="12.75" hidden="false" customHeight="true" outlineLevel="0" collapsed="false">
      <c r="A829" s="5" t="s">
        <v>3093</v>
      </c>
      <c r="B829" s="7" t="n">
        <v>32</v>
      </c>
      <c r="C829" s="7" t="n">
        <v>32</v>
      </c>
      <c r="D829" s="7" t="s">
        <v>3850</v>
      </c>
      <c r="E829" s="7"/>
      <c r="G829" s="5" t="str">
        <f aca="false">IF(ISNUMBER(FIND("old rod:",A829)),"old rod:",A829)</f>
        <v>32, 32, MACHOP</v>
      </c>
      <c r="I829" s="5" t="s">
        <v>3093</v>
      </c>
    </row>
    <row r="830" customFormat="false" ht="12.75" hidden="false" customHeight="true" outlineLevel="0" collapsed="false">
      <c r="A830" s="5" t="s">
        <v>3094</v>
      </c>
      <c r="B830" s="7" t="n">
        <v>34</v>
      </c>
      <c r="C830" s="7" t="n">
        <v>34</v>
      </c>
      <c r="D830" s="7" t="s">
        <v>3850</v>
      </c>
      <c r="E830" s="7"/>
      <c r="G830" s="5" t="str">
        <f aca="false">IF(ISNUMBER(FIND("old rod:",A830)),"old rod:",A830)</f>
        <v>34, 34, MACHOP</v>
      </c>
      <c r="I830" s="5" t="s">
        <v>3094</v>
      </c>
    </row>
    <row r="831" customFormat="false" ht="12.75" hidden="false" customHeight="true" outlineLevel="0" collapsed="false">
      <c r="A831" s="5" t="n">
        <v>0.05</v>
      </c>
      <c r="B831" s="5" t="n">
        <v>0.05</v>
      </c>
      <c r="C831" s="7"/>
      <c r="D831" s="7"/>
      <c r="E831" s="7"/>
      <c r="G831" s="5" t="n">
        <f aca="false">IF(ISNUMBER(FIND("old rod:",A831)),"old rod:",A831)</f>
        <v>0.05</v>
      </c>
      <c r="I831" s="5" t="n">
        <v>0.05</v>
      </c>
    </row>
    <row r="832" customFormat="false" ht="12.75" hidden="false" customHeight="true" outlineLevel="0" collapsed="false">
      <c r="A832" s="5" t="s">
        <v>3095</v>
      </c>
      <c r="B832" s="7" t="n">
        <v>38</v>
      </c>
      <c r="C832" s="7" t="n">
        <v>38</v>
      </c>
      <c r="D832" s="7" t="s">
        <v>3884</v>
      </c>
      <c r="E832" s="7"/>
      <c r="G832" s="5" t="str">
        <f aca="false">IF(ISNUMBER(FIND("old rod:",A832)),"old rod:",A832)</f>
        <v>38, 38, MACHOKE</v>
      </c>
      <c r="I832" s="5" t="s">
        <v>3095</v>
      </c>
    </row>
    <row r="833" customFormat="false" ht="12.75" hidden="false" customHeight="true" outlineLevel="0" collapsed="false">
      <c r="A833" s="5" t="s">
        <v>3095</v>
      </c>
      <c r="B833" s="7" t="n">
        <v>38</v>
      </c>
      <c r="C833" s="7" t="n">
        <v>38</v>
      </c>
      <c r="D833" s="7" t="s">
        <v>3884</v>
      </c>
      <c r="E833" s="7"/>
      <c r="G833" s="5" t="str">
        <f aca="false">IF(ISNUMBER(FIND("old rod:",A833)),"old rod:",A833)</f>
        <v>38, 38, MACHOKE</v>
      </c>
      <c r="I833" s="5" t="s">
        <v>3095</v>
      </c>
    </row>
    <row r="834" customFormat="false" ht="12.75" hidden="false" customHeight="true" outlineLevel="0" collapsed="false">
      <c r="A834" s="5" t="n">
        <v>0.04</v>
      </c>
      <c r="B834" s="5" t="n">
        <v>0.04</v>
      </c>
      <c r="C834" s="7"/>
      <c r="D834" s="7"/>
      <c r="E834" s="7"/>
      <c r="G834" s="5" t="n">
        <f aca="false">IF(ISNUMBER(FIND("old rod:",A834)),"old rod:",A834)</f>
        <v>0.04</v>
      </c>
      <c r="I834" s="5" t="n">
        <v>0.04</v>
      </c>
    </row>
    <row r="835" customFormat="false" ht="12.75" hidden="false" customHeight="true" outlineLevel="0" collapsed="false">
      <c r="A835" s="5" t="s">
        <v>3096</v>
      </c>
      <c r="B835" s="7" t="n">
        <v>40</v>
      </c>
      <c r="C835" s="7" t="n">
        <v>40</v>
      </c>
      <c r="D835" s="7" t="s">
        <v>3884</v>
      </c>
      <c r="E835" s="7"/>
      <c r="G835" s="5" t="str">
        <f aca="false">IF(ISNUMBER(FIND("old rod:",A835)),"old rod:",A835)</f>
        <v>40, 40, MACHOKE</v>
      </c>
      <c r="I835" s="5" t="s">
        <v>3096</v>
      </c>
    </row>
    <row r="836" customFormat="false" ht="12.75" hidden="false" customHeight="true" outlineLevel="0" collapsed="false">
      <c r="A836" s="5" t="s">
        <v>3096</v>
      </c>
      <c r="B836" s="7" t="n">
        <v>40</v>
      </c>
      <c r="C836" s="7" t="n">
        <v>40</v>
      </c>
      <c r="D836" s="7" t="s">
        <v>3884</v>
      </c>
      <c r="E836" s="7"/>
      <c r="G836" s="5" t="str">
        <f aca="false">IF(ISNUMBER(FIND("old rod:",A836)),"old rod:",A836)</f>
        <v>40, 40, MACHOKE</v>
      </c>
      <c r="I836" s="5" t="s">
        <v>3096</v>
      </c>
    </row>
    <row r="837" customFormat="false" ht="12.75" hidden="false" customHeight="true" outlineLevel="0" collapsed="false">
      <c r="A837" s="5" t="n">
        <v>0.01</v>
      </c>
      <c r="B837" s="5" t="n">
        <v>0.01</v>
      </c>
      <c r="C837" s="7"/>
      <c r="D837" s="7"/>
      <c r="E837" s="7"/>
      <c r="G837" s="5" t="n">
        <f aca="false">IF(ISNUMBER(FIND("old rod:",A837)),"old rod:",A837)</f>
        <v>0.01</v>
      </c>
      <c r="I837" s="5" t="n">
        <v>0.01</v>
      </c>
    </row>
    <row r="838" customFormat="false" ht="12.75" hidden="false" customHeight="true" outlineLevel="0" collapsed="false">
      <c r="A838" s="5" t="s">
        <v>3096</v>
      </c>
      <c r="B838" s="7" t="n">
        <v>40</v>
      </c>
      <c r="C838" s="7" t="n">
        <v>40</v>
      </c>
      <c r="D838" s="7" t="s">
        <v>3884</v>
      </c>
      <c r="E838" s="7"/>
      <c r="G838" s="5" t="str">
        <f aca="false">IF(ISNUMBER(FIND("old rod:",A838)),"old rod:",A838)</f>
        <v>40, 40, MACHOKE</v>
      </c>
      <c r="I838" s="5" t="s">
        <v>3096</v>
      </c>
    </row>
    <row r="839" customFormat="false" ht="12.75" hidden="false" customHeight="true" outlineLevel="0" collapsed="false">
      <c r="A839" s="5" t="s">
        <v>3096</v>
      </c>
      <c r="B839" s="7" t="n">
        <v>40</v>
      </c>
      <c r="C839" s="7" t="n">
        <v>40</v>
      </c>
      <c r="D839" s="7" t="s">
        <v>3884</v>
      </c>
      <c r="E839" s="7"/>
      <c r="G839" s="5" t="str">
        <f aca="false">IF(ISNUMBER(FIND("old rod:",A839)),"old rod:",A839)</f>
        <v>40, 40, MACHOKE</v>
      </c>
      <c r="I839" s="5" t="s">
        <v>3096</v>
      </c>
    </row>
    <row r="840" customFormat="false" ht="12.75" hidden="false" customHeight="true" outlineLevel="0" collapsed="false">
      <c r="A840" s="5" t="s">
        <v>2999</v>
      </c>
      <c r="B840" s="7" t="n">
        <v>50</v>
      </c>
      <c r="C840" s="7" t="n">
        <v>5</v>
      </c>
      <c r="D840" s="7" t="n">
        <v>20</v>
      </c>
      <c r="E840" s="7" t="s">
        <v>3740</v>
      </c>
      <c r="G840" s="5" t="str">
        <f aca="false">IF(ISNUMBER(FIND("old rod:",A840)),"old rod:",A840)</f>
        <v>50, 5, 20, GEODUDE</v>
      </c>
      <c r="I840" s="5" t="s">
        <v>2999</v>
      </c>
    </row>
    <row r="841" customFormat="false" ht="12.75" hidden="false" customHeight="true" outlineLevel="0" collapsed="false">
      <c r="A841" s="5" t="s">
        <v>3000</v>
      </c>
      <c r="B841" s="7" t="n">
        <v>10</v>
      </c>
      <c r="C841" s="7" t="n">
        <v>20</v>
      </c>
      <c r="D841" s="7" t="s">
        <v>3740</v>
      </c>
      <c r="E841" s="7"/>
      <c r="G841" s="5" t="str">
        <f aca="false">IF(ISNUMBER(FIND("old rod:",A841)),"old rod:",A841)</f>
        <v>10, 20, GEODUDE</v>
      </c>
      <c r="I841" s="5" t="s">
        <v>3000</v>
      </c>
    </row>
    <row r="842" customFormat="false" ht="12.75" hidden="false" customHeight="true" outlineLevel="0" collapsed="false">
      <c r="A842" s="5" t="s">
        <v>3001</v>
      </c>
      <c r="B842" s="7" t="n">
        <v>15</v>
      </c>
      <c r="C842" s="7" t="n">
        <v>30</v>
      </c>
      <c r="D842" s="7" t="s">
        <v>3740</v>
      </c>
      <c r="E842" s="7"/>
      <c r="G842" s="5" t="str">
        <f aca="false">IF(ISNUMBER(FIND("old rod:",A842)),"old rod:",A842)</f>
        <v>15, 30, GEODUDE</v>
      </c>
      <c r="I842" s="5" t="s">
        <v>3001</v>
      </c>
    </row>
    <row r="843" customFormat="false" ht="12.75" hidden="false" customHeight="true" outlineLevel="0" collapsed="false">
      <c r="A843" s="5" t="s">
        <v>3002</v>
      </c>
      <c r="B843" s="7" t="n">
        <v>25</v>
      </c>
      <c r="C843" s="7" t="n">
        <v>40</v>
      </c>
      <c r="D843" s="7" t="s">
        <v>3746</v>
      </c>
      <c r="E843" s="7"/>
      <c r="G843" s="5" t="str">
        <f aca="false">IF(ISNUMBER(FIND("old rod:",A843)),"old rod:",A843)</f>
        <v>25, 40, GRAVELER</v>
      </c>
      <c r="I843" s="5" t="s">
        <v>3002</v>
      </c>
    </row>
    <row r="844" customFormat="false" ht="12.75" hidden="false" customHeight="true" outlineLevel="0" collapsed="false">
      <c r="A844" s="5" t="s">
        <v>3233</v>
      </c>
      <c r="B844" s="7" t="n">
        <v>30</v>
      </c>
      <c r="C844" s="7" t="n">
        <v>40</v>
      </c>
      <c r="D844" s="7" t="s">
        <v>3746</v>
      </c>
      <c r="E844" s="7"/>
      <c r="G844" s="5" t="str">
        <f aca="false">IF(ISNUMBER(FIND("old rod:",A844)),"old rod:",A844)</f>
        <v>30, 40, GRAVELER</v>
      </c>
      <c r="I844" s="5" t="s">
        <v>3233</v>
      </c>
    </row>
    <row r="845" customFormat="false" ht="12.75" hidden="false" customHeight="true" outlineLevel="0" collapsed="false">
      <c r="A845" s="5" t="s">
        <v>2536</v>
      </c>
      <c r="B845" s="7" t="s">
        <v>2536</v>
      </c>
      <c r="C845" s="7"/>
      <c r="D845" s="7"/>
      <c r="E845" s="7"/>
      <c r="G845" s="5" t="str">
        <f aca="false">IF(ISNUMBER(FIND("old rod:",A845)),"old rod:",A845)</f>
        <v>NEW ROUTE</v>
      </c>
      <c r="I845" s="5" t="s">
        <v>2536</v>
      </c>
    </row>
    <row r="846" customFormat="false" ht="12.75" hidden="false" customHeight="true" outlineLevel="0" collapsed="false">
      <c r="A846" s="5" t="s">
        <v>213</v>
      </c>
      <c r="B846" s="7" t="s">
        <v>213</v>
      </c>
      <c r="C846" s="7"/>
      <c r="D846" s="7"/>
      <c r="E846" s="7"/>
      <c r="G846" s="5" t="str">
        <f aca="false">IF(ISNUMBER(FIND("old rod:",A846)),"old rod:",A846)</f>
        <v>Mt. Ember Summit Path 3F</v>
      </c>
      <c r="I846" s="5" t="s">
        <v>213</v>
      </c>
    </row>
    <row r="847" customFormat="false" ht="12.75" hidden="false" customHeight="true" outlineLevel="0" collapsed="false">
      <c r="A847" s="5" t="n">
        <v>0.2</v>
      </c>
      <c r="B847" s="5" t="n">
        <v>0.2</v>
      </c>
      <c r="C847" s="7"/>
      <c r="D847" s="7"/>
      <c r="E847" s="7"/>
      <c r="G847" s="5" t="n">
        <f aca="false">IF(ISNUMBER(FIND("old rod:",A847)),"old rod:",A847)</f>
        <v>0.2</v>
      </c>
      <c r="I847" s="5" t="n">
        <v>0.2</v>
      </c>
    </row>
    <row r="848" customFormat="false" ht="12.75" hidden="false" customHeight="true" outlineLevel="0" collapsed="false">
      <c r="A848" s="5" t="s">
        <v>1507</v>
      </c>
      <c r="B848" s="7" t="n">
        <v>33</v>
      </c>
      <c r="C848" s="7" t="n">
        <v>33</v>
      </c>
      <c r="D848" s="7" t="s">
        <v>3740</v>
      </c>
      <c r="E848" s="7"/>
      <c r="G848" s="5" t="str">
        <f aca="false">IF(ISNUMBER(FIND("old rod:",A848)),"old rod:",A848)</f>
        <v>33, 33, GEODUDE</v>
      </c>
      <c r="I848" s="5" t="s">
        <v>1507</v>
      </c>
    </row>
    <row r="849" customFormat="false" ht="12.75" hidden="false" customHeight="true" outlineLevel="0" collapsed="false">
      <c r="A849" s="5" t="s">
        <v>3072</v>
      </c>
      <c r="B849" s="7" t="n">
        <v>35</v>
      </c>
      <c r="C849" s="7" t="n">
        <v>35</v>
      </c>
      <c r="D849" s="7" t="s">
        <v>3850</v>
      </c>
      <c r="E849" s="7"/>
      <c r="G849" s="5" t="str">
        <f aca="false">IF(ISNUMBER(FIND("old rod:",A849)),"old rod:",A849)</f>
        <v>35, 35, MACHOP</v>
      </c>
      <c r="I849" s="5" t="s">
        <v>3072</v>
      </c>
    </row>
    <row r="850" customFormat="false" ht="12.75" hidden="false" customHeight="true" outlineLevel="0" collapsed="false">
      <c r="A850" s="5" t="n">
        <v>0.1</v>
      </c>
      <c r="B850" s="5" t="n">
        <v>0.1</v>
      </c>
      <c r="C850" s="7"/>
      <c r="D850" s="7"/>
      <c r="E850" s="7"/>
      <c r="G850" s="5" t="n">
        <f aca="false">IF(ISNUMBER(FIND("old rod:",A850)),"old rod:",A850)</f>
        <v>0.1</v>
      </c>
      <c r="I850" s="5" t="n">
        <v>0.1</v>
      </c>
    </row>
    <row r="851" customFormat="false" ht="12.75" hidden="false" customHeight="true" outlineLevel="0" collapsed="false">
      <c r="A851" s="5" t="s">
        <v>3080</v>
      </c>
      <c r="B851" s="7" t="n">
        <v>29</v>
      </c>
      <c r="C851" s="7" t="n">
        <v>29</v>
      </c>
      <c r="D851" s="7" t="s">
        <v>3740</v>
      </c>
      <c r="E851" s="7"/>
      <c r="G851" s="5" t="str">
        <f aca="false">IF(ISNUMBER(FIND("old rod:",A851)),"old rod:",A851)</f>
        <v>29, 29, GEODUDE</v>
      </c>
      <c r="I851" s="5" t="s">
        <v>3080</v>
      </c>
    </row>
    <row r="852" customFormat="false" ht="12.75" hidden="false" customHeight="true" outlineLevel="0" collapsed="false">
      <c r="A852" s="5" t="s">
        <v>3081</v>
      </c>
      <c r="B852" s="7" t="n">
        <v>31</v>
      </c>
      <c r="C852" s="7" t="n">
        <v>31</v>
      </c>
      <c r="D852" s="7" t="s">
        <v>3740</v>
      </c>
      <c r="E852" s="7"/>
      <c r="G852" s="5" t="str">
        <f aca="false">IF(ISNUMBER(FIND("old rod:",A852)),"old rod:",A852)</f>
        <v>31, 31, GEODUDE</v>
      </c>
      <c r="I852" s="5" t="s">
        <v>3081</v>
      </c>
    </row>
    <row r="853" customFormat="false" ht="12.75" hidden="false" customHeight="true" outlineLevel="0" collapsed="false">
      <c r="A853" s="5" t="s">
        <v>3082</v>
      </c>
      <c r="B853" s="7" t="n">
        <v>31</v>
      </c>
      <c r="C853" s="7" t="n">
        <v>31</v>
      </c>
      <c r="D853" s="7" t="s">
        <v>3850</v>
      </c>
      <c r="E853" s="7"/>
      <c r="G853" s="5" t="str">
        <f aca="false">IF(ISNUMBER(FIND("old rod:",A853)),"old rod:",A853)</f>
        <v>31, 31, MACHOP</v>
      </c>
      <c r="I853" s="5" t="s">
        <v>3082</v>
      </c>
    </row>
    <row r="854" customFormat="false" ht="12.75" hidden="false" customHeight="true" outlineLevel="0" collapsed="false">
      <c r="A854" s="5" t="s">
        <v>3083</v>
      </c>
      <c r="B854" s="7" t="n">
        <v>33</v>
      </c>
      <c r="C854" s="7" t="n">
        <v>33</v>
      </c>
      <c r="D854" s="7" t="s">
        <v>3850</v>
      </c>
      <c r="E854" s="7"/>
      <c r="G854" s="5" t="str">
        <f aca="false">IF(ISNUMBER(FIND("old rod:",A854)),"old rod:",A854)</f>
        <v>33, 33, MACHOP</v>
      </c>
      <c r="I854" s="5" t="s">
        <v>3083</v>
      </c>
    </row>
    <row r="855" customFormat="false" ht="12.75" hidden="false" customHeight="true" outlineLevel="0" collapsed="false">
      <c r="A855" s="5" t="n">
        <v>0.05</v>
      </c>
      <c r="B855" s="5" t="n">
        <v>0.05</v>
      </c>
      <c r="C855" s="7"/>
      <c r="D855" s="7"/>
      <c r="E855" s="7"/>
      <c r="G855" s="5" t="n">
        <f aca="false">IF(ISNUMBER(FIND("old rod:",A855)),"old rod:",A855)</f>
        <v>0.05</v>
      </c>
      <c r="I855" s="5" t="n">
        <v>0.05</v>
      </c>
    </row>
    <row r="856" customFormat="false" ht="12.75" hidden="false" customHeight="true" outlineLevel="0" collapsed="false">
      <c r="A856" s="5" t="s">
        <v>3084</v>
      </c>
      <c r="B856" s="7" t="n">
        <v>35</v>
      </c>
      <c r="C856" s="7" t="n">
        <v>35</v>
      </c>
      <c r="D856" s="7" t="s">
        <v>3740</v>
      </c>
      <c r="E856" s="7"/>
      <c r="G856" s="5" t="str">
        <f aca="false">IF(ISNUMBER(FIND("old rod:",A856)),"old rod:",A856)</f>
        <v>35, 35, GEODUDE</v>
      </c>
      <c r="I856" s="5" t="s">
        <v>3084</v>
      </c>
    </row>
    <row r="857" customFormat="false" ht="12.75" hidden="false" customHeight="true" outlineLevel="0" collapsed="false">
      <c r="A857" s="5" t="s">
        <v>3085</v>
      </c>
      <c r="B857" s="7" t="n">
        <v>37</v>
      </c>
      <c r="C857" s="7" t="n">
        <v>37</v>
      </c>
      <c r="D857" s="7" t="s">
        <v>3850</v>
      </c>
      <c r="E857" s="7"/>
      <c r="G857" s="5" t="str">
        <f aca="false">IF(ISNUMBER(FIND("old rod:",A857)),"old rod:",A857)</f>
        <v>37, 37, MACHOP</v>
      </c>
      <c r="I857" s="5" t="s">
        <v>3085</v>
      </c>
    </row>
    <row r="858" customFormat="false" ht="12.75" hidden="false" customHeight="true" outlineLevel="0" collapsed="false">
      <c r="A858" s="5" t="n">
        <v>0.04</v>
      </c>
      <c r="B858" s="5" t="n">
        <v>0.04</v>
      </c>
      <c r="C858" s="7"/>
      <c r="D858" s="7"/>
      <c r="E858" s="7"/>
      <c r="G858" s="5" t="n">
        <f aca="false">IF(ISNUMBER(FIND("old rod:",A858)),"old rod:",A858)</f>
        <v>0.04</v>
      </c>
      <c r="I858" s="5" t="n">
        <v>0.04</v>
      </c>
    </row>
    <row r="859" customFormat="false" ht="12.75" hidden="false" customHeight="true" outlineLevel="0" collapsed="false">
      <c r="A859" s="5" t="s">
        <v>3086</v>
      </c>
      <c r="B859" s="7" t="n">
        <v>37</v>
      </c>
      <c r="C859" s="7" t="n">
        <v>37</v>
      </c>
      <c r="D859" s="7" t="s">
        <v>3740</v>
      </c>
      <c r="E859" s="7"/>
      <c r="G859" s="5" t="str">
        <f aca="false">IF(ISNUMBER(FIND("old rod:",A859)),"old rod:",A859)</f>
        <v>37, 37, GEODUDE</v>
      </c>
      <c r="I859" s="5" t="s">
        <v>3086</v>
      </c>
    </row>
    <row r="860" customFormat="false" ht="12.75" hidden="false" customHeight="true" outlineLevel="0" collapsed="false">
      <c r="A860" s="5" t="s">
        <v>3087</v>
      </c>
      <c r="B860" s="7" t="n">
        <v>39</v>
      </c>
      <c r="C860" s="7" t="n">
        <v>39</v>
      </c>
      <c r="D860" s="7" t="s">
        <v>3850</v>
      </c>
      <c r="E860" s="7"/>
      <c r="G860" s="5" t="str">
        <f aca="false">IF(ISNUMBER(FIND("old rod:",A860)),"old rod:",A860)</f>
        <v>39, 39, MACHOP</v>
      </c>
      <c r="I860" s="5" t="s">
        <v>3087</v>
      </c>
    </row>
    <row r="861" customFormat="false" ht="12.75" hidden="false" customHeight="true" outlineLevel="0" collapsed="false">
      <c r="A861" s="5" t="n">
        <v>0.01</v>
      </c>
      <c r="B861" s="5" t="n">
        <v>0.01</v>
      </c>
      <c r="C861" s="7"/>
      <c r="D861" s="7"/>
      <c r="E861" s="7"/>
      <c r="G861" s="5" t="n">
        <f aca="false">IF(ISNUMBER(FIND("old rod:",A861)),"old rod:",A861)</f>
        <v>0.01</v>
      </c>
      <c r="I861" s="5" t="n">
        <v>0.01</v>
      </c>
    </row>
    <row r="862" customFormat="false" ht="12.75" hidden="false" customHeight="true" outlineLevel="0" collapsed="false">
      <c r="A862" s="5" t="s">
        <v>3086</v>
      </c>
      <c r="B862" s="7" t="n">
        <v>37</v>
      </c>
      <c r="C862" s="7" t="n">
        <v>37</v>
      </c>
      <c r="D862" s="7" t="s">
        <v>3740</v>
      </c>
      <c r="E862" s="7"/>
      <c r="G862" s="5" t="str">
        <f aca="false">IF(ISNUMBER(FIND("old rod:",A862)),"old rod:",A862)</f>
        <v>37, 37, GEODUDE</v>
      </c>
      <c r="I862" s="5" t="s">
        <v>3086</v>
      </c>
    </row>
    <row r="863" customFormat="false" ht="12.75" hidden="false" customHeight="true" outlineLevel="0" collapsed="false">
      <c r="A863" s="5" t="s">
        <v>3087</v>
      </c>
      <c r="B863" s="7" t="n">
        <v>39</v>
      </c>
      <c r="C863" s="7" t="n">
        <v>39</v>
      </c>
      <c r="D863" s="7" t="s">
        <v>3850</v>
      </c>
      <c r="E863" s="7"/>
      <c r="G863" s="5" t="str">
        <f aca="false">IF(ISNUMBER(FIND("old rod:",A863)),"old rod:",A863)</f>
        <v>39, 39, MACHOP</v>
      </c>
      <c r="I863" s="5" t="s">
        <v>3087</v>
      </c>
    </row>
    <row r="864" customFormat="false" ht="12.75" hidden="false" customHeight="true" outlineLevel="0" collapsed="false">
      <c r="A864" s="5" t="s">
        <v>2536</v>
      </c>
      <c r="B864" s="7" t="s">
        <v>2536</v>
      </c>
      <c r="C864" s="7"/>
      <c r="D864" s="7"/>
      <c r="E864" s="7"/>
      <c r="G864" s="5" t="str">
        <f aca="false">IF(ISNUMBER(FIND("old rod:",A864)),"old rod:",A864)</f>
        <v>NEW ROUTE</v>
      </c>
      <c r="I864" s="5" t="s">
        <v>2536</v>
      </c>
    </row>
    <row r="865" customFormat="false" ht="12.75" hidden="false" customHeight="true" outlineLevel="0" collapsed="false">
      <c r="A865" s="5" t="s">
        <v>219</v>
      </c>
      <c r="B865" s="7" t="s">
        <v>219</v>
      </c>
      <c r="C865" s="7"/>
      <c r="D865" s="7"/>
      <c r="E865" s="7"/>
      <c r="G865" s="5" t="str">
        <f aca="false">IF(ISNUMBER(FIND("old rod:",A865)),"old rod:",A865)</f>
        <v>Mt. Ember Ruby Path 1F</v>
      </c>
      <c r="I865" s="5" t="s">
        <v>219</v>
      </c>
    </row>
    <row r="866" customFormat="false" ht="12.75" hidden="false" customHeight="true" outlineLevel="0" collapsed="false">
      <c r="A866" s="5" t="n">
        <v>0.2</v>
      </c>
      <c r="B866" s="5" t="n">
        <v>0.2</v>
      </c>
      <c r="C866" s="7"/>
      <c r="D866" s="7"/>
      <c r="E866" s="7"/>
      <c r="G866" s="5" t="n">
        <f aca="false">IF(ISNUMBER(FIND("old rod:",A866)),"old rod:",A866)</f>
        <v>0.2</v>
      </c>
      <c r="I866" s="5" t="n">
        <v>0.2</v>
      </c>
    </row>
    <row r="867" customFormat="false" ht="12.75" hidden="false" customHeight="true" outlineLevel="0" collapsed="false">
      <c r="A867" s="5" t="s">
        <v>1529</v>
      </c>
      <c r="B867" s="7" t="n">
        <v>36</v>
      </c>
      <c r="C867" s="7" t="n">
        <v>36</v>
      </c>
      <c r="D867" s="7" t="s">
        <v>3740</v>
      </c>
      <c r="E867" s="7"/>
      <c r="G867" s="5" t="str">
        <f aca="false">IF(ISNUMBER(FIND("old rod:",A867)),"old rod:",A867)</f>
        <v>36, 36, GEODUDE</v>
      </c>
      <c r="I867" s="5" t="s">
        <v>1529</v>
      </c>
    </row>
    <row r="868" customFormat="false" ht="12.75" hidden="false" customHeight="true" outlineLevel="0" collapsed="false">
      <c r="A868" s="5" t="s">
        <v>3099</v>
      </c>
      <c r="B868" s="7" t="n">
        <v>38</v>
      </c>
      <c r="C868" s="7" t="n">
        <v>38</v>
      </c>
      <c r="D868" s="7" t="s">
        <v>3850</v>
      </c>
      <c r="E868" s="7"/>
      <c r="G868" s="5" t="str">
        <f aca="false">IF(ISNUMBER(FIND("old rod:",A868)),"old rod:",A868)</f>
        <v>38, 38, MACHOP</v>
      </c>
      <c r="I868" s="5" t="s">
        <v>3099</v>
      </c>
    </row>
    <row r="869" customFormat="false" ht="12.75" hidden="false" customHeight="true" outlineLevel="0" collapsed="false">
      <c r="A869" s="5" t="n">
        <v>0.1</v>
      </c>
      <c r="B869" s="5" t="n">
        <v>0.1</v>
      </c>
      <c r="C869" s="7"/>
      <c r="D869" s="7"/>
      <c r="E869" s="7"/>
      <c r="G869" s="5" t="n">
        <f aca="false">IF(ISNUMBER(FIND("old rod:",A869)),"old rod:",A869)</f>
        <v>0.1</v>
      </c>
      <c r="I869" s="5" t="n">
        <v>0.1</v>
      </c>
    </row>
    <row r="870" customFormat="false" ht="12.75" hidden="false" customHeight="true" outlineLevel="0" collapsed="false">
      <c r="A870" s="5" t="s">
        <v>3092</v>
      </c>
      <c r="B870" s="7" t="n">
        <v>32</v>
      </c>
      <c r="C870" s="7" t="n">
        <v>32</v>
      </c>
      <c r="D870" s="7" t="s">
        <v>3740</v>
      </c>
      <c r="E870" s="7"/>
      <c r="G870" s="5" t="str">
        <f aca="false">IF(ISNUMBER(FIND("old rod:",A870)),"old rod:",A870)</f>
        <v>32, 32, GEODUDE</v>
      </c>
      <c r="I870" s="5" t="s">
        <v>3092</v>
      </c>
    </row>
    <row r="871" customFormat="false" ht="12.75" hidden="false" customHeight="true" outlineLevel="0" collapsed="false">
      <c r="A871" s="5" t="s">
        <v>1518</v>
      </c>
      <c r="B871" s="7" t="n">
        <v>34</v>
      </c>
      <c r="C871" s="7" t="n">
        <v>34</v>
      </c>
      <c r="D871" s="7" t="s">
        <v>3740</v>
      </c>
      <c r="E871" s="7"/>
      <c r="G871" s="5" t="str">
        <f aca="false">IF(ISNUMBER(FIND("old rod:",A871)),"old rod:",A871)</f>
        <v>34, 34, GEODUDE</v>
      </c>
      <c r="I871" s="5" t="s">
        <v>1518</v>
      </c>
    </row>
    <row r="872" customFormat="false" ht="12.75" hidden="false" customHeight="true" outlineLevel="0" collapsed="false">
      <c r="A872" s="5" t="s">
        <v>3094</v>
      </c>
      <c r="B872" s="7" t="n">
        <v>34</v>
      </c>
      <c r="C872" s="7" t="n">
        <v>34</v>
      </c>
      <c r="D872" s="7" t="s">
        <v>3850</v>
      </c>
      <c r="E872" s="7"/>
      <c r="G872" s="5" t="str">
        <f aca="false">IF(ISNUMBER(FIND("old rod:",A872)),"old rod:",A872)</f>
        <v>34, 34, MACHOP</v>
      </c>
      <c r="I872" s="5" t="s">
        <v>3094</v>
      </c>
    </row>
    <row r="873" customFormat="false" ht="12.75" hidden="false" customHeight="true" outlineLevel="0" collapsed="false">
      <c r="A873" s="5" t="s">
        <v>3090</v>
      </c>
      <c r="B873" s="7" t="n">
        <v>36</v>
      </c>
      <c r="C873" s="7" t="n">
        <v>36</v>
      </c>
      <c r="D873" s="7" t="s">
        <v>3850</v>
      </c>
      <c r="E873" s="7"/>
      <c r="G873" s="5" t="str">
        <f aca="false">IF(ISNUMBER(FIND("old rod:",A873)),"old rod:",A873)</f>
        <v>36, 36, MACHOP</v>
      </c>
      <c r="I873" s="5" t="s">
        <v>3090</v>
      </c>
    </row>
    <row r="874" customFormat="false" ht="12.75" hidden="false" customHeight="true" outlineLevel="0" collapsed="false">
      <c r="A874" s="5" t="n">
        <v>0.05</v>
      </c>
      <c r="B874" s="5" t="n">
        <v>0.05</v>
      </c>
      <c r="C874" s="7"/>
      <c r="D874" s="7"/>
      <c r="E874" s="7"/>
      <c r="G874" s="5" t="n">
        <f aca="false">IF(ISNUMBER(FIND("old rod:",A874)),"old rod:",A874)</f>
        <v>0.05</v>
      </c>
      <c r="I874" s="5" t="n">
        <v>0.05</v>
      </c>
    </row>
    <row r="875" customFormat="false" ht="12.75" hidden="false" customHeight="true" outlineLevel="0" collapsed="false">
      <c r="A875" s="5" t="s">
        <v>1541</v>
      </c>
      <c r="B875" s="7" t="n">
        <v>38</v>
      </c>
      <c r="C875" s="7" t="n">
        <v>38</v>
      </c>
      <c r="D875" s="7" t="s">
        <v>3740</v>
      </c>
      <c r="E875" s="7"/>
      <c r="G875" s="5" t="str">
        <f aca="false">IF(ISNUMBER(FIND("old rod:",A875)),"old rod:",A875)</f>
        <v>38, 38, GEODUDE</v>
      </c>
      <c r="I875" s="5" t="s">
        <v>1541</v>
      </c>
    </row>
    <row r="876" customFormat="false" ht="12.75" hidden="false" customHeight="true" outlineLevel="0" collapsed="false">
      <c r="A876" s="5" t="s">
        <v>3096</v>
      </c>
      <c r="B876" s="7" t="n">
        <v>40</v>
      </c>
      <c r="C876" s="7" t="n">
        <v>40</v>
      </c>
      <c r="D876" s="7" t="s">
        <v>3884</v>
      </c>
      <c r="E876" s="7"/>
      <c r="G876" s="5" t="str">
        <f aca="false">IF(ISNUMBER(FIND("old rod:",A876)),"old rod:",A876)</f>
        <v>40, 40, MACHOKE</v>
      </c>
      <c r="I876" s="5" t="s">
        <v>3096</v>
      </c>
    </row>
    <row r="877" customFormat="false" ht="12.75" hidden="false" customHeight="true" outlineLevel="0" collapsed="false">
      <c r="A877" s="5" t="n">
        <v>0.04</v>
      </c>
      <c r="B877" s="5" t="n">
        <v>0.04</v>
      </c>
      <c r="C877" s="7"/>
      <c r="D877" s="7"/>
      <c r="E877" s="7"/>
      <c r="G877" s="5" t="n">
        <f aca="false">IF(ISNUMBER(FIND("old rod:",A877)),"old rod:",A877)</f>
        <v>0.04</v>
      </c>
      <c r="I877" s="5" t="n">
        <v>0.04</v>
      </c>
    </row>
    <row r="878" customFormat="false" ht="12.75" hidden="false" customHeight="true" outlineLevel="0" collapsed="false">
      <c r="A878" s="5" t="s">
        <v>1550</v>
      </c>
      <c r="B878" s="7" t="n">
        <v>40</v>
      </c>
      <c r="C878" s="7" t="n">
        <v>40</v>
      </c>
      <c r="D878" s="7" t="s">
        <v>3740</v>
      </c>
      <c r="E878" s="7"/>
      <c r="G878" s="5" t="str">
        <f aca="false">IF(ISNUMBER(FIND("old rod:",A878)),"old rod:",A878)</f>
        <v>40, 40, GEODUDE</v>
      </c>
      <c r="I878" s="5" t="s">
        <v>1550</v>
      </c>
    </row>
    <row r="879" customFormat="false" ht="12.75" hidden="false" customHeight="true" outlineLevel="0" collapsed="false">
      <c r="A879" s="5" t="s">
        <v>3100</v>
      </c>
      <c r="B879" s="7" t="n">
        <v>42</v>
      </c>
      <c r="C879" s="7" t="n">
        <v>42</v>
      </c>
      <c r="D879" s="7" t="s">
        <v>3884</v>
      </c>
      <c r="E879" s="7"/>
      <c r="G879" s="5" t="str">
        <f aca="false">IF(ISNUMBER(FIND("old rod:",A879)),"old rod:",A879)</f>
        <v>42, 42, MACHOKE</v>
      </c>
      <c r="I879" s="5" t="s">
        <v>3100</v>
      </c>
    </row>
    <row r="880" customFormat="false" ht="12.75" hidden="false" customHeight="true" outlineLevel="0" collapsed="false">
      <c r="A880" s="5" t="n">
        <v>0.01</v>
      </c>
      <c r="B880" s="5" t="n">
        <v>0.01</v>
      </c>
      <c r="C880" s="7"/>
      <c r="D880" s="7"/>
      <c r="E880" s="7"/>
      <c r="G880" s="5" t="n">
        <f aca="false">IF(ISNUMBER(FIND("old rod:",A880)),"old rod:",A880)</f>
        <v>0.01</v>
      </c>
      <c r="I880" s="5" t="n">
        <v>0.01</v>
      </c>
    </row>
    <row r="881" customFormat="false" ht="12.75" hidden="false" customHeight="true" outlineLevel="0" collapsed="false">
      <c r="A881" s="5" t="s">
        <v>1550</v>
      </c>
      <c r="B881" s="7" t="n">
        <v>40</v>
      </c>
      <c r="C881" s="7" t="n">
        <v>40</v>
      </c>
      <c r="D881" s="7" t="s">
        <v>3740</v>
      </c>
      <c r="E881" s="7"/>
      <c r="G881" s="5" t="str">
        <f aca="false">IF(ISNUMBER(FIND("old rod:",A881)),"old rod:",A881)</f>
        <v>40, 40, GEODUDE</v>
      </c>
      <c r="I881" s="5" t="s">
        <v>1550</v>
      </c>
    </row>
    <row r="882" customFormat="false" ht="12.75" hidden="false" customHeight="true" outlineLevel="0" collapsed="false">
      <c r="A882" s="5" t="s">
        <v>3100</v>
      </c>
      <c r="B882" s="7" t="n">
        <v>42</v>
      </c>
      <c r="C882" s="7" t="n">
        <v>42</v>
      </c>
      <c r="D882" s="7" t="s">
        <v>3884</v>
      </c>
      <c r="E882" s="7"/>
      <c r="G882" s="5" t="str">
        <f aca="false">IF(ISNUMBER(FIND("old rod:",A882)),"old rod:",A882)</f>
        <v>42, 42, MACHOKE</v>
      </c>
      <c r="I882" s="5" t="s">
        <v>3100</v>
      </c>
    </row>
    <row r="883" customFormat="false" ht="12.75" hidden="false" customHeight="true" outlineLevel="0" collapsed="false">
      <c r="A883" s="5" t="s">
        <v>3101</v>
      </c>
      <c r="B883" s="7" t="n">
        <v>50</v>
      </c>
      <c r="C883" s="7" t="n">
        <v>25</v>
      </c>
      <c r="D883" s="7" t="n">
        <v>35</v>
      </c>
      <c r="E883" s="7" t="s">
        <v>3740</v>
      </c>
      <c r="G883" s="5" t="str">
        <f aca="false">IF(ISNUMBER(FIND("old rod:",A883)),"old rod:",A883)</f>
        <v>50, 25, 35, GEODUDE</v>
      </c>
      <c r="I883" s="5" t="s">
        <v>3101</v>
      </c>
    </row>
    <row r="884" customFormat="false" ht="12.75" hidden="false" customHeight="true" outlineLevel="0" collapsed="false">
      <c r="A884" s="5" t="s">
        <v>3102</v>
      </c>
      <c r="B884" s="7" t="n">
        <v>30</v>
      </c>
      <c r="C884" s="7" t="n">
        <v>45</v>
      </c>
      <c r="D884" s="7" t="s">
        <v>3746</v>
      </c>
      <c r="E884" s="7"/>
      <c r="G884" s="5" t="str">
        <f aca="false">IF(ISNUMBER(FIND("old rod:",A884)),"old rod:",A884)</f>
        <v>30, 45, GRAVELER</v>
      </c>
      <c r="I884" s="5" t="s">
        <v>3102</v>
      </c>
    </row>
    <row r="885" customFormat="false" ht="12.75" hidden="false" customHeight="true" outlineLevel="0" collapsed="false">
      <c r="A885" s="5" t="s">
        <v>3103</v>
      </c>
      <c r="B885" s="7" t="n">
        <v>35</v>
      </c>
      <c r="C885" s="7" t="n">
        <v>50</v>
      </c>
      <c r="D885" s="7" t="s">
        <v>3746</v>
      </c>
      <c r="E885" s="7"/>
      <c r="G885" s="5" t="str">
        <f aca="false">IF(ISNUMBER(FIND("old rod:",A885)),"old rod:",A885)</f>
        <v>35, 50, GRAVELER</v>
      </c>
      <c r="I885" s="5" t="s">
        <v>3103</v>
      </c>
    </row>
    <row r="886" customFormat="false" ht="12.75" hidden="false" customHeight="true" outlineLevel="0" collapsed="false">
      <c r="A886" s="5" t="s">
        <v>3104</v>
      </c>
      <c r="B886" s="7" t="n">
        <v>30</v>
      </c>
      <c r="C886" s="7" t="n">
        <v>40</v>
      </c>
      <c r="D886" s="7" t="s">
        <v>3740</v>
      </c>
      <c r="E886" s="7"/>
      <c r="G886" s="5" t="str">
        <f aca="false">IF(ISNUMBER(FIND("old rod:",A886)),"old rod:",A886)</f>
        <v>30, 40, GEODUDE</v>
      </c>
      <c r="I886" s="5" t="s">
        <v>3104</v>
      </c>
    </row>
    <row r="887" customFormat="false" ht="12.75" hidden="false" customHeight="true" outlineLevel="0" collapsed="false">
      <c r="A887" s="5" t="s">
        <v>3104</v>
      </c>
      <c r="B887" s="7" t="n">
        <v>30</v>
      </c>
      <c r="C887" s="7" t="n">
        <v>40</v>
      </c>
      <c r="D887" s="7" t="s">
        <v>3740</v>
      </c>
      <c r="E887" s="7"/>
      <c r="G887" s="5" t="str">
        <f aca="false">IF(ISNUMBER(FIND("old rod:",A887)),"old rod:",A887)</f>
        <v>30, 40, GEODUDE</v>
      </c>
      <c r="I887" s="5" t="s">
        <v>3104</v>
      </c>
    </row>
    <row r="888" customFormat="false" ht="12.75" hidden="false" customHeight="true" outlineLevel="0" collapsed="false">
      <c r="A888" s="5" t="s">
        <v>2536</v>
      </c>
      <c r="B888" s="7" t="s">
        <v>2536</v>
      </c>
      <c r="C888" s="7"/>
      <c r="D888" s="7"/>
      <c r="E888" s="7"/>
      <c r="G888" s="5" t="str">
        <f aca="false">IF(ISNUMBER(FIND("old rod:",A888)),"old rod:",A888)</f>
        <v>NEW ROUTE</v>
      </c>
      <c r="I888" s="5" t="s">
        <v>2536</v>
      </c>
    </row>
    <row r="889" customFormat="false" ht="12.75" hidden="false" customHeight="true" outlineLevel="0" collapsed="false">
      <c r="A889" s="5" t="s">
        <v>221</v>
      </c>
      <c r="B889" s="7" t="s">
        <v>221</v>
      </c>
      <c r="C889" s="7"/>
      <c r="D889" s="7"/>
      <c r="E889" s="7"/>
      <c r="G889" s="5" t="str">
        <f aca="false">IF(ISNUMBER(FIND("old rod:",A889)),"old rod:",A889)</f>
        <v>Mt. Ember Ruby Path B1F</v>
      </c>
      <c r="I889" s="5" t="s">
        <v>221</v>
      </c>
    </row>
    <row r="890" customFormat="false" ht="12.75" hidden="false" customHeight="true" outlineLevel="0" collapsed="false">
      <c r="A890" s="5" t="n">
        <v>0.2</v>
      </c>
      <c r="B890" s="5" t="n">
        <v>0.2</v>
      </c>
      <c r="C890" s="7"/>
      <c r="D890" s="7"/>
      <c r="E890" s="7"/>
      <c r="G890" s="5" t="n">
        <f aca="false">IF(ISNUMBER(FIND("old rod:",A890)),"old rod:",A890)</f>
        <v>0.2</v>
      </c>
      <c r="I890" s="5" t="n">
        <v>0.2</v>
      </c>
    </row>
    <row r="891" customFormat="false" ht="12.75" hidden="false" customHeight="true" outlineLevel="0" collapsed="false">
      <c r="A891" s="5" t="s">
        <v>1541</v>
      </c>
      <c r="B891" s="7" t="n">
        <v>38</v>
      </c>
      <c r="C891" s="7" t="n">
        <v>38</v>
      </c>
      <c r="D891" s="7" t="s">
        <v>3740</v>
      </c>
      <c r="E891" s="7"/>
      <c r="G891" s="5" t="str">
        <f aca="false">IF(ISNUMBER(FIND("old rod:",A891)),"old rod:",A891)</f>
        <v>38, 38, GEODUDE</v>
      </c>
      <c r="I891" s="5" t="s">
        <v>1541</v>
      </c>
    </row>
    <row r="892" customFormat="false" ht="12.75" hidden="false" customHeight="true" outlineLevel="0" collapsed="false">
      <c r="A892" s="5" t="s">
        <v>1529</v>
      </c>
      <c r="B892" s="7" t="n">
        <v>36</v>
      </c>
      <c r="C892" s="7" t="n">
        <v>36</v>
      </c>
      <c r="D892" s="7" t="s">
        <v>3740</v>
      </c>
      <c r="E892" s="7"/>
      <c r="G892" s="5" t="str">
        <f aca="false">IF(ISNUMBER(FIND("old rod:",A892)),"old rod:",A892)</f>
        <v>36, 36, GEODUDE</v>
      </c>
      <c r="I892" s="5" t="s">
        <v>1529</v>
      </c>
    </row>
    <row r="893" customFormat="false" ht="12.75" hidden="false" customHeight="true" outlineLevel="0" collapsed="false">
      <c r="A893" s="5" t="n">
        <v>0.1</v>
      </c>
      <c r="B893" s="5" t="n">
        <v>0.1</v>
      </c>
      <c r="C893" s="7"/>
      <c r="D893" s="7"/>
      <c r="E893" s="7"/>
      <c r="G893" s="5" t="n">
        <f aca="false">IF(ISNUMBER(FIND("old rod:",A893)),"old rod:",A893)</f>
        <v>0.1</v>
      </c>
      <c r="I893" s="5" t="n">
        <v>0.1</v>
      </c>
    </row>
    <row r="894" customFormat="false" ht="12.75" hidden="false" customHeight="true" outlineLevel="0" collapsed="false">
      <c r="A894" s="5" t="s">
        <v>1518</v>
      </c>
      <c r="B894" s="7" t="n">
        <v>34</v>
      </c>
      <c r="C894" s="7" t="n">
        <v>34</v>
      </c>
      <c r="D894" s="7" t="s">
        <v>3740</v>
      </c>
      <c r="E894" s="7"/>
      <c r="G894" s="5" t="str">
        <f aca="false">IF(ISNUMBER(FIND("old rod:",A894)),"old rod:",A894)</f>
        <v>34, 34, GEODUDE</v>
      </c>
      <c r="I894" s="5" t="s">
        <v>1518</v>
      </c>
    </row>
    <row r="895" customFormat="false" ht="12.75" hidden="false" customHeight="true" outlineLevel="0" collapsed="false">
      <c r="A895" s="5" t="s">
        <v>1550</v>
      </c>
      <c r="B895" s="7" t="n">
        <v>40</v>
      </c>
      <c r="C895" s="7" t="n">
        <v>40</v>
      </c>
      <c r="D895" s="7" t="s">
        <v>3740</v>
      </c>
      <c r="E895" s="7"/>
      <c r="G895" s="5" t="str">
        <f aca="false">IF(ISNUMBER(FIND("old rod:",A895)),"old rod:",A895)</f>
        <v>40, 40, GEODUDE</v>
      </c>
      <c r="I895" s="5" t="s">
        <v>1550</v>
      </c>
    </row>
    <row r="896" customFormat="false" ht="12.75" hidden="false" customHeight="true" outlineLevel="0" collapsed="false">
      <c r="A896" s="5" t="s">
        <v>3107</v>
      </c>
      <c r="B896" s="7" t="n">
        <v>24</v>
      </c>
      <c r="C896" s="7" t="n">
        <v>24</v>
      </c>
      <c r="D896" s="7" t="s">
        <v>3885</v>
      </c>
      <c r="E896" s="7"/>
      <c r="G896" s="5" t="str">
        <f aca="false">IF(ISNUMBER(FIND("old rod:",A896)),"old rod:",A896)</f>
        <v>24, 24, SLUGMA</v>
      </c>
      <c r="I896" s="5" t="s">
        <v>3107</v>
      </c>
    </row>
    <row r="897" customFormat="false" ht="12.75" hidden="false" customHeight="true" outlineLevel="0" collapsed="false">
      <c r="A897" s="5" t="s">
        <v>1556</v>
      </c>
      <c r="B897" s="7" t="n">
        <v>26</v>
      </c>
      <c r="C897" s="7" t="n">
        <v>26</v>
      </c>
      <c r="D897" s="7" t="s">
        <v>3885</v>
      </c>
      <c r="E897" s="7"/>
      <c r="G897" s="5" t="str">
        <f aca="false">IF(ISNUMBER(FIND("old rod:",A897)),"old rod:",A897)</f>
        <v>26, 26, SLUGMA</v>
      </c>
      <c r="I897" s="5" t="s">
        <v>1556</v>
      </c>
    </row>
    <row r="898" customFormat="false" ht="12.75" hidden="false" customHeight="true" outlineLevel="0" collapsed="false">
      <c r="A898" s="5" t="n">
        <v>0.05</v>
      </c>
      <c r="B898" s="5" t="n">
        <v>0.05</v>
      </c>
      <c r="C898" s="7"/>
      <c r="D898" s="7"/>
      <c r="E898" s="7"/>
      <c r="G898" s="5" t="n">
        <f aca="false">IF(ISNUMBER(FIND("old rod:",A898)),"old rod:",A898)</f>
        <v>0.05</v>
      </c>
      <c r="I898" s="5" t="n">
        <v>0.05</v>
      </c>
    </row>
    <row r="899" customFormat="false" ht="12.75" hidden="false" customHeight="true" outlineLevel="0" collapsed="false">
      <c r="A899" s="5" t="s">
        <v>3108</v>
      </c>
      <c r="B899" s="7" t="n">
        <v>42</v>
      </c>
      <c r="C899" s="7" t="n">
        <v>42</v>
      </c>
      <c r="D899" s="7" t="s">
        <v>3740</v>
      </c>
      <c r="E899" s="7"/>
      <c r="G899" s="5" t="str">
        <f aca="false">IF(ISNUMBER(FIND("old rod:",A899)),"old rod:",A899)</f>
        <v>42, 42, GEODUDE</v>
      </c>
      <c r="I899" s="5" t="s">
        <v>3108</v>
      </c>
    </row>
    <row r="900" customFormat="false" ht="12.75" hidden="false" customHeight="true" outlineLevel="0" collapsed="false">
      <c r="A900" s="5" t="s">
        <v>3109</v>
      </c>
      <c r="B900" s="7" t="n">
        <v>28</v>
      </c>
      <c r="C900" s="7" t="n">
        <v>28</v>
      </c>
      <c r="D900" s="7" t="s">
        <v>3885</v>
      </c>
      <c r="E900" s="7"/>
      <c r="G900" s="5" t="str">
        <f aca="false">IF(ISNUMBER(FIND("old rod:",A900)),"old rod:",A900)</f>
        <v>28, 28, SLUGMA</v>
      </c>
      <c r="I900" s="5" t="s">
        <v>3109</v>
      </c>
    </row>
    <row r="901" customFormat="false" ht="12.75" hidden="false" customHeight="true" outlineLevel="0" collapsed="false">
      <c r="A901" s="5" t="n">
        <v>0.04</v>
      </c>
      <c r="B901" s="5" t="n">
        <v>0.04</v>
      </c>
      <c r="C901" s="7"/>
      <c r="D901" s="7"/>
      <c r="E901" s="7"/>
      <c r="G901" s="5" t="n">
        <f aca="false">IF(ISNUMBER(FIND("old rod:",A901)),"old rod:",A901)</f>
        <v>0.04</v>
      </c>
      <c r="I901" s="5" t="n">
        <v>0.04</v>
      </c>
    </row>
    <row r="902" customFormat="false" ht="12.75" hidden="false" customHeight="true" outlineLevel="0" collapsed="false">
      <c r="A902" s="5" t="s">
        <v>3108</v>
      </c>
      <c r="B902" s="7" t="n">
        <v>42</v>
      </c>
      <c r="C902" s="7" t="n">
        <v>42</v>
      </c>
      <c r="D902" s="7" t="s">
        <v>3740</v>
      </c>
      <c r="E902" s="7"/>
      <c r="G902" s="5" t="str">
        <f aca="false">IF(ISNUMBER(FIND("old rod:",A902)),"old rod:",A902)</f>
        <v>42, 42, GEODUDE</v>
      </c>
      <c r="I902" s="5" t="s">
        <v>3108</v>
      </c>
    </row>
    <row r="903" customFormat="false" ht="12.75" hidden="false" customHeight="true" outlineLevel="0" collapsed="false">
      <c r="A903" s="5" t="s">
        <v>3110</v>
      </c>
      <c r="B903" s="7" t="n">
        <v>30</v>
      </c>
      <c r="C903" s="7" t="n">
        <v>30</v>
      </c>
      <c r="D903" s="7" t="s">
        <v>3885</v>
      </c>
      <c r="E903" s="7"/>
      <c r="G903" s="5" t="str">
        <f aca="false">IF(ISNUMBER(FIND("old rod:",A903)),"old rod:",A903)</f>
        <v>30, 30, SLUGMA</v>
      </c>
      <c r="I903" s="5" t="s">
        <v>3110</v>
      </c>
    </row>
    <row r="904" customFormat="false" ht="12.75" hidden="false" customHeight="true" outlineLevel="0" collapsed="false">
      <c r="A904" s="5" t="n">
        <v>0.01</v>
      </c>
      <c r="B904" s="5" t="n">
        <v>0.01</v>
      </c>
      <c r="C904" s="7"/>
      <c r="D904" s="7"/>
      <c r="E904" s="7"/>
      <c r="G904" s="5" t="n">
        <f aca="false">IF(ISNUMBER(FIND("old rod:",A904)),"old rod:",A904)</f>
        <v>0.01</v>
      </c>
      <c r="I904" s="5" t="n">
        <v>0.01</v>
      </c>
    </row>
    <row r="905" customFormat="false" ht="12.75" hidden="false" customHeight="true" outlineLevel="0" collapsed="false">
      <c r="A905" s="5" t="s">
        <v>3108</v>
      </c>
      <c r="B905" s="7" t="n">
        <v>42</v>
      </c>
      <c r="C905" s="7" t="n">
        <v>42</v>
      </c>
      <c r="D905" s="7" t="s">
        <v>3740</v>
      </c>
      <c r="E905" s="7"/>
      <c r="G905" s="5" t="str">
        <f aca="false">IF(ISNUMBER(FIND("old rod:",A905)),"old rod:",A905)</f>
        <v>42, 42, GEODUDE</v>
      </c>
      <c r="I905" s="5" t="s">
        <v>3108</v>
      </c>
    </row>
    <row r="906" customFormat="false" ht="12.75" hidden="false" customHeight="true" outlineLevel="0" collapsed="false">
      <c r="A906" s="5" t="s">
        <v>3110</v>
      </c>
      <c r="B906" s="7" t="n">
        <v>30</v>
      </c>
      <c r="C906" s="7" t="n">
        <v>30</v>
      </c>
      <c r="D906" s="7" t="s">
        <v>3885</v>
      </c>
      <c r="E906" s="7"/>
      <c r="G906" s="5" t="str">
        <f aca="false">IF(ISNUMBER(FIND("old rod:",A906)),"old rod:",A906)</f>
        <v>30, 30, SLUGMA</v>
      </c>
      <c r="I906" s="5" t="s">
        <v>3110</v>
      </c>
    </row>
    <row r="907" customFormat="false" ht="12.75" hidden="false" customHeight="true" outlineLevel="0" collapsed="false">
      <c r="A907" s="5" t="s">
        <v>3101</v>
      </c>
      <c r="B907" s="7" t="n">
        <v>50</v>
      </c>
      <c r="C907" s="7" t="n">
        <v>25</v>
      </c>
      <c r="D907" s="7" t="n">
        <v>35</v>
      </c>
      <c r="E907" s="7" t="s">
        <v>3740</v>
      </c>
      <c r="G907" s="5" t="str">
        <f aca="false">IF(ISNUMBER(FIND("old rod:",A907)),"old rod:",A907)</f>
        <v>50, 25, 35, GEODUDE</v>
      </c>
      <c r="I907" s="5" t="s">
        <v>3101</v>
      </c>
    </row>
    <row r="908" customFormat="false" ht="12.75" hidden="false" customHeight="true" outlineLevel="0" collapsed="false">
      <c r="A908" s="5" t="s">
        <v>3102</v>
      </c>
      <c r="B908" s="7" t="n">
        <v>30</v>
      </c>
      <c r="C908" s="7" t="n">
        <v>45</v>
      </c>
      <c r="D908" s="7" t="s">
        <v>3746</v>
      </c>
      <c r="E908" s="7"/>
      <c r="G908" s="5" t="str">
        <f aca="false">IF(ISNUMBER(FIND("old rod:",A908)),"old rod:",A908)</f>
        <v>30, 45, GRAVELER</v>
      </c>
      <c r="I908" s="5" t="s">
        <v>3102</v>
      </c>
    </row>
    <row r="909" customFormat="false" ht="12.75" hidden="false" customHeight="true" outlineLevel="0" collapsed="false">
      <c r="A909" s="5" t="s">
        <v>3103</v>
      </c>
      <c r="B909" s="7" t="n">
        <v>35</v>
      </c>
      <c r="C909" s="7" t="n">
        <v>50</v>
      </c>
      <c r="D909" s="7" t="s">
        <v>3746</v>
      </c>
      <c r="E909" s="7"/>
      <c r="G909" s="5" t="str">
        <f aca="false">IF(ISNUMBER(FIND("old rod:",A909)),"old rod:",A909)</f>
        <v>35, 50, GRAVELER</v>
      </c>
      <c r="I909" s="5" t="s">
        <v>3103</v>
      </c>
    </row>
    <row r="910" customFormat="false" ht="12.75" hidden="false" customHeight="true" outlineLevel="0" collapsed="false">
      <c r="A910" s="5" t="s">
        <v>3104</v>
      </c>
      <c r="B910" s="7" t="n">
        <v>30</v>
      </c>
      <c r="C910" s="7" t="n">
        <v>40</v>
      </c>
      <c r="D910" s="7" t="s">
        <v>3740</v>
      </c>
      <c r="E910" s="7"/>
      <c r="G910" s="5" t="str">
        <f aca="false">IF(ISNUMBER(FIND("old rod:",A910)),"old rod:",A910)</f>
        <v>30, 40, GEODUDE</v>
      </c>
      <c r="I910" s="5" t="s">
        <v>3104</v>
      </c>
    </row>
    <row r="911" customFormat="false" ht="12.75" hidden="false" customHeight="true" outlineLevel="0" collapsed="false">
      <c r="A911" s="5" t="s">
        <v>3104</v>
      </c>
      <c r="B911" s="7" t="n">
        <v>30</v>
      </c>
      <c r="C911" s="7" t="n">
        <v>40</v>
      </c>
      <c r="D911" s="7" t="s">
        <v>3740</v>
      </c>
      <c r="E911" s="7"/>
      <c r="G911" s="5" t="str">
        <f aca="false">IF(ISNUMBER(FIND("old rod:",A911)),"old rod:",A911)</f>
        <v>30, 40, GEODUDE</v>
      </c>
      <c r="I911" s="5" t="s">
        <v>3104</v>
      </c>
    </row>
    <row r="912" customFormat="false" ht="12.75" hidden="false" customHeight="true" outlineLevel="0" collapsed="false">
      <c r="A912" s="5" t="s">
        <v>2536</v>
      </c>
      <c r="B912" s="7" t="s">
        <v>2536</v>
      </c>
      <c r="C912" s="7"/>
      <c r="D912" s="7"/>
      <c r="E912" s="7"/>
      <c r="G912" s="5" t="str">
        <f aca="false">IF(ISNUMBER(FIND("old rod:",A912)),"old rod:",A912)</f>
        <v>NEW ROUTE</v>
      </c>
      <c r="I912" s="5" t="s">
        <v>2536</v>
      </c>
    </row>
    <row r="913" customFormat="false" ht="12.75" hidden="false" customHeight="true" outlineLevel="0" collapsed="false">
      <c r="A913" s="5" t="s">
        <v>223</v>
      </c>
      <c r="B913" s="7" t="s">
        <v>223</v>
      </c>
      <c r="C913" s="7"/>
      <c r="D913" s="7"/>
      <c r="E913" s="7"/>
      <c r="G913" s="5" t="str">
        <f aca="false">IF(ISNUMBER(FIND("old rod:",A913)),"old rod:",A913)</f>
        <v>Mt. Ember Ruby Path B2F</v>
      </c>
      <c r="I913" s="5" t="s">
        <v>223</v>
      </c>
    </row>
    <row r="914" customFormat="false" ht="12.75" hidden="false" customHeight="true" outlineLevel="0" collapsed="false">
      <c r="A914" s="5" t="n">
        <v>0.2</v>
      </c>
      <c r="B914" s="5" t="n">
        <v>0.2</v>
      </c>
      <c r="C914" s="7"/>
      <c r="D914" s="7"/>
      <c r="E914" s="7"/>
      <c r="G914" s="5" t="n">
        <f aca="false">IF(ISNUMBER(FIND("old rod:",A914)),"old rod:",A914)</f>
        <v>0.2</v>
      </c>
      <c r="I914" s="5" t="n">
        <v>0.2</v>
      </c>
    </row>
    <row r="915" customFormat="false" ht="12.75" hidden="false" customHeight="true" outlineLevel="0" collapsed="false">
      <c r="A915" s="5" t="s">
        <v>1550</v>
      </c>
      <c r="B915" s="7" t="n">
        <v>40</v>
      </c>
      <c r="C915" s="7" t="n">
        <v>40</v>
      </c>
      <c r="D915" s="7" t="s">
        <v>3740</v>
      </c>
      <c r="E915" s="7"/>
      <c r="G915" s="5" t="str">
        <f aca="false">IF(ISNUMBER(FIND("old rod:",A915)),"old rod:",A915)</f>
        <v>40, 40, GEODUDE</v>
      </c>
      <c r="I915" s="5" t="s">
        <v>1550</v>
      </c>
    </row>
    <row r="916" customFormat="false" ht="12.75" hidden="false" customHeight="true" outlineLevel="0" collapsed="false">
      <c r="A916" s="5" t="s">
        <v>1556</v>
      </c>
      <c r="B916" s="7" t="n">
        <v>26</v>
      </c>
      <c r="C916" s="7" t="n">
        <v>26</v>
      </c>
      <c r="D916" s="7" t="s">
        <v>3885</v>
      </c>
      <c r="E916" s="7"/>
      <c r="G916" s="5" t="str">
        <f aca="false">IF(ISNUMBER(FIND("old rod:",A916)),"old rod:",A916)</f>
        <v>26, 26, SLUGMA</v>
      </c>
      <c r="I916" s="5" t="s">
        <v>1556</v>
      </c>
    </row>
    <row r="917" customFormat="false" ht="12.75" hidden="false" customHeight="true" outlineLevel="0" collapsed="false">
      <c r="A917" s="5" t="n">
        <v>0.1</v>
      </c>
      <c r="B917" s="5" t="n">
        <v>0.1</v>
      </c>
      <c r="C917" s="7"/>
      <c r="D917" s="7"/>
      <c r="E917" s="7"/>
      <c r="G917" s="5" t="n">
        <f aca="false">IF(ISNUMBER(FIND("old rod:",A917)),"old rod:",A917)</f>
        <v>0.1</v>
      </c>
      <c r="I917" s="5" t="n">
        <v>0.1</v>
      </c>
    </row>
    <row r="918" customFormat="false" ht="12.75" hidden="false" customHeight="true" outlineLevel="0" collapsed="false">
      <c r="A918" s="5" t="s">
        <v>3108</v>
      </c>
      <c r="B918" s="7" t="n">
        <v>42</v>
      </c>
      <c r="C918" s="7" t="n">
        <v>42</v>
      </c>
      <c r="D918" s="7" t="s">
        <v>3740</v>
      </c>
      <c r="E918" s="7"/>
      <c r="G918" s="5" t="str">
        <f aca="false">IF(ISNUMBER(FIND("old rod:",A918)),"old rod:",A918)</f>
        <v>42, 42, GEODUDE</v>
      </c>
      <c r="I918" s="5" t="s">
        <v>3108</v>
      </c>
    </row>
    <row r="919" customFormat="false" ht="12.75" hidden="false" customHeight="true" outlineLevel="0" collapsed="false">
      <c r="A919" s="5" t="s">
        <v>3107</v>
      </c>
      <c r="B919" s="7" t="n">
        <v>24</v>
      </c>
      <c r="C919" s="7" t="n">
        <v>24</v>
      </c>
      <c r="D919" s="7" t="s">
        <v>3885</v>
      </c>
      <c r="E919" s="7"/>
      <c r="G919" s="5" t="str">
        <f aca="false">IF(ISNUMBER(FIND("old rod:",A919)),"old rod:",A919)</f>
        <v>24, 24, SLUGMA</v>
      </c>
      <c r="I919" s="5" t="s">
        <v>3107</v>
      </c>
    </row>
    <row r="920" customFormat="false" ht="12.75" hidden="false" customHeight="true" outlineLevel="0" collapsed="false">
      <c r="A920" s="5" t="s">
        <v>3109</v>
      </c>
      <c r="B920" s="7" t="n">
        <v>28</v>
      </c>
      <c r="C920" s="7" t="n">
        <v>28</v>
      </c>
      <c r="D920" s="7" t="s">
        <v>3885</v>
      </c>
      <c r="E920" s="7"/>
      <c r="G920" s="5" t="str">
        <f aca="false">IF(ISNUMBER(FIND("old rod:",A920)),"old rod:",A920)</f>
        <v>28, 28, SLUGMA</v>
      </c>
      <c r="I920" s="5" t="s">
        <v>3109</v>
      </c>
    </row>
    <row r="921" customFormat="false" ht="12.75" hidden="false" customHeight="true" outlineLevel="0" collapsed="false">
      <c r="A921" s="5" t="s">
        <v>3110</v>
      </c>
      <c r="B921" s="7" t="n">
        <v>30</v>
      </c>
      <c r="C921" s="7" t="n">
        <v>30</v>
      </c>
      <c r="D921" s="7" t="s">
        <v>3885</v>
      </c>
      <c r="E921" s="7"/>
      <c r="G921" s="5" t="str">
        <f aca="false">IF(ISNUMBER(FIND("old rod:",A921)),"old rod:",A921)</f>
        <v>30, 30, SLUGMA</v>
      </c>
      <c r="I921" s="5" t="s">
        <v>3110</v>
      </c>
    </row>
    <row r="922" customFormat="false" ht="12.75" hidden="false" customHeight="true" outlineLevel="0" collapsed="false">
      <c r="A922" s="5" t="n">
        <v>0.05</v>
      </c>
      <c r="B922" s="5" t="n">
        <v>0.05</v>
      </c>
      <c r="C922" s="7"/>
      <c r="D922" s="7"/>
      <c r="E922" s="7"/>
      <c r="G922" s="5" t="n">
        <f aca="false">IF(ISNUMBER(FIND("old rod:",A922)),"old rod:",A922)</f>
        <v>0.05</v>
      </c>
      <c r="I922" s="5" t="n">
        <v>0.05</v>
      </c>
    </row>
    <row r="923" customFormat="false" ht="12.75" hidden="false" customHeight="true" outlineLevel="0" collapsed="false">
      <c r="A923" s="5" t="s">
        <v>3112</v>
      </c>
      <c r="B923" s="7" t="n">
        <v>44</v>
      </c>
      <c r="C923" s="7" t="n">
        <v>44</v>
      </c>
      <c r="D923" s="7" t="s">
        <v>3740</v>
      </c>
      <c r="E923" s="7"/>
      <c r="G923" s="5" t="str">
        <f aca="false">IF(ISNUMBER(FIND("old rod:",A923)),"old rod:",A923)</f>
        <v>44, 44, GEODUDE</v>
      </c>
      <c r="I923" s="5" t="s">
        <v>3112</v>
      </c>
    </row>
    <row r="924" customFormat="false" ht="12.75" hidden="false" customHeight="true" outlineLevel="0" collapsed="false">
      <c r="A924" s="5" t="s">
        <v>3113</v>
      </c>
      <c r="B924" s="7" t="n">
        <v>32</v>
      </c>
      <c r="C924" s="7" t="n">
        <v>32</v>
      </c>
      <c r="D924" s="7" t="s">
        <v>3885</v>
      </c>
      <c r="E924" s="7"/>
      <c r="G924" s="5" t="str">
        <f aca="false">IF(ISNUMBER(FIND("old rod:",A924)),"old rod:",A924)</f>
        <v>32, 32, SLUGMA</v>
      </c>
      <c r="I924" s="5" t="s">
        <v>3113</v>
      </c>
    </row>
    <row r="925" customFormat="false" ht="12.75" hidden="false" customHeight="true" outlineLevel="0" collapsed="false">
      <c r="A925" s="5" t="n">
        <v>0.04</v>
      </c>
      <c r="B925" s="5" t="n">
        <v>0.04</v>
      </c>
      <c r="C925" s="7"/>
      <c r="D925" s="7"/>
      <c r="E925" s="7"/>
      <c r="G925" s="5" t="n">
        <f aca="false">IF(ISNUMBER(FIND("old rod:",A925)),"old rod:",A925)</f>
        <v>0.04</v>
      </c>
      <c r="I925" s="5" t="n">
        <v>0.04</v>
      </c>
    </row>
    <row r="926" customFormat="false" ht="12.75" hidden="false" customHeight="true" outlineLevel="0" collapsed="false">
      <c r="A926" s="5" t="s">
        <v>3112</v>
      </c>
      <c r="B926" s="7" t="n">
        <v>44</v>
      </c>
      <c r="C926" s="7" t="n">
        <v>44</v>
      </c>
      <c r="D926" s="7" t="s">
        <v>3740</v>
      </c>
      <c r="E926" s="7"/>
      <c r="G926" s="5" t="str">
        <f aca="false">IF(ISNUMBER(FIND("old rod:",A926)),"old rod:",A926)</f>
        <v>44, 44, GEODUDE</v>
      </c>
      <c r="I926" s="5" t="s">
        <v>3112</v>
      </c>
    </row>
    <row r="927" customFormat="false" ht="12.75" hidden="false" customHeight="true" outlineLevel="0" collapsed="false">
      <c r="A927" s="5" t="s">
        <v>3114</v>
      </c>
      <c r="B927" s="7" t="n">
        <v>22</v>
      </c>
      <c r="C927" s="7" t="n">
        <v>22</v>
      </c>
      <c r="D927" s="7" t="s">
        <v>3885</v>
      </c>
      <c r="E927" s="7"/>
      <c r="G927" s="5" t="str">
        <f aca="false">IF(ISNUMBER(FIND("old rod:",A927)),"old rod:",A927)</f>
        <v>22, 22, SLUGMA</v>
      </c>
      <c r="I927" s="5" t="s">
        <v>3114</v>
      </c>
    </row>
    <row r="928" customFormat="false" ht="12.75" hidden="false" customHeight="true" outlineLevel="0" collapsed="false">
      <c r="A928" s="5" t="n">
        <v>0.01</v>
      </c>
      <c r="B928" s="5" t="n">
        <v>0.01</v>
      </c>
      <c r="C928" s="7"/>
      <c r="D928" s="7"/>
      <c r="E928" s="7"/>
      <c r="G928" s="5" t="n">
        <f aca="false">IF(ISNUMBER(FIND("old rod:",A928)),"old rod:",A928)</f>
        <v>0.01</v>
      </c>
      <c r="I928" s="5" t="n">
        <v>0.01</v>
      </c>
    </row>
    <row r="929" customFormat="false" ht="12.75" hidden="false" customHeight="true" outlineLevel="0" collapsed="false">
      <c r="A929" s="5" t="s">
        <v>3112</v>
      </c>
      <c r="B929" s="7" t="n">
        <v>44</v>
      </c>
      <c r="C929" s="7" t="n">
        <v>44</v>
      </c>
      <c r="D929" s="7" t="s">
        <v>3740</v>
      </c>
      <c r="E929" s="7"/>
      <c r="G929" s="5" t="str">
        <f aca="false">IF(ISNUMBER(FIND("old rod:",A929)),"old rod:",A929)</f>
        <v>44, 44, GEODUDE</v>
      </c>
      <c r="I929" s="5" t="s">
        <v>3112</v>
      </c>
    </row>
    <row r="930" customFormat="false" ht="12.75" hidden="false" customHeight="true" outlineLevel="0" collapsed="false">
      <c r="A930" s="5" t="s">
        <v>3114</v>
      </c>
      <c r="B930" s="7" t="n">
        <v>22</v>
      </c>
      <c r="C930" s="7" t="n">
        <v>22</v>
      </c>
      <c r="D930" s="7" t="s">
        <v>3885</v>
      </c>
      <c r="E930" s="7"/>
      <c r="G930" s="5" t="str">
        <f aca="false">IF(ISNUMBER(FIND("old rod:",A930)),"old rod:",A930)</f>
        <v>22, 22, SLUGMA</v>
      </c>
      <c r="I930" s="5" t="s">
        <v>3114</v>
      </c>
    </row>
    <row r="931" customFormat="false" ht="12.75" hidden="false" customHeight="true" outlineLevel="0" collapsed="false">
      <c r="A931" s="5" t="s">
        <v>3101</v>
      </c>
      <c r="B931" s="7" t="n">
        <v>50</v>
      </c>
      <c r="C931" s="7" t="n">
        <v>25</v>
      </c>
      <c r="D931" s="7" t="n">
        <v>35</v>
      </c>
      <c r="E931" s="7" t="s">
        <v>3740</v>
      </c>
      <c r="G931" s="5" t="str">
        <f aca="false">IF(ISNUMBER(FIND("old rod:",A931)),"old rod:",A931)</f>
        <v>50, 25, 35, GEODUDE</v>
      </c>
      <c r="I931" s="5" t="s">
        <v>3101</v>
      </c>
    </row>
    <row r="932" customFormat="false" ht="12.75" hidden="false" customHeight="true" outlineLevel="0" collapsed="false">
      <c r="A932" s="5" t="s">
        <v>3102</v>
      </c>
      <c r="B932" s="7" t="n">
        <v>30</v>
      </c>
      <c r="C932" s="7" t="n">
        <v>45</v>
      </c>
      <c r="D932" s="7" t="s">
        <v>3746</v>
      </c>
      <c r="E932" s="7"/>
      <c r="G932" s="5" t="str">
        <f aca="false">IF(ISNUMBER(FIND("old rod:",A932)),"old rod:",A932)</f>
        <v>30, 45, GRAVELER</v>
      </c>
      <c r="I932" s="5" t="s">
        <v>3102</v>
      </c>
    </row>
    <row r="933" customFormat="false" ht="12.75" hidden="false" customHeight="true" outlineLevel="0" collapsed="false">
      <c r="A933" s="5" t="s">
        <v>3103</v>
      </c>
      <c r="B933" s="7" t="n">
        <v>35</v>
      </c>
      <c r="C933" s="7" t="n">
        <v>50</v>
      </c>
      <c r="D933" s="7" t="s">
        <v>3746</v>
      </c>
      <c r="E933" s="7"/>
      <c r="G933" s="5" t="str">
        <f aca="false">IF(ISNUMBER(FIND("old rod:",A933)),"old rod:",A933)</f>
        <v>35, 50, GRAVELER</v>
      </c>
      <c r="I933" s="5" t="s">
        <v>3103</v>
      </c>
    </row>
    <row r="934" customFormat="false" ht="12.75" hidden="false" customHeight="true" outlineLevel="0" collapsed="false">
      <c r="A934" s="5" t="s">
        <v>3104</v>
      </c>
      <c r="B934" s="7" t="n">
        <v>30</v>
      </c>
      <c r="C934" s="7" t="n">
        <v>40</v>
      </c>
      <c r="D934" s="7" t="s">
        <v>3740</v>
      </c>
      <c r="E934" s="7"/>
      <c r="G934" s="5" t="str">
        <f aca="false">IF(ISNUMBER(FIND("old rod:",A934)),"old rod:",A934)</f>
        <v>30, 40, GEODUDE</v>
      </c>
      <c r="I934" s="5" t="s">
        <v>3104</v>
      </c>
    </row>
    <row r="935" customFormat="false" ht="12.75" hidden="false" customHeight="true" outlineLevel="0" collapsed="false">
      <c r="A935" s="5" t="s">
        <v>3104</v>
      </c>
      <c r="B935" s="7" t="n">
        <v>30</v>
      </c>
      <c r="C935" s="7" t="n">
        <v>40</v>
      </c>
      <c r="D935" s="7" t="s">
        <v>3740</v>
      </c>
      <c r="E935" s="7"/>
      <c r="G935" s="5" t="str">
        <f aca="false">IF(ISNUMBER(FIND("old rod:",A935)),"old rod:",A935)</f>
        <v>30, 40, GEODUDE</v>
      </c>
      <c r="I935" s="5" t="s">
        <v>3104</v>
      </c>
    </row>
    <row r="936" customFormat="false" ht="12.75" hidden="false" customHeight="true" outlineLevel="0" collapsed="false">
      <c r="A936" s="5" t="s">
        <v>2536</v>
      </c>
      <c r="B936" s="7" t="s">
        <v>2536</v>
      </c>
      <c r="C936" s="7"/>
      <c r="D936" s="7"/>
      <c r="E936" s="7"/>
      <c r="G936" s="5" t="str">
        <f aca="false">IF(ISNUMBER(FIND("old rod:",A936)),"old rod:",A936)</f>
        <v>NEW ROUTE</v>
      </c>
      <c r="I936" s="5" t="s">
        <v>2536</v>
      </c>
    </row>
    <row r="937" customFormat="false" ht="12.75" hidden="false" customHeight="true" outlineLevel="0" collapsed="false">
      <c r="A937" s="5" t="s">
        <v>225</v>
      </c>
      <c r="B937" s="7" t="s">
        <v>225</v>
      </c>
      <c r="C937" s="7"/>
      <c r="D937" s="7"/>
      <c r="E937" s="7"/>
      <c r="G937" s="5" t="str">
        <f aca="false">IF(ISNUMBER(FIND("old rod:",A937)),"old rod:",A937)</f>
        <v>Mt. Ember Ruby Path B3F</v>
      </c>
      <c r="I937" s="5" t="s">
        <v>225</v>
      </c>
    </row>
    <row r="938" customFormat="false" ht="12.75" hidden="false" customHeight="true" outlineLevel="0" collapsed="false">
      <c r="A938" s="5" t="n">
        <v>0.2</v>
      </c>
      <c r="B938" s="5" t="n">
        <v>0.2</v>
      </c>
      <c r="C938" s="7"/>
      <c r="D938" s="7"/>
      <c r="E938" s="7"/>
      <c r="G938" s="5" t="n">
        <f aca="false">IF(ISNUMBER(FIND("old rod:",A938)),"old rod:",A938)</f>
        <v>0.2</v>
      </c>
      <c r="I938" s="5" t="n">
        <v>0.2</v>
      </c>
    </row>
    <row r="939" customFormat="false" ht="12.75" hidden="false" customHeight="true" outlineLevel="0" collapsed="false">
      <c r="A939" s="5" t="s">
        <v>1556</v>
      </c>
      <c r="B939" s="7" t="n">
        <v>26</v>
      </c>
      <c r="C939" s="7" t="n">
        <v>26</v>
      </c>
      <c r="D939" s="7" t="s">
        <v>3885</v>
      </c>
      <c r="E939" s="7"/>
      <c r="G939" s="5" t="str">
        <f aca="false">IF(ISNUMBER(FIND("old rod:",A939)),"old rod:",A939)</f>
        <v>26, 26, SLUGMA</v>
      </c>
      <c r="I939" s="5" t="s">
        <v>1556</v>
      </c>
    </row>
    <row r="940" customFormat="false" ht="12.75" hidden="false" customHeight="true" outlineLevel="0" collapsed="false">
      <c r="A940" s="5" t="s">
        <v>3109</v>
      </c>
      <c r="B940" s="7" t="n">
        <v>28</v>
      </c>
      <c r="C940" s="7" t="n">
        <v>28</v>
      </c>
      <c r="D940" s="7" t="s">
        <v>3885</v>
      </c>
      <c r="E940" s="7"/>
      <c r="G940" s="5" t="str">
        <f aca="false">IF(ISNUMBER(FIND("old rod:",A940)),"old rod:",A940)</f>
        <v>28, 28, SLUGMA</v>
      </c>
      <c r="I940" s="5" t="s">
        <v>3109</v>
      </c>
    </row>
    <row r="941" customFormat="false" ht="12.75" hidden="false" customHeight="true" outlineLevel="0" collapsed="false">
      <c r="A941" s="5" t="n">
        <v>0.1</v>
      </c>
      <c r="B941" s="5" t="n">
        <v>0.1</v>
      </c>
      <c r="C941" s="7"/>
      <c r="D941" s="7"/>
      <c r="E941" s="7"/>
      <c r="G941" s="5" t="n">
        <f aca="false">IF(ISNUMBER(FIND("old rod:",A941)),"old rod:",A941)</f>
        <v>0.1</v>
      </c>
      <c r="I941" s="5" t="n">
        <v>0.1</v>
      </c>
    </row>
    <row r="942" customFormat="false" ht="12.75" hidden="false" customHeight="true" outlineLevel="0" collapsed="false">
      <c r="A942" s="5" t="s">
        <v>3110</v>
      </c>
      <c r="B942" s="7" t="n">
        <v>30</v>
      </c>
      <c r="C942" s="7" t="n">
        <v>30</v>
      </c>
      <c r="D942" s="7" t="s">
        <v>3885</v>
      </c>
      <c r="E942" s="7"/>
      <c r="G942" s="5" t="str">
        <f aca="false">IF(ISNUMBER(FIND("old rod:",A942)),"old rod:",A942)</f>
        <v>30, 30, SLUGMA</v>
      </c>
      <c r="I942" s="5" t="s">
        <v>3110</v>
      </c>
    </row>
    <row r="943" customFormat="false" ht="12.75" hidden="false" customHeight="true" outlineLevel="0" collapsed="false">
      <c r="A943" s="5" t="s">
        <v>3113</v>
      </c>
      <c r="B943" s="7" t="n">
        <v>32</v>
      </c>
      <c r="C943" s="7" t="n">
        <v>32</v>
      </c>
      <c r="D943" s="7" t="s">
        <v>3885</v>
      </c>
      <c r="E943" s="7"/>
      <c r="G943" s="5" t="str">
        <f aca="false">IF(ISNUMBER(FIND("old rod:",A943)),"old rod:",A943)</f>
        <v>32, 32, SLUGMA</v>
      </c>
      <c r="I943" s="5" t="s">
        <v>3113</v>
      </c>
    </row>
    <row r="944" customFormat="false" ht="12.75" hidden="false" customHeight="true" outlineLevel="0" collapsed="false">
      <c r="A944" s="5" t="s">
        <v>3107</v>
      </c>
      <c r="B944" s="7" t="n">
        <v>24</v>
      </c>
      <c r="C944" s="7" t="n">
        <v>24</v>
      </c>
      <c r="D944" s="7" t="s">
        <v>3885</v>
      </c>
      <c r="E944" s="7"/>
      <c r="G944" s="5" t="str">
        <f aca="false">IF(ISNUMBER(FIND("old rod:",A944)),"old rod:",A944)</f>
        <v>24, 24, SLUGMA</v>
      </c>
      <c r="I944" s="5" t="s">
        <v>3107</v>
      </c>
    </row>
    <row r="945" customFormat="false" ht="12.75" hidden="false" customHeight="true" outlineLevel="0" collapsed="false">
      <c r="A945" s="5" t="s">
        <v>3114</v>
      </c>
      <c r="B945" s="7" t="n">
        <v>22</v>
      </c>
      <c r="C945" s="7" t="n">
        <v>22</v>
      </c>
      <c r="D945" s="7" t="s">
        <v>3885</v>
      </c>
      <c r="E945" s="7"/>
      <c r="G945" s="5" t="str">
        <f aca="false">IF(ISNUMBER(FIND("old rod:",A945)),"old rod:",A945)</f>
        <v>22, 22, SLUGMA</v>
      </c>
      <c r="I945" s="5" t="s">
        <v>3114</v>
      </c>
    </row>
    <row r="946" customFormat="false" ht="12.75" hidden="false" customHeight="true" outlineLevel="0" collapsed="false">
      <c r="A946" s="5" t="n">
        <v>0.05</v>
      </c>
      <c r="B946" s="5" t="n">
        <v>0.05</v>
      </c>
      <c r="C946" s="7"/>
      <c r="D946" s="7"/>
      <c r="E946" s="7"/>
      <c r="G946" s="5" t="n">
        <f aca="false">IF(ISNUMBER(FIND("old rod:",A946)),"old rod:",A946)</f>
        <v>0.05</v>
      </c>
      <c r="I946" s="5" t="n">
        <v>0.05</v>
      </c>
    </row>
    <row r="947" customFormat="false" ht="12.75" hidden="false" customHeight="true" outlineLevel="0" collapsed="false">
      <c r="A947" s="5" t="s">
        <v>3116</v>
      </c>
      <c r="B947" s="7" t="n">
        <v>20</v>
      </c>
      <c r="C947" s="7" t="n">
        <v>20</v>
      </c>
      <c r="D947" s="7" t="s">
        <v>3885</v>
      </c>
      <c r="E947" s="7"/>
      <c r="G947" s="5" t="str">
        <f aca="false">IF(ISNUMBER(FIND("old rod:",A947)),"old rod:",A947)</f>
        <v>20, 20, SLUGMA</v>
      </c>
      <c r="I947" s="5" t="s">
        <v>3116</v>
      </c>
    </row>
    <row r="948" customFormat="false" ht="12.75" hidden="false" customHeight="true" outlineLevel="0" collapsed="false">
      <c r="A948" s="5" t="s">
        <v>3117</v>
      </c>
      <c r="B948" s="7" t="n">
        <v>34</v>
      </c>
      <c r="C948" s="7" t="n">
        <v>34</v>
      </c>
      <c r="D948" s="7" t="s">
        <v>3885</v>
      </c>
      <c r="E948" s="7"/>
      <c r="G948" s="5" t="str">
        <f aca="false">IF(ISNUMBER(FIND("old rod:",A948)),"old rod:",A948)</f>
        <v>34, 34, SLUGMA</v>
      </c>
      <c r="I948" s="5" t="s">
        <v>3117</v>
      </c>
    </row>
    <row r="949" customFormat="false" ht="12.75" hidden="false" customHeight="true" outlineLevel="0" collapsed="false">
      <c r="A949" s="5" t="n">
        <v>0.04</v>
      </c>
      <c r="B949" s="5" t="n">
        <v>0.04</v>
      </c>
      <c r="C949" s="7"/>
      <c r="D949" s="7"/>
      <c r="E949" s="7"/>
      <c r="G949" s="5" t="n">
        <f aca="false">IF(ISNUMBER(FIND("old rod:",A949)),"old rod:",A949)</f>
        <v>0.04</v>
      </c>
      <c r="I949" s="5" t="n">
        <v>0.04</v>
      </c>
    </row>
    <row r="950" customFormat="false" ht="12.75" hidden="false" customHeight="true" outlineLevel="0" collapsed="false">
      <c r="A950" s="5" t="s">
        <v>3118</v>
      </c>
      <c r="B950" s="7" t="n">
        <v>36</v>
      </c>
      <c r="C950" s="7" t="n">
        <v>36</v>
      </c>
      <c r="D950" s="7" t="s">
        <v>3885</v>
      </c>
      <c r="E950" s="7"/>
      <c r="G950" s="5" t="str">
        <f aca="false">IF(ISNUMBER(FIND("old rod:",A950)),"old rod:",A950)</f>
        <v>36, 36, SLUGMA</v>
      </c>
      <c r="I950" s="5" t="s">
        <v>3118</v>
      </c>
    </row>
    <row r="951" customFormat="false" ht="12.75" hidden="false" customHeight="true" outlineLevel="0" collapsed="false">
      <c r="A951" s="5" t="s">
        <v>3119</v>
      </c>
      <c r="B951" s="7" t="n">
        <v>18</v>
      </c>
      <c r="C951" s="7" t="n">
        <v>18</v>
      </c>
      <c r="D951" s="7" t="s">
        <v>3885</v>
      </c>
      <c r="E951" s="7"/>
      <c r="G951" s="5" t="str">
        <f aca="false">IF(ISNUMBER(FIND("old rod:",A951)),"old rod:",A951)</f>
        <v>18, 18, SLUGMA</v>
      </c>
      <c r="I951" s="5" t="s">
        <v>3119</v>
      </c>
    </row>
    <row r="952" customFormat="false" ht="12.75" hidden="false" customHeight="true" outlineLevel="0" collapsed="false">
      <c r="A952" s="5" t="n">
        <v>0.01</v>
      </c>
      <c r="B952" s="5" t="n">
        <v>0.01</v>
      </c>
      <c r="C952" s="7"/>
      <c r="D952" s="7"/>
      <c r="E952" s="7"/>
      <c r="G952" s="5" t="n">
        <f aca="false">IF(ISNUMBER(FIND("old rod:",A952)),"old rod:",A952)</f>
        <v>0.01</v>
      </c>
      <c r="I952" s="5" t="n">
        <v>0.01</v>
      </c>
    </row>
    <row r="953" customFormat="false" ht="12.75" hidden="false" customHeight="true" outlineLevel="0" collapsed="false">
      <c r="A953" s="5" t="s">
        <v>3118</v>
      </c>
      <c r="B953" s="7" t="n">
        <v>36</v>
      </c>
      <c r="C953" s="7" t="n">
        <v>36</v>
      </c>
      <c r="D953" s="7" t="s">
        <v>3885</v>
      </c>
      <c r="E953" s="7"/>
      <c r="G953" s="5" t="str">
        <f aca="false">IF(ISNUMBER(FIND("old rod:",A953)),"old rod:",A953)</f>
        <v>36, 36, SLUGMA</v>
      </c>
      <c r="I953" s="5" t="s">
        <v>3118</v>
      </c>
    </row>
    <row r="954" customFormat="false" ht="12.75" hidden="false" customHeight="true" outlineLevel="0" collapsed="false">
      <c r="A954" s="5" t="s">
        <v>3119</v>
      </c>
      <c r="B954" s="7" t="n">
        <v>18</v>
      </c>
      <c r="C954" s="7" t="n">
        <v>18</v>
      </c>
      <c r="D954" s="7" t="s">
        <v>3885</v>
      </c>
      <c r="E954" s="7"/>
      <c r="G954" s="5" t="str">
        <f aca="false">IF(ISNUMBER(FIND("old rod:",A954)),"old rod:",A954)</f>
        <v>18, 18, SLUGMA</v>
      </c>
      <c r="I954" s="5" t="s">
        <v>3119</v>
      </c>
    </row>
    <row r="955" customFormat="false" ht="12.75" hidden="false" customHeight="true" outlineLevel="0" collapsed="false">
      <c r="A955" s="5" t="s">
        <v>3120</v>
      </c>
      <c r="B955" s="7" t="n">
        <v>50</v>
      </c>
      <c r="C955" s="7" t="n">
        <v>15</v>
      </c>
      <c r="D955" s="7" t="n">
        <v>25</v>
      </c>
      <c r="E955" s="7" t="s">
        <v>3885</v>
      </c>
      <c r="G955" s="5" t="str">
        <f aca="false">IF(ISNUMBER(FIND("old rod:",A955)),"old rod:",A955)</f>
        <v>50, 15, 25, SLUGMA</v>
      </c>
      <c r="I955" s="5" t="s">
        <v>3120</v>
      </c>
    </row>
    <row r="956" customFormat="false" ht="12.75" hidden="false" customHeight="true" outlineLevel="0" collapsed="false">
      <c r="A956" s="5" t="s">
        <v>3121</v>
      </c>
      <c r="B956" s="7" t="n">
        <v>25</v>
      </c>
      <c r="C956" s="7" t="n">
        <v>35</v>
      </c>
      <c r="D956" s="7" t="s">
        <v>3885</v>
      </c>
      <c r="E956" s="7"/>
      <c r="G956" s="5" t="str">
        <f aca="false">IF(ISNUMBER(FIND("old rod:",A956)),"old rod:",A956)</f>
        <v>25, 35, SLUGMA</v>
      </c>
      <c r="I956" s="5" t="s">
        <v>3121</v>
      </c>
    </row>
    <row r="957" customFormat="false" ht="12.75" hidden="false" customHeight="true" outlineLevel="0" collapsed="false">
      <c r="A957" s="5" t="s">
        <v>3122</v>
      </c>
      <c r="B957" s="7" t="n">
        <v>40</v>
      </c>
      <c r="C957" s="7" t="n">
        <v>45</v>
      </c>
      <c r="D957" s="7" t="s">
        <v>3886</v>
      </c>
      <c r="E957" s="7"/>
      <c r="G957" s="5" t="str">
        <f aca="false">IF(ISNUMBER(FIND("old rod:",A957)),"old rod:",A957)</f>
        <v>40, 45, MAGCARGO</v>
      </c>
      <c r="I957" s="5" t="s">
        <v>3122</v>
      </c>
    </row>
    <row r="958" customFormat="false" ht="12.75" hidden="false" customHeight="true" outlineLevel="0" collapsed="false">
      <c r="A958" s="5" t="s">
        <v>3123</v>
      </c>
      <c r="B958" s="7" t="n">
        <v>35</v>
      </c>
      <c r="C958" s="7" t="n">
        <v>45</v>
      </c>
      <c r="D958" s="7" t="s">
        <v>3886</v>
      </c>
      <c r="E958" s="7"/>
      <c r="G958" s="5" t="str">
        <f aca="false">IF(ISNUMBER(FIND("old rod:",A958)),"old rod:",A958)</f>
        <v>35, 45, MAGCARGO</v>
      </c>
      <c r="I958" s="5" t="s">
        <v>3123</v>
      </c>
    </row>
    <row r="959" customFormat="false" ht="12.75" hidden="false" customHeight="true" outlineLevel="0" collapsed="false">
      <c r="A959" s="5" t="s">
        <v>3719</v>
      </c>
      <c r="B959" s="7" t="n">
        <v>25</v>
      </c>
      <c r="C959" s="7" t="n">
        <v>35</v>
      </c>
      <c r="D959" s="7" t="s">
        <v>3886</v>
      </c>
      <c r="E959" s="7"/>
      <c r="G959" s="5" t="str">
        <f aca="false">IF(ISNUMBER(FIND("old rod:",A959)),"old rod:",A959)</f>
        <v>25, 35, MAGCARGO</v>
      </c>
      <c r="I959" s="5" t="s">
        <v>3719</v>
      </c>
    </row>
    <row r="960" customFormat="false" ht="12.75" hidden="false" customHeight="true" outlineLevel="0" collapsed="false">
      <c r="A960" s="5" t="s">
        <v>2536</v>
      </c>
      <c r="B960" s="7" t="s">
        <v>2536</v>
      </c>
      <c r="C960" s="7"/>
      <c r="D960" s="7"/>
      <c r="E960" s="7"/>
      <c r="G960" s="5" t="str">
        <f aca="false">IF(ISNUMBER(FIND("old rod:",A960)),"old rod:",A960)</f>
        <v>NEW ROUTE</v>
      </c>
      <c r="I960" s="5" t="s">
        <v>2536</v>
      </c>
    </row>
    <row r="961" customFormat="false" ht="12.75" hidden="false" customHeight="true" outlineLevel="0" collapsed="false">
      <c r="A961" s="5" t="s">
        <v>227</v>
      </c>
      <c r="B961" s="7" t="s">
        <v>227</v>
      </c>
      <c r="C961" s="7"/>
      <c r="D961" s="7"/>
      <c r="E961" s="7"/>
      <c r="G961" s="5" t="str">
        <f aca="false">IF(ISNUMBER(FIND("old rod:",A961)),"old rod:",A961)</f>
        <v>Mt. Ember Ruby Path B1F Stairs</v>
      </c>
      <c r="I961" s="5" t="s">
        <v>227</v>
      </c>
    </row>
    <row r="962" customFormat="false" ht="12.75" hidden="false" customHeight="true" outlineLevel="0" collapsed="false">
      <c r="A962" s="5" t="n">
        <v>0.2</v>
      </c>
      <c r="B962" s="5" t="n">
        <v>0.2</v>
      </c>
      <c r="C962" s="7"/>
      <c r="D962" s="7"/>
      <c r="E962" s="7"/>
      <c r="G962" s="5" t="n">
        <f aca="false">IF(ISNUMBER(FIND("old rod:",A962)),"old rod:",A962)</f>
        <v>0.2</v>
      </c>
      <c r="I962" s="5" t="n">
        <v>0.2</v>
      </c>
    </row>
    <row r="963" customFormat="false" ht="12.75" hidden="false" customHeight="true" outlineLevel="0" collapsed="false">
      <c r="A963" s="5" t="s">
        <v>1550</v>
      </c>
      <c r="B963" s="7" t="n">
        <v>40</v>
      </c>
      <c r="C963" s="7" t="n">
        <v>40</v>
      </c>
      <c r="D963" s="7" t="s">
        <v>3740</v>
      </c>
      <c r="E963" s="7"/>
      <c r="G963" s="5" t="str">
        <f aca="false">IF(ISNUMBER(FIND("old rod:",A963)),"old rod:",A963)</f>
        <v>40, 40, GEODUDE</v>
      </c>
      <c r="I963" s="5" t="s">
        <v>1550</v>
      </c>
    </row>
    <row r="964" customFormat="false" ht="12.75" hidden="false" customHeight="true" outlineLevel="0" collapsed="false">
      <c r="A964" s="5" t="s">
        <v>1556</v>
      </c>
      <c r="B964" s="7" t="n">
        <v>26</v>
      </c>
      <c r="C964" s="7" t="n">
        <v>26</v>
      </c>
      <c r="D964" s="7" t="s">
        <v>3885</v>
      </c>
      <c r="E964" s="7"/>
      <c r="G964" s="5" t="str">
        <f aca="false">IF(ISNUMBER(FIND("old rod:",A964)),"old rod:",A964)</f>
        <v>26, 26, SLUGMA</v>
      </c>
      <c r="I964" s="5" t="s">
        <v>1556</v>
      </c>
    </row>
    <row r="965" customFormat="false" ht="12.75" hidden="false" customHeight="true" outlineLevel="0" collapsed="false">
      <c r="A965" s="5" t="n">
        <v>0.1</v>
      </c>
      <c r="B965" s="5" t="n">
        <v>0.1</v>
      </c>
      <c r="C965" s="7"/>
      <c r="D965" s="7"/>
      <c r="E965" s="7"/>
      <c r="G965" s="5" t="n">
        <f aca="false">IF(ISNUMBER(FIND("old rod:",A965)),"old rod:",A965)</f>
        <v>0.1</v>
      </c>
      <c r="I965" s="5" t="n">
        <v>0.1</v>
      </c>
    </row>
    <row r="966" customFormat="false" ht="12.75" hidden="false" customHeight="true" outlineLevel="0" collapsed="false">
      <c r="A966" s="5" t="s">
        <v>3108</v>
      </c>
      <c r="B966" s="7" t="n">
        <v>42</v>
      </c>
      <c r="C966" s="7" t="n">
        <v>42</v>
      </c>
      <c r="D966" s="7" t="s">
        <v>3740</v>
      </c>
      <c r="E966" s="7"/>
      <c r="G966" s="5" t="str">
        <f aca="false">IF(ISNUMBER(FIND("old rod:",A966)),"old rod:",A966)</f>
        <v>42, 42, GEODUDE</v>
      </c>
      <c r="I966" s="5" t="s">
        <v>3108</v>
      </c>
    </row>
    <row r="967" customFormat="false" ht="12.75" hidden="false" customHeight="true" outlineLevel="0" collapsed="false">
      <c r="A967" s="5" t="s">
        <v>3107</v>
      </c>
      <c r="B967" s="7" t="n">
        <v>24</v>
      </c>
      <c r="C967" s="7" t="n">
        <v>24</v>
      </c>
      <c r="D967" s="7" t="s">
        <v>3885</v>
      </c>
      <c r="E967" s="7"/>
      <c r="G967" s="5" t="str">
        <f aca="false">IF(ISNUMBER(FIND("old rod:",A967)),"old rod:",A967)</f>
        <v>24, 24, SLUGMA</v>
      </c>
      <c r="I967" s="5" t="s">
        <v>3107</v>
      </c>
    </row>
    <row r="968" customFormat="false" ht="12.75" hidden="false" customHeight="true" outlineLevel="0" collapsed="false">
      <c r="A968" s="5" t="s">
        <v>3109</v>
      </c>
      <c r="B968" s="7" t="n">
        <v>28</v>
      </c>
      <c r="C968" s="7" t="n">
        <v>28</v>
      </c>
      <c r="D968" s="7" t="s">
        <v>3885</v>
      </c>
      <c r="E968" s="7"/>
      <c r="G968" s="5" t="str">
        <f aca="false">IF(ISNUMBER(FIND("old rod:",A968)),"old rod:",A968)</f>
        <v>28, 28, SLUGMA</v>
      </c>
      <c r="I968" s="5" t="s">
        <v>3109</v>
      </c>
    </row>
    <row r="969" customFormat="false" ht="12.75" hidden="false" customHeight="true" outlineLevel="0" collapsed="false">
      <c r="A969" s="5" t="s">
        <v>3110</v>
      </c>
      <c r="B969" s="7" t="n">
        <v>30</v>
      </c>
      <c r="C969" s="7" t="n">
        <v>30</v>
      </c>
      <c r="D969" s="7" t="s">
        <v>3885</v>
      </c>
      <c r="E969" s="7"/>
      <c r="G969" s="5" t="str">
        <f aca="false">IF(ISNUMBER(FIND("old rod:",A969)),"old rod:",A969)</f>
        <v>30, 30, SLUGMA</v>
      </c>
      <c r="I969" s="5" t="s">
        <v>3110</v>
      </c>
    </row>
    <row r="970" customFormat="false" ht="12.75" hidden="false" customHeight="true" outlineLevel="0" collapsed="false">
      <c r="A970" s="5" t="n">
        <v>0.05</v>
      </c>
      <c r="B970" s="5" t="n">
        <v>0.05</v>
      </c>
      <c r="C970" s="7"/>
      <c r="D970" s="7"/>
      <c r="E970" s="7"/>
      <c r="G970" s="5" t="n">
        <f aca="false">IF(ISNUMBER(FIND("old rod:",A970)),"old rod:",A970)</f>
        <v>0.05</v>
      </c>
      <c r="I970" s="5" t="n">
        <v>0.05</v>
      </c>
    </row>
    <row r="971" customFormat="false" ht="12.75" hidden="false" customHeight="true" outlineLevel="0" collapsed="false">
      <c r="A971" s="5" t="s">
        <v>3112</v>
      </c>
      <c r="B971" s="7" t="n">
        <v>44</v>
      </c>
      <c r="C971" s="7" t="n">
        <v>44</v>
      </c>
      <c r="D971" s="7" t="s">
        <v>3740</v>
      </c>
      <c r="E971" s="7"/>
      <c r="G971" s="5" t="str">
        <f aca="false">IF(ISNUMBER(FIND("old rod:",A971)),"old rod:",A971)</f>
        <v>44, 44, GEODUDE</v>
      </c>
      <c r="I971" s="5" t="s">
        <v>3112</v>
      </c>
    </row>
    <row r="972" customFormat="false" ht="12.75" hidden="false" customHeight="true" outlineLevel="0" collapsed="false">
      <c r="A972" s="5" t="s">
        <v>3113</v>
      </c>
      <c r="B972" s="7" t="n">
        <v>32</v>
      </c>
      <c r="C972" s="7" t="n">
        <v>32</v>
      </c>
      <c r="D972" s="7" t="s">
        <v>3885</v>
      </c>
      <c r="E972" s="7"/>
      <c r="G972" s="5" t="str">
        <f aca="false">IF(ISNUMBER(FIND("old rod:",A972)),"old rod:",A972)</f>
        <v>32, 32, SLUGMA</v>
      </c>
      <c r="I972" s="5" t="s">
        <v>3113</v>
      </c>
    </row>
    <row r="973" customFormat="false" ht="12.75" hidden="false" customHeight="true" outlineLevel="0" collapsed="false">
      <c r="A973" s="5" t="n">
        <v>0.04</v>
      </c>
      <c r="B973" s="5" t="n">
        <v>0.04</v>
      </c>
      <c r="C973" s="7"/>
      <c r="D973" s="7"/>
      <c r="E973" s="7"/>
      <c r="G973" s="5" t="n">
        <f aca="false">IF(ISNUMBER(FIND("old rod:",A973)),"old rod:",A973)</f>
        <v>0.04</v>
      </c>
      <c r="I973" s="5" t="n">
        <v>0.04</v>
      </c>
    </row>
    <row r="974" customFormat="false" ht="12.75" hidden="false" customHeight="true" outlineLevel="0" collapsed="false">
      <c r="A974" s="5" t="s">
        <v>3112</v>
      </c>
      <c r="B974" s="7" t="n">
        <v>44</v>
      </c>
      <c r="C974" s="7" t="n">
        <v>44</v>
      </c>
      <c r="D974" s="7" t="s">
        <v>3740</v>
      </c>
      <c r="E974" s="7"/>
      <c r="G974" s="5" t="str">
        <f aca="false">IF(ISNUMBER(FIND("old rod:",A974)),"old rod:",A974)</f>
        <v>44, 44, GEODUDE</v>
      </c>
      <c r="I974" s="5" t="s">
        <v>3112</v>
      </c>
    </row>
    <row r="975" customFormat="false" ht="12.75" hidden="false" customHeight="true" outlineLevel="0" collapsed="false">
      <c r="A975" s="5" t="s">
        <v>3114</v>
      </c>
      <c r="B975" s="7" t="n">
        <v>22</v>
      </c>
      <c r="C975" s="7" t="n">
        <v>22</v>
      </c>
      <c r="D975" s="7" t="s">
        <v>3885</v>
      </c>
      <c r="E975" s="7"/>
      <c r="G975" s="5" t="str">
        <f aca="false">IF(ISNUMBER(FIND("old rod:",A975)),"old rod:",A975)</f>
        <v>22, 22, SLUGMA</v>
      </c>
      <c r="I975" s="5" t="s">
        <v>3114</v>
      </c>
    </row>
    <row r="976" customFormat="false" ht="12.75" hidden="false" customHeight="true" outlineLevel="0" collapsed="false">
      <c r="A976" s="5" t="n">
        <v>0.01</v>
      </c>
      <c r="B976" s="5" t="n">
        <v>0.01</v>
      </c>
      <c r="C976" s="7"/>
      <c r="D976" s="7"/>
      <c r="E976" s="7"/>
      <c r="G976" s="5" t="n">
        <f aca="false">IF(ISNUMBER(FIND("old rod:",A976)),"old rod:",A976)</f>
        <v>0.01</v>
      </c>
      <c r="I976" s="5" t="n">
        <v>0.01</v>
      </c>
    </row>
    <row r="977" customFormat="false" ht="12.75" hidden="false" customHeight="true" outlineLevel="0" collapsed="false">
      <c r="A977" s="5" t="s">
        <v>3112</v>
      </c>
      <c r="B977" s="7" t="n">
        <v>44</v>
      </c>
      <c r="C977" s="7" t="n">
        <v>44</v>
      </c>
      <c r="D977" s="7" t="s">
        <v>3740</v>
      </c>
      <c r="E977" s="7"/>
      <c r="G977" s="5" t="str">
        <f aca="false">IF(ISNUMBER(FIND("old rod:",A977)),"old rod:",A977)</f>
        <v>44, 44, GEODUDE</v>
      </c>
      <c r="I977" s="5" t="s">
        <v>3112</v>
      </c>
    </row>
    <row r="978" customFormat="false" ht="12.75" hidden="false" customHeight="true" outlineLevel="0" collapsed="false">
      <c r="A978" s="5" t="s">
        <v>3114</v>
      </c>
      <c r="B978" s="7" t="n">
        <v>22</v>
      </c>
      <c r="C978" s="7" t="n">
        <v>22</v>
      </c>
      <c r="D978" s="7" t="s">
        <v>3885</v>
      </c>
      <c r="E978" s="7"/>
      <c r="G978" s="5" t="str">
        <f aca="false">IF(ISNUMBER(FIND("old rod:",A978)),"old rod:",A978)</f>
        <v>22, 22, SLUGMA</v>
      </c>
      <c r="I978" s="5" t="s">
        <v>3114</v>
      </c>
    </row>
    <row r="979" customFormat="false" ht="12.75" hidden="false" customHeight="true" outlineLevel="0" collapsed="false">
      <c r="A979" s="5" t="s">
        <v>3101</v>
      </c>
      <c r="B979" s="7" t="n">
        <v>50</v>
      </c>
      <c r="C979" s="7" t="n">
        <v>25</v>
      </c>
      <c r="D979" s="7" t="n">
        <v>35</v>
      </c>
      <c r="E979" s="7" t="s">
        <v>3740</v>
      </c>
      <c r="G979" s="5" t="str">
        <f aca="false">IF(ISNUMBER(FIND("old rod:",A979)),"old rod:",A979)</f>
        <v>50, 25, 35, GEODUDE</v>
      </c>
      <c r="I979" s="5" t="s">
        <v>3101</v>
      </c>
    </row>
    <row r="980" customFormat="false" ht="12.75" hidden="false" customHeight="true" outlineLevel="0" collapsed="false">
      <c r="A980" s="5" t="s">
        <v>3102</v>
      </c>
      <c r="B980" s="7" t="n">
        <v>30</v>
      </c>
      <c r="C980" s="7" t="n">
        <v>45</v>
      </c>
      <c r="D980" s="7" t="s">
        <v>3746</v>
      </c>
      <c r="E980" s="7"/>
      <c r="G980" s="5" t="str">
        <f aca="false">IF(ISNUMBER(FIND("old rod:",A980)),"old rod:",A980)</f>
        <v>30, 45, GRAVELER</v>
      </c>
      <c r="I980" s="5" t="s">
        <v>3102</v>
      </c>
    </row>
    <row r="981" customFormat="false" ht="12.75" hidden="false" customHeight="true" outlineLevel="0" collapsed="false">
      <c r="A981" s="5" t="s">
        <v>3103</v>
      </c>
      <c r="B981" s="7" t="n">
        <v>35</v>
      </c>
      <c r="C981" s="7" t="n">
        <v>50</v>
      </c>
      <c r="D981" s="7" t="s">
        <v>3746</v>
      </c>
      <c r="E981" s="7"/>
      <c r="G981" s="5" t="str">
        <f aca="false">IF(ISNUMBER(FIND("old rod:",A981)),"old rod:",A981)</f>
        <v>35, 50, GRAVELER</v>
      </c>
      <c r="I981" s="5" t="s">
        <v>3103</v>
      </c>
    </row>
    <row r="982" customFormat="false" ht="12.75" hidden="false" customHeight="true" outlineLevel="0" collapsed="false">
      <c r="A982" s="5" t="s">
        <v>3104</v>
      </c>
      <c r="B982" s="7" t="n">
        <v>30</v>
      </c>
      <c r="C982" s="7" t="n">
        <v>40</v>
      </c>
      <c r="D982" s="7" t="s">
        <v>3740</v>
      </c>
      <c r="E982" s="7"/>
      <c r="G982" s="5" t="str">
        <f aca="false">IF(ISNUMBER(FIND("old rod:",A982)),"old rod:",A982)</f>
        <v>30, 40, GEODUDE</v>
      </c>
      <c r="I982" s="5" t="s">
        <v>3104</v>
      </c>
    </row>
    <row r="983" customFormat="false" ht="12.75" hidden="false" customHeight="true" outlineLevel="0" collapsed="false">
      <c r="A983" s="5" t="s">
        <v>3104</v>
      </c>
      <c r="B983" s="7" t="n">
        <v>30</v>
      </c>
      <c r="C983" s="7" t="n">
        <v>40</v>
      </c>
      <c r="D983" s="7" t="s">
        <v>3740</v>
      </c>
      <c r="E983" s="7"/>
      <c r="G983" s="5" t="str">
        <f aca="false">IF(ISNUMBER(FIND("old rod:",A983)),"old rod:",A983)</f>
        <v>30, 40, GEODUDE</v>
      </c>
      <c r="I983" s="5" t="s">
        <v>3104</v>
      </c>
    </row>
    <row r="984" customFormat="false" ht="12.75" hidden="false" customHeight="true" outlineLevel="0" collapsed="false">
      <c r="A984" s="5" t="s">
        <v>2536</v>
      </c>
      <c r="B984" s="7" t="s">
        <v>2536</v>
      </c>
      <c r="C984" s="7"/>
      <c r="D984" s="7"/>
      <c r="E984" s="7"/>
      <c r="G984" s="5" t="str">
        <f aca="false">IF(ISNUMBER(FIND("old rod:",A984)),"old rod:",A984)</f>
        <v>NEW ROUTE</v>
      </c>
      <c r="I984" s="5" t="s">
        <v>2536</v>
      </c>
    </row>
    <row r="985" customFormat="false" ht="12.75" hidden="false" customHeight="true" outlineLevel="0" collapsed="false">
      <c r="A985" s="5" t="s">
        <v>229</v>
      </c>
      <c r="B985" s="7" t="s">
        <v>229</v>
      </c>
      <c r="C985" s="7"/>
      <c r="D985" s="7"/>
      <c r="E985" s="7"/>
      <c r="G985" s="5" t="str">
        <f aca="false">IF(ISNUMBER(FIND("old rod:",A985)),"old rod:",A985)</f>
        <v>Mt. Ember Ruby Path B2F Stairs</v>
      </c>
      <c r="I985" s="5" t="s">
        <v>229</v>
      </c>
    </row>
    <row r="986" customFormat="false" ht="12.75" hidden="false" customHeight="true" outlineLevel="0" collapsed="false">
      <c r="A986" s="5" t="n">
        <v>0.2</v>
      </c>
      <c r="B986" s="5" t="n">
        <v>0.2</v>
      </c>
      <c r="C986" s="7"/>
      <c r="D986" s="7"/>
      <c r="E986" s="7"/>
      <c r="G986" s="5" t="n">
        <f aca="false">IF(ISNUMBER(FIND("old rod:",A986)),"old rod:",A986)</f>
        <v>0.2</v>
      </c>
      <c r="I986" s="5" t="n">
        <v>0.2</v>
      </c>
    </row>
    <row r="987" customFormat="false" ht="12.75" hidden="false" customHeight="true" outlineLevel="0" collapsed="false">
      <c r="A987" s="5" t="s">
        <v>1541</v>
      </c>
      <c r="B987" s="7" t="n">
        <v>38</v>
      </c>
      <c r="C987" s="7" t="n">
        <v>38</v>
      </c>
      <c r="D987" s="7" t="s">
        <v>3740</v>
      </c>
      <c r="E987" s="7"/>
      <c r="G987" s="5" t="str">
        <f aca="false">IF(ISNUMBER(FIND("old rod:",A987)),"old rod:",A987)</f>
        <v>38, 38, GEODUDE</v>
      </c>
      <c r="I987" s="5" t="s">
        <v>1541</v>
      </c>
    </row>
    <row r="988" customFormat="false" ht="12.75" hidden="false" customHeight="true" outlineLevel="0" collapsed="false">
      <c r="A988" s="5" t="s">
        <v>1529</v>
      </c>
      <c r="B988" s="7" t="n">
        <v>36</v>
      </c>
      <c r="C988" s="7" t="n">
        <v>36</v>
      </c>
      <c r="D988" s="7" t="s">
        <v>3740</v>
      </c>
      <c r="E988" s="7"/>
      <c r="G988" s="5" t="str">
        <f aca="false">IF(ISNUMBER(FIND("old rod:",A988)),"old rod:",A988)</f>
        <v>36, 36, GEODUDE</v>
      </c>
      <c r="I988" s="5" t="s">
        <v>1529</v>
      </c>
    </row>
    <row r="989" customFormat="false" ht="12.75" hidden="false" customHeight="true" outlineLevel="0" collapsed="false">
      <c r="A989" s="5" t="n">
        <v>0.1</v>
      </c>
      <c r="B989" s="5" t="n">
        <v>0.1</v>
      </c>
      <c r="C989" s="7"/>
      <c r="D989" s="7"/>
      <c r="E989" s="7"/>
      <c r="G989" s="5" t="n">
        <f aca="false">IF(ISNUMBER(FIND("old rod:",A989)),"old rod:",A989)</f>
        <v>0.1</v>
      </c>
      <c r="I989" s="5" t="n">
        <v>0.1</v>
      </c>
    </row>
    <row r="990" customFormat="false" ht="12.75" hidden="false" customHeight="true" outlineLevel="0" collapsed="false">
      <c r="A990" s="5" t="s">
        <v>1518</v>
      </c>
      <c r="B990" s="7" t="n">
        <v>34</v>
      </c>
      <c r="C990" s="7" t="n">
        <v>34</v>
      </c>
      <c r="D990" s="7" t="s">
        <v>3740</v>
      </c>
      <c r="E990" s="7"/>
      <c r="G990" s="5" t="str">
        <f aca="false">IF(ISNUMBER(FIND("old rod:",A990)),"old rod:",A990)</f>
        <v>34, 34, GEODUDE</v>
      </c>
      <c r="I990" s="5" t="s">
        <v>1518</v>
      </c>
    </row>
    <row r="991" customFormat="false" ht="12.75" hidden="false" customHeight="true" outlineLevel="0" collapsed="false">
      <c r="A991" s="5" t="s">
        <v>1550</v>
      </c>
      <c r="B991" s="7" t="n">
        <v>40</v>
      </c>
      <c r="C991" s="7" t="n">
        <v>40</v>
      </c>
      <c r="D991" s="7" t="s">
        <v>3740</v>
      </c>
      <c r="E991" s="7"/>
      <c r="G991" s="5" t="str">
        <f aca="false">IF(ISNUMBER(FIND("old rod:",A991)),"old rod:",A991)</f>
        <v>40, 40, GEODUDE</v>
      </c>
      <c r="I991" s="5" t="s">
        <v>1550</v>
      </c>
    </row>
    <row r="992" customFormat="false" ht="12.75" hidden="false" customHeight="true" outlineLevel="0" collapsed="false">
      <c r="A992" s="5" t="s">
        <v>3107</v>
      </c>
      <c r="B992" s="7" t="n">
        <v>24</v>
      </c>
      <c r="C992" s="7" t="n">
        <v>24</v>
      </c>
      <c r="D992" s="7" t="s">
        <v>3885</v>
      </c>
      <c r="E992" s="7"/>
      <c r="G992" s="5" t="str">
        <f aca="false">IF(ISNUMBER(FIND("old rod:",A992)),"old rod:",A992)</f>
        <v>24, 24, SLUGMA</v>
      </c>
      <c r="I992" s="5" t="s">
        <v>3107</v>
      </c>
    </row>
    <row r="993" customFormat="false" ht="12.75" hidden="false" customHeight="true" outlineLevel="0" collapsed="false">
      <c r="A993" s="5" t="s">
        <v>1556</v>
      </c>
      <c r="B993" s="7" t="n">
        <v>26</v>
      </c>
      <c r="C993" s="7" t="n">
        <v>26</v>
      </c>
      <c r="D993" s="7" t="s">
        <v>3885</v>
      </c>
      <c r="E993" s="7"/>
      <c r="G993" s="5" t="str">
        <f aca="false">IF(ISNUMBER(FIND("old rod:",A993)),"old rod:",A993)</f>
        <v>26, 26, SLUGMA</v>
      </c>
      <c r="I993" s="5" t="s">
        <v>1556</v>
      </c>
    </row>
    <row r="994" customFormat="false" ht="12.75" hidden="false" customHeight="true" outlineLevel="0" collapsed="false">
      <c r="A994" s="5" t="n">
        <v>0.05</v>
      </c>
      <c r="B994" s="5" t="n">
        <v>0.05</v>
      </c>
      <c r="C994" s="7"/>
      <c r="D994" s="7"/>
      <c r="E994" s="7"/>
      <c r="G994" s="5" t="n">
        <f aca="false">IF(ISNUMBER(FIND("old rod:",A994)),"old rod:",A994)</f>
        <v>0.05</v>
      </c>
      <c r="I994" s="5" t="n">
        <v>0.05</v>
      </c>
    </row>
    <row r="995" customFormat="false" ht="12.75" hidden="false" customHeight="true" outlineLevel="0" collapsed="false">
      <c r="A995" s="5" t="s">
        <v>3108</v>
      </c>
      <c r="B995" s="7" t="n">
        <v>42</v>
      </c>
      <c r="C995" s="7" t="n">
        <v>42</v>
      </c>
      <c r="D995" s="7" t="s">
        <v>3740</v>
      </c>
      <c r="E995" s="7"/>
      <c r="G995" s="5" t="str">
        <f aca="false">IF(ISNUMBER(FIND("old rod:",A995)),"old rod:",A995)</f>
        <v>42, 42, GEODUDE</v>
      </c>
      <c r="I995" s="5" t="s">
        <v>3108</v>
      </c>
    </row>
    <row r="996" customFormat="false" ht="12.75" hidden="false" customHeight="true" outlineLevel="0" collapsed="false">
      <c r="A996" s="5" t="s">
        <v>3109</v>
      </c>
      <c r="B996" s="7" t="n">
        <v>28</v>
      </c>
      <c r="C996" s="7" t="n">
        <v>28</v>
      </c>
      <c r="D996" s="7" t="s">
        <v>3885</v>
      </c>
      <c r="E996" s="7"/>
      <c r="G996" s="5" t="str">
        <f aca="false">IF(ISNUMBER(FIND("old rod:",A996)),"old rod:",A996)</f>
        <v>28, 28, SLUGMA</v>
      </c>
      <c r="I996" s="5" t="s">
        <v>3109</v>
      </c>
    </row>
    <row r="997" customFormat="false" ht="12.75" hidden="false" customHeight="true" outlineLevel="0" collapsed="false">
      <c r="A997" s="5" t="n">
        <v>0.04</v>
      </c>
      <c r="B997" s="5" t="n">
        <v>0.04</v>
      </c>
      <c r="C997" s="7"/>
      <c r="D997" s="7"/>
      <c r="E997" s="7"/>
      <c r="G997" s="5" t="n">
        <f aca="false">IF(ISNUMBER(FIND("old rod:",A997)),"old rod:",A997)</f>
        <v>0.04</v>
      </c>
      <c r="I997" s="5" t="n">
        <v>0.04</v>
      </c>
    </row>
    <row r="998" customFormat="false" ht="12.75" hidden="false" customHeight="true" outlineLevel="0" collapsed="false">
      <c r="A998" s="5" t="s">
        <v>3108</v>
      </c>
      <c r="B998" s="7" t="n">
        <v>42</v>
      </c>
      <c r="C998" s="7" t="n">
        <v>42</v>
      </c>
      <c r="D998" s="7" t="s">
        <v>3740</v>
      </c>
      <c r="E998" s="7"/>
      <c r="G998" s="5" t="str">
        <f aca="false">IF(ISNUMBER(FIND("old rod:",A998)),"old rod:",A998)</f>
        <v>42, 42, GEODUDE</v>
      </c>
      <c r="I998" s="5" t="s">
        <v>3108</v>
      </c>
    </row>
    <row r="999" customFormat="false" ht="12.75" hidden="false" customHeight="true" outlineLevel="0" collapsed="false">
      <c r="A999" s="5" t="s">
        <v>3110</v>
      </c>
      <c r="B999" s="7" t="n">
        <v>30</v>
      </c>
      <c r="C999" s="7" t="n">
        <v>30</v>
      </c>
      <c r="D999" s="7" t="s">
        <v>3885</v>
      </c>
      <c r="E999" s="7"/>
      <c r="G999" s="5" t="str">
        <f aca="false">IF(ISNUMBER(FIND("old rod:",A999)),"old rod:",A999)</f>
        <v>30, 30, SLUGMA</v>
      </c>
      <c r="I999" s="5" t="s">
        <v>3110</v>
      </c>
    </row>
    <row r="1000" customFormat="false" ht="12.75" hidden="false" customHeight="true" outlineLevel="0" collapsed="false">
      <c r="A1000" s="5" t="n">
        <v>0.01</v>
      </c>
      <c r="B1000" s="5" t="n">
        <v>0.01</v>
      </c>
      <c r="C1000" s="7"/>
      <c r="D1000" s="7"/>
      <c r="E1000" s="7"/>
      <c r="G1000" s="5" t="n">
        <f aca="false">IF(ISNUMBER(FIND("old rod:",A1000)),"old rod:",A1000)</f>
        <v>0.01</v>
      </c>
      <c r="I1000" s="5" t="n">
        <v>0.01</v>
      </c>
    </row>
    <row r="1001" customFormat="false" ht="12.75" hidden="false" customHeight="true" outlineLevel="0" collapsed="false">
      <c r="A1001" s="5" t="s">
        <v>3108</v>
      </c>
      <c r="B1001" s="7" t="n">
        <v>42</v>
      </c>
      <c r="C1001" s="7" t="n">
        <v>42</v>
      </c>
      <c r="D1001" s="7" t="s">
        <v>3740</v>
      </c>
      <c r="E1001" s="7"/>
      <c r="G1001" s="5" t="str">
        <f aca="false">IF(ISNUMBER(FIND("old rod:",A1001)),"old rod:",A1001)</f>
        <v>42, 42, GEODUDE</v>
      </c>
      <c r="I1001" s="5" t="s">
        <v>3108</v>
      </c>
    </row>
    <row r="1002" customFormat="false" ht="12.75" hidden="false" customHeight="true" outlineLevel="0" collapsed="false">
      <c r="A1002" s="5" t="s">
        <v>3110</v>
      </c>
      <c r="B1002" s="7" t="n">
        <v>30</v>
      </c>
      <c r="C1002" s="7" t="n">
        <v>30</v>
      </c>
      <c r="D1002" s="7" t="s">
        <v>3885</v>
      </c>
      <c r="E1002" s="7"/>
      <c r="G1002" s="5" t="str">
        <f aca="false">IF(ISNUMBER(FIND("old rod:",A1002)),"old rod:",A1002)</f>
        <v>30, 30, SLUGMA</v>
      </c>
      <c r="I1002" s="5" t="s">
        <v>3110</v>
      </c>
    </row>
    <row r="1003" customFormat="false" ht="12.75" hidden="false" customHeight="true" outlineLevel="0" collapsed="false">
      <c r="A1003" s="5" t="s">
        <v>3101</v>
      </c>
      <c r="B1003" s="7" t="n">
        <v>50</v>
      </c>
      <c r="C1003" s="7" t="n">
        <v>25</v>
      </c>
      <c r="D1003" s="7" t="n">
        <v>35</v>
      </c>
      <c r="E1003" s="7" t="s">
        <v>3740</v>
      </c>
      <c r="G1003" s="5" t="str">
        <f aca="false">IF(ISNUMBER(FIND("old rod:",A1003)),"old rod:",A1003)</f>
        <v>50, 25, 35, GEODUDE</v>
      </c>
      <c r="I1003" s="5" t="s">
        <v>3101</v>
      </c>
    </row>
    <row r="1004" customFormat="false" ht="12.75" hidden="false" customHeight="true" outlineLevel="0" collapsed="false">
      <c r="A1004" s="5" t="s">
        <v>3102</v>
      </c>
      <c r="B1004" s="7" t="n">
        <v>30</v>
      </c>
      <c r="C1004" s="7" t="n">
        <v>45</v>
      </c>
      <c r="D1004" s="7" t="s">
        <v>3746</v>
      </c>
      <c r="E1004" s="7"/>
      <c r="G1004" s="5" t="str">
        <f aca="false">IF(ISNUMBER(FIND("old rod:",A1004)),"old rod:",A1004)</f>
        <v>30, 45, GRAVELER</v>
      </c>
      <c r="I1004" s="5" t="s">
        <v>3102</v>
      </c>
    </row>
    <row r="1005" customFormat="false" ht="12.75" hidden="false" customHeight="true" outlineLevel="0" collapsed="false">
      <c r="A1005" s="5" t="s">
        <v>3103</v>
      </c>
      <c r="B1005" s="7" t="n">
        <v>35</v>
      </c>
      <c r="C1005" s="7" t="n">
        <v>50</v>
      </c>
      <c r="D1005" s="7" t="s">
        <v>3746</v>
      </c>
      <c r="E1005" s="7"/>
      <c r="G1005" s="5" t="str">
        <f aca="false">IF(ISNUMBER(FIND("old rod:",A1005)),"old rod:",A1005)</f>
        <v>35, 50, GRAVELER</v>
      </c>
      <c r="I1005" s="5" t="s">
        <v>3103</v>
      </c>
    </row>
    <row r="1006" customFormat="false" ht="12.75" hidden="false" customHeight="true" outlineLevel="0" collapsed="false">
      <c r="A1006" s="5" t="s">
        <v>3104</v>
      </c>
      <c r="B1006" s="7" t="n">
        <v>30</v>
      </c>
      <c r="C1006" s="7" t="n">
        <v>40</v>
      </c>
      <c r="D1006" s="7" t="s">
        <v>3740</v>
      </c>
      <c r="E1006" s="7"/>
      <c r="G1006" s="5" t="str">
        <f aca="false">IF(ISNUMBER(FIND("old rod:",A1006)),"old rod:",A1006)</f>
        <v>30, 40, GEODUDE</v>
      </c>
      <c r="I1006" s="5" t="s">
        <v>3104</v>
      </c>
    </row>
    <row r="1007" customFormat="false" ht="12.75" hidden="false" customHeight="true" outlineLevel="0" collapsed="false">
      <c r="A1007" s="5" t="s">
        <v>3104</v>
      </c>
      <c r="B1007" s="7" t="n">
        <v>30</v>
      </c>
      <c r="C1007" s="7" t="n">
        <v>40</v>
      </c>
      <c r="D1007" s="7" t="s">
        <v>3740</v>
      </c>
      <c r="E1007" s="7"/>
      <c r="G1007" s="5" t="str">
        <f aca="false">IF(ISNUMBER(FIND("old rod:",A1007)),"old rod:",A1007)</f>
        <v>30, 40, GEODUDE</v>
      </c>
      <c r="I1007" s="5" t="s">
        <v>3104</v>
      </c>
    </row>
    <row r="1008" customFormat="false" ht="12.75" hidden="false" customHeight="true" outlineLevel="0" collapsed="false">
      <c r="A1008" s="5" t="s">
        <v>2536</v>
      </c>
      <c r="B1008" s="7" t="s">
        <v>2536</v>
      </c>
      <c r="C1008" s="7"/>
      <c r="D1008" s="7"/>
      <c r="E1008" s="7"/>
      <c r="G1008" s="5" t="str">
        <f aca="false">IF(ISNUMBER(FIND("old rod:",A1008)),"old rod:",A1008)</f>
        <v>NEW ROUTE</v>
      </c>
      <c r="I1008" s="5" t="s">
        <v>2536</v>
      </c>
    </row>
    <row r="1009" customFormat="false" ht="12.75" hidden="false" customHeight="true" outlineLevel="0" collapsed="false">
      <c r="A1009" s="5" t="s">
        <v>231</v>
      </c>
      <c r="B1009" s="7" t="s">
        <v>231</v>
      </c>
      <c r="C1009" s="7"/>
      <c r="D1009" s="7"/>
      <c r="E1009" s="7"/>
      <c r="G1009" s="5" t="str">
        <f aca="false">IF(ISNUMBER(FIND("old rod:",A1009)),"old rod:",A1009)</f>
        <v>Three Island Berry Forest</v>
      </c>
      <c r="I1009" s="5" t="s">
        <v>231</v>
      </c>
    </row>
    <row r="1010" customFormat="false" ht="12.75" hidden="false" customHeight="true" outlineLevel="0" collapsed="false">
      <c r="A1010" s="5" t="n">
        <v>0.2</v>
      </c>
      <c r="B1010" s="5" t="n">
        <v>0.2</v>
      </c>
      <c r="C1010" s="7"/>
      <c r="D1010" s="7"/>
      <c r="E1010" s="7"/>
      <c r="G1010" s="5" t="n">
        <f aca="false">IF(ISNUMBER(FIND("old rod:",A1010)),"old rod:",A1010)</f>
        <v>0.2</v>
      </c>
      <c r="I1010" s="5" t="n">
        <v>0.2</v>
      </c>
    </row>
    <row r="1011" customFormat="false" ht="12.75" hidden="false" customHeight="true" outlineLevel="0" collapsed="false">
      <c r="A1011" s="5" t="s">
        <v>1569</v>
      </c>
      <c r="B1011" s="7" t="n">
        <v>37</v>
      </c>
      <c r="C1011" s="7" t="n">
        <v>37</v>
      </c>
      <c r="D1011" s="7" t="s">
        <v>3887</v>
      </c>
      <c r="E1011" s="7"/>
      <c r="G1011" s="5" t="str">
        <f aca="false">IF(ISNUMBER(FIND("old rod:",A1011)),"old rod:",A1011)</f>
        <v>37, 37, PIDGEOTTO</v>
      </c>
      <c r="I1011" s="5" t="s">
        <v>1569</v>
      </c>
    </row>
    <row r="1012" customFormat="false" ht="12.75" hidden="false" customHeight="true" outlineLevel="0" collapsed="false">
      <c r="A1012" s="5" t="s">
        <v>3128</v>
      </c>
      <c r="B1012" s="7" t="n">
        <v>35</v>
      </c>
      <c r="C1012" s="7" t="n">
        <v>35</v>
      </c>
      <c r="D1012" s="7" t="s">
        <v>3888</v>
      </c>
      <c r="E1012" s="7"/>
      <c r="G1012" s="5" t="str">
        <f aca="false">IF(ISNUMBER(FIND("old rod:",A1012)),"old rod:",A1012)</f>
        <v>35, 35, WEEPINBELL</v>
      </c>
      <c r="I1012" s="5" t="s">
        <v>3128</v>
      </c>
    </row>
    <row r="1013" customFormat="false" ht="12.75" hidden="false" customHeight="true" outlineLevel="0" collapsed="false">
      <c r="A1013" s="5" t="n">
        <v>0.1</v>
      </c>
      <c r="B1013" s="5" t="n">
        <v>0.1</v>
      </c>
      <c r="C1013" s="7"/>
      <c r="D1013" s="7"/>
      <c r="E1013" s="7"/>
      <c r="G1013" s="5" t="n">
        <f aca="false">IF(ISNUMBER(FIND("old rod:",A1013)),"old rod:",A1013)</f>
        <v>0.1</v>
      </c>
      <c r="I1013" s="5" t="n">
        <v>0.1</v>
      </c>
    </row>
    <row r="1014" customFormat="false" ht="12.75" hidden="false" customHeight="true" outlineLevel="0" collapsed="false">
      <c r="A1014" s="5" t="s">
        <v>1695</v>
      </c>
      <c r="B1014" s="7" t="n">
        <v>32</v>
      </c>
      <c r="C1014" s="7" t="n">
        <v>32</v>
      </c>
      <c r="D1014" s="7" t="s">
        <v>3889</v>
      </c>
      <c r="E1014" s="7"/>
      <c r="G1014" s="5" t="str">
        <f aca="false">IF(ISNUMBER(FIND("old rod:",A1014)),"old rod:",A1014)</f>
        <v>32, 32, PIDGEY</v>
      </c>
      <c r="I1014" s="5" t="s">
        <v>1695</v>
      </c>
    </row>
    <row r="1015" customFormat="false" ht="12.75" hidden="false" customHeight="true" outlineLevel="0" collapsed="false">
      <c r="A1015" s="5" t="s">
        <v>3129</v>
      </c>
      <c r="B1015" s="7" t="n">
        <v>30</v>
      </c>
      <c r="C1015" s="7" t="n">
        <v>30</v>
      </c>
      <c r="D1015" s="7" t="s">
        <v>3890</v>
      </c>
      <c r="E1015" s="7"/>
      <c r="G1015" s="5" t="str">
        <f aca="false">IF(ISNUMBER(FIND("old rod:",A1015)),"old rod:",A1015)</f>
        <v>30, 30, BELLSPROUT</v>
      </c>
      <c r="I1015" s="5" t="s">
        <v>3129</v>
      </c>
    </row>
    <row r="1016" customFormat="false" ht="12.75" hidden="false" customHeight="true" outlineLevel="0" collapsed="false">
      <c r="A1016" s="5" t="s">
        <v>3130</v>
      </c>
      <c r="B1016" s="7" t="n">
        <v>34</v>
      </c>
      <c r="C1016" s="7" t="n">
        <v>34</v>
      </c>
      <c r="D1016" s="7" t="s">
        <v>3891</v>
      </c>
      <c r="E1016" s="7"/>
      <c r="G1016" s="5" t="str">
        <f aca="false">IF(ISNUMBER(FIND("old rod:",A1016)),"old rod:",A1016)</f>
        <v>34, 34, VENONAT</v>
      </c>
      <c r="I1016" s="5" t="s">
        <v>3130</v>
      </c>
    </row>
    <row r="1017" customFormat="false" ht="12.75" hidden="false" customHeight="true" outlineLevel="0" collapsed="false">
      <c r="A1017" s="5" t="s">
        <v>3131</v>
      </c>
      <c r="B1017" s="7" t="n">
        <v>34</v>
      </c>
      <c r="C1017" s="7" t="n">
        <v>34</v>
      </c>
      <c r="D1017" s="7" t="s">
        <v>3867</v>
      </c>
      <c r="E1017" s="7"/>
      <c r="G1017" s="5" t="str">
        <f aca="false">IF(ISNUMBER(FIND("old rod:",A1017)),"old rod:",A1017)</f>
        <v>34, 34, DROWZEE</v>
      </c>
      <c r="I1017" s="5" t="s">
        <v>3131</v>
      </c>
    </row>
    <row r="1018" customFormat="false" ht="12.75" hidden="false" customHeight="true" outlineLevel="0" collapsed="false">
      <c r="A1018" s="5" t="n">
        <v>0.05</v>
      </c>
      <c r="B1018" s="5" t="n">
        <v>0.05</v>
      </c>
      <c r="C1018" s="7"/>
      <c r="D1018" s="7"/>
      <c r="E1018" s="7"/>
      <c r="G1018" s="5" t="n">
        <f aca="false">IF(ISNUMBER(FIND("old rod:",A1018)),"old rod:",A1018)</f>
        <v>0.05</v>
      </c>
      <c r="I1018" s="5" t="n">
        <v>0.05</v>
      </c>
    </row>
    <row r="1019" customFormat="false" ht="12.75" hidden="false" customHeight="true" outlineLevel="0" collapsed="false">
      <c r="A1019" s="5" t="s">
        <v>3132</v>
      </c>
      <c r="B1019" s="7" t="n">
        <v>35</v>
      </c>
      <c r="C1019" s="7" t="n">
        <v>35</v>
      </c>
      <c r="D1019" s="7" t="s">
        <v>3892</v>
      </c>
      <c r="E1019" s="7"/>
      <c r="G1019" s="5" t="str">
        <f aca="false">IF(ISNUMBER(FIND("old rod:",A1019)),"old rod:",A1019)</f>
        <v>35, 35, EXEGGCUTE</v>
      </c>
      <c r="I1019" s="5" t="s">
        <v>3132</v>
      </c>
    </row>
    <row r="1020" customFormat="false" ht="12.75" hidden="false" customHeight="true" outlineLevel="0" collapsed="false">
      <c r="A1020" s="5" t="s">
        <v>3133</v>
      </c>
      <c r="B1020" s="7" t="n">
        <v>31</v>
      </c>
      <c r="C1020" s="7" t="n">
        <v>31</v>
      </c>
      <c r="D1020" s="7" t="s">
        <v>3755</v>
      </c>
      <c r="E1020" s="7"/>
      <c r="G1020" s="5" t="str">
        <f aca="false">IF(ISNUMBER(FIND("old rod:",A1020)),"old rod:",A1020)</f>
        <v>31, 31, SLOWPOKE</v>
      </c>
      <c r="I1020" s="5" t="s">
        <v>3133</v>
      </c>
    </row>
    <row r="1021" customFormat="false" ht="12.75" hidden="false" customHeight="true" outlineLevel="0" collapsed="false">
      <c r="A1021" s="5" t="n">
        <v>0.04</v>
      </c>
      <c r="B1021" s="5" t="n">
        <v>0.04</v>
      </c>
      <c r="C1021" s="7"/>
      <c r="D1021" s="7"/>
      <c r="E1021" s="7"/>
      <c r="G1021" s="5" t="n">
        <f aca="false">IF(ISNUMBER(FIND("old rod:",A1021)),"old rod:",A1021)</f>
        <v>0.04</v>
      </c>
      <c r="I1021" s="5" t="n">
        <v>0.04</v>
      </c>
    </row>
    <row r="1022" customFormat="false" ht="12.75" hidden="false" customHeight="true" outlineLevel="0" collapsed="false">
      <c r="A1022" s="5" t="s">
        <v>3134</v>
      </c>
      <c r="B1022" s="7" t="n">
        <v>37</v>
      </c>
      <c r="C1022" s="7" t="n">
        <v>37</v>
      </c>
      <c r="D1022" s="7" t="s">
        <v>3790</v>
      </c>
      <c r="E1022" s="7"/>
      <c r="G1022" s="5" t="str">
        <f aca="false">IF(ISNUMBER(FIND("old rod:",A1022)),"old rod:",A1022)</f>
        <v>37, 37, VENOMOTH</v>
      </c>
      <c r="I1022" s="5" t="s">
        <v>3134</v>
      </c>
    </row>
    <row r="1023" customFormat="false" ht="12.75" hidden="false" customHeight="true" outlineLevel="0" collapsed="false">
      <c r="A1023" s="5" t="s">
        <v>3135</v>
      </c>
      <c r="B1023" s="7" t="n">
        <v>37</v>
      </c>
      <c r="C1023" s="7" t="n">
        <v>37</v>
      </c>
      <c r="D1023" s="7" t="s">
        <v>3869</v>
      </c>
      <c r="E1023" s="7"/>
      <c r="G1023" s="5" t="str">
        <f aca="false">IF(ISNUMBER(FIND("old rod:",A1023)),"old rod:",A1023)</f>
        <v>37, 37, HYPNO</v>
      </c>
      <c r="I1023" s="5" t="s">
        <v>3135</v>
      </c>
    </row>
    <row r="1024" customFormat="false" ht="12.75" hidden="false" customHeight="true" outlineLevel="0" collapsed="false">
      <c r="A1024" s="5" t="n">
        <v>0.01</v>
      </c>
      <c r="B1024" s="5" t="n">
        <v>0.01</v>
      </c>
      <c r="C1024" s="7"/>
      <c r="D1024" s="7"/>
      <c r="E1024" s="7"/>
      <c r="G1024" s="5" t="n">
        <f aca="false">IF(ISNUMBER(FIND("old rod:",A1024)),"old rod:",A1024)</f>
        <v>0.01</v>
      </c>
      <c r="I1024" s="5" t="n">
        <v>0.01</v>
      </c>
    </row>
    <row r="1025" customFormat="false" ht="12.75" hidden="false" customHeight="true" outlineLevel="0" collapsed="false">
      <c r="A1025" s="5" t="s">
        <v>3136</v>
      </c>
      <c r="B1025" s="7" t="n">
        <v>40</v>
      </c>
      <c r="C1025" s="7" t="n">
        <v>40</v>
      </c>
      <c r="D1025" s="7" t="s">
        <v>3790</v>
      </c>
      <c r="E1025" s="7"/>
      <c r="G1025" s="5" t="str">
        <f aca="false">IF(ISNUMBER(FIND("old rod:",A1025)),"old rod:",A1025)</f>
        <v>40, 40, VENOMOTH</v>
      </c>
      <c r="I1025" s="5" t="s">
        <v>3136</v>
      </c>
    </row>
    <row r="1026" customFormat="false" ht="12.75" hidden="false" customHeight="true" outlineLevel="0" collapsed="false">
      <c r="A1026" s="5" t="s">
        <v>3137</v>
      </c>
      <c r="B1026" s="7" t="n">
        <v>40</v>
      </c>
      <c r="C1026" s="7" t="n">
        <v>40</v>
      </c>
      <c r="D1026" s="7" t="s">
        <v>3869</v>
      </c>
      <c r="E1026" s="7"/>
      <c r="G1026" s="5" t="str">
        <f aca="false">IF(ISNUMBER(FIND("old rod:",A1026)),"old rod:",A1026)</f>
        <v>40, 40, HYPNO</v>
      </c>
      <c r="I1026" s="5" t="s">
        <v>3137</v>
      </c>
    </row>
    <row r="1027" customFormat="false" ht="12.75" hidden="false" customHeight="true" outlineLevel="0" collapsed="false">
      <c r="A1027" s="5" t="s">
        <v>3138</v>
      </c>
      <c r="B1027" s="7" t="n">
        <v>2</v>
      </c>
      <c r="C1027" s="7" t="n">
        <v>5</v>
      </c>
      <c r="D1027" s="7" t="n">
        <v>20</v>
      </c>
      <c r="E1027" s="7" t="s">
        <v>3755</v>
      </c>
      <c r="G1027" s="5" t="str">
        <f aca="false">IF(ISNUMBER(FIND("old rod:",A1027)),"old rod:",A1027)</f>
        <v>2, 5, 20, SLOWPOKE</v>
      </c>
      <c r="I1027" s="5" t="s">
        <v>3138</v>
      </c>
    </row>
    <row r="1028" customFormat="false" ht="12.75" hidden="false" customHeight="true" outlineLevel="0" collapsed="false">
      <c r="A1028" s="5" t="s">
        <v>3139</v>
      </c>
      <c r="B1028" s="7" t="n">
        <v>20</v>
      </c>
      <c r="C1028" s="7" t="n">
        <v>35</v>
      </c>
      <c r="D1028" s="7" t="s">
        <v>3755</v>
      </c>
      <c r="E1028" s="7"/>
      <c r="G1028" s="5" t="str">
        <f aca="false">IF(ISNUMBER(FIND("old rod:",A1028)),"old rod:",A1028)</f>
        <v>20, 35, SLOWPOKE</v>
      </c>
      <c r="I1028" s="5" t="s">
        <v>3139</v>
      </c>
    </row>
    <row r="1029" customFormat="false" ht="12.75" hidden="false" customHeight="true" outlineLevel="0" collapsed="false">
      <c r="A1029" s="5" t="s">
        <v>3140</v>
      </c>
      <c r="B1029" s="7" t="n">
        <v>35</v>
      </c>
      <c r="C1029" s="7" t="n">
        <v>40</v>
      </c>
      <c r="D1029" s="7" t="s">
        <v>3755</v>
      </c>
      <c r="E1029" s="7"/>
      <c r="G1029" s="5" t="str">
        <f aca="false">IF(ISNUMBER(FIND("old rod:",A1029)),"old rod:",A1029)</f>
        <v>35, 40, SLOWPOKE</v>
      </c>
      <c r="I1029" s="5" t="s">
        <v>3140</v>
      </c>
    </row>
    <row r="1030" customFormat="false" ht="12.75" hidden="false" customHeight="true" outlineLevel="0" collapsed="false">
      <c r="A1030" s="5" t="s">
        <v>3141</v>
      </c>
      <c r="B1030" s="7" t="n">
        <v>35</v>
      </c>
      <c r="C1030" s="7" t="n">
        <v>40</v>
      </c>
      <c r="D1030" s="7" t="s">
        <v>3800</v>
      </c>
      <c r="E1030" s="7"/>
      <c r="G1030" s="5" t="str">
        <f aca="false">IF(ISNUMBER(FIND("old rod:",A1030)),"old rod:",A1030)</f>
        <v>35, 40, SLOWBRO</v>
      </c>
      <c r="I1030" s="5" t="s">
        <v>3141</v>
      </c>
    </row>
    <row r="1031" customFormat="false" ht="12.75" hidden="false" customHeight="true" outlineLevel="0" collapsed="false">
      <c r="A1031" s="5" t="s">
        <v>3141</v>
      </c>
      <c r="B1031" s="7" t="n">
        <v>35</v>
      </c>
      <c r="C1031" s="7" t="n">
        <v>40</v>
      </c>
      <c r="D1031" s="7" t="s">
        <v>3800</v>
      </c>
      <c r="E1031" s="7"/>
      <c r="G1031" s="5" t="str">
        <f aca="false">IF(ISNUMBER(FIND("old rod:",A1031)),"old rod:",A1031)</f>
        <v>35, 40, SLOWBRO</v>
      </c>
      <c r="I1031" s="5" t="s">
        <v>3141</v>
      </c>
    </row>
    <row r="1032" customFormat="false" ht="12.75" hidden="false" customHeight="true" outlineLevel="0" collapsed="false">
      <c r="A1032" s="5" t="s">
        <v>2925</v>
      </c>
      <c r="B1032" s="7" t="n">
        <v>20</v>
      </c>
      <c r="C1032" s="7" t="s">
        <v>3748</v>
      </c>
      <c r="D1032" s="7"/>
      <c r="E1032" s="7"/>
      <c r="G1032" s="5" t="str">
        <f aca="false">IF(ISNUMBER(FIND("old rod:",A1032)),"old rod:",A1032)</f>
        <v>old rod:</v>
      </c>
      <c r="I1032" s="5" t="s">
        <v>3749</v>
      </c>
    </row>
    <row r="1033" customFormat="false" ht="12.75" hidden="false" customHeight="true" outlineLevel="0" collapsed="false">
      <c r="A1033" s="5" t="s">
        <v>1266</v>
      </c>
      <c r="B1033" s="7" t="n">
        <v>5</v>
      </c>
      <c r="C1033" s="7" t="n">
        <v>5</v>
      </c>
      <c r="D1033" s="7" t="s">
        <v>3750</v>
      </c>
      <c r="E1033" s="7"/>
      <c r="G1033" s="5" t="str">
        <f aca="false">IF(ISNUMBER(FIND("old rod:",A1033)),"old rod:",A1033)</f>
        <v>5, 5, MAGIKARP</v>
      </c>
      <c r="I1033" s="5" t="s">
        <v>1266</v>
      </c>
    </row>
    <row r="1034" customFormat="false" ht="12.75" hidden="false" customHeight="true" outlineLevel="0" collapsed="false">
      <c r="A1034" s="5" t="s">
        <v>1266</v>
      </c>
      <c r="B1034" s="7" t="n">
        <v>5</v>
      </c>
      <c r="C1034" s="7" t="n">
        <v>5</v>
      </c>
      <c r="D1034" s="7" t="s">
        <v>3750</v>
      </c>
      <c r="E1034" s="7"/>
      <c r="G1034" s="5" t="str">
        <f aca="false">IF(ISNUMBER(FIND("old rod:",A1034)),"old rod:",A1034)</f>
        <v>5, 5, MAGIKARP</v>
      </c>
      <c r="I1034" s="5" t="s">
        <v>1266</v>
      </c>
    </row>
    <row r="1035" customFormat="false" ht="12.75" hidden="false" customHeight="true" outlineLevel="0" collapsed="false">
      <c r="A1035" s="5" t="s">
        <v>2846</v>
      </c>
      <c r="B1035" s="7" t="s">
        <v>2846</v>
      </c>
      <c r="C1035" s="7"/>
      <c r="D1035" s="7"/>
      <c r="E1035" s="7"/>
      <c r="G1035" s="5" t="str">
        <f aca="false">IF(ISNUMBER(FIND("old rod:",A1035)),"old rod:",A1035)</f>
        <v>good rod:</v>
      </c>
      <c r="I1035" s="5" t="s">
        <v>2846</v>
      </c>
    </row>
    <row r="1036" customFormat="false" ht="12.75" hidden="false" customHeight="true" outlineLevel="0" collapsed="false">
      <c r="A1036" s="5" t="s">
        <v>3142</v>
      </c>
      <c r="B1036" s="7" t="n">
        <v>5</v>
      </c>
      <c r="C1036" s="7" t="n">
        <v>15</v>
      </c>
      <c r="D1036" s="7" t="s">
        <v>3804</v>
      </c>
      <c r="E1036" s="7"/>
      <c r="G1036" s="5" t="str">
        <f aca="false">IF(ISNUMBER(FIND("old rod:",A1036)),"old rod:",A1036)</f>
        <v>5, 15, GOLDEEN</v>
      </c>
      <c r="I1036" s="5" t="s">
        <v>3142</v>
      </c>
    </row>
    <row r="1037" customFormat="false" ht="12.75" hidden="false" customHeight="true" outlineLevel="0" collapsed="false">
      <c r="A1037" s="5" t="s">
        <v>2848</v>
      </c>
      <c r="B1037" s="7" t="n">
        <v>5</v>
      </c>
      <c r="C1037" s="7" t="n">
        <v>15</v>
      </c>
      <c r="D1037" s="7" t="s">
        <v>3750</v>
      </c>
      <c r="E1037" s="7"/>
      <c r="G1037" s="5" t="str">
        <f aca="false">IF(ISNUMBER(FIND("old rod:",A1037)),"old rod:",A1037)</f>
        <v>5, 15, MAGIKARP</v>
      </c>
      <c r="I1037" s="5" t="s">
        <v>2848</v>
      </c>
    </row>
    <row r="1038" customFormat="false" ht="12.75" hidden="false" customHeight="true" outlineLevel="0" collapsed="false">
      <c r="A1038" s="5" t="s">
        <v>3143</v>
      </c>
      <c r="B1038" s="7" t="n">
        <v>5</v>
      </c>
      <c r="C1038" s="7" t="n">
        <v>15</v>
      </c>
      <c r="D1038" s="7" t="s">
        <v>3803</v>
      </c>
      <c r="E1038" s="7"/>
      <c r="G1038" s="5" t="str">
        <f aca="false">IF(ISNUMBER(FIND("old rod:",A1038)),"old rod:",A1038)</f>
        <v>5, 15, POLIWAG</v>
      </c>
      <c r="I1038" s="5" t="s">
        <v>3143</v>
      </c>
    </row>
    <row r="1039" customFormat="false" ht="12.75" hidden="false" customHeight="true" outlineLevel="0" collapsed="false">
      <c r="A1039" s="5" t="s">
        <v>2850</v>
      </c>
      <c r="B1039" s="7" t="s">
        <v>2850</v>
      </c>
      <c r="C1039" s="7"/>
      <c r="D1039" s="7"/>
      <c r="E1039" s="7"/>
      <c r="G1039" s="5" t="str">
        <f aca="false">IF(ISNUMBER(FIND("old rod:",A1039)),"old rod:",A1039)</f>
        <v>super rod:</v>
      </c>
      <c r="I1039" s="5" t="s">
        <v>2850</v>
      </c>
    </row>
    <row r="1040" customFormat="false" ht="12.75" hidden="false" customHeight="true" outlineLevel="0" collapsed="false">
      <c r="A1040" s="5" t="s">
        <v>3144</v>
      </c>
      <c r="B1040" s="7" t="n">
        <v>15</v>
      </c>
      <c r="C1040" s="7" t="n">
        <v>25</v>
      </c>
      <c r="D1040" s="7" t="s">
        <v>3804</v>
      </c>
      <c r="E1040" s="7"/>
      <c r="G1040" s="5" t="str">
        <f aca="false">IF(ISNUMBER(FIND("old rod:",A1040)),"old rod:",A1040)</f>
        <v>15, 25, GOLDEEN</v>
      </c>
      <c r="I1040" s="5" t="s">
        <v>3144</v>
      </c>
    </row>
    <row r="1041" customFormat="false" ht="12.75" hidden="false" customHeight="true" outlineLevel="0" collapsed="false">
      <c r="A1041" s="5" t="s">
        <v>3145</v>
      </c>
      <c r="B1041" s="7" t="n">
        <v>20</v>
      </c>
      <c r="C1041" s="7" t="n">
        <v>30</v>
      </c>
      <c r="D1041" s="7" t="s">
        <v>3806</v>
      </c>
      <c r="E1041" s="7"/>
      <c r="G1041" s="5" t="str">
        <f aca="false">IF(ISNUMBER(FIND("old rod:",A1041)),"old rod:",A1041)</f>
        <v>20, 30, SEAKING</v>
      </c>
      <c r="I1041" s="5" t="s">
        <v>3145</v>
      </c>
    </row>
    <row r="1042" customFormat="false" ht="12.75" hidden="false" customHeight="true" outlineLevel="0" collapsed="false">
      <c r="A1042" s="5" t="s">
        <v>2853</v>
      </c>
      <c r="B1042" s="7" t="n">
        <v>15</v>
      </c>
      <c r="C1042" s="7" t="n">
        <v>25</v>
      </c>
      <c r="D1042" s="7" t="s">
        <v>3754</v>
      </c>
      <c r="E1042" s="7"/>
      <c r="G1042" s="5" t="str">
        <f aca="false">IF(ISNUMBER(FIND("old rod:",A1042)),"old rod:",A1042)</f>
        <v>15, 25, GYARADOS</v>
      </c>
      <c r="I1042" s="5" t="s">
        <v>2853</v>
      </c>
    </row>
    <row r="1043" customFormat="false" ht="12.75" hidden="false" customHeight="true" outlineLevel="0" collapsed="false">
      <c r="A1043" s="5" t="s">
        <v>3146</v>
      </c>
      <c r="B1043" s="7" t="n">
        <v>15</v>
      </c>
      <c r="C1043" s="7" t="n">
        <v>25</v>
      </c>
      <c r="D1043" s="7" t="s">
        <v>3755</v>
      </c>
      <c r="E1043" s="7"/>
      <c r="G1043" s="5" t="str">
        <f aca="false">IF(ISNUMBER(FIND("old rod:",A1043)),"old rod:",A1043)</f>
        <v>15, 25, SLOWPOKE</v>
      </c>
      <c r="I1043" s="5" t="s">
        <v>3146</v>
      </c>
    </row>
    <row r="1044" customFormat="false" ht="12.75" hidden="false" customHeight="true" outlineLevel="0" collapsed="false">
      <c r="A1044" s="5" t="s">
        <v>2855</v>
      </c>
      <c r="B1044" s="7" t="n">
        <v>25</v>
      </c>
      <c r="C1044" s="7" t="n">
        <v>35</v>
      </c>
      <c r="D1044" s="7" t="s">
        <v>3755</v>
      </c>
      <c r="E1044" s="7"/>
      <c r="G1044" s="5" t="str">
        <f aca="false">IF(ISNUMBER(FIND("old rod:",A1044)),"old rod:",A1044)</f>
        <v>25, 35, SLOWPOKE</v>
      </c>
      <c r="I1044" s="5" t="s">
        <v>2855</v>
      </c>
    </row>
    <row r="1045" customFormat="false" ht="12.75" hidden="false" customHeight="true" outlineLevel="0" collapsed="false">
      <c r="A1045" s="5" t="s">
        <v>2536</v>
      </c>
      <c r="B1045" s="7" t="s">
        <v>2536</v>
      </c>
      <c r="C1045" s="7"/>
      <c r="D1045" s="7"/>
      <c r="E1045" s="7"/>
      <c r="G1045" s="5" t="str">
        <f aca="false">IF(ISNUMBER(FIND("old rod:",A1045)),"old rod:",A1045)</f>
        <v>NEW ROUTE</v>
      </c>
      <c r="I1045" s="5" t="s">
        <v>2536</v>
      </c>
    </row>
    <row r="1046" customFormat="false" ht="12.75" hidden="false" customHeight="true" outlineLevel="0" collapsed="false">
      <c r="A1046" s="5" t="s">
        <v>233</v>
      </c>
      <c r="B1046" s="7" t="s">
        <v>233</v>
      </c>
      <c r="C1046" s="7"/>
      <c r="D1046" s="7"/>
      <c r="E1046" s="7"/>
      <c r="G1046" s="5" t="str">
        <f aca="false">IF(ISNUMBER(FIND("old rod:",A1046)),"old rod:",A1046)</f>
        <v>Four Island Icefall Cave Entrance</v>
      </c>
      <c r="I1046" s="5" t="s">
        <v>233</v>
      </c>
    </row>
    <row r="1047" customFormat="false" ht="12.75" hidden="false" customHeight="true" outlineLevel="0" collapsed="false">
      <c r="A1047" s="5" t="n">
        <v>0.2</v>
      </c>
      <c r="B1047" s="5" t="n">
        <v>0.2</v>
      </c>
      <c r="C1047" s="7"/>
      <c r="D1047" s="7"/>
      <c r="E1047" s="7"/>
      <c r="G1047" s="5" t="n">
        <f aca="false">IF(ISNUMBER(FIND("old rod:",A1047)),"old rod:",A1047)</f>
        <v>0.2</v>
      </c>
      <c r="I1047" s="5" t="n">
        <v>0.2</v>
      </c>
    </row>
    <row r="1048" customFormat="false" ht="12.75" hidden="false" customHeight="true" outlineLevel="0" collapsed="false">
      <c r="A1048" s="5" t="s">
        <v>1591</v>
      </c>
      <c r="B1048" s="7" t="n">
        <v>43</v>
      </c>
      <c r="C1048" s="7" t="n">
        <v>43</v>
      </c>
      <c r="D1048" s="7" t="s">
        <v>3893</v>
      </c>
      <c r="E1048" s="7"/>
      <c r="G1048" s="5" t="str">
        <f aca="false">IF(ISNUMBER(FIND("old rod:",A1048)),"old rod:",A1048)</f>
        <v>43, 43, SEEL</v>
      </c>
      <c r="I1048" s="5" t="s">
        <v>1591</v>
      </c>
    </row>
    <row r="1049" customFormat="false" ht="12.75" hidden="false" customHeight="true" outlineLevel="0" collapsed="false">
      <c r="A1049" s="5" t="s">
        <v>3148</v>
      </c>
      <c r="B1049" s="7" t="n">
        <v>45</v>
      </c>
      <c r="C1049" s="7" t="n">
        <v>45</v>
      </c>
      <c r="D1049" s="7" t="s">
        <v>3745</v>
      </c>
      <c r="E1049" s="7"/>
      <c r="G1049" s="5" t="str">
        <f aca="false">IF(ISNUMBER(FIND("old rod:",A1049)),"old rod:",A1049)</f>
        <v>45, 45, GOLBAT</v>
      </c>
      <c r="I1049" s="5" t="s">
        <v>3148</v>
      </c>
    </row>
    <row r="1050" customFormat="false" ht="12.75" hidden="false" customHeight="true" outlineLevel="0" collapsed="false">
      <c r="A1050" s="5" t="n">
        <v>0.1</v>
      </c>
      <c r="B1050" s="5" t="n">
        <v>0.1</v>
      </c>
      <c r="C1050" s="7"/>
      <c r="D1050" s="7"/>
      <c r="E1050" s="7"/>
      <c r="G1050" s="5" t="n">
        <f aca="false">IF(ISNUMBER(FIND("old rod:",A1050)),"old rod:",A1050)</f>
        <v>0.1</v>
      </c>
      <c r="I1050" s="5" t="n">
        <v>0.1</v>
      </c>
    </row>
    <row r="1051" customFormat="false" ht="12.75" hidden="false" customHeight="true" outlineLevel="0" collapsed="false">
      <c r="A1051" s="5" t="s">
        <v>3149</v>
      </c>
      <c r="B1051" s="7" t="n">
        <v>45</v>
      </c>
      <c r="C1051" s="7" t="n">
        <v>45</v>
      </c>
      <c r="D1051" s="7" t="s">
        <v>3893</v>
      </c>
      <c r="E1051" s="7"/>
      <c r="G1051" s="5" t="str">
        <f aca="false">IF(ISNUMBER(FIND("old rod:",A1051)),"old rod:",A1051)</f>
        <v>45, 45, SEEL</v>
      </c>
      <c r="I1051" s="5" t="s">
        <v>3149</v>
      </c>
    </row>
    <row r="1052" customFormat="false" ht="12.75" hidden="false" customHeight="true" outlineLevel="0" collapsed="false">
      <c r="A1052" s="5" t="s">
        <v>3150</v>
      </c>
      <c r="B1052" s="7" t="n">
        <v>47</v>
      </c>
      <c r="C1052" s="7" t="n">
        <v>47</v>
      </c>
      <c r="D1052" s="7" t="s">
        <v>3893</v>
      </c>
      <c r="E1052" s="7"/>
      <c r="G1052" s="5" t="str">
        <f aca="false">IF(ISNUMBER(FIND("old rod:",A1052)),"old rod:",A1052)</f>
        <v>47, 47, SEEL</v>
      </c>
      <c r="I1052" s="5" t="s">
        <v>3150</v>
      </c>
    </row>
    <row r="1053" customFormat="false" ht="12.75" hidden="false" customHeight="true" outlineLevel="0" collapsed="false">
      <c r="A1053" s="5" t="s">
        <v>3151</v>
      </c>
      <c r="B1053" s="7" t="n">
        <v>40</v>
      </c>
      <c r="C1053" s="7" t="n">
        <v>40</v>
      </c>
      <c r="D1053" s="7" t="s">
        <v>3739</v>
      </c>
      <c r="E1053" s="7"/>
      <c r="G1053" s="5" t="str">
        <f aca="false">IF(ISNUMBER(FIND("old rod:",A1053)),"old rod:",A1053)</f>
        <v>40, 40, ZUBAT</v>
      </c>
      <c r="I1053" s="5" t="s">
        <v>3151</v>
      </c>
    </row>
    <row r="1054" customFormat="false" ht="12.75" hidden="false" customHeight="true" outlineLevel="0" collapsed="false">
      <c r="A1054" s="5" t="s">
        <v>3152</v>
      </c>
      <c r="B1054" s="7" t="n">
        <v>49</v>
      </c>
      <c r="C1054" s="7" t="n">
        <v>49</v>
      </c>
      <c r="D1054" s="7" t="s">
        <v>3852</v>
      </c>
      <c r="E1054" s="7"/>
      <c r="G1054" s="5" t="str">
        <f aca="false">IF(ISNUMBER(FIND("old rod:",A1054)),"old rod:",A1054)</f>
        <v>49, 49, DEWGONG</v>
      </c>
      <c r="I1054" s="5" t="s">
        <v>3152</v>
      </c>
    </row>
    <row r="1055" customFormat="false" ht="12.75" hidden="false" customHeight="true" outlineLevel="0" collapsed="false">
      <c r="A1055" s="5" t="n">
        <v>0.05</v>
      </c>
      <c r="B1055" s="5" t="n">
        <v>0.05</v>
      </c>
      <c r="C1055" s="7"/>
      <c r="D1055" s="7"/>
      <c r="E1055" s="7"/>
      <c r="G1055" s="5" t="n">
        <f aca="false">IF(ISNUMBER(FIND("old rod:",A1055)),"old rod:",A1055)</f>
        <v>0.05</v>
      </c>
      <c r="I1055" s="5" t="n">
        <v>0.05</v>
      </c>
    </row>
    <row r="1056" customFormat="false" ht="12.75" hidden="false" customHeight="true" outlineLevel="0" collapsed="false">
      <c r="A1056" s="5" t="s">
        <v>3153</v>
      </c>
      <c r="B1056" s="7" t="n">
        <v>51</v>
      </c>
      <c r="C1056" s="7" t="n">
        <v>51</v>
      </c>
      <c r="D1056" s="7" t="s">
        <v>3852</v>
      </c>
      <c r="E1056" s="7"/>
      <c r="G1056" s="5" t="str">
        <f aca="false">IF(ISNUMBER(FIND("old rod:",A1056)),"old rod:",A1056)</f>
        <v>51, 51, DEWGONG</v>
      </c>
      <c r="I1056" s="5" t="s">
        <v>3153</v>
      </c>
    </row>
    <row r="1057" customFormat="false" ht="12.75" hidden="false" customHeight="true" outlineLevel="0" collapsed="false">
      <c r="A1057" s="5" t="s">
        <v>3154</v>
      </c>
      <c r="B1057" s="7" t="n">
        <v>41</v>
      </c>
      <c r="C1057" s="7" t="n">
        <v>41</v>
      </c>
      <c r="D1057" s="7" t="s">
        <v>3755</v>
      </c>
      <c r="E1057" s="7"/>
      <c r="G1057" s="5" t="str">
        <f aca="false">IF(ISNUMBER(FIND("old rod:",A1057)),"old rod:",A1057)</f>
        <v>41, 41, SLOWPOKE</v>
      </c>
      <c r="I1057" s="5" t="s">
        <v>3154</v>
      </c>
    </row>
    <row r="1058" customFormat="false" ht="12.75" hidden="false" customHeight="true" outlineLevel="0" collapsed="false">
      <c r="A1058" s="5" t="n">
        <v>0.04</v>
      </c>
      <c r="B1058" s="5" t="n">
        <v>0.04</v>
      </c>
      <c r="C1058" s="7"/>
      <c r="D1058" s="7"/>
      <c r="E1058" s="7"/>
      <c r="G1058" s="5" t="n">
        <f aca="false">IF(ISNUMBER(FIND("old rod:",A1058)),"old rod:",A1058)</f>
        <v>0.04</v>
      </c>
      <c r="I1058" s="5" t="n">
        <v>0.04</v>
      </c>
    </row>
    <row r="1059" customFormat="false" ht="12.75" hidden="false" customHeight="true" outlineLevel="0" collapsed="false">
      <c r="A1059" s="5" t="s">
        <v>3155</v>
      </c>
      <c r="B1059" s="7" t="n">
        <v>48</v>
      </c>
      <c r="C1059" s="7" t="n">
        <v>48</v>
      </c>
      <c r="D1059" s="7" t="s">
        <v>3745</v>
      </c>
      <c r="E1059" s="7"/>
      <c r="G1059" s="5" t="str">
        <f aca="false">IF(ISNUMBER(FIND("old rod:",A1059)),"old rod:",A1059)</f>
        <v>48, 48, GOLBAT</v>
      </c>
      <c r="I1059" s="5" t="s">
        <v>3155</v>
      </c>
    </row>
    <row r="1060" customFormat="false" ht="12.75" hidden="false" customHeight="true" outlineLevel="0" collapsed="false">
      <c r="A1060" s="5" t="s">
        <v>3156</v>
      </c>
      <c r="B1060" s="7" t="n">
        <v>53</v>
      </c>
      <c r="C1060" s="7" t="n">
        <v>53</v>
      </c>
      <c r="D1060" s="7" t="s">
        <v>3852</v>
      </c>
      <c r="E1060" s="7"/>
      <c r="G1060" s="5" t="str">
        <f aca="false">IF(ISNUMBER(FIND("old rod:",A1060)),"old rod:",A1060)</f>
        <v>53, 53, DEWGONG</v>
      </c>
      <c r="I1060" s="5" t="s">
        <v>3156</v>
      </c>
    </row>
    <row r="1061" customFormat="false" ht="12.75" hidden="false" customHeight="true" outlineLevel="0" collapsed="false">
      <c r="A1061" s="5" t="n">
        <v>0.01</v>
      </c>
      <c r="B1061" s="5" t="n">
        <v>0.01</v>
      </c>
      <c r="C1061" s="7"/>
      <c r="D1061" s="7"/>
      <c r="E1061" s="7"/>
      <c r="G1061" s="5" t="n">
        <f aca="false">IF(ISNUMBER(FIND("old rod:",A1061)),"old rod:",A1061)</f>
        <v>0.01</v>
      </c>
      <c r="I1061" s="5" t="n">
        <v>0.01</v>
      </c>
    </row>
    <row r="1062" customFormat="false" ht="12.75" hidden="false" customHeight="true" outlineLevel="0" collapsed="false">
      <c r="A1062" s="5" t="s">
        <v>3155</v>
      </c>
      <c r="B1062" s="7" t="n">
        <v>48</v>
      </c>
      <c r="C1062" s="7" t="n">
        <v>48</v>
      </c>
      <c r="D1062" s="7" t="s">
        <v>3745</v>
      </c>
      <c r="E1062" s="7"/>
      <c r="G1062" s="5" t="str">
        <f aca="false">IF(ISNUMBER(FIND("old rod:",A1062)),"old rod:",A1062)</f>
        <v>48, 48, GOLBAT</v>
      </c>
      <c r="I1062" s="5" t="s">
        <v>3155</v>
      </c>
    </row>
    <row r="1063" customFormat="false" ht="12.75" hidden="false" customHeight="true" outlineLevel="0" collapsed="false">
      <c r="A1063" s="5" t="s">
        <v>3156</v>
      </c>
      <c r="B1063" s="7" t="n">
        <v>53</v>
      </c>
      <c r="C1063" s="7" t="n">
        <v>53</v>
      </c>
      <c r="D1063" s="7" t="s">
        <v>3852</v>
      </c>
      <c r="E1063" s="7"/>
      <c r="G1063" s="5" t="str">
        <f aca="false">IF(ISNUMBER(FIND("old rod:",A1063)),"old rod:",A1063)</f>
        <v>53, 53, DEWGONG</v>
      </c>
      <c r="I1063" s="5" t="s">
        <v>3156</v>
      </c>
    </row>
    <row r="1064" customFormat="false" ht="12.75" hidden="false" customHeight="true" outlineLevel="0" collapsed="false">
      <c r="A1064" s="5" t="s">
        <v>3157</v>
      </c>
      <c r="B1064" s="7" t="n">
        <v>2</v>
      </c>
      <c r="C1064" s="7" t="n">
        <v>5</v>
      </c>
      <c r="D1064" s="7" t="n">
        <v>35</v>
      </c>
      <c r="E1064" s="7" t="s">
        <v>3893</v>
      </c>
      <c r="G1064" s="5" t="str">
        <f aca="false">IF(ISNUMBER(FIND("old rod:",A1064)),"old rod:",A1064)</f>
        <v>2, 5, 35, SEEL</v>
      </c>
      <c r="I1064" s="5" t="s">
        <v>3157</v>
      </c>
    </row>
    <row r="1065" customFormat="false" ht="12.75" hidden="false" customHeight="true" outlineLevel="0" collapsed="false">
      <c r="A1065" s="5" t="s">
        <v>3158</v>
      </c>
      <c r="B1065" s="7" t="n">
        <v>5</v>
      </c>
      <c r="C1065" s="7" t="n">
        <v>35</v>
      </c>
      <c r="D1065" s="7" t="s">
        <v>3755</v>
      </c>
      <c r="E1065" s="7"/>
      <c r="G1065" s="5" t="str">
        <f aca="false">IF(ISNUMBER(FIND("old rod:",A1065)),"old rod:",A1065)</f>
        <v>5, 35, SLOWPOKE</v>
      </c>
      <c r="I1065" s="5" t="s">
        <v>3158</v>
      </c>
    </row>
    <row r="1066" customFormat="false" ht="12.75" hidden="false" customHeight="true" outlineLevel="0" collapsed="false">
      <c r="A1066" s="5" t="s">
        <v>3159</v>
      </c>
      <c r="B1066" s="7" t="n">
        <v>35</v>
      </c>
      <c r="C1066" s="7" t="n">
        <v>40</v>
      </c>
      <c r="D1066" s="7" t="s">
        <v>3852</v>
      </c>
      <c r="E1066" s="7"/>
      <c r="G1066" s="5" t="str">
        <f aca="false">IF(ISNUMBER(FIND("old rod:",A1066)),"old rod:",A1066)</f>
        <v>35, 40, DEWGONG</v>
      </c>
      <c r="I1066" s="5" t="s">
        <v>3159</v>
      </c>
    </row>
    <row r="1067" customFormat="false" ht="12.75" hidden="false" customHeight="true" outlineLevel="0" collapsed="false">
      <c r="A1067" s="5" t="s">
        <v>3160</v>
      </c>
      <c r="B1067" s="7" t="n">
        <v>5</v>
      </c>
      <c r="C1067" s="7" t="n">
        <v>15</v>
      </c>
      <c r="D1067" s="7" t="s">
        <v>3894</v>
      </c>
      <c r="E1067" s="7"/>
      <c r="G1067" s="5" t="str">
        <f aca="false">IF(ISNUMBER(FIND("old rod:",A1067)),"old rod:",A1067)</f>
        <v>5, 15, MARILL</v>
      </c>
      <c r="I1067" s="5" t="s">
        <v>3160</v>
      </c>
    </row>
    <row r="1068" customFormat="false" ht="12.75" hidden="false" customHeight="true" outlineLevel="0" collapsed="false">
      <c r="A1068" s="5" t="s">
        <v>3160</v>
      </c>
      <c r="B1068" s="7" t="n">
        <v>5</v>
      </c>
      <c r="C1068" s="7" t="n">
        <v>15</v>
      </c>
      <c r="D1068" s="7" t="s">
        <v>3894</v>
      </c>
      <c r="E1068" s="7"/>
      <c r="G1068" s="5" t="str">
        <f aca="false">IF(ISNUMBER(FIND("old rod:",A1068)),"old rod:",A1068)</f>
        <v>5, 15, MARILL</v>
      </c>
      <c r="I1068" s="5" t="s">
        <v>3160</v>
      </c>
    </row>
    <row r="1069" customFormat="false" ht="12.75" hidden="false" customHeight="true" outlineLevel="0" collapsed="false">
      <c r="A1069" s="5" t="s">
        <v>2925</v>
      </c>
      <c r="B1069" s="7" t="n">
        <v>20</v>
      </c>
      <c r="C1069" s="7" t="s">
        <v>3748</v>
      </c>
      <c r="D1069" s="7"/>
      <c r="E1069" s="7"/>
      <c r="G1069" s="5" t="str">
        <f aca="false">IF(ISNUMBER(FIND("old rod:",A1069)),"old rod:",A1069)</f>
        <v>old rod:</v>
      </c>
      <c r="I1069" s="5" t="s">
        <v>3749</v>
      </c>
    </row>
    <row r="1070" customFormat="false" ht="12.75" hidden="false" customHeight="true" outlineLevel="0" collapsed="false">
      <c r="A1070" s="5" t="s">
        <v>1266</v>
      </c>
      <c r="B1070" s="7" t="n">
        <v>5</v>
      </c>
      <c r="C1070" s="7" t="n">
        <v>5</v>
      </c>
      <c r="D1070" s="7" t="s">
        <v>3750</v>
      </c>
      <c r="E1070" s="7"/>
      <c r="G1070" s="5" t="str">
        <f aca="false">IF(ISNUMBER(FIND("old rod:",A1070)),"old rod:",A1070)</f>
        <v>5, 5, MAGIKARP</v>
      </c>
      <c r="I1070" s="5" t="s">
        <v>1266</v>
      </c>
    </row>
    <row r="1071" customFormat="false" ht="12.75" hidden="false" customHeight="true" outlineLevel="0" collapsed="false">
      <c r="A1071" s="5" t="s">
        <v>1266</v>
      </c>
      <c r="B1071" s="7" t="n">
        <v>5</v>
      </c>
      <c r="C1071" s="7" t="n">
        <v>5</v>
      </c>
      <c r="D1071" s="7" t="s">
        <v>3750</v>
      </c>
      <c r="E1071" s="7"/>
      <c r="G1071" s="5" t="str">
        <f aca="false">IF(ISNUMBER(FIND("old rod:",A1071)),"old rod:",A1071)</f>
        <v>5, 5, MAGIKARP</v>
      </c>
      <c r="I1071" s="5" t="s">
        <v>1266</v>
      </c>
    </row>
    <row r="1072" customFormat="false" ht="12.75" hidden="false" customHeight="true" outlineLevel="0" collapsed="false">
      <c r="A1072" s="5" t="s">
        <v>2846</v>
      </c>
      <c r="B1072" s="7" t="s">
        <v>2846</v>
      </c>
      <c r="C1072" s="7"/>
      <c r="D1072" s="7"/>
      <c r="E1072" s="7"/>
      <c r="G1072" s="5" t="str">
        <f aca="false">IF(ISNUMBER(FIND("old rod:",A1072)),"old rod:",A1072)</f>
        <v>good rod:</v>
      </c>
      <c r="I1072" s="5" t="s">
        <v>2846</v>
      </c>
    </row>
    <row r="1073" customFormat="false" ht="12.75" hidden="false" customHeight="true" outlineLevel="0" collapsed="false">
      <c r="A1073" s="5" t="s">
        <v>3143</v>
      </c>
      <c r="B1073" s="7" t="n">
        <v>5</v>
      </c>
      <c r="C1073" s="7" t="n">
        <v>15</v>
      </c>
      <c r="D1073" s="7" t="s">
        <v>3803</v>
      </c>
      <c r="E1073" s="7"/>
      <c r="G1073" s="5" t="str">
        <f aca="false">IF(ISNUMBER(FIND("old rod:",A1073)),"old rod:",A1073)</f>
        <v>5, 15, POLIWAG</v>
      </c>
      <c r="I1073" s="5" t="s">
        <v>3143</v>
      </c>
    </row>
    <row r="1074" customFormat="false" ht="12.75" hidden="false" customHeight="true" outlineLevel="0" collapsed="false">
      <c r="A1074" s="5" t="s">
        <v>2848</v>
      </c>
      <c r="B1074" s="7" t="n">
        <v>5</v>
      </c>
      <c r="C1074" s="7" t="n">
        <v>15</v>
      </c>
      <c r="D1074" s="7" t="s">
        <v>3750</v>
      </c>
      <c r="E1074" s="7"/>
      <c r="G1074" s="5" t="str">
        <f aca="false">IF(ISNUMBER(FIND("old rod:",A1074)),"old rod:",A1074)</f>
        <v>5, 15, MAGIKARP</v>
      </c>
      <c r="I1074" s="5" t="s">
        <v>2848</v>
      </c>
    </row>
    <row r="1075" customFormat="false" ht="12.75" hidden="false" customHeight="true" outlineLevel="0" collapsed="false">
      <c r="A1075" s="5" t="s">
        <v>3142</v>
      </c>
      <c r="B1075" s="7" t="n">
        <v>5</v>
      </c>
      <c r="C1075" s="7" t="n">
        <v>15</v>
      </c>
      <c r="D1075" s="7" t="s">
        <v>3804</v>
      </c>
      <c r="E1075" s="7"/>
      <c r="G1075" s="5" t="str">
        <f aca="false">IF(ISNUMBER(FIND("old rod:",A1075)),"old rod:",A1075)</f>
        <v>5, 15, GOLDEEN</v>
      </c>
      <c r="I1075" s="5" t="s">
        <v>3142</v>
      </c>
    </row>
    <row r="1076" customFormat="false" ht="12.75" hidden="false" customHeight="true" outlineLevel="0" collapsed="false">
      <c r="A1076" s="5" t="s">
        <v>2850</v>
      </c>
      <c r="B1076" s="7" t="s">
        <v>2850</v>
      </c>
      <c r="C1076" s="7"/>
      <c r="D1076" s="7"/>
      <c r="E1076" s="7"/>
      <c r="G1076" s="5" t="str">
        <f aca="false">IF(ISNUMBER(FIND("old rod:",A1076)),"old rod:",A1076)</f>
        <v>super rod:</v>
      </c>
      <c r="I1076" s="5" t="s">
        <v>2850</v>
      </c>
    </row>
    <row r="1077" customFormat="false" ht="12.75" hidden="false" customHeight="true" outlineLevel="0" collapsed="false">
      <c r="A1077" s="5" t="s">
        <v>3161</v>
      </c>
      <c r="B1077" s="7" t="n">
        <v>15</v>
      </c>
      <c r="C1077" s="7" t="n">
        <v>25</v>
      </c>
      <c r="D1077" s="7" t="s">
        <v>3803</v>
      </c>
      <c r="E1077" s="7"/>
      <c r="G1077" s="5" t="str">
        <f aca="false">IF(ISNUMBER(FIND("old rod:",A1077)),"old rod:",A1077)</f>
        <v>15, 25, POLIWAG</v>
      </c>
      <c r="I1077" s="5" t="s">
        <v>3161</v>
      </c>
    </row>
    <row r="1078" customFormat="false" ht="12.75" hidden="false" customHeight="true" outlineLevel="0" collapsed="false">
      <c r="A1078" s="5" t="s">
        <v>3162</v>
      </c>
      <c r="B1078" s="7" t="n">
        <v>20</v>
      </c>
      <c r="C1078" s="7" t="n">
        <v>30</v>
      </c>
      <c r="D1078" s="7" t="s">
        <v>3805</v>
      </c>
      <c r="E1078" s="7"/>
      <c r="G1078" s="5" t="str">
        <f aca="false">IF(ISNUMBER(FIND("old rod:",A1078)),"old rod:",A1078)</f>
        <v>20, 30, POLIWHIRL</v>
      </c>
      <c r="I1078" s="5" t="s">
        <v>3162</v>
      </c>
    </row>
    <row r="1079" customFormat="false" ht="12.75" hidden="false" customHeight="true" outlineLevel="0" collapsed="false">
      <c r="A1079" s="5" t="s">
        <v>2853</v>
      </c>
      <c r="B1079" s="7" t="n">
        <v>15</v>
      </c>
      <c r="C1079" s="7" t="n">
        <v>25</v>
      </c>
      <c r="D1079" s="7" t="s">
        <v>3754</v>
      </c>
      <c r="E1079" s="7"/>
      <c r="G1079" s="5" t="str">
        <f aca="false">IF(ISNUMBER(FIND("old rod:",A1079)),"old rod:",A1079)</f>
        <v>15, 25, GYARADOS</v>
      </c>
      <c r="I1079" s="5" t="s">
        <v>2853</v>
      </c>
    </row>
    <row r="1080" customFormat="false" ht="12.75" hidden="false" customHeight="true" outlineLevel="0" collapsed="false">
      <c r="A1080" s="5" t="s">
        <v>3146</v>
      </c>
      <c r="B1080" s="7" t="n">
        <v>15</v>
      </c>
      <c r="C1080" s="7" t="n">
        <v>25</v>
      </c>
      <c r="D1080" s="7" t="s">
        <v>3755</v>
      </c>
      <c r="E1080" s="7"/>
      <c r="G1080" s="5" t="str">
        <f aca="false">IF(ISNUMBER(FIND("old rod:",A1080)),"old rod:",A1080)</f>
        <v>15, 25, SLOWPOKE</v>
      </c>
      <c r="I1080" s="5" t="s">
        <v>3146</v>
      </c>
    </row>
    <row r="1081" customFormat="false" ht="12.75" hidden="false" customHeight="true" outlineLevel="0" collapsed="false">
      <c r="A1081" s="5" t="s">
        <v>2855</v>
      </c>
      <c r="B1081" s="7" t="n">
        <v>25</v>
      </c>
      <c r="C1081" s="7" t="n">
        <v>35</v>
      </c>
      <c r="D1081" s="7" t="s">
        <v>3755</v>
      </c>
      <c r="E1081" s="7"/>
      <c r="G1081" s="5" t="str">
        <f aca="false">IF(ISNUMBER(FIND("old rod:",A1081)),"old rod:",A1081)</f>
        <v>25, 35, SLOWPOKE</v>
      </c>
      <c r="I1081" s="5" t="s">
        <v>2855</v>
      </c>
    </row>
    <row r="1082" customFormat="false" ht="12.75" hidden="false" customHeight="true" outlineLevel="0" collapsed="false">
      <c r="A1082" s="5" t="s">
        <v>2536</v>
      </c>
      <c r="B1082" s="7" t="s">
        <v>2536</v>
      </c>
      <c r="C1082" s="7"/>
      <c r="D1082" s="7"/>
      <c r="E1082" s="7"/>
      <c r="G1082" s="5" t="str">
        <f aca="false">IF(ISNUMBER(FIND("old rod:",A1082)),"old rod:",A1082)</f>
        <v>NEW ROUTE</v>
      </c>
      <c r="I1082" s="5" t="s">
        <v>2536</v>
      </c>
    </row>
    <row r="1083" customFormat="false" ht="12.75" hidden="false" customHeight="true" outlineLevel="0" collapsed="false">
      <c r="A1083" s="5" t="s">
        <v>235</v>
      </c>
      <c r="B1083" s="7" t="s">
        <v>235</v>
      </c>
      <c r="C1083" s="7"/>
      <c r="D1083" s="7"/>
      <c r="E1083" s="7"/>
      <c r="G1083" s="5" t="str">
        <f aca="false">IF(ISNUMBER(FIND("old rod:",A1083)),"old rod:",A1083)</f>
        <v>Four Island Icefall Cave 1F</v>
      </c>
      <c r="I1083" s="5" t="s">
        <v>235</v>
      </c>
    </row>
    <row r="1084" customFormat="false" ht="12.75" hidden="false" customHeight="true" outlineLevel="0" collapsed="false">
      <c r="A1084" s="5" t="n">
        <v>0.2</v>
      </c>
      <c r="B1084" s="5" t="n">
        <v>0.2</v>
      </c>
      <c r="C1084" s="7"/>
      <c r="D1084" s="7"/>
      <c r="E1084" s="7"/>
      <c r="G1084" s="5" t="n">
        <f aca="false">IF(ISNUMBER(FIND("old rod:",A1084)),"old rod:",A1084)</f>
        <v>0.2</v>
      </c>
      <c r="I1084" s="5" t="n">
        <v>0.2</v>
      </c>
    </row>
    <row r="1085" customFormat="false" ht="12.75" hidden="false" customHeight="true" outlineLevel="0" collapsed="false">
      <c r="A1085" s="5" t="s">
        <v>1609</v>
      </c>
      <c r="B1085" s="7" t="n">
        <v>25</v>
      </c>
      <c r="C1085" s="7" t="n">
        <v>25</v>
      </c>
      <c r="D1085" s="7" t="s">
        <v>3895</v>
      </c>
      <c r="E1085" s="7"/>
      <c r="G1085" s="5" t="str">
        <f aca="false">IF(ISNUMBER(FIND("old rod:",A1085)),"old rod:",A1085)</f>
        <v>25, 25, SWINUB</v>
      </c>
      <c r="I1085" s="5" t="s">
        <v>1609</v>
      </c>
    </row>
    <row r="1086" customFormat="false" ht="12.75" hidden="false" customHeight="true" outlineLevel="0" collapsed="false">
      <c r="A1086" s="5" t="s">
        <v>3148</v>
      </c>
      <c r="B1086" s="7" t="n">
        <v>45</v>
      </c>
      <c r="C1086" s="7" t="n">
        <v>45</v>
      </c>
      <c r="D1086" s="7" t="s">
        <v>3745</v>
      </c>
      <c r="E1086" s="7"/>
      <c r="G1086" s="5" t="str">
        <f aca="false">IF(ISNUMBER(FIND("old rod:",A1086)),"old rod:",A1086)</f>
        <v>45, 45, GOLBAT</v>
      </c>
      <c r="I1086" s="5" t="s">
        <v>3148</v>
      </c>
    </row>
    <row r="1087" customFormat="false" ht="12.75" hidden="false" customHeight="true" outlineLevel="0" collapsed="false">
      <c r="A1087" s="5" t="n">
        <v>0.1</v>
      </c>
      <c r="B1087" s="5" t="n">
        <v>0.1</v>
      </c>
      <c r="C1087" s="7"/>
      <c r="D1087" s="7"/>
      <c r="E1087" s="7"/>
      <c r="G1087" s="5" t="n">
        <f aca="false">IF(ISNUMBER(FIND("old rod:",A1087)),"old rod:",A1087)</f>
        <v>0.1</v>
      </c>
      <c r="I1087" s="5" t="n">
        <v>0.1</v>
      </c>
    </row>
    <row r="1088" customFormat="false" ht="12.75" hidden="false" customHeight="true" outlineLevel="0" collapsed="false">
      <c r="A1088" s="5" t="s">
        <v>3149</v>
      </c>
      <c r="B1088" s="7" t="n">
        <v>45</v>
      </c>
      <c r="C1088" s="7" t="n">
        <v>45</v>
      </c>
      <c r="D1088" s="7" t="s">
        <v>3893</v>
      </c>
      <c r="E1088" s="7"/>
      <c r="G1088" s="5" t="str">
        <f aca="false">IF(ISNUMBER(FIND("old rod:",A1088)),"old rod:",A1088)</f>
        <v>45, 45, SEEL</v>
      </c>
      <c r="I1088" s="5" t="s">
        <v>3149</v>
      </c>
    </row>
    <row r="1089" customFormat="false" ht="12.75" hidden="false" customHeight="true" outlineLevel="0" collapsed="false">
      <c r="A1089" s="5" t="s">
        <v>3164</v>
      </c>
      <c r="B1089" s="7" t="n">
        <v>27</v>
      </c>
      <c r="C1089" s="7" t="n">
        <v>27</v>
      </c>
      <c r="D1089" s="7" t="s">
        <v>3895</v>
      </c>
      <c r="E1089" s="7"/>
      <c r="G1089" s="5" t="str">
        <f aca="false">IF(ISNUMBER(FIND("old rod:",A1089)),"old rod:",A1089)</f>
        <v>27, 27, SWINUB</v>
      </c>
      <c r="I1089" s="5" t="s">
        <v>3164</v>
      </c>
    </row>
    <row r="1090" customFormat="false" ht="12.75" hidden="false" customHeight="true" outlineLevel="0" collapsed="false">
      <c r="A1090" s="5" t="s">
        <v>3151</v>
      </c>
      <c r="B1090" s="7" t="n">
        <v>40</v>
      </c>
      <c r="C1090" s="7" t="n">
        <v>40</v>
      </c>
      <c r="D1090" s="7" t="s">
        <v>3739</v>
      </c>
      <c r="E1090" s="7"/>
      <c r="G1090" s="5" t="str">
        <f aca="false">IF(ISNUMBER(FIND("old rod:",A1090)),"old rod:",A1090)</f>
        <v>40, 40, ZUBAT</v>
      </c>
      <c r="I1090" s="5" t="s">
        <v>3151</v>
      </c>
    </row>
    <row r="1091" customFormat="false" ht="12.75" hidden="false" customHeight="true" outlineLevel="0" collapsed="false">
      <c r="A1091" s="5" t="s">
        <v>3165</v>
      </c>
      <c r="B1091" s="7" t="n">
        <v>29</v>
      </c>
      <c r="C1091" s="7" t="n">
        <v>29</v>
      </c>
      <c r="D1091" s="7" t="s">
        <v>3895</v>
      </c>
      <c r="E1091" s="7"/>
      <c r="G1091" s="5" t="str">
        <f aca="false">IF(ISNUMBER(FIND("old rod:",A1091)),"old rod:",A1091)</f>
        <v>29, 29, SWINUB</v>
      </c>
      <c r="I1091" s="5" t="s">
        <v>3165</v>
      </c>
    </row>
    <row r="1092" customFormat="false" ht="12.75" hidden="false" customHeight="true" outlineLevel="0" collapsed="false">
      <c r="A1092" s="5" t="n">
        <v>0.05</v>
      </c>
      <c r="B1092" s="5" t="n">
        <v>0.05</v>
      </c>
      <c r="C1092" s="7"/>
      <c r="D1092" s="7"/>
      <c r="E1092" s="7"/>
      <c r="G1092" s="5" t="n">
        <f aca="false">IF(ISNUMBER(FIND("old rod:",A1092)),"old rod:",A1092)</f>
        <v>0.05</v>
      </c>
      <c r="I1092" s="5" t="n">
        <v>0.05</v>
      </c>
    </row>
    <row r="1093" customFormat="false" ht="12.75" hidden="false" customHeight="true" outlineLevel="0" collapsed="false">
      <c r="A1093" s="5" t="s">
        <v>3166</v>
      </c>
      <c r="B1093" s="7" t="n">
        <v>30</v>
      </c>
      <c r="C1093" s="7" t="n">
        <v>30</v>
      </c>
      <c r="D1093" s="7" t="s">
        <v>3896</v>
      </c>
      <c r="E1093" s="7"/>
      <c r="G1093" s="5" t="str">
        <f aca="false">IF(ISNUMBER(FIND("old rod:",A1093)),"old rod:",A1093)</f>
        <v>30, 30, SNEASEL</v>
      </c>
      <c r="I1093" s="5" t="s">
        <v>3166</v>
      </c>
    </row>
    <row r="1094" customFormat="false" ht="12.75" hidden="false" customHeight="true" outlineLevel="0" collapsed="false">
      <c r="A1094" s="5" t="s">
        <v>3167</v>
      </c>
      <c r="B1094" s="7" t="n">
        <v>31</v>
      </c>
      <c r="C1094" s="7" t="n">
        <v>31</v>
      </c>
      <c r="D1094" s="7" t="s">
        <v>3895</v>
      </c>
      <c r="E1094" s="7"/>
      <c r="G1094" s="5" t="str">
        <f aca="false">IF(ISNUMBER(FIND("old rod:",A1094)),"old rod:",A1094)</f>
        <v>31, 31, SWINUB</v>
      </c>
      <c r="I1094" s="5" t="s">
        <v>3167</v>
      </c>
    </row>
    <row r="1095" customFormat="false" ht="12.75" hidden="false" customHeight="true" outlineLevel="0" collapsed="false">
      <c r="A1095" s="5" t="n">
        <v>0.04</v>
      </c>
      <c r="B1095" s="5" t="n">
        <v>0.04</v>
      </c>
      <c r="C1095" s="7"/>
      <c r="D1095" s="7"/>
      <c r="E1095" s="7"/>
      <c r="G1095" s="5" t="n">
        <f aca="false">IF(ISNUMBER(FIND("old rod:",A1095)),"old rod:",A1095)</f>
        <v>0.04</v>
      </c>
      <c r="I1095" s="5" t="n">
        <v>0.04</v>
      </c>
    </row>
    <row r="1096" customFormat="false" ht="12.75" hidden="false" customHeight="true" outlineLevel="0" collapsed="false">
      <c r="A1096" s="5" t="s">
        <v>3155</v>
      </c>
      <c r="B1096" s="7" t="n">
        <v>48</v>
      </c>
      <c r="C1096" s="7" t="n">
        <v>48</v>
      </c>
      <c r="D1096" s="7" t="s">
        <v>3745</v>
      </c>
      <c r="E1096" s="7"/>
      <c r="G1096" s="5" t="str">
        <f aca="false">IF(ISNUMBER(FIND("old rod:",A1096)),"old rod:",A1096)</f>
        <v>48, 48, GOLBAT</v>
      </c>
      <c r="I1096" s="5" t="s">
        <v>3155</v>
      </c>
    </row>
    <row r="1097" customFormat="false" ht="12.75" hidden="false" customHeight="true" outlineLevel="0" collapsed="false">
      <c r="A1097" s="5" t="s">
        <v>3168</v>
      </c>
      <c r="B1097" s="7" t="n">
        <v>23</v>
      </c>
      <c r="C1097" s="7" t="n">
        <v>23</v>
      </c>
      <c r="D1097" s="7" t="s">
        <v>3895</v>
      </c>
      <c r="E1097" s="7"/>
      <c r="G1097" s="5" t="str">
        <f aca="false">IF(ISNUMBER(FIND("old rod:",A1097)),"old rod:",A1097)</f>
        <v>23, 23, SWINUB</v>
      </c>
      <c r="I1097" s="5" t="s">
        <v>3168</v>
      </c>
    </row>
    <row r="1098" customFormat="false" ht="12.75" hidden="false" customHeight="true" outlineLevel="0" collapsed="false">
      <c r="A1098" s="5" t="n">
        <v>0.01</v>
      </c>
      <c r="B1098" s="5" t="n">
        <v>0.01</v>
      </c>
      <c r="C1098" s="7"/>
      <c r="D1098" s="7"/>
      <c r="E1098" s="7"/>
      <c r="G1098" s="5" t="n">
        <f aca="false">IF(ISNUMBER(FIND("old rod:",A1098)),"old rod:",A1098)</f>
        <v>0.01</v>
      </c>
      <c r="I1098" s="5" t="n">
        <v>0.01</v>
      </c>
    </row>
    <row r="1099" customFormat="false" ht="12.75" hidden="false" customHeight="true" outlineLevel="0" collapsed="false">
      <c r="A1099" s="5" t="s">
        <v>3155</v>
      </c>
      <c r="B1099" s="7" t="n">
        <v>48</v>
      </c>
      <c r="C1099" s="7" t="n">
        <v>48</v>
      </c>
      <c r="D1099" s="7" t="s">
        <v>3745</v>
      </c>
      <c r="E1099" s="7"/>
      <c r="G1099" s="5" t="str">
        <f aca="false">IF(ISNUMBER(FIND("old rod:",A1099)),"old rod:",A1099)</f>
        <v>48, 48, GOLBAT</v>
      </c>
      <c r="I1099" s="5" t="s">
        <v>3155</v>
      </c>
    </row>
    <row r="1100" customFormat="false" ht="12.75" hidden="false" customHeight="true" outlineLevel="0" collapsed="false">
      <c r="A1100" s="5" t="s">
        <v>3168</v>
      </c>
      <c r="B1100" s="7" t="n">
        <v>23</v>
      </c>
      <c r="C1100" s="7" t="n">
        <v>23</v>
      </c>
      <c r="D1100" s="7" t="s">
        <v>3895</v>
      </c>
      <c r="E1100" s="7"/>
      <c r="G1100" s="5" t="str">
        <f aca="false">IF(ISNUMBER(FIND("old rod:",A1100)),"old rod:",A1100)</f>
        <v>23, 23, SWINUB</v>
      </c>
      <c r="I1100" s="5" t="s">
        <v>3168</v>
      </c>
    </row>
    <row r="1101" customFormat="false" ht="12.75" hidden="false" customHeight="true" outlineLevel="0" collapsed="false">
      <c r="A1101" s="5" t="s">
        <v>2536</v>
      </c>
      <c r="B1101" s="7" t="s">
        <v>2536</v>
      </c>
      <c r="C1101" s="7"/>
      <c r="D1101" s="7"/>
      <c r="E1101" s="7"/>
      <c r="G1101" s="5" t="str">
        <f aca="false">IF(ISNUMBER(FIND("old rod:",A1101)),"old rod:",A1101)</f>
        <v>NEW ROUTE</v>
      </c>
      <c r="I1101" s="5" t="s">
        <v>2536</v>
      </c>
    </row>
    <row r="1102" customFormat="false" ht="12.75" hidden="false" customHeight="true" outlineLevel="0" collapsed="false">
      <c r="A1102" s="5" t="s">
        <v>237</v>
      </c>
      <c r="B1102" s="7" t="s">
        <v>237</v>
      </c>
      <c r="C1102" s="7"/>
      <c r="D1102" s="7"/>
      <c r="E1102" s="7"/>
      <c r="G1102" s="5" t="str">
        <f aca="false">IF(ISNUMBER(FIND("old rod:",A1102)),"old rod:",A1102)</f>
        <v>Four Island Icefall Cave B1F</v>
      </c>
      <c r="I1102" s="5" t="s">
        <v>237</v>
      </c>
    </row>
    <row r="1103" customFormat="false" ht="12.75" hidden="false" customHeight="true" outlineLevel="0" collapsed="false">
      <c r="A1103" s="5" t="n">
        <v>0.2</v>
      </c>
      <c r="B1103" s="5" t="n">
        <v>0.2</v>
      </c>
      <c r="C1103" s="7"/>
      <c r="D1103" s="7"/>
      <c r="E1103" s="7"/>
      <c r="G1103" s="5" t="n">
        <f aca="false">IF(ISNUMBER(FIND("old rod:",A1103)),"old rod:",A1103)</f>
        <v>0.2</v>
      </c>
      <c r="I1103" s="5" t="n">
        <v>0.2</v>
      </c>
    </row>
    <row r="1104" customFormat="false" ht="12.75" hidden="false" customHeight="true" outlineLevel="0" collapsed="false">
      <c r="A1104" s="5" t="s">
        <v>1609</v>
      </c>
      <c r="B1104" s="7" t="n">
        <v>25</v>
      </c>
      <c r="C1104" s="7" t="n">
        <v>25</v>
      </c>
      <c r="D1104" s="7" t="s">
        <v>3895</v>
      </c>
      <c r="E1104" s="7"/>
      <c r="G1104" s="5" t="str">
        <f aca="false">IF(ISNUMBER(FIND("old rod:",A1104)),"old rod:",A1104)</f>
        <v>25, 25, SWINUB</v>
      </c>
      <c r="I1104" s="5" t="s">
        <v>1609</v>
      </c>
    </row>
    <row r="1105" customFormat="false" ht="12.75" hidden="false" customHeight="true" outlineLevel="0" collapsed="false">
      <c r="A1105" s="5" t="s">
        <v>3148</v>
      </c>
      <c r="B1105" s="7" t="n">
        <v>45</v>
      </c>
      <c r="C1105" s="7" t="n">
        <v>45</v>
      </c>
      <c r="D1105" s="7" t="s">
        <v>3745</v>
      </c>
      <c r="E1105" s="7"/>
      <c r="G1105" s="5" t="str">
        <f aca="false">IF(ISNUMBER(FIND("old rod:",A1105)),"old rod:",A1105)</f>
        <v>45, 45, GOLBAT</v>
      </c>
      <c r="I1105" s="5" t="s">
        <v>3148</v>
      </c>
    </row>
    <row r="1106" customFormat="false" ht="12.75" hidden="false" customHeight="true" outlineLevel="0" collapsed="false">
      <c r="A1106" s="5" t="n">
        <v>0.1</v>
      </c>
      <c r="B1106" s="5" t="n">
        <v>0.1</v>
      </c>
      <c r="C1106" s="7"/>
      <c r="D1106" s="7"/>
      <c r="E1106" s="7"/>
      <c r="G1106" s="5" t="n">
        <f aca="false">IF(ISNUMBER(FIND("old rod:",A1106)),"old rod:",A1106)</f>
        <v>0.1</v>
      </c>
      <c r="I1106" s="5" t="n">
        <v>0.1</v>
      </c>
    </row>
    <row r="1107" customFormat="false" ht="12.75" hidden="false" customHeight="true" outlineLevel="0" collapsed="false">
      <c r="A1107" s="5" t="s">
        <v>3149</v>
      </c>
      <c r="B1107" s="7" t="n">
        <v>45</v>
      </c>
      <c r="C1107" s="7" t="n">
        <v>45</v>
      </c>
      <c r="D1107" s="7" t="s">
        <v>3893</v>
      </c>
      <c r="E1107" s="7"/>
      <c r="G1107" s="5" t="str">
        <f aca="false">IF(ISNUMBER(FIND("old rod:",A1107)),"old rod:",A1107)</f>
        <v>45, 45, SEEL</v>
      </c>
      <c r="I1107" s="5" t="s">
        <v>3149</v>
      </c>
    </row>
    <row r="1108" customFormat="false" ht="12.75" hidden="false" customHeight="true" outlineLevel="0" collapsed="false">
      <c r="A1108" s="5" t="s">
        <v>3164</v>
      </c>
      <c r="B1108" s="7" t="n">
        <v>27</v>
      </c>
      <c r="C1108" s="7" t="n">
        <v>27</v>
      </c>
      <c r="D1108" s="7" t="s">
        <v>3895</v>
      </c>
      <c r="E1108" s="7"/>
      <c r="G1108" s="5" t="str">
        <f aca="false">IF(ISNUMBER(FIND("old rod:",A1108)),"old rod:",A1108)</f>
        <v>27, 27, SWINUB</v>
      </c>
      <c r="I1108" s="5" t="s">
        <v>3164</v>
      </c>
    </row>
    <row r="1109" customFormat="false" ht="12.75" hidden="false" customHeight="true" outlineLevel="0" collapsed="false">
      <c r="A1109" s="5" t="s">
        <v>3151</v>
      </c>
      <c r="B1109" s="7" t="n">
        <v>40</v>
      </c>
      <c r="C1109" s="7" t="n">
        <v>40</v>
      </c>
      <c r="D1109" s="7" t="s">
        <v>3739</v>
      </c>
      <c r="E1109" s="7"/>
      <c r="G1109" s="5" t="str">
        <f aca="false">IF(ISNUMBER(FIND("old rod:",A1109)),"old rod:",A1109)</f>
        <v>40, 40, ZUBAT</v>
      </c>
      <c r="I1109" s="5" t="s">
        <v>3151</v>
      </c>
    </row>
    <row r="1110" customFormat="false" ht="12.75" hidden="false" customHeight="true" outlineLevel="0" collapsed="false">
      <c r="A1110" s="5" t="s">
        <v>3165</v>
      </c>
      <c r="B1110" s="7" t="n">
        <v>29</v>
      </c>
      <c r="C1110" s="7" t="n">
        <v>29</v>
      </c>
      <c r="D1110" s="7" t="s">
        <v>3895</v>
      </c>
      <c r="E1110" s="7"/>
      <c r="G1110" s="5" t="str">
        <f aca="false">IF(ISNUMBER(FIND("old rod:",A1110)),"old rod:",A1110)</f>
        <v>29, 29, SWINUB</v>
      </c>
      <c r="I1110" s="5" t="s">
        <v>3165</v>
      </c>
    </row>
    <row r="1111" customFormat="false" ht="12.75" hidden="false" customHeight="true" outlineLevel="0" collapsed="false">
      <c r="A1111" s="5" t="n">
        <v>0.05</v>
      </c>
      <c r="B1111" s="5" t="n">
        <v>0.05</v>
      </c>
      <c r="C1111" s="7"/>
      <c r="D1111" s="7"/>
      <c r="E1111" s="7"/>
      <c r="G1111" s="5" t="n">
        <f aca="false">IF(ISNUMBER(FIND("old rod:",A1111)),"old rod:",A1111)</f>
        <v>0.05</v>
      </c>
      <c r="I1111" s="5" t="n">
        <v>0.05</v>
      </c>
    </row>
    <row r="1112" customFormat="false" ht="12.75" hidden="false" customHeight="true" outlineLevel="0" collapsed="false">
      <c r="A1112" s="5" t="s">
        <v>3166</v>
      </c>
      <c r="B1112" s="7" t="n">
        <v>30</v>
      </c>
      <c r="C1112" s="7" t="n">
        <v>30</v>
      </c>
      <c r="D1112" s="7" t="s">
        <v>3896</v>
      </c>
      <c r="E1112" s="7"/>
      <c r="G1112" s="5" t="str">
        <f aca="false">IF(ISNUMBER(FIND("old rod:",A1112)),"old rod:",A1112)</f>
        <v>30, 30, SNEASEL</v>
      </c>
      <c r="I1112" s="5" t="s">
        <v>3166</v>
      </c>
    </row>
    <row r="1113" customFormat="false" ht="12.75" hidden="false" customHeight="true" outlineLevel="0" collapsed="false">
      <c r="A1113" s="5" t="s">
        <v>3167</v>
      </c>
      <c r="B1113" s="7" t="n">
        <v>31</v>
      </c>
      <c r="C1113" s="7" t="n">
        <v>31</v>
      </c>
      <c r="D1113" s="7" t="s">
        <v>3895</v>
      </c>
      <c r="E1113" s="7"/>
      <c r="G1113" s="5" t="str">
        <f aca="false">IF(ISNUMBER(FIND("old rod:",A1113)),"old rod:",A1113)</f>
        <v>31, 31, SWINUB</v>
      </c>
      <c r="I1113" s="5" t="s">
        <v>3167</v>
      </c>
    </row>
    <row r="1114" customFormat="false" ht="12.75" hidden="false" customHeight="true" outlineLevel="0" collapsed="false">
      <c r="A1114" s="5" t="n">
        <v>0.04</v>
      </c>
      <c r="B1114" s="5" t="n">
        <v>0.04</v>
      </c>
      <c r="C1114" s="7"/>
      <c r="D1114" s="7"/>
      <c r="E1114" s="7"/>
      <c r="G1114" s="5" t="n">
        <f aca="false">IF(ISNUMBER(FIND("old rod:",A1114)),"old rod:",A1114)</f>
        <v>0.04</v>
      </c>
      <c r="I1114" s="5" t="n">
        <v>0.04</v>
      </c>
    </row>
    <row r="1115" customFormat="false" ht="12.75" hidden="false" customHeight="true" outlineLevel="0" collapsed="false">
      <c r="A1115" s="5" t="s">
        <v>3155</v>
      </c>
      <c r="B1115" s="7" t="n">
        <v>48</v>
      </c>
      <c r="C1115" s="7" t="n">
        <v>48</v>
      </c>
      <c r="D1115" s="7" t="s">
        <v>3745</v>
      </c>
      <c r="E1115" s="7"/>
      <c r="G1115" s="5" t="str">
        <f aca="false">IF(ISNUMBER(FIND("old rod:",A1115)),"old rod:",A1115)</f>
        <v>48, 48, GOLBAT</v>
      </c>
      <c r="I1115" s="5" t="s">
        <v>3155</v>
      </c>
    </row>
    <row r="1116" customFormat="false" ht="12.75" hidden="false" customHeight="true" outlineLevel="0" collapsed="false">
      <c r="A1116" s="5" t="s">
        <v>3168</v>
      </c>
      <c r="B1116" s="7" t="n">
        <v>23</v>
      </c>
      <c r="C1116" s="7" t="n">
        <v>23</v>
      </c>
      <c r="D1116" s="7" t="s">
        <v>3895</v>
      </c>
      <c r="E1116" s="7"/>
      <c r="G1116" s="5" t="str">
        <f aca="false">IF(ISNUMBER(FIND("old rod:",A1116)),"old rod:",A1116)</f>
        <v>23, 23, SWINUB</v>
      </c>
      <c r="I1116" s="5" t="s">
        <v>3168</v>
      </c>
    </row>
    <row r="1117" customFormat="false" ht="12.75" hidden="false" customHeight="true" outlineLevel="0" collapsed="false">
      <c r="A1117" s="5" t="n">
        <v>0.01</v>
      </c>
      <c r="B1117" s="5" t="n">
        <v>0.01</v>
      </c>
      <c r="C1117" s="7"/>
      <c r="D1117" s="7"/>
      <c r="E1117" s="7"/>
      <c r="G1117" s="5" t="n">
        <f aca="false">IF(ISNUMBER(FIND("old rod:",A1117)),"old rod:",A1117)</f>
        <v>0.01</v>
      </c>
      <c r="I1117" s="5" t="n">
        <v>0.01</v>
      </c>
    </row>
    <row r="1118" customFormat="false" ht="12.75" hidden="false" customHeight="true" outlineLevel="0" collapsed="false">
      <c r="A1118" s="5" t="s">
        <v>3155</v>
      </c>
      <c r="B1118" s="7" t="n">
        <v>48</v>
      </c>
      <c r="C1118" s="7" t="n">
        <v>48</v>
      </c>
      <c r="D1118" s="7" t="s">
        <v>3745</v>
      </c>
      <c r="E1118" s="7"/>
      <c r="G1118" s="5" t="str">
        <f aca="false">IF(ISNUMBER(FIND("old rod:",A1118)),"old rod:",A1118)</f>
        <v>48, 48, GOLBAT</v>
      </c>
      <c r="I1118" s="5" t="s">
        <v>3155</v>
      </c>
    </row>
    <row r="1119" customFormat="false" ht="12.75" hidden="false" customHeight="true" outlineLevel="0" collapsed="false">
      <c r="A1119" s="5" t="s">
        <v>3168</v>
      </c>
      <c r="B1119" s="7" t="n">
        <v>23</v>
      </c>
      <c r="C1119" s="7" t="n">
        <v>23</v>
      </c>
      <c r="D1119" s="7" t="s">
        <v>3895</v>
      </c>
      <c r="E1119" s="7"/>
      <c r="G1119" s="5" t="str">
        <f aca="false">IF(ISNUMBER(FIND("old rod:",A1119)),"old rod:",A1119)</f>
        <v>23, 23, SWINUB</v>
      </c>
      <c r="I1119" s="5" t="s">
        <v>3168</v>
      </c>
    </row>
    <row r="1120" customFormat="false" ht="12.75" hidden="false" customHeight="true" outlineLevel="0" collapsed="false">
      <c r="A1120" s="5" t="s">
        <v>2536</v>
      </c>
      <c r="B1120" s="7" t="s">
        <v>2536</v>
      </c>
      <c r="C1120" s="7"/>
      <c r="D1120" s="7"/>
      <c r="E1120" s="7"/>
      <c r="G1120" s="5" t="str">
        <f aca="false">IF(ISNUMBER(FIND("old rod:",A1120)),"old rod:",A1120)</f>
        <v>NEW ROUTE</v>
      </c>
      <c r="I1120" s="5" t="s">
        <v>2536</v>
      </c>
    </row>
    <row r="1121" customFormat="false" ht="12.75" hidden="false" customHeight="true" outlineLevel="0" collapsed="false">
      <c r="A1121" s="5" t="s">
        <v>239</v>
      </c>
      <c r="B1121" s="7" t="s">
        <v>239</v>
      </c>
      <c r="C1121" s="7"/>
      <c r="D1121" s="7"/>
      <c r="E1121" s="7"/>
      <c r="G1121" s="5" t="str">
        <f aca="false">IF(ISNUMBER(FIND("old rod:",A1121)),"old rod:",A1121)</f>
        <v>Four Island Icefall Cave Back</v>
      </c>
      <c r="I1121" s="5" t="s">
        <v>239</v>
      </c>
    </row>
    <row r="1122" customFormat="false" ht="12.75" hidden="false" customHeight="true" outlineLevel="0" collapsed="false">
      <c r="A1122" s="5" t="n">
        <v>0.2</v>
      </c>
      <c r="B1122" s="5" t="n">
        <v>0.2</v>
      </c>
      <c r="C1122" s="7"/>
      <c r="D1122" s="7"/>
      <c r="E1122" s="7"/>
      <c r="G1122" s="5" t="n">
        <f aca="false">IF(ISNUMBER(FIND("old rod:",A1122)),"old rod:",A1122)</f>
        <v>0.2</v>
      </c>
      <c r="I1122" s="5" t="n">
        <v>0.2</v>
      </c>
    </row>
    <row r="1123" customFormat="false" ht="12.75" hidden="false" customHeight="true" outlineLevel="0" collapsed="false">
      <c r="A1123" s="5" t="s">
        <v>1591</v>
      </c>
      <c r="B1123" s="7" t="n">
        <v>43</v>
      </c>
      <c r="C1123" s="7" t="n">
        <v>43</v>
      </c>
      <c r="D1123" s="7" t="s">
        <v>3893</v>
      </c>
      <c r="E1123" s="7"/>
      <c r="G1123" s="5" t="str">
        <f aca="false">IF(ISNUMBER(FIND("old rod:",A1123)),"old rod:",A1123)</f>
        <v>43, 43, SEEL</v>
      </c>
      <c r="I1123" s="5" t="s">
        <v>1591</v>
      </c>
    </row>
    <row r="1124" customFormat="false" ht="12.75" hidden="false" customHeight="true" outlineLevel="0" collapsed="false">
      <c r="A1124" s="5" t="s">
        <v>3148</v>
      </c>
      <c r="B1124" s="7" t="n">
        <v>45</v>
      </c>
      <c r="C1124" s="7" t="n">
        <v>45</v>
      </c>
      <c r="D1124" s="7" t="s">
        <v>3745</v>
      </c>
      <c r="E1124" s="7"/>
      <c r="G1124" s="5" t="str">
        <f aca="false">IF(ISNUMBER(FIND("old rod:",A1124)),"old rod:",A1124)</f>
        <v>45, 45, GOLBAT</v>
      </c>
      <c r="I1124" s="5" t="s">
        <v>3148</v>
      </c>
    </row>
    <row r="1125" customFormat="false" ht="12.75" hidden="false" customHeight="true" outlineLevel="0" collapsed="false">
      <c r="A1125" s="5" t="n">
        <v>0.1</v>
      </c>
      <c r="B1125" s="5" t="n">
        <v>0.1</v>
      </c>
      <c r="C1125" s="7"/>
      <c r="D1125" s="7"/>
      <c r="E1125" s="7"/>
      <c r="G1125" s="5" t="n">
        <f aca="false">IF(ISNUMBER(FIND("old rod:",A1125)),"old rod:",A1125)</f>
        <v>0.1</v>
      </c>
      <c r="I1125" s="5" t="n">
        <v>0.1</v>
      </c>
    </row>
    <row r="1126" customFormat="false" ht="12.75" hidden="false" customHeight="true" outlineLevel="0" collapsed="false">
      <c r="A1126" s="5" t="s">
        <v>3149</v>
      </c>
      <c r="B1126" s="7" t="n">
        <v>45</v>
      </c>
      <c r="C1126" s="7" t="n">
        <v>45</v>
      </c>
      <c r="D1126" s="7" t="s">
        <v>3893</v>
      </c>
      <c r="E1126" s="7"/>
      <c r="G1126" s="5" t="str">
        <f aca="false">IF(ISNUMBER(FIND("old rod:",A1126)),"old rod:",A1126)</f>
        <v>45, 45, SEEL</v>
      </c>
      <c r="I1126" s="5" t="s">
        <v>3149</v>
      </c>
    </row>
    <row r="1127" customFormat="false" ht="12.75" hidden="false" customHeight="true" outlineLevel="0" collapsed="false">
      <c r="A1127" s="5" t="s">
        <v>3150</v>
      </c>
      <c r="B1127" s="7" t="n">
        <v>47</v>
      </c>
      <c r="C1127" s="7" t="n">
        <v>47</v>
      </c>
      <c r="D1127" s="7" t="s">
        <v>3893</v>
      </c>
      <c r="E1127" s="7"/>
      <c r="G1127" s="5" t="str">
        <f aca="false">IF(ISNUMBER(FIND("old rod:",A1127)),"old rod:",A1127)</f>
        <v>47, 47, SEEL</v>
      </c>
      <c r="I1127" s="5" t="s">
        <v>3150</v>
      </c>
    </row>
    <row r="1128" customFormat="false" ht="12.75" hidden="false" customHeight="true" outlineLevel="0" collapsed="false">
      <c r="A1128" s="5" t="s">
        <v>3151</v>
      </c>
      <c r="B1128" s="7" t="n">
        <v>40</v>
      </c>
      <c r="C1128" s="7" t="n">
        <v>40</v>
      </c>
      <c r="D1128" s="7" t="s">
        <v>3739</v>
      </c>
      <c r="E1128" s="7"/>
      <c r="G1128" s="5" t="str">
        <f aca="false">IF(ISNUMBER(FIND("old rod:",A1128)),"old rod:",A1128)</f>
        <v>40, 40, ZUBAT</v>
      </c>
      <c r="I1128" s="5" t="s">
        <v>3151</v>
      </c>
    </row>
    <row r="1129" customFormat="false" ht="12.75" hidden="false" customHeight="true" outlineLevel="0" collapsed="false">
      <c r="A1129" s="5" t="s">
        <v>3152</v>
      </c>
      <c r="B1129" s="7" t="n">
        <v>49</v>
      </c>
      <c r="C1129" s="7" t="n">
        <v>49</v>
      </c>
      <c r="D1129" s="7" t="s">
        <v>3852</v>
      </c>
      <c r="E1129" s="7"/>
      <c r="G1129" s="5" t="str">
        <f aca="false">IF(ISNUMBER(FIND("old rod:",A1129)),"old rod:",A1129)</f>
        <v>49, 49, DEWGONG</v>
      </c>
      <c r="I1129" s="5" t="s">
        <v>3152</v>
      </c>
    </row>
    <row r="1130" customFormat="false" ht="12.75" hidden="false" customHeight="true" outlineLevel="0" collapsed="false">
      <c r="A1130" s="5" t="n">
        <v>0.05</v>
      </c>
      <c r="B1130" s="5" t="n">
        <v>0.05</v>
      </c>
      <c r="C1130" s="7"/>
      <c r="D1130" s="7"/>
      <c r="E1130" s="7"/>
      <c r="G1130" s="5" t="n">
        <f aca="false">IF(ISNUMBER(FIND("old rod:",A1130)),"old rod:",A1130)</f>
        <v>0.05</v>
      </c>
      <c r="I1130" s="5" t="n">
        <v>0.05</v>
      </c>
    </row>
    <row r="1131" customFormat="false" ht="12.75" hidden="false" customHeight="true" outlineLevel="0" collapsed="false">
      <c r="A1131" s="5" t="s">
        <v>3153</v>
      </c>
      <c r="B1131" s="7" t="n">
        <v>51</v>
      </c>
      <c r="C1131" s="7" t="n">
        <v>51</v>
      </c>
      <c r="D1131" s="7" t="s">
        <v>3852</v>
      </c>
      <c r="E1131" s="7"/>
      <c r="G1131" s="5" t="str">
        <f aca="false">IF(ISNUMBER(FIND("old rod:",A1131)),"old rod:",A1131)</f>
        <v>51, 51, DEWGONG</v>
      </c>
      <c r="I1131" s="5" t="s">
        <v>3153</v>
      </c>
    </row>
    <row r="1132" customFormat="false" ht="12.75" hidden="false" customHeight="true" outlineLevel="0" collapsed="false">
      <c r="A1132" s="5" t="s">
        <v>3154</v>
      </c>
      <c r="B1132" s="7" t="n">
        <v>41</v>
      </c>
      <c r="C1132" s="7" t="n">
        <v>41</v>
      </c>
      <c r="D1132" s="7" t="s">
        <v>3755</v>
      </c>
      <c r="E1132" s="7"/>
      <c r="G1132" s="5" t="str">
        <f aca="false">IF(ISNUMBER(FIND("old rod:",A1132)),"old rod:",A1132)</f>
        <v>41, 41, SLOWPOKE</v>
      </c>
      <c r="I1132" s="5" t="s">
        <v>3154</v>
      </c>
    </row>
    <row r="1133" customFormat="false" ht="12.75" hidden="false" customHeight="true" outlineLevel="0" collapsed="false">
      <c r="A1133" s="5" t="n">
        <v>0.04</v>
      </c>
      <c r="B1133" s="5" t="n">
        <v>0.04</v>
      </c>
      <c r="C1133" s="7"/>
      <c r="D1133" s="7"/>
      <c r="E1133" s="7"/>
      <c r="G1133" s="5" t="n">
        <f aca="false">IF(ISNUMBER(FIND("old rod:",A1133)),"old rod:",A1133)</f>
        <v>0.04</v>
      </c>
      <c r="I1133" s="5" t="n">
        <v>0.04</v>
      </c>
    </row>
    <row r="1134" customFormat="false" ht="12.75" hidden="false" customHeight="true" outlineLevel="0" collapsed="false">
      <c r="A1134" s="5" t="s">
        <v>3155</v>
      </c>
      <c r="B1134" s="7" t="n">
        <v>48</v>
      </c>
      <c r="C1134" s="7" t="n">
        <v>48</v>
      </c>
      <c r="D1134" s="7" t="s">
        <v>3745</v>
      </c>
      <c r="E1134" s="7"/>
      <c r="G1134" s="5" t="str">
        <f aca="false">IF(ISNUMBER(FIND("old rod:",A1134)),"old rod:",A1134)</f>
        <v>48, 48, GOLBAT</v>
      </c>
      <c r="I1134" s="5" t="s">
        <v>3155</v>
      </c>
    </row>
    <row r="1135" customFormat="false" ht="12.75" hidden="false" customHeight="true" outlineLevel="0" collapsed="false">
      <c r="A1135" s="5" t="s">
        <v>3156</v>
      </c>
      <c r="B1135" s="7" t="n">
        <v>53</v>
      </c>
      <c r="C1135" s="7" t="n">
        <v>53</v>
      </c>
      <c r="D1135" s="7" t="s">
        <v>3852</v>
      </c>
      <c r="E1135" s="7"/>
      <c r="G1135" s="5" t="str">
        <f aca="false">IF(ISNUMBER(FIND("old rod:",A1135)),"old rod:",A1135)</f>
        <v>53, 53, DEWGONG</v>
      </c>
      <c r="I1135" s="5" t="s">
        <v>3156</v>
      </c>
    </row>
    <row r="1136" customFormat="false" ht="12.75" hidden="false" customHeight="true" outlineLevel="0" collapsed="false">
      <c r="A1136" s="5" t="n">
        <v>0.01</v>
      </c>
      <c r="B1136" s="5" t="n">
        <v>0.01</v>
      </c>
      <c r="C1136" s="7"/>
      <c r="D1136" s="7"/>
      <c r="E1136" s="7"/>
      <c r="G1136" s="5" t="n">
        <f aca="false">IF(ISNUMBER(FIND("old rod:",A1136)),"old rod:",A1136)</f>
        <v>0.01</v>
      </c>
      <c r="I1136" s="5" t="n">
        <v>0.01</v>
      </c>
    </row>
    <row r="1137" customFormat="false" ht="12.75" hidden="false" customHeight="true" outlineLevel="0" collapsed="false">
      <c r="A1137" s="5" t="s">
        <v>3155</v>
      </c>
      <c r="B1137" s="7" t="n">
        <v>48</v>
      </c>
      <c r="C1137" s="7" t="n">
        <v>48</v>
      </c>
      <c r="D1137" s="7" t="s">
        <v>3745</v>
      </c>
      <c r="E1137" s="7"/>
      <c r="G1137" s="5" t="str">
        <f aca="false">IF(ISNUMBER(FIND("old rod:",A1137)),"old rod:",A1137)</f>
        <v>48, 48, GOLBAT</v>
      </c>
      <c r="I1137" s="5" t="s">
        <v>3155</v>
      </c>
    </row>
    <row r="1138" customFormat="false" ht="12.75" hidden="false" customHeight="true" outlineLevel="0" collapsed="false">
      <c r="A1138" s="5" t="s">
        <v>3156</v>
      </c>
      <c r="B1138" s="7" t="n">
        <v>53</v>
      </c>
      <c r="C1138" s="7" t="n">
        <v>53</v>
      </c>
      <c r="D1138" s="7" t="s">
        <v>3852</v>
      </c>
      <c r="E1138" s="7"/>
      <c r="G1138" s="5" t="str">
        <f aca="false">IF(ISNUMBER(FIND("old rod:",A1138)),"old rod:",A1138)</f>
        <v>53, 53, DEWGONG</v>
      </c>
      <c r="I1138" s="5" t="s">
        <v>3156</v>
      </c>
    </row>
    <row r="1139" customFormat="false" ht="12.75" hidden="false" customHeight="true" outlineLevel="0" collapsed="false">
      <c r="A1139" s="5" t="s">
        <v>3172</v>
      </c>
      <c r="B1139" s="7" t="n">
        <v>2</v>
      </c>
      <c r="C1139" s="7" t="n">
        <v>5</v>
      </c>
      <c r="D1139" s="7" t="n">
        <v>20</v>
      </c>
      <c r="E1139" s="7" t="s">
        <v>3747</v>
      </c>
      <c r="G1139" s="5" t="str">
        <f aca="false">IF(ISNUMBER(FIND("old rod:",A1139)),"old rod:",A1139)</f>
        <v>2, 5, 20, TENTACOOL</v>
      </c>
      <c r="I1139" s="5" t="s">
        <v>3172</v>
      </c>
    </row>
    <row r="1140" customFormat="false" ht="12.75" hidden="false" customHeight="true" outlineLevel="0" collapsed="false">
      <c r="A1140" s="5" t="s">
        <v>3173</v>
      </c>
      <c r="B1140" s="7" t="n">
        <v>20</v>
      </c>
      <c r="C1140" s="7" t="n">
        <v>35</v>
      </c>
      <c r="D1140" s="7" t="s">
        <v>3747</v>
      </c>
      <c r="E1140" s="7"/>
      <c r="G1140" s="5" t="str">
        <f aca="false">IF(ISNUMBER(FIND("old rod:",A1140)),"old rod:",A1140)</f>
        <v>20, 35, TENTACOOL</v>
      </c>
      <c r="I1140" s="5" t="s">
        <v>3173</v>
      </c>
    </row>
    <row r="1141" customFormat="false" ht="12.75" hidden="false" customHeight="true" outlineLevel="0" collapsed="false">
      <c r="A1141" s="5" t="s">
        <v>3174</v>
      </c>
      <c r="B1141" s="7" t="n">
        <v>35</v>
      </c>
      <c r="C1141" s="7" t="n">
        <v>45</v>
      </c>
      <c r="D1141" s="7" t="s">
        <v>3747</v>
      </c>
      <c r="E1141" s="7"/>
      <c r="G1141" s="5" t="str">
        <f aca="false">IF(ISNUMBER(FIND("old rod:",A1141)),"old rod:",A1141)</f>
        <v>35, 45, TENTACOOL</v>
      </c>
      <c r="I1141" s="5" t="s">
        <v>3174</v>
      </c>
    </row>
    <row r="1142" customFormat="false" ht="12.75" hidden="false" customHeight="true" outlineLevel="0" collapsed="false">
      <c r="A1142" s="5" t="s">
        <v>3175</v>
      </c>
      <c r="B1142" s="7" t="n">
        <v>35</v>
      </c>
      <c r="C1142" s="7" t="n">
        <v>45</v>
      </c>
      <c r="D1142" s="7" t="s">
        <v>3897</v>
      </c>
      <c r="E1142" s="7"/>
      <c r="G1142" s="5" t="str">
        <f aca="false">IF(ISNUMBER(FIND("old rod:",A1142)),"old rod:",A1142)</f>
        <v>35, 45, TENTACRUEL</v>
      </c>
      <c r="I1142" s="5" t="s">
        <v>3175</v>
      </c>
    </row>
    <row r="1143" customFormat="false" ht="12.75" hidden="false" customHeight="true" outlineLevel="0" collapsed="false">
      <c r="A1143" s="5" t="s">
        <v>3176</v>
      </c>
      <c r="B1143" s="7" t="n">
        <v>30</v>
      </c>
      <c r="C1143" s="7" t="n">
        <v>45</v>
      </c>
      <c r="D1143" s="7" t="s">
        <v>3860</v>
      </c>
      <c r="E1143" s="7"/>
      <c r="G1143" s="5" t="str">
        <f aca="false">IF(ISNUMBER(FIND("old rod:",A1143)),"old rod:",A1143)</f>
        <v>30, 45, LAPRAS</v>
      </c>
      <c r="I1143" s="5" t="s">
        <v>3176</v>
      </c>
    </row>
    <row r="1144" customFormat="false" ht="12.75" hidden="false" customHeight="true" outlineLevel="0" collapsed="false">
      <c r="A1144" s="5" t="s">
        <v>2925</v>
      </c>
      <c r="B1144" s="7" t="n">
        <v>20</v>
      </c>
      <c r="C1144" s="7" t="s">
        <v>3748</v>
      </c>
      <c r="D1144" s="7"/>
      <c r="E1144" s="7"/>
      <c r="G1144" s="5" t="str">
        <f aca="false">IF(ISNUMBER(FIND("old rod:",A1144)),"old rod:",A1144)</f>
        <v>old rod:</v>
      </c>
      <c r="I1144" s="5" t="s">
        <v>3749</v>
      </c>
    </row>
    <row r="1145" customFormat="false" ht="12.75" hidden="false" customHeight="true" outlineLevel="0" collapsed="false">
      <c r="A1145" s="5" t="s">
        <v>1266</v>
      </c>
      <c r="B1145" s="7" t="n">
        <v>5</v>
      </c>
      <c r="C1145" s="7" t="n">
        <v>5</v>
      </c>
      <c r="D1145" s="7" t="s">
        <v>3750</v>
      </c>
      <c r="E1145" s="7"/>
      <c r="G1145" s="5" t="str">
        <f aca="false">IF(ISNUMBER(FIND("old rod:",A1145)),"old rod:",A1145)</f>
        <v>5, 5, MAGIKARP</v>
      </c>
      <c r="I1145" s="5" t="s">
        <v>1266</v>
      </c>
    </row>
    <row r="1146" customFormat="false" ht="12.75" hidden="false" customHeight="true" outlineLevel="0" collapsed="false">
      <c r="A1146" s="5" t="s">
        <v>1266</v>
      </c>
      <c r="B1146" s="7" t="n">
        <v>5</v>
      </c>
      <c r="C1146" s="7" t="n">
        <v>5</v>
      </c>
      <c r="D1146" s="7" t="s">
        <v>3750</v>
      </c>
      <c r="E1146" s="7"/>
      <c r="G1146" s="5" t="str">
        <f aca="false">IF(ISNUMBER(FIND("old rod:",A1146)),"old rod:",A1146)</f>
        <v>5, 5, MAGIKARP</v>
      </c>
      <c r="I1146" s="5" t="s">
        <v>1266</v>
      </c>
    </row>
    <row r="1147" customFormat="false" ht="12.75" hidden="false" customHeight="true" outlineLevel="0" collapsed="false">
      <c r="A1147" s="5" t="s">
        <v>2846</v>
      </c>
      <c r="B1147" s="7" t="s">
        <v>2846</v>
      </c>
      <c r="C1147" s="7"/>
      <c r="D1147" s="7"/>
      <c r="E1147" s="7"/>
      <c r="G1147" s="5" t="str">
        <f aca="false">IF(ISNUMBER(FIND("old rod:",A1147)),"old rod:",A1147)</f>
        <v>good rod:</v>
      </c>
      <c r="I1147" s="5" t="s">
        <v>2846</v>
      </c>
    </row>
    <row r="1148" customFormat="false" ht="12.75" hidden="false" customHeight="true" outlineLevel="0" collapsed="false">
      <c r="A1148" s="5" t="s">
        <v>2847</v>
      </c>
      <c r="B1148" s="7" t="n">
        <v>5</v>
      </c>
      <c r="C1148" s="7" t="n">
        <v>15</v>
      </c>
      <c r="D1148" s="7" t="s">
        <v>3751</v>
      </c>
      <c r="E1148" s="7"/>
      <c r="G1148" s="5" t="str">
        <f aca="false">IF(ISNUMBER(FIND("old rod:",A1148)),"old rod:",A1148)</f>
        <v>5, 15, KRABBY</v>
      </c>
      <c r="I1148" s="5" t="s">
        <v>2847</v>
      </c>
    </row>
    <row r="1149" customFormat="false" ht="12.75" hidden="false" customHeight="true" outlineLevel="0" collapsed="false">
      <c r="A1149" s="5" t="s">
        <v>2848</v>
      </c>
      <c r="B1149" s="7" t="n">
        <v>5</v>
      </c>
      <c r="C1149" s="7" t="n">
        <v>15</v>
      </c>
      <c r="D1149" s="7" t="s">
        <v>3750</v>
      </c>
      <c r="E1149" s="7"/>
      <c r="G1149" s="5" t="str">
        <f aca="false">IF(ISNUMBER(FIND("old rod:",A1149)),"old rod:",A1149)</f>
        <v>5, 15, MAGIKARP</v>
      </c>
      <c r="I1149" s="5" t="s">
        <v>2848</v>
      </c>
    </row>
    <row r="1150" customFormat="false" ht="12.75" hidden="false" customHeight="true" outlineLevel="0" collapsed="false">
      <c r="A1150" s="5" t="s">
        <v>2847</v>
      </c>
      <c r="B1150" s="7" t="n">
        <v>5</v>
      </c>
      <c r="C1150" s="7" t="n">
        <v>15</v>
      </c>
      <c r="D1150" s="7" t="s">
        <v>3751</v>
      </c>
      <c r="E1150" s="7"/>
      <c r="G1150" s="5" t="str">
        <f aca="false">IF(ISNUMBER(FIND("old rod:",A1150)),"old rod:",A1150)</f>
        <v>5, 15, KRABBY</v>
      </c>
      <c r="I1150" s="5" t="s">
        <v>2847</v>
      </c>
    </row>
    <row r="1151" customFormat="false" ht="12.75" hidden="false" customHeight="true" outlineLevel="0" collapsed="false">
      <c r="A1151" s="5" t="s">
        <v>2850</v>
      </c>
      <c r="B1151" s="7" t="s">
        <v>2850</v>
      </c>
      <c r="C1151" s="7"/>
      <c r="D1151" s="7"/>
      <c r="E1151" s="7"/>
      <c r="G1151" s="5" t="str">
        <f aca="false">IF(ISNUMBER(FIND("old rod:",A1151)),"old rod:",A1151)</f>
        <v>super rod:</v>
      </c>
      <c r="I1151" s="5" t="s">
        <v>2850</v>
      </c>
    </row>
    <row r="1152" customFormat="false" ht="12.75" hidden="false" customHeight="true" outlineLevel="0" collapsed="false">
      <c r="A1152" s="5" t="s">
        <v>2851</v>
      </c>
      <c r="B1152" s="7" t="n">
        <v>15</v>
      </c>
      <c r="C1152" s="7" t="n">
        <v>25</v>
      </c>
      <c r="D1152" s="7" t="s">
        <v>3751</v>
      </c>
      <c r="E1152" s="7"/>
      <c r="G1152" s="5" t="str">
        <f aca="false">IF(ISNUMBER(FIND("old rod:",A1152)),"old rod:",A1152)</f>
        <v>15, 25, KRABBY</v>
      </c>
      <c r="I1152" s="5" t="s">
        <v>2851</v>
      </c>
    </row>
    <row r="1153" customFormat="false" ht="12.75" hidden="false" customHeight="true" outlineLevel="0" collapsed="false">
      <c r="A1153" s="5" t="s">
        <v>2852</v>
      </c>
      <c r="B1153" s="7" t="n">
        <v>15</v>
      </c>
      <c r="C1153" s="7" t="n">
        <v>25</v>
      </c>
      <c r="D1153" s="7" t="s">
        <v>3753</v>
      </c>
      <c r="E1153" s="7"/>
      <c r="G1153" s="5" t="str">
        <f aca="false">IF(ISNUMBER(FIND("old rod:",A1153)),"old rod:",A1153)</f>
        <v>15, 25, STARYU</v>
      </c>
      <c r="I1153" s="5" t="s">
        <v>2852</v>
      </c>
    </row>
    <row r="1154" customFormat="false" ht="12.75" hidden="false" customHeight="true" outlineLevel="0" collapsed="false">
      <c r="A1154" s="5" t="s">
        <v>2853</v>
      </c>
      <c r="B1154" s="7" t="n">
        <v>15</v>
      </c>
      <c r="C1154" s="7" t="n">
        <v>25</v>
      </c>
      <c r="D1154" s="7" t="s">
        <v>3754</v>
      </c>
      <c r="E1154" s="7"/>
      <c r="G1154" s="5" t="str">
        <f aca="false">IF(ISNUMBER(FIND("old rod:",A1154)),"old rod:",A1154)</f>
        <v>15, 25, GYARADOS</v>
      </c>
      <c r="I1154" s="5" t="s">
        <v>2853</v>
      </c>
    </row>
    <row r="1155" customFormat="false" ht="12.75" hidden="false" customHeight="true" outlineLevel="0" collapsed="false">
      <c r="A1155" s="5" t="s">
        <v>3177</v>
      </c>
      <c r="B1155" s="7" t="n">
        <v>25</v>
      </c>
      <c r="C1155" s="7" t="n">
        <v>35</v>
      </c>
      <c r="D1155" s="7" t="s">
        <v>3859</v>
      </c>
      <c r="E1155" s="7"/>
      <c r="G1155" s="5" t="str">
        <f aca="false">IF(ISNUMBER(FIND("old rod:",A1155)),"old rod:",A1155)</f>
        <v>25, 35, KINGLER</v>
      </c>
      <c r="I1155" s="5" t="s">
        <v>3177</v>
      </c>
    </row>
    <row r="1156" customFormat="false" ht="12.75" hidden="false" customHeight="true" outlineLevel="0" collapsed="false">
      <c r="A1156" s="5" t="s">
        <v>2855</v>
      </c>
      <c r="B1156" s="7" t="n">
        <v>25</v>
      </c>
      <c r="C1156" s="7" t="n">
        <v>35</v>
      </c>
      <c r="D1156" s="7" t="s">
        <v>3755</v>
      </c>
      <c r="E1156" s="7"/>
      <c r="G1156" s="5" t="str">
        <f aca="false">IF(ISNUMBER(FIND("old rod:",A1156)),"old rod:",A1156)</f>
        <v>25, 35, SLOWPOKE</v>
      </c>
      <c r="I1156" s="5" t="s">
        <v>2855</v>
      </c>
    </row>
    <row r="1157" customFormat="false" ht="12.75" hidden="false" customHeight="true" outlineLevel="0" collapsed="false">
      <c r="A1157" s="5" t="s">
        <v>2536</v>
      </c>
      <c r="B1157" s="7" t="s">
        <v>2536</v>
      </c>
      <c r="C1157" s="7"/>
      <c r="D1157" s="7"/>
      <c r="E1157" s="7"/>
      <c r="G1157" s="5" t="str">
        <f aca="false">IF(ISNUMBER(FIND("old rod:",A1157)),"old rod:",A1157)</f>
        <v>NEW ROUTE</v>
      </c>
      <c r="I1157" s="5" t="s">
        <v>2536</v>
      </c>
    </row>
    <row r="1158" customFormat="false" ht="12.75" hidden="false" customHeight="true" outlineLevel="0" collapsed="false">
      <c r="A1158" s="5" t="s">
        <v>255</v>
      </c>
      <c r="B1158" s="7" t="s">
        <v>255</v>
      </c>
      <c r="C1158" s="7"/>
      <c r="D1158" s="7"/>
      <c r="E1158" s="7"/>
      <c r="G1158" s="5" t="str">
        <f aca="false">IF(ISNUMBER(FIND("old rod:",A1158)),"old rod:",A1158)</f>
        <v>Six Island Pattern Bush</v>
      </c>
      <c r="I1158" s="5" t="s">
        <v>255</v>
      </c>
    </row>
    <row r="1159" customFormat="false" ht="12.75" hidden="false" customHeight="true" outlineLevel="0" collapsed="false">
      <c r="A1159" s="5" t="n">
        <v>0.2</v>
      </c>
      <c r="B1159" s="5" t="n">
        <v>0.2</v>
      </c>
      <c r="C1159" s="7"/>
      <c r="D1159" s="7"/>
      <c r="E1159" s="7"/>
      <c r="G1159" s="5" t="n">
        <f aca="false">IF(ISNUMBER(FIND("old rod:",A1159)),"old rod:",A1159)</f>
        <v>0.2</v>
      </c>
      <c r="I1159" s="5" t="n">
        <v>0.2</v>
      </c>
    </row>
    <row r="1160" customFormat="false" ht="12.75" hidden="false" customHeight="true" outlineLevel="0" collapsed="false">
      <c r="A1160" s="5" t="s">
        <v>1625</v>
      </c>
      <c r="B1160" s="7" t="n">
        <v>9</v>
      </c>
      <c r="C1160" s="7" t="n">
        <v>9</v>
      </c>
      <c r="D1160" s="7" t="s">
        <v>3898</v>
      </c>
      <c r="E1160" s="7"/>
      <c r="G1160" s="5" t="str">
        <f aca="false">IF(ISNUMBER(FIND("old rod:",A1160)),"old rod:",A1160)</f>
        <v>9, 9, LEDYBA</v>
      </c>
      <c r="I1160" s="5" t="s">
        <v>1625</v>
      </c>
    </row>
    <row r="1161" customFormat="false" ht="12.75" hidden="false" customHeight="true" outlineLevel="0" collapsed="false">
      <c r="A1161" s="5" t="s">
        <v>3179</v>
      </c>
      <c r="B1161" s="7" t="n">
        <v>9</v>
      </c>
      <c r="C1161" s="7" t="n">
        <v>9</v>
      </c>
      <c r="D1161" s="7" t="s">
        <v>3733</v>
      </c>
      <c r="E1161" s="7"/>
      <c r="G1161" s="5" t="str">
        <f aca="false">IF(ISNUMBER(FIND("old rod:",A1161)),"old rod:",A1161)</f>
        <v>9, 9, KAKUNA</v>
      </c>
      <c r="I1161" s="5" t="s">
        <v>3179</v>
      </c>
    </row>
    <row r="1162" customFormat="false" ht="12.75" hidden="false" customHeight="true" outlineLevel="0" collapsed="false">
      <c r="A1162" s="5" t="n">
        <v>0.1</v>
      </c>
      <c r="B1162" s="5" t="n">
        <v>0.1</v>
      </c>
      <c r="C1162" s="7"/>
      <c r="D1162" s="7"/>
      <c r="E1162" s="7"/>
      <c r="G1162" s="5" t="n">
        <f aca="false">IF(ISNUMBER(FIND("old rod:",A1162)),"old rod:",A1162)</f>
        <v>0.1</v>
      </c>
      <c r="I1162" s="5" t="n">
        <v>0.1</v>
      </c>
    </row>
    <row r="1163" customFormat="false" ht="12.75" hidden="false" customHeight="true" outlineLevel="0" collapsed="false">
      <c r="A1163" s="5" t="s">
        <v>3180</v>
      </c>
      <c r="B1163" s="7" t="n">
        <v>14</v>
      </c>
      <c r="C1163" s="7" t="n">
        <v>14</v>
      </c>
      <c r="D1163" s="7" t="s">
        <v>3898</v>
      </c>
      <c r="E1163" s="7"/>
      <c r="G1163" s="5" t="str">
        <f aca="false">IF(ISNUMBER(FIND("old rod:",A1163)),"old rod:",A1163)</f>
        <v>14, 14, LEDYBA</v>
      </c>
      <c r="I1163" s="5" t="s">
        <v>3180</v>
      </c>
    </row>
    <row r="1164" customFormat="false" ht="12.75" hidden="false" customHeight="true" outlineLevel="0" collapsed="false">
      <c r="A1164" s="5" t="s">
        <v>3181</v>
      </c>
      <c r="B1164" s="7" t="n">
        <v>6</v>
      </c>
      <c r="C1164" s="7" t="n">
        <v>6</v>
      </c>
      <c r="D1164" s="7" t="s">
        <v>3729</v>
      </c>
      <c r="E1164" s="7"/>
      <c r="G1164" s="5" t="str">
        <f aca="false">IF(ISNUMBER(FIND("old rod:",A1164)),"old rod:",A1164)</f>
        <v>6, 6, CATERPIE</v>
      </c>
      <c r="I1164" s="5" t="s">
        <v>3181</v>
      </c>
    </row>
    <row r="1165" customFormat="false" ht="12.75" hidden="false" customHeight="true" outlineLevel="0" collapsed="false">
      <c r="A1165" s="5" t="s">
        <v>3182</v>
      </c>
      <c r="B1165" s="7" t="n">
        <v>6</v>
      </c>
      <c r="C1165" s="7" t="n">
        <v>6</v>
      </c>
      <c r="D1165" s="7" t="s">
        <v>3730</v>
      </c>
      <c r="E1165" s="7"/>
      <c r="G1165" s="5" t="str">
        <f aca="false">IF(ISNUMBER(FIND("old rod:",A1165)),"old rod:",A1165)</f>
        <v>6, 6, WEEDLE</v>
      </c>
      <c r="I1165" s="5" t="s">
        <v>3182</v>
      </c>
    </row>
    <row r="1166" customFormat="false" ht="12.75" hidden="false" customHeight="true" outlineLevel="0" collapsed="false">
      <c r="A1166" s="5" t="s">
        <v>3183</v>
      </c>
      <c r="B1166" s="7" t="n">
        <v>15</v>
      </c>
      <c r="C1166" s="7" t="n">
        <v>15</v>
      </c>
      <c r="D1166" s="7" t="s">
        <v>3899</v>
      </c>
      <c r="E1166" s="7"/>
      <c r="G1166" s="5" t="str">
        <f aca="false">IF(ISNUMBER(FIND("old rod:",A1166)),"old rod:",A1166)</f>
        <v>15, 15, HERACROSS</v>
      </c>
      <c r="I1166" s="5" t="s">
        <v>3183</v>
      </c>
    </row>
    <row r="1167" customFormat="false" ht="12.75" hidden="false" customHeight="true" outlineLevel="0" collapsed="false">
      <c r="A1167" s="5" t="n">
        <v>0.05</v>
      </c>
      <c r="B1167" s="5" t="n">
        <v>0.05</v>
      </c>
      <c r="C1167" s="7"/>
      <c r="D1167" s="7"/>
      <c r="E1167" s="7"/>
      <c r="G1167" s="5" t="n">
        <f aca="false">IF(ISNUMBER(FIND("old rod:",A1167)),"old rod:",A1167)</f>
        <v>0.05</v>
      </c>
      <c r="I1167" s="5" t="n">
        <v>0.05</v>
      </c>
    </row>
    <row r="1168" customFormat="false" ht="12.75" hidden="false" customHeight="true" outlineLevel="0" collapsed="false">
      <c r="A1168" s="5" t="s">
        <v>3184</v>
      </c>
      <c r="B1168" s="7" t="n">
        <v>9</v>
      </c>
      <c r="C1168" s="7" t="n">
        <v>9</v>
      </c>
      <c r="D1168" s="7" t="s">
        <v>3732</v>
      </c>
      <c r="E1168" s="7"/>
      <c r="G1168" s="5" t="str">
        <f aca="false">IF(ISNUMBER(FIND("old rod:",A1168)),"old rod:",A1168)</f>
        <v>9, 9, METAPOD</v>
      </c>
      <c r="I1168" s="5" t="s">
        <v>3184</v>
      </c>
    </row>
    <row r="1169" customFormat="false" ht="12.75" hidden="false" customHeight="true" outlineLevel="0" collapsed="false">
      <c r="A1169" s="5" t="s">
        <v>3185</v>
      </c>
      <c r="B1169" s="7" t="n">
        <v>20</v>
      </c>
      <c r="C1169" s="7" t="n">
        <v>20</v>
      </c>
      <c r="D1169" s="7" t="s">
        <v>3899</v>
      </c>
      <c r="E1169" s="7"/>
      <c r="G1169" s="5" t="str">
        <f aca="false">IF(ISNUMBER(FIND("old rod:",A1169)),"old rod:",A1169)</f>
        <v>20, 20, HERACROSS</v>
      </c>
      <c r="I1169" s="5" t="s">
        <v>3185</v>
      </c>
    </row>
    <row r="1170" customFormat="false" ht="12.75" hidden="false" customHeight="true" outlineLevel="0" collapsed="false">
      <c r="A1170" s="5" t="n">
        <v>0.04</v>
      </c>
      <c r="B1170" s="5" t="n">
        <v>0.04</v>
      </c>
      <c r="C1170" s="7"/>
      <c r="D1170" s="7"/>
      <c r="E1170" s="7"/>
      <c r="G1170" s="5" t="n">
        <f aca="false">IF(ISNUMBER(FIND("old rod:",A1170)),"old rod:",A1170)</f>
        <v>0.04</v>
      </c>
      <c r="I1170" s="5" t="n">
        <v>0.04</v>
      </c>
    </row>
    <row r="1171" customFormat="false" ht="12.75" hidden="false" customHeight="true" outlineLevel="0" collapsed="false">
      <c r="A1171" s="5" t="s">
        <v>3186</v>
      </c>
      <c r="B1171" s="7" t="n">
        <v>9</v>
      </c>
      <c r="C1171" s="7" t="n">
        <v>9</v>
      </c>
      <c r="D1171" s="7" t="s">
        <v>3900</v>
      </c>
      <c r="E1171" s="7"/>
      <c r="G1171" s="5" t="str">
        <f aca="false">IF(ISNUMBER(FIND("old rod:",A1171)),"old rod:",A1171)</f>
        <v>9, 9, SPINARAK</v>
      </c>
      <c r="I1171" s="5" t="s">
        <v>3186</v>
      </c>
    </row>
    <row r="1172" customFormat="false" ht="12.75" hidden="false" customHeight="true" outlineLevel="0" collapsed="false">
      <c r="A1172" s="5" t="s">
        <v>3187</v>
      </c>
      <c r="B1172" s="7" t="n">
        <v>25</v>
      </c>
      <c r="C1172" s="7" t="n">
        <v>25</v>
      </c>
      <c r="D1172" s="7" t="s">
        <v>3899</v>
      </c>
      <c r="E1172" s="7"/>
      <c r="G1172" s="5" t="str">
        <f aca="false">IF(ISNUMBER(FIND("old rod:",A1172)),"old rod:",A1172)</f>
        <v>25, 25, HERACROSS</v>
      </c>
      <c r="I1172" s="5" t="s">
        <v>3187</v>
      </c>
    </row>
    <row r="1173" customFormat="false" ht="12.75" hidden="false" customHeight="true" outlineLevel="0" collapsed="false">
      <c r="A1173" s="5" t="n">
        <v>0.01</v>
      </c>
      <c r="B1173" s="5" t="n">
        <v>0.01</v>
      </c>
      <c r="C1173" s="7"/>
      <c r="D1173" s="7"/>
      <c r="E1173" s="7"/>
      <c r="G1173" s="5" t="n">
        <f aca="false">IF(ISNUMBER(FIND("old rod:",A1173)),"old rod:",A1173)</f>
        <v>0.01</v>
      </c>
      <c r="I1173" s="5" t="n">
        <v>0.01</v>
      </c>
    </row>
    <row r="1174" customFormat="false" ht="12.75" hidden="false" customHeight="true" outlineLevel="0" collapsed="false">
      <c r="A1174" s="5" t="s">
        <v>3188</v>
      </c>
      <c r="B1174" s="7" t="n">
        <v>14</v>
      </c>
      <c r="C1174" s="7" t="n">
        <v>14</v>
      </c>
      <c r="D1174" s="7" t="s">
        <v>3900</v>
      </c>
      <c r="E1174" s="7"/>
      <c r="G1174" s="5" t="str">
        <f aca="false">IF(ISNUMBER(FIND("old rod:",A1174)),"old rod:",A1174)</f>
        <v>14, 14, SPINARAK</v>
      </c>
      <c r="I1174" s="5" t="s">
        <v>3188</v>
      </c>
    </row>
    <row r="1175" customFormat="false" ht="12.75" hidden="false" customHeight="true" outlineLevel="0" collapsed="false">
      <c r="A1175" s="5" t="s">
        <v>3720</v>
      </c>
      <c r="B1175" s="7" t="n">
        <v>30</v>
      </c>
      <c r="C1175" s="7" t="n">
        <v>30</v>
      </c>
      <c r="D1175" s="7" t="s">
        <v>3899</v>
      </c>
      <c r="E1175" s="7"/>
      <c r="G1175" s="5" t="str">
        <f aca="false">IF(ISNUMBER(FIND("old rod:",A1175)),"old rod:",A1175)</f>
        <v>30, 30, HERACROSS</v>
      </c>
      <c r="I1175" s="5" t="s">
        <v>3720</v>
      </c>
    </row>
    <row r="1176" customFormat="false" ht="12.75" hidden="false" customHeight="true" outlineLevel="0" collapsed="false">
      <c r="A1176" s="5" t="s">
        <v>2536</v>
      </c>
      <c r="B1176" s="7" t="s">
        <v>2536</v>
      </c>
      <c r="C1176" s="7"/>
      <c r="D1176" s="7"/>
      <c r="E1176" s="7"/>
      <c r="G1176" s="5" t="str">
        <f aca="false">IF(ISNUMBER(FIND("old rod:",A1176)),"old rod:",A1176)</f>
        <v>NEW ROUTE</v>
      </c>
      <c r="I1176" s="5" t="s">
        <v>2536</v>
      </c>
    </row>
    <row r="1177" customFormat="false" ht="12.75" hidden="false" customHeight="true" outlineLevel="0" collapsed="false">
      <c r="A1177" s="5" t="s">
        <v>285</v>
      </c>
      <c r="B1177" s="7" t="s">
        <v>285</v>
      </c>
      <c r="C1177" s="7"/>
      <c r="D1177" s="7"/>
      <c r="E1177" s="7"/>
      <c r="G1177" s="5" t="str">
        <f aca="false">IF(ISNUMBER(FIND("old rod:",A1177)),"old rod:",A1177)</f>
        <v>Five Island Lost Cave Room 1</v>
      </c>
      <c r="I1177" s="5" t="s">
        <v>285</v>
      </c>
    </row>
    <row r="1178" customFormat="false" ht="12.75" hidden="false" customHeight="true" outlineLevel="0" collapsed="false">
      <c r="A1178" s="5" t="n">
        <v>0.2</v>
      </c>
      <c r="B1178" s="5" t="n">
        <v>0.2</v>
      </c>
      <c r="C1178" s="7"/>
      <c r="D1178" s="7"/>
      <c r="E1178" s="7"/>
      <c r="G1178" s="5" t="n">
        <f aca="false">IF(ISNUMBER(FIND("old rod:",A1178)),"old rod:",A1178)</f>
        <v>0.2</v>
      </c>
      <c r="I1178" s="5" t="n">
        <v>0.2</v>
      </c>
    </row>
    <row r="1179" customFormat="false" ht="12.75" hidden="false" customHeight="true" outlineLevel="0" collapsed="false">
      <c r="A1179" s="5" t="s">
        <v>1638</v>
      </c>
      <c r="B1179" s="7" t="n">
        <v>40</v>
      </c>
      <c r="C1179" s="7" t="n">
        <v>40</v>
      </c>
      <c r="D1179" s="7" t="s">
        <v>3863</v>
      </c>
      <c r="E1179" s="7"/>
      <c r="G1179" s="5" t="str">
        <f aca="false">IF(ISNUMBER(FIND("old rod:",A1179)),"old rod:",A1179)</f>
        <v>40, 40, GASTLY</v>
      </c>
      <c r="I1179" s="5" t="s">
        <v>1638</v>
      </c>
    </row>
    <row r="1180" customFormat="false" ht="12.75" hidden="false" customHeight="true" outlineLevel="0" collapsed="false">
      <c r="A1180" s="5" t="s">
        <v>3192</v>
      </c>
      <c r="B1180" s="7" t="n">
        <v>37</v>
      </c>
      <c r="C1180" s="7" t="n">
        <v>37</v>
      </c>
      <c r="D1180" s="7" t="s">
        <v>3739</v>
      </c>
      <c r="E1180" s="7"/>
      <c r="G1180" s="5" t="str">
        <f aca="false">IF(ISNUMBER(FIND("old rod:",A1180)),"old rod:",A1180)</f>
        <v>37, 37, ZUBAT</v>
      </c>
      <c r="I1180" s="5" t="s">
        <v>3192</v>
      </c>
    </row>
    <row r="1181" customFormat="false" ht="12.75" hidden="false" customHeight="true" outlineLevel="0" collapsed="false">
      <c r="A1181" s="5" t="n">
        <v>0.1</v>
      </c>
      <c r="B1181" s="5" t="n">
        <v>0.1</v>
      </c>
      <c r="C1181" s="7"/>
      <c r="D1181" s="7"/>
      <c r="E1181" s="7"/>
      <c r="G1181" s="5" t="n">
        <f aca="false">IF(ISNUMBER(FIND("old rod:",A1181)),"old rod:",A1181)</f>
        <v>0.1</v>
      </c>
      <c r="I1181" s="5" t="n">
        <v>0.1</v>
      </c>
    </row>
    <row r="1182" customFormat="false" ht="12.75" hidden="false" customHeight="true" outlineLevel="0" collapsed="false">
      <c r="A1182" s="5" t="s">
        <v>3193</v>
      </c>
      <c r="B1182" s="7" t="n">
        <v>44</v>
      </c>
      <c r="C1182" s="7" t="n">
        <v>44</v>
      </c>
      <c r="D1182" s="7" t="s">
        <v>3866</v>
      </c>
      <c r="E1182" s="7"/>
      <c r="G1182" s="5" t="str">
        <f aca="false">IF(ISNUMBER(FIND("old rod:",A1182)),"old rod:",A1182)</f>
        <v>44, 44, HAUNTER</v>
      </c>
      <c r="I1182" s="5" t="s">
        <v>3193</v>
      </c>
    </row>
    <row r="1183" customFormat="false" ht="12.75" hidden="false" customHeight="true" outlineLevel="0" collapsed="false">
      <c r="A1183" s="5" t="s">
        <v>3194</v>
      </c>
      <c r="B1183" s="7" t="n">
        <v>46</v>
      </c>
      <c r="C1183" s="7" t="n">
        <v>46</v>
      </c>
      <c r="D1183" s="7" t="s">
        <v>3866</v>
      </c>
      <c r="E1183" s="7"/>
      <c r="G1183" s="5" t="str">
        <f aca="false">IF(ISNUMBER(FIND("old rod:",A1183)),"old rod:",A1183)</f>
        <v>46, 46, HAUNTER</v>
      </c>
      <c r="I1183" s="5" t="s">
        <v>3194</v>
      </c>
    </row>
    <row r="1184" customFormat="false" ht="12.75" hidden="false" customHeight="true" outlineLevel="0" collapsed="false">
      <c r="A1184" s="5" t="s">
        <v>3195</v>
      </c>
      <c r="B1184" s="7" t="n">
        <v>41</v>
      </c>
      <c r="C1184" s="7" t="n">
        <v>41</v>
      </c>
      <c r="D1184" s="7" t="s">
        <v>3745</v>
      </c>
      <c r="E1184" s="7"/>
      <c r="G1184" s="5" t="str">
        <f aca="false">IF(ISNUMBER(FIND("old rod:",A1184)),"old rod:",A1184)</f>
        <v>41, 41, GOLBAT</v>
      </c>
      <c r="I1184" s="5" t="s">
        <v>3195</v>
      </c>
    </row>
    <row r="1185" customFormat="false" ht="12.75" hidden="false" customHeight="true" outlineLevel="0" collapsed="false">
      <c r="A1185" s="5" t="s">
        <v>3196</v>
      </c>
      <c r="B1185" s="7" t="n">
        <v>43</v>
      </c>
      <c r="C1185" s="7" t="n">
        <v>43</v>
      </c>
      <c r="D1185" s="7" t="s">
        <v>3745</v>
      </c>
      <c r="E1185" s="7"/>
      <c r="G1185" s="5" t="str">
        <f aca="false">IF(ISNUMBER(FIND("old rod:",A1185)),"old rod:",A1185)</f>
        <v>43, 43, GOLBAT</v>
      </c>
      <c r="I1185" s="5" t="s">
        <v>3196</v>
      </c>
    </row>
    <row r="1186" customFormat="false" ht="12.75" hidden="false" customHeight="true" outlineLevel="0" collapsed="false">
      <c r="A1186" s="5" t="n">
        <v>0.05</v>
      </c>
      <c r="B1186" s="5" t="n">
        <v>0.05</v>
      </c>
      <c r="C1186" s="7"/>
      <c r="D1186" s="7"/>
      <c r="E1186" s="7"/>
      <c r="G1186" s="5" t="n">
        <f aca="false">IF(ISNUMBER(FIND("old rod:",A1186)),"old rod:",A1186)</f>
        <v>0.05</v>
      </c>
      <c r="I1186" s="5" t="n">
        <v>0.05</v>
      </c>
    </row>
    <row r="1187" customFormat="false" ht="12.75" hidden="false" customHeight="true" outlineLevel="0" collapsed="false">
      <c r="A1187" s="5" t="s">
        <v>3197</v>
      </c>
      <c r="B1187" s="7" t="n">
        <v>38</v>
      </c>
      <c r="C1187" s="7" t="n">
        <v>38</v>
      </c>
      <c r="D1187" s="7" t="s">
        <v>3863</v>
      </c>
      <c r="E1187" s="7"/>
      <c r="G1187" s="5" t="str">
        <f aca="false">IF(ISNUMBER(FIND("old rod:",A1187)),"old rod:",A1187)</f>
        <v>38, 38, GASTLY</v>
      </c>
      <c r="I1187" s="5" t="s">
        <v>3197</v>
      </c>
    </row>
    <row r="1188" customFormat="false" ht="12.75" hidden="false" customHeight="true" outlineLevel="0" collapsed="false">
      <c r="A1188" s="5" t="s">
        <v>3198</v>
      </c>
      <c r="B1188" s="7" t="n">
        <v>48</v>
      </c>
      <c r="C1188" s="7" t="n">
        <v>48</v>
      </c>
      <c r="D1188" s="7" t="s">
        <v>3866</v>
      </c>
      <c r="E1188" s="7"/>
      <c r="G1188" s="5" t="str">
        <f aca="false">IF(ISNUMBER(FIND("old rod:",A1188)),"old rod:",A1188)</f>
        <v>48, 48, HAUNTER</v>
      </c>
      <c r="I1188" s="5" t="s">
        <v>3198</v>
      </c>
    </row>
    <row r="1189" customFormat="false" ht="12.75" hidden="false" customHeight="true" outlineLevel="0" collapsed="false">
      <c r="A1189" s="5" t="n">
        <v>0.04</v>
      </c>
      <c r="B1189" s="5" t="n">
        <v>0.04</v>
      </c>
      <c r="C1189" s="7"/>
      <c r="D1189" s="7"/>
      <c r="E1189" s="7"/>
      <c r="G1189" s="5" t="n">
        <f aca="false">IF(ISNUMBER(FIND("old rod:",A1189)),"old rod:",A1189)</f>
        <v>0.04</v>
      </c>
      <c r="I1189" s="5" t="n">
        <v>0.04</v>
      </c>
    </row>
    <row r="1190" customFormat="false" ht="12.75" hidden="false" customHeight="true" outlineLevel="0" collapsed="false">
      <c r="A1190" s="5" t="s">
        <v>3199</v>
      </c>
      <c r="B1190" s="7" t="n">
        <v>50</v>
      </c>
      <c r="C1190" s="7" t="n">
        <v>50</v>
      </c>
      <c r="D1190" s="7" t="s">
        <v>3866</v>
      </c>
      <c r="E1190" s="7"/>
      <c r="G1190" s="5" t="str">
        <f aca="false">IF(ISNUMBER(FIND("old rod:",A1190)),"old rod:",A1190)</f>
        <v>50, 50, HAUNTER</v>
      </c>
      <c r="I1190" s="5" t="s">
        <v>3199</v>
      </c>
    </row>
    <row r="1191" customFormat="false" ht="12.75" hidden="false" customHeight="true" outlineLevel="0" collapsed="false">
      <c r="A1191" s="5" t="s">
        <v>3200</v>
      </c>
      <c r="B1191" s="7" t="n">
        <v>22</v>
      </c>
      <c r="C1191" s="7" t="n">
        <v>22</v>
      </c>
      <c r="D1191" s="7" t="s">
        <v>3901</v>
      </c>
      <c r="E1191" s="7"/>
      <c r="G1191" s="5" t="str">
        <f aca="false">IF(ISNUMBER(FIND("old rod:",A1191)),"old rod:",A1191)</f>
        <v>22, 22, MISDREAVUS</v>
      </c>
      <c r="I1191" s="5" t="s">
        <v>3200</v>
      </c>
    </row>
    <row r="1192" customFormat="false" ht="12.75" hidden="false" customHeight="true" outlineLevel="0" collapsed="false">
      <c r="A1192" s="5" t="n">
        <v>0.01</v>
      </c>
      <c r="B1192" s="5" t="n">
        <v>0.01</v>
      </c>
      <c r="C1192" s="7"/>
      <c r="D1192" s="7"/>
      <c r="E1192" s="7"/>
      <c r="G1192" s="5" t="n">
        <f aca="false">IF(ISNUMBER(FIND("old rod:",A1192)),"old rod:",A1192)</f>
        <v>0.01</v>
      </c>
      <c r="I1192" s="5" t="n">
        <v>0.01</v>
      </c>
    </row>
    <row r="1193" customFormat="false" ht="12.75" hidden="false" customHeight="true" outlineLevel="0" collapsed="false">
      <c r="A1193" s="5" t="s">
        <v>3201</v>
      </c>
      <c r="B1193" s="7" t="n">
        <v>52</v>
      </c>
      <c r="C1193" s="7" t="n">
        <v>52</v>
      </c>
      <c r="D1193" s="7" t="s">
        <v>3866</v>
      </c>
      <c r="E1193" s="7"/>
      <c r="G1193" s="5" t="str">
        <f aca="false">IF(ISNUMBER(FIND("old rod:",A1193)),"old rod:",A1193)</f>
        <v>52, 52, HAUNTER</v>
      </c>
      <c r="I1193" s="5" t="s">
        <v>3201</v>
      </c>
    </row>
    <row r="1194" customFormat="false" ht="12.75" hidden="false" customHeight="true" outlineLevel="0" collapsed="false">
      <c r="A1194" s="5" t="s">
        <v>3200</v>
      </c>
      <c r="B1194" s="7" t="n">
        <v>22</v>
      </c>
      <c r="C1194" s="7" t="n">
        <v>22</v>
      </c>
      <c r="D1194" s="7" t="s">
        <v>3901</v>
      </c>
      <c r="E1194" s="7"/>
      <c r="G1194" s="5" t="str">
        <f aca="false">IF(ISNUMBER(FIND("old rod:",A1194)),"old rod:",A1194)</f>
        <v>22, 22, MISDREAVUS</v>
      </c>
      <c r="I1194" s="5" t="s">
        <v>3200</v>
      </c>
    </row>
    <row r="1195" customFormat="false" ht="12.75" hidden="false" customHeight="true" outlineLevel="0" collapsed="false">
      <c r="A1195" s="5" t="s">
        <v>2536</v>
      </c>
      <c r="B1195" s="7" t="s">
        <v>2536</v>
      </c>
      <c r="C1195" s="7"/>
      <c r="D1195" s="7"/>
      <c r="E1195" s="7"/>
      <c r="G1195" s="5" t="str">
        <f aca="false">IF(ISNUMBER(FIND("old rod:",A1195)),"old rod:",A1195)</f>
        <v>NEW ROUTE</v>
      </c>
      <c r="I1195" s="5" t="s">
        <v>2536</v>
      </c>
    </row>
    <row r="1196" customFormat="false" ht="12.75" hidden="false" customHeight="true" outlineLevel="0" collapsed="false">
      <c r="A1196" s="5" t="s">
        <v>287</v>
      </c>
      <c r="B1196" s="7" t="s">
        <v>287</v>
      </c>
      <c r="C1196" s="7"/>
      <c r="D1196" s="7"/>
      <c r="E1196" s="7"/>
      <c r="G1196" s="5" t="str">
        <f aca="false">IF(ISNUMBER(FIND("old rod:",A1196)),"old rod:",A1196)</f>
        <v>Five Island Lost Cave Room 2</v>
      </c>
      <c r="I1196" s="5" t="s">
        <v>287</v>
      </c>
    </row>
    <row r="1197" customFormat="false" ht="12.75" hidden="false" customHeight="true" outlineLevel="0" collapsed="false">
      <c r="A1197" s="5" t="n">
        <v>0.2</v>
      </c>
      <c r="B1197" s="5" t="n">
        <v>0.2</v>
      </c>
      <c r="C1197" s="7"/>
      <c r="D1197" s="7"/>
      <c r="E1197" s="7"/>
      <c r="G1197" s="5" t="n">
        <f aca="false">IF(ISNUMBER(FIND("old rod:",A1197)),"old rod:",A1197)</f>
        <v>0.2</v>
      </c>
      <c r="I1197" s="5" t="n">
        <v>0.2</v>
      </c>
    </row>
    <row r="1198" customFormat="false" ht="12.75" hidden="false" customHeight="true" outlineLevel="0" collapsed="false">
      <c r="A1198" s="5" t="s">
        <v>1638</v>
      </c>
      <c r="B1198" s="7" t="n">
        <v>40</v>
      </c>
      <c r="C1198" s="7" t="n">
        <v>40</v>
      </c>
      <c r="D1198" s="7" t="s">
        <v>3863</v>
      </c>
      <c r="E1198" s="7"/>
      <c r="G1198" s="5" t="str">
        <f aca="false">IF(ISNUMBER(FIND("old rod:",A1198)),"old rod:",A1198)</f>
        <v>40, 40, GASTLY</v>
      </c>
      <c r="I1198" s="5" t="s">
        <v>1638</v>
      </c>
    </row>
    <row r="1199" customFormat="false" ht="12.75" hidden="false" customHeight="true" outlineLevel="0" collapsed="false">
      <c r="A1199" s="5" t="s">
        <v>3192</v>
      </c>
      <c r="B1199" s="7" t="n">
        <v>37</v>
      </c>
      <c r="C1199" s="7" t="n">
        <v>37</v>
      </c>
      <c r="D1199" s="7" t="s">
        <v>3739</v>
      </c>
      <c r="E1199" s="7"/>
      <c r="G1199" s="5" t="str">
        <f aca="false">IF(ISNUMBER(FIND("old rod:",A1199)),"old rod:",A1199)</f>
        <v>37, 37, ZUBAT</v>
      </c>
      <c r="I1199" s="5" t="s">
        <v>3192</v>
      </c>
    </row>
    <row r="1200" customFormat="false" ht="12.75" hidden="false" customHeight="true" outlineLevel="0" collapsed="false">
      <c r="A1200" s="5" t="n">
        <v>0.1</v>
      </c>
      <c r="B1200" s="5" t="n">
        <v>0.1</v>
      </c>
      <c r="C1200" s="7"/>
      <c r="D1200" s="7"/>
      <c r="E1200" s="7"/>
      <c r="G1200" s="5" t="n">
        <f aca="false">IF(ISNUMBER(FIND("old rod:",A1200)),"old rod:",A1200)</f>
        <v>0.1</v>
      </c>
      <c r="I1200" s="5" t="n">
        <v>0.1</v>
      </c>
    </row>
    <row r="1201" customFormat="false" ht="12.75" hidden="false" customHeight="true" outlineLevel="0" collapsed="false">
      <c r="A1201" s="5" t="s">
        <v>3193</v>
      </c>
      <c r="B1201" s="7" t="n">
        <v>44</v>
      </c>
      <c r="C1201" s="7" t="n">
        <v>44</v>
      </c>
      <c r="D1201" s="7" t="s">
        <v>3866</v>
      </c>
      <c r="E1201" s="7"/>
      <c r="G1201" s="5" t="str">
        <f aca="false">IF(ISNUMBER(FIND("old rod:",A1201)),"old rod:",A1201)</f>
        <v>44, 44, HAUNTER</v>
      </c>
      <c r="I1201" s="5" t="s">
        <v>3193</v>
      </c>
    </row>
    <row r="1202" customFormat="false" ht="12.75" hidden="false" customHeight="true" outlineLevel="0" collapsed="false">
      <c r="A1202" s="5" t="s">
        <v>3194</v>
      </c>
      <c r="B1202" s="7" t="n">
        <v>46</v>
      </c>
      <c r="C1202" s="7" t="n">
        <v>46</v>
      </c>
      <c r="D1202" s="7" t="s">
        <v>3866</v>
      </c>
      <c r="E1202" s="7"/>
      <c r="G1202" s="5" t="str">
        <f aca="false">IF(ISNUMBER(FIND("old rod:",A1202)),"old rod:",A1202)</f>
        <v>46, 46, HAUNTER</v>
      </c>
      <c r="I1202" s="5" t="s">
        <v>3194</v>
      </c>
    </row>
    <row r="1203" customFormat="false" ht="12.75" hidden="false" customHeight="true" outlineLevel="0" collapsed="false">
      <c r="A1203" s="5" t="s">
        <v>3195</v>
      </c>
      <c r="B1203" s="7" t="n">
        <v>41</v>
      </c>
      <c r="C1203" s="7" t="n">
        <v>41</v>
      </c>
      <c r="D1203" s="7" t="s">
        <v>3745</v>
      </c>
      <c r="E1203" s="7"/>
      <c r="G1203" s="5" t="str">
        <f aca="false">IF(ISNUMBER(FIND("old rod:",A1203)),"old rod:",A1203)</f>
        <v>41, 41, GOLBAT</v>
      </c>
      <c r="I1203" s="5" t="s">
        <v>3195</v>
      </c>
    </row>
    <row r="1204" customFormat="false" ht="12.75" hidden="false" customHeight="true" outlineLevel="0" collapsed="false">
      <c r="A1204" s="5" t="s">
        <v>3196</v>
      </c>
      <c r="B1204" s="7" t="n">
        <v>43</v>
      </c>
      <c r="C1204" s="7" t="n">
        <v>43</v>
      </c>
      <c r="D1204" s="7" t="s">
        <v>3745</v>
      </c>
      <c r="E1204" s="7"/>
      <c r="G1204" s="5" t="str">
        <f aca="false">IF(ISNUMBER(FIND("old rod:",A1204)),"old rod:",A1204)</f>
        <v>43, 43, GOLBAT</v>
      </c>
      <c r="I1204" s="5" t="s">
        <v>3196</v>
      </c>
    </row>
    <row r="1205" customFormat="false" ht="12.75" hidden="false" customHeight="true" outlineLevel="0" collapsed="false">
      <c r="A1205" s="5" t="n">
        <v>0.05</v>
      </c>
      <c r="B1205" s="5" t="n">
        <v>0.05</v>
      </c>
      <c r="C1205" s="7"/>
      <c r="D1205" s="7"/>
      <c r="E1205" s="7"/>
      <c r="G1205" s="5" t="n">
        <f aca="false">IF(ISNUMBER(FIND("old rod:",A1205)),"old rod:",A1205)</f>
        <v>0.05</v>
      </c>
      <c r="I1205" s="5" t="n">
        <v>0.05</v>
      </c>
    </row>
    <row r="1206" customFormat="false" ht="12.75" hidden="false" customHeight="true" outlineLevel="0" collapsed="false">
      <c r="A1206" s="5" t="s">
        <v>3197</v>
      </c>
      <c r="B1206" s="7" t="n">
        <v>38</v>
      </c>
      <c r="C1206" s="7" t="n">
        <v>38</v>
      </c>
      <c r="D1206" s="7" t="s">
        <v>3863</v>
      </c>
      <c r="E1206" s="7"/>
      <c r="G1206" s="5" t="str">
        <f aca="false">IF(ISNUMBER(FIND("old rod:",A1206)),"old rod:",A1206)</f>
        <v>38, 38, GASTLY</v>
      </c>
      <c r="I1206" s="5" t="s">
        <v>3197</v>
      </c>
    </row>
    <row r="1207" customFormat="false" ht="12.75" hidden="false" customHeight="true" outlineLevel="0" collapsed="false">
      <c r="A1207" s="5" t="s">
        <v>3198</v>
      </c>
      <c r="B1207" s="7" t="n">
        <v>48</v>
      </c>
      <c r="C1207" s="7" t="n">
        <v>48</v>
      </c>
      <c r="D1207" s="7" t="s">
        <v>3866</v>
      </c>
      <c r="E1207" s="7"/>
      <c r="G1207" s="5" t="str">
        <f aca="false">IF(ISNUMBER(FIND("old rod:",A1207)),"old rod:",A1207)</f>
        <v>48, 48, HAUNTER</v>
      </c>
      <c r="I1207" s="5" t="s">
        <v>3198</v>
      </c>
    </row>
    <row r="1208" customFormat="false" ht="12.75" hidden="false" customHeight="true" outlineLevel="0" collapsed="false">
      <c r="A1208" s="5" t="n">
        <v>0.04</v>
      </c>
      <c r="B1208" s="5" t="n">
        <v>0.04</v>
      </c>
      <c r="C1208" s="7"/>
      <c r="D1208" s="7"/>
      <c r="E1208" s="7"/>
      <c r="G1208" s="5" t="n">
        <f aca="false">IF(ISNUMBER(FIND("old rod:",A1208)),"old rod:",A1208)</f>
        <v>0.04</v>
      </c>
      <c r="I1208" s="5" t="n">
        <v>0.04</v>
      </c>
    </row>
    <row r="1209" customFormat="false" ht="12.75" hidden="false" customHeight="true" outlineLevel="0" collapsed="false">
      <c r="A1209" s="5" t="s">
        <v>3199</v>
      </c>
      <c r="B1209" s="7" t="n">
        <v>50</v>
      </c>
      <c r="C1209" s="7" t="n">
        <v>50</v>
      </c>
      <c r="D1209" s="7" t="s">
        <v>3866</v>
      </c>
      <c r="E1209" s="7"/>
      <c r="G1209" s="5" t="str">
        <f aca="false">IF(ISNUMBER(FIND("old rod:",A1209)),"old rod:",A1209)</f>
        <v>50, 50, HAUNTER</v>
      </c>
      <c r="I1209" s="5" t="s">
        <v>3199</v>
      </c>
    </row>
    <row r="1210" customFormat="false" ht="12.75" hidden="false" customHeight="true" outlineLevel="0" collapsed="false">
      <c r="A1210" s="5" t="s">
        <v>3200</v>
      </c>
      <c r="B1210" s="7" t="n">
        <v>22</v>
      </c>
      <c r="C1210" s="7" t="n">
        <v>22</v>
      </c>
      <c r="D1210" s="7" t="s">
        <v>3901</v>
      </c>
      <c r="E1210" s="7"/>
      <c r="G1210" s="5" t="str">
        <f aca="false">IF(ISNUMBER(FIND("old rod:",A1210)),"old rod:",A1210)</f>
        <v>22, 22, MISDREAVUS</v>
      </c>
      <c r="I1210" s="5" t="s">
        <v>3200</v>
      </c>
    </row>
    <row r="1211" customFormat="false" ht="12.75" hidden="false" customHeight="true" outlineLevel="0" collapsed="false">
      <c r="A1211" s="5" t="n">
        <v>0.01</v>
      </c>
      <c r="B1211" s="5" t="n">
        <v>0.01</v>
      </c>
      <c r="C1211" s="7"/>
      <c r="D1211" s="7"/>
      <c r="E1211" s="7"/>
      <c r="G1211" s="5" t="n">
        <f aca="false">IF(ISNUMBER(FIND("old rod:",A1211)),"old rod:",A1211)</f>
        <v>0.01</v>
      </c>
      <c r="I1211" s="5" t="n">
        <v>0.01</v>
      </c>
    </row>
    <row r="1212" customFormat="false" ht="12.75" hidden="false" customHeight="true" outlineLevel="0" collapsed="false">
      <c r="A1212" s="5" t="s">
        <v>3201</v>
      </c>
      <c r="B1212" s="7" t="n">
        <v>52</v>
      </c>
      <c r="C1212" s="7" t="n">
        <v>52</v>
      </c>
      <c r="D1212" s="7" t="s">
        <v>3866</v>
      </c>
      <c r="E1212" s="7"/>
      <c r="G1212" s="5" t="str">
        <f aca="false">IF(ISNUMBER(FIND("old rod:",A1212)),"old rod:",A1212)</f>
        <v>52, 52, HAUNTER</v>
      </c>
      <c r="I1212" s="5" t="s">
        <v>3201</v>
      </c>
    </row>
    <row r="1213" customFormat="false" ht="12.75" hidden="false" customHeight="true" outlineLevel="0" collapsed="false">
      <c r="A1213" s="5" t="s">
        <v>3200</v>
      </c>
      <c r="B1213" s="7" t="n">
        <v>22</v>
      </c>
      <c r="C1213" s="7" t="n">
        <v>22</v>
      </c>
      <c r="D1213" s="7" t="s">
        <v>3901</v>
      </c>
      <c r="E1213" s="7"/>
      <c r="G1213" s="5" t="str">
        <f aca="false">IF(ISNUMBER(FIND("old rod:",A1213)),"old rod:",A1213)</f>
        <v>22, 22, MISDREAVUS</v>
      </c>
      <c r="I1213" s="5" t="s">
        <v>3200</v>
      </c>
    </row>
    <row r="1214" customFormat="false" ht="12.75" hidden="false" customHeight="true" outlineLevel="0" collapsed="false">
      <c r="A1214" s="5" t="s">
        <v>2536</v>
      </c>
      <c r="B1214" s="7" t="s">
        <v>2536</v>
      </c>
      <c r="C1214" s="7"/>
      <c r="D1214" s="7"/>
      <c r="E1214" s="7"/>
      <c r="G1214" s="5" t="str">
        <f aca="false">IF(ISNUMBER(FIND("old rod:",A1214)),"old rod:",A1214)</f>
        <v>NEW ROUTE</v>
      </c>
      <c r="I1214" s="5" t="s">
        <v>2536</v>
      </c>
    </row>
    <row r="1215" customFormat="false" ht="12.75" hidden="false" customHeight="true" outlineLevel="0" collapsed="false">
      <c r="A1215" s="5" t="s">
        <v>289</v>
      </c>
      <c r="B1215" s="7" t="s">
        <v>289</v>
      </c>
      <c r="C1215" s="7"/>
      <c r="D1215" s="7"/>
      <c r="E1215" s="7"/>
      <c r="G1215" s="5" t="str">
        <f aca="false">IF(ISNUMBER(FIND("old rod:",A1215)),"old rod:",A1215)</f>
        <v>Five Island Lost Cave Room 3</v>
      </c>
      <c r="I1215" s="5" t="s">
        <v>289</v>
      </c>
    </row>
    <row r="1216" customFormat="false" ht="12.75" hidden="false" customHeight="true" outlineLevel="0" collapsed="false">
      <c r="A1216" s="5" t="n">
        <v>0.2</v>
      </c>
      <c r="B1216" s="5" t="n">
        <v>0.2</v>
      </c>
      <c r="C1216" s="7"/>
      <c r="D1216" s="7"/>
      <c r="E1216" s="7"/>
      <c r="G1216" s="5" t="n">
        <f aca="false">IF(ISNUMBER(FIND("old rod:",A1216)),"old rod:",A1216)</f>
        <v>0.2</v>
      </c>
      <c r="I1216" s="5" t="n">
        <v>0.2</v>
      </c>
    </row>
    <row r="1217" customFormat="false" ht="12.75" hidden="false" customHeight="true" outlineLevel="0" collapsed="false">
      <c r="A1217" s="5" t="s">
        <v>1638</v>
      </c>
      <c r="B1217" s="7" t="n">
        <v>40</v>
      </c>
      <c r="C1217" s="7" t="n">
        <v>40</v>
      </c>
      <c r="D1217" s="7" t="s">
        <v>3863</v>
      </c>
      <c r="E1217" s="7"/>
      <c r="G1217" s="5" t="str">
        <f aca="false">IF(ISNUMBER(FIND("old rod:",A1217)),"old rod:",A1217)</f>
        <v>40, 40, GASTLY</v>
      </c>
      <c r="I1217" s="5" t="s">
        <v>1638</v>
      </c>
    </row>
    <row r="1218" customFormat="false" ht="12.75" hidden="false" customHeight="true" outlineLevel="0" collapsed="false">
      <c r="A1218" s="5" t="s">
        <v>3192</v>
      </c>
      <c r="B1218" s="7" t="n">
        <v>37</v>
      </c>
      <c r="C1218" s="7" t="n">
        <v>37</v>
      </c>
      <c r="D1218" s="7" t="s">
        <v>3739</v>
      </c>
      <c r="E1218" s="7"/>
      <c r="G1218" s="5" t="str">
        <f aca="false">IF(ISNUMBER(FIND("old rod:",A1218)),"old rod:",A1218)</f>
        <v>37, 37, ZUBAT</v>
      </c>
      <c r="I1218" s="5" t="s">
        <v>3192</v>
      </c>
    </row>
    <row r="1219" customFormat="false" ht="12.75" hidden="false" customHeight="true" outlineLevel="0" collapsed="false">
      <c r="A1219" s="5" t="n">
        <v>0.1</v>
      </c>
      <c r="B1219" s="5" t="n">
        <v>0.1</v>
      </c>
      <c r="C1219" s="7"/>
      <c r="D1219" s="7"/>
      <c r="E1219" s="7"/>
      <c r="G1219" s="5" t="n">
        <f aca="false">IF(ISNUMBER(FIND("old rod:",A1219)),"old rod:",A1219)</f>
        <v>0.1</v>
      </c>
      <c r="I1219" s="5" t="n">
        <v>0.1</v>
      </c>
    </row>
    <row r="1220" customFormat="false" ht="12.75" hidden="false" customHeight="true" outlineLevel="0" collapsed="false">
      <c r="A1220" s="5" t="s">
        <v>3193</v>
      </c>
      <c r="B1220" s="7" t="n">
        <v>44</v>
      </c>
      <c r="C1220" s="7" t="n">
        <v>44</v>
      </c>
      <c r="D1220" s="7" t="s">
        <v>3866</v>
      </c>
      <c r="E1220" s="7"/>
      <c r="G1220" s="5" t="str">
        <f aca="false">IF(ISNUMBER(FIND("old rod:",A1220)),"old rod:",A1220)</f>
        <v>44, 44, HAUNTER</v>
      </c>
      <c r="I1220" s="5" t="s">
        <v>3193</v>
      </c>
    </row>
    <row r="1221" customFormat="false" ht="12.75" hidden="false" customHeight="true" outlineLevel="0" collapsed="false">
      <c r="A1221" s="5" t="s">
        <v>3194</v>
      </c>
      <c r="B1221" s="7" t="n">
        <v>46</v>
      </c>
      <c r="C1221" s="7" t="n">
        <v>46</v>
      </c>
      <c r="D1221" s="7" t="s">
        <v>3866</v>
      </c>
      <c r="E1221" s="7"/>
      <c r="G1221" s="5" t="str">
        <f aca="false">IF(ISNUMBER(FIND("old rod:",A1221)),"old rod:",A1221)</f>
        <v>46, 46, HAUNTER</v>
      </c>
      <c r="I1221" s="5" t="s">
        <v>3194</v>
      </c>
    </row>
    <row r="1222" customFormat="false" ht="12.75" hidden="false" customHeight="true" outlineLevel="0" collapsed="false">
      <c r="A1222" s="5" t="s">
        <v>3195</v>
      </c>
      <c r="B1222" s="7" t="n">
        <v>41</v>
      </c>
      <c r="C1222" s="7" t="n">
        <v>41</v>
      </c>
      <c r="D1222" s="7" t="s">
        <v>3745</v>
      </c>
      <c r="E1222" s="7"/>
      <c r="G1222" s="5" t="str">
        <f aca="false">IF(ISNUMBER(FIND("old rod:",A1222)),"old rod:",A1222)</f>
        <v>41, 41, GOLBAT</v>
      </c>
      <c r="I1222" s="5" t="s">
        <v>3195</v>
      </c>
    </row>
    <row r="1223" customFormat="false" ht="12.75" hidden="false" customHeight="true" outlineLevel="0" collapsed="false">
      <c r="A1223" s="5" t="s">
        <v>3196</v>
      </c>
      <c r="B1223" s="7" t="n">
        <v>43</v>
      </c>
      <c r="C1223" s="7" t="n">
        <v>43</v>
      </c>
      <c r="D1223" s="7" t="s">
        <v>3745</v>
      </c>
      <c r="E1223" s="7"/>
      <c r="G1223" s="5" t="str">
        <f aca="false">IF(ISNUMBER(FIND("old rod:",A1223)),"old rod:",A1223)</f>
        <v>43, 43, GOLBAT</v>
      </c>
      <c r="I1223" s="5" t="s">
        <v>3196</v>
      </c>
    </row>
    <row r="1224" customFormat="false" ht="12.75" hidden="false" customHeight="true" outlineLevel="0" collapsed="false">
      <c r="A1224" s="5" t="n">
        <v>0.05</v>
      </c>
      <c r="B1224" s="5" t="n">
        <v>0.05</v>
      </c>
      <c r="C1224" s="7"/>
      <c r="D1224" s="7"/>
      <c r="E1224" s="7"/>
      <c r="G1224" s="5" t="n">
        <f aca="false">IF(ISNUMBER(FIND("old rod:",A1224)),"old rod:",A1224)</f>
        <v>0.05</v>
      </c>
      <c r="I1224" s="5" t="n">
        <v>0.05</v>
      </c>
    </row>
    <row r="1225" customFormat="false" ht="12.75" hidden="false" customHeight="true" outlineLevel="0" collapsed="false">
      <c r="A1225" s="5" t="s">
        <v>3197</v>
      </c>
      <c r="B1225" s="7" t="n">
        <v>38</v>
      </c>
      <c r="C1225" s="7" t="n">
        <v>38</v>
      </c>
      <c r="D1225" s="7" t="s">
        <v>3863</v>
      </c>
      <c r="E1225" s="7"/>
      <c r="G1225" s="5" t="str">
        <f aca="false">IF(ISNUMBER(FIND("old rod:",A1225)),"old rod:",A1225)</f>
        <v>38, 38, GASTLY</v>
      </c>
      <c r="I1225" s="5" t="s">
        <v>3197</v>
      </c>
    </row>
    <row r="1226" customFormat="false" ht="12.75" hidden="false" customHeight="true" outlineLevel="0" collapsed="false">
      <c r="A1226" s="5" t="s">
        <v>3198</v>
      </c>
      <c r="B1226" s="7" t="n">
        <v>48</v>
      </c>
      <c r="C1226" s="7" t="n">
        <v>48</v>
      </c>
      <c r="D1226" s="7" t="s">
        <v>3866</v>
      </c>
      <c r="E1226" s="7"/>
      <c r="G1226" s="5" t="str">
        <f aca="false">IF(ISNUMBER(FIND("old rod:",A1226)),"old rod:",A1226)</f>
        <v>48, 48, HAUNTER</v>
      </c>
      <c r="I1226" s="5" t="s">
        <v>3198</v>
      </c>
    </row>
    <row r="1227" customFormat="false" ht="12.75" hidden="false" customHeight="true" outlineLevel="0" collapsed="false">
      <c r="A1227" s="5" t="n">
        <v>0.04</v>
      </c>
      <c r="B1227" s="5" t="n">
        <v>0.04</v>
      </c>
      <c r="C1227" s="7"/>
      <c r="D1227" s="7"/>
      <c r="E1227" s="7"/>
      <c r="G1227" s="5" t="n">
        <f aca="false">IF(ISNUMBER(FIND("old rod:",A1227)),"old rod:",A1227)</f>
        <v>0.04</v>
      </c>
      <c r="I1227" s="5" t="n">
        <v>0.04</v>
      </c>
    </row>
    <row r="1228" customFormat="false" ht="12.75" hidden="false" customHeight="true" outlineLevel="0" collapsed="false">
      <c r="A1228" s="5" t="s">
        <v>3199</v>
      </c>
      <c r="B1228" s="7" t="n">
        <v>50</v>
      </c>
      <c r="C1228" s="7" t="n">
        <v>50</v>
      </c>
      <c r="D1228" s="7" t="s">
        <v>3866</v>
      </c>
      <c r="E1228" s="7"/>
      <c r="G1228" s="5" t="str">
        <f aca="false">IF(ISNUMBER(FIND("old rod:",A1228)),"old rod:",A1228)</f>
        <v>50, 50, HAUNTER</v>
      </c>
      <c r="I1228" s="5" t="s">
        <v>3199</v>
      </c>
    </row>
    <row r="1229" customFormat="false" ht="12.75" hidden="false" customHeight="true" outlineLevel="0" collapsed="false">
      <c r="A1229" s="5" t="s">
        <v>3200</v>
      </c>
      <c r="B1229" s="7" t="n">
        <v>22</v>
      </c>
      <c r="C1229" s="7" t="n">
        <v>22</v>
      </c>
      <c r="D1229" s="7" t="s">
        <v>3901</v>
      </c>
      <c r="E1229" s="7"/>
      <c r="G1229" s="5" t="str">
        <f aca="false">IF(ISNUMBER(FIND("old rod:",A1229)),"old rod:",A1229)</f>
        <v>22, 22, MISDREAVUS</v>
      </c>
      <c r="I1229" s="5" t="s">
        <v>3200</v>
      </c>
    </row>
    <row r="1230" customFormat="false" ht="12.75" hidden="false" customHeight="true" outlineLevel="0" collapsed="false">
      <c r="A1230" s="5" t="n">
        <v>0.01</v>
      </c>
      <c r="B1230" s="5" t="n">
        <v>0.01</v>
      </c>
      <c r="C1230" s="7"/>
      <c r="D1230" s="7"/>
      <c r="E1230" s="7"/>
      <c r="G1230" s="5" t="n">
        <f aca="false">IF(ISNUMBER(FIND("old rod:",A1230)),"old rod:",A1230)</f>
        <v>0.01</v>
      </c>
      <c r="I1230" s="5" t="n">
        <v>0.01</v>
      </c>
    </row>
    <row r="1231" customFormat="false" ht="12.75" hidden="false" customHeight="true" outlineLevel="0" collapsed="false">
      <c r="A1231" s="5" t="s">
        <v>3201</v>
      </c>
      <c r="B1231" s="7" t="n">
        <v>52</v>
      </c>
      <c r="C1231" s="7" t="n">
        <v>52</v>
      </c>
      <c r="D1231" s="7" t="s">
        <v>3866</v>
      </c>
      <c r="E1231" s="7"/>
      <c r="G1231" s="5" t="str">
        <f aca="false">IF(ISNUMBER(FIND("old rod:",A1231)),"old rod:",A1231)</f>
        <v>52, 52, HAUNTER</v>
      </c>
      <c r="I1231" s="5" t="s">
        <v>3201</v>
      </c>
    </row>
    <row r="1232" customFormat="false" ht="12.75" hidden="false" customHeight="true" outlineLevel="0" collapsed="false">
      <c r="A1232" s="5" t="s">
        <v>3200</v>
      </c>
      <c r="B1232" s="7" t="n">
        <v>22</v>
      </c>
      <c r="C1232" s="7" t="n">
        <v>22</v>
      </c>
      <c r="D1232" s="7" t="s">
        <v>3901</v>
      </c>
      <c r="E1232" s="7"/>
      <c r="G1232" s="5" t="str">
        <f aca="false">IF(ISNUMBER(FIND("old rod:",A1232)),"old rod:",A1232)</f>
        <v>22, 22, MISDREAVUS</v>
      </c>
      <c r="I1232" s="5" t="s">
        <v>3200</v>
      </c>
    </row>
    <row r="1233" customFormat="false" ht="12.75" hidden="false" customHeight="true" outlineLevel="0" collapsed="false">
      <c r="A1233" s="5" t="s">
        <v>2536</v>
      </c>
      <c r="B1233" s="7" t="s">
        <v>2536</v>
      </c>
      <c r="C1233" s="7"/>
      <c r="D1233" s="7"/>
      <c r="E1233" s="7"/>
      <c r="G1233" s="5" t="str">
        <f aca="false">IF(ISNUMBER(FIND("old rod:",A1233)),"old rod:",A1233)</f>
        <v>NEW ROUTE</v>
      </c>
      <c r="I1233" s="5" t="s">
        <v>2536</v>
      </c>
    </row>
    <row r="1234" customFormat="false" ht="12.75" hidden="false" customHeight="true" outlineLevel="0" collapsed="false">
      <c r="A1234" s="5" t="s">
        <v>291</v>
      </c>
      <c r="B1234" s="7" t="s">
        <v>291</v>
      </c>
      <c r="C1234" s="7"/>
      <c r="D1234" s="7"/>
      <c r="E1234" s="7"/>
      <c r="G1234" s="5" t="str">
        <f aca="false">IF(ISNUMBER(FIND("old rod:",A1234)),"old rod:",A1234)</f>
        <v>Five Island Lost Cave Room 4</v>
      </c>
      <c r="I1234" s="5" t="s">
        <v>291</v>
      </c>
    </row>
    <row r="1235" customFormat="false" ht="12.75" hidden="false" customHeight="true" outlineLevel="0" collapsed="false">
      <c r="A1235" s="5" t="n">
        <v>0.2</v>
      </c>
      <c r="B1235" s="5" t="n">
        <v>0.2</v>
      </c>
      <c r="C1235" s="7"/>
      <c r="D1235" s="7"/>
      <c r="E1235" s="7"/>
      <c r="G1235" s="5" t="n">
        <f aca="false">IF(ISNUMBER(FIND("old rod:",A1235)),"old rod:",A1235)</f>
        <v>0.2</v>
      </c>
      <c r="I1235" s="5" t="n">
        <v>0.2</v>
      </c>
    </row>
    <row r="1236" customFormat="false" ht="12.75" hidden="false" customHeight="true" outlineLevel="0" collapsed="false">
      <c r="A1236" s="5" t="s">
        <v>1638</v>
      </c>
      <c r="B1236" s="7" t="n">
        <v>40</v>
      </c>
      <c r="C1236" s="7" t="n">
        <v>40</v>
      </c>
      <c r="D1236" s="7" t="s">
        <v>3863</v>
      </c>
      <c r="E1236" s="7"/>
      <c r="G1236" s="5" t="str">
        <f aca="false">IF(ISNUMBER(FIND("old rod:",A1236)),"old rod:",A1236)</f>
        <v>40, 40, GASTLY</v>
      </c>
      <c r="I1236" s="5" t="s">
        <v>1638</v>
      </c>
    </row>
    <row r="1237" customFormat="false" ht="12.75" hidden="false" customHeight="true" outlineLevel="0" collapsed="false">
      <c r="A1237" s="5" t="s">
        <v>3192</v>
      </c>
      <c r="B1237" s="7" t="n">
        <v>37</v>
      </c>
      <c r="C1237" s="7" t="n">
        <v>37</v>
      </c>
      <c r="D1237" s="7" t="s">
        <v>3739</v>
      </c>
      <c r="E1237" s="7"/>
      <c r="G1237" s="5" t="str">
        <f aca="false">IF(ISNUMBER(FIND("old rod:",A1237)),"old rod:",A1237)</f>
        <v>37, 37, ZUBAT</v>
      </c>
      <c r="I1237" s="5" t="s">
        <v>3192</v>
      </c>
    </row>
    <row r="1238" customFormat="false" ht="12.75" hidden="false" customHeight="true" outlineLevel="0" collapsed="false">
      <c r="A1238" s="5" t="n">
        <v>0.1</v>
      </c>
      <c r="B1238" s="5" t="n">
        <v>0.1</v>
      </c>
      <c r="C1238" s="7"/>
      <c r="D1238" s="7"/>
      <c r="E1238" s="7"/>
      <c r="G1238" s="5" t="n">
        <f aca="false">IF(ISNUMBER(FIND("old rod:",A1238)),"old rod:",A1238)</f>
        <v>0.1</v>
      </c>
      <c r="I1238" s="5" t="n">
        <v>0.1</v>
      </c>
    </row>
    <row r="1239" customFormat="false" ht="12.75" hidden="false" customHeight="true" outlineLevel="0" collapsed="false">
      <c r="A1239" s="5" t="s">
        <v>3193</v>
      </c>
      <c r="B1239" s="7" t="n">
        <v>44</v>
      </c>
      <c r="C1239" s="7" t="n">
        <v>44</v>
      </c>
      <c r="D1239" s="7" t="s">
        <v>3866</v>
      </c>
      <c r="E1239" s="7"/>
      <c r="G1239" s="5" t="str">
        <f aca="false">IF(ISNUMBER(FIND("old rod:",A1239)),"old rod:",A1239)</f>
        <v>44, 44, HAUNTER</v>
      </c>
      <c r="I1239" s="5" t="s">
        <v>3193</v>
      </c>
    </row>
    <row r="1240" customFormat="false" ht="12.75" hidden="false" customHeight="true" outlineLevel="0" collapsed="false">
      <c r="A1240" s="5" t="s">
        <v>3194</v>
      </c>
      <c r="B1240" s="7" t="n">
        <v>46</v>
      </c>
      <c r="C1240" s="7" t="n">
        <v>46</v>
      </c>
      <c r="D1240" s="7" t="s">
        <v>3866</v>
      </c>
      <c r="E1240" s="7"/>
      <c r="G1240" s="5" t="str">
        <f aca="false">IF(ISNUMBER(FIND("old rod:",A1240)),"old rod:",A1240)</f>
        <v>46, 46, HAUNTER</v>
      </c>
      <c r="I1240" s="5" t="s">
        <v>3194</v>
      </c>
    </row>
    <row r="1241" customFormat="false" ht="12.75" hidden="false" customHeight="true" outlineLevel="0" collapsed="false">
      <c r="A1241" s="5" t="s">
        <v>3195</v>
      </c>
      <c r="B1241" s="7" t="n">
        <v>41</v>
      </c>
      <c r="C1241" s="7" t="n">
        <v>41</v>
      </c>
      <c r="D1241" s="7" t="s">
        <v>3745</v>
      </c>
      <c r="E1241" s="7"/>
      <c r="G1241" s="5" t="str">
        <f aca="false">IF(ISNUMBER(FIND("old rod:",A1241)),"old rod:",A1241)</f>
        <v>41, 41, GOLBAT</v>
      </c>
      <c r="I1241" s="5" t="s">
        <v>3195</v>
      </c>
    </row>
    <row r="1242" customFormat="false" ht="12.75" hidden="false" customHeight="true" outlineLevel="0" collapsed="false">
      <c r="A1242" s="5" t="s">
        <v>3196</v>
      </c>
      <c r="B1242" s="7" t="n">
        <v>43</v>
      </c>
      <c r="C1242" s="7" t="n">
        <v>43</v>
      </c>
      <c r="D1242" s="7" t="s">
        <v>3745</v>
      </c>
      <c r="E1242" s="7"/>
      <c r="G1242" s="5" t="str">
        <f aca="false">IF(ISNUMBER(FIND("old rod:",A1242)),"old rod:",A1242)</f>
        <v>43, 43, GOLBAT</v>
      </c>
      <c r="I1242" s="5" t="s">
        <v>3196</v>
      </c>
    </row>
    <row r="1243" customFormat="false" ht="12.75" hidden="false" customHeight="true" outlineLevel="0" collapsed="false">
      <c r="A1243" s="5" t="n">
        <v>0.05</v>
      </c>
      <c r="B1243" s="5" t="n">
        <v>0.05</v>
      </c>
      <c r="C1243" s="7"/>
      <c r="D1243" s="7"/>
      <c r="E1243" s="7"/>
      <c r="G1243" s="5" t="n">
        <f aca="false">IF(ISNUMBER(FIND("old rod:",A1243)),"old rod:",A1243)</f>
        <v>0.05</v>
      </c>
      <c r="I1243" s="5" t="n">
        <v>0.05</v>
      </c>
    </row>
    <row r="1244" customFormat="false" ht="12.75" hidden="false" customHeight="true" outlineLevel="0" collapsed="false">
      <c r="A1244" s="5" t="s">
        <v>3197</v>
      </c>
      <c r="B1244" s="7" t="n">
        <v>38</v>
      </c>
      <c r="C1244" s="7" t="n">
        <v>38</v>
      </c>
      <c r="D1244" s="7" t="s">
        <v>3863</v>
      </c>
      <c r="E1244" s="7"/>
      <c r="G1244" s="5" t="str">
        <f aca="false">IF(ISNUMBER(FIND("old rod:",A1244)),"old rod:",A1244)</f>
        <v>38, 38, GASTLY</v>
      </c>
      <c r="I1244" s="5" t="s">
        <v>3197</v>
      </c>
    </row>
    <row r="1245" customFormat="false" ht="12.75" hidden="false" customHeight="true" outlineLevel="0" collapsed="false">
      <c r="A1245" s="5" t="s">
        <v>3198</v>
      </c>
      <c r="B1245" s="7" t="n">
        <v>48</v>
      </c>
      <c r="C1245" s="7" t="n">
        <v>48</v>
      </c>
      <c r="D1245" s="7" t="s">
        <v>3866</v>
      </c>
      <c r="E1245" s="7"/>
      <c r="G1245" s="5" t="str">
        <f aca="false">IF(ISNUMBER(FIND("old rod:",A1245)),"old rod:",A1245)</f>
        <v>48, 48, HAUNTER</v>
      </c>
      <c r="I1245" s="5" t="s">
        <v>3198</v>
      </c>
    </row>
    <row r="1246" customFormat="false" ht="12.75" hidden="false" customHeight="true" outlineLevel="0" collapsed="false">
      <c r="A1246" s="5" t="n">
        <v>0.04</v>
      </c>
      <c r="B1246" s="5" t="n">
        <v>0.04</v>
      </c>
      <c r="C1246" s="7"/>
      <c r="D1246" s="7"/>
      <c r="E1246" s="7"/>
      <c r="G1246" s="5" t="n">
        <f aca="false">IF(ISNUMBER(FIND("old rod:",A1246)),"old rod:",A1246)</f>
        <v>0.04</v>
      </c>
      <c r="I1246" s="5" t="n">
        <v>0.04</v>
      </c>
    </row>
    <row r="1247" customFormat="false" ht="12.75" hidden="false" customHeight="true" outlineLevel="0" collapsed="false">
      <c r="A1247" s="5" t="s">
        <v>3199</v>
      </c>
      <c r="B1247" s="7" t="n">
        <v>50</v>
      </c>
      <c r="C1247" s="7" t="n">
        <v>50</v>
      </c>
      <c r="D1247" s="7" t="s">
        <v>3866</v>
      </c>
      <c r="E1247" s="7"/>
      <c r="G1247" s="5" t="str">
        <f aca="false">IF(ISNUMBER(FIND("old rod:",A1247)),"old rod:",A1247)</f>
        <v>50, 50, HAUNTER</v>
      </c>
      <c r="I1247" s="5" t="s">
        <v>3199</v>
      </c>
    </row>
    <row r="1248" customFormat="false" ht="12.75" hidden="false" customHeight="true" outlineLevel="0" collapsed="false">
      <c r="A1248" s="5" t="s">
        <v>3200</v>
      </c>
      <c r="B1248" s="7" t="n">
        <v>22</v>
      </c>
      <c r="C1248" s="7" t="n">
        <v>22</v>
      </c>
      <c r="D1248" s="7" t="s">
        <v>3901</v>
      </c>
      <c r="E1248" s="7"/>
      <c r="G1248" s="5" t="str">
        <f aca="false">IF(ISNUMBER(FIND("old rod:",A1248)),"old rod:",A1248)</f>
        <v>22, 22, MISDREAVUS</v>
      </c>
      <c r="I1248" s="5" t="s">
        <v>3200</v>
      </c>
    </row>
    <row r="1249" customFormat="false" ht="12.75" hidden="false" customHeight="true" outlineLevel="0" collapsed="false">
      <c r="A1249" s="5" t="n">
        <v>0.01</v>
      </c>
      <c r="B1249" s="5" t="n">
        <v>0.01</v>
      </c>
      <c r="C1249" s="7"/>
      <c r="D1249" s="7"/>
      <c r="E1249" s="7"/>
      <c r="G1249" s="5" t="n">
        <f aca="false">IF(ISNUMBER(FIND("old rod:",A1249)),"old rod:",A1249)</f>
        <v>0.01</v>
      </c>
      <c r="I1249" s="5" t="n">
        <v>0.01</v>
      </c>
    </row>
    <row r="1250" customFormat="false" ht="12.75" hidden="false" customHeight="true" outlineLevel="0" collapsed="false">
      <c r="A1250" s="5" t="s">
        <v>3201</v>
      </c>
      <c r="B1250" s="7" t="n">
        <v>52</v>
      </c>
      <c r="C1250" s="7" t="n">
        <v>52</v>
      </c>
      <c r="D1250" s="7" t="s">
        <v>3866</v>
      </c>
      <c r="E1250" s="7"/>
      <c r="G1250" s="5" t="str">
        <f aca="false">IF(ISNUMBER(FIND("old rod:",A1250)),"old rod:",A1250)</f>
        <v>52, 52, HAUNTER</v>
      </c>
      <c r="I1250" s="5" t="s">
        <v>3201</v>
      </c>
    </row>
    <row r="1251" customFormat="false" ht="12.75" hidden="false" customHeight="true" outlineLevel="0" collapsed="false">
      <c r="A1251" s="5" t="s">
        <v>3200</v>
      </c>
      <c r="B1251" s="7" t="n">
        <v>22</v>
      </c>
      <c r="C1251" s="7" t="n">
        <v>22</v>
      </c>
      <c r="D1251" s="7" t="s">
        <v>3901</v>
      </c>
      <c r="E1251" s="7"/>
      <c r="G1251" s="5" t="str">
        <f aca="false">IF(ISNUMBER(FIND("old rod:",A1251)),"old rod:",A1251)</f>
        <v>22, 22, MISDREAVUS</v>
      </c>
      <c r="I1251" s="5" t="s">
        <v>3200</v>
      </c>
    </row>
    <row r="1252" customFormat="false" ht="12.75" hidden="false" customHeight="true" outlineLevel="0" collapsed="false">
      <c r="A1252" s="5" t="s">
        <v>2536</v>
      </c>
      <c r="B1252" s="7" t="s">
        <v>2536</v>
      </c>
      <c r="C1252" s="7"/>
      <c r="D1252" s="7"/>
      <c r="E1252" s="7"/>
      <c r="G1252" s="5" t="str">
        <f aca="false">IF(ISNUMBER(FIND("old rod:",A1252)),"old rod:",A1252)</f>
        <v>NEW ROUTE</v>
      </c>
      <c r="I1252" s="5" t="s">
        <v>2536</v>
      </c>
    </row>
    <row r="1253" customFormat="false" ht="12.75" hidden="false" customHeight="true" outlineLevel="0" collapsed="false">
      <c r="A1253" s="5" t="s">
        <v>293</v>
      </c>
      <c r="B1253" s="7" t="s">
        <v>293</v>
      </c>
      <c r="C1253" s="7"/>
      <c r="D1253" s="7"/>
      <c r="E1253" s="7"/>
      <c r="G1253" s="5" t="str">
        <f aca="false">IF(ISNUMBER(FIND("old rod:",A1253)),"old rod:",A1253)</f>
        <v>Five Island Lost Cave Room 5</v>
      </c>
      <c r="I1253" s="5" t="s">
        <v>293</v>
      </c>
    </row>
    <row r="1254" customFormat="false" ht="12.75" hidden="false" customHeight="true" outlineLevel="0" collapsed="false">
      <c r="A1254" s="5" t="n">
        <v>0.2</v>
      </c>
      <c r="B1254" s="5" t="n">
        <v>0.2</v>
      </c>
      <c r="C1254" s="7"/>
      <c r="D1254" s="7"/>
      <c r="E1254" s="7"/>
      <c r="G1254" s="5" t="n">
        <f aca="false">IF(ISNUMBER(FIND("old rod:",A1254)),"old rod:",A1254)</f>
        <v>0.2</v>
      </c>
      <c r="I1254" s="5" t="n">
        <v>0.2</v>
      </c>
    </row>
    <row r="1255" customFormat="false" ht="12.75" hidden="false" customHeight="true" outlineLevel="0" collapsed="false">
      <c r="A1255" s="5" t="s">
        <v>1638</v>
      </c>
      <c r="B1255" s="7" t="n">
        <v>40</v>
      </c>
      <c r="C1255" s="7" t="n">
        <v>40</v>
      </c>
      <c r="D1255" s="7" t="s">
        <v>3863</v>
      </c>
      <c r="E1255" s="7"/>
      <c r="G1255" s="5" t="str">
        <f aca="false">IF(ISNUMBER(FIND("old rod:",A1255)),"old rod:",A1255)</f>
        <v>40, 40, GASTLY</v>
      </c>
      <c r="I1255" s="5" t="s">
        <v>1638</v>
      </c>
    </row>
    <row r="1256" customFormat="false" ht="12.75" hidden="false" customHeight="true" outlineLevel="0" collapsed="false">
      <c r="A1256" s="5" t="s">
        <v>3192</v>
      </c>
      <c r="B1256" s="7" t="n">
        <v>37</v>
      </c>
      <c r="C1256" s="7" t="n">
        <v>37</v>
      </c>
      <c r="D1256" s="7" t="s">
        <v>3739</v>
      </c>
      <c r="E1256" s="7"/>
      <c r="G1256" s="5" t="str">
        <f aca="false">IF(ISNUMBER(FIND("old rod:",A1256)),"old rod:",A1256)</f>
        <v>37, 37, ZUBAT</v>
      </c>
      <c r="I1256" s="5" t="s">
        <v>3192</v>
      </c>
    </row>
    <row r="1257" customFormat="false" ht="12.75" hidden="false" customHeight="true" outlineLevel="0" collapsed="false">
      <c r="A1257" s="5" t="n">
        <v>0.1</v>
      </c>
      <c r="B1257" s="5" t="n">
        <v>0.1</v>
      </c>
      <c r="C1257" s="7"/>
      <c r="D1257" s="7"/>
      <c r="E1257" s="7"/>
      <c r="G1257" s="5" t="n">
        <f aca="false">IF(ISNUMBER(FIND("old rod:",A1257)),"old rod:",A1257)</f>
        <v>0.1</v>
      </c>
      <c r="I1257" s="5" t="n">
        <v>0.1</v>
      </c>
    </row>
    <row r="1258" customFormat="false" ht="12.75" hidden="false" customHeight="true" outlineLevel="0" collapsed="false">
      <c r="A1258" s="5" t="s">
        <v>3193</v>
      </c>
      <c r="B1258" s="7" t="n">
        <v>44</v>
      </c>
      <c r="C1258" s="7" t="n">
        <v>44</v>
      </c>
      <c r="D1258" s="7" t="s">
        <v>3866</v>
      </c>
      <c r="E1258" s="7"/>
      <c r="G1258" s="5" t="str">
        <f aca="false">IF(ISNUMBER(FIND("old rod:",A1258)),"old rod:",A1258)</f>
        <v>44, 44, HAUNTER</v>
      </c>
      <c r="I1258" s="5" t="s">
        <v>3193</v>
      </c>
    </row>
    <row r="1259" customFormat="false" ht="12.75" hidden="false" customHeight="true" outlineLevel="0" collapsed="false">
      <c r="A1259" s="5" t="s">
        <v>3194</v>
      </c>
      <c r="B1259" s="7" t="n">
        <v>46</v>
      </c>
      <c r="C1259" s="7" t="n">
        <v>46</v>
      </c>
      <c r="D1259" s="7" t="s">
        <v>3866</v>
      </c>
      <c r="E1259" s="7"/>
      <c r="G1259" s="5" t="str">
        <f aca="false">IF(ISNUMBER(FIND("old rod:",A1259)),"old rod:",A1259)</f>
        <v>46, 46, HAUNTER</v>
      </c>
      <c r="I1259" s="5" t="s">
        <v>3194</v>
      </c>
    </row>
    <row r="1260" customFormat="false" ht="12.75" hidden="false" customHeight="true" outlineLevel="0" collapsed="false">
      <c r="A1260" s="5" t="s">
        <v>3195</v>
      </c>
      <c r="B1260" s="7" t="n">
        <v>41</v>
      </c>
      <c r="C1260" s="7" t="n">
        <v>41</v>
      </c>
      <c r="D1260" s="7" t="s">
        <v>3745</v>
      </c>
      <c r="E1260" s="7"/>
      <c r="G1260" s="5" t="str">
        <f aca="false">IF(ISNUMBER(FIND("old rod:",A1260)),"old rod:",A1260)</f>
        <v>41, 41, GOLBAT</v>
      </c>
      <c r="I1260" s="5" t="s">
        <v>3195</v>
      </c>
    </row>
    <row r="1261" customFormat="false" ht="12.75" hidden="false" customHeight="true" outlineLevel="0" collapsed="false">
      <c r="A1261" s="5" t="s">
        <v>3196</v>
      </c>
      <c r="B1261" s="7" t="n">
        <v>43</v>
      </c>
      <c r="C1261" s="7" t="n">
        <v>43</v>
      </c>
      <c r="D1261" s="7" t="s">
        <v>3745</v>
      </c>
      <c r="E1261" s="7"/>
      <c r="G1261" s="5" t="str">
        <f aca="false">IF(ISNUMBER(FIND("old rod:",A1261)),"old rod:",A1261)</f>
        <v>43, 43, GOLBAT</v>
      </c>
      <c r="I1261" s="5" t="s">
        <v>3196</v>
      </c>
    </row>
    <row r="1262" customFormat="false" ht="12.75" hidden="false" customHeight="true" outlineLevel="0" collapsed="false">
      <c r="A1262" s="5" t="n">
        <v>0.05</v>
      </c>
      <c r="B1262" s="5" t="n">
        <v>0.05</v>
      </c>
      <c r="C1262" s="7"/>
      <c r="D1262" s="7"/>
      <c r="E1262" s="7"/>
      <c r="G1262" s="5" t="n">
        <f aca="false">IF(ISNUMBER(FIND("old rod:",A1262)),"old rod:",A1262)</f>
        <v>0.05</v>
      </c>
      <c r="I1262" s="5" t="n">
        <v>0.05</v>
      </c>
    </row>
    <row r="1263" customFormat="false" ht="12.75" hidden="false" customHeight="true" outlineLevel="0" collapsed="false">
      <c r="A1263" s="5" t="s">
        <v>3197</v>
      </c>
      <c r="B1263" s="7" t="n">
        <v>38</v>
      </c>
      <c r="C1263" s="7" t="n">
        <v>38</v>
      </c>
      <c r="D1263" s="7" t="s">
        <v>3863</v>
      </c>
      <c r="E1263" s="7"/>
      <c r="G1263" s="5" t="str">
        <f aca="false">IF(ISNUMBER(FIND("old rod:",A1263)),"old rod:",A1263)</f>
        <v>38, 38, GASTLY</v>
      </c>
      <c r="I1263" s="5" t="s">
        <v>3197</v>
      </c>
    </row>
    <row r="1264" customFormat="false" ht="12.75" hidden="false" customHeight="true" outlineLevel="0" collapsed="false">
      <c r="A1264" s="5" t="s">
        <v>3198</v>
      </c>
      <c r="B1264" s="7" t="n">
        <v>48</v>
      </c>
      <c r="C1264" s="7" t="n">
        <v>48</v>
      </c>
      <c r="D1264" s="7" t="s">
        <v>3866</v>
      </c>
      <c r="E1264" s="7"/>
      <c r="G1264" s="5" t="str">
        <f aca="false">IF(ISNUMBER(FIND("old rod:",A1264)),"old rod:",A1264)</f>
        <v>48, 48, HAUNTER</v>
      </c>
      <c r="I1264" s="5" t="s">
        <v>3198</v>
      </c>
    </row>
    <row r="1265" customFormat="false" ht="12.75" hidden="false" customHeight="true" outlineLevel="0" collapsed="false">
      <c r="A1265" s="5" t="n">
        <v>0.04</v>
      </c>
      <c r="B1265" s="5" t="n">
        <v>0.04</v>
      </c>
      <c r="C1265" s="7"/>
      <c r="D1265" s="7"/>
      <c r="E1265" s="7"/>
      <c r="G1265" s="5" t="n">
        <f aca="false">IF(ISNUMBER(FIND("old rod:",A1265)),"old rod:",A1265)</f>
        <v>0.04</v>
      </c>
      <c r="I1265" s="5" t="n">
        <v>0.04</v>
      </c>
    </row>
    <row r="1266" customFormat="false" ht="12.75" hidden="false" customHeight="true" outlineLevel="0" collapsed="false">
      <c r="A1266" s="5" t="s">
        <v>3199</v>
      </c>
      <c r="B1266" s="7" t="n">
        <v>50</v>
      </c>
      <c r="C1266" s="7" t="n">
        <v>50</v>
      </c>
      <c r="D1266" s="7" t="s">
        <v>3866</v>
      </c>
      <c r="E1266" s="7"/>
      <c r="G1266" s="5" t="str">
        <f aca="false">IF(ISNUMBER(FIND("old rod:",A1266)),"old rod:",A1266)</f>
        <v>50, 50, HAUNTER</v>
      </c>
      <c r="I1266" s="5" t="s">
        <v>3199</v>
      </c>
    </row>
    <row r="1267" customFormat="false" ht="12.75" hidden="false" customHeight="true" outlineLevel="0" collapsed="false">
      <c r="A1267" s="5" t="s">
        <v>3200</v>
      </c>
      <c r="B1267" s="7" t="n">
        <v>22</v>
      </c>
      <c r="C1267" s="7" t="n">
        <v>22</v>
      </c>
      <c r="D1267" s="7" t="s">
        <v>3901</v>
      </c>
      <c r="E1267" s="7"/>
      <c r="G1267" s="5" t="str">
        <f aca="false">IF(ISNUMBER(FIND("old rod:",A1267)),"old rod:",A1267)</f>
        <v>22, 22, MISDREAVUS</v>
      </c>
      <c r="I1267" s="5" t="s">
        <v>3200</v>
      </c>
    </row>
    <row r="1268" customFormat="false" ht="12.75" hidden="false" customHeight="true" outlineLevel="0" collapsed="false">
      <c r="A1268" s="5" t="n">
        <v>0.01</v>
      </c>
      <c r="B1268" s="5" t="n">
        <v>0.01</v>
      </c>
      <c r="C1268" s="7"/>
      <c r="D1268" s="7"/>
      <c r="E1268" s="7"/>
      <c r="G1268" s="5" t="n">
        <f aca="false">IF(ISNUMBER(FIND("old rod:",A1268)),"old rod:",A1268)</f>
        <v>0.01</v>
      </c>
      <c r="I1268" s="5" t="n">
        <v>0.01</v>
      </c>
    </row>
    <row r="1269" customFormat="false" ht="12.75" hidden="false" customHeight="true" outlineLevel="0" collapsed="false">
      <c r="A1269" s="5" t="s">
        <v>3201</v>
      </c>
      <c r="B1269" s="7" t="n">
        <v>52</v>
      </c>
      <c r="C1269" s="7" t="n">
        <v>52</v>
      </c>
      <c r="D1269" s="7" t="s">
        <v>3866</v>
      </c>
      <c r="E1269" s="7"/>
      <c r="G1269" s="5" t="str">
        <f aca="false">IF(ISNUMBER(FIND("old rod:",A1269)),"old rod:",A1269)</f>
        <v>52, 52, HAUNTER</v>
      </c>
      <c r="I1269" s="5" t="s">
        <v>3201</v>
      </c>
    </row>
    <row r="1270" customFormat="false" ht="12.75" hidden="false" customHeight="true" outlineLevel="0" collapsed="false">
      <c r="A1270" s="5" t="s">
        <v>3200</v>
      </c>
      <c r="B1270" s="7" t="n">
        <v>22</v>
      </c>
      <c r="C1270" s="7" t="n">
        <v>22</v>
      </c>
      <c r="D1270" s="7" t="s">
        <v>3901</v>
      </c>
      <c r="E1270" s="7"/>
      <c r="G1270" s="5" t="str">
        <f aca="false">IF(ISNUMBER(FIND("old rod:",A1270)),"old rod:",A1270)</f>
        <v>22, 22, MISDREAVUS</v>
      </c>
      <c r="I1270" s="5" t="s">
        <v>3200</v>
      </c>
    </row>
    <row r="1271" customFormat="false" ht="12.75" hidden="false" customHeight="true" outlineLevel="0" collapsed="false">
      <c r="A1271" s="5" t="s">
        <v>2536</v>
      </c>
      <c r="B1271" s="7" t="s">
        <v>2536</v>
      </c>
      <c r="C1271" s="7"/>
      <c r="D1271" s="7"/>
      <c r="E1271" s="7"/>
      <c r="G1271" s="5" t="str">
        <f aca="false">IF(ISNUMBER(FIND("old rod:",A1271)),"old rod:",A1271)</f>
        <v>NEW ROUTE</v>
      </c>
      <c r="I1271" s="5" t="s">
        <v>2536</v>
      </c>
    </row>
    <row r="1272" customFormat="false" ht="12.75" hidden="false" customHeight="true" outlineLevel="0" collapsed="false">
      <c r="A1272" s="5" t="s">
        <v>295</v>
      </c>
      <c r="B1272" s="7" t="s">
        <v>295</v>
      </c>
      <c r="C1272" s="7"/>
      <c r="D1272" s="7"/>
      <c r="E1272" s="7"/>
      <c r="G1272" s="5" t="str">
        <f aca="false">IF(ISNUMBER(FIND("old rod:",A1272)),"old rod:",A1272)</f>
        <v>Five Island Lost Cave Room 6</v>
      </c>
      <c r="I1272" s="5" t="s">
        <v>295</v>
      </c>
    </row>
    <row r="1273" customFormat="false" ht="12.75" hidden="false" customHeight="true" outlineLevel="0" collapsed="false">
      <c r="A1273" s="5" t="n">
        <v>0.2</v>
      </c>
      <c r="B1273" s="5" t="n">
        <v>0.2</v>
      </c>
      <c r="C1273" s="7"/>
      <c r="D1273" s="7"/>
      <c r="E1273" s="7"/>
      <c r="G1273" s="5" t="n">
        <f aca="false">IF(ISNUMBER(FIND("old rod:",A1273)),"old rod:",A1273)</f>
        <v>0.2</v>
      </c>
      <c r="I1273" s="5" t="n">
        <v>0.2</v>
      </c>
    </row>
    <row r="1274" customFormat="false" ht="12.75" hidden="false" customHeight="true" outlineLevel="0" collapsed="false">
      <c r="A1274" s="5" t="s">
        <v>1638</v>
      </c>
      <c r="B1274" s="7" t="n">
        <v>40</v>
      </c>
      <c r="C1274" s="7" t="n">
        <v>40</v>
      </c>
      <c r="D1274" s="7" t="s">
        <v>3863</v>
      </c>
      <c r="E1274" s="7"/>
      <c r="G1274" s="5" t="str">
        <f aca="false">IF(ISNUMBER(FIND("old rod:",A1274)),"old rod:",A1274)</f>
        <v>40, 40, GASTLY</v>
      </c>
      <c r="I1274" s="5" t="s">
        <v>1638</v>
      </c>
    </row>
    <row r="1275" customFormat="false" ht="12.75" hidden="false" customHeight="true" outlineLevel="0" collapsed="false">
      <c r="A1275" s="5" t="s">
        <v>3192</v>
      </c>
      <c r="B1275" s="7" t="n">
        <v>37</v>
      </c>
      <c r="C1275" s="7" t="n">
        <v>37</v>
      </c>
      <c r="D1275" s="7" t="s">
        <v>3739</v>
      </c>
      <c r="E1275" s="7"/>
      <c r="G1275" s="5" t="str">
        <f aca="false">IF(ISNUMBER(FIND("old rod:",A1275)),"old rod:",A1275)</f>
        <v>37, 37, ZUBAT</v>
      </c>
      <c r="I1275" s="5" t="s">
        <v>3192</v>
      </c>
    </row>
    <row r="1276" customFormat="false" ht="12.75" hidden="false" customHeight="true" outlineLevel="0" collapsed="false">
      <c r="A1276" s="5" t="n">
        <v>0.1</v>
      </c>
      <c r="B1276" s="5" t="n">
        <v>0.1</v>
      </c>
      <c r="C1276" s="7"/>
      <c r="D1276" s="7"/>
      <c r="E1276" s="7"/>
      <c r="G1276" s="5" t="n">
        <f aca="false">IF(ISNUMBER(FIND("old rod:",A1276)),"old rod:",A1276)</f>
        <v>0.1</v>
      </c>
      <c r="I1276" s="5" t="n">
        <v>0.1</v>
      </c>
    </row>
    <row r="1277" customFormat="false" ht="12.75" hidden="false" customHeight="true" outlineLevel="0" collapsed="false">
      <c r="A1277" s="5" t="s">
        <v>3193</v>
      </c>
      <c r="B1277" s="7" t="n">
        <v>44</v>
      </c>
      <c r="C1277" s="7" t="n">
        <v>44</v>
      </c>
      <c r="D1277" s="7" t="s">
        <v>3866</v>
      </c>
      <c r="E1277" s="7"/>
      <c r="G1277" s="5" t="str">
        <f aca="false">IF(ISNUMBER(FIND("old rod:",A1277)),"old rod:",A1277)</f>
        <v>44, 44, HAUNTER</v>
      </c>
      <c r="I1277" s="5" t="s">
        <v>3193</v>
      </c>
    </row>
    <row r="1278" customFormat="false" ht="12.75" hidden="false" customHeight="true" outlineLevel="0" collapsed="false">
      <c r="A1278" s="5" t="s">
        <v>3194</v>
      </c>
      <c r="B1278" s="7" t="n">
        <v>46</v>
      </c>
      <c r="C1278" s="7" t="n">
        <v>46</v>
      </c>
      <c r="D1278" s="7" t="s">
        <v>3866</v>
      </c>
      <c r="E1278" s="7"/>
      <c r="G1278" s="5" t="str">
        <f aca="false">IF(ISNUMBER(FIND("old rod:",A1278)),"old rod:",A1278)</f>
        <v>46, 46, HAUNTER</v>
      </c>
      <c r="I1278" s="5" t="s">
        <v>3194</v>
      </c>
    </row>
    <row r="1279" customFormat="false" ht="12.75" hidden="false" customHeight="true" outlineLevel="0" collapsed="false">
      <c r="A1279" s="5" t="s">
        <v>3195</v>
      </c>
      <c r="B1279" s="7" t="n">
        <v>41</v>
      </c>
      <c r="C1279" s="7" t="n">
        <v>41</v>
      </c>
      <c r="D1279" s="7" t="s">
        <v>3745</v>
      </c>
      <c r="E1279" s="7"/>
      <c r="G1279" s="5" t="str">
        <f aca="false">IF(ISNUMBER(FIND("old rod:",A1279)),"old rod:",A1279)</f>
        <v>41, 41, GOLBAT</v>
      </c>
      <c r="I1279" s="5" t="s">
        <v>3195</v>
      </c>
    </row>
    <row r="1280" customFormat="false" ht="12.75" hidden="false" customHeight="true" outlineLevel="0" collapsed="false">
      <c r="A1280" s="5" t="s">
        <v>3196</v>
      </c>
      <c r="B1280" s="7" t="n">
        <v>43</v>
      </c>
      <c r="C1280" s="7" t="n">
        <v>43</v>
      </c>
      <c r="D1280" s="7" t="s">
        <v>3745</v>
      </c>
      <c r="E1280" s="7"/>
      <c r="G1280" s="5" t="str">
        <f aca="false">IF(ISNUMBER(FIND("old rod:",A1280)),"old rod:",A1280)</f>
        <v>43, 43, GOLBAT</v>
      </c>
      <c r="I1280" s="5" t="s">
        <v>3196</v>
      </c>
    </row>
    <row r="1281" customFormat="false" ht="12.75" hidden="false" customHeight="true" outlineLevel="0" collapsed="false">
      <c r="A1281" s="5" t="n">
        <v>0.05</v>
      </c>
      <c r="B1281" s="5" t="n">
        <v>0.05</v>
      </c>
      <c r="C1281" s="7"/>
      <c r="D1281" s="7"/>
      <c r="E1281" s="7"/>
      <c r="G1281" s="5" t="n">
        <f aca="false">IF(ISNUMBER(FIND("old rod:",A1281)),"old rod:",A1281)</f>
        <v>0.05</v>
      </c>
      <c r="I1281" s="5" t="n">
        <v>0.05</v>
      </c>
    </row>
    <row r="1282" customFormat="false" ht="12.75" hidden="false" customHeight="true" outlineLevel="0" collapsed="false">
      <c r="A1282" s="5" t="s">
        <v>3197</v>
      </c>
      <c r="B1282" s="7" t="n">
        <v>38</v>
      </c>
      <c r="C1282" s="7" t="n">
        <v>38</v>
      </c>
      <c r="D1282" s="7" t="s">
        <v>3863</v>
      </c>
      <c r="E1282" s="7"/>
      <c r="G1282" s="5" t="str">
        <f aca="false">IF(ISNUMBER(FIND("old rod:",A1282)),"old rod:",A1282)</f>
        <v>38, 38, GASTLY</v>
      </c>
      <c r="I1282" s="5" t="s">
        <v>3197</v>
      </c>
    </row>
    <row r="1283" customFormat="false" ht="12.75" hidden="false" customHeight="true" outlineLevel="0" collapsed="false">
      <c r="A1283" s="5" t="s">
        <v>3198</v>
      </c>
      <c r="B1283" s="7" t="n">
        <v>48</v>
      </c>
      <c r="C1283" s="7" t="n">
        <v>48</v>
      </c>
      <c r="D1283" s="7" t="s">
        <v>3866</v>
      </c>
      <c r="E1283" s="7"/>
      <c r="G1283" s="5" t="str">
        <f aca="false">IF(ISNUMBER(FIND("old rod:",A1283)),"old rod:",A1283)</f>
        <v>48, 48, HAUNTER</v>
      </c>
      <c r="I1283" s="5" t="s">
        <v>3198</v>
      </c>
    </row>
    <row r="1284" customFormat="false" ht="12.75" hidden="false" customHeight="true" outlineLevel="0" collapsed="false">
      <c r="A1284" s="5" t="n">
        <v>0.04</v>
      </c>
      <c r="B1284" s="5" t="n">
        <v>0.04</v>
      </c>
      <c r="C1284" s="7"/>
      <c r="D1284" s="7"/>
      <c r="E1284" s="7"/>
      <c r="G1284" s="5" t="n">
        <f aca="false">IF(ISNUMBER(FIND("old rod:",A1284)),"old rod:",A1284)</f>
        <v>0.04</v>
      </c>
      <c r="I1284" s="5" t="n">
        <v>0.04</v>
      </c>
    </row>
    <row r="1285" customFormat="false" ht="12.75" hidden="false" customHeight="true" outlineLevel="0" collapsed="false">
      <c r="A1285" s="5" t="s">
        <v>3199</v>
      </c>
      <c r="B1285" s="7" t="n">
        <v>50</v>
      </c>
      <c r="C1285" s="7" t="n">
        <v>50</v>
      </c>
      <c r="D1285" s="7" t="s">
        <v>3866</v>
      </c>
      <c r="E1285" s="7"/>
      <c r="G1285" s="5" t="str">
        <f aca="false">IF(ISNUMBER(FIND("old rod:",A1285)),"old rod:",A1285)</f>
        <v>50, 50, HAUNTER</v>
      </c>
      <c r="I1285" s="5" t="s">
        <v>3199</v>
      </c>
    </row>
    <row r="1286" customFormat="false" ht="12.75" hidden="false" customHeight="true" outlineLevel="0" collapsed="false">
      <c r="A1286" s="5" t="s">
        <v>3200</v>
      </c>
      <c r="B1286" s="7" t="n">
        <v>22</v>
      </c>
      <c r="C1286" s="7" t="n">
        <v>22</v>
      </c>
      <c r="D1286" s="7" t="s">
        <v>3901</v>
      </c>
      <c r="E1286" s="7"/>
      <c r="G1286" s="5" t="str">
        <f aca="false">IF(ISNUMBER(FIND("old rod:",A1286)),"old rod:",A1286)</f>
        <v>22, 22, MISDREAVUS</v>
      </c>
      <c r="I1286" s="5" t="s">
        <v>3200</v>
      </c>
    </row>
    <row r="1287" customFormat="false" ht="12.75" hidden="false" customHeight="true" outlineLevel="0" collapsed="false">
      <c r="A1287" s="5" t="n">
        <v>0.01</v>
      </c>
      <c r="B1287" s="5" t="n">
        <v>0.01</v>
      </c>
      <c r="C1287" s="7"/>
      <c r="D1287" s="7"/>
      <c r="E1287" s="7"/>
      <c r="G1287" s="5" t="n">
        <f aca="false">IF(ISNUMBER(FIND("old rod:",A1287)),"old rod:",A1287)</f>
        <v>0.01</v>
      </c>
      <c r="I1287" s="5" t="n">
        <v>0.01</v>
      </c>
    </row>
    <row r="1288" customFormat="false" ht="12.75" hidden="false" customHeight="true" outlineLevel="0" collapsed="false">
      <c r="A1288" s="5" t="s">
        <v>3201</v>
      </c>
      <c r="B1288" s="7" t="n">
        <v>52</v>
      </c>
      <c r="C1288" s="7" t="n">
        <v>52</v>
      </c>
      <c r="D1288" s="7" t="s">
        <v>3866</v>
      </c>
      <c r="E1288" s="7"/>
      <c r="G1288" s="5" t="str">
        <f aca="false">IF(ISNUMBER(FIND("old rod:",A1288)),"old rod:",A1288)</f>
        <v>52, 52, HAUNTER</v>
      </c>
      <c r="I1288" s="5" t="s">
        <v>3201</v>
      </c>
    </row>
    <row r="1289" customFormat="false" ht="12.75" hidden="false" customHeight="true" outlineLevel="0" collapsed="false">
      <c r="A1289" s="5" t="s">
        <v>3200</v>
      </c>
      <c r="B1289" s="7" t="n">
        <v>22</v>
      </c>
      <c r="C1289" s="7" t="n">
        <v>22</v>
      </c>
      <c r="D1289" s="7" t="s">
        <v>3901</v>
      </c>
      <c r="E1289" s="7"/>
      <c r="G1289" s="5" t="str">
        <f aca="false">IF(ISNUMBER(FIND("old rod:",A1289)),"old rod:",A1289)</f>
        <v>22, 22, MISDREAVUS</v>
      </c>
      <c r="I1289" s="5" t="s">
        <v>3200</v>
      </c>
    </row>
    <row r="1290" customFormat="false" ht="12.75" hidden="false" customHeight="true" outlineLevel="0" collapsed="false">
      <c r="A1290" s="5" t="s">
        <v>2536</v>
      </c>
      <c r="B1290" s="7" t="s">
        <v>2536</v>
      </c>
      <c r="C1290" s="7"/>
      <c r="D1290" s="7"/>
      <c r="E1290" s="7"/>
      <c r="G1290" s="5" t="str">
        <f aca="false">IF(ISNUMBER(FIND("old rod:",A1290)),"old rod:",A1290)</f>
        <v>NEW ROUTE</v>
      </c>
      <c r="I1290" s="5" t="s">
        <v>2536</v>
      </c>
    </row>
    <row r="1291" customFormat="false" ht="12.75" hidden="false" customHeight="true" outlineLevel="0" collapsed="false">
      <c r="A1291" s="5" t="s">
        <v>297</v>
      </c>
      <c r="B1291" s="7" t="s">
        <v>297</v>
      </c>
      <c r="C1291" s="7"/>
      <c r="D1291" s="7"/>
      <c r="E1291" s="7"/>
      <c r="G1291" s="5" t="str">
        <f aca="false">IF(ISNUMBER(FIND("old rod:",A1291)),"old rod:",A1291)</f>
        <v>Five Island Lost Cave Room 7</v>
      </c>
      <c r="I1291" s="5" t="s">
        <v>297</v>
      </c>
    </row>
    <row r="1292" customFormat="false" ht="12.75" hidden="false" customHeight="true" outlineLevel="0" collapsed="false">
      <c r="A1292" s="5" t="n">
        <v>0.2</v>
      </c>
      <c r="B1292" s="5" t="n">
        <v>0.2</v>
      </c>
      <c r="C1292" s="7"/>
      <c r="D1292" s="7"/>
      <c r="E1292" s="7"/>
      <c r="G1292" s="5" t="n">
        <f aca="false">IF(ISNUMBER(FIND("old rod:",A1292)),"old rod:",A1292)</f>
        <v>0.2</v>
      </c>
      <c r="I1292" s="5" t="n">
        <v>0.2</v>
      </c>
    </row>
    <row r="1293" customFormat="false" ht="12.75" hidden="false" customHeight="true" outlineLevel="0" collapsed="false">
      <c r="A1293" s="5" t="s">
        <v>1638</v>
      </c>
      <c r="B1293" s="7" t="n">
        <v>40</v>
      </c>
      <c r="C1293" s="7" t="n">
        <v>40</v>
      </c>
      <c r="D1293" s="7" t="s">
        <v>3863</v>
      </c>
      <c r="E1293" s="7"/>
      <c r="G1293" s="5" t="str">
        <f aca="false">IF(ISNUMBER(FIND("old rod:",A1293)),"old rod:",A1293)</f>
        <v>40, 40, GASTLY</v>
      </c>
      <c r="I1293" s="5" t="s">
        <v>1638</v>
      </c>
    </row>
    <row r="1294" customFormat="false" ht="12.75" hidden="false" customHeight="true" outlineLevel="0" collapsed="false">
      <c r="A1294" s="5" t="s">
        <v>3192</v>
      </c>
      <c r="B1294" s="7" t="n">
        <v>37</v>
      </c>
      <c r="C1294" s="7" t="n">
        <v>37</v>
      </c>
      <c r="D1294" s="7" t="s">
        <v>3739</v>
      </c>
      <c r="E1294" s="7"/>
      <c r="G1294" s="5" t="str">
        <f aca="false">IF(ISNUMBER(FIND("old rod:",A1294)),"old rod:",A1294)</f>
        <v>37, 37, ZUBAT</v>
      </c>
      <c r="I1294" s="5" t="s">
        <v>3192</v>
      </c>
    </row>
    <row r="1295" customFormat="false" ht="12.75" hidden="false" customHeight="true" outlineLevel="0" collapsed="false">
      <c r="A1295" s="5" t="n">
        <v>0.1</v>
      </c>
      <c r="B1295" s="5" t="n">
        <v>0.1</v>
      </c>
      <c r="C1295" s="7"/>
      <c r="D1295" s="7"/>
      <c r="E1295" s="7"/>
      <c r="G1295" s="5" t="n">
        <f aca="false">IF(ISNUMBER(FIND("old rod:",A1295)),"old rod:",A1295)</f>
        <v>0.1</v>
      </c>
      <c r="I1295" s="5" t="n">
        <v>0.1</v>
      </c>
    </row>
    <row r="1296" customFormat="false" ht="12.75" hidden="false" customHeight="true" outlineLevel="0" collapsed="false">
      <c r="A1296" s="5" t="s">
        <v>3193</v>
      </c>
      <c r="B1296" s="7" t="n">
        <v>44</v>
      </c>
      <c r="C1296" s="7" t="n">
        <v>44</v>
      </c>
      <c r="D1296" s="7" t="s">
        <v>3866</v>
      </c>
      <c r="E1296" s="7"/>
      <c r="G1296" s="5" t="str">
        <f aca="false">IF(ISNUMBER(FIND("old rod:",A1296)),"old rod:",A1296)</f>
        <v>44, 44, HAUNTER</v>
      </c>
      <c r="I1296" s="5" t="s">
        <v>3193</v>
      </c>
    </row>
    <row r="1297" customFormat="false" ht="12.75" hidden="false" customHeight="true" outlineLevel="0" collapsed="false">
      <c r="A1297" s="5" t="s">
        <v>3194</v>
      </c>
      <c r="B1297" s="7" t="n">
        <v>46</v>
      </c>
      <c r="C1297" s="7" t="n">
        <v>46</v>
      </c>
      <c r="D1297" s="7" t="s">
        <v>3866</v>
      </c>
      <c r="E1297" s="7"/>
      <c r="G1297" s="5" t="str">
        <f aca="false">IF(ISNUMBER(FIND("old rod:",A1297)),"old rod:",A1297)</f>
        <v>46, 46, HAUNTER</v>
      </c>
      <c r="I1297" s="5" t="s">
        <v>3194</v>
      </c>
    </row>
    <row r="1298" customFormat="false" ht="12.75" hidden="false" customHeight="true" outlineLevel="0" collapsed="false">
      <c r="A1298" s="5" t="s">
        <v>3195</v>
      </c>
      <c r="B1298" s="7" t="n">
        <v>41</v>
      </c>
      <c r="C1298" s="7" t="n">
        <v>41</v>
      </c>
      <c r="D1298" s="7" t="s">
        <v>3745</v>
      </c>
      <c r="E1298" s="7"/>
      <c r="G1298" s="5" t="str">
        <f aca="false">IF(ISNUMBER(FIND("old rod:",A1298)),"old rod:",A1298)</f>
        <v>41, 41, GOLBAT</v>
      </c>
      <c r="I1298" s="5" t="s">
        <v>3195</v>
      </c>
    </row>
    <row r="1299" customFormat="false" ht="12.75" hidden="false" customHeight="true" outlineLevel="0" collapsed="false">
      <c r="A1299" s="5" t="s">
        <v>3196</v>
      </c>
      <c r="B1299" s="7" t="n">
        <v>43</v>
      </c>
      <c r="C1299" s="7" t="n">
        <v>43</v>
      </c>
      <c r="D1299" s="7" t="s">
        <v>3745</v>
      </c>
      <c r="E1299" s="7"/>
      <c r="G1299" s="5" t="str">
        <f aca="false">IF(ISNUMBER(FIND("old rod:",A1299)),"old rod:",A1299)</f>
        <v>43, 43, GOLBAT</v>
      </c>
      <c r="I1299" s="5" t="s">
        <v>3196</v>
      </c>
    </row>
    <row r="1300" customFormat="false" ht="12.75" hidden="false" customHeight="true" outlineLevel="0" collapsed="false">
      <c r="A1300" s="5" t="n">
        <v>0.05</v>
      </c>
      <c r="B1300" s="5" t="n">
        <v>0.05</v>
      </c>
      <c r="C1300" s="7"/>
      <c r="D1300" s="7"/>
      <c r="E1300" s="7"/>
      <c r="G1300" s="5" t="n">
        <f aca="false">IF(ISNUMBER(FIND("old rod:",A1300)),"old rod:",A1300)</f>
        <v>0.05</v>
      </c>
      <c r="I1300" s="5" t="n">
        <v>0.05</v>
      </c>
    </row>
    <row r="1301" customFormat="false" ht="12.75" hidden="false" customHeight="true" outlineLevel="0" collapsed="false">
      <c r="A1301" s="5" t="s">
        <v>3197</v>
      </c>
      <c r="B1301" s="7" t="n">
        <v>38</v>
      </c>
      <c r="C1301" s="7" t="n">
        <v>38</v>
      </c>
      <c r="D1301" s="7" t="s">
        <v>3863</v>
      </c>
      <c r="E1301" s="7"/>
      <c r="G1301" s="5" t="str">
        <f aca="false">IF(ISNUMBER(FIND("old rod:",A1301)),"old rod:",A1301)</f>
        <v>38, 38, GASTLY</v>
      </c>
      <c r="I1301" s="5" t="s">
        <v>3197</v>
      </c>
    </row>
    <row r="1302" customFormat="false" ht="12.75" hidden="false" customHeight="true" outlineLevel="0" collapsed="false">
      <c r="A1302" s="5" t="s">
        <v>3198</v>
      </c>
      <c r="B1302" s="7" t="n">
        <v>48</v>
      </c>
      <c r="C1302" s="7" t="n">
        <v>48</v>
      </c>
      <c r="D1302" s="7" t="s">
        <v>3866</v>
      </c>
      <c r="E1302" s="7"/>
      <c r="G1302" s="5" t="str">
        <f aca="false">IF(ISNUMBER(FIND("old rod:",A1302)),"old rod:",A1302)</f>
        <v>48, 48, HAUNTER</v>
      </c>
      <c r="I1302" s="5" t="s">
        <v>3198</v>
      </c>
    </row>
    <row r="1303" customFormat="false" ht="12.75" hidden="false" customHeight="true" outlineLevel="0" collapsed="false">
      <c r="A1303" s="5" t="n">
        <v>0.04</v>
      </c>
      <c r="B1303" s="5" t="n">
        <v>0.04</v>
      </c>
      <c r="C1303" s="7"/>
      <c r="D1303" s="7"/>
      <c r="E1303" s="7"/>
      <c r="G1303" s="5" t="n">
        <f aca="false">IF(ISNUMBER(FIND("old rod:",A1303)),"old rod:",A1303)</f>
        <v>0.04</v>
      </c>
      <c r="I1303" s="5" t="n">
        <v>0.04</v>
      </c>
    </row>
    <row r="1304" customFormat="false" ht="12.75" hidden="false" customHeight="true" outlineLevel="0" collapsed="false">
      <c r="A1304" s="5" t="s">
        <v>3199</v>
      </c>
      <c r="B1304" s="7" t="n">
        <v>50</v>
      </c>
      <c r="C1304" s="7" t="n">
        <v>50</v>
      </c>
      <c r="D1304" s="7" t="s">
        <v>3866</v>
      </c>
      <c r="E1304" s="7"/>
      <c r="G1304" s="5" t="str">
        <f aca="false">IF(ISNUMBER(FIND("old rod:",A1304)),"old rod:",A1304)</f>
        <v>50, 50, HAUNTER</v>
      </c>
      <c r="I1304" s="5" t="s">
        <v>3199</v>
      </c>
    </row>
    <row r="1305" customFormat="false" ht="12.75" hidden="false" customHeight="true" outlineLevel="0" collapsed="false">
      <c r="A1305" s="5" t="s">
        <v>3200</v>
      </c>
      <c r="B1305" s="7" t="n">
        <v>22</v>
      </c>
      <c r="C1305" s="7" t="n">
        <v>22</v>
      </c>
      <c r="D1305" s="7" t="s">
        <v>3901</v>
      </c>
      <c r="E1305" s="7"/>
      <c r="G1305" s="5" t="str">
        <f aca="false">IF(ISNUMBER(FIND("old rod:",A1305)),"old rod:",A1305)</f>
        <v>22, 22, MISDREAVUS</v>
      </c>
      <c r="I1305" s="5" t="s">
        <v>3200</v>
      </c>
    </row>
    <row r="1306" customFormat="false" ht="12.75" hidden="false" customHeight="true" outlineLevel="0" collapsed="false">
      <c r="A1306" s="5" t="n">
        <v>0.01</v>
      </c>
      <c r="B1306" s="5" t="n">
        <v>0.01</v>
      </c>
      <c r="C1306" s="7"/>
      <c r="D1306" s="7"/>
      <c r="E1306" s="7"/>
      <c r="G1306" s="5" t="n">
        <f aca="false">IF(ISNUMBER(FIND("old rod:",A1306)),"old rod:",A1306)</f>
        <v>0.01</v>
      </c>
      <c r="I1306" s="5" t="n">
        <v>0.01</v>
      </c>
    </row>
    <row r="1307" customFormat="false" ht="12.75" hidden="false" customHeight="true" outlineLevel="0" collapsed="false">
      <c r="A1307" s="5" t="s">
        <v>3201</v>
      </c>
      <c r="B1307" s="7" t="n">
        <v>52</v>
      </c>
      <c r="C1307" s="7" t="n">
        <v>52</v>
      </c>
      <c r="D1307" s="7" t="s">
        <v>3866</v>
      </c>
      <c r="E1307" s="7"/>
      <c r="G1307" s="5" t="str">
        <f aca="false">IF(ISNUMBER(FIND("old rod:",A1307)),"old rod:",A1307)</f>
        <v>52, 52, HAUNTER</v>
      </c>
      <c r="I1307" s="5" t="s">
        <v>3201</v>
      </c>
    </row>
    <row r="1308" customFormat="false" ht="12.75" hidden="false" customHeight="true" outlineLevel="0" collapsed="false">
      <c r="A1308" s="5" t="s">
        <v>3200</v>
      </c>
      <c r="B1308" s="7" t="n">
        <v>22</v>
      </c>
      <c r="C1308" s="7" t="n">
        <v>22</v>
      </c>
      <c r="D1308" s="7" t="s">
        <v>3901</v>
      </c>
      <c r="E1308" s="7"/>
      <c r="G1308" s="5" t="str">
        <f aca="false">IF(ISNUMBER(FIND("old rod:",A1308)),"old rod:",A1308)</f>
        <v>22, 22, MISDREAVUS</v>
      </c>
      <c r="I1308" s="5" t="s">
        <v>3200</v>
      </c>
    </row>
    <row r="1309" customFormat="false" ht="12.75" hidden="false" customHeight="true" outlineLevel="0" collapsed="false">
      <c r="A1309" s="5" t="s">
        <v>2536</v>
      </c>
      <c r="B1309" s="7" t="s">
        <v>2536</v>
      </c>
      <c r="C1309" s="7"/>
      <c r="D1309" s="7"/>
      <c r="E1309" s="7"/>
      <c r="G1309" s="5" t="str">
        <f aca="false">IF(ISNUMBER(FIND("old rod:",A1309)),"old rod:",A1309)</f>
        <v>NEW ROUTE</v>
      </c>
      <c r="I1309" s="5" t="s">
        <v>2536</v>
      </c>
    </row>
    <row r="1310" customFormat="false" ht="12.75" hidden="false" customHeight="true" outlineLevel="0" collapsed="false">
      <c r="A1310" s="5" t="s">
        <v>299</v>
      </c>
      <c r="B1310" s="7" t="s">
        <v>299</v>
      </c>
      <c r="C1310" s="7"/>
      <c r="D1310" s="7"/>
      <c r="E1310" s="7"/>
      <c r="G1310" s="5" t="str">
        <f aca="false">IF(ISNUMBER(FIND("old rod:",A1310)),"old rod:",A1310)</f>
        <v>Five Island Lost Cave Room 8</v>
      </c>
      <c r="I1310" s="5" t="s">
        <v>299</v>
      </c>
    </row>
    <row r="1311" customFormat="false" ht="12.75" hidden="false" customHeight="true" outlineLevel="0" collapsed="false">
      <c r="A1311" s="5" t="n">
        <v>0.2</v>
      </c>
      <c r="B1311" s="5" t="n">
        <v>0.2</v>
      </c>
      <c r="C1311" s="7"/>
      <c r="D1311" s="7"/>
      <c r="E1311" s="7"/>
      <c r="G1311" s="5" t="n">
        <f aca="false">IF(ISNUMBER(FIND("old rod:",A1311)),"old rod:",A1311)</f>
        <v>0.2</v>
      </c>
      <c r="I1311" s="5" t="n">
        <v>0.2</v>
      </c>
    </row>
    <row r="1312" customFormat="false" ht="12.75" hidden="false" customHeight="true" outlineLevel="0" collapsed="false">
      <c r="A1312" s="5" t="s">
        <v>1638</v>
      </c>
      <c r="B1312" s="7" t="n">
        <v>40</v>
      </c>
      <c r="C1312" s="7" t="n">
        <v>40</v>
      </c>
      <c r="D1312" s="7" t="s">
        <v>3863</v>
      </c>
      <c r="E1312" s="7"/>
      <c r="G1312" s="5" t="str">
        <f aca="false">IF(ISNUMBER(FIND("old rod:",A1312)),"old rod:",A1312)</f>
        <v>40, 40, GASTLY</v>
      </c>
      <c r="I1312" s="5" t="s">
        <v>1638</v>
      </c>
    </row>
    <row r="1313" customFormat="false" ht="12.75" hidden="false" customHeight="true" outlineLevel="0" collapsed="false">
      <c r="A1313" s="5" t="s">
        <v>3192</v>
      </c>
      <c r="B1313" s="7" t="n">
        <v>37</v>
      </c>
      <c r="C1313" s="7" t="n">
        <v>37</v>
      </c>
      <c r="D1313" s="7" t="s">
        <v>3739</v>
      </c>
      <c r="E1313" s="7"/>
      <c r="G1313" s="5" t="str">
        <f aca="false">IF(ISNUMBER(FIND("old rod:",A1313)),"old rod:",A1313)</f>
        <v>37, 37, ZUBAT</v>
      </c>
      <c r="I1313" s="5" t="s">
        <v>3192</v>
      </c>
    </row>
    <row r="1314" customFormat="false" ht="12.75" hidden="false" customHeight="true" outlineLevel="0" collapsed="false">
      <c r="A1314" s="5" t="n">
        <v>0.1</v>
      </c>
      <c r="B1314" s="5" t="n">
        <v>0.1</v>
      </c>
      <c r="C1314" s="7"/>
      <c r="D1314" s="7"/>
      <c r="E1314" s="7"/>
      <c r="G1314" s="5" t="n">
        <f aca="false">IF(ISNUMBER(FIND("old rod:",A1314)),"old rod:",A1314)</f>
        <v>0.1</v>
      </c>
      <c r="I1314" s="5" t="n">
        <v>0.1</v>
      </c>
    </row>
    <row r="1315" customFormat="false" ht="12.75" hidden="false" customHeight="true" outlineLevel="0" collapsed="false">
      <c r="A1315" s="5" t="s">
        <v>3193</v>
      </c>
      <c r="B1315" s="7" t="n">
        <v>44</v>
      </c>
      <c r="C1315" s="7" t="n">
        <v>44</v>
      </c>
      <c r="D1315" s="7" t="s">
        <v>3866</v>
      </c>
      <c r="E1315" s="7"/>
      <c r="G1315" s="5" t="str">
        <f aca="false">IF(ISNUMBER(FIND("old rod:",A1315)),"old rod:",A1315)</f>
        <v>44, 44, HAUNTER</v>
      </c>
      <c r="I1315" s="5" t="s">
        <v>3193</v>
      </c>
    </row>
    <row r="1316" customFormat="false" ht="12.75" hidden="false" customHeight="true" outlineLevel="0" collapsed="false">
      <c r="A1316" s="5" t="s">
        <v>3194</v>
      </c>
      <c r="B1316" s="7" t="n">
        <v>46</v>
      </c>
      <c r="C1316" s="7" t="n">
        <v>46</v>
      </c>
      <c r="D1316" s="7" t="s">
        <v>3866</v>
      </c>
      <c r="E1316" s="7"/>
      <c r="G1316" s="5" t="str">
        <f aca="false">IF(ISNUMBER(FIND("old rod:",A1316)),"old rod:",A1316)</f>
        <v>46, 46, HAUNTER</v>
      </c>
      <c r="I1316" s="5" t="s">
        <v>3194</v>
      </c>
    </row>
    <row r="1317" customFormat="false" ht="12.75" hidden="false" customHeight="true" outlineLevel="0" collapsed="false">
      <c r="A1317" s="5" t="s">
        <v>3195</v>
      </c>
      <c r="B1317" s="7" t="n">
        <v>41</v>
      </c>
      <c r="C1317" s="7" t="n">
        <v>41</v>
      </c>
      <c r="D1317" s="7" t="s">
        <v>3745</v>
      </c>
      <c r="E1317" s="7"/>
      <c r="G1317" s="5" t="str">
        <f aca="false">IF(ISNUMBER(FIND("old rod:",A1317)),"old rod:",A1317)</f>
        <v>41, 41, GOLBAT</v>
      </c>
      <c r="I1317" s="5" t="s">
        <v>3195</v>
      </c>
    </row>
    <row r="1318" customFormat="false" ht="12.75" hidden="false" customHeight="true" outlineLevel="0" collapsed="false">
      <c r="A1318" s="5" t="s">
        <v>3196</v>
      </c>
      <c r="B1318" s="7" t="n">
        <v>43</v>
      </c>
      <c r="C1318" s="7" t="n">
        <v>43</v>
      </c>
      <c r="D1318" s="7" t="s">
        <v>3745</v>
      </c>
      <c r="E1318" s="7"/>
      <c r="G1318" s="5" t="str">
        <f aca="false">IF(ISNUMBER(FIND("old rod:",A1318)),"old rod:",A1318)</f>
        <v>43, 43, GOLBAT</v>
      </c>
      <c r="I1318" s="5" t="s">
        <v>3196</v>
      </c>
    </row>
    <row r="1319" customFormat="false" ht="12.75" hidden="false" customHeight="true" outlineLevel="0" collapsed="false">
      <c r="A1319" s="5" t="n">
        <v>0.05</v>
      </c>
      <c r="B1319" s="5" t="n">
        <v>0.05</v>
      </c>
      <c r="C1319" s="7"/>
      <c r="D1319" s="7"/>
      <c r="E1319" s="7"/>
      <c r="G1319" s="5" t="n">
        <f aca="false">IF(ISNUMBER(FIND("old rod:",A1319)),"old rod:",A1319)</f>
        <v>0.05</v>
      </c>
      <c r="I1319" s="5" t="n">
        <v>0.05</v>
      </c>
    </row>
    <row r="1320" customFormat="false" ht="12.75" hidden="false" customHeight="true" outlineLevel="0" collapsed="false">
      <c r="A1320" s="5" t="s">
        <v>3197</v>
      </c>
      <c r="B1320" s="7" t="n">
        <v>38</v>
      </c>
      <c r="C1320" s="7" t="n">
        <v>38</v>
      </c>
      <c r="D1320" s="7" t="s">
        <v>3863</v>
      </c>
      <c r="E1320" s="7"/>
      <c r="G1320" s="5" t="str">
        <f aca="false">IF(ISNUMBER(FIND("old rod:",A1320)),"old rod:",A1320)</f>
        <v>38, 38, GASTLY</v>
      </c>
      <c r="I1320" s="5" t="s">
        <v>3197</v>
      </c>
    </row>
    <row r="1321" customFormat="false" ht="12.75" hidden="false" customHeight="true" outlineLevel="0" collapsed="false">
      <c r="A1321" s="5" t="s">
        <v>3198</v>
      </c>
      <c r="B1321" s="7" t="n">
        <v>48</v>
      </c>
      <c r="C1321" s="7" t="n">
        <v>48</v>
      </c>
      <c r="D1321" s="7" t="s">
        <v>3866</v>
      </c>
      <c r="E1321" s="7"/>
      <c r="G1321" s="5" t="str">
        <f aca="false">IF(ISNUMBER(FIND("old rod:",A1321)),"old rod:",A1321)</f>
        <v>48, 48, HAUNTER</v>
      </c>
      <c r="I1321" s="5" t="s">
        <v>3198</v>
      </c>
    </row>
    <row r="1322" customFormat="false" ht="12.75" hidden="false" customHeight="true" outlineLevel="0" collapsed="false">
      <c r="A1322" s="5" t="n">
        <v>0.04</v>
      </c>
      <c r="B1322" s="5" t="n">
        <v>0.04</v>
      </c>
      <c r="C1322" s="7"/>
      <c r="D1322" s="7"/>
      <c r="E1322" s="7"/>
      <c r="G1322" s="5" t="n">
        <f aca="false">IF(ISNUMBER(FIND("old rod:",A1322)),"old rod:",A1322)</f>
        <v>0.04</v>
      </c>
      <c r="I1322" s="5" t="n">
        <v>0.04</v>
      </c>
    </row>
    <row r="1323" customFormat="false" ht="12.75" hidden="false" customHeight="true" outlineLevel="0" collapsed="false">
      <c r="A1323" s="5" t="s">
        <v>3199</v>
      </c>
      <c r="B1323" s="7" t="n">
        <v>50</v>
      </c>
      <c r="C1323" s="7" t="n">
        <v>50</v>
      </c>
      <c r="D1323" s="7" t="s">
        <v>3866</v>
      </c>
      <c r="E1323" s="7"/>
      <c r="G1323" s="5" t="str">
        <f aca="false">IF(ISNUMBER(FIND("old rod:",A1323)),"old rod:",A1323)</f>
        <v>50, 50, HAUNTER</v>
      </c>
      <c r="I1323" s="5" t="s">
        <v>3199</v>
      </c>
    </row>
    <row r="1324" customFormat="false" ht="12.75" hidden="false" customHeight="true" outlineLevel="0" collapsed="false">
      <c r="A1324" s="5" t="s">
        <v>3200</v>
      </c>
      <c r="B1324" s="7" t="n">
        <v>22</v>
      </c>
      <c r="C1324" s="7" t="n">
        <v>22</v>
      </c>
      <c r="D1324" s="7" t="s">
        <v>3901</v>
      </c>
      <c r="E1324" s="7"/>
      <c r="G1324" s="5" t="str">
        <f aca="false">IF(ISNUMBER(FIND("old rod:",A1324)),"old rod:",A1324)</f>
        <v>22, 22, MISDREAVUS</v>
      </c>
      <c r="I1324" s="5" t="s">
        <v>3200</v>
      </c>
    </row>
    <row r="1325" customFormat="false" ht="12.75" hidden="false" customHeight="true" outlineLevel="0" collapsed="false">
      <c r="A1325" s="5" t="n">
        <v>0.01</v>
      </c>
      <c r="B1325" s="5" t="n">
        <v>0.01</v>
      </c>
      <c r="C1325" s="7"/>
      <c r="D1325" s="7"/>
      <c r="E1325" s="7"/>
      <c r="G1325" s="5" t="n">
        <f aca="false">IF(ISNUMBER(FIND("old rod:",A1325)),"old rod:",A1325)</f>
        <v>0.01</v>
      </c>
      <c r="I1325" s="5" t="n">
        <v>0.01</v>
      </c>
    </row>
    <row r="1326" customFormat="false" ht="12.75" hidden="false" customHeight="true" outlineLevel="0" collapsed="false">
      <c r="A1326" s="5" t="s">
        <v>3201</v>
      </c>
      <c r="B1326" s="7" t="n">
        <v>52</v>
      </c>
      <c r="C1326" s="7" t="n">
        <v>52</v>
      </c>
      <c r="D1326" s="7" t="s">
        <v>3866</v>
      </c>
      <c r="E1326" s="7"/>
      <c r="G1326" s="5" t="str">
        <f aca="false">IF(ISNUMBER(FIND("old rod:",A1326)),"old rod:",A1326)</f>
        <v>52, 52, HAUNTER</v>
      </c>
      <c r="I1326" s="5" t="s">
        <v>3201</v>
      </c>
    </row>
    <row r="1327" customFormat="false" ht="12.75" hidden="false" customHeight="true" outlineLevel="0" collapsed="false">
      <c r="A1327" s="5" t="s">
        <v>3200</v>
      </c>
      <c r="B1327" s="7" t="n">
        <v>22</v>
      </c>
      <c r="C1327" s="7" t="n">
        <v>22</v>
      </c>
      <c r="D1327" s="7" t="s">
        <v>3901</v>
      </c>
      <c r="E1327" s="7"/>
      <c r="G1327" s="5" t="str">
        <f aca="false">IF(ISNUMBER(FIND("old rod:",A1327)),"old rod:",A1327)</f>
        <v>22, 22, MISDREAVUS</v>
      </c>
      <c r="I1327" s="5" t="s">
        <v>3200</v>
      </c>
    </row>
    <row r="1328" customFormat="false" ht="12.75" hidden="false" customHeight="true" outlineLevel="0" collapsed="false">
      <c r="A1328" s="5" t="s">
        <v>2536</v>
      </c>
      <c r="B1328" s="7" t="s">
        <v>2536</v>
      </c>
      <c r="C1328" s="7"/>
      <c r="D1328" s="7"/>
      <c r="E1328" s="7"/>
      <c r="G1328" s="5" t="str">
        <f aca="false">IF(ISNUMBER(FIND("old rod:",A1328)),"old rod:",A1328)</f>
        <v>NEW ROUTE</v>
      </c>
      <c r="I1328" s="5" t="s">
        <v>2536</v>
      </c>
    </row>
    <row r="1329" customFormat="false" ht="12.75" hidden="false" customHeight="true" outlineLevel="0" collapsed="false">
      <c r="A1329" s="5" t="s">
        <v>301</v>
      </c>
      <c r="B1329" s="7" t="s">
        <v>301</v>
      </c>
      <c r="C1329" s="7"/>
      <c r="D1329" s="7"/>
      <c r="E1329" s="7"/>
      <c r="G1329" s="5" t="str">
        <f aca="false">IF(ISNUMBER(FIND("old rod:",A1329)),"old rod:",A1329)</f>
        <v>Five Island Lost Cave Room 9</v>
      </c>
      <c r="I1329" s="5" t="s">
        <v>301</v>
      </c>
    </row>
    <row r="1330" customFormat="false" ht="12.75" hidden="false" customHeight="true" outlineLevel="0" collapsed="false">
      <c r="A1330" s="5" t="n">
        <v>0.2</v>
      </c>
      <c r="B1330" s="5" t="n">
        <v>0.2</v>
      </c>
      <c r="C1330" s="7"/>
      <c r="D1330" s="7"/>
      <c r="E1330" s="7"/>
      <c r="G1330" s="5" t="n">
        <f aca="false">IF(ISNUMBER(FIND("old rod:",A1330)),"old rod:",A1330)</f>
        <v>0.2</v>
      </c>
      <c r="I1330" s="5" t="n">
        <v>0.2</v>
      </c>
    </row>
    <row r="1331" customFormat="false" ht="12.75" hidden="false" customHeight="true" outlineLevel="0" collapsed="false">
      <c r="A1331" s="5" t="s">
        <v>1638</v>
      </c>
      <c r="B1331" s="7" t="n">
        <v>40</v>
      </c>
      <c r="C1331" s="7" t="n">
        <v>40</v>
      </c>
      <c r="D1331" s="7" t="s">
        <v>3863</v>
      </c>
      <c r="E1331" s="7"/>
      <c r="G1331" s="5" t="str">
        <f aca="false">IF(ISNUMBER(FIND("old rod:",A1331)),"old rod:",A1331)</f>
        <v>40, 40, GASTLY</v>
      </c>
      <c r="I1331" s="5" t="s">
        <v>1638</v>
      </c>
    </row>
    <row r="1332" customFormat="false" ht="12.75" hidden="false" customHeight="true" outlineLevel="0" collapsed="false">
      <c r="A1332" s="5" t="s">
        <v>3192</v>
      </c>
      <c r="B1332" s="7" t="n">
        <v>37</v>
      </c>
      <c r="C1332" s="7" t="n">
        <v>37</v>
      </c>
      <c r="D1332" s="7" t="s">
        <v>3739</v>
      </c>
      <c r="E1332" s="7"/>
      <c r="G1332" s="5" t="str">
        <f aca="false">IF(ISNUMBER(FIND("old rod:",A1332)),"old rod:",A1332)</f>
        <v>37, 37, ZUBAT</v>
      </c>
      <c r="I1332" s="5" t="s">
        <v>3192</v>
      </c>
    </row>
    <row r="1333" customFormat="false" ht="12.75" hidden="false" customHeight="true" outlineLevel="0" collapsed="false">
      <c r="A1333" s="5" t="n">
        <v>0.1</v>
      </c>
      <c r="B1333" s="5" t="n">
        <v>0.1</v>
      </c>
      <c r="C1333" s="7"/>
      <c r="D1333" s="7"/>
      <c r="E1333" s="7"/>
      <c r="G1333" s="5" t="n">
        <f aca="false">IF(ISNUMBER(FIND("old rod:",A1333)),"old rod:",A1333)</f>
        <v>0.1</v>
      </c>
      <c r="I1333" s="5" t="n">
        <v>0.1</v>
      </c>
    </row>
    <row r="1334" customFormat="false" ht="12.75" hidden="false" customHeight="true" outlineLevel="0" collapsed="false">
      <c r="A1334" s="5" t="s">
        <v>3193</v>
      </c>
      <c r="B1334" s="7" t="n">
        <v>44</v>
      </c>
      <c r="C1334" s="7" t="n">
        <v>44</v>
      </c>
      <c r="D1334" s="7" t="s">
        <v>3866</v>
      </c>
      <c r="E1334" s="7"/>
      <c r="G1334" s="5" t="str">
        <f aca="false">IF(ISNUMBER(FIND("old rod:",A1334)),"old rod:",A1334)</f>
        <v>44, 44, HAUNTER</v>
      </c>
      <c r="I1334" s="5" t="s">
        <v>3193</v>
      </c>
    </row>
    <row r="1335" customFormat="false" ht="12.75" hidden="false" customHeight="true" outlineLevel="0" collapsed="false">
      <c r="A1335" s="5" t="s">
        <v>3194</v>
      </c>
      <c r="B1335" s="7" t="n">
        <v>46</v>
      </c>
      <c r="C1335" s="7" t="n">
        <v>46</v>
      </c>
      <c r="D1335" s="7" t="s">
        <v>3866</v>
      </c>
      <c r="E1335" s="7"/>
      <c r="G1335" s="5" t="str">
        <f aca="false">IF(ISNUMBER(FIND("old rod:",A1335)),"old rod:",A1335)</f>
        <v>46, 46, HAUNTER</v>
      </c>
      <c r="I1335" s="5" t="s">
        <v>3194</v>
      </c>
    </row>
    <row r="1336" customFormat="false" ht="12.75" hidden="false" customHeight="true" outlineLevel="0" collapsed="false">
      <c r="A1336" s="5" t="s">
        <v>3195</v>
      </c>
      <c r="B1336" s="7" t="n">
        <v>41</v>
      </c>
      <c r="C1336" s="7" t="n">
        <v>41</v>
      </c>
      <c r="D1336" s="7" t="s">
        <v>3745</v>
      </c>
      <c r="E1336" s="7"/>
      <c r="G1336" s="5" t="str">
        <f aca="false">IF(ISNUMBER(FIND("old rod:",A1336)),"old rod:",A1336)</f>
        <v>41, 41, GOLBAT</v>
      </c>
      <c r="I1336" s="5" t="s">
        <v>3195</v>
      </c>
    </row>
    <row r="1337" customFormat="false" ht="12.75" hidden="false" customHeight="true" outlineLevel="0" collapsed="false">
      <c r="A1337" s="5" t="s">
        <v>3196</v>
      </c>
      <c r="B1337" s="7" t="n">
        <v>43</v>
      </c>
      <c r="C1337" s="7" t="n">
        <v>43</v>
      </c>
      <c r="D1337" s="7" t="s">
        <v>3745</v>
      </c>
      <c r="E1337" s="7"/>
      <c r="G1337" s="5" t="str">
        <f aca="false">IF(ISNUMBER(FIND("old rod:",A1337)),"old rod:",A1337)</f>
        <v>43, 43, GOLBAT</v>
      </c>
      <c r="I1337" s="5" t="s">
        <v>3196</v>
      </c>
    </row>
    <row r="1338" customFormat="false" ht="12.75" hidden="false" customHeight="true" outlineLevel="0" collapsed="false">
      <c r="A1338" s="5" t="n">
        <v>0.05</v>
      </c>
      <c r="B1338" s="5" t="n">
        <v>0.05</v>
      </c>
      <c r="C1338" s="7"/>
      <c r="D1338" s="7"/>
      <c r="E1338" s="7"/>
      <c r="G1338" s="5" t="n">
        <f aca="false">IF(ISNUMBER(FIND("old rod:",A1338)),"old rod:",A1338)</f>
        <v>0.05</v>
      </c>
      <c r="I1338" s="5" t="n">
        <v>0.05</v>
      </c>
    </row>
    <row r="1339" customFormat="false" ht="12.75" hidden="false" customHeight="true" outlineLevel="0" collapsed="false">
      <c r="A1339" s="5" t="s">
        <v>3197</v>
      </c>
      <c r="B1339" s="7" t="n">
        <v>38</v>
      </c>
      <c r="C1339" s="7" t="n">
        <v>38</v>
      </c>
      <c r="D1339" s="7" t="s">
        <v>3863</v>
      </c>
      <c r="E1339" s="7"/>
      <c r="G1339" s="5" t="str">
        <f aca="false">IF(ISNUMBER(FIND("old rod:",A1339)),"old rod:",A1339)</f>
        <v>38, 38, GASTLY</v>
      </c>
      <c r="I1339" s="5" t="s">
        <v>3197</v>
      </c>
    </row>
    <row r="1340" customFormat="false" ht="12.75" hidden="false" customHeight="true" outlineLevel="0" collapsed="false">
      <c r="A1340" s="5" t="s">
        <v>3198</v>
      </c>
      <c r="B1340" s="7" t="n">
        <v>48</v>
      </c>
      <c r="C1340" s="7" t="n">
        <v>48</v>
      </c>
      <c r="D1340" s="7" t="s">
        <v>3866</v>
      </c>
      <c r="E1340" s="7"/>
      <c r="G1340" s="5" t="str">
        <f aca="false">IF(ISNUMBER(FIND("old rod:",A1340)),"old rod:",A1340)</f>
        <v>48, 48, HAUNTER</v>
      </c>
      <c r="I1340" s="5" t="s">
        <v>3198</v>
      </c>
    </row>
    <row r="1341" customFormat="false" ht="12.75" hidden="false" customHeight="true" outlineLevel="0" collapsed="false">
      <c r="A1341" s="5" t="n">
        <v>0.04</v>
      </c>
      <c r="B1341" s="5" t="n">
        <v>0.04</v>
      </c>
      <c r="C1341" s="7"/>
      <c r="D1341" s="7"/>
      <c r="E1341" s="7"/>
      <c r="G1341" s="5" t="n">
        <f aca="false">IF(ISNUMBER(FIND("old rod:",A1341)),"old rod:",A1341)</f>
        <v>0.04</v>
      </c>
      <c r="I1341" s="5" t="n">
        <v>0.04</v>
      </c>
    </row>
    <row r="1342" customFormat="false" ht="12.75" hidden="false" customHeight="true" outlineLevel="0" collapsed="false">
      <c r="A1342" s="5" t="s">
        <v>3199</v>
      </c>
      <c r="B1342" s="7" t="n">
        <v>50</v>
      </c>
      <c r="C1342" s="7" t="n">
        <v>50</v>
      </c>
      <c r="D1342" s="7" t="s">
        <v>3866</v>
      </c>
      <c r="E1342" s="7"/>
      <c r="G1342" s="5" t="str">
        <f aca="false">IF(ISNUMBER(FIND("old rod:",A1342)),"old rod:",A1342)</f>
        <v>50, 50, HAUNTER</v>
      </c>
      <c r="I1342" s="5" t="s">
        <v>3199</v>
      </c>
    </row>
    <row r="1343" customFormat="false" ht="12.75" hidden="false" customHeight="true" outlineLevel="0" collapsed="false">
      <c r="A1343" s="5" t="s">
        <v>3200</v>
      </c>
      <c r="B1343" s="7" t="n">
        <v>22</v>
      </c>
      <c r="C1343" s="7" t="n">
        <v>22</v>
      </c>
      <c r="D1343" s="7" t="s">
        <v>3901</v>
      </c>
      <c r="E1343" s="7"/>
      <c r="G1343" s="5" t="str">
        <f aca="false">IF(ISNUMBER(FIND("old rod:",A1343)),"old rod:",A1343)</f>
        <v>22, 22, MISDREAVUS</v>
      </c>
      <c r="I1343" s="5" t="s">
        <v>3200</v>
      </c>
    </row>
    <row r="1344" customFormat="false" ht="12.75" hidden="false" customHeight="true" outlineLevel="0" collapsed="false">
      <c r="A1344" s="5" t="n">
        <v>0.01</v>
      </c>
      <c r="B1344" s="5" t="n">
        <v>0.01</v>
      </c>
      <c r="C1344" s="7"/>
      <c r="D1344" s="7"/>
      <c r="E1344" s="7"/>
      <c r="G1344" s="5" t="n">
        <f aca="false">IF(ISNUMBER(FIND("old rod:",A1344)),"old rod:",A1344)</f>
        <v>0.01</v>
      </c>
      <c r="I1344" s="5" t="n">
        <v>0.01</v>
      </c>
    </row>
    <row r="1345" customFormat="false" ht="12.75" hidden="false" customHeight="true" outlineLevel="0" collapsed="false">
      <c r="A1345" s="5" t="s">
        <v>3201</v>
      </c>
      <c r="B1345" s="7" t="n">
        <v>52</v>
      </c>
      <c r="C1345" s="7" t="n">
        <v>52</v>
      </c>
      <c r="D1345" s="7" t="s">
        <v>3866</v>
      </c>
      <c r="E1345" s="7"/>
      <c r="G1345" s="5" t="str">
        <f aca="false">IF(ISNUMBER(FIND("old rod:",A1345)),"old rod:",A1345)</f>
        <v>52, 52, HAUNTER</v>
      </c>
      <c r="I1345" s="5" t="s">
        <v>3201</v>
      </c>
    </row>
    <row r="1346" customFormat="false" ht="12.75" hidden="false" customHeight="true" outlineLevel="0" collapsed="false">
      <c r="A1346" s="5" t="s">
        <v>3200</v>
      </c>
      <c r="B1346" s="7" t="n">
        <v>22</v>
      </c>
      <c r="C1346" s="7" t="n">
        <v>22</v>
      </c>
      <c r="D1346" s="7" t="s">
        <v>3901</v>
      </c>
      <c r="E1346" s="7"/>
      <c r="G1346" s="5" t="str">
        <f aca="false">IF(ISNUMBER(FIND("old rod:",A1346)),"old rod:",A1346)</f>
        <v>22, 22, MISDREAVUS</v>
      </c>
      <c r="I1346" s="5" t="s">
        <v>3200</v>
      </c>
    </row>
    <row r="1347" customFormat="false" ht="12.75" hidden="false" customHeight="true" outlineLevel="0" collapsed="false">
      <c r="A1347" s="5" t="s">
        <v>2536</v>
      </c>
      <c r="B1347" s="7" t="s">
        <v>2536</v>
      </c>
      <c r="C1347" s="7"/>
      <c r="D1347" s="7"/>
      <c r="E1347" s="7"/>
      <c r="G1347" s="5" t="str">
        <f aca="false">IF(ISNUMBER(FIND("old rod:",A1347)),"old rod:",A1347)</f>
        <v>NEW ROUTE</v>
      </c>
      <c r="I1347" s="5" t="s">
        <v>2536</v>
      </c>
    </row>
    <row r="1348" customFormat="false" ht="12.75" hidden="false" customHeight="true" outlineLevel="0" collapsed="false">
      <c r="A1348" s="5" t="s">
        <v>303</v>
      </c>
      <c r="B1348" s="7" t="s">
        <v>303</v>
      </c>
      <c r="C1348" s="7"/>
      <c r="D1348" s="7"/>
      <c r="E1348" s="7"/>
      <c r="G1348" s="5" t="str">
        <f aca="false">IF(ISNUMBER(FIND("old rod:",A1348)),"old rod:",A1348)</f>
        <v>Five Island Lost Cave Room 10</v>
      </c>
      <c r="I1348" s="5" t="s">
        <v>303</v>
      </c>
    </row>
    <row r="1349" customFormat="false" ht="12.75" hidden="false" customHeight="true" outlineLevel="0" collapsed="false">
      <c r="A1349" s="5" t="n">
        <v>0.2</v>
      </c>
      <c r="B1349" s="5" t="n">
        <v>0.2</v>
      </c>
      <c r="C1349" s="7"/>
      <c r="D1349" s="7"/>
      <c r="E1349" s="7"/>
      <c r="G1349" s="5" t="n">
        <f aca="false">IF(ISNUMBER(FIND("old rod:",A1349)),"old rod:",A1349)</f>
        <v>0.2</v>
      </c>
      <c r="I1349" s="5" t="n">
        <v>0.2</v>
      </c>
    </row>
    <row r="1350" customFormat="false" ht="12.75" hidden="false" customHeight="true" outlineLevel="0" collapsed="false">
      <c r="A1350" s="5" t="s">
        <v>1638</v>
      </c>
      <c r="B1350" s="7" t="n">
        <v>40</v>
      </c>
      <c r="C1350" s="7" t="n">
        <v>40</v>
      </c>
      <c r="D1350" s="7" t="s">
        <v>3863</v>
      </c>
      <c r="E1350" s="7"/>
      <c r="G1350" s="5" t="str">
        <f aca="false">IF(ISNUMBER(FIND("old rod:",A1350)),"old rod:",A1350)</f>
        <v>40, 40, GASTLY</v>
      </c>
      <c r="I1350" s="5" t="s">
        <v>1638</v>
      </c>
    </row>
    <row r="1351" customFormat="false" ht="12.75" hidden="false" customHeight="true" outlineLevel="0" collapsed="false">
      <c r="A1351" s="5" t="s">
        <v>3192</v>
      </c>
      <c r="B1351" s="7" t="n">
        <v>37</v>
      </c>
      <c r="C1351" s="7" t="n">
        <v>37</v>
      </c>
      <c r="D1351" s="7" t="s">
        <v>3739</v>
      </c>
      <c r="E1351" s="7"/>
      <c r="G1351" s="5" t="str">
        <f aca="false">IF(ISNUMBER(FIND("old rod:",A1351)),"old rod:",A1351)</f>
        <v>37, 37, ZUBAT</v>
      </c>
      <c r="I1351" s="5" t="s">
        <v>3192</v>
      </c>
    </row>
    <row r="1352" customFormat="false" ht="12.75" hidden="false" customHeight="true" outlineLevel="0" collapsed="false">
      <c r="A1352" s="5" t="n">
        <v>0.1</v>
      </c>
      <c r="B1352" s="5" t="n">
        <v>0.1</v>
      </c>
      <c r="C1352" s="7"/>
      <c r="D1352" s="7"/>
      <c r="E1352" s="7"/>
      <c r="G1352" s="5" t="n">
        <f aca="false">IF(ISNUMBER(FIND("old rod:",A1352)),"old rod:",A1352)</f>
        <v>0.1</v>
      </c>
      <c r="I1352" s="5" t="n">
        <v>0.1</v>
      </c>
    </row>
    <row r="1353" customFormat="false" ht="12.75" hidden="false" customHeight="true" outlineLevel="0" collapsed="false">
      <c r="A1353" s="5" t="s">
        <v>3193</v>
      </c>
      <c r="B1353" s="7" t="n">
        <v>44</v>
      </c>
      <c r="C1353" s="7" t="n">
        <v>44</v>
      </c>
      <c r="D1353" s="7" t="s">
        <v>3866</v>
      </c>
      <c r="E1353" s="7"/>
      <c r="G1353" s="5" t="str">
        <f aca="false">IF(ISNUMBER(FIND("old rod:",A1353)),"old rod:",A1353)</f>
        <v>44, 44, HAUNTER</v>
      </c>
      <c r="I1353" s="5" t="s">
        <v>3193</v>
      </c>
    </row>
    <row r="1354" customFormat="false" ht="12.75" hidden="false" customHeight="true" outlineLevel="0" collapsed="false">
      <c r="A1354" s="5" t="s">
        <v>3194</v>
      </c>
      <c r="B1354" s="7" t="n">
        <v>46</v>
      </c>
      <c r="C1354" s="7" t="n">
        <v>46</v>
      </c>
      <c r="D1354" s="7" t="s">
        <v>3866</v>
      </c>
      <c r="E1354" s="7"/>
      <c r="G1354" s="5" t="str">
        <f aca="false">IF(ISNUMBER(FIND("old rod:",A1354)),"old rod:",A1354)</f>
        <v>46, 46, HAUNTER</v>
      </c>
      <c r="I1354" s="5" t="s">
        <v>3194</v>
      </c>
    </row>
    <row r="1355" customFormat="false" ht="12.75" hidden="false" customHeight="true" outlineLevel="0" collapsed="false">
      <c r="A1355" s="5" t="s">
        <v>3195</v>
      </c>
      <c r="B1355" s="7" t="n">
        <v>41</v>
      </c>
      <c r="C1355" s="7" t="n">
        <v>41</v>
      </c>
      <c r="D1355" s="7" t="s">
        <v>3745</v>
      </c>
      <c r="E1355" s="7"/>
      <c r="G1355" s="5" t="str">
        <f aca="false">IF(ISNUMBER(FIND("old rod:",A1355)),"old rod:",A1355)</f>
        <v>41, 41, GOLBAT</v>
      </c>
      <c r="I1355" s="5" t="s">
        <v>3195</v>
      </c>
    </row>
    <row r="1356" customFormat="false" ht="12.75" hidden="false" customHeight="true" outlineLevel="0" collapsed="false">
      <c r="A1356" s="5" t="s">
        <v>3196</v>
      </c>
      <c r="B1356" s="7" t="n">
        <v>43</v>
      </c>
      <c r="C1356" s="7" t="n">
        <v>43</v>
      </c>
      <c r="D1356" s="7" t="s">
        <v>3745</v>
      </c>
      <c r="E1356" s="7"/>
      <c r="G1356" s="5" t="str">
        <f aca="false">IF(ISNUMBER(FIND("old rod:",A1356)),"old rod:",A1356)</f>
        <v>43, 43, GOLBAT</v>
      </c>
      <c r="I1356" s="5" t="s">
        <v>3196</v>
      </c>
    </row>
    <row r="1357" customFormat="false" ht="12.75" hidden="false" customHeight="true" outlineLevel="0" collapsed="false">
      <c r="A1357" s="5" t="n">
        <v>0.05</v>
      </c>
      <c r="B1357" s="5" t="n">
        <v>0.05</v>
      </c>
      <c r="C1357" s="7"/>
      <c r="D1357" s="7"/>
      <c r="E1357" s="7"/>
      <c r="G1357" s="5" t="n">
        <f aca="false">IF(ISNUMBER(FIND("old rod:",A1357)),"old rod:",A1357)</f>
        <v>0.05</v>
      </c>
      <c r="I1357" s="5" t="n">
        <v>0.05</v>
      </c>
    </row>
    <row r="1358" customFormat="false" ht="12.75" hidden="false" customHeight="true" outlineLevel="0" collapsed="false">
      <c r="A1358" s="5" t="s">
        <v>3197</v>
      </c>
      <c r="B1358" s="7" t="n">
        <v>38</v>
      </c>
      <c r="C1358" s="7" t="n">
        <v>38</v>
      </c>
      <c r="D1358" s="7" t="s">
        <v>3863</v>
      </c>
      <c r="E1358" s="7"/>
      <c r="G1358" s="5" t="str">
        <f aca="false">IF(ISNUMBER(FIND("old rod:",A1358)),"old rod:",A1358)</f>
        <v>38, 38, GASTLY</v>
      </c>
      <c r="I1358" s="5" t="s">
        <v>3197</v>
      </c>
    </row>
    <row r="1359" customFormat="false" ht="12.75" hidden="false" customHeight="true" outlineLevel="0" collapsed="false">
      <c r="A1359" s="5" t="s">
        <v>3198</v>
      </c>
      <c r="B1359" s="7" t="n">
        <v>48</v>
      </c>
      <c r="C1359" s="7" t="n">
        <v>48</v>
      </c>
      <c r="D1359" s="7" t="s">
        <v>3866</v>
      </c>
      <c r="E1359" s="7"/>
      <c r="G1359" s="5" t="str">
        <f aca="false">IF(ISNUMBER(FIND("old rod:",A1359)),"old rod:",A1359)</f>
        <v>48, 48, HAUNTER</v>
      </c>
      <c r="I1359" s="5" t="s">
        <v>3198</v>
      </c>
    </row>
    <row r="1360" customFormat="false" ht="12.75" hidden="false" customHeight="true" outlineLevel="0" collapsed="false">
      <c r="A1360" s="5" t="n">
        <v>0.04</v>
      </c>
      <c r="B1360" s="5" t="n">
        <v>0.04</v>
      </c>
      <c r="C1360" s="7"/>
      <c r="D1360" s="7"/>
      <c r="E1360" s="7"/>
      <c r="G1360" s="5" t="n">
        <f aca="false">IF(ISNUMBER(FIND("old rod:",A1360)),"old rod:",A1360)</f>
        <v>0.04</v>
      </c>
      <c r="I1360" s="5" t="n">
        <v>0.04</v>
      </c>
    </row>
    <row r="1361" customFormat="false" ht="12.75" hidden="false" customHeight="true" outlineLevel="0" collapsed="false">
      <c r="A1361" s="5" t="s">
        <v>3199</v>
      </c>
      <c r="B1361" s="7" t="n">
        <v>50</v>
      </c>
      <c r="C1361" s="7" t="n">
        <v>50</v>
      </c>
      <c r="D1361" s="7" t="s">
        <v>3866</v>
      </c>
      <c r="E1361" s="7"/>
      <c r="G1361" s="5" t="str">
        <f aca="false">IF(ISNUMBER(FIND("old rod:",A1361)),"old rod:",A1361)</f>
        <v>50, 50, HAUNTER</v>
      </c>
      <c r="I1361" s="5" t="s">
        <v>3199</v>
      </c>
    </row>
    <row r="1362" customFormat="false" ht="12.75" hidden="false" customHeight="true" outlineLevel="0" collapsed="false">
      <c r="A1362" s="5" t="s">
        <v>3200</v>
      </c>
      <c r="B1362" s="7" t="n">
        <v>22</v>
      </c>
      <c r="C1362" s="7" t="n">
        <v>22</v>
      </c>
      <c r="D1362" s="7" t="s">
        <v>3901</v>
      </c>
      <c r="E1362" s="7"/>
      <c r="G1362" s="5" t="str">
        <f aca="false">IF(ISNUMBER(FIND("old rod:",A1362)),"old rod:",A1362)</f>
        <v>22, 22, MISDREAVUS</v>
      </c>
      <c r="I1362" s="5" t="s">
        <v>3200</v>
      </c>
    </row>
    <row r="1363" customFormat="false" ht="12.75" hidden="false" customHeight="true" outlineLevel="0" collapsed="false">
      <c r="A1363" s="5" t="n">
        <v>0.01</v>
      </c>
      <c r="B1363" s="5" t="n">
        <v>0.01</v>
      </c>
      <c r="C1363" s="7"/>
      <c r="D1363" s="7"/>
      <c r="E1363" s="7"/>
      <c r="G1363" s="5" t="n">
        <f aca="false">IF(ISNUMBER(FIND("old rod:",A1363)),"old rod:",A1363)</f>
        <v>0.01</v>
      </c>
      <c r="I1363" s="5" t="n">
        <v>0.01</v>
      </c>
    </row>
    <row r="1364" customFormat="false" ht="12.75" hidden="false" customHeight="true" outlineLevel="0" collapsed="false">
      <c r="A1364" s="5" t="s">
        <v>3201</v>
      </c>
      <c r="B1364" s="7" t="n">
        <v>52</v>
      </c>
      <c r="C1364" s="7" t="n">
        <v>52</v>
      </c>
      <c r="D1364" s="7" t="s">
        <v>3866</v>
      </c>
      <c r="E1364" s="7"/>
      <c r="G1364" s="5" t="str">
        <f aca="false">IF(ISNUMBER(FIND("old rod:",A1364)),"old rod:",A1364)</f>
        <v>52, 52, HAUNTER</v>
      </c>
      <c r="I1364" s="5" t="s">
        <v>3201</v>
      </c>
    </row>
    <row r="1365" customFormat="false" ht="12.75" hidden="false" customHeight="true" outlineLevel="0" collapsed="false">
      <c r="A1365" s="5" t="s">
        <v>3200</v>
      </c>
      <c r="B1365" s="7" t="n">
        <v>22</v>
      </c>
      <c r="C1365" s="7" t="n">
        <v>22</v>
      </c>
      <c r="D1365" s="7" t="s">
        <v>3901</v>
      </c>
      <c r="E1365" s="7"/>
      <c r="G1365" s="5" t="str">
        <f aca="false">IF(ISNUMBER(FIND("old rod:",A1365)),"old rod:",A1365)</f>
        <v>22, 22, MISDREAVUS</v>
      </c>
      <c r="I1365" s="5" t="s">
        <v>3200</v>
      </c>
    </row>
    <row r="1366" customFormat="false" ht="12.75" hidden="false" customHeight="true" outlineLevel="0" collapsed="false">
      <c r="A1366" s="5" t="s">
        <v>2536</v>
      </c>
      <c r="B1366" s="7" t="s">
        <v>2536</v>
      </c>
      <c r="C1366" s="7"/>
      <c r="D1366" s="7"/>
      <c r="E1366" s="7"/>
      <c r="G1366" s="5" t="str">
        <f aca="false">IF(ISNUMBER(FIND("old rod:",A1366)),"old rod:",A1366)</f>
        <v>NEW ROUTE</v>
      </c>
      <c r="I1366" s="5" t="s">
        <v>2536</v>
      </c>
    </row>
    <row r="1367" customFormat="false" ht="12.75" hidden="false" customHeight="true" outlineLevel="0" collapsed="false">
      <c r="A1367" s="5" t="s">
        <v>305</v>
      </c>
      <c r="B1367" s="7" t="s">
        <v>305</v>
      </c>
      <c r="C1367" s="7"/>
      <c r="D1367" s="7"/>
      <c r="E1367" s="7"/>
      <c r="G1367" s="5" t="str">
        <f aca="false">IF(ISNUMBER(FIND("old rod:",A1367)),"old rod:",A1367)</f>
        <v>Five Island Lost Cave Room 11</v>
      </c>
      <c r="I1367" s="5" t="s">
        <v>305</v>
      </c>
    </row>
    <row r="1368" customFormat="false" ht="12.75" hidden="false" customHeight="true" outlineLevel="0" collapsed="false">
      <c r="A1368" s="5" t="n">
        <v>0.2</v>
      </c>
      <c r="B1368" s="5" t="n">
        <v>0.2</v>
      </c>
      <c r="C1368" s="7"/>
      <c r="D1368" s="7"/>
      <c r="E1368" s="7"/>
      <c r="G1368" s="5" t="n">
        <f aca="false">IF(ISNUMBER(FIND("old rod:",A1368)),"old rod:",A1368)</f>
        <v>0.2</v>
      </c>
      <c r="I1368" s="5" t="n">
        <v>0.2</v>
      </c>
    </row>
    <row r="1369" customFormat="false" ht="12.75" hidden="false" customHeight="true" outlineLevel="0" collapsed="false">
      <c r="A1369" s="5" t="s">
        <v>1638</v>
      </c>
      <c r="B1369" s="7" t="n">
        <v>40</v>
      </c>
      <c r="C1369" s="7" t="n">
        <v>40</v>
      </c>
      <c r="D1369" s="7" t="s">
        <v>3863</v>
      </c>
      <c r="E1369" s="7"/>
      <c r="G1369" s="5" t="str">
        <f aca="false">IF(ISNUMBER(FIND("old rod:",A1369)),"old rod:",A1369)</f>
        <v>40, 40, GASTLY</v>
      </c>
      <c r="I1369" s="5" t="s">
        <v>1638</v>
      </c>
    </row>
    <row r="1370" customFormat="false" ht="12.75" hidden="false" customHeight="true" outlineLevel="0" collapsed="false">
      <c r="A1370" s="5" t="s">
        <v>3192</v>
      </c>
      <c r="B1370" s="7" t="n">
        <v>37</v>
      </c>
      <c r="C1370" s="7" t="n">
        <v>37</v>
      </c>
      <c r="D1370" s="7" t="s">
        <v>3739</v>
      </c>
      <c r="E1370" s="7"/>
      <c r="G1370" s="5" t="str">
        <f aca="false">IF(ISNUMBER(FIND("old rod:",A1370)),"old rod:",A1370)</f>
        <v>37, 37, ZUBAT</v>
      </c>
      <c r="I1370" s="5" t="s">
        <v>3192</v>
      </c>
    </row>
    <row r="1371" customFormat="false" ht="12.75" hidden="false" customHeight="true" outlineLevel="0" collapsed="false">
      <c r="A1371" s="5" t="n">
        <v>0.1</v>
      </c>
      <c r="B1371" s="5" t="n">
        <v>0.1</v>
      </c>
      <c r="C1371" s="7"/>
      <c r="D1371" s="7"/>
      <c r="E1371" s="7"/>
      <c r="G1371" s="5" t="n">
        <f aca="false">IF(ISNUMBER(FIND("old rod:",A1371)),"old rod:",A1371)</f>
        <v>0.1</v>
      </c>
      <c r="I1371" s="5" t="n">
        <v>0.1</v>
      </c>
    </row>
    <row r="1372" customFormat="false" ht="12.75" hidden="false" customHeight="true" outlineLevel="0" collapsed="false">
      <c r="A1372" s="5" t="s">
        <v>3193</v>
      </c>
      <c r="B1372" s="7" t="n">
        <v>44</v>
      </c>
      <c r="C1372" s="7" t="n">
        <v>44</v>
      </c>
      <c r="D1372" s="7" t="s">
        <v>3866</v>
      </c>
      <c r="E1372" s="7"/>
      <c r="G1372" s="5" t="str">
        <f aca="false">IF(ISNUMBER(FIND("old rod:",A1372)),"old rod:",A1372)</f>
        <v>44, 44, HAUNTER</v>
      </c>
      <c r="I1372" s="5" t="s">
        <v>3193</v>
      </c>
    </row>
    <row r="1373" customFormat="false" ht="12.75" hidden="false" customHeight="true" outlineLevel="0" collapsed="false">
      <c r="A1373" s="5" t="s">
        <v>3194</v>
      </c>
      <c r="B1373" s="7" t="n">
        <v>46</v>
      </c>
      <c r="C1373" s="7" t="n">
        <v>46</v>
      </c>
      <c r="D1373" s="7" t="s">
        <v>3866</v>
      </c>
      <c r="E1373" s="7"/>
      <c r="G1373" s="5" t="str">
        <f aca="false">IF(ISNUMBER(FIND("old rod:",A1373)),"old rod:",A1373)</f>
        <v>46, 46, HAUNTER</v>
      </c>
      <c r="I1373" s="5" t="s">
        <v>3194</v>
      </c>
    </row>
    <row r="1374" customFormat="false" ht="12.75" hidden="false" customHeight="true" outlineLevel="0" collapsed="false">
      <c r="A1374" s="5" t="s">
        <v>3195</v>
      </c>
      <c r="B1374" s="7" t="n">
        <v>41</v>
      </c>
      <c r="C1374" s="7" t="n">
        <v>41</v>
      </c>
      <c r="D1374" s="7" t="s">
        <v>3745</v>
      </c>
      <c r="E1374" s="7"/>
      <c r="G1374" s="5" t="str">
        <f aca="false">IF(ISNUMBER(FIND("old rod:",A1374)),"old rod:",A1374)</f>
        <v>41, 41, GOLBAT</v>
      </c>
      <c r="I1374" s="5" t="s">
        <v>3195</v>
      </c>
    </row>
    <row r="1375" customFormat="false" ht="12.75" hidden="false" customHeight="true" outlineLevel="0" collapsed="false">
      <c r="A1375" s="5" t="s">
        <v>3215</v>
      </c>
      <c r="B1375" s="7" t="n">
        <v>15</v>
      </c>
      <c r="C1375" s="7" t="n">
        <v>15</v>
      </c>
      <c r="D1375" s="7" t="s">
        <v>3901</v>
      </c>
      <c r="E1375" s="7"/>
      <c r="G1375" s="5" t="str">
        <f aca="false">IF(ISNUMBER(FIND("old rod:",A1375)),"old rod:",A1375)</f>
        <v>15, 15, MISDREAVUS</v>
      </c>
      <c r="I1375" s="5" t="s">
        <v>3215</v>
      </c>
    </row>
    <row r="1376" customFormat="false" ht="12.75" hidden="false" customHeight="true" outlineLevel="0" collapsed="false">
      <c r="A1376" s="5" t="n">
        <v>0.05</v>
      </c>
      <c r="B1376" s="5" t="n">
        <v>0.05</v>
      </c>
      <c r="C1376" s="7"/>
      <c r="D1376" s="7"/>
      <c r="E1376" s="7"/>
      <c r="G1376" s="5" t="n">
        <f aca="false">IF(ISNUMBER(FIND("old rod:",A1376)),"old rod:",A1376)</f>
        <v>0.05</v>
      </c>
      <c r="I1376" s="5" t="n">
        <v>0.05</v>
      </c>
    </row>
    <row r="1377" customFormat="false" ht="12.75" hidden="false" customHeight="true" outlineLevel="0" collapsed="false">
      <c r="A1377" s="5" t="s">
        <v>3216</v>
      </c>
      <c r="B1377" s="7" t="n">
        <v>20</v>
      </c>
      <c r="C1377" s="7" t="n">
        <v>20</v>
      </c>
      <c r="D1377" s="7" t="s">
        <v>3901</v>
      </c>
      <c r="E1377" s="7"/>
      <c r="G1377" s="5" t="str">
        <f aca="false">IF(ISNUMBER(FIND("old rod:",A1377)),"old rod:",A1377)</f>
        <v>20, 20, MISDREAVUS</v>
      </c>
      <c r="I1377" s="5" t="s">
        <v>3216</v>
      </c>
    </row>
    <row r="1378" customFormat="false" ht="12.75" hidden="false" customHeight="true" outlineLevel="0" collapsed="false">
      <c r="A1378" s="5" t="s">
        <v>3198</v>
      </c>
      <c r="B1378" s="7" t="n">
        <v>48</v>
      </c>
      <c r="C1378" s="7" t="n">
        <v>48</v>
      </c>
      <c r="D1378" s="7" t="s">
        <v>3866</v>
      </c>
      <c r="E1378" s="7"/>
      <c r="G1378" s="5" t="str">
        <f aca="false">IF(ISNUMBER(FIND("old rod:",A1378)),"old rod:",A1378)</f>
        <v>48, 48, HAUNTER</v>
      </c>
      <c r="I1378" s="5" t="s">
        <v>3198</v>
      </c>
    </row>
    <row r="1379" customFormat="false" ht="12.75" hidden="false" customHeight="true" outlineLevel="0" collapsed="false">
      <c r="A1379" s="5" t="n">
        <v>0.04</v>
      </c>
      <c r="B1379" s="5" t="n">
        <v>0.04</v>
      </c>
      <c r="C1379" s="7"/>
      <c r="D1379" s="7"/>
      <c r="E1379" s="7"/>
      <c r="G1379" s="5" t="n">
        <f aca="false">IF(ISNUMBER(FIND("old rod:",A1379)),"old rod:",A1379)</f>
        <v>0.04</v>
      </c>
      <c r="I1379" s="5" t="n">
        <v>0.04</v>
      </c>
    </row>
    <row r="1380" customFormat="false" ht="12.75" hidden="false" customHeight="true" outlineLevel="0" collapsed="false">
      <c r="A1380" s="5" t="s">
        <v>3199</v>
      </c>
      <c r="B1380" s="7" t="n">
        <v>50</v>
      </c>
      <c r="C1380" s="7" t="n">
        <v>50</v>
      </c>
      <c r="D1380" s="7" t="s">
        <v>3866</v>
      </c>
      <c r="E1380" s="7"/>
      <c r="G1380" s="5" t="str">
        <f aca="false">IF(ISNUMBER(FIND("old rod:",A1380)),"old rod:",A1380)</f>
        <v>50, 50, HAUNTER</v>
      </c>
      <c r="I1380" s="5" t="s">
        <v>3199</v>
      </c>
    </row>
    <row r="1381" customFormat="false" ht="12.75" hidden="false" customHeight="true" outlineLevel="0" collapsed="false">
      <c r="A1381" s="5" t="s">
        <v>3200</v>
      </c>
      <c r="B1381" s="7" t="n">
        <v>22</v>
      </c>
      <c r="C1381" s="7" t="n">
        <v>22</v>
      </c>
      <c r="D1381" s="7" t="s">
        <v>3901</v>
      </c>
      <c r="E1381" s="7"/>
      <c r="G1381" s="5" t="str">
        <f aca="false">IF(ISNUMBER(FIND("old rod:",A1381)),"old rod:",A1381)</f>
        <v>22, 22, MISDREAVUS</v>
      </c>
      <c r="I1381" s="5" t="s">
        <v>3200</v>
      </c>
    </row>
    <row r="1382" customFormat="false" ht="12.75" hidden="false" customHeight="true" outlineLevel="0" collapsed="false">
      <c r="A1382" s="5" t="n">
        <v>0.01</v>
      </c>
      <c r="B1382" s="5" t="n">
        <v>0.01</v>
      </c>
      <c r="C1382" s="7"/>
      <c r="D1382" s="7"/>
      <c r="E1382" s="7"/>
      <c r="G1382" s="5" t="n">
        <f aca="false">IF(ISNUMBER(FIND("old rod:",A1382)),"old rod:",A1382)</f>
        <v>0.01</v>
      </c>
      <c r="I1382" s="5" t="n">
        <v>0.01</v>
      </c>
    </row>
    <row r="1383" customFormat="false" ht="12.75" hidden="false" customHeight="true" outlineLevel="0" collapsed="false">
      <c r="A1383" s="5" t="s">
        <v>3201</v>
      </c>
      <c r="B1383" s="7" t="n">
        <v>52</v>
      </c>
      <c r="C1383" s="7" t="n">
        <v>52</v>
      </c>
      <c r="D1383" s="7" t="s">
        <v>3866</v>
      </c>
      <c r="E1383" s="7"/>
      <c r="G1383" s="5" t="str">
        <f aca="false">IF(ISNUMBER(FIND("old rod:",A1383)),"old rod:",A1383)</f>
        <v>52, 52, HAUNTER</v>
      </c>
      <c r="I1383" s="5" t="s">
        <v>3201</v>
      </c>
    </row>
    <row r="1384" customFormat="false" ht="12.75" hidden="false" customHeight="true" outlineLevel="0" collapsed="false">
      <c r="A1384" s="5" t="s">
        <v>3200</v>
      </c>
      <c r="B1384" s="7" t="n">
        <v>22</v>
      </c>
      <c r="C1384" s="7" t="n">
        <v>22</v>
      </c>
      <c r="D1384" s="7" t="s">
        <v>3901</v>
      </c>
      <c r="E1384" s="7"/>
      <c r="G1384" s="5" t="str">
        <f aca="false">IF(ISNUMBER(FIND("old rod:",A1384)),"old rod:",A1384)</f>
        <v>22, 22, MISDREAVUS</v>
      </c>
      <c r="I1384" s="5" t="s">
        <v>3200</v>
      </c>
    </row>
    <row r="1385" customFormat="false" ht="12.75" hidden="false" customHeight="true" outlineLevel="0" collapsed="false">
      <c r="A1385" s="5" t="s">
        <v>2536</v>
      </c>
      <c r="B1385" s="7" t="s">
        <v>2536</v>
      </c>
      <c r="C1385" s="7"/>
      <c r="D1385" s="7"/>
      <c r="E1385" s="7"/>
      <c r="G1385" s="5" t="str">
        <f aca="false">IF(ISNUMBER(FIND("old rod:",A1385)),"old rod:",A1385)</f>
        <v>NEW ROUTE</v>
      </c>
      <c r="I1385" s="5" t="s">
        <v>2536</v>
      </c>
    </row>
    <row r="1386" customFormat="false" ht="12.75" hidden="false" customHeight="true" outlineLevel="0" collapsed="false">
      <c r="A1386" s="5" t="s">
        <v>307</v>
      </c>
      <c r="B1386" s="7" t="s">
        <v>307</v>
      </c>
      <c r="C1386" s="7"/>
      <c r="D1386" s="7"/>
      <c r="E1386" s="7"/>
      <c r="G1386" s="5" t="str">
        <f aca="false">IF(ISNUMBER(FIND("old rod:",A1386)),"old rod:",A1386)</f>
        <v>Five Island Lost Cave Room 12</v>
      </c>
      <c r="I1386" s="5" t="s">
        <v>307</v>
      </c>
    </row>
    <row r="1387" customFormat="false" ht="12.75" hidden="false" customHeight="true" outlineLevel="0" collapsed="false">
      <c r="A1387" s="5" t="n">
        <v>0.2</v>
      </c>
      <c r="B1387" s="5" t="n">
        <v>0.2</v>
      </c>
      <c r="C1387" s="7"/>
      <c r="D1387" s="7"/>
      <c r="E1387" s="7"/>
      <c r="G1387" s="5" t="n">
        <f aca="false">IF(ISNUMBER(FIND("old rod:",A1387)),"old rod:",A1387)</f>
        <v>0.2</v>
      </c>
      <c r="I1387" s="5" t="n">
        <v>0.2</v>
      </c>
    </row>
    <row r="1388" customFormat="false" ht="12.75" hidden="false" customHeight="true" outlineLevel="0" collapsed="false">
      <c r="A1388" s="5" t="s">
        <v>1638</v>
      </c>
      <c r="B1388" s="7" t="n">
        <v>40</v>
      </c>
      <c r="C1388" s="7" t="n">
        <v>40</v>
      </c>
      <c r="D1388" s="7" t="s">
        <v>3863</v>
      </c>
      <c r="E1388" s="7"/>
      <c r="G1388" s="5" t="str">
        <f aca="false">IF(ISNUMBER(FIND("old rod:",A1388)),"old rod:",A1388)</f>
        <v>40, 40, GASTLY</v>
      </c>
      <c r="I1388" s="5" t="s">
        <v>1638</v>
      </c>
    </row>
    <row r="1389" customFormat="false" ht="12.75" hidden="false" customHeight="true" outlineLevel="0" collapsed="false">
      <c r="A1389" s="5" t="s">
        <v>3192</v>
      </c>
      <c r="B1389" s="7" t="n">
        <v>37</v>
      </c>
      <c r="C1389" s="7" t="n">
        <v>37</v>
      </c>
      <c r="D1389" s="7" t="s">
        <v>3739</v>
      </c>
      <c r="E1389" s="7"/>
      <c r="G1389" s="5" t="str">
        <f aca="false">IF(ISNUMBER(FIND("old rod:",A1389)),"old rod:",A1389)</f>
        <v>37, 37, ZUBAT</v>
      </c>
      <c r="I1389" s="5" t="s">
        <v>3192</v>
      </c>
    </row>
    <row r="1390" customFormat="false" ht="12.75" hidden="false" customHeight="true" outlineLevel="0" collapsed="false">
      <c r="A1390" s="5" t="n">
        <v>0.1</v>
      </c>
      <c r="B1390" s="5" t="n">
        <v>0.1</v>
      </c>
      <c r="C1390" s="7"/>
      <c r="D1390" s="7"/>
      <c r="E1390" s="7"/>
      <c r="G1390" s="5" t="n">
        <f aca="false">IF(ISNUMBER(FIND("old rod:",A1390)),"old rod:",A1390)</f>
        <v>0.1</v>
      </c>
      <c r="I1390" s="5" t="n">
        <v>0.1</v>
      </c>
    </row>
    <row r="1391" customFormat="false" ht="12.75" hidden="false" customHeight="true" outlineLevel="0" collapsed="false">
      <c r="A1391" s="5" t="s">
        <v>3193</v>
      </c>
      <c r="B1391" s="7" t="n">
        <v>44</v>
      </c>
      <c r="C1391" s="7" t="n">
        <v>44</v>
      </c>
      <c r="D1391" s="7" t="s">
        <v>3866</v>
      </c>
      <c r="E1391" s="7"/>
      <c r="G1391" s="5" t="str">
        <f aca="false">IF(ISNUMBER(FIND("old rod:",A1391)),"old rod:",A1391)</f>
        <v>44, 44, HAUNTER</v>
      </c>
      <c r="I1391" s="5" t="s">
        <v>3193</v>
      </c>
    </row>
    <row r="1392" customFormat="false" ht="12.75" hidden="false" customHeight="true" outlineLevel="0" collapsed="false">
      <c r="A1392" s="5" t="s">
        <v>3194</v>
      </c>
      <c r="B1392" s="7" t="n">
        <v>46</v>
      </c>
      <c r="C1392" s="7" t="n">
        <v>46</v>
      </c>
      <c r="D1392" s="7" t="s">
        <v>3866</v>
      </c>
      <c r="E1392" s="7"/>
      <c r="G1392" s="5" t="str">
        <f aca="false">IF(ISNUMBER(FIND("old rod:",A1392)),"old rod:",A1392)</f>
        <v>46, 46, HAUNTER</v>
      </c>
      <c r="I1392" s="5" t="s">
        <v>3194</v>
      </c>
    </row>
    <row r="1393" customFormat="false" ht="12.75" hidden="false" customHeight="true" outlineLevel="0" collapsed="false">
      <c r="A1393" s="5" t="s">
        <v>3195</v>
      </c>
      <c r="B1393" s="7" t="n">
        <v>41</v>
      </c>
      <c r="C1393" s="7" t="n">
        <v>41</v>
      </c>
      <c r="D1393" s="7" t="s">
        <v>3745</v>
      </c>
      <c r="E1393" s="7"/>
      <c r="G1393" s="5" t="str">
        <f aca="false">IF(ISNUMBER(FIND("old rod:",A1393)),"old rod:",A1393)</f>
        <v>41, 41, GOLBAT</v>
      </c>
      <c r="I1393" s="5" t="s">
        <v>3195</v>
      </c>
    </row>
    <row r="1394" customFormat="false" ht="12.75" hidden="false" customHeight="true" outlineLevel="0" collapsed="false">
      <c r="A1394" s="5" t="s">
        <v>3215</v>
      </c>
      <c r="B1394" s="7" t="n">
        <v>15</v>
      </c>
      <c r="C1394" s="7" t="n">
        <v>15</v>
      </c>
      <c r="D1394" s="7" t="s">
        <v>3901</v>
      </c>
      <c r="E1394" s="7"/>
      <c r="G1394" s="5" t="str">
        <f aca="false">IF(ISNUMBER(FIND("old rod:",A1394)),"old rod:",A1394)</f>
        <v>15, 15, MISDREAVUS</v>
      </c>
      <c r="I1394" s="5" t="s">
        <v>3215</v>
      </c>
    </row>
    <row r="1395" customFormat="false" ht="12.75" hidden="false" customHeight="true" outlineLevel="0" collapsed="false">
      <c r="A1395" s="5" t="n">
        <v>0.05</v>
      </c>
      <c r="B1395" s="5" t="n">
        <v>0.05</v>
      </c>
      <c r="C1395" s="7"/>
      <c r="D1395" s="7"/>
      <c r="E1395" s="7"/>
      <c r="G1395" s="5" t="n">
        <f aca="false">IF(ISNUMBER(FIND("old rod:",A1395)),"old rod:",A1395)</f>
        <v>0.05</v>
      </c>
      <c r="I1395" s="5" t="n">
        <v>0.05</v>
      </c>
    </row>
    <row r="1396" customFormat="false" ht="12.75" hidden="false" customHeight="true" outlineLevel="0" collapsed="false">
      <c r="A1396" s="5" t="s">
        <v>3216</v>
      </c>
      <c r="B1396" s="7" t="n">
        <v>20</v>
      </c>
      <c r="C1396" s="7" t="n">
        <v>20</v>
      </c>
      <c r="D1396" s="7" t="s">
        <v>3901</v>
      </c>
      <c r="E1396" s="7"/>
      <c r="G1396" s="5" t="str">
        <f aca="false">IF(ISNUMBER(FIND("old rod:",A1396)),"old rod:",A1396)</f>
        <v>20, 20, MISDREAVUS</v>
      </c>
      <c r="I1396" s="5" t="s">
        <v>3216</v>
      </c>
    </row>
    <row r="1397" customFormat="false" ht="12.75" hidden="false" customHeight="true" outlineLevel="0" collapsed="false">
      <c r="A1397" s="5" t="s">
        <v>3198</v>
      </c>
      <c r="B1397" s="7" t="n">
        <v>48</v>
      </c>
      <c r="C1397" s="7" t="n">
        <v>48</v>
      </c>
      <c r="D1397" s="7" t="s">
        <v>3866</v>
      </c>
      <c r="E1397" s="7"/>
      <c r="G1397" s="5" t="str">
        <f aca="false">IF(ISNUMBER(FIND("old rod:",A1397)),"old rod:",A1397)</f>
        <v>48, 48, HAUNTER</v>
      </c>
      <c r="I1397" s="5" t="s">
        <v>3198</v>
      </c>
    </row>
    <row r="1398" customFormat="false" ht="12.75" hidden="false" customHeight="true" outlineLevel="0" collapsed="false">
      <c r="A1398" s="5" t="n">
        <v>0.04</v>
      </c>
      <c r="B1398" s="5" t="n">
        <v>0.04</v>
      </c>
      <c r="C1398" s="7"/>
      <c r="D1398" s="7"/>
      <c r="E1398" s="7"/>
      <c r="G1398" s="5" t="n">
        <f aca="false">IF(ISNUMBER(FIND("old rod:",A1398)),"old rod:",A1398)</f>
        <v>0.04</v>
      </c>
      <c r="I1398" s="5" t="n">
        <v>0.04</v>
      </c>
    </row>
    <row r="1399" customFormat="false" ht="12.75" hidden="false" customHeight="true" outlineLevel="0" collapsed="false">
      <c r="A1399" s="5" t="s">
        <v>3199</v>
      </c>
      <c r="B1399" s="7" t="n">
        <v>50</v>
      </c>
      <c r="C1399" s="7" t="n">
        <v>50</v>
      </c>
      <c r="D1399" s="7" t="s">
        <v>3866</v>
      </c>
      <c r="E1399" s="7"/>
      <c r="G1399" s="5" t="str">
        <f aca="false">IF(ISNUMBER(FIND("old rod:",A1399)),"old rod:",A1399)</f>
        <v>50, 50, HAUNTER</v>
      </c>
      <c r="I1399" s="5" t="s">
        <v>3199</v>
      </c>
    </row>
    <row r="1400" customFormat="false" ht="12.75" hidden="false" customHeight="true" outlineLevel="0" collapsed="false">
      <c r="A1400" s="5" t="s">
        <v>3200</v>
      </c>
      <c r="B1400" s="7" t="n">
        <v>22</v>
      </c>
      <c r="C1400" s="7" t="n">
        <v>22</v>
      </c>
      <c r="D1400" s="7" t="s">
        <v>3901</v>
      </c>
      <c r="E1400" s="7"/>
      <c r="G1400" s="5" t="str">
        <f aca="false">IF(ISNUMBER(FIND("old rod:",A1400)),"old rod:",A1400)</f>
        <v>22, 22, MISDREAVUS</v>
      </c>
      <c r="I1400" s="5" t="s">
        <v>3200</v>
      </c>
    </row>
    <row r="1401" customFormat="false" ht="12.75" hidden="false" customHeight="true" outlineLevel="0" collapsed="false">
      <c r="A1401" s="5" t="n">
        <v>0.01</v>
      </c>
      <c r="B1401" s="5" t="n">
        <v>0.01</v>
      </c>
      <c r="C1401" s="7"/>
      <c r="D1401" s="7"/>
      <c r="E1401" s="7"/>
      <c r="G1401" s="5" t="n">
        <f aca="false">IF(ISNUMBER(FIND("old rod:",A1401)),"old rod:",A1401)</f>
        <v>0.01</v>
      </c>
      <c r="I1401" s="5" t="n">
        <v>0.01</v>
      </c>
    </row>
    <row r="1402" customFormat="false" ht="12.75" hidden="false" customHeight="true" outlineLevel="0" collapsed="false">
      <c r="A1402" s="5" t="s">
        <v>3201</v>
      </c>
      <c r="B1402" s="7" t="n">
        <v>52</v>
      </c>
      <c r="C1402" s="7" t="n">
        <v>52</v>
      </c>
      <c r="D1402" s="7" t="s">
        <v>3866</v>
      </c>
      <c r="E1402" s="7"/>
      <c r="G1402" s="5" t="str">
        <f aca="false">IF(ISNUMBER(FIND("old rod:",A1402)),"old rod:",A1402)</f>
        <v>52, 52, HAUNTER</v>
      </c>
      <c r="I1402" s="5" t="s">
        <v>3201</v>
      </c>
    </row>
    <row r="1403" customFormat="false" ht="12.75" hidden="false" customHeight="true" outlineLevel="0" collapsed="false">
      <c r="A1403" s="5" t="s">
        <v>3200</v>
      </c>
      <c r="B1403" s="7" t="n">
        <v>22</v>
      </c>
      <c r="C1403" s="7" t="n">
        <v>22</v>
      </c>
      <c r="D1403" s="7" t="s">
        <v>3901</v>
      </c>
      <c r="E1403" s="7"/>
      <c r="G1403" s="5" t="str">
        <f aca="false">IF(ISNUMBER(FIND("old rod:",A1403)),"old rod:",A1403)</f>
        <v>22, 22, MISDREAVUS</v>
      </c>
      <c r="I1403" s="5" t="s">
        <v>3200</v>
      </c>
    </row>
    <row r="1404" customFormat="false" ht="12.75" hidden="false" customHeight="true" outlineLevel="0" collapsed="false">
      <c r="A1404" s="5" t="s">
        <v>2536</v>
      </c>
      <c r="B1404" s="7" t="s">
        <v>2536</v>
      </c>
      <c r="C1404" s="7"/>
      <c r="D1404" s="7"/>
      <c r="E1404" s="7"/>
      <c r="G1404" s="5" t="str">
        <f aca="false">IF(ISNUMBER(FIND("old rod:",A1404)),"old rod:",A1404)</f>
        <v>NEW ROUTE</v>
      </c>
      <c r="I1404" s="5" t="s">
        <v>2536</v>
      </c>
    </row>
    <row r="1405" customFormat="false" ht="12.75" hidden="false" customHeight="true" outlineLevel="0" collapsed="false">
      <c r="A1405" s="5" t="s">
        <v>309</v>
      </c>
      <c r="B1405" s="7" t="s">
        <v>309</v>
      </c>
      <c r="C1405" s="7"/>
      <c r="D1405" s="7"/>
      <c r="E1405" s="7"/>
      <c r="G1405" s="5" t="str">
        <f aca="false">IF(ISNUMBER(FIND("old rod:",A1405)),"old rod:",A1405)</f>
        <v>Five Island Lost Cave Room 13</v>
      </c>
      <c r="I1405" s="5" t="s">
        <v>309</v>
      </c>
    </row>
    <row r="1406" customFormat="false" ht="12.75" hidden="false" customHeight="true" outlineLevel="0" collapsed="false">
      <c r="A1406" s="5" t="n">
        <v>0.2</v>
      </c>
      <c r="B1406" s="5" t="n">
        <v>0.2</v>
      </c>
      <c r="C1406" s="7"/>
      <c r="D1406" s="7"/>
      <c r="E1406" s="7"/>
      <c r="G1406" s="5" t="n">
        <f aca="false">IF(ISNUMBER(FIND("old rod:",A1406)),"old rod:",A1406)</f>
        <v>0.2</v>
      </c>
      <c r="I1406" s="5" t="n">
        <v>0.2</v>
      </c>
    </row>
    <row r="1407" customFormat="false" ht="12.75" hidden="false" customHeight="true" outlineLevel="0" collapsed="false">
      <c r="A1407" s="5" t="s">
        <v>1638</v>
      </c>
      <c r="B1407" s="7" t="n">
        <v>40</v>
      </c>
      <c r="C1407" s="7" t="n">
        <v>40</v>
      </c>
      <c r="D1407" s="7" t="s">
        <v>3863</v>
      </c>
      <c r="E1407" s="7"/>
      <c r="G1407" s="5" t="str">
        <f aca="false">IF(ISNUMBER(FIND("old rod:",A1407)),"old rod:",A1407)</f>
        <v>40, 40, GASTLY</v>
      </c>
      <c r="I1407" s="5" t="s">
        <v>1638</v>
      </c>
    </row>
    <row r="1408" customFormat="false" ht="12.75" hidden="false" customHeight="true" outlineLevel="0" collapsed="false">
      <c r="A1408" s="5" t="s">
        <v>3192</v>
      </c>
      <c r="B1408" s="7" t="n">
        <v>37</v>
      </c>
      <c r="C1408" s="7" t="n">
        <v>37</v>
      </c>
      <c r="D1408" s="7" t="s">
        <v>3739</v>
      </c>
      <c r="E1408" s="7"/>
      <c r="G1408" s="5" t="str">
        <f aca="false">IF(ISNUMBER(FIND("old rod:",A1408)),"old rod:",A1408)</f>
        <v>37, 37, ZUBAT</v>
      </c>
      <c r="I1408" s="5" t="s">
        <v>3192</v>
      </c>
    </row>
    <row r="1409" customFormat="false" ht="12.75" hidden="false" customHeight="true" outlineLevel="0" collapsed="false">
      <c r="A1409" s="5" t="n">
        <v>0.1</v>
      </c>
      <c r="B1409" s="5" t="n">
        <v>0.1</v>
      </c>
      <c r="C1409" s="7"/>
      <c r="D1409" s="7"/>
      <c r="E1409" s="7"/>
      <c r="G1409" s="5" t="n">
        <f aca="false">IF(ISNUMBER(FIND("old rod:",A1409)),"old rod:",A1409)</f>
        <v>0.1</v>
      </c>
      <c r="I1409" s="5" t="n">
        <v>0.1</v>
      </c>
    </row>
    <row r="1410" customFormat="false" ht="12.75" hidden="false" customHeight="true" outlineLevel="0" collapsed="false">
      <c r="A1410" s="5" t="s">
        <v>3193</v>
      </c>
      <c r="B1410" s="7" t="n">
        <v>44</v>
      </c>
      <c r="C1410" s="7" t="n">
        <v>44</v>
      </c>
      <c r="D1410" s="7" t="s">
        <v>3866</v>
      </c>
      <c r="E1410" s="7"/>
      <c r="G1410" s="5" t="str">
        <f aca="false">IF(ISNUMBER(FIND("old rod:",A1410)),"old rod:",A1410)</f>
        <v>44, 44, HAUNTER</v>
      </c>
      <c r="I1410" s="5" t="s">
        <v>3193</v>
      </c>
    </row>
    <row r="1411" customFormat="false" ht="12.75" hidden="false" customHeight="true" outlineLevel="0" collapsed="false">
      <c r="A1411" s="5" t="s">
        <v>3194</v>
      </c>
      <c r="B1411" s="7" t="n">
        <v>46</v>
      </c>
      <c r="C1411" s="7" t="n">
        <v>46</v>
      </c>
      <c r="D1411" s="7" t="s">
        <v>3866</v>
      </c>
      <c r="E1411" s="7"/>
      <c r="G1411" s="5" t="str">
        <f aca="false">IF(ISNUMBER(FIND("old rod:",A1411)),"old rod:",A1411)</f>
        <v>46, 46, HAUNTER</v>
      </c>
      <c r="I1411" s="5" t="s">
        <v>3194</v>
      </c>
    </row>
    <row r="1412" customFormat="false" ht="12.75" hidden="false" customHeight="true" outlineLevel="0" collapsed="false">
      <c r="A1412" s="5" t="s">
        <v>3195</v>
      </c>
      <c r="B1412" s="7" t="n">
        <v>41</v>
      </c>
      <c r="C1412" s="7" t="n">
        <v>41</v>
      </c>
      <c r="D1412" s="7" t="s">
        <v>3745</v>
      </c>
      <c r="E1412" s="7"/>
      <c r="G1412" s="5" t="str">
        <f aca="false">IF(ISNUMBER(FIND("old rod:",A1412)),"old rod:",A1412)</f>
        <v>41, 41, GOLBAT</v>
      </c>
      <c r="I1412" s="5" t="s">
        <v>3195</v>
      </c>
    </row>
    <row r="1413" customFormat="false" ht="12.75" hidden="false" customHeight="true" outlineLevel="0" collapsed="false">
      <c r="A1413" s="5" t="s">
        <v>3215</v>
      </c>
      <c r="B1413" s="7" t="n">
        <v>15</v>
      </c>
      <c r="C1413" s="7" t="n">
        <v>15</v>
      </c>
      <c r="D1413" s="7" t="s">
        <v>3901</v>
      </c>
      <c r="E1413" s="7"/>
      <c r="G1413" s="5" t="str">
        <f aca="false">IF(ISNUMBER(FIND("old rod:",A1413)),"old rod:",A1413)</f>
        <v>15, 15, MISDREAVUS</v>
      </c>
      <c r="I1413" s="5" t="s">
        <v>3215</v>
      </c>
    </row>
    <row r="1414" customFormat="false" ht="12.75" hidden="false" customHeight="true" outlineLevel="0" collapsed="false">
      <c r="A1414" s="5" t="n">
        <v>0.05</v>
      </c>
      <c r="B1414" s="5" t="n">
        <v>0.05</v>
      </c>
      <c r="C1414" s="7"/>
      <c r="D1414" s="7"/>
      <c r="E1414" s="7"/>
      <c r="G1414" s="5" t="n">
        <f aca="false">IF(ISNUMBER(FIND("old rod:",A1414)),"old rod:",A1414)</f>
        <v>0.05</v>
      </c>
      <c r="I1414" s="5" t="n">
        <v>0.05</v>
      </c>
    </row>
    <row r="1415" customFormat="false" ht="12.75" hidden="false" customHeight="true" outlineLevel="0" collapsed="false">
      <c r="A1415" s="5" t="s">
        <v>3216</v>
      </c>
      <c r="B1415" s="7" t="n">
        <v>20</v>
      </c>
      <c r="C1415" s="7" t="n">
        <v>20</v>
      </c>
      <c r="D1415" s="7" t="s">
        <v>3901</v>
      </c>
      <c r="E1415" s="7"/>
      <c r="G1415" s="5" t="str">
        <f aca="false">IF(ISNUMBER(FIND("old rod:",A1415)),"old rod:",A1415)</f>
        <v>20, 20, MISDREAVUS</v>
      </c>
      <c r="I1415" s="5" t="s">
        <v>3216</v>
      </c>
    </row>
    <row r="1416" customFormat="false" ht="12.75" hidden="false" customHeight="true" outlineLevel="0" collapsed="false">
      <c r="A1416" s="5" t="s">
        <v>3198</v>
      </c>
      <c r="B1416" s="7" t="n">
        <v>48</v>
      </c>
      <c r="C1416" s="7" t="n">
        <v>48</v>
      </c>
      <c r="D1416" s="7" t="s">
        <v>3866</v>
      </c>
      <c r="E1416" s="7"/>
      <c r="G1416" s="5" t="str">
        <f aca="false">IF(ISNUMBER(FIND("old rod:",A1416)),"old rod:",A1416)</f>
        <v>48, 48, HAUNTER</v>
      </c>
      <c r="I1416" s="5" t="s">
        <v>3198</v>
      </c>
    </row>
    <row r="1417" customFormat="false" ht="12.75" hidden="false" customHeight="true" outlineLevel="0" collapsed="false">
      <c r="A1417" s="5" t="n">
        <v>0.04</v>
      </c>
      <c r="B1417" s="5" t="n">
        <v>0.04</v>
      </c>
      <c r="C1417" s="7"/>
      <c r="D1417" s="7"/>
      <c r="E1417" s="7"/>
      <c r="G1417" s="5" t="n">
        <f aca="false">IF(ISNUMBER(FIND("old rod:",A1417)),"old rod:",A1417)</f>
        <v>0.04</v>
      </c>
      <c r="I1417" s="5" t="n">
        <v>0.04</v>
      </c>
    </row>
    <row r="1418" customFormat="false" ht="12.75" hidden="false" customHeight="true" outlineLevel="0" collapsed="false">
      <c r="A1418" s="5" t="s">
        <v>3199</v>
      </c>
      <c r="B1418" s="7" t="n">
        <v>50</v>
      </c>
      <c r="C1418" s="7" t="n">
        <v>50</v>
      </c>
      <c r="D1418" s="7" t="s">
        <v>3866</v>
      </c>
      <c r="E1418" s="7"/>
      <c r="G1418" s="5" t="str">
        <f aca="false">IF(ISNUMBER(FIND("old rod:",A1418)),"old rod:",A1418)</f>
        <v>50, 50, HAUNTER</v>
      </c>
      <c r="I1418" s="5" t="s">
        <v>3199</v>
      </c>
    </row>
    <row r="1419" customFormat="false" ht="12.75" hidden="false" customHeight="true" outlineLevel="0" collapsed="false">
      <c r="A1419" s="5" t="s">
        <v>3200</v>
      </c>
      <c r="B1419" s="7" t="n">
        <v>22</v>
      </c>
      <c r="C1419" s="7" t="n">
        <v>22</v>
      </c>
      <c r="D1419" s="7" t="s">
        <v>3901</v>
      </c>
      <c r="E1419" s="7"/>
      <c r="G1419" s="5" t="str">
        <f aca="false">IF(ISNUMBER(FIND("old rod:",A1419)),"old rod:",A1419)</f>
        <v>22, 22, MISDREAVUS</v>
      </c>
      <c r="I1419" s="5" t="s">
        <v>3200</v>
      </c>
    </row>
    <row r="1420" customFormat="false" ht="12.75" hidden="false" customHeight="true" outlineLevel="0" collapsed="false">
      <c r="A1420" s="5" t="n">
        <v>0.01</v>
      </c>
      <c r="B1420" s="5" t="n">
        <v>0.01</v>
      </c>
      <c r="C1420" s="7"/>
      <c r="D1420" s="7"/>
      <c r="E1420" s="7"/>
      <c r="G1420" s="5" t="n">
        <f aca="false">IF(ISNUMBER(FIND("old rod:",A1420)),"old rod:",A1420)</f>
        <v>0.01</v>
      </c>
      <c r="I1420" s="5" t="n">
        <v>0.01</v>
      </c>
    </row>
    <row r="1421" customFormat="false" ht="12.75" hidden="false" customHeight="true" outlineLevel="0" collapsed="false">
      <c r="A1421" s="5" t="s">
        <v>3201</v>
      </c>
      <c r="B1421" s="7" t="n">
        <v>52</v>
      </c>
      <c r="C1421" s="7" t="n">
        <v>52</v>
      </c>
      <c r="D1421" s="7" t="s">
        <v>3866</v>
      </c>
      <c r="E1421" s="7"/>
      <c r="G1421" s="5" t="str">
        <f aca="false">IF(ISNUMBER(FIND("old rod:",A1421)),"old rod:",A1421)</f>
        <v>52, 52, HAUNTER</v>
      </c>
      <c r="I1421" s="5" t="s">
        <v>3201</v>
      </c>
    </row>
    <row r="1422" customFormat="false" ht="12.75" hidden="false" customHeight="true" outlineLevel="0" collapsed="false">
      <c r="A1422" s="5" t="s">
        <v>3200</v>
      </c>
      <c r="B1422" s="7" t="n">
        <v>22</v>
      </c>
      <c r="C1422" s="7" t="n">
        <v>22</v>
      </c>
      <c r="D1422" s="7" t="s">
        <v>3901</v>
      </c>
      <c r="E1422" s="7"/>
      <c r="G1422" s="5" t="str">
        <f aca="false">IF(ISNUMBER(FIND("old rod:",A1422)),"old rod:",A1422)</f>
        <v>22, 22, MISDREAVUS</v>
      </c>
      <c r="I1422" s="5" t="s">
        <v>3200</v>
      </c>
    </row>
    <row r="1423" customFormat="false" ht="12.75" hidden="false" customHeight="true" outlineLevel="0" collapsed="false">
      <c r="A1423" s="5" t="s">
        <v>2536</v>
      </c>
      <c r="B1423" s="7" t="s">
        <v>2536</v>
      </c>
      <c r="C1423" s="7"/>
      <c r="D1423" s="7"/>
      <c r="E1423" s="7"/>
      <c r="G1423" s="5" t="str">
        <f aca="false">IF(ISNUMBER(FIND("old rod:",A1423)),"old rod:",A1423)</f>
        <v>NEW ROUTE</v>
      </c>
      <c r="I1423" s="5" t="s">
        <v>2536</v>
      </c>
    </row>
    <row r="1424" customFormat="false" ht="12.75" hidden="false" customHeight="true" outlineLevel="0" collapsed="false">
      <c r="A1424" s="5" t="s">
        <v>311</v>
      </c>
      <c r="B1424" s="7" t="s">
        <v>311</v>
      </c>
      <c r="C1424" s="7"/>
      <c r="D1424" s="7"/>
      <c r="E1424" s="7"/>
      <c r="G1424" s="5" t="str">
        <f aca="false">IF(ISNUMBER(FIND("old rod:",A1424)),"old rod:",A1424)</f>
        <v>Five Island Lost Cave Room 14</v>
      </c>
      <c r="I1424" s="5" t="s">
        <v>311</v>
      </c>
    </row>
    <row r="1425" customFormat="false" ht="12.75" hidden="false" customHeight="true" outlineLevel="0" collapsed="false">
      <c r="A1425" s="5" t="n">
        <v>0.2</v>
      </c>
      <c r="B1425" s="5" t="n">
        <v>0.2</v>
      </c>
      <c r="C1425" s="7"/>
      <c r="D1425" s="7"/>
      <c r="E1425" s="7"/>
      <c r="G1425" s="5" t="n">
        <f aca="false">IF(ISNUMBER(FIND("old rod:",A1425)),"old rod:",A1425)</f>
        <v>0.2</v>
      </c>
      <c r="I1425" s="5" t="n">
        <v>0.2</v>
      </c>
    </row>
    <row r="1426" customFormat="false" ht="12.75" hidden="false" customHeight="true" outlineLevel="0" collapsed="false">
      <c r="A1426" s="5" t="s">
        <v>1638</v>
      </c>
      <c r="B1426" s="7" t="n">
        <v>40</v>
      </c>
      <c r="C1426" s="7" t="n">
        <v>40</v>
      </c>
      <c r="D1426" s="7" t="s">
        <v>3863</v>
      </c>
      <c r="E1426" s="7"/>
      <c r="G1426" s="5" t="str">
        <f aca="false">IF(ISNUMBER(FIND("old rod:",A1426)),"old rod:",A1426)</f>
        <v>40, 40, GASTLY</v>
      </c>
      <c r="I1426" s="5" t="s">
        <v>1638</v>
      </c>
    </row>
    <row r="1427" customFormat="false" ht="12.75" hidden="false" customHeight="true" outlineLevel="0" collapsed="false">
      <c r="A1427" s="5" t="s">
        <v>3192</v>
      </c>
      <c r="B1427" s="7" t="n">
        <v>37</v>
      </c>
      <c r="C1427" s="7" t="n">
        <v>37</v>
      </c>
      <c r="D1427" s="7" t="s">
        <v>3739</v>
      </c>
      <c r="E1427" s="7"/>
      <c r="G1427" s="5" t="str">
        <f aca="false">IF(ISNUMBER(FIND("old rod:",A1427)),"old rod:",A1427)</f>
        <v>37, 37, ZUBAT</v>
      </c>
      <c r="I1427" s="5" t="s">
        <v>3192</v>
      </c>
    </row>
    <row r="1428" customFormat="false" ht="12.75" hidden="false" customHeight="true" outlineLevel="0" collapsed="false">
      <c r="A1428" s="5" t="n">
        <v>0.1</v>
      </c>
      <c r="B1428" s="5" t="n">
        <v>0.1</v>
      </c>
      <c r="C1428" s="7"/>
      <c r="D1428" s="7"/>
      <c r="E1428" s="7"/>
      <c r="G1428" s="5" t="n">
        <f aca="false">IF(ISNUMBER(FIND("old rod:",A1428)),"old rod:",A1428)</f>
        <v>0.1</v>
      </c>
      <c r="I1428" s="5" t="n">
        <v>0.1</v>
      </c>
    </row>
    <row r="1429" customFormat="false" ht="12.75" hidden="false" customHeight="true" outlineLevel="0" collapsed="false">
      <c r="A1429" s="5" t="s">
        <v>3193</v>
      </c>
      <c r="B1429" s="7" t="n">
        <v>44</v>
      </c>
      <c r="C1429" s="7" t="n">
        <v>44</v>
      </c>
      <c r="D1429" s="7" t="s">
        <v>3866</v>
      </c>
      <c r="E1429" s="7"/>
      <c r="G1429" s="5" t="str">
        <f aca="false">IF(ISNUMBER(FIND("old rod:",A1429)),"old rod:",A1429)</f>
        <v>44, 44, HAUNTER</v>
      </c>
      <c r="I1429" s="5" t="s">
        <v>3193</v>
      </c>
    </row>
    <row r="1430" customFormat="false" ht="12.75" hidden="false" customHeight="true" outlineLevel="0" collapsed="false">
      <c r="A1430" s="5" t="s">
        <v>3194</v>
      </c>
      <c r="B1430" s="7" t="n">
        <v>46</v>
      </c>
      <c r="C1430" s="7" t="n">
        <v>46</v>
      </c>
      <c r="D1430" s="7" t="s">
        <v>3866</v>
      </c>
      <c r="E1430" s="7"/>
      <c r="G1430" s="5" t="str">
        <f aca="false">IF(ISNUMBER(FIND("old rod:",A1430)),"old rod:",A1430)</f>
        <v>46, 46, HAUNTER</v>
      </c>
      <c r="I1430" s="5" t="s">
        <v>3194</v>
      </c>
    </row>
    <row r="1431" customFormat="false" ht="12.75" hidden="false" customHeight="true" outlineLevel="0" collapsed="false">
      <c r="A1431" s="5" t="s">
        <v>3195</v>
      </c>
      <c r="B1431" s="7" t="n">
        <v>41</v>
      </c>
      <c r="C1431" s="7" t="n">
        <v>41</v>
      </c>
      <c r="D1431" s="7" t="s">
        <v>3745</v>
      </c>
      <c r="E1431" s="7"/>
      <c r="G1431" s="5" t="str">
        <f aca="false">IF(ISNUMBER(FIND("old rod:",A1431)),"old rod:",A1431)</f>
        <v>41, 41, GOLBAT</v>
      </c>
      <c r="I1431" s="5" t="s">
        <v>3195</v>
      </c>
    </row>
    <row r="1432" customFormat="false" ht="12.75" hidden="false" customHeight="true" outlineLevel="0" collapsed="false">
      <c r="A1432" s="5" t="s">
        <v>3215</v>
      </c>
      <c r="B1432" s="7" t="n">
        <v>15</v>
      </c>
      <c r="C1432" s="7" t="n">
        <v>15</v>
      </c>
      <c r="D1432" s="7" t="s">
        <v>3901</v>
      </c>
      <c r="E1432" s="7"/>
      <c r="G1432" s="5" t="str">
        <f aca="false">IF(ISNUMBER(FIND("old rod:",A1432)),"old rod:",A1432)</f>
        <v>15, 15, MISDREAVUS</v>
      </c>
      <c r="I1432" s="5" t="s">
        <v>3215</v>
      </c>
    </row>
    <row r="1433" customFormat="false" ht="12.75" hidden="false" customHeight="true" outlineLevel="0" collapsed="false">
      <c r="A1433" s="5" t="n">
        <v>0.05</v>
      </c>
      <c r="B1433" s="5" t="n">
        <v>0.05</v>
      </c>
      <c r="C1433" s="7"/>
      <c r="D1433" s="7"/>
      <c r="E1433" s="7"/>
      <c r="G1433" s="5" t="n">
        <f aca="false">IF(ISNUMBER(FIND("old rod:",A1433)),"old rod:",A1433)</f>
        <v>0.05</v>
      </c>
      <c r="I1433" s="5" t="n">
        <v>0.05</v>
      </c>
    </row>
    <row r="1434" customFormat="false" ht="12.75" hidden="false" customHeight="true" outlineLevel="0" collapsed="false">
      <c r="A1434" s="5" t="s">
        <v>3216</v>
      </c>
      <c r="B1434" s="7" t="n">
        <v>20</v>
      </c>
      <c r="C1434" s="7" t="n">
        <v>20</v>
      </c>
      <c r="D1434" s="7" t="s">
        <v>3901</v>
      </c>
      <c r="E1434" s="7"/>
      <c r="G1434" s="5" t="str">
        <f aca="false">IF(ISNUMBER(FIND("old rod:",A1434)),"old rod:",A1434)</f>
        <v>20, 20, MISDREAVUS</v>
      </c>
      <c r="I1434" s="5" t="s">
        <v>3216</v>
      </c>
    </row>
    <row r="1435" customFormat="false" ht="12.75" hidden="false" customHeight="true" outlineLevel="0" collapsed="false">
      <c r="A1435" s="5" t="s">
        <v>3198</v>
      </c>
      <c r="B1435" s="7" t="n">
        <v>48</v>
      </c>
      <c r="C1435" s="7" t="n">
        <v>48</v>
      </c>
      <c r="D1435" s="7" t="s">
        <v>3866</v>
      </c>
      <c r="E1435" s="7"/>
      <c r="G1435" s="5" t="str">
        <f aca="false">IF(ISNUMBER(FIND("old rod:",A1435)),"old rod:",A1435)</f>
        <v>48, 48, HAUNTER</v>
      </c>
      <c r="I1435" s="5" t="s">
        <v>3198</v>
      </c>
    </row>
    <row r="1436" customFormat="false" ht="12.75" hidden="false" customHeight="true" outlineLevel="0" collapsed="false">
      <c r="A1436" s="5" t="n">
        <v>0.04</v>
      </c>
      <c r="B1436" s="5" t="n">
        <v>0.04</v>
      </c>
      <c r="C1436" s="7"/>
      <c r="D1436" s="7"/>
      <c r="E1436" s="7"/>
      <c r="G1436" s="5" t="n">
        <f aca="false">IF(ISNUMBER(FIND("old rod:",A1436)),"old rod:",A1436)</f>
        <v>0.04</v>
      </c>
      <c r="I1436" s="5" t="n">
        <v>0.04</v>
      </c>
    </row>
    <row r="1437" customFormat="false" ht="12.75" hidden="false" customHeight="true" outlineLevel="0" collapsed="false">
      <c r="A1437" s="5" t="s">
        <v>3199</v>
      </c>
      <c r="B1437" s="7" t="n">
        <v>50</v>
      </c>
      <c r="C1437" s="7" t="n">
        <v>50</v>
      </c>
      <c r="D1437" s="7" t="s">
        <v>3866</v>
      </c>
      <c r="E1437" s="7"/>
      <c r="G1437" s="5" t="str">
        <f aca="false">IF(ISNUMBER(FIND("old rod:",A1437)),"old rod:",A1437)</f>
        <v>50, 50, HAUNTER</v>
      </c>
      <c r="I1437" s="5" t="s">
        <v>3199</v>
      </c>
    </row>
    <row r="1438" customFormat="false" ht="12.75" hidden="false" customHeight="true" outlineLevel="0" collapsed="false">
      <c r="A1438" s="5" t="s">
        <v>3200</v>
      </c>
      <c r="B1438" s="7" t="n">
        <v>22</v>
      </c>
      <c r="C1438" s="7" t="n">
        <v>22</v>
      </c>
      <c r="D1438" s="7" t="s">
        <v>3901</v>
      </c>
      <c r="E1438" s="7"/>
      <c r="G1438" s="5" t="str">
        <f aca="false">IF(ISNUMBER(FIND("old rod:",A1438)),"old rod:",A1438)</f>
        <v>22, 22, MISDREAVUS</v>
      </c>
      <c r="I1438" s="5" t="s">
        <v>3200</v>
      </c>
    </row>
    <row r="1439" customFormat="false" ht="12.75" hidden="false" customHeight="true" outlineLevel="0" collapsed="false">
      <c r="A1439" s="5" t="n">
        <v>0.01</v>
      </c>
      <c r="B1439" s="5" t="n">
        <v>0.01</v>
      </c>
      <c r="C1439" s="7"/>
      <c r="D1439" s="7"/>
      <c r="E1439" s="7"/>
      <c r="G1439" s="5" t="n">
        <f aca="false">IF(ISNUMBER(FIND("old rod:",A1439)),"old rod:",A1439)</f>
        <v>0.01</v>
      </c>
      <c r="I1439" s="5" t="n">
        <v>0.01</v>
      </c>
    </row>
    <row r="1440" customFormat="false" ht="12.75" hidden="false" customHeight="true" outlineLevel="0" collapsed="false">
      <c r="A1440" s="5" t="s">
        <v>3201</v>
      </c>
      <c r="B1440" s="7" t="n">
        <v>52</v>
      </c>
      <c r="C1440" s="7" t="n">
        <v>52</v>
      </c>
      <c r="D1440" s="7" t="s">
        <v>3866</v>
      </c>
      <c r="E1440" s="7"/>
      <c r="G1440" s="5" t="str">
        <f aca="false">IF(ISNUMBER(FIND("old rod:",A1440)),"old rod:",A1440)</f>
        <v>52, 52, HAUNTER</v>
      </c>
      <c r="I1440" s="5" t="s">
        <v>3201</v>
      </c>
    </row>
    <row r="1441" customFormat="false" ht="12.75" hidden="false" customHeight="true" outlineLevel="0" collapsed="false">
      <c r="A1441" s="5" t="s">
        <v>3200</v>
      </c>
      <c r="B1441" s="7" t="n">
        <v>22</v>
      </c>
      <c r="C1441" s="7" t="n">
        <v>22</v>
      </c>
      <c r="D1441" s="7" t="s">
        <v>3901</v>
      </c>
      <c r="E1441" s="7"/>
      <c r="G1441" s="5" t="str">
        <f aca="false">IF(ISNUMBER(FIND("old rod:",A1441)),"old rod:",A1441)</f>
        <v>22, 22, MISDREAVUS</v>
      </c>
      <c r="I1441" s="5" t="s">
        <v>3200</v>
      </c>
    </row>
    <row r="1442" customFormat="false" ht="12.75" hidden="false" customHeight="true" outlineLevel="0" collapsed="false">
      <c r="A1442" s="5" t="s">
        <v>2536</v>
      </c>
      <c r="B1442" s="7" t="s">
        <v>2536</v>
      </c>
      <c r="C1442" s="7"/>
      <c r="D1442" s="7"/>
      <c r="E1442" s="7"/>
      <c r="G1442" s="5" t="str">
        <f aca="false">IF(ISNUMBER(FIND("old rod:",A1442)),"old rod:",A1442)</f>
        <v>NEW ROUTE</v>
      </c>
      <c r="I1442" s="5" t="s">
        <v>2536</v>
      </c>
    </row>
    <row r="1443" customFormat="false" ht="12.75" hidden="false" customHeight="true" outlineLevel="0" collapsed="false">
      <c r="A1443" s="5" t="s">
        <v>469</v>
      </c>
      <c r="B1443" s="7" t="s">
        <v>469</v>
      </c>
      <c r="C1443" s="7"/>
      <c r="D1443" s="7"/>
      <c r="E1443" s="7"/>
      <c r="G1443" s="5" t="str">
        <f aca="false">IF(ISNUMBER(FIND("old rod:",A1443)),"old rod:",A1443)</f>
        <v>One Island Kindle Road</v>
      </c>
      <c r="I1443" s="5" t="s">
        <v>469</v>
      </c>
    </row>
    <row r="1444" customFormat="false" ht="12.75" hidden="false" customHeight="true" outlineLevel="0" collapsed="false">
      <c r="A1444" s="5" t="n">
        <v>0.2</v>
      </c>
      <c r="B1444" s="5" t="n">
        <v>0.2</v>
      </c>
      <c r="C1444" s="7"/>
      <c r="D1444" s="7"/>
      <c r="E1444" s="7"/>
      <c r="G1444" s="5" t="n">
        <f aca="false">IF(ISNUMBER(FIND("old rod:",A1444)),"old rod:",A1444)</f>
        <v>0.2</v>
      </c>
      <c r="I1444" s="5" t="n">
        <v>0.2</v>
      </c>
    </row>
    <row r="1445" customFormat="false" ht="12.75" hidden="false" customHeight="true" outlineLevel="0" collapsed="false">
      <c r="A1445" s="5" t="s">
        <v>1666</v>
      </c>
      <c r="B1445" s="7" t="n">
        <v>32</v>
      </c>
      <c r="C1445" s="7" t="n">
        <v>32</v>
      </c>
      <c r="D1445" s="7" t="s">
        <v>3883</v>
      </c>
      <c r="E1445" s="7"/>
      <c r="G1445" s="5" t="str">
        <f aca="false">IF(ISNUMBER(FIND("old rod:",A1445)),"old rod:",A1445)</f>
        <v>32, 32, SPEAROW</v>
      </c>
      <c r="I1445" s="5" t="s">
        <v>1666</v>
      </c>
    </row>
    <row r="1446" customFormat="false" ht="12.75" hidden="false" customHeight="true" outlineLevel="0" collapsed="false">
      <c r="A1446" s="5" t="s">
        <v>3221</v>
      </c>
      <c r="B1446" s="7" t="n">
        <v>34</v>
      </c>
      <c r="C1446" s="7" t="n">
        <v>34</v>
      </c>
      <c r="D1446" s="7" t="s">
        <v>3881</v>
      </c>
      <c r="E1446" s="7"/>
      <c r="G1446" s="5" t="str">
        <f aca="false">IF(ISNUMBER(FIND("old rod:",A1446)),"old rod:",A1446)</f>
        <v>34, 34, PONYTA</v>
      </c>
      <c r="I1446" s="5" t="s">
        <v>3221</v>
      </c>
    </row>
    <row r="1447" customFormat="false" ht="12.75" hidden="false" customHeight="true" outlineLevel="0" collapsed="false">
      <c r="A1447" s="5" t="n">
        <v>0.1</v>
      </c>
      <c r="B1447" s="5" t="n">
        <v>0.1</v>
      </c>
      <c r="C1447" s="7"/>
      <c r="D1447" s="7"/>
      <c r="E1447" s="7"/>
      <c r="G1447" s="5" t="n">
        <f aca="false">IF(ISNUMBER(FIND("old rod:",A1447)),"old rod:",A1447)</f>
        <v>0.1</v>
      </c>
      <c r="I1447" s="5" t="n">
        <v>0.1</v>
      </c>
    </row>
    <row r="1448" customFormat="false" ht="12.75" hidden="false" customHeight="true" outlineLevel="0" collapsed="false">
      <c r="A1448" s="5" t="s">
        <v>3222</v>
      </c>
      <c r="B1448" s="7" t="n">
        <v>36</v>
      </c>
      <c r="C1448" s="7" t="n">
        <v>36</v>
      </c>
      <c r="D1448" s="7" t="s">
        <v>3882</v>
      </c>
      <c r="E1448" s="7"/>
      <c r="G1448" s="5" t="str">
        <f aca="false">IF(ISNUMBER(FIND("old rod:",A1448)),"old rod:",A1448)</f>
        <v>36, 36, FEAROW</v>
      </c>
      <c r="I1448" s="5" t="s">
        <v>3222</v>
      </c>
    </row>
    <row r="1449" customFormat="false" ht="12.75" hidden="false" customHeight="true" outlineLevel="0" collapsed="false">
      <c r="A1449" s="5" t="s">
        <v>3223</v>
      </c>
      <c r="B1449" s="7" t="n">
        <v>31</v>
      </c>
      <c r="C1449" s="7" t="n">
        <v>31</v>
      </c>
      <c r="D1449" s="7" t="s">
        <v>3881</v>
      </c>
      <c r="E1449" s="7"/>
      <c r="G1449" s="5" t="str">
        <f aca="false">IF(ISNUMBER(FIND("old rod:",A1449)),"old rod:",A1449)</f>
        <v>31, 31, PONYTA</v>
      </c>
      <c r="I1449" s="5" t="s">
        <v>3223</v>
      </c>
    </row>
    <row r="1450" customFormat="false" ht="12.75" hidden="false" customHeight="true" outlineLevel="0" collapsed="false">
      <c r="A1450" s="5" t="s">
        <v>3081</v>
      </c>
      <c r="B1450" s="7" t="n">
        <v>31</v>
      </c>
      <c r="C1450" s="7" t="n">
        <v>31</v>
      </c>
      <c r="D1450" s="7" t="s">
        <v>3740</v>
      </c>
      <c r="E1450" s="7"/>
      <c r="G1450" s="5" t="str">
        <f aca="false">IF(ISNUMBER(FIND("old rod:",A1450)),"old rod:",A1450)</f>
        <v>31, 31, GEODUDE</v>
      </c>
      <c r="I1450" s="5" t="s">
        <v>3081</v>
      </c>
    </row>
    <row r="1451" customFormat="false" ht="12.75" hidden="false" customHeight="true" outlineLevel="0" collapsed="false">
      <c r="A1451" s="5" t="s">
        <v>3224</v>
      </c>
      <c r="B1451" s="7" t="n">
        <v>31</v>
      </c>
      <c r="C1451" s="7" t="n">
        <v>31</v>
      </c>
      <c r="D1451" s="7" t="s">
        <v>3902</v>
      </c>
      <c r="E1451" s="7"/>
      <c r="G1451" s="5" t="str">
        <f aca="false">IF(ISNUMBER(FIND("old rod:",A1451)),"old rod:",A1451)</f>
        <v>31, 31, MEOWTH</v>
      </c>
      <c r="I1451" s="5" t="s">
        <v>3224</v>
      </c>
    </row>
    <row r="1452" customFormat="false" ht="12.75" hidden="false" customHeight="true" outlineLevel="0" collapsed="false">
      <c r="A1452" s="5" t="n">
        <v>0.05</v>
      </c>
      <c r="B1452" s="5" t="n">
        <v>0.05</v>
      </c>
      <c r="C1452" s="7"/>
      <c r="D1452" s="7"/>
      <c r="E1452" s="7"/>
      <c r="G1452" s="5" t="n">
        <f aca="false">IF(ISNUMBER(FIND("old rod:",A1452)),"old rod:",A1452)</f>
        <v>0.05</v>
      </c>
      <c r="I1452" s="5" t="n">
        <v>0.05</v>
      </c>
    </row>
    <row r="1453" customFormat="false" ht="12.75" hidden="false" customHeight="true" outlineLevel="0" collapsed="false">
      <c r="A1453" s="5" t="s">
        <v>3225</v>
      </c>
      <c r="B1453" s="7" t="n">
        <v>30</v>
      </c>
      <c r="C1453" s="7" t="n">
        <v>30</v>
      </c>
      <c r="D1453" s="7" t="s">
        <v>3883</v>
      </c>
      <c r="E1453" s="7"/>
      <c r="G1453" s="5" t="str">
        <f aca="false">IF(ISNUMBER(FIND("old rod:",A1453)),"old rod:",A1453)</f>
        <v>30, 30, SPEAROW</v>
      </c>
      <c r="I1453" s="5" t="s">
        <v>3225</v>
      </c>
    </row>
    <row r="1454" customFormat="false" ht="12.75" hidden="false" customHeight="true" outlineLevel="0" collapsed="false">
      <c r="A1454" s="5" t="s">
        <v>3226</v>
      </c>
      <c r="B1454" s="7" t="n">
        <v>34</v>
      </c>
      <c r="C1454" s="7" t="n">
        <v>34</v>
      </c>
      <c r="D1454" s="7" t="s">
        <v>3755</v>
      </c>
      <c r="E1454" s="7"/>
      <c r="G1454" s="5" t="str">
        <f aca="false">IF(ISNUMBER(FIND("old rod:",A1454)),"old rod:",A1454)</f>
        <v>34, 34, SLOWPOKE</v>
      </c>
      <c r="I1454" s="5" t="s">
        <v>3226</v>
      </c>
    </row>
    <row r="1455" customFormat="false" ht="12.75" hidden="false" customHeight="true" outlineLevel="0" collapsed="false">
      <c r="A1455" s="5" t="n">
        <v>0.04</v>
      </c>
      <c r="B1455" s="5" t="n">
        <v>0.04</v>
      </c>
      <c r="C1455" s="7"/>
      <c r="D1455" s="7"/>
      <c r="E1455" s="7"/>
      <c r="G1455" s="5" t="n">
        <f aca="false">IF(ISNUMBER(FIND("old rod:",A1455)),"old rod:",A1455)</f>
        <v>0.04</v>
      </c>
      <c r="I1455" s="5" t="n">
        <v>0.04</v>
      </c>
    </row>
    <row r="1456" customFormat="false" ht="12.75" hidden="false" customHeight="true" outlineLevel="0" collapsed="false">
      <c r="A1456" s="5" t="s">
        <v>3227</v>
      </c>
      <c r="B1456" s="7" t="n">
        <v>37</v>
      </c>
      <c r="C1456" s="7" t="n">
        <v>37</v>
      </c>
      <c r="D1456" s="7" t="s">
        <v>3822</v>
      </c>
      <c r="E1456" s="7"/>
      <c r="G1456" s="5" t="str">
        <f aca="false">IF(ISNUMBER(FIND("old rod:",A1456)),"old rod:",A1456)</f>
        <v>37, 37, RAPIDASH</v>
      </c>
      <c r="I1456" s="5" t="s">
        <v>3227</v>
      </c>
    </row>
    <row r="1457" customFormat="false" ht="12.75" hidden="false" customHeight="true" outlineLevel="0" collapsed="false">
      <c r="A1457" s="5" t="s">
        <v>3228</v>
      </c>
      <c r="B1457" s="7" t="n">
        <v>37</v>
      </c>
      <c r="C1457" s="7" t="n">
        <v>37</v>
      </c>
      <c r="D1457" s="7" t="s">
        <v>3903</v>
      </c>
      <c r="E1457" s="7"/>
      <c r="G1457" s="5" t="str">
        <f aca="false">IF(ISNUMBER(FIND("old rod:",A1457)),"old rod:",A1457)</f>
        <v>37, 37, PERSIAN</v>
      </c>
      <c r="I1457" s="5" t="s">
        <v>3228</v>
      </c>
    </row>
    <row r="1458" customFormat="false" ht="12.75" hidden="false" customHeight="true" outlineLevel="0" collapsed="false">
      <c r="A1458" s="5" t="n">
        <v>0.01</v>
      </c>
      <c r="B1458" s="5" t="n">
        <v>0.01</v>
      </c>
      <c r="C1458" s="7"/>
      <c r="D1458" s="7"/>
      <c r="E1458" s="7"/>
      <c r="G1458" s="5" t="n">
        <f aca="false">IF(ISNUMBER(FIND("old rod:",A1458)),"old rod:",A1458)</f>
        <v>0.01</v>
      </c>
      <c r="I1458" s="5" t="n">
        <v>0.01</v>
      </c>
    </row>
    <row r="1459" customFormat="false" ht="12.75" hidden="false" customHeight="true" outlineLevel="0" collapsed="false">
      <c r="A1459" s="5" t="s">
        <v>3229</v>
      </c>
      <c r="B1459" s="7" t="n">
        <v>40</v>
      </c>
      <c r="C1459" s="7" t="n">
        <v>40</v>
      </c>
      <c r="D1459" s="7" t="s">
        <v>3822</v>
      </c>
      <c r="E1459" s="7"/>
      <c r="G1459" s="5" t="str">
        <f aca="false">IF(ISNUMBER(FIND("old rod:",A1459)),"old rod:",A1459)</f>
        <v>40, 40, RAPIDASH</v>
      </c>
      <c r="I1459" s="5" t="s">
        <v>3229</v>
      </c>
    </row>
    <row r="1460" customFormat="false" ht="12.75" hidden="false" customHeight="true" outlineLevel="0" collapsed="false">
      <c r="A1460" s="5" t="s">
        <v>3230</v>
      </c>
      <c r="B1460" s="7" t="n">
        <v>40</v>
      </c>
      <c r="C1460" s="7" t="n">
        <v>40</v>
      </c>
      <c r="D1460" s="7" t="s">
        <v>3903</v>
      </c>
      <c r="E1460" s="7"/>
      <c r="G1460" s="5" t="str">
        <f aca="false">IF(ISNUMBER(FIND("old rod:",A1460)),"old rod:",A1460)</f>
        <v>40, 40, PERSIAN</v>
      </c>
      <c r="I1460" s="5" t="s">
        <v>3230</v>
      </c>
    </row>
    <row r="1461" customFormat="false" ht="12.75" hidden="false" customHeight="true" outlineLevel="0" collapsed="false">
      <c r="A1461" s="5" t="s">
        <v>3172</v>
      </c>
      <c r="B1461" s="7" t="n">
        <v>2</v>
      </c>
      <c r="C1461" s="7" t="n">
        <v>5</v>
      </c>
      <c r="D1461" s="7" t="n">
        <v>20</v>
      </c>
      <c r="E1461" s="7" t="s">
        <v>3747</v>
      </c>
      <c r="G1461" s="5" t="str">
        <f aca="false">IF(ISNUMBER(FIND("old rod:",A1461)),"old rod:",A1461)</f>
        <v>2, 5, 20, TENTACOOL</v>
      </c>
      <c r="I1461" s="5" t="s">
        <v>3172</v>
      </c>
    </row>
    <row r="1462" customFormat="false" ht="12.75" hidden="false" customHeight="true" outlineLevel="0" collapsed="false">
      <c r="A1462" s="5" t="s">
        <v>3173</v>
      </c>
      <c r="B1462" s="7" t="n">
        <v>20</v>
      </c>
      <c r="C1462" s="7" t="n">
        <v>35</v>
      </c>
      <c r="D1462" s="7" t="s">
        <v>3747</v>
      </c>
      <c r="E1462" s="7"/>
      <c r="G1462" s="5" t="str">
        <f aca="false">IF(ISNUMBER(FIND("old rod:",A1462)),"old rod:",A1462)</f>
        <v>20, 35, TENTACOOL</v>
      </c>
      <c r="I1462" s="5" t="s">
        <v>3173</v>
      </c>
    </row>
    <row r="1463" customFormat="false" ht="12.75" hidden="false" customHeight="true" outlineLevel="0" collapsed="false">
      <c r="A1463" s="5" t="s">
        <v>2844</v>
      </c>
      <c r="B1463" s="7" t="n">
        <v>35</v>
      </c>
      <c r="C1463" s="7" t="n">
        <v>40</v>
      </c>
      <c r="D1463" s="7" t="s">
        <v>3747</v>
      </c>
      <c r="E1463" s="7"/>
      <c r="G1463" s="5" t="str">
        <f aca="false">IF(ISNUMBER(FIND("old rod:",A1463)),"old rod:",A1463)</f>
        <v>35, 40, TENTACOOL</v>
      </c>
      <c r="I1463" s="5" t="s">
        <v>2844</v>
      </c>
    </row>
    <row r="1464" customFormat="false" ht="12.75" hidden="false" customHeight="true" outlineLevel="0" collapsed="false">
      <c r="A1464" s="5" t="s">
        <v>3231</v>
      </c>
      <c r="B1464" s="7" t="n">
        <v>35</v>
      </c>
      <c r="C1464" s="7" t="n">
        <v>40</v>
      </c>
      <c r="D1464" s="7" t="s">
        <v>3897</v>
      </c>
      <c r="E1464" s="7"/>
      <c r="G1464" s="5" t="str">
        <f aca="false">IF(ISNUMBER(FIND("old rod:",A1464)),"old rod:",A1464)</f>
        <v>35, 40, TENTACRUEL</v>
      </c>
      <c r="I1464" s="5" t="s">
        <v>3231</v>
      </c>
    </row>
    <row r="1465" customFormat="false" ht="12.75" hidden="false" customHeight="true" outlineLevel="0" collapsed="false">
      <c r="A1465" s="5" t="s">
        <v>3231</v>
      </c>
      <c r="B1465" s="7" t="n">
        <v>35</v>
      </c>
      <c r="C1465" s="7" t="n">
        <v>40</v>
      </c>
      <c r="D1465" s="7" t="s">
        <v>3897</v>
      </c>
      <c r="E1465" s="7"/>
      <c r="G1465" s="5" t="str">
        <f aca="false">IF(ISNUMBER(FIND("old rod:",A1465)),"old rod:",A1465)</f>
        <v>35, 40, TENTACRUEL</v>
      </c>
      <c r="I1465" s="5" t="s">
        <v>3231</v>
      </c>
    </row>
    <row r="1466" customFormat="false" ht="12.75" hidden="false" customHeight="true" outlineLevel="0" collapsed="false">
      <c r="A1466" s="5" t="s">
        <v>3232</v>
      </c>
      <c r="B1466" s="7" t="n">
        <v>25</v>
      </c>
      <c r="C1466" s="7" t="n">
        <v>5</v>
      </c>
      <c r="D1466" s="7" t="n">
        <v>20</v>
      </c>
      <c r="E1466" s="7" t="s">
        <v>3740</v>
      </c>
      <c r="G1466" s="5" t="str">
        <f aca="false">IF(ISNUMBER(FIND("old rod:",A1466)),"old rod:",A1466)</f>
        <v>25, 5, 20, GEODUDE</v>
      </c>
      <c r="I1466" s="5" t="s">
        <v>3232</v>
      </c>
    </row>
    <row r="1467" customFormat="false" ht="12.75" hidden="false" customHeight="true" outlineLevel="0" collapsed="false">
      <c r="A1467" s="5" t="s">
        <v>3000</v>
      </c>
      <c r="B1467" s="7" t="n">
        <v>10</v>
      </c>
      <c r="C1467" s="7" t="n">
        <v>20</v>
      </c>
      <c r="D1467" s="7" t="s">
        <v>3740</v>
      </c>
      <c r="E1467" s="7"/>
      <c r="G1467" s="5" t="str">
        <f aca="false">IF(ISNUMBER(FIND("old rod:",A1467)),"old rod:",A1467)</f>
        <v>10, 20, GEODUDE</v>
      </c>
      <c r="I1467" s="5" t="s">
        <v>3000</v>
      </c>
    </row>
    <row r="1468" customFormat="false" ht="12.75" hidden="false" customHeight="true" outlineLevel="0" collapsed="false">
      <c r="A1468" s="5" t="s">
        <v>3001</v>
      </c>
      <c r="B1468" s="7" t="n">
        <v>15</v>
      </c>
      <c r="C1468" s="7" t="n">
        <v>30</v>
      </c>
      <c r="D1468" s="7" t="s">
        <v>3740</v>
      </c>
      <c r="E1468" s="7"/>
      <c r="G1468" s="5" t="str">
        <f aca="false">IF(ISNUMBER(FIND("old rod:",A1468)),"old rod:",A1468)</f>
        <v>15, 30, GEODUDE</v>
      </c>
      <c r="I1468" s="5" t="s">
        <v>3001</v>
      </c>
    </row>
    <row r="1469" customFormat="false" ht="12.75" hidden="false" customHeight="true" outlineLevel="0" collapsed="false">
      <c r="A1469" s="5" t="s">
        <v>3002</v>
      </c>
      <c r="B1469" s="7" t="n">
        <v>25</v>
      </c>
      <c r="C1469" s="7" t="n">
        <v>40</v>
      </c>
      <c r="D1469" s="7" t="s">
        <v>3746</v>
      </c>
      <c r="E1469" s="7"/>
      <c r="G1469" s="5" t="str">
        <f aca="false">IF(ISNUMBER(FIND("old rod:",A1469)),"old rod:",A1469)</f>
        <v>25, 40, GRAVELER</v>
      </c>
      <c r="I1469" s="5" t="s">
        <v>3002</v>
      </c>
    </row>
    <row r="1470" customFormat="false" ht="12.75" hidden="false" customHeight="true" outlineLevel="0" collapsed="false">
      <c r="A1470" s="5" t="s">
        <v>3233</v>
      </c>
      <c r="B1470" s="7" t="n">
        <v>30</v>
      </c>
      <c r="C1470" s="7" t="n">
        <v>40</v>
      </c>
      <c r="D1470" s="7" t="s">
        <v>3746</v>
      </c>
      <c r="E1470" s="7"/>
      <c r="G1470" s="5" t="str">
        <f aca="false">IF(ISNUMBER(FIND("old rod:",A1470)),"old rod:",A1470)</f>
        <v>30, 40, GRAVELER</v>
      </c>
      <c r="I1470" s="5" t="s">
        <v>3233</v>
      </c>
    </row>
    <row r="1471" customFormat="false" ht="12.75" hidden="false" customHeight="true" outlineLevel="0" collapsed="false">
      <c r="A1471" s="5" t="s">
        <v>2925</v>
      </c>
      <c r="B1471" s="7" t="n">
        <v>20</v>
      </c>
      <c r="C1471" s="7" t="s">
        <v>3748</v>
      </c>
      <c r="D1471" s="7"/>
      <c r="E1471" s="7"/>
      <c r="G1471" s="5" t="str">
        <f aca="false">IF(ISNUMBER(FIND("old rod:",A1471)),"old rod:",A1471)</f>
        <v>old rod:</v>
      </c>
      <c r="I1471" s="5" t="s">
        <v>3749</v>
      </c>
    </row>
    <row r="1472" customFormat="false" ht="12.75" hidden="false" customHeight="true" outlineLevel="0" collapsed="false">
      <c r="A1472" s="5" t="s">
        <v>1266</v>
      </c>
      <c r="B1472" s="7" t="n">
        <v>5</v>
      </c>
      <c r="C1472" s="7" t="n">
        <v>5</v>
      </c>
      <c r="D1472" s="7" t="s">
        <v>3750</v>
      </c>
      <c r="E1472" s="7"/>
      <c r="G1472" s="5" t="str">
        <f aca="false">IF(ISNUMBER(FIND("old rod:",A1472)),"old rod:",A1472)</f>
        <v>5, 5, MAGIKARP</v>
      </c>
      <c r="I1472" s="5" t="s">
        <v>1266</v>
      </c>
    </row>
    <row r="1473" customFormat="false" ht="12.75" hidden="false" customHeight="true" outlineLevel="0" collapsed="false">
      <c r="A1473" s="5" t="s">
        <v>1266</v>
      </c>
      <c r="B1473" s="7" t="n">
        <v>5</v>
      </c>
      <c r="C1473" s="7" t="n">
        <v>5</v>
      </c>
      <c r="D1473" s="7" t="s">
        <v>3750</v>
      </c>
      <c r="E1473" s="7"/>
      <c r="G1473" s="5" t="str">
        <f aca="false">IF(ISNUMBER(FIND("old rod:",A1473)),"old rod:",A1473)</f>
        <v>5, 5, MAGIKARP</v>
      </c>
      <c r="I1473" s="5" t="s">
        <v>1266</v>
      </c>
    </row>
    <row r="1474" customFormat="false" ht="12.75" hidden="false" customHeight="true" outlineLevel="0" collapsed="false">
      <c r="A1474" s="5" t="s">
        <v>2846</v>
      </c>
      <c r="B1474" s="7" t="s">
        <v>2846</v>
      </c>
      <c r="C1474" s="7"/>
      <c r="D1474" s="7"/>
      <c r="E1474" s="7"/>
      <c r="G1474" s="5" t="str">
        <f aca="false">IF(ISNUMBER(FIND("old rod:",A1474)),"old rod:",A1474)</f>
        <v>good rod:</v>
      </c>
      <c r="I1474" s="5" t="s">
        <v>2846</v>
      </c>
    </row>
    <row r="1475" customFormat="false" ht="12.75" hidden="false" customHeight="true" outlineLevel="0" collapsed="false">
      <c r="A1475" s="5" t="s">
        <v>2847</v>
      </c>
      <c r="B1475" s="7" t="n">
        <v>5</v>
      </c>
      <c r="C1475" s="7" t="n">
        <v>15</v>
      </c>
      <c r="D1475" s="7" t="s">
        <v>3751</v>
      </c>
      <c r="E1475" s="7"/>
      <c r="G1475" s="5" t="str">
        <f aca="false">IF(ISNUMBER(FIND("old rod:",A1475)),"old rod:",A1475)</f>
        <v>5, 15, KRABBY</v>
      </c>
      <c r="I1475" s="5" t="s">
        <v>2847</v>
      </c>
    </row>
    <row r="1476" customFormat="false" ht="12.75" hidden="false" customHeight="true" outlineLevel="0" collapsed="false">
      <c r="A1476" s="5" t="s">
        <v>2848</v>
      </c>
      <c r="B1476" s="7" t="n">
        <v>5</v>
      </c>
      <c r="C1476" s="7" t="n">
        <v>15</v>
      </c>
      <c r="D1476" s="7" t="s">
        <v>3750</v>
      </c>
      <c r="E1476" s="7"/>
      <c r="G1476" s="5" t="str">
        <f aca="false">IF(ISNUMBER(FIND("old rod:",A1476)),"old rod:",A1476)</f>
        <v>5, 15, MAGIKARP</v>
      </c>
      <c r="I1476" s="5" t="s">
        <v>2848</v>
      </c>
    </row>
    <row r="1477" customFormat="false" ht="12.75" hidden="false" customHeight="true" outlineLevel="0" collapsed="false">
      <c r="A1477" s="5" t="s">
        <v>2847</v>
      </c>
      <c r="B1477" s="7" t="n">
        <v>5</v>
      </c>
      <c r="C1477" s="7" t="n">
        <v>15</v>
      </c>
      <c r="D1477" s="7" t="s">
        <v>3751</v>
      </c>
      <c r="E1477" s="7"/>
      <c r="G1477" s="5" t="str">
        <f aca="false">IF(ISNUMBER(FIND("old rod:",A1477)),"old rod:",A1477)</f>
        <v>5, 15, KRABBY</v>
      </c>
      <c r="I1477" s="5" t="s">
        <v>2847</v>
      </c>
    </row>
    <row r="1478" customFormat="false" ht="12.75" hidden="false" customHeight="true" outlineLevel="0" collapsed="false">
      <c r="A1478" s="5" t="s">
        <v>2850</v>
      </c>
      <c r="B1478" s="7" t="s">
        <v>2850</v>
      </c>
      <c r="C1478" s="7"/>
      <c r="D1478" s="7"/>
      <c r="E1478" s="7"/>
      <c r="G1478" s="5" t="str">
        <f aca="false">IF(ISNUMBER(FIND("old rod:",A1478)),"old rod:",A1478)</f>
        <v>super rod:</v>
      </c>
      <c r="I1478" s="5" t="s">
        <v>2850</v>
      </c>
    </row>
    <row r="1479" customFormat="false" ht="12.75" hidden="false" customHeight="true" outlineLevel="0" collapsed="false">
      <c r="A1479" s="5" t="s">
        <v>2851</v>
      </c>
      <c r="B1479" s="7" t="n">
        <v>15</v>
      </c>
      <c r="C1479" s="7" t="n">
        <v>25</v>
      </c>
      <c r="D1479" s="7" t="s">
        <v>3751</v>
      </c>
      <c r="E1479" s="7"/>
      <c r="G1479" s="5" t="str">
        <f aca="false">IF(ISNUMBER(FIND("old rod:",A1479)),"old rod:",A1479)</f>
        <v>15, 25, KRABBY</v>
      </c>
      <c r="I1479" s="5" t="s">
        <v>2851</v>
      </c>
    </row>
    <row r="1480" customFormat="false" ht="12.75" hidden="false" customHeight="true" outlineLevel="0" collapsed="false">
      <c r="A1480" s="5" t="s">
        <v>2851</v>
      </c>
      <c r="B1480" s="7" t="n">
        <v>15</v>
      </c>
      <c r="C1480" s="7" t="n">
        <v>25</v>
      </c>
      <c r="D1480" s="7" t="s">
        <v>3751</v>
      </c>
      <c r="E1480" s="7"/>
      <c r="G1480" s="5" t="str">
        <f aca="false">IF(ISNUMBER(FIND("old rod:",A1480)),"old rod:",A1480)</f>
        <v>15, 25, KRABBY</v>
      </c>
      <c r="I1480" s="5" t="s">
        <v>2851</v>
      </c>
    </row>
    <row r="1481" customFormat="false" ht="12.75" hidden="false" customHeight="true" outlineLevel="0" collapsed="false">
      <c r="A1481" s="5" t="s">
        <v>2853</v>
      </c>
      <c r="B1481" s="7" t="n">
        <v>15</v>
      </c>
      <c r="C1481" s="7" t="n">
        <v>25</v>
      </c>
      <c r="D1481" s="7" t="s">
        <v>3754</v>
      </c>
      <c r="E1481" s="7"/>
      <c r="G1481" s="5" t="str">
        <f aca="false">IF(ISNUMBER(FIND("old rod:",A1481)),"old rod:",A1481)</f>
        <v>15, 25, GYARADOS</v>
      </c>
      <c r="I1481" s="5" t="s">
        <v>2853</v>
      </c>
    </row>
    <row r="1482" customFormat="false" ht="12.75" hidden="false" customHeight="true" outlineLevel="0" collapsed="false">
      <c r="A1482" s="5" t="s">
        <v>3177</v>
      </c>
      <c r="B1482" s="7" t="n">
        <v>25</v>
      </c>
      <c r="C1482" s="7" t="n">
        <v>35</v>
      </c>
      <c r="D1482" s="7" t="s">
        <v>3859</v>
      </c>
      <c r="E1482" s="7"/>
      <c r="G1482" s="5" t="str">
        <f aca="false">IF(ISNUMBER(FIND("old rod:",A1482)),"old rod:",A1482)</f>
        <v>25, 35, KINGLER</v>
      </c>
      <c r="I1482" s="5" t="s">
        <v>3177</v>
      </c>
    </row>
    <row r="1483" customFormat="false" ht="12.75" hidden="false" customHeight="true" outlineLevel="0" collapsed="false">
      <c r="A1483" s="5" t="s">
        <v>2855</v>
      </c>
      <c r="B1483" s="7" t="n">
        <v>25</v>
      </c>
      <c r="C1483" s="7" t="n">
        <v>35</v>
      </c>
      <c r="D1483" s="7" t="s">
        <v>3755</v>
      </c>
      <c r="E1483" s="7"/>
      <c r="G1483" s="5" t="str">
        <f aca="false">IF(ISNUMBER(FIND("old rod:",A1483)),"old rod:",A1483)</f>
        <v>25, 35, SLOWPOKE</v>
      </c>
      <c r="I1483" s="5" t="s">
        <v>2855</v>
      </c>
    </row>
    <row r="1484" customFormat="false" ht="12.75" hidden="false" customHeight="true" outlineLevel="0" collapsed="false">
      <c r="A1484" s="5" t="s">
        <v>2536</v>
      </c>
      <c r="B1484" s="7" t="s">
        <v>2536</v>
      </c>
      <c r="C1484" s="7"/>
      <c r="D1484" s="7"/>
      <c r="E1484" s="7"/>
      <c r="G1484" s="5" t="str">
        <f aca="false">IF(ISNUMBER(FIND("old rod:",A1484)),"old rod:",A1484)</f>
        <v>NEW ROUTE</v>
      </c>
      <c r="I1484" s="5" t="s">
        <v>2536</v>
      </c>
    </row>
    <row r="1485" customFormat="false" ht="12.75" hidden="false" customHeight="true" outlineLevel="0" collapsed="false">
      <c r="A1485" s="5" t="s">
        <v>471</v>
      </c>
      <c r="B1485" s="7" t="s">
        <v>471</v>
      </c>
      <c r="C1485" s="7"/>
      <c r="D1485" s="7"/>
      <c r="E1485" s="7"/>
      <c r="G1485" s="5" t="str">
        <f aca="false">IF(ISNUMBER(FIND("old rod:",A1485)),"old rod:",A1485)</f>
        <v>One Island Treasure Beach</v>
      </c>
      <c r="I1485" s="5" t="s">
        <v>471</v>
      </c>
    </row>
    <row r="1486" customFormat="false" ht="12.75" hidden="false" customHeight="true" outlineLevel="0" collapsed="false">
      <c r="A1486" s="5" t="n">
        <v>0.2</v>
      </c>
      <c r="B1486" s="5" t="n">
        <v>0.2</v>
      </c>
      <c r="C1486" s="7"/>
      <c r="D1486" s="7"/>
      <c r="E1486" s="7"/>
      <c r="G1486" s="5" t="n">
        <f aca="false">IF(ISNUMBER(FIND("old rod:",A1486)),"old rod:",A1486)</f>
        <v>0.2</v>
      </c>
      <c r="I1486" s="5" t="n">
        <v>0.2</v>
      </c>
    </row>
    <row r="1487" customFormat="false" ht="12.75" hidden="false" customHeight="true" outlineLevel="0" collapsed="false">
      <c r="A1487" s="5" t="s">
        <v>1666</v>
      </c>
      <c r="B1487" s="7" t="n">
        <v>32</v>
      </c>
      <c r="C1487" s="7" t="n">
        <v>32</v>
      </c>
      <c r="D1487" s="7" t="s">
        <v>3883</v>
      </c>
      <c r="E1487" s="7"/>
      <c r="G1487" s="5" t="str">
        <f aca="false">IF(ISNUMBER(FIND("old rod:",A1487)),"old rod:",A1487)</f>
        <v>32, 32, SPEAROW</v>
      </c>
      <c r="I1487" s="5" t="s">
        <v>1666</v>
      </c>
    </row>
    <row r="1488" customFormat="false" ht="12.75" hidden="false" customHeight="true" outlineLevel="0" collapsed="false">
      <c r="A1488" s="5" t="s">
        <v>3235</v>
      </c>
      <c r="B1488" s="7" t="n">
        <v>33</v>
      </c>
      <c r="C1488" s="7" t="n">
        <v>33</v>
      </c>
      <c r="D1488" s="7" t="s">
        <v>3738</v>
      </c>
      <c r="E1488" s="7"/>
      <c r="G1488" s="5" t="str">
        <f aca="false">IF(ISNUMBER(FIND("old rod:",A1488)),"old rod:",A1488)</f>
        <v>33, 33, TANGELA</v>
      </c>
      <c r="I1488" s="5" t="s">
        <v>3235</v>
      </c>
    </row>
    <row r="1489" customFormat="false" ht="12.75" hidden="false" customHeight="true" outlineLevel="0" collapsed="false">
      <c r="A1489" s="5" t="n">
        <v>0.1</v>
      </c>
      <c r="B1489" s="5" t="n">
        <v>0.1</v>
      </c>
      <c r="C1489" s="7"/>
      <c r="D1489" s="7"/>
      <c r="E1489" s="7"/>
      <c r="G1489" s="5" t="n">
        <f aca="false">IF(ISNUMBER(FIND("old rod:",A1489)),"old rod:",A1489)</f>
        <v>0.1</v>
      </c>
      <c r="I1489" s="5" t="n">
        <v>0.1</v>
      </c>
    </row>
    <row r="1490" customFormat="false" ht="12.75" hidden="false" customHeight="true" outlineLevel="0" collapsed="false">
      <c r="A1490" s="5" t="s">
        <v>1687</v>
      </c>
      <c r="B1490" s="7" t="n">
        <v>31</v>
      </c>
      <c r="C1490" s="7" t="n">
        <v>31</v>
      </c>
      <c r="D1490" s="7" t="s">
        <v>3883</v>
      </c>
      <c r="E1490" s="7"/>
      <c r="G1490" s="5" t="str">
        <f aca="false">IF(ISNUMBER(FIND("old rod:",A1490)),"old rod:",A1490)</f>
        <v>31, 31, SPEAROW</v>
      </c>
      <c r="I1490" s="5" t="s">
        <v>1687</v>
      </c>
    </row>
    <row r="1491" customFormat="false" ht="12.75" hidden="false" customHeight="true" outlineLevel="0" collapsed="false">
      <c r="A1491" s="5" t="s">
        <v>3236</v>
      </c>
      <c r="B1491" s="7" t="n">
        <v>35</v>
      </c>
      <c r="C1491" s="7" t="n">
        <v>35</v>
      </c>
      <c r="D1491" s="7" t="s">
        <v>3738</v>
      </c>
      <c r="E1491" s="7"/>
      <c r="G1491" s="5" t="str">
        <f aca="false">IF(ISNUMBER(FIND("old rod:",A1491)),"old rod:",A1491)</f>
        <v>35, 35, TANGELA</v>
      </c>
      <c r="I1491" s="5" t="s">
        <v>3236</v>
      </c>
    </row>
    <row r="1492" customFormat="false" ht="12.75" hidden="false" customHeight="true" outlineLevel="0" collapsed="false">
      <c r="A1492" s="5" t="s">
        <v>3222</v>
      </c>
      <c r="B1492" s="7" t="n">
        <v>36</v>
      </c>
      <c r="C1492" s="7" t="n">
        <v>36</v>
      </c>
      <c r="D1492" s="7" t="s">
        <v>3882</v>
      </c>
      <c r="E1492" s="7"/>
      <c r="G1492" s="5" t="str">
        <f aca="false">IF(ISNUMBER(FIND("old rod:",A1492)),"old rod:",A1492)</f>
        <v>36, 36, FEAROW</v>
      </c>
      <c r="I1492" s="5" t="s">
        <v>3222</v>
      </c>
    </row>
    <row r="1493" customFormat="false" ht="12.75" hidden="false" customHeight="true" outlineLevel="0" collapsed="false">
      <c r="A1493" s="5" t="s">
        <v>3224</v>
      </c>
      <c r="B1493" s="7" t="n">
        <v>31</v>
      </c>
      <c r="C1493" s="7" t="n">
        <v>31</v>
      </c>
      <c r="D1493" s="7" t="s">
        <v>3902</v>
      </c>
      <c r="E1493" s="7"/>
      <c r="G1493" s="5" t="str">
        <f aca="false">IF(ISNUMBER(FIND("old rod:",A1493)),"old rod:",A1493)</f>
        <v>31, 31, MEOWTH</v>
      </c>
      <c r="I1493" s="5" t="s">
        <v>3224</v>
      </c>
    </row>
    <row r="1494" customFormat="false" ht="12.75" hidden="false" customHeight="true" outlineLevel="0" collapsed="false">
      <c r="A1494" s="5" t="n">
        <v>0.05</v>
      </c>
      <c r="B1494" s="5" t="n">
        <v>0.05</v>
      </c>
      <c r="C1494" s="7"/>
      <c r="D1494" s="7"/>
      <c r="E1494" s="7"/>
      <c r="G1494" s="5" t="n">
        <f aca="false">IF(ISNUMBER(FIND("old rod:",A1494)),"old rod:",A1494)</f>
        <v>0.05</v>
      </c>
      <c r="I1494" s="5" t="n">
        <v>0.05</v>
      </c>
    </row>
    <row r="1495" customFormat="false" ht="12.75" hidden="false" customHeight="true" outlineLevel="0" collapsed="false">
      <c r="A1495" s="5" t="s">
        <v>3070</v>
      </c>
      <c r="B1495" s="7" t="n">
        <v>38</v>
      </c>
      <c r="C1495" s="7" t="n">
        <v>38</v>
      </c>
      <c r="D1495" s="7" t="s">
        <v>3882</v>
      </c>
      <c r="E1495" s="7"/>
      <c r="G1495" s="5" t="str">
        <f aca="false">IF(ISNUMBER(FIND("old rod:",A1495)),"old rod:",A1495)</f>
        <v>38, 38, FEAROW</v>
      </c>
      <c r="I1495" s="5" t="s">
        <v>3070</v>
      </c>
    </row>
    <row r="1496" customFormat="false" ht="12.75" hidden="false" customHeight="true" outlineLevel="0" collapsed="false">
      <c r="A1496" s="5" t="s">
        <v>3133</v>
      </c>
      <c r="B1496" s="7" t="n">
        <v>31</v>
      </c>
      <c r="C1496" s="7" t="n">
        <v>31</v>
      </c>
      <c r="D1496" s="7" t="s">
        <v>3755</v>
      </c>
      <c r="E1496" s="7"/>
      <c r="G1496" s="5" t="str">
        <f aca="false">IF(ISNUMBER(FIND("old rod:",A1496)),"old rod:",A1496)</f>
        <v>31, 31, SLOWPOKE</v>
      </c>
      <c r="I1496" s="5" t="s">
        <v>3133</v>
      </c>
    </row>
    <row r="1497" customFormat="false" ht="12.75" hidden="false" customHeight="true" outlineLevel="0" collapsed="false">
      <c r="A1497" s="5" t="n">
        <v>0.04</v>
      </c>
      <c r="B1497" s="5" t="n">
        <v>0.04</v>
      </c>
      <c r="C1497" s="7"/>
      <c r="D1497" s="7"/>
      <c r="E1497" s="7"/>
      <c r="G1497" s="5" t="n">
        <f aca="false">IF(ISNUMBER(FIND("old rod:",A1497)),"old rod:",A1497)</f>
        <v>0.04</v>
      </c>
      <c r="I1497" s="5" t="n">
        <v>0.04</v>
      </c>
    </row>
    <row r="1498" customFormat="false" ht="12.75" hidden="false" customHeight="true" outlineLevel="0" collapsed="false">
      <c r="A1498" s="5" t="s">
        <v>3074</v>
      </c>
      <c r="B1498" s="7" t="n">
        <v>40</v>
      </c>
      <c r="C1498" s="7" t="n">
        <v>40</v>
      </c>
      <c r="D1498" s="7" t="s">
        <v>3882</v>
      </c>
      <c r="E1498" s="7"/>
      <c r="G1498" s="5" t="str">
        <f aca="false">IF(ISNUMBER(FIND("old rod:",A1498)),"old rod:",A1498)</f>
        <v>40, 40, FEAROW</v>
      </c>
      <c r="I1498" s="5" t="s">
        <v>3074</v>
      </c>
    </row>
    <row r="1499" customFormat="false" ht="12.75" hidden="false" customHeight="true" outlineLevel="0" collapsed="false">
      <c r="A1499" s="5" t="s">
        <v>3228</v>
      </c>
      <c r="B1499" s="7" t="n">
        <v>37</v>
      </c>
      <c r="C1499" s="7" t="n">
        <v>37</v>
      </c>
      <c r="D1499" s="7" t="s">
        <v>3903</v>
      </c>
      <c r="E1499" s="7"/>
      <c r="G1499" s="5" t="str">
        <f aca="false">IF(ISNUMBER(FIND("old rod:",A1499)),"old rod:",A1499)</f>
        <v>37, 37, PERSIAN</v>
      </c>
      <c r="I1499" s="5" t="s">
        <v>3228</v>
      </c>
    </row>
    <row r="1500" customFormat="false" ht="12.75" hidden="false" customHeight="true" outlineLevel="0" collapsed="false">
      <c r="A1500" s="5" t="n">
        <v>0.01</v>
      </c>
      <c r="B1500" s="5" t="n">
        <v>0.01</v>
      </c>
      <c r="C1500" s="7"/>
      <c r="D1500" s="7"/>
      <c r="E1500" s="7"/>
      <c r="G1500" s="5" t="n">
        <f aca="false">IF(ISNUMBER(FIND("old rod:",A1500)),"old rod:",A1500)</f>
        <v>0.01</v>
      </c>
      <c r="I1500" s="5" t="n">
        <v>0.01</v>
      </c>
    </row>
    <row r="1501" customFormat="false" ht="12.75" hidden="false" customHeight="true" outlineLevel="0" collapsed="false">
      <c r="A1501" s="5" t="s">
        <v>3074</v>
      </c>
      <c r="B1501" s="7" t="n">
        <v>40</v>
      </c>
      <c r="C1501" s="7" t="n">
        <v>40</v>
      </c>
      <c r="D1501" s="7" t="s">
        <v>3882</v>
      </c>
      <c r="E1501" s="7"/>
      <c r="G1501" s="5" t="str">
        <f aca="false">IF(ISNUMBER(FIND("old rod:",A1501)),"old rod:",A1501)</f>
        <v>40, 40, FEAROW</v>
      </c>
      <c r="I1501" s="5" t="s">
        <v>3074</v>
      </c>
    </row>
    <row r="1502" customFormat="false" ht="12.75" hidden="false" customHeight="true" outlineLevel="0" collapsed="false">
      <c r="A1502" s="5" t="s">
        <v>3230</v>
      </c>
      <c r="B1502" s="7" t="n">
        <v>40</v>
      </c>
      <c r="C1502" s="7" t="n">
        <v>40</v>
      </c>
      <c r="D1502" s="7" t="s">
        <v>3903</v>
      </c>
      <c r="E1502" s="7"/>
      <c r="G1502" s="5" t="str">
        <f aca="false">IF(ISNUMBER(FIND("old rod:",A1502)),"old rod:",A1502)</f>
        <v>40, 40, PERSIAN</v>
      </c>
      <c r="I1502" s="5" t="s">
        <v>3230</v>
      </c>
    </row>
    <row r="1503" customFormat="false" ht="12.75" hidden="false" customHeight="true" outlineLevel="0" collapsed="false">
      <c r="A1503" s="5" t="s">
        <v>3172</v>
      </c>
      <c r="B1503" s="7" t="n">
        <v>2</v>
      </c>
      <c r="C1503" s="7" t="n">
        <v>5</v>
      </c>
      <c r="D1503" s="7" t="n">
        <v>20</v>
      </c>
      <c r="E1503" s="7" t="s">
        <v>3747</v>
      </c>
      <c r="G1503" s="5" t="str">
        <f aca="false">IF(ISNUMBER(FIND("old rod:",A1503)),"old rod:",A1503)</f>
        <v>2, 5, 20, TENTACOOL</v>
      </c>
      <c r="I1503" s="5" t="s">
        <v>3172</v>
      </c>
    </row>
    <row r="1504" customFormat="false" ht="12.75" hidden="false" customHeight="true" outlineLevel="0" collapsed="false">
      <c r="A1504" s="5" t="s">
        <v>3173</v>
      </c>
      <c r="B1504" s="7" t="n">
        <v>20</v>
      </c>
      <c r="C1504" s="7" t="n">
        <v>35</v>
      </c>
      <c r="D1504" s="7" t="s">
        <v>3747</v>
      </c>
      <c r="E1504" s="7"/>
      <c r="G1504" s="5" t="str">
        <f aca="false">IF(ISNUMBER(FIND("old rod:",A1504)),"old rod:",A1504)</f>
        <v>20, 35, TENTACOOL</v>
      </c>
      <c r="I1504" s="5" t="s">
        <v>3173</v>
      </c>
    </row>
    <row r="1505" customFormat="false" ht="12.75" hidden="false" customHeight="true" outlineLevel="0" collapsed="false">
      <c r="A1505" s="5" t="s">
        <v>2844</v>
      </c>
      <c r="B1505" s="7" t="n">
        <v>35</v>
      </c>
      <c r="C1505" s="7" t="n">
        <v>40</v>
      </c>
      <c r="D1505" s="7" t="s">
        <v>3747</v>
      </c>
      <c r="E1505" s="7"/>
      <c r="G1505" s="5" t="str">
        <f aca="false">IF(ISNUMBER(FIND("old rod:",A1505)),"old rod:",A1505)</f>
        <v>35, 40, TENTACOOL</v>
      </c>
      <c r="I1505" s="5" t="s">
        <v>2844</v>
      </c>
    </row>
    <row r="1506" customFormat="false" ht="12.75" hidden="false" customHeight="true" outlineLevel="0" collapsed="false">
      <c r="A1506" s="5" t="s">
        <v>3231</v>
      </c>
      <c r="B1506" s="7" t="n">
        <v>35</v>
      </c>
      <c r="C1506" s="7" t="n">
        <v>40</v>
      </c>
      <c r="D1506" s="7" t="s">
        <v>3897</v>
      </c>
      <c r="E1506" s="7"/>
      <c r="G1506" s="5" t="str">
        <f aca="false">IF(ISNUMBER(FIND("old rod:",A1506)),"old rod:",A1506)</f>
        <v>35, 40, TENTACRUEL</v>
      </c>
      <c r="I1506" s="5" t="s">
        <v>3231</v>
      </c>
    </row>
    <row r="1507" customFormat="false" ht="12.75" hidden="false" customHeight="true" outlineLevel="0" collapsed="false">
      <c r="A1507" s="5" t="s">
        <v>3231</v>
      </c>
      <c r="B1507" s="7" t="n">
        <v>35</v>
      </c>
      <c r="C1507" s="7" t="n">
        <v>40</v>
      </c>
      <c r="D1507" s="7" t="s">
        <v>3897</v>
      </c>
      <c r="E1507" s="7"/>
      <c r="G1507" s="5" t="str">
        <f aca="false">IF(ISNUMBER(FIND("old rod:",A1507)),"old rod:",A1507)</f>
        <v>35, 40, TENTACRUEL</v>
      </c>
      <c r="I1507" s="5" t="s">
        <v>3231</v>
      </c>
    </row>
    <row r="1508" customFormat="false" ht="12.75" hidden="false" customHeight="true" outlineLevel="0" collapsed="false">
      <c r="A1508" s="5" t="s">
        <v>2925</v>
      </c>
      <c r="B1508" s="7" t="n">
        <v>20</v>
      </c>
      <c r="C1508" s="7" t="s">
        <v>3748</v>
      </c>
      <c r="D1508" s="7"/>
      <c r="E1508" s="7"/>
      <c r="G1508" s="5" t="str">
        <f aca="false">IF(ISNUMBER(FIND("old rod:",A1508)),"old rod:",A1508)</f>
        <v>old rod:</v>
      </c>
      <c r="I1508" s="5" t="s">
        <v>3749</v>
      </c>
    </row>
    <row r="1509" customFormat="false" ht="12.75" hidden="false" customHeight="true" outlineLevel="0" collapsed="false">
      <c r="A1509" s="5" t="s">
        <v>1266</v>
      </c>
      <c r="B1509" s="7" t="n">
        <v>5</v>
      </c>
      <c r="C1509" s="7" t="n">
        <v>5</v>
      </c>
      <c r="D1509" s="7" t="s">
        <v>3750</v>
      </c>
      <c r="E1509" s="7"/>
      <c r="G1509" s="5" t="str">
        <f aca="false">IF(ISNUMBER(FIND("old rod:",A1509)),"old rod:",A1509)</f>
        <v>5, 5, MAGIKARP</v>
      </c>
      <c r="I1509" s="5" t="s">
        <v>1266</v>
      </c>
    </row>
    <row r="1510" customFormat="false" ht="12.75" hidden="false" customHeight="true" outlineLevel="0" collapsed="false">
      <c r="A1510" s="5" t="s">
        <v>1266</v>
      </c>
      <c r="B1510" s="7" t="n">
        <v>5</v>
      </c>
      <c r="C1510" s="7" t="n">
        <v>5</v>
      </c>
      <c r="D1510" s="7" t="s">
        <v>3750</v>
      </c>
      <c r="E1510" s="7"/>
      <c r="G1510" s="5" t="str">
        <f aca="false">IF(ISNUMBER(FIND("old rod:",A1510)),"old rod:",A1510)</f>
        <v>5, 5, MAGIKARP</v>
      </c>
      <c r="I1510" s="5" t="s">
        <v>1266</v>
      </c>
    </row>
    <row r="1511" customFormat="false" ht="12.75" hidden="false" customHeight="true" outlineLevel="0" collapsed="false">
      <c r="A1511" s="5" t="s">
        <v>2846</v>
      </c>
      <c r="B1511" s="7" t="s">
        <v>2846</v>
      </c>
      <c r="C1511" s="7"/>
      <c r="D1511" s="7"/>
      <c r="E1511" s="7"/>
      <c r="G1511" s="5" t="str">
        <f aca="false">IF(ISNUMBER(FIND("old rod:",A1511)),"old rod:",A1511)</f>
        <v>good rod:</v>
      </c>
      <c r="I1511" s="5" t="s">
        <v>2846</v>
      </c>
    </row>
    <row r="1512" customFormat="false" ht="12.75" hidden="false" customHeight="true" outlineLevel="0" collapsed="false">
      <c r="A1512" s="5" t="s">
        <v>2847</v>
      </c>
      <c r="B1512" s="7" t="n">
        <v>5</v>
      </c>
      <c r="C1512" s="7" t="n">
        <v>15</v>
      </c>
      <c r="D1512" s="7" t="s">
        <v>3751</v>
      </c>
      <c r="E1512" s="7"/>
      <c r="G1512" s="5" t="str">
        <f aca="false">IF(ISNUMBER(FIND("old rod:",A1512)),"old rod:",A1512)</f>
        <v>5, 15, KRABBY</v>
      </c>
      <c r="I1512" s="5" t="s">
        <v>2847</v>
      </c>
    </row>
    <row r="1513" customFormat="false" ht="12.75" hidden="false" customHeight="true" outlineLevel="0" collapsed="false">
      <c r="A1513" s="5" t="s">
        <v>2848</v>
      </c>
      <c r="B1513" s="7" t="n">
        <v>5</v>
      </c>
      <c r="C1513" s="7" t="n">
        <v>15</v>
      </c>
      <c r="D1513" s="7" t="s">
        <v>3750</v>
      </c>
      <c r="E1513" s="7"/>
      <c r="G1513" s="5" t="str">
        <f aca="false">IF(ISNUMBER(FIND("old rod:",A1513)),"old rod:",A1513)</f>
        <v>5, 15, MAGIKARP</v>
      </c>
      <c r="I1513" s="5" t="s">
        <v>2848</v>
      </c>
    </row>
    <row r="1514" customFormat="false" ht="12.75" hidden="false" customHeight="true" outlineLevel="0" collapsed="false">
      <c r="A1514" s="5" t="s">
        <v>2847</v>
      </c>
      <c r="B1514" s="7" t="n">
        <v>5</v>
      </c>
      <c r="C1514" s="7" t="n">
        <v>15</v>
      </c>
      <c r="D1514" s="7" t="s">
        <v>3751</v>
      </c>
      <c r="E1514" s="7"/>
      <c r="G1514" s="5" t="str">
        <f aca="false">IF(ISNUMBER(FIND("old rod:",A1514)),"old rod:",A1514)</f>
        <v>5, 15, KRABBY</v>
      </c>
      <c r="I1514" s="5" t="s">
        <v>2847</v>
      </c>
    </row>
    <row r="1515" customFormat="false" ht="12.75" hidden="false" customHeight="true" outlineLevel="0" collapsed="false">
      <c r="A1515" s="5" t="s">
        <v>2850</v>
      </c>
      <c r="B1515" s="7" t="s">
        <v>2850</v>
      </c>
      <c r="C1515" s="7"/>
      <c r="D1515" s="7"/>
      <c r="E1515" s="7"/>
      <c r="G1515" s="5" t="str">
        <f aca="false">IF(ISNUMBER(FIND("old rod:",A1515)),"old rod:",A1515)</f>
        <v>super rod:</v>
      </c>
      <c r="I1515" s="5" t="s">
        <v>2850</v>
      </c>
    </row>
    <row r="1516" customFormat="false" ht="12.75" hidden="false" customHeight="true" outlineLevel="0" collapsed="false">
      <c r="A1516" s="5" t="s">
        <v>2851</v>
      </c>
      <c r="B1516" s="7" t="n">
        <v>15</v>
      </c>
      <c r="C1516" s="7" t="n">
        <v>25</v>
      </c>
      <c r="D1516" s="7" t="s">
        <v>3751</v>
      </c>
      <c r="E1516" s="7"/>
      <c r="G1516" s="5" t="str">
        <f aca="false">IF(ISNUMBER(FIND("old rod:",A1516)),"old rod:",A1516)</f>
        <v>15, 25, KRABBY</v>
      </c>
      <c r="I1516" s="5" t="s">
        <v>2851</v>
      </c>
    </row>
    <row r="1517" customFormat="false" ht="12.75" hidden="false" customHeight="true" outlineLevel="0" collapsed="false">
      <c r="A1517" s="5" t="s">
        <v>2851</v>
      </c>
      <c r="B1517" s="7" t="n">
        <v>15</v>
      </c>
      <c r="C1517" s="7" t="n">
        <v>25</v>
      </c>
      <c r="D1517" s="7" t="s">
        <v>3751</v>
      </c>
      <c r="E1517" s="7"/>
      <c r="G1517" s="5" t="str">
        <f aca="false">IF(ISNUMBER(FIND("old rod:",A1517)),"old rod:",A1517)</f>
        <v>15, 25, KRABBY</v>
      </c>
      <c r="I1517" s="5" t="s">
        <v>2851</v>
      </c>
    </row>
    <row r="1518" customFormat="false" ht="12.75" hidden="false" customHeight="true" outlineLevel="0" collapsed="false">
      <c r="A1518" s="5" t="s">
        <v>2853</v>
      </c>
      <c r="B1518" s="7" t="n">
        <v>15</v>
      </c>
      <c r="C1518" s="7" t="n">
        <v>25</v>
      </c>
      <c r="D1518" s="7" t="s">
        <v>3754</v>
      </c>
      <c r="E1518" s="7"/>
      <c r="G1518" s="5" t="str">
        <f aca="false">IF(ISNUMBER(FIND("old rod:",A1518)),"old rod:",A1518)</f>
        <v>15, 25, GYARADOS</v>
      </c>
      <c r="I1518" s="5" t="s">
        <v>2853</v>
      </c>
    </row>
    <row r="1519" customFormat="false" ht="12.75" hidden="false" customHeight="true" outlineLevel="0" collapsed="false">
      <c r="A1519" s="5" t="s">
        <v>3177</v>
      </c>
      <c r="B1519" s="7" t="n">
        <v>25</v>
      </c>
      <c r="C1519" s="7" t="n">
        <v>35</v>
      </c>
      <c r="D1519" s="7" t="s">
        <v>3859</v>
      </c>
      <c r="E1519" s="7"/>
      <c r="G1519" s="5" t="str">
        <f aca="false">IF(ISNUMBER(FIND("old rod:",A1519)),"old rod:",A1519)</f>
        <v>25, 35, KINGLER</v>
      </c>
      <c r="I1519" s="5" t="s">
        <v>3177</v>
      </c>
    </row>
    <row r="1520" customFormat="false" ht="12.75" hidden="false" customHeight="true" outlineLevel="0" collapsed="false">
      <c r="A1520" s="5" t="s">
        <v>2855</v>
      </c>
      <c r="B1520" s="7" t="n">
        <v>25</v>
      </c>
      <c r="C1520" s="7" t="n">
        <v>35</v>
      </c>
      <c r="D1520" s="7" t="s">
        <v>3755</v>
      </c>
      <c r="E1520" s="7"/>
      <c r="G1520" s="5" t="str">
        <f aca="false">IF(ISNUMBER(FIND("old rod:",A1520)),"old rod:",A1520)</f>
        <v>25, 35, SLOWPOKE</v>
      </c>
      <c r="I1520" s="5" t="s">
        <v>2855</v>
      </c>
    </row>
    <row r="1521" customFormat="false" ht="12.75" hidden="false" customHeight="true" outlineLevel="0" collapsed="false">
      <c r="A1521" s="5" t="s">
        <v>2536</v>
      </c>
      <c r="B1521" s="7" t="s">
        <v>2536</v>
      </c>
      <c r="C1521" s="7"/>
      <c r="D1521" s="7"/>
      <c r="E1521" s="7"/>
      <c r="G1521" s="5" t="str">
        <f aca="false">IF(ISNUMBER(FIND("old rod:",A1521)),"old rod:",A1521)</f>
        <v>NEW ROUTE</v>
      </c>
      <c r="I1521" s="5" t="s">
        <v>2536</v>
      </c>
    </row>
    <row r="1522" customFormat="false" ht="12.75" hidden="false" customHeight="true" outlineLevel="0" collapsed="false">
      <c r="A1522" s="5" t="s">
        <v>473</v>
      </c>
      <c r="B1522" s="7" t="s">
        <v>473</v>
      </c>
      <c r="C1522" s="7"/>
      <c r="D1522" s="7"/>
      <c r="E1522" s="7"/>
      <c r="G1522" s="5" t="str">
        <f aca="false">IF(ISNUMBER(FIND("old rod:",A1522)),"old rod:",A1522)</f>
        <v>Two Island Cape Brink</v>
      </c>
      <c r="I1522" s="5" t="s">
        <v>473</v>
      </c>
    </row>
    <row r="1523" customFormat="false" ht="12.75" hidden="false" customHeight="true" outlineLevel="0" collapsed="false">
      <c r="A1523" s="5" t="n">
        <v>0.2</v>
      </c>
      <c r="B1523" s="5" t="n">
        <v>0.2</v>
      </c>
      <c r="C1523" s="7"/>
      <c r="D1523" s="7"/>
      <c r="E1523" s="7"/>
      <c r="G1523" s="5" t="n">
        <f aca="false">IF(ISNUMBER(FIND("old rod:",A1523)),"old rod:",A1523)</f>
        <v>0.2</v>
      </c>
      <c r="I1523" s="5" t="n">
        <v>0.2</v>
      </c>
    </row>
    <row r="1524" customFormat="false" ht="12.75" hidden="false" customHeight="true" outlineLevel="0" collapsed="false">
      <c r="A1524" s="5" t="s">
        <v>1687</v>
      </c>
      <c r="B1524" s="7" t="n">
        <v>31</v>
      </c>
      <c r="C1524" s="7" t="n">
        <v>31</v>
      </c>
      <c r="D1524" s="7" t="s">
        <v>3883</v>
      </c>
      <c r="E1524" s="7"/>
      <c r="G1524" s="5" t="str">
        <f aca="false">IF(ISNUMBER(FIND("old rod:",A1524)),"old rod:",A1524)</f>
        <v>31, 31, SPEAROW</v>
      </c>
      <c r="I1524" s="5" t="s">
        <v>1687</v>
      </c>
    </row>
    <row r="1525" customFormat="false" ht="12.75" hidden="false" customHeight="true" outlineLevel="0" collapsed="false">
      <c r="A1525" s="5" t="s">
        <v>3129</v>
      </c>
      <c r="B1525" s="7" t="n">
        <v>30</v>
      </c>
      <c r="C1525" s="7" t="n">
        <v>30</v>
      </c>
      <c r="D1525" s="7" t="s">
        <v>3890</v>
      </c>
      <c r="E1525" s="7"/>
      <c r="G1525" s="5" t="str">
        <f aca="false">IF(ISNUMBER(FIND("old rod:",A1525)),"old rod:",A1525)</f>
        <v>30, 30, BELLSPROUT</v>
      </c>
      <c r="I1525" s="5" t="s">
        <v>3129</v>
      </c>
    </row>
    <row r="1526" customFormat="false" ht="12.75" hidden="false" customHeight="true" outlineLevel="0" collapsed="false">
      <c r="A1526" s="5" t="n">
        <v>0.1</v>
      </c>
      <c r="B1526" s="5" t="n">
        <v>0.1</v>
      </c>
      <c r="C1526" s="7"/>
      <c r="D1526" s="7"/>
      <c r="E1526" s="7"/>
      <c r="G1526" s="5" t="n">
        <f aca="false">IF(ISNUMBER(FIND("old rod:",A1526)),"old rod:",A1526)</f>
        <v>0.1</v>
      </c>
      <c r="I1526" s="5" t="n">
        <v>0.1</v>
      </c>
    </row>
    <row r="1527" customFormat="false" ht="12.75" hidden="false" customHeight="true" outlineLevel="0" collapsed="false">
      <c r="A1527" s="5" t="s">
        <v>3238</v>
      </c>
      <c r="B1527" s="7" t="n">
        <v>32</v>
      </c>
      <c r="C1527" s="7" t="n">
        <v>32</v>
      </c>
      <c r="D1527" s="7" t="s">
        <v>3890</v>
      </c>
      <c r="E1527" s="7"/>
      <c r="G1527" s="5" t="str">
        <f aca="false">IF(ISNUMBER(FIND("old rod:",A1527)),"old rod:",A1527)</f>
        <v>32, 32, BELLSPROUT</v>
      </c>
      <c r="I1527" s="5" t="s">
        <v>3238</v>
      </c>
    </row>
    <row r="1528" customFormat="false" ht="12.75" hidden="false" customHeight="true" outlineLevel="0" collapsed="false">
      <c r="A1528" s="5" t="s">
        <v>3239</v>
      </c>
      <c r="B1528" s="7" t="n">
        <v>36</v>
      </c>
      <c r="C1528" s="7" t="n">
        <v>36</v>
      </c>
      <c r="D1528" s="7" t="s">
        <v>3888</v>
      </c>
      <c r="E1528" s="7"/>
      <c r="G1528" s="5" t="str">
        <f aca="false">IF(ISNUMBER(FIND("old rod:",A1528)),"old rod:",A1528)</f>
        <v>36, 36, WEEPINBELL</v>
      </c>
      <c r="I1528" s="5" t="s">
        <v>3239</v>
      </c>
    </row>
    <row r="1529" customFormat="false" ht="12.75" hidden="false" customHeight="true" outlineLevel="0" collapsed="false">
      <c r="A1529" s="5" t="s">
        <v>3222</v>
      </c>
      <c r="B1529" s="7" t="n">
        <v>36</v>
      </c>
      <c r="C1529" s="7" t="n">
        <v>36</v>
      </c>
      <c r="D1529" s="7" t="s">
        <v>3882</v>
      </c>
      <c r="E1529" s="7"/>
      <c r="G1529" s="5" t="str">
        <f aca="false">IF(ISNUMBER(FIND("old rod:",A1529)),"old rod:",A1529)</f>
        <v>36, 36, FEAROW</v>
      </c>
      <c r="I1529" s="5" t="s">
        <v>3222</v>
      </c>
    </row>
    <row r="1530" customFormat="false" ht="12.75" hidden="false" customHeight="true" outlineLevel="0" collapsed="false">
      <c r="A1530" s="5" t="s">
        <v>3224</v>
      </c>
      <c r="B1530" s="7" t="n">
        <v>31</v>
      </c>
      <c r="C1530" s="7" t="n">
        <v>31</v>
      </c>
      <c r="D1530" s="7" t="s">
        <v>3902</v>
      </c>
      <c r="E1530" s="7"/>
      <c r="G1530" s="5" t="str">
        <f aca="false">IF(ISNUMBER(FIND("old rod:",A1530)),"old rod:",A1530)</f>
        <v>31, 31, MEOWTH</v>
      </c>
      <c r="I1530" s="5" t="s">
        <v>3224</v>
      </c>
    </row>
    <row r="1531" customFormat="false" ht="12.75" hidden="false" customHeight="true" outlineLevel="0" collapsed="false">
      <c r="A1531" s="5" t="n">
        <v>0.05</v>
      </c>
      <c r="B1531" s="5" t="n">
        <v>0.05</v>
      </c>
      <c r="C1531" s="7"/>
      <c r="D1531" s="7"/>
      <c r="E1531" s="7"/>
      <c r="G1531" s="5" t="n">
        <f aca="false">IF(ISNUMBER(FIND("old rod:",A1531)),"old rod:",A1531)</f>
        <v>0.05</v>
      </c>
      <c r="I1531" s="5" t="n">
        <v>0.05</v>
      </c>
    </row>
    <row r="1532" customFormat="false" ht="12.75" hidden="false" customHeight="true" outlineLevel="0" collapsed="false">
      <c r="A1532" s="5" t="s">
        <v>3240</v>
      </c>
      <c r="B1532" s="7" t="n">
        <v>38</v>
      </c>
      <c r="C1532" s="7" t="n">
        <v>38</v>
      </c>
      <c r="D1532" s="7" t="s">
        <v>3888</v>
      </c>
      <c r="E1532" s="7"/>
      <c r="G1532" s="5" t="str">
        <f aca="false">IF(ISNUMBER(FIND("old rod:",A1532)),"old rod:",A1532)</f>
        <v>38, 38, WEEPINBELL</v>
      </c>
      <c r="I1532" s="5" t="s">
        <v>3240</v>
      </c>
    </row>
    <row r="1533" customFormat="false" ht="12.75" hidden="false" customHeight="true" outlineLevel="0" collapsed="false">
      <c r="A1533" s="5" t="s">
        <v>3133</v>
      </c>
      <c r="B1533" s="7" t="n">
        <v>31</v>
      </c>
      <c r="C1533" s="7" t="n">
        <v>31</v>
      </c>
      <c r="D1533" s="7" t="s">
        <v>3755</v>
      </c>
      <c r="E1533" s="7"/>
      <c r="G1533" s="5" t="str">
        <f aca="false">IF(ISNUMBER(FIND("old rod:",A1533)),"old rod:",A1533)</f>
        <v>31, 31, SLOWPOKE</v>
      </c>
      <c r="I1533" s="5" t="s">
        <v>3133</v>
      </c>
    </row>
    <row r="1534" customFormat="false" ht="12.75" hidden="false" customHeight="true" outlineLevel="0" collapsed="false">
      <c r="A1534" s="5" t="n">
        <v>0.04</v>
      </c>
      <c r="B1534" s="5" t="n">
        <v>0.04</v>
      </c>
      <c r="C1534" s="7"/>
      <c r="D1534" s="7"/>
      <c r="E1534" s="7"/>
      <c r="G1534" s="5" t="n">
        <f aca="false">IF(ISNUMBER(FIND("old rod:",A1534)),"old rod:",A1534)</f>
        <v>0.04</v>
      </c>
      <c r="I1534" s="5" t="n">
        <v>0.04</v>
      </c>
    </row>
    <row r="1535" customFormat="false" ht="12.75" hidden="false" customHeight="true" outlineLevel="0" collapsed="false">
      <c r="A1535" s="5" t="s">
        <v>3241</v>
      </c>
      <c r="B1535" s="7" t="n">
        <v>37</v>
      </c>
      <c r="C1535" s="7" t="n">
        <v>37</v>
      </c>
      <c r="D1535" s="7" t="s">
        <v>3800</v>
      </c>
      <c r="E1535" s="7"/>
      <c r="G1535" s="5" t="str">
        <f aca="false">IF(ISNUMBER(FIND("old rod:",A1535)),"old rod:",A1535)</f>
        <v>37, 37, SLOWBRO</v>
      </c>
      <c r="I1535" s="5" t="s">
        <v>3241</v>
      </c>
    </row>
    <row r="1536" customFormat="false" ht="12.75" hidden="false" customHeight="true" outlineLevel="0" collapsed="false">
      <c r="A1536" s="5" t="s">
        <v>3228</v>
      </c>
      <c r="B1536" s="7" t="n">
        <v>37</v>
      </c>
      <c r="C1536" s="7" t="n">
        <v>37</v>
      </c>
      <c r="D1536" s="7" t="s">
        <v>3903</v>
      </c>
      <c r="E1536" s="7"/>
      <c r="G1536" s="5" t="str">
        <f aca="false">IF(ISNUMBER(FIND("old rod:",A1536)),"old rod:",A1536)</f>
        <v>37, 37, PERSIAN</v>
      </c>
      <c r="I1536" s="5" t="s">
        <v>3228</v>
      </c>
    </row>
    <row r="1537" customFormat="false" ht="12.75" hidden="false" customHeight="true" outlineLevel="0" collapsed="false">
      <c r="A1537" s="5" t="n">
        <v>0.01</v>
      </c>
      <c r="B1537" s="5" t="n">
        <v>0.01</v>
      </c>
      <c r="C1537" s="7"/>
      <c r="D1537" s="7"/>
      <c r="E1537" s="7"/>
      <c r="G1537" s="5" t="n">
        <f aca="false">IF(ISNUMBER(FIND("old rod:",A1537)),"old rod:",A1537)</f>
        <v>0.01</v>
      </c>
      <c r="I1537" s="5" t="n">
        <v>0.01</v>
      </c>
    </row>
    <row r="1538" customFormat="false" ht="12.75" hidden="false" customHeight="true" outlineLevel="0" collapsed="false">
      <c r="A1538" s="5" t="s">
        <v>3242</v>
      </c>
      <c r="B1538" s="7" t="n">
        <v>40</v>
      </c>
      <c r="C1538" s="7" t="n">
        <v>40</v>
      </c>
      <c r="D1538" s="7" t="s">
        <v>3800</v>
      </c>
      <c r="E1538" s="7"/>
      <c r="G1538" s="5" t="str">
        <f aca="false">IF(ISNUMBER(FIND("old rod:",A1538)),"old rod:",A1538)</f>
        <v>40, 40, SLOWBRO</v>
      </c>
      <c r="I1538" s="5" t="s">
        <v>3242</v>
      </c>
    </row>
    <row r="1539" customFormat="false" ht="12.75" hidden="false" customHeight="true" outlineLevel="0" collapsed="false">
      <c r="A1539" s="5" t="s">
        <v>3230</v>
      </c>
      <c r="B1539" s="7" t="n">
        <v>40</v>
      </c>
      <c r="C1539" s="7" t="n">
        <v>40</v>
      </c>
      <c r="D1539" s="7" t="s">
        <v>3903</v>
      </c>
      <c r="E1539" s="7"/>
      <c r="G1539" s="5" t="str">
        <f aca="false">IF(ISNUMBER(FIND("old rod:",A1539)),"old rod:",A1539)</f>
        <v>40, 40, PERSIAN</v>
      </c>
      <c r="I1539" s="5" t="s">
        <v>3230</v>
      </c>
    </row>
    <row r="1540" customFormat="false" ht="12.75" hidden="false" customHeight="true" outlineLevel="0" collapsed="false">
      <c r="A1540" s="5" t="s">
        <v>3138</v>
      </c>
      <c r="B1540" s="7" t="n">
        <v>2</v>
      </c>
      <c r="C1540" s="7" t="n">
        <v>5</v>
      </c>
      <c r="D1540" s="7" t="n">
        <v>20</v>
      </c>
      <c r="E1540" s="7" t="s">
        <v>3755</v>
      </c>
      <c r="G1540" s="5" t="str">
        <f aca="false">IF(ISNUMBER(FIND("old rod:",A1540)),"old rod:",A1540)</f>
        <v>2, 5, 20, SLOWPOKE</v>
      </c>
      <c r="I1540" s="5" t="s">
        <v>3138</v>
      </c>
    </row>
    <row r="1541" customFormat="false" ht="12.75" hidden="false" customHeight="true" outlineLevel="0" collapsed="false">
      <c r="A1541" s="5" t="s">
        <v>3139</v>
      </c>
      <c r="B1541" s="7" t="n">
        <v>20</v>
      </c>
      <c r="C1541" s="7" t="n">
        <v>35</v>
      </c>
      <c r="D1541" s="7" t="s">
        <v>3755</v>
      </c>
      <c r="E1541" s="7"/>
      <c r="G1541" s="5" t="str">
        <f aca="false">IF(ISNUMBER(FIND("old rod:",A1541)),"old rod:",A1541)</f>
        <v>20, 35, SLOWPOKE</v>
      </c>
      <c r="I1541" s="5" t="s">
        <v>3139</v>
      </c>
    </row>
    <row r="1542" customFormat="false" ht="12.75" hidden="false" customHeight="true" outlineLevel="0" collapsed="false">
      <c r="A1542" s="5" t="s">
        <v>3140</v>
      </c>
      <c r="B1542" s="7" t="n">
        <v>35</v>
      </c>
      <c r="C1542" s="7" t="n">
        <v>40</v>
      </c>
      <c r="D1542" s="7" t="s">
        <v>3755</v>
      </c>
      <c r="E1542" s="7"/>
      <c r="G1542" s="5" t="str">
        <f aca="false">IF(ISNUMBER(FIND("old rod:",A1542)),"old rod:",A1542)</f>
        <v>35, 40, SLOWPOKE</v>
      </c>
      <c r="I1542" s="5" t="s">
        <v>3140</v>
      </c>
    </row>
    <row r="1543" customFormat="false" ht="12.75" hidden="false" customHeight="true" outlineLevel="0" collapsed="false">
      <c r="A1543" s="5" t="s">
        <v>3141</v>
      </c>
      <c r="B1543" s="7" t="n">
        <v>35</v>
      </c>
      <c r="C1543" s="7" t="n">
        <v>40</v>
      </c>
      <c r="D1543" s="7" t="s">
        <v>3800</v>
      </c>
      <c r="E1543" s="7"/>
      <c r="G1543" s="5" t="str">
        <f aca="false">IF(ISNUMBER(FIND("old rod:",A1543)),"old rod:",A1543)</f>
        <v>35, 40, SLOWBRO</v>
      </c>
      <c r="I1543" s="5" t="s">
        <v>3141</v>
      </c>
    </row>
    <row r="1544" customFormat="false" ht="12.75" hidden="false" customHeight="true" outlineLevel="0" collapsed="false">
      <c r="A1544" s="5" t="s">
        <v>3141</v>
      </c>
      <c r="B1544" s="7" t="n">
        <v>35</v>
      </c>
      <c r="C1544" s="7" t="n">
        <v>40</v>
      </c>
      <c r="D1544" s="7" t="s">
        <v>3800</v>
      </c>
      <c r="E1544" s="7"/>
      <c r="G1544" s="5" t="str">
        <f aca="false">IF(ISNUMBER(FIND("old rod:",A1544)),"old rod:",A1544)</f>
        <v>35, 40, SLOWBRO</v>
      </c>
      <c r="I1544" s="5" t="s">
        <v>3141</v>
      </c>
    </row>
    <row r="1545" customFormat="false" ht="12.75" hidden="false" customHeight="true" outlineLevel="0" collapsed="false">
      <c r="A1545" s="5" t="s">
        <v>2925</v>
      </c>
      <c r="B1545" s="7" t="n">
        <v>20</v>
      </c>
      <c r="C1545" s="7" t="s">
        <v>3748</v>
      </c>
      <c r="D1545" s="7"/>
      <c r="E1545" s="7"/>
      <c r="G1545" s="5" t="str">
        <f aca="false">IF(ISNUMBER(FIND("old rod:",A1545)),"old rod:",A1545)</f>
        <v>old rod:</v>
      </c>
      <c r="I1545" s="5" t="s">
        <v>3749</v>
      </c>
    </row>
    <row r="1546" customFormat="false" ht="12.75" hidden="false" customHeight="true" outlineLevel="0" collapsed="false">
      <c r="A1546" s="5" t="s">
        <v>1266</v>
      </c>
      <c r="B1546" s="7" t="n">
        <v>5</v>
      </c>
      <c r="C1546" s="7" t="n">
        <v>5</v>
      </c>
      <c r="D1546" s="7" t="s">
        <v>3750</v>
      </c>
      <c r="E1546" s="7"/>
      <c r="G1546" s="5" t="str">
        <f aca="false">IF(ISNUMBER(FIND("old rod:",A1546)),"old rod:",A1546)</f>
        <v>5, 5, MAGIKARP</v>
      </c>
      <c r="I1546" s="5" t="s">
        <v>1266</v>
      </c>
    </row>
    <row r="1547" customFormat="false" ht="12.75" hidden="false" customHeight="true" outlineLevel="0" collapsed="false">
      <c r="A1547" s="5" t="s">
        <v>1266</v>
      </c>
      <c r="B1547" s="7" t="n">
        <v>5</v>
      </c>
      <c r="C1547" s="7" t="n">
        <v>5</v>
      </c>
      <c r="D1547" s="7" t="s">
        <v>3750</v>
      </c>
      <c r="E1547" s="7"/>
      <c r="G1547" s="5" t="str">
        <f aca="false">IF(ISNUMBER(FIND("old rod:",A1547)),"old rod:",A1547)</f>
        <v>5, 5, MAGIKARP</v>
      </c>
      <c r="I1547" s="5" t="s">
        <v>1266</v>
      </c>
    </row>
    <row r="1548" customFormat="false" ht="12.75" hidden="false" customHeight="true" outlineLevel="0" collapsed="false">
      <c r="A1548" s="5" t="s">
        <v>2846</v>
      </c>
      <c r="B1548" s="7" t="s">
        <v>2846</v>
      </c>
      <c r="C1548" s="7"/>
      <c r="D1548" s="7"/>
      <c r="E1548" s="7"/>
      <c r="G1548" s="5" t="str">
        <f aca="false">IF(ISNUMBER(FIND("old rod:",A1548)),"old rod:",A1548)</f>
        <v>good rod:</v>
      </c>
      <c r="I1548" s="5" t="s">
        <v>2846</v>
      </c>
    </row>
    <row r="1549" customFormat="false" ht="12.75" hidden="false" customHeight="true" outlineLevel="0" collapsed="false">
      <c r="A1549" s="5" t="s">
        <v>3143</v>
      </c>
      <c r="B1549" s="7" t="n">
        <v>5</v>
      </c>
      <c r="C1549" s="7" t="n">
        <v>15</v>
      </c>
      <c r="D1549" s="7" t="s">
        <v>3803</v>
      </c>
      <c r="E1549" s="7"/>
      <c r="G1549" s="5" t="str">
        <f aca="false">IF(ISNUMBER(FIND("old rod:",A1549)),"old rod:",A1549)</f>
        <v>5, 15, POLIWAG</v>
      </c>
      <c r="I1549" s="5" t="s">
        <v>3143</v>
      </c>
    </row>
    <row r="1550" customFormat="false" ht="12.75" hidden="false" customHeight="true" outlineLevel="0" collapsed="false">
      <c r="A1550" s="5" t="s">
        <v>2848</v>
      </c>
      <c r="B1550" s="7" t="n">
        <v>5</v>
      </c>
      <c r="C1550" s="7" t="n">
        <v>15</v>
      </c>
      <c r="D1550" s="7" t="s">
        <v>3750</v>
      </c>
      <c r="E1550" s="7"/>
      <c r="G1550" s="5" t="str">
        <f aca="false">IF(ISNUMBER(FIND("old rod:",A1550)),"old rod:",A1550)</f>
        <v>5, 15, MAGIKARP</v>
      </c>
      <c r="I1550" s="5" t="s">
        <v>2848</v>
      </c>
    </row>
    <row r="1551" customFormat="false" ht="12.75" hidden="false" customHeight="true" outlineLevel="0" collapsed="false">
      <c r="A1551" s="5" t="s">
        <v>3142</v>
      </c>
      <c r="B1551" s="7" t="n">
        <v>5</v>
      </c>
      <c r="C1551" s="7" t="n">
        <v>15</v>
      </c>
      <c r="D1551" s="7" t="s">
        <v>3804</v>
      </c>
      <c r="E1551" s="7"/>
      <c r="G1551" s="5" t="str">
        <f aca="false">IF(ISNUMBER(FIND("old rod:",A1551)),"old rod:",A1551)</f>
        <v>5, 15, GOLDEEN</v>
      </c>
      <c r="I1551" s="5" t="s">
        <v>3142</v>
      </c>
    </row>
    <row r="1552" customFormat="false" ht="12.75" hidden="false" customHeight="true" outlineLevel="0" collapsed="false">
      <c r="A1552" s="5" t="s">
        <v>2850</v>
      </c>
      <c r="B1552" s="7" t="s">
        <v>2850</v>
      </c>
      <c r="C1552" s="7"/>
      <c r="D1552" s="7"/>
      <c r="E1552" s="7"/>
      <c r="G1552" s="5" t="str">
        <f aca="false">IF(ISNUMBER(FIND("old rod:",A1552)),"old rod:",A1552)</f>
        <v>super rod:</v>
      </c>
      <c r="I1552" s="5" t="s">
        <v>2850</v>
      </c>
    </row>
    <row r="1553" customFormat="false" ht="12.75" hidden="false" customHeight="true" outlineLevel="0" collapsed="false">
      <c r="A1553" s="5" t="s">
        <v>3161</v>
      </c>
      <c r="B1553" s="7" t="n">
        <v>15</v>
      </c>
      <c r="C1553" s="7" t="n">
        <v>25</v>
      </c>
      <c r="D1553" s="7" t="s">
        <v>3803</v>
      </c>
      <c r="E1553" s="7"/>
      <c r="G1553" s="5" t="str">
        <f aca="false">IF(ISNUMBER(FIND("old rod:",A1553)),"old rod:",A1553)</f>
        <v>15, 25, POLIWAG</v>
      </c>
      <c r="I1553" s="5" t="s">
        <v>3161</v>
      </c>
    </row>
    <row r="1554" customFormat="false" ht="12.75" hidden="false" customHeight="true" outlineLevel="0" collapsed="false">
      <c r="A1554" s="5" t="s">
        <v>3162</v>
      </c>
      <c r="B1554" s="7" t="n">
        <v>20</v>
      </c>
      <c r="C1554" s="7" t="n">
        <v>30</v>
      </c>
      <c r="D1554" s="7" t="s">
        <v>3805</v>
      </c>
      <c r="E1554" s="7"/>
      <c r="G1554" s="5" t="str">
        <f aca="false">IF(ISNUMBER(FIND("old rod:",A1554)),"old rod:",A1554)</f>
        <v>20, 30, POLIWHIRL</v>
      </c>
      <c r="I1554" s="5" t="s">
        <v>3162</v>
      </c>
    </row>
    <row r="1555" customFormat="false" ht="12.75" hidden="false" customHeight="true" outlineLevel="0" collapsed="false">
      <c r="A1555" s="5" t="s">
        <v>2853</v>
      </c>
      <c r="B1555" s="7" t="n">
        <v>15</v>
      </c>
      <c r="C1555" s="7" t="n">
        <v>25</v>
      </c>
      <c r="D1555" s="7" t="s">
        <v>3754</v>
      </c>
      <c r="E1555" s="7"/>
      <c r="G1555" s="5" t="str">
        <f aca="false">IF(ISNUMBER(FIND("old rod:",A1555)),"old rod:",A1555)</f>
        <v>15, 25, GYARADOS</v>
      </c>
      <c r="I1555" s="5" t="s">
        <v>2853</v>
      </c>
    </row>
    <row r="1556" customFormat="false" ht="12.75" hidden="false" customHeight="true" outlineLevel="0" collapsed="false">
      <c r="A1556" s="5" t="s">
        <v>3146</v>
      </c>
      <c r="B1556" s="7" t="n">
        <v>15</v>
      </c>
      <c r="C1556" s="7" t="n">
        <v>25</v>
      </c>
      <c r="D1556" s="7" t="s">
        <v>3755</v>
      </c>
      <c r="E1556" s="7"/>
      <c r="G1556" s="5" t="str">
        <f aca="false">IF(ISNUMBER(FIND("old rod:",A1556)),"old rod:",A1556)</f>
        <v>15, 25, SLOWPOKE</v>
      </c>
      <c r="I1556" s="5" t="s">
        <v>3146</v>
      </c>
    </row>
    <row r="1557" customFormat="false" ht="12.75" hidden="false" customHeight="true" outlineLevel="0" collapsed="false">
      <c r="A1557" s="5" t="s">
        <v>2855</v>
      </c>
      <c r="B1557" s="7" t="n">
        <v>25</v>
      </c>
      <c r="C1557" s="7" t="n">
        <v>35</v>
      </c>
      <c r="D1557" s="7" t="s">
        <v>3755</v>
      </c>
      <c r="E1557" s="7"/>
      <c r="G1557" s="5" t="str">
        <f aca="false">IF(ISNUMBER(FIND("old rod:",A1557)),"old rod:",A1557)</f>
        <v>25, 35, SLOWPOKE</v>
      </c>
      <c r="I1557" s="5" t="s">
        <v>2855</v>
      </c>
    </row>
    <row r="1558" customFormat="false" ht="12.75" hidden="false" customHeight="true" outlineLevel="0" collapsed="false">
      <c r="A1558" s="5" t="s">
        <v>2536</v>
      </c>
      <c r="B1558" s="7" t="s">
        <v>2536</v>
      </c>
      <c r="C1558" s="7"/>
      <c r="D1558" s="7"/>
      <c r="E1558" s="7"/>
      <c r="G1558" s="5" t="str">
        <f aca="false">IF(ISNUMBER(FIND("old rod:",A1558)),"old rod:",A1558)</f>
        <v>NEW ROUTE</v>
      </c>
      <c r="I1558" s="5" t="s">
        <v>2536</v>
      </c>
    </row>
    <row r="1559" customFormat="false" ht="12.75" hidden="false" customHeight="true" outlineLevel="0" collapsed="false">
      <c r="A1559" s="5" t="s">
        <v>475</v>
      </c>
      <c r="B1559" s="7" t="s">
        <v>475</v>
      </c>
      <c r="C1559" s="7"/>
      <c r="D1559" s="7"/>
      <c r="E1559" s="7"/>
      <c r="G1559" s="5" t="str">
        <f aca="false">IF(ISNUMBER(FIND("old rod:",A1559)),"old rod:",A1559)</f>
        <v>Three Island Bond Bridge</v>
      </c>
      <c r="I1559" s="5" t="s">
        <v>475</v>
      </c>
    </row>
    <row r="1560" customFormat="false" ht="12.75" hidden="false" customHeight="true" outlineLevel="0" collapsed="false">
      <c r="A1560" s="5" t="n">
        <v>0.2</v>
      </c>
      <c r="B1560" s="5" t="n">
        <v>0.2</v>
      </c>
      <c r="C1560" s="7"/>
      <c r="D1560" s="7"/>
      <c r="E1560" s="7"/>
      <c r="G1560" s="5" t="n">
        <f aca="false">IF(ISNUMBER(FIND("old rod:",A1560)),"old rod:",A1560)</f>
        <v>0.2</v>
      </c>
      <c r="I1560" s="5" t="n">
        <v>0.2</v>
      </c>
    </row>
    <row r="1561" customFormat="false" ht="12.75" hidden="false" customHeight="true" outlineLevel="0" collapsed="false">
      <c r="A1561" s="5" t="s">
        <v>1695</v>
      </c>
      <c r="B1561" s="7" t="n">
        <v>32</v>
      </c>
      <c r="C1561" s="7" t="n">
        <v>32</v>
      </c>
      <c r="D1561" s="7" t="s">
        <v>3889</v>
      </c>
      <c r="E1561" s="7"/>
      <c r="G1561" s="5" t="str">
        <f aca="false">IF(ISNUMBER(FIND("old rod:",A1561)),"old rod:",A1561)</f>
        <v>32, 32, PIDGEY</v>
      </c>
      <c r="I1561" s="5" t="s">
        <v>1695</v>
      </c>
    </row>
    <row r="1562" customFormat="false" ht="12.75" hidden="false" customHeight="true" outlineLevel="0" collapsed="false">
      <c r="A1562" s="5" t="s">
        <v>3244</v>
      </c>
      <c r="B1562" s="7" t="n">
        <v>31</v>
      </c>
      <c r="C1562" s="7" t="n">
        <v>31</v>
      </c>
      <c r="D1562" s="7" t="s">
        <v>3890</v>
      </c>
      <c r="E1562" s="7"/>
      <c r="G1562" s="5" t="str">
        <f aca="false">IF(ISNUMBER(FIND("old rod:",A1562)),"old rod:",A1562)</f>
        <v>31, 31, BELLSPROUT</v>
      </c>
      <c r="I1562" s="5" t="s">
        <v>3244</v>
      </c>
    </row>
    <row r="1563" customFormat="false" ht="12.75" hidden="false" customHeight="true" outlineLevel="0" collapsed="false">
      <c r="A1563" s="5" t="n">
        <v>0.1</v>
      </c>
      <c r="B1563" s="5" t="n">
        <v>0.1</v>
      </c>
      <c r="C1563" s="7"/>
      <c r="D1563" s="7"/>
      <c r="E1563" s="7"/>
      <c r="G1563" s="5" t="n">
        <f aca="false">IF(ISNUMBER(FIND("old rod:",A1563)),"old rod:",A1563)</f>
        <v>0.1</v>
      </c>
      <c r="I1563" s="5" t="n">
        <v>0.1</v>
      </c>
    </row>
    <row r="1564" customFormat="false" ht="12.75" hidden="false" customHeight="true" outlineLevel="0" collapsed="false">
      <c r="A1564" s="5" t="s">
        <v>3245</v>
      </c>
      <c r="B1564" s="7" t="n">
        <v>29</v>
      </c>
      <c r="C1564" s="7" t="n">
        <v>29</v>
      </c>
      <c r="D1564" s="7" t="s">
        <v>3889</v>
      </c>
      <c r="E1564" s="7"/>
      <c r="G1564" s="5" t="str">
        <f aca="false">IF(ISNUMBER(FIND("old rod:",A1564)),"old rod:",A1564)</f>
        <v>29, 29, PIDGEY</v>
      </c>
      <c r="I1564" s="5" t="s">
        <v>3245</v>
      </c>
    </row>
    <row r="1565" customFormat="false" ht="12.75" hidden="false" customHeight="true" outlineLevel="0" collapsed="false">
      <c r="A1565" s="5" t="s">
        <v>3239</v>
      </c>
      <c r="B1565" s="7" t="n">
        <v>36</v>
      </c>
      <c r="C1565" s="7" t="n">
        <v>36</v>
      </c>
      <c r="D1565" s="7" t="s">
        <v>3888</v>
      </c>
      <c r="E1565" s="7"/>
      <c r="G1565" s="5" t="str">
        <f aca="false">IF(ISNUMBER(FIND("old rod:",A1565)),"old rod:",A1565)</f>
        <v>36, 36, WEEPINBELL</v>
      </c>
      <c r="I1565" s="5" t="s">
        <v>3239</v>
      </c>
    </row>
    <row r="1566" customFormat="false" ht="12.75" hidden="false" customHeight="true" outlineLevel="0" collapsed="false">
      <c r="A1566" s="5" t="s">
        <v>3246</v>
      </c>
      <c r="B1566" s="7" t="n">
        <v>34</v>
      </c>
      <c r="C1566" s="7" t="n">
        <v>34</v>
      </c>
      <c r="D1566" s="7" t="s">
        <v>3887</v>
      </c>
      <c r="E1566" s="7"/>
      <c r="G1566" s="5" t="str">
        <f aca="false">IF(ISNUMBER(FIND("old rod:",A1566)),"old rod:",A1566)</f>
        <v>34, 34, PIDGEOTTO</v>
      </c>
      <c r="I1566" s="5" t="s">
        <v>3246</v>
      </c>
    </row>
    <row r="1567" customFormat="false" ht="12.75" hidden="false" customHeight="true" outlineLevel="0" collapsed="false">
      <c r="A1567" s="5" t="s">
        <v>3224</v>
      </c>
      <c r="B1567" s="7" t="n">
        <v>31</v>
      </c>
      <c r="C1567" s="7" t="n">
        <v>31</v>
      </c>
      <c r="D1567" s="7" t="s">
        <v>3902</v>
      </c>
      <c r="E1567" s="7"/>
      <c r="G1567" s="5" t="str">
        <f aca="false">IF(ISNUMBER(FIND("old rod:",A1567)),"old rod:",A1567)</f>
        <v>31, 31, MEOWTH</v>
      </c>
      <c r="I1567" s="5" t="s">
        <v>3224</v>
      </c>
    </row>
    <row r="1568" customFormat="false" ht="12.75" hidden="false" customHeight="true" outlineLevel="0" collapsed="false">
      <c r="A1568" s="5" t="n">
        <v>0.05</v>
      </c>
      <c r="B1568" s="5" t="n">
        <v>0.05</v>
      </c>
      <c r="C1568" s="7"/>
      <c r="D1568" s="7"/>
      <c r="E1568" s="7"/>
      <c r="G1568" s="5" t="n">
        <f aca="false">IF(ISNUMBER(FIND("old rod:",A1568)),"old rod:",A1568)</f>
        <v>0.05</v>
      </c>
      <c r="I1568" s="5" t="n">
        <v>0.05</v>
      </c>
    </row>
    <row r="1569" customFormat="false" ht="12.75" hidden="false" customHeight="true" outlineLevel="0" collapsed="false">
      <c r="A1569" s="5" t="s">
        <v>3130</v>
      </c>
      <c r="B1569" s="7" t="n">
        <v>34</v>
      </c>
      <c r="C1569" s="7" t="n">
        <v>34</v>
      </c>
      <c r="D1569" s="7" t="s">
        <v>3891</v>
      </c>
      <c r="E1569" s="7"/>
      <c r="G1569" s="5" t="str">
        <f aca="false">IF(ISNUMBER(FIND("old rod:",A1569)),"old rod:",A1569)</f>
        <v>34, 34, VENONAT</v>
      </c>
      <c r="I1569" s="5" t="s">
        <v>3130</v>
      </c>
    </row>
    <row r="1570" customFormat="false" ht="12.75" hidden="false" customHeight="true" outlineLevel="0" collapsed="false">
      <c r="A1570" s="5" t="s">
        <v>3133</v>
      </c>
      <c r="B1570" s="7" t="n">
        <v>31</v>
      </c>
      <c r="C1570" s="7" t="n">
        <v>31</v>
      </c>
      <c r="D1570" s="7" t="s">
        <v>3755</v>
      </c>
      <c r="E1570" s="7"/>
      <c r="G1570" s="5" t="str">
        <f aca="false">IF(ISNUMBER(FIND("old rod:",A1570)),"old rod:",A1570)</f>
        <v>31, 31, SLOWPOKE</v>
      </c>
      <c r="I1570" s="5" t="s">
        <v>3133</v>
      </c>
    </row>
    <row r="1571" customFormat="false" ht="12.75" hidden="false" customHeight="true" outlineLevel="0" collapsed="false">
      <c r="A1571" s="5" t="n">
        <v>0.04</v>
      </c>
      <c r="B1571" s="5" t="n">
        <v>0.04</v>
      </c>
      <c r="C1571" s="7"/>
      <c r="D1571" s="7"/>
      <c r="E1571" s="7"/>
      <c r="G1571" s="5" t="n">
        <f aca="false">IF(ISNUMBER(FIND("old rod:",A1571)),"old rod:",A1571)</f>
        <v>0.04</v>
      </c>
      <c r="I1571" s="5" t="n">
        <v>0.04</v>
      </c>
    </row>
    <row r="1572" customFormat="false" ht="12.75" hidden="false" customHeight="true" outlineLevel="0" collapsed="false">
      <c r="A1572" s="5" t="s">
        <v>1569</v>
      </c>
      <c r="B1572" s="7" t="n">
        <v>37</v>
      </c>
      <c r="C1572" s="7" t="n">
        <v>37</v>
      </c>
      <c r="D1572" s="7" t="s">
        <v>3887</v>
      </c>
      <c r="E1572" s="7"/>
      <c r="G1572" s="5" t="str">
        <f aca="false">IF(ISNUMBER(FIND("old rod:",A1572)),"old rod:",A1572)</f>
        <v>37, 37, PIDGEOTTO</v>
      </c>
      <c r="I1572" s="5" t="s">
        <v>1569</v>
      </c>
    </row>
    <row r="1573" customFormat="false" ht="12.75" hidden="false" customHeight="true" outlineLevel="0" collapsed="false">
      <c r="A1573" s="5" t="s">
        <v>3228</v>
      </c>
      <c r="B1573" s="7" t="n">
        <v>37</v>
      </c>
      <c r="C1573" s="7" t="n">
        <v>37</v>
      </c>
      <c r="D1573" s="7" t="s">
        <v>3903</v>
      </c>
      <c r="E1573" s="7"/>
      <c r="G1573" s="5" t="str">
        <f aca="false">IF(ISNUMBER(FIND("old rod:",A1573)),"old rod:",A1573)</f>
        <v>37, 37, PERSIAN</v>
      </c>
      <c r="I1573" s="5" t="s">
        <v>3228</v>
      </c>
    </row>
    <row r="1574" customFormat="false" ht="12.75" hidden="false" customHeight="true" outlineLevel="0" collapsed="false">
      <c r="A1574" s="5" t="n">
        <v>0.01</v>
      </c>
      <c r="B1574" s="5" t="n">
        <v>0.01</v>
      </c>
      <c r="C1574" s="7"/>
      <c r="D1574" s="7"/>
      <c r="E1574" s="7"/>
      <c r="G1574" s="5" t="n">
        <f aca="false">IF(ISNUMBER(FIND("old rod:",A1574)),"old rod:",A1574)</f>
        <v>0.01</v>
      </c>
      <c r="I1574" s="5" t="n">
        <v>0.01</v>
      </c>
    </row>
    <row r="1575" customFormat="false" ht="12.75" hidden="false" customHeight="true" outlineLevel="0" collapsed="false">
      <c r="A1575" s="5" t="s">
        <v>3247</v>
      </c>
      <c r="B1575" s="7" t="n">
        <v>40</v>
      </c>
      <c r="C1575" s="7" t="n">
        <v>40</v>
      </c>
      <c r="D1575" s="7" t="s">
        <v>3887</v>
      </c>
      <c r="E1575" s="7"/>
      <c r="G1575" s="5" t="str">
        <f aca="false">IF(ISNUMBER(FIND("old rod:",A1575)),"old rod:",A1575)</f>
        <v>40, 40, PIDGEOTTO</v>
      </c>
      <c r="I1575" s="5" t="s">
        <v>3247</v>
      </c>
    </row>
    <row r="1576" customFormat="false" ht="12.75" hidden="false" customHeight="true" outlineLevel="0" collapsed="false">
      <c r="A1576" s="5" t="s">
        <v>3230</v>
      </c>
      <c r="B1576" s="7" t="n">
        <v>40</v>
      </c>
      <c r="C1576" s="7" t="n">
        <v>40</v>
      </c>
      <c r="D1576" s="7" t="s">
        <v>3903</v>
      </c>
      <c r="E1576" s="7"/>
      <c r="G1576" s="5" t="str">
        <f aca="false">IF(ISNUMBER(FIND("old rod:",A1576)),"old rod:",A1576)</f>
        <v>40, 40, PERSIAN</v>
      </c>
      <c r="I1576" s="5" t="s">
        <v>3230</v>
      </c>
    </row>
    <row r="1577" customFormat="false" ht="12.75" hidden="false" customHeight="true" outlineLevel="0" collapsed="false">
      <c r="A1577" s="5" t="s">
        <v>3172</v>
      </c>
      <c r="B1577" s="7" t="n">
        <v>2</v>
      </c>
      <c r="C1577" s="7" t="n">
        <v>5</v>
      </c>
      <c r="D1577" s="7" t="n">
        <v>20</v>
      </c>
      <c r="E1577" s="7" t="s">
        <v>3747</v>
      </c>
      <c r="G1577" s="5" t="str">
        <f aca="false">IF(ISNUMBER(FIND("old rod:",A1577)),"old rod:",A1577)</f>
        <v>2, 5, 20, TENTACOOL</v>
      </c>
      <c r="I1577" s="5" t="s">
        <v>3172</v>
      </c>
    </row>
    <row r="1578" customFormat="false" ht="12.75" hidden="false" customHeight="true" outlineLevel="0" collapsed="false">
      <c r="A1578" s="5" t="s">
        <v>3173</v>
      </c>
      <c r="B1578" s="7" t="n">
        <v>20</v>
      </c>
      <c r="C1578" s="7" t="n">
        <v>35</v>
      </c>
      <c r="D1578" s="7" t="s">
        <v>3747</v>
      </c>
      <c r="E1578" s="7"/>
      <c r="G1578" s="5" t="str">
        <f aca="false">IF(ISNUMBER(FIND("old rod:",A1578)),"old rod:",A1578)</f>
        <v>20, 35, TENTACOOL</v>
      </c>
      <c r="I1578" s="5" t="s">
        <v>3173</v>
      </c>
    </row>
    <row r="1579" customFormat="false" ht="12.75" hidden="false" customHeight="true" outlineLevel="0" collapsed="false">
      <c r="A1579" s="5" t="s">
        <v>2844</v>
      </c>
      <c r="B1579" s="7" t="n">
        <v>35</v>
      </c>
      <c r="C1579" s="7" t="n">
        <v>40</v>
      </c>
      <c r="D1579" s="7" t="s">
        <v>3747</v>
      </c>
      <c r="E1579" s="7"/>
      <c r="G1579" s="5" t="str">
        <f aca="false">IF(ISNUMBER(FIND("old rod:",A1579)),"old rod:",A1579)</f>
        <v>35, 40, TENTACOOL</v>
      </c>
      <c r="I1579" s="5" t="s">
        <v>2844</v>
      </c>
    </row>
    <row r="1580" customFormat="false" ht="12.75" hidden="false" customHeight="true" outlineLevel="0" collapsed="false">
      <c r="A1580" s="5" t="s">
        <v>3231</v>
      </c>
      <c r="B1580" s="7" t="n">
        <v>35</v>
      </c>
      <c r="C1580" s="7" t="n">
        <v>40</v>
      </c>
      <c r="D1580" s="7" t="s">
        <v>3897</v>
      </c>
      <c r="E1580" s="7"/>
      <c r="G1580" s="5" t="str">
        <f aca="false">IF(ISNUMBER(FIND("old rod:",A1580)),"old rod:",A1580)</f>
        <v>35, 40, TENTACRUEL</v>
      </c>
      <c r="I1580" s="5" t="s">
        <v>3231</v>
      </c>
    </row>
    <row r="1581" customFormat="false" ht="12.75" hidden="false" customHeight="true" outlineLevel="0" collapsed="false">
      <c r="A1581" s="5" t="s">
        <v>3231</v>
      </c>
      <c r="B1581" s="7" t="n">
        <v>35</v>
      </c>
      <c r="C1581" s="7" t="n">
        <v>40</v>
      </c>
      <c r="D1581" s="7" t="s">
        <v>3897</v>
      </c>
      <c r="E1581" s="7"/>
      <c r="G1581" s="5" t="str">
        <f aca="false">IF(ISNUMBER(FIND("old rod:",A1581)),"old rod:",A1581)</f>
        <v>35, 40, TENTACRUEL</v>
      </c>
      <c r="I1581" s="5" t="s">
        <v>3231</v>
      </c>
    </row>
    <row r="1582" customFormat="false" ht="12.75" hidden="false" customHeight="true" outlineLevel="0" collapsed="false">
      <c r="A1582" s="5" t="s">
        <v>2925</v>
      </c>
      <c r="B1582" s="7" t="n">
        <v>20</v>
      </c>
      <c r="C1582" s="7" t="s">
        <v>3748</v>
      </c>
      <c r="D1582" s="7"/>
      <c r="E1582" s="7"/>
      <c r="G1582" s="5" t="str">
        <f aca="false">IF(ISNUMBER(FIND("old rod:",A1582)),"old rod:",A1582)</f>
        <v>old rod:</v>
      </c>
      <c r="I1582" s="5" t="s">
        <v>3749</v>
      </c>
    </row>
    <row r="1583" customFormat="false" ht="12.75" hidden="false" customHeight="true" outlineLevel="0" collapsed="false">
      <c r="A1583" s="5" t="s">
        <v>1266</v>
      </c>
      <c r="B1583" s="7" t="n">
        <v>5</v>
      </c>
      <c r="C1583" s="7" t="n">
        <v>5</v>
      </c>
      <c r="D1583" s="7" t="s">
        <v>3750</v>
      </c>
      <c r="E1583" s="7"/>
      <c r="G1583" s="5" t="str">
        <f aca="false">IF(ISNUMBER(FIND("old rod:",A1583)),"old rod:",A1583)</f>
        <v>5, 5, MAGIKARP</v>
      </c>
      <c r="I1583" s="5" t="s">
        <v>1266</v>
      </c>
    </row>
    <row r="1584" customFormat="false" ht="12.75" hidden="false" customHeight="true" outlineLevel="0" collapsed="false">
      <c r="A1584" s="5" t="s">
        <v>1266</v>
      </c>
      <c r="B1584" s="7" t="n">
        <v>5</v>
      </c>
      <c r="C1584" s="7" t="n">
        <v>5</v>
      </c>
      <c r="D1584" s="7" t="s">
        <v>3750</v>
      </c>
      <c r="E1584" s="7"/>
      <c r="G1584" s="5" t="str">
        <f aca="false">IF(ISNUMBER(FIND("old rod:",A1584)),"old rod:",A1584)</f>
        <v>5, 5, MAGIKARP</v>
      </c>
      <c r="I1584" s="5" t="s">
        <v>1266</v>
      </c>
    </row>
    <row r="1585" customFormat="false" ht="12.75" hidden="false" customHeight="true" outlineLevel="0" collapsed="false">
      <c r="A1585" s="5" t="s">
        <v>2846</v>
      </c>
      <c r="B1585" s="7" t="s">
        <v>2846</v>
      </c>
      <c r="C1585" s="7"/>
      <c r="D1585" s="7"/>
      <c r="E1585" s="7"/>
      <c r="G1585" s="5" t="str">
        <f aca="false">IF(ISNUMBER(FIND("old rod:",A1585)),"old rod:",A1585)</f>
        <v>good rod:</v>
      </c>
      <c r="I1585" s="5" t="s">
        <v>2846</v>
      </c>
    </row>
    <row r="1586" customFormat="false" ht="12.75" hidden="false" customHeight="true" outlineLevel="0" collapsed="false">
      <c r="A1586" s="5" t="s">
        <v>2847</v>
      </c>
      <c r="B1586" s="7" t="n">
        <v>5</v>
      </c>
      <c r="C1586" s="7" t="n">
        <v>15</v>
      </c>
      <c r="D1586" s="7" t="s">
        <v>3751</v>
      </c>
      <c r="E1586" s="7"/>
      <c r="G1586" s="5" t="str">
        <f aca="false">IF(ISNUMBER(FIND("old rod:",A1586)),"old rod:",A1586)</f>
        <v>5, 15, KRABBY</v>
      </c>
      <c r="I1586" s="5" t="s">
        <v>2847</v>
      </c>
    </row>
    <row r="1587" customFormat="false" ht="12.75" hidden="false" customHeight="true" outlineLevel="0" collapsed="false">
      <c r="A1587" s="5" t="s">
        <v>2848</v>
      </c>
      <c r="B1587" s="7" t="n">
        <v>5</v>
      </c>
      <c r="C1587" s="7" t="n">
        <v>15</v>
      </c>
      <c r="D1587" s="7" t="s">
        <v>3750</v>
      </c>
      <c r="E1587" s="7"/>
      <c r="G1587" s="5" t="str">
        <f aca="false">IF(ISNUMBER(FIND("old rod:",A1587)),"old rod:",A1587)</f>
        <v>5, 15, MAGIKARP</v>
      </c>
      <c r="I1587" s="5" t="s">
        <v>2848</v>
      </c>
    </row>
    <row r="1588" customFormat="false" ht="12.75" hidden="false" customHeight="true" outlineLevel="0" collapsed="false">
      <c r="A1588" s="5" t="s">
        <v>2847</v>
      </c>
      <c r="B1588" s="7" t="n">
        <v>5</v>
      </c>
      <c r="C1588" s="7" t="n">
        <v>15</v>
      </c>
      <c r="D1588" s="7" t="s">
        <v>3751</v>
      </c>
      <c r="E1588" s="7"/>
      <c r="G1588" s="5" t="str">
        <f aca="false">IF(ISNUMBER(FIND("old rod:",A1588)),"old rod:",A1588)</f>
        <v>5, 15, KRABBY</v>
      </c>
      <c r="I1588" s="5" t="s">
        <v>2847</v>
      </c>
    </row>
    <row r="1589" customFormat="false" ht="12.75" hidden="false" customHeight="true" outlineLevel="0" collapsed="false">
      <c r="A1589" s="5" t="s">
        <v>2850</v>
      </c>
      <c r="B1589" s="7" t="s">
        <v>2850</v>
      </c>
      <c r="C1589" s="7"/>
      <c r="D1589" s="7"/>
      <c r="E1589" s="7"/>
      <c r="G1589" s="5" t="str">
        <f aca="false">IF(ISNUMBER(FIND("old rod:",A1589)),"old rod:",A1589)</f>
        <v>super rod:</v>
      </c>
      <c r="I1589" s="5" t="s">
        <v>2850</v>
      </c>
    </row>
    <row r="1590" customFormat="false" ht="12.75" hidden="false" customHeight="true" outlineLevel="0" collapsed="false">
      <c r="A1590" s="5" t="s">
        <v>2851</v>
      </c>
      <c r="B1590" s="7" t="n">
        <v>15</v>
      </c>
      <c r="C1590" s="7" t="n">
        <v>25</v>
      </c>
      <c r="D1590" s="7" t="s">
        <v>3751</v>
      </c>
      <c r="E1590" s="7"/>
      <c r="G1590" s="5" t="str">
        <f aca="false">IF(ISNUMBER(FIND("old rod:",A1590)),"old rod:",A1590)</f>
        <v>15, 25, KRABBY</v>
      </c>
      <c r="I1590" s="5" t="s">
        <v>2851</v>
      </c>
    </row>
    <row r="1591" customFormat="false" ht="12.75" hidden="false" customHeight="true" outlineLevel="0" collapsed="false">
      <c r="A1591" s="5" t="s">
        <v>2851</v>
      </c>
      <c r="B1591" s="7" t="n">
        <v>15</v>
      </c>
      <c r="C1591" s="7" t="n">
        <v>25</v>
      </c>
      <c r="D1591" s="7" t="s">
        <v>3751</v>
      </c>
      <c r="E1591" s="7"/>
      <c r="G1591" s="5" t="str">
        <f aca="false">IF(ISNUMBER(FIND("old rod:",A1591)),"old rod:",A1591)</f>
        <v>15, 25, KRABBY</v>
      </c>
      <c r="I1591" s="5" t="s">
        <v>2851</v>
      </c>
    </row>
    <row r="1592" customFormat="false" ht="12.75" hidden="false" customHeight="true" outlineLevel="0" collapsed="false">
      <c r="A1592" s="5" t="s">
        <v>2853</v>
      </c>
      <c r="B1592" s="7" t="n">
        <v>15</v>
      </c>
      <c r="C1592" s="7" t="n">
        <v>25</v>
      </c>
      <c r="D1592" s="7" t="s">
        <v>3754</v>
      </c>
      <c r="E1592" s="7"/>
      <c r="G1592" s="5" t="str">
        <f aca="false">IF(ISNUMBER(FIND("old rod:",A1592)),"old rod:",A1592)</f>
        <v>15, 25, GYARADOS</v>
      </c>
      <c r="I1592" s="5" t="s">
        <v>2853</v>
      </c>
    </row>
    <row r="1593" customFormat="false" ht="12.75" hidden="false" customHeight="true" outlineLevel="0" collapsed="false">
      <c r="A1593" s="5" t="s">
        <v>3177</v>
      </c>
      <c r="B1593" s="7" t="n">
        <v>25</v>
      </c>
      <c r="C1593" s="7" t="n">
        <v>35</v>
      </c>
      <c r="D1593" s="7" t="s">
        <v>3859</v>
      </c>
      <c r="E1593" s="7"/>
      <c r="G1593" s="5" t="str">
        <f aca="false">IF(ISNUMBER(FIND("old rod:",A1593)),"old rod:",A1593)</f>
        <v>25, 35, KINGLER</v>
      </c>
      <c r="I1593" s="5" t="s">
        <v>3177</v>
      </c>
    </row>
    <row r="1594" customFormat="false" ht="12.75" hidden="false" customHeight="true" outlineLevel="0" collapsed="false">
      <c r="A1594" s="5" t="s">
        <v>2855</v>
      </c>
      <c r="B1594" s="7" t="n">
        <v>25</v>
      </c>
      <c r="C1594" s="7" t="n">
        <v>35</v>
      </c>
      <c r="D1594" s="7" t="s">
        <v>3755</v>
      </c>
      <c r="E1594" s="7"/>
      <c r="G1594" s="5" t="str">
        <f aca="false">IF(ISNUMBER(FIND("old rod:",A1594)),"old rod:",A1594)</f>
        <v>25, 35, SLOWPOKE</v>
      </c>
      <c r="I1594" s="5" t="s">
        <v>2855</v>
      </c>
    </row>
    <row r="1595" customFormat="false" ht="12.75" hidden="false" customHeight="true" outlineLevel="0" collapsed="false">
      <c r="A1595" s="5" t="s">
        <v>2536</v>
      </c>
      <c r="B1595" s="7" t="s">
        <v>2536</v>
      </c>
      <c r="C1595" s="7"/>
      <c r="D1595" s="7"/>
      <c r="E1595" s="7"/>
      <c r="G1595" s="5" t="str">
        <f aca="false">IF(ISNUMBER(FIND("old rod:",A1595)),"old rod:",A1595)</f>
        <v>NEW ROUTE</v>
      </c>
      <c r="I1595" s="5" t="s">
        <v>2536</v>
      </c>
    </row>
    <row r="1596" customFormat="false" ht="12.75" hidden="false" customHeight="true" outlineLevel="0" collapsed="false">
      <c r="A1596" s="5" t="s">
        <v>477</v>
      </c>
      <c r="B1596" s="7" t="s">
        <v>477</v>
      </c>
      <c r="C1596" s="7"/>
      <c r="D1596" s="7"/>
      <c r="E1596" s="7"/>
      <c r="G1596" s="5" t="str">
        <f aca="false">IF(ISNUMBER(FIND("old rod:",A1596)),"old rod:",A1596)</f>
        <v>Three Island Port</v>
      </c>
      <c r="I1596" s="5" t="s">
        <v>477</v>
      </c>
    </row>
    <row r="1597" customFormat="false" ht="12.75" hidden="false" customHeight="true" outlineLevel="0" collapsed="false">
      <c r="A1597" s="5" t="n">
        <v>0.2</v>
      </c>
      <c r="B1597" s="5" t="n">
        <v>0.2</v>
      </c>
      <c r="C1597" s="7"/>
      <c r="D1597" s="7"/>
      <c r="E1597" s="7"/>
      <c r="G1597" s="5" t="n">
        <f aca="false">IF(ISNUMBER(FIND("old rod:",A1597)),"old rod:",A1597)</f>
        <v>0.2</v>
      </c>
      <c r="I1597" s="5" t="n">
        <v>0.2</v>
      </c>
    </row>
    <row r="1598" customFormat="false" ht="12.75" hidden="false" customHeight="true" outlineLevel="0" collapsed="false">
      <c r="A1598" s="5" t="s">
        <v>1702</v>
      </c>
      <c r="B1598" s="7" t="n">
        <v>15</v>
      </c>
      <c r="C1598" s="7" t="n">
        <v>15</v>
      </c>
      <c r="D1598" s="7" t="s">
        <v>3904</v>
      </c>
      <c r="E1598" s="7"/>
      <c r="G1598" s="5" t="str">
        <f aca="false">IF(ISNUMBER(FIND("old rod:",A1598)),"old rod:",A1598)</f>
        <v>15, 15, DUNSPARCE</v>
      </c>
      <c r="I1598" s="5" t="s">
        <v>1702</v>
      </c>
    </row>
    <row r="1599" customFormat="false" ht="12.75" hidden="false" customHeight="true" outlineLevel="0" collapsed="false">
      <c r="A1599" s="5" t="s">
        <v>1702</v>
      </c>
      <c r="B1599" s="7" t="n">
        <v>15</v>
      </c>
      <c r="C1599" s="7" t="n">
        <v>15</v>
      </c>
      <c r="D1599" s="7" t="s">
        <v>3904</v>
      </c>
      <c r="E1599" s="7"/>
      <c r="G1599" s="5" t="str">
        <f aca="false">IF(ISNUMBER(FIND("old rod:",A1599)),"old rod:",A1599)</f>
        <v>15, 15, DUNSPARCE</v>
      </c>
      <c r="I1599" s="5" t="s">
        <v>1702</v>
      </c>
    </row>
    <row r="1600" customFormat="false" ht="12.75" hidden="false" customHeight="true" outlineLevel="0" collapsed="false">
      <c r="A1600" s="5" t="n">
        <v>0.1</v>
      </c>
      <c r="B1600" s="5" t="n">
        <v>0.1</v>
      </c>
      <c r="C1600" s="7"/>
      <c r="D1600" s="7"/>
      <c r="E1600" s="7"/>
      <c r="G1600" s="5" t="n">
        <f aca="false">IF(ISNUMBER(FIND("old rod:",A1600)),"old rod:",A1600)</f>
        <v>0.1</v>
      </c>
      <c r="I1600" s="5" t="n">
        <v>0.1</v>
      </c>
    </row>
    <row r="1601" customFormat="false" ht="12.75" hidden="false" customHeight="true" outlineLevel="0" collapsed="false">
      <c r="A1601" s="5" t="s">
        <v>3249</v>
      </c>
      <c r="B1601" s="7" t="n">
        <v>10</v>
      </c>
      <c r="C1601" s="7" t="n">
        <v>10</v>
      </c>
      <c r="D1601" s="7" t="s">
        <v>3904</v>
      </c>
      <c r="E1601" s="7"/>
      <c r="G1601" s="5" t="str">
        <f aca="false">IF(ISNUMBER(FIND("old rod:",A1601)),"old rod:",A1601)</f>
        <v>10, 10, DUNSPARCE</v>
      </c>
      <c r="I1601" s="5" t="s">
        <v>3249</v>
      </c>
    </row>
    <row r="1602" customFormat="false" ht="12.75" hidden="false" customHeight="true" outlineLevel="0" collapsed="false">
      <c r="A1602" s="5" t="s">
        <v>3249</v>
      </c>
      <c r="B1602" s="7" t="n">
        <v>10</v>
      </c>
      <c r="C1602" s="7" t="n">
        <v>10</v>
      </c>
      <c r="D1602" s="7" t="s">
        <v>3904</v>
      </c>
      <c r="E1602" s="7"/>
      <c r="G1602" s="5" t="str">
        <f aca="false">IF(ISNUMBER(FIND("old rod:",A1602)),"old rod:",A1602)</f>
        <v>10, 10, DUNSPARCE</v>
      </c>
      <c r="I1602" s="5" t="s">
        <v>3249</v>
      </c>
    </row>
    <row r="1603" customFormat="false" ht="12.75" hidden="false" customHeight="true" outlineLevel="0" collapsed="false">
      <c r="A1603" s="5" t="s">
        <v>3250</v>
      </c>
      <c r="B1603" s="7" t="n">
        <v>20</v>
      </c>
      <c r="C1603" s="7" t="n">
        <v>20</v>
      </c>
      <c r="D1603" s="7" t="s">
        <v>3904</v>
      </c>
      <c r="E1603" s="7"/>
      <c r="G1603" s="5" t="str">
        <f aca="false">IF(ISNUMBER(FIND("old rod:",A1603)),"old rod:",A1603)</f>
        <v>20, 20, DUNSPARCE</v>
      </c>
      <c r="I1603" s="5" t="s">
        <v>3250</v>
      </c>
    </row>
    <row r="1604" customFormat="false" ht="12.75" hidden="false" customHeight="true" outlineLevel="0" collapsed="false">
      <c r="A1604" s="5" t="s">
        <v>3250</v>
      </c>
      <c r="B1604" s="7" t="n">
        <v>20</v>
      </c>
      <c r="C1604" s="7" t="n">
        <v>20</v>
      </c>
      <c r="D1604" s="7" t="s">
        <v>3904</v>
      </c>
      <c r="E1604" s="7"/>
      <c r="G1604" s="5" t="str">
        <f aca="false">IF(ISNUMBER(FIND("old rod:",A1604)),"old rod:",A1604)</f>
        <v>20, 20, DUNSPARCE</v>
      </c>
      <c r="I1604" s="5" t="s">
        <v>3250</v>
      </c>
    </row>
    <row r="1605" customFormat="false" ht="12.75" hidden="false" customHeight="true" outlineLevel="0" collapsed="false">
      <c r="A1605" s="5" t="n">
        <v>0.05</v>
      </c>
      <c r="B1605" s="5" t="n">
        <v>0.05</v>
      </c>
      <c r="C1605" s="7"/>
      <c r="D1605" s="7"/>
      <c r="E1605" s="7"/>
      <c r="G1605" s="5" t="n">
        <f aca="false">IF(ISNUMBER(FIND("old rod:",A1605)),"old rod:",A1605)</f>
        <v>0.05</v>
      </c>
      <c r="I1605" s="5" t="n">
        <v>0.05</v>
      </c>
    </row>
    <row r="1606" customFormat="false" ht="12.75" hidden="false" customHeight="true" outlineLevel="0" collapsed="false">
      <c r="A1606" s="5" t="s">
        <v>3251</v>
      </c>
      <c r="B1606" s="7" t="n">
        <v>25</v>
      </c>
      <c r="C1606" s="7" t="n">
        <v>25</v>
      </c>
      <c r="D1606" s="7" t="s">
        <v>3904</v>
      </c>
      <c r="E1606" s="7"/>
      <c r="G1606" s="5" t="str">
        <f aca="false">IF(ISNUMBER(FIND("old rod:",A1606)),"old rod:",A1606)</f>
        <v>25, 25, DUNSPARCE</v>
      </c>
      <c r="I1606" s="5" t="s">
        <v>3251</v>
      </c>
    </row>
    <row r="1607" customFormat="false" ht="12.75" hidden="false" customHeight="true" outlineLevel="0" collapsed="false">
      <c r="A1607" s="5" t="s">
        <v>3252</v>
      </c>
      <c r="B1607" s="7" t="n">
        <v>30</v>
      </c>
      <c r="C1607" s="7" t="n">
        <v>30</v>
      </c>
      <c r="D1607" s="7" t="s">
        <v>3904</v>
      </c>
      <c r="E1607" s="7"/>
      <c r="G1607" s="5" t="str">
        <f aca="false">IF(ISNUMBER(FIND("old rod:",A1607)),"old rod:",A1607)</f>
        <v>30, 30, DUNSPARCE</v>
      </c>
      <c r="I1607" s="5" t="s">
        <v>3252</v>
      </c>
    </row>
    <row r="1608" customFormat="false" ht="12.75" hidden="false" customHeight="true" outlineLevel="0" collapsed="false">
      <c r="A1608" s="5" t="n">
        <v>0.04</v>
      </c>
      <c r="B1608" s="5" t="n">
        <v>0.04</v>
      </c>
      <c r="C1608" s="7"/>
      <c r="D1608" s="7"/>
      <c r="E1608" s="7"/>
      <c r="G1608" s="5" t="n">
        <f aca="false">IF(ISNUMBER(FIND("old rod:",A1608)),"old rod:",A1608)</f>
        <v>0.04</v>
      </c>
      <c r="I1608" s="5" t="n">
        <v>0.04</v>
      </c>
    </row>
    <row r="1609" customFormat="false" ht="12.75" hidden="false" customHeight="true" outlineLevel="0" collapsed="false">
      <c r="A1609" s="5" t="s">
        <v>3251</v>
      </c>
      <c r="B1609" s="7" t="n">
        <v>25</v>
      </c>
      <c r="C1609" s="7" t="n">
        <v>25</v>
      </c>
      <c r="D1609" s="7" t="s">
        <v>3904</v>
      </c>
      <c r="E1609" s="7"/>
      <c r="G1609" s="5" t="str">
        <f aca="false">IF(ISNUMBER(FIND("old rod:",A1609)),"old rod:",A1609)</f>
        <v>25, 25, DUNSPARCE</v>
      </c>
      <c r="I1609" s="5" t="s">
        <v>3251</v>
      </c>
    </row>
    <row r="1610" customFormat="false" ht="12.75" hidden="false" customHeight="true" outlineLevel="0" collapsed="false">
      <c r="A1610" s="5" t="s">
        <v>3252</v>
      </c>
      <c r="B1610" s="7" t="n">
        <v>30</v>
      </c>
      <c r="C1610" s="7" t="n">
        <v>30</v>
      </c>
      <c r="D1610" s="7" t="s">
        <v>3904</v>
      </c>
      <c r="E1610" s="7"/>
      <c r="G1610" s="5" t="str">
        <f aca="false">IF(ISNUMBER(FIND("old rod:",A1610)),"old rod:",A1610)</f>
        <v>30, 30, DUNSPARCE</v>
      </c>
      <c r="I1610" s="5" t="s">
        <v>3252</v>
      </c>
    </row>
    <row r="1611" customFormat="false" ht="12.75" hidden="false" customHeight="true" outlineLevel="0" collapsed="false">
      <c r="A1611" s="5" t="n">
        <v>0.01</v>
      </c>
      <c r="B1611" s="5" t="n">
        <v>0.01</v>
      </c>
      <c r="C1611" s="7"/>
      <c r="D1611" s="7"/>
      <c r="E1611" s="7"/>
      <c r="G1611" s="5" t="n">
        <f aca="false">IF(ISNUMBER(FIND("old rod:",A1611)),"old rod:",A1611)</f>
        <v>0.01</v>
      </c>
      <c r="I1611" s="5" t="n">
        <v>0.01</v>
      </c>
    </row>
    <row r="1612" customFormat="false" ht="12.75" hidden="false" customHeight="true" outlineLevel="0" collapsed="false">
      <c r="A1612" s="5" t="s">
        <v>3253</v>
      </c>
      <c r="B1612" s="7" t="n">
        <v>5</v>
      </c>
      <c r="C1612" s="7" t="n">
        <v>5</v>
      </c>
      <c r="D1612" s="7" t="s">
        <v>3904</v>
      </c>
      <c r="E1612" s="7"/>
      <c r="G1612" s="5" t="str">
        <f aca="false">IF(ISNUMBER(FIND("old rod:",A1612)),"old rod:",A1612)</f>
        <v>5, 5, DUNSPARCE</v>
      </c>
      <c r="I1612" s="5" t="s">
        <v>3253</v>
      </c>
    </row>
    <row r="1613" customFormat="false" ht="12.75" hidden="false" customHeight="true" outlineLevel="0" collapsed="false">
      <c r="A1613" s="5" t="s">
        <v>3721</v>
      </c>
      <c r="B1613" s="7" t="n">
        <v>35</v>
      </c>
      <c r="C1613" s="7" t="n">
        <v>35</v>
      </c>
      <c r="D1613" s="7" t="s">
        <v>3904</v>
      </c>
      <c r="E1613" s="7"/>
      <c r="G1613" s="5" t="str">
        <f aca="false">IF(ISNUMBER(FIND("old rod:",A1613)),"old rod:",A1613)</f>
        <v>35, 35, DUNSPARCE</v>
      </c>
      <c r="I1613" s="5" t="s">
        <v>3721</v>
      </c>
    </row>
    <row r="1614" customFormat="false" ht="12.75" hidden="false" customHeight="true" outlineLevel="0" collapsed="false">
      <c r="A1614" s="5" t="s">
        <v>2536</v>
      </c>
      <c r="B1614" s="7" t="s">
        <v>2536</v>
      </c>
      <c r="C1614" s="7"/>
      <c r="D1614" s="7"/>
      <c r="E1614" s="7"/>
      <c r="G1614" s="5" t="str">
        <f aca="false">IF(ISNUMBER(FIND("old rod:",A1614)),"old rod:",A1614)</f>
        <v>NEW ROUTE</v>
      </c>
      <c r="I1614" s="5" t="s">
        <v>2536</v>
      </c>
    </row>
    <row r="1615" customFormat="false" ht="12.75" hidden="false" customHeight="true" outlineLevel="0" collapsed="false">
      <c r="A1615" s="5" t="s">
        <v>487</v>
      </c>
      <c r="B1615" s="7" t="s">
        <v>487</v>
      </c>
      <c r="C1615" s="7"/>
      <c r="D1615" s="7"/>
      <c r="E1615" s="7"/>
      <c r="G1615" s="5" t="str">
        <f aca="false">IF(ISNUMBER(FIND("old rod:",A1615)),"old rod:",A1615)</f>
        <v>Five Island Resort Gorgeous</v>
      </c>
      <c r="I1615" s="5" t="s">
        <v>487</v>
      </c>
    </row>
    <row r="1616" customFormat="false" ht="12.75" hidden="false" customHeight="true" outlineLevel="0" collapsed="false">
      <c r="A1616" s="5" t="s">
        <v>3256</v>
      </c>
      <c r="B1616" s="7" t="n">
        <v>2</v>
      </c>
      <c r="C1616" s="7" t="n">
        <v>5</v>
      </c>
      <c r="D1616" s="7" t="n">
        <v>35</v>
      </c>
      <c r="E1616" s="7" t="s">
        <v>3747</v>
      </c>
      <c r="G1616" s="5" t="str">
        <f aca="false">IF(ISNUMBER(FIND("old rod:",A1616)),"old rod:",A1616)</f>
        <v>2, 5, 35, TENTACOOL</v>
      </c>
      <c r="I1616" s="5" t="s">
        <v>3256</v>
      </c>
    </row>
    <row r="1617" customFormat="false" ht="12.75" hidden="false" customHeight="true" outlineLevel="0" collapsed="false">
      <c r="A1617" s="5" t="s">
        <v>3257</v>
      </c>
      <c r="B1617" s="7" t="n">
        <v>5</v>
      </c>
      <c r="C1617" s="7" t="n">
        <v>15</v>
      </c>
      <c r="D1617" s="7" t="s">
        <v>3905</v>
      </c>
      <c r="E1617" s="7"/>
      <c r="G1617" s="5" t="str">
        <f aca="false">IF(ISNUMBER(FIND("old rod:",A1617)),"old rod:",A1617)</f>
        <v>5, 15, HOPPIP</v>
      </c>
      <c r="I1617" s="5" t="s">
        <v>3257</v>
      </c>
    </row>
    <row r="1618" customFormat="false" ht="12.75" hidden="false" customHeight="true" outlineLevel="0" collapsed="false">
      <c r="A1618" s="5" t="s">
        <v>2844</v>
      </c>
      <c r="B1618" s="7" t="n">
        <v>35</v>
      </c>
      <c r="C1618" s="7" t="n">
        <v>40</v>
      </c>
      <c r="D1618" s="7" t="s">
        <v>3747</v>
      </c>
      <c r="E1618" s="7"/>
      <c r="G1618" s="5" t="str">
        <f aca="false">IF(ISNUMBER(FIND("old rod:",A1618)),"old rod:",A1618)</f>
        <v>35, 40, TENTACOOL</v>
      </c>
      <c r="I1618" s="5" t="s">
        <v>2844</v>
      </c>
    </row>
    <row r="1619" customFormat="false" ht="12.75" hidden="false" customHeight="true" outlineLevel="0" collapsed="false">
      <c r="A1619" s="5" t="s">
        <v>3231</v>
      </c>
      <c r="B1619" s="7" t="n">
        <v>35</v>
      </c>
      <c r="C1619" s="7" t="n">
        <v>40</v>
      </c>
      <c r="D1619" s="7" t="s">
        <v>3897</v>
      </c>
      <c r="E1619" s="7"/>
      <c r="G1619" s="5" t="str">
        <f aca="false">IF(ISNUMBER(FIND("old rod:",A1619)),"old rod:",A1619)</f>
        <v>35, 40, TENTACRUEL</v>
      </c>
      <c r="I1619" s="5" t="s">
        <v>3231</v>
      </c>
    </row>
    <row r="1620" customFormat="false" ht="12.75" hidden="false" customHeight="true" outlineLevel="0" collapsed="false">
      <c r="A1620" s="5" t="s">
        <v>3231</v>
      </c>
      <c r="B1620" s="7" t="n">
        <v>35</v>
      </c>
      <c r="C1620" s="7" t="n">
        <v>40</v>
      </c>
      <c r="D1620" s="7" t="s">
        <v>3897</v>
      </c>
      <c r="E1620" s="7"/>
      <c r="G1620" s="5" t="str">
        <f aca="false">IF(ISNUMBER(FIND("old rod:",A1620)),"old rod:",A1620)</f>
        <v>35, 40, TENTACRUEL</v>
      </c>
      <c r="I1620" s="5" t="s">
        <v>3231</v>
      </c>
    </row>
    <row r="1621" customFormat="false" ht="12.75" hidden="false" customHeight="true" outlineLevel="0" collapsed="false">
      <c r="A1621" s="5" t="s">
        <v>2925</v>
      </c>
      <c r="B1621" s="7" t="n">
        <v>20</v>
      </c>
      <c r="C1621" s="7" t="s">
        <v>3748</v>
      </c>
      <c r="D1621" s="7"/>
      <c r="E1621" s="7"/>
      <c r="G1621" s="5" t="str">
        <f aca="false">IF(ISNUMBER(FIND("old rod:",A1621)),"old rod:",A1621)</f>
        <v>old rod:</v>
      </c>
      <c r="I1621" s="5" t="s">
        <v>3749</v>
      </c>
    </row>
    <row r="1622" customFormat="false" ht="12.75" hidden="false" customHeight="true" outlineLevel="0" collapsed="false">
      <c r="A1622" s="5" t="s">
        <v>1266</v>
      </c>
      <c r="B1622" s="7" t="n">
        <v>5</v>
      </c>
      <c r="C1622" s="7" t="n">
        <v>5</v>
      </c>
      <c r="D1622" s="7" t="s">
        <v>3750</v>
      </c>
      <c r="E1622" s="7"/>
      <c r="G1622" s="5" t="str">
        <f aca="false">IF(ISNUMBER(FIND("old rod:",A1622)),"old rod:",A1622)</f>
        <v>5, 5, MAGIKARP</v>
      </c>
      <c r="I1622" s="5" t="s">
        <v>1266</v>
      </c>
    </row>
    <row r="1623" customFormat="false" ht="12.75" hidden="false" customHeight="true" outlineLevel="0" collapsed="false">
      <c r="A1623" s="5" t="s">
        <v>1266</v>
      </c>
      <c r="B1623" s="7" t="n">
        <v>5</v>
      </c>
      <c r="C1623" s="7" t="n">
        <v>5</v>
      </c>
      <c r="D1623" s="7" t="s">
        <v>3750</v>
      </c>
      <c r="E1623" s="7"/>
      <c r="G1623" s="5" t="str">
        <f aca="false">IF(ISNUMBER(FIND("old rod:",A1623)),"old rod:",A1623)</f>
        <v>5, 5, MAGIKARP</v>
      </c>
      <c r="I1623" s="5" t="s">
        <v>1266</v>
      </c>
    </row>
    <row r="1624" customFormat="false" ht="12.75" hidden="false" customHeight="true" outlineLevel="0" collapsed="false">
      <c r="A1624" s="5" t="s">
        <v>2846</v>
      </c>
      <c r="B1624" s="7" t="s">
        <v>2846</v>
      </c>
      <c r="C1624" s="7"/>
      <c r="D1624" s="7"/>
      <c r="E1624" s="7"/>
      <c r="G1624" s="5" t="str">
        <f aca="false">IF(ISNUMBER(FIND("old rod:",A1624)),"old rod:",A1624)</f>
        <v>good rod:</v>
      </c>
      <c r="I1624" s="5" t="s">
        <v>2846</v>
      </c>
    </row>
    <row r="1625" customFormat="false" ht="12.75" hidden="false" customHeight="true" outlineLevel="0" collapsed="false">
      <c r="A1625" s="5" t="s">
        <v>2847</v>
      </c>
      <c r="B1625" s="7" t="n">
        <v>5</v>
      </c>
      <c r="C1625" s="7" t="n">
        <v>15</v>
      </c>
      <c r="D1625" s="7" t="s">
        <v>3751</v>
      </c>
      <c r="E1625" s="7"/>
      <c r="G1625" s="5" t="str">
        <f aca="false">IF(ISNUMBER(FIND("old rod:",A1625)),"old rod:",A1625)</f>
        <v>5, 15, KRABBY</v>
      </c>
      <c r="I1625" s="5" t="s">
        <v>2847</v>
      </c>
    </row>
    <row r="1626" customFormat="false" ht="12.75" hidden="false" customHeight="true" outlineLevel="0" collapsed="false">
      <c r="A1626" s="5" t="s">
        <v>2848</v>
      </c>
      <c r="B1626" s="7" t="n">
        <v>5</v>
      </c>
      <c r="C1626" s="7" t="n">
        <v>15</v>
      </c>
      <c r="D1626" s="7" t="s">
        <v>3750</v>
      </c>
      <c r="E1626" s="7"/>
      <c r="G1626" s="5" t="str">
        <f aca="false">IF(ISNUMBER(FIND("old rod:",A1626)),"old rod:",A1626)</f>
        <v>5, 15, MAGIKARP</v>
      </c>
      <c r="I1626" s="5" t="s">
        <v>2848</v>
      </c>
    </row>
    <row r="1627" customFormat="false" ht="12.75" hidden="false" customHeight="true" outlineLevel="0" collapsed="false">
      <c r="A1627" s="5" t="s">
        <v>2847</v>
      </c>
      <c r="B1627" s="7" t="n">
        <v>5</v>
      </c>
      <c r="C1627" s="7" t="n">
        <v>15</v>
      </c>
      <c r="D1627" s="7" t="s">
        <v>3751</v>
      </c>
      <c r="E1627" s="7"/>
      <c r="G1627" s="5" t="str">
        <f aca="false">IF(ISNUMBER(FIND("old rod:",A1627)),"old rod:",A1627)</f>
        <v>5, 15, KRABBY</v>
      </c>
      <c r="I1627" s="5" t="s">
        <v>2847</v>
      </c>
    </row>
    <row r="1628" customFormat="false" ht="12.75" hidden="false" customHeight="true" outlineLevel="0" collapsed="false">
      <c r="A1628" s="5" t="s">
        <v>2850</v>
      </c>
      <c r="B1628" s="7" t="s">
        <v>2850</v>
      </c>
      <c r="C1628" s="7"/>
      <c r="D1628" s="7"/>
      <c r="E1628" s="7"/>
      <c r="G1628" s="5" t="str">
        <f aca="false">IF(ISNUMBER(FIND("old rod:",A1628)),"old rod:",A1628)</f>
        <v>super rod:</v>
      </c>
      <c r="I1628" s="5" t="s">
        <v>2850</v>
      </c>
    </row>
    <row r="1629" customFormat="false" ht="12.75" hidden="false" customHeight="true" outlineLevel="0" collapsed="false">
      <c r="A1629" s="5" t="s">
        <v>2851</v>
      </c>
      <c r="B1629" s="7" t="n">
        <v>15</v>
      </c>
      <c r="C1629" s="7" t="n">
        <v>25</v>
      </c>
      <c r="D1629" s="7" t="s">
        <v>3751</v>
      </c>
      <c r="E1629" s="7"/>
      <c r="G1629" s="5" t="str">
        <f aca="false">IF(ISNUMBER(FIND("old rod:",A1629)),"old rod:",A1629)</f>
        <v>15, 25, KRABBY</v>
      </c>
      <c r="I1629" s="5" t="s">
        <v>2851</v>
      </c>
    </row>
    <row r="1630" customFormat="false" ht="12.75" hidden="false" customHeight="true" outlineLevel="0" collapsed="false">
      <c r="A1630" s="5" t="s">
        <v>3258</v>
      </c>
      <c r="B1630" s="7" t="n">
        <v>15</v>
      </c>
      <c r="C1630" s="7" t="n">
        <v>25</v>
      </c>
      <c r="D1630" s="7" t="s">
        <v>3906</v>
      </c>
      <c r="E1630" s="7"/>
      <c r="G1630" s="5" t="str">
        <f aca="false">IF(ISNUMBER(FIND("old rod:",A1630)),"old rod:",A1630)</f>
        <v>15, 25, REMORAID</v>
      </c>
      <c r="I1630" s="5" t="s">
        <v>3258</v>
      </c>
    </row>
    <row r="1631" customFormat="false" ht="12.75" hidden="false" customHeight="true" outlineLevel="0" collapsed="false">
      <c r="A1631" s="5" t="s">
        <v>2853</v>
      </c>
      <c r="B1631" s="7" t="n">
        <v>15</v>
      </c>
      <c r="C1631" s="7" t="n">
        <v>25</v>
      </c>
      <c r="D1631" s="7" t="s">
        <v>3754</v>
      </c>
      <c r="E1631" s="7"/>
      <c r="G1631" s="5" t="str">
        <f aca="false">IF(ISNUMBER(FIND("old rod:",A1631)),"old rod:",A1631)</f>
        <v>15, 25, GYARADOS</v>
      </c>
      <c r="I1631" s="5" t="s">
        <v>2853</v>
      </c>
    </row>
    <row r="1632" customFormat="false" ht="12.75" hidden="false" customHeight="true" outlineLevel="0" collapsed="false">
      <c r="A1632" s="5" t="s">
        <v>3177</v>
      </c>
      <c r="B1632" s="7" t="n">
        <v>25</v>
      </c>
      <c r="C1632" s="7" t="n">
        <v>35</v>
      </c>
      <c r="D1632" s="7" t="s">
        <v>3859</v>
      </c>
      <c r="E1632" s="7"/>
      <c r="G1632" s="5" t="str">
        <f aca="false">IF(ISNUMBER(FIND("old rod:",A1632)),"old rod:",A1632)</f>
        <v>25, 35, KINGLER</v>
      </c>
      <c r="I1632" s="5" t="s">
        <v>3177</v>
      </c>
    </row>
    <row r="1633" customFormat="false" ht="12.75" hidden="false" customHeight="true" outlineLevel="0" collapsed="false">
      <c r="A1633" s="5" t="s">
        <v>2855</v>
      </c>
      <c r="B1633" s="7" t="n">
        <v>25</v>
      </c>
      <c r="C1633" s="7" t="n">
        <v>35</v>
      </c>
      <c r="D1633" s="7" t="s">
        <v>3755</v>
      </c>
      <c r="E1633" s="7"/>
      <c r="G1633" s="5" t="str">
        <f aca="false">IF(ISNUMBER(FIND("old rod:",A1633)),"old rod:",A1633)</f>
        <v>25, 35, SLOWPOKE</v>
      </c>
      <c r="I1633" s="5" t="s">
        <v>2855</v>
      </c>
    </row>
    <row r="1634" customFormat="false" ht="12.75" hidden="false" customHeight="true" outlineLevel="0" collapsed="false">
      <c r="A1634" s="5" t="s">
        <v>2536</v>
      </c>
      <c r="B1634" s="7" t="s">
        <v>2536</v>
      </c>
      <c r="C1634" s="7"/>
      <c r="D1634" s="7"/>
      <c r="E1634" s="7"/>
      <c r="G1634" s="5" t="str">
        <f aca="false">IF(ISNUMBER(FIND("old rod:",A1634)),"old rod:",A1634)</f>
        <v>NEW ROUTE</v>
      </c>
      <c r="I1634" s="5" t="s">
        <v>2536</v>
      </c>
    </row>
    <row r="1635" customFormat="false" ht="12.75" hidden="false" customHeight="true" outlineLevel="0" collapsed="false">
      <c r="A1635" s="5" t="s">
        <v>489</v>
      </c>
      <c r="B1635" s="7" t="s">
        <v>489</v>
      </c>
      <c r="C1635" s="7"/>
      <c r="D1635" s="7"/>
      <c r="E1635" s="7"/>
      <c r="G1635" s="5" t="str">
        <f aca="false">IF(ISNUMBER(FIND("old rod:",A1635)),"old rod:",A1635)</f>
        <v>Five Island Water Labyrinth</v>
      </c>
      <c r="I1635" s="5" t="s">
        <v>489</v>
      </c>
    </row>
    <row r="1636" customFormat="false" ht="12.75" hidden="false" customHeight="true" outlineLevel="0" collapsed="false">
      <c r="A1636" s="5" t="s">
        <v>3256</v>
      </c>
      <c r="B1636" s="7" t="n">
        <v>2</v>
      </c>
      <c r="C1636" s="7" t="n">
        <v>5</v>
      </c>
      <c r="D1636" s="7" t="n">
        <v>35</v>
      </c>
      <c r="E1636" s="7" t="s">
        <v>3747</v>
      </c>
      <c r="G1636" s="5" t="str">
        <f aca="false">IF(ISNUMBER(FIND("old rod:",A1636)),"old rod:",A1636)</f>
        <v>2, 5, 35, TENTACOOL</v>
      </c>
      <c r="I1636" s="5" t="s">
        <v>3256</v>
      </c>
    </row>
    <row r="1637" customFormat="false" ht="12.75" hidden="false" customHeight="true" outlineLevel="0" collapsed="false">
      <c r="A1637" s="5" t="s">
        <v>3257</v>
      </c>
      <c r="B1637" s="7" t="n">
        <v>5</v>
      </c>
      <c r="C1637" s="7" t="n">
        <v>15</v>
      </c>
      <c r="D1637" s="7" t="s">
        <v>3905</v>
      </c>
      <c r="E1637" s="7"/>
      <c r="G1637" s="5" t="str">
        <f aca="false">IF(ISNUMBER(FIND("old rod:",A1637)),"old rod:",A1637)</f>
        <v>5, 15, HOPPIP</v>
      </c>
      <c r="I1637" s="5" t="s">
        <v>3257</v>
      </c>
    </row>
    <row r="1638" customFormat="false" ht="12.75" hidden="false" customHeight="true" outlineLevel="0" collapsed="false">
      <c r="A1638" s="5" t="s">
        <v>2844</v>
      </c>
      <c r="B1638" s="7" t="n">
        <v>35</v>
      </c>
      <c r="C1638" s="7" t="n">
        <v>40</v>
      </c>
      <c r="D1638" s="7" t="s">
        <v>3747</v>
      </c>
      <c r="E1638" s="7"/>
      <c r="G1638" s="5" t="str">
        <f aca="false">IF(ISNUMBER(FIND("old rod:",A1638)),"old rod:",A1638)</f>
        <v>35, 40, TENTACOOL</v>
      </c>
      <c r="I1638" s="5" t="s">
        <v>2844</v>
      </c>
    </row>
    <row r="1639" customFormat="false" ht="12.75" hidden="false" customHeight="true" outlineLevel="0" collapsed="false">
      <c r="A1639" s="5" t="s">
        <v>3231</v>
      </c>
      <c r="B1639" s="7" t="n">
        <v>35</v>
      </c>
      <c r="C1639" s="7" t="n">
        <v>40</v>
      </c>
      <c r="D1639" s="7" t="s">
        <v>3897</v>
      </c>
      <c r="E1639" s="7"/>
      <c r="G1639" s="5" t="str">
        <f aca="false">IF(ISNUMBER(FIND("old rod:",A1639)),"old rod:",A1639)</f>
        <v>35, 40, TENTACRUEL</v>
      </c>
      <c r="I1639" s="5" t="s">
        <v>3231</v>
      </c>
    </row>
    <row r="1640" customFormat="false" ht="12.75" hidden="false" customHeight="true" outlineLevel="0" collapsed="false">
      <c r="A1640" s="5" t="s">
        <v>3231</v>
      </c>
      <c r="B1640" s="7" t="n">
        <v>35</v>
      </c>
      <c r="C1640" s="7" t="n">
        <v>40</v>
      </c>
      <c r="D1640" s="7" t="s">
        <v>3897</v>
      </c>
      <c r="E1640" s="7"/>
      <c r="G1640" s="5" t="str">
        <f aca="false">IF(ISNUMBER(FIND("old rod:",A1640)),"old rod:",A1640)</f>
        <v>35, 40, TENTACRUEL</v>
      </c>
      <c r="I1640" s="5" t="s">
        <v>3231</v>
      </c>
    </row>
    <row r="1641" customFormat="false" ht="12.75" hidden="false" customHeight="true" outlineLevel="0" collapsed="false">
      <c r="A1641" s="5" t="s">
        <v>2925</v>
      </c>
      <c r="B1641" s="7" t="n">
        <v>20</v>
      </c>
      <c r="C1641" s="7" t="s">
        <v>3748</v>
      </c>
      <c r="D1641" s="7"/>
      <c r="E1641" s="7"/>
      <c r="G1641" s="5" t="str">
        <f aca="false">IF(ISNUMBER(FIND("old rod:",A1641)),"old rod:",A1641)</f>
        <v>old rod:</v>
      </c>
      <c r="I1641" s="5" t="s">
        <v>3749</v>
      </c>
    </row>
    <row r="1642" customFormat="false" ht="12.75" hidden="false" customHeight="true" outlineLevel="0" collapsed="false">
      <c r="A1642" s="5" t="s">
        <v>1266</v>
      </c>
      <c r="B1642" s="7" t="n">
        <v>5</v>
      </c>
      <c r="C1642" s="7" t="n">
        <v>5</v>
      </c>
      <c r="D1642" s="7" t="s">
        <v>3750</v>
      </c>
      <c r="E1642" s="7"/>
      <c r="G1642" s="5" t="str">
        <f aca="false">IF(ISNUMBER(FIND("old rod:",A1642)),"old rod:",A1642)</f>
        <v>5, 5, MAGIKARP</v>
      </c>
      <c r="I1642" s="5" t="s">
        <v>1266</v>
      </c>
    </row>
    <row r="1643" customFormat="false" ht="12.75" hidden="false" customHeight="true" outlineLevel="0" collapsed="false">
      <c r="A1643" s="5" t="s">
        <v>1266</v>
      </c>
      <c r="B1643" s="7" t="n">
        <v>5</v>
      </c>
      <c r="C1643" s="7" t="n">
        <v>5</v>
      </c>
      <c r="D1643" s="7" t="s">
        <v>3750</v>
      </c>
      <c r="E1643" s="7"/>
      <c r="G1643" s="5" t="str">
        <f aca="false">IF(ISNUMBER(FIND("old rod:",A1643)),"old rod:",A1643)</f>
        <v>5, 5, MAGIKARP</v>
      </c>
      <c r="I1643" s="5" t="s">
        <v>1266</v>
      </c>
    </row>
    <row r="1644" customFormat="false" ht="12.75" hidden="false" customHeight="true" outlineLevel="0" collapsed="false">
      <c r="A1644" s="5" t="s">
        <v>2846</v>
      </c>
      <c r="B1644" s="7" t="s">
        <v>2846</v>
      </c>
      <c r="C1644" s="7"/>
      <c r="D1644" s="7"/>
      <c r="E1644" s="7"/>
      <c r="G1644" s="5" t="str">
        <f aca="false">IF(ISNUMBER(FIND("old rod:",A1644)),"old rod:",A1644)</f>
        <v>good rod:</v>
      </c>
      <c r="I1644" s="5" t="s">
        <v>2846</v>
      </c>
    </row>
    <row r="1645" customFormat="false" ht="12.75" hidden="false" customHeight="true" outlineLevel="0" collapsed="false">
      <c r="A1645" s="5" t="s">
        <v>2847</v>
      </c>
      <c r="B1645" s="7" t="n">
        <v>5</v>
      </c>
      <c r="C1645" s="7" t="n">
        <v>15</v>
      </c>
      <c r="D1645" s="7" t="s">
        <v>3751</v>
      </c>
      <c r="E1645" s="7"/>
      <c r="G1645" s="5" t="str">
        <f aca="false">IF(ISNUMBER(FIND("old rod:",A1645)),"old rod:",A1645)</f>
        <v>5, 15, KRABBY</v>
      </c>
      <c r="I1645" s="5" t="s">
        <v>2847</v>
      </c>
    </row>
    <row r="1646" customFormat="false" ht="12.75" hidden="false" customHeight="true" outlineLevel="0" collapsed="false">
      <c r="A1646" s="5" t="s">
        <v>2848</v>
      </c>
      <c r="B1646" s="7" t="n">
        <v>5</v>
      </c>
      <c r="C1646" s="7" t="n">
        <v>15</v>
      </c>
      <c r="D1646" s="7" t="s">
        <v>3750</v>
      </c>
      <c r="E1646" s="7"/>
      <c r="G1646" s="5" t="str">
        <f aca="false">IF(ISNUMBER(FIND("old rod:",A1646)),"old rod:",A1646)</f>
        <v>5, 15, MAGIKARP</v>
      </c>
      <c r="I1646" s="5" t="s">
        <v>2848</v>
      </c>
    </row>
    <row r="1647" customFormat="false" ht="12.75" hidden="false" customHeight="true" outlineLevel="0" collapsed="false">
      <c r="A1647" s="5" t="s">
        <v>2847</v>
      </c>
      <c r="B1647" s="7" t="n">
        <v>5</v>
      </c>
      <c r="C1647" s="7" t="n">
        <v>15</v>
      </c>
      <c r="D1647" s="7" t="s">
        <v>3751</v>
      </c>
      <c r="E1647" s="7"/>
      <c r="G1647" s="5" t="str">
        <f aca="false">IF(ISNUMBER(FIND("old rod:",A1647)),"old rod:",A1647)</f>
        <v>5, 15, KRABBY</v>
      </c>
      <c r="I1647" s="5" t="s">
        <v>2847</v>
      </c>
    </row>
    <row r="1648" customFormat="false" ht="12.75" hidden="false" customHeight="true" outlineLevel="0" collapsed="false">
      <c r="A1648" s="5" t="s">
        <v>2850</v>
      </c>
      <c r="B1648" s="7" t="s">
        <v>2850</v>
      </c>
      <c r="C1648" s="7"/>
      <c r="D1648" s="7"/>
      <c r="E1648" s="7"/>
      <c r="G1648" s="5" t="str">
        <f aca="false">IF(ISNUMBER(FIND("old rod:",A1648)),"old rod:",A1648)</f>
        <v>super rod:</v>
      </c>
      <c r="I1648" s="5" t="s">
        <v>2850</v>
      </c>
    </row>
    <row r="1649" customFormat="false" ht="12.75" hidden="false" customHeight="true" outlineLevel="0" collapsed="false">
      <c r="A1649" s="5" t="s">
        <v>2851</v>
      </c>
      <c r="B1649" s="7" t="n">
        <v>15</v>
      </c>
      <c r="C1649" s="7" t="n">
        <v>25</v>
      </c>
      <c r="D1649" s="7" t="s">
        <v>3751</v>
      </c>
      <c r="E1649" s="7"/>
      <c r="G1649" s="5" t="str">
        <f aca="false">IF(ISNUMBER(FIND("old rod:",A1649)),"old rod:",A1649)</f>
        <v>15, 25, KRABBY</v>
      </c>
      <c r="I1649" s="5" t="s">
        <v>2851</v>
      </c>
    </row>
    <row r="1650" customFormat="false" ht="12.75" hidden="false" customHeight="true" outlineLevel="0" collapsed="false">
      <c r="A1650" s="5" t="s">
        <v>3258</v>
      </c>
      <c r="B1650" s="7" t="n">
        <v>15</v>
      </c>
      <c r="C1650" s="7" t="n">
        <v>25</v>
      </c>
      <c r="D1650" s="7" t="s">
        <v>3906</v>
      </c>
      <c r="E1650" s="7"/>
      <c r="G1650" s="5" t="str">
        <f aca="false">IF(ISNUMBER(FIND("old rod:",A1650)),"old rod:",A1650)</f>
        <v>15, 25, REMORAID</v>
      </c>
      <c r="I1650" s="5" t="s">
        <v>3258</v>
      </c>
    </row>
    <row r="1651" customFormat="false" ht="12.75" hidden="false" customHeight="true" outlineLevel="0" collapsed="false">
      <c r="A1651" s="5" t="s">
        <v>2853</v>
      </c>
      <c r="B1651" s="7" t="n">
        <v>15</v>
      </c>
      <c r="C1651" s="7" t="n">
        <v>25</v>
      </c>
      <c r="D1651" s="7" t="s">
        <v>3754</v>
      </c>
      <c r="E1651" s="7"/>
      <c r="G1651" s="5" t="str">
        <f aca="false">IF(ISNUMBER(FIND("old rod:",A1651)),"old rod:",A1651)</f>
        <v>15, 25, GYARADOS</v>
      </c>
      <c r="I1651" s="5" t="s">
        <v>2853</v>
      </c>
    </row>
    <row r="1652" customFormat="false" ht="12.75" hidden="false" customHeight="true" outlineLevel="0" collapsed="false">
      <c r="A1652" s="5" t="s">
        <v>3177</v>
      </c>
      <c r="B1652" s="7" t="n">
        <v>25</v>
      </c>
      <c r="C1652" s="7" t="n">
        <v>35</v>
      </c>
      <c r="D1652" s="7" t="s">
        <v>3859</v>
      </c>
      <c r="E1652" s="7"/>
      <c r="G1652" s="5" t="str">
        <f aca="false">IF(ISNUMBER(FIND("old rod:",A1652)),"old rod:",A1652)</f>
        <v>25, 35, KINGLER</v>
      </c>
      <c r="I1652" s="5" t="s">
        <v>3177</v>
      </c>
    </row>
    <row r="1653" customFormat="false" ht="12.75" hidden="false" customHeight="true" outlineLevel="0" collapsed="false">
      <c r="A1653" s="5" t="s">
        <v>2855</v>
      </c>
      <c r="B1653" s="7" t="n">
        <v>25</v>
      </c>
      <c r="C1653" s="7" t="n">
        <v>35</v>
      </c>
      <c r="D1653" s="7" t="s">
        <v>3755</v>
      </c>
      <c r="E1653" s="7"/>
      <c r="G1653" s="5" t="str">
        <f aca="false">IF(ISNUMBER(FIND("old rod:",A1653)),"old rod:",A1653)</f>
        <v>25, 35, SLOWPOKE</v>
      </c>
      <c r="I1653" s="5" t="s">
        <v>2855</v>
      </c>
    </row>
    <row r="1654" customFormat="false" ht="12.75" hidden="false" customHeight="true" outlineLevel="0" collapsed="false">
      <c r="A1654" s="5" t="s">
        <v>2536</v>
      </c>
      <c r="B1654" s="7" t="s">
        <v>2536</v>
      </c>
      <c r="C1654" s="7"/>
      <c r="D1654" s="7"/>
      <c r="E1654" s="7"/>
      <c r="G1654" s="5" t="str">
        <f aca="false">IF(ISNUMBER(FIND("old rod:",A1654)),"old rod:",A1654)</f>
        <v>NEW ROUTE</v>
      </c>
      <c r="I1654" s="5" t="s">
        <v>2536</v>
      </c>
    </row>
    <row r="1655" customFormat="false" ht="12.75" hidden="false" customHeight="true" outlineLevel="0" collapsed="false">
      <c r="A1655" s="5" t="s">
        <v>491</v>
      </c>
      <c r="B1655" s="7" t="s">
        <v>491</v>
      </c>
      <c r="C1655" s="7"/>
      <c r="D1655" s="7"/>
      <c r="E1655" s="7"/>
      <c r="G1655" s="5" t="str">
        <f aca="false">IF(ISNUMBER(FIND("old rod:",A1655)),"old rod:",A1655)</f>
        <v>Five Island Meadow</v>
      </c>
      <c r="I1655" s="5" t="s">
        <v>491</v>
      </c>
    </row>
    <row r="1656" customFormat="false" ht="12.75" hidden="false" customHeight="true" outlineLevel="0" collapsed="false">
      <c r="A1656" s="5" t="n">
        <v>0.2</v>
      </c>
      <c r="B1656" s="5" t="n">
        <v>0.2</v>
      </c>
      <c r="C1656" s="7"/>
      <c r="D1656" s="7"/>
      <c r="E1656" s="7"/>
      <c r="G1656" s="5" t="n">
        <f aca="false">IF(ISNUMBER(FIND("old rod:",A1656)),"old rod:",A1656)</f>
        <v>0.2</v>
      </c>
      <c r="I1656" s="5" t="n">
        <v>0.2</v>
      </c>
    </row>
    <row r="1657" customFormat="false" ht="12.75" hidden="false" customHeight="true" outlineLevel="0" collapsed="false">
      <c r="A1657" s="5" t="s">
        <v>1715</v>
      </c>
      <c r="B1657" s="7" t="n">
        <v>44</v>
      </c>
      <c r="C1657" s="7" t="n">
        <v>44</v>
      </c>
      <c r="D1657" s="7" t="s">
        <v>3889</v>
      </c>
      <c r="E1657" s="7"/>
      <c r="G1657" s="5" t="str">
        <f aca="false">IF(ISNUMBER(FIND("old rod:",A1657)),"old rod:",A1657)</f>
        <v>44, 44, PIDGEY</v>
      </c>
      <c r="I1657" s="5" t="s">
        <v>1715</v>
      </c>
    </row>
    <row r="1658" customFormat="false" ht="12.75" hidden="false" customHeight="true" outlineLevel="0" collapsed="false">
      <c r="A1658" s="5" t="s">
        <v>3261</v>
      </c>
      <c r="B1658" s="7" t="n">
        <v>10</v>
      </c>
      <c r="C1658" s="7" t="n">
        <v>10</v>
      </c>
      <c r="D1658" s="7" t="s">
        <v>3907</v>
      </c>
      <c r="E1658" s="7"/>
      <c r="G1658" s="5" t="str">
        <f aca="false">IF(ISNUMBER(FIND("old rod:",A1658)),"old rod:",A1658)</f>
        <v>10, 10, SENTRET</v>
      </c>
      <c r="I1658" s="5" t="s">
        <v>3261</v>
      </c>
    </row>
    <row r="1659" customFormat="false" ht="12.75" hidden="false" customHeight="true" outlineLevel="0" collapsed="false">
      <c r="A1659" s="5" t="n">
        <v>0.1</v>
      </c>
      <c r="B1659" s="5" t="n">
        <v>0.1</v>
      </c>
      <c r="C1659" s="7"/>
      <c r="D1659" s="7"/>
      <c r="E1659" s="7"/>
      <c r="G1659" s="5" t="n">
        <f aca="false">IF(ISNUMBER(FIND("old rod:",A1659)),"old rod:",A1659)</f>
        <v>0.1</v>
      </c>
      <c r="I1659" s="5" t="n">
        <v>0.1</v>
      </c>
    </row>
    <row r="1660" customFormat="false" ht="12.75" hidden="false" customHeight="true" outlineLevel="0" collapsed="false">
      <c r="A1660" s="5" t="s">
        <v>3262</v>
      </c>
      <c r="B1660" s="7" t="n">
        <v>48</v>
      </c>
      <c r="C1660" s="7" t="n">
        <v>48</v>
      </c>
      <c r="D1660" s="7" t="s">
        <v>3887</v>
      </c>
      <c r="E1660" s="7"/>
      <c r="G1660" s="5" t="str">
        <f aca="false">IF(ISNUMBER(FIND("old rod:",A1660)),"old rod:",A1660)</f>
        <v>48, 48, PIDGEOTTO</v>
      </c>
      <c r="I1660" s="5" t="s">
        <v>3262</v>
      </c>
    </row>
    <row r="1661" customFormat="false" ht="12.75" hidden="false" customHeight="true" outlineLevel="0" collapsed="false">
      <c r="A1661" s="5" t="s">
        <v>1726</v>
      </c>
      <c r="B1661" s="7" t="n">
        <v>10</v>
      </c>
      <c r="C1661" s="7" t="n">
        <v>10</v>
      </c>
      <c r="D1661" s="7" t="s">
        <v>3905</v>
      </c>
      <c r="E1661" s="7"/>
      <c r="G1661" s="5" t="str">
        <f aca="false">IF(ISNUMBER(FIND("old rod:",A1661)),"old rod:",A1661)</f>
        <v>10, 10, HOPPIP</v>
      </c>
      <c r="I1661" s="5" t="s">
        <v>1726</v>
      </c>
    </row>
    <row r="1662" customFormat="false" ht="12.75" hidden="false" customHeight="true" outlineLevel="0" collapsed="false">
      <c r="A1662" s="5" t="s">
        <v>3263</v>
      </c>
      <c r="B1662" s="7" t="n">
        <v>15</v>
      </c>
      <c r="C1662" s="7" t="n">
        <v>15</v>
      </c>
      <c r="D1662" s="7" t="s">
        <v>3907</v>
      </c>
      <c r="E1662" s="7"/>
      <c r="G1662" s="5" t="str">
        <f aca="false">IF(ISNUMBER(FIND("old rod:",A1662)),"old rod:",A1662)</f>
        <v>15, 15, SENTRET</v>
      </c>
      <c r="I1662" s="5" t="s">
        <v>3263</v>
      </c>
    </row>
    <row r="1663" customFormat="false" ht="12.75" hidden="false" customHeight="true" outlineLevel="0" collapsed="false">
      <c r="A1663" s="5" t="s">
        <v>3264</v>
      </c>
      <c r="B1663" s="7" t="n">
        <v>41</v>
      </c>
      <c r="C1663" s="7" t="n">
        <v>41</v>
      </c>
      <c r="D1663" s="7" t="s">
        <v>3902</v>
      </c>
      <c r="E1663" s="7"/>
      <c r="G1663" s="5" t="str">
        <f aca="false">IF(ISNUMBER(FIND("old rod:",A1663)),"old rod:",A1663)</f>
        <v>41, 41, MEOWTH</v>
      </c>
      <c r="I1663" s="5" t="s">
        <v>3264</v>
      </c>
    </row>
    <row r="1664" customFormat="false" ht="12.75" hidden="false" customHeight="true" outlineLevel="0" collapsed="false">
      <c r="A1664" s="5" t="n">
        <v>0.05</v>
      </c>
      <c r="B1664" s="5" t="n">
        <v>0.05</v>
      </c>
      <c r="C1664" s="7"/>
      <c r="D1664" s="7"/>
      <c r="E1664" s="7"/>
      <c r="G1664" s="5" t="n">
        <f aca="false">IF(ISNUMBER(FIND("old rod:",A1664)),"old rod:",A1664)</f>
        <v>0.05</v>
      </c>
      <c r="I1664" s="5" t="n">
        <v>0.05</v>
      </c>
    </row>
    <row r="1665" customFormat="false" ht="12.75" hidden="false" customHeight="true" outlineLevel="0" collapsed="false">
      <c r="A1665" s="5" t="s">
        <v>3265</v>
      </c>
      <c r="B1665" s="7" t="n">
        <v>15</v>
      </c>
      <c r="C1665" s="7" t="n">
        <v>15</v>
      </c>
      <c r="D1665" s="7" t="s">
        <v>3905</v>
      </c>
      <c r="E1665" s="7"/>
      <c r="G1665" s="5" t="str">
        <f aca="false">IF(ISNUMBER(FIND("old rod:",A1665)),"old rod:",A1665)</f>
        <v>15, 15, HOPPIP</v>
      </c>
      <c r="I1665" s="5" t="s">
        <v>3265</v>
      </c>
    </row>
    <row r="1666" customFormat="false" ht="12.75" hidden="false" customHeight="true" outlineLevel="0" collapsed="false">
      <c r="A1666" s="5" t="s">
        <v>3154</v>
      </c>
      <c r="B1666" s="7" t="n">
        <v>41</v>
      </c>
      <c r="C1666" s="7" t="n">
        <v>41</v>
      </c>
      <c r="D1666" s="7" t="s">
        <v>3755</v>
      </c>
      <c r="E1666" s="7"/>
      <c r="G1666" s="5" t="str">
        <f aca="false">IF(ISNUMBER(FIND("old rod:",A1666)),"old rod:",A1666)</f>
        <v>41, 41, SLOWPOKE</v>
      </c>
      <c r="I1666" s="5" t="s">
        <v>3154</v>
      </c>
    </row>
    <row r="1667" customFormat="false" ht="12.75" hidden="false" customHeight="true" outlineLevel="0" collapsed="false">
      <c r="A1667" s="5" t="n">
        <v>0.04</v>
      </c>
      <c r="B1667" s="5" t="n">
        <v>0.04</v>
      </c>
      <c r="C1667" s="7"/>
      <c r="D1667" s="7"/>
      <c r="E1667" s="7"/>
      <c r="G1667" s="5" t="n">
        <f aca="false">IF(ISNUMBER(FIND("old rod:",A1667)),"old rod:",A1667)</f>
        <v>0.04</v>
      </c>
      <c r="I1667" s="5" t="n">
        <v>0.04</v>
      </c>
    </row>
    <row r="1668" customFormat="false" ht="12.75" hidden="false" customHeight="true" outlineLevel="0" collapsed="false">
      <c r="A1668" s="5" t="s">
        <v>3266</v>
      </c>
      <c r="B1668" s="7" t="n">
        <v>50</v>
      </c>
      <c r="C1668" s="7" t="n">
        <v>50</v>
      </c>
      <c r="D1668" s="7" t="s">
        <v>3887</v>
      </c>
      <c r="E1668" s="7"/>
      <c r="G1668" s="5" t="str">
        <f aca="false">IF(ISNUMBER(FIND("old rod:",A1668)),"old rod:",A1668)</f>
        <v>50, 50, PIDGEOTTO</v>
      </c>
      <c r="I1668" s="5" t="s">
        <v>3266</v>
      </c>
    </row>
    <row r="1669" customFormat="false" ht="12.75" hidden="false" customHeight="true" outlineLevel="0" collapsed="false">
      <c r="A1669" s="5" t="s">
        <v>3267</v>
      </c>
      <c r="B1669" s="7" t="n">
        <v>47</v>
      </c>
      <c r="C1669" s="7" t="n">
        <v>47</v>
      </c>
      <c r="D1669" s="7" t="s">
        <v>3903</v>
      </c>
      <c r="E1669" s="7"/>
      <c r="G1669" s="5" t="str">
        <f aca="false">IF(ISNUMBER(FIND("old rod:",A1669)),"old rod:",A1669)</f>
        <v>47, 47, PERSIAN</v>
      </c>
      <c r="I1669" s="5" t="s">
        <v>3267</v>
      </c>
    </row>
    <row r="1670" customFormat="false" ht="12.75" hidden="false" customHeight="true" outlineLevel="0" collapsed="false">
      <c r="A1670" s="5" t="n">
        <v>0.01</v>
      </c>
      <c r="B1670" s="5" t="n">
        <v>0.01</v>
      </c>
      <c r="C1670" s="7"/>
      <c r="D1670" s="7"/>
      <c r="E1670" s="7"/>
      <c r="G1670" s="5" t="n">
        <f aca="false">IF(ISNUMBER(FIND("old rod:",A1670)),"old rod:",A1670)</f>
        <v>0.01</v>
      </c>
      <c r="I1670" s="5" t="n">
        <v>0.01</v>
      </c>
    </row>
    <row r="1671" customFormat="false" ht="12.75" hidden="false" customHeight="true" outlineLevel="0" collapsed="false">
      <c r="A1671" s="5" t="s">
        <v>3266</v>
      </c>
      <c r="B1671" s="7" t="n">
        <v>50</v>
      </c>
      <c r="C1671" s="7" t="n">
        <v>50</v>
      </c>
      <c r="D1671" s="7" t="s">
        <v>3887</v>
      </c>
      <c r="E1671" s="7"/>
      <c r="G1671" s="5" t="str">
        <f aca="false">IF(ISNUMBER(FIND("old rod:",A1671)),"old rod:",A1671)</f>
        <v>50, 50, PIDGEOTTO</v>
      </c>
      <c r="I1671" s="5" t="s">
        <v>3266</v>
      </c>
    </row>
    <row r="1672" customFormat="false" ht="12.75" hidden="false" customHeight="true" outlineLevel="0" collapsed="false">
      <c r="A1672" s="5" t="s">
        <v>3268</v>
      </c>
      <c r="B1672" s="7" t="n">
        <v>50</v>
      </c>
      <c r="C1672" s="7" t="n">
        <v>50</v>
      </c>
      <c r="D1672" s="7" t="s">
        <v>3903</v>
      </c>
      <c r="E1672" s="7"/>
      <c r="G1672" s="5" t="str">
        <f aca="false">IF(ISNUMBER(FIND("old rod:",A1672)),"old rod:",A1672)</f>
        <v>50, 50, PERSIAN</v>
      </c>
      <c r="I1672" s="5" t="s">
        <v>3268</v>
      </c>
    </row>
    <row r="1673" customFormat="false" ht="12.75" hidden="false" customHeight="true" outlineLevel="0" collapsed="false">
      <c r="A1673" s="5" t="s">
        <v>3256</v>
      </c>
      <c r="B1673" s="7" t="n">
        <v>2</v>
      </c>
      <c r="C1673" s="7" t="n">
        <v>5</v>
      </c>
      <c r="D1673" s="7" t="n">
        <v>35</v>
      </c>
      <c r="E1673" s="7" t="s">
        <v>3747</v>
      </c>
      <c r="G1673" s="5" t="str">
        <f aca="false">IF(ISNUMBER(FIND("old rod:",A1673)),"old rod:",A1673)</f>
        <v>2, 5, 35, TENTACOOL</v>
      </c>
      <c r="I1673" s="5" t="s">
        <v>3256</v>
      </c>
    </row>
    <row r="1674" customFormat="false" ht="12.75" hidden="false" customHeight="true" outlineLevel="0" collapsed="false">
      <c r="A1674" s="5" t="s">
        <v>3257</v>
      </c>
      <c r="B1674" s="7" t="n">
        <v>5</v>
      </c>
      <c r="C1674" s="7" t="n">
        <v>15</v>
      </c>
      <c r="D1674" s="7" t="s">
        <v>3905</v>
      </c>
      <c r="E1674" s="7"/>
      <c r="G1674" s="5" t="str">
        <f aca="false">IF(ISNUMBER(FIND("old rod:",A1674)),"old rod:",A1674)</f>
        <v>5, 15, HOPPIP</v>
      </c>
      <c r="I1674" s="5" t="s">
        <v>3257</v>
      </c>
    </row>
    <row r="1675" customFormat="false" ht="12.75" hidden="false" customHeight="true" outlineLevel="0" collapsed="false">
      <c r="A1675" s="5" t="s">
        <v>2844</v>
      </c>
      <c r="B1675" s="7" t="n">
        <v>35</v>
      </c>
      <c r="C1675" s="7" t="n">
        <v>40</v>
      </c>
      <c r="D1675" s="7" t="s">
        <v>3747</v>
      </c>
      <c r="E1675" s="7"/>
      <c r="G1675" s="5" t="str">
        <f aca="false">IF(ISNUMBER(FIND("old rod:",A1675)),"old rod:",A1675)</f>
        <v>35, 40, TENTACOOL</v>
      </c>
      <c r="I1675" s="5" t="s">
        <v>2844</v>
      </c>
    </row>
    <row r="1676" customFormat="false" ht="12.75" hidden="false" customHeight="true" outlineLevel="0" collapsed="false">
      <c r="A1676" s="5" t="s">
        <v>3231</v>
      </c>
      <c r="B1676" s="7" t="n">
        <v>35</v>
      </c>
      <c r="C1676" s="7" t="n">
        <v>40</v>
      </c>
      <c r="D1676" s="7" t="s">
        <v>3897</v>
      </c>
      <c r="E1676" s="7"/>
      <c r="G1676" s="5" t="str">
        <f aca="false">IF(ISNUMBER(FIND("old rod:",A1676)),"old rod:",A1676)</f>
        <v>35, 40, TENTACRUEL</v>
      </c>
      <c r="I1676" s="5" t="s">
        <v>3231</v>
      </c>
    </row>
    <row r="1677" customFormat="false" ht="12.75" hidden="false" customHeight="true" outlineLevel="0" collapsed="false">
      <c r="A1677" s="5" t="s">
        <v>3231</v>
      </c>
      <c r="B1677" s="7" t="n">
        <v>35</v>
      </c>
      <c r="C1677" s="7" t="n">
        <v>40</v>
      </c>
      <c r="D1677" s="7" t="s">
        <v>3897</v>
      </c>
      <c r="E1677" s="7"/>
      <c r="G1677" s="5" t="str">
        <f aca="false">IF(ISNUMBER(FIND("old rod:",A1677)),"old rod:",A1677)</f>
        <v>35, 40, TENTACRUEL</v>
      </c>
      <c r="I1677" s="5" t="s">
        <v>3231</v>
      </c>
    </row>
    <row r="1678" customFormat="false" ht="12.75" hidden="false" customHeight="true" outlineLevel="0" collapsed="false">
      <c r="A1678" s="5" t="s">
        <v>2925</v>
      </c>
      <c r="B1678" s="7" t="n">
        <v>20</v>
      </c>
      <c r="C1678" s="7" t="s">
        <v>3748</v>
      </c>
      <c r="D1678" s="7"/>
      <c r="E1678" s="7"/>
      <c r="G1678" s="5" t="str">
        <f aca="false">IF(ISNUMBER(FIND("old rod:",A1678)),"old rod:",A1678)</f>
        <v>old rod:</v>
      </c>
      <c r="I1678" s="5" t="s">
        <v>3749</v>
      </c>
    </row>
    <row r="1679" customFormat="false" ht="12.75" hidden="false" customHeight="true" outlineLevel="0" collapsed="false">
      <c r="A1679" s="5" t="s">
        <v>1266</v>
      </c>
      <c r="B1679" s="7" t="n">
        <v>5</v>
      </c>
      <c r="C1679" s="7" t="n">
        <v>5</v>
      </c>
      <c r="D1679" s="7" t="s">
        <v>3750</v>
      </c>
      <c r="E1679" s="7"/>
      <c r="G1679" s="5" t="str">
        <f aca="false">IF(ISNUMBER(FIND("old rod:",A1679)),"old rod:",A1679)</f>
        <v>5, 5, MAGIKARP</v>
      </c>
      <c r="I1679" s="5" t="s">
        <v>1266</v>
      </c>
    </row>
    <row r="1680" customFormat="false" ht="12.75" hidden="false" customHeight="true" outlineLevel="0" collapsed="false">
      <c r="A1680" s="5" t="s">
        <v>1266</v>
      </c>
      <c r="B1680" s="7" t="n">
        <v>5</v>
      </c>
      <c r="C1680" s="7" t="n">
        <v>5</v>
      </c>
      <c r="D1680" s="7" t="s">
        <v>3750</v>
      </c>
      <c r="E1680" s="7"/>
      <c r="G1680" s="5" t="str">
        <f aca="false">IF(ISNUMBER(FIND("old rod:",A1680)),"old rod:",A1680)</f>
        <v>5, 5, MAGIKARP</v>
      </c>
      <c r="I1680" s="5" t="s">
        <v>1266</v>
      </c>
    </row>
    <row r="1681" customFormat="false" ht="12.75" hidden="false" customHeight="true" outlineLevel="0" collapsed="false">
      <c r="A1681" s="5" t="s">
        <v>2846</v>
      </c>
      <c r="B1681" s="7" t="s">
        <v>2846</v>
      </c>
      <c r="C1681" s="7"/>
      <c r="D1681" s="7"/>
      <c r="E1681" s="7"/>
      <c r="G1681" s="5" t="str">
        <f aca="false">IF(ISNUMBER(FIND("old rod:",A1681)),"old rod:",A1681)</f>
        <v>good rod:</v>
      </c>
      <c r="I1681" s="5" t="s">
        <v>2846</v>
      </c>
    </row>
    <row r="1682" customFormat="false" ht="12.75" hidden="false" customHeight="true" outlineLevel="0" collapsed="false">
      <c r="A1682" s="5" t="s">
        <v>2847</v>
      </c>
      <c r="B1682" s="7" t="n">
        <v>5</v>
      </c>
      <c r="C1682" s="7" t="n">
        <v>15</v>
      </c>
      <c r="D1682" s="7" t="s">
        <v>3751</v>
      </c>
      <c r="E1682" s="7"/>
      <c r="G1682" s="5" t="str">
        <f aca="false">IF(ISNUMBER(FIND("old rod:",A1682)),"old rod:",A1682)</f>
        <v>5, 15, KRABBY</v>
      </c>
      <c r="I1682" s="5" t="s">
        <v>2847</v>
      </c>
    </row>
    <row r="1683" customFormat="false" ht="12.75" hidden="false" customHeight="true" outlineLevel="0" collapsed="false">
      <c r="A1683" s="5" t="s">
        <v>2848</v>
      </c>
      <c r="B1683" s="7" t="n">
        <v>5</v>
      </c>
      <c r="C1683" s="7" t="n">
        <v>15</v>
      </c>
      <c r="D1683" s="7" t="s">
        <v>3750</v>
      </c>
      <c r="E1683" s="7"/>
      <c r="G1683" s="5" t="str">
        <f aca="false">IF(ISNUMBER(FIND("old rod:",A1683)),"old rod:",A1683)</f>
        <v>5, 15, MAGIKARP</v>
      </c>
      <c r="I1683" s="5" t="s">
        <v>2848</v>
      </c>
    </row>
    <row r="1684" customFormat="false" ht="12.75" hidden="false" customHeight="true" outlineLevel="0" collapsed="false">
      <c r="A1684" s="5" t="s">
        <v>2847</v>
      </c>
      <c r="B1684" s="7" t="n">
        <v>5</v>
      </c>
      <c r="C1684" s="7" t="n">
        <v>15</v>
      </c>
      <c r="D1684" s="7" t="s">
        <v>3751</v>
      </c>
      <c r="E1684" s="7"/>
      <c r="G1684" s="5" t="str">
        <f aca="false">IF(ISNUMBER(FIND("old rod:",A1684)),"old rod:",A1684)</f>
        <v>5, 15, KRABBY</v>
      </c>
      <c r="I1684" s="5" t="s">
        <v>2847</v>
      </c>
    </row>
    <row r="1685" customFormat="false" ht="12.75" hidden="false" customHeight="true" outlineLevel="0" collapsed="false">
      <c r="A1685" s="5" t="s">
        <v>2850</v>
      </c>
      <c r="B1685" s="7" t="s">
        <v>2850</v>
      </c>
      <c r="C1685" s="7"/>
      <c r="D1685" s="7"/>
      <c r="E1685" s="7"/>
      <c r="G1685" s="5" t="str">
        <f aca="false">IF(ISNUMBER(FIND("old rod:",A1685)),"old rod:",A1685)</f>
        <v>super rod:</v>
      </c>
      <c r="I1685" s="5" t="s">
        <v>2850</v>
      </c>
    </row>
    <row r="1686" customFormat="false" ht="12.75" hidden="false" customHeight="true" outlineLevel="0" collapsed="false">
      <c r="A1686" s="5" t="s">
        <v>2851</v>
      </c>
      <c r="B1686" s="7" t="n">
        <v>15</v>
      </c>
      <c r="C1686" s="7" t="n">
        <v>25</v>
      </c>
      <c r="D1686" s="7" t="s">
        <v>3751</v>
      </c>
      <c r="E1686" s="7"/>
      <c r="G1686" s="5" t="str">
        <f aca="false">IF(ISNUMBER(FIND("old rod:",A1686)),"old rod:",A1686)</f>
        <v>15, 25, KRABBY</v>
      </c>
      <c r="I1686" s="5" t="s">
        <v>2851</v>
      </c>
    </row>
    <row r="1687" customFormat="false" ht="12.75" hidden="false" customHeight="true" outlineLevel="0" collapsed="false">
      <c r="A1687" s="5" t="s">
        <v>3258</v>
      </c>
      <c r="B1687" s="7" t="n">
        <v>15</v>
      </c>
      <c r="C1687" s="7" t="n">
        <v>25</v>
      </c>
      <c r="D1687" s="7" t="s">
        <v>3906</v>
      </c>
      <c r="E1687" s="7"/>
      <c r="G1687" s="5" t="str">
        <f aca="false">IF(ISNUMBER(FIND("old rod:",A1687)),"old rod:",A1687)</f>
        <v>15, 25, REMORAID</v>
      </c>
      <c r="I1687" s="5" t="s">
        <v>3258</v>
      </c>
    </row>
    <row r="1688" customFormat="false" ht="12.75" hidden="false" customHeight="true" outlineLevel="0" collapsed="false">
      <c r="A1688" s="5" t="s">
        <v>2853</v>
      </c>
      <c r="B1688" s="7" t="n">
        <v>15</v>
      </c>
      <c r="C1688" s="7" t="n">
        <v>25</v>
      </c>
      <c r="D1688" s="7" t="s">
        <v>3754</v>
      </c>
      <c r="E1688" s="7"/>
      <c r="G1688" s="5" t="str">
        <f aca="false">IF(ISNUMBER(FIND("old rod:",A1688)),"old rod:",A1688)</f>
        <v>15, 25, GYARADOS</v>
      </c>
      <c r="I1688" s="5" t="s">
        <v>2853</v>
      </c>
    </row>
    <row r="1689" customFormat="false" ht="12.75" hidden="false" customHeight="true" outlineLevel="0" collapsed="false">
      <c r="A1689" s="5" t="s">
        <v>3177</v>
      </c>
      <c r="B1689" s="7" t="n">
        <v>25</v>
      </c>
      <c r="C1689" s="7" t="n">
        <v>35</v>
      </c>
      <c r="D1689" s="7" t="s">
        <v>3859</v>
      </c>
      <c r="E1689" s="7"/>
      <c r="G1689" s="5" t="str">
        <f aca="false">IF(ISNUMBER(FIND("old rod:",A1689)),"old rod:",A1689)</f>
        <v>25, 35, KINGLER</v>
      </c>
      <c r="I1689" s="5" t="s">
        <v>3177</v>
      </c>
    </row>
    <row r="1690" customFormat="false" ht="12.75" hidden="false" customHeight="true" outlineLevel="0" collapsed="false">
      <c r="A1690" s="5" t="s">
        <v>2855</v>
      </c>
      <c r="B1690" s="7" t="n">
        <v>25</v>
      </c>
      <c r="C1690" s="7" t="n">
        <v>35</v>
      </c>
      <c r="D1690" s="7" t="s">
        <v>3755</v>
      </c>
      <c r="E1690" s="7"/>
      <c r="G1690" s="5" t="str">
        <f aca="false">IF(ISNUMBER(FIND("old rod:",A1690)),"old rod:",A1690)</f>
        <v>25, 35, SLOWPOKE</v>
      </c>
      <c r="I1690" s="5" t="s">
        <v>2855</v>
      </c>
    </row>
    <row r="1691" customFormat="false" ht="12.75" hidden="false" customHeight="true" outlineLevel="0" collapsed="false">
      <c r="A1691" s="5" t="s">
        <v>2536</v>
      </c>
      <c r="B1691" s="7" t="s">
        <v>2536</v>
      </c>
      <c r="C1691" s="7"/>
      <c r="D1691" s="7"/>
      <c r="E1691" s="7"/>
      <c r="G1691" s="5" t="str">
        <f aca="false">IF(ISNUMBER(FIND("old rod:",A1691)),"old rod:",A1691)</f>
        <v>NEW ROUTE</v>
      </c>
      <c r="I1691" s="5" t="s">
        <v>2536</v>
      </c>
    </row>
    <row r="1692" customFormat="false" ht="12.75" hidden="false" customHeight="true" outlineLevel="0" collapsed="false">
      <c r="A1692" s="5" t="s">
        <v>493</v>
      </c>
      <c r="B1692" s="7" t="s">
        <v>493</v>
      </c>
      <c r="C1692" s="7"/>
      <c r="D1692" s="7"/>
      <c r="E1692" s="7"/>
      <c r="G1692" s="5" t="str">
        <f aca="false">IF(ISNUMBER(FIND("old rod:",A1692)),"old rod:",A1692)</f>
        <v>Five Island Memorial Pillar</v>
      </c>
      <c r="I1692" s="5" t="s">
        <v>493</v>
      </c>
    </row>
    <row r="1693" customFormat="false" ht="12.75" hidden="false" customHeight="true" outlineLevel="0" collapsed="false">
      <c r="A1693" s="5" t="n">
        <v>0.2</v>
      </c>
      <c r="B1693" s="5" t="n">
        <v>0.2</v>
      </c>
      <c r="C1693" s="7"/>
      <c r="D1693" s="7"/>
      <c r="E1693" s="7"/>
      <c r="G1693" s="5" t="n">
        <f aca="false">IF(ISNUMBER(FIND("old rod:",A1693)),"old rod:",A1693)</f>
        <v>0.2</v>
      </c>
      <c r="I1693" s="5" t="n">
        <v>0.2</v>
      </c>
    </row>
    <row r="1694" customFormat="false" ht="12.75" hidden="false" customHeight="true" outlineLevel="0" collapsed="false">
      <c r="A1694" s="5" t="s">
        <v>1726</v>
      </c>
      <c r="B1694" s="7" t="n">
        <v>10</v>
      </c>
      <c r="C1694" s="7" t="n">
        <v>10</v>
      </c>
      <c r="D1694" s="7" t="s">
        <v>3905</v>
      </c>
      <c r="E1694" s="7"/>
      <c r="G1694" s="5" t="str">
        <f aca="false">IF(ISNUMBER(FIND("old rod:",A1694)),"old rod:",A1694)</f>
        <v>10, 10, HOPPIP</v>
      </c>
      <c r="I1694" s="5" t="s">
        <v>1726</v>
      </c>
    </row>
    <row r="1695" customFormat="false" ht="12.75" hidden="false" customHeight="true" outlineLevel="0" collapsed="false">
      <c r="A1695" s="5" t="s">
        <v>3270</v>
      </c>
      <c r="B1695" s="7" t="n">
        <v>12</v>
      </c>
      <c r="C1695" s="7" t="n">
        <v>12</v>
      </c>
      <c r="D1695" s="7" t="s">
        <v>3905</v>
      </c>
      <c r="E1695" s="7"/>
      <c r="G1695" s="5" t="str">
        <f aca="false">IF(ISNUMBER(FIND("old rod:",A1695)),"old rod:",A1695)</f>
        <v>12, 12, HOPPIP</v>
      </c>
      <c r="I1695" s="5" t="s">
        <v>3270</v>
      </c>
    </row>
    <row r="1696" customFormat="false" ht="12.75" hidden="false" customHeight="true" outlineLevel="0" collapsed="false">
      <c r="A1696" s="5" t="n">
        <v>0.1</v>
      </c>
      <c r="B1696" s="5" t="n">
        <v>0.1</v>
      </c>
      <c r="C1696" s="7"/>
      <c r="D1696" s="7"/>
      <c r="E1696" s="7"/>
      <c r="G1696" s="5" t="n">
        <f aca="false">IF(ISNUMBER(FIND("old rod:",A1696)),"old rod:",A1696)</f>
        <v>0.1</v>
      </c>
      <c r="I1696" s="5" t="n">
        <v>0.1</v>
      </c>
    </row>
    <row r="1697" customFormat="false" ht="12.75" hidden="false" customHeight="true" outlineLevel="0" collapsed="false">
      <c r="A1697" s="5" t="s">
        <v>3271</v>
      </c>
      <c r="B1697" s="7" t="n">
        <v>8</v>
      </c>
      <c r="C1697" s="7" t="n">
        <v>8</v>
      </c>
      <c r="D1697" s="7" t="s">
        <v>3905</v>
      </c>
      <c r="E1697" s="7"/>
      <c r="G1697" s="5" t="str">
        <f aca="false">IF(ISNUMBER(FIND("old rod:",A1697)),"old rod:",A1697)</f>
        <v>8, 8, HOPPIP</v>
      </c>
      <c r="I1697" s="5" t="s">
        <v>3271</v>
      </c>
    </row>
    <row r="1698" customFormat="false" ht="12.75" hidden="false" customHeight="true" outlineLevel="0" collapsed="false">
      <c r="A1698" s="5" t="s">
        <v>3272</v>
      </c>
      <c r="B1698" s="7" t="n">
        <v>14</v>
      </c>
      <c r="C1698" s="7" t="n">
        <v>14</v>
      </c>
      <c r="D1698" s="7" t="s">
        <v>3905</v>
      </c>
      <c r="E1698" s="7"/>
      <c r="G1698" s="5" t="str">
        <f aca="false">IF(ISNUMBER(FIND("old rod:",A1698)),"old rod:",A1698)</f>
        <v>14, 14, HOPPIP</v>
      </c>
      <c r="I1698" s="5" t="s">
        <v>3272</v>
      </c>
    </row>
    <row r="1699" customFormat="false" ht="12.75" hidden="false" customHeight="true" outlineLevel="0" collapsed="false">
      <c r="A1699" s="5" t="s">
        <v>1726</v>
      </c>
      <c r="B1699" s="7" t="n">
        <v>10</v>
      </c>
      <c r="C1699" s="7" t="n">
        <v>10</v>
      </c>
      <c r="D1699" s="7" t="s">
        <v>3905</v>
      </c>
      <c r="E1699" s="7"/>
      <c r="G1699" s="5" t="str">
        <f aca="false">IF(ISNUMBER(FIND("old rod:",A1699)),"old rod:",A1699)</f>
        <v>10, 10, HOPPIP</v>
      </c>
      <c r="I1699" s="5" t="s">
        <v>1726</v>
      </c>
    </row>
    <row r="1700" customFormat="false" ht="12.75" hidden="false" customHeight="true" outlineLevel="0" collapsed="false">
      <c r="A1700" s="5" t="s">
        <v>3270</v>
      </c>
      <c r="B1700" s="7" t="n">
        <v>12</v>
      </c>
      <c r="C1700" s="7" t="n">
        <v>12</v>
      </c>
      <c r="D1700" s="7" t="s">
        <v>3905</v>
      </c>
      <c r="E1700" s="7"/>
      <c r="G1700" s="5" t="str">
        <f aca="false">IF(ISNUMBER(FIND("old rod:",A1700)),"old rod:",A1700)</f>
        <v>12, 12, HOPPIP</v>
      </c>
      <c r="I1700" s="5" t="s">
        <v>3270</v>
      </c>
    </row>
    <row r="1701" customFormat="false" ht="12.75" hidden="false" customHeight="true" outlineLevel="0" collapsed="false">
      <c r="A1701" s="5" t="n">
        <v>0.05</v>
      </c>
      <c r="B1701" s="5" t="n">
        <v>0.05</v>
      </c>
      <c r="C1701" s="7"/>
      <c r="D1701" s="7"/>
      <c r="E1701" s="7"/>
      <c r="G1701" s="5" t="n">
        <f aca="false">IF(ISNUMBER(FIND("old rod:",A1701)),"old rod:",A1701)</f>
        <v>0.05</v>
      </c>
      <c r="I1701" s="5" t="n">
        <v>0.05</v>
      </c>
    </row>
    <row r="1702" customFormat="false" ht="12.75" hidden="false" customHeight="true" outlineLevel="0" collapsed="false">
      <c r="A1702" s="5" t="s">
        <v>3273</v>
      </c>
      <c r="B1702" s="7" t="n">
        <v>16</v>
      </c>
      <c r="C1702" s="7" t="n">
        <v>16</v>
      </c>
      <c r="D1702" s="7" t="s">
        <v>3905</v>
      </c>
      <c r="E1702" s="7"/>
      <c r="G1702" s="5" t="str">
        <f aca="false">IF(ISNUMBER(FIND("old rod:",A1702)),"old rod:",A1702)</f>
        <v>16, 16, HOPPIP</v>
      </c>
      <c r="I1702" s="5" t="s">
        <v>3273</v>
      </c>
    </row>
    <row r="1703" customFormat="false" ht="12.75" hidden="false" customHeight="true" outlineLevel="0" collapsed="false">
      <c r="A1703" s="5" t="s">
        <v>3274</v>
      </c>
      <c r="B1703" s="7" t="n">
        <v>6</v>
      </c>
      <c r="C1703" s="7" t="n">
        <v>6</v>
      </c>
      <c r="D1703" s="7" t="s">
        <v>3905</v>
      </c>
      <c r="E1703" s="7"/>
      <c r="G1703" s="5" t="str">
        <f aca="false">IF(ISNUMBER(FIND("old rod:",A1703)),"old rod:",A1703)</f>
        <v>6, 6, HOPPIP</v>
      </c>
      <c r="I1703" s="5" t="s">
        <v>3274</v>
      </c>
    </row>
    <row r="1704" customFormat="false" ht="12.75" hidden="false" customHeight="true" outlineLevel="0" collapsed="false">
      <c r="A1704" s="5" t="n">
        <v>0.04</v>
      </c>
      <c r="B1704" s="5" t="n">
        <v>0.04</v>
      </c>
      <c r="C1704" s="7"/>
      <c r="D1704" s="7"/>
      <c r="E1704" s="7"/>
      <c r="G1704" s="5" t="n">
        <f aca="false">IF(ISNUMBER(FIND("old rod:",A1704)),"old rod:",A1704)</f>
        <v>0.04</v>
      </c>
      <c r="I1704" s="5" t="n">
        <v>0.04</v>
      </c>
    </row>
    <row r="1705" customFormat="false" ht="12.75" hidden="false" customHeight="true" outlineLevel="0" collapsed="false">
      <c r="A1705" s="5" t="s">
        <v>3271</v>
      </c>
      <c r="B1705" s="7" t="n">
        <v>8</v>
      </c>
      <c r="C1705" s="7" t="n">
        <v>8</v>
      </c>
      <c r="D1705" s="7" t="s">
        <v>3905</v>
      </c>
      <c r="E1705" s="7"/>
      <c r="G1705" s="5" t="str">
        <f aca="false">IF(ISNUMBER(FIND("old rod:",A1705)),"old rod:",A1705)</f>
        <v>8, 8, HOPPIP</v>
      </c>
      <c r="I1705" s="5" t="s">
        <v>3271</v>
      </c>
    </row>
    <row r="1706" customFormat="false" ht="12.75" hidden="false" customHeight="true" outlineLevel="0" collapsed="false">
      <c r="A1706" s="5" t="s">
        <v>3272</v>
      </c>
      <c r="B1706" s="7" t="n">
        <v>14</v>
      </c>
      <c r="C1706" s="7" t="n">
        <v>14</v>
      </c>
      <c r="D1706" s="7" t="s">
        <v>3905</v>
      </c>
      <c r="E1706" s="7"/>
      <c r="G1706" s="5" t="str">
        <f aca="false">IF(ISNUMBER(FIND("old rod:",A1706)),"old rod:",A1706)</f>
        <v>14, 14, HOPPIP</v>
      </c>
      <c r="I1706" s="5" t="s">
        <v>3272</v>
      </c>
    </row>
    <row r="1707" customFormat="false" ht="12.75" hidden="false" customHeight="true" outlineLevel="0" collapsed="false">
      <c r="A1707" s="5" t="n">
        <v>0.01</v>
      </c>
      <c r="B1707" s="5" t="n">
        <v>0.01</v>
      </c>
      <c r="C1707" s="7"/>
      <c r="D1707" s="7"/>
      <c r="E1707" s="7"/>
      <c r="G1707" s="5" t="n">
        <f aca="false">IF(ISNUMBER(FIND("old rod:",A1707)),"old rod:",A1707)</f>
        <v>0.01</v>
      </c>
      <c r="I1707" s="5" t="n">
        <v>0.01</v>
      </c>
    </row>
    <row r="1708" customFormat="false" ht="12.75" hidden="false" customHeight="true" outlineLevel="0" collapsed="false">
      <c r="A1708" s="5" t="s">
        <v>3271</v>
      </c>
      <c r="B1708" s="7" t="n">
        <v>8</v>
      </c>
      <c r="C1708" s="7" t="n">
        <v>8</v>
      </c>
      <c r="D1708" s="7" t="s">
        <v>3905</v>
      </c>
      <c r="E1708" s="7"/>
      <c r="G1708" s="5" t="str">
        <f aca="false">IF(ISNUMBER(FIND("old rod:",A1708)),"old rod:",A1708)</f>
        <v>8, 8, HOPPIP</v>
      </c>
      <c r="I1708" s="5" t="s">
        <v>3271</v>
      </c>
    </row>
    <row r="1709" customFormat="false" ht="12.75" hidden="false" customHeight="true" outlineLevel="0" collapsed="false">
      <c r="A1709" s="5" t="s">
        <v>3272</v>
      </c>
      <c r="B1709" s="7" t="n">
        <v>14</v>
      </c>
      <c r="C1709" s="7" t="n">
        <v>14</v>
      </c>
      <c r="D1709" s="7" t="s">
        <v>3905</v>
      </c>
      <c r="E1709" s="7"/>
      <c r="G1709" s="5" t="str">
        <f aca="false">IF(ISNUMBER(FIND("old rod:",A1709)),"old rod:",A1709)</f>
        <v>14, 14, HOPPIP</v>
      </c>
      <c r="I1709" s="5" t="s">
        <v>3272</v>
      </c>
    </row>
    <row r="1710" customFormat="false" ht="12.75" hidden="false" customHeight="true" outlineLevel="0" collapsed="false">
      <c r="A1710" s="5" t="s">
        <v>3256</v>
      </c>
      <c r="B1710" s="7" t="n">
        <v>2</v>
      </c>
      <c r="C1710" s="7" t="n">
        <v>5</v>
      </c>
      <c r="D1710" s="7" t="n">
        <v>35</v>
      </c>
      <c r="E1710" s="7" t="s">
        <v>3747</v>
      </c>
      <c r="G1710" s="5" t="str">
        <f aca="false">IF(ISNUMBER(FIND("old rod:",A1710)),"old rod:",A1710)</f>
        <v>2, 5, 35, TENTACOOL</v>
      </c>
      <c r="I1710" s="5" t="s">
        <v>3256</v>
      </c>
    </row>
    <row r="1711" customFormat="false" ht="12.75" hidden="false" customHeight="true" outlineLevel="0" collapsed="false">
      <c r="A1711" s="5" t="s">
        <v>3257</v>
      </c>
      <c r="B1711" s="7" t="n">
        <v>5</v>
      </c>
      <c r="C1711" s="7" t="n">
        <v>15</v>
      </c>
      <c r="D1711" s="7" t="s">
        <v>3905</v>
      </c>
      <c r="E1711" s="7"/>
      <c r="G1711" s="5" t="str">
        <f aca="false">IF(ISNUMBER(FIND("old rod:",A1711)),"old rod:",A1711)</f>
        <v>5, 15, HOPPIP</v>
      </c>
      <c r="I1711" s="5" t="s">
        <v>3257</v>
      </c>
    </row>
    <row r="1712" customFormat="false" ht="12.75" hidden="false" customHeight="true" outlineLevel="0" collapsed="false">
      <c r="A1712" s="5" t="s">
        <v>2844</v>
      </c>
      <c r="B1712" s="7" t="n">
        <v>35</v>
      </c>
      <c r="C1712" s="7" t="n">
        <v>40</v>
      </c>
      <c r="D1712" s="7" t="s">
        <v>3747</v>
      </c>
      <c r="E1712" s="7"/>
      <c r="G1712" s="5" t="str">
        <f aca="false">IF(ISNUMBER(FIND("old rod:",A1712)),"old rod:",A1712)</f>
        <v>35, 40, TENTACOOL</v>
      </c>
      <c r="I1712" s="5" t="s">
        <v>2844</v>
      </c>
    </row>
    <row r="1713" customFormat="false" ht="12.75" hidden="false" customHeight="true" outlineLevel="0" collapsed="false">
      <c r="A1713" s="5" t="s">
        <v>3231</v>
      </c>
      <c r="B1713" s="7" t="n">
        <v>35</v>
      </c>
      <c r="C1713" s="7" t="n">
        <v>40</v>
      </c>
      <c r="D1713" s="7" t="s">
        <v>3897</v>
      </c>
      <c r="E1713" s="7"/>
      <c r="G1713" s="5" t="str">
        <f aca="false">IF(ISNUMBER(FIND("old rod:",A1713)),"old rod:",A1713)</f>
        <v>35, 40, TENTACRUEL</v>
      </c>
      <c r="I1713" s="5" t="s">
        <v>3231</v>
      </c>
    </row>
    <row r="1714" customFormat="false" ht="12.75" hidden="false" customHeight="true" outlineLevel="0" collapsed="false">
      <c r="A1714" s="5" t="s">
        <v>3231</v>
      </c>
      <c r="B1714" s="7" t="n">
        <v>35</v>
      </c>
      <c r="C1714" s="7" t="n">
        <v>40</v>
      </c>
      <c r="D1714" s="7" t="s">
        <v>3897</v>
      </c>
      <c r="E1714" s="7"/>
      <c r="G1714" s="5" t="str">
        <f aca="false">IF(ISNUMBER(FIND("old rod:",A1714)),"old rod:",A1714)</f>
        <v>35, 40, TENTACRUEL</v>
      </c>
      <c r="I1714" s="5" t="s">
        <v>3231</v>
      </c>
    </row>
    <row r="1715" customFormat="false" ht="12.75" hidden="false" customHeight="true" outlineLevel="0" collapsed="false">
      <c r="A1715" s="5" t="s">
        <v>2925</v>
      </c>
      <c r="B1715" s="7" t="n">
        <v>20</v>
      </c>
      <c r="C1715" s="7" t="s">
        <v>3748</v>
      </c>
      <c r="D1715" s="7"/>
      <c r="E1715" s="7"/>
      <c r="G1715" s="5" t="str">
        <f aca="false">IF(ISNUMBER(FIND("old rod:",A1715)),"old rod:",A1715)</f>
        <v>old rod:</v>
      </c>
      <c r="I1715" s="5" t="s">
        <v>3749</v>
      </c>
    </row>
    <row r="1716" customFormat="false" ht="12.75" hidden="false" customHeight="true" outlineLevel="0" collapsed="false">
      <c r="A1716" s="5" t="s">
        <v>1266</v>
      </c>
      <c r="B1716" s="7" t="n">
        <v>5</v>
      </c>
      <c r="C1716" s="7" t="n">
        <v>5</v>
      </c>
      <c r="D1716" s="7" t="s">
        <v>3750</v>
      </c>
      <c r="E1716" s="7"/>
      <c r="G1716" s="5" t="str">
        <f aca="false">IF(ISNUMBER(FIND("old rod:",A1716)),"old rod:",A1716)</f>
        <v>5, 5, MAGIKARP</v>
      </c>
      <c r="I1716" s="5" t="s">
        <v>1266</v>
      </c>
    </row>
    <row r="1717" customFormat="false" ht="12.75" hidden="false" customHeight="true" outlineLevel="0" collapsed="false">
      <c r="A1717" s="5" t="s">
        <v>1266</v>
      </c>
      <c r="B1717" s="7" t="n">
        <v>5</v>
      </c>
      <c r="C1717" s="7" t="n">
        <v>5</v>
      </c>
      <c r="D1717" s="7" t="s">
        <v>3750</v>
      </c>
      <c r="E1717" s="7"/>
      <c r="G1717" s="5" t="str">
        <f aca="false">IF(ISNUMBER(FIND("old rod:",A1717)),"old rod:",A1717)</f>
        <v>5, 5, MAGIKARP</v>
      </c>
      <c r="I1717" s="5" t="s">
        <v>1266</v>
      </c>
    </row>
    <row r="1718" customFormat="false" ht="12.75" hidden="false" customHeight="true" outlineLevel="0" collapsed="false">
      <c r="A1718" s="5" t="s">
        <v>2846</v>
      </c>
      <c r="B1718" s="7" t="s">
        <v>2846</v>
      </c>
      <c r="C1718" s="7"/>
      <c r="D1718" s="7"/>
      <c r="E1718" s="7"/>
      <c r="G1718" s="5" t="str">
        <f aca="false">IF(ISNUMBER(FIND("old rod:",A1718)),"old rod:",A1718)</f>
        <v>good rod:</v>
      </c>
      <c r="I1718" s="5" t="s">
        <v>2846</v>
      </c>
    </row>
    <row r="1719" customFormat="false" ht="12.75" hidden="false" customHeight="true" outlineLevel="0" collapsed="false">
      <c r="A1719" s="5" t="s">
        <v>2847</v>
      </c>
      <c r="B1719" s="7" t="n">
        <v>5</v>
      </c>
      <c r="C1719" s="7" t="n">
        <v>15</v>
      </c>
      <c r="D1719" s="7" t="s">
        <v>3751</v>
      </c>
      <c r="E1719" s="7"/>
      <c r="G1719" s="5" t="str">
        <f aca="false">IF(ISNUMBER(FIND("old rod:",A1719)),"old rod:",A1719)</f>
        <v>5, 15, KRABBY</v>
      </c>
      <c r="I1719" s="5" t="s">
        <v>2847</v>
      </c>
    </row>
    <row r="1720" customFormat="false" ht="12.75" hidden="false" customHeight="true" outlineLevel="0" collapsed="false">
      <c r="A1720" s="5" t="s">
        <v>2848</v>
      </c>
      <c r="B1720" s="7" t="n">
        <v>5</v>
      </c>
      <c r="C1720" s="7" t="n">
        <v>15</v>
      </c>
      <c r="D1720" s="7" t="s">
        <v>3750</v>
      </c>
      <c r="E1720" s="7"/>
      <c r="G1720" s="5" t="str">
        <f aca="false">IF(ISNUMBER(FIND("old rod:",A1720)),"old rod:",A1720)</f>
        <v>5, 15, MAGIKARP</v>
      </c>
      <c r="I1720" s="5" t="s">
        <v>2848</v>
      </c>
    </row>
    <row r="1721" customFormat="false" ht="12.75" hidden="false" customHeight="true" outlineLevel="0" collapsed="false">
      <c r="A1721" s="5" t="s">
        <v>2847</v>
      </c>
      <c r="B1721" s="7" t="n">
        <v>5</v>
      </c>
      <c r="C1721" s="7" t="n">
        <v>15</v>
      </c>
      <c r="D1721" s="7" t="s">
        <v>3751</v>
      </c>
      <c r="E1721" s="7"/>
      <c r="G1721" s="5" t="str">
        <f aca="false">IF(ISNUMBER(FIND("old rod:",A1721)),"old rod:",A1721)</f>
        <v>5, 15, KRABBY</v>
      </c>
      <c r="I1721" s="5" t="s">
        <v>2847</v>
      </c>
    </row>
    <row r="1722" customFormat="false" ht="12.75" hidden="false" customHeight="true" outlineLevel="0" collapsed="false">
      <c r="A1722" s="5" t="s">
        <v>2850</v>
      </c>
      <c r="B1722" s="7" t="s">
        <v>2850</v>
      </c>
      <c r="C1722" s="7"/>
      <c r="D1722" s="7"/>
      <c r="E1722" s="7"/>
      <c r="G1722" s="5" t="str">
        <f aca="false">IF(ISNUMBER(FIND("old rod:",A1722)),"old rod:",A1722)</f>
        <v>super rod:</v>
      </c>
      <c r="I1722" s="5" t="s">
        <v>2850</v>
      </c>
    </row>
    <row r="1723" customFormat="false" ht="12.75" hidden="false" customHeight="true" outlineLevel="0" collapsed="false">
      <c r="A1723" s="5" t="s">
        <v>2851</v>
      </c>
      <c r="B1723" s="7" t="n">
        <v>15</v>
      </c>
      <c r="C1723" s="7" t="n">
        <v>25</v>
      </c>
      <c r="D1723" s="7" t="s">
        <v>3751</v>
      </c>
      <c r="E1723" s="7"/>
      <c r="G1723" s="5" t="str">
        <f aca="false">IF(ISNUMBER(FIND("old rod:",A1723)),"old rod:",A1723)</f>
        <v>15, 25, KRABBY</v>
      </c>
      <c r="I1723" s="5" t="s">
        <v>2851</v>
      </c>
    </row>
    <row r="1724" customFormat="false" ht="12.75" hidden="false" customHeight="true" outlineLevel="0" collapsed="false">
      <c r="A1724" s="5" t="s">
        <v>3258</v>
      </c>
      <c r="B1724" s="7" t="n">
        <v>15</v>
      </c>
      <c r="C1724" s="7" t="n">
        <v>25</v>
      </c>
      <c r="D1724" s="7" t="s">
        <v>3906</v>
      </c>
      <c r="E1724" s="7"/>
      <c r="G1724" s="5" t="str">
        <f aca="false">IF(ISNUMBER(FIND("old rod:",A1724)),"old rod:",A1724)</f>
        <v>15, 25, REMORAID</v>
      </c>
      <c r="I1724" s="5" t="s">
        <v>3258</v>
      </c>
    </row>
    <row r="1725" customFormat="false" ht="12.75" hidden="false" customHeight="true" outlineLevel="0" collapsed="false">
      <c r="A1725" s="5" t="s">
        <v>2853</v>
      </c>
      <c r="B1725" s="7" t="n">
        <v>15</v>
      </c>
      <c r="C1725" s="7" t="n">
        <v>25</v>
      </c>
      <c r="D1725" s="7" t="s">
        <v>3754</v>
      </c>
      <c r="E1725" s="7"/>
      <c r="G1725" s="5" t="str">
        <f aca="false">IF(ISNUMBER(FIND("old rod:",A1725)),"old rod:",A1725)</f>
        <v>15, 25, GYARADOS</v>
      </c>
      <c r="I1725" s="5" t="s">
        <v>2853</v>
      </c>
    </row>
    <row r="1726" customFormat="false" ht="12.75" hidden="false" customHeight="true" outlineLevel="0" collapsed="false">
      <c r="A1726" s="5" t="s">
        <v>3177</v>
      </c>
      <c r="B1726" s="7" t="n">
        <v>25</v>
      </c>
      <c r="C1726" s="7" t="n">
        <v>35</v>
      </c>
      <c r="D1726" s="7" t="s">
        <v>3859</v>
      </c>
      <c r="E1726" s="7"/>
      <c r="G1726" s="5" t="str">
        <f aca="false">IF(ISNUMBER(FIND("old rod:",A1726)),"old rod:",A1726)</f>
        <v>25, 35, KINGLER</v>
      </c>
      <c r="I1726" s="5" t="s">
        <v>3177</v>
      </c>
    </row>
    <row r="1727" customFormat="false" ht="12.75" hidden="false" customHeight="true" outlineLevel="0" collapsed="false">
      <c r="A1727" s="5" t="s">
        <v>2855</v>
      </c>
      <c r="B1727" s="7" t="n">
        <v>25</v>
      </c>
      <c r="C1727" s="7" t="n">
        <v>35</v>
      </c>
      <c r="D1727" s="7" t="s">
        <v>3755</v>
      </c>
      <c r="E1727" s="7"/>
      <c r="G1727" s="5" t="str">
        <f aca="false">IF(ISNUMBER(FIND("old rod:",A1727)),"old rod:",A1727)</f>
        <v>25, 35, SLOWPOKE</v>
      </c>
      <c r="I1727" s="5" t="s">
        <v>2855</v>
      </c>
    </row>
    <row r="1728" customFormat="false" ht="12.75" hidden="false" customHeight="true" outlineLevel="0" collapsed="false">
      <c r="A1728" s="5" t="s">
        <v>2536</v>
      </c>
      <c r="B1728" s="7" t="s">
        <v>2536</v>
      </c>
      <c r="C1728" s="7"/>
      <c r="D1728" s="7"/>
      <c r="E1728" s="7"/>
      <c r="G1728" s="5" t="str">
        <f aca="false">IF(ISNUMBER(FIND("old rod:",A1728)),"old rod:",A1728)</f>
        <v>NEW ROUTE</v>
      </c>
      <c r="I1728" s="5" t="s">
        <v>2536</v>
      </c>
    </row>
    <row r="1729" customFormat="false" ht="12.75" hidden="false" customHeight="true" outlineLevel="0" collapsed="false">
      <c r="A1729" s="5" t="s">
        <v>495</v>
      </c>
      <c r="B1729" s="7" t="s">
        <v>495</v>
      </c>
      <c r="C1729" s="7"/>
      <c r="D1729" s="7"/>
      <c r="E1729" s="7"/>
      <c r="G1729" s="5" t="str">
        <f aca="false">IF(ISNUMBER(FIND("old rod:",A1729)),"old rod:",A1729)</f>
        <v>Six Island Outcast Island</v>
      </c>
      <c r="I1729" s="5" t="s">
        <v>495</v>
      </c>
    </row>
    <row r="1730" customFormat="false" ht="12.75" hidden="false" customHeight="true" outlineLevel="0" collapsed="false">
      <c r="A1730" s="5" t="s">
        <v>3172</v>
      </c>
      <c r="B1730" s="7" t="n">
        <v>2</v>
      </c>
      <c r="C1730" s="7" t="n">
        <v>5</v>
      </c>
      <c r="D1730" s="7" t="n">
        <v>20</v>
      </c>
      <c r="E1730" s="7" t="s">
        <v>3747</v>
      </c>
      <c r="G1730" s="5" t="str">
        <f aca="false">IF(ISNUMBER(FIND("old rod:",A1730)),"old rod:",A1730)</f>
        <v>2, 5, 20, TENTACOOL</v>
      </c>
      <c r="I1730" s="5" t="s">
        <v>3172</v>
      </c>
    </row>
    <row r="1731" customFormat="false" ht="12.75" hidden="false" customHeight="true" outlineLevel="0" collapsed="false">
      <c r="A1731" s="5" t="s">
        <v>3173</v>
      </c>
      <c r="B1731" s="7" t="n">
        <v>20</v>
      </c>
      <c r="C1731" s="7" t="n">
        <v>35</v>
      </c>
      <c r="D1731" s="7" t="s">
        <v>3747</v>
      </c>
      <c r="E1731" s="7"/>
      <c r="G1731" s="5" t="str">
        <f aca="false">IF(ISNUMBER(FIND("old rod:",A1731)),"old rod:",A1731)</f>
        <v>20, 35, TENTACOOL</v>
      </c>
      <c r="I1731" s="5" t="s">
        <v>3173</v>
      </c>
    </row>
    <row r="1732" customFormat="false" ht="12.75" hidden="false" customHeight="true" outlineLevel="0" collapsed="false">
      <c r="A1732" s="5" t="s">
        <v>2844</v>
      </c>
      <c r="B1732" s="7" t="n">
        <v>35</v>
      </c>
      <c r="C1732" s="7" t="n">
        <v>40</v>
      </c>
      <c r="D1732" s="7" t="s">
        <v>3747</v>
      </c>
      <c r="E1732" s="7"/>
      <c r="G1732" s="5" t="str">
        <f aca="false">IF(ISNUMBER(FIND("old rod:",A1732)),"old rod:",A1732)</f>
        <v>35, 40, TENTACOOL</v>
      </c>
      <c r="I1732" s="5" t="s">
        <v>2844</v>
      </c>
    </row>
    <row r="1733" customFormat="false" ht="12.75" hidden="false" customHeight="true" outlineLevel="0" collapsed="false">
      <c r="A1733" s="5" t="s">
        <v>3231</v>
      </c>
      <c r="B1733" s="7" t="n">
        <v>35</v>
      </c>
      <c r="C1733" s="7" t="n">
        <v>40</v>
      </c>
      <c r="D1733" s="7" t="s">
        <v>3897</v>
      </c>
      <c r="E1733" s="7"/>
      <c r="G1733" s="5" t="str">
        <f aca="false">IF(ISNUMBER(FIND("old rod:",A1733)),"old rod:",A1733)</f>
        <v>35, 40, TENTACRUEL</v>
      </c>
      <c r="I1733" s="5" t="s">
        <v>3231</v>
      </c>
    </row>
    <row r="1734" customFormat="false" ht="12.75" hidden="false" customHeight="true" outlineLevel="0" collapsed="false">
      <c r="A1734" s="5" t="s">
        <v>3231</v>
      </c>
      <c r="B1734" s="7" t="n">
        <v>35</v>
      </c>
      <c r="C1734" s="7" t="n">
        <v>40</v>
      </c>
      <c r="D1734" s="7" t="s">
        <v>3897</v>
      </c>
      <c r="E1734" s="7"/>
      <c r="G1734" s="5" t="str">
        <f aca="false">IF(ISNUMBER(FIND("old rod:",A1734)),"old rod:",A1734)</f>
        <v>35, 40, TENTACRUEL</v>
      </c>
      <c r="I1734" s="5" t="s">
        <v>3231</v>
      </c>
    </row>
    <row r="1735" customFormat="false" ht="12.75" hidden="false" customHeight="true" outlineLevel="0" collapsed="false">
      <c r="A1735" s="5" t="s">
        <v>2925</v>
      </c>
      <c r="B1735" s="7" t="n">
        <v>20</v>
      </c>
      <c r="C1735" s="7" t="s">
        <v>3748</v>
      </c>
      <c r="D1735" s="7"/>
      <c r="E1735" s="7"/>
      <c r="G1735" s="5" t="str">
        <f aca="false">IF(ISNUMBER(FIND("old rod:",A1735)),"old rod:",A1735)</f>
        <v>old rod:</v>
      </c>
      <c r="I1735" s="5" t="s">
        <v>3749</v>
      </c>
    </row>
    <row r="1736" customFormat="false" ht="12.75" hidden="false" customHeight="true" outlineLevel="0" collapsed="false">
      <c r="A1736" s="5" t="s">
        <v>1266</v>
      </c>
      <c r="B1736" s="7" t="n">
        <v>5</v>
      </c>
      <c r="C1736" s="7" t="n">
        <v>5</v>
      </c>
      <c r="D1736" s="7" t="s">
        <v>3750</v>
      </c>
      <c r="E1736" s="7"/>
      <c r="G1736" s="5" t="str">
        <f aca="false">IF(ISNUMBER(FIND("old rod:",A1736)),"old rod:",A1736)</f>
        <v>5, 5, MAGIKARP</v>
      </c>
      <c r="I1736" s="5" t="s">
        <v>1266</v>
      </c>
    </row>
    <row r="1737" customFormat="false" ht="12.75" hidden="false" customHeight="true" outlineLevel="0" collapsed="false">
      <c r="A1737" s="5" t="s">
        <v>1266</v>
      </c>
      <c r="B1737" s="7" t="n">
        <v>5</v>
      </c>
      <c r="C1737" s="7" t="n">
        <v>5</v>
      </c>
      <c r="D1737" s="7" t="s">
        <v>3750</v>
      </c>
      <c r="E1737" s="7"/>
      <c r="G1737" s="5" t="str">
        <f aca="false">IF(ISNUMBER(FIND("old rod:",A1737)),"old rod:",A1737)</f>
        <v>5, 5, MAGIKARP</v>
      </c>
      <c r="I1737" s="5" t="s">
        <v>1266</v>
      </c>
    </row>
    <row r="1738" customFormat="false" ht="12.75" hidden="false" customHeight="true" outlineLevel="0" collapsed="false">
      <c r="A1738" s="5" t="s">
        <v>2846</v>
      </c>
      <c r="B1738" s="7" t="s">
        <v>2846</v>
      </c>
      <c r="C1738" s="7"/>
      <c r="D1738" s="7"/>
      <c r="E1738" s="7"/>
      <c r="G1738" s="5" t="str">
        <f aca="false">IF(ISNUMBER(FIND("old rod:",A1738)),"old rod:",A1738)</f>
        <v>good rod:</v>
      </c>
      <c r="I1738" s="5" t="s">
        <v>2846</v>
      </c>
    </row>
    <row r="1739" customFormat="false" ht="12.75" hidden="false" customHeight="true" outlineLevel="0" collapsed="false">
      <c r="A1739" s="5" t="s">
        <v>2847</v>
      </c>
      <c r="B1739" s="7" t="n">
        <v>5</v>
      </c>
      <c r="C1739" s="7" t="n">
        <v>15</v>
      </c>
      <c r="D1739" s="7" t="s">
        <v>3751</v>
      </c>
      <c r="E1739" s="7"/>
      <c r="G1739" s="5" t="str">
        <f aca="false">IF(ISNUMBER(FIND("old rod:",A1739)),"old rod:",A1739)</f>
        <v>5, 15, KRABBY</v>
      </c>
      <c r="I1739" s="5" t="s">
        <v>2847</v>
      </c>
    </row>
    <row r="1740" customFormat="false" ht="12.75" hidden="false" customHeight="true" outlineLevel="0" collapsed="false">
      <c r="A1740" s="5" t="s">
        <v>2848</v>
      </c>
      <c r="B1740" s="7" t="n">
        <v>5</v>
      </c>
      <c r="C1740" s="7" t="n">
        <v>15</v>
      </c>
      <c r="D1740" s="7" t="s">
        <v>3750</v>
      </c>
      <c r="E1740" s="7"/>
      <c r="G1740" s="5" t="str">
        <f aca="false">IF(ISNUMBER(FIND("old rod:",A1740)),"old rod:",A1740)</f>
        <v>5, 15, MAGIKARP</v>
      </c>
      <c r="I1740" s="5" t="s">
        <v>2848</v>
      </c>
    </row>
    <row r="1741" customFormat="false" ht="12.75" hidden="false" customHeight="true" outlineLevel="0" collapsed="false">
      <c r="A1741" s="5" t="s">
        <v>2847</v>
      </c>
      <c r="B1741" s="7" t="n">
        <v>5</v>
      </c>
      <c r="C1741" s="7" t="n">
        <v>15</v>
      </c>
      <c r="D1741" s="7" t="s">
        <v>3751</v>
      </c>
      <c r="E1741" s="7"/>
      <c r="G1741" s="5" t="str">
        <f aca="false">IF(ISNUMBER(FIND("old rod:",A1741)),"old rod:",A1741)</f>
        <v>5, 15, KRABBY</v>
      </c>
      <c r="I1741" s="5" t="s">
        <v>2847</v>
      </c>
    </row>
    <row r="1742" customFormat="false" ht="12.75" hidden="false" customHeight="true" outlineLevel="0" collapsed="false">
      <c r="A1742" s="5" t="s">
        <v>2850</v>
      </c>
      <c r="B1742" s="7" t="s">
        <v>2850</v>
      </c>
      <c r="C1742" s="7"/>
      <c r="D1742" s="7"/>
      <c r="E1742" s="7"/>
      <c r="G1742" s="5" t="str">
        <f aca="false">IF(ISNUMBER(FIND("old rod:",A1742)),"old rod:",A1742)</f>
        <v>super rod:</v>
      </c>
      <c r="I1742" s="5" t="s">
        <v>2850</v>
      </c>
    </row>
    <row r="1743" customFormat="false" ht="12.75" hidden="false" customHeight="true" outlineLevel="0" collapsed="false">
      <c r="A1743" s="5" t="s">
        <v>2851</v>
      </c>
      <c r="B1743" s="7" t="n">
        <v>15</v>
      </c>
      <c r="C1743" s="7" t="n">
        <v>25</v>
      </c>
      <c r="D1743" s="7" t="s">
        <v>3751</v>
      </c>
      <c r="E1743" s="7"/>
      <c r="G1743" s="5" t="str">
        <f aca="false">IF(ISNUMBER(FIND("old rod:",A1743)),"old rod:",A1743)</f>
        <v>15, 25, KRABBY</v>
      </c>
      <c r="I1743" s="5" t="s">
        <v>2851</v>
      </c>
    </row>
    <row r="1744" customFormat="false" ht="12.75" hidden="false" customHeight="true" outlineLevel="0" collapsed="false">
      <c r="A1744" s="5" t="s">
        <v>3258</v>
      </c>
      <c r="B1744" s="7" t="n">
        <v>15</v>
      </c>
      <c r="C1744" s="7" t="n">
        <v>25</v>
      </c>
      <c r="D1744" s="7" t="s">
        <v>3906</v>
      </c>
      <c r="E1744" s="7"/>
      <c r="G1744" s="5" t="str">
        <f aca="false">IF(ISNUMBER(FIND("old rod:",A1744)),"old rod:",A1744)</f>
        <v>15, 25, REMORAID</v>
      </c>
      <c r="I1744" s="5" t="s">
        <v>3258</v>
      </c>
    </row>
    <row r="1745" customFormat="false" ht="12.75" hidden="false" customHeight="true" outlineLevel="0" collapsed="false">
      <c r="A1745" s="5" t="s">
        <v>2853</v>
      </c>
      <c r="B1745" s="7" t="n">
        <v>15</v>
      </c>
      <c r="C1745" s="7" t="n">
        <v>25</v>
      </c>
      <c r="D1745" s="7" t="s">
        <v>3754</v>
      </c>
      <c r="E1745" s="7"/>
      <c r="G1745" s="5" t="str">
        <f aca="false">IF(ISNUMBER(FIND("old rod:",A1745)),"old rod:",A1745)</f>
        <v>15, 25, GYARADOS</v>
      </c>
      <c r="I1745" s="5" t="s">
        <v>2853</v>
      </c>
    </row>
    <row r="1746" customFormat="false" ht="12.75" hidden="false" customHeight="true" outlineLevel="0" collapsed="false">
      <c r="A1746" s="5" t="s">
        <v>3177</v>
      </c>
      <c r="B1746" s="7" t="n">
        <v>25</v>
      </c>
      <c r="C1746" s="7" t="n">
        <v>35</v>
      </c>
      <c r="D1746" s="7" t="s">
        <v>3859</v>
      </c>
      <c r="E1746" s="7"/>
      <c r="G1746" s="5" t="str">
        <f aca="false">IF(ISNUMBER(FIND("old rod:",A1746)),"old rod:",A1746)</f>
        <v>25, 35, KINGLER</v>
      </c>
      <c r="I1746" s="5" t="s">
        <v>3177</v>
      </c>
    </row>
    <row r="1747" customFormat="false" ht="12.75" hidden="false" customHeight="true" outlineLevel="0" collapsed="false">
      <c r="A1747" s="5" t="s">
        <v>2855</v>
      </c>
      <c r="B1747" s="7" t="n">
        <v>25</v>
      </c>
      <c r="C1747" s="7" t="n">
        <v>35</v>
      </c>
      <c r="D1747" s="7" t="s">
        <v>3755</v>
      </c>
      <c r="E1747" s="7"/>
      <c r="G1747" s="5" t="str">
        <f aca="false">IF(ISNUMBER(FIND("old rod:",A1747)),"old rod:",A1747)</f>
        <v>25, 35, SLOWPOKE</v>
      </c>
      <c r="I1747" s="5" t="s">
        <v>2855</v>
      </c>
    </row>
    <row r="1748" customFormat="false" ht="12.75" hidden="false" customHeight="true" outlineLevel="0" collapsed="false">
      <c r="A1748" s="5" t="s">
        <v>2536</v>
      </c>
      <c r="B1748" s="7" t="s">
        <v>2536</v>
      </c>
      <c r="C1748" s="7"/>
      <c r="D1748" s="7"/>
      <c r="E1748" s="7"/>
      <c r="G1748" s="5" t="str">
        <f aca="false">IF(ISNUMBER(FIND("old rod:",A1748)),"old rod:",A1748)</f>
        <v>NEW ROUTE</v>
      </c>
      <c r="I1748" s="5" t="s">
        <v>2536</v>
      </c>
    </row>
    <row r="1749" customFormat="false" ht="12.75" hidden="false" customHeight="true" outlineLevel="0" collapsed="false">
      <c r="A1749" s="5" t="s">
        <v>497</v>
      </c>
      <c r="B1749" s="7" t="s">
        <v>497</v>
      </c>
      <c r="C1749" s="7"/>
      <c r="D1749" s="7"/>
      <c r="E1749" s="7"/>
      <c r="G1749" s="5" t="str">
        <f aca="false">IF(ISNUMBER(FIND("old rod:",A1749)),"old rod:",A1749)</f>
        <v>Six Island Green Path</v>
      </c>
      <c r="I1749" s="5" t="s">
        <v>497</v>
      </c>
    </row>
    <row r="1750" customFormat="false" ht="12.75" hidden="false" customHeight="true" outlineLevel="0" collapsed="false">
      <c r="A1750" s="5" t="s">
        <v>3172</v>
      </c>
      <c r="B1750" s="7" t="n">
        <v>2</v>
      </c>
      <c r="C1750" s="7" t="n">
        <v>5</v>
      </c>
      <c r="D1750" s="7" t="n">
        <v>20</v>
      </c>
      <c r="E1750" s="7" t="s">
        <v>3747</v>
      </c>
      <c r="G1750" s="5" t="str">
        <f aca="false">IF(ISNUMBER(FIND("old rod:",A1750)),"old rod:",A1750)</f>
        <v>2, 5, 20, TENTACOOL</v>
      </c>
      <c r="I1750" s="5" t="s">
        <v>3172</v>
      </c>
    </row>
    <row r="1751" customFormat="false" ht="12.75" hidden="false" customHeight="true" outlineLevel="0" collapsed="false">
      <c r="A1751" s="5" t="s">
        <v>3173</v>
      </c>
      <c r="B1751" s="7" t="n">
        <v>20</v>
      </c>
      <c r="C1751" s="7" t="n">
        <v>35</v>
      </c>
      <c r="D1751" s="7" t="s">
        <v>3747</v>
      </c>
      <c r="E1751" s="7"/>
      <c r="G1751" s="5" t="str">
        <f aca="false">IF(ISNUMBER(FIND("old rod:",A1751)),"old rod:",A1751)</f>
        <v>20, 35, TENTACOOL</v>
      </c>
      <c r="I1751" s="5" t="s">
        <v>3173</v>
      </c>
    </row>
    <row r="1752" customFormat="false" ht="12.75" hidden="false" customHeight="true" outlineLevel="0" collapsed="false">
      <c r="A1752" s="5" t="s">
        <v>2844</v>
      </c>
      <c r="B1752" s="7" t="n">
        <v>35</v>
      </c>
      <c r="C1752" s="7" t="n">
        <v>40</v>
      </c>
      <c r="D1752" s="7" t="s">
        <v>3747</v>
      </c>
      <c r="E1752" s="7"/>
      <c r="G1752" s="5" t="str">
        <f aca="false">IF(ISNUMBER(FIND("old rod:",A1752)),"old rod:",A1752)</f>
        <v>35, 40, TENTACOOL</v>
      </c>
      <c r="I1752" s="5" t="s">
        <v>2844</v>
      </c>
    </row>
    <row r="1753" customFormat="false" ht="12.75" hidden="false" customHeight="true" outlineLevel="0" collapsed="false">
      <c r="A1753" s="5" t="s">
        <v>3231</v>
      </c>
      <c r="B1753" s="7" t="n">
        <v>35</v>
      </c>
      <c r="C1753" s="7" t="n">
        <v>40</v>
      </c>
      <c r="D1753" s="7" t="s">
        <v>3897</v>
      </c>
      <c r="E1753" s="7"/>
      <c r="G1753" s="5" t="str">
        <f aca="false">IF(ISNUMBER(FIND("old rod:",A1753)),"old rod:",A1753)</f>
        <v>35, 40, TENTACRUEL</v>
      </c>
      <c r="I1753" s="5" t="s">
        <v>3231</v>
      </c>
    </row>
    <row r="1754" customFormat="false" ht="12.75" hidden="false" customHeight="true" outlineLevel="0" collapsed="false">
      <c r="A1754" s="5" t="s">
        <v>3231</v>
      </c>
      <c r="B1754" s="7" t="n">
        <v>35</v>
      </c>
      <c r="C1754" s="7" t="n">
        <v>40</v>
      </c>
      <c r="D1754" s="7" t="s">
        <v>3897</v>
      </c>
      <c r="E1754" s="7"/>
      <c r="G1754" s="5" t="str">
        <f aca="false">IF(ISNUMBER(FIND("old rod:",A1754)),"old rod:",A1754)</f>
        <v>35, 40, TENTACRUEL</v>
      </c>
      <c r="I1754" s="5" t="s">
        <v>3231</v>
      </c>
    </row>
    <row r="1755" customFormat="false" ht="12.75" hidden="false" customHeight="true" outlineLevel="0" collapsed="false">
      <c r="A1755" s="5" t="s">
        <v>2925</v>
      </c>
      <c r="B1755" s="7" t="n">
        <v>20</v>
      </c>
      <c r="C1755" s="7" t="s">
        <v>3748</v>
      </c>
      <c r="D1755" s="7"/>
      <c r="E1755" s="7"/>
      <c r="G1755" s="5" t="str">
        <f aca="false">IF(ISNUMBER(FIND("old rod:",A1755)),"old rod:",A1755)</f>
        <v>old rod:</v>
      </c>
      <c r="I1755" s="5" t="s">
        <v>3749</v>
      </c>
    </row>
    <row r="1756" customFormat="false" ht="12.75" hidden="false" customHeight="true" outlineLevel="0" collapsed="false">
      <c r="A1756" s="5" t="s">
        <v>1266</v>
      </c>
      <c r="B1756" s="7" t="n">
        <v>5</v>
      </c>
      <c r="C1756" s="7" t="n">
        <v>5</v>
      </c>
      <c r="D1756" s="7" t="s">
        <v>3750</v>
      </c>
      <c r="E1756" s="7"/>
      <c r="G1756" s="5" t="str">
        <f aca="false">IF(ISNUMBER(FIND("old rod:",A1756)),"old rod:",A1756)</f>
        <v>5, 5, MAGIKARP</v>
      </c>
      <c r="I1756" s="5" t="s">
        <v>1266</v>
      </c>
    </row>
    <row r="1757" customFormat="false" ht="12.75" hidden="false" customHeight="true" outlineLevel="0" collapsed="false">
      <c r="A1757" s="5" t="s">
        <v>1266</v>
      </c>
      <c r="B1757" s="7" t="n">
        <v>5</v>
      </c>
      <c r="C1757" s="7" t="n">
        <v>5</v>
      </c>
      <c r="D1757" s="7" t="s">
        <v>3750</v>
      </c>
      <c r="E1757" s="7"/>
      <c r="G1757" s="5" t="str">
        <f aca="false">IF(ISNUMBER(FIND("old rod:",A1757)),"old rod:",A1757)</f>
        <v>5, 5, MAGIKARP</v>
      </c>
      <c r="I1757" s="5" t="s">
        <v>1266</v>
      </c>
    </row>
    <row r="1758" customFormat="false" ht="12.75" hidden="false" customHeight="true" outlineLevel="0" collapsed="false">
      <c r="A1758" s="5" t="s">
        <v>2846</v>
      </c>
      <c r="B1758" s="7" t="s">
        <v>2846</v>
      </c>
      <c r="C1758" s="7"/>
      <c r="D1758" s="7"/>
      <c r="E1758" s="7"/>
      <c r="G1758" s="5" t="str">
        <f aca="false">IF(ISNUMBER(FIND("old rod:",A1758)),"old rod:",A1758)</f>
        <v>good rod:</v>
      </c>
      <c r="I1758" s="5" t="s">
        <v>2846</v>
      </c>
    </row>
    <row r="1759" customFormat="false" ht="12.75" hidden="false" customHeight="true" outlineLevel="0" collapsed="false">
      <c r="A1759" s="5" t="s">
        <v>2847</v>
      </c>
      <c r="B1759" s="7" t="n">
        <v>5</v>
      </c>
      <c r="C1759" s="7" t="n">
        <v>15</v>
      </c>
      <c r="D1759" s="7" t="s">
        <v>3751</v>
      </c>
      <c r="E1759" s="7"/>
      <c r="G1759" s="5" t="str">
        <f aca="false">IF(ISNUMBER(FIND("old rod:",A1759)),"old rod:",A1759)</f>
        <v>5, 15, KRABBY</v>
      </c>
      <c r="I1759" s="5" t="s">
        <v>2847</v>
      </c>
    </row>
    <row r="1760" customFormat="false" ht="12.75" hidden="false" customHeight="true" outlineLevel="0" collapsed="false">
      <c r="A1760" s="5" t="s">
        <v>2848</v>
      </c>
      <c r="B1760" s="7" t="n">
        <v>5</v>
      </c>
      <c r="C1760" s="7" t="n">
        <v>15</v>
      </c>
      <c r="D1760" s="7" t="s">
        <v>3750</v>
      </c>
      <c r="E1760" s="7"/>
      <c r="G1760" s="5" t="str">
        <f aca="false">IF(ISNUMBER(FIND("old rod:",A1760)),"old rod:",A1760)</f>
        <v>5, 15, MAGIKARP</v>
      </c>
      <c r="I1760" s="5" t="s">
        <v>2848</v>
      </c>
    </row>
    <row r="1761" customFormat="false" ht="12.75" hidden="false" customHeight="true" outlineLevel="0" collapsed="false">
      <c r="A1761" s="5" t="s">
        <v>2847</v>
      </c>
      <c r="B1761" s="7" t="n">
        <v>5</v>
      </c>
      <c r="C1761" s="7" t="n">
        <v>15</v>
      </c>
      <c r="D1761" s="7" t="s">
        <v>3751</v>
      </c>
      <c r="E1761" s="7"/>
      <c r="G1761" s="5" t="str">
        <f aca="false">IF(ISNUMBER(FIND("old rod:",A1761)),"old rod:",A1761)</f>
        <v>5, 15, KRABBY</v>
      </c>
      <c r="I1761" s="5" t="s">
        <v>2847</v>
      </c>
    </row>
    <row r="1762" customFormat="false" ht="12.75" hidden="false" customHeight="true" outlineLevel="0" collapsed="false">
      <c r="A1762" s="5" t="s">
        <v>2850</v>
      </c>
      <c r="B1762" s="7" t="s">
        <v>2850</v>
      </c>
      <c r="C1762" s="7"/>
      <c r="D1762" s="7"/>
      <c r="E1762" s="7"/>
      <c r="G1762" s="5" t="str">
        <f aca="false">IF(ISNUMBER(FIND("old rod:",A1762)),"old rod:",A1762)</f>
        <v>super rod:</v>
      </c>
      <c r="I1762" s="5" t="s">
        <v>2850</v>
      </c>
    </row>
    <row r="1763" customFormat="false" ht="12.75" hidden="false" customHeight="true" outlineLevel="0" collapsed="false">
      <c r="A1763" s="5" t="s">
        <v>2851</v>
      </c>
      <c r="B1763" s="7" t="n">
        <v>15</v>
      </c>
      <c r="C1763" s="7" t="n">
        <v>25</v>
      </c>
      <c r="D1763" s="7" t="s">
        <v>3751</v>
      </c>
      <c r="E1763" s="7"/>
      <c r="G1763" s="5" t="str">
        <f aca="false">IF(ISNUMBER(FIND("old rod:",A1763)),"old rod:",A1763)</f>
        <v>15, 25, KRABBY</v>
      </c>
      <c r="I1763" s="5" t="s">
        <v>2851</v>
      </c>
    </row>
    <row r="1764" customFormat="false" ht="12.75" hidden="false" customHeight="true" outlineLevel="0" collapsed="false">
      <c r="A1764" s="5" t="s">
        <v>3258</v>
      </c>
      <c r="B1764" s="7" t="n">
        <v>15</v>
      </c>
      <c r="C1764" s="7" t="n">
        <v>25</v>
      </c>
      <c r="D1764" s="7" t="s">
        <v>3906</v>
      </c>
      <c r="E1764" s="7"/>
      <c r="G1764" s="5" t="str">
        <f aca="false">IF(ISNUMBER(FIND("old rod:",A1764)),"old rod:",A1764)</f>
        <v>15, 25, REMORAID</v>
      </c>
      <c r="I1764" s="5" t="s">
        <v>3258</v>
      </c>
    </row>
    <row r="1765" customFormat="false" ht="12.75" hidden="false" customHeight="true" outlineLevel="0" collapsed="false">
      <c r="A1765" s="5" t="s">
        <v>2853</v>
      </c>
      <c r="B1765" s="7" t="n">
        <v>15</v>
      </c>
      <c r="C1765" s="7" t="n">
        <v>25</v>
      </c>
      <c r="D1765" s="7" t="s">
        <v>3754</v>
      </c>
      <c r="E1765" s="7"/>
      <c r="G1765" s="5" t="str">
        <f aca="false">IF(ISNUMBER(FIND("old rod:",A1765)),"old rod:",A1765)</f>
        <v>15, 25, GYARADOS</v>
      </c>
      <c r="I1765" s="5" t="s">
        <v>2853</v>
      </c>
    </row>
    <row r="1766" customFormat="false" ht="12.75" hidden="false" customHeight="true" outlineLevel="0" collapsed="false">
      <c r="A1766" s="5" t="s">
        <v>3177</v>
      </c>
      <c r="B1766" s="7" t="n">
        <v>25</v>
      </c>
      <c r="C1766" s="7" t="n">
        <v>35</v>
      </c>
      <c r="D1766" s="7" t="s">
        <v>3859</v>
      </c>
      <c r="E1766" s="7"/>
      <c r="G1766" s="5" t="str">
        <f aca="false">IF(ISNUMBER(FIND("old rod:",A1766)),"old rod:",A1766)</f>
        <v>25, 35, KINGLER</v>
      </c>
      <c r="I1766" s="5" t="s">
        <v>3177</v>
      </c>
    </row>
    <row r="1767" customFormat="false" ht="12.75" hidden="false" customHeight="true" outlineLevel="0" collapsed="false">
      <c r="A1767" s="5" t="s">
        <v>2855</v>
      </c>
      <c r="B1767" s="7" t="n">
        <v>25</v>
      </c>
      <c r="C1767" s="7" t="n">
        <v>35</v>
      </c>
      <c r="D1767" s="7" t="s">
        <v>3755</v>
      </c>
      <c r="E1767" s="7"/>
      <c r="G1767" s="5" t="str">
        <f aca="false">IF(ISNUMBER(FIND("old rod:",A1767)),"old rod:",A1767)</f>
        <v>25, 35, SLOWPOKE</v>
      </c>
      <c r="I1767" s="5" t="s">
        <v>2855</v>
      </c>
    </row>
    <row r="1768" customFormat="false" ht="12.75" hidden="false" customHeight="true" outlineLevel="0" collapsed="false">
      <c r="A1768" s="5" t="s">
        <v>2536</v>
      </c>
      <c r="B1768" s="7" t="s">
        <v>2536</v>
      </c>
      <c r="C1768" s="7"/>
      <c r="D1768" s="7"/>
      <c r="E1768" s="7"/>
      <c r="G1768" s="5" t="str">
        <f aca="false">IF(ISNUMBER(FIND("old rod:",A1768)),"old rod:",A1768)</f>
        <v>NEW ROUTE</v>
      </c>
      <c r="I1768" s="5" t="s">
        <v>2536</v>
      </c>
    </row>
    <row r="1769" customFormat="false" ht="12.75" hidden="false" customHeight="true" outlineLevel="0" collapsed="false">
      <c r="A1769" s="5" t="s">
        <v>499</v>
      </c>
      <c r="B1769" s="7" t="s">
        <v>499</v>
      </c>
      <c r="C1769" s="7"/>
      <c r="D1769" s="7"/>
      <c r="E1769" s="7"/>
      <c r="G1769" s="5" t="str">
        <f aca="false">IF(ISNUMBER(FIND("old rod:",A1769)),"old rod:",A1769)</f>
        <v>Six Island Water Path</v>
      </c>
      <c r="I1769" s="5" t="s">
        <v>499</v>
      </c>
    </row>
    <row r="1770" customFormat="false" ht="12.75" hidden="false" customHeight="true" outlineLevel="0" collapsed="false">
      <c r="A1770" s="5" t="n">
        <v>0.2</v>
      </c>
      <c r="B1770" s="5" t="n">
        <v>0.2</v>
      </c>
      <c r="C1770" s="7"/>
      <c r="D1770" s="7"/>
      <c r="E1770" s="7"/>
      <c r="G1770" s="5" t="n">
        <f aca="false">IF(ISNUMBER(FIND("old rod:",A1770)),"old rod:",A1770)</f>
        <v>0.2</v>
      </c>
      <c r="I1770" s="5" t="n">
        <v>0.2</v>
      </c>
    </row>
    <row r="1771" customFormat="false" ht="12.75" hidden="false" customHeight="true" outlineLevel="0" collapsed="false">
      <c r="A1771" s="5" t="s">
        <v>1736</v>
      </c>
      <c r="B1771" s="7" t="n">
        <v>44</v>
      </c>
      <c r="C1771" s="7" t="n">
        <v>44</v>
      </c>
      <c r="D1771" s="7" t="s">
        <v>3883</v>
      </c>
      <c r="E1771" s="7"/>
      <c r="G1771" s="5" t="str">
        <f aca="false">IF(ISNUMBER(FIND("old rod:",A1771)),"old rod:",A1771)</f>
        <v>44, 44, SPEAROW</v>
      </c>
      <c r="I1771" s="5" t="s">
        <v>1736</v>
      </c>
    </row>
    <row r="1772" customFormat="false" ht="12.75" hidden="false" customHeight="true" outlineLevel="0" collapsed="false">
      <c r="A1772" s="5" t="s">
        <v>3261</v>
      </c>
      <c r="B1772" s="7" t="n">
        <v>10</v>
      </c>
      <c r="C1772" s="7" t="n">
        <v>10</v>
      </c>
      <c r="D1772" s="7" t="s">
        <v>3907</v>
      </c>
      <c r="E1772" s="7"/>
      <c r="G1772" s="5" t="str">
        <f aca="false">IF(ISNUMBER(FIND("old rod:",A1772)),"old rod:",A1772)</f>
        <v>10, 10, SENTRET</v>
      </c>
      <c r="I1772" s="5" t="s">
        <v>3261</v>
      </c>
    </row>
    <row r="1773" customFormat="false" ht="12.75" hidden="false" customHeight="true" outlineLevel="0" collapsed="false">
      <c r="A1773" s="5" t="n">
        <v>0.1</v>
      </c>
      <c r="B1773" s="5" t="n">
        <v>0.1</v>
      </c>
      <c r="C1773" s="7"/>
      <c r="D1773" s="7"/>
      <c r="E1773" s="7"/>
      <c r="G1773" s="5" t="n">
        <f aca="false">IF(ISNUMBER(FIND("old rod:",A1773)),"old rod:",A1773)</f>
        <v>0.1</v>
      </c>
      <c r="I1773" s="5" t="n">
        <v>0.1</v>
      </c>
    </row>
    <row r="1774" customFormat="false" ht="12.75" hidden="false" customHeight="true" outlineLevel="0" collapsed="false">
      <c r="A1774" s="5" t="s">
        <v>3278</v>
      </c>
      <c r="B1774" s="7" t="n">
        <v>44</v>
      </c>
      <c r="C1774" s="7" t="n">
        <v>44</v>
      </c>
      <c r="D1774" s="7" t="s">
        <v>3890</v>
      </c>
      <c r="E1774" s="7"/>
      <c r="G1774" s="5" t="str">
        <f aca="false">IF(ISNUMBER(FIND("old rod:",A1774)),"old rod:",A1774)</f>
        <v>44, 44, BELLSPROUT</v>
      </c>
      <c r="I1774" s="5" t="s">
        <v>3278</v>
      </c>
    </row>
    <row r="1775" customFormat="false" ht="12.75" hidden="false" customHeight="true" outlineLevel="0" collapsed="false">
      <c r="A1775" s="5" t="s">
        <v>3279</v>
      </c>
      <c r="B1775" s="7" t="n">
        <v>48</v>
      </c>
      <c r="C1775" s="7" t="n">
        <v>48</v>
      </c>
      <c r="D1775" s="7" t="s">
        <v>3882</v>
      </c>
      <c r="E1775" s="7"/>
      <c r="G1775" s="5" t="str">
        <f aca="false">IF(ISNUMBER(FIND("old rod:",A1775)),"old rod:",A1775)</f>
        <v>48, 48, FEAROW</v>
      </c>
      <c r="I1775" s="5" t="s">
        <v>3279</v>
      </c>
    </row>
    <row r="1776" customFormat="false" ht="12.75" hidden="false" customHeight="true" outlineLevel="0" collapsed="false">
      <c r="A1776" s="5" t="s">
        <v>3263</v>
      </c>
      <c r="B1776" s="7" t="n">
        <v>15</v>
      </c>
      <c r="C1776" s="7" t="n">
        <v>15</v>
      </c>
      <c r="D1776" s="7" t="s">
        <v>3907</v>
      </c>
      <c r="E1776" s="7"/>
      <c r="G1776" s="5" t="str">
        <f aca="false">IF(ISNUMBER(FIND("old rod:",A1776)),"old rod:",A1776)</f>
        <v>15, 15, SENTRET</v>
      </c>
      <c r="I1776" s="5" t="s">
        <v>3263</v>
      </c>
    </row>
    <row r="1777" customFormat="false" ht="12.75" hidden="false" customHeight="true" outlineLevel="0" collapsed="false">
      <c r="A1777" s="5" t="s">
        <v>3264</v>
      </c>
      <c r="B1777" s="7" t="n">
        <v>41</v>
      </c>
      <c r="C1777" s="7" t="n">
        <v>41</v>
      </c>
      <c r="D1777" s="7" t="s">
        <v>3902</v>
      </c>
      <c r="E1777" s="7"/>
      <c r="G1777" s="5" t="str">
        <f aca="false">IF(ISNUMBER(FIND("old rod:",A1777)),"old rod:",A1777)</f>
        <v>41, 41, MEOWTH</v>
      </c>
      <c r="I1777" s="5" t="s">
        <v>3264</v>
      </c>
    </row>
    <row r="1778" customFormat="false" ht="12.75" hidden="false" customHeight="true" outlineLevel="0" collapsed="false">
      <c r="A1778" s="5" t="n">
        <v>0.05</v>
      </c>
      <c r="B1778" s="5" t="n">
        <v>0.05</v>
      </c>
      <c r="C1778" s="7"/>
      <c r="D1778" s="7"/>
      <c r="E1778" s="7"/>
      <c r="G1778" s="5" t="n">
        <f aca="false">IF(ISNUMBER(FIND("old rod:",A1778)),"old rod:",A1778)</f>
        <v>0.05</v>
      </c>
      <c r="I1778" s="5" t="n">
        <v>0.05</v>
      </c>
    </row>
    <row r="1779" customFormat="false" ht="12.75" hidden="false" customHeight="true" outlineLevel="0" collapsed="false">
      <c r="A1779" s="5" t="s">
        <v>3280</v>
      </c>
      <c r="B1779" s="7" t="n">
        <v>48</v>
      </c>
      <c r="C1779" s="7" t="n">
        <v>48</v>
      </c>
      <c r="D1779" s="7" t="s">
        <v>3888</v>
      </c>
      <c r="E1779" s="7"/>
      <c r="G1779" s="5" t="str">
        <f aca="false">IF(ISNUMBER(FIND("old rod:",A1779)),"old rod:",A1779)</f>
        <v>48, 48, WEEPINBELL</v>
      </c>
      <c r="I1779" s="5" t="s">
        <v>3280</v>
      </c>
    </row>
    <row r="1780" customFormat="false" ht="12.75" hidden="false" customHeight="true" outlineLevel="0" collapsed="false">
      <c r="A1780" s="5" t="s">
        <v>3154</v>
      </c>
      <c r="B1780" s="7" t="n">
        <v>41</v>
      </c>
      <c r="C1780" s="7" t="n">
        <v>41</v>
      </c>
      <c r="D1780" s="7" t="s">
        <v>3755</v>
      </c>
      <c r="E1780" s="7"/>
      <c r="G1780" s="5" t="str">
        <f aca="false">IF(ISNUMBER(FIND("old rod:",A1780)),"old rod:",A1780)</f>
        <v>41, 41, SLOWPOKE</v>
      </c>
      <c r="I1780" s="5" t="s">
        <v>3154</v>
      </c>
    </row>
    <row r="1781" customFormat="false" ht="12.75" hidden="false" customHeight="true" outlineLevel="0" collapsed="false">
      <c r="A1781" s="5" t="n">
        <v>0.04</v>
      </c>
      <c r="B1781" s="5" t="n">
        <v>0.04</v>
      </c>
      <c r="C1781" s="7"/>
      <c r="D1781" s="7"/>
      <c r="E1781" s="7"/>
      <c r="G1781" s="5" t="n">
        <f aca="false">IF(ISNUMBER(FIND("old rod:",A1781)),"old rod:",A1781)</f>
        <v>0.04</v>
      </c>
      <c r="I1781" s="5" t="n">
        <v>0.04</v>
      </c>
    </row>
    <row r="1782" customFormat="false" ht="12.75" hidden="false" customHeight="true" outlineLevel="0" collapsed="false">
      <c r="A1782" s="5" t="s">
        <v>3281</v>
      </c>
      <c r="B1782" s="7" t="n">
        <v>50</v>
      </c>
      <c r="C1782" s="7" t="n">
        <v>50</v>
      </c>
      <c r="D1782" s="7" t="s">
        <v>3882</v>
      </c>
      <c r="E1782" s="7"/>
      <c r="G1782" s="5" t="str">
        <f aca="false">IF(ISNUMBER(FIND("old rod:",A1782)),"old rod:",A1782)</f>
        <v>50, 50, FEAROW</v>
      </c>
      <c r="I1782" s="5" t="s">
        <v>3281</v>
      </c>
    </row>
    <row r="1783" customFormat="false" ht="12.75" hidden="false" customHeight="true" outlineLevel="0" collapsed="false">
      <c r="A1783" s="5" t="s">
        <v>3267</v>
      </c>
      <c r="B1783" s="7" t="n">
        <v>47</v>
      </c>
      <c r="C1783" s="7" t="n">
        <v>47</v>
      </c>
      <c r="D1783" s="7" t="s">
        <v>3903</v>
      </c>
      <c r="E1783" s="7"/>
      <c r="G1783" s="5" t="str">
        <f aca="false">IF(ISNUMBER(FIND("old rod:",A1783)),"old rod:",A1783)</f>
        <v>47, 47, PERSIAN</v>
      </c>
      <c r="I1783" s="5" t="s">
        <v>3267</v>
      </c>
    </row>
    <row r="1784" customFormat="false" ht="12.75" hidden="false" customHeight="true" outlineLevel="0" collapsed="false">
      <c r="A1784" s="5" t="n">
        <v>0.01</v>
      </c>
      <c r="B1784" s="5" t="n">
        <v>0.01</v>
      </c>
      <c r="C1784" s="7"/>
      <c r="D1784" s="7"/>
      <c r="E1784" s="7"/>
      <c r="G1784" s="5" t="n">
        <f aca="false">IF(ISNUMBER(FIND("old rod:",A1784)),"old rod:",A1784)</f>
        <v>0.01</v>
      </c>
      <c r="I1784" s="5" t="n">
        <v>0.01</v>
      </c>
    </row>
    <row r="1785" customFormat="false" ht="12.75" hidden="false" customHeight="true" outlineLevel="0" collapsed="false">
      <c r="A1785" s="5" t="s">
        <v>3281</v>
      </c>
      <c r="B1785" s="7" t="n">
        <v>50</v>
      </c>
      <c r="C1785" s="7" t="n">
        <v>50</v>
      </c>
      <c r="D1785" s="7" t="s">
        <v>3882</v>
      </c>
      <c r="E1785" s="7"/>
      <c r="G1785" s="5" t="str">
        <f aca="false">IF(ISNUMBER(FIND("old rod:",A1785)),"old rod:",A1785)</f>
        <v>50, 50, FEAROW</v>
      </c>
      <c r="I1785" s="5" t="s">
        <v>3281</v>
      </c>
    </row>
    <row r="1786" customFormat="false" ht="12.75" hidden="false" customHeight="true" outlineLevel="0" collapsed="false">
      <c r="A1786" s="5" t="s">
        <v>3268</v>
      </c>
      <c r="B1786" s="7" t="n">
        <v>50</v>
      </c>
      <c r="C1786" s="7" t="n">
        <v>50</v>
      </c>
      <c r="D1786" s="7" t="s">
        <v>3903</v>
      </c>
      <c r="E1786" s="7"/>
      <c r="G1786" s="5" t="str">
        <f aca="false">IF(ISNUMBER(FIND("old rod:",A1786)),"old rod:",A1786)</f>
        <v>50, 50, PERSIAN</v>
      </c>
      <c r="I1786" s="5" t="s">
        <v>3268</v>
      </c>
    </row>
    <row r="1787" customFormat="false" ht="12.75" hidden="false" customHeight="true" outlineLevel="0" collapsed="false">
      <c r="A1787" s="5" t="s">
        <v>3172</v>
      </c>
      <c r="B1787" s="7" t="n">
        <v>2</v>
      </c>
      <c r="C1787" s="7" t="n">
        <v>5</v>
      </c>
      <c r="D1787" s="7" t="n">
        <v>20</v>
      </c>
      <c r="E1787" s="7" t="s">
        <v>3747</v>
      </c>
      <c r="G1787" s="5" t="str">
        <f aca="false">IF(ISNUMBER(FIND("old rod:",A1787)),"old rod:",A1787)</f>
        <v>2, 5, 20, TENTACOOL</v>
      </c>
      <c r="I1787" s="5" t="s">
        <v>3172</v>
      </c>
    </row>
    <row r="1788" customFormat="false" ht="12.75" hidden="false" customHeight="true" outlineLevel="0" collapsed="false">
      <c r="A1788" s="5" t="s">
        <v>3173</v>
      </c>
      <c r="B1788" s="7" t="n">
        <v>20</v>
      </c>
      <c r="C1788" s="7" t="n">
        <v>35</v>
      </c>
      <c r="D1788" s="7" t="s">
        <v>3747</v>
      </c>
      <c r="E1788" s="7"/>
      <c r="G1788" s="5" t="str">
        <f aca="false">IF(ISNUMBER(FIND("old rod:",A1788)),"old rod:",A1788)</f>
        <v>20, 35, TENTACOOL</v>
      </c>
      <c r="I1788" s="5" t="s">
        <v>3173</v>
      </c>
    </row>
    <row r="1789" customFormat="false" ht="12.75" hidden="false" customHeight="true" outlineLevel="0" collapsed="false">
      <c r="A1789" s="5" t="s">
        <v>2844</v>
      </c>
      <c r="B1789" s="7" t="n">
        <v>35</v>
      </c>
      <c r="C1789" s="7" t="n">
        <v>40</v>
      </c>
      <c r="D1789" s="7" t="s">
        <v>3747</v>
      </c>
      <c r="E1789" s="7"/>
      <c r="G1789" s="5" t="str">
        <f aca="false">IF(ISNUMBER(FIND("old rod:",A1789)),"old rod:",A1789)</f>
        <v>35, 40, TENTACOOL</v>
      </c>
      <c r="I1789" s="5" t="s">
        <v>2844</v>
      </c>
    </row>
    <row r="1790" customFormat="false" ht="12.75" hidden="false" customHeight="true" outlineLevel="0" collapsed="false">
      <c r="A1790" s="5" t="s">
        <v>3231</v>
      </c>
      <c r="B1790" s="7" t="n">
        <v>35</v>
      </c>
      <c r="C1790" s="7" t="n">
        <v>40</v>
      </c>
      <c r="D1790" s="7" t="s">
        <v>3897</v>
      </c>
      <c r="E1790" s="7"/>
      <c r="G1790" s="5" t="str">
        <f aca="false">IF(ISNUMBER(FIND("old rod:",A1790)),"old rod:",A1790)</f>
        <v>35, 40, TENTACRUEL</v>
      </c>
      <c r="I1790" s="5" t="s">
        <v>3231</v>
      </c>
    </row>
    <row r="1791" customFormat="false" ht="12.75" hidden="false" customHeight="true" outlineLevel="0" collapsed="false">
      <c r="A1791" s="5" t="s">
        <v>3231</v>
      </c>
      <c r="B1791" s="7" t="n">
        <v>35</v>
      </c>
      <c r="C1791" s="7" t="n">
        <v>40</v>
      </c>
      <c r="D1791" s="7" t="s">
        <v>3897</v>
      </c>
      <c r="E1791" s="7"/>
      <c r="G1791" s="5" t="str">
        <f aca="false">IF(ISNUMBER(FIND("old rod:",A1791)),"old rod:",A1791)</f>
        <v>35, 40, TENTACRUEL</v>
      </c>
      <c r="I1791" s="5" t="s">
        <v>3231</v>
      </c>
    </row>
    <row r="1792" customFormat="false" ht="12.75" hidden="false" customHeight="true" outlineLevel="0" collapsed="false">
      <c r="A1792" s="5" t="s">
        <v>2925</v>
      </c>
      <c r="B1792" s="7" t="n">
        <v>20</v>
      </c>
      <c r="C1792" s="7" t="s">
        <v>3748</v>
      </c>
      <c r="D1792" s="7"/>
      <c r="E1792" s="7"/>
      <c r="G1792" s="5" t="str">
        <f aca="false">IF(ISNUMBER(FIND("old rod:",A1792)),"old rod:",A1792)</f>
        <v>old rod:</v>
      </c>
      <c r="I1792" s="5" t="s">
        <v>3749</v>
      </c>
    </row>
    <row r="1793" customFormat="false" ht="12.75" hidden="false" customHeight="true" outlineLevel="0" collapsed="false">
      <c r="A1793" s="5" t="s">
        <v>1266</v>
      </c>
      <c r="B1793" s="7" t="n">
        <v>5</v>
      </c>
      <c r="C1793" s="7" t="n">
        <v>5</v>
      </c>
      <c r="D1793" s="7" t="s">
        <v>3750</v>
      </c>
      <c r="E1793" s="7"/>
      <c r="G1793" s="5" t="str">
        <f aca="false">IF(ISNUMBER(FIND("old rod:",A1793)),"old rod:",A1793)</f>
        <v>5, 5, MAGIKARP</v>
      </c>
      <c r="I1793" s="5" t="s">
        <v>1266</v>
      </c>
    </row>
    <row r="1794" customFormat="false" ht="12.75" hidden="false" customHeight="true" outlineLevel="0" collapsed="false">
      <c r="A1794" s="5" t="s">
        <v>1266</v>
      </c>
      <c r="B1794" s="7" t="n">
        <v>5</v>
      </c>
      <c r="C1794" s="7" t="n">
        <v>5</v>
      </c>
      <c r="D1794" s="7" t="s">
        <v>3750</v>
      </c>
      <c r="E1794" s="7"/>
      <c r="G1794" s="5" t="str">
        <f aca="false">IF(ISNUMBER(FIND("old rod:",A1794)),"old rod:",A1794)</f>
        <v>5, 5, MAGIKARP</v>
      </c>
      <c r="I1794" s="5" t="s">
        <v>1266</v>
      </c>
    </row>
    <row r="1795" customFormat="false" ht="12.75" hidden="false" customHeight="true" outlineLevel="0" collapsed="false">
      <c r="A1795" s="5" t="s">
        <v>2846</v>
      </c>
      <c r="B1795" s="7" t="s">
        <v>2846</v>
      </c>
      <c r="C1795" s="7"/>
      <c r="D1795" s="7"/>
      <c r="E1795" s="7"/>
      <c r="G1795" s="5" t="str">
        <f aca="false">IF(ISNUMBER(FIND("old rod:",A1795)),"old rod:",A1795)</f>
        <v>good rod:</v>
      </c>
      <c r="I1795" s="5" t="s">
        <v>2846</v>
      </c>
    </row>
    <row r="1796" customFormat="false" ht="12.75" hidden="false" customHeight="true" outlineLevel="0" collapsed="false">
      <c r="A1796" s="5" t="s">
        <v>2847</v>
      </c>
      <c r="B1796" s="7" t="n">
        <v>5</v>
      </c>
      <c r="C1796" s="7" t="n">
        <v>15</v>
      </c>
      <c r="D1796" s="7" t="s">
        <v>3751</v>
      </c>
      <c r="E1796" s="7"/>
      <c r="G1796" s="5" t="str">
        <f aca="false">IF(ISNUMBER(FIND("old rod:",A1796)),"old rod:",A1796)</f>
        <v>5, 15, KRABBY</v>
      </c>
      <c r="I1796" s="5" t="s">
        <v>2847</v>
      </c>
    </row>
    <row r="1797" customFormat="false" ht="12.75" hidden="false" customHeight="true" outlineLevel="0" collapsed="false">
      <c r="A1797" s="5" t="s">
        <v>2848</v>
      </c>
      <c r="B1797" s="7" t="n">
        <v>5</v>
      </c>
      <c r="C1797" s="7" t="n">
        <v>15</v>
      </c>
      <c r="D1797" s="7" t="s">
        <v>3750</v>
      </c>
      <c r="E1797" s="7"/>
      <c r="G1797" s="5" t="str">
        <f aca="false">IF(ISNUMBER(FIND("old rod:",A1797)),"old rod:",A1797)</f>
        <v>5, 15, MAGIKARP</v>
      </c>
      <c r="I1797" s="5" t="s">
        <v>2848</v>
      </c>
    </row>
    <row r="1798" customFormat="false" ht="12.75" hidden="false" customHeight="true" outlineLevel="0" collapsed="false">
      <c r="A1798" s="5" t="s">
        <v>2847</v>
      </c>
      <c r="B1798" s="7" t="n">
        <v>5</v>
      </c>
      <c r="C1798" s="7" t="n">
        <v>15</v>
      </c>
      <c r="D1798" s="7" t="s">
        <v>3751</v>
      </c>
      <c r="E1798" s="7"/>
      <c r="G1798" s="5" t="str">
        <f aca="false">IF(ISNUMBER(FIND("old rod:",A1798)),"old rod:",A1798)</f>
        <v>5, 15, KRABBY</v>
      </c>
      <c r="I1798" s="5" t="s">
        <v>2847</v>
      </c>
    </row>
    <row r="1799" customFormat="false" ht="12.75" hidden="false" customHeight="true" outlineLevel="0" collapsed="false">
      <c r="A1799" s="5" t="s">
        <v>2850</v>
      </c>
      <c r="B1799" s="7" t="s">
        <v>2850</v>
      </c>
      <c r="C1799" s="7"/>
      <c r="D1799" s="7"/>
      <c r="E1799" s="7"/>
      <c r="G1799" s="5" t="str">
        <f aca="false">IF(ISNUMBER(FIND("old rod:",A1799)),"old rod:",A1799)</f>
        <v>super rod:</v>
      </c>
      <c r="I1799" s="5" t="s">
        <v>2850</v>
      </c>
    </row>
    <row r="1800" customFormat="false" ht="12.75" hidden="false" customHeight="true" outlineLevel="0" collapsed="false">
      <c r="A1800" s="5" t="s">
        <v>2851</v>
      </c>
      <c r="B1800" s="7" t="n">
        <v>15</v>
      </c>
      <c r="C1800" s="7" t="n">
        <v>25</v>
      </c>
      <c r="D1800" s="7" t="s">
        <v>3751</v>
      </c>
      <c r="E1800" s="7"/>
      <c r="G1800" s="5" t="str">
        <f aca="false">IF(ISNUMBER(FIND("old rod:",A1800)),"old rod:",A1800)</f>
        <v>15, 25, KRABBY</v>
      </c>
      <c r="I1800" s="5" t="s">
        <v>2851</v>
      </c>
    </row>
    <row r="1801" customFormat="false" ht="12.75" hidden="false" customHeight="true" outlineLevel="0" collapsed="false">
      <c r="A1801" s="5" t="s">
        <v>3258</v>
      </c>
      <c r="B1801" s="7" t="n">
        <v>15</v>
      </c>
      <c r="C1801" s="7" t="n">
        <v>25</v>
      </c>
      <c r="D1801" s="7" t="s">
        <v>3906</v>
      </c>
      <c r="E1801" s="7"/>
      <c r="G1801" s="5" t="str">
        <f aca="false">IF(ISNUMBER(FIND("old rod:",A1801)),"old rod:",A1801)</f>
        <v>15, 25, REMORAID</v>
      </c>
      <c r="I1801" s="5" t="s">
        <v>3258</v>
      </c>
    </row>
    <row r="1802" customFormat="false" ht="12.75" hidden="false" customHeight="true" outlineLevel="0" collapsed="false">
      <c r="A1802" s="5" t="s">
        <v>2853</v>
      </c>
      <c r="B1802" s="7" t="n">
        <v>15</v>
      </c>
      <c r="C1802" s="7" t="n">
        <v>25</v>
      </c>
      <c r="D1802" s="7" t="s">
        <v>3754</v>
      </c>
      <c r="E1802" s="7"/>
      <c r="G1802" s="5" t="str">
        <f aca="false">IF(ISNUMBER(FIND("old rod:",A1802)),"old rod:",A1802)</f>
        <v>15, 25, GYARADOS</v>
      </c>
      <c r="I1802" s="5" t="s">
        <v>2853</v>
      </c>
    </row>
    <row r="1803" customFormat="false" ht="12.75" hidden="false" customHeight="true" outlineLevel="0" collapsed="false">
      <c r="A1803" s="5" t="s">
        <v>3177</v>
      </c>
      <c r="B1803" s="7" t="n">
        <v>25</v>
      </c>
      <c r="C1803" s="7" t="n">
        <v>35</v>
      </c>
      <c r="D1803" s="7" t="s">
        <v>3859</v>
      </c>
      <c r="E1803" s="7"/>
      <c r="G1803" s="5" t="str">
        <f aca="false">IF(ISNUMBER(FIND("old rod:",A1803)),"old rod:",A1803)</f>
        <v>25, 35, KINGLER</v>
      </c>
      <c r="I1803" s="5" t="s">
        <v>3177</v>
      </c>
    </row>
    <row r="1804" customFormat="false" ht="12.75" hidden="false" customHeight="true" outlineLevel="0" collapsed="false">
      <c r="A1804" s="5" t="s">
        <v>2855</v>
      </c>
      <c r="B1804" s="7" t="n">
        <v>25</v>
      </c>
      <c r="C1804" s="7" t="n">
        <v>35</v>
      </c>
      <c r="D1804" s="7" t="s">
        <v>3755</v>
      </c>
      <c r="E1804" s="7"/>
      <c r="G1804" s="5" t="str">
        <f aca="false">IF(ISNUMBER(FIND("old rod:",A1804)),"old rod:",A1804)</f>
        <v>25, 35, SLOWPOKE</v>
      </c>
      <c r="I1804" s="5" t="s">
        <v>2855</v>
      </c>
    </row>
    <row r="1805" customFormat="false" ht="12.75" hidden="false" customHeight="true" outlineLevel="0" collapsed="false">
      <c r="A1805" s="5" t="s">
        <v>2536</v>
      </c>
      <c r="B1805" s="7" t="s">
        <v>2536</v>
      </c>
      <c r="C1805" s="7"/>
      <c r="D1805" s="7"/>
      <c r="E1805" s="7"/>
      <c r="G1805" s="5" t="str">
        <f aca="false">IF(ISNUMBER(FIND("old rod:",A1805)),"old rod:",A1805)</f>
        <v>NEW ROUTE</v>
      </c>
      <c r="I1805" s="5" t="s">
        <v>2536</v>
      </c>
    </row>
    <row r="1806" customFormat="false" ht="12.75" hidden="false" customHeight="true" outlineLevel="0" collapsed="false">
      <c r="A1806" s="5" t="s">
        <v>501</v>
      </c>
      <c r="B1806" s="7" t="s">
        <v>501</v>
      </c>
      <c r="C1806" s="7"/>
      <c r="D1806" s="7"/>
      <c r="E1806" s="7"/>
      <c r="G1806" s="5" t="str">
        <f aca="false">IF(ISNUMBER(FIND("old rod:",A1806)),"old rod:",A1806)</f>
        <v>Six Island Ruin Valley</v>
      </c>
      <c r="I1806" s="5" t="s">
        <v>501</v>
      </c>
    </row>
    <row r="1807" customFormat="false" ht="12.75" hidden="false" customHeight="true" outlineLevel="0" collapsed="false">
      <c r="A1807" s="5" t="n">
        <v>0.2</v>
      </c>
      <c r="B1807" s="5" t="n">
        <v>0.2</v>
      </c>
      <c r="C1807" s="7"/>
      <c r="D1807" s="7"/>
      <c r="E1807" s="7"/>
      <c r="G1807" s="5" t="n">
        <f aca="false">IF(ISNUMBER(FIND("old rod:",A1807)),"old rod:",A1807)</f>
        <v>0.2</v>
      </c>
      <c r="I1807" s="5" t="n">
        <v>0.2</v>
      </c>
    </row>
    <row r="1808" customFormat="false" ht="12.75" hidden="false" customHeight="true" outlineLevel="0" collapsed="false">
      <c r="A1808" s="5" t="s">
        <v>1743</v>
      </c>
      <c r="B1808" s="7" t="n">
        <v>15</v>
      </c>
      <c r="C1808" s="7" t="n">
        <v>15</v>
      </c>
      <c r="D1808" s="7" t="s">
        <v>3908</v>
      </c>
      <c r="E1808" s="7"/>
      <c r="G1808" s="5" t="str">
        <f aca="false">IF(ISNUMBER(FIND("old rod:",A1808)),"old rod:",A1808)</f>
        <v>15, 15, NATU</v>
      </c>
      <c r="I1808" s="5" t="s">
        <v>1743</v>
      </c>
    </row>
    <row r="1809" customFormat="false" ht="12.75" hidden="false" customHeight="true" outlineLevel="0" collapsed="false">
      <c r="A1809" s="5" t="s">
        <v>1736</v>
      </c>
      <c r="B1809" s="7" t="n">
        <v>44</v>
      </c>
      <c r="C1809" s="7" t="n">
        <v>44</v>
      </c>
      <c r="D1809" s="7" t="s">
        <v>3883</v>
      </c>
      <c r="E1809" s="7"/>
      <c r="G1809" s="5" t="str">
        <f aca="false">IF(ISNUMBER(FIND("old rod:",A1809)),"old rod:",A1809)</f>
        <v>44, 44, SPEAROW</v>
      </c>
      <c r="I1809" s="5" t="s">
        <v>1736</v>
      </c>
    </row>
    <row r="1810" customFormat="false" ht="12.75" hidden="false" customHeight="true" outlineLevel="0" collapsed="false">
      <c r="A1810" s="5" t="n">
        <v>0.1</v>
      </c>
      <c r="B1810" s="5" t="n">
        <v>0.1</v>
      </c>
      <c r="C1810" s="7"/>
      <c r="D1810" s="7"/>
      <c r="E1810" s="7"/>
      <c r="G1810" s="5" t="n">
        <f aca="false">IF(ISNUMBER(FIND("old rod:",A1810)),"old rod:",A1810)</f>
        <v>0.1</v>
      </c>
      <c r="I1810" s="5" t="n">
        <v>0.1</v>
      </c>
    </row>
    <row r="1811" customFormat="false" ht="12.75" hidden="false" customHeight="true" outlineLevel="0" collapsed="false">
      <c r="A1811" s="5" t="s">
        <v>3283</v>
      </c>
      <c r="B1811" s="7" t="n">
        <v>18</v>
      </c>
      <c r="C1811" s="7" t="n">
        <v>18</v>
      </c>
      <c r="D1811" s="7" t="s">
        <v>3909</v>
      </c>
      <c r="E1811" s="7"/>
      <c r="G1811" s="5" t="str">
        <f aca="false">IF(ISNUMBER(FIND("old rod:",A1811)),"old rod:",A1811)</f>
        <v>18, 18, YANMA</v>
      </c>
      <c r="I1811" s="5" t="s">
        <v>3283</v>
      </c>
    </row>
    <row r="1812" customFormat="false" ht="12.75" hidden="false" customHeight="true" outlineLevel="0" collapsed="false">
      <c r="A1812" s="5" t="s">
        <v>3284</v>
      </c>
      <c r="B1812" s="7" t="n">
        <v>15</v>
      </c>
      <c r="C1812" s="7" t="n">
        <v>15</v>
      </c>
      <c r="D1812" s="7" t="s">
        <v>3894</v>
      </c>
      <c r="E1812" s="7"/>
      <c r="G1812" s="5" t="str">
        <f aca="false">IF(ISNUMBER(FIND("old rod:",A1812)),"old rod:",A1812)</f>
        <v>15, 15, MARILL</v>
      </c>
      <c r="I1812" s="5" t="s">
        <v>3284</v>
      </c>
    </row>
    <row r="1813" customFormat="false" ht="12.75" hidden="false" customHeight="true" outlineLevel="0" collapsed="false">
      <c r="A1813" s="5" t="s">
        <v>3285</v>
      </c>
      <c r="B1813" s="7" t="n">
        <v>49</v>
      </c>
      <c r="C1813" s="7" t="n">
        <v>49</v>
      </c>
      <c r="D1813" s="7" t="s">
        <v>3882</v>
      </c>
      <c r="E1813" s="7"/>
      <c r="G1813" s="5" t="str">
        <f aca="false">IF(ISNUMBER(FIND("old rod:",A1813)),"old rod:",A1813)</f>
        <v>49, 49, FEAROW</v>
      </c>
      <c r="I1813" s="5" t="s">
        <v>3285</v>
      </c>
    </row>
    <row r="1814" customFormat="false" ht="12.75" hidden="false" customHeight="true" outlineLevel="0" collapsed="false">
      <c r="A1814" s="5" t="s">
        <v>3286</v>
      </c>
      <c r="B1814" s="7" t="n">
        <v>43</v>
      </c>
      <c r="C1814" s="7" t="n">
        <v>43</v>
      </c>
      <c r="D1814" s="7" t="s">
        <v>3902</v>
      </c>
      <c r="E1814" s="7"/>
      <c r="G1814" s="5" t="str">
        <f aca="false">IF(ISNUMBER(FIND("old rod:",A1814)),"old rod:",A1814)</f>
        <v>43, 43, MEOWTH</v>
      </c>
      <c r="I1814" s="5" t="s">
        <v>3286</v>
      </c>
    </row>
    <row r="1815" customFormat="false" ht="12.75" hidden="false" customHeight="true" outlineLevel="0" collapsed="false">
      <c r="A1815" s="5" t="n">
        <v>0.05</v>
      </c>
      <c r="B1815" s="5" t="n">
        <v>0.05</v>
      </c>
      <c r="C1815" s="7"/>
      <c r="D1815" s="7"/>
      <c r="E1815" s="7"/>
      <c r="G1815" s="5" t="n">
        <f aca="false">IF(ISNUMBER(FIND("old rod:",A1815)),"old rod:",A1815)</f>
        <v>0.05</v>
      </c>
      <c r="I1815" s="5" t="n">
        <v>0.05</v>
      </c>
    </row>
    <row r="1816" customFormat="false" ht="12.75" hidden="false" customHeight="true" outlineLevel="0" collapsed="false">
      <c r="A1816" s="5" t="s">
        <v>3287</v>
      </c>
      <c r="B1816" s="7" t="n">
        <v>25</v>
      </c>
      <c r="C1816" s="7" t="n">
        <v>25</v>
      </c>
      <c r="D1816" s="7" t="s">
        <v>3910</v>
      </c>
      <c r="E1816" s="7"/>
      <c r="G1816" s="5" t="str">
        <f aca="false">IF(ISNUMBER(FIND("old rod:",A1816)),"old rod:",A1816)</f>
        <v>25, 25, WOBBUFFET</v>
      </c>
      <c r="I1816" s="5" t="s">
        <v>3287</v>
      </c>
    </row>
    <row r="1817" customFormat="false" ht="12.75" hidden="false" customHeight="true" outlineLevel="0" collapsed="false">
      <c r="A1817" s="5" t="s">
        <v>3154</v>
      </c>
      <c r="B1817" s="7" t="n">
        <v>41</v>
      </c>
      <c r="C1817" s="7" t="n">
        <v>41</v>
      </c>
      <c r="D1817" s="7" t="s">
        <v>3755</v>
      </c>
      <c r="E1817" s="7"/>
      <c r="G1817" s="5" t="str">
        <f aca="false">IF(ISNUMBER(FIND("old rod:",A1817)),"old rod:",A1817)</f>
        <v>41, 41, SLOWPOKE</v>
      </c>
      <c r="I1817" s="5" t="s">
        <v>3154</v>
      </c>
    </row>
    <row r="1818" customFormat="false" ht="12.75" hidden="false" customHeight="true" outlineLevel="0" collapsed="false">
      <c r="A1818" s="5" t="n">
        <v>0.04</v>
      </c>
      <c r="B1818" s="5" t="n">
        <v>0.04</v>
      </c>
      <c r="C1818" s="7"/>
      <c r="D1818" s="7"/>
      <c r="E1818" s="7"/>
      <c r="G1818" s="5" t="n">
        <f aca="false">IF(ISNUMBER(FIND("old rod:",A1818)),"old rod:",A1818)</f>
        <v>0.04</v>
      </c>
      <c r="I1818" s="5" t="n">
        <v>0.04</v>
      </c>
    </row>
    <row r="1819" customFormat="false" ht="12.75" hidden="false" customHeight="true" outlineLevel="0" collapsed="false">
      <c r="A1819" s="5" t="s">
        <v>3288</v>
      </c>
      <c r="B1819" s="7" t="n">
        <v>20</v>
      </c>
      <c r="C1819" s="7" t="n">
        <v>20</v>
      </c>
      <c r="D1819" s="7" t="s">
        <v>3908</v>
      </c>
      <c r="E1819" s="7"/>
      <c r="G1819" s="5" t="str">
        <f aca="false">IF(ISNUMBER(FIND("old rod:",A1819)),"old rod:",A1819)</f>
        <v>20, 20, NATU</v>
      </c>
      <c r="I1819" s="5" t="s">
        <v>3288</v>
      </c>
    </row>
    <row r="1820" customFormat="false" ht="12.75" hidden="false" customHeight="true" outlineLevel="0" collapsed="false">
      <c r="A1820" s="5" t="s">
        <v>3289</v>
      </c>
      <c r="B1820" s="7" t="n">
        <v>49</v>
      </c>
      <c r="C1820" s="7" t="n">
        <v>49</v>
      </c>
      <c r="D1820" s="7" t="s">
        <v>3903</v>
      </c>
      <c r="E1820" s="7"/>
      <c r="G1820" s="5" t="str">
        <f aca="false">IF(ISNUMBER(FIND("old rod:",A1820)),"old rod:",A1820)</f>
        <v>49, 49, PERSIAN</v>
      </c>
      <c r="I1820" s="5" t="s">
        <v>3289</v>
      </c>
    </row>
    <row r="1821" customFormat="false" ht="12.75" hidden="false" customHeight="true" outlineLevel="0" collapsed="false">
      <c r="A1821" s="5" t="n">
        <v>0.01</v>
      </c>
      <c r="B1821" s="5" t="n">
        <v>0.01</v>
      </c>
      <c r="C1821" s="7"/>
      <c r="D1821" s="7"/>
      <c r="E1821" s="7"/>
      <c r="G1821" s="5" t="n">
        <f aca="false">IF(ISNUMBER(FIND("old rod:",A1821)),"old rod:",A1821)</f>
        <v>0.01</v>
      </c>
      <c r="I1821" s="5" t="n">
        <v>0.01</v>
      </c>
    </row>
    <row r="1822" customFormat="false" ht="12.75" hidden="false" customHeight="true" outlineLevel="0" collapsed="false">
      <c r="A1822" s="5" t="s">
        <v>3288</v>
      </c>
      <c r="B1822" s="7" t="n">
        <v>20</v>
      </c>
      <c r="C1822" s="7" t="n">
        <v>20</v>
      </c>
      <c r="D1822" s="7" t="s">
        <v>3908</v>
      </c>
      <c r="E1822" s="7"/>
      <c r="G1822" s="5" t="str">
        <f aca="false">IF(ISNUMBER(FIND("old rod:",A1822)),"old rod:",A1822)</f>
        <v>20, 20, NATU</v>
      </c>
      <c r="I1822" s="5" t="s">
        <v>3288</v>
      </c>
    </row>
    <row r="1823" customFormat="false" ht="12.75" hidden="false" customHeight="true" outlineLevel="0" collapsed="false">
      <c r="A1823" s="5" t="s">
        <v>3290</v>
      </c>
      <c r="B1823" s="7" t="n">
        <v>52</v>
      </c>
      <c r="C1823" s="7" t="n">
        <v>52</v>
      </c>
      <c r="D1823" s="7" t="s">
        <v>3903</v>
      </c>
      <c r="E1823" s="7"/>
      <c r="G1823" s="5" t="str">
        <f aca="false">IF(ISNUMBER(FIND("old rod:",A1823)),"old rod:",A1823)</f>
        <v>52, 52, PERSIAN</v>
      </c>
      <c r="I1823" s="5" t="s">
        <v>3290</v>
      </c>
    </row>
    <row r="1824" customFormat="false" ht="12.75" hidden="false" customHeight="true" outlineLevel="0" collapsed="false">
      <c r="A1824" s="5" t="s">
        <v>3291</v>
      </c>
      <c r="B1824" s="7" t="n">
        <v>2</v>
      </c>
      <c r="C1824" s="7" t="n">
        <v>5</v>
      </c>
      <c r="D1824" s="7" t="n">
        <v>20</v>
      </c>
      <c r="E1824" s="7" t="s">
        <v>3894</v>
      </c>
      <c r="G1824" s="5" t="str">
        <f aca="false">IF(ISNUMBER(FIND("old rod:",A1824)),"old rod:",A1824)</f>
        <v>2, 5, 20, MARILL</v>
      </c>
      <c r="I1824" s="5" t="s">
        <v>3291</v>
      </c>
    </row>
    <row r="1825" customFormat="false" ht="12.75" hidden="false" customHeight="true" outlineLevel="0" collapsed="false">
      <c r="A1825" s="5" t="s">
        <v>3292</v>
      </c>
      <c r="B1825" s="7" t="n">
        <v>10</v>
      </c>
      <c r="C1825" s="7" t="n">
        <v>20</v>
      </c>
      <c r="D1825" s="7" t="s">
        <v>3894</v>
      </c>
      <c r="E1825" s="7"/>
      <c r="G1825" s="5" t="str">
        <f aca="false">IF(ISNUMBER(FIND("old rod:",A1825)),"old rod:",A1825)</f>
        <v>10, 20, MARILL</v>
      </c>
      <c r="I1825" s="5" t="s">
        <v>3292</v>
      </c>
    </row>
    <row r="1826" customFormat="false" ht="12.75" hidden="false" customHeight="true" outlineLevel="0" collapsed="false">
      <c r="A1826" s="5" t="s">
        <v>3293</v>
      </c>
      <c r="B1826" s="7" t="n">
        <v>15</v>
      </c>
      <c r="C1826" s="7" t="n">
        <v>25</v>
      </c>
      <c r="D1826" s="7" t="s">
        <v>3894</v>
      </c>
      <c r="E1826" s="7"/>
      <c r="G1826" s="5" t="str">
        <f aca="false">IF(ISNUMBER(FIND("old rod:",A1826)),"old rod:",A1826)</f>
        <v>15, 25, MARILL</v>
      </c>
      <c r="I1826" s="5" t="s">
        <v>3293</v>
      </c>
    </row>
    <row r="1827" customFormat="false" ht="12.75" hidden="false" customHeight="true" outlineLevel="0" collapsed="false">
      <c r="A1827" s="5" t="s">
        <v>3294</v>
      </c>
      <c r="B1827" s="7" t="n">
        <v>20</v>
      </c>
      <c r="C1827" s="7" t="n">
        <v>25</v>
      </c>
      <c r="D1827" s="7" t="s">
        <v>3894</v>
      </c>
      <c r="E1827" s="7"/>
      <c r="G1827" s="5" t="str">
        <f aca="false">IF(ISNUMBER(FIND("old rod:",A1827)),"old rod:",A1827)</f>
        <v>20, 25, MARILL</v>
      </c>
      <c r="I1827" s="5" t="s">
        <v>3294</v>
      </c>
    </row>
    <row r="1828" customFormat="false" ht="12.75" hidden="false" customHeight="true" outlineLevel="0" collapsed="false">
      <c r="A1828" s="5" t="s">
        <v>3294</v>
      </c>
      <c r="B1828" s="7" t="n">
        <v>20</v>
      </c>
      <c r="C1828" s="7" t="n">
        <v>25</v>
      </c>
      <c r="D1828" s="7" t="s">
        <v>3894</v>
      </c>
      <c r="E1828" s="7"/>
      <c r="G1828" s="5" t="str">
        <f aca="false">IF(ISNUMBER(FIND("old rod:",A1828)),"old rod:",A1828)</f>
        <v>20, 25, MARILL</v>
      </c>
      <c r="I1828" s="5" t="s">
        <v>3294</v>
      </c>
    </row>
    <row r="1829" customFormat="false" ht="12.75" hidden="false" customHeight="true" outlineLevel="0" collapsed="false">
      <c r="A1829" s="5" t="s">
        <v>2925</v>
      </c>
      <c r="B1829" s="7" t="n">
        <v>20</v>
      </c>
      <c r="C1829" s="7" t="s">
        <v>3748</v>
      </c>
      <c r="D1829" s="7"/>
      <c r="E1829" s="7"/>
      <c r="G1829" s="5" t="str">
        <f aca="false">IF(ISNUMBER(FIND("old rod:",A1829)),"old rod:",A1829)</f>
        <v>old rod:</v>
      </c>
      <c r="I1829" s="5" t="s">
        <v>3749</v>
      </c>
    </row>
    <row r="1830" customFormat="false" ht="12.75" hidden="false" customHeight="true" outlineLevel="0" collapsed="false">
      <c r="A1830" s="5" t="s">
        <v>1266</v>
      </c>
      <c r="B1830" s="7" t="n">
        <v>5</v>
      </c>
      <c r="C1830" s="7" t="n">
        <v>5</v>
      </c>
      <c r="D1830" s="7" t="s">
        <v>3750</v>
      </c>
      <c r="E1830" s="7"/>
      <c r="G1830" s="5" t="str">
        <f aca="false">IF(ISNUMBER(FIND("old rod:",A1830)),"old rod:",A1830)</f>
        <v>5, 5, MAGIKARP</v>
      </c>
      <c r="I1830" s="5" t="s">
        <v>1266</v>
      </c>
    </row>
    <row r="1831" customFormat="false" ht="12.75" hidden="false" customHeight="true" outlineLevel="0" collapsed="false">
      <c r="A1831" s="5" t="s">
        <v>1266</v>
      </c>
      <c r="B1831" s="7" t="n">
        <v>5</v>
      </c>
      <c r="C1831" s="7" t="n">
        <v>5</v>
      </c>
      <c r="D1831" s="7" t="s">
        <v>3750</v>
      </c>
      <c r="E1831" s="7"/>
      <c r="G1831" s="5" t="str">
        <f aca="false">IF(ISNUMBER(FIND("old rod:",A1831)),"old rod:",A1831)</f>
        <v>5, 5, MAGIKARP</v>
      </c>
      <c r="I1831" s="5" t="s">
        <v>1266</v>
      </c>
    </row>
    <row r="1832" customFormat="false" ht="12.75" hidden="false" customHeight="true" outlineLevel="0" collapsed="false">
      <c r="A1832" s="5" t="s">
        <v>2846</v>
      </c>
      <c r="B1832" s="7" t="s">
        <v>2846</v>
      </c>
      <c r="C1832" s="7"/>
      <c r="D1832" s="7"/>
      <c r="E1832" s="7"/>
      <c r="G1832" s="5" t="str">
        <f aca="false">IF(ISNUMBER(FIND("old rod:",A1832)),"old rod:",A1832)</f>
        <v>good rod:</v>
      </c>
      <c r="I1832" s="5" t="s">
        <v>2846</v>
      </c>
    </row>
    <row r="1833" customFormat="false" ht="12.75" hidden="false" customHeight="true" outlineLevel="0" collapsed="false">
      <c r="A1833" s="5" t="s">
        <v>3143</v>
      </c>
      <c r="B1833" s="7" t="n">
        <v>5</v>
      </c>
      <c r="C1833" s="7" t="n">
        <v>15</v>
      </c>
      <c r="D1833" s="7" t="s">
        <v>3803</v>
      </c>
      <c r="E1833" s="7"/>
      <c r="G1833" s="5" t="str">
        <f aca="false">IF(ISNUMBER(FIND("old rod:",A1833)),"old rod:",A1833)</f>
        <v>5, 15, POLIWAG</v>
      </c>
      <c r="I1833" s="5" t="s">
        <v>3143</v>
      </c>
    </row>
    <row r="1834" customFormat="false" ht="12.75" hidden="false" customHeight="true" outlineLevel="0" collapsed="false">
      <c r="A1834" s="5" t="s">
        <v>2848</v>
      </c>
      <c r="B1834" s="7" t="n">
        <v>5</v>
      </c>
      <c r="C1834" s="7" t="n">
        <v>15</v>
      </c>
      <c r="D1834" s="7" t="s">
        <v>3750</v>
      </c>
      <c r="E1834" s="7"/>
      <c r="G1834" s="5" t="str">
        <f aca="false">IF(ISNUMBER(FIND("old rod:",A1834)),"old rod:",A1834)</f>
        <v>5, 15, MAGIKARP</v>
      </c>
      <c r="I1834" s="5" t="s">
        <v>2848</v>
      </c>
    </row>
    <row r="1835" customFormat="false" ht="12.75" hidden="false" customHeight="true" outlineLevel="0" collapsed="false">
      <c r="A1835" s="5" t="s">
        <v>3142</v>
      </c>
      <c r="B1835" s="7" t="n">
        <v>5</v>
      </c>
      <c r="C1835" s="7" t="n">
        <v>15</v>
      </c>
      <c r="D1835" s="7" t="s">
        <v>3804</v>
      </c>
      <c r="E1835" s="7"/>
      <c r="G1835" s="5" t="str">
        <f aca="false">IF(ISNUMBER(FIND("old rod:",A1835)),"old rod:",A1835)</f>
        <v>5, 15, GOLDEEN</v>
      </c>
      <c r="I1835" s="5" t="s">
        <v>3142</v>
      </c>
    </row>
    <row r="1836" customFormat="false" ht="12.75" hidden="false" customHeight="true" outlineLevel="0" collapsed="false">
      <c r="A1836" s="5" t="s">
        <v>2850</v>
      </c>
      <c r="B1836" s="7" t="s">
        <v>2850</v>
      </c>
      <c r="C1836" s="7"/>
      <c r="D1836" s="7"/>
      <c r="E1836" s="7"/>
      <c r="G1836" s="5" t="str">
        <f aca="false">IF(ISNUMBER(FIND("old rod:",A1836)),"old rod:",A1836)</f>
        <v>super rod:</v>
      </c>
      <c r="I1836" s="5" t="s">
        <v>2850</v>
      </c>
    </row>
    <row r="1837" customFormat="false" ht="12.75" hidden="false" customHeight="true" outlineLevel="0" collapsed="false">
      <c r="A1837" s="5" t="s">
        <v>3161</v>
      </c>
      <c r="B1837" s="7" t="n">
        <v>15</v>
      </c>
      <c r="C1837" s="7" t="n">
        <v>25</v>
      </c>
      <c r="D1837" s="7" t="s">
        <v>3803</v>
      </c>
      <c r="E1837" s="7"/>
      <c r="G1837" s="5" t="str">
        <f aca="false">IF(ISNUMBER(FIND("old rod:",A1837)),"old rod:",A1837)</f>
        <v>15, 25, POLIWAG</v>
      </c>
      <c r="I1837" s="5" t="s">
        <v>3161</v>
      </c>
    </row>
    <row r="1838" customFormat="false" ht="12.75" hidden="false" customHeight="true" outlineLevel="0" collapsed="false">
      <c r="A1838" s="5" t="s">
        <v>3162</v>
      </c>
      <c r="B1838" s="7" t="n">
        <v>20</v>
      </c>
      <c r="C1838" s="7" t="n">
        <v>30</v>
      </c>
      <c r="D1838" s="7" t="s">
        <v>3805</v>
      </c>
      <c r="E1838" s="7"/>
      <c r="G1838" s="5" t="str">
        <f aca="false">IF(ISNUMBER(FIND("old rod:",A1838)),"old rod:",A1838)</f>
        <v>20, 30, POLIWHIRL</v>
      </c>
      <c r="I1838" s="5" t="s">
        <v>3162</v>
      </c>
    </row>
    <row r="1839" customFormat="false" ht="12.75" hidden="false" customHeight="true" outlineLevel="0" collapsed="false">
      <c r="A1839" s="5" t="s">
        <v>2853</v>
      </c>
      <c r="B1839" s="7" t="n">
        <v>15</v>
      </c>
      <c r="C1839" s="7" t="n">
        <v>25</v>
      </c>
      <c r="D1839" s="7" t="s">
        <v>3754</v>
      </c>
      <c r="E1839" s="7"/>
      <c r="G1839" s="5" t="str">
        <f aca="false">IF(ISNUMBER(FIND("old rod:",A1839)),"old rod:",A1839)</f>
        <v>15, 25, GYARADOS</v>
      </c>
      <c r="I1839" s="5" t="s">
        <v>2853</v>
      </c>
    </row>
    <row r="1840" customFormat="false" ht="12.75" hidden="false" customHeight="true" outlineLevel="0" collapsed="false">
      <c r="A1840" s="5" t="s">
        <v>3146</v>
      </c>
      <c r="B1840" s="7" t="n">
        <v>15</v>
      </c>
      <c r="C1840" s="7" t="n">
        <v>25</v>
      </c>
      <c r="D1840" s="7" t="s">
        <v>3755</v>
      </c>
      <c r="E1840" s="7"/>
      <c r="G1840" s="5" t="str">
        <f aca="false">IF(ISNUMBER(FIND("old rod:",A1840)),"old rod:",A1840)</f>
        <v>15, 25, SLOWPOKE</v>
      </c>
      <c r="I1840" s="5" t="s">
        <v>3146</v>
      </c>
    </row>
    <row r="1841" customFormat="false" ht="12.75" hidden="false" customHeight="true" outlineLevel="0" collapsed="false">
      <c r="A1841" s="5" t="s">
        <v>2855</v>
      </c>
      <c r="B1841" s="7" t="n">
        <v>25</v>
      </c>
      <c r="C1841" s="7" t="n">
        <v>35</v>
      </c>
      <c r="D1841" s="7" t="s">
        <v>3755</v>
      </c>
      <c r="E1841" s="7"/>
      <c r="G1841" s="5" t="str">
        <f aca="false">IF(ISNUMBER(FIND("old rod:",A1841)),"old rod:",A1841)</f>
        <v>25, 35, SLOWPOKE</v>
      </c>
      <c r="I1841" s="5" t="s">
        <v>2855</v>
      </c>
    </row>
    <row r="1842" customFormat="false" ht="12.75" hidden="false" customHeight="true" outlineLevel="0" collapsed="false">
      <c r="A1842" s="5" t="s">
        <v>2536</v>
      </c>
      <c r="B1842" s="7" t="s">
        <v>2536</v>
      </c>
      <c r="C1842" s="7"/>
      <c r="D1842" s="7"/>
      <c r="E1842" s="7"/>
      <c r="G1842" s="5" t="str">
        <f aca="false">IF(ISNUMBER(FIND("old rod:",A1842)),"old rod:",A1842)</f>
        <v>NEW ROUTE</v>
      </c>
      <c r="I1842" s="5" t="s">
        <v>2536</v>
      </c>
    </row>
    <row r="1843" customFormat="false" ht="12.75" hidden="false" customHeight="true" outlineLevel="0" collapsed="false">
      <c r="A1843" s="5" t="s">
        <v>503</v>
      </c>
      <c r="B1843" s="7" t="s">
        <v>503</v>
      </c>
      <c r="C1843" s="7"/>
      <c r="D1843" s="7"/>
      <c r="E1843" s="7"/>
      <c r="G1843" s="5" t="str">
        <f aca="false">IF(ISNUMBER(FIND("old rod:",A1843)),"old rod:",A1843)</f>
        <v>Seven Island Trainer Tower</v>
      </c>
      <c r="I1843" s="5" t="s">
        <v>503</v>
      </c>
    </row>
    <row r="1844" customFormat="false" ht="12.75" hidden="false" customHeight="true" outlineLevel="0" collapsed="false">
      <c r="A1844" s="5" t="s">
        <v>3172</v>
      </c>
      <c r="B1844" s="7" t="n">
        <v>2</v>
      </c>
      <c r="C1844" s="7" t="n">
        <v>5</v>
      </c>
      <c r="D1844" s="7" t="n">
        <v>20</v>
      </c>
      <c r="E1844" s="7" t="s">
        <v>3747</v>
      </c>
      <c r="G1844" s="5" t="str">
        <f aca="false">IF(ISNUMBER(FIND("old rod:",A1844)),"old rod:",A1844)</f>
        <v>2, 5, 20, TENTACOOL</v>
      </c>
      <c r="I1844" s="5" t="s">
        <v>3172</v>
      </c>
    </row>
    <row r="1845" customFormat="false" ht="12.75" hidden="false" customHeight="true" outlineLevel="0" collapsed="false">
      <c r="A1845" s="5" t="s">
        <v>3173</v>
      </c>
      <c r="B1845" s="7" t="n">
        <v>20</v>
      </c>
      <c r="C1845" s="7" t="n">
        <v>35</v>
      </c>
      <c r="D1845" s="7" t="s">
        <v>3747</v>
      </c>
      <c r="E1845" s="7"/>
      <c r="G1845" s="5" t="str">
        <f aca="false">IF(ISNUMBER(FIND("old rod:",A1845)),"old rod:",A1845)</f>
        <v>20, 35, TENTACOOL</v>
      </c>
      <c r="I1845" s="5" t="s">
        <v>3173</v>
      </c>
    </row>
    <row r="1846" customFormat="false" ht="12.75" hidden="false" customHeight="true" outlineLevel="0" collapsed="false">
      <c r="A1846" s="5" t="s">
        <v>3296</v>
      </c>
      <c r="B1846" s="7" t="n">
        <v>35</v>
      </c>
      <c r="C1846" s="7" t="n">
        <v>40</v>
      </c>
      <c r="D1846" s="7" t="s">
        <v>3911</v>
      </c>
      <c r="E1846" s="7"/>
      <c r="G1846" s="5" t="str">
        <f aca="false">IF(ISNUMBER(FIND("old rod:",A1846)),"old rod:",A1846)</f>
        <v>35, 40, MANTINE</v>
      </c>
      <c r="I1846" s="5" t="s">
        <v>3296</v>
      </c>
    </row>
    <row r="1847" customFormat="false" ht="12.75" hidden="false" customHeight="true" outlineLevel="0" collapsed="false">
      <c r="A1847" s="5" t="s">
        <v>3231</v>
      </c>
      <c r="B1847" s="7" t="n">
        <v>35</v>
      </c>
      <c r="C1847" s="7" t="n">
        <v>40</v>
      </c>
      <c r="D1847" s="7" t="s">
        <v>3897</v>
      </c>
      <c r="E1847" s="7"/>
      <c r="G1847" s="5" t="str">
        <f aca="false">IF(ISNUMBER(FIND("old rod:",A1847)),"old rod:",A1847)</f>
        <v>35, 40, TENTACRUEL</v>
      </c>
      <c r="I1847" s="5" t="s">
        <v>3231</v>
      </c>
    </row>
    <row r="1848" customFormat="false" ht="12.75" hidden="false" customHeight="true" outlineLevel="0" collapsed="false">
      <c r="A1848" s="5" t="s">
        <v>3231</v>
      </c>
      <c r="B1848" s="7" t="n">
        <v>35</v>
      </c>
      <c r="C1848" s="7" t="n">
        <v>40</v>
      </c>
      <c r="D1848" s="7" t="s">
        <v>3897</v>
      </c>
      <c r="E1848" s="7"/>
      <c r="G1848" s="5" t="str">
        <f aca="false">IF(ISNUMBER(FIND("old rod:",A1848)),"old rod:",A1848)</f>
        <v>35, 40, TENTACRUEL</v>
      </c>
      <c r="I1848" s="5" t="s">
        <v>3231</v>
      </c>
    </row>
    <row r="1849" customFormat="false" ht="12.75" hidden="false" customHeight="true" outlineLevel="0" collapsed="false">
      <c r="A1849" s="5" t="s">
        <v>2925</v>
      </c>
      <c r="B1849" s="7" t="n">
        <v>20</v>
      </c>
      <c r="C1849" s="7" t="s">
        <v>3748</v>
      </c>
      <c r="D1849" s="7"/>
      <c r="E1849" s="7"/>
      <c r="G1849" s="5" t="str">
        <f aca="false">IF(ISNUMBER(FIND("old rod:",A1849)),"old rod:",A1849)</f>
        <v>old rod:</v>
      </c>
      <c r="I1849" s="5" t="s">
        <v>3749</v>
      </c>
    </row>
    <row r="1850" customFormat="false" ht="12.75" hidden="false" customHeight="true" outlineLevel="0" collapsed="false">
      <c r="A1850" s="5" t="s">
        <v>1266</v>
      </c>
      <c r="B1850" s="7" t="n">
        <v>5</v>
      </c>
      <c r="C1850" s="7" t="n">
        <v>5</v>
      </c>
      <c r="D1850" s="7" t="s">
        <v>3750</v>
      </c>
      <c r="E1850" s="7"/>
      <c r="G1850" s="5" t="str">
        <f aca="false">IF(ISNUMBER(FIND("old rod:",A1850)),"old rod:",A1850)</f>
        <v>5, 5, MAGIKARP</v>
      </c>
      <c r="I1850" s="5" t="s">
        <v>1266</v>
      </c>
    </row>
    <row r="1851" customFormat="false" ht="12.75" hidden="false" customHeight="true" outlineLevel="0" collapsed="false">
      <c r="A1851" s="5" t="s">
        <v>1266</v>
      </c>
      <c r="B1851" s="7" t="n">
        <v>5</v>
      </c>
      <c r="C1851" s="7" t="n">
        <v>5</v>
      </c>
      <c r="D1851" s="7" t="s">
        <v>3750</v>
      </c>
      <c r="E1851" s="7"/>
      <c r="G1851" s="5" t="str">
        <f aca="false">IF(ISNUMBER(FIND("old rod:",A1851)),"old rod:",A1851)</f>
        <v>5, 5, MAGIKARP</v>
      </c>
      <c r="I1851" s="5" t="s">
        <v>1266</v>
      </c>
    </row>
    <row r="1852" customFormat="false" ht="12.75" hidden="false" customHeight="true" outlineLevel="0" collapsed="false">
      <c r="A1852" s="5" t="s">
        <v>2846</v>
      </c>
      <c r="B1852" s="7" t="s">
        <v>2846</v>
      </c>
      <c r="C1852" s="7"/>
      <c r="D1852" s="7"/>
      <c r="E1852" s="7"/>
      <c r="G1852" s="5" t="str">
        <f aca="false">IF(ISNUMBER(FIND("old rod:",A1852)),"old rod:",A1852)</f>
        <v>good rod:</v>
      </c>
      <c r="I1852" s="5" t="s">
        <v>2846</v>
      </c>
    </row>
    <row r="1853" customFormat="false" ht="12.75" hidden="false" customHeight="true" outlineLevel="0" collapsed="false">
      <c r="A1853" s="5" t="s">
        <v>2847</v>
      </c>
      <c r="B1853" s="7" t="n">
        <v>5</v>
      </c>
      <c r="C1853" s="7" t="n">
        <v>15</v>
      </c>
      <c r="D1853" s="7" t="s">
        <v>3751</v>
      </c>
      <c r="E1853" s="7"/>
      <c r="G1853" s="5" t="str">
        <f aca="false">IF(ISNUMBER(FIND("old rod:",A1853)),"old rod:",A1853)</f>
        <v>5, 15, KRABBY</v>
      </c>
      <c r="I1853" s="5" t="s">
        <v>2847</v>
      </c>
    </row>
    <row r="1854" customFormat="false" ht="12.75" hidden="false" customHeight="true" outlineLevel="0" collapsed="false">
      <c r="A1854" s="5" t="s">
        <v>2848</v>
      </c>
      <c r="B1854" s="7" t="n">
        <v>5</v>
      </c>
      <c r="C1854" s="7" t="n">
        <v>15</v>
      </c>
      <c r="D1854" s="7" t="s">
        <v>3750</v>
      </c>
      <c r="E1854" s="7"/>
      <c r="G1854" s="5" t="str">
        <f aca="false">IF(ISNUMBER(FIND("old rod:",A1854)),"old rod:",A1854)</f>
        <v>5, 15, MAGIKARP</v>
      </c>
      <c r="I1854" s="5" t="s">
        <v>2848</v>
      </c>
    </row>
    <row r="1855" customFormat="false" ht="12.75" hidden="false" customHeight="true" outlineLevel="0" collapsed="false">
      <c r="A1855" s="5" t="s">
        <v>2847</v>
      </c>
      <c r="B1855" s="7" t="n">
        <v>5</v>
      </c>
      <c r="C1855" s="7" t="n">
        <v>15</v>
      </c>
      <c r="D1855" s="7" t="s">
        <v>3751</v>
      </c>
      <c r="E1855" s="7"/>
      <c r="G1855" s="5" t="str">
        <f aca="false">IF(ISNUMBER(FIND("old rod:",A1855)),"old rod:",A1855)</f>
        <v>5, 15, KRABBY</v>
      </c>
      <c r="I1855" s="5" t="s">
        <v>2847</v>
      </c>
    </row>
    <row r="1856" customFormat="false" ht="12.75" hidden="false" customHeight="true" outlineLevel="0" collapsed="false">
      <c r="A1856" s="5" t="s">
        <v>2850</v>
      </c>
      <c r="B1856" s="7" t="s">
        <v>2850</v>
      </c>
      <c r="C1856" s="7"/>
      <c r="D1856" s="7"/>
      <c r="E1856" s="7"/>
      <c r="G1856" s="5" t="str">
        <f aca="false">IF(ISNUMBER(FIND("old rod:",A1856)),"old rod:",A1856)</f>
        <v>super rod:</v>
      </c>
      <c r="I1856" s="5" t="s">
        <v>2850</v>
      </c>
    </row>
    <row r="1857" customFormat="false" ht="12.75" hidden="false" customHeight="true" outlineLevel="0" collapsed="false">
      <c r="A1857" s="5" t="s">
        <v>2851</v>
      </c>
      <c r="B1857" s="7" t="n">
        <v>15</v>
      </c>
      <c r="C1857" s="7" t="n">
        <v>25</v>
      </c>
      <c r="D1857" s="7" t="s">
        <v>3751</v>
      </c>
      <c r="E1857" s="7"/>
      <c r="G1857" s="5" t="str">
        <f aca="false">IF(ISNUMBER(FIND("old rod:",A1857)),"old rod:",A1857)</f>
        <v>15, 25, KRABBY</v>
      </c>
      <c r="I1857" s="5" t="s">
        <v>2851</v>
      </c>
    </row>
    <row r="1858" customFormat="false" ht="12.75" hidden="false" customHeight="true" outlineLevel="0" collapsed="false">
      <c r="A1858" s="5" t="s">
        <v>3258</v>
      </c>
      <c r="B1858" s="7" t="n">
        <v>15</v>
      </c>
      <c r="C1858" s="7" t="n">
        <v>25</v>
      </c>
      <c r="D1858" s="7" t="s">
        <v>3906</v>
      </c>
      <c r="E1858" s="7"/>
      <c r="G1858" s="5" t="str">
        <f aca="false">IF(ISNUMBER(FIND("old rod:",A1858)),"old rod:",A1858)</f>
        <v>15, 25, REMORAID</v>
      </c>
      <c r="I1858" s="5" t="s">
        <v>3258</v>
      </c>
    </row>
    <row r="1859" customFormat="false" ht="12.75" hidden="false" customHeight="true" outlineLevel="0" collapsed="false">
      <c r="A1859" s="5" t="s">
        <v>2853</v>
      </c>
      <c r="B1859" s="7" t="n">
        <v>15</v>
      </c>
      <c r="C1859" s="7" t="n">
        <v>25</v>
      </c>
      <c r="D1859" s="7" t="s">
        <v>3754</v>
      </c>
      <c r="E1859" s="7"/>
      <c r="G1859" s="5" t="str">
        <f aca="false">IF(ISNUMBER(FIND("old rod:",A1859)),"old rod:",A1859)</f>
        <v>15, 25, GYARADOS</v>
      </c>
      <c r="I1859" s="5" t="s">
        <v>2853</v>
      </c>
    </row>
    <row r="1860" customFormat="false" ht="12.75" hidden="false" customHeight="true" outlineLevel="0" collapsed="false">
      <c r="A1860" s="5" t="s">
        <v>3177</v>
      </c>
      <c r="B1860" s="7" t="n">
        <v>25</v>
      </c>
      <c r="C1860" s="7" t="n">
        <v>35</v>
      </c>
      <c r="D1860" s="7" t="s">
        <v>3859</v>
      </c>
      <c r="E1860" s="7"/>
      <c r="G1860" s="5" t="str">
        <f aca="false">IF(ISNUMBER(FIND("old rod:",A1860)),"old rod:",A1860)</f>
        <v>25, 35, KINGLER</v>
      </c>
      <c r="I1860" s="5" t="s">
        <v>3177</v>
      </c>
    </row>
    <row r="1861" customFormat="false" ht="12.75" hidden="false" customHeight="true" outlineLevel="0" collapsed="false">
      <c r="A1861" s="5" t="s">
        <v>2855</v>
      </c>
      <c r="B1861" s="7" t="n">
        <v>25</v>
      </c>
      <c r="C1861" s="7" t="n">
        <v>35</v>
      </c>
      <c r="D1861" s="7" t="s">
        <v>3755</v>
      </c>
      <c r="E1861" s="7"/>
      <c r="G1861" s="5" t="str">
        <f aca="false">IF(ISNUMBER(FIND("old rod:",A1861)),"old rod:",A1861)</f>
        <v>25, 35, SLOWPOKE</v>
      </c>
      <c r="I1861" s="5" t="s">
        <v>2855</v>
      </c>
    </row>
    <row r="1862" customFormat="false" ht="12.75" hidden="false" customHeight="true" outlineLevel="0" collapsed="false">
      <c r="A1862" s="5" t="s">
        <v>2536</v>
      </c>
      <c r="B1862" s="7" t="s">
        <v>2536</v>
      </c>
      <c r="C1862" s="7"/>
      <c r="D1862" s="7"/>
      <c r="E1862" s="7"/>
      <c r="G1862" s="5" t="str">
        <f aca="false">IF(ISNUMBER(FIND("old rod:",A1862)),"old rod:",A1862)</f>
        <v>NEW ROUTE</v>
      </c>
      <c r="I1862" s="5" t="s">
        <v>2536</v>
      </c>
    </row>
    <row r="1863" customFormat="false" ht="12.75" hidden="false" customHeight="true" outlineLevel="0" collapsed="false">
      <c r="A1863" s="5" t="s">
        <v>505</v>
      </c>
      <c r="B1863" s="7" t="s">
        <v>505</v>
      </c>
      <c r="C1863" s="7"/>
      <c r="D1863" s="7"/>
      <c r="E1863" s="7"/>
      <c r="G1863" s="5" t="str">
        <f aca="false">IF(ISNUMBER(FIND("old rod:",A1863)),"old rod:",A1863)</f>
        <v>Seven Island Sevault Canyon Entrance</v>
      </c>
      <c r="I1863" s="5" t="s">
        <v>505</v>
      </c>
    </row>
    <row r="1864" customFormat="false" ht="12.75" hidden="false" customHeight="true" outlineLevel="0" collapsed="false">
      <c r="A1864" s="5" t="n">
        <v>0.2</v>
      </c>
      <c r="B1864" s="5" t="n">
        <v>0.2</v>
      </c>
      <c r="C1864" s="7"/>
      <c r="D1864" s="7"/>
      <c r="E1864" s="7"/>
      <c r="G1864" s="5" t="n">
        <f aca="false">IF(ISNUMBER(FIND("old rod:",A1864)),"old rod:",A1864)</f>
        <v>0.2</v>
      </c>
      <c r="I1864" s="5" t="n">
        <v>0.2</v>
      </c>
    </row>
    <row r="1865" customFormat="false" ht="12.75" hidden="false" customHeight="true" outlineLevel="0" collapsed="false">
      <c r="A1865" s="5" t="s">
        <v>1736</v>
      </c>
      <c r="B1865" s="7" t="n">
        <v>44</v>
      </c>
      <c r="C1865" s="7" t="n">
        <v>44</v>
      </c>
      <c r="D1865" s="7" t="s">
        <v>3883</v>
      </c>
      <c r="E1865" s="7"/>
      <c r="G1865" s="5" t="str">
        <f aca="false">IF(ISNUMBER(FIND("old rod:",A1865)),"old rod:",A1865)</f>
        <v>44, 44, SPEAROW</v>
      </c>
      <c r="I1865" s="5" t="s">
        <v>1736</v>
      </c>
    </row>
    <row r="1866" customFormat="false" ht="12.75" hidden="false" customHeight="true" outlineLevel="0" collapsed="false">
      <c r="A1866" s="5" t="s">
        <v>3261</v>
      </c>
      <c r="B1866" s="7" t="n">
        <v>10</v>
      </c>
      <c r="C1866" s="7" t="n">
        <v>10</v>
      </c>
      <c r="D1866" s="7" t="s">
        <v>3907</v>
      </c>
      <c r="E1866" s="7"/>
      <c r="G1866" s="5" t="str">
        <f aca="false">IF(ISNUMBER(FIND("old rod:",A1866)),"old rod:",A1866)</f>
        <v>10, 10, SENTRET</v>
      </c>
      <c r="I1866" s="5" t="s">
        <v>3261</v>
      </c>
    </row>
    <row r="1867" customFormat="false" ht="12.75" hidden="false" customHeight="true" outlineLevel="0" collapsed="false">
      <c r="A1867" s="5" t="n">
        <v>0.1</v>
      </c>
      <c r="B1867" s="5" t="n">
        <v>0.1</v>
      </c>
      <c r="C1867" s="7"/>
      <c r="D1867" s="7"/>
      <c r="E1867" s="7"/>
      <c r="G1867" s="5" t="n">
        <f aca="false">IF(ISNUMBER(FIND("old rod:",A1867)),"old rod:",A1867)</f>
        <v>0.1</v>
      </c>
      <c r="I1867" s="5" t="n">
        <v>0.1</v>
      </c>
    </row>
    <row r="1868" customFormat="false" ht="12.75" hidden="false" customHeight="true" outlineLevel="0" collapsed="false">
      <c r="A1868" s="5" t="s">
        <v>3298</v>
      </c>
      <c r="B1868" s="7" t="n">
        <v>10</v>
      </c>
      <c r="C1868" s="7" t="n">
        <v>10</v>
      </c>
      <c r="D1868" s="7" t="s">
        <v>3912</v>
      </c>
      <c r="E1868" s="7"/>
      <c r="G1868" s="5" t="str">
        <f aca="false">IF(ISNUMBER(FIND("old rod:",A1868)),"old rod:",A1868)</f>
        <v>10, 10, PHANPY</v>
      </c>
      <c r="I1868" s="5" t="s">
        <v>3298</v>
      </c>
    </row>
    <row r="1869" customFormat="false" ht="12.75" hidden="false" customHeight="true" outlineLevel="0" collapsed="false">
      <c r="A1869" s="5" t="s">
        <v>3279</v>
      </c>
      <c r="B1869" s="7" t="n">
        <v>48</v>
      </c>
      <c r="C1869" s="7" t="n">
        <v>48</v>
      </c>
      <c r="D1869" s="7" t="s">
        <v>3882</v>
      </c>
      <c r="E1869" s="7"/>
      <c r="G1869" s="5" t="str">
        <f aca="false">IF(ISNUMBER(FIND("old rod:",A1869)),"old rod:",A1869)</f>
        <v>48, 48, FEAROW</v>
      </c>
      <c r="I1869" s="5" t="s">
        <v>3279</v>
      </c>
    </row>
    <row r="1870" customFormat="false" ht="12.75" hidden="false" customHeight="true" outlineLevel="0" collapsed="false">
      <c r="A1870" s="5" t="s">
        <v>3263</v>
      </c>
      <c r="B1870" s="7" t="n">
        <v>15</v>
      </c>
      <c r="C1870" s="7" t="n">
        <v>15</v>
      </c>
      <c r="D1870" s="7" t="s">
        <v>3907</v>
      </c>
      <c r="E1870" s="7"/>
      <c r="G1870" s="5" t="str">
        <f aca="false">IF(ISNUMBER(FIND("old rod:",A1870)),"old rod:",A1870)</f>
        <v>15, 15, SENTRET</v>
      </c>
      <c r="I1870" s="5" t="s">
        <v>3263</v>
      </c>
    </row>
    <row r="1871" customFormat="false" ht="12.75" hidden="false" customHeight="true" outlineLevel="0" collapsed="false">
      <c r="A1871" s="5" t="s">
        <v>3264</v>
      </c>
      <c r="B1871" s="7" t="n">
        <v>41</v>
      </c>
      <c r="C1871" s="7" t="n">
        <v>41</v>
      </c>
      <c r="D1871" s="7" t="s">
        <v>3902</v>
      </c>
      <c r="E1871" s="7"/>
      <c r="G1871" s="5" t="str">
        <f aca="false">IF(ISNUMBER(FIND("old rod:",A1871)),"old rod:",A1871)</f>
        <v>41, 41, MEOWTH</v>
      </c>
      <c r="I1871" s="5" t="s">
        <v>3264</v>
      </c>
    </row>
    <row r="1872" customFormat="false" ht="12.75" hidden="false" customHeight="true" outlineLevel="0" collapsed="false">
      <c r="A1872" s="5" t="n">
        <v>0.05</v>
      </c>
      <c r="B1872" s="5" t="n">
        <v>0.05</v>
      </c>
      <c r="C1872" s="7"/>
      <c r="D1872" s="7"/>
      <c r="E1872" s="7"/>
      <c r="G1872" s="5" t="n">
        <f aca="false">IF(ISNUMBER(FIND("old rod:",A1872)),"old rod:",A1872)</f>
        <v>0.05</v>
      </c>
      <c r="I1872" s="5" t="n">
        <v>0.05</v>
      </c>
    </row>
    <row r="1873" customFormat="false" ht="12.75" hidden="false" customHeight="true" outlineLevel="0" collapsed="false">
      <c r="A1873" s="5" t="s">
        <v>3281</v>
      </c>
      <c r="B1873" s="7" t="n">
        <v>50</v>
      </c>
      <c r="C1873" s="7" t="n">
        <v>50</v>
      </c>
      <c r="D1873" s="7" t="s">
        <v>3882</v>
      </c>
      <c r="E1873" s="7"/>
      <c r="G1873" s="5" t="str">
        <f aca="false">IF(ISNUMBER(FIND("old rod:",A1873)),"old rod:",A1873)</f>
        <v>50, 50, FEAROW</v>
      </c>
      <c r="I1873" s="5" t="s">
        <v>3281</v>
      </c>
    </row>
    <row r="1874" customFormat="false" ht="12.75" hidden="false" customHeight="true" outlineLevel="0" collapsed="false">
      <c r="A1874" s="5" t="s">
        <v>3154</v>
      </c>
      <c r="B1874" s="7" t="n">
        <v>41</v>
      </c>
      <c r="C1874" s="7" t="n">
        <v>41</v>
      </c>
      <c r="D1874" s="7" t="s">
        <v>3755</v>
      </c>
      <c r="E1874" s="7"/>
      <c r="G1874" s="5" t="str">
        <f aca="false">IF(ISNUMBER(FIND("old rod:",A1874)),"old rod:",A1874)</f>
        <v>41, 41, SLOWPOKE</v>
      </c>
      <c r="I1874" s="5" t="s">
        <v>3154</v>
      </c>
    </row>
    <row r="1875" customFormat="false" ht="12.75" hidden="false" customHeight="true" outlineLevel="0" collapsed="false">
      <c r="A1875" s="5" t="n">
        <v>0.04</v>
      </c>
      <c r="B1875" s="5" t="n">
        <v>0.04</v>
      </c>
      <c r="C1875" s="7"/>
      <c r="D1875" s="7"/>
      <c r="E1875" s="7"/>
      <c r="G1875" s="5" t="n">
        <f aca="false">IF(ISNUMBER(FIND("old rod:",A1875)),"old rod:",A1875)</f>
        <v>0.04</v>
      </c>
      <c r="I1875" s="5" t="n">
        <v>0.04</v>
      </c>
    </row>
    <row r="1876" customFormat="false" ht="12.75" hidden="false" customHeight="true" outlineLevel="0" collapsed="false">
      <c r="A1876" s="5" t="s">
        <v>3299</v>
      </c>
      <c r="B1876" s="7" t="n">
        <v>15</v>
      </c>
      <c r="C1876" s="7" t="n">
        <v>15</v>
      </c>
      <c r="D1876" s="7" t="s">
        <v>3912</v>
      </c>
      <c r="E1876" s="7"/>
      <c r="G1876" s="5" t="str">
        <f aca="false">IF(ISNUMBER(FIND("old rod:",A1876)),"old rod:",A1876)</f>
        <v>15, 15, PHANPY</v>
      </c>
      <c r="I1876" s="5" t="s">
        <v>3299</v>
      </c>
    </row>
    <row r="1877" customFormat="false" ht="12.75" hidden="false" customHeight="true" outlineLevel="0" collapsed="false">
      <c r="A1877" s="5" t="s">
        <v>3267</v>
      </c>
      <c r="B1877" s="7" t="n">
        <v>47</v>
      </c>
      <c r="C1877" s="7" t="n">
        <v>47</v>
      </c>
      <c r="D1877" s="7" t="s">
        <v>3903</v>
      </c>
      <c r="E1877" s="7"/>
      <c r="G1877" s="5" t="str">
        <f aca="false">IF(ISNUMBER(FIND("old rod:",A1877)),"old rod:",A1877)</f>
        <v>47, 47, PERSIAN</v>
      </c>
      <c r="I1877" s="5" t="s">
        <v>3267</v>
      </c>
    </row>
    <row r="1878" customFormat="false" ht="12.75" hidden="false" customHeight="true" outlineLevel="0" collapsed="false">
      <c r="A1878" s="5" t="n">
        <v>0.01</v>
      </c>
      <c r="B1878" s="5" t="n">
        <v>0.01</v>
      </c>
      <c r="C1878" s="7"/>
      <c r="D1878" s="7"/>
      <c r="E1878" s="7"/>
      <c r="G1878" s="5" t="n">
        <f aca="false">IF(ISNUMBER(FIND("old rod:",A1878)),"old rod:",A1878)</f>
        <v>0.01</v>
      </c>
      <c r="I1878" s="5" t="n">
        <v>0.01</v>
      </c>
    </row>
    <row r="1879" customFormat="false" ht="12.75" hidden="false" customHeight="true" outlineLevel="0" collapsed="false">
      <c r="A1879" s="5" t="s">
        <v>3299</v>
      </c>
      <c r="B1879" s="7" t="n">
        <v>15</v>
      </c>
      <c r="C1879" s="7" t="n">
        <v>15</v>
      </c>
      <c r="D1879" s="7" t="s">
        <v>3912</v>
      </c>
      <c r="E1879" s="7"/>
      <c r="G1879" s="5" t="str">
        <f aca="false">IF(ISNUMBER(FIND("old rod:",A1879)),"old rod:",A1879)</f>
        <v>15, 15, PHANPY</v>
      </c>
      <c r="I1879" s="5" t="s">
        <v>3299</v>
      </c>
    </row>
    <row r="1880" customFormat="false" ht="12.75" hidden="false" customHeight="true" outlineLevel="0" collapsed="false">
      <c r="A1880" s="5" t="s">
        <v>3268</v>
      </c>
      <c r="B1880" s="7" t="n">
        <v>50</v>
      </c>
      <c r="C1880" s="7" t="n">
        <v>50</v>
      </c>
      <c r="D1880" s="7" t="s">
        <v>3903</v>
      </c>
      <c r="E1880" s="7"/>
      <c r="G1880" s="5" t="str">
        <f aca="false">IF(ISNUMBER(FIND("old rod:",A1880)),"old rod:",A1880)</f>
        <v>50, 50, PERSIAN</v>
      </c>
      <c r="I1880" s="5" t="s">
        <v>3268</v>
      </c>
    </row>
    <row r="1881" customFormat="false" ht="12.75" hidden="false" customHeight="true" outlineLevel="0" collapsed="false">
      <c r="A1881" s="5" t="s">
        <v>2536</v>
      </c>
      <c r="B1881" s="7" t="s">
        <v>2536</v>
      </c>
      <c r="C1881" s="7"/>
      <c r="D1881" s="7"/>
      <c r="E1881" s="7"/>
      <c r="G1881" s="5" t="str">
        <f aca="false">IF(ISNUMBER(FIND("old rod:",A1881)),"old rod:",A1881)</f>
        <v>NEW ROUTE</v>
      </c>
      <c r="I1881" s="5" t="s">
        <v>2536</v>
      </c>
    </row>
    <row r="1882" customFormat="false" ht="12.75" hidden="false" customHeight="true" outlineLevel="0" collapsed="false">
      <c r="A1882" s="5" t="s">
        <v>507</v>
      </c>
      <c r="B1882" s="7" t="s">
        <v>507</v>
      </c>
      <c r="C1882" s="7"/>
      <c r="D1882" s="7"/>
      <c r="E1882" s="7"/>
      <c r="G1882" s="5" t="str">
        <f aca="false">IF(ISNUMBER(FIND("old rod:",A1882)),"old rod:",A1882)</f>
        <v>Seven Island Sevault Canyon</v>
      </c>
      <c r="I1882" s="5" t="s">
        <v>507</v>
      </c>
    </row>
    <row r="1883" customFormat="false" ht="12.75" hidden="false" customHeight="true" outlineLevel="0" collapsed="false">
      <c r="A1883" s="5" t="n">
        <v>0.2</v>
      </c>
      <c r="B1883" s="5" t="n">
        <v>0.2</v>
      </c>
      <c r="C1883" s="7"/>
      <c r="D1883" s="7"/>
      <c r="E1883" s="7"/>
      <c r="G1883" s="5" t="n">
        <f aca="false">IF(ISNUMBER(FIND("old rod:",A1883)),"old rod:",A1883)</f>
        <v>0.2</v>
      </c>
      <c r="I1883" s="5" t="n">
        <v>0.2</v>
      </c>
    </row>
    <row r="1884" customFormat="false" ht="12.75" hidden="false" customHeight="true" outlineLevel="0" collapsed="false">
      <c r="A1884" s="5" t="s">
        <v>1764</v>
      </c>
      <c r="B1884" s="7" t="n">
        <v>46</v>
      </c>
      <c r="C1884" s="7" t="n">
        <v>46</v>
      </c>
      <c r="D1884" s="7" t="s">
        <v>3740</v>
      </c>
      <c r="E1884" s="7"/>
      <c r="G1884" s="5" t="str">
        <f aca="false">IF(ISNUMBER(FIND("old rod:",A1884)),"old rod:",A1884)</f>
        <v>46, 46, GEODUDE</v>
      </c>
      <c r="I1884" s="5" t="s">
        <v>1764</v>
      </c>
    </row>
    <row r="1885" customFormat="false" ht="12.75" hidden="false" customHeight="true" outlineLevel="0" collapsed="false">
      <c r="A1885" s="5" t="s">
        <v>3299</v>
      </c>
      <c r="B1885" s="7" t="n">
        <v>15</v>
      </c>
      <c r="C1885" s="7" t="n">
        <v>15</v>
      </c>
      <c r="D1885" s="7" t="s">
        <v>3912</v>
      </c>
      <c r="E1885" s="7"/>
      <c r="G1885" s="5" t="str">
        <f aca="false">IF(ISNUMBER(FIND("old rod:",A1885)),"old rod:",A1885)</f>
        <v>15, 15, PHANPY</v>
      </c>
      <c r="I1885" s="5" t="s">
        <v>3299</v>
      </c>
    </row>
    <row r="1886" customFormat="false" ht="12.75" hidden="false" customHeight="true" outlineLevel="0" collapsed="false">
      <c r="A1886" s="5" t="n">
        <v>0.1</v>
      </c>
      <c r="B1886" s="5" t="n">
        <v>0.1</v>
      </c>
      <c r="C1886" s="7"/>
      <c r="D1886" s="7"/>
      <c r="E1886" s="7"/>
      <c r="G1886" s="5" t="n">
        <f aca="false">IF(ISNUMBER(FIND("old rod:",A1886)),"old rod:",A1886)</f>
        <v>0.1</v>
      </c>
      <c r="I1886" s="5" t="n">
        <v>0.1</v>
      </c>
    </row>
    <row r="1887" customFormat="false" ht="12.75" hidden="false" customHeight="true" outlineLevel="0" collapsed="false">
      <c r="A1887" s="5" t="s">
        <v>3302</v>
      </c>
      <c r="B1887" s="7" t="n">
        <v>46</v>
      </c>
      <c r="C1887" s="7" t="n">
        <v>46</v>
      </c>
      <c r="D1887" s="7" t="s">
        <v>3865</v>
      </c>
      <c r="E1887" s="7"/>
      <c r="G1887" s="5" t="str">
        <f aca="false">IF(ISNUMBER(FIND("old rod:",A1887)),"old rod:",A1887)</f>
        <v>46, 46, CUBONE</v>
      </c>
      <c r="I1887" s="5" t="s">
        <v>3302</v>
      </c>
    </row>
    <row r="1888" customFormat="false" ht="12.75" hidden="false" customHeight="true" outlineLevel="0" collapsed="false">
      <c r="A1888" s="5" t="s">
        <v>3281</v>
      </c>
      <c r="B1888" s="7" t="n">
        <v>50</v>
      </c>
      <c r="C1888" s="7" t="n">
        <v>50</v>
      </c>
      <c r="D1888" s="7" t="s">
        <v>3882</v>
      </c>
      <c r="E1888" s="7"/>
      <c r="G1888" s="5" t="str">
        <f aca="false">IF(ISNUMBER(FIND("old rod:",A1888)),"old rod:",A1888)</f>
        <v>50, 50, FEAROW</v>
      </c>
      <c r="I1888" s="5" t="s">
        <v>3281</v>
      </c>
    </row>
    <row r="1889" customFormat="false" ht="12.75" hidden="false" customHeight="true" outlineLevel="0" collapsed="false">
      <c r="A1889" s="5" t="s">
        <v>3303</v>
      </c>
      <c r="B1889" s="7" t="n">
        <v>52</v>
      </c>
      <c r="C1889" s="7" t="n">
        <v>52</v>
      </c>
      <c r="D1889" s="7" t="s">
        <v>3871</v>
      </c>
      <c r="E1889" s="7"/>
      <c r="G1889" s="5" t="str">
        <f aca="false">IF(ISNUMBER(FIND("old rod:",A1889)),"old rod:",A1889)</f>
        <v>52, 52, MAROWAK</v>
      </c>
      <c r="I1889" s="5" t="s">
        <v>3303</v>
      </c>
    </row>
    <row r="1890" customFormat="false" ht="12.75" hidden="false" customHeight="true" outlineLevel="0" collapsed="false">
      <c r="A1890" s="5" t="s">
        <v>3286</v>
      </c>
      <c r="B1890" s="7" t="n">
        <v>43</v>
      </c>
      <c r="C1890" s="7" t="n">
        <v>43</v>
      </c>
      <c r="D1890" s="7" t="s">
        <v>3902</v>
      </c>
      <c r="E1890" s="7"/>
      <c r="G1890" s="5" t="str">
        <f aca="false">IF(ISNUMBER(FIND("old rod:",A1890)),"old rod:",A1890)</f>
        <v>43, 43, MEOWTH</v>
      </c>
      <c r="I1890" s="5" t="s">
        <v>3286</v>
      </c>
    </row>
    <row r="1891" customFormat="false" ht="12.75" hidden="false" customHeight="true" outlineLevel="0" collapsed="false">
      <c r="A1891" s="5" t="n">
        <v>0.05</v>
      </c>
      <c r="B1891" s="5" t="n">
        <v>0.05</v>
      </c>
      <c r="C1891" s="7"/>
      <c r="D1891" s="7"/>
      <c r="E1891" s="7"/>
      <c r="G1891" s="5" t="n">
        <f aca="false">IF(ISNUMBER(FIND("old rod:",A1891)),"old rod:",A1891)</f>
        <v>0.05</v>
      </c>
      <c r="I1891" s="5" t="n">
        <v>0.05</v>
      </c>
    </row>
    <row r="1892" customFormat="false" ht="12.75" hidden="false" customHeight="true" outlineLevel="0" collapsed="false">
      <c r="A1892" s="5" t="s">
        <v>3304</v>
      </c>
      <c r="B1892" s="7" t="n">
        <v>54</v>
      </c>
      <c r="C1892" s="7" t="n">
        <v>54</v>
      </c>
      <c r="D1892" s="7" t="s">
        <v>3743</v>
      </c>
      <c r="E1892" s="7"/>
      <c r="G1892" s="5" t="str">
        <f aca="false">IF(ISNUMBER(FIND("old rod:",A1892)),"old rod:",A1892)</f>
        <v>54, 54, ONIX</v>
      </c>
      <c r="I1892" s="5" t="s">
        <v>3304</v>
      </c>
    </row>
    <row r="1893" customFormat="false" ht="12.75" hidden="false" customHeight="true" outlineLevel="0" collapsed="false">
      <c r="A1893" s="5" t="s">
        <v>3281</v>
      </c>
      <c r="B1893" s="7" t="n">
        <v>50</v>
      </c>
      <c r="C1893" s="7" t="n">
        <v>50</v>
      </c>
      <c r="D1893" s="7" t="s">
        <v>3882</v>
      </c>
      <c r="E1893" s="7"/>
      <c r="G1893" s="5" t="str">
        <f aca="false">IF(ISNUMBER(FIND("old rod:",A1893)),"old rod:",A1893)</f>
        <v>50, 50, FEAROW</v>
      </c>
      <c r="I1893" s="5" t="s">
        <v>3281</v>
      </c>
    </row>
    <row r="1894" customFormat="false" ht="12.75" hidden="false" customHeight="true" outlineLevel="0" collapsed="false">
      <c r="A1894" s="5" t="n">
        <v>0.04</v>
      </c>
      <c r="B1894" s="5" t="n">
        <v>0.04</v>
      </c>
      <c r="C1894" s="7"/>
      <c r="D1894" s="7"/>
      <c r="E1894" s="7"/>
      <c r="G1894" s="5" t="n">
        <f aca="false">IF(ISNUMBER(FIND("old rod:",A1894)),"old rod:",A1894)</f>
        <v>0.04</v>
      </c>
      <c r="I1894" s="5" t="n">
        <v>0.04</v>
      </c>
    </row>
    <row r="1895" customFormat="false" ht="12.75" hidden="false" customHeight="true" outlineLevel="0" collapsed="false">
      <c r="A1895" s="5" t="s">
        <v>3305</v>
      </c>
      <c r="B1895" s="7" t="n">
        <v>15</v>
      </c>
      <c r="C1895" s="7" t="n">
        <v>15</v>
      </c>
      <c r="D1895" s="7" t="s">
        <v>3913</v>
      </c>
      <c r="E1895" s="7"/>
      <c r="G1895" s="5" t="str">
        <f aca="false">IF(ISNUMBER(FIND("old rod:",A1895)),"old rod:",A1895)</f>
        <v>15, 15, LARVITAR</v>
      </c>
      <c r="I1895" s="5" t="s">
        <v>3305</v>
      </c>
    </row>
    <row r="1896" customFormat="false" ht="12.75" hidden="false" customHeight="true" outlineLevel="0" collapsed="false">
      <c r="A1896" s="5" t="s">
        <v>3289</v>
      </c>
      <c r="B1896" s="7" t="n">
        <v>49</v>
      </c>
      <c r="C1896" s="7" t="n">
        <v>49</v>
      </c>
      <c r="D1896" s="7" t="s">
        <v>3903</v>
      </c>
      <c r="E1896" s="7"/>
      <c r="G1896" s="5" t="str">
        <f aca="false">IF(ISNUMBER(FIND("old rod:",A1896)),"old rod:",A1896)</f>
        <v>49, 49, PERSIAN</v>
      </c>
      <c r="I1896" s="5" t="s">
        <v>3289</v>
      </c>
    </row>
    <row r="1897" customFormat="false" ht="12.75" hidden="false" customHeight="true" outlineLevel="0" collapsed="false">
      <c r="A1897" s="5" t="n">
        <v>0.01</v>
      </c>
      <c r="B1897" s="5" t="n">
        <v>0.01</v>
      </c>
      <c r="C1897" s="7"/>
      <c r="D1897" s="7"/>
      <c r="E1897" s="7"/>
      <c r="G1897" s="5" t="n">
        <f aca="false">IF(ISNUMBER(FIND("old rod:",A1897)),"old rod:",A1897)</f>
        <v>0.01</v>
      </c>
      <c r="I1897" s="5" t="n">
        <v>0.01</v>
      </c>
    </row>
    <row r="1898" customFormat="false" ht="12.75" hidden="false" customHeight="true" outlineLevel="0" collapsed="false">
      <c r="A1898" s="5" t="s">
        <v>3306</v>
      </c>
      <c r="B1898" s="7" t="n">
        <v>20</v>
      </c>
      <c r="C1898" s="7" t="n">
        <v>20</v>
      </c>
      <c r="D1898" s="7" t="s">
        <v>3913</v>
      </c>
      <c r="E1898" s="7"/>
      <c r="G1898" s="5" t="str">
        <f aca="false">IF(ISNUMBER(FIND("old rod:",A1898)),"old rod:",A1898)</f>
        <v>20, 20, LARVITAR</v>
      </c>
      <c r="I1898" s="5" t="s">
        <v>3306</v>
      </c>
    </row>
    <row r="1899" customFormat="false" ht="12.75" hidden="false" customHeight="true" outlineLevel="0" collapsed="false">
      <c r="A1899" s="5" t="s">
        <v>3290</v>
      </c>
      <c r="B1899" s="7" t="n">
        <v>52</v>
      </c>
      <c r="C1899" s="7" t="n">
        <v>52</v>
      </c>
      <c r="D1899" s="7" t="s">
        <v>3903</v>
      </c>
      <c r="E1899" s="7"/>
      <c r="G1899" s="5" t="str">
        <f aca="false">IF(ISNUMBER(FIND("old rod:",A1899)),"old rod:",A1899)</f>
        <v>52, 52, PERSIAN</v>
      </c>
      <c r="I1899" s="5" t="s">
        <v>3290</v>
      </c>
    </row>
    <row r="1900" customFormat="false" ht="12.75" hidden="false" customHeight="true" outlineLevel="0" collapsed="false">
      <c r="A1900" s="5" t="s">
        <v>3307</v>
      </c>
      <c r="B1900" s="7" t="n">
        <v>25</v>
      </c>
      <c r="C1900" s="7" t="n">
        <v>25</v>
      </c>
      <c r="D1900" s="7" t="n">
        <v>35</v>
      </c>
      <c r="E1900" s="7" t="s">
        <v>3740</v>
      </c>
      <c r="G1900" s="5" t="str">
        <f aca="false">IF(ISNUMBER(FIND("old rod:",A1900)),"old rod:",A1900)</f>
        <v>25, 25, 35, GEODUDE</v>
      </c>
      <c r="I1900" s="5" t="s">
        <v>3307</v>
      </c>
    </row>
    <row r="1901" customFormat="false" ht="12.75" hidden="false" customHeight="true" outlineLevel="0" collapsed="false">
      <c r="A1901" s="5" t="s">
        <v>3102</v>
      </c>
      <c r="B1901" s="7" t="n">
        <v>30</v>
      </c>
      <c r="C1901" s="7" t="n">
        <v>45</v>
      </c>
      <c r="D1901" s="7" t="s">
        <v>3746</v>
      </c>
      <c r="E1901" s="7"/>
      <c r="G1901" s="5" t="str">
        <f aca="false">IF(ISNUMBER(FIND("old rod:",A1901)),"old rod:",A1901)</f>
        <v>30, 45, GRAVELER</v>
      </c>
      <c r="I1901" s="5" t="s">
        <v>3102</v>
      </c>
    </row>
    <row r="1902" customFormat="false" ht="12.75" hidden="false" customHeight="true" outlineLevel="0" collapsed="false">
      <c r="A1902" s="5" t="s">
        <v>3103</v>
      </c>
      <c r="B1902" s="7" t="n">
        <v>35</v>
      </c>
      <c r="C1902" s="7" t="n">
        <v>50</v>
      </c>
      <c r="D1902" s="7" t="s">
        <v>3746</v>
      </c>
      <c r="E1902" s="7"/>
      <c r="G1902" s="5" t="str">
        <f aca="false">IF(ISNUMBER(FIND("old rod:",A1902)),"old rod:",A1902)</f>
        <v>35, 50, GRAVELER</v>
      </c>
      <c r="I1902" s="5" t="s">
        <v>3103</v>
      </c>
    </row>
    <row r="1903" customFormat="false" ht="12.75" hidden="false" customHeight="true" outlineLevel="0" collapsed="false">
      <c r="A1903" s="5" t="s">
        <v>3104</v>
      </c>
      <c r="B1903" s="7" t="n">
        <v>30</v>
      </c>
      <c r="C1903" s="7" t="n">
        <v>40</v>
      </c>
      <c r="D1903" s="7" t="s">
        <v>3740</v>
      </c>
      <c r="E1903" s="7"/>
      <c r="G1903" s="5" t="str">
        <f aca="false">IF(ISNUMBER(FIND("old rod:",A1903)),"old rod:",A1903)</f>
        <v>30, 40, GEODUDE</v>
      </c>
      <c r="I1903" s="5" t="s">
        <v>3104</v>
      </c>
    </row>
    <row r="1904" customFormat="false" ht="12.75" hidden="false" customHeight="true" outlineLevel="0" collapsed="false">
      <c r="A1904" s="5" t="s">
        <v>3104</v>
      </c>
      <c r="B1904" s="7" t="n">
        <v>30</v>
      </c>
      <c r="C1904" s="7" t="n">
        <v>40</v>
      </c>
      <c r="D1904" s="7" t="s">
        <v>3740</v>
      </c>
      <c r="E1904" s="7"/>
      <c r="G1904" s="5" t="str">
        <f aca="false">IF(ISNUMBER(FIND("old rod:",A1904)),"old rod:",A1904)</f>
        <v>30, 40, GEODUDE</v>
      </c>
      <c r="I1904" s="5" t="s">
        <v>3104</v>
      </c>
    </row>
    <row r="1905" customFormat="false" ht="12.75" hidden="false" customHeight="true" outlineLevel="0" collapsed="false">
      <c r="A1905" s="5" t="s">
        <v>2536</v>
      </c>
      <c r="B1905" s="7" t="s">
        <v>2536</v>
      </c>
      <c r="C1905" s="7"/>
      <c r="D1905" s="7"/>
      <c r="E1905" s="7"/>
      <c r="G1905" s="5" t="str">
        <f aca="false">IF(ISNUMBER(FIND("old rod:",A1905)),"old rod:",A1905)</f>
        <v>NEW ROUTE</v>
      </c>
      <c r="I1905" s="5" t="s">
        <v>2536</v>
      </c>
    </row>
    <row r="1906" customFormat="false" ht="12.75" hidden="false" customHeight="true" outlineLevel="0" collapsed="false">
      <c r="A1906" s="5" t="s">
        <v>509</v>
      </c>
      <c r="B1906" s="7" t="s">
        <v>509</v>
      </c>
      <c r="C1906" s="7"/>
      <c r="D1906" s="7"/>
      <c r="E1906" s="7"/>
      <c r="G1906" s="5" t="str">
        <f aca="false">IF(ISNUMBER(FIND("old rod:",A1906)),"old rod:",A1906)</f>
        <v>Seven Island Tanoby Ruins</v>
      </c>
      <c r="I1906" s="5" t="s">
        <v>509</v>
      </c>
    </row>
    <row r="1907" customFormat="false" ht="12.75" hidden="false" customHeight="true" outlineLevel="0" collapsed="false">
      <c r="A1907" s="5" t="s">
        <v>3172</v>
      </c>
      <c r="B1907" s="7" t="n">
        <v>2</v>
      </c>
      <c r="C1907" s="7" t="n">
        <v>5</v>
      </c>
      <c r="D1907" s="7" t="n">
        <v>20</v>
      </c>
      <c r="E1907" s="7" t="s">
        <v>3747</v>
      </c>
      <c r="G1907" s="5" t="str">
        <f aca="false">IF(ISNUMBER(FIND("old rod:",A1907)),"old rod:",A1907)</f>
        <v>2, 5, 20, TENTACOOL</v>
      </c>
      <c r="I1907" s="5" t="s">
        <v>3172</v>
      </c>
    </row>
    <row r="1908" customFormat="false" ht="12.75" hidden="false" customHeight="true" outlineLevel="0" collapsed="false">
      <c r="A1908" s="5" t="s">
        <v>3173</v>
      </c>
      <c r="B1908" s="7" t="n">
        <v>20</v>
      </c>
      <c r="C1908" s="7" t="n">
        <v>35</v>
      </c>
      <c r="D1908" s="7" t="s">
        <v>3747</v>
      </c>
      <c r="E1908" s="7"/>
      <c r="G1908" s="5" t="str">
        <f aca="false">IF(ISNUMBER(FIND("old rod:",A1908)),"old rod:",A1908)</f>
        <v>20, 35, TENTACOOL</v>
      </c>
      <c r="I1908" s="5" t="s">
        <v>3173</v>
      </c>
    </row>
    <row r="1909" customFormat="false" ht="12.75" hidden="false" customHeight="true" outlineLevel="0" collapsed="false">
      <c r="A1909" s="5" t="s">
        <v>3296</v>
      </c>
      <c r="B1909" s="7" t="n">
        <v>35</v>
      </c>
      <c r="C1909" s="7" t="n">
        <v>40</v>
      </c>
      <c r="D1909" s="7" t="s">
        <v>3911</v>
      </c>
      <c r="E1909" s="7"/>
      <c r="G1909" s="5" t="str">
        <f aca="false">IF(ISNUMBER(FIND("old rod:",A1909)),"old rod:",A1909)</f>
        <v>35, 40, MANTINE</v>
      </c>
      <c r="I1909" s="5" t="s">
        <v>3296</v>
      </c>
    </row>
    <row r="1910" customFormat="false" ht="12.75" hidden="false" customHeight="true" outlineLevel="0" collapsed="false">
      <c r="A1910" s="5" t="s">
        <v>3231</v>
      </c>
      <c r="B1910" s="7" t="n">
        <v>35</v>
      </c>
      <c r="C1910" s="7" t="n">
        <v>40</v>
      </c>
      <c r="D1910" s="7" t="s">
        <v>3897</v>
      </c>
      <c r="E1910" s="7"/>
      <c r="G1910" s="5" t="str">
        <f aca="false">IF(ISNUMBER(FIND("old rod:",A1910)),"old rod:",A1910)</f>
        <v>35, 40, TENTACRUEL</v>
      </c>
      <c r="I1910" s="5" t="s">
        <v>3231</v>
      </c>
    </row>
    <row r="1911" customFormat="false" ht="12.75" hidden="false" customHeight="true" outlineLevel="0" collapsed="false">
      <c r="A1911" s="5" t="s">
        <v>3231</v>
      </c>
      <c r="B1911" s="7" t="n">
        <v>35</v>
      </c>
      <c r="C1911" s="7" t="n">
        <v>40</v>
      </c>
      <c r="D1911" s="7" t="s">
        <v>3897</v>
      </c>
      <c r="E1911" s="7"/>
      <c r="G1911" s="5" t="str">
        <f aca="false">IF(ISNUMBER(FIND("old rod:",A1911)),"old rod:",A1911)</f>
        <v>35, 40, TENTACRUEL</v>
      </c>
      <c r="I1911" s="5" t="s">
        <v>3231</v>
      </c>
    </row>
    <row r="1912" customFormat="false" ht="12.75" hidden="false" customHeight="true" outlineLevel="0" collapsed="false">
      <c r="A1912" s="5" t="s">
        <v>2925</v>
      </c>
      <c r="B1912" s="7" t="n">
        <v>20</v>
      </c>
      <c r="C1912" s="7" t="s">
        <v>3748</v>
      </c>
      <c r="D1912" s="7"/>
      <c r="E1912" s="7"/>
      <c r="G1912" s="5" t="str">
        <f aca="false">IF(ISNUMBER(FIND("old rod:",A1912)),"old rod:",A1912)</f>
        <v>old rod:</v>
      </c>
      <c r="I1912" s="5" t="s">
        <v>3749</v>
      </c>
    </row>
    <row r="1913" customFormat="false" ht="12.75" hidden="false" customHeight="true" outlineLevel="0" collapsed="false">
      <c r="A1913" s="5" t="s">
        <v>1266</v>
      </c>
      <c r="B1913" s="7" t="n">
        <v>5</v>
      </c>
      <c r="C1913" s="7" t="n">
        <v>5</v>
      </c>
      <c r="D1913" s="7" t="s">
        <v>3750</v>
      </c>
      <c r="E1913" s="7"/>
      <c r="G1913" s="5" t="str">
        <f aca="false">IF(ISNUMBER(FIND("old rod:",A1913)),"old rod:",A1913)</f>
        <v>5, 5, MAGIKARP</v>
      </c>
      <c r="I1913" s="5" t="s">
        <v>1266</v>
      </c>
    </row>
    <row r="1914" customFormat="false" ht="12.75" hidden="false" customHeight="true" outlineLevel="0" collapsed="false">
      <c r="A1914" s="5" t="s">
        <v>1266</v>
      </c>
      <c r="B1914" s="7" t="n">
        <v>5</v>
      </c>
      <c r="C1914" s="7" t="n">
        <v>5</v>
      </c>
      <c r="D1914" s="7" t="s">
        <v>3750</v>
      </c>
      <c r="E1914" s="7"/>
      <c r="G1914" s="5" t="str">
        <f aca="false">IF(ISNUMBER(FIND("old rod:",A1914)),"old rod:",A1914)</f>
        <v>5, 5, MAGIKARP</v>
      </c>
      <c r="I1914" s="5" t="s">
        <v>1266</v>
      </c>
    </row>
    <row r="1915" customFormat="false" ht="12.75" hidden="false" customHeight="true" outlineLevel="0" collapsed="false">
      <c r="A1915" s="5" t="s">
        <v>2846</v>
      </c>
      <c r="B1915" s="7" t="s">
        <v>2846</v>
      </c>
      <c r="C1915" s="7"/>
      <c r="D1915" s="7"/>
      <c r="E1915" s="7"/>
      <c r="G1915" s="5" t="str">
        <f aca="false">IF(ISNUMBER(FIND("old rod:",A1915)),"old rod:",A1915)</f>
        <v>good rod:</v>
      </c>
      <c r="I1915" s="5" t="s">
        <v>2846</v>
      </c>
    </row>
    <row r="1916" customFormat="false" ht="12.75" hidden="false" customHeight="true" outlineLevel="0" collapsed="false">
      <c r="A1916" s="5" t="s">
        <v>2847</v>
      </c>
      <c r="B1916" s="7" t="n">
        <v>5</v>
      </c>
      <c r="C1916" s="7" t="n">
        <v>15</v>
      </c>
      <c r="D1916" s="7" t="s">
        <v>3751</v>
      </c>
      <c r="E1916" s="7"/>
      <c r="G1916" s="5" t="str">
        <f aca="false">IF(ISNUMBER(FIND("old rod:",A1916)),"old rod:",A1916)</f>
        <v>5, 15, KRABBY</v>
      </c>
      <c r="I1916" s="5" t="s">
        <v>2847</v>
      </c>
    </row>
    <row r="1917" customFormat="false" ht="12.75" hidden="false" customHeight="true" outlineLevel="0" collapsed="false">
      <c r="A1917" s="5" t="s">
        <v>2848</v>
      </c>
      <c r="B1917" s="7" t="n">
        <v>5</v>
      </c>
      <c r="C1917" s="7" t="n">
        <v>15</v>
      </c>
      <c r="D1917" s="7" t="s">
        <v>3750</v>
      </c>
      <c r="E1917" s="7"/>
      <c r="G1917" s="5" t="str">
        <f aca="false">IF(ISNUMBER(FIND("old rod:",A1917)),"old rod:",A1917)</f>
        <v>5, 15, MAGIKARP</v>
      </c>
      <c r="I1917" s="5" t="s">
        <v>2848</v>
      </c>
    </row>
    <row r="1918" customFormat="false" ht="12.75" hidden="false" customHeight="true" outlineLevel="0" collapsed="false">
      <c r="A1918" s="5" t="s">
        <v>2847</v>
      </c>
      <c r="B1918" s="7" t="n">
        <v>5</v>
      </c>
      <c r="C1918" s="7" t="n">
        <v>15</v>
      </c>
      <c r="D1918" s="7" t="s">
        <v>3751</v>
      </c>
      <c r="E1918" s="7"/>
      <c r="G1918" s="5" t="str">
        <f aca="false">IF(ISNUMBER(FIND("old rod:",A1918)),"old rod:",A1918)</f>
        <v>5, 15, KRABBY</v>
      </c>
      <c r="I1918" s="5" t="s">
        <v>2847</v>
      </c>
    </row>
    <row r="1919" customFormat="false" ht="12.75" hidden="false" customHeight="true" outlineLevel="0" collapsed="false">
      <c r="A1919" s="5" t="s">
        <v>2850</v>
      </c>
      <c r="B1919" s="7" t="s">
        <v>2850</v>
      </c>
      <c r="C1919" s="7"/>
      <c r="D1919" s="7"/>
      <c r="E1919" s="7"/>
      <c r="G1919" s="5" t="str">
        <f aca="false">IF(ISNUMBER(FIND("old rod:",A1919)),"old rod:",A1919)</f>
        <v>super rod:</v>
      </c>
      <c r="I1919" s="5" t="s">
        <v>2850</v>
      </c>
    </row>
    <row r="1920" customFormat="false" ht="12.75" hidden="false" customHeight="true" outlineLevel="0" collapsed="false">
      <c r="A1920" s="5" t="s">
        <v>2851</v>
      </c>
      <c r="B1920" s="7" t="n">
        <v>15</v>
      </c>
      <c r="C1920" s="7" t="n">
        <v>25</v>
      </c>
      <c r="D1920" s="7" t="s">
        <v>3751</v>
      </c>
      <c r="E1920" s="7"/>
      <c r="G1920" s="5" t="str">
        <f aca="false">IF(ISNUMBER(FIND("old rod:",A1920)),"old rod:",A1920)</f>
        <v>15, 25, KRABBY</v>
      </c>
      <c r="I1920" s="5" t="s">
        <v>2851</v>
      </c>
    </row>
    <row r="1921" customFormat="false" ht="12.75" hidden="false" customHeight="true" outlineLevel="0" collapsed="false">
      <c r="A1921" s="5" t="s">
        <v>3258</v>
      </c>
      <c r="B1921" s="7" t="n">
        <v>15</v>
      </c>
      <c r="C1921" s="7" t="n">
        <v>25</v>
      </c>
      <c r="D1921" s="7" t="s">
        <v>3906</v>
      </c>
      <c r="E1921" s="7"/>
      <c r="G1921" s="5" t="str">
        <f aca="false">IF(ISNUMBER(FIND("old rod:",A1921)),"old rod:",A1921)</f>
        <v>15, 25, REMORAID</v>
      </c>
      <c r="I1921" s="5" t="s">
        <v>3258</v>
      </c>
    </row>
    <row r="1922" customFormat="false" ht="12.75" hidden="false" customHeight="true" outlineLevel="0" collapsed="false">
      <c r="A1922" s="5" t="s">
        <v>2853</v>
      </c>
      <c r="B1922" s="7" t="n">
        <v>15</v>
      </c>
      <c r="C1922" s="7" t="n">
        <v>25</v>
      </c>
      <c r="D1922" s="7" t="s">
        <v>3754</v>
      </c>
      <c r="E1922" s="7"/>
      <c r="G1922" s="5" t="str">
        <f aca="false">IF(ISNUMBER(FIND("old rod:",A1922)),"old rod:",A1922)</f>
        <v>15, 25, GYARADOS</v>
      </c>
      <c r="I1922" s="5" t="s">
        <v>2853</v>
      </c>
    </row>
    <row r="1923" customFormat="false" ht="12.75" hidden="false" customHeight="true" outlineLevel="0" collapsed="false">
      <c r="A1923" s="5" t="s">
        <v>3177</v>
      </c>
      <c r="B1923" s="7" t="n">
        <v>25</v>
      </c>
      <c r="C1923" s="7" t="n">
        <v>35</v>
      </c>
      <c r="D1923" s="7" t="s">
        <v>3859</v>
      </c>
      <c r="E1923" s="7"/>
      <c r="G1923" s="5" t="str">
        <f aca="false">IF(ISNUMBER(FIND("old rod:",A1923)),"old rod:",A1923)</f>
        <v>25, 35, KINGLER</v>
      </c>
      <c r="I1923" s="5" t="s">
        <v>3177</v>
      </c>
    </row>
    <row r="1924" customFormat="false" ht="12.75" hidden="false" customHeight="true" outlineLevel="0" collapsed="false">
      <c r="A1924" s="5" t="s">
        <v>2855</v>
      </c>
      <c r="B1924" s="7" t="n">
        <v>25</v>
      </c>
      <c r="C1924" s="7" t="n">
        <v>35</v>
      </c>
      <c r="D1924" s="7" t="s">
        <v>3755</v>
      </c>
      <c r="E1924" s="7"/>
      <c r="G1924" s="5" t="str">
        <f aca="false">IF(ISNUMBER(FIND("old rod:",A1924)),"old rod:",A1924)</f>
        <v>25, 35, SLOWPOKE</v>
      </c>
      <c r="I1924" s="5" t="s">
        <v>2855</v>
      </c>
    </row>
    <row r="1925" customFormat="false" ht="12.75" hidden="false" customHeight="true" outlineLevel="0" collapsed="false">
      <c r="A1925" s="5" t="s">
        <v>2536</v>
      </c>
      <c r="B1925" s="7" t="s">
        <v>2536</v>
      </c>
      <c r="C1925" s="7"/>
      <c r="D1925" s="7"/>
      <c r="E1925" s="7"/>
      <c r="G1925" s="5" t="str">
        <f aca="false">IF(ISNUMBER(FIND("old rod:",A1925)),"old rod:",A1925)</f>
        <v>NEW ROUTE</v>
      </c>
      <c r="I1925" s="5" t="s">
        <v>2536</v>
      </c>
    </row>
    <row r="1926" customFormat="false" ht="12.75" hidden="false" customHeight="true" outlineLevel="0" collapsed="false">
      <c r="A1926" s="5" t="s">
        <v>417</v>
      </c>
      <c r="B1926" s="7" t="s">
        <v>417</v>
      </c>
      <c r="C1926" s="7"/>
      <c r="D1926" s="7"/>
      <c r="E1926" s="7"/>
      <c r="G1926" s="5" t="str">
        <f aca="false">IF(ISNUMBER(FIND("old rod:",A1926)),"old rod:",A1926)</f>
        <v>Route 1</v>
      </c>
      <c r="I1926" s="5" t="s">
        <v>417</v>
      </c>
    </row>
    <row r="1927" customFormat="false" ht="12.75" hidden="false" customHeight="true" outlineLevel="0" collapsed="false">
      <c r="A1927" s="5" t="n">
        <v>0.2</v>
      </c>
      <c r="B1927" s="5" t="n">
        <v>0.2</v>
      </c>
      <c r="C1927" s="7"/>
      <c r="D1927" s="7"/>
      <c r="E1927" s="7"/>
      <c r="G1927" s="5" t="n">
        <f aca="false">IF(ISNUMBER(FIND("old rod:",A1927)),"old rod:",A1927)</f>
        <v>0.2</v>
      </c>
      <c r="I1927" s="5" t="n">
        <v>0.2</v>
      </c>
    </row>
    <row r="1928" customFormat="false" ht="12.75" hidden="false" customHeight="true" outlineLevel="0" collapsed="false">
      <c r="A1928" s="5" t="s">
        <v>1773</v>
      </c>
      <c r="B1928" s="7" t="n">
        <v>2</v>
      </c>
      <c r="C1928" s="7" t="n">
        <v>5</v>
      </c>
      <c r="D1928" s="7" t="s">
        <v>3889</v>
      </c>
      <c r="E1928" s="7"/>
      <c r="G1928" s="5" t="str">
        <f aca="false">IF(ISNUMBER(FIND("old rod:",A1928)),"old rod:",A1928)</f>
        <v>2, 5, PIDGEY</v>
      </c>
      <c r="I1928" s="5" t="s">
        <v>1773</v>
      </c>
    </row>
    <row r="1929" customFormat="false" ht="12.75" hidden="false" customHeight="true" outlineLevel="0" collapsed="false">
      <c r="A1929" s="5" t="s">
        <v>1773</v>
      </c>
      <c r="B1929" s="7" t="n">
        <v>2</v>
      </c>
      <c r="C1929" s="7" t="n">
        <v>5</v>
      </c>
      <c r="D1929" s="7" t="s">
        <v>3889</v>
      </c>
      <c r="E1929" s="7"/>
      <c r="G1929" s="5" t="str">
        <f aca="false">IF(ISNUMBER(FIND("old rod:",A1929)),"old rod:",A1929)</f>
        <v>2, 5, PIDGEY</v>
      </c>
      <c r="I1929" s="5" t="s">
        <v>1773</v>
      </c>
    </row>
    <row r="1930" customFormat="false" ht="12.75" hidden="false" customHeight="true" outlineLevel="0" collapsed="false">
      <c r="A1930" s="5" t="n">
        <v>0.1</v>
      </c>
      <c r="B1930" s="5" t="n">
        <v>0.1</v>
      </c>
      <c r="C1930" s="7"/>
      <c r="D1930" s="7"/>
      <c r="E1930" s="7"/>
      <c r="G1930" s="5" t="n">
        <f aca="false">IF(ISNUMBER(FIND("old rod:",A1930)),"old rod:",A1930)</f>
        <v>0.1</v>
      </c>
      <c r="I1930" s="5" t="n">
        <v>0.1</v>
      </c>
    </row>
    <row r="1931" customFormat="false" ht="12.75" hidden="false" customHeight="true" outlineLevel="0" collapsed="false">
      <c r="A1931" s="5" t="s">
        <v>3310</v>
      </c>
      <c r="B1931" s="7" t="n">
        <v>2</v>
      </c>
      <c r="C1931" s="7" t="n">
        <v>4</v>
      </c>
      <c r="D1931" s="7" t="s">
        <v>3864</v>
      </c>
      <c r="E1931" s="7"/>
      <c r="G1931" s="5" t="str">
        <f aca="false">IF(ISNUMBER(FIND("old rod:",A1931)),"old rod:",A1931)</f>
        <v>2, 4, RATTATA</v>
      </c>
      <c r="I1931" s="5" t="s">
        <v>3310</v>
      </c>
    </row>
    <row r="1932" customFormat="false" ht="12.75" hidden="false" customHeight="true" outlineLevel="0" collapsed="false">
      <c r="A1932" s="5" t="s">
        <v>3310</v>
      </c>
      <c r="B1932" s="7" t="n">
        <v>2</v>
      </c>
      <c r="C1932" s="7" t="n">
        <v>4</v>
      </c>
      <c r="D1932" s="7" t="s">
        <v>3864</v>
      </c>
      <c r="E1932" s="7"/>
      <c r="G1932" s="5" t="str">
        <f aca="false">IF(ISNUMBER(FIND("old rod:",A1932)),"old rod:",A1932)</f>
        <v>2, 4, RATTATA</v>
      </c>
      <c r="I1932" s="5" t="s">
        <v>3310</v>
      </c>
    </row>
    <row r="1933" customFormat="false" ht="12.75" hidden="false" customHeight="true" outlineLevel="0" collapsed="false">
      <c r="A1933" s="5" t="s">
        <v>3311</v>
      </c>
      <c r="B1933" s="7" t="n">
        <v>2</v>
      </c>
      <c r="C1933" s="7" t="n">
        <v>4</v>
      </c>
      <c r="D1933" s="7" t="s">
        <v>3890</v>
      </c>
      <c r="E1933" s="7"/>
      <c r="G1933" s="5" t="str">
        <f aca="false">IF(ISNUMBER(FIND("old rod:",A1933)),"old rod:",A1933)</f>
        <v>2, 4, BELLSPROUT</v>
      </c>
      <c r="I1933" s="5" t="s">
        <v>3311</v>
      </c>
    </row>
    <row r="1934" customFormat="false" ht="12.75" hidden="false" customHeight="true" outlineLevel="0" collapsed="false">
      <c r="A1934" s="5" t="s">
        <v>3311</v>
      </c>
      <c r="B1934" s="7" t="n">
        <v>2</v>
      </c>
      <c r="C1934" s="7" t="n">
        <v>4</v>
      </c>
      <c r="D1934" s="7" t="s">
        <v>3890</v>
      </c>
      <c r="E1934" s="7"/>
      <c r="G1934" s="5" t="str">
        <f aca="false">IF(ISNUMBER(FIND("old rod:",A1934)),"old rod:",A1934)</f>
        <v>2, 4, BELLSPROUT</v>
      </c>
      <c r="I1934" s="5" t="s">
        <v>3311</v>
      </c>
    </row>
    <row r="1935" customFormat="false" ht="12.75" hidden="false" customHeight="true" outlineLevel="0" collapsed="false">
      <c r="A1935" s="5" t="n">
        <v>0.05</v>
      </c>
      <c r="B1935" s="5" t="n">
        <v>0.05</v>
      </c>
      <c r="C1935" s="7"/>
      <c r="D1935" s="7"/>
      <c r="E1935" s="7"/>
      <c r="G1935" s="5" t="n">
        <f aca="false">IF(ISNUMBER(FIND("old rod:",A1935)),"old rod:",A1935)</f>
        <v>0.05</v>
      </c>
      <c r="I1935" s="5" t="n">
        <v>0.05</v>
      </c>
    </row>
    <row r="1936" customFormat="false" ht="12.75" hidden="false" customHeight="true" outlineLevel="0" collapsed="false">
      <c r="A1936" s="5" t="s">
        <v>3312</v>
      </c>
      <c r="B1936" s="7" t="n">
        <v>2</v>
      </c>
      <c r="C1936" s="7" t="n">
        <v>4</v>
      </c>
      <c r="D1936" s="7" t="s">
        <v>3731</v>
      </c>
      <c r="E1936" s="7"/>
      <c r="G1936" s="5" t="str">
        <f aca="false">IF(ISNUMBER(FIND("old rod:",A1936)),"old rod:",A1936)</f>
        <v>2, 4, ODDISH</v>
      </c>
      <c r="I1936" s="5" t="s">
        <v>3312</v>
      </c>
    </row>
    <row r="1937" customFormat="false" ht="12.75" hidden="false" customHeight="true" outlineLevel="0" collapsed="false">
      <c r="A1937" s="5" t="s">
        <v>3312</v>
      </c>
      <c r="B1937" s="7" t="n">
        <v>2</v>
      </c>
      <c r="C1937" s="7" t="n">
        <v>4</v>
      </c>
      <c r="D1937" s="7" t="s">
        <v>3731</v>
      </c>
      <c r="E1937" s="7"/>
      <c r="G1937" s="5" t="str">
        <f aca="false">IF(ISNUMBER(FIND("old rod:",A1937)),"old rod:",A1937)</f>
        <v>2, 4, ODDISH</v>
      </c>
      <c r="I1937" s="5" t="s">
        <v>3312</v>
      </c>
    </row>
    <row r="1938" customFormat="false" ht="12.75" hidden="false" customHeight="true" outlineLevel="0" collapsed="false">
      <c r="A1938" s="5" t="n">
        <v>0.04</v>
      </c>
      <c r="B1938" s="5" t="n">
        <v>0.04</v>
      </c>
      <c r="C1938" s="7"/>
      <c r="D1938" s="7"/>
      <c r="E1938" s="7"/>
      <c r="G1938" s="5" t="n">
        <f aca="false">IF(ISNUMBER(FIND("old rod:",A1938)),"old rod:",A1938)</f>
        <v>0.04</v>
      </c>
      <c r="I1938" s="5" t="n">
        <v>0.04</v>
      </c>
    </row>
    <row r="1939" customFormat="false" ht="12.75" hidden="false" customHeight="true" outlineLevel="0" collapsed="false">
      <c r="A1939" s="5" t="s">
        <v>3313</v>
      </c>
      <c r="B1939" s="7" t="n">
        <v>2</v>
      </c>
      <c r="C1939" s="7" t="n">
        <v>4</v>
      </c>
      <c r="D1939" s="7" t="s">
        <v>3891</v>
      </c>
      <c r="E1939" s="7"/>
      <c r="G1939" s="5" t="str">
        <f aca="false">IF(ISNUMBER(FIND("old rod:",A1939)),"old rod:",A1939)</f>
        <v>2, 4, VENONAT</v>
      </c>
      <c r="I1939" s="5" t="s">
        <v>3313</v>
      </c>
    </row>
    <row r="1940" customFormat="false" ht="12.75" hidden="false" customHeight="true" outlineLevel="0" collapsed="false">
      <c r="A1940" s="5" t="s">
        <v>3313</v>
      </c>
      <c r="B1940" s="7" t="n">
        <v>2</v>
      </c>
      <c r="C1940" s="7" t="n">
        <v>4</v>
      </c>
      <c r="D1940" s="7" t="s">
        <v>3891</v>
      </c>
      <c r="E1940" s="7"/>
      <c r="G1940" s="5" t="str">
        <f aca="false">IF(ISNUMBER(FIND("old rod:",A1940)),"old rod:",A1940)</f>
        <v>2, 4, VENONAT</v>
      </c>
      <c r="I1940" s="5" t="s">
        <v>3313</v>
      </c>
    </row>
    <row r="1941" customFormat="false" ht="12.75" hidden="false" customHeight="true" outlineLevel="0" collapsed="false">
      <c r="A1941" s="5" t="n">
        <v>0.01</v>
      </c>
      <c r="B1941" s="5" t="n">
        <v>0.01</v>
      </c>
      <c r="C1941" s="7"/>
      <c r="D1941" s="7"/>
      <c r="E1941" s="7"/>
      <c r="G1941" s="5" t="n">
        <f aca="false">IF(ISNUMBER(FIND("old rod:",A1941)),"old rod:",A1941)</f>
        <v>0.01</v>
      </c>
      <c r="I1941" s="5" t="n">
        <v>0.01</v>
      </c>
    </row>
    <row r="1942" customFormat="false" ht="12.75" hidden="false" customHeight="true" outlineLevel="0" collapsed="false">
      <c r="A1942" s="5" t="s">
        <v>3314</v>
      </c>
      <c r="B1942" s="7" t="n">
        <v>3</v>
      </c>
      <c r="C1942" s="7" t="n">
        <v>3</v>
      </c>
      <c r="D1942" s="7" t="s">
        <v>3914</v>
      </c>
      <c r="E1942" s="7"/>
      <c r="G1942" s="5" t="str">
        <f aca="false">IF(ISNUMBER(FIND("old rod:",A1942)),"old rod:",A1942)</f>
        <v>3, 3, EEVEE</v>
      </c>
      <c r="I1942" s="5" t="s">
        <v>3314</v>
      </c>
    </row>
    <row r="1943" customFormat="false" ht="12.75" hidden="false" customHeight="true" outlineLevel="0" collapsed="false">
      <c r="A1943" s="5" t="s">
        <v>3314</v>
      </c>
      <c r="B1943" s="7" t="n">
        <v>3</v>
      </c>
      <c r="C1943" s="7" t="n">
        <v>3</v>
      </c>
      <c r="D1943" s="7" t="s">
        <v>3914</v>
      </c>
      <c r="E1943" s="7"/>
      <c r="G1943" s="5" t="str">
        <f aca="false">IF(ISNUMBER(FIND("old rod:",A1943)),"old rod:",A1943)</f>
        <v>3, 3, EEVEE</v>
      </c>
      <c r="I1943" s="5" t="s">
        <v>3314</v>
      </c>
    </row>
    <row r="1944" customFormat="false" ht="12.75" hidden="false" customHeight="true" outlineLevel="0" collapsed="false">
      <c r="A1944" s="5" t="s">
        <v>2536</v>
      </c>
      <c r="B1944" s="7" t="s">
        <v>2536</v>
      </c>
      <c r="C1944" s="7"/>
      <c r="D1944" s="7"/>
      <c r="E1944" s="7"/>
      <c r="G1944" s="5" t="str">
        <f aca="false">IF(ISNUMBER(FIND("old rod:",A1944)),"old rod:",A1944)</f>
        <v>NEW ROUTE</v>
      </c>
      <c r="I1944" s="5" t="s">
        <v>2536</v>
      </c>
    </row>
    <row r="1945" customFormat="false" ht="12.75" hidden="false" customHeight="true" outlineLevel="0" collapsed="false">
      <c r="A1945" s="5" t="s">
        <v>419</v>
      </c>
      <c r="B1945" s="7" t="s">
        <v>419</v>
      </c>
      <c r="C1945" s="7"/>
      <c r="D1945" s="7"/>
      <c r="E1945" s="7"/>
      <c r="G1945" s="5" t="str">
        <f aca="false">IF(ISNUMBER(FIND("old rod:",A1945)),"old rod:",A1945)</f>
        <v>Route 2</v>
      </c>
      <c r="I1945" s="5" t="s">
        <v>419</v>
      </c>
    </row>
    <row r="1946" customFormat="false" ht="12.75" hidden="false" customHeight="true" outlineLevel="0" collapsed="false">
      <c r="A1946" s="5" t="n">
        <v>0.2</v>
      </c>
      <c r="B1946" s="5" t="n">
        <v>0.2</v>
      </c>
      <c r="C1946" s="7"/>
      <c r="D1946" s="7"/>
      <c r="E1946" s="7"/>
      <c r="G1946" s="5" t="n">
        <f aca="false">IF(ISNUMBER(FIND("old rod:",A1946)),"old rod:",A1946)</f>
        <v>0.2</v>
      </c>
      <c r="I1946" s="5" t="n">
        <v>0.2</v>
      </c>
    </row>
    <row r="1947" customFormat="false" ht="12.75" hidden="false" customHeight="true" outlineLevel="0" collapsed="false">
      <c r="A1947" s="5" t="s">
        <v>1782</v>
      </c>
      <c r="B1947" s="7" t="n">
        <v>3</v>
      </c>
      <c r="C1947" s="7" t="n">
        <v>5</v>
      </c>
      <c r="D1947" s="7" t="s">
        <v>3729</v>
      </c>
      <c r="E1947" s="7"/>
      <c r="G1947" s="5" t="str">
        <f aca="false">IF(ISNUMBER(FIND("old rod:",A1947)),"old rod:",A1947)</f>
        <v>3, 5, CATERPIE</v>
      </c>
      <c r="I1947" s="5" t="s">
        <v>1782</v>
      </c>
    </row>
    <row r="1948" customFormat="false" ht="12.75" hidden="false" customHeight="true" outlineLevel="0" collapsed="false">
      <c r="A1948" s="5" t="s">
        <v>3317</v>
      </c>
      <c r="B1948" s="7" t="n">
        <v>3</v>
      </c>
      <c r="C1948" s="7" t="n">
        <v>5</v>
      </c>
      <c r="D1948" s="7" t="s">
        <v>3730</v>
      </c>
      <c r="E1948" s="7"/>
      <c r="G1948" s="5" t="str">
        <f aca="false">IF(ISNUMBER(FIND("old rod:",A1948)),"old rod:",A1948)</f>
        <v>3, 5, WEEDLE</v>
      </c>
      <c r="I1948" s="5" t="s">
        <v>3317</v>
      </c>
    </row>
    <row r="1949" customFormat="false" ht="12.75" hidden="false" customHeight="true" outlineLevel="0" collapsed="false">
      <c r="A1949" s="5" t="n">
        <v>0.1</v>
      </c>
      <c r="B1949" s="5" t="n">
        <v>0.1</v>
      </c>
      <c r="C1949" s="7"/>
      <c r="D1949" s="7"/>
      <c r="E1949" s="7"/>
      <c r="G1949" s="5" t="n">
        <f aca="false">IF(ISNUMBER(FIND("old rod:",A1949)),"old rod:",A1949)</f>
        <v>0.1</v>
      </c>
      <c r="I1949" s="5" t="n">
        <v>0.1</v>
      </c>
    </row>
    <row r="1950" customFormat="false" ht="12.75" hidden="false" customHeight="true" outlineLevel="0" collapsed="false">
      <c r="A1950" s="5" t="s">
        <v>3318</v>
      </c>
      <c r="B1950" s="7" t="n">
        <v>4</v>
      </c>
      <c r="C1950" s="7" t="n">
        <v>6</v>
      </c>
      <c r="D1950" s="7" t="s">
        <v>3889</v>
      </c>
      <c r="E1950" s="7"/>
      <c r="G1950" s="5" t="str">
        <f aca="false">IF(ISNUMBER(FIND("old rod:",A1950)),"old rod:",A1950)</f>
        <v>4, 6, PIDGEY</v>
      </c>
      <c r="I1950" s="5" t="s">
        <v>3318</v>
      </c>
    </row>
    <row r="1951" customFormat="false" ht="12.75" hidden="false" customHeight="true" outlineLevel="0" collapsed="false">
      <c r="A1951" s="5" t="s">
        <v>3319</v>
      </c>
      <c r="B1951" s="7" t="n">
        <v>4</v>
      </c>
      <c r="C1951" s="7" t="n">
        <v>6</v>
      </c>
      <c r="D1951" s="7" t="s">
        <v>3864</v>
      </c>
      <c r="E1951" s="7"/>
      <c r="G1951" s="5" t="str">
        <f aca="false">IF(ISNUMBER(FIND("old rod:",A1951)),"old rod:",A1951)</f>
        <v>4, 6, RATTATA</v>
      </c>
      <c r="I1951" s="5" t="s">
        <v>3319</v>
      </c>
    </row>
    <row r="1952" customFormat="false" ht="12.75" hidden="false" customHeight="true" outlineLevel="0" collapsed="false">
      <c r="A1952" s="5" t="s">
        <v>3319</v>
      </c>
      <c r="B1952" s="7" t="n">
        <v>4</v>
      </c>
      <c r="C1952" s="7" t="n">
        <v>6</v>
      </c>
      <c r="D1952" s="7" t="s">
        <v>3864</v>
      </c>
      <c r="E1952" s="7"/>
      <c r="G1952" s="5" t="str">
        <f aca="false">IF(ISNUMBER(FIND("old rod:",A1952)),"old rod:",A1952)</f>
        <v>4, 6, RATTATA</v>
      </c>
      <c r="I1952" s="5" t="s">
        <v>3319</v>
      </c>
    </row>
    <row r="1953" customFormat="false" ht="12.75" hidden="false" customHeight="true" outlineLevel="0" collapsed="false">
      <c r="A1953" s="5" t="s">
        <v>3318</v>
      </c>
      <c r="B1953" s="7" t="n">
        <v>4</v>
      </c>
      <c r="C1953" s="7" t="n">
        <v>6</v>
      </c>
      <c r="D1953" s="7" t="s">
        <v>3889</v>
      </c>
      <c r="E1953" s="7"/>
      <c r="G1953" s="5" t="str">
        <f aca="false">IF(ISNUMBER(FIND("old rod:",A1953)),"old rod:",A1953)</f>
        <v>4, 6, PIDGEY</v>
      </c>
      <c r="I1953" s="5" t="s">
        <v>3318</v>
      </c>
    </row>
    <row r="1954" customFormat="false" ht="12.75" hidden="false" customHeight="true" outlineLevel="0" collapsed="false">
      <c r="A1954" s="5" t="n">
        <v>0.05</v>
      </c>
      <c r="B1954" s="5" t="n">
        <v>0.05</v>
      </c>
      <c r="C1954" s="7"/>
      <c r="D1954" s="7"/>
      <c r="E1954" s="7"/>
      <c r="G1954" s="5" t="n">
        <f aca="false">IF(ISNUMBER(FIND("old rod:",A1954)),"old rod:",A1954)</f>
        <v>0.05</v>
      </c>
      <c r="I1954" s="5" t="n">
        <v>0.05</v>
      </c>
    </row>
    <row r="1955" customFormat="false" ht="12.75" hidden="false" customHeight="true" outlineLevel="0" collapsed="false">
      <c r="A1955" s="5" t="s">
        <v>3320</v>
      </c>
      <c r="B1955" s="7" t="n">
        <v>5</v>
      </c>
      <c r="C1955" s="7" t="n">
        <v>8</v>
      </c>
      <c r="D1955" s="7" t="s">
        <v>3902</v>
      </c>
      <c r="E1955" s="7"/>
      <c r="G1955" s="5" t="str">
        <f aca="false">IF(ISNUMBER(FIND("old rod:",A1955)),"old rod:",A1955)</f>
        <v>5, 8, MEOWTH</v>
      </c>
      <c r="I1955" s="5" t="s">
        <v>3320</v>
      </c>
    </row>
    <row r="1956" customFormat="false" ht="12.75" hidden="false" customHeight="true" outlineLevel="0" collapsed="false">
      <c r="A1956" s="5" t="s">
        <v>3321</v>
      </c>
      <c r="B1956" s="7" t="n">
        <v>5</v>
      </c>
      <c r="C1956" s="7" t="n">
        <v>8</v>
      </c>
      <c r="D1956" s="7" t="s">
        <v>3915</v>
      </c>
      <c r="E1956" s="7"/>
      <c r="G1956" s="5" t="str">
        <f aca="false">IF(ISNUMBER(FIND("old rod:",A1956)),"old rod:",A1956)</f>
        <v>5, 8, FARFETCH'D</v>
      </c>
      <c r="I1956" s="5" t="s">
        <v>3321</v>
      </c>
    </row>
    <row r="1957" customFormat="false" ht="12.75" hidden="false" customHeight="true" outlineLevel="0" collapsed="false">
      <c r="A1957" s="5" t="n">
        <v>0.04</v>
      </c>
      <c r="B1957" s="5" t="n">
        <v>0.04</v>
      </c>
      <c r="C1957" s="7"/>
      <c r="D1957" s="7"/>
      <c r="E1957" s="7"/>
      <c r="G1957" s="5" t="n">
        <f aca="false">IF(ISNUMBER(FIND("old rod:",A1957)),"old rod:",A1957)</f>
        <v>0.04</v>
      </c>
      <c r="I1957" s="5" t="n">
        <v>0.04</v>
      </c>
    </row>
    <row r="1958" customFormat="false" ht="12.75" hidden="false" customHeight="true" outlineLevel="0" collapsed="false">
      <c r="A1958" s="5" t="s">
        <v>3322</v>
      </c>
      <c r="B1958" s="7" t="n">
        <v>5</v>
      </c>
      <c r="C1958" s="7" t="n">
        <v>8</v>
      </c>
      <c r="D1958" s="7" t="s">
        <v>3873</v>
      </c>
      <c r="E1958" s="7"/>
      <c r="G1958" s="5" t="str">
        <f aca="false">IF(ISNUMBER(FIND("old rod:",A1958)),"old rod:",A1958)</f>
        <v>5, 8, MAGNEMITE</v>
      </c>
      <c r="I1958" s="5" t="s">
        <v>3322</v>
      </c>
    </row>
    <row r="1959" customFormat="false" ht="12.75" hidden="false" customHeight="true" outlineLevel="0" collapsed="false">
      <c r="A1959" s="5" t="s">
        <v>3323</v>
      </c>
      <c r="B1959" s="7" t="n">
        <v>5</v>
      </c>
      <c r="C1959" s="7" t="n">
        <v>8</v>
      </c>
      <c r="D1959" s="7" t="s">
        <v>3916</v>
      </c>
      <c r="E1959" s="7"/>
      <c r="G1959" s="5" t="str">
        <f aca="false">IF(ISNUMBER(FIND("old rod:",A1959)),"old rod:",A1959)</f>
        <v>5, 8, GROWLITHE</v>
      </c>
      <c r="I1959" s="5" t="s">
        <v>3323</v>
      </c>
    </row>
    <row r="1960" customFormat="false" ht="12.75" hidden="false" customHeight="true" outlineLevel="0" collapsed="false">
      <c r="A1960" s="5" t="n">
        <v>0.01</v>
      </c>
      <c r="B1960" s="5" t="n">
        <v>0.01</v>
      </c>
      <c r="C1960" s="7"/>
      <c r="D1960" s="7"/>
      <c r="E1960" s="7"/>
      <c r="G1960" s="5" t="n">
        <f aca="false">IF(ISNUMBER(FIND("old rod:",A1960)),"old rod:",A1960)</f>
        <v>0.01</v>
      </c>
      <c r="I1960" s="5" t="n">
        <v>0.01</v>
      </c>
    </row>
    <row r="1961" customFormat="false" ht="12.75" hidden="false" customHeight="true" outlineLevel="0" collapsed="false">
      <c r="A1961" s="5" t="s">
        <v>3324</v>
      </c>
      <c r="B1961" s="7" t="n">
        <v>7</v>
      </c>
      <c r="C1961" s="7" t="n">
        <v>7</v>
      </c>
      <c r="D1961" s="7" t="s">
        <v>3873</v>
      </c>
      <c r="E1961" s="7"/>
      <c r="G1961" s="5" t="str">
        <f aca="false">IF(ISNUMBER(FIND("old rod:",A1961)),"old rod:",A1961)</f>
        <v>7, 7, MAGNEMITE</v>
      </c>
      <c r="I1961" s="5" t="s">
        <v>3324</v>
      </c>
    </row>
    <row r="1962" customFormat="false" ht="12.75" hidden="false" customHeight="true" outlineLevel="0" collapsed="false">
      <c r="A1962" s="5" t="s">
        <v>3722</v>
      </c>
      <c r="B1962" s="7" t="n">
        <v>7</v>
      </c>
      <c r="C1962" s="7" t="n">
        <v>7</v>
      </c>
      <c r="D1962" s="7" t="s">
        <v>3916</v>
      </c>
      <c r="E1962" s="7"/>
      <c r="G1962" s="5" t="str">
        <f aca="false">IF(ISNUMBER(FIND("old rod:",A1962)),"old rod:",A1962)</f>
        <v>7, 7, GROWLITHE</v>
      </c>
      <c r="I1962" s="5" t="s">
        <v>3722</v>
      </c>
    </row>
    <row r="1963" customFormat="false" ht="12.75" hidden="false" customHeight="true" outlineLevel="0" collapsed="false">
      <c r="A1963" s="5" t="s">
        <v>2536</v>
      </c>
      <c r="B1963" s="7" t="s">
        <v>2536</v>
      </c>
      <c r="C1963" s="7"/>
      <c r="D1963" s="7"/>
      <c r="E1963" s="7"/>
      <c r="G1963" s="5" t="str">
        <f aca="false">IF(ISNUMBER(FIND("old rod:",A1963)),"old rod:",A1963)</f>
        <v>NEW ROUTE</v>
      </c>
      <c r="I1963" s="5" t="s">
        <v>2536</v>
      </c>
    </row>
    <row r="1964" customFormat="false" ht="12.75" hidden="false" customHeight="true" outlineLevel="0" collapsed="false">
      <c r="A1964" s="5" t="s">
        <v>421</v>
      </c>
      <c r="B1964" s="7" t="s">
        <v>421</v>
      </c>
      <c r="C1964" s="7"/>
      <c r="D1964" s="7"/>
      <c r="E1964" s="7"/>
      <c r="G1964" s="5" t="str">
        <f aca="false">IF(ISNUMBER(FIND("old rod:",A1964)),"old rod:",A1964)</f>
        <v>Route 3</v>
      </c>
      <c r="I1964" s="5" t="s">
        <v>421</v>
      </c>
    </row>
    <row r="1965" customFormat="false" ht="12.75" hidden="false" customHeight="true" outlineLevel="0" collapsed="false">
      <c r="A1965" s="5" t="n">
        <v>0.2</v>
      </c>
      <c r="B1965" s="5" t="n">
        <v>0.2</v>
      </c>
      <c r="C1965" s="7"/>
      <c r="D1965" s="7"/>
      <c r="E1965" s="7"/>
      <c r="G1965" s="5" t="n">
        <f aca="false">IF(ISNUMBER(FIND("old rod:",A1965)),"old rod:",A1965)</f>
        <v>0.2</v>
      </c>
      <c r="I1965" s="5" t="n">
        <v>0.2</v>
      </c>
    </row>
    <row r="1966" customFormat="false" ht="12.75" hidden="false" customHeight="true" outlineLevel="0" collapsed="false">
      <c r="A1966" s="5" t="s">
        <v>1793</v>
      </c>
      <c r="B1966" s="7" t="n">
        <v>7</v>
      </c>
      <c r="C1966" s="7" t="n">
        <v>9</v>
      </c>
      <c r="D1966" s="7" t="s">
        <v>3883</v>
      </c>
      <c r="E1966" s="7"/>
      <c r="G1966" s="5" t="str">
        <f aca="false">IF(ISNUMBER(FIND("old rod:",A1966)),"old rod:",A1966)</f>
        <v>7, 9, SPEAROW</v>
      </c>
      <c r="I1966" s="5" t="s">
        <v>1793</v>
      </c>
    </row>
    <row r="1967" customFormat="false" ht="12.75" hidden="false" customHeight="true" outlineLevel="0" collapsed="false">
      <c r="A1967" s="5" t="s">
        <v>3327</v>
      </c>
      <c r="B1967" s="7" t="n">
        <v>7</v>
      </c>
      <c r="C1967" s="7" t="n">
        <v>9</v>
      </c>
      <c r="D1967" s="7" t="s">
        <v>3889</v>
      </c>
      <c r="E1967" s="7"/>
      <c r="G1967" s="5" t="str">
        <f aca="false">IF(ISNUMBER(FIND("old rod:",A1967)),"old rod:",A1967)</f>
        <v>7, 9, PIDGEY</v>
      </c>
      <c r="I1967" s="5" t="s">
        <v>3327</v>
      </c>
    </row>
    <row r="1968" customFormat="false" ht="12.75" hidden="false" customHeight="true" outlineLevel="0" collapsed="false">
      <c r="A1968" s="5" t="n">
        <v>0.1</v>
      </c>
      <c r="B1968" s="5" t="n">
        <v>0.1</v>
      </c>
      <c r="C1968" s="7"/>
      <c r="D1968" s="7"/>
      <c r="E1968" s="7"/>
      <c r="G1968" s="5" t="n">
        <f aca="false">IF(ISNUMBER(FIND("old rod:",A1968)),"old rod:",A1968)</f>
        <v>0.1</v>
      </c>
      <c r="I1968" s="5" t="n">
        <v>0.1</v>
      </c>
    </row>
    <row r="1969" customFormat="false" ht="12.75" hidden="false" customHeight="true" outlineLevel="0" collapsed="false">
      <c r="A1969" s="5" t="s">
        <v>3328</v>
      </c>
      <c r="B1969" s="7" t="n">
        <v>8</v>
      </c>
      <c r="C1969" s="7" t="n">
        <v>10</v>
      </c>
      <c r="D1969" s="7" t="s">
        <v>3917</v>
      </c>
      <c r="E1969" s="7"/>
      <c r="G1969" s="5" t="str">
        <f aca="false">IF(ISNUMBER(FIND("old rod:",A1969)),"old rod:",A1969)</f>
        <v>8, 10, NIDORAN\sf</v>
      </c>
      <c r="I1969" s="5" t="s">
        <v>3328</v>
      </c>
    </row>
    <row r="1970" customFormat="false" ht="12.75" hidden="false" customHeight="true" outlineLevel="0" collapsed="false">
      <c r="A1970" s="5" t="s">
        <v>3329</v>
      </c>
      <c r="B1970" s="7" t="n">
        <v>8</v>
      </c>
      <c r="C1970" s="7" t="n">
        <v>10</v>
      </c>
      <c r="D1970" s="7" t="s">
        <v>3918</v>
      </c>
      <c r="E1970" s="7"/>
      <c r="G1970" s="5" t="str">
        <f aca="false">IF(ISNUMBER(FIND("old rod:",A1970)),"old rod:",A1970)</f>
        <v>8, 10, NIDORAN\sm</v>
      </c>
      <c r="I1970" s="5" t="s">
        <v>3329</v>
      </c>
    </row>
    <row r="1971" customFormat="false" ht="12.75" hidden="false" customHeight="true" outlineLevel="0" collapsed="false">
      <c r="A1971" s="5" t="s">
        <v>3330</v>
      </c>
      <c r="B1971" s="7" t="n">
        <v>8</v>
      </c>
      <c r="C1971" s="7" t="n">
        <v>10</v>
      </c>
      <c r="D1971" s="7" t="s">
        <v>3919</v>
      </c>
      <c r="E1971" s="7"/>
      <c r="G1971" s="5" t="str">
        <f aca="false">IF(ISNUMBER(FIND("old rod:",A1971)),"old rod:",A1971)</f>
        <v>8, 10, EKANS</v>
      </c>
      <c r="I1971" s="5" t="s">
        <v>3330</v>
      </c>
    </row>
    <row r="1972" customFormat="false" ht="12.75" hidden="false" customHeight="true" outlineLevel="0" collapsed="false">
      <c r="A1972" s="5" t="s">
        <v>3331</v>
      </c>
      <c r="B1972" s="7" t="n">
        <v>8</v>
      </c>
      <c r="C1972" s="7" t="n">
        <v>10</v>
      </c>
      <c r="D1972" s="7" t="s">
        <v>3741</v>
      </c>
      <c r="E1972" s="7"/>
      <c r="G1972" s="5" t="str">
        <f aca="false">IF(ISNUMBER(FIND("old rod:",A1972)),"old rod:",A1972)</f>
        <v>8, 10, SANDSHREW</v>
      </c>
      <c r="I1972" s="5" t="s">
        <v>3331</v>
      </c>
    </row>
    <row r="1973" customFormat="false" ht="12.75" hidden="false" customHeight="true" outlineLevel="0" collapsed="false">
      <c r="A1973" s="5" t="n">
        <v>0.05</v>
      </c>
      <c r="B1973" s="5" t="n">
        <v>0.05</v>
      </c>
      <c r="C1973" s="7"/>
      <c r="D1973" s="7"/>
      <c r="E1973" s="7"/>
      <c r="G1973" s="5" t="n">
        <f aca="false">IF(ISNUMBER(FIND("old rod:",A1973)),"old rod:",A1973)</f>
        <v>0.05</v>
      </c>
      <c r="I1973" s="5" t="n">
        <v>0.05</v>
      </c>
    </row>
    <row r="1974" customFormat="false" ht="12.75" hidden="false" customHeight="true" outlineLevel="0" collapsed="false">
      <c r="A1974" s="5" t="s">
        <v>3332</v>
      </c>
      <c r="B1974" s="7" t="n">
        <v>9</v>
      </c>
      <c r="C1974" s="7" t="n">
        <v>10</v>
      </c>
      <c r="D1974" s="7" t="s">
        <v>3920</v>
      </c>
      <c r="E1974" s="7"/>
      <c r="G1974" s="5" t="str">
        <f aca="false">IF(ISNUMBER(FIND("old rod:",A1974)),"old rod:",A1974)</f>
        <v>9, 10, JIGGLYPUFF</v>
      </c>
      <c r="I1974" s="5" t="s">
        <v>3332</v>
      </c>
    </row>
    <row r="1975" customFormat="false" ht="12.75" hidden="false" customHeight="true" outlineLevel="0" collapsed="false">
      <c r="A1975" s="5" t="s">
        <v>3333</v>
      </c>
      <c r="B1975" s="7" t="n">
        <v>9</v>
      </c>
      <c r="C1975" s="7" t="n">
        <v>10</v>
      </c>
      <c r="D1975" s="7" t="s">
        <v>3744</v>
      </c>
      <c r="E1975" s="7"/>
      <c r="G1975" s="5" t="str">
        <f aca="false">IF(ISNUMBER(FIND("old rod:",A1975)),"old rod:",A1975)</f>
        <v>9, 10, CLEFAIRY</v>
      </c>
      <c r="I1975" s="5" t="s">
        <v>3333</v>
      </c>
    </row>
    <row r="1976" customFormat="false" ht="12.75" hidden="false" customHeight="true" outlineLevel="0" collapsed="false">
      <c r="A1976" s="5" t="n">
        <v>0.04</v>
      </c>
      <c r="B1976" s="5" t="n">
        <v>0.04</v>
      </c>
      <c r="C1976" s="7"/>
      <c r="D1976" s="7"/>
      <c r="E1976" s="7"/>
      <c r="G1976" s="5" t="n">
        <f aca="false">IF(ISNUMBER(FIND("old rod:",A1976)),"old rod:",A1976)</f>
        <v>0.04</v>
      </c>
      <c r="I1976" s="5" t="n">
        <v>0.04</v>
      </c>
    </row>
    <row r="1977" customFormat="false" ht="12.75" hidden="false" customHeight="true" outlineLevel="0" collapsed="false">
      <c r="A1977" s="5" t="s">
        <v>3334</v>
      </c>
      <c r="B1977" s="7" t="n">
        <v>9</v>
      </c>
      <c r="C1977" s="7" t="n">
        <v>11</v>
      </c>
      <c r="D1977" s="7" t="s">
        <v>3850</v>
      </c>
      <c r="E1977" s="7"/>
      <c r="G1977" s="5" t="str">
        <f aca="false">IF(ISNUMBER(FIND("old rod:",A1977)),"old rod:",A1977)</f>
        <v>9, 11, MACHOP</v>
      </c>
      <c r="I1977" s="5" t="s">
        <v>3334</v>
      </c>
    </row>
    <row r="1978" customFormat="false" ht="12.75" hidden="false" customHeight="true" outlineLevel="0" collapsed="false">
      <c r="A1978" s="5" t="s">
        <v>3334</v>
      </c>
      <c r="B1978" s="7" t="n">
        <v>9</v>
      </c>
      <c r="C1978" s="7" t="n">
        <v>11</v>
      </c>
      <c r="D1978" s="7" t="s">
        <v>3850</v>
      </c>
      <c r="E1978" s="7"/>
      <c r="G1978" s="5" t="str">
        <f aca="false">IF(ISNUMBER(FIND("old rod:",A1978)),"old rod:",A1978)</f>
        <v>9, 11, MACHOP</v>
      </c>
      <c r="I1978" s="5" t="s">
        <v>3334</v>
      </c>
    </row>
    <row r="1979" customFormat="false" ht="12.75" hidden="false" customHeight="true" outlineLevel="0" collapsed="false">
      <c r="A1979" s="5" t="n">
        <v>0.01</v>
      </c>
      <c r="B1979" s="5" t="n">
        <v>0.01</v>
      </c>
      <c r="C1979" s="7"/>
      <c r="D1979" s="7"/>
      <c r="E1979" s="7"/>
      <c r="G1979" s="5" t="n">
        <f aca="false">IF(ISNUMBER(FIND("old rod:",A1979)),"old rod:",A1979)</f>
        <v>0.01</v>
      </c>
      <c r="I1979" s="5" t="n">
        <v>0.01</v>
      </c>
    </row>
    <row r="1980" customFormat="false" ht="12.75" hidden="false" customHeight="true" outlineLevel="0" collapsed="false">
      <c r="A1980" s="5" t="s">
        <v>3335</v>
      </c>
      <c r="B1980" s="7" t="n">
        <v>10</v>
      </c>
      <c r="C1980" s="7" t="n">
        <v>13</v>
      </c>
      <c r="D1980" s="7" t="s">
        <v>3917</v>
      </c>
      <c r="E1980" s="7"/>
      <c r="G1980" s="5" t="str">
        <f aca="false">IF(ISNUMBER(FIND("old rod:",A1980)),"old rod:",A1980)</f>
        <v>10, 13, NIDORAN\sf</v>
      </c>
      <c r="I1980" s="5" t="s">
        <v>3335</v>
      </c>
    </row>
    <row r="1981" customFormat="false" ht="12.75" hidden="false" customHeight="true" outlineLevel="0" collapsed="false">
      <c r="A1981" s="5" t="s">
        <v>3723</v>
      </c>
      <c r="B1981" s="7" t="n">
        <v>10</v>
      </c>
      <c r="C1981" s="7" t="n">
        <v>13</v>
      </c>
      <c r="D1981" s="7" t="s">
        <v>3918</v>
      </c>
      <c r="E1981" s="7"/>
      <c r="G1981" s="5" t="str">
        <f aca="false">IF(ISNUMBER(FIND("old rod:",A1981)),"old rod:",A1981)</f>
        <v>10, 13, NIDORAN\sm</v>
      </c>
      <c r="I1981" s="5" t="s">
        <v>3723</v>
      </c>
    </row>
    <row r="1982" customFormat="false" ht="12.75" hidden="false" customHeight="true" outlineLevel="0" collapsed="false">
      <c r="A1982" s="5" t="s">
        <v>2536</v>
      </c>
      <c r="B1982" s="7" t="s">
        <v>2536</v>
      </c>
      <c r="C1982" s="7"/>
      <c r="D1982" s="7"/>
      <c r="E1982" s="7"/>
      <c r="G1982" s="5" t="str">
        <f aca="false">IF(ISNUMBER(FIND("old rod:",A1982)),"old rod:",A1982)</f>
        <v>NEW ROUTE</v>
      </c>
      <c r="I1982" s="5" t="s">
        <v>2536</v>
      </c>
    </row>
    <row r="1983" customFormat="false" ht="12.75" hidden="false" customHeight="true" outlineLevel="0" collapsed="false">
      <c r="A1983" s="5" t="s">
        <v>423</v>
      </c>
      <c r="B1983" s="7" t="s">
        <v>423</v>
      </c>
      <c r="C1983" s="7"/>
      <c r="D1983" s="7"/>
      <c r="E1983" s="7"/>
      <c r="G1983" s="5" t="str">
        <f aca="false">IF(ISNUMBER(FIND("old rod:",A1983)),"old rod:",A1983)</f>
        <v>Route 4</v>
      </c>
      <c r="I1983" s="5" t="s">
        <v>423</v>
      </c>
    </row>
    <row r="1984" customFormat="false" ht="12.75" hidden="false" customHeight="true" outlineLevel="0" collapsed="false">
      <c r="A1984" s="5" t="n">
        <v>0.2</v>
      </c>
      <c r="B1984" s="5" t="n">
        <v>0.2</v>
      </c>
      <c r="C1984" s="7"/>
      <c r="D1984" s="7"/>
      <c r="E1984" s="7"/>
      <c r="G1984" s="5" t="n">
        <f aca="false">IF(ISNUMBER(FIND("old rod:",A1984)),"old rod:",A1984)</f>
        <v>0.2</v>
      </c>
      <c r="I1984" s="5" t="n">
        <v>0.2</v>
      </c>
    </row>
    <row r="1985" customFormat="false" ht="12.75" hidden="false" customHeight="true" outlineLevel="0" collapsed="false">
      <c r="A1985" s="5" t="s">
        <v>1805</v>
      </c>
      <c r="B1985" s="7" t="n">
        <v>13</v>
      </c>
      <c r="C1985" s="7" t="n">
        <v>16</v>
      </c>
      <c r="D1985" s="7" t="s">
        <v>3864</v>
      </c>
      <c r="E1985" s="7"/>
      <c r="G1985" s="5" t="str">
        <f aca="false">IF(ISNUMBER(FIND("old rod:",A1985)),"old rod:",A1985)</f>
        <v>13, 16, RATTATA</v>
      </c>
      <c r="I1985" s="5" t="s">
        <v>1805</v>
      </c>
    </row>
    <row r="1986" customFormat="false" ht="12.75" hidden="false" customHeight="true" outlineLevel="0" collapsed="false">
      <c r="A1986" s="5" t="s">
        <v>3338</v>
      </c>
      <c r="B1986" s="7" t="n">
        <v>13</v>
      </c>
      <c r="C1986" s="7" t="n">
        <v>16</v>
      </c>
      <c r="D1986" s="7" t="s">
        <v>3883</v>
      </c>
      <c r="E1986" s="7"/>
      <c r="G1986" s="5" t="str">
        <f aca="false">IF(ISNUMBER(FIND("old rod:",A1986)),"old rod:",A1986)</f>
        <v>13, 16, SPEAROW</v>
      </c>
      <c r="I1986" s="5" t="s">
        <v>3338</v>
      </c>
    </row>
    <row r="1987" customFormat="false" ht="12.75" hidden="false" customHeight="true" outlineLevel="0" collapsed="false">
      <c r="A1987" s="5" t="n">
        <v>0.1</v>
      </c>
      <c r="B1987" s="5" t="n">
        <v>0.1</v>
      </c>
      <c r="C1987" s="7"/>
      <c r="D1987" s="7"/>
      <c r="E1987" s="7"/>
      <c r="G1987" s="5" t="n">
        <f aca="false">IF(ISNUMBER(FIND("old rod:",A1987)),"old rod:",A1987)</f>
        <v>0.1</v>
      </c>
      <c r="I1987" s="5" t="n">
        <v>0.1</v>
      </c>
    </row>
    <row r="1988" customFormat="false" ht="12.75" hidden="false" customHeight="true" outlineLevel="0" collapsed="false">
      <c r="A1988" s="5" t="s">
        <v>3339</v>
      </c>
      <c r="B1988" s="7" t="n">
        <v>14</v>
      </c>
      <c r="C1988" s="7" t="n">
        <v>16</v>
      </c>
      <c r="D1988" s="7" t="s">
        <v>3799</v>
      </c>
      <c r="E1988" s="7"/>
      <c r="G1988" s="5" t="str">
        <f aca="false">IF(ISNUMBER(FIND("old rod:",A1988)),"old rod:",A1988)</f>
        <v>14, 16, PSYDUCK</v>
      </c>
      <c r="I1988" s="5" t="s">
        <v>3339</v>
      </c>
    </row>
    <row r="1989" customFormat="false" ht="12.75" hidden="false" customHeight="true" outlineLevel="0" collapsed="false">
      <c r="A1989" s="5" t="s">
        <v>3340</v>
      </c>
      <c r="B1989" s="7" t="n">
        <v>14</v>
      </c>
      <c r="C1989" s="7" t="n">
        <v>16</v>
      </c>
      <c r="D1989" s="7" t="s">
        <v>3918</v>
      </c>
      <c r="E1989" s="7"/>
      <c r="G1989" s="5" t="str">
        <f aca="false">IF(ISNUMBER(FIND("old rod:",A1989)),"old rod:",A1989)</f>
        <v>14, 16, NIDORAN\sm</v>
      </c>
      <c r="I1989" s="5" t="s">
        <v>3340</v>
      </c>
    </row>
    <row r="1990" customFormat="false" ht="12.75" hidden="false" customHeight="true" outlineLevel="0" collapsed="false">
      <c r="A1990" s="5" t="s">
        <v>3341</v>
      </c>
      <c r="B1990" s="7" t="n">
        <v>14</v>
      </c>
      <c r="C1990" s="7" t="n">
        <v>16</v>
      </c>
      <c r="D1990" s="7" t="s">
        <v>3917</v>
      </c>
      <c r="E1990" s="7"/>
      <c r="G1990" s="5" t="str">
        <f aca="false">IF(ISNUMBER(FIND("old rod:",A1990)),"old rod:",A1990)</f>
        <v>14, 16, NIDORAN\sf</v>
      </c>
      <c r="I1990" s="5" t="s">
        <v>3341</v>
      </c>
    </row>
    <row r="1991" customFormat="false" ht="12.75" hidden="false" customHeight="true" outlineLevel="0" collapsed="false">
      <c r="A1991" s="5" t="s">
        <v>3342</v>
      </c>
      <c r="B1991" s="7" t="n">
        <v>14</v>
      </c>
      <c r="C1991" s="7" t="n">
        <v>16</v>
      </c>
      <c r="D1991" s="7" t="s">
        <v>3919</v>
      </c>
      <c r="E1991" s="7"/>
      <c r="G1991" s="5" t="str">
        <f aca="false">IF(ISNUMBER(FIND("old rod:",A1991)),"old rod:",A1991)</f>
        <v>14, 16, EKANS</v>
      </c>
      <c r="I1991" s="5" t="s">
        <v>3342</v>
      </c>
    </row>
    <row r="1992" customFormat="false" ht="12.75" hidden="false" customHeight="true" outlineLevel="0" collapsed="false">
      <c r="A1992" s="5" t="n">
        <v>0.05</v>
      </c>
      <c r="B1992" s="5" t="n">
        <v>0.05</v>
      </c>
      <c r="C1992" s="7"/>
      <c r="D1992" s="7"/>
      <c r="E1992" s="7"/>
      <c r="G1992" s="5" t="n">
        <f aca="false">IF(ISNUMBER(FIND("old rod:",A1992)),"old rod:",A1992)</f>
        <v>0.05</v>
      </c>
      <c r="I1992" s="5" t="n">
        <v>0.05</v>
      </c>
    </row>
    <row r="1993" customFormat="false" ht="12.75" hidden="false" customHeight="true" outlineLevel="0" collapsed="false">
      <c r="A1993" s="5" t="s">
        <v>3343</v>
      </c>
      <c r="B1993" s="7" t="n">
        <v>15</v>
      </c>
      <c r="C1993" s="7" t="n">
        <v>15</v>
      </c>
      <c r="D1993" s="7" t="s">
        <v>3920</v>
      </c>
      <c r="E1993" s="7"/>
      <c r="G1993" s="5" t="str">
        <f aca="false">IF(ISNUMBER(FIND("old rod:",A1993)),"old rod:",A1993)</f>
        <v>15, 15, JIGGLYPUFF</v>
      </c>
      <c r="I1993" s="5" t="s">
        <v>3343</v>
      </c>
    </row>
    <row r="1994" customFormat="false" ht="12.75" hidden="false" customHeight="true" outlineLevel="0" collapsed="false">
      <c r="A1994" s="5" t="s">
        <v>3344</v>
      </c>
      <c r="B1994" s="7" t="n">
        <v>15</v>
      </c>
      <c r="C1994" s="7" t="n">
        <v>15</v>
      </c>
      <c r="D1994" s="7" t="s">
        <v>3744</v>
      </c>
      <c r="E1994" s="7"/>
      <c r="G1994" s="5" t="str">
        <f aca="false">IF(ISNUMBER(FIND("old rod:",A1994)),"old rod:",A1994)</f>
        <v>15, 15, CLEFAIRY</v>
      </c>
      <c r="I1994" s="5" t="s">
        <v>3344</v>
      </c>
    </row>
    <row r="1995" customFormat="false" ht="12.75" hidden="false" customHeight="true" outlineLevel="0" collapsed="false">
      <c r="A1995" s="5" t="n">
        <v>0.04</v>
      </c>
      <c r="B1995" s="5" t="n">
        <v>0.04</v>
      </c>
      <c r="C1995" s="7"/>
      <c r="D1995" s="7"/>
      <c r="E1995" s="7"/>
      <c r="G1995" s="5" t="n">
        <f aca="false">IF(ISNUMBER(FIND("old rod:",A1995)),"old rod:",A1995)</f>
        <v>0.04</v>
      </c>
      <c r="I1995" s="5" t="n">
        <v>0.04</v>
      </c>
    </row>
    <row r="1996" customFormat="false" ht="12.75" hidden="false" customHeight="true" outlineLevel="0" collapsed="false">
      <c r="A1996" s="5" t="s">
        <v>3345</v>
      </c>
      <c r="B1996" s="7" t="n">
        <v>13</v>
      </c>
      <c r="C1996" s="7" t="n">
        <v>18</v>
      </c>
      <c r="D1996" s="7" t="s">
        <v>3735</v>
      </c>
      <c r="E1996" s="7"/>
      <c r="G1996" s="5" t="str">
        <f aca="false">IF(ISNUMBER(FIND("old rod:",A1996)),"old rod:",A1996)</f>
        <v>13, 18, MANKEY</v>
      </c>
      <c r="I1996" s="5" t="s">
        <v>3345</v>
      </c>
    </row>
    <row r="1997" customFormat="false" ht="12.75" hidden="false" customHeight="true" outlineLevel="0" collapsed="false">
      <c r="A1997" s="5" t="s">
        <v>3346</v>
      </c>
      <c r="B1997" s="7" t="n">
        <v>13</v>
      </c>
      <c r="C1997" s="7" t="n">
        <v>18</v>
      </c>
      <c r="D1997" s="7" t="s">
        <v>3850</v>
      </c>
      <c r="E1997" s="7"/>
      <c r="G1997" s="5" t="str">
        <f aca="false">IF(ISNUMBER(FIND("old rod:",A1997)),"old rod:",A1997)</f>
        <v>13, 18, MACHOP</v>
      </c>
      <c r="I1997" s="5" t="s">
        <v>3346</v>
      </c>
    </row>
    <row r="1998" customFormat="false" ht="12.75" hidden="false" customHeight="true" outlineLevel="0" collapsed="false">
      <c r="A1998" s="5" t="n">
        <v>0.01</v>
      </c>
      <c r="B1998" s="5" t="n">
        <v>0.01</v>
      </c>
      <c r="C1998" s="7"/>
      <c r="D1998" s="7"/>
      <c r="E1998" s="7"/>
      <c r="G1998" s="5" t="n">
        <f aca="false">IF(ISNUMBER(FIND("old rod:",A1998)),"old rod:",A1998)</f>
        <v>0.01</v>
      </c>
      <c r="I1998" s="5" t="n">
        <v>0.01</v>
      </c>
    </row>
    <row r="1999" customFormat="false" ht="12.75" hidden="false" customHeight="true" outlineLevel="0" collapsed="false">
      <c r="A1999" s="5" t="s">
        <v>3347</v>
      </c>
      <c r="B1999" s="7" t="n">
        <v>16</v>
      </c>
      <c r="C1999" s="7" t="n">
        <v>16</v>
      </c>
      <c r="D1999" s="7" t="s">
        <v>3921</v>
      </c>
      <c r="E1999" s="7"/>
      <c r="G1999" s="5" t="str">
        <f aca="false">IF(ISNUMBER(FIND("old rod:",A1999)),"old rod:",A1999)</f>
        <v>16, 16, NIDORINO</v>
      </c>
      <c r="I1999" s="5" t="s">
        <v>3347</v>
      </c>
    </row>
    <row r="2000" customFormat="false" ht="12.75" hidden="false" customHeight="true" outlineLevel="0" collapsed="false">
      <c r="A2000" s="5" t="s">
        <v>3348</v>
      </c>
      <c r="B2000" s="7" t="n">
        <v>16</v>
      </c>
      <c r="C2000" s="7" t="n">
        <v>16</v>
      </c>
      <c r="D2000" s="7" t="s">
        <v>3922</v>
      </c>
      <c r="E2000" s="7"/>
      <c r="G2000" s="5" t="str">
        <f aca="false">IF(ISNUMBER(FIND("old rod:",A2000)),"old rod:",A2000)</f>
        <v>16, 16, NIDORINA</v>
      </c>
      <c r="I2000" s="5" t="s">
        <v>3348</v>
      </c>
    </row>
    <row r="2001" customFormat="false" ht="12.75" hidden="false" customHeight="true" outlineLevel="0" collapsed="false">
      <c r="A2001" s="5" t="s">
        <v>3349</v>
      </c>
      <c r="B2001" s="7" t="n">
        <v>2</v>
      </c>
      <c r="C2001" s="7" t="n">
        <v>38</v>
      </c>
      <c r="D2001" s="7" t="n">
        <v>42</v>
      </c>
      <c r="E2001" s="7" t="s">
        <v>3747</v>
      </c>
      <c r="G2001" s="5" t="str">
        <f aca="false">IF(ISNUMBER(FIND("old rod:",A2001)),"old rod:",A2001)</f>
        <v>2, 38, 42, TENTACOOL</v>
      </c>
      <c r="I2001" s="5" t="s">
        <v>3349</v>
      </c>
    </row>
    <row r="2002" customFormat="false" ht="12.75" hidden="false" customHeight="true" outlineLevel="0" collapsed="false">
      <c r="A2002" s="5" t="s">
        <v>3350</v>
      </c>
      <c r="B2002" s="7" t="n">
        <v>40</v>
      </c>
      <c r="C2002" s="7" t="n">
        <v>44</v>
      </c>
      <c r="D2002" s="7" t="s">
        <v>3799</v>
      </c>
      <c r="E2002" s="7"/>
      <c r="G2002" s="5" t="str">
        <f aca="false">IF(ISNUMBER(FIND("old rod:",A2002)),"old rod:",A2002)</f>
        <v>40, 44, PSYDUCK</v>
      </c>
      <c r="I2002" s="5" t="s">
        <v>3350</v>
      </c>
    </row>
    <row r="2003" customFormat="false" ht="12.75" hidden="false" customHeight="true" outlineLevel="0" collapsed="false">
      <c r="A2003" s="5" t="s">
        <v>3351</v>
      </c>
      <c r="B2003" s="7" t="n">
        <v>42</v>
      </c>
      <c r="C2003" s="7" t="n">
        <v>46</v>
      </c>
      <c r="D2003" s="7" t="s">
        <v>3897</v>
      </c>
      <c r="E2003" s="7"/>
      <c r="G2003" s="5" t="str">
        <f aca="false">IF(ISNUMBER(FIND("old rod:",A2003)),"old rod:",A2003)</f>
        <v>42, 46, TENTACRUEL</v>
      </c>
      <c r="I2003" s="5" t="s">
        <v>3351</v>
      </c>
    </row>
    <row r="2004" customFormat="false" ht="12.75" hidden="false" customHeight="true" outlineLevel="0" collapsed="false">
      <c r="A2004" s="5" t="s">
        <v>2923</v>
      </c>
      <c r="B2004" s="7" t="n">
        <v>42</v>
      </c>
      <c r="C2004" s="7" t="n">
        <v>46</v>
      </c>
      <c r="D2004" s="7" t="s">
        <v>3801</v>
      </c>
      <c r="E2004" s="7"/>
      <c r="G2004" s="5" t="str">
        <f aca="false">IF(ISNUMBER(FIND("old rod:",A2004)),"old rod:",A2004)</f>
        <v>42, 46, GOLDUCK</v>
      </c>
      <c r="I2004" s="5" t="s">
        <v>2923</v>
      </c>
    </row>
    <row r="2005" customFormat="false" ht="12.75" hidden="false" customHeight="true" outlineLevel="0" collapsed="false">
      <c r="A2005" s="5" t="s">
        <v>2924</v>
      </c>
      <c r="B2005" s="7" t="n">
        <v>44</v>
      </c>
      <c r="C2005" s="7" t="n">
        <v>48</v>
      </c>
      <c r="D2005" s="7" t="s">
        <v>3802</v>
      </c>
      <c r="E2005" s="7"/>
      <c r="G2005" s="5" t="str">
        <f aca="false">IF(ISNUMBER(FIND("old rod:",A2005)),"old rod:",A2005)</f>
        <v>44, 48, VAPOREON</v>
      </c>
      <c r="I2005" s="5" t="s">
        <v>2924</v>
      </c>
    </row>
    <row r="2006" customFormat="false" ht="12.75" hidden="false" customHeight="true" outlineLevel="0" collapsed="false">
      <c r="A2006" s="5" t="s">
        <v>2925</v>
      </c>
      <c r="B2006" s="7" t="n">
        <v>20</v>
      </c>
      <c r="C2006" s="7" t="s">
        <v>3748</v>
      </c>
      <c r="D2006" s="7"/>
      <c r="E2006" s="7"/>
      <c r="G2006" s="5" t="str">
        <f aca="false">IF(ISNUMBER(FIND("old rod:",A2006)),"old rod:",A2006)</f>
        <v>old rod:</v>
      </c>
      <c r="I2006" s="5" t="s">
        <v>3749</v>
      </c>
    </row>
    <row r="2007" customFormat="false" ht="12.75" hidden="false" customHeight="true" outlineLevel="0" collapsed="false">
      <c r="A2007" s="5" t="s">
        <v>1349</v>
      </c>
      <c r="B2007" s="7" t="n">
        <v>19</v>
      </c>
      <c r="C2007" s="7" t="n">
        <v>26</v>
      </c>
      <c r="D2007" s="7" t="s">
        <v>3750</v>
      </c>
      <c r="E2007" s="7"/>
      <c r="G2007" s="5" t="str">
        <f aca="false">IF(ISNUMBER(FIND("old rod:",A2007)),"old rod:",A2007)</f>
        <v>19, 26, MAGIKARP</v>
      </c>
      <c r="I2007" s="5" t="s">
        <v>1349</v>
      </c>
    </row>
    <row r="2008" customFormat="false" ht="12.75" hidden="false" customHeight="true" outlineLevel="0" collapsed="false">
      <c r="A2008" s="5" t="s">
        <v>3352</v>
      </c>
      <c r="B2008" s="7" t="n">
        <v>19</v>
      </c>
      <c r="C2008" s="7" t="n">
        <v>26</v>
      </c>
      <c r="D2008" s="7" t="s">
        <v>3754</v>
      </c>
      <c r="E2008" s="7"/>
      <c r="G2008" s="5" t="str">
        <f aca="false">IF(ISNUMBER(FIND("old rod:",A2008)),"old rod:",A2008)</f>
        <v>19, 26, GYARADOS</v>
      </c>
      <c r="I2008" s="5" t="s">
        <v>3352</v>
      </c>
    </row>
    <row r="2009" customFormat="false" ht="12.75" hidden="false" customHeight="true" outlineLevel="0" collapsed="false">
      <c r="A2009" s="5" t="s">
        <v>2846</v>
      </c>
      <c r="B2009" s="7" t="s">
        <v>2846</v>
      </c>
      <c r="C2009" s="7"/>
      <c r="D2009" s="7"/>
      <c r="E2009" s="7"/>
      <c r="G2009" s="5" t="str">
        <f aca="false">IF(ISNUMBER(FIND("old rod:",A2009)),"old rod:",A2009)</f>
        <v>good rod:</v>
      </c>
      <c r="I2009" s="5" t="s">
        <v>2846</v>
      </c>
    </row>
    <row r="2010" customFormat="false" ht="12.75" hidden="false" customHeight="true" outlineLevel="0" collapsed="false">
      <c r="A2010" s="5" t="s">
        <v>3353</v>
      </c>
      <c r="B2010" s="7" t="n">
        <v>29</v>
      </c>
      <c r="C2010" s="7" t="n">
        <v>33</v>
      </c>
      <c r="D2010" s="7" t="s">
        <v>3755</v>
      </c>
      <c r="E2010" s="7"/>
      <c r="G2010" s="5" t="str">
        <f aca="false">IF(ISNUMBER(FIND("old rod:",A2010)),"old rod:",A2010)</f>
        <v>29, 33, SLOWPOKE</v>
      </c>
      <c r="I2010" s="5" t="s">
        <v>3353</v>
      </c>
    </row>
    <row r="2011" customFormat="false" ht="12.75" hidden="false" customHeight="true" outlineLevel="0" collapsed="false">
      <c r="A2011" s="5" t="s">
        <v>3027</v>
      </c>
      <c r="B2011" s="7" t="n">
        <v>30</v>
      </c>
      <c r="C2011" s="7" t="n">
        <v>35</v>
      </c>
      <c r="D2011" s="7" t="s">
        <v>3751</v>
      </c>
      <c r="E2011" s="7"/>
      <c r="G2011" s="5" t="str">
        <f aca="false">IF(ISNUMBER(FIND("old rod:",A2011)),"old rod:",A2011)</f>
        <v>30, 35, KRABBY</v>
      </c>
      <c r="I2011" s="5" t="s">
        <v>3027</v>
      </c>
    </row>
    <row r="2012" customFormat="false" ht="12.75" hidden="false" customHeight="true" outlineLevel="0" collapsed="false">
      <c r="A2012" s="5" t="s">
        <v>3354</v>
      </c>
      <c r="B2012" s="7" t="n">
        <v>30</v>
      </c>
      <c r="C2012" s="7" t="n">
        <v>35</v>
      </c>
      <c r="D2012" s="7" t="s">
        <v>3799</v>
      </c>
      <c r="E2012" s="7"/>
      <c r="G2012" s="5" t="str">
        <f aca="false">IF(ISNUMBER(FIND("old rod:",A2012)),"old rod:",A2012)</f>
        <v>30, 35, PSYDUCK</v>
      </c>
      <c r="I2012" s="5" t="s">
        <v>3354</v>
      </c>
    </row>
    <row r="2013" customFormat="false" ht="12.75" hidden="false" customHeight="true" outlineLevel="0" collapsed="false">
      <c r="A2013" s="5" t="s">
        <v>2850</v>
      </c>
      <c r="B2013" s="7" t="s">
        <v>2850</v>
      </c>
      <c r="C2013" s="7"/>
      <c r="D2013" s="7"/>
      <c r="E2013" s="7"/>
      <c r="G2013" s="5" t="str">
        <f aca="false">IF(ISNUMBER(FIND("old rod:",A2013)),"old rod:",A2013)</f>
        <v>super rod:</v>
      </c>
      <c r="I2013" s="5" t="s">
        <v>2850</v>
      </c>
    </row>
    <row r="2014" customFormat="false" ht="12.75" hidden="false" customHeight="true" outlineLevel="0" collapsed="false">
      <c r="A2014" s="5" t="s">
        <v>3355</v>
      </c>
      <c r="B2014" s="7" t="n">
        <v>36</v>
      </c>
      <c r="C2014" s="7" t="n">
        <v>40</v>
      </c>
      <c r="D2014" s="7" t="s">
        <v>3800</v>
      </c>
      <c r="E2014" s="7"/>
      <c r="G2014" s="5" t="str">
        <f aca="false">IF(ISNUMBER(FIND("old rod:",A2014)),"old rod:",A2014)</f>
        <v>36, 40, SLOWBRO</v>
      </c>
      <c r="I2014" s="5" t="s">
        <v>3355</v>
      </c>
    </row>
    <row r="2015" customFormat="false" ht="12.75" hidden="false" customHeight="true" outlineLevel="0" collapsed="false">
      <c r="A2015" s="5" t="s">
        <v>3356</v>
      </c>
      <c r="B2015" s="7" t="n">
        <v>36</v>
      </c>
      <c r="C2015" s="7" t="n">
        <v>40</v>
      </c>
      <c r="D2015" s="7" t="s">
        <v>3754</v>
      </c>
      <c r="E2015" s="7"/>
      <c r="G2015" s="5" t="str">
        <f aca="false">IF(ISNUMBER(FIND("old rod:",A2015)),"old rod:",A2015)</f>
        <v>36, 40, GYARADOS</v>
      </c>
      <c r="I2015" s="5" t="s">
        <v>3356</v>
      </c>
    </row>
    <row r="2016" customFormat="false" ht="12.75" hidden="false" customHeight="true" outlineLevel="0" collapsed="false">
      <c r="A2016" s="5" t="s">
        <v>3357</v>
      </c>
      <c r="B2016" s="7" t="n">
        <v>38</v>
      </c>
      <c r="C2016" s="7" t="n">
        <v>42</v>
      </c>
      <c r="D2016" s="7" t="s">
        <v>3801</v>
      </c>
      <c r="E2016" s="7"/>
      <c r="G2016" s="5" t="str">
        <f aca="false">IF(ISNUMBER(FIND("old rod:",A2016)),"old rod:",A2016)</f>
        <v>38, 42, GOLDUCK</v>
      </c>
      <c r="I2016" s="5" t="s">
        <v>3357</v>
      </c>
    </row>
    <row r="2017" customFormat="false" ht="12.75" hidden="false" customHeight="true" outlineLevel="0" collapsed="false">
      <c r="A2017" s="5" t="s">
        <v>3358</v>
      </c>
      <c r="B2017" s="7" t="n">
        <v>38</v>
      </c>
      <c r="C2017" s="7" t="n">
        <v>42</v>
      </c>
      <c r="D2017" s="7" t="s">
        <v>3859</v>
      </c>
      <c r="E2017" s="7"/>
      <c r="G2017" s="5" t="str">
        <f aca="false">IF(ISNUMBER(FIND("old rod:",A2017)),"old rod:",A2017)</f>
        <v>38, 42, KINGLER</v>
      </c>
      <c r="I2017" s="5" t="s">
        <v>3358</v>
      </c>
    </row>
    <row r="2018" customFormat="false" ht="12.75" hidden="false" customHeight="true" outlineLevel="0" collapsed="false">
      <c r="A2018" s="5" t="s">
        <v>3359</v>
      </c>
      <c r="B2018" s="7" t="n">
        <v>40</v>
      </c>
      <c r="C2018" s="7" t="n">
        <v>44</v>
      </c>
      <c r="D2018" s="7" t="s">
        <v>3855</v>
      </c>
      <c r="E2018" s="7"/>
      <c r="G2018" s="5" t="str">
        <f aca="false">IF(ISNUMBER(FIND("old rod:",A2018)),"old rod:",A2018)</f>
        <v>40, 44, SLOWMATE</v>
      </c>
      <c r="I2018" s="5" t="s">
        <v>3359</v>
      </c>
    </row>
    <row r="2019" customFormat="false" ht="12.75" hidden="false" customHeight="true" outlineLevel="0" collapsed="false">
      <c r="A2019" s="5" t="s">
        <v>2536</v>
      </c>
      <c r="B2019" s="7" t="s">
        <v>2536</v>
      </c>
      <c r="C2019" s="7"/>
      <c r="D2019" s="7"/>
      <c r="E2019" s="7"/>
      <c r="G2019" s="5" t="str">
        <f aca="false">IF(ISNUMBER(FIND("old rod:",A2019)),"old rod:",A2019)</f>
        <v>NEW ROUTE</v>
      </c>
      <c r="I2019" s="5" t="s">
        <v>2536</v>
      </c>
    </row>
    <row r="2020" customFormat="false" ht="12.75" hidden="false" customHeight="true" outlineLevel="0" collapsed="false">
      <c r="A2020" s="5" t="s">
        <v>425</v>
      </c>
      <c r="B2020" s="7" t="s">
        <v>425</v>
      </c>
      <c r="C2020" s="7"/>
      <c r="D2020" s="7"/>
      <c r="E2020" s="7"/>
      <c r="G2020" s="5" t="str">
        <f aca="false">IF(ISNUMBER(FIND("old rod:",A2020)),"old rod:",A2020)</f>
        <v>Route 5</v>
      </c>
      <c r="I2020" s="5" t="s">
        <v>425</v>
      </c>
    </row>
    <row r="2021" customFormat="false" ht="12.75" hidden="false" customHeight="true" outlineLevel="0" collapsed="false">
      <c r="A2021" s="5" t="n">
        <v>0.2</v>
      </c>
      <c r="B2021" s="5" t="n">
        <v>0.2</v>
      </c>
      <c r="C2021" s="7"/>
      <c r="D2021" s="7"/>
      <c r="E2021" s="7"/>
      <c r="G2021" s="5" t="n">
        <f aca="false">IF(ISNUMBER(FIND("old rod:",A2021)),"old rod:",A2021)</f>
        <v>0.2</v>
      </c>
      <c r="I2021" s="5" t="n">
        <v>0.2</v>
      </c>
    </row>
    <row r="2022" customFormat="false" ht="12.75" hidden="false" customHeight="true" outlineLevel="0" collapsed="false">
      <c r="A2022" s="5" t="s">
        <v>1828</v>
      </c>
      <c r="B2022" s="7" t="n">
        <v>15</v>
      </c>
      <c r="C2022" s="7" t="n">
        <v>17</v>
      </c>
      <c r="D2022" s="7" t="s">
        <v>3889</v>
      </c>
      <c r="E2022" s="7"/>
      <c r="G2022" s="5" t="str">
        <f aca="false">IF(ISNUMBER(FIND("old rod:",A2022)),"old rod:",A2022)</f>
        <v>15, 17, PIDGEY</v>
      </c>
      <c r="I2022" s="5" t="s">
        <v>1828</v>
      </c>
    </row>
    <row r="2023" customFormat="false" ht="12.75" hidden="false" customHeight="true" outlineLevel="0" collapsed="false">
      <c r="A2023" s="5" t="s">
        <v>3361</v>
      </c>
      <c r="B2023" s="7" t="n">
        <v>15</v>
      </c>
      <c r="C2023" s="7" t="n">
        <v>17</v>
      </c>
      <c r="D2023" s="7" t="s">
        <v>3902</v>
      </c>
      <c r="E2023" s="7"/>
      <c r="G2023" s="5" t="str">
        <f aca="false">IF(ISNUMBER(FIND("old rod:",A2023)),"old rod:",A2023)</f>
        <v>15, 17, MEOWTH</v>
      </c>
      <c r="I2023" s="5" t="s">
        <v>3361</v>
      </c>
    </row>
    <row r="2024" customFormat="false" ht="12.75" hidden="false" customHeight="true" outlineLevel="0" collapsed="false">
      <c r="A2024" s="5" t="n">
        <v>0.1</v>
      </c>
      <c r="B2024" s="5" t="n">
        <v>0.1</v>
      </c>
      <c r="C2024" s="7"/>
      <c r="D2024" s="7"/>
      <c r="E2024" s="7"/>
      <c r="G2024" s="5" t="n">
        <f aca="false">IF(ISNUMBER(FIND("old rod:",A2024)),"old rod:",A2024)</f>
        <v>0.1</v>
      </c>
      <c r="I2024" s="5" t="n">
        <v>0.1</v>
      </c>
    </row>
    <row r="2025" customFormat="false" ht="12.75" hidden="false" customHeight="true" outlineLevel="0" collapsed="false">
      <c r="A2025" s="5" t="s">
        <v>3362</v>
      </c>
      <c r="B2025" s="7" t="n">
        <v>16</v>
      </c>
      <c r="C2025" s="7" t="n">
        <v>19</v>
      </c>
      <c r="D2025" s="7" t="s">
        <v>3731</v>
      </c>
      <c r="E2025" s="7"/>
      <c r="G2025" s="5" t="str">
        <f aca="false">IF(ISNUMBER(FIND("old rod:",A2025)),"old rod:",A2025)</f>
        <v>16, 19, ODDISH</v>
      </c>
      <c r="I2025" s="5" t="s">
        <v>3362</v>
      </c>
    </row>
    <row r="2026" customFormat="false" ht="12.75" hidden="false" customHeight="true" outlineLevel="0" collapsed="false">
      <c r="A2026" s="5" t="s">
        <v>3363</v>
      </c>
      <c r="B2026" s="7" t="n">
        <v>16</v>
      </c>
      <c r="C2026" s="7" t="n">
        <v>19</v>
      </c>
      <c r="D2026" s="7" t="s">
        <v>3890</v>
      </c>
      <c r="E2026" s="7"/>
      <c r="G2026" s="5" t="str">
        <f aca="false">IF(ISNUMBER(FIND("old rod:",A2026)),"old rod:",A2026)</f>
        <v>16, 19, BELLSPROUT</v>
      </c>
      <c r="I2026" s="5" t="s">
        <v>3363</v>
      </c>
    </row>
    <row r="2027" customFormat="false" ht="12.75" hidden="false" customHeight="true" outlineLevel="0" collapsed="false">
      <c r="A2027" s="5" t="s">
        <v>3364</v>
      </c>
      <c r="B2027" s="7" t="n">
        <v>16</v>
      </c>
      <c r="C2027" s="7" t="n">
        <v>19</v>
      </c>
      <c r="D2027" s="7" t="s">
        <v>3919</v>
      </c>
      <c r="E2027" s="7"/>
      <c r="G2027" s="5" t="str">
        <f aca="false">IF(ISNUMBER(FIND("old rod:",A2027)),"old rod:",A2027)</f>
        <v>16, 19, EKANS</v>
      </c>
      <c r="I2027" s="5" t="s">
        <v>3364</v>
      </c>
    </row>
    <row r="2028" customFormat="false" ht="12.75" hidden="false" customHeight="true" outlineLevel="0" collapsed="false">
      <c r="A2028" s="5" t="s">
        <v>3365</v>
      </c>
      <c r="B2028" s="7" t="n">
        <v>16</v>
      </c>
      <c r="C2028" s="7" t="n">
        <v>19</v>
      </c>
      <c r="D2028" s="7" t="s">
        <v>3742</v>
      </c>
      <c r="E2028" s="7"/>
      <c r="G2028" s="5" t="str">
        <f aca="false">IF(ISNUMBER(FIND("old rod:",A2028)),"old rod:",A2028)</f>
        <v>16, 19, PARAS</v>
      </c>
      <c r="I2028" s="5" t="s">
        <v>3365</v>
      </c>
    </row>
    <row r="2029" customFormat="false" ht="12.75" hidden="false" customHeight="true" outlineLevel="0" collapsed="false">
      <c r="A2029" s="5" t="n">
        <v>0.05</v>
      </c>
      <c r="B2029" s="5" t="n">
        <v>0.05</v>
      </c>
      <c r="C2029" s="7"/>
      <c r="D2029" s="7"/>
      <c r="E2029" s="7"/>
      <c r="G2029" s="5" t="n">
        <f aca="false">IF(ISNUMBER(FIND("old rod:",A2029)),"old rod:",A2029)</f>
        <v>0.05</v>
      </c>
      <c r="I2029" s="5" t="n">
        <v>0.05</v>
      </c>
    </row>
    <row r="2030" customFormat="false" ht="12.75" hidden="false" customHeight="true" outlineLevel="0" collapsed="false">
      <c r="A2030" s="5" t="s">
        <v>3366</v>
      </c>
      <c r="B2030" s="7" t="n">
        <v>17</v>
      </c>
      <c r="C2030" s="7" t="n">
        <v>17</v>
      </c>
      <c r="D2030" s="7" t="s">
        <v>3868</v>
      </c>
      <c r="E2030" s="7"/>
      <c r="G2030" s="5" t="str">
        <f aca="false">IF(ISNUMBER(FIND("old rod:",A2030)),"old rod:",A2030)</f>
        <v>17, 17, VULPIX</v>
      </c>
      <c r="I2030" s="5" t="s">
        <v>3366</v>
      </c>
    </row>
    <row r="2031" customFormat="false" ht="12.75" hidden="false" customHeight="true" outlineLevel="0" collapsed="false">
      <c r="A2031" s="5" t="s">
        <v>3367</v>
      </c>
      <c r="B2031" s="7" t="n">
        <v>17</v>
      </c>
      <c r="C2031" s="7" t="n">
        <v>17</v>
      </c>
      <c r="D2031" s="7" t="s">
        <v>3916</v>
      </c>
      <c r="E2031" s="7"/>
      <c r="G2031" s="5" t="str">
        <f aca="false">IF(ISNUMBER(FIND("old rod:",A2031)),"old rod:",A2031)</f>
        <v>17, 17, GROWLITHE</v>
      </c>
      <c r="I2031" s="5" t="s">
        <v>3367</v>
      </c>
    </row>
    <row r="2032" customFormat="false" ht="12.75" hidden="false" customHeight="true" outlineLevel="0" collapsed="false">
      <c r="A2032" s="5" t="n">
        <v>0.04</v>
      </c>
      <c r="B2032" s="5" t="n">
        <v>0.04</v>
      </c>
      <c r="C2032" s="7"/>
      <c r="D2032" s="7"/>
      <c r="E2032" s="7"/>
      <c r="G2032" s="5" t="n">
        <f aca="false">IF(ISNUMBER(FIND("old rod:",A2032)),"old rod:",A2032)</f>
        <v>0.04</v>
      </c>
      <c r="I2032" s="5" t="n">
        <v>0.04</v>
      </c>
    </row>
    <row r="2033" customFormat="false" ht="12.75" hidden="false" customHeight="true" outlineLevel="0" collapsed="false">
      <c r="A2033" s="5" t="s">
        <v>3368</v>
      </c>
      <c r="B2033" s="7" t="n">
        <v>16</v>
      </c>
      <c r="C2033" s="7" t="n">
        <v>18</v>
      </c>
      <c r="D2033" s="7" t="s">
        <v>3734</v>
      </c>
      <c r="E2033" s="7"/>
      <c r="G2033" s="5" t="str">
        <f aca="false">IF(ISNUMBER(FIND("old rod:",A2033)),"old rod:",A2033)</f>
        <v>16, 18, PIKACHU</v>
      </c>
      <c r="I2033" s="5" t="s">
        <v>3368</v>
      </c>
    </row>
    <row r="2034" customFormat="false" ht="12.75" hidden="false" customHeight="true" outlineLevel="0" collapsed="false">
      <c r="A2034" s="5" t="s">
        <v>3369</v>
      </c>
      <c r="B2034" s="7" t="n">
        <v>16</v>
      </c>
      <c r="C2034" s="7" t="n">
        <v>18</v>
      </c>
      <c r="D2034" s="7" t="s">
        <v>3914</v>
      </c>
      <c r="E2034" s="7"/>
      <c r="G2034" s="5" t="str">
        <f aca="false">IF(ISNUMBER(FIND("old rod:",A2034)),"old rod:",A2034)</f>
        <v>16, 18, EEVEE</v>
      </c>
      <c r="I2034" s="5" t="s">
        <v>3369</v>
      </c>
    </row>
    <row r="2035" customFormat="false" ht="12.75" hidden="false" customHeight="true" outlineLevel="0" collapsed="false">
      <c r="A2035" s="5" t="n">
        <v>0.01</v>
      </c>
      <c r="B2035" s="5" t="n">
        <v>0.01</v>
      </c>
      <c r="C2035" s="7"/>
      <c r="D2035" s="7"/>
      <c r="E2035" s="7"/>
      <c r="G2035" s="5" t="n">
        <f aca="false">IF(ISNUMBER(FIND("old rod:",A2035)),"old rod:",A2035)</f>
        <v>0.01</v>
      </c>
      <c r="I2035" s="5" t="n">
        <v>0.01</v>
      </c>
    </row>
    <row r="2036" customFormat="false" ht="12.75" hidden="false" customHeight="true" outlineLevel="0" collapsed="false">
      <c r="A2036" s="5" t="s">
        <v>3370</v>
      </c>
      <c r="B2036" s="7" t="n">
        <v>20</v>
      </c>
      <c r="C2036" s="7" t="n">
        <v>20</v>
      </c>
      <c r="D2036" s="7" t="s">
        <v>3882</v>
      </c>
      <c r="E2036" s="7"/>
      <c r="G2036" s="5" t="str">
        <f aca="false">IF(ISNUMBER(FIND("old rod:",A2036)),"old rod:",A2036)</f>
        <v>20, 20, FEAROW</v>
      </c>
      <c r="I2036" s="5" t="s">
        <v>3370</v>
      </c>
    </row>
    <row r="2037" customFormat="false" ht="12.75" hidden="false" customHeight="true" outlineLevel="0" collapsed="false">
      <c r="A2037" s="5" t="s">
        <v>3373</v>
      </c>
      <c r="B2037" s="7" t="n">
        <v>20</v>
      </c>
      <c r="C2037" s="7" t="n">
        <v>20</v>
      </c>
      <c r="D2037" s="7" t="s">
        <v>3888</v>
      </c>
      <c r="E2037" s="7"/>
      <c r="G2037" s="5" t="str">
        <f aca="false">IF(ISNUMBER(FIND("old rod:",A2037)),"old rod:",A2037)</f>
        <v>20, 20, WEEPINBELL</v>
      </c>
      <c r="I2037" s="5" t="s">
        <v>3373</v>
      </c>
    </row>
    <row r="2038" customFormat="false" ht="12.75" hidden="false" customHeight="true" outlineLevel="0" collapsed="false">
      <c r="A2038" s="5" t="s">
        <v>2536</v>
      </c>
      <c r="B2038" s="7" t="s">
        <v>2536</v>
      </c>
      <c r="C2038" s="7"/>
      <c r="D2038" s="7"/>
      <c r="E2038" s="7"/>
      <c r="G2038" s="5" t="str">
        <f aca="false">IF(ISNUMBER(FIND("old rod:",A2038)),"old rod:",A2038)</f>
        <v>NEW ROUTE</v>
      </c>
      <c r="I2038" s="5" t="s">
        <v>2536</v>
      </c>
    </row>
    <row r="2039" customFormat="false" ht="12.75" hidden="false" customHeight="true" outlineLevel="0" collapsed="false">
      <c r="A2039" s="5" t="s">
        <v>427</v>
      </c>
      <c r="B2039" s="7" t="s">
        <v>427</v>
      </c>
      <c r="C2039" s="7"/>
      <c r="D2039" s="7"/>
      <c r="E2039" s="7"/>
      <c r="G2039" s="5" t="str">
        <f aca="false">IF(ISNUMBER(FIND("old rod:",A2039)),"old rod:",A2039)</f>
        <v>Route 6</v>
      </c>
      <c r="I2039" s="5" t="s">
        <v>427</v>
      </c>
    </row>
    <row r="2040" customFormat="false" ht="12.75" hidden="false" customHeight="true" outlineLevel="0" collapsed="false">
      <c r="A2040" s="5" t="n">
        <v>0.2</v>
      </c>
      <c r="B2040" s="5" t="n">
        <v>0.2</v>
      </c>
      <c r="C2040" s="7"/>
      <c r="D2040" s="7"/>
      <c r="E2040" s="7"/>
      <c r="G2040" s="5" t="n">
        <f aca="false">IF(ISNUMBER(FIND("old rod:",A2040)),"old rod:",A2040)</f>
        <v>0.2</v>
      </c>
      <c r="I2040" s="5" t="n">
        <v>0.2</v>
      </c>
    </row>
    <row r="2041" customFormat="false" ht="12.75" hidden="false" customHeight="true" outlineLevel="0" collapsed="false">
      <c r="A2041" s="5" t="s">
        <v>1828</v>
      </c>
      <c r="B2041" s="7" t="n">
        <v>15</v>
      </c>
      <c r="C2041" s="7" t="n">
        <v>17</v>
      </c>
      <c r="D2041" s="7" t="s">
        <v>3889</v>
      </c>
      <c r="E2041" s="7"/>
      <c r="G2041" s="5" t="str">
        <f aca="false">IF(ISNUMBER(FIND("old rod:",A2041)),"old rod:",A2041)</f>
        <v>15, 17, PIDGEY</v>
      </c>
      <c r="I2041" s="5" t="s">
        <v>1828</v>
      </c>
    </row>
    <row r="2042" customFormat="false" ht="12.75" hidden="false" customHeight="true" outlineLevel="0" collapsed="false">
      <c r="A2042" s="5" t="s">
        <v>3361</v>
      </c>
      <c r="B2042" s="7" t="n">
        <v>15</v>
      </c>
      <c r="C2042" s="7" t="n">
        <v>17</v>
      </c>
      <c r="D2042" s="7" t="s">
        <v>3902</v>
      </c>
      <c r="E2042" s="7"/>
      <c r="G2042" s="5" t="str">
        <f aca="false">IF(ISNUMBER(FIND("old rod:",A2042)),"old rod:",A2042)</f>
        <v>15, 17, MEOWTH</v>
      </c>
      <c r="I2042" s="5" t="s">
        <v>3361</v>
      </c>
    </row>
    <row r="2043" customFormat="false" ht="12.75" hidden="false" customHeight="true" outlineLevel="0" collapsed="false">
      <c r="A2043" s="5" t="n">
        <v>0.1</v>
      </c>
      <c r="B2043" s="5" t="n">
        <v>0.1</v>
      </c>
      <c r="C2043" s="7"/>
      <c r="D2043" s="7"/>
      <c r="E2043" s="7"/>
      <c r="G2043" s="5" t="n">
        <f aca="false">IF(ISNUMBER(FIND("old rod:",A2043)),"old rod:",A2043)</f>
        <v>0.1</v>
      </c>
      <c r="I2043" s="5" t="n">
        <v>0.1</v>
      </c>
    </row>
    <row r="2044" customFormat="false" ht="12.75" hidden="false" customHeight="true" outlineLevel="0" collapsed="false">
      <c r="A2044" s="5" t="s">
        <v>3362</v>
      </c>
      <c r="B2044" s="7" t="n">
        <v>16</v>
      </c>
      <c r="C2044" s="7" t="n">
        <v>19</v>
      </c>
      <c r="D2044" s="7" t="s">
        <v>3731</v>
      </c>
      <c r="E2044" s="7"/>
      <c r="G2044" s="5" t="str">
        <f aca="false">IF(ISNUMBER(FIND("old rod:",A2044)),"old rod:",A2044)</f>
        <v>16, 19, ODDISH</v>
      </c>
      <c r="I2044" s="5" t="s">
        <v>3362</v>
      </c>
    </row>
    <row r="2045" customFormat="false" ht="12.75" hidden="false" customHeight="true" outlineLevel="0" collapsed="false">
      <c r="A2045" s="5" t="s">
        <v>3363</v>
      </c>
      <c r="B2045" s="7" t="n">
        <v>16</v>
      </c>
      <c r="C2045" s="7" t="n">
        <v>19</v>
      </c>
      <c r="D2045" s="7" t="s">
        <v>3890</v>
      </c>
      <c r="E2045" s="7"/>
      <c r="G2045" s="5" t="str">
        <f aca="false">IF(ISNUMBER(FIND("old rod:",A2045)),"old rod:",A2045)</f>
        <v>16, 19, BELLSPROUT</v>
      </c>
      <c r="I2045" s="5" t="s">
        <v>3363</v>
      </c>
    </row>
    <row r="2046" customFormat="false" ht="12.75" hidden="false" customHeight="true" outlineLevel="0" collapsed="false">
      <c r="A2046" s="5" t="s">
        <v>3364</v>
      </c>
      <c r="B2046" s="7" t="n">
        <v>16</v>
      </c>
      <c r="C2046" s="7" t="n">
        <v>19</v>
      </c>
      <c r="D2046" s="7" t="s">
        <v>3919</v>
      </c>
      <c r="E2046" s="7"/>
      <c r="G2046" s="5" t="str">
        <f aca="false">IF(ISNUMBER(FIND("old rod:",A2046)),"old rod:",A2046)</f>
        <v>16, 19, EKANS</v>
      </c>
      <c r="I2046" s="5" t="s">
        <v>3364</v>
      </c>
    </row>
    <row r="2047" customFormat="false" ht="12.75" hidden="false" customHeight="true" outlineLevel="0" collapsed="false">
      <c r="A2047" s="5" t="s">
        <v>3365</v>
      </c>
      <c r="B2047" s="7" t="n">
        <v>16</v>
      </c>
      <c r="C2047" s="7" t="n">
        <v>19</v>
      </c>
      <c r="D2047" s="7" t="s">
        <v>3742</v>
      </c>
      <c r="E2047" s="7"/>
      <c r="G2047" s="5" t="str">
        <f aca="false">IF(ISNUMBER(FIND("old rod:",A2047)),"old rod:",A2047)</f>
        <v>16, 19, PARAS</v>
      </c>
      <c r="I2047" s="5" t="s">
        <v>3365</v>
      </c>
    </row>
    <row r="2048" customFormat="false" ht="12.75" hidden="false" customHeight="true" outlineLevel="0" collapsed="false">
      <c r="A2048" s="5" t="n">
        <v>0.05</v>
      </c>
      <c r="B2048" s="5" t="n">
        <v>0.05</v>
      </c>
      <c r="C2048" s="7"/>
      <c r="D2048" s="7"/>
      <c r="E2048" s="7"/>
      <c r="G2048" s="5" t="n">
        <f aca="false">IF(ISNUMBER(FIND("old rod:",A2048)),"old rod:",A2048)</f>
        <v>0.05</v>
      </c>
      <c r="I2048" s="5" t="n">
        <v>0.05</v>
      </c>
    </row>
    <row r="2049" customFormat="false" ht="12.75" hidden="false" customHeight="true" outlineLevel="0" collapsed="false">
      <c r="A2049" s="5" t="s">
        <v>3366</v>
      </c>
      <c r="B2049" s="7" t="n">
        <v>17</v>
      </c>
      <c r="C2049" s="7" t="n">
        <v>17</v>
      </c>
      <c r="D2049" s="7" t="s">
        <v>3868</v>
      </c>
      <c r="E2049" s="7"/>
      <c r="G2049" s="5" t="str">
        <f aca="false">IF(ISNUMBER(FIND("old rod:",A2049)),"old rod:",A2049)</f>
        <v>17, 17, VULPIX</v>
      </c>
      <c r="I2049" s="5" t="s">
        <v>3366</v>
      </c>
    </row>
    <row r="2050" customFormat="false" ht="12.75" hidden="false" customHeight="true" outlineLevel="0" collapsed="false">
      <c r="A2050" s="5" t="s">
        <v>3367</v>
      </c>
      <c r="B2050" s="7" t="n">
        <v>17</v>
      </c>
      <c r="C2050" s="7" t="n">
        <v>17</v>
      </c>
      <c r="D2050" s="7" t="s">
        <v>3916</v>
      </c>
      <c r="E2050" s="7"/>
      <c r="G2050" s="5" t="str">
        <f aca="false">IF(ISNUMBER(FIND("old rod:",A2050)),"old rod:",A2050)</f>
        <v>17, 17, GROWLITHE</v>
      </c>
      <c r="I2050" s="5" t="s">
        <v>3367</v>
      </c>
    </row>
    <row r="2051" customFormat="false" ht="12.75" hidden="false" customHeight="true" outlineLevel="0" collapsed="false">
      <c r="A2051" s="5" t="n">
        <v>0.04</v>
      </c>
      <c r="B2051" s="5" t="n">
        <v>0.04</v>
      </c>
      <c r="C2051" s="7"/>
      <c r="D2051" s="7"/>
      <c r="E2051" s="7"/>
      <c r="G2051" s="5" t="n">
        <f aca="false">IF(ISNUMBER(FIND("old rod:",A2051)),"old rod:",A2051)</f>
        <v>0.04</v>
      </c>
      <c r="I2051" s="5" t="n">
        <v>0.04</v>
      </c>
    </row>
    <row r="2052" customFormat="false" ht="12.75" hidden="false" customHeight="true" outlineLevel="0" collapsed="false">
      <c r="A2052" s="5" t="s">
        <v>3368</v>
      </c>
      <c r="B2052" s="7" t="n">
        <v>16</v>
      </c>
      <c r="C2052" s="7" t="n">
        <v>18</v>
      </c>
      <c r="D2052" s="7" t="s">
        <v>3734</v>
      </c>
      <c r="E2052" s="7"/>
      <c r="G2052" s="5" t="str">
        <f aca="false">IF(ISNUMBER(FIND("old rod:",A2052)),"old rod:",A2052)</f>
        <v>16, 18, PIKACHU</v>
      </c>
      <c r="I2052" s="5" t="s">
        <v>3368</v>
      </c>
    </row>
    <row r="2053" customFormat="false" ht="12.75" hidden="false" customHeight="true" outlineLevel="0" collapsed="false">
      <c r="A2053" s="5" t="s">
        <v>3369</v>
      </c>
      <c r="B2053" s="7" t="n">
        <v>16</v>
      </c>
      <c r="C2053" s="7" t="n">
        <v>18</v>
      </c>
      <c r="D2053" s="7" t="s">
        <v>3914</v>
      </c>
      <c r="E2053" s="7"/>
      <c r="G2053" s="5" t="str">
        <f aca="false">IF(ISNUMBER(FIND("old rod:",A2053)),"old rod:",A2053)</f>
        <v>16, 18, EEVEE</v>
      </c>
      <c r="I2053" s="5" t="s">
        <v>3369</v>
      </c>
    </row>
    <row r="2054" customFormat="false" ht="12.75" hidden="false" customHeight="true" outlineLevel="0" collapsed="false">
      <c r="A2054" s="5" t="n">
        <v>0.01</v>
      </c>
      <c r="B2054" s="5" t="n">
        <v>0.01</v>
      </c>
      <c r="C2054" s="7"/>
      <c r="D2054" s="7"/>
      <c r="E2054" s="7"/>
      <c r="G2054" s="5" t="n">
        <f aca="false">IF(ISNUMBER(FIND("old rod:",A2054)),"old rod:",A2054)</f>
        <v>0.01</v>
      </c>
      <c r="I2054" s="5" t="n">
        <v>0.01</v>
      </c>
    </row>
    <row r="2055" customFormat="false" ht="12.75" hidden="false" customHeight="true" outlineLevel="0" collapsed="false">
      <c r="A2055" s="5" t="s">
        <v>3370</v>
      </c>
      <c r="B2055" s="7" t="n">
        <v>20</v>
      </c>
      <c r="C2055" s="7" t="n">
        <v>20</v>
      </c>
      <c r="D2055" s="7" t="s">
        <v>3882</v>
      </c>
      <c r="E2055" s="7"/>
      <c r="G2055" s="5" t="str">
        <f aca="false">IF(ISNUMBER(FIND("old rod:",A2055)),"old rod:",A2055)</f>
        <v>20, 20, FEAROW</v>
      </c>
      <c r="I2055" s="5" t="s">
        <v>3370</v>
      </c>
    </row>
    <row r="2056" customFormat="false" ht="12.75" hidden="false" customHeight="true" outlineLevel="0" collapsed="false">
      <c r="A2056" s="5" t="s">
        <v>3373</v>
      </c>
      <c r="B2056" s="7" t="n">
        <v>20</v>
      </c>
      <c r="C2056" s="7" t="n">
        <v>20</v>
      </c>
      <c r="D2056" s="7" t="s">
        <v>3888</v>
      </c>
      <c r="E2056" s="7"/>
      <c r="G2056" s="5" t="str">
        <f aca="false">IF(ISNUMBER(FIND("old rod:",A2056)),"old rod:",A2056)</f>
        <v>20, 20, WEEPINBELL</v>
      </c>
      <c r="I2056" s="5" t="s">
        <v>3373</v>
      </c>
    </row>
    <row r="2057" customFormat="false" ht="12.75" hidden="false" customHeight="true" outlineLevel="0" collapsed="false">
      <c r="A2057" s="5" t="s">
        <v>3349</v>
      </c>
      <c r="B2057" s="7" t="n">
        <v>2</v>
      </c>
      <c r="C2057" s="7" t="n">
        <v>38</v>
      </c>
      <c r="D2057" s="7" t="n">
        <v>42</v>
      </c>
      <c r="E2057" s="7" t="s">
        <v>3747</v>
      </c>
      <c r="G2057" s="5" t="str">
        <f aca="false">IF(ISNUMBER(FIND("old rod:",A2057)),"old rod:",A2057)</f>
        <v>2, 38, 42, TENTACOOL</v>
      </c>
      <c r="I2057" s="5" t="s">
        <v>3349</v>
      </c>
    </row>
    <row r="2058" customFormat="false" ht="12.75" hidden="false" customHeight="true" outlineLevel="0" collapsed="false">
      <c r="A2058" s="5" t="s">
        <v>3374</v>
      </c>
      <c r="B2058" s="7" t="n">
        <v>40</v>
      </c>
      <c r="C2058" s="7" t="n">
        <v>44</v>
      </c>
      <c r="D2058" s="7" t="s">
        <v>3755</v>
      </c>
      <c r="E2058" s="7"/>
      <c r="G2058" s="5" t="str">
        <f aca="false">IF(ISNUMBER(FIND("old rod:",A2058)),"old rod:",A2058)</f>
        <v>40, 44, SLOWPOKE</v>
      </c>
      <c r="I2058" s="5" t="s">
        <v>3374</v>
      </c>
    </row>
    <row r="2059" customFormat="false" ht="12.75" hidden="false" customHeight="true" outlineLevel="0" collapsed="false">
      <c r="A2059" s="5" t="s">
        <v>3351</v>
      </c>
      <c r="B2059" s="7" t="n">
        <v>42</v>
      </c>
      <c r="C2059" s="7" t="n">
        <v>46</v>
      </c>
      <c r="D2059" s="7" t="s">
        <v>3897</v>
      </c>
      <c r="E2059" s="7"/>
      <c r="G2059" s="5" t="str">
        <f aca="false">IF(ISNUMBER(FIND("old rod:",A2059)),"old rod:",A2059)</f>
        <v>42, 46, TENTACRUEL</v>
      </c>
      <c r="I2059" s="5" t="s">
        <v>3351</v>
      </c>
    </row>
    <row r="2060" customFormat="false" ht="12.75" hidden="false" customHeight="true" outlineLevel="0" collapsed="false">
      <c r="A2060" s="5" t="s">
        <v>2923</v>
      </c>
      <c r="B2060" s="7" t="n">
        <v>42</v>
      </c>
      <c r="C2060" s="7" t="n">
        <v>46</v>
      </c>
      <c r="D2060" s="7" t="s">
        <v>3801</v>
      </c>
      <c r="E2060" s="7"/>
      <c r="G2060" s="5" t="str">
        <f aca="false">IF(ISNUMBER(FIND("old rod:",A2060)),"old rod:",A2060)</f>
        <v>42, 46, GOLDUCK</v>
      </c>
      <c r="I2060" s="5" t="s">
        <v>2923</v>
      </c>
    </row>
    <row r="2061" customFormat="false" ht="12.75" hidden="false" customHeight="true" outlineLevel="0" collapsed="false">
      <c r="A2061" s="5" t="s">
        <v>3375</v>
      </c>
      <c r="B2061" s="7" t="n">
        <v>44</v>
      </c>
      <c r="C2061" s="7" t="n">
        <v>48</v>
      </c>
      <c r="D2061" s="7" t="s">
        <v>3800</v>
      </c>
      <c r="E2061" s="7"/>
      <c r="G2061" s="5" t="str">
        <f aca="false">IF(ISNUMBER(FIND("old rod:",A2061)),"old rod:",A2061)</f>
        <v>44, 48, SLOWBRO</v>
      </c>
      <c r="I2061" s="5" t="s">
        <v>3375</v>
      </c>
    </row>
    <row r="2062" customFormat="false" ht="12.75" hidden="false" customHeight="true" outlineLevel="0" collapsed="false">
      <c r="A2062" s="5" t="s">
        <v>2925</v>
      </c>
      <c r="B2062" s="7" t="n">
        <v>20</v>
      </c>
      <c r="C2062" s="7" t="s">
        <v>3748</v>
      </c>
      <c r="D2062" s="7"/>
      <c r="E2062" s="7"/>
      <c r="G2062" s="5" t="str">
        <f aca="false">IF(ISNUMBER(FIND("old rod:",A2062)),"old rod:",A2062)</f>
        <v>old rod:</v>
      </c>
      <c r="I2062" s="5" t="s">
        <v>3749</v>
      </c>
    </row>
    <row r="2063" customFormat="false" ht="12.75" hidden="false" customHeight="true" outlineLevel="0" collapsed="false">
      <c r="A2063" s="5" t="s">
        <v>1349</v>
      </c>
      <c r="B2063" s="7" t="n">
        <v>19</v>
      </c>
      <c r="C2063" s="7" t="n">
        <v>26</v>
      </c>
      <c r="D2063" s="7" t="s">
        <v>3750</v>
      </c>
      <c r="E2063" s="7"/>
      <c r="G2063" s="5" t="str">
        <f aca="false">IF(ISNUMBER(FIND("old rod:",A2063)),"old rod:",A2063)</f>
        <v>19, 26, MAGIKARP</v>
      </c>
      <c r="I2063" s="5" t="s">
        <v>1349</v>
      </c>
    </row>
    <row r="2064" customFormat="false" ht="12.75" hidden="false" customHeight="true" outlineLevel="0" collapsed="false">
      <c r="A2064" s="5" t="s">
        <v>3352</v>
      </c>
      <c r="B2064" s="7" t="n">
        <v>19</v>
      </c>
      <c r="C2064" s="7" t="n">
        <v>26</v>
      </c>
      <c r="D2064" s="7" t="s">
        <v>3754</v>
      </c>
      <c r="E2064" s="7"/>
      <c r="G2064" s="5" t="str">
        <f aca="false">IF(ISNUMBER(FIND("old rod:",A2064)),"old rod:",A2064)</f>
        <v>19, 26, GYARADOS</v>
      </c>
      <c r="I2064" s="5" t="s">
        <v>3352</v>
      </c>
    </row>
    <row r="2065" customFormat="false" ht="12.75" hidden="false" customHeight="true" outlineLevel="0" collapsed="false">
      <c r="A2065" s="5" t="s">
        <v>2846</v>
      </c>
      <c r="B2065" s="7" t="s">
        <v>2846</v>
      </c>
      <c r="C2065" s="7"/>
      <c r="D2065" s="7"/>
      <c r="E2065" s="7"/>
      <c r="G2065" s="5" t="str">
        <f aca="false">IF(ISNUMBER(FIND("old rod:",A2065)),"old rod:",A2065)</f>
        <v>good rod:</v>
      </c>
      <c r="I2065" s="5" t="s">
        <v>2846</v>
      </c>
    </row>
    <row r="2066" customFormat="false" ht="12.75" hidden="false" customHeight="true" outlineLevel="0" collapsed="false">
      <c r="A2066" s="5" t="s">
        <v>3376</v>
      </c>
      <c r="B2066" s="7" t="n">
        <v>29</v>
      </c>
      <c r="C2066" s="7" t="n">
        <v>33</v>
      </c>
      <c r="D2066" s="7" t="s">
        <v>3803</v>
      </c>
      <c r="E2066" s="7"/>
      <c r="G2066" s="5" t="str">
        <f aca="false">IF(ISNUMBER(FIND("old rod:",A2066)),"old rod:",A2066)</f>
        <v>29, 33, POLIWAG</v>
      </c>
      <c r="I2066" s="5" t="s">
        <v>3376</v>
      </c>
    </row>
    <row r="2067" customFormat="false" ht="12.75" hidden="false" customHeight="true" outlineLevel="0" collapsed="false">
      <c r="A2067" s="5" t="s">
        <v>2929</v>
      </c>
      <c r="B2067" s="7" t="n">
        <v>30</v>
      </c>
      <c r="C2067" s="7" t="n">
        <v>35</v>
      </c>
      <c r="D2067" s="7" t="s">
        <v>3804</v>
      </c>
      <c r="E2067" s="7"/>
      <c r="G2067" s="5" t="str">
        <f aca="false">IF(ISNUMBER(FIND("old rod:",A2067)),"old rod:",A2067)</f>
        <v>30, 35, GOLDEEN</v>
      </c>
      <c r="I2067" s="5" t="s">
        <v>2929</v>
      </c>
    </row>
    <row r="2068" customFormat="false" ht="12.75" hidden="false" customHeight="true" outlineLevel="0" collapsed="false">
      <c r="A2068" s="5" t="s">
        <v>3354</v>
      </c>
      <c r="B2068" s="7" t="n">
        <v>30</v>
      </c>
      <c r="C2068" s="7" t="n">
        <v>35</v>
      </c>
      <c r="D2068" s="7" t="s">
        <v>3799</v>
      </c>
      <c r="E2068" s="7"/>
      <c r="G2068" s="5" t="str">
        <f aca="false">IF(ISNUMBER(FIND("old rod:",A2068)),"old rod:",A2068)</f>
        <v>30, 35, PSYDUCK</v>
      </c>
      <c r="I2068" s="5" t="s">
        <v>3354</v>
      </c>
    </row>
    <row r="2069" customFormat="false" ht="12.75" hidden="false" customHeight="true" outlineLevel="0" collapsed="false">
      <c r="A2069" s="5" t="s">
        <v>2850</v>
      </c>
      <c r="B2069" s="7" t="s">
        <v>2850</v>
      </c>
      <c r="C2069" s="7"/>
      <c r="D2069" s="7"/>
      <c r="E2069" s="7"/>
      <c r="G2069" s="5" t="str">
        <f aca="false">IF(ISNUMBER(FIND("old rod:",A2069)),"old rod:",A2069)</f>
        <v>super rod:</v>
      </c>
      <c r="I2069" s="5" t="s">
        <v>2850</v>
      </c>
    </row>
    <row r="2070" customFormat="false" ht="12.75" hidden="false" customHeight="true" outlineLevel="0" collapsed="false">
      <c r="A2070" s="5" t="s">
        <v>2930</v>
      </c>
      <c r="B2070" s="7" t="n">
        <v>36</v>
      </c>
      <c r="C2070" s="7" t="n">
        <v>40</v>
      </c>
      <c r="D2070" s="7" t="s">
        <v>3805</v>
      </c>
      <c r="E2070" s="7"/>
      <c r="G2070" s="5" t="str">
        <f aca="false">IF(ISNUMBER(FIND("old rod:",A2070)),"old rod:",A2070)</f>
        <v>36, 40, POLIWHIRL</v>
      </c>
      <c r="I2070" s="5" t="s">
        <v>2930</v>
      </c>
    </row>
    <row r="2071" customFormat="false" ht="12.75" hidden="false" customHeight="true" outlineLevel="0" collapsed="false">
      <c r="A2071" s="5" t="s">
        <v>2931</v>
      </c>
      <c r="B2071" s="7" t="n">
        <v>36</v>
      </c>
      <c r="C2071" s="7" t="n">
        <v>40</v>
      </c>
      <c r="D2071" s="7" t="s">
        <v>3806</v>
      </c>
      <c r="E2071" s="7"/>
      <c r="G2071" s="5" t="str">
        <f aca="false">IF(ISNUMBER(FIND("old rod:",A2071)),"old rod:",A2071)</f>
        <v>36, 40, SEAKING</v>
      </c>
      <c r="I2071" s="5" t="s">
        <v>2931</v>
      </c>
    </row>
    <row r="2072" customFormat="false" ht="12.75" hidden="false" customHeight="true" outlineLevel="0" collapsed="false">
      <c r="A2072" s="5" t="s">
        <v>3377</v>
      </c>
      <c r="B2072" s="7" t="n">
        <v>38</v>
      </c>
      <c r="C2072" s="7" t="n">
        <v>42</v>
      </c>
      <c r="D2072" s="7" t="s">
        <v>3754</v>
      </c>
      <c r="E2072" s="7"/>
      <c r="G2072" s="5" t="str">
        <f aca="false">IF(ISNUMBER(FIND("old rod:",A2072)),"old rod:",A2072)</f>
        <v>38, 42, GYARADOS</v>
      </c>
      <c r="I2072" s="5" t="s">
        <v>3377</v>
      </c>
    </row>
    <row r="2073" customFormat="false" ht="12.75" hidden="false" customHeight="true" outlineLevel="0" collapsed="false">
      <c r="A2073" s="5" t="s">
        <v>3378</v>
      </c>
      <c r="B2073" s="7" t="n">
        <v>38</v>
      </c>
      <c r="C2073" s="7" t="n">
        <v>42</v>
      </c>
      <c r="D2073" s="7" t="s">
        <v>3923</v>
      </c>
      <c r="E2073" s="7"/>
      <c r="G2073" s="5" t="str">
        <f aca="false">IF(ISNUMBER(FIND("old rod:",A2073)),"old rod:",A2073)</f>
        <v>38, 42, POLIWRATH</v>
      </c>
      <c r="I2073" s="5" t="s">
        <v>3378</v>
      </c>
    </row>
    <row r="2074" customFormat="false" ht="12.75" hidden="false" customHeight="true" outlineLevel="0" collapsed="false">
      <c r="A2074" s="5" t="s">
        <v>3379</v>
      </c>
      <c r="B2074" s="7" t="n">
        <v>40</v>
      </c>
      <c r="C2074" s="7" t="n">
        <v>44</v>
      </c>
      <c r="D2074" s="7" t="s">
        <v>3837</v>
      </c>
      <c r="E2074" s="7"/>
      <c r="G2074" s="5" t="str">
        <f aca="false">IF(ISNUMBER(FIND("old rod:",A2074)),"old rod:",A2074)</f>
        <v>40, 44, POLITOES</v>
      </c>
      <c r="I2074" s="5" t="s">
        <v>3379</v>
      </c>
    </row>
    <row r="2075" customFormat="false" ht="12.75" hidden="false" customHeight="true" outlineLevel="0" collapsed="false">
      <c r="A2075" s="5" t="s">
        <v>2536</v>
      </c>
      <c r="B2075" s="7" t="s">
        <v>2536</v>
      </c>
      <c r="C2075" s="7"/>
      <c r="D2075" s="7"/>
      <c r="E2075" s="7"/>
      <c r="G2075" s="5" t="str">
        <f aca="false">IF(ISNUMBER(FIND("old rod:",A2075)),"old rod:",A2075)</f>
        <v>NEW ROUTE</v>
      </c>
      <c r="I2075" s="5" t="s">
        <v>2536</v>
      </c>
    </row>
    <row r="2076" customFormat="false" ht="12.75" hidden="false" customHeight="true" outlineLevel="0" collapsed="false">
      <c r="A2076" s="5" t="s">
        <v>429</v>
      </c>
      <c r="B2076" s="7" t="s">
        <v>429</v>
      </c>
      <c r="C2076" s="7"/>
      <c r="D2076" s="7"/>
      <c r="E2076" s="7"/>
      <c r="G2076" s="5" t="str">
        <f aca="false">IF(ISNUMBER(FIND("old rod:",A2076)),"old rod:",A2076)</f>
        <v>Route 7</v>
      </c>
      <c r="I2076" s="5" t="s">
        <v>429</v>
      </c>
    </row>
    <row r="2077" customFormat="false" ht="12.75" hidden="false" customHeight="true" outlineLevel="0" collapsed="false">
      <c r="A2077" s="5" t="n">
        <v>0.2</v>
      </c>
      <c r="B2077" s="5" t="n">
        <v>0.2</v>
      </c>
      <c r="C2077" s="7"/>
      <c r="D2077" s="7"/>
      <c r="E2077" s="7"/>
      <c r="G2077" s="5" t="n">
        <f aca="false">IF(ISNUMBER(FIND("old rod:",A2077)),"old rod:",A2077)</f>
        <v>0.2</v>
      </c>
      <c r="I2077" s="5" t="n">
        <v>0.2</v>
      </c>
    </row>
    <row r="2078" customFormat="false" ht="12.75" hidden="false" customHeight="true" outlineLevel="0" collapsed="false">
      <c r="A2078" s="5" t="s">
        <v>1849</v>
      </c>
      <c r="B2078" s="7" t="n">
        <v>24</v>
      </c>
      <c r="C2078" s="7" t="n">
        <v>26</v>
      </c>
      <c r="D2078" s="7" t="s">
        <v>3881</v>
      </c>
      <c r="E2078" s="7"/>
      <c r="G2078" s="5" t="str">
        <f aca="false">IF(ISNUMBER(FIND("old rod:",A2078)),"old rod:",A2078)</f>
        <v>24, 26, PONYTA</v>
      </c>
      <c r="I2078" s="5" t="s">
        <v>1849</v>
      </c>
    </row>
    <row r="2079" customFormat="false" ht="12.75" hidden="false" customHeight="true" outlineLevel="0" collapsed="false">
      <c r="A2079" s="5" t="s">
        <v>3381</v>
      </c>
      <c r="B2079" s="7" t="n">
        <v>24</v>
      </c>
      <c r="C2079" s="7" t="n">
        <v>26</v>
      </c>
      <c r="D2079" s="7" t="s">
        <v>3924</v>
      </c>
      <c r="E2079" s="7"/>
      <c r="G2079" s="5" t="str">
        <f aca="false">IF(ISNUMBER(FIND("old rod:",A2079)),"old rod:",A2079)</f>
        <v>24, 26, KOFFING</v>
      </c>
      <c r="I2079" s="5" t="s">
        <v>3381</v>
      </c>
    </row>
    <row r="2080" customFormat="false" ht="12.75" hidden="false" customHeight="true" outlineLevel="0" collapsed="false">
      <c r="A2080" s="5" t="n">
        <v>0.1</v>
      </c>
      <c r="B2080" s="5" t="n">
        <v>0.1</v>
      </c>
      <c r="C2080" s="7"/>
      <c r="D2080" s="7"/>
      <c r="E2080" s="7"/>
      <c r="G2080" s="5" t="n">
        <f aca="false">IF(ISNUMBER(FIND("old rod:",A2080)),"old rod:",A2080)</f>
        <v>0.1</v>
      </c>
      <c r="I2080" s="5" t="n">
        <v>0.1</v>
      </c>
    </row>
    <row r="2081" customFormat="false" ht="12.75" hidden="false" customHeight="true" outlineLevel="0" collapsed="false">
      <c r="A2081" s="5" t="s">
        <v>3382</v>
      </c>
      <c r="B2081" s="7" t="n">
        <v>25</v>
      </c>
      <c r="C2081" s="7" t="n">
        <v>27</v>
      </c>
      <c r="D2081" s="7" t="s">
        <v>3741</v>
      </c>
      <c r="E2081" s="7"/>
      <c r="G2081" s="5" t="str">
        <f aca="false">IF(ISNUMBER(FIND("old rod:",A2081)),"old rod:",A2081)</f>
        <v>25, 27, SANDSHREW</v>
      </c>
      <c r="I2081" s="5" t="s">
        <v>3382</v>
      </c>
    </row>
    <row r="2082" customFormat="false" ht="12.75" hidden="false" customHeight="true" outlineLevel="0" collapsed="false">
      <c r="A2082" s="5" t="s">
        <v>3383</v>
      </c>
      <c r="B2082" s="7" t="n">
        <v>25</v>
      </c>
      <c r="C2082" s="7" t="n">
        <v>27</v>
      </c>
      <c r="D2082" s="7" t="s">
        <v>3902</v>
      </c>
      <c r="E2082" s="7"/>
      <c r="G2082" s="5" t="str">
        <f aca="false">IF(ISNUMBER(FIND("old rod:",A2082)),"old rod:",A2082)</f>
        <v>25, 27, MEOWTH</v>
      </c>
      <c r="I2082" s="5" t="s">
        <v>3383</v>
      </c>
    </row>
    <row r="2083" customFormat="false" ht="12.75" hidden="false" customHeight="true" outlineLevel="0" collapsed="false">
      <c r="A2083" s="5" t="s">
        <v>3384</v>
      </c>
      <c r="B2083" s="7" t="n">
        <v>25</v>
      </c>
      <c r="C2083" s="7" t="n">
        <v>27</v>
      </c>
      <c r="D2083" s="7" t="s">
        <v>3742</v>
      </c>
      <c r="E2083" s="7"/>
      <c r="G2083" s="5" t="str">
        <f aca="false">IF(ISNUMBER(FIND("old rod:",A2083)),"old rod:",A2083)</f>
        <v>25, 27, PARAS</v>
      </c>
      <c r="I2083" s="5" t="s">
        <v>3384</v>
      </c>
    </row>
    <row r="2084" customFormat="false" ht="12.75" hidden="false" customHeight="true" outlineLevel="0" collapsed="false">
      <c r="A2084" s="5" t="s">
        <v>3385</v>
      </c>
      <c r="B2084" s="7" t="n">
        <v>25</v>
      </c>
      <c r="C2084" s="7" t="n">
        <v>27</v>
      </c>
      <c r="D2084" s="7" t="s">
        <v>3868</v>
      </c>
      <c r="E2084" s="7"/>
      <c r="G2084" s="5" t="str">
        <f aca="false">IF(ISNUMBER(FIND("old rod:",A2084)),"old rod:",A2084)</f>
        <v>25, 27, VULPIX</v>
      </c>
      <c r="I2084" s="5" t="s">
        <v>3385</v>
      </c>
    </row>
    <row r="2085" customFormat="false" ht="12.75" hidden="false" customHeight="true" outlineLevel="0" collapsed="false">
      <c r="A2085" s="5" t="n">
        <v>0.05</v>
      </c>
      <c r="B2085" s="5" t="n">
        <v>0.05</v>
      </c>
      <c r="C2085" s="7"/>
      <c r="D2085" s="7"/>
      <c r="E2085" s="7"/>
      <c r="G2085" s="5" t="n">
        <f aca="false">IF(ISNUMBER(FIND("old rod:",A2085)),"old rod:",A2085)</f>
        <v>0.05</v>
      </c>
      <c r="I2085" s="5" t="n">
        <v>0.05</v>
      </c>
    </row>
    <row r="2086" customFormat="false" ht="12.75" hidden="false" customHeight="true" outlineLevel="0" collapsed="false">
      <c r="A2086" s="5" t="s">
        <v>3386</v>
      </c>
      <c r="B2086" s="7" t="n">
        <v>24</v>
      </c>
      <c r="C2086" s="7" t="n">
        <v>28</v>
      </c>
      <c r="D2086" s="7" t="s">
        <v>3776</v>
      </c>
      <c r="E2086" s="7"/>
      <c r="G2086" s="5" t="str">
        <f aca="false">IF(ISNUMBER(FIND("old rod:",A2086)),"old rod:",A2086)</f>
        <v>24, 28, WEEZING</v>
      </c>
      <c r="I2086" s="5" t="s">
        <v>3386</v>
      </c>
    </row>
    <row r="2087" customFormat="false" ht="12.75" hidden="false" customHeight="true" outlineLevel="0" collapsed="false">
      <c r="A2087" s="5" t="s">
        <v>3387</v>
      </c>
      <c r="B2087" s="7" t="n">
        <v>24</v>
      </c>
      <c r="C2087" s="7" t="n">
        <v>28</v>
      </c>
      <c r="D2087" s="7" t="s">
        <v>3925</v>
      </c>
      <c r="E2087" s="7"/>
      <c r="G2087" s="5" t="str">
        <f aca="false">IF(ISNUMBER(FIND("old rod:",A2087)),"old rod:",A2087)</f>
        <v>24, 28, LICKITUNG</v>
      </c>
      <c r="I2087" s="5" t="s">
        <v>3387</v>
      </c>
    </row>
    <row r="2088" customFormat="false" ht="12.75" hidden="false" customHeight="true" outlineLevel="0" collapsed="false">
      <c r="A2088" s="5" t="n">
        <v>0.04</v>
      </c>
      <c r="B2088" s="5" t="n">
        <v>0.04</v>
      </c>
      <c r="C2088" s="7"/>
      <c r="D2088" s="7"/>
      <c r="E2088" s="7"/>
      <c r="G2088" s="5" t="n">
        <f aca="false">IF(ISNUMBER(FIND("old rod:",A2088)),"old rod:",A2088)</f>
        <v>0.04</v>
      </c>
      <c r="I2088" s="5" t="n">
        <v>0.04</v>
      </c>
    </row>
    <row r="2089" customFormat="false" ht="12.75" hidden="false" customHeight="true" outlineLevel="0" collapsed="false">
      <c r="A2089" s="5" t="s">
        <v>3388</v>
      </c>
      <c r="B2089" s="7" t="n">
        <v>26</v>
      </c>
      <c r="C2089" s="7" t="n">
        <v>26</v>
      </c>
      <c r="D2089" s="7" t="s">
        <v>3903</v>
      </c>
      <c r="E2089" s="7"/>
      <c r="G2089" s="5" t="str">
        <f aca="false">IF(ISNUMBER(FIND("old rod:",A2089)),"old rod:",A2089)</f>
        <v>26, 26, PERSIAN</v>
      </c>
      <c r="I2089" s="5" t="s">
        <v>3388</v>
      </c>
    </row>
    <row r="2090" customFormat="false" ht="12.75" hidden="false" customHeight="true" outlineLevel="0" collapsed="false">
      <c r="A2090" s="5" t="s">
        <v>3389</v>
      </c>
      <c r="B2090" s="7" t="n">
        <v>21</v>
      </c>
      <c r="C2090" s="7" t="n">
        <v>26</v>
      </c>
      <c r="D2090" s="7" t="s">
        <v>3914</v>
      </c>
      <c r="E2090" s="7"/>
      <c r="G2090" s="5" t="str">
        <f aca="false">IF(ISNUMBER(FIND("old rod:",A2090)),"old rod:",A2090)</f>
        <v>21, 26, EEVEE</v>
      </c>
      <c r="I2090" s="5" t="s">
        <v>3389</v>
      </c>
    </row>
    <row r="2091" customFormat="false" ht="12.75" hidden="false" customHeight="true" outlineLevel="0" collapsed="false">
      <c r="A2091" s="5" t="n">
        <v>0.01</v>
      </c>
      <c r="B2091" s="5" t="n">
        <v>0.01</v>
      </c>
      <c r="C2091" s="7"/>
      <c r="D2091" s="7"/>
      <c r="E2091" s="7"/>
      <c r="G2091" s="5" t="n">
        <f aca="false">IF(ISNUMBER(FIND("old rod:",A2091)),"old rod:",A2091)</f>
        <v>0.01</v>
      </c>
      <c r="I2091" s="5" t="n">
        <v>0.01</v>
      </c>
    </row>
    <row r="2092" customFormat="false" ht="12.75" hidden="false" customHeight="true" outlineLevel="0" collapsed="false">
      <c r="A2092" s="5" t="s">
        <v>3390</v>
      </c>
      <c r="B2092" s="7" t="n">
        <v>24</v>
      </c>
      <c r="C2092" s="7" t="n">
        <v>28</v>
      </c>
      <c r="D2092" s="7" t="s">
        <v>3926</v>
      </c>
      <c r="E2092" s="7"/>
      <c r="G2092" s="5" t="str">
        <f aca="false">IF(ISNUMBER(FIND("old rod:",A2092)),"old rod:",A2092)</f>
        <v>24, 28, SANDSLASH</v>
      </c>
      <c r="I2092" s="5" t="s">
        <v>3390</v>
      </c>
    </row>
    <row r="2093" customFormat="false" ht="12.75" hidden="false" customHeight="true" outlineLevel="0" collapsed="false">
      <c r="A2093" s="5" t="s">
        <v>3724</v>
      </c>
      <c r="B2093" s="7" t="n">
        <v>24</v>
      </c>
      <c r="C2093" s="7" t="n">
        <v>28</v>
      </c>
      <c r="D2093" s="7" t="s">
        <v>3789</v>
      </c>
      <c r="E2093" s="7"/>
      <c r="G2093" s="5" t="str">
        <f aca="false">IF(ISNUMBER(FIND("old rod:",A2093)),"old rod:",A2093)</f>
        <v>24, 28, PARASECT</v>
      </c>
      <c r="I2093" s="5" t="s">
        <v>3724</v>
      </c>
    </row>
    <row r="2094" customFormat="false" ht="12.75" hidden="false" customHeight="true" outlineLevel="0" collapsed="false">
      <c r="A2094" s="5" t="s">
        <v>2536</v>
      </c>
      <c r="B2094" s="7" t="s">
        <v>2536</v>
      </c>
      <c r="C2094" s="7"/>
      <c r="D2094" s="7"/>
      <c r="E2094" s="7"/>
      <c r="G2094" s="5" t="str">
        <f aca="false">IF(ISNUMBER(FIND("old rod:",A2094)),"old rod:",A2094)</f>
        <v>NEW ROUTE</v>
      </c>
      <c r="I2094" s="5" t="s">
        <v>2536</v>
      </c>
    </row>
    <row r="2095" customFormat="false" ht="12.75" hidden="false" customHeight="true" outlineLevel="0" collapsed="false">
      <c r="A2095" s="5" t="s">
        <v>431</v>
      </c>
      <c r="B2095" s="7" t="s">
        <v>431</v>
      </c>
      <c r="C2095" s="7"/>
      <c r="D2095" s="7"/>
      <c r="E2095" s="7"/>
      <c r="G2095" s="5" t="str">
        <f aca="false">IF(ISNUMBER(FIND("old rod:",A2095)),"old rod:",A2095)</f>
        <v>Route 8</v>
      </c>
      <c r="I2095" s="5" t="s">
        <v>431</v>
      </c>
    </row>
    <row r="2096" customFormat="false" ht="12.75" hidden="false" customHeight="true" outlineLevel="0" collapsed="false">
      <c r="A2096" s="5" t="n">
        <v>0.2</v>
      </c>
      <c r="B2096" s="5" t="n">
        <v>0.2</v>
      </c>
      <c r="C2096" s="7"/>
      <c r="D2096" s="7"/>
      <c r="E2096" s="7"/>
      <c r="G2096" s="5" t="n">
        <f aca="false">IF(ISNUMBER(FIND("old rod:",A2096)),"old rod:",A2096)</f>
        <v>0.2</v>
      </c>
      <c r="I2096" s="5" t="n">
        <v>0.2</v>
      </c>
    </row>
    <row r="2097" customFormat="false" ht="12.75" hidden="false" customHeight="true" outlineLevel="0" collapsed="false">
      <c r="A2097" s="5" t="s">
        <v>1862</v>
      </c>
      <c r="B2097" s="7" t="n">
        <v>23</v>
      </c>
      <c r="C2097" s="7" t="n">
        <v>25</v>
      </c>
      <c r="D2097" s="7" t="s">
        <v>3881</v>
      </c>
      <c r="E2097" s="7"/>
      <c r="G2097" s="5" t="str">
        <f aca="false">IF(ISNUMBER(FIND("old rod:",A2097)),"old rod:",A2097)</f>
        <v>23, 25, PONYTA</v>
      </c>
      <c r="I2097" s="5" t="s">
        <v>1862</v>
      </c>
    </row>
    <row r="2098" customFormat="false" ht="12.75" hidden="false" customHeight="true" outlineLevel="0" collapsed="false">
      <c r="A2098" s="5" t="s">
        <v>3393</v>
      </c>
      <c r="B2098" s="7" t="n">
        <v>23</v>
      </c>
      <c r="C2098" s="7" t="n">
        <v>25</v>
      </c>
      <c r="D2098" s="7" t="s">
        <v>3919</v>
      </c>
      <c r="E2098" s="7"/>
      <c r="G2098" s="5" t="str">
        <f aca="false">IF(ISNUMBER(FIND("old rod:",A2098)),"old rod:",A2098)</f>
        <v>23, 25, EKANS</v>
      </c>
      <c r="I2098" s="5" t="s">
        <v>3393</v>
      </c>
    </row>
    <row r="2099" customFormat="false" ht="12.75" hidden="false" customHeight="true" outlineLevel="0" collapsed="false">
      <c r="A2099" s="5" t="n">
        <v>0.1</v>
      </c>
      <c r="B2099" s="5" t="n">
        <v>0.1</v>
      </c>
      <c r="C2099" s="7"/>
      <c r="D2099" s="7"/>
      <c r="E2099" s="7"/>
      <c r="G2099" s="5" t="n">
        <f aca="false">IF(ISNUMBER(FIND("old rod:",A2099)),"old rod:",A2099)</f>
        <v>0.1</v>
      </c>
      <c r="I2099" s="5" t="n">
        <v>0.1</v>
      </c>
    </row>
    <row r="2100" customFormat="false" ht="12.75" hidden="false" customHeight="true" outlineLevel="0" collapsed="false">
      <c r="A2100" s="5" t="s">
        <v>3394</v>
      </c>
      <c r="B2100" s="7" t="n">
        <v>24</v>
      </c>
      <c r="C2100" s="7" t="n">
        <v>26</v>
      </c>
      <c r="D2100" s="7" t="s">
        <v>3741</v>
      </c>
      <c r="E2100" s="7"/>
      <c r="G2100" s="5" t="str">
        <f aca="false">IF(ISNUMBER(FIND("old rod:",A2100)),"old rod:",A2100)</f>
        <v>24, 26, SANDSHREW</v>
      </c>
      <c r="I2100" s="5" t="s">
        <v>3394</v>
      </c>
    </row>
    <row r="2101" customFormat="false" ht="12.75" hidden="false" customHeight="true" outlineLevel="0" collapsed="false">
      <c r="A2101" s="5" t="s">
        <v>3395</v>
      </c>
      <c r="B2101" s="7" t="n">
        <v>24</v>
      </c>
      <c r="C2101" s="7" t="n">
        <v>26</v>
      </c>
      <c r="D2101" s="7" t="s">
        <v>3902</v>
      </c>
      <c r="E2101" s="7"/>
      <c r="G2101" s="5" t="str">
        <f aca="false">IF(ISNUMBER(FIND("old rod:",A2101)),"old rod:",A2101)</f>
        <v>24, 26, MEOWTH</v>
      </c>
      <c r="I2101" s="5" t="s">
        <v>3395</v>
      </c>
    </row>
    <row r="2102" customFormat="false" ht="12.75" hidden="false" customHeight="true" outlineLevel="0" collapsed="false">
      <c r="A2102" s="5" t="s">
        <v>3396</v>
      </c>
      <c r="B2102" s="7" t="n">
        <v>24</v>
      </c>
      <c r="C2102" s="7" t="n">
        <v>26</v>
      </c>
      <c r="D2102" s="7" t="s">
        <v>3891</v>
      </c>
      <c r="E2102" s="7"/>
      <c r="G2102" s="5" t="str">
        <f aca="false">IF(ISNUMBER(FIND("old rod:",A2102)),"old rod:",A2102)</f>
        <v>24, 26, VENONAT</v>
      </c>
      <c r="I2102" s="5" t="s">
        <v>3396</v>
      </c>
    </row>
    <row r="2103" customFormat="false" ht="12.75" hidden="false" customHeight="true" outlineLevel="0" collapsed="false">
      <c r="A2103" s="5" t="s">
        <v>3397</v>
      </c>
      <c r="B2103" s="7" t="n">
        <v>24</v>
      </c>
      <c r="C2103" s="7" t="n">
        <v>26</v>
      </c>
      <c r="D2103" s="7" t="s">
        <v>3916</v>
      </c>
      <c r="E2103" s="7"/>
      <c r="G2103" s="5" t="str">
        <f aca="false">IF(ISNUMBER(FIND("old rod:",A2103)),"old rod:",A2103)</f>
        <v>24, 26, GROWLITHE</v>
      </c>
      <c r="I2103" s="5" t="s">
        <v>3397</v>
      </c>
    </row>
    <row r="2104" customFormat="false" ht="12.75" hidden="false" customHeight="true" outlineLevel="0" collapsed="false">
      <c r="A2104" s="5" t="n">
        <v>0.05</v>
      </c>
      <c r="B2104" s="5" t="n">
        <v>0.05</v>
      </c>
      <c r="C2104" s="7"/>
      <c r="D2104" s="7"/>
      <c r="E2104" s="7"/>
      <c r="G2104" s="5" t="n">
        <f aca="false">IF(ISNUMBER(FIND("old rod:",A2104)),"old rod:",A2104)</f>
        <v>0.05</v>
      </c>
      <c r="I2104" s="5" t="n">
        <v>0.05</v>
      </c>
    </row>
    <row r="2105" customFormat="false" ht="12.75" hidden="false" customHeight="true" outlineLevel="0" collapsed="false">
      <c r="A2105" s="5" t="s">
        <v>3398</v>
      </c>
      <c r="B2105" s="7" t="n">
        <v>23</v>
      </c>
      <c r="C2105" s="7" t="n">
        <v>27</v>
      </c>
      <c r="D2105" s="7" t="s">
        <v>3927</v>
      </c>
      <c r="E2105" s="7"/>
      <c r="G2105" s="5" t="str">
        <f aca="false">IF(ISNUMBER(FIND("old rod:",A2105)),"old rod:",A2105)</f>
        <v>23, 27, ARBOK</v>
      </c>
      <c r="I2105" s="5" t="s">
        <v>3398</v>
      </c>
    </row>
    <row r="2106" customFormat="false" ht="12.75" hidden="false" customHeight="true" outlineLevel="0" collapsed="false">
      <c r="A2106" s="5" t="s">
        <v>3399</v>
      </c>
      <c r="B2106" s="7" t="n">
        <v>23</v>
      </c>
      <c r="C2106" s="7" t="n">
        <v>27</v>
      </c>
      <c r="D2106" s="7" t="s">
        <v>3925</v>
      </c>
      <c r="E2106" s="7"/>
      <c r="G2106" s="5" t="str">
        <f aca="false">IF(ISNUMBER(FIND("old rod:",A2106)),"old rod:",A2106)</f>
        <v>23, 27, LICKITUNG</v>
      </c>
      <c r="I2106" s="5" t="s">
        <v>3399</v>
      </c>
    </row>
    <row r="2107" customFormat="false" ht="12.75" hidden="false" customHeight="true" outlineLevel="0" collapsed="false">
      <c r="A2107" s="5" t="n">
        <v>0.04</v>
      </c>
      <c r="B2107" s="5" t="n">
        <v>0.04</v>
      </c>
      <c r="C2107" s="7"/>
      <c r="D2107" s="7"/>
      <c r="E2107" s="7"/>
      <c r="G2107" s="5" t="n">
        <f aca="false">IF(ISNUMBER(FIND("old rod:",A2107)),"old rod:",A2107)</f>
        <v>0.04</v>
      </c>
      <c r="I2107" s="5" t="n">
        <v>0.04</v>
      </c>
    </row>
    <row r="2108" customFormat="false" ht="12.75" hidden="false" customHeight="true" outlineLevel="0" collapsed="false">
      <c r="A2108" s="5" t="s">
        <v>3400</v>
      </c>
      <c r="B2108" s="7" t="n">
        <v>25</v>
      </c>
      <c r="C2108" s="7" t="n">
        <v>25</v>
      </c>
      <c r="D2108" s="7" t="s">
        <v>3903</v>
      </c>
      <c r="E2108" s="7"/>
      <c r="G2108" s="5" t="str">
        <f aca="false">IF(ISNUMBER(FIND("old rod:",A2108)),"old rod:",A2108)</f>
        <v>25, 25, PERSIAN</v>
      </c>
      <c r="I2108" s="5" t="s">
        <v>3400</v>
      </c>
    </row>
    <row r="2109" customFormat="false" ht="12.75" hidden="false" customHeight="true" outlineLevel="0" collapsed="false">
      <c r="A2109" s="5" t="s">
        <v>3401</v>
      </c>
      <c r="B2109" s="7" t="n">
        <v>20</v>
      </c>
      <c r="C2109" s="7" t="n">
        <v>25</v>
      </c>
      <c r="D2109" s="7" t="s">
        <v>3914</v>
      </c>
      <c r="E2109" s="7"/>
      <c r="G2109" s="5" t="str">
        <f aca="false">IF(ISNUMBER(FIND("old rod:",A2109)),"old rod:",A2109)</f>
        <v>20, 25, EEVEE</v>
      </c>
      <c r="I2109" s="5" t="s">
        <v>3401</v>
      </c>
    </row>
    <row r="2110" customFormat="false" ht="12.75" hidden="false" customHeight="true" outlineLevel="0" collapsed="false">
      <c r="A2110" s="5" t="n">
        <v>0.01</v>
      </c>
      <c r="B2110" s="5" t="n">
        <v>0.01</v>
      </c>
      <c r="C2110" s="7"/>
      <c r="D2110" s="7"/>
      <c r="E2110" s="7"/>
      <c r="G2110" s="5" t="n">
        <f aca="false">IF(ISNUMBER(FIND("old rod:",A2110)),"old rod:",A2110)</f>
        <v>0.01</v>
      </c>
      <c r="I2110" s="5" t="n">
        <v>0.01</v>
      </c>
    </row>
    <row r="2111" customFormat="false" ht="12.75" hidden="false" customHeight="true" outlineLevel="0" collapsed="false">
      <c r="A2111" s="5" t="s">
        <v>3402</v>
      </c>
      <c r="B2111" s="7" t="n">
        <v>23</v>
      </c>
      <c r="C2111" s="7" t="n">
        <v>27</v>
      </c>
      <c r="D2111" s="7" t="s">
        <v>3926</v>
      </c>
      <c r="E2111" s="7"/>
      <c r="G2111" s="5" t="str">
        <f aca="false">IF(ISNUMBER(FIND("old rod:",A2111)),"old rod:",A2111)</f>
        <v>23, 27, SANDSLASH</v>
      </c>
      <c r="I2111" s="5" t="s">
        <v>3402</v>
      </c>
    </row>
    <row r="2112" customFormat="false" ht="12.75" hidden="false" customHeight="true" outlineLevel="0" collapsed="false">
      <c r="A2112" s="5" t="s">
        <v>3725</v>
      </c>
      <c r="B2112" s="7" t="n">
        <v>23</v>
      </c>
      <c r="C2112" s="7" t="n">
        <v>27</v>
      </c>
      <c r="D2112" s="7" t="s">
        <v>3790</v>
      </c>
      <c r="E2112" s="7"/>
      <c r="G2112" s="5" t="str">
        <f aca="false">IF(ISNUMBER(FIND("old rod:",A2112)),"old rod:",A2112)</f>
        <v>23, 27, VENOMOTH</v>
      </c>
      <c r="I2112" s="5" t="s">
        <v>3725</v>
      </c>
    </row>
    <row r="2113" customFormat="false" ht="12.75" hidden="false" customHeight="true" outlineLevel="0" collapsed="false">
      <c r="A2113" s="5" t="s">
        <v>2536</v>
      </c>
      <c r="B2113" s="7" t="s">
        <v>2536</v>
      </c>
      <c r="C2113" s="7"/>
      <c r="D2113" s="7"/>
      <c r="E2113" s="7"/>
      <c r="G2113" s="5" t="str">
        <f aca="false">IF(ISNUMBER(FIND("old rod:",A2113)),"old rod:",A2113)</f>
        <v>NEW ROUTE</v>
      </c>
      <c r="I2113" s="5" t="s">
        <v>2536</v>
      </c>
    </row>
    <row r="2114" customFormat="false" ht="12.75" hidden="false" customHeight="true" outlineLevel="0" collapsed="false">
      <c r="A2114" s="5" t="s">
        <v>433</v>
      </c>
      <c r="B2114" s="7" t="s">
        <v>433</v>
      </c>
      <c r="C2114" s="7"/>
      <c r="D2114" s="7"/>
      <c r="E2114" s="7"/>
      <c r="G2114" s="5" t="str">
        <f aca="false">IF(ISNUMBER(FIND("old rod:",A2114)),"old rod:",A2114)</f>
        <v>Route 9</v>
      </c>
      <c r="I2114" s="5" t="s">
        <v>433</v>
      </c>
    </row>
    <row r="2115" customFormat="false" ht="12.75" hidden="false" customHeight="true" outlineLevel="0" collapsed="false">
      <c r="A2115" s="5" t="n">
        <v>0.2</v>
      </c>
      <c r="B2115" s="5" t="n">
        <v>0.2</v>
      </c>
      <c r="C2115" s="7"/>
      <c r="D2115" s="7"/>
      <c r="E2115" s="7"/>
      <c r="G2115" s="5" t="n">
        <f aca="false">IF(ISNUMBER(FIND("old rod:",A2115)),"old rod:",A2115)</f>
        <v>0.2</v>
      </c>
      <c r="I2115" s="5" t="n">
        <v>0.2</v>
      </c>
    </row>
    <row r="2116" customFormat="false" ht="12.75" hidden="false" customHeight="true" outlineLevel="0" collapsed="false">
      <c r="A2116" s="5" t="s">
        <v>1875</v>
      </c>
      <c r="B2116" s="7" t="n">
        <v>17</v>
      </c>
      <c r="C2116" s="7" t="n">
        <v>22</v>
      </c>
      <c r="D2116" s="7" t="s">
        <v>3922</v>
      </c>
      <c r="E2116" s="7"/>
      <c r="G2116" s="5" t="str">
        <f aca="false">IF(ISNUMBER(FIND("old rod:",A2116)),"old rod:",A2116)</f>
        <v>17, 22, NIDORINA</v>
      </c>
      <c r="I2116" s="5" t="s">
        <v>1875</v>
      </c>
    </row>
    <row r="2117" customFormat="false" ht="12.75" hidden="false" customHeight="true" outlineLevel="0" collapsed="false">
      <c r="A2117" s="5" t="s">
        <v>3405</v>
      </c>
      <c r="B2117" s="7" t="n">
        <v>17</v>
      </c>
      <c r="C2117" s="7" t="n">
        <v>22</v>
      </c>
      <c r="D2117" s="7" t="s">
        <v>3921</v>
      </c>
      <c r="E2117" s="7"/>
      <c r="G2117" s="5" t="str">
        <f aca="false">IF(ISNUMBER(FIND("old rod:",A2117)),"old rod:",A2117)</f>
        <v>17, 22, NIDORINO</v>
      </c>
      <c r="I2117" s="5" t="s">
        <v>3405</v>
      </c>
    </row>
    <row r="2118" customFormat="false" ht="12.75" hidden="false" customHeight="true" outlineLevel="0" collapsed="false">
      <c r="A2118" s="5" t="n">
        <v>0.1</v>
      </c>
      <c r="B2118" s="5" t="n">
        <v>0.1</v>
      </c>
      <c r="C2118" s="7"/>
      <c r="D2118" s="7"/>
      <c r="E2118" s="7"/>
      <c r="G2118" s="5" t="n">
        <f aca="false">IF(ISNUMBER(FIND("old rod:",A2118)),"old rod:",A2118)</f>
        <v>0.1</v>
      </c>
      <c r="I2118" s="5" t="n">
        <v>0.1</v>
      </c>
    </row>
    <row r="2119" customFormat="false" ht="12.75" hidden="false" customHeight="true" outlineLevel="0" collapsed="false">
      <c r="A2119" s="5" t="s">
        <v>3406</v>
      </c>
      <c r="B2119" s="7" t="n">
        <v>16</v>
      </c>
      <c r="C2119" s="7" t="n">
        <v>19</v>
      </c>
      <c r="D2119" s="7" t="s">
        <v>3883</v>
      </c>
      <c r="E2119" s="7"/>
      <c r="G2119" s="5" t="str">
        <f aca="false">IF(ISNUMBER(FIND("old rod:",A2119)),"old rod:",A2119)</f>
        <v>16, 19, SPEAROW</v>
      </c>
      <c r="I2119" s="5" t="s">
        <v>3406</v>
      </c>
    </row>
    <row r="2120" customFormat="false" ht="12.75" hidden="false" customHeight="true" outlineLevel="0" collapsed="false">
      <c r="A2120" s="5" t="s">
        <v>3407</v>
      </c>
      <c r="B2120" s="7" t="n">
        <v>16</v>
      </c>
      <c r="C2120" s="7" t="n">
        <v>19</v>
      </c>
      <c r="D2120" s="7" t="s">
        <v>3865</v>
      </c>
      <c r="E2120" s="7"/>
      <c r="G2120" s="5" t="str">
        <f aca="false">IF(ISNUMBER(FIND("old rod:",A2120)),"old rod:",A2120)</f>
        <v>16, 19, CUBONE</v>
      </c>
      <c r="I2120" s="5" t="s">
        <v>3407</v>
      </c>
    </row>
    <row r="2121" customFormat="false" ht="12.75" hidden="false" customHeight="true" outlineLevel="0" collapsed="false">
      <c r="A2121" s="5" t="s">
        <v>3408</v>
      </c>
      <c r="B2121" s="7" t="n">
        <v>16</v>
      </c>
      <c r="C2121" s="7" t="n">
        <v>19</v>
      </c>
      <c r="D2121" s="7" t="s">
        <v>3850</v>
      </c>
      <c r="E2121" s="7"/>
      <c r="G2121" s="5" t="str">
        <f aca="false">IF(ISNUMBER(FIND("old rod:",A2121)),"old rod:",A2121)</f>
        <v>16, 19, MACHOP</v>
      </c>
      <c r="I2121" s="5" t="s">
        <v>3408</v>
      </c>
    </row>
    <row r="2122" customFormat="false" ht="12.75" hidden="false" customHeight="true" outlineLevel="0" collapsed="false">
      <c r="A2122" s="5" t="s">
        <v>3409</v>
      </c>
      <c r="B2122" s="7" t="n">
        <v>16</v>
      </c>
      <c r="C2122" s="7" t="n">
        <v>19</v>
      </c>
      <c r="D2122" s="7" t="s">
        <v>3741</v>
      </c>
      <c r="E2122" s="7"/>
      <c r="G2122" s="5" t="str">
        <f aca="false">IF(ISNUMBER(FIND("old rod:",A2122)),"old rod:",A2122)</f>
        <v>16, 19, SANDSHREW</v>
      </c>
      <c r="I2122" s="5" t="s">
        <v>3409</v>
      </c>
    </row>
    <row r="2123" customFormat="false" ht="12.75" hidden="false" customHeight="true" outlineLevel="0" collapsed="false">
      <c r="A2123" s="5" t="n">
        <v>0.05</v>
      </c>
      <c r="B2123" s="5" t="n">
        <v>0.05</v>
      </c>
      <c r="C2123" s="7"/>
      <c r="D2123" s="7"/>
      <c r="E2123" s="7"/>
      <c r="G2123" s="5" t="n">
        <f aca="false">IF(ISNUMBER(FIND("old rod:",A2123)),"old rod:",A2123)</f>
        <v>0.05</v>
      </c>
      <c r="I2123" s="5" t="n">
        <v>0.05</v>
      </c>
    </row>
    <row r="2124" customFormat="false" ht="12.75" hidden="false" customHeight="true" outlineLevel="0" collapsed="false">
      <c r="A2124" s="5" t="s">
        <v>3410</v>
      </c>
      <c r="B2124" s="7" t="n">
        <v>17</v>
      </c>
      <c r="C2124" s="7" t="n">
        <v>18</v>
      </c>
      <c r="D2124" s="7" t="s">
        <v>3928</v>
      </c>
      <c r="E2124" s="7"/>
      <c r="G2124" s="5" t="str">
        <f aca="false">IF(ISNUMBER(FIND("old rod:",A2124)),"old rod:",A2124)</f>
        <v>17, 18, DODUO</v>
      </c>
      <c r="I2124" s="5" t="s">
        <v>3410</v>
      </c>
    </row>
    <row r="2125" customFormat="false" ht="12.75" hidden="false" customHeight="true" outlineLevel="0" collapsed="false">
      <c r="A2125" s="5" t="s">
        <v>3411</v>
      </c>
      <c r="B2125" s="7" t="n">
        <v>17</v>
      </c>
      <c r="C2125" s="7" t="n">
        <v>18</v>
      </c>
      <c r="D2125" s="7" t="s">
        <v>3867</v>
      </c>
      <c r="E2125" s="7"/>
      <c r="G2125" s="5" t="str">
        <f aca="false">IF(ISNUMBER(FIND("old rod:",A2125)),"old rod:",A2125)</f>
        <v>17, 18, DROWZEE</v>
      </c>
      <c r="I2125" s="5" t="s">
        <v>3411</v>
      </c>
    </row>
    <row r="2126" customFormat="false" ht="12.75" hidden="false" customHeight="true" outlineLevel="0" collapsed="false">
      <c r="A2126" s="5" t="n">
        <v>0.04</v>
      </c>
      <c r="B2126" s="5" t="n">
        <v>0.04</v>
      </c>
      <c r="C2126" s="7"/>
      <c r="D2126" s="7"/>
      <c r="E2126" s="7"/>
      <c r="G2126" s="5" t="n">
        <f aca="false">IF(ISNUMBER(FIND("old rod:",A2126)),"old rod:",A2126)</f>
        <v>0.04</v>
      </c>
      <c r="I2126" s="5" t="n">
        <v>0.04</v>
      </c>
    </row>
    <row r="2127" customFormat="false" ht="12.75" hidden="false" customHeight="true" outlineLevel="0" collapsed="false">
      <c r="A2127" s="5" t="s">
        <v>3412</v>
      </c>
      <c r="B2127" s="7" t="n">
        <v>16</v>
      </c>
      <c r="C2127" s="7" t="n">
        <v>25</v>
      </c>
      <c r="D2127" s="7" t="s">
        <v>3882</v>
      </c>
      <c r="E2127" s="7"/>
      <c r="G2127" s="5" t="str">
        <f aca="false">IF(ISNUMBER(FIND("old rod:",A2127)),"old rod:",A2127)</f>
        <v>16, 25, FEAROW</v>
      </c>
      <c r="I2127" s="5" t="s">
        <v>3412</v>
      </c>
    </row>
    <row r="2128" customFormat="false" ht="12.75" hidden="false" customHeight="true" outlineLevel="0" collapsed="false">
      <c r="A2128" s="5" t="s">
        <v>3413</v>
      </c>
      <c r="B2128" s="7" t="n">
        <v>22</v>
      </c>
      <c r="C2128" s="7" t="n">
        <v>22</v>
      </c>
      <c r="D2128" s="7" t="s">
        <v>3926</v>
      </c>
      <c r="E2128" s="7"/>
      <c r="G2128" s="5" t="str">
        <f aca="false">IF(ISNUMBER(FIND("old rod:",A2128)),"old rod:",A2128)</f>
        <v>22, 22, SANDSLASH</v>
      </c>
      <c r="I2128" s="5" t="s">
        <v>3413</v>
      </c>
    </row>
    <row r="2129" customFormat="false" ht="12.75" hidden="false" customHeight="true" outlineLevel="0" collapsed="false">
      <c r="A2129" s="5" t="n">
        <v>0.01</v>
      </c>
      <c r="B2129" s="5" t="n">
        <v>0.01</v>
      </c>
      <c r="C2129" s="7"/>
      <c r="D2129" s="7"/>
      <c r="E2129" s="7"/>
      <c r="G2129" s="5" t="n">
        <f aca="false">IF(ISNUMBER(FIND("old rod:",A2129)),"old rod:",A2129)</f>
        <v>0.01</v>
      </c>
      <c r="I2129" s="5" t="n">
        <v>0.01</v>
      </c>
    </row>
    <row r="2130" customFormat="false" ht="12.75" hidden="false" customHeight="true" outlineLevel="0" collapsed="false">
      <c r="A2130" s="5" t="s">
        <v>3414</v>
      </c>
      <c r="B2130" s="7" t="n">
        <v>14</v>
      </c>
      <c r="C2130" s="7" t="n">
        <v>17</v>
      </c>
      <c r="D2130" s="7" t="s">
        <v>3929</v>
      </c>
      <c r="E2130" s="7"/>
      <c r="G2130" s="5" t="str">
        <f aca="false">IF(ISNUMBER(FIND("old rod:",A2130)),"old rod:",A2130)</f>
        <v>14, 17, KANGAKID</v>
      </c>
      <c r="I2130" s="5" t="s">
        <v>3414</v>
      </c>
    </row>
    <row r="2131" customFormat="false" ht="12.75" hidden="false" customHeight="true" outlineLevel="0" collapsed="false">
      <c r="A2131" s="5" t="s">
        <v>3726</v>
      </c>
      <c r="B2131" s="7" t="n">
        <v>18</v>
      </c>
      <c r="C2131" s="7" t="n">
        <v>18</v>
      </c>
      <c r="D2131" s="7" t="s">
        <v>3929</v>
      </c>
      <c r="E2131" s="7"/>
      <c r="G2131" s="5" t="str">
        <f aca="false">IF(ISNUMBER(FIND("old rod:",A2131)),"old rod:",A2131)</f>
        <v>18, 18, KANGAKID</v>
      </c>
      <c r="I2131" s="5" t="s">
        <v>3726</v>
      </c>
    </row>
    <row r="2132" customFormat="false" ht="12.75" hidden="false" customHeight="true" outlineLevel="0" collapsed="false">
      <c r="A2132" s="5" t="s">
        <v>2536</v>
      </c>
      <c r="B2132" s="7" t="s">
        <v>2536</v>
      </c>
      <c r="C2132" s="7"/>
      <c r="D2132" s="7"/>
      <c r="E2132" s="7"/>
      <c r="G2132" s="5" t="str">
        <f aca="false">IF(ISNUMBER(FIND("old rod:",A2132)),"old rod:",A2132)</f>
        <v>NEW ROUTE</v>
      </c>
      <c r="I2132" s="5" t="s">
        <v>2536</v>
      </c>
    </row>
    <row r="2133" customFormat="false" ht="12.75" hidden="false" customHeight="true" outlineLevel="0" collapsed="false">
      <c r="A2133" s="5" t="s">
        <v>435</v>
      </c>
      <c r="B2133" s="7" t="s">
        <v>435</v>
      </c>
      <c r="C2133" s="7"/>
      <c r="D2133" s="7"/>
      <c r="E2133" s="7"/>
      <c r="G2133" s="5" t="str">
        <f aca="false">IF(ISNUMBER(FIND("old rod:",A2133)),"old rod:",A2133)</f>
        <v>Route 10</v>
      </c>
      <c r="I2133" s="5" t="s">
        <v>435</v>
      </c>
    </row>
    <row r="2134" customFormat="false" ht="12.75" hidden="false" customHeight="true" outlineLevel="0" collapsed="false">
      <c r="A2134" s="5" t="n">
        <v>0.2</v>
      </c>
      <c r="B2134" s="5" t="n">
        <v>0.2</v>
      </c>
      <c r="C2134" s="7"/>
      <c r="D2134" s="7"/>
      <c r="E2134" s="7"/>
      <c r="G2134" s="5" t="n">
        <f aca="false">IF(ISNUMBER(FIND("old rod:",A2134)),"old rod:",A2134)</f>
        <v>0.2</v>
      </c>
      <c r="I2134" s="5" t="n">
        <v>0.2</v>
      </c>
    </row>
    <row r="2135" customFormat="false" ht="12.75" hidden="false" customHeight="true" outlineLevel="0" collapsed="false">
      <c r="A2135" s="5" t="s">
        <v>1888</v>
      </c>
      <c r="B2135" s="7" t="n">
        <v>19</v>
      </c>
      <c r="C2135" s="7" t="n">
        <v>23</v>
      </c>
      <c r="D2135" s="7" t="s">
        <v>3922</v>
      </c>
      <c r="E2135" s="7"/>
      <c r="G2135" s="5" t="str">
        <f aca="false">IF(ISNUMBER(FIND("old rod:",A2135)),"old rod:",A2135)</f>
        <v>19, 23, NIDORINA</v>
      </c>
      <c r="I2135" s="5" t="s">
        <v>1888</v>
      </c>
    </row>
    <row r="2136" customFormat="false" ht="12.75" hidden="false" customHeight="true" outlineLevel="0" collapsed="false">
      <c r="A2136" s="5" t="s">
        <v>3417</v>
      </c>
      <c r="B2136" s="7" t="n">
        <v>19</v>
      </c>
      <c r="C2136" s="7" t="n">
        <v>23</v>
      </c>
      <c r="D2136" s="7" t="s">
        <v>3921</v>
      </c>
      <c r="E2136" s="7"/>
      <c r="G2136" s="5" t="str">
        <f aca="false">IF(ISNUMBER(FIND("old rod:",A2136)),"old rod:",A2136)</f>
        <v>19, 23, NIDORINO</v>
      </c>
      <c r="I2136" s="5" t="s">
        <v>3417</v>
      </c>
    </row>
    <row r="2137" customFormat="false" ht="12.75" hidden="false" customHeight="true" outlineLevel="0" collapsed="false">
      <c r="A2137" s="5" t="n">
        <v>0.1</v>
      </c>
      <c r="B2137" s="5" t="n">
        <v>0.1</v>
      </c>
      <c r="C2137" s="7"/>
      <c r="D2137" s="7"/>
      <c r="E2137" s="7"/>
      <c r="G2137" s="5" t="n">
        <f aca="false">IF(ISNUMBER(FIND("old rod:",A2137)),"old rod:",A2137)</f>
        <v>0.1</v>
      </c>
      <c r="I2137" s="5" t="n">
        <v>0.1</v>
      </c>
    </row>
    <row r="2138" customFormat="false" ht="12.75" hidden="false" customHeight="true" outlineLevel="0" collapsed="false">
      <c r="A2138" s="5" t="s">
        <v>3418</v>
      </c>
      <c r="B2138" s="7" t="n">
        <v>18</v>
      </c>
      <c r="C2138" s="7" t="n">
        <v>20</v>
      </c>
      <c r="D2138" s="7" t="s">
        <v>3883</v>
      </c>
      <c r="E2138" s="7"/>
      <c r="G2138" s="5" t="str">
        <f aca="false">IF(ISNUMBER(FIND("old rod:",A2138)),"old rod:",A2138)</f>
        <v>18, 20, SPEAROW</v>
      </c>
      <c r="I2138" s="5" t="s">
        <v>3418</v>
      </c>
    </row>
    <row r="2139" customFormat="false" ht="12.75" hidden="false" customHeight="true" outlineLevel="0" collapsed="false">
      <c r="A2139" s="5" t="s">
        <v>3419</v>
      </c>
      <c r="B2139" s="7" t="n">
        <v>18</v>
      </c>
      <c r="C2139" s="7" t="n">
        <v>20</v>
      </c>
      <c r="D2139" s="7" t="s">
        <v>3865</v>
      </c>
      <c r="E2139" s="7"/>
      <c r="G2139" s="5" t="str">
        <f aca="false">IF(ISNUMBER(FIND("old rod:",A2139)),"old rod:",A2139)</f>
        <v>18, 20, CUBONE</v>
      </c>
      <c r="I2139" s="5" t="s">
        <v>3419</v>
      </c>
    </row>
    <row r="2140" customFormat="false" ht="12.75" hidden="false" customHeight="true" outlineLevel="0" collapsed="false">
      <c r="A2140" s="5" t="s">
        <v>3420</v>
      </c>
      <c r="B2140" s="7" t="n">
        <v>18</v>
      </c>
      <c r="C2140" s="7" t="n">
        <v>20</v>
      </c>
      <c r="D2140" s="7" t="s">
        <v>3873</v>
      </c>
      <c r="E2140" s="7"/>
      <c r="G2140" s="5" t="str">
        <f aca="false">IF(ISNUMBER(FIND("old rod:",A2140)),"old rod:",A2140)</f>
        <v>18, 20, MAGNEMITE</v>
      </c>
      <c r="I2140" s="5" t="s">
        <v>3420</v>
      </c>
    </row>
    <row r="2141" customFormat="false" ht="12.75" hidden="false" customHeight="true" outlineLevel="0" collapsed="false">
      <c r="A2141" s="5" t="s">
        <v>3421</v>
      </c>
      <c r="B2141" s="7" t="n">
        <v>18</v>
      </c>
      <c r="C2141" s="7" t="n">
        <v>20</v>
      </c>
      <c r="D2141" s="7" t="s">
        <v>3803</v>
      </c>
      <c r="E2141" s="7"/>
      <c r="G2141" s="5" t="str">
        <f aca="false">IF(ISNUMBER(FIND("old rod:",A2141)),"old rod:",A2141)</f>
        <v>18, 20, POLIWAG</v>
      </c>
      <c r="I2141" s="5" t="s">
        <v>3421</v>
      </c>
    </row>
    <row r="2142" customFormat="false" ht="12.75" hidden="false" customHeight="true" outlineLevel="0" collapsed="false">
      <c r="A2142" s="5" t="n">
        <v>0.05</v>
      </c>
      <c r="B2142" s="5" t="n">
        <v>0.05</v>
      </c>
      <c r="C2142" s="7"/>
      <c r="D2142" s="7"/>
      <c r="E2142" s="7"/>
      <c r="G2142" s="5" t="n">
        <f aca="false">IF(ISNUMBER(FIND("old rod:",A2142)),"old rod:",A2142)</f>
        <v>0.05</v>
      </c>
      <c r="I2142" s="5" t="n">
        <v>0.05</v>
      </c>
    </row>
    <row r="2143" customFormat="false" ht="12.75" hidden="false" customHeight="true" outlineLevel="0" collapsed="false">
      <c r="A2143" s="5" t="s">
        <v>3422</v>
      </c>
      <c r="B2143" s="7" t="n">
        <v>19</v>
      </c>
      <c r="C2143" s="7" t="n">
        <v>19</v>
      </c>
      <c r="D2143" s="7" t="s">
        <v>3928</v>
      </c>
      <c r="E2143" s="7"/>
      <c r="G2143" s="5" t="str">
        <f aca="false">IF(ISNUMBER(FIND("old rod:",A2143)),"old rod:",A2143)</f>
        <v>19, 19, DODUO</v>
      </c>
      <c r="I2143" s="5" t="s">
        <v>3422</v>
      </c>
    </row>
    <row r="2144" customFormat="false" ht="12.75" hidden="false" customHeight="true" outlineLevel="0" collapsed="false">
      <c r="A2144" s="5" t="s">
        <v>3423</v>
      </c>
      <c r="B2144" s="7" t="n">
        <v>19</v>
      </c>
      <c r="C2144" s="7" t="n">
        <v>19</v>
      </c>
      <c r="D2144" s="7" t="s">
        <v>3874</v>
      </c>
      <c r="E2144" s="7"/>
      <c r="G2144" s="5" t="str">
        <f aca="false">IF(ISNUMBER(FIND("old rod:",A2144)),"old rod:",A2144)</f>
        <v>19, 19, VOLTORB</v>
      </c>
      <c r="I2144" s="5" t="s">
        <v>3423</v>
      </c>
    </row>
    <row r="2145" customFormat="false" ht="12.75" hidden="false" customHeight="true" outlineLevel="0" collapsed="false">
      <c r="A2145" s="5" t="n">
        <v>0.04</v>
      </c>
      <c r="B2145" s="5" t="n">
        <v>0.04</v>
      </c>
      <c r="C2145" s="7"/>
      <c r="D2145" s="7"/>
      <c r="E2145" s="7"/>
      <c r="G2145" s="5" t="n">
        <f aca="false">IF(ISNUMBER(FIND("old rod:",A2145)),"old rod:",A2145)</f>
        <v>0.04</v>
      </c>
      <c r="I2145" s="5" t="n">
        <v>0.04</v>
      </c>
    </row>
    <row r="2146" customFormat="false" ht="12.75" hidden="false" customHeight="true" outlineLevel="0" collapsed="false">
      <c r="A2146" s="5" t="s">
        <v>3424</v>
      </c>
      <c r="B2146" s="7" t="n">
        <v>20</v>
      </c>
      <c r="C2146" s="7" t="n">
        <v>25</v>
      </c>
      <c r="D2146" s="7" t="s">
        <v>3882</v>
      </c>
      <c r="E2146" s="7"/>
      <c r="G2146" s="5" t="str">
        <f aca="false">IF(ISNUMBER(FIND("old rod:",A2146)),"old rod:",A2146)</f>
        <v>20, 25, FEAROW</v>
      </c>
      <c r="I2146" s="5" t="s">
        <v>3424</v>
      </c>
    </row>
    <row r="2147" customFormat="false" ht="12.75" hidden="false" customHeight="true" outlineLevel="0" collapsed="false">
      <c r="A2147" s="5" t="s">
        <v>3425</v>
      </c>
      <c r="B2147" s="7" t="n">
        <v>22</v>
      </c>
      <c r="C2147" s="7" t="n">
        <v>22</v>
      </c>
      <c r="D2147" s="7" t="s">
        <v>3805</v>
      </c>
      <c r="E2147" s="7"/>
      <c r="G2147" s="5" t="str">
        <f aca="false">IF(ISNUMBER(FIND("old rod:",A2147)),"old rod:",A2147)</f>
        <v>22, 22, POLIWHIRL</v>
      </c>
      <c r="I2147" s="5" t="s">
        <v>3425</v>
      </c>
    </row>
    <row r="2148" customFormat="false" ht="12.75" hidden="false" customHeight="true" outlineLevel="0" collapsed="false">
      <c r="A2148" s="5" t="n">
        <v>0.01</v>
      </c>
      <c r="B2148" s="5" t="n">
        <v>0.01</v>
      </c>
      <c r="C2148" s="7"/>
      <c r="D2148" s="7"/>
      <c r="E2148" s="7"/>
      <c r="G2148" s="5" t="n">
        <f aca="false">IF(ISNUMBER(FIND("old rod:",A2148)),"old rod:",A2148)</f>
        <v>0.01</v>
      </c>
      <c r="I2148" s="5" t="n">
        <v>0.01</v>
      </c>
    </row>
    <row r="2149" customFormat="false" ht="12.75" hidden="false" customHeight="true" outlineLevel="0" collapsed="false">
      <c r="A2149" s="5" t="s">
        <v>3426</v>
      </c>
      <c r="B2149" s="7" t="n">
        <v>19</v>
      </c>
      <c r="C2149" s="7" t="n">
        <v>21</v>
      </c>
      <c r="D2149" s="7" t="s">
        <v>3738</v>
      </c>
      <c r="E2149" s="7"/>
      <c r="G2149" s="5" t="str">
        <f aca="false">IF(ISNUMBER(FIND("old rod:",A2149)),"old rod:",A2149)</f>
        <v>19, 21, TANGELA</v>
      </c>
      <c r="I2149" s="5" t="s">
        <v>3426</v>
      </c>
    </row>
    <row r="2150" customFormat="false" ht="12.75" hidden="false" customHeight="true" outlineLevel="0" collapsed="false">
      <c r="A2150" s="5" t="s">
        <v>3427</v>
      </c>
      <c r="B2150" s="7" t="n">
        <v>19</v>
      </c>
      <c r="C2150" s="7" t="n">
        <v>21</v>
      </c>
      <c r="D2150" s="7" t="s">
        <v>3881</v>
      </c>
      <c r="E2150" s="7"/>
      <c r="G2150" s="5" t="str">
        <f aca="false">IF(ISNUMBER(FIND("old rod:",A2150)),"old rod:",A2150)</f>
        <v>19, 21, PONYTA</v>
      </c>
      <c r="I2150" s="5" t="s">
        <v>3427</v>
      </c>
    </row>
    <row r="2151" customFormat="false" ht="12.75" hidden="false" customHeight="true" outlineLevel="0" collapsed="false">
      <c r="A2151" s="5" t="s">
        <v>3349</v>
      </c>
      <c r="B2151" s="7" t="n">
        <v>2</v>
      </c>
      <c r="C2151" s="7" t="n">
        <v>38</v>
      </c>
      <c r="D2151" s="7" t="n">
        <v>42</v>
      </c>
      <c r="E2151" s="7" t="s">
        <v>3747</v>
      </c>
      <c r="G2151" s="5" t="str">
        <f aca="false">IF(ISNUMBER(FIND("old rod:",A2151)),"old rod:",A2151)</f>
        <v>2, 38, 42, TENTACOOL</v>
      </c>
      <c r="I2151" s="5" t="s">
        <v>3349</v>
      </c>
    </row>
    <row r="2152" customFormat="false" ht="12.75" hidden="false" customHeight="true" outlineLevel="0" collapsed="false">
      <c r="A2152" s="5" t="s">
        <v>3428</v>
      </c>
      <c r="B2152" s="7" t="n">
        <v>40</v>
      </c>
      <c r="C2152" s="7" t="n">
        <v>44</v>
      </c>
      <c r="D2152" s="7" t="s">
        <v>3897</v>
      </c>
      <c r="E2152" s="7"/>
      <c r="G2152" s="5" t="str">
        <f aca="false">IF(ISNUMBER(FIND("old rod:",A2152)),"old rod:",A2152)</f>
        <v>40, 44, TENTACRUEL</v>
      </c>
      <c r="I2152" s="5" t="s">
        <v>3428</v>
      </c>
    </row>
    <row r="2153" customFormat="false" ht="12.75" hidden="false" customHeight="true" outlineLevel="0" collapsed="false">
      <c r="A2153" s="5" t="s">
        <v>3024</v>
      </c>
      <c r="B2153" s="7" t="n">
        <v>42</v>
      </c>
      <c r="C2153" s="7" t="n">
        <v>46</v>
      </c>
      <c r="D2153" s="7" t="s">
        <v>3860</v>
      </c>
      <c r="E2153" s="7"/>
      <c r="G2153" s="5" t="str">
        <f aca="false">IF(ISNUMBER(FIND("old rod:",A2153)),"old rod:",A2153)</f>
        <v>42, 46, LAPRAS</v>
      </c>
      <c r="I2153" s="5" t="s">
        <v>3024</v>
      </c>
    </row>
    <row r="2154" customFormat="false" ht="12.75" hidden="false" customHeight="true" outlineLevel="0" collapsed="false">
      <c r="A2154" s="5" t="s">
        <v>3429</v>
      </c>
      <c r="B2154" s="7" t="n">
        <v>42</v>
      </c>
      <c r="C2154" s="7" t="n">
        <v>46</v>
      </c>
      <c r="D2154" s="7" t="s">
        <v>3930</v>
      </c>
      <c r="E2154" s="7"/>
      <c r="G2154" s="5" t="str">
        <f aca="false">IF(ISNUMBER(FIND("old rod:",A2154)),"old rod:",A2154)</f>
        <v>42, 46, TENTACATE</v>
      </c>
      <c r="I2154" s="5" t="s">
        <v>3429</v>
      </c>
    </row>
    <row r="2155" customFormat="false" ht="12.75" hidden="false" customHeight="true" outlineLevel="0" collapsed="false">
      <c r="A2155" s="5" t="s">
        <v>2924</v>
      </c>
      <c r="B2155" s="7" t="n">
        <v>44</v>
      </c>
      <c r="C2155" s="7" t="n">
        <v>48</v>
      </c>
      <c r="D2155" s="7" t="s">
        <v>3802</v>
      </c>
      <c r="E2155" s="7"/>
      <c r="G2155" s="5" t="str">
        <f aca="false">IF(ISNUMBER(FIND("old rod:",A2155)),"old rod:",A2155)</f>
        <v>44, 48, VAPOREON</v>
      </c>
      <c r="I2155" s="5" t="s">
        <v>2924</v>
      </c>
    </row>
    <row r="2156" customFormat="false" ht="12.75" hidden="false" customHeight="true" outlineLevel="0" collapsed="false">
      <c r="A2156" s="5" t="s">
        <v>2925</v>
      </c>
      <c r="B2156" s="7" t="n">
        <v>20</v>
      </c>
      <c r="C2156" s="7" t="s">
        <v>3748</v>
      </c>
      <c r="D2156" s="7"/>
      <c r="E2156" s="7"/>
      <c r="G2156" s="5" t="str">
        <f aca="false">IF(ISNUMBER(FIND("old rod:",A2156)),"old rod:",A2156)</f>
        <v>old rod:</v>
      </c>
      <c r="I2156" s="5" t="s">
        <v>3749</v>
      </c>
    </row>
    <row r="2157" customFormat="false" ht="12.75" hidden="false" customHeight="true" outlineLevel="0" collapsed="false">
      <c r="A2157" s="5" t="s">
        <v>1451</v>
      </c>
      <c r="B2157" s="7" t="n">
        <v>19</v>
      </c>
      <c r="C2157" s="7" t="n">
        <v>26</v>
      </c>
      <c r="D2157" s="7" t="s">
        <v>3752</v>
      </c>
      <c r="E2157" s="7"/>
      <c r="G2157" s="5" t="str">
        <f aca="false">IF(ISNUMBER(FIND("old rod:",A2157)),"old rod:",A2157)</f>
        <v>19, 26, HORSEA</v>
      </c>
      <c r="I2157" s="5" t="s">
        <v>1451</v>
      </c>
    </row>
    <row r="2158" customFormat="false" ht="12.75" hidden="false" customHeight="true" outlineLevel="0" collapsed="false">
      <c r="A2158" s="5" t="s">
        <v>2008</v>
      </c>
      <c r="B2158" s="7" t="n">
        <v>19</v>
      </c>
      <c r="C2158" s="7" t="n">
        <v>26</v>
      </c>
      <c r="D2158" s="7" t="s">
        <v>3799</v>
      </c>
      <c r="E2158" s="7"/>
      <c r="G2158" s="5" t="str">
        <f aca="false">IF(ISNUMBER(FIND("old rod:",A2158)),"old rod:",A2158)</f>
        <v>19, 26, PSYDUCK</v>
      </c>
      <c r="I2158" s="5" t="s">
        <v>2008</v>
      </c>
    </row>
    <row r="2159" customFormat="false" ht="12.75" hidden="false" customHeight="true" outlineLevel="0" collapsed="false">
      <c r="A2159" s="5" t="s">
        <v>2846</v>
      </c>
      <c r="B2159" s="7" t="s">
        <v>2846</v>
      </c>
      <c r="C2159" s="7"/>
      <c r="D2159" s="7"/>
      <c r="E2159" s="7"/>
      <c r="G2159" s="5" t="str">
        <f aca="false">IF(ISNUMBER(FIND("old rod:",A2159)),"old rod:",A2159)</f>
        <v>good rod:</v>
      </c>
      <c r="I2159" s="5" t="s">
        <v>2846</v>
      </c>
    </row>
    <row r="2160" customFormat="false" ht="12.75" hidden="false" customHeight="true" outlineLevel="0" collapsed="false">
      <c r="A2160" s="5" t="s">
        <v>3430</v>
      </c>
      <c r="B2160" s="7" t="n">
        <v>29</v>
      </c>
      <c r="C2160" s="7" t="n">
        <v>33</v>
      </c>
      <c r="D2160" s="7" t="s">
        <v>3752</v>
      </c>
      <c r="E2160" s="7"/>
      <c r="G2160" s="5" t="str">
        <f aca="false">IF(ISNUMBER(FIND("old rod:",A2160)),"old rod:",A2160)</f>
        <v>29, 33, HORSEA</v>
      </c>
      <c r="I2160" s="5" t="s">
        <v>3430</v>
      </c>
    </row>
    <row r="2161" customFormat="false" ht="12.75" hidden="false" customHeight="true" outlineLevel="0" collapsed="false">
      <c r="A2161" s="5" t="s">
        <v>3431</v>
      </c>
      <c r="B2161" s="7" t="n">
        <v>30</v>
      </c>
      <c r="C2161" s="7" t="n">
        <v>35</v>
      </c>
      <c r="D2161" s="7" t="s">
        <v>3755</v>
      </c>
      <c r="E2161" s="7"/>
      <c r="G2161" s="5" t="str">
        <f aca="false">IF(ISNUMBER(FIND("old rod:",A2161)),"old rod:",A2161)</f>
        <v>30, 35, SLOWPOKE</v>
      </c>
      <c r="I2161" s="5" t="s">
        <v>3431</v>
      </c>
    </row>
    <row r="2162" customFormat="false" ht="12.75" hidden="false" customHeight="true" outlineLevel="0" collapsed="false">
      <c r="A2162" s="5" t="s">
        <v>3354</v>
      </c>
      <c r="B2162" s="7" t="n">
        <v>30</v>
      </c>
      <c r="C2162" s="7" t="n">
        <v>35</v>
      </c>
      <c r="D2162" s="7" t="s">
        <v>3799</v>
      </c>
      <c r="E2162" s="7"/>
      <c r="G2162" s="5" t="str">
        <f aca="false">IF(ISNUMBER(FIND("old rod:",A2162)),"old rod:",A2162)</f>
        <v>30, 35, PSYDUCK</v>
      </c>
      <c r="I2162" s="5" t="s">
        <v>3354</v>
      </c>
    </row>
    <row r="2163" customFormat="false" ht="12.75" hidden="false" customHeight="true" outlineLevel="0" collapsed="false">
      <c r="A2163" s="5" t="s">
        <v>2850</v>
      </c>
      <c r="B2163" s="7" t="s">
        <v>2850</v>
      </c>
      <c r="C2163" s="7"/>
      <c r="D2163" s="7"/>
      <c r="E2163" s="7"/>
      <c r="G2163" s="5" t="str">
        <f aca="false">IF(ISNUMBER(FIND("old rod:",A2163)),"old rod:",A2163)</f>
        <v>super rod:</v>
      </c>
      <c r="I2163" s="5" t="s">
        <v>2850</v>
      </c>
    </row>
    <row r="2164" customFormat="false" ht="12.75" hidden="false" customHeight="true" outlineLevel="0" collapsed="false">
      <c r="A2164" s="5" t="s">
        <v>3432</v>
      </c>
      <c r="B2164" s="7" t="n">
        <v>36</v>
      </c>
      <c r="C2164" s="7" t="n">
        <v>40</v>
      </c>
      <c r="D2164" s="7" t="s">
        <v>3858</v>
      </c>
      <c r="E2164" s="7"/>
      <c r="G2164" s="5" t="str">
        <f aca="false">IF(ISNUMBER(FIND("old rod:",A2164)),"old rod:",A2164)</f>
        <v>36, 40, SEADRA</v>
      </c>
      <c r="I2164" s="5" t="s">
        <v>3432</v>
      </c>
    </row>
    <row r="2165" customFormat="false" ht="12.75" hidden="false" customHeight="true" outlineLevel="0" collapsed="false">
      <c r="A2165" s="5" t="s">
        <v>3433</v>
      </c>
      <c r="B2165" s="7" t="n">
        <v>36</v>
      </c>
      <c r="C2165" s="7" t="n">
        <v>40</v>
      </c>
      <c r="D2165" s="7" t="s">
        <v>3801</v>
      </c>
      <c r="E2165" s="7"/>
      <c r="G2165" s="5" t="str">
        <f aca="false">IF(ISNUMBER(FIND("old rod:",A2165)),"old rod:",A2165)</f>
        <v>36, 40, GOLDUCK</v>
      </c>
      <c r="I2165" s="5" t="s">
        <v>3433</v>
      </c>
    </row>
    <row r="2166" customFormat="false" ht="12.75" hidden="false" customHeight="true" outlineLevel="0" collapsed="false">
      <c r="A2166" s="5" t="s">
        <v>3434</v>
      </c>
      <c r="B2166" s="7" t="n">
        <v>38</v>
      </c>
      <c r="C2166" s="7" t="n">
        <v>42</v>
      </c>
      <c r="D2166" s="7" t="s">
        <v>3800</v>
      </c>
      <c r="E2166" s="7"/>
      <c r="G2166" s="5" t="str">
        <f aca="false">IF(ISNUMBER(FIND("old rod:",A2166)),"old rod:",A2166)</f>
        <v>38, 42, SLOWBRO</v>
      </c>
      <c r="I2166" s="5" t="s">
        <v>3434</v>
      </c>
    </row>
    <row r="2167" customFormat="false" ht="12.75" hidden="false" customHeight="true" outlineLevel="0" collapsed="false">
      <c r="A2167" s="5" t="s">
        <v>3435</v>
      </c>
      <c r="B2167" s="7" t="n">
        <v>38</v>
      </c>
      <c r="C2167" s="7" t="n">
        <v>42</v>
      </c>
      <c r="D2167" s="7" t="s">
        <v>3842</v>
      </c>
      <c r="E2167" s="7"/>
      <c r="G2167" s="5" t="str">
        <f aca="false">IF(ISNUMBER(FIND("old rod:",A2167)),"old rod:",A2167)</f>
        <v>38, 42, KINGDRA</v>
      </c>
      <c r="I2167" s="5" t="s">
        <v>3435</v>
      </c>
    </row>
    <row r="2168" customFormat="false" ht="12.75" hidden="false" customHeight="true" outlineLevel="0" collapsed="false">
      <c r="A2168" s="5" t="s">
        <v>3436</v>
      </c>
      <c r="B2168" s="7" t="n">
        <v>40</v>
      </c>
      <c r="C2168" s="7" t="n">
        <v>44</v>
      </c>
      <c r="D2168" s="7" t="s">
        <v>3854</v>
      </c>
      <c r="E2168" s="7"/>
      <c r="G2168" s="5" t="str">
        <f aca="false">IF(ISNUMBER(FIND("old rod:",A2168)),"old rod:",A2168)</f>
        <v>40, 44, GILDUCK</v>
      </c>
      <c r="I2168" s="5" t="s">
        <v>3436</v>
      </c>
    </row>
    <row r="2169" customFormat="false" ht="12.75" hidden="false" customHeight="true" outlineLevel="0" collapsed="false">
      <c r="A2169" s="5" t="s">
        <v>2536</v>
      </c>
      <c r="B2169" s="7" t="s">
        <v>2536</v>
      </c>
      <c r="C2169" s="7"/>
      <c r="D2169" s="7"/>
      <c r="E2169" s="7"/>
      <c r="G2169" s="5" t="str">
        <f aca="false">IF(ISNUMBER(FIND("old rod:",A2169)),"old rod:",A2169)</f>
        <v>NEW ROUTE</v>
      </c>
      <c r="I2169" s="5" t="s">
        <v>2536</v>
      </c>
    </row>
    <row r="2170" customFormat="false" ht="12.75" hidden="false" customHeight="true" outlineLevel="0" collapsed="false">
      <c r="A2170" s="5" t="s">
        <v>437</v>
      </c>
      <c r="B2170" s="7" t="s">
        <v>437</v>
      </c>
      <c r="C2170" s="7"/>
      <c r="D2170" s="7"/>
      <c r="E2170" s="7"/>
      <c r="G2170" s="5" t="str">
        <f aca="false">IF(ISNUMBER(FIND("old rod:",A2170)),"old rod:",A2170)</f>
        <v>Route 11</v>
      </c>
      <c r="I2170" s="5" t="s">
        <v>437</v>
      </c>
    </row>
    <row r="2171" customFormat="false" ht="12.75" hidden="false" customHeight="true" outlineLevel="0" collapsed="false">
      <c r="A2171" s="5" t="n">
        <v>0.2</v>
      </c>
      <c r="B2171" s="5" t="n">
        <v>0.2</v>
      </c>
      <c r="C2171" s="7"/>
      <c r="D2171" s="7"/>
      <c r="E2171" s="7"/>
      <c r="G2171" s="5" t="n">
        <f aca="false">IF(ISNUMBER(FIND("old rod:",A2171)),"old rod:",A2171)</f>
        <v>0.2</v>
      </c>
      <c r="I2171" s="5" t="n">
        <v>0.2</v>
      </c>
    </row>
    <row r="2172" customFormat="false" ht="12.75" hidden="false" customHeight="true" outlineLevel="0" collapsed="false">
      <c r="A2172" s="5" t="s">
        <v>1911</v>
      </c>
      <c r="B2172" s="7" t="n">
        <v>16</v>
      </c>
      <c r="C2172" s="7" t="n">
        <v>18</v>
      </c>
      <c r="D2172" s="7" t="s">
        <v>3919</v>
      </c>
      <c r="E2172" s="7"/>
      <c r="G2172" s="5" t="str">
        <f aca="false">IF(ISNUMBER(FIND("old rod:",A2172)),"old rod:",A2172)</f>
        <v>16, 18, EKANS</v>
      </c>
      <c r="I2172" s="5" t="s">
        <v>1911</v>
      </c>
    </row>
    <row r="2173" customFormat="false" ht="12.75" hidden="false" customHeight="true" outlineLevel="0" collapsed="false">
      <c r="A2173" s="5" t="s">
        <v>3438</v>
      </c>
      <c r="B2173" s="7" t="n">
        <v>16</v>
      </c>
      <c r="C2173" s="7" t="n">
        <v>18</v>
      </c>
      <c r="D2173" s="7" t="s">
        <v>3883</v>
      </c>
      <c r="E2173" s="7"/>
      <c r="G2173" s="5" t="str">
        <f aca="false">IF(ISNUMBER(FIND("old rod:",A2173)),"old rod:",A2173)</f>
        <v>16, 18, SPEAROW</v>
      </c>
      <c r="I2173" s="5" t="s">
        <v>3438</v>
      </c>
    </row>
    <row r="2174" customFormat="false" ht="12.75" hidden="false" customHeight="true" outlineLevel="0" collapsed="false">
      <c r="A2174" s="5" t="n">
        <v>0.1</v>
      </c>
      <c r="B2174" s="5" t="n">
        <v>0.1</v>
      </c>
      <c r="C2174" s="7"/>
      <c r="D2174" s="7"/>
      <c r="E2174" s="7"/>
      <c r="G2174" s="5" t="n">
        <f aca="false">IF(ISNUMBER(FIND("old rod:",A2174)),"old rod:",A2174)</f>
        <v>0.1</v>
      </c>
      <c r="I2174" s="5" t="n">
        <v>0.1</v>
      </c>
    </row>
    <row r="2175" customFormat="false" ht="12.75" hidden="false" customHeight="true" outlineLevel="0" collapsed="false">
      <c r="A2175" s="5" t="s">
        <v>3439</v>
      </c>
      <c r="B2175" s="7" t="n">
        <v>17</v>
      </c>
      <c r="C2175" s="7" t="n">
        <v>20</v>
      </c>
      <c r="D2175" s="7" t="s">
        <v>3741</v>
      </c>
      <c r="E2175" s="7"/>
      <c r="G2175" s="5" t="str">
        <f aca="false">IF(ISNUMBER(FIND("old rod:",A2175)),"old rod:",A2175)</f>
        <v>17, 20, SANDSHREW</v>
      </c>
      <c r="I2175" s="5" t="s">
        <v>3439</v>
      </c>
    </row>
    <row r="2176" customFormat="false" ht="12.75" hidden="false" customHeight="true" outlineLevel="0" collapsed="false">
      <c r="A2176" s="5" t="s">
        <v>3440</v>
      </c>
      <c r="B2176" s="7" t="n">
        <v>17</v>
      </c>
      <c r="C2176" s="7" t="n">
        <v>20</v>
      </c>
      <c r="D2176" s="7" t="s">
        <v>3867</v>
      </c>
      <c r="E2176" s="7"/>
      <c r="G2176" s="5" t="str">
        <f aca="false">IF(ISNUMBER(FIND("old rod:",A2176)),"old rod:",A2176)</f>
        <v>17, 20, DROWZEE</v>
      </c>
      <c r="I2176" s="5" t="s">
        <v>3440</v>
      </c>
    </row>
    <row r="2177" customFormat="false" ht="12.75" hidden="false" customHeight="true" outlineLevel="0" collapsed="false">
      <c r="A2177" s="5" t="s">
        <v>3441</v>
      </c>
      <c r="B2177" s="7" t="n">
        <v>17</v>
      </c>
      <c r="C2177" s="7" t="n">
        <v>20</v>
      </c>
      <c r="D2177" s="7" t="s">
        <v>3873</v>
      </c>
      <c r="E2177" s="7"/>
      <c r="G2177" s="5" t="str">
        <f aca="false">IF(ISNUMBER(FIND("old rod:",A2177)),"old rod:",A2177)</f>
        <v>17, 20, MAGNEMITE</v>
      </c>
      <c r="I2177" s="5" t="s">
        <v>3441</v>
      </c>
    </row>
    <row r="2178" customFormat="false" ht="12.75" hidden="false" customHeight="true" outlineLevel="0" collapsed="false">
      <c r="A2178" s="5" t="s">
        <v>3442</v>
      </c>
      <c r="B2178" s="7" t="n">
        <v>17</v>
      </c>
      <c r="C2178" s="7" t="n">
        <v>20</v>
      </c>
      <c r="D2178" s="7" t="s">
        <v>3874</v>
      </c>
      <c r="E2178" s="7"/>
      <c r="G2178" s="5" t="str">
        <f aca="false">IF(ISNUMBER(FIND("old rod:",A2178)),"old rod:",A2178)</f>
        <v>17, 20, VOLTORB</v>
      </c>
      <c r="I2178" s="5" t="s">
        <v>3442</v>
      </c>
    </row>
    <row r="2179" customFormat="false" ht="12.75" hidden="false" customHeight="true" outlineLevel="0" collapsed="false">
      <c r="A2179" s="5" t="n">
        <v>0.05</v>
      </c>
      <c r="B2179" s="5" t="n">
        <v>0.05</v>
      </c>
      <c r="C2179" s="7"/>
      <c r="D2179" s="7"/>
      <c r="E2179" s="7"/>
      <c r="G2179" s="5" t="n">
        <f aca="false">IF(ISNUMBER(FIND("old rod:",A2179)),"old rod:",A2179)</f>
        <v>0.05</v>
      </c>
      <c r="I2179" s="5" t="n">
        <v>0.05</v>
      </c>
    </row>
    <row r="2180" customFormat="false" ht="12.75" hidden="false" customHeight="true" outlineLevel="0" collapsed="false">
      <c r="A2180" s="5" t="s">
        <v>3443</v>
      </c>
      <c r="B2180" s="7" t="n">
        <v>18</v>
      </c>
      <c r="C2180" s="7" t="n">
        <v>18</v>
      </c>
      <c r="D2180" s="7" t="s">
        <v>3915</v>
      </c>
      <c r="E2180" s="7"/>
      <c r="G2180" s="5" t="str">
        <f aca="false">IF(ISNUMBER(FIND("old rod:",A2180)),"old rod:",A2180)</f>
        <v>18, 18, FARFETCH'D</v>
      </c>
      <c r="I2180" s="5" t="s">
        <v>3443</v>
      </c>
    </row>
    <row r="2181" customFormat="false" ht="12.75" hidden="false" customHeight="true" outlineLevel="0" collapsed="false">
      <c r="A2181" s="5" t="s">
        <v>3444</v>
      </c>
      <c r="B2181" s="7" t="n">
        <v>18</v>
      </c>
      <c r="C2181" s="7" t="n">
        <v>18</v>
      </c>
      <c r="D2181" s="7" t="s">
        <v>3931</v>
      </c>
      <c r="E2181" s="7"/>
      <c r="G2181" s="5" t="str">
        <f aca="false">IF(ISNUMBER(FIND("old rod:",A2181)),"old rod:",A2181)</f>
        <v>18, 18, ABRA</v>
      </c>
      <c r="I2181" s="5" t="s">
        <v>3444</v>
      </c>
    </row>
    <row r="2182" customFormat="false" ht="12.75" hidden="false" customHeight="true" outlineLevel="0" collapsed="false">
      <c r="A2182" s="5" t="n">
        <v>0.04</v>
      </c>
      <c r="B2182" s="5" t="n">
        <v>0.04</v>
      </c>
      <c r="C2182" s="7"/>
      <c r="D2182" s="7"/>
      <c r="E2182" s="7"/>
      <c r="G2182" s="5" t="n">
        <f aca="false">IF(ISNUMBER(FIND("old rod:",A2182)),"old rod:",A2182)</f>
        <v>0.04</v>
      </c>
      <c r="I2182" s="5" t="n">
        <v>0.04</v>
      </c>
    </row>
    <row r="2183" customFormat="false" ht="12.75" hidden="false" customHeight="true" outlineLevel="0" collapsed="false">
      <c r="A2183" s="5" t="s">
        <v>3445</v>
      </c>
      <c r="B2183" s="7" t="n">
        <v>15</v>
      </c>
      <c r="C2183" s="7" t="n">
        <v>19</v>
      </c>
      <c r="D2183" s="7" t="s">
        <v>3734</v>
      </c>
      <c r="E2183" s="7"/>
      <c r="G2183" s="5" t="str">
        <f aca="false">IF(ISNUMBER(FIND("old rod:",A2183)),"old rod:",A2183)</f>
        <v>15, 19, PIKACHU</v>
      </c>
      <c r="I2183" s="5" t="s">
        <v>3445</v>
      </c>
    </row>
    <row r="2184" customFormat="false" ht="12.75" hidden="false" customHeight="true" outlineLevel="0" collapsed="false">
      <c r="A2184" s="5" t="s">
        <v>3446</v>
      </c>
      <c r="B2184" s="7" t="n">
        <v>15</v>
      </c>
      <c r="C2184" s="7" t="n">
        <v>19</v>
      </c>
      <c r="D2184" s="7" t="s">
        <v>3932</v>
      </c>
      <c r="E2184" s="7"/>
      <c r="G2184" s="5" t="str">
        <f aca="false">IF(ISNUMBER(FIND("old rod:",A2184)),"old rod:",A2184)</f>
        <v>15, 19, KADABRA</v>
      </c>
      <c r="I2184" s="5" t="s">
        <v>3446</v>
      </c>
    </row>
    <row r="2185" customFormat="false" ht="12.75" hidden="false" customHeight="true" outlineLevel="0" collapsed="false">
      <c r="A2185" s="5" t="n">
        <v>0.01</v>
      </c>
      <c r="B2185" s="5" t="n">
        <v>0.01</v>
      </c>
      <c r="C2185" s="7"/>
      <c r="D2185" s="7"/>
      <c r="E2185" s="7"/>
      <c r="G2185" s="5" t="n">
        <f aca="false">IF(ISNUMBER(FIND("old rod:",A2185)),"old rod:",A2185)</f>
        <v>0.01</v>
      </c>
      <c r="I2185" s="5" t="n">
        <v>0.01</v>
      </c>
    </row>
    <row r="2186" customFormat="false" ht="12.75" hidden="false" customHeight="true" outlineLevel="0" collapsed="false">
      <c r="A2186" s="5" t="s">
        <v>3447</v>
      </c>
      <c r="B2186" s="7" t="n">
        <v>22</v>
      </c>
      <c r="C2186" s="7" t="n">
        <v>22</v>
      </c>
      <c r="D2186" s="7" t="s">
        <v>3927</v>
      </c>
      <c r="E2186" s="7"/>
      <c r="G2186" s="5" t="str">
        <f aca="false">IF(ISNUMBER(FIND("old rod:",A2186)),"old rod:",A2186)</f>
        <v>22, 22, ARBOK</v>
      </c>
      <c r="I2186" s="5" t="s">
        <v>3447</v>
      </c>
    </row>
    <row r="2187" customFormat="false" ht="12.75" hidden="false" customHeight="true" outlineLevel="0" collapsed="false">
      <c r="A2187" s="5" t="s">
        <v>3448</v>
      </c>
      <c r="B2187" s="7" t="n">
        <v>22</v>
      </c>
      <c r="C2187" s="7" t="n">
        <v>22</v>
      </c>
      <c r="D2187" s="7" t="s">
        <v>3925</v>
      </c>
      <c r="E2187" s="7"/>
      <c r="G2187" s="5" t="str">
        <f aca="false">IF(ISNUMBER(FIND("old rod:",A2187)),"old rod:",A2187)</f>
        <v>22, 22, LICKITUNG</v>
      </c>
      <c r="I2187" s="5" t="s">
        <v>3448</v>
      </c>
    </row>
    <row r="2188" customFormat="false" ht="12.75" hidden="false" customHeight="true" outlineLevel="0" collapsed="false">
      <c r="A2188" s="5" t="s">
        <v>3349</v>
      </c>
      <c r="B2188" s="7" t="n">
        <v>2</v>
      </c>
      <c r="C2188" s="7" t="n">
        <v>38</v>
      </c>
      <c r="D2188" s="7" t="n">
        <v>42</v>
      </c>
      <c r="E2188" s="7" t="s">
        <v>3747</v>
      </c>
      <c r="G2188" s="5" t="str">
        <f aca="false">IF(ISNUMBER(FIND("old rod:",A2188)),"old rod:",A2188)</f>
        <v>2, 38, 42, TENTACOOL</v>
      </c>
      <c r="I2188" s="5" t="s">
        <v>3349</v>
      </c>
    </row>
    <row r="2189" customFormat="false" ht="12.75" hidden="false" customHeight="true" outlineLevel="0" collapsed="false">
      <c r="A2189" s="5" t="s">
        <v>3428</v>
      </c>
      <c r="B2189" s="7" t="n">
        <v>40</v>
      </c>
      <c r="C2189" s="7" t="n">
        <v>44</v>
      </c>
      <c r="D2189" s="7" t="s">
        <v>3897</v>
      </c>
      <c r="E2189" s="7"/>
      <c r="G2189" s="5" t="str">
        <f aca="false">IF(ISNUMBER(FIND("old rod:",A2189)),"old rod:",A2189)</f>
        <v>40, 44, TENTACRUEL</v>
      </c>
      <c r="I2189" s="5" t="s">
        <v>3428</v>
      </c>
    </row>
    <row r="2190" customFormat="false" ht="12.75" hidden="false" customHeight="true" outlineLevel="0" collapsed="false">
      <c r="A2190" s="5" t="s">
        <v>3024</v>
      </c>
      <c r="B2190" s="7" t="n">
        <v>42</v>
      </c>
      <c r="C2190" s="7" t="n">
        <v>46</v>
      </c>
      <c r="D2190" s="7" t="s">
        <v>3860</v>
      </c>
      <c r="E2190" s="7"/>
      <c r="G2190" s="5" t="str">
        <f aca="false">IF(ISNUMBER(FIND("old rod:",A2190)),"old rod:",A2190)</f>
        <v>42, 46, LAPRAS</v>
      </c>
      <c r="I2190" s="5" t="s">
        <v>3024</v>
      </c>
    </row>
    <row r="2191" customFormat="false" ht="12.75" hidden="false" customHeight="true" outlineLevel="0" collapsed="false">
      <c r="A2191" s="5" t="s">
        <v>3429</v>
      </c>
      <c r="B2191" s="7" t="n">
        <v>42</v>
      </c>
      <c r="C2191" s="7" t="n">
        <v>46</v>
      </c>
      <c r="D2191" s="7" t="s">
        <v>3930</v>
      </c>
      <c r="E2191" s="7"/>
      <c r="G2191" s="5" t="str">
        <f aca="false">IF(ISNUMBER(FIND("old rod:",A2191)),"old rod:",A2191)</f>
        <v>42, 46, TENTACATE</v>
      </c>
      <c r="I2191" s="5" t="s">
        <v>3429</v>
      </c>
    </row>
    <row r="2192" customFormat="false" ht="12.75" hidden="false" customHeight="true" outlineLevel="0" collapsed="false">
      <c r="A2192" s="5" t="s">
        <v>3449</v>
      </c>
      <c r="B2192" s="7" t="n">
        <v>44</v>
      </c>
      <c r="C2192" s="7" t="n">
        <v>48</v>
      </c>
      <c r="D2192" s="7" t="s">
        <v>3933</v>
      </c>
      <c r="E2192" s="7"/>
      <c r="G2192" s="5" t="str">
        <f aca="false">IF(ISNUMBER(FIND("old rod:",A2192)),"old rod:",A2192)</f>
        <v>44, 48, LOCHLASS</v>
      </c>
      <c r="I2192" s="5" t="s">
        <v>3449</v>
      </c>
    </row>
    <row r="2193" customFormat="false" ht="12.75" hidden="false" customHeight="true" outlineLevel="0" collapsed="false">
      <c r="A2193" s="5" t="s">
        <v>2925</v>
      </c>
      <c r="B2193" s="7" t="n">
        <v>20</v>
      </c>
      <c r="C2193" s="7" t="s">
        <v>3748</v>
      </c>
      <c r="D2193" s="7"/>
      <c r="E2193" s="7"/>
      <c r="G2193" s="5" t="str">
        <f aca="false">IF(ISNUMBER(FIND("old rod:",A2193)),"old rod:",A2193)</f>
        <v>old rod:</v>
      </c>
      <c r="I2193" s="5" t="s">
        <v>3749</v>
      </c>
    </row>
    <row r="2194" customFormat="false" ht="12.75" hidden="false" customHeight="true" outlineLevel="0" collapsed="false">
      <c r="A2194" s="5" t="s">
        <v>1349</v>
      </c>
      <c r="B2194" s="7" t="n">
        <v>19</v>
      </c>
      <c r="C2194" s="7" t="n">
        <v>26</v>
      </c>
      <c r="D2194" s="7" t="s">
        <v>3750</v>
      </c>
      <c r="E2194" s="7"/>
      <c r="G2194" s="5" t="str">
        <f aca="false">IF(ISNUMBER(FIND("old rod:",A2194)),"old rod:",A2194)</f>
        <v>19, 26, MAGIKARP</v>
      </c>
      <c r="I2194" s="5" t="s">
        <v>1349</v>
      </c>
    </row>
    <row r="2195" customFormat="false" ht="12.75" hidden="false" customHeight="true" outlineLevel="0" collapsed="false">
      <c r="A2195" s="5" t="s">
        <v>3352</v>
      </c>
      <c r="B2195" s="7" t="n">
        <v>19</v>
      </c>
      <c r="C2195" s="7" t="n">
        <v>26</v>
      </c>
      <c r="D2195" s="7" t="s">
        <v>3754</v>
      </c>
      <c r="E2195" s="7"/>
      <c r="G2195" s="5" t="str">
        <f aca="false">IF(ISNUMBER(FIND("old rod:",A2195)),"old rod:",A2195)</f>
        <v>19, 26, GYARADOS</v>
      </c>
      <c r="I2195" s="5" t="s">
        <v>3352</v>
      </c>
    </row>
    <row r="2196" customFormat="false" ht="12.75" hidden="false" customHeight="true" outlineLevel="0" collapsed="false">
      <c r="A2196" s="5" t="s">
        <v>2846</v>
      </c>
      <c r="B2196" s="7" t="s">
        <v>2846</v>
      </c>
      <c r="C2196" s="7"/>
      <c r="D2196" s="7"/>
      <c r="E2196" s="7"/>
      <c r="G2196" s="5" t="str">
        <f aca="false">IF(ISNUMBER(FIND("old rod:",A2196)),"old rod:",A2196)</f>
        <v>good rod:</v>
      </c>
      <c r="I2196" s="5" t="s">
        <v>2846</v>
      </c>
    </row>
    <row r="2197" customFormat="false" ht="12.75" hidden="false" customHeight="true" outlineLevel="0" collapsed="false">
      <c r="A2197" s="5" t="s">
        <v>3430</v>
      </c>
      <c r="B2197" s="7" t="n">
        <v>29</v>
      </c>
      <c r="C2197" s="7" t="n">
        <v>33</v>
      </c>
      <c r="D2197" s="7" t="s">
        <v>3752</v>
      </c>
      <c r="E2197" s="7"/>
      <c r="G2197" s="5" t="str">
        <f aca="false">IF(ISNUMBER(FIND("old rod:",A2197)),"old rod:",A2197)</f>
        <v>29, 33, HORSEA</v>
      </c>
      <c r="I2197" s="5" t="s">
        <v>3430</v>
      </c>
    </row>
    <row r="2198" customFormat="false" ht="12.75" hidden="false" customHeight="true" outlineLevel="0" collapsed="false">
      <c r="A2198" s="5" t="s">
        <v>3450</v>
      </c>
      <c r="B2198" s="7" t="n">
        <v>30</v>
      </c>
      <c r="C2198" s="7" t="n">
        <v>35</v>
      </c>
      <c r="D2198" s="7" t="s">
        <v>3861</v>
      </c>
      <c r="E2198" s="7"/>
      <c r="G2198" s="5" t="str">
        <f aca="false">IF(ISNUMBER(FIND("old rod:",A2198)),"old rod:",A2198)</f>
        <v>30, 35, SHELLDER</v>
      </c>
      <c r="I2198" s="5" t="s">
        <v>3450</v>
      </c>
    </row>
    <row r="2199" customFormat="false" ht="12.75" hidden="false" customHeight="true" outlineLevel="0" collapsed="false">
      <c r="A2199" s="5" t="s">
        <v>3451</v>
      </c>
      <c r="B2199" s="7" t="n">
        <v>30</v>
      </c>
      <c r="C2199" s="7" t="n">
        <v>35</v>
      </c>
      <c r="D2199" s="7" t="s">
        <v>3753</v>
      </c>
      <c r="E2199" s="7"/>
      <c r="G2199" s="5" t="str">
        <f aca="false">IF(ISNUMBER(FIND("old rod:",A2199)),"old rod:",A2199)</f>
        <v>30, 35, STARYU</v>
      </c>
      <c r="I2199" s="5" t="s">
        <v>3451</v>
      </c>
    </row>
    <row r="2200" customFormat="false" ht="12.75" hidden="false" customHeight="true" outlineLevel="0" collapsed="false">
      <c r="A2200" s="5" t="s">
        <v>2850</v>
      </c>
      <c r="B2200" s="7" t="s">
        <v>2850</v>
      </c>
      <c r="C2200" s="7"/>
      <c r="D2200" s="7"/>
      <c r="E2200" s="7"/>
      <c r="G2200" s="5" t="str">
        <f aca="false">IF(ISNUMBER(FIND("old rod:",A2200)),"old rod:",A2200)</f>
        <v>super rod:</v>
      </c>
      <c r="I2200" s="5" t="s">
        <v>2850</v>
      </c>
    </row>
    <row r="2201" customFormat="false" ht="12.75" hidden="false" customHeight="true" outlineLevel="0" collapsed="false">
      <c r="A2201" s="5" t="s">
        <v>3026</v>
      </c>
      <c r="B2201" s="7" t="n">
        <v>29</v>
      </c>
      <c r="C2201" s="7" t="n">
        <v>33</v>
      </c>
      <c r="D2201" s="7" t="s">
        <v>3858</v>
      </c>
      <c r="E2201" s="7"/>
      <c r="G2201" s="5" t="str">
        <f aca="false">IF(ISNUMBER(FIND("old rod:",A2201)),"old rod:",A2201)</f>
        <v>29, 33, SEADRA</v>
      </c>
      <c r="I2201" s="5" t="s">
        <v>3026</v>
      </c>
    </row>
    <row r="2202" customFormat="false" ht="12.75" hidden="false" customHeight="true" outlineLevel="0" collapsed="false">
      <c r="A2202" s="5" t="s">
        <v>3356</v>
      </c>
      <c r="B2202" s="7" t="n">
        <v>36</v>
      </c>
      <c r="C2202" s="7" t="n">
        <v>40</v>
      </c>
      <c r="D2202" s="7" t="s">
        <v>3754</v>
      </c>
      <c r="E2202" s="7"/>
      <c r="G2202" s="5" t="str">
        <f aca="false">IF(ISNUMBER(FIND("old rod:",A2202)),"old rod:",A2202)</f>
        <v>36, 40, GYARADOS</v>
      </c>
      <c r="I2202" s="5" t="s">
        <v>3356</v>
      </c>
    </row>
    <row r="2203" customFormat="false" ht="12.75" hidden="false" customHeight="true" outlineLevel="0" collapsed="false">
      <c r="A2203" s="5" t="s">
        <v>3452</v>
      </c>
      <c r="B2203" s="7" t="n">
        <v>38</v>
      </c>
      <c r="C2203" s="7" t="n">
        <v>42</v>
      </c>
      <c r="D2203" s="7" t="s">
        <v>3934</v>
      </c>
      <c r="E2203" s="7"/>
      <c r="G2203" s="5" t="str">
        <f aca="false">IF(ISNUMBER(FIND("old rod:",A2203)),"old rod:",A2203)</f>
        <v>38, 42, STARMIE</v>
      </c>
      <c r="I2203" s="5" t="s">
        <v>3452</v>
      </c>
    </row>
    <row r="2204" customFormat="false" ht="12.75" hidden="false" customHeight="true" outlineLevel="0" collapsed="false">
      <c r="A2204" s="5" t="s">
        <v>3453</v>
      </c>
      <c r="B2204" s="7" t="n">
        <v>38</v>
      </c>
      <c r="C2204" s="7" t="n">
        <v>42</v>
      </c>
      <c r="D2204" s="7" t="s">
        <v>3841</v>
      </c>
      <c r="E2204" s="7"/>
      <c r="G2204" s="5" t="str">
        <f aca="false">IF(ISNUMBER(FIND("old rod:",A2204)),"old rod:",A2204)</f>
        <v>38, 42, CLOYSTER</v>
      </c>
      <c r="I2204" s="5" t="s">
        <v>3453</v>
      </c>
    </row>
    <row r="2205" customFormat="false" ht="12.75" hidden="false" customHeight="true" outlineLevel="0" collapsed="false">
      <c r="A2205" s="5" t="s">
        <v>3454</v>
      </c>
      <c r="B2205" s="7" t="n">
        <v>38</v>
      </c>
      <c r="C2205" s="7" t="n">
        <v>42</v>
      </c>
      <c r="D2205" s="7" t="s">
        <v>3935</v>
      </c>
      <c r="E2205" s="7"/>
      <c r="G2205" s="5" t="str">
        <f aca="false">IF(ISNUMBER(FIND("old rod:",A2205)),"old rod:",A2205)</f>
        <v>38, 42, STARUS</v>
      </c>
      <c r="I2205" s="5" t="s">
        <v>3454</v>
      </c>
    </row>
    <row r="2206" customFormat="false" ht="12.75" hidden="false" customHeight="true" outlineLevel="0" collapsed="false">
      <c r="A2206" s="5" t="s">
        <v>2536</v>
      </c>
      <c r="B2206" s="7" t="s">
        <v>2536</v>
      </c>
      <c r="C2206" s="7"/>
      <c r="D2206" s="7"/>
      <c r="E2206" s="7"/>
      <c r="G2206" s="5" t="str">
        <f aca="false">IF(ISNUMBER(FIND("old rod:",A2206)),"old rod:",A2206)</f>
        <v>NEW ROUTE</v>
      </c>
      <c r="I2206" s="5" t="s">
        <v>2536</v>
      </c>
    </row>
    <row r="2207" customFormat="false" ht="12.75" hidden="false" customHeight="true" outlineLevel="0" collapsed="false">
      <c r="A2207" s="5" t="s">
        <v>439</v>
      </c>
      <c r="B2207" s="7" t="s">
        <v>439</v>
      </c>
      <c r="C2207" s="7"/>
      <c r="D2207" s="7"/>
      <c r="E2207" s="7"/>
      <c r="G2207" s="5" t="str">
        <f aca="false">IF(ISNUMBER(FIND("old rod:",A2207)),"old rod:",A2207)</f>
        <v>Route 12</v>
      </c>
      <c r="I2207" s="5" t="s">
        <v>439</v>
      </c>
    </row>
    <row r="2208" customFormat="false" ht="12.75" hidden="false" customHeight="true" outlineLevel="0" collapsed="false">
      <c r="A2208" s="5" t="n">
        <v>0.2</v>
      </c>
      <c r="B2208" s="5" t="n">
        <v>0.2</v>
      </c>
      <c r="C2208" s="7"/>
      <c r="D2208" s="7"/>
      <c r="E2208" s="7"/>
      <c r="G2208" s="5" t="n">
        <f aca="false">IF(ISNUMBER(FIND("old rod:",A2208)),"old rod:",A2208)</f>
        <v>0.2</v>
      </c>
      <c r="I2208" s="5" t="n">
        <v>0.2</v>
      </c>
    </row>
    <row r="2209" customFormat="false" ht="12.75" hidden="false" customHeight="true" outlineLevel="0" collapsed="false">
      <c r="A2209" s="5" t="s">
        <v>1930</v>
      </c>
      <c r="B2209" s="7" t="n">
        <v>29</v>
      </c>
      <c r="C2209" s="7" t="n">
        <v>34</v>
      </c>
      <c r="D2209" s="7" t="s">
        <v>3890</v>
      </c>
      <c r="E2209" s="7"/>
      <c r="G2209" s="5" t="str">
        <f aca="false">IF(ISNUMBER(FIND("old rod:",A2209)),"old rod:",A2209)</f>
        <v>29, 34, BELLSPROUT</v>
      </c>
      <c r="I2209" s="5" t="s">
        <v>1930</v>
      </c>
    </row>
    <row r="2210" customFormat="false" ht="12.75" hidden="false" customHeight="true" outlineLevel="0" collapsed="false">
      <c r="A2210" s="5" t="s">
        <v>3456</v>
      </c>
      <c r="B2210" s="7" t="n">
        <v>29</v>
      </c>
      <c r="C2210" s="7" t="n">
        <v>34</v>
      </c>
      <c r="D2210" s="7" t="s">
        <v>3887</v>
      </c>
      <c r="E2210" s="7"/>
      <c r="G2210" s="5" t="str">
        <f aca="false">IF(ISNUMBER(FIND("old rod:",A2210)),"old rod:",A2210)</f>
        <v>29, 34, PIDGEOTTO</v>
      </c>
      <c r="I2210" s="5" t="s">
        <v>3456</v>
      </c>
    </row>
    <row r="2211" customFormat="false" ht="12.75" hidden="false" customHeight="true" outlineLevel="0" collapsed="false">
      <c r="A2211" s="5" t="n">
        <v>0.1</v>
      </c>
      <c r="B2211" s="5" t="n">
        <v>0.1</v>
      </c>
      <c r="C2211" s="7"/>
      <c r="D2211" s="7"/>
      <c r="E2211" s="7"/>
      <c r="G2211" s="5" t="n">
        <f aca="false">IF(ISNUMBER(FIND("old rod:",A2211)),"old rod:",A2211)</f>
        <v>0.1</v>
      </c>
      <c r="I2211" s="5" t="n">
        <v>0.1</v>
      </c>
    </row>
    <row r="2212" customFormat="false" ht="12.75" hidden="false" customHeight="true" outlineLevel="0" collapsed="false">
      <c r="A2212" s="5" t="s">
        <v>3457</v>
      </c>
      <c r="B2212" s="7" t="n">
        <v>29</v>
      </c>
      <c r="C2212" s="7" t="n">
        <v>31</v>
      </c>
      <c r="D2212" s="7" t="s">
        <v>3888</v>
      </c>
      <c r="E2212" s="7"/>
      <c r="G2212" s="5" t="str">
        <f aca="false">IF(ISNUMBER(FIND("old rod:",A2212)),"old rod:",A2212)</f>
        <v>29, 31, WEEPINBELL</v>
      </c>
      <c r="I2212" s="5" t="s">
        <v>3457</v>
      </c>
    </row>
    <row r="2213" customFormat="false" ht="12.75" hidden="false" customHeight="true" outlineLevel="0" collapsed="false">
      <c r="A2213" s="5" t="s">
        <v>3458</v>
      </c>
      <c r="B2213" s="7" t="n">
        <v>29</v>
      </c>
      <c r="C2213" s="7" t="n">
        <v>31</v>
      </c>
      <c r="D2213" s="7" t="s">
        <v>3928</v>
      </c>
      <c r="E2213" s="7"/>
      <c r="G2213" s="5" t="str">
        <f aca="false">IF(ISNUMBER(FIND("old rod:",A2213)),"old rod:",A2213)</f>
        <v>29, 31, DODUO</v>
      </c>
      <c r="I2213" s="5" t="s">
        <v>3458</v>
      </c>
    </row>
    <row r="2214" customFormat="false" ht="12.75" hidden="false" customHeight="true" outlineLevel="0" collapsed="false">
      <c r="A2214" s="5" t="s">
        <v>3459</v>
      </c>
      <c r="B2214" s="7" t="n">
        <v>31</v>
      </c>
      <c r="C2214" s="7" t="n">
        <v>31</v>
      </c>
      <c r="D2214" s="7" t="s">
        <v>3936</v>
      </c>
      <c r="E2214" s="7"/>
      <c r="G2214" s="5" t="str">
        <f aca="false">IF(ISNUMBER(FIND("old rod:",A2214)),"old rod:",A2214)</f>
        <v>31, 31, PIDGEOT</v>
      </c>
      <c r="I2214" s="5" t="s">
        <v>3459</v>
      </c>
    </row>
    <row r="2215" customFormat="false" ht="12.75" hidden="false" customHeight="true" outlineLevel="0" collapsed="false">
      <c r="A2215" s="5" t="s">
        <v>3460</v>
      </c>
      <c r="B2215" s="7" t="n">
        <v>29</v>
      </c>
      <c r="C2215" s="7" t="n">
        <v>31</v>
      </c>
      <c r="D2215" s="7" t="s">
        <v>3892</v>
      </c>
      <c r="E2215" s="7"/>
      <c r="G2215" s="5" t="str">
        <f aca="false">IF(ISNUMBER(FIND("old rod:",A2215)),"old rod:",A2215)</f>
        <v>29, 31, EXEGGCUTE</v>
      </c>
      <c r="I2215" s="5" t="s">
        <v>3460</v>
      </c>
    </row>
    <row r="2216" customFormat="false" ht="12.75" hidden="false" customHeight="true" outlineLevel="0" collapsed="false">
      <c r="A2216" s="5" t="n">
        <v>0.05</v>
      </c>
      <c r="B2216" s="5" t="n">
        <v>0.05</v>
      </c>
      <c r="C2216" s="7"/>
      <c r="D2216" s="7"/>
      <c r="E2216" s="7"/>
      <c r="G2216" s="5" t="n">
        <f aca="false">IF(ISNUMBER(FIND("old rod:",A2216)),"old rod:",A2216)</f>
        <v>0.05</v>
      </c>
      <c r="I2216" s="5" t="n">
        <v>0.05</v>
      </c>
    </row>
    <row r="2217" customFormat="false" ht="12.75" hidden="false" customHeight="true" outlineLevel="0" collapsed="false">
      <c r="A2217" s="5" t="s">
        <v>3461</v>
      </c>
      <c r="B2217" s="7" t="n">
        <v>30</v>
      </c>
      <c r="C2217" s="7" t="n">
        <v>34</v>
      </c>
      <c r="D2217" s="7" t="s">
        <v>3937</v>
      </c>
      <c r="E2217" s="7"/>
      <c r="G2217" s="5" t="str">
        <f aca="false">IF(ISNUMBER(FIND("old rod:",A2217)),"old rod:",A2217)</f>
        <v>30, 34, SCYTHER</v>
      </c>
      <c r="I2217" s="5" t="s">
        <v>3461</v>
      </c>
    </row>
    <row r="2218" customFormat="false" ht="12.75" hidden="false" customHeight="true" outlineLevel="0" collapsed="false">
      <c r="A2218" s="5" t="s">
        <v>3462</v>
      </c>
      <c r="B2218" s="7" t="n">
        <v>30</v>
      </c>
      <c r="C2218" s="7" t="n">
        <v>34</v>
      </c>
      <c r="D2218" s="7" t="s">
        <v>3938</v>
      </c>
      <c r="E2218" s="7"/>
      <c r="G2218" s="5" t="str">
        <f aca="false">IF(ISNUMBER(FIND("old rod:",A2218)),"old rod:",A2218)</f>
        <v>30, 34, JYNX</v>
      </c>
      <c r="I2218" s="5" t="s">
        <v>3462</v>
      </c>
    </row>
    <row r="2219" customFormat="false" ht="12.75" hidden="false" customHeight="true" outlineLevel="0" collapsed="false">
      <c r="A2219" s="5" t="n">
        <v>0.04</v>
      </c>
      <c r="B2219" s="5" t="n">
        <v>0.04</v>
      </c>
      <c r="C2219" s="7"/>
      <c r="D2219" s="7"/>
      <c r="E2219" s="7"/>
      <c r="G2219" s="5" t="n">
        <f aca="false">IF(ISNUMBER(FIND("old rod:",A2219)),"old rod:",A2219)</f>
        <v>0.04</v>
      </c>
      <c r="I2219" s="5" t="n">
        <v>0.04</v>
      </c>
    </row>
    <row r="2220" customFormat="false" ht="12.75" hidden="false" customHeight="true" outlineLevel="0" collapsed="false">
      <c r="A2220" s="5" t="s">
        <v>3463</v>
      </c>
      <c r="B2220" s="7" t="n">
        <v>31</v>
      </c>
      <c r="C2220" s="7" t="n">
        <v>31</v>
      </c>
      <c r="D2220" s="7" t="s">
        <v>3810</v>
      </c>
      <c r="E2220" s="7"/>
      <c r="G2220" s="5" t="str">
        <f aca="false">IF(ISNUMBER(FIND("old rod:",A2220)),"old rod:",A2220)</f>
        <v>31, 31, DODRIO</v>
      </c>
      <c r="I2220" s="5" t="s">
        <v>3463</v>
      </c>
    </row>
    <row r="2221" customFormat="false" ht="12.75" hidden="false" customHeight="true" outlineLevel="0" collapsed="false">
      <c r="A2221" s="5" t="s">
        <v>3464</v>
      </c>
      <c r="B2221" s="7" t="n">
        <v>31</v>
      </c>
      <c r="C2221" s="7" t="n">
        <v>31</v>
      </c>
      <c r="D2221" s="7" t="s">
        <v>3791</v>
      </c>
      <c r="E2221" s="7"/>
      <c r="G2221" s="5" t="str">
        <f aca="false">IF(ISNUMBER(FIND("old rod:",A2221)),"old rod:",A2221)</f>
        <v>31, 31, EXEGGUTOR</v>
      </c>
      <c r="I2221" s="5" t="s">
        <v>3464</v>
      </c>
    </row>
    <row r="2222" customFormat="false" ht="12.75" hidden="false" customHeight="true" outlineLevel="0" collapsed="false">
      <c r="A2222" s="5" t="n">
        <v>0.01</v>
      </c>
      <c r="B2222" s="5" t="n">
        <v>0.01</v>
      </c>
      <c r="C2222" s="7"/>
      <c r="D2222" s="7"/>
      <c r="E2222" s="7"/>
      <c r="G2222" s="5" t="n">
        <f aca="false">IF(ISNUMBER(FIND("old rod:",A2222)),"old rod:",A2222)</f>
        <v>0.01</v>
      </c>
      <c r="I2222" s="5" t="n">
        <v>0.01</v>
      </c>
    </row>
    <row r="2223" customFormat="false" ht="12.75" hidden="false" customHeight="true" outlineLevel="0" collapsed="false">
      <c r="A2223" s="5" t="s">
        <v>3465</v>
      </c>
      <c r="B2223" s="7" t="n">
        <v>29</v>
      </c>
      <c r="C2223" s="7" t="n">
        <v>34</v>
      </c>
      <c r="D2223" s="7" t="s">
        <v>3939</v>
      </c>
      <c r="E2223" s="7"/>
      <c r="G2223" s="5" t="str">
        <f aca="false">IF(ISNUMBER(FIND("old rod:",A2223)),"old rod:",A2223)</f>
        <v>29, 34, VICTREEBEL</v>
      </c>
      <c r="I2223" s="5" t="s">
        <v>3465</v>
      </c>
    </row>
    <row r="2224" customFormat="false" ht="12.75" hidden="false" customHeight="true" outlineLevel="0" collapsed="false">
      <c r="A2224" s="5" t="s">
        <v>3466</v>
      </c>
      <c r="B2224" s="7" t="n">
        <v>20</v>
      </c>
      <c r="C2224" s="7" t="n">
        <v>25</v>
      </c>
      <c r="D2224" s="7" t="s">
        <v>3940</v>
      </c>
      <c r="E2224" s="7"/>
      <c r="G2224" s="5" t="str">
        <f aca="false">IF(ISNUMBER(FIND("old rod:",A2224)),"old rod:",A2224)</f>
        <v>20, 25, SQUIRTLE</v>
      </c>
      <c r="I2224" s="5" t="s">
        <v>3466</v>
      </c>
    </row>
    <row r="2225" customFormat="false" ht="12.75" hidden="false" customHeight="true" outlineLevel="0" collapsed="false">
      <c r="A2225" s="5" t="s">
        <v>3349</v>
      </c>
      <c r="B2225" s="7" t="n">
        <v>2</v>
      </c>
      <c r="C2225" s="7" t="n">
        <v>38</v>
      </c>
      <c r="D2225" s="7" t="n">
        <v>42</v>
      </c>
      <c r="E2225" s="7" t="s">
        <v>3747</v>
      </c>
      <c r="G2225" s="5" t="str">
        <f aca="false">IF(ISNUMBER(FIND("old rod:",A2225)),"old rod:",A2225)</f>
        <v>2, 38, 42, TENTACOOL</v>
      </c>
      <c r="I2225" s="5" t="s">
        <v>3349</v>
      </c>
    </row>
    <row r="2226" customFormat="false" ht="12.75" hidden="false" customHeight="true" outlineLevel="0" collapsed="false">
      <c r="A2226" s="5" t="s">
        <v>3428</v>
      </c>
      <c r="B2226" s="7" t="n">
        <v>40</v>
      </c>
      <c r="C2226" s="7" t="n">
        <v>44</v>
      </c>
      <c r="D2226" s="7" t="s">
        <v>3897</v>
      </c>
      <c r="E2226" s="7"/>
      <c r="G2226" s="5" t="str">
        <f aca="false">IF(ISNUMBER(FIND("old rod:",A2226)),"old rod:",A2226)</f>
        <v>40, 44, TENTACRUEL</v>
      </c>
      <c r="I2226" s="5" t="s">
        <v>3428</v>
      </c>
    </row>
    <row r="2227" customFormat="false" ht="12.75" hidden="false" customHeight="true" outlineLevel="0" collapsed="false">
      <c r="A2227" s="5" t="s">
        <v>3024</v>
      </c>
      <c r="B2227" s="7" t="n">
        <v>42</v>
      </c>
      <c r="C2227" s="7" t="n">
        <v>46</v>
      </c>
      <c r="D2227" s="7" t="s">
        <v>3860</v>
      </c>
      <c r="E2227" s="7"/>
      <c r="G2227" s="5" t="str">
        <f aca="false">IF(ISNUMBER(FIND("old rod:",A2227)),"old rod:",A2227)</f>
        <v>42, 46, LAPRAS</v>
      </c>
      <c r="I2227" s="5" t="s">
        <v>3024</v>
      </c>
    </row>
    <row r="2228" customFormat="false" ht="12.75" hidden="false" customHeight="true" outlineLevel="0" collapsed="false">
      <c r="A2228" s="5" t="s">
        <v>3429</v>
      </c>
      <c r="B2228" s="7" t="n">
        <v>42</v>
      </c>
      <c r="C2228" s="7" t="n">
        <v>46</v>
      </c>
      <c r="D2228" s="7" t="s">
        <v>3930</v>
      </c>
      <c r="E2228" s="7"/>
      <c r="G2228" s="5" t="str">
        <f aca="false">IF(ISNUMBER(FIND("old rod:",A2228)),"old rod:",A2228)</f>
        <v>42, 46, TENTACATE</v>
      </c>
      <c r="I2228" s="5" t="s">
        <v>3429</v>
      </c>
    </row>
    <row r="2229" customFormat="false" ht="12.75" hidden="false" customHeight="true" outlineLevel="0" collapsed="false">
      <c r="A2229" s="5" t="s">
        <v>3449</v>
      </c>
      <c r="B2229" s="7" t="n">
        <v>44</v>
      </c>
      <c r="C2229" s="7" t="n">
        <v>48</v>
      </c>
      <c r="D2229" s="7" t="s">
        <v>3933</v>
      </c>
      <c r="E2229" s="7"/>
      <c r="G2229" s="5" t="str">
        <f aca="false">IF(ISNUMBER(FIND("old rod:",A2229)),"old rod:",A2229)</f>
        <v>44, 48, LOCHLASS</v>
      </c>
      <c r="I2229" s="5" t="s">
        <v>3449</v>
      </c>
    </row>
    <row r="2230" customFormat="false" ht="12.75" hidden="false" customHeight="true" outlineLevel="0" collapsed="false">
      <c r="A2230" s="5" t="s">
        <v>3467</v>
      </c>
      <c r="B2230" s="7" t="n">
        <v>60</v>
      </c>
      <c r="C2230" s="7" t="s">
        <v>3748</v>
      </c>
      <c r="D2230" s="7"/>
      <c r="E2230" s="7"/>
      <c r="G2230" s="5" t="str">
        <f aca="false">IF(ISNUMBER(FIND("old rod:",A2230)),"old rod:",A2230)</f>
        <v>old rod:</v>
      </c>
      <c r="I2230" s="5" t="s">
        <v>3749</v>
      </c>
    </row>
    <row r="2231" customFormat="false" ht="12.75" hidden="false" customHeight="true" outlineLevel="0" collapsed="false">
      <c r="A2231" s="5" t="s">
        <v>1349</v>
      </c>
      <c r="B2231" s="7" t="n">
        <v>19</v>
      </c>
      <c r="C2231" s="7" t="n">
        <v>26</v>
      </c>
      <c r="D2231" s="7" t="s">
        <v>3750</v>
      </c>
      <c r="E2231" s="7"/>
      <c r="G2231" s="5" t="str">
        <f aca="false">IF(ISNUMBER(FIND("old rod:",A2231)),"old rod:",A2231)</f>
        <v>19, 26, MAGIKARP</v>
      </c>
      <c r="I2231" s="5" t="s">
        <v>1349</v>
      </c>
    </row>
    <row r="2232" customFormat="false" ht="12.75" hidden="false" customHeight="true" outlineLevel="0" collapsed="false">
      <c r="A2232" s="5" t="s">
        <v>3352</v>
      </c>
      <c r="B2232" s="7" t="n">
        <v>19</v>
      </c>
      <c r="C2232" s="7" t="n">
        <v>26</v>
      </c>
      <c r="D2232" s="7" t="s">
        <v>3754</v>
      </c>
      <c r="E2232" s="7"/>
      <c r="G2232" s="5" t="str">
        <f aca="false">IF(ISNUMBER(FIND("old rod:",A2232)),"old rod:",A2232)</f>
        <v>19, 26, GYARADOS</v>
      </c>
      <c r="I2232" s="5" t="s">
        <v>3352</v>
      </c>
    </row>
    <row r="2233" customFormat="false" ht="12.75" hidden="false" customHeight="true" outlineLevel="0" collapsed="false">
      <c r="A2233" s="5" t="s">
        <v>2846</v>
      </c>
      <c r="B2233" s="7" t="s">
        <v>2846</v>
      </c>
      <c r="C2233" s="7"/>
      <c r="D2233" s="7"/>
      <c r="E2233" s="7"/>
      <c r="G2233" s="5" t="str">
        <f aca="false">IF(ISNUMBER(FIND("old rod:",A2233)),"old rod:",A2233)</f>
        <v>good rod:</v>
      </c>
      <c r="I2233" s="5" t="s">
        <v>2846</v>
      </c>
    </row>
    <row r="2234" customFormat="false" ht="12.75" hidden="false" customHeight="true" outlineLevel="0" collapsed="false">
      <c r="A2234" s="5" t="s">
        <v>3430</v>
      </c>
      <c r="B2234" s="7" t="n">
        <v>29</v>
      </c>
      <c r="C2234" s="7" t="n">
        <v>33</v>
      </c>
      <c r="D2234" s="7" t="s">
        <v>3752</v>
      </c>
      <c r="E2234" s="7"/>
      <c r="G2234" s="5" t="str">
        <f aca="false">IF(ISNUMBER(FIND("old rod:",A2234)),"old rod:",A2234)</f>
        <v>29, 33, HORSEA</v>
      </c>
      <c r="I2234" s="5" t="s">
        <v>3430</v>
      </c>
    </row>
    <row r="2235" customFormat="false" ht="12.75" hidden="false" customHeight="true" outlineLevel="0" collapsed="false">
      <c r="A2235" s="5" t="s">
        <v>3027</v>
      </c>
      <c r="B2235" s="7" t="n">
        <v>30</v>
      </c>
      <c r="C2235" s="7" t="n">
        <v>35</v>
      </c>
      <c r="D2235" s="7" t="s">
        <v>3751</v>
      </c>
      <c r="E2235" s="7"/>
      <c r="G2235" s="5" t="str">
        <f aca="false">IF(ISNUMBER(FIND("old rod:",A2235)),"old rod:",A2235)</f>
        <v>30, 35, KRABBY</v>
      </c>
      <c r="I2235" s="5" t="s">
        <v>3027</v>
      </c>
    </row>
    <row r="2236" customFormat="false" ht="12.75" hidden="false" customHeight="true" outlineLevel="0" collapsed="false">
      <c r="A2236" s="5" t="s">
        <v>3354</v>
      </c>
      <c r="B2236" s="7" t="n">
        <v>30</v>
      </c>
      <c r="C2236" s="7" t="n">
        <v>35</v>
      </c>
      <c r="D2236" s="7" t="s">
        <v>3799</v>
      </c>
      <c r="E2236" s="7"/>
      <c r="G2236" s="5" t="str">
        <f aca="false">IF(ISNUMBER(FIND("old rod:",A2236)),"old rod:",A2236)</f>
        <v>30, 35, PSYDUCK</v>
      </c>
      <c r="I2236" s="5" t="s">
        <v>3354</v>
      </c>
    </row>
    <row r="2237" customFormat="false" ht="12.75" hidden="false" customHeight="true" outlineLevel="0" collapsed="false">
      <c r="A2237" s="5" t="s">
        <v>2850</v>
      </c>
      <c r="B2237" s="7" t="s">
        <v>2850</v>
      </c>
      <c r="C2237" s="7"/>
      <c r="D2237" s="7"/>
      <c r="E2237" s="7"/>
      <c r="G2237" s="5" t="str">
        <f aca="false">IF(ISNUMBER(FIND("old rod:",A2237)),"old rod:",A2237)</f>
        <v>super rod:</v>
      </c>
      <c r="I2237" s="5" t="s">
        <v>2850</v>
      </c>
    </row>
    <row r="2238" customFormat="false" ht="12.75" hidden="false" customHeight="true" outlineLevel="0" collapsed="false">
      <c r="A2238" s="5" t="s">
        <v>3432</v>
      </c>
      <c r="B2238" s="7" t="n">
        <v>36</v>
      </c>
      <c r="C2238" s="7" t="n">
        <v>40</v>
      </c>
      <c r="D2238" s="7" t="s">
        <v>3858</v>
      </c>
      <c r="E2238" s="7"/>
      <c r="G2238" s="5" t="str">
        <f aca="false">IF(ISNUMBER(FIND("old rod:",A2238)),"old rod:",A2238)</f>
        <v>36, 40, SEADRA</v>
      </c>
      <c r="I2238" s="5" t="s">
        <v>3432</v>
      </c>
    </row>
    <row r="2239" customFormat="false" ht="12.75" hidden="false" customHeight="true" outlineLevel="0" collapsed="false">
      <c r="A2239" s="5" t="s">
        <v>3356</v>
      </c>
      <c r="B2239" s="7" t="n">
        <v>36</v>
      </c>
      <c r="C2239" s="7" t="n">
        <v>40</v>
      </c>
      <c r="D2239" s="7" t="s">
        <v>3754</v>
      </c>
      <c r="E2239" s="7"/>
      <c r="G2239" s="5" t="str">
        <f aca="false">IF(ISNUMBER(FIND("old rod:",A2239)),"old rod:",A2239)</f>
        <v>36, 40, GYARADOS</v>
      </c>
      <c r="I2239" s="5" t="s">
        <v>3356</v>
      </c>
    </row>
    <row r="2240" customFormat="false" ht="12.75" hidden="false" customHeight="true" outlineLevel="0" collapsed="false">
      <c r="A2240" s="5" t="s">
        <v>3357</v>
      </c>
      <c r="B2240" s="7" t="n">
        <v>38</v>
      </c>
      <c r="C2240" s="7" t="n">
        <v>42</v>
      </c>
      <c r="D2240" s="7" t="s">
        <v>3801</v>
      </c>
      <c r="E2240" s="7"/>
      <c r="G2240" s="5" t="str">
        <f aca="false">IF(ISNUMBER(FIND("old rod:",A2240)),"old rod:",A2240)</f>
        <v>38, 42, GOLDUCK</v>
      </c>
      <c r="I2240" s="5" t="s">
        <v>3357</v>
      </c>
    </row>
    <row r="2241" customFormat="false" ht="12.75" hidden="false" customHeight="true" outlineLevel="0" collapsed="false">
      <c r="A2241" s="5" t="s">
        <v>3358</v>
      </c>
      <c r="B2241" s="7" t="n">
        <v>38</v>
      </c>
      <c r="C2241" s="7" t="n">
        <v>42</v>
      </c>
      <c r="D2241" s="7" t="s">
        <v>3859</v>
      </c>
      <c r="E2241" s="7"/>
      <c r="G2241" s="5" t="str">
        <f aca="false">IF(ISNUMBER(FIND("old rod:",A2241)),"old rod:",A2241)</f>
        <v>38, 42, KINGLER</v>
      </c>
      <c r="I2241" s="5" t="s">
        <v>3358</v>
      </c>
    </row>
    <row r="2242" customFormat="false" ht="12.75" hidden="false" customHeight="true" outlineLevel="0" collapsed="false">
      <c r="A2242" s="5" t="s">
        <v>3436</v>
      </c>
      <c r="B2242" s="7" t="n">
        <v>40</v>
      </c>
      <c r="C2242" s="7" t="n">
        <v>44</v>
      </c>
      <c r="D2242" s="7" t="s">
        <v>3854</v>
      </c>
      <c r="E2242" s="7"/>
      <c r="G2242" s="5" t="str">
        <f aca="false">IF(ISNUMBER(FIND("old rod:",A2242)),"old rod:",A2242)</f>
        <v>40, 44, GILDUCK</v>
      </c>
      <c r="I2242" s="5" t="s">
        <v>3436</v>
      </c>
    </row>
    <row r="2243" customFormat="false" ht="12.75" hidden="false" customHeight="true" outlineLevel="0" collapsed="false">
      <c r="A2243" s="5" t="s">
        <v>2536</v>
      </c>
      <c r="B2243" s="7" t="s">
        <v>2536</v>
      </c>
      <c r="C2243" s="7"/>
      <c r="D2243" s="7"/>
      <c r="E2243" s="7"/>
      <c r="G2243" s="5" t="str">
        <f aca="false">IF(ISNUMBER(FIND("old rod:",A2243)),"old rod:",A2243)</f>
        <v>NEW ROUTE</v>
      </c>
      <c r="I2243" s="5" t="s">
        <v>2536</v>
      </c>
    </row>
    <row r="2244" customFormat="false" ht="12.75" hidden="false" customHeight="true" outlineLevel="0" collapsed="false">
      <c r="A2244" s="5" t="s">
        <v>441</v>
      </c>
      <c r="B2244" s="7" t="s">
        <v>441</v>
      </c>
      <c r="C2244" s="7"/>
      <c r="D2244" s="7"/>
      <c r="E2244" s="7"/>
      <c r="G2244" s="5" t="str">
        <f aca="false">IF(ISNUMBER(FIND("old rod:",A2244)),"old rod:",A2244)</f>
        <v>Route 13</v>
      </c>
      <c r="I2244" s="5" t="s">
        <v>441</v>
      </c>
    </row>
    <row r="2245" customFormat="false" ht="12.75" hidden="false" customHeight="true" outlineLevel="0" collapsed="false">
      <c r="A2245" s="5" t="n">
        <v>0.2</v>
      </c>
      <c r="B2245" s="5" t="n">
        <v>0.2</v>
      </c>
      <c r="C2245" s="7"/>
      <c r="D2245" s="7"/>
      <c r="E2245" s="7"/>
      <c r="G2245" s="5" t="n">
        <f aca="false">IF(ISNUMBER(FIND("old rod:",A2245)),"old rod:",A2245)</f>
        <v>0.2</v>
      </c>
      <c r="I2245" s="5" t="n">
        <v>0.2</v>
      </c>
    </row>
    <row r="2246" customFormat="false" ht="12.75" hidden="false" customHeight="true" outlineLevel="0" collapsed="false">
      <c r="A2246" s="5" t="s">
        <v>1944</v>
      </c>
      <c r="B2246" s="7" t="n">
        <v>30</v>
      </c>
      <c r="C2246" s="7" t="n">
        <v>35</v>
      </c>
      <c r="D2246" s="7" t="s">
        <v>3890</v>
      </c>
      <c r="E2246" s="7"/>
      <c r="G2246" s="5" t="str">
        <f aca="false">IF(ISNUMBER(FIND("old rod:",A2246)),"old rod:",A2246)</f>
        <v>30, 35, BELLSPROUT</v>
      </c>
      <c r="I2246" s="5" t="s">
        <v>1944</v>
      </c>
    </row>
    <row r="2247" customFormat="false" ht="12.75" hidden="false" customHeight="true" outlineLevel="0" collapsed="false">
      <c r="A2247" s="5" t="s">
        <v>3469</v>
      </c>
      <c r="B2247" s="7" t="n">
        <v>30</v>
      </c>
      <c r="C2247" s="7" t="n">
        <v>35</v>
      </c>
      <c r="D2247" s="7" t="s">
        <v>3887</v>
      </c>
      <c r="E2247" s="7"/>
      <c r="G2247" s="5" t="str">
        <f aca="false">IF(ISNUMBER(FIND("old rod:",A2247)),"old rod:",A2247)</f>
        <v>30, 35, PIDGEOTTO</v>
      </c>
      <c r="I2247" s="5" t="s">
        <v>3469</v>
      </c>
    </row>
    <row r="2248" customFormat="false" ht="12.75" hidden="false" customHeight="true" outlineLevel="0" collapsed="false">
      <c r="A2248" s="5" t="n">
        <v>0.1</v>
      </c>
      <c r="B2248" s="5" t="n">
        <v>0.1</v>
      </c>
      <c r="C2248" s="7"/>
      <c r="D2248" s="7"/>
      <c r="E2248" s="7"/>
      <c r="G2248" s="5" t="n">
        <f aca="false">IF(ISNUMBER(FIND("old rod:",A2248)),"old rod:",A2248)</f>
        <v>0.1</v>
      </c>
      <c r="I2248" s="5" t="n">
        <v>0.1</v>
      </c>
    </row>
    <row r="2249" customFormat="false" ht="12.75" hidden="false" customHeight="true" outlineLevel="0" collapsed="false">
      <c r="A2249" s="5" t="s">
        <v>3470</v>
      </c>
      <c r="B2249" s="7" t="n">
        <v>30</v>
      </c>
      <c r="C2249" s="7" t="n">
        <v>32</v>
      </c>
      <c r="D2249" s="7" t="s">
        <v>3888</v>
      </c>
      <c r="E2249" s="7"/>
      <c r="G2249" s="5" t="str">
        <f aca="false">IF(ISNUMBER(FIND("old rod:",A2249)),"old rod:",A2249)</f>
        <v>30, 32, WEEPINBELL</v>
      </c>
      <c r="I2249" s="5" t="s">
        <v>3470</v>
      </c>
    </row>
    <row r="2250" customFormat="false" ht="12.75" hidden="false" customHeight="true" outlineLevel="0" collapsed="false">
      <c r="A2250" s="5" t="s">
        <v>3471</v>
      </c>
      <c r="B2250" s="7" t="n">
        <v>30</v>
      </c>
      <c r="C2250" s="7" t="n">
        <v>32</v>
      </c>
      <c r="D2250" s="7" t="s">
        <v>3928</v>
      </c>
      <c r="E2250" s="7"/>
      <c r="G2250" s="5" t="str">
        <f aca="false">IF(ISNUMBER(FIND("old rod:",A2250)),"old rod:",A2250)</f>
        <v>30, 32, DODUO</v>
      </c>
      <c r="I2250" s="5" t="s">
        <v>3471</v>
      </c>
    </row>
    <row r="2251" customFormat="false" ht="12.75" hidden="false" customHeight="true" outlineLevel="0" collapsed="false">
      <c r="A2251" s="5" t="s">
        <v>3472</v>
      </c>
      <c r="B2251" s="7" t="n">
        <v>32</v>
      </c>
      <c r="C2251" s="7" t="n">
        <v>32</v>
      </c>
      <c r="D2251" s="7" t="s">
        <v>3936</v>
      </c>
      <c r="E2251" s="7"/>
      <c r="G2251" s="5" t="str">
        <f aca="false">IF(ISNUMBER(FIND("old rod:",A2251)),"old rod:",A2251)</f>
        <v>32, 32, PIDGEOT</v>
      </c>
      <c r="I2251" s="5" t="s">
        <v>3472</v>
      </c>
    </row>
    <row r="2252" customFormat="false" ht="12.75" hidden="false" customHeight="true" outlineLevel="0" collapsed="false">
      <c r="A2252" s="5" t="s">
        <v>3473</v>
      </c>
      <c r="B2252" s="7" t="n">
        <v>30</v>
      </c>
      <c r="C2252" s="7" t="n">
        <v>32</v>
      </c>
      <c r="D2252" s="7" t="s">
        <v>3892</v>
      </c>
      <c r="E2252" s="7"/>
      <c r="G2252" s="5" t="str">
        <f aca="false">IF(ISNUMBER(FIND("old rod:",A2252)),"old rod:",A2252)</f>
        <v>30, 32, EXEGGCUTE</v>
      </c>
      <c r="I2252" s="5" t="s">
        <v>3473</v>
      </c>
    </row>
    <row r="2253" customFormat="false" ht="12.75" hidden="false" customHeight="true" outlineLevel="0" collapsed="false">
      <c r="A2253" s="5" t="n">
        <v>0.05</v>
      </c>
      <c r="B2253" s="5" t="n">
        <v>0.05</v>
      </c>
      <c r="C2253" s="7"/>
      <c r="D2253" s="7"/>
      <c r="E2253" s="7"/>
      <c r="G2253" s="5" t="n">
        <f aca="false">IF(ISNUMBER(FIND("old rod:",A2253)),"old rod:",A2253)</f>
        <v>0.05</v>
      </c>
      <c r="I2253" s="5" t="n">
        <v>0.05</v>
      </c>
    </row>
    <row r="2254" customFormat="false" ht="12.75" hidden="false" customHeight="true" outlineLevel="0" collapsed="false">
      <c r="A2254" s="5" t="s">
        <v>3474</v>
      </c>
      <c r="B2254" s="7" t="n">
        <v>31</v>
      </c>
      <c r="C2254" s="7" t="n">
        <v>35</v>
      </c>
      <c r="D2254" s="7" t="s">
        <v>3937</v>
      </c>
      <c r="E2254" s="7"/>
      <c r="G2254" s="5" t="str">
        <f aca="false">IF(ISNUMBER(FIND("old rod:",A2254)),"old rod:",A2254)</f>
        <v>31, 35, SCYTHER</v>
      </c>
      <c r="I2254" s="5" t="s">
        <v>3474</v>
      </c>
    </row>
    <row r="2255" customFormat="false" ht="12.75" hidden="false" customHeight="true" outlineLevel="0" collapsed="false">
      <c r="A2255" s="5" t="s">
        <v>3475</v>
      </c>
      <c r="B2255" s="7" t="n">
        <v>31</v>
      </c>
      <c r="C2255" s="7" t="n">
        <v>35</v>
      </c>
      <c r="D2255" s="7" t="s">
        <v>3938</v>
      </c>
      <c r="E2255" s="7"/>
      <c r="G2255" s="5" t="str">
        <f aca="false">IF(ISNUMBER(FIND("old rod:",A2255)),"old rod:",A2255)</f>
        <v>31, 35, JYNX</v>
      </c>
      <c r="I2255" s="5" t="s">
        <v>3475</v>
      </c>
    </row>
    <row r="2256" customFormat="false" ht="12.75" hidden="false" customHeight="true" outlineLevel="0" collapsed="false">
      <c r="A2256" s="5" t="n">
        <v>0.04</v>
      </c>
      <c r="B2256" s="5" t="n">
        <v>0.04</v>
      </c>
      <c r="C2256" s="7"/>
      <c r="D2256" s="7"/>
      <c r="E2256" s="7"/>
      <c r="G2256" s="5" t="n">
        <f aca="false">IF(ISNUMBER(FIND("old rod:",A2256)),"old rod:",A2256)</f>
        <v>0.04</v>
      </c>
      <c r="I2256" s="5" t="n">
        <v>0.04</v>
      </c>
    </row>
    <row r="2257" customFormat="false" ht="12.75" hidden="false" customHeight="true" outlineLevel="0" collapsed="false">
      <c r="A2257" s="5" t="s">
        <v>3476</v>
      </c>
      <c r="B2257" s="7" t="n">
        <v>32</v>
      </c>
      <c r="C2257" s="7" t="n">
        <v>32</v>
      </c>
      <c r="D2257" s="7" t="s">
        <v>3810</v>
      </c>
      <c r="E2257" s="7"/>
      <c r="G2257" s="5" t="str">
        <f aca="false">IF(ISNUMBER(FIND("old rod:",A2257)),"old rod:",A2257)</f>
        <v>32, 32, DODRIO</v>
      </c>
      <c r="I2257" s="5" t="s">
        <v>3476</v>
      </c>
    </row>
    <row r="2258" customFormat="false" ht="12.75" hidden="false" customHeight="true" outlineLevel="0" collapsed="false">
      <c r="A2258" s="5" t="s">
        <v>3477</v>
      </c>
      <c r="B2258" s="7" t="n">
        <v>32</v>
      </c>
      <c r="C2258" s="7" t="n">
        <v>32</v>
      </c>
      <c r="D2258" s="7" t="s">
        <v>3791</v>
      </c>
      <c r="E2258" s="7"/>
      <c r="G2258" s="5" t="str">
        <f aca="false">IF(ISNUMBER(FIND("old rod:",A2258)),"old rod:",A2258)</f>
        <v>32, 32, EXEGGUTOR</v>
      </c>
      <c r="I2258" s="5" t="s">
        <v>3477</v>
      </c>
    </row>
    <row r="2259" customFormat="false" ht="12.75" hidden="false" customHeight="true" outlineLevel="0" collapsed="false">
      <c r="A2259" s="5" t="n">
        <v>0.01</v>
      </c>
      <c r="B2259" s="5" t="n">
        <v>0.01</v>
      </c>
      <c r="C2259" s="7"/>
      <c r="D2259" s="7"/>
      <c r="E2259" s="7"/>
      <c r="G2259" s="5" t="n">
        <f aca="false">IF(ISNUMBER(FIND("old rod:",A2259)),"old rod:",A2259)</f>
        <v>0.01</v>
      </c>
      <c r="I2259" s="5" t="n">
        <v>0.01</v>
      </c>
    </row>
    <row r="2260" customFormat="false" ht="12.75" hidden="false" customHeight="true" outlineLevel="0" collapsed="false">
      <c r="A2260" s="5" t="s">
        <v>3478</v>
      </c>
      <c r="B2260" s="7" t="n">
        <v>30</v>
      </c>
      <c r="C2260" s="7" t="n">
        <v>35</v>
      </c>
      <c r="D2260" s="7" t="s">
        <v>3939</v>
      </c>
      <c r="E2260" s="7"/>
      <c r="G2260" s="5" t="str">
        <f aca="false">IF(ISNUMBER(FIND("old rod:",A2260)),"old rod:",A2260)</f>
        <v>30, 35, VICTREEBEL</v>
      </c>
      <c r="I2260" s="5" t="s">
        <v>3478</v>
      </c>
    </row>
    <row r="2261" customFormat="false" ht="12.75" hidden="false" customHeight="true" outlineLevel="0" collapsed="false">
      <c r="A2261" s="5" t="s">
        <v>3466</v>
      </c>
      <c r="B2261" s="7" t="n">
        <v>20</v>
      </c>
      <c r="C2261" s="7" t="n">
        <v>25</v>
      </c>
      <c r="D2261" s="7" t="s">
        <v>3940</v>
      </c>
      <c r="E2261" s="7"/>
      <c r="G2261" s="5" t="str">
        <f aca="false">IF(ISNUMBER(FIND("old rod:",A2261)),"old rod:",A2261)</f>
        <v>20, 25, SQUIRTLE</v>
      </c>
      <c r="I2261" s="5" t="s">
        <v>3466</v>
      </c>
    </row>
    <row r="2262" customFormat="false" ht="12.75" hidden="false" customHeight="true" outlineLevel="0" collapsed="false">
      <c r="A2262" s="5" t="s">
        <v>3349</v>
      </c>
      <c r="B2262" s="7" t="n">
        <v>2</v>
      </c>
      <c r="C2262" s="7" t="n">
        <v>38</v>
      </c>
      <c r="D2262" s="7" t="n">
        <v>42</v>
      </c>
      <c r="E2262" s="7" t="s">
        <v>3747</v>
      </c>
      <c r="G2262" s="5" t="str">
        <f aca="false">IF(ISNUMBER(FIND("old rod:",A2262)),"old rod:",A2262)</f>
        <v>2, 38, 42, TENTACOOL</v>
      </c>
      <c r="I2262" s="5" t="s">
        <v>3349</v>
      </c>
    </row>
    <row r="2263" customFormat="false" ht="12.75" hidden="false" customHeight="true" outlineLevel="0" collapsed="false">
      <c r="A2263" s="5" t="s">
        <v>3428</v>
      </c>
      <c r="B2263" s="7" t="n">
        <v>40</v>
      </c>
      <c r="C2263" s="7" t="n">
        <v>44</v>
      </c>
      <c r="D2263" s="7" t="s">
        <v>3897</v>
      </c>
      <c r="E2263" s="7"/>
      <c r="G2263" s="5" t="str">
        <f aca="false">IF(ISNUMBER(FIND("old rod:",A2263)),"old rod:",A2263)</f>
        <v>40, 44, TENTACRUEL</v>
      </c>
      <c r="I2263" s="5" t="s">
        <v>3428</v>
      </c>
    </row>
    <row r="2264" customFormat="false" ht="12.75" hidden="false" customHeight="true" outlineLevel="0" collapsed="false">
      <c r="A2264" s="5" t="s">
        <v>3024</v>
      </c>
      <c r="B2264" s="7" t="n">
        <v>42</v>
      </c>
      <c r="C2264" s="7" t="n">
        <v>46</v>
      </c>
      <c r="D2264" s="7" t="s">
        <v>3860</v>
      </c>
      <c r="E2264" s="7"/>
      <c r="G2264" s="5" t="str">
        <f aca="false">IF(ISNUMBER(FIND("old rod:",A2264)),"old rod:",A2264)</f>
        <v>42, 46, LAPRAS</v>
      </c>
      <c r="I2264" s="5" t="s">
        <v>3024</v>
      </c>
    </row>
    <row r="2265" customFormat="false" ht="12.75" hidden="false" customHeight="true" outlineLevel="0" collapsed="false">
      <c r="A2265" s="5" t="s">
        <v>3429</v>
      </c>
      <c r="B2265" s="7" t="n">
        <v>42</v>
      </c>
      <c r="C2265" s="7" t="n">
        <v>46</v>
      </c>
      <c r="D2265" s="7" t="s">
        <v>3930</v>
      </c>
      <c r="E2265" s="7"/>
      <c r="G2265" s="5" t="str">
        <f aca="false">IF(ISNUMBER(FIND("old rod:",A2265)),"old rod:",A2265)</f>
        <v>42, 46, TENTACATE</v>
      </c>
      <c r="I2265" s="5" t="s">
        <v>3429</v>
      </c>
    </row>
    <row r="2266" customFormat="false" ht="12.75" hidden="false" customHeight="true" outlineLevel="0" collapsed="false">
      <c r="A2266" s="5" t="s">
        <v>3449</v>
      </c>
      <c r="B2266" s="7" t="n">
        <v>44</v>
      </c>
      <c r="C2266" s="7" t="n">
        <v>48</v>
      </c>
      <c r="D2266" s="7" t="s">
        <v>3933</v>
      </c>
      <c r="E2266" s="7"/>
      <c r="G2266" s="5" t="str">
        <f aca="false">IF(ISNUMBER(FIND("old rod:",A2266)),"old rod:",A2266)</f>
        <v>44, 48, LOCHLASS</v>
      </c>
      <c r="I2266" s="5" t="s">
        <v>3449</v>
      </c>
    </row>
    <row r="2267" customFormat="false" ht="12.75" hidden="false" customHeight="true" outlineLevel="0" collapsed="false">
      <c r="A2267" s="5" t="s">
        <v>2925</v>
      </c>
      <c r="B2267" s="7" t="n">
        <v>20</v>
      </c>
      <c r="C2267" s="7" t="s">
        <v>3748</v>
      </c>
      <c r="D2267" s="7"/>
      <c r="E2267" s="7"/>
      <c r="G2267" s="5" t="str">
        <f aca="false">IF(ISNUMBER(FIND("old rod:",A2267)),"old rod:",A2267)</f>
        <v>old rod:</v>
      </c>
      <c r="I2267" s="5" t="s">
        <v>3749</v>
      </c>
    </row>
    <row r="2268" customFormat="false" ht="12.75" hidden="false" customHeight="true" outlineLevel="0" collapsed="false">
      <c r="A2268" s="5" t="s">
        <v>1349</v>
      </c>
      <c r="B2268" s="7" t="n">
        <v>19</v>
      </c>
      <c r="C2268" s="7" t="n">
        <v>26</v>
      </c>
      <c r="D2268" s="7" t="s">
        <v>3750</v>
      </c>
      <c r="E2268" s="7"/>
      <c r="G2268" s="5" t="str">
        <f aca="false">IF(ISNUMBER(FIND("old rod:",A2268)),"old rod:",A2268)</f>
        <v>19, 26, MAGIKARP</v>
      </c>
      <c r="I2268" s="5" t="s">
        <v>1349</v>
      </c>
    </row>
    <row r="2269" customFormat="false" ht="12.75" hidden="false" customHeight="true" outlineLevel="0" collapsed="false">
      <c r="A2269" s="5" t="s">
        <v>3352</v>
      </c>
      <c r="B2269" s="7" t="n">
        <v>19</v>
      </c>
      <c r="C2269" s="7" t="n">
        <v>26</v>
      </c>
      <c r="D2269" s="7" t="s">
        <v>3754</v>
      </c>
      <c r="E2269" s="7"/>
      <c r="G2269" s="5" t="str">
        <f aca="false">IF(ISNUMBER(FIND("old rod:",A2269)),"old rod:",A2269)</f>
        <v>19, 26, GYARADOS</v>
      </c>
      <c r="I2269" s="5" t="s">
        <v>3352</v>
      </c>
    </row>
    <row r="2270" customFormat="false" ht="12.75" hidden="false" customHeight="true" outlineLevel="0" collapsed="false">
      <c r="A2270" s="5" t="s">
        <v>2846</v>
      </c>
      <c r="B2270" s="7" t="s">
        <v>2846</v>
      </c>
      <c r="C2270" s="7"/>
      <c r="D2270" s="7"/>
      <c r="E2270" s="7"/>
      <c r="G2270" s="5" t="str">
        <f aca="false">IF(ISNUMBER(FIND("old rod:",A2270)),"old rod:",A2270)</f>
        <v>good rod:</v>
      </c>
      <c r="I2270" s="5" t="s">
        <v>2846</v>
      </c>
    </row>
    <row r="2271" customFormat="false" ht="12.75" hidden="false" customHeight="true" outlineLevel="0" collapsed="false">
      <c r="A2271" s="5" t="s">
        <v>3430</v>
      </c>
      <c r="B2271" s="7" t="n">
        <v>29</v>
      </c>
      <c r="C2271" s="7" t="n">
        <v>33</v>
      </c>
      <c r="D2271" s="7" t="s">
        <v>3752</v>
      </c>
      <c r="E2271" s="7"/>
      <c r="G2271" s="5" t="str">
        <f aca="false">IF(ISNUMBER(FIND("old rod:",A2271)),"old rod:",A2271)</f>
        <v>29, 33, HORSEA</v>
      </c>
      <c r="I2271" s="5" t="s">
        <v>3430</v>
      </c>
    </row>
    <row r="2272" customFormat="false" ht="12.75" hidden="false" customHeight="true" outlineLevel="0" collapsed="false">
      <c r="A2272" s="5" t="s">
        <v>3027</v>
      </c>
      <c r="B2272" s="7" t="n">
        <v>30</v>
      </c>
      <c r="C2272" s="7" t="n">
        <v>35</v>
      </c>
      <c r="D2272" s="7" t="s">
        <v>3751</v>
      </c>
      <c r="E2272" s="7"/>
      <c r="G2272" s="5" t="str">
        <f aca="false">IF(ISNUMBER(FIND("old rod:",A2272)),"old rod:",A2272)</f>
        <v>30, 35, KRABBY</v>
      </c>
      <c r="I2272" s="5" t="s">
        <v>3027</v>
      </c>
    </row>
    <row r="2273" customFormat="false" ht="12.75" hidden="false" customHeight="true" outlineLevel="0" collapsed="false">
      <c r="A2273" s="5" t="s">
        <v>3354</v>
      </c>
      <c r="B2273" s="7" t="n">
        <v>30</v>
      </c>
      <c r="C2273" s="7" t="n">
        <v>35</v>
      </c>
      <c r="D2273" s="7" t="s">
        <v>3799</v>
      </c>
      <c r="E2273" s="7"/>
      <c r="G2273" s="5" t="str">
        <f aca="false">IF(ISNUMBER(FIND("old rod:",A2273)),"old rod:",A2273)</f>
        <v>30, 35, PSYDUCK</v>
      </c>
      <c r="I2273" s="5" t="s">
        <v>3354</v>
      </c>
    </row>
    <row r="2274" customFormat="false" ht="12.75" hidden="false" customHeight="true" outlineLevel="0" collapsed="false">
      <c r="A2274" s="5" t="s">
        <v>2850</v>
      </c>
      <c r="B2274" s="7" t="s">
        <v>2850</v>
      </c>
      <c r="C2274" s="7"/>
      <c r="D2274" s="7"/>
      <c r="E2274" s="7"/>
      <c r="G2274" s="5" t="str">
        <f aca="false">IF(ISNUMBER(FIND("old rod:",A2274)),"old rod:",A2274)</f>
        <v>super rod:</v>
      </c>
      <c r="I2274" s="5" t="s">
        <v>2850</v>
      </c>
    </row>
    <row r="2275" customFormat="false" ht="12.75" hidden="false" customHeight="true" outlineLevel="0" collapsed="false">
      <c r="A2275" s="5" t="s">
        <v>3432</v>
      </c>
      <c r="B2275" s="7" t="n">
        <v>36</v>
      </c>
      <c r="C2275" s="7" t="n">
        <v>40</v>
      </c>
      <c r="D2275" s="7" t="s">
        <v>3858</v>
      </c>
      <c r="E2275" s="7"/>
      <c r="G2275" s="5" t="str">
        <f aca="false">IF(ISNUMBER(FIND("old rod:",A2275)),"old rod:",A2275)</f>
        <v>36, 40, SEADRA</v>
      </c>
      <c r="I2275" s="5" t="s">
        <v>3432</v>
      </c>
    </row>
    <row r="2276" customFormat="false" ht="12.75" hidden="false" customHeight="true" outlineLevel="0" collapsed="false">
      <c r="A2276" s="5" t="s">
        <v>3356</v>
      </c>
      <c r="B2276" s="7" t="n">
        <v>36</v>
      </c>
      <c r="C2276" s="7" t="n">
        <v>40</v>
      </c>
      <c r="D2276" s="7" t="s">
        <v>3754</v>
      </c>
      <c r="E2276" s="7"/>
      <c r="G2276" s="5" t="str">
        <f aca="false">IF(ISNUMBER(FIND("old rod:",A2276)),"old rod:",A2276)</f>
        <v>36, 40, GYARADOS</v>
      </c>
      <c r="I2276" s="5" t="s">
        <v>3356</v>
      </c>
    </row>
    <row r="2277" customFormat="false" ht="12.75" hidden="false" customHeight="true" outlineLevel="0" collapsed="false">
      <c r="A2277" s="5" t="s">
        <v>3357</v>
      </c>
      <c r="B2277" s="7" t="n">
        <v>38</v>
      </c>
      <c r="C2277" s="7" t="n">
        <v>42</v>
      </c>
      <c r="D2277" s="7" t="s">
        <v>3801</v>
      </c>
      <c r="E2277" s="7"/>
      <c r="G2277" s="5" t="str">
        <f aca="false">IF(ISNUMBER(FIND("old rod:",A2277)),"old rod:",A2277)</f>
        <v>38, 42, GOLDUCK</v>
      </c>
      <c r="I2277" s="5" t="s">
        <v>3357</v>
      </c>
    </row>
    <row r="2278" customFormat="false" ht="12.75" hidden="false" customHeight="true" outlineLevel="0" collapsed="false">
      <c r="A2278" s="5" t="s">
        <v>3358</v>
      </c>
      <c r="B2278" s="7" t="n">
        <v>38</v>
      </c>
      <c r="C2278" s="7" t="n">
        <v>42</v>
      </c>
      <c r="D2278" s="7" t="s">
        <v>3859</v>
      </c>
      <c r="E2278" s="7"/>
      <c r="G2278" s="5" t="str">
        <f aca="false">IF(ISNUMBER(FIND("old rod:",A2278)),"old rod:",A2278)</f>
        <v>38, 42, KINGLER</v>
      </c>
      <c r="I2278" s="5" t="s">
        <v>3358</v>
      </c>
    </row>
    <row r="2279" customFormat="false" ht="12.75" hidden="false" customHeight="true" outlineLevel="0" collapsed="false">
      <c r="A2279" s="5" t="s">
        <v>3436</v>
      </c>
      <c r="B2279" s="7" t="n">
        <v>40</v>
      </c>
      <c r="C2279" s="7" t="n">
        <v>44</v>
      </c>
      <c r="D2279" s="7" t="s">
        <v>3854</v>
      </c>
      <c r="E2279" s="7"/>
      <c r="G2279" s="5" t="str">
        <f aca="false">IF(ISNUMBER(FIND("old rod:",A2279)),"old rod:",A2279)</f>
        <v>40, 44, GILDUCK</v>
      </c>
      <c r="I2279" s="5" t="s">
        <v>3436</v>
      </c>
    </row>
    <row r="2280" customFormat="false" ht="12.75" hidden="false" customHeight="true" outlineLevel="0" collapsed="false">
      <c r="A2280" s="5" t="s">
        <v>2536</v>
      </c>
      <c r="B2280" s="7" t="s">
        <v>2536</v>
      </c>
      <c r="C2280" s="7"/>
      <c r="D2280" s="7"/>
      <c r="E2280" s="7"/>
      <c r="G2280" s="5" t="str">
        <f aca="false">IF(ISNUMBER(FIND("old rod:",A2280)),"old rod:",A2280)</f>
        <v>NEW ROUTE</v>
      </c>
      <c r="I2280" s="5" t="s">
        <v>2536</v>
      </c>
    </row>
    <row r="2281" customFormat="false" ht="12.75" hidden="false" customHeight="true" outlineLevel="0" collapsed="false">
      <c r="A2281" s="5" t="s">
        <v>443</v>
      </c>
      <c r="B2281" s="7" t="s">
        <v>443</v>
      </c>
      <c r="C2281" s="7"/>
      <c r="D2281" s="7"/>
      <c r="E2281" s="7"/>
      <c r="G2281" s="5" t="str">
        <f aca="false">IF(ISNUMBER(FIND("old rod:",A2281)),"old rod:",A2281)</f>
        <v>Route 14</v>
      </c>
      <c r="I2281" s="5" t="s">
        <v>443</v>
      </c>
    </row>
    <row r="2282" customFormat="false" ht="12.75" hidden="false" customHeight="true" outlineLevel="0" collapsed="false">
      <c r="A2282" s="5" t="n">
        <v>0.2</v>
      </c>
      <c r="B2282" s="5" t="n">
        <v>0.2</v>
      </c>
      <c r="C2282" s="7"/>
      <c r="D2282" s="7"/>
      <c r="E2282" s="7"/>
      <c r="G2282" s="5" t="n">
        <f aca="false">IF(ISNUMBER(FIND("old rod:",A2282)),"old rod:",A2282)</f>
        <v>0.2</v>
      </c>
      <c r="I2282" s="5" t="n">
        <v>0.2</v>
      </c>
    </row>
    <row r="2283" customFormat="false" ht="12.75" hidden="false" customHeight="true" outlineLevel="0" collapsed="false">
      <c r="A2283" s="5" t="s">
        <v>1956</v>
      </c>
      <c r="B2283" s="7" t="n">
        <v>32</v>
      </c>
      <c r="C2283" s="7" t="n">
        <v>36</v>
      </c>
      <c r="D2283" s="7" t="s">
        <v>3890</v>
      </c>
      <c r="E2283" s="7"/>
      <c r="G2283" s="5" t="str">
        <f aca="false">IF(ISNUMBER(FIND("old rod:",A2283)),"old rod:",A2283)</f>
        <v>32, 36, BELLSPROUT</v>
      </c>
      <c r="I2283" s="5" t="s">
        <v>1956</v>
      </c>
    </row>
    <row r="2284" customFormat="false" ht="12.75" hidden="false" customHeight="true" outlineLevel="0" collapsed="false">
      <c r="A2284" s="5" t="s">
        <v>3480</v>
      </c>
      <c r="B2284" s="7" t="n">
        <v>32</v>
      </c>
      <c r="C2284" s="7" t="n">
        <v>36</v>
      </c>
      <c r="D2284" s="7" t="s">
        <v>3887</v>
      </c>
      <c r="E2284" s="7"/>
      <c r="G2284" s="5" t="str">
        <f aca="false">IF(ISNUMBER(FIND("old rod:",A2284)),"old rod:",A2284)</f>
        <v>32, 36, PIDGEOTTO</v>
      </c>
      <c r="I2284" s="5" t="s">
        <v>3480</v>
      </c>
    </row>
    <row r="2285" customFormat="false" ht="12.75" hidden="false" customHeight="true" outlineLevel="0" collapsed="false">
      <c r="A2285" s="5" t="n">
        <v>0.1</v>
      </c>
      <c r="B2285" s="5" t="n">
        <v>0.1</v>
      </c>
      <c r="C2285" s="7"/>
      <c r="D2285" s="7"/>
      <c r="E2285" s="7"/>
      <c r="G2285" s="5" t="n">
        <f aca="false">IF(ISNUMBER(FIND("old rod:",A2285)),"old rod:",A2285)</f>
        <v>0.1</v>
      </c>
      <c r="I2285" s="5" t="n">
        <v>0.1</v>
      </c>
    </row>
    <row r="2286" customFormat="false" ht="12.75" hidden="false" customHeight="true" outlineLevel="0" collapsed="false">
      <c r="A2286" s="5" t="s">
        <v>3481</v>
      </c>
      <c r="B2286" s="7" t="n">
        <v>31</v>
      </c>
      <c r="C2286" s="7" t="n">
        <v>33</v>
      </c>
      <c r="D2286" s="7" t="s">
        <v>3888</v>
      </c>
      <c r="E2286" s="7"/>
      <c r="G2286" s="5" t="str">
        <f aca="false">IF(ISNUMBER(FIND("old rod:",A2286)),"old rod:",A2286)</f>
        <v>31, 33, WEEPINBELL</v>
      </c>
      <c r="I2286" s="5" t="s">
        <v>3481</v>
      </c>
    </row>
    <row r="2287" customFormat="false" ht="12.75" hidden="false" customHeight="true" outlineLevel="0" collapsed="false">
      <c r="A2287" s="5" t="s">
        <v>3482</v>
      </c>
      <c r="B2287" s="7" t="n">
        <v>31</v>
      </c>
      <c r="C2287" s="7" t="n">
        <v>33</v>
      </c>
      <c r="D2287" s="7" t="s">
        <v>3928</v>
      </c>
      <c r="E2287" s="7"/>
      <c r="G2287" s="5" t="str">
        <f aca="false">IF(ISNUMBER(FIND("old rod:",A2287)),"old rod:",A2287)</f>
        <v>31, 33, DODUO</v>
      </c>
      <c r="I2287" s="5" t="s">
        <v>3482</v>
      </c>
    </row>
    <row r="2288" customFormat="false" ht="12.75" hidden="false" customHeight="true" outlineLevel="0" collapsed="false">
      <c r="A2288" s="5" t="s">
        <v>3483</v>
      </c>
      <c r="B2288" s="7" t="n">
        <v>33</v>
      </c>
      <c r="C2288" s="7" t="n">
        <v>33</v>
      </c>
      <c r="D2288" s="7" t="s">
        <v>3936</v>
      </c>
      <c r="E2288" s="7"/>
      <c r="G2288" s="5" t="str">
        <f aca="false">IF(ISNUMBER(FIND("old rod:",A2288)),"old rod:",A2288)</f>
        <v>33, 33, PIDGEOT</v>
      </c>
      <c r="I2288" s="5" t="s">
        <v>3483</v>
      </c>
    </row>
    <row r="2289" customFormat="false" ht="12.75" hidden="false" customHeight="true" outlineLevel="0" collapsed="false">
      <c r="A2289" s="5" t="s">
        <v>3484</v>
      </c>
      <c r="B2289" s="7" t="n">
        <v>31</v>
      </c>
      <c r="C2289" s="7" t="n">
        <v>33</v>
      </c>
      <c r="D2289" s="7" t="s">
        <v>3892</v>
      </c>
      <c r="E2289" s="7"/>
      <c r="G2289" s="5" t="str">
        <f aca="false">IF(ISNUMBER(FIND("old rod:",A2289)),"old rod:",A2289)</f>
        <v>31, 33, EXEGGCUTE</v>
      </c>
      <c r="I2289" s="5" t="s">
        <v>3484</v>
      </c>
    </row>
    <row r="2290" customFormat="false" ht="12.75" hidden="false" customHeight="true" outlineLevel="0" collapsed="false">
      <c r="A2290" s="5" t="n">
        <v>0.05</v>
      </c>
      <c r="B2290" s="5" t="n">
        <v>0.05</v>
      </c>
      <c r="C2290" s="7"/>
      <c r="D2290" s="7"/>
      <c r="E2290" s="7"/>
      <c r="G2290" s="5" t="n">
        <f aca="false">IF(ISNUMBER(FIND("old rod:",A2290)),"old rod:",A2290)</f>
        <v>0.05</v>
      </c>
      <c r="I2290" s="5" t="n">
        <v>0.05</v>
      </c>
    </row>
    <row r="2291" customFormat="false" ht="12.75" hidden="false" customHeight="true" outlineLevel="0" collapsed="false">
      <c r="A2291" s="5" t="s">
        <v>3485</v>
      </c>
      <c r="B2291" s="7" t="n">
        <v>32</v>
      </c>
      <c r="C2291" s="7" t="n">
        <v>36</v>
      </c>
      <c r="D2291" s="7" t="s">
        <v>3937</v>
      </c>
      <c r="E2291" s="7"/>
      <c r="G2291" s="5" t="str">
        <f aca="false">IF(ISNUMBER(FIND("old rod:",A2291)),"old rod:",A2291)</f>
        <v>32, 36, SCYTHER</v>
      </c>
      <c r="I2291" s="5" t="s">
        <v>3485</v>
      </c>
    </row>
    <row r="2292" customFormat="false" ht="12.75" hidden="false" customHeight="true" outlineLevel="0" collapsed="false">
      <c r="A2292" s="5" t="s">
        <v>3486</v>
      </c>
      <c r="B2292" s="7" t="n">
        <v>32</v>
      </c>
      <c r="C2292" s="7" t="n">
        <v>36</v>
      </c>
      <c r="D2292" s="7" t="s">
        <v>3938</v>
      </c>
      <c r="E2292" s="7"/>
      <c r="G2292" s="5" t="str">
        <f aca="false">IF(ISNUMBER(FIND("old rod:",A2292)),"old rod:",A2292)</f>
        <v>32, 36, JYNX</v>
      </c>
      <c r="I2292" s="5" t="s">
        <v>3486</v>
      </c>
    </row>
    <row r="2293" customFormat="false" ht="12.75" hidden="false" customHeight="true" outlineLevel="0" collapsed="false">
      <c r="A2293" s="5" t="n">
        <v>0.04</v>
      </c>
      <c r="B2293" s="5" t="n">
        <v>0.04</v>
      </c>
      <c r="C2293" s="7"/>
      <c r="D2293" s="7"/>
      <c r="E2293" s="7"/>
      <c r="G2293" s="5" t="n">
        <f aca="false">IF(ISNUMBER(FIND("old rod:",A2293)),"old rod:",A2293)</f>
        <v>0.04</v>
      </c>
      <c r="I2293" s="5" t="n">
        <v>0.04</v>
      </c>
    </row>
    <row r="2294" customFormat="false" ht="12.75" hidden="false" customHeight="true" outlineLevel="0" collapsed="false">
      <c r="A2294" s="5" t="s">
        <v>3487</v>
      </c>
      <c r="B2294" s="7" t="n">
        <v>33</v>
      </c>
      <c r="C2294" s="7" t="n">
        <v>33</v>
      </c>
      <c r="D2294" s="7" t="s">
        <v>3810</v>
      </c>
      <c r="E2294" s="7"/>
      <c r="G2294" s="5" t="str">
        <f aca="false">IF(ISNUMBER(FIND("old rod:",A2294)),"old rod:",A2294)</f>
        <v>33, 33, DODRIO</v>
      </c>
      <c r="I2294" s="5" t="s">
        <v>3487</v>
      </c>
    </row>
    <row r="2295" customFormat="false" ht="12.75" hidden="false" customHeight="true" outlineLevel="0" collapsed="false">
      <c r="A2295" s="5" t="s">
        <v>3488</v>
      </c>
      <c r="B2295" s="7" t="n">
        <v>33</v>
      </c>
      <c r="C2295" s="7" t="n">
        <v>33</v>
      </c>
      <c r="D2295" s="7" t="s">
        <v>3791</v>
      </c>
      <c r="E2295" s="7"/>
      <c r="G2295" s="5" t="str">
        <f aca="false">IF(ISNUMBER(FIND("old rod:",A2295)),"old rod:",A2295)</f>
        <v>33, 33, EXEGGUTOR</v>
      </c>
      <c r="I2295" s="5" t="s">
        <v>3488</v>
      </c>
    </row>
    <row r="2296" customFormat="false" ht="12.75" hidden="false" customHeight="true" outlineLevel="0" collapsed="false">
      <c r="A2296" s="5" t="n">
        <v>0.01</v>
      </c>
      <c r="B2296" s="5" t="n">
        <v>0.01</v>
      </c>
      <c r="C2296" s="7"/>
      <c r="D2296" s="7"/>
      <c r="E2296" s="7"/>
      <c r="G2296" s="5" t="n">
        <f aca="false">IF(ISNUMBER(FIND("old rod:",A2296)),"old rod:",A2296)</f>
        <v>0.01</v>
      </c>
      <c r="I2296" s="5" t="n">
        <v>0.01</v>
      </c>
    </row>
    <row r="2297" customFormat="false" ht="12.75" hidden="false" customHeight="true" outlineLevel="0" collapsed="false">
      <c r="A2297" s="5" t="s">
        <v>3489</v>
      </c>
      <c r="B2297" s="7" t="n">
        <v>31</v>
      </c>
      <c r="C2297" s="7" t="n">
        <v>36</v>
      </c>
      <c r="D2297" s="7" t="s">
        <v>3939</v>
      </c>
      <c r="E2297" s="7"/>
      <c r="G2297" s="5" t="str">
        <f aca="false">IF(ISNUMBER(FIND("old rod:",A2297)),"old rod:",A2297)</f>
        <v>31, 36, VICTREEBEL</v>
      </c>
      <c r="I2297" s="5" t="s">
        <v>3489</v>
      </c>
    </row>
    <row r="2298" customFormat="false" ht="12.75" hidden="false" customHeight="true" outlineLevel="0" collapsed="false">
      <c r="A2298" s="5" t="s">
        <v>3466</v>
      </c>
      <c r="B2298" s="7" t="n">
        <v>20</v>
      </c>
      <c r="C2298" s="7" t="n">
        <v>25</v>
      </c>
      <c r="D2298" s="7" t="s">
        <v>3940</v>
      </c>
      <c r="E2298" s="7"/>
      <c r="G2298" s="5" t="str">
        <f aca="false">IF(ISNUMBER(FIND("old rod:",A2298)),"old rod:",A2298)</f>
        <v>20, 25, SQUIRTLE</v>
      </c>
      <c r="I2298" s="5" t="s">
        <v>3466</v>
      </c>
    </row>
    <row r="2299" customFormat="false" ht="12.75" hidden="false" customHeight="true" outlineLevel="0" collapsed="false">
      <c r="A2299" s="5" t="s">
        <v>2536</v>
      </c>
      <c r="B2299" s="7" t="s">
        <v>2536</v>
      </c>
      <c r="C2299" s="7"/>
      <c r="D2299" s="7"/>
      <c r="E2299" s="7"/>
      <c r="G2299" s="5" t="str">
        <f aca="false">IF(ISNUMBER(FIND("old rod:",A2299)),"old rod:",A2299)</f>
        <v>NEW ROUTE</v>
      </c>
      <c r="I2299" s="5" t="s">
        <v>2536</v>
      </c>
    </row>
    <row r="2300" customFormat="false" ht="12.75" hidden="false" customHeight="true" outlineLevel="0" collapsed="false">
      <c r="A2300" s="5" t="s">
        <v>445</v>
      </c>
      <c r="B2300" s="7" t="s">
        <v>445</v>
      </c>
      <c r="C2300" s="7"/>
      <c r="D2300" s="7"/>
      <c r="E2300" s="7"/>
      <c r="G2300" s="5" t="str">
        <f aca="false">IF(ISNUMBER(FIND("old rod:",A2300)),"old rod:",A2300)</f>
        <v>Route 15</v>
      </c>
      <c r="I2300" s="5" t="s">
        <v>445</v>
      </c>
    </row>
    <row r="2301" customFormat="false" ht="12.75" hidden="false" customHeight="true" outlineLevel="0" collapsed="false">
      <c r="A2301" s="5" t="n">
        <v>0.2</v>
      </c>
      <c r="B2301" s="5" t="n">
        <v>0.2</v>
      </c>
      <c r="C2301" s="7"/>
      <c r="D2301" s="7"/>
      <c r="E2301" s="7"/>
      <c r="G2301" s="5" t="n">
        <f aca="false">IF(ISNUMBER(FIND("old rod:",A2301)),"old rod:",A2301)</f>
        <v>0.2</v>
      </c>
      <c r="I2301" s="5" t="n">
        <v>0.2</v>
      </c>
    </row>
    <row r="2302" customFormat="false" ht="12.75" hidden="false" customHeight="true" outlineLevel="0" collapsed="false">
      <c r="A2302" s="5" t="s">
        <v>1969</v>
      </c>
      <c r="B2302" s="7" t="n">
        <v>33</v>
      </c>
      <c r="C2302" s="7" t="n">
        <v>37</v>
      </c>
      <c r="D2302" s="7" t="s">
        <v>3890</v>
      </c>
      <c r="E2302" s="7"/>
      <c r="G2302" s="5" t="str">
        <f aca="false">IF(ISNUMBER(FIND("old rod:",A2302)),"old rod:",A2302)</f>
        <v>33, 37, BELLSPROUT</v>
      </c>
      <c r="I2302" s="5" t="s">
        <v>1969</v>
      </c>
    </row>
    <row r="2303" customFormat="false" ht="12.75" hidden="false" customHeight="true" outlineLevel="0" collapsed="false">
      <c r="A2303" s="5" t="s">
        <v>3492</v>
      </c>
      <c r="B2303" s="7" t="n">
        <v>33</v>
      </c>
      <c r="C2303" s="7" t="n">
        <v>37</v>
      </c>
      <c r="D2303" s="7" t="s">
        <v>3887</v>
      </c>
      <c r="E2303" s="7"/>
      <c r="G2303" s="5" t="str">
        <f aca="false">IF(ISNUMBER(FIND("old rod:",A2303)),"old rod:",A2303)</f>
        <v>33, 37, PIDGEOTTO</v>
      </c>
      <c r="I2303" s="5" t="s">
        <v>3492</v>
      </c>
    </row>
    <row r="2304" customFormat="false" ht="12.75" hidden="false" customHeight="true" outlineLevel="0" collapsed="false">
      <c r="A2304" s="5" t="n">
        <v>0.1</v>
      </c>
      <c r="B2304" s="5" t="n">
        <v>0.1</v>
      </c>
      <c r="C2304" s="7"/>
      <c r="D2304" s="7"/>
      <c r="E2304" s="7"/>
      <c r="G2304" s="5" t="n">
        <f aca="false">IF(ISNUMBER(FIND("old rod:",A2304)),"old rod:",A2304)</f>
        <v>0.1</v>
      </c>
      <c r="I2304" s="5" t="n">
        <v>0.1</v>
      </c>
    </row>
    <row r="2305" customFormat="false" ht="12.75" hidden="false" customHeight="true" outlineLevel="0" collapsed="false">
      <c r="A2305" s="5" t="s">
        <v>3493</v>
      </c>
      <c r="B2305" s="7" t="n">
        <v>32</v>
      </c>
      <c r="C2305" s="7" t="n">
        <v>34</v>
      </c>
      <c r="D2305" s="7" t="s">
        <v>3888</v>
      </c>
      <c r="E2305" s="7"/>
      <c r="G2305" s="5" t="str">
        <f aca="false">IF(ISNUMBER(FIND("old rod:",A2305)),"old rod:",A2305)</f>
        <v>32, 34, WEEPINBELL</v>
      </c>
      <c r="I2305" s="5" t="s">
        <v>3493</v>
      </c>
    </row>
    <row r="2306" customFormat="false" ht="12.75" hidden="false" customHeight="true" outlineLevel="0" collapsed="false">
      <c r="A2306" s="5" t="s">
        <v>3494</v>
      </c>
      <c r="B2306" s="7" t="n">
        <v>32</v>
      </c>
      <c r="C2306" s="7" t="n">
        <v>34</v>
      </c>
      <c r="D2306" s="7" t="s">
        <v>3928</v>
      </c>
      <c r="E2306" s="7"/>
      <c r="G2306" s="5" t="str">
        <f aca="false">IF(ISNUMBER(FIND("old rod:",A2306)),"old rod:",A2306)</f>
        <v>32, 34, DODUO</v>
      </c>
      <c r="I2306" s="5" t="s">
        <v>3494</v>
      </c>
    </row>
    <row r="2307" customFormat="false" ht="12.75" hidden="false" customHeight="true" outlineLevel="0" collapsed="false">
      <c r="A2307" s="5" t="s">
        <v>3495</v>
      </c>
      <c r="B2307" s="7" t="n">
        <v>34</v>
      </c>
      <c r="C2307" s="7" t="n">
        <v>34</v>
      </c>
      <c r="D2307" s="7" t="s">
        <v>3936</v>
      </c>
      <c r="E2307" s="7"/>
      <c r="G2307" s="5" t="str">
        <f aca="false">IF(ISNUMBER(FIND("old rod:",A2307)),"old rod:",A2307)</f>
        <v>34, 34, PIDGEOT</v>
      </c>
      <c r="I2307" s="5" t="s">
        <v>3495</v>
      </c>
    </row>
    <row r="2308" customFormat="false" ht="12.75" hidden="false" customHeight="true" outlineLevel="0" collapsed="false">
      <c r="A2308" s="5" t="s">
        <v>3496</v>
      </c>
      <c r="B2308" s="7" t="n">
        <v>32</v>
      </c>
      <c r="C2308" s="7" t="n">
        <v>34</v>
      </c>
      <c r="D2308" s="7" t="s">
        <v>3892</v>
      </c>
      <c r="E2308" s="7"/>
      <c r="G2308" s="5" t="str">
        <f aca="false">IF(ISNUMBER(FIND("old rod:",A2308)),"old rod:",A2308)</f>
        <v>32, 34, EXEGGCUTE</v>
      </c>
      <c r="I2308" s="5" t="s">
        <v>3496</v>
      </c>
    </row>
    <row r="2309" customFormat="false" ht="12.75" hidden="false" customHeight="true" outlineLevel="0" collapsed="false">
      <c r="A2309" s="5" t="n">
        <v>0.05</v>
      </c>
      <c r="B2309" s="5" t="n">
        <v>0.05</v>
      </c>
      <c r="C2309" s="7"/>
      <c r="D2309" s="7"/>
      <c r="E2309" s="7"/>
      <c r="G2309" s="5" t="n">
        <f aca="false">IF(ISNUMBER(FIND("old rod:",A2309)),"old rod:",A2309)</f>
        <v>0.05</v>
      </c>
      <c r="I2309" s="5" t="n">
        <v>0.05</v>
      </c>
    </row>
    <row r="2310" customFormat="false" ht="12.75" hidden="false" customHeight="true" outlineLevel="0" collapsed="false">
      <c r="A2310" s="5" t="s">
        <v>3497</v>
      </c>
      <c r="B2310" s="7" t="n">
        <v>33</v>
      </c>
      <c r="C2310" s="7" t="n">
        <v>37</v>
      </c>
      <c r="D2310" s="7" t="s">
        <v>3937</v>
      </c>
      <c r="E2310" s="7"/>
      <c r="G2310" s="5" t="str">
        <f aca="false">IF(ISNUMBER(FIND("old rod:",A2310)),"old rod:",A2310)</f>
        <v>33, 37, SCYTHER</v>
      </c>
      <c r="I2310" s="5" t="s">
        <v>3497</v>
      </c>
    </row>
    <row r="2311" customFormat="false" ht="12.75" hidden="false" customHeight="true" outlineLevel="0" collapsed="false">
      <c r="A2311" s="5" t="s">
        <v>3498</v>
      </c>
      <c r="B2311" s="7" t="n">
        <v>33</v>
      </c>
      <c r="C2311" s="7" t="n">
        <v>37</v>
      </c>
      <c r="D2311" s="7" t="s">
        <v>3938</v>
      </c>
      <c r="E2311" s="7"/>
      <c r="G2311" s="5" t="str">
        <f aca="false">IF(ISNUMBER(FIND("old rod:",A2311)),"old rod:",A2311)</f>
        <v>33, 37, JYNX</v>
      </c>
      <c r="I2311" s="5" t="s">
        <v>3498</v>
      </c>
    </row>
    <row r="2312" customFormat="false" ht="12.75" hidden="false" customHeight="true" outlineLevel="0" collapsed="false">
      <c r="A2312" s="5" t="n">
        <v>0.04</v>
      </c>
      <c r="B2312" s="5" t="n">
        <v>0.04</v>
      </c>
      <c r="C2312" s="7"/>
      <c r="D2312" s="7"/>
      <c r="E2312" s="7"/>
      <c r="G2312" s="5" t="n">
        <f aca="false">IF(ISNUMBER(FIND("old rod:",A2312)),"old rod:",A2312)</f>
        <v>0.04</v>
      </c>
      <c r="I2312" s="5" t="n">
        <v>0.04</v>
      </c>
    </row>
    <row r="2313" customFormat="false" ht="12.75" hidden="false" customHeight="true" outlineLevel="0" collapsed="false">
      <c r="A2313" s="5" t="s">
        <v>3499</v>
      </c>
      <c r="B2313" s="7" t="n">
        <v>34</v>
      </c>
      <c r="C2313" s="7" t="n">
        <v>34</v>
      </c>
      <c r="D2313" s="7" t="s">
        <v>3810</v>
      </c>
      <c r="E2313" s="7"/>
      <c r="G2313" s="5" t="str">
        <f aca="false">IF(ISNUMBER(FIND("old rod:",A2313)),"old rod:",A2313)</f>
        <v>34, 34, DODRIO</v>
      </c>
      <c r="I2313" s="5" t="s">
        <v>3499</v>
      </c>
    </row>
    <row r="2314" customFormat="false" ht="12.75" hidden="false" customHeight="true" outlineLevel="0" collapsed="false">
      <c r="A2314" s="5" t="s">
        <v>3500</v>
      </c>
      <c r="B2314" s="7" t="n">
        <v>34</v>
      </c>
      <c r="C2314" s="7" t="n">
        <v>34</v>
      </c>
      <c r="D2314" s="7" t="s">
        <v>3791</v>
      </c>
      <c r="E2314" s="7"/>
      <c r="G2314" s="5" t="str">
        <f aca="false">IF(ISNUMBER(FIND("old rod:",A2314)),"old rod:",A2314)</f>
        <v>34, 34, EXEGGUTOR</v>
      </c>
      <c r="I2314" s="5" t="s">
        <v>3500</v>
      </c>
    </row>
    <row r="2315" customFormat="false" ht="12.75" hidden="false" customHeight="true" outlineLevel="0" collapsed="false">
      <c r="A2315" s="5" t="n">
        <v>0.01</v>
      </c>
      <c r="B2315" s="5" t="n">
        <v>0.01</v>
      </c>
      <c r="C2315" s="7"/>
      <c r="D2315" s="7"/>
      <c r="E2315" s="7"/>
      <c r="G2315" s="5" t="n">
        <f aca="false">IF(ISNUMBER(FIND("old rod:",A2315)),"old rod:",A2315)</f>
        <v>0.01</v>
      </c>
      <c r="I2315" s="5" t="n">
        <v>0.01</v>
      </c>
    </row>
    <row r="2316" customFormat="false" ht="12.75" hidden="false" customHeight="true" outlineLevel="0" collapsed="false">
      <c r="A2316" s="5" t="s">
        <v>3501</v>
      </c>
      <c r="B2316" s="7" t="n">
        <v>32</v>
      </c>
      <c r="C2316" s="7" t="n">
        <v>37</v>
      </c>
      <c r="D2316" s="7" t="s">
        <v>3939</v>
      </c>
      <c r="E2316" s="7"/>
      <c r="G2316" s="5" t="str">
        <f aca="false">IF(ISNUMBER(FIND("old rod:",A2316)),"old rod:",A2316)</f>
        <v>32, 37, VICTREEBEL</v>
      </c>
      <c r="I2316" s="5" t="s">
        <v>3501</v>
      </c>
    </row>
    <row r="2317" customFormat="false" ht="12.75" hidden="false" customHeight="true" outlineLevel="0" collapsed="false">
      <c r="A2317" s="5" t="s">
        <v>3466</v>
      </c>
      <c r="B2317" s="7" t="n">
        <v>20</v>
      </c>
      <c r="C2317" s="7" t="n">
        <v>25</v>
      </c>
      <c r="D2317" s="7" t="s">
        <v>3940</v>
      </c>
      <c r="E2317" s="7"/>
      <c r="G2317" s="5" t="str">
        <f aca="false">IF(ISNUMBER(FIND("old rod:",A2317)),"old rod:",A2317)</f>
        <v>20, 25, SQUIRTLE</v>
      </c>
      <c r="I2317" s="5" t="s">
        <v>3466</v>
      </c>
    </row>
    <row r="2318" customFormat="false" ht="12.75" hidden="false" customHeight="true" outlineLevel="0" collapsed="false">
      <c r="A2318" s="5" t="s">
        <v>2536</v>
      </c>
      <c r="B2318" s="7" t="s">
        <v>2536</v>
      </c>
      <c r="C2318" s="7"/>
      <c r="D2318" s="7"/>
      <c r="E2318" s="7"/>
      <c r="G2318" s="5" t="str">
        <f aca="false">IF(ISNUMBER(FIND("old rod:",A2318)),"old rod:",A2318)</f>
        <v>NEW ROUTE</v>
      </c>
      <c r="I2318" s="5" t="s">
        <v>2536</v>
      </c>
    </row>
    <row r="2319" customFormat="false" ht="12.75" hidden="false" customHeight="true" outlineLevel="0" collapsed="false">
      <c r="A2319" s="5" t="s">
        <v>447</v>
      </c>
      <c r="B2319" s="7" t="s">
        <v>447</v>
      </c>
      <c r="C2319" s="7"/>
      <c r="D2319" s="7"/>
      <c r="E2319" s="7"/>
      <c r="G2319" s="5" t="str">
        <f aca="false">IF(ISNUMBER(FIND("old rod:",A2319)),"old rod:",A2319)</f>
        <v>Route 16</v>
      </c>
      <c r="I2319" s="5" t="s">
        <v>447</v>
      </c>
    </row>
    <row r="2320" customFormat="false" ht="12.75" hidden="false" customHeight="true" outlineLevel="0" collapsed="false">
      <c r="A2320" s="5" t="n">
        <v>0.2</v>
      </c>
      <c r="B2320" s="5" t="n">
        <v>0.2</v>
      </c>
      <c r="C2320" s="7"/>
      <c r="D2320" s="7"/>
      <c r="E2320" s="7"/>
      <c r="G2320" s="5" t="n">
        <f aca="false">IF(ISNUMBER(FIND("old rod:",A2320)),"old rod:",A2320)</f>
        <v>0.2</v>
      </c>
      <c r="I2320" s="5" t="n">
        <v>0.2</v>
      </c>
    </row>
    <row r="2321" customFormat="false" ht="12.75" hidden="false" customHeight="true" outlineLevel="0" collapsed="false">
      <c r="A2321" s="5" t="s">
        <v>1981</v>
      </c>
      <c r="B2321" s="7" t="n">
        <v>29</v>
      </c>
      <c r="C2321" s="7" t="n">
        <v>34</v>
      </c>
      <c r="D2321" s="7" t="s">
        <v>3731</v>
      </c>
      <c r="E2321" s="7"/>
      <c r="G2321" s="5" t="str">
        <f aca="false">IF(ISNUMBER(FIND("old rod:",A2321)),"old rod:",A2321)</f>
        <v>29, 34, ODDISH</v>
      </c>
      <c r="I2321" s="5" t="s">
        <v>1981</v>
      </c>
    </row>
    <row r="2322" customFormat="false" ht="12.75" hidden="false" customHeight="true" outlineLevel="0" collapsed="false">
      <c r="A2322" s="5" t="s">
        <v>3456</v>
      </c>
      <c r="B2322" s="7" t="n">
        <v>29</v>
      </c>
      <c r="C2322" s="7" t="n">
        <v>34</v>
      </c>
      <c r="D2322" s="7" t="s">
        <v>3887</v>
      </c>
      <c r="E2322" s="7"/>
      <c r="G2322" s="5" t="str">
        <f aca="false">IF(ISNUMBER(FIND("old rod:",A2322)),"old rod:",A2322)</f>
        <v>29, 34, PIDGEOTTO</v>
      </c>
      <c r="I2322" s="5" t="s">
        <v>3456</v>
      </c>
    </row>
    <row r="2323" customFormat="false" ht="12.75" hidden="false" customHeight="true" outlineLevel="0" collapsed="false">
      <c r="A2323" s="5" t="n">
        <v>0.1</v>
      </c>
      <c r="B2323" s="5" t="n">
        <v>0.1</v>
      </c>
      <c r="C2323" s="7"/>
      <c r="D2323" s="7"/>
      <c r="E2323" s="7"/>
      <c r="G2323" s="5" t="n">
        <f aca="false">IF(ISNUMBER(FIND("old rod:",A2323)),"old rod:",A2323)</f>
        <v>0.1</v>
      </c>
      <c r="I2323" s="5" t="n">
        <v>0.1</v>
      </c>
    </row>
    <row r="2324" customFormat="false" ht="12.75" hidden="false" customHeight="true" outlineLevel="0" collapsed="false">
      <c r="A2324" s="5" t="s">
        <v>3503</v>
      </c>
      <c r="B2324" s="7" t="n">
        <v>29</v>
      </c>
      <c r="C2324" s="7" t="n">
        <v>31</v>
      </c>
      <c r="D2324" s="7" t="s">
        <v>3941</v>
      </c>
      <c r="E2324" s="7"/>
      <c r="G2324" s="5" t="str">
        <f aca="false">IF(ISNUMBER(FIND("old rod:",A2324)),"old rod:",A2324)</f>
        <v>29, 31, GLOOM</v>
      </c>
      <c r="I2324" s="5" t="s">
        <v>3503</v>
      </c>
    </row>
    <row r="2325" customFormat="false" ht="12.75" hidden="false" customHeight="true" outlineLevel="0" collapsed="false">
      <c r="A2325" s="5" t="s">
        <v>3458</v>
      </c>
      <c r="B2325" s="7" t="n">
        <v>29</v>
      </c>
      <c r="C2325" s="7" t="n">
        <v>31</v>
      </c>
      <c r="D2325" s="7" t="s">
        <v>3928</v>
      </c>
      <c r="E2325" s="7"/>
      <c r="G2325" s="5" t="str">
        <f aca="false">IF(ISNUMBER(FIND("old rod:",A2325)),"old rod:",A2325)</f>
        <v>29, 31, DODUO</v>
      </c>
      <c r="I2325" s="5" t="s">
        <v>3458</v>
      </c>
    </row>
    <row r="2326" customFormat="false" ht="12.75" hidden="false" customHeight="true" outlineLevel="0" collapsed="false">
      <c r="A2326" s="5" t="s">
        <v>3459</v>
      </c>
      <c r="B2326" s="7" t="n">
        <v>31</v>
      </c>
      <c r="C2326" s="7" t="n">
        <v>31</v>
      </c>
      <c r="D2326" s="7" t="s">
        <v>3936</v>
      </c>
      <c r="E2326" s="7"/>
      <c r="G2326" s="5" t="str">
        <f aca="false">IF(ISNUMBER(FIND("old rod:",A2326)),"old rod:",A2326)</f>
        <v>31, 31, PIDGEOT</v>
      </c>
      <c r="I2326" s="5" t="s">
        <v>3459</v>
      </c>
    </row>
    <row r="2327" customFormat="false" ht="12.75" hidden="false" customHeight="true" outlineLevel="0" collapsed="false">
      <c r="A2327" s="5" t="s">
        <v>3504</v>
      </c>
      <c r="B2327" s="7" t="n">
        <v>29</v>
      </c>
      <c r="C2327" s="7" t="n">
        <v>31</v>
      </c>
      <c r="D2327" s="7" t="s">
        <v>3925</v>
      </c>
      <c r="E2327" s="7"/>
      <c r="G2327" s="5" t="str">
        <f aca="false">IF(ISNUMBER(FIND("old rod:",A2327)),"old rod:",A2327)</f>
        <v>29, 31, LICKITUNG</v>
      </c>
      <c r="I2327" s="5" t="s">
        <v>3504</v>
      </c>
    </row>
    <row r="2328" customFormat="false" ht="12.75" hidden="false" customHeight="true" outlineLevel="0" collapsed="false">
      <c r="A2328" s="5" t="n">
        <v>0.05</v>
      </c>
      <c r="B2328" s="5" t="n">
        <v>0.05</v>
      </c>
      <c r="C2328" s="7"/>
      <c r="D2328" s="7"/>
      <c r="E2328" s="7"/>
      <c r="G2328" s="5" t="n">
        <f aca="false">IF(ISNUMBER(FIND("old rod:",A2328)),"old rod:",A2328)</f>
        <v>0.05</v>
      </c>
      <c r="I2328" s="5" t="n">
        <v>0.05</v>
      </c>
    </row>
    <row r="2329" customFormat="false" ht="12.75" hidden="false" customHeight="true" outlineLevel="0" collapsed="false">
      <c r="A2329" s="5" t="s">
        <v>3505</v>
      </c>
      <c r="B2329" s="7" t="n">
        <v>30</v>
      </c>
      <c r="C2329" s="7" t="n">
        <v>34</v>
      </c>
      <c r="D2329" s="7" t="s">
        <v>3818</v>
      </c>
      <c r="E2329" s="7"/>
      <c r="G2329" s="5" t="str">
        <f aca="false">IF(ISNUMBER(FIND("old rod:",A2329)),"old rod:",A2329)</f>
        <v>30, 34, TAUROS</v>
      </c>
      <c r="I2329" s="5" t="s">
        <v>3505</v>
      </c>
    </row>
    <row r="2330" customFormat="false" ht="12.75" hidden="false" customHeight="true" outlineLevel="0" collapsed="false">
      <c r="A2330" s="5" t="s">
        <v>3506</v>
      </c>
      <c r="B2330" s="7" t="n">
        <v>30</v>
      </c>
      <c r="C2330" s="7" t="n">
        <v>34</v>
      </c>
      <c r="D2330" s="7" t="s">
        <v>3942</v>
      </c>
      <c r="E2330" s="7"/>
      <c r="G2330" s="5" t="str">
        <f aca="false">IF(ISNUMBER(FIND("old rod:",A2330)),"old rod:",A2330)</f>
        <v>30, 34, "MR. MIME"</v>
      </c>
      <c r="I2330" s="5" t="s">
        <v>3506</v>
      </c>
    </row>
    <row r="2331" customFormat="false" ht="12.75" hidden="false" customHeight="true" outlineLevel="0" collapsed="false">
      <c r="A2331" s="5" t="n">
        <v>0.04</v>
      </c>
      <c r="B2331" s="5" t="n">
        <v>0.04</v>
      </c>
      <c r="C2331" s="7"/>
      <c r="D2331" s="7"/>
      <c r="E2331" s="7"/>
      <c r="G2331" s="5" t="n">
        <f aca="false">IF(ISNUMBER(FIND("old rod:",A2331)),"old rod:",A2331)</f>
        <v>0.04</v>
      </c>
      <c r="I2331" s="5" t="n">
        <v>0.04</v>
      </c>
    </row>
    <row r="2332" customFormat="false" ht="12.75" hidden="false" customHeight="true" outlineLevel="0" collapsed="false">
      <c r="A2332" s="5" t="s">
        <v>3463</v>
      </c>
      <c r="B2332" s="7" t="n">
        <v>31</v>
      </c>
      <c r="C2332" s="7" t="n">
        <v>31</v>
      </c>
      <c r="D2332" s="7" t="s">
        <v>3810</v>
      </c>
      <c r="E2332" s="7"/>
      <c r="G2332" s="5" t="str">
        <f aca="false">IF(ISNUMBER(FIND("old rod:",A2332)),"old rod:",A2332)</f>
        <v>31, 31, DODRIO</v>
      </c>
      <c r="I2332" s="5" t="s">
        <v>3463</v>
      </c>
    </row>
    <row r="2333" customFormat="false" ht="12.75" hidden="false" customHeight="true" outlineLevel="0" collapsed="false">
      <c r="A2333" s="5" t="s">
        <v>3507</v>
      </c>
      <c r="B2333" s="7" t="n">
        <v>31</v>
      </c>
      <c r="C2333" s="7" t="n">
        <v>31</v>
      </c>
      <c r="D2333" s="7" t="s">
        <v>3853</v>
      </c>
      <c r="E2333" s="7"/>
      <c r="G2333" s="5" t="str">
        <f aca="false">IF(ISNUMBER(FIND("old rod:",A2333)),"old rod:",A2333)</f>
        <v>31, 31, LICKILICKY</v>
      </c>
      <c r="I2333" s="5" t="s">
        <v>3507</v>
      </c>
    </row>
    <row r="2334" customFormat="false" ht="12.75" hidden="false" customHeight="true" outlineLevel="0" collapsed="false">
      <c r="A2334" s="5" t="n">
        <v>0.01</v>
      </c>
      <c r="B2334" s="5" t="n">
        <v>0.01</v>
      </c>
      <c r="C2334" s="7"/>
      <c r="D2334" s="7"/>
      <c r="E2334" s="7"/>
      <c r="G2334" s="5" t="n">
        <f aca="false">IF(ISNUMBER(FIND("old rod:",A2334)),"old rod:",A2334)</f>
        <v>0.01</v>
      </c>
      <c r="I2334" s="5" t="n">
        <v>0.01</v>
      </c>
    </row>
    <row r="2335" customFormat="false" ht="12.75" hidden="false" customHeight="true" outlineLevel="0" collapsed="false">
      <c r="A2335" s="5" t="s">
        <v>3508</v>
      </c>
      <c r="B2335" s="7" t="n">
        <v>29</v>
      </c>
      <c r="C2335" s="7" t="n">
        <v>34</v>
      </c>
      <c r="D2335" s="7" t="s">
        <v>3943</v>
      </c>
      <c r="E2335" s="7"/>
      <c r="G2335" s="5" t="str">
        <f aca="false">IF(ISNUMBER(FIND("old rod:",A2335)),"old rod:",A2335)</f>
        <v>29, 34, VILEPLUME</v>
      </c>
      <c r="I2335" s="5" t="s">
        <v>3508</v>
      </c>
    </row>
    <row r="2336" customFormat="false" ht="12.75" hidden="false" customHeight="true" outlineLevel="0" collapsed="false">
      <c r="A2336" s="5" t="s">
        <v>3727</v>
      </c>
      <c r="B2336" s="7" t="n">
        <v>20</v>
      </c>
      <c r="C2336" s="7" t="n">
        <v>25</v>
      </c>
      <c r="D2336" s="7" t="s">
        <v>3944</v>
      </c>
      <c r="E2336" s="7"/>
      <c r="G2336" s="5" t="str">
        <f aca="false">IF(ISNUMBER(FIND("old rod:",A2336)),"old rod:",A2336)</f>
        <v>20, 25, BULBASAUR</v>
      </c>
      <c r="I2336" s="5" t="s">
        <v>3727</v>
      </c>
    </row>
    <row r="2337" customFormat="false" ht="12.75" hidden="false" customHeight="true" outlineLevel="0" collapsed="false">
      <c r="A2337" s="5" t="s">
        <v>2536</v>
      </c>
      <c r="B2337" s="7" t="s">
        <v>2536</v>
      </c>
      <c r="C2337" s="7"/>
      <c r="D2337" s="7"/>
      <c r="E2337" s="7"/>
      <c r="G2337" s="5" t="str">
        <f aca="false">IF(ISNUMBER(FIND("old rod:",A2337)),"old rod:",A2337)</f>
        <v>NEW ROUTE</v>
      </c>
      <c r="I2337" s="5" t="s">
        <v>2536</v>
      </c>
    </row>
    <row r="2338" customFormat="false" ht="12.75" hidden="false" customHeight="true" outlineLevel="0" collapsed="false">
      <c r="A2338" s="5" t="s">
        <v>449</v>
      </c>
      <c r="B2338" s="7" t="s">
        <v>449</v>
      </c>
      <c r="C2338" s="7"/>
      <c r="D2338" s="7"/>
      <c r="E2338" s="7"/>
      <c r="G2338" s="5" t="str">
        <f aca="false">IF(ISNUMBER(FIND("old rod:",A2338)),"old rod:",A2338)</f>
        <v>Route 17</v>
      </c>
      <c r="I2338" s="5" t="s">
        <v>449</v>
      </c>
    </row>
    <row r="2339" customFormat="false" ht="12.75" hidden="false" customHeight="true" outlineLevel="0" collapsed="false">
      <c r="A2339" s="5" t="n">
        <v>0.2</v>
      </c>
      <c r="B2339" s="5" t="n">
        <v>0.2</v>
      </c>
      <c r="C2339" s="7"/>
      <c r="D2339" s="7"/>
      <c r="E2339" s="7"/>
      <c r="G2339" s="5" t="n">
        <f aca="false">IF(ISNUMBER(FIND("old rod:",A2339)),"old rod:",A2339)</f>
        <v>0.2</v>
      </c>
      <c r="I2339" s="5" t="n">
        <v>0.2</v>
      </c>
    </row>
    <row r="2340" customFormat="false" ht="12.75" hidden="false" customHeight="true" outlineLevel="0" collapsed="false">
      <c r="A2340" s="5" t="s">
        <v>1990</v>
      </c>
      <c r="B2340" s="7" t="n">
        <v>30</v>
      </c>
      <c r="C2340" s="7" t="n">
        <v>35</v>
      </c>
      <c r="D2340" s="7" t="s">
        <v>3731</v>
      </c>
      <c r="E2340" s="7"/>
      <c r="G2340" s="5" t="str">
        <f aca="false">IF(ISNUMBER(FIND("old rod:",A2340)),"old rod:",A2340)</f>
        <v>30, 35, ODDISH</v>
      </c>
      <c r="I2340" s="5" t="s">
        <v>1990</v>
      </c>
    </row>
    <row r="2341" customFormat="false" ht="12.75" hidden="false" customHeight="true" outlineLevel="0" collapsed="false">
      <c r="A2341" s="5" t="s">
        <v>3469</v>
      </c>
      <c r="B2341" s="7" t="n">
        <v>30</v>
      </c>
      <c r="C2341" s="7" t="n">
        <v>35</v>
      </c>
      <c r="D2341" s="7" t="s">
        <v>3887</v>
      </c>
      <c r="E2341" s="7"/>
      <c r="G2341" s="5" t="str">
        <f aca="false">IF(ISNUMBER(FIND("old rod:",A2341)),"old rod:",A2341)</f>
        <v>30, 35, PIDGEOTTO</v>
      </c>
      <c r="I2341" s="5" t="s">
        <v>3469</v>
      </c>
    </row>
    <row r="2342" customFormat="false" ht="12.75" hidden="false" customHeight="true" outlineLevel="0" collapsed="false">
      <c r="A2342" s="5" t="n">
        <v>0.1</v>
      </c>
      <c r="B2342" s="5" t="n">
        <v>0.1</v>
      </c>
      <c r="C2342" s="7"/>
      <c r="D2342" s="7"/>
      <c r="E2342" s="7"/>
      <c r="G2342" s="5" t="n">
        <f aca="false">IF(ISNUMBER(FIND("old rod:",A2342)),"old rod:",A2342)</f>
        <v>0.1</v>
      </c>
      <c r="I2342" s="5" t="n">
        <v>0.1</v>
      </c>
    </row>
    <row r="2343" customFormat="false" ht="12.75" hidden="false" customHeight="true" outlineLevel="0" collapsed="false">
      <c r="A2343" s="5" t="s">
        <v>3511</v>
      </c>
      <c r="B2343" s="7" t="n">
        <v>30</v>
      </c>
      <c r="C2343" s="7" t="n">
        <v>35</v>
      </c>
      <c r="D2343" s="7" t="s">
        <v>3941</v>
      </c>
      <c r="E2343" s="7"/>
      <c r="G2343" s="5" t="str">
        <f aca="false">IF(ISNUMBER(FIND("old rod:",A2343)),"old rod:",A2343)</f>
        <v>30, 35, GLOOM</v>
      </c>
      <c r="I2343" s="5" t="s">
        <v>3511</v>
      </c>
    </row>
    <row r="2344" customFormat="false" ht="12.75" hidden="false" customHeight="true" outlineLevel="0" collapsed="false">
      <c r="A2344" s="5" t="s">
        <v>3512</v>
      </c>
      <c r="B2344" s="7" t="n">
        <v>30</v>
      </c>
      <c r="C2344" s="7" t="n">
        <v>35</v>
      </c>
      <c r="D2344" s="7" t="s">
        <v>3928</v>
      </c>
      <c r="E2344" s="7"/>
      <c r="G2344" s="5" t="str">
        <f aca="false">IF(ISNUMBER(FIND("old rod:",A2344)),"old rod:",A2344)</f>
        <v>30, 35, DODUO</v>
      </c>
      <c r="I2344" s="5" t="s">
        <v>3512</v>
      </c>
    </row>
    <row r="2345" customFormat="false" ht="12.75" hidden="false" customHeight="true" outlineLevel="0" collapsed="false">
      <c r="A2345" s="5" t="s">
        <v>3472</v>
      </c>
      <c r="B2345" s="7" t="n">
        <v>32</v>
      </c>
      <c r="C2345" s="7" t="n">
        <v>32</v>
      </c>
      <c r="D2345" s="7" t="s">
        <v>3936</v>
      </c>
      <c r="E2345" s="7"/>
      <c r="G2345" s="5" t="str">
        <f aca="false">IF(ISNUMBER(FIND("old rod:",A2345)),"old rod:",A2345)</f>
        <v>32, 32, PIDGEOT</v>
      </c>
      <c r="I2345" s="5" t="s">
        <v>3472</v>
      </c>
    </row>
    <row r="2346" customFormat="false" ht="12.75" hidden="false" customHeight="true" outlineLevel="0" collapsed="false">
      <c r="A2346" s="5" t="s">
        <v>3513</v>
      </c>
      <c r="B2346" s="7" t="n">
        <v>30</v>
      </c>
      <c r="C2346" s="7" t="n">
        <v>32</v>
      </c>
      <c r="D2346" s="7" t="s">
        <v>3925</v>
      </c>
      <c r="E2346" s="7"/>
      <c r="G2346" s="5" t="str">
        <f aca="false">IF(ISNUMBER(FIND("old rod:",A2346)),"old rod:",A2346)</f>
        <v>30, 32, LICKITUNG</v>
      </c>
      <c r="I2346" s="5" t="s">
        <v>3513</v>
      </c>
    </row>
    <row r="2347" customFormat="false" ht="12.75" hidden="false" customHeight="true" outlineLevel="0" collapsed="false">
      <c r="A2347" s="5" t="n">
        <v>0.05</v>
      </c>
      <c r="B2347" s="5" t="n">
        <v>0.05</v>
      </c>
      <c r="C2347" s="7"/>
      <c r="D2347" s="7"/>
      <c r="E2347" s="7"/>
      <c r="G2347" s="5" t="n">
        <f aca="false">IF(ISNUMBER(FIND("old rod:",A2347)),"old rod:",A2347)</f>
        <v>0.05</v>
      </c>
      <c r="I2347" s="5" t="n">
        <v>0.05</v>
      </c>
    </row>
    <row r="2348" customFormat="false" ht="12.75" hidden="false" customHeight="true" outlineLevel="0" collapsed="false">
      <c r="A2348" s="5" t="s">
        <v>3514</v>
      </c>
      <c r="B2348" s="7" t="n">
        <v>31</v>
      </c>
      <c r="C2348" s="7" t="n">
        <v>35</v>
      </c>
      <c r="D2348" s="7" t="s">
        <v>3818</v>
      </c>
      <c r="E2348" s="7"/>
      <c r="G2348" s="5" t="str">
        <f aca="false">IF(ISNUMBER(FIND("old rod:",A2348)),"old rod:",A2348)</f>
        <v>31, 35, TAUROS</v>
      </c>
      <c r="I2348" s="5" t="s">
        <v>3514</v>
      </c>
    </row>
    <row r="2349" customFormat="false" ht="12.75" hidden="false" customHeight="true" outlineLevel="0" collapsed="false">
      <c r="A2349" s="5" t="s">
        <v>3515</v>
      </c>
      <c r="B2349" s="7" t="n">
        <v>31</v>
      </c>
      <c r="C2349" s="7" t="n">
        <v>35</v>
      </c>
      <c r="D2349" s="7" t="s">
        <v>3942</v>
      </c>
      <c r="E2349" s="7"/>
      <c r="G2349" s="5" t="str">
        <f aca="false">IF(ISNUMBER(FIND("old rod:",A2349)),"old rod:",A2349)</f>
        <v>31, 35, "MR. MIME"</v>
      </c>
      <c r="I2349" s="5" t="s">
        <v>3515</v>
      </c>
    </row>
    <row r="2350" customFormat="false" ht="12.75" hidden="false" customHeight="true" outlineLevel="0" collapsed="false">
      <c r="A2350" s="5" t="n">
        <v>0.04</v>
      </c>
      <c r="B2350" s="5" t="n">
        <v>0.04</v>
      </c>
      <c r="C2350" s="7"/>
      <c r="D2350" s="7"/>
      <c r="E2350" s="7"/>
      <c r="G2350" s="5" t="n">
        <f aca="false">IF(ISNUMBER(FIND("old rod:",A2350)),"old rod:",A2350)</f>
        <v>0.04</v>
      </c>
      <c r="I2350" s="5" t="n">
        <v>0.04</v>
      </c>
    </row>
    <row r="2351" customFormat="false" ht="12.75" hidden="false" customHeight="true" outlineLevel="0" collapsed="false">
      <c r="A2351" s="5" t="s">
        <v>3476</v>
      </c>
      <c r="B2351" s="7" t="n">
        <v>32</v>
      </c>
      <c r="C2351" s="7" t="n">
        <v>32</v>
      </c>
      <c r="D2351" s="7" t="s">
        <v>3810</v>
      </c>
      <c r="E2351" s="7"/>
      <c r="G2351" s="5" t="str">
        <f aca="false">IF(ISNUMBER(FIND("old rod:",A2351)),"old rod:",A2351)</f>
        <v>32, 32, DODRIO</v>
      </c>
      <c r="I2351" s="5" t="s">
        <v>3476</v>
      </c>
    </row>
    <row r="2352" customFormat="false" ht="12.75" hidden="false" customHeight="true" outlineLevel="0" collapsed="false">
      <c r="A2352" s="5" t="s">
        <v>3516</v>
      </c>
      <c r="B2352" s="7" t="n">
        <v>32</v>
      </c>
      <c r="C2352" s="7" t="n">
        <v>32</v>
      </c>
      <c r="D2352" s="7" t="s">
        <v>3853</v>
      </c>
      <c r="E2352" s="7"/>
      <c r="G2352" s="5" t="str">
        <f aca="false">IF(ISNUMBER(FIND("old rod:",A2352)),"old rod:",A2352)</f>
        <v>32, 32, LICKILICKY</v>
      </c>
      <c r="I2352" s="5" t="s">
        <v>3516</v>
      </c>
    </row>
    <row r="2353" customFormat="false" ht="12.75" hidden="false" customHeight="true" outlineLevel="0" collapsed="false">
      <c r="A2353" s="5" t="n">
        <v>0.01</v>
      </c>
      <c r="B2353" s="5" t="n">
        <v>0.01</v>
      </c>
      <c r="C2353" s="7"/>
      <c r="D2353" s="7"/>
      <c r="E2353" s="7"/>
      <c r="G2353" s="5" t="n">
        <f aca="false">IF(ISNUMBER(FIND("old rod:",A2353)),"old rod:",A2353)</f>
        <v>0.01</v>
      </c>
      <c r="I2353" s="5" t="n">
        <v>0.01</v>
      </c>
    </row>
    <row r="2354" customFormat="false" ht="12.75" hidden="false" customHeight="true" outlineLevel="0" collapsed="false">
      <c r="A2354" s="5" t="s">
        <v>3517</v>
      </c>
      <c r="B2354" s="7" t="n">
        <v>30</v>
      </c>
      <c r="C2354" s="7" t="n">
        <v>35</v>
      </c>
      <c r="D2354" s="7" t="s">
        <v>3943</v>
      </c>
      <c r="E2354" s="7"/>
      <c r="G2354" s="5" t="str">
        <f aca="false">IF(ISNUMBER(FIND("old rod:",A2354)),"old rod:",A2354)</f>
        <v>30, 35, VILEPLUME</v>
      </c>
      <c r="I2354" s="5" t="s">
        <v>3517</v>
      </c>
    </row>
    <row r="2355" customFormat="false" ht="12.75" hidden="false" customHeight="true" outlineLevel="0" collapsed="false">
      <c r="A2355" s="5" t="s">
        <v>3727</v>
      </c>
      <c r="B2355" s="7" t="n">
        <v>20</v>
      </c>
      <c r="C2355" s="7" t="n">
        <v>25</v>
      </c>
      <c r="D2355" s="7" t="s">
        <v>3944</v>
      </c>
      <c r="E2355" s="7"/>
      <c r="G2355" s="5" t="str">
        <f aca="false">IF(ISNUMBER(FIND("old rod:",A2355)),"old rod:",A2355)</f>
        <v>20, 25, BULBASAUR</v>
      </c>
      <c r="I2355" s="5" t="s">
        <v>3727</v>
      </c>
    </row>
    <row r="2356" customFormat="false" ht="12.75" hidden="false" customHeight="true" outlineLevel="0" collapsed="false">
      <c r="A2356" s="5" t="s">
        <v>2536</v>
      </c>
      <c r="B2356" s="7" t="s">
        <v>2536</v>
      </c>
      <c r="C2356" s="7"/>
      <c r="D2356" s="7"/>
      <c r="E2356" s="7"/>
      <c r="G2356" s="5" t="str">
        <f aca="false">IF(ISNUMBER(FIND("old rod:",A2356)),"old rod:",A2356)</f>
        <v>NEW ROUTE</v>
      </c>
      <c r="I2356" s="5" t="s">
        <v>2536</v>
      </c>
    </row>
    <row r="2357" customFormat="false" ht="12.75" hidden="false" customHeight="true" outlineLevel="0" collapsed="false">
      <c r="A2357" s="5" t="s">
        <v>451</v>
      </c>
      <c r="B2357" s="7" t="s">
        <v>451</v>
      </c>
      <c r="C2357" s="7"/>
      <c r="D2357" s="7"/>
      <c r="E2357" s="7"/>
      <c r="G2357" s="5" t="str">
        <f aca="false">IF(ISNUMBER(FIND("old rod:",A2357)),"old rod:",A2357)</f>
        <v>Route 18</v>
      </c>
      <c r="I2357" s="5" t="s">
        <v>451</v>
      </c>
    </row>
    <row r="2358" customFormat="false" ht="12.75" hidden="false" customHeight="true" outlineLevel="0" collapsed="false">
      <c r="A2358" s="5" t="n">
        <v>0.2</v>
      </c>
      <c r="B2358" s="5" t="n">
        <v>0.2</v>
      </c>
      <c r="C2358" s="7"/>
      <c r="D2358" s="7"/>
      <c r="E2358" s="7"/>
      <c r="G2358" s="5" t="n">
        <f aca="false">IF(ISNUMBER(FIND("old rod:",A2358)),"old rod:",A2358)</f>
        <v>0.2</v>
      </c>
      <c r="I2358" s="5" t="n">
        <v>0.2</v>
      </c>
    </row>
    <row r="2359" customFormat="false" ht="12.75" hidden="false" customHeight="true" outlineLevel="0" collapsed="false">
      <c r="A2359" s="5" t="s">
        <v>1999</v>
      </c>
      <c r="B2359" s="7" t="n">
        <v>32</v>
      </c>
      <c r="C2359" s="7" t="n">
        <v>36</v>
      </c>
      <c r="D2359" s="7" t="s">
        <v>3731</v>
      </c>
      <c r="E2359" s="7"/>
      <c r="G2359" s="5" t="str">
        <f aca="false">IF(ISNUMBER(FIND("old rod:",A2359)),"old rod:",A2359)</f>
        <v>32, 36, ODDISH</v>
      </c>
      <c r="I2359" s="5" t="s">
        <v>1999</v>
      </c>
    </row>
    <row r="2360" customFormat="false" ht="12.75" hidden="false" customHeight="true" outlineLevel="0" collapsed="false">
      <c r="A2360" s="5" t="s">
        <v>3480</v>
      </c>
      <c r="B2360" s="7" t="n">
        <v>32</v>
      </c>
      <c r="C2360" s="7" t="n">
        <v>36</v>
      </c>
      <c r="D2360" s="7" t="s">
        <v>3887</v>
      </c>
      <c r="E2360" s="7"/>
      <c r="G2360" s="5" t="str">
        <f aca="false">IF(ISNUMBER(FIND("old rod:",A2360)),"old rod:",A2360)</f>
        <v>32, 36, PIDGEOTTO</v>
      </c>
      <c r="I2360" s="5" t="s">
        <v>3480</v>
      </c>
    </row>
    <row r="2361" customFormat="false" ht="12.75" hidden="false" customHeight="true" outlineLevel="0" collapsed="false">
      <c r="A2361" s="5" t="n">
        <v>0.1</v>
      </c>
      <c r="B2361" s="5" t="n">
        <v>0.1</v>
      </c>
      <c r="C2361" s="7"/>
      <c r="D2361" s="7"/>
      <c r="E2361" s="7"/>
      <c r="G2361" s="5" t="n">
        <f aca="false">IF(ISNUMBER(FIND("old rod:",A2361)),"old rod:",A2361)</f>
        <v>0.1</v>
      </c>
      <c r="I2361" s="5" t="n">
        <v>0.1</v>
      </c>
    </row>
    <row r="2362" customFormat="false" ht="12.75" hidden="false" customHeight="true" outlineLevel="0" collapsed="false">
      <c r="A2362" s="5" t="s">
        <v>3519</v>
      </c>
      <c r="B2362" s="7" t="n">
        <v>31</v>
      </c>
      <c r="C2362" s="7" t="n">
        <v>33</v>
      </c>
      <c r="D2362" s="7" t="s">
        <v>3941</v>
      </c>
      <c r="E2362" s="7"/>
      <c r="G2362" s="5" t="str">
        <f aca="false">IF(ISNUMBER(FIND("old rod:",A2362)),"old rod:",A2362)</f>
        <v>31, 33, GLOOM</v>
      </c>
      <c r="I2362" s="5" t="s">
        <v>3519</v>
      </c>
    </row>
    <row r="2363" customFormat="false" ht="12.75" hidden="false" customHeight="true" outlineLevel="0" collapsed="false">
      <c r="A2363" s="5" t="s">
        <v>3482</v>
      </c>
      <c r="B2363" s="7" t="n">
        <v>31</v>
      </c>
      <c r="C2363" s="7" t="n">
        <v>33</v>
      </c>
      <c r="D2363" s="7" t="s">
        <v>3928</v>
      </c>
      <c r="E2363" s="7"/>
      <c r="G2363" s="5" t="str">
        <f aca="false">IF(ISNUMBER(FIND("old rod:",A2363)),"old rod:",A2363)</f>
        <v>31, 33, DODUO</v>
      </c>
      <c r="I2363" s="5" t="s">
        <v>3482</v>
      </c>
    </row>
    <row r="2364" customFormat="false" ht="12.75" hidden="false" customHeight="true" outlineLevel="0" collapsed="false">
      <c r="A2364" s="5" t="s">
        <v>3483</v>
      </c>
      <c r="B2364" s="7" t="n">
        <v>33</v>
      </c>
      <c r="C2364" s="7" t="n">
        <v>33</v>
      </c>
      <c r="D2364" s="7" t="s">
        <v>3936</v>
      </c>
      <c r="E2364" s="7"/>
      <c r="G2364" s="5" t="str">
        <f aca="false">IF(ISNUMBER(FIND("old rod:",A2364)),"old rod:",A2364)</f>
        <v>33, 33, PIDGEOT</v>
      </c>
      <c r="I2364" s="5" t="s">
        <v>3483</v>
      </c>
    </row>
    <row r="2365" customFormat="false" ht="12.75" hidden="false" customHeight="true" outlineLevel="0" collapsed="false">
      <c r="A2365" s="5" t="s">
        <v>3520</v>
      </c>
      <c r="B2365" s="7" t="n">
        <v>31</v>
      </c>
      <c r="C2365" s="7" t="n">
        <v>33</v>
      </c>
      <c r="D2365" s="7" t="s">
        <v>3925</v>
      </c>
      <c r="E2365" s="7"/>
      <c r="G2365" s="5" t="str">
        <f aca="false">IF(ISNUMBER(FIND("old rod:",A2365)),"old rod:",A2365)</f>
        <v>31, 33, LICKITUNG</v>
      </c>
      <c r="I2365" s="5" t="s">
        <v>3520</v>
      </c>
    </row>
    <row r="2366" customFormat="false" ht="12.75" hidden="false" customHeight="true" outlineLevel="0" collapsed="false">
      <c r="A2366" s="5" t="n">
        <v>0.05</v>
      </c>
      <c r="B2366" s="5" t="n">
        <v>0.05</v>
      </c>
      <c r="C2366" s="7"/>
      <c r="D2366" s="7"/>
      <c r="E2366" s="7"/>
      <c r="G2366" s="5" t="n">
        <f aca="false">IF(ISNUMBER(FIND("old rod:",A2366)),"old rod:",A2366)</f>
        <v>0.05</v>
      </c>
      <c r="I2366" s="5" t="n">
        <v>0.05</v>
      </c>
    </row>
    <row r="2367" customFormat="false" ht="12.75" hidden="false" customHeight="true" outlineLevel="0" collapsed="false">
      <c r="A2367" s="5" t="s">
        <v>3521</v>
      </c>
      <c r="B2367" s="7" t="n">
        <v>32</v>
      </c>
      <c r="C2367" s="7" t="n">
        <v>36</v>
      </c>
      <c r="D2367" s="7" t="s">
        <v>3818</v>
      </c>
      <c r="E2367" s="7"/>
      <c r="G2367" s="5" t="str">
        <f aca="false">IF(ISNUMBER(FIND("old rod:",A2367)),"old rod:",A2367)</f>
        <v>32, 36, TAUROS</v>
      </c>
      <c r="I2367" s="5" t="s">
        <v>3521</v>
      </c>
    </row>
    <row r="2368" customFormat="false" ht="12.75" hidden="false" customHeight="true" outlineLevel="0" collapsed="false">
      <c r="A2368" s="5" t="s">
        <v>3522</v>
      </c>
      <c r="B2368" s="7" t="n">
        <v>32</v>
      </c>
      <c r="C2368" s="7" t="n">
        <v>36</v>
      </c>
      <c r="D2368" s="7" t="s">
        <v>3942</v>
      </c>
      <c r="E2368" s="7"/>
      <c r="G2368" s="5" t="str">
        <f aca="false">IF(ISNUMBER(FIND("old rod:",A2368)),"old rod:",A2368)</f>
        <v>32, 36, "MR. MIME"</v>
      </c>
      <c r="I2368" s="5" t="s">
        <v>3522</v>
      </c>
    </row>
    <row r="2369" customFormat="false" ht="12.75" hidden="false" customHeight="true" outlineLevel="0" collapsed="false">
      <c r="A2369" s="5" t="n">
        <v>0.04</v>
      </c>
      <c r="B2369" s="5" t="n">
        <v>0.04</v>
      </c>
      <c r="C2369" s="7"/>
      <c r="D2369" s="7"/>
      <c r="E2369" s="7"/>
      <c r="G2369" s="5" t="n">
        <f aca="false">IF(ISNUMBER(FIND("old rod:",A2369)),"old rod:",A2369)</f>
        <v>0.04</v>
      </c>
      <c r="I2369" s="5" t="n">
        <v>0.04</v>
      </c>
    </row>
    <row r="2370" customFormat="false" ht="12.75" hidden="false" customHeight="true" outlineLevel="0" collapsed="false">
      <c r="A2370" s="5" t="s">
        <v>3523</v>
      </c>
      <c r="B2370" s="7" t="n">
        <v>34</v>
      </c>
      <c r="C2370" s="7" t="n">
        <v>36</v>
      </c>
      <c r="D2370" s="7" t="s">
        <v>3810</v>
      </c>
      <c r="E2370" s="7"/>
      <c r="G2370" s="5" t="str">
        <f aca="false">IF(ISNUMBER(FIND("old rod:",A2370)),"old rod:",A2370)</f>
        <v>34, 36, DODRIO</v>
      </c>
      <c r="I2370" s="5" t="s">
        <v>3523</v>
      </c>
    </row>
    <row r="2371" customFormat="false" ht="12.75" hidden="false" customHeight="true" outlineLevel="0" collapsed="false">
      <c r="A2371" s="5" t="s">
        <v>3524</v>
      </c>
      <c r="B2371" s="7" t="n">
        <v>33</v>
      </c>
      <c r="C2371" s="7" t="n">
        <v>33</v>
      </c>
      <c r="D2371" s="7" t="s">
        <v>3853</v>
      </c>
      <c r="E2371" s="7"/>
      <c r="G2371" s="5" t="str">
        <f aca="false">IF(ISNUMBER(FIND("old rod:",A2371)),"old rod:",A2371)</f>
        <v>33, 33, LICKILICKY</v>
      </c>
      <c r="I2371" s="5" t="s">
        <v>3524</v>
      </c>
    </row>
    <row r="2372" customFormat="false" ht="12.75" hidden="false" customHeight="true" outlineLevel="0" collapsed="false">
      <c r="A2372" s="5" t="n">
        <v>0.01</v>
      </c>
      <c r="B2372" s="5" t="n">
        <v>0.01</v>
      </c>
      <c r="C2372" s="7"/>
      <c r="D2372" s="7"/>
      <c r="E2372" s="7"/>
      <c r="G2372" s="5" t="n">
        <f aca="false">IF(ISNUMBER(FIND("old rod:",A2372)),"old rod:",A2372)</f>
        <v>0.01</v>
      </c>
      <c r="I2372" s="5" t="n">
        <v>0.01</v>
      </c>
    </row>
    <row r="2373" customFormat="false" ht="12.75" hidden="false" customHeight="true" outlineLevel="0" collapsed="false">
      <c r="A2373" s="5" t="s">
        <v>3525</v>
      </c>
      <c r="B2373" s="7" t="n">
        <v>31</v>
      </c>
      <c r="C2373" s="7" t="n">
        <v>36</v>
      </c>
      <c r="D2373" s="7" t="s">
        <v>3943</v>
      </c>
      <c r="E2373" s="7"/>
      <c r="G2373" s="5" t="str">
        <f aca="false">IF(ISNUMBER(FIND("old rod:",A2373)),"old rod:",A2373)</f>
        <v>31, 36, VILEPLUME</v>
      </c>
      <c r="I2373" s="5" t="s">
        <v>3525</v>
      </c>
    </row>
    <row r="2374" customFormat="false" ht="12.75" hidden="false" customHeight="true" outlineLevel="0" collapsed="false">
      <c r="A2374" s="5" t="s">
        <v>3727</v>
      </c>
      <c r="B2374" s="7" t="n">
        <v>20</v>
      </c>
      <c r="C2374" s="7" t="n">
        <v>25</v>
      </c>
      <c r="D2374" s="7" t="s">
        <v>3944</v>
      </c>
      <c r="E2374" s="7"/>
      <c r="G2374" s="5" t="str">
        <f aca="false">IF(ISNUMBER(FIND("old rod:",A2374)),"old rod:",A2374)</f>
        <v>20, 25, BULBASAUR</v>
      </c>
      <c r="I2374" s="5" t="s">
        <v>3727</v>
      </c>
    </row>
    <row r="2375" customFormat="false" ht="12.75" hidden="false" customHeight="true" outlineLevel="0" collapsed="false">
      <c r="A2375" s="5" t="s">
        <v>2536</v>
      </c>
      <c r="B2375" s="7" t="s">
        <v>2536</v>
      </c>
      <c r="C2375" s="7"/>
      <c r="D2375" s="7"/>
      <c r="E2375" s="7"/>
      <c r="G2375" s="5" t="str">
        <f aca="false">IF(ISNUMBER(FIND("old rod:",A2375)),"old rod:",A2375)</f>
        <v>NEW ROUTE</v>
      </c>
      <c r="I2375" s="5" t="s">
        <v>2536</v>
      </c>
    </row>
    <row r="2376" customFormat="false" ht="12.75" hidden="false" customHeight="true" outlineLevel="0" collapsed="false">
      <c r="A2376" s="5" t="s">
        <v>453</v>
      </c>
      <c r="B2376" s="7" t="s">
        <v>453</v>
      </c>
      <c r="C2376" s="7"/>
      <c r="D2376" s="7"/>
      <c r="E2376" s="7"/>
      <c r="G2376" s="5" t="str">
        <f aca="false">IF(ISNUMBER(FIND("old rod:",A2376)),"old rod:",A2376)</f>
        <v>Route 19</v>
      </c>
      <c r="I2376" s="5" t="s">
        <v>453</v>
      </c>
    </row>
    <row r="2377" customFormat="false" ht="12.75" hidden="false" customHeight="true" outlineLevel="0" collapsed="false">
      <c r="A2377" s="5" t="s">
        <v>3349</v>
      </c>
      <c r="B2377" s="7" t="n">
        <v>2</v>
      </c>
      <c r="C2377" s="7" t="n">
        <v>38</v>
      </c>
      <c r="D2377" s="7" t="n">
        <v>42</v>
      </c>
      <c r="E2377" s="7" t="s">
        <v>3747</v>
      </c>
      <c r="G2377" s="5" t="str">
        <f aca="false">IF(ISNUMBER(FIND("old rod:",A2377)),"old rod:",A2377)</f>
        <v>2, 38, 42, TENTACOOL</v>
      </c>
      <c r="I2377" s="5" t="s">
        <v>3349</v>
      </c>
    </row>
    <row r="2378" customFormat="false" ht="12.75" hidden="false" customHeight="true" outlineLevel="0" collapsed="false">
      <c r="A2378" s="5" t="s">
        <v>3428</v>
      </c>
      <c r="B2378" s="7" t="n">
        <v>40</v>
      </c>
      <c r="C2378" s="7" t="n">
        <v>44</v>
      </c>
      <c r="D2378" s="7" t="s">
        <v>3897</v>
      </c>
      <c r="E2378" s="7"/>
      <c r="G2378" s="5" t="str">
        <f aca="false">IF(ISNUMBER(FIND("old rod:",A2378)),"old rod:",A2378)</f>
        <v>40, 44, TENTACRUEL</v>
      </c>
      <c r="I2378" s="5" t="s">
        <v>3428</v>
      </c>
    </row>
    <row r="2379" customFormat="false" ht="12.75" hidden="false" customHeight="true" outlineLevel="0" collapsed="false">
      <c r="A2379" s="5" t="s">
        <v>3429</v>
      </c>
      <c r="B2379" s="7" t="n">
        <v>42</v>
      </c>
      <c r="C2379" s="7" t="n">
        <v>46</v>
      </c>
      <c r="D2379" s="7" t="s">
        <v>3930</v>
      </c>
      <c r="E2379" s="7"/>
      <c r="G2379" s="5" t="str">
        <f aca="false">IF(ISNUMBER(FIND("old rod:",A2379)),"old rod:",A2379)</f>
        <v>42, 46, TENTACATE</v>
      </c>
      <c r="I2379" s="5" t="s">
        <v>3429</v>
      </c>
    </row>
    <row r="2380" customFormat="false" ht="12.75" hidden="false" customHeight="true" outlineLevel="0" collapsed="false">
      <c r="A2380" s="5" t="s">
        <v>3024</v>
      </c>
      <c r="B2380" s="7" t="n">
        <v>42</v>
      </c>
      <c r="C2380" s="7" t="n">
        <v>46</v>
      </c>
      <c r="D2380" s="7" t="s">
        <v>3860</v>
      </c>
      <c r="E2380" s="7"/>
      <c r="G2380" s="5" t="str">
        <f aca="false">IF(ISNUMBER(FIND("old rod:",A2380)),"old rod:",A2380)</f>
        <v>42, 46, LAPRAS</v>
      </c>
      <c r="I2380" s="5" t="s">
        <v>3024</v>
      </c>
    </row>
    <row r="2381" customFormat="false" ht="12.75" hidden="false" customHeight="true" outlineLevel="0" collapsed="false">
      <c r="A2381" s="5" t="s">
        <v>3449</v>
      </c>
      <c r="B2381" s="7" t="n">
        <v>44</v>
      </c>
      <c r="C2381" s="7" t="n">
        <v>48</v>
      </c>
      <c r="D2381" s="7" t="s">
        <v>3933</v>
      </c>
      <c r="E2381" s="7"/>
      <c r="G2381" s="5" t="str">
        <f aca="false">IF(ISNUMBER(FIND("old rod:",A2381)),"old rod:",A2381)</f>
        <v>44, 48, LOCHLASS</v>
      </c>
      <c r="I2381" s="5" t="s">
        <v>3449</v>
      </c>
    </row>
    <row r="2382" customFormat="false" ht="12.75" hidden="false" customHeight="true" outlineLevel="0" collapsed="false">
      <c r="A2382" s="5" t="s">
        <v>2925</v>
      </c>
      <c r="B2382" s="7" t="n">
        <v>20</v>
      </c>
      <c r="C2382" s="7" t="s">
        <v>3748</v>
      </c>
      <c r="D2382" s="7"/>
      <c r="E2382" s="7"/>
      <c r="G2382" s="5" t="str">
        <f aca="false">IF(ISNUMBER(FIND("old rod:",A2382)),"old rod:",A2382)</f>
        <v>old rod:</v>
      </c>
      <c r="I2382" s="5" t="s">
        <v>3749</v>
      </c>
    </row>
    <row r="2383" customFormat="false" ht="12.75" hidden="false" customHeight="true" outlineLevel="0" collapsed="false">
      <c r="A2383" s="5" t="s">
        <v>2008</v>
      </c>
      <c r="B2383" s="7" t="n">
        <v>19</v>
      </c>
      <c r="C2383" s="7" t="n">
        <v>26</v>
      </c>
      <c r="D2383" s="7" t="s">
        <v>3799</v>
      </c>
      <c r="E2383" s="7"/>
      <c r="G2383" s="5" t="str">
        <f aca="false">IF(ISNUMBER(FIND("old rod:",A2383)),"old rod:",A2383)</f>
        <v>19, 26, PSYDUCK</v>
      </c>
      <c r="I2383" s="5" t="s">
        <v>2008</v>
      </c>
    </row>
    <row r="2384" customFormat="false" ht="12.75" hidden="false" customHeight="true" outlineLevel="0" collapsed="false">
      <c r="A2384" s="5" t="s">
        <v>1451</v>
      </c>
      <c r="B2384" s="7" t="n">
        <v>19</v>
      </c>
      <c r="C2384" s="7" t="n">
        <v>26</v>
      </c>
      <c r="D2384" s="7" t="s">
        <v>3752</v>
      </c>
      <c r="E2384" s="7"/>
      <c r="G2384" s="5" t="str">
        <f aca="false">IF(ISNUMBER(FIND("old rod:",A2384)),"old rod:",A2384)</f>
        <v>19, 26, HORSEA</v>
      </c>
      <c r="I2384" s="5" t="s">
        <v>1451</v>
      </c>
    </row>
    <row r="2385" customFormat="false" ht="12.75" hidden="false" customHeight="true" outlineLevel="0" collapsed="false">
      <c r="A2385" s="5" t="s">
        <v>2846</v>
      </c>
      <c r="B2385" s="7" t="s">
        <v>2846</v>
      </c>
      <c r="C2385" s="7"/>
      <c r="D2385" s="7"/>
      <c r="E2385" s="7"/>
      <c r="G2385" s="5" t="str">
        <f aca="false">IF(ISNUMBER(FIND("old rod:",A2385)),"old rod:",A2385)</f>
        <v>good rod:</v>
      </c>
      <c r="I2385" s="5" t="s">
        <v>2846</v>
      </c>
    </row>
    <row r="2386" customFormat="false" ht="12.75" hidden="false" customHeight="true" outlineLevel="0" collapsed="false">
      <c r="A2386" s="5" t="s">
        <v>3026</v>
      </c>
      <c r="B2386" s="7" t="n">
        <v>29</v>
      </c>
      <c r="C2386" s="7" t="n">
        <v>33</v>
      </c>
      <c r="D2386" s="7" t="s">
        <v>3858</v>
      </c>
      <c r="E2386" s="7"/>
      <c r="G2386" s="5" t="str">
        <f aca="false">IF(ISNUMBER(FIND("old rod:",A2386)),"old rod:",A2386)</f>
        <v>29, 33, SEADRA</v>
      </c>
      <c r="I2386" s="5" t="s">
        <v>3026</v>
      </c>
    </row>
    <row r="2387" customFormat="false" ht="12.75" hidden="false" customHeight="true" outlineLevel="0" collapsed="false">
      <c r="A2387" s="5" t="s">
        <v>3027</v>
      </c>
      <c r="B2387" s="7" t="n">
        <v>30</v>
      </c>
      <c r="C2387" s="7" t="n">
        <v>35</v>
      </c>
      <c r="D2387" s="7" t="s">
        <v>3751</v>
      </c>
      <c r="E2387" s="7"/>
      <c r="G2387" s="5" t="str">
        <f aca="false">IF(ISNUMBER(FIND("old rod:",A2387)),"old rod:",A2387)</f>
        <v>30, 35, KRABBY</v>
      </c>
      <c r="I2387" s="5" t="s">
        <v>3027</v>
      </c>
    </row>
    <row r="2388" customFormat="false" ht="12.75" hidden="false" customHeight="true" outlineLevel="0" collapsed="false">
      <c r="A2388" s="5" t="s">
        <v>3028</v>
      </c>
      <c r="B2388" s="7" t="n">
        <v>30</v>
      </c>
      <c r="C2388" s="7" t="n">
        <v>35</v>
      </c>
      <c r="D2388" s="7" t="s">
        <v>3801</v>
      </c>
      <c r="E2388" s="7"/>
      <c r="G2388" s="5" t="str">
        <f aca="false">IF(ISNUMBER(FIND("old rod:",A2388)),"old rod:",A2388)</f>
        <v>30, 35, GOLDUCK</v>
      </c>
      <c r="I2388" s="5" t="s">
        <v>3028</v>
      </c>
    </row>
    <row r="2389" customFormat="false" ht="12.75" hidden="false" customHeight="true" outlineLevel="0" collapsed="false">
      <c r="A2389" s="5" t="s">
        <v>2850</v>
      </c>
      <c r="B2389" s="7" t="s">
        <v>2850</v>
      </c>
      <c r="C2389" s="7"/>
      <c r="D2389" s="7"/>
      <c r="E2389" s="7"/>
      <c r="G2389" s="5" t="str">
        <f aca="false">IF(ISNUMBER(FIND("old rod:",A2389)),"old rod:",A2389)</f>
        <v>super rod:</v>
      </c>
      <c r="I2389" s="5" t="s">
        <v>2850</v>
      </c>
    </row>
    <row r="2390" customFormat="false" ht="12.75" hidden="false" customHeight="true" outlineLevel="0" collapsed="false">
      <c r="A2390" s="5" t="s">
        <v>3029</v>
      </c>
      <c r="B2390" s="7" t="n">
        <v>36</v>
      </c>
      <c r="C2390" s="7" t="n">
        <v>40</v>
      </c>
      <c r="D2390" s="7" t="s">
        <v>3842</v>
      </c>
      <c r="E2390" s="7"/>
      <c r="G2390" s="5" t="str">
        <f aca="false">IF(ISNUMBER(FIND("old rod:",A2390)),"old rod:",A2390)</f>
        <v>36, 40, KINGDRA</v>
      </c>
      <c r="I2390" s="5" t="s">
        <v>3029</v>
      </c>
    </row>
    <row r="2391" customFormat="false" ht="12.75" hidden="false" customHeight="true" outlineLevel="0" collapsed="false">
      <c r="A2391" s="5" t="s">
        <v>3527</v>
      </c>
      <c r="B2391" s="7" t="n">
        <v>36</v>
      </c>
      <c r="C2391" s="7" t="n">
        <v>40</v>
      </c>
      <c r="D2391" s="7" t="s">
        <v>3859</v>
      </c>
      <c r="E2391" s="7"/>
      <c r="G2391" s="5" t="str">
        <f aca="false">IF(ISNUMBER(FIND("old rod:",A2391)),"old rod:",A2391)</f>
        <v>36, 40, KINGLER</v>
      </c>
      <c r="I2391" s="5" t="s">
        <v>3527</v>
      </c>
    </row>
    <row r="2392" customFormat="false" ht="12.75" hidden="false" customHeight="true" outlineLevel="0" collapsed="false">
      <c r="A2392" s="5" t="s">
        <v>3031</v>
      </c>
      <c r="B2392" s="7" t="n">
        <v>38</v>
      </c>
      <c r="C2392" s="7" t="n">
        <v>42</v>
      </c>
      <c r="D2392" s="7" t="s">
        <v>3854</v>
      </c>
      <c r="E2392" s="7"/>
      <c r="G2392" s="5" t="str">
        <f aca="false">IF(ISNUMBER(FIND("old rod:",A2392)),"old rod:",A2392)</f>
        <v>38, 42, GILDUCK</v>
      </c>
      <c r="I2392" s="5" t="s">
        <v>3031</v>
      </c>
    </row>
    <row r="2393" customFormat="false" ht="12.75" hidden="false" customHeight="true" outlineLevel="0" collapsed="false">
      <c r="A2393" s="5" t="s">
        <v>3032</v>
      </c>
      <c r="B2393" s="7" t="n">
        <v>38</v>
      </c>
      <c r="C2393" s="7" t="n">
        <v>42</v>
      </c>
      <c r="D2393" s="7" t="s">
        <v>3862</v>
      </c>
      <c r="E2393" s="7"/>
      <c r="G2393" s="5" t="str">
        <f aca="false">IF(ISNUMBER(FIND("old rod:",A2393)),"old rod:",A2393)</f>
        <v>38, 42, KRAKLAW</v>
      </c>
      <c r="I2393" s="5" t="s">
        <v>3032</v>
      </c>
    </row>
    <row r="2394" customFormat="false" ht="12.75" hidden="false" customHeight="true" outlineLevel="0" collapsed="false">
      <c r="A2394" s="5" t="s">
        <v>3033</v>
      </c>
      <c r="B2394" s="7" t="n">
        <v>40</v>
      </c>
      <c r="C2394" s="7" t="n">
        <v>44</v>
      </c>
      <c r="D2394" s="7" t="s">
        <v>3844</v>
      </c>
      <c r="E2394" s="7"/>
      <c r="G2394" s="5" t="str">
        <f aca="false">IF(ISNUMBER(FIND("old rod:",A2394)),"old rod:",A2394)</f>
        <v>40, 44, LORDRA</v>
      </c>
      <c r="I2394" s="5" t="s">
        <v>3033</v>
      </c>
    </row>
    <row r="2395" customFormat="false" ht="12.75" hidden="false" customHeight="true" outlineLevel="0" collapsed="false">
      <c r="A2395" s="5" t="s">
        <v>2536</v>
      </c>
      <c r="B2395" s="7" t="s">
        <v>2536</v>
      </c>
      <c r="C2395" s="7"/>
      <c r="D2395" s="7"/>
      <c r="E2395" s="7"/>
      <c r="G2395" s="5" t="str">
        <f aca="false">IF(ISNUMBER(FIND("old rod:",A2395)),"old rod:",A2395)</f>
        <v>NEW ROUTE</v>
      </c>
      <c r="I2395" s="5" t="s">
        <v>2536</v>
      </c>
    </row>
    <row r="2396" customFormat="false" ht="12.75" hidden="false" customHeight="true" outlineLevel="0" collapsed="false">
      <c r="A2396" s="5" t="s">
        <v>455</v>
      </c>
      <c r="B2396" s="7" t="s">
        <v>455</v>
      </c>
      <c r="C2396" s="7"/>
      <c r="D2396" s="7"/>
      <c r="E2396" s="7"/>
      <c r="G2396" s="5" t="str">
        <f aca="false">IF(ISNUMBER(FIND("old rod:",A2396)),"old rod:",A2396)</f>
        <v>Route 20</v>
      </c>
      <c r="I2396" s="5" t="s">
        <v>455</v>
      </c>
    </row>
    <row r="2397" customFormat="false" ht="12.75" hidden="false" customHeight="true" outlineLevel="0" collapsed="false">
      <c r="A2397" s="5" t="s">
        <v>3349</v>
      </c>
      <c r="B2397" s="7" t="n">
        <v>2</v>
      </c>
      <c r="C2397" s="7" t="n">
        <v>38</v>
      </c>
      <c r="D2397" s="7" t="n">
        <v>42</v>
      </c>
      <c r="E2397" s="7" t="s">
        <v>3747</v>
      </c>
      <c r="G2397" s="5" t="str">
        <f aca="false">IF(ISNUMBER(FIND("old rod:",A2397)),"old rod:",A2397)</f>
        <v>2, 38, 42, TENTACOOL</v>
      </c>
      <c r="I2397" s="5" t="s">
        <v>3349</v>
      </c>
    </row>
    <row r="2398" customFormat="false" ht="12.75" hidden="false" customHeight="true" outlineLevel="0" collapsed="false">
      <c r="A2398" s="5" t="s">
        <v>3428</v>
      </c>
      <c r="B2398" s="7" t="n">
        <v>40</v>
      </c>
      <c r="C2398" s="7" t="n">
        <v>44</v>
      </c>
      <c r="D2398" s="7" t="s">
        <v>3897</v>
      </c>
      <c r="E2398" s="7"/>
      <c r="G2398" s="5" t="str">
        <f aca="false">IF(ISNUMBER(FIND("old rod:",A2398)),"old rod:",A2398)</f>
        <v>40, 44, TENTACRUEL</v>
      </c>
      <c r="I2398" s="5" t="s">
        <v>3428</v>
      </c>
    </row>
    <row r="2399" customFormat="false" ht="12.75" hidden="false" customHeight="true" outlineLevel="0" collapsed="false">
      <c r="A2399" s="5" t="s">
        <v>3429</v>
      </c>
      <c r="B2399" s="7" t="n">
        <v>42</v>
      </c>
      <c r="C2399" s="7" t="n">
        <v>46</v>
      </c>
      <c r="D2399" s="7" t="s">
        <v>3930</v>
      </c>
      <c r="E2399" s="7"/>
      <c r="G2399" s="5" t="str">
        <f aca="false">IF(ISNUMBER(FIND("old rod:",A2399)),"old rod:",A2399)</f>
        <v>42, 46, TENTACATE</v>
      </c>
      <c r="I2399" s="5" t="s">
        <v>3429</v>
      </c>
    </row>
    <row r="2400" customFormat="false" ht="12.75" hidden="false" customHeight="true" outlineLevel="0" collapsed="false">
      <c r="A2400" s="5" t="s">
        <v>3024</v>
      </c>
      <c r="B2400" s="7" t="n">
        <v>42</v>
      </c>
      <c r="C2400" s="7" t="n">
        <v>46</v>
      </c>
      <c r="D2400" s="7" t="s">
        <v>3860</v>
      </c>
      <c r="E2400" s="7"/>
      <c r="G2400" s="5" t="str">
        <f aca="false">IF(ISNUMBER(FIND("old rod:",A2400)),"old rod:",A2400)</f>
        <v>42, 46, LAPRAS</v>
      </c>
      <c r="I2400" s="5" t="s">
        <v>3024</v>
      </c>
    </row>
    <row r="2401" customFormat="false" ht="12.75" hidden="false" customHeight="true" outlineLevel="0" collapsed="false">
      <c r="A2401" s="5" t="s">
        <v>3449</v>
      </c>
      <c r="B2401" s="7" t="n">
        <v>44</v>
      </c>
      <c r="C2401" s="7" t="n">
        <v>48</v>
      </c>
      <c r="D2401" s="7" t="s">
        <v>3933</v>
      </c>
      <c r="E2401" s="7"/>
      <c r="G2401" s="5" t="str">
        <f aca="false">IF(ISNUMBER(FIND("old rod:",A2401)),"old rod:",A2401)</f>
        <v>44, 48, LOCHLASS</v>
      </c>
      <c r="I2401" s="5" t="s">
        <v>3449</v>
      </c>
    </row>
    <row r="2402" customFormat="false" ht="12.75" hidden="false" customHeight="true" outlineLevel="0" collapsed="false">
      <c r="A2402" s="5" t="s">
        <v>2925</v>
      </c>
      <c r="B2402" s="7" t="n">
        <v>20</v>
      </c>
      <c r="C2402" s="7" t="s">
        <v>3748</v>
      </c>
      <c r="D2402" s="7"/>
      <c r="E2402" s="7"/>
      <c r="G2402" s="5" t="str">
        <f aca="false">IF(ISNUMBER(FIND("old rod:",A2402)),"old rod:",A2402)</f>
        <v>old rod:</v>
      </c>
      <c r="I2402" s="5" t="s">
        <v>3749</v>
      </c>
    </row>
    <row r="2403" customFormat="false" ht="12.75" hidden="false" customHeight="true" outlineLevel="0" collapsed="false">
      <c r="A2403" s="5" t="s">
        <v>2008</v>
      </c>
      <c r="B2403" s="7" t="n">
        <v>19</v>
      </c>
      <c r="C2403" s="7" t="n">
        <v>26</v>
      </c>
      <c r="D2403" s="7" t="s">
        <v>3799</v>
      </c>
      <c r="E2403" s="7"/>
      <c r="G2403" s="5" t="str">
        <f aca="false">IF(ISNUMBER(FIND("old rod:",A2403)),"old rod:",A2403)</f>
        <v>19, 26, PSYDUCK</v>
      </c>
      <c r="I2403" s="5" t="s">
        <v>2008</v>
      </c>
    </row>
    <row r="2404" customFormat="false" ht="12.75" hidden="false" customHeight="true" outlineLevel="0" collapsed="false">
      <c r="A2404" s="5" t="s">
        <v>1451</v>
      </c>
      <c r="B2404" s="7" t="n">
        <v>19</v>
      </c>
      <c r="C2404" s="7" t="n">
        <v>26</v>
      </c>
      <c r="D2404" s="7" t="s">
        <v>3752</v>
      </c>
      <c r="E2404" s="7"/>
      <c r="G2404" s="5" t="str">
        <f aca="false">IF(ISNUMBER(FIND("old rod:",A2404)),"old rod:",A2404)</f>
        <v>19, 26, HORSEA</v>
      </c>
      <c r="I2404" s="5" t="s">
        <v>1451</v>
      </c>
    </row>
    <row r="2405" customFormat="false" ht="12.75" hidden="false" customHeight="true" outlineLevel="0" collapsed="false">
      <c r="A2405" s="5" t="s">
        <v>2846</v>
      </c>
      <c r="B2405" s="7" t="s">
        <v>2846</v>
      </c>
      <c r="C2405" s="7"/>
      <c r="D2405" s="7"/>
      <c r="E2405" s="7"/>
      <c r="G2405" s="5" t="str">
        <f aca="false">IF(ISNUMBER(FIND("old rod:",A2405)),"old rod:",A2405)</f>
        <v>good rod:</v>
      </c>
      <c r="I2405" s="5" t="s">
        <v>2846</v>
      </c>
    </row>
    <row r="2406" customFormat="false" ht="12.75" hidden="false" customHeight="true" outlineLevel="0" collapsed="false">
      <c r="A2406" s="5" t="s">
        <v>3026</v>
      </c>
      <c r="B2406" s="7" t="n">
        <v>29</v>
      </c>
      <c r="C2406" s="7" t="n">
        <v>33</v>
      </c>
      <c r="D2406" s="7" t="s">
        <v>3858</v>
      </c>
      <c r="E2406" s="7"/>
      <c r="G2406" s="5" t="str">
        <f aca="false">IF(ISNUMBER(FIND("old rod:",A2406)),"old rod:",A2406)</f>
        <v>29, 33, SEADRA</v>
      </c>
      <c r="I2406" s="5" t="s">
        <v>3026</v>
      </c>
    </row>
    <row r="2407" customFormat="false" ht="12.75" hidden="false" customHeight="true" outlineLevel="0" collapsed="false">
      <c r="A2407" s="5" t="s">
        <v>3027</v>
      </c>
      <c r="B2407" s="7" t="n">
        <v>30</v>
      </c>
      <c r="C2407" s="7" t="n">
        <v>35</v>
      </c>
      <c r="D2407" s="7" t="s">
        <v>3751</v>
      </c>
      <c r="E2407" s="7"/>
      <c r="G2407" s="5" t="str">
        <f aca="false">IF(ISNUMBER(FIND("old rod:",A2407)),"old rod:",A2407)</f>
        <v>30, 35, KRABBY</v>
      </c>
      <c r="I2407" s="5" t="s">
        <v>3027</v>
      </c>
    </row>
    <row r="2408" customFormat="false" ht="12.75" hidden="false" customHeight="true" outlineLevel="0" collapsed="false">
      <c r="A2408" s="5" t="s">
        <v>3028</v>
      </c>
      <c r="B2408" s="7" t="n">
        <v>30</v>
      </c>
      <c r="C2408" s="7" t="n">
        <v>35</v>
      </c>
      <c r="D2408" s="7" t="s">
        <v>3801</v>
      </c>
      <c r="E2408" s="7"/>
      <c r="G2408" s="5" t="str">
        <f aca="false">IF(ISNUMBER(FIND("old rod:",A2408)),"old rod:",A2408)</f>
        <v>30, 35, GOLDUCK</v>
      </c>
      <c r="I2408" s="5" t="s">
        <v>3028</v>
      </c>
    </row>
    <row r="2409" customFormat="false" ht="12.75" hidden="false" customHeight="true" outlineLevel="0" collapsed="false">
      <c r="A2409" s="5" t="s">
        <v>2850</v>
      </c>
      <c r="B2409" s="7" t="s">
        <v>2850</v>
      </c>
      <c r="C2409" s="7"/>
      <c r="D2409" s="7"/>
      <c r="E2409" s="7"/>
      <c r="G2409" s="5" t="str">
        <f aca="false">IF(ISNUMBER(FIND("old rod:",A2409)),"old rod:",A2409)</f>
        <v>super rod:</v>
      </c>
      <c r="I2409" s="5" t="s">
        <v>2850</v>
      </c>
    </row>
    <row r="2410" customFormat="false" ht="12.75" hidden="false" customHeight="true" outlineLevel="0" collapsed="false">
      <c r="A2410" s="5" t="s">
        <v>3029</v>
      </c>
      <c r="B2410" s="7" t="n">
        <v>36</v>
      </c>
      <c r="C2410" s="7" t="n">
        <v>40</v>
      </c>
      <c r="D2410" s="7" t="s">
        <v>3842</v>
      </c>
      <c r="E2410" s="7"/>
      <c r="G2410" s="5" t="str">
        <f aca="false">IF(ISNUMBER(FIND("old rod:",A2410)),"old rod:",A2410)</f>
        <v>36, 40, KINGDRA</v>
      </c>
      <c r="I2410" s="5" t="s">
        <v>3029</v>
      </c>
    </row>
    <row r="2411" customFormat="false" ht="12.75" hidden="false" customHeight="true" outlineLevel="0" collapsed="false">
      <c r="A2411" s="5" t="s">
        <v>3527</v>
      </c>
      <c r="B2411" s="7" t="n">
        <v>36</v>
      </c>
      <c r="C2411" s="7" t="n">
        <v>40</v>
      </c>
      <c r="D2411" s="7" t="s">
        <v>3859</v>
      </c>
      <c r="E2411" s="7"/>
      <c r="G2411" s="5" t="str">
        <f aca="false">IF(ISNUMBER(FIND("old rod:",A2411)),"old rod:",A2411)</f>
        <v>36, 40, KINGLER</v>
      </c>
      <c r="I2411" s="5" t="s">
        <v>3527</v>
      </c>
    </row>
    <row r="2412" customFormat="false" ht="12.75" hidden="false" customHeight="true" outlineLevel="0" collapsed="false">
      <c r="A2412" s="5" t="s">
        <v>3031</v>
      </c>
      <c r="B2412" s="7" t="n">
        <v>38</v>
      </c>
      <c r="C2412" s="7" t="n">
        <v>42</v>
      </c>
      <c r="D2412" s="7" t="s">
        <v>3854</v>
      </c>
      <c r="E2412" s="7"/>
      <c r="G2412" s="5" t="str">
        <f aca="false">IF(ISNUMBER(FIND("old rod:",A2412)),"old rod:",A2412)</f>
        <v>38, 42, GILDUCK</v>
      </c>
      <c r="I2412" s="5" t="s">
        <v>3031</v>
      </c>
    </row>
    <row r="2413" customFormat="false" ht="12.75" hidden="false" customHeight="true" outlineLevel="0" collapsed="false">
      <c r="A2413" s="5" t="s">
        <v>3032</v>
      </c>
      <c r="B2413" s="7" t="n">
        <v>38</v>
      </c>
      <c r="C2413" s="7" t="n">
        <v>42</v>
      </c>
      <c r="D2413" s="7" t="s">
        <v>3862</v>
      </c>
      <c r="E2413" s="7"/>
      <c r="G2413" s="5" t="str">
        <f aca="false">IF(ISNUMBER(FIND("old rod:",A2413)),"old rod:",A2413)</f>
        <v>38, 42, KRAKLAW</v>
      </c>
      <c r="I2413" s="5" t="s">
        <v>3032</v>
      </c>
    </row>
    <row r="2414" customFormat="false" ht="12.75" hidden="false" customHeight="true" outlineLevel="0" collapsed="false">
      <c r="A2414" s="5" t="s">
        <v>3033</v>
      </c>
      <c r="B2414" s="7" t="n">
        <v>40</v>
      </c>
      <c r="C2414" s="7" t="n">
        <v>44</v>
      </c>
      <c r="D2414" s="7" t="s">
        <v>3844</v>
      </c>
      <c r="E2414" s="7"/>
      <c r="G2414" s="5" t="str">
        <f aca="false">IF(ISNUMBER(FIND("old rod:",A2414)),"old rod:",A2414)</f>
        <v>40, 44, LORDRA</v>
      </c>
      <c r="I2414" s="5" t="s">
        <v>3033</v>
      </c>
    </row>
    <row r="2415" customFormat="false" ht="12.75" hidden="false" customHeight="true" outlineLevel="0" collapsed="false">
      <c r="A2415" s="5" t="s">
        <v>2536</v>
      </c>
      <c r="B2415" s="7" t="s">
        <v>2536</v>
      </c>
      <c r="C2415" s="7"/>
      <c r="D2415" s="7"/>
      <c r="E2415" s="7"/>
      <c r="G2415" s="5" t="str">
        <f aca="false">IF(ISNUMBER(FIND("old rod:",A2415)),"old rod:",A2415)</f>
        <v>NEW ROUTE</v>
      </c>
      <c r="I2415" s="5" t="s">
        <v>2536</v>
      </c>
    </row>
    <row r="2416" customFormat="false" ht="12.75" hidden="false" customHeight="true" outlineLevel="0" collapsed="false">
      <c r="A2416" s="5" t="s">
        <v>457</v>
      </c>
      <c r="B2416" s="7" t="s">
        <v>457</v>
      </c>
      <c r="C2416" s="7"/>
      <c r="D2416" s="7"/>
      <c r="E2416" s="7"/>
      <c r="G2416" s="5" t="str">
        <f aca="false">IF(ISNUMBER(FIND("old rod:",A2416)),"old rod:",A2416)</f>
        <v>Route 21 North</v>
      </c>
      <c r="I2416" s="5" t="s">
        <v>457</v>
      </c>
    </row>
    <row r="2417" customFormat="false" ht="12.75" hidden="false" customHeight="true" outlineLevel="0" collapsed="false">
      <c r="A2417" s="5" t="n">
        <v>0.2</v>
      </c>
      <c r="B2417" s="5" t="n">
        <v>0.2</v>
      </c>
      <c r="C2417" s="7"/>
      <c r="D2417" s="7"/>
      <c r="E2417" s="7"/>
      <c r="G2417" s="5" t="n">
        <f aca="false">IF(ISNUMBER(FIND("old rod:",A2417)),"old rod:",A2417)</f>
        <v>0.2</v>
      </c>
      <c r="I2417" s="5" t="n">
        <v>0.2</v>
      </c>
    </row>
    <row r="2418" customFormat="false" ht="12.75" hidden="false" customHeight="true" outlineLevel="0" collapsed="false">
      <c r="A2418" s="5" t="s">
        <v>2013</v>
      </c>
      <c r="B2418" s="7" t="n">
        <v>39</v>
      </c>
      <c r="C2418" s="7" t="n">
        <v>46</v>
      </c>
      <c r="D2418" s="7" t="s">
        <v>3826</v>
      </c>
      <c r="E2418" s="7"/>
      <c r="G2418" s="5" t="str">
        <f aca="false">IF(ISNUMBER(FIND("old rod:",A2418)),"old rod:",A2418)</f>
        <v>39, 46, TANGROWTH</v>
      </c>
      <c r="I2418" s="5" t="s">
        <v>2013</v>
      </c>
    </row>
    <row r="2419" customFormat="false" ht="12.75" hidden="false" customHeight="true" outlineLevel="0" collapsed="false">
      <c r="A2419" s="5" t="s">
        <v>3530</v>
      </c>
      <c r="B2419" s="7" t="n">
        <v>39</v>
      </c>
      <c r="C2419" s="7" t="n">
        <v>46</v>
      </c>
      <c r="D2419" s="7" t="s">
        <v>3791</v>
      </c>
      <c r="E2419" s="7"/>
      <c r="G2419" s="5" t="str">
        <f aca="false">IF(ISNUMBER(FIND("old rod:",A2419)),"old rod:",A2419)</f>
        <v>39, 46, EXEGGUTOR</v>
      </c>
      <c r="I2419" s="5" t="s">
        <v>3530</v>
      </c>
    </row>
    <row r="2420" customFormat="false" ht="12.75" hidden="false" customHeight="true" outlineLevel="0" collapsed="false">
      <c r="A2420" s="5" t="n">
        <v>0.1</v>
      </c>
      <c r="B2420" s="5" t="n">
        <v>0.1</v>
      </c>
      <c r="C2420" s="7"/>
      <c r="D2420" s="7"/>
      <c r="E2420" s="7"/>
      <c r="G2420" s="5" t="n">
        <f aca="false">IF(ISNUMBER(FIND("old rod:",A2420)),"old rod:",A2420)</f>
        <v>0.1</v>
      </c>
      <c r="I2420" s="5" t="n">
        <v>0.1</v>
      </c>
    </row>
    <row r="2421" customFormat="false" ht="12.75" hidden="false" customHeight="true" outlineLevel="0" collapsed="false">
      <c r="A2421" s="5" t="s">
        <v>3531</v>
      </c>
      <c r="B2421" s="7" t="n">
        <v>39</v>
      </c>
      <c r="C2421" s="7" t="n">
        <v>42</v>
      </c>
      <c r="D2421" s="7" t="s">
        <v>3810</v>
      </c>
      <c r="E2421" s="7"/>
      <c r="G2421" s="5" t="str">
        <f aca="false">IF(ISNUMBER(FIND("old rod:",A2421)),"old rod:",A2421)</f>
        <v>39, 42, DODRIO</v>
      </c>
      <c r="I2421" s="5" t="s">
        <v>3531</v>
      </c>
    </row>
    <row r="2422" customFormat="false" ht="12.75" hidden="false" customHeight="true" outlineLevel="0" collapsed="false">
      <c r="A2422" s="5" t="s">
        <v>3532</v>
      </c>
      <c r="B2422" s="7" t="n">
        <v>39</v>
      </c>
      <c r="C2422" s="7" t="n">
        <v>42</v>
      </c>
      <c r="D2422" s="7" t="s">
        <v>3801</v>
      </c>
      <c r="E2422" s="7"/>
      <c r="G2422" s="5" t="str">
        <f aca="false">IF(ISNUMBER(FIND("old rod:",A2422)),"old rod:",A2422)</f>
        <v>39, 42, GOLDUCK</v>
      </c>
      <c r="I2422" s="5" t="s">
        <v>3532</v>
      </c>
    </row>
    <row r="2423" customFormat="false" ht="12.75" hidden="false" customHeight="true" outlineLevel="0" collapsed="false">
      <c r="A2423" s="5" t="s">
        <v>3533</v>
      </c>
      <c r="B2423" s="7" t="n">
        <v>43</v>
      </c>
      <c r="C2423" s="7" t="n">
        <v>46</v>
      </c>
      <c r="D2423" s="7" t="s">
        <v>3810</v>
      </c>
      <c r="E2423" s="7"/>
      <c r="G2423" s="5" t="str">
        <f aca="false">IF(ISNUMBER(FIND("old rod:",A2423)),"old rod:",A2423)</f>
        <v>43, 46, DODRIO</v>
      </c>
      <c r="I2423" s="5" t="s">
        <v>3533</v>
      </c>
    </row>
    <row r="2424" customFormat="false" ht="12.75" hidden="false" customHeight="true" outlineLevel="0" collapsed="false">
      <c r="A2424" s="5" t="s">
        <v>3534</v>
      </c>
      <c r="B2424" s="7" t="n">
        <v>43</v>
      </c>
      <c r="C2424" s="7" t="n">
        <v>46</v>
      </c>
      <c r="D2424" s="7" t="s">
        <v>3801</v>
      </c>
      <c r="E2424" s="7"/>
      <c r="G2424" s="5" t="str">
        <f aca="false">IF(ISNUMBER(FIND("old rod:",A2424)),"old rod:",A2424)</f>
        <v>43, 46, GOLDUCK</v>
      </c>
      <c r="I2424" s="5" t="s">
        <v>3534</v>
      </c>
    </row>
    <row r="2425" customFormat="false" ht="12.75" hidden="false" customHeight="true" outlineLevel="0" collapsed="false">
      <c r="A2425" s="5" t="n">
        <v>0.05</v>
      </c>
      <c r="B2425" s="5" t="n">
        <v>0.05</v>
      </c>
      <c r="C2425" s="7"/>
      <c r="D2425" s="7"/>
      <c r="E2425" s="7"/>
      <c r="G2425" s="5" t="n">
        <f aca="false">IF(ISNUMBER(FIND("old rod:",A2425)),"old rod:",A2425)</f>
        <v>0.05</v>
      </c>
      <c r="I2425" s="5" t="n">
        <v>0.05</v>
      </c>
    </row>
    <row r="2426" customFormat="false" ht="12.75" hidden="false" customHeight="true" outlineLevel="0" collapsed="false">
      <c r="A2426" s="5" t="s">
        <v>3535</v>
      </c>
      <c r="B2426" s="7" t="n">
        <v>43</v>
      </c>
      <c r="C2426" s="7" t="n">
        <v>50</v>
      </c>
      <c r="D2426" s="7" t="s">
        <v>3945</v>
      </c>
      <c r="E2426" s="7"/>
      <c r="G2426" s="5" t="str">
        <f aca="false">IF(ISNUMBER(FIND("old rod:",A2426)),"old rod:",A2426)</f>
        <v>43, 50, TANGATHER</v>
      </c>
      <c r="I2426" s="5" t="s">
        <v>3535</v>
      </c>
    </row>
    <row r="2427" customFormat="false" ht="12.75" hidden="false" customHeight="true" outlineLevel="0" collapsed="false">
      <c r="A2427" s="5" t="s">
        <v>3536</v>
      </c>
      <c r="B2427" s="7" t="n">
        <v>43</v>
      </c>
      <c r="C2427" s="7" t="n">
        <v>50</v>
      </c>
      <c r="D2427" s="7" t="s">
        <v>3946</v>
      </c>
      <c r="E2427" s="7"/>
      <c r="G2427" s="5" t="str">
        <f aca="false">IF(ISNUMBER(FIND("old rod:",A2427)),"old rod:",A2427)</f>
        <v>43, 50, EXEGGITY</v>
      </c>
      <c r="I2427" s="5" t="s">
        <v>3536</v>
      </c>
    </row>
    <row r="2428" customFormat="false" ht="12.75" hidden="false" customHeight="true" outlineLevel="0" collapsed="false">
      <c r="A2428" s="5" t="n">
        <v>0.04</v>
      </c>
      <c r="B2428" s="5" t="n">
        <v>0.04</v>
      </c>
      <c r="C2428" s="7"/>
      <c r="D2428" s="7"/>
      <c r="E2428" s="7"/>
      <c r="G2428" s="5" t="n">
        <f aca="false">IF(ISNUMBER(FIND("old rod:",A2428)),"old rod:",A2428)</f>
        <v>0.04</v>
      </c>
      <c r="I2428" s="5" t="n">
        <v>0.04</v>
      </c>
    </row>
    <row r="2429" customFormat="false" ht="12.75" hidden="false" customHeight="true" outlineLevel="0" collapsed="false">
      <c r="A2429" s="5" t="s">
        <v>3537</v>
      </c>
      <c r="B2429" s="7" t="n">
        <v>43</v>
      </c>
      <c r="C2429" s="7" t="n">
        <v>50</v>
      </c>
      <c r="D2429" s="7" t="s">
        <v>3854</v>
      </c>
      <c r="E2429" s="7"/>
      <c r="G2429" s="5" t="str">
        <f aca="false">IF(ISNUMBER(FIND("old rod:",A2429)),"old rod:",A2429)</f>
        <v>43, 50, GILDUCK</v>
      </c>
      <c r="I2429" s="5" t="s">
        <v>3537</v>
      </c>
    </row>
    <row r="2430" customFormat="false" ht="12.75" hidden="false" customHeight="true" outlineLevel="0" collapsed="false">
      <c r="A2430" s="5" t="s">
        <v>3538</v>
      </c>
      <c r="B2430" s="7" t="n">
        <v>43</v>
      </c>
      <c r="C2430" s="7" t="n">
        <v>50</v>
      </c>
      <c r="D2430" s="7" t="s">
        <v>3947</v>
      </c>
      <c r="E2430" s="7"/>
      <c r="G2430" s="5" t="str">
        <f aca="false">IF(ISNUMBER(FIND("old rod:",A2430)),"old rod:",A2430)</f>
        <v>43, 50, QUADODO</v>
      </c>
      <c r="I2430" s="5" t="s">
        <v>3538</v>
      </c>
    </row>
    <row r="2431" customFormat="false" ht="12.75" hidden="false" customHeight="true" outlineLevel="0" collapsed="false">
      <c r="A2431" s="5" t="n">
        <v>0.01</v>
      </c>
      <c r="B2431" s="5" t="n">
        <v>0.01</v>
      </c>
      <c r="C2431" s="7"/>
      <c r="D2431" s="7"/>
      <c r="E2431" s="7"/>
      <c r="G2431" s="5" t="n">
        <f aca="false">IF(ISNUMBER(FIND("old rod:",A2431)),"old rod:",A2431)</f>
        <v>0.01</v>
      </c>
      <c r="I2431" s="5" t="n">
        <v>0.01</v>
      </c>
    </row>
    <row r="2432" customFormat="false" ht="12.75" hidden="false" customHeight="true" outlineLevel="0" collapsed="false">
      <c r="A2432" s="5" t="s">
        <v>3539</v>
      </c>
      <c r="B2432" s="7" t="n">
        <v>45</v>
      </c>
      <c r="C2432" s="7" t="n">
        <v>52</v>
      </c>
      <c r="D2432" s="7" t="s">
        <v>3948</v>
      </c>
      <c r="E2432" s="7"/>
      <c r="G2432" s="5" t="str">
        <f aca="false">IF(ISNUMBER(FIND("old rod:",A2432)),"old rod:",A2432)</f>
        <v>45, 52, TANGOLIATH</v>
      </c>
      <c r="I2432" s="5" t="s">
        <v>3539</v>
      </c>
    </row>
    <row r="2433" customFormat="false" ht="12.75" hidden="false" customHeight="true" outlineLevel="0" collapsed="false">
      <c r="A2433" s="5" t="s">
        <v>3540</v>
      </c>
      <c r="B2433" s="7" t="n">
        <v>44</v>
      </c>
      <c r="C2433" s="7" t="n">
        <v>44</v>
      </c>
      <c r="D2433" s="7" t="s">
        <v>3948</v>
      </c>
      <c r="E2433" s="7"/>
      <c r="G2433" s="5" t="str">
        <f aca="false">IF(ISNUMBER(FIND("old rod:",A2433)),"old rod:",A2433)</f>
        <v>44, 44, TANGOLIATH</v>
      </c>
      <c r="I2433" s="5" t="s">
        <v>3540</v>
      </c>
    </row>
    <row r="2434" customFormat="false" ht="12.75" hidden="false" customHeight="true" outlineLevel="0" collapsed="false">
      <c r="A2434" s="5" t="s">
        <v>3349</v>
      </c>
      <c r="B2434" s="7" t="n">
        <v>2</v>
      </c>
      <c r="C2434" s="7" t="n">
        <v>38</v>
      </c>
      <c r="D2434" s="7" t="n">
        <v>42</v>
      </c>
      <c r="E2434" s="7" t="s">
        <v>3747</v>
      </c>
      <c r="G2434" s="5" t="str">
        <f aca="false">IF(ISNUMBER(FIND("old rod:",A2434)),"old rod:",A2434)</f>
        <v>2, 38, 42, TENTACOOL</v>
      </c>
      <c r="I2434" s="5" t="s">
        <v>3349</v>
      </c>
    </row>
    <row r="2435" customFormat="false" ht="12.75" hidden="false" customHeight="true" outlineLevel="0" collapsed="false">
      <c r="A2435" s="5" t="s">
        <v>3428</v>
      </c>
      <c r="B2435" s="7" t="n">
        <v>40</v>
      </c>
      <c r="C2435" s="7" t="n">
        <v>44</v>
      </c>
      <c r="D2435" s="7" t="s">
        <v>3897</v>
      </c>
      <c r="E2435" s="7"/>
      <c r="G2435" s="5" t="str">
        <f aca="false">IF(ISNUMBER(FIND("old rod:",A2435)),"old rod:",A2435)</f>
        <v>40, 44, TENTACRUEL</v>
      </c>
      <c r="I2435" s="5" t="s">
        <v>3428</v>
      </c>
    </row>
    <row r="2436" customFormat="false" ht="12.75" hidden="false" customHeight="true" outlineLevel="0" collapsed="false">
      <c r="A2436" s="5" t="s">
        <v>3429</v>
      </c>
      <c r="B2436" s="7" t="n">
        <v>42</v>
      </c>
      <c r="C2436" s="7" t="n">
        <v>46</v>
      </c>
      <c r="D2436" s="7" t="s">
        <v>3930</v>
      </c>
      <c r="E2436" s="7"/>
      <c r="G2436" s="5" t="str">
        <f aca="false">IF(ISNUMBER(FIND("old rod:",A2436)),"old rod:",A2436)</f>
        <v>42, 46, TENTACATE</v>
      </c>
      <c r="I2436" s="5" t="s">
        <v>3429</v>
      </c>
    </row>
    <row r="2437" customFormat="false" ht="12.75" hidden="false" customHeight="true" outlineLevel="0" collapsed="false">
      <c r="A2437" s="5" t="s">
        <v>3024</v>
      </c>
      <c r="B2437" s="7" t="n">
        <v>42</v>
      </c>
      <c r="C2437" s="7" t="n">
        <v>46</v>
      </c>
      <c r="D2437" s="7" t="s">
        <v>3860</v>
      </c>
      <c r="E2437" s="7"/>
      <c r="G2437" s="5" t="str">
        <f aca="false">IF(ISNUMBER(FIND("old rod:",A2437)),"old rod:",A2437)</f>
        <v>42, 46, LAPRAS</v>
      </c>
      <c r="I2437" s="5" t="s">
        <v>3024</v>
      </c>
    </row>
    <row r="2438" customFormat="false" ht="12.75" hidden="false" customHeight="true" outlineLevel="0" collapsed="false">
      <c r="A2438" s="5" t="s">
        <v>3449</v>
      </c>
      <c r="B2438" s="7" t="n">
        <v>44</v>
      </c>
      <c r="C2438" s="7" t="n">
        <v>48</v>
      </c>
      <c r="D2438" s="7" t="s">
        <v>3933</v>
      </c>
      <c r="E2438" s="7"/>
      <c r="G2438" s="5" t="str">
        <f aca="false">IF(ISNUMBER(FIND("old rod:",A2438)),"old rod:",A2438)</f>
        <v>44, 48, LOCHLASS</v>
      </c>
      <c r="I2438" s="5" t="s">
        <v>3449</v>
      </c>
    </row>
    <row r="2439" customFormat="false" ht="12.75" hidden="false" customHeight="true" outlineLevel="0" collapsed="false">
      <c r="A2439" s="5" t="s">
        <v>2925</v>
      </c>
      <c r="B2439" s="7" t="n">
        <v>20</v>
      </c>
      <c r="C2439" s="7" t="s">
        <v>3748</v>
      </c>
      <c r="D2439" s="7"/>
      <c r="E2439" s="7"/>
      <c r="G2439" s="5" t="str">
        <f aca="false">IF(ISNUMBER(FIND("old rod:",A2439)),"old rod:",A2439)</f>
        <v>old rod:</v>
      </c>
      <c r="I2439" s="5" t="s">
        <v>3749</v>
      </c>
    </row>
    <row r="2440" customFormat="false" ht="12.75" hidden="false" customHeight="true" outlineLevel="0" collapsed="false">
      <c r="A2440" s="5" t="s">
        <v>2008</v>
      </c>
      <c r="B2440" s="7" t="n">
        <v>19</v>
      </c>
      <c r="C2440" s="7" t="n">
        <v>26</v>
      </c>
      <c r="D2440" s="7" t="s">
        <v>3799</v>
      </c>
      <c r="E2440" s="7"/>
      <c r="G2440" s="5" t="str">
        <f aca="false">IF(ISNUMBER(FIND("old rod:",A2440)),"old rod:",A2440)</f>
        <v>19, 26, PSYDUCK</v>
      </c>
      <c r="I2440" s="5" t="s">
        <v>2008</v>
      </c>
    </row>
    <row r="2441" customFormat="false" ht="12.75" hidden="false" customHeight="true" outlineLevel="0" collapsed="false">
      <c r="A2441" s="5" t="s">
        <v>1451</v>
      </c>
      <c r="B2441" s="7" t="n">
        <v>19</v>
      </c>
      <c r="C2441" s="7" t="n">
        <v>26</v>
      </c>
      <c r="D2441" s="7" t="s">
        <v>3752</v>
      </c>
      <c r="E2441" s="7"/>
      <c r="G2441" s="5" t="str">
        <f aca="false">IF(ISNUMBER(FIND("old rod:",A2441)),"old rod:",A2441)</f>
        <v>19, 26, HORSEA</v>
      </c>
      <c r="I2441" s="5" t="s">
        <v>1451</v>
      </c>
    </row>
    <row r="2442" customFormat="false" ht="12.75" hidden="false" customHeight="true" outlineLevel="0" collapsed="false">
      <c r="A2442" s="5" t="s">
        <v>2846</v>
      </c>
      <c r="B2442" s="7" t="s">
        <v>2846</v>
      </c>
      <c r="C2442" s="7"/>
      <c r="D2442" s="7"/>
      <c r="E2442" s="7"/>
      <c r="G2442" s="5" t="str">
        <f aca="false">IF(ISNUMBER(FIND("old rod:",A2442)),"old rod:",A2442)</f>
        <v>good rod:</v>
      </c>
      <c r="I2442" s="5" t="s">
        <v>2846</v>
      </c>
    </row>
    <row r="2443" customFormat="false" ht="12.75" hidden="false" customHeight="true" outlineLevel="0" collapsed="false">
      <c r="A2443" s="5" t="s">
        <v>3026</v>
      </c>
      <c r="B2443" s="7" t="n">
        <v>29</v>
      </c>
      <c r="C2443" s="7" t="n">
        <v>33</v>
      </c>
      <c r="D2443" s="7" t="s">
        <v>3858</v>
      </c>
      <c r="E2443" s="7"/>
      <c r="G2443" s="5" t="str">
        <f aca="false">IF(ISNUMBER(FIND("old rod:",A2443)),"old rod:",A2443)</f>
        <v>29, 33, SEADRA</v>
      </c>
      <c r="I2443" s="5" t="s">
        <v>3026</v>
      </c>
    </row>
    <row r="2444" customFormat="false" ht="12.75" hidden="false" customHeight="true" outlineLevel="0" collapsed="false">
      <c r="A2444" s="5" t="s">
        <v>3027</v>
      </c>
      <c r="B2444" s="7" t="n">
        <v>30</v>
      </c>
      <c r="C2444" s="7" t="n">
        <v>35</v>
      </c>
      <c r="D2444" s="7" t="s">
        <v>3751</v>
      </c>
      <c r="E2444" s="7"/>
      <c r="G2444" s="5" t="str">
        <f aca="false">IF(ISNUMBER(FIND("old rod:",A2444)),"old rod:",A2444)</f>
        <v>30, 35, KRABBY</v>
      </c>
      <c r="I2444" s="5" t="s">
        <v>3027</v>
      </c>
    </row>
    <row r="2445" customFormat="false" ht="12.75" hidden="false" customHeight="true" outlineLevel="0" collapsed="false">
      <c r="A2445" s="5" t="s">
        <v>3028</v>
      </c>
      <c r="B2445" s="7" t="n">
        <v>30</v>
      </c>
      <c r="C2445" s="7" t="n">
        <v>35</v>
      </c>
      <c r="D2445" s="7" t="s">
        <v>3801</v>
      </c>
      <c r="E2445" s="7"/>
      <c r="G2445" s="5" t="str">
        <f aca="false">IF(ISNUMBER(FIND("old rod:",A2445)),"old rod:",A2445)</f>
        <v>30, 35, GOLDUCK</v>
      </c>
      <c r="I2445" s="5" t="s">
        <v>3028</v>
      </c>
    </row>
    <row r="2446" customFormat="false" ht="12.75" hidden="false" customHeight="true" outlineLevel="0" collapsed="false">
      <c r="A2446" s="5" t="s">
        <v>2850</v>
      </c>
      <c r="B2446" s="7" t="s">
        <v>2850</v>
      </c>
      <c r="C2446" s="7"/>
      <c r="D2446" s="7"/>
      <c r="E2446" s="7"/>
      <c r="G2446" s="5" t="str">
        <f aca="false">IF(ISNUMBER(FIND("old rod:",A2446)),"old rod:",A2446)</f>
        <v>super rod:</v>
      </c>
      <c r="I2446" s="5" t="s">
        <v>2850</v>
      </c>
    </row>
    <row r="2447" customFormat="false" ht="12.75" hidden="false" customHeight="true" outlineLevel="0" collapsed="false">
      <c r="A2447" s="5" t="s">
        <v>3029</v>
      </c>
      <c r="B2447" s="7" t="n">
        <v>36</v>
      </c>
      <c r="C2447" s="7" t="n">
        <v>40</v>
      </c>
      <c r="D2447" s="7" t="s">
        <v>3842</v>
      </c>
      <c r="E2447" s="7"/>
      <c r="G2447" s="5" t="str">
        <f aca="false">IF(ISNUMBER(FIND("old rod:",A2447)),"old rod:",A2447)</f>
        <v>36, 40, KINGDRA</v>
      </c>
      <c r="I2447" s="5" t="s">
        <v>3029</v>
      </c>
    </row>
    <row r="2448" customFormat="false" ht="12.75" hidden="false" customHeight="true" outlineLevel="0" collapsed="false">
      <c r="A2448" s="5" t="s">
        <v>3527</v>
      </c>
      <c r="B2448" s="7" t="n">
        <v>36</v>
      </c>
      <c r="C2448" s="7" t="n">
        <v>40</v>
      </c>
      <c r="D2448" s="7" t="s">
        <v>3859</v>
      </c>
      <c r="E2448" s="7"/>
      <c r="G2448" s="5" t="str">
        <f aca="false">IF(ISNUMBER(FIND("old rod:",A2448)),"old rod:",A2448)</f>
        <v>36, 40, KINGLER</v>
      </c>
      <c r="I2448" s="5" t="s">
        <v>3527</v>
      </c>
    </row>
    <row r="2449" customFormat="false" ht="12.75" hidden="false" customHeight="true" outlineLevel="0" collapsed="false">
      <c r="A2449" s="5" t="s">
        <v>3031</v>
      </c>
      <c r="B2449" s="7" t="n">
        <v>38</v>
      </c>
      <c r="C2449" s="7" t="n">
        <v>42</v>
      </c>
      <c r="D2449" s="7" t="s">
        <v>3854</v>
      </c>
      <c r="E2449" s="7"/>
      <c r="G2449" s="5" t="str">
        <f aca="false">IF(ISNUMBER(FIND("old rod:",A2449)),"old rod:",A2449)</f>
        <v>38, 42, GILDUCK</v>
      </c>
      <c r="I2449" s="5" t="s">
        <v>3031</v>
      </c>
    </row>
    <row r="2450" customFormat="false" ht="12.75" hidden="false" customHeight="true" outlineLevel="0" collapsed="false">
      <c r="A2450" s="5" t="s">
        <v>3032</v>
      </c>
      <c r="B2450" s="7" t="n">
        <v>38</v>
      </c>
      <c r="C2450" s="7" t="n">
        <v>42</v>
      </c>
      <c r="D2450" s="7" t="s">
        <v>3862</v>
      </c>
      <c r="E2450" s="7"/>
      <c r="G2450" s="5" t="str">
        <f aca="false">IF(ISNUMBER(FIND("old rod:",A2450)),"old rod:",A2450)</f>
        <v>38, 42, KRAKLAW</v>
      </c>
      <c r="I2450" s="5" t="s">
        <v>3032</v>
      </c>
    </row>
    <row r="2451" customFormat="false" ht="12.75" hidden="false" customHeight="true" outlineLevel="0" collapsed="false">
      <c r="A2451" s="5" t="s">
        <v>3033</v>
      </c>
      <c r="B2451" s="7" t="n">
        <v>40</v>
      </c>
      <c r="C2451" s="7" t="n">
        <v>44</v>
      </c>
      <c r="D2451" s="7" t="s">
        <v>3844</v>
      </c>
      <c r="E2451" s="7"/>
      <c r="G2451" s="5" t="str">
        <f aca="false">IF(ISNUMBER(FIND("old rod:",A2451)),"old rod:",A2451)</f>
        <v>40, 44, LORDRA</v>
      </c>
      <c r="I2451" s="5" t="s">
        <v>3033</v>
      </c>
    </row>
    <row r="2452" customFormat="false" ht="12.75" hidden="false" customHeight="true" outlineLevel="0" collapsed="false">
      <c r="A2452" s="5" t="s">
        <v>2536</v>
      </c>
      <c r="B2452" s="7" t="s">
        <v>2536</v>
      </c>
      <c r="C2452" s="7"/>
      <c r="D2452" s="7"/>
      <c r="E2452" s="7"/>
      <c r="G2452" s="5" t="str">
        <f aca="false">IF(ISNUMBER(FIND("old rod:",A2452)),"old rod:",A2452)</f>
        <v>NEW ROUTE</v>
      </c>
      <c r="I2452" s="5" t="s">
        <v>2536</v>
      </c>
    </row>
    <row r="2453" customFormat="false" ht="12.75" hidden="false" customHeight="true" outlineLevel="0" collapsed="false">
      <c r="A2453" s="5" t="s">
        <v>459</v>
      </c>
      <c r="B2453" s="7" t="s">
        <v>459</v>
      </c>
      <c r="C2453" s="7"/>
      <c r="D2453" s="7"/>
      <c r="E2453" s="7"/>
      <c r="G2453" s="5" t="str">
        <f aca="false">IF(ISNUMBER(FIND("old rod:",A2453)),"old rod:",A2453)</f>
        <v>Route 21 South</v>
      </c>
      <c r="I2453" s="5" t="s">
        <v>459</v>
      </c>
    </row>
    <row r="2454" customFormat="false" ht="12.75" hidden="false" customHeight="true" outlineLevel="0" collapsed="false">
      <c r="A2454" s="5" t="n">
        <v>0.2</v>
      </c>
      <c r="B2454" s="5" t="n">
        <v>0.2</v>
      </c>
      <c r="C2454" s="7"/>
      <c r="D2454" s="7"/>
      <c r="E2454" s="7"/>
      <c r="G2454" s="5" t="n">
        <f aca="false">IF(ISNUMBER(FIND("old rod:",A2454)),"old rod:",A2454)</f>
        <v>0.2</v>
      </c>
      <c r="I2454" s="5" t="n">
        <v>0.2</v>
      </c>
    </row>
    <row r="2455" customFormat="false" ht="12.75" hidden="false" customHeight="true" outlineLevel="0" collapsed="false">
      <c r="A2455" s="5" t="s">
        <v>2013</v>
      </c>
      <c r="B2455" s="7" t="n">
        <v>39</v>
      </c>
      <c r="C2455" s="7" t="n">
        <v>46</v>
      </c>
      <c r="D2455" s="7" t="s">
        <v>3826</v>
      </c>
      <c r="E2455" s="7"/>
      <c r="G2455" s="5" t="str">
        <f aca="false">IF(ISNUMBER(FIND("old rod:",A2455)),"old rod:",A2455)</f>
        <v>39, 46, TANGROWTH</v>
      </c>
      <c r="I2455" s="5" t="s">
        <v>2013</v>
      </c>
    </row>
    <row r="2456" customFormat="false" ht="12.75" hidden="false" customHeight="true" outlineLevel="0" collapsed="false">
      <c r="A2456" s="5" t="s">
        <v>3530</v>
      </c>
      <c r="B2456" s="7" t="n">
        <v>39</v>
      </c>
      <c r="C2456" s="7" t="n">
        <v>46</v>
      </c>
      <c r="D2456" s="7" t="s">
        <v>3791</v>
      </c>
      <c r="E2456" s="7"/>
      <c r="G2456" s="5" t="str">
        <f aca="false">IF(ISNUMBER(FIND("old rod:",A2456)),"old rod:",A2456)</f>
        <v>39, 46, EXEGGUTOR</v>
      </c>
      <c r="I2456" s="5" t="s">
        <v>3530</v>
      </c>
    </row>
    <row r="2457" customFormat="false" ht="12.75" hidden="false" customHeight="true" outlineLevel="0" collapsed="false">
      <c r="A2457" s="5" t="n">
        <v>0.1</v>
      </c>
      <c r="B2457" s="5" t="n">
        <v>0.1</v>
      </c>
      <c r="C2457" s="7"/>
      <c r="D2457" s="7"/>
      <c r="E2457" s="7"/>
      <c r="G2457" s="5" t="n">
        <f aca="false">IF(ISNUMBER(FIND("old rod:",A2457)),"old rod:",A2457)</f>
        <v>0.1</v>
      </c>
      <c r="I2457" s="5" t="n">
        <v>0.1</v>
      </c>
    </row>
    <row r="2458" customFormat="false" ht="12.75" hidden="false" customHeight="true" outlineLevel="0" collapsed="false">
      <c r="A2458" s="5" t="s">
        <v>3531</v>
      </c>
      <c r="B2458" s="7" t="n">
        <v>39</v>
      </c>
      <c r="C2458" s="7" t="n">
        <v>42</v>
      </c>
      <c r="D2458" s="7" t="s">
        <v>3810</v>
      </c>
      <c r="E2458" s="7"/>
      <c r="G2458" s="5" t="str">
        <f aca="false">IF(ISNUMBER(FIND("old rod:",A2458)),"old rod:",A2458)</f>
        <v>39, 42, DODRIO</v>
      </c>
      <c r="I2458" s="5" t="s">
        <v>3531</v>
      </c>
    </row>
    <row r="2459" customFormat="false" ht="12.75" hidden="false" customHeight="true" outlineLevel="0" collapsed="false">
      <c r="A2459" s="5" t="s">
        <v>3532</v>
      </c>
      <c r="B2459" s="7" t="n">
        <v>39</v>
      </c>
      <c r="C2459" s="7" t="n">
        <v>42</v>
      </c>
      <c r="D2459" s="7" t="s">
        <v>3801</v>
      </c>
      <c r="E2459" s="7"/>
      <c r="G2459" s="5" t="str">
        <f aca="false">IF(ISNUMBER(FIND("old rod:",A2459)),"old rod:",A2459)</f>
        <v>39, 42, GOLDUCK</v>
      </c>
      <c r="I2459" s="5" t="s">
        <v>3532</v>
      </c>
    </row>
    <row r="2460" customFormat="false" ht="12.75" hidden="false" customHeight="true" outlineLevel="0" collapsed="false">
      <c r="A2460" s="5" t="s">
        <v>3533</v>
      </c>
      <c r="B2460" s="7" t="n">
        <v>43</v>
      </c>
      <c r="C2460" s="7" t="n">
        <v>46</v>
      </c>
      <c r="D2460" s="7" t="s">
        <v>3810</v>
      </c>
      <c r="E2460" s="7"/>
      <c r="G2460" s="5" t="str">
        <f aca="false">IF(ISNUMBER(FIND("old rod:",A2460)),"old rod:",A2460)</f>
        <v>43, 46, DODRIO</v>
      </c>
      <c r="I2460" s="5" t="s">
        <v>3533</v>
      </c>
    </row>
    <row r="2461" customFormat="false" ht="12.75" hidden="false" customHeight="true" outlineLevel="0" collapsed="false">
      <c r="A2461" s="5" t="s">
        <v>3534</v>
      </c>
      <c r="B2461" s="7" t="n">
        <v>43</v>
      </c>
      <c r="C2461" s="7" t="n">
        <v>46</v>
      </c>
      <c r="D2461" s="7" t="s">
        <v>3801</v>
      </c>
      <c r="E2461" s="7"/>
      <c r="G2461" s="5" t="str">
        <f aca="false">IF(ISNUMBER(FIND("old rod:",A2461)),"old rod:",A2461)</f>
        <v>43, 46, GOLDUCK</v>
      </c>
      <c r="I2461" s="5" t="s">
        <v>3534</v>
      </c>
    </row>
    <row r="2462" customFormat="false" ht="12.75" hidden="false" customHeight="true" outlineLevel="0" collapsed="false">
      <c r="A2462" s="5" t="n">
        <v>0.05</v>
      </c>
      <c r="B2462" s="5" t="n">
        <v>0.05</v>
      </c>
      <c r="C2462" s="7"/>
      <c r="D2462" s="7"/>
      <c r="E2462" s="7"/>
      <c r="G2462" s="5" t="n">
        <f aca="false">IF(ISNUMBER(FIND("old rod:",A2462)),"old rod:",A2462)</f>
        <v>0.05</v>
      </c>
      <c r="I2462" s="5" t="n">
        <v>0.05</v>
      </c>
    </row>
    <row r="2463" customFormat="false" ht="12.75" hidden="false" customHeight="true" outlineLevel="0" collapsed="false">
      <c r="A2463" s="5" t="s">
        <v>3535</v>
      </c>
      <c r="B2463" s="7" t="n">
        <v>43</v>
      </c>
      <c r="C2463" s="7" t="n">
        <v>50</v>
      </c>
      <c r="D2463" s="7" t="s">
        <v>3945</v>
      </c>
      <c r="E2463" s="7"/>
      <c r="G2463" s="5" t="str">
        <f aca="false">IF(ISNUMBER(FIND("old rod:",A2463)),"old rod:",A2463)</f>
        <v>43, 50, TANGATHER</v>
      </c>
      <c r="I2463" s="5" t="s">
        <v>3535</v>
      </c>
    </row>
    <row r="2464" customFormat="false" ht="12.75" hidden="false" customHeight="true" outlineLevel="0" collapsed="false">
      <c r="A2464" s="5" t="s">
        <v>3536</v>
      </c>
      <c r="B2464" s="7" t="n">
        <v>43</v>
      </c>
      <c r="C2464" s="7" t="n">
        <v>50</v>
      </c>
      <c r="D2464" s="7" t="s">
        <v>3946</v>
      </c>
      <c r="E2464" s="7"/>
      <c r="G2464" s="5" t="str">
        <f aca="false">IF(ISNUMBER(FIND("old rod:",A2464)),"old rod:",A2464)</f>
        <v>43, 50, EXEGGITY</v>
      </c>
      <c r="I2464" s="5" t="s">
        <v>3536</v>
      </c>
    </row>
    <row r="2465" customFormat="false" ht="12.75" hidden="false" customHeight="true" outlineLevel="0" collapsed="false">
      <c r="A2465" s="5" t="n">
        <v>0.04</v>
      </c>
      <c r="B2465" s="5" t="n">
        <v>0.04</v>
      </c>
      <c r="C2465" s="7"/>
      <c r="D2465" s="7"/>
      <c r="E2465" s="7"/>
      <c r="G2465" s="5" t="n">
        <f aca="false">IF(ISNUMBER(FIND("old rod:",A2465)),"old rod:",A2465)</f>
        <v>0.04</v>
      </c>
      <c r="I2465" s="5" t="n">
        <v>0.04</v>
      </c>
    </row>
    <row r="2466" customFormat="false" ht="12.75" hidden="false" customHeight="true" outlineLevel="0" collapsed="false">
      <c r="A2466" s="5" t="s">
        <v>3537</v>
      </c>
      <c r="B2466" s="7" t="n">
        <v>43</v>
      </c>
      <c r="C2466" s="7" t="n">
        <v>50</v>
      </c>
      <c r="D2466" s="7" t="s">
        <v>3854</v>
      </c>
      <c r="E2466" s="7"/>
      <c r="G2466" s="5" t="str">
        <f aca="false">IF(ISNUMBER(FIND("old rod:",A2466)),"old rod:",A2466)</f>
        <v>43, 50, GILDUCK</v>
      </c>
      <c r="I2466" s="5" t="s">
        <v>3537</v>
      </c>
    </row>
    <row r="2467" customFormat="false" ht="12.75" hidden="false" customHeight="true" outlineLevel="0" collapsed="false">
      <c r="A2467" s="5" t="s">
        <v>3538</v>
      </c>
      <c r="B2467" s="7" t="n">
        <v>43</v>
      </c>
      <c r="C2467" s="7" t="n">
        <v>50</v>
      </c>
      <c r="D2467" s="7" t="s">
        <v>3947</v>
      </c>
      <c r="E2467" s="7"/>
      <c r="G2467" s="5" t="str">
        <f aca="false">IF(ISNUMBER(FIND("old rod:",A2467)),"old rod:",A2467)</f>
        <v>43, 50, QUADODO</v>
      </c>
      <c r="I2467" s="5" t="s">
        <v>3538</v>
      </c>
    </row>
    <row r="2468" customFormat="false" ht="12.75" hidden="false" customHeight="true" outlineLevel="0" collapsed="false">
      <c r="A2468" s="5" t="n">
        <v>0.01</v>
      </c>
      <c r="B2468" s="5" t="n">
        <v>0.01</v>
      </c>
      <c r="C2468" s="7"/>
      <c r="D2468" s="7"/>
      <c r="E2468" s="7"/>
      <c r="G2468" s="5" t="n">
        <f aca="false">IF(ISNUMBER(FIND("old rod:",A2468)),"old rod:",A2468)</f>
        <v>0.01</v>
      </c>
      <c r="I2468" s="5" t="n">
        <v>0.01</v>
      </c>
    </row>
    <row r="2469" customFormat="false" ht="12.75" hidden="false" customHeight="true" outlineLevel="0" collapsed="false">
      <c r="A2469" s="5" t="s">
        <v>3539</v>
      </c>
      <c r="B2469" s="7" t="n">
        <v>45</v>
      </c>
      <c r="C2469" s="7" t="n">
        <v>52</v>
      </c>
      <c r="D2469" s="7" t="s">
        <v>3948</v>
      </c>
      <c r="E2469" s="7"/>
      <c r="G2469" s="5" t="str">
        <f aca="false">IF(ISNUMBER(FIND("old rod:",A2469)),"old rod:",A2469)</f>
        <v>45, 52, TANGOLIATH</v>
      </c>
      <c r="I2469" s="5" t="s">
        <v>3539</v>
      </c>
    </row>
    <row r="2470" customFormat="false" ht="12.75" hidden="false" customHeight="true" outlineLevel="0" collapsed="false">
      <c r="A2470" s="5" t="s">
        <v>3540</v>
      </c>
      <c r="B2470" s="7" t="n">
        <v>44</v>
      </c>
      <c r="C2470" s="7" t="n">
        <v>44</v>
      </c>
      <c r="D2470" s="7" t="s">
        <v>3948</v>
      </c>
      <c r="E2470" s="7"/>
      <c r="G2470" s="5" t="str">
        <f aca="false">IF(ISNUMBER(FIND("old rod:",A2470)),"old rod:",A2470)</f>
        <v>44, 44, TANGOLIATH</v>
      </c>
      <c r="I2470" s="5" t="s">
        <v>3540</v>
      </c>
    </row>
    <row r="2471" customFormat="false" ht="12.75" hidden="false" customHeight="true" outlineLevel="0" collapsed="false">
      <c r="A2471" s="5" t="s">
        <v>3349</v>
      </c>
      <c r="B2471" s="7" t="n">
        <v>2</v>
      </c>
      <c r="C2471" s="7" t="n">
        <v>38</v>
      </c>
      <c r="D2471" s="7" t="n">
        <v>42</v>
      </c>
      <c r="E2471" s="7" t="s">
        <v>3747</v>
      </c>
      <c r="G2471" s="5" t="str">
        <f aca="false">IF(ISNUMBER(FIND("old rod:",A2471)),"old rod:",A2471)</f>
        <v>2, 38, 42, TENTACOOL</v>
      </c>
      <c r="I2471" s="5" t="s">
        <v>3349</v>
      </c>
    </row>
    <row r="2472" customFormat="false" ht="12.75" hidden="false" customHeight="true" outlineLevel="0" collapsed="false">
      <c r="A2472" s="5" t="s">
        <v>3428</v>
      </c>
      <c r="B2472" s="7" t="n">
        <v>40</v>
      </c>
      <c r="C2472" s="7" t="n">
        <v>44</v>
      </c>
      <c r="D2472" s="7" t="s">
        <v>3897</v>
      </c>
      <c r="E2472" s="7"/>
      <c r="G2472" s="5" t="str">
        <f aca="false">IF(ISNUMBER(FIND("old rod:",A2472)),"old rod:",A2472)</f>
        <v>40, 44, TENTACRUEL</v>
      </c>
      <c r="I2472" s="5" t="s">
        <v>3428</v>
      </c>
    </row>
    <row r="2473" customFormat="false" ht="12.75" hidden="false" customHeight="true" outlineLevel="0" collapsed="false">
      <c r="A2473" s="5" t="s">
        <v>3429</v>
      </c>
      <c r="B2473" s="7" t="n">
        <v>42</v>
      </c>
      <c r="C2473" s="7" t="n">
        <v>46</v>
      </c>
      <c r="D2473" s="7" t="s">
        <v>3930</v>
      </c>
      <c r="E2473" s="7"/>
      <c r="G2473" s="5" t="str">
        <f aca="false">IF(ISNUMBER(FIND("old rod:",A2473)),"old rod:",A2473)</f>
        <v>42, 46, TENTACATE</v>
      </c>
      <c r="I2473" s="5" t="s">
        <v>3429</v>
      </c>
    </row>
    <row r="2474" customFormat="false" ht="12.75" hidden="false" customHeight="true" outlineLevel="0" collapsed="false">
      <c r="A2474" s="5" t="s">
        <v>3024</v>
      </c>
      <c r="B2474" s="7" t="n">
        <v>42</v>
      </c>
      <c r="C2474" s="7" t="n">
        <v>46</v>
      </c>
      <c r="D2474" s="7" t="s">
        <v>3860</v>
      </c>
      <c r="E2474" s="7"/>
      <c r="G2474" s="5" t="str">
        <f aca="false">IF(ISNUMBER(FIND("old rod:",A2474)),"old rod:",A2474)</f>
        <v>42, 46, LAPRAS</v>
      </c>
      <c r="I2474" s="5" t="s">
        <v>3024</v>
      </c>
    </row>
    <row r="2475" customFormat="false" ht="12.75" hidden="false" customHeight="true" outlineLevel="0" collapsed="false">
      <c r="A2475" s="5" t="s">
        <v>3449</v>
      </c>
      <c r="B2475" s="7" t="n">
        <v>44</v>
      </c>
      <c r="C2475" s="7" t="n">
        <v>48</v>
      </c>
      <c r="D2475" s="7" t="s">
        <v>3933</v>
      </c>
      <c r="E2475" s="7"/>
      <c r="G2475" s="5" t="str">
        <f aca="false">IF(ISNUMBER(FIND("old rod:",A2475)),"old rod:",A2475)</f>
        <v>44, 48, LOCHLASS</v>
      </c>
      <c r="I2475" s="5" t="s">
        <v>3449</v>
      </c>
    </row>
    <row r="2476" customFormat="false" ht="12.75" hidden="false" customHeight="true" outlineLevel="0" collapsed="false">
      <c r="A2476" s="5" t="s">
        <v>2925</v>
      </c>
      <c r="B2476" s="7" t="n">
        <v>20</v>
      </c>
      <c r="C2476" s="7" t="s">
        <v>3748</v>
      </c>
      <c r="D2476" s="7"/>
      <c r="E2476" s="7"/>
      <c r="G2476" s="5" t="str">
        <f aca="false">IF(ISNUMBER(FIND("old rod:",A2476)),"old rod:",A2476)</f>
        <v>old rod:</v>
      </c>
      <c r="I2476" s="5" t="s">
        <v>3749</v>
      </c>
    </row>
    <row r="2477" customFormat="false" ht="12.75" hidden="false" customHeight="true" outlineLevel="0" collapsed="false">
      <c r="A2477" s="5" t="s">
        <v>2008</v>
      </c>
      <c r="B2477" s="7" t="n">
        <v>19</v>
      </c>
      <c r="C2477" s="7" t="n">
        <v>26</v>
      </c>
      <c r="D2477" s="7" t="s">
        <v>3799</v>
      </c>
      <c r="E2477" s="7"/>
      <c r="G2477" s="5" t="str">
        <f aca="false">IF(ISNUMBER(FIND("old rod:",A2477)),"old rod:",A2477)</f>
        <v>19, 26, PSYDUCK</v>
      </c>
      <c r="I2477" s="5" t="s">
        <v>2008</v>
      </c>
    </row>
    <row r="2478" customFormat="false" ht="12.75" hidden="false" customHeight="true" outlineLevel="0" collapsed="false">
      <c r="A2478" s="5" t="s">
        <v>1451</v>
      </c>
      <c r="B2478" s="7" t="n">
        <v>19</v>
      </c>
      <c r="C2478" s="7" t="n">
        <v>26</v>
      </c>
      <c r="D2478" s="7" t="s">
        <v>3752</v>
      </c>
      <c r="E2478" s="7"/>
      <c r="G2478" s="5" t="str">
        <f aca="false">IF(ISNUMBER(FIND("old rod:",A2478)),"old rod:",A2478)</f>
        <v>19, 26, HORSEA</v>
      </c>
      <c r="I2478" s="5" t="s">
        <v>1451</v>
      </c>
    </row>
    <row r="2479" customFormat="false" ht="12.75" hidden="false" customHeight="true" outlineLevel="0" collapsed="false">
      <c r="A2479" s="5" t="s">
        <v>2846</v>
      </c>
      <c r="B2479" s="7" t="s">
        <v>2846</v>
      </c>
      <c r="C2479" s="7"/>
      <c r="D2479" s="7"/>
      <c r="E2479" s="7"/>
      <c r="G2479" s="5" t="str">
        <f aca="false">IF(ISNUMBER(FIND("old rod:",A2479)),"old rod:",A2479)</f>
        <v>good rod:</v>
      </c>
      <c r="I2479" s="5" t="s">
        <v>2846</v>
      </c>
    </row>
    <row r="2480" customFormat="false" ht="12.75" hidden="false" customHeight="true" outlineLevel="0" collapsed="false">
      <c r="A2480" s="5" t="s">
        <v>3026</v>
      </c>
      <c r="B2480" s="7" t="n">
        <v>29</v>
      </c>
      <c r="C2480" s="7" t="n">
        <v>33</v>
      </c>
      <c r="D2480" s="7" t="s">
        <v>3858</v>
      </c>
      <c r="E2480" s="7"/>
      <c r="G2480" s="5" t="str">
        <f aca="false">IF(ISNUMBER(FIND("old rod:",A2480)),"old rod:",A2480)</f>
        <v>29, 33, SEADRA</v>
      </c>
      <c r="I2480" s="5" t="s">
        <v>3026</v>
      </c>
    </row>
    <row r="2481" customFormat="false" ht="12.75" hidden="false" customHeight="true" outlineLevel="0" collapsed="false">
      <c r="A2481" s="5" t="s">
        <v>3027</v>
      </c>
      <c r="B2481" s="7" t="n">
        <v>30</v>
      </c>
      <c r="C2481" s="7" t="n">
        <v>35</v>
      </c>
      <c r="D2481" s="7" t="s">
        <v>3751</v>
      </c>
      <c r="E2481" s="7"/>
      <c r="G2481" s="5" t="str">
        <f aca="false">IF(ISNUMBER(FIND("old rod:",A2481)),"old rod:",A2481)</f>
        <v>30, 35, KRABBY</v>
      </c>
      <c r="I2481" s="5" t="s">
        <v>3027</v>
      </c>
    </row>
    <row r="2482" customFormat="false" ht="12.75" hidden="false" customHeight="true" outlineLevel="0" collapsed="false">
      <c r="A2482" s="5" t="s">
        <v>3028</v>
      </c>
      <c r="B2482" s="7" t="n">
        <v>30</v>
      </c>
      <c r="C2482" s="7" t="n">
        <v>35</v>
      </c>
      <c r="D2482" s="7" t="s">
        <v>3801</v>
      </c>
      <c r="E2482" s="7"/>
      <c r="G2482" s="5" t="str">
        <f aca="false">IF(ISNUMBER(FIND("old rod:",A2482)),"old rod:",A2482)</f>
        <v>30, 35, GOLDUCK</v>
      </c>
      <c r="I2482" s="5" t="s">
        <v>3028</v>
      </c>
    </row>
    <row r="2483" customFormat="false" ht="12.75" hidden="false" customHeight="true" outlineLevel="0" collapsed="false">
      <c r="A2483" s="5" t="s">
        <v>2850</v>
      </c>
      <c r="B2483" s="7" t="s">
        <v>2850</v>
      </c>
      <c r="C2483" s="7"/>
      <c r="D2483" s="7"/>
      <c r="E2483" s="7"/>
      <c r="G2483" s="5" t="str">
        <f aca="false">IF(ISNUMBER(FIND("old rod:",A2483)),"old rod:",A2483)</f>
        <v>super rod:</v>
      </c>
      <c r="I2483" s="5" t="s">
        <v>2850</v>
      </c>
    </row>
    <row r="2484" customFormat="false" ht="12.75" hidden="false" customHeight="true" outlineLevel="0" collapsed="false">
      <c r="A2484" s="5" t="s">
        <v>3029</v>
      </c>
      <c r="B2484" s="7" t="n">
        <v>36</v>
      </c>
      <c r="C2484" s="7" t="n">
        <v>40</v>
      </c>
      <c r="D2484" s="7" t="s">
        <v>3842</v>
      </c>
      <c r="E2484" s="7"/>
      <c r="G2484" s="5" t="str">
        <f aca="false">IF(ISNUMBER(FIND("old rod:",A2484)),"old rod:",A2484)</f>
        <v>36, 40, KINGDRA</v>
      </c>
      <c r="I2484" s="5" t="s">
        <v>3029</v>
      </c>
    </row>
    <row r="2485" customFormat="false" ht="12.75" hidden="false" customHeight="true" outlineLevel="0" collapsed="false">
      <c r="A2485" s="5" t="s">
        <v>3527</v>
      </c>
      <c r="B2485" s="7" t="n">
        <v>36</v>
      </c>
      <c r="C2485" s="7" t="n">
        <v>40</v>
      </c>
      <c r="D2485" s="7" t="s">
        <v>3859</v>
      </c>
      <c r="E2485" s="7"/>
      <c r="G2485" s="5" t="str">
        <f aca="false">IF(ISNUMBER(FIND("old rod:",A2485)),"old rod:",A2485)</f>
        <v>36, 40, KINGLER</v>
      </c>
      <c r="I2485" s="5" t="s">
        <v>3527</v>
      </c>
    </row>
    <row r="2486" customFormat="false" ht="12.75" hidden="false" customHeight="true" outlineLevel="0" collapsed="false">
      <c r="A2486" s="5" t="s">
        <v>3031</v>
      </c>
      <c r="B2486" s="7" t="n">
        <v>38</v>
      </c>
      <c r="C2486" s="7" t="n">
        <v>42</v>
      </c>
      <c r="D2486" s="7" t="s">
        <v>3854</v>
      </c>
      <c r="E2486" s="7"/>
      <c r="G2486" s="5" t="str">
        <f aca="false">IF(ISNUMBER(FIND("old rod:",A2486)),"old rod:",A2486)</f>
        <v>38, 42, GILDUCK</v>
      </c>
      <c r="I2486" s="5" t="s">
        <v>3031</v>
      </c>
    </row>
    <row r="2487" customFormat="false" ht="12.75" hidden="false" customHeight="true" outlineLevel="0" collapsed="false">
      <c r="A2487" s="5" t="s">
        <v>3032</v>
      </c>
      <c r="B2487" s="7" t="n">
        <v>38</v>
      </c>
      <c r="C2487" s="7" t="n">
        <v>42</v>
      </c>
      <c r="D2487" s="7" t="s">
        <v>3862</v>
      </c>
      <c r="E2487" s="7"/>
      <c r="G2487" s="5" t="str">
        <f aca="false">IF(ISNUMBER(FIND("old rod:",A2487)),"old rod:",A2487)</f>
        <v>38, 42, KRAKLAW</v>
      </c>
      <c r="I2487" s="5" t="s">
        <v>3032</v>
      </c>
    </row>
    <row r="2488" customFormat="false" ht="12.75" hidden="false" customHeight="true" outlineLevel="0" collapsed="false">
      <c r="A2488" s="5" t="s">
        <v>3033</v>
      </c>
      <c r="B2488" s="7" t="n">
        <v>40</v>
      </c>
      <c r="C2488" s="7" t="n">
        <v>44</v>
      </c>
      <c r="D2488" s="7" t="s">
        <v>3844</v>
      </c>
      <c r="E2488" s="7"/>
      <c r="G2488" s="5" t="str">
        <f aca="false">IF(ISNUMBER(FIND("old rod:",A2488)),"old rod:",A2488)</f>
        <v>40, 44, LORDRA</v>
      </c>
      <c r="I2488" s="5" t="s">
        <v>3033</v>
      </c>
    </row>
    <row r="2489" customFormat="false" ht="12.75" hidden="false" customHeight="true" outlineLevel="0" collapsed="false">
      <c r="A2489" s="5" t="s">
        <v>2536</v>
      </c>
      <c r="B2489" s="7" t="s">
        <v>2536</v>
      </c>
      <c r="C2489" s="7"/>
      <c r="D2489" s="7"/>
      <c r="E2489" s="7"/>
      <c r="G2489" s="5" t="str">
        <f aca="false">IF(ISNUMBER(FIND("old rod:",A2489)),"old rod:",A2489)</f>
        <v>NEW ROUTE</v>
      </c>
      <c r="I2489" s="5" t="s">
        <v>2536</v>
      </c>
    </row>
    <row r="2490" customFormat="false" ht="12.75" hidden="false" customHeight="true" outlineLevel="0" collapsed="false">
      <c r="A2490" s="5" t="s">
        <v>461</v>
      </c>
      <c r="B2490" s="7" t="s">
        <v>461</v>
      </c>
      <c r="C2490" s="7"/>
      <c r="D2490" s="7"/>
      <c r="E2490" s="7"/>
      <c r="G2490" s="5" t="str">
        <f aca="false">IF(ISNUMBER(FIND("old rod:",A2490)),"old rod:",A2490)</f>
        <v>Route 22</v>
      </c>
      <c r="I2490" s="5" t="s">
        <v>461</v>
      </c>
    </row>
    <row r="2491" customFormat="false" ht="12.75" hidden="false" customHeight="true" outlineLevel="0" collapsed="false">
      <c r="A2491" s="5" t="n">
        <v>0.2</v>
      </c>
      <c r="B2491" s="5" t="n">
        <v>0.2</v>
      </c>
      <c r="C2491" s="7"/>
      <c r="D2491" s="7"/>
      <c r="E2491" s="7"/>
      <c r="G2491" s="5" t="n">
        <f aca="false">IF(ISNUMBER(FIND("old rod:",A2491)),"old rod:",A2491)</f>
        <v>0.2</v>
      </c>
      <c r="I2491" s="5" t="n">
        <v>0.2</v>
      </c>
    </row>
    <row r="2492" customFormat="false" ht="12.75" hidden="false" customHeight="true" outlineLevel="0" collapsed="false">
      <c r="A2492" s="5" t="s">
        <v>2027</v>
      </c>
      <c r="B2492" s="7" t="n">
        <v>2</v>
      </c>
      <c r="C2492" s="7" t="n">
        <v>3</v>
      </c>
      <c r="D2492" s="7" t="s">
        <v>3864</v>
      </c>
      <c r="E2492" s="7"/>
      <c r="G2492" s="5" t="str">
        <f aca="false">IF(ISNUMBER(FIND("old rod:",A2492)),"old rod:",A2492)</f>
        <v>2, 3, RATTATA</v>
      </c>
      <c r="I2492" s="5" t="s">
        <v>2027</v>
      </c>
    </row>
    <row r="2493" customFormat="false" ht="12.75" hidden="false" customHeight="true" outlineLevel="0" collapsed="false">
      <c r="A2493" s="5" t="s">
        <v>3543</v>
      </c>
      <c r="B2493" s="7" t="n">
        <v>4</v>
      </c>
      <c r="C2493" s="7" t="n">
        <v>5</v>
      </c>
      <c r="D2493" s="7" t="s">
        <v>3864</v>
      </c>
      <c r="E2493" s="7"/>
      <c r="G2493" s="5" t="str">
        <f aca="false">IF(ISNUMBER(FIND("old rod:",A2493)),"old rod:",A2493)</f>
        <v>4, 5, RATTATA</v>
      </c>
      <c r="I2493" s="5" t="s">
        <v>3543</v>
      </c>
    </row>
    <row r="2494" customFormat="false" ht="12.75" hidden="false" customHeight="true" outlineLevel="0" collapsed="false">
      <c r="A2494" s="5" t="n">
        <v>0.1</v>
      </c>
      <c r="B2494" s="5" t="n">
        <v>0.1</v>
      </c>
      <c r="C2494" s="7"/>
      <c r="D2494" s="7"/>
      <c r="E2494" s="7"/>
      <c r="G2494" s="5" t="n">
        <f aca="false">IF(ISNUMBER(FIND("old rod:",A2494)),"old rod:",A2494)</f>
        <v>0.1</v>
      </c>
      <c r="I2494" s="5" t="n">
        <v>0.1</v>
      </c>
    </row>
    <row r="2495" customFormat="false" ht="12.75" hidden="false" customHeight="true" outlineLevel="0" collapsed="false">
      <c r="A2495" s="5" t="s">
        <v>3544</v>
      </c>
      <c r="B2495" s="7" t="n">
        <v>2</v>
      </c>
      <c r="C2495" s="7" t="n">
        <v>3</v>
      </c>
      <c r="D2495" s="7" t="s">
        <v>3902</v>
      </c>
      <c r="E2495" s="7"/>
      <c r="G2495" s="5" t="str">
        <f aca="false">IF(ISNUMBER(FIND("old rod:",A2495)),"old rod:",A2495)</f>
        <v>2, 3, MEOWTH</v>
      </c>
      <c r="I2495" s="5" t="s">
        <v>3544</v>
      </c>
    </row>
    <row r="2496" customFormat="false" ht="12.75" hidden="false" customHeight="true" outlineLevel="0" collapsed="false">
      <c r="A2496" s="5" t="s">
        <v>3545</v>
      </c>
      <c r="B2496" s="7" t="n">
        <v>4</v>
      </c>
      <c r="C2496" s="7" t="n">
        <v>5</v>
      </c>
      <c r="D2496" s="7" t="s">
        <v>3902</v>
      </c>
      <c r="E2496" s="7"/>
      <c r="G2496" s="5" t="str">
        <f aca="false">IF(ISNUMBER(FIND("old rod:",A2496)),"old rod:",A2496)</f>
        <v>4, 5, MEOWTH</v>
      </c>
      <c r="I2496" s="5" t="s">
        <v>3545</v>
      </c>
    </row>
    <row r="2497" customFormat="false" ht="12.75" hidden="false" customHeight="true" outlineLevel="0" collapsed="false">
      <c r="A2497" s="5" t="s">
        <v>3546</v>
      </c>
      <c r="B2497" s="7" t="n">
        <v>2</v>
      </c>
      <c r="C2497" s="7" t="n">
        <v>3</v>
      </c>
      <c r="D2497" s="7" t="s">
        <v>3883</v>
      </c>
      <c r="E2497" s="7"/>
      <c r="G2497" s="5" t="str">
        <f aca="false">IF(ISNUMBER(FIND("old rod:",A2497)),"old rod:",A2497)</f>
        <v>2, 3, SPEAROW</v>
      </c>
      <c r="I2497" s="5" t="s">
        <v>3546</v>
      </c>
    </row>
    <row r="2498" customFormat="false" ht="12.75" hidden="false" customHeight="true" outlineLevel="0" collapsed="false">
      <c r="A2498" s="5" t="s">
        <v>3547</v>
      </c>
      <c r="B2498" s="7" t="n">
        <v>4</v>
      </c>
      <c r="C2498" s="7" t="n">
        <v>5</v>
      </c>
      <c r="D2498" s="7" t="s">
        <v>3883</v>
      </c>
      <c r="E2498" s="7"/>
      <c r="G2498" s="5" t="str">
        <f aca="false">IF(ISNUMBER(FIND("old rod:",A2498)),"old rod:",A2498)</f>
        <v>4, 5, SPEAROW</v>
      </c>
      <c r="I2498" s="5" t="s">
        <v>3547</v>
      </c>
    </row>
    <row r="2499" customFormat="false" ht="12.75" hidden="false" customHeight="true" outlineLevel="0" collapsed="false">
      <c r="A2499" s="5" t="n">
        <v>0.05</v>
      </c>
      <c r="B2499" s="5" t="n">
        <v>0.05</v>
      </c>
      <c r="C2499" s="7"/>
      <c r="D2499" s="7"/>
      <c r="E2499" s="7"/>
      <c r="G2499" s="5" t="n">
        <f aca="false">IF(ISNUMBER(FIND("old rod:",A2499)),"old rod:",A2499)</f>
        <v>0.05</v>
      </c>
      <c r="I2499" s="5" t="n">
        <v>0.05</v>
      </c>
    </row>
    <row r="2500" customFormat="false" ht="12.75" hidden="false" customHeight="true" outlineLevel="0" collapsed="false">
      <c r="A2500" s="5" t="s">
        <v>3548</v>
      </c>
      <c r="B2500" s="7" t="n">
        <v>2</v>
      </c>
      <c r="C2500" s="7" t="n">
        <v>3</v>
      </c>
      <c r="D2500" s="7" t="s">
        <v>3916</v>
      </c>
      <c r="E2500" s="7"/>
      <c r="G2500" s="5" t="str">
        <f aca="false">IF(ISNUMBER(FIND("old rod:",A2500)),"old rod:",A2500)</f>
        <v>2, 3, GROWLITHE</v>
      </c>
      <c r="I2500" s="5" t="s">
        <v>3548</v>
      </c>
    </row>
    <row r="2501" customFormat="false" ht="12.75" hidden="false" customHeight="true" outlineLevel="0" collapsed="false">
      <c r="A2501" s="5" t="s">
        <v>3549</v>
      </c>
      <c r="B2501" s="7" t="n">
        <v>4</v>
      </c>
      <c r="C2501" s="7" t="n">
        <v>5</v>
      </c>
      <c r="D2501" s="7" t="s">
        <v>3916</v>
      </c>
      <c r="E2501" s="7"/>
      <c r="G2501" s="5" t="str">
        <f aca="false">IF(ISNUMBER(FIND("old rod:",A2501)),"old rod:",A2501)</f>
        <v>4, 5, GROWLITHE</v>
      </c>
      <c r="I2501" s="5" t="s">
        <v>3549</v>
      </c>
    </row>
    <row r="2502" customFormat="false" ht="12.75" hidden="false" customHeight="true" outlineLevel="0" collapsed="false">
      <c r="A2502" s="5" t="n">
        <v>0.04</v>
      </c>
      <c r="B2502" s="5" t="n">
        <v>0.04</v>
      </c>
      <c r="C2502" s="7"/>
      <c r="D2502" s="7"/>
      <c r="E2502" s="7"/>
      <c r="G2502" s="5" t="n">
        <f aca="false">IF(ISNUMBER(FIND("old rod:",A2502)),"old rod:",A2502)</f>
        <v>0.04</v>
      </c>
      <c r="I2502" s="5" t="n">
        <v>0.04</v>
      </c>
    </row>
    <row r="2503" customFormat="false" ht="12.75" hidden="false" customHeight="true" outlineLevel="0" collapsed="false">
      <c r="A2503" s="5" t="s">
        <v>3550</v>
      </c>
      <c r="B2503" s="7" t="n">
        <v>2</v>
      </c>
      <c r="C2503" s="7" t="n">
        <v>5</v>
      </c>
      <c r="D2503" s="7" t="s">
        <v>3931</v>
      </c>
      <c r="E2503" s="7"/>
      <c r="G2503" s="5" t="str">
        <f aca="false">IF(ISNUMBER(FIND("old rod:",A2503)),"old rod:",A2503)</f>
        <v>2, 5, ABRA</v>
      </c>
      <c r="I2503" s="5" t="s">
        <v>3550</v>
      </c>
    </row>
    <row r="2504" customFormat="false" ht="12.75" hidden="false" customHeight="true" outlineLevel="0" collapsed="false">
      <c r="A2504" s="5" t="s">
        <v>3551</v>
      </c>
      <c r="B2504" s="7" t="n">
        <v>2</v>
      </c>
      <c r="C2504" s="7" t="n">
        <v>5</v>
      </c>
      <c r="D2504" s="7" t="s">
        <v>3929</v>
      </c>
      <c r="E2504" s="7"/>
      <c r="G2504" s="5" t="str">
        <f aca="false">IF(ISNUMBER(FIND("old rod:",A2504)),"old rod:",A2504)</f>
        <v>2, 5, KANGAKID</v>
      </c>
      <c r="I2504" s="5" t="s">
        <v>3551</v>
      </c>
    </row>
    <row r="2505" customFormat="false" ht="12.75" hidden="false" customHeight="true" outlineLevel="0" collapsed="false">
      <c r="A2505" s="5" t="n">
        <v>0.01</v>
      </c>
      <c r="B2505" s="5" t="n">
        <v>0.01</v>
      </c>
      <c r="C2505" s="7"/>
      <c r="D2505" s="7"/>
      <c r="E2505" s="7"/>
      <c r="G2505" s="5" t="n">
        <f aca="false">IF(ISNUMBER(FIND("old rod:",A2505)),"old rod:",A2505)</f>
        <v>0.01</v>
      </c>
      <c r="I2505" s="5" t="n">
        <v>0.01</v>
      </c>
    </row>
    <row r="2506" customFormat="false" ht="12.75" hidden="false" customHeight="true" outlineLevel="0" collapsed="false">
      <c r="A2506" s="5" t="s">
        <v>3552</v>
      </c>
      <c r="B2506" s="7" t="n">
        <v>2</v>
      </c>
      <c r="C2506" s="7" t="n">
        <v>5</v>
      </c>
      <c r="D2506" s="7" t="s">
        <v>3914</v>
      </c>
      <c r="E2506" s="7"/>
      <c r="G2506" s="5" t="str">
        <f aca="false">IF(ISNUMBER(FIND("old rod:",A2506)),"old rod:",A2506)</f>
        <v>2, 5, EEVEE</v>
      </c>
      <c r="I2506" s="5" t="s">
        <v>3552</v>
      </c>
    </row>
    <row r="2507" customFormat="false" ht="12.75" hidden="false" customHeight="true" outlineLevel="0" collapsed="false">
      <c r="A2507" s="5" t="s">
        <v>3553</v>
      </c>
      <c r="B2507" s="7" t="n">
        <v>2</v>
      </c>
      <c r="C2507" s="7" t="n">
        <v>5</v>
      </c>
      <c r="D2507" s="7" t="s">
        <v>3937</v>
      </c>
      <c r="E2507" s="7"/>
      <c r="G2507" s="5" t="str">
        <f aca="false">IF(ISNUMBER(FIND("old rod:",A2507)),"old rod:",A2507)</f>
        <v>2, 5, SCYTHER</v>
      </c>
      <c r="I2507" s="5" t="s">
        <v>3553</v>
      </c>
    </row>
    <row r="2508" customFormat="false" ht="12.75" hidden="false" customHeight="true" outlineLevel="0" collapsed="false">
      <c r="A2508" s="5" t="s">
        <v>3554</v>
      </c>
      <c r="B2508" s="7" t="n">
        <v>2</v>
      </c>
      <c r="C2508" s="7" t="n">
        <v>40</v>
      </c>
      <c r="D2508" s="7" t="n">
        <v>44</v>
      </c>
      <c r="E2508" s="7" t="s">
        <v>3799</v>
      </c>
      <c r="G2508" s="5" t="str">
        <f aca="false">IF(ISNUMBER(FIND("old rod:",A2508)),"old rod:",A2508)</f>
        <v>2, 40, 44, PSYDUCK</v>
      </c>
      <c r="I2508" s="5" t="s">
        <v>3554</v>
      </c>
    </row>
    <row r="2509" customFormat="false" ht="12.75" hidden="false" customHeight="true" outlineLevel="0" collapsed="false">
      <c r="A2509" s="5" t="s">
        <v>3555</v>
      </c>
      <c r="B2509" s="7" t="n">
        <v>42</v>
      </c>
      <c r="C2509" s="7" t="n">
        <v>46</v>
      </c>
      <c r="D2509" s="7" t="s">
        <v>3755</v>
      </c>
      <c r="E2509" s="7"/>
      <c r="G2509" s="5" t="str">
        <f aca="false">IF(ISNUMBER(FIND("old rod:",A2509)),"old rod:",A2509)</f>
        <v>42, 46, SLOWPOKE</v>
      </c>
      <c r="I2509" s="5" t="s">
        <v>3555</v>
      </c>
    </row>
    <row r="2510" customFormat="false" ht="12.75" hidden="false" customHeight="true" outlineLevel="0" collapsed="false">
      <c r="A2510" s="5" t="s">
        <v>3556</v>
      </c>
      <c r="B2510" s="7" t="n">
        <v>44</v>
      </c>
      <c r="C2510" s="7" t="n">
        <v>47</v>
      </c>
      <c r="D2510" s="7" t="s">
        <v>3801</v>
      </c>
      <c r="E2510" s="7"/>
      <c r="G2510" s="5" t="str">
        <f aca="false">IF(ISNUMBER(FIND("old rod:",A2510)),"old rod:",A2510)</f>
        <v>44, 47, GOLDUCK</v>
      </c>
      <c r="I2510" s="5" t="s">
        <v>3556</v>
      </c>
    </row>
    <row r="2511" customFormat="false" ht="12.75" hidden="false" customHeight="true" outlineLevel="0" collapsed="false">
      <c r="A2511" s="5" t="s">
        <v>3557</v>
      </c>
      <c r="B2511" s="7" t="n">
        <v>44</v>
      </c>
      <c r="C2511" s="7" t="n">
        <v>47</v>
      </c>
      <c r="D2511" s="7" t="s">
        <v>3800</v>
      </c>
      <c r="E2511" s="7"/>
      <c r="G2511" s="5" t="str">
        <f aca="false">IF(ISNUMBER(FIND("old rod:",A2511)),"old rod:",A2511)</f>
        <v>44, 47, SLOWBRO</v>
      </c>
      <c r="I2511" s="5" t="s">
        <v>3557</v>
      </c>
    </row>
    <row r="2512" customFormat="false" ht="12.75" hidden="false" customHeight="true" outlineLevel="0" collapsed="false">
      <c r="A2512" s="5" t="s">
        <v>3558</v>
      </c>
      <c r="B2512" s="7" t="n">
        <v>45</v>
      </c>
      <c r="C2512" s="7" t="n">
        <v>50</v>
      </c>
      <c r="D2512" s="7" t="s">
        <v>3854</v>
      </c>
      <c r="E2512" s="7"/>
      <c r="G2512" s="5" t="str">
        <f aca="false">IF(ISNUMBER(FIND("old rod:",A2512)),"old rod:",A2512)</f>
        <v>45, 50, GILDUCK</v>
      </c>
      <c r="I2512" s="5" t="s">
        <v>3558</v>
      </c>
    </row>
    <row r="2513" customFormat="false" ht="12.75" hidden="false" customHeight="true" outlineLevel="0" collapsed="false">
      <c r="A2513" s="5" t="s">
        <v>2925</v>
      </c>
      <c r="B2513" s="7" t="n">
        <v>20</v>
      </c>
      <c r="C2513" s="7" t="s">
        <v>3748</v>
      </c>
      <c r="D2513" s="7"/>
      <c r="E2513" s="7"/>
      <c r="G2513" s="5" t="str">
        <f aca="false">IF(ISNUMBER(FIND("old rod:",A2513)),"old rod:",A2513)</f>
        <v>old rod:</v>
      </c>
      <c r="I2513" s="5" t="s">
        <v>3749</v>
      </c>
    </row>
    <row r="2514" customFormat="false" ht="12.75" hidden="false" customHeight="true" outlineLevel="0" collapsed="false">
      <c r="A2514" s="5" t="s">
        <v>1349</v>
      </c>
      <c r="B2514" s="7" t="n">
        <v>19</v>
      </c>
      <c r="C2514" s="7" t="n">
        <v>26</v>
      </c>
      <c r="D2514" s="7" t="s">
        <v>3750</v>
      </c>
      <c r="E2514" s="7"/>
      <c r="G2514" s="5" t="str">
        <f aca="false">IF(ISNUMBER(FIND("old rod:",A2514)),"old rod:",A2514)</f>
        <v>19, 26, MAGIKARP</v>
      </c>
      <c r="I2514" s="5" t="s">
        <v>1349</v>
      </c>
    </row>
    <row r="2515" customFormat="false" ht="12.75" hidden="false" customHeight="true" outlineLevel="0" collapsed="false">
      <c r="A2515" s="5" t="s">
        <v>2926</v>
      </c>
      <c r="B2515" s="7" t="n">
        <v>19</v>
      </c>
      <c r="C2515" s="7" t="n">
        <v>26</v>
      </c>
      <c r="D2515" s="7" t="s">
        <v>3803</v>
      </c>
      <c r="E2515" s="7"/>
      <c r="G2515" s="5" t="str">
        <f aca="false">IF(ISNUMBER(FIND("old rod:",A2515)),"old rod:",A2515)</f>
        <v>19, 26, POLIWAG</v>
      </c>
      <c r="I2515" s="5" t="s">
        <v>2926</v>
      </c>
    </row>
    <row r="2516" customFormat="false" ht="12.75" hidden="false" customHeight="true" outlineLevel="0" collapsed="false">
      <c r="A2516" s="5" t="s">
        <v>2846</v>
      </c>
      <c r="B2516" s="7" t="s">
        <v>2846</v>
      </c>
      <c r="C2516" s="7"/>
      <c r="D2516" s="7"/>
      <c r="E2516" s="7"/>
      <c r="G2516" s="5" t="str">
        <f aca="false">IF(ISNUMBER(FIND("old rod:",A2516)),"old rod:",A2516)</f>
        <v>good rod:</v>
      </c>
      <c r="I2516" s="5" t="s">
        <v>2846</v>
      </c>
    </row>
    <row r="2517" customFormat="false" ht="12.75" hidden="false" customHeight="true" outlineLevel="0" collapsed="false">
      <c r="A2517" s="5" t="s">
        <v>3559</v>
      </c>
      <c r="B2517" s="7" t="n">
        <v>29</v>
      </c>
      <c r="C2517" s="7" t="n">
        <v>33</v>
      </c>
      <c r="D2517" s="7" t="s">
        <v>3750</v>
      </c>
      <c r="E2517" s="7"/>
      <c r="G2517" s="5" t="str">
        <f aca="false">IF(ISNUMBER(FIND("old rod:",A2517)),"old rod:",A2517)</f>
        <v>29, 33, MAGIKARP</v>
      </c>
      <c r="I2517" s="5" t="s">
        <v>3559</v>
      </c>
    </row>
    <row r="2518" customFormat="false" ht="12.75" hidden="false" customHeight="true" outlineLevel="0" collapsed="false">
      <c r="A2518" s="5" t="s">
        <v>3560</v>
      </c>
      <c r="B2518" s="7" t="n">
        <v>30</v>
      </c>
      <c r="C2518" s="7" t="n">
        <v>35</v>
      </c>
      <c r="D2518" s="7" t="s">
        <v>3754</v>
      </c>
      <c r="E2518" s="7"/>
      <c r="G2518" s="5" t="str">
        <f aca="false">IF(ISNUMBER(FIND("old rod:",A2518)),"old rod:",A2518)</f>
        <v>30, 35, GYARADOS</v>
      </c>
      <c r="I2518" s="5" t="s">
        <v>3560</v>
      </c>
    </row>
    <row r="2519" customFormat="false" ht="12.75" hidden="false" customHeight="true" outlineLevel="0" collapsed="false">
      <c r="A2519" s="5" t="s">
        <v>3561</v>
      </c>
      <c r="B2519" s="7" t="n">
        <v>30</v>
      </c>
      <c r="C2519" s="7" t="n">
        <v>35</v>
      </c>
      <c r="D2519" s="7" t="s">
        <v>3805</v>
      </c>
      <c r="E2519" s="7"/>
      <c r="G2519" s="5" t="str">
        <f aca="false">IF(ISNUMBER(FIND("old rod:",A2519)),"old rod:",A2519)</f>
        <v>30, 35, POLIWHIRL</v>
      </c>
      <c r="I2519" s="5" t="s">
        <v>3561</v>
      </c>
    </row>
    <row r="2520" customFormat="false" ht="12.75" hidden="false" customHeight="true" outlineLevel="0" collapsed="false">
      <c r="A2520" s="5" t="s">
        <v>2850</v>
      </c>
      <c r="B2520" s="7" t="s">
        <v>2850</v>
      </c>
      <c r="C2520" s="7"/>
      <c r="D2520" s="7"/>
      <c r="E2520" s="7"/>
      <c r="G2520" s="5" t="str">
        <f aca="false">IF(ISNUMBER(FIND("old rod:",A2520)),"old rod:",A2520)</f>
        <v>super rod:</v>
      </c>
      <c r="I2520" s="5" t="s">
        <v>2850</v>
      </c>
    </row>
    <row r="2521" customFormat="false" ht="12.75" hidden="false" customHeight="true" outlineLevel="0" collapsed="false">
      <c r="A2521" s="5" t="s">
        <v>3562</v>
      </c>
      <c r="B2521" s="7" t="n">
        <v>36</v>
      </c>
      <c r="C2521" s="7" t="n">
        <v>40</v>
      </c>
      <c r="D2521" s="7" t="s">
        <v>3750</v>
      </c>
      <c r="E2521" s="7"/>
      <c r="G2521" s="5" t="str">
        <f aca="false">IF(ISNUMBER(FIND("old rod:",A2521)),"old rod:",A2521)</f>
        <v>36, 40, MAGIKARP</v>
      </c>
      <c r="I2521" s="5" t="s">
        <v>3562</v>
      </c>
    </row>
    <row r="2522" customFormat="false" ht="12.75" hidden="false" customHeight="true" outlineLevel="0" collapsed="false">
      <c r="A2522" s="5" t="s">
        <v>3356</v>
      </c>
      <c r="B2522" s="7" t="n">
        <v>36</v>
      </c>
      <c r="C2522" s="7" t="n">
        <v>40</v>
      </c>
      <c r="D2522" s="7" t="s">
        <v>3754</v>
      </c>
      <c r="E2522" s="7"/>
      <c r="G2522" s="5" t="str">
        <f aca="false">IF(ISNUMBER(FIND("old rod:",A2522)),"old rod:",A2522)</f>
        <v>36, 40, GYARADOS</v>
      </c>
      <c r="I2522" s="5" t="s">
        <v>3356</v>
      </c>
    </row>
    <row r="2523" customFormat="false" ht="12.75" hidden="false" customHeight="true" outlineLevel="0" collapsed="false">
      <c r="A2523" s="5" t="s">
        <v>3563</v>
      </c>
      <c r="B2523" s="7" t="n">
        <v>38</v>
      </c>
      <c r="C2523" s="7" t="n">
        <v>42</v>
      </c>
      <c r="D2523" s="7" t="s">
        <v>3805</v>
      </c>
      <c r="E2523" s="7"/>
      <c r="G2523" s="5" t="str">
        <f aca="false">IF(ISNUMBER(FIND("old rod:",A2523)),"old rod:",A2523)</f>
        <v>38, 42, POLIWHIRL</v>
      </c>
      <c r="I2523" s="5" t="s">
        <v>3563</v>
      </c>
    </row>
    <row r="2524" customFormat="false" ht="12.75" hidden="false" customHeight="true" outlineLevel="0" collapsed="false">
      <c r="A2524" s="5" t="s">
        <v>3378</v>
      </c>
      <c r="B2524" s="7" t="n">
        <v>38</v>
      </c>
      <c r="C2524" s="7" t="n">
        <v>42</v>
      </c>
      <c r="D2524" s="7" t="s">
        <v>3923</v>
      </c>
      <c r="E2524" s="7"/>
      <c r="G2524" s="5" t="str">
        <f aca="false">IF(ISNUMBER(FIND("old rod:",A2524)),"old rod:",A2524)</f>
        <v>38, 42, POLIWRATH</v>
      </c>
      <c r="I2524" s="5" t="s">
        <v>3378</v>
      </c>
    </row>
    <row r="2525" customFormat="false" ht="12.75" hidden="false" customHeight="true" outlineLevel="0" collapsed="false">
      <c r="A2525" s="5" t="s">
        <v>3379</v>
      </c>
      <c r="B2525" s="7" t="n">
        <v>40</v>
      </c>
      <c r="C2525" s="7" t="n">
        <v>44</v>
      </c>
      <c r="D2525" s="7" t="s">
        <v>3837</v>
      </c>
      <c r="E2525" s="7"/>
      <c r="G2525" s="5" t="str">
        <f aca="false">IF(ISNUMBER(FIND("old rod:",A2525)),"old rod:",A2525)</f>
        <v>40, 44, POLITOES</v>
      </c>
      <c r="I2525" s="5" t="s">
        <v>3379</v>
      </c>
    </row>
    <row r="2526" customFormat="false" ht="12.75" hidden="false" customHeight="true" outlineLevel="0" collapsed="false">
      <c r="A2526" s="5" t="s">
        <v>2536</v>
      </c>
      <c r="B2526" s="7" t="s">
        <v>2536</v>
      </c>
      <c r="C2526" s="7"/>
      <c r="D2526" s="7"/>
      <c r="E2526" s="7"/>
      <c r="G2526" s="5" t="str">
        <f aca="false">IF(ISNUMBER(FIND("old rod:",A2526)),"old rod:",A2526)</f>
        <v>NEW ROUTE</v>
      </c>
      <c r="I2526" s="5" t="s">
        <v>2536</v>
      </c>
    </row>
    <row r="2527" customFormat="false" ht="12.75" hidden="false" customHeight="true" outlineLevel="0" collapsed="false">
      <c r="A2527" s="5" t="s">
        <v>463</v>
      </c>
      <c r="B2527" s="7" t="s">
        <v>463</v>
      </c>
      <c r="C2527" s="7"/>
      <c r="D2527" s="7"/>
      <c r="E2527" s="7"/>
      <c r="G2527" s="5" t="str">
        <f aca="false">IF(ISNUMBER(FIND("old rod:",A2527)),"old rod:",A2527)</f>
        <v>Route 23</v>
      </c>
      <c r="I2527" s="5" t="s">
        <v>463</v>
      </c>
    </row>
    <row r="2528" customFormat="false" ht="12.75" hidden="false" customHeight="true" outlineLevel="0" collapsed="false">
      <c r="A2528" s="5" t="n">
        <v>0.2</v>
      </c>
      <c r="B2528" s="5" t="n">
        <v>0.2</v>
      </c>
      <c r="C2528" s="7"/>
      <c r="D2528" s="7"/>
      <c r="E2528" s="7"/>
      <c r="G2528" s="5" t="n">
        <f aca="false">IF(ISNUMBER(FIND("old rod:",A2528)),"old rod:",A2528)</f>
        <v>0.2</v>
      </c>
      <c r="I2528" s="5" t="n">
        <v>0.2</v>
      </c>
    </row>
    <row r="2529" customFormat="false" ht="12.75" hidden="false" customHeight="true" outlineLevel="0" collapsed="false">
      <c r="A2529" s="5" t="s">
        <v>2049</v>
      </c>
      <c r="B2529" s="7" t="n">
        <v>51</v>
      </c>
      <c r="C2529" s="7" t="n">
        <v>56</v>
      </c>
      <c r="D2529" s="7" t="s">
        <v>3949</v>
      </c>
      <c r="E2529" s="7"/>
      <c r="G2529" s="5" t="str">
        <f aca="false">IF(ISNUMBER(FIND("old rod:",A2529)),"old rod:",A2529)</f>
        <v>51, 56, PRIMEAPE</v>
      </c>
      <c r="I2529" s="5" t="s">
        <v>2049</v>
      </c>
    </row>
    <row r="2530" customFormat="false" ht="12.75" hidden="false" customHeight="true" outlineLevel="0" collapsed="false">
      <c r="A2530" s="5" t="s">
        <v>3565</v>
      </c>
      <c r="B2530" s="7" t="n">
        <v>51</v>
      </c>
      <c r="C2530" s="7" t="n">
        <v>56</v>
      </c>
      <c r="D2530" s="7" t="s">
        <v>3950</v>
      </c>
      <c r="E2530" s="7"/>
      <c r="G2530" s="5" t="str">
        <f aca="false">IF(ISNUMBER(FIND("old rod:",A2530)),"old rod:",A2530)</f>
        <v>51, 56, SNEEROW</v>
      </c>
      <c r="I2530" s="5" t="s">
        <v>3565</v>
      </c>
    </row>
    <row r="2531" customFormat="false" ht="12.75" hidden="false" customHeight="true" outlineLevel="0" collapsed="false">
      <c r="A2531" s="5" t="n">
        <v>0.1</v>
      </c>
      <c r="B2531" s="5" t="n">
        <v>0.1</v>
      </c>
      <c r="C2531" s="7"/>
      <c r="D2531" s="7"/>
      <c r="E2531" s="7"/>
      <c r="G2531" s="5" t="n">
        <f aca="false">IF(ISNUMBER(FIND("old rod:",A2531)),"old rod:",A2531)</f>
        <v>0.1</v>
      </c>
      <c r="I2531" s="5" t="n">
        <v>0.1</v>
      </c>
    </row>
    <row r="2532" customFormat="false" ht="12.75" hidden="false" customHeight="true" outlineLevel="0" collapsed="false">
      <c r="A2532" s="5" t="s">
        <v>3566</v>
      </c>
      <c r="B2532" s="7" t="n">
        <v>53</v>
      </c>
      <c r="C2532" s="7" t="n">
        <v>57</v>
      </c>
      <c r="D2532" s="7" t="s">
        <v>3951</v>
      </c>
      <c r="E2532" s="7"/>
      <c r="G2532" s="5" t="str">
        <f aca="false">IF(ISNUMBER(FIND("old rod:",A2532)),"old rod:",A2532)</f>
        <v>53, 57, GORILLASH</v>
      </c>
      <c r="I2532" s="5" t="s">
        <v>3566</v>
      </c>
    </row>
    <row r="2533" customFormat="false" ht="12.75" hidden="false" customHeight="true" outlineLevel="0" collapsed="false">
      <c r="A2533" s="5" t="s">
        <v>3567</v>
      </c>
      <c r="B2533" s="7" t="n">
        <v>53</v>
      </c>
      <c r="C2533" s="7" t="n">
        <v>57</v>
      </c>
      <c r="D2533" s="7" t="s">
        <v>3952</v>
      </c>
      <c r="E2533" s="7"/>
      <c r="G2533" s="5" t="str">
        <f aca="false">IF(ISNUMBER(FIND("old rod:",A2533)),"old rod:",A2533)</f>
        <v>53, 57, ORNITHOW</v>
      </c>
      <c r="I2533" s="5" t="s">
        <v>3567</v>
      </c>
    </row>
    <row r="2534" customFormat="false" ht="12.75" hidden="false" customHeight="true" outlineLevel="0" collapsed="false">
      <c r="A2534" s="5" t="s">
        <v>2872</v>
      </c>
      <c r="B2534" s="7" t="n">
        <v>53</v>
      </c>
      <c r="C2534" s="7" t="n">
        <v>57</v>
      </c>
      <c r="D2534" s="7" t="s">
        <v>3763</v>
      </c>
      <c r="E2534" s="7"/>
      <c r="G2534" s="5" t="str">
        <f aca="false">IF(ISNUMBER(FIND("old rod:",A2534)),"old rod:",A2534)</f>
        <v>53, 57, ADNOKANA</v>
      </c>
      <c r="I2534" s="5" t="s">
        <v>2872</v>
      </c>
    </row>
    <row r="2535" customFormat="false" ht="12.75" hidden="false" customHeight="true" outlineLevel="0" collapsed="false">
      <c r="A2535" s="5" t="s">
        <v>3568</v>
      </c>
      <c r="B2535" s="7" t="n">
        <v>53</v>
      </c>
      <c r="C2535" s="7" t="n">
        <v>57</v>
      </c>
      <c r="D2535" s="7" t="s">
        <v>3953</v>
      </c>
      <c r="E2535" s="7"/>
      <c r="G2535" s="5" t="str">
        <f aca="false">IF(ISNUMBER(FIND("old rod:",A2535)),"old rod:",A2535)</f>
        <v>53, 57, SANDSLAM</v>
      </c>
      <c r="I2535" s="5" t="s">
        <v>3568</v>
      </c>
    </row>
    <row r="2536" customFormat="false" ht="12.75" hidden="false" customHeight="true" outlineLevel="0" collapsed="false">
      <c r="A2536" s="5" t="n">
        <v>0.05</v>
      </c>
      <c r="B2536" s="5" t="n">
        <v>0.05</v>
      </c>
      <c r="C2536" s="7"/>
      <c r="D2536" s="7"/>
      <c r="E2536" s="7"/>
      <c r="G2536" s="5" t="n">
        <f aca="false">IF(ISNUMBER(FIND("old rod:",A2536)),"old rod:",A2536)</f>
        <v>0.05</v>
      </c>
      <c r="I2536" s="5" t="n">
        <v>0.05</v>
      </c>
    </row>
    <row r="2537" customFormat="false" ht="12.75" hidden="false" customHeight="true" outlineLevel="0" collapsed="false">
      <c r="A2537" s="5" t="s">
        <v>3569</v>
      </c>
      <c r="B2537" s="7" t="n">
        <v>54</v>
      </c>
      <c r="C2537" s="7" t="n">
        <v>56</v>
      </c>
      <c r="D2537" s="7" t="s">
        <v>3828</v>
      </c>
      <c r="E2537" s="7"/>
      <c r="G2537" s="5" t="str">
        <f aca="false">IF(ISNUMBER(FIND("old rod:",A2537)),"old rod:",A2537)</f>
        <v>54, 56, "MR. JEST"</v>
      </c>
      <c r="I2537" s="5" t="s">
        <v>3569</v>
      </c>
    </row>
    <row r="2538" customFormat="false" ht="12.75" hidden="false" customHeight="true" outlineLevel="0" collapsed="false">
      <c r="A2538" s="5" t="s">
        <v>3570</v>
      </c>
      <c r="B2538" s="7" t="n">
        <v>54</v>
      </c>
      <c r="C2538" s="7" t="n">
        <v>56</v>
      </c>
      <c r="D2538" s="7" t="s">
        <v>3954</v>
      </c>
      <c r="E2538" s="7"/>
      <c r="G2538" s="5" t="str">
        <f aca="false">IF(ISNUMBER(FIND("old rod:",A2538)),"old rod:",A2538)</f>
        <v>54, 56, ELECTIVINE</v>
      </c>
      <c r="I2538" s="5" t="s">
        <v>3570</v>
      </c>
    </row>
    <row r="2539" customFormat="false" ht="12.75" hidden="false" customHeight="true" outlineLevel="0" collapsed="false">
      <c r="A2539" s="5" t="n">
        <v>0.04</v>
      </c>
      <c r="B2539" s="5" t="n">
        <v>0.04</v>
      </c>
      <c r="C2539" s="7"/>
      <c r="D2539" s="7"/>
      <c r="E2539" s="7"/>
      <c r="G2539" s="5" t="n">
        <f aca="false">IF(ISNUMBER(FIND("old rod:",A2539)),"old rod:",A2539)</f>
        <v>0.04</v>
      </c>
      <c r="I2539" s="5" t="n">
        <v>0.04</v>
      </c>
    </row>
    <row r="2540" customFormat="false" ht="12.75" hidden="false" customHeight="true" outlineLevel="0" collapsed="false">
      <c r="A2540" s="5" t="s">
        <v>3571</v>
      </c>
      <c r="B2540" s="7" t="n">
        <v>54</v>
      </c>
      <c r="C2540" s="7" t="n">
        <v>55</v>
      </c>
      <c r="D2540" s="7" t="s">
        <v>3955</v>
      </c>
      <c r="E2540" s="7"/>
      <c r="G2540" s="5" t="str">
        <f aca="false">IF(ISNUMBER(FIND("old rod:",A2540)),"old rod:",A2540)</f>
        <v>54, 55, FELANKH</v>
      </c>
      <c r="I2540" s="5" t="s">
        <v>3571</v>
      </c>
    </row>
    <row r="2541" customFormat="false" ht="12.75" hidden="false" customHeight="true" outlineLevel="0" collapsed="false">
      <c r="A2541" s="5" t="s">
        <v>3572</v>
      </c>
      <c r="B2541" s="7" t="n">
        <v>56</v>
      </c>
      <c r="C2541" s="7" t="n">
        <v>57</v>
      </c>
      <c r="D2541" s="7" t="s">
        <v>3955</v>
      </c>
      <c r="E2541" s="7"/>
      <c r="G2541" s="5" t="str">
        <f aca="false">IF(ISNUMBER(FIND("old rod:",A2541)),"old rod:",A2541)</f>
        <v>56, 57, FELANKH</v>
      </c>
      <c r="I2541" s="5" t="s">
        <v>3572</v>
      </c>
    </row>
    <row r="2542" customFormat="false" ht="12.75" hidden="false" customHeight="true" outlineLevel="0" collapsed="false">
      <c r="A2542" s="5" t="n">
        <v>0.01</v>
      </c>
      <c r="B2542" s="5" t="n">
        <v>0.01</v>
      </c>
      <c r="C2542" s="7"/>
      <c r="D2542" s="7"/>
      <c r="E2542" s="7"/>
      <c r="G2542" s="5" t="n">
        <f aca="false">IF(ISNUMBER(FIND("old rod:",A2542)),"old rod:",A2542)</f>
        <v>0.01</v>
      </c>
      <c r="I2542" s="5" t="n">
        <v>0.01</v>
      </c>
    </row>
    <row r="2543" customFormat="false" ht="12.75" hidden="false" customHeight="true" outlineLevel="0" collapsed="false">
      <c r="A2543" s="5" t="s">
        <v>3573</v>
      </c>
      <c r="B2543" s="7" t="n">
        <v>40</v>
      </c>
      <c r="C2543" s="7" t="n">
        <v>50</v>
      </c>
      <c r="D2543" s="7" t="s">
        <v>3956</v>
      </c>
      <c r="E2543" s="7"/>
      <c r="G2543" s="5" t="str">
        <f aca="false">IF(ISNUMBER(FIND("old rod:",A2543)),"old rod:",A2543)</f>
        <v>40, 50, AERODACTYL</v>
      </c>
      <c r="I2543" s="5" t="s">
        <v>3573</v>
      </c>
    </row>
    <row r="2544" customFormat="false" ht="12.75" hidden="false" customHeight="true" outlineLevel="0" collapsed="false">
      <c r="A2544" s="5" t="s">
        <v>3574</v>
      </c>
      <c r="B2544" s="7" t="n">
        <v>57</v>
      </c>
      <c r="C2544" s="7" t="n">
        <v>59</v>
      </c>
      <c r="D2544" s="7" t="s">
        <v>3957</v>
      </c>
      <c r="E2544" s="7"/>
      <c r="G2544" s="5" t="str">
        <f aca="false">IF(ISNUMBER(FIND("old rod:",A2544)),"old rod:",A2544)</f>
        <v>57, 59, LUKKEY</v>
      </c>
      <c r="I2544" s="5" t="s">
        <v>3574</v>
      </c>
    </row>
    <row r="2545" customFormat="false" ht="12.75" hidden="false" customHeight="true" outlineLevel="0" collapsed="false">
      <c r="A2545" s="5" t="s">
        <v>3575</v>
      </c>
      <c r="B2545" s="7" t="n">
        <v>2</v>
      </c>
      <c r="C2545" s="7" t="n">
        <v>50</v>
      </c>
      <c r="D2545" s="7" t="n">
        <v>55</v>
      </c>
      <c r="E2545" s="7" t="s">
        <v>3854</v>
      </c>
      <c r="G2545" s="5" t="str">
        <f aca="false">IF(ISNUMBER(FIND("old rod:",A2545)),"old rod:",A2545)</f>
        <v>2, 50, 55, GILDUCK</v>
      </c>
      <c r="I2545" s="5" t="s">
        <v>3575</v>
      </c>
    </row>
    <row r="2546" customFormat="false" ht="12.75" hidden="false" customHeight="true" outlineLevel="0" collapsed="false">
      <c r="A2546" s="5" t="s">
        <v>3576</v>
      </c>
      <c r="B2546" s="7" t="n">
        <v>50</v>
      </c>
      <c r="C2546" s="7" t="n">
        <v>55</v>
      </c>
      <c r="D2546" s="7" t="s">
        <v>3837</v>
      </c>
      <c r="E2546" s="7"/>
      <c r="G2546" s="5" t="str">
        <f aca="false">IF(ISNUMBER(FIND("old rod:",A2546)),"old rod:",A2546)</f>
        <v>50, 55, POLITOES</v>
      </c>
      <c r="I2546" s="5" t="s">
        <v>3576</v>
      </c>
    </row>
    <row r="2547" customFormat="false" ht="12.75" hidden="false" customHeight="true" outlineLevel="0" collapsed="false">
      <c r="A2547" s="5" t="s">
        <v>3577</v>
      </c>
      <c r="B2547" s="7" t="n">
        <v>52</v>
      </c>
      <c r="C2547" s="7" t="n">
        <v>57</v>
      </c>
      <c r="D2547" s="7" t="s">
        <v>3855</v>
      </c>
      <c r="E2547" s="7"/>
      <c r="G2547" s="5" t="str">
        <f aca="false">IF(ISNUMBER(FIND("old rod:",A2547)),"old rod:",A2547)</f>
        <v>52, 57, SLOWMATE</v>
      </c>
      <c r="I2547" s="5" t="s">
        <v>3577</v>
      </c>
    </row>
    <row r="2548" customFormat="false" ht="12.75" hidden="false" customHeight="true" outlineLevel="0" collapsed="false">
      <c r="A2548" s="5" t="s">
        <v>2970</v>
      </c>
      <c r="B2548" s="7" t="n">
        <v>52</v>
      </c>
      <c r="C2548" s="7" t="n">
        <v>57</v>
      </c>
      <c r="D2548" s="7" t="s">
        <v>3838</v>
      </c>
      <c r="E2548" s="7"/>
      <c r="G2548" s="5" t="str">
        <f aca="false">IF(ISNUMBER(FIND("old rod:",A2548)),"old rod:",A2548)</f>
        <v>52, 57, POLIWISE</v>
      </c>
      <c r="I2548" s="5" t="s">
        <v>2970</v>
      </c>
    </row>
    <row r="2549" customFormat="false" ht="12.75" hidden="false" customHeight="true" outlineLevel="0" collapsed="false">
      <c r="A2549" s="5" t="s">
        <v>3578</v>
      </c>
      <c r="B2549" s="7" t="n">
        <v>53</v>
      </c>
      <c r="C2549" s="7" t="n">
        <v>58</v>
      </c>
      <c r="D2549" s="7" t="s">
        <v>3958</v>
      </c>
      <c r="E2549" s="7"/>
      <c r="G2549" s="5" t="str">
        <f aca="false">IF(ISNUMBER(FIND("old rod:",A2549)),"old rod:",A2549)</f>
        <v>53, 58, PLATINUPUS</v>
      </c>
      <c r="I2549" s="5" t="s">
        <v>3578</v>
      </c>
    </row>
    <row r="2550" customFormat="false" ht="12.75" hidden="false" customHeight="true" outlineLevel="0" collapsed="false">
      <c r="A2550" s="5" t="s">
        <v>2925</v>
      </c>
      <c r="B2550" s="7" t="n">
        <v>20</v>
      </c>
      <c r="C2550" s="7" t="s">
        <v>3748</v>
      </c>
      <c r="D2550" s="7"/>
      <c r="E2550" s="7"/>
      <c r="G2550" s="5" t="str">
        <f aca="false">IF(ISNUMBER(FIND("old rod:",A2550)),"old rod:",A2550)</f>
        <v>old rod:</v>
      </c>
      <c r="I2550" s="5" t="s">
        <v>3749</v>
      </c>
    </row>
    <row r="2551" customFormat="false" ht="12.75" hidden="false" customHeight="true" outlineLevel="0" collapsed="false">
      <c r="A2551" s="5" t="s">
        <v>2063</v>
      </c>
      <c r="B2551" s="7" t="n">
        <v>24</v>
      </c>
      <c r="C2551" s="7" t="n">
        <v>36</v>
      </c>
      <c r="D2551" s="7" t="s">
        <v>3804</v>
      </c>
      <c r="E2551" s="7"/>
      <c r="G2551" s="5" t="str">
        <f aca="false">IF(ISNUMBER(FIND("old rod:",A2551)),"old rod:",A2551)</f>
        <v>24, 36, GOLDEEN</v>
      </c>
      <c r="I2551" s="5" t="s">
        <v>2063</v>
      </c>
    </row>
    <row r="2552" customFormat="false" ht="12.75" hidden="false" customHeight="true" outlineLevel="0" collapsed="false">
      <c r="A2552" s="5" t="s">
        <v>3579</v>
      </c>
      <c r="B2552" s="7" t="n">
        <v>23</v>
      </c>
      <c r="C2552" s="7" t="n">
        <v>36</v>
      </c>
      <c r="D2552" s="7" t="s">
        <v>3751</v>
      </c>
      <c r="E2552" s="7"/>
      <c r="G2552" s="5" t="str">
        <f aca="false">IF(ISNUMBER(FIND("old rod:",A2552)),"old rod:",A2552)</f>
        <v>23, 36, KRABBY</v>
      </c>
      <c r="I2552" s="5" t="s">
        <v>3579</v>
      </c>
    </row>
    <row r="2553" customFormat="false" ht="12.75" hidden="false" customHeight="true" outlineLevel="0" collapsed="false">
      <c r="A2553" s="5" t="s">
        <v>2846</v>
      </c>
      <c r="B2553" s="7" t="s">
        <v>2846</v>
      </c>
      <c r="C2553" s="7"/>
      <c r="D2553" s="7"/>
      <c r="E2553" s="7"/>
      <c r="G2553" s="5" t="str">
        <f aca="false">IF(ISNUMBER(FIND("old rod:",A2553)),"old rod:",A2553)</f>
        <v>good rod:</v>
      </c>
      <c r="I2553" s="5" t="s">
        <v>2846</v>
      </c>
    </row>
    <row r="2554" customFormat="false" ht="12.75" hidden="false" customHeight="true" outlineLevel="0" collapsed="false">
      <c r="A2554" s="5" t="s">
        <v>3580</v>
      </c>
      <c r="B2554" s="7" t="n">
        <v>30</v>
      </c>
      <c r="C2554" s="7" t="n">
        <v>38</v>
      </c>
      <c r="D2554" s="7" t="s">
        <v>3806</v>
      </c>
      <c r="E2554" s="7"/>
      <c r="G2554" s="5" t="str">
        <f aca="false">IF(ISNUMBER(FIND("old rod:",A2554)),"old rod:",A2554)</f>
        <v>30, 38, SEAKING</v>
      </c>
      <c r="I2554" s="5" t="s">
        <v>3580</v>
      </c>
    </row>
    <row r="2555" customFormat="false" ht="12.75" hidden="false" customHeight="true" outlineLevel="0" collapsed="false">
      <c r="A2555" s="5" t="s">
        <v>3581</v>
      </c>
      <c r="B2555" s="7" t="n">
        <v>32</v>
      </c>
      <c r="C2555" s="7" t="n">
        <v>40</v>
      </c>
      <c r="D2555" s="7" t="s">
        <v>3859</v>
      </c>
      <c r="E2555" s="7"/>
      <c r="G2555" s="5" t="str">
        <f aca="false">IF(ISNUMBER(FIND("old rod:",A2555)),"old rod:",A2555)</f>
        <v>32, 40, KINGLER</v>
      </c>
      <c r="I2555" s="5" t="s">
        <v>3581</v>
      </c>
    </row>
    <row r="2556" customFormat="false" ht="12.75" hidden="false" customHeight="true" outlineLevel="0" collapsed="false">
      <c r="A2556" s="5" t="s">
        <v>3582</v>
      </c>
      <c r="B2556" s="7" t="n">
        <v>32</v>
      </c>
      <c r="C2556" s="7" t="n">
        <v>40</v>
      </c>
      <c r="D2556" s="7" t="s">
        <v>3808</v>
      </c>
      <c r="E2556" s="7"/>
      <c r="G2556" s="5" t="str">
        <f aca="false">IF(ISNUMBER(FIND("old rod:",A2556)),"old rod:",A2556)</f>
        <v>32, 40, DRAGONAIR</v>
      </c>
      <c r="I2556" s="5" t="s">
        <v>3582</v>
      </c>
    </row>
    <row r="2557" customFormat="false" ht="12.75" hidden="false" customHeight="true" outlineLevel="0" collapsed="false">
      <c r="A2557" s="5" t="s">
        <v>2850</v>
      </c>
      <c r="B2557" s="7" t="s">
        <v>2850</v>
      </c>
      <c r="C2557" s="7"/>
      <c r="D2557" s="7"/>
      <c r="E2557" s="7"/>
      <c r="G2557" s="5" t="str">
        <f aca="false">IF(ISNUMBER(FIND("old rod:",A2557)),"old rod:",A2557)</f>
        <v>super rod:</v>
      </c>
      <c r="I2557" s="5" t="s">
        <v>2850</v>
      </c>
    </row>
    <row r="2558" customFormat="false" ht="12.75" hidden="false" customHeight="true" outlineLevel="0" collapsed="false">
      <c r="A2558" s="5" t="s">
        <v>3583</v>
      </c>
      <c r="B2558" s="7" t="n">
        <v>50</v>
      </c>
      <c r="C2558" s="7" t="n">
        <v>55</v>
      </c>
      <c r="D2558" s="7" t="s">
        <v>3959</v>
      </c>
      <c r="E2558" s="7"/>
      <c r="G2558" s="5" t="str">
        <f aca="false">IF(ISNUMBER(FIND("old rod:",A2558)),"old rod:",A2558)</f>
        <v>50, 55, SEAREX</v>
      </c>
      <c r="I2558" s="5" t="s">
        <v>3583</v>
      </c>
    </row>
    <row r="2559" customFormat="false" ht="12.75" hidden="false" customHeight="true" outlineLevel="0" collapsed="false">
      <c r="A2559" s="5" t="s">
        <v>2969</v>
      </c>
      <c r="B2559" s="7" t="n">
        <v>50</v>
      </c>
      <c r="C2559" s="7" t="n">
        <v>55</v>
      </c>
      <c r="D2559" s="7" t="s">
        <v>3809</v>
      </c>
      <c r="E2559" s="7"/>
      <c r="G2559" s="5" t="str">
        <f aca="false">IF(ISNUMBER(FIND("old rod:",A2559)),"old rod:",A2559)</f>
        <v>50, 55, DRAGONITE</v>
      </c>
      <c r="I2559" s="5" t="s">
        <v>2969</v>
      </c>
    </row>
    <row r="2560" customFormat="false" ht="12.75" hidden="false" customHeight="true" outlineLevel="0" collapsed="false">
      <c r="A2560" s="5" t="s">
        <v>3584</v>
      </c>
      <c r="B2560" s="7" t="n">
        <v>52</v>
      </c>
      <c r="C2560" s="7" t="n">
        <v>57</v>
      </c>
      <c r="D2560" s="7" t="s">
        <v>3862</v>
      </c>
      <c r="E2560" s="7"/>
      <c r="G2560" s="5" t="str">
        <f aca="false">IF(ISNUMBER(FIND("old rod:",A2560)),"old rod:",A2560)</f>
        <v>52, 57, KRAKLAW</v>
      </c>
      <c r="I2560" s="5" t="s">
        <v>3584</v>
      </c>
    </row>
    <row r="2561" customFormat="false" ht="12.75" hidden="false" customHeight="true" outlineLevel="0" collapsed="false">
      <c r="A2561" s="5" t="s">
        <v>3585</v>
      </c>
      <c r="B2561" s="7" t="n">
        <v>52</v>
      </c>
      <c r="C2561" s="7" t="n">
        <v>57</v>
      </c>
      <c r="D2561" s="7" t="s">
        <v>3960</v>
      </c>
      <c r="E2561" s="7"/>
      <c r="G2561" s="5" t="str">
        <f aca="false">IF(ISNUMBER(FIND("old rod:",A2561)),"old rod:",A2561)</f>
        <v>52, 57, CAPRISEA</v>
      </c>
      <c r="I2561" s="5" t="s">
        <v>3585</v>
      </c>
    </row>
    <row r="2562" customFormat="false" ht="12.75" hidden="false" customHeight="true" outlineLevel="0" collapsed="false">
      <c r="A2562" s="5" t="s">
        <v>3586</v>
      </c>
      <c r="B2562" s="7" t="n">
        <v>53</v>
      </c>
      <c r="C2562" s="7" t="n">
        <v>58</v>
      </c>
      <c r="D2562" s="7" t="s">
        <v>3839</v>
      </c>
      <c r="E2562" s="7"/>
      <c r="G2562" s="5" t="str">
        <f aca="false">IF(ISNUMBER(FIND("old rod:",A2562)),"old rod:",A2562)</f>
        <v>53, 58, DRAGONIER</v>
      </c>
      <c r="I2562" s="5" t="s">
        <v>3586</v>
      </c>
    </row>
    <row r="2563" customFormat="false" ht="12.75" hidden="false" customHeight="true" outlineLevel="0" collapsed="false">
      <c r="A2563" s="5" t="s">
        <v>2536</v>
      </c>
      <c r="B2563" s="7" t="s">
        <v>2536</v>
      </c>
      <c r="C2563" s="7"/>
      <c r="D2563" s="7"/>
      <c r="E2563" s="7"/>
      <c r="G2563" s="5" t="str">
        <f aca="false">IF(ISNUMBER(FIND("old rod:",A2563)),"old rod:",A2563)</f>
        <v>NEW ROUTE</v>
      </c>
      <c r="I2563" s="5" t="s">
        <v>2536</v>
      </c>
    </row>
    <row r="2564" customFormat="false" ht="12.75" hidden="false" customHeight="true" outlineLevel="0" collapsed="false">
      <c r="A2564" s="5" t="s">
        <v>465</v>
      </c>
      <c r="B2564" s="7" t="s">
        <v>465</v>
      </c>
      <c r="C2564" s="7"/>
      <c r="D2564" s="7"/>
      <c r="E2564" s="7"/>
      <c r="G2564" s="5" t="str">
        <f aca="false">IF(ISNUMBER(FIND("old rod:",A2564)),"old rod:",A2564)</f>
        <v>Route 24</v>
      </c>
      <c r="I2564" s="5" t="s">
        <v>465</v>
      </c>
    </row>
    <row r="2565" customFormat="false" ht="12.75" hidden="false" customHeight="true" outlineLevel="0" collapsed="false">
      <c r="A2565" s="5" t="n">
        <v>0.2</v>
      </c>
      <c r="B2565" s="5" t="n">
        <v>0.2</v>
      </c>
      <c r="C2565" s="7"/>
      <c r="D2565" s="7"/>
      <c r="E2565" s="7"/>
      <c r="G2565" s="5" t="n">
        <f aca="false">IF(ISNUMBER(FIND("old rod:",A2565)),"old rod:",A2565)</f>
        <v>0.2</v>
      </c>
      <c r="I2565" s="5" t="n">
        <v>0.2</v>
      </c>
    </row>
    <row r="2566" customFormat="false" ht="12.75" hidden="false" customHeight="true" outlineLevel="0" collapsed="false">
      <c r="A2566" s="5" t="s">
        <v>2073</v>
      </c>
      <c r="B2566" s="7" t="n">
        <v>13</v>
      </c>
      <c r="C2566" s="7" t="n">
        <v>17</v>
      </c>
      <c r="D2566" s="7" t="s">
        <v>3889</v>
      </c>
      <c r="E2566" s="7"/>
      <c r="G2566" s="5" t="str">
        <f aca="false">IF(ISNUMBER(FIND("old rod:",A2566)),"old rod:",A2566)</f>
        <v>13, 17, PIDGEY</v>
      </c>
      <c r="I2566" s="5" t="s">
        <v>2073</v>
      </c>
    </row>
    <row r="2567" customFormat="false" ht="12.75" hidden="false" customHeight="true" outlineLevel="0" collapsed="false">
      <c r="A2567" s="5" t="s">
        <v>3588</v>
      </c>
      <c r="B2567" s="7" t="n">
        <v>13</v>
      </c>
      <c r="C2567" s="7" t="n">
        <v>17</v>
      </c>
      <c r="D2567" s="7" t="s">
        <v>3731</v>
      </c>
      <c r="E2567" s="7"/>
      <c r="G2567" s="5" t="str">
        <f aca="false">IF(ISNUMBER(FIND("old rod:",A2567)),"old rod:",A2567)</f>
        <v>13, 17, ODDISH</v>
      </c>
      <c r="I2567" s="5" t="s">
        <v>3588</v>
      </c>
    </row>
    <row r="2568" customFormat="false" ht="12.75" hidden="false" customHeight="true" outlineLevel="0" collapsed="false">
      <c r="A2568" s="5" t="n">
        <v>0.1</v>
      </c>
      <c r="B2568" s="5" t="n">
        <v>0.1</v>
      </c>
      <c r="C2568" s="7"/>
      <c r="D2568" s="7"/>
      <c r="E2568" s="7"/>
      <c r="G2568" s="5" t="n">
        <f aca="false">IF(ISNUMBER(FIND("old rod:",A2568)),"old rod:",A2568)</f>
        <v>0.1</v>
      </c>
      <c r="I2568" s="5" t="n">
        <v>0.1</v>
      </c>
    </row>
    <row r="2569" customFormat="false" ht="12.75" hidden="false" customHeight="true" outlineLevel="0" collapsed="false">
      <c r="A2569" s="5" t="s">
        <v>3589</v>
      </c>
      <c r="B2569" s="7" t="n">
        <v>14</v>
      </c>
      <c r="C2569" s="7" t="n">
        <v>17</v>
      </c>
      <c r="D2569" s="7" t="s">
        <v>3890</v>
      </c>
      <c r="E2569" s="7"/>
      <c r="G2569" s="5" t="str">
        <f aca="false">IF(ISNUMBER(FIND("old rod:",A2569)),"old rod:",A2569)</f>
        <v>14, 17, BELLSPROUT</v>
      </c>
      <c r="I2569" s="5" t="s">
        <v>3589</v>
      </c>
    </row>
    <row r="2570" customFormat="false" ht="12.75" hidden="false" customHeight="true" outlineLevel="0" collapsed="false">
      <c r="A2570" s="5" t="s">
        <v>3590</v>
      </c>
      <c r="B2570" s="7" t="n">
        <v>14</v>
      </c>
      <c r="C2570" s="7" t="n">
        <v>17</v>
      </c>
      <c r="D2570" s="7" t="s">
        <v>3902</v>
      </c>
      <c r="E2570" s="7"/>
      <c r="G2570" s="5" t="str">
        <f aca="false">IF(ISNUMBER(FIND("old rod:",A2570)),"old rod:",A2570)</f>
        <v>14, 17, MEOWTH</v>
      </c>
      <c r="I2570" s="5" t="s">
        <v>3590</v>
      </c>
    </row>
    <row r="2571" customFormat="false" ht="12.75" hidden="false" customHeight="true" outlineLevel="0" collapsed="false">
      <c r="A2571" s="5" t="s">
        <v>3591</v>
      </c>
      <c r="B2571" s="7" t="n">
        <v>14</v>
      </c>
      <c r="C2571" s="7" t="n">
        <v>17</v>
      </c>
      <c r="D2571" s="7" t="s">
        <v>3799</v>
      </c>
      <c r="E2571" s="7"/>
      <c r="G2571" s="5" t="str">
        <f aca="false">IF(ISNUMBER(FIND("old rod:",A2571)),"old rod:",A2571)</f>
        <v>14, 17, PSYDUCK</v>
      </c>
      <c r="I2571" s="5" t="s">
        <v>3591</v>
      </c>
    </row>
    <row r="2572" customFormat="false" ht="12.75" hidden="false" customHeight="true" outlineLevel="0" collapsed="false">
      <c r="A2572" s="5" t="s">
        <v>3592</v>
      </c>
      <c r="B2572" s="7" t="n">
        <v>14</v>
      </c>
      <c r="C2572" s="7" t="n">
        <v>17</v>
      </c>
      <c r="D2572" s="7" t="s">
        <v>3887</v>
      </c>
      <c r="E2572" s="7"/>
      <c r="G2572" s="5" t="str">
        <f aca="false">IF(ISNUMBER(FIND("old rod:",A2572)),"old rod:",A2572)</f>
        <v>14, 17, PIDGEOTTO</v>
      </c>
      <c r="I2572" s="5" t="s">
        <v>3592</v>
      </c>
    </row>
    <row r="2573" customFormat="false" ht="12.75" hidden="false" customHeight="true" outlineLevel="0" collapsed="false">
      <c r="A2573" s="5" t="n">
        <v>0.05</v>
      </c>
      <c r="B2573" s="5" t="n">
        <v>0.05</v>
      </c>
      <c r="C2573" s="7"/>
      <c r="D2573" s="7"/>
      <c r="E2573" s="7"/>
      <c r="G2573" s="5" t="n">
        <f aca="false">IF(ISNUMBER(FIND("old rod:",A2573)),"old rod:",A2573)</f>
        <v>0.05</v>
      </c>
      <c r="I2573" s="5" t="n">
        <v>0.05</v>
      </c>
    </row>
    <row r="2574" customFormat="false" ht="12.75" hidden="false" customHeight="true" outlineLevel="0" collapsed="false">
      <c r="A2574" s="5" t="s">
        <v>3593</v>
      </c>
      <c r="B2574" s="7" t="n">
        <v>16</v>
      </c>
      <c r="C2574" s="7" t="n">
        <v>16</v>
      </c>
      <c r="D2574" s="7" t="s">
        <v>3734</v>
      </c>
      <c r="E2574" s="7"/>
      <c r="G2574" s="5" t="str">
        <f aca="false">IF(ISNUMBER(FIND("old rod:",A2574)),"old rod:",A2574)</f>
        <v>16, 16, PIKACHU</v>
      </c>
      <c r="I2574" s="5" t="s">
        <v>3593</v>
      </c>
    </row>
    <row r="2575" customFormat="false" ht="12.75" hidden="false" customHeight="true" outlineLevel="0" collapsed="false">
      <c r="A2575" s="5" t="s">
        <v>3594</v>
      </c>
      <c r="B2575" s="7" t="n">
        <v>16</v>
      </c>
      <c r="C2575" s="7" t="n">
        <v>16</v>
      </c>
      <c r="D2575" s="7" t="s">
        <v>3931</v>
      </c>
      <c r="E2575" s="7"/>
      <c r="G2575" s="5" t="str">
        <f aca="false">IF(ISNUMBER(FIND("old rod:",A2575)),"old rod:",A2575)</f>
        <v>16, 16, ABRA</v>
      </c>
      <c r="I2575" s="5" t="s">
        <v>3594</v>
      </c>
    </row>
    <row r="2576" customFormat="false" ht="12.75" hidden="false" customHeight="true" outlineLevel="0" collapsed="false">
      <c r="A2576" s="5" t="n">
        <v>0.04</v>
      </c>
      <c r="B2576" s="5" t="n">
        <v>0.04</v>
      </c>
      <c r="C2576" s="7"/>
      <c r="D2576" s="7"/>
      <c r="E2576" s="7"/>
      <c r="G2576" s="5" t="n">
        <f aca="false">IF(ISNUMBER(FIND("old rod:",A2576)),"old rod:",A2576)</f>
        <v>0.04</v>
      </c>
      <c r="I2576" s="5" t="n">
        <v>0.04</v>
      </c>
    </row>
    <row r="2577" customFormat="false" ht="12.75" hidden="false" customHeight="true" outlineLevel="0" collapsed="false">
      <c r="A2577" s="5" t="s">
        <v>3595</v>
      </c>
      <c r="B2577" s="7" t="n">
        <v>15</v>
      </c>
      <c r="C2577" s="7" t="n">
        <v>18</v>
      </c>
      <c r="D2577" s="7" t="s">
        <v>3891</v>
      </c>
      <c r="E2577" s="7"/>
      <c r="G2577" s="5" t="str">
        <f aca="false">IF(ISNUMBER(FIND("old rod:",A2577)),"old rod:",A2577)</f>
        <v>15, 18, VENONAT</v>
      </c>
      <c r="I2577" s="5" t="s">
        <v>3595</v>
      </c>
    </row>
    <row r="2578" customFormat="false" ht="12.75" hidden="false" customHeight="true" outlineLevel="0" collapsed="false">
      <c r="A2578" s="5" t="s">
        <v>3596</v>
      </c>
      <c r="B2578" s="7" t="n">
        <v>15</v>
      </c>
      <c r="C2578" s="7" t="n">
        <v>18</v>
      </c>
      <c r="D2578" s="7" t="s">
        <v>3941</v>
      </c>
      <c r="E2578" s="7"/>
      <c r="G2578" s="5" t="str">
        <f aca="false">IF(ISNUMBER(FIND("old rod:",A2578)),"old rod:",A2578)</f>
        <v>15, 18, GLOOM</v>
      </c>
      <c r="I2578" s="5" t="s">
        <v>3596</v>
      </c>
    </row>
    <row r="2579" customFormat="false" ht="12.75" hidden="false" customHeight="true" outlineLevel="0" collapsed="false">
      <c r="A2579" s="5" t="n">
        <v>0.01</v>
      </c>
      <c r="B2579" s="5" t="n">
        <v>0.01</v>
      </c>
      <c r="C2579" s="7"/>
      <c r="D2579" s="7"/>
      <c r="E2579" s="7"/>
      <c r="G2579" s="5" t="n">
        <f aca="false">IF(ISNUMBER(FIND("old rod:",A2579)),"old rod:",A2579)</f>
        <v>0.01</v>
      </c>
      <c r="I2579" s="5" t="n">
        <v>0.01</v>
      </c>
    </row>
    <row r="2580" customFormat="false" ht="12.75" hidden="false" customHeight="true" outlineLevel="0" collapsed="false">
      <c r="A2580" s="5" t="s">
        <v>3597</v>
      </c>
      <c r="B2580" s="7" t="n">
        <v>17</v>
      </c>
      <c r="C2580" s="7" t="n">
        <v>17</v>
      </c>
      <c r="D2580" s="7" t="s">
        <v>3932</v>
      </c>
      <c r="E2580" s="7"/>
      <c r="G2580" s="5" t="str">
        <f aca="false">IF(ISNUMBER(FIND("old rod:",A2580)),"old rod:",A2580)</f>
        <v>17, 17, KADABRA</v>
      </c>
      <c r="I2580" s="5" t="s">
        <v>3597</v>
      </c>
    </row>
    <row r="2581" customFormat="false" ht="12.75" hidden="false" customHeight="true" outlineLevel="0" collapsed="false">
      <c r="A2581" s="5" t="s">
        <v>3597</v>
      </c>
      <c r="B2581" s="7" t="n">
        <v>17</v>
      </c>
      <c r="C2581" s="7" t="n">
        <v>17</v>
      </c>
      <c r="D2581" s="7" t="s">
        <v>3932</v>
      </c>
      <c r="E2581" s="7"/>
      <c r="G2581" s="5" t="str">
        <f aca="false">IF(ISNUMBER(FIND("old rod:",A2581)),"old rod:",A2581)</f>
        <v>17, 17, KADABRA</v>
      </c>
      <c r="I2581" s="5" t="s">
        <v>3597</v>
      </c>
    </row>
    <row r="2582" customFormat="false" ht="12.75" hidden="false" customHeight="true" outlineLevel="0" collapsed="false">
      <c r="A2582" s="5" t="s">
        <v>3598</v>
      </c>
      <c r="B2582" s="7" t="n">
        <v>2</v>
      </c>
      <c r="C2582" s="7" t="n">
        <v>34</v>
      </c>
      <c r="D2582" s="7" t="n">
        <v>40</v>
      </c>
      <c r="E2582" s="7" t="s">
        <v>3747</v>
      </c>
      <c r="G2582" s="5" t="str">
        <f aca="false">IF(ISNUMBER(FIND("old rod:",A2582)),"old rod:",A2582)</f>
        <v>2, 34, 40, TENTACOOL</v>
      </c>
      <c r="I2582" s="5" t="s">
        <v>3598</v>
      </c>
    </row>
    <row r="2583" customFormat="false" ht="12.75" hidden="false" customHeight="true" outlineLevel="0" collapsed="false">
      <c r="A2583" s="5" t="s">
        <v>3599</v>
      </c>
      <c r="B2583" s="7" t="n">
        <v>34</v>
      </c>
      <c r="C2583" s="7" t="n">
        <v>40</v>
      </c>
      <c r="D2583" s="7" t="s">
        <v>3799</v>
      </c>
      <c r="E2583" s="7"/>
      <c r="G2583" s="5" t="str">
        <f aca="false">IF(ISNUMBER(FIND("old rod:",A2583)),"old rod:",A2583)</f>
        <v>34, 40, PSYDUCK</v>
      </c>
      <c r="I2583" s="5" t="s">
        <v>3599</v>
      </c>
    </row>
    <row r="2584" customFormat="false" ht="12.75" hidden="false" customHeight="true" outlineLevel="0" collapsed="false">
      <c r="A2584" s="5" t="s">
        <v>3600</v>
      </c>
      <c r="B2584" s="7" t="n">
        <v>36</v>
      </c>
      <c r="C2584" s="7" t="n">
        <v>42</v>
      </c>
      <c r="D2584" s="7" t="s">
        <v>3897</v>
      </c>
      <c r="E2584" s="7"/>
      <c r="G2584" s="5" t="str">
        <f aca="false">IF(ISNUMBER(FIND("old rod:",A2584)),"old rod:",A2584)</f>
        <v>36, 42, TENTACRUEL</v>
      </c>
      <c r="I2584" s="5" t="s">
        <v>3600</v>
      </c>
    </row>
    <row r="2585" customFormat="false" ht="12.75" hidden="false" customHeight="true" outlineLevel="0" collapsed="false">
      <c r="A2585" s="5" t="s">
        <v>3532</v>
      </c>
      <c r="B2585" s="7" t="n">
        <v>39</v>
      </c>
      <c r="C2585" s="7" t="n">
        <v>42</v>
      </c>
      <c r="D2585" s="7" t="s">
        <v>3801</v>
      </c>
      <c r="E2585" s="7"/>
      <c r="G2585" s="5" t="str">
        <f aca="false">IF(ISNUMBER(FIND("old rod:",A2585)),"old rod:",A2585)</f>
        <v>39, 42, GOLDUCK</v>
      </c>
      <c r="I2585" s="5" t="s">
        <v>3532</v>
      </c>
    </row>
    <row r="2586" customFormat="false" ht="12.75" hidden="false" customHeight="true" outlineLevel="0" collapsed="false">
      <c r="A2586" s="5" t="s">
        <v>3601</v>
      </c>
      <c r="B2586" s="7" t="n">
        <v>39</v>
      </c>
      <c r="C2586" s="7" t="n">
        <v>42</v>
      </c>
      <c r="D2586" s="7" t="s">
        <v>3802</v>
      </c>
      <c r="E2586" s="7"/>
      <c r="G2586" s="5" t="str">
        <f aca="false">IF(ISNUMBER(FIND("old rod:",A2586)),"old rod:",A2586)</f>
        <v>39, 42, VAPOREON</v>
      </c>
      <c r="I2586" s="5" t="s">
        <v>3601</v>
      </c>
    </row>
    <row r="2587" customFormat="false" ht="12.75" hidden="false" customHeight="true" outlineLevel="0" collapsed="false">
      <c r="A2587" s="5" t="s">
        <v>2925</v>
      </c>
      <c r="B2587" s="7" t="n">
        <v>20</v>
      </c>
      <c r="C2587" s="7" t="s">
        <v>3748</v>
      </c>
      <c r="D2587" s="7"/>
      <c r="E2587" s="7"/>
      <c r="G2587" s="5" t="str">
        <f aca="false">IF(ISNUMBER(FIND("old rod:",A2587)),"old rod:",A2587)</f>
        <v>old rod:</v>
      </c>
      <c r="I2587" s="5" t="s">
        <v>3749</v>
      </c>
    </row>
    <row r="2588" customFormat="false" ht="12.75" hidden="false" customHeight="true" outlineLevel="0" collapsed="false">
      <c r="A2588" s="5" t="s">
        <v>1349</v>
      </c>
      <c r="B2588" s="7" t="n">
        <v>19</v>
      </c>
      <c r="C2588" s="7" t="n">
        <v>26</v>
      </c>
      <c r="D2588" s="7" t="s">
        <v>3750</v>
      </c>
      <c r="E2588" s="7"/>
      <c r="G2588" s="5" t="str">
        <f aca="false">IF(ISNUMBER(FIND("old rod:",A2588)),"old rod:",A2588)</f>
        <v>19, 26, MAGIKARP</v>
      </c>
      <c r="I2588" s="5" t="s">
        <v>1349</v>
      </c>
    </row>
    <row r="2589" customFormat="false" ht="12.75" hidden="false" customHeight="true" outlineLevel="0" collapsed="false">
      <c r="A2589" s="5" t="s">
        <v>3352</v>
      </c>
      <c r="B2589" s="7" t="n">
        <v>19</v>
      </c>
      <c r="C2589" s="7" t="n">
        <v>26</v>
      </c>
      <c r="D2589" s="7" t="s">
        <v>3754</v>
      </c>
      <c r="E2589" s="7"/>
      <c r="G2589" s="5" t="str">
        <f aca="false">IF(ISNUMBER(FIND("old rod:",A2589)),"old rod:",A2589)</f>
        <v>19, 26, GYARADOS</v>
      </c>
      <c r="I2589" s="5" t="s">
        <v>3352</v>
      </c>
    </row>
    <row r="2590" customFormat="false" ht="12.75" hidden="false" customHeight="true" outlineLevel="0" collapsed="false">
      <c r="A2590" s="5" t="s">
        <v>2846</v>
      </c>
      <c r="B2590" s="7" t="s">
        <v>2846</v>
      </c>
      <c r="C2590" s="7"/>
      <c r="D2590" s="7"/>
      <c r="E2590" s="7"/>
      <c r="G2590" s="5" t="str">
        <f aca="false">IF(ISNUMBER(FIND("old rod:",A2590)),"old rod:",A2590)</f>
        <v>good rod:</v>
      </c>
      <c r="I2590" s="5" t="s">
        <v>2846</v>
      </c>
    </row>
    <row r="2591" customFormat="false" ht="12.75" hidden="false" customHeight="true" outlineLevel="0" collapsed="false">
      <c r="A2591" s="5" t="s">
        <v>3353</v>
      </c>
      <c r="B2591" s="7" t="n">
        <v>29</v>
      </c>
      <c r="C2591" s="7" t="n">
        <v>33</v>
      </c>
      <c r="D2591" s="7" t="s">
        <v>3755</v>
      </c>
      <c r="E2591" s="7"/>
      <c r="G2591" s="5" t="str">
        <f aca="false">IF(ISNUMBER(FIND("old rod:",A2591)),"old rod:",A2591)</f>
        <v>29, 33, SLOWPOKE</v>
      </c>
      <c r="I2591" s="5" t="s">
        <v>3353</v>
      </c>
    </row>
    <row r="2592" customFormat="false" ht="12.75" hidden="false" customHeight="true" outlineLevel="0" collapsed="false">
      <c r="A2592" s="5" t="s">
        <v>3027</v>
      </c>
      <c r="B2592" s="7" t="n">
        <v>30</v>
      </c>
      <c r="C2592" s="7" t="n">
        <v>35</v>
      </c>
      <c r="D2592" s="7" t="s">
        <v>3751</v>
      </c>
      <c r="E2592" s="7"/>
      <c r="G2592" s="5" t="str">
        <f aca="false">IF(ISNUMBER(FIND("old rod:",A2592)),"old rod:",A2592)</f>
        <v>30, 35, KRABBY</v>
      </c>
      <c r="I2592" s="5" t="s">
        <v>3027</v>
      </c>
    </row>
    <row r="2593" customFormat="false" ht="12.75" hidden="false" customHeight="true" outlineLevel="0" collapsed="false">
      <c r="A2593" s="5" t="s">
        <v>3354</v>
      </c>
      <c r="B2593" s="7" t="n">
        <v>30</v>
      </c>
      <c r="C2593" s="7" t="n">
        <v>35</v>
      </c>
      <c r="D2593" s="7" t="s">
        <v>3799</v>
      </c>
      <c r="E2593" s="7"/>
      <c r="G2593" s="5" t="str">
        <f aca="false">IF(ISNUMBER(FIND("old rod:",A2593)),"old rod:",A2593)</f>
        <v>30, 35, PSYDUCK</v>
      </c>
      <c r="I2593" s="5" t="s">
        <v>3354</v>
      </c>
    </row>
    <row r="2594" customFormat="false" ht="12.75" hidden="false" customHeight="true" outlineLevel="0" collapsed="false">
      <c r="A2594" s="5" t="s">
        <v>2850</v>
      </c>
      <c r="B2594" s="7" t="s">
        <v>2850</v>
      </c>
      <c r="C2594" s="7"/>
      <c r="D2594" s="7"/>
      <c r="E2594" s="7"/>
      <c r="G2594" s="5" t="str">
        <f aca="false">IF(ISNUMBER(FIND("old rod:",A2594)),"old rod:",A2594)</f>
        <v>super rod:</v>
      </c>
      <c r="I2594" s="5" t="s">
        <v>2850</v>
      </c>
    </row>
    <row r="2595" customFormat="false" ht="12.75" hidden="false" customHeight="true" outlineLevel="0" collapsed="false">
      <c r="A2595" s="5" t="s">
        <v>3355</v>
      </c>
      <c r="B2595" s="7" t="n">
        <v>36</v>
      </c>
      <c r="C2595" s="7" t="n">
        <v>40</v>
      </c>
      <c r="D2595" s="7" t="s">
        <v>3800</v>
      </c>
      <c r="E2595" s="7"/>
      <c r="G2595" s="5" t="str">
        <f aca="false">IF(ISNUMBER(FIND("old rod:",A2595)),"old rod:",A2595)</f>
        <v>36, 40, SLOWBRO</v>
      </c>
      <c r="I2595" s="5" t="s">
        <v>3355</v>
      </c>
    </row>
    <row r="2596" customFormat="false" ht="12.75" hidden="false" customHeight="true" outlineLevel="0" collapsed="false">
      <c r="A2596" s="5" t="s">
        <v>3356</v>
      </c>
      <c r="B2596" s="7" t="n">
        <v>36</v>
      </c>
      <c r="C2596" s="7" t="n">
        <v>40</v>
      </c>
      <c r="D2596" s="7" t="s">
        <v>3754</v>
      </c>
      <c r="E2596" s="7"/>
      <c r="G2596" s="5" t="str">
        <f aca="false">IF(ISNUMBER(FIND("old rod:",A2596)),"old rod:",A2596)</f>
        <v>36, 40, GYARADOS</v>
      </c>
      <c r="I2596" s="5" t="s">
        <v>3356</v>
      </c>
    </row>
    <row r="2597" customFormat="false" ht="12.75" hidden="false" customHeight="true" outlineLevel="0" collapsed="false">
      <c r="A2597" s="5" t="s">
        <v>3357</v>
      </c>
      <c r="B2597" s="7" t="n">
        <v>38</v>
      </c>
      <c r="C2597" s="7" t="n">
        <v>42</v>
      </c>
      <c r="D2597" s="7" t="s">
        <v>3801</v>
      </c>
      <c r="E2597" s="7"/>
      <c r="G2597" s="5" t="str">
        <f aca="false">IF(ISNUMBER(FIND("old rod:",A2597)),"old rod:",A2597)</f>
        <v>38, 42, GOLDUCK</v>
      </c>
      <c r="I2597" s="5" t="s">
        <v>3357</v>
      </c>
    </row>
    <row r="2598" customFormat="false" ht="12.75" hidden="false" customHeight="true" outlineLevel="0" collapsed="false">
      <c r="A2598" s="5" t="s">
        <v>3358</v>
      </c>
      <c r="B2598" s="7" t="n">
        <v>38</v>
      </c>
      <c r="C2598" s="7" t="n">
        <v>42</v>
      </c>
      <c r="D2598" s="7" t="s">
        <v>3859</v>
      </c>
      <c r="E2598" s="7"/>
      <c r="G2598" s="5" t="str">
        <f aca="false">IF(ISNUMBER(FIND("old rod:",A2598)),"old rod:",A2598)</f>
        <v>38, 42, KINGLER</v>
      </c>
      <c r="I2598" s="5" t="s">
        <v>3358</v>
      </c>
    </row>
    <row r="2599" customFormat="false" ht="12.75" hidden="false" customHeight="true" outlineLevel="0" collapsed="false">
      <c r="A2599" s="5" t="s">
        <v>3359</v>
      </c>
      <c r="B2599" s="7" t="n">
        <v>40</v>
      </c>
      <c r="C2599" s="7" t="n">
        <v>44</v>
      </c>
      <c r="D2599" s="7" t="s">
        <v>3855</v>
      </c>
      <c r="E2599" s="7"/>
      <c r="G2599" s="5" t="str">
        <f aca="false">IF(ISNUMBER(FIND("old rod:",A2599)),"old rod:",A2599)</f>
        <v>40, 44, SLOWMATE</v>
      </c>
      <c r="I2599" s="5" t="s">
        <v>3359</v>
      </c>
    </row>
    <row r="2600" customFormat="false" ht="12.75" hidden="false" customHeight="true" outlineLevel="0" collapsed="false">
      <c r="A2600" s="5" t="s">
        <v>2536</v>
      </c>
      <c r="B2600" s="7" t="s">
        <v>2536</v>
      </c>
      <c r="C2600" s="7"/>
      <c r="D2600" s="7"/>
      <c r="E2600" s="7"/>
      <c r="G2600" s="5" t="str">
        <f aca="false">IF(ISNUMBER(FIND("old rod:",A2600)),"old rod:",A2600)</f>
        <v>NEW ROUTE</v>
      </c>
      <c r="I2600" s="5" t="s">
        <v>2536</v>
      </c>
    </row>
    <row r="2601" customFormat="false" ht="12.75" hidden="false" customHeight="true" outlineLevel="0" collapsed="false">
      <c r="A2601" s="5" t="s">
        <v>467</v>
      </c>
      <c r="B2601" s="7" t="s">
        <v>467</v>
      </c>
      <c r="C2601" s="7"/>
      <c r="D2601" s="7"/>
      <c r="E2601" s="7"/>
      <c r="G2601" s="5" t="str">
        <f aca="false">IF(ISNUMBER(FIND("old rod:",A2601)),"old rod:",A2601)</f>
        <v>Route 25</v>
      </c>
      <c r="I2601" s="5" t="s">
        <v>467</v>
      </c>
    </row>
    <row r="2602" customFormat="false" ht="12.75" hidden="false" customHeight="true" outlineLevel="0" collapsed="false">
      <c r="A2602" s="5" t="n">
        <v>0.2</v>
      </c>
      <c r="B2602" s="5" t="n">
        <v>0.2</v>
      </c>
      <c r="C2602" s="7"/>
      <c r="D2602" s="7"/>
      <c r="E2602" s="7"/>
      <c r="G2602" s="5" t="n">
        <f aca="false">IF(ISNUMBER(FIND("old rod:",A2602)),"old rod:",A2602)</f>
        <v>0.2</v>
      </c>
      <c r="I2602" s="5" t="n">
        <v>0.2</v>
      </c>
    </row>
    <row r="2603" customFormat="false" ht="12.75" hidden="false" customHeight="true" outlineLevel="0" collapsed="false">
      <c r="A2603" s="5" t="s">
        <v>2089</v>
      </c>
      <c r="B2603" s="7" t="n">
        <v>14</v>
      </c>
      <c r="C2603" s="7" t="n">
        <v>17</v>
      </c>
      <c r="D2603" s="7" t="s">
        <v>3889</v>
      </c>
      <c r="E2603" s="7"/>
      <c r="G2603" s="5" t="str">
        <f aca="false">IF(ISNUMBER(FIND("old rod:",A2603)),"old rod:",A2603)</f>
        <v>14, 17, PIDGEY</v>
      </c>
      <c r="I2603" s="5" t="s">
        <v>2089</v>
      </c>
    </row>
    <row r="2604" customFormat="false" ht="12.75" hidden="false" customHeight="true" outlineLevel="0" collapsed="false">
      <c r="A2604" s="5" t="s">
        <v>3603</v>
      </c>
      <c r="B2604" s="7" t="n">
        <v>14</v>
      </c>
      <c r="C2604" s="7" t="n">
        <v>17</v>
      </c>
      <c r="D2604" s="7" t="s">
        <v>3731</v>
      </c>
      <c r="E2604" s="7"/>
      <c r="G2604" s="5" t="str">
        <f aca="false">IF(ISNUMBER(FIND("old rod:",A2604)),"old rod:",A2604)</f>
        <v>14, 17, ODDISH</v>
      </c>
      <c r="I2604" s="5" t="s">
        <v>3603</v>
      </c>
    </row>
    <row r="2605" customFormat="false" ht="12.75" hidden="false" customHeight="true" outlineLevel="0" collapsed="false">
      <c r="A2605" s="5" t="n">
        <v>0.1</v>
      </c>
      <c r="B2605" s="5" t="n">
        <v>0.1</v>
      </c>
      <c r="C2605" s="7"/>
      <c r="D2605" s="7"/>
      <c r="E2605" s="7"/>
      <c r="G2605" s="5" t="n">
        <f aca="false">IF(ISNUMBER(FIND("old rod:",A2605)),"old rod:",A2605)</f>
        <v>0.1</v>
      </c>
      <c r="I2605" s="5" t="n">
        <v>0.1</v>
      </c>
    </row>
    <row r="2606" customFormat="false" ht="12.75" hidden="false" customHeight="true" outlineLevel="0" collapsed="false">
      <c r="A2606" s="5" t="s">
        <v>3604</v>
      </c>
      <c r="B2606" s="7" t="n">
        <v>15</v>
      </c>
      <c r="C2606" s="7" t="n">
        <v>17</v>
      </c>
      <c r="D2606" s="7" t="s">
        <v>3890</v>
      </c>
      <c r="E2606" s="7"/>
      <c r="G2606" s="5" t="str">
        <f aca="false">IF(ISNUMBER(FIND("old rod:",A2606)),"old rod:",A2606)</f>
        <v>15, 17, BELLSPROUT</v>
      </c>
      <c r="I2606" s="5" t="s">
        <v>3604</v>
      </c>
    </row>
    <row r="2607" customFormat="false" ht="12.75" hidden="false" customHeight="true" outlineLevel="0" collapsed="false">
      <c r="A2607" s="5" t="s">
        <v>3361</v>
      </c>
      <c r="B2607" s="7" t="n">
        <v>15</v>
      </c>
      <c r="C2607" s="7" t="n">
        <v>17</v>
      </c>
      <c r="D2607" s="7" t="s">
        <v>3902</v>
      </c>
      <c r="E2607" s="7"/>
      <c r="G2607" s="5" t="str">
        <f aca="false">IF(ISNUMBER(FIND("old rod:",A2607)),"old rod:",A2607)</f>
        <v>15, 17, MEOWTH</v>
      </c>
      <c r="I2607" s="5" t="s">
        <v>3361</v>
      </c>
    </row>
    <row r="2608" customFormat="false" ht="12.75" hidden="false" customHeight="true" outlineLevel="0" collapsed="false">
      <c r="A2608" s="5" t="s">
        <v>3605</v>
      </c>
      <c r="B2608" s="7" t="n">
        <v>15</v>
      </c>
      <c r="C2608" s="7" t="n">
        <v>17</v>
      </c>
      <c r="D2608" s="7" t="s">
        <v>3799</v>
      </c>
      <c r="E2608" s="7"/>
      <c r="G2608" s="5" t="str">
        <f aca="false">IF(ISNUMBER(FIND("old rod:",A2608)),"old rod:",A2608)</f>
        <v>15, 17, PSYDUCK</v>
      </c>
      <c r="I2608" s="5" t="s">
        <v>3605</v>
      </c>
    </row>
    <row r="2609" customFormat="false" ht="12.75" hidden="false" customHeight="true" outlineLevel="0" collapsed="false">
      <c r="A2609" s="5" t="s">
        <v>3606</v>
      </c>
      <c r="B2609" s="7" t="n">
        <v>15</v>
      </c>
      <c r="C2609" s="7" t="n">
        <v>17</v>
      </c>
      <c r="D2609" s="7" t="s">
        <v>3887</v>
      </c>
      <c r="E2609" s="7"/>
      <c r="G2609" s="5" t="str">
        <f aca="false">IF(ISNUMBER(FIND("old rod:",A2609)),"old rod:",A2609)</f>
        <v>15, 17, PIDGEOTTO</v>
      </c>
      <c r="I2609" s="5" t="s">
        <v>3606</v>
      </c>
    </row>
    <row r="2610" customFormat="false" ht="12.75" hidden="false" customHeight="true" outlineLevel="0" collapsed="false">
      <c r="A2610" s="5" t="n">
        <v>0.05</v>
      </c>
      <c r="B2610" s="5" t="n">
        <v>0.05</v>
      </c>
      <c r="C2610" s="7"/>
      <c r="D2610" s="7"/>
      <c r="E2610" s="7"/>
      <c r="G2610" s="5" t="n">
        <f aca="false">IF(ISNUMBER(FIND("old rod:",A2610)),"old rod:",A2610)</f>
        <v>0.05</v>
      </c>
      <c r="I2610" s="5" t="n">
        <v>0.05</v>
      </c>
    </row>
    <row r="2611" customFormat="false" ht="12.75" hidden="false" customHeight="true" outlineLevel="0" collapsed="false">
      <c r="A2611" s="5" t="s">
        <v>3593</v>
      </c>
      <c r="B2611" s="7" t="n">
        <v>16</v>
      </c>
      <c r="C2611" s="7" t="n">
        <v>16</v>
      </c>
      <c r="D2611" s="7" t="s">
        <v>3734</v>
      </c>
      <c r="E2611" s="7"/>
      <c r="G2611" s="5" t="str">
        <f aca="false">IF(ISNUMBER(FIND("old rod:",A2611)),"old rod:",A2611)</f>
        <v>16, 16, PIKACHU</v>
      </c>
      <c r="I2611" s="5" t="s">
        <v>3593</v>
      </c>
    </row>
    <row r="2612" customFormat="false" ht="12.75" hidden="false" customHeight="true" outlineLevel="0" collapsed="false">
      <c r="A2612" s="5" t="s">
        <v>3594</v>
      </c>
      <c r="B2612" s="7" t="n">
        <v>16</v>
      </c>
      <c r="C2612" s="7" t="n">
        <v>16</v>
      </c>
      <c r="D2612" s="7" t="s">
        <v>3931</v>
      </c>
      <c r="E2612" s="7"/>
      <c r="G2612" s="5" t="str">
        <f aca="false">IF(ISNUMBER(FIND("old rod:",A2612)),"old rod:",A2612)</f>
        <v>16, 16, ABRA</v>
      </c>
      <c r="I2612" s="5" t="s">
        <v>3594</v>
      </c>
    </row>
    <row r="2613" customFormat="false" ht="12.75" hidden="false" customHeight="true" outlineLevel="0" collapsed="false">
      <c r="A2613" s="5" t="n">
        <v>0.04</v>
      </c>
      <c r="B2613" s="5" t="n">
        <v>0.04</v>
      </c>
      <c r="C2613" s="7"/>
      <c r="D2613" s="7"/>
      <c r="E2613" s="7"/>
      <c r="G2613" s="5" t="n">
        <f aca="false">IF(ISNUMBER(FIND("old rod:",A2613)),"old rod:",A2613)</f>
        <v>0.04</v>
      </c>
      <c r="I2613" s="5" t="n">
        <v>0.04</v>
      </c>
    </row>
    <row r="2614" customFormat="false" ht="12.75" hidden="false" customHeight="true" outlineLevel="0" collapsed="false">
      <c r="A2614" s="5" t="s">
        <v>3595</v>
      </c>
      <c r="B2614" s="7" t="n">
        <v>15</v>
      </c>
      <c r="C2614" s="7" t="n">
        <v>18</v>
      </c>
      <c r="D2614" s="7" t="s">
        <v>3891</v>
      </c>
      <c r="E2614" s="7"/>
      <c r="G2614" s="5" t="str">
        <f aca="false">IF(ISNUMBER(FIND("old rod:",A2614)),"old rod:",A2614)</f>
        <v>15, 18, VENONAT</v>
      </c>
      <c r="I2614" s="5" t="s">
        <v>3595</v>
      </c>
    </row>
    <row r="2615" customFormat="false" ht="12.75" hidden="false" customHeight="true" outlineLevel="0" collapsed="false">
      <c r="A2615" s="5" t="s">
        <v>3596</v>
      </c>
      <c r="B2615" s="7" t="n">
        <v>15</v>
      </c>
      <c r="C2615" s="7" t="n">
        <v>18</v>
      </c>
      <c r="D2615" s="7" t="s">
        <v>3941</v>
      </c>
      <c r="E2615" s="7"/>
      <c r="G2615" s="5" t="str">
        <f aca="false">IF(ISNUMBER(FIND("old rod:",A2615)),"old rod:",A2615)</f>
        <v>15, 18, GLOOM</v>
      </c>
      <c r="I2615" s="5" t="s">
        <v>3596</v>
      </c>
    </row>
    <row r="2616" customFormat="false" ht="12.75" hidden="false" customHeight="true" outlineLevel="0" collapsed="false">
      <c r="A2616" s="5" t="n">
        <v>0.01</v>
      </c>
      <c r="B2616" s="5" t="n">
        <v>0.01</v>
      </c>
      <c r="C2616" s="7"/>
      <c r="D2616" s="7"/>
      <c r="E2616" s="7"/>
      <c r="G2616" s="5" t="n">
        <f aca="false">IF(ISNUMBER(FIND("old rod:",A2616)),"old rod:",A2616)</f>
        <v>0.01</v>
      </c>
      <c r="I2616" s="5" t="n">
        <v>0.01</v>
      </c>
    </row>
    <row r="2617" customFormat="false" ht="12.75" hidden="false" customHeight="true" outlineLevel="0" collapsed="false">
      <c r="A2617" s="5" t="s">
        <v>3607</v>
      </c>
      <c r="B2617" s="7" t="n">
        <v>18</v>
      </c>
      <c r="C2617" s="7" t="n">
        <v>18</v>
      </c>
      <c r="D2617" s="7" t="s">
        <v>3932</v>
      </c>
      <c r="E2617" s="7"/>
      <c r="G2617" s="5" t="str">
        <f aca="false">IF(ISNUMBER(FIND("old rod:",A2617)),"old rod:",A2617)</f>
        <v>18, 18, KADABRA</v>
      </c>
      <c r="I2617" s="5" t="s">
        <v>3607</v>
      </c>
    </row>
    <row r="2618" customFormat="false" ht="12.75" hidden="false" customHeight="true" outlineLevel="0" collapsed="false">
      <c r="A2618" s="5" t="s">
        <v>3607</v>
      </c>
      <c r="B2618" s="7" t="n">
        <v>18</v>
      </c>
      <c r="C2618" s="7" t="n">
        <v>18</v>
      </c>
      <c r="D2618" s="7" t="s">
        <v>3932</v>
      </c>
      <c r="E2618" s="7"/>
      <c r="G2618" s="5" t="str">
        <f aca="false">IF(ISNUMBER(FIND("old rod:",A2618)),"old rod:",A2618)</f>
        <v>18, 18, KADABRA</v>
      </c>
      <c r="I2618" s="5" t="s">
        <v>3607</v>
      </c>
    </row>
    <row r="2619" customFormat="false" ht="12.75" hidden="false" customHeight="true" outlineLevel="0" collapsed="false">
      <c r="A2619" s="5" t="s">
        <v>3598</v>
      </c>
      <c r="B2619" s="7" t="n">
        <v>2</v>
      </c>
      <c r="C2619" s="7" t="n">
        <v>34</v>
      </c>
      <c r="D2619" s="7" t="n">
        <v>40</v>
      </c>
      <c r="E2619" s="7" t="s">
        <v>3747</v>
      </c>
      <c r="G2619" s="5" t="str">
        <f aca="false">IF(ISNUMBER(FIND("old rod:",A2619)),"old rod:",A2619)</f>
        <v>2, 34, 40, TENTACOOL</v>
      </c>
      <c r="I2619" s="5" t="s">
        <v>3598</v>
      </c>
    </row>
    <row r="2620" customFormat="false" ht="12.75" hidden="false" customHeight="true" outlineLevel="0" collapsed="false">
      <c r="A2620" s="5" t="s">
        <v>3599</v>
      </c>
      <c r="B2620" s="7" t="n">
        <v>34</v>
      </c>
      <c r="C2620" s="7" t="n">
        <v>40</v>
      </c>
      <c r="D2620" s="7" t="s">
        <v>3799</v>
      </c>
      <c r="E2620" s="7"/>
      <c r="G2620" s="5" t="str">
        <f aca="false">IF(ISNUMBER(FIND("old rod:",A2620)),"old rod:",A2620)</f>
        <v>34, 40, PSYDUCK</v>
      </c>
      <c r="I2620" s="5" t="s">
        <v>3599</v>
      </c>
    </row>
    <row r="2621" customFormat="false" ht="12.75" hidden="false" customHeight="true" outlineLevel="0" collapsed="false">
      <c r="A2621" s="5" t="s">
        <v>3600</v>
      </c>
      <c r="B2621" s="7" t="n">
        <v>36</v>
      </c>
      <c r="C2621" s="7" t="n">
        <v>42</v>
      </c>
      <c r="D2621" s="7" t="s">
        <v>3897</v>
      </c>
      <c r="E2621" s="7"/>
      <c r="G2621" s="5" t="str">
        <f aca="false">IF(ISNUMBER(FIND("old rod:",A2621)),"old rod:",A2621)</f>
        <v>36, 42, TENTACRUEL</v>
      </c>
      <c r="I2621" s="5" t="s">
        <v>3600</v>
      </c>
    </row>
    <row r="2622" customFormat="false" ht="12.75" hidden="false" customHeight="true" outlineLevel="0" collapsed="false">
      <c r="A2622" s="5" t="s">
        <v>3532</v>
      </c>
      <c r="B2622" s="7" t="n">
        <v>39</v>
      </c>
      <c r="C2622" s="7" t="n">
        <v>42</v>
      </c>
      <c r="D2622" s="7" t="s">
        <v>3801</v>
      </c>
      <c r="E2622" s="7"/>
      <c r="G2622" s="5" t="str">
        <f aca="false">IF(ISNUMBER(FIND("old rod:",A2622)),"old rod:",A2622)</f>
        <v>39, 42, GOLDUCK</v>
      </c>
      <c r="I2622" s="5" t="s">
        <v>3532</v>
      </c>
    </row>
    <row r="2623" customFormat="false" ht="12.75" hidden="false" customHeight="true" outlineLevel="0" collapsed="false">
      <c r="A2623" s="5" t="s">
        <v>3601</v>
      </c>
      <c r="B2623" s="7" t="n">
        <v>39</v>
      </c>
      <c r="C2623" s="7" t="n">
        <v>42</v>
      </c>
      <c r="D2623" s="7" t="s">
        <v>3802</v>
      </c>
      <c r="E2623" s="7"/>
      <c r="G2623" s="5" t="str">
        <f aca="false">IF(ISNUMBER(FIND("old rod:",A2623)),"old rod:",A2623)</f>
        <v>39, 42, VAPOREON</v>
      </c>
      <c r="I2623" s="5" t="s">
        <v>3601</v>
      </c>
    </row>
    <row r="2624" customFormat="false" ht="12.75" hidden="false" customHeight="true" outlineLevel="0" collapsed="false">
      <c r="A2624" s="5" t="s">
        <v>2925</v>
      </c>
      <c r="B2624" s="7" t="n">
        <v>20</v>
      </c>
      <c r="C2624" s="7" t="s">
        <v>3748</v>
      </c>
      <c r="D2624" s="7"/>
      <c r="E2624" s="7"/>
      <c r="G2624" s="5" t="str">
        <f aca="false">IF(ISNUMBER(FIND("old rod:",A2624)),"old rod:",A2624)</f>
        <v>old rod:</v>
      </c>
      <c r="I2624" s="5" t="s">
        <v>3749</v>
      </c>
    </row>
    <row r="2625" customFormat="false" ht="12.75" hidden="false" customHeight="true" outlineLevel="0" collapsed="false">
      <c r="A2625" s="5" t="s">
        <v>1349</v>
      </c>
      <c r="B2625" s="7" t="n">
        <v>19</v>
      </c>
      <c r="C2625" s="7" t="n">
        <v>26</v>
      </c>
      <c r="D2625" s="7" t="s">
        <v>3750</v>
      </c>
      <c r="E2625" s="7"/>
      <c r="G2625" s="5" t="str">
        <f aca="false">IF(ISNUMBER(FIND("old rod:",A2625)),"old rod:",A2625)</f>
        <v>19, 26, MAGIKARP</v>
      </c>
      <c r="I2625" s="5" t="s">
        <v>1349</v>
      </c>
    </row>
    <row r="2626" customFormat="false" ht="12.75" hidden="false" customHeight="true" outlineLevel="0" collapsed="false">
      <c r="A2626" s="5" t="s">
        <v>3352</v>
      </c>
      <c r="B2626" s="7" t="n">
        <v>19</v>
      </c>
      <c r="C2626" s="7" t="n">
        <v>26</v>
      </c>
      <c r="D2626" s="7" t="s">
        <v>3754</v>
      </c>
      <c r="E2626" s="7"/>
      <c r="G2626" s="5" t="str">
        <f aca="false">IF(ISNUMBER(FIND("old rod:",A2626)),"old rod:",A2626)</f>
        <v>19, 26, GYARADOS</v>
      </c>
      <c r="I2626" s="5" t="s">
        <v>3352</v>
      </c>
    </row>
    <row r="2627" customFormat="false" ht="12.75" hidden="false" customHeight="true" outlineLevel="0" collapsed="false">
      <c r="A2627" s="5" t="s">
        <v>2846</v>
      </c>
      <c r="B2627" s="7" t="s">
        <v>2846</v>
      </c>
      <c r="C2627" s="7"/>
      <c r="D2627" s="7"/>
      <c r="E2627" s="7"/>
      <c r="G2627" s="5" t="str">
        <f aca="false">IF(ISNUMBER(FIND("old rod:",A2627)),"old rod:",A2627)</f>
        <v>good rod:</v>
      </c>
      <c r="I2627" s="5" t="s">
        <v>2846</v>
      </c>
    </row>
    <row r="2628" customFormat="false" ht="12.75" hidden="false" customHeight="true" outlineLevel="0" collapsed="false">
      <c r="A2628" s="5" t="s">
        <v>3353</v>
      </c>
      <c r="B2628" s="7" t="n">
        <v>29</v>
      </c>
      <c r="C2628" s="7" t="n">
        <v>33</v>
      </c>
      <c r="D2628" s="7" t="s">
        <v>3755</v>
      </c>
      <c r="E2628" s="7"/>
      <c r="G2628" s="5" t="str">
        <f aca="false">IF(ISNUMBER(FIND("old rod:",A2628)),"old rod:",A2628)</f>
        <v>29, 33, SLOWPOKE</v>
      </c>
      <c r="I2628" s="5" t="s">
        <v>3353</v>
      </c>
    </row>
    <row r="2629" customFormat="false" ht="12.75" hidden="false" customHeight="true" outlineLevel="0" collapsed="false">
      <c r="A2629" s="5" t="s">
        <v>3027</v>
      </c>
      <c r="B2629" s="7" t="n">
        <v>30</v>
      </c>
      <c r="C2629" s="7" t="n">
        <v>35</v>
      </c>
      <c r="D2629" s="7" t="s">
        <v>3751</v>
      </c>
      <c r="E2629" s="7"/>
      <c r="G2629" s="5" t="str">
        <f aca="false">IF(ISNUMBER(FIND("old rod:",A2629)),"old rod:",A2629)</f>
        <v>30, 35, KRABBY</v>
      </c>
      <c r="I2629" s="5" t="s">
        <v>3027</v>
      </c>
    </row>
    <row r="2630" customFormat="false" ht="12.75" hidden="false" customHeight="true" outlineLevel="0" collapsed="false">
      <c r="A2630" s="5" t="s">
        <v>3354</v>
      </c>
      <c r="B2630" s="7" t="n">
        <v>30</v>
      </c>
      <c r="C2630" s="7" t="n">
        <v>35</v>
      </c>
      <c r="D2630" s="7" t="s">
        <v>3799</v>
      </c>
      <c r="E2630" s="7"/>
      <c r="G2630" s="5" t="str">
        <f aca="false">IF(ISNUMBER(FIND("old rod:",A2630)),"old rod:",A2630)</f>
        <v>30, 35, PSYDUCK</v>
      </c>
      <c r="I2630" s="5" t="s">
        <v>3354</v>
      </c>
    </row>
    <row r="2631" customFormat="false" ht="12.75" hidden="false" customHeight="true" outlineLevel="0" collapsed="false">
      <c r="A2631" s="5" t="s">
        <v>2850</v>
      </c>
      <c r="B2631" s="7" t="s">
        <v>2850</v>
      </c>
      <c r="C2631" s="7"/>
      <c r="D2631" s="7"/>
      <c r="E2631" s="7"/>
      <c r="G2631" s="5" t="str">
        <f aca="false">IF(ISNUMBER(FIND("old rod:",A2631)),"old rod:",A2631)</f>
        <v>super rod:</v>
      </c>
      <c r="I2631" s="5" t="s">
        <v>2850</v>
      </c>
    </row>
    <row r="2632" customFormat="false" ht="12.75" hidden="false" customHeight="true" outlineLevel="0" collapsed="false">
      <c r="A2632" s="5" t="s">
        <v>3355</v>
      </c>
      <c r="B2632" s="7" t="n">
        <v>36</v>
      </c>
      <c r="C2632" s="7" t="n">
        <v>40</v>
      </c>
      <c r="D2632" s="7" t="s">
        <v>3800</v>
      </c>
      <c r="E2632" s="7"/>
      <c r="G2632" s="5" t="str">
        <f aca="false">IF(ISNUMBER(FIND("old rod:",A2632)),"old rod:",A2632)</f>
        <v>36, 40, SLOWBRO</v>
      </c>
      <c r="I2632" s="5" t="s">
        <v>3355</v>
      </c>
    </row>
    <row r="2633" customFormat="false" ht="12.75" hidden="false" customHeight="true" outlineLevel="0" collapsed="false">
      <c r="A2633" s="5" t="s">
        <v>3356</v>
      </c>
      <c r="B2633" s="7" t="n">
        <v>36</v>
      </c>
      <c r="C2633" s="7" t="n">
        <v>40</v>
      </c>
      <c r="D2633" s="7" t="s">
        <v>3754</v>
      </c>
      <c r="E2633" s="7"/>
      <c r="G2633" s="5" t="str">
        <f aca="false">IF(ISNUMBER(FIND("old rod:",A2633)),"old rod:",A2633)</f>
        <v>36, 40, GYARADOS</v>
      </c>
      <c r="I2633" s="5" t="s">
        <v>3356</v>
      </c>
    </row>
    <row r="2634" customFormat="false" ht="12.75" hidden="false" customHeight="true" outlineLevel="0" collapsed="false">
      <c r="A2634" s="5" t="s">
        <v>3357</v>
      </c>
      <c r="B2634" s="7" t="n">
        <v>38</v>
      </c>
      <c r="C2634" s="7" t="n">
        <v>42</v>
      </c>
      <c r="D2634" s="7" t="s">
        <v>3801</v>
      </c>
      <c r="E2634" s="7"/>
      <c r="G2634" s="5" t="str">
        <f aca="false">IF(ISNUMBER(FIND("old rod:",A2634)),"old rod:",A2634)</f>
        <v>38, 42, GOLDUCK</v>
      </c>
      <c r="I2634" s="5" t="s">
        <v>3357</v>
      </c>
    </row>
    <row r="2635" customFormat="false" ht="12.75" hidden="false" customHeight="true" outlineLevel="0" collapsed="false">
      <c r="A2635" s="5" t="s">
        <v>3358</v>
      </c>
      <c r="B2635" s="7" t="n">
        <v>38</v>
      </c>
      <c r="C2635" s="7" t="n">
        <v>42</v>
      </c>
      <c r="D2635" s="7" t="s">
        <v>3859</v>
      </c>
      <c r="E2635" s="7"/>
      <c r="G2635" s="5" t="str">
        <f aca="false">IF(ISNUMBER(FIND("old rod:",A2635)),"old rod:",A2635)</f>
        <v>38, 42, KINGLER</v>
      </c>
      <c r="I2635" s="5" t="s">
        <v>3358</v>
      </c>
    </row>
    <row r="2636" customFormat="false" ht="12.75" hidden="false" customHeight="true" outlineLevel="0" collapsed="false">
      <c r="A2636" s="5" t="s">
        <v>3359</v>
      </c>
      <c r="B2636" s="7" t="n">
        <v>40</v>
      </c>
      <c r="C2636" s="7" t="n">
        <v>44</v>
      </c>
      <c r="D2636" s="7" t="s">
        <v>3855</v>
      </c>
      <c r="E2636" s="7"/>
      <c r="G2636" s="5" t="str">
        <f aca="false">IF(ISNUMBER(FIND("old rod:",A2636)),"old rod:",A2636)</f>
        <v>40, 44, SLOWMATE</v>
      </c>
      <c r="I2636" s="5" t="s">
        <v>3359</v>
      </c>
    </row>
    <row r="2637" customFormat="false" ht="12.75" hidden="false" customHeight="true" outlineLevel="0" collapsed="false">
      <c r="A2637" s="5" t="s">
        <v>2536</v>
      </c>
      <c r="B2637" s="7" t="s">
        <v>2536</v>
      </c>
      <c r="C2637" s="7"/>
      <c r="D2637" s="7"/>
      <c r="E2637" s="7"/>
      <c r="G2637" s="5" t="str">
        <f aca="false">IF(ISNUMBER(FIND("old rod:",A2637)),"old rod:",A2637)</f>
        <v>NEW ROUTE</v>
      </c>
      <c r="I2637" s="5" t="s">
        <v>2536</v>
      </c>
    </row>
    <row r="2638" customFormat="false" ht="12.75" hidden="false" customHeight="true" outlineLevel="0" collapsed="false">
      <c r="A2638" s="5" t="s">
        <v>379</v>
      </c>
      <c r="B2638" s="7" t="s">
        <v>379</v>
      </c>
      <c r="C2638" s="7"/>
      <c r="D2638" s="7"/>
      <c r="E2638" s="7"/>
      <c r="G2638" s="5" t="str">
        <f aca="false">IF(ISNUMBER(FIND("old rod:",A2638)),"old rod:",A2638)</f>
        <v>Pallet Town</v>
      </c>
      <c r="I2638" s="5" t="s">
        <v>379</v>
      </c>
    </row>
    <row r="2639" customFormat="false" ht="12.75" hidden="false" customHeight="true" outlineLevel="0" collapsed="false">
      <c r="A2639" s="5" t="s">
        <v>3609</v>
      </c>
      <c r="B2639" s="7" t="n">
        <v>1</v>
      </c>
      <c r="C2639" s="7" t="n">
        <v>38</v>
      </c>
      <c r="D2639" s="7" t="n">
        <v>42</v>
      </c>
      <c r="E2639" s="7" t="s">
        <v>3747</v>
      </c>
      <c r="G2639" s="5" t="str">
        <f aca="false">IF(ISNUMBER(FIND("old rod:",A2639)),"old rod:",A2639)</f>
        <v>1, 38, 42, TENTACOOL</v>
      </c>
      <c r="I2639" s="5" t="s">
        <v>3609</v>
      </c>
    </row>
    <row r="2640" customFormat="false" ht="12.75" hidden="false" customHeight="true" outlineLevel="0" collapsed="false">
      <c r="A2640" s="5" t="s">
        <v>3428</v>
      </c>
      <c r="B2640" s="7" t="n">
        <v>40</v>
      </c>
      <c r="C2640" s="7" t="n">
        <v>44</v>
      </c>
      <c r="D2640" s="7" t="s">
        <v>3897</v>
      </c>
      <c r="E2640" s="7"/>
      <c r="G2640" s="5" t="str">
        <f aca="false">IF(ISNUMBER(FIND("old rod:",A2640)),"old rod:",A2640)</f>
        <v>40, 44, TENTACRUEL</v>
      </c>
      <c r="I2640" s="5" t="s">
        <v>3428</v>
      </c>
    </row>
    <row r="2641" customFormat="false" ht="12.75" hidden="false" customHeight="true" outlineLevel="0" collapsed="false">
      <c r="A2641" s="5" t="s">
        <v>3024</v>
      </c>
      <c r="B2641" s="7" t="n">
        <v>42</v>
      </c>
      <c r="C2641" s="7" t="n">
        <v>46</v>
      </c>
      <c r="D2641" s="7" t="s">
        <v>3860</v>
      </c>
      <c r="E2641" s="7"/>
      <c r="G2641" s="5" t="str">
        <f aca="false">IF(ISNUMBER(FIND("old rod:",A2641)),"old rod:",A2641)</f>
        <v>42, 46, LAPRAS</v>
      </c>
      <c r="I2641" s="5" t="s">
        <v>3024</v>
      </c>
    </row>
    <row r="2642" customFormat="false" ht="12.75" hidden="false" customHeight="true" outlineLevel="0" collapsed="false">
      <c r="A2642" s="5" t="s">
        <v>3429</v>
      </c>
      <c r="B2642" s="7" t="n">
        <v>42</v>
      </c>
      <c r="C2642" s="7" t="n">
        <v>46</v>
      </c>
      <c r="D2642" s="7" t="s">
        <v>3930</v>
      </c>
      <c r="E2642" s="7"/>
      <c r="G2642" s="5" t="str">
        <f aca="false">IF(ISNUMBER(FIND("old rod:",A2642)),"old rod:",A2642)</f>
        <v>42, 46, TENTACATE</v>
      </c>
      <c r="I2642" s="5" t="s">
        <v>3429</v>
      </c>
    </row>
    <row r="2643" customFormat="false" ht="12.75" hidden="false" customHeight="true" outlineLevel="0" collapsed="false">
      <c r="A2643" s="5" t="s">
        <v>3449</v>
      </c>
      <c r="B2643" s="7" t="n">
        <v>44</v>
      </c>
      <c r="C2643" s="7" t="n">
        <v>48</v>
      </c>
      <c r="D2643" s="7" t="s">
        <v>3933</v>
      </c>
      <c r="E2643" s="7"/>
      <c r="G2643" s="5" t="str">
        <f aca="false">IF(ISNUMBER(FIND("old rod:",A2643)),"old rod:",A2643)</f>
        <v>44, 48, LOCHLASS</v>
      </c>
      <c r="I2643" s="5" t="s">
        <v>3449</v>
      </c>
    </row>
    <row r="2644" customFormat="false" ht="12.75" hidden="false" customHeight="true" outlineLevel="0" collapsed="false">
      <c r="A2644" s="5" t="s">
        <v>2845</v>
      </c>
      <c r="B2644" s="7" t="n">
        <v>10</v>
      </c>
      <c r="C2644" s="7" t="s">
        <v>3748</v>
      </c>
      <c r="D2644" s="7"/>
      <c r="E2644" s="7"/>
      <c r="G2644" s="5" t="str">
        <f aca="false">IF(ISNUMBER(FIND("old rod:",A2644)),"old rod:",A2644)</f>
        <v>old rod:</v>
      </c>
      <c r="I2644" s="5" t="s">
        <v>3749</v>
      </c>
    </row>
    <row r="2645" customFormat="false" ht="12.75" hidden="false" customHeight="true" outlineLevel="0" collapsed="false">
      <c r="A2645" s="5" t="s">
        <v>1349</v>
      </c>
      <c r="B2645" s="7" t="n">
        <v>19</v>
      </c>
      <c r="C2645" s="7" t="n">
        <v>26</v>
      </c>
      <c r="D2645" s="7" t="s">
        <v>3750</v>
      </c>
      <c r="E2645" s="7"/>
      <c r="G2645" s="5" t="str">
        <f aca="false">IF(ISNUMBER(FIND("old rod:",A2645)),"old rod:",A2645)</f>
        <v>19, 26, MAGIKARP</v>
      </c>
      <c r="I2645" s="5" t="s">
        <v>1349</v>
      </c>
    </row>
    <row r="2646" customFormat="false" ht="12.75" hidden="false" customHeight="true" outlineLevel="0" collapsed="false">
      <c r="A2646" s="5" t="s">
        <v>3352</v>
      </c>
      <c r="B2646" s="7" t="n">
        <v>19</v>
      </c>
      <c r="C2646" s="7" t="n">
        <v>26</v>
      </c>
      <c r="D2646" s="7" t="s">
        <v>3754</v>
      </c>
      <c r="E2646" s="7"/>
      <c r="G2646" s="5" t="str">
        <f aca="false">IF(ISNUMBER(FIND("old rod:",A2646)),"old rod:",A2646)</f>
        <v>19, 26, GYARADOS</v>
      </c>
      <c r="I2646" s="5" t="s">
        <v>3352</v>
      </c>
    </row>
    <row r="2647" customFormat="false" ht="12.75" hidden="false" customHeight="true" outlineLevel="0" collapsed="false">
      <c r="A2647" s="5" t="s">
        <v>2846</v>
      </c>
      <c r="B2647" s="7" t="s">
        <v>2846</v>
      </c>
      <c r="C2647" s="7"/>
      <c r="D2647" s="7"/>
      <c r="E2647" s="7"/>
      <c r="G2647" s="5" t="str">
        <f aca="false">IF(ISNUMBER(FIND("old rod:",A2647)),"old rod:",A2647)</f>
        <v>good rod:</v>
      </c>
      <c r="I2647" s="5" t="s">
        <v>2846</v>
      </c>
    </row>
    <row r="2648" customFormat="false" ht="12.75" hidden="false" customHeight="true" outlineLevel="0" collapsed="false">
      <c r="A2648" s="5" t="s">
        <v>3430</v>
      </c>
      <c r="B2648" s="7" t="n">
        <v>29</v>
      </c>
      <c r="C2648" s="7" t="n">
        <v>33</v>
      </c>
      <c r="D2648" s="7" t="s">
        <v>3752</v>
      </c>
      <c r="E2648" s="7"/>
      <c r="G2648" s="5" t="str">
        <f aca="false">IF(ISNUMBER(FIND("old rod:",A2648)),"old rod:",A2648)</f>
        <v>29, 33, HORSEA</v>
      </c>
      <c r="I2648" s="5" t="s">
        <v>3430</v>
      </c>
    </row>
    <row r="2649" customFormat="false" ht="12.75" hidden="false" customHeight="true" outlineLevel="0" collapsed="false">
      <c r="A2649" s="5" t="s">
        <v>3027</v>
      </c>
      <c r="B2649" s="7" t="n">
        <v>30</v>
      </c>
      <c r="C2649" s="7" t="n">
        <v>35</v>
      </c>
      <c r="D2649" s="7" t="s">
        <v>3751</v>
      </c>
      <c r="E2649" s="7"/>
      <c r="G2649" s="5" t="str">
        <f aca="false">IF(ISNUMBER(FIND("old rod:",A2649)),"old rod:",A2649)</f>
        <v>30, 35, KRABBY</v>
      </c>
      <c r="I2649" s="5" t="s">
        <v>3027</v>
      </c>
    </row>
    <row r="2650" customFormat="false" ht="12.75" hidden="false" customHeight="true" outlineLevel="0" collapsed="false">
      <c r="A2650" s="5" t="s">
        <v>3451</v>
      </c>
      <c r="B2650" s="7" t="n">
        <v>30</v>
      </c>
      <c r="C2650" s="7" t="n">
        <v>35</v>
      </c>
      <c r="D2650" s="7" t="s">
        <v>3753</v>
      </c>
      <c r="E2650" s="7"/>
      <c r="G2650" s="5" t="str">
        <f aca="false">IF(ISNUMBER(FIND("old rod:",A2650)),"old rod:",A2650)</f>
        <v>30, 35, STARYU</v>
      </c>
      <c r="I2650" s="5" t="s">
        <v>3451</v>
      </c>
    </row>
    <row r="2651" customFormat="false" ht="12.75" hidden="false" customHeight="true" outlineLevel="0" collapsed="false">
      <c r="A2651" s="5" t="s">
        <v>2850</v>
      </c>
      <c r="B2651" s="7" t="s">
        <v>2850</v>
      </c>
      <c r="C2651" s="7"/>
      <c r="D2651" s="7"/>
      <c r="E2651" s="7"/>
      <c r="G2651" s="5" t="str">
        <f aca="false">IF(ISNUMBER(FIND("old rod:",A2651)),"old rod:",A2651)</f>
        <v>super rod:</v>
      </c>
      <c r="I2651" s="5" t="s">
        <v>2850</v>
      </c>
    </row>
    <row r="2652" customFormat="false" ht="12.75" hidden="false" customHeight="true" outlineLevel="0" collapsed="false">
      <c r="A2652" s="5" t="s">
        <v>3432</v>
      </c>
      <c r="B2652" s="7" t="n">
        <v>36</v>
      </c>
      <c r="C2652" s="7" t="n">
        <v>40</v>
      </c>
      <c r="D2652" s="7" t="s">
        <v>3858</v>
      </c>
      <c r="E2652" s="7"/>
      <c r="G2652" s="5" t="str">
        <f aca="false">IF(ISNUMBER(FIND("old rod:",A2652)),"old rod:",A2652)</f>
        <v>36, 40, SEADRA</v>
      </c>
      <c r="I2652" s="5" t="s">
        <v>3432</v>
      </c>
    </row>
    <row r="2653" customFormat="false" ht="12.75" hidden="false" customHeight="true" outlineLevel="0" collapsed="false">
      <c r="A2653" s="5" t="s">
        <v>3356</v>
      </c>
      <c r="B2653" s="7" t="n">
        <v>36</v>
      </c>
      <c r="C2653" s="7" t="n">
        <v>40</v>
      </c>
      <c r="D2653" s="7" t="s">
        <v>3754</v>
      </c>
      <c r="E2653" s="7"/>
      <c r="G2653" s="5" t="str">
        <f aca="false">IF(ISNUMBER(FIND("old rod:",A2653)),"old rod:",A2653)</f>
        <v>36, 40, GYARADOS</v>
      </c>
      <c r="I2653" s="5" t="s">
        <v>3356</v>
      </c>
    </row>
    <row r="2654" customFormat="false" ht="12.75" hidden="false" customHeight="true" outlineLevel="0" collapsed="false">
      <c r="A2654" s="5" t="s">
        <v>3452</v>
      </c>
      <c r="B2654" s="7" t="n">
        <v>38</v>
      </c>
      <c r="C2654" s="7" t="n">
        <v>42</v>
      </c>
      <c r="D2654" s="7" t="s">
        <v>3934</v>
      </c>
      <c r="E2654" s="7"/>
      <c r="G2654" s="5" t="str">
        <f aca="false">IF(ISNUMBER(FIND("old rod:",A2654)),"old rod:",A2654)</f>
        <v>38, 42, STARMIE</v>
      </c>
      <c r="I2654" s="5" t="s">
        <v>3452</v>
      </c>
    </row>
    <row r="2655" customFormat="false" ht="12.75" hidden="false" customHeight="true" outlineLevel="0" collapsed="false">
      <c r="A2655" s="5" t="s">
        <v>3358</v>
      </c>
      <c r="B2655" s="7" t="n">
        <v>38</v>
      </c>
      <c r="C2655" s="7" t="n">
        <v>42</v>
      </c>
      <c r="D2655" s="7" t="s">
        <v>3859</v>
      </c>
      <c r="E2655" s="7"/>
      <c r="G2655" s="5" t="str">
        <f aca="false">IF(ISNUMBER(FIND("old rod:",A2655)),"old rod:",A2655)</f>
        <v>38, 42, KINGLER</v>
      </c>
      <c r="I2655" s="5" t="s">
        <v>3358</v>
      </c>
    </row>
    <row r="2656" customFormat="false" ht="12.75" hidden="false" customHeight="true" outlineLevel="0" collapsed="false">
      <c r="A2656" s="5" t="s">
        <v>3610</v>
      </c>
      <c r="B2656" s="7" t="n">
        <v>40</v>
      </c>
      <c r="C2656" s="7" t="n">
        <v>44</v>
      </c>
      <c r="D2656" s="7" t="s">
        <v>3935</v>
      </c>
      <c r="E2656" s="7"/>
      <c r="G2656" s="5" t="str">
        <f aca="false">IF(ISNUMBER(FIND("old rod:",A2656)),"old rod:",A2656)</f>
        <v>40, 44, STARUS</v>
      </c>
      <c r="I2656" s="5" t="s">
        <v>3610</v>
      </c>
    </row>
    <row r="2657" customFormat="false" ht="12.75" hidden="false" customHeight="true" outlineLevel="0" collapsed="false">
      <c r="A2657" s="5" t="s">
        <v>2536</v>
      </c>
      <c r="B2657" s="7" t="s">
        <v>2536</v>
      </c>
      <c r="C2657" s="7"/>
      <c r="D2657" s="7"/>
      <c r="E2657" s="7"/>
      <c r="G2657" s="5" t="str">
        <f aca="false">IF(ISNUMBER(FIND("old rod:",A2657)),"old rod:",A2657)</f>
        <v>NEW ROUTE</v>
      </c>
      <c r="I2657" s="5" t="s">
        <v>2536</v>
      </c>
    </row>
    <row r="2658" customFormat="false" ht="12.75" hidden="false" customHeight="true" outlineLevel="0" collapsed="false">
      <c r="A2658" s="5" t="s">
        <v>381</v>
      </c>
      <c r="B2658" s="7" t="s">
        <v>381</v>
      </c>
      <c r="C2658" s="7"/>
      <c r="D2658" s="7"/>
      <c r="E2658" s="7"/>
      <c r="G2658" s="5" t="str">
        <f aca="false">IF(ISNUMBER(FIND("old rod:",A2658)),"old rod:",A2658)</f>
        <v>Viridian City</v>
      </c>
      <c r="I2658" s="5" t="s">
        <v>381</v>
      </c>
    </row>
    <row r="2659" customFormat="false" ht="12.75" hidden="false" customHeight="true" outlineLevel="0" collapsed="false">
      <c r="A2659" s="5" t="s">
        <v>3612</v>
      </c>
      <c r="B2659" s="7" t="n">
        <v>1</v>
      </c>
      <c r="C2659" s="7" t="n">
        <v>38</v>
      </c>
      <c r="D2659" s="7" t="n">
        <v>42</v>
      </c>
      <c r="E2659" s="7" t="s">
        <v>3799</v>
      </c>
      <c r="G2659" s="5" t="str">
        <f aca="false">IF(ISNUMBER(FIND("old rod:",A2659)),"old rod:",A2659)</f>
        <v>1, 38, 42, PSYDUCK</v>
      </c>
      <c r="I2659" s="5" t="s">
        <v>3612</v>
      </c>
    </row>
    <row r="2660" customFormat="false" ht="12.75" hidden="false" customHeight="true" outlineLevel="0" collapsed="false">
      <c r="A2660" s="5" t="s">
        <v>3374</v>
      </c>
      <c r="B2660" s="7" t="n">
        <v>40</v>
      </c>
      <c r="C2660" s="7" t="n">
        <v>44</v>
      </c>
      <c r="D2660" s="7" t="s">
        <v>3755</v>
      </c>
      <c r="E2660" s="7"/>
      <c r="G2660" s="5" t="str">
        <f aca="false">IF(ISNUMBER(FIND("old rod:",A2660)),"old rod:",A2660)</f>
        <v>40, 44, SLOWPOKE</v>
      </c>
      <c r="I2660" s="5" t="s">
        <v>3374</v>
      </c>
    </row>
    <row r="2661" customFormat="false" ht="12.75" hidden="false" customHeight="true" outlineLevel="0" collapsed="false">
      <c r="A2661" s="5" t="s">
        <v>2923</v>
      </c>
      <c r="B2661" s="7" t="n">
        <v>42</v>
      </c>
      <c r="C2661" s="7" t="n">
        <v>46</v>
      </c>
      <c r="D2661" s="7" t="s">
        <v>3801</v>
      </c>
      <c r="E2661" s="7"/>
      <c r="G2661" s="5" t="str">
        <f aca="false">IF(ISNUMBER(FIND("old rod:",A2661)),"old rod:",A2661)</f>
        <v>42, 46, GOLDUCK</v>
      </c>
      <c r="I2661" s="5" t="s">
        <v>2923</v>
      </c>
    </row>
    <row r="2662" customFormat="false" ht="12.75" hidden="false" customHeight="true" outlineLevel="0" collapsed="false">
      <c r="A2662" s="5" t="s">
        <v>2922</v>
      </c>
      <c r="B2662" s="7" t="n">
        <v>42</v>
      </c>
      <c r="C2662" s="7" t="n">
        <v>46</v>
      </c>
      <c r="D2662" s="7" t="s">
        <v>3800</v>
      </c>
      <c r="E2662" s="7"/>
      <c r="G2662" s="5" t="str">
        <f aca="false">IF(ISNUMBER(FIND("old rod:",A2662)),"old rod:",A2662)</f>
        <v>42, 46, SLOWBRO</v>
      </c>
      <c r="I2662" s="5" t="s">
        <v>2922</v>
      </c>
    </row>
    <row r="2663" customFormat="false" ht="12.75" hidden="false" customHeight="true" outlineLevel="0" collapsed="false">
      <c r="A2663" s="5" t="s">
        <v>3613</v>
      </c>
      <c r="B2663" s="7" t="n">
        <v>44</v>
      </c>
      <c r="C2663" s="7" t="n">
        <v>48</v>
      </c>
      <c r="D2663" s="7" t="s">
        <v>3854</v>
      </c>
      <c r="E2663" s="7"/>
      <c r="G2663" s="5" t="str">
        <f aca="false">IF(ISNUMBER(FIND("old rod:",A2663)),"old rod:",A2663)</f>
        <v>44, 48, GILDUCK</v>
      </c>
      <c r="I2663" s="5" t="s">
        <v>3613</v>
      </c>
    </row>
    <row r="2664" customFormat="false" ht="12.75" hidden="false" customHeight="true" outlineLevel="0" collapsed="false">
      <c r="A2664" s="5" t="s">
        <v>2845</v>
      </c>
      <c r="B2664" s="7" t="n">
        <v>10</v>
      </c>
      <c r="C2664" s="7" t="s">
        <v>3748</v>
      </c>
      <c r="D2664" s="7"/>
      <c r="E2664" s="7"/>
      <c r="G2664" s="5" t="str">
        <f aca="false">IF(ISNUMBER(FIND("old rod:",A2664)),"old rod:",A2664)</f>
        <v>old rod:</v>
      </c>
      <c r="I2664" s="5" t="s">
        <v>3749</v>
      </c>
    </row>
    <row r="2665" customFormat="false" ht="12.75" hidden="false" customHeight="true" outlineLevel="0" collapsed="false">
      <c r="A2665" s="5" t="s">
        <v>1349</v>
      </c>
      <c r="B2665" s="7" t="n">
        <v>19</v>
      </c>
      <c r="C2665" s="7" t="n">
        <v>26</v>
      </c>
      <c r="D2665" s="7" t="s">
        <v>3750</v>
      </c>
      <c r="E2665" s="7"/>
      <c r="G2665" s="5" t="str">
        <f aca="false">IF(ISNUMBER(FIND("old rod:",A2665)),"old rod:",A2665)</f>
        <v>19, 26, MAGIKARP</v>
      </c>
      <c r="I2665" s="5" t="s">
        <v>1349</v>
      </c>
    </row>
    <row r="2666" customFormat="false" ht="12.75" hidden="false" customHeight="true" outlineLevel="0" collapsed="false">
      <c r="A2666" s="5" t="s">
        <v>2926</v>
      </c>
      <c r="B2666" s="7" t="n">
        <v>19</v>
      </c>
      <c r="C2666" s="7" t="n">
        <v>26</v>
      </c>
      <c r="D2666" s="7" t="s">
        <v>3803</v>
      </c>
      <c r="E2666" s="7"/>
      <c r="G2666" s="5" t="str">
        <f aca="false">IF(ISNUMBER(FIND("old rod:",A2666)),"old rod:",A2666)</f>
        <v>19, 26, POLIWAG</v>
      </c>
      <c r="I2666" s="5" t="s">
        <v>2926</v>
      </c>
    </row>
    <row r="2667" customFormat="false" ht="12.75" hidden="false" customHeight="true" outlineLevel="0" collapsed="false">
      <c r="A2667" s="5" t="s">
        <v>2846</v>
      </c>
      <c r="B2667" s="7" t="s">
        <v>2846</v>
      </c>
      <c r="C2667" s="7"/>
      <c r="D2667" s="7"/>
      <c r="E2667" s="7"/>
      <c r="G2667" s="5" t="str">
        <f aca="false">IF(ISNUMBER(FIND("old rod:",A2667)),"old rod:",A2667)</f>
        <v>good rod:</v>
      </c>
      <c r="I2667" s="5" t="s">
        <v>2846</v>
      </c>
    </row>
    <row r="2668" customFormat="false" ht="12.75" hidden="false" customHeight="true" outlineLevel="0" collapsed="false">
      <c r="A2668" s="5" t="s">
        <v>3559</v>
      </c>
      <c r="B2668" s="7" t="n">
        <v>29</v>
      </c>
      <c r="C2668" s="7" t="n">
        <v>33</v>
      </c>
      <c r="D2668" s="7" t="s">
        <v>3750</v>
      </c>
      <c r="E2668" s="7"/>
      <c r="G2668" s="5" t="str">
        <f aca="false">IF(ISNUMBER(FIND("old rod:",A2668)),"old rod:",A2668)</f>
        <v>29, 33, MAGIKARP</v>
      </c>
      <c r="I2668" s="5" t="s">
        <v>3559</v>
      </c>
    </row>
    <row r="2669" customFormat="false" ht="12.75" hidden="false" customHeight="true" outlineLevel="0" collapsed="false">
      <c r="A2669" s="5" t="s">
        <v>3560</v>
      </c>
      <c r="B2669" s="7" t="n">
        <v>30</v>
      </c>
      <c r="C2669" s="7" t="n">
        <v>35</v>
      </c>
      <c r="D2669" s="7" t="s">
        <v>3754</v>
      </c>
      <c r="E2669" s="7"/>
      <c r="G2669" s="5" t="str">
        <f aca="false">IF(ISNUMBER(FIND("old rod:",A2669)),"old rod:",A2669)</f>
        <v>30, 35, GYARADOS</v>
      </c>
      <c r="I2669" s="5" t="s">
        <v>3560</v>
      </c>
    </row>
    <row r="2670" customFormat="false" ht="12.75" hidden="false" customHeight="true" outlineLevel="0" collapsed="false">
      <c r="A2670" s="5" t="s">
        <v>3561</v>
      </c>
      <c r="B2670" s="7" t="n">
        <v>30</v>
      </c>
      <c r="C2670" s="7" t="n">
        <v>35</v>
      </c>
      <c r="D2670" s="7" t="s">
        <v>3805</v>
      </c>
      <c r="E2670" s="7"/>
      <c r="G2670" s="5" t="str">
        <f aca="false">IF(ISNUMBER(FIND("old rod:",A2670)),"old rod:",A2670)</f>
        <v>30, 35, POLIWHIRL</v>
      </c>
      <c r="I2670" s="5" t="s">
        <v>3561</v>
      </c>
    </row>
    <row r="2671" customFormat="false" ht="12.75" hidden="false" customHeight="true" outlineLevel="0" collapsed="false">
      <c r="A2671" s="5" t="s">
        <v>2850</v>
      </c>
      <c r="B2671" s="7" t="s">
        <v>2850</v>
      </c>
      <c r="C2671" s="7"/>
      <c r="D2671" s="7"/>
      <c r="E2671" s="7"/>
      <c r="G2671" s="5" t="str">
        <f aca="false">IF(ISNUMBER(FIND("old rod:",A2671)),"old rod:",A2671)</f>
        <v>super rod:</v>
      </c>
      <c r="I2671" s="5" t="s">
        <v>2850</v>
      </c>
    </row>
    <row r="2672" customFormat="false" ht="12.75" hidden="false" customHeight="true" outlineLevel="0" collapsed="false">
      <c r="A2672" s="5" t="s">
        <v>3562</v>
      </c>
      <c r="B2672" s="7" t="n">
        <v>36</v>
      </c>
      <c r="C2672" s="7" t="n">
        <v>40</v>
      </c>
      <c r="D2672" s="7" t="s">
        <v>3750</v>
      </c>
      <c r="E2672" s="7"/>
      <c r="G2672" s="5" t="str">
        <f aca="false">IF(ISNUMBER(FIND("old rod:",A2672)),"old rod:",A2672)</f>
        <v>36, 40, MAGIKARP</v>
      </c>
      <c r="I2672" s="5" t="s">
        <v>3562</v>
      </c>
    </row>
    <row r="2673" customFormat="false" ht="12.75" hidden="false" customHeight="true" outlineLevel="0" collapsed="false">
      <c r="A2673" s="5" t="s">
        <v>3356</v>
      </c>
      <c r="B2673" s="7" t="n">
        <v>36</v>
      </c>
      <c r="C2673" s="7" t="n">
        <v>40</v>
      </c>
      <c r="D2673" s="7" t="s">
        <v>3754</v>
      </c>
      <c r="E2673" s="7"/>
      <c r="G2673" s="5" t="str">
        <f aca="false">IF(ISNUMBER(FIND("old rod:",A2673)),"old rod:",A2673)</f>
        <v>36, 40, GYARADOS</v>
      </c>
      <c r="I2673" s="5" t="s">
        <v>3356</v>
      </c>
    </row>
    <row r="2674" customFormat="false" ht="12.75" hidden="false" customHeight="true" outlineLevel="0" collapsed="false">
      <c r="A2674" s="5" t="s">
        <v>3563</v>
      </c>
      <c r="B2674" s="7" t="n">
        <v>38</v>
      </c>
      <c r="C2674" s="7" t="n">
        <v>42</v>
      </c>
      <c r="D2674" s="7" t="s">
        <v>3805</v>
      </c>
      <c r="E2674" s="7"/>
      <c r="G2674" s="5" t="str">
        <f aca="false">IF(ISNUMBER(FIND("old rod:",A2674)),"old rod:",A2674)</f>
        <v>38, 42, POLIWHIRL</v>
      </c>
      <c r="I2674" s="5" t="s">
        <v>3563</v>
      </c>
    </row>
    <row r="2675" customFormat="false" ht="12.75" hidden="false" customHeight="true" outlineLevel="0" collapsed="false">
      <c r="A2675" s="5" t="s">
        <v>3378</v>
      </c>
      <c r="B2675" s="7" t="n">
        <v>38</v>
      </c>
      <c r="C2675" s="7" t="n">
        <v>42</v>
      </c>
      <c r="D2675" s="7" t="s">
        <v>3923</v>
      </c>
      <c r="E2675" s="7"/>
      <c r="G2675" s="5" t="str">
        <f aca="false">IF(ISNUMBER(FIND("old rod:",A2675)),"old rod:",A2675)</f>
        <v>38, 42, POLIWRATH</v>
      </c>
      <c r="I2675" s="5" t="s">
        <v>3378</v>
      </c>
    </row>
    <row r="2676" customFormat="false" ht="12.75" hidden="false" customHeight="true" outlineLevel="0" collapsed="false">
      <c r="A2676" s="5" t="s">
        <v>3379</v>
      </c>
      <c r="B2676" s="7" t="n">
        <v>40</v>
      </c>
      <c r="C2676" s="7" t="n">
        <v>44</v>
      </c>
      <c r="D2676" s="7" t="s">
        <v>3837</v>
      </c>
      <c r="E2676" s="7"/>
      <c r="G2676" s="5" t="str">
        <f aca="false">IF(ISNUMBER(FIND("old rod:",A2676)),"old rod:",A2676)</f>
        <v>40, 44, POLITOES</v>
      </c>
      <c r="I2676" s="5" t="s">
        <v>3379</v>
      </c>
    </row>
    <row r="2677" customFormat="false" ht="12.75" hidden="false" customHeight="true" outlineLevel="0" collapsed="false">
      <c r="A2677" s="5" t="s">
        <v>2536</v>
      </c>
      <c r="B2677" s="7" t="s">
        <v>2536</v>
      </c>
      <c r="C2677" s="7"/>
      <c r="D2677" s="7"/>
      <c r="E2677" s="7"/>
      <c r="G2677" s="5" t="str">
        <f aca="false">IF(ISNUMBER(FIND("old rod:",A2677)),"old rod:",A2677)</f>
        <v>NEW ROUTE</v>
      </c>
      <c r="I2677" s="5" t="s">
        <v>2536</v>
      </c>
    </row>
    <row r="2678" customFormat="false" ht="12.75" hidden="false" customHeight="true" outlineLevel="0" collapsed="false">
      <c r="A2678" s="5" t="s">
        <v>385</v>
      </c>
      <c r="B2678" s="7" t="s">
        <v>385</v>
      </c>
      <c r="C2678" s="7"/>
      <c r="D2678" s="7"/>
      <c r="E2678" s="7"/>
      <c r="G2678" s="5" t="str">
        <f aca="false">IF(ISNUMBER(FIND("old rod:",A2678)),"old rod:",A2678)</f>
        <v>Celurean City</v>
      </c>
      <c r="I2678" s="5" t="s">
        <v>385</v>
      </c>
    </row>
    <row r="2679" customFormat="false" ht="12.75" hidden="false" customHeight="true" outlineLevel="0" collapsed="false">
      <c r="A2679" s="5" t="s">
        <v>3609</v>
      </c>
      <c r="B2679" s="7" t="n">
        <v>1</v>
      </c>
      <c r="C2679" s="7" t="n">
        <v>38</v>
      </c>
      <c r="D2679" s="7" t="n">
        <v>42</v>
      </c>
      <c r="E2679" s="7" t="s">
        <v>3747</v>
      </c>
      <c r="G2679" s="5" t="str">
        <f aca="false">IF(ISNUMBER(FIND("old rod:",A2679)),"old rod:",A2679)</f>
        <v>1, 38, 42, TENTACOOL</v>
      </c>
      <c r="I2679" s="5" t="s">
        <v>3609</v>
      </c>
    </row>
    <row r="2680" customFormat="false" ht="12.75" hidden="false" customHeight="true" outlineLevel="0" collapsed="false">
      <c r="A2680" s="5" t="s">
        <v>3350</v>
      </c>
      <c r="B2680" s="7" t="n">
        <v>40</v>
      </c>
      <c r="C2680" s="7" t="n">
        <v>44</v>
      </c>
      <c r="D2680" s="7" t="s">
        <v>3799</v>
      </c>
      <c r="E2680" s="7"/>
      <c r="G2680" s="5" t="str">
        <f aca="false">IF(ISNUMBER(FIND("old rod:",A2680)),"old rod:",A2680)</f>
        <v>40, 44, PSYDUCK</v>
      </c>
      <c r="I2680" s="5" t="s">
        <v>3350</v>
      </c>
    </row>
    <row r="2681" customFormat="false" ht="12.75" hidden="false" customHeight="true" outlineLevel="0" collapsed="false">
      <c r="A2681" s="5" t="s">
        <v>3351</v>
      </c>
      <c r="B2681" s="7" t="n">
        <v>42</v>
      </c>
      <c r="C2681" s="7" t="n">
        <v>46</v>
      </c>
      <c r="D2681" s="7" t="s">
        <v>3897</v>
      </c>
      <c r="E2681" s="7"/>
      <c r="G2681" s="5" t="str">
        <f aca="false">IF(ISNUMBER(FIND("old rod:",A2681)),"old rod:",A2681)</f>
        <v>42, 46, TENTACRUEL</v>
      </c>
      <c r="I2681" s="5" t="s">
        <v>3351</v>
      </c>
    </row>
    <row r="2682" customFormat="false" ht="12.75" hidden="false" customHeight="true" outlineLevel="0" collapsed="false">
      <c r="A2682" s="5" t="s">
        <v>2923</v>
      </c>
      <c r="B2682" s="7" t="n">
        <v>42</v>
      </c>
      <c r="C2682" s="7" t="n">
        <v>46</v>
      </c>
      <c r="D2682" s="7" t="s">
        <v>3801</v>
      </c>
      <c r="E2682" s="7"/>
      <c r="G2682" s="5" t="str">
        <f aca="false">IF(ISNUMBER(FIND("old rod:",A2682)),"old rod:",A2682)</f>
        <v>42, 46, GOLDUCK</v>
      </c>
      <c r="I2682" s="5" t="s">
        <v>2923</v>
      </c>
    </row>
    <row r="2683" customFormat="false" ht="12.75" hidden="false" customHeight="true" outlineLevel="0" collapsed="false">
      <c r="A2683" s="5" t="s">
        <v>2924</v>
      </c>
      <c r="B2683" s="7" t="n">
        <v>44</v>
      </c>
      <c r="C2683" s="7" t="n">
        <v>48</v>
      </c>
      <c r="D2683" s="7" t="s">
        <v>3802</v>
      </c>
      <c r="E2683" s="7"/>
      <c r="G2683" s="5" t="str">
        <f aca="false">IF(ISNUMBER(FIND("old rod:",A2683)),"old rod:",A2683)</f>
        <v>44, 48, VAPOREON</v>
      </c>
      <c r="I2683" s="5" t="s">
        <v>2924</v>
      </c>
    </row>
    <row r="2684" customFormat="false" ht="12.75" hidden="false" customHeight="true" outlineLevel="0" collapsed="false">
      <c r="A2684" s="5" t="s">
        <v>2845</v>
      </c>
      <c r="B2684" s="7" t="n">
        <v>10</v>
      </c>
      <c r="C2684" s="7" t="s">
        <v>3748</v>
      </c>
      <c r="D2684" s="7"/>
      <c r="E2684" s="7"/>
      <c r="G2684" s="5" t="str">
        <f aca="false">IF(ISNUMBER(FIND("old rod:",A2684)),"old rod:",A2684)</f>
        <v>old rod:</v>
      </c>
      <c r="I2684" s="5" t="s">
        <v>3749</v>
      </c>
    </row>
    <row r="2685" customFormat="false" ht="12.75" hidden="false" customHeight="true" outlineLevel="0" collapsed="false">
      <c r="A2685" s="5" t="s">
        <v>1349</v>
      </c>
      <c r="B2685" s="7" t="n">
        <v>19</v>
      </c>
      <c r="C2685" s="7" t="n">
        <v>26</v>
      </c>
      <c r="D2685" s="7" t="s">
        <v>3750</v>
      </c>
      <c r="E2685" s="7"/>
      <c r="G2685" s="5" t="str">
        <f aca="false">IF(ISNUMBER(FIND("old rod:",A2685)),"old rod:",A2685)</f>
        <v>19, 26, MAGIKARP</v>
      </c>
      <c r="I2685" s="5" t="s">
        <v>1349</v>
      </c>
    </row>
    <row r="2686" customFormat="false" ht="12.75" hidden="false" customHeight="true" outlineLevel="0" collapsed="false">
      <c r="A2686" s="5" t="s">
        <v>3352</v>
      </c>
      <c r="B2686" s="7" t="n">
        <v>19</v>
      </c>
      <c r="C2686" s="7" t="n">
        <v>26</v>
      </c>
      <c r="D2686" s="7" t="s">
        <v>3754</v>
      </c>
      <c r="E2686" s="7"/>
      <c r="G2686" s="5" t="str">
        <f aca="false">IF(ISNUMBER(FIND("old rod:",A2686)),"old rod:",A2686)</f>
        <v>19, 26, GYARADOS</v>
      </c>
      <c r="I2686" s="5" t="s">
        <v>3352</v>
      </c>
    </row>
    <row r="2687" customFormat="false" ht="12.75" hidden="false" customHeight="true" outlineLevel="0" collapsed="false">
      <c r="A2687" s="5" t="s">
        <v>2846</v>
      </c>
      <c r="B2687" s="7" t="s">
        <v>2846</v>
      </c>
      <c r="C2687" s="7"/>
      <c r="D2687" s="7"/>
      <c r="E2687" s="7"/>
      <c r="G2687" s="5" t="str">
        <f aca="false">IF(ISNUMBER(FIND("old rod:",A2687)),"old rod:",A2687)</f>
        <v>good rod:</v>
      </c>
      <c r="I2687" s="5" t="s">
        <v>2846</v>
      </c>
    </row>
    <row r="2688" customFormat="false" ht="12.75" hidden="false" customHeight="true" outlineLevel="0" collapsed="false">
      <c r="A2688" s="5" t="s">
        <v>3353</v>
      </c>
      <c r="B2688" s="7" t="n">
        <v>29</v>
      </c>
      <c r="C2688" s="7" t="n">
        <v>33</v>
      </c>
      <c r="D2688" s="7" t="s">
        <v>3755</v>
      </c>
      <c r="E2688" s="7"/>
      <c r="G2688" s="5" t="str">
        <f aca="false">IF(ISNUMBER(FIND("old rod:",A2688)),"old rod:",A2688)</f>
        <v>29, 33, SLOWPOKE</v>
      </c>
      <c r="I2688" s="5" t="s">
        <v>3353</v>
      </c>
    </row>
    <row r="2689" customFormat="false" ht="12.75" hidden="false" customHeight="true" outlineLevel="0" collapsed="false">
      <c r="A2689" s="5" t="s">
        <v>3027</v>
      </c>
      <c r="B2689" s="7" t="n">
        <v>30</v>
      </c>
      <c r="C2689" s="7" t="n">
        <v>35</v>
      </c>
      <c r="D2689" s="7" t="s">
        <v>3751</v>
      </c>
      <c r="E2689" s="7"/>
      <c r="G2689" s="5" t="str">
        <f aca="false">IF(ISNUMBER(FIND("old rod:",A2689)),"old rod:",A2689)</f>
        <v>30, 35, KRABBY</v>
      </c>
      <c r="I2689" s="5" t="s">
        <v>3027</v>
      </c>
    </row>
    <row r="2690" customFormat="false" ht="12.75" hidden="false" customHeight="true" outlineLevel="0" collapsed="false">
      <c r="A2690" s="5" t="s">
        <v>3354</v>
      </c>
      <c r="B2690" s="7" t="n">
        <v>30</v>
      </c>
      <c r="C2690" s="7" t="n">
        <v>35</v>
      </c>
      <c r="D2690" s="7" t="s">
        <v>3799</v>
      </c>
      <c r="E2690" s="7"/>
      <c r="G2690" s="5" t="str">
        <f aca="false">IF(ISNUMBER(FIND("old rod:",A2690)),"old rod:",A2690)</f>
        <v>30, 35, PSYDUCK</v>
      </c>
      <c r="I2690" s="5" t="s">
        <v>3354</v>
      </c>
    </row>
    <row r="2691" customFormat="false" ht="12.75" hidden="false" customHeight="true" outlineLevel="0" collapsed="false">
      <c r="A2691" s="5" t="s">
        <v>2850</v>
      </c>
      <c r="B2691" s="7" t="s">
        <v>2850</v>
      </c>
      <c r="C2691" s="7"/>
      <c r="D2691" s="7"/>
      <c r="E2691" s="7"/>
      <c r="G2691" s="5" t="str">
        <f aca="false">IF(ISNUMBER(FIND("old rod:",A2691)),"old rod:",A2691)</f>
        <v>super rod:</v>
      </c>
      <c r="I2691" s="5" t="s">
        <v>2850</v>
      </c>
    </row>
    <row r="2692" customFormat="false" ht="12.75" hidden="false" customHeight="true" outlineLevel="0" collapsed="false">
      <c r="A2692" s="5" t="s">
        <v>3355</v>
      </c>
      <c r="B2692" s="7" t="n">
        <v>36</v>
      </c>
      <c r="C2692" s="7" t="n">
        <v>40</v>
      </c>
      <c r="D2692" s="7" t="s">
        <v>3800</v>
      </c>
      <c r="E2692" s="7"/>
      <c r="G2692" s="5" t="str">
        <f aca="false">IF(ISNUMBER(FIND("old rod:",A2692)),"old rod:",A2692)</f>
        <v>36, 40, SLOWBRO</v>
      </c>
      <c r="I2692" s="5" t="s">
        <v>3355</v>
      </c>
    </row>
    <row r="2693" customFormat="false" ht="12.75" hidden="false" customHeight="true" outlineLevel="0" collapsed="false">
      <c r="A2693" s="5" t="s">
        <v>3356</v>
      </c>
      <c r="B2693" s="7" t="n">
        <v>36</v>
      </c>
      <c r="C2693" s="7" t="n">
        <v>40</v>
      </c>
      <c r="D2693" s="7" t="s">
        <v>3754</v>
      </c>
      <c r="E2693" s="7"/>
      <c r="G2693" s="5" t="str">
        <f aca="false">IF(ISNUMBER(FIND("old rod:",A2693)),"old rod:",A2693)</f>
        <v>36, 40, GYARADOS</v>
      </c>
      <c r="I2693" s="5" t="s">
        <v>3356</v>
      </c>
    </row>
    <row r="2694" customFormat="false" ht="12.75" hidden="false" customHeight="true" outlineLevel="0" collapsed="false">
      <c r="A2694" s="5" t="s">
        <v>3357</v>
      </c>
      <c r="B2694" s="7" t="n">
        <v>38</v>
      </c>
      <c r="C2694" s="7" t="n">
        <v>42</v>
      </c>
      <c r="D2694" s="7" t="s">
        <v>3801</v>
      </c>
      <c r="E2694" s="7"/>
      <c r="G2694" s="5" t="str">
        <f aca="false">IF(ISNUMBER(FIND("old rod:",A2694)),"old rod:",A2694)</f>
        <v>38, 42, GOLDUCK</v>
      </c>
      <c r="I2694" s="5" t="s">
        <v>3357</v>
      </c>
    </row>
    <row r="2695" customFormat="false" ht="12.75" hidden="false" customHeight="true" outlineLevel="0" collapsed="false">
      <c r="A2695" s="5" t="s">
        <v>3358</v>
      </c>
      <c r="B2695" s="7" t="n">
        <v>38</v>
      </c>
      <c r="C2695" s="7" t="n">
        <v>42</v>
      </c>
      <c r="D2695" s="7" t="s">
        <v>3859</v>
      </c>
      <c r="E2695" s="7"/>
      <c r="G2695" s="5" t="str">
        <f aca="false">IF(ISNUMBER(FIND("old rod:",A2695)),"old rod:",A2695)</f>
        <v>38, 42, KINGLER</v>
      </c>
      <c r="I2695" s="5" t="s">
        <v>3358</v>
      </c>
    </row>
    <row r="2696" customFormat="false" ht="12.75" hidden="false" customHeight="true" outlineLevel="0" collapsed="false">
      <c r="A2696" s="5" t="s">
        <v>3359</v>
      </c>
      <c r="B2696" s="7" t="n">
        <v>40</v>
      </c>
      <c r="C2696" s="7" t="n">
        <v>44</v>
      </c>
      <c r="D2696" s="7" t="s">
        <v>3855</v>
      </c>
      <c r="E2696" s="7"/>
      <c r="G2696" s="5" t="str">
        <f aca="false">IF(ISNUMBER(FIND("old rod:",A2696)),"old rod:",A2696)</f>
        <v>40, 44, SLOWMATE</v>
      </c>
      <c r="I2696" s="5" t="s">
        <v>3359</v>
      </c>
    </row>
    <row r="2697" customFormat="false" ht="12.75" hidden="false" customHeight="true" outlineLevel="0" collapsed="false">
      <c r="A2697" s="5" t="s">
        <v>2536</v>
      </c>
      <c r="B2697" s="7" t="s">
        <v>2536</v>
      </c>
      <c r="C2697" s="7"/>
      <c r="D2697" s="7"/>
      <c r="E2697" s="7"/>
      <c r="G2697" s="5" t="str">
        <f aca="false">IF(ISNUMBER(FIND("old rod:",A2697)),"old rod:",A2697)</f>
        <v>NEW ROUTE</v>
      </c>
      <c r="I2697" s="5" t="s">
        <v>2536</v>
      </c>
    </row>
    <row r="2698" customFormat="false" ht="12.75" hidden="false" customHeight="true" outlineLevel="0" collapsed="false">
      <c r="A2698" s="5" t="s">
        <v>389</v>
      </c>
      <c r="B2698" s="7" t="s">
        <v>389</v>
      </c>
      <c r="C2698" s="7"/>
      <c r="D2698" s="7"/>
      <c r="E2698" s="7"/>
      <c r="G2698" s="5" t="str">
        <f aca="false">IF(ISNUMBER(FIND("old rod:",A2698)),"old rod:",A2698)</f>
        <v>Vermilion City</v>
      </c>
      <c r="I2698" s="5" t="s">
        <v>389</v>
      </c>
    </row>
    <row r="2699" customFormat="false" ht="12.75" hidden="false" customHeight="true" outlineLevel="0" collapsed="false">
      <c r="A2699" s="5" t="s">
        <v>3609</v>
      </c>
      <c r="B2699" s="7" t="n">
        <v>1</v>
      </c>
      <c r="C2699" s="7" t="n">
        <v>38</v>
      </c>
      <c r="D2699" s="7" t="n">
        <v>42</v>
      </c>
      <c r="E2699" s="7" t="s">
        <v>3747</v>
      </c>
      <c r="G2699" s="5" t="str">
        <f aca="false">IF(ISNUMBER(FIND("old rod:",A2699)),"old rod:",A2699)</f>
        <v>1, 38, 42, TENTACOOL</v>
      </c>
      <c r="I2699" s="5" t="s">
        <v>3609</v>
      </c>
    </row>
    <row r="2700" customFormat="false" ht="12.75" hidden="false" customHeight="true" outlineLevel="0" collapsed="false">
      <c r="A2700" s="5" t="s">
        <v>3428</v>
      </c>
      <c r="B2700" s="7" t="n">
        <v>40</v>
      </c>
      <c r="C2700" s="7" t="n">
        <v>44</v>
      </c>
      <c r="D2700" s="7" t="s">
        <v>3897</v>
      </c>
      <c r="E2700" s="7"/>
      <c r="G2700" s="5" t="str">
        <f aca="false">IF(ISNUMBER(FIND("old rod:",A2700)),"old rod:",A2700)</f>
        <v>40, 44, TENTACRUEL</v>
      </c>
      <c r="I2700" s="5" t="s">
        <v>3428</v>
      </c>
    </row>
    <row r="2701" customFormat="false" ht="12.75" hidden="false" customHeight="true" outlineLevel="0" collapsed="false">
      <c r="A2701" s="5" t="s">
        <v>3024</v>
      </c>
      <c r="B2701" s="7" t="n">
        <v>42</v>
      </c>
      <c r="C2701" s="7" t="n">
        <v>46</v>
      </c>
      <c r="D2701" s="7" t="s">
        <v>3860</v>
      </c>
      <c r="E2701" s="7"/>
      <c r="G2701" s="5" t="str">
        <f aca="false">IF(ISNUMBER(FIND("old rod:",A2701)),"old rod:",A2701)</f>
        <v>42, 46, LAPRAS</v>
      </c>
      <c r="I2701" s="5" t="s">
        <v>3024</v>
      </c>
    </row>
    <row r="2702" customFormat="false" ht="12.75" hidden="false" customHeight="true" outlineLevel="0" collapsed="false">
      <c r="A2702" s="5" t="s">
        <v>3429</v>
      </c>
      <c r="B2702" s="7" t="n">
        <v>42</v>
      </c>
      <c r="C2702" s="7" t="n">
        <v>46</v>
      </c>
      <c r="D2702" s="7" t="s">
        <v>3930</v>
      </c>
      <c r="E2702" s="7"/>
      <c r="G2702" s="5" t="str">
        <f aca="false">IF(ISNUMBER(FIND("old rod:",A2702)),"old rod:",A2702)</f>
        <v>42, 46, TENTACATE</v>
      </c>
      <c r="I2702" s="5" t="s">
        <v>3429</v>
      </c>
    </row>
    <row r="2703" customFormat="false" ht="12.75" hidden="false" customHeight="true" outlineLevel="0" collapsed="false">
      <c r="A2703" s="5" t="s">
        <v>3449</v>
      </c>
      <c r="B2703" s="7" t="n">
        <v>44</v>
      </c>
      <c r="C2703" s="7" t="n">
        <v>48</v>
      </c>
      <c r="D2703" s="7" t="s">
        <v>3933</v>
      </c>
      <c r="E2703" s="7"/>
      <c r="G2703" s="5" t="str">
        <f aca="false">IF(ISNUMBER(FIND("old rod:",A2703)),"old rod:",A2703)</f>
        <v>44, 48, LOCHLASS</v>
      </c>
      <c r="I2703" s="5" t="s">
        <v>3449</v>
      </c>
    </row>
    <row r="2704" customFormat="false" ht="12.75" hidden="false" customHeight="true" outlineLevel="0" collapsed="false">
      <c r="A2704" s="5" t="s">
        <v>2845</v>
      </c>
      <c r="B2704" s="7" t="n">
        <v>10</v>
      </c>
      <c r="C2704" s="7" t="s">
        <v>3748</v>
      </c>
      <c r="D2704" s="7"/>
      <c r="E2704" s="7"/>
      <c r="G2704" s="5" t="str">
        <f aca="false">IF(ISNUMBER(FIND("old rod:",A2704)),"old rod:",A2704)</f>
        <v>old rod:</v>
      </c>
      <c r="I2704" s="5" t="s">
        <v>3749</v>
      </c>
    </row>
    <row r="2705" customFormat="false" ht="12.75" hidden="false" customHeight="true" outlineLevel="0" collapsed="false">
      <c r="A2705" s="5" t="s">
        <v>1349</v>
      </c>
      <c r="B2705" s="7" t="n">
        <v>19</v>
      </c>
      <c r="C2705" s="7" t="n">
        <v>26</v>
      </c>
      <c r="D2705" s="7" t="s">
        <v>3750</v>
      </c>
      <c r="E2705" s="7"/>
      <c r="G2705" s="5" t="str">
        <f aca="false">IF(ISNUMBER(FIND("old rod:",A2705)),"old rod:",A2705)</f>
        <v>19, 26, MAGIKARP</v>
      </c>
      <c r="I2705" s="5" t="s">
        <v>1349</v>
      </c>
    </row>
    <row r="2706" customFormat="false" ht="12.75" hidden="false" customHeight="true" outlineLevel="0" collapsed="false">
      <c r="A2706" s="5" t="s">
        <v>3352</v>
      </c>
      <c r="B2706" s="7" t="n">
        <v>19</v>
      </c>
      <c r="C2706" s="7" t="n">
        <v>26</v>
      </c>
      <c r="D2706" s="7" t="s">
        <v>3754</v>
      </c>
      <c r="E2706" s="7"/>
      <c r="G2706" s="5" t="str">
        <f aca="false">IF(ISNUMBER(FIND("old rod:",A2706)),"old rod:",A2706)</f>
        <v>19, 26, GYARADOS</v>
      </c>
      <c r="I2706" s="5" t="s">
        <v>3352</v>
      </c>
    </row>
    <row r="2707" customFormat="false" ht="12.75" hidden="false" customHeight="true" outlineLevel="0" collapsed="false">
      <c r="A2707" s="5" t="s">
        <v>2846</v>
      </c>
      <c r="B2707" s="7" t="s">
        <v>2846</v>
      </c>
      <c r="C2707" s="7"/>
      <c r="D2707" s="7"/>
      <c r="E2707" s="7"/>
      <c r="G2707" s="5" t="str">
        <f aca="false">IF(ISNUMBER(FIND("old rod:",A2707)),"old rod:",A2707)</f>
        <v>good rod:</v>
      </c>
      <c r="I2707" s="5" t="s">
        <v>2846</v>
      </c>
    </row>
    <row r="2708" customFormat="false" ht="12.75" hidden="false" customHeight="true" outlineLevel="0" collapsed="false">
      <c r="A2708" s="5" t="s">
        <v>3430</v>
      </c>
      <c r="B2708" s="7" t="n">
        <v>29</v>
      </c>
      <c r="C2708" s="7" t="n">
        <v>33</v>
      </c>
      <c r="D2708" s="7" t="s">
        <v>3752</v>
      </c>
      <c r="E2708" s="7"/>
      <c r="G2708" s="5" t="str">
        <f aca="false">IF(ISNUMBER(FIND("old rod:",A2708)),"old rod:",A2708)</f>
        <v>29, 33, HORSEA</v>
      </c>
      <c r="I2708" s="5" t="s">
        <v>3430</v>
      </c>
    </row>
    <row r="2709" customFormat="false" ht="12.75" hidden="false" customHeight="true" outlineLevel="0" collapsed="false">
      <c r="A2709" s="5" t="s">
        <v>3450</v>
      </c>
      <c r="B2709" s="7" t="n">
        <v>30</v>
      </c>
      <c r="C2709" s="7" t="n">
        <v>35</v>
      </c>
      <c r="D2709" s="7" t="s">
        <v>3861</v>
      </c>
      <c r="E2709" s="7"/>
      <c r="G2709" s="5" t="str">
        <f aca="false">IF(ISNUMBER(FIND("old rod:",A2709)),"old rod:",A2709)</f>
        <v>30, 35, SHELLDER</v>
      </c>
      <c r="I2709" s="5" t="s">
        <v>3450</v>
      </c>
    </row>
    <row r="2710" customFormat="false" ht="12.75" hidden="false" customHeight="true" outlineLevel="0" collapsed="false">
      <c r="A2710" s="5" t="s">
        <v>3451</v>
      </c>
      <c r="B2710" s="7" t="n">
        <v>30</v>
      </c>
      <c r="C2710" s="7" t="n">
        <v>35</v>
      </c>
      <c r="D2710" s="7" t="s">
        <v>3753</v>
      </c>
      <c r="E2710" s="7"/>
      <c r="G2710" s="5" t="str">
        <f aca="false">IF(ISNUMBER(FIND("old rod:",A2710)),"old rod:",A2710)</f>
        <v>30, 35, STARYU</v>
      </c>
      <c r="I2710" s="5" t="s">
        <v>3451</v>
      </c>
    </row>
    <row r="2711" customFormat="false" ht="12.75" hidden="false" customHeight="true" outlineLevel="0" collapsed="false">
      <c r="A2711" s="5" t="s">
        <v>2850</v>
      </c>
      <c r="B2711" s="7" t="s">
        <v>2850</v>
      </c>
      <c r="C2711" s="7"/>
      <c r="D2711" s="7"/>
      <c r="E2711" s="7"/>
      <c r="G2711" s="5" t="str">
        <f aca="false">IF(ISNUMBER(FIND("old rod:",A2711)),"old rod:",A2711)</f>
        <v>super rod:</v>
      </c>
      <c r="I2711" s="5" t="s">
        <v>2850</v>
      </c>
    </row>
    <row r="2712" customFormat="false" ht="12.75" hidden="false" customHeight="true" outlineLevel="0" collapsed="false">
      <c r="A2712" s="5" t="s">
        <v>3026</v>
      </c>
      <c r="B2712" s="7" t="n">
        <v>29</v>
      </c>
      <c r="C2712" s="7" t="n">
        <v>33</v>
      </c>
      <c r="D2712" s="7" t="s">
        <v>3858</v>
      </c>
      <c r="E2712" s="7"/>
      <c r="G2712" s="5" t="str">
        <f aca="false">IF(ISNUMBER(FIND("old rod:",A2712)),"old rod:",A2712)</f>
        <v>29, 33, SEADRA</v>
      </c>
      <c r="I2712" s="5" t="s">
        <v>3026</v>
      </c>
    </row>
    <row r="2713" customFormat="false" ht="12.75" hidden="false" customHeight="true" outlineLevel="0" collapsed="false">
      <c r="A2713" s="5" t="s">
        <v>3356</v>
      </c>
      <c r="B2713" s="7" t="n">
        <v>36</v>
      </c>
      <c r="C2713" s="7" t="n">
        <v>40</v>
      </c>
      <c r="D2713" s="7" t="s">
        <v>3754</v>
      </c>
      <c r="E2713" s="7"/>
      <c r="G2713" s="5" t="str">
        <f aca="false">IF(ISNUMBER(FIND("old rod:",A2713)),"old rod:",A2713)</f>
        <v>36, 40, GYARADOS</v>
      </c>
      <c r="I2713" s="5" t="s">
        <v>3356</v>
      </c>
    </row>
    <row r="2714" customFormat="false" ht="12.75" hidden="false" customHeight="true" outlineLevel="0" collapsed="false">
      <c r="A2714" s="5" t="s">
        <v>3452</v>
      </c>
      <c r="B2714" s="7" t="n">
        <v>38</v>
      </c>
      <c r="C2714" s="7" t="n">
        <v>42</v>
      </c>
      <c r="D2714" s="7" t="s">
        <v>3934</v>
      </c>
      <c r="E2714" s="7"/>
      <c r="G2714" s="5" t="str">
        <f aca="false">IF(ISNUMBER(FIND("old rod:",A2714)),"old rod:",A2714)</f>
        <v>38, 42, STARMIE</v>
      </c>
      <c r="I2714" s="5" t="s">
        <v>3452</v>
      </c>
    </row>
    <row r="2715" customFormat="false" ht="12.75" hidden="false" customHeight="true" outlineLevel="0" collapsed="false">
      <c r="A2715" s="5" t="s">
        <v>3453</v>
      </c>
      <c r="B2715" s="7" t="n">
        <v>38</v>
      </c>
      <c r="C2715" s="7" t="n">
        <v>42</v>
      </c>
      <c r="D2715" s="7" t="s">
        <v>3841</v>
      </c>
      <c r="E2715" s="7"/>
      <c r="G2715" s="5" t="str">
        <f aca="false">IF(ISNUMBER(FIND("old rod:",A2715)),"old rod:",A2715)</f>
        <v>38, 42, CLOYSTER</v>
      </c>
      <c r="I2715" s="5" t="s">
        <v>3453</v>
      </c>
    </row>
    <row r="2716" customFormat="false" ht="12.75" hidden="false" customHeight="true" outlineLevel="0" collapsed="false">
      <c r="A2716" s="5" t="s">
        <v>3454</v>
      </c>
      <c r="B2716" s="7" t="n">
        <v>38</v>
      </c>
      <c r="C2716" s="7" t="n">
        <v>42</v>
      </c>
      <c r="D2716" s="7" t="s">
        <v>3935</v>
      </c>
      <c r="E2716" s="7"/>
      <c r="G2716" s="5" t="str">
        <f aca="false">IF(ISNUMBER(FIND("old rod:",A2716)),"old rod:",A2716)</f>
        <v>38, 42, STARUS</v>
      </c>
      <c r="I2716" s="5" t="s">
        <v>3454</v>
      </c>
    </row>
    <row r="2717" customFormat="false" ht="12.75" hidden="false" customHeight="true" outlineLevel="0" collapsed="false">
      <c r="A2717" s="5" t="s">
        <v>2536</v>
      </c>
      <c r="B2717" s="7" t="s">
        <v>2536</v>
      </c>
      <c r="C2717" s="7"/>
      <c r="D2717" s="7"/>
      <c r="E2717" s="7"/>
      <c r="G2717" s="5" t="str">
        <f aca="false">IF(ISNUMBER(FIND("old rod:",A2717)),"old rod:",A2717)</f>
        <v>NEW ROUTE</v>
      </c>
      <c r="I2717" s="5" t="s">
        <v>2536</v>
      </c>
    </row>
    <row r="2718" customFormat="false" ht="12.75" hidden="false" customHeight="true" outlineLevel="0" collapsed="false">
      <c r="A2718" s="5" t="s">
        <v>391</v>
      </c>
      <c r="B2718" s="7" t="s">
        <v>391</v>
      </c>
      <c r="C2718" s="7"/>
      <c r="D2718" s="7"/>
      <c r="E2718" s="7"/>
      <c r="G2718" s="5" t="str">
        <f aca="false">IF(ISNUMBER(FIND("old rod:",A2718)),"old rod:",A2718)</f>
        <v>Celadon City</v>
      </c>
      <c r="I2718" s="5" t="s">
        <v>391</v>
      </c>
    </row>
    <row r="2719" customFormat="false" ht="12.75" hidden="false" customHeight="true" outlineLevel="0" collapsed="false">
      <c r="A2719" s="5" t="s">
        <v>3612</v>
      </c>
      <c r="B2719" s="7" t="n">
        <v>1</v>
      </c>
      <c r="C2719" s="7" t="n">
        <v>38</v>
      </c>
      <c r="D2719" s="7" t="n">
        <v>42</v>
      </c>
      <c r="E2719" s="7" t="s">
        <v>3799</v>
      </c>
      <c r="G2719" s="5" t="str">
        <f aca="false">IF(ISNUMBER(FIND("old rod:",A2719)),"old rod:",A2719)</f>
        <v>1, 38, 42, PSYDUCK</v>
      </c>
      <c r="I2719" s="5" t="s">
        <v>3612</v>
      </c>
    </row>
    <row r="2720" customFormat="false" ht="12.75" hidden="false" customHeight="true" outlineLevel="0" collapsed="false">
      <c r="A2720" s="5" t="s">
        <v>3374</v>
      </c>
      <c r="B2720" s="7" t="n">
        <v>40</v>
      </c>
      <c r="C2720" s="7" t="n">
        <v>44</v>
      </c>
      <c r="D2720" s="7" t="s">
        <v>3755</v>
      </c>
      <c r="E2720" s="7"/>
      <c r="G2720" s="5" t="str">
        <f aca="false">IF(ISNUMBER(FIND("old rod:",A2720)),"old rod:",A2720)</f>
        <v>40, 44, SLOWPOKE</v>
      </c>
      <c r="I2720" s="5" t="s">
        <v>3374</v>
      </c>
    </row>
    <row r="2721" customFormat="false" ht="12.75" hidden="false" customHeight="true" outlineLevel="0" collapsed="false">
      <c r="A2721" s="5" t="s">
        <v>3617</v>
      </c>
      <c r="B2721" s="7" t="n">
        <v>42</v>
      </c>
      <c r="C2721" s="7" t="n">
        <v>46</v>
      </c>
      <c r="D2721" s="7" t="s">
        <v>3924</v>
      </c>
      <c r="E2721" s="7"/>
      <c r="G2721" s="5" t="str">
        <f aca="false">IF(ISNUMBER(FIND("old rod:",A2721)),"old rod:",A2721)</f>
        <v>42, 46, KOFFING</v>
      </c>
      <c r="I2721" s="5" t="s">
        <v>3617</v>
      </c>
    </row>
    <row r="2722" customFormat="false" ht="12.75" hidden="false" customHeight="true" outlineLevel="0" collapsed="false">
      <c r="A2722" s="5" t="s">
        <v>2923</v>
      </c>
      <c r="B2722" s="7" t="n">
        <v>42</v>
      </c>
      <c r="C2722" s="7" t="n">
        <v>46</v>
      </c>
      <c r="D2722" s="7" t="s">
        <v>3801</v>
      </c>
      <c r="E2722" s="7"/>
      <c r="G2722" s="5" t="str">
        <f aca="false">IF(ISNUMBER(FIND("old rod:",A2722)),"old rod:",A2722)</f>
        <v>42, 46, GOLDUCK</v>
      </c>
      <c r="I2722" s="5" t="s">
        <v>2923</v>
      </c>
    </row>
    <row r="2723" customFormat="false" ht="12.75" hidden="false" customHeight="true" outlineLevel="0" collapsed="false">
      <c r="A2723" s="5" t="s">
        <v>3618</v>
      </c>
      <c r="B2723" s="7" t="n">
        <v>44</v>
      </c>
      <c r="C2723" s="7" t="n">
        <v>48</v>
      </c>
      <c r="D2723" s="7" t="s">
        <v>3776</v>
      </c>
      <c r="E2723" s="7"/>
      <c r="G2723" s="5" t="str">
        <f aca="false">IF(ISNUMBER(FIND("old rod:",A2723)),"old rod:",A2723)</f>
        <v>44, 48, WEEZING</v>
      </c>
      <c r="I2723" s="5" t="s">
        <v>3618</v>
      </c>
    </row>
    <row r="2724" customFormat="false" ht="12.75" hidden="false" customHeight="true" outlineLevel="0" collapsed="false">
      <c r="A2724" s="5" t="s">
        <v>2845</v>
      </c>
      <c r="B2724" s="7" t="n">
        <v>10</v>
      </c>
      <c r="C2724" s="7" t="s">
        <v>3748</v>
      </c>
      <c r="D2724" s="7"/>
      <c r="E2724" s="7"/>
      <c r="G2724" s="5" t="str">
        <f aca="false">IF(ISNUMBER(FIND("old rod:",A2724)),"old rod:",A2724)</f>
        <v>old rod:</v>
      </c>
      <c r="I2724" s="5" t="s">
        <v>3749</v>
      </c>
    </row>
    <row r="2725" customFormat="false" ht="12.75" hidden="false" customHeight="true" outlineLevel="0" collapsed="false">
      <c r="A2725" s="5" t="s">
        <v>1349</v>
      </c>
      <c r="B2725" s="7" t="n">
        <v>19</v>
      </c>
      <c r="C2725" s="7" t="n">
        <v>26</v>
      </c>
      <c r="D2725" s="7" t="s">
        <v>3750</v>
      </c>
      <c r="E2725" s="7"/>
      <c r="G2725" s="5" t="str">
        <f aca="false">IF(ISNUMBER(FIND("old rod:",A2725)),"old rod:",A2725)</f>
        <v>19, 26, MAGIKARP</v>
      </c>
      <c r="I2725" s="5" t="s">
        <v>1349</v>
      </c>
    </row>
    <row r="2726" customFormat="false" ht="12.75" hidden="false" customHeight="true" outlineLevel="0" collapsed="false">
      <c r="A2726" s="5" t="s">
        <v>3619</v>
      </c>
      <c r="B2726" s="7" t="n">
        <v>19</v>
      </c>
      <c r="C2726" s="7" t="n">
        <v>26</v>
      </c>
      <c r="D2726" s="7" t="s">
        <v>3961</v>
      </c>
      <c r="E2726" s="7"/>
      <c r="G2726" s="5" t="str">
        <f aca="false">IF(ISNUMBER(FIND("old rod:",A2726)),"old rod:",A2726)</f>
        <v>19, 26, GRIMER</v>
      </c>
      <c r="I2726" s="5" t="s">
        <v>3619</v>
      </c>
    </row>
    <row r="2727" customFormat="false" ht="12.75" hidden="false" customHeight="true" outlineLevel="0" collapsed="false">
      <c r="A2727" s="5" t="s">
        <v>2846</v>
      </c>
      <c r="B2727" s="7" t="s">
        <v>2846</v>
      </c>
      <c r="C2727" s="7"/>
      <c r="D2727" s="7"/>
      <c r="E2727" s="7"/>
      <c r="G2727" s="5" t="str">
        <f aca="false">IF(ISNUMBER(FIND("old rod:",A2727)),"old rod:",A2727)</f>
        <v>good rod:</v>
      </c>
      <c r="I2727" s="5" t="s">
        <v>2846</v>
      </c>
    </row>
    <row r="2728" customFormat="false" ht="12.75" hidden="false" customHeight="true" outlineLevel="0" collapsed="false">
      <c r="A2728" s="5" t="s">
        <v>3559</v>
      </c>
      <c r="B2728" s="7" t="n">
        <v>29</v>
      </c>
      <c r="C2728" s="7" t="n">
        <v>33</v>
      </c>
      <c r="D2728" s="7" t="s">
        <v>3750</v>
      </c>
      <c r="E2728" s="7"/>
      <c r="G2728" s="5" t="str">
        <f aca="false">IF(ISNUMBER(FIND("old rod:",A2728)),"old rod:",A2728)</f>
        <v>29, 33, MAGIKARP</v>
      </c>
      <c r="I2728" s="5" t="s">
        <v>3559</v>
      </c>
    </row>
    <row r="2729" customFormat="false" ht="12.75" hidden="false" customHeight="true" outlineLevel="0" collapsed="false">
      <c r="A2729" s="5" t="s">
        <v>3560</v>
      </c>
      <c r="B2729" s="7" t="n">
        <v>30</v>
      </c>
      <c r="C2729" s="7" t="n">
        <v>35</v>
      </c>
      <c r="D2729" s="7" t="s">
        <v>3754</v>
      </c>
      <c r="E2729" s="7"/>
      <c r="G2729" s="5" t="str">
        <f aca="false">IF(ISNUMBER(FIND("old rod:",A2729)),"old rod:",A2729)</f>
        <v>30, 35, GYARADOS</v>
      </c>
      <c r="I2729" s="5" t="s">
        <v>3560</v>
      </c>
    </row>
    <row r="2730" customFormat="false" ht="12.75" hidden="false" customHeight="true" outlineLevel="0" collapsed="false">
      <c r="A2730" s="5" t="s">
        <v>3620</v>
      </c>
      <c r="B2730" s="7" t="n">
        <v>30</v>
      </c>
      <c r="C2730" s="7" t="n">
        <v>35</v>
      </c>
      <c r="D2730" s="7" t="s">
        <v>3777</v>
      </c>
      <c r="E2730" s="7"/>
      <c r="G2730" s="5" t="str">
        <f aca="false">IF(ISNUMBER(FIND("old rod:",A2730)),"old rod:",A2730)</f>
        <v>30, 35, MUK</v>
      </c>
      <c r="I2730" s="5" t="s">
        <v>3620</v>
      </c>
    </row>
    <row r="2731" customFormat="false" ht="12.75" hidden="false" customHeight="true" outlineLevel="0" collapsed="false">
      <c r="A2731" s="5" t="s">
        <v>2850</v>
      </c>
      <c r="B2731" s="7" t="s">
        <v>2850</v>
      </c>
      <c r="C2731" s="7"/>
      <c r="D2731" s="7"/>
      <c r="E2731" s="7"/>
      <c r="G2731" s="5" t="str">
        <f aca="false">IF(ISNUMBER(FIND("old rod:",A2731)),"old rod:",A2731)</f>
        <v>super rod:</v>
      </c>
      <c r="I2731" s="5" t="s">
        <v>2850</v>
      </c>
    </row>
    <row r="2732" customFormat="false" ht="12.75" hidden="false" customHeight="true" outlineLevel="0" collapsed="false">
      <c r="A2732" s="5" t="s">
        <v>3356</v>
      </c>
      <c r="B2732" s="7" t="n">
        <v>36</v>
      </c>
      <c r="C2732" s="7" t="n">
        <v>40</v>
      </c>
      <c r="D2732" s="7" t="s">
        <v>3754</v>
      </c>
      <c r="E2732" s="7"/>
      <c r="G2732" s="5" t="str">
        <f aca="false">IF(ISNUMBER(FIND("old rod:",A2732)),"old rod:",A2732)</f>
        <v>36, 40, GYARADOS</v>
      </c>
      <c r="I2732" s="5" t="s">
        <v>3356</v>
      </c>
    </row>
    <row r="2733" customFormat="false" ht="12.75" hidden="false" customHeight="true" outlineLevel="0" collapsed="false">
      <c r="A2733" s="5" t="s">
        <v>3621</v>
      </c>
      <c r="B2733" s="7" t="n">
        <v>36</v>
      </c>
      <c r="C2733" s="7" t="n">
        <v>40</v>
      </c>
      <c r="D2733" s="7" t="s">
        <v>3777</v>
      </c>
      <c r="E2733" s="7"/>
      <c r="G2733" s="5" t="str">
        <f aca="false">IF(ISNUMBER(FIND("old rod:",A2733)),"old rod:",A2733)</f>
        <v>36, 40, MUK</v>
      </c>
      <c r="I2733" s="5" t="s">
        <v>3621</v>
      </c>
    </row>
    <row r="2734" customFormat="false" ht="12.75" hidden="false" customHeight="true" outlineLevel="0" collapsed="false">
      <c r="A2734" s="5" t="s">
        <v>3622</v>
      </c>
      <c r="B2734" s="7" t="n">
        <v>41</v>
      </c>
      <c r="C2734" s="7" t="n">
        <v>41</v>
      </c>
      <c r="D2734" s="7" t="s">
        <v>3754</v>
      </c>
      <c r="E2734" s="7"/>
      <c r="G2734" s="5" t="str">
        <f aca="false">IF(ISNUMBER(FIND("old rod:",A2734)),"old rod:",A2734)</f>
        <v>41, 41, GYARADOS</v>
      </c>
      <c r="I2734" s="5" t="s">
        <v>3622</v>
      </c>
    </row>
    <row r="2735" customFormat="false" ht="12.75" hidden="false" customHeight="true" outlineLevel="0" collapsed="false">
      <c r="A2735" s="5" t="s">
        <v>3623</v>
      </c>
      <c r="B2735" s="7" t="n">
        <v>38</v>
      </c>
      <c r="C2735" s="7" t="n">
        <v>42</v>
      </c>
      <c r="D2735" s="7" t="s">
        <v>3843</v>
      </c>
      <c r="E2735" s="7"/>
      <c r="G2735" s="5" t="str">
        <f aca="false">IF(ISNUMBER(FIND("old rod:",A2735)),"old rod:",A2735)</f>
        <v>38, 42, HYDRADOS</v>
      </c>
      <c r="I2735" s="5" t="s">
        <v>3623</v>
      </c>
    </row>
    <row r="2736" customFormat="false" ht="12.75" hidden="false" customHeight="true" outlineLevel="0" collapsed="false">
      <c r="A2736" s="5" t="s">
        <v>3624</v>
      </c>
      <c r="B2736" s="7" t="n">
        <v>40</v>
      </c>
      <c r="C2736" s="7" t="n">
        <v>44</v>
      </c>
      <c r="D2736" s="7" t="s">
        <v>3780</v>
      </c>
      <c r="E2736" s="7"/>
      <c r="G2736" s="5" t="str">
        <f aca="false">IF(ISNUMBER(FIND("old rod:",A2736)),"old rod:",A2736)</f>
        <v>40, 44, GUNK</v>
      </c>
      <c r="I2736" s="5" t="s">
        <v>3624</v>
      </c>
    </row>
    <row r="2737" customFormat="false" ht="12.75" hidden="false" customHeight="true" outlineLevel="0" collapsed="false">
      <c r="A2737" s="5" t="s">
        <v>2536</v>
      </c>
      <c r="B2737" s="7" t="s">
        <v>2536</v>
      </c>
      <c r="C2737" s="7"/>
      <c r="D2737" s="7"/>
      <c r="E2737" s="7"/>
      <c r="G2737" s="5" t="str">
        <f aca="false">IF(ISNUMBER(FIND("old rod:",A2737)),"old rod:",A2737)</f>
        <v>NEW ROUTE</v>
      </c>
      <c r="I2737" s="5" t="s">
        <v>2536</v>
      </c>
    </row>
    <row r="2738" customFormat="false" ht="12.75" hidden="false" customHeight="true" outlineLevel="0" collapsed="false">
      <c r="A2738" s="5" t="s">
        <v>393</v>
      </c>
      <c r="B2738" s="7" t="s">
        <v>393</v>
      </c>
      <c r="C2738" s="7"/>
      <c r="D2738" s="7"/>
      <c r="E2738" s="7"/>
      <c r="G2738" s="5" t="str">
        <f aca="false">IF(ISNUMBER(FIND("old rod:",A2738)),"old rod:",A2738)</f>
        <v>Fuchsia City</v>
      </c>
      <c r="I2738" s="5" t="s">
        <v>393</v>
      </c>
    </row>
    <row r="2739" customFormat="false" ht="12.75" hidden="false" customHeight="true" outlineLevel="0" collapsed="false">
      <c r="A2739" s="5" t="s">
        <v>3609</v>
      </c>
      <c r="B2739" s="7" t="n">
        <v>1</v>
      </c>
      <c r="C2739" s="7" t="n">
        <v>38</v>
      </c>
      <c r="D2739" s="7" t="n">
        <v>42</v>
      </c>
      <c r="E2739" s="7" t="s">
        <v>3747</v>
      </c>
      <c r="G2739" s="5" t="str">
        <f aca="false">IF(ISNUMBER(FIND("old rod:",A2739)),"old rod:",A2739)</f>
        <v>1, 38, 42, TENTACOOL</v>
      </c>
      <c r="I2739" s="5" t="s">
        <v>3609</v>
      </c>
    </row>
    <row r="2740" customFormat="false" ht="12.75" hidden="false" customHeight="true" outlineLevel="0" collapsed="false">
      <c r="A2740" s="5" t="s">
        <v>3350</v>
      </c>
      <c r="B2740" s="7" t="n">
        <v>40</v>
      </c>
      <c r="C2740" s="7" t="n">
        <v>44</v>
      </c>
      <c r="D2740" s="7" t="s">
        <v>3799</v>
      </c>
      <c r="E2740" s="7"/>
      <c r="G2740" s="5" t="str">
        <f aca="false">IF(ISNUMBER(FIND("old rod:",A2740)),"old rod:",A2740)</f>
        <v>40, 44, PSYDUCK</v>
      </c>
      <c r="I2740" s="5" t="s">
        <v>3350</v>
      </c>
    </row>
    <row r="2741" customFormat="false" ht="12.75" hidden="false" customHeight="true" outlineLevel="0" collapsed="false">
      <c r="A2741" s="5" t="s">
        <v>3351</v>
      </c>
      <c r="B2741" s="7" t="n">
        <v>42</v>
      </c>
      <c r="C2741" s="7" t="n">
        <v>46</v>
      </c>
      <c r="D2741" s="7" t="s">
        <v>3897</v>
      </c>
      <c r="E2741" s="7"/>
      <c r="G2741" s="5" t="str">
        <f aca="false">IF(ISNUMBER(FIND("old rod:",A2741)),"old rod:",A2741)</f>
        <v>42, 46, TENTACRUEL</v>
      </c>
      <c r="I2741" s="5" t="s">
        <v>3351</v>
      </c>
    </row>
    <row r="2742" customFormat="false" ht="12.75" hidden="false" customHeight="true" outlineLevel="0" collapsed="false">
      <c r="A2742" s="5" t="s">
        <v>2923</v>
      </c>
      <c r="B2742" s="7" t="n">
        <v>42</v>
      </c>
      <c r="C2742" s="7" t="n">
        <v>46</v>
      </c>
      <c r="D2742" s="7" t="s">
        <v>3801</v>
      </c>
      <c r="E2742" s="7"/>
      <c r="G2742" s="5" t="str">
        <f aca="false">IF(ISNUMBER(FIND("old rod:",A2742)),"old rod:",A2742)</f>
        <v>42, 46, GOLDUCK</v>
      </c>
      <c r="I2742" s="5" t="s">
        <v>2923</v>
      </c>
    </row>
    <row r="2743" customFormat="false" ht="12.75" hidden="false" customHeight="true" outlineLevel="0" collapsed="false">
      <c r="A2743" s="5" t="s">
        <v>2924</v>
      </c>
      <c r="B2743" s="7" t="n">
        <v>44</v>
      </c>
      <c r="C2743" s="7" t="n">
        <v>48</v>
      </c>
      <c r="D2743" s="7" t="s">
        <v>3802</v>
      </c>
      <c r="E2743" s="7"/>
      <c r="G2743" s="5" t="str">
        <f aca="false">IF(ISNUMBER(FIND("old rod:",A2743)),"old rod:",A2743)</f>
        <v>44, 48, VAPOREON</v>
      </c>
      <c r="I2743" s="5" t="s">
        <v>2924</v>
      </c>
    </row>
    <row r="2744" customFormat="false" ht="12.75" hidden="false" customHeight="true" outlineLevel="0" collapsed="false">
      <c r="A2744" s="5" t="s">
        <v>2845</v>
      </c>
      <c r="B2744" s="7" t="n">
        <v>10</v>
      </c>
      <c r="C2744" s="7" t="s">
        <v>3748</v>
      </c>
      <c r="D2744" s="7"/>
      <c r="E2744" s="7"/>
      <c r="G2744" s="5" t="str">
        <f aca="false">IF(ISNUMBER(FIND("old rod:",A2744)),"old rod:",A2744)</f>
        <v>old rod:</v>
      </c>
      <c r="I2744" s="5" t="s">
        <v>3749</v>
      </c>
    </row>
    <row r="2745" customFormat="false" ht="12.75" hidden="false" customHeight="true" outlineLevel="0" collapsed="false">
      <c r="A2745" s="5" t="s">
        <v>2114</v>
      </c>
      <c r="B2745" s="7" t="n">
        <v>19</v>
      </c>
      <c r="C2745" s="7" t="n">
        <v>26</v>
      </c>
      <c r="D2745" s="7" t="s">
        <v>3893</v>
      </c>
      <c r="E2745" s="7"/>
      <c r="G2745" s="5" t="str">
        <f aca="false">IF(ISNUMBER(FIND("old rod:",A2745)),"old rod:",A2745)</f>
        <v>19, 26, SEEL</v>
      </c>
      <c r="I2745" s="5" t="s">
        <v>2114</v>
      </c>
    </row>
    <row r="2746" customFormat="false" ht="12.75" hidden="false" customHeight="true" outlineLevel="0" collapsed="false">
      <c r="A2746" s="5" t="s">
        <v>2926</v>
      </c>
      <c r="B2746" s="7" t="n">
        <v>19</v>
      </c>
      <c r="C2746" s="7" t="n">
        <v>26</v>
      </c>
      <c r="D2746" s="7" t="s">
        <v>3803</v>
      </c>
      <c r="E2746" s="7"/>
      <c r="G2746" s="5" t="str">
        <f aca="false">IF(ISNUMBER(FIND("old rod:",A2746)),"old rod:",A2746)</f>
        <v>19, 26, POLIWAG</v>
      </c>
      <c r="I2746" s="5" t="s">
        <v>2926</v>
      </c>
    </row>
    <row r="2747" customFormat="false" ht="12.75" hidden="false" customHeight="true" outlineLevel="0" collapsed="false">
      <c r="A2747" s="5" t="s">
        <v>2846</v>
      </c>
      <c r="B2747" s="7" t="s">
        <v>2846</v>
      </c>
      <c r="C2747" s="7"/>
      <c r="D2747" s="7"/>
      <c r="E2747" s="7"/>
      <c r="G2747" s="5" t="str">
        <f aca="false">IF(ISNUMBER(FIND("old rod:",A2747)),"old rod:",A2747)</f>
        <v>good rod:</v>
      </c>
      <c r="I2747" s="5" t="s">
        <v>2846</v>
      </c>
    </row>
    <row r="2748" customFormat="false" ht="12.75" hidden="false" customHeight="true" outlineLevel="0" collapsed="false">
      <c r="A2748" s="5" t="s">
        <v>3626</v>
      </c>
      <c r="B2748" s="7" t="n">
        <v>29</v>
      </c>
      <c r="C2748" s="7" t="n">
        <v>33</v>
      </c>
      <c r="D2748" s="7" t="s">
        <v>3893</v>
      </c>
      <c r="E2748" s="7"/>
      <c r="G2748" s="5" t="str">
        <f aca="false">IF(ISNUMBER(FIND("old rod:",A2748)),"old rod:",A2748)</f>
        <v>29, 33, SEEL</v>
      </c>
      <c r="I2748" s="5" t="s">
        <v>3626</v>
      </c>
    </row>
    <row r="2749" customFormat="false" ht="12.75" hidden="false" customHeight="true" outlineLevel="0" collapsed="false">
      <c r="A2749" s="5" t="s">
        <v>2928</v>
      </c>
      <c r="B2749" s="7" t="n">
        <v>30</v>
      </c>
      <c r="C2749" s="7" t="n">
        <v>35</v>
      </c>
      <c r="D2749" s="7" t="s">
        <v>3803</v>
      </c>
      <c r="E2749" s="7"/>
      <c r="G2749" s="5" t="str">
        <f aca="false">IF(ISNUMBER(FIND("old rod:",A2749)),"old rod:",A2749)</f>
        <v>30, 35, POLIWAG</v>
      </c>
      <c r="I2749" s="5" t="s">
        <v>2928</v>
      </c>
    </row>
    <row r="2750" customFormat="false" ht="12.75" hidden="false" customHeight="true" outlineLevel="0" collapsed="false">
      <c r="A2750" s="5" t="s">
        <v>2929</v>
      </c>
      <c r="B2750" s="7" t="n">
        <v>30</v>
      </c>
      <c r="C2750" s="7" t="n">
        <v>35</v>
      </c>
      <c r="D2750" s="7" t="s">
        <v>3804</v>
      </c>
      <c r="E2750" s="7"/>
      <c r="G2750" s="5" t="str">
        <f aca="false">IF(ISNUMBER(FIND("old rod:",A2750)),"old rod:",A2750)</f>
        <v>30, 35, GOLDEEN</v>
      </c>
      <c r="I2750" s="5" t="s">
        <v>2929</v>
      </c>
    </row>
    <row r="2751" customFormat="false" ht="12.75" hidden="false" customHeight="true" outlineLevel="0" collapsed="false">
      <c r="A2751" s="5" t="s">
        <v>2850</v>
      </c>
      <c r="B2751" s="7" t="s">
        <v>2850</v>
      </c>
      <c r="C2751" s="7"/>
      <c r="D2751" s="7"/>
      <c r="E2751" s="7"/>
      <c r="G2751" s="5" t="str">
        <f aca="false">IF(ISNUMBER(FIND("old rod:",A2751)),"old rod:",A2751)</f>
        <v>super rod:</v>
      </c>
      <c r="I2751" s="5" t="s">
        <v>2850</v>
      </c>
    </row>
    <row r="2752" customFormat="false" ht="12.75" hidden="false" customHeight="true" outlineLevel="0" collapsed="false">
      <c r="A2752" s="5" t="s">
        <v>2930</v>
      </c>
      <c r="B2752" s="7" t="n">
        <v>36</v>
      </c>
      <c r="C2752" s="7" t="n">
        <v>40</v>
      </c>
      <c r="D2752" s="7" t="s">
        <v>3805</v>
      </c>
      <c r="E2752" s="7"/>
      <c r="G2752" s="5" t="str">
        <f aca="false">IF(ISNUMBER(FIND("old rod:",A2752)),"old rod:",A2752)</f>
        <v>36, 40, POLIWHIRL</v>
      </c>
      <c r="I2752" s="5" t="s">
        <v>2930</v>
      </c>
    </row>
    <row r="2753" customFormat="false" ht="12.75" hidden="false" customHeight="true" outlineLevel="0" collapsed="false">
      <c r="A2753" s="5" t="s">
        <v>3627</v>
      </c>
      <c r="B2753" s="7" t="n">
        <v>36</v>
      </c>
      <c r="C2753" s="7" t="n">
        <v>40</v>
      </c>
      <c r="D2753" s="7" t="s">
        <v>3852</v>
      </c>
      <c r="E2753" s="7"/>
      <c r="G2753" s="5" t="str">
        <f aca="false">IF(ISNUMBER(FIND("old rod:",A2753)),"old rod:",A2753)</f>
        <v>36, 40, DEWGONG</v>
      </c>
      <c r="I2753" s="5" t="s">
        <v>3627</v>
      </c>
    </row>
    <row r="2754" customFormat="false" ht="12.75" hidden="false" customHeight="true" outlineLevel="0" collapsed="false">
      <c r="A2754" s="5" t="s">
        <v>3628</v>
      </c>
      <c r="B2754" s="7" t="n">
        <v>38</v>
      </c>
      <c r="C2754" s="7" t="n">
        <v>42</v>
      </c>
      <c r="D2754" s="7" t="s">
        <v>3806</v>
      </c>
      <c r="E2754" s="7"/>
      <c r="G2754" s="5" t="str">
        <f aca="false">IF(ISNUMBER(FIND("old rod:",A2754)),"old rod:",A2754)</f>
        <v>38, 42, SEAKING</v>
      </c>
      <c r="I2754" s="5" t="s">
        <v>3628</v>
      </c>
    </row>
    <row r="2755" customFormat="false" ht="12.75" hidden="false" customHeight="true" outlineLevel="0" collapsed="false">
      <c r="A2755" s="5" t="s">
        <v>3378</v>
      </c>
      <c r="B2755" s="7" t="n">
        <v>38</v>
      </c>
      <c r="C2755" s="7" t="n">
        <v>42</v>
      </c>
      <c r="D2755" s="7" t="s">
        <v>3923</v>
      </c>
      <c r="E2755" s="7"/>
      <c r="G2755" s="5" t="str">
        <f aca="false">IF(ISNUMBER(FIND("old rod:",A2755)),"old rod:",A2755)</f>
        <v>38, 42, POLIWRATH</v>
      </c>
      <c r="I2755" s="5" t="s">
        <v>3378</v>
      </c>
    </row>
    <row r="2756" customFormat="false" ht="12.75" hidden="false" customHeight="true" outlineLevel="0" collapsed="false">
      <c r="A2756" s="5" t="s">
        <v>3629</v>
      </c>
      <c r="B2756" s="7" t="n">
        <v>40</v>
      </c>
      <c r="C2756" s="7" t="n">
        <v>44</v>
      </c>
      <c r="D2756" s="7" t="s">
        <v>3959</v>
      </c>
      <c r="E2756" s="7"/>
      <c r="G2756" s="5" t="str">
        <f aca="false">IF(ISNUMBER(FIND("old rod:",A2756)),"old rod:",A2756)</f>
        <v>40, 44, SEAREX</v>
      </c>
      <c r="I2756" s="5" t="s">
        <v>3629</v>
      </c>
    </row>
    <row r="2757" customFormat="false" ht="12.75" hidden="false" customHeight="true" outlineLevel="0" collapsed="false">
      <c r="A2757" s="5" t="s">
        <v>2536</v>
      </c>
      <c r="B2757" s="7" t="s">
        <v>2536</v>
      </c>
      <c r="C2757" s="7"/>
      <c r="D2757" s="7"/>
      <c r="E2757" s="7"/>
      <c r="G2757" s="5" t="str">
        <f aca="false">IF(ISNUMBER(FIND("old rod:",A2757)),"old rod:",A2757)</f>
        <v>NEW ROUTE</v>
      </c>
      <c r="I2757" s="5" t="s">
        <v>2536</v>
      </c>
    </row>
    <row r="2758" customFormat="false" ht="12.75" hidden="false" customHeight="true" outlineLevel="0" collapsed="false">
      <c r="A2758" s="5" t="s">
        <v>395</v>
      </c>
      <c r="B2758" s="7" t="s">
        <v>395</v>
      </c>
      <c r="C2758" s="7"/>
      <c r="D2758" s="7"/>
      <c r="E2758" s="7"/>
      <c r="G2758" s="5" t="str">
        <f aca="false">IF(ISNUMBER(FIND("old rod:",A2758)),"old rod:",A2758)</f>
        <v>Cinnabar Island</v>
      </c>
      <c r="I2758" s="5" t="s">
        <v>395</v>
      </c>
    </row>
    <row r="2759" customFormat="false" ht="12.75" hidden="false" customHeight="true" outlineLevel="0" collapsed="false">
      <c r="A2759" s="5" t="s">
        <v>3631</v>
      </c>
      <c r="B2759" s="7" t="n">
        <v>1</v>
      </c>
      <c r="C2759" s="7" t="n">
        <v>40</v>
      </c>
      <c r="D2759" s="7" t="n">
        <v>44</v>
      </c>
      <c r="E2759" s="7" t="s">
        <v>3852</v>
      </c>
      <c r="G2759" s="5" t="str">
        <f aca="false">IF(ISNUMBER(FIND("old rod:",A2759)),"old rod:",A2759)</f>
        <v>1, 40, 44, DEWGONG</v>
      </c>
      <c r="I2759" s="5" t="s">
        <v>3631</v>
      </c>
    </row>
    <row r="2760" customFormat="false" ht="12.75" hidden="false" customHeight="true" outlineLevel="0" collapsed="false">
      <c r="A2760" s="5" t="s">
        <v>3024</v>
      </c>
      <c r="B2760" s="7" t="n">
        <v>42</v>
      </c>
      <c r="C2760" s="7" t="n">
        <v>46</v>
      </c>
      <c r="D2760" s="7" t="s">
        <v>3860</v>
      </c>
      <c r="E2760" s="7"/>
      <c r="G2760" s="5" t="str">
        <f aca="false">IF(ISNUMBER(FIND("old rod:",A2760)),"old rod:",A2760)</f>
        <v>42, 46, LAPRAS</v>
      </c>
      <c r="I2760" s="5" t="s">
        <v>3024</v>
      </c>
    </row>
    <row r="2761" customFormat="false" ht="12.75" hidden="false" customHeight="true" outlineLevel="0" collapsed="false">
      <c r="A2761" s="5" t="s">
        <v>3013</v>
      </c>
      <c r="B2761" s="7" t="n">
        <v>44</v>
      </c>
      <c r="C2761" s="7" t="n">
        <v>47</v>
      </c>
      <c r="D2761" s="7" t="s">
        <v>3856</v>
      </c>
      <c r="E2761" s="7"/>
      <c r="G2761" s="5" t="str">
        <f aca="false">IF(ISNUMBER(FIND("old rod:",A2761)),"old rod:",A2761)</f>
        <v>44, 47, PRECIPED</v>
      </c>
      <c r="I2761" s="5" t="s">
        <v>3013</v>
      </c>
    </row>
    <row r="2762" customFormat="false" ht="12.75" hidden="false" customHeight="true" outlineLevel="0" collapsed="false">
      <c r="A2762" s="5" t="s">
        <v>3632</v>
      </c>
      <c r="B2762" s="7" t="n">
        <v>44</v>
      </c>
      <c r="C2762" s="7" t="n">
        <v>47</v>
      </c>
      <c r="D2762" s="7" t="s">
        <v>3930</v>
      </c>
      <c r="E2762" s="7"/>
      <c r="G2762" s="5" t="str">
        <f aca="false">IF(ISNUMBER(FIND("old rod:",A2762)),"old rod:",A2762)</f>
        <v>44, 47, TENTACATE</v>
      </c>
      <c r="I2762" s="5" t="s">
        <v>3632</v>
      </c>
    </row>
    <row r="2763" customFormat="false" ht="12.75" hidden="false" customHeight="true" outlineLevel="0" collapsed="false">
      <c r="A2763" s="5" t="s">
        <v>3633</v>
      </c>
      <c r="B2763" s="7" t="n">
        <v>45</v>
      </c>
      <c r="C2763" s="7" t="n">
        <v>50</v>
      </c>
      <c r="D2763" s="7" t="s">
        <v>3933</v>
      </c>
      <c r="E2763" s="7"/>
      <c r="G2763" s="5" t="str">
        <f aca="false">IF(ISNUMBER(FIND("old rod:",A2763)),"old rod:",A2763)</f>
        <v>45, 50, LOCHLASS</v>
      </c>
      <c r="I2763" s="5" t="s">
        <v>3633</v>
      </c>
    </row>
    <row r="2764" customFormat="false" ht="12.75" hidden="false" customHeight="true" outlineLevel="0" collapsed="false">
      <c r="A2764" s="5" t="s">
        <v>2845</v>
      </c>
      <c r="B2764" s="7" t="n">
        <v>10</v>
      </c>
      <c r="C2764" s="7" t="s">
        <v>3748</v>
      </c>
      <c r="D2764" s="7"/>
      <c r="E2764" s="7"/>
      <c r="G2764" s="5" t="str">
        <f aca="false">IF(ISNUMBER(FIND("old rod:",A2764)),"old rod:",A2764)</f>
        <v>old rod:</v>
      </c>
      <c r="I2764" s="5" t="s">
        <v>3749</v>
      </c>
    </row>
    <row r="2765" customFormat="false" ht="12.75" hidden="false" customHeight="true" outlineLevel="0" collapsed="false">
      <c r="A2765" s="5" t="s">
        <v>2122</v>
      </c>
      <c r="B2765" s="7" t="n">
        <v>24</v>
      </c>
      <c r="C2765" s="7" t="n">
        <v>30</v>
      </c>
      <c r="D2765" s="7" t="s">
        <v>3752</v>
      </c>
      <c r="E2765" s="7"/>
      <c r="G2765" s="5" t="str">
        <f aca="false">IF(ISNUMBER(FIND("old rod:",A2765)),"old rod:",A2765)</f>
        <v>24, 30, HORSEA</v>
      </c>
      <c r="I2765" s="5" t="s">
        <v>2122</v>
      </c>
    </row>
    <row r="2766" customFormat="false" ht="12.75" hidden="false" customHeight="true" outlineLevel="0" collapsed="false">
      <c r="A2766" s="5" t="s">
        <v>3634</v>
      </c>
      <c r="B2766" s="7" t="n">
        <v>24</v>
      </c>
      <c r="C2766" s="7" t="n">
        <v>30</v>
      </c>
      <c r="D2766" s="7" t="s">
        <v>3861</v>
      </c>
      <c r="E2766" s="7"/>
      <c r="G2766" s="5" t="str">
        <f aca="false">IF(ISNUMBER(FIND("old rod:",A2766)),"old rod:",A2766)</f>
        <v>24, 30, SHELLDER</v>
      </c>
      <c r="I2766" s="5" t="s">
        <v>3634</v>
      </c>
    </row>
    <row r="2767" customFormat="false" ht="12.75" hidden="false" customHeight="true" outlineLevel="0" collapsed="false">
      <c r="A2767" s="5" t="s">
        <v>2846</v>
      </c>
      <c r="B2767" s="7" t="s">
        <v>2846</v>
      </c>
      <c r="C2767" s="7"/>
      <c r="D2767" s="7"/>
      <c r="E2767" s="7"/>
      <c r="G2767" s="5" t="str">
        <f aca="false">IF(ISNUMBER(FIND("old rod:",A2767)),"old rod:",A2767)</f>
        <v>good rod:</v>
      </c>
      <c r="I2767" s="5" t="s">
        <v>2846</v>
      </c>
    </row>
    <row r="2768" customFormat="false" ht="12.75" hidden="false" customHeight="true" outlineLevel="0" collapsed="false">
      <c r="A2768" s="5" t="s">
        <v>3635</v>
      </c>
      <c r="B2768" s="7" t="n">
        <v>35</v>
      </c>
      <c r="C2768" s="7" t="n">
        <v>40</v>
      </c>
      <c r="D2768" s="7" t="s">
        <v>3858</v>
      </c>
      <c r="E2768" s="7"/>
      <c r="G2768" s="5" t="str">
        <f aca="false">IF(ISNUMBER(FIND("old rod:",A2768)),"old rod:",A2768)</f>
        <v>35, 40, SEADRA</v>
      </c>
      <c r="I2768" s="5" t="s">
        <v>3635</v>
      </c>
    </row>
    <row r="2769" customFormat="false" ht="12.75" hidden="false" customHeight="true" outlineLevel="0" collapsed="false">
      <c r="A2769" s="5" t="s">
        <v>3636</v>
      </c>
      <c r="B2769" s="7" t="n">
        <v>37</v>
      </c>
      <c r="C2769" s="7" t="n">
        <v>42</v>
      </c>
      <c r="D2769" s="7" t="s">
        <v>3751</v>
      </c>
      <c r="E2769" s="7"/>
      <c r="G2769" s="5" t="str">
        <f aca="false">IF(ISNUMBER(FIND("old rod:",A2769)),"old rod:",A2769)</f>
        <v>37, 42, KRABBY</v>
      </c>
      <c r="I2769" s="5" t="s">
        <v>3636</v>
      </c>
    </row>
    <row r="2770" customFormat="false" ht="12.75" hidden="false" customHeight="true" outlineLevel="0" collapsed="false">
      <c r="A2770" s="5" t="s">
        <v>3637</v>
      </c>
      <c r="B2770" s="7" t="n">
        <v>37</v>
      </c>
      <c r="C2770" s="7" t="n">
        <v>42</v>
      </c>
      <c r="D2770" s="7" t="s">
        <v>3841</v>
      </c>
      <c r="E2770" s="7"/>
      <c r="G2770" s="5" t="str">
        <f aca="false">IF(ISNUMBER(FIND("old rod:",A2770)),"old rod:",A2770)</f>
        <v>37, 42, CLOYSTER</v>
      </c>
      <c r="I2770" s="5" t="s">
        <v>3637</v>
      </c>
    </row>
    <row r="2771" customFormat="false" ht="12.75" hidden="false" customHeight="true" outlineLevel="0" collapsed="false">
      <c r="A2771" s="5" t="s">
        <v>2850</v>
      </c>
      <c r="B2771" s="7" t="s">
        <v>2850</v>
      </c>
      <c r="C2771" s="7"/>
      <c r="D2771" s="7"/>
      <c r="E2771" s="7"/>
      <c r="G2771" s="5" t="str">
        <f aca="false">IF(ISNUMBER(FIND("old rod:",A2771)),"old rod:",A2771)</f>
        <v>super rod:</v>
      </c>
      <c r="I2771" s="5" t="s">
        <v>2850</v>
      </c>
    </row>
    <row r="2772" customFormat="false" ht="12.75" hidden="false" customHeight="true" outlineLevel="0" collapsed="false">
      <c r="A2772" s="5" t="s">
        <v>3638</v>
      </c>
      <c r="B2772" s="7" t="n">
        <v>39</v>
      </c>
      <c r="C2772" s="7" t="n">
        <v>45</v>
      </c>
      <c r="D2772" s="7" t="s">
        <v>3842</v>
      </c>
      <c r="E2772" s="7"/>
      <c r="G2772" s="5" t="str">
        <f aca="false">IF(ISNUMBER(FIND("old rod:",A2772)),"old rod:",A2772)</f>
        <v>39, 45, KINGDRA</v>
      </c>
      <c r="I2772" s="5" t="s">
        <v>3638</v>
      </c>
    </row>
    <row r="2773" customFormat="false" ht="12.75" hidden="false" customHeight="true" outlineLevel="0" collapsed="false">
      <c r="A2773" s="5" t="s">
        <v>3639</v>
      </c>
      <c r="B2773" s="7" t="n">
        <v>39</v>
      </c>
      <c r="C2773" s="7" t="n">
        <v>45</v>
      </c>
      <c r="D2773" s="7" t="s">
        <v>3859</v>
      </c>
      <c r="E2773" s="7"/>
      <c r="G2773" s="5" t="str">
        <f aca="false">IF(ISNUMBER(FIND("old rod:",A2773)),"old rod:",A2773)</f>
        <v>39, 45, KINGLER</v>
      </c>
      <c r="I2773" s="5" t="s">
        <v>3639</v>
      </c>
    </row>
    <row r="2774" customFormat="false" ht="12.75" hidden="false" customHeight="true" outlineLevel="0" collapsed="false">
      <c r="A2774" s="5" t="s">
        <v>3640</v>
      </c>
      <c r="B2774" s="7" t="n">
        <v>43</v>
      </c>
      <c r="C2774" s="7" t="n">
        <v>46</v>
      </c>
      <c r="D2774" s="7" t="s">
        <v>3845</v>
      </c>
      <c r="E2774" s="7"/>
      <c r="G2774" s="5" t="str">
        <f aca="false">IF(ISNUMBER(FIND("old rod:",A2774)),"old rod:",A2774)</f>
        <v>43, 46, AN'ENEMY</v>
      </c>
      <c r="I2774" s="5" t="s">
        <v>3640</v>
      </c>
    </row>
    <row r="2775" customFormat="false" ht="12.75" hidden="false" customHeight="true" outlineLevel="0" collapsed="false">
      <c r="A2775" s="5" t="s">
        <v>3641</v>
      </c>
      <c r="B2775" s="7" t="n">
        <v>43</v>
      </c>
      <c r="C2775" s="7" t="n">
        <v>46</v>
      </c>
      <c r="D2775" s="7" t="s">
        <v>3862</v>
      </c>
      <c r="E2775" s="7"/>
      <c r="G2775" s="5" t="str">
        <f aca="false">IF(ISNUMBER(FIND("old rod:",A2775)),"old rod:",A2775)</f>
        <v>43, 46, KRAKLAW</v>
      </c>
      <c r="I2775" s="5" t="s">
        <v>3641</v>
      </c>
    </row>
    <row r="2776" customFormat="false" ht="12.75" hidden="false" customHeight="true" outlineLevel="0" collapsed="false">
      <c r="A2776" s="5" t="s">
        <v>3642</v>
      </c>
      <c r="B2776" s="7" t="n">
        <v>45</v>
      </c>
      <c r="C2776" s="7" t="n">
        <v>52</v>
      </c>
      <c r="D2776" s="7" t="s">
        <v>3844</v>
      </c>
      <c r="E2776" s="7"/>
      <c r="G2776" s="5" t="str">
        <f aca="false">IF(ISNUMBER(FIND("old rod:",A2776)),"old rod:",A2776)</f>
        <v>45, 52, LORDRA</v>
      </c>
      <c r="I2776" s="5" t="s">
        <v>3642</v>
      </c>
    </row>
    <row r="2777" customFormat="false" ht="12.75" hidden="false" customHeight="true" outlineLevel="0" collapsed="false">
      <c r="A2777" s="5" t="s">
        <v>2536</v>
      </c>
      <c r="B2777" s="7" t="s">
        <v>2536</v>
      </c>
      <c r="C2777" s="7"/>
      <c r="D2777" s="7"/>
      <c r="E2777" s="7"/>
      <c r="G2777" s="5" t="str">
        <f aca="false">IF(ISNUMBER(FIND("old rod:",A2777)),"old rod:",A2777)</f>
        <v>NEW ROUTE</v>
      </c>
      <c r="I2777" s="5" t="s">
        <v>2536</v>
      </c>
    </row>
    <row r="2778" customFormat="false" ht="12.75" hidden="false" customHeight="true" outlineLevel="0" collapsed="false">
      <c r="A2778" s="5" t="s">
        <v>403</v>
      </c>
      <c r="B2778" s="7" t="s">
        <v>403</v>
      </c>
      <c r="C2778" s="7"/>
      <c r="D2778" s="7"/>
      <c r="E2778" s="7"/>
      <c r="G2778" s="5" t="str">
        <f aca="false">IF(ISNUMBER(FIND("old rod:",A2778)),"old rod:",A2778)</f>
        <v>One Island</v>
      </c>
      <c r="I2778" s="5" t="s">
        <v>403</v>
      </c>
    </row>
    <row r="2779" customFormat="false" ht="12.75" hidden="false" customHeight="true" outlineLevel="0" collapsed="false">
      <c r="A2779" s="5" t="s">
        <v>3644</v>
      </c>
      <c r="B2779" s="7" t="n">
        <v>1</v>
      </c>
      <c r="C2779" s="7" t="n">
        <v>5</v>
      </c>
      <c r="D2779" s="7" t="n">
        <v>20</v>
      </c>
      <c r="E2779" s="7" t="s">
        <v>3747</v>
      </c>
      <c r="G2779" s="5" t="str">
        <f aca="false">IF(ISNUMBER(FIND("old rod:",A2779)),"old rod:",A2779)</f>
        <v>1, 5, 20, TENTACOOL</v>
      </c>
      <c r="I2779" s="5" t="s">
        <v>3644</v>
      </c>
    </row>
    <row r="2780" customFormat="false" ht="12.75" hidden="false" customHeight="true" outlineLevel="0" collapsed="false">
      <c r="A2780" s="5" t="s">
        <v>3173</v>
      </c>
      <c r="B2780" s="7" t="n">
        <v>20</v>
      </c>
      <c r="C2780" s="7" t="n">
        <v>35</v>
      </c>
      <c r="D2780" s="7" t="s">
        <v>3747</v>
      </c>
      <c r="E2780" s="7"/>
      <c r="G2780" s="5" t="str">
        <f aca="false">IF(ISNUMBER(FIND("old rod:",A2780)),"old rod:",A2780)</f>
        <v>20, 35, TENTACOOL</v>
      </c>
      <c r="I2780" s="5" t="s">
        <v>3173</v>
      </c>
    </row>
    <row r="2781" customFormat="false" ht="12.75" hidden="false" customHeight="true" outlineLevel="0" collapsed="false">
      <c r="A2781" s="5" t="s">
        <v>2844</v>
      </c>
      <c r="B2781" s="7" t="n">
        <v>35</v>
      </c>
      <c r="C2781" s="7" t="n">
        <v>40</v>
      </c>
      <c r="D2781" s="7" t="s">
        <v>3747</v>
      </c>
      <c r="E2781" s="7"/>
      <c r="G2781" s="5" t="str">
        <f aca="false">IF(ISNUMBER(FIND("old rod:",A2781)),"old rod:",A2781)</f>
        <v>35, 40, TENTACOOL</v>
      </c>
      <c r="I2781" s="5" t="s">
        <v>2844</v>
      </c>
    </row>
    <row r="2782" customFormat="false" ht="12.75" hidden="false" customHeight="true" outlineLevel="0" collapsed="false">
      <c r="A2782" s="5" t="s">
        <v>3231</v>
      </c>
      <c r="B2782" s="7" t="n">
        <v>35</v>
      </c>
      <c r="C2782" s="7" t="n">
        <v>40</v>
      </c>
      <c r="D2782" s="7" t="s">
        <v>3897</v>
      </c>
      <c r="E2782" s="7"/>
      <c r="G2782" s="5" t="str">
        <f aca="false">IF(ISNUMBER(FIND("old rod:",A2782)),"old rod:",A2782)</f>
        <v>35, 40, TENTACRUEL</v>
      </c>
      <c r="I2782" s="5" t="s">
        <v>3231</v>
      </c>
    </row>
    <row r="2783" customFormat="false" ht="12.75" hidden="false" customHeight="true" outlineLevel="0" collapsed="false">
      <c r="A2783" s="5" t="s">
        <v>3231</v>
      </c>
      <c r="B2783" s="7" t="n">
        <v>35</v>
      </c>
      <c r="C2783" s="7" t="n">
        <v>40</v>
      </c>
      <c r="D2783" s="7" t="s">
        <v>3897</v>
      </c>
      <c r="E2783" s="7"/>
      <c r="G2783" s="5" t="str">
        <f aca="false">IF(ISNUMBER(FIND("old rod:",A2783)),"old rod:",A2783)</f>
        <v>35, 40, TENTACRUEL</v>
      </c>
      <c r="I2783" s="5" t="s">
        <v>3231</v>
      </c>
    </row>
    <row r="2784" customFormat="false" ht="12.75" hidden="false" customHeight="true" outlineLevel="0" collapsed="false">
      <c r="A2784" s="5" t="s">
        <v>2845</v>
      </c>
      <c r="B2784" s="7" t="n">
        <v>10</v>
      </c>
      <c r="C2784" s="7" t="s">
        <v>3748</v>
      </c>
      <c r="D2784" s="7"/>
      <c r="E2784" s="7"/>
      <c r="G2784" s="5" t="str">
        <f aca="false">IF(ISNUMBER(FIND("old rod:",A2784)),"old rod:",A2784)</f>
        <v>old rod:</v>
      </c>
      <c r="I2784" s="5" t="s">
        <v>3749</v>
      </c>
    </row>
    <row r="2785" customFormat="false" ht="12.75" hidden="false" customHeight="true" outlineLevel="0" collapsed="false">
      <c r="A2785" s="5" t="s">
        <v>1266</v>
      </c>
      <c r="B2785" s="7" t="n">
        <v>5</v>
      </c>
      <c r="C2785" s="7" t="n">
        <v>5</v>
      </c>
      <c r="D2785" s="7" t="s">
        <v>3750</v>
      </c>
      <c r="E2785" s="7"/>
      <c r="G2785" s="5" t="str">
        <f aca="false">IF(ISNUMBER(FIND("old rod:",A2785)),"old rod:",A2785)</f>
        <v>5, 5, MAGIKARP</v>
      </c>
      <c r="I2785" s="5" t="s">
        <v>1266</v>
      </c>
    </row>
    <row r="2786" customFormat="false" ht="12.75" hidden="false" customHeight="true" outlineLevel="0" collapsed="false">
      <c r="A2786" s="5" t="s">
        <v>1266</v>
      </c>
      <c r="B2786" s="7" t="n">
        <v>5</v>
      </c>
      <c r="C2786" s="7" t="n">
        <v>5</v>
      </c>
      <c r="D2786" s="7" t="s">
        <v>3750</v>
      </c>
      <c r="E2786" s="7"/>
      <c r="G2786" s="5" t="str">
        <f aca="false">IF(ISNUMBER(FIND("old rod:",A2786)),"old rod:",A2786)</f>
        <v>5, 5, MAGIKARP</v>
      </c>
      <c r="I2786" s="5" t="s">
        <v>1266</v>
      </c>
    </row>
    <row r="2787" customFormat="false" ht="12.75" hidden="false" customHeight="true" outlineLevel="0" collapsed="false">
      <c r="A2787" s="5" t="s">
        <v>2846</v>
      </c>
      <c r="B2787" s="7" t="s">
        <v>2846</v>
      </c>
      <c r="C2787" s="7"/>
      <c r="D2787" s="7"/>
      <c r="E2787" s="7"/>
      <c r="G2787" s="5" t="str">
        <f aca="false">IF(ISNUMBER(FIND("old rod:",A2787)),"old rod:",A2787)</f>
        <v>good rod:</v>
      </c>
      <c r="I2787" s="5" t="s">
        <v>2846</v>
      </c>
    </row>
    <row r="2788" customFormat="false" ht="12.75" hidden="false" customHeight="true" outlineLevel="0" collapsed="false">
      <c r="A2788" s="5" t="s">
        <v>2847</v>
      </c>
      <c r="B2788" s="7" t="n">
        <v>5</v>
      </c>
      <c r="C2788" s="7" t="n">
        <v>15</v>
      </c>
      <c r="D2788" s="7" t="s">
        <v>3751</v>
      </c>
      <c r="E2788" s="7"/>
      <c r="G2788" s="5" t="str">
        <f aca="false">IF(ISNUMBER(FIND("old rod:",A2788)),"old rod:",A2788)</f>
        <v>5, 15, KRABBY</v>
      </c>
      <c r="I2788" s="5" t="s">
        <v>2847</v>
      </c>
    </row>
    <row r="2789" customFormat="false" ht="12.75" hidden="false" customHeight="true" outlineLevel="0" collapsed="false">
      <c r="A2789" s="5" t="s">
        <v>2848</v>
      </c>
      <c r="B2789" s="7" t="n">
        <v>5</v>
      </c>
      <c r="C2789" s="7" t="n">
        <v>15</v>
      </c>
      <c r="D2789" s="7" t="s">
        <v>3750</v>
      </c>
      <c r="E2789" s="7"/>
      <c r="G2789" s="5" t="str">
        <f aca="false">IF(ISNUMBER(FIND("old rod:",A2789)),"old rod:",A2789)</f>
        <v>5, 15, MAGIKARP</v>
      </c>
      <c r="I2789" s="5" t="s">
        <v>2848</v>
      </c>
    </row>
    <row r="2790" customFormat="false" ht="12.75" hidden="false" customHeight="true" outlineLevel="0" collapsed="false">
      <c r="A2790" s="5" t="s">
        <v>2847</v>
      </c>
      <c r="B2790" s="7" t="n">
        <v>5</v>
      </c>
      <c r="C2790" s="7" t="n">
        <v>15</v>
      </c>
      <c r="D2790" s="7" t="s">
        <v>3751</v>
      </c>
      <c r="E2790" s="7"/>
      <c r="G2790" s="5" t="str">
        <f aca="false">IF(ISNUMBER(FIND("old rod:",A2790)),"old rod:",A2790)</f>
        <v>5, 15, KRABBY</v>
      </c>
      <c r="I2790" s="5" t="s">
        <v>2847</v>
      </c>
    </row>
    <row r="2791" customFormat="false" ht="12.75" hidden="false" customHeight="true" outlineLevel="0" collapsed="false">
      <c r="A2791" s="5" t="s">
        <v>2850</v>
      </c>
      <c r="B2791" s="7" t="s">
        <v>2850</v>
      </c>
      <c r="C2791" s="7"/>
      <c r="D2791" s="7"/>
      <c r="E2791" s="7"/>
      <c r="G2791" s="5" t="str">
        <f aca="false">IF(ISNUMBER(FIND("old rod:",A2791)),"old rod:",A2791)</f>
        <v>super rod:</v>
      </c>
      <c r="I2791" s="5" t="s">
        <v>2850</v>
      </c>
    </row>
    <row r="2792" customFormat="false" ht="12.75" hidden="false" customHeight="true" outlineLevel="0" collapsed="false">
      <c r="A2792" s="5" t="s">
        <v>2851</v>
      </c>
      <c r="B2792" s="7" t="n">
        <v>15</v>
      </c>
      <c r="C2792" s="7" t="n">
        <v>25</v>
      </c>
      <c r="D2792" s="7" t="s">
        <v>3751</v>
      </c>
      <c r="E2792" s="7"/>
      <c r="G2792" s="5" t="str">
        <f aca="false">IF(ISNUMBER(FIND("old rod:",A2792)),"old rod:",A2792)</f>
        <v>15, 25, KRABBY</v>
      </c>
      <c r="I2792" s="5" t="s">
        <v>2851</v>
      </c>
    </row>
    <row r="2793" customFormat="false" ht="12.75" hidden="false" customHeight="true" outlineLevel="0" collapsed="false">
      <c r="A2793" s="5" t="s">
        <v>2852</v>
      </c>
      <c r="B2793" s="7" t="n">
        <v>15</v>
      </c>
      <c r="C2793" s="7" t="n">
        <v>25</v>
      </c>
      <c r="D2793" s="7" t="s">
        <v>3753</v>
      </c>
      <c r="E2793" s="7"/>
      <c r="G2793" s="5" t="str">
        <f aca="false">IF(ISNUMBER(FIND("old rod:",A2793)),"old rod:",A2793)</f>
        <v>15, 25, STARYU</v>
      </c>
      <c r="I2793" s="5" t="s">
        <v>2852</v>
      </c>
    </row>
    <row r="2794" customFormat="false" ht="12.75" hidden="false" customHeight="true" outlineLevel="0" collapsed="false">
      <c r="A2794" s="5" t="s">
        <v>2853</v>
      </c>
      <c r="B2794" s="7" t="n">
        <v>15</v>
      </c>
      <c r="C2794" s="7" t="n">
        <v>25</v>
      </c>
      <c r="D2794" s="7" t="s">
        <v>3754</v>
      </c>
      <c r="E2794" s="7"/>
      <c r="G2794" s="5" t="str">
        <f aca="false">IF(ISNUMBER(FIND("old rod:",A2794)),"old rod:",A2794)</f>
        <v>15, 25, GYARADOS</v>
      </c>
      <c r="I2794" s="5" t="s">
        <v>2853</v>
      </c>
    </row>
    <row r="2795" customFormat="false" ht="12.75" hidden="false" customHeight="true" outlineLevel="0" collapsed="false">
      <c r="A2795" s="5" t="s">
        <v>3177</v>
      </c>
      <c r="B2795" s="7" t="n">
        <v>25</v>
      </c>
      <c r="C2795" s="7" t="n">
        <v>35</v>
      </c>
      <c r="D2795" s="7" t="s">
        <v>3859</v>
      </c>
      <c r="E2795" s="7"/>
      <c r="G2795" s="5" t="str">
        <f aca="false">IF(ISNUMBER(FIND("old rod:",A2795)),"old rod:",A2795)</f>
        <v>25, 35, KINGLER</v>
      </c>
      <c r="I2795" s="5" t="s">
        <v>3177</v>
      </c>
    </row>
    <row r="2796" customFormat="false" ht="12.75" hidden="false" customHeight="true" outlineLevel="0" collapsed="false">
      <c r="A2796" s="5" t="s">
        <v>2855</v>
      </c>
      <c r="B2796" s="7" t="n">
        <v>25</v>
      </c>
      <c r="C2796" s="7" t="n">
        <v>35</v>
      </c>
      <c r="D2796" s="7" t="s">
        <v>3755</v>
      </c>
      <c r="E2796" s="7"/>
      <c r="G2796" s="5" t="str">
        <f aca="false">IF(ISNUMBER(FIND("old rod:",A2796)),"old rod:",A2796)</f>
        <v>25, 35, SLOWPOKE</v>
      </c>
      <c r="I2796" s="5" t="s">
        <v>2855</v>
      </c>
    </row>
    <row r="2797" customFormat="false" ht="12.75" hidden="false" customHeight="true" outlineLevel="0" collapsed="false">
      <c r="A2797" s="5" t="s">
        <v>2536</v>
      </c>
      <c r="B2797" s="7" t="s">
        <v>2536</v>
      </c>
      <c r="C2797" s="7"/>
      <c r="D2797" s="7"/>
      <c r="E2797" s="7"/>
      <c r="G2797" s="5" t="str">
        <f aca="false">IF(ISNUMBER(FIND("old rod:",A2797)),"old rod:",A2797)</f>
        <v>NEW ROUTE</v>
      </c>
      <c r="I2797" s="5" t="s">
        <v>2536</v>
      </c>
    </row>
    <row r="2798" customFormat="false" ht="12.75" hidden="false" customHeight="true" outlineLevel="0" collapsed="false">
      <c r="A2798" s="5" t="s">
        <v>409</v>
      </c>
      <c r="B2798" s="7" t="s">
        <v>409</v>
      </c>
      <c r="C2798" s="7"/>
      <c r="D2798" s="7"/>
      <c r="E2798" s="7"/>
      <c r="G2798" s="5" t="str">
        <f aca="false">IF(ISNUMBER(FIND("old rod:",A2798)),"old rod:",A2798)</f>
        <v>Four Island</v>
      </c>
      <c r="I2798" s="5" t="s">
        <v>409</v>
      </c>
    </row>
    <row r="2799" customFormat="false" ht="12.75" hidden="false" customHeight="true" outlineLevel="0" collapsed="false">
      <c r="A2799" s="5" t="s">
        <v>3646</v>
      </c>
      <c r="B2799" s="7" t="n">
        <v>2</v>
      </c>
      <c r="C2799" s="7" t="n">
        <v>5</v>
      </c>
      <c r="D2799" s="7" t="n">
        <v>15</v>
      </c>
      <c r="E2799" s="7" t="s">
        <v>3894</v>
      </c>
      <c r="G2799" s="5" t="str">
        <f aca="false">IF(ISNUMBER(FIND("old rod:",A2799)),"old rod:",A2799)</f>
        <v>2, 5, 15, MARILL</v>
      </c>
      <c r="I2799" s="5" t="s">
        <v>3646</v>
      </c>
    </row>
    <row r="2800" customFormat="false" ht="12.75" hidden="false" customHeight="true" outlineLevel="0" collapsed="false">
      <c r="A2800" s="5" t="s">
        <v>3158</v>
      </c>
      <c r="B2800" s="7" t="n">
        <v>5</v>
      </c>
      <c r="C2800" s="7" t="n">
        <v>35</v>
      </c>
      <c r="D2800" s="7" t="s">
        <v>3755</v>
      </c>
      <c r="E2800" s="7"/>
      <c r="G2800" s="5" t="str">
        <f aca="false">IF(ISNUMBER(FIND("old rod:",A2800)),"old rod:",A2800)</f>
        <v>5, 35, SLOWPOKE</v>
      </c>
      <c r="I2800" s="5" t="s">
        <v>3158</v>
      </c>
    </row>
    <row r="2801" customFormat="false" ht="12.75" hidden="false" customHeight="true" outlineLevel="0" collapsed="false">
      <c r="A2801" s="5" t="s">
        <v>3293</v>
      </c>
      <c r="B2801" s="7" t="n">
        <v>15</v>
      </c>
      <c r="C2801" s="7" t="n">
        <v>25</v>
      </c>
      <c r="D2801" s="7" t="s">
        <v>3894</v>
      </c>
      <c r="E2801" s="7"/>
      <c r="G2801" s="5" t="str">
        <f aca="false">IF(ISNUMBER(FIND("old rod:",A2801)),"old rod:",A2801)</f>
        <v>15, 25, MARILL</v>
      </c>
      <c r="I2801" s="5" t="s">
        <v>3293</v>
      </c>
    </row>
    <row r="2802" customFormat="false" ht="12.75" hidden="false" customHeight="true" outlineLevel="0" collapsed="false">
      <c r="A2802" s="5" t="s">
        <v>3293</v>
      </c>
      <c r="B2802" s="7" t="n">
        <v>15</v>
      </c>
      <c r="C2802" s="7" t="n">
        <v>25</v>
      </c>
      <c r="D2802" s="7" t="s">
        <v>3894</v>
      </c>
      <c r="E2802" s="7"/>
      <c r="G2802" s="5" t="str">
        <f aca="false">IF(ISNUMBER(FIND("old rod:",A2802)),"old rod:",A2802)</f>
        <v>15, 25, MARILL</v>
      </c>
      <c r="I2802" s="5" t="s">
        <v>3293</v>
      </c>
    </row>
    <row r="2803" customFormat="false" ht="12.75" hidden="false" customHeight="true" outlineLevel="0" collapsed="false">
      <c r="A2803" s="5" t="s">
        <v>3293</v>
      </c>
      <c r="B2803" s="7" t="n">
        <v>15</v>
      </c>
      <c r="C2803" s="7" t="n">
        <v>25</v>
      </c>
      <c r="D2803" s="7" t="s">
        <v>3894</v>
      </c>
      <c r="E2803" s="7"/>
      <c r="G2803" s="5" t="str">
        <f aca="false">IF(ISNUMBER(FIND("old rod:",A2803)),"old rod:",A2803)</f>
        <v>15, 25, MARILL</v>
      </c>
      <c r="I2803" s="5" t="s">
        <v>3293</v>
      </c>
    </row>
    <row r="2804" customFormat="false" ht="12.75" hidden="false" customHeight="true" outlineLevel="0" collapsed="false">
      <c r="A2804" s="5" t="s">
        <v>2925</v>
      </c>
      <c r="B2804" s="7" t="n">
        <v>20</v>
      </c>
      <c r="C2804" s="7" t="s">
        <v>3748</v>
      </c>
      <c r="D2804" s="7"/>
      <c r="E2804" s="7"/>
      <c r="G2804" s="5" t="str">
        <f aca="false">IF(ISNUMBER(FIND("old rod:",A2804)),"old rod:",A2804)</f>
        <v>old rod:</v>
      </c>
      <c r="I2804" s="5" t="s">
        <v>3749</v>
      </c>
    </row>
    <row r="2805" customFormat="false" ht="12.75" hidden="false" customHeight="true" outlineLevel="0" collapsed="false">
      <c r="A2805" s="5" t="s">
        <v>1266</v>
      </c>
      <c r="B2805" s="7" t="n">
        <v>5</v>
      </c>
      <c r="C2805" s="7" t="n">
        <v>5</v>
      </c>
      <c r="D2805" s="7" t="s">
        <v>3750</v>
      </c>
      <c r="E2805" s="7"/>
      <c r="G2805" s="5" t="str">
        <f aca="false">IF(ISNUMBER(FIND("old rod:",A2805)),"old rod:",A2805)</f>
        <v>5, 5, MAGIKARP</v>
      </c>
      <c r="I2805" s="5" t="s">
        <v>1266</v>
      </c>
    </row>
    <row r="2806" customFormat="false" ht="12.75" hidden="false" customHeight="true" outlineLevel="0" collapsed="false">
      <c r="A2806" s="5" t="s">
        <v>1266</v>
      </c>
      <c r="B2806" s="7" t="n">
        <v>5</v>
      </c>
      <c r="C2806" s="7" t="n">
        <v>5</v>
      </c>
      <c r="D2806" s="7" t="s">
        <v>3750</v>
      </c>
      <c r="E2806" s="7"/>
      <c r="G2806" s="5" t="str">
        <f aca="false">IF(ISNUMBER(FIND("old rod:",A2806)),"old rod:",A2806)</f>
        <v>5, 5, MAGIKARP</v>
      </c>
      <c r="I2806" s="5" t="s">
        <v>1266</v>
      </c>
    </row>
    <row r="2807" customFormat="false" ht="12.75" hidden="false" customHeight="true" outlineLevel="0" collapsed="false">
      <c r="A2807" s="5" t="s">
        <v>2846</v>
      </c>
      <c r="B2807" s="7" t="s">
        <v>2846</v>
      </c>
      <c r="C2807" s="7"/>
      <c r="D2807" s="7"/>
      <c r="E2807" s="7"/>
      <c r="G2807" s="5" t="str">
        <f aca="false">IF(ISNUMBER(FIND("old rod:",A2807)),"old rod:",A2807)</f>
        <v>good rod:</v>
      </c>
      <c r="I2807" s="5" t="s">
        <v>2846</v>
      </c>
    </row>
    <row r="2808" customFormat="false" ht="12.75" hidden="false" customHeight="true" outlineLevel="0" collapsed="false">
      <c r="A2808" s="5" t="s">
        <v>3143</v>
      </c>
      <c r="B2808" s="7" t="n">
        <v>5</v>
      </c>
      <c r="C2808" s="7" t="n">
        <v>15</v>
      </c>
      <c r="D2808" s="7" t="s">
        <v>3803</v>
      </c>
      <c r="E2808" s="7"/>
      <c r="G2808" s="5" t="str">
        <f aca="false">IF(ISNUMBER(FIND("old rod:",A2808)),"old rod:",A2808)</f>
        <v>5, 15, POLIWAG</v>
      </c>
      <c r="I2808" s="5" t="s">
        <v>3143</v>
      </c>
    </row>
    <row r="2809" customFormat="false" ht="12.75" hidden="false" customHeight="true" outlineLevel="0" collapsed="false">
      <c r="A2809" s="5" t="s">
        <v>2848</v>
      </c>
      <c r="B2809" s="7" t="n">
        <v>5</v>
      </c>
      <c r="C2809" s="7" t="n">
        <v>15</v>
      </c>
      <c r="D2809" s="7" t="s">
        <v>3750</v>
      </c>
      <c r="E2809" s="7"/>
      <c r="G2809" s="5" t="str">
        <f aca="false">IF(ISNUMBER(FIND("old rod:",A2809)),"old rod:",A2809)</f>
        <v>5, 15, MAGIKARP</v>
      </c>
      <c r="I2809" s="5" t="s">
        <v>2848</v>
      </c>
    </row>
    <row r="2810" customFormat="false" ht="12.75" hidden="false" customHeight="true" outlineLevel="0" collapsed="false">
      <c r="A2810" s="5" t="s">
        <v>3142</v>
      </c>
      <c r="B2810" s="7" t="n">
        <v>5</v>
      </c>
      <c r="C2810" s="7" t="n">
        <v>15</v>
      </c>
      <c r="D2810" s="7" t="s">
        <v>3804</v>
      </c>
      <c r="E2810" s="7"/>
      <c r="G2810" s="5" t="str">
        <f aca="false">IF(ISNUMBER(FIND("old rod:",A2810)),"old rod:",A2810)</f>
        <v>5, 15, GOLDEEN</v>
      </c>
      <c r="I2810" s="5" t="s">
        <v>3142</v>
      </c>
    </row>
    <row r="2811" customFormat="false" ht="12.75" hidden="false" customHeight="true" outlineLevel="0" collapsed="false">
      <c r="A2811" s="5" t="s">
        <v>2850</v>
      </c>
      <c r="B2811" s="7" t="s">
        <v>2850</v>
      </c>
      <c r="C2811" s="7"/>
      <c r="D2811" s="7"/>
      <c r="E2811" s="7"/>
      <c r="G2811" s="5" t="str">
        <f aca="false">IF(ISNUMBER(FIND("old rod:",A2811)),"old rod:",A2811)</f>
        <v>super rod:</v>
      </c>
      <c r="I2811" s="5" t="s">
        <v>2850</v>
      </c>
    </row>
    <row r="2812" customFormat="false" ht="12.75" hidden="false" customHeight="true" outlineLevel="0" collapsed="false">
      <c r="A2812" s="5" t="s">
        <v>3161</v>
      </c>
      <c r="B2812" s="7" t="n">
        <v>15</v>
      </c>
      <c r="C2812" s="7" t="n">
        <v>25</v>
      </c>
      <c r="D2812" s="7" t="s">
        <v>3803</v>
      </c>
      <c r="E2812" s="7"/>
      <c r="G2812" s="5" t="str">
        <f aca="false">IF(ISNUMBER(FIND("old rod:",A2812)),"old rod:",A2812)</f>
        <v>15, 25, POLIWAG</v>
      </c>
      <c r="I2812" s="5" t="s">
        <v>3161</v>
      </c>
    </row>
    <row r="2813" customFormat="false" ht="12.75" hidden="false" customHeight="true" outlineLevel="0" collapsed="false">
      <c r="A2813" s="5" t="s">
        <v>3162</v>
      </c>
      <c r="B2813" s="7" t="n">
        <v>20</v>
      </c>
      <c r="C2813" s="7" t="n">
        <v>30</v>
      </c>
      <c r="D2813" s="7" t="s">
        <v>3805</v>
      </c>
      <c r="E2813" s="7"/>
      <c r="G2813" s="5" t="str">
        <f aca="false">IF(ISNUMBER(FIND("old rod:",A2813)),"old rod:",A2813)</f>
        <v>20, 30, POLIWHIRL</v>
      </c>
      <c r="I2813" s="5" t="s">
        <v>3162</v>
      </c>
    </row>
    <row r="2814" customFormat="false" ht="12.75" hidden="false" customHeight="true" outlineLevel="0" collapsed="false">
      <c r="A2814" s="5" t="s">
        <v>2853</v>
      </c>
      <c r="B2814" s="7" t="n">
        <v>15</v>
      </c>
      <c r="C2814" s="7" t="n">
        <v>25</v>
      </c>
      <c r="D2814" s="7" t="s">
        <v>3754</v>
      </c>
      <c r="E2814" s="7"/>
      <c r="G2814" s="5" t="str">
        <f aca="false">IF(ISNUMBER(FIND("old rod:",A2814)),"old rod:",A2814)</f>
        <v>15, 25, GYARADOS</v>
      </c>
      <c r="I2814" s="5" t="s">
        <v>2853</v>
      </c>
    </row>
    <row r="2815" customFormat="false" ht="12.75" hidden="false" customHeight="true" outlineLevel="0" collapsed="false">
      <c r="A2815" s="5" t="s">
        <v>3146</v>
      </c>
      <c r="B2815" s="7" t="n">
        <v>15</v>
      </c>
      <c r="C2815" s="7" t="n">
        <v>25</v>
      </c>
      <c r="D2815" s="7" t="s">
        <v>3755</v>
      </c>
      <c r="E2815" s="7"/>
      <c r="G2815" s="5" t="str">
        <f aca="false">IF(ISNUMBER(FIND("old rod:",A2815)),"old rod:",A2815)</f>
        <v>15, 25, SLOWPOKE</v>
      </c>
      <c r="I2815" s="5" t="s">
        <v>3146</v>
      </c>
    </row>
    <row r="2816" customFormat="false" ht="12.75" hidden="false" customHeight="true" outlineLevel="0" collapsed="false">
      <c r="A2816" s="5" t="s">
        <v>2855</v>
      </c>
      <c r="B2816" s="7" t="n">
        <v>25</v>
      </c>
      <c r="C2816" s="7" t="n">
        <v>35</v>
      </c>
      <c r="D2816" s="7" t="s">
        <v>3755</v>
      </c>
      <c r="E2816" s="7"/>
      <c r="G2816" s="5" t="str">
        <f aca="false">IF(ISNUMBER(FIND("old rod:",A2816)),"old rod:",A2816)</f>
        <v>25, 35, SLOWPOKE</v>
      </c>
      <c r="I2816" s="5" t="s">
        <v>2855</v>
      </c>
    </row>
    <row r="2817" customFormat="false" ht="12.75" hidden="false" customHeight="true" outlineLevel="0" collapsed="false">
      <c r="A2817" s="5" t="s">
        <v>2536</v>
      </c>
      <c r="B2817" s="7" t="s">
        <v>2536</v>
      </c>
      <c r="C2817" s="7"/>
      <c r="D2817" s="7"/>
      <c r="E2817" s="7"/>
      <c r="G2817" s="5" t="str">
        <f aca="false">IF(ISNUMBER(FIND("old rod:",A2817)),"old rod:",A2817)</f>
        <v>NEW ROUTE</v>
      </c>
      <c r="I2817" s="5" t="s">
        <v>2536</v>
      </c>
    </row>
    <row r="2818" customFormat="false" ht="12.75" hidden="false" customHeight="true" outlineLevel="0" collapsed="false">
      <c r="A2818" s="5" t="s">
        <v>411</v>
      </c>
      <c r="B2818" s="7" t="s">
        <v>411</v>
      </c>
      <c r="C2818" s="7"/>
      <c r="D2818" s="7"/>
      <c r="E2818" s="7"/>
      <c r="G2818" s="5" t="str">
        <f aca="false">IF(ISNUMBER(FIND("old rod:",A2818)),"old rod:",A2818)</f>
        <v>Five Island</v>
      </c>
      <c r="I2818" s="5" t="s">
        <v>411</v>
      </c>
    </row>
    <row r="2819" customFormat="false" ht="12.75" hidden="false" customHeight="true" outlineLevel="0" collapsed="false">
      <c r="A2819" s="5" t="s">
        <v>3648</v>
      </c>
      <c r="B2819" s="7" t="n">
        <v>1</v>
      </c>
      <c r="C2819" s="7" t="n">
        <v>5</v>
      </c>
      <c r="D2819" s="7" t="n">
        <v>35</v>
      </c>
      <c r="E2819" s="7" t="s">
        <v>3747</v>
      </c>
      <c r="G2819" s="5" t="str">
        <f aca="false">IF(ISNUMBER(FIND("old rod:",A2819)),"old rod:",A2819)</f>
        <v>1, 5, 35, TENTACOOL</v>
      </c>
      <c r="I2819" s="5" t="s">
        <v>3648</v>
      </c>
    </row>
    <row r="2820" customFormat="false" ht="12.75" hidden="false" customHeight="true" outlineLevel="0" collapsed="false">
      <c r="A2820" s="5" t="s">
        <v>3257</v>
      </c>
      <c r="B2820" s="7" t="n">
        <v>5</v>
      </c>
      <c r="C2820" s="7" t="n">
        <v>15</v>
      </c>
      <c r="D2820" s="7" t="s">
        <v>3905</v>
      </c>
      <c r="E2820" s="7"/>
      <c r="G2820" s="5" t="str">
        <f aca="false">IF(ISNUMBER(FIND("old rod:",A2820)),"old rod:",A2820)</f>
        <v>5, 15, HOPPIP</v>
      </c>
      <c r="I2820" s="5" t="s">
        <v>3257</v>
      </c>
    </row>
    <row r="2821" customFormat="false" ht="12.75" hidden="false" customHeight="true" outlineLevel="0" collapsed="false">
      <c r="A2821" s="5" t="s">
        <v>2844</v>
      </c>
      <c r="B2821" s="7" t="n">
        <v>35</v>
      </c>
      <c r="C2821" s="7" t="n">
        <v>40</v>
      </c>
      <c r="D2821" s="7" t="s">
        <v>3747</v>
      </c>
      <c r="E2821" s="7"/>
      <c r="G2821" s="5" t="str">
        <f aca="false">IF(ISNUMBER(FIND("old rod:",A2821)),"old rod:",A2821)</f>
        <v>35, 40, TENTACOOL</v>
      </c>
      <c r="I2821" s="5" t="s">
        <v>2844</v>
      </c>
    </row>
    <row r="2822" customFormat="false" ht="12.75" hidden="false" customHeight="true" outlineLevel="0" collapsed="false">
      <c r="A2822" s="5" t="s">
        <v>3231</v>
      </c>
      <c r="B2822" s="7" t="n">
        <v>35</v>
      </c>
      <c r="C2822" s="7" t="n">
        <v>40</v>
      </c>
      <c r="D2822" s="7" t="s">
        <v>3897</v>
      </c>
      <c r="E2822" s="7"/>
      <c r="G2822" s="5" t="str">
        <f aca="false">IF(ISNUMBER(FIND("old rod:",A2822)),"old rod:",A2822)</f>
        <v>35, 40, TENTACRUEL</v>
      </c>
      <c r="I2822" s="5" t="s">
        <v>3231</v>
      </c>
    </row>
    <row r="2823" customFormat="false" ht="12.75" hidden="false" customHeight="true" outlineLevel="0" collapsed="false">
      <c r="A2823" s="5" t="s">
        <v>3231</v>
      </c>
      <c r="B2823" s="7" t="n">
        <v>35</v>
      </c>
      <c r="C2823" s="7" t="n">
        <v>40</v>
      </c>
      <c r="D2823" s="7" t="s">
        <v>3897</v>
      </c>
      <c r="E2823" s="7"/>
      <c r="G2823" s="5" t="str">
        <f aca="false">IF(ISNUMBER(FIND("old rod:",A2823)),"old rod:",A2823)</f>
        <v>35, 40, TENTACRUEL</v>
      </c>
      <c r="I2823" s="5" t="s">
        <v>3231</v>
      </c>
    </row>
    <row r="2824" customFormat="false" ht="12.75" hidden="false" customHeight="true" outlineLevel="0" collapsed="false">
      <c r="A2824" s="5" t="s">
        <v>2845</v>
      </c>
      <c r="B2824" s="7" t="n">
        <v>10</v>
      </c>
      <c r="C2824" s="7" t="s">
        <v>3748</v>
      </c>
      <c r="D2824" s="7"/>
      <c r="E2824" s="7"/>
      <c r="G2824" s="5" t="str">
        <f aca="false">IF(ISNUMBER(FIND("old rod:",A2824)),"old rod:",A2824)</f>
        <v>old rod:</v>
      </c>
      <c r="I2824" s="5" t="s">
        <v>3749</v>
      </c>
    </row>
    <row r="2825" customFormat="false" ht="12.75" hidden="false" customHeight="true" outlineLevel="0" collapsed="false">
      <c r="A2825" s="5" t="s">
        <v>1266</v>
      </c>
      <c r="B2825" s="7" t="n">
        <v>5</v>
      </c>
      <c r="C2825" s="7" t="n">
        <v>5</v>
      </c>
      <c r="D2825" s="7" t="s">
        <v>3750</v>
      </c>
      <c r="E2825" s="7"/>
      <c r="G2825" s="5" t="str">
        <f aca="false">IF(ISNUMBER(FIND("old rod:",A2825)),"old rod:",A2825)</f>
        <v>5, 5, MAGIKARP</v>
      </c>
      <c r="I2825" s="5" t="s">
        <v>1266</v>
      </c>
    </row>
    <row r="2826" customFormat="false" ht="12.75" hidden="false" customHeight="true" outlineLevel="0" collapsed="false">
      <c r="A2826" s="5" t="s">
        <v>1266</v>
      </c>
      <c r="B2826" s="7" t="n">
        <v>5</v>
      </c>
      <c r="C2826" s="7" t="n">
        <v>5</v>
      </c>
      <c r="D2826" s="7" t="s">
        <v>3750</v>
      </c>
      <c r="E2826" s="7"/>
      <c r="G2826" s="5" t="str">
        <f aca="false">IF(ISNUMBER(FIND("old rod:",A2826)),"old rod:",A2826)</f>
        <v>5, 5, MAGIKARP</v>
      </c>
      <c r="I2826" s="5" t="s">
        <v>1266</v>
      </c>
    </row>
    <row r="2827" customFormat="false" ht="12.75" hidden="false" customHeight="true" outlineLevel="0" collapsed="false">
      <c r="A2827" s="5" t="s">
        <v>2846</v>
      </c>
      <c r="B2827" s="7" t="s">
        <v>2846</v>
      </c>
      <c r="C2827" s="7"/>
      <c r="D2827" s="7"/>
      <c r="E2827" s="7"/>
      <c r="G2827" s="5" t="str">
        <f aca="false">IF(ISNUMBER(FIND("old rod:",A2827)),"old rod:",A2827)</f>
        <v>good rod:</v>
      </c>
      <c r="I2827" s="5" t="s">
        <v>2846</v>
      </c>
    </row>
    <row r="2828" customFormat="false" ht="12.75" hidden="false" customHeight="true" outlineLevel="0" collapsed="false">
      <c r="A2828" s="5" t="s">
        <v>2847</v>
      </c>
      <c r="B2828" s="7" t="n">
        <v>5</v>
      </c>
      <c r="C2828" s="7" t="n">
        <v>15</v>
      </c>
      <c r="D2828" s="7" t="s">
        <v>3751</v>
      </c>
      <c r="E2828" s="7"/>
      <c r="G2828" s="5" t="str">
        <f aca="false">IF(ISNUMBER(FIND("old rod:",A2828)),"old rod:",A2828)</f>
        <v>5, 15, KRABBY</v>
      </c>
      <c r="I2828" s="5" t="s">
        <v>2847</v>
      </c>
    </row>
    <row r="2829" customFormat="false" ht="12.75" hidden="false" customHeight="true" outlineLevel="0" collapsed="false">
      <c r="A2829" s="5" t="s">
        <v>2848</v>
      </c>
      <c r="B2829" s="7" t="n">
        <v>5</v>
      </c>
      <c r="C2829" s="7" t="n">
        <v>15</v>
      </c>
      <c r="D2829" s="7" t="s">
        <v>3750</v>
      </c>
      <c r="E2829" s="7"/>
      <c r="G2829" s="5" t="str">
        <f aca="false">IF(ISNUMBER(FIND("old rod:",A2829)),"old rod:",A2829)</f>
        <v>5, 15, MAGIKARP</v>
      </c>
      <c r="I2829" s="5" t="s">
        <v>2848</v>
      </c>
    </row>
    <row r="2830" customFormat="false" ht="12.75" hidden="false" customHeight="true" outlineLevel="0" collapsed="false">
      <c r="A2830" s="5" t="s">
        <v>2847</v>
      </c>
      <c r="B2830" s="7" t="n">
        <v>5</v>
      </c>
      <c r="C2830" s="7" t="n">
        <v>15</v>
      </c>
      <c r="D2830" s="7" t="s">
        <v>3751</v>
      </c>
      <c r="E2830" s="7"/>
      <c r="G2830" s="5" t="str">
        <f aca="false">IF(ISNUMBER(FIND("old rod:",A2830)),"old rod:",A2830)</f>
        <v>5, 15, KRABBY</v>
      </c>
      <c r="I2830" s="5" t="s">
        <v>2847</v>
      </c>
    </row>
    <row r="2831" customFormat="false" ht="12.75" hidden="false" customHeight="true" outlineLevel="0" collapsed="false">
      <c r="A2831" s="5" t="s">
        <v>2850</v>
      </c>
      <c r="B2831" s="7" t="s">
        <v>2850</v>
      </c>
      <c r="C2831" s="7"/>
      <c r="D2831" s="7"/>
      <c r="E2831" s="7"/>
      <c r="G2831" s="5" t="str">
        <f aca="false">IF(ISNUMBER(FIND("old rod:",A2831)),"old rod:",A2831)</f>
        <v>super rod:</v>
      </c>
      <c r="I2831" s="5" t="s">
        <v>2850</v>
      </c>
    </row>
    <row r="2832" customFormat="false" ht="12.75" hidden="false" customHeight="true" outlineLevel="0" collapsed="false">
      <c r="A2832" s="5" t="s">
        <v>2851</v>
      </c>
      <c r="B2832" s="7" t="n">
        <v>15</v>
      </c>
      <c r="C2832" s="7" t="n">
        <v>25</v>
      </c>
      <c r="D2832" s="7" t="s">
        <v>3751</v>
      </c>
      <c r="E2832" s="7"/>
      <c r="G2832" s="5" t="str">
        <f aca="false">IF(ISNUMBER(FIND("old rod:",A2832)),"old rod:",A2832)</f>
        <v>15, 25, KRABBY</v>
      </c>
      <c r="I2832" s="5" t="s">
        <v>2851</v>
      </c>
    </row>
    <row r="2833" customFormat="false" ht="12.75" hidden="false" customHeight="true" outlineLevel="0" collapsed="false">
      <c r="A2833" s="5" t="s">
        <v>2852</v>
      </c>
      <c r="B2833" s="7" t="n">
        <v>15</v>
      </c>
      <c r="C2833" s="7" t="n">
        <v>25</v>
      </c>
      <c r="D2833" s="7" t="s">
        <v>3753</v>
      </c>
      <c r="E2833" s="7"/>
      <c r="G2833" s="5" t="str">
        <f aca="false">IF(ISNUMBER(FIND("old rod:",A2833)),"old rod:",A2833)</f>
        <v>15, 25, STARYU</v>
      </c>
      <c r="I2833" s="5" t="s">
        <v>2852</v>
      </c>
    </row>
    <row r="2834" customFormat="false" ht="12.75" hidden="false" customHeight="true" outlineLevel="0" collapsed="false">
      <c r="A2834" s="5" t="s">
        <v>2853</v>
      </c>
      <c r="B2834" s="7" t="n">
        <v>15</v>
      </c>
      <c r="C2834" s="7" t="n">
        <v>25</v>
      </c>
      <c r="D2834" s="7" t="s">
        <v>3754</v>
      </c>
      <c r="E2834" s="7"/>
      <c r="G2834" s="5" t="str">
        <f aca="false">IF(ISNUMBER(FIND("old rod:",A2834)),"old rod:",A2834)</f>
        <v>15, 25, GYARADOS</v>
      </c>
      <c r="I2834" s="5" t="s">
        <v>2853</v>
      </c>
    </row>
    <row r="2835" customFormat="false" ht="12.75" hidden="false" customHeight="true" outlineLevel="0" collapsed="false">
      <c r="A2835" s="5" t="s">
        <v>3177</v>
      </c>
      <c r="B2835" s="7" t="n">
        <v>25</v>
      </c>
      <c r="C2835" s="7" t="n">
        <v>35</v>
      </c>
      <c r="D2835" s="7" t="s">
        <v>3859</v>
      </c>
      <c r="E2835" s="7"/>
      <c r="G2835" s="5" t="str">
        <f aca="false">IF(ISNUMBER(FIND("old rod:",A2835)),"old rod:",A2835)</f>
        <v>25, 35, KINGLER</v>
      </c>
      <c r="I2835" s="5" t="s">
        <v>3177</v>
      </c>
    </row>
    <row r="2836" customFormat="false" ht="12.75" hidden="false" customHeight="true" outlineLevel="0" collapsed="false">
      <c r="A2836" s="5" t="s">
        <v>2855</v>
      </c>
      <c r="B2836" s="7" t="n">
        <v>25</v>
      </c>
      <c r="C2836" s="7" t="n">
        <v>35</v>
      </c>
      <c r="D2836" s="7" t="s">
        <v>3755</v>
      </c>
      <c r="E2836" s="7"/>
      <c r="G2836" s="5" t="str">
        <f aca="false">IF(ISNUMBER(FIND("old rod:",A2836)),"old rod:",A2836)</f>
        <v>25, 35, SLOWPOKE</v>
      </c>
      <c r="I2836" s="5" t="s">
        <v>2855</v>
      </c>
    </row>
    <row r="2837" customFormat="false" ht="12.75" hidden="false" customHeight="true" outlineLevel="0" collapsed="false">
      <c r="A2837" s="5" t="s">
        <v>2536</v>
      </c>
      <c r="B2837" s="7" t="s">
        <v>2536</v>
      </c>
      <c r="C2837" s="7"/>
      <c r="D2837" s="7"/>
      <c r="E2837" s="7"/>
      <c r="G2837" s="5" t="str">
        <f aca="false">IF(ISNUMBER(FIND("old rod:",A2837)),"old rod:",A2837)</f>
        <v>NEW ROUTE</v>
      </c>
      <c r="I2837" s="5" t="s">
        <v>2536</v>
      </c>
    </row>
    <row r="2838" customFormat="false" ht="12.75" hidden="false" customHeight="true" outlineLevel="0" collapsed="false">
      <c r="A2838" s="5" t="s">
        <v>257</v>
      </c>
      <c r="B2838" s="7" t="s">
        <v>257</v>
      </c>
      <c r="C2838" s="7"/>
      <c r="D2838" s="7"/>
      <c r="E2838" s="7"/>
      <c r="G2838" s="5" t="str">
        <f aca="false">IF(ISNUMBER(FIND("old rod:",A2838)),"old rod:",A2838)</f>
        <v>Six Island Altering Cave</v>
      </c>
      <c r="I2838" s="5" t="s">
        <v>257</v>
      </c>
    </row>
    <row r="2839" customFormat="false" ht="12.75" hidden="false" customHeight="true" outlineLevel="0" collapsed="false">
      <c r="A2839" s="5" t="n">
        <v>0.2</v>
      </c>
      <c r="B2839" s="5" t="n">
        <v>0.2</v>
      </c>
      <c r="C2839" s="7"/>
      <c r="D2839" s="7"/>
      <c r="E2839" s="7"/>
      <c r="G2839" s="5" t="n">
        <f aca="false">IF(ISNUMBER(FIND("old rod:",A2839)),"old rod:",A2839)</f>
        <v>0.2</v>
      </c>
      <c r="I2839" s="5" t="n">
        <v>0.2</v>
      </c>
    </row>
    <row r="2840" customFormat="false" ht="12.75" hidden="false" customHeight="true" outlineLevel="0" collapsed="false">
      <c r="A2840" s="5" t="s">
        <v>2138</v>
      </c>
      <c r="B2840" s="7" t="n">
        <v>10</v>
      </c>
      <c r="C2840" s="7" t="n">
        <v>10</v>
      </c>
      <c r="D2840" s="7" t="s">
        <v>3739</v>
      </c>
      <c r="E2840" s="7"/>
      <c r="G2840" s="5" t="str">
        <f aca="false">IF(ISNUMBER(FIND("old rod:",A2840)),"old rod:",A2840)</f>
        <v>10, 10, ZUBAT</v>
      </c>
      <c r="I2840" s="5" t="s">
        <v>2138</v>
      </c>
    </row>
    <row r="2841" customFormat="false" ht="12.75" hidden="false" customHeight="true" outlineLevel="0" collapsed="false">
      <c r="A2841" s="5" t="s">
        <v>3650</v>
      </c>
      <c r="B2841" s="7" t="n">
        <v>12</v>
      </c>
      <c r="C2841" s="7" t="n">
        <v>12</v>
      </c>
      <c r="D2841" s="7" t="s">
        <v>3739</v>
      </c>
      <c r="E2841" s="7"/>
      <c r="G2841" s="5" t="str">
        <f aca="false">IF(ISNUMBER(FIND("old rod:",A2841)),"old rod:",A2841)</f>
        <v>12, 12, ZUBAT</v>
      </c>
      <c r="I2841" s="5" t="s">
        <v>3650</v>
      </c>
    </row>
    <row r="2842" customFormat="false" ht="12.75" hidden="false" customHeight="true" outlineLevel="0" collapsed="false">
      <c r="A2842" s="5" t="n">
        <v>0.1</v>
      </c>
      <c r="B2842" s="5" t="n">
        <v>0.1</v>
      </c>
      <c r="C2842" s="7"/>
      <c r="D2842" s="7"/>
      <c r="E2842" s="7"/>
      <c r="G2842" s="5" t="n">
        <f aca="false">IF(ISNUMBER(FIND("old rod:",A2842)),"old rod:",A2842)</f>
        <v>0.1</v>
      </c>
      <c r="I2842" s="5" t="n">
        <v>0.1</v>
      </c>
    </row>
    <row r="2843" customFormat="false" ht="12.75" hidden="false" customHeight="true" outlineLevel="0" collapsed="false">
      <c r="A2843" s="5" t="s">
        <v>3651</v>
      </c>
      <c r="B2843" s="7" t="n">
        <v>8</v>
      </c>
      <c r="C2843" s="7" t="n">
        <v>8</v>
      </c>
      <c r="D2843" s="7" t="s">
        <v>3739</v>
      </c>
      <c r="E2843" s="7"/>
      <c r="G2843" s="5" t="str">
        <f aca="false">IF(ISNUMBER(FIND("old rod:",A2843)),"old rod:",A2843)</f>
        <v>8, 8, ZUBAT</v>
      </c>
      <c r="I2843" s="5" t="s">
        <v>3651</v>
      </c>
    </row>
    <row r="2844" customFormat="false" ht="12.75" hidden="false" customHeight="true" outlineLevel="0" collapsed="false">
      <c r="A2844" s="5" t="s">
        <v>3652</v>
      </c>
      <c r="B2844" s="7" t="n">
        <v>14</v>
      </c>
      <c r="C2844" s="7" t="n">
        <v>14</v>
      </c>
      <c r="D2844" s="7" t="s">
        <v>3739</v>
      </c>
      <c r="E2844" s="7"/>
      <c r="G2844" s="5" t="str">
        <f aca="false">IF(ISNUMBER(FIND("old rod:",A2844)),"old rod:",A2844)</f>
        <v>14, 14, ZUBAT</v>
      </c>
      <c r="I2844" s="5" t="s">
        <v>3652</v>
      </c>
    </row>
    <row r="2845" customFormat="false" ht="12.75" hidden="false" customHeight="true" outlineLevel="0" collapsed="false">
      <c r="A2845" s="5" t="s">
        <v>2138</v>
      </c>
      <c r="B2845" s="7" t="n">
        <v>10</v>
      </c>
      <c r="C2845" s="7" t="n">
        <v>10</v>
      </c>
      <c r="D2845" s="7" t="s">
        <v>3739</v>
      </c>
      <c r="E2845" s="7"/>
      <c r="G2845" s="5" t="str">
        <f aca="false">IF(ISNUMBER(FIND("old rod:",A2845)),"old rod:",A2845)</f>
        <v>10, 10, ZUBAT</v>
      </c>
      <c r="I2845" s="5" t="s">
        <v>2138</v>
      </c>
    </row>
    <row r="2846" customFormat="false" ht="12.75" hidden="false" customHeight="true" outlineLevel="0" collapsed="false">
      <c r="A2846" s="5" t="s">
        <v>3650</v>
      </c>
      <c r="B2846" s="7" t="n">
        <v>12</v>
      </c>
      <c r="C2846" s="7" t="n">
        <v>12</v>
      </c>
      <c r="D2846" s="7" t="s">
        <v>3739</v>
      </c>
      <c r="E2846" s="7"/>
      <c r="G2846" s="5" t="str">
        <f aca="false">IF(ISNUMBER(FIND("old rod:",A2846)),"old rod:",A2846)</f>
        <v>12, 12, ZUBAT</v>
      </c>
      <c r="I2846" s="5" t="s">
        <v>3650</v>
      </c>
    </row>
    <row r="2847" customFormat="false" ht="12.75" hidden="false" customHeight="true" outlineLevel="0" collapsed="false">
      <c r="A2847" s="5" t="n">
        <v>0.05</v>
      </c>
      <c r="B2847" s="5" t="n">
        <v>0.05</v>
      </c>
      <c r="C2847" s="7"/>
      <c r="D2847" s="7"/>
      <c r="E2847" s="7"/>
      <c r="G2847" s="5" t="n">
        <f aca="false">IF(ISNUMBER(FIND("old rod:",A2847)),"old rod:",A2847)</f>
        <v>0.05</v>
      </c>
      <c r="I2847" s="5" t="n">
        <v>0.05</v>
      </c>
    </row>
    <row r="2848" customFormat="false" ht="12.75" hidden="false" customHeight="true" outlineLevel="0" collapsed="false">
      <c r="A2848" s="5" t="s">
        <v>3653</v>
      </c>
      <c r="B2848" s="7" t="n">
        <v>16</v>
      </c>
      <c r="C2848" s="7" t="n">
        <v>16</v>
      </c>
      <c r="D2848" s="7" t="s">
        <v>3739</v>
      </c>
      <c r="E2848" s="7"/>
      <c r="G2848" s="5" t="str">
        <f aca="false">IF(ISNUMBER(FIND("old rod:",A2848)),"old rod:",A2848)</f>
        <v>16, 16, ZUBAT</v>
      </c>
      <c r="I2848" s="5" t="s">
        <v>3653</v>
      </c>
    </row>
    <row r="2849" customFormat="false" ht="12.75" hidden="false" customHeight="true" outlineLevel="0" collapsed="false">
      <c r="A2849" s="5" t="s">
        <v>3654</v>
      </c>
      <c r="B2849" s="7" t="n">
        <v>6</v>
      </c>
      <c r="C2849" s="7" t="n">
        <v>6</v>
      </c>
      <c r="D2849" s="7" t="s">
        <v>3739</v>
      </c>
      <c r="E2849" s="7"/>
      <c r="G2849" s="5" t="str">
        <f aca="false">IF(ISNUMBER(FIND("old rod:",A2849)),"old rod:",A2849)</f>
        <v>6, 6, ZUBAT</v>
      </c>
      <c r="I2849" s="5" t="s">
        <v>3654</v>
      </c>
    </row>
    <row r="2850" customFormat="false" ht="12.75" hidden="false" customHeight="true" outlineLevel="0" collapsed="false">
      <c r="A2850" s="5" t="n">
        <v>0.04</v>
      </c>
      <c r="B2850" s="5" t="n">
        <v>0.04</v>
      </c>
      <c r="C2850" s="7"/>
      <c r="D2850" s="7"/>
      <c r="E2850" s="7"/>
      <c r="G2850" s="5" t="n">
        <f aca="false">IF(ISNUMBER(FIND("old rod:",A2850)),"old rod:",A2850)</f>
        <v>0.04</v>
      </c>
      <c r="I2850" s="5" t="n">
        <v>0.04</v>
      </c>
    </row>
    <row r="2851" customFormat="false" ht="12.75" hidden="false" customHeight="true" outlineLevel="0" collapsed="false">
      <c r="A2851" s="5" t="s">
        <v>3651</v>
      </c>
      <c r="B2851" s="7" t="n">
        <v>8</v>
      </c>
      <c r="C2851" s="7" t="n">
        <v>8</v>
      </c>
      <c r="D2851" s="7" t="s">
        <v>3739</v>
      </c>
      <c r="E2851" s="7"/>
      <c r="G2851" s="5" t="str">
        <f aca="false">IF(ISNUMBER(FIND("old rod:",A2851)),"old rod:",A2851)</f>
        <v>8, 8, ZUBAT</v>
      </c>
      <c r="I2851" s="5" t="s">
        <v>3651</v>
      </c>
    </row>
    <row r="2852" customFormat="false" ht="12.75" hidden="false" customHeight="true" outlineLevel="0" collapsed="false">
      <c r="A2852" s="5" t="s">
        <v>3652</v>
      </c>
      <c r="B2852" s="7" t="n">
        <v>14</v>
      </c>
      <c r="C2852" s="7" t="n">
        <v>14</v>
      </c>
      <c r="D2852" s="7" t="s">
        <v>3739</v>
      </c>
      <c r="E2852" s="7"/>
      <c r="G2852" s="5" t="str">
        <f aca="false">IF(ISNUMBER(FIND("old rod:",A2852)),"old rod:",A2852)</f>
        <v>14, 14, ZUBAT</v>
      </c>
      <c r="I2852" s="5" t="s">
        <v>3652</v>
      </c>
    </row>
    <row r="2853" customFormat="false" ht="12.75" hidden="false" customHeight="true" outlineLevel="0" collapsed="false">
      <c r="A2853" s="5" t="n">
        <v>0.01</v>
      </c>
      <c r="B2853" s="5" t="n">
        <v>0.01</v>
      </c>
      <c r="C2853" s="7"/>
      <c r="D2853" s="7"/>
      <c r="E2853" s="7"/>
      <c r="G2853" s="5" t="n">
        <f aca="false">IF(ISNUMBER(FIND("old rod:",A2853)),"old rod:",A2853)</f>
        <v>0.01</v>
      </c>
      <c r="I2853" s="5" t="n">
        <v>0.01</v>
      </c>
    </row>
    <row r="2854" customFormat="false" ht="12.75" hidden="false" customHeight="true" outlineLevel="0" collapsed="false">
      <c r="A2854" s="5" t="s">
        <v>3651</v>
      </c>
      <c r="B2854" s="7" t="n">
        <v>8</v>
      </c>
      <c r="C2854" s="7" t="n">
        <v>8</v>
      </c>
      <c r="D2854" s="7" t="s">
        <v>3739</v>
      </c>
      <c r="E2854" s="7"/>
      <c r="G2854" s="5" t="str">
        <f aca="false">IF(ISNUMBER(FIND("old rod:",A2854)),"old rod:",A2854)</f>
        <v>8, 8, ZUBAT</v>
      </c>
      <c r="I2854" s="5" t="s">
        <v>3651</v>
      </c>
    </row>
    <row r="2855" customFormat="false" ht="12.75" hidden="false" customHeight="true" outlineLevel="0" collapsed="false">
      <c r="A2855" s="5" t="s">
        <v>3652</v>
      </c>
      <c r="B2855" s="7" t="n">
        <v>14</v>
      </c>
      <c r="C2855" s="7" t="n">
        <v>14</v>
      </c>
      <c r="D2855" s="7" t="s">
        <v>3739</v>
      </c>
      <c r="E2855" s="7"/>
      <c r="G2855" s="5" t="str">
        <f aca="false">IF(ISNUMBER(FIND("old rod:",A2855)),"old rod:",A2855)</f>
        <v>14, 14, ZUBAT</v>
      </c>
      <c r="I2855" s="5" t="s">
        <v>3652</v>
      </c>
    </row>
    <row r="2856" customFormat="false" ht="12.75" hidden="false" customHeight="true" outlineLevel="0" collapsed="false">
      <c r="A2856" s="5" t="s">
        <v>2536</v>
      </c>
      <c r="B2856" s="7" t="s">
        <v>2536</v>
      </c>
      <c r="C2856" s="7"/>
      <c r="D2856" s="7"/>
      <c r="E2856" s="7"/>
      <c r="G2856" s="5" t="str">
        <f aca="false">IF(ISNUMBER(FIND("old rod:",A2856)),"old rod:",A2856)</f>
        <v>NEW ROUTE</v>
      </c>
      <c r="I2856" s="5" t="s">
        <v>2536</v>
      </c>
    </row>
    <row r="2857" customFormat="false" ht="12.75" hidden="false" customHeight="true" outlineLevel="0" collapsed="false">
      <c r="A2857" s="5" t="s">
        <v>257</v>
      </c>
      <c r="B2857" s="7" t="s">
        <v>257</v>
      </c>
      <c r="C2857" s="7"/>
      <c r="D2857" s="7"/>
      <c r="E2857" s="7"/>
      <c r="G2857" s="5" t="str">
        <f aca="false">IF(ISNUMBER(FIND("old rod:",A2857)),"old rod:",A2857)</f>
        <v>Six Island Altering Cave</v>
      </c>
      <c r="I2857" s="5" t="s">
        <v>257</v>
      </c>
    </row>
    <row r="2858" customFormat="false" ht="12.75" hidden="false" customHeight="true" outlineLevel="0" collapsed="false">
      <c r="A2858" s="5" t="n">
        <v>0.2</v>
      </c>
      <c r="B2858" s="5" t="n">
        <v>0.2</v>
      </c>
      <c r="C2858" s="7"/>
      <c r="D2858" s="7"/>
      <c r="E2858" s="7"/>
      <c r="G2858" s="5" t="n">
        <f aca="false">IF(ISNUMBER(FIND("old rod:",A2858)),"old rod:",A2858)</f>
        <v>0.2</v>
      </c>
      <c r="I2858" s="5" t="n">
        <v>0.2</v>
      </c>
    </row>
    <row r="2859" customFormat="false" ht="12.75" hidden="false" customHeight="true" outlineLevel="0" collapsed="false">
      <c r="A2859" s="5" t="s">
        <v>2146</v>
      </c>
      <c r="B2859" s="7" t="n">
        <v>7</v>
      </c>
      <c r="C2859" s="7" t="n">
        <v>7</v>
      </c>
      <c r="D2859" s="7" t="s">
        <v>3962</v>
      </c>
      <c r="E2859" s="7"/>
      <c r="G2859" s="5" t="str">
        <f aca="false">IF(ISNUMBER(FIND("old rod:",A2859)),"old rod:",A2859)</f>
        <v>7, 7, MAREEP</v>
      </c>
      <c r="I2859" s="5" t="s">
        <v>2146</v>
      </c>
    </row>
    <row r="2860" customFormat="false" ht="12.75" hidden="false" customHeight="true" outlineLevel="0" collapsed="false">
      <c r="A2860" s="5" t="s">
        <v>3656</v>
      </c>
      <c r="B2860" s="7" t="n">
        <v>9</v>
      </c>
      <c r="C2860" s="7" t="n">
        <v>9</v>
      </c>
      <c r="D2860" s="7" t="s">
        <v>3962</v>
      </c>
      <c r="E2860" s="7"/>
      <c r="G2860" s="5" t="str">
        <f aca="false">IF(ISNUMBER(FIND("old rod:",A2860)),"old rod:",A2860)</f>
        <v>9, 9, MAREEP</v>
      </c>
      <c r="I2860" s="5" t="s">
        <v>3656</v>
      </c>
    </row>
    <row r="2861" customFormat="false" ht="12.75" hidden="false" customHeight="true" outlineLevel="0" collapsed="false">
      <c r="A2861" s="5" t="n">
        <v>0.1</v>
      </c>
      <c r="B2861" s="5" t="n">
        <v>0.1</v>
      </c>
      <c r="C2861" s="7"/>
      <c r="D2861" s="7"/>
      <c r="E2861" s="7"/>
      <c r="G2861" s="5" t="n">
        <f aca="false">IF(ISNUMBER(FIND("old rod:",A2861)),"old rod:",A2861)</f>
        <v>0.1</v>
      </c>
      <c r="I2861" s="5" t="n">
        <v>0.1</v>
      </c>
    </row>
    <row r="2862" customFormat="false" ht="12.75" hidden="false" customHeight="true" outlineLevel="0" collapsed="false">
      <c r="A2862" s="5" t="s">
        <v>3657</v>
      </c>
      <c r="B2862" s="7" t="n">
        <v>5</v>
      </c>
      <c r="C2862" s="7" t="n">
        <v>5</v>
      </c>
      <c r="D2862" s="7" t="s">
        <v>3962</v>
      </c>
      <c r="E2862" s="7"/>
      <c r="G2862" s="5" t="str">
        <f aca="false">IF(ISNUMBER(FIND("old rod:",A2862)),"old rod:",A2862)</f>
        <v>5, 5, MAREEP</v>
      </c>
      <c r="I2862" s="5" t="s">
        <v>3657</v>
      </c>
    </row>
    <row r="2863" customFormat="false" ht="12.75" hidden="false" customHeight="true" outlineLevel="0" collapsed="false">
      <c r="A2863" s="5" t="s">
        <v>3658</v>
      </c>
      <c r="B2863" s="7" t="n">
        <v>11</v>
      </c>
      <c r="C2863" s="7" t="n">
        <v>11</v>
      </c>
      <c r="D2863" s="7" t="s">
        <v>3962</v>
      </c>
      <c r="E2863" s="7"/>
      <c r="G2863" s="5" t="str">
        <f aca="false">IF(ISNUMBER(FIND("old rod:",A2863)),"old rod:",A2863)</f>
        <v>11, 11, MAREEP</v>
      </c>
      <c r="I2863" s="5" t="s">
        <v>3658</v>
      </c>
    </row>
    <row r="2864" customFormat="false" ht="12.75" hidden="false" customHeight="true" outlineLevel="0" collapsed="false">
      <c r="A2864" s="5" t="s">
        <v>2146</v>
      </c>
      <c r="B2864" s="7" t="n">
        <v>7</v>
      </c>
      <c r="C2864" s="7" t="n">
        <v>7</v>
      </c>
      <c r="D2864" s="7" t="s">
        <v>3962</v>
      </c>
      <c r="E2864" s="7"/>
      <c r="G2864" s="5" t="str">
        <f aca="false">IF(ISNUMBER(FIND("old rod:",A2864)),"old rod:",A2864)</f>
        <v>7, 7, MAREEP</v>
      </c>
      <c r="I2864" s="5" t="s">
        <v>2146</v>
      </c>
    </row>
    <row r="2865" customFormat="false" ht="12.75" hidden="false" customHeight="true" outlineLevel="0" collapsed="false">
      <c r="A2865" s="5" t="s">
        <v>3656</v>
      </c>
      <c r="B2865" s="7" t="n">
        <v>9</v>
      </c>
      <c r="C2865" s="7" t="n">
        <v>9</v>
      </c>
      <c r="D2865" s="7" t="s">
        <v>3962</v>
      </c>
      <c r="E2865" s="7"/>
      <c r="G2865" s="5" t="str">
        <f aca="false">IF(ISNUMBER(FIND("old rod:",A2865)),"old rod:",A2865)</f>
        <v>9, 9, MAREEP</v>
      </c>
      <c r="I2865" s="5" t="s">
        <v>3656</v>
      </c>
    </row>
    <row r="2866" customFormat="false" ht="12.75" hidden="false" customHeight="true" outlineLevel="0" collapsed="false">
      <c r="A2866" s="5" t="n">
        <v>0.05</v>
      </c>
      <c r="B2866" s="5" t="n">
        <v>0.05</v>
      </c>
      <c r="C2866" s="7"/>
      <c r="D2866" s="7"/>
      <c r="E2866" s="7"/>
      <c r="G2866" s="5" t="n">
        <f aca="false">IF(ISNUMBER(FIND("old rod:",A2866)),"old rod:",A2866)</f>
        <v>0.05</v>
      </c>
      <c r="I2866" s="5" t="n">
        <v>0.05</v>
      </c>
    </row>
    <row r="2867" customFormat="false" ht="12.75" hidden="false" customHeight="true" outlineLevel="0" collapsed="false">
      <c r="A2867" s="5" t="s">
        <v>3659</v>
      </c>
      <c r="B2867" s="7" t="n">
        <v>13</v>
      </c>
      <c r="C2867" s="7" t="n">
        <v>13</v>
      </c>
      <c r="D2867" s="7" t="s">
        <v>3962</v>
      </c>
      <c r="E2867" s="7"/>
      <c r="G2867" s="5" t="str">
        <f aca="false">IF(ISNUMBER(FIND("old rod:",A2867)),"old rod:",A2867)</f>
        <v>13, 13, MAREEP</v>
      </c>
      <c r="I2867" s="5" t="s">
        <v>3659</v>
      </c>
    </row>
    <row r="2868" customFormat="false" ht="12.75" hidden="false" customHeight="true" outlineLevel="0" collapsed="false">
      <c r="A2868" s="5" t="s">
        <v>3660</v>
      </c>
      <c r="B2868" s="7" t="n">
        <v>3</v>
      </c>
      <c r="C2868" s="7" t="n">
        <v>3</v>
      </c>
      <c r="D2868" s="7" t="s">
        <v>3962</v>
      </c>
      <c r="E2868" s="7"/>
      <c r="G2868" s="5" t="str">
        <f aca="false">IF(ISNUMBER(FIND("old rod:",A2868)),"old rod:",A2868)</f>
        <v>3, 3, MAREEP</v>
      </c>
      <c r="I2868" s="5" t="s">
        <v>3660</v>
      </c>
    </row>
    <row r="2869" customFormat="false" ht="12.75" hidden="false" customHeight="true" outlineLevel="0" collapsed="false">
      <c r="A2869" s="5" t="n">
        <v>0.04</v>
      </c>
      <c r="B2869" s="5" t="n">
        <v>0.04</v>
      </c>
      <c r="C2869" s="7"/>
      <c r="D2869" s="7"/>
      <c r="E2869" s="7"/>
      <c r="G2869" s="5" t="n">
        <f aca="false">IF(ISNUMBER(FIND("old rod:",A2869)),"old rod:",A2869)</f>
        <v>0.04</v>
      </c>
      <c r="I2869" s="5" t="n">
        <v>0.04</v>
      </c>
    </row>
    <row r="2870" customFormat="false" ht="12.75" hidden="false" customHeight="true" outlineLevel="0" collapsed="false">
      <c r="A2870" s="5" t="s">
        <v>3657</v>
      </c>
      <c r="B2870" s="7" t="n">
        <v>5</v>
      </c>
      <c r="C2870" s="7" t="n">
        <v>5</v>
      </c>
      <c r="D2870" s="7" t="s">
        <v>3962</v>
      </c>
      <c r="E2870" s="7"/>
      <c r="G2870" s="5" t="str">
        <f aca="false">IF(ISNUMBER(FIND("old rod:",A2870)),"old rod:",A2870)</f>
        <v>5, 5, MAREEP</v>
      </c>
      <c r="I2870" s="5" t="s">
        <v>3657</v>
      </c>
    </row>
    <row r="2871" customFormat="false" ht="12.75" hidden="false" customHeight="true" outlineLevel="0" collapsed="false">
      <c r="A2871" s="5" t="s">
        <v>3658</v>
      </c>
      <c r="B2871" s="7" t="n">
        <v>11</v>
      </c>
      <c r="C2871" s="7" t="n">
        <v>11</v>
      </c>
      <c r="D2871" s="7" t="s">
        <v>3962</v>
      </c>
      <c r="E2871" s="7"/>
      <c r="G2871" s="5" t="str">
        <f aca="false">IF(ISNUMBER(FIND("old rod:",A2871)),"old rod:",A2871)</f>
        <v>11, 11, MAREEP</v>
      </c>
      <c r="I2871" s="5" t="s">
        <v>3658</v>
      </c>
    </row>
    <row r="2872" customFormat="false" ht="12.75" hidden="false" customHeight="true" outlineLevel="0" collapsed="false">
      <c r="A2872" s="5" t="n">
        <v>0.01</v>
      </c>
      <c r="B2872" s="5" t="n">
        <v>0.01</v>
      </c>
      <c r="C2872" s="7"/>
      <c r="D2872" s="7"/>
      <c r="E2872" s="7"/>
      <c r="G2872" s="5" t="n">
        <f aca="false">IF(ISNUMBER(FIND("old rod:",A2872)),"old rod:",A2872)</f>
        <v>0.01</v>
      </c>
      <c r="I2872" s="5" t="n">
        <v>0.01</v>
      </c>
    </row>
    <row r="2873" customFormat="false" ht="12.75" hidden="false" customHeight="true" outlineLevel="0" collapsed="false">
      <c r="A2873" s="5" t="s">
        <v>3657</v>
      </c>
      <c r="B2873" s="7" t="n">
        <v>5</v>
      </c>
      <c r="C2873" s="7" t="n">
        <v>5</v>
      </c>
      <c r="D2873" s="7" t="s">
        <v>3962</v>
      </c>
      <c r="E2873" s="7"/>
      <c r="G2873" s="5" t="str">
        <f aca="false">IF(ISNUMBER(FIND("old rod:",A2873)),"old rod:",A2873)</f>
        <v>5, 5, MAREEP</v>
      </c>
      <c r="I2873" s="5" t="s">
        <v>3657</v>
      </c>
    </row>
    <row r="2874" customFormat="false" ht="12.75" hidden="false" customHeight="true" outlineLevel="0" collapsed="false">
      <c r="A2874" s="5" t="s">
        <v>3658</v>
      </c>
      <c r="B2874" s="7" t="n">
        <v>11</v>
      </c>
      <c r="C2874" s="7" t="n">
        <v>11</v>
      </c>
      <c r="D2874" s="7" t="s">
        <v>3962</v>
      </c>
      <c r="E2874" s="7"/>
      <c r="G2874" s="5" t="str">
        <f aca="false">IF(ISNUMBER(FIND("old rod:",A2874)),"old rod:",A2874)</f>
        <v>11, 11, MAREEP</v>
      </c>
      <c r="I2874" s="5" t="s">
        <v>3658</v>
      </c>
    </row>
    <row r="2875" customFormat="false" ht="12.75" hidden="false" customHeight="true" outlineLevel="0" collapsed="false">
      <c r="A2875" s="5" t="s">
        <v>2536</v>
      </c>
      <c r="B2875" s="7" t="s">
        <v>2536</v>
      </c>
      <c r="C2875" s="7"/>
      <c r="D2875" s="7"/>
      <c r="E2875" s="7"/>
      <c r="G2875" s="5" t="str">
        <f aca="false">IF(ISNUMBER(FIND("old rod:",A2875)),"old rod:",A2875)</f>
        <v>NEW ROUTE</v>
      </c>
      <c r="I2875" s="5" t="s">
        <v>2536</v>
      </c>
    </row>
    <row r="2876" customFormat="false" ht="12.75" hidden="false" customHeight="true" outlineLevel="0" collapsed="false">
      <c r="A2876" s="5" t="s">
        <v>257</v>
      </c>
      <c r="B2876" s="7" t="s">
        <v>257</v>
      </c>
      <c r="C2876" s="7"/>
      <c r="D2876" s="7"/>
      <c r="E2876" s="7"/>
      <c r="G2876" s="5" t="str">
        <f aca="false">IF(ISNUMBER(FIND("old rod:",A2876)),"old rod:",A2876)</f>
        <v>Six Island Altering Cave</v>
      </c>
      <c r="I2876" s="5" t="s">
        <v>257</v>
      </c>
    </row>
    <row r="2877" customFormat="false" ht="12.75" hidden="false" customHeight="true" outlineLevel="0" collapsed="false">
      <c r="A2877" s="5" t="n">
        <v>0.2</v>
      </c>
      <c r="B2877" s="5" t="n">
        <v>0.2</v>
      </c>
      <c r="C2877" s="7"/>
      <c r="D2877" s="7"/>
      <c r="E2877" s="7"/>
      <c r="G2877" s="5" t="n">
        <f aca="false">IF(ISNUMBER(FIND("old rod:",A2877)),"old rod:",A2877)</f>
        <v>0.2</v>
      </c>
      <c r="I2877" s="5" t="n">
        <v>0.2</v>
      </c>
    </row>
    <row r="2878" customFormat="false" ht="12.75" hidden="false" customHeight="true" outlineLevel="0" collapsed="false">
      <c r="A2878" s="5" t="s">
        <v>2154</v>
      </c>
      <c r="B2878" s="7" t="n">
        <v>23</v>
      </c>
      <c r="C2878" s="7" t="n">
        <v>23</v>
      </c>
      <c r="D2878" s="7" t="s">
        <v>3963</v>
      </c>
      <c r="E2878" s="7"/>
      <c r="G2878" s="5" t="str">
        <f aca="false">IF(ISNUMBER(FIND("old rod:",A2878)),"old rod:",A2878)</f>
        <v>23, 23, PINECO</v>
      </c>
      <c r="I2878" s="5" t="s">
        <v>2154</v>
      </c>
    </row>
    <row r="2879" customFormat="false" ht="12.75" hidden="false" customHeight="true" outlineLevel="0" collapsed="false">
      <c r="A2879" s="5" t="s">
        <v>3662</v>
      </c>
      <c r="B2879" s="7" t="n">
        <v>25</v>
      </c>
      <c r="C2879" s="7" t="n">
        <v>25</v>
      </c>
      <c r="D2879" s="7" t="s">
        <v>3963</v>
      </c>
      <c r="E2879" s="7"/>
      <c r="G2879" s="5" t="str">
        <f aca="false">IF(ISNUMBER(FIND("old rod:",A2879)),"old rod:",A2879)</f>
        <v>25, 25, PINECO</v>
      </c>
      <c r="I2879" s="5" t="s">
        <v>3662</v>
      </c>
    </row>
    <row r="2880" customFormat="false" ht="12.75" hidden="false" customHeight="true" outlineLevel="0" collapsed="false">
      <c r="A2880" s="5" t="n">
        <v>0.1</v>
      </c>
      <c r="B2880" s="5" t="n">
        <v>0.1</v>
      </c>
      <c r="C2880" s="7"/>
      <c r="D2880" s="7"/>
      <c r="E2880" s="7"/>
      <c r="G2880" s="5" t="n">
        <f aca="false">IF(ISNUMBER(FIND("old rod:",A2880)),"old rod:",A2880)</f>
        <v>0.1</v>
      </c>
      <c r="I2880" s="5" t="n">
        <v>0.1</v>
      </c>
    </row>
    <row r="2881" customFormat="false" ht="12.75" hidden="false" customHeight="true" outlineLevel="0" collapsed="false">
      <c r="A2881" s="5" t="s">
        <v>3663</v>
      </c>
      <c r="B2881" s="7" t="n">
        <v>22</v>
      </c>
      <c r="C2881" s="7" t="n">
        <v>22</v>
      </c>
      <c r="D2881" s="7" t="s">
        <v>3963</v>
      </c>
      <c r="E2881" s="7"/>
      <c r="G2881" s="5" t="str">
        <f aca="false">IF(ISNUMBER(FIND("old rod:",A2881)),"old rod:",A2881)</f>
        <v>22, 22, PINECO</v>
      </c>
      <c r="I2881" s="5" t="s">
        <v>3663</v>
      </c>
    </row>
    <row r="2882" customFormat="false" ht="12.75" hidden="false" customHeight="true" outlineLevel="0" collapsed="false">
      <c r="A2882" s="5" t="s">
        <v>3664</v>
      </c>
      <c r="B2882" s="7" t="n">
        <v>27</v>
      </c>
      <c r="C2882" s="7" t="n">
        <v>27</v>
      </c>
      <c r="D2882" s="7" t="s">
        <v>3963</v>
      </c>
      <c r="E2882" s="7"/>
      <c r="G2882" s="5" t="str">
        <f aca="false">IF(ISNUMBER(FIND("old rod:",A2882)),"old rod:",A2882)</f>
        <v>27, 27, PINECO</v>
      </c>
      <c r="I2882" s="5" t="s">
        <v>3664</v>
      </c>
    </row>
    <row r="2883" customFormat="false" ht="12.75" hidden="false" customHeight="true" outlineLevel="0" collapsed="false">
      <c r="A2883" s="5" t="s">
        <v>2154</v>
      </c>
      <c r="B2883" s="7" t="n">
        <v>23</v>
      </c>
      <c r="C2883" s="7" t="n">
        <v>23</v>
      </c>
      <c r="D2883" s="7" t="s">
        <v>3963</v>
      </c>
      <c r="E2883" s="7"/>
      <c r="G2883" s="5" t="str">
        <f aca="false">IF(ISNUMBER(FIND("old rod:",A2883)),"old rod:",A2883)</f>
        <v>23, 23, PINECO</v>
      </c>
      <c r="I2883" s="5" t="s">
        <v>2154</v>
      </c>
    </row>
    <row r="2884" customFormat="false" ht="12.75" hidden="false" customHeight="true" outlineLevel="0" collapsed="false">
      <c r="A2884" s="5" t="s">
        <v>3662</v>
      </c>
      <c r="B2884" s="7" t="n">
        <v>25</v>
      </c>
      <c r="C2884" s="7" t="n">
        <v>25</v>
      </c>
      <c r="D2884" s="7" t="s">
        <v>3963</v>
      </c>
      <c r="E2884" s="7"/>
      <c r="G2884" s="5" t="str">
        <f aca="false">IF(ISNUMBER(FIND("old rod:",A2884)),"old rod:",A2884)</f>
        <v>25, 25, PINECO</v>
      </c>
      <c r="I2884" s="5" t="s">
        <v>3662</v>
      </c>
    </row>
    <row r="2885" customFormat="false" ht="12.75" hidden="false" customHeight="true" outlineLevel="0" collapsed="false">
      <c r="A2885" s="5" t="n">
        <v>0.05</v>
      </c>
      <c r="B2885" s="5" t="n">
        <v>0.05</v>
      </c>
      <c r="C2885" s="7"/>
      <c r="D2885" s="7"/>
      <c r="E2885" s="7"/>
      <c r="G2885" s="5" t="n">
        <f aca="false">IF(ISNUMBER(FIND("old rod:",A2885)),"old rod:",A2885)</f>
        <v>0.05</v>
      </c>
      <c r="I2885" s="5" t="n">
        <v>0.05</v>
      </c>
    </row>
    <row r="2886" customFormat="false" ht="12.75" hidden="false" customHeight="true" outlineLevel="0" collapsed="false">
      <c r="A2886" s="5" t="s">
        <v>3665</v>
      </c>
      <c r="B2886" s="7" t="n">
        <v>29</v>
      </c>
      <c r="C2886" s="7" t="n">
        <v>29</v>
      </c>
      <c r="D2886" s="7" t="s">
        <v>3963</v>
      </c>
      <c r="E2886" s="7"/>
      <c r="G2886" s="5" t="str">
        <f aca="false">IF(ISNUMBER(FIND("old rod:",A2886)),"old rod:",A2886)</f>
        <v>29, 29, PINECO</v>
      </c>
      <c r="I2886" s="5" t="s">
        <v>3665</v>
      </c>
    </row>
    <row r="2887" customFormat="false" ht="12.75" hidden="false" customHeight="true" outlineLevel="0" collapsed="false">
      <c r="A2887" s="5" t="s">
        <v>3666</v>
      </c>
      <c r="B2887" s="7" t="n">
        <v>19</v>
      </c>
      <c r="C2887" s="7" t="n">
        <v>19</v>
      </c>
      <c r="D2887" s="7" t="s">
        <v>3963</v>
      </c>
      <c r="E2887" s="7"/>
      <c r="G2887" s="5" t="str">
        <f aca="false">IF(ISNUMBER(FIND("old rod:",A2887)),"old rod:",A2887)</f>
        <v>19, 19, PINECO</v>
      </c>
      <c r="I2887" s="5" t="s">
        <v>3666</v>
      </c>
    </row>
    <row r="2888" customFormat="false" ht="12.75" hidden="false" customHeight="true" outlineLevel="0" collapsed="false">
      <c r="A2888" s="5" t="n">
        <v>0.04</v>
      </c>
      <c r="B2888" s="5" t="n">
        <v>0.04</v>
      </c>
      <c r="C2888" s="7"/>
      <c r="D2888" s="7"/>
      <c r="E2888" s="7"/>
      <c r="G2888" s="5" t="n">
        <f aca="false">IF(ISNUMBER(FIND("old rod:",A2888)),"old rod:",A2888)</f>
        <v>0.04</v>
      </c>
      <c r="I2888" s="5" t="n">
        <v>0.04</v>
      </c>
    </row>
    <row r="2889" customFormat="false" ht="12.75" hidden="false" customHeight="true" outlineLevel="0" collapsed="false">
      <c r="A2889" s="5" t="s">
        <v>3667</v>
      </c>
      <c r="B2889" s="7" t="n">
        <v>21</v>
      </c>
      <c r="C2889" s="7" t="n">
        <v>21</v>
      </c>
      <c r="D2889" s="7" t="s">
        <v>3963</v>
      </c>
      <c r="E2889" s="7"/>
      <c r="G2889" s="5" t="str">
        <f aca="false">IF(ISNUMBER(FIND("old rod:",A2889)),"old rod:",A2889)</f>
        <v>21, 21, PINECO</v>
      </c>
      <c r="I2889" s="5" t="s">
        <v>3667</v>
      </c>
    </row>
    <row r="2890" customFormat="false" ht="12.75" hidden="false" customHeight="true" outlineLevel="0" collapsed="false">
      <c r="A2890" s="5" t="s">
        <v>3664</v>
      </c>
      <c r="B2890" s="7" t="n">
        <v>27</v>
      </c>
      <c r="C2890" s="7" t="n">
        <v>27</v>
      </c>
      <c r="D2890" s="7" t="s">
        <v>3963</v>
      </c>
      <c r="E2890" s="7"/>
      <c r="G2890" s="5" t="str">
        <f aca="false">IF(ISNUMBER(FIND("old rod:",A2890)),"old rod:",A2890)</f>
        <v>27, 27, PINECO</v>
      </c>
      <c r="I2890" s="5" t="s">
        <v>3664</v>
      </c>
    </row>
    <row r="2891" customFormat="false" ht="12.75" hidden="false" customHeight="true" outlineLevel="0" collapsed="false">
      <c r="A2891" s="5" t="n">
        <v>0.01</v>
      </c>
      <c r="B2891" s="5" t="n">
        <v>0.01</v>
      </c>
      <c r="C2891" s="7"/>
      <c r="D2891" s="7"/>
      <c r="E2891" s="7"/>
      <c r="G2891" s="5" t="n">
        <f aca="false">IF(ISNUMBER(FIND("old rod:",A2891)),"old rod:",A2891)</f>
        <v>0.01</v>
      </c>
      <c r="I2891" s="5" t="n">
        <v>0.01</v>
      </c>
    </row>
    <row r="2892" customFormat="false" ht="12.75" hidden="false" customHeight="true" outlineLevel="0" collapsed="false">
      <c r="A2892" s="5" t="s">
        <v>3667</v>
      </c>
      <c r="B2892" s="7" t="n">
        <v>21</v>
      </c>
      <c r="C2892" s="7" t="n">
        <v>21</v>
      </c>
      <c r="D2892" s="7" t="s">
        <v>3963</v>
      </c>
      <c r="E2892" s="7"/>
      <c r="G2892" s="5" t="str">
        <f aca="false">IF(ISNUMBER(FIND("old rod:",A2892)),"old rod:",A2892)</f>
        <v>21, 21, PINECO</v>
      </c>
      <c r="I2892" s="5" t="s">
        <v>3667</v>
      </c>
    </row>
    <row r="2893" customFormat="false" ht="12.75" hidden="false" customHeight="true" outlineLevel="0" collapsed="false">
      <c r="A2893" s="5" t="s">
        <v>3664</v>
      </c>
      <c r="B2893" s="7" t="n">
        <v>27</v>
      </c>
      <c r="C2893" s="7" t="n">
        <v>27</v>
      </c>
      <c r="D2893" s="7" t="s">
        <v>3963</v>
      </c>
      <c r="E2893" s="7"/>
      <c r="G2893" s="5" t="str">
        <f aca="false">IF(ISNUMBER(FIND("old rod:",A2893)),"old rod:",A2893)</f>
        <v>27, 27, PINECO</v>
      </c>
      <c r="I2893" s="5" t="s">
        <v>3664</v>
      </c>
    </row>
    <row r="2894" customFormat="false" ht="12.75" hidden="false" customHeight="true" outlineLevel="0" collapsed="false">
      <c r="A2894" s="5" t="s">
        <v>2536</v>
      </c>
      <c r="B2894" s="7" t="s">
        <v>2536</v>
      </c>
      <c r="C2894" s="7"/>
      <c r="D2894" s="7"/>
      <c r="E2894" s="7"/>
      <c r="G2894" s="5" t="str">
        <f aca="false">IF(ISNUMBER(FIND("old rod:",A2894)),"old rod:",A2894)</f>
        <v>NEW ROUTE</v>
      </c>
      <c r="I2894" s="5" t="s">
        <v>2536</v>
      </c>
    </row>
    <row r="2895" customFormat="false" ht="12.75" hidden="false" customHeight="true" outlineLevel="0" collapsed="false">
      <c r="A2895" s="5" t="s">
        <v>257</v>
      </c>
      <c r="B2895" s="7" t="s">
        <v>257</v>
      </c>
      <c r="C2895" s="7"/>
      <c r="D2895" s="7"/>
      <c r="E2895" s="7"/>
      <c r="G2895" s="5" t="str">
        <f aca="false">IF(ISNUMBER(FIND("old rod:",A2895)),"old rod:",A2895)</f>
        <v>Six Island Altering Cave</v>
      </c>
      <c r="I2895" s="5" t="s">
        <v>257</v>
      </c>
    </row>
    <row r="2896" customFormat="false" ht="12.75" hidden="false" customHeight="true" outlineLevel="0" collapsed="false">
      <c r="A2896" s="5" t="n">
        <v>0.2</v>
      </c>
      <c r="B2896" s="5" t="n">
        <v>0.2</v>
      </c>
      <c r="C2896" s="7"/>
      <c r="D2896" s="7"/>
      <c r="E2896" s="7"/>
      <c r="G2896" s="5" t="n">
        <f aca="false">IF(ISNUMBER(FIND("old rod:",A2896)),"old rod:",A2896)</f>
        <v>0.2</v>
      </c>
      <c r="I2896" s="5" t="n">
        <v>0.2</v>
      </c>
    </row>
    <row r="2897" customFormat="false" ht="12.75" hidden="false" customHeight="true" outlineLevel="0" collapsed="false">
      <c r="A2897" s="5" t="s">
        <v>2163</v>
      </c>
      <c r="B2897" s="7" t="n">
        <v>16</v>
      </c>
      <c r="C2897" s="7" t="n">
        <v>16</v>
      </c>
      <c r="D2897" s="7" t="s">
        <v>3964</v>
      </c>
      <c r="E2897" s="7"/>
      <c r="G2897" s="5" t="str">
        <f aca="false">IF(ISNUMBER(FIND("old rod:",A2897)),"old rod:",A2897)</f>
        <v>16, 16, HOUNDOUR</v>
      </c>
      <c r="I2897" s="5" t="s">
        <v>2163</v>
      </c>
    </row>
    <row r="2898" customFormat="false" ht="12.75" hidden="false" customHeight="true" outlineLevel="0" collapsed="false">
      <c r="A2898" s="5" t="s">
        <v>3669</v>
      </c>
      <c r="B2898" s="7" t="n">
        <v>18</v>
      </c>
      <c r="C2898" s="7" t="n">
        <v>18</v>
      </c>
      <c r="D2898" s="7" t="s">
        <v>3964</v>
      </c>
      <c r="E2898" s="7"/>
      <c r="G2898" s="5" t="str">
        <f aca="false">IF(ISNUMBER(FIND("old rod:",A2898)),"old rod:",A2898)</f>
        <v>18, 18, HOUNDOUR</v>
      </c>
      <c r="I2898" s="5" t="s">
        <v>3669</v>
      </c>
    </row>
    <row r="2899" customFormat="false" ht="12.75" hidden="false" customHeight="true" outlineLevel="0" collapsed="false">
      <c r="A2899" s="5" t="n">
        <v>0.1</v>
      </c>
      <c r="B2899" s="5" t="n">
        <v>0.1</v>
      </c>
      <c r="C2899" s="7"/>
      <c r="D2899" s="7"/>
      <c r="E2899" s="7"/>
      <c r="G2899" s="5" t="n">
        <f aca="false">IF(ISNUMBER(FIND("old rod:",A2899)),"old rod:",A2899)</f>
        <v>0.1</v>
      </c>
      <c r="I2899" s="5" t="n">
        <v>0.1</v>
      </c>
    </row>
    <row r="2900" customFormat="false" ht="12.75" hidden="false" customHeight="true" outlineLevel="0" collapsed="false">
      <c r="A2900" s="5" t="s">
        <v>3670</v>
      </c>
      <c r="B2900" s="7" t="n">
        <v>14</v>
      </c>
      <c r="C2900" s="7" t="n">
        <v>14</v>
      </c>
      <c r="D2900" s="7" t="s">
        <v>3964</v>
      </c>
      <c r="E2900" s="7"/>
      <c r="G2900" s="5" t="str">
        <f aca="false">IF(ISNUMBER(FIND("old rod:",A2900)),"old rod:",A2900)</f>
        <v>14, 14, HOUNDOUR</v>
      </c>
      <c r="I2900" s="5" t="s">
        <v>3670</v>
      </c>
    </row>
    <row r="2901" customFormat="false" ht="12.75" hidden="false" customHeight="true" outlineLevel="0" collapsed="false">
      <c r="A2901" s="5" t="s">
        <v>3671</v>
      </c>
      <c r="B2901" s="7" t="n">
        <v>20</v>
      </c>
      <c r="C2901" s="7" t="n">
        <v>20</v>
      </c>
      <c r="D2901" s="7" t="s">
        <v>3964</v>
      </c>
      <c r="E2901" s="7"/>
      <c r="G2901" s="5" t="str">
        <f aca="false">IF(ISNUMBER(FIND("old rod:",A2901)),"old rod:",A2901)</f>
        <v>20, 20, HOUNDOUR</v>
      </c>
      <c r="I2901" s="5" t="s">
        <v>3671</v>
      </c>
    </row>
    <row r="2902" customFormat="false" ht="12.75" hidden="false" customHeight="true" outlineLevel="0" collapsed="false">
      <c r="A2902" s="5" t="s">
        <v>2163</v>
      </c>
      <c r="B2902" s="7" t="n">
        <v>16</v>
      </c>
      <c r="C2902" s="7" t="n">
        <v>16</v>
      </c>
      <c r="D2902" s="7" t="s">
        <v>3964</v>
      </c>
      <c r="E2902" s="7"/>
      <c r="G2902" s="5" t="str">
        <f aca="false">IF(ISNUMBER(FIND("old rod:",A2902)),"old rod:",A2902)</f>
        <v>16, 16, HOUNDOUR</v>
      </c>
      <c r="I2902" s="5" t="s">
        <v>2163</v>
      </c>
    </row>
    <row r="2903" customFormat="false" ht="12.75" hidden="false" customHeight="true" outlineLevel="0" collapsed="false">
      <c r="A2903" s="5" t="s">
        <v>3669</v>
      </c>
      <c r="B2903" s="7" t="n">
        <v>18</v>
      </c>
      <c r="C2903" s="7" t="n">
        <v>18</v>
      </c>
      <c r="D2903" s="7" t="s">
        <v>3964</v>
      </c>
      <c r="E2903" s="7"/>
      <c r="G2903" s="5" t="str">
        <f aca="false">IF(ISNUMBER(FIND("old rod:",A2903)),"old rod:",A2903)</f>
        <v>18, 18, HOUNDOUR</v>
      </c>
      <c r="I2903" s="5" t="s">
        <v>3669</v>
      </c>
    </row>
    <row r="2904" customFormat="false" ht="12.75" hidden="false" customHeight="true" outlineLevel="0" collapsed="false">
      <c r="A2904" s="5" t="n">
        <v>0.05</v>
      </c>
      <c r="B2904" s="5" t="n">
        <v>0.05</v>
      </c>
      <c r="C2904" s="7"/>
      <c r="D2904" s="7"/>
      <c r="E2904" s="7"/>
      <c r="G2904" s="5" t="n">
        <f aca="false">IF(ISNUMBER(FIND("old rod:",A2904)),"old rod:",A2904)</f>
        <v>0.05</v>
      </c>
      <c r="I2904" s="5" t="n">
        <v>0.05</v>
      </c>
    </row>
    <row r="2905" customFormat="false" ht="12.75" hidden="false" customHeight="true" outlineLevel="0" collapsed="false">
      <c r="A2905" s="5" t="s">
        <v>3672</v>
      </c>
      <c r="B2905" s="7" t="n">
        <v>22</v>
      </c>
      <c r="C2905" s="7" t="n">
        <v>22</v>
      </c>
      <c r="D2905" s="7" t="s">
        <v>3964</v>
      </c>
      <c r="E2905" s="7"/>
      <c r="G2905" s="5" t="str">
        <f aca="false">IF(ISNUMBER(FIND("old rod:",A2905)),"old rod:",A2905)</f>
        <v>22, 22, HOUNDOUR</v>
      </c>
      <c r="I2905" s="5" t="s">
        <v>3672</v>
      </c>
    </row>
    <row r="2906" customFormat="false" ht="12.75" hidden="false" customHeight="true" outlineLevel="0" collapsed="false">
      <c r="A2906" s="5" t="s">
        <v>3673</v>
      </c>
      <c r="B2906" s="7" t="n">
        <v>12</v>
      </c>
      <c r="C2906" s="7" t="n">
        <v>12</v>
      </c>
      <c r="D2906" s="7" t="s">
        <v>3964</v>
      </c>
      <c r="E2906" s="7"/>
      <c r="G2906" s="5" t="str">
        <f aca="false">IF(ISNUMBER(FIND("old rod:",A2906)),"old rod:",A2906)</f>
        <v>12, 12, HOUNDOUR</v>
      </c>
      <c r="I2906" s="5" t="s">
        <v>3673</v>
      </c>
    </row>
    <row r="2907" customFormat="false" ht="12.75" hidden="false" customHeight="true" outlineLevel="0" collapsed="false">
      <c r="A2907" s="5" t="n">
        <v>0.04</v>
      </c>
      <c r="B2907" s="5" t="n">
        <v>0.04</v>
      </c>
      <c r="C2907" s="7"/>
      <c r="D2907" s="7"/>
      <c r="E2907" s="7"/>
      <c r="G2907" s="5" t="n">
        <f aca="false">IF(ISNUMBER(FIND("old rod:",A2907)),"old rod:",A2907)</f>
        <v>0.04</v>
      </c>
      <c r="I2907" s="5" t="n">
        <v>0.04</v>
      </c>
    </row>
    <row r="2908" customFormat="false" ht="12.75" hidden="false" customHeight="true" outlineLevel="0" collapsed="false">
      <c r="A2908" s="5" t="s">
        <v>3670</v>
      </c>
      <c r="B2908" s="7" t="n">
        <v>14</v>
      </c>
      <c r="C2908" s="7" t="n">
        <v>14</v>
      </c>
      <c r="D2908" s="7" t="s">
        <v>3964</v>
      </c>
      <c r="E2908" s="7"/>
      <c r="G2908" s="5" t="str">
        <f aca="false">IF(ISNUMBER(FIND("old rod:",A2908)),"old rod:",A2908)</f>
        <v>14, 14, HOUNDOUR</v>
      </c>
      <c r="I2908" s="5" t="s">
        <v>3670</v>
      </c>
    </row>
    <row r="2909" customFormat="false" ht="12.75" hidden="false" customHeight="true" outlineLevel="0" collapsed="false">
      <c r="A2909" s="5" t="s">
        <v>3671</v>
      </c>
      <c r="B2909" s="7" t="n">
        <v>20</v>
      </c>
      <c r="C2909" s="7" t="n">
        <v>20</v>
      </c>
      <c r="D2909" s="7" t="s">
        <v>3964</v>
      </c>
      <c r="E2909" s="7"/>
      <c r="G2909" s="5" t="str">
        <f aca="false">IF(ISNUMBER(FIND("old rod:",A2909)),"old rod:",A2909)</f>
        <v>20, 20, HOUNDOUR</v>
      </c>
      <c r="I2909" s="5" t="s">
        <v>3671</v>
      </c>
    </row>
    <row r="2910" customFormat="false" ht="12.75" hidden="false" customHeight="true" outlineLevel="0" collapsed="false">
      <c r="A2910" s="5" t="n">
        <v>0.01</v>
      </c>
      <c r="B2910" s="5" t="n">
        <v>0.01</v>
      </c>
      <c r="C2910" s="7"/>
      <c r="D2910" s="7"/>
      <c r="E2910" s="7"/>
      <c r="G2910" s="5" t="n">
        <f aca="false">IF(ISNUMBER(FIND("old rod:",A2910)),"old rod:",A2910)</f>
        <v>0.01</v>
      </c>
      <c r="I2910" s="5" t="n">
        <v>0.01</v>
      </c>
    </row>
    <row r="2911" customFormat="false" ht="12.75" hidden="false" customHeight="true" outlineLevel="0" collapsed="false">
      <c r="A2911" s="5" t="s">
        <v>3670</v>
      </c>
      <c r="B2911" s="7" t="n">
        <v>14</v>
      </c>
      <c r="C2911" s="7" t="n">
        <v>14</v>
      </c>
      <c r="D2911" s="7" t="s">
        <v>3964</v>
      </c>
      <c r="E2911" s="7"/>
      <c r="G2911" s="5" t="str">
        <f aca="false">IF(ISNUMBER(FIND("old rod:",A2911)),"old rod:",A2911)</f>
        <v>14, 14, HOUNDOUR</v>
      </c>
      <c r="I2911" s="5" t="s">
        <v>3670</v>
      </c>
    </row>
    <row r="2912" customFormat="false" ht="12.75" hidden="false" customHeight="true" outlineLevel="0" collapsed="false">
      <c r="A2912" s="5" t="s">
        <v>3671</v>
      </c>
      <c r="B2912" s="7" t="n">
        <v>20</v>
      </c>
      <c r="C2912" s="7" t="n">
        <v>20</v>
      </c>
      <c r="D2912" s="7" t="s">
        <v>3964</v>
      </c>
      <c r="E2912" s="7"/>
      <c r="G2912" s="5" t="str">
        <f aca="false">IF(ISNUMBER(FIND("old rod:",A2912)),"old rod:",A2912)</f>
        <v>20, 20, HOUNDOUR</v>
      </c>
      <c r="I2912" s="5" t="s">
        <v>3671</v>
      </c>
    </row>
    <row r="2913" customFormat="false" ht="12.75" hidden="false" customHeight="true" outlineLevel="0" collapsed="false">
      <c r="A2913" s="5" t="s">
        <v>2536</v>
      </c>
      <c r="B2913" s="7" t="s">
        <v>2536</v>
      </c>
      <c r="C2913" s="7"/>
      <c r="D2913" s="7"/>
      <c r="E2913" s="7"/>
      <c r="G2913" s="5" t="str">
        <f aca="false">IF(ISNUMBER(FIND("old rod:",A2913)),"old rod:",A2913)</f>
        <v>NEW ROUTE</v>
      </c>
      <c r="I2913" s="5" t="s">
        <v>2536</v>
      </c>
    </row>
    <row r="2914" customFormat="false" ht="12.75" hidden="false" customHeight="true" outlineLevel="0" collapsed="false">
      <c r="A2914" s="5" t="s">
        <v>257</v>
      </c>
      <c r="B2914" s="7" t="s">
        <v>257</v>
      </c>
      <c r="C2914" s="7"/>
      <c r="D2914" s="7"/>
      <c r="E2914" s="7"/>
      <c r="G2914" s="5" t="str">
        <f aca="false">IF(ISNUMBER(FIND("old rod:",A2914)),"old rod:",A2914)</f>
        <v>Six Island Altering Cave</v>
      </c>
      <c r="I2914" s="5" t="s">
        <v>257</v>
      </c>
    </row>
    <row r="2915" customFormat="false" ht="12.75" hidden="false" customHeight="true" outlineLevel="0" collapsed="false">
      <c r="A2915" s="5" t="n">
        <v>0.2</v>
      </c>
      <c r="B2915" s="5" t="n">
        <v>0.2</v>
      </c>
      <c r="C2915" s="7"/>
      <c r="D2915" s="7"/>
      <c r="E2915" s="7"/>
      <c r="G2915" s="5" t="n">
        <f aca="false">IF(ISNUMBER(FIND("old rod:",A2915)),"old rod:",A2915)</f>
        <v>0.2</v>
      </c>
      <c r="I2915" s="5" t="n">
        <v>0.2</v>
      </c>
    </row>
    <row r="2916" customFormat="false" ht="12.75" hidden="false" customHeight="true" outlineLevel="0" collapsed="false">
      <c r="A2916" s="5" t="s">
        <v>2171</v>
      </c>
      <c r="B2916" s="7" t="n">
        <v>22</v>
      </c>
      <c r="C2916" s="7" t="n">
        <v>22</v>
      </c>
      <c r="D2916" s="7" t="s">
        <v>3965</v>
      </c>
      <c r="E2916" s="7"/>
      <c r="G2916" s="5" t="str">
        <f aca="false">IF(ISNUMBER(FIND("old rod:",A2916)),"old rod:",A2916)</f>
        <v>22, 22, TEDDIURSA</v>
      </c>
      <c r="I2916" s="5" t="s">
        <v>2171</v>
      </c>
    </row>
    <row r="2917" customFormat="false" ht="12.75" hidden="false" customHeight="true" outlineLevel="0" collapsed="false">
      <c r="A2917" s="5" t="s">
        <v>3675</v>
      </c>
      <c r="B2917" s="7" t="n">
        <v>24</v>
      </c>
      <c r="C2917" s="7" t="n">
        <v>24</v>
      </c>
      <c r="D2917" s="7" t="s">
        <v>3965</v>
      </c>
      <c r="E2917" s="7"/>
      <c r="G2917" s="5" t="str">
        <f aca="false">IF(ISNUMBER(FIND("old rod:",A2917)),"old rod:",A2917)</f>
        <v>24, 24, TEDDIURSA</v>
      </c>
      <c r="I2917" s="5" t="s">
        <v>3675</v>
      </c>
    </row>
    <row r="2918" customFormat="false" ht="12.75" hidden="false" customHeight="true" outlineLevel="0" collapsed="false">
      <c r="A2918" s="5" t="n">
        <v>0.1</v>
      </c>
      <c r="B2918" s="5" t="n">
        <v>0.1</v>
      </c>
      <c r="C2918" s="7"/>
      <c r="D2918" s="7"/>
      <c r="E2918" s="7"/>
      <c r="G2918" s="5" t="n">
        <f aca="false">IF(ISNUMBER(FIND("old rod:",A2918)),"old rod:",A2918)</f>
        <v>0.1</v>
      </c>
      <c r="I2918" s="5" t="n">
        <v>0.1</v>
      </c>
    </row>
    <row r="2919" customFormat="false" ht="12.75" hidden="false" customHeight="true" outlineLevel="0" collapsed="false">
      <c r="A2919" s="5" t="s">
        <v>3676</v>
      </c>
      <c r="B2919" s="7" t="n">
        <v>20</v>
      </c>
      <c r="C2919" s="7" t="n">
        <v>20</v>
      </c>
      <c r="D2919" s="7" t="s">
        <v>3965</v>
      </c>
      <c r="E2919" s="7"/>
      <c r="G2919" s="5" t="str">
        <f aca="false">IF(ISNUMBER(FIND("old rod:",A2919)),"old rod:",A2919)</f>
        <v>20, 20, TEDDIURSA</v>
      </c>
      <c r="I2919" s="5" t="s">
        <v>3676</v>
      </c>
    </row>
    <row r="2920" customFormat="false" ht="12.75" hidden="false" customHeight="true" outlineLevel="0" collapsed="false">
      <c r="A2920" s="5" t="s">
        <v>3677</v>
      </c>
      <c r="B2920" s="7" t="n">
        <v>26</v>
      </c>
      <c r="C2920" s="7" t="n">
        <v>26</v>
      </c>
      <c r="D2920" s="7" t="s">
        <v>3965</v>
      </c>
      <c r="E2920" s="7"/>
      <c r="G2920" s="5" t="str">
        <f aca="false">IF(ISNUMBER(FIND("old rod:",A2920)),"old rod:",A2920)</f>
        <v>26, 26, TEDDIURSA</v>
      </c>
      <c r="I2920" s="5" t="s">
        <v>3677</v>
      </c>
    </row>
    <row r="2921" customFormat="false" ht="12.75" hidden="false" customHeight="true" outlineLevel="0" collapsed="false">
      <c r="A2921" s="5" t="s">
        <v>2171</v>
      </c>
      <c r="B2921" s="7" t="n">
        <v>22</v>
      </c>
      <c r="C2921" s="7" t="n">
        <v>22</v>
      </c>
      <c r="D2921" s="7" t="s">
        <v>3965</v>
      </c>
      <c r="E2921" s="7"/>
      <c r="G2921" s="5" t="str">
        <f aca="false">IF(ISNUMBER(FIND("old rod:",A2921)),"old rod:",A2921)</f>
        <v>22, 22, TEDDIURSA</v>
      </c>
      <c r="I2921" s="5" t="s">
        <v>2171</v>
      </c>
    </row>
    <row r="2922" customFormat="false" ht="12.75" hidden="false" customHeight="true" outlineLevel="0" collapsed="false">
      <c r="A2922" s="5" t="s">
        <v>3675</v>
      </c>
      <c r="B2922" s="7" t="n">
        <v>24</v>
      </c>
      <c r="C2922" s="7" t="n">
        <v>24</v>
      </c>
      <c r="D2922" s="7" t="s">
        <v>3965</v>
      </c>
      <c r="E2922" s="7"/>
      <c r="G2922" s="5" t="str">
        <f aca="false">IF(ISNUMBER(FIND("old rod:",A2922)),"old rod:",A2922)</f>
        <v>24, 24, TEDDIURSA</v>
      </c>
      <c r="I2922" s="5" t="s">
        <v>3675</v>
      </c>
    </row>
    <row r="2923" customFormat="false" ht="12.75" hidden="false" customHeight="true" outlineLevel="0" collapsed="false">
      <c r="A2923" s="5" t="n">
        <v>0.05</v>
      </c>
      <c r="B2923" s="5" t="n">
        <v>0.05</v>
      </c>
      <c r="C2923" s="7"/>
      <c r="D2923" s="7"/>
      <c r="E2923" s="7"/>
      <c r="G2923" s="5" t="n">
        <f aca="false">IF(ISNUMBER(FIND("old rod:",A2923)),"old rod:",A2923)</f>
        <v>0.05</v>
      </c>
      <c r="I2923" s="5" t="n">
        <v>0.05</v>
      </c>
    </row>
    <row r="2924" customFormat="false" ht="12.75" hidden="false" customHeight="true" outlineLevel="0" collapsed="false">
      <c r="A2924" s="5" t="s">
        <v>3678</v>
      </c>
      <c r="B2924" s="7" t="n">
        <v>28</v>
      </c>
      <c r="C2924" s="7" t="n">
        <v>28</v>
      </c>
      <c r="D2924" s="7" t="s">
        <v>3965</v>
      </c>
      <c r="E2924" s="7"/>
      <c r="G2924" s="5" t="str">
        <f aca="false">IF(ISNUMBER(FIND("old rod:",A2924)),"old rod:",A2924)</f>
        <v>28, 28, TEDDIURSA</v>
      </c>
      <c r="I2924" s="5" t="s">
        <v>3678</v>
      </c>
    </row>
    <row r="2925" customFormat="false" ht="12.75" hidden="false" customHeight="true" outlineLevel="0" collapsed="false">
      <c r="A2925" s="5" t="s">
        <v>3679</v>
      </c>
      <c r="B2925" s="7" t="n">
        <v>18</v>
      </c>
      <c r="C2925" s="7" t="n">
        <v>18</v>
      </c>
      <c r="D2925" s="7" t="s">
        <v>3965</v>
      </c>
      <c r="E2925" s="7"/>
      <c r="G2925" s="5" t="str">
        <f aca="false">IF(ISNUMBER(FIND("old rod:",A2925)),"old rod:",A2925)</f>
        <v>18, 18, TEDDIURSA</v>
      </c>
      <c r="I2925" s="5" t="s">
        <v>3679</v>
      </c>
    </row>
    <row r="2926" customFormat="false" ht="12.75" hidden="false" customHeight="true" outlineLevel="0" collapsed="false">
      <c r="A2926" s="5" t="n">
        <v>0.04</v>
      </c>
      <c r="B2926" s="5" t="n">
        <v>0.04</v>
      </c>
      <c r="C2926" s="7"/>
      <c r="D2926" s="7"/>
      <c r="E2926" s="7"/>
      <c r="G2926" s="5" t="n">
        <f aca="false">IF(ISNUMBER(FIND("old rod:",A2926)),"old rod:",A2926)</f>
        <v>0.04</v>
      </c>
      <c r="I2926" s="5" t="n">
        <v>0.04</v>
      </c>
    </row>
    <row r="2927" customFormat="false" ht="12.75" hidden="false" customHeight="true" outlineLevel="0" collapsed="false">
      <c r="A2927" s="5" t="s">
        <v>3676</v>
      </c>
      <c r="B2927" s="7" t="n">
        <v>20</v>
      </c>
      <c r="C2927" s="7" t="n">
        <v>20</v>
      </c>
      <c r="D2927" s="7" t="s">
        <v>3965</v>
      </c>
      <c r="E2927" s="7"/>
      <c r="G2927" s="5" t="str">
        <f aca="false">IF(ISNUMBER(FIND("old rod:",A2927)),"old rod:",A2927)</f>
        <v>20, 20, TEDDIURSA</v>
      </c>
      <c r="I2927" s="5" t="s">
        <v>3676</v>
      </c>
    </row>
    <row r="2928" customFormat="false" ht="12.75" hidden="false" customHeight="true" outlineLevel="0" collapsed="false">
      <c r="A2928" s="5" t="s">
        <v>3677</v>
      </c>
      <c r="B2928" s="7" t="n">
        <v>26</v>
      </c>
      <c r="C2928" s="7" t="n">
        <v>26</v>
      </c>
      <c r="D2928" s="7" t="s">
        <v>3965</v>
      </c>
      <c r="E2928" s="7"/>
      <c r="G2928" s="5" t="str">
        <f aca="false">IF(ISNUMBER(FIND("old rod:",A2928)),"old rod:",A2928)</f>
        <v>26, 26, TEDDIURSA</v>
      </c>
      <c r="I2928" s="5" t="s">
        <v>3677</v>
      </c>
    </row>
    <row r="2929" customFormat="false" ht="12.75" hidden="false" customHeight="true" outlineLevel="0" collapsed="false">
      <c r="A2929" s="5" t="n">
        <v>0.01</v>
      </c>
      <c r="B2929" s="5" t="n">
        <v>0.01</v>
      </c>
      <c r="C2929" s="7"/>
      <c r="D2929" s="7"/>
      <c r="E2929" s="7"/>
      <c r="G2929" s="5" t="n">
        <f aca="false">IF(ISNUMBER(FIND("old rod:",A2929)),"old rod:",A2929)</f>
        <v>0.01</v>
      </c>
      <c r="I2929" s="5" t="n">
        <v>0.01</v>
      </c>
    </row>
    <row r="2930" customFormat="false" ht="12.75" hidden="false" customHeight="true" outlineLevel="0" collapsed="false">
      <c r="A2930" s="5" t="s">
        <v>3676</v>
      </c>
      <c r="B2930" s="7" t="n">
        <v>20</v>
      </c>
      <c r="C2930" s="7" t="n">
        <v>20</v>
      </c>
      <c r="D2930" s="7" t="s">
        <v>3965</v>
      </c>
      <c r="E2930" s="7"/>
      <c r="G2930" s="5" t="str">
        <f aca="false">IF(ISNUMBER(FIND("old rod:",A2930)),"old rod:",A2930)</f>
        <v>20, 20, TEDDIURSA</v>
      </c>
      <c r="I2930" s="5" t="s">
        <v>3676</v>
      </c>
    </row>
    <row r="2931" customFormat="false" ht="12.75" hidden="false" customHeight="true" outlineLevel="0" collapsed="false">
      <c r="A2931" s="5" t="s">
        <v>3677</v>
      </c>
      <c r="B2931" s="7" t="n">
        <v>26</v>
      </c>
      <c r="C2931" s="7" t="n">
        <v>26</v>
      </c>
      <c r="D2931" s="7" t="s">
        <v>3965</v>
      </c>
      <c r="E2931" s="7"/>
      <c r="G2931" s="5" t="str">
        <f aca="false">IF(ISNUMBER(FIND("old rod:",A2931)),"old rod:",A2931)</f>
        <v>26, 26, TEDDIURSA</v>
      </c>
      <c r="I2931" s="5" t="s">
        <v>3677</v>
      </c>
    </row>
    <row r="2932" customFormat="false" ht="12.75" hidden="false" customHeight="true" outlineLevel="0" collapsed="false">
      <c r="A2932" s="5" t="s">
        <v>2536</v>
      </c>
      <c r="B2932" s="7" t="s">
        <v>2536</v>
      </c>
      <c r="C2932" s="7"/>
      <c r="D2932" s="7"/>
      <c r="E2932" s="7"/>
      <c r="G2932" s="5" t="str">
        <f aca="false">IF(ISNUMBER(FIND("old rod:",A2932)),"old rod:",A2932)</f>
        <v>NEW ROUTE</v>
      </c>
      <c r="I2932" s="5" t="s">
        <v>2536</v>
      </c>
    </row>
    <row r="2933" customFormat="false" ht="12.75" hidden="false" customHeight="true" outlineLevel="0" collapsed="false">
      <c r="A2933" s="5" t="s">
        <v>257</v>
      </c>
      <c r="B2933" s="7" t="s">
        <v>257</v>
      </c>
      <c r="C2933" s="7"/>
      <c r="D2933" s="7"/>
      <c r="E2933" s="7"/>
      <c r="G2933" s="5" t="str">
        <f aca="false">IF(ISNUMBER(FIND("old rod:",A2933)),"old rod:",A2933)</f>
        <v>Six Island Altering Cave</v>
      </c>
      <c r="I2933" s="5" t="s">
        <v>257</v>
      </c>
    </row>
    <row r="2934" customFormat="false" ht="12.75" hidden="false" customHeight="true" outlineLevel="0" collapsed="false">
      <c r="A2934" s="5" t="n">
        <v>0.2</v>
      </c>
      <c r="B2934" s="5" t="n">
        <v>0.2</v>
      </c>
      <c r="C2934" s="7"/>
      <c r="D2934" s="7"/>
      <c r="E2934" s="7"/>
      <c r="G2934" s="5" t="n">
        <f aca="false">IF(ISNUMBER(FIND("old rod:",A2934)),"old rod:",A2934)</f>
        <v>0.2</v>
      </c>
      <c r="I2934" s="5" t="n">
        <v>0.2</v>
      </c>
    </row>
    <row r="2935" customFormat="false" ht="12.75" hidden="false" customHeight="true" outlineLevel="0" collapsed="false">
      <c r="A2935" s="5" t="s">
        <v>2179</v>
      </c>
      <c r="B2935" s="7" t="n">
        <v>22</v>
      </c>
      <c r="C2935" s="7" t="n">
        <v>22</v>
      </c>
      <c r="D2935" s="7" t="s">
        <v>3966</v>
      </c>
      <c r="E2935" s="7"/>
      <c r="G2935" s="5" t="str">
        <f aca="false">IF(ISNUMBER(FIND("old rod:",A2935)),"old rod:",A2935)</f>
        <v>22, 22, AIPOM</v>
      </c>
      <c r="I2935" s="5" t="s">
        <v>2179</v>
      </c>
    </row>
    <row r="2936" customFormat="false" ht="12.75" hidden="false" customHeight="true" outlineLevel="0" collapsed="false">
      <c r="A2936" s="5" t="s">
        <v>3681</v>
      </c>
      <c r="B2936" s="7" t="n">
        <v>24</v>
      </c>
      <c r="C2936" s="7" t="n">
        <v>24</v>
      </c>
      <c r="D2936" s="7" t="s">
        <v>3966</v>
      </c>
      <c r="E2936" s="7"/>
      <c r="G2936" s="5" t="str">
        <f aca="false">IF(ISNUMBER(FIND("old rod:",A2936)),"old rod:",A2936)</f>
        <v>24, 24, AIPOM</v>
      </c>
      <c r="I2936" s="5" t="s">
        <v>3681</v>
      </c>
    </row>
    <row r="2937" customFormat="false" ht="12.75" hidden="false" customHeight="true" outlineLevel="0" collapsed="false">
      <c r="A2937" s="5" t="n">
        <v>0.1</v>
      </c>
      <c r="B2937" s="5" t="n">
        <v>0.1</v>
      </c>
      <c r="C2937" s="7"/>
      <c r="D2937" s="7"/>
      <c r="E2937" s="7"/>
      <c r="G2937" s="5" t="n">
        <f aca="false">IF(ISNUMBER(FIND("old rod:",A2937)),"old rod:",A2937)</f>
        <v>0.1</v>
      </c>
      <c r="I2937" s="5" t="n">
        <v>0.1</v>
      </c>
    </row>
    <row r="2938" customFormat="false" ht="12.75" hidden="false" customHeight="true" outlineLevel="0" collapsed="false">
      <c r="A2938" s="5" t="s">
        <v>3682</v>
      </c>
      <c r="B2938" s="7" t="n">
        <v>20</v>
      </c>
      <c r="C2938" s="7" t="n">
        <v>20</v>
      </c>
      <c r="D2938" s="7" t="s">
        <v>3966</v>
      </c>
      <c r="E2938" s="7"/>
      <c r="G2938" s="5" t="str">
        <f aca="false">IF(ISNUMBER(FIND("old rod:",A2938)),"old rod:",A2938)</f>
        <v>20, 20, AIPOM</v>
      </c>
      <c r="I2938" s="5" t="s">
        <v>3682</v>
      </c>
    </row>
    <row r="2939" customFormat="false" ht="12.75" hidden="false" customHeight="true" outlineLevel="0" collapsed="false">
      <c r="A2939" s="5" t="s">
        <v>3683</v>
      </c>
      <c r="B2939" s="7" t="n">
        <v>26</v>
      </c>
      <c r="C2939" s="7" t="n">
        <v>26</v>
      </c>
      <c r="D2939" s="7" t="s">
        <v>3966</v>
      </c>
      <c r="E2939" s="7"/>
      <c r="G2939" s="5" t="str">
        <f aca="false">IF(ISNUMBER(FIND("old rod:",A2939)),"old rod:",A2939)</f>
        <v>26, 26, AIPOM</v>
      </c>
      <c r="I2939" s="5" t="s">
        <v>3683</v>
      </c>
    </row>
    <row r="2940" customFormat="false" ht="12.75" hidden="false" customHeight="true" outlineLevel="0" collapsed="false">
      <c r="A2940" s="5" t="s">
        <v>2179</v>
      </c>
      <c r="B2940" s="7" t="n">
        <v>22</v>
      </c>
      <c r="C2940" s="7" t="n">
        <v>22</v>
      </c>
      <c r="D2940" s="7" t="s">
        <v>3966</v>
      </c>
      <c r="E2940" s="7"/>
      <c r="G2940" s="5" t="str">
        <f aca="false">IF(ISNUMBER(FIND("old rod:",A2940)),"old rod:",A2940)</f>
        <v>22, 22, AIPOM</v>
      </c>
      <c r="I2940" s="5" t="s">
        <v>2179</v>
      </c>
    </row>
    <row r="2941" customFormat="false" ht="12.75" hidden="false" customHeight="true" outlineLevel="0" collapsed="false">
      <c r="A2941" s="5" t="s">
        <v>3681</v>
      </c>
      <c r="B2941" s="7" t="n">
        <v>24</v>
      </c>
      <c r="C2941" s="7" t="n">
        <v>24</v>
      </c>
      <c r="D2941" s="7" t="s">
        <v>3966</v>
      </c>
      <c r="E2941" s="7"/>
      <c r="G2941" s="5" t="str">
        <f aca="false">IF(ISNUMBER(FIND("old rod:",A2941)),"old rod:",A2941)</f>
        <v>24, 24, AIPOM</v>
      </c>
      <c r="I2941" s="5" t="s">
        <v>3681</v>
      </c>
    </row>
    <row r="2942" customFormat="false" ht="12.75" hidden="false" customHeight="true" outlineLevel="0" collapsed="false">
      <c r="A2942" s="5" t="n">
        <v>0.05</v>
      </c>
      <c r="B2942" s="5" t="n">
        <v>0.05</v>
      </c>
      <c r="C2942" s="7"/>
      <c r="D2942" s="7"/>
      <c r="E2942" s="7"/>
      <c r="G2942" s="5" t="n">
        <f aca="false">IF(ISNUMBER(FIND("old rod:",A2942)),"old rod:",A2942)</f>
        <v>0.05</v>
      </c>
      <c r="I2942" s="5" t="n">
        <v>0.05</v>
      </c>
    </row>
    <row r="2943" customFormat="false" ht="12.75" hidden="false" customHeight="true" outlineLevel="0" collapsed="false">
      <c r="A2943" s="5" t="s">
        <v>3684</v>
      </c>
      <c r="B2943" s="7" t="n">
        <v>28</v>
      </c>
      <c r="C2943" s="7" t="n">
        <v>28</v>
      </c>
      <c r="D2943" s="7" t="s">
        <v>3966</v>
      </c>
      <c r="E2943" s="7"/>
      <c r="G2943" s="5" t="str">
        <f aca="false">IF(ISNUMBER(FIND("old rod:",A2943)),"old rod:",A2943)</f>
        <v>28, 28, AIPOM</v>
      </c>
      <c r="I2943" s="5" t="s">
        <v>3684</v>
      </c>
    </row>
    <row r="2944" customFormat="false" ht="12.75" hidden="false" customHeight="true" outlineLevel="0" collapsed="false">
      <c r="A2944" s="5" t="s">
        <v>3685</v>
      </c>
      <c r="B2944" s="7" t="n">
        <v>18</v>
      </c>
      <c r="C2944" s="7" t="n">
        <v>18</v>
      </c>
      <c r="D2944" s="7" t="s">
        <v>3966</v>
      </c>
      <c r="E2944" s="7"/>
      <c r="G2944" s="5" t="str">
        <f aca="false">IF(ISNUMBER(FIND("old rod:",A2944)),"old rod:",A2944)</f>
        <v>18, 18, AIPOM</v>
      </c>
      <c r="I2944" s="5" t="s">
        <v>3685</v>
      </c>
    </row>
    <row r="2945" customFormat="false" ht="12.75" hidden="false" customHeight="true" outlineLevel="0" collapsed="false">
      <c r="A2945" s="5" t="n">
        <v>0.04</v>
      </c>
      <c r="B2945" s="5" t="n">
        <v>0.04</v>
      </c>
      <c r="C2945" s="7"/>
      <c r="D2945" s="7"/>
      <c r="E2945" s="7"/>
      <c r="G2945" s="5" t="n">
        <f aca="false">IF(ISNUMBER(FIND("old rod:",A2945)),"old rod:",A2945)</f>
        <v>0.04</v>
      </c>
      <c r="I2945" s="5" t="n">
        <v>0.04</v>
      </c>
    </row>
    <row r="2946" customFormat="false" ht="12.75" hidden="false" customHeight="true" outlineLevel="0" collapsed="false">
      <c r="A2946" s="5" t="s">
        <v>3682</v>
      </c>
      <c r="B2946" s="7" t="n">
        <v>20</v>
      </c>
      <c r="C2946" s="7" t="n">
        <v>20</v>
      </c>
      <c r="D2946" s="7" t="s">
        <v>3966</v>
      </c>
      <c r="E2946" s="7"/>
      <c r="G2946" s="5" t="str">
        <f aca="false">IF(ISNUMBER(FIND("old rod:",A2946)),"old rod:",A2946)</f>
        <v>20, 20, AIPOM</v>
      </c>
      <c r="I2946" s="5" t="s">
        <v>3682</v>
      </c>
    </row>
    <row r="2947" customFormat="false" ht="12.75" hidden="false" customHeight="true" outlineLevel="0" collapsed="false">
      <c r="A2947" s="5" t="s">
        <v>3683</v>
      </c>
      <c r="B2947" s="7" t="n">
        <v>26</v>
      </c>
      <c r="C2947" s="7" t="n">
        <v>26</v>
      </c>
      <c r="D2947" s="7" t="s">
        <v>3966</v>
      </c>
      <c r="E2947" s="7"/>
      <c r="G2947" s="5" t="str">
        <f aca="false">IF(ISNUMBER(FIND("old rod:",A2947)),"old rod:",A2947)</f>
        <v>26, 26, AIPOM</v>
      </c>
      <c r="I2947" s="5" t="s">
        <v>3683</v>
      </c>
    </row>
    <row r="2948" customFormat="false" ht="12.75" hidden="false" customHeight="true" outlineLevel="0" collapsed="false">
      <c r="A2948" s="5" t="n">
        <v>0.01</v>
      </c>
      <c r="B2948" s="5" t="n">
        <v>0.01</v>
      </c>
      <c r="C2948" s="7"/>
      <c r="D2948" s="7"/>
      <c r="E2948" s="7"/>
      <c r="G2948" s="5" t="n">
        <f aca="false">IF(ISNUMBER(FIND("old rod:",A2948)),"old rod:",A2948)</f>
        <v>0.01</v>
      </c>
      <c r="I2948" s="5" t="n">
        <v>0.01</v>
      </c>
    </row>
    <row r="2949" customFormat="false" ht="12.75" hidden="false" customHeight="true" outlineLevel="0" collapsed="false">
      <c r="A2949" s="5" t="s">
        <v>3682</v>
      </c>
      <c r="B2949" s="7" t="n">
        <v>20</v>
      </c>
      <c r="C2949" s="7" t="n">
        <v>20</v>
      </c>
      <c r="D2949" s="7" t="s">
        <v>3966</v>
      </c>
      <c r="E2949" s="7"/>
      <c r="G2949" s="5" t="str">
        <f aca="false">IF(ISNUMBER(FIND("old rod:",A2949)),"old rod:",A2949)</f>
        <v>20, 20, AIPOM</v>
      </c>
      <c r="I2949" s="5" t="s">
        <v>3682</v>
      </c>
    </row>
    <row r="2950" customFormat="false" ht="12.75" hidden="false" customHeight="true" outlineLevel="0" collapsed="false">
      <c r="A2950" s="5" t="s">
        <v>3683</v>
      </c>
      <c r="B2950" s="7" t="n">
        <v>26</v>
      </c>
      <c r="C2950" s="7" t="n">
        <v>26</v>
      </c>
      <c r="D2950" s="7" t="s">
        <v>3966</v>
      </c>
      <c r="E2950" s="7"/>
      <c r="G2950" s="5" t="str">
        <f aca="false">IF(ISNUMBER(FIND("old rod:",A2950)),"old rod:",A2950)</f>
        <v>26, 26, AIPOM</v>
      </c>
      <c r="I2950" s="5" t="s">
        <v>3683</v>
      </c>
    </row>
    <row r="2951" customFormat="false" ht="12.75" hidden="false" customHeight="true" outlineLevel="0" collapsed="false">
      <c r="A2951" s="5" t="s">
        <v>2536</v>
      </c>
      <c r="B2951" s="7" t="s">
        <v>2536</v>
      </c>
      <c r="C2951" s="7"/>
      <c r="D2951" s="7"/>
      <c r="E2951" s="7"/>
      <c r="G2951" s="5" t="str">
        <f aca="false">IF(ISNUMBER(FIND("old rod:",A2951)),"old rod:",A2951)</f>
        <v>NEW ROUTE</v>
      </c>
      <c r="I2951" s="5" t="s">
        <v>2536</v>
      </c>
    </row>
    <row r="2952" customFormat="false" ht="12.75" hidden="false" customHeight="true" outlineLevel="0" collapsed="false">
      <c r="A2952" s="5" t="s">
        <v>257</v>
      </c>
      <c r="B2952" s="7" t="s">
        <v>257</v>
      </c>
      <c r="C2952" s="7"/>
      <c r="D2952" s="7"/>
      <c r="E2952" s="7"/>
      <c r="G2952" s="5" t="str">
        <f aca="false">IF(ISNUMBER(FIND("old rod:",A2952)),"old rod:",A2952)</f>
        <v>Six Island Altering Cave</v>
      </c>
      <c r="I2952" s="5" t="s">
        <v>257</v>
      </c>
    </row>
    <row r="2953" customFormat="false" ht="12.75" hidden="false" customHeight="true" outlineLevel="0" collapsed="false">
      <c r="A2953" s="5" t="n">
        <v>0.2</v>
      </c>
      <c r="B2953" s="5" t="n">
        <v>0.2</v>
      </c>
      <c r="C2953" s="7"/>
      <c r="D2953" s="7"/>
      <c r="E2953" s="7"/>
      <c r="G2953" s="5" t="n">
        <f aca="false">IF(ISNUMBER(FIND("old rod:",A2953)),"old rod:",A2953)</f>
        <v>0.2</v>
      </c>
      <c r="I2953" s="5" t="n">
        <v>0.2</v>
      </c>
    </row>
    <row r="2954" customFormat="false" ht="12.75" hidden="false" customHeight="true" outlineLevel="0" collapsed="false">
      <c r="A2954" s="5" t="s">
        <v>2187</v>
      </c>
      <c r="B2954" s="7" t="n">
        <v>22</v>
      </c>
      <c r="C2954" s="7" t="n">
        <v>22</v>
      </c>
      <c r="D2954" s="7" t="s">
        <v>3967</v>
      </c>
      <c r="E2954" s="7"/>
      <c r="G2954" s="5" t="str">
        <f aca="false">IF(ISNUMBER(FIND("old rod:",A2954)),"old rod:",A2954)</f>
        <v>22, 22, SHUCKLE</v>
      </c>
      <c r="I2954" s="5" t="s">
        <v>2187</v>
      </c>
    </row>
    <row r="2955" customFormat="false" ht="12.75" hidden="false" customHeight="true" outlineLevel="0" collapsed="false">
      <c r="A2955" s="5" t="s">
        <v>3687</v>
      </c>
      <c r="B2955" s="7" t="n">
        <v>24</v>
      </c>
      <c r="C2955" s="7" t="n">
        <v>24</v>
      </c>
      <c r="D2955" s="7" t="s">
        <v>3967</v>
      </c>
      <c r="E2955" s="7"/>
      <c r="G2955" s="5" t="str">
        <f aca="false">IF(ISNUMBER(FIND("old rod:",A2955)),"old rod:",A2955)</f>
        <v>24, 24, SHUCKLE</v>
      </c>
      <c r="I2955" s="5" t="s">
        <v>3687</v>
      </c>
    </row>
    <row r="2956" customFormat="false" ht="12.75" hidden="false" customHeight="true" outlineLevel="0" collapsed="false">
      <c r="A2956" s="5" t="n">
        <v>0.1</v>
      </c>
      <c r="B2956" s="5" t="n">
        <v>0.1</v>
      </c>
      <c r="C2956" s="7"/>
      <c r="D2956" s="7"/>
      <c r="E2956" s="7"/>
      <c r="G2956" s="5" t="n">
        <f aca="false">IF(ISNUMBER(FIND("old rod:",A2956)),"old rod:",A2956)</f>
        <v>0.1</v>
      </c>
      <c r="I2956" s="5" t="n">
        <v>0.1</v>
      </c>
    </row>
    <row r="2957" customFormat="false" ht="12.75" hidden="false" customHeight="true" outlineLevel="0" collapsed="false">
      <c r="A2957" s="5" t="s">
        <v>3688</v>
      </c>
      <c r="B2957" s="7" t="n">
        <v>20</v>
      </c>
      <c r="C2957" s="7" t="n">
        <v>20</v>
      </c>
      <c r="D2957" s="7" t="s">
        <v>3967</v>
      </c>
      <c r="E2957" s="7"/>
      <c r="G2957" s="5" t="str">
        <f aca="false">IF(ISNUMBER(FIND("old rod:",A2957)),"old rod:",A2957)</f>
        <v>20, 20, SHUCKLE</v>
      </c>
      <c r="I2957" s="5" t="s">
        <v>3688</v>
      </c>
    </row>
    <row r="2958" customFormat="false" ht="12.75" hidden="false" customHeight="true" outlineLevel="0" collapsed="false">
      <c r="A2958" s="5" t="s">
        <v>3689</v>
      </c>
      <c r="B2958" s="7" t="n">
        <v>26</v>
      </c>
      <c r="C2958" s="7" t="n">
        <v>26</v>
      </c>
      <c r="D2958" s="7" t="s">
        <v>3967</v>
      </c>
      <c r="E2958" s="7"/>
      <c r="G2958" s="5" t="str">
        <f aca="false">IF(ISNUMBER(FIND("old rod:",A2958)),"old rod:",A2958)</f>
        <v>26, 26, SHUCKLE</v>
      </c>
      <c r="I2958" s="5" t="s">
        <v>3689</v>
      </c>
    </row>
    <row r="2959" customFormat="false" ht="12.75" hidden="false" customHeight="true" outlineLevel="0" collapsed="false">
      <c r="A2959" s="5" t="s">
        <v>2187</v>
      </c>
      <c r="B2959" s="7" t="n">
        <v>22</v>
      </c>
      <c r="C2959" s="7" t="n">
        <v>22</v>
      </c>
      <c r="D2959" s="7" t="s">
        <v>3967</v>
      </c>
      <c r="E2959" s="7"/>
      <c r="G2959" s="5" t="str">
        <f aca="false">IF(ISNUMBER(FIND("old rod:",A2959)),"old rod:",A2959)</f>
        <v>22, 22, SHUCKLE</v>
      </c>
      <c r="I2959" s="5" t="s">
        <v>2187</v>
      </c>
    </row>
    <row r="2960" customFormat="false" ht="12.75" hidden="false" customHeight="true" outlineLevel="0" collapsed="false">
      <c r="A2960" s="5" t="s">
        <v>3687</v>
      </c>
      <c r="B2960" s="7" t="n">
        <v>24</v>
      </c>
      <c r="C2960" s="7" t="n">
        <v>24</v>
      </c>
      <c r="D2960" s="7" t="s">
        <v>3967</v>
      </c>
      <c r="E2960" s="7"/>
      <c r="G2960" s="5" t="str">
        <f aca="false">IF(ISNUMBER(FIND("old rod:",A2960)),"old rod:",A2960)</f>
        <v>24, 24, SHUCKLE</v>
      </c>
      <c r="I2960" s="5" t="s">
        <v>3687</v>
      </c>
    </row>
    <row r="2961" customFormat="false" ht="12.75" hidden="false" customHeight="true" outlineLevel="0" collapsed="false">
      <c r="A2961" s="5" t="n">
        <v>0.05</v>
      </c>
      <c r="B2961" s="5" t="n">
        <v>0.05</v>
      </c>
      <c r="C2961" s="7"/>
      <c r="D2961" s="7"/>
      <c r="E2961" s="7"/>
      <c r="G2961" s="5" t="n">
        <f aca="false">IF(ISNUMBER(FIND("old rod:",A2961)),"old rod:",A2961)</f>
        <v>0.05</v>
      </c>
      <c r="I2961" s="5" t="n">
        <v>0.05</v>
      </c>
    </row>
    <row r="2962" customFormat="false" ht="12.75" hidden="false" customHeight="true" outlineLevel="0" collapsed="false">
      <c r="A2962" s="5" t="s">
        <v>3690</v>
      </c>
      <c r="B2962" s="7" t="n">
        <v>28</v>
      </c>
      <c r="C2962" s="7" t="n">
        <v>28</v>
      </c>
      <c r="D2962" s="7" t="s">
        <v>3967</v>
      </c>
      <c r="E2962" s="7"/>
      <c r="G2962" s="5" t="str">
        <f aca="false">IF(ISNUMBER(FIND("old rod:",A2962)),"old rod:",A2962)</f>
        <v>28, 28, SHUCKLE</v>
      </c>
      <c r="I2962" s="5" t="s">
        <v>3690</v>
      </c>
    </row>
    <row r="2963" customFormat="false" ht="12.75" hidden="false" customHeight="true" outlineLevel="0" collapsed="false">
      <c r="A2963" s="5" t="s">
        <v>3691</v>
      </c>
      <c r="B2963" s="7" t="n">
        <v>18</v>
      </c>
      <c r="C2963" s="7" t="n">
        <v>18</v>
      </c>
      <c r="D2963" s="7" t="s">
        <v>3967</v>
      </c>
      <c r="E2963" s="7"/>
      <c r="G2963" s="5" t="str">
        <f aca="false">IF(ISNUMBER(FIND("old rod:",A2963)),"old rod:",A2963)</f>
        <v>18, 18, SHUCKLE</v>
      </c>
      <c r="I2963" s="5" t="s">
        <v>3691</v>
      </c>
    </row>
    <row r="2964" customFormat="false" ht="12.75" hidden="false" customHeight="true" outlineLevel="0" collapsed="false">
      <c r="A2964" s="5" t="n">
        <v>0.04</v>
      </c>
      <c r="B2964" s="5" t="n">
        <v>0.04</v>
      </c>
      <c r="C2964" s="7"/>
      <c r="D2964" s="7"/>
      <c r="E2964" s="7"/>
      <c r="G2964" s="5" t="n">
        <f aca="false">IF(ISNUMBER(FIND("old rod:",A2964)),"old rod:",A2964)</f>
        <v>0.04</v>
      </c>
      <c r="I2964" s="5" t="n">
        <v>0.04</v>
      </c>
    </row>
    <row r="2965" customFormat="false" ht="12.75" hidden="false" customHeight="true" outlineLevel="0" collapsed="false">
      <c r="A2965" s="5" t="s">
        <v>3688</v>
      </c>
      <c r="B2965" s="7" t="n">
        <v>20</v>
      </c>
      <c r="C2965" s="7" t="n">
        <v>20</v>
      </c>
      <c r="D2965" s="7" t="s">
        <v>3967</v>
      </c>
      <c r="E2965" s="7"/>
      <c r="G2965" s="5" t="str">
        <f aca="false">IF(ISNUMBER(FIND("old rod:",A2965)),"old rod:",A2965)</f>
        <v>20, 20, SHUCKLE</v>
      </c>
      <c r="I2965" s="5" t="s">
        <v>3688</v>
      </c>
    </row>
    <row r="2966" customFormat="false" ht="12.75" hidden="false" customHeight="true" outlineLevel="0" collapsed="false">
      <c r="A2966" s="5" t="s">
        <v>3689</v>
      </c>
      <c r="B2966" s="7" t="n">
        <v>26</v>
      </c>
      <c r="C2966" s="7" t="n">
        <v>26</v>
      </c>
      <c r="D2966" s="7" t="s">
        <v>3967</v>
      </c>
      <c r="E2966" s="7"/>
      <c r="G2966" s="5" t="str">
        <f aca="false">IF(ISNUMBER(FIND("old rod:",A2966)),"old rod:",A2966)</f>
        <v>26, 26, SHUCKLE</v>
      </c>
      <c r="I2966" s="5" t="s">
        <v>3689</v>
      </c>
    </row>
    <row r="2967" customFormat="false" ht="12.75" hidden="false" customHeight="true" outlineLevel="0" collapsed="false">
      <c r="A2967" s="5" t="n">
        <v>0.01</v>
      </c>
      <c r="B2967" s="5" t="n">
        <v>0.01</v>
      </c>
      <c r="C2967" s="7"/>
      <c r="D2967" s="7"/>
      <c r="E2967" s="7"/>
      <c r="G2967" s="5" t="n">
        <f aca="false">IF(ISNUMBER(FIND("old rod:",A2967)),"old rod:",A2967)</f>
        <v>0.01</v>
      </c>
      <c r="I2967" s="5" t="n">
        <v>0.01</v>
      </c>
    </row>
    <row r="2968" customFormat="false" ht="12.75" hidden="false" customHeight="true" outlineLevel="0" collapsed="false">
      <c r="A2968" s="5" t="s">
        <v>3688</v>
      </c>
      <c r="B2968" s="7" t="n">
        <v>20</v>
      </c>
      <c r="C2968" s="7" t="n">
        <v>20</v>
      </c>
      <c r="D2968" s="7" t="s">
        <v>3967</v>
      </c>
      <c r="E2968" s="7"/>
      <c r="G2968" s="5" t="str">
        <f aca="false">IF(ISNUMBER(FIND("old rod:",A2968)),"old rod:",A2968)</f>
        <v>20, 20, SHUCKLE</v>
      </c>
      <c r="I2968" s="5" t="s">
        <v>3688</v>
      </c>
    </row>
    <row r="2969" customFormat="false" ht="12.75" hidden="false" customHeight="true" outlineLevel="0" collapsed="false">
      <c r="A2969" s="5" t="s">
        <v>3689</v>
      </c>
      <c r="B2969" s="7" t="n">
        <v>26</v>
      </c>
      <c r="C2969" s="7" t="n">
        <v>26</v>
      </c>
      <c r="D2969" s="7" t="s">
        <v>3967</v>
      </c>
      <c r="E2969" s="7"/>
      <c r="G2969" s="5" t="str">
        <f aca="false">IF(ISNUMBER(FIND("old rod:",A2969)),"old rod:",A2969)</f>
        <v>26, 26, SHUCKLE</v>
      </c>
      <c r="I2969" s="5" t="s">
        <v>3689</v>
      </c>
    </row>
    <row r="2970" customFormat="false" ht="12.75" hidden="false" customHeight="true" outlineLevel="0" collapsed="false">
      <c r="A2970" s="5" t="s">
        <v>2536</v>
      </c>
      <c r="B2970" s="7" t="s">
        <v>2536</v>
      </c>
      <c r="C2970" s="7"/>
      <c r="D2970" s="7"/>
      <c r="E2970" s="7"/>
      <c r="G2970" s="5" t="str">
        <f aca="false">IF(ISNUMBER(FIND("old rod:",A2970)),"old rod:",A2970)</f>
        <v>NEW ROUTE</v>
      </c>
      <c r="I2970" s="5" t="s">
        <v>2536</v>
      </c>
    </row>
    <row r="2971" customFormat="false" ht="12.75" hidden="false" customHeight="true" outlineLevel="0" collapsed="false">
      <c r="A2971" s="5" t="s">
        <v>257</v>
      </c>
      <c r="B2971" s="7" t="s">
        <v>257</v>
      </c>
      <c r="C2971" s="7"/>
      <c r="D2971" s="7"/>
      <c r="E2971" s="7"/>
      <c r="G2971" s="5" t="str">
        <f aca="false">IF(ISNUMBER(FIND("old rod:",A2971)),"old rod:",A2971)</f>
        <v>Six Island Altering Cave</v>
      </c>
      <c r="I2971" s="5" t="s">
        <v>257</v>
      </c>
    </row>
    <row r="2972" customFormat="false" ht="12.75" hidden="false" customHeight="true" outlineLevel="0" collapsed="false">
      <c r="A2972" s="5" t="n">
        <v>0.2</v>
      </c>
      <c r="B2972" s="5" t="n">
        <v>0.2</v>
      </c>
      <c r="C2972" s="7"/>
      <c r="D2972" s="7"/>
      <c r="E2972" s="7"/>
      <c r="G2972" s="5" t="n">
        <f aca="false">IF(ISNUMBER(FIND("old rod:",A2972)),"old rod:",A2972)</f>
        <v>0.2</v>
      </c>
      <c r="I2972" s="5" t="n">
        <v>0.2</v>
      </c>
    </row>
    <row r="2973" customFormat="false" ht="12.75" hidden="false" customHeight="true" outlineLevel="0" collapsed="false">
      <c r="A2973" s="5" t="s">
        <v>2195</v>
      </c>
      <c r="B2973" s="7" t="n">
        <v>22</v>
      </c>
      <c r="C2973" s="7" t="n">
        <v>22</v>
      </c>
      <c r="D2973" s="7" t="s">
        <v>3968</v>
      </c>
      <c r="E2973" s="7"/>
      <c r="G2973" s="5" t="str">
        <f aca="false">IF(ISNUMBER(FIND("old rod:",A2973)),"old rod:",A2973)</f>
        <v>22, 22, STANTLER</v>
      </c>
      <c r="I2973" s="5" t="s">
        <v>2195</v>
      </c>
    </row>
    <row r="2974" customFormat="false" ht="12.75" hidden="false" customHeight="true" outlineLevel="0" collapsed="false">
      <c r="A2974" s="5" t="s">
        <v>3693</v>
      </c>
      <c r="B2974" s="7" t="n">
        <v>24</v>
      </c>
      <c r="C2974" s="7" t="n">
        <v>24</v>
      </c>
      <c r="D2974" s="7" t="s">
        <v>3968</v>
      </c>
      <c r="E2974" s="7"/>
      <c r="G2974" s="5" t="str">
        <f aca="false">IF(ISNUMBER(FIND("old rod:",A2974)),"old rod:",A2974)</f>
        <v>24, 24, STANTLER</v>
      </c>
      <c r="I2974" s="5" t="s">
        <v>3693</v>
      </c>
    </row>
    <row r="2975" customFormat="false" ht="12.75" hidden="false" customHeight="true" outlineLevel="0" collapsed="false">
      <c r="A2975" s="5" t="n">
        <v>0.1</v>
      </c>
      <c r="B2975" s="5" t="n">
        <v>0.1</v>
      </c>
      <c r="C2975" s="7"/>
      <c r="D2975" s="7"/>
      <c r="E2975" s="7"/>
      <c r="G2975" s="5" t="n">
        <f aca="false">IF(ISNUMBER(FIND("old rod:",A2975)),"old rod:",A2975)</f>
        <v>0.1</v>
      </c>
      <c r="I2975" s="5" t="n">
        <v>0.1</v>
      </c>
    </row>
    <row r="2976" customFormat="false" ht="12.75" hidden="false" customHeight="true" outlineLevel="0" collapsed="false">
      <c r="A2976" s="5" t="s">
        <v>3694</v>
      </c>
      <c r="B2976" s="7" t="n">
        <v>20</v>
      </c>
      <c r="C2976" s="7" t="n">
        <v>20</v>
      </c>
      <c r="D2976" s="7" t="s">
        <v>3968</v>
      </c>
      <c r="E2976" s="7"/>
      <c r="G2976" s="5" t="str">
        <f aca="false">IF(ISNUMBER(FIND("old rod:",A2976)),"old rod:",A2976)</f>
        <v>20, 20, STANTLER</v>
      </c>
      <c r="I2976" s="5" t="s">
        <v>3694</v>
      </c>
    </row>
    <row r="2977" customFormat="false" ht="12.75" hidden="false" customHeight="true" outlineLevel="0" collapsed="false">
      <c r="A2977" s="5" t="s">
        <v>3695</v>
      </c>
      <c r="B2977" s="7" t="n">
        <v>26</v>
      </c>
      <c r="C2977" s="7" t="n">
        <v>26</v>
      </c>
      <c r="D2977" s="7" t="s">
        <v>3968</v>
      </c>
      <c r="E2977" s="7"/>
      <c r="G2977" s="5" t="str">
        <f aca="false">IF(ISNUMBER(FIND("old rod:",A2977)),"old rod:",A2977)</f>
        <v>26, 26, STANTLER</v>
      </c>
      <c r="I2977" s="5" t="s">
        <v>3695</v>
      </c>
    </row>
    <row r="2978" customFormat="false" ht="12.75" hidden="false" customHeight="true" outlineLevel="0" collapsed="false">
      <c r="A2978" s="5" t="s">
        <v>2195</v>
      </c>
      <c r="B2978" s="7" t="n">
        <v>22</v>
      </c>
      <c r="C2978" s="7" t="n">
        <v>22</v>
      </c>
      <c r="D2978" s="7" t="s">
        <v>3968</v>
      </c>
      <c r="E2978" s="7"/>
      <c r="G2978" s="5" t="str">
        <f aca="false">IF(ISNUMBER(FIND("old rod:",A2978)),"old rod:",A2978)</f>
        <v>22, 22, STANTLER</v>
      </c>
      <c r="I2978" s="5" t="s">
        <v>2195</v>
      </c>
    </row>
    <row r="2979" customFormat="false" ht="12.75" hidden="false" customHeight="true" outlineLevel="0" collapsed="false">
      <c r="A2979" s="5" t="s">
        <v>3693</v>
      </c>
      <c r="B2979" s="7" t="n">
        <v>24</v>
      </c>
      <c r="C2979" s="7" t="n">
        <v>24</v>
      </c>
      <c r="D2979" s="7" t="s">
        <v>3968</v>
      </c>
      <c r="E2979" s="7"/>
      <c r="G2979" s="5" t="str">
        <f aca="false">IF(ISNUMBER(FIND("old rod:",A2979)),"old rod:",A2979)</f>
        <v>24, 24, STANTLER</v>
      </c>
      <c r="I2979" s="5" t="s">
        <v>3693</v>
      </c>
    </row>
    <row r="2980" customFormat="false" ht="12.75" hidden="false" customHeight="true" outlineLevel="0" collapsed="false">
      <c r="A2980" s="5" t="n">
        <v>0.05</v>
      </c>
      <c r="B2980" s="5" t="n">
        <v>0.05</v>
      </c>
      <c r="C2980" s="7"/>
      <c r="D2980" s="7"/>
      <c r="E2980" s="7"/>
      <c r="G2980" s="5" t="n">
        <f aca="false">IF(ISNUMBER(FIND("old rod:",A2980)),"old rod:",A2980)</f>
        <v>0.05</v>
      </c>
      <c r="I2980" s="5" t="n">
        <v>0.05</v>
      </c>
    </row>
    <row r="2981" customFormat="false" ht="12.75" hidden="false" customHeight="true" outlineLevel="0" collapsed="false">
      <c r="A2981" s="5" t="s">
        <v>3696</v>
      </c>
      <c r="B2981" s="7" t="n">
        <v>28</v>
      </c>
      <c r="C2981" s="7" t="n">
        <v>28</v>
      </c>
      <c r="D2981" s="7" t="s">
        <v>3968</v>
      </c>
      <c r="E2981" s="7"/>
      <c r="G2981" s="5" t="str">
        <f aca="false">IF(ISNUMBER(FIND("old rod:",A2981)),"old rod:",A2981)</f>
        <v>28, 28, STANTLER</v>
      </c>
      <c r="I2981" s="5" t="s">
        <v>3696</v>
      </c>
    </row>
    <row r="2982" customFormat="false" ht="12.75" hidden="false" customHeight="true" outlineLevel="0" collapsed="false">
      <c r="A2982" s="5" t="s">
        <v>3697</v>
      </c>
      <c r="B2982" s="7" t="n">
        <v>18</v>
      </c>
      <c r="C2982" s="7" t="n">
        <v>18</v>
      </c>
      <c r="D2982" s="7" t="s">
        <v>3968</v>
      </c>
      <c r="E2982" s="7"/>
      <c r="G2982" s="5" t="str">
        <f aca="false">IF(ISNUMBER(FIND("old rod:",A2982)),"old rod:",A2982)</f>
        <v>18, 18, STANTLER</v>
      </c>
      <c r="I2982" s="5" t="s">
        <v>3697</v>
      </c>
    </row>
    <row r="2983" customFormat="false" ht="12.75" hidden="false" customHeight="true" outlineLevel="0" collapsed="false">
      <c r="A2983" s="5" t="n">
        <v>0.04</v>
      </c>
      <c r="B2983" s="5" t="n">
        <v>0.04</v>
      </c>
      <c r="C2983" s="7"/>
      <c r="D2983" s="7"/>
      <c r="E2983" s="7"/>
      <c r="G2983" s="5" t="n">
        <f aca="false">IF(ISNUMBER(FIND("old rod:",A2983)),"old rod:",A2983)</f>
        <v>0.04</v>
      </c>
      <c r="I2983" s="5" t="n">
        <v>0.04</v>
      </c>
    </row>
    <row r="2984" customFormat="false" ht="12.75" hidden="false" customHeight="true" outlineLevel="0" collapsed="false">
      <c r="A2984" s="5" t="s">
        <v>3694</v>
      </c>
      <c r="B2984" s="7" t="n">
        <v>20</v>
      </c>
      <c r="C2984" s="7" t="n">
        <v>20</v>
      </c>
      <c r="D2984" s="7" t="s">
        <v>3968</v>
      </c>
      <c r="E2984" s="7"/>
      <c r="G2984" s="5" t="str">
        <f aca="false">IF(ISNUMBER(FIND("old rod:",A2984)),"old rod:",A2984)</f>
        <v>20, 20, STANTLER</v>
      </c>
      <c r="I2984" s="5" t="s">
        <v>3694</v>
      </c>
    </row>
    <row r="2985" customFormat="false" ht="12.75" hidden="false" customHeight="true" outlineLevel="0" collapsed="false">
      <c r="A2985" s="5" t="s">
        <v>3695</v>
      </c>
      <c r="B2985" s="7" t="n">
        <v>26</v>
      </c>
      <c r="C2985" s="7" t="n">
        <v>26</v>
      </c>
      <c r="D2985" s="7" t="s">
        <v>3968</v>
      </c>
      <c r="E2985" s="7"/>
      <c r="G2985" s="5" t="str">
        <f aca="false">IF(ISNUMBER(FIND("old rod:",A2985)),"old rod:",A2985)</f>
        <v>26, 26, STANTLER</v>
      </c>
      <c r="I2985" s="5" t="s">
        <v>3695</v>
      </c>
    </row>
    <row r="2986" customFormat="false" ht="12.75" hidden="false" customHeight="true" outlineLevel="0" collapsed="false">
      <c r="A2986" s="5" t="n">
        <v>0.01</v>
      </c>
      <c r="B2986" s="5" t="n">
        <v>0.01</v>
      </c>
      <c r="C2986" s="7"/>
      <c r="D2986" s="7"/>
      <c r="E2986" s="7"/>
      <c r="G2986" s="5" t="n">
        <f aca="false">IF(ISNUMBER(FIND("old rod:",A2986)),"old rod:",A2986)</f>
        <v>0.01</v>
      </c>
      <c r="I2986" s="5" t="n">
        <v>0.01</v>
      </c>
    </row>
    <row r="2987" customFormat="false" ht="12.75" hidden="false" customHeight="true" outlineLevel="0" collapsed="false">
      <c r="A2987" s="5" t="s">
        <v>3694</v>
      </c>
      <c r="B2987" s="7" t="n">
        <v>20</v>
      </c>
      <c r="C2987" s="7" t="n">
        <v>20</v>
      </c>
      <c r="D2987" s="7" t="s">
        <v>3968</v>
      </c>
      <c r="E2987" s="7"/>
      <c r="G2987" s="5" t="str">
        <f aca="false">IF(ISNUMBER(FIND("old rod:",A2987)),"old rod:",A2987)</f>
        <v>20, 20, STANTLER</v>
      </c>
      <c r="I2987" s="5" t="s">
        <v>3694</v>
      </c>
    </row>
    <row r="2988" customFormat="false" ht="12.75" hidden="false" customHeight="true" outlineLevel="0" collapsed="false">
      <c r="A2988" s="5" t="s">
        <v>3695</v>
      </c>
      <c r="B2988" s="7" t="n">
        <v>26</v>
      </c>
      <c r="C2988" s="7" t="n">
        <v>26</v>
      </c>
      <c r="D2988" s="7" t="s">
        <v>3968</v>
      </c>
      <c r="E2988" s="7"/>
      <c r="G2988" s="5" t="str">
        <f aca="false">IF(ISNUMBER(FIND("old rod:",A2988)),"old rod:",A2988)</f>
        <v>26, 26, STANTLER</v>
      </c>
      <c r="I2988" s="5" t="s">
        <v>3695</v>
      </c>
    </row>
    <row r="2989" customFormat="false" ht="12.75" hidden="false" customHeight="true" outlineLevel="0" collapsed="false">
      <c r="A2989" s="5" t="s">
        <v>2536</v>
      </c>
      <c r="B2989" s="7" t="s">
        <v>2536</v>
      </c>
      <c r="C2989" s="7"/>
      <c r="D2989" s="7"/>
      <c r="E2989" s="7"/>
      <c r="G2989" s="5" t="str">
        <f aca="false">IF(ISNUMBER(FIND("old rod:",A2989)),"old rod:",A2989)</f>
        <v>NEW ROUTE</v>
      </c>
      <c r="I2989" s="5" t="s">
        <v>2536</v>
      </c>
    </row>
    <row r="2990" customFormat="false" ht="12.75" hidden="false" customHeight="true" outlineLevel="0" collapsed="false">
      <c r="A2990" s="5" t="s">
        <v>257</v>
      </c>
      <c r="B2990" s="7" t="s">
        <v>257</v>
      </c>
      <c r="C2990" s="7"/>
      <c r="D2990" s="7"/>
      <c r="E2990" s="7"/>
      <c r="G2990" s="5" t="str">
        <f aca="false">IF(ISNUMBER(FIND("old rod:",A2990)),"old rod:",A2990)</f>
        <v>Six Island Altering Cave</v>
      </c>
      <c r="I2990" s="5" t="s">
        <v>257</v>
      </c>
    </row>
    <row r="2991" customFormat="false" ht="12.75" hidden="false" customHeight="true" outlineLevel="0" collapsed="false">
      <c r="A2991" s="5" t="n">
        <v>0.2</v>
      </c>
      <c r="B2991" s="5" t="n">
        <v>0.2</v>
      </c>
      <c r="C2991" s="7"/>
      <c r="D2991" s="7"/>
      <c r="E2991" s="7"/>
      <c r="G2991" s="5" t="n">
        <f aca="false">IF(ISNUMBER(FIND("old rod:",A2991)),"old rod:",A2991)</f>
        <v>0.2</v>
      </c>
      <c r="I2991" s="5" t="n">
        <v>0.2</v>
      </c>
    </row>
    <row r="2992" customFormat="false" ht="12.75" hidden="false" customHeight="true" outlineLevel="0" collapsed="false">
      <c r="A2992" s="5" t="s">
        <v>2203</v>
      </c>
      <c r="B2992" s="7" t="n">
        <v>22</v>
      </c>
      <c r="C2992" s="7" t="n">
        <v>22</v>
      </c>
      <c r="D2992" s="7" t="s">
        <v>3969</v>
      </c>
      <c r="E2992" s="7"/>
      <c r="G2992" s="5" t="str">
        <f aca="false">IF(ISNUMBER(FIND("old rod:",A2992)),"old rod:",A2992)</f>
        <v>22, 22, SMEARGLE</v>
      </c>
      <c r="I2992" s="5" t="s">
        <v>2203</v>
      </c>
    </row>
    <row r="2993" customFormat="false" ht="12.75" hidden="false" customHeight="true" outlineLevel="0" collapsed="false">
      <c r="A2993" s="5" t="s">
        <v>3699</v>
      </c>
      <c r="B2993" s="7" t="n">
        <v>24</v>
      </c>
      <c r="C2993" s="7" t="n">
        <v>24</v>
      </c>
      <c r="D2993" s="7" t="s">
        <v>3969</v>
      </c>
      <c r="E2993" s="7"/>
      <c r="G2993" s="5" t="str">
        <f aca="false">IF(ISNUMBER(FIND("old rod:",A2993)),"old rod:",A2993)</f>
        <v>24, 24, SMEARGLE</v>
      </c>
      <c r="I2993" s="5" t="s">
        <v>3699</v>
      </c>
    </row>
    <row r="2994" customFormat="false" ht="12.75" hidden="false" customHeight="true" outlineLevel="0" collapsed="false">
      <c r="A2994" s="5" t="n">
        <v>0.1</v>
      </c>
      <c r="B2994" s="5" t="n">
        <v>0.1</v>
      </c>
      <c r="C2994" s="7"/>
      <c r="D2994" s="7"/>
      <c r="E2994" s="7"/>
      <c r="G2994" s="5" t="n">
        <f aca="false">IF(ISNUMBER(FIND("old rod:",A2994)),"old rod:",A2994)</f>
        <v>0.1</v>
      </c>
      <c r="I2994" s="5" t="n">
        <v>0.1</v>
      </c>
    </row>
    <row r="2995" customFormat="false" ht="12.75" hidden="false" customHeight="true" outlineLevel="0" collapsed="false">
      <c r="A2995" s="5" t="s">
        <v>3700</v>
      </c>
      <c r="B2995" s="7" t="n">
        <v>20</v>
      </c>
      <c r="C2995" s="7" t="n">
        <v>20</v>
      </c>
      <c r="D2995" s="7" t="s">
        <v>3969</v>
      </c>
      <c r="E2995" s="7"/>
      <c r="G2995" s="5" t="str">
        <f aca="false">IF(ISNUMBER(FIND("old rod:",A2995)),"old rod:",A2995)</f>
        <v>20, 20, SMEARGLE</v>
      </c>
      <c r="I2995" s="5" t="s">
        <v>3700</v>
      </c>
    </row>
    <row r="2996" customFormat="false" ht="12.75" hidden="false" customHeight="true" outlineLevel="0" collapsed="false">
      <c r="A2996" s="5" t="s">
        <v>3701</v>
      </c>
      <c r="B2996" s="7" t="n">
        <v>26</v>
      </c>
      <c r="C2996" s="7" t="n">
        <v>26</v>
      </c>
      <c r="D2996" s="7" t="s">
        <v>3969</v>
      </c>
      <c r="E2996" s="7"/>
      <c r="G2996" s="5" t="str">
        <f aca="false">IF(ISNUMBER(FIND("old rod:",A2996)),"old rod:",A2996)</f>
        <v>26, 26, SMEARGLE</v>
      </c>
      <c r="I2996" s="5" t="s">
        <v>3701</v>
      </c>
    </row>
    <row r="2997" customFormat="false" ht="12.75" hidden="false" customHeight="true" outlineLevel="0" collapsed="false">
      <c r="A2997" s="5" t="s">
        <v>2203</v>
      </c>
      <c r="B2997" s="7" t="n">
        <v>22</v>
      </c>
      <c r="C2997" s="7" t="n">
        <v>22</v>
      </c>
      <c r="D2997" s="7" t="s">
        <v>3969</v>
      </c>
      <c r="E2997" s="7"/>
      <c r="G2997" s="5" t="str">
        <f aca="false">IF(ISNUMBER(FIND("old rod:",A2997)),"old rod:",A2997)</f>
        <v>22, 22, SMEARGLE</v>
      </c>
      <c r="I2997" s="5" t="s">
        <v>2203</v>
      </c>
    </row>
    <row r="2998" customFormat="false" ht="12.75" hidden="false" customHeight="true" outlineLevel="0" collapsed="false">
      <c r="A2998" s="5" t="s">
        <v>3699</v>
      </c>
      <c r="B2998" s="7" t="n">
        <v>24</v>
      </c>
      <c r="C2998" s="7" t="n">
        <v>24</v>
      </c>
      <c r="D2998" s="7" t="s">
        <v>3969</v>
      </c>
      <c r="E2998" s="7"/>
      <c r="G2998" s="5" t="str">
        <f aca="false">IF(ISNUMBER(FIND("old rod:",A2998)),"old rod:",A2998)</f>
        <v>24, 24, SMEARGLE</v>
      </c>
      <c r="I2998" s="5" t="s">
        <v>3699</v>
      </c>
    </row>
    <row r="2999" customFormat="false" ht="12.75" hidden="false" customHeight="true" outlineLevel="0" collapsed="false">
      <c r="A2999" s="5" t="n">
        <v>0.05</v>
      </c>
      <c r="B2999" s="5" t="n">
        <v>0.05</v>
      </c>
      <c r="C2999" s="7"/>
      <c r="D2999" s="7"/>
      <c r="E2999" s="7"/>
      <c r="G2999" s="5" t="n">
        <f aca="false">IF(ISNUMBER(FIND("old rod:",A2999)),"old rod:",A2999)</f>
        <v>0.05</v>
      </c>
      <c r="I2999" s="5" t="n">
        <v>0.05</v>
      </c>
    </row>
    <row r="3000" customFormat="false" ht="12.75" hidden="false" customHeight="true" outlineLevel="0" collapsed="false">
      <c r="A3000" s="5" t="s">
        <v>3702</v>
      </c>
      <c r="B3000" s="7" t="n">
        <v>28</v>
      </c>
      <c r="C3000" s="7" t="n">
        <v>28</v>
      </c>
      <c r="D3000" s="7" t="s">
        <v>3969</v>
      </c>
      <c r="E3000" s="7"/>
      <c r="G3000" s="5" t="str">
        <f aca="false">IF(ISNUMBER(FIND("old rod:",A3000)),"old rod:",A3000)</f>
        <v>28, 28, SMEARGLE</v>
      </c>
      <c r="I3000" s="5" t="s">
        <v>3702</v>
      </c>
    </row>
    <row r="3001" customFormat="false" ht="12.75" hidden="false" customHeight="true" outlineLevel="0" collapsed="false">
      <c r="A3001" s="5" t="s">
        <v>3703</v>
      </c>
      <c r="B3001" s="7" t="n">
        <v>18</v>
      </c>
      <c r="C3001" s="7" t="n">
        <v>18</v>
      </c>
      <c r="D3001" s="7" t="s">
        <v>3969</v>
      </c>
      <c r="E3001" s="7"/>
      <c r="G3001" s="5" t="str">
        <f aca="false">IF(ISNUMBER(FIND("old rod:",A3001)),"old rod:",A3001)</f>
        <v>18, 18, SMEARGLE</v>
      </c>
      <c r="I3001" s="5" t="s">
        <v>3703</v>
      </c>
    </row>
    <row r="3002" customFormat="false" ht="12.75" hidden="false" customHeight="true" outlineLevel="0" collapsed="false">
      <c r="A3002" s="5" t="n">
        <v>0.04</v>
      </c>
      <c r="B3002" s="5" t="n">
        <v>0.04</v>
      </c>
      <c r="C3002" s="7"/>
      <c r="D3002" s="7"/>
      <c r="E3002" s="7"/>
      <c r="G3002" s="5" t="n">
        <f aca="false">IF(ISNUMBER(FIND("old rod:",A3002)),"old rod:",A3002)</f>
        <v>0.04</v>
      </c>
      <c r="I3002" s="5" t="n">
        <v>0.04</v>
      </c>
    </row>
    <row r="3003" customFormat="false" ht="12.75" hidden="false" customHeight="true" outlineLevel="0" collapsed="false">
      <c r="A3003" s="5" t="s">
        <v>3700</v>
      </c>
      <c r="B3003" s="7" t="n">
        <v>20</v>
      </c>
      <c r="C3003" s="7" t="n">
        <v>20</v>
      </c>
      <c r="D3003" s="7" t="s">
        <v>3969</v>
      </c>
      <c r="E3003" s="7"/>
      <c r="G3003" s="5" t="str">
        <f aca="false">IF(ISNUMBER(FIND("old rod:",A3003)),"old rod:",A3003)</f>
        <v>20, 20, SMEARGLE</v>
      </c>
      <c r="I3003" s="5" t="s">
        <v>3700</v>
      </c>
    </row>
    <row r="3004" customFormat="false" ht="12.75" hidden="false" customHeight="true" outlineLevel="0" collapsed="false">
      <c r="A3004" s="5" t="s">
        <v>3701</v>
      </c>
      <c r="B3004" s="7" t="n">
        <v>26</v>
      </c>
      <c r="C3004" s="7" t="n">
        <v>26</v>
      </c>
      <c r="D3004" s="7" t="s">
        <v>3969</v>
      </c>
      <c r="E3004" s="7"/>
      <c r="G3004" s="5" t="str">
        <f aca="false">IF(ISNUMBER(FIND("old rod:",A3004)),"old rod:",A3004)</f>
        <v>26, 26, SMEARGLE</v>
      </c>
      <c r="I3004" s="5" t="s">
        <v>3701</v>
      </c>
    </row>
    <row r="3005" customFormat="false" ht="12.75" hidden="false" customHeight="true" outlineLevel="0" collapsed="false">
      <c r="A3005" s="5" t="n">
        <v>0.01</v>
      </c>
      <c r="B3005" s="5" t="n">
        <v>0.01</v>
      </c>
      <c r="C3005" s="7"/>
      <c r="D3005" s="7"/>
      <c r="E3005" s="7"/>
      <c r="G3005" s="5" t="n">
        <f aca="false">IF(ISNUMBER(FIND("old rod:",A3005)),"old rod:",A3005)</f>
        <v>0.01</v>
      </c>
      <c r="I3005" s="5" t="n">
        <v>0.01</v>
      </c>
    </row>
    <row r="3006" customFormat="false" ht="12.75" hidden="false" customHeight="true" outlineLevel="0" collapsed="false">
      <c r="A3006" s="5" t="s">
        <v>3700</v>
      </c>
      <c r="B3006" s="7" t="n">
        <v>20</v>
      </c>
      <c r="C3006" s="7" t="n">
        <v>20</v>
      </c>
      <c r="D3006" s="7" t="s">
        <v>3969</v>
      </c>
      <c r="E3006" s="7"/>
      <c r="G3006" s="5" t="str">
        <f aca="false">IF(ISNUMBER(FIND("old rod:",A3006)),"old rod:",A3006)</f>
        <v>20, 20, SMEARGLE</v>
      </c>
      <c r="I3006" s="5" t="s">
        <v>3700</v>
      </c>
    </row>
    <row r="3007" customFormat="false" ht="12.75" hidden="false" customHeight="true" outlineLevel="0" collapsed="false">
      <c r="A3007" s="5" t="s">
        <v>3701</v>
      </c>
      <c r="B3007" s="7" t="n">
        <v>26</v>
      </c>
      <c r="C3007" s="7" t="n">
        <v>26</v>
      </c>
      <c r="D3007" s="7" t="s">
        <v>3969</v>
      </c>
      <c r="E3007" s="7"/>
      <c r="G3007" s="5" t="str">
        <f aca="false">IF(ISNUMBER(FIND("old rod:",A3007)),"old rod:",A3007)</f>
        <v>26, 26, SMEARGLE</v>
      </c>
      <c r="I3007" s="5" t="s">
        <v>3701</v>
      </c>
    </row>
    <row r="3008" customFormat="false" ht="12.75" hidden="false" customHeight="true" outlineLevel="0" collapsed="false">
      <c r="A3008" s="5" t="s">
        <v>2536</v>
      </c>
      <c r="B3008" s="7" t="s">
        <v>2536</v>
      </c>
      <c r="C3008" s="7"/>
      <c r="D3008" s="7"/>
      <c r="E3008" s="7"/>
      <c r="G3008" s="5" t="str">
        <f aca="false">IF(ISNUMBER(FIND("old rod:",A3008)),"old rod:",A3008)</f>
        <v>NEW ROUTE</v>
      </c>
      <c r="I3008" s="5" t="s">
        <v>2536</v>
      </c>
    </row>
    <row r="3009" customFormat="false" ht="12.75" hidden="false" customHeight="true" outlineLevel="0" collapsed="false">
      <c r="A3009" s="5" t="s">
        <v>3728</v>
      </c>
      <c r="B3009" s="7" t="s">
        <v>3728</v>
      </c>
      <c r="C3009" s="7"/>
      <c r="D3009" s="7"/>
      <c r="E3009" s="7"/>
      <c r="G3009" s="5" t="str">
        <f aca="false">IF(ISNUMBER(FIND("old rod:",A3009)),"old rod:",A3009)</f>
        <v>0x1818</v>
      </c>
      <c r="I3009" s="5" t="s">
        <v>3728</v>
      </c>
    </row>
    <row r="3010" customFormat="false" ht="12.75" hidden="false" customHeight="true" outlineLevel="0" collapsed="false">
      <c r="A3010" s="5" t="n">
        <v>0.05</v>
      </c>
      <c r="B3010" s="5" t="n">
        <v>0.05</v>
      </c>
      <c r="C3010" s="7"/>
      <c r="D3010" s="7"/>
      <c r="E3010" s="7"/>
      <c r="G3010" s="5" t="n">
        <f aca="false">IF(ISNUMBER(FIND("old rod:",A3010)),"old rod:",A3010)</f>
        <v>0.05</v>
      </c>
      <c r="I3010" s="5" t="n">
        <v>0.05</v>
      </c>
    </row>
    <row r="3011" customFormat="false" ht="12.75" hidden="false" customHeight="true" outlineLevel="0" collapsed="false">
      <c r="A3011" s="5" t="s">
        <v>3696</v>
      </c>
      <c r="B3011" s="7" t="n">
        <v>28</v>
      </c>
      <c r="C3011" s="7" t="n">
        <v>28</v>
      </c>
      <c r="D3011" s="7" t="s">
        <v>3968</v>
      </c>
      <c r="E3011" s="7"/>
      <c r="G3011" s="5" t="str">
        <f aca="false">IF(ISNUMBER(FIND("old rod:",A3011)),"old rod:",A3011)</f>
        <v>28, 28, STANTLER</v>
      </c>
      <c r="I3011" s="5" t="s">
        <v>3696</v>
      </c>
    </row>
    <row r="3012" customFormat="false" ht="12.75" hidden="false" customHeight="true" outlineLevel="0" collapsed="false">
      <c r="A3012" s="5" t="s">
        <v>3697</v>
      </c>
      <c r="B3012" s="7" t="n">
        <v>18</v>
      </c>
      <c r="C3012" s="7" t="n">
        <v>18</v>
      </c>
      <c r="D3012" s="7" t="s">
        <v>3968</v>
      </c>
      <c r="E3012" s="7"/>
      <c r="G3012" s="5" t="str">
        <f aca="false">IF(ISNUMBER(FIND("old rod:",A3012)),"old rod:",A3012)</f>
        <v>18, 18, STANTLER</v>
      </c>
      <c r="I3012" s="5" t="s">
        <v>3697</v>
      </c>
    </row>
    <row r="3013" customFormat="false" ht="12.75" hidden="false" customHeight="true" outlineLevel="0" collapsed="false">
      <c r="A3013" s="5" t="n">
        <v>0.04</v>
      </c>
      <c r="B3013" s="5" t="n">
        <v>0.04</v>
      </c>
      <c r="C3013" s="7"/>
      <c r="D3013" s="7"/>
      <c r="E3013" s="7"/>
      <c r="G3013" s="5" t="n">
        <f aca="false">IF(ISNUMBER(FIND("old rod:",A3013)),"old rod:",A3013)</f>
        <v>0.04</v>
      </c>
      <c r="I3013" s="5" t="n">
        <v>0.04</v>
      </c>
    </row>
    <row r="3014" customFormat="false" ht="12.75" hidden="false" customHeight="true" outlineLevel="0" collapsed="false">
      <c r="A3014" s="5" t="s">
        <v>3694</v>
      </c>
      <c r="B3014" s="7" t="n">
        <v>20</v>
      </c>
      <c r="C3014" s="7" t="n">
        <v>20</v>
      </c>
      <c r="D3014" s="7" t="s">
        <v>3968</v>
      </c>
      <c r="E3014" s="7"/>
      <c r="G3014" s="5" t="str">
        <f aca="false">IF(ISNUMBER(FIND("old rod:",A3014)),"old rod:",A3014)</f>
        <v>20, 20, STANTLER</v>
      </c>
      <c r="I3014" s="5" t="s">
        <v>3694</v>
      </c>
    </row>
    <row r="3015" customFormat="false" ht="12.75" hidden="false" customHeight="true" outlineLevel="0" collapsed="false">
      <c r="A3015" s="5" t="s">
        <v>3695</v>
      </c>
      <c r="B3015" s="7" t="n">
        <v>26</v>
      </c>
      <c r="C3015" s="7" t="n">
        <v>26</v>
      </c>
      <c r="D3015" s="7" t="s">
        <v>3968</v>
      </c>
      <c r="E3015" s="7"/>
      <c r="G3015" s="5" t="str">
        <f aca="false">IF(ISNUMBER(FIND("old rod:",A3015)),"old rod:",A3015)</f>
        <v>26, 26, STANTLER</v>
      </c>
      <c r="I3015" s="5" t="s">
        <v>3695</v>
      </c>
    </row>
    <row r="3016" customFormat="false" ht="12.75" hidden="false" customHeight="true" outlineLevel="0" collapsed="false">
      <c r="A3016" s="5" t="n">
        <v>0.01</v>
      </c>
      <c r="B3016" s="5" t="n">
        <v>0.01</v>
      </c>
      <c r="C3016" s="7"/>
      <c r="D3016" s="7"/>
      <c r="E3016" s="7"/>
      <c r="G3016" s="5" t="n">
        <f aca="false">IF(ISNUMBER(FIND("old rod:",A3016)),"old rod:",A3016)</f>
        <v>0.01</v>
      </c>
      <c r="I3016" s="5" t="n">
        <v>0.01</v>
      </c>
    </row>
    <row r="3017" customFormat="false" ht="12.75" hidden="false" customHeight="true" outlineLevel="0" collapsed="false">
      <c r="A3017" s="5" t="s">
        <v>3694</v>
      </c>
      <c r="B3017" s="7" t="n">
        <v>20</v>
      </c>
      <c r="C3017" s="7" t="n">
        <v>20</v>
      </c>
      <c r="D3017" s="7" t="s">
        <v>3968</v>
      </c>
      <c r="E3017" s="7"/>
      <c r="G3017" s="5" t="str">
        <f aca="false">IF(ISNUMBER(FIND("old rod:",A3017)),"old rod:",A3017)</f>
        <v>20, 20, STANTLER</v>
      </c>
      <c r="I3017" s="5" t="s">
        <v>3694</v>
      </c>
    </row>
    <row r="3018" customFormat="false" ht="12.75" hidden="false" customHeight="true" outlineLevel="0" collapsed="false">
      <c r="A3018" s="5" t="s">
        <v>3695</v>
      </c>
      <c r="B3018" s="7" t="n">
        <v>26</v>
      </c>
      <c r="C3018" s="7" t="n">
        <v>26</v>
      </c>
      <c r="D3018" s="7" t="s">
        <v>3968</v>
      </c>
      <c r="E3018" s="7"/>
      <c r="G3018" s="5" t="str">
        <f aca="false">IF(ISNUMBER(FIND("old rod:",A3018)),"old rod:",A3018)</f>
        <v>26, 26, STANTLER</v>
      </c>
      <c r="I3018" s="5" t="s">
        <v>3695</v>
      </c>
    </row>
    <row r="3019" customFormat="false" ht="12.75" hidden="false" customHeight="true" outlineLevel="0" collapsed="false">
      <c r="A3019" s="5" t="s">
        <v>2536</v>
      </c>
      <c r="B3019" s="7" t="s">
        <v>2536</v>
      </c>
      <c r="C3019" s="7"/>
      <c r="D3019" s="7"/>
      <c r="E3019" s="7"/>
      <c r="G3019" s="5" t="str">
        <f aca="false">IF(ISNUMBER(FIND("old rod:",A3019)),"old rod:",A3019)</f>
        <v>NEW ROUTE</v>
      </c>
      <c r="I3019" s="5" t="s">
        <v>2536</v>
      </c>
    </row>
    <row r="3020" customFormat="false" ht="12.75" hidden="false" customHeight="true" outlineLevel="0" collapsed="false">
      <c r="A3020" s="5" t="s">
        <v>257</v>
      </c>
      <c r="B3020" s="7" t="s">
        <v>257</v>
      </c>
      <c r="C3020" s="7"/>
      <c r="D3020" s="7"/>
      <c r="E3020" s="7"/>
      <c r="G3020" s="5" t="str">
        <f aca="false">IF(ISNUMBER(FIND("old rod:",A3020)),"old rod:",A3020)</f>
        <v>Six Island Altering Cave</v>
      </c>
      <c r="I3020" s="5" t="s">
        <v>257</v>
      </c>
    </row>
    <row r="3021" customFormat="false" ht="12.75" hidden="false" customHeight="true" outlineLevel="0" collapsed="false">
      <c r="A3021" s="5" t="n">
        <v>0.2</v>
      </c>
      <c r="B3021" s="5" t="n">
        <v>0.2</v>
      </c>
      <c r="C3021" s="7"/>
      <c r="D3021" s="7"/>
      <c r="E3021" s="7"/>
      <c r="G3021" s="5" t="n">
        <f aca="false">IF(ISNUMBER(FIND("old rod:",A3021)),"old rod:",A3021)</f>
        <v>0.2</v>
      </c>
      <c r="I3021" s="5" t="n">
        <v>0.2</v>
      </c>
    </row>
    <row r="3022" customFormat="false" ht="12.75" hidden="false" customHeight="true" outlineLevel="0" collapsed="false">
      <c r="A3022" s="5" t="s">
        <v>2203</v>
      </c>
      <c r="B3022" s="7" t="n">
        <v>22</v>
      </c>
      <c r="C3022" s="7" t="n">
        <v>22</v>
      </c>
      <c r="D3022" s="7" t="s">
        <v>3969</v>
      </c>
      <c r="E3022" s="7"/>
      <c r="G3022" s="5" t="str">
        <f aca="false">IF(ISNUMBER(FIND("old rod:",A3022)),"old rod:",A3022)</f>
        <v>22, 22, SMEARGLE</v>
      </c>
      <c r="I3022" s="5" t="s">
        <v>2203</v>
      </c>
    </row>
    <row r="3023" customFormat="false" ht="12.75" hidden="false" customHeight="true" outlineLevel="0" collapsed="false">
      <c r="A3023" s="5" t="s">
        <v>3699</v>
      </c>
      <c r="B3023" s="7" t="n">
        <v>24</v>
      </c>
      <c r="C3023" s="7" t="n">
        <v>24</v>
      </c>
      <c r="D3023" s="7" t="s">
        <v>3969</v>
      </c>
      <c r="E3023" s="7"/>
      <c r="G3023" s="5" t="str">
        <f aca="false">IF(ISNUMBER(FIND("old rod:",A3023)),"old rod:",A3023)</f>
        <v>24, 24, SMEARGLE</v>
      </c>
      <c r="I3023" s="5" t="s">
        <v>3699</v>
      </c>
    </row>
    <row r="3024" customFormat="false" ht="12.75" hidden="false" customHeight="true" outlineLevel="0" collapsed="false">
      <c r="A3024" s="5" t="n">
        <v>0.1</v>
      </c>
      <c r="B3024" s="5" t="n">
        <v>0.1</v>
      </c>
      <c r="C3024" s="7"/>
      <c r="D3024" s="7"/>
      <c r="E3024" s="7"/>
      <c r="G3024" s="5" t="n">
        <f aca="false">IF(ISNUMBER(FIND("old rod:",A3024)),"old rod:",A3024)</f>
        <v>0.1</v>
      </c>
      <c r="I3024" s="5" t="n">
        <v>0.1</v>
      </c>
    </row>
    <row r="3025" customFormat="false" ht="12.75" hidden="false" customHeight="true" outlineLevel="0" collapsed="false">
      <c r="A3025" s="5" t="s">
        <v>3700</v>
      </c>
      <c r="B3025" s="7" t="n">
        <v>20</v>
      </c>
      <c r="C3025" s="7" t="n">
        <v>20</v>
      </c>
      <c r="D3025" s="7" t="s">
        <v>3969</v>
      </c>
      <c r="E3025" s="7"/>
      <c r="G3025" s="5" t="str">
        <f aca="false">IF(ISNUMBER(FIND("old rod:",A3025)),"old rod:",A3025)</f>
        <v>20, 20, SMEARGLE</v>
      </c>
      <c r="I3025" s="5" t="s">
        <v>3700</v>
      </c>
    </row>
    <row r="3026" customFormat="false" ht="12.75" hidden="false" customHeight="true" outlineLevel="0" collapsed="false">
      <c r="A3026" s="5" t="s">
        <v>3701</v>
      </c>
      <c r="B3026" s="7" t="n">
        <v>26</v>
      </c>
      <c r="C3026" s="7" t="n">
        <v>26</v>
      </c>
      <c r="D3026" s="7" t="s">
        <v>3969</v>
      </c>
      <c r="E3026" s="7"/>
      <c r="G3026" s="5" t="str">
        <f aca="false">IF(ISNUMBER(FIND("old rod:",A3026)),"old rod:",A3026)</f>
        <v>26, 26, SMEARGLE</v>
      </c>
      <c r="I3026" s="5" t="s">
        <v>3701</v>
      </c>
    </row>
    <row r="3027" customFormat="false" ht="12.75" hidden="false" customHeight="true" outlineLevel="0" collapsed="false">
      <c r="A3027" s="5" t="s">
        <v>2203</v>
      </c>
      <c r="B3027" s="7" t="n">
        <v>22</v>
      </c>
      <c r="C3027" s="7" t="n">
        <v>22</v>
      </c>
      <c r="D3027" s="7" t="s">
        <v>3969</v>
      </c>
      <c r="E3027" s="7"/>
      <c r="G3027" s="5" t="str">
        <f aca="false">IF(ISNUMBER(FIND("old rod:",A3027)),"old rod:",A3027)</f>
        <v>22, 22, SMEARGLE</v>
      </c>
      <c r="I3027" s="5" t="s">
        <v>2203</v>
      </c>
    </row>
    <row r="3028" customFormat="false" ht="12.75" hidden="false" customHeight="true" outlineLevel="0" collapsed="false">
      <c r="A3028" s="5" t="s">
        <v>3699</v>
      </c>
      <c r="B3028" s="7" t="n">
        <v>24</v>
      </c>
      <c r="C3028" s="7" t="n">
        <v>24</v>
      </c>
      <c r="D3028" s="7" t="s">
        <v>3969</v>
      </c>
      <c r="E3028" s="7"/>
      <c r="G3028" s="5" t="str">
        <f aca="false">IF(ISNUMBER(FIND("old rod:",A3028)),"old rod:",A3028)</f>
        <v>24, 24, SMEARGLE</v>
      </c>
      <c r="I3028" s="5" t="s">
        <v>3699</v>
      </c>
    </row>
    <row r="3029" customFormat="false" ht="12.75" hidden="false" customHeight="true" outlineLevel="0" collapsed="false">
      <c r="A3029" s="5" t="n">
        <v>0.05</v>
      </c>
      <c r="B3029" s="5" t="n">
        <v>0.05</v>
      </c>
      <c r="C3029" s="7"/>
      <c r="D3029" s="7"/>
      <c r="E3029" s="7"/>
      <c r="G3029" s="5" t="n">
        <f aca="false">IF(ISNUMBER(FIND("old rod:",A3029)),"old rod:",A3029)</f>
        <v>0.05</v>
      </c>
      <c r="I3029" s="5" t="n">
        <v>0.05</v>
      </c>
    </row>
    <row r="3030" customFormat="false" ht="12.75" hidden="false" customHeight="true" outlineLevel="0" collapsed="false">
      <c r="A3030" s="5" t="s">
        <v>3702</v>
      </c>
      <c r="B3030" s="7" t="n">
        <v>28</v>
      </c>
      <c r="C3030" s="7" t="n">
        <v>28</v>
      </c>
      <c r="D3030" s="7" t="s">
        <v>3969</v>
      </c>
      <c r="E3030" s="7"/>
      <c r="G3030" s="5" t="str">
        <f aca="false">IF(ISNUMBER(FIND("old rod:",A3030)),"old rod:",A3030)</f>
        <v>28, 28, SMEARGLE</v>
      </c>
      <c r="I3030" s="5" t="s">
        <v>3702</v>
      </c>
    </row>
    <row r="3031" customFormat="false" ht="12.75" hidden="false" customHeight="true" outlineLevel="0" collapsed="false">
      <c r="A3031" s="5" t="s">
        <v>3703</v>
      </c>
      <c r="B3031" s="7" t="n">
        <v>18</v>
      </c>
      <c r="C3031" s="7" t="n">
        <v>18</v>
      </c>
      <c r="D3031" s="7" t="s">
        <v>3969</v>
      </c>
      <c r="E3031" s="7"/>
      <c r="G3031" s="5" t="str">
        <f aca="false">IF(ISNUMBER(FIND("old rod:",A3031)),"old rod:",A3031)</f>
        <v>18, 18, SMEARGLE</v>
      </c>
      <c r="I3031" s="5" t="s">
        <v>3703</v>
      </c>
    </row>
    <row r="3032" customFormat="false" ht="12.75" hidden="false" customHeight="true" outlineLevel="0" collapsed="false">
      <c r="A3032" s="5" t="n">
        <v>0.04</v>
      </c>
      <c r="B3032" s="5" t="n">
        <v>0.04</v>
      </c>
      <c r="C3032" s="7"/>
      <c r="D3032" s="7"/>
      <c r="E3032" s="7"/>
      <c r="G3032" s="5" t="n">
        <f aca="false">IF(ISNUMBER(FIND("old rod:",A3032)),"old rod:",A3032)</f>
        <v>0.04</v>
      </c>
      <c r="I3032" s="5" t="n">
        <v>0.04</v>
      </c>
    </row>
    <row r="3033" customFormat="false" ht="12.75" hidden="false" customHeight="true" outlineLevel="0" collapsed="false">
      <c r="A3033" s="5" t="s">
        <v>3700</v>
      </c>
      <c r="B3033" s="7" t="n">
        <v>20</v>
      </c>
      <c r="C3033" s="7" t="n">
        <v>20</v>
      </c>
      <c r="D3033" s="7" t="s">
        <v>3969</v>
      </c>
      <c r="E3033" s="7"/>
      <c r="G3033" s="5" t="str">
        <f aca="false">IF(ISNUMBER(FIND("old rod:",A3033)),"old rod:",A3033)</f>
        <v>20, 20, SMEARGLE</v>
      </c>
      <c r="I3033" s="5" t="s">
        <v>3700</v>
      </c>
    </row>
    <row r="3034" customFormat="false" ht="12.75" hidden="false" customHeight="true" outlineLevel="0" collapsed="false">
      <c r="A3034" s="5" t="s">
        <v>3701</v>
      </c>
      <c r="B3034" s="7" t="n">
        <v>26</v>
      </c>
      <c r="C3034" s="7" t="n">
        <v>26</v>
      </c>
      <c r="D3034" s="7" t="s">
        <v>3969</v>
      </c>
      <c r="E3034" s="7"/>
      <c r="G3034" s="5" t="str">
        <f aca="false">IF(ISNUMBER(FIND("old rod:",A3034)),"old rod:",A3034)</f>
        <v>26, 26, SMEARGLE</v>
      </c>
      <c r="I3034" s="5" t="s">
        <v>3701</v>
      </c>
    </row>
    <row r="3035" customFormat="false" ht="12.75" hidden="false" customHeight="true" outlineLevel="0" collapsed="false">
      <c r="A3035" s="5" t="n">
        <v>0.01</v>
      </c>
      <c r="B3035" s="5" t="n">
        <v>0.01</v>
      </c>
      <c r="C3035" s="7"/>
      <c r="D3035" s="7"/>
      <c r="E3035" s="7"/>
      <c r="G3035" s="5" t="n">
        <f aca="false">IF(ISNUMBER(FIND("old rod:",A3035)),"old rod:",A3035)</f>
        <v>0.01</v>
      </c>
      <c r="I3035" s="5" t="n">
        <v>0.01</v>
      </c>
    </row>
    <row r="3036" customFormat="false" ht="12.75" hidden="false" customHeight="true" outlineLevel="0" collapsed="false">
      <c r="A3036" s="5" t="s">
        <v>3700</v>
      </c>
      <c r="B3036" s="7" t="n">
        <v>20</v>
      </c>
      <c r="C3036" s="7" t="n">
        <v>20</v>
      </c>
      <c r="D3036" s="7" t="s">
        <v>3969</v>
      </c>
      <c r="E3036" s="7"/>
      <c r="G3036" s="5" t="str">
        <f aca="false">IF(ISNUMBER(FIND("old rod:",A3036)),"old rod:",A3036)</f>
        <v>20, 20, SMEARGLE</v>
      </c>
      <c r="I3036" s="5" t="s">
        <v>3700</v>
      </c>
    </row>
    <row r="3037" customFormat="false" ht="12.75" hidden="false" customHeight="true" outlineLevel="0" collapsed="false">
      <c r="A3037" s="5" t="s">
        <v>3701</v>
      </c>
      <c r="B3037" s="7" t="n">
        <v>26</v>
      </c>
      <c r="C3037" s="7" t="n">
        <v>26</v>
      </c>
      <c r="D3037" s="7" t="s">
        <v>3969</v>
      </c>
      <c r="E3037" s="7"/>
      <c r="G3037" s="5" t="str">
        <f aca="false">IF(ISNUMBER(FIND("old rod:",A3037)),"old rod:",A3037)</f>
        <v>26, 26, SMEARGLE</v>
      </c>
      <c r="I3037" s="5" t="s">
        <v>3701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6.38"/>
    <col collapsed="false" customWidth="true" hidden="false" outlineLevel="0" max="6" min="2" style="0" width="8.63"/>
    <col collapsed="false" customWidth="true" hidden="false" outlineLevel="0" max="7" min="7" style="0" width="42.75"/>
    <col collapsed="false" customWidth="true" hidden="false" outlineLevel="0" max="8" min="8" style="0" width="8"/>
    <col collapsed="false" customWidth="true" hidden="false" outlineLevel="0" max="9" min="9" style="0" width="11.25"/>
  </cols>
  <sheetData>
    <row r="1" customFormat="false" ht="12.75" hidden="false" customHeight="true" outlineLevel="0" collapsed="false">
      <c r="A1" s="5" t="s">
        <v>3970</v>
      </c>
      <c r="B1" s="1" t="s">
        <v>3971</v>
      </c>
      <c r="C1" s="1" t="s">
        <v>3972</v>
      </c>
      <c r="D1" s="1" t="s">
        <v>3973</v>
      </c>
    </row>
    <row r="2" customFormat="false" ht="12.75" hidden="false" customHeight="true" outlineLevel="0" collapsed="false">
      <c r="A2" s="5" t="s">
        <v>2536</v>
      </c>
      <c r="G2" s="1" t="s">
        <v>313</v>
      </c>
      <c r="H2" s="1" t="s">
        <v>312</v>
      </c>
      <c r="I2" s="1"/>
    </row>
    <row r="3" customFormat="false" ht="12.75" hidden="false" customHeight="true" outlineLevel="0" collapsed="false">
      <c r="A3" s="5" t="s">
        <v>13</v>
      </c>
      <c r="G3" s="1" t="s">
        <v>315</v>
      </c>
      <c r="H3" s="1" t="s">
        <v>314</v>
      </c>
      <c r="I3" s="1"/>
    </row>
    <row r="4" customFormat="false" ht="12.75" hidden="false" customHeight="true" outlineLevel="0" collapsed="false">
      <c r="A4" s="5" t="n">
        <v>0.2</v>
      </c>
      <c r="G4" s="1" t="s">
        <v>317</v>
      </c>
      <c r="H4" s="1" t="s">
        <v>316</v>
      </c>
      <c r="I4" s="1"/>
    </row>
    <row r="5" customFormat="false" ht="12.75" hidden="false" customHeight="true" outlineLevel="0" collapsed="false">
      <c r="A5" s="5" t="s">
        <v>1221</v>
      </c>
      <c r="G5" s="1" t="s">
        <v>319</v>
      </c>
      <c r="H5" s="1" t="s">
        <v>318</v>
      </c>
      <c r="I5" s="1"/>
    </row>
    <row r="6" customFormat="false" ht="12.75" hidden="false" customHeight="true" outlineLevel="0" collapsed="false">
      <c r="A6" s="5" t="s">
        <v>2800</v>
      </c>
      <c r="G6" s="1" t="s">
        <v>321</v>
      </c>
      <c r="H6" s="1" t="s">
        <v>320</v>
      </c>
      <c r="I6" s="1"/>
    </row>
    <row r="7" customFormat="false" ht="12.75" hidden="false" customHeight="true" outlineLevel="0" collapsed="false">
      <c r="A7" s="5" t="n">
        <v>0.1</v>
      </c>
      <c r="G7" s="1" t="s">
        <v>323</v>
      </c>
      <c r="H7" s="1" t="s">
        <v>322</v>
      </c>
      <c r="I7" s="1"/>
    </row>
    <row r="8" customFormat="false" ht="12.75" hidden="false" customHeight="true" outlineLevel="0" collapsed="false">
      <c r="A8" s="5" t="s">
        <v>2802</v>
      </c>
      <c r="G8" s="1" t="s">
        <v>325</v>
      </c>
      <c r="H8" s="1" t="s">
        <v>324</v>
      </c>
      <c r="I8" s="1"/>
    </row>
    <row r="9" customFormat="false" ht="12.75" hidden="false" customHeight="true" outlineLevel="0" collapsed="false">
      <c r="A9" s="5" t="s">
        <v>2803</v>
      </c>
      <c r="G9" s="1" t="s">
        <v>13</v>
      </c>
      <c r="H9" s="1" t="s">
        <v>12</v>
      </c>
      <c r="I9" s="1"/>
    </row>
    <row r="10" customFormat="false" ht="12.75" hidden="false" customHeight="true" outlineLevel="0" collapsed="false">
      <c r="A10" s="5" t="s">
        <v>2804</v>
      </c>
      <c r="G10" s="1" t="s">
        <v>15</v>
      </c>
      <c r="H10" s="1" t="s">
        <v>14</v>
      </c>
      <c r="I10" s="1"/>
    </row>
    <row r="11" customFormat="false" ht="12.75" hidden="false" customHeight="true" outlineLevel="0" collapsed="false">
      <c r="A11" s="5" t="s">
        <v>2805</v>
      </c>
      <c r="G11" s="1" t="s">
        <v>17</v>
      </c>
      <c r="H11" s="1" t="s">
        <v>16</v>
      </c>
      <c r="I11" s="1"/>
    </row>
    <row r="12" customFormat="false" ht="12.75" hidden="false" customHeight="true" outlineLevel="0" collapsed="false">
      <c r="A12" s="5" t="n">
        <v>0.05</v>
      </c>
      <c r="G12" s="1" t="s">
        <v>19</v>
      </c>
      <c r="H12" s="1" t="s">
        <v>18</v>
      </c>
      <c r="I12" s="1"/>
    </row>
    <row r="13" customFormat="false" ht="12.75" hidden="false" customHeight="true" outlineLevel="0" collapsed="false">
      <c r="A13" s="5" t="s">
        <v>2807</v>
      </c>
      <c r="G13" s="1" t="s">
        <v>21</v>
      </c>
      <c r="H13" s="1" t="s">
        <v>20</v>
      </c>
      <c r="I13" s="8" t="s">
        <v>2242</v>
      </c>
    </row>
    <row r="14" customFormat="false" ht="12.75" hidden="false" customHeight="true" outlineLevel="0" collapsed="false">
      <c r="A14" s="5" t="s">
        <v>2808</v>
      </c>
      <c r="G14" s="1" t="s">
        <v>87</v>
      </c>
      <c r="H14" s="1" t="s">
        <v>86</v>
      </c>
      <c r="I14" s="1"/>
    </row>
    <row r="15" customFormat="false" ht="12.75" hidden="false" customHeight="true" outlineLevel="0" collapsed="false">
      <c r="A15" s="5" t="n">
        <v>0.04</v>
      </c>
      <c r="G15" s="1" t="s">
        <v>91</v>
      </c>
      <c r="H15" s="1" t="s">
        <v>90</v>
      </c>
      <c r="I15" s="1"/>
    </row>
    <row r="16" customFormat="false" ht="12.75" hidden="false" customHeight="true" outlineLevel="0" collapsed="false">
      <c r="A16" s="5" t="s">
        <v>2810</v>
      </c>
      <c r="G16" s="1" t="s">
        <v>93</v>
      </c>
      <c r="H16" s="1" t="s">
        <v>92</v>
      </c>
      <c r="I16" s="1"/>
    </row>
    <row r="17" customFormat="false" ht="12.75" hidden="false" customHeight="true" outlineLevel="0" collapsed="false">
      <c r="A17" s="5" t="s">
        <v>2811</v>
      </c>
      <c r="G17" s="1" t="s">
        <v>95</v>
      </c>
      <c r="H17" s="1" t="s">
        <v>94</v>
      </c>
      <c r="I17" s="1"/>
    </row>
    <row r="18" customFormat="false" ht="12.75" hidden="false" customHeight="true" outlineLevel="0" collapsed="false">
      <c r="A18" s="5" t="n">
        <v>0.01</v>
      </c>
      <c r="G18" s="1" t="s">
        <v>131</v>
      </c>
      <c r="H18" s="1" t="s">
        <v>130</v>
      </c>
      <c r="I18" s="1"/>
    </row>
    <row r="19" customFormat="false" ht="12.75" hidden="false" customHeight="true" outlineLevel="0" collapsed="false">
      <c r="A19" s="5" t="s">
        <v>2813</v>
      </c>
      <c r="G19" s="1" t="s">
        <v>133</v>
      </c>
      <c r="H19" s="1" t="s">
        <v>132</v>
      </c>
      <c r="I19" s="1"/>
    </row>
    <row r="20" customFormat="false" ht="12.75" hidden="false" customHeight="true" outlineLevel="0" collapsed="false">
      <c r="A20" s="5" t="s">
        <v>3705</v>
      </c>
      <c r="G20" s="1" t="s">
        <v>135</v>
      </c>
      <c r="H20" s="1" t="s">
        <v>134</v>
      </c>
      <c r="I20" s="1"/>
    </row>
    <row r="21" customFormat="false" ht="12.75" hidden="false" customHeight="true" outlineLevel="0" collapsed="false">
      <c r="A21" s="5" t="s">
        <v>2536</v>
      </c>
      <c r="G21" s="1" t="s">
        <v>137</v>
      </c>
      <c r="H21" s="1" t="s">
        <v>136</v>
      </c>
      <c r="I21" s="1"/>
    </row>
    <row r="22" customFormat="false" ht="12.75" hidden="false" customHeight="true" outlineLevel="0" collapsed="false">
      <c r="A22" s="5" t="s">
        <v>15</v>
      </c>
      <c r="G22" s="1" t="s">
        <v>139</v>
      </c>
      <c r="H22" s="1" t="s">
        <v>138</v>
      </c>
      <c r="I22" s="1" t="s">
        <v>2262</v>
      </c>
    </row>
    <row r="23" customFormat="false" ht="12.75" hidden="false" customHeight="true" outlineLevel="0" collapsed="false">
      <c r="A23" s="5" t="n">
        <v>0.2</v>
      </c>
      <c r="G23" s="1" t="s">
        <v>141</v>
      </c>
      <c r="H23" s="1" t="s">
        <v>140</v>
      </c>
      <c r="I23" s="1" t="s">
        <v>2266</v>
      </c>
    </row>
    <row r="24" customFormat="false" ht="12.75" hidden="false" customHeight="true" outlineLevel="0" collapsed="false">
      <c r="A24" s="5" t="s">
        <v>1234</v>
      </c>
      <c r="G24" s="1" t="s">
        <v>143</v>
      </c>
      <c r="H24" s="1" t="s">
        <v>142</v>
      </c>
      <c r="I24" s="1" t="s">
        <v>2270</v>
      </c>
    </row>
    <row r="25" customFormat="false" ht="12.75" hidden="false" customHeight="true" outlineLevel="0" collapsed="false">
      <c r="A25" s="5" t="s">
        <v>1234</v>
      </c>
      <c r="G25" s="1" t="s">
        <v>145</v>
      </c>
      <c r="H25" s="1" t="s">
        <v>144</v>
      </c>
      <c r="I25" s="1" t="s">
        <v>2274</v>
      </c>
    </row>
    <row r="26" customFormat="false" ht="12.75" hidden="false" customHeight="true" outlineLevel="0" collapsed="false">
      <c r="A26" s="5" t="n">
        <v>0.1</v>
      </c>
      <c r="G26" s="1" t="s">
        <v>157</v>
      </c>
      <c r="H26" s="1" t="s">
        <v>156</v>
      </c>
      <c r="I26" s="1" t="s">
        <v>2278</v>
      </c>
    </row>
    <row r="27" customFormat="false" ht="12.75" hidden="false" customHeight="true" outlineLevel="0" collapsed="false">
      <c r="A27" s="5" t="s">
        <v>1243</v>
      </c>
      <c r="G27" s="1" t="s">
        <v>159</v>
      </c>
      <c r="H27" s="1" t="s">
        <v>158</v>
      </c>
      <c r="I27" s="1"/>
    </row>
    <row r="28" customFormat="false" ht="12.75" hidden="false" customHeight="true" outlineLevel="0" collapsed="false">
      <c r="A28" s="5" t="s">
        <v>1243</v>
      </c>
      <c r="G28" s="1" t="s">
        <v>161</v>
      </c>
      <c r="H28" s="1" t="s">
        <v>160</v>
      </c>
      <c r="I28" s="1" t="s">
        <v>2284</v>
      </c>
    </row>
    <row r="29" customFormat="false" ht="12.75" hidden="false" customHeight="true" outlineLevel="0" collapsed="false">
      <c r="A29" s="5" t="s">
        <v>2817</v>
      </c>
      <c r="G29" s="1" t="s">
        <v>175</v>
      </c>
      <c r="H29" s="1" t="s">
        <v>174</v>
      </c>
      <c r="I29" s="1"/>
    </row>
    <row r="30" customFormat="false" ht="12.75" hidden="false" customHeight="true" outlineLevel="0" collapsed="false">
      <c r="A30" s="5" t="s">
        <v>2817</v>
      </c>
      <c r="G30" s="1" t="s">
        <v>177</v>
      </c>
      <c r="H30" s="1" t="s">
        <v>176</v>
      </c>
      <c r="I30" s="1"/>
    </row>
    <row r="31" customFormat="false" ht="12.75" hidden="false" customHeight="true" outlineLevel="0" collapsed="false">
      <c r="A31" s="5" t="n">
        <v>0.05</v>
      </c>
      <c r="G31" s="1" t="s">
        <v>179</v>
      </c>
      <c r="H31" s="1" t="s">
        <v>178</v>
      </c>
      <c r="I31" s="1"/>
    </row>
    <row r="32" customFormat="false" ht="12.75" hidden="false" customHeight="true" outlineLevel="0" collapsed="false">
      <c r="A32" s="5" t="s">
        <v>2818</v>
      </c>
      <c r="G32" s="1" t="s">
        <v>181</v>
      </c>
      <c r="H32" s="1" t="s">
        <v>180</v>
      </c>
      <c r="I32" s="1"/>
    </row>
    <row r="33" customFormat="false" ht="12.75" hidden="false" customHeight="true" outlineLevel="0" collapsed="false">
      <c r="A33" s="5" t="s">
        <v>2818</v>
      </c>
      <c r="G33" s="1" t="s">
        <v>183</v>
      </c>
      <c r="H33" s="1" t="s">
        <v>182</v>
      </c>
      <c r="I33" s="1"/>
    </row>
    <row r="34" customFormat="false" ht="12.75" hidden="false" customHeight="true" outlineLevel="0" collapsed="false">
      <c r="A34" s="5" t="n">
        <v>0.04</v>
      </c>
      <c r="G34" s="1" t="s">
        <v>185</v>
      </c>
      <c r="H34" s="1" t="s">
        <v>184</v>
      </c>
      <c r="I34" s="1" t="s">
        <v>2299</v>
      </c>
    </row>
    <row r="35" customFormat="false" ht="12.75" hidden="false" customHeight="true" outlineLevel="0" collapsed="false">
      <c r="A35" s="5" t="s">
        <v>2819</v>
      </c>
      <c r="G35" s="1" t="s">
        <v>187</v>
      </c>
      <c r="H35" s="1" t="s">
        <v>186</v>
      </c>
      <c r="I35" s="1" t="s">
        <v>2303</v>
      </c>
    </row>
    <row r="36" customFormat="false" ht="12.75" hidden="false" customHeight="true" outlineLevel="0" collapsed="false">
      <c r="A36" s="5" t="s">
        <v>2819</v>
      </c>
      <c r="G36" s="1" t="s">
        <v>193</v>
      </c>
      <c r="H36" s="1" t="s">
        <v>192</v>
      </c>
      <c r="I36" s="1"/>
    </row>
    <row r="37" customFormat="false" ht="12.75" hidden="false" customHeight="true" outlineLevel="0" collapsed="false">
      <c r="A37" s="5" t="n">
        <v>0.01</v>
      </c>
      <c r="G37" s="1" t="s">
        <v>195</v>
      </c>
      <c r="H37" s="1" t="s">
        <v>194</v>
      </c>
      <c r="I37" s="1"/>
    </row>
    <row r="38" customFormat="false" ht="12.75" hidden="false" customHeight="true" outlineLevel="0" collapsed="false">
      <c r="A38" s="5" t="s">
        <v>2820</v>
      </c>
      <c r="G38" s="1" t="s">
        <v>197</v>
      </c>
      <c r="H38" s="1" t="s">
        <v>196</v>
      </c>
      <c r="I38" s="1"/>
    </row>
    <row r="39" customFormat="false" ht="12.75" hidden="false" customHeight="true" outlineLevel="0" collapsed="false">
      <c r="A39" s="5" t="s">
        <v>3706</v>
      </c>
      <c r="G39" s="1" t="s">
        <v>199</v>
      </c>
      <c r="H39" s="1" t="s">
        <v>198</v>
      </c>
      <c r="I39" s="1"/>
    </row>
    <row r="40" customFormat="false" ht="12.75" hidden="false" customHeight="true" outlineLevel="0" collapsed="false">
      <c r="A40" s="5" t="s">
        <v>2536</v>
      </c>
      <c r="G40" s="1" t="s">
        <v>201</v>
      </c>
      <c r="H40" s="1" t="s">
        <v>200</v>
      </c>
      <c r="I40" s="1"/>
    </row>
    <row r="41" customFormat="false" ht="12.75" hidden="false" customHeight="true" outlineLevel="0" collapsed="false">
      <c r="A41" s="5" t="s">
        <v>17</v>
      </c>
      <c r="G41" s="1" t="s">
        <v>203</v>
      </c>
      <c r="H41" s="1" t="s">
        <v>202</v>
      </c>
      <c r="I41" s="1"/>
    </row>
    <row r="42" customFormat="false" ht="12.75" hidden="false" customHeight="true" outlineLevel="0" collapsed="false">
      <c r="A42" s="5" t="n">
        <v>0.2</v>
      </c>
      <c r="G42" s="1" t="s">
        <v>207</v>
      </c>
      <c r="H42" s="1" t="s">
        <v>206</v>
      </c>
      <c r="I42" s="1"/>
    </row>
    <row r="43" customFormat="false" ht="12.75" hidden="false" customHeight="true" outlineLevel="0" collapsed="false">
      <c r="A43" s="5" t="s">
        <v>1243</v>
      </c>
      <c r="G43" s="1" t="s">
        <v>209</v>
      </c>
      <c r="H43" s="1" t="s">
        <v>208</v>
      </c>
      <c r="I43" s="1"/>
    </row>
    <row r="44" customFormat="false" ht="12.75" hidden="false" customHeight="true" outlineLevel="0" collapsed="false">
      <c r="A44" s="5" t="s">
        <v>1243</v>
      </c>
      <c r="G44" s="1" t="s">
        <v>211</v>
      </c>
      <c r="H44" s="1" t="s">
        <v>210</v>
      </c>
      <c r="I44" s="1"/>
    </row>
    <row r="45" customFormat="false" ht="12.75" hidden="false" customHeight="true" outlineLevel="0" collapsed="false">
      <c r="A45" s="5" t="n">
        <v>0.1</v>
      </c>
      <c r="G45" s="1" t="s">
        <v>213</v>
      </c>
      <c r="H45" s="1" t="s">
        <v>212</v>
      </c>
      <c r="I45" s="1"/>
    </row>
    <row r="46" customFormat="false" ht="12.75" hidden="false" customHeight="true" outlineLevel="0" collapsed="false">
      <c r="A46" s="5" t="s">
        <v>2824</v>
      </c>
      <c r="G46" s="1" t="s">
        <v>219</v>
      </c>
      <c r="H46" s="1" t="s">
        <v>218</v>
      </c>
      <c r="I46" s="1"/>
    </row>
    <row r="47" customFormat="false" ht="12.75" hidden="false" customHeight="true" outlineLevel="0" collapsed="false">
      <c r="A47" s="5" t="s">
        <v>2824</v>
      </c>
      <c r="G47" s="1" t="s">
        <v>221</v>
      </c>
      <c r="H47" s="1" t="s">
        <v>220</v>
      </c>
      <c r="I47" s="1"/>
    </row>
    <row r="48" customFormat="false" ht="12.75" hidden="false" customHeight="true" outlineLevel="0" collapsed="false">
      <c r="A48" s="5" t="s">
        <v>2825</v>
      </c>
      <c r="G48" s="1" t="s">
        <v>223</v>
      </c>
      <c r="H48" s="1" t="s">
        <v>222</v>
      </c>
      <c r="I48" s="1"/>
    </row>
    <row r="49" customFormat="false" ht="12.75" hidden="false" customHeight="true" outlineLevel="0" collapsed="false">
      <c r="A49" s="5" t="s">
        <v>2825</v>
      </c>
      <c r="G49" s="1" t="s">
        <v>225</v>
      </c>
      <c r="H49" s="1" t="s">
        <v>224</v>
      </c>
      <c r="I49" s="1"/>
    </row>
    <row r="50" customFormat="false" ht="12.75" hidden="false" customHeight="true" outlineLevel="0" collapsed="false">
      <c r="A50" s="5" t="n">
        <v>0.05</v>
      </c>
      <c r="G50" s="1" t="s">
        <v>227</v>
      </c>
      <c r="H50" s="1" t="s">
        <v>226</v>
      </c>
      <c r="I50" s="1"/>
    </row>
    <row r="51" customFormat="false" ht="12.75" hidden="false" customHeight="true" outlineLevel="0" collapsed="false">
      <c r="A51" s="5" t="s">
        <v>2826</v>
      </c>
      <c r="G51" s="1" t="s">
        <v>229</v>
      </c>
      <c r="H51" s="1" t="s">
        <v>228</v>
      </c>
      <c r="I51" s="1"/>
    </row>
    <row r="52" customFormat="false" ht="12.75" hidden="false" customHeight="true" outlineLevel="0" collapsed="false">
      <c r="A52" s="5" t="s">
        <v>2826</v>
      </c>
      <c r="G52" s="1" t="s">
        <v>231</v>
      </c>
      <c r="H52" s="1" t="s">
        <v>230</v>
      </c>
      <c r="I52" s="1" t="s">
        <v>2347</v>
      </c>
    </row>
    <row r="53" customFormat="false" ht="12.75" hidden="false" customHeight="true" outlineLevel="0" collapsed="false">
      <c r="A53" s="5" t="n">
        <v>0.04</v>
      </c>
      <c r="G53" s="1" t="s">
        <v>233</v>
      </c>
      <c r="H53" s="1" t="s">
        <v>232</v>
      </c>
      <c r="I53" s="1" t="s">
        <v>2351</v>
      </c>
    </row>
    <row r="54" customFormat="false" ht="12.75" hidden="false" customHeight="true" outlineLevel="0" collapsed="false">
      <c r="A54" s="5" t="s">
        <v>2827</v>
      </c>
      <c r="G54" s="1" t="s">
        <v>235</v>
      </c>
      <c r="H54" s="1" t="s">
        <v>234</v>
      </c>
      <c r="I54" s="1"/>
    </row>
    <row r="55" customFormat="false" ht="12.75" hidden="false" customHeight="true" outlineLevel="0" collapsed="false">
      <c r="A55" s="5" t="s">
        <v>2827</v>
      </c>
      <c r="G55" s="1" t="s">
        <v>237</v>
      </c>
      <c r="H55" s="1" t="s">
        <v>236</v>
      </c>
      <c r="I55" s="1"/>
    </row>
    <row r="56" customFormat="false" ht="12.75" hidden="false" customHeight="true" outlineLevel="0" collapsed="false">
      <c r="A56" s="5" t="n">
        <v>0.01</v>
      </c>
      <c r="G56" s="1" t="s">
        <v>239</v>
      </c>
      <c r="H56" s="1" t="s">
        <v>238</v>
      </c>
      <c r="I56" s="1" t="s">
        <v>2359</v>
      </c>
    </row>
    <row r="57" customFormat="false" ht="12.75" hidden="false" customHeight="true" outlineLevel="0" collapsed="false">
      <c r="A57" s="5" t="s">
        <v>2828</v>
      </c>
      <c r="G57" s="1" t="s">
        <v>255</v>
      </c>
      <c r="H57" s="1" t="s">
        <v>254</v>
      </c>
      <c r="I57" s="1"/>
    </row>
    <row r="58" customFormat="false" ht="12.75" hidden="false" customHeight="true" outlineLevel="0" collapsed="false">
      <c r="A58" s="5" t="s">
        <v>3707</v>
      </c>
      <c r="G58" s="1" t="s">
        <v>285</v>
      </c>
      <c r="H58" s="1" t="s">
        <v>284</v>
      </c>
      <c r="I58" s="1"/>
    </row>
    <row r="59" customFormat="false" ht="12.75" hidden="false" customHeight="true" outlineLevel="0" collapsed="false">
      <c r="A59" s="5" t="s">
        <v>2536</v>
      </c>
      <c r="G59" s="1" t="s">
        <v>287</v>
      </c>
      <c r="H59" s="1" t="s">
        <v>286</v>
      </c>
      <c r="I59" s="1"/>
    </row>
    <row r="60" customFormat="false" ht="12.75" hidden="false" customHeight="true" outlineLevel="0" collapsed="false">
      <c r="A60" s="5" t="s">
        <v>19</v>
      </c>
      <c r="G60" s="1" t="s">
        <v>289</v>
      </c>
      <c r="H60" s="1" t="s">
        <v>288</v>
      </c>
      <c r="I60" s="1"/>
    </row>
    <row r="61" customFormat="false" ht="12.75" hidden="false" customHeight="true" outlineLevel="0" collapsed="false">
      <c r="A61" s="5" t="n">
        <v>0.2</v>
      </c>
      <c r="G61" s="1" t="s">
        <v>291</v>
      </c>
      <c r="H61" s="1" t="s">
        <v>290</v>
      </c>
      <c r="I61" s="1"/>
    </row>
    <row r="62" customFormat="false" ht="12.75" hidden="false" customHeight="true" outlineLevel="0" collapsed="false">
      <c r="A62" s="5" t="s">
        <v>1251</v>
      </c>
      <c r="G62" s="1" t="s">
        <v>293</v>
      </c>
      <c r="H62" s="1" t="s">
        <v>292</v>
      </c>
      <c r="I62" s="1"/>
    </row>
    <row r="63" customFormat="false" ht="12.75" hidden="false" customHeight="true" outlineLevel="0" collapsed="false">
      <c r="A63" s="5" t="s">
        <v>1251</v>
      </c>
      <c r="G63" s="1" t="s">
        <v>295</v>
      </c>
      <c r="H63" s="1" t="s">
        <v>294</v>
      </c>
      <c r="I63" s="1"/>
    </row>
    <row r="64" customFormat="false" ht="12.75" hidden="false" customHeight="true" outlineLevel="0" collapsed="false">
      <c r="A64" s="5" t="n">
        <v>0.1</v>
      </c>
      <c r="G64" s="1" t="s">
        <v>297</v>
      </c>
      <c r="H64" s="1" t="s">
        <v>296</v>
      </c>
      <c r="I64" s="1"/>
    </row>
    <row r="65" customFormat="false" ht="12.75" hidden="false" customHeight="true" outlineLevel="0" collapsed="false">
      <c r="A65" s="5" t="s">
        <v>2831</v>
      </c>
      <c r="G65" s="1" t="s">
        <v>299</v>
      </c>
      <c r="H65" s="1" t="s">
        <v>298</v>
      </c>
      <c r="I65" s="1"/>
    </row>
    <row r="66" customFormat="false" ht="12.75" hidden="false" customHeight="true" outlineLevel="0" collapsed="false">
      <c r="A66" s="5" t="s">
        <v>2832</v>
      </c>
      <c r="G66" s="1" t="s">
        <v>301</v>
      </c>
      <c r="H66" s="1" t="s">
        <v>300</v>
      </c>
      <c r="I66" s="1"/>
    </row>
    <row r="67" customFormat="false" ht="12.75" hidden="false" customHeight="true" outlineLevel="0" collapsed="false">
      <c r="A67" s="5" t="s">
        <v>2832</v>
      </c>
      <c r="G67" s="1" t="s">
        <v>303</v>
      </c>
      <c r="H67" s="1" t="s">
        <v>302</v>
      </c>
      <c r="I67" s="1"/>
    </row>
    <row r="68" customFormat="false" ht="12.75" hidden="false" customHeight="true" outlineLevel="0" collapsed="false">
      <c r="A68" s="5" t="s">
        <v>2833</v>
      </c>
      <c r="G68" s="1" t="s">
        <v>305</v>
      </c>
      <c r="H68" s="1" t="s">
        <v>304</v>
      </c>
      <c r="I68" s="1"/>
    </row>
    <row r="69" customFormat="false" ht="12.75" hidden="false" customHeight="true" outlineLevel="0" collapsed="false">
      <c r="A69" s="5" t="n">
        <v>0.05</v>
      </c>
      <c r="G69" s="1" t="s">
        <v>307</v>
      </c>
      <c r="H69" s="1" t="s">
        <v>306</v>
      </c>
      <c r="I69" s="1"/>
    </row>
    <row r="70" customFormat="false" ht="12.75" hidden="false" customHeight="true" outlineLevel="0" collapsed="false">
      <c r="A70" s="5" t="s">
        <v>2834</v>
      </c>
      <c r="G70" s="1" t="s">
        <v>309</v>
      </c>
      <c r="H70" s="1" t="s">
        <v>308</v>
      </c>
      <c r="I70" s="1"/>
    </row>
    <row r="71" customFormat="false" ht="12.75" hidden="false" customHeight="true" outlineLevel="0" collapsed="false">
      <c r="A71" s="5" t="s">
        <v>2834</v>
      </c>
      <c r="G71" s="1" t="s">
        <v>311</v>
      </c>
      <c r="H71" s="1" t="s">
        <v>310</v>
      </c>
      <c r="I71" s="1"/>
    </row>
    <row r="72" customFormat="false" ht="12.75" hidden="false" customHeight="true" outlineLevel="0" collapsed="false">
      <c r="A72" s="5" t="n">
        <v>0.04</v>
      </c>
      <c r="G72" s="1" t="s">
        <v>469</v>
      </c>
      <c r="H72" s="1" t="s">
        <v>468</v>
      </c>
      <c r="I72" s="1" t="s">
        <v>2393</v>
      </c>
    </row>
    <row r="73" customFormat="false" ht="12.75" hidden="false" customHeight="true" outlineLevel="0" collapsed="false">
      <c r="A73" s="5" t="s">
        <v>2835</v>
      </c>
      <c r="G73" s="1" t="s">
        <v>471</v>
      </c>
      <c r="H73" s="1" t="s">
        <v>470</v>
      </c>
      <c r="I73" s="1" t="s">
        <v>2398</v>
      </c>
    </row>
    <row r="74" customFormat="false" ht="12.75" hidden="false" customHeight="true" outlineLevel="0" collapsed="false">
      <c r="A74" s="5" t="s">
        <v>2836</v>
      </c>
      <c r="G74" s="1" t="s">
        <v>473</v>
      </c>
      <c r="H74" s="1" t="s">
        <v>472</v>
      </c>
      <c r="I74" s="1" t="s">
        <v>2402</v>
      </c>
    </row>
    <row r="75" customFormat="false" ht="12.75" hidden="false" customHeight="true" outlineLevel="0" collapsed="false">
      <c r="A75" s="5" t="n">
        <v>0.01</v>
      </c>
      <c r="G75" s="1" t="s">
        <v>475</v>
      </c>
      <c r="H75" s="1" t="s">
        <v>474</v>
      </c>
      <c r="I75" s="1" t="s">
        <v>2406</v>
      </c>
    </row>
    <row r="76" customFormat="false" ht="12.75" hidden="false" customHeight="true" outlineLevel="0" collapsed="false">
      <c r="A76" s="5" t="s">
        <v>2837</v>
      </c>
      <c r="G76" s="1" t="s">
        <v>477</v>
      </c>
      <c r="H76" s="1" t="s">
        <v>476</v>
      </c>
      <c r="I76" s="1"/>
    </row>
    <row r="77" customFormat="false" ht="12.75" hidden="false" customHeight="true" outlineLevel="0" collapsed="false">
      <c r="A77" s="5" t="s">
        <v>3708</v>
      </c>
      <c r="G77" s="1" t="s">
        <v>487</v>
      </c>
      <c r="H77" s="1" t="s">
        <v>486</v>
      </c>
      <c r="I77" s="1" t="s">
        <v>2411</v>
      </c>
    </row>
    <row r="78" customFormat="false" ht="12.75" hidden="false" customHeight="true" outlineLevel="0" collapsed="false">
      <c r="A78" s="5" t="s">
        <v>2536</v>
      </c>
      <c r="G78" s="1" t="s">
        <v>489</v>
      </c>
      <c r="H78" s="1" t="s">
        <v>488</v>
      </c>
      <c r="I78" s="1" t="s">
        <v>2414</v>
      </c>
    </row>
    <row r="79" customFormat="false" ht="12.75" hidden="false" customHeight="true" outlineLevel="0" collapsed="false">
      <c r="A79" s="5" t="s">
        <v>3974</v>
      </c>
      <c r="G79" s="1" t="s">
        <v>491</v>
      </c>
      <c r="H79" s="1" t="s">
        <v>490</v>
      </c>
      <c r="I79" s="1" t="s">
        <v>2418</v>
      </c>
    </row>
    <row r="80" customFormat="false" ht="12.75" hidden="false" customHeight="true" outlineLevel="0" collapsed="false">
      <c r="A80" s="5" t="s">
        <v>3975</v>
      </c>
    </row>
    <row r="81" customFormat="false" ht="12.75" hidden="false" customHeight="true" outlineLevel="0" collapsed="false">
      <c r="A81" s="5" t="s">
        <v>3976</v>
      </c>
      <c r="G81" s="1" t="s">
        <v>493</v>
      </c>
      <c r="H81" s="1" t="s">
        <v>492</v>
      </c>
      <c r="I81" s="1" t="s">
        <v>2422</v>
      </c>
    </row>
    <row r="82" customFormat="false" ht="12.75" hidden="false" customHeight="true" outlineLevel="0" collapsed="false">
      <c r="A82" s="5" t="s">
        <v>2841</v>
      </c>
      <c r="G82" s="1" t="s">
        <v>495</v>
      </c>
      <c r="H82" s="1" t="s">
        <v>494</v>
      </c>
      <c r="I82" s="1" t="s">
        <v>2425</v>
      </c>
    </row>
    <row r="83" customFormat="false" ht="12.75" hidden="false" customHeight="true" outlineLevel="0" collapsed="false">
      <c r="A83" s="5" t="s">
        <v>2842</v>
      </c>
      <c r="G83" s="1" t="s">
        <v>497</v>
      </c>
      <c r="H83" s="1" t="s">
        <v>496</v>
      </c>
      <c r="I83" s="1" t="s">
        <v>2427</v>
      </c>
    </row>
    <row r="84" customFormat="false" ht="12.75" hidden="false" customHeight="true" outlineLevel="0" collapsed="false">
      <c r="A84" s="5" t="s">
        <v>2843</v>
      </c>
      <c r="G84" s="1" t="s">
        <v>499</v>
      </c>
      <c r="H84" s="1" t="s">
        <v>498</v>
      </c>
      <c r="I84" s="1" t="s">
        <v>2430</v>
      </c>
    </row>
    <row r="85" customFormat="false" ht="12.75" hidden="false" customHeight="true" outlineLevel="0" collapsed="false">
      <c r="A85" s="5" t="s">
        <v>2844</v>
      </c>
      <c r="G85" s="1" t="s">
        <v>501</v>
      </c>
      <c r="H85" s="1" t="s">
        <v>500</v>
      </c>
      <c r="I85" s="1" t="s">
        <v>2433</v>
      </c>
    </row>
    <row r="86" customFormat="false" ht="12.75" hidden="false" customHeight="true" outlineLevel="0" collapsed="false">
      <c r="A86" s="5" t="s">
        <v>3977</v>
      </c>
      <c r="G86" s="1" t="s">
        <v>503</v>
      </c>
      <c r="H86" s="1" t="s">
        <v>502</v>
      </c>
      <c r="I86" s="1" t="s">
        <v>2435</v>
      </c>
    </row>
    <row r="87" customFormat="false" ht="12.75" hidden="false" customHeight="true" outlineLevel="0" collapsed="false">
      <c r="A87" s="5" t="s">
        <v>1266</v>
      </c>
      <c r="G87" s="1" t="s">
        <v>505</v>
      </c>
      <c r="H87" s="1" t="s">
        <v>504</v>
      </c>
      <c r="I87" s="1"/>
    </row>
    <row r="88" customFormat="false" ht="12.75" hidden="false" customHeight="true" outlineLevel="0" collapsed="false">
      <c r="A88" s="5" t="s">
        <v>1266</v>
      </c>
      <c r="G88" s="1" t="s">
        <v>507</v>
      </c>
      <c r="H88" s="1" t="s">
        <v>506</v>
      </c>
      <c r="I88" s="1"/>
    </row>
    <row r="89" customFormat="false" ht="12.75" hidden="false" customHeight="true" outlineLevel="0" collapsed="false">
      <c r="A89" s="5" t="s">
        <v>3978</v>
      </c>
      <c r="G89" s="1" t="s">
        <v>509</v>
      </c>
      <c r="H89" s="1" t="s">
        <v>508</v>
      </c>
      <c r="I89" s="1" t="s">
        <v>2440</v>
      </c>
    </row>
    <row r="90" customFormat="false" ht="12.75" hidden="false" customHeight="true" outlineLevel="0" collapsed="false">
      <c r="A90" s="5" t="s">
        <v>2847</v>
      </c>
      <c r="G90" s="1" t="s">
        <v>417</v>
      </c>
      <c r="H90" s="1" t="s">
        <v>416</v>
      </c>
      <c r="I90" s="1"/>
    </row>
    <row r="91" customFormat="false" ht="12.75" hidden="false" customHeight="true" outlineLevel="0" collapsed="false">
      <c r="A91" s="5" t="s">
        <v>2848</v>
      </c>
      <c r="G91" s="1" t="s">
        <v>419</v>
      </c>
      <c r="H91" s="1" t="s">
        <v>418</v>
      </c>
      <c r="I91" s="1"/>
    </row>
    <row r="92" customFormat="false" ht="12.75" hidden="false" customHeight="true" outlineLevel="0" collapsed="false">
      <c r="A92" s="5" t="s">
        <v>2849</v>
      </c>
      <c r="G92" s="1" t="s">
        <v>421</v>
      </c>
      <c r="H92" s="1" t="s">
        <v>420</v>
      </c>
      <c r="I92" s="1"/>
    </row>
    <row r="93" customFormat="false" ht="12.75" hidden="false" customHeight="true" outlineLevel="0" collapsed="false">
      <c r="A93" s="5" t="s">
        <v>3979</v>
      </c>
      <c r="G93" s="1" t="s">
        <v>423</v>
      </c>
      <c r="H93" s="1" t="s">
        <v>422</v>
      </c>
      <c r="I93" s="1" t="s">
        <v>2446</v>
      </c>
    </row>
    <row r="94" customFormat="false" ht="12.75" hidden="false" customHeight="true" outlineLevel="0" collapsed="false">
      <c r="A94" s="5" t="s">
        <v>2851</v>
      </c>
      <c r="G94" s="1" t="s">
        <v>425</v>
      </c>
      <c r="H94" s="1" t="s">
        <v>424</v>
      </c>
      <c r="I94" s="1"/>
    </row>
    <row r="95" customFormat="false" ht="12.75" hidden="false" customHeight="true" outlineLevel="0" collapsed="false">
      <c r="A95" s="5" t="s">
        <v>2852</v>
      </c>
      <c r="G95" s="1" t="s">
        <v>427</v>
      </c>
      <c r="H95" s="1" t="s">
        <v>426</v>
      </c>
      <c r="I95" s="1" t="s">
        <v>2450</v>
      </c>
    </row>
    <row r="96" customFormat="false" ht="12.75" hidden="false" customHeight="true" outlineLevel="0" collapsed="false">
      <c r="A96" s="5" t="s">
        <v>2853</v>
      </c>
      <c r="G96" s="1" t="s">
        <v>429</v>
      </c>
      <c r="H96" s="1" t="s">
        <v>428</v>
      </c>
      <c r="I96" s="1"/>
    </row>
    <row r="97" customFormat="false" ht="12.75" hidden="false" customHeight="true" outlineLevel="0" collapsed="false">
      <c r="A97" s="5" t="s">
        <v>2854</v>
      </c>
      <c r="G97" s="1" t="s">
        <v>431</v>
      </c>
      <c r="H97" s="1" t="s">
        <v>430</v>
      </c>
      <c r="I97" s="1"/>
    </row>
    <row r="98" customFormat="false" ht="12.75" hidden="false" customHeight="true" outlineLevel="0" collapsed="false">
      <c r="A98" s="5" t="s">
        <v>2855</v>
      </c>
      <c r="G98" s="1" t="s">
        <v>433</v>
      </c>
      <c r="H98" s="1" t="s">
        <v>432</v>
      </c>
      <c r="I98" s="1"/>
    </row>
    <row r="99" customFormat="false" ht="12.75" hidden="false" customHeight="true" outlineLevel="0" collapsed="false">
      <c r="A99" s="5" t="s">
        <v>2536</v>
      </c>
      <c r="G99" s="1" t="s">
        <v>435</v>
      </c>
      <c r="H99" s="1" t="s">
        <v>434</v>
      </c>
      <c r="I99" s="1" t="s">
        <v>2456</v>
      </c>
    </row>
    <row r="100" customFormat="false" ht="12.75" hidden="false" customHeight="true" outlineLevel="0" collapsed="false">
      <c r="A100" s="5" t="s">
        <v>87</v>
      </c>
      <c r="G100" s="1" t="s">
        <v>437</v>
      </c>
      <c r="H100" s="1" t="s">
        <v>436</v>
      </c>
      <c r="I100" s="1" t="s">
        <v>2459</v>
      </c>
    </row>
    <row r="101" customFormat="false" ht="12.75" hidden="false" customHeight="true" outlineLevel="0" collapsed="false">
      <c r="A101" s="5" t="n">
        <v>0.2</v>
      </c>
      <c r="G101" s="1" t="s">
        <v>439</v>
      </c>
      <c r="H101" s="1" t="s">
        <v>438</v>
      </c>
      <c r="I101" s="1" t="s">
        <v>2462</v>
      </c>
    </row>
    <row r="102" customFormat="false" ht="12.75" hidden="false" customHeight="true" outlineLevel="0" collapsed="false">
      <c r="A102" s="5" t="s">
        <v>1279</v>
      </c>
      <c r="G102" s="1" t="s">
        <v>441</v>
      </c>
      <c r="H102" s="1" t="s">
        <v>440</v>
      </c>
      <c r="I102" s="1" t="s">
        <v>2465</v>
      </c>
    </row>
    <row r="103" customFormat="false" ht="12.75" hidden="false" customHeight="true" outlineLevel="0" collapsed="false">
      <c r="A103" s="5" t="s">
        <v>2857</v>
      </c>
      <c r="G103" s="1" t="s">
        <v>443</v>
      </c>
      <c r="H103" s="1" t="s">
        <v>442</v>
      </c>
      <c r="I103" s="1"/>
    </row>
    <row r="104" customFormat="false" ht="12.75" hidden="false" customHeight="true" outlineLevel="0" collapsed="false">
      <c r="A104" s="5" t="n">
        <v>0.1</v>
      </c>
      <c r="G104" s="1" t="s">
        <v>445</v>
      </c>
      <c r="H104" s="1" t="s">
        <v>444</v>
      </c>
      <c r="I104" s="1"/>
    </row>
    <row r="105" customFormat="false" ht="12.75" hidden="false" customHeight="true" outlineLevel="0" collapsed="false">
      <c r="A105" s="5" t="s">
        <v>2858</v>
      </c>
      <c r="G105" s="1" t="s">
        <v>447</v>
      </c>
      <c r="H105" s="1" t="s">
        <v>446</v>
      </c>
      <c r="I105" s="1"/>
    </row>
    <row r="106" customFormat="false" ht="12.75" hidden="false" customHeight="true" outlineLevel="0" collapsed="false">
      <c r="A106" s="5" t="s">
        <v>2859</v>
      </c>
      <c r="G106" s="1" t="s">
        <v>449</v>
      </c>
      <c r="H106" s="1" t="s">
        <v>448</v>
      </c>
      <c r="I106" s="1"/>
    </row>
    <row r="107" customFormat="false" ht="12.75" hidden="false" customHeight="true" outlineLevel="0" collapsed="false">
      <c r="A107" s="5" t="s">
        <v>2860</v>
      </c>
      <c r="G107" s="1" t="s">
        <v>451</v>
      </c>
      <c r="H107" s="1" t="s">
        <v>450</v>
      </c>
      <c r="I107" s="1"/>
    </row>
    <row r="108" customFormat="false" ht="12.75" hidden="false" customHeight="true" outlineLevel="0" collapsed="false">
      <c r="A108" s="5" t="s">
        <v>2861</v>
      </c>
      <c r="G108" s="1" t="s">
        <v>453</v>
      </c>
      <c r="H108" s="1" t="s">
        <v>452</v>
      </c>
      <c r="I108" s="1" t="s">
        <v>2475</v>
      </c>
    </row>
    <row r="109" customFormat="false" ht="12.75" hidden="false" customHeight="true" outlineLevel="0" collapsed="false">
      <c r="A109" s="5" t="n">
        <v>0.05</v>
      </c>
      <c r="G109" s="1" t="s">
        <v>455</v>
      </c>
      <c r="H109" s="1" t="s">
        <v>454</v>
      </c>
      <c r="I109" s="1" t="s">
        <v>2478</v>
      </c>
    </row>
    <row r="110" customFormat="false" ht="12.75" hidden="false" customHeight="true" outlineLevel="0" collapsed="false">
      <c r="A110" s="5" t="s">
        <v>2862</v>
      </c>
      <c r="G110" s="1" t="s">
        <v>457</v>
      </c>
      <c r="H110" s="1" t="s">
        <v>456</v>
      </c>
      <c r="I110" s="1" t="s">
        <v>2481</v>
      </c>
    </row>
    <row r="111" customFormat="false" ht="12.75" hidden="false" customHeight="true" outlineLevel="0" collapsed="false">
      <c r="A111" s="5" t="s">
        <v>2863</v>
      </c>
      <c r="G111" s="1" t="s">
        <v>459</v>
      </c>
      <c r="H111" s="1" t="s">
        <v>458</v>
      </c>
      <c r="I111" s="1" t="s">
        <v>2484</v>
      </c>
    </row>
    <row r="112" customFormat="false" ht="12.75" hidden="false" customHeight="true" outlineLevel="0" collapsed="false">
      <c r="A112" s="5" t="n">
        <v>0.04</v>
      </c>
      <c r="G112" s="1" t="s">
        <v>461</v>
      </c>
      <c r="H112" s="1" t="s">
        <v>460</v>
      </c>
      <c r="I112" s="1" t="s">
        <v>2487</v>
      </c>
    </row>
    <row r="113" customFormat="false" ht="12.75" hidden="false" customHeight="true" outlineLevel="0" collapsed="false">
      <c r="A113" s="5" t="s">
        <v>2864</v>
      </c>
      <c r="G113" s="1" t="s">
        <v>463</v>
      </c>
      <c r="H113" s="1" t="s">
        <v>462</v>
      </c>
      <c r="I113" s="1" t="s">
        <v>2491</v>
      </c>
    </row>
    <row r="114" customFormat="false" ht="12.75" hidden="false" customHeight="true" outlineLevel="0" collapsed="false">
      <c r="A114" s="5" t="s">
        <v>2865</v>
      </c>
      <c r="G114" s="1" t="s">
        <v>465</v>
      </c>
      <c r="H114" s="1" t="s">
        <v>464</v>
      </c>
      <c r="I114" s="1" t="s">
        <v>2495</v>
      </c>
    </row>
    <row r="115" customFormat="false" ht="12.75" hidden="false" customHeight="true" outlineLevel="0" collapsed="false">
      <c r="A115" s="5" t="n">
        <v>0.01</v>
      </c>
      <c r="G115" s="1" t="s">
        <v>467</v>
      </c>
      <c r="H115" s="1" t="s">
        <v>466</v>
      </c>
      <c r="I115" s="1" t="s">
        <v>2499</v>
      </c>
    </row>
    <row r="116" customFormat="false" ht="12.75" hidden="false" customHeight="true" outlineLevel="0" collapsed="false">
      <c r="A116" s="5" t="s">
        <v>2866</v>
      </c>
      <c r="G116" s="1" t="s">
        <v>379</v>
      </c>
      <c r="H116" s="1" t="s">
        <v>378</v>
      </c>
      <c r="I116" s="1" t="s">
        <v>2501</v>
      </c>
    </row>
    <row r="117" customFormat="false" ht="12.75" hidden="false" customHeight="true" outlineLevel="0" collapsed="false">
      <c r="A117" s="5" t="s">
        <v>3709</v>
      </c>
      <c r="G117" s="1" t="s">
        <v>381</v>
      </c>
      <c r="H117" s="1" t="s">
        <v>380</v>
      </c>
      <c r="I117" s="1" t="s">
        <v>2503</v>
      </c>
    </row>
    <row r="118" customFormat="false" ht="12.75" hidden="false" customHeight="true" outlineLevel="0" collapsed="false">
      <c r="A118" s="5" t="s">
        <v>2536</v>
      </c>
      <c r="G118" s="1" t="s">
        <v>385</v>
      </c>
      <c r="H118" s="1" t="s">
        <v>384</v>
      </c>
      <c r="I118" s="1" t="s">
        <v>2505</v>
      </c>
    </row>
    <row r="119" customFormat="false" ht="12.75" hidden="false" customHeight="true" outlineLevel="0" collapsed="false">
      <c r="A119" s="5" t="s">
        <v>91</v>
      </c>
      <c r="G119" s="1" t="s">
        <v>389</v>
      </c>
      <c r="H119" s="1" t="s">
        <v>388</v>
      </c>
      <c r="I119" s="1" t="s">
        <v>2508</v>
      </c>
    </row>
    <row r="120" customFormat="false" ht="12.75" hidden="false" customHeight="true" outlineLevel="0" collapsed="false">
      <c r="A120" s="5" t="n">
        <v>0.2</v>
      </c>
      <c r="G120" s="1" t="s">
        <v>391</v>
      </c>
      <c r="H120" s="1" t="s">
        <v>390</v>
      </c>
      <c r="I120" s="1" t="s">
        <v>2511</v>
      </c>
    </row>
    <row r="121" customFormat="false" ht="12.75" hidden="false" customHeight="true" outlineLevel="0" collapsed="false">
      <c r="A121" s="5" t="s">
        <v>1292</v>
      </c>
      <c r="G121" s="1" t="s">
        <v>393</v>
      </c>
      <c r="H121" s="1" t="s">
        <v>392</v>
      </c>
      <c r="I121" s="1" t="s">
        <v>2514</v>
      </c>
    </row>
    <row r="122" customFormat="false" ht="12.75" hidden="false" customHeight="true" outlineLevel="0" collapsed="false">
      <c r="A122" s="5" t="s">
        <v>2869</v>
      </c>
      <c r="G122" s="1" t="s">
        <v>395</v>
      </c>
      <c r="H122" s="1" t="s">
        <v>394</v>
      </c>
      <c r="I122" s="1" t="s">
        <v>2517</v>
      </c>
    </row>
    <row r="123" customFormat="false" ht="12.75" hidden="false" customHeight="true" outlineLevel="0" collapsed="false">
      <c r="A123" s="5" t="n">
        <v>0.1</v>
      </c>
      <c r="G123" s="1" t="s">
        <v>403</v>
      </c>
      <c r="H123" s="1" t="s">
        <v>402</v>
      </c>
      <c r="I123" s="1" t="s">
        <v>2520</v>
      </c>
    </row>
    <row r="124" customFormat="false" ht="12.75" hidden="false" customHeight="true" outlineLevel="0" collapsed="false">
      <c r="A124" s="5" t="s">
        <v>2870</v>
      </c>
      <c r="G124" s="1" t="s">
        <v>409</v>
      </c>
      <c r="H124" s="1" t="s">
        <v>408</v>
      </c>
      <c r="I124" s="1" t="s">
        <v>2522</v>
      </c>
    </row>
    <row r="125" customFormat="false" ht="12.75" hidden="false" customHeight="true" outlineLevel="0" collapsed="false">
      <c r="A125" s="5" t="s">
        <v>2871</v>
      </c>
      <c r="G125" s="1" t="s">
        <v>411</v>
      </c>
      <c r="H125" s="1" t="s">
        <v>410</v>
      </c>
      <c r="I125" s="1" t="s">
        <v>2524</v>
      </c>
    </row>
    <row r="126" customFormat="false" ht="12.75" hidden="false" customHeight="true" outlineLevel="0" collapsed="false">
      <c r="A126" s="5" t="s">
        <v>2872</v>
      </c>
      <c r="G126" s="1" t="s">
        <v>257</v>
      </c>
      <c r="H126" s="1" t="s">
        <v>256</v>
      </c>
      <c r="I126" s="1"/>
    </row>
    <row r="127" customFormat="false" ht="12.75" hidden="false" customHeight="true" outlineLevel="0" collapsed="false">
      <c r="A127" s="5" t="s">
        <v>2873</v>
      </c>
      <c r="G127" s="1" t="s">
        <v>257</v>
      </c>
      <c r="H127" s="1" t="s">
        <v>256</v>
      </c>
      <c r="I127" s="1"/>
    </row>
    <row r="128" customFormat="false" ht="12.75" hidden="false" customHeight="true" outlineLevel="0" collapsed="false">
      <c r="A128" s="5" t="n">
        <v>0.05</v>
      </c>
      <c r="G128" s="1" t="s">
        <v>257</v>
      </c>
      <c r="H128" s="1" t="s">
        <v>256</v>
      </c>
      <c r="I128" s="1"/>
    </row>
    <row r="129" customFormat="false" ht="12.75" hidden="false" customHeight="true" outlineLevel="0" collapsed="false">
      <c r="A129" s="5" t="s">
        <v>2874</v>
      </c>
      <c r="G129" s="1" t="s">
        <v>257</v>
      </c>
      <c r="H129" s="1" t="s">
        <v>256</v>
      </c>
      <c r="I129" s="1"/>
    </row>
    <row r="130" customFormat="false" ht="12.75" hidden="false" customHeight="true" outlineLevel="0" collapsed="false">
      <c r="A130" s="5" t="s">
        <v>2875</v>
      </c>
      <c r="G130" s="1" t="s">
        <v>257</v>
      </c>
      <c r="H130" s="1" t="s">
        <v>256</v>
      </c>
      <c r="I130" s="1"/>
    </row>
    <row r="131" customFormat="false" ht="12.75" hidden="false" customHeight="true" outlineLevel="0" collapsed="false">
      <c r="A131" s="5" t="n">
        <v>0.04</v>
      </c>
      <c r="G131" s="1" t="s">
        <v>257</v>
      </c>
      <c r="H131" s="1" t="s">
        <v>256</v>
      </c>
      <c r="I131" s="1"/>
    </row>
    <row r="132" customFormat="false" ht="12.75" hidden="false" customHeight="true" outlineLevel="0" collapsed="false">
      <c r="A132" s="5" t="s">
        <v>2876</v>
      </c>
      <c r="G132" s="1" t="s">
        <v>257</v>
      </c>
      <c r="H132" s="1" t="s">
        <v>256</v>
      </c>
      <c r="I132" s="1"/>
    </row>
    <row r="133" customFormat="false" ht="12.75" hidden="false" customHeight="true" outlineLevel="0" collapsed="false">
      <c r="A133" s="5" t="s">
        <v>2877</v>
      </c>
      <c r="G133" s="1" t="s">
        <v>257</v>
      </c>
      <c r="H133" s="1" t="s">
        <v>256</v>
      </c>
      <c r="I133" s="1"/>
    </row>
    <row r="134" customFormat="false" ht="12.75" hidden="false" customHeight="true" outlineLevel="0" collapsed="false">
      <c r="A134" s="5" t="n">
        <v>0.01</v>
      </c>
      <c r="G134" s="1" t="s">
        <v>257</v>
      </c>
      <c r="H134" s="1" t="s">
        <v>256</v>
      </c>
      <c r="I134" s="1"/>
    </row>
    <row r="135" customFormat="false" ht="12.75" hidden="false" customHeight="true" outlineLevel="0" collapsed="false">
      <c r="A135" s="5" t="s">
        <v>2878</v>
      </c>
    </row>
    <row r="136" customFormat="false" ht="12.75" hidden="false" customHeight="true" outlineLevel="0" collapsed="false">
      <c r="A136" s="5" t="s">
        <v>3710</v>
      </c>
    </row>
    <row r="137" customFormat="false" ht="12.75" hidden="false" customHeight="true" outlineLevel="0" collapsed="false">
      <c r="A137" s="5" t="s">
        <v>2536</v>
      </c>
    </row>
    <row r="138" customFormat="false" ht="12.75" hidden="false" customHeight="true" outlineLevel="0" collapsed="false">
      <c r="A138" s="5" t="s">
        <v>93</v>
      </c>
    </row>
    <row r="139" customFormat="false" ht="12.75" hidden="false" customHeight="true" outlineLevel="0" collapsed="false">
      <c r="A139" s="5" t="n">
        <v>0.2</v>
      </c>
    </row>
    <row r="140" customFormat="false" ht="12.75" hidden="false" customHeight="true" outlineLevel="0" collapsed="false">
      <c r="A140" s="5" t="s">
        <v>1292</v>
      </c>
    </row>
    <row r="141" customFormat="false" ht="12.75" hidden="false" customHeight="true" outlineLevel="0" collapsed="false">
      <c r="A141" s="5" t="s">
        <v>2869</v>
      </c>
    </row>
    <row r="142" customFormat="false" ht="12.75" hidden="false" customHeight="true" outlineLevel="0" collapsed="false">
      <c r="A142" s="5" t="n">
        <v>0.1</v>
      </c>
    </row>
    <row r="143" customFormat="false" ht="12.75" hidden="false" customHeight="true" outlineLevel="0" collapsed="false">
      <c r="A143" s="5" t="s">
        <v>2870</v>
      </c>
    </row>
    <row r="144" customFormat="false" ht="12.75" hidden="false" customHeight="true" outlineLevel="0" collapsed="false">
      <c r="A144" s="5" t="s">
        <v>2871</v>
      </c>
    </row>
    <row r="145" customFormat="false" ht="12.75" hidden="false" customHeight="true" outlineLevel="0" collapsed="false">
      <c r="A145" s="5" t="s">
        <v>2872</v>
      </c>
    </row>
    <row r="146" customFormat="false" ht="12.75" hidden="false" customHeight="true" outlineLevel="0" collapsed="false">
      <c r="A146" s="5" t="s">
        <v>2873</v>
      </c>
    </row>
    <row r="147" customFormat="false" ht="12.75" hidden="false" customHeight="true" outlineLevel="0" collapsed="false">
      <c r="A147" s="5" t="n">
        <v>0.05</v>
      </c>
    </row>
    <row r="148" customFormat="false" ht="12.75" hidden="false" customHeight="true" outlineLevel="0" collapsed="false">
      <c r="A148" s="5" t="s">
        <v>2874</v>
      </c>
    </row>
    <row r="149" customFormat="false" ht="12.75" hidden="false" customHeight="true" outlineLevel="0" collapsed="false">
      <c r="A149" s="5" t="s">
        <v>2875</v>
      </c>
    </row>
    <row r="150" customFormat="false" ht="12.75" hidden="false" customHeight="true" outlineLevel="0" collapsed="false">
      <c r="A150" s="5" t="n">
        <v>0.04</v>
      </c>
    </row>
    <row r="151" customFormat="false" ht="12.75" hidden="false" customHeight="true" outlineLevel="0" collapsed="false">
      <c r="A151" s="5" t="s">
        <v>2876</v>
      </c>
    </row>
    <row r="152" customFormat="false" ht="12.75" hidden="false" customHeight="true" outlineLevel="0" collapsed="false">
      <c r="A152" s="5" t="s">
        <v>2877</v>
      </c>
    </row>
    <row r="153" customFormat="false" ht="12.75" hidden="false" customHeight="true" outlineLevel="0" collapsed="false">
      <c r="A153" s="5" t="n">
        <v>0.01</v>
      </c>
    </row>
    <row r="154" customFormat="false" ht="12.75" hidden="false" customHeight="true" outlineLevel="0" collapsed="false">
      <c r="A154" s="5" t="s">
        <v>2881</v>
      </c>
    </row>
    <row r="155" customFormat="false" ht="12.75" hidden="false" customHeight="true" outlineLevel="0" collapsed="false">
      <c r="A155" s="5" t="s">
        <v>3711</v>
      </c>
    </row>
    <row r="156" customFormat="false" ht="12.75" hidden="false" customHeight="true" outlineLevel="0" collapsed="false">
      <c r="A156" s="5" t="s">
        <v>2536</v>
      </c>
    </row>
    <row r="157" customFormat="false" ht="12.75" hidden="false" customHeight="true" outlineLevel="0" collapsed="false">
      <c r="A157" s="5" t="s">
        <v>95</v>
      </c>
    </row>
    <row r="158" customFormat="false" ht="12.75" hidden="false" customHeight="true" outlineLevel="0" collapsed="false">
      <c r="A158" s="5" t="n">
        <v>0.2</v>
      </c>
    </row>
    <row r="159" customFormat="false" ht="12.75" hidden="false" customHeight="true" outlineLevel="0" collapsed="false">
      <c r="A159" s="5" t="s">
        <v>1292</v>
      </c>
    </row>
    <row r="160" customFormat="false" ht="12.75" hidden="false" customHeight="true" outlineLevel="0" collapsed="false">
      <c r="A160" s="5" t="s">
        <v>2869</v>
      </c>
    </row>
    <row r="161" customFormat="false" ht="12.75" hidden="false" customHeight="true" outlineLevel="0" collapsed="false">
      <c r="A161" s="5" t="n">
        <v>0.1</v>
      </c>
    </row>
    <row r="162" customFormat="false" ht="12.75" hidden="false" customHeight="true" outlineLevel="0" collapsed="false">
      <c r="A162" s="5" t="s">
        <v>2870</v>
      </c>
    </row>
    <row r="163" customFormat="false" ht="12.75" hidden="false" customHeight="true" outlineLevel="0" collapsed="false">
      <c r="A163" s="5" t="s">
        <v>2871</v>
      </c>
    </row>
    <row r="164" customFormat="false" ht="12.75" hidden="false" customHeight="true" outlineLevel="0" collapsed="false">
      <c r="A164" s="5" t="s">
        <v>2872</v>
      </c>
    </row>
    <row r="165" customFormat="false" ht="12.75" hidden="false" customHeight="true" outlineLevel="0" collapsed="false">
      <c r="A165" s="5" t="s">
        <v>2873</v>
      </c>
    </row>
    <row r="166" customFormat="false" ht="12.75" hidden="false" customHeight="true" outlineLevel="0" collapsed="false">
      <c r="A166" s="5" t="n">
        <v>0.05</v>
      </c>
    </row>
    <row r="167" customFormat="false" ht="12.75" hidden="false" customHeight="true" outlineLevel="0" collapsed="false">
      <c r="A167" s="5" t="s">
        <v>2874</v>
      </c>
    </row>
    <row r="168" customFormat="false" ht="12.75" hidden="false" customHeight="true" outlineLevel="0" collapsed="false">
      <c r="A168" s="5" t="s">
        <v>2875</v>
      </c>
    </row>
    <row r="169" customFormat="false" ht="12.75" hidden="false" customHeight="true" outlineLevel="0" collapsed="false">
      <c r="A169" s="5" t="n">
        <v>0.04</v>
      </c>
    </row>
    <row r="170" customFormat="false" ht="12.75" hidden="false" customHeight="true" outlineLevel="0" collapsed="false">
      <c r="A170" s="5" t="s">
        <v>2876</v>
      </c>
    </row>
    <row r="171" customFormat="false" ht="12.75" hidden="false" customHeight="true" outlineLevel="0" collapsed="false">
      <c r="A171" s="5" t="s">
        <v>2877</v>
      </c>
    </row>
    <row r="172" customFormat="false" ht="12.75" hidden="false" customHeight="true" outlineLevel="0" collapsed="false">
      <c r="A172" s="5" t="n">
        <v>0.01</v>
      </c>
    </row>
    <row r="173" customFormat="false" ht="12.75" hidden="false" customHeight="true" outlineLevel="0" collapsed="false">
      <c r="A173" s="5" t="s">
        <v>2884</v>
      </c>
    </row>
    <row r="174" customFormat="false" ht="12.75" hidden="false" customHeight="true" outlineLevel="0" collapsed="false">
      <c r="A174" s="5" t="s">
        <v>3712</v>
      </c>
    </row>
    <row r="175" customFormat="false" ht="12.75" hidden="false" customHeight="true" outlineLevel="0" collapsed="false">
      <c r="A175" s="5" t="s">
        <v>2536</v>
      </c>
    </row>
    <row r="176" customFormat="false" ht="12.75" hidden="false" customHeight="true" outlineLevel="0" collapsed="false">
      <c r="A176" s="5" t="s">
        <v>131</v>
      </c>
    </row>
    <row r="177" customFormat="false" ht="12.75" hidden="false" customHeight="true" outlineLevel="0" collapsed="false">
      <c r="A177" s="5" t="n">
        <v>0.2</v>
      </c>
    </row>
    <row r="178" customFormat="false" ht="12.75" hidden="false" customHeight="true" outlineLevel="0" collapsed="false">
      <c r="A178" s="5" t="s">
        <v>1311</v>
      </c>
    </row>
    <row r="179" customFormat="false" ht="12.75" hidden="false" customHeight="true" outlineLevel="0" collapsed="false">
      <c r="A179" s="5" t="s">
        <v>2887</v>
      </c>
    </row>
    <row r="180" customFormat="false" ht="12.75" hidden="false" customHeight="true" outlineLevel="0" collapsed="false">
      <c r="A180" s="5" t="n">
        <v>0.1</v>
      </c>
    </row>
    <row r="181" customFormat="false" ht="12.75" hidden="false" customHeight="true" outlineLevel="0" collapsed="false">
      <c r="A181" s="5" t="s">
        <v>2888</v>
      </c>
    </row>
    <row r="182" customFormat="false" ht="12.75" hidden="false" customHeight="true" outlineLevel="0" collapsed="false">
      <c r="A182" s="5" t="s">
        <v>2889</v>
      </c>
    </row>
    <row r="183" customFormat="false" ht="12.75" hidden="false" customHeight="true" outlineLevel="0" collapsed="false">
      <c r="A183" s="5" t="s">
        <v>2890</v>
      </c>
    </row>
    <row r="184" customFormat="false" ht="12.75" hidden="false" customHeight="true" outlineLevel="0" collapsed="false">
      <c r="A184" s="5" t="s">
        <v>2891</v>
      </c>
    </row>
    <row r="185" customFormat="false" ht="12.75" hidden="false" customHeight="true" outlineLevel="0" collapsed="false">
      <c r="A185" s="5" t="n">
        <v>0.05</v>
      </c>
    </row>
    <row r="186" customFormat="false" ht="12.75" hidden="false" customHeight="true" outlineLevel="0" collapsed="false">
      <c r="A186" s="5" t="s">
        <v>2892</v>
      </c>
    </row>
    <row r="187" customFormat="false" ht="12.75" hidden="false" customHeight="true" outlineLevel="0" collapsed="false">
      <c r="A187" s="5" t="s">
        <v>2893</v>
      </c>
    </row>
    <row r="188" customFormat="false" ht="12.75" hidden="false" customHeight="true" outlineLevel="0" collapsed="false">
      <c r="A188" s="5" t="n">
        <v>0.04</v>
      </c>
    </row>
    <row r="189" customFormat="false" ht="12.75" hidden="false" customHeight="true" outlineLevel="0" collapsed="false">
      <c r="A189" s="5" t="s">
        <v>2894</v>
      </c>
    </row>
    <row r="190" customFormat="false" ht="12.75" hidden="false" customHeight="true" outlineLevel="0" collapsed="false">
      <c r="A190" s="5" t="s">
        <v>2895</v>
      </c>
    </row>
    <row r="191" customFormat="false" ht="12.75" hidden="false" customHeight="true" outlineLevel="0" collapsed="false">
      <c r="A191" s="5" t="n">
        <v>0.01</v>
      </c>
    </row>
    <row r="192" customFormat="false" ht="12.75" hidden="false" customHeight="true" outlineLevel="0" collapsed="false">
      <c r="A192" s="5" t="s">
        <v>2896</v>
      </c>
    </row>
    <row r="193" customFormat="false" ht="12.75" hidden="false" customHeight="true" outlineLevel="0" collapsed="false">
      <c r="A193" s="5" t="s">
        <v>3713</v>
      </c>
    </row>
    <row r="194" customFormat="false" ht="12.75" hidden="false" customHeight="true" outlineLevel="0" collapsed="false">
      <c r="A194" s="5" t="s">
        <v>2536</v>
      </c>
    </row>
    <row r="195" customFormat="false" ht="12.75" hidden="false" customHeight="true" outlineLevel="0" collapsed="false">
      <c r="A195" s="5" t="s">
        <v>133</v>
      </c>
    </row>
    <row r="196" customFormat="false" ht="12.75" hidden="false" customHeight="true" outlineLevel="0" collapsed="false">
      <c r="A196" s="5" t="n">
        <v>0.2</v>
      </c>
    </row>
    <row r="197" customFormat="false" ht="12.75" hidden="false" customHeight="true" outlineLevel="0" collapsed="false">
      <c r="A197" s="5" t="s">
        <v>1311</v>
      </c>
    </row>
    <row r="198" customFormat="false" ht="12.75" hidden="false" customHeight="true" outlineLevel="0" collapsed="false">
      <c r="A198" s="5" t="s">
        <v>2887</v>
      </c>
    </row>
    <row r="199" customFormat="false" ht="12.75" hidden="false" customHeight="true" outlineLevel="0" collapsed="false">
      <c r="A199" s="5" t="n">
        <v>0.1</v>
      </c>
    </row>
    <row r="200" customFormat="false" ht="12.75" hidden="false" customHeight="true" outlineLevel="0" collapsed="false">
      <c r="A200" s="5" t="s">
        <v>2888</v>
      </c>
    </row>
    <row r="201" customFormat="false" ht="12.75" hidden="false" customHeight="true" outlineLevel="0" collapsed="false">
      <c r="A201" s="5" t="s">
        <v>2889</v>
      </c>
    </row>
    <row r="202" customFormat="false" ht="12.75" hidden="false" customHeight="true" outlineLevel="0" collapsed="false">
      <c r="A202" s="5" t="s">
        <v>2890</v>
      </c>
    </row>
    <row r="203" customFormat="false" ht="12.75" hidden="false" customHeight="true" outlineLevel="0" collapsed="false">
      <c r="A203" s="5" t="s">
        <v>2891</v>
      </c>
    </row>
    <row r="204" customFormat="false" ht="12.75" hidden="false" customHeight="true" outlineLevel="0" collapsed="false">
      <c r="A204" s="5" t="n">
        <v>0.05</v>
      </c>
    </row>
    <row r="205" customFormat="false" ht="12.75" hidden="false" customHeight="true" outlineLevel="0" collapsed="false">
      <c r="A205" s="5" t="s">
        <v>2892</v>
      </c>
    </row>
    <row r="206" customFormat="false" ht="12.75" hidden="false" customHeight="true" outlineLevel="0" collapsed="false">
      <c r="A206" s="5" t="s">
        <v>2893</v>
      </c>
    </row>
    <row r="207" customFormat="false" ht="12.75" hidden="false" customHeight="true" outlineLevel="0" collapsed="false">
      <c r="A207" s="5" t="n">
        <v>0.04</v>
      </c>
    </row>
    <row r="208" customFormat="false" ht="12.75" hidden="false" customHeight="true" outlineLevel="0" collapsed="false">
      <c r="A208" s="5" t="s">
        <v>2894</v>
      </c>
    </row>
    <row r="209" customFormat="false" ht="12.75" hidden="false" customHeight="true" outlineLevel="0" collapsed="false">
      <c r="A209" s="5" t="s">
        <v>2895</v>
      </c>
    </row>
    <row r="210" customFormat="false" ht="12.75" hidden="false" customHeight="true" outlineLevel="0" collapsed="false">
      <c r="A210" s="5" t="n">
        <v>0.01</v>
      </c>
    </row>
    <row r="211" customFormat="false" ht="12.75" hidden="false" customHeight="true" outlineLevel="0" collapsed="false">
      <c r="A211" s="5" t="s">
        <v>2896</v>
      </c>
    </row>
    <row r="212" customFormat="false" ht="12.75" hidden="false" customHeight="true" outlineLevel="0" collapsed="false">
      <c r="A212" s="5" t="s">
        <v>3713</v>
      </c>
    </row>
    <row r="213" customFormat="false" ht="12.75" hidden="false" customHeight="true" outlineLevel="0" collapsed="false">
      <c r="A213" s="5" t="s">
        <v>2536</v>
      </c>
    </row>
    <row r="214" customFormat="false" ht="12.75" hidden="false" customHeight="true" outlineLevel="0" collapsed="false">
      <c r="A214" s="5" t="s">
        <v>135</v>
      </c>
    </row>
    <row r="215" customFormat="false" ht="12.75" hidden="false" customHeight="true" outlineLevel="0" collapsed="false">
      <c r="A215" s="5" t="n">
        <v>0.2</v>
      </c>
    </row>
    <row r="216" customFormat="false" ht="12.75" hidden="false" customHeight="true" outlineLevel="0" collapsed="false">
      <c r="A216" s="5" t="s">
        <v>1311</v>
      </c>
    </row>
    <row r="217" customFormat="false" ht="12.75" hidden="false" customHeight="true" outlineLevel="0" collapsed="false">
      <c r="A217" s="5" t="s">
        <v>2887</v>
      </c>
    </row>
    <row r="218" customFormat="false" ht="12.75" hidden="false" customHeight="true" outlineLevel="0" collapsed="false">
      <c r="A218" s="5" t="n">
        <v>0.1</v>
      </c>
    </row>
    <row r="219" customFormat="false" ht="12.75" hidden="false" customHeight="true" outlineLevel="0" collapsed="false">
      <c r="A219" s="5" t="s">
        <v>2888</v>
      </c>
    </row>
    <row r="220" customFormat="false" ht="12.75" hidden="false" customHeight="true" outlineLevel="0" collapsed="false">
      <c r="A220" s="5" t="s">
        <v>2889</v>
      </c>
    </row>
    <row r="221" customFormat="false" ht="12.75" hidden="false" customHeight="true" outlineLevel="0" collapsed="false">
      <c r="A221" s="5" t="s">
        <v>2890</v>
      </c>
    </row>
    <row r="222" customFormat="false" ht="12.75" hidden="false" customHeight="true" outlineLevel="0" collapsed="false">
      <c r="A222" s="5" t="s">
        <v>2891</v>
      </c>
    </row>
    <row r="223" customFormat="false" ht="12.75" hidden="false" customHeight="true" outlineLevel="0" collapsed="false">
      <c r="A223" s="5" t="n">
        <v>0.05</v>
      </c>
    </row>
    <row r="224" customFormat="false" ht="12.75" hidden="false" customHeight="true" outlineLevel="0" collapsed="false">
      <c r="A224" s="5" t="s">
        <v>2892</v>
      </c>
    </row>
    <row r="225" customFormat="false" ht="12.75" hidden="false" customHeight="true" outlineLevel="0" collapsed="false">
      <c r="A225" s="5" t="s">
        <v>2893</v>
      </c>
    </row>
    <row r="226" customFormat="false" ht="12.75" hidden="false" customHeight="true" outlineLevel="0" collapsed="false">
      <c r="A226" s="5" t="n">
        <v>0.04</v>
      </c>
    </row>
    <row r="227" customFormat="false" ht="12.75" hidden="false" customHeight="true" outlineLevel="0" collapsed="false">
      <c r="A227" s="5" t="s">
        <v>2894</v>
      </c>
    </row>
    <row r="228" customFormat="false" ht="12.75" hidden="false" customHeight="true" outlineLevel="0" collapsed="false">
      <c r="A228" s="5" t="s">
        <v>2895</v>
      </c>
    </row>
    <row r="229" customFormat="false" ht="12.75" hidden="false" customHeight="true" outlineLevel="0" collapsed="false">
      <c r="A229" s="5" t="n">
        <v>0.01</v>
      </c>
    </row>
    <row r="230" customFormat="false" ht="12.75" hidden="false" customHeight="true" outlineLevel="0" collapsed="false">
      <c r="A230" s="5" t="s">
        <v>2896</v>
      </c>
    </row>
    <row r="231" customFormat="false" ht="12.75" hidden="false" customHeight="true" outlineLevel="0" collapsed="false">
      <c r="A231" s="5" t="s">
        <v>3713</v>
      </c>
    </row>
    <row r="232" customFormat="false" ht="12.75" hidden="false" customHeight="true" outlineLevel="0" collapsed="false">
      <c r="A232" s="5" t="s">
        <v>2536</v>
      </c>
    </row>
    <row r="233" customFormat="false" ht="12.75" hidden="false" customHeight="true" outlineLevel="0" collapsed="false">
      <c r="A233" s="5" t="s">
        <v>137</v>
      </c>
    </row>
    <row r="234" customFormat="false" ht="12.75" hidden="false" customHeight="true" outlineLevel="0" collapsed="false">
      <c r="A234" s="5" t="n">
        <v>0.2</v>
      </c>
    </row>
    <row r="235" customFormat="false" ht="12.75" hidden="false" customHeight="true" outlineLevel="0" collapsed="false">
      <c r="A235" s="5" t="s">
        <v>1311</v>
      </c>
    </row>
    <row r="236" customFormat="false" ht="12.75" hidden="false" customHeight="true" outlineLevel="0" collapsed="false">
      <c r="A236" s="5" t="s">
        <v>2887</v>
      </c>
    </row>
    <row r="237" customFormat="false" ht="12.75" hidden="false" customHeight="true" outlineLevel="0" collapsed="false">
      <c r="A237" s="5" t="n">
        <v>0.1</v>
      </c>
    </row>
    <row r="238" customFormat="false" ht="12.75" hidden="false" customHeight="true" outlineLevel="0" collapsed="false">
      <c r="A238" s="5" t="s">
        <v>2888</v>
      </c>
    </row>
    <row r="239" customFormat="false" ht="12.75" hidden="false" customHeight="true" outlineLevel="0" collapsed="false">
      <c r="A239" s="5" t="s">
        <v>2889</v>
      </c>
    </row>
    <row r="240" customFormat="false" ht="12.75" hidden="false" customHeight="true" outlineLevel="0" collapsed="false">
      <c r="A240" s="5" t="s">
        <v>2890</v>
      </c>
    </row>
    <row r="241" customFormat="false" ht="12.75" hidden="false" customHeight="true" outlineLevel="0" collapsed="false">
      <c r="A241" s="5" t="s">
        <v>2891</v>
      </c>
    </row>
    <row r="242" customFormat="false" ht="12.75" hidden="false" customHeight="true" outlineLevel="0" collapsed="false">
      <c r="A242" s="5" t="n">
        <v>0.05</v>
      </c>
    </row>
    <row r="243" customFormat="false" ht="12.75" hidden="false" customHeight="true" outlineLevel="0" collapsed="false">
      <c r="A243" s="5" t="s">
        <v>2901</v>
      </c>
    </row>
    <row r="244" customFormat="false" ht="12.75" hidden="false" customHeight="true" outlineLevel="0" collapsed="false">
      <c r="A244" s="5" t="s">
        <v>2902</v>
      </c>
    </row>
    <row r="245" customFormat="false" ht="12.75" hidden="false" customHeight="true" outlineLevel="0" collapsed="false">
      <c r="A245" s="5" t="n">
        <v>0.04</v>
      </c>
    </row>
    <row r="246" customFormat="false" ht="12.75" hidden="false" customHeight="true" outlineLevel="0" collapsed="false">
      <c r="A246" s="5" t="s">
        <v>2903</v>
      </c>
    </row>
    <row r="247" customFormat="false" ht="12.75" hidden="false" customHeight="true" outlineLevel="0" collapsed="false">
      <c r="A247" s="5" t="s">
        <v>2904</v>
      </c>
    </row>
    <row r="248" customFormat="false" ht="12.75" hidden="false" customHeight="true" outlineLevel="0" collapsed="false">
      <c r="A248" s="5" t="n">
        <v>0.01</v>
      </c>
    </row>
    <row r="249" customFormat="false" ht="12.75" hidden="false" customHeight="true" outlineLevel="0" collapsed="false">
      <c r="A249" s="5" t="s">
        <v>2905</v>
      </c>
    </row>
    <row r="250" customFormat="false" ht="12.75" hidden="false" customHeight="true" outlineLevel="0" collapsed="false">
      <c r="A250" s="5" t="s">
        <v>3714</v>
      </c>
    </row>
    <row r="251" customFormat="false" ht="12.75" hidden="false" customHeight="true" outlineLevel="0" collapsed="false">
      <c r="A251" s="5" t="s">
        <v>2536</v>
      </c>
    </row>
    <row r="252" customFormat="false" ht="12.75" hidden="false" customHeight="true" outlineLevel="0" collapsed="false">
      <c r="A252" s="5" t="s">
        <v>139</v>
      </c>
    </row>
    <row r="253" customFormat="false" ht="12.75" hidden="false" customHeight="true" outlineLevel="0" collapsed="false">
      <c r="A253" s="5" t="n">
        <v>0.2</v>
      </c>
    </row>
    <row r="254" customFormat="false" ht="12.75" hidden="false" customHeight="true" outlineLevel="0" collapsed="false">
      <c r="A254" s="5" t="s">
        <v>1333</v>
      </c>
    </row>
    <row r="255" customFormat="false" ht="12.75" hidden="false" customHeight="true" outlineLevel="0" collapsed="false">
      <c r="A255" s="5" t="s">
        <v>2909</v>
      </c>
    </row>
    <row r="256" customFormat="false" ht="12.75" hidden="false" customHeight="true" outlineLevel="0" collapsed="false">
      <c r="A256" s="5" t="n">
        <v>0.1</v>
      </c>
    </row>
    <row r="257" customFormat="false" ht="12.75" hidden="false" customHeight="true" outlineLevel="0" collapsed="false">
      <c r="A257" s="5" t="s">
        <v>2910</v>
      </c>
    </row>
    <row r="258" customFormat="false" ht="12.75" hidden="false" customHeight="true" outlineLevel="0" collapsed="false">
      <c r="A258" s="5" t="s">
        <v>2911</v>
      </c>
    </row>
    <row r="259" customFormat="false" ht="12.75" hidden="false" customHeight="true" outlineLevel="0" collapsed="false">
      <c r="A259" s="5" t="s">
        <v>2912</v>
      </c>
    </row>
    <row r="260" customFormat="false" ht="12.75" hidden="false" customHeight="true" outlineLevel="0" collapsed="false">
      <c r="A260" s="5" t="s">
        <v>2913</v>
      </c>
    </row>
    <row r="261" customFormat="false" ht="12.75" hidden="false" customHeight="true" outlineLevel="0" collapsed="false">
      <c r="A261" s="5" t="n">
        <v>0.05</v>
      </c>
    </row>
    <row r="262" customFormat="false" ht="12.75" hidden="false" customHeight="true" outlineLevel="0" collapsed="false">
      <c r="A262" s="5" t="s">
        <v>2914</v>
      </c>
    </row>
    <row r="263" customFormat="false" ht="12.75" hidden="false" customHeight="true" outlineLevel="0" collapsed="false">
      <c r="A263" s="5" t="s">
        <v>2915</v>
      </c>
    </row>
    <row r="264" customFormat="false" ht="12.75" hidden="false" customHeight="true" outlineLevel="0" collapsed="false">
      <c r="A264" s="5" t="n">
        <v>0.04</v>
      </c>
    </row>
    <row r="265" customFormat="false" ht="12.75" hidden="false" customHeight="true" outlineLevel="0" collapsed="false">
      <c r="A265" s="5" t="s">
        <v>2916</v>
      </c>
    </row>
    <row r="266" customFormat="false" ht="12.75" hidden="false" customHeight="true" outlineLevel="0" collapsed="false">
      <c r="A266" s="5" t="s">
        <v>2917</v>
      </c>
    </row>
    <row r="267" customFormat="false" ht="12.75" hidden="false" customHeight="true" outlineLevel="0" collapsed="false">
      <c r="A267" s="5" t="n">
        <v>0.01</v>
      </c>
    </row>
    <row r="268" customFormat="false" ht="12.75" hidden="false" customHeight="true" outlineLevel="0" collapsed="false">
      <c r="A268" s="5" t="s">
        <v>2918</v>
      </c>
    </row>
    <row r="269" customFormat="false" ht="12.75" hidden="false" customHeight="true" outlineLevel="0" collapsed="false">
      <c r="A269" s="5" t="s">
        <v>2919</v>
      </c>
    </row>
    <row r="270" customFormat="false" ht="12.75" hidden="false" customHeight="true" outlineLevel="0" collapsed="false">
      <c r="A270" s="5" t="s">
        <v>3980</v>
      </c>
    </row>
    <row r="271" customFormat="false" ht="12.75" hidden="false" customHeight="true" outlineLevel="0" collapsed="false">
      <c r="A271" s="5" t="s">
        <v>3981</v>
      </c>
    </row>
    <row r="272" customFormat="false" ht="12.75" hidden="false" customHeight="true" outlineLevel="0" collapsed="false">
      <c r="A272" s="5" t="s">
        <v>2921</v>
      </c>
    </row>
    <row r="273" customFormat="false" ht="12.75" hidden="false" customHeight="true" outlineLevel="0" collapsed="false">
      <c r="A273" s="5" t="s">
        <v>2922</v>
      </c>
    </row>
    <row r="274" customFormat="false" ht="12.75" hidden="false" customHeight="true" outlineLevel="0" collapsed="false">
      <c r="A274" s="5" t="s">
        <v>2923</v>
      </c>
    </row>
    <row r="275" customFormat="false" ht="12.75" hidden="false" customHeight="true" outlineLevel="0" collapsed="false">
      <c r="A275" s="5" t="s">
        <v>2924</v>
      </c>
    </row>
    <row r="276" customFormat="false" ht="12.75" hidden="false" customHeight="true" outlineLevel="0" collapsed="false">
      <c r="A276" s="5" t="s">
        <v>3977</v>
      </c>
    </row>
    <row r="277" customFormat="false" ht="12.75" hidden="false" customHeight="true" outlineLevel="0" collapsed="false">
      <c r="A277" s="5" t="s">
        <v>1349</v>
      </c>
    </row>
    <row r="278" customFormat="false" ht="12.75" hidden="false" customHeight="true" outlineLevel="0" collapsed="false">
      <c r="A278" s="5" t="s">
        <v>2926</v>
      </c>
    </row>
    <row r="279" customFormat="false" ht="12.75" hidden="false" customHeight="true" outlineLevel="0" collapsed="false">
      <c r="A279" s="5" t="s">
        <v>3978</v>
      </c>
    </row>
    <row r="280" customFormat="false" ht="12.75" hidden="false" customHeight="true" outlineLevel="0" collapsed="false">
      <c r="A280" s="5" t="s">
        <v>2927</v>
      </c>
    </row>
    <row r="281" customFormat="false" ht="12.75" hidden="false" customHeight="true" outlineLevel="0" collapsed="false">
      <c r="A281" s="5" t="s">
        <v>2928</v>
      </c>
    </row>
    <row r="282" customFormat="false" ht="12.75" hidden="false" customHeight="true" outlineLevel="0" collapsed="false">
      <c r="A282" s="5" t="s">
        <v>2929</v>
      </c>
    </row>
    <row r="283" customFormat="false" ht="12.75" hidden="false" customHeight="true" outlineLevel="0" collapsed="false">
      <c r="A283" s="5" t="s">
        <v>3979</v>
      </c>
    </row>
    <row r="284" customFormat="false" ht="12.75" hidden="false" customHeight="true" outlineLevel="0" collapsed="false">
      <c r="A284" s="5" t="s">
        <v>2930</v>
      </c>
    </row>
    <row r="285" customFormat="false" ht="12.75" hidden="false" customHeight="true" outlineLevel="0" collapsed="false">
      <c r="A285" s="5" t="s">
        <v>2931</v>
      </c>
    </row>
    <row r="286" customFormat="false" ht="12.75" hidden="false" customHeight="true" outlineLevel="0" collapsed="false">
      <c r="A286" s="5" t="s">
        <v>2932</v>
      </c>
    </row>
    <row r="287" customFormat="false" ht="12.75" hidden="false" customHeight="true" outlineLevel="0" collapsed="false">
      <c r="A287" s="5" t="s">
        <v>2933</v>
      </c>
    </row>
    <row r="288" customFormat="false" ht="12.75" hidden="false" customHeight="true" outlineLevel="0" collapsed="false">
      <c r="A288" s="5" t="s">
        <v>2934</v>
      </c>
    </row>
    <row r="289" customFormat="false" ht="12.75" hidden="false" customHeight="true" outlineLevel="0" collapsed="false">
      <c r="A289" s="5" t="s">
        <v>2536</v>
      </c>
    </row>
    <row r="290" customFormat="false" ht="12.75" hidden="false" customHeight="true" outlineLevel="0" collapsed="false">
      <c r="A290" s="5" t="s">
        <v>141</v>
      </c>
    </row>
    <row r="291" customFormat="false" ht="12.75" hidden="false" customHeight="true" outlineLevel="0" collapsed="false">
      <c r="A291" s="5" t="n">
        <v>0.2</v>
      </c>
    </row>
    <row r="292" customFormat="false" ht="12.75" hidden="false" customHeight="true" outlineLevel="0" collapsed="false">
      <c r="A292" s="5" t="s">
        <v>1333</v>
      </c>
    </row>
    <row r="293" customFormat="false" ht="12.75" hidden="false" customHeight="true" outlineLevel="0" collapsed="false">
      <c r="A293" s="5" t="s">
        <v>2909</v>
      </c>
    </row>
    <row r="294" customFormat="false" ht="12.75" hidden="false" customHeight="true" outlineLevel="0" collapsed="false">
      <c r="A294" s="5" t="n">
        <v>0.1</v>
      </c>
    </row>
    <row r="295" customFormat="false" ht="12.75" hidden="false" customHeight="true" outlineLevel="0" collapsed="false">
      <c r="A295" s="5" t="s">
        <v>2910</v>
      </c>
    </row>
    <row r="296" customFormat="false" ht="12.75" hidden="false" customHeight="true" outlineLevel="0" collapsed="false">
      <c r="A296" s="5" t="s">
        <v>2911</v>
      </c>
    </row>
    <row r="297" customFormat="false" ht="12.75" hidden="false" customHeight="true" outlineLevel="0" collapsed="false">
      <c r="A297" s="5" t="s">
        <v>2936</v>
      </c>
    </row>
    <row r="298" customFormat="false" ht="12.75" hidden="false" customHeight="true" outlineLevel="0" collapsed="false">
      <c r="A298" s="5" t="s">
        <v>2937</v>
      </c>
    </row>
    <row r="299" customFormat="false" ht="12.75" hidden="false" customHeight="true" outlineLevel="0" collapsed="false">
      <c r="A299" s="5" t="n">
        <v>0.05</v>
      </c>
    </row>
    <row r="300" customFormat="false" ht="12.75" hidden="false" customHeight="true" outlineLevel="0" collapsed="false">
      <c r="A300" s="5" t="s">
        <v>2914</v>
      </c>
    </row>
    <row r="301" customFormat="false" ht="12.75" hidden="false" customHeight="true" outlineLevel="0" collapsed="false">
      <c r="A301" s="5" t="s">
        <v>2915</v>
      </c>
    </row>
    <row r="302" customFormat="false" ht="12.75" hidden="false" customHeight="true" outlineLevel="0" collapsed="false">
      <c r="A302" s="5" t="n">
        <v>0.04</v>
      </c>
    </row>
    <row r="303" customFormat="false" ht="12.75" hidden="false" customHeight="true" outlineLevel="0" collapsed="false">
      <c r="A303" s="5" t="s">
        <v>2938</v>
      </c>
    </row>
    <row r="304" customFormat="false" ht="12.75" hidden="false" customHeight="true" outlineLevel="0" collapsed="false">
      <c r="A304" s="5" t="s">
        <v>2939</v>
      </c>
    </row>
    <row r="305" customFormat="false" ht="12.75" hidden="false" customHeight="true" outlineLevel="0" collapsed="false">
      <c r="A305" s="5" t="n">
        <v>0.01</v>
      </c>
    </row>
    <row r="306" customFormat="false" ht="12.75" hidden="false" customHeight="true" outlineLevel="0" collapsed="false">
      <c r="A306" s="5" t="s">
        <v>2940</v>
      </c>
    </row>
    <row r="307" customFormat="false" ht="12.75" hidden="false" customHeight="true" outlineLevel="0" collapsed="false">
      <c r="A307" s="5" t="s">
        <v>2941</v>
      </c>
    </row>
    <row r="308" customFormat="false" ht="12.75" hidden="false" customHeight="true" outlineLevel="0" collapsed="false">
      <c r="A308" s="5" t="s">
        <v>3980</v>
      </c>
    </row>
    <row r="309" customFormat="false" ht="12.75" hidden="false" customHeight="true" outlineLevel="0" collapsed="false">
      <c r="A309" s="5" t="s">
        <v>3981</v>
      </c>
    </row>
    <row r="310" customFormat="false" ht="12.75" hidden="false" customHeight="true" outlineLevel="0" collapsed="false">
      <c r="A310" s="5" t="s">
        <v>2921</v>
      </c>
    </row>
    <row r="311" customFormat="false" ht="12.75" hidden="false" customHeight="true" outlineLevel="0" collapsed="false">
      <c r="A311" s="5" t="s">
        <v>2922</v>
      </c>
    </row>
    <row r="312" customFormat="false" ht="12.75" hidden="false" customHeight="true" outlineLevel="0" collapsed="false">
      <c r="A312" s="5" t="s">
        <v>2923</v>
      </c>
    </row>
    <row r="313" customFormat="false" ht="12.75" hidden="false" customHeight="true" outlineLevel="0" collapsed="false">
      <c r="A313" s="5" t="s">
        <v>2924</v>
      </c>
    </row>
    <row r="314" customFormat="false" ht="12.75" hidden="false" customHeight="true" outlineLevel="0" collapsed="false">
      <c r="A314" s="5" t="s">
        <v>3977</v>
      </c>
    </row>
    <row r="315" customFormat="false" ht="12.75" hidden="false" customHeight="true" outlineLevel="0" collapsed="false">
      <c r="A315" s="5" t="s">
        <v>1349</v>
      </c>
    </row>
    <row r="316" customFormat="false" ht="12.75" hidden="false" customHeight="true" outlineLevel="0" collapsed="false">
      <c r="A316" s="5" t="s">
        <v>2926</v>
      </c>
    </row>
    <row r="317" customFormat="false" ht="12.75" hidden="false" customHeight="true" outlineLevel="0" collapsed="false">
      <c r="A317" s="5" t="s">
        <v>3978</v>
      </c>
    </row>
    <row r="318" customFormat="false" ht="12.75" hidden="false" customHeight="true" outlineLevel="0" collapsed="false">
      <c r="A318" s="5" t="s">
        <v>2927</v>
      </c>
    </row>
    <row r="319" customFormat="false" ht="12.75" hidden="false" customHeight="true" outlineLevel="0" collapsed="false">
      <c r="A319" s="5" t="s">
        <v>2928</v>
      </c>
    </row>
    <row r="320" customFormat="false" ht="12.75" hidden="false" customHeight="true" outlineLevel="0" collapsed="false">
      <c r="A320" s="5" t="s">
        <v>2929</v>
      </c>
    </row>
    <row r="321" customFormat="false" ht="12.75" hidden="false" customHeight="true" outlineLevel="0" collapsed="false">
      <c r="A321" s="5" t="s">
        <v>3979</v>
      </c>
    </row>
    <row r="322" customFormat="false" ht="12.75" hidden="false" customHeight="true" outlineLevel="0" collapsed="false">
      <c r="A322" s="5" t="s">
        <v>2930</v>
      </c>
    </row>
    <row r="323" customFormat="false" ht="12.75" hidden="false" customHeight="true" outlineLevel="0" collapsed="false">
      <c r="A323" s="5" t="s">
        <v>2931</v>
      </c>
    </row>
    <row r="324" customFormat="false" ht="12.75" hidden="false" customHeight="true" outlineLevel="0" collapsed="false">
      <c r="A324" s="5" t="s">
        <v>2932</v>
      </c>
    </row>
    <row r="325" customFormat="false" ht="12.75" hidden="false" customHeight="true" outlineLevel="0" collapsed="false">
      <c r="A325" s="5" t="s">
        <v>2933</v>
      </c>
    </row>
    <row r="326" customFormat="false" ht="12.75" hidden="false" customHeight="true" outlineLevel="0" collapsed="false">
      <c r="A326" s="5" t="s">
        <v>2934</v>
      </c>
    </row>
    <row r="327" customFormat="false" ht="12.75" hidden="false" customHeight="true" outlineLevel="0" collapsed="false">
      <c r="A327" s="5" t="s">
        <v>2536</v>
      </c>
    </row>
    <row r="328" customFormat="false" ht="12.75" hidden="false" customHeight="true" outlineLevel="0" collapsed="false">
      <c r="A328" s="5" t="s">
        <v>143</v>
      </c>
    </row>
    <row r="329" customFormat="false" ht="12.75" hidden="false" customHeight="true" outlineLevel="0" collapsed="false">
      <c r="A329" s="5" t="n">
        <v>0.2</v>
      </c>
    </row>
    <row r="330" customFormat="false" ht="12.75" hidden="false" customHeight="true" outlineLevel="0" collapsed="false">
      <c r="A330" s="5" t="s">
        <v>1333</v>
      </c>
    </row>
    <row r="331" customFormat="false" ht="12.75" hidden="false" customHeight="true" outlineLevel="0" collapsed="false">
      <c r="A331" s="5" t="s">
        <v>2909</v>
      </c>
    </row>
    <row r="332" customFormat="false" ht="12.75" hidden="false" customHeight="true" outlineLevel="0" collapsed="false">
      <c r="A332" s="5" t="n">
        <v>0.1</v>
      </c>
    </row>
    <row r="333" customFormat="false" ht="12.75" hidden="false" customHeight="true" outlineLevel="0" collapsed="false">
      <c r="A333" s="5" t="s">
        <v>2910</v>
      </c>
    </row>
    <row r="334" customFormat="false" ht="12.75" hidden="false" customHeight="true" outlineLevel="0" collapsed="false">
      <c r="A334" s="5" t="s">
        <v>2911</v>
      </c>
    </row>
    <row r="335" customFormat="false" ht="12.75" hidden="false" customHeight="true" outlineLevel="0" collapsed="false">
      <c r="A335" s="5" t="s">
        <v>2943</v>
      </c>
    </row>
    <row r="336" customFormat="false" ht="12.75" hidden="false" customHeight="true" outlineLevel="0" collapsed="false">
      <c r="A336" s="5" t="s">
        <v>2944</v>
      </c>
    </row>
    <row r="337" customFormat="false" ht="12.75" hidden="false" customHeight="true" outlineLevel="0" collapsed="false">
      <c r="A337" s="5" t="n">
        <v>0.05</v>
      </c>
    </row>
    <row r="338" customFormat="false" ht="12.75" hidden="false" customHeight="true" outlineLevel="0" collapsed="false">
      <c r="A338" s="5" t="s">
        <v>2914</v>
      </c>
    </row>
    <row r="339" customFormat="false" ht="12.75" hidden="false" customHeight="true" outlineLevel="0" collapsed="false">
      <c r="A339" s="5" t="s">
        <v>2915</v>
      </c>
    </row>
    <row r="340" customFormat="false" ht="12.75" hidden="false" customHeight="true" outlineLevel="0" collapsed="false">
      <c r="A340" s="5" t="n">
        <v>0.04</v>
      </c>
    </row>
    <row r="341" customFormat="false" ht="12.75" hidden="false" customHeight="true" outlineLevel="0" collapsed="false">
      <c r="A341" s="5" t="s">
        <v>2945</v>
      </c>
    </row>
    <row r="342" customFormat="false" ht="12.75" hidden="false" customHeight="true" outlineLevel="0" collapsed="false">
      <c r="A342" s="5" t="s">
        <v>2946</v>
      </c>
    </row>
    <row r="343" customFormat="false" ht="12.75" hidden="false" customHeight="true" outlineLevel="0" collapsed="false">
      <c r="A343" s="5" t="n">
        <v>0.01</v>
      </c>
    </row>
    <row r="344" customFormat="false" ht="12.75" hidden="false" customHeight="true" outlineLevel="0" collapsed="false">
      <c r="A344" s="5" t="s">
        <v>2947</v>
      </c>
    </row>
    <row r="345" customFormat="false" ht="12.75" hidden="false" customHeight="true" outlineLevel="0" collapsed="false">
      <c r="A345" s="5" t="s">
        <v>2948</v>
      </c>
    </row>
    <row r="346" customFormat="false" ht="12.75" hidden="false" customHeight="true" outlineLevel="0" collapsed="false">
      <c r="A346" s="5" t="s">
        <v>3980</v>
      </c>
    </row>
    <row r="347" customFormat="false" ht="12.75" hidden="false" customHeight="true" outlineLevel="0" collapsed="false">
      <c r="A347" s="5" t="s">
        <v>3981</v>
      </c>
    </row>
    <row r="348" customFormat="false" ht="12.75" hidden="false" customHeight="true" outlineLevel="0" collapsed="false">
      <c r="A348" s="5" t="s">
        <v>2921</v>
      </c>
    </row>
    <row r="349" customFormat="false" ht="12.75" hidden="false" customHeight="true" outlineLevel="0" collapsed="false">
      <c r="A349" s="5" t="s">
        <v>2922</v>
      </c>
    </row>
    <row r="350" customFormat="false" ht="12.75" hidden="false" customHeight="true" outlineLevel="0" collapsed="false">
      <c r="A350" s="5" t="s">
        <v>2923</v>
      </c>
    </row>
    <row r="351" customFormat="false" ht="12.75" hidden="false" customHeight="true" outlineLevel="0" collapsed="false">
      <c r="A351" s="5" t="s">
        <v>2924</v>
      </c>
    </row>
    <row r="352" customFormat="false" ht="12.75" hidden="false" customHeight="true" outlineLevel="0" collapsed="false">
      <c r="A352" s="5" t="s">
        <v>3977</v>
      </c>
    </row>
    <row r="353" customFormat="false" ht="12.75" hidden="false" customHeight="true" outlineLevel="0" collapsed="false">
      <c r="A353" s="5" t="s">
        <v>1349</v>
      </c>
    </row>
    <row r="354" customFormat="false" ht="12.75" hidden="false" customHeight="true" outlineLevel="0" collapsed="false">
      <c r="A354" s="5" t="s">
        <v>2926</v>
      </c>
    </row>
    <row r="355" customFormat="false" ht="12.75" hidden="false" customHeight="true" outlineLevel="0" collapsed="false">
      <c r="A355" s="5" t="s">
        <v>3978</v>
      </c>
    </row>
    <row r="356" customFormat="false" ht="12.75" hidden="false" customHeight="true" outlineLevel="0" collapsed="false">
      <c r="A356" s="5" t="s">
        <v>2927</v>
      </c>
    </row>
    <row r="357" customFormat="false" ht="12.75" hidden="false" customHeight="true" outlineLevel="0" collapsed="false">
      <c r="A357" s="5" t="s">
        <v>2928</v>
      </c>
    </row>
    <row r="358" customFormat="false" ht="12.75" hidden="false" customHeight="true" outlineLevel="0" collapsed="false">
      <c r="A358" s="5" t="s">
        <v>2929</v>
      </c>
    </row>
    <row r="359" customFormat="false" ht="12.75" hidden="false" customHeight="true" outlineLevel="0" collapsed="false">
      <c r="A359" s="5" t="s">
        <v>3979</v>
      </c>
    </row>
    <row r="360" customFormat="false" ht="12.75" hidden="false" customHeight="true" outlineLevel="0" collapsed="false">
      <c r="A360" s="5" t="s">
        <v>2930</v>
      </c>
    </row>
    <row r="361" customFormat="false" ht="12.75" hidden="false" customHeight="true" outlineLevel="0" collapsed="false">
      <c r="A361" s="5" t="s">
        <v>2931</v>
      </c>
    </row>
    <row r="362" customFormat="false" ht="12.75" hidden="false" customHeight="true" outlineLevel="0" collapsed="false">
      <c r="A362" s="5" t="s">
        <v>2932</v>
      </c>
    </row>
    <row r="363" customFormat="false" ht="12.75" hidden="false" customHeight="true" outlineLevel="0" collapsed="false">
      <c r="A363" s="5" t="s">
        <v>2933</v>
      </c>
    </row>
    <row r="364" customFormat="false" ht="12.75" hidden="false" customHeight="true" outlineLevel="0" collapsed="false">
      <c r="A364" s="5" t="s">
        <v>2934</v>
      </c>
    </row>
    <row r="365" customFormat="false" ht="12.75" hidden="false" customHeight="true" outlineLevel="0" collapsed="false">
      <c r="A365" s="5" t="s">
        <v>2536</v>
      </c>
    </row>
    <row r="366" customFormat="false" ht="12.75" hidden="false" customHeight="true" outlineLevel="0" collapsed="false">
      <c r="A366" s="5" t="s">
        <v>145</v>
      </c>
    </row>
    <row r="367" customFormat="false" ht="12.75" hidden="false" customHeight="true" outlineLevel="0" collapsed="false">
      <c r="A367" s="5" t="n">
        <v>0.2</v>
      </c>
    </row>
    <row r="368" customFormat="false" ht="12.75" hidden="false" customHeight="true" outlineLevel="0" collapsed="false">
      <c r="A368" s="5" t="s">
        <v>1333</v>
      </c>
    </row>
    <row r="369" customFormat="false" ht="12.75" hidden="false" customHeight="true" outlineLevel="0" collapsed="false">
      <c r="A369" s="5" t="s">
        <v>2909</v>
      </c>
    </row>
    <row r="370" customFormat="false" ht="12.75" hidden="false" customHeight="true" outlineLevel="0" collapsed="false">
      <c r="A370" s="5" t="n">
        <v>0.1</v>
      </c>
    </row>
    <row r="371" customFormat="false" ht="12.75" hidden="false" customHeight="true" outlineLevel="0" collapsed="false">
      <c r="A371" s="5" t="s">
        <v>2910</v>
      </c>
    </row>
    <row r="372" customFormat="false" ht="12.75" hidden="false" customHeight="true" outlineLevel="0" collapsed="false">
      <c r="A372" s="5" t="s">
        <v>2911</v>
      </c>
    </row>
    <row r="373" customFormat="false" ht="12.75" hidden="false" customHeight="true" outlineLevel="0" collapsed="false">
      <c r="A373" s="5" t="s">
        <v>2950</v>
      </c>
    </row>
    <row r="374" customFormat="false" ht="12.75" hidden="false" customHeight="true" outlineLevel="0" collapsed="false">
      <c r="A374" s="5" t="s">
        <v>2951</v>
      </c>
    </row>
    <row r="375" customFormat="false" ht="12.75" hidden="false" customHeight="true" outlineLevel="0" collapsed="false">
      <c r="A375" s="5" t="n">
        <v>0.05</v>
      </c>
    </row>
    <row r="376" customFormat="false" ht="12.75" hidden="false" customHeight="true" outlineLevel="0" collapsed="false">
      <c r="A376" s="5" t="s">
        <v>2914</v>
      </c>
    </row>
    <row r="377" customFormat="false" ht="12.75" hidden="false" customHeight="true" outlineLevel="0" collapsed="false">
      <c r="A377" s="5" t="s">
        <v>2915</v>
      </c>
    </row>
    <row r="378" customFormat="false" ht="12.75" hidden="false" customHeight="true" outlineLevel="0" collapsed="false">
      <c r="A378" s="5" t="n">
        <v>0.04</v>
      </c>
    </row>
    <row r="379" customFormat="false" ht="12.75" hidden="false" customHeight="true" outlineLevel="0" collapsed="false">
      <c r="A379" s="5" t="s">
        <v>2952</v>
      </c>
    </row>
    <row r="380" customFormat="false" ht="12.75" hidden="false" customHeight="true" outlineLevel="0" collapsed="false">
      <c r="A380" s="5" t="s">
        <v>2953</v>
      </c>
    </row>
    <row r="381" customFormat="false" ht="12.75" hidden="false" customHeight="true" outlineLevel="0" collapsed="false">
      <c r="A381" s="5" t="n">
        <v>0.01</v>
      </c>
    </row>
    <row r="382" customFormat="false" ht="12.75" hidden="false" customHeight="true" outlineLevel="0" collapsed="false">
      <c r="A382" s="5" t="s">
        <v>2954</v>
      </c>
    </row>
    <row r="383" customFormat="false" ht="12.75" hidden="false" customHeight="true" outlineLevel="0" collapsed="false">
      <c r="A383" s="5" t="s">
        <v>2955</v>
      </c>
    </row>
    <row r="384" customFormat="false" ht="12.75" hidden="false" customHeight="true" outlineLevel="0" collapsed="false">
      <c r="A384" s="5" t="s">
        <v>3980</v>
      </c>
    </row>
    <row r="385" customFormat="false" ht="12.75" hidden="false" customHeight="true" outlineLevel="0" collapsed="false">
      <c r="A385" s="5" t="s">
        <v>3981</v>
      </c>
    </row>
    <row r="386" customFormat="false" ht="12.75" hidden="false" customHeight="true" outlineLevel="0" collapsed="false">
      <c r="A386" s="5" t="s">
        <v>2921</v>
      </c>
    </row>
    <row r="387" customFormat="false" ht="12.75" hidden="false" customHeight="true" outlineLevel="0" collapsed="false">
      <c r="A387" s="5" t="s">
        <v>2922</v>
      </c>
    </row>
    <row r="388" customFormat="false" ht="12.75" hidden="false" customHeight="true" outlineLevel="0" collapsed="false">
      <c r="A388" s="5" t="s">
        <v>2923</v>
      </c>
    </row>
    <row r="389" customFormat="false" ht="12.75" hidden="false" customHeight="true" outlineLevel="0" collapsed="false">
      <c r="A389" s="5" t="s">
        <v>2924</v>
      </c>
    </row>
    <row r="390" customFormat="false" ht="12.75" hidden="false" customHeight="true" outlineLevel="0" collapsed="false">
      <c r="A390" s="5" t="s">
        <v>3977</v>
      </c>
    </row>
    <row r="391" customFormat="false" ht="12.75" hidden="false" customHeight="true" outlineLevel="0" collapsed="false">
      <c r="A391" s="5" t="s">
        <v>1349</v>
      </c>
    </row>
    <row r="392" customFormat="false" ht="12.75" hidden="false" customHeight="true" outlineLevel="0" collapsed="false">
      <c r="A392" s="5" t="s">
        <v>2926</v>
      </c>
    </row>
    <row r="393" customFormat="false" ht="12.75" hidden="false" customHeight="true" outlineLevel="0" collapsed="false">
      <c r="A393" s="5" t="s">
        <v>3978</v>
      </c>
    </row>
    <row r="394" customFormat="false" ht="12.75" hidden="false" customHeight="true" outlineLevel="0" collapsed="false">
      <c r="A394" s="5" t="s">
        <v>2927</v>
      </c>
    </row>
    <row r="395" customFormat="false" ht="12.75" hidden="false" customHeight="true" outlineLevel="0" collapsed="false">
      <c r="A395" s="5" t="s">
        <v>2928</v>
      </c>
    </row>
    <row r="396" customFormat="false" ht="12.75" hidden="false" customHeight="true" outlineLevel="0" collapsed="false">
      <c r="A396" s="5" t="s">
        <v>2929</v>
      </c>
    </row>
    <row r="397" customFormat="false" ht="12.75" hidden="false" customHeight="true" outlineLevel="0" collapsed="false">
      <c r="A397" s="5" t="s">
        <v>3979</v>
      </c>
    </row>
    <row r="398" customFormat="false" ht="12.75" hidden="false" customHeight="true" outlineLevel="0" collapsed="false">
      <c r="A398" s="5" t="s">
        <v>2930</v>
      </c>
    </row>
    <row r="399" customFormat="false" ht="12.75" hidden="false" customHeight="true" outlineLevel="0" collapsed="false">
      <c r="A399" s="5" t="s">
        <v>2931</v>
      </c>
    </row>
    <row r="400" customFormat="false" ht="12.75" hidden="false" customHeight="true" outlineLevel="0" collapsed="false">
      <c r="A400" s="5" t="s">
        <v>2932</v>
      </c>
    </row>
    <row r="401" customFormat="false" ht="12.75" hidden="false" customHeight="true" outlineLevel="0" collapsed="false">
      <c r="A401" s="5" t="s">
        <v>2933</v>
      </c>
    </row>
    <row r="402" customFormat="false" ht="12.75" hidden="false" customHeight="true" outlineLevel="0" collapsed="false">
      <c r="A402" s="5" t="s">
        <v>2934</v>
      </c>
    </row>
    <row r="403" customFormat="false" ht="12.75" hidden="false" customHeight="true" outlineLevel="0" collapsed="false">
      <c r="A403" s="5" t="s">
        <v>2536</v>
      </c>
    </row>
    <row r="404" customFormat="false" ht="12.75" hidden="false" customHeight="true" outlineLevel="0" collapsed="false">
      <c r="A404" s="5" t="s">
        <v>157</v>
      </c>
    </row>
    <row r="405" customFormat="false" ht="12.75" hidden="false" customHeight="true" outlineLevel="0" collapsed="false">
      <c r="A405" s="5" t="n">
        <v>0.2</v>
      </c>
    </row>
    <row r="406" customFormat="false" ht="12.75" hidden="false" customHeight="true" outlineLevel="0" collapsed="false">
      <c r="A406" s="5" t="s">
        <v>1381</v>
      </c>
    </row>
    <row r="407" customFormat="false" ht="12.75" hidden="false" customHeight="true" outlineLevel="0" collapsed="false">
      <c r="A407" s="5" t="s">
        <v>2957</v>
      </c>
    </row>
    <row r="408" customFormat="false" ht="12.75" hidden="false" customHeight="true" outlineLevel="0" collapsed="false">
      <c r="A408" s="5" t="n">
        <v>0.1</v>
      </c>
    </row>
    <row r="409" customFormat="false" ht="12.75" hidden="false" customHeight="true" outlineLevel="0" collapsed="false">
      <c r="A409" s="5" t="s">
        <v>2958</v>
      </c>
    </row>
    <row r="410" customFormat="false" ht="12.75" hidden="false" customHeight="true" outlineLevel="0" collapsed="false">
      <c r="A410" s="5" t="s">
        <v>2959</v>
      </c>
    </row>
    <row r="411" customFormat="false" ht="12.75" hidden="false" customHeight="true" outlineLevel="0" collapsed="false">
      <c r="A411" s="5" t="s">
        <v>2960</v>
      </c>
    </row>
    <row r="412" customFormat="false" ht="12.75" hidden="false" customHeight="true" outlineLevel="0" collapsed="false">
      <c r="A412" s="5" t="s">
        <v>2961</v>
      </c>
    </row>
    <row r="413" customFormat="false" ht="12.75" hidden="false" customHeight="true" outlineLevel="0" collapsed="false">
      <c r="A413" s="5" t="n">
        <v>0.05</v>
      </c>
    </row>
    <row r="414" customFormat="false" ht="12.75" hidden="false" customHeight="true" outlineLevel="0" collapsed="false">
      <c r="A414" s="5" t="s">
        <v>2962</v>
      </c>
    </row>
    <row r="415" customFormat="false" ht="12.75" hidden="false" customHeight="true" outlineLevel="0" collapsed="false">
      <c r="A415" s="5" t="s">
        <v>2963</v>
      </c>
    </row>
    <row r="416" customFormat="false" ht="12.75" hidden="false" customHeight="true" outlineLevel="0" collapsed="false">
      <c r="A416" s="5" t="n">
        <v>0.04</v>
      </c>
    </row>
    <row r="417" customFormat="false" ht="12.75" hidden="false" customHeight="true" outlineLevel="0" collapsed="false">
      <c r="A417" s="5" t="s">
        <v>2964</v>
      </c>
    </row>
    <row r="418" customFormat="false" ht="12.75" hidden="false" customHeight="true" outlineLevel="0" collapsed="false">
      <c r="A418" s="5" t="s">
        <v>2965</v>
      </c>
    </row>
    <row r="419" customFormat="false" ht="12.75" hidden="false" customHeight="true" outlineLevel="0" collapsed="false">
      <c r="A419" s="5" t="n">
        <v>0.01</v>
      </c>
    </row>
    <row r="420" customFormat="false" ht="12.75" hidden="false" customHeight="true" outlineLevel="0" collapsed="false">
      <c r="A420" s="5" t="s">
        <v>2966</v>
      </c>
    </row>
    <row r="421" customFormat="false" ht="12.75" hidden="false" customHeight="true" outlineLevel="0" collapsed="false">
      <c r="A421" s="5" t="s">
        <v>2967</v>
      </c>
    </row>
    <row r="422" customFormat="false" ht="12.75" hidden="false" customHeight="true" outlineLevel="0" collapsed="false">
      <c r="A422" s="5" t="s">
        <v>3980</v>
      </c>
    </row>
    <row r="423" customFormat="false" ht="12.75" hidden="false" customHeight="true" outlineLevel="0" collapsed="false">
      <c r="A423" s="5" t="s">
        <v>3576</v>
      </c>
    </row>
    <row r="424" customFormat="false" ht="12.75" hidden="false" customHeight="true" outlineLevel="0" collapsed="false">
      <c r="A424" s="5" t="s">
        <v>2969</v>
      </c>
    </row>
    <row r="425" customFormat="false" ht="12.75" hidden="false" customHeight="true" outlineLevel="0" collapsed="false">
      <c r="A425" s="5" t="s">
        <v>2970</v>
      </c>
    </row>
    <row r="426" customFormat="false" ht="12.75" hidden="false" customHeight="true" outlineLevel="0" collapsed="false">
      <c r="A426" s="5" t="s">
        <v>2971</v>
      </c>
    </row>
    <row r="427" customFormat="false" ht="12.75" hidden="false" customHeight="true" outlineLevel="0" collapsed="false">
      <c r="A427" s="5" t="s">
        <v>2972</v>
      </c>
    </row>
    <row r="428" customFormat="false" ht="12.75" hidden="false" customHeight="true" outlineLevel="0" collapsed="false">
      <c r="A428" s="5" t="s">
        <v>3977</v>
      </c>
    </row>
    <row r="429" customFormat="false" ht="12.75" hidden="false" customHeight="true" outlineLevel="0" collapsed="false">
      <c r="A429" s="5" t="s">
        <v>1397</v>
      </c>
    </row>
    <row r="430" customFormat="false" ht="12.75" hidden="false" customHeight="true" outlineLevel="0" collapsed="false">
      <c r="A430" s="5" t="s">
        <v>2973</v>
      </c>
    </row>
    <row r="431" customFormat="false" ht="12.75" hidden="false" customHeight="true" outlineLevel="0" collapsed="false">
      <c r="A431" s="5" t="s">
        <v>3978</v>
      </c>
    </row>
    <row r="432" customFormat="false" ht="12.75" hidden="false" customHeight="true" outlineLevel="0" collapsed="false">
      <c r="A432" s="5" t="s">
        <v>2974</v>
      </c>
    </row>
    <row r="433" customFormat="false" ht="12.75" hidden="false" customHeight="true" outlineLevel="0" collapsed="false">
      <c r="A433" s="5" t="s">
        <v>2975</v>
      </c>
    </row>
    <row r="434" customFormat="false" ht="12.75" hidden="false" customHeight="true" outlineLevel="0" collapsed="false">
      <c r="A434" s="5" t="s">
        <v>2976</v>
      </c>
    </row>
    <row r="435" customFormat="false" ht="12.75" hidden="false" customHeight="true" outlineLevel="0" collapsed="false">
      <c r="A435" s="5" t="s">
        <v>3979</v>
      </c>
    </row>
    <row r="436" customFormat="false" ht="12.75" hidden="false" customHeight="true" outlineLevel="0" collapsed="false">
      <c r="A436" s="5" t="s">
        <v>2977</v>
      </c>
    </row>
    <row r="437" customFormat="false" ht="12.75" hidden="false" customHeight="true" outlineLevel="0" collapsed="false">
      <c r="A437" s="5" t="s">
        <v>2978</v>
      </c>
    </row>
    <row r="438" customFormat="false" ht="12.75" hidden="false" customHeight="true" outlineLevel="0" collapsed="false">
      <c r="A438" s="5" t="s">
        <v>2979</v>
      </c>
    </row>
    <row r="439" customFormat="false" ht="12.75" hidden="false" customHeight="true" outlineLevel="0" collapsed="false">
      <c r="A439" s="5" t="s">
        <v>2980</v>
      </c>
    </row>
    <row r="440" customFormat="false" ht="12.75" hidden="false" customHeight="true" outlineLevel="0" collapsed="false">
      <c r="A440" s="5" t="s">
        <v>2981</v>
      </c>
    </row>
    <row r="441" customFormat="false" ht="12.75" hidden="false" customHeight="true" outlineLevel="0" collapsed="false">
      <c r="A441" s="5" t="s">
        <v>2536</v>
      </c>
    </row>
    <row r="442" customFormat="false" ht="12.75" hidden="false" customHeight="true" outlineLevel="0" collapsed="false">
      <c r="A442" s="5" t="s">
        <v>159</v>
      </c>
    </row>
    <row r="443" customFormat="false" ht="12.75" hidden="false" customHeight="true" outlineLevel="0" collapsed="false">
      <c r="A443" s="5" t="n">
        <v>0.2</v>
      </c>
    </row>
    <row r="444" customFormat="false" ht="12.75" hidden="false" customHeight="true" outlineLevel="0" collapsed="false">
      <c r="A444" s="5" t="s">
        <v>1381</v>
      </c>
    </row>
    <row r="445" customFormat="false" ht="12.75" hidden="false" customHeight="true" outlineLevel="0" collapsed="false">
      <c r="A445" s="5" t="s">
        <v>2957</v>
      </c>
    </row>
    <row r="446" customFormat="false" ht="12.75" hidden="false" customHeight="true" outlineLevel="0" collapsed="false">
      <c r="A446" s="5" t="n">
        <v>0.1</v>
      </c>
    </row>
    <row r="447" customFormat="false" ht="12.75" hidden="false" customHeight="true" outlineLevel="0" collapsed="false">
      <c r="A447" s="5" t="s">
        <v>2958</v>
      </c>
    </row>
    <row r="448" customFormat="false" ht="12.75" hidden="false" customHeight="true" outlineLevel="0" collapsed="false">
      <c r="A448" s="5" t="s">
        <v>2959</v>
      </c>
    </row>
    <row r="449" customFormat="false" ht="12.75" hidden="false" customHeight="true" outlineLevel="0" collapsed="false">
      <c r="A449" s="5" t="s">
        <v>2960</v>
      </c>
    </row>
    <row r="450" customFormat="false" ht="12.75" hidden="false" customHeight="true" outlineLevel="0" collapsed="false">
      <c r="A450" s="5" t="s">
        <v>2961</v>
      </c>
    </row>
    <row r="451" customFormat="false" ht="12.75" hidden="false" customHeight="true" outlineLevel="0" collapsed="false">
      <c r="A451" s="5" t="n">
        <v>0.05</v>
      </c>
    </row>
    <row r="452" customFormat="false" ht="12.75" hidden="false" customHeight="true" outlineLevel="0" collapsed="false">
      <c r="A452" s="5" t="s">
        <v>2962</v>
      </c>
    </row>
    <row r="453" customFormat="false" ht="12.75" hidden="false" customHeight="true" outlineLevel="0" collapsed="false">
      <c r="A453" s="5" t="s">
        <v>2963</v>
      </c>
    </row>
    <row r="454" customFormat="false" ht="12.75" hidden="false" customHeight="true" outlineLevel="0" collapsed="false">
      <c r="A454" s="5" t="n">
        <v>0.04</v>
      </c>
    </row>
    <row r="455" customFormat="false" ht="12.75" hidden="false" customHeight="true" outlineLevel="0" collapsed="false">
      <c r="A455" s="5" t="s">
        <v>2964</v>
      </c>
    </row>
    <row r="456" customFormat="false" ht="12.75" hidden="false" customHeight="true" outlineLevel="0" collapsed="false">
      <c r="A456" s="5" t="s">
        <v>2965</v>
      </c>
    </row>
    <row r="457" customFormat="false" ht="12.75" hidden="false" customHeight="true" outlineLevel="0" collapsed="false">
      <c r="A457" s="5" t="n">
        <v>0.01</v>
      </c>
    </row>
    <row r="458" customFormat="false" ht="12.75" hidden="false" customHeight="true" outlineLevel="0" collapsed="false">
      <c r="A458" s="5" t="s">
        <v>2966</v>
      </c>
    </row>
    <row r="459" customFormat="false" ht="12.75" hidden="false" customHeight="true" outlineLevel="0" collapsed="false">
      <c r="A459" s="5" t="s">
        <v>2967</v>
      </c>
    </row>
    <row r="460" customFormat="false" ht="12.75" hidden="false" customHeight="true" outlineLevel="0" collapsed="false">
      <c r="A460" s="5" t="s">
        <v>2536</v>
      </c>
    </row>
    <row r="461" customFormat="false" ht="12.75" hidden="false" customHeight="true" outlineLevel="0" collapsed="false">
      <c r="A461" s="5" t="s">
        <v>161</v>
      </c>
    </row>
    <row r="462" customFormat="false" ht="12.75" hidden="false" customHeight="true" outlineLevel="0" collapsed="false">
      <c r="A462" s="5" t="n">
        <v>0.2</v>
      </c>
    </row>
    <row r="463" customFormat="false" ht="12.75" hidden="false" customHeight="true" outlineLevel="0" collapsed="false">
      <c r="A463" s="5" t="s">
        <v>1381</v>
      </c>
    </row>
    <row r="464" customFormat="false" ht="12.75" hidden="false" customHeight="true" outlineLevel="0" collapsed="false">
      <c r="A464" s="5" t="s">
        <v>2957</v>
      </c>
    </row>
    <row r="465" customFormat="false" ht="12.75" hidden="false" customHeight="true" outlineLevel="0" collapsed="false">
      <c r="A465" s="5" t="n">
        <v>0.1</v>
      </c>
    </row>
    <row r="466" customFormat="false" ht="12.75" hidden="false" customHeight="true" outlineLevel="0" collapsed="false">
      <c r="A466" s="5" t="s">
        <v>2958</v>
      </c>
    </row>
    <row r="467" customFormat="false" ht="12.75" hidden="false" customHeight="true" outlineLevel="0" collapsed="false">
      <c r="A467" s="5" t="s">
        <v>2959</v>
      </c>
    </row>
    <row r="468" customFormat="false" ht="12.75" hidden="false" customHeight="true" outlineLevel="0" collapsed="false">
      <c r="A468" s="5" t="s">
        <v>2960</v>
      </c>
    </row>
    <row r="469" customFormat="false" ht="12.75" hidden="false" customHeight="true" outlineLevel="0" collapsed="false">
      <c r="A469" s="5" t="s">
        <v>2961</v>
      </c>
    </row>
    <row r="470" customFormat="false" ht="12.75" hidden="false" customHeight="true" outlineLevel="0" collapsed="false">
      <c r="A470" s="5" t="n">
        <v>0.05</v>
      </c>
    </row>
    <row r="471" customFormat="false" ht="12.75" hidden="false" customHeight="true" outlineLevel="0" collapsed="false">
      <c r="A471" s="5" t="s">
        <v>2962</v>
      </c>
    </row>
    <row r="472" customFormat="false" ht="12.75" hidden="false" customHeight="true" outlineLevel="0" collapsed="false">
      <c r="A472" s="5" t="s">
        <v>2963</v>
      </c>
    </row>
    <row r="473" customFormat="false" ht="12.75" hidden="false" customHeight="true" outlineLevel="0" collapsed="false">
      <c r="A473" s="5" t="n">
        <v>0.04</v>
      </c>
    </row>
    <row r="474" customFormat="false" ht="12.75" hidden="false" customHeight="true" outlineLevel="0" collapsed="false">
      <c r="A474" s="5" t="s">
        <v>2964</v>
      </c>
    </row>
    <row r="475" customFormat="false" ht="12.75" hidden="false" customHeight="true" outlineLevel="0" collapsed="false">
      <c r="A475" s="5" t="s">
        <v>2965</v>
      </c>
    </row>
    <row r="476" customFormat="false" ht="12.75" hidden="false" customHeight="true" outlineLevel="0" collapsed="false">
      <c r="A476" s="5" t="n">
        <v>0.01</v>
      </c>
    </row>
    <row r="477" customFormat="false" ht="12.75" hidden="false" customHeight="true" outlineLevel="0" collapsed="false">
      <c r="A477" s="5" t="s">
        <v>2966</v>
      </c>
    </row>
    <row r="478" customFormat="false" ht="12.75" hidden="false" customHeight="true" outlineLevel="0" collapsed="false">
      <c r="A478" s="5" t="s">
        <v>2967</v>
      </c>
    </row>
    <row r="479" customFormat="false" ht="12.75" hidden="false" customHeight="true" outlineLevel="0" collapsed="false">
      <c r="A479" s="5" t="s">
        <v>3980</v>
      </c>
    </row>
    <row r="480" customFormat="false" ht="12.75" hidden="false" customHeight="true" outlineLevel="0" collapsed="false">
      <c r="A480" s="5" t="s">
        <v>3576</v>
      </c>
    </row>
    <row r="481" customFormat="false" ht="12.75" hidden="false" customHeight="true" outlineLevel="0" collapsed="false">
      <c r="A481" s="5" t="s">
        <v>2969</v>
      </c>
    </row>
    <row r="482" customFormat="false" ht="12.75" hidden="false" customHeight="true" outlineLevel="0" collapsed="false">
      <c r="A482" s="5" t="s">
        <v>2970</v>
      </c>
    </row>
    <row r="483" customFormat="false" ht="12.75" hidden="false" customHeight="true" outlineLevel="0" collapsed="false">
      <c r="A483" s="5" t="s">
        <v>2971</v>
      </c>
    </row>
    <row r="484" customFormat="false" ht="12.75" hidden="false" customHeight="true" outlineLevel="0" collapsed="false">
      <c r="A484" s="5" t="s">
        <v>2972</v>
      </c>
    </row>
    <row r="485" customFormat="false" ht="12.75" hidden="false" customHeight="true" outlineLevel="0" collapsed="false">
      <c r="A485" s="5" t="s">
        <v>3977</v>
      </c>
    </row>
    <row r="486" customFormat="false" ht="12.75" hidden="false" customHeight="true" outlineLevel="0" collapsed="false">
      <c r="A486" s="5" t="s">
        <v>1397</v>
      </c>
    </row>
    <row r="487" customFormat="false" ht="12.75" hidden="false" customHeight="true" outlineLevel="0" collapsed="false">
      <c r="A487" s="5" t="s">
        <v>2973</v>
      </c>
    </row>
    <row r="488" customFormat="false" ht="12.75" hidden="false" customHeight="true" outlineLevel="0" collapsed="false">
      <c r="A488" s="5" t="s">
        <v>3978</v>
      </c>
    </row>
    <row r="489" customFormat="false" ht="12.75" hidden="false" customHeight="true" outlineLevel="0" collapsed="false">
      <c r="A489" s="5" t="s">
        <v>2974</v>
      </c>
    </row>
    <row r="490" customFormat="false" ht="12.75" hidden="false" customHeight="true" outlineLevel="0" collapsed="false">
      <c r="A490" s="5" t="s">
        <v>2975</v>
      </c>
    </row>
    <row r="491" customFormat="false" ht="12.75" hidden="false" customHeight="true" outlineLevel="0" collapsed="false">
      <c r="A491" s="5" t="s">
        <v>2976</v>
      </c>
    </row>
    <row r="492" customFormat="false" ht="12.75" hidden="false" customHeight="true" outlineLevel="0" collapsed="false">
      <c r="A492" s="5" t="s">
        <v>3979</v>
      </c>
    </row>
    <row r="493" customFormat="false" ht="12.75" hidden="false" customHeight="true" outlineLevel="0" collapsed="false">
      <c r="A493" s="5" t="s">
        <v>2977</v>
      </c>
    </row>
    <row r="494" customFormat="false" ht="12.75" hidden="false" customHeight="true" outlineLevel="0" collapsed="false">
      <c r="A494" s="5" t="s">
        <v>2978</v>
      </c>
    </row>
    <row r="495" customFormat="false" ht="12.75" hidden="false" customHeight="true" outlineLevel="0" collapsed="false">
      <c r="A495" s="5" t="s">
        <v>2979</v>
      </c>
    </row>
    <row r="496" customFormat="false" ht="12.75" hidden="false" customHeight="true" outlineLevel="0" collapsed="false">
      <c r="A496" s="5" t="s">
        <v>2980</v>
      </c>
    </row>
    <row r="497" customFormat="false" ht="12.75" hidden="false" customHeight="true" outlineLevel="0" collapsed="false">
      <c r="A497" s="5" t="s">
        <v>2981</v>
      </c>
    </row>
    <row r="498" customFormat="false" ht="12.75" hidden="false" customHeight="true" outlineLevel="0" collapsed="false">
      <c r="A498" s="5" t="s">
        <v>2536</v>
      </c>
    </row>
    <row r="499" customFormat="false" ht="12.75" hidden="false" customHeight="true" outlineLevel="0" collapsed="false">
      <c r="A499" s="5" t="s">
        <v>175</v>
      </c>
    </row>
    <row r="500" customFormat="false" ht="12.75" hidden="false" customHeight="true" outlineLevel="0" collapsed="false">
      <c r="A500" s="5" t="n">
        <v>0.2</v>
      </c>
    </row>
    <row r="501" customFormat="false" ht="12.75" hidden="false" customHeight="true" outlineLevel="0" collapsed="false">
      <c r="A501" s="5" t="s">
        <v>1411</v>
      </c>
    </row>
    <row r="502" customFormat="false" ht="12.75" hidden="false" customHeight="true" outlineLevel="0" collapsed="false">
      <c r="A502" s="5" t="s">
        <v>2986</v>
      </c>
    </row>
    <row r="503" customFormat="false" ht="12.75" hidden="false" customHeight="true" outlineLevel="0" collapsed="false">
      <c r="A503" s="5" t="n">
        <v>0.1</v>
      </c>
    </row>
    <row r="504" customFormat="false" ht="12.75" hidden="false" customHeight="true" outlineLevel="0" collapsed="false">
      <c r="A504" s="5" t="s">
        <v>2987</v>
      </c>
    </row>
    <row r="505" customFormat="false" ht="12.75" hidden="false" customHeight="true" outlineLevel="0" collapsed="false">
      <c r="A505" s="5" t="s">
        <v>2988</v>
      </c>
    </row>
    <row r="506" customFormat="false" ht="12.75" hidden="false" customHeight="true" outlineLevel="0" collapsed="false">
      <c r="A506" s="5" t="s">
        <v>2989</v>
      </c>
    </row>
    <row r="507" customFormat="false" ht="12.75" hidden="false" customHeight="true" outlineLevel="0" collapsed="false">
      <c r="A507" s="5" t="s">
        <v>2990</v>
      </c>
    </row>
    <row r="508" customFormat="false" ht="12.75" hidden="false" customHeight="true" outlineLevel="0" collapsed="false">
      <c r="A508" s="5" t="n">
        <v>0.05</v>
      </c>
    </row>
    <row r="509" customFormat="false" ht="12.75" hidden="false" customHeight="true" outlineLevel="0" collapsed="false">
      <c r="A509" s="5" t="s">
        <v>2991</v>
      </c>
    </row>
    <row r="510" customFormat="false" ht="12.75" hidden="false" customHeight="true" outlineLevel="0" collapsed="false">
      <c r="A510" s="5" t="s">
        <v>2992</v>
      </c>
    </row>
    <row r="511" customFormat="false" ht="12.75" hidden="false" customHeight="true" outlineLevel="0" collapsed="false">
      <c r="A511" s="5" t="n">
        <v>0.04</v>
      </c>
    </row>
    <row r="512" customFormat="false" ht="12.75" hidden="false" customHeight="true" outlineLevel="0" collapsed="false">
      <c r="A512" s="5" t="s">
        <v>2993</v>
      </c>
    </row>
    <row r="513" customFormat="false" ht="12.75" hidden="false" customHeight="true" outlineLevel="0" collapsed="false">
      <c r="A513" s="5" t="s">
        <v>2994</v>
      </c>
    </row>
    <row r="514" customFormat="false" ht="12.75" hidden="false" customHeight="true" outlineLevel="0" collapsed="false">
      <c r="A514" s="5" t="n">
        <v>0.01</v>
      </c>
    </row>
    <row r="515" customFormat="false" ht="12.75" hidden="false" customHeight="true" outlineLevel="0" collapsed="false">
      <c r="A515" s="5" t="s">
        <v>2995</v>
      </c>
    </row>
    <row r="516" customFormat="false" ht="12.75" hidden="false" customHeight="true" outlineLevel="0" collapsed="false">
      <c r="A516" s="5" t="s">
        <v>3715</v>
      </c>
    </row>
    <row r="517" customFormat="false" ht="12.75" hidden="false" customHeight="true" outlineLevel="0" collapsed="false">
      <c r="A517" s="5" t="s">
        <v>2536</v>
      </c>
    </row>
    <row r="518" customFormat="false" ht="12.75" hidden="false" customHeight="true" outlineLevel="0" collapsed="false">
      <c r="A518" s="5" t="s">
        <v>177</v>
      </c>
    </row>
    <row r="519" customFormat="false" ht="12.75" hidden="false" customHeight="true" outlineLevel="0" collapsed="false">
      <c r="A519" s="5" t="n">
        <v>0.2</v>
      </c>
    </row>
    <row r="520" customFormat="false" ht="12.75" hidden="false" customHeight="true" outlineLevel="0" collapsed="false">
      <c r="A520" s="5" t="s">
        <v>1411</v>
      </c>
    </row>
    <row r="521" customFormat="false" ht="12.75" hidden="false" customHeight="true" outlineLevel="0" collapsed="false">
      <c r="A521" s="5" t="s">
        <v>2986</v>
      </c>
    </row>
    <row r="522" customFormat="false" ht="12.75" hidden="false" customHeight="true" outlineLevel="0" collapsed="false">
      <c r="A522" s="5" t="n">
        <v>0.1</v>
      </c>
    </row>
    <row r="523" customFormat="false" ht="12.75" hidden="false" customHeight="true" outlineLevel="0" collapsed="false">
      <c r="A523" s="5" t="s">
        <v>2987</v>
      </c>
    </row>
    <row r="524" customFormat="false" ht="12.75" hidden="false" customHeight="true" outlineLevel="0" collapsed="false">
      <c r="A524" s="5" t="s">
        <v>2988</v>
      </c>
    </row>
    <row r="525" customFormat="false" ht="12.75" hidden="false" customHeight="true" outlineLevel="0" collapsed="false">
      <c r="A525" s="5" t="s">
        <v>2989</v>
      </c>
    </row>
    <row r="526" customFormat="false" ht="12.75" hidden="false" customHeight="true" outlineLevel="0" collapsed="false">
      <c r="A526" s="5" t="s">
        <v>2990</v>
      </c>
    </row>
    <row r="527" customFormat="false" ht="12.75" hidden="false" customHeight="true" outlineLevel="0" collapsed="false">
      <c r="A527" s="5" t="n">
        <v>0.05</v>
      </c>
    </row>
    <row r="528" customFormat="false" ht="12.75" hidden="false" customHeight="true" outlineLevel="0" collapsed="false">
      <c r="A528" s="5" t="s">
        <v>2991</v>
      </c>
    </row>
    <row r="529" customFormat="false" ht="12.75" hidden="false" customHeight="true" outlineLevel="0" collapsed="false">
      <c r="A529" s="5" t="s">
        <v>2992</v>
      </c>
    </row>
    <row r="530" customFormat="false" ht="12.75" hidden="false" customHeight="true" outlineLevel="0" collapsed="false">
      <c r="A530" s="5" t="n">
        <v>0.04</v>
      </c>
    </row>
    <row r="531" customFormat="false" ht="12.75" hidden="false" customHeight="true" outlineLevel="0" collapsed="false">
      <c r="A531" s="5" t="s">
        <v>2993</v>
      </c>
    </row>
    <row r="532" customFormat="false" ht="12.75" hidden="false" customHeight="true" outlineLevel="0" collapsed="false">
      <c r="A532" s="5" t="s">
        <v>2994</v>
      </c>
    </row>
    <row r="533" customFormat="false" ht="12.75" hidden="false" customHeight="true" outlineLevel="0" collapsed="false">
      <c r="A533" s="5" t="n">
        <v>0.01</v>
      </c>
    </row>
    <row r="534" customFormat="false" ht="12.75" hidden="false" customHeight="true" outlineLevel="0" collapsed="false">
      <c r="A534" s="5" t="s">
        <v>2995</v>
      </c>
    </row>
    <row r="535" customFormat="false" ht="12.75" hidden="false" customHeight="true" outlineLevel="0" collapsed="false">
      <c r="A535" s="5" t="s">
        <v>2998</v>
      </c>
    </row>
    <row r="536" customFormat="false" ht="12.75" hidden="false" customHeight="true" outlineLevel="0" collapsed="false">
      <c r="A536" s="5" t="s">
        <v>3982</v>
      </c>
    </row>
    <row r="537" customFormat="false" ht="12.75" hidden="false" customHeight="true" outlineLevel="0" collapsed="false">
      <c r="A537" s="5" t="s">
        <v>3983</v>
      </c>
    </row>
    <row r="538" customFormat="false" ht="12.75" hidden="false" customHeight="true" outlineLevel="0" collapsed="false">
      <c r="A538" s="5" t="s">
        <v>3000</v>
      </c>
    </row>
    <row r="539" customFormat="false" ht="12.75" hidden="false" customHeight="true" outlineLevel="0" collapsed="false">
      <c r="A539" s="5" t="s">
        <v>3001</v>
      </c>
    </row>
    <row r="540" customFormat="false" ht="12.75" hidden="false" customHeight="true" outlineLevel="0" collapsed="false">
      <c r="A540" s="5" t="s">
        <v>3002</v>
      </c>
    </row>
    <row r="541" customFormat="false" ht="12.75" hidden="false" customHeight="true" outlineLevel="0" collapsed="false">
      <c r="A541" s="5" t="s">
        <v>3233</v>
      </c>
    </row>
    <row r="542" customFormat="false" ht="12.75" hidden="false" customHeight="true" outlineLevel="0" collapsed="false">
      <c r="A542" s="5" t="s">
        <v>2536</v>
      </c>
    </row>
    <row r="543" customFormat="false" ht="12.75" hidden="false" customHeight="true" outlineLevel="0" collapsed="false">
      <c r="A543" s="5" t="s">
        <v>179</v>
      </c>
    </row>
    <row r="544" customFormat="false" ht="12.75" hidden="false" customHeight="true" outlineLevel="0" collapsed="false">
      <c r="A544" s="5" t="n">
        <v>0.2</v>
      </c>
    </row>
    <row r="545" customFormat="false" ht="12.75" hidden="false" customHeight="true" outlineLevel="0" collapsed="false">
      <c r="A545" s="5" t="s">
        <v>1430</v>
      </c>
    </row>
    <row r="546" customFormat="false" ht="12.75" hidden="false" customHeight="true" outlineLevel="0" collapsed="false">
      <c r="A546" s="5" t="s">
        <v>3005</v>
      </c>
    </row>
    <row r="547" customFormat="false" ht="12.75" hidden="false" customHeight="true" outlineLevel="0" collapsed="false">
      <c r="A547" s="5" t="n">
        <v>0.1</v>
      </c>
    </row>
    <row r="548" customFormat="false" ht="12.75" hidden="false" customHeight="true" outlineLevel="0" collapsed="false">
      <c r="A548" s="5" t="s">
        <v>3006</v>
      </c>
    </row>
    <row r="549" customFormat="false" ht="12.75" hidden="false" customHeight="true" outlineLevel="0" collapsed="false">
      <c r="A549" s="5" t="s">
        <v>3007</v>
      </c>
    </row>
    <row r="550" customFormat="false" ht="12.75" hidden="false" customHeight="true" outlineLevel="0" collapsed="false">
      <c r="A550" s="5" t="s">
        <v>3008</v>
      </c>
    </row>
    <row r="551" customFormat="false" ht="12.75" hidden="false" customHeight="true" outlineLevel="0" collapsed="false">
      <c r="A551" s="5" t="s">
        <v>3009</v>
      </c>
    </row>
    <row r="552" customFormat="false" ht="12.75" hidden="false" customHeight="true" outlineLevel="0" collapsed="false">
      <c r="A552" s="5" t="n">
        <v>0.05</v>
      </c>
    </row>
    <row r="553" customFormat="false" ht="12.75" hidden="false" customHeight="true" outlineLevel="0" collapsed="false">
      <c r="A553" s="5" t="s">
        <v>3010</v>
      </c>
    </row>
    <row r="554" customFormat="false" ht="12.75" hidden="false" customHeight="true" outlineLevel="0" collapsed="false">
      <c r="A554" s="5" t="s">
        <v>3011</v>
      </c>
    </row>
    <row r="555" customFormat="false" ht="12.75" hidden="false" customHeight="true" outlineLevel="0" collapsed="false">
      <c r="A555" s="5" t="n">
        <v>0.04</v>
      </c>
    </row>
    <row r="556" customFormat="false" ht="12.75" hidden="false" customHeight="true" outlineLevel="0" collapsed="false">
      <c r="A556" s="5" t="s">
        <v>3012</v>
      </c>
    </row>
    <row r="557" customFormat="false" ht="12.75" hidden="false" customHeight="true" outlineLevel="0" collapsed="false">
      <c r="A557" s="5" t="s">
        <v>3013</v>
      </c>
    </row>
    <row r="558" customFormat="false" ht="12.75" hidden="false" customHeight="true" outlineLevel="0" collapsed="false">
      <c r="A558" s="5" t="n">
        <v>0.01</v>
      </c>
    </row>
    <row r="559" customFormat="false" ht="12.75" hidden="false" customHeight="true" outlineLevel="0" collapsed="false">
      <c r="A559" s="5" t="s">
        <v>3014</v>
      </c>
    </row>
    <row r="560" customFormat="false" ht="12.75" hidden="false" customHeight="true" outlineLevel="0" collapsed="false">
      <c r="A560" s="5" t="s">
        <v>3716</v>
      </c>
    </row>
    <row r="561" customFormat="false" ht="12.75" hidden="false" customHeight="true" outlineLevel="0" collapsed="false">
      <c r="A561" s="5" t="s">
        <v>2536</v>
      </c>
    </row>
    <row r="562" customFormat="false" ht="12.75" hidden="false" customHeight="true" outlineLevel="0" collapsed="false">
      <c r="A562" s="5" t="s">
        <v>181</v>
      </c>
    </row>
    <row r="563" customFormat="false" ht="12.75" hidden="false" customHeight="true" outlineLevel="0" collapsed="false">
      <c r="A563" s="5" t="n">
        <v>0.2</v>
      </c>
    </row>
    <row r="564" customFormat="false" ht="12.75" hidden="false" customHeight="true" outlineLevel="0" collapsed="false">
      <c r="A564" s="5" t="s">
        <v>1430</v>
      </c>
    </row>
    <row r="565" customFormat="false" ht="12.75" hidden="false" customHeight="true" outlineLevel="0" collapsed="false">
      <c r="A565" s="5" t="s">
        <v>3005</v>
      </c>
    </row>
    <row r="566" customFormat="false" ht="12.75" hidden="false" customHeight="true" outlineLevel="0" collapsed="false">
      <c r="A566" s="5" t="n">
        <v>0.1</v>
      </c>
    </row>
    <row r="567" customFormat="false" ht="12.75" hidden="false" customHeight="true" outlineLevel="0" collapsed="false">
      <c r="A567" s="5" t="s">
        <v>3006</v>
      </c>
    </row>
    <row r="568" customFormat="false" ht="12.75" hidden="false" customHeight="true" outlineLevel="0" collapsed="false">
      <c r="A568" s="5" t="s">
        <v>3007</v>
      </c>
    </row>
    <row r="569" customFormat="false" ht="12.75" hidden="false" customHeight="true" outlineLevel="0" collapsed="false">
      <c r="A569" s="5" t="s">
        <v>3008</v>
      </c>
    </row>
    <row r="570" customFormat="false" ht="12.75" hidden="false" customHeight="true" outlineLevel="0" collapsed="false">
      <c r="A570" s="5" t="s">
        <v>3009</v>
      </c>
    </row>
    <row r="571" customFormat="false" ht="12.75" hidden="false" customHeight="true" outlineLevel="0" collapsed="false">
      <c r="A571" s="5" t="n">
        <v>0.05</v>
      </c>
    </row>
    <row r="572" customFormat="false" ht="12.75" hidden="false" customHeight="true" outlineLevel="0" collapsed="false">
      <c r="A572" s="5" t="s">
        <v>3010</v>
      </c>
    </row>
    <row r="573" customFormat="false" ht="12.75" hidden="false" customHeight="true" outlineLevel="0" collapsed="false">
      <c r="A573" s="5" t="s">
        <v>3011</v>
      </c>
    </row>
    <row r="574" customFormat="false" ht="12.75" hidden="false" customHeight="true" outlineLevel="0" collapsed="false">
      <c r="A574" s="5" t="n">
        <v>0.04</v>
      </c>
    </row>
    <row r="575" customFormat="false" ht="12.75" hidden="false" customHeight="true" outlineLevel="0" collapsed="false">
      <c r="A575" s="5" t="s">
        <v>3012</v>
      </c>
    </row>
    <row r="576" customFormat="false" ht="12.75" hidden="false" customHeight="true" outlineLevel="0" collapsed="false">
      <c r="A576" s="5" t="s">
        <v>3013</v>
      </c>
    </row>
    <row r="577" customFormat="false" ht="12.75" hidden="false" customHeight="true" outlineLevel="0" collapsed="false">
      <c r="A577" s="5" t="n">
        <v>0.01</v>
      </c>
    </row>
    <row r="578" customFormat="false" ht="12.75" hidden="false" customHeight="true" outlineLevel="0" collapsed="false">
      <c r="A578" s="5" t="s">
        <v>3014</v>
      </c>
    </row>
    <row r="579" customFormat="false" ht="12.75" hidden="false" customHeight="true" outlineLevel="0" collapsed="false">
      <c r="A579" s="5" t="s">
        <v>3020</v>
      </c>
    </row>
    <row r="580" customFormat="false" ht="12.75" hidden="false" customHeight="true" outlineLevel="0" collapsed="false">
      <c r="A580" s="5" t="s">
        <v>2536</v>
      </c>
    </row>
    <row r="581" customFormat="false" ht="12.75" hidden="false" customHeight="true" outlineLevel="0" collapsed="false">
      <c r="A581" s="5" t="s">
        <v>183</v>
      </c>
    </row>
    <row r="582" customFormat="false" ht="12.75" hidden="false" customHeight="true" outlineLevel="0" collapsed="false">
      <c r="A582" s="5" t="n">
        <v>0.2</v>
      </c>
    </row>
    <row r="583" customFormat="false" ht="12.75" hidden="false" customHeight="true" outlineLevel="0" collapsed="false">
      <c r="A583" s="5" t="s">
        <v>1430</v>
      </c>
    </row>
    <row r="584" customFormat="false" ht="12.75" hidden="false" customHeight="true" outlineLevel="0" collapsed="false">
      <c r="A584" s="5" t="s">
        <v>3005</v>
      </c>
    </row>
    <row r="585" customFormat="false" ht="12.75" hidden="false" customHeight="true" outlineLevel="0" collapsed="false">
      <c r="A585" s="5" t="n">
        <v>0.1</v>
      </c>
    </row>
    <row r="586" customFormat="false" ht="12.75" hidden="false" customHeight="true" outlineLevel="0" collapsed="false">
      <c r="A586" s="5" t="s">
        <v>3006</v>
      </c>
    </row>
    <row r="587" customFormat="false" ht="12.75" hidden="false" customHeight="true" outlineLevel="0" collapsed="false">
      <c r="A587" s="5" t="s">
        <v>3007</v>
      </c>
    </row>
    <row r="588" customFormat="false" ht="12.75" hidden="false" customHeight="true" outlineLevel="0" collapsed="false">
      <c r="A588" s="5" t="s">
        <v>3008</v>
      </c>
    </row>
    <row r="589" customFormat="false" ht="12.75" hidden="false" customHeight="true" outlineLevel="0" collapsed="false">
      <c r="A589" s="5" t="s">
        <v>3009</v>
      </c>
    </row>
    <row r="590" customFormat="false" ht="12.75" hidden="false" customHeight="true" outlineLevel="0" collapsed="false">
      <c r="A590" s="5" t="n">
        <v>0.05</v>
      </c>
    </row>
    <row r="591" customFormat="false" ht="12.75" hidden="false" customHeight="true" outlineLevel="0" collapsed="false">
      <c r="A591" s="5" t="s">
        <v>3010</v>
      </c>
    </row>
    <row r="592" customFormat="false" ht="12.75" hidden="false" customHeight="true" outlineLevel="0" collapsed="false">
      <c r="A592" s="5" t="s">
        <v>3011</v>
      </c>
    </row>
    <row r="593" customFormat="false" ht="12.75" hidden="false" customHeight="true" outlineLevel="0" collapsed="false">
      <c r="A593" s="5" t="n">
        <v>0.04</v>
      </c>
    </row>
    <row r="594" customFormat="false" ht="12.75" hidden="false" customHeight="true" outlineLevel="0" collapsed="false">
      <c r="A594" s="5" t="s">
        <v>3012</v>
      </c>
    </row>
    <row r="595" customFormat="false" ht="12.75" hidden="false" customHeight="true" outlineLevel="0" collapsed="false">
      <c r="A595" s="5" t="s">
        <v>3013</v>
      </c>
    </row>
    <row r="596" customFormat="false" ht="12.75" hidden="false" customHeight="true" outlineLevel="0" collapsed="false">
      <c r="A596" s="5" t="n">
        <v>0.01</v>
      </c>
    </row>
    <row r="597" customFormat="false" ht="12.75" hidden="false" customHeight="true" outlineLevel="0" collapsed="false">
      <c r="A597" s="5" t="s">
        <v>3014</v>
      </c>
    </row>
    <row r="598" customFormat="false" ht="12.75" hidden="false" customHeight="true" outlineLevel="0" collapsed="false">
      <c r="A598" s="5" t="s">
        <v>3020</v>
      </c>
    </row>
    <row r="599" customFormat="false" ht="12.75" hidden="false" customHeight="true" outlineLevel="0" collapsed="false">
      <c r="A599" s="5" t="s">
        <v>2536</v>
      </c>
    </row>
    <row r="600" customFormat="false" ht="12.75" hidden="false" customHeight="true" outlineLevel="0" collapsed="false">
      <c r="A600" s="5" t="s">
        <v>185</v>
      </c>
    </row>
    <row r="601" customFormat="false" ht="12.75" hidden="false" customHeight="true" outlineLevel="0" collapsed="false">
      <c r="A601" s="5" t="n">
        <v>0.2</v>
      </c>
    </row>
    <row r="602" customFormat="false" ht="12.75" hidden="false" customHeight="true" outlineLevel="0" collapsed="false">
      <c r="A602" s="5" t="s">
        <v>1430</v>
      </c>
    </row>
    <row r="603" customFormat="false" ht="12.75" hidden="false" customHeight="true" outlineLevel="0" collapsed="false">
      <c r="A603" s="5" t="s">
        <v>3005</v>
      </c>
    </row>
    <row r="604" customFormat="false" ht="12.75" hidden="false" customHeight="true" outlineLevel="0" collapsed="false">
      <c r="A604" s="5" t="n">
        <v>0.1</v>
      </c>
    </row>
    <row r="605" customFormat="false" ht="12.75" hidden="false" customHeight="true" outlineLevel="0" collapsed="false">
      <c r="A605" s="5" t="s">
        <v>3006</v>
      </c>
    </row>
    <row r="606" customFormat="false" ht="12.75" hidden="false" customHeight="true" outlineLevel="0" collapsed="false">
      <c r="A606" s="5" t="s">
        <v>3007</v>
      </c>
    </row>
    <row r="607" customFormat="false" ht="12.75" hidden="false" customHeight="true" outlineLevel="0" collapsed="false">
      <c r="A607" s="5" t="s">
        <v>3008</v>
      </c>
    </row>
    <row r="608" customFormat="false" ht="12.75" hidden="false" customHeight="true" outlineLevel="0" collapsed="false">
      <c r="A608" s="5" t="s">
        <v>3009</v>
      </c>
    </row>
    <row r="609" customFormat="false" ht="12.75" hidden="false" customHeight="true" outlineLevel="0" collapsed="false">
      <c r="A609" s="5" t="n">
        <v>0.05</v>
      </c>
    </row>
    <row r="610" customFormat="false" ht="12.75" hidden="false" customHeight="true" outlineLevel="0" collapsed="false">
      <c r="A610" s="5" t="s">
        <v>3010</v>
      </c>
    </row>
    <row r="611" customFormat="false" ht="12.75" hidden="false" customHeight="true" outlineLevel="0" collapsed="false">
      <c r="A611" s="5" t="s">
        <v>3011</v>
      </c>
    </row>
    <row r="612" customFormat="false" ht="12.75" hidden="false" customHeight="true" outlineLevel="0" collapsed="false">
      <c r="A612" s="5" t="n">
        <v>0.04</v>
      </c>
    </row>
    <row r="613" customFormat="false" ht="12.75" hidden="false" customHeight="true" outlineLevel="0" collapsed="false">
      <c r="A613" s="5" t="s">
        <v>3012</v>
      </c>
    </row>
    <row r="614" customFormat="false" ht="12.75" hidden="false" customHeight="true" outlineLevel="0" collapsed="false">
      <c r="A614" s="5" t="s">
        <v>3013</v>
      </c>
    </row>
    <row r="615" customFormat="false" ht="12.75" hidden="false" customHeight="true" outlineLevel="0" collapsed="false">
      <c r="A615" s="5" t="n">
        <v>0.01</v>
      </c>
    </row>
    <row r="616" customFormat="false" ht="12.75" hidden="false" customHeight="true" outlineLevel="0" collapsed="false">
      <c r="A616" s="5" t="s">
        <v>3014</v>
      </c>
    </row>
    <row r="617" customFormat="false" ht="12.75" hidden="false" customHeight="true" outlineLevel="0" collapsed="false">
      <c r="A617" s="5" t="s">
        <v>3020</v>
      </c>
    </row>
    <row r="618" customFormat="false" ht="12.75" hidden="false" customHeight="true" outlineLevel="0" collapsed="false">
      <c r="A618" s="5" t="s">
        <v>3980</v>
      </c>
    </row>
    <row r="619" customFormat="false" ht="12.75" hidden="false" customHeight="true" outlineLevel="0" collapsed="false">
      <c r="A619" s="5" t="s">
        <v>3984</v>
      </c>
    </row>
    <row r="620" customFormat="false" ht="12.75" hidden="false" customHeight="true" outlineLevel="0" collapsed="false">
      <c r="A620" s="5" t="s">
        <v>3022</v>
      </c>
    </row>
    <row r="621" customFormat="false" ht="12.75" hidden="false" customHeight="true" outlineLevel="0" collapsed="false">
      <c r="A621" s="5" t="s">
        <v>3023</v>
      </c>
    </row>
    <row r="622" customFormat="false" ht="12.75" hidden="false" customHeight="true" outlineLevel="0" collapsed="false">
      <c r="A622" s="5" t="s">
        <v>3024</v>
      </c>
    </row>
    <row r="623" customFormat="false" ht="12.75" hidden="false" customHeight="true" outlineLevel="0" collapsed="false">
      <c r="A623" s="5" t="s">
        <v>2922</v>
      </c>
    </row>
    <row r="624" customFormat="false" ht="12.75" hidden="false" customHeight="true" outlineLevel="0" collapsed="false">
      <c r="A624" s="5" t="s">
        <v>3977</v>
      </c>
    </row>
    <row r="625" customFormat="false" ht="12.75" hidden="false" customHeight="true" outlineLevel="0" collapsed="false">
      <c r="A625" s="5" t="s">
        <v>1451</v>
      </c>
    </row>
    <row r="626" customFormat="false" ht="12.75" hidden="false" customHeight="true" outlineLevel="0" collapsed="false">
      <c r="A626" s="5" t="s">
        <v>3025</v>
      </c>
    </row>
    <row r="627" customFormat="false" ht="12.75" hidden="false" customHeight="true" outlineLevel="0" collapsed="false">
      <c r="A627" s="5" t="s">
        <v>3978</v>
      </c>
    </row>
    <row r="628" customFormat="false" ht="12.75" hidden="false" customHeight="true" outlineLevel="0" collapsed="false">
      <c r="A628" s="5" t="s">
        <v>3026</v>
      </c>
    </row>
    <row r="629" customFormat="false" ht="12.75" hidden="false" customHeight="true" outlineLevel="0" collapsed="false">
      <c r="A629" s="5" t="s">
        <v>3027</v>
      </c>
    </row>
    <row r="630" customFormat="false" ht="12.75" hidden="false" customHeight="true" outlineLevel="0" collapsed="false">
      <c r="A630" s="5" t="s">
        <v>3028</v>
      </c>
    </row>
    <row r="631" customFormat="false" ht="12.75" hidden="false" customHeight="true" outlineLevel="0" collapsed="false">
      <c r="A631" s="5" t="s">
        <v>3979</v>
      </c>
    </row>
    <row r="632" customFormat="false" ht="12.75" hidden="false" customHeight="true" outlineLevel="0" collapsed="false">
      <c r="A632" s="5" t="s">
        <v>3029</v>
      </c>
    </row>
    <row r="633" customFormat="false" ht="12.75" hidden="false" customHeight="true" outlineLevel="0" collapsed="false">
      <c r="A633" s="5" t="s">
        <v>3030</v>
      </c>
    </row>
    <row r="634" customFormat="false" ht="12.75" hidden="false" customHeight="true" outlineLevel="0" collapsed="false">
      <c r="A634" s="5" t="s">
        <v>3031</v>
      </c>
    </row>
    <row r="635" customFormat="false" ht="12.75" hidden="false" customHeight="true" outlineLevel="0" collapsed="false">
      <c r="A635" s="5" t="s">
        <v>3032</v>
      </c>
    </row>
    <row r="636" customFormat="false" ht="12.75" hidden="false" customHeight="true" outlineLevel="0" collapsed="false">
      <c r="A636" s="5" t="s">
        <v>3033</v>
      </c>
    </row>
    <row r="637" customFormat="false" ht="12.75" hidden="false" customHeight="true" outlineLevel="0" collapsed="false">
      <c r="A637" s="5" t="s">
        <v>2536</v>
      </c>
    </row>
    <row r="638" customFormat="false" ht="12.75" hidden="false" customHeight="true" outlineLevel="0" collapsed="false">
      <c r="A638" s="5" t="s">
        <v>187</v>
      </c>
    </row>
    <row r="639" customFormat="false" ht="12.75" hidden="false" customHeight="true" outlineLevel="0" collapsed="false">
      <c r="A639" s="5" t="n">
        <v>0.2</v>
      </c>
    </row>
    <row r="640" customFormat="false" ht="12.75" hidden="false" customHeight="true" outlineLevel="0" collapsed="false">
      <c r="A640" s="5" t="s">
        <v>1430</v>
      </c>
    </row>
    <row r="641" customFormat="false" ht="12.75" hidden="false" customHeight="true" outlineLevel="0" collapsed="false">
      <c r="A641" s="5" t="s">
        <v>3005</v>
      </c>
    </row>
    <row r="642" customFormat="false" ht="12.75" hidden="false" customHeight="true" outlineLevel="0" collapsed="false">
      <c r="A642" s="5" t="n">
        <v>0.1</v>
      </c>
    </row>
    <row r="643" customFormat="false" ht="12.75" hidden="false" customHeight="true" outlineLevel="0" collapsed="false">
      <c r="A643" s="5" t="s">
        <v>3006</v>
      </c>
    </row>
    <row r="644" customFormat="false" ht="12.75" hidden="false" customHeight="true" outlineLevel="0" collapsed="false">
      <c r="A644" s="5" t="s">
        <v>3007</v>
      </c>
    </row>
    <row r="645" customFormat="false" ht="12.75" hidden="false" customHeight="true" outlineLevel="0" collapsed="false">
      <c r="A645" s="5" t="s">
        <v>3008</v>
      </c>
    </row>
    <row r="646" customFormat="false" ht="12.75" hidden="false" customHeight="true" outlineLevel="0" collapsed="false">
      <c r="A646" s="5" t="s">
        <v>3009</v>
      </c>
    </row>
    <row r="647" customFormat="false" ht="12.75" hidden="false" customHeight="true" outlineLevel="0" collapsed="false">
      <c r="A647" s="5" t="n">
        <v>0.05</v>
      </c>
    </row>
    <row r="648" customFormat="false" ht="12.75" hidden="false" customHeight="true" outlineLevel="0" collapsed="false">
      <c r="A648" s="5" t="s">
        <v>3010</v>
      </c>
    </row>
    <row r="649" customFormat="false" ht="12.75" hidden="false" customHeight="true" outlineLevel="0" collapsed="false">
      <c r="A649" s="5" t="s">
        <v>3011</v>
      </c>
    </row>
    <row r="650" customFormat="false" ht="12.75" hidden="false" customHeight="true" outlineLevel="0" collapsed="false">
      <c r="A650" s="5" t="n">
        <v>0.04</v>
      </c>
    </row>
    <row r="651" customFormat="false" ht="12.75" hidden="false" customHeight="true" outlineLevel="0" collapsed="false">
      <c r="A651" s="5" t="s">
        <v>3012</v>
      </c>
    </row>
    <row r="652" customFormat="false" ht="12.75" hidden="false" customHeight="true" outlineLevel="0" collapsed="false">
      <c r="A652" s="5" t="s">
        <v>3013</v>
      </c>
    </row>
    <row r="653" customFormat="false" ht="12.75" hidden="false" customHeight="true" outlineLevel="0" collapsed="false">
      <c r="A653" s="5" t="n">
        <v>0.01</v>
      </c>
    </row>
    <row r="654" customFormat="false" ht="12.75" hidden="false" customHeight="true" outlineLevel="0" collapsed="false">
      <c r="A654" s="5" t="s">
        <v>3014</v>
      </c>
    </row>
    <row r="655" customFormat="false" ht="12.75" hidden="false" customHeight="true" outlineLevel="0" collapsed="false">
      <c r="A655" s="5" t="s">
        <v>3020</v>
      </c>
    </row>
    <row r="656" customFormat="false" ht="12.75" hidden="false" customHeight="true" outlineLevel="0" collapsed="false">
      <c r="A656" s="5" t="s">
        <v>3980</v>
      </c>
    </row>
    <row r="657" customFormat="false" ht="12.75" hidden="false" customHeight="true" outlineLevel="0" collapsed="false">
      <c r="A657" s="5" t="s">
        <v>3984</v>
      </c>
    </row>
    <row r="658" customFormat="false" ht="12.75" hidden="false" customHeight="true" outlineLevel="0" collapsed="false">
      <c r="A658" s="5" t="s">
        <v>3022</v>
      </c>
    </row>
    <row r="659" customFormat="false" ht="12.75" hidden="false" customHeight="true" outlineLevel="0" collapsed="false">
      <c r="A659" s="5" t="s">
        <v>3023</v>
      </c>
    </row>
    <row r="660" customFormat="false" ht="12.75" hidden="false" customHeight="true" outlineLevel="0" collapsed="false">
      <c r="A660" s="5" t="s">
        <v>3024</v>
      </c>
    </row>
    <row r="661" customFormat="false" ht="12.75" hidden="false" customHeight="true" outlineLevel="0" collapsed="false">
      <c r="A661" s="5" t="s">
        <v>2922</v>
      </c>
    </row>
    <row r="662" customFormat="false" ht="12.75" hidden="false" customHeight="true" outlineLevel="0" collapsed="false">
      <c r="A662" s="5" t="s">
        <v>3977</v>
      </c>
    </row>
    <row r="663" customFormat="false" ht="12.75" hidden="false" customHeight="true" outlineLevel="0" collapsed="false">
      <c r="A663" s="5" t="s">
        <v>1451</v>
      </c>
    </row>
    <row r="664" customFormat="false" ht="12.75" hidden="false" customHeight="true" outlineLevel="0" collapsed="false">
      <c r="A664" s="5" t="s">
        <v>3025</v>
      </c>
    </row>
    <row r="665" customFormat="false" ht="12.75" hidden="false" customHeight="true" outlineLevel="0" collapsed="false">
      <c r="A665" s="5" t="s">
        <v>3978</v>
      </c>
    </row>
    <row r="666" customFormat="false" ht="12.75" hidden="false" customHeight="true" outlineLevel="0" collapsed="false">
      <c r="A666" s="5" t="s">
        <v>3026</v>
      </c>
    </row>
    <row r="667" customFormat="false" ht="12.75" hidden="false" customHeight="true" outlineLevel="0" collapsed="false">
      <c r="A667" s="5" t="s">
        <v>3027</v>
      </c>
    </row>
    <row r="668" customFormat="false" ht="12.75" hidden="false" customHeight="true" outlineLevel="0" collapsed="false">
      <c r="A668" s="5" t="s">
        <v>3028</v>
      </c>
    </row>
    <row r="669" customFormat="false" ht="12.75" hidden="false" customHeight="true" outlineLevel="0" collapsed="false">
      <c r="A669" s="5" t="s">
        <v>3979</v>
      </c>
    </row>
    <row r="670" customFormat="false" ht="12.75" hidden="false" customHeight="true" outlineLevel="0" collapsed="false">
      <c r="A670" s="5" t="s">
        <v>3029</v>
      </c>
    </row>
    <row r="671" customFormat="false" ht="12.75" hidden="false" customHeight="true" outlineLevel="0" collapsed="false">
      <c r="A671" s="5" t="s">
        <v>3030</v>
      </c>
    </row>
    <row r="672" customFormat="false" ht="12.75" hidden="false" customHeight="true" outlineLevel="0" collapsed="false">
      <c r="A672" s="5" t="s">
        <v>3031</v>
      </c>
    </row>
    <row r="673" customFormat="false" ht="12.75" hidden="false" customHeight="true" outlineLevel="0" collapsed="false">
      <c r="A673" s="5" t="s">
        <v>3032</v>
      </c>
    </row>
    <row r="674" customFormat="false" ht="12.75" hidden="false" customHeight="true" outlineLevel="0" collapsed="false">
      <c r="A674" s="5" t="s">
        <v>3033</v>
      </c>
    </row>
    <row r="675" customFormat="false" ht="12.75" hidden="false" customHeight="true" outlineLevel="0" collapsed="false">
      <c r="A675" s="5" t="s">
        <v>2536</v>
      </c>
    </row>
    <row r="676" customFormat="false" ht="12.75" hidden="false" customHeight="true" outlineLevel="0" collapsed="false">
      <c r="A676" s="5" t="s">
        <v>193</v>
      </c>
    </row>
    <row r="677" customFormat="false" ht="12.75" hidden="false" customHeight="true" outlineLevel="0" collapsed="false">
      <c r="A677" s="5" t="n">
        <v>0.2</v>
      </c>
    </row>
    <row r="678" customFormat="false" ht="12.75" hidden="false" customHeight="true" outlineLevel="0" collapsed="false">
      <c r="A678" s="5" t="s">
        <v>1463</v>
      </c>
    </row>
    <row r="679" customFormat="false" ht="12.75" hidden="false" customHeight="true" outlineLevel="0" collapsed="false">
      <c r="A679" s="5" t="s">
        <v>3037</v>
      </c>
    </row>
    <row r="680" customFormat="false" ht="12.75" hidden="false" customHeight="true" outlineLevel="0" collapsed="false">
      <c r="A680" s="5" t="n">
        <v>0.1</v>
      </c>
    </row>
    <row r="681" customFormat="false" ht="12.75" hidden="false" customHeight="true" outlineLevel="0" collapsed="false">
      <c r="A681" s="5" t="s">
        <v>3038</v>
      </c>
    </row>
    <row r="682" customFormat="false" ht="12.75" hidden="false" customHeight="true" outlineLevel="0" collapsed="false">
      <c r="A682" s="5" t="s">
        <v>3039</v>
      </c>
    </row>
    <row r="683" customFormat="false" ht="12.75" hidden="false" customHeight="true" outlineLevel="0" collapsed="false">
      <c r="A683" s="5" t="s">
        <v>3040</v>
      </c>
    </row>
    <row r="684" customFormat="false" ht="12.75" hidden="false" customHeight="true" outlineLevel="0" collapsed="false">
      <c r="A684" s="5" t="s">
        <v>3041</v>
      </c>
    </row>
    <row r="685" customFormat="false" ht="12.75" hidden="false" customHeight="true" outlineLevel="0" collapsed="false">
      <c r="A685" s="5" t="n">
        <v>0.05</v>
      </c>
    </row>
    <row r="686" customFormat="false" ht="12.75" hidden="false" customHeight="true" outlineLevel="0" collapsed="false">
      <c r="A686" s="5" t="s">
        <v>3042</v>
      </c>
    </row>
    <row r="687" customFormat="false" ht="12.75" hidden="false" customHeight="true" outlineLevel="0" collapsed="false">
      <c r="A687" s="5" t="s">
        <v>3043</v>
      </c>
    </row>
    <row r="688" customFormat="false" ht="12.75" hidden="false" customHeight="true" outlineLevel="0" collapsed="false">
      <c r="A688" s="5" t="n">
        <v>0.04</v>
      </c>
    </row>
    <row r="689" customFormat="false" ht="12.75" hidden="false" customHeight="true" outlineLevel="0" collapsed="false">
      <c r="A689" s="5" t="s">
        <v>3044</v>
      </c>
    </row>
    <row r="690" customFormat="false" ht="12.75" hidden="false" customHeight="true" outlineLevel="0" collapsed="false">
      <c r="A690" s="5" t="s">
        <v>3045</v>
      </c>
    </row>
    <row r="691" customFormat="false" ht="12.75" hidden="false" customHeight="true" outlineLevel="0" collapsed="false">
      <c r="A691" s="5" t="n">
        <v>0.01</v>
      </c>
    </row>
    <row r="692" customFormat="false" ht="12.75" hidden="false" customHeight="true" outlineLevel="0" collapsed="false">
      <c r="A692" s="5" t="s">
        <v>3046</v>
      </c>
    </row>
    <row r="693" customFormat="false" ht="12.75" hidden="false" customHeight="true" outlineLevel="0" collapsed="false">
      <c r="A693" s="5" t="s">
        <v>3717</v>
      </c>
    </row>
    <row r="694" customFormat="false" ht="12.75" hidden="false" customHeight="true" outlineLevel="0" collapsed="false">
      <c r="A694" s="5" t="s">
        <v>2536</v>
      </c>
    </row>
    <row r="695" customFormat="false" ht="12.75" hidden="false" customHeight="true" outlineLevel="0" collapsed="false">
      <c r="A695" s="5" t="s">
        <v>195</v>
      </c>
    </row>
    <row r="696" customFormat="false" ht="12.75" hidden="false" customHeight="true" outlineLevel="0" collapsed="false">
      <c r="A696" s="5" t="n">
        <v>0.2</v>
      </c>
    </row>
    <row r="697" customFormat="false" ht="12.75" hidden="false" customHeight="true" outlineLevel="0" collapsed="false">
      <c r="A697" s="5" t="s">
        <v>1463</v>
      </c>
    </row>
    <row r="698" customFormat="false" ht="12.75" hidden="false" customHeight="true" outlineLevel="0" collapsed="false">
      <c r="A698" s="5" t="s">
        <v>3037</v>
      </c>
    </row>
    <row r="699" customFormat="false" ht="12.75" hidden="false" customHeight="true" outlineLevel="0" collapsed="false">
      <c r="A699" s="5" t="n">
        <v>0.1</v>
      </c>
    </row>
    <row r="700" customFormat="false" ht="12.75" hidden="false" customHeight="true" outlineLevel="0" collapsed="false">
      <c r="A700" s="5" t="s">
        <v>3038</v>
      </c>
    </row>
    <row r="701" customFormat="false" ht="12.75" hidden="false" customHeight="true" outlineLevel="0" collapsed="false">
      <c r="A701" s="5" t="s">
        <v>3039</v>
      </c>
    </row>
    <row r="702" customFormat="false" ht="12.75" hidden="false" customHeight="true" outlineLevel="0" collapsed="false">
      <c r="A702" s="5" t="s">
        <v>3040</v>
      </c>
    </row>
    <row r="703" customFormat="false" ht="12.75" hidden="false" customHeight="true" outlineLevel="0" collapsed="false">
      <c r="A703" s="5" t="s">
        <v>3041</v>
      </c>
    </row>
    <row r="704" customFormat="false" ht="12.75" hidden="false" customHeight="true" outlineLevel="0" collapsed="false">
      <c r="A704" s="5" t="n">
        <v>0.05</v>
      </c>
    </row>
    <row r="705" customFormat="false" ht="12.75" hidden="false" customHeight="true" outlineLevel="0" collapsed="false">
      <c r="A705" s="5" t="s">
        <v>3042</v>
      </c>
    </row>
    <row r="706" customFormat="false" ht="12.75" hidden="false" customHeight="true" outlineLevel="0" collapsed="false">
      <c r="A706" s="5" t="s">
        <v>3043</v>
      </c>
    </row>
    <row r="707" customFormat="false" ht="12.75" hidden="false" customHeight="true" outlineLevel="0" collapsed="false">
      <c r="A707" s="5" t="n">
        <v>0.04</v>
      </c>
    </row>
    <row r="708" customFormat="false" ht="12.75" hidden="false" customHeight="true" outlineLevel="0" collapsed="false">
      <c r="A708" s="5" t="s">
        <v>3044</v>
      </c>
    </row>
    <row r="709" customFormat="false" ht="12.75" hidden="false" customHeight="true" outlineLevel="0" collapsed="false">
      <c r="A709" s="5" t="s">
        <v>3045</v>
      </c>
    </row>
    <row r="710" customFormat="false" ht="12.75" hidden="false" customHeight="true" outlineLevel="0" collapsed="false">
      <c r="A710" s="5" t="n">
        <v>0.01</v>
      </c>
    </row>
    <row r="711" customFormat="false" ht="12.75" hidden="false" customHeight="true" outlineLevel="0" collapsed="false">
      <c r="A711" s="5" t="s">
        <v>3046</v>
      </c>
    </row>
    <row r="712" customFormat="false" ht="12.75" hidden="false" customHeight="true" outlineLevel="0" collapsed="false">
      <c r="A712" s="5" t="s">
        <v>3717</v>
      </c>
    </row>
    <row r="713" customFormat="false" ht="12.75" hidden="false" customHeight="true" outlineLevel="0" collapsed="false">
      <c r="A713" s="5" t="s">
        <v>2536</v>
      </c>
    </row>
    <row r="714" customFormat="false" ht="12.75" hidden="false" customHeight="true" outlineLevel="0" collapsed="false">
      <c r="A714" s="5" t="s">
        <v>197</v>
      </c>
    </row>
    <row r="715" customFormat="false" ht="12.75" hidden="false" customHeight="true" outlineLevel="0" collapsed="false">
      <c r="A715" s="5" t="n">
        <v>0.2</v>
      </c>
    </row>
    <row r="716" customFormat="false" ht="12.75" hidden="false" customHeight="true" outlineLevel="0" collapsed="false">
      <c r="A716" s="5" t="s">
        <v>1463</v>
      </c>
    </row>
    <row r="717" customFormat="false" ht="12.75" hidden="false" customHeight="true" outlineLevel="0" collapsed="false">
      <c r="A717" s="5" t="s">
        <v>3037</v>
      </c>
    </row>
    <row r="718" customFormat="false" ht="12.75" hidden="false" customHeight="true" outlineLevel="0" collapsed="false">
      <c r="A718" s="5" t="n">
        <v>0.1</v>
      </c>
    </row>
    <row r="719" customFormat="false" ht="12.75" hidden="false" customHeight="true" outlineLevel="0" collapsed="false">
      <c r="A719" s="5" t="s">
        <v>3038</v>
      </c>
    </row>
    <row r="720" customFormat="false" ht="12.75" hidden="false" customHeight="true" outlineLevel="0" collapsed="false">
      <c r="A720" s="5" t="s">
        <v>3039</v>
      </c>
    </row>
    <row r="721" customFormat="false" ht="12.75" hidden="false" customHeight="true" outlineLevel="0" collapsed="false">
      <c r="A721" s="5" t="s">
        <v>3040</v>
      </c>
    </row>
    <row r="722" customFormat="false" ht="12.75" hidden="false" customHeight="true" outlineLevel="0" collapsed="false">
      <c r="A722" s="5" t="s">
        <v>3041</v>
      </c>
    </row>
    <row r="723" customFormat="false" ht="12.75" hidden="false" customHeight="true" outlineLevel="0" collapsed="false">
      <c r="A723" s="5" t="n">
        <v>0.05</v>
      </c>
    </row>
    <row r="724" customFormat="false" ht="12.75" hidden="false" customHeight="true" outlineLevel="0" collapsed="false">
      <c r="A724" s="5" t="s">
        <v>3042</v>
      </c>
    </row>
    <row r="725" customFormat="false" ht="12.75" hidden="false" customHeight="true" outlineLevel="0" collapsed="false">
      <c r="A725" s="5" t="s">
        <v>3043</v>
      </c>
    </row>
    <row r="726" customFormat="false" ht="12.75" hidden="false" customHeight="true" outlineLevel="0" collapsed="false">
      <c r="A726" s="5" t="n">
        <v>0.04</v>
      </c>
    </row>
    <row r="727" customFormat="false" ht="12.75" hidden="false" customHeight="true" outlineLevel="0" collapsed="false">
      <c r="A727" s="5" t="s">
        <v>3044</v>
      </c>
    </row>
    <row r="728" customFormat="false" ht="12.75" hidden="false" customHeight="true" outlineLevel="0" collapsed="false">
      <c r="A728" s="5" t="s">
        <v>3045</v>
      </c>
    </row>
    <row r="729" customFormat="false" ht="12.75" hidden="false" customHeight="true" outlineLevel="0" collapsed="false">
      <c r="A729" s="5" t="n">
        <v>0.01</v>
      </c>
    </row>
    <row r="730" customFormat="false" ht="12.75" hidden="false" customHeight="true" outlineLevel="0" collapsed="false">
      <c r="A730" s="5" t="s">
        <v>3046</v>
      </c>
    </row>
    <row r="731" customFormat="false" ht="12.75" hidden="false" customHeight="true" outlineLevel="0" collapsed="false">
      <c r="A731" s="5" t="s">
        <v>3717</v>
      </c>
    </row>
    <row r="732" customFormat="false" ht="12.75" hidden="false" customHeight="true" outlineLevel="0" collapsed="false">
      <c r="A732" s="5" t="s">
        <v>2536</v>
      </c>
    </row>
    <row r="733" customFormat="false" ht="12.75" hidden="false" customHeight="true" outlineLevel="0" collapsed="false">
      <c r="A733" s="5" t="s">
        <v>199</v>
      </c>
    </row>
    <row r="734" customFormat="false" ht="12.75" hidden="false" customHeight="true" outlineLevel="0" collapsed="false">
      <c r="A734" s="5" t="n">
        <v>0.2</v>
      </c>
    </row>
    <row r="735" customFormat="false" ht="12.75" hidden="false" customHeight="true" outlineLevel="0" collapsed="false">
      <c r="A735" s="5" t="s">
        <v>1463</v>
      </c>
    </row>
    <row r="736" customFormat="false" ht="12.75" hidden="false" customHeight="true" outlineLevel="0" collapsed="false">
      <c r="A736" s="5" t="s">
        <v>3037</v>
      </c>
    </row>
    <row r="737" customFormat="false" ht="12.75" hidden="false" customHeight="true" outlineLevel="0" collapsed="false">
      <c r="A737" s="5" t="n">
        <v>0.1</v>
      </c>
    </row>
    <row r="738" customFormat="false" ht="12.75" hidden="false" customHeight="true" outlineLevel="0" collapsed="false">
      <c r="A738" s="5" t="s">
        <v>3038</v>
      </c>
    </row>
    <row r="739" customFormat="false" ht="12.75" hidden="false" customHeight="true" outlineLevel="0" collapsed="false">
      <c r="A739" s="5" t="s">
        <v>3039</v>
      </c>
    </row>
    <row r="740" customFormat="false" ht="12.75" hidden="false" customHeight="true" outlineLevel="0" collapsed="false">
      <c r="A740" s="5" t="s">
        <v>3040</v>
      </c>
    </row>
    <row r="741" customFormat="false" ht="12.75" hidden="false" customHeight="true" outlineLevel="0" collapsed="false">
      <c r="A741" s="5" t="s">
        <v>3041</v>
      </c>
    </row>
    <row r="742" customFormat="false" ht="12.75" hidden="false" customHeight="true" outlineLevel="0" collapsed="false">
      <c r="A742" s="5" t="n">
        <v>0.05</v>
      </c>
    </row>
    <row r="743" customFormat="false" ht="12.75" hidden="false" customHeight="true" outlineLevel="0" collapsed="false">
      <c r="A743" s="5" t="s">
        <v>3042</v>
      </c>
    </row>
    <row r="744" customFormat="false" ht="12.75" hidden="false" customHeight="true" outlineLevel="0" collapsed="false">
      <c r="A744" s="5" t="s">
        <v>3043</v>
      </c>
    </row>
    <row r="745" customFormat="false" ht="12.75" hidden="false" customHeight="true" outlineLevel="0" collapsed="false">
      <c r="A745" s="5" t="n">
        <v>0.04</v>
      </c>
    </row>
    <row r="746" customFormat="false" ht="12.75" hidden="false" customHeight="true" outlineLevel="0" collapsed="false">
      <c r="A746" s="5" t="s">
        <v>3044</v>
      </c>
    </row>
    <row r="747" customFormat="false" ht="12.75" hidden="false" customHeight="true" outlineLevel="0" collapsed="false">
      <c r="A747" s="5" t="s">
        <v>3045</v>
      </c>
    </row>
    <row r="748" customFormat="false" ht="12.75" hidden="false" customHeight="true" outlineLevel="0" collapsed="false">
      <c r="A748" s="5" t="n">
        <v>0.01</v>
      </c>
    </row>
    <row r="749" customFormat="false" ht="12.75" hidden="false" customHeight="true" outlineLevel="0" collapsed="false">
      <c r="A749" s="5" t="s">
        <v>3046</v>
      </c>
    </row>
    <row r="750" customFormat="false" ht="12.75" hidden="false" customHeight="true" outlineLevel="0" collapsed="false">
      <c r="A750" s="5" t="s">
        <v>3717</v>
      </c>
    </row>
    <row r="751" customFormat="false" ht="12.75" hidden="false" customHeight="true" outlineLevel="0" collapsed="false">
      <c r="A751" s="5" t="s">
        <v>2536</v>
      </c>
    </row>
    <row r="752" customFormat="false" ht="12.75" hidden="false" customHeight="true" outlineLevel="0" collapsed="false">
      <c r="A752" s="5" t="s">
        <v>201</v>
      </c>
    </row>
    <row r="753" customFormat="false" ht="12.75" hidden="false" customHeight="true" outlineLevel="0" collapsed="false">
      <c r="A753" s="5" t="n">
        <v>0.2</v>
      </c>
    </row>
    <row r="754" customFormat="false" ht="12.75" hidden="false" customHeight="true" outlineLevel="0" collapsed="false">
      <c r="A754" s="5" t="s">
        <v>1463</v>
      </c>
    </row>
    <row r="755" customFormat="false" ht="12.75" hidden="false" customHeight="true" outlineLevel="0" collapsed="false">
      <c r="A755" s="5" t="s">
        <v>3037</v>
      </c>
    </row>
    <row r="756" customFormat="false" ht="12.75" hidden="false" customHeight="true" outlineLevel="0" collapsed="false">
      <c r="A756" s="5" t="n">
        <v>0.1</v>
      </c>
    </row>
    <row r="757" customFormat="false" ht="12.75" hidden="false" customHeight="true" outlineLevel="0" collapsed="false">
      <c r="A757" s="5" t="s">
        <v>3038</v>
      </c>
    </row>
    <row r="758" customFormat="false" ht="12.75" hidden="false" customHeight="true" outlineLevel="0" collapsed="false">
      <c r="A758" s="5" t="s">
        <v>3039</v>
      </c>
    </row>
    <row r="759" customFormat="false" ht="12.75" hidden="false" customHeight="true" outlineLevel="0" collapsed="false">
      <c r="A759" s="5" t="s">
        <v>3040</v>
      </c>
    </row>
    <row r="760" customFormat="false" ht="12.75" hidden="false" customHeight="true" outlineLevel="0" collapsed="false">
      <c r="A760" s="5" t="s">
        <v>3041</v>
      </c>
    </row>
    <row r="761" customFormat="false" ht="12.75" hidden="false" customHeight="true" outlineLevel="0" collapsed="false">
      <c r="A761" s="5" t="n">
        <v>0.05</v>
      </c>
    </row>
    <row r="762" customFormat="false" ht="12.75" hidden="false" customHeight="true" outlineLevel="0" collapsed="false">
      <c r="A762" s="5" t="s">
        <v>3042</v>
      </c>
    </row>
    <row r="763" customFormat="false" ht="12.75" hidden="false" customHeight="true" outlineLevel="0" collapsed="false">
      <c r="A763" s="5" t="s">
        <v>3043</v>
      </c>
    </row>
    <row r="764" customFormat="false" ht="12.75" hidden="false" customHeight="true" outlineLevel="0" collapsed="false">
      <c r="A764" s="5" t="n">
        <v>0.04</v>
      </c>
    </row>
    <row r="765" customFormat="false" ht="12.75" hidden="false" customHeight="true" outlineLevel="0" collapsed="false">
      <c r="A765" s="5" t="s">
        <v>3044</v>
      </c>
    </row>
    <row r="766" customFormat="false" ht="12.75" hidden="false" customHeight="true" outlineLevel="0" collapsed="false">
      <c r="A766" s="5" t="s">
        <v>3045</v>
      </c>
    </row>
    <row r="767" customFormat="false" ht="12.75" hidden="false" customHeight="true" outlineLevel="0" collapsed="false">
      <c r="A767" s="5" t="n">
        <v>0.01</v>
      </c>
    </row>
    <row r="768" customFormat="false" ht="12.75" hidden="false" customHeight="true" outlineLevel="0" collapsed="false">
      <c r="A768" s="5" t="s">
        <v>3056</v>
      </c>
    </row>
    <row r="769" customFormat="false" ht="12.75" hidden="false" customHeight="true" outlineLevel="0" collapsed="false">
      <c r="A769" s="5" t="s">
        <v>3717</v>
      </c>
    </row>
    <row r="770" customFormat="false" ht="12.75" hidden="false" customHeight="true" outlineLevel="0" collapsed="false">
      <c r="A770" s="5" t="s">
        <v>2536</v>
      </c>
    </row>
    <row r="771" customFormat="false" ht="12.75" hidden="false" customHeight="true" outlineLevel="0" collapsed="false">
      <c r="A771" s="5" t="s">
        <v>203</v>
      </c>
    </row>
    <row r="772" customFormat="false" ht="12.75" hidden="false" customHeight="true" outlineLevel="0" collapsed="false">
      <c r="A772" s="5" t="n">
        <v>0.2</v>
      </c>
    </row>
    <row r="773" customFormat="false" ht="12.75" hidden="false" customHeight="true" outlineLevel="0" collapsed="false">
      <c r="A773" s="5" t="s">
        <v>1481</v>
      </c>
    </row>
    <row r="774" customFormat="false" ht="12.75" hidden="false" customHeight="true" outlineLevel="0" collapsed="false">
      <c r="A774" s="5" t="s">
        <v>3058</v>
      </c>
    </row>
    <row r="775" customFormat="false" ht="12.75" hidden="false" customHeight="true" outlineLevel="0" collapsed="false">
      <c r="A775" s="5" t="n">
        <v>0.1</v>
      </c>
    </row>
    <row r="776" customFormat="false" ht="12.75" hidden="false" customHeight="true" outlineLevel="0" collapsed="false">
      <c r="A776" s="5" t="s">
        <v>3059</v>
      </c>
    </row>
    <row r="777" customFormat="false" ht="12.75" hidden="false" customHeight="true" outlineLevel="0" collapsed="false">
      <c r="A777" s="5" t="s">
        <v>3060</v>
      </c>
    </row>
    <row r="778" customFormat="false" ht="12.75" hidden="false" customHeight="true" outlineLevel="0" collapsed="false">
      <c r="A778" s="5" t="s">
        <v>3061</v>
      </c>
    </row>
    <row r="779" customFormat="false" ht="12.75" hidden="false" customHeight="true" outlineLevel="0" collapsed="false">
      <c r="A779" s="5" t="s">
        <v>3062</v>
      </c>
    </row>
    <row r="780" customFormat="false" ht="12.75" hidden="false" customHeight="true" outlineLevel="0" collapsed="false">
      <c r="A780" s="5" t="n">
        <v>0.05</v>
      </c>
    </row>
    <row r="781" customFormat="false" ht="12.75" hidden="false" customHeight="true" outlineLevel="0" collapsed="false">
      <c r="A781" s="5" t="s">
        <v>3063</v>
      </c>
    </row>
    <row r="782" customFormat="false" ht="12.75" hidden="false" customHeight="true" outlineLevel="0" collapsed="false">
      <c r="A782" s="5" t="s">
        <v>3064</v>
      </c>
    </row>
    <row r="783" customFormat="false" ht="12.75" hidden="false" customHeight="true" outlineLevel="0" collapsed="false">
      <c r="A783" s="5" t="n">
        <v>0.04</v>
      </c>
    </row>
    <row r="784" customFormat="false" ht="12.75" hidden="false" customHeight="true" outlineLevel="0" collapsed="false">
      <c r="A784" s="5" t="s">
        <v>3065</v>
      </c>
    </row>
    <row r="785" customFormat="false" ht="12.75" hidden="false" customHeight="true" outlineLevel="0" collapsed="false">
      <c r="A785" s="5" t="s">
        <v>3066</v>
      </c>
    </row>
    <row r="786" customFormat="false" ht="12.75" hidden="false" customHeight="true" outlineLevel="0" collapsed="false">
      <c r="A786" s="5" t="n">
        <v>0.01</v>
      </c>
    </row>
    <row r="787" customFormat="false" ht="12.75" hidden="false" customHeight="true" outlineLevel="0" collapsed="false">
      <c r="A787" s="5" t="s">
        <v>3067</v>
      </c>
    </row>
    <row r="788" customFormat="false" ht="12.75" hidden="false" customHeight="true" outlineLevel="0" collapsed="false">
      <c r="A788" s="5" t="s">
        <v>3718</v>
      </c>
    </row>
    <row r="789" customFormat="false" ht="12.75" hidden="false" customHeight="true" outlineLevel="0" collapsed="false">
      <c r="A789" s="5" t="s">
        <v>2536</v>
      </c>
    </row>
    <row r="790" customFormat="false" ht="12.75" hidden="false" customHeight="true" outlineLevel="0" collapsed="false">
      <c r="A790" s="5" t="s">
        <v>207</v>
      </c>
    </row>
    <row r="791" customFormat="false" ht="12.75" hidden="false" customHeight="true" outlineLevel="0" collapsed="false">
      <c r="A791" s="5" t="n">
        <v>0.2</v>
      </c>
    </row>
    <row r="792" customFormat="false" ht="12.75" hidden="false" customHeight="true" outlineLevel="0" collapsed="false">
      <c r="A792" s="5" t="s">
        <v>1494</v>
      </c>
    </row>
    <row r="793" customFormat="false" ht="12.75" hidden="false" customHeight="true" outlineLevel="0" collapsed="false">
      <c r="A793" s="5" t="s">
        <v>3070</v>
      </c>
    </row>
    <row r="794" customFormat="false" ht="12.75" hidden="false" customHeight="true" outlineLevel="0" collapsed="false">
      <c r="A794" s="5" t="n">
        <v>0.1</v>
      </c>
    </row>
    <row r="795" customFormat="false" ht="12.75" hidden="false" customHeight="true" outlineLevel="0" collapsed="false">
      <c r="A795" s="5" t="s">
        <v>3071</v>
      </c>
    </row>
    <row r="796" customFormat="false" ht="12.75" hidden="false" customHeight="true" outlineLevel="0" collapsed="false">
      <c r="A796" s="5" t="s">
        <v>1666</v>
      </c>
    </row>
    <row r="797" customFormat="false" ht="12.75" hidden="false" customHeight="true" outlineLevel="0" collapsed="false">
      <c r="A797" s="5" t="s">
        <v>3072</v>
      </c>
    </row>
    <row r="798" customFormat="false" ht="12.75" hidden="false" customHeight="true" outlineLevel="0" collapsed="false">
      <c r="A798" s="5" t="s">
        <v>1507</v>
      </c>
    </row>
    <row r="799" customFormat="false" ht="12.75" hidden="false" customHeight="true" outlineLevel="0" collapsed="false">
      <c r="A799" s="5" t="n">
        <v>0.05</v>
      </c>
    </row>
    <row r="800" customFormat="false" ht="12.75" hidden="false" customHeight="true" outlineLevel="0" collapsed="false">
      <c r="A800" s="5" t="s">
        <v>3073</v>
      </c>
    </row>
    <row r="801" customFormat="false" ht="12.75" hidden="false" customHeight="true" outlineLevel="0" collapsed="false">
      <c r="A801" s="5" t="s">
        <v>3074</v>
      </c>
    </row>
    <row r="802" customFormat="false" ht="12.75" hidden="false" customHeight="true" outlineLevel="0" collapsed="false">
      <c r="A802" s="5" t="n">
        <v>0.04</v>
      </c>
    </row>
    <row r="803" customFormat="false" ht="12.75" hidden="false" customHeight="true" outlineLevel="0" collapsed="false">
      <c r="A803" s="5" t="s">
        <v>3075</v>
      </c>
    </row>
    <row r="804" customFormat="false" ht="12.75" hidden="false" customHeight="true" outlineLevel="0" collapsed="false">
      <c r="A804" s="5" t="s">
        <v>3076</v>
      </c>
    </row>
    <row r="805" customFormat="false" ht="12.75" hidden="false" customHeight="true" outlineLevel="0" collapsed="false">
      <c r="A805" s="5" t="n">
        <v>0.01</v>
      </c>
    </row>
    <row r="806" customFormat="false" ht="12.75" hidden="false" customHeight="true" outlineLevel="0" collapsed="false">
      <c r="A806" s="5" t="s">
        <v>3077</v>
      </c>
    </row>
    <row r="807" customFormat="false" ht="12.75" hidden="false" customHeight="true" outlineLevel="0" collapsed="false">
      <c r="A807" s="5" t="s">
        <v>3078</v>
      </c>
    </row>
    <row r="808" customFormat="false" ht="12.75" hidden="false" customHeight="true" outlineLevel="0" collapsed="false">
      <c r="A808" s="5" t="s">
        <v>3982</v>
      </c>
    </row>
    <row r="809" customFormat="false" ht="12.75" hidden="false" customHeight="true" outlineLevel="0" collapsed="false">
      <c r="A809" s="5" t="s">
        <v>3983</v>
      </c>
    </row>
    <row r="810" customFormat="false" ht="12.75" hidden="false" customHeight="true" outlineLevel="0" collapsed="false">
      <c r="A810" s="5" t="s">
        <v>3000</v>
      </c>
    </row>
    <row r="811" customFormat="false" ht="12.75" hidden="false" customHeight="true" outlineLevel="0" collapsed="false">
      <c r="A811" s="5" t="s">
        <v>3001</v>
      </c>
    </row>
    <row r="812" customFormat="false" ht="12.75" hidden="false" customHeight="true" outlineLevel="0" collapsed="false">
      <c r="A812" s="5" t="s">
        <v>3002</v>
      </c>
    </row>
    <row r="813" customFormat="false" ht="12.75" hidden="false" customHeight="true" outlineLevel="0" collapsed="false">
      <c r="A813" s="5" t="s">
        <v>3233</v>
      </c>
    </row>
    <row r="814" customFormat="false" ht="12.75" hidden="false" customHeight="true" outlineLevel="0" collapsed="false">
      <c r="A814" s="5" t="s">
        <v>2536</v>
      </c>
    </row>
    <row r="815" customFormat="false" ht="12.75" hidden="false" customHeight="true" outlineLevel="0" collapsed="false">
      <c r="A815" s="5" t="s">
        <v>209</v>
      </c>
    </row>
    <row r="816" customFormat="false" ht="12.75" hidden="false" customHeight="true" outlineLevel="0" collapsed="false">
      <c r="A816" s="5" t="n">
        <v>0.2</v>
      </c>
    </row>
    <row r="817" customFormat="false" ht="12.75" hidden="false" customHeight="true" outlineLevel="0" collapsed="false">
      <c r="A817" s="5" t="s">
        <v>1507</v>
      </c>
    </row>
    <row r="818" customFormat="false" ht="12.75" hidden="false" customHeight="true" outlineLevel="0" collapsed="false">
      <c r="A818" s="5" t="s">
        <v>3072</v>
      </c>
    </row>
    <row r="819" customFormat="false" ht="12.75" hidden="false" customHeight="true" outlineLevel="0" collapsed="false">
      <c r="A819" s="5" t="n">
        <v>0.1</v>
      </c>
    </row>
    <row r="820" customFormat="false" ht="12.75" hidden="false" customHeight="true" outlineLevel="0" collapsed="false">
      <c r="A820" s="5" t="s">
        <v>3080</v>
      </c>
    </row>
    <row r="821" customFormat="false" ht="12.75" hidden="false" customHeight="true" outlineLevel="0" collapsed="false">
      <c r="A821" s="5" t="s">
        <v>3081</v>
      </c>
    </row>
    <row r="822" customFormat="false" ht="12.75" hidden="false" customHeight="true" outlineLevel="0" collapsed="false">
      <c r="A822" s="5" t="s">
        <v>3082</v>
      </c>
    </row>
    <row r="823" customFormat="false" ht="12.75" hidden="false" customHeight="true" outlineLevel="0" collapsed="false">
      <c r="A823" s="5" t="s">
        <v>3083</v>
      </c>
    </row>
    <row r="824" customFormat="false" ht="12.75" hidden="false" customHeight="true" outlineLevel="0" collapsed="false">
      <c r="A824" s="5" t="n">
        <v>0.05</v>
      </c>
    </row>
    <row r="825" customFormat="false" ht="12.75" hidden="false" customHeight="true" outlineLevel="0" collapsed="false">
      <c r="A825" s="5" t="s">
        <v>3084</v>
      </c>
    </row>
    <row r="826" customFormat="false" ht="12.75" hidden="false" customHeight="true" outlineLevel="0" collapsed="false">
      <c r="A826" s="5" t="s">
        <v>3085</v>
      </c>
    </row>
    <row r="827" customFormat="false" ht="12.75" hidden="false" customHeight="true" outlineLevel="0" collapsed="false">
      <c r="A827" s="5" t="n">
        <v>0.04</v>
      </c>
    </row>
    <row r="828" customFormat="false" ht="12.75" hidden="false" customHeight="true" outlineLevel="0" collapsed="false">
      <c r="A828" s="5" t="s">
        <v>3086</v>
      </c>
    </row>
    <row r="829" customFormat="false" ht="12.75" hidden="false" customHeight="true" outlineLevel="0" collapsed="false">
      <c r="A829" s="5" t="s">
        <v>3087</v>
      </c>
    </row>
    <row r="830" customFormat="false" ht="12.75" hidden="false" customHeight="true" outlineLevel="0" collapsed="false">
      <c r="A830" s="5" t="n">
        <v>0.01</v>
      </c>
    </row>
    <row r="831" customFormat="false" ht="12.75" hidden="false" customHeight="true" outlineLevel="0" collapsed="false">
      <c r="A831" s="5" t="s">
        <v>3086</v>
      </c>
    </row>
    <row r="832" customFormat="false" ht="12.75" hidden="false" customHeight="true" outlineLevel="0" collapsed="false">
      <c r="A832" s="5" t="s">
        <v>3087</v>
      </c>
    </row>
    <row r="833" customFormat="false" ht="12.75" hidden="false" customHeight="true" outlineLevel="0" collapsed="false">
      <c r="A833" s="5" t="s">
        <v>2536</v>
      </c>
    </row>
    <row r="834" customFormat="false" ht="12.75" hidden="false" customHeight="true" outlineLevel="0" collapsed="false">
      <c r="A834" s="5" t="s">
        <v>211</v>
      </c>
    </row>
    <row r="835" customFormat="false" ht="12.75" hidden="false" customHeight="true" outlineLevel="0" collapsed="false">
      <c r="A835" s="5" t="n">
        <v>0.2</v>
      </c>
    </row>
    <row r="836" customFormat="false" ht="12.75" hidden="false" customHeight="true" outlineLevel="0" collapsed="false">
      <c r="A836" s="5" t="s">
        <v>1518</v>
      </c>
    </row>
    <row r="837" customFormat="false" ht="12.75" hidden="false" customHeight="true" outlineLevel="0" collapsed="false">
      <c r="A837" s="5" t="s">
        <v>3090</v>
      </c>
    </row>
    <row r="838" customFormat="false" ht="12.75" hidden="false" customHeight="true" outlineLevel="0" collapsed="false">
      <c r="A838" s="5" t="n">
        <v>0.1</v>
      </c>
    </row>
    <row r="839" customFormat="false" ht="12.75" hidden="false" customHeight="true" outlineLevel="0" collapsed="false">
      <c r="A839" s="5" t="s">
        <v>3091</v>
      </c>
    </row>
    <row r="840" customFormat="false" ht="12.75" hidden="false" customHeight="true" outlineLevel="0" collapsed="false">
      <c r="A840" s="5" t="s">
        <v>3092</v>
      </c>
    </row>
    <row r="841" customFormat="false" ht="12.75" hidden="false" customHeight="true" outlineLevel="0" collapsed="false">
      <c r="A841" s="5" t="s">
        <v>3093</v>
      </c>
    </row>
    <row r="842" customFormat="false" ht="12.75" hidden="false" customHeight="true" outlineLevel="0" collapsed="false">
      <c r="A842" s="5" t="s">
        <v>3094</v>
      </c>
    </row>
    <row r="843" customFormat="false" ht="12.75" hidden="false" customHeight="true" outlineLevel="0" collapsed="false">
      <c r="A843" s="5" t="n">
        <v>0.05</v>
      </c>
    </row>
    <row r="844" customFormat="false" ht="12.75" hidden="false" customHeight="true" outlineLevel="0" collapsed="false">
      <c r="A844" s="5" t="s">
        <v>3095</v>
      </c>
    </row>
    <row r="845" customFormat="false" ht="12.75" hidden="false" customHeight="true" outlineLevel="0" collapsed="false">
      <c r="A845" s="5" t="s">
        <v>3095</v>
      </c>
    </row>
    <row r="846" customFormat="false" ht="12.75" hidden="false" customHeight="true" outlineLevel="0" collapsed="false">
      <c r="A846" s="5" t="n">
        <v>0.04</v>
      </c>
    </row>
    <row r="847" customFormat="false" ht="12.75" hidden="false" customHeight="true" outlineLevel="0" collapsed="false">
      <c r="A847" s="5" t="s">
        <v>3096</v>
      </c>
    </row>
    <row r="848" customFormat="false" ht="12.75" hidden="false" customHeight="true" outlineLevel="0" collapsed="false">
      <c r="A848" s="5" t="s">
        <v>3096</v>
      </c>
    </row>
    <row r="849" customFormat="false" ht="12.75" hidden="false" customHeight="true" outlineLevel="0" collapsed="false">
      <c r="A849" s="5" t="n">
        <v>0.01</v>
      </c>
    </row>
    <row r="850" customFormat="false" ht="12.75" hidden="false" customHeight="true" outlineLevel="0" collapsed="false">
      <c r="A850" s="5" t="s">
        <v>3096</v>
      </c>
    </row>
    <row r="851" customFormat="false" ht="12.75" hidden="false" customHeight="true" outlineLevel="0" collapsed="false">
      <c r="A851" s="5" t="s">
        <v>3096</v>
      </c>
    </row>
    <row r="852" customFormat="false" ht="12.75" hidden="false" customHeight="true" outlineLevel="0" collapsed="false">
      <c r="A852" s="5" t="s">
        <v>3982</v>
      </c>
    </row>
    <row r="853" customFormat="false" ht="12.75" hidden="false" customHeight="true" outlineLevel="0" collapsed="false">
      <c r="A853" s="5" t="s">
        <v>3983</v>
      </c>
    </row>
    <row r="854" customFormat="false" ht="12.75" hidden="false" customHeight="true" outlineLevel="0" collapsed="false">
      <c r="A854" s="5" t="s">
        <v>3000</v>
      </c>
    </row>
    <row r="855" customFormat="false" ht="12.75" hidden="false" customHeight="true" outlineLevel="0" collapsed="false">
      <c r="A855" s="5" t="s">
        <v>3001</v>
      </c>
    </row>
    <row r="856" customFormat="false" ht="12.75" hidden="false" customHeight="true" outlineLevel="0" collapsed="false">
      <c r="A856" s="5" t="s">
        <v>3002</v>
      </c>
    </row>
    <row r="857" customFormat="false" ht="12.75" hidden="false" customHeight="true" outlineLevel="0" collapsed="false">
      <c r="A857" s="5" t="s">
        <v>3233</v>
      </c>
    </row>
    <row r="858" customFormat="false" ht="12.75" hidden="false" customHeight="true" outlineLevel="0" collapsed="false">
      <c r="A858" s="5" t="s">
        <v>2536</v>
      </c>
    </row>
    <row r="859" customFormat="false" ht="12.75" hidden="false" customHeight="true" outlineLevel="0" collapsed="false">
      <c r="A859" s="5" t="s">
        <v>213</v>
      </c>
    </row>
    <row r="860" customFormat="false" ht="12.75" hidden="false" customHeight="true" outlineLevel="0" collapsed="false">
      <c r="A860" s="5" t="n">
        <v>0.2</v>
      </c>
    </row>
    <row r="861" customFormat="false" ht="12.75" hidden="false" customHeight="true" outlineLevel="0" collapsed="false">
      <c r="A861" s="5" t="s">
        <v>1507</v>
      </c>
    </row>
    <row r="862" customFormat="false" ht="12.75" hidden="false" customHeight="true" outlineLevel="0" collapsed="false">
      <c r="A862" s="5" t="s">
        <v>3072</v>
      </c>
    </row>
    <row r="863" customFormat="false" ht="12.75" hidden="false" customHeight="true" outlineLevel="0" collapsed="false">
      <c r="A863" s="5" t="n">
        <v>0.1</v>
      </c>
    </row>
    <row r="864" customFormat="false" ht="12.75" hidden="false" customHeight="true" outlineLevel="0" collapsed="false">
      <c r="A864" s="5" t="s">
        <v>3080</v>
      </c>
    </row>
    <row r="865" customFormat="false" ht="12.75" hidden="false" customHeight="true" outlineLevel="0" collapsed="false">
      <c r="A865" s="5" t="s">
        <v>3081</v>
      </c>
    </row>
    <row r="866" customFormat="false" ht="12.75" hidden="false" customHeight="true" outlineLevel="0" collapsed="false">
      <c r="A866" s="5" t="s">
        <v>3082</v>
      </c>
    </row>
    <row r="867" customFormat="false" ht="12.75" hidden="false" customHeight="true" outlineLevel="0" collapsed="false">
      <c r="A867" s="5" t="s">
        <v>3083</v>
      </c>
    </row>
    <row r="868" customFormat="false" ht="12.75" hidden="false" customHeight="true" outlineLevel="0" collapsed="false">
      <c r="A868" s="5" t="n">
        <v>0.05</v>
      </c>
    </row>
    <row r="869" customFormat="false" ht="12.75" hidden="false" customHeight="true" outlineLevel="0" collapsed="false">
      <c r="A869" s="5" t="s">
        <v>3084</v>
      </c>
    </row>
    <row r="870" customFormat="false" ht="12.75" hidden="false" customHeight="true" outlineLevel="0" collapsed="false">
      <c r="A870" s="5" t="s">
        <v>3085</v>
      </c>
    </row>
    <row r="871" customFormat="false" ht="12.75" hidden="false" customHeight="true" outlineLevel="0" collapsed="false">
      <c r="A871" s="5" t="n">
        <v>0.04</v>
      </c>
    </row>
    <row r="872" customFormat="false" ht="12.75" hidden="false" customHeight="true" outlineLevel="0" collapsed="false">
      <c r="A872" s="5" t="s">
        <v>3086</v>
      </c>
    </row>
    <row r="873" customFormat="false" ht="12.75" hidden="false" customHeight="true" outlineLevel="0" collapsed="false">
      <c r="A873" s="5" t="s">
        <v>3087</v>
      </c>
    </row>
    <row r="874" customFormat="false" ht="12.75" hidden="false" customHeight="true" outlineLevel="0" collapsed="false">
      <c r="A874" s="5" t="n">
        <v>0.01</v>
      </c>
    </row>
    <row r="875" customFormat="false" ht="12.75" hidden="false" customHeight="true" outlineLevel="0" collapsed="false">
      <c r="A875" s="5" t="s">
        <v>3086</v>
      </c>
    </row>
    <row r="876" customFormat="false" ht="12.75" hidden="false" customHeight="true" outlineLevel="0" collapsed="false">
      <c r="A876" s="5" t="s">
        <v>3087</v>
      </c>
    </row>
    <row r="877" customFormat="false" ht="12.75" hidden="false" customHeight="true" outlineLevel="0" collapsed="false">
      <c r="A877" s="5" t="s">
        <v>2536</v>
      </c>
    </row>
    <row r="878" customFormat="false" ht="12.75" hidden="false" customHeight="true" outlineLevel="0" collapsed="false">
      <c r="A878" s="5" t="s">
        <v>219</v>
      </c>
    </row>
    <row r="879" customFormat="false" ht="12.75" hidden="false" customHeight="true" outlineLevel="0" collapsed="false">
      <c r="A879" s="5" t="n">
        <v>0.2</v>
      </c>
    </row>
    <row r="880" customFormat="false" ht="12.75" hidden="false" customHeight="true" outlineLevel="0" collapsed="false">
      <c r="A880" s="5" t="s">
        <v>1529</v>
      </c>
    </row>
    <row r="881" customFormat="false" ht="12.75" hidden="false" customHeight="true" outlineLevel="0" collapsed="false">
      <c r="A881" s="5" t="s">
        <v>3099</v>
      </c>
    </row>
    <row r="882" customFormat="false" ht="12.75" hidden="false" customHeight="true" outlineLevel="0" collapsed="false">
      <c r="A882" s="5" t="n">
        <v>0.1</v>
      </c>
    </row>
    <row r="883" customFormat="false" ht="12.75" hidden="false" customHeight="true" outlineLevel="0" collapsed="false">
      <c r="A883" s="5" t="s">
        <v>3092</v>
      </c>
    </row>
    <row r="884" customFormat="false" ht="12.75" hidden="false" customHeight="true" outlineLevel="0" collapsed="false">
      <c r="A884" s="5" t="s">
        <v>1518</v>
      </c>
    </row>
    <row r="885" customFormat="false" ht="12.75" hidden="false" customHeight="true" outlineLevel="0" collapsed="false">
      <c r="A885" s="5" t="s">
        <v>3094</v>
      </c>
    </row>
    <row r="886" customFormat="false" ht="12.75" hidden="false" customHeight="true" outlineLevel="0" collapsed="false">
      <c r="A886" s="5" t="s">
        <v>3090</v>
      </c>
    </row>
    <row r="887" customFormat="false" ht="12.75" hidden="false" customHeight="true" outlineLevel="0" collapsed="false">
      <c r="A887" s="5" t="n">
        <v>0.05</v>
      </c>
    </row>
    <row r="888" customFormat="false" ht="12.75" hidden="false" customHeight="true" outlineLevel="0" collapsed="false">
      <c r="A888" s="5" t="s">
        <v>1541</v>
      </c>
    </row>
    <row r="889" customFormat="false" ht="12.75" hidden="false" customHeight="true" outlineLevel="0" collapsed="false">
      <c r="A889" s="5" t="s">
        <v>3096</v>
      </c>
    </row>
    <row r="890" customFormat="false" ht="12.75" hidden="false" customHeight="true" outlineLevel="0" collapsed="false">
      <c r="A890" s="5" t="n">
        <v>0.04</v>
      </c>
    </row>
    <row r="891" customFormat="false" ht="12.75" hidden="false" customHeight="true" outlineLevel="0" collapsed="false">
      <c r="A891" s="5" t="s">
        <v>1550</v>
      </c>
    </row>
    <row r="892" customFormat="false" ht="12.75" hidden="false" customHeight="true" outlineLevel="0" collapsed="false">
      <c r="A892" s="5" t="s">
        <v>3100</v>
      </c>
    </row>
    <row r="893" customFormat="false" ht="12.75" hidden="false" customHeight="true" outlineLevel="0" collapsed="false">
      <c r="A893" s="5" t="n">
        <v>0.01</v>
      </c>
    </row>
    <row r="894" customFormat="false" ht="12.75" hidden="false" customHeight="true" outlineLevel="0" collapsed="false">
      <c r="A894" s="5" t="s">
        <v>1550</v>
      </c>
    </row>
    <row r="895" customFormat="false" ht="12.75" hidden="false" customHeight="true" outlineLevel="0" collapsed="false">
      <c r="A895" s="5" t="s">
        <v>3100</v>
      </c>
    </row>
    <row r="896" customFormat="false" ht="12.75" hidden="false" customHeight="true" outlineLevel="0" collapsed="false">
      <c r="A896" s="5" t="s">
        <v>3982</v>
      </c>
    </row>
    <row r="897" customFormat="false" ht="12.75" hidden="false" customHeight="true" outlineLevel="0" collapsed="false">
      <c r="A897" s="5" t="s">
        <v>3985</v>
      </c>
    </row>
    <row r="898" customFormat="false" ht="12.75" hidden="false" customHeight="true" outlineLevel="0" collapsed="false">
      <c r="A898" s="5" t="s">
        <v>3102</v>
      </c>
    </row>
    <row r="899" customFormat="false" ht="12.75" hidden="false" customHeight="true" outlineLevel="0" collapsed="false">
      <c r="A899" s="5" t="s">
        <v>3103</v>
      </c>
    </row>
    <row r="900" customFormat="false" ht="12.75" hidden="false" customHeight="true" outlineLevel="0" collapsed="false">
      <c r="A900" s="5" t="s">
        <v>3104</v>
      </c>
    </row>
    <row r="901" customFormat="false" ht="12.75" hidden="false" customHeight="true" outlineLevel="0" collapsed="false">
      <c r="A901" s="5" t="s">
        <v>3104</v>
      </c>
    </row>
    <row r="902" customFormat="false" ht="12.75" hidden="false" customHeight="true" outlineLevel="0" collapsed="false">
      <c r="A902" s="5" t="s">
        <v>2536</v>
      </c>
    </row>
    <row r="903" customFormat="false" ht="12.75" hidden="false" customHeight="true" outlineLevel="0" collapsed="false">
      <c r="A903" s="5" t="s">
        <v>221</v>
      </c>
    </row>
    <row r="904" customFormat="false" ht="12.75" hidden="false" customHeight="true" outlineLevel="0" collapsed="false">
      <c r="A904" s="5" t="n">
        <v>0.2</v>
      </c>
    </row>
    <row r="905" customFormat="false" ht="12.75" hidden="false" customHeight="true" outlineLevel="0" collapsed="false">
      <c r="A905" s="5" t="s">
        <v>1541</v>
      </c>
    </row>
    <row r="906" customFormat="false" ht="12.75" hidden="false" customHeight="true" outlineLevel="0" collapsed="false">
      <c r="A906" s="5" t="s">
        <v>1529</v>
      </c>
    </row>
    <row r="907" customFormat="false" ht="12.75" hidden="false" customHeight="true" outlineLevel="0" collapsed="false">
      <c r="A907" s="5" t="n">
        <v>0.1</v>
      </c>
    </row>
    <row r="908" customFormat="false" ht="12.75" hidden="false" customHeight="true" outlineLevel="0" collapsed="false">
      <c r="A908" s="5" t="s">
        <v>1518</v>
      </c>
    </row>
    <row r="909" customFormat="false" ht="12.75" hidden="false" customHeight="true" outlineLevel="0" collapsed="false">
      <c r="A909" s="5" t="s">
        <v>1550</v>
      </c>
    </row>
    <row r="910" customFormat="false" ht="12.75" hidden="false" customHeight="true" outlineLevel="0" collapsed="false">
      <c r="A910" s="5" t="s">
        <v>3107</v>
      </c>
    </row>
    <row r="911" customFormat="false" ht="12.75" hidden="false" customHeight="true" outlineLevel="0" collapsed="false">
      <c r="A911" s="5" t="s">
        <v>1556</v>
      </c>
    </row>
    <row r="912" customFormat="false" ht="12.75" hidden="false" customHeight="true" outlineLevel="0" collapsed="false">
      <c r="A912" s="5" t="n">
        <v>0.05</v>
      </c>
    </row>
    <row r="913" customFormat="false" ht="12.75" hidden="false" customHeight="true" outlineLevel="0" collapsed="false">
      <c r="A913" s="5" t="s">
        <v>3108</v>
      </c>
    </row>
    <row r="914" customFormat="false" ht="12.75" hidden="false" customHeight="true" outlineLevel="0" collapsed="false">
      <c r="A914" s="5" t="s">
        <v>3109</v>
      </c>
    </row>
    <row r="915" customFormat="false" ht="12.75" hidden="false" customHeight="true" outlineLevel="0" collapsed="false">
      <c r="A915" s="5" t="n">
        <v>0.04</v>
      </c>
    </row>
    <row r="916" customFormat="false" ht="12.75" hidden="false" customHeight="true" outlineLevel="0" collapsed="false">
      <c r="A916" s="5" t="s">
        <v>3108</v>
      </c>
    </row>
    <row r="917" customFormat="false" ht="12.75" hidden="false" customHeight="true" outlineLevel="0" collapsed="false">
      <c r="A917" s="5" t="s">
        <v>3110</v>
      </c>
    </row>
    <row r="918" customFormat="false" ht="12.75" hidden="false" customHeight="true" outlineLevel="0" collapsed="false">
      <c r="A918" s="5" t="n">
        <v>0.01</v>
      </c>
    </row>
    <row r="919" customFormat="false" ht="12.75" hidden="false" customHeight="true" outlineLevel="0" collapsed="false">
      <c r="A919" s="5" t="s">
        <v>3108</v>
      </c>
    </row>
    <row r="920" customFormat="false" ht="12.75" hidden="false" customHeight="true" outlineLevel="0" collapsed="false">
      <c r="A920" s="5" t="s">
        <v>3110</v>
      </c>
    </row>
    <row r="921" customFormat="false" ht="12.75" hidden="false" customHeight="true" outlineLevel="0" collapsed="false">
      <c r="A921" s="5" t="s">
        <v>3982</v>
      </c>
    </row>
    <row r="922" customFormat="false" ht="12.75" hidden="false" customHeight="true" outlineLevel="0" collapsed="false">
      <c r="A922" s="5" t="s">
        <v>3985</v>
      </c>
    </row>
    <row r="923" customFormat="false" ht="12.75" hidden="false" customHeight="true" outlineLevel="0" collapsed="false">
      <c r="A923" s="5" t="s">
        <v>3102</v>
      </c>
    </row>
    <row r="924" customFormat="false" ht="12.75" hidden="false" customHeight="true" outlineLevel="0" collapsed="false">
      <c r="A924" s="5" t="s">
        <v>3103</v>
      </c>
    </row>
    <row r="925" customFormat="false" ht="12.75" hidden="false" customHeight="true" outlineLevel="0" collapsed="false">
      <c r="A925" s="5" t="s">
        <v>3104</v>
      </c>
    </row>
    <row r="926" customFormat="false" ht="12.75" hidden="false" customHeight="true" outlineLevel="0" collapsed="false">
      <c r="A926" s="5" t="s">
        <v>3104</v>
      </c>
    </row>
    <row r="927" customFormat="false" ht="12.75" hidden="false" customHeight="true" outlineLevel="0" collapsed="false">
      <c r="A927" s="5" t="s">
        <v>2536</v>
      </c>
    </row>
    <row r="928" customFormat="false" ht="12.75" hidden="false" customHeight="true" outlineLevel="0" collapsed="false">
      <c r="A928" s="5" t="s">
        <v>223</v>
      </c>
    </row>
    <row r="929" customFormat="false" ht="12.75" hidden="false" customHeight="true" outlineLevel="0" collapsed="false">
      <c r="A929" s="5" t="n">
        <v>0.2</v>
      </c>
    </row>
    <row r="930" customFormat="false" ht="12.75" hidden="false" customHeight="true" outlineLevel="0" collapsed="false">
      <c r="A930" s="5" t="s">
        <v>1550</v>
      </c>
    </row>
    <row r="931" customFormat="false" ht="12.75" hidden="false" customHeight="true" outlineLevel="0" collapsed="false">
      <c r="A931" s="5" t="s">
        <v>1556</v>
      </c>
    </row>
    <row r="932" customFormat="false" ht="12.75" hidden="false" customHeight="true" outlineLevel="0" collapsed="false">
      <c r="A932" s="5" t="n">
        <v>0.1</v>
      </c>
    </row>
    <row r="933" customFormat="false" ht="12.75" hidden="false" customHeight="true" outlineLevel="0" collapsed="false">
      <c r="A933" s="5" t="s">
        <v>3108</v>
      </c>
    </row>
    <row r="934" customFormat="false" ht="12.75" hidden="false" customHeight="true" outlineLevel="0" collapsed="false">
      <c r="A934" s="5" t="s">
        <v>3107</v>
      </c>
    </row>
    <row r="935" customFormat="false" ht="12.75" hidden="false" customHeight="true" outlineLevel="0" collapsed="false">
      <c r="A935" s="5" t="s">
        <v>3109</v>
      </c>
    </row>
    <row r="936" customFormat="false" ht="12.75" hidden="false" customHeight="true" outlineLevel="0" collapsed="false">
      <c r="A936" s="5" t="s">
        <v>3110</v>
      </c>
    </row>
    <row r="937" customFormat="false" ht="12.75" hidden="false" customHeight="true" outlineLevel="0" collapsed="false">
      <c r="A937" s="5" t="n">
        <v>0.05</v>
      </c>
    </row>
    <row r="938" customFormat="false" ht="12.75" hidden="false" customHeight="true" outlineLevel="0" collapsed="false">
      <c r="A938" s="5" t="s">
        <v>3112</v>
      </c>
    </row>
    <row r="939" customFormat="false" ht="12.75" hidden="false" customHeight="true" outlineLevel="0" collapsed="false">
      <c r="A939" s="5" t="s">
        <v>3113</v>
      </c>
    </row>
    <row r="940" customFormat="false" ht="12.75" hidden="false" customHeight="true" outlineLevel="0" collapsed="false">
      <c r="A940" s="5" t="n">
        <v>0.04</v>
      </c>
    </row>
    <row r="941" customFormat="false" ht="12.75" hidden="false" customHeight="true" outlineLevel="0" collapsed="false">
      <c r="A941" s="5" t="s">
        <v>3112</v>
      </c>
    </row>
    <row r="942" customFormat="false" ht="12.75" hidden="false" customHeight="true" outlineLevel="0" collapsed="false">
      <c r="A942" s="5" t="s">
        <v>3114</v>
      </c>
    </row>
    <row r="943" customFormat="false" ht="12.75" hidden="false" customHeight="true" outlineLevel="0" collapsed="false">
      <c r="A943" s="5" t="n">
        <v>0.01</v>
      </c>
    </row>
    <row r="944" customFormat="false" ht="12.75" hidden="false" customHeight="true" outlineLevel="0" collapsed="false">
      <c r="A944" s="5" t="s">
        <v>3112</v>
      </c>
    </row>
    <row r="945" customFormat="false" ht="12.75" hidden="false" customHeight="true" outlineLevel="0" collapsed="false">
      <c r="A945" s="5" t="s">
        <v>3114</v>
      </c>
    </row>
    <row r="946" customFormat="false" ht="12.75" hidden="false" customHeight="true" outlineLevel="0" collapsed="false">
      <c r="A946" s="5" t="s">
        <v>3982</v>
      </c>
    </row>
    <row r="947" customFormat="false" ht="12.75" hidden="false" customHeight="true" outlineLevel="0" collapsed="false">
      <c r="A947" s="5" t="s">
        <v>3985</v>
      </c>
    </row>
    <row r="948" customFormat="false" ht="12.75" hidden="false" customHeight="true" outlineLevel="0" collapsed="false">
      <c r="A948" s="5" t="s">
        <v>3102</v>
      </c>
    </row>
    <row r="949" customFormat="false" ht="12.75" hidden="false" customHeight="true" outlineLevel="0" collapsed="false">
      <c r="A949" s="5" t="s">
        <v>3103</v>
      </c>
    </row>
    <row r="950" customFormat="false" ht="12.75" hidden="false" customHeight="true" outlineLevel="0" collapsed="false">
      <c r="A950" s="5" t="s">
        <v>3104</v>
      </c>
    </row>
    <row r="951" customFormat="false" ht="12.75" hidden="false" customHeight="true" outlineLevel="0" collapsed="false">
      <c r="A951" s="5" t="s">
        <v>3104</v>
      </c>
    </row>
    <row r="952" customFormat="false" ht="12.75" hidden="false" customHeight="true" outlineLevel="0" collapsed="false">
      <c r="A952" s="5" t="s">
        <v>2536</v>
      </c>
    </row>
    <row r="953" customFormat="false" ht="12.75" hidden="false" customHeight="true" outlineLevel="0" collapsed="false">
      <c r="A953" s="5" t="s">
        <v>225</v>
      </c>
    </row>
    <row r="954" customFormat="false" ht="12.75" hidden="false" customHeight="true" outlineLevel="0" collapsed="false">
      <c r="A954" s="5" t="n">
        <v>0.2</v>
      </c>
    </row>
    <row r="955" customFormat="false" ht="12.75" hidden="false" customHeight="true" outlineLevel="0" collapsed="false">
      <c r="A955" s="5" t="s">
        <v>1556</v>
      </c>
    </row>
    <row r="956" customFormat="false" ht="12.75" hidden="false" customHeight="true" outlineLevel="0" collapsed="false">
      <c r="A956" s="5" t="s">
        <v>3109</v>
      </c>
    </row>
    <row r="957" customFormat="false" ht="12.75" hidden="false" customHeight="true" outlineLevel="0" collapsed="false">
      <c r="A957" s="5" t="n">
        <v>0.1</v>
      </c>
    </row>
    <row r="958" customFormat="false" ht="12.75" hidden="false" customHeight="true" outlineLevel="0" collapsed="false">
      <c r="A958" s="5" t="s">
        <v>3110</v>
      </c>
    </row>
    <row r="959" customFormat="false" ht="12.75" hidden="false" customHeight="true" outlineLevel="0" collapsed="false">
      <c r="A959" s="5" t="s">
        <v>3113</v>
      </c>
    </row>
    <row r="960" customFormat="false" ht="12.75" hidden="false" customHeight="true" outlineLevel="0" collapsed="false">
      <c r="A960" s="5" t="s">
        <v>3107</v>
      </c>
    </row>
    <row r="961" customFormat="false" ht="12.75" hidden="false" customHeight="true" outlineLevel="0" collapsed="false">
      <c r="A961" s="5" t="s">
        <v>3114</v>
      </c>
    </row>
    <row r="962" customFormat="false" ht="12.75" hidden="false" customHeight="true" outlineLevel="0" collapsed="false">
      <c r="A962" s="5" t="n">
        <v>0.05</v>
      </c>
    </row>
    <row r="963" customFormat="false" ht="12.75" hidden="false" customHeight="true" outlineLevel="0" collapsed="false">
      <c r="A963" s="5" t="s">
        <v>3116</v>
      </c>
    </row>
    <row r="964" customFormat="false" ht="12.75" hidden="false" customHeight="true" outlineLevel="0" collapsed="false">
      <c r="A964" s="5" t="s">
        <v>3117</v>
      </c>
    </row>
    <row r="965" customFormat="false" ht="12.75" hidden="false" customHeight="true" outlineLevel="0" collapsed="false">
      <c r="A965" s="5" t="n">
        <v>0.04</v>
      </c>
    </row>
    <row r="966" customFormat="false" ht="12.75" hidden="false" customHeight="true" outlineLevel="0" collapsed="false">
      <c r="A966" s="5" t="s">
        <v>3118</v>
      </c>
    </row>
    <row r="967" customFormat="false" ht="12.75" hidden="false" customHeight="true" outlineLevel="0" collapsed="false">
      <c r="A967" s="5" t="s">
        <v>3119</v>
      </c>
    </row>
    <row r="968" customFormat="false" ht="12.75" hidden="false" customHeight="true" outlineLevel="0" collapsed="false">
      <c r="A968" s="5" t="n">
        <v>0.01</v>
      </c>
    </row>
    <row r="969" customFormat="false" ht="12.75" hidden="false" customHeight="true" outlineLevel="0" collapsed="false">
      <c r="A969" s="5" t="s">
        <v>3118</v>
      </c>
    </row>
    <row r="970" customFormat="false" ht="12.75" hidden="false" customHeight="true" outlineLevel="0" collapsed="false">
      <c r="A970" s="5" t="s">
        <v>3119</v>
      </c>
    </row>
    <row r="971" customFormat="false" ht="12.75" hidden="false" customHeight="true" outlineLevel="0" collapsed="false">
      <c r="A971" s="5" t="s">
        <v>3982</v>
      </c>
    </row>
    <row r="972" customFormat="false" ht="12.75" hidden="false" customHeight="true" outlineLevel="0" collapsed="false">
      <c r="A972" s="5" t="s">
        <v>3986</v>
      </c>
    </row>
    <row r="973" customFormat="false" ht="12.75" hidden="false" customHeight="true" outlineLevel="0" collapsed="false">
      <c r="A973" s="5" t="s">
        <v>3121</v>
      </c>
    </row>
    <row r="974" customFormat="false" ht="12.75" hidden="false" customHeight="true" outlineLevel="0" collapsed="false">
      <c r="A974" s="5" t="s">
        <v>3122</v>
      </c>
    </row>
    <row r="975" customFormat="false" ht="12.75" hidden="false" customHeight="true" outlineLevel="0" collapsed="false">
      <c r="A975" s="5" t="s">
        <v>3123</v>
      </c>
    </row>
    <row r="976" customFormat="false" ht="12.75" hidden="false" customHeight="true" outlineLevel="0" collapsed="false">
      <c r="A976" s="5" t="s">
        <v>3719</v>
      </c>
    </row>
    <row r="977" customFormat="false" ht="12.75" hidden="false" customHeight="true" outlineLevel="0" collapsed="false">
      <c r="A977" s="5" t="s">
        <v>2536</v>
      </c>
    </row>
    <row r="978" customFormat="false" ht="12.75" hidden="false" customHeight="true" outlineLevel="0" collapsed="false">
      <c r="A978" s="5" t="s">
        <v>227</v>
      </c>
    </row>
    <row r="979" customFormat="false" ht="12.75" hidden="false" customHeight="true" outlineLevel="0" collapsed="false">
      <c r="A979" s="5" t="n">
        <v>0.2</v>
      </c>
    </row>
    <row r="980" customFormat="false" ht="12.75" hidden="false" customHeight="true" outlineLevel="0" collapsed="false">
      <c r="A980" s="5" t="s">
        <v>1550</v>
      </c>
    </row>
    <row r="981" customFormat="false" ht="12.75" hidden="false" customHeight="true" outlineLevel="0" collapsed="false">
      <c r="A981" s="5" t="s">
        <v>1556</v>
      </c>
    </row>
    <row r="982" customFormat="false" ht="12.75" hidden="false" customHeight="true" outlineLevel="0" collapsed="false">
      <c r="A982" s="5" t="n">
        <v>0.1</v>
      </c>
    </row>
    <row r="983" customFormat="false" ht="12.75" hidden="false" customHeight="true" outlineLevel="0" collapsed="false">
      <c r="A983" s="5" t="s">
        <v>3108</v>
      </c>
    </row>
    <row r="984" customFormat="false" ht="12.75" hidden="false" customHeight="true" outlineLevel="0" collapsed="false">
      <c r="A984" s="5" t="s">
        <v>3107</v>
      </c>
    </row>
    <row r="985" customFormat="false" ht="12.75" hidden="false" customHeight="true" outlineLevel="0" collapsed="false">
      <c r="A985" s="5" t="s">
        <v>3109</v>
      </c>
    </row>
    <row r="986" customFormat="false" ht="12.75" hidden="false" customHeight="true" outlineLevel="0" collapsed="false">
      <c r="A986" s="5" t="s">
        <v>3110</v>
      </c>
    </row>
    <row r="987" customFormat="false" ht="12.75" hidden="false" customHeight="true" outlineLevel="0" collapsed="false">
      <c r="A987" s="5" t="n">
        <v>0.05</v>
      </c>
    </row>
    <row r="988" customFormat="false" ht="12.75" hidden="false" customHeight="true" outlineLevel="0" collapsed="false">
      <c r="A988" s="5" t="s">
        <v>3112</v>
      </c>
    </row>
    <row r="989" customFormat="false" ht="12.75" hidden="false" customHeight="true" outlineLevel="0" collapsed="false">
      <c r="A989" s="5" t="s">
        <v>3113</v>
      </c>
    </row>
    <row r="990" customFormat="false" ht="12.75" hidden="false" customHeight="true" outlineLevel="0" collapsed="false">
      <c r="A990" s="5" t="n">
        <v>0.04</v>
      </c>
    </row>
    <row r="991" customFormat="false" ht="12.75" hidden="false" customHeight="true" outlineLevel="0" collapsed="false">
      <c r="A991" s="5" t="s">
        <v>3112</v>
      </c>
    </row>
    <row r="992" customFormat="false" ht="12.75" hidden="false" customHeight="true" outlineLevel="0" collapsed="false">
      <c r="A992" s="5" t="s">
        <v>3114</v>
      </c>
    </row>
    <row r="993" customFormat="false" ht="12.75" hidden="false" customHeight="true" outlineLevel="0" collapsed="false">
      <c r="A993" s="5" t="n">
        <v>0.01</v>
      </c>
    </row>
    <row r="994" customFormat="false" ht="12.75" hidden="false" customHeight="true" outlineLevel="0" collapsed="false">
      <c r="A994" s="5" t="s">
        <v>3112</v>
      </c>
    </row>
    <row r="995" customFormat="false" ht="12.75" hidden="false" customHeight="true" outlineLevel="0" collapsed="false">
      <c r="A995" s="5" t="s">
        <v>3114</v>
      </c>
    </row>
    <row r="996" customFormat="false" ht="12.75" hidden="false" customHeight="true" outlineLevel="0" collapsed="false">
      <c r="A996" s="5" t="s">
        <v>3982</v>
      </c>
    </row>
    <row r="997" customFormat="false" ht="12.75" hidden="false" customHeight="true" outlineLevel="0" collapsed="false">
      <c r="A997" s="5" t="s">
        <v>3985</v>
      </c>
    </row>
    <row r="998" customFormat="false" ht="12.75" hidden="false" customHeight="true" outlineLevel="0" collapsed="false">
      <c r="A998" s="5" t="s">
        <v>3102</v>
      </c>
    </row>
    <row r="999" customFormat="false" ht="12.75" hidden="false" customHeight="true" outlineLevel="0" collapsed="false">
      <c r="A999" s="5" t="s">
        <v>3103</v>
      </c>
    </row>
    <row r="1000" customFormat="false" ht="12.75" hidden="false" customHeight="true" outlineLevel="0" collapsed="false">
      <c r="A1000" s="5" t="s">
        <v>3104</v>
      </c>
    </row>
    <row r="1001" customFormat="false" ht="12.75" hidden="false" customHeight="true" outlineLevel="0" collapsed="false">
      <c r="A1001" s="5" t="s">
        <v>3104</v>
      </c>
    </row>
    <row r="1002" customFormat="false" ht="12.75" hidden="false" customHeight="true" outlineLevel="0" collapsed="false">
      <c r="A1002" s="5" t="s">
        <v>2536</v>
      </c>
    </row>
    <row r="1003" customFormat="false" ht="12.75" hidden="false" customHeight="true" outlineLevel="0" collapsed="false">
      <c r="A1003" s="5" t="s">
        <v>229</v>
      </c>
    </row>
    <row r="1004" customFormat="false" ht="12.75" hidden="false" customHeight="true" outlineLevel="0" collapsed="false">
      <c r="A1004" s="5" t="n">
        <v>0.2</v>
      </c>
    </row>
    <row r="1005" customFormat="false" ht="12.75" hidden="false" customHeight="true" outlineLevel="0" collapsed="false">
      <c r="A1005" s="5" t="s">
        <v>1541</v>
      </c>
    </row>
    <row r="1006" customFormat="false" ht="12.75" hidden="false" customHeight="true" outlineLevel="0" collapsed="false">
      <c r="A1006" s="5" t="s">
        <v>1529</v>
      </c>
    </row>
    <row r="1007" customFormat="false" ht="12.75" hidden="false" customHeight="true" outlineLevel="0" collapsed="false">
      <c r="A1007" s="5" t="n">
        <v>0.1</v>
      </c>
    </row>
    <row r="1008" customFormat="false" ht="12.75" hidden="false" customHeight="true" outlineLevel="0" collapsed="false">
      <c r="A1008" s="5" t="s">
        <v>1518</v>
      </c>
    </row>
    <row r="1009" customFormat="false" ht="12.75" hidden="false" customHeight="true" outlineLevel="0" collapsed="false">
      <c r="A1009" s="5" t="s">
        <v>1550</v>
      </c>
    </row>
    <row r="1010" customFormat="false" ht="12.75" hidden="false" customHeight="true" outlineLevel="0" collapsed="false">
      <c r="A1010" s="5" t="s">
        <v>3107</v>
      </c>
    </row>
    <row r="1011" customFormat="false" ht="12.75" hidden="false" customHeight="true" outlineLevel="0" collapsed="false">
      <c r="A1011" s="5" t="s">
        <v>1556</v>
      </c>
    </row>
    <row r="1012" customFormat="false" ht="12.75" hidden="false" customHeight="true" outlineLevel="0" collapsed="false">
      <c r="A1012" s="5" t="n">
        <v>0.05</v>
      </c>
    </row>
    <row r="1013" customFormat="false" ht="12.75" hidden="false" customHeight="true" outlineLevel="0" collapsed="false">
      <c r="A1013" s="5" t="s">
        <v>3108</v>
      </c>
    </row>
    <row r="1014" customFormat="false" ht="12.75" hidden="false" customHeight="true" outlineLevel="0" collapsed="false">
      <c r="A1014" s="5" t="s">
        <v>3109</v>
      </c>
    </row>
    <row r="1015" customFormat="false" ht="12.75" hidden="false" customHeight="true" outlineLevel="0" collapsed="false">
      <c r="A1015" s="5" t="n">
        <v>0.04</v>
      </c>
    </row>
    <row r="1016" customFormat="false" ht="12.75" hidden="false" customHeight="true" outlineLevel="0" collapsed="false">
      <c r="A1016" s="5" t="s">
        <v>3108</v>
      </c>
    </row>
    <row r="1017" customFormat="false" ht="12.75" hidden="false" customHeight="true" outlineLevel="0" collapsed="false">
      <c r="A1017" s="5" t="s">
        <v>3110</v>
      </c>
    </row>
    <row r="1018" customFormat="false" ht="12.75" hidden="false" customHeight="true" outlineLevel="0" collapsed="false">
      <c r="A1018" s="5" t="n">
        <v>0.01</v>
      </c>
    </row>
    <row r="1019" customFormat="false" ht="12.75" hidden="false" customHeight="true" outlineLevel="0" collapsed="false">
      <c r="A1019" s="5" t="s">
        <v>3108</v>
      </c>
    </row>
    <row r="1020" customFormat="false" ht="12.75" hidden="false" customHeight="true" outlineLevel="0" collapsed="false">
      <c r="A1020" s="5" t="s">
        <v>3110</v>
      </c>
    </row>
    <row r="1021" customFormat="false" ht="12.75" hidden="false" customHeight="true" outlineLevel="0" collapsed="false">
      <c r="A1021" s="5" t="s">
        <v>3982</v>
      </c>
    </row>
    <row r="1022" customFormat="false" ht="12.75" hidden="false" customHeight="true" outlineLevel="0" collapsed="false">
      <c r="A1022" s="5" t="s">
        <v>3985</v>
      </c>
    </row>
    <row r="1023" customFormat="false" ht="12.75" hidden="false" customHeight="true" outlineLevel="0" collapsed="false">
      <c r="A1023" s="5" t="s">
        <v>3102</v>
      </c>
    </row>
    <row r="1024" customFormat="false" ht="12.75" hidden="false" customHeight="true" outlineLevel="0" collapsed="false">
      <c r="A1024" s="5" t="s">
        <v>3103</v>
      </c>
    </row>
    <row r="1025" customFormat="false" ht="12.75" hidden="false" customHeight="true" outlineLevel="0" collapsed="false">
      <c r="A1025" s="5" t="s">
        <v>3104</v>
      </c>
    </row>
    <row r="1026" customFormat="false" ht="12.75" hidden="false" customHeight="true" outlineLevel="0" collapsed="false">
      <c r="A1026" s="5" t="s">
        <v>3104</v>
      </c>
    </row>
    <row r="1027" customFormat="false" ht="12.75" hidden="false" customHeight="true" outlineLevel="0" collapsed="false">
      <c r="A1027" s="5" t="s">
        <v>2536</v>
      </c>
    </row>
    <row r="1028" customFormat="false" ht="12.75" hidden="false" customHeight="true" outlineLevel="0" collapsed="false">
      <c r="A1028" s="5" t="s">
        <v>231</v>
      </c>
    </row>
    <row r="1029" customFormat="false" ht="12.75" hidden="false" customHeight="true" outlineLevel="0" collapsed="false">
      <c r="A1029" s="5" t="n">
        <v>0.2</v>
      </c>
    </row>
    <row r="1030" customFormat="false" ht="12.75" hidden="false" customHeight="true" outlineLevel="0" collapsed="false">
      <c r="A1030" s="5" t="s">
        <v>1569</v>
      </c>
    </row>
    <row r="1031" customFormat="false" ht="12.75" hidden="false" customHeight="true" outlineLevel="0" collapsed="false">
      <c r="A1031" s="5" t="s">
        <v>3128</v>
      </c>
    </row>
    <row r="1032" customFormat="false" ht="12.75" hidden="false" customHeight="true" outlineLevel="0" collapsed="false">
      <c r="A1032" s="5" t="n">
        <v>0.1</v>
      </c>
    </row>
    <row r="1033" customFormat="false" ht="12.75" hidden="false" customHeight="true" outlineLevel="0" collapsed="false">
      <c r="A1033" s="5" t="s">
        <v>1695</v>
      </c>
    </row>
    <row r="1034" customFormat="false" ht="12.75" hidden="false" customHeight="true" outlineLevel="0" collapsed="false">
      <c r="A1034" s="5" t="s">
        <v>3129</v>
      </c>
    </row>
    <row r="1035" customFormat="false" ht="12.75" hidden="false" customHeight="true" outlineLevel="0" collapsed="false">
      <c r="A1035" s="5" t="s">
        <v>3130</v>
      </c>
    </row>
    <row r="1036" customFormat="false" ht="12.75" hidden="false" customHeight="true" outlineLevel="0" collapsed="false">
      <c r="A1036" s="5" t="s">
        <v>3131</v>
      </c>
    </row>
    <row r="1037" customFormat="false" ht="12.75" hidden="false" customHeight="true" outlineLevel="0" collapsed="false">
      <c r="A1037" s="5" t="n">
        <v>0.05</v>
      </c>
    </row>
    <row r="1038" customFormat="false" ht="12.75" hidden="false" customHeight="true" outlineLevel="0" collapsed="false">
      <c r="A1038" s="5" t="s">
        <v>3132</v>
      </c>
    </row>
    <row r="1039" customFormat="false" ht="12.75" hidden="false" customHeight="true" outlineLevel="0" collapsed="false">
      <c r="A1039" s="5" t="s">
        <v>3133</v>
      </c>
    </row>
    <row r="1040" customFormat="false" ht="12.75" hidden="false" customHeight="true" outlineLevel="0" collapsed="false">
      <c r="A1040" s="5" t="n">
        <v>0.04</v>
      </c>
    </row>
    <row r="1041" customFormat="false" ht="12.75" hidden="false" customHeight="true" outlineLevel="0" collapsed="false">
      <c r="A1041" s="5" t="s">
        <v>3134</v>
      </c>
    </row>
    <row r="1042" customFormat="false" ht="12.75" hidden="false" customHeight="true" outlineLevel="0" collapsed="false">
      <c r="A1042" s="5" t="s">
        <v>3135</v>
      </c>
    </row>
    <row r="1043" customFormat="false" ht="12.75" hidden="false" customHeight="true" outlineLevel="0" collapsed="false">
      <c r="A1043" s="5" t="n">
        <v>0.01</v>
      </c>
    </row>
    <row r="1044" customFormat="false" ht="12.75" hidden="false" customHeight="true" outlineLevel="0" collapsed="false">
      <c r="A1044" s="5" t="s">
        <v>3136</v>
      </c>
    </row>
    <row r="1045" customFormat="false" ht="12.75" hidden="false" customHeight="true" outlineLevel="0" collapsed="false">
      <c r="A1045" s="5" t="s">
        <v>3137</v>
      </c>
    </row>
    <row r="1046" customFormat="false" ht="12.75" hidden="false" customHeight="true" outlineLevel="0" collapsed="false">
      <c r="A1046" s="5" t="s">
        <v>3980</v>
      </c>
    </row>
    <row r="1047" customFormat="false" ht="12.75" hidden="false" customHeight="true" outlineLevel="0" collapsed="false">
      <c r="A1047" s="5" t="s">
        <v>3987</v>
      </c>
    </row>
    <row r="1048" customFormat="false" ht="12.75" hidden="false" customHeight="true" outlineLevel="0" collapsed="false">
      <c r="A1048" s="5" t="s">
        <v>3139</v>
      </c>
    </row>
    <row r="1049" customFormat="false" ht="12.75" hidden="false" customHeight="true" outlineLevel="0" collapsed="false">
      <c r="A1049" s="5" t="s">
        <v>3140</v>
      </c>
    </row>
    <row r="1050" customFormat="false" ht="12.75" hidden="false" customHeight="true" outlineLevel="0" collapsed="false">
      <c r="A1050" s="5" t="s">
        <v>3141</v>
      </c>
    </row>
    <row r="1051" customFormat="false" ht="12.75" hidden="false" customHeight="true" outlineLevel="0" collapsed="false">
      <c r="A1051" s="5" t="s">
        <v>3141</v>
      </c>
    </row>
    <row r="1052" customFormat="false" ht="12.75" hidden="false" customHeight="true" outlineLevel="0" collapsed="false">
      <c r="A1052" s="5" t="s">
        <v>3977</v>
      </c>
    </row>
    <row r="1053" customFormat="false" ht="12.75" hidden="false" customHeight="true" outlineLevel="0" collapsed="false">
      <c r="A1053" s="5" t="s">
        <v>1266</v>
      </c>
    </row>
    <row r="1054" customFormat="false" ht="12.75" hidden="false" customHeight="true" outlineLevel="0" collapsed="false">
      <c r="A1054" s="5" t="s">
        <v>1266</v>
      </c>
    </row>
    <row r="1055" customFormat="false" ht="12.75" hidden="false" customHeight="true" outlineLevel="0" collapsed="false">
      <c r="A1055" s="5" t="s">
        <v>3978</v>
      </c>
    </row>
    <row r="1056" customFormat="false" ht="12.75" hidden="false" customHeight="true" outlineLevel="0" collapsed="false">
      <c r="A1056" s="5" t="s">
        <v>3142</v>
      </c>
    </row>
    <row r="1057" customFormat="false" ht="12.75" hidden="false" customHeight="true" outlineLevel="0" collapsed="false">
      <c r="A1057" s="5" t="s">
        <v>2848</v>
      </c>
    </row>
    <row r="1058" customFormat="false" ht="12.75" hidden="false" customHeight="true" outlineLevel="0" collapsed="false">
      <c r="A1058" s="5" t="s">
        <v>3143</v>
      </c>
    </row>
    <row r="1059" customFormat="false" ht="12.75" hidden="false" customHeight="true" outlineLevel="0" collapsed="false">
      <c r="A1059" s="5" t="s">
        <v>3979</v>
      </c>
    </row>
    <row r="1060" customFormat="false" ht="12.75" hidden="false" customHeight="true" outlineLevel="0" collapsed="false">
      <c r="A1060" s="5" t="s">
        <v>3144</v>
      </c>
    </row>
    <row r="1061" customFormat="false" ht="12.75" hidden="false" customHeight="true" outlineLevel="0" collapsed="false">
      <c r="A1061" s="5" t="s">
        <v>3145</v>
      </c>
    </row>
    <row r="1062" customFormat="false" ht="12.75" hidden="false" customHeight="true" outlineLevel="0" collapsed="false">
      <c r="A1062" s="5" t="s">
        <v>2853</v>
      </c>
    </row>
    <row r="1063" customFormat="false" ht="12.75" hidden="false" customHeight="true" outlineLevel="0" collapsed="false">
      <c r="A1063" s="5" t="s">
        <v>3146</v>
      </c>
    </row>
    <row r="1064" customFormat="false" ht="12.75" hidden="false" customHeight="true" outlineLevel="0" collapsed="false">
      <c r="A1064" s="5" t="s">
        <v>2855</v>
      </c>
    </row>
    <row r="1065" customFormat="false" ht="12.75" hidden="false" customHeight="true" outlineLevel="0" collapsed="false">
      <c r="A1065" s="5" t="s">
        <v>2536</v>
      </c>
    </row>
    <row r="1066" customFormat="false" ht="12.75" hidden="false" customHeight="true" outlineLevel="0" collapsed="false">
      <c r="A1066" s="5" t="s">
        <v>233</v>
      </c>
    </row>
    <row r="1067" customFormat="false" ht="12.75" hidden="false" customHeight="true" outlineLevel="0" collapsed="false">
      <c r="A1067" s="5" t="n">
        <v>0.2</v>
      </c>
    </row>
    <row r="1068" customFormat="false" ht="12.75" hidden="false" customHeight="true" outlineLevel="0" collapsed="false">
      <c r="A1068" s="5" t="s">
        <v>1591</v>
      </c>
    </row>
    <row r="1069" customFormat="false" ht="12.75" hidden="false" customHeight="true" outlineLevel="0" collapsed="false">
      <c r="A1069" s="5" t="s">
        <v>3148</v>
      </c>
    </row>
    <row r="1070" customFormat="false" ht="12.75" hidden="false" customHeight="true" outlineLevel="0" collapsed="false">
      <c r="A1070" s="5" t="n">
        <v>0.1</v>
      </c>
    </row>
    <row r="1071" customFormat="false" ht="12.75" hidden="false" customHeight="true" outlineLevel="0" collapsed="false">
      <c r="A1071" s="5" t="s">
        <v>3149</v>
      </c>
    </row>
    <row r="1072" customFormat="false" ht="12.75" hidden="false" customHeight="true" outlineLevel="0" collapsed="false">
      <c r="A1072" s="5" t="s">
        <v>3150</v>
      </c>
    </row>
    <row r="1073" customFormat="false" ht="12.75" hidden="false" customHeight="true" outlineLevel="0" collapsed="false">
      <c r="A1073" s="5" t="s">
        <v>3151</v>
      </c>
    </row>
    <row r="1074" customFormat="false" ht="12.75" hidden="false" customHeight="true" outlineLevel="0" collapsed="false">
      <c r="A1074" s="5" t="s">
        <v>3152</v>
      </c>
    </row>
    <row r="1075" customFormat="false" ht="12.75" hidden="false" customHeight="true" outlineLevel="0" collapsed="false">
      <c r="A1075" s="5" t="n">
        <v>0.05</v>
      </c>
    </row>
    <row r="1076" customFormat="false" ht="12.75" hidden="false" customHeight="true" outlineLevel="0" collapsed="false">
      <c r="A1076" s="5" t="s">
        <v>3153</v>
      </c>
    </row>
    <row r="1077" customFormat="false" ht="12.75" hidden="false" customHeight="true" outlineLevel="0" collapsed="false">
      <c r="A1077" s="5" t="s">
        <v>3154</v>
      </c>
    </row>
    <row r="1078" customFormat="false" ht="12.75" hidden="false" customHeight="true" outlineLevel="0" collapsed="false">
      <c r="A1078" s="5" t="n">
        <v>0.04</v>
      </c>
    </row>
    <row r="1079" customFormat="false" ht="12.75" hidden="false" customHeight="true" outlineLevel="0" collapsed="false">
      <c r="A1079" s="5" t="s">
        <v>3155</v>
      </c>
    </row>
    <row r="1080" customFormat="false" ht="12.75" hidden="false" customHeight="true" outlineLevel="0" collapsed="false">
      <c r="A1080" s="5" t="s">
        <v>3156</v>
      </c>
    </row>
    <row r="1081" customFormat="false" ht="12.75" hidden="false" customHeight="true" outlineLevel="0" collapsed="false">
      <c r="A1081" s="5" t="n">
        <v>0.01</v>
      </c>
    </row>
    <row r="1082" customFormat="false" ht="12.75" hidden="false" customHeight="true" outlineLevel="0" collapsed="false">
      <c r="A1082" s="5" t="s">
        <v>3155</v>
      </c>
    </row>
    <row r="1083" customFormat="false" ht="12.75" hidden="false" customHeight="true" outlineLevel="0" collapsed="false">
      <c r="A1083" s="5" t="s">
        <v>3156</v>
      </c>
    </row>
    <row r="1084" customFormat="false" ht="12.75" hidden="false" customHeight="true" outlineLevel="0" collapsed="false">
      <c r="A1084" s="5" t="s">
        <v>3980</v>
      </c>
    </row>
    <row r="1085" customFormat="false" ht="12.75" hidden="false" customHeight="true" outlineLevel="0" collapsed="false">
      <c r="A1085" s="5" t="s">
        <v>3988</v>
      </c>
    </row>
    <row r="1086" customFormat="false" ht="12.75" hidden="false" customHeight="true" outlineLevel="0" collapsed="false">
      <c r="A1086" s="5" t="s">
        <v>3158</v>
      </c>
    </row>
    <row r="1087" customFormat="false" ht="12.75" hidden="false" customHeight="true" outlineLevel="0" collapsed="false">
      <c r="A1087" s="5" t="s">
        <v>3159</v>
      </c>
    </row>
    <row r="1088" customFormat="false" ht="12.75" hidden="false" customHeight="true" outlineLevel="0" collapsed="false">
      <c r="A1088" s="5" t="s">
        <v>3160</v>
      </c>
    </row>
    <row r="1089" customFormat="false" ht="12.75" hidden="false" customHeight="true" outlineLevel="0" collapsed="false">
      <c r="A1089" s="5" t="s">
        <v>3160</v>
      </c>
    </row>
    <row r="1090" customFormat="false" ht="12.75" hidden="false" customHeight="true" outlineLevel="0" collapsed="false">
      <c r="A1090" s="5" t="s">
        <v>3977</v>
      </c>
    </row>
    <row r="1091" customFormat="false" ht="12.75" hidden="false" customHeight="true" outlineLevel="0" collapsed="false">
      <c r="A1091" s="5" t="s">
        <v>1266</v>
      </c>
    </row>
    <row r="1092" customFormat="false" ht="12.75" hidden="false" customHeight="true" outlineLevel="0" collapsed="false">
      <c r="A1092" s="5" t="s">
        <v>1266</v>
      </c>
    </row>
    <row r="1093" customFormat="false" ht="12.75" hidden="false" customHeight="true" outlineLevel="0" collapsed="false">
      <c r="A1093" s="5" t="s">
        <v>3978</v>
      </c>
    </row>
    <row r="1094" customFormat="false" ht="12.75" hidden="false" customHeight="true" outlineLevel="0" collapsed="false">
      <c r="A1094" s="5" t="s">
        <v>3143</v>
      </c>
    </row>
    <row r="1095" customFormat="false" ht="12.75" hidden="false" customHeight="true" outlineLevel="0" collapsed="false">
      <c r="A1095" s="5" t="s">
        <v>2848</v>
      </c>
    </row>
    <row r="1096" customFormat="false" ht="12.75" hidden="false" customHeight="true" outlineLevel="0" collapsed="false">
      <c r="A1096" s="5" t="s">
        <v>3142</v>
      </c>
    </row>
    <row r="1097" customFormat="false" ht="12.75" hidden="false" customHeight="true" outlineLevel="0" collapsed="false">
      <c r="A1097" s="5" t="s">
        <v>3979</v>
      </c>
    </row>
    <row r="1098" customFormat="false" ht="12.75" hidden="false" customHeight="true" outlineLevel="0" collapsed="false">
      <c r="A1098" s="5" t="s">
        <v>3161</v>
      </c>
    </row>
    <row r="1099" customFormat="false" ht="12.75" hidden="false" customHeight="true" outlineLevel="0" collapsed="false">
      <c r="A1099" s="5" t="s">
        <v>3162</v>
      </c>
    </row>
    <row r="1100" customFormat="false" ht="12.75" hidden="false" customHeight="true" outlineLevel="0" collapsed="false">
      <c r="A1100" s="5" t="s">
        <v>2853</v>
      </c>
    </row>
    <row r="1101" customFormat="false" ht="12.75" hidden="false" customHeight="true" outlineLevel="0" collapsed="false">
      <c r="A1101" s="5" t="s">
        <v>3146</v>
      </c>
    </row>
    <row r="1102" customFormat="false" ht="12.75" hidden="false" customHeight="true" outlineLevel="0" collapsed="false">
      <c r="A1102" s="5" t="s">
        <v>2855</v>
      </c>
    </row>
    <row r="1103" customFormat="false" ht="12.75" hidden="false" customHeight="true" outlineLevel="0" collapsed="false">
      <c r="A1103" s="5" t="s">
        <v>2536</v>
      </c>
    </row>
    <row r="1104" customFormat="false" ht="12.75" hidden="false" customHeight="true" outlineLevel="0" collapsed="false">
      <c r="A1104" s="5" t="s">
        <v>235</v>
      </c>
    </row>
    <row r="1105" customFormat="false" ht="12.75" hidden="false" customHeight="true" outlineLevel="0" collapsed="false">
      <c r="A1105" s="5" t="n">
        <v>0.2</v>
      </c>
    </row>
    <row r="1106" customFormat="false" ht="12.75" hidden="false" customHeight="true" outlineLevel="0" collapsed="false">
      <c r="A1106" s="5" t="s">
        <v>1609</v>
      </c>
    </row>
    <row r="1107" customFormat="false" ht="12.75" hidden="false" customHeight="true" outlineLevel="0" collapsed="false">
      <c r="A1107" s="5" t="s">
        <v>3148</v>
      </c>
    </row>
    <row r="1108" customFormat="false" ht="12.75" hidden="false" customHeight="true" outlineLevel="0" collapsed="false">
      <c r="A1108" s="5" t="n">
        <v>0.1</v>
      </c>
    </row>
    <row r="1109" customFormat="false" ht="12.75" hidden="false" customHeight="true" outlineLevel="0" collapsed="false">
      <c r="A1109" s="5" t="s">
        <v>3149</v>
      </c>
    </row>
    <row r="1110" customFormat="false" ht="12.75" hidden="false" customHeight="true" outlineLevel="0" collapsed="false">
      <c r="A1110" s="5" t="s">
        <v>3164</v>
      </c>
    </row>
    <row r="1111" customFormat="false" ht="12.75" hidden="false" customHeight="true" outlineLevel="0" collapsed="false">
      <c r="A1111" s="5" t="s">
        <v>3151</v>
      </c>
    </row>
    <row r="1112" customFormat="false" ht="12.75" hidden="false" customHeight="true" outlineLevel="0" collapsed="false">
      <c r="A1112" s="5" t="s">
        <v>3165</v>
      </c>
    </row>
    <row r="1113" customFormat="false" ht="12.75" hidden="false" customHeight="true" outlineLevel="0" collapsed="false">
      <c r="A1113" s="5" t="n">
        <v>0.05</v>
      </c>
    </row>
    <row r="1114" customFormat="false" ht="12.75" hidden="false" customHeight="true" outlineLevel="0" collapsed="false">
      <c r="A1114" s="5" t="s">
        <v>3166</v>
      </c>
    </row>
    <row r="1115" customFormat="false" ht="12.75" hidden="false" customHeight="true" outlineLevel="0" collapsed="false">
      <c r="A1115" s="5" t="s">
        <v>3167</v>
      </c>
    </row>
    <row r="1116" customFormat="false" ht="12.75" hidden="false" customHeight="true" outlineLevel="0" collapsed="false">
      <c r="A1116" s="5" t="n">
        <v>0.04</v>
      </c>
    </row>
    <row r="1117" customFormat="false" ht="12.75" hidden="false" customHeight="true" outlineLevel="0" collapsed="false">
      <c r="A1117" s="5" t="s">
        <v>3155</v>
      </c>
    </row>
    <row r="1118" customFormat="false" ht="12.75" hidden="false" customHeight="true" outlineLevel="0" collapsed="false">
      <c r="A1118" s="5" t="s">
        <v>3168</v>
      </c>
    </row>
    <row r="1119" customFormat="false" ht="12.75" hidden="false" customHeight="true" outlineLevel="0" collapsed="false">
      <c r="A1119" s="5" t="n">
        <v>0.01</v>
      </c>
    </row>
    <row r="1120" customFormat="false" ht="12.75" hidden="false" customHeight="true" outlineLevel="0" collapsed="false">
      <c r="A1120" s="5" t="s">
        <v>3155</v>
      </c>
    </row>
    <row r="1121" customFormat="false" ht="12.75" hidden="false" customHeight="true" outlineLevel="0" collapsed="false">
      <c r="A1121" s="5" t="s">
        <v>3168</v>
      </c>
    </row>
    <row r="1122" customFormat="false" ht="12.75" hidden="false" customHeight="true" outlineLevel="0" collapsed="false">
      <c r="A1122" s="5" t="s">
        <v>2536</v>
      </c>
    </row>
    <row r="1123" customFormat="false" ht="12.75" hidden="false" customHeight="true" outlineLevel="0" collapsed="false">
      <c r="A1123" s="5" t="s">
        <v>237</v>
      </c>
    </row>
    <row r="1124" customFormat="false" ht="12.75" hidden="false" customHeight="true" outlineLevel="0" collapsed="false">
      <c r="A1124" s="5" t="n">
        <v>0.2</v>
      </c>
    </row>
    <row r="1125" customFormat="false" ht="12.75" hidden="false" customHeight="true" outlineLevel="0" collapsed="false">
      <c r="A1125" s="5" t="s">
        <v>1609</v>
      </c>
    </row>
    <row r="1126" customFormat="false" ht="12.75" hidden="false" customHeight="true" outlineLevel="0" collapsed="false">
      <c r="A1126" s="5" t="s">
        <v>3148</v>
      </c>
    </row>
    <row r="1127" customFormat="false" ht="12.75" hidden="false" customHeight="true" outlineLevel="0" collapsed="false">
      <c r="A1127" s="5" t="n">
        <v>0.1</v>
      </c>
    </row>
    <row r="1128" customFormat="false" ht="12.75" hidden="false" customHeight="true" outlineLevel="0" collapsed="false">
      <c r="A1128" s="5" t="s">
        <v>3149</v>
      </c>
    </row>
    <row r="1129" customFormat="false" ht="12.75" hidden="false" customHeight="true" outlineLevel="0" collapsed="false">
      <c r="A1129" s="5" t="s">
        <v>3164</v>
      </c>
    </row>
    <row r="1130" customFormat="false" ht="12.75" hidden="false" customHeight="true" outlineLevel="0" collapsed="false">
      <c r="A1130" s="5" t="s">
        <v>3151</v>
      </c>
    </row>
    <row r="1131" customFormat="false" ht="12.75" hidden="false" customHeight="true" outlineLevel="0" collapsed="false">
      <c r="A1131" s="5" t="s">
        <v>3165</v>
      </c>
    </row>
    <row r="1132" customFormat="false" ht="12.75" hidden="false" customHeight="true" outlineLevel="0" collapsed="false">
      <c r="A1132" s="5" t="n">
        <v>0.05</v>
      </c>
    </row>
    <row r="1133" customFormat="false" ht="12.75" hidden="false" customHeight="true" outlineLevel="0" collapsed="false">
      <c r="A1133" s="5" t="s">
        <v>3166</v>
      </c>
    </row>
    <row r="1134" customFormat="false" ht="12.75" hidden="false" customHeight="true" outlineLevel="0" collapsed="false">
      <c r="A1134" s="5" t="s">
        <v>3167</v>
      </c>
    </row>
    <row r="1135" customFormat="false" ht="12.75" hidden="false" customHeight="true" outlineLevel="0" collapsed="false">
      <c r="A1135" s="5" t="n">
        <v>0.04</v>
      </c>
    </row>
    <row r="1136" customFormat="false" ht="12.75" hidden="false" customHeight="true" outlineLevel="0" collapsed="false">
      <c r="A1136" s="5" t="s">
        <v>3155</v>
      </c>
    </row>
    <row r="1137" customFormat="false" ht="12.75" hidden="false" customHeight="true" outlineLevel="0" collapsed="false">
      <c r="A1137" s="5" t="s">
        <v>3168</v>
      </c>
    </row>
    <row r="1138" customFormat="false" ht="12.75" hidden="false" customHeight="true" outlineLevel="0" collapsed="false">
      <c r="A1138" s="5" t="n">
        <v>0.01</v>
      </c>
    </row>
    <row r="1139" customFormat="false" ht="12.75" hidden="false" customHeight="true" outlineLevel="0" collapsed="false">
      <c r="A1139" s="5" t="s">
        <v>3155</v>
      </c>
    </row>
    <row r="1140" customFormat="false" ht="12.75" hidden="false" customHeight="true" outlineLevel="0" collapsed="false">
      <c r="A1140" s="5" t="s">
        <v>3168</v>
      </c>
    </row>
    <row r="1141" customFormat="false" ht="12.75" hidden="false" customHeight="true" outlineLevel="0" collapsed="false">
      <c r="A1141" s="5" t="s">
        <v>2536</v>
      </c>
    </row>
    <row r="1142" customFormat="false" ht="12.75" hidden="false" customHeight="true" outlineLevel="0" collapsed="false">
      <c r="A1142" s="5" t="s">
        <v>239</v>
      </c>
    </row>
    <row r="1143" customFormat="false" ht="12.75" hidden="false" customHeight="true" outlineLevel="0" collapsed="false">
      <c r="A1143" s="5" t="n">
        <v>0.2</v>
      </c>
    </row>
    <row r="1144" customFormat="false" ht="12.75" hidden="false" customHeight="true" outlineLevel="0" collapsed="false">
      <c r="A1144" s="5" t="s">
        <v>1591</v>
      </c>
    </row>
    <row r="1145" customFormat="false" ht="12.75" hidden="false" customHeight="true" outlineLevel="0" collapsed="false">
      <c r="A1145" s="5" t="s">
        <v>3148</v>
      </c>
    </row>
    <row r="1146" customFormat="false" ht="12.75" hidden="false" customHeight="true" outlineLevel="0" collapsed="false">
      <c r="A1146" s="5" t="n">
        <v>0.1</v>
      </c>
    </row>
    <row r="1147" customFormat="false" ht="12.75" hidden="false" customHeight="true" outlineLevel="0" collapsed="false">
      <c r="A1147" s="5" t="s">
        <v>3149</v>
      </c>
    </row>
    <row r="1148" customFormat="false" ht="12.75" hidden="false" customHeight="true" outlineLevel="0" collapsed="false">
      <c r="A1148" s="5" t="s">
        <v>3150</v>
      </c>
    </row>
    <row r="1149" customFormat="false" ht="12.75" hidden="false" customHeight="true" outlineLevel="0" collapsed="false">
      <c r="A1149" s="5" t="s">
        <v>3151</v>
      </c>
    </row>
    <row r="1150" customFormat="false" ht="12.75" hidden="false" customHeight="true" outlineLevel="0" collapsed="false">
      <c r="A1150" s="5" t="s">
        <v>3152</v>
      </c>
    </row>
    <row r="1151" customFormat="false" ht="12.75" hidden="false" customHeight="true" outlineLevel="0" collapsed="false">
      <c r="A1151" s="5" t="n">
        <v>0.05</v>
      </c>
    </row>
    <row r="1152" customFormat="false" ht="12.75" hidden="false" customHeight="true" outlineLevel="0" collapsed="false">
      <c r="A1152" s="5" t="s">
        <v>3153</v>
      </c>
    </row>
    <row r="1153" customFormat="false" ht="12.75" hidden="false" customHeight="true" outlineLevel="0" collapsed="false">
      <c r="A1153" s="5" t="s">
        <v>3154</v>
      </c>
    </row>
    <row r="1154" customFormat="false" ht="12.75" hidden="false" customHeight="true" outlineLevel="0" collapsed="false">
      <c r="A1154" s="5" t="n">
        <v>0.04</v>
      </c>
    </row>
    <row r="1155" customFormat="false" ht="12.75" hidden="false" customHeight="true" outlineLevel="0" collapsed="false">
      <c r="A1155" s="5" t="s">
        <v>3155</v>
      </c>
    </row>
    <row r="1156" customFormat="false" ht="12.75" hidden="false" customHeight="true" outlineLevel="0" collapsed="false">
      <c r="A1156" s="5" t="s">
        <v>3156</v>
      </c>
    </row>
    <row r="1157" customFormat="false" ht="12.75" hidden="false" customHeight="true" outlineLevel="0" collapsed="false">
      <c r="A1157" s="5" t="n">
        <v>0.01</v>
      </c>
    </row>
    <row r="1158" customFormat="false" ht="12.75" hidden="false" customHeight="true" outlineLevel="0" collapsed="false">
      <c r="A1158" s="5" t="s">
        <v>3155</v>
      </c>
    </row>
    <row r="1159" customFormat="false" ht="12.75" hidden="false" customHeight="true" outlineLevel="0" collapsed="false">
      <c r="A1159" s="5" t="s">
        <v>3156</v>
      </c>
    </row>
    <row r="1160" customFormat="false" ht="12.75" hidden="false" customHeight="true" outlineLevel="0" collapsed="false">
      <c r="A1160" s="5" t="s">
        <v>3980</v>
      </c>
    </row>
    <row r="1161" customFormat="false" ht="12.75" hidden="false" customHeight="true" outlineLevel="0" collapsed="false">
      <c r="A1161" s="5" t="s">
        <v>3989</v>
      </c>
    </row>
    <row r="1162" customFormat="false" ht="12.75" hidden="false" customHeight="true" outlineLevel="0" collapsed="false">
      <c r="A1162" s="5" t="s">
        <v>3173</v>
      </c>
    </row>
    <row r="1163" customFormat="false" ht="12.75" hidden="false" customHeight="true" outlineLevel="0" collapsed="false">
      <c r="A1163" s="5" t="s">
        <v>3174</v>
      </c>
    </row>
    <row r="1164" customFormat="false" ht="12.75" hidden="false" customHeight="true" outlineLevel="0" collapsed="false">
      <c r="A1164" s="5" t="s">
        <v>3175</v>
      </c>
    </row>
    <row r="1165" customFormat="false" ht="12.75" hidden="false" customHeight="true" outlineLevel="0" collapsed="false">
      <c r="A1165" s="5" t="s">
        <v>3176</v>
      </c>
    </row>
    <row r="1166" customFormat="false" ht="12.75" hidden="false" customHeight="true" outlineLevel="0" collapsed="false">
      <c r="A1166" s="5" t="s">
        <v>3977</v>
      </c>
    </row>
    <row r="1167" customFormat="false" ht="12.75" hidden="false" customHeight="true" outlineLevel="0" collapsed="false">
      <c r="A1167" s="5" t="s">
        <v>1266</v>
      </c>
    </row>
    <row r="1168" customFormat="false" ht="12.75" hidden="false" customHeight="true" outlineLevel="0" collapsed="false">
      <c r="A1168" s="5" t="s">
        <v>1266</v>
      </c>
    </row>
    <row r="1169" customFormat="false" ht="12.75" hidden="false" customHeight="true" outlineLevel="0" collapsed="false">
      <c r="A1169" s="5" t="s">
        <v>3978</v>
      </c>
    </row>
    <row r="1170" customFormat="false" ht="12.75" hidden="false" customHeight="true" outlineLevel="0" collapsed="false">
      <c r="A1170" s="5" t="s">
        <v>2847</v>
      </c>
    </row>
    <row r="1171" customFormat="false" ht="12.75" hidden="false" customHeight="true" outlineLevel="0" collapsed="false">
      <c r="A1171" s="5" t="s">
        <v>2848</v>
      </c>
    </row>
    <row r="1172" customFormat="false" ht="12.75" hidden="false" customHeight="true" outlineLevel="0" collapsed="false">
      <c r="A1172" s="5" t="s">
        <v>2847</v>
      </c>
    </row>
    <row r="1173" customFormat="false" ht="12.75" hidden="false" customHeight="true" outlineLevel="0" collapsed="false">
      <c r="A1173" s="5" t="s">
        <v>3979</v>
      </c>
    </row>
    <row r="1174" customFormat="false" ht="12.75" hidden="false" customHeight="true" outlineLevel="0" collapsed="false">
      <c r="A1174" s="5" t="s">
        <v>2851</v>
      </c>
    </row>
    <row r="1175" customFormat="false" ht="12.75" hidden="false" customHeight="true" outlineLevel="0" collapsed="false">
      <c r="A1175" s="5" t="s">
        <v>2852</v>
      </c>
    </row>
    <row r="1176" customFormat="false" ht="12.75" hidden="false" customHeight="true" outlineLevel="0" collapsed="false">
      <c r="A1176" s="5" t="s">
        <v>2853</v>
      </c>
    </row>
    <row r="1177" customFormat="false" ht="12.75" hidden="false" customHeight="true" outlineLevel="0" collapsed="false">
      <c r="A1177" s="5" t="s">
        <v>3177</v>
      </c>
    </row>
    <row r="1178" customFormat="false" ht="12.75" hidden="false" customHeight="true" outlineLevel="0" collapsed="false">
      <c r="A1178" s="5" t="s">
        <v>2855</v>
      </c>
    </row>
    <row r="1179" customFormat="false" ht="12.75" hidden="false" customHeight="true" outlineLevel="0" collapsed="false">
      <c r="A1179" s="5" t="s">
        <v>2536</v>
      </c>
    </row>
    <row r="1180" customFormat="false" ht="12.75" hidden="false" customHeight="true" outlineLevel="0" collapsed="false">
      <c r="A1180" s="5" t="s">
        <v>255</v>
      </c>
    </row>
    <row r="1181" customFormat="false" ht="12.75" hidden="false" customHeight="true" outlineLevel="0" collapsed="false">
      <c r="A1181" s="5" t="n">
        <v>0.2</v>
      </c>
    </row>
    <row r="1182" customFormat="false" ht="12.75" hidden="false" customHeight="true" outlineLevel="0" collapsed="false">
      <c r="A1182" s="5" t="s">
        <v>1625</v>
      </c>
    </row>
    <row r="1183" customFormat="false" ht="12.75" hidden="false" customHeight="true" outlineLevel="0" collapsed="false">
      <c r="A1183" s="5" t="s">
        <v>3179</v>
      </c>
    </row>
    <row r="1184" customFormat="false" ht="12.75" hidden="false" customHeight="true" outlineLevel="0" collapsed="false">
      <c r="A1184" s="5" t="n">
        <v>0.1</v>
      </c>
    </row>
    <row r="1185" customFormat="false" ht="12.75" hidden="false" customHeight="true" outlineLevel="0" collapsed="false">
      <c r="A1185" s="5" t="s">
        <v>3180</v>
      </c>
    </row>
    <row r="1186" customFormat="false" ht="12.75" hidden="false" customHeight="true" outlineLevel="0" collapsed="false">
      <c r="A1186" s="5" t="s">
        <v>3181</v>
      </c>
    </row>
    <row r="1187" customFormat="false" ht="12.75" hidden="false" customHeight="true" outlineLevel="0" collapsed="false">
      <c r="A1187" s="5" t="s">
        <v>3182</v>
      </c>
    </row>
    <row r="1188" customFormat="false" ht="12.75" hidden="false" customHeight="true" outlineLevel="0" collapsed="false">
      <c r="A1188" s="5" t="s">
        <v>3183</v>
      </c>
    </row>
    <row r="1189" customFormat="false" ht="12.75" hidden="false" customHeight="true" outlineLevel="0" collapsed="false">
      <c r="A1189" s="5" t="n">
        <v>0.05</v>
      </c>
    </row>
    <row r="1190" customFormat="false" ht="12.75" hidden="false" customHeight="true" outlineLevel="0" collapsed="false">
      <c r="A1190" s="5" t="s">
        <v>3184</v>
      </c>
    </row>
    <row r="1191" customFormat="false" ht="12.75" hidden="false" customHeight="true" outlineLevel="0" collapsed="false">
      <c r="A1191" s="5" t="s">
        <v>3185</v>
      </c>
    </row>
    <row r="1192" customFormat="false" ht="12.75" hidden="false" customHeight="true" outlineLevel="0" collapsed="false">
      <c r="A1192" s="5" t="n">
        <v>0.04</v>
      </c>
    </row>
    <row r="1193" customFormat="false" ht="12.75" hidden="false" customHeight="true" outlineLevel="0" collapsed="false">
      <c r="A1193" s="5" t="s">
        <v>3186</v>
      </c>
    </row>
    <row r="1194" customFormat="false" ht="12.75" hidden="false" customHeight="true" outlineLevel="0" collapsed="false">
      <c r="A1194" s="5" t="s">
        <v>3187</v>
      </c>
    </row>
    <row r="1195" customFormat="false" ht="12.75" hidden="false" customHeight="true" outlineLevel="0" collapsed="false">
      <c r="A1195" s="5" t="n">
        <v>0.01</v>
      </c>
    </row>
    <row r="1196" customFormat="false" ht="12.75" hidden="false" customHeight="true" outlineLevel="0" collapsed="false">
      <c r="A1196" s="5" t="s">
        <v>3188</v>
      </c>
    </row>
    <row r="1197" customFormat="false" ht="12.75" hidden="false" customHeight="true" outlineLevel="0" collapsed="false">
      <c r="A1197" s="5" t="s">
        <v>3720</v>
      </c>
    </row>
    <row r="1198" customFormat="false" ht="12.75" hidden="false" customHeight="true" outlineLevel="0" collapsed="false">
      <c r="A1198" s="5" t="s">
        <v>2536</v>
      </c>
    </row>
    <row r="1199" customFormat="false" ht="12.75" hidden="false" customHeight="true" outlineLevel="0" collapsed="false">
      <c r="A1199" s="5" t="s">
        <v>285</v>
      </c>
    </row>
    <row r="1200" customFormat="false" ht="12.75" hidden="false" customHeight="true" outlineLevel="0" collapsed="false">
      <c r="A1200" s="5" t="n">
        <v>0.2</v>
      </c>
    </row>
    <row r="1201" customFormat="false" ht="12.75" hidden="false" customHeight="true" outlineLevel="0" collapsed="false">
      <c r="A1201" s="5" t="s">
        <v>1638</v>
      </c>
    </row>
    <row r="1202" customFormat="false" ht="12.75" hidden="false" customHeight="true" outlineLevel="0" collapsed="false">
      <c r="A1202" s="5" t="s">
        <v>3192</v>
      </c>
    </row>
    <row r="1203" customFormat="false" ht="12.75" hidden="false" customHeight="true" outlineLevel="0" collapsed="false">
      <c r="A1203" s="5" t="n">
        <v>0.1</v>
      </c>
    </row>
    <row r="1204" customFormat="false" ht="12.75" hidden="false" customHeight="true" outlineLevel="0" collapsed="false">
      <c r="A1204" s="5" t="s">
        <v>3193</v>
      </c>
    </row>
    <row r="1205" customFormat="false" ht="12.75" hidden="false" customHeight="true" outlineLevel="0" collapsed="false">
      <c r="A1205" s="5" t="s">
        <v>3194</v>
      </c>
    </row>
    <row r="1206" customFormat="false" ht="12.75" hidden="false" customHeight="true" outlineLevel="0" collapsed="false">
      <c r="A1206" s="5" t="s">
        <v>3195</v>
      </c>
    </row>
    <row r="1207" customFormat="false" ht="12.75" hidden="false" customHeight="true" outlineLevel="0" collapsed="false">
      <c r="A1207" s="5" t="s">
        <v>3196</v>
      </c>
    </row>
    <row r="1208" customFormat="false" ht="12.75" hidden="false" customHeight="true" outlineLevel="0" collapsed="false">
      <c r="A1208" s="5" t="n">
        <v>0.05</v>
      </c>
    </row>
    <row r="1209" customFormat="false" ht="12.75" hidden="false" customHeight="true" outlineLevel="0" collapsed="false">
      <c r="A1209" s="5" t="s">
        <v>3197</v>
      </c>
    </row>
    <row r="1210" customFormat="false" ht="12.75" hidden="false" customHeight="true" outlineLevel="0" collapsed="false">
      <c r="A1210" s="5" t="s">
        <v>3198</v>
      </c>
    </row>
    <row r="1211" customFormat="false" ht="12.75" hidden="false" customHeight="true" outlineLevel="0" collapsed="false">
      <c r="A1211" s="5" t="n">
        <v>0.04</v>
      </c>
    </row>
    <row r="1212" customFormat="false" ht="12.75" hidden="false" customHeight="true" outlineLevel="0" collapsed="false">
      <c r="A1212" s="5" t="s">
        <v>3199</v>
      </c>
    </row>
    <row r="1213" customFormat="false" ht="12.75" hidden="false" customHeight="true" outlineLevel="0" collapsed="false">
      <c r="A1213" s="5" t="s">
        <v>3200</v>
      </c>
    </row>
    <row r="1214" customFormat="false" ht="12.75" hidden="false" customHeight="true" outlineLevel="0" collapsed="false">
      <c r="A1214" s="5" t="n">
        <v>0.01</v>
      </c>
    </row>
    <row r="1215" customFormat="false" ht="12.75" hidden="false" customHeight="true" outlineLevel="0" collapsed="false">
      <c r="A1215" s="5" t="s">
        <v>3201</v>
      </c>
    </row>
    <row r="1216" customFormat="false" ht="12.75" hidden="false" customHeight="true" outlineLevel="0" collapsed="false">
      <c r="A1216" s="5" t="s">
        <v>3200</v>
      </c>
    </row>
    <row r="1217" customFormat="false" ht="12.75" hidden="false" customHeight="true" outlineLevel="0" collapsed="false">
      <c r="A1217" s="5" t="s">
        <v>2536</v>
      </c>
    </row>
    <row r="1218" customFormat="false" ht="12.75" hidden="false" customHeight="true" outlineLevel="0" collapsed="false">
      <c r="A1218" s="5" t="s">
        <v>287</v>
      </c>
    </row>
    <row r="1219" customFormat="false" ht="12.75" hidden="false" customHeight="true" outlineLevel="0" collapsed="false">
      <c r="A1219" s="5" t="n">
        <v>0.2</v>
      </c>
    </row>
    <row r="1220" customFormat="false" ht="12.75" hidden="false" customHeight="true" outlineLevel="0" collapsed="false">
      <c r="A1220" s="5" t="s">
        <v>1638</v>
      </c>
    </row>
    <row r="1221" customFormat="false" ht="12.75" hidden="false" customHeight="true" outlineLevel="0" collapsed="false">
      <c r="A1221" s="5" t="s">
        <v>3192</v>
      </c>
    </row>
    <row r="1222" customFormat="false" ht="12.75" hidden="false" customHeight="true" outlineLevel="0" collapsed="false">
      <c r="A1222" s="5" t="n">
        <v>0.1</v>
      </c>
    </row>
    <row r="1223" customFormat="false" ht="12.75" hidden="false" customHeight="true" outlineLevel="0" collapsed="false">
      <c r="A1223" s="5" t="s">
        <v>3193</v>
      </c>
    </row>
    <row r="1224" customFormat="false" ht="12.75" hidden="false" customHeight="true" outlineLevel="0" collapsed="false">
      <c r="A1224" s="5" t="s">
        <v>3194</v>
      </c>
    </row>
    <row r="1225" customFormat="false" ht="12.75" hidden="false" customHeight="true" outlineLevel="0" collapsed="false">
      <c r="A1225" s="5" t="s">
        <v>3195</v>
      </c>
    </row>
    <row r="1226" customFormat="false" ht="12.75" hidden="false" customHeight="true" outlineLevel="0" collapsed="false">
      <c r="A1226" s="5" t="s">
        <v>3196</v>
      </c>
    </row>
    <row r="1227" customFormat="false" ht="12.75" hidden="false" customHeight="true" outlineLevel="0" collapsed="false">
      <c r="A1227" s="5" t="n">
        <v>0.05</v>
      </c>
    </row>
    <row r="1228" customFormat="false" ht="12.75" hidden="false" customHeight="true" outlineLevel="0" collapsed="false">
      <c r="A1228" s="5" t="s">
        <v>3197</v>
      </c>
    </row>
    <row r="1229" customFormat="false" ht="12.75" hidden="false" customHeight="true" outlineLevel="0" collapsed="false">
      <c r="A1229" s="5" t="s">
        <v>3198</v>
      </c>
    </row>
    <row r="1230" customFormat="false" ht="12.75" hidden="false" customHeight="true" outlineLevel="0" collapsed="false">
      <c r="A1230" s="5" t="n">
        <v>0.04</v>
      </c>
    </row>
    <row r="1231" customFormat="false" ht="12.75" hidden="false" customHeight="true" outlineLevel="0" collapsed="false">
      <c r="A1231" s="5" t="s">
        <v>3199</v>
      </c>
    </row>
    <row r="1232" customFormat="false" ht="12.75" hidden="false" customHeight="true" outlineLevel="0" collapsed="false">
      <c r="A1232" s="5" t="s">
        <v>3200</v>
      </c>
    </row>
    <row r="1233" customFormat="false" ht="12.75" hidden="false" customHeight="true" outlineLevel="0" collapsed="false">
      <c r="A1233" s="5" t="n">
        <v>0.01</v>
      </c>
    </row>
    <row r="1234" customFormat="false" ht="12.75" hidden="false" customHeight="true" outlineLevel="0" collapsed="false">
      <c r="A1234" s="5" t="s">
        <v>3201</v>
      </c>
    </row>
    <row r="1235" customFormat="false" ht="12.75" hidden="false" customHeight="true" outlineLevel="0" collapsed="false">
      <c r="A1235" s="5" t="s">
        <v>3200</v>
      </c>
    </row>
    <row r="1236" customFormat="false" ht="12.75" hidden="false" customHeight="true" outlineLevel="0" collapsed="false">
      <c r="A1236" s="5" t="s">
        <v>2536</v>
      </c>
    </row>
    <row r="1237" customFormat="false" ht="12.75" hidden="false" customHeight="true" outlineLevel="0" collapsed="false">
      <c r="A1237" s="5" t="s">
        <v>289</v>
      </c>
    </row>
    <row r="1238" customFormat="false" ht="12.75" hidden="false" customHeight="true" outlineLevel="0" collapsed="false">
      <c r="A1238" s="5" t="n">
        <v>0.2</v>
      </c>
    </row>
    <row r="1239" customFormat="false" ht="12.75" hidden="false" customHeight="true" outlineLevel="0" collapsed="false">
      <c r="A1239" s="5" t="s">
        <v>1638</v>
      </c>
    </row>
    <row r="1240" customFormat="false" ht="12.75" hidden="false" customHeight="true" outlineLevel="0" collapsed="false">
      <c r="A1240" s="5" t="s">
        <v>3192</v>
      </c>
    </row>
    <row r="1241" customFormat="false" ht="12.75" hidden="false" customHeight="true" outlineLevel="0" collapsed="false">
      <c r="A1241" s="5" t="n">
        <v>0.1</v>
      </c>
    </row>
    <row r="1242" customFormat="false" ht="12.75" hidden="false" customHeight="true" outlineLevel="0" collapsed="false">
      <c r="A1242" s="5" t="s">
        <v>3193</v>
      </c>
    </row>
    <row r="1243" customFormat="false" ht="12.75" hidden="false" customHeight="true" outlineLevel="0" collapsed="false">
      <c r="A1243" s="5" t="s">
        <v>3194</v>
      </c>
    </row>
    <row r="1244" customFormat="false" ht="12.75" hidden="false" customHeight="true" outlineLevel="0" collapsed="false">
      <c r="A1244" s="5" t="s">
        <v>3195</v>
      </c>
    </row>
    <row r="1245" customFormat="false" ht="12.75" hidden="false" customHeight="true" outlineLevel="0" collapsed="false">
      <c r="A1245" s="5" t="s">
        <v>3196</v>
      </c>
    </row>
    <row r="1246" customFormat="false" ht="12.75" hidden="false" customHeight="true" outlineLevel="0" collapsed="false">
      <c r="A1246" s="5" t="n">
        <v>0.05</v>
      </c>
    </row>
    <row r="1247" customFormat="false" ht="12.75" hidden="false" customHeight="true" outlineLevel="0" collapsed="false">
      <c r="A1247" s="5" t="s">
        <v>3197</v>
      </c>
    </row>
    <row r="1248" customFormat="false" ht="12.75" hidden="false" customHeight="true" outlineLevel="0" collapsed="false">
      <c r="A1248" s="5" t="s">
        <v>3198</v>
      </c>
    </row>
    <row r="1249" customFormat="false" ht="12.75" hidden="false" customHeight="true" outlineLevel="0" collapsed="false">
      <c r="A1249" s="5" t="n">
        <v>0.04</v>
      </c>
    </row>
    <row r="1250" customFormat="false" ht="12.75" hidden="false" customHeight="true" outlineLevel="0" collapsed="false">
      <c r="A1250" s="5" t="s">
        <v>3199</v>
      </c>
    </row>
    <row r="1251" customFormat="false" ht="12.75" hidden="false" customHeight="true" outlineLevel="0" collapsed="false">
      <c r="A1251" s="5" t="s">
        <v>3200</v>
      </c>
    </row>
    <row r="1252" customFormat="false" ht="12.75" hidden="false" customHeight="true" outlineLevel="0" collapsed="false">
      <c r="A1252" s="5" t="n">
        <v>0.01</v>
      </c>
    </row>
    <row r="1253" customFormat="false" ht="12.75" hidden="false" customHeight="true" outlineLevel="0" collapsed="false">
      <c r="A1253" s="5" t="s">
        <v>3201</v>
      </c>
    </row>
    <row r="1254" customFormat="false" ht="12.75" hidden="false" customHeight="true" outlineLevel="0" collapsed="false">
      <c r="A1254" s="5" t="s">
        <v>3200</v>
      </c>
    </row>
    <row r="1255" customFormat="false" ht="12.75" hidden="false" customHeight="true" outlineLevel="0" collapsed="false">
      <c r="A1255" s="5" t="s">
        <v>2536</v>
      </c>
    </row>
    <row r="1256" customFormat="false" ht="12.75" hidden="false" customHeight="true" outlineLevel="0" collapsed="false">
      <c r="A1256" s="5" t="s">
        <v>291</v>
      </c>
    </row>
    <row r="1257" customFormat="false" ht="12.75" hidden="false" customHeight="true" outlineLevel="0" collapsed="false">
      <c r="A1257" s="5" t="n">
        <v>0.2</v>
      </c>
    </row>
    <row r="1258" customFormat="false" ht="12.75" hidden="false" customHeight="true" outlineLevel="0" collapsed="false">
      <c r="A1258" s="5" t="s">
        <v>1638</v>
      </c>
    </row>
    <row r="1259" customFormat="false" ht="12.75" hidden="false" customHeight="true" outlineLevel="0" collapsed="false">
      <c r="A1259" s="5" t="s">
        <v>3192</v>
      </c>
    </row>
    <row r="1260" customFormat="false" ht="12.75" hidden="false" customHeight="true" outlineLevel="0" collapsed="false">
      <c r="A1260" s="5" t="n">
        <v>0.1</v>
      </c>
    </row>
    <row r="1261" customFormat="false" ht="12.75" hidden="false" customHeight="true" outlineLevel="0" collapsed="false">
      <c r="A1261" s="5" t="s">
        <v>3193</v>
      </c>
    </row>
    <row r="1262" customFormat="false" ht="12.75" hidden="false" customHeight="true" outlineLevel="0" collapsed="false">
      <c r="A1262" s="5" t="s">
        <v>3194</v>
      </c>
    </row>
    <row r="1263" customFormat="false" ht="12.75" hidden="false" customHeight="true" outlineLevel="0" collapsed="false">
      <c r="A1263" s="5" t="s">
        <v>3195</v>
      </c>
    </row>
    <row r="1264" customFormat="false" ht="12.75" hidden="false" customHeight="true" outlineLevel="0" collapsed="false">
      <c r="A1264" s="5" t="s">
        <v>3196</v>
      </c>
    </row>
    <row r="1265" customFormat="false" ht="12.75" hidden="false" customHeight="true" outlineLevel="0" collapsed="false">
      <c r="A1265" s="5" t="n">
        <v>0.05</v>
      </c>
    </row>
    <row r="1266" customFormat="false" ht="12.75" hidden="false" customHeight="true" outlineLevel="0" collapsed="false">
      <c r="A1266" s="5" t="s">
        <v>3197</v>
      </c>
    </row>
    <row r="1267" customFormat="false" ht="12.75" hidden="false" customHeight="true" outlineLevel="0" collapsed="false">
      <c r="A1267" s="5" t="s">
        <v>3198</v>
      </c>
    </row>
    <row r="1268" customFormat="false" ht="12.75" hidden="false" customHeight="true" outlineLevel="0" collapsed="false">
      <c r="A1268" s="5" t="n">
        <v>0.04</v>
      </c>
    </row>
    <row r="1269" customFormat="false" ht="12.75" hidden="false" customHeight="true" outlineLevel="0" collapsed="false">
      <c r="A1269" s="5" t="s">
        <v>3199</v>
      </c>
    </row>
    <row r="1270" customFormat="false" ht="12.75" hidden="false" customHeight="true" outlineLevel="0" collapsed="false">
      <c r="A1270" s="5" t="s">
        <v>3200</v>
      </c>
    </row>
    <row r="1271" customFormat="false" ht="12.75" hidden="false" customHeight="true" outlineLevel="0" collapsed="false">
      <c r="A1271" s="5" t="n">
        <v>0.01</v>
      </c>
    </row>
    <row r="1272" customFormat="false" ht="12.75" hidden="false" customHeight="true" outlineLevel="0" collapsed="false">
      <c r="A1272" s="5" t="s">
        <v>3201</v>
      </c>
    </row>
    <row r="1273" customFormat="false" ht="12.75" hidden="false" customHeight="true" outlineLevel="0" collapsed="false">
      <c r="A1273" s="5" t="s">
        <v>3200</v>
      </c>
    </row>
    <row r="1274" customFormat="false" ht="12.75" hidden="false" customHeight="true" outlineLevel="0" collapsed="false">
      <c r="A1274" s="5" t="s">
        <v>2536</v>
      </c>
    </row>
    <row r="1275" customFormat="false" ht="12.75" hidden="false" customHeight="true" outlineLevel="0" collapsed="false">
      <c r="A1275" s="5" t="s">
        <v>293</v>
      </c>
    </row>
    <row r="1276" customFormat="false" ht="12.75" hidden="false" customHeight="true" outlineLevel="0" collapsed="false">
      <c r="A1276" s="5" t="n">
        <v>0.2</v>
      </c>
    </row>
    <row r="1277" customFormat="false" ht="12.75" hidden="false" customHeight="true" outlineLevel="0" collapsed="false">
      <c r="A1277" s="5" t="s">
        <v>1638</v>
      </c>
    </row>
    <row r="1278" customFormat="false" ht="12.75" hidden="false" customHeight="true" outlineLevel="0" collapsed="false">
      <c r="A1278" s="5" t="s">
        <v>3192</v>
      </c>
    </row>
    <row r="1279" customFormat="false" ht="12.75" hidden="false" customHeight="true" outlineLevel="0" collapsed="false">
      <c r="A1279" s="5" t="n">
        <v>0.1</v>
      </c>
    </row>
    <row r="1280" customFormat="false" ht="12.75" hidden="false" customHeight="true" outlineLevel="0" collapsed="false">
      <c r="A1280" s="5" t="s">
        <v>3193</v>
      </c>
    </row>
    <row r="1281" customFormat="false" ht="12.75" hidden="false" customHeight="true" outlineLevel="0" collapsed="false">
      <c r="A1281" s="5" t="s">
        <v>3194</v>
      </c>
    </row>
    <row r="1282" customFormat="false" ht="12.75" hidden="false" customHeight="true" outlineLevel="0" collapsed="false">
      <c r="A1282" s="5" t="s">
        <v>3195</v>
      </c>
    </row>
    <row r="1283" customFormat="false" ht="12.75" hidden="false" customHeight="true" outlineLevel="0" collapsed="false">
      <c r="A1283" s="5" t="s">
        <v>3196</v>
      </c>
    </row>
    <row r="1284" customFormat="false" ht="12.75" hidden="false" customHeight="true" outlineLevel="0" collapsed="false">
      <c r="A1284" s="5" t="n">
        <v>0.05</v>
      </c>
    </row>
    <row r="1285" customFormat="false" ht="12.75" hidden="false" customHeight="true" outlineLevel="0" collapsed="false">
      <c r="A1285" s="5" t="s">
        <v>3197</v>
      </c>
    </row>
    <row r="1286" customFormat="false" ht="12.75" hidden="false" customHeight="true" outlineLevel="0" collapsed="false">
      <c r="A1286" s="5" t="s">
        <v>3198</v>
      </c>
    </row>
    <row r="1287" customFormat="false" ht="12.75" hidden="false" customHeight="true" outlineLevel="0" collapsed="false">
      <c r="A1287" s="5" t="n">
        <v>0.04</v>
      </c>
    </row>
    <row r="1288" customFormat="false" ht="12.75" hidden="false" customHeight="true" outlineLevel="0" collapsed="false">
      <c r="A1288" s="5" t="s">
        <v>3199</v>
      </c>
    </row>
    <row r="1289" customFormat="false" ht="12.75" hidden="false" customHeight="true" outlineLevel="0" collapsed="false">
      <c r="A1289" s="5" t="s">
        <v>3200</v>
      </c>
    </row>
    <row r="1290" customFormat="false" ht="12.75" hidden="false" customHeight="true" outlineLevel="0" collapsed="false">
      <c r="A1290" s="5" t="n">
        <v>0.01</v>
      </c>
    </row>
    <row r="1291" customFormat="false" ht="12.75" hidden="false" customHeight="true" outlineLevel="0" collapsed="false">
      <c r="A1291" s="5" t="s">
        <v>3201</v>
      </c>
    </row>
    <row r="1292" customFormat="false" ht="12.75" hidden="false" customHeight="true" outlineLevel="0" collapsed="false">
      <c r="A1292" s="5" t="s">
        <v>3200</v>
      </c>
    </row>
    <row r="1293" customFormat="false" ht="12.75" hidden="false" customHeight="true" outlineLevel="0" collapsed="false">
      <c r="A1293" s="5" t="s">
        <v>2536</v>
      </c>
    </row>
    <row r="1294" customFormat="false" ht="12.75" hidden="false" customHeight="true" outlineLevel="0" collapsed="false">
      <c r="A1294" s="5" t="s">
        <v>295</v>
      </c>
    </row>
    <row r="1295" customFormat="false" ht="12.75" hidden="false" customHeight="true" outlineLevel="0" collapsed="false">
      <c r="A1295" s="5" t="n">
        <v>0.2</v>
      </c>
    </row>
    <row r="1296" customFormat="false" ht="12.75" hidden="false" customHeight="true" outlineLevel="0" collapsed="false">
      <c r="A1296" s="5" t="s">
        <v>1638</v>
      </c>
    </row>
    <row r="1297" customFormat="false" ht="12.75" hidden="false" customHeight="true" outlineLevel="0" collapsed="false">
      <c r="A1297" s="5" t="s">
        <v>3192</v>
      </c>
    </row>
    <row r="1298" customFormat="false" ht="12.75" hidden="false" customHeight="true" outlineLevel="0" collapsed="false">
      <c r="A1298" s="5" t="n">
        <v>0.1</v>
      </c>
    </row>
    <row r="1299" customFormat="false" ht="12.75" hidden="false" customHeight="true" outlineLevel="0" collapsed="false">
      <c r="A1299" s="5" t="s">
        <v>3193</v>
      </c>
    </row>
    <row r="1300" customFormat="false" ht="12.75" hidden="false" customHeight="true" outlineLevel="0" collapsed="false">
      <c r="A1300" s="5" t="s">
        <v>3194</v>
      </c>
    </row>
    <row r="1301" customFormat="false" ht="12.75" hidden="false" customHeight="true" outlineLevel="0" collapsed="false">
      <c r="A1301" s="5" t="s">
        <v>3195</v>
      </c>
    </row>
    <row r="1302" customFormat="false" ht="12.75" hidden="false" customHeight="true" outlineLevel="0" collapsed="false">
      <c r="A1302" s="5" t="s">
        <v>3196</v>
      </c>
    </row>
    <row r="1303" customFormat="false" ht="12.75" hidden="false" customHeight="true" outlineLevel="0" collapsed="false">
      <c r="A1303" s="5" t="n">
        <v>0.05</v>
      </c>
    </row>
    <row r="1304" customFormat="false" ht="12.75" hidden="false" customHeight="true" outlineLevel="0" collapsed="false">
      <c r="A1304" s="5" t="s">
        <v>3197</v>
      </c>
    </row>
    <row r="1305" customFormat="false" ht="12.75" hidden="false" customHeight="true" outlineLevel="0" collapsed="false">
      <c r="A1305" s="5" t="s">
        <v>3198</v>
      </c>
    </row>
    <row r="1306" customFormat="false" ht="12.75" hidden="false" customHeight="true" outlineLevel="0" collapsed="false">
      <c r="A1306" s="5" t="n">
        <v>0.04</v>
      </c>
    </row>
    <row r="1307" customFormat="false" ht="12.75" hidden="false" customHeight="true" outlineLevel="0" collapsed="false">
      <c r="A1307" s="5" t="s">
        <v>3199</v>
      </c>
    </row>
    <row r="1308" customFormat="false" ht="12.75" hidden="false" customHeight="true" outlineLevel="0" collapsed="false">
      <c r="A1308" s="5" t="s">
        <v>3200</v>
      </c>
    </row>
    <row r="1309" customFormat="false" ht="12.75" hidden="false" customHeight="true" outlineLevel="0" collapsed="false">
      <c r="A1309" s="5" t="n">
        <v>0.01</v>
      </c>
    </row>
    <row r="1310" customFormat="false" ht="12.75" hidden="false" customHeight="true" outlineLevel="0" collapsed="false">
      <c r="A1310" s="5" t="s">
        <v>3201</v>
      </c>
    </row>
    <row r="1311" customFormat="false" ht="12.75" hidden="false" customHeight="true" outlineLevel="0" collapsed="false">
      <c r="A1311" s="5" t="s">
        <v>3200</v>
      </c>
    </row>
    <row r="1312" customFormat="false" ht="12.75" hidden="false" customHeight="true" outlineLevel="0" collapsed="false">
      <c r="A1312" s="5" t="s">
        <v>2536</v>
      </c>
    </row>
    <row r="1313" customFormat="false" ht="12.75" hidden="false" customHeight="true" outlineLevel="0" collapsed="false">
      <c r="A1313" s="5" t="s">
        <v>297</v>
      </c>
    </row>
    <row r="1314" customFormat="false" ht="12.75" hidden="false" customHeight="true" outlineLevel="0" collapsed="false">
      <c r="A1314" s="5" t="n">
        <v>0.2</v>
      </c>
    </row>
    <row r="1315" customFormat="false" ht="12.75" hidden="false" customHeight="true" outlineLevel="0" collapsed="false">
      <c r="A1315" s="5" t="s">
        <v>1638</v>
      </c>
    </row>
    <row r="1316" customFormat="false" ht="12.75" hidden="false" customHeight="true" outlineLevel="0" collapsed="false">
      <c r="A1316" s="5" t="s">
        <v>3192</v>
      </c>
    </row>
    <row r="1317" customFormat="false" ht="12.75" hidden="false" customHeight="true" outlineLevel="0" collapsed="false">
      <c r="A1317" s="5" t="n">
        <v>0.1</v>
      </c>
    </row>
    <row r="1318" customFormat="false" ht="12.75" hidden="false" customHeight="true" outlineLevel="0" collapsed="false">
      <c r="A1318" s="5" t="s">
        <v>3193</v>
      </c>
    </row>
    <row r="1319" customFormat="false" ht="12.75" hidden="false" customHeight="true" outlineLevel="0" collapsed="false">
      <c r="A1319" s="5" t="s">
        <v>3194</v>
      </c>
    </row>
    <row r="1320" customFormat="false" ht="12.75" hidden="false" customHeight="true" outlineLevel="0" collapsed="false">
      <c r="A1320" s="5" t="s">
        <v>3195</v>
      </c>
    </row>
    <row r="1321" customFormat="false" ht="12.75" hidden="false" customHeight="true" outlineLevel="0" collapsed="false">
      <c r="A1321" s="5" t="s">
        <v>3196</v>
      </c>
    </row>
    <row r="1322" customFormat="false" ht="12.75" hidden="false" customHeight="true" outlineLevel="0" collapsed="false">
      <c r="A1322" s="5" t="n">
        <v>0.05</v>
      </c>
    </row>
    <row r="1323" customFormat="false" ht="12.75" hidden="false" customHeight="true" outlineLevel="0" collapsed="false">
      <c r="A1323" s="5" t="s">
        <v>3197</v>
      </c>
    </row>
    <row r="1324" customFormat="false" ht="12.75" hidden="false" customHeight="true" outlineLevel="0" collapsed="false">
      <c r="A1324" s="5" t="s">
        <v>3198</v>
      </c>
    </row>
    <row r="1325" customFormat="false" ht="12.75" hidden="false" customHeight="true" outlineLevel="0" collapsed="false">
      <c r="A1325" s="5" t="n">
        <v>0.04</v>
      </c>
    </row>
    <row r="1326" customFormat="false" ht="12.75" hidden="false" customHeight="true" outlineLevel="0" collapsed="false">
      <c r="A1326" s="5" t="s">
        <v>3199</v>
      </c>
    </row>
    <row r="1327" customFormat="false" ht="12.75" hidden="false" customHeight="true" outlineLevel="0" collapsed="false">
      <c r="A1327" s="5" t="s">
        <v>3200</v>
      </c>
    </row>
    <row r="1328" customFormat="false" ht="12.75" hidden="false" customHeight="true" outlineLevel="0" collapsed="false">
      <c r="A1328" s="5" t="n">
        <v>0.01</v>
      </c>
    </row>
    <row r="1329" customFormat="false" ht="12.75" hidden="false" customHeight="true" outlineLevel="0" collapsed="false">
      <c r="A1329" s="5" t="s">
        <v>3201</v>
      </c>
    </row>
    <row r="1330" customFormat="false" ht="12.75" hidden="false" customHeight="true" outlineLevel="0" collapsed="false">
      <c r="A1330" s="5" t="s">
        <v>3200</v>
      </c>
    </row>
    <row r="1331" customFormat="false" ht="12.75" hidden="false" customHeight="true" outlineLevel="0" collapsed="false">
      <c r="A1331" s="5" t="s">
        <v>2536</v>
      </c>
    </row>
    <row r="1332" customFormat="false" ht="12.75" hidden="false" customHeight="true" outlineLevel="0" collapsed="false">
      <c r="A1332" s="5" t="s">
        <v>299</v>
      </c>
    </row>
    <row r="1333" customFormat="false" ht="12.75" hidden="false" customHeight="true" outlineLevel="0" collapsed="false">
      <c r="A1333" s="5" t="n">
        <v>0.2</v>
      </c>
    </row>
    <row r="1334" customFormat="false" ht="12.75" hidden="false" customHeight="true" outlineLevel="0" collapsed="false">
      <c r="A1334" s="5" t="s">
        <v>1638</v>
      </c>
    </row>
    <row r="1335" customFormat="false" ht="12.75" hidden="false" customHeight="true" outlineLevel="0" collapsed="false">
      <c r="A1335" s="5" t="s">
        <v>3192</v>
      </c>
    </row>
    <row r="1336" customFormat="false" ht="12.75" hidden="false" customHeight="true" outlineLevel="0" collapsed="false">
      <c r="A1336" s="5" t="n">
        <v>0.1</v>
      </c>
    </row>
    <row r="1337" customFormat="false" ht="12.75" hidden="false" customHeight="true" outlineLevel="0" collapsed="false">
      <c r="A1337" s="5" t="s">
        <v>3193</v>
      </c>
    </row>
    <row r="1338" customFormat="false" ht="12.75" hidden="false" customHeight="true" outlineLevel="0" collapsed="false">
      <c r="A1338" s="5" t="s">
        <v>3194</v>
      </c>
    </row>
    <row r="1339" customFormat="false" ht="12.75" hidden="false" customHeight="true" outlineLevel="0" collapsed="false">
      <c r="A1339" s="5" t="s">
        <v>3195</v>
      </c>
    </row>
    <row r="1340" customFormat="false" ht="12.75" hidden="false" customHeight="true" outlineLevel="0" collapsed="false">
      <c r="A1340" s="5" t="s">
        <v>3196</v>
      </c>
    </row>
    <row r="1341" customFormat="false" ht="12.75" hidden="false" customHeight="true" outlineLevel="0" collapsed="false">
      <c r="A1341" s="5" t="n">
        <v>0.05</v>
      </c>
    </row>
    <row r="1342" customFormat="false" ht="12.75" hidden="false" customHeight="true" outlineLevel="0" collapsed="false">
      <c r="A1342" s="5" t="s">
        <v>3197</v>
      </c>
    </row>
    <row r="1343" customFormat="false" ht="12.75" hidden="false" customHeight="true" outlineLevel="0" collapsed="false">
      <c r="A1343" s="5" t="s">
        <v>3198</v>
      </c>
    </row>
    <row r="1344" customFormat="false" ht="12.75" hidden="false" customHeight="true" outlineLevel="0" collapsed="false">
      <c r="A1344" s="5" t="n">
        <v>0.04</v>
      </c>
    </row>
    <row r="1345" customFormat="false" ht="12.75" hidden="false" customHeight="true" outlineLevel="0" collapsed="false">
      <c r="A1345" s="5" t="s">
        <v>3199</v>
      </c>
    </row>
    <row r="1346" customFormat="false" ht="12.75" hidden="false" customHeight="true" outlineLevel="0" collapsed="false">
      <c r="A1346" s="5" t="s">
        <v>3200</v>
      </c>
    </row>
    <row r="1347" customFormat="false" ht="12.75" hidden="false" customHeight="true" outlineLevel="0" collapsed="false">
      <c r="A1347" s="5" t="n">
        <v>0.01</v>
      </c>
    </row>
    <row r="1348" customFormat="false" ht="12.75" hidden="false" customHeight="true" outlineLevel="0" collapsed="false">
      <c r="A1348" s="5" t="s">
        <v>3201</v>
      </c>
    </row>
    <row r="1349" customFormat="false" ht="12.75" hidden="false" customHeight="true" outlineLevel="0" collapsed="false">
      <c r="A1349" s="5" t="s">
        <v>3200</v>
      </c>
    </row>
    <row r="1350" customFormat="false" ht="12.75" hidden="false" customHeight="true" outlineLevel="0" collapsed="false">
      <c r="A1350" s="5" t="s">
        <v>2536</v>
      </c>
    </row>
    <row r="1351" customFormat="false" ht="12.75" hidden="false" customHeight="true" outlineLevel="0" collapsed="false">
      <c r="A1351" s="5" t="s">
        <v>301</v>
      </c>
    </row>
    <row r="1352" customFormat="false" ht="12.75" hidden="false" customHeight="true" outlineLevel="0" collapsed="false">
      <c r="A1352" s="5" t="n">
        <v>0.2</v>
      </c>
    </row>
    <row r="1353" customFormat="false" ht="12.75" hidden="false" customHeight="true" outlineLevel="0" collapsed="false">
      <c r="A1353" s="5" t="s">
        <v>1638</v>
      </c>
    </row>
    <row r="1354" customFormat="false" ht="12.75" hidden="false" customHeight="true" outlineLevel="0" collapsed="false">
      <c r="A1354" s="5" t="s">
        <v>3192</v>
      </c>
    </row>
    <row r="1355" customFormat="false" ht="12.75" hidden="false" customHeight="true" outlineLevel="0" collapsed="false">
      <c r="A1355" s="5" t="n">
        <v>0.1</v>
      </c>
    </row>
    <row r="1356" customFormat="false" ht="12.75" hidden="false" customHeight="true" outlineLevel="0" collapsed="false">
      <c r="A1356" s="5" t="s">
        <v>3193</v>
      </c>
    </row>
    <row r="1357" customFormat="false" ht="12.75" hidden="false" customHeight="true" outlineLevel="0" collapsed="false">
      <c r="A1357" s="5" t="s">
        <v>3194</v>
      </c>
    </row>
    <row r="1358" customFormat="false" ht="12.75" hidden="false" customHeight="true" outlineLevel="0" collapsed="false">
      <c r="A1358" s="5" t="s">
        <v>3195</v>
      </c>
    </row>
    <row r="1359" customFormat="false" ht="12.75" hidden="false" customHeight="true" outlineLevel="0" collapsed="false">
      <c r="A1359" s="5" t="s">
        <v>3196</v>
      </c>
    </row>
    <row r="1360" customFormat="false" ht="12.75" hidden="false" customHeight="true" outlineLevel="0" collapsed="false">
      <c r="A1360" s="5" t="n">
        <v>0.05</v>
      </c>
    </row>
    <row r="1361" customFormat="false" ht="12.75" hidden="false" customHeight="true" outlineLevel="0" collapsed="false">
      <c r="A1361" s="5" t="s">
        <v>3197</v>
      </c>
    </row>
    <row r="1362" customFormat="false" ht="12.75" hidden="false" customHeight="true" outlineLevel="0" collapsed="false">
      <c r="A1362" s="5" t="s">
        <v>3198</v>
      </c>
    </row>
    <row r="1363" customFormat="false" ht="12.75" hidden="false" customHeight="true" outlineLevel="0" collapsed="false">
      <c r="A1363" s="5" t="n">
        <v>0.04</v>
      </c>
    </row>
    <row r="1364" customFormat="false" ht="12.75" hidden="false" customHeight="true" outlineLevel="0" collapsed="false">
      <c r="A1364" s="5" t="s">
        <v>3199</v>
      </c>
    </row>
    <row r="1365" customFormat="false" ht="12.75" hidden="false" customHeight="true" outlineLevel="0" collapsed="false">
      <c r="A1365" s="5" t="s">
        <v>3200</v>
      </c>
    </row>
    <row r="1366" customFormat="false" ht="12.75" hidden="false" customHeight="true" outlineLevel="0" collapsed="false">
      <c r="A1366" s="5" t="n">
        <v>0.01</v>
      </c>
    </row>
    <row r="1367" customFormat="false" ht="12.75" hidden="false" customHeight="true" outlineLevel="0" collapsed="false">
      <c r="A1367" s="5" t="s">
        <v>3201</v>
      </c>
    </row>
    <row r="1368" customFormat="false" ht="12.75" hidden="false" customHeight="true" outlineLevel="0" collapsed="false">
      <c r="A1368" s="5" t="s">
        <v>3200</v>
      </c>
    </row>
    <row r="1369" customFormat="false" ht="12.75" hidden="false" customHeight="true" outlineLevel="0" collapsed="false">
      <c r="A1369" s="5" t="s">
        <v>2536</v>
      </c>
    </row>
    <row r="1370" customFormat="false" ht="12.75" hidden="false" customHeight="true" outlineLevel="0" collapsed="false">
      <c r="A1370" s="5" t="s">
        <v>303</v>
      </c>
    </row>
    <row r="1371" customFormat="false" ht="12.75" hidden="false" customHeight="true" outlineLevel="0" collapsed="false">
      <c r="A1371" s="5" t="n">
        <v>0.2</v>
      </c>
    </row>
    <row r="1372" customFormat="false" ht="12.75" hidden="false" customHeight="true" outlineLevel="0" collapsed="false">
      <c r="A1372" s="5" t="s">
        <v>1638</v>
      </c>
    </row>
    <row r="1373" customFormat="false" ht="12.75" hidden="false" customHeight="true" outlineLevel="0" collapsed="false">
      <c r="A1373" s="5" t="s">
        <v>3192</v>
      </c>
    </row>
    <row r="1374" customFormat="false" ht="12.75" hidden="false" customHeight="true" outlineLevel="0" collapsed="false">
      <c r="A1374" s="5" t="n">
        <v>0.1</v>
      </c>
    </row>
    <row r="1375" customFormat="false" ht="12.75" hidden="false" customHeight="true" outlineLevel="0" collapsed="false">
      <c r="A1375" s="5" t="s">
        <v>3193</v>
      </c>
    </row>
    <row r="1376" customFormat="false" ht="12.75" hidden="false" customHeight="true" outlineLevel="0" collapsed="false">
      <c r="A1376" s="5" t="s">
        <v>3194</v>
      </c>
    </row>
    <row r="1377" customFormat="false" ht="12.75" hidden="false" customHeight="true" outlineLevel="0" collapsed="false">
      <c r="A1377" s="5" t="s">
        <v>3195</v>
      </c>
    </row>
    <row r="1378" customFormat="false" ht="12.75" hidden="false" customHeight="true" outlineLevel="0" collapsed="false">
      <c r="A1378" s="5" t="s">
        <v>3196</v>
      </c>
    </row>
    <row r="1379" customFormat="false" ht="12.75" hidden="false" customHeight="true" outlineLevel="0" collapsed="false">
      <c r="A1379" s="5" t="n">
        <v>0.05</v>
      </c>
    </row>
    <row r="1380" customFormat="false" ht="12.75" hidden="false" customHeight="true" outlineLevel="0" collapsed="false">
      <c r="A1380" s="5" t="s">
        <v>3197</v>
      </c>
    </row>
    <row r="1381" customFormat="false" ht="12.75" hidden="false" customHeight="true" outlineLevel="0" collapsed="false">
      <c r="A1381" s="5" t="s">
        <v>3198</v>
      </c>
    </row>
    <row r="1382" customFormat="false" ht="12.75" hidden="false" customHeight="true" outlineLevel="0" collapsed="false">
      <c r="A1382" s="5" t="n">
        <v>0.04</v>
      </c>
    </row>
    <row r="1383" customFormat="false" ht="12.75" hidden="false" customHeight="true" outlineLevel="0" collapsed="false">
      <c r="A1383" s="5" t="s">
        <v>3199</v>
      </c>
    </row>
    <row r="1384" customFormat="false" ht="12.75" hidden="false" customHeight="true" outlineLevel="0" collapsed="false">
      <c r="A1384" s="5" t="s">
        <v>3200</v>
      </c>
    </row>
    <row r="1385" customFormat="false" ht="12.75" hidden="false" customHeight="true" outlineLevel="0" collapsed="false">
      <c r="A1385" s="5" t="n">
        <v>0.01</v>
      </c>
    </row>
    <row r="1386" customFormat="false" ht="12.75" hidden="false" customHeight="true" outlineLevel="0" collapsed="false">
      <c r="A1386" s="5" t="s">
        <v>3201</v>
      </c>
    </row>
    <row r="1387" customFormat="false" ht="12.75" hidden="false" customHeight="true" outlineLevel="0" collapsed="false">
      <c r="A1387" s="5" t="s">
        <v>3200</v>
      </c>
    </row>
    <row r="1388" customFormat="false" ht="12.75" hidden="false" customHeight="true" outlineLevel="0" collapsed="false">
      <c r="A1388" s="5" t="s">
        <v>2536</v>
      </c>
    </row>
    <row r="1389" customFormat="false" ht="12.75" hidden="false" customHeight="true" outlineLevel="0" collapsed="false">
      <c r="A1389" s="5" t="s">
        <v>305</v>
      </c>
    </row>
    <row r="1390" customFormat="false" ht="12.75" hidden="false" customHeight="true" outlineLevel="0" collapsed="false">
      <c r="A1390" s="5" t="n">
        <v>0.2</v>
      </c>
    </row>
    <row r="1391" customFormat="false" ht="12.75" hidden="false" customHeight="true" outlineLevel="0" collapsed="false">
      <c r="A1391" s="5" t="s">
        <v>1638</v>
      </c>
    </row>
    <row r="1392" customFormat="false" ht="12.75" hidden="false" customHeight="true" outlineLevel="0" collapsed="false">
      <c r="A1392" s="5" t="s">
        <v>3192</v>
      </c>
    </row>
    <row r="1393" customFormat="false" ht="12.75" hidden="false" customHeight="true" outlineLevel="0" collapsed="false">
      <c r="A1393" s="5" t="n">
        <v>0.1</v>
      </c>
    </row>
    <row r="1394" customFormat="false" ht="12.75" hidden="false" customHeight="true" outlineLevel="0" collapsed="false">
      <c r="A1394" s="5" t="s">
        <v>3193</v>
      </c>
    </row>
    <row r="1395" customFormat="false" ht="12.75" hidden="false" customHeight="true" outlineLevel="0" collapsed="false">
      <c r="A1395" s="5" t="s">
        <v>3194</v>
      </c>
    </row>
    <row r="1396" customFormat="false" ht="12.75" hidden="false" customHeight="true" outlineLevel="0" collapsed="false">
      <c r="A1396" s="5" t="s">
        <v>3195</v>
      </c>
    </row>
    <row r="1397" customFormat="false" ht="12.75" hidden="false" customHeight="true" outlineLevel="0" collapsed="false">
      <c r="A1397" s="5" t="s">
        <v>3215</v>
      </c>
    </row>
    <row r="1398" customFormat="false" ht="12.75" hidden="false" customHeight="true" outlineLevel="0" collapsed="false">
      <c r="A1398" s="5" t="n">
        <v>0.05</v>
      </c>
    </row>
    <row r="1399" customFormat="false" ht="12.75" hidden="false" customHeight="true" outlineLevel="0" collapsed="false">
      <c r="A1399" s="5" t="s">
        <v>3216</v>
      </c>
    </row>
    <row r="1400" customFormat="false" ht="12.75" hidden="false" customHeight="true" outlineLevel="0" collapsed="false">
      <c r="A1400" s="5" t="s">
        <v>3198</v>
      </c>
    </row>
    <row r="1401" customFormat="false" ht="12.75" hidden="false" customHeight="true" outlineLevel="0" collapsed="false">
      <c r="A1401" s="5" t="n">
        <v>0.04</v>
      </c>
    </row>
    <row r="1402" customFormat="false" ht="12.75" hidden="false" customHeight="true" outlineLevel="0" collapsed="false">
      <c r="A1402" s="5" t="s">
        <v>3199</v>
      </c>
    </row>
    <row r="1403" customFormat="false" ht="12.75" hidden="false" customHeight="true" outlineLevel="0" collapsed="false">
      <c r="A1403" s="5" t="s">
        <v>3200</v>
      </c>
    </row>
    <row r="1404" customFormat="false" ht="12.75" hidden="false" customHeight="true" outlineLevel="0" collapsed="false">
      <c r="A1404" s="5" t="n">
        <v>0.01</v>
      </c>
    </row>
    <row r="1405" customFormat="false" ht="12.75" hidden="false" customHeight="true" outlineLevel="0" collapsed="false">
      <c r="A1405" s="5" t="s">
        <v>3201</v>
      </c>
    </row>
    <row r="1406" customFormat="false" ht="12.75" hidden="false" customHeight="true" outlineLevel="0" collapsed="false">
      <c r="A1406" s="5" t="s">
        <v>3200</v>
      </c>
    </row>
    <row r="1407" customFormat="false" ht="12.75" hidden="false" customHeight="true" outlineLevel="0" collapsed="false">
      <c r="A1407" s="5" t="s">
        <v>2536</v>
      </c>
    </row>
    <row r="1408" customFormat="false" ht="12.75" hidden="false" customHeight="true" outlineLevel="0" collapsed="false">
      <c r="A1408" s="5" t="s">
        <v>307</v>
      </c>
    </row>
    <row r="1409" customFormat="false" ht="12.75" hidden="false" customHeight="true" outlineLevel="0" collapsed="false">
      <c r="A1409" s="5" t="n">
        <v>0.2</v>
      </c>
    </row>
    <row r="1410" customFormat="false" ht="12.75" hidden="false" customHeight="true" outlineLevel="0" collapsed="false">
      <c r="A1410" s="5" t="s">
        <v>1638</v>
      </c>
    </row>
    <row r="1411" customFormat="false" ht="12.75" hidden="false" customHeight="true" outlineLevel="0" collapsed="false">
      <c r="A1411" s="5" t="s">
        <v>3192</v>
      </c>
    </row>
    <row r="1412" customFormat="false" ht="12.75" hidden="false" customHeight="true" outlineLevel="0" collapsed="false">
      <c r="A1412" s="5" t="n">
        <v>0.1</v>
      </c>
    </row>
    <row r="1413" customFormat="false" ht="12.75" hidden="false" customHeight="true" outlineLevel="0" collapsed="false">
      <c r="A1413" s="5" t="s">
        <v>3193</v>
      </c>
    </row>
    <row r="1414" customFormat="false" ht="12.75" hidden="false" customHeight="true" outlineLevel="0" collapsed="false">
      <c r="A1414" s="5" t="s">
        <v>3194</v>
      </c>
    </row>
    <row r="1415" customFormat="false" ht="12.75" hidden="false" customHeight="true" outlineLevel="0" collapsed="false">
      <c r="A1415" s="5" t="s">
        <v>3195</v>
      </c>
    </row>
    <row r="1416" customFormat="false" ht="12.75" hidden="false" customHeight="true" outlineLevel="0" collapsed="false">
      <c r="A1416" s="5" t="s">
        <v>3215</v>
      </c>
    </row>
    <row r="1417" customFormat="false" ht="12.75" hidden="false" customHeight="true" outlineLevel="0" collapsed="false">
      <c r="A1417" s="5" t="n">
        <v>0.05</v>
      </c>
    </row>
    <row r="1418" customFormat="false" ht="12.75" hidden="false" customHeight="true" outlineLevel="0" collapsed="false">
      <c r="A1418" s="5" t="s">
        <v>3216</v>
      </c>
    </row>
    <row r="1419" customFormat="false" ht="12.75" hidden="false" customHeight="true" outlineLevel="0" collapsed="false">
      <c r="A1419" s="5" t="s">
        <v>3198</v>
      </c>
    </row>
    <row r="1420" customFormat="false" ht="12.75" hidden="false" customHeight="true" outlineLevel="0" collapsed="false">
      <c r="A1420" s="5" t="n">
        <v>0.04</v>
      </c>
    </row>
    <row r="1421" customFormat="false" ht="12.75" hidden="false" customHeight="true" outlineLevel="0" collapsed="false">
      <c r="A1421" s="5" t="s">
        <v>3199</v>
      </c>
    </row>
    <row r="1422" customFormat="false" ht="12.75" hidden="false" customHeight="true" outlineLevel="0" collapsed="false">
      <c r="A1422" s="5" t="s">
        <v>3200</v>
      </c>
    </row>
    <row r="1423" customFormat="false" ht="12.75" hidden="false" customHeight="true" outlineLevel="0" collapsed="false">
      <c r="A1423" s="5" t="n">
        <v>0.01</v>
      </c>
    </row>
    <row r="1424" customFormat="false" ht="12.75" hidden="false" customHeight="true" outlineLevel="0" collapsed="false">
      <c r="A1424" s="5" t="s">
        <v>3201</v>
      </c>
    </row>
    <row r="1425" customFormat="false" ht="12.75" hidden="false" customHeight="true" outlineLevel="0" collapsed="false">
      <c r="A1425" s="5" t="s">
        <v>3200</v>
      </c>
    </row>
    <row r="1426" customFormat="false" ht="12.75" hidden="false" customHeight="true" outlineLevel="0" collapsed="false">
      <c r="A1426" s="5" t="s">
        <v>2536</v>
      </c>
    </row>
    <row r="1427" customFormat="false" ht="12.75" hidden="false" customHeight="true" outlineLevel="0" collapsed="false">
      <c r="A1427" s="5" t="s">
        <v>309</v>
      </c>
    </row>
    <row r="1428" customFormat="false" ht="12.75" hidden="false" customHeight="true" outlineLevel="0" collapsed="false">
      <c r="A1428" s="5" t="n">
        <v>0.2</v>
      </c>
    </row>
    <row r="1429" customFormat="false" ht="12.75" hidden="false" customHeight="true" outlineLevel="0" collapsed="false">
      <c r="A1429" s="5" t="s">
        <v>1638</v>
      </c>
    </row>
    <row r="1430" customFormat="false" ht="12.75" hidden="false" customHeight="true" outlineLevel="0" collapsed="false">
      <c r="A1430" s="5" t="s">
        <v>3192</v>
      </c>
    </row>
    <row r="1431" customFormat="false" ht="12.75" hidden="false" customHeight="true" outlineLevel="0" collapsed="false">
      <c r="A1431" s="5" t="n">
        <v>0.1</v>
      </c>
    </row>
    <row r="1432" customFormat="false" ht="12.75" hidden="false" customHeight="true" outlineLevel="0" collapsed="false">
      <c r="A1432" s="5" t="s">
        <v>3193</v>
      </c>
    </row>
    <row r="1433" customFormat="false" ht="12.75" hidden="false" customHeight="true" outlineLevel="0" collapsed="false">
      <c r="A1433" s="5" t="s">
        <v>3194</v>
      </c>
    </row>
    <row r="1434" customFormat="false" ht="12.75" hidden="false" customHeight="true" outlineLevel="0" collapsed="false">
      <c r="A1434" s="5" t="s">
        <v>3195</v>
      </c>
    </row>
    <row r="1435" customFormat="false" ht="12.75" hidden="false" customHeight="true" outlineLevel="0" collapsed="false">
      <c r="A1435" s="5" t="s">
        <v>3215</v>
      </c>
    </row>
    <row r="1436" customFormat="false" ht="12.75" hidden="false" customHeight="true" outlineLevel="0" collapsed="false">
      <c r="A1436" s="5" t="n">
        <v>0.05</v>
      </c>
    </row>
    <row r="1437" customFormat="false" ht="12.75" hidden="false" customHeight="true" outlineLevel="0" collapsed="false">
      <c r="A1437" s="5" t="s">
        <v>3216</v>
      </c>
    </row>
    <row r="1438" customFormat="false" ht="12.75" hidden="false" customHeight="true" outlineLevel="0" collapsed="false">
      <c r="A1438" s="5" t="s">
        <v>3198</v>
      </c>
    </row>
    <row r="1439" customFormat="false" ht="12.75" hidden="false" customHeight="true" outlineLevel="0" collapsed="false">
      <c r="A1439" s="5" t="n">
        <v>0.04</v>
      </c>
    </row>
    <row r="1440" customFormat="false" ht="12.75" hidden="false" customHeight="true" outlineLevel="0" collapsed="false">
      <c r="A1440" s="5" t="s">
        <v>3199</v>
      </c>
    </row>
    <row r="1441" customFormat="false" ht="12.75" hidden="false" customHeight="true" outlineLevel="0" collapsed="false">
      <c r="A1441" s="5" t="s">
        <v>3200</v>
      </c>
    </row>
    <row r="1442" customFormat="false" ht="12.75" hidden="false" customHeight="true" outlineLevel="0" collapsed="false">
      <c r="A1442" s="5" t="n">
        <v>0.01</v>
      </c>
    </row>
    <row r="1443" customFormat="false" ht="12.75" hidden="false" customHeight="true" outlineLevel="0" collapsed="false">
      <c r="A1443" s="5" t="s">
        <v>3201</v>
      </c>
    </row>
    <row r="1444" customFormat="false" ht="12.75" hidden="false" customHeight="true" outlineLevel="0" collapsed="false">
      <c r="A1444" s="5" t="s">
        <v>3200</v>
      </c>
    </row>
    <row r="1445" customFormat="false" ht="12.75" hidden="false" customHeight="true" outlineLevel="0" collapsed="false">
      <c r="A1445" s="5" t="s">
        <v>2536</v>
      </c>
    </row>
    <row r="1446" customFormat="false" ht="12.75" hidden="false" customHeight="true" outlineLevel="0" collapsed="false">
      <c r="A1446" s="5" t="s">
        <v>311</v>
      </c>
    </row>
    <row r="1447" customFormat="false" ht="12.75" hidden="false" customHeight="true" outlineLevel="0" collapsed="false">
      <c r="A1447" s="5" t="n">
        <v>0.2</v>
      </c>
    </row>
    <row r="1448" customFormat="false" ht="12.75" hidden="false" customHeight="true" outlineLevel="0" collapsed="false">
      <c r="A1448" s="5" t="s">
        <v>1638</v>
      </c>
    </row>
    <row r="1449" customFormat="false" ht="12.75" hidden="false" customHeight="true" outlineLevel="0" collapsed="false">
      <c r="A1449" s="5" t="s">
        <v>3192</v>
      </c>
    </row>
    <row r="1450" customFormat="false" ht="12.75" hidden="false" customHeight="true" outlineLevel="0" collapsed="false">
      <c r="A1450" s="5" t="n">
        <v>0.1</v>
      </c>
    </row>
    <row r="1451" customFormat="false" ht="12.75" hidden="false" customHeight="true" outlineLevel="0" collapsed="false">
      <c r="A1451" s="5" t="s">
        <v>3193</v>
      </c>
    </row>
    <row r="1452" customFormat="false" ht="12.75" hidden="false" customHeight="true" outlineLevel="0" collapsed="false">
      <c r="A1452" s="5" t="s">
        <v>3194</v>
      </c>
    </row>
    <row r="1453" customFormat="false" ht="12.75" hidden="false" customHeight="true" outlineLevel="0" collapsed="false">
      <c r="A1453" s="5" t="s">
        <v>3195</v>
      </c>
    </row>
    <row r="1454" customFormat="false" ht="12.75" hidden="false" customHeight="true" outlineLevel="0" collapsed="false">
      <c r="A1454" s="5" t="s">
        <v>3215</v>
      </c>
    </row>
    <row r="1455" customFormat="false" ht="12.75" hidden="false" customHeight="true" outlineLevel="0" collapsed="false">
      <c r="A1455" s="5" t="n">
        <v>0.05</v>
      </c>
    </row>
    <row r="1456" customFormat="false" ht="12.75" hidden="false" customHeight="true" outlineLevel="0" collapsed="false">
      <c r="A1456" s="5" t="s">
        <v>3216</v>
      </c>
    </row>
    <row r="1457" customFormat="false" ht="12.75" hidden="false" customHeight="true" outlineLevel="0" collapsed="false">
      <c r="A1457" s="5" t="s">
        <v>3198</v>
      </c>
    </row>
    <row r="1458" customFormat="false" ht="12.75" hidden="false" customHeight="true" outlineLevel="0" collapsed="false">
      <c r="A1458" s="5" t="n">
        <v>0.04</v>
      </c>
    </row>
    <row r="1459" customFormat="false" ht="12.75" hidden="false" customHeight="true" outlineLevel="0" collapsed="false">
      <c r="A1459" s="5" t="s">
        <v>3199</v>
      </c>
    </row>
    <row r="1460" customFormat="false" ht="12.75" hidden="false" customHeight="true" outlineLevel="0" collapsed="false">
      <c r="A1460" s="5" t="s">
        <v>3200</v>
      </c>
    </row>
    <row r="1461" customFormat="false" ht="12.75" hidden="false" customHeight="true" outlineLevel="0" collapsed="false">
      <c r="A1461" s="5" t="n">
        <v>0.01</v>
      </c>
    </row>
    <row r="1462" customFormat="false" ht="12.75" hidden="false" customHeight="true" outlineLevel="0" collapsed="false">
      <c r="A1462" s="5" t="s">
        <v>3201</v>
      </c>
    </row>
    <row r="1463" customFormat="false" ht="12.75" hidden="false" customHeight="true" outlineLevel="0" collapsed="false">
      <c r="A1463" s="5" t="s">
        <v>3200</v>
      </c>
    </row>
    <row r="1464" customFormat="false" ht="12.75" hidden="false" customHeight="true" outlineLevel="0" collapsed="false">
      <c r="A1464" s="5" t="s">
        <v>2536</v>
      </c>
    </row>
    <row r="1465" customFormat="false" ht="12.75" hidden="false" customHeight="true" outlineLevel="0" collapsed="false">
      <c r="A1465" s="5" t="s">
        <v>469</v>
      </c>
    </row>
    <row r="1466" customFormat="false" ht="12.75" hidden="false" customHeight="true" outlineLevel="0" collapsed="false">
      <c r="A1466" s="5" t="n">
        <v>0.2</v>
      </c>
    </row>
    <row r="1467" customFormat="false" ht="12.75" hidden="false" customHeight="true" outlineLevel="0" collapsed="false">
      <c r="A1467" s="5" t="s">
        <v>1666</v>
      </c>
    </row>
    <row r="1468" customFormat="false" ht="12.75" hidden="false" customHeight="true" outlineLevel="0" collapsed="false">
      <c r="A1468" s="5" t="s">
        <v>3221</v>
      </c>
    </row>
    <row r="1469" customFormat="false" ht="12.75" hidden="false" customHeight="true" outlineLevel="0" collapsed="false">
      <c r="A1469" s="5" t="n">
        <v>0.1</v>
      </c>
    </row>
    <row r="1470" customFormat="false" ht="12.75" hidden="false" customHeight="true" outlineLevel="0" collapsed="false">
      <c r="A1470" s="5" t="s">
        <v>3222</v>
      </c>
    </row>
    <row r="1471" customFormat="false" ht="12.75" hidden="false" customHeight="true" outlineLevel="0" collapsed="false">
      <c r="A1471" s="5" t="s">
        <v>3223</v>
      </c>
    </row>
    <row r="1472" customFormat="false" ht="12.75" hidden="false" customHeight="true" outlineLevel="0" collapsed="false">
      <c r="A1472" s="5" t="s">
        <v>3081</v>
      </c>
    </row>
    <row r="1473" customFormat="false" ht="12.75" hidden="false" customHeight="true" outlineLevel="0" collapsed="false">
      <c r="A1473" s="5" t="s">
        <v>3224</v>
      </c>
    </row>
    <row r="1474" customFormat="false" ht="12.75" hidden="false" customHeight="true" outlineLevel="0" collapsed="false">
      <c r="A1474" s="5" t="n">
        <v>0.05</v>
      </c>
    </row>
    <row r="1475" customFormat="false" ht="12.75" hidden="false" customHeight="true" outlineLevel="0" collapsed="false">
      <c r="A1475" s="5" t="s">
        <v>3225</v>
      </c>
    </row>
    <row r="1476" customFormat="false" ht="12.75" hidden="false" customHeight="true" outlineLevel="0" collapsed="false">
      <c r="A1476" s="5" t="s">
        <v>3226</v>
      </c>
    </row>
    <row r="1477" customFormat="false" ht="12.75" hidden="false" customHeight="true" outlineLevel="0" collapsed="false">
      <c r="A1477" s="5" t="n">
        <v>0.04</v>
      </c>
    </row>
    <row r="1478" customFormat="false" ht="12.75" hidden="false" customHeight="true" outlineLevel="0" collapsed="false">
      <c r="A1478" s="5" t="s">
        <v>3227</v>
      </c>
    </row>
    <row r="1479" customFormat="false" ht="12.75" hidden="false" customHeight="true" outlineLevel="0" collapsed="false">
      <c r="A1479" s="5" t="s">
        <v>3228</v>
      </c>
    </row>
    <row r="1480" customFormat="false" ht="12.75" hidden="false" customHeight="true" outlineLevel="0" collapsed="false">
      <c r="A1480" s="5" t="n">
        <v>0.01</v>
      </c>
    </row>
    <row r="1481" customFormat="false" ht="12.75" hidden="false" customHeight="true" outlineLevel="0" collapsed="false">
      <c r="A1481" s="5" t="s">
        <v>3229</v>
      </c>
    </row>
    <row r="1482" customFormat="false" ht="12.75" hidden="false" customHeight="true" outlineLevel="0" collapsed="false">
      <c r="A1482" s="5" t="s">
        <v>3230</v>
      </c>
    </row>
    <row r="1483" customFormat="false" ht="12.75" hidden="false" customHeight="true" outlineLevel="0" collapsed="false">
      <c r="A1483" s="5" t="s">
        <v>3980</v>
      </c>
    </row>
    <row r="1484" customFormat="false" ht="12.75" hidden="false" customHeight="true" outlineLevel="0" collapsed="false">
      <c r="A1484" s="5" t="s">
        <v>3989</v>
      </c>
    </row>
    <row r="1485" customFormat="false" ht="12.75" hidden="false" customHeight="true" outlineLevel="0" collapsed="false">
      <c r="A1485" s="5" t="s">
        <v>3173</v>
      </c>
    </row>
    <row r="1486" customFormat="false" ht="12.75" hidden="false" customHeight="true" outlineLevel="0" collapsed="false">
      <c r="A1486" s="5" t="s">
        <v>2844</v>
      </c>
    </row>
    <row r="1487" customFormat="false" ht="12.75" hidden="false" customHeight="true" outlineLevel="0" collapsed="false">
      <c r="A1487" s="5" t="s">
        <v>3231</v>
      </c>
    </row>
    <row r="1488" customFormat="false" ht="12.75" hidden="false" customHeight="true" outlineLevel="0" collapsed="false">
      <c r="A1488" s="5" t="s">
        <v>3231</v>
      </c>
    </row>
    <row r="1489" customFormat="false" ht="12.75" hidden="false" customHeight="true" outlineLevel="0" collapsed="false">
      <c r="A1489" s="5" t="s">
        <v>3990</v>
      </c>
    </row>
    <row r="1490" customFormat="false" ht="12.75" hidden="false" customHeight="true" outlineLevel="0" collapsed="false">
      <c r="A1490" s="5" t="s">
        <v>3983</v>
      </c>
    </row>
    <row r="1491" customFormat="false" ht="12.75" hidden="false" customHeight="true" outlineLevel="0" collapsed="false">
      <c r="A1491" s="5" t="s">
        <v>3000</v>
      </c>
    </row>
    <row r="1492" customFormat="false" ht="12.75" hidden="false" customHeight="true" outlineLevel="0" collapsed="false">
      <c r="A1492" s="5" t="s">
        <v>3001</v>
      </c>
    </row>
    <row r="1493" customFormat="false" ht="12.75" hidden="false" customHeight="true" outlineLevel="0" collapsed="false">
      <c r="A1493" s="5" t="s">
        <v>3002</v>
      </c>
    </row>
    <row r="1494" customFormat="false" ht="12.75" hidden="false" customHeight="true" outlineLevel="0" collapsed="false">
      <c r="A1494" s="5" t="s">
        <v>3233</v>
      </c>
    </row>
    <row r="1495" customFormat="false" ht="12.75" hidden="false" customHeight="true" outlineLevel="0" collapsed="false">
      <c r="A1495" s="5" t="s">
        <v>3977</v>
      </c>
    </row>
    <row r="1496" customFormat="false" ht="12.75" hidden="false" customHeight="true" outlineLevel="0" collapsed="false">
      <c r="A1496" s="5" t="s">
        <v>1266</v>
      </c>
    </row>
    <row r="1497" customFormat="false" ht="12.75" hidden="false" customHeight="true" outlineLevel="0" collapsed="false">
      <c r="A1497" s="5" t="s">
        <v>1266</v>
      </c>
    </row>
    <row r="1498" customFormat="false" ht="12.75" hidden="false" customHeight="true" outlineLevel="0" collapsed="false">
      <c r="A1498" s="5" t="s">
        <v>3978</v>
      </c>
    </row>
    <row r="1499" customFormat="false" ht="12.75" hidden="false" customHeight="true" outlineLevel="0" collapsed="false">
      <c r="A1499" s="5" t="s">
        <v>2847</v>
      </c>
    </row>
    <row r="1500" customFormat="false" ht="12.75" hidden="false" customHeight="true" outlineLevel="0" collapsed="false">
      <c r="A1500" s="5" t="s">
        <v>2848</v>
      </c>
    </row>
    <row r="1501" customFormat="false" ht="12.75" hidden="false" customHeight="true" outlineLevel="0" collapsed="false">
      <c r="A1501" s="5" t="s">
        <v>2847</v>
      </c>
    </row>
    <row r="1502" customFormat="false" ht="12.75" hidden="false" customHeight="true" outlineLevel="0" collapsed="false">
      <c r="A1502" s="5" t="s">
        <v>3979</v>
      </c>
    </row>
    <row r="1503" customFormat="false" ht="12.75" hidden="false" customHeight="true" outlineLevel="0" collapsed="false">
      <c r="A1503" s="5" t="s">
        <v>2851</v>
      </c>
    </row>
    <row r="1504" customFormat="false" ht="12.75" hidden="false" customHeight="true" outlineLevel="0" collapsed="false">
      <c r="A1504" s="5" t="s">
        <v>2851</v>
      </c>
    </row>
    <row r="1505" customFormat="false" ht="12.75" hidden="false" customHeight="true" outlineLevel="0" collapsed="false">
      <c r="A1505" s="5" t="s">
        <v>2853</v>
      </c>
    </row>
    <row r="1506" customFormat="false" ht="12.75" hidden="false" customHeight="true" outlineLevel="0" collapsed="false">
      <c r="A1506" s="5" t="s">
        <v>3177</v>
      </c>
    </row>
    <row r="1507" customFormat="false" ht="12.75" hidden="false" customHeight="true" outlineLevel="0" collapsed="false">
      <c r="A1507" s="5" t="s">
        <v>2855</v>
      </c>
    </row>
    <row r="1508" customFormat="false" ht="12.75" hidden="false" customHeight="true" outlineLevel="0" collapsed="false">
      <c r="A1508" s="5" t="s">
        <v>2536</v>
      </c>
    </row>
    <row r="1509" customFormat="false" ht="12.75" hidden="false" customHeight="true" outlineLevel="0" collapsed="false">
      <c r="A1509" s="5" t="s">
        <v>471</v>
      </c>
    </row>
    <row r="1510" customFormat="false" ht="12.75" hidden="false" customHeight="true" outlineLevel="0" collapsed="false">
      <c r="A1510" s="5" t="n">
        <v>0.2</v>
      </c>
    </row>
    <row r="1511" customFormat="false" ht="12.75" hidden="false" customHeight="true" outlineLevel="0" collapsed="false">
      <c r="A1511" s="5" t="s">
        <v>1666</v>
      </c>
    </row>
    <row r="1512" customFormat="false" ht="12.75" hidden="false" customHeight="true" outlineLevel="0" collapsed="false">
      <c r="A1512" s="5" t="s">
        <v>3235</v>
      </c>
    </row>
    <row r="1513" customFormat="false" ht="12.75" hidden="false" customHeight="true" outlineLevel="0" collapsed="false">
      <c r="A1513" s="5" t="n">
        <v>0.1</v>
      </c>
    </row>
    <row r="1514" customFormat="false" ht="12.75" hidden="false" customHeight="true" outlineLevel="0" collapsed="false">
      <c r="A1514" s="5" t="s">
        <v>1687</v>
      </c>
    </row>
    <row r="1515" customFormat="false" ht="12.75" hidden="false" customHeight="true" outlineLevel="0" collapsed="false">
      <c r="A1515" s="5" t="s">
        <v>3236</v>
      </c>
    </row>
    <row r="1516" customFormat="false" ht="12.75" hidden="false" customHeight="true" outlineLevel="0" collapsed="false">
      <c r="A1516" s="5" t="s">
        <v>3222</v>
      </c>
    </row>
    <row r="1517" customFormat="false" ht="12.75" hidden="false" customHeight="true" outlineLevel="0" collapsed="false">
      <c r="A1517" s="5" t="s">
        <v>3224</v>
      </c>
    </row>
    <row r="1518" customFormat="false" ht="12.75" hidden="false" customHeight="true" outlineLevel="0" collapsed="false">
      <c r="A1518" s="5" t="n">
        <v>0.05</v>
      </c>
    </row>
    <row r="1519" customFormat="false" ht="12.75" hidden="false" customHeight="true" outlineLevel="0" collapsed="false">
      <c r="A1519" s="5" t="s">
        <v>3070</v>
      </c>
    </row>
    <row r="1520" customFormat="false" ht="12.75" hidden="false" customHeight="true" outlineLevel="0" collapsed="false">
      <c r="A1520" s="5" t="s">
        <v>3133</v>
      </c>
    </row>
    <row r="1521" customFormat="false" ht="12.75" hidden="false" customHeight="true" outlineLevel="0" collapsed="false">
      <c r="A1521" s="5" t="n">
        <v>0.04</v>
      </c>
    </row>
    <row r="1522" customFormat="false" ht="12.75" hidden="false" customHeight="true" outlineLevel="0" collapsed="false">
      <c r="A1522" s="5" t="s">
        <v>3074</v>
      </c>
    </row>
    <row r="1523" customFormat="false" ht="12.75" hidden="false" customHeight="true" outlineLevel="0" collapsed="false">
      <c r="A1523" s="5" t="s">
        <v>3228</v>
      </c>
    </row>
    <row r="1524" customFormat="false" ht="12.75" hidden="false" customHeight="true" outlineLevel="0" collapsed="false">
      <c r="A1524" s="5" t="n">
        <v>0.01</v>
      </c>
    </row>
    <row r="1525" customFormat="false" ht="12.75" hidden="false" customHeight="true" outlineLevel="0" collapsed="false">
      <c r="A1525" s="5" t="s">
        <v>3074</v>
      </c>
    </row>
    <row r="1526" customFormat="false" ht="12.75" hidden="false" customHeight="true" outlineLevel="0" collapsed="false">
      <c r="A1526" s="5" t="s">
        <v>3230</v>
      </c>
    </row>
    <row r="1527" customFormat="false" ht="12.75" hidden="false" customHeight="true" outlineLevel="0" collapsed="false">
      <c r="A1527" s="5" t="s">
        <v>3980</v>
      </c>
    </row>
    <row r="1528" customFormat="false" ht="12.75" hidden="false" customHeight="true" outlineLevel="0" collapsed="false">
      <c r="A1528" s="5" t="s">
        <v>3989</v>
      </c>
    </row>
    <row r="1529" customFormat="false" ht="12.75" hidden="false" customHeight="true" outlineLevel="0" collapsed="false">
      <c r="A1529" s="5" t="s">
        <v>3173</v>
      </c>
    </row>
    <row r="1530" customFormat="false" ht="12.75" hidden="false" customHeight="true" outlineLevel="0" collapsed="false">
      <c r="A1530" s="5" t="s">
        <v>2844</v>
      </c>
    </row>
    <row r="1531" customFormat="false" ht="12.75" hidden="false" customHeight="true" outlineLevel="0" collapsed="false">
      <c r="A1531" s="5" t="s">
        <v>3231</v>
      </c>
    </row>
    <row r="1532" customFormat="false" ht="12.75" hidden="false" customHeight="true" outlineLevel="0" collapsed="false">
      <c r="A1532" s="5" t="s">
        <v>3231</v>
      </c>
    </row>
    <row r="1533" customFormat="false" ht="12.75" hidden="false" customHeight="true" outlineLevel="0" collapsed="false">
      <c r="A1533" s="5" t="s">
        <v>3977</v>
      </c>
    </row>
    <row r="1534" customFormat="false" ht="12.75" hidden="false" customHeight="true" outlineLevel="0" collapsed="false">
      <c r="A1534" s="5" t="s">
        <v>1266</v>
      </c>
    </row>
    <row r="1535" customFormat="false" ht="12.75" hidden="false" customHeight="true" outlineLevel="0" collapsed="false">
      <c r="A1535" s="5" t="s">
        <v>1266</v>
      </c>
    </row>
    <row r="1536" customFormat="false" ht="12.75" hidden="false" customHeight="true" outlineLevel="0" collapsed="false">
      <c r="A1536" s="5" t="s">
        <v>3978</v>
      </c>
    </row>
    <row r="1537" customFormat="false" ht="12.75" hidden="false" customHeight="true" outlineLevel="0" collapsed="false">
      <c r="A1537" s="5" t="s">
        <v>2847</v>
      </c>
    </row>
    <row r="1538" customFormat="false" ht="12.75" hidden="false" customHeight="true" outlineLevel="0" collapsed="false">
      <c r="A1538" s="5" t="s">
        <v>2848</v>
      </c>
    </row>
    <row r="1539" customFormat="false" ht="12.75" hidden="false" customHeight="true" outlineLevel="0" collapsed="false">
      <c r="A1539" s="5" t="s">
        <v>2847</v>
      </c>
    </row>
    <row r="1540" customFormat="false" ht="12.75" hidden="false" customHeight="true" outlineLevel="0" collapsed="false">
      <c r="A1540" s="5" t="s">
        <v>3979</v>
      </c>
    </row>
    <row r="1541" customFormat="false" ht="12.75" hidden="false" customHeight="true" outlineLevel="0" collapsed="false">
      <c r="A1541" s="5" t="s">
        <v>2851</v>
      </c>
    </row>
    <row r="1542" customFormat="false" ht="12.75" hidden="false" customHeight="true" outlineLevel="0" collapsed="false">
      <c r="A1542" s="5" t="s">
        <v>2851</v>
      </c>
    </row>
    <row r="1543" customFormat="false" ht="12.75" hidden="false" customHeight="true" outlineLevel="0" collapsed="false">
      <c r="A1543" s="5" t="s">
        <v>2853</v>
      </c>
    </row>
    <row r="1544" customFormat="false" ht="12.75" hidden="false" customHeight="true" outlineLevel="0" collapsed="false">
      <c r="A1544" s="5" t="s">
        <v>3177</v>
      </c>
    </row>
    <row r="1545" customFormat="false" ht="12.75" hidden="false" customHeight="true" outlineLevel="0" collapsed="false">
      <c r="A1545" s="5" t="s">
        <v>2855</v>
      </c>
    </row>
    <row r="1546" customFormat="false" ht="12.75" hidden="false" customHeight="true" outlineLevel="0" collapsed="false">
      <c r="A1546" s="5" t="s">
        <v>2536</v>
      </c>
    </row>
    <row r="1547" customFormat="false" ht="12.75" hidden="false" customHeight="true" outlineLevel="0" collapsed="false">
      <c r="A1547" s="5" t="s">
        <v>473</v>
      </c>
    </row>
    <row r="1548" customFormat="false" ht="12.75" hidden="false" customHeight="true" outlineLevel="0" collapsed="false">
      <c r="A1548" s="5" t="n">
        <v>0.2</v>
      </c>
    </row>
    <row r="1549" customFormat="false" ht="12.75" hidden="false" customHeight="true" outlineLevel="0" collapsed="false">
      <c r="A1549" s="5" t="s">
        <v>1687</v>
      </c>
    </row>
    <row r="1550" customFormat="false" ht="12.75" hidden="false" customHeight="true" outlineLevel="0" collapsed="false">
      <c r="A1550" s="5" t="s">
        <v>3129</v>
      </c>
    </row>
    <row r="1551" customFormat="false" ht="12.75" hidden="false" customHeight="true" outlineLevel="0" collapsed="false">
      <c r="A1551" s="5" t="n">
        <v>0.1</v>
      </c>
    </row>
    <row r="1552" customFormat="false" ht="12.75" hidden="false" customHeight="true" outlineLevel="0" collapsed="false">
      <c r="A1552" s="5" t="s">
        <v>3238</v>
      </c>
    </row>
    <row r="1553" customFormat="false" ht="12.75" hidden="false" customHeight="true" outlineLevel="0" collapsed="false">
      <c r="A1553" s="5" t="s">
        <v>3239</v>
      </c>
    </row>
    <row r="1554" customFormat="false" ht="12.75" hidden="false" customHeight="true" outlineLevel="0" collapsed="false">
      <c r="A1554" s="5" t="s">
        <v>3222</v>
      </c>
    </row>
    <row r="1555" customFormat="false" ht="12.75" hidden="false" customHeight="true" outlineLevel="0" collapsed="false">
      <c r="A1555" s="5" t="s">
        <v>3224</v>
      </c>
    </row>
    <row r="1556" customFormat="false" ht="12.75" hidden="false" customHeight="true" outlineLevel="0" collapsed="false">
      <c r="A1556" s="5" t="n">
        <v>0.05</v>
      </c>
    </row>
    <row r="1557" customFormat="false" ht="12.75" hidden="false" customHeight="true" outlineLevel="0" collapsed="false">
      <c r="A1557" s="5" t="s">
        <v>3240</v>
      </c>
    </row>
    <row r="1558" customFormat="false" ht="12.75" hidden="false" customHeight="true" outlineLevel="0" collapsed="false">
      <c r="A1558" s="5" t="s">
        <v>3133</v>
      </c>
    </row>
    <row r="1559" customFormat="false" ht="12.75" hidden="false" customHeight="true" outlineLevel="0" collapsed="false">
      <c r="A1559" s="5" t="n">
        <v>0.04</v>
      </c>
    </row>
    <row r="1560" customFormat="false" ht="12.75" hidden="false" customHeight="true" outlineLevel="0" collapsed="false">
      <c r="A1560" s="5" t="s">
        <v>3241</v>
      </c>
    </row>
    <row r="1561" customFormat="false" ht="12.75" hidden="false" customHeight="true" outlineLevel="0" collapsed="false">
      <c r="A1561" s="5" t="s">
        <v>3228</v>
      </c>
    </row>
    <row r="1562" customFormat="false" ht="12.75" hidden="false" customHeight="true" outlineLevel="0" collapsed="false">
      <c r="A1562" s="5" t="n">
        <v>0.01</v>
      </c>
    </row>
    <row r="1563" customFormat="false" ht="12.75" hidden="false" customHeight="true" outlineLevel="0" collapsed="false">
      <c r="A1563" s="5" t="s">
        <v>3242</v>
      </c>
    </row>
    <row r="1564" customFormat="false" ht="12.75" hidden="false" customHeight="true" outlineLevel="0" collapsed="false">
      <c r="A1564" s="5" t="s">
        <v>3230</v>
      </c>
    </row>
    <row r="1565" customFormat="false" ht="12.75" hidden="false" customHeight="true" outlineLevel="0" collapsed="false">
      <c r="A1565" s="5" t="s">
        <v>3980</v>
      </c>
    </row>
    <row r="1566" customFormat="false" ht="12.75" hidden="false" customHeight="true" outlineLevel="0" collapsed="false">
      <c r="A1566" s="5" t="s">
        <v>3987</v>
      </c>
    </row>
    <row r="1567" customFormat="false" ht="12.75" hidden="false" customHeight="true" outlineLevel="0" collapsed="false">
      <c r="A1567" s="5" t="s">
        <v>3139</v>
      </c>
    </row>
    <row r="1568" customFormat="false" ht="12.75" hidden="false" customHeight="true" outlineLevel="0" collapsed="false">
      <c r="A1568" s="5" t="s">
        <v>3140</v>
      </c>
    </row>
    <row r="1569" customFormat="false" ht="12.75" hidden="false" customHeight="true" outlineLevel="0" collapsed="false">
      <c r="A1569" s="5" t="s">
        <v>3141</v>
      </c>
    </row>
    <row r="1570" customFormat="false" ht="12.75" hidden="false" customHeight="true" outlineLevel="0" collapsed="false">
      <c r="A1570" s="5" t="s">
        <v>3141</v>
      </c>
    </row>
    <row r="1571" customFormat="false" ht="12.75" hidden="false" customHeight="true" outlineLevel="0" collapsed="false">
      <c r="A1571" s="5" t="s">
        <v>3977</v>
      </c>
    </row>
    <row r="1572" customFormat="false" ht="12.75" hidden="false" customHeight="true" outlineLevel="0" collapsed="false">
      <c r="A1572" s="5" t="s">
        <v>1266</v>
      </c>
    </row>
    <row r="1573" customFormat="false" ht="12.75" hidden="false" customHeight="true" outlineLevel="0" collapsed="false">
      <c r="A1573" s="5" t="s">
        <v>1266</v>
      </c>
    </row>
    <row r="1574" customFormat="false" ht="12.75" hidden="false" customHeight="true" outlineLevel="0" collapsed="false">
      <c r="A1574" s="5" t="s">
        <v>3978</v>
      </c>
    </row>
    <row r="1575" customFormat="false" ht="12.75" hidden="false" customHeight="true" outlineLevel="0" collapsed="false">
      <c r="A1575" s="5" t="s">
        <v>3143</v>
      </c>
    </row>
    <row r="1576" customFormat="false" ht="12.75" hidden="false" customHeight="true" outlineLevel="0" collapsed="false">
      <c r="A1576" s="5" t="s">
        <v>2848</v>
      </c>
    </row>
    <row r="1577" customFormat="false" ht="12.75" hidden="false" customHeight="true" outlineLevel="0" collapsed="false">
      <c r="A1577" s="5" t="s">
        <v>3142</v>
      </c>
    </row>
    <row r="1578" customFormat="false" ht="12.75" hidden="false" customHeight="true" outlineLevel="0" collapsed="false">
      <c r="A1578" s="5" t="s">
        <v>3979</v>
      </c>
    </row>
    <row r="1579" customFormat="false" ht="12.75" hidden="false" customHeight="true" outlineLevel="0" collapsed="false">
      <c r="A1579" s="5" t="s">
        <v>3161</v>
      </c>
    </row>
    <row r="1580" customFormat="false" ht="12.75" hidden="false" customHeight="true" outlineLevel="0" collapsed="false">
      <c r="A1580" s="5" t="s">
        <v>3162</v>
      </c>
    </row>
    <row r="1581" customFormat="false" ht="12.75" hidden="false" customHeight="true" outlineLevel="0" collapsed="false">
      <c r="A1581" s="5" t="s">
        <v>2853</v>
      </c>
    </row>
    <row r="1582" customFormat="false" ht="12.75" hidden="false" customHeight="true" outlineLevel="0" collapsed="false">
      <c r="A1582" s="5" t="s">
        <v>3146</v>
      </c>
    </row>
    <row r="1583" customFormat="false" ht="12.75" hidden="false" customHeight="true" outlineLevel="0" collapsed="false">
      <c r="A1583" s="5" t="s">
        <v>2855</v>
      </c>
    </row>
    <row r="1584" customFormat="false" ht="12.75" hidden="false" customHeight="true" outlineLevel="0" collapsed="false">
      <c r="A1584" s="5" t="s">
        <v>2536</v>
      </c>
    </row>
    <row r="1585" customFormat="false" ht="12.75" hidden="false" customHeight="true" outlineLevel="0" collapsed="false">
      <c r="A1585" s="5" t="s">
        <v>475</v>
      </c>
    </row>
    <row r="1586" customFormat="false" ht="12.75" hidden="false" customHeight="true" outlineLevel="0" collapsed="false">
      <c r="A1586" s="5" t="n">
        <v>0.2</v>
      </c>
    </row>
    <row r="1587" customFormat="false" ht="12.75" hidden="false" customHeight="true" outlineLevel="0" collapsed="false">
      <c r="A1587" s="5" t="s">
        <v>1695</v>
      </c>
    </row>
    <row r="1588" customFormat="false" ht="12.75" hidden="false" customHeight="true" outlineLevel="0" collapsed="false">
      <c r="A1588" s="5" t="s">
        <v>3244</v>
      </c>
    </row>
    <row r="1589" customFormat="false" ht="12.75" hidden="false" customHeight="true" outlineLevel="0" collapsed="false">
      <c r="A1589" s="5" t="n">
        <v>0.1</v>
      </c>
    </row>
    <row r="1590" customFormat="false" ht="12.75" hidden="false" customHeight="true" outlineLevel="0" collapsed="false">
      <c r="A1590" s="5" t="s">
        <v>3245</v>
      </c>
    </row>
    <row r="1591" customFormat="false" ht="12.75" hidden="false" customHeight="true" outlineLevel="0" collapsed="false">
      <c r="A1591" s="5" t="s">
        <v>3239</v>
      </c>
    </row>
    <row r="1592" customFormat="false" ht="12.75" hidden="false" customHeight="true" outlineLevel="0" collapsed="false">
      <c r="A1592" s="5" t="s">
        <v>3246</v>
      </c>
    </row>
    <row r="1593" customFormat="false" ht="12.75" hidden="false" customHeight="true" outlineLevel="0" collapsed="false">
      <c r="A1593" s="5" t="s">
        <v>3224</v>
      </c>
    </row>
    <row r="1594" customFormat="false" ht="12.75" hidden="false" customHeight="true" outlineLevel="0" collapsed="false">
      <c r="A1594" s="5" t="n">
        <v>0.05</v>
      </c>
    </row>
    <row r="1595" customFormat="false" ht="12.75" hidden="false" customHeight="true" outlineLevel="0" collapsed="false">
      <c r="A1595" s="5" t="s">
        <v>3130</v>
      </c>
    </row>
    <row r="1596" customFormat="false" ht="12.75" hidden="false" customHeight="true" outlineLevel="0" collapsed="false">
      <c r="A1596" s="5" t="s">
        <v>3133</v>
      </c>
    </row>
    <row r="1597" customFormat="false" ht="12.75" hidden="false" customHeight="true" outlineLevel="0" collapsed="false">
      <c r="A1597" s="5" t="n">
        <v>0.04</v>
      </c>
    </row>
    <row r="1598" customFormat="false" ht="12.75" hidden="false" customHeight="true" outlineLevel="0" collapsed="false">
      <c r="A1598" s="5" t="s">
        <v>1569</v>
      </c>
    </row>
    <row r="1599" customFormat="false" ht="12.75" hidden="false" customHeight="true" outlineLevel="0" collapsed="false">
      <c r="A1599" s="5" t="s">
        <v>3228</v>
      </c>
    </row>
    <row r="1600" customFormat="false" ht="12.75" hidden="false" customHeight="true" outlineLevel="0" collapsed="false">
      <c r="A1600" s="5" t="n">
        <v>0.01</v>
      </c>
    </row>
    <row r="1601" customFormat="false" ht="12.75" hidden="false" customHeight="true" outlineLevel="0" collapsed="false">
      <c r="A1601" s="5" t="s">
        <v>3247</v>
      </c>
    </row>
    <row r="1602" customFormat="false" ht="12.75" hidden="false" customHeight="true" outlineLevel="0" collapsed="false">
      <c r="A1602" s="5" t="s">
        <v>3230</v>
      </c>
    </row>
    <row r="1603" customFormat="false" ht="12.75" hidden="false" customHeight="true" outlineLevel="0" collapsed="false">
      <c r="A1603" s="5" t="s">
        <v>3980</v>
      </c>
    </row>
    <row r="1604" customFormat="false" ht="12.75" hidden="false" customHeight="true" outlineLevel="0" collapsed="false">
      <c r="A1604" s="5" t="s">
        <v>3989</v>
      </c>
    </row>
    <row r="1605" customFormat="false" ht="12.75" hidden="false" customHeight="true" outlineLevel="0" collapsed="false">
      <c r="A1605" s="5" t="s">
        <v>3173</v>
      </c>
    </row>
    <row r="1606" customFormat="false" ht="12.75" hidden="false" customHeight="true" outlineLevel="0" collapsed="false">
      <c r="A1606" s="5" t="s">
        <v>2844</v>
      </c>
    </row>
    <row r="1607" customFormat="false" ht="12.75" hidden="false" customHeight="true" outlineLevel="0" collapsed="false">
      <c r="A1607" s="5" t="s">
        <v>3231</v>
      </c>
    </row>
    <row r="1608" customFormat="false" ht="12.75" hidden="false" customHeight="true" outlineLevel="0" collapsed="false">
      <c r="A1608" s="5" t="s">
        <v>3231</v>
      </c>
    </row>
    <row r="1609" customFormat="false" ht="12.75" hidden="false" customHeight="true" outlineLevel="0" collapsed="false">
      <c r="A1609" s="5" t="s">
        <v>3977</v>
      </c>
    </row>
    <row r="1610" customFormat="false" ht="12.75" hidden="false" customHeight="true" outlineLevel="0" collapsed="false">
      <c r="A1610" s="5" t="s">
        <v>1266</v>
      </c>
    </row>
    <row r="1611" customFormat="false" ht="12.75" hidden="false" customHeight="true" outlineLevel="0" collapsed="false">
      <c r="A1611" s="5" t="s">
        <v>1266</v>
      </c>
    </row>
    <row r="1612" customFormat="false" ht="12.75" hidden="false" customHeight="true" outlineLevel="0" collapsed="false">
      <c r="A1612" s="5" t="s">
        <v>3978</v>
      </c>
    </row>
    <row r="1613" customFormat="false" ht="12.75" hidden="false" customHeight="true" outlineLevel="0" collapsed="false">
      <c r="A1613" s="5" t="s">
        <v>2847</v>
      </c>
    </row>
    <row r="1614" customFormat="false" ht="12.75" hidden="false" customHeight="true" outlineLevel="0" collapsed="false">
      <c r="A1614" s="5" t="s">
        <v>2848</v>
      </c>
    </row>
    <row r="1615" customFormat="false" ht="12.75" hidden="false" customHeight="true" outlineLevel="0" collapsed="false">
      <c r="A1615" s="5" t="s">
        <v>2847</v>
      </c>
    </row>
    <row r="1616" customFormat="false" ht="12.75" hidden="false" customHeight="true" outlineLevel="0" collapsed="false">
      <c r="A1616" s="5" t="s">
        <v>3979</v>
      </c>
    </row>
    <row r="1617" customFormat="false" ht="12.75" hidden="false" customHeight="true" outlineLevel="0" collapsed="false">
      <c r="A1617" s="5" t="s">
        <v>2851</v>
      </c>
    </row>
    <row r="1618" customFormat="false" ht="12.75" hidden="false" customHeight="true" outlineLevel="0" collapsed="false">
      <c r="A1618" s="5" t="s">
        <v>2851</v>
      </c>
    </row>
    <row r="1619" customFormat="false" ht="12.75" hidden="false" customHeight="true" outlineLevel="0" collapsed="false">
      <c r="A1619" s="5" t="s">
        <v>2853</v>
      </c>
    </row>
    <row r="1620" customFormat="false" ht="12.75" hidden="false" customHeight="true" outlineLevel="0" collapsed="false">
      <c r="A1620" s="5" t="s">
        <v>3177</v>
      </c>
    </row>
    <row r="1621" customFormat="false" ht="12.75" hidden="false" customHeight="true" outlineLevel="0" collapsed="false">
      <c r="A1621" s="5" t="s">
        <v>2855</v>
      </c>
    </row>
    <row r="1622" customFormat="false" ht="12.75" hidden="false" customHeight="true" outlineLevel="0" collapsed="false">
      <c r="A1622" s="5" t="s">
        <v>2536</v>
      </c>
    </row>
    <row r="1623" customFormat="false" ht="12.75" hidden="false" customHeight="true" outlineLevel="0" collapsed="false">
      <c r="A1623" s="5" t="s">
        <v>477</v>
      </c>
    </row>
    <row r="1624" customFormat="false" ht="12.75" hidden="false" customHeight="true" outlineLevel="0" collapsed="false">
      <c r="A1624" s="5" t="n">
        <v>0.2</v>
      </c>
    </row>
    <row r="1625" customFormat="false" ht="12.75" hidden="false" customHeight="true" outlineLevel="0" collapsed="false">
      <c r="A1625" s="5" t="s">
        <v>1702</v>
      </c>
    </row>
    <row r="1626" customFormat="false" ht="12.75" hidden="false" customHeight="true" outlineLevel="0" collapsed="false">
      <c r="A1626" s="5" t="s">
        <v>1702</v>
      </c>
    </row>
    <row r="1627" customFormat="false" ht="12.75" hidden="false" customHeight="true" outlineLevel="0" collapsed="false">
      <c r="A1627" s="5" t="n">
        <v>0.1</v>
      </c>
    </row>
    <row r="1628" customFormat="false" ht="12.75" hidden="false" customHeight="true" outlineLevel="0" collapsed="false">
      <c r="A1628" s="5" t="s">
        <v>3249</v>
      </c>
    </row>
    <row r="1629" customFormat="false" ht="12.75" hidden="false" customHeight="true" outlineLevel="0" collapsed="false">
      <c r="A1629" s="5" t="s">
        <v>3249</v>
      </c>
    </row>
    <row r="1630" customFormat="false" ht="12.75" hidden="false" customHeight="true" outlineLevel="0" collapsed="false">
      <c r="A1630" s="5" t="s">
        <v>3250</v>
      </c>
    </row>
    <row r="1631" customFormat="false" ht="12.75" hidden="false" customHeight="true" outlineLevel="0" collapsed="false">
      <c r="A1631" s="5" t="s">
        <v>3250</v>
      </c>
    </row>
    <row r="1632" customFormat="false" ht="12.75" hidden="false" customHeight="true" outlineLevel="0" collapsed="false">
      <c r="A1632" s="5" t="n">
        <v>0.05</v>
      </c>
    </row>
    <row r="1633" customFormat="false" ht="12.75" hidden="false" customHeight="true" outlineLevel="0" collapsed="false">
      <c r="A1633" s="5" t="s">
        <v>3251</v>
      </c>
    </row>
    <row r="1634" customFormat="false" ht="12.75" hidden="false" customHeight="true" outlineLevel="0" collapsed="false">
      <c r="A1634" s="5" t="s">
        <v>3252</v>
      </c>
    </row>
    <row r="1635" customFormat="false" ht="12.75" hidden="false" customHeight="true" outlineLevel="0" collapsed="false">
      <c r="A1635" s="5" t="n">
        <v>0.04</v>
      </c>
    </row>
    <row r="1636" customFormat="false" ht="12.75" hidden="false" customHeight="true" outlineLevel="0" collapsed="false">
      <c r="A1636" s="5" t="s">
        <v>3251</v>
      </c>
    </row>
    <row r="1637" customFormat="false" ht="12.75" hidden="false" customHeight="true" outlineLevel="0" collapsed="false">
      <c r="A1637" s="5" t="s">
        <v>3252</v>
      </c>
    </row>
    <row r="1638" customFormat="false" ht="12.75" hidden="false" customHeight="true" outlineLevel="0" collapsed="false">
      <c r="A1638" s="5" t="n">
        <v>0.01</v>
      </c>
    </row>
    <row r="1639" customFormat="false" ht="12.75" hidden="false" customHeight="true" outlineLevel="0" collapsed="false">
      <c r="A1639" s="5" t="s">
        <v>3253</v>
      </c>
    </row>
    <row r="1640" customFormat="false" ht="12.75" hidden="false" customHeight="true" outlineLevel="0" collapsed="false">
      <c r="A1640" s="5" t="s">
        <v>3721</v>
      </c>
    </row>
    <row r="1641" customFormat="false" ht="12.75" hidden="false" customHeight="true" outlineLevel="0" collapsed="false">
      <c r="A1641" s="5" t="s">
        <v>2536</v>
      </c>
    </row>
    <row r="1642" customFormat="false" ht="12.75" hidden="false" customHeight="true" outlineLevel="0" collapsed="false">
      <c r="A1642" s="5" t="s">
        <v>487</v>
      </c>
    </row>
    <row r="1643" customFormat="false" ht="12.75" hidden="false" customHeight="true" outlineLevel="0" collapsed="false">
      <c r="A1643" s="5" t="s">
        <v>3980</v>
      </c>
    </row>
    <row r="1644" customFormat="false" ht="12.75" hidden="false" customHeight="true" outlineLevel="0" collapsed="false">
      <c r="A1644" s="5" t="s">
        <v>3991</v>
      </c>
    </row>
    <row r="1645" customFormat="false" ht="12.75" hidden="false" customHeight="true" outlineLevel="0" collapsed="false">
      <c r="A1645" s="5" t="s">
        <v>3257</v>
      </c>
    </row>
    <row r="1646" customFormat="false" ht="12.75" hidden="false" customHeight="true" outlineLevel="0" collapsed="false">
      <c r="A1646" s="5" t="s">
        <v>2844</v>
      </c>
    </row>
    <row r="1647" customFormat="false" ht="12.75" hidden="false" customHeight="true" outlineLevel="0" collapsed="false">
      <c r="A1647" s="5" t="s">
        <v>3231</v>
      </c>
    </row>
    <row r="1648" customFormat="false" ht="12.75" hidden="false" customHeight="true" outlineLevel="0" collapsed="false">
      <c r="A1648" s="5" t="s">
        <v>3231</v>
      </c>
    </row>
    <row r="1649" customFormat="false" ht="12.75" hidden="false" customHeight="true" outlineLevel="0" collapsed="false">
      <c r="A1649" s="5" t="s">
        <v>3977</v>
      </c>
    </row>
    <row r="1650" customFormat="false" ht="12.75" hidden="false" customHeight="true" outlineLevel="0" collapsed="false">
      <c r="A1650" s="5" t="s">
        <v>1266</v>
      </c>
    </row>
    <row r="1651" customFormat="false" ht="12.75" hidden="false" customHeight="true" outlineLevel="0" collapsed="false">
      <c r="A1651" s="5" t="s">
        <v>1266</v>
      </c>
    </row>
    <row r="1652" customFormat="false" ht="12.75" hidden="false" customHeight="true" outlineLevel="0" collapsed="false">
      <c r="A1652" s="5" t="s">
        <v>3978</v>
      </c>
    </row>
    <row r="1653" customFormat="false" ht="12.75" hidden="false" customHeight="true" outlineLevel="0" collapsed="false">
      <c r="A1653" s="5" t="s">
        <v>2847</v>
      </c>
    </row>
    <row r="1654" customFormat="false" ht="12.75" hidden="false" customHeight="true" outlineLevel="0" collapsed="false">
      <c r="A1654" s="5" t="s">
        <v>2848</v>
      </c>
    </row>
    <row r="1655" customFormat="false" ht="12.75" hidden="false" customHeight="true" outlineLevel="0" collapsed="false">
      <c r="A1655" s="5" t="s">
        <v>2847</v>
      </c>
    </row>
    <row r="1656" customFormat="false" ht="12.75" hidden="false" customHeight="true" outlineLevel="0" collapsed="false">
      <c r="A1656" s="5" t="s">
        <v>3979</v>
      </c>
    </row>
    <row r="1657" customFormat="false" ht="12.75" hidden="false" customHeight="true" outlineLevel="0" collapsed="false">
      <c r="A1657" s="5" t="s">
        <v>2851</v>
      </c>
    </row>
    <row r="1658" customFormat="false" ht="12.75" hidden="false" customHeight="true" outlineLevel="0" collapsed="false">
      <c r="A1658" s="5" t="s">
        <v>3258</v>
      </c>
    </row>
    <row r="1659" customFormat="false" ht="12.75" hidden="false" customHeight="true" outlineLevel="0" collapsed="false">
      <c r="A1659" s="5" t="s">
        <v>2853</v>
      </c>
    </row>
    <row r="1660" customFormat="false" ht="12.75" hidden="false" customHeight="true" outlineLevel="0" collapsed="false">
      <c r="A1660" s="5" t="s">
        <v>3177</v>
      </c>
    </row>
    <row r="1661" customFormat="false" ht="12.75" hidden="false" customHeight="true" outlineLevel="0" collapsed="false">
      <c r="A1661" s="5" t="s">
        <v>2855</v>
      </c>
    </row>
    <row r="1662" customFormat="false" ht="12.75" hidden="false" customHeight="true" outlineLevel="0" collapsed="false">
      <c r="A1662" s="5" t="s">
        <v>2536</v>
      </c>
    </row>
    <row r="1663" customFormat="false" ht="12.75" hidden="false" customHeight="true" outlineLevel="0" collapsed="false">
      <c r="A1663" s="5" t="s">
        <v>489</v>
      </c>
    </row>
    <row r="1664" customFormat="false" ht="12.75" hidden="false" customHeight="true" outlineLevel="0" collapsed="false">
      <c r="A1664" s="5" t="s">
        <v>3980</v>
      </c>
    </row>
    <row r="1665" customFormat="false" ht="12.75" hidden="false" customHeight="true" outlineLevel="0" collapsed="false">
      <c r="A1665" s="5" t="s">
        <v>3991</v>
      </c>
    </row>
    <row r="1666" customFormat="false" ht="12.75" hidden="false" customHeight="true" outlineLevel="0" collapsed="false">
      <c r="A1666" s="5" t="s">
        <v>3257</v>
      </c>
    </row>
    <row r="1667" customFormat="false" ht="12.75" hidden="false" customHeight="true" outlineLevel="0" collapsed="false">
      <c r="A1667" s="5" t="s">
        <v>2844</v>
      </c>
    </row>
    <row r="1668" customFormat="false" ht="12.75" hidden="false" customHeight="true" outlineLevel="0" collapsed="false">
      <c r="A1668" s="5" t="s">
        <v>3231</v>
      </c>
    </row>
    <row r="1669" customFormat="false" ht="12.75" hidden="false" customHeight="true" outlineLevel="0" collapsed="false">
      <c r="A1669" s="5" t="s">
        <v>3231</v>
      </c>
    </row>
    <row r="1670" customFormat="false" ht="12.75" hidden="false" customHeight="true" outlineLevel="0" collapsed="false">
      <c r="A1670" s="5" t="s">
        <v>3977</v>
      </c>
    </row>
    <row r="1671" customFormat="false" ht="12.75" hidden="false" customHeight="true" outlineLevel="0" collapsed="false">
      <c r="A1671" s="5" t="s">
        <v>1266</v>
      </c>
    </row>
    <row r="1672" customFormat="false" ht="12.75" hidden="false" customHeight="true" outlineLevel="0" collapsed="false">
      <c r="A1672" s="5" t="s">
        <v>1266</v>
      </c>
    </row>
    <row r="1673" customFormat="false" ht="12.75" hidden="false" customHeight="true" outlineLevel="0" collapsed="false">
      <c r="A1673" s="5" t="s">
        <v>3978</v>
      </c>
    </row>
    <row r="1674" customFormat="false" ht="12.75" hidden="false" customHeight="true" outlineLevel="0" collapsed="false">
      <c r="A1674" s="5" t="s">
        <v>2847</v>
      </c>
    </row>
    <row r="1675" customFormat="false" ht="12.75" hidden="false" customHeight="true" outlineLevel="0" collapsed="false">
      <c r="A1675" s="5" t="s">
        <v>2848</v>
      </c>
    </row>
    <row r="1676" customFormat="false" ht="12.75" hidden="false" customHeight="true" outlineLevel="0" collapsed="false">
      <c r="A1676" s="5" t="s">
        <v>2847</v>
      </c>
    </row>
    <row r="1677" customFormat="false" ht="12.75" hidden="false" customHeight="true" outlineLevel="0" collapsed="false">
      <c r="A1677" s="5" t="s">
        <v>3979</v>
      </c>
    </row>
    <row r="1678" customFormat="false" ht="12.75" hidden="false" customHeight="true" outlineLevel="0" collapsed="false">
      <c r="A1678" s="5" t="s">
        <v>2851</v>
      </c>
    </row>
    <row r="1679" customFormat="false" ht="12.75" hidden="false" customHeight="true" outlineLevel="0" collapsed="false">
      <c r="A1679" s="5" t="s">
        <v>3258</v>
      </c>
    </row>
    <row r="1680" customFormat="false" ht="12.75" hidden="false" customHeight="true" outlineLevel="0" collapsed="false">
      <c r="A1680" s="5" t="s">
        <v>2853</v>
      </c>
    </row>
    <row r="1681" customFormat="false" ht="12.75" hidden="false" customHeight="true" outlineLevel="0" collapsed="false">
      <c r="A1681" s="5" t="s">
        <v>3177</v>
      </c>
    </row>
    <row r="1682" customFormat="false" ht="12.75" hidden="false" customHeight="true" outlineLevel="0" collapsed="false">
      <c r="A1682" s="5" t="s">
        <v>2855</v>
      </c>
    </row>
    <row r="1683" customFormat="false" ht="12.75" hidden="false" customHeight="true" outlineLevel="0" collapsed="false">
      <c r="A1683" s="5" t="s">
        <v>2536</v>
      </c>
    </row>
    <row r="1684" customFormat="false" ht="12.75" hidden="false" customHeight="true" outlineLevel="0" collapsed="false">
      <c r="A1684" s="5" t="s">
        <v>491</v>
      </c>
    </row>
    <row r="1685" customFormat="false" ht="12.75" hidden="false" customHeight="true" outlineLevel="0" collapsed="false">
      <c r="A1685" s="5" t="n">
        <v>0.2</v>
      </c>
    </row>
    <row r="1686" customFormat="false" ht="12.75" hidden="false" customHeight="true" outlineLevel="0" collapsed="false">
      <c r="A1686" s="5" t="s">
        <v>1715</v>
      </c>
    </row>
    <row r="1687" customFormat="false" ht="12.75" hidden="false" customHeight="true" outlineLevel="0" collapsed="false">
      <c r="A1687" s="5" t="s">
        <v>3261</v>
      </c>
    </row>
    <row r="1688" customFormat="false" ht="12.75" hidden="false" customHeight="true" outlineLevel="0" collapsed="false">
      <c r="A1688" s="5" t="n">
        <v>0.1</v>
      </c>
    </row>
    <row r="1689" customFormat="false" ht="12.75" hidden="false" customHeight="true" outlineLevel="0" collapsed="false">
      <c r="A1689" s="5" t="s">
        <v>3262</v>
      </c>
    </row>
    <row r="1690" customFormat="false" ht="12.75" hidden="false" customHeight="true" outlineLevel="0" collapsed="false">
      <c r="A1690" s="5" t="s">
        <v>1726</v>
      </c>
    </row>
    <row r="1691" customFormat="false" ht="12.75" hidden="false" customHeight="true" outlineLevel="0" collapsed="false">
      <c r="A1691" s="5" t="s">
        <v>3263</v>
      </c>
    </row>
    <row r="1692" customFormat="false" ht="12.75" hidden="false" customHeight="true" outlineLevel="0" collapsed="false">
      <c r="A1692" s="5" t="s">
        <v>3264</v>
      </c>
    </row>
    <row r="1693" customFormat="false" ht="12.75" hidden="false" customHeight="true" outlineLevel="0" collapsed="false">
      <c r="A1693" s="5" t="n">
        <v>0.05</v>
      </c>
    </row>
    <row r="1694" customFormat="false" ht="12.75" hidden="false" customHeight="true" outlineLevel="0" collapsed="false">
      <c r="A1694" s="5" t="s">
        <v>3265</v>
      </c>
    </row>
    <row r="1695" customFormat="false" ht="12.75" hidden="false" customHeight="true" outlineLevel="0" collapsed="false">
      <c r="A1695" s="5" t="s">
        <v>3154</v>
      </c>
    </row>
    <row r="1696" customFormat="false" ht="12.75" hidden="false" customHeight="true" outlineLevel="0" collapsed="false">
      <c r="A1696" s="5" t="n">
        <v>0.04</v>
      </c>
    </row>
    <row r="1697" customFormat="false" ht="12.75" hidden="false" customHeight="true" outlineLevel="0" collapsed="false">
      <c r="A1697" s="5" t="s">
        <v>3266</v>
      </c>
    </row>
    <row r="1698" customFormat="false" ht="12.75" hidden="false" customHeight="true" outlineLevel="0" collapsed="false">
      <c r="A1698" s="5" t="s">
        <v>3267</v>
      </c>
    </row>
    <row r="1699" customFormat="false" ht="12.75" hidden="false" customHeight="true" outlineLevel="0" collapsed="false">
      <c r="A1699" s="5" t="n">
        <v>0.01</v>
      </c>
    </row>
    <row r="1700" customFormat="false" ht="12.75" hidden="false" customHeight="true" outlineLevel="0" collapsed="false">
      <c r="A1700" s="5" t="s">
        <v>3266</v>
      </c>
    </row>
    <row r="1701" customFormat="false" ht="12.75" hidden="false" customHeight="true" outlineLevel="0" collapsed="false">
      <c r="A1701" s="5" t="s">
        <v>3268</v>
      </c>
    </row>
    <row r="1702" customFormat="false" ht="12.75" hidden="false" customHeight="true" outlineLevel="0" collapsed="false">
      <c r="A1702" s="5" t="s">
        <v>3980</v>
      </c>
    </row>
    <row r="1703" customFormat="false" ht="12.75" hidden="false" customHeight="true" outlineLevel="0" collapsed="false">
      <c r="A1703" s="5" t="s">
        <v>3991</v>
      </c>
    </row>
    <row r="1704" customFormat="false" ht="12.75" hidden="false" customHeight="true" outlineLevel="0" collapsed="false">
      <c r="A1704" s="5" t="s">
        <v>3257</v>
      </c>
    </row>
    <row r="1705" customFormat="false" ht="12.75" hidden="false" customHeight="true" outlineLevel="0" collapsed="false">
      <c r="A1705" s="5" t="s">
        <v>2844</v>
      </c>
    </row>
    <row r="1706" customFormat="false" ht="12.75" hidden="false" customHeight="true" outlineLevel="0" collapsed="false">
      <c r="A1706" s="5" t="s">
        <v>3231</v>
      </c>
    </row>
    <row r="1707" customFormat="false" ht="12.75" hidden="false" customHeight="true" outlineLevel="0" collapsed="false">
      <c r="A1707" s="5" t="s">
        <v>3231</v>
      </c>
    </row>
    <row r="1708" customFormat="false" ht="12.75" hidden="false" customHeight="true" outlineLevel="0" collapsed="false">
      <c r="A1708" s="5" t="s">
        <v>3977</v>
      </c>
    </row>
    <row r="1709" customFormat="false" ht="12.75" hidden="false" customHeight="true" outlineLevel="0" collapsed="false">
      <c r="A1709" s="5" t="s">
        <v>1266</v>
      </c>
    </row>
    <row r="1710" customFormat="false" ht="12.75" hidden="false" customHeight="true" outlineLevel="0" collapsed="false">
      <c r="A1710" s="5" t="s">
        <v>1266</v>
      </c>
    </row>
    <row r="1711" customFormat="false" ht="12.75" hidden="false" customHeight="true" outlineLevel="0" collapsed="false">
      <c r="A1711" s="5" t="s">
        <v>3978</v>
      </c>
    </row>
    <row r="1712" customFormat="false" ht="12.75" hidden="false" customHeight="true" outlineLevel="0" collapsed="false">
      <c r="A1712" s="5" t="s">
        <v>2847</v>
      </c>
    </row>
    <row r="1713" customFormat="false" ht="12.75" hidden="false" customHeight="true" outlineLevel="0" collapsed="false">
      <c r="A1713" s="5" t="s">
        <v>2848</v>
      </c>
    </row>
    <row r="1714" customFormat="false" ht="12.75" hidden="false" customHeight="true" outlineLevel="0" collapsed="false">
      <c r="A1714" s="5" t="s">
        <v>2847</v>
      </c>
    </row>
    <row r="1715" customFormat="false" ht="12.75" hidden="false" customHeight="true" outlineLevel="0" collapsed="false">
      <c r="A1715" s="5" t="s">
        <v>3979</v>
      </c>
    </row>
    <row r="1716" customFormat="false" ht="12.75" hidden="false" customHeight="true" outlineLevel="0" collapsed="false">
      <c r="A1716" s="5" t="s">
        <v>2851</v>
      </c>
    </row>
    <row r="1717" customFormat="false" ht="12.75" hidden="false" customHeight="true" outlineLevel="0" collapsed="false">
      <c r="A1717" s="5" t="s">
        <v>3258</v>
      </c>
    </row>
    <row r="1718" customFormat="false" ht="12.75" hidden="false" customHeight="true" outlineLevel="0" collapsed="false">
      <c r="A1718" s="5" t="s">
        <v>2853</v>
      </c>
    </row>
    <row r="1719" customFormat="false" ht="12.75" hidden="false" customHeight="true" outlineLevel="0" collapsed="false">
      <c r="A1719" s="5" t="s">
        <v>3177</v>
      </c>
    </row>
    <row r="1720" customFormat="false" ht="12.75" hidden="false" customHeight="true" outlineLevel="0" collapsed="false">
      <c r="A1720" s="5" t="s">
        <v>2855</v>
      </c>
    </row>
    <row r="1721" customFormat="false" ht="12.75" hidden="false" customHeight="true" outlineLevel="0" collapsed="false">
      <c r="A1721" s="5" t="s">
        <v>2536</v>
      </c>
    </row>
    <row r="1722" customFormat="false" ht="12.75" hidden="false" customHeight="true" outlineLevel="0" collapsed="false">
      <c r="A1722" s="5" t="s">
        <v>493</v>
      </c>
    </row>
    <row r="1723" customFormat="false" ht="12.75" hidden="false" customHeight="true" outlineLevel="0" collapsed="false">
      <c r="A1723" s="5" t="n">
        <v>0.2</v>
      </c>
    </row>
    <row r="1724" customFormat="false" ht="12.75" hidden="false" customHeight="true" outlineLevel="0" collapsed="false">
      <c r="A1724" s="5" t="s">
        <v>1726</v>
      </c>
    </row>
    <row r="1725" customFormat="false" ht="12.75" hidden="false" customHeight="true" outlineLevel="0" collapsed="false">
      <c r="A1725" s="5" t="s">
        <v>3270</v>
      </c>
    </row>
    <row r="1726" customFormat="false" ht="12.75" hidden="false" customHeight="true" outlineLevel="0" collapsed="false">
      <c r="A1726" s="5" t="n">
        <v>0.1</v>
      </c>
    </row>
    <row r="1727" customFormat="false" ht="12.75" hidden="false" customHeight="true" outlineLevel="0" collapsed="false">
      <c r="A1727" s="5" t="s">
        <v>3271</v>
      </c>
    </row>
    <row r="1728" customFormat="false" ht="12.75" hidden="false" customHeight="true" outlineLevel="0" collapsed="false">
      <c r="A1728" s="5" t="s">
        <v>3272</v>
      </c>
    </row>
    <row r="1729" customFormat="false" ht="12.75" hidden="false" customHeight="true" outlineLevel="0" collapsed="false">
      <c r="A1729" s="5" t="s">
        <v>1726</v>
      </c>
    </row>
    <row r="1730" customFormat="false" ht="12.75" hidden="false" customHeight="true" outlineLevel="0" collapsed="false">
      <c r="A1730" s="5" t="s">
        <v>3270</v>
      </c>
    </row>
    <row r="1731" customFormat="false" ht="12.75" hidden="false" customHeight="true" outlineLevel="0" collapsed="false">
      <c r="A1731" s="5" t="n">
        <v>0.05</v>
      </c>
    </row>
    <row r="1732" customFormat="false" ht="12.75" hidden="false" customHeight="true" outlineLevel="0" collapsed="false">
      <c r="A1732" s="5" t="s">
        <v>3273</v>
      </c>
    </row>
    <row r="1733" customFormat="false" ht="12.75" hidden="false" customHeight="true" outlineLevel="0" collapsed="false">
      <c r="A1733" s="5" t="s">
        <v>3274</v>
      </c>
    </row>
    <row r="1734" customFormat="false" ht="12.75" hidden="false" customHeight="true" outlineLevel="0" collapsed="false">
      <c r="A1734" s="5" t="n">
        <v>0.04</v>
      </c>
    </row>
    <row r="1735" customFormat="false" ht="12.75" hidden="false" customHeight="true" outlineLevel="0" collapsed="false">
      <c r="A1735" s="5" t="s">
        <v>3271</v>
      </c>
    </row>
    <row r="1736" customFormat="false" ht="12.75" hidden="false" customHeight="true" outlineLevel="0" collapsed="false">
      <c r="A1736" s="5" t="s">
        <v>3272</v>
      </c>
    </row>
    <row r="1737" customFormat="false" ht="12.75" hidden="false" customHeight="true" outlineLevel="0" collapsed="false">
      <c r="A1737" s="5" t="n">
        <v>0.01</v>
      </c>
    </row>
    <row r="1738" customFormat="false" ht="12.75" hidden="false" customHeight="true" outlineLevel="0" collapsed="false">
      <c r="A1738" s="5" t="s">
        <v>3271</v>
      </c>
    </row>
    <row r="1739" customFormat="false" ht="12.75" hidden="false" customHeight="true" outlineLevel="0" collapsed="false">
      <c r="A1739" s="5" t="s">
        <v>3272</v>
      </c>
    </row>
    <row r="1740" customFormat="false" ht="12.75" hidden="false" customHeight="true" outlineLevel="0" collapsed="false">
      <c r="A1740" s="5" t="s">
        <v>3980</v>
      </c>
    </row>
    <row r="1741" customFormat="false" ht="12.75" hidden="false" customHeight="true" outlineLevel="0" collapsed="false">
      <c r="A1741" s="5" t="s">
        <v>3991</v>
      </c>
    </row>
    <row r="1742" customFormat="false" ht="12.75" hidden="false" customHeight="true" outlineLevel="0" collapsed="false">
      <c r="A1742" s="5" t="s">
        <v>3257</v>
      </c>
    </row>
    <row r="1743" customFormat="false" ht="12.75" hidden="false" customHeight="true" outlineLevel="0" collapsed="false">
      <c r="A1743" s="5" t="s">
        <v>2844</v>
      </c>
    </row>
    <row r="1744" customFormat="false" ht="12.75" hidden="false" customHeight="true" outlineLevel="0" collapsed="false">
      <c r="A1744" s="5" t="s">
        <v>3231</v>
      </c>
    </row>
    <row r="1745" customFormat="false" ht="12.75" hidden="false" customHeight="true" outlineLevel="0" collapsed="false">
      <c r="A1745" s="5" t="s">
        <v>3231</v>
      </c>
    </row>
    <row r="1746" customFormat="false" ht="12.75" hidden="false" customHeight="true" outlineLevel="0" collapsed="false">
      <c r="A1746" s="5" t="s">
        <v>3977</v>
      </c>
    </row>
    <row r="1747" customFormat="false" ht="12.75" hidden="false" customHeight="true" outlineLevel="0" collapsed="false">
      <c r="A1747" s="5" t="s">
        <v>1266</v>
      </c>
    </row>
    <row r="1748" customFormat="false" ht="12.75" hidden="false" customHeight="true" outlineLevel="0" collapsed="false">
      <c r="A1748" s="5" t="s">
        <v>1266</v>
      </c>
    </row>
    <row r="1749" customFormat="false" ht="12.75" hidden="false" customHeight="true" outlineLevel="0" collapsed="false">
      <c r="A1749" s="5" t="s">
        <v>3978</v>
      </c>
    </row>
    <row r="1750" customFormat="false" ht="12.75" hidden="false" customHeight="true" outlineLevel="0" collapsed="false">
      <c r="A1750" s="5" t="s">
        <v>2847</v>
      </c>
    </row>
    <row r="1751" customFormat="false" ht="12.75" hidden="false" customHeight="true" outlineLevel="0" collapsed="false">
      <c r="A1751" s="5" t="s">
        <v>2848</v>
      </c>
    </row>
    <row r="1752" customFormat="false" ht="12.75" hidden="false" customHeight="true" outlineLevel="0" collapsed="false">
      <c r="A1752" s="5" t="s">
        <v>2847</v>
      </c>
    </row>
    <row r="1753" customFormat="false" ht="12.75" hidden="false" customHeight="true" outlineLevel="0" collapsed="false">
      <c r="A1753" s="5" t="s">
        <v>3979</v>
      </c>
    </row>
    <row r="1754" customFormat="false" ht="12.75" hidden="false" customHeight="true" outlineLevel="0" collapsed="false">
      <c r="A1754" s="5" t="s">
        <v>2851</v>
      </c>
    </row>
    <row r="1755" customFormat="false" ht="12.75" hidden="false" customHeight="true" outlineLevel="0" collapsed="false">
      <c r="A1755" s="5" t="s">
        <v>3258</v>
      </c>
    </row>
    <row r="1756" customFormat="false" ht="12.75" hidden="false" customHeight="true" outlineLevel="0" collapsed="false">
      <c r="A1756" s="5" t="s">
        <v>2853</v>
      </c>
    </row>
    <row r="1757" customFormat="false" ht="12.75" hidden="false" customHeight="true" outlineLevel="0" collapsed="false">
      <c r="A1757" s="5" t="s">
        <v>3177</v>
      </c>
    </row>
    <row r="1758" customFormat="false" ht="12.75" hidden="false" customHeight="true" outlineLevel="0" collapsed="false">
      <c r="A1758" s="5" t="s">
        <v>2855</v>
      </c>
    </row>
    <row r="1759" customFormat="false" ht="12.75" hidden="false" customHeight="true" outlineLevel="0" collapsed="false">
      <c r="A1759" s="5" t="s">
        <v>2536</v>
      </c>
    </row>
    <row r="1760" customFormat="false" ht="12.75" hidden="false" customHeight="true" outlineLevel="0" collapsed="false">
      <c r="A1760" s="5" t="s">
        <v>495</v>
      </c>
    </row>
    <row r="1761" customFormat="false" ht="12.75" hidden="false" customHeight="true" outlineLevel="0" collapsed="false">
      <c r="A1761" s="5" t="s">
        <v>3980</v>
      </c>
    </row>
    <row r="1762" customFormat="false" ht="12.75" hidden="false" customHeight="true" outlineLevel="0" collapsed="false">
      <c r="A1762" s="5" t="s">
        <v>3989</v>
      </c>
    </row>
    <row r="1763" customFormat="false" ht="12.75" hidden="false" customHeight="true" outlineLevel="0" collapsed="false">
      <c r="A1763" s="5" t="s">
        <v>3173</v>
      </c>
    </row>
    <row r="1764" customFormat="false" ht="12.75" hidden="false" customHeight="true" outlineLevel="0" collapsed="false">
      <c r="A1764" s="5" t="s">
        <v>2844</v>
      </c>
    </row>
    <row r="1765" customFormat="false" ht="12.75" hidden="false" customHeight="true" outlineLevel="0" collapsed="false">
      <c r="A1765" s="5" t="s">
        <v>3231</v>
      </c>
    </row>
    <row r="1766" customFormat="false" ht="12.75" hidden="false" customHeight="true" outlineLevel="0" collapsed="false">
      <c r="A1766" s="5" t="s">
        <v>3231</v>
      </c>
    </row>
    <row r="1767" customFormat="false" ht="12.75" hidden="false" customHeight="true" outlineLevel="0" collapsed="false">
      <c r="A1767" s="5" t="s">
        <v>3977</v>
      </c>
    </row>
    <row r="1768" customFormat="false" ht="12.75" hidden="false" customHeight="true" outlineLevel="0" collapsed="false">
      <c r="A1768" s="5" t="s">
        <v>1266</v>
      </c>
    </row>
    <row r="1769" customFormat="false" ht="12.75" hidden="false" customHeight="true" outlineLevel="0" collapsed="false">
      <c r="A1769" s="5" t="s">
        <v>1266</v>
      </c>
    </row>
    <row r="1770" customFormat="false" ht="12.75" hidden="false" customHeight="true" outlineLevel="0" collapsed="false">
      <c r="A1770" s="5" t="s">
        <v>3978</v>
      </c>
    </row>
    <row r="1771" customFormat="false" ht="12.75" hidden="false" customHeight="true" outlineLevel="0" collapsed="false">
      <c r="A1771" s="5" t="s">
        <v>2847</v>
      </c>
    </row>
    <row r="1772" customFormat="false" ht="12.75" hidden="false" customHeight="true" outlineLevel="0" collapsed="false">
      <c r="A1772" s="5" t="s">
        <v>2848</v>
      </c>
    </row>
    <row r="1773" customFormat="false" ht="12.75" hidden="false" customHeight="true" outlineLevel="0" collapsed="false">
      <c r="A1773" s="5" t="s">
        <v>2847</v>
      </c>
    </row>
    <row r="1774" customFormat="false" ht="12.75" hidden="false" customHeight="true" outlineLevel="0" collapsed="false">
      <c r="A1774" s="5" t="s">
        <v>3979</v>
      </c>
    </row>
    <row r="1775" customFormat="false" ht="12.75" hidden="false" customHeight="true" outlineLevel="0" collapsed="false">
      <c r="A1775" s="5" t="s">
        <v>2851</v>
      </c>
    </row>
    <row r="1776" customFormat="false" ht="12.75" hidden="false" customHeight="true" outlineLevel="0" collapsed="false">
      <c r="A1776" s="5" t="s">
        <v>3258</v>
      </c>
    </row>
    <row r="1777" customFormat="false" ht="12.75" hidden="false" customHeight="true" outlineLevel="0" collapsed="false">
      <c r="A1777" s="5" t="s">
        <v>2853</v>
      </c>
    </row>
    <row r="1778" customFormat="false" ht="12.75" hidden="false" customHeight="true" outlineLevel="0" collapsed="false">
      <c r="A1778" s="5" t="s">
        <v>3177</v>
      </c>
    </row>
    <row r="1779" customFormat="false" ht="12.75" hidden="false" customHeight="true" outlineLevel="0" collapsed="false">
      <c r="A1779" s="5" t="s">
        <v>2855</v>
      </c>
    </row>
    <row r="1780" customFormat="false" ht="12.75" hidden="false" customHeight="true" outlineLevel="0" collapsed="false">
      <c r="A1780" s="5" t="s">
        <v>2536</v>
      </c>
    </row>
    <row r="1781" customFormat="false" ht="12.75" hidden="false" customHeight="true" outlineLevel="0" collapsed="false">
      <c r="A1781" s="5" t="s">
        <v>497</v>
      </c>
    </row>
    <row r="1782" customFormat="false" ht="12.75" hidden="false" customHeight="true" outlineLevel="0" collapsed="false">
      <c r="A1782" s="5" t="s">
        <v>3980</v>
      </c>
    </row>
    <row r="1783" customFormat="false" ht="12.75" hidden="false" customHeight="true" outlineLevel="0" collapsed="false">
      <c r="A1783" s="5" t="s">
        <v>3989</v>
      </c>
    </row>
    <row r="1784" customFormat="false" ht="12.75" hidden="false" customHeight="true" outlineLevel="0" collapsed="false">
      <c r="A1784" s="5" t="s">
        <v>3173</v>
      </c>
    </row>
    <row r="1785" customFormat="false" ht="12.75" hidden="false" customHeight="true" outlineLevel="0" collapsed="false">
      <c r="A1785" s="5" t="s">
        <v>2844</v>
      </c>
    </row>
    <row r="1786" customFormat="false" ht="12.75" hidden="false" customHeight="true" outlineLevel="0" collapsed="false">
      <c r="A1786" s="5" t="s">
        <v>3231</v>
      </c>
    </row>
    <row r="1787" customFormat="false" ht="12.75" hidden="false" customHeight="true" outlineLevel="0" collapsed="false">
      <c r="A1787" s="5" t="s">
        <v>3231</v>
      </c>
    </row>
    <row r="1788" customFormat="false" ht="12.75" hidden="false" customHeight="true" outlineLevel="0" collapsed="false">
      <c r="A1788" s="5" t="s">
        <v>3977</v>
      </c>
    </row>
    <row r="1789" customFormat="false" ht="12.75" hidden="false" customHeight="true" outlineLevel="0" collapsed="false">
      <c r="A1789" s="5" t="s">
        <v>1266</v>
      </c>
    </row>
    <row r="1790" customFormat="false" ht="12.75" hidden="false" customHeight="true" outlineLevel="0" collapsed="false">
      <c r="A1790" s="5" t="s">
        <v>1266</v>
      </c>
    </row>
    <row r="1791" customFormat="false" ht="12.75" hidden="false" customHeight="true" outlineLevel="0" collapsed="false">
      <c r="A1791" s="5" t="s">
        <v>3978</v>
      </c>
    </row>
    <row r="1792" customFormat="false" ht="12.75" hidden="false" customHeight="true" outlineLevel="0" collapsed="false">
      <c r="A1792" s="5" t="s">
        <v>2847</v>
      </c>
    </row>
    <row r="1793" customFormat="false" ht="12.75" hidden="false" customHeight="true" outlineLevel="0" collapsed="false">
      <c r="A1793" s="5" t="s">
        <v>2848</v>
      </c>
    </row>
    <row r="1794" customFormat="false" ht="12.75" hidden="false" customHeight="true" outlineLevel="0" collapsed="false">
      <c r="A1794" s="5" t="s">
        <v>2847</v>
      </c>
    </row>
    <row r="1795" customFormat="false" ht="12.75" hidden="false" customHeight="true" outlineLevel="0" collapsed="false">
      <c r="A1795" s="5" t="s">
        <v>3979</v>
      </c>
    </row>
    <row r="1796" customFormat="false" ht="12.75" hidden="false" customHeight="true" outlineLevel="0" collapsed="false">
      <c r="A1796" s="5" t="s">
        <v>2851</v>
      </c>
    </row>
    <row r="1797" customFormat="false" ht="12.75" hidden="false" customHeight="true" outlineLevel="0" collapsed="false">
      <c r="A1797" s="5" t="s">
        <v>3258</v>
      </c>
    </row>
    <row r="1798" customFormat="false" ht="12.75" hidden="false" customHeight="true" outlineLevel="0" collapsed="false">
      <c r="A1798" s="5" t="s">
        <v>2853</v>
      </c>
    </row>
    <row r="1799" customFormat="false" ht="12.75" hidden="false" customHeight="true" outlineLevel="0" collapsed="false">
      <c r="A1799" s="5" t="s">
        <v>3177</v>
      </c>
    </row>
    <row r="1800" customFormat="false" ht="12.75" hidden="false" customHeight="true" outlineLevel="0" collapsed="false">
      <c r="A1800" s="5" t="s">
        <v>2855</v>
      </c>
    </row>
    <row r="1801" customFormat="false" ht="12.75" hidden="false" customHeight="true" outlineLevel="0" collapsed="false">
      <c r="A1801" s="5" t="s">
        <v>2536</v>
      </c>
    </row>
    <row r="1802" customFormat="false" ht="12.75" hidden="false" customHeight="true" outlineLevel="0" collapsed="false">
      <c r="A1802" s="5" t="s">
        <v>499</v>
      </c>
    </row>
    <row r="1803" customFormat="false" ht="12.75" hidden="false" customHeight="true" outlineLevel="0" collapsed="false">
      <c r="A1803" s="5" t="n">
        <v>0.2</v>
      </c>
    </row>
    <row r="1804" customFormat="false" ht="12.75" hidden="false" customHeight="true" outlineLevel="0" collapsed="false">
      <c r="A1804" s="5" t="s">
        <v>1736</v>
      </c>
    </row>
    <row r="1805" customFormat="false" ht="12.75" hidden="false" customHeight="true" outlineLevel="0" collapsed="false">
      <c r="A1805" s="5" t="s">
        <v>3261</v>
      </c>
    </row>
    <row r="1806" customFormat="false" ht="12.75" hidden="false" customHeight="true" outlineLevel="0" collapsed="false">
      <c r="A1806" s="5" t="n">
        <v>0.1</v>
      </c>
    </row>
    <row r="1807" customFormat="false" ht="12.75" hidden="false" customHeight="true" outlineLevel="0" collapsed="false">
      <c r="A1807" s="5" t="s">
        <v>3278</v>
      </c>
    </row>
    <row r="1808" customFormat="false" ht="12.75" hidden="false" customHeight="true" outlineLevel="0" collapsed="false">
      <c r="A1808" s="5" t="s">
        <v>3279</v>
      </c>
    </row>
    <row r="1809" customFormat="false" ht="12.75" hidden="false" customHeight="true" outlineLevel="0" collapsed="false">
      <c r="A1809" s="5" t="s">
        <v>3263</v>
      </c>
    </row>
    <row r="1810" customFormat="false" ht="12.75" hidden="false" customHeight="true" outlineLevel="0" collapsed="false">
      <c r="A1810" s="5" t="s">
        <v>3264</v>
      </c>
    </row>
    <row r="1811" customFormat="false" ht="12.75" hidden="false" customHeight="true" outlineLevel="0" collapsed="false">
      <c r="A1811" s="5" t="n">
        <v>0.05</v>
      </c>
    </row>
    <row r="1812" customFormat="false" ht="12.75" hidden="false" customHeight="true" outlineLevel="0" collapsed="false">
      <c r="A1812" s="5" t="s">
        <v>3280</v>
      </c>
    </row>
    <row r="1813" customFormat="false" ht="12.75" hidden="false" customHeight="true" outlineLevel="0" collapsed="false">
      <c r="A1813" s="5" t="s">
        <v>3154</v>
      </c>
    </row>
    <row r="1814" customFormat="false" ht="12.75" hidden="false" customHeight="true" outlineLevel="0" collapsed="false">
      <c r="A1814" s="5" t="n">
        <v>0.04</v>
      </c>
    </row>
    <row r="1815" customFormat="false" ht="12.75" hidden="false" customHeight="true" outlineLevel="0" collapsed="false">
      <c r="A1815" s="5" t="s">
        <v>3281</v>
      </c>
    </row>
    <row r="1816" customFormat="false" ht="12.75" hidden="false" customHeight="true" outlineLevel="0" collapsed="false">
      <c r="A1816" s="5" t="s">
        <v>3267</v>
      </c>
    </row>
    <row r="1817" customFormat="false" ht="12.75" hidden="false" customHeight="true" outlineLevel="0" collapsed="false">
      <c r="A1817" s="5" t="n">
        <v>0.01</v>
      </c>
    </row>
    <row r="1818" customFormat="false" ht="12.75" hidden="false" customHeight="true" outlineLevel="0" collapsed="false">
      <c r="A1818" s="5" t="s">
        <v>3281</v>
      </c>
    </row>
    <row r="1819" customFormat="false" ht="12.75" hidden="false" customHeight="true" outlineLevel="0" collapsed="false">
      <c r="A1819" s="5" t="s">
        <v>3268</v>
      </c>
    </row>
    <row r="1820" customFormat="false" ht="12.75" hidden="false" customHeight="true" outlineLevel="0" collapsed="false">
      <c r="A1820" s="5" t="s">
        <v>3980</v>
      </c>
    </row>
    <row r="1821" customFormat="false" ht="12.75" hidden="false" customHeight="true" outlineLevel="0" collapsed="false">
      <c r="A1821" s="5" t="s">
        <v>3989</v>
      </c>
    </row>
    <row r="1822" customFormat="false" ht="12.75" hidden="false" customHeight="true" outlineLevel="0" collapsed="false">
      <c r="A1822" s="5" t="s">
        <v>3173</v>
      </c>
    </row>
    <row r="1823" customFormat="false" ht="12.75" hidden="false" customHeight="true" outlineLevel="0" collapsed="false">
      <c r="A1823" s="5" t="s">
        <v>2844</v>
      </c>
    </row>
    <row r="1824" customFormat="false" ht="12.75" hidden="false" customHeight="true" outlineLevel="0" collapsed="false">
      <c r="A1824" s="5" t="s">
        <v>3231</v>
      </c>
    </row>
    <row r="1825" customFormat="false" ht="12.75" hidden="false" customHeight="true" outlineLevel="0" collapsed="false">
      <c r="A1825" s="5" t="s">
        <v>3231</v>
      </c>
    </row>
    <row r="1826" customFormat="false" ht="12.75" hidden="false" customHeight="true" outlineLevel="0" collapsed="false">
      <c r="A1826" s="5" t="s">
        <v>3977</v>
      </c>
    </row>
    <row r="1827" customFormat="false" ht="12.75" hidden="false" customHeight="true" outlineLevel="0" collapsed="false">
      <c r="A1827" s="5" t="s">
        <v>1266</v>
      </c>
    </row>
    <row r="1828" customFormat="false" ht="12.75" hidden="false" customHeight="true" outlineLevel="0" collapsed="false">
      <c r="A1828" s="5" t="s">
        <v>1266</v>
      </c>
    </row>
    <row r="1829" customFormat="false" ht="12.75" hidden="false" customHeight="true" outlineLevel="0" collapsed="false">
      <c r="A1829" s="5" t="s">
        <v>3978</v>
      </c>
    </row>
    <row r="1830" customFormat="false" ht="12.75" hidden="false" customHeight="true" outlineLevel="0" collapsed="false">
      <c r="A1830" s="5" t="s">
        <v>2847</v>
      </c>
    </row>
    <row r="1831" customFormat="false" ht="12.75" hidden="false" customHeight="true" outlineLevel="0" collapsed="false">
      <c r="A1831" s="5" t="s">
        <v>2848</v>
      </c>
    </row>
    <row r="1832" customFormat="false" ht="12.75" hidden="false" customHeight="true" outlineLevel="0" collapsed="false">
      <c r="A1832" s="5" t="s">
        <v>2847</v>
      </c>
    </row>
    <row r="1833" customFormat="false" ht="12.75" hidden="false" customHeight="true" outlineLevel="0" collapsed="false">
      <c r="A1833" s="5" t="s">
        <v>3979</v>
      </c>
    </row>
    <row r="1834" customFormat="false" ht="12.75" hidden="false" customHeight="true" outlineLevel="0" collapsed="false">
      <c r="A1834" s="5" t="s">
        <v>2851</v>
      </c>
    </row>
    <row r="1835" customFormat="false" ht="12.75" hidden="false" customHeight="true" outlineLevel="0" collapsed="false">
      <c r="A1835" s="5" t="s">
        <v>3258</v>
      </c>
    </row>
    <row r="1836" customFormat="false" ht="12.75" hidden="false" customHeight="true" outlineLevel="0" collapsed="false">
      <c r="A1836" s="5" t="s">
        <v>2853</v>
      </c>
    </row>
    <row r="1837" customFormat="false" ht="12.75" hidden="false" customHeight="true" outlineLevel="0" collapsed="false">
      <c r="A1837" s="5" t="s">
        <v>3177</v>
      </c>
    </row>
    <row r="1838" customFormat="false" ht="12.75" hidden="false" customHeight="true" outlineLevel="0" collapsed="false">
      <c r="A1838" s="5" t="s">
        <v>2855</v>
      </c>
    </row>
    <row r="1839" customFormat="false" ht="12.75" hidden="false" customHeight="true" outlineLevel="0" collapsed="false">
      <c r="A1839" s="5" t="s">
        <v>2536</v>
      </c>
    </row>
    <row r="1840" customFormat="false" ht="12.75" hidden="false" customHeight="true" outlineLevel="0" collapsed="false">
      <c r="A1840" s="5" t="s">
        <v>501</v>
      </c>
    </row>
    <row r="1841" customFormat="false" ht="12.75" hidden="false" customHeight="true" outlineLevel="0" collapsed="false">
      <c r="A1841" s="5" t="n">
        <v>0.2</v>
      </c>
    </row>
    <row r="1842" customFormat="false" ht="12.75" hidden="false" customHeight="true" outlineLevel="0" collapsed="false">
      <c r="A1842" s="5" t="s">
        <v>1743</v>
      </c>
    </row>
    <row r="1843" customFormat="false" ht="12.75" hidden="false" customHeight="true" outlineLevel="0" collapsed="false">
      <c r="A1843" s="5" t="s">
        <v>1736</v>
      </c>
    </row>
    <row r="1844" customFormat="false" ht="12.75" hidden="false" customHeight="true" outlineLevel="0" collapsed="false">
      <c r="A1844" s="5" t="n">
        <v>0.1</v>
      </c>
    </row>
    <row r="1845" customFormat="false" ht="12.75" hidden="false" customHeight="true" outlineLevel="0" collapsed="false">
      <c r="A1845" s="5" t="s">
        <v>3283</v>
      </c>
    </row>
    <row r="1846" customFormat="false" ht="12.75" hidden="false" customHeight="true" outlineLevel="0" collapsed="false">
      <c r="A1846" s="5" t="s">
        <v>3284</v>
      </c>
    </row>
    <row r="1847" customFormat="false" ht="12.75" hidden="false" customHeight="true" outlineLevel="0" collapsed="false">
      <c r="A1847" s="5" t="s">
        <v>3285</v>
      </c>
    </row>
    <row r="1848" customFormat="false" ht="12.75" hidden="false" customHeight="true" outlineLevel="0" collapsed="false">
      <c r="A1848" s="5" t="s">
        <v>3286</v>
      </c>
    </row>
    <row r="1849" customFormat="false" ht="12.75" hidden="false" customHeight="true" outlineLevel="0" collapsed="false">
      <c r="A1849" s="5" t="n">
        <v>0.05</v>
      </c>
    </row>
    <row r="1850" customFormat="false" ht="12.75" hidden="false" customHeight="true" outlineLevel="0" collapsed="false">
      <c r="A1850" s="5" t="s">
        <v>3287</v>
      </c>
    </row>
    <row r="1851" customFormat="false" ht="12.75" hidden="false" customHeight="true" outlineLevel="0" collapsed="false">
      <c r="A1851" s="5" t="s">
        <v>3154</v>
      </c>
    </row>
    <row r="1852" customFormat="false" ht="12.75" hidden="false" customHeight="true" outlineLevel="0" collapsed="false">
      <c r="A1852" s="5" t="n">
        <v>0.04</v>
      </c>
    </row>
    <row r="1853" customFormat="false" ht="12.75" hidden="false" customHeight="true" outlineLevel="0" collapsed="false">
      <c r="A1853" s="5" t="s">
        <v>3288</v>
      </c>
    </row>
    <row r="1854" customFormat="false" ht="12.75" hidden="false" customHeight="true" outlineLevel="0" collapsed="false">
      <c r="A1854" s="5" t="s">
        <v>3289</v>
      </c>
    </row>
    <row r="1855" customFormat="false" ht="12.75" hidden="false" customHeight="true" outlineLevel="0" collapsed="false">
      <c r="A1855" s="5" t="n">
        <v>0.01</v>
      </c>
    </row>
    <row r="1856" customFormat="false" ht="12.75" hidden="false" customHeight="true" outlineLevel="0" collapsed="false">
      <c r="A1856" s="5" t="s">
        <v>3288</v>
      </c>
    </row>
    <row r="1857" customFormat="false" ht="12.75" hidden="false" customHeight="true" outlineLevel="0" collapsed="false">
      <c r="A1857" s="5" t="s">
        <v>3290</v>
      </c>
    </row>
    <row r="1858" customFormat="false" ht="12.75" hidden="false" customHeight="true" outlineLevel="0" collapsed="false">
      <c r="A1858" s="5" t="s">
        <v>3980</v>
      </c>
    </row>
    <row r="1859" customFormat="false" ht="12.75" hidden="false" customHeight="true" outlineLevel="0" collapsed="false">
      <c r="A1859" s="5" t="s">
        <v>3992</v>
      </c>
    </row>
    <row r="1860" customFormat="false" ht="12.75" hidden="false" customHeight="true" outlineLevel="0" collapsed="false">
      <c r="A1860" s="5" t="s">
        <v>3292</v>
      </c>
    </row>
    <row r="1861" customFormat="false" ht="12.75" hidden="false" customHeight="true" outlineLevel="0" collapsed="false">
      <c r="A1861" s="5" t="s">
        <v>3293</v>
      </c>
    </row>
    <row r="1862" customFormat="false" ht="12.75" hidden="false" customHeight="true" outlineLevel="0" collapsed="false">
      <c r="A1862" s="5" t="s">
        <v>3294</v>
      </c>
    </row>
    <row r="1863" customFormat="false" ht="12.75" hidden="false" customHeight="true" outlineLevel="0" collapsed="false">
      <c r="A1863" s="5" t="s">
        <v>3294</v>
      </c>
    </row>
    <row r="1864" customFormat="false" ht="12.75" hidden="false" customHeight="true" outlineLevel="0" collapsed="false">
      <c r="A1864" s="5" t="s">
        <v>3977</v>
      </c>
    </row>
    <row r="1865" customFormat="false" ht="12.75" hidden="false" customHeight="true" outlineLevel="0" collapsed="false">
      <c r="A1865" s="5" t="s">
        <v>1266</v>
      </c>
    </row>
    <row r="1866" customFormat="false" ht="12.75" hidden="false" customHeight="true" outlineLevel="0" collapsed="false">
      <c r="A1866" s="5" t="s">
        <v>1266</v>
      </c>
    </row>
    <row r="1867" customFormat="false" ht="12.75" hidden="false" customHeight="true" outlineLevel="0" collapsed="false">
      <c r="A1867" s="5" t="s">
        <v>3978</v>
      </c>
    </row>
    <row r="1868" customFormat="false" ht="12.75" hidden="false" customHeight="true" outlineLevel="0" collapsed="false">
      <c r="A1868" s="5" t="s">
        <v>3143</v>
      </c>
    </row>
    <row r="1869" customFormat="false" ht="12.75" hidden="false" customHeight="true" outlineLevel="0" collapsed="false">
      <c r="A1869" s="5" t="s">
        <v>2848</v>
      </c>
    </row>
    <row r="1870" customFormat="false" ht="12.75" hidden="false" customHeight="true" outlineLevel="0" collapsed="false">
      <c r="A1870" s="5" t="s">
        <v>3142</v>
      </c>
    </row>
    <row r="1871" customFormat="false" ht="12.75" hidden="false" customHeight="true" outlineLevel="0" collapsed="false">
      <c r="A1871" s="5" t="s">
        <v>3979</v>
      </c>
    </row>
    <row r="1872" customFormat="false" ht="12.75" hidden="false" customHeight="true" outlineLevel="0" collapsed="false">
      <c r="A1872" s="5" t="s">
        <v>3161</v>
      </c>
    </row>
    <row r="1873" customFormat="false" ht="12.75" hidden="false" customHeight="true" outlineLevel="0" collapsed="false">
      <c r="A1873" s="5" t="s">
        <v>3162</v>
      </c>
    </row>
    <row r="1874" customFormat="false" ht="12.75" hidden="false" customHeight="true" outlineLevel="0" collapsed="false">
      <c r="A1874" s="5" t="s">
        <v>2853</v>
      </c>
    </row>
    <row r="1875" customFormat="false" ht="12.75" hidden="false" customHeight="true" outlineLevel="0" collapsed="false">
      <c r="A1875" s="5" t="s">
        <v>3146</v>
      </c>
    </row>
    <row r="1876" customFormat="false" ht="12.75" hidden="false" customHeight="true" outlineLevel="0" collapsed="false">
      <c r="A1876" s="5" t="s">
        <v>2855</v>
      </c>
    </row>
    <row r="1877" customFormat="false" ht="12.75" hidden="false" customHeight="true" outlineLevel="0" collapsed="false">
      <c r="A1877" s="5" t="s">
        <v>2536</v>
      </c>
    </row>
    <row r="1878" customFormat="false" ht="12.75" hidden="false" customHeight="true" outlineLevel="0" collapsed="false">
      <c r="A1878" s="5" t="s">
        <v>503</v>
      </c>
    </row>
    <row r="1879" customFormat="false" ht="12.75" hidden="false" customHeight="true" outlineLevel="0" collapsed="false">
      <c r="A1879" s="5" t="s">
        <v>3980</v>
      </c>
    </row>
    <row r="1880" customFormat="false" ht="12.75" hidden="false" customHeight="true" outlineLevel="0" collapsed="false">
      <c r="A1880" s="5" t="s">
        <v>3989</v>
      </c>
    </row>
    <row r="1881" customFormat="false" ht="12.75" hidden="false" customHeight="true" outlineLevel="0" collapsed="false">
      <c r="A1881" s="5" t="s">
        <v>3173</v>
      </c>
    </row>
    <row r="1882" customFormat="false" ht="12.75" hidden="false" customHeight="true" outlineLevel="0" collapsed="false">
      <c r="A1882" s="5" t="s">
        <v>3296</v>
      </c>
    </row>
    <row r="1883" customFormat="false" ht="12.75" hidden="false" customHeight="true" outlineLevel="0" collapsed="false">
      <c r="A1883" s="5" t="s">
        <v>3231</v>
      </c>
    </row>
    <row r="1884" customFormat="false" ht="12.75" hidden="false" customHeight="true" outlineLevel="0" collapsed="false">
      <c r="A1884" s="5" t="s">
        <v>3231</v>
      </c>
    </row>
    <row r="1885" customFormat="false" ht="12.75" hidden="false" customHeight="true" outlineLevel="0" collapsed="false">
      <c r="A1885" s="5" t="s">
        <v>3977</v>
      </c>
    </row>
    <row r="1886" customFormat="false" ht="12.75" hidden="false" customHeight="true" outlineLevel="0" collapsed="false">
      <c r="A1886" s="5" t="s">
        <v>1266</v>
      </c>
    </row>
    <row r="1887" customFormat="false" ht="12.75" hidden="false" customHeight="true" outlineLevel="0" collapsed="false">
      <c r="A1887" s="5" t="s">
        <v>1266</v>
      </c>
    </row>
    <row r="1888" customFormat="false" ht="12.75" hidden="false" customHeight="true" outlineLevel="0" collapsed="false">
      <c r="A1888" s="5" t="s">
        <v>3978</v>
      </c>
    </row>
    <row r="1889" customFormat="false" ht="12.75" hidden="false" customHeight="true" outlineLevel="0" collapsed="false">
      <c r="A1889" s="5" t="s">
        <v>2847</v>
      </c>
    </row>
    <row r="1890" customFormat="false" ht="12.75" hidden="false" customHeight="true" outlineLevel="0" collapsed="false">
      <c r="A1890" s="5" t="s">
        <v>2848</v>
      </c>
    </row>
    <row r="1891" customFormat="false" ht="12.75" hidden="false" customHeight="true" outlineLevel="0" collapsed="false">
      <c r="A1891" s="5" t="s">
        <v>2847</v>
      </c>
    </row>
    <row r="1892" customFormat="false" ht="12.75" hidden="false" customHeight="true" outlineLevel="0" collapsed="false">
      <c r="A1892" s="5" t="s">
        <v>3979</v>
      </c>
    </row>
    <row r="1893" customFormat="false" ht="12.75" hidden="false" customHeight="true" outlineLevel="0" collapsed="false">
      <c r="A1893" s="5" t="s">
        <v>2851</v>
      </c>
    </row>
    <row r="1894" customFormat="false" ht="12.75" hidden="false" customHeight="true" outlineLevel="0" collapsed="false">
      <c r="A1894" s="5" t="s">
        <v>3258</v>
      </c>
    </row>
    <row r="1895" customFormat="false" ht="12.75" hidden="false" customHeight="true" outlineLevel="0" collapsed="false">
      <c r="A1895" s="5" t="s">
        <v>2853</v>
      </c>
    </row>
    <row r="1896" customFormat="false" ht="12.75" hidden="false" customHeight="true" outlineLevel="0" collapsed="false">
      <c r="A1896" s="5" t="s">
        <v>3177</v>
      </c>
    </row>
    <row r="1897" customFormat="false" ht="12.75" hidden="false" customHeight="true" outlineLevel="0" collapsed="false">
      <c r="A1897" s="5" t="s">
        <v>2855</v>
      </c>
    </row>
    <row r="1898" customFormat="false" ht="12.75" hidden="false" customHeight="true" outlineLevel="0" collapsed="false">
      <c r="A1898" s="5" t="s">
        <v>2536</v>
      </c>
    </row>
    <row r="1899" customFormat="false" ht="12.75" hidden="false" customHeight="true" outlineLevel="0" collapsed="false">
      <c r="A1899" s="5" t="s">
        <v>505</v>
      </c>
    </row>
    <row r="1900" customFormat="false" ht="12.75" hidden="false" customHeight="true" outlineLevel="0" collapsed="false">
      <c r="A1900" s="5" t="n">
        <v>0.2</v>
      </c>
    </row>
    <row r="1901" customFormat="false" ht="12.75" hidden="false" customHeight="true" outlineLevel="0" collapsed="false">
      <c r="A1901" s="5" t="s">
        <v>1736</v>
      </c>
    </row>
    <row r="1902" customFormat="false" ht="12.75" hidden="false" customHeight="true" outlineLevel="0" collapsed="false">
      <c r="A1902" s="5" t="s">
        <v>3261</v>
      </c>
    </row>
    <row r="1903" customFormat="false" ht="12.75" hidden="false" customHeight="true" outlineLevel="0" collapsed="false">
      <c r="A1903" s="5" t="n">
        <v>0.1</v>
      </c>
    </row>
    <row r="1904" customFormat="false" ht="12.75" hidden="false" customHeight="true" outlineLevel="0" collapsed="false">
      <c r="A1904" s="5" t="s">
        <v>3298</v>
      </c>
    </row>
    <row r="1905" customFormat="false" ht="12.75" hidden="false" customHeight="true" outlineLevel="0" collapsed="false">
      <c r="A1905" s="5" t="s">
        <v>3279</v>
      </c>
    </row>
    <row r="1906" customFormat="false" ht="12.75" hidden="false" customHeight="true" outlineLevel="0" collapsed="false">
      <c r="A1906" s="5" t="s">
        <v>3263</v>
      </c>
    </row>
    <row r="1907" customFormat="false" ht="12.75" hidden="false" customHeight="true" outlineLevel="0" collapsed="false">
      <c r="A1907" s="5" t="s">
        <v>3264</v>
      </c>
    </row>
    <row r="1908" customFormat="false" ht="12.75" hidden="false" customHeight="true" outlineLevel="0" collapsed="false">
      <c r="A1908" s="5" t="n">
        <v>0.05</v>
      </c>
    </row>
    <row r="1909" customFormat="false" ht="12.75" hidden="false" customHeight="true" outlineLevel="0" collapsed="false">
      <c r="A1909" s="5" t="s">
        <v>3281</v>
      </c>
    </row>
    <row r="1910" customFormat="false" ht="12.75" hidden="false" customHeight="true" outlineLevel="0" collapsed="false">
      <c r="A1910" s="5" t="s">
        <v>3154</v>
      </c>
    </row>
    <row r="1911" customFormat="false" ht="12.75" hidden="false" customHeight="true" outlineLevel="0" collapsed="false">
      <c r="A1911" s="5" t="n">
        <v>0.04</v>
      </c>
    </row>
    <row r="1912" customFormat="false" ht="12.75" hidden="false" customHeight="true" outlineLevel="0" collapsed="false">
      <c r="A1912" s="5" t="s">
        <v>3299</v>
      </c>
    </row>
    <row r="1913" customFormat="false" ht="12.75" hidden="false" customHeight="true" outlineLevel="0" collapsed="false">
      <c r="A1913" s="5" t="s">
        <v>3267</v>
      </c>
    </row>
    <row r="1914" customFormat="false" ht="12.75" hidden="false" customHeight="true" outlineLevel="0" collapsed="false">
      <c r="A1914" s="5" t="n">
        <v>0.01</v>
      </c>
    </row>
    <row r="1915" customFormat="false" ht="12.75" hidden="false" customHeight="true" outlineLevel="0" collapsed="false">
      <c r="A1915" s="5" t="s">
        <v>3299</v>
      </c>
    </row>
    <row r="1916" customFormat="false" ht="12.75" hidden="false" customHeight="true" outlineLevel="0" collapsed="false">
      <c r="A1916" s="5" t="s">
        <v>3268</v>
      </c>
    </row>
    <row r="1917" customFormat="false" ht="12.75" hidden="false" customHeight="true" outlineLevel="0" collapsed="false">
      <c r="A1917" s="5" t="s">
        <v>2536</v>
      </c>
    </row>
    <row r="1918" customFormat="false" ht="12.75" hidden="false" customHeight="true" outlineLevel="0" collapsed="false">
      <c r="A1918" s="5" t="s">
        <v>507</v>
      </c>
    </row>
    <row r="1919" customFormat="false" ht="12.75" hidden="false" customHeight="true" outlineLevel="0" collapsed="false">
      <c r="A1919" s="5" t="n">
        <v>0.2</v>
      </c>
    </row>
    <row r="1920" customFormat="false" ht="12.75" hidden="false" customHeight="true" outlineLevel="0" collapsed="false">
      <c r="A1920" s="5" t="s">
        <v>1764</v>
      </c>
    </row>
    <row r="1921" customFormat="false" ht="12.75" hidden="false" customHeight="true" outlineLevel="0" collapsed="false">
      <c r="A1921" s="5" t="s">
        <v>3299</v>
      </c>
    </row>
    <row r="1922" customFormat="false" ht="12.75" hidden="false" customHeight="true" outlineLevel="0" collapsed="false">
      <c r="A1922" s="5" t="n">
        <v>0.1</v>
      </c>
    </row>
    <row r="1923" customFormat="false" ht="12.75" hidden="false" customHeight="true" outlineLevel="0" collapsed="false">
      <c r="A1923" s="5" t="s">
        <v>3302</v>
      </c>
    </row>
    <row r="1924" customFormat="false" ht="12.75" hidden="false" customHeight="true" outlineLevel="0" collapsed="false">
      <c r="A1924" s="5" t="s">
        <v>3281</v>
      </c>
    </row>
    <row r="1925" customFormat="false" ht="12.75" hidden="false" customHeight="true" outlineLevel="0" collapsed="false">
      <c r="A1925" s="5" t="s">
        <v>3303</v>
      </c>
    </row>
    <row r="1926" customFormat="false" ht="12.75" hidden="false" customHeight="true" outlineLevel="0" collapsed="false">
      <c r="A1926" s="5" t="s">
        <v>3286</v>
      </c>
    </row>
    <row r="1927" customFormat="false" ht="12.75" hidden="false" customHeight="true" outlineLevel="0" collapsed="false">
      <c r="A1927" s="5" t="n">
        <v>0.05</v>
      </c>
    </row>
    <row r="1928" customFormat="false" ht="12.75" hidden="false" customHeight="true" outlineLevel="0" collapsed="false">
      <c r="A1928" s="5" t="s">
        <v>3304</v>
      </c>
    </row>
    <row r="1929" customFormat="false" ht="12.75" hidden="false" customHeight="true" outlineLevel="0" collapsed="false">
      <c r="A1929" s="5" t="s">
        <v>3281</v>
      </c>
    </row>
    <row r="1930" customFormat="false" ht="12.75" hidden="false" customHeight="true" outlineLevel="0" collapsed="false">
      <c r="A1930" s="5" t="n">
        <v>0.04</v>
      </c>
    </row>
    <row r="1931" customFormat="false" ht="12.75" hidden="false" customHeight="true" outlineLevel="0" collapsed="false">
      <c r="A1931" s="5" t="s">
        <v>3305</v>
      </c>
    </row>
    <row r="1932" customFormat="false" ht="12.75" hidden="false" customHeight="true" outlineLevel="0" collapsed="false">
      <c r="A1932" s="5" t="s">
        <v>3289</v>
      </c>
    </row>
    <row r="1933" customFormat="false" ht="12.75" hidden="false" customHeight="true" outlineLevel="0" collapsed="false">
      <c r="A1933" s="5" t="n">
        <v>0.01</v>
      </c>
    </row>
    <row r="1934" customFormat="false" ht="12.75" hidden="false" customHeight="true" outlineLevel="0" collapsed="false">
      <c r="A1934" s="5" t="s">
        <v>3306</v>
      </c>
    </row>
    <row r="1935" customFormat="false" ht="12.75" hidden="false" customHeight="true" outlineLevel="0" collapsed="false">
      <c r="A1935" s="5" t="s">
        <v>3290</v>
      </c>
    </row>
    <row r="1936" customFormat="false" ht="12.75" hidden="false" customHeight="true" outlineLevel="0" collapsed="false">
      <c r="A1936" s="5" t="s">
        <v>3990</v>
      </c>
    </row>
    <row r="1937" customFormat="false" ht="12.75" hidden="false" customHeight="true" outlineLevel="0" collapsed="false">
      <c r="A1937" s="5" t="s">
        <v>3985</v>
      </c>
    </row>
    <row r="1938" customFormat="false" ht="12.75" hidden="false" customHeight="true" outlineLevel="0" collapsed="false">
      <c r="A1938" s="5" t="s">
        <v>3102</v>
      </c>
    </row>
    <row r="1939" customFormat="false" ht="12.75" hidden="false" customHeight="true" outlineLevel="0" collapsed="false">
      <c r="A1939" s="5" t="s">
        <v>3103</v>
      </c>
    </row>
    <row r="1940" customFormat="false" ht="12.75" hidden="false" customHeight="true" outlineLevel="0" collapsed="false">
      <c r="A1940" s="5" t="s">
        <v>3104</v>
      </c>
    </row>
    <row r="1941" customFormat="false" ht="12.75" hidden="false" customHeight="true" outlineLevel="0" collapsed="false">
      <c r="A1941" s="5" t="s">
        <v>3104</v>
      </c>
    </row>
    <row r="1942" customFormat="false" ht="12.75" hidden="false" customHeight="true" outlineLevel="0" collapsed="false">
      <c r="A1942" s="5" t="s">
        <v>2536</v>
      </c>
    </row>
    <row r="1943" customFormat="false" ht="12.75" hidden="false" customHeight="true" outlineLevel="0" collapsed="false">
      <c r="A1943" s="5" t="s">
        <v>509</v>
      </c>
    </row>
    <row r="1944" customFormat="false" ht="12.75" hidden="false" customHeight="true" outlineLevel="0" collapsed="false">
      <c r="A1944" s="5" t="s">
        <v>3980</v>
      </c>
    </row>
    <row r="1945" customFormat="false" ht="12.75" hidden="false" customHeight="true" outlineLevel="0" collapsed="false">
      <c r="A1945" s="5" t="s">
        <v>3989</v>
      </c>
    </row>
    <row r="1946" customFormat="false" ht="12.75" hidden="false" customHeight="true" outlineLevel="0" collapsed="false">
      <c r="A1946" s="5" t="s">
        <v>3173</v>
      </c>
    </row>
    <row r="1947" customFormat="false" ht="12.75" hidden="false" customHeight="true" outlineLevel="0" collapsed="false">
      <c r="A1947" s="5" t="s">
        <v>3296</v>
      </c>
    </row>
    <row r="1948" customFormat="false" ht="12.75" hidden="false" customHeight="true" outlineLevel="0" collapsed="false">
      <c r="A1948" s="5" t="s">
        <v>3231</v>
      </c>
    </row>
    <row r="1949" customFormat="false" ht="12.75" hidden="false" customHeight="true" outlineLevel="0" collapsed="false">
      <c r="A1949" s="5" t="s">
        <v>3231</v>
      </c>
    </row>
    <row r="1950" customFormat="false" ht="12.75" hidden="false" customHeight="true" outlineLevel="0" collapsed="false">
      <c r="A1950" s="5" t="s">
        <v>3977</v>
      </c>
    </row>
    <row r="1951" customFormat="false" ht="12.75" hidden="false" customHeight="true" outlineLevel="0" collapsed="false">
      <c r="A1951" s="5" t="s">
        <v>1266</v>
      </c>
    </row>
    <row r="1952" customFormat="false" ht="12.75" hidden="false" customHeight="true" outlineLevel="0" collapsed="false">
      <c r="A1952" s="5" t="s">
        <v>1266</v>
      </c>
    </row>
    <row r="1953" customFormat="false" ht="12.75" hidden="false" customHeight="true" outlineLevel="0" collapsed="false">
      <c r="A1953" s="5" t="s">
        <v>3978</v>
      </c>
    </row>
    <row r="1954" customFormat="false" ht="12.75" hidden="false" customHeight="true" outlineLevel="0" collapsed="false">
      <c r="A1954" s="5" t="s">
        <v>2847</v>
      </c>
    </row>
    <row r="1955" customFormat="false" ht="12.75" hidden="false" customHeight="true" outlineLevel="0" collapsed="false">
      <c r="A1955" s="5" t="s">
        <v>2848</v>
      </c>
    </row>
    <row r="1956" customFormat="false" ht="12.75" hidden="false" customHeight="true" outlineLevel="0" collapsed="false">
      <c r="A1956" s="5" t="s">
        <v>2847</v>
      </c>
    </row>
    <row r="1957" customFormat="false" ht="12.75" hidden="false" customHeight="true" outlineLevel="0" collapsed="false">
      <c r="A1957" s="5" t="s">
        <v>3979</v>
      </c>
    </row>
    <row r="1958" customFormat="false" ht="12.75" hidden="false" customHeight="true" outlineLevel="0" collapsed="false">
      <c r="A1958" s="5" t="s">
        <v>2851</v>
      </c>
    </row>
    <row r="1959" customFormat="false" ht="12.75" hidden="false" customHeight="true" outlineLevel="0" collapsed="false">
      <c r="A1959" s="5" t="s">
        <v>3258</v>
      </c>
    </row>
    <row r="1960" customFormat="false" ht="12.75" hidden="false" customHeight="true" outlineLevel="0" collapsed="false">
      <c r="A1960" s="5" t="s">
        <v>2853</v>
      </c>
    </row>
    <row r="1961" customFormat="false" ht="12.75" hidden="false" customHeight="true" outlineLevel="0" collapsed="false">
      <c r="A1961" s="5" t="s">
        <v>3177</v>
      </c>
    </row>
    <row r="1962" customFormat="false" ht="12.75" hidden="false" customHeight="true" outlineLevel="0" collapsed="false">
      <c r="A1962" s="5" t="s">
        <v>2855</v>
      </c>
    </row>
    <row r="1963" customFormat="false" ht="12.75" hidden="false" customHeight="true" outlineLevel="0" collapsed="false">
      <c r="A1963" s="5" t="s">
        <v>2536</v>
      </c>
    </row>
    <row r="1964" customFormat="false" ht="12.75" hidden="false" customHeight="true" outlineLevel="0" collapsed="false">
      <c r="A1964" s="5" t="s">
        <v>417</v>
      </c>
    </row>
    <row r="1965" customFormat="false" ht="12.75" hidden="false" customHeight="true" outlineLevel="0" collapsed="false">
      <c r="A1965" s="5" t="n">
        <v>0.2</v>
      </c>
    </row>
    <row r="1966" customFormat="false" ht="12.75" hidden="false" customHeight="true" outlineLevel="0" collapsed="false">
      <c r="A1966" s="5" t="s">
        <v>1773</v>
      </c>
    </row>
    <row r="1967" customFormat="false" ht="12.75" hidden="false" customHeight="true" outlineLevel="0" collapsed="false">
      <c r="A1967" s="5" t="s">
        <v>1773</v>
      </c>
    </row>
    <row r="1968" customFormat="false" ht="12.75" hidden="false" customHeight="true" outlineLevel="0" collapsed="false">
      <c r="A1968" s="5" t="n">
        <v>0.1</v>
      </c>
    </row>
    <row r="1969" customFormat="false" ht="12.75" hidden="false" customHeight="true" outlineLevel="0" collapsed="false">
      <c r="A1969" s="5" t="s">
        <v>3310</v>
      </c>
    </row>
    <row r="1970" customFormat="false" ht="12.75" hidden="false" customHeight="true" outlineLevel="0" collapsed="false">
      <c r="A1970" s="5" t="s">
        <v>3310</v>
      </c>
    </row>
    <row r="1971" customFormat="false" ht="12.75" hidden="false" customHeight="true" outlineLevel="0" collapsed="false">
      <c r="A1971" s="5" t="s">
        <v>3311</v>
      </c>
    </row>
    <row r="1972" customFormat="false" ht="12.75" hidden="false" customHeight="true" outlineLevel="0" collapsed="false">
      <c r="A1972" s="5" t="s">
        <v>3311</v>
      </c>
    </row>
    <row r="1973" customFormat="false" ht="12.75" hidden="false" customHeight="true" outlineLevel="0" collapsed="false">
      <c r="A1973" s="5" t="n">
        <v>0.05</v>
      </c>
    </row>
    <row r="1974" customFormat="false" ht="12.75" hidden="false" customHeight="true" outlineLevel="0" collapsed="false">
      <c r="A1974" s="5" t="s">
        <v>3312</v>
      </c>
    </row>
    <row r="1975" customFormat="false" ht="12.75" hidden="false" customHeight="true" outlineLevel="0" collapsed="false">
      <c r="A1975" s="5" t="s">
        <v>3312</v>
      </c>
    </row>
    <row r="1976" customFormat="false" ht="12.75" hidden="false" customHeight="true" outlineLevel="0" collapsed="false">
      <c r="A1976" s="5" t="n">
        <v>0.04</v>
      </c>
    </row>
    <row r="1977" customFormat="false" ht="12.75" hidden="false" customHeight="true" outlineLevel="0" collapsed="false">
      <c r="A1977" s="5" t="s">
        <v>3313</v>
      </c>
    </row>
    <row r="1978" customFormat="false" ht="12.75" hidden="false" customHeight="true" outlineLevel="0" collapsed="false">
      <c r="A1978" s="5" t="s">
        <v>3313</v>
      </c>
    </row>
    <row r="1979" customFormat="false" ht="12.75" hidden="false" customHeight="true" outlineLevel="0" collapsed="false">
      <c r="A1979" s="5" t="n">
        <v>0.01</v>
      </c>
    </row>
    <row r="1980" customFormat="false" ht="12.75" hidden="false" customHeight="true" outlineLevel="0" collapsed="false">
      <c r="A1980" s="5" t="s">
        <v>3314</v>
      </c>
    </row>
    <row r="1981" customFormat="false" ht="12.75" hidden="false" customHeight="true" outlineLevel="0" collapsed="false">
      <c r="A1981" s="5" t="s">
        <v>3314</v>
      </c>
    </row>
    <row r="1982" customFormat="false" ht="12.75" hidden="false" customHeight="true" outlineLevel="0" collapsed="false">
      <c r="A1982" s="5" t="s">
        <v>2536</v>
      </c>
    </row>
    <row r="1983" customFormat="false" ht="12.75" hidden="false" customHeight="true" outlineLevel="0" collapsed="false">
      <c r="A1983" s="5" t="s">
        <v>419</v>
      </c>
    </row>
    <row r="1984" customFormat="false" ht="12.75" hidden="false" customHeight="true" outlineLevel="0" collapsed="false">
      <c r="A1984" s="5" t="n">
        <v>0.2</v>
      </c>
    </row>
    <row r="1985" customFormat="false" ht="12.75" hidden="false" customHeight="true" outlineLevel="0" collapsed="false">
      <c r="A1985" s="5" t="s">
        <v>1782</v>
      </c>
    </row>
    <row r="1986" customFormat="false" ht="12.75" hidden="false" customHeight="true" outlineLevel="0" collapsed="false">
      <c r="A1986" s="5" t="s">
        <v>3317</v>
      </c>
    </row>
    <row r="1987" customFormat="false" ht="12.75" hidden="false" customHeight="true" outlineLevel="0" collapsed="false">
      <c r="A1987" s="5" t="n">
        <v>0.1</v>
      </c>
    </row>
    <row r="1988" customFormat="false" ht="12.75" hidden="false" customHeight="true" outlineLevel="0" collapsed="false">
      <c r="A1988" s="5" t="s">
        <v>3318</v>
      </c>
    </row>
    <row r="1989" customFormat="false" ht="12.75" hidden="false" customHeight="true" outlineLevel="0" collapsed="false">
      <c r="A1989" s="5" t="s">
        <v>3319</v>
      </c>
    </row>
    <row r="1990" customFormat="false" ht="12.75" hidden="false" customHeight="true" outlineLevel="0" collapsed="false">
      <c r="A1990" s="5" t="s">
        <v>3319</v>
      </c>
    </row>
    <row r="1991" customFormat="false" ht="12.75" hidden="false" customHeight="true" outlineLevel="0" collapsed="false">
      <c r="A1991" s="5" t="s">
        <v>3318</v>
      </c>
    </row>
    <row r="1992" customFormat="false" ht="12.75" hidden="false" customHeight="true" outlineLevel="0" collapsed="false">
      <c r="A1992" s="5" t="n">
        <v>0.05</v>
      </c>
    </row>
    <row r="1993" customFormat="false" ht="12.75" hidden="false" customHeight="true" outlineLevel="0" collapsed="false">
      <c r="A1993" s="5" t="s">
        <v>3320</v>
      </c>
    </row>
    <row r="1994" customFormat="false" ht="12.75" hidden="false" customHeight="true" outlineLevel="0" collapsed="false">
      <c r="A1994" s="5" t="s">
        <v>3321</v>
      </c>
    </row>
    <row r="1995" customFormat="false" ht="12.75" hidden="false" customHeight="true" outlineLevel="0" collapsed="false">
      <c r="A1995" s="5" t="n">
        <v>0.04</v>
      </c>
    </row>
    <row r="1996" customFormat="false" ht="12.75" hidden="false" customHeight="true" outlineLevel="0" collapsed="false">
      <c r="A1996" s="5" t="s">
        <v>3322</v>
      </c>
    </row>
    <row r="1997" customFormat="false" ht="12.75" hidden="false" customHeight="true" outlineLevel="0" collapsed="false">
      <c r="A1997" s="5" t="s">
        <v>3323</v>
      </c>
    </row>
    <row r="1998" customFormat="false" ht="12.75" hidden="false" customHeight="true" outlineLevel="0" collapsed="false">
      <c r="A1998" s="5" t="n">
        <v>0.01</v>
      </c>
    </row>
    <row r="1999" customFormat="false" ht="12.75" hidden="false" customHeight="true" outlineLevel="0" collapsed="false">
      <c r="A1999" s="5" t="s">
        <v>3324</v>
      </c>
    </row>
    <row r="2000" customFormat="false" ht="12.75" hidden="false" customHeight="true" outlineLevel="0" collapsed="false">
      <c r="A2000" s="5" t="s">
        <v>3722</v>
      </c>
    </row>
    <row r="2001" customFormat="false" ht="12.75" hidden="false" customHeight="true" outlineLevel="0" collapsed="false">
      <c r="A2001" s="5" t="s">
        <v>2536</v>
      </c>
    </row>
    <row r="2002" customFormat="false" ht="12.75" hidden="false" customHeight="true" outlineLevel="0" collapsed="false">
      <c r="A2002" s="5" t="s">
        <v>421</v>
      </c>
    </row>
    <row r="2003" customFormat="false" ht="12.75" hidden="false" customHeight="true" outlineLevel="0" collapsed="false">
      <c r="A2003" s="5" t="n">
        <v>0.2</v>
      </c>
    </row>
    <row r="2004" customFormat="false" ht="12.75" hidden="false" customHeight="true" outlineLevel="0" collapsed="false">
      <c r="A2004" s="5" t="s">
        <v>1793</v>
      </c>
    </row>
    <row r="2005" customFormat="false" ht="12.75" hidden="false" customHeight="true" outlineLevel="0" collapsed="false">
      <c r="A2005" s="5" t="s">
        <v>3327</v>
      </c>
    </row>
    <row r="2006" customFormat="false" ht="12.75" hidden="false" customHeight="true" outlineLevel="0" collapsed="false">
      <c r="A2006" s="5" t="n">
        <v>0.1</v>
      </c>
    </row>
    <row r="2007" customFormat="false" ht="12.75" hidden="false" customHeight="true" outlineLevel="0" collapsed="false">
      <c r="A2007" s="5" t="s">
        <v>3328</v>
      </c>
    </row>
    <row r="2008" customFormat="false" ht="12.75" hidden="false" customHeight="true" outlineLevel="0" collapsed="false">
      <c r="A2008" s="5" t="s">
        <v>3329</v>
      </c>
    </row>
    <row r="2009" customFormat="false" ht="12.75" hidden="false" customHeight="true" outlineLevel="0" collapsed="false">
      <c r="A2009" s="5" t="s">
        <v>3330</v>
      </c>
    </row>
    <row r="2010" customFormat="false" ht="12.75" hidden="false" customHeight="true" outlineLevel="0" collapsed="false">
      <c r="A2010" s="5" t="s">
        <v>3331</v>
      </c>
    </row>
    <row r="2011" customFormat="false" ht="12.75" hidden="false" customHeight="true" outlineLevel="0" collapsed="false">
      <c r="A2011" s="5" t="n">
        <v>0.05</v>
      </c>
    </row>
    <row r="2012" customFormat="false" ht="12.75" hidden="false" customHeight="true" outlineLevel="0" collapsed="false">
      <c r="A2012" s="5" t="s">
        <v>3332</v>
      </c>
    </row>
    <row r="2013" customFormat="false" ht="12.75" hidden="false" customHeight="true" outlineLevel="0" collapsed="false">
      <c r="A2013" s="5" t="s">
        <v>3333</v>
      </c>
    </row>
    <row r="2014" customFormat="false" ht="12.75" hidden="false" customHeight="true" outlineLevel="0" collapsed="false">
      <c r="A2014" s="5" t="n">
        <v>0.04</v>
      </c>
    </row>
    <row r="2015" customFormat="false" ht="12.75" hidden="false" customHeight="true" outlineLevel="0" collapsed="false">
      <c r="A2015" s="5" t="s">
        <v>3334</v>
      </c>
    </row>
    <row r="2016" customFormat="false" ht="12.75" hidden="false" customHeight="true" outlineLevel="0" collapsed="false">
      <c r="A2016" s="5" t="s">
        <v>3334</v>
      </c>
    </row>
    <row r="2017" customFormat="false" ht="12.75" hidden="false" customHeight="true" outlineLevel="0" collapsed="false">
      <c r="A2017" s="5" t="n">
        <v>0.01</v>
      </c>
    </row>
    <row r="2018" customFormat="false" ht="12.75" hidden="false" customHeight="true" outlineLevel="0" collapsed="false">
      <c r="A2018" s="5" t="s">
        <v>3335</v>
      </c>
    </row>
    <row r="2019" customFormat="false" ht="12.75" hidden="false" customHeight="true" outlineLevel="0" collapsed="false">
      <c r="A2019" s="5" t="s">
        <v>3723</v>
      </c>
    </row>
    <row r="2020" customFormat="false" ht="12.75" hidden="false" customHeight="true" outlineLevel="0" collapsed="false">
      <c r="A2020" s="5" t="s">
        <v>2536</v>
      </c>
    </row>
    <row r="2021" customFormat="false" ht="12.75" hidden="false" customHeight="true" outlineLevel="0" collapsed="false">
      <c r="A2021" s="5" t="s">
        <v>423</v>
      </c>
    </row>
    <row r="2022" customFormat="false" ht="12.75" hidden="false" customHeight="true" outlineLevel="0" collapsed="false">
      <c r="A2022" s="5" t="n">
        <v>0.2</v>
      </c>
    </row>
    <row r="2023" customFormat="false" ht="12.75" hidden="false" customHeight="true" outlineLevel="0" collapsed="false">
      <c r="A2023" s="5" t="s">
        <v>1805</v>
      </c>
    </row>
    <row r="2024" customFormat="false" ht="12.75" hidden="false" customHeight="true" outlineLevel="0" collapsed="false">
      <c r="A2024" s="5" t="s">
        <v>3338</v>
      </c>
    </row>
    <row r="2025" customFormat="false" ht="12.75" hidden="false" customHeight="true" outlineLevel="0" collapsed="false">
      <c r="A2025" s="5" t="n">
        <v>0.1</v>
      </c>
    </row>
    <row r="2026" customFormat="false" ht="12.75" hidden="false" customHeight="true" outlineLevel="0" collapsed="false">
      <c r="A2026" s="5" t="s">
        <v>3339</v>
      </c>
    </row>
    <row r="2027" customFormat="false" ht="12.75" hidden="false" customHeight="true" outlineLevel="0" collapsed="false">
      <c r="A2027" s="5" t="s">
        <v>3340</v>
      </c>
    </row>
    <row r="2028" customFormat="false" ht="12.75" hidden="false" customHeight="true" outlineLevel="0" collapsed="false">
      <c r="A2028" s="5" t="s">
        <v>3341</v>
      </c>
    </row>
    <row r="2029" customFormat="false" ht="12.75" hidden="false" customHeight="true" outlineLevel="0" collapsed="false">
      <c r="A2029" s="5" t="s">
        <v>3342</v>
      </c>
    </row>
    <row r="2030" customFormat="false" ht="12.75" hidden="false" customHeight="true" outlineLevel="0" collapsed="false">
      <c r="A2030" s="5" t="n">
        <v>0.05</v>
      </c>
    </row>
    <row r="2031" customFormat="false" ht="12.75" hidden="false" customHeight="true" outlineLevel="0" collapsed="false">
      <c r="A2031" s="5" t="s">
        <v>3343</v>
      </c>
    </row>
    <row r="2032" customFormat="false" ht="12.75" hidden="false" customHeight="true" outlineLevel="0" collapsed="false">
      <c r="A2032" s="5" t="s">
        <v>3344</v>
      </c>
    </row>
    <row r="2033" customFormat="false" ht="12.75" hidden="false" customHeight="true" outlineLevel="0" collapsed="false">
      <c r="A2033" s="5" t="n">
        <v>0.04</v>
      </c>
    </row>
    <row r="2034" customFormat="false" ht="12.75" hidden="false" customHeight="true" outlineLevel="0" collapsed="false">
      <c r="A2034" s="5" t="s">
        <v>3345</v>
      </c>
    </row>
    <row r="2035" customFormat="false" ht="12.75" hidden="false" customHeight="true" outlineLevel="0" collapsed="false">
      <c r="A2035" s="5" t="s">
        <v>3346</v>
      </c>
    </row>
    <row r="2036" customFormat="false" ht="12.75" hidden="false" customHeight="true" outlineLevel="0" collapsed="false">
      <c r="A2036" s="5" t="n">
        <v>0.01</v>
      </c>
    </row>
    <row r="2037" customFormat="false" ht="12.75" hidden="false" customHeight="true" outlineLevel="0" collapsed="false">
      <c r="A2037" s="5" t="s">
        <v>3347</v>
      </c>
    </row>
    <row r="2038" customFormat="false" ht="12.75" hidden="false" customHeight="true" outlineLevel="0" collapsed="false">
      <c r="A2038" s="5" t="s">
        <v>3348</v>
      </c>
    </row>
    <row r="2039" customFormat="false" ht="12.75" hidden="false" customHeight="true" outlineLevel="0" collapsed="false">
      <c r="A2039" s="5" t="s">
        <v>3980</v>
      </c>
    </row>
    <row r="2040" customFormat="false" ht="12.75" hidden="false" customHeight="true" outlineLevel="0" collapsed="false">
      <c r="A2040" s="5" t="s">
        <v>3993</v>
      </c>
    </row>
    <row r="2041" customFormat="false" ht="12.75" hidden="false" customHeight="true" outlineLevel="0" collapsed="false">
      <c r="A2041" s="5" t="s">
        <v>3350</v>
      </c>
    </row>
    <row r="2042" customFormat="false" ht="12.75" hidden="false" customHeight="true" outlineLevel="0" collapsed="false">
      <c r="A2042" s="5" t="s">
        <v>3351</v>
      </c>
    </row>
    <row r="2043" customFormat="false" ht="12.75" hidden="false" customHeight="true" outlineLevel="0" collapsed="false">
      <c r="A2043" s="5" t="s">
        <v>2923</v>
      </c>
    </row>
    <row r="2044" customFormat="false" ht="12.75" hidden="false" customHeight="true" outlineLevel="0" collapsed="false">
      <c r="A2044" s="5" t="s">
        <v>2924</v>
      </c>
    </row>
    <row r="2045" customFormat="false" ht="12.75" hidden="false" customHeight="true" outlineLevel="0" collapsed="false">
      <c r="A2045" s="5" t="s">
        <v>3977</v>
      </c>
    </row>
    <row r="2046" customFormat="false" ht="12.75" hidden="false" customHeight="true" outlineLevel="0" collapsed="false">
      <c r="A2046" s="5" t="s">
        <v>1349</v>
      </c>
    </row>
    <row r="2047" customFormat="false" ht="12.75" hidden="false" customHeight="true" outlineLevel="0" collapsed="false">
      <c r="A2047" s="5" t="s">
        <v>3352</v>
      </c>
    </row>
    <row r="2048" customFormat="false" ht="12.75" hidden="false" customHeight="true" outlineLevel="0" collapsed="false">
      <c r="A2048" s="5" t="s">
        <v>3978</v>
      </c>
    </row>
    <row r="2049" customFormat="false" ht="12.75" hidden="false" customHeight="true" outlineLevel="0" collapsed="false">
      <c r="A2049" s="5" t="s">
        <v>3353</v>
      </c>
    </row>
    <row r="2050" customFormat="false" ht="12.75" hidden="false" customHeight="true" outlineLevel="0" collapsed="false">
      <c r="A2050" s="5" t="s">
        <v>3027</v>
      </c>
    </row>
    <row r="2051" customFormat="false" ht="12.75" hidden="false" customHeight="true" outlineLevel="0" collapsed="false">
      <c r="A2051" s="5" t="s">
        <v>3354</v>
      </c>
    </row>
    <row r="2052" customFormat="false" ht="12.75" hidden="false" customHeight="true" outlineLevel="0" collapsed="false">
      <c r="A2052" s="5" t="s">
        <v>3979</v>
      </c>
    </row>
    <row r="2053" customFormat="false" ht="12.75" hidden="false" customHeight="true" outlineLevel="0" collapsed="false">
      <c r="A2053" s="5" t="s">
        <v>3355</v>
      </c>
    </row>
    <row r="2054" customFormat="false" ht="12.75" hidden="false" customHeight="true" outlineLevel="0" collapsed="false">
      <c r="A2054" s="5" t="s">
        <v>3356</v>
      </c>
    </row>
    <row r="2055" customFormat="false" ht="12.75" hidden="false" customHeight="true" outlineLevel="0" collapsed="false">
      <c r="A2055" s="5" t="s">
        <v>3357</v>
      </c>
    </row>
    <row r="2056" customFormat="false" ht="12.75" hidden="false" customHeight="true" outlineLevel="0" collapsed="false">
      <c r="A2056" s="5" t="s">
        <v>3358</v>
      </c>
    </row>
    <row r="2057" customFormat="false" ht="12.75" hidden="false" customHeight="true" outlineLevel="0" collapsed="false">
      <c r="A2057" s="5" t="s">
        <v>3359</v>
      </c>
    </row>
    <row r="2058" customFormat="false" ht="12.75" hidden="false" customHeight="true" outlineLevel="0" collapsed="false">
      <c r="A2058" s="5" t="s">
        <v>2536</v>
      </c>
    </row>
    <row r="2059" customFormat="false" ht="12.75" hidden="false" customHeight="true" outlineLevel="0" collapsed="false">
      <c r="A2059" s="5" t="s">
        <v>425</v>
      </c>
    </row>
    <row r="2060" customFormat="false" ht="12.75" hidden="false" customHeight="true" outlineLevel="0" collapsed="false">
      <c r="A2060" s="5" t="n">
        <v>0.2</v>
      </c>
    </row>
    <row r="2061" customFormat="false" ht="12.75" hidden="false" customHeight="true" outlineLevel="0" collapsed="false">
      <c r="A2061" s="5" t="s">
        <v>1828</v>
      </c>
    </row>
    <row r="2062" customFormat="false" ht="12.75" hidden="false" customHeight="true" outlineLevel="0" collapsed="false">
      <c r="A2062" s="5" t="s">
        <v>3361</v>
      </c>
    </row>
    <row r="2063" customFormat="false" ht="12.75" hidden="false" customHeight="true" outlineLevel="0" collapsed="false">
      <c r="A2063" s="5" t="n">
        <v>0.1</v>
      </c>
    </row>
    <row r="2064" customFormat="false" ht="12.75" hidden="false" customHeight="true" outlineLevel="0" collapsed="false">
      <c r="A2064" s="5" t="s">
        <v>3362</v>
      </c>
    </row>
    <row r="2065" customFormat="false" ht="12.75" hidden="false" customHeight="true" outlineLevel="0" collapsed="false">
      <c r="A2065" s="5" t="s">
        <v>3363</v>
      </c>
    </row>
    <row r="2066" customFormat="false" ht="12.75" hidden="false" customHeight="true" outlineLevel="0" collapsed="false">
      <c r="A2066" s="5" t="s">
        <v>3364</v>
      </c>
    </row>
    <row r="2067" customFormat="false" ht="12.75" hidden="false" customHeight="true" outlineLevel="0" collapsed="false">
      <c r="A2067" s="5" t="s">
        <v>3365</v>
      </c>
    </row>
    <row r="2068" customFormat="false" ht="12.75" hidden="false" customHeight="true" outlineLevel="0" collapsed="false">
      <c r="A2068" s="5" t="n">
        <v>0.05</v>
      </c>
    </row>
    <row r="2069" customFormat="false" ht="12.75" hidden="false" customHeight="true" outlineLevel="0" collapsed="false">
      <c r="A2069" s="5" t="s">
        <v>3366</v>
      </c>
    </row>
    <row r="2070" customFormat="false" ht="12.75" hidden="false" customHeight="true" outlineLevel="0" collapsed="false">
      <c r="A2070" s="5" t="s">
        <v>3367</v>
      </c>
    </row>
    <row r="2071" customFormat="false" ht="12.75" hidden="false" customHeight="true" outlineLevel="0" collapsed="false">
      <c r="A2071" s="5" t="n">
        <v>0.04</v>
      </c>
    </row>
    <row r="2072" customFormat="false" ht="12.75" hidden="false" customHeight="true" outlineLevel="0" collapsed="false">
      <c r="A2072" s="5" t="s">
        <v>3368</v>
      </c>
    </row>
    <row r="2073" customFormat="false" ht="12.75" hidden="false" customHeight="true" outlineLevel="0" collapsed="false">
      <c r="A2073" s="5" t="s">
        <v>3369</v>
      </c>
    </row>
    <row r="2074" customFormat="false" ht="12.75" hidden="false" customHeight="true" outlineLevel="0" collapsed="false">
      <c r="A2074" s="5" t="n">
        <v>0.01</v>
      </c>
    </row>
    <row r="2075" customFormat="false" ht="12.75" hidden="false" customHeight="true" outlineLevel="0" collapsed="false">
      <c r="A2075" s="5" t="s">
        <v>3370</v>
      </c>
    </row>
    <row r="2076" customFormat="false" ht="12.75" hidden="false" customHeight="true" outlineLevel="0" collapsed="false">
      <c r="A2076" s="5" t="s">
        <v>3373</v>
      </c>
    </row>
    <row r="2077" customFormat="false" ht="12.75" hidden="false" customHeight="true" outlineLevel="0" collapsed="false">
      <c r="A2077" s="5" t="s">
        <v>2536</v>
      </c>
    </row>
    <row r="2078" customFormat="false" ht="12.75" hidden="false" customHeight="true" outlineLevel="0" collapsed="false">
      <c r="A2078" s="5" t="s">
        <v>427</v>
      </c>
    </row>
    <row r="2079" customFormat="false" ht="12.75" hidden="false" customHeight="true" outlineLevel="0" collapsed="false">
      <c r="A2079" s="5" t="n">
        <v>0.2</v>
      </c>
    </row>
    <row r="2080" customFormat="false" ht="12.75" hidden="false" customHeight="true" outlineLevel="0" collapsed="false">
      <c r="A2080" s="5" t="s">
        <v>1828</v>
      </c>
    </row>
    <row r="2081" customFormat="false" ht="12.75" hidden="false" customHeight="true" outlineLevel="0" collapsed="false">
      <c r="A2081" s="5" t="s">
        <v>3361</v>
      </c>
    </row>
    <row r="2082" customFormat="false" ht="12.75" hidden="false" customHeight="true" outlineLevel="0" collapsed="false">
      <c r="A2082" s="5" t="n">
        <v>0.1</v>
      </c>
    </row>
    <row r="2083" customFormat="false" ht="12.75" hidden="false" customHeight="true" outlineLevel="0" collapsed="false">
      <c r="A2083" s="5" t="s">
        <v>3362</v>
      </c>
    </row>
    <row r="2084" customFormat="false" ht="12.75" hidden="false" customHeight="true" outlineLevel="0" collapsed="false">
      <c r="A2084" s="5" t="s">
        <v>3363</v>
      </c>
    </row>
    <row r="2085" customFormat="false" ht="12.75" hidden="false" customHeight="true" outlineLevel="0" collapsed="false">
      <c r="A2085" s="5" t="s">
        <v>3364</v>
      </c>
    </row>
    <row r="2086" customFormat="false" ht="12.75" hidden="false" customHeight="true" outlineLevel="0" collapsed="false">
      <c r="A2086" s="5" t="s">
        <v>3365</v>
      </c>
    </row>
    <row r="2087" customFormat="false" ht="12.75" hidden="false" customHeight="true" outlineLevel="0" collapsed="false">
      <c r="A2087" s="5" t="n">
        <v>0.05</v>
      </c>
    </row>
    <row r="2088" customFormat="false" ht="12.75" hidden="false" customHeight="true" outlineLevel="0" collapsed="false">
      <c r="A2088" s="5" t="s">
        <v>3366</v>
      </c>
    </row>
    <row r="2089" customFormat="false" ht="12.75" hidden="false" customHeight="true" outlineLevel="0" collapsed="false">
      <c r="A2089" s="5" t="s">
        <v>3367</v>
      </c>
    </row>
    <row r="2090" customFormat="false" ht="12.75" hidden="false" customHeight="true" outlineLevel="0" collapsed="false">
      <c r="A2090" s="5" t="n">
        <v>0.04</v>
      </c>
    </row>
    <row r="2091" customFormat="false" ht="12.75" hidden="false" customHeight="true" outlineLevel="0" collapsed="false">
      <c r="A2091" s="5" t="s">
        <v>3368</v>
      </c>
    </row>
    <row r="2092" customFormat="false" ht="12.75" hidden="false" customHeight="true" outlineLevel="0" collapsed="false">
      <c r="A2092" s="5" t="s">
        <v>3369</v>
      </c>
    </row>
    <row r="2093" customFormat="false" ht="12.75" hidden="false" customHeight="true" outlineLevel="0" collapsed="false">
      <c r="A2093" s="5" t="n">
        <v>0.01</v>
      </c>
    </row>
    <row r="2094" customFormat="false" ht="12.75" hidden="false" customHeight="true" outlineLevel="0" collapsed="false">
      <c r="A2094" s="5" t="s">
        <v>3370</v>
      </c>
    </row>
    <row r="2095" customFormat="false" ht="12.75" hidden="false" customHeight="true" outlineLevel="0" collapsed="false">
      <c r="A2095" s="5" t="s">
        <v>3373</v>
      </c>
    </row>
    <row r="2096" customFormat="false" ht="12.75" hidden="false" customHeight="true" outlineLevel="0" collapsed="false">
      <c r="A2096" s="5" t="s">
        <v>3980</v>
      </c>
    </row>
    <row r="2097" customFormat="false" ht="12.75" hidden="false" customHeight="true" outlineLevel="0" collapsed="false">
      <c r="A2097" s="5" t="s">
        <v>3993</v>
      </c>
    </row>
    <row r="2098" customFormat="false" ht="12.75" hidden="false" customHeight="true" outlineLevel="0" collapsed="false">
      <c r="A2098" s="5" t="s">
        <v>3374</v>
      </c>
    </row>
    <row r="2099" customFormat="false" ht="12.75" hidden="false" customHeight="true" outlineLevel="0" collapsed="false">
      <c r="A2099" s="5" t="s">
        <v>3351</v>
      </c>
    </row>
    <row r="2100" customFormat="false" ht="12.75" hidden="false" customHeight="true" outlineLevel="0" collapsed="false">
      <c r="A2100" s="5" t="s">
        <v>2923</v>
      </c>
    </row>
    <row r="2101" customFormat="false" ht="12.75" hidden="false" customHeight="true" outlineLevel="0" collapsed="false">
      <c r="A2101" s="5" t="s">
        <v>3375</v>
      </c>
    </row>
    <row r="2102" customFormat="false" ht="12.75" hidden="false" customHeight="true" outlineLevel="0" collapsed="false">
      <c r="A2102" s="5" t="s">
        <v>3977</v>
      </c>
    </row>
    <row r="2103" customFormat="false" ht="12.75" hidden="false" customHeight="true" outlineLevel="0" collapsed="false">
      <c r="A2103" s="5" t="s">
        <v>1349</v>
      </c>
    </row>
    <row r="2104" customFormat="false" ht="12.75" hidden="false" customHeight="true" outlineLevel="0" collapsed="false">
      <c r="A2104" s="5" t="s">
        <v>3352</v>
      </c>
    </row>
    <row r="2105" customFormat="false" ht="12.75" hidden="false" customHeight="true" outlineLevel="0" collapsed="false">
      <c r="A2105" s="5" t="s">
        <v>3978</v>
      </c>
    </row>
    <row r="2106" customFormat="false" ht="12.75" hidden="false" customHeight="true" outlineLevel="0" collapsed="false">
      <c r="A2106" s="5" t="s">
        <v>3376</v>
      </c>
    </row>
    <row r="2107" customFormat="false" ht="12.75" hidden="false" customHeight="true" outlineLevel="0" collapsed="false">
      <c r="A2107" s="5" t="s">
        <v>2929</v>
      </c>
    </row>
    <row r="2108" customFormat="false" ht="12.75" hidden="false" customHeight="true" outlineLevel="0" collapsed="false">
      <c r="A2108" s="5" t="s">
        <v>3354</v>
      </c>
    </row>
    <row r="2109" customFormat="false" ht="12.75" hidden="false" customHeight="true" outlineLevel="0" collapsed="false">
      <c r="A2109" s="5" t="s">
        <v>3979</v>
      </c>
    </row>
    <row r="2110" customFormat="false" ht="12.75" hidden="false" customHeight="true" outlineLevel="0" collapsed="false">
      <c r="A2110" s="5" t="s">
        <v>2930</v>
      </c>
    </row>
    <row r="2111" customFormat="false" ht="12.75" hidden="false" customHeight="true" outlineLevel="0" collapsed="false">
      <c r="A2111" s="5" t="s">
        <v>2931</v>
      </c>
    </row>
    <row r="2112" customFormat="false" ht="12.75" hidden="false" customHeight="true" outlineLevel="0" collapsed="false">
      <c r="A2112" s="5" t="s">
        <v>3377</v>
      </c>
    </row>
    <row r="2113" customFormat="false" ht="12.75" hidden="false" customHeight="true" outlineLevel="0" collapsed="false">
      <c r="A2113" s="5" t="s">
        <v>3378</v>
      </c>
    </row>
    <row r="2114" customFormat="false" ht="12.75" hidden="false" customHeight="true" outlineLevel="0" collapsed="false">
      <c r="A2114" s="5" t="s">
        <v>3379</v>
      </c>
    </row>
    <row r="2115" customFormat="false" ht="12.75" hidden="false" customHeight="true" outlineLevel="0" collapsed="false">
      <c r="A2115" s="5" t="s">
        <v>2536</v>
      </c>
    </row>
    <row r="2116" customFormat="false" ht="12.75" hidden="false" customHeight="true" outlineLevel="0" collapsed="false">
      <c r="A2116" s="5" t="s">
        <v>429</v>
      </c>
    </row>
    <row r="2117" customFormat="false" ht="12.75" hidden="false" customHeight="true" outlineLevel="0" collapsed="false">
      <c r="A2117" s="5" t="n">
        <v>0.2</v>
      </c>
    </row>
    <row r="2118" customFormat="false" ht="12.75" hidden="false" customHeight="true" outlineLevel="0" collapsed="false">
      <c r="A2118" s="5" t="s">
        <v>1849</v>
      </c>
    </row>
    <row r="2119" customFormat="false" ht="12.75" hidden="false" customHeight="true" outlineLevel="0" collapsed="false">
      <c r="A2119" s="5" t="s">
        <v>3381</v>
      </c>
    </row>
    <row r="2120" customFormat="false" ht="12.75" hidden="false" customHeight="true" outlineLevel="0" collapsed="false">
      <c r="A2120" s="5" t="n">
        <v>0.1</v>
      </c>
    </row>
    <row r="2121" customFormat="false" ht="12.75" hidden="false" customHeight="true" outlineLevel="0" collapsed="false">
      <c r="A2121" s="5" t="s">
        <v>3382</v>
      </c>
    </row>
    <row r="2122" customFormat="false" ht="12.75" hidden="false" customHeight="true" outlineLevel="0" collapsed="false">
      <c r="A2122" s="5" t="s">
        <v>3383</v>
      </c>
    </row>
    <row r="2123" customFormat="false" ht="12.75" hidden="false" customHeight="true" outlineLevel="0" collapsed="false">
      <c r="A2123" s="5" t="s">
        <v>3384</v>
      </c>
    </row>
    <row r="2124" customFormat="false" ht="12.75" hidden="false" customHeight="true" outlineLevel="0" collapsed="false">
      <c r="A2124" s="5" t="s">
        <v>3385</v>
      </c>
    </row>
    <row r="2125" customFormat="false" ht="12.75" hidden="false" customHeight="true" outlineLevel="0" collapsed="false">
      <c r="A2125" s="5" t="n">
        <v>0.05</v>
      </c>
    </row>
    <row r="2126" customFormat="false" ht="12.75" hidden="false" customHeight="true" outlineLevel="0" collapsed="false">
      <c r="A2126" s="5" t="s">
        <v>3386</v>
      </c>
    </row>
    <row r="2127" customFormat="false" ht="12.75" hidden="false" customHeight="true" outlineLevel="0" collapsed="false">
      <c r="A2127" s="5" t="s">
        <v>3387</v>
      </c>
    </row>
    <row r="2128" customFormat="false" ht="12.75" hidden="false" customHeight="true" outlineLevel="0" collapsed="false">
      <c r="A2128" s="5" t="n">
        <v>0.04</v>
      </c>
    </row>
    <row r="2129" customFormat="false" ht="12.75" hidden="false" customHeight="true" outlineLevel="0" collapsed="false">
      <c r="A2129" s="5" t="s">
        <v>3388</v>
      </c>
    </row>
    <row r="2130" customFormat="false" ht="12.75" hidden="false" customHeight="true" outlineLevel="0" collapsed="false">
      <c r="A2130" s="5" t="s">
        <v>3389</v>
      </c>
    </row>
    <row r="2131" customFormat="false" ht="12.75" hidden="false" customHeight="true" outlineLevel="0" collapsed="false">
      <c r="A2131" s="5" t="n">
        <v>0.01</v>
      </c>
    </row>
    <row r="2132" customFormat="false" ht="12.75" hidden="false" customHeight="true" outlineLevel="0" collapsed="false">
      <c r="A2132" s="5" t="s">
        <v>3390</v>
      </c>
    </row>
    <row r="2133" customFormat="false" ht="12.75" hidden="false" customHeight="true" outlineLevel="0" collapsed="false">
      <c r="A2133" s="5" t="s">
        <v>3724</v>
      </c>
    </row>
    <row r="2134" customFormat="false" ht="12.75" hidden="false" customHeight="true" outlineLevel="0" collapsed="false">
      <c r="A2134" s="5" t="s">
        <v>2536</v>
      </c>
    </row>
    <row r="2135" customFormat="false" ht="12.75" hidden="false" customHeight="true" outlineLevel="0" collapsed="false">
      <c r="A2135" s="5" t="s">
        <v>431</v>
      </c>
    </row>
    <row r="2136" customFormat="false" ht="12.75" hidden="false" customHeight="true" outlineLevel="0" collapsed="false">
      <c r="A2136" s="5" t="n">
        <v>0.2</v>
      </c>
    </row>
    <row r="2137" customFormat="false" ht="12.75" hidden="false" customHeight="true" outlineLevel="0" collapsed="false">
      <c r="A2137" s="5" t="s">
        <v>1862</v>
      </c>
    </row>
    <row r="2138" customFormat="false" ht="12.75" hidden="false" customHeight="true" outlineLevel="0" collapsed="false">
      <c r="A2138" s="5" t="s">
        <v>3393</v>
      </c>
    </row>
    <row r="2139" customFormat="false" ht="12.75" hidden="false" customHeight="true" outlineLevel="0" collapsed="false">
      <c r="A2139" s="5" t="n">
        <v>0.1</v>
      </c>
    </row>
    <row r="2140" customFormat="false" ht="12.75" hidden="false" customHeight="true" outlineLevel="0" collapsed="false">
      <c r="A2140" s="5" t="s">
        <v>3394</v>
      </c>
    </row>
    <row r="2141" customFormat="false" ht="12.75" hidden="false" customHeight="true" outlineLevel="0" collapsed="false">
      <c r="A2141" s="5" t="s">
        <v>3395</v>
      </c>
    </row>
    <row r="2142" customFormat="false" ht="12.75" hidden="false" customHeight="true" outlineLevel="0" collapsed="false">
      <c r="A2142" s="5" t="s">
        <v>3396</v>
      </c>
    </row>
    <row r="2143" customFormat="false" ht="12.75" hidden="false" customHeight="true" outlineLevel="0" collapsed="false">
      <c r="A2143" s="5" t="s">
        <v>3397</v>
      </c>
    </row>
    <row r="2144" customFormat="false" ht="12.75" hidden="false" customHeight="true" outlineLevel="0" collapsed="false">
      <c r="A2144" s="5" t="n">
        <v>0.05</v>
      </c>
    </row>
    <row r="2145" customFormat="false" ht="12.75" hidden="false" customHeight="true" outlineLevel="0" collapsed="false">
      <c r="A2145" s="5" t="s">
        <v>3398</v>
      </c>
    </row>
    <row r="2146" customFormat="false" ht="12.75" hidden="false" customHeight="true" outlineLevel="0" collapsed="false">
      <c r="A2146" s="5" t="s">
        <v>3399</v>
      </c>
    </row>
    <row r="2147" customFormat="false" ht="12.75" hidden="false" customHeight="true" outlineLevel="0" collapsed="false">
      <c r="A2147" s="5" t="n">
        <v>0.04</v>
      </c>
    </row>
    <row r="2148" customFormat="false" ht="12.75" hidden="false" customHeight="true" outlineLevel="0" collapsed="false">
      <c r="A2148" s="5" t="s">
        <v>3400</v>
      </c>
    </row>
    <row r="2149" customFormat="false" ht="12.75" hidden="false" customHeight="true" outlineLevel="0" collapsed="false">
      <c r="A2149" s="5" t="s">
        <v>3401</v>
      </c>
    </row>
    <row r="2150" customFormat="false" ht="12.75" hidden="false" customHeight="true" outlineLevel="0" collapsed="false">
      <c r="A2150" s="5" t="n">
        <v>0.01</v>
      </c>
    </row>
    <row r="2151" customFormat="false" ht="12.75" hidden="false" customHeight="true" outlineLevel="0" collapsed="false">
      <c r="A2151" s="5" t="s">
        <v>3402</v>
      </c>
    </row>
    <row r="2152" customFormat="false" ht="12.75" hidden="false" customHeight="true" outlineLevel="0" collapsed="false">
      <c r="A2152" s="5" t="s">
        <v>3725</v>
      </c>
    </row>
    <row r="2153" customFormat="false" ht="12.75" hidden="false" customHeight="true" outlineLevel="0" collapsed="false">
      <c r="A2153" s="5" t="s">
        <v>2536</v>
      </c>
    </row>
    <row r="2154" customFormat="false" ht="12.75" hidden="false" customHeight="true" outlineLevel="0" collapsed="false">
      <c r="A2154" s="5" t="s">
        <v>433</v>
      </c>
    </row>
    <row r="2155" customFormat="false" ht="12.75" hidden="false" customHeight="true" outlineLevel="0" collapsed="false">
      <c r="A2155" s="5" t="n">
        <v>0.2</v>
      </c>
    </row>
    <row r="2156" customFormat="false" ht="12.75" hidden="false" customHeight="true" outlineLevel="0" collapsed="false">
      <c r="A2156" s="5" t="s">
        <v>1875</v>
      </c>
    </row>
    <row r="2157" customFormat="false" ht="12.75" hidden="false" customHeight="true" outlineLevel="0" collapsed="false">
      <c r="A2157" s="5" t="s">
        <v>3405</v>
      </c>
    </row>
    <row r="2158" customFormat="false" ht="12.75" hidden="false" customHeight="true" outlineLevel="0" collapsed="false">
      <c r="A2158" s="5" t="n">
        <v>0.1</v>
      </c>
    </row>
    <row r="2159" customFormat="false" ht="12.75" hidden="false" customHeight="true" outlineLevel="0" collapsed="false">
      <c r="A2159" s="5" t="s">
        <v>3406</v>
      </c>
    </row>
    <row r="2160" customFormat="false" ht="12.75" hidden="false" customHeight="true" outlineLevel="0" collapsed="false">
      <c r="A2160" s="5" t="s">
        <v>3407</v>
      </c>
    </row>
    <row r="2161" customFormat="false" ht="12.75" hidden="false" customHeight="true" outlineLevel="0" collapsed="false">
      <c r="A2161" s="5" t="s">
        <v>3408</v>
      </c>
    </row>
    <row r="2162" customFormat="false" ht="12.75" hidden="false" customHeight="true" outlineLevel="0" collapsed="false">
      <c r="A2162" s="5" t="s">
        <v>3409</v>
      </c>
    </row>
    <row r="2163" customFormat="false" ht="12.75" hidden="false" customHeight="true" outlineLevel="0" collapsed="false">
      <c r="A2163" s="5" t="n">
        <v>0.05</v>
      </c>
    </row>
    <row r="2164" customFormat="false" ht="12.75" hidden="false" customHeight="true" outlineLevel="0" collapsed="false">
      <c r="A2164" s="5" t="s">
        <v>3410</v>
      </c>
    </row>
    <row r="2165" customFormat="false" ht="12.75" hidden="false" customHeight="true" outlineLevel="0" collapsed="false">
      <c r="A2165" s="5" t="s">
        <v>3411</v>
      </c>
    </row>
    <row r="2166" customFormat="false" ht="12.75" hidden="false" customHeight="true" outlineLevel="0" collapsed="false">
      <c r="A2166" s="5" t="n">
        <v>0.04</v>
      </c>
    </row>
    <row r="2167" customFormat="false" ht="12.75" hidden="false" customHeight="true" outlineLevel="0" collapsed="false">
      <c r="A2167" s="5" t="s">
        <v>3412</v>
      </c>
    </row>
    <row r="2168" customFormat="false" ht="12.75" hidden="false" customHeight="true" outlineLevel="0" collapsed="false">
      <c r="A2168" s="5" t="s">
        <v>3413</v>
      </c>
    </row>
    <row r="2169" customFormat="false" ht="12.75" hidden="false" customHeight="true" outlineLevel="0" collapsed="false">
      <c r="A2169" s="5" t="n">
        <v>0.01</v>
      </c>
    </row>
    <row r="2170" customFormat="false" ht="12.75" hidden="false" customHeight="true" outlineLevel="0" collapsed="false">
      <c r="A2170" s="5" t="s">
        <v>3414</v>
      </c>
    </row>
    <row r="2171" customFormat="false" ht="12.75" hidden="false" customHeight="true" outlineLevel="0" collapsed="false">
      <c r="A2171" s="5" t="s">
        <v>3726</v>
      </c>
    </row>
    <row r="2172" customFormat="false" ht="12.75" hidden="false" customHeight="true" outlineLevel="0" collapsed="false">
      <c r="A2172" s="5" t="s">
        <v>2536</v>
      </c>
    </row>
    <row r="2173" customFormat="false" ht="12.75" hidden="false" customHeight="true" outlineLevel="0" collapsed="false">
      <c r="A2173" s="5" t="s">
        <v>435</v>
      </c>
    </row>
    <row r="2174" customFormat="false" ht="12.75" hidden="false" customHeight="true" outlineLevel="0" collapsed="false">
      <c r="A2174" s="5" t="n">
        <v>0.2</v>
      </c>
    </row>
    <row r="2175" customFormat="false" ht="12.75" hidden="false" customHeight="true" outlineLevel="0" collapsed="false">
      <c r="A2175" s="5" t="s">
        <v>1888</v>
      </c>
    </row>
    <row r="2176" customFormat="false" ht="12.75" hidden="false" customHeight="true" outlineLevel="0" collapsed="false">
      <c r="A2176" s="5" t="s">
        <v>3417</v>
      </c>
    </row>
    <row r="2177" customFormat="false" ht="12.75" hidden="false" customHeight="true" outlineLevel="0" collapsed="false">
      <c r="A2177" s="5" t="n">
        <v>0.1</v>
      </c>
    </row>
    <row r="2178" customFormat="false" ht="12.75" hidden="false" customHeight="true" outlineLevel="0" collapsed="false">
      <c r="A2178" s="5" t="s">
        <v>3418</v>
      </c>
    </row>
    <row r="2179" customFormat="false" ht="12.75" hidden="false" customHeight="true" outlineLevel="0" collapsed="false">
      <c r="A2179" s="5" t="s">
        <v>3419</v>
      </c>
    </row>
    <row r="2180" customFormat="false" ht="12.75" hidden="false" customHeight="true" outlineLevel="0" collapsed="false">
      <c r="A2180" s="5" t="s">
        <v>3420</v>
      </c>
    </row>
    <row r="2181" customFormat="false" ht="12.75" hidden="false" customHeight="true" outlineLevel="0" collapsed="false">
      <c r="A2181" s="5" t="s">
        <v>3421</v>
      </c>
    </row>
    <row r="2182" customFormat="false" ht="12.75" hidden="false" customHeight="true" outlineLevel="0" collapsed="false">
      <c r="A2182" s="5" t="n">
        <v>0.05</v>
      </c>
    </row>
    <row r="2183" customFormat="false" ht="12.75" hidden="false" customHeight="true" outlineLevel="0" collapsed="false">
      <c r="A2183" s="5" t="s">
        <v>3422</v>
      </c>
    </row>
    <row r="2184" customFormat="false" ht="12.75" hidden="false" customHeight="true" outlineLevel="0" collapsed="false">
      <c r="A2184" s="5" t="s">
        <v>3423</v>
      </c>
    </row>
    <row r="2185" customFormat="false" ht="12.75" hidden="false" customHeight="true" outlineLevel="0" collapsed="false">
      <c r="A2185" s="5" t="n">
        <v>0.04</v>
      </c>
    </row>
    <row r="2186" customFormat="false" ht="12.75" hidden="false" customHeight="true" outlineLevel="0" collapsed="false">
      <c r="A2186" s="5" t="s">
        <v>3424</v>
      </c>
    </row>
    <row r="2187" customFormat="false" ht="12.75" hidden="false" customHeight="true" outlineLevel="0" collapsed="false">
      <c r="A2187" s="5" t="s">
        <v>3425</v>
      </c>
    </row>
    <row r="2188" customFormat="false" ht="12.75" hidden="false" customHeight="true" outlineLevel="0" collapsed="false">
      <c r="A2188" s="5" t="n">
        <v>0.01</v>
      </c>
    </row>
    <row r="2189" customFormat="false" ht="12.75" hidden="false" customHeight="true" outlineLevel="0" collapsed="false">
      <c r="A2189" s="5" t="s">
        <v>3426</v>
      </c>
    </row>
    <row r="2190" customFormat="false" ht="12.75" hidden="false" customHeight="true" outlineLevel="0" collapsed="false">
      <c r="A2190" s="5" t="s">
        <v>3427</v>
      </c>
    </row>
    <row r="2191" customFormat="false" ht="12.75" hidden="false" customHeight="true" outlineLevel="0" collapsed="false">
      <c r="A2191" s="5" t="s">
        <v>3980</v>
      </c>
    </row>
    <row r="2192" customFormat="false" ht="12.75" hidden="false" customHeight="true" outlineLevel="0" collapsed="false">
      <c r="A2192" s="5" t="s">
        <v>3993</v>
      </c>
    </row>
    <row r="2193" customFormat="false" ht="12.75" hidden="false" customHeight="true" outlineLevel="0" collapsed="false">
      <c r="A2193" s="5" t="s">
        <v>3428</v>
      </c>
    </row>
    <row r="2194" customFormat="false" ht="12.75" hidden="false" customHeight="true" outlineLevel="0" collapsed="false">
      <c r="A2194" s="5" t="s">
        <v>3024</v>
      </c>
    </row>
    <row r="2195" customFormat="false" ht="12.75" hidden="false" customHeight="true" outlineLevel="0" collapsed="false">
      <c r="A2195" s="5" t="s">
        <v>3429</v>
      </c>
    </row>
    <row r="2196" customFormat="false" ht="12.75" hidden="false" customHeight="true" outlineLevel="0" collapsed="false">
      <c r="A2196" s="5" t="s">
        <v>2924</v>
      </c>
    </row>
    <row r="2197" customFormat="false" ht="12.75" hidden="false" customHeight="true" outlineLevel="0" collapsed="false">
      <c r="A2197" s="5" t="s">
        <v>3977</v>
      </c>
    </row>
    <row r="2198" customFormat="false" ht="12.75" hidden="false" customHeight="true" outlineLevel="0" collapsed="false">
      <c r="A2198" s="5" t="s">
        <v>1451</v>
      </c>
    </row>
    <row r="2199" customFormat="false" ht="12.75" hidden="false" customHeight="true" outlineLevel="0" collapsed="false">
      <c r="A2199" s="5" t="s">
        <v>2008</v>
      </c>
    </row>
    <row r="2200" customFormat="false" ht="12.75" hidden="false" customHeight="true" outlineLevel="0" collapsed="false">
      <c r="A2200" s="5" t="s">
        <v>3978</v>
      </c>
    </row>
    <row r="2201" customFormat="false" ht="12.75" hidden="false" customHeight="true" outlineLevel="0" collapsed="false">
      <c r="A2201" s="5" t="s">
        <v>3430</v>
      </c>
    </row>
    <row r="2202" customFormat="false" ht="12.75" hidden="false" customHeight="true" outlineLevel="0" collapsed="false">
      <c r="A2202" s="5" t="s">
        <v>3431</v>
      </c>
    </row>
    <row r="2203" customFormat="false" ht="12.75" hidden="false" customHeight="true" outlineLevel="0" collapsed="false">
      <c r="A2203" s="5" t="s">
        <v>3354</v>
      </c>
    </row>
    <row r="2204" customFormat="false" ht="12.75" hidden="false" customHeight="true" outlineLevel="0" collapsed="false">
      <c r="A2204" s="5" t="s">
        <v>3979</v>
      </c>
    </row>
    <row r="2205" customFormat="false" ht="12.75" hidden="false" customHeight="true" outlineLevel="0" collapsed="false">
      <c r="A2205" s="5" t="s">
        <v>3432</v>
      </c>
    </row>
    <row r="2206" customFormat="false" ht="12.75" hidden="false" customHeight="true" outlineLevel="0" collapsed="false">
      <c r="A2206" s="5" t="s">
        <v>3433</v>
      </c>
    </row>
    <row r="2207" customFormat="false" ht="12.75" hidden="false" customHeight="true" outlineLevel="0" collapsed="false">
      <c r="A2207" s="5" t="s">
        <v>3434</v>
      </c>
    </row>
    <row r="2208" customFormat="false" ht="12.75" hidden="false" customHeight="true" outlineLevel="0" collapsed="false">
      <c r="A2208" s="5" t="s">
        <v>3435</v>
      </c>
    </row>
    <row r="2209" customFormat="false" ht="12.75" hidden="false" customHeight="true" outlineLevel="0" collapsed="false">
      <c r="A2209" s="5" t="s">
        <v>3436</v>
      </c>
    </row>
    <row r="2210" customFormat="false" ht="12.75" hidden="false" customHeight="true" outlineLevel="0" collapsed="false">
      <c r="A2210" s="5" t="s">
        <v>2536</v>
      </c>
    </row>
    <row r="2211" customFormat="false" ht="12.75" hidden="false" customHeight="true" outlineLevel="0" collapsed="false">
      <c r="A2211" s="5" t="s">
        <v>437</v>
      </c>
    </row>
    <row r="2212" customFormat="false" ht="12.75" hidden="false" customHeight="true" outlineLevel="0" collapsed="false">
      <c r="A2212" s="5" t="n">
        <v>0.2</v>
      </c>
    </row>
    <row r="2213" customFormat="false" ht="12.75" hidden="false" customHeight="true" outlineLevel="0" collapsed="false">
      <c r="A2213" s="5" t="s">
        <v>1911</v>
      </c>
    </row>
    <row r="2214" customFormat="false" ht="12.75" hidden="false" customHeight="true" outlineLevel="0" collapsed="false">
      <c r="A2214" s="5" t="s">
        <v>3438</v>
      </c>
    </row>
    <row r="2215" customFormat="false" ht="12.75" hidden="false" customHeight="true" outlineLevel="0" collapsed="false">
      <c r="A2215" s="5" t="n">
        <v>0.1</v>
      </c>
    </row>
    <row r="2216" customFormat="false" ht="12.75" hidden="false" customHeight="true" outlineLevel="0" collapsed="false">
      <c r="A2216" s="5" t="s">
        <v>3439</v>
      </c>
    </row>
    <row r="2217" customFormat="false" ht="12.75" hidden="false" customHeight="true" outlineLevel="0" collapsed="false">
      <c r="A2217" s="5" t="s">
        <v>3440</v>
      </c>
    </row>
    <row r="2218" customFormat="false" ht="12.75" hidden="false" customHeight="true" outlineLevel="0" collapsed="false">
      <c r="A2218" s="5" t="s">
        <v>3441</v>
      </c>
    </row>
    <row r="2219" customFormat="false" ht="12.75" hidden="false" customHeight="true" outlineLevel="0" collapsed="false">
      <c r="A2219" s="5" t="s">
        <v>3442</v>
      </c>
    </row>
    <row r="2220" customFormat="false" ht="12.75" hidden="false" customHeight="true" outlineLevel="0" collapsed="false">
      <c r="A2220" s="5" t="n">
        <v>0.05</v>
      </c>
    </row>
    <row r="2221" customFormat="false" ht="12.75" hidden="false" customHeight="true" outlineLevel="0" collapsed="false">
      <c r="A2221" s="5" t="s">
        <v>3443</v>
      </c>
    </row>
    <row r="2222" customFormat="false" ht="12.75" hidden="false" customHeight="true" outlineLevel="0" collapsed="false">
      <c r="A2222" s="5" t="s">
        <v>3444</v>
      </c>
    </row>
    <row r="2223" customFormat="false" ht="12.75" hidden="false" customHeight="true" outlineLevel="0" collapsed="false">
      <c r="A2223" s="5" t="n">
        <v>0.04</v>
      </c>
    </row>
    <row r="2224" customFormat="false" ht="12.75" hidden="false" customHeight="true" outlineLevel="0" collapsed="false">
      <c r="A2224" s="5" t="s">
        <v>3445</v>
      </c>
    </row>
    <row r="2225" customFormat="false" ht="12.75" hidden="false" customHeight="true" outlineLevel="0" collapsed="false">
      <c r="A2225" s="5" t="s">
        <v>3446</v>
      </c>
    </row>
    <row r="2226" customFormat="false" ht="12.75" hidden="false" customHeight="true" outlineLevel="0" collapsed="false">
      <c r="A2226" s="5" t="n">
        <v>0.01</v>
      </c>
    </row>
    <row r="2227" customFormat="false" ht="12.75" hidden="false" customHeight="true" outlineLevel="0" collapsed="false">
      <c r="A2227" s="5" t="s">
        <v>3447</v>
      </c>
    </row>
    <row r="2228" customFormat="false" ht="12.75" hidden="false" customHeight="true" outlineLevel="0" collapsed="false">
      <c r="A2228" s="5" t="s">
        <v>3448</v>
      </c>
    </row>
    <row r="2229" customFormat="false" ht="12.75" hidden="false" customHeight="true" outlineLevel="0" collapsed="false">
      <c r="A2229" s="5" t="s">
        <v>3980</v>
      </c>
    </row>
    <row r="2230" customFormat="false" ht="12.75" hidden="false" customHeight="true" outlineLevel="0" collapsed="false">
      <c r="A2230" s="5" t="s">
        <v>3993</v>
      </c>
    </row>
    <row r="2231" customFormat="false" ht="12.75" hidden="false" customHeight="true" outlineLevel="0" collapsed="false">
      <c r="A2231" s="5" t="s">
        <v>3428</v>
      </c>
    </row>
    <row r="2232" customFormat="false" ht="12.75" hidden="false" customHeight="true" outlineLevel="0" collapsed="false">
      <c r="A2232" s="5" t="s">
        <v>3024</v>
      </c>
    </row>
    <row r="2233" customFormat="false" ht="12.75" hidden="false" customHeight="true" outlineLevel="0" collapsed="false">
      <c r="A2233" s="5" t="s">
        <v>3429</v>
      </c>
    </row>
    <row r="2234" customFormat="false" ht="12.75" hidden="false" customHeight="true" outlineLevel="0" collapsed="false">
      <c r="A2234" s="5" t="s">
        <v>3449</v>
      </c>
    </row>
    <row r="2235" customFormat="false" ht="12.75" hidden="false" customHeight="true" outlineLevel="0" collapsed="false">
      <c r="A2235" s="5" t="s">
        <v>3977</v>
      </c>
    </row>
    <row r="2236" customFormat="false" ht="12.75" hidden="false" customHeight="true" outlineLevel="0" collapsed="false">
      <c r="A2236" s="5" t="s">
        <v>1349</v>
      </c>
    </row>
    <row r="2237" customFormat="false" ht="12.75" hidden="false" customHeight="true" outlineLevel="0" collapsed="false">
      <c r="A2237" s="5" t="s">
        <v>3352</v>
      </c>
    </row>
    <row r="2238" customFormat="false" ht="12.75" hidden="false" customHeight="true" outlineLevel="0" collapsed="false">
      <c r="A2238" s="5" t="s">
        <v>3978</v>
      </c>
    </row>
    <row r="2239" customFormat="false" ht="12.75" hidden="false" customHeight="true" outlineLevel="0" collapsed="false">
      <c r="A2239" s="5" t="s">
        <v>3430</v>
      </c>
    </row>
    <row r="2240" customFormat="false" ht="12.75" hidden="false" customHeight="true" outlineLevel="0" collapsed="false">
      <c r="A2240" s="5" t="s">
        <v>3450</v>
      </c>
    </row>
    <row r="2241" customFormat="false" ht="12.75" hidden="false" customHeight="true" outlineLevel="0" collapsed="false">
      <c r="A2241" s="5" t="s">
        <v>3451</v>
      </c>
    </row>
    <row r="2242" customFormat="false" ht="12.75" hidden="false" customHeight="true" outlineLevel="0" collapsed="false">
      <c r="A2242" s="5" t="s">
        <v>3979</v>
      </c>
    </row>
    <row r="2243" customFormat="false" ht="12.75" hidden="false" customHeight="true" outlineLevel="0" collapsed="false">
      <c r="A2243" s="5" t="s">
        <v>3026</v>
      </c>
    </row>
    <row r="2244" customFormat="false" ht="12.75" hidden="false" customHeight="true" outlineLevel="0" collapsed="false">
      <c r="A2244" s="5" t="s">
        <v>3356</v>
      </c>
    </row>
    <row r="2245" customFormat="false" ht="12.75" hidden="false" customHeight="true" outlineLevel="0" collapsed="false">
      <c r="A2245" s="5" t="s">
        <v>3452</v>
      </c>
    </row>
    <row r="2246" customFormat="false" ht="12.75" hidden="false" customHeight="true" outlineLevel="0" collapsed="false">
      <c r="A2246" s="5" t="s">
        <v>3453</v>
      </c>
    </row>
    <row r="2247" customFormat="false" ht="12.75" hidden="false" customHeight="true" outlineLevel="0" collapsed="false">
      <c r="A2247" s="5" t="s">
        <v>3454</v>
      </c>
    </row>
    <row r="2248" customFormat="false" ht="12.75" hidden="false" customHeight="true" outlineLevel="0" collapsed="false">
      <c r="A2248" s="5" t="s">
        <v>2536</v>
      </c>
    </row>
    <row r="2249" customFormat="false" ht="12.75" hidden="false" customHeight="true" outlineLevel="0" collapsed="false">
      <c r="A2249" s="5" t="s">
        <v>439</v>
      </c>
    </row>
    <row r="2250" customFormat="false" ht="12.75" hidden="false" customHeight="true" outlineLevel="0" collapsed="false">
      <c r="A2250" s="5" t="n">
        <v>0.2</v>
      </c>
    </row>
    <row r="2251" customFormat="false" ht="12.75" hidden="false" customHeight="true" outlineLevel="0" collapsed="false">
      <c r="A2251" s="5" t="s">
        <v>1930</v>
      </c>
    </row>
    <row r="2252" customFormat="false" ht="12.75" hidden="false" customHeight="true" outlineLevel="0" collapsed="false">
      <c r="A2252" s="5" t="s">
        <v>3456</v>
      </c>
    </row>
    <row r="2253" customFormat="false" ht="12.75" hidden="false" customHeight="true" outlineLevel="0" collapsed="false">
      <c r="A2253" s="5" t="n">
        <v>0.1</v>
      </c>
    </row>
    <row r="2254" customFormat="false" ht="12.75" hidden="false" customHeight="true" outlineLevel="0" collapsed="false">
      <c r="A2254" s="5" t="s">
        <v>3457</v>
      </c>
    </row>
    <row r="2255" customFormat="false" ht="12.75" hidden="false" customHeight="true" outlineLevel="0" collapsed="false">
      <c r="A2255" s="5" t="s">
        <v>3458</v>
      </c>
    </row>
    <row r="2256" customFormat="false" ht="12.75" hidden="false" customHeight="true" outlineLevel="0" collapsed="false">
      <c r="A2256" s="5" t="s">
        <v>3459</v>
      </c>
    </row>
    <row r="2257" customFormat="false" ht="12.75" hidden="false" customHeight="true" outlineLevel="0" collapsed="false">
      <c r="A2257" s="5" t="s">
        <v>3460</v>
      </c>
    </row>
    <row r="2258" customFormat="false" ht="12.75" hidden="false" customHeight="true" outlineLevel="0" collapsed="false">
      <c r="A2258" s="5" t="n">
        <v>0.05</v>
      </c>
    </row>
    <row r="2259" customFormat="false" ht="12.75" hidden="false" customHeight="true" outlineLevel="0" collapsed="false">
      <c r="A2259" s="5" t="s">
        <v>3461</v>
      </c>
    </row>
    <row r="2260" customFormat="false" ht="12.75" hidden="false" customHeight="true" outlineLevel="0" collapsed="false">
      <c r="A2260" s="5" t="s">
        <v>3462</v>
      </c>
    </row>
    <row r="2261" customFormat="false" ht="12.75" hidden="false" customHeight="true" outlineLevel="0" collapsed="false">
      <c r="A2261" s="5" t="n">
        <v>0.04</v>
      </c>
    </row>
    <row r="2262" customFormat="false" ht="12.75" hidden="false" customHeight="true" outlineLevel="0" collapsed="false">
      <c r="A2262" s="5" t="s">
        <v>3463</v>
      </c>
    </row>
    <row r="2263" customFormat="false" ht="12.75" hidden="false" customHeight="true" outlineLevel="0" collapsed="false">
      <c r="A2263" s="5" t="s">
        <v>3464</v>
      </c>
    </row>
    <row r="2264" customFormat="false" ht="12.75" hidden="false" customHeight="true" outlineLevel="0" collapsed="false">
      <c r="A2264" s="5" t="n">
        <v>0.01</v>
      </c>
    </row>
    <row r="2265" customFormat="false" ht="12.75" hidden="false" customHeight="true" outlineLevel="0" collapsed="false">
      <c r="A2265" s="5" t="s">
        <v>3465</v>
      </c>
    </row>
    <row r="2266" customFormat="false" ht="12.75" hidden="false" customHeight="true" outlineLevel="0" collapsed="false">
      <c r="A2266" s="5" t="s">
        <v>3466</v>
      </c>
    </row>
    <row r="2267" customFormat="false" ht="12.75" hidden="false" customHeight="true" outlineLevel="0" collapsed="false">
      <c r="A2267" s="5" t="s">
        <v>3980</v>
      </c>
    </row>
    <row r="2268" customFormat="false" ht="12.75" hidden="false" customHeight="true" outlineLevel="0" collapsed="false">
      <c r="A2268" s="5" t="s">
        <v>3993</v>
      </c>
    </row>
    <row r="2269" customFormat="false" ht="12.75" hidden="false" customHeight="true" outlineLevel="0" collapsed="false">
      <c r="A2269" s="5" t="s">
        <v>3428</v>
      </c>
    </row>
    <row r="2270" customFormat="false" ht="12.75" hidden="false" customHeight="true" outlineLevel="0" collapsed="false">
      <c r="A2270" s="5" t="s">
        <v>3024</v>
      </c>
    </row>
    <row r="2271" customFormat="false" ht="12.75" hidden="false" customHeight="true" outlineLevel="0" collapsed="false">
      <c r="A2271" s="5" t="s">
        <v>3429</v>
      </c>
    </row>
    <row r="2272" customFormat="false" ht="12.75" hidden="false" customHeight="true" outlineLevel="0" collapsed="false">
      <c r="A2272" s="5" t="s">
        <v>3449</v>
      </c>
    </row>
    <row r="2273" customFormat="false" ht="12.75" hidden="false" customHeight="true" outlineLevel="0" collapsed="false">
      <c r="A2273" s="5" t="s">
        <v>3977</v>
      </c>
    </row>
    <row r="2274" customFormat="false" ht="12.75" hidden="false" customHeight="true" outlineLevel="0" collapsed="false">
      <c r="A2274" s="5" t="s">
        <v>1349</v>
      </c>
    </row>
    <row r="2275" customFormat="false" ht="12.75" hidden="false" customHeight="true" outlineLevel="0" collapsed="false">
      <c r="A2275" s="5" t="s">
        <v>3352</v>
      </c>
    </row>
    <row r="2276" customFormat="false" ht="12.75" hidden="false" customHeight="true" outlineLevel="0" collapsed="false">
      <c r="A2276" s="5" t="s">
        <v>3978</v>
      </c>
    </row>
    <row r="2277" customFormat="false" ht="12.75" hidden="false" customHeight="true" outlineLevel="0" collapsed="false">
      <c r="A2277" s="5" t="s">
        <v>3430</v>
      </c>
    </row>
    <row r="2278" customFormat="false" ht="12.75" hidden="false" customHeight="true" outlineLevel="0" collapsed="false">
      <c r="A2278" s="5" t="s">
        <v>3027</v>
      </c>
    </row>
    <row r="2279" customFormat="false" ht="12.75" hidden="false" customHeight="true" outlineLevel="0" collapsed="false">
      <c r="A2279" s="5" t="s">
        <v>3354</v>
      </c>
    </row>
    <row r="2280" customFormat="false" ht="12.75" hidden="false" customHeight="true" outlineLevel="0" collapsed="false">
      <c r="A2280" s="5" t="s">
        <v>3979</v>
      </c>
    </row>
    <row r="2281" customFormat="false" ht="12.75" hidden="false" customHeight="true" outlineLevel="0" collapsed="false">
      <c r="A2281" s="5" t="s">
        <v>3432</v>
      </c>
    </row>
    <row r="2282" customFormat="false" ht="12.75" hidden="false" customHeight="true" outlineLevel="0" collapsed="false">
      <c r="A2282" s="5" t="s">
        <v>3356</v>
      </c>
    </row>
    <row r="2283" customFormat="false" ht="12.75" hidden="false" customHeight="true" outlineLevel="0" collapsed="false">
      <c r="A2283" s="5" t="s">
        <v>3357</v>
      </c>
    </row>
    <row r="2284" customFormat="false" ht="12.75" hidden="false" customHeight="true" outlineLevel="0" collapsed="false">
      <c r="A2284" s="5" t="s">
        <v>3358</v>
      </c>
    </row>
    <row r="2285" customFormat="false" ht="12.75" hidden="false" customHeight="true" outlineLevel="0" collapsed="false">
      <c r="A2285" s="5" t="s">
        <v>3436</v>
      </c>
    </row>
    <row r="2286" customFormat="false" ht="12.75" hidden="false" customHeight="true" outlineLevel="0" collapsed="false">
      <c r="A2286" s="5" t="s">
        <v>2536</v>
      </c>
    </row>
    <row r="2287" customFormat="false" ht="12.75" hidden="false" customHeight="true" outlineLevel="0" collapsed="false">
      <c r="A2287" s="5" t="s">
        <v>441</v>
      </c>
    </row>
    <row r="2288" customFormat="false" ht="12.75" hidden="false" customHeight="true" outlineLevel="0" collapsed="false">
      <c r="A2288" s="5" t="n">
        <v>0.2</v>
      </c>
    </row>
    <row r="2289" customFormat="false" ht="12.75" hidden="false" customHeight="true" outlineLevel="0" collapsed="false">
      <c r="A2289" s="5" t="s">
        <v>1944</v>
      </c>
    </row>
    <row r="2290" customFormat="false" ht="12.75" hidden="false" customHeight="true" outlineLevel="0" collapsed="false">
      <c r="A2290" s="5" t="s">
        <v>3469</v>
      </c>
    </row>
    <row r="2291" customFormat="false" ht="12.75" hidden="false" customHeight="true" outlineLevel="0" collapsed="false">
      <c r="A2291" s="5" t="n">
        <v>0.1</v>
      </c>
    </row>
    <row r="2292" customFormat="false" ht="12.75" hidden="false" customHeight="true" outlineLevel="0" collapsed="false">
      <c r="A2292" s="5" t="s">
        <v>3470</v>
      </c>
    </row>
    <row r="2293" customFormat="false" ht="12.75" hidden="false" customHeight="true" outlineLevel="0" collapsed="false">
      <c r="A2293" s="5" t="s">
        <v>3471</v>
      </c>
    </row>
    <row r="2294" customFormat="false" ht="12.75" hidden="false" customHeight="true" outlineLevel="0" collapsed="false">
      <c r="A2294" s="5" t="s">
        <v>3472</v>
      </c>
    </row>
    <row r="2295" customFormat="false" ht="12.75" hidden="false" customHeight="true" outlineLevel="0" collapsed="false">
      <c r="A2295" s="5" t="s">
        <v>3473</v>
      </c>
    </row>
    <row r="2296" customFormat="false" ht="12.75" hidden="false" customHeight="true" outlineLevel="0" collapsed="false">
      <c r="A2296" s="5" t="n">
        <v>0.05</v>
      </c>
    </row>
    <row r="2297" customFormat="false" ht="12.75" hidden="false" customHeight="true" outlineLevel="0" collapsed="false">
      <c r="A2297" s="5" t="s">
        <v>3474</v>
      </c>
    </row>
    <row r="2298" customFormat="false" ht="12.75" hidden="false" customHeight="true" outlineLevel="0" collapsed="false">
      <c r="A2298" s="5" t="s">
        <v>3475</v>
      </c>
    </row>
    <row r="2299" customFormat="false" ht="12.75" hidden="false" customHeight="true" outlineLevel="0" collapsed="false">
      <c r="A2299" s="5" t="n">
        <v>0.04</v>
      </c>
    </row>
    <row r="2300" customFormat="false" ht="12.75" hidden="false" customHeight="true" outlineLevel="0" collapsed="false">
      <c r="A2300" s="5" t="s">
        <v>3476</v>
      </c>
    </row>
    <row r="2301" customFormat="false" ht="12.75" hidden="false" customHeight="true" outlineLevel="0" collapsed="false">
      <c r="A2301" s="5" t="s">
        <v>3477</v>
      </c>
    </row>
    <row r="2302" customFormat="false" ht="12.75" hidden="false" customHeight="true" outlineLevel="0" collapsed="false">
      <c r="A2302" s="5" t="n">
        <v>0.01</v>
      </c>
    </row>
    <row r="2303" customFormat="false" ht="12.75" hidden="false" customHeight="true" outlineLevel="0" collapsed="false">
      <c r="A2303" s="5" t="s">
        <v>3478</v>
      </c>
    </row>
    <row r="2304" customFormat="false" ht="12.75" hidden="false" customHeight="true" outlineLevel="0" collapsed="false">
      <c r="A2304" s="5" t="s">
        <v>3466</v>
      </c>
    </row>
    <row r="2305" customFormat="false" ht="12.75" hidden="false" customHeight="true" outlineLevel="0" collapsed="false">
      <c r="A2305" s="5" t="s">
        <v>3980</v>
      </c>
    </row>
    <row r="2306" customFormat="false" ht="12.75" hidden="false" customHeight="true" outlineLevel="0" collapsed="false">
      <c r="A2306" s="5" t="s">
        <v>3993</v>
      </c>
    </row>
    <row r="2307" customFormat="false" ht="12.75" hidden="false" customHeight="true" outlineLevel="0" collapsed="false">
      <c r="A2307" s="5" t="s">
        <v>3428</v>
      </c>
    </row>
    <row r="2308" customFormat="false" ht="12.75" hidden="false" customHeight="true" outlineLevel="0" collapsed="false">
      <c r="A2308" s="5" t="s">
        <v>3024</v>
      </c>
    </row>
    <row r="2309" customFormat="false" ht="12.75" hidden="false" customHeight="true" outlineLevel="0" collapsed="false">
      <c r="A2309" s="5" t="s">
        <v>3429</v>
      </c>
    </row>
    <row r="2310" customFormat="false" ht="12.75" hidden="false" customHeight="true" outlineLevel="0" collapsed="false">
      <c r="A2310" s="5" t="s">
        <v>3449</v>
      </c>
    </row>
    <row r="2311" customFormat="false" ht="12.75" hidden="false" customHeight="true" outlineLevel="0" collapsed="false">
      <c r="A2311" s="5" t="s">
        <v>3977</v>
      </c>
    </row>
    <row r="2312" customFormat="false" ht="12.75" hidden="false" customHeight="true" outlineLevel="0" collapsed="false">
      <c r="A2312" s="5" t="s">
        <v>1349</v>
      </c>
    </row>
    <row r="2313" customFormat="false" ht="12.75" hidden="false" customHeight="true" outlineLevel="0" collapsed="false">
      <c r="A2313" s="5" t="s">
        <v>3352</v>
      </c>
    </row>
    <row r="2314" customFormat="false" ht="12.75" hidden="false" customHeight="true" outlineLevel="0" collapsed="false">
      <c r="A2314" s="5" t="s">
        <v>3978</v>
      </c>
    </row>
    <row r="2315" customFormat="false" ht="12.75" hidden="false" customHeight="true" outlineLevel="0" collapsed="false">
      <c r="A2315" s="5" t="s">
        <v>3430</v>
      </c>
    </row>
    <row r="2316" customFormat="false" ht="12.75" hidden="false" customHeight="true" outlineLevel="0" collapsed="false">
      <c r="A2316" s="5" t="s">
        <v>3027</v>
      </c>
    </row>
    <row r="2317" customFormat="false" ht="12.75" hidden="false" customHeight="true" outlineLevel="0" collapsed="false">
      <c r="A2317" s="5" t="s">
        <v>3354</v>
      </c>
    </row>
    <row r="2318" customFormat="false" ht="12.75" hidden="false" customHeight="true" outlineLevel="0" collapsed="false">
      <c r="A2318" s="5" t="s">
        <v>3979</v>
      </c>
    </row>
    <row r="2319" customFormat="false" ht="12.75" hidden="false" customHeight="true" outlineLevel="0" collapsed="false">
      <c r="A2319" s="5" t="s">
        <v>3432</v>
      </c>
    </row>
    <row r="2320" customFormat="false" ht="12.75" hidden="false" customHeight="true" outlineLevel="0" collapsed="false">
      <c r="A2320" s="5" t="s">
        <v>3356</v>
      </c>
    </row>
    <row r="2321" customFormat="false" ht="12.75" hidden="false" customHeight="true" outlineLevel="0" collapsed="false">
      <c r="A2321" s="5" t="s">
        <v>3357</v>
      </c>
    </row>
    <row r="2322" customFormat="false" ht="12.75" hidden="false" customHeight="true" outlineLevel="0" collapsed="false">
      <c r="A2322" s="5" t="s">
        <v>3358</v>
      </c>
    </row>
    <row r="2323" customFormat="false" ht="12.75" hidden="false" customHeight="true" outlineLevel="0" collapsed="false">
      <c r="A2323" s="5" t="s">
        <v>3436</v>
      </c>
    </row>
    <row r="2324" customFormat="false" ht="12.75" hidden="false" customHeight="true" outlineLevel="0" collapsed="false">
      <c r="A2324" s="5" t="s">
        <v>2536</v>
      </c>
    </row>
    <row r="2325" customFormat="false" ht="12.75" hidden="false" customHeight="true" outlineLevel="0" collapsed="false">
      <c r="A2325" s="5" t="s">
        <v>443</v>
      </c>
    </row>
    <row r="2326" customFormat="false" ht="12.75" hidden="false" customHeight="true" outlineLevel="0" collapsed="false">
      <c r="A2326" s="5" t="n">
        <v>0.2</v>
      </c>
    </row>
    <row r="2327" customFormat="false" ht="12.75" hidden="false" customHeight="true" outlineLevel="0" collapsed="false">
      <c r="A2327" s="5" t="s">
        <v>1956</v>
      </c>
    </row>
    <row r="2328" customFormat="false" ht="12.75" hidden="false" customHeight="true" outlineLevel="0" collapsed="false">
      <c r="A2328" s="5" t="s">
        <v>3480</v>
      </c>
    </row>
    <row r="2329" customFormat="false" ht="12.75" hidden="false" customHeight="true" outlineLevel="0" collapsed="false">
      <c r="A2329" s="5" t="n">
        <v>0.1</v>
      </c>
    </row>
    <row r="2330" customFormat="false" ht="12.75" hidden="false" customHeight="true" outlineLevel="0" collapsed="false">
      <c r="A2330" s="5" t="s">
        <v>3481</v>
      </c>
    </row>
    <row r="2331" customFormat="false" ht="12.75" hidden="false" customHeight="true" outlineLevel="0" collapsed="false">
      <c r="A2331" s="5" t="s">
        <v>3482</v>
      </c>
    </row>
    <row r="2332" customFormat="false" ht="12.75" hidden="false" customHeight="true" outlineLevel="0" collapsed="false">
      <c r="A2332" s="5" t="s">
        <v>3483</v>
      </c>
    </row>
    <row r="2333" customFormat="false" ht="12.75" hidden="false" customHeight="true" outlineLevel="0" collapsed="false">
      <c r="A2333" s="5" t="s">
        <v>3484</v>
      </c>
    </row>
    <row r="2334" customFormat="false" ht="12.75" hidden="false" customHeight="true" outlineLevel="0" collapsed="false">
      <c r="A2334" s="5" t="n">
        <v>0.05</v>
      </c>
    </row>
    <row r="2335" customFormat="false" ht="12.75" hidden="false" customHeight="true" outlineLevel="0" collapsed="false">
      <c r="A2335" s="5" t="s">
        <v>3485</v>
      </c>
    </row>
    <row r="2336" customFormat="false" ht="12.75" hidden="false" customHeight="true" outlineLevel="0" collapsed="false">
      <c r="A2336" s="5" t="s">
        <v>3486</v>
      </c>
    </row>
    <row r="2337" customFormat="false" ht="12.75" hidden="false" customHeight="true" outlineLevel="0" collapsed="false">
      <c r="A2337" s="5" t="n">
        <v>0.04</v>
      </c>
    </row>
    <row r="2338" customFormat="false" ht="12.75" hidden="false" customHeight="true" outlineLevel="0" collapsed="false">
      <c r="A2338" s="5" t="s">
        <v>3487</v>
      </c>
    </row>
    <row r="2339" customFormat="false" ht="12.75" hidden="false" customHeight="true" outlineLevel="0" collapsed="false">
      <c r="A2339" s="5" t="s">
        <v>3488</v>
      </c>
    </row>
    <row r="2340" customFormat="false" ht="12.75" hidden="false" customHeight="true" outlineLevel="0" collapsed="false">
      <c r="A2340" s="5" t="n">
        <v>0.01</v>
      </c>
    </row>
    <row r="2341" customFormat="false" ht="12.75" hidden="false" customHeight="true" outlineLevel="0" collapsed="false">
      <c r="A2341" s="5" t="s">
        <v>3489</v>
      </c>
    </row>
    <row r="2342" customFormat="false" ht="12.75" hidden="false" customHeight="true" outlineLevel="0" collapsed="false">
      <c r="A2342" s="5" t="s">
        <v>3466</v>
      </c>
    </row>
    <row r="2343" customFormat="false" ht="12.75" hidden="false" customHeight="true" outlineLevel="0" collapsed="false">
      <c r="A2343" s="5" t="s">
        <v>2536</v>
      </c>
    </row>
    <row r="2344" customFormat="false" ht="12.75" hidden="false" customHeight="true" outlineLevel="0" collapsed="false">
      <c r="A2344" s="5" t="s">
        <v>445</v>
      </c>
    </row>
    <row r="2345" customFormat="false" ht="12.75" hidden="false" customHeight="true" outlineLevel="0" collapsed="false">
      <c r="A2345" s="5" t="n">
        <v>0.2</v>
      </c>
    </row>
    <row r="2346" customFormat="false" ht="12.75" hidden="false" customHeight="true" outlineLevel="0" collapsed="false">
      <c r="A2346" s="5" t="s">
        <v>1969</v>
      </c>
    </row>
    <row r="2347" customFormat="false" ht="12.75" hidden="false" customHeight="true" outlineLevel="0" collapsed="false">
      <c r="A2347" s="5" t="s">
        <v>3492</v>
      </c>
    </row>
    <row r="2348" customFormat="false" ht="12.75" hidden="false" customHeight="true" outlineLevel="0" collapsed="false">
      <c r="A2348" s="5" t="n">
        <v>0.1</v>
      </c>
    </row>
    <row r="2349" customFormat="false" ht="12.75" hidden="false" customHeight="true" outlineLevel="0" collapsed="false">
      <c r="A2349" s="5" t="s">
        <v>3493</v>
      </c>
    </row>
    <row r="2350" customFormat="false" ht="12.75" hidden="false" customHeight="true" outlineLevel="0" collapsed="false">
      <c r="A2350" s="5" t="s">
        <v>3494</v>
      </c>
    </row>
    <row r="2351" customFormat="false" ht="12.75" hidden="false" customHeight="true" outlineLevel="0" collapsed="false">
      <c r="A2351" s="5" t="s">
        <v>3495</v>
      </c>
    </row>
    <row r="2352" customFormat="false" ht="12.75" hidden="false" customHeight="true" outlineLevel="0" collapsed="false">
      <c r="A2352" s="5" t="s">
        <v>3496</v>
      </c>
    </row>
    <row r="2353" customFormat="false" ht="12.75" hidden="false" customHeight="true" outlineLevel="0" collapsed="false">
      <c r="A2353" s="5" t="n">
        <v>0.05</v>
      </c>
    </row>
    <row r="2354" customFormat="false" ht="12.75" hidden="false" customHeight="true" outlineLevel="0" collapsed="false">
      <c r="A2354" s="5" t="s">
        <v>3497</v>
      </c>
    </row>
    <row r="2355" customFormat="false" ht="12.75" hidden="false" customHeight="true" outlineLevel="0" collapsed="false">
      <c r="A2355" s="5" t="s">
        <v>3498</v>
      </c>
    </row>
    <row r="2356" customFormat="false" ht="12.75" hidden="false" customHeight="true" outlineLevel="0" collapsed="false">
      <c r="A2356" s="5" t="n">
        <v>0.04</v>
      </c>
    </row>
    <row r="2357" customFormat="false" ht="12.75" hidden="false" customHeight="true" outlineLevel="0" collapsed="false">
      <c r="A2357" s="5" t="s">
        <v>3499</v>
      </c>
    </row>
    <row r="2358" customFormat="false" ht="12.75" hidden="false" customHeight="true" outlineLevel="0" collapsed="false">
      <c r="A2358" s="5" t="s">
        <v>3500</v>
      </c>
    </row>
    <row r="2359" customFormat="false" ht="12.75" hidden="false" customHeight="true" outlineLevel="0" collapsed="false">
      <c r="A2359" s="5" t="n">
        <v>0.01</v>
      </c>
    </row>
    <row r="2360" customFormat="false" ht="12.75" hidden="false" customHeight="true" outlineLevel="0" collapsed="false">
      <c r="A2360" s="5" t="s">
        <v>3501</v>
      </c>
    </row>
    <row r="2361" customFormat="false" ht="12.75" hidden="false" customHeight="true" outlineLevel="0" collapsed="false">
      <c r="A2361" s="5" t="s">
        <v>3466</v>
      </c>
    </row>
    <row r="2362" customFormat="false" ht="12.75" hidden="false" customHeight="true" outlineLevel="0" collapsed="false">
      <c r="A2362" s="5" t="s">
        <v>2536</v>
      </c>
    </row>
    <row r="2363" customFormat="false" ht="12.75" hidden="false" customHeight="true" outlineLevel="0" collapsed="false">
      <c r="A2363" s="5" t="s">
        <v>447</v>
      </c>
    </row>
    <row r="2364" customFormat="false" ht="12.75" hidden="false" customHeight="true" outlineLevel="0" collapsed="false">
      <c r="A2364" s="5" t="n">
        <v>0.2</v>
      </c>
    </row>
    <row r="2365" customFormat="false" ht="12.75" hidden="false" customHeight="true" outlineLevel="0" collapsed="false">
      <c r="A2365" s="5" t="s">
        <v>1981</v>
      </c>
    </row>
    <row r="2366" customFormat="false" ht="12.75" hidden="false" customHeight="true" outlineLevel="0" collapsed="false">
      <c r="A2366" s="5" t="s">
        <v>3456</v>
      </c>
    </row>
    <row r="2367" customFormat="false" ht="12.75" hidden="false" customHeight="true" outlineLevel="0" collapsed="false">
      <c r="A2367" s="5" t="n">
        <v>0.1</v>
      </c>
    </row>
    <row r="2368" customFormat="false" ht="12.75" hidden="false" customHeight="true" outlineLevel="0" collapsed="false">
      <c r="A2368" s="5" t="s">
        <v>3503</v>
      </c>
    </row>
    <row r="2369" customFormat="false" ht="12.75" hidden="false" customHeight="true" outlineLevel="0" collapsed="false">
      <c r="A2369" s="5" t="s">
        <v>3458</v>
      </c>
    </row>
    <row r="2370" customFormat="false" ht="12.75" hidden="false" customHeight="true" outlineLevel="0" collapsed="false">
      <c r="A2370" s="5" t="s">
        <v>3459</v>
      </c>
    </row>
    <row r="2371" customFormat="false" ht="12.75" hidden="false" customHeight="true" outlineLevel="0" collapsed="false">
      <c r="A2371" s="5" t="s">
        <v>3504</v>
      </c>
    </row>
    <row r="2372" customFormat="false" ht="12.75" hidden="false" customHeight="true" outlineLevel="0" collapsed="false">
      <c r="A2372" s="5" t="n">
        <v>0.05</v>
      </c>
    </row>
    <row r="2373" customFormat="false" ht="12.75" hidden="false" customHeight="true" outlineLevel="0" collapsed="false">
      <c r="A2373" s="5" t="s">
        <v>3505</v>
      </c>
    </row>
    <row r="2374" customFormat="false" ht="12.75" hidden="false" customHeight="true" outlineLevel="0" collapsed="false">
      <c r="A2374" s="5" t="s">
        <v>3506</v>
      </c>
    </row>
    <row r="2375" customFormat="false" ht="12.75" hidden="false" customHeight="true" outlineLevel="0" collapsed="false">
      <c r="A2375" s="5" t="n">
        <v>0.04</v>
      </c>
    </row>
    <row r="2376" customFormat="false" ht="12.75" hidden="false" customHeight="true" outlineLevel="0" collapsed="false">
      <c r="A2376" s="5" t="s">
        <v>3463</v>
      </c>
    </row>
    <row r="2377" customFormat="false" ht="12.75" hidden="false" customHeight="true" outlineLevel="0" collapsed="false">
      <c r="A2377" s="5" t="s">
        <v>3507</v>
      </c>
    </row>
    <row r="2378" customFormat="false" ht="12.75" hidden="false" customHeight="true" outlineLevel="0" collapsed="false">
      <c r="A2378" s="5" t="n">
        <v>0.01</v>
      </c>
    </row>
    <row r="2379" customFormat="false" ht="12.75" hidden="false" customHeight="true" outlineLevel="0" collapsed="false">
      <c r="A2379" s="5" t="s">
        <v>3508</v>
      </c>
    </row>
    <row r="2380" customFormat="false" ht="12.75" hidden="false" customHeight="true" outlineLevel="0" collapsed="false">
      <c r="A2380" s="5" t="s">
        <v>3727</v>
      </c>
    </row>
    <row r="2381" customFormat="false" ht="12.75" hidden="false" customHeight="true" outlineLevel="0" collapsed="false">
      <c r="A2381" s="5" t="s">
        <v>2536</v>
      </c>
    </row>
    <row r="2382" customFormat="false" ht="12.75" hidden="false" customHeight="true" outlineLevel="0" collapsed="false">
      <c r="A2382" s="5" t="s">
        <v>449</v>
      </c>
    </row>
    <row r="2383" customFormat="false" ht="12.75" hidden="false" customHeight="true" outlineLevel="0" collapsed="false">
      <c r="A2383" s="5" t="n">
        <v>0.2</v>
      </c>
    </row>
    <row r="2384" customFormat="false" ht="12.75" hidden="false" customHeight="true" outlineLevel="0" collapsed="false">
      <c r="A2384" s="5" t="s">
        <v>1990</v>
      </c>
    </row>
    <row r="2385" customFormat="false" ht="12.75" hidden="false" customHeight="true" outlineLevel="0" collapsed="false">
      <c r="A2385" s="5" t="s">
        <v>3469</v>
      </c>
    </row>
    <row r="2386" customFormat="false" ht="12.75" hidden="false" customHeight="true" outlineLevel="0" collapsed="false">
      <c r="A2386" s="5" t="n">
        <v>0.1</v>
      </c>
    </row>
    <row r="2387" customFormat="false" ht="12.75" hidden="false" customHeight="true" outlineLevel="0" collapsed="false">
      <c r="A2387" s="5" t="s">
        <v>3511</v>
      </c>
    </row>
    <row r="2388" customFormat="false" ht="12.75" hidden="false" customHeight="true" outlineLevel="0" collapsed="false">
      <c r="A2388" s="5" t="s">
        <v>3512</v>
      </c>
    </row>
    <row r="2389" customFormat="false" ht="12.75" hidden="false" customHeight="true" outlineLevel="0" collapsed="false">
      <c r="A2389" s="5" t="s">
        <v>3472</v>
      </c>
    </row>
    <row r="2390" customFormat="false" ht="12.75" hidden="false" customHeight="true" outlineLevel="0" collapsed="false">
      <c r="A2390" s="5" t="s">
        <v>3513</v>
      </c>
    </row>
    <row r="2391" customFormat="false" ht="12.75" hidden="false" customHeight="true" outlineLevel="0" collapsed="false">
      <c r="A2391" s="5" t="n">
        <v>0.05</v>
      </c>
    </row>
    <row r="2392" customFormat="false" ht="12.75" hidden="false" customHeight="true" outlineLevel="0" collapsed="false">
      <c r="A2392" s="5" t="s">
        <v>3514</v>
      </c>
    </row>
    <row r="2393" customFormat="false" ht="12.75" hidden="false" customHeight="true" outlineLevel="0" collapsed="false">
      <c r="A2393" s="5" t="s">
        <v>3515</v>
      </c>
    </row>
    <row r="2394" customFormat="false" ht="12.75" hidden="false" customHeight="true" outlineLevel="0" collapsed="false">
      <c r="A2394" s="5" t="n">
        <v>0.04</v>
      </c>
    </row>
    <row r="2395" customFormat="false" ht="12.75" hidden="false" customHeight="true" outlineLevel="0" collapsed="false">
      <c r="A2395" s="5" t="s">
        <v>3476</v>
      </c>
    </row>
    <row r="2396" customFormat="false" ht="12.75" hidden="false" customHeight="true" outlineLevel="0" collapsed="false">
      <c r="A2396" s="5" t="s">
        <v>3516</v>
      </c>
    </row>
    <row r="2397" customFormat="false" ht="12.75" hidden="false" customHeight="true" outlineLevel="0" collapsed="false">
      <c r="A2397" s="5" t="n">
        <v>0.01</v>
      </c>
    </row>
    <row r="2398" customFormat="false" ht="12.75" hidden="false" customHeight="true" outlineLevel="0" collapsed="false">
      <c r="A2398" s="5" t="s">
        <v>3517</v>
      </c>
    </row>
    <row r="2399" customFormat="false" ht="12.75" hidden="false" customHeight="true" outlineLevel="0" collapsed="false">
      <c r="A2399" s="5" t="s">
        <v>3727</v>
      </c>
    </row>
    <row r="2400" customFormat="false" ht="12.75" hidden="false" customHeight="true" outlineLevel="0" collapsed="false">
      <c r="A2400" s="5" t="s">
        <v>2536</v>
      </c>
    </row>
    <row r="2401" customFormat="false" ht="12.75" hidden="false" customHeight="true" outlineLevel="0" collapsed="false">
      <c r="A2401" s="5" t="s">
        <v>451</v>
      </c>
    </row>
    <row r="2402" customFormat="false" ht="12.75" hidden="false" customHeight="true" outlineLevel="0" collapsed="false">
      <c r="A2402" s="5" t="n">
        <v>0.2</v>
      </c>
    </row>
    <row r="2403" customFormat="false" ht="12.75" hidden="false" customHeight="true" outlineLevel="0" collapsed="false">
      <c r="A2403" s="5" t="s">
        <v>1999</v>
      </c>
    </row>
    <row r="2404" customFormat="false" ht="12.75" hidden="false" customHeight="true" outlineLevel="0" collapsed="false">
      <c r="A2404" s="5" t="s">
        <v>3480</v>
      </c>
    </row>
    <row r="2405" customFormat="false" ht="12.75" hidden="false" customHeight="true" outlineLevel="0" collapsed="false">
      <c r="A2405" s="5" t="n">
        <v>0.1</v>
      </c>
    </row>
    <row r="2406" customFormat="false" ht="12.75" hidden="false" customHeight="true" outlineLevel="0" collapsed="false">
      <c r="A2406" s="5" t="s">
        <v>3519</v>
      </c>
    </row>
    <row r="2407" customFormat="false" ht="12.75" hidden="false" customHeight="true" outlineLevel="0" collapsed="false">
      <c r="A2407" s="5" t="s">
        <v>3482</v>
      </c>
    </row>
    <row r="2408" customFormat="false" ht="12.75" hidden="false" customHeight="true" outlineLevel="0" collapsed="false">
      <c r="A2408" s="5" t="s">
        <v>3483</v>
      </c>
    </row>
    <row r="2409" customFormat="false" ht="12.75" hidden="false" customHeight="true" outlineLevel="0" collapsed="false">
      <c r="A2409" s="5" t="s">
        <v>3520</v>
      </c>
    </row>
    <row r="2410" customFormat="false" ht="12.75" hidden="false" customHeight="true" outlineLevel="0" collapsed="false">
      <c r="A2410" s="5" t="n">
        <v>0.05</v>
      </c>
    </row>
    <row r="2411" customFormat="false" ht="12.75" hidden="false" customHeight="true" outlineLevel="0" collapsed="false">
      <c r="A2411" s="5" t="s">
        <v>3521</v>
      </c>
    </row>
    <row r="2412" customFormat="false" ht="12.75" hidden="false" customHeight="true" outlineLevel="0" collapsed="false">
      <c r="A2412" s="5" t="s">
        <v>3522</v>
      </c>
    </row>
    <row r="2413" customFormat="false" ht="12.75" hidden="false" customHeight="true" outlineLevel="0" collapsed="false">
      <c r="A2413" s="5" t="n">
        <v>0.04</v>
      </c>
    </row>
    <row r="2414" customFormat="false" ht="12.75" hidden="false" customHeight="true" outlineLevel="0" collapsed="false">
      <c r="A2414" s="5" t="s">
        <v>3523</v>
      </c>
    </row>
    <row r="2415" customFormat="false" ht="12.75" hidden="false" customHeight="true" outlineLevel="0" collapsed="false">
      <c r="A2415" s="5" t="s">
        <v>3524</v>
      </c>
    </row>
    <row r="2416" customFormat="false" ht="12.75" hidden="false" customHeight="true" outlineLevel="0" collapsed="false">
      <c r="A2416" s="5" t="n">
        <v>0.01</v>
      </c>
    </row>
    <row r="2417" customFormat="false" ht="12.75" hidden="false" customHeight="true" outlineLevel="0" collapsed="false">
      <c r="A2417" s="5" t="s">
        <v>3525</v>
      </c>
    </row>
    <row r="2418" customFormat="false" ht="12.75" hidden="false" customHeight="true" outlineLevel="0" collapsed="false">
      <c r="A2418" s="5" t="s">
        <v>3727</v>
      </c>
    </row>
    <row r="2419" customFormat="false" ht="12.75" hidden="false" customHeight="true" outlineLevel="0" collapsed="false">
      <c r="A2419" s="5" t="s">
        <v>2536</v>
      </c>
    </row>
    <row r="2420" customFormat="false" ht="12.75" hidden="false" customHeight="true" outlineLevel="0" collapsed="false">
      <c r="A2420" s="5" t="s">
        <v>453</v>
      </c>
    </row>
    <row r="2421" customFormat="false" ht="12.75" hidden="false" customHeight="true" outlineLevel="0" collapsed="false">
      <c r="A2421" s="5" t="s">
        <v>3980</v>
      </c>
    </row>
    <row r="2422" customFormat="false" ht="12.75" hidden="false" customHeight="true" outlineLevel="0" collapsed="false">
      <c r="A2422" s="5" t="s">
        <v>3993</v>
      </c>
    </row>
    <row r="2423" customFormat="false" ht="12.75" hidden="false" customHeight="true" outlineLevel="0" collapsed="false">
      <c r="A2423" s="5" t="s">
        <v>3428</v>
      </c>
    </row>
    <row r="2424" customFormat="false" ht="12.75" hidden="false" customHeight="true" outlineLevel="0" collapsed="false">
      <c r="A2424" s="5" t="s">
        <v>3429</v>
      </c>
    </row>
    <row r="2425" customFormat="false" ht="12.75" hidden="false" customHeight="true" outlineLevel="0" collapsed="false">
      <c r="A2425" s="5" t="s">
        <v>3024</v>
      </c>
    </row>
    <row r="2426" customFormat="false" ht="12.75" hidden="false" customHeight="true" outlineLevel="0" collapsed="false">
      <c r="A2426" s="5" t="s">
        <v>3449</v>
      </c>
    </row>
    <row r="2427" customFormat="false" ht="12.75" hidden="false" customHeight="true" outlineLevel="0" collapsed="false">
      <c r="A2427" s="5" t="s">
        <v>3977</v>
      </c>
    </row>
    <row r="2428" customFormat="false" ht="12.75" hidden="false" customHeight="true" outlineLevel="0" collapsed="false">
      <c r="A2428" s="5" t="s">
        <v>2008</v>
      </c>
    </row>
    <row r="2429" customFormat="false" ht="12.75" hidden="false" customHeight="true" outlineLevel="0" collapsed="false">
      <c r="A2429" s="5" t="s">
        <v>1451</v>
      </c>
    </row>
    <row r="2430" customFormat="false" ht="12.75" hidden="false" customHeight="true" outlineLevel="0" collapsed="false">
      <c r="A2430" s="5" t="s">
        <v>3978</v>
      </c>
    </row>
    <row r="2431" customFormat="false" ht="12.75" hidden="false" customHeight="true" outlineLevel="0" collapsed="false">
      <c r="A2431" s="5" t="s">
        <v>3026</v>
      </c>
    </row>
    <row r="2432" customFormat="false" ht="12.75" hidden="false" customHeight="true" outlineLevel="0" collapsed="false">
      <c r="A2432" s="5" t="s">
        <v>3027</v>
      </c>
    </row>
    <row r="2433" customFormat="false" ht="12.75" hidden="false" customHeight="true" outlineLevel="0" collapsed="false">
      <c r="A2433" s="5" t="s">
        <v>3028</v>
      </c>
    </row>
    <row r="2434" customFormat="false" ht="12.75" hidden="false" customHeight="true" outlineLevel="0" collapsed="false">
      <c r="A2434" s="5" t="s">
        <v>3979</v>
      </c>
    </row>
    <row r="2435" customFormat="false" ht="12.75" hidden="false" customHeight="true" outlineLevel="0" collapsed="false">
      <c r="A2435" s="5" t="s">
        <v>3029</v>
      </c>
    </row>
    <row r="2436" customFormat="false" ht="12.75" hidden="false" customHeight="true" outlineLevel="0" collapsed="false">
      <c r="A2436" s="5" t="s">
        <v>3527</v>
      </c>
    </row>
    <row r="2437" customFormat="false" ht="12.75" hidden="false" customHeight="true" outlineLevel="0" collapsed="false">
      <c r="A2437" s="5" t="s">
        <v>3031</v>
      </c>
    </row>
    <row r="2438" customFormat="false" ht="12.75" hidden="false" customHeight="true" outlineLevel="0" collapsed="false">
      <c r="A2438" s="5" t="s">
        <v>3032</v>
      </c>
    </row>
    <row r="2439" customFormat="false" ht="12.75" hidden="false" customHeight="true" outlineLevel="0" collapsed="false">
      <c r="A2439" s="5" t="s">
        <v>3033</v>
      </c>
    </row>
    <row r="2440" customFormat="false" ht="12.75" hidden="false" customHeight="true" outlineLevel="0" collapsed="false">
      <c r="A2440" s="5" t="s">
        <v>2536</v>
      </c>
    </row>
    <row r="2441" customFormat="false" ht="12.75" hidden="false" customHeight="true" outlineLevel="0" collapsed="false">
      <c r="A2441" s="5" t="s">
        <v>455</v>
      </c>
    </row>
    <row r="2442" customFormat="false" ht="12.75" hidden="false" customHeight="true" outlineLevel="0" collapsed="false">
      <c r="A2442" s="5" t="s">
        <v>3980</v>
      </c>
    </row>
    <row r="2443" customFormat="false" ht="12.75" hidden="false" customHeight="true" outlineLevel="0" collapsed="false">
      <c r="A2443" s="5" t="s">
        <v>3993</v>
      </c>
    </row>
    <row r="2444" customFormat="false" ht="12.75" hidden="false" customHeight="true" outlineLevel="0" collapsed="false">
      <c r="A2444" s="5" t="s">
        <v>3428</v>
      </c>
    </row>
    <row r="2445" customFormat="false" ht="12.75" hidden="false" customHeight="true" outlineLevel="0" collapsed="false">
      <c r="A2445" s="5" t="s">
        <v>3429</v>
      </c>
    </row>
    <row r="2446" customFormat="false" ht="12.75" hidden="false" customHeight="true" outlineLevel="0" collapsed="false">
      <c r="A2446" s="5" t="s">
        <v>3024</v>
      </c>
    </row>
    <row r="2447" customFormat="false" ht="12.75" hidden="false" customHeight="true" outlineLevel="0" collapsed="false">
      <c r="A2447" s="5" t="s">
        <v>3449</v>
      </c>
    </row>
    <row r="2448" customFormat="false" ht="12.75" hidden="false" customHeight="true" outlineLevel="0" collapsed="false">
      <c r="A2448" s="5" t="s">
        <v>3977</v>
      </c>
    </row>
    <row r="2449" customFormat="false" ht="12.75" hidden="false" customHeight="true" outlineLevel="0" collapsed="false">
      <c r="A2449" s="5" t="s">
        <v>2008</v>
      </c>
    </row>
    <row r="2450" customFormat="false" ht="12.75" hidden="false" customHeight="true" outlineLevel="0" collapsed="false">
      <c r="A2450" s="5" t="s">
        <v>1451</v>
      </c>
    </row>
    <row r="2451" customFormat="false" ht="12.75" hidden="false" customHeight="true" outlineLevel="0" collapsed="false">
      <c r="A2451" s="5" t="s">
        <v>3978</v>
      </c>
    </row>
    <row r="2452" customFormat="false" ht="12.75" hidden="false" customHeight="true" outlineLevel="0" collapsed="false">
      <c r="A2452" s="5" t="s">
        <v>3026</v>
      </c>
    </row>
    <row r="2453" customFormat="false" ht="12.75" hidden="false" customHeight="true" outlineLevel="0" collapsed="false">
      <c r="A2453" s="5" t="s">
        <v>3027</v>
      </c>
    </row>
    <row r="2454" customFormat="false" ht="12.75" hidden="false" customHeight="true" outlineLevel="0" collapsed="false">
      <c r="A2454" s="5" t="s">
        <v>3028</v>
      </c>
    </row>
    <row r="2455" customFormat="false" ht="12.75" hidden="false" customHeight="true" outlineLevel="0" collapsed="false">
      <c r="A2455" s="5" t="s">
        <v>3979</v>
      </c>
    </row>
    <row r="2456" customFormat="false" ht="12.75" hidden="false" customHeight="true" outlineLevel="0" collapsed="false">
      <c r="A2456" s="5" t="s">
        <v>3029</v>
      </c>
    </row>
    <row r="2457" customFormat="false" ht="12.75" hidden="false" customHeight="true" outlineLevel="0" collapsed="false">
      <c r="A2457" s="5" t="s">
        <v>3527</v>
      </c>
    </row>
    <row r="2458" customFormat="false" ht="12.75" hidden="false" customHeight="true" outlineLevel="0" collapsed="false">
      <c r="A2458" s="5" t="s">
        <v>3031</v>
      </c>
    </row>
    <row r="2459" customFormat="false" ht="12.75" hidden="false" customHeight="true" outlineLevel="0" collapsed="false">
      <c r="A2459" s="5" t="s">
        <v>3032</v>
      </c>
    </row>
    <row r="2460" customFormat="false" ht="12.75" hidden="false" customHeight="true" outlineLevel="0" collapsed="false">
      <c r="A2460" s="5" t="s">
        <v>3033</v>
      </c>
    </row>
    <row r="2461" customFormat="false" ht="12.75" hidden="false" customHeight="true" outlineLevel="0" collapsed="false">
      <c r="A2461" s="5" t="s">
        <v>2536</v>
      </c>
    </row>
    <row r="2462" customFormat="false" ht="12.75" hidden="false" customHeight="true" outlineLevel="0" collapsed="false">
      <c r="A2462" s="5" t="s">
        <v>457</v>
      </c>
    </row>
    <row r="2463" customFormat="false" ht="12.75" hidden="false" customHeight="true" outlineLevel="0" collapsed="false">
      <c r="A2463" s="5" t="n">
        <v>0.2</v>
      </c>
    </row>
    <row r="2464" customFormat="false" ht="12.75" hidden="false" customHeight="true" outlineLevel="0" collapsed="false">
      <c r="A2464" s="5" t="s">
        <v>2013</v>
      </c>
    </row>
    <row r="2465" customFormat="false" ht="12.75" hidden="false" customHeight="true" outlineLevel="0" collapsed="false">
      <c r="A2465" s="5" t="s">
        <v>3530</v>
      </c>
    </row>
    <row r="2466" customFormat="false" ht="12.75" hidden="false" customHeight="true" outlineLevel="0" collapsed="false">
      <c r="A2466" s="5" t="n">
        <v>0.1</v>
      </c>
    </row>
    <row r="2467" customFormat="false" ht="12.75" hidden="false" customHeight="true" outlineLevel="0" collapsed="false">
      <c r="A2467" s="5" t="s">
        <v>3531</v>
      </c>
    </row>
    <row r="2468" customFormat="false" ht="12.75" hidden="false" customHeight="true" outlineLevel="0" collapsed="false">
      <c r="A2468" s="5" t="s">
        <v>3532</v>
      </c>
    </row>
    <row r="2469" customFormat="false" ht="12.75" hidden="false" customHeight="true" outlineLevel="0" collapsed="false">
      <c r="A2469" s="5" t="s">
        <v>3533</v>
      </c>
    </row>
    <row r="2470" customFormat="false" ht="12.75" hidden="false" customHeight="true" outlineLevel="0" collapsed="false">
      <c r="A2470" s="5" t="s">
        <v>3534</v>
      </c>
    </row>
    <row r="2471" customFormat="false" ht="12.75" hidden="false" customHeight="true" outlineLevel="0" collapsed="false">
      <c r="A2471" s="5" t="n">
        <v>0.05</v>
      </c>
    </row>
    <row r="2472" customFormat="false" ht="12.75" hidden="false" customHeight="true" outlineLevel="0" collapsed="false">
      <c r="A2472" s="5" t="s">
        <v>3535</v>
      </c>
    </row>
    <row r="2473" customFormat="false" ht="12.75" hidden="false" customHeight="true" outlineLevel="0" collapsed="false">
      <c r="A2473" s="5" t="s">
        <v>3536</v>
      </c>
    </row>
    <row r="2474" customFormat="false" ht="12.75" hidden="false" customHeight="true" outlineLevel="0" collapsed="false">
      <c r="A2474" s="5" t="n">
        <v>0.04</v>
      </c>
    </row>
    <row r="2475" customFormat="false" ht="12.75" hidden="false" customHeight="true" outlineLevel="0" collapsed="false">
      <c r="A2475" s="5" t="s">
        <v>3537</v>
      </c>
    </row>
    <row r="2476" customFormat="false" ht="12.75" hidden="false" customHeight="true" outlineLevel="0" collapsed="false">
      <c r="A2476" s="5" t="s">
        <v>3538</v>
      </c>
    </row>
    <row r="2477" customFormat="false" ht="12.75" hidden="false" customHeight="true" outlineLevel="0" collapsed="false">
      <c r="A2477" s="5" t="n">
        <v>0.01</v>
      </c>
    </row>
    <row r="2478" customFormat="false" ht="12.75" hidden="false" customHeight="true" outlineLevel="0" collapsed="false">
      <c r="A2478" s="5" t="s">
        <v>3539</v>
      </c>
    </row>
    <row r="2479" customFormat="false" ht="12.75" hidden="false" customHeight="true" outlineLevel="0" collapsed="false">
      <c r="A2479" s="5" t="s">
        <v>3540</v>
      </c>
    </row>
    <row r="2480" customFormat="false" ht="12.75" hidden="false" customHeight="true" outlineLevel="0" collapsed="false">
      <c r="A2480" s="5" t="s">
        <v>3980</v>
      </c>
    </row>
    <row r="2481" customFormat="false" ht="12.75" hidden="false" customHeight="true" outlineLevel="0" collapsed="false">
      <c r="A2481" s="5" t="s">
        <v>3993</v>
      </c>
    </row>
    <row r="2482" customFormat="false" ht="12.75" hidden="false" customHeight="true" outlineLevel="0" collapsed="false">
      <c r="A2482" s="5" t="s">
        <v>3428</v>
      </c>
    </row>
    <row r="2483" customFormat="false" ht="12.75" hidden="false" customHeight="true" outlineLevel="0" collapsed="false">
      <c r="A2483" s="5" t="s">
        <v>3429</v>
      </c>
    </row>
    <row r="2484" customFormat="false" ht="12.75" hidden="false" customHeight="true" outlineLevel="0" collapsed="false">
      <c r="A2484" s="5" t="s">
        <v>3024</v>
      </c>
    </row>
    <row r="2485" customFormat="false" ht="12.75" hidden="false" customHeight="true" outlineLevel="0" collapsed="false">
      <c r="A2485" s="5" t="s">
        <v>3449</v>
      </c>
    </row>
    <row r="2486" customFormat="false" ht="12.75" hidden="false" customHeight="true" outlineLevel="0" collapsed="false">
      <c r="A2486" s="5" t="s">
        <v>3977</v>
      </c>
    </row>
    <row r="2487" customFormat="false" ht="12.75" hidden="false" customHeight="true" outlineLevel="0" collapsed="false">
      <c r="A2487" s="5" t="s">
        <v>2008</v>
      </c>
    </row>
    <row r="2488" customFormat="false" ht="12.75" hidden="false" customHeight="true" outlineLevel="0" collapsed="false">
      <c r="A2488" s="5" t="s">
        <v>1451</v>
      </c>
    </row>
    <row r="2489" customFormat="false" ht="12.75" hidden="false" customHeight="true" outlineLevel="0" collapsed="false">
      <c r="A2489" s="5" t="s">
        <v>3978</v>
      </c>
    </row>
    <row r="2490" customFormat="false" ht="12.75" hidden="false" customHeight="true" outlineLevel="0" collapsed="false">
      <c r="A2490" s="5" t="s">
        <v>3026</v>
      </c>
    </row>
    <row r="2491" customFormat="false" ht="12.75" hidden="false" customHeight="true" outlineLevel="0" collapsed="false">
      <c r="A2491" s="5" t="s">
        <v>3027</v>
      </c>
    </row>
    <row r="2492" customFormat="false" ht="12.75" hidden="false" customHeight="true" outlineLevel="0" collapsed="false">
      <c r="A2492" s="5" t="s">
        <v>3028</v>
      </c>
    </row>
    <row r="2493" customFormat="false" ht="12.75" hidden="false" customHeight="true" outlineLevel="0" collapsed="false">
      <c r="A2493" s="5" t="s">
        <v>3979</v>
      </c>
    </row>
    <row r="2494" customFormat="false" ht="12.75" hidden="false" customHeight="true" outlineLevel="0" collapsed="false">
      <c r="A2494" s="5" t="s">
        <v>3029</v>
      </c>
    </row>
    <row r="2495" customFormat="false" ht="12.75" hidden="false" customHeight="true" outlineLevel="0" collapsed="false">
      <c r="A2495" s="5" t="s">
        <v>3527</v>
      </c>
    </row>
    <row r="2496" customFormat="false" ht="12.75" hidden="false" customHeight="true" outlineLevel="0" collapsed="false">
      <c r="A2496" s="5" t="s">
        <v>3031</v>
      </c>
    </row>
    <row r="2497" customFormat="false" ht="12.75" hidden="false" customHeight="true" outlineLevel="0" collapsed="false">
      <c r="A2497" s="5" t="s">
        <v>3032</v>
      </c>
    </row>
    <row r="2498" customFormat="false" ht="12.75" hidden="false" customHeight="true" outlineLevel="0" collapsed="false">
      <c r="A2498" s="5" t="s">
        <v>3033</v>
      </c>
    </row>
    <row r="2499" customFormat="false" ht="12.75" hidden="false" customHeight="true" outlineLevel="0" collapsed="false">
      <c r="A2499" s="5" t="s">
        <v>2536</v>
      </c>
    </row>
    <row r="2500" customFormat="false" ht="12.75" hidden="false" customHeight="true" outlineLevel="0" collapsed="false">
      <c r="A2500" s="5" t="s">
        <v>459</v>
      </c>
    </row>
    <row r="2501" customFormat="false" ht="12.75" hidden="false" customHeight="true" outlineLevel="0" collapsed="false">
      <c r="A2501" s="5" t="n">
        <v>0.2</v>
      </c>
    </row>
    <row r="2502" customFormat="false" ht="12.75" hidden="false" customHeight="true" outlineLevel="0" collapsed="false">
      <c r="A2502" s="5" t="s">
        <v>2013</v>
      </c>
    </row>
    <row r="2503" customFormat="false" ht="12.75" hidden="false" customHeight="true" outlineLevel="0" collapsed="false">
      <c r="A2503" s="5" t="s">
        <v>3530</v>
      </c>
    </row>
    <row r="2504" customFormat="false" ht="12.75" hidden="false" customHeight="true" outlineLevel="0" collapsed="false">
      <c r="A2504" s="5" t="n">
        <v>0.1</v>
      </c>
    </row>
    <row r="2505" customFormat="false" ht="12.75" hidden="false" customHeight="true" outlineLevel="0" collapsed="false">
      <c r="A2505" s="5" t="s">
        <v>3531</v>
      </c>
    </row>
    <row r="2506" customFormat="false" ht="12.75" hidden="false" customHeight="true" outlineLevel="0" collapsed="false">
      <c r="A2506" s="5" t="s">
        <v>3532</v>
      </c>
    </row>
    <row r="2507" customFormat="false" ht="12.75" hidden="false" customHeight="true" outlineLevel="0" collapsed="false">
      <c r="A2507" s="5" t="s">
        <v>3533</v>
      </c>
    </row>
    <row r="2508" customFormat="false" ht="12.75" hidden="false" customHeight="true" outlineLevel="0" collapsed="false">
      <c r="A2508" s="5" t="s">
        <v>3534</v>
      </c>
    </row>
    <row r="2509" customFormat="false" ht="12.75" hidden="false" customHeight="true" outlineLevel="0" collapsed="false">
      <c r="A2509" s="5" t="n">
        <v>0.05</v>
      </c>
    </row>
    <row r="2510" customFormat="false" ht="12.75" hidden="false" customHeight="true" outlineLevel="0" collapsed="false">
      <c r="A2510" s="5" t="s">
        <v>3535</v>
      </c>
    </row>
    <row r="2511" customFormat="false" ht="12.75" hidden="false" customHeight="true" outlineLevel="0" collapsed="false">
      <c r="A2511" s="5" t="s">
        <v>3536</v>
      </c>
    </row>
    <row r="2512" customFormat="false" ht="12.75" hidden="false" customHeight="true" outlineLevel="0" collapsed="false">
      <c r="A2512" s="5" t="n">
        <v>0.04</v>
      </c>
    </row>
    <row r="2513" customFormat="false" ht="12.75" hidden="false" customHeight="true" outlineLevel="0" collapsed="false">
      <c r="A2513" s="5" t="s">
        <v>3537</v>
      </c>
    </row>
    <row r="2514" customFormat="false" ht="12.75" hidden="false" customHeight="true" outlineLevel="0" collapsed="false">
      <c r="A2514" s="5" t="s">
        <v>3538</v>
      </c>
    </row>
    <row r="2515" customFormat="false" ht="12.75" hidden="false" customHeight="true" outlineLevel="0" collapsed="false">
      <c r="A2515" s="5" t="n">
        <v>0.01</v>
      </c>
    </row>
    <row r="2516" customFormat="false" ht="12.75" hidden="false" customHeight="true" outlineLevel="0" collapsed="false">
      <c r="A2516" s="5" t="s">
        <v>3539</v>
      </c>
    </row>
    <row r="2517" customFormat="false" ht="12.75" hidden="false" customHeight="true" outlineLevel="0" collapsed="false">
      <c r="A2517" s="5" t="s">
        <v>3540</v>
      </c>
    </row>
    <row r="2518" customFormat="false" ht="12.75" hidden="false" customHeight="true" outlineLevel="0" collapsed="false">
      <c r="A2518" s="5" t="s">
        <v>3980</v>
      </c>
    </row>
    <row r="2519" customFormat="false" ht="12.75" hidden="false" customHeight="true" outlineLevel="0" collapsed="false">
      <c r="A2519" s="5" t="s">
        <v>3993</v>
      </c>
    </row>
    <row r="2520" customFormat="false" ht="12.75" hidden="false" customHeight="true" outlineLevel="0" collapsed="false">
      <c r="A2520" s="5" t="s">
        <v>3428</v>
      </c>
    </row>
    <row r="2521" customFormat="false" ht="12.75" hidden="false" customHeight="true" outlineLevel="0" collapsed="false">
      <c r="A2521" s="5" t="s">
        <v>3429</v>
      </c>
    </row>
    <row r="2522" customFormat="false" ht="12.75" hidden="false" customHeight="true" outlineLevel="0" collapsed="false">
      <c r="A2522" s="5" t="s">
        <v>3024</v>
      </c>
    </row>
    <row r="2523" customFormat="false" ht="12.75" hidden="false" customHeight="true" outlineLevel="0" collapsed="false">
      <c r="A2523" s="5" t="s">
        <v>3449</v>
      </c>
    </row>
    <row r="2524" customFormat="false" ht="12.75" hidden="false" customHeight="true" outlineLevel="0" collapsed="false">
      <c r="A2524" s="5" t="s">
        <v>3977</v>
      </c>
    </row>
    <row r="2525" customFormat="false" ht="12.75" hidden="false" customHeight="true" outlineLevel="0" collapsed="false">
      <c r="A2525" s="5" t="s">
        <v>2008</v>
      </c>
    </row>
    <row r="2526" customFormat="false" ht="12.75" hidden="false" customHeight="true" outlineLevel="0" collapsed="false">
      <c r="A2526" s="5" t="s">
        <v>1451</v>
      </c>
    </row>
    <row r="2527" customFormat="false" ht="12.75" hidden="false" customHeight="true" outlineLevel="0" collapsed="false">
      <c r="A2527" s="5" t="s">
        <v>3978</v>
      </c>
    </row>
    <row r="2528" customFormat="false" ht="12.75" hidden="false" customHeight="true" outlineLevel="0" collapsed="false">
      <c r="A2528" s="5" t="s">
        <v>3026</v>
      </c>
    </row>
    <row r="2529" customFormat="false" ht="12.75" hidden="false" customHeight="true" outlineLevel="0" collapsed="false">
      <c r="A2529" s="5" t="s">
        <v>3027</v>
      </c>
    </row>
    <row r="2530" customFormat="false" ht="12.75" hidden="false" customHeight="true" outlineLevel="0" collapsed="false">
      <c r="A2530" s="5" t="s">
        <v>3028</v>
      </c>
    </row>
    <row r="2531" customFormat="false" ht="12.75" hidden="false" customHeight="true" outlineLevel="0" collapsed="false">
      <c r="A2531" s="5" t="s">
        <v>3979</v>
      </c>
    </row>
    <row r="2532" customFormat="false" ht="12.75" hidden="false" customHeight="true" outlineLevel="0" collapsed="false">
      <c r="A2532" s="5" t="s">
        <v>3029</v>
      </c>
    </row>
    <row r="2533" customFormat="false" ht="12.75" hidden="false" customHeight="true" outlineLevel="0" collapsed="false">
      <c r="A2533" s="5" t="s">
        <v>3527</v>
      </c>
    </row>
    <row r="2534" customFormat="false" ht="12.75" hidden="false" customHeight="true" outlineLevel="0" collapsed="false">
      <c r="A2534" s="5" t="s">
        <v>3031</v>
      </c>
    </row>
    <row r="2535" customFormat="false" ht="12.75" hidden="false" customHeight="true" outlineLevel="0" collapsed="false">
      <c r="A2535" s="5" t="s">
        <v>3032</v>
      </c>
    </row>
    <row r="2536" customFormat="false" ht="12.75" hidden="false" customHeight="true" outlineLevel="0" collapsed="false">
      <c r="A2536" s="5" t="s">
        <v>3033</v>
      </c>
    </row>
    <row r="2537" customFormat="false" ht="12.75" hidden="false" customHeight="true" outlineLevel="0" collapsed="false">
      <c r="A2537" s="5" t="s">
        <v>2536</v>
      </c>
    </row>
    <row r="2538" customFormat="false" ht="12.75" hidden="false" customHeight="true" outlineLevel="0" collapsed="false">
      <c r="A2538" s="5" t="s">
        <v>461</v>
      </c>
    </row>
    <row r="2539" customFormat="false" ht="12.75" hidden="false" customHeight="true" outlineLevel="0" collapsed="false">
      <c r="A2539" s="5" t="n">
        <v>0.2</v>
      </c>
    </row>
    <row r="2540" customFormat="false" ht="12.75" hidden="false" customHeight="true" outlineLevel="0" collapsed="false">
      <c r="A2540" s="5" t="s">
        <v>2027</v>
      </c>
    </row>
    <row r="2541" customFormat="false" ht="12.75" hidden="false" customHeight="true" outlineLevel="0" collapsed="false">
      <c r="A2541" s="5" t="s">
        <v>3543</v>
      </c>
    </row>
    <row r="2542" customFormat="false" ht="12.75" hidden="false" customHeight="true" outlineLevel="0" collapsed="false">
      <c r="A2542" s="5" t="n">
        <v>0.1</v>
      </c>
    </row>
    <row r="2543" customFormat="false" ht="12.75" hidden="false" customHeight="true" outlineLevel="0" collapsed="false">
      <c r="A2543" s="5" t="s">
        <v>3544</v>
      </c>
    </row>
    <row r="2544" customFormat="false" ht="12.75" hidden="false" customHeight="true" outlineLevel="0" collapsed="false">
      <c r="A2544" s="5" t="s">
        <v>3545</v>
      </c>
    </row>
    <row r="2545" customFormat="false" ht="12.75" hidden="false" customHeight="true" outlineLevel="0" collapsed="false">
      <c r="A2545" s="5" t="s">
        <v>3546</v>
      </c>
    </row>
    <row r="2546" customFormat="false" ht="12.75" hidden="false" customHeight="true" outlineLevel="0" collapsed="false">
      <c r="A2546" s="5" t="s">
        <v>3547</v>
      </c>
    </row>
    <row r="2547" customFormat="false" ht="12.75" hidden="false" customHeight="true" outlineLevel="0" collapsed="false">
      <c r="A2547" s="5" t="n">
        <v>0.05</v>
      </c>
    </row>
    <row r="2548" customFormat="false" ht="12.75" hidden="false" customHeight="true" outlineLevel="0" collapsed="false">
      <c r="A2548" s="5" t="s">
        <v>3548</v>
      </c>
    </row>
    <row r="2549" customFormat="false" ht="12.75" hidden="false" customHeight="true" outlineLevel="0" collapsed="false">
      <c r="A2549" s="5" t="s">
        <v>3549</v>
      </c>
    </row>
    <row r="2550" customFormat="false" ht="12.75" hidden="false" customHeight="true" outlineLevel="0" collapsed="false">
      <c r="A2550" s="5" t="n">
        <v>0.04</v>
      </c>
    </row>
    <row r="2551" customFormat="false" ht="12.75" hidden="false" customHeight="true" outlineLevel="0" collapsed="false">
      <c r="A2551" s="5" t="s">
        <v>3550</v>
      </c>
    </row>
    <row r="2552" customFormat="false" ht="12.75" hidden="false" customHeight="true" outlineLevel="0" collapsed="false">
      <c r="A2552" s="5" t="s">
        <v>3551</v>
      </c>
    </row>
    <row r="2553" customFormat="false" ht="12.75" hidden="false" customHeight="true" outlineLevel="0" collapsed="false">
      <c r="A2553" s="5" t="n">
        <v>0.01</v>
      </c>
    </row>
    <row r="2554" customFormat="false" ht="12.75" hidden="false" customHeight="true" outlineLevel="0" collapsed="false">
      <c r="A2554" s="5" t="s">
        <v>3552</v>
      </c>
    </row>
    <row r="2555" customFormat="false" ht="12.75" hidden="false" customHeight="true" outlineLevel="0" collapsed="false">
      <c r="A2555" s="5" t="s">
        <v>3553</v>
      </c>
    </row>
    <row r="2556" customFormat="false" ht="12.75" hidden="false" customHeight="true" outlineLevel="0" collapsed="false">
      <c r="A2556" s="5" t="s">
        <v>3980</v>
      </c>
    </row>
    <row r="2557" customFormat="false" ht="12.75" hidden="false" customHeight="true" outlineLevel="0" collapsed="false">
      <c r="A2557" s="5" t="s">
        <v>3350</v>
      </c>
    </row>
    <row r="2558" customFormat="false" ht="12.75" hidden="false" customHeight="true" outlineLevel="0" collapsed="false">
      <c r="A2558" s="5" t="s">
        <v>3555</v>
      </c>
    </row>
    <row r="2559" customFormat="false" ht="12.75" hidden="false" customHeight="true" outlineLevel="0" collapsed="false">
      <c r="A2559" s="5" t="s">
        <v>3556</v>
      </c>
    </row>
    <row r="2560" customFormat="false" ht="12.75" hidden="false" customHeight="true" outlineLevel="0" collapsed="false">
      <c r="A2560" s="5" t="s">
        <v>3557</v>
      </c>
    </row>
    <row r="2561" customFormat="false" ht="12.75" hidden="false" customHeight="true" outlineLevel="0" collapsed="false">
      <c r="A2561" s="5" t="s">
        <v>3558</v>
      </c>
    </row>
    <row r="2562" customFormat="false" ht="12.75" hidden="false" customHeight="true" outlineLevel="0" collapsed="false">
      <c r="A2562" s="5" t="s">
        <v>3977</v>
      </c>
    </row>
    <row r="2563" customFormat="false" ht="12.75" hidden="false" customHeight="true" outlineLevel="0" collapsed="false">
      <c r="A2563" s="5" t="s">
        <v>1349</v>
      </c>
    </row>
    <row r="2564" customFormat="false" ht="12.75" hidden="false" customHeight="true" outlineLevel="0" collapsed="false">
      <c r="A2564" s="5" t="s">
        <v>2926</v>
      </c>
    </row>
    <row r="2565" customFormat="false" ht="12.75" hidden="false" customHeight="true" outlineLevel="0" collapsed="false">
      <c r="A2565" s="5" t="s">
        <v>3978</v>
      </c>
    </row>
    <row r="2566" customFormat="false" ht="12.75" hidden="false" customHeight="true" outlineLevel="0" collapsed="false">
      <c r="A2566" s="5" t="s">
        <v>3559</v>
      </c>
    </row>
    <row r="2567" customFormat="false" ht="12.75" hidden="false" customHeight="true" outlineLevel="0" collapsed="false">
      <c r="A2567" s="5" t="s">
        <v>3560</v>
      </c>
    </row>
    <row r="2568" customFormat="false" ht="12.75" hidden="false" customHeight="true" outlineLevel="0" collapsed="false">
      <c r="A2568" s="5" t="s">
        <v>3561</v>
      </c>
    </row>
    <row r="2569" customFormat="false" ht="12.75" hidden="false" customHeight="true" outlineLevel="0" collapsed="false">
      <c r="A2569" s="5" t="s">
        <v>3979</v>
      </c>
    </row>
    <row r="2570" customFormat="false" ht="12.75" hidden="false" customHeight="true" outlineLevel="0" collapsed="false">
      <c r="A2570" s="5" t="s">
        <v>3562</v>
      </c>
    </row>
    <row r="2571" customFormat="false" ht="12.75" hidden="false" customHeight="true" outlineLevel="0" collapsed="false">
      <c r="A2571" s="5" t="s">
        <v>3356</v>
      </c>
    </row>
    <row r="2572" customFormat="false" ht="12.75" hidden="false" customHeight="true" outlineLevel="0" collapsed="false">
      <c r="A2572" s="5" t="s">
        <v>3563</v>
      </c>
    </row>
    <row r="2573" customFormat="false" ht="12.75" hidden="false" customHeight="true" outlineLevel="0" collapsed="false">
      <c r="A2573" s="5" t="s">
        <v>3378</v>
      </c>
    </row>
    <row r="2574" customFormat="false" ht="12.75" hidden="false" customHeight="true" outlineLevel="0" collapsed="false">
      <c r="A2574" s="5" t="s">
        <v>3379</v>
      </c>
    </row>
    <row r="2575" customFormat="false" ht="12.75" hidden="false" customHeight="true" outlineLevel="0" collapsed="false">
      <c r="A2575" s="5" t="s">
        <v>2536</v>
      </c>
    </row>
    <row r="2576" customFormat="false" ht="12.75" hidden="false" customHeight="true" outlineLevel="0" collapsed="false">
      <c r="A2576" s="5" t="s">
        <v>463</v>
      </c>
    </row>
    <row r="2577" customFormat="false" ht="12.75" hidden="false" customHeight="true" outlineLevel="0" collapsed="false">
      <c r="A2577" s="5" t="n">
        <v>0.2</v>
      </c>
    </row>
    <row r="2578" customFormat="false" ht="12.75" hidden="false" customHeight="true" outlineLevel="0" collapsed="false">
      <c r="A2578" s="5" t="s">
        <v>2049</v>
      </c>
    </row>
    <row r="2579" customFormat="false" ht="12.75" hidden="false" customHeight="true" outlineLevel="0" collapsed="false">
      <c r="A2579" s="5" t="s">
        <v>3565</v>
      </c>
    </row>
    <row r="2580" customFormat="false" ht="12.75" hidden="false" customHeight="true" outlineLevel="0" collapsed="false">
      <c r="A2580" s="5" t="n">
        <v>0.1</v>
      </c>
    </row>
    <row r="2581" customFormat="false" ht="12.75" hidden="false" customHeight="true" outlineLevel="0" collapsed="false">
      <c r="A2581" s="5" t="s">
        <v>3566</v>
      </c>
    </row>
    <row r="2582" customFormat="false" ht="12.75" hidden="false" customHeight="true" outlineLevel="0" collapsed="false">
      <c r="A2582" s="5" t="s">
        <v>3567</v>
      </c>
    </row>
    <row r="2583" customFormat="false" ht="12.75" hidden="false" customHeight="true" outlineLevel="0" collapsed="false">
      <c r="A2583" s="5" t="s">
        <v>2872</v>
      </c>
    </row>
    <row r="2584" customFormat="false" ht="12.75" hidden="false" customHeight="true" outlineLevel="0" collapsed="false">
      <c r="A2584" s="5" t="s">
        <v>3568</v>
      </c>
    </row>
    <row r="2585" customFormat="false" ht="12.75" hidden="false" customHeight="true" outlineLevel="0" collapsed="false">
      <c r="A2585" s="5" t="n">
        <v>0.05</v>
      </c>
    </row>
    <row r="2586" customFormat="false" ht="12.75" hidden="false" customHeight="true" outlineLevel="0" collapsed="false">
      <c r="A2586" s="5" t="s">
        <v>3569</v>
      </c>
    </row>
    <row r="2587" customFormat="false" ht="12.75" hidden="false" customHeight="true" outlineLevel="0" collapsed="false">
      <c r="A2587" s="5" t="s">
        <v>3570</v>
      </c>
    </row>
    <row r="2588" customFormat="false" ht="12.75" hidden="false" customHeight="true" outlineLevel="0" collapsed="false">
      <c r="A2588" s="5" t="n">
        <v>0.04</v>
      </c>
    </row>
    <row r="2589" customFormat="false" ht="12.75" hidden="false" customHeight="true" outlineLevel="0" collapsed="false">
      <c r="A2589" s="5" t="s">
        <v>3571</v>
      </c>
    </row>
    <row r="2590" customFormat="false" ht="12.75" hidden="false" customHeight="true" outlineLevel="0" collapsed="false">
      <c r="A2590" s="5" t="s">
        <v>3572</v>
      </c>
    </row>
    <row r="2591" customFormat="false" ht="12.75" hidden="false" customHeight="true" outlineLevel="0" collapsed="false">
      <c r="A2591" s="5" t="n">
        <v>0.01</v>
      </c>
    </row>
    <row r="2592" customFormat="false" ht="12.75" hidden="false" customHeight="true" outlineLevel="0" collapsed="false">
      <c r="A2592" s="5" t="s">
        <v>3573</v>
      </c>
    </row>
    <row r="2593" customFormat="false" ht="12.75" hidden="false" customHeight="true" outlineLevel="0" collapsed="false">
      <c r="A2593" s="5" t="s">
        <v>3574</v>
      </c>
    </row>
    <row r="2594" customFormat="false" ht="12.75" hidden="false" customHeight="true" outlineLevel="0" collapsed="false">
      <c r="A2594" s="5" t="s">
        <v>3980</v>
      </c>
    </row>
    <row r="2595" customFormat="false" ht="12.75" hidden="false" customHeight="true" outlineLevel="0" collapsed="false">
      <c r="A2595" s="5" t="s">
        <v>3994</v>
      </c>
    </row>
    <row r="2596" customFormat="false" ht="12.75" hidden="false" customHeight="true" outlineLevel="0" collapsed="false">
      <c r="A2596" s="5" t="s">
        <v>3576</v>
      </c>
    </row>
    <row r="2597" customFormat="false" ht="12.75" hidden="false" customHeight="true" outlineLevel="0" collapsed="false">
      <c r="A2597" s="5" t="s">
        <v>3577</v>
      </c>
    </row>
    <row r="2598" customFormat="false" ht="12.75" hidden="false" customHeight="true" outlineLevel="0" collapsed="false">
      <c r="A2598" s="5" t="s">
        <v>2970</v>
      </c>
    </row>
    <row r="2599" customFormat="false" ht="12.75" hidden="false" customHeight="true" outlineLevel="0" collapsed="false">
      <c r="A2599" s="5" t="s">
        <v>3578</v>
      </c>
    </row>
    <row r="2600" customFormat="false" ht="12.75" hidden="false" customHeight="true" outlineLevel="0" collapsed="false">
      <c r="A2600" s="5" t="s">
        <v>3977</v>
      </c>
    </row>
    <row r="2601" customFormat="false" ht="12.75" hidden="false" customHeight="true" outlineLevel="0" collapsed="false">
      <c r="A2601" s="5" t="s">
        <v>2063</v>
      </c>
    </row>
    <row r="2602" customFormat="false" ht="12.75" hidden="false" customHeight="true" outlineLevel="0" collapsed="false">
      <c r="A2602" s="5" t="s">
        <v>3579</v>
      </c>
    </row>
    <row r="2603" customFormat="false" ht="12.75" hidden="false" customHeight="true" outlineLevel="0" collapsed="false">
      <c r="A2603" s="5" t="s">
        <v>3978</v>
      </c>
    </row>
    <row r="2604" customFormat="false" ht="12.75" hidden="false" customHeight="true" outlineLevel="0" collapsed="false">
      <c r="A2604" s="5" t="s">
        <v>3580</v>
      </c>
    </row>
    <row r="2605" customFormat="false" ht="12.75" hidden="false" customHeight="true" outlineLevel="0" collapsed="false">
      <c r="A2605" s="5" t="s">
        <v>3581</v>
      </c>
    </row>
    <row r="2606" customFormat="false" ht="12.75" hidden="false" customHeight="true" outlineLevel="0" collapsed="false">
      <c r="A2606" s="5" t="s">
        <v>3582</v>
      </c>
    </row>
    <row r="2607" customFormat="false" ht="12.75" hidden="false" customHeight="true" outlineLevel="0" collapsed="false">
      <c r="A2607" s="5" t="s">
        <v>3979</v>
      </c>
    </row>
    <row r="2608" customFormat="false" ht="12.75" hidden="false" customHeight="true" outlineLevel="0" collapsed="false">
      <c r="A2608" s="5" t="s">
        <v>3583</v>
      </c>
    </row>
    <row r="2609" customFormat="false" ht="12.75" hidden="false" customHeight="true" outlineLevel="0" collapsed="false">
      <c r="A2609" s="5" t="s">
        <v>2969</v>
      </c>
    </row>
    <row r="2610" customFormat="false" ht="12.75" hidden="false" customHeight="true" outlineLevel="0" collapsed="false">
      <c r="A2610" s="5" t="s">
        <v>3584</v>
      </c>
    </row>
    <row r="2611" customFormat="false" ht="12.75" hidden="false" customHeight="true" outlineLevel="0" collapsed="false">
      <c r="A2611" s="5" t="s">
        <v>3585</v>
      </c>
    </row>
    <row r="2612" customFormat="false" ht="12.75" hidden="false" customHeight="true" outlineLevel="0" collapsed="false">
      <c r="A2612" s="5" t="s">
        <v>3586</v>
      </c>
    </row>
    <row r="2613" customFormat="false" ht="12.75" hidden="false" customHeight="true" outlineLevel="0" collapsed="false">
      <c r="A2613" s="5" t="s">
        <v>2536</v>
      </c>
    </row>
    <row r="2614" customFormat="false" ht="12.75" hidden="false" customHeight="true" outlineLevel="0" collapsed="false">
      <c r="A2614" s="5" t="s">
        <v>465</v>
      </c>
    </row>
    <row r="2615" customFormat="false" ht="12.75" hidden="false" customHeight="true" outlineLevel="0" collapsed="false">
      <c r="A2615" s="5" t="n">
        <v>0.2</v>
      </c>
    </row>
    <row r="2616" customFormat="false" ht="12.75" hidden="false" customHeight="true" outlineLevel="0" collapsed="false">
      <c r="A2616" s="5" t="s">
        <v>2073</v>
      </c>
    </row>
    <row r="2617" customFormat="false" ht="12.75" hidden="false" customHeight="true" outlineLevel="0" collapsed="false">
      <c r="A2617" s="5" t="s">
        <v>3588</v>
      </c>
    </row>
    <row r="2618" customFormat="false" ht="12.75" hidden="false" customHeight="true" outlineLevel="0" collapsed="false">
      <c r="A2618" s="5" t="n">
        <v>0.1</v>
      </c>
    </row>
    <row r="2619" customFormat="false" ht="12.75" hidden="false" customHeight="true" outlineLevel="0" collapsed="false">
      <c r="A2619" s="5" t="s">
        <v>3589</v>
      </c>
    </row>
    <row r="2620" customFormat="false" ht="12.75" hidden="false" customHeight="true" outlineLevel="0" collapsed="false">
      <c r="A2620" s="5" t="s">
        <v>3590</v>
      </c>
    </row>
    <row r="2621" customFormat="false" ht="12.75" hidden="false" customHeight="true" outlineLevel="0" collapsed="false">
      <c r="A2621" s="5" t="s">
        <v>3591</v>
      </c>
    </row>
    <row r="2622" customFormat="false" ht="12.75" hidden="false" customHeight="true" outlineLevel="0" collapsed="false">
      <c r="A2622" s="5" t="s">
        <v>3592</v>
      </c>
    </row>
    <row r="2623" customFormat="false" ht="12.75" hidden="false" customHeight="true" outlineLevel="0" collapsed="false">
      <c r="A2623" s="5" t="n">
        <v>0.05</v>
      </c>
    </row>
    <row r="2624" customFormat="false" ht="12.75" hidden="false" customHeight="true" outlineLevel="0" collapsed="false">
      <c r="A2624" s="5" t="s">
        <v>3593</v>
      </c>
    </row>
    <row r="2625" customFormat="false" ht="12.75" hidden="false" customHeight="true" outlineLevel="0" collapsed="false">
      <c r="A2625" s="5" t="s">
        <v>3594</v>
      </c>
    </row>
    <row r="2626" customFormat="false" ht="12.75" hidden="false" customHeight="true" outlineLevel="0" collapsed="false">
      <c r="A2626" s="5" t="n">
        <v>0.04</v>
      </c>
    </row>
    <row r="2627" customFormat="false" ht="12.75" hidden="false" customHeight="true" outlineLevel="0" collapsed="false">
      <c r="A2627" s="5" t="s">
        <v>3595</v>
      </c>
    </row>
    <row r="2628" customFormat="false" ht="12.75" hidden="false" customHeight="true" outlineLevel="0" collapsed="false">
      <c r="A2628" s="5" t="s">
        <v>3596</v>
      </c>
    </row>
    <row r="2629" customFormat="false" ht="12.75" hidden="false" customHeight="true" outlineLevel="0" collapsed="false">
      <c r="A2629" s="5" t="n">
        <v>0.01</v>
      </c>
    </row>
    <row r="2630" customFormat="false" ht="12.75" hidden="false" customHeight="true" outlineLevel="0" collapsed="false">
      <c r="A2630" s="5" t="s">
        <v>3597</v>
      </c>
    </row>
    <row r="2631" customFormat="false" ht="12.75" hidden="false" customHeight="true" outlineLevel="0" collapsed="false">
      <c r="A2631" s="5" t="s">
        <v>3597</v>
      </c>
    </row>
    <row r="2632" customFormat="false" ht="12.75" hidden="false" customHeight="true" outlineLevel="0" collapsed="false">
      <c r="A2632" s="5" t="s">
        <v>3980</v>
      </c>
    </row>
    <row r="2633" customFormat="false" ht="12.75" hidden="false" customHeight="true" outlineLevel="0" collapsed="false">
      <c r="A2633" s="5" t="s">
        <v>3995</v>
      </c>
    </row>
    <row r="2634" customFormat="false" ht="12.75" hidden="false" customHeight="true" outlineLevel="0" collapsed="false">
      <c r="A2634" s="5" t="s">
        <v>3599</v>
      </c>
    </row>
    <row r="2635" customFormat="false" ht="12.75" hidden="false" customHeight="true" outlineLevel="0" collapsed="false">
      <c r="A2635" s="5" t="s">
        <v>3600</v>
      </c>
    </row>
    <row r="2636" customFormat="false" ht="12.75" hidden="false" customHeight="true" outlineLevel="0" collapsed="false">
      <c r="A2636" s="5" t="s">
        <v>3532</v>
      </c>
    </row>
    <row r="2637" customFormat="false" ht="12.75" hidden="false" customHeight="true" outlineLevel="0" collapsed="false">
      <c r="A2637" s="5" t="s">
        <v>3601</v>
      </c>
    </row>
    <row r="2638" customFormat="false" ht="12.75" hidden="false" customHeight="true" outlineLevel="0" collapsed="false">
      <c r="A2638" s="5" t="s">
        <v>3977</v>
      </c>
    </row>
    <row r="2639" customFormat="false" ht="12.75" hidden="false" customHeight="true" outlineLevel="0" collapsed="false">
      <c r="A2639" s="5" t="s">
        <v>1349</v>
      </c>
    </row>
    <row r="2640" customFormat="false" ht="12.75" hidden="false" customHeight="true" outlineLevel="0" collapsed="false">
      <c r="A2640" s="5" t="s">
        <v>3352</v>
      </c>
    </row>
    <row r="2641" customFormat="false" ht="12.75" hidden="false" customHeight="true" outlineLevel="0" collapsed="false">
      <c r="A2641" s="5" t="s">
        <v>3978</v>
      </c>
    </row>
    <row r="2642" customFormat="false" ht="12.75" hidden="false" customHeight="true" outlineLevel="0" collapsed="false">
      <c r="A2642" s="5" t="s">
        <v>3353</v>
      </c>
    </row>
    <row r="2643" customFormat="false" ht="12.75" hidden="false" customHeight="true" outlineLevel="0" collapsed="false">
      <c r="A2643" s="5" t="s">
        <v>3027</v>
      </c>
    </row>
    <row r="2644" customFormat="false" ht="12.75" hidden="false" customHeight="true" outlineLevel="0" collapsed="false">
      <c r="A2644" s="5" t="s">
        <v>3354</v>
      </c>
    </row>
    <row r="2645" customFormat="false" ht="12.75" hidden="false" customHeight="true" outlineLevel="0" collapsed="false">
      <c r="A2645" s="5" t="s">
        <v>3979</v>
      </c>
    </row>
    <row r="2646" customFormat="false" ht="12.75" hidden="false" customHeight="true" outlineLevel="0" collapsed="false">
      <c r="A2646" s="5" t="s">
        <v>3355</v>
      </c>
    </row>
    <row r="2647" customFormat="false" ht="12.75" hidden="false" customHeight="true" outlineLevel="0" collapsed="false">
      <c r="A2647" s="5" t="s">
        <v>3356</v>
      </c>
    </row>
    <row r="2648" customFormat="false" ht="12.75" hidden="false" customHeight="true" outlineLevel="0" collapsed="false">
      <c r="A2648" s="5" t="s">
        <v>3357</v>
      </c>
    </row>
    <row r="2649" customFormat="false" ht="12.75" hidden="false" customHeight="true" outlineLevel="0" collapsed="false">
      <c r="A2649" s="5" t="s">
        <v>3358</v>
      </c>
    </row>
    <row r="2650" customFormat="false" ht="12.75" hidden="false" customHeight="true" outlineLevel="0" collapsed="false">
      <c r="A2650" s="5" t="s">
        <v>3359</v>
      </c>
    </row>
    <row r="2651" customFormat="false" ht="12.75" hidden="false" customHeight="true" outlineLevel="0" collapsed="false">
      <c r="A2651" s="5" t="s">
        <v>2536</v>
      </c>
    </row>
    <row r="2652" customFormat="false" ht="12.75" hidden="false" customHeight="true" outlineLevel="0" collapsed="false">
      <c r="A2652" s="5" t="s">
        <v>467</v>
      </c>
    </row>
    <row r="2653" customFormat="false" ht="12.75" hidden="false" customHeight="true" outlineLevel="0" collapsed="false">
      <c r="A2653" s="5" t="n">
        <v>0.2</v>
      </c>
    </row>
    <row r="2654" customFormat="false" ht="12.75" hidden="false" customHeight="true" outlineLevel="0" collapsed="false">
      <c r="A2654" s="5" t="s">
        <v>2089</v>
      </c>
    </row>
    <row r="2655" customFormat="false" ht="12.75" hidden="false" customHeight="true" outlineLevel="0" collapsed="false">
      <c r="A2655" s="5" t="s">
        <v>3603</v>
      </c>
    </row>
    <row r="2656" customFormat="false" ht="12.75" hidden="false" customHeight="true" outlineLevel="0" collapsed="false">
      <c r="A2656" s="5" t="n">
        <v>0.1</v>
      </c>
    </row>
    <row r="2657" customFormat="false" ht="12.75" hidden="false" customHeight="true" outlineLevel="0" collapsed="false">
      <c r="A2657" s="5" t="s">
        <v>3604</v>
      </c>
    </row>
    <row r="2658" customFormat="false" ht="12.75" hidden="false" customHeight="true" outlineLevel="0" collapsed="false">
      <c r="A2658" s="5" t="s">
        <v>3361</v>
      </c>
    </row>
    <row r="2659" customFormat="false" ht="12.75" hidden="false" customHeight="true" outlineLevel="0" collapsed="false">
      <c r="A2659" s="5" t="s">
        <v>3605</v>
      </c>
    </row>
    <row r="2660" customFormat="false" ht="12.75" hidden="false" customHeight="true" outlineLevel="0" collapsed="false">
      <c r="A2660" s="5" t="s">
        <v>3606</v>
      </c>
    </row>
    <row r="2661" customFormat="false" ht="12.75" hidden="false" customHeight="true" outlineLevel="0" collapsed="false">
      <c r="A2661" s="5" t="n">
        <v>0.05</v>
      </c>
    </row>
    <row r="2662" customFormat="false" ht="12.75" hidden="false" customHeight="true" outlineLevel="0" collapsed="false">
      <c r="A2662" s="5" t="s">
        <v>3593</v>
      </c>
    </row>
    <row r="2663" customFormat="false" ht="12.75" hidden="false" customHeight="true" outlineLevel="0" collapsed="false">
      <c r="A2663" s="5" t="s">
        <v>3594</v>
      </c>
    </row>
    <row r="2664" customFormat="false" ht="12.75" hidden="false" customHeight="true" outlineLevel="0" collapsed="false">
      <c r="A2664" s="5" t="n">
        <v>0.04</v>
      </c>
    </row>
    <row r="2665" customFormat="false" ht="12.75" hidden="false" customHeight="true" outlineLevel="0" collapsed="false">
      <c r="A2665" s="5" t="s">
        <v>3595</v>
      </c>
    </row>
    <row r="2666" customFormat="false" ht="12.75" hidden="false" customHeight="true" outlineLevel="0" collapsed="false">
      <c r="A2666" s="5" t="s">
        <v>3596</v>
      </c>
    </row>
    <row r="2667" customFormat="false" ht="12.75" hidden="false" customHeight="true" outlineLevel="0" collapsed="false">
      <c r="A2667" s="5" t="n">
        <v>0.01</v>
      </c>
    </row>
    <row r="2668" customFormat="false" ht="12.75" hidden="false" customHeight="true" outlineLevel="0" collapsed="false">
      <c r="A2668" s="5" t="s">
        <v>3607</v>
      </c>
    </row>
    <row r="2669" customFormat="false" ht="12.75" hidden="false" customHeight="true" outlineLevel="0" collapsed="false">
      <c r="A2669" s="5" t="s">
        <v>3607</v>
      </c>
    </row>
    <row r="2670" customFormat="false" ht="12.75" hidden="false" customHeight="true" outlineLevel="0" collapsed="false">
      <c r="A2670" s="5" t="s">
        <v>3980</v>
      </c>
    </row>
    <row r="2671" customFormat="false" ht="12.75" hidden="false" customHeight="true" outlineLevel="0" collapsed="false">
      <c r="A2671" s="5" t="s">
        <v>3995</v>
      </c>
    </row>
    <row r="2672" customFormat="false" ht="12.75" hidden="false" customHeight="true" outlineLevel="0" collapsed="false">
      <c r="A2672" s="5" t="s">
        <v>3599</v>
      </c>
    </row>
    <row r="2673" customFormat="false" ht="12.75" hidden="false" customHeight="true" outlineLevel="0" collapsed="false">
      <c r="A2673" s="5" t="s">
        <v>3600</v>
      </c>
    </row>
    <row r="2674" customFormat="false" ht="12.75" hidden="false" customHeight="true" outlineLevel="0" collapsed="false">
      <c r="A2674" s="5" t="s">
        <v>3532</v>
      </c>
    </row>
    <row r="2675" customFormat="false" ht="12.75" hidden="false" customHeight="true" outlineLevel="0" collapsed="false">
      <c r="A2675" s="5" t="s">
        <v>3601</v>
      </c>
    </row>
    <row r="2676" customFormat="false" ht="12.75" hidden="false" customHeight="true" outlineLevel="0" collapsed="false">
      <c r="A2676" s="5" t="s">
        <v>3977</v>
      </c>
    </row>
    <row r="2677" customFormat="false" ht="12.75" hidden="false" customHeight="true" outlineLevel="0" collapsed="false">
      <c r="A2677" s="5" t="s">
        <v>1349</v>
      </c>
    </row>
    <row r="2678" customFormat="false" ht="12.75" hidden="false" customHeight="true" outlineLevel="0" collapsed="false">
      <c r="A2678" s="5" t="s">
        <v>3352</v>
      </c>
    </row>
    <row r="2679" customFormat="false" ht="12.75" hidden="false" customHeight="true" outlineLevel="0" collapsed="false">
      <c r="A2679" s="5" t="s">
        <v>3978</v>
      </c>
    </row>
    <row r="2680" customFormat="false" ht="12.75" hidden="false" customHeight="true" outlineLevel="0" collapsed="false">
      <c r="A2680" s="5" t="s">
        <v>3353</v>
      </c>
    </row>
    <row r="2681" customFormat="false" ht="12.75" hidden="false" customHeight="true" outlineLevel="0" collapsed="false">
      <c r="A2681" s="5" t="s">
        <v>3027</v>
      </c>
    </row>
    <row r="2682" customFormat="false" ht="12.75" hidden="false" customHeight="true" outlineLevel="0" collapsed="false">
      <c r="A2682" s="5" t="s">
        <v>3354</v>
      </c>
    </row>
    <row r="2683" customFormat="false" ht="12.75" hidden="false" customHeight="true" outlineLevel="0" collapsed="false">
      <c r="A2683" s="5" t="s">
        <v>3979</v>
      </c>
    </row>
    <row r="2684" customFormat="false" ht="12.75" hidden="false" customHeight="true" outlineLevel="0" collapsed="false">
      <c r="A2684" s="5" t="s">
        <v>3355</v>
      </c>
    </row>
    <row r="2685" customFormat="false" ht="12.75" hidden="false" customHeight="true" outlineLevel="0" collapsed="false">
      <c r="A2685" s="5" t="s">
        <v>3356</v>
      </c>
    </row>
    <row r="2686" customFormat="false" ht="12.75" hidden="false" customHeight="true" outlineLevel="0" collapsed="false">
      <c r="A2686" s="5" t="s">
        <v>3357</v>
      </c>
    </row>
    <row r="2687" customFormat="false" ht="12.75" hidden="false" customHeight="true" outlineLevel="0" collapsed="false">
      <c r="A2687" s="5" t="s">
        <v>3358</v>
      </c>
    </row>
    <row r="2688" customFormat="false" ht="12.75" hidden="false" customHeight="true" outlineLevel="0" collapsed="false">
      <c r="A2688" s="5" t="s">
        <v>3359</v>
      </c>
    </row>
    <row r="2689" customFormat="false" ht="12.75" hidden="false" customHeight="true" outlineLevel="0" collapsed="false">
      <c r="A2689" s="5" t="s">
        <v>2536</v>
      </c>
    </row>
    <row r="2690" customFormat="false" ht="12.75" hidden="false" customHeight="true" outlineLevel="0" collapsed="false">
      <c r="A2690" s="5" t="s">
        <v>379</v>
      </c>
    </row>
    <row r="2691" customFormat="false" ht="12.75" hidden="false" customHeight="true" outlineLevel="0" collapsed="false">
      <c r="A2691" s="5" t="s">
        <v>3975</v>
      </c>
    </row>
    <row r="2692" customFormat="false" ht="12.75" hidden="false" customHeight="true" outlineLevel="0" collapsed="false">
      <c r="A2692" s="5" t="s">
        <v>3993</v>
      </c>
    </row>
    <row r="2693" customFormat="false" ht="12.75" hidden="false" customHeight="true" outlineLevel="0" collapsed="false">
      <c r="A2693" s="5" t="s">
        <v>3428</v>
      </c>
    </row>
    <row r="2694" customFormat="false" ht="12.75" hidden="false" customHeight="true" outlineLevel="0" collapsed="false">
      <c r="A2694" s="5" t="s">
        <v>3024</v>
      </c>
    </row>
    <row r="2695" customFormat="false" ht="12.75" hidden="false" customHeight="true" outlineLevel="0" collapsed="false">
      <c r="A2695" s="5" t="s">
        <v>3429</v>
      </c>
    </row>
    <row r="2696" customFormat="false" ht="12.75" hidden="false" customHeight="true" outlineLevel="0" collapsed="false">
      <c r="A2696" s="5" t="s">
        <v>3449</v>
      </c>
    </row>
    <row r="2697" customFormat="false" ht="12.75" hidden="false" customHeight="true" outlineLevel="0" collapsed="false">
      <c r="A2697" s="5" t="s">
        <v>3977</v>
      </c>
    </row>
    <row r="2698" customFormat="false" ht="12.75" hidden="false" customHeight="true" outlineLevel="0" collapsed="false">
      <c r="A2698" s="5" t="s">
        <v>1349</v>
      </c>
    </row>
    <row r="2699" customFormat="false" ht="12.75" hidden="false" customHeight="true" outlineLevel="0" collapsed="false">
      <c r="A2699" s="5" t="s">
        <v>3352</v>
      </c>
    </row>
    <row r="2700" customFormat="false" ht="12.75" hidden="false" customHeight="true" outlineLevel="0" collapsed="false">
      <c r="A2700" s="5" t="s">
        <v>3978</v>
      </c>
    </row>
    <row r="2701" customFormat="false" ht="12.75" hidden="false" customHeight="true" outlineLevel="0" collapsed="false">
      <c r="A2701" s="5" t="s">
        <v>3430</v>
      </c>
    </row>
    <row r="2702" customFormat="false" ht="12.75" hidden="false" customHeight="true" outlineLevel="0" collapsed="false">
      <c r="A2702" s="5" t="s">
        <v>3027</v>
      </c>
    </row>
    <row r="2703" customFormat="false" ht="12.75" hidden="false" customHeight="true" outlineLevel="0" collapsed="false">
      <c r="A2703" s="5" t="s">
        <v>3451</v>
      </c>
    </row>
    <row r="2704" customFormat="false" ht="12.75" hidden="false" customHeight="true" outlineLevel="0" collapsed="false">
      <c r="A2704" s="5" t="s">
        <v>3979</v>
      </c>
    </row>
    <row r="2705" customFormat="false" ht="12.75" hidden="false" customHeight="true" outlineLevel="0" collapsed="false">
      <c r="A2705" s="5" t="s">
        <v>3432</v>
      </c>
    </row>
    <row r="2706" customFormat="false" ht="12.75" hidden="false" customHeight="true" outlineLevel="0" collapsed="false">
      <c r="A2706" s="5" t="s">
        <v>3356</v>
      </c>
    </row>
    <row r="2707" customFormat="false" ht="12.75" hidden="false" customHeight="true" outlineLevel="0" collapsed="false">
      <c r="A2707" s="5" t="s">
        <v>3452</v>
      </c>
    </row>
    <row r="2708" customFormat="false" ht="12.75" hidden="false" customHeight="true" outlineLevel="0" collapsed="false">
      <c r="A2708" s="5" t="s">
        <v>3358</v>
      </c>
    </row>
    <row r="2709" customFormat="false" ht="12.75" hidden="false" customHeight="true" outlineLevel="0" collapsed="false">
      <c r="A2709" s="5" t="s">
        <v>3610</v>
      </c>
    </row>
    <row r="2710" customFormat="false" ht="12.75" hidden="false" customHeight="true" outlineLevel="0" collapsed="false">
      <c r="A2710" s="5" t="s">
        <v>2536</v>
      </c>
    </row>
    <row r="2711" customFormat="false" ht="12.75" hidden="false" customHeight="true" outlineLevel="0" collapsed="false">
      <c r="A2711" s="5" t="s">
        <v>381</v>
      </c>
    </row>
    <row r="2712" customFormat="false" ht="12.75" hidden="false" customHeight="true" outlineLevel="0" collapsed="false">
      <c r="A2712" s="5" t="s">
        <v>3975</v>
      </c>
    </row>
    <row r="2713" customFormat="false" ht="12.75" hidden="false" customHeight="true" outlineLevel="0" collapsed="false">
      <c r="A2713" s="5" t="s">
        <v>3996</v>
      </c>
    </row>
    <row r="2714" customFormat="false" ht="12.75" hidden="false" customHeight="true" outlineLevel="0" collapsed="false">
      <c r="A2714" s="5" t="s">
        <v>3374</v>
      </c>
    </row>
    <row r="2715" customFormat="false" ht="12.75" hidden="false" customHeight="true" outlineLevel="0" collapsed="false">
      <c r="A2715" s="5" t="s">
        <v>2923</v>
      </c>
    </row>
    <row r="2716" customFormat="false" ht="12.75" hidden="false" customHeight="true" outlineLevel="0" collapsed="false">
      <c r="A2716" s="5" t="s">
        <v>2922</v>
      </c>
    </row>
    <row r="2717" customFormat="false" ht="12.75" hidden="false" customHeight="true" outlineLevel="0" collapsed="false">
      <c r="A2717" s="5" t="s">
        <v>3613</v>
      </c>
    </row>
    <row r="2718" customFormat="false" ht="12.75" hidden="false" customHeight="true" outlineLevel="0" collapsed="false">
      <c r="A2718" s="5" t="s">
        <v>3977</v>
      </c>
    </row>
    <row r="2719" customFormat="false" ht="12.75" hidden="false" customHeight="true" outlineLevel="0" collapsed="false">
      <c r="A2719" s="5" t="s">
        <v>1349</v>
      </c>
    </row>
    <row r="2720" customFormat="false" ht="12.75" hidden="false" customHeight="true" outlineLevel="0" collapsed="false">
      <c r="A2720" s="5" t="s">
        <v>2926</v>
      </c>
    </row>
    <row r="2721" customFormat="false" ht="12.75" hidden="false" customHeight="true" outlineLevel="0" collapsed="false">
      <c r="A2721" s="5" t="s">
        <v>3978</v>
      </c>
    </row>
    <row r="2722" customFormat="false" ht="12.75" hidden="false" customHeight="true" outlineLevel="0" collapsed="false">
      <c r="A2722" s="5" t="s">
        <v>3559</v>
      </c>
    </row>
    <row r="2723" customFormat="false" ht="12.75" hidden="false" customHeight="true" outlineLevel="0" collapsed="false">
      <c r="A2723" s="5" t="s">
        <v>3560</v>
      </c>
    </row>
    <row r="2724" customFormat="false" ht="12.75" hidden="false" customHeight="true" outlineLevel="0" collapsed="false">
      <c r="A2724" s="5" t="s">
        <v>3561</v>
      </c>
    </row>
    <row r="2725" customFormat="false" ht="12.75" hidden="false" customHeight="true" outlineLevel="0" collapsed="false">
      <c r="A2725" s="5" t="s">
        <v>3979</v>
      </c>
    </row>
    <row r="2726" customFormat="false" ht="12.75" hidden="false" customHeight="true" outlineLevel="0" collapsed="false">
      <c r="A2726" s="5" t="s">
        <v>3562</v>
      </c>
    </row>
    <row r="2727" customFormat="false" ht="12.75" hidden="false" customHeight="true" outlineLevel="0" collapsed="false">
      <c r="A2727" s="5" t="s">
        <v>3356</v>
      </c>
    </row>
    <row r="2728" customFormat="false" ht="12.75" hidden="false" customHeight="true" outlineLevel="0" collapsed="false">
      <c r="A2728" s="5" t="s">
        <v>3563</v>
      </c>
    </row>
    <row r="2729" customFormat="false" ht="12.75" hidden="false" customHeight="true" outlineLevel="0" collapsed="false">
      <c r="A2729" s="5" t="s">
        <v>3378</v>
      </c>
    </row>
    <row r="2730" customFormat="false" ht="12.75" hidden="false" customHeight="true" outlineLevel="0" collapsed="false">
      <c r="A2730" s="5" t="s">
        <v>3379</v>
      </c>
    </row>
    <row r="2731" customFormat="false" ht="12.75" hidden="false" customHeight="true" outlineLevel="0" collapsed="false">
      <c r="A2731" s="5" t="s">
        <v>2536</v>
      </c>
    </row>
    <row r="2732" customFormat="false" ht="12.75" hidden="false" customHeight="true" outlineLevel="0" collapsed="false">
      <c r="A2732" s="5" t="s">
        <v>385</v>
      </c>
    </row>
    <row r="2733" customFormat="false" ht="12.75" hidden="false" customHeight="true" outlineLevel="0" collapsed="false">
      <c r="A2733" s="5" t="s">
        <v>3975</v>
      </c>
    </row>
    <row r="2734" customFormat="false" ht="12.75" hidden="false" customHeight="true" outlineLevel="0" collapsed="false">
      <c r="A2734" s="5" t="s">
        <v>3993</v>
      </c>
    </row>
    <row r="2735" customFormat="false" ht="12.75" hidden="false" customHeight="true" outlineLevel="0" collapsed="false">
      <c r="A2735" s="5" t="s">
        <v>3350</v>
      </c>
    </row>
    <row r="2736" customFormat="false" ht="12.75" hidden="false" customHeight="true" outlineLevel="0" collapsed="false">
      <c r="A2736" s="5" t="s">
        <v>3351</v>
      </c>
    </row>
    <row r="2737" customFormat="false" ht="12.75" hidden="false" customHeight="true" outlineLevel="0" collapsed="false">
      <c r="A2737" s="5" t="s">
        <v>2923</v>
      </c>
    </row>
    <row r="2738" customFormat="false" ht="12.75" hidden="false" customHeight="true" outlineLevel="0" collapsed="false">
      <c r="A2738" s="5" t="s">
        <v>2924</v>
      </c>
    </row>
    <row r="2739" customFormat="false" ht="12.75" hidden="false" customHeight="true" outlineLevel="0" collapsed="false">
      <c r="A2739" s="5" t="s">
        <v>3977</v>
      </c>
    </row>
    <row r="2740" customFormat="false" ht="12.75" hidden="false" customHeight="true" outlineLevel="0" collapsed="false">
      <c r="A2740" s="5" t="s">
        <v>1349</v>
      </c>
    </row>
    <row r="2741" customFormat="false" ht="12.75" hidden="false" customHeight="true" outlineLevel="0" collapsed="false">
      <c r="A2741" s="5" t="s">
        <v>3352</v>
      </c>
    </row>
    <row r="2742" customFormat="false" ht="12.75" hidden="false" customHeight="true" outlineLevel="0" collapsed="false">
      <c r="A2742" s="5" t="s">
        <v>3978</v>
      </c>
    </row>
    <row r="2743" customFormat="false" ht="12.75" hidden="false" customHeight="true" outlineLevel="0" collapsed="false">
      <c r="A2743" s="5" t="s">
        <v>3353</v>
      </c>
    </row>
    <row r="2744" customFormat="false" ht="12.75" hidden="false" customHeight="true" outlineLevel="0" collapsed="false">
      <c r="A2744" s="5" t="s">
        <v>3027</v>
      </c>
    </row>
    <row r="2745" customFormat="false" ht="12.75" hidden="false" customHeight="true" outlineLevel="0" collapsed="false">
      <c r="A2745" s="5" t="s">
        <v>3354</v>
      </c>
    </row>
    <row r="2746" customFormat="false" ht="12.75" hidden="false" customHeight="true" outlineLevel="0" collapsed="false">
      <c r="A2746" s="5" t="s">
        <v>3979</v>
      </c>
    </row>
    <row r="2747" customFormat="false" ht="12.75" hidden="false" customHeight="true" outlineLevel="0" collapsed="false">
      <c r="A2747" s="5" t="s">
        <v>3355</v>
      </c>
    </row>
    <row r="2748" customFormat="false" ht="12.75" hidden="false" customHeight="true" outlineLevel="0" collapsed="false">
      <c r="A2748" s="5" t="s">
        <v>3356</v>
      </c>
    </row>
    <row r="2749" customFormat="false" ht="12.75" hidden="false" customHeight="true" outlineLevel="0" collapsed="false">
      <c r="A2749" s="5" t="s">
        <v>3357</v>
      </c>
    </row>
    <row r="2750" customFormat="false" ht="12.75" hidden="false" customHeight="true" outlineLevel="0" collapsed="false">
      <c r="A2750" s="5" t="s">
        <v>3358</v>
      </c>
    </row>
    <row r="2751" customFormat="false" ht="12.75" hidden="false" customHeight="true" outlineLevel="0" collapsed="false">
      <c r="A2751" s="5" t="s">
        <v>3359</v>
      </c>
    </row>
    <row r="2752" customFormat="false" ht="12.75" hidden="false" customHeight="true" outlineLevel="0" collapsed="false">
      <c r="A2752" s="5" t="s">
        <v>2536</v>
      </c>
    </row>
    <row r="2753" customFormat="false" ht="12.75" hidden="false" customHeight="true" outlineLevel="0" collapsed="false">
      <c r="A2753" s="5" t="s">
        <v>389</v>
      </c>
    </row>
    <row r="2754" customFormat="false" ht="12.75" hidden="false" customHeight="true" outlineLevel="0" collapsed="false">
      <c r="A2754" s="5" t="s">
        <v>3975</v>
      </c>
      <c r="B2754" s="5"/>
      <c r="C2754" s="5"/>
      <c r="D2754" s="5"/>
      <c r="E2754" s="5"/>
      <c r="F2754" s="5"/>
      <c r="G2754" s="5"/>
      <c r="H2754" s="5"/>
      <c r="I2754" s="5"/>
    </row>
    <row r="2755" customFormat="false" ht="12.75" hidden="false" customHeight="true" outlineLevel="0" collapsed="false">
      <c r="A2755" s="5" t="s">
        <v>3993</v>
      </c>
    </row>
    <row r="2756" customFormat="false" ht="12.75" hidden="false" customHeight="true" outlineLevel="0" collapsed="false">
      <c r="A2756" s="5" t="s">
        <v>3428</v>
      </c>
    </row>
    <row r="2757" customFormat="false" ht="12.75" hidden="false" customHeight="true" outlineLevel="0" collapsed="false">
      <c r="A2757" s="5" t="s">
        <v>3024</v>
      </c>
    </row>
    <row r="2758" customFormat="false" ht="12.75" hidden="false" customHeight="true" outlineLevel="0" collapsed="false">
      <c r="A2758" s="5" t="s">
        <v>3429</v>
      </c>
    </row>
    <row r="2759" customFormat="false" ht="12.75" hidden="false" customHeight="true" outlineLevel="0" collapsed="false">
      <c r="A2759" s="5" t="s">
        <v>3449</v>
      </c>
    </row>
    <row r="2760" customFormat="false" ht="12.75" hidden="false" customHeight="true" outlineLevel="0" collapsed="false">
      <c r="A2760" s="5" t="s">
        <v>3977</v>
      </c>
    </row>
    <row r="2761" customFormat="false" ht="12.75" hidden="false" customHeight="true" outlineLevel="0" collapsed="false">
      <c r="A2761" s="5" t="s">
        <v>1349</v>
      </c>
    </row>
    <row r="2762" customFormat="false" ht="12.75" hidden="false" customHeight="true" outlineLevel="0" collapsed="false">
      <c r="A2762" s="5" t="s">
        <v>3352</v>
      </c>
    </row>
    <row r="2763" customFormat="false" ht="12.75" hidden="false" customHeight="true" outlineLevel="0" collapsed="false">
      <c r="A2763" s="5" t="s">
        <v>3978</v>
      </c>
    </row>
    <row r="2764" customFormat="false" ht="12.75" hidden="false" customHeight="true" outlineLevel="0" collapsed="false">
      <c r="A2764" s="5" t="s">
        <v>3430</v>
      </c>
    </row>
    <row r="2765" customFormat="false" ht="12.75" hidden="false" customHeight="true" outlineLevel="0" collapsed="false">
      <c r="A2765" s="5" t="s">
        <v>3450</v>
      </c>
    </row>
    <row r="2766" customFormat="false" ht="12.75" hidden="false" customHeight="true" outlineLevel="0" collapsed="false">
      <c r="A2766" s="5" t="s">
        <v>3451</v>
      </c>
    </row>
    <row r="2767" customFormat="false" ht="12.75" hidden="false" customHeight="true" outlineLevel="0" collapsed="false">
      <c r="A2767" s="5" t="s">
        <v>3979</v>
      </c>
    </row>
    <row r="2768" customFormat="false" ht="12.75" hidden="false" customHeight="true" outlineLevel="0" collapsed="false">
      <c r="A2768" s="5" t="s">
        <v>3026</v>
      </c>
    </row>
    <row r="2769" customFormat="false" ht="12.75" hidden="false" customHeight="true" outlineLevel="0" collapsed="false">
      <c r="A2769" s="5" t="s">
        <v>3356</v>
      </c>
    </row>
    <row r="2770" customFormat="false" ht="12.75" hidden="false" customHeight="true" outlineLevel="0" collapsed="false">
      <c r="A2770" s="5" t="s">
        <v>3452</v>
      </c>
    </row>
    <row r="2771" customFormat="false" ht="12.75" hidden="false" customHeight="true" outlineLevel="0" collapsed="false">
      <c r="A2771" s="5" t="s">
        <v>3453</v>
      </c>
    </row>
    <row r="2772" customFormat="false" ht="12.75" hidden="false" customHeight="true" outlineLevel="0" collapsed="false">
      <c r="A2772" s="5" t="s">
        <v>3454</v>
      </c>
    </row>
    <row r="2773" customFormat="false" ht="12.75" hidden="false" customHeight="true" outlineLevel="0" collapsed="false">
      <c r="A2773" s="5" t="s">
        <v>2536</v>
      </c>
    </row>
    <row r="2774" customFormat="false" ht="12.75" hidden="false" customHeight="true" outlineLevel="0" collapsed="false">
      <c r="A2774" s="5" t="s">
        <v>391</v>
      </c>
    </row>
    <row r="2775" customFormat="false" ht="12.75" hidden="false" customHeight="true" outlineLevel="0" collapsed="false">
      <c r="A2775" s="5" t="s">
        <v>3975</v>
      </c>
    </row>
    <row r="2776" customFormat="false" ht="12.75" hidden="false" customHeight="true" outlineLevel="0" collapsed="false">
      <c r="A2776" s="5" t="s">
        <v>3996</v>
      </c>
    </row>
    <row r="2777" customFormat="false" ht="12.75" hidden="false" customHeight="true" outlineLevel="0" collapsed="false">
      <c r="A2777" s="5" t="s">
        <v>3374</v>
      </c>
    </row>
    <row r="2778" customFormat="false" ht="12.75" hidden="false" customHeight="true" outlineLevel="0" collapsed="false">
      <c r="A2778" s="5" t="s">
        <v>3617</v>
      </c>
    </row>
    <row r="2779" customFormat="false" ht="12.75" hidden="false" customHeight="true" outlineLevel="0" collapsed="false">
      <c r="A2779" s="5" t="s">
        <v>2923</v>
      </c>
    </row>
    <row r="2780" customFormat="false" ht="12.75" hidden="false" customHeight="true" outlineLevel="0" collapsed="false">
      <c r="A2780" s="5" t="s">
        <v>3618</v>
      </c>
    </row>
    <row r="2781" customFormat="false" ht="12.75" hidden="false" customHeight="true" outlineLevel="0" collapsed="false">
      <c r="A2781" s="5" t="s">
        <v>3977</v>
      </c>
    </row>
    <row r="2782" customFormat="false" ht="12.75" hidden="false" customHeight="true" outlineLevel="0" collapsed="false">
      <c r="A2782" s="5" t="s">
        <v>1349</v>
      </c>
    </row>
    <row r="2783" customFormat="false" ht="12.75" hidden="false" customHeight="true" outlineLevel="0" collapsed="false">
      <c r="A2783" s="5" t="s">
        <v>3619</v>
      </c>
    </row>
    <row r="2784" customFormat="false" ht="12.75" hidden="false" customHeight="true" outlineLevel="0" collapsed="false">
      <c r="A2784" s="5" t="s">
        <v>3978</v>
      </c>
    </row>
    <row r="2785" customFormat="false" ht="12.75" hidden="false" customHeight="true" outlineLevel="0" collapsed="false">
      <c r="A2785" s="5" t="s">
        <v>3559</v>
      </c>
    </row>
    <row r="2786" customFormat="false" ht="12.75" hidden="false" customHeight="true" outlineLevel="0" collapsed="false">
      <c r="A2786" s="5" t="s">
        <v>3560</v>
      </c>
    </row>
    <row r="2787" customFormat="false" ht="12.75" hidden="false" customHeight="true" outlineLevel="0" collapsed="false">
      <c r="A2787" s="5" t="s">
        <v>3620</v>
      </c>
    </row>
    <row r="2788" customFormat="false" ht="12.75" hidden="false" customHeight="true" outlineLevel="0" collapsed="false">
      <c r="A2788" s="5" t="s">
        <v>3979</v>
      </c>
    </row>
    <row r="2789" customFormat="false" ht="12.75" hidden="false" customHeight="true" outlineLevel="0" collapsed="false">
      <c r="A2789" s="5" t="s">
        <v>3356</v>
      </c>
    </row>
    <row r="2790" customFormat="false" ht="12.75" hidden="false" customHeight="true" outlineLevel="0" collapsed="false">
      <c r="A2790" s="5" t="s">
        <v>3621</v>
      </c>
    </row>
    <row r="2791" customFormat="false" ht="12.75" hidden="false" customHeight="true" outlineLevel="0" collapsed="false">
      <c r="A2791" s="5" t="s">
        <v>3622</v>
      </c>
    </row>
    <row r="2792" customFormat="false" ht="12.75" hidden="false" customHeight="true" outlineLevel="0" collapsed="false">
      <c r="A2792" s="5" t="s">
        <v>3623</v>
      </c>
    </row>
    <row r="2793" customFormat="false" ht="12.75" hidden="false" customHeight="true" outlineLevel="0" collapsed="false">
      <c r="A2793" s="5" t="s">
        <v>3624</v>
      </c>
    </row>
    <row r="2794" customFormat="false" ht="12.75" hidden="false" customHeight="true" outlineLevel="0" collapsed="false">
      <c r="A2794" s="5" t="s">
        <v>2536</v>
      </c>
    </row>
    <row r="2795" customFormat="false" ht="12.75" hidden="false" customHeight="true" outlineLevel="0" collapsed="false">
      <c r="A2795" s="5" t="s">
        <v>393</v>
      </c>
    </row>
    <row r="2796" customFormat="false" ht="12.75" hidden="false" customHeight="true" outlineLevel="0" collapsed="false">
      <c r="A2796" s="5" t="s">
        <v>3975</v>
      </c>
    </row>
    <row r="2797" customFormat="false" ht="12.75" hidden="false" customHeight="true" outlineLevel="0" collapsed="false">
      <c r="A2797" s="5" t="s">
        <v>3993</v>
      </c>
    </row>
    <row r="2798" customFormat="false" ht="12.75" hidden="false" customHeight="true" outlineLevel="0" collapsed="false">
      <c r="A2798" s="5" t="s">
        <v>3350</v>
      </c>
    </row>
    <row r="2799" customFormat="false" ht="12.75" hidden="false" customHeight="true" outlineLevel="0" collapsed="false">
      <c r="A2799" s="5" t="s">
        <v>3351</v>
      </c>
    </row>
    <row r="2800" customFormat="false" ht="12.75" hidden="false" customHeight="true" outlineLevel="0" collapsed="false">
      <c r="A2800" s="5" t="s">
        <v>2923</v>
      </c>
    </row>
    <row r="2801" customFormat="false" ht="12.75" hidden="false" customHeight="true" outlineLevel="0" collapsed="false">
      <c r="A2801" s="5" t="s">
        <v>2924</v>
      </c>
    </row>
    <row r="2802" customFormat="false" ht="12.75" hidden="false" customHeight="true" outlineLevel="0" collapsed="false">
      <c r="A2802" s="5" t="s">
        <v>3977</v>
      </c>
    </row>
    <row r="2803" customFormat="false" ht="12.75" hidden="false" customHeight="true" outlineLevel="0" collapsed="false">
      <c r="A2803" s="5" t="s">
        <v>2114</v>
      </c>
    </row>
    <row r="2804" customFormat="false" ht="12.75" hidden="false" customHeight="true" outlineLevel="0" collapsed="false">
      <c r="A2804" s="5" t="s">
        <v>2926</v>
      </c>
    </row>
    <row r="2805" customFormat="false" ht="12.75" hidden="false" customHeight="true" outlineLevel="0" collapsed="false">
      <c r="A2805" s="5" t="s">
        <v>3978</v>
      </c>
    </row>
    <row r="2806" customFormat="false" ht="12.75" hidden="false" customHeight="true" outlineLevel="0" collapsed="false">
      <c r="A2806" s="5" t="s">
        <v>3626</v>
      </c>
    </row>
    <row r="2807" customFormat="false" ht="12.75" hidden="false" customHeight="true" outlineLevel="0" collapsed="false">
      <c r="A2807" s="5" t="s">
        <v>2928</v>
      </c>
    </row>
    <row r="2808" customFormat="false" ht="12.75" hidden="false" customHeight="true" outlineLevel="0" collapsed="false">
      <c r="A2808" s="5" t="s">
        <v>2929</v>
      </c>
    </row>
    <row r="2809" customFormat="false" ht="12.75" hidden="false" customHeight="true" outlineLevel="0" collapsed="false">
      <c r="A2809" s="5" t="s">
        <v>3979</v>
      </c>
    </row>
    <row r="2810" customFormat="false" ht="12.75" hidden="false" customHeight="true" outlineLevel="0" collapsed="false">
      <c r="A2810" s="5" t="s">
        <v>2930</v>
      </c>
    </row>
    <row r="2811" customFormat="false" ht="12.75" hidden="false" customHeight="true" outlineLevel="0" collapsed="false">
      <c r="A2811" s="5" t="s">
        <v>3627</v>
      </c>
    </row>
    <row r="2812" customFormat="false" ht="12.75" hidden="false" customHeight="true" outlineLevel="0" collapsed="false">
      <c r="A2812" s="5" t="s">
        <v>3628</v>
      </c>
    </row>
    <row r="2813" customFormat="false" ht="12.75" hidden="false" customHeight="true" outlineLevel="0" collapsed="false">
      <c r="A2813" s="5" t="s">
        <v>3378</v>
      </c>
    </row>
    <row r="2814" customFormat="false" ht="12.75" hidden="false" customHeight="true" outlineLevel="0" collapsed="false">
      <c r="A2814" s="5" t="s">
        <v>3629</v>
      </c>
    </row>
    <row r="2815" customFormat="false" ht="12.75" hidden="false" customHeight="true" outlineLevel="0" collapsed="false">
      <c r="A2815" s="5" t="s">
        <v>2536</v>
      </c>
    </row>
    <row r="2816" customFormat="false" ht="12.75" hidden="false" customHeight="true" outlineLevel="0" collapsed="false">
      <c r="A2816" s="5" t="s">
        <v>395</v>
      </c>
    </row>
    <row r="2817" customFormat="false" ht="12.75" hidden="false" customHeight="true" outlineLevel="0" collapsed="false">
      <c r="A2817" s="5" t="s">
        <v>3975</v>
      </c>
    </row>
    <row r="2818" customFormat="false" ht="12.75" hidden="false" customHeight="true" outlineLevel="0" collapsed="false">
      <c r="A2818" s="5" t="s">
        <v>3008</v>
      </c>
    </row>
    <row r="2819" customFormat="false" ht="12.75" hidden="false" customHeight="true" outlineLevel="0" collapsed="false">
      <c r="A2819" s="5" t="s">
        <v>3024</v>
      </c>
    </row>
    <row r="2820" customFormat="false" ht="12.75" hidden="false" customHeight="true" outlineLevel="0" collapsed="false">
      <c r="A2820" s="5" t="s">
        <v>3013</v>
      </c>
    </row>
    <row r="2821" customFormat="false" ht="12.75" hidden="false" customHeight="true" outlineLevel="0" collapsed="false">
      <c r="A2821" s="5" t="s">
        <v>3632</v>
      </c>
    </row>
    <row r="2822" customFormat="false" ht="12.75" hidden="false" customHeight="true" outlineLevel="0" collapsed="false">
      <c r="A2822" s="5" t="s">
        <v>3633</v>
      </c>
    </row>
    <row r="2823" customFormat="false" ht="12.75" hidden="false" customHeight="true" outlineLevel="0" collapsed="false">
      <c r="A2823" s="5" t="s">
        <v>3977</v>
      </c>
    </row>
    <row r="2824" customFormat="false" ht="12.75" hidden="false" customHeight="true" outlineLevel="0" collapsed="false">
      <c r="A2824" s="5" t="s">
        <v>2122</v>
      </c>
    </row>
    <row r="2825" customFormat="false" ht="12.75" hidden="false" customHeight="true" outlineLevel="0" collapsed="false">
      <c r="A2825" s="5" t="s">
        <v>3634</v>
      </c>
    </row>
    <row r="2826" customFormat="false" ht="12.75" hidden="false" customHeight="true" outlineLevel="0" collapsed="false">
      <c r="A2826" s="5" t="s">
        <v>3978</v>
      </c>
    </row>
    <row r="2827" customFormat="false" ht="12.75" hidden="false" customHeight="true" outlineLevel="0" collapsed="false">
      <c r="A2827" s="5" t="s">
        <v>3635</v>
      </c>
    </row>
    <row r="2828" customFormat="false" ht="12.75" hidden="false" customHeight="true" outlineLevel="0" collapsed="false">
      <c r="A2828" s="5" t="s">
        <v>3636</v>
      </c>
    </row>
    <row r="2829" customFormat="false" ht="12.75" hidden="false" customHeight="true" outlineLevel="0" collapsed="false">
      <c r="A2829" s="5" t="s">
        <v>3637</v>
      </c>
    </row>
    <row r="2830" customFormat="false" ht="12.75" hidden="false" customHeight="true" outlineLevel="0" collapsed="false">
      <c r="A2830" s="5" t="s">
        <v>3979</v>
      </c>
    </row>
    <row r="2831" customFormat="false" ht="12.75" hidden="false" customHeight="true" outlineLevel="0" collapsed="false">
      <c r="A2831" s="5" t="s">
        <v>3638</v>
      </c>
    </row>
    <row r="2832" customFormat="false" ht="12.75" hidden="false" customHeight="true" outlineLevel="0" collapsed="false">
      <c r="A2832" s="5" t="s">
        <v>3639</v>
      </c>
    </row>
    <row r="2833" customFormat="false" ht="12.75" hidden="false" customHeight="true" outlineLevel="0" collapsed="false">
      <c r="A2833" s="5" t="s">
        <v>3640</v>
      </c>
    </row>
    <row r="2834" customFormat="false" ht="12.75" hidden="false" customHeight="true" outlineLevel="0" collapsed="false">
      <c r="A2834" s="5" t="s">
        <v>3641</v>
      </c>
    </row>
    <row r="2835" customFormat="false" ht="12.75" hidden="false" customHeight="true" outlineLevel="0" collapsed="false">
      <c r="A2835" s="5" t="s">
        <v>3642</v>
      </c>
    </row>
    <row r="2836" customFormat="false" ht="12.75" hidden="false" customHeight="true" outlineLevel="0" collapsed="false">
      <c r="A2836" s="5" t="s">
        <v>2536</v>
      </c>
    </row>
    <row r="2837" customFormat="false" ht="12.75" hidden="false" customHeight="true" outlineLevel="0" collapsed="false">
      <c r="A2837" s="5" t="s">
        <v>403</v>
      </c>
    </row>
    <row r="2838" customFormat="false" ht="12.75" hidden="false" customHeight="true" outlineLevel="0" collapsed="false">
      <c r="A2838" s="5" t="s">
        <v>3975</v>
      </c>
    </row>
    <row r="2839" customFormat="false" ht="12.75" hidden="false" customHeight="true" outlineLevel="0" collapsed="false">
      <c r="A2839" s="5" t="s">
        <v>3989</v>
      </c>
    </row>
    <row r="2840" customFormat="false" ht="12.75" hidden="false" customHeight="true" outlineLevel="0" collapsed="false">
      <c r="A2840" s="5" t="s">
        <v>3173</v>
      </c>
    </row>
    <row r="2841" customFormat="false" ht="12.75" hidden="false" customHeight="true" outlineLevel="0" collapsed="false">
      <c r="A2841" s="5" t="s">
        <v>2844</v>
      </c>
    </row>
    <row r="2842" customFormat="false" ht="12.75" hidden="false" customHeight="true" outlineLevel="0" collapsed="false">
      <c r="A2842" s="5" t="s">
        <v>3231</v>
      </c>
    </row>
    <row r="2843" customFormat="false" ht="12.75" hidden="false" customHeight="true" outlineLevel="0" collapsed="false">
      <c r="A2843" s="5" t="s">
        <v>3231</v>
      </c>
    </row>
    <row r="2844" customFormat="false" ht="12.75" hidden="false" customHeight="true" outlineLevel="0" collapsed="false">
      <c r="A2844" s="5" t="s">
        <v>3977</v>
      </c>
    </row>
    <row r="2845" customFormat="false" ht="12.75" hidden="false" customHeight="true" outlineLevel="0" collapsed="false">
      <c r="A2845" s="5" t="s">
        <v>1266</v>
      </c>
    </row>
    <row r="2846" customFormat="false" ht="12.75" hidden="false" customHeight="true" outlineLevel="0" collapsed="false">
      <c r="A2846" s="5" t="s">
        <v>1266</v>
      </c>
    </row>
    <row r="2847" customFormat="false" ht="12.75" hidden="false" customHeight="true" outlineLevel="0" collapsed="false">
      <c r="A2847" s="5" t="s">
        <v>3978</v>
      </c>
    </row>
    <row r="2848" customFormat="false" ht="12.75" hidden="false" customHeight="true" outlineLevel="0" collapsed="false">
      <c r="A2848" s="5" t="s">
        <v>2847</v>
      </c>
    </row>
    <row r="2849" customFormat="false" ht="12.75" hidden="false" customHeight="true" outlineLevel="0" collapsed="false">
      <c r="A2849" s="5" t="s">
        <v>2848</v>
      </c>
    </row>
    <row r="2850" customFormat="false" ht="12.75" hidden="false" customHeight="true" outlineLevel="0" collapsed="false">
      <c r="A2850" s="5" t="s">
        <v>2847</v>
      </c>
    </row>
    <row r="2851" customFormat="false" ht="12.75" hidden="false" customHeight="true" outlineLevel="0" collapsed="false">
      <c r="A2851" s="5" t="s">
        <v>3979</v>
      </c>
    </row>
    <row r="2852" customFormat="false" ht="12.75" hidden="false" customHeight="true" outlineLevel="0" collapsed="false">
      <c r="A2852" s="5" t="s">
        <v>2851</v>
      </c>
    </row>
    <row r="2853" customFormat="false" ht="12.75" hidden="false" customHeight="true" outlineLevel="0" collapsed="false">
      <c r="A2853" s="5" t="s">
        <v>2852</v>
      </c>
    </row>
    <row r="2854" customFormat="false" ht="12.75" hidden="false" customHeight="true" outlineLevel="0" collapsed="false">
      <c r="A2854" s="5" t="s">
        <v>2853</v>
      </c>
    </row>
    <row r="2855" customFormat="false" ht="12.75" hidden="false" customHeight="true" outlineLevel="0" collapsed="false">
      <c r="A2855" s="5" t="s">
        <v>3177</v>
      </c>
    </row>
    <row r="2856" customFormat="false" ht="12.75" hidden="false" customHeight="true" outlineLevel="0" collapsed="false">
      <c r="A2856" s="5" t="s">
        <v>2855</v>
      </c>
    </row>
    <row r="2857" customFormat="false" ht="12.75" hidden="false" customHeight="true" outlineLevel="0" collapsed="false">
      <c r="A2857" s="5" t="s">
        <v>2536</v>
      </c>
    </row>
    <row r="2858" customFormat="false" ht="12.75" hidden="false" customHeight="true" outlineLevel="0" collapsed="false">
      <c r="A2858" s="5" t="s">
        <v>409</v>
      </c>
    </row>
    <row r="2859" customFormat="false" ht="12.75" hidden="false" customHeight="true" outlineLevel="0" collapsed="false">
      <c r="A2859" s="5" t="s">
        <v>3980</v>
      </c>
    </row>
    <row r="2860" customFormat="false" ht="12.75" hidden="false" customHeight="true" outlineLevel="0" collapsed="false">
      <c r="A2860" s="5" t="s">
        <v>3160</v>
      </c>
    </row>
    <row r="2861" customFormat="false" ht="12.75" hidden="false" customHeight="true" outlineLevel="0" collapsed="false">
      <c r="A2861" s="5" t="s">
        <v>3158</v>
      </c>
    </row>
    <row r="2862" customFormat="false" ht="12.75" hidden="false" customHeight="true" outlineLevel="0" collapsed="false">
      <c r="A2862" s="5" t="s">
        <v>3293</v>
      </c>
    </row>
    <row r="2863" customFormat="false" ht="12.75" hidden="false" customHeight="true" outlineLevel="0" collapsed="false">
      <c r="A2863" s="5" t="s">
        <v>3293</v>
      </c>
    </row>
    <row r="2864" customFormat="false" ht="12.75" hidden="false" customHeight="true" outlineLevel="0" collapsed="false">
      <c r="A2864" s="5" t="s">
        <v>3293</v>
      </c>
    </row>
    <row r="2865" customFormat="false" ht="12.75" hidden="false" customHeight="true" outlineLevel="0" collapsed="false">
      <c r="A2865" s="5" t="s">
        <v>3977</v>
      </c>
    </row>
    <row r="2866" customFormat="false" ht="12.75" hidden="false" customHeight="true" outlineLevel="0" collapsed="false">
      <c r="A2866" s="5" t="s">
        <v>1266</v>
      </c>
    </row>
    <row r="2867" customFormat="false" ht="12.75" hidden="false" customHeight="true" outlineLevel="0" collapsed="false">
      <c r="A2867" s="5" t="s">
        <v>1266</v>
      </c>
    </row>
    <row r="2868" customFormat="false" ht="12.75" hidden="false" customHeight="true" outlineLevel="0" collapsed="false">
      <c r="A2868" s="5" t="s">
        <v>3978</v>
      </c>
    </row>
    <row r="2869" customFormat="false" ht="12.75" hidden="false" customHeight="true" outlineLevel="0" collapsed="false">
      <c r="A2869" s="5" t="s">
        <v>3143</v>
      </c>
    </row>
    <row r="2870" customFormat="false" ht="12.75" hidden="false" customHeight="true" outlineLevel="0" collapsed="false">
      <c r="A2870" s="5" t="s">
        <v>2848</v>
      </c>
    </row>
    <row r="2871" customFormat="false" ht="12.75" hidden="false" customHeight="true" outlineLevel="0" collapsed="false">
      <c r="A2871" s="5" t="s">
        <v>3142</v>
      </c>
    </row>
    <row r="2872" customFormat="false" ht="12.75" hidden="false" customHeight="true" outlineLevel="0" collapsed="false">
      <c r="A2872" s="5" t="s">
        <v>3979</v>
      </c>
    </row>
    <row r="2873" customFormat="false" ht="12.75" hidden="false" customHeight="true" outlineLevel="0" collapsed="false">
      <c r="A2873" s="5" t="s">
        <v>3161</v>
      </c>
    </row>
    <row r="2874" customFormat="false" ht="12.75" hidden="false" customHeight="true" outlineLevel="0" collapsed="false">
      <c r="A2874" s="5" t="s">
        <v>3162</v>
      </c>
    </row>
    <row r="2875" customFormat="false" ht="12.75" hidden="false" customHeight="true" outlineLevel="0" collapsed="false">
      <c r="A2875" s="5" t="s">
        <v>2853</v>
      </c>
    </row>
    <row r="2876" customFormat="false" ht="12.75" hidden="false" customHeight="true" outlineLevel="0" collapsed="false">
      <c r="A2876" s="5" t="s">
        <v>3146</v>
      </c>
    </row>
    <row r="2877" customFormat="false" ht="12.75" hidden="false" customHeight="true" outlineLevel="0" collapsed="false">
      <c r="A2877" s="5" t="s">
        <v>2855</v>
      </c>
    </row>
    <row r="2878" customFormat="false" ht="12.75" hidden="false" customHeight="true" outlineLevel="0" collapsed="false">
      <c r="A2878" s="5" t="s">
        <v>2536</v>
      </c>
    </row>
    <row r="2879" customFormat="false" ht="12.75" hidden="false" customHeight="true" outlineLevel="0" collapsed="false">
      <c r="A2879" s="5" t="s">
        <v>411</v>
      </c>
    </row>
    <row r="2880" customFormat="false" ht="12.75" hidden="false" customHeight="true" outlineLevel="0" collapsed="false">
      <c r="A2880" s="5" t="s">
        <v>3975</v>
      </c>
    </row>
    <row r="2881" customFormat="false" ht="12.75" hidden="false" customHeight="true" outlineLevel="0" collapsed="false">
      <c r="A2881" s="5" t="s">
        <v>3991</v>
      </c>
    </row>
    <row r="2882" customFormat="false" ht="12.75" hidden="false" customHeight="true" outlineLevel="0" collapsed="false">
      <c r="A2882" s="5" t="s">
        <v>3257</v>
      </c>
    </row>
    <row r="2883" customFormat="false" ht="12.75" hidden="false" customHeight="true" outlineLevel="0" collapsed="false">
      <c r="A2883" s="5" t="s">
        <v>2844</v>
      </c>
    </row>
    <row r="2884" customFormat="false" ht="12.75" hidden="false" customHeight="true" outlineLevel="0" collapsed="false">
      <c r="A2884" s="5" t="s">
        <v>3231</v>
      </c>
    </row>
    <row r="2885" customFormat="false" ht="12.75" hidden="false" customHeight="true" outlineLevel="0" collapsed="false">
      <c r="A2885" s="5" t="s">
        <v>3231</v>
      </c>
    </row>
    <row r="2886" customFormat="false" ht="12.75" hidden="false" customHeight="true" outlineLevel="0" collapsed="false">
      <c r="A2886" s="5" t="s">
        <v>3977</v>
      </c>
    </row>
    <row r="2887" customFormat="false" ht="12.75" hidden="false" customHeight="true" outlineLevel="0" collapsed="false">
      <c r="A2887" s="5" t="s">
        <v>1266</v>
      </c>
    </row>
    <row r="2888" customFormat="false" ht="12.75" hidden="false" customHeight="true" outlineLevel="0" collapsed="false">
      <c r="A2888" s="5" t="s">
        <v>1266</v>
      </c>
    </row>
    <row r="2889" customFormat="false" ht="12.75" hidden="false" customHeight="true" outlineLevel="0" collapsed="false">
      <c r="A2889" s="5" t="s">
        <v>3978</v>
      </c>
    </row>
    <row r="2890" customFormat="false" ht="12.75" hidden="false" customHeight="true" outlineLevel="0" collapsed="false">
      <c r="A2890" s="5" t="s">
        <v>2847</v>
      </c>
    </row>
    <row r="2891" customFormat="false" ht="12.75" hidden="false" customHeight="true" outlineLevel="0" collapsed="false">
      <c r="A2891" s="5" t="s">
        <v>2848</v>
      </c>
    </row>
    <row r="2892" customFormat="false" ht="12.75" hidden="false" customHeight="true" outlineLevel="0" collapsed="false">
      <c r="A2892" s="5" t="s">
        <v>2847</v>
      </c>
    </row>
    <row r="2893" customFormat="false" ht="12.75" hidden="false" customHeight="true" outlineLevel="0" collapsed="false">
      <c r="A2893" s="5" t="s">
        <v>3979</v>
      </c>
    </row>
    <row r="2894" customFormat="false" ht="12.75" hidden="false" customHeight="true" outlineLevel="0" collapsed="false">
      <c r="A2894" s="5" t="s">
        <v>2851</v>
      </c>
    </row>
    <row r="2895" customFormat="false" ht="12.75" hidden="false" customHeight="true" outlineLevel="0" collapsed="false">
      <c r="A2895" s="5" t="s">
        <v>2852</v>
      </c>
    </row>
    <row r="2896" customFormat="false" ht="12.75" hidden="false" customHeight="true" outlineLevel="0" collapsed="false">
      <c r="A2896" s="5" t="s">
        <v>2853</v>
      </c>
    </row>
    <row r="2897" customFormat="false" ht="12.75" hidden="false" customHeight="true" outlineLevel="0" collapsed="false">
      <c r="A2897" s="5" t="s">
        <v>3177</v>
      </c>
    </row>
    <row r="2898" customFormat="false" ht="12.75" hidden="false" customHeight="true" outlineLevel="0" collapsed="false">
      <c r="A2898" s="5" t="s">
        <v>2855</v>
      </c>
    </row>
    <row r="2899" customFormat="false" ht="12.75" hidden="false" customHeight="true" outlineLevel="0" collapsed="false">
      <c r="A2899" s="5" t="s">
        <v>2536</v>
      </c>
    </row>
    <row r="2900" customFormat="false" ht="12.75" hidden="false" customHeight="true" outlineLevel="0" collapsed="false">
      <c r="A2900" s="5" t="s">
        <v>257</v>
      </c>
    </row>
    <row r="2901" customFormat="false" ht="12.75" hidden="false" customHeight="true" outlineLevel="0" collapsed="false">
      <c r="A2901" s="5" t="n">
        <v>0.2</v>
      </c>
    </row>
    <row r="2902" customFormat="false" ht="12.75" hidden="false" customHeight="true" outlineLevel="0" collapsed="false">
      <c r="A2902" s="5" t="s">
        <v>2138</v>
      </c>
    </row>
    <row r="2903" customFormat="false" ht="12.75" hidden="false" customHeight="true" outlineLevel="0" collapsed="false">
      <c r="A2903" s="5" t="s">
        <v>3650</v>
      </c>
    </row>
    <row r="2904" customFormat="false" ht="12.75" hidden="false" customHeight="true" outlineLevel="0" collapsed="false">
      <c r="A2904" s="5" t="n">
        <v>0.1</v>
      </c>
    </row>
    <row r="2905" customFormat="false" ht="12.75" hidden="false" customHeight="true" outlineLevel="0" collapsed="false">
      <c r="A2905" s="5" t="s">
        <v>3651</v>
      </c>
    </row>
    <row r="2906" customFormat="false" ht="12.75" hidden="false" customHeight="true" outlineLevel="0" collapsed="false">
      <c r="A2906" s="5" t="s">
        <v>3652</v>
      </c>
    </row>
    <row r="2907" customFormat="false" ht="12.75" hidden="false" customHeight="true" outlineLevel="0" collapsed="false">
      <c r="A2907" s="5" t="s">
        <v>2138</v>
      </c>
    </row>
    <row r="2908" customFormat="false" ht="12.75" hidden="false" customHeight="true" outlineLevel="0" collapsed="false">
      <c r="A2908" s="5" t="s">
        <v>3650</v>
      </c>
    </row>
    <row r="2909" customFormat="false" ht="12.75" hidden="false" customHeight="true" outlineLevel="0" collapsed="false">
      <c r="A2909" s="5" t="n">
        <v>0.05</v>
      </c>
    </row>
    <row r="2910" customFormat="false" ht="12.75" hidden="false" customHeight="true" outlineLevel="0" collapsed="false">
      <c r="A2910" s="5" t="s">
        <v>3653</v>
      </c>
    </row>
    <row r="2911" customFormat="false" ht="12.75" hidden="false" customHeight="true" outlineLevel="0" collapsed="false">
      <c r="A2911" s="5" t="s">
        <v>3654</v>
      </c>
    </row>
    <row r="2912" customFormat="false" ht="12.75" hidden="false" customHeight="true" outlineLevel="0" collapsed="false">
      <c r="A2912" s="5" t="n">
        <v>0.04</v>
      </c>
    </row>
    <row r="2913" customFormat="false" ht="12.75" hidden="false" customHeight="true" outlineLevel="0" collapsed="false">
      <c r="A2913" s="5" t="s">
        <v>3651</v>
      </c>
    </row>
    <row r="2914" customFormat="false" ht="12.75" hidden="false" customHeight="true" outlineLevel="0" collapsed="false">
      <c r="A2914" s="5" t="s">
        <v>3652</v>
      </c>
    </row>
    <row r="2915" customFormat="false" ht="12.75" hidden="false" customHeight="true" outlineLevel="0" collapsed="false">
      <c r="A2915" s="5" t="n">
        <v>0.01</v>
      </c>
    </row>
    <row r="2916" customFormat="false" ht="12.75" hidden="false" customHeight="true" outlineLevel="0" collapsed="false">
      <c r="A2916" s="5" t="s">
        <v>3651</v>
      </c>
    </row>
    <row r="2917" customFormat="false" ht="12.75" hidden="false" customHeight="true" outlineLevel="0" collapsed="false">
      <c r="A2917" s="5" t="s">
        <v>3652</v>
      </c>
    </row>
    <row r="2918" customFormat="false" ht="12.75" hidden="false" customHeight="true" outlineLevel="0" collapsed="false">
      <c r="A2918" s="5" t="s">
        <v>2536</v>
      </c>
    </row>
    <row r="2919" customFormat="false" ht="12.75" hidden="false" customHeight="true" outlineLevel="0" collapsed="false">
      <c r="A2919" s="5" t="s">
        <v>257</v>
      </c>
    </row>
    <row r="2920" customFormat="false" ht="12.75" hidden="false" customHeight="true" outlineLevel="0" collapsed="false">
      <c r="A2920" s="5" t="n">
        <v>0.2</v>
      </c>
    </row>
    <row r="2921" customFormat="false" ht="12.75" hidden="false" customHeight="true" outlineLevel="0" collapsed="false">
      <c r="A2921" s="5" t="s">
        <v>2146</v>
      </c>
    </row>
    <row r="2922" customFormat="false" ht="12.75" hidden="false" customHeight="true" outlineLevel="0" collapsed="false">
      <c r="A2922" s="5" t="s">
        <v>3656</v>
      </c>
    </row>
    <row r="2923" customFormat="false" ht="12.75" hidden="false" customHeight="true" outlineLevel="0" collapsed="false">
      <c r="A2923" s="5" t="n">
        <v>0.1</v>
      </c>
    </row>
    <row r="2924" customFormat="false" ht="12.75" hidden="false" customHeight="true" outlineLevel="0" collapsed="false">
      <c r="A2924" s="5" t="s">
        <v>3657</v>
      </c>
    </row>
    <row r="2925" customFormat="false" ht="12.75" hidden="false" customHeight="true" outlineLevel="0" collapsed="false">
      <c r="A2925" s="5" t="s">
        <v>3658</v>
      </c>
    </row>
    <row r="2926" customFormat="false" ht="12.75" hidden="false" customHeight="true" outlineLevel="0" collapsed="false">
      <c r="A2926" s="5" t="s">
        <v>2146</v>
      </c>
    </row>
    <row r="2927" customFormat="false" ht="12.75" hidden="false" customHeight="true" outlineLevel="0" collapsed="false">
      <c r="A2927" s="5" t="s">
        <v>3656</v>
      </c>
    </row>
    <row r="2928" customFormat="false" ht="12.75" hidden="false" customHeight="true" outlineLevel="0" collapsed="false">
      <c r="A2928" s="5" t="n">
        <v>0.05</v>
      </c>
    </row>
    <row r="2929" customFormat="false" ht="12.75" hidden="false" customHeight="true" outlineLevel="0" collapsed="false">
      <c r="A2929" s="5" t="s">
        <v>3659</v>
      </c>
    </row>
    <row r="2930" customFormat="false" ht="12.75" hidden="false" customHeight="true" outlineLevel="0" collapsed="false">
      <c r="A2930" s="5" t="s">
        <v>3660</v>
      </c>
    </row>
    <row r="2931" customFormat="false" ht="12.75" hidden="false" customHeight="true" outlineLevel="0" collapsed="false">
      <c r="A2931" s="5" t="n">
        <v>0.04</v>
      </c>
    </row>
    <row r="2932" customFormat="false" ht="12.75" hidden="false" customHeight="true" outlineLevel="0" collapsed="false">
      <c r="A2932" s="5" t="s">
        <v>3657</v>
      </c>
    </row>
    <row r="2933" customFormat="false" ht="12.75" hidden="false" customHeight="true" outlineLevel="0" collapsed="false">
      <c r="A2933" s="5" t="s">
        <v>3658</v>
      </c>
    </row>
    <row r="2934" customFormat="false" ht="12.75" hidden="false" customHeight="true" outlineLevel="0" collapsed="false">
      <c r="A2934" s="5" t="n">
        <v>0.01</v>
      </c>
    </row>
    <row r="2935" customFormat="false" ht="12.75" hidden="false" customHeight="true" outlineLevel="0" collapsed="false">
      <c r="A2935" s="5" t="s">
        <v>3657</v>
      </c>
    </row>
    <row r="2936" customFormat="false" ht="12.75" hidden="false" customHeight="true" outlineLevel="0" collapsed="false">
      <c r="A2936" s="5" t="s">
        <v>3658</v>
      </c>
    </row>
    <row r="2937" customFormat="false" ht="12.75" hidden="false" customHeight="true" outlineLevel="0" collapsed="false">
      <c r="A2937" s="5" t="s">
        <v>2536</v>
      </c>
    </row>
    <row r="2938" customFormat="false" ht="12.75" hidden="false" customHeight="true" outlineLevel="0" collapsed="false">
      <c r="A2938" s="5" t="s">
        <v>257</v>
      </c>
    </row>
    <row r="2939" customFormat="false" ht="12.75" hidden="false" customHeight="true" outlineLevel="0" collapsed="false">
      <c r="A2939" s="5" t="n">
        <v>0.2</v>
      </c>
    </row>
    <row r="2940" customFormat="false" ht="12.75" hidden="false" customHeight="true" outlineLevel="0" collapsed="false">
      <c r="A2940" s="5" t="s">
        <v>2154</v>
      </c>
    </row>
    <row r="2941" customFormat="false" ht="12.75" hidden="false" customHeight="true" outlineLevel="0" collapsed="false">
      <c r="A2941" s="5" t="s">
        <v>3662</v>
      </c>
    </row>
    <row r="2942" customFormat="false" ht="12.75" hidden="false" customHeight="true" outlineLevel="0" collapsed="false">
      <c r="A2942" s="5" t="n">
        <v>0.1</v>
      </c>
    </row>
    <row r="2943" customFormat="false" ht="12.75" hidden="false" customHeight="true" outlineLevel="0" collapsed="false">
      <c r="A2943" s="5" t="s">
        <v>3663</v>
      </c>
    </row>
    <row r="2944" customFormat="false" ht="12.75" hidden="false" customHeight="true" outlineLevel="0" collapsed="false">
      <c r="A2944" s="5" t="s">
        <v>3664</v>
      </c>
    </row>
    <row r="2945" customFormat="false" ht="12.75" hidden="false" customHeight="true" outlineLevel="0" collapsed="false">
      <c r="A2945" s="5" t="s">
        <v>2154</v>
      </c>
    </row>
    <row r="2946" customFormat="false" ht="12.75" hidden="false" customHeight="true" outlineLevel="0" collapsed="false">
      <c r="A2946" s="5" t="s">
        <v>3662</v>
      </c>
    </row>
    <row r="2947" customFormat="false" ht="12.75" hidden="false" customHeight="true" outlineLevel="0" collapsed="false">
      <c r="A2947" s="5" t="n">
        <v>0.05</v>
      </c>
    </row>
    <row r="2948" customFormat="false" ht="12.75" hidden="false" customHeight="true" outlineLevel="0" collapsed="false">
      <c r="A2948" s="5" t="s">
        <v>3665</v>
      </c>
    </row>
    <row r="2949" customFormat="false" ht="12.75" hidden="false" customHeight="true" outlineLevel="0" collapsed="false">
      <c r="A2949" s="5" t="s">
        <v>3666</v>
      </c>
    </row>
    <row r="2950" customFormat="false" ht="12.75" hidden="false" customHeight="true" outlineLevel="0" collapsed="false">
      <c r="A2950" s="5" t="n">
        <v>0.04</v>
      </c>
    </row>
    <row r="2951" customFormat="false" ht="12.75" hidden="false" customHeight="true" outlineLevel="0" collapsed="false">
      <c r="A2951" s="5" t="s">
        <v>3667</v>
      </c>
    </row>
    <row r="2952" customFormat="false" ht="12.75" hidden="false" customHeight="true" outlineLevel="0" collapsed="false">
      <c r="A2952" s="5" t="s">
        <v>3664</v>
      </c>
    </row>
    <row r="2953" customFormat="false" ht="12.75" hidden="false" customHeight="true" outlineLevel="0" collapsed="false">
      <c r="A2953" s="5" t="n">
        <v>0.01</v>
      </c>
    </row>
    <row r="2954" customFormat="false" ht="12.75" hidden="false" customHeight="true" outlineLevel="0" collapsed="false">
      <c r="A2954" s="5" t="s">
        <v>3667</v>
      </c>
    </row>
    <row r="2955" customFormat="false" ht="12.75" hidden="false" customHeight="true" outlineLevel="0" collapsed="false">
      <c r="A2955" s="5" t="s">
        <v>3664</v>
      </c>
    </row>
    <row r="2956" customFormat="false" ht="12.75" hidden="false" customHeight="true" outlineLevel="0" collapsed="false">
      <c r="A2956" s="5" t="s">
        <v>2536</v>
      </c>
    </row>
    <row r="2957" customFormat="false" ht="12.75" hidden="false" customHeight="true" outlineLevel="0" collapsed="false">
      <c r="A2957" s="5" t="s">
        <v>257</v>
      </c>
    </row>
    <row r="2958" customFormat="false" ht="12.75" hidden="false" customHeight="true" outlineLevel="0" collapsed="false">
      <c r="A2958" s="5" t="n">
        <v>0.2</v>
      </c>
    </row>
    <row r="2959" customFormat="false" ht="12.75" hidden="false" customHeight="true" outlineLevel="0" collapsed="false">
      <c r="A2959" s="5" t="s">
        <v>2163</v>
      </c>
    </row>
    <row r="2960" customFormat="false" ht="12.75" hidden="false" customHeight="true" outlineLevel="0" collapsed="false">
      <c r="A2960" s="5" t="s">
        <v>3669</v>
      </c>
    </row>
    <row r="2961" customFormat="false" ht="12.75" hidden="false" customHeight="true" outlineLevel="0" collapsed="false">
      <c r="A2961" s="5" t="n">
        <v>0.1</v>
      </c>
    </row>
    <row r="2962" customFormat="false" ht="12.75" hidden="false" customHeight="true" outlineLevel="0" collapsed="false">
      <c r="A2962" s="5" t="s">
        <v>3670</v>
      </c>
    </row>
    <row r="2963" customFormat="false" ht="12.75" hidden="false" customHeight="true" outlineLevel="0" collapsed="false">
      <c r="A2963" s="5" t="s">
        <v>3671</v>
      </c>
    </row>
    <row r="2964" customFormat="false" ht="12.75" hidden="false" customHeight="true" outlineLevel="0" collapsed="false">
      <c r="A2964" s="5" t="s">
        <v>2163</v>
      </c>
    </row>
    <row r="2965" customFormat="false" ht="12.75" hidden="false" customHeight="true" outlineLevel="0" collapsed="false">
      <c r="A2965" s="5" t="s">
        <v>3669</v>
      </c>
    </row>
    <row r="2966" customFormat="false" ht="12.75" hidden="false" customHeight="true" outlineLevel="0" collapsed="false">
      <c r="A2966" s="5" t="n">
        <v>0.05</v>
      </c>
    </row>
    <row r="2967" customFormat="false" ht="12.75" hidden="false" customHeight="true" outlineLevel="0" collapsed="false">
      <c r="A2967" s="5" t="s">
        <v>3672</v>
      </c>
    </row>
    <row r="2968" customFormat="false" ht="12.75" hidden="false" customHeight="true" outlineLevel="0" collapsed="false">
      <c r="A2968" s="5" t="s">
        <v>3673</v>
      </c>
    </row>
    <row r="2969" customFormat="false" ht="12.75" hidden="false" customHeight="true" outlineLevel="0" collapsed="false">
      <c r="A2969" s="5" t="n">
        <v>0.04</v>
      </c>
    </row>
    <row r="2970" customFormat="false" ht="12.75" hidden="false" customHeight="true" outlineLevel="0" collapsed="false">
      <c r="A2970" s="5" t="s">
        <v>3670</v>
      </c>
    </row>
    <row r="2971" customFormat="false" ht="12.75" hidden="false" customHeight="true" outlineLevel="0" collapsed="false">
      <c r="A2971" s="5" t="s">
        <v>3671</v>
      </c>
    </row>
    <row r="2972" customFormat="false" ht="12.75" hidden="false" customHeight="true" outlineLevel="0" collapsed="false">
      <c r="A2972" s="5" t="n">
        <v>0.01</v>
      </c>
    </row>
    <row r="2973" customFormat="false" ht="12.75" hidden="false" customHeight="true" outlineLevel="0" collapsed="false">
      <c r="A2973" s="5" t="s">
        <v>3670</v>
      </c>
    </row>
    <row r="2974" customFormat="false" ht="12.75" hidden="false" customHeight="true" outlineLevel="0" collapsed="false">
      <c r="A2974" s="5" t="s">
        <v>3671</v>
      </c>
    </row>
    <row r="2975" customFormat="false" ht="12.75" hidden="false" customHeight="true" outlineLevel="0" collapsed="false">
      <c r="A2975" s="5" t="s">
        <v>2536</v>
      </c>
    </row>
    <row r="2976" customFormat="false" ht="12.75" hidden="false" customHeight="true" outlineLevel="0" collapsed="false">
      <c r="A2976" s="5" t="s">
        <v>257</v>
      </c>
    </row>
    <row r="2977" customFormat="false" ht="12.75" hidden="false" customHeight="true" outlineLevel="0" collapsed="false">
      <c r="A2977" s="5" t="n">
        <v>0.2</v>
      </c>
    </row>
    <row r="2978" customFormat="false" ht="12.75" hidden="false" customHeight="true" outlineLevel="0" collapsed="false">
      <c r="A2978" s="5" t="s">
        <v>2171</v>
      </c>
    </row>
    <row r="2979" customFormat="false" ht="12.75" hidden="false" customHeight="true" outlineLevel="0" collapsed="false">
      <c r="A2979" s="5" t="s">
        <v>3675</v>
      </c>
    </row>
    <row r="2980" customFormat="false" ht="12.75" hidden="false" customHeight="true" outlineLevel="0" collapsed="false">
      <c r="A2980" s="5" t="n">
        <v>0.1</v>
      </c>
    </row>
    <row r="2981" customFormat="false" ht="12.75" hidden="false" customHeight="true" outlineLevel="0" collapsed="false">
      <c r="A2981" s="5" t="s">
        <v>3676</v>
      </c>
    </row>
    <row r="2982" customFormat="false" ht="12.75" hidden="false" customHeight="true" outlineLevel="0" collapsed="false">
      <c r="A2982" s="5" t="s">
        <v>3677</v>
      </c>
    </row>
    <row r="2983" customFormat="false" ht="12.75" hidden="false" customHeight="true" outlineLevel="0" collapsed="false">
      <c r="A2983" s="5" t="s">
        <v>2171</v>
      </c>
    </row>
    <row r="2984" customFormat="false" ht="12.75" hidden="false" customHeight="true" outlineLevel="0" collapsed="false">
      <c r="A2984" s="5" t="s">
        <v>3675</v>
      </c>
    </row>
    <row r="2985" customFormat="false" ht="12.75" hidden="false" customHeight="true" outlineLevel="0" collapsed="false">
      <c r="A2985" s="5" t="n">
        <v>0.05</v>
      </c>
    </row>
    <row r="2986" customFormat="false" ht="12.75" hidden="false" customHeight="true" outlineLevel="0" collapsed="false">
      <c r="A2986" s="5" t="s">
        <v>3678</v>
      </c>
    </row>
    <row r="2987" customFormat="false" ht="12.75" hidden="false" customHeight="true" outlineLevel="0" collapsed="false">
      <c r="A2987" s="5" t="s">
        <v>3679</v>
      </c>
    </row>
    <row r="2988" customFormat="false" ht="12.75" hidden="false" customHeight="true" outlineLevel="0" collapsed="false">
      <c r="A2988" s="5" t="n">
        <v>0.04</v>
      </c>
    </row>
    <row r="2989" customFormat="false" ht="12.75" hidden="false" customHeight="true" outlineLevel="0" collapsed="false">
      <c r="A2989" s="5" t="s">
        <v>3676</v>
      </c>
    </row>
    <row r="2990" customFormat="false" ht="12.75" hidden="false" customHeight="true" outlineLevel="0" collapsed="false">
      <c r="A2990" s="5" t="s">
        <v>3677</v>
      </c>
    </row>
    <row r="2991" customFormat="false" ht="12.75" hidden="false" customHeight="true" outlineLevel="0" collapsed="false">
      <c r="A2991" s="5" t="n">
        <v>0.01</v>
      </c>
    </row>
    <row r="2992" customFormat="false" ht="12.75" hidden="false" customHeight="true" outlineLevel="0" collapsed="false">
      <c r="A2992" s="5" t="s">
        <v>3676</v>
      </c>
    </row>
    <row r="2993" customFormat="false" ht="12.75" hidden="false" customHeight="true" outlineLevel="0" collapsed="false">
      <c r="A2993" s="5" t="s">
        <v>3677</v>
      </c>
    </row>
    <row r="2994" customFormat="false" ht="12.75" hidden="false" customHeight="true" outlineLevel="0" collapsed="false">
      <c r="A2994" s="5" t="s">
        <v>2536</v>
      </c>
    </row>
    <row r="2995" customFormat="false" ht="12.75" hidden="false" customHeight="true" outlineLevel="0" collapsed="false">
      <c r="A2995" s="5" t="s">
        <v>257</v>
      </c>
    </row>
    <row r="2996" customFormat="false" ht="12.75" hidden="false" customHeight="true" outlineLevel="0" collapsed="false">
      <c r="A2996" s="5" t="n">
        <v>0.2</v>
      </c>
    </row>
    <row r="2997" customFormat="false" ht="12.75" hidden="false" customHeight="true" outlineLevel="0" collapsed="false">
      <c r="A2997" s="5" t="s">
        <v>2179</v>
      </c>
    </row>
    <row r="2998" customFormat="false" ht="12.75" hidden="false" customHeight="true" outlineLevel="0" collapsed="false">
      <c r="A2998" s="5" t="s">
        <v>3681</v>
      </c>
    </row>
    <row r="2999" customFormat="false" ht="12.75" hidden="false" customHeight="true" outlineLevel="0" collapsed="false">
      <c r="A2999" s="5" t="n">
        <v>0.1</v>
      </c>
    </row>
    <row r="3000" customFormat="false" ht="12.75" hidden="false" customHeight="true" outlineLevel="0" collapsed="false">
      <c r="A3000" s="5" t="s">
        <v>3682</v>
      </c>
    </row>
    <row r="3001" customFormat="false" ht="12.75" hidden="false" customHeight="true" outlineLevel="0" collapsed="false">
      <c r="A3001" s="5" t="s">
        <v>3683</v>
      </c>
    </row>
    <row r="3002" customFormat="false" ht="12.75" hidden="false" customHeight="true" outlineLevel="0" collapsed="false">
      <c r="A3002" s="5" t="s">
        <v>2179</v>
      </c>
    </row>
    <row r="3003" customFormat="false" ht="12.75" hidden="false" customHeight="true" outlineLevel="0" collapsed="false">
      <c r="A3003" s="5" t="s">
        <v>3681</v>
      </c>
    </row>
    <row r="3004" customFormat="false" ht="12.75" hidden="false" customHeight="true" outlineLevel="0" collapsed="false">
      <c r="A3004" s="5" t="n">
        <v>0.05</v>
      </c>
    </row>
    <row r="3005" customFormat="false" ht="12.75" hidden="false" customHeight="true" outlineLevel="0" collapsed="false">
      <c r="A3005" s="5" t="s">
        <v>3684</v>
      </c>
    </row>
    <row r="3006" customFormat="false" ht="12.75" hidden="false" customHeight="true" outlineLevel="0" collapsed="false">
      <c r="A3006" s="5" t="s">
        <v>3685</v>
      </c>
    </row>
    <row r="3007" customFormat="false" ht="12.75" hidden="false" customHeight="true" outlineLevel="0" collapsed="false">
      <c r="A3007" s="5" t="n">
        <v>0.04</v>
      </c>
    </row>
    <row r="3008" customFormat="false" ht="12.75" hidden="false" customHeight="true" outlineLevel="0" collapsed="false">
      <c r="A3008" s="5" t="s">
        <v>3682</v>
      </c>
    </row>
    <row r="3009" customFormat="false" ht="12.75" hidden="false" customHeight="true" outlineLevel="0" collapsed="false">
      <c r="A3009" s="5" t="s">
        <v>3683</v>
      </c>
    </row>
    <row r="3010" customFormat="false" ht="12.75" hidden="false" customHeight="true" outlineLevel="0" collapsed="false">
      <c r="A3010" s="5" t="n">
        <v>0.01</v>
      </c>
    </row>
    <row r="3011" customFormat="false" ht="12.75" hidden="false" customHeight="true" outlineLevel="0" collapsed="false">
      <c r="A3011" s="5" t="s">
        <v>3682</v>
      </c>
    </row>
    <row r="3012" customFormat="false" ht="12.75" hidden="false" customHeight="true" outlineLevel="0" collapsed="false">
      <c r="A3012" s="5" t="s">
        <v>3683</v>
      </c>
    </row>
    <row r="3013" customFormat="false" ht="12.75" hidden="false" customHeight="true" outlineLevel="0" collapsed="false">
      <c r="A3013" s="5" t="s">
        <v>2536</v>
      </c>
    </row>
    <row r="3014" customFormat="false" ht="12.75" hidden="false" customHeight="true" outlineLevel="0" collapsed="false">
      <c r="A3014" s="5" t="s">
        <v>257</v>
      </c>
    </row>
    <row r="3015" customFormat="false" ht="12.75" hidden="false" customHeight="true" outlineLevel="0" collapsed="false">
      <c r="A3015" s="5" t="n">
        <v>0.2</v>
      </c>
    </row>
    <row r="3016" customFormat="false" ht="12.75" hidden="false" customHeight="true" outlineLevel="0" collapsed="false">
      <c r="A3016" s="5" t="s">
        <v>2187</v>
      </c>
    </row>
    <row r="3017" customFormat="false" ht="12.75" hidden="false" customHeight="true" outlineLevel="0" collapsed="false">
      <c r="A3017" s="5" t="s">
        <v>3687</v>
      </c>
    </row>
    <row r="3018" customFormat="false" ht="12.75" hidden="false" customHeight="true" outlineLevel="0" collapsed="false">
      <c r="A3018" s="5" t="n">
        <v>0.1</v>
      </c>
    </row>
    <row r="3019" customFormat="false" ht="12.75" hidden="false" customHeight="true" outlineLevel="0" collapsed="false">
      <c r="A3019" s="5" t="s">
        <v>3688</v>
      </c>
    </row>
    <row r="3020" customFormat="false" ht="12.75" hidden="false" customHeight="true" outlineLevel="0" collapsed="false">
      <c r="A3020" s="5" t="s">
        <v>3689</v>
      </c>
    </row>
    <row r="3021" customFormat="false" ht="12.75" hidden="false" customHeight="true" outlineLevel="0" collapsed="false">
      <c r="A3021" s="5" t="s">
        <v>2187</v>
      </c>
    </row>
    <row r="3022" customFormat="false" ht="12.75" hidden="false" customHeight="true" outlineLevel="0" collapsed="false">
      <c r="A3022" s="5" t="s">
        <v>3687</v>
      </c>
    </row>
    <row r="3023" customFormat="false" ht="12.75" hidden="false" customHeight="true" outlineLevel="0" collapsed="false">
      <c r="A3023" s="5" t="n">
        <v>0.05</v>
      </c>
    </row>
    <row r="3024" customFormat="false" ht="12.75" hidden="false" customHeight="true" outlineLevel="0" collapsed="false">
      <c r="A3024" s="5" t="s">
        <v>3690</v>
      </c>
    </row>
    <row r="3025" customFormat="false" ht="12.75" hidden="false" customHeight="true" outlineLevel="0" collapsed="false">
      <c r="A3025" s="5" t="s">
        <v>3691</v>
      </c>
    </row>
    <row r="3026" customFormat="false" ht="12.75" hidden="false" customHeight="true" outlineLevel="0" collapsed="false">
      <c r="A3026" s="5" t="n">
        <v>0.04</v>
      </c>
    </row>
    <row r="3027" customFormat="false" ht="12.75" hidden="false" customHeight="true" outlineLevel="0" collapsed="false">
      <c r="A3027" s="5" t="s">
        <v>3688</v>
      </c>
    </row>
    <row r="3028" customFormat="false" ht="12.75" hidden="false" customHeight="true" outlineLevel="0" collapsed="false">
      <c r="A3028" s="5" t="s">
        <v>3689</v>
      </c>
    </row>
    <row r="3029" customFormat="false" ht="12.75" hidden="false" customHeight="true" outlineLevel="0" collapsed="false">
      <c r="A3029" s="5" t="n">
        <v>0.01</v>
      </c>
    </row>
    <row r="3030" customFormat="false" ht="12.75" hidden="false" customHeight="true" outlineLevel="0" collapsed="false">
      <c r="A3030" s="5" t="s">
        <v>3688</v>
      </c>
    </row>
    <row r="3031" customFormat="false" ht="12.75" hidden="false" customHeight="true" outlineLevel="0" collapsed="false">
      <c r="A3031" s="5" t="s">
        <v>3689</v>
      </c>
    </row>
    <row r="3032" customFormat="false" ht="12.75" hidden="false" customHeight="true" outlineLevel="0" collapsed="false">
      <c r="A3032" s="5" t="s">
        <v>2536</v>
      </c>
    </row>
    <row r="3033" customFormat="false" ht="12.75" hidden="false" customHeight="true" outlineLevel="0" collapsed="false">
      <c r="A3033" s="5" t="s">
        <v>257</v>
      </c>
    </row>
    <row r="3034" customFormat="false" ht="12.75" hidden="false" customHeight="true" outlineLevel="0" collapsed="false">
      <c r="A3034" s="5" t="n">
        <v>0.2</v>
      </c>
    </row>
    <row r="3035" customFormat="false" ht="12.75" hidden="false" customHeight="true" outlineLevel="0" collapsed="false">
      <c r="A3035" s="5" t="s">
        <v>2195</v>
      </c>
    </row>
    <row r="3036" customFormat="false" ht="12.75" hidden="false" customHeight="true" outlineLevel="0" collapsed="false">
      <c r="A3036" s="5" t="s">
        <v>3693</v>
      </c>
    </row>
    <row r="3037" customFormat="false" ht="12.75" hidden="false" customHeight="true" outlineLevel="0" collapsed="false">
      <c r="A3037" s="5" t="n">
        <v>0.1</v>
      </c>
    </row>
    <row r="3038" customFormat="false" ht="12.75" hidden="false" customHeight="true" outlineLevel="0" collapsed="false">
      <c r="A3038" s="5" t="s">
        <v>3694</v>
      </c>
    </row>
    <row r="3039" customFormat="false" ht="12.75" hidden="false" customHeight="true" outlineLevel="0" collapsed="false">
      <c r="A3039" s="5" t="s">
        <v>3695</v>
      </c>
    </row>
    <row r="3040" customFormat="false" ht="12.75" hidden="false" customHeight="true" outlineLevel="0" collapsed="false">
      <c r="A3040" s="5" t="s">
        <v>2195</v>
      </c>
    </row>
    <row r="3041" customFormat="false" ht="12.75" hidden="false" customHeight="true" outlineLevel="0" collapsed="false">
      <c r="A3041" s="5" t="s">
        <v>3693</v>
      </c>
    </row>
    <row r="3042" customFormat="false" ht="12.75" hidden="false" customHeight="true" outlineLevel="0" collapsed="false">
      <c r="A3042" s="5" t="n">
        <v>0.05</v>
      </c>
    </row>
    <row r="3043" customFormat="false" ht="12.75" hidden="false" customHeight="true" outlineLevel="0" collapsed="false">
      <c r="A3043" s="5" t="s">
        <v>3696</v>
      </c>
    </row>
    <row r="3044" customFormat="false" ht="12.75" hidden="false" customHeight="true" outlineLevel="0" collapsed="false">
      <c r="A3044" s="5" t="s">
        <v>3697</v>
      </c>
    </row>
    <row r="3045" customFormat="false" ht="12.75" hidden="false" customHeight="true" outlineLevel="0" collapsed="false">
      <c r="A3045" s="5" t="n">
        <v>0.04</v>
      </c>
    </row>
    <row r="3046" customFormat="false" ht="12.75" hidden="false" customHeight="true" outlineLevel="0" collapsed="false">
      <c r="A3046" s="5" t="s">
        <v>3694</v>
      </c>
    </row>
    <row r="3047" customFormat="false" ht="12.75" hidden="false" customHeight="true" outlineLevel="0" collapsed="false">
      <c r="A3047" s="5" t="s">
        <v>3695</v>
      </c>
    </row>
    <row r="3048" customFormat="false" ht="12.75" hidden="false" customHeight="true" outlineLevel="0" collapsed="false">
      <c r="A3048" s="5" t="n">
        <v>0.01</v>
      </c>
    </row>
    <row r="3049" customFormat="false" ht="12.75" hidden="false" customHeight="true" outlineLevel="0" collapsed="false">
      <c r="A3049" s="5" t="s">
        <v>3694</v>
      </c>
    </row>
    <row r="3050" customFormat="false" ht="12.75" hidden="false" customHeight="true" outlineLevel="0" collapsed="false">
      <c r="A3050" s="5" t="s">
        <v>3695</v>
      </c>
    </row>
    <row r="3051" customFormat="false" ht="12.75" hidden="false" customHeight="true" outlineLevel="0" collapsed="false">
      <c r="A3051" s="5" t="s">
        <v>2536</v>
      </c>
    </row>
    <row r="3052" customFormat="false" ht="12.75" hidden="false" customHeight="true" outlineLevel="0" collapsed="false">
      <c r="A3052" s="5" t="s">
        <v>257</v>
      </c>
    </row>
    <row r="3053" customFormat="false" ht="12.75" hidden="false" customHeight="true" outlineLevel="0" collapsed="false">
      <c r="A3053" s="5" t="n">
        <v>0.2</v>
      </c>
    </row>
    <row r="3054" customFormat="false" ht="12.75" hidden="false" customHeight="true" outlineLevel="0" collapsed="false">
      <c r="A3054" s="5" t="s">
        <v>2203</v>
      </c>
    </row>
    <row r="3055" customFormat="false" ht="12.75" hidden="false" customHeight="true" outlineLevel="0" collapsed="false">
      <c r="A3055" s="5" t="s">
        <v>3699</v>
      </c>
    </row>
    <row r="3056" customFormat="false" ht="12.75" hidden="false" customHeight="true" outlineLevel="0" collapsed="false">
      <c r="A3056" s="5" t="n">
        <v>0.1</v>
      </c>
    </row>
    <row r="3057" customFormat="false" ht="12.75" hidden="false" customHeight="true" outlineLevel="0" collapsed="false">
      <c r="A3057" s="5" t="s">
        <v>3700</v>
      </c>
    </row>
    <row r="3058" customFormat="false" ht="12.75" hidden="false" customHeight="true" outlineLevel="0" collapsed="false">
      <c r="A3058" s="5" t="s">
        <v>3701</v>
      </c>
    </row>
    <row r="3059" customFormat="false" ht="12.75" hidden="false" customHeight="true" outlineLevel="0" collapsed="false">
      <c r="A3059" s="5" t="s">
        <v>2203</v>
      </c>
    </row>
    <row r="3060" customFormat="false" ht="12.75" hidden="false" customHeight="true" outlineLevel="0" collapsed="false">
      <c r="A3060" s="5" t="s">
        <v>3699</v>
      </c>
    </row>
    <row r="3061" customFormat="false" ht="12.75" hidden="false" customHeight="true" outlineLevel="0" collapsed="false">
      <c r="A3061" s="5" t="n">
        <v>0.05</v>
      </c>
    </row>
    <row r="3062" customFormat="false" ht="12.75" hidden="false" customHeight="true" outlineLevel="0" collapsed="false">
      <c r="A3062" s="5" t="s">
        <v>3702</v>
      </c>
    </row>
    <row r="3063" customFormat="false" ht="12.75" hidden="false" customHeight="true" outlineLevel="0" collapsed="false">
      <c r="A3063" s="5" t="s">
        <v>3703</v>
      </c>
    </row>
    <row r="3064" customFormat="false" ht="12.75" hidden="false" customHeight="true" outlineLevel="0" collapsed="false">
      <c r="A3064" s="5" t="n">
        <v>0.04</v>
      </c>
    </row>
    <row r="3065" customFormat="false" ht="12.75" hidden="false" customHeight="true" outlineLevel="0" collapsed="false">
      <c r="A3065" s="5" t="s">
        <v>3700</v>
      </c>
    </row>
    <row r="3066" customFormat="false" ht="12.75" hidden="false" customHeight="true" outlineLevel="0" collapsed="false">
      <c r="A3066" s="5" t="s">
        <v>3701</v>
      </c>
    </row>
    <row r="3067" customFormat="false" ht="12.75" hidden="false" customHeight="true" outlineLevel="0" collapsed="false">
      <c r="A3067" s="5" t="n">
        <v>0.01</v>
      </c>
    </row>
    <row r="3068" customFormat="false" ht="12.75" hidden="false" customHeight="true" outlineLevel="0" collapsed="false">
      <c r="A3068" s="5" t="s">
        <v>3700</v>
      </c>
    </row>
    <row r="3069" customFormat="false" ht="12.75" hidden="false" customHeight="true" outlineLevel="0" collapsed="false">
      <c r="A3069" s="5" t="s">
        <v>3701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2026-03-18T02:45:24Z</dcterms:created>
  <dc:creator>openpyxl</dc:creator>
  <dc:description/>
  <dc:language>en-US</dc:language>
  <cp:lastModifiedBy/>
  <dcterms:modified xsi:type="dcterms:W3CDTF">2026-03-20T02:27:39Z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